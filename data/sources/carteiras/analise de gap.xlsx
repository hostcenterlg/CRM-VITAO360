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Área de Trabalho\Comercial Interno\"/>
    </mc:Choice>
  </mc:AlternateContent>
  <xr:revisionPtr revIDLastSave="0" documentId="13_ncr:1_{5ECB7AC5-E1E2-459E-8ACB-77C89DF9B6DC}" xr6:coauthVersionLast="47" xr6:coauthVersionMax="47" xr10:uidLastSave="{00000000-0000-0000-0000-000000000000}"/>
  <bookViews>
    <workbookView minimized="1" xWindow="5790" yWindow="-9495" windowWidth="13830" windowHeight="7110" tabRatio="849" xr2:uid="{AF4FCABA-E2E9-474A-8520-A65BD47443CF}"/>
  </bookViews>
  <sheets>
    <sheet name="Resumo" sheetId="8" r:id="rId1"/>
    <sheet name="Planilha1" sheetId="13" r:id="rId2"/>
    <sheet name="Faturamento" sheetId="2" r:id="rId3"/>
    <sheet name="Base de Grupos" sheetId="1" r:id="rId4"/>
    <sheet name="Quantidade" sheetId="10" r:id="rId5"/>
    <sheet name="Aumento Pontual" sheetId="4" state="hidden" r:id="rId6"/>
    <sheet name="Balizador da Meta" sheetId="3" state="hidden" r:id="rId7"/>
    <sheet name="Calculo Leads" sheetId="7" r:id="rId8"/>
    <sheet name="Base Grupo de Produtos" sheetId="5" r:id="rId9"/>
    <sheet name="Calculo Leads Conveniencia" sheetId="12" r:id="rId10"/>
    <sheet name="Historico Vendas" sheetId="6" state="hidden" r:id="rId11"/>
  </sheets>
  <definedNames>
    <definedName name="_xlnm._FilterDatabase" localSheetId="3" hidden="1">'Base de Grupos'!$C$1:$O$65</definedName>
    <definedName name="_xlnm._FilterDatabase" localSheetId="8" hidden="1">'Base Grupo de Produtos'!$A$1:$C$1135</definedName>
    <definedName name="_xlnm._FilterDatabase" localSheetId="7" hidden="1">'Calculo Leads'!$A$55:$O$94</definedName>
    <definedName name="_xlnm._FilterDatabase" localSheetId="9" hidden="1">'Calculo Leads Conveniencia'!$A$45:$O$74</definedName>
    <definedName name="_xlnm._FilterDatabase" localSheetId="2" hidden="1">Faturamento!$A$2:$AN$1190</definedName>
    <definedName name="_xlnm._FilterDatabase" localSheetId="4" hidden="1">Quantidade!$A$2:$AN$794</definedName>
  </definedNames>
  <calcPr calcId="191029"/>
  <pivotCaches>
    <pivotCache cacheId="1" r:id="rId12"/>
    <pivotCache cacheId="2" r:id="rId1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97" i="8" l="1"/>
  <c r="O99" i="8" s="1"/>
  <c r="O100" i="8" s="1"/>
  <c r="P97" i="8"/>
  <c r="Q101" i="8" l="1"/>
  <c r="Q98" i="8"/>
  <c r="Q96" i="8"/>
  <c r="Q97" i="8" l="1"/>
  <c r="P99" i="8"/>
  <c r="P100" i="8" s="1"/>
  <c r="P102" i="8" s="1"/>
  <c r="Q102" i="8" s="1"/>
  <c r="Q99" i="8" l="1"/>
  <c r="Q100" i="8"/>
  <c r="C71" i="12"/>
  <c r="C102" i="12" s="1"/>
  <c r="S1173" i="2"/>
  <c r="R1173" i="2"/>
  <c r="Q1173" i="2"/>
  <c r="C92" i="7"/>
  <c r="C133" i="7" s="1"/>
  <c r="AC1190" i="10"/>
  <c r="AC1189" i="10"/>
  <c r="AC1188" i="10"/>
  <c r="AC1187" i="10"/>
  <c r="AC1186" i="10"/>
  <c r="AC1185" i="10"/>
  <c r="AC1184" i="10"/>
  <c r="AC1183" i="10"/>
  <c r="AC1182" i="10"/>
  <c r="AC1181" i="10"/>
  <c r="AC1180" i="10"/>
  <c r="AC1179" i="10"/>
  <c r="AC1178" i="10"/>
  <c r="AC1177" i="10"/>
  <c r="AC1176" i="10"/>
  <c r="AC1175" i="10"/>
  <c r="AC1174" i="10"/>
  <c r="AC1173" i="10"/>
  <c r="AC1172" i="10"/>
  <c r="AC1171" i="10"/>
  <c r="AC1170" i="10"/>
  <c r="AC1169" i="10"/>
  <c r="AC1168" i="10"/>
  <c r="AC1167" i="10"/>
  <c r="AC1166" i="10"/>
  <c r="AC1165" i="10"/>
  <c r="AC1164" i="10"/>
  <c r="AC1163" i="10"/>
  <c r="AC1162" i="10"/>
  <c r="AC1161" i="10"/>
  <c r="AC1160" i="10"/>
  <c r="AC1159" i="10"/>
  <c r="AC1158" i="10"/>
  <c r="AC1157" i="10"/>
  <c r="AC1156" i="10"/>
  <c r="AC1155" i="10"/>
  <c r="B1155" i="10"/>
  <c r="C1155" i="10"/>
  <c r="D1155" i="10"/>
  <c r="E1155" i="10"/>
  <c r="F1155" i="10"/>
  <c r="G1155" i="10"/>
  <c r="H1155" i="10"/>
  <c r="I1155" i="10"/>
  <c r="J1155" i="10"/>
  <c r="K1155" i="10"/>
  <c r="L1155" i="10"/>
  <c r="A1155" i="10" s="1"/>
  <c r="M1155" i="10"/>
  <c r="B1156" i="10"/>
  <c r="C1156" i="10"/>
  <c r="D1156" i="10"/>
  <c r="E1156" i="10"/>
  <c r="F1156" i="10"/>
  <c r="G1156" i="10"/>
  <c r="H1156" i="10"/>
  <c r="I1156" i="10"/>
  <c r="J1156" i="10"/>
  <c r="K1156" i="10"/>
  <c r="L1156" i="10"/>
  <c r="A1156" i="10" s="1"/>
  <c r="M1156" i="10"/>
  <c r="B1157" i="10"/>
  <c r="C1157" i="10"/>
  <c r="D1157" i="10"/>
  <c r="E1157" i="10"/>
  <c r="F1157" i="10"/>
  <c r="G1157" i="10"/>
  <c r="H1157" i="10"/>
  <c r="I1157" i="10"/>
  <c r="J1157" i="10"/>
  <c r="K1157" i="10"/>
  <c r="L1157" i="10"/>
  <c r="A1157" i="10" s="1"/>
  <c r="M1157" i="10"/>
  <c r="B1158" i="10"/>
  <c r="C1158" i="10"/>
  <c r="D1158" i="10"/>
  <c r="E1158" i="10"/>
  <c r="F1158" i="10"/>
  <c r="G1158" i="10"/>
  <c r="H1158" i="10"/>
  <c r="I1158" i="10"/>
  <c r="J1158" i="10"/>
  <c r="K1158" i="10"/>
  <c r="L1158" i="10"/>
  <c r="A1158" i="10" s="1"/>
  <c r="M1158" i="10"/>
  <c r="B1159" i="10"/>
  <c r="C1159" i="10"/>
  <c r="D1159" i="10"/>
  <c r="E1159" i="10"/>
  <c r="F1159" i="10"/>
  <c r="G1159" i="10"/>
  <c r="H1159" i="10"/>
  <c r="I1159" i="10"/>
  <c r="J1159" i="10"/>
  <c r="K1159" i="10"/>
  <c r="L1159" i="10"/>
  <c r="A1159" i="10" s="1"/>
  <c r="M1159" i="10"/>
  <c r="B1160" i="10"/>
  <c r="C1160" i="10"/>
  <c r="D1160" i="10"/>
  <c r="E1160" i="10"/>
  <c r="F1160" i="10"/>
  <c r="G1160" i="10"/>
  <c r="H1160" i="10"/>
  <c r="I1160" i="10"/>
  <c r="J1160" i="10"/>
  <c r="K1160" i="10"/>
  <c r="L1160" i="10"/>
  <c r="A1160" i="10" s="1"/>
  <c r="M1160" i="10"/>
  <c r="B1161" i="10"/>
  <c r="C1161" i="10"/>
  <c r="D1161" i="10"/>
  <c r="E1161" i="10"/>
  <c r="F1161" i="10"/>
  <c r="G1161" i="10"/>
  <c r="H1161" i="10"/>
  <c r="I1161" i="10"/>
  <c r="J1161" i="10"/>
  <c r="K1161" i="10"/>
  <c r="L1161" i="10"/>
  <c r="A1161" i="10" s="1"/>
  <c r="M1161" i="10"/>
  <c r="B1162" i="10"/>
  <c r="C1162" i="10"/>
  <c r="D1162" i="10"/>
  <c r="E1162" i="10"/>
  <c r="F1162" i="10"/>
  <c r="G1162" i="10"/>
  <c r="H1162" i="10"/>
  <c r="I1162" i="10"/>
  <c r="J1162" i="10"/>
  <c r="K1162" i="10"/>
  <c r="L1162" i="10"/>
  <c r="A1162" i="10" s="1"/>
  <c r="M1162" i="10"/>
  <c r="B1163" i="10"/>
  <c r="C1163" i="10"/>
  <c r="D1163" i="10"/>
  <c r="E1163" i="10"/>
  <c r="F1163" i="10"/>
  <c r="G1163" i="10"/>
  <c r="H1163" i="10"/>
  <c r="I1163" i="10"/>
  <c r="J1163" i="10"/>
  <c r="K1163" i="10"/>
  <c r="L1163" i="10"/>
  <c r="A1163" i="10" s="1"/>
  <c r="M1163" i="10"/>
  <c r="B1164" i="10"/>
  <c r="C1164" i="10"/>
  <c r="D1164" i="10"/>
  <c r="E1164" i="10"/>
  <c r="F1164" i="10"/>
  <c r="G1164" i="10"/>
  <c r="H1164" i="10"/>
  <c r="I1164" i="10"/>
  <c r="J1164" i="10"/>
  <c r="K1164" i="10"/>
  <c r="L1164" i="10"/>
  <c r="A1164" i="10" s="1"/>
  <c r="M1164" i="10"/>
  <c r="B1165" i="10"/>
  <c r="C1165" i="10"/>
  <c r="D1165" i="10"/>
  <c r="E1165" i="10"/>
  <c r="F1165" i="10"/>
  <c r="G1165" i="10"/>
  <c r="H1165" i="10"/>
  <c r="I1165" i="10"/>
  <c r="J1165" i="10"/>
  <c r="K1165" i="10"/>
  <c r="L1165" i="10"/>
  <c r="A1165" i="10" s="1"/>
  <c r="M1165" i="10"/>
  <c r="B1166" i="10"/>
  <c r="C1166" i="10"/>
  <c r="D1166" i="10"/>
  <c r="E1166" i="10"/>
  <c r="F1166" i="10"/>
  <c r="G1166" i="10"/>
  <c r="H1166" i="10"/>
  <c r="I1166" i="10"/>
  <c r="J1166" i="10"/>
  <c r="K1166" i="10"/>
  <c r="L1166" i="10"/>
  <c r="A1166" i="10" s="1"/>
  <c r="M1166" i="10"/>
  <c r="B1167" i="10"/>
  <c r="C1167" i="10"/>
  <c r="D1167" i="10"/>
  <c r="E1167" i="10"/>
  <c r="F1167" i="10"/>
  <c r="G1167" i="10"/>
  <c r="H1167" i="10"/>
  <c r="I1167" i="10"/>
  <c r="J1167" i="10"/>
  <c r="K1167" i="10"/>
  <c r="L1167" i="10"/>
  <c r="A1167" i="10" s="1"/>
  <c r="M1167" i="10"/>
  <c r="B1168" i="10"/>
  <c r="C1168" i="10"/>
  <c r="D1168" i="10"/>
  <c r="E1168" i="10"/>
  <c r="F1168" i="10"/>
  <c r="G1168" i="10"/>
  <c r="H1168" i="10"/>
  <c r="I1168" i="10"/>
  <c r="J1168" i="10"/>
  <c r="K1168" i="10"/>
  <c r="L1168" i="10"/>
  <c r="A1168" i="10" s="1"/>
  <c r="M1168" i="10"/>
  <c r="B1169" i="10"/>
  <c r="C1169" i="10"/>
  <c r="D1169" i="10"/>
  <c r="E1169" i="10"/>
  <c r="F1169" i="10"/>
  <c r="G1169" i="10"/>
  <c r="H1169" i="10"/>
  <c r="I1169" i="10"/>
  <c r="J1169" i="10"/>
  <c r="K1169" i="10"/>
  <c r="L1169" i="10"/>
  <c r="A1169" i="10" s="1"/>
  <c r="M1169" i="10"/>
  <c r="B1170" i="10"/>
  <c r="C1170" i="10"/>
  <c r="D1170" i="10"/>
  <c r="E1170" i="10"/>
  <c r="F1170" i="10"/>
  <c r="G1170" i="10"/>
  <c r="H1170" i="10"/>
  <c r="I1170" i="10"/>
  <c r="J1170" i="10"/>
  <c r="K1170" i="10"/>
  <c r="L1170" i="10"/>
  <c r="A1170" i="10" s="1"/>
  <c r="M1170" i="10"/>
  <c r="B1171" i="10"/>
  <c r="C1171" i="10"/>
  <c r="D1171" i="10"/>
  <c r="E1171" i="10"/>
  <c r="F1171" i="10"/>
  <c r="G1171" i="10"/>
  <c r="H1171" i="10"/>
  <c r="I1171" i="10"/>
  <c r="J1171" i="10"/>
  <c r="K1171" i="10"/>
  <c r="L1171" i="10"/>
  <c r="A1171" i="10" s="1"/>
  <c r="M1171" i="10"/>
  <c r="B1172" i="10"/>
  <c r="C1172" i="10"/>
  <c r="D1172" i="10"/>
  <c r="E1172" i="10"/>
  <c r="F1172" i="10"/>
  <c r="G1172" i="10"/>
  <c r="H1172" i="10"/>
  <c r="I1172" i="10"/>
  <c r="J1172" i="10"/>
  <c r="K1172" i="10"/>
  <c r="L1172" i="10"/>
  <c r="A1172" i="10" s="1"/>
  <c r="M1172" i="10"/>
  <c r="B1173" i="10"/>
  <c r="C1173" i="10"/>
  <c r="D1173" i="10"/>
  <c r="E1173" i="10"/>
  <c r="F1173" i="10"/>
  <c r="G1173" i="10"/>
  <c r="H1173" i="10"/>
  <c r="I1173" i="10"/>
  <c r="J1173" i="10"/>
  <c r="K1173" i="10"/>
  <c r="L1173" i="10"/>
  <c r="A1173" i="10" s="1"/>
  <c r="M1173" i="10"/>
  <c r="B1174" i="10"/>
  <c r="C1174" i="10"/>
  <c r="D1174" i="10"/>
  <c r="E1174" i="10"/>
  <c r="F1174" i="10"/>
  <c r="G1174" i="10"/>
  <c r="H1174" i="10"/>
  <c r="I1174" i="10"/>
  <c r="J1174" i="10"/>
  <c r="K1174" i="10"/>
  <c r="L1174" i="10"/>
  <c r="A1174" i="10" s="1"/>
  <c r="M1174" i="10"/>
  <c r="B1175" i="10"/>
  <c r="C1175" i="10"/>
  <c r="D1175" i="10"/>
  <c r="E1175" i="10"/>
  <c r="F1175" i="10"/>
  <c r="G1175" i="10"/>
  <c r="H1175" i="10"/>
  <c r="I1175" i="10"/>
  <c r="J1175" i="10"/>
  <c r="K1175" i="10"/>
  <c r="L1175" i="10"/>
  <c r="A1175" i="10" s="1"/>
  <c r="M1175" i="10"/>
  <c r="B1176" i="10"/>
  <c r="C1176" i="10"/>
  <c r="D1176" i="10"/>
  <c r="E1176" i="10"/>
  <c r="F1176" i="10"/>
  <c r="G1176" i="10"/>
  <c r="H1176" i="10"/>
  <c r="I1176" i="10"/>
  <c r="J1176" i="10"/>
  <c r="K1176" i="10"/>
  <c r="L1176" i="10"/>
  <c r="A1176" i="10" s="1"/>
  <c r="M1176" i="10"/>
  <c r="B1177" i="10"/>
  <c r="C1177" i="10"/>
  <c r="D1177" i="10"/>
  <c r="E1177" i="10"/>
  <c r="F1177" i="10"/>
  <c r="G1177" i="10"/>
  <c r="H1177" i="10"/>
  <c r="I1177" i="10"/>
  <c r="J1177" i="10"/>
  <c r="K1177" i="10"/>
  <c r="L1177" i="10"/>
  <c r="A1177" i="10" s="1"/>
  <c r="M1177" i="10"/>
  <c r="B1178" i="10"/>
  <c r="C1178" i="10"/>
  <c r="D1178" i="10"/>
  <c r="E1178" i="10"/>
  <c r="F1178" i="10"/>
  <c r="G1178" i="10"/>
  <c r="H1178" i="10"/>
  <c r="I1178" i="10"/>
  <c r="J1178" i="10"/>
  <c r="K1178" i="10"/>
  <c r="L1178" i="10"/>
  <c r="A1178" i="10" s="1"/>
  <c r="M1178" i="10"/>
  <c r="B1179" i="10"/>
  <c r="C1179" i="10"/>
  <c r="D1179" i="10"/>
  <c r="E1179" i="10"/>
  <c r="F1179" i="10"/>
  <c r="G1179" i="10"/>
  <c r="H1179" i="10"/>
  <c r="I1179" i="10"/>
  <c r="J1179" i="10"/>
  <c r="K1179" i="10"/>
  <c r="L1179" i="10"/>
  <c r="A1179" i="10" s="1"/>
  <c r="M1179" i="10"/>
  <c r="B1180" i="10"/>
  <c r="C1180" i="10"/>
  <c r="D1180" i="10"/>
  <c r="E1180" i="10"/>
  <c r="F1180" i="10"/>
  <c r="G1180" i="10"/>
  <c r="H1180" i="10"/>
  <c r="I1180" i="10"/>
  <c r="J1180" i="10"/>
  <c r="K1180" i="10"/>
  <c r="L1180" i="10"/>
  <c r="A1180" i="10" s="1"/>
  <c r="M1180" i="10"/>
  <c r="B1181" i="10"/>
  <c r="C1181" i="10"/>
  <c r="D1181" i="10"/>
  <c r="E1181" i="10"/>
  <c r="F1181" i="10"/>
  <c r="G1181" i="10"/>
  <c r="H1181" i="10"/>
  <c r="I1181" i="10"/>
  <c r="J1181" i="10"/>
  <c r="K1181" i="10"/>
  <c r="L1181" i="10"/>
  <c r="A1181" i="10" s="1"/>
  <c r="M1181" i="10"/>
  <c r="B1182" i="10"/>
  <c r="C1182" i="10"/>
  <c r="D1182" i="10"/>
  <c r="E1182" i="10"/>
  <c r="F1182" i="10"/>
  <c r="G1182" i="10"/>
  <c r="H1182" i="10"/>
  <c r="I1182" i="10"/>
  <c r="J1182" i="10"/>
  <c r="K1182" i="10"/>
  <c r="L1182" i="10"/>
  <c r="A1182" i="10" s="1"/>
  <c r="M1182" i="10"/>
  <c r="B1183" i="10"/>
  <c r="C1183" i="10"/>
  <c r="D1183" i="10"/>
  <c r="E1183" i="10"/>
  <c r="F1183" i="10"/>
  <c r="G1183" i="10"/>
  <c r="H1183" i="10"/>
  <c r="I1183" i="10"/>
  <c r="J1183" i="10"/>
  <c r="K1183" i="10"/>
  <c r="L1183" i="10"/>
  <c r="A1183" i="10" s="1"/>
  <c r="M1183" i="10"/>
  <c r="B1184" i="10"/>
  <c r="C1184" i="10"/>
  <c r="D1184" i="10"/>
  <c r="E1184" i="10"/>
  <c r="F1184" i="10"/>
  <c r="G1184" i="10"/>
  <c r="H1184" i="10"/>
  <c r="I1184" i="10"/>
  <c r="J1184" i="10"/>
  <c r="K1184" i="10"/>
  <c r="L1184" i="10"/>
  <c r="A1184" i="10" s="1"/>
  <c r="M1184" i="10"/>
  <c r="B1185" i="10"/>
  <c r="C1185" i="10"/>
  <c r="D1185" i="10"/>
  <c r="E1185" i="10"/>
  <c r="F1185" i="10"/>
  <c r="G1185" i="10"/>
  <c r="H1185" i="10"/>
  <c r="I1185" i="10"/>
  <c r="J1185" i="10"/>
  <c r="K1185" i="10"/>
  <c r="L1185" i="10"/>
  <c r="A1185" i="10" s="1"/>
  <c r="M1185" i="10"/>
  <c r="B1186" i="10"/>
  <c r="C1186" i="10"/>
  <c r="D1186" i="10"/>
  <c r="E1186" i="10"/>
  <c r="F1186" i="10"/>
  <c r="G1186" i="10"/>
  <c r="H1186" i="10"/>
  <c r="I1186" i="10"/>
  <c r="J1186" i="10"/>
  <c r="K1186" i="10"/>
  <c r="L1186" i="10"/>
  <c r="A1186" i="10" s="1"/>
  <c r="M1186" i="10"/>
  <c r="B1187" i="10"/>
  <c r="C1187" i="10"/>
  <c r="D1187" i="10"/>
  <c r="E1187" i="10"/>
  <c r="F1187" i="10"/>
  <c r="G1187" i="10"/>
  <c r="H1187" i="10"/>
  <c r="I1187" i="10"/>
  <c r="J1187" i="10"/>
  <c r="K1187" i="10"/>
  <c r="L1187" i="10"/>
  <c r="A1187" i="10" s="1"/>
  <c r="M1187" i="10"/>
  <c r="B1188" i="10"/>
  <c r="C1188" i="10"/>
  <c r="D1188" i="10"/>
  <c r="E1188" i="10"/>
  <c r="F1188" i="10"/>
  <c r="G1188" i="10"/>
  <c r="H1188" i="10"/>
  <c r="I1188" i="10"/>
  <c r="J1188" i="10"/>
  <c r="K1188" i="10"/>
  <c r="L1188" i="10"/>
  <c r="A1188" i="10" s="1"/>
  <c r="M1188" i="10"/>
  <c r="B1189" i="10"/>
  <c r="C1189" i="10"/>
  <c r="D1189" i="10"/>
  <c r="E1189" i="10"/>
  <c r="F1189" i="10"/>
  <c r="G1189" i="10"/>
  <c r="H1189" i="10"/>
  <c r="I1189" i="10"/>
  <c r="J1189" i="10"/>
  <c r="K1189" i="10"/>
  <c r="L1189" i="10"/>
  <c r="A1189" i="10" s="1"/>
  <c r="M1189" i="10"/>
  <c r="B1190" i="10"/>
  <c r="C1190" i="10"/>
  <c r="D1190" i="10"/>
  <c r="E1190" i="10"/>
  <c r="F1190" i="10"/>
  <c r="G1190" i="10"/>
  <c r="H1190" i="10"/>
  <c r="I1190" i="10"/>
  <c r="J1190" i="10"/>
  <c r="K1190" i="10"/>
  <c r="L1190" i="10"/>
  <c r="A1190" i="10" s="1"/>
  <c r="M1190" i="10"/>
  <c r="S1155" i="2"/>
  <c r="R1155" i="2"/>
  <c r="Q1155" i="2"/>
  <c r="B1155" i="2"/>
  <c r="C1155" i="2"/>
  <c r="D1155" i="2"/>
  <c r="E1155" i="2"/>
  <c r="F1155" i="2"/>
  <c r="G1155" i="2"/>
  <c r="H1155" i="2"/>
  <c r="I1155" i="2"/>
  <c r="J1155" i="2"/>
  <c r="K1155" i="2"/>
  <c r="L1155" i="2"/>
  <c r="A1155" i="2" s="1"/>
  <c r="M1155" i="2"/>
  <c r="B1156" i="2"/>
  <c r="C1156" i="2"/>
  <c r="D1156" i="2"/>
  <c r="E1156" i="2"/>
  <c r="F1156" i="2"/>
  <c r="G1156" i="2"/>
  <c r="H1156" i="2"/>
  <c r="I1156" i="2"/>
  <c r="J1156" i="2"/>
  <c r="K1156" i="2"/>
  <c r="L1156" i="2"/>
  <c r="A1156" i="2" s="1"/>
  <c r="M1156" i="2"/>
  <c r="B1157" i="2"/>
  <c r="C1157" i="2"/>
  <c r="D1157" i="2"/>
  <c r="E1157" i="2"/>
  <c r="F1157" i="2"/>
  <c r="G1157" i="2"/>
  <c r="H1157" i="2"/>
  <c r="I1157" i="2"/>
  <c r="J1157" i="2"/>
  <c r="K1157" i="2"/>
  <c r="L1157" i="2"/>
  <c r="A1157" i="2" s="1"/>
  <c r="M1157" i="2"/>
  <c r="B1158" i="2"/>
  <c r="C1158" i="2"/>
  <c r="D1158" i="2"/>
  <c r="E1158" i="2"/>
  <c r="F1158" i="2"/>
  <c r="G1158" i="2"/>
  <c r="H1158" i="2"/>
  <c r="I1158" i="2"/>
  <c r="J1158" i="2"/>
  <c r="K1158" i="2"/>
  <c r="L1158" i="2"/>
  <c r="A1158" i="2" s="1"/>
  <c r="M1158" i="2"/>
  <c r="B1159" i="2"/>
  <c r="C1159" i="2"/>
  <c r="D1159" i="2"/>
  <c r="E1159" i="2"/>
  <c r="F1159" i="2"/>
  <c r="G1159" i="2"/>
  <c r="H1159" i="2"/>
  <c r="I1159" i="2"/>
  <c r="J1159" i="2"/>
  <c r="K1159" i="2"/>
  <c r="L1159" i="2"/>
  <c r="A1159" i="2" s="1"/>
  <c r="M1159" i="2"/>
  <c r="B1160" i="2"/>
  <c r="C1160" i="2"/>
  <c r="D1160" i="2"/>
  <c r="E1160" i="2"/>
  <c r="F1160" i="2"/>
  <c r="G1160" i="2"/>
  <c r="H1160" i="2"/>
  <c r="I1160" i="2"/>
  <c r="J1160" i="2"/>
  <c r="K1160" i="2"/>
  <c r="L1160" i="2"/>
  <c r="A1160" i="2" s="1"/>
  <c r="M1160" i="2"/>
  <c r="B1161" i="2"/>
  <c r="C1161" i="2"/>
  <c r="D1161" i="2"/>
  <c r="E1161" i="2"/>
  <c r="F1161" i="2"/>
  <c r="G1161" i="2"/>
  <c r="H1161" i="2"/>
  <c r="I1161" i="2"/>
  <c r="J1161" i="2"/>
  <c r="K1161" i="2"/>
  <c r="L1161" i="2"/>
  <c r="A1161" i="2" s="1"/>
  <c r="M1161" i="2"/>
  <c r="B1162" i="2"/>
  <c r="C1162" i="2"/>
  <c r="D1162" i="2"/>
  <c r="E1162" i="2"/>
  <c r="F1162" i="2"/>
  <c r="G1162" i="2"/>
  <c r="H1162" i="2"/>
  <c r="I1162" i="2"/>
  <c r="J1162" i="2"/>
  <c r="K1162" i="2"/>
  <c r="L1162" i="2"/>
  <c r="A1162" i="2" s="1"/>
  <c r="M1162" i="2"/>
  <c r="B1163" i="2"/>
  <c r="C1163" i="2"/>
  <c r="D1163" i="2"/>
  <c r="E1163" i="2"/>
  <c r="F1163" i="2"/>
  <c r="G1163" i="2"/>
  <c r="H1163" i="2"/>
  <c r="I1163" i="2"/>
  <c r="J1163" i="2"/>
  <c r="K1163" i="2"/>
  <c r="L1163" i="2"/>
  <c r="A1163" i="2" s="1"/>
  <c r="M1163" i="2"/>
  <c r="B1164" i="2"/>
  <c r="C1164" i="2"/>
  <c r="D1164" i="2"/>
  <c r="E1164" i="2"/>
  <c r="F1164" i="2"/>
  <c r="G1164" i="2"/>
  <c r="H1164" i="2"/>
  <c r="I1164" i="2"/>
  <c r="J1164" i="2"/>
  <c r="K1164" i="2"/>
  <c r="L1164" i="2"/>
  <c r="A1164" i="2" s="1"/>
  <c r="M1164" i="2"/>
  <c r="B1165" i="2"/>
  <c r="C1165" i="2"/>
  <c r="D1165" i="2"/>
  <c r="E1165" i="2"/>
  <c r="F1165" i="2"/>
  <c r="G1165" i="2"/>
  <c r="H1165" i="2"/>
  <c r="I1165" i="2"/>
  <c r="J1165" i="2"/>
  <c r="K1165" i="2"/>
  <c r="L1165" i="2"/>
  <c r="A1165" i="2" s="1"/>
  <c r="M1165" i="2"/>
  <c r="B1166" i="2"/>
  <c r="C1166" i="2"/>
  <c r="D1166" i="2"/>
  <c r="E1166" i="2"/>
  <c r="F1166" i="2"/>
  <c r="G1166" i="2"/>
  <c r="H1166" i="2"/>
  <c r="I1166" i="2"/>
  <c r="J1166" i="2"/>
  <c r="K1166" i="2"/>
  <c r="L1166" i="2"/>
  <c r="A1166" i="2" s="1"/>
  <c r="M1166" i="2"/>
  <c r="B1167" i="2"/>
  <c r="C1167" i="2"/>
  <c r="D1167" i="2"/>
  <c r="E1167" i="2"/>
  <c r="F1167" i="2"/>
  <c r="G1167" i="2"/>
  <c r="H1167" i="2"/>
  <c r="I1167" i="2"/>
  <c r="J1167" i="2"/>
  <c r="K1167" i="2"/>
  <c r="L1167" i="2"/>
  <c r="A1167" i="2" s="1"/>
  <c r="M1167" i="2"/>
  <c r="B1168" i="2"/>
  <c r="C1168" i="2"/>
  <c r="D1168" i="2"/>
  <c r="E1168" i="2"/>
  <c r="F1168" i="2"/>
  <c r="G1168" i="2"/>
  <c r="H1168" i="2"/>
  <c r="I1168" i="2"/>
  <c r="J1168" i="2"/>
  <c r="K1168" i="2"/>
  <c r="L1168" i="2"/>
  <c r="A1168" i="2" s="1"/>
  <c r="M1168" i="2"/>
  <c r="B1169" i="2"/>
  <c r="C1169" i="2"/>
  <c r="D1169" i="2"/>
  <c r="E1169" i="2"/>
  <c r="F1169" i="2"/>
  <c r="G1169" i="2"/>
  <c r="H1169" i="2"/>
  <c r="I1169" i="2"/>
  <c r="J1169" i="2"/>
  <c r="K1169" i="2"/>
  <c r="L1169" i="2"/>
  <c r="A1169" i="2" s="1"/>
  <c r="M1169" i="2"/>
  <c r="B1170" i="2"/>
  <c r="C1170" i="2"/>
  <c r="D1170" i="2"/>
  <c r="E1170" i="2"/>
  <c r="F1170" i="2"/>
  <c r="G1170" i="2"/>
  <c r="H1170" i="2"/>
  <c r="I1170" i="2"/>
  <c r="J1170" i="2"/>
  <c r="K1170" i="2"/>
  <c r="L1170" i="2"/>
  <c r="A1170" i="2" s="1"/>
  <c r="M1170" i="2"/>
  <c r="B1171" i="2"/>
  <c r="C1171" i="2"/>
  <c r="D1171" i="2"/>
  <c r="E1171" i="2"/>
  <c r="F1171" i="2"/>
  <c r="G1171" i="2"/>
  <c r="H1171" i="2"/>
  <c r="I1171" i="2"/>
  <c r="J1171" i="2"/>
  <c r="K1171" i="2"/>
  <c r="L1171" i="2"/>
  <c r="A1171" i="2" s="1"/>
  <c r="M1171" i="2"/>
  <c r="B1172" i="2"/>
  <c r="C1172" i="2"/>
  <c r="D1172" i="2"/>
  <c r="E1172" i="2"/>
  <c r="F1172" i="2"/>
  <c r="G1172" i="2"/>
  <c r="H1172" i="2"/>
  <c r="I1172" i="2"/>
  <c r="J1172" i="2"/>
  <c r="K1172" i="2"/>
  <c r="L1172" i="2"/>
  <c r="A1172" i="2" s="1"/>
  <c r="M1172" i="2"/>
  <c r="B1173" i="2"/>
  <c r="C1173" i="2"/>
  <c r="D1173" i="2"/>
  <c r="E1173" i="2"/>
  <c r="F1173" i="2"/>
  <c r="G1173" i="2"/>
  <c r="H1173" i="2"/>
  <c r="I1173" i="2"/>
  <c r="J1173" i="2"/>
  <c r="K1173" i="2"/>
  <c r="L1173" i="2"/>
  <c r="A1173" i="2" s="1"/>
  <c r="M1173" i="2"/>
  <c r="B1174" i="2"/>
  <c r="C1174" i="2"/>
  <c r="D1174" i="2"/>
  <c r="E1174" i="2"/>
  <c r="F1174" i="2"/>
  <c r="G1174" i="2"/>
  <c r="H1174" i="2"/>
  <c r="I1174" i="2"/>
  <c r="J1174" i="2"/>
  <c r="K1174" i="2"/>
  <c r="L1174" i="2"/>
  <c r="A1174" i="2" s="1"/>
  <c r="M1174" i="2"/>
  <c r="B1175" i="2"/>
  <c r="C1175" i="2"/>
  <c r="D1175" i="2"/>
  <c r="E1175" i="2"/>
  <c r="F1175" i="2"/>
  <c r="G1175" i="2"/>
  <c r="H1175" i="2"/>
  <c r="I1175" i="2"/>
  <c r="J1175" i="2"/>
  <c r="K1175" i="2"/>
  <c r="L1175" i="2"/>
  <c r="A1175" i="2" s="1"/>
  <c r="M1175" i="2"/>
  <c r="B1176" i="2"/>
  <c r="C1176" i="2"/>
  <c r="D1176" i="2"/>
  <c r="E1176" i="2"/>
  <c r="F1176" i="2"/>
  <c r="G1176" i="2"/>
  <c r="H1176" i="2"/>
  <c r="I1176" i="2"/>
  <c r="J1176" i="2"/>
  <c r="K1176" i="2"/>
  <c r="L1176" i="2"/>
  <c r="A1176" i="2" s="1"/>
  <c r="M1176" i="2"/>
  <c r="B1177" i="2"/>
  <c r="C1177" i="2"/>
  <c r="D1177" i="2"/>
  <c r="E1177" i="2"/>
  <c r="F1177" i="2"/>
  <c r="G1177" i="2"/>
  <c r="H1177" i="2"/>
  <c r="I1177" i="2"/>
  <c r="J1177" i="2"/>
  <c r="K1177" i="2"/>
  <c r="L1177" i="2"/>
  <c r="A1177" i="2" s="1"/>
  <c r="M1177" i="2"/>
  <c r="B1178" i="2"/>
  <c r="C1178" i="2"/>
  <c r="D1178" i="2"/>
  <c r="E1178" i="2"/>
  <c r="F1178" i="2"/>
  <c r="G1178" i="2"/>
  <c r="H1178" i="2"/>
  <c r="I1178" i="2"/>
  <c r="J1178" i="2"/>
  <c r="K1178" i="2"/>
  <c r="L1178" i="2"/>
  <c r="A1178" i="2" s="1"/>
  <c r="M1178" i="2"/>
  <c r="B1179" i="2"/>
  <c r="C1179" i="2"/>
  <c r="D1179" i="2"/>
  <c r="E1179" i="2"/>
  <c r="F1179" i="2"/>
  <c r="G1179" i="2"/>
  <c r="H1179" i="2"/>
  <c r="I1179" i="2"/>
  <c r="J1179" i="2"/>
  <c r="K1179" i="2"/>
  <c r="L1179" i="2"/>
  <c r="A1179" i="2" s="1"/>
  <c r="M1179" i="2"/>
  <c r="B1180" i="2"/>
  <c r="C1180" i="2"/>
  <c r="D1180" i="2"/>
  <c r="E1180" i="2"/>
  <c r="F1180" i="2"/>
  <c r="G1180" i="2"/>
  <c r="H1180" i="2"/>
  <c r="I1180" i="2"/>
  <c r="J1180" i="2"/>
  <c r="K1180" i="2"/>
  <c r="L1180" i="2"/>
  <c r="A1180" i="2" s="1"/>
  <c r="M1180" i="2"/>
  <c r="B1181" i="2"/>
  <c r="C1181" i="2"/>
  <c r="D1181" i="2"/>
  <c r="E1181" i="2"/>
  <c r="F1181" i="2"/>
  <c r="G1181" i="2"/>
  <c r="H1181" i="2"/>
  <c r="I1181" i="2"/>
  <c r="J1181" i="2"/>
  <c r="K1181" i="2"/>
  <c r="L1181" i="2"/>
  <c r="A1181" i="2" s="1"/>
  <c r="M1181" i="2"/>
  <c r="B1182" i="2"/>
  <c r="C1182" i="2"/>
  <c r="D1182" i="2"/>
  <c r="E1182" i="2"/>
  <c r="F1182" i="2"/>
  <c r="G1182" i="2"/>
  <c r="H1182" i="2"/>
  <c r="I1182" i="2"/>
  <c r="J1182" i="2"/>
  <c r="K1182" i="2"/>
  <c r="L1182" i="2"/>
  <c r="A1182" i="2" s="1"/>
  <c r="M1182" i="2"/>
  <c r="B1183" i="2"/>
  <c r="C1183" i="2"/>
  <c r="D1183" i="2"/>
  <c r="E1183" i="2"/>
  <c r="F1183" i="2"/>
  <c r="G1183" i="2"/>
  <c r="H1183" i="2"/>
  <c r="I1183" i="2"/>
  <c r="J1183" i="2"/>
  <c r="K1183" i="2"/>
  <c r="L1183" i="2"/>
  <c r="A1183" i="2" s="1"/>
  <c r="M1183" i="2"/>
  <c r="B1184" i="2"/>
  <c r="C1184" i="2"/>
  <c r="D1184" i="2"/>
  <c r="E1184" i="2"/>
  <c r="F1184" i="2"/>
  <c r="G1184" i="2"/>
  <c r="H1184" i="2"/>
  <c r="I1184" i="2"/>
  <c r="J1184" i="2"/>
  <c r="K1184" i="2"/>
  <c r="L1184" i="2"/>
  <c r="A1184" i="2" s="1"/>
  <c r="M1184" i="2"/>
  <c r="B1185" i="2"/>
  <c r="C1185" i="2"/>
  <c r="D1185" i="2"/>
  <c r="E1185" i="2"/>
  <c r="F1185" i="2"/>
  <c r="G1185" i="2"/>
  <c r="H1185" i="2"/>
  <c r="I1185" i="2"/>
  <c r="J1185" i="2"/>
  <c r="K1185" i="2"/>
  <c r="L1185" i="2"/>
  <c r="A1185" i="2" s="1"/>
  <c r="M1185" i="2"/>
  <c r="B1186" i="2"/>
  <c r="C1186" i="2"/>
  <c r="D1186" i="2"/>
  <c r="E1186" i="2"/>
  <c r="F1186" i="2"/>
  <c r="G1186" i="2"/>
  <c r="H1186" i="2"/>
  <c r="I1186" i="2"/>
  <c r="J1186" i="2"/>
  <c r="K1186" i="2"/>
  <c r="L1186" i="2"/>
  <c r="A1186" i="2" s="1"/>
  <c r="M1186" i="2"/>
  <c r="B1187" i="2"/>
  <c r="C1187" i="2"/>
  <c r="D1187" i="2"/>
  <c r="E1187" i="2"/>
  <c r="F1187" i="2"/>
  <c r="G1187" i="2"/>
  <c r="H1187" i="2"/>
  <c r="I1187" i="2"/>
  <c r="J1187" i="2"/>
  <c r="K1187" i="2"/>
  <c r="L1187" i="2"/>
  <c r="A1187" i="2" s="1"/>
  <c r="M1187" i="2"/>
  <c r="B1188" i="2"/>
  <c r="C1188" i="2"/>
  <c r="D1188" i="2"/>
  <c r="E1188" i="2"/>
  <c r="F1188" i="2"/>
  <c r="G1188" i="2"/>
  <c r="H1188" i="2"/>
  <c r="I1188" i="2"/>
  <c r="J1188" i="2"/>
  <c r="K1188" i="2"/>
  <c r="L1188" i="2"/>
  <c r="A1188" i="2" s="1"/>
  <c r="M1188" i="2"/>
  <c r="B1189" i="2"/>
  <c r="C1189" i="2"/>
  <c r="D1189" i="2"/>
  <c r="E1189" i="2"/>
  <c r="F1189" i="2"/>
  <c r="G1189" i="2"/>
  <c r="H1189" i="2"/>
  <c r="I1189" i="2"/>
  <c r="J1189" i="2"/>
  <c r="K1189" i="2"/>
  <c r="L1189" i="2"/>
  <c r="A1189" i="2" s="1"/>
  <c r="M1189" i="2"/>
  <c r="B1190" i="2"/>
  <c r="C1190" i="2"/>
  <c r="D1190" i="2"/>
  <c r="E1190" i="2"/>
  <c r="F1190" i="2"/>
  <c r="G1190" i="2"/>
  <c r="H1190" i="2"/>
  <c r="I1190" i="2"/>
  <c r="J1190" i="2"/>
  <c r="K1190" i="2"/>
  <c r="L1190" i="2"/>
  <c r="A1190" i="2" s="1"/>
  <c r="M1190" i="2"/>
  <c r="J66" i="5"/>
  <c r="J67" i="5"/>
  <c r="AC1154" i="10" l="1"/>
  <c r="AC1153" i="10"/>
  <c r="AC1152" i="10"/>
  <c r="AC1151" i="10"/>
  <c r="AC1150" i="10"/>
  <c r="AC1149" i="10"/>
  <c r="AC1148" i="10"/>
  <c r="AC1147" i="10"/>
  <c r="AC1146" i="10"/>
  <c r="AC1145" i="10"/>
  <c r="AC1144" i="10"/>
  <c r="AC1143" i="10"/>
  <c r="AC1142" i="10"/>
  <c r="AC1141" i="10"/>
  <c r="AC1140" i="10"/>
  <c r="AC1139" i="10"/>
  <c r="AC1138" i="10"/>
  <c r="AC1137" i="10"/>
  <c r="AC1136" i="10"/>
  <c r="AC1135" i="10"/>
  <c r="AC1134" i="10"/>
  <c r="AC1133" i="10"/>
  <c r="AC1132" i="10"/>
  <c r="AC1131" i="10"/>
  <c r="AC1130" i="10"/>
  <c r="AC1129" i="10"/>
  <c r="AC1128" i="10"/>
  <c r="AC1127" i="10"/>
  <c r="AC1126" i="10"/>
  <c r="AC1125" i="10"/>
  <c r="AC1124" i="10"/>
  <c r="AC1123" i="10"/>
  <c r="AC1122" i="10"/>
  <c r="AC1121" i="10"/>
  <c r="AC1120" i="10"/>
  <c r="AC1119" i="10"/>
  <c r="AC1118" i="10"/>
  <c r="AC1117" i="10"/>
  <c r="AC1116" i="10"/>
  <c r="AC1115" i="10"/>
  <c r="AC1114" i="10"/>
  <c r="AC1113" i="10"/>
  <c r="AC1112" i="10"/>
  <c r="AC1111" i="10"/>
  <c r="AC1110" i="10"/>
  <c r="AC1109" i="10"/>
  <c r="AC1108" i="10"/>
  <c r="AC1107" i="10"/>
  <c r="AC1106" i="10"/>
  <c r="AC1105" i="10"/>
  <c r="AC1104" i="10"/>
  <c r="AC1103" i="10"/>
  <c r="AC1102" i="10"/>
  <c r="AC1101" i="10"/>
  <c r="AC1100" i="10"/>
  <c r="AC1099" i="10"/>
  <c r="AC1098" i="10"/>
  <c r="AC1097" i="10"/>
  <c r="AC1096" i="10"/>
  <c r="AC1095" i="10"/>
  <c r="AC1094" i="10"/>
  <c r="AC1093" i="10"/>
  <c r="AC1092" i="10"/>
  <c r="AC1091" i="10"/>
  <c r="AC1090" i="10"/>
  <c r="AC1089" i="10"/>
  <c r="AC1088" i="10"/>
  <c r="AC1087" i="10"/>
  <c r="AC1086" i="10"/>
  <c r="AC1085" i="10"/>
  <c r="AC1084" i="10"/>
  <c r="AC1083" i="10"/>
  <c r="AC1082" i="10"/>
  <c r="AC1081" i="10"/>
  <c r="AC1080" i="10"/>
  <c r="AC1079" i="10"/>
  <c r="AC1078" i="10"/>
  <c r="AC1077" i="10"/>
  <c r="AC1076" i="10"/>
  <c r="AC1075" i="10"/>
  <c r="AC1074" i="10"/>
  <c r="AC1073" i="10"/>
  <c r="AC1072" i="10"/>
  <c r="AC1071" i="10"/>
  <c r="AC1070" i="10"/>
  <c r="AC1069" i="10"/>
  <c r="AC1068" i="10"/>
  <c r="AC1067" i="10"/>
  <c r="AC1066" i="10"/>
  <c r="AC1065" i="10"/>
  <c r="AC1064" i="10"/>
  <c r="AC1063" i="10"/>
  <c r="AC1062" i="10"/>
  <c r="AC1061" i="10"/>
  <c r="AC1060" i="10"/>
  <c r="AC1059" i="10"/>
  <c r="AC1058" i="10"/>
  <c r="AC1057" i="10"/>
  <c r="AC1056" i="10"/>
  <c r="AC1055" i="10"/>
  <c r="AC1054" i="10"/>
  <c r="AC1053" i="10"/>
  <c r="AC1052" i="10"/>
  <c r="AC1051" i="10"/>
  <c r="AC1050" i="10"/>
  <c r="AC1049" i="10"/>
  <c r="AC1048" i="10"/>
  <c r="AC1047" i="10"/>
  <c r="AC1046" i="10"/>
  <c r="AC1045" i="10"/>
  <c r="AC1044" i="10"/>
  <c r="AC1043" i="10"/>
  <c r="AC1042" i="10"/>
  <c r="AC1041" i="10"/>
  <c r="AC1040" i="10"/>
  <c r="AC1039" i="10"/>
  <c r="AC1038" i="10"/>
  <c r="AC1037" i="10"/>
  <c r="AC1036" i="10"/>
  <c r="AC1035" i="10"/>
  <c r="AC1034" i="10"/>
  <c r="AC1033" i="10"/>
  <c r="AC1032" i="10"/>
  <c r="AC1031" i="10"/>
  <c r="AC1030" i="10"/>
  <c r="AC1029" i="10"/>
  <c r="AC1028" i="10"/>
  <c r="AC1027" i="10"/>
  <c r="AC1026" i="10"/>
  <c r="AC1025" i="10"/>
  <c r="AC1024" i="10"/>
  <c r="AC1023" i="10"/>
  <c r="AC1022" i="10"/>
  <c r="AC1021" i="10"/>
  <c r="AC1020" i="10"/>
  <c r="AC1019" i="10"/>
  <c r="AC1018" i="10"/>
  <c r="AC1017" i="10"/>
  <c r="AC1016" i="10"/>
  <c r="AC1015" i="10"/>
  <c r="AC1014" i="10"/>
  <c r="AC1013" i="10"/>
  <c r="AC1012" i="10"/>
  <c r="AC1011" i="10"/>
  <c r="AC1010" i="10"/>
  <c r="AC1009" i="10"/>
  <c r="AC1008" i="10"/>
  <c r="AC1007" i="10"/>
  <c r="AC1006" i="10"/>
  <c r="AC1005" i="10"/>
  <c r="AC1004" i="10"/>
  <c r="AC1003" i="10"/>
  <c r="AC1002" i="10"/>
  <c r="AC1001" i="10"/>
  <c r="AC1000" i="10"/>
  <c r="AC999" i="10"/>
  <c r="AC998" i="10"/>
  <c r="AC997" i="10"/>
  <c r="AC996" i="10"/>
  <c r="AC995" i="10"/>
  <c r="AC994" i="10"/>
  <c r="AC993" i="10"/>
  <c r="AC992" i="10"/>
  <c r="AC991" i="10"/>
  <c r="AC990" i="10"/>
  <c r="AC989" i="10"/>
  <c r="AC988" i="10"/>
  <c r="AC987" i="10"/>
  <c r="AC986" i="10"/>
  <c r="AC985" i="10"/>
  <c r="AC984" i="10"/>
  <c r="AC983" i="10"/>
  <c r="AC982" i="10"/>
  <c r="AC981" i="10"/>
  <c r="AC980" i="10"/>
  <c r="AC979" i="10"/>
  <c r="AC978" i="10"/>
  <c r="AC977" i="10"/>
  <c r="AC976" i="10"/>
  <c r="AC975" i="10"/>
  <c r="AC974" i="10"/>
  <c r="AC973" i="10"/>
  <c r="AC972" i="10"/>
  <c r="AC971" i="10"/>
  <c r="AC970" i="10"/>
  <c r="AC969" i="10"/>
  <c r="AC968" i="10"/>
  <c r="AC967" i="10"/>
  <c r="AC966" i="10"/>
  <c r="AC965" i="10"/>
  <c r="AC964" i="10"/>
  <c r="AC963" i="10"/>
  <c r="AC962" i="10"/>
  <c r="AC961" i="10"/>
  <c r="AC960" i="10"/>
  <c r="AC959" i="10"/>
  <c r="AC958" i="10"/>
  <c r="AC957" i="10"/>
  <c r="AC956" i="10"/>
  <c r="AC955" i="10"/>
  <c r="AC954" i="10"/>
  <c r="AC953" i="10"/>
  <c r="AC952" i="10"/>
  <c r="AC951" i="10"/>
  <c r="AC950" i="10"/>
  <c r="AC949" i="10"/>
  <c r="AC948" i="10"/>
  <c r="AC947" i="10"/>
  <c r="AC946" i="10"/>
  <c r="AC945" i="10"/>
  <c r="AC944" i="10"/>
  <c r="AC943" i="10"/>
  <c r="AC942" i="10"/>
  <c r="AC941" i="10"/>
  <c r="AC940" i="10"/>
  <c r="AC939" i="10"/>
  <c r="AC938" i="10"/>
  <c r="AC937" i="10"/>
  <c r="AC936" i="10"/>
  <c r="AC935" i="10"/>
  <c r="AC934" i="10"/>
  <c r="AC933" i="10"/>
  <c r="AC932" i="10"/>
  <c r="AC931" i="10"/>
  <c r="AC930" i="10"/>
  <c r="AC929" i="10"/>
  <c r="AC928" i="10"/>
  <c r="AC927" i="10"/>
  <c r="AC926" i="10"/>
  <c r="AC925" i="10"/>
  <c r="AC924" i="10"/>
  <c r="AC923" i="10"/>
  <c r="AC922" i="10"/>
  <c r="AC921" i="10"/>
  <c r="AC920" i="10"/>
  <c r="AC919" i="10"/>
  <c r="AC918" i="10"/>
  <c r="AC917" i="10"/>
  <c r="AC916" i="10"/>
  <c r="AC915" i="10"/>
  <c r="AC914" i="10"/>
  <c r="AC913" i="10"/>
  <c r="AC912" i="10"/>
  <c r="AC911" i="10"/>
  <c r="AC910" i="10"/>
  <c r="AC909" i="10"/>
  <c r="AC908" i="10"/>
  <c r="AC907" i="10"/>
  <c r="AC906" i="10"/>
  <c r="AC905" i="10"/>
  <c r="AC904" i="10"/>
  <c r="AC903" i="10"/>
  <c r="AC902" i="10"/>
  <c r="AC901" i="10"/>
  <c r="AC900" i="10"/>
  <c r="AC899" i="10"/>
  <c r="AC898" i="10"/>
  <c r="AC897" i="10"/>
  <c r="AC896" i="10"/>
  <c r="AC895" i="10"/>
  <c r="AC894" i="10"/>
  <c r="AC893" i="10"/>
  <c r="AC892" i="10"/>
  <c r="AC891" i="10"/>
  <c r="AC890" i="10"/>
  <c r="AC889" i="10"/>
  <c r="AC888" i="10"/>
  <c r="AC887" i="10"/>
  <c r="AC886" i="10"/>
  <c r="AC885" i="10"/>
  <c r="AC884" i="10"/>
  <c r="AC883" i="10"/>
  <c r="AC882" i="10"/>
  <c r="AC881" i="10"/>
  <c r="AC880" i="10"/>
  <c r="AC879" i="10"/>
  <c r="AC878" i="10"/>
  <c r="AC877" i="10"/>
  <c r="AC876" i="10"/>
  <c r="AC875" i="10"/>
  <c r="AC874" i="10"/>
  <c r="AC873" i="10"/>
  <c r="AC872" i="10"/>
  <c r="AC871" i="10"/>
  <c r="AC870" i="10"/>
  <c r="AC869" i="10"/>
  <c r="AC868" i="10"/>
  <c r="AC867" i="10"/>
  <c r="AC866" i="10"/>
  <c r="AC865" i="10"/>
  <c r="AC864" i="10"/>
  <c r="AC863" i="10"/>
  <c r="AC862" i="10"/>
  <c r="AC861" i="10"/>
  <c r="AC860" i="10"/>
  <c r="AC859" i="10"/>
  <c r="AC858" i="10"/>
  <c r="AC857" i="10"/>
  <c r="AC856" i="10"/>
  <c r="AC855" i="10"/>
  <c r="AC854" i="10"/>
  <c r="AC853" i="10"/>
  <c r="AC852" i="10"/>
  <c r="AC851" i="10"/>
  <c r="AC850" i="10"/>
  <c r="AC849" i="10"/>
  <c r="AC848" i="10"/>
  <c r="AC847" i="10"/>
  <c r="AC846" i="10"/>
  <c r="AC845" i="10"/>
  <c r="AC844" i="10"/>
  <c r="AC843" i="10"/>
  <c r="AC842" i="10"/>
  <c r="AC841" i="10"/>
  <c r="AC840" i="10"/>
  <c r="AC839" i="10"/>
  <c r="AC838" i="10"/>
  <c r="AC837" i="10"/>
  <c r="AC836" i="10"/>
  <c r="AC835" i="10"/>
  <c r="AC834" i="10"/>
  <c r="AC833" i="10"/>
  <c r="AC832" i="10"/>
  <c r="AC831" i="10"/>
  <c r="AC830" i="10"/>
  <c r="AC829" i="10"/>
  <c r="AC828" i="10"/>
  <c r="AC827" i="10"/>
  <c r="AC826" i="10"/>
  <c r="AC825" i="10"/>
  <c r="AC824" i="10"/>
  <c r="AC823" i="10"/>
  <c r="AC822" i="10"/>
  <c r="AC821" i="10"/>
  <c r="AC820" i="10"/>
  <c r="AC819" i="10"/>
  <c r="AC818" i="10"/>
  <c r="AC817" i="10"/>
  <c r="AC816" i="10"/>
  <c r="AC815" i="10"/>
  <c r="AC814" i="10"/>
  <c r="AC813" i="10"/>
  <c r="AC812" i="10"/>
  <c r="AC811" i="10"/>
  <c r="AC810" i="10"/>
  <c r="AC809" i="10"/>
  <c r="AC808" i="10"/>
  <c r="AC807" i="10"/>
  <c r="AC806" i="10"/>
  <c r="AC805" i="10"/>
  <c r="AC804" i="10"/>
  <c r="AC803" i="10"/>
  <c r="AC802" i="10"/>
  <c r="AC801" i="10"/>
  <c r="AC800" i="10"/>
  <c r="AC799" i="10"/>
  <c r="AC798" i="10"/>
  <c r="AC797" i="10"/>
  <c r="AC796" i="10"/>
  <c r="AC795" i="10"/>
  <c r="B794" i="10"/>
  <c r="C794" i="10"/>
  <c r="D794" i="10"/>
  <c r="E794" i="10"/>
  <c r="F794" i="10"/>
  <c r="G794" i="10"/>
  <c r="H794" i="10"/>
  <c r="I794" i="10"/>
  <c r="J794" i="10"/>
  <c r="K794" i="10"/>
  <c r="L794" i="10"/>
  <c r="A794" i="10" s="1"/>
  <c r="M794" i="10"/>
  <c r="B795" i="10"/>
  <c r="C795" i="10"/>
  <c r="D795" i="10"/>
  <c r="E795" i="10"/>
  <c r="F795" i="10"/>
  <c r="G795" i="10"/>
  <c r="H795" i="10"/>
  <c r="I795" i="10"/>
  <c r="J795" i="10"/>
  <c r="K795" i="10"/>
  <c r="L795" i="10"/>
  <c r="A795" i="10" s="1"/>
  <c r="M795" i="10"/>
  <c r="B796" i="10"/>
  <c r="C796" i="10"/>
  <c r="D796" i="10"/>
  <c r="E796" i="10"/>
  <c r="F796" i="10"/>
  <c r="G796" i="10"/>
  <c r="H796" i="10"/>
  <c r="I796" i="10"/>
  <c r="J796" i="10"/>
  <c r="K796" i="10"/>
  <c r="L796" i="10"/>
  <c r="A796" i="10" s="1"/>
  <c r="M796" i="10"/>
  <c r="B797" i="10"/>
  <c r="C797" i="10"/>
  <c r="D797" i="10"/>
  <c r="E797" i="10"/>
  <c r="F797" i="10"/>
  <c r="G797" i="10"/>
  <c r="H797" i="10"/>
  <c r="I797" i="10"/>
  <c r="J797" i="10"/>
  <c r="K797" i="10"/>
  <c r="L797" i="10"/>
  <c r="A797" i="10" s="1"/>
  <c r="M797" i="10"/>
  <c r="B798" i="10"/>
  <c r="C798" i="10"/>
  <c r="D798" i="10"/>
  <c r="E798" i="10"/>
  <c r="F798" i="10"/>
  <c r="G798" i="10"/>
  <c r="H798" i="10"/>
  <c r="I798" i="10"/>
  <c r="J798" i="10"/>
  <c r="K798" i="10"/>
  <c r="L798" i="10"/>
  <c r="A798" i="10" s="1"/>
  <c r="M798" i="10"/>
  <c r="B799" i="10"/>
  <c r="C799" i="10"/>
  <c r="D799" i="10"/>
  <c r="E799" i="10"/>
  <c r="F799" i="10"/>
  <c r="G799" i="10"/>
  <c r="H799" i="10"/>
  <c r="I799" i="10"/>
  <c r="J799" i="10"/>
  <c r="K799" i="10"/>
  <c r="L799" i="10"/>
  <c r="A799" i="10" s="1"/>
  <c r="M799" i="10"/>
  <c r="B800" i="10"/>
  <c r="C800" i="10"/>
  <c r="D800" i="10"/>
  <c r="E800" i="10"/>
  <c r="F800" i="10"/>
  <c r="G800" i="10"/>
  <c r="H800" i="10"/>
  <c r="I800" i="10"/>
  <c r="J800" i="10"/>
  <c r="K800" i="10"/>
  <c r="L800" i="10"/>
  <c r="A800" i="10" s="1"/>
  <c r="M800" i="10"/>
  <c r="B801" i="10"/>
  <c r="C801" i="10"/>
  <c r="D801" i="10"/>
  <c r="E801" i="10"/>
  <c r="F801" i="10"/>
  <c r="G801" i="10"/>
  <c r="H801" i="10"/>
  <c r="I801" i="10"/>
  <c r="J801" i="10"/>
  <c r="K801" i="10"/>
  <c r="L801" i="10"/>
  <c r="A801" i="10" s="1"/>
  <c r="M801" i="10"/>
  <c r="B802" i="10"/>
  <c r="C802" i="10"/>
  <c r="D802" i="10"/>
  <c r="E802" i="10"/>
  <c r="F802" i="10"/>
  <c r="G802" i="10"/>
  <c r="H802" i="10"/>
  <c r="I802" i="10"/>
  <c r="J802" i="10"/>
  <c r="K802" i="10"/>
  <c r="L802" i="10"/>
  <c r="A802" i="10" s="1"/>
  <c r="M802" i="10"/>
  <c r="B803" i="10"/>
  <c r="C803" i="10"/>
  <c r="D803" i="10"/>
  <c r="E803" i="10"/>
  <c r="F803" i="10"/>
  <c r="G803" i="10"/>
  <c r="H803" i="10"/>
  <c r="I803" i="10"/>
  <c r="J803" i="10"/>
  <c r="K803" i="10"/>
  <c r="L803" i="10"/>
  <c r="A803" i="10" s="1"/>
  <c r="M803" i="10"/>
  <c r="B804" i="10"/>
  <c r="C804" i="10"/>
  <c r="D804" i="10"/>
  <c r="E804" i="10"/>
  <c r="F804" i="10"/>
  <c r="G804" i="10"/>
  <c r="H804" i="10"/>
  <c r="I804" i="10"/>
  <c r="J804" i="10"/>
  <c r="K804" i="10"/>
  <c r="L804" i="10"/>
  <c r="A804" i="10" s="1"/>
  <c r="M804" i="10"/>
  <c r="B805" i="10"/>
  <c r="C805" i="10"/>
  <c r="D805" i="10"/>
  <c r="E805" i="10"/>
  <c r="F805" i="10"/>
  <c r="G805" i="10"/>
  <c r="H805" i="10"/>
  <c r="I805" i="10"/>
  <c r="J805" i="10"/>
  <c r="K805" i="10"/>
  <c r="L805" i="10"/>
  <c r="A805" i="10" s="1"/>
  <c r="M805" i="10"/>
  <c r="B806" i="10"/>
  <c r="C806" i="10"/>
  <c r="D806" i="10"/>
  <c r="E806" i="10"/>
  <c r="F806" i="10"/>
  <c r="G806" i="10"/>
  <c r="H806" i="10"/>
  <c r="I806" i="10"/>
  <c r="J806" i="10"/>
  <c r="K806" i="10"/>
  <c r="L806" i="10"/>
  <c r="A806" i="10" s="1"/>
  <c r="M806" i="10"/>
  <c r="B807" i="10"/>
  <c r="C807" i="10"/>
  <c r="D807" i="10"/>
  <c r="E807" i="10"/>
  <c r="F807" i="10"/>
  <c r="G807" i="10"/>
  <c r="H807" i="10"/>
  <c r="I807" i="10"/>
  <c r="J807" i="10"/>
  <c r="K807" i="10"/>
  <c r="L807" i="10"/>
  <c r="A807" i="10" s="1"/>
  <c r="M807" i="10"/>
  <c r="B808" i="10"/>
  <c r="C808" i="10"/>
  <c r="D808" i="10"/>
  <c r="E808" i="10"/>
  <c r="F808" i="10"/>
  <c r="G808" i="10"/>
  <c r="H808" i="10"/>
  <c r="I808" i="10"/>
  <c r="J808" i="10"/>
  <c r="K808" i="10"/>
  <c r="L808" i="10"/>
  <c r="A808" i="10" s="1"/>
  <c r="M808" i="10"/>
  <c r="B809" i="10"/>
  <c r="C809" i="10"/>
  <c r="D809" i="10"/>
  <c r="E809" i="10"/>
  <c r="F809" i="10"/>
  <c r="G809" i="10"/>
  <c r="H809" i="10"/>
  <c r="I809" i="10"/>
  <c r="J809" i="10"/>
  <c r="K809" i="10"/>
  <c r="L809" i="10"/>
  <c r="A809" i="10" s="1"/>
  <c r="M809" i="10"/>
  <c r="B810" i="10"/>
  <c r="C810" i="10"/>
  <c r="D810" i="10"/>
  <c r="E810" i="10"/>
  <c r="F810" i="10"/>
  <c r="G810" i="10"/>
  <c r="H810" i="10"/>
  <c r="I810" i="10"/>
  <c r="J810" i="10"/>
  <c r="K810" i="10"/>
  <c r="L810" i="10"/>
  <c r="A810" i="10" s="1"/>
  <c r="M810" i="10"/>
  <c r="B811" i="10"/>
  <c r="C811" i="10"/>
  <c r="D811" i="10"/>
  <c r="E811" i="10"/>
  <c r="F811" i="10"/>
  <c r="G811" i="10"/>
  <c r="H811" i="10"/>
  <c r="I811" i="10"/>
  <c r="J811" i="10"/>
  <c r="K811" i="10"/>
  <c r="L811" i="10"/>
  <c r="A811" i="10" s="1"/>
  <c r="M811" i="10"/>
  <c r="B812" i="10"/>
  <c r="C812" i="10"/>
  <c r="D812" i="10"/>
  <c r="E812" i="10"/>
  <c r="F812" i="10"/>
  <c r="G812" i="10"/>
  <c r="H812" i="10"/>
  <c r="I812" i="10"/>
  <c r="J812" i="10"/>
  <c r="K812" i="10"/>
  <c r="L812" i="10"/>
  <c r="A812" i="10" s="1"/>
  <c r="M812" i="10"/>
  <c r="B813" i="10"/>
  <c r="C813" i="10"/>
  <c r="D813" i="10"/>
  <c r="E813" i="10"/>
  <c r="F813" i="10"/>
  <c r="G813" i="10"/>
  <c r="H813" i="10"/>
  <c r="I813" i="10"/>
  <c r="J813" i="10"/>
  <c r="K813" i="10"/>
  <c r="L813" i="10"/>
  <c r="A813" i="10" s="1"/>
  <c r="M813" i="10"/>
  <c r="B814" i="10"/>
  <c r="C814" i="10"/>
  <c r="D814" i="10"/>
  <c r="E814" i="10"/>
  <c r="F814" i="10"/>
  <c r="G814" i="10"/>
  <c r="H814" i="10"/>
  <c r="I814" i="10"/>
  <c r="J814" i="10"/>
  <c r="K814" i="10"/>
  <c r="L814" i="10"/>
  <c r="A814" i="10" s="1"/>
  <c r="M814" i="10"/>
  <c r="B815" i="10"/>
  <c r="C815" i="10"/>
  <c r="D815" i="10"/>
  <c r="E815" i="10"/>
  <c r="F815" i="10"/>
  <c r="G815" i="10"/>
  <c r="H815" i="10"/>
  <c r="I815" i="10"/>
  <c r="J815" i="10"/>
  <c r="K815" i="10"/>
  <c r="L815" i="10"/>
  <c r="A815" i="10" s="1"/>
  <c r="M815" i="10"/>
  <c r="B816" i="10"/>
  <c r="C816" i="10"/>
  <c r="D816" i="10"/>
  <c r="E816" i="10"/>
  <c r="F816" i="10"/>
  <c r="G816" i="10"/>
  <c r="H816" i="10"/>
  <c r="I816" i="10"/>
  <c r="J816" i="10"/>
  <c r="K816" i="10"/>
  <c r="L816" i="10"/>
  <c r="A816" i="10" s="1"/>
  <c r="M816" i="10"/>
  <c r="B817" i="10"/>
  <c r="C817" i="10"/>
  <c r="D817" i="10"/>
  <c r="E817" i="10"/>
  <c r="F817" i="10"/>
  <c r="G817" i="10"/>
  <c r="H817" i="10"/>
  <c r="I817" i="10"/>
  <c r="J817" i="10"/>
  <c r="K817" i="10"/>
  <c r="L817" i="10"/>
  <c r="A817" i="10" s="1"/>
  <c r="M817" i="10"/>
  <c r="B818" i="10"/>
  <c r="C818" i="10"/>
  <c r="D818" i="10"/>
  <c r="E818" i="10"/>
  <c r="F818" i="10"/>
  <c r="G818" i="10"/>
  <c r="H818" i="10"/>
  <c r="I818" i="10"/>
  <c r="J818" i="10"/>
  <c r="K818" i="10"/>
  <c r="L818" i="10"/>
  <c r="A818" i="10" s="1"/>
  <c r="M818" i="10"/>
  <c r="B819" i="10"/>
  <c r="C819" i="10"/>
  <c r="D819" i="10"/>
  <c r="E819" i="10"/>
  <c r="F819" i="10"/>
  <c r="G819" i="10"/>
  <c r="H819" i="10"/>
  <c r="I819" i="10"/>
  <c r="J819" i="10"/>
  <c r="K819" i="10"/>
  <c r="L819" i="10"/>
  <c r="A819" i="10" s="1"/>
  <c r="M819" i="10"/>
  <c r="B820" i="10"/>
  <c r="C820" i="10"/>
  <c r="D820" i="10"/>
  <c r="E820" i="10"/>
  <c r="F820" i="10"/>
  <c r="G820" i="10"/>
  <c r="H820" i="10"/>
  <c r="I820" i="10"/>
  <c r="J820" i="10"/>
  <c r="K820" i="10"/>
  <c r="L820" i="10"/>
  <c r="A820" i="10" s="1"/>
  <c r="M820" i="10"/>
  <c r="B821" i="10"/>
  <c r="C821" i="10"/>
  <c r="D821" i="10"/>
  <c r="E821" i="10"/>
  <c r="F821" i="10"/>
  <c r="G821" i="10"/>
  <c r="H821" i="10"/>
  <c r="I821" i="10"/>
  <c r="J821" i="10"/>
  <c r="K821" i="10"/>
  <c r="L821" i="10"/>
  <c r="A821" i="10" s="1"/>
  <c r="M821" i="10"/>
  <c r="B822" i="10"/>
  <c r="C822" i="10"/>
  <c r="D822" i="10"/>
  <c r="E822" i="10"/>
  <c r="F822" i="10"/>
  <c r="G822" i="10"/>
  <c r="H822" i="10"/>
  <c r="I822" i="10"/>
  <c r="J822" i="10"/>
  <c r="K822" i="10"/>
  <c r="L822" i="10"/>
  <c r="A822" i="10" s="1"/>
  <c r="M822" i="10"/>
  <c r="B823" i="10"/>
  <c r="C823" i="10"/>
  <c r="D823" i="10"/>
  <c r="E823" i="10"/>
  <c r="F823" i="10"/>
  <c r="G823" i="10"/>
  <c r="H823" i="10"/>
  <c r="I823" i="10"/>
  <c r="J823" i="10"/>
  <c r="K823" i="10"/>
  <c r="L823" i="10"/>
  <c r="A823" i="10" s="1"/>
  <c r="M823" i="10"/>
  <c r="B824" i="10"/>
  <c r="C824" i="10"/>
  <c r="D824" i="10"/>
  <c r="E824" i="10"/>
  <c r="F824" i="10"/>
  <c r="G824" i="10"/>
  <c r="H824" i="10"/>
  <c r="I824" i="10"/>
  <c r="J824" i="10"/>
  <c r="K824" i="10"/>
  <c r="L824" i="10"/>
  <c r="A824" i="10" s="1"/>
  <c r="M824" i="10"/>
  <c r="B825" i="10"/>
  <c r="C825" i="10"/>
  <c r="D825" i="10"/>
  <c r="E825" i="10"/>
  <c r="F825" i="10"/>
  <c r="G825" i="10"/>
  <c r="H825" i="10"/>
  <c r="I825" i="10"/>
  <c r="J825" i="10"/>
  <c r="K825" i="10"/>
  <c r="L825" i="10"/>
  <c r="A825" i="10" s="1"/>
  <c r="M825" i="10"/>
  <c r="B826" i="10"/>
  <c r="C826" i="10"/>
  <c r="D826" i="10"/>
  <c r="E826" i="10"/>
  <c r="F826" i="10"/>
  <c r="G826" i="10"/>
  <c r="H826" i="10"/>
  <c r="I826" i="10"/>
  <c r="J826" i="10"/>
  <c r="K826" i="10"/>
  <c r="L826" i="10"/>
  <c r="A826" i="10" s="1"/>
  <c r="M826" i="10"/>
  <c r="B827" i="10"/>
  <c r="C827" i="10"/>
  <c r="D827" i="10"/>
  <c r="E827" i="10"/>
  <c r="F827" i="10"/>
  <c r="G827" i="10"/>
  <c r="H827" i="10"/>
  <c r="I827" i="10"/>
  <c r="J827" i="10"/>
  <c r="K827" i="10"/>
  <c r="L827" i="10"/>
  <c r="A827" i="10" s="1"/>
  <c r="M827" i="10"/>
  <c r="B828" i="10"/>
  <c r="C828" i="10"/>
  <c r="D828" i="10"/>
  <c r="E828" i="10"/>
  <c r="F828" i="10"/>
  <c r="G828" i="10"/>
  <c r="H828" i="10"/>
  <c r="I828" i="10"/>
  <c r="J828" i="10"/>
  <c r="K828" i="10"/>
  <c r="L828" i="10"/>
  <c r="A828" i="10" s="1"/>
  <c r="M828" i="10"/>
  <c r="B829" i="10"/>
  <c r="C829" i="10"/>
  <c r="D829" i="10"/>
  <c r="E829" i="10"/>
  <c r="F829" i="10"/>
  <c r="G829" i="10"/>
  <c r="H829" i="10"/>
  <c r="I829" i="10"/>
  <c r="J829" i="10"/>
  <c r="K829" i="10"/>
  <c r="L829" i="10"/>
  <c r="A829" i="10" s="1"/>
  <c r="M829" i="10"/>
  <c r="B830" i="10"/>
  <c r="C830" i="10"/>
  <c r="D830" i="10"/>
  <c r="E830" i="10"/>
  <c r="F830" i="10"/>
  <c r="G830" i="10"/>
  <c r="H830" i="10"/>
  <c r="I830" i="10"/>
  <c r="J830" i="10"/>
  <c r="K830" i="10"/>
  <c r="L830" i="10"/>
  <c r="A830" i="10" s="1"/>
  <c r="M830" i="10"/>
  <c r="B831" i="10"/>
  <c r="C831" i="10"/>
  <c r="D831" i="10"/>
  <c r="E831" i="10"/>
  <c r="F831" i="10"/>
  <c r="G831" i="10"/>
  <c r="H831" i="10"/>
  <c r="I831" i="10"/>
  <c r="J831" i="10"/>
  <c r="K831" i="10"/>
  <c r="L831" i="10"/>
  <c r="A831" i="10" s="1"/>
  <c r="M831" i="10"/>
  <c r="B832" i="10"/>
  <c r="C832" i="10"/>
  <c r="D832" i="10"/>
  <c r="E832" i="10"/>
  <c r="F832" i="10"/>
  <c r="G832" i="10"/>
  <c r="H832" i="10"/>
  <c r="I832" i="10"/>
  <c r="J832" i="10"/>
  <c r="K832" i="10"/>
  <c r="L832" i="10"/>
  <c r="A832" i="10" s="1"/>
  <c r="M832" i="10"/>
  <c r="B833" i="10"/>
  <c r="C833" i="10"/>
  <c r="D833" i="10"/>
  <c r="E833" i="10"/>
  <c r="F833" i="10"/>
  <c r="G833" i="10"/>
  <c r="H833" i="10"/>
  <c r="I833" i="10"/>
  <c r="J833" i="10"/>
  <c r="K833" i="10"/>
  <c r="L833" i="10"/>
  <c r="A833" i="10" s="1"/>
  <c r="M833" i="10"/>
  <c r="B834" i="10"/>
  <c r="C834" i="10"/>
  <c r="D834" i="10"/>
  <c r="E834" i="10"/>
  <c r="F834" i="10"/>
  <c r="G834" i="10"/>
  <c r="H834" i="10"/>
  <c r="I834" i="10"/>
  <c r="J834" i="10"/>
  <c r="K834" i="10"/>
  <c r="L834" i="10"/>
  <c r="A834" i="10" s="1"/>
  <c r="M834" i="10"/>
  <c r="B835" i="10"/>
  <c r="C835" i="10"/>
  <c r="D835" i="10"/>
  <c r="E835" i="10"/>
  <c r="F835" i="10"/>
  <c r="G835" i="10"/>
  <c r="H835" i="10"/>
  <c r="I835" i="10"/>
  <c r="J835" i="10"/>
  <c r="K835" i="10"/>
  <c r="L835" i="10"/>
  <c r="A835" i="10" s="1"/>
  <c r="M835" i="10"/>
  <c r="B836" i="10"/>
  <c r="C836" i="10"/>
  <c r="D836" i="10"/>
  <c r="E836" i="10"/>
  <c r="F836" i="10"/>
  <c r="G836" i="10"/>
  <c r="H836" i="10"/>
  <c r="I836" i="10"/>
  <c r="J836" i="10"/>
  <c r="K836" i="10"/>
  <c r="L836" i="10"/>
  <c r="A836" i="10" s="1"/>
  <c r="M836" i="10"/>
  <c r="B837" i="10"/>
  <c r="C837" i="10"/>
  <c r="D837" i="10"/>
  <c r="E837" i="10"/>
  <c r="F837" i="10"/>
  <c r="G837" i="10"/>
  <c r="H837" i="10"/>
  <c r="I837" i="10"/>
  <c r="J837" i="10"/>
  <c r="K837" i="10"/>
  <c r="L837" i="10"/>
  <c r="A837" i="10" s="1"/>
  <c r="M837" i="10"/>
  <c r="B838" i="10"/>
  <c r="C838" i="10"/>
  <c r="D838" i="10"/>
  <c r="E838" i="10"/>
  <c r="F838" i="10"/>
  <c r="G838" i="10"/>
  <c r="H838" i="10"/>
  <c r="I838" i="10"/>
  <c r="J838" i="10"/>
  <c r="K838" i="10"/>
  <c r="L838" i="10"/>
  <c r="A838" i="10" s="1"/>
  <c r="M838" i="10"/>
  <c r="B839" i="10"/>
  <c r="C839" i="10"/>
  <c r="D839" i="10"/>
  <c r="E839" i="10"/>
  <c r="F839" i="10"/>
  <c r="G839" i="10"/>
  <c r="H839" i="10"/>
  <c r="I839" i="10"/>
  <c r="J839" i="10"/>
  <c r="K839" i="10"/>
  <c r="L839" i="10"/>
  <c r="A839" i="10" s="1"/>
  <c r="M839" i="10"/>
  <c r="B840" i="10"/>
  <c r="C840" i="10"/>
  <c r="D840" i="10"/>
  <c r="E840" i="10"/>
  <c r="F840" i="10"/>
  <c r="G840" i="10"/>
  <c r="H840" i="10"/>
  <c r="I840" i="10"/>
  <c r="J840" i="10"/>
  <c r="K840" i="10"/>
  <c r="L840" i="10"/>
  <c r="A840" i="10" s="1"/>
  <c r="M840" i="10"/>
  <c r="B841" i="10"/>
  <c r="C841" i="10"/>
  <c r="D841" i="10"/>
  <c r="E841" i="10"/>
  <c r="F841" i="10"/>
  <c r="G841" i="10"/>
  <c r="H841" i="10"/>
  <c r="I841" i="10"/>
  <c r="J841" i="10"/>
  <c r="K841" i="10"/>
  <c r="L841" i="10"/>
  <c r="A841" i="10" s="1"/>
  <c r="M841" i="10"/>
  <c r="B842" i="10"/>
  <c r="C842" i="10"/>
  <c r="D842" i="10"/>
  <c r="E842" i="10"/>
  <c r="F842" i="10"/>
  <c r="G842" i="10"/>
  <c r="H842" i="10"/>
  <c r="I842" i="10"/>
  <c r="J842" i="10"/>
  <c r="K842" i="10"/>
  <c r="L842" i="10"/>
  <c r="A842" i="10" s="1"/>
  <c r="M842" i="10"/>
  <c r="B843" i="10"/>
  <c r="C843" i="10"/>
  <c r="D843" i="10"/>
  <c r="E843" i="10"/>
  <c r="F843" i="10"/>
  <c r="G843" i="10"/>
  <c r="H843" i="10"/>
  <c r="I843" i="10"/>
  <c r="J843" i="10"/>
  <c r="K843" i="10"/>
  <c r="L843" i="10"/>
  <c r="A843" i="10" s="1"/>
  <c r="M843" i="10"/>
  <c r="B844" i="10"/>
  <c r="C844" i="10"/>
  <c r="D844" i="10"/>
  <c r="E844" i="10"/>
  <c r="F844" i="10"/>
  <c r="G844" i="10"/>
  <c r="H844" i="10"/>
  <c r="I844" i="10"/>
  <c r="J844" i="10"/>
  <c r="K844" i="10"/>
  <c r="L844" i="10"/>
  <c r="A844" i="10" s="1"/>
  <c r="M844" i="10"/>
  <c r="B845" i="10"/>
  <c r="C845" i="10"/>
  <c r="D845" i="10"/>
  <c r="E845" i="10"/>
  <c r="F845" i="10"/>
  <c r="G845" i="10"/>
  <c r="H845" i="10"/>
  <c r="I845" i="10"/>
  <c r="J845" i="10"/>
  <c r="K845" i="10"/>
  <c r="L845" i="10"/>
  <c r="A845" i="10" s="1"/>
  <c r="M845" i="10"/>
  <c r="B846" i="10"/>
  <c r="C846" i="10"/>
  <c r="D846" i="10"/>
  <c r="E846" i="10"/>
  <c r="F846" i="10"/>
  <c r="G846" i="10"/>
  <c r="H846" i="10"/>
  <c r="I846" i="10"/>
  <c r="J846" i="10"/>
  <c r="K846" i="10"/>
  <c r="L846" i="10"/>
  <c r="A846" i="10" s="1"/>
  <c r="M846" i="10"/>
  <c r="B847" i="10"/>
  <c r="C847" i="10"/>
  <c r="D847" i="10"/>
  <c r="E847" i="10"/>
  <c r="F847" i="10"/>
  <c r="G847" i="10"/>
  <c r="H847" i="10"/>
  <c r="I847" i="10"/>
  <c r="J847" i="10"/>
  <c r="K847" i="10"/>
  <c r="L847" i="10"/>
  <c r="A847" i="10" s="1"/>
  <c r="M847" i="10"/>
  <c r="B848" i="10"/>
  <c r="C848" i="10"/>
  <c r="D848" i="10"/>
  <c r="E848" i="10"/>
  <c r="F848" i="10"/>
  <c r="G848" i="10"/>
  <c r="H848" i="10"/>
  <c r="I848" i="10"/>
  <c r="J848" i="10"/>
  <c r="K848" i="10"/>
  <c r="L848" i="10"/>
  <c r="A848" i="10" s="1"/>
  <c r="M848" i="10"/>
  <c r="B849" i="10"/>
  <c r="C849" i="10"/>
  <c r="D849" i="10"/>
  <c r="E849" i="10"/>
  <c r="F849" i="10"/>
  <c r="G849" i="10"/>
  <c r="H849" i="10"/>
  <c r="I849" i="10"/>
  <c r="J849" i="10"/>
  <c r="K849" i="10"/>
  <c r="L849" i="10"/>
  <c r="A849" i="10" s="1"/>
  <c r="M849" i="10"/>
  <c r="B850" i="10"/>
  <c r="C850" i="10"/>
  <c r="D850" i="10"/>
  <c r="E850" i="10"/>
  <c r="F850" i="10"/>
  <c r="G850" i="10"/>
  <c r="H850" i="10"/>
  <c r="I850" i="10"/>
  <c r="J850" i="10"/>
  <c r="K850" i="10"/>
  <c r="L850" i="10"/>
  <c r="A850" i="10" s="1"/>
  <c r="M850" i="10"/>
  <c r="B851" i="10"/>
  <c r="C851" i="10"/>
  <c r="D851" i="10"/>
  <c r="E851" i="10"/>
  <c r="F851" i="10"/>
  <c r="G851" i="10"/>
  <c r="H851" i="10"/>
  <c r="I851" i="10"/>
  <c r="J851" i="10"/>
  <c r="K851" i="10"/>
  <c r="L851" i="10"/>
  <c r="A851" i="10" s="1"/>
  <c r="M851" i="10"/>
  <c r="B852" i="10"/>
  <c r="C852" i="10"/>
  <c r="D852" i="10"/>
  <c r="E852" i="10"/>
  <c r="F852" i="10"/>
  <c r="G852" i="10"/>
  <c r="H852" i="10"/>
  <c r="I852" i="10"/>
  <c r="J852" i="10"/>
  <c r="K852" i="10"/>
  <c r="L852" i="10"/>
  <c r="A852" i="10" s="1"/>
  <c r="M852" i="10"/>
  <c r="B853" i="10"/>
  <c r="C853" i="10"/>
  <c r="D853" i="10"/>
  <c r="E853" i="10"/>
  <c r="F853" i="10"/>
  <c r="G853" i="10"/>
  <c r="H853" i="10"/>
  <c r="I853" i="10"/>
  <c r="J853" i="10"/>
  <c r="K853" i="10"/>
  <c r="L853" i="10"/>
  <c r="A853" i="10" s="1"/>
  <c r="M853" i="10"/>
  <c r="B854" i="10"/>
  <c r="C854" i="10"/>
  <c r="D854" i="10"/>
  <c r="E854" i="10"/>
  <c r="F854" i="10"/>
  <c r="G854" i="10"/>
  <c r="H854" i="10"/>
  <c r="I854" i="10"/>
  <c r="J854" i="10"/>
  <c r="K854" i="10"/>
  <c r="L854" i="10"/>
  <c r="A854" i="10" s="1"/>
  <c r="M854" i="10"/>
  <c r="B855" i="10"/>
  <c r="C855" i="10"/>
  <c r="D855" i="10"/>
  <c r="E855" i="10"/>
  <c r="F855" i="10"/>
  <c r="G855" i="10"/>
  <c r="H855" i="10"/>
  <c r="I855" i="10"/>
  <c r="J855" i="10"/>
  <c r="K855" i="10"/>
  <c r="L855" i="10"/>
  <c r="A855" i="10" s="1"/>
  <c r="M855" i="10"/>
  <c r="B856" i="10"/>
  <c r="C856" i="10"/>
  <c r="D856" i="10"/>
  <c r="E856" i="10"/>
  <c r="F856" i="10"/>
  <c r="G856" i="10"/>
  <c r="H856" i="10"/>
  <c r="I856" i="10"/>
  <c r="J856" i="10"/>
  <c r="K856" i="10"/>
  <c r="L856" i="10"/>
  <c r="A856" i="10" s="1"/>
  <c r="M856" i="10"/>
  <c r="B857" i="10"/>
  <c r="C857" i="10"/>
  <c r="D857" i="10"/>
  <c r="E857" i="10"/>
  <c r="F857" i="10"/>
  <c r="G857" i="10"/>
  <c r="H857" i="10"/>
  <c r="I857" i="10"/>
  <c r="J857" i="10"/>
  <c r="K857" i="10"/>
  <c r="L857" i="10"/>
  <c r="A857" i="10" s="1"/>
  <c r="M857" i="10"/>
  <c r="B858" i="10"/>
  <c r="C858" i="10"/>
  <c r="D858" i="10"/>
  <c r="E858" i="10"/>
  <c r="F858" i="10"/>
  <c r="G858" i="10"/>
  <c r="H858" i="10"/>
  <c r="I858" i="10"/>
  <c r="J858" i="10"/>
  <c r="K858" i="10"/>
  <c r="L858" i="10"/>
  <c r="A858" i="10" s="1"/>
  <c r="M858" i="10"/>
  <c r="B859" i="10"/>
  <c r="C859" i="10"/>
  <c r="D859" i="10"/>
  <c r="E859" i="10"/>
  <c r="F859" i="10"/>
  <c r="G859" i="10"/>
  <c r="H859" i="10"/>
  <c r="I859" i="10"/>
  <c r="J859" i="10"/>
  <c r="K859" i="10"/>
  <c r="L859" i="10"/>
  <c r="A859" i="10" s="1"/>
  <c r="M859" i="10"/>
  <c r="B860" i="10"/>
  <c r="C860" i="10"/>
  <c r="D860" i="10"/>
  <c r="E860" i="10"/>
  <c r="F860" i="10"/>
  <c r="G860" i="10"/>
  <c r="H860" i="10"/>
  <c r="I860" i="10"/>
  <c r="J860" i="10"/>
  <c r="K860" i="10"/>
  <c r="L860" i="10"/>
  <c r="A860" i="10" s="1"/>
  <c r="M860" i="10"/>
  <c r="B861" i="10"/>
  <c r="C861" i="10"/>
  <c r="D861" i="10"/>
  <c r="E861" i="10"/>
  <c r="F861" i="10"/>
  <c r="G861" i="10"/>
  <c r="H861" i="10"/>
  <c r="I861" i="10"/>
  <c r="J861" i="10"/>
  <c r="K861" i="10"/>
  <c r="L861" i="10"/>
  <c r="A861" i="10" s="1"/>
  <c r="M861" i="10"/>
  <c r="B862" i="10"/>
  <c r="C862" i="10"/>
  <c r="D862" i="10"/>
  <c r="E862" i="10"/>
  <c r="F862" i="10"/>
  <c r="G862" i="10"/>
  <c r="H862" i="10"/>
  <c r="I862" i="10"/>
  <c r="J862" i="10"/>
  <c r="K862" i="10"/>
  <c r="L862" i="10"/>
  <c r="A862" i="10" s="1"/>
  <c r="M862" i="10"/>
  <c r="B863" i="10"/>
  <c r="C863" i="10"/>
  <c r="D863" i="10"/>
  <c r="E863" i="10"/>
  <c r="F863" i="10"/>
  <c r="G863" i="10"/>
  <c r="H863" i="10"/>
  <c r="I863" i="10"/>
  <c r="J863" i="10"/>
  <c r="K863" i="10"/>
  <c r="L863" i="10"/>
  <c r="A863" i="10" s="1"/>
  <c r="M863" i="10"/>
  <c r="B864" i="10"/>
  <c r="C864" i="10"/>
  <c r="D864" i="10"/>
  <c r="E864" i="10"/>
  <c r="F864" i="10"/>
  <c r="G864" i="10"/>
  <c r="H864" i="10"/>
  <c r="I864" i="10"/>
  <c r="J864" i="10"/>
  <c r="K864" i="10"/>
  <c r="L864" i="10"/>
  <c r="A864" i="10" s="1"/>
  <c r="M864" i="10"/>
  <c r="B865" i="10"/>
  <c r="C865" i="10"/>
  <c r="D865" i="10"/>
  <c r="E865" i="10"/>
  <c r="F865" i="10"/>
  <c r="G865" i="10"/>
  <c r="H865" i="10"/>
  <c r="I865" i="10"/>
  <c r="J865" i="10"/>
  <c r="K865" i="10"/>
  <c r="L865" i="10"/>
  <c r="A865" i="10" s="1"/>
  <c r="M865" i="10"/>
  <c r="B866" i="10"/>
  <c r="C866" i="10"/>
  <c r="D866" i="10"/>
  <c r="E866" i="10"/>
  <c r="F866" i="10"/>
  <c r="G866" i="10"/>
  <c r="H866" i="10"/>
  <c r="I866" i="10"/>
  <c r="J866" i="10"/>
  <c r="K866" i="10"/>
  <c r="L866" i="10"/>
  <c r="A866" i="10" s="1"/>
  <c r="M866" i="10"/>
  <c r="B867" i="10"/>
  <c r="C867" i="10"/>
  <c r="D867" i="10"/>
  <c r="E867" i="10"/>
  <c r="F867" i="10"/>
  <c r="G867" i="10"/>
  <c r="H867" i="10"/>
  <c r="I867" i="10"/>
  <c r="J867" i="10"/>
  <c r="K867" i="10"/>
  <c r="L867" i="10"/>
  <c r="A867" i="10" s="1"/>
  <c r="M867" i="10"/>
  <c r="B868" i="10"/>
  <c r="C868" i="10"/>
  <c r="D868" i="10"/>
  <c r="E868" i="10"/>
  <c r="F868" i="10"/>
  <c r="G868" i="10"/>
  <c r="H868" i="10"/>
  <c r="I868" i="10"/>
  <c r="J868" i="10"/>
  <c r="K868" i="10"/>
  <c r="L868" i="10"/>
  <c r="A868" i="10" s="1"/>
  <c r="M868" i="10"/>
  <c r="B869" i="10"/>
  <c r="C869" i="10"/>
  <c r="D869" i="10"/>
  <c r="E869" i="10"/>
  <c r="F869" i="10"/>
  <c r="G869" i="10"/>
  <c r="H869" i="10"/>
  <c r="I869" i="10"/>
  <c r="J869" i="10"/>
  <c r="K869" i="10"/>
  <c r="L869" i="10"/>
  <c r="A869" i="10" s="1"/>
  <c r="M869" i="10"/>
  <c r="B870" i="10"/>
  <c r="C870" i="10"/>
  <c r="D870" i="10"/>
  <c r="E870" i="10"/>
  <c r="F870" i="10"/>
  <c r="G870" i="10"/>
  <c r="H870" i="10"/>
  <c r="I870" i="10"/>
  <c r="J870" i="10"/>
  <c r="K870" i="10"/>
  <c r="L870" i="10"/>
  <c r="A870" i="10" s="1"/>
  <c r="M870" i="10"/>
  <c r="B871" i="10"/>
  <c r="C871" i="10"/>
  <c r="D871" i="10"/>
  <c r="E871" i="10"/>
  <c r="F871" i="10"/>
  <c r="G871" i="10"/>
  <c r="H871" i="10"/>
  <c r="I871" i="10"/>
  <c r="J871" i="10"/>
  <c r="K871" i="10"/>
  <c r="L871" i="10"/>
  <c r="A871" i="10" s="1"/>
  <c r="M871" i="10"/>
  <c r="B872" i="10"/>
  <c r="C872" i="10"/>
  <c r="D872" i="10"/>
  <c r="E872" i="10"/>
  <c r="F872" i="10"/>
  <c r="G872" i="10"/>
  <c r="H872" i="10"/>
  <c r="I872" i="10"/>
  <c r="J872" i="10"/>
  <c r="K872" i="10"/>
  <c r="L872" i="10"/>
  <c r="A872" i="10" s="1"/>
  <c r="M872" i="10"/>
  <c r="B873" i="10"/>
  <c r="C873" i="10"/>
  <c r="D873" i="10"/>
  <c r="E873" i="10"/>
  <c r="F873" i="10"/>
  <c r="G873" i="10"/>
  <c r="H873" i="10"/>
  <c r="I873" i="10"/>
  <c r="J873" i="10"/>
  <c r="K873" i="10"/>
  <c r="L873" i="10"/>
  <c r="A873" i="10" s="1"/>
  <c r="M873" i="10"/>
  <c r="B874" i="10"/>
  <c r="C874" i="10"/>
  <c r="D874" i="10"/>
  <c r="E874" i="10"/>
  <c r="F874" i="10"/>
  <c r="G874" i="10"/>
  <c r="H874" i="10"/>
  <c r="I874" i="10"/>
  <c r="J874" i="10"/>
  <c r="K874" i="10"/>
  <c r="L874" i="10"/>
  <c r="A874" i="10" s="1"/>
  <c r="M874" i="10"/>
  <c r="B875" i="10"/>
  <c r="C875" i="10"/>
  <c r="D875" i="10"/>
  <c r="E875" i="10"/>
  <c r="F875" i="10"/>
  <c r="G875" i="10"/>
  <c r="H875" i="10"/>
  <c r="I875" i="10"/>
  <c r="J875" i="10"/>
  <c r="K875" i="10"/>
  <c r="L875" i="10"/>
  <c r="A875" i="10" s="1"/>
  <c r="M875" i="10"/>
  <c r="B876" i="10"/>
  <c r="C876" i="10"/>
  <c r="D876" i="10"/>
  <c r="E876" i="10"/>
  <c r="F876" i="10"/>
  <c r="G876" i="10"/>
  <c r="H876" i="10"/>
  <c r="I876" i="10"/>
  <c r="J876" i="10"/>
  <c r="K876" i="10"/>
  <c r="L876" i="10"/>
  <c r="A876" i="10" s="1"/>
  <c r="M876" i="10"/>
  <c r="B877" i="10"/>
  <c r="C877" i="10"/>
  <c r="D877" i="10"/>
  <c r="E877" i="10"/>
  <c r="F877" i="10"/>
  <c r="G877" i="10"/>
  <c r="H877" i="10"/>
  <c r="I877" i="10"/>
  <c r="J877" i="10"/>
  <c r="K877" i="10"/>
  <c r="L877" i="10"/>
  <c r="A877" i="10" s="1"/>
  <c r="M877" i="10"/>
  <c r="B878" i="10"/>
  <c r="C878" i="10"/>
  <c r="D878" i="10"/>
  <c r="E878" i="10"/>
  <c r="F878" i="10"/>
  <c r="G878" i="10"/>
  <c r="H878" i="10"/>
  <c r="I878" i="10"/>
  <c r="J878" i="10"/>
  <c r="K878" i="10"/>
  <c r="L878" i="10"/>
  <c r="A878" i="10" s="1"/>
  <c r="M878" i="10"/>
  <c r="B879" i="10"/>
  <c r="C879" i="10"/>
  <c r="D879" i="10"/>
  <c r="E879" i="10"/>
  <c r="F879" i="10"/>
  <c r="G879" i="10"/>
  <c r="H879" i="10"/>
  <c r="I879" i="10"/>
  <c r="J879" i="10"/>
  <c r="K879" i="10"/>
  <c r="L879" i="10"/>
  <c r="A879" i="10" s="1"/>
  <c r="M879" i="10"/>
  <c r="B880" i="10"/>
  <c r="C880" i="10"/>
  <c r="D880" i="10"/>
  <c r="E880" i="10"/>
  <c r="F880" i="10"/>
  <c r="G880" i="10"/>
  <c r="H880" i="10"/>
  <c r="I880" i="10"/>
  <c r="J880" i="10"/>
  <c r="K880" i="10"/>
  <c r="L880" i="10"/>
  <c r="A880" i="10" s="1"/>
  <c r="M880" i="10"/>
  <c r="B881" i="10"/>
  <c r="C881" i="10"/>
  <c r="D881" i="10"/>
  <c r="E881" i="10"/>
  <c r="F881" i="10"/>
  <c r="G881" i="10"/>
  <c r="H881" i="10"/>
  <c r="I881" i="10"/>
  <c r="J881" i="10"/>
  <c r="K881" i="10"/>
  <c r="L881" i="10"/>
  <c r="A881" i="10" s="1"/>
  <c r="M881" i="10"/>
  <c r="B882" i="10"/>
  <c r="C882" i="10"/>
  <c r="D882" i="10"/>
  <c r="E882" i="10"/>
  <c r="F882" i="10"/>
  <c r="G882" i="10"/>
  <c r="H882" i="10"/>
  <c r="I882" i="10"/>
  <c r="J882" i="10"/>
  <c r="K882" i="10"/>
  <c r="L882" i="10"/>
  <c r="A882" i="10" s="1"/>
  <c r="M882" i="10"/>
  <c r="B883" i="10"/>
  <c r="C883" i="10"/>
  <c r="D883" i="10"/>
  <c r="E883" i="10"/>
  <c r="F883" i="10"/>
  <c r="G883" i="10"/>
  <c r="H883" i="10"/>
  <c r="I883" i="10"/>
  <c r="J883" i="10"/>
  <c r="K883" i="10"/>
  <c r="L883" i="10"/>
  <c r="A883" i="10" s="1"/>
  <c r="M883" i="10"/>
  <c r="B884" i="10"/>
  <c r="C884" i="10"/>
  <c r="D884" i="10"/>
  <c r="E884" i="10"/>
  <c r="F884" i="10"/>
  <c r="G884" i="10"/>
  <c r="H884" i="10"/>
  <c r="I884" i="10"/>
  <c r="J884" i="10"/>
  <c r="K884" i="10"/>
  <c r="L884" i="10"/>
  <c r="A884" i="10" s="1"/>
  <c r="M884" i="10"/>
  <c r="B885" i="10"/>
  <c r="C885" i="10"/>
  <c r="D885" i="10"/>
  <c r="E885" i="10"/>
  <c r="F885" i="10"/>
  <c r="G885" i="10"/>
  <c r="H885" i="10"/>
  <c r="I885" i="10"/>
  <c r="J885" i="10"/>
  <c r="K885" i="10"/>
  <c r="L885" i="10"/>
  <c r="A885" i="10" s="1"/>
  <c r="M885" i="10"/>
  <c r="B886" i="10"/>
  <c r="C886" i="10"/>
  <c r="D886" i="10"/>
  <c r="E886" i="10"/>
  <c r="F886" i="10"/>
  <c r="G886" i="10"/>
  <c r="H886" i="10"/>
  <c r="I886" i="10"/>
  <c r="J886" i="10"/>
  <c r="K886" i="10"/>
  <c r="L886" i="10"/>
  <c r="A886" i="10" s="1"/>
  <c r="M886" i="10"/>
  <c r="B887" i="10"/>
  <c r="C887" i="10"/>
  <c r="D887" i="10"/>
  <c r="E887" i="10"/>
  <c r="F887" i="10"/>
  <c r="G887" i="10"/>
  <c r="H887" i="10"/>
  <c r="I887" i="10"/>
  <c r="J887" i="10"/>
  <c r="K887" i="10"/>
  <c r="L887" i="10"/>
  <c r="A887" i="10" s="1"/>
  <c r="M887" i="10"/>
  <c r="B888" i="10"/>
  <c r="C888" i="10"/>
  <c r="D888" i="10"/>
  <c r="E888" i="10"/>
  <c r="F888" i="10"/>
  <c r="G888" i="10"/>
  <c r="H888" i="10"/>
  <c r="I888" i="10"/>
  <c r="J888" i="10"/>
  <c r="K888" i="10"/>
  <c r="L888" i="10"/>
  <c r="A888" i="10" s="1"/>
  <c r="M888" i="10"/>
  <c r="B889" i="10"/>
  <c r="C889" i="10"/>
  <c r="D889" i="10"/>
  <c r="E889" i="10"/>
  <c r="F889" i="10"/>
  <c r="G889" i="10"/>
  <c r="H889" i="10"/>
  <c r="I889" i="10"/>
  <c r="J889" i="10"/>
  <c r="K889" i="10"/>
  <c r="L889" i="10"/>
  <c r="A889" i="10" s="1"/>
  <c r="M889" i="10"/>
  <c r="B890" i="10"/>
  <c r="C890" i="10"/>
  <c r="D890" i="10"/>
  <c r="E890" i="10"/>
  <c r="F890" i="10"/>
  <c r="G890" i="10"/>
  <c r="H890" i="10"/>
  <c r="I890" i="10"/>
  <c r="J890" i="10"/>
  <c r="K890" i="10"/>
  <c r="L890" i="10"/>
  <c r="A890" i="10" s="1"/>
  <c r="M890" i="10"/>
  <c r="B891" i="10"/>
  <c r="C891" i="10"/>
  <c r="D891" i="10"/>
  <c r="E891" i="10"/>
  <c r="F891" i="10"/>
  <c r="G891" i="10"/>
  <c r="H891" i="10"/>
  <c r="I891" i="10"/>
  <c r="J891" i="10"/>
  <c r="K891" i="10"/>
  <c r="L891" i="10"/>
  <c r="A891" i="10" s="1"/>
  <c r="M891" i="10"/>
  <c r="B892" i="10"/>
  <c r="C892" i="10"/>
  <c r="D892" i="10"/>
  <c r="E892" i="10"/>
  <c r="F892" i="10"/>
  <c r="G892" i="10"/>
  <c r="H892" i="10"/>
  <c r="I892" i="10"/>
  <c r="J892" i="10"/>
  <c r="K892" i="10"/>
  <c r="L892" i="10"/>
  <c r="A892" i="10" s="1"/>
  <c r="M892" i="10"/>
  <c r="B893" i="10"/>
  <c r="C893" i="10"/>
  <c r="D893" i="10"/>
  <c r="E893" i="10"/>
  <c r="F893" i="10"/>
  <c r="G893" i="10"/>
  <c r="H893" i="10"/>
  <c r="I893" i="10"/>
  <c r="J893" i="10"/>
  <c r="K893" i="10"/>
  <c r="L893" i="10"/>
  <c r="A893" i="10" s="1"/>
  <c r="M893" i="10"/>
  <c r="B894" i="10"/>
  <c r="C894" i="10"/>
  <c r="D894" i="10"/>
  <c r="E894" i="10"/>
  <c r="F894" i="10"/>
  <c r="G894" i="10"/>
  <c r="H894" i="10"/>
  <c r="I894" i="10"/>
  <c r="J894" i="10"/>
  <c r="K894" i="10"/>
  <c r="L894" i="10"/>
  <c r="A894" i="10" s="1"/>
  <c r="M894" i="10"/>
  <c r="B895" i="10"/>
  <c r="C895" i="10"/>
  <c r="D895" i="10"/>
  <c r="E895" i="10"/>
  <c r="F895" i="10"/>
  <c r="G895" i="10"/>
  <c r="H895" i="10"/>
  <c r="I895" i="10"/>
  <c r="J895" i="10"/>
  <c r="K895" i="10"/>
  <c r="L895" i="10"/>
  <c r="A895" i="10" s="1"/>
  <c r="M895" i="10"/>
  <c r="B896" i="10"/>
  <c r="C896" i="10"/>
  <c r="D896" i="10"/>
  <c r="E896" i="10"/>
  <c r="F896" i="10"/>
  <c r="G896" i="10"/>
  <c r="H896" i="10"/>
  <c r="I896" i="10"/>
  <c r="J896" i="10"/>
  <c r="K896" i="10"/>
  <c r="L896" i="10"/>
  <c r="A896" i="10" s="1"/>
  <c r="M896" i="10"/>
  <c r="B897" i="10"/>
  <c r="C897" i="10"/>
  <c r="D897" i="10"/>
  <c r="E897" i="10"/>
  <c r="F897" i="10"/>
  <c r="G897" i="10"/>
  <c r="H897" i="10"/>
  <c r="I897" i="10"/>
  <c r="J897" i="10"/>
  <c r="K897" i="10"/>
  <c r="L897" i="10"/>
  <c r="A897" i="10" s="1"/>
  <c r="M897" i="10"/>
  <c r="B898" i="10"/>
  <c r="C898" i="10"/>
  <c r="D898" i="10"/>
  <c r="E898" i="10"/>
  <c r="F898" i="10"/>
  <c r="G898" i="10"/>
  <c r="H898" i="10"/>
  <c r="I898" i="10"/>
  <c r="J898" i="10"/>
  <c r="K898" i="10"/>
  <c r="L898" i="10"/>
  <c r="A898" i="10" s="1"/>
  <c r="M898" i="10"/>
  <c r="B899" i="10"/>
  <c r="C899" i="10"/>
  <c r="D899" i="10"/>
  <c r="E899" i="10"/>
  <c r="F899" i="10"/>
  <c r="G899" i="10"/>
  <c r="H899" i="10"/>
  <c r="I899" i="10"/>
  <c r="J899" i="10"/>
  <c r="K899" i="10"/>
  <c r="L899" i="10"/>
  <c r="A899" i="10" s="1"/>
  <c r="M899" i="10"/>
  <c r="B900" i="10"/>
  <c r="C900" i="10"/>
  <c r="D900" i="10"/>
  <c r="E900" i="10"/>
  <c r="F900" i="10"/>
  <c r="G900" i="10"/>
  <c r="H900" i="10"/>
  <c r="I900" i="10"/>
  <c r="J900" i="10"/>
  <c r="K900" i="10"/>
  <c r="L900" i="10"/>
  <c r="A900" i="10" s="1"/>
  <c r="M900" i="10"/>
  <c r="B901" i="10"/>
  <c r="C901" i="10"/>
  <c r="D901" i="10"/>
  <c r="E901" i="10"/>
  <c r="F901" i="10"/>
  <c r="G901" i="10"/>
  <c r="H901" i="10"/>
  <c r="I901" i="10"/>
  <c r="J901" i="10"/>
  <c r="K901" i="10"/>
  <c r="L901" i="10"/>
  <c r="A901" i="10" s="1"/>
  <c r="M901" i="10"/>
  <c r="B902" i="10"/>
  <c r="C902" i="10"/>
  <c r="D902" i="10"/>
  <c r="E902" i="10"/>
  <c r="F902" i="10"/>
  <c r="G902" i="10"/>
  <c r="H902" i="10"/>
  <c r="I902" i="10"/>
  <c r="J902" i="10"/>
  <c r="K902" i="10"/>
  <c r="L902" i="10"/>
  <c r="A902" i="10" s="1"/>
  <c r="M902" i="10"/>
  <c r="B903" i="10"/>
  <c r="C903" i="10"/>
  <c r="D903" i="10"/>
  <c r="E903" i="10"/>
  <c r="F903" i="10"/>
  <c r="G903" i="10"/>
  <c r="H903" i="10"/>
  <c r="I903" i="10"/>
  <c r="J903" i="10"/>
  <c r="K903" i="10"/>
  <c r="L903" i="10"/>
  <c r="A903" i="10" s="1"/>
  <c r="M903" i="10"/>
  <c r="B904" i="10"/>
  <c r="C904" i="10"/>
  <c r="D904" i="10"/>
  <c r="E904" i="10"/>
  <c r="F904" i="10"/>
  <c r="G904" i="10"/>
  <c r="H904" i="10"/>
  <c r="I904" i="10"/>
  <c r="J904" i="10"/>
  <c r="K904" i="10"/>
  <c r="L904" i="10"/>
  <c r="A904" i="10" s="1"/>
  <c r="M904" i="10"/>
  <c r="B905" i="10"/>
  <c r="C905" i="10"/>
  <c r="D905" i="10"/>
  <c r="E905" i="10"/>
  <c r="F905" i="10"/>
  <c r="G905" i="10"/>
  <c r="H905" i="10"/>
  <c r="I905" i="10"/>
  <c r="J905" i="10"/>
  <c r="K905" i="10"/>
  <c r="L905" i="10"/>
  <c r="A905" i="10" s="1"/>
  <c r="M905" i="10"/>
  <c r="B906" i="10"/>
  <c r="C906" i="10"/>
  <c r="D906" i="10"/>
  <c r="E906" i="10"/>
  <c r="F906" i="10"/>
  <c r="G906" i="10"/>
  <c r="H906" i="10"/>
  <c r="I906" i="10"/>
  <c r="J906" i="10"/>
  <c r="K906" i="10"/>
  <c r="L906" i="10"/>
  <c r="A906" i="10" s="1"/>
  <c r="M906" i="10"/>
  <c r="B907" i="10"/>
  <c r="C907" i="10"/>
  <c r="D907" i="10"/>
  <c r="E907" i="10"/>
  <c r="F907" i="10"/>
  <c r="G907" i="10"/>
  <c r="H907" i="10"/>
  <c r="I907" i="10"/>
  <c r="J907" i="10"/>
  <c r="K907" i="10"/>
  <c r="L907" i="10"/>
  <c r="A907" i="10" s="1"/>
  <c r="M907" i="10"/>
  <c r="B908" i="10"/>
  <c r="C908" i="10"/>
  <c r="D908" i="10"/>
  <c r="E908" i="10"/>
  <c r="F908" i="10"/>
  <c r="G908" i="10"/>
  <c r="H908" i="10"/>
  <c r="I908" i="10"/>
  <c r="J908" i="10"/>
  <c r="K908" i="10"/>
  <c r="L908" i="10"/>
  <c r="A908" i="10" s="1"/>
  <c r="M908" i="10"/>
  <c r="B909" i="10"/>
  <c r="C909" i="10"/>
  <c r="D909" i="10"/>
  <c r="E909" i="10"/>
  <c r="F909" i="10"/>
  <c r="G909" i="10"/>
  <c r="H909" i="10"/>
  <c r="I909" i="10"/>
  <c r="J909" i="10"/>
  <c r="K909" i="10"/>
  <c r="L909" i="10"/>
  <c r="A909" i="10" s="1"/>
  <c r="M909" i="10"/>
  <c r="B910" i="10"/>
  <c r="C910" i="10"/>
  <c r="D910" i="10"/>
  <c r="E910" i="10"/>
  <c r="F910" i="10"/>
  <c r="G910" i="10"/>
  <c r="H910" i="10"/>
  <c r="I910" i="10"/>
  <c r="J910" i="10"/>
  <c r="K910" i="10"/>
  <c r="L910" i="10"/>
  <c r="A910" i="10" s="1"/>
  <c r="M910" i="10"/>
  <c r="B911" i="10"/>
  <c r="C911" i="10"/>
  <c r="D911" i="10"/>
  <c r="E911" i="10"/>
  <c r="F911" i="10"/>
  <c r="G911" i="10"/>
  <c r="H911" i="10"/>
  <c r="I911" i="10"/>
  <c r="J911" i="10"/>
  <c r="K911" i="10"/>
  <c r="L911" i="10"/>
  <c r="A911" i="10" s="1"/>
  <c r="M911" i="10"/>
  <c r="B912" i="10"/>
  <c r="C912" i="10"/>
  <c r="D912" i="10"/>
  <c r="E912" i="10"/>
  <c r="F912" i="10"/>
  <c r="G912" i="10"/>
  <c r="H912" i="10"/>
  <c r="I912" i="10"/>
  <c r="J912" i="10"/>
  <c r="K912" i="10"/>
  <c r="L912" i="10"/>
  <c r="A912" i="10" s="1"/>
  <c r="M912" i="10"/>
  <c r="B913" i="10"/>
  <c r="C913" i="10"/>
  <c r="D913" i="10"/>
  <c r="E913" i="10"/>
  <c r="F913" i="10"/>
  <c r="G913" i="10"/>
  <c r="H913" i="10"/>
  <c r="I913" i="10"/>
  <c r="J913" i="10"/>
  <c r="K913" i="10"/>
  <c r="L913" i="10"/>
  <c r="A913" i="10" s="1"/>
  <c r="M913" i="10"/>
  <c r="B914" i="10"/>
  <c r="C914" i="10"/>
  <c r="D914" i="10"/>
  <c r="E914" i="10"/>
  <c r="F914" i="10"/>
  <c r="G914" i="10"/>
  <c r="H914" i="10"/>
  <c r="I914" i="10"/>
  <c r="J914" i="10"/>
  <c r="K914" i="10"/>
  <c r="L914" i="10"/>
  <c r="A914" i="10" s="1"/>
  <c r="M914" i="10"/>
  <c r="B915" i="10"/>
  <c r="C915" i="10"/>
  <c r="D915" i="10"/>
  <c r="E915" i="10"/>
  <c r="F915" i="10"/>
  <c r="G915" i="10"/>
  <c r="H915" i="10"/>
  <c r="I915" i="10"/>
  <c r="J915" i="10"/>
  <c r="K915" i="10"/>
  <c r="L915" i="10"/>
  <c r="A915" i="10" s="1"/>
  <c r="M915" i="10"/>
  <c r="B916" i="10"/>
  <c r="C916" i="10"/>
  <c r="D916" i="10"/>
  <c r="E916" i="10"/>
  <c r="F916" i="10"/>
  <c r="G916" i="10"/>
  <c r="H916" i="10"/>
  <c r="I916" i="10"/>
  <c r="J916" i="10"/>
  <c r="K916" i="10"/>
  <c r="L916" i="10"/>
  <c r="A916" i="10" s="1"/>
  <c r="M916" i="10"/>
  <c r="B917" i="10"/>
  <c r="C917" i="10"/>
  <c r="D917" i="10"/>
  <c r="E917" i="10"/>
  <c r="F917" i="10"/>
  <c r="G917" i="10"/>
  <c r="H917" i="10"/>
  <c r="I917" i="10"/>
  <c r="J917" i="10"/>
  <c r="K917" i="10"/>
  <c r="L917" i="10"/>
  <c r="A917" i="10" s="1"/>
  <c r="M917" i="10"/>
  <c r="B918" i="10"/>
  <c r="C918" i="10"/>
  <c r="D918" i="10"/>
  <c r="E918" i="10"/>
  <c r="F918" i="10"/>
  <c r="G918" i="10"/>
  <c r="H918" i="10"/>
  <c r="I918" i="10"/>
  <c r="J918" i="10"/>
  <c r="K918" i="10"/>
  <c r="L918" i="10"/>
  <c r="A918" i="10" s="1"/>
  <c r="M918" i="10"/>
  <c r="B919" i="10"/>
  <c r="C919" i="10"/>
  <c r="D919" i="10"/>
  <c r="E919" i="10"/>
  <c r="F919" i="10"/>
  <c r="G919" i="10"/>
  <c r="H919" i="10"/>
  <c r="I919" i="10"/>
  <c r="J919" i="10"/>
  <c r="K919" i="10"/>
  <c r="L919" i="10"/>
  <c r="A919" i="10" s="1"/>
  <c r="M919" i="10"/>
  <c r="B920" i="10"/>
  <c r="C920" i="10"/>
  <c r="D920" i="10"/>
  <c r="E920" i="10"/>
  <c r="F920" i="10"/>
  <c r="G920" i="10"/>
  <c r="H920" i="10"/>
  <c r="I920" i="10"/>
  <c r="J920" i="10"/>
  <c r="K920" i="10"/>
  <c r="L920" i="10"/>
  <c r="A920" i="10" s="1"/>
  <c r="M920" i="10"/>
  <c r="B921" i="10"/>
  <c r="C921" i="10"/>
  <c r="D921" i="10"/>
  <c r="E921" i="10"/>
  <c r="F921" i="10"/>
  <c r="G921" i="10"/>
  <c r="H921" i="10"/>
  <c r="I921" i="10"/>
  <c r="J921" i="10"/>
  <c r="K921" i="10"/>
  <c r="L921" i="10"/>
  <c r="A921" i="10" s="1"/>
  <c r="M921" i="10"/>
  <c r="B922" i="10"/>
  <c r="C922" i="10"/>
  <c r="D922" i="10"/>
  <c r="E922" i="10"/>
  <c r="F922" i="10"/>
  <c r="G922" i="10"/>
  <c r="H922" i="10"/>
  <c r="I922" i="10"/>
  <c r="J922" i="10"/>
  <c r="K922" i="10"/>
  <c r="L922" i="10"/>
  <c r="A922" i="10" s="1"/>
  <c r="M922" i="10"/>
  <c r="B923" i="10"/>
  <c r="C923" i="10"/>
  <c r="D923" i="10"/>
  <c r="E923" i="10"/>
  <c r="F923" i="10"/>
  <c r="G923" i="10"/>
  <c r="H923" i="10"/>
  <c r="I923" i="10"/>
  <c r="J923" i="10"/>
  <c r="K923" i="10"/>
  <c r="L923" i="10"/>
  <c r="A923" i="10" s="1"/>
  <c r="M923" i="10"/>
  <c r="B924" i="10"/>
  <c r="C924" i="10"/>
  <c r="D924" i="10"/>
  <c r="E924" i="10"/>
  <c r="F924" i="10"/>
  <c r="G924" i="10"/>
  <c r="H924" i="10"/>
  <c r="I924" i="10"/>
  <c r="J924" i="10"/>
  <c r="K924" i="10"/>
  <c r="L924" i="10"/>
  <c r="A924" i="10" s="1"/>
  <c r="M924" i="10"/>
  <c r="B925" i="10"/>
  <c r="C925" i="10"/>
  <c r="D925" i="10"/>
  <c r="E925" i="10"/>
  <c r="F925" i="10"/>
  <c r="G925" i="10"/>
  <c r="H925" i="10"/>
  <c r="I925" i="10"/>
  <c r="J925" i="10"/>
  <c r="K925" i="10"/>
  <c r="L925" i="10"/>
  <c r="A925" i="10" s="1"/>
  <c r="M925" i="10"/>
  <c r="B926" i="10"/>
  <c r="C926" i="10"/>
  <c r="D926" i="10"/>
  <c r="E926" i="10"/>
  <c r="F926" i="10"/>
  <c r="G926" i="10"/>
  <c r="H926" i="10"/>
  <c r="I926" i="10"/>
  <c r="J926" i="10"/>
  <c r="K926" i="10"/>
  <c r="L926" i="10"/>
  <c r="A926" i="10" s="1"/>
  <c r="M926" i="10"/>
  <c r="B927" i="10"/>
  <c r="C927" i="10"/>
  <c r="D927" i="10"/>
  <c r="E927" i="10"/>
  <c r="F927" i="10"/>
  <c r="G927" i="10"/>
  <c r="H927" i="10"/>
  <c r="I927" i="10"/>
  <c r="J927" i="10"/>
  <c r="K927" i="10"/>
  <c r="L927" i="10"/>
  <c r="A927" i="10" s="1"/>
  <c r="M927" i="10"/>
  <c r="B928" i="10"/>
  <c r="C928" i="10"/>
  <c r="D928" i="10"/>
  <c r="E928" i="10"/>
  <c r="F928" i="10"/>
  <c r="G928" i="10"/>
  <c r="H928" i="10"/>
  <c r="I928" i="10"/>
  <c r="J928" i="10"/>
  <c r="K928" i="10"/>
  <c r="L928" i="10"/>
  <c r="A928" i="10" s="1"/>
  <c r="M928" i="10"/>
  <c r="B929" i="10"/>
  <c r="C929" i="10"/>
  <c r="D929" i="10"/>
  <c r="E929" i="10"/>
  <c r="F929" i="10"/>
  <c r="G929" i="10"/>
  <c r="H929" i="10"/>
  <c r="I929" i="10"/>
  <c r="J929" i="10"/>
  <c r="K929" i="10"/>
  <c r="L929" i="10"/>
  <c r="A929" i="10" s="1"/>
  <c r="M929" i="10"/>
  <c r="B930" i="10"/>
  <c r="C930" i="10"/>
  <c r="D930" i="10"/>
  <c r="E930" i="10"/>
  <c r="F930" i="10"/>
  <c r="G930" i="10"/>
  <c r="H930" i="10"/>
  <c r="I930" i="10"/>
  <c r="J930" i="10"/>
  <c r="K930" i="10"/>
  <c r="L930" i="10"/>
  <c r="A930" i="10" s="1"/>
  <c r="M930" i="10"/>
  <c r="B931" i="10"/>
  <c r="C931" i="10"/>
  <c r="D931" i="10"/>
  <c r="E931" i="10"/>
  <c r="F931" i="10"/>
  <c r="G931" i="10"/>
  <c r="H931" i="10"/>
  <c r="I931" i="10"/>
  <c r="J931" i="10"/>
  <c r="K931" i="10"/>
  <c r="L931" i="10"/>
  <c r="A931" i="10" s="1"/>
  <c r="M931" i="10"/>
  <c r="B932" i="10"/>
  <c r="C932" i="10"/>
  <c r="D932" i="10"/>
  <c r="E932" i="10"/>
  <c r="F932" i="10"/>
  <c r="G932" i="10"/>
  <c r="H932" i="10"/>
  <c r="I932" i="10"/>
  <c r="J932" i="10"/>
  <c r="K932" i="10"/>
  <c r="L932" i="10"/>
  <c r="A932" i="10" s="1"/>
  <c r="M932" i="10"/>
  <c r="B933" i="10"/>
  <c r="C933" i="10"/>
  <c r="D933" i="10"/>
  <c r="E933" i="10"/>
  <c r="F933" i="10"/>
  <c r="G933" i="10"/>
  <c r="H933" i="10"/>
  <c r="I933" i="10"/>
  <c r="J933" i="10"/>
  <c r="K933" i="10"/>
  <c r="L933" i="10"/>
  <c r="A933" i="10" s="1"/>
  <c r="M933" i="10"/>
  <c r="B934" i="10"/>
  <c r="C934" i="10"/>
  <c r="D934" i="10"/>
  <c r="E934" i="10"/>
  <c r="F934" i="10"/>
  <c r="G934" i="10"/>
  <c r="H934" i="10"/>
  <c r="I934" i="10"/>
  <c r="J934" i="10"/>
  <c r="K934" i="10"/>
  <c r="L934" i="10"/>
  <c r="A934" i="10" s="1"/>
  <c r="M934" i="10"/>
  <c r="B935" i="10"/>
  <c r="C935" i="10"/>
  <c r="D935" i="10"/>
  <c r="E935" i="10"/>
  <c r="F935" i="10"/>
  <c r="G935" i="10"/>
  <c r="H935" i="10"/>
  <c r="I935" i="10"/>
  <c r="J935" i="10"/>
  <c r="K935" i="10"/>
  <c r="L935" i="10"/>
  <c r="A935" i="10" s="1"/>
  <c r="M935" i="10"/>
  <c r="B936" i="10"/>
  <c r="C936" i="10"/>
  <c r="D936" i="10"/>
  <c r="E936" i="10"/>
  <c r="F936" i="10"/>
  <c r="G936" i="10"/>
  <c r="H936" i="10"/>
  <c r="I936" i="10"/>
  <c r="J936" i="10"/>
  <c r="K936" i="10"/>
  <c r="L936" i="10"/>
  <c r="A936" i="10" s="1"/>
  <c r="M936" i="10"/>
  <c r="B937" i="10"/>
  <c r="C937" i="10"/>
  <c r="D937" i="10"/>
  <c r="E937" i="10"/>
  <c r="F937" i="10"/>
  <c r="G937" i="10"/>
  <c r="H937" i="10"/>
  <c r="I937" i="10"/>
  <c r="J937" i="10"/>
  <c r="K937" i="10"/>
  <c r="L937" i="10"/>
  <c r="A937" i="10" s="1"/>
  <c r="M937" i="10"/>
  <c r="B938" i="10"/>
  <c r="C938" i="10"/>
  <c r="D938" i="10"/>
  <c r="E938" i="10"/>
  <c r="F938" i="10"/>
  <c r="G938" i="10"/>
  <c r="H938" i="10"/>
  <c r="I938" i="10"/>
  <c r="J938" i="10"/>
  <c r="K938" i="10"/>
  <c r="L938" i="10"/>
  <c r="A938" i="10" s="1"/>
  <c r="M938" i="10"/>
  <c r="B939" i="10"/>
  <c r="C939" i="10"/>
  <c r="D939" i="10"/>
  <c r="E939" i="10"/>
  <c r="F939" i="10"/>
  <c r="G939" i="10"/>
  <c r="H939" i="10"/>
  <c r="I939" i="10"/>
  <c r="J939" i="10"/>
  <c r="K939" i="10"/>
  <c r="L939" i="10"/>
  <c r="A939" i="10" s="1"/>
  <c r="M939" i="10"/>
  <c r="B940" i="10"/>
  <c r="C940" i="10"/>
  <c r="D940" i="10"/>
  <c r="E940" i="10"/>
  <c r="F940" i="10"/>
  <c r="G940" i="10"/>
  <c r="H940" i="10"/>
  <c r="I940" i="10"/>
  <c r="J940" i="10"/>
  <c r="K940" i="10"/>
  <c r="L940" i="10"/>
  <c r="A940" i="10" s="1"/>
  <c r="M940" i="10"/>
  <c r="B941" i="10"/>
  <c r="C941" i="10"/>
  <c r="D941" i="10"/>
  <c r="E941" i="10"/>
  <c r="F941" i="10"/>
  <c r="G941" i="10"/>
  <c r="H941" i="10"/>
  <c r="I941" i="10"/>
  <c r="J941" i="10"/>
  <c r="K941" i="10"/>
  <c r="L941" i="10"/>
  <c r="A941" i="10" s="1"/>
  <c r="M941" i="10"/>
  <c r="B942" i="10"/>
  <c r="C942" i="10"/>
  <c r="D942" i="10"/>
  <c r="E942" i="10"/>
  <c r="F942" i="10"/>
  <c r="G942" i="10"/>
  <c r="H942" i="10"/>
  <c r="I942" i="10"/>
  <c r="J942" i="10"/>
  <c r="K942" i="10"/>
  <c r="L942" i="10"/>
  <c r="A942" i="10" s="1"/>
  <c r="M942" i="10"/>
  <c r="B943" i="10"/>
  <c r="C943" i="10"/>
  <c r="D943" i="10"/>
  <c r="E943" i="10"/>
  <c r="F943" i="10"/>
  <c r="G943" i="10"/>
  <c r="H943" i="10"/>
  <c r="I943" i="10"/>
  <c r="J943" i="10"/>
  <c r="K943" i="10"/>
  <c r="L943" i="10"/>
  <c r="A943" i="10" s="1"/>
  <c r="M943" i="10"/>
  <c r="B944" i="10"/>
  <c r="C944" i="10"/>
  <c r="D944" i="10"/>
  <c r="E944" i="10"/>
  <c r="F944" i="10"/>
  <c r="G944" i="10"/>
  <c r="H944" i="10"/>
  <c r="I944" i="10"/>
  <c r="J944" i="10"/>
  <c r="K944" i="10"/>
  <c r="L944" i="10"/>
  <c r="A944" i="10" s="1"/>
  <c r="M944" i="10"/>
  <c r="B945" i="10"/>
  <c r="C945" i="10"/>
  <c r="D945" i="10"/>
  <c r="E945" i="10"/>
  <c r="F945" i="10"/>
  <c r="G945" i="10"/>
  <c r="H945" i="10"/>
  <c r="I945" i="10"/>
  <c r="J945" i="10"/>
  <c r="K945" i="10"/>
  <c r="L945" i="10"/>
  <c r="A945" i="10" s="1"/>
  <c r="M945" i="10"/>
  <c r="B946" i="10"/>
  <c r="C946" i="10"/>
  <c r="D946" i="10"/>
  <c r="E946" i="10"/>
  <c r="F946" i="10"/>
  <c r="G946" i="10"/>
  <c r="H946" i="10"/>
  <c r="I946" i="10"/>
  <c r="J946" i="10"/>
  <c r="K946" i="10"/>
  <c r="L946" i="10"/>
  <c r="A946" i="10" s="1"/>
  <c r="M946" i="10"/>
  <c r="B947" i="10"/>
  <c r="C947" i="10"/>
  <c r="D947" i="10"/>
  <c r="E947" i="10"/>
  <c r="F947" i="10"/>
  <c r="G947" i="10"/>
  <c r="H947" i="10"/>
  <c r="I947" i="10"/>
  <c r="J947" i="10"/>
  <c r="K947" i="10"/>
  <c r="L947" i="10"/>
  <c r="A947" i="10" s="1"/>
  <c r="M947" i="10"/>
  <c r="B948" i="10"/>
  <c r="C948" i="10"/>
  <c r="D948" i="10"/>
  <c r="E948" i="10"/>
  <c r="F948" i="10"/>
  <c r="G948" i="10"/>
  <c r="H948" i="10"/>
  <c r="I948" i="10"/>
  <c r="J948" i="10"/>
  <c r="K948" i="10"/>
  <c r="L948" i="10"/>
  <c r="A948" i="10" s="1"/>
  <c r="M948" i="10"/>
  <c r="B949" i="10"/>
  <c r="C949" i="10"/>
  <c r="D949" i="10"/>
  <c r="E949" i="10"/>
  <c r="F949" i="10"/>
  <c r="G949" i="10"/>
  <c r="H949" i="10"/>
  <c r="I949" i="10"/>
  <c r="J949" i="10"/>
  <c r="K949" i="10"/>
  <c r="L949" i="10"/>
  <c r="A949" i="10" s="1"/>
  <c r="M949" i="10"/>
  <c r="B950" i="10"/>
  <c r="C950" i="10"/>
  <c r="D950" i="10"/>
  <c r="E950" i="10"/>
  <c r="F950" i="10"/>
  <c r="G950" i="10"/>
  <c r="H950" i="10"/>
  <c r="I950" i="10"/>
  <c r="J950" i="10"/>
  <c r="K950" i="10"/>
  <c r="L950" i="10"/>
  <c r="A950" i="10" s="1"/>
  <c r="M950" i="10"/>
  <c r="B951" i="10"/>
  <c r="C951" i="10"/>
  <c r="D951" i="10"/>
  <c r="E951" i="10"/>
  <c r="F951" i="10"/>
  <c r="G951" i="10"/>
  <c r="H951" i="10"/>
  <c r="I951" i="10"/>
  <c r="J951" i="10"/>
  <c r="K951" i="10"/>
  <c r="L951" i="10"/>
  <c r="A951" i="10" s="1"/>
  <c r="M951" i="10"/>
  <c r="B952" i="10"/>
  <c r="C952" i="10"/>
  <c r="D952" i="10"/>
  <c r="E952" i="10"/>
  <c r="F952" i="10"/>
  <c r="G952" i="10"/>
  <c r="H952" i="10"/>
  <c r="I952" i="10"/>
  <c r="J952" i="10"/>
  <c r="K952" i="10"/>
  <c r="L952" i="10"/>
  <c r="A952" i="10" s="1"/>
  <c r="M952" i="10"/>
  <c r="B953" i="10"/>
  <c r="C953" i="10"/>
  <c r="D953" i="10"/>
  <c r="E953" i="10"/>
  <c r="F953" i="10"/>
  <c r="G953" i="10"/>
  <c r="H953" i="10"/>
  <c r="I953" i="10"/>
  <c r="J953" i="10"/>
  <c r="K953" i="10"/>
  <c r="L953" i="10"/>
  <c r="A953" i="10" s="1"/>
  <c r="M953" i="10"/>
  <c r="B954" i="10"/>
  <c r="C954" i="10"/>
  <c r="D954" i="10"/>
  <c r="E954" i="10"/>
  <c r="F954" i="10"/>
  <c r="G954" i="10"/>
  <c r="H954" i="10"/>
  <c r="I954" i="10"/>
  <c r="J954" i="10"/>
  <c r="K954" i="10"/>
  <c r="L954" i="10"/>
  <c r="A954" i="10" s="1"/>
  <c r="M954" i="10"/>
  <c r="B955" i="10"/>
  <c r="C955" i="10"/>
  <c r="D955" i="10"/>
  <c r="E955" i="10"/>
  <c r="F955" i="10"/>
  <c r="G955" i="10"/>
  <c r="H955" i="10"/>
  <c r="I955" i="10"/>
  <c r="J955" i="10"/>
  <c r="K955" i="10"/>
  <c r="L955" i="10"/>
  <c r="A955" i="10" s="1"/>
  <c r="M955" i="10"/>
  <c r="B956" i="10"/>
  <c r="C956" i="10"/>
  <c r="D956" i="10"/>
  <c r="E956" i="10"/>
  <c r="F956" i="10"/>
  <c r="G956" i="10"/>
  <c r="H956" i="10"/>
  <c r="I956" i="10"/>
  <c r="J956" i="10"/>
  <c r="K956" i="10"/>
  <c r="L956" i="10"/>
  <c r="A956" i="10" s="1"/>
  <c r="M956" i="10"/>
  <c r="B957" i="10"/>
  <c r="C957" i="10"/>
  <c r="D957" i="10"/>
  <c r="E957" i="10"/>
  <c r="F957" i="10"/>
  <c r="G957" i="10"/>
  <c r="H957" i="10"/>
  <c r="I957" i="10"/>
  <c r="J957" i="10"/>
  <c r="K957" i="10"/>
  <c r="L957" i="10"/>
  <c r="A957" i="10" s="1"/>
  <c r="M957" i="10"/>
  <c r="B958" i="10"/>
  <c r="C958" i="10"/>
  <c r="D958" i="10"/>
  <c r="E958" i="10"/>
  <c r="F958" i="10"/>
  <c r="G958" i="10"/>
  <c r="H958" i="10"/>
  <c r="I958" i="10"/>
  <c r="J958" i="10"/>
  <c r="K958" i="10"/>
  <c r="L958" i="10"/>
  <c r="A958" i="10" s="1"/>
  <c r="M958" i="10"/>
  <c r="B959" i="10"/>
  <c r="C959" i="10"/>
  <c r="D959" i="10"/>
  <c r="E959" i="10"/>
  <c r="F959" i="10"/>
  <c r="G959" i="10"/>
  <c r="H959" i="10"/>
  <c r="I959" i="10"/>
  <c r="J959" i="10"/>
  <c r="K959" i="10"/>
  <c r="L959" i="10"/>
  <c r="A959" i="10" s="1"/>
  <c r="M959" i="10"/>
  <c r="B960" i="10"/>
  <c r="C960" i="10"/>
  <c r="D960" i="10"/>
  <c r="E960" i="10"/>
  <c r="F960" i="10"/>
  <c r="G960" i="10"/>
  <c r="H960" i="10"/>
  <c r="I960" i="10"/>
  <c r="J960" i="10"/>
  <c r="K960" i="10"/>
  <c r="L960" i="10"/>
  <c r="A960" i="10" s="1"/>
  <c r="M960" i="10"/>
  <c r="B961" i="10"/>
  <c r="C961" i="10"/>
  <c r="D961" i="10"/>
  <c r="E961" i="10"/>
  <c r="F961" i="10"/>
  <c r="G961" i="10"/>
  <c r="H961" i="10"/>
  <c r="I961" i="10"/>
  <c r="J961" i="10"/>
  <c r="K961" i="10"/>
  <c r="L961" i="10"/>
  <c r="A961" i="10" s="1"/>
  <c r="M961" i="10"/>
  <c r="B962" i="10"/>
  <c r="C962" i="10"/>
  <c r="D962" i="10"/>
  <c r="E962" i="10"/>
  <c r="F962" i="10"/>
  <c r="G962" i="10"/>
  <c r="H962" i="10"/>
  <c r="I962" i="10"/>
  <c r="J962" i="10"/>
  <c r="K962" i="10"/>
  <c r="L962" i="10"/>
  <c r="A962" i="10" s="1"/>
  <c r="M962" i="10"/>
  <c r="B963" i="10"/>
  <c r="C963" i="10"/>
  <c r="D963" i="10"/>
  <c r="E963" i="10"/>
  <c r="F963" i="10"/>
  <c r="G963" i="10"/>
  <c r="H963" i="10"/>
  <c r="I963" i="10"/>
  <c r="J963" i="10"/>
  <c r="K963" i="10"/>
  <c r="L963" i="10"/>
  <c r="A963" i="10" s="1"/>
  <c r="M963" i="10"/>
  <c r="B964" i="10"/>
  <c r="C964" i="10"/>
  <c r="D964" i="10"/>
  <c r="E964" i="10"/>
  <c r="F964" i="10"/>
  <c r="G964" i="10"/>
  <c r="H964" i="10"/>
  <c r="I964" i="10"/>
  <c r="J964" i="10"/>
  <c r="K964" i="10"/>
  <c r="L964" i="10"/>
  <c r="A964" i="10" s="1"/>
  <c r="M964" i="10"/>
  <c r="B965" i="10"/>
  <c r="C965" i="10"/>
  <c r="D965" i="10"/>
  <c r="E965" i="10"/>
  <c r="F965" i="10"/>
  <c r="G965" i="10"/>
  <c r="H965" i="10"/>
  <c r="I965" i="10"/>
  <c r="J965" i="10"/>
  <c r="K965" i="10"/>
  <c r="L965" i="10"/>
  <c r="A965" i="10" s="1"/>
  <c r="M965" i="10"/>
  <c r="B966" i="10"/>
  <c r="C966" i="10"/>
  <c r="D966" i="10"/>
  <c r="E966" i="10"/>
  <c r="F966" i="10"/>
  <c r="G966" i="10"/>
  <c r="H966" i="10"/>
  <c r="I966" i="10"/>
  <c r="J966" i="10"/>
  <c r="K966" i="10"/>
  <c r="L966" i="10"/>
  <c r="A966" i="10" s="1"/>
  <c r="M966" i="10"/>
  <c r="B967" i="10"/>
  <c r="C967" i="10"/>
  <c r="D967" i="10"/>
  <c r="E967" i="10"/>
  <c r="F967" i="10"/>
  <c r="G967" i="10"/>
  <c r="H967" i="10"/>
  <c r="I967" i="10"/>
  <c r="J967" i="10"/>
  <c r="K967" i="10"/>
  <c r="L967" i="10"/>
  <c r="A967" i="10" s="1"/>
  <c r="M967" i="10"/>
  <c r="B968" i="10"/>
  <c r="C968" i="10"/>
  <c r="D968" i="10"/>
  <c r="E968" i="10"/>
  <c r="F968" i="10"/>
  <c r="G968" i="10"/>
  <c r="H968" i="10"/>
  <c r="I968" i="10"/>
  <c r="J968" i="10"/>
  <c r="K968" i="10"/>
  <c r="L968" i="10"/>
  <c r="A968" i="10" s="1"/>
  <c r="M968" i="10"/>
  <c r="B969" i="10"/>
  <c r="C969" i="10"/>
  <c r="D969" i="10"/>
  <c r="E969" i="10"/>
  <c r="F969" i="10"/>
  <c r="G969" i="10"/>
  <c r="H969" i="10"/>
  <c r="I969" i="10"/>
  <c r="J969" i="10"/>
  <c r="K969" i="10"/>
  <c r="L969" i="10"/>
  <c r="A969" i="10" s="1"/>
  <c r="M969" i="10"/>
  <c r="B970" i="10"/>
  <c r="C970" i="10"/>
  <c r="D970" i="10"/>
  <c r="E970" i="10"/>
  <c r="F970" i="10"/>
  <c r="G970" i="10"/>
  <c r="H970" i="10"/>
  <c r="I970" i="10"/>
  <c r="J970" i="10"/>
  <c r="K970" i="10"/>
  <c r="L970" i="10"/>
  <c r="A970" i="10" s="1"/>
  <c r="M970" i="10"/>
  <c r="B971" i="10"/>
  <c r="C971" i="10"/>
  <c r="D971" i="10"/>
  <c r="E971" i="10"/>
  <c r="F971" i="10"/>
  <c r="G971" i="10"/>
  <c r="H971" i="10"/>
  <c r="I971" i="10"/>
  <c r="J971" i="10"/>
  <c r="K971" i="10"/>
  <c r="L971" i="10"/>
  <c r="A971" i="10" s="1"/>
  <c r="M971" i="10"/>
  <c r="B972" i="10"/>
  <c r="C972" i="10"/>
  <c r="D972" i="10"/>
  <c r="E972" i="10"/>
  <c r="F972" i="10"/>
  <c r="G972" i="10"/>
  <c r="H972" i="10"/>
  <c r="I972" i="10"/>
  <c r="J972" i="10"/>
  <c r="K972" i="10"/>
  <c r="L972" i="10"/>
  <c r="A972" i="10" s="1"/>
  <c r="M972" i="10"/>
  <c r="B973" i="10"/>
  <c r="C973" i="10"/>
  <c r="D973" i="10"/>
  <c r="E973" i="10"/>
  <c r="F973" i="10"/>
  <c r="G973" i="10"/>
  <c r="H973" i="10"/>
  <c r="I973" i="10"/>
  <c r="J973" i="10"/>
  <c r="K973" i="10"/>
  <c r="L973" i="10"/>
  <c r="A973" i="10" s="1"/>
  <c r="M973" i="10"/>
  <c r="B974" i="10"/>
  <c r="C974" i="10"/>
  <c r="D974" i="10"/>
  <c r="E974" i="10"/>
  <c r="F974" i="10"/>
  <c r="G974" i="10"/>
  <c r="H974" i="10"/>
  <c r="I974" i="10"/>
  <c r="J974" i="10"/>
  <c r="K974" i="10"/>
  <c r="L974" i="10"/>
  <c r="A974" i="10" s="1"/>
  <c r="M974" i="10"/>
  <c r="B975" i="10"/>
  <c r="C975" i="10"/>
  <c r="D975" i="10"/>
  <c r="E975" i="10"/>
  <c r="F975" i="10"/>
  <c r="G975" i="10"/>
  <c r="H975" i="10"/>
  <c r="I975" i="10"/>
  <c r="J975" i="10"/>
  <c r="K975" i="10"/>
  <c r="L975" i="10"/>
  <c r="A975" i="10" s="1"/>
  <c r="M975" i="10"/>
  <c r="B976" i="10"/>
  <c r="C976" i="10"/>
  <c r="D976" i="10"/>
  <c r="E976" i="10"/>
  <c r="F976" i="10"/>
  <c r="G976" i="10"/>
  <c r="H976" i="10"/>
  <c r="I976" i="10"/>
  <c r="J976" i="10"/>
  <c r="K976" i="10"/>
  <c r="L976" i="10"/>
  <c r="A976" i="10" s="1"/>
  <c r="M976" i="10"/>
  <c r="B977" i="10"/>
  <c r="C977" i="10"/>
  <c r="D977" i="10"/>
  <c r="E977" i="10"/>
  <c r="F977" i="10"/>
  <c r="G977" i="10"/>
  <c r="H977" i="10"/>
  <c r="I977" i="10"/>
  <c r="J977" i="10"/>
  <c r="K977" i="10"/>
  <c r="L977" i="10"/>
  <c r="A977" i="10" s="1"/>
  <c r="M977" i="10"/>
  <c r="B978" i="10"/>
  <c r="C978" i="10"/>
  <c r="D978" i="10"/>
  <c r="E978" i="10"/>
  <c r="F978" i="10"/>
  <c r="G978" i="10"/>
  <c r="H978" i="10"/>
  <c r="I978" i="10"/>
  <c r="J978" i="10"/>
  <c r="K978" i="10"/>
  <c r="L978" i="10"/>
  <c r="A978" i="10" s="1"/>
  <c r="M978" i="10"/>
  <c r="B979" i="10"/>
  <c r="C979" i="10"/>
  <c r="D979" i="10"/>
  <c r="E979" i="10"/>
  <c r="F979" i="10"/>
  <c r="G979" i="10"/>
  <c r="H979" i="10"/>
  <c r="I979" i="10"/>
  <c r="J979" i="10"/>
  <c r="K979" i="10"/>
  <c r="L979" i="10"/>
  <c r="A979" i="10" s="1"/>
  <c r="M979" i="10"/>
  <c r="B980" i="10"/>
  <c r="C980" i="10"/>
  <c r="D980" i="10"/>
  <c r="E980" i="10"/>
  <c r="F980" i="10"/>
  <c r="G980" i="10"/>
  <c r="H980" i="10"/>
  <c r="I980" i="10"/>
  <c r="J980" i="10"/>
  <c r="K980" i="10"/>
  <c r="L980" i="10"/>
  <c r="A980" i="10" s="1"/>
  <c r="M980" i="10"/>
  <c r="B981" i="10"/>
  <c r="C981" i="10"/>
  <c r="D981" i="10"/>
  <c r="E981" i="10"/>
  <c r="F981" i="10"/>
  <c r="G981" i="10"/>
  <c r="H981" i="10"/>
  <c r="I981" i="10"/>
  <c r="J981" i="10"/>
  <c r="K981" i="10"/>
  <c r="L981" i="10"/>
  <c r="A981" i="10" s="1"/>
  <c r="M981" i="10"/>
  <c r="B982" i="10"/>
  <c r="C982" i="10"/>
  <c r="D982" i="10"/>
  <c r="E982" i="10"/>
  <c r="F982" i="10"/>
  <c r="G982" i="10"/>
  <c r="H982" i="10"/>
  <c r="I982" i="10"/>
  <c r="J982" i="10"/>
  <c r="K982" i="10"/>
  <c r="L982" i="10"/>
  <c r="A982" i="10" s="1"/>
  <c r="M982" i="10"/>
  <c r="B983" i="10"/>
  <c r="C983" i="10"/>
  <c r="D983" i="10"/>
  <c r="E983" i="10"/>
  <c r="F983" i="10"/>
  <c r="G983" i="10"/>
  <c r="H983" i="10"/>
  <c r="I983" i="10"/>
  <c r="J983" i="10"/>
  <c r="K983" i="10"/>
  <c r="L983" i="10"/>
  <c r="A983" i="10" s="1"/>
  <c r="M983" i="10"/>
  <c r="B984" i="10"/>
  <c r="C984" i="10"/>
  <c r="D984" i="10"/>
  <c r="E984" i="10"/>
  <c r="F984" i="10"/>
  <c r="G984" i="10"/>
  <c r="H984" i="10"/>
  <c r="I984" i="10"/>
  <c r="J984" i="10"/>
  <c r="K984" i="10"/>
  <c r="L984" i="10"/>
  <c r="A984" i="10" s="1"/>
  <c r="M984" i="10"/>
  <c r="B985" i="10"/>
  <c r="C985" i="10"/>
  <c r="D985" i="10"/>
  <c r="E985" i="10"/>
  <c r="F985" i="10"/>
  <c r="G985" i="10"/>
  <c r="H985" i="10"/>
  <c r="I985" i="10"/>
  <c r="J985" i="10"/>
  <c r="K985" i="10"/>
  <c r="L985" i="10"/>
  <c r="A985" i="10" s="1"/>
  <c r="M985" i="10"/>
  <c r="B986" i="10"/>
  <c r="C986" i="10"/>
  <c r="D986" i="10"/>
  <c r="E986" i="10"/>
  <c r="F986" i="10"/>
  <c r="G986" i="10"/>
  <c r="H986" i="10"/>
  <c r="I986" i="10"/>
  <c r="J986" i="10"/>
  <c r="K986" i="10"/>
  <c r="L986" i="10"/>
  <c r="A986" i="10" s="1"/>
  <c r="M986" i="10"/>
  <c r="B987" i="10"/>
  <c r="C987" i="10"/>
  <c r="D987" i="10"/>
  <c r="E987" i="10"/>
  <c r="F987" i="10"/>
  <c r="G987" i="10"/>
  <c r="H987" i="10"/>
  <c r="I987" i="10"/>
  <c r="J987" i="10"/>
  <c r="K987" i="10"/>
  <c r="L987" i="10"/>
  <c r="A987" i="10" s="1"/>
  <c r="M987" i="10"/>
  <c r="B988" i="10"/>
  <c r="C988" i="10"/>
  <c r="D988" i="10"/>
  <c r="E988" i="10"/>
  <c r="F988" i="10"/>
  <c r="G988" i="10"/>
  <c r="H988" i="10"/>
  <c r="I988" i="10"/>
  <c r="J988" i="10"/>
  <c r="K988" i="10"/>
  <c r="L988" i="10"/>
  <c r="A988" i="10" s="1"/>
  <c r="M988" i="10"/>
  <c r="B989" i="10"/>
  <c r="C989" i="10"/>
  <c r="D989" i="10"/>
  <c r="E989" i="10"/>
  <c r="F989" i="10"/>
  <c r="G989" i="10"/>
  <c r="H989" i="10"/>
  <c r="I989" i="10"/>
  <c r="J989" i="10"/>
  <c r="K989" i="10"/>
  <c r="L989" i="10"/>
  <c r="A989" i="10" s="1"/>
  <c r="M989" i="10"/>
  <c r="B990" i="10"/>
  <c r="C990" i="10"/>
  <c r="D990" i="10"/>
  <c r="E990" i="10"/>
  <c r="F990" i="10"/>
  <c r="G990" i="10"/>
  <c r="H990" i="10"/>
  <c r="I990" i="10"/>
  <c r="J990" i="10"/>
  <c r="K990" i="10"/>
  <c r="L990" i="10"/>
  <c r="A990" i="10" s="1"/>
  <c r="M990" i="10"/>
  <c r="B991" i="10"/>
  <c r="C991" i="10"/>
  <c r="D991" i="10"/>
  <c r="E991" i="10"/>
  <c r="F991" i="10"/>
  <c r="G991" i="10"/>
  <c r="H991" i="10"/>
  <c r="I991" i="10"/>
  <c r="J991" i="10"/>
  <c r="K991" i="10"/>
  <c r="L991" i="10"/>
  <c r="A991" i="10" s="1"/>
  <c r="M991" i="10"/>
  <c r="B992" i="10"/>
  <c r="C992" i="10"/>
  <c r="D992" i="10"/>
  <c r="E992" i="10"/>
  <c r="F992" i="10"/>
  <c r="G992" i="10"/>
  <c r="H992" i="10"/>
  <c r="I992" i="10"/>
  <c r="J992" i="10"/>
  <c r="K992" i="10"/>
  <c r="L992" i="10"/>
  <c r="A992" i="10" s="1"/>
  <c r="M992" i="10"/>
  <c r="B993" i="10"/>
  <c r="C993" i="10"/>
  <c r="D993" i="10"/>
  <c r="E993" i="10"/>
  <c r="F993" i="10"/>
  <c r="G993" i="10"/>
  <c r="H993" i="10"/>
  <c r="I993" i="10"/>
  <c r="J993" i="10"/>
  <c r="K993" i="10"/>
  <c r="L993" i="10"/>
  <c r="A993" i="10" s="1"/>
  <c r="M993" i="10"/>
  <c r="B994" i="10"/>
  <c r="C994" i="10"/>
  <c r="D994" i="10"/>
  <c r="E994" i="10"/>
  <c r="F994" i="10"/>
  <c r="G994" i="10"/>
  <c r="H994" i="10"/>
  <c r="I994" i="10"/>
  <c r="J994" i="10"/>
  <c r="K994" i="10"/>
  <c r="L994" i="10"/>
  <c r="A994" i="10" s="1"/>
  <c r="M994" i="10"/>
  <c r="B995" i="10"/>
  <c r="C995" i="10"/>
  <c r="D995" i="10"/>
  <c r="E995" i="10"/>
  <c r="F995" i="10"/>
  <c r="G995" i="10"/>
  <c r="H995" i="10"/>
  <c r="I995" i="10"/>
  <c r="J995" i="10"/>
  <c r="K995" i="10"/>
  <c r="L995" i="10"/>
  <c r="A995" i="10" s="1"/>
  <c r="M995" i="10"/>
  <c r="B996" i="10"/>
  <c r="C996" i="10"/>
  <c r="D996" i="10"/>
  <c r="E996" i="10"/>
  <c r="F996" i="10"/>
  <c r="G996" i="10"/>
  <c r="H996" i="10"/>
  <c r="I996" i="10"/>
  <c r="J996" i="10"/>
  <c r="K996" i="10"/>
  <c r="L996" i="10"/>
  <c r="A996" i="10" s="1"/>
  <c r="M996" i="10"/>
  <c r="B997" i="10"/>
  <c r="C997" i="10"/>
  <c r="D997" i="10"/>
  <c r="E997" i="10"/>
  <c r="F997" i="10"/>
  <c r="G997" i="10"/>
  <c r="H997" i="10"/>
  <c r="I997" i="10"/>
  <c r="J997" i="10"/>
  <c r="K997" i="10"/>
  <c r="L997" i="10"/>
  <c r="A997" i="10" s="1"/>
  <c r="M997" i="10"/>
  <c r="B998" i="10"/>
  <c r="C998" i="10"/>
  <c r="D998" i="10"/>
  <c r="E998" i="10"/>
  <c r="F998" i="10"/>
  <c r="G998" i="10"/>
  <c r="H998" i="10"/>
  <c r="I998" i="10"/>
  <c r="J998" i="10"/>
  <c r="K998" i="10"/>
  <c r="L998" i="10"/>
  <c r="A998" i="10" s="1"/>
  <c r="M998" i="10"/>
  <c r="B999" i="10"/>
  <c r="C999" i="10"/>
  <c r="D999" i="10"/>
  <c r="E999" i="10"/>
  <c r="F999" i="10"/>
  <c r="G999" i="10"/>
  <c r="H999" i="10"/>
  <c r="I999" i="10"/>
  <c r="J999" i="10"/>
  <c r="K999" i="10"/>
  <c r="L999" i="10"/>
  <c r="A999" i="10" s="1"/>
  <c r="M999" i="10"/>
  <c r="B1000" i="10"/>
  <c r="C1000" i="10"/>
  <c r="D1000" i="10"/>
  <c r="E1000" i="10"/>
  <c r="F1000" i="10"/>
  <c r="G1000" i="10"/>
  <c r="H1000" i="10"/>
  <c r="I1000" i="10"/>
  <c r="J1000" i="10"/>
  <c r="K1000" i="10"/>
  <c r="L1000" i="10"/>
  <c r="A1000" i="10" s="1"/>
  <c r="M1000" i="10"/>
  <c r="B1001" i="10"/>
  <c r="C1001" i="10"/>
  <c r="D1001" i="10"/>
  <c r="E1001" i="10"/>
  <c r="F1001" i="10"/>
  <c r="G1001" i="10"/>
  <c r="H1001" i="10"/>
  <c r="I1001" i="10"/>
  <c r="J1001" i="10"/>
  <c r="K1001" i="10"/>
  <c r="L1001" i="10"/>
  <c r="A1001" i="10" s="1"/>
  <c r="M1001" i="10"/>
  <c r="B1002" i="10"/>
  <c r="C1002" i="10"/>
  <c r="D1002" i="10"/>
  <c r="E1002" i="10"/>
  <c r="F1002" i="10"/>
  <c r="G1002" i="10"/>
  <c r="H1002" i="10"/>
  <c r="I1002" i="10"/>
  <c r="J1002" i="10"/>
  <c r="K1002" i="10"/>
  <c r="L1002" i="10"/>
  <c r="A1002" i="10" s="1"/>
  <c r="M1002" i="10"/>
  <c r="B1003" i="10"/>
  <c r="C1003" i="10"/>
  <c r="D1003" i="10"/>
  <c r="E1003" i="10"/>
  <c r="F1003" i="10"/>
  <c r="G1003" i="10"/>
  <c r="H1003" i="10"/>
  <c r="I1003" i="10"/>
  <c r="J1003" i="10"/>
  <c r="K1003" i="10"/>
  <c r="L1003" i="10"/>
  <c r="A1003" i="10" s="1"/>
  <c r="M1003" i="10"/>
  <c r="B1004" i="10"/>
  <c r="C1004" i="10"/>
  <c r="D1004" i="10"/>
  <c r="E1004" i="10"/>
  <c r="F1004" i="10"/>
  <c r="G1004" i="10"/>
  <c r="H1004" i="10"/>
  <c r="I1004" i="10"/>
  <c r="J1004" i="10"/>
  <c r="K1004" i="10"/>
  <c r="L1004" i="10"/>
  <c r="A1004" i="10" s="1"/>
  <c r="M1004" i="10"/>
  <c r="B1005" i="10"/>
  <c r="C1005" i="10"/>
  <c r="D1005" i="10"/>
  <c r="E1005" i="10"/>
  <c r="F1005" i="10"/>
  <c r="G1005" i="10"/>
  <c r="H1005" i="10"/>
  <c r="I1005" i="10"/>
  <c r="J1005" i="10"/>
  <c r="K1005" i="10"/>
  <c r="L1005" i="10"/>
  <c r="A1005" i="10" s="1"/>
  <c r="M1005" i="10"/>
  <c r="B1006" i="10"/>
  <c r="C1006" i="10"/>
  <c r="D1006" i="10"/>
  <c r="E1006" i="10"/>
  <c r="F1006" i="10"/>
  <c r="G1006" i="10"/>
  <c r="H1006" i="10"/>
  <c r="I1006" i="10"/>
  <c r="J1006" i="10"/>
  <c r="K1006" i="10"/>
  <c r="L1006" i="10"/>
  <c r="A1006" i="10" s="1"/>
  <c r="M1006" i="10"/>
  <c r="B1007" i="10"/>
  <c r="C1007" i="10"/>
  <c r="D1007" i="10"/>
  <c r="E1007" i="10"/>
  <c r="F1007" i="10"/>
  <c r="G1007" i="10"/>
  <c r="H1007" i="10"/>
  <c r="I1007" i="10"/>
  <c r="J1007" i="10"/>
  <c r="K1007" i="10"/>
  <c r="L1007" i="10"/>
  <c r="A1007" i="10" s="1"/>
  <c r="M1007" i="10"/>
  <c r="B1008" i="10"/>
  <c r="C1008" i="10"/>
  <c r="D1008" i="10"/>
  <c r="E1008" i="10"/>
  <c r="F1008" i="10"/>
  <c r="G1008" i="10"/>
  <c r="H1008" i="10"/>
  <c r="I1008" i="10"/>
  <c r="J1008" i="10"/>
  <c r="K1008" i="10"/>
  <c r="L1008" i="10"/>
  <c r="A1008" i="10" s="1"/>
  <c r="M1008" i="10"/>
  <c r="B1009" i="10"/>
  <c r="C1009" i="10"/>
  <c r="D1009" i="10"/>
  <c r="E1009" i="10"/>
  <c r="F1009" i="10"/>
  <c r="G1009" i="10"/>
  <c r="H1009" i="10"/>
  <c r="I1009" i="10"/>
  <c r="J1009" i="10"/>
  <c r="K1009" i="10"/>
  <c r="L1009" i="10"/>
  <c r="A1009" i="10" s="1"/>
  <c r="M1009" i="10"/>
  <c r="B1010" i="10"/>
  <c r="C1010" i="10"/>
  <c r="D1010" i="10"/>
  <c r="E1010" i="10"/>
  <c r="F1010" i="10"/>
  <c r="G1010" i="10"/>
  <c r="H1010" i="10"/>
  <c r="I1010" i="10"/>
  <c r="J1010" i="10"/>
  <c r="K1010" i="10"/>
  <c r="L1010" i="10"/>
  <c r="A1010" i="10" s="1"/>
  <c r="M1010" i="10"/>
  <c r="B1011" i="10"/>
  <c r="C1011" i="10"/>
  <c r="D1011" i="10"/>
  <c r="E1011" i="10"/>
  <c r="F1011" i="10"/>
  <c r="G1011" i="10"/>
  <c r="H1011" i="10"/>
  <c r="I1011" i="10"/>
  <c r="J1011" i="10"/>
  <c r="K1011" i="10"/>
  <c r="L1011" i="10"/>
  <c r="A1011" i="10" s="1"/>
  <c r="M1011" i="10"/>
  <c r="B1012" i="10"/>
  <c r="C1012" i="10"/>
  <c r="D1012" i="10"/>
  <c r="E1012" i="10"/>
  <c r="F1012" i="10"/>
  <c r="G1012" i="10"/>
  <c r="H1012" i="10"/>
  <c r="I1012" i="10"/>
  <c r="J1012" i="10"/>
  <c r="K1012" i="10"/>
  <c r="L1012" i="10"/>
  <c r="A1012" i="10" s="1"/>
  <c r="M1012" i="10"/>
  <c r="B1013" i="10"/>
  <c r="C1013" i="10"/>
  <c r="D1013" i="10"/>
  <c r="E1013" i="10"/>
  <c r="F1013" i="10"/>
  <c r="G1013" i="10"/>
  <c r="H1013" i="10"/>
  <c r="I1013" i="10"/>
  <c r="J1013" i="10"/>
  <c r="K1013" i="10"/>
  <c r="L1013" i="10"/>
  <c r="A1013" i="10" s="1"/>
  <c r="M1013" i="10"/>
  <c r="B1014" i="10"/>
  <c r="C1014" i="10"/>
  <c r="D1014" i="10"/>
  <c r="E1014" i="10"/>
  <c r="F1014" i="10"/>
  <c r="G1014" i="10"/>
  <c r="H1014" i="10"/>
  <c r="I1014" i="10"/>
  <c r="J1014" i="10"/>
  <c r="K1014" i="10"/>
  <c r="L1014" i="10"/>
  <c r="A1014" i="10" s="1"/>
  <c r="M1014" i="10"/>
  <c r="B1015" i="10"/>
  <c r="C1015" i="10"/>
  <c r="D1015" i="10"/>
  <c r="E1015" i="10"/>
  <c r="F1015" i="10"/>
  <c r="G1015" i="10"/>
  <c r="H1015" i="10"/>
  <c r="I1015" i="10"/>
  <c r="J1015" i="10"/>
  <c r="K1015" i="10"/>
  <c r="L1015" i="10"/>
  <c r="A1015" i="10" s="1"/>
  <c r="M1015" i="10"/>
  <c r="B1016" i="10"/>
  <c r="C1016" i="10"/>
  <c r="D1016" i="10"/>
  <c r="E1016" i="10"/>
  <c r="F1016" i="10"/>
  <c r="G1016" i="10"/>
  <c r="H1016" i="10"/>
  <c r="I1016" i="10"/>
  <c r="J1016" i="10"/>
  <c r="K1016" i="10"/>
  <c r="L1016" i="10"/>
  <c r="A1016" i="10" s="1"/>
  <c r="M1016" i="10"/>
  <c r="B1017" i="10"/>
  <c r="C1017" i="10"/>
  <c r="D1017" i="10"/>
  <c r="E1017" i="10"/>
  <c r="F1017" i="10"/>
  <c r="G1017" i="10"/>
  <c r="H1017" i="10"/>
  <c r="I1017" i="10"/>
  <c r="J1017" i="10"/>
  <c r="K1017" i="10"/>
  <c r="L1017" i="10"/>
  <c r="A1017" i="10" s="1"/>
  <c r="M1017" i="10"/>
  <c r="B1018" i="10"/>
  <c r="C1018" i="10"/>
  <c r="D1018" i="10"/>
  <c r="E1018" i="10"/>
  <c r="F1018" i="10"/>
  <c r="G1018" i="10"/>
  <c r="H1018" i="10"/>
  <c r="I1018" i="10"/>
  <c r="J1018" i="10"/>
  <c r="K1018" i="10"/>
  <c r="L1018" i="10"/>
  <c r="A1018" i="10" s="1"/>
  <c r="M1018" i="10"/>
  <c r="B1019" i="10"/>
  <c r="C1019" i="10"/>
  <c r="D1019" i="10"/>
  <c r="E1019" i="10"/>
  <c r="F1019" i="10"/>
  <c r="G1019" i="10"/>
  <c r="H1019" i="10"/>
  <c r="I1019" i="10"/>
  <c r="J1019" i="10"/>
  <c r="K1019" i="10"/>
  <c r="L1019" i="10"/>
  <c r="A1019" i="10" s="1"/>
  <c r="M1019" i="10"/>
  <c r="B1020" i="10"/>
  <c r="C1020" i="10"/>
  <c r="D1020" i="10"/>
  <c r="E1020" i="10"/>
  <c r="F1020" i="10"/>
  <c r="G1020" i="10"/>
  <c r="H1020" i="10"/>
  <c r="I1020" i="10"/>
  <c r="J1020" i="10"/>
  <c r="K1020" i="10"/>
  <c r="L1020" i="10"/>
  <c r="A1020" i="10" s="1"/>
  <c r="M1020" i="10"/>
  <c r="B1021" i="10"/>
  <c r="C1021" i="10"/>
  <c r="D1021" i="10"/>
  <c r="E1021" i="10"/>
  <c r="F1021" i="10"/>
  <c r="G1021" i="10"/>
  <c r="H1021" i="10"/>
  <c r="I1021" i="10"/>
  <c r="J1021" i="10"/>
  <c r="K1021" i="10"/>
  <c r="L1021" i="10"/>
  <c r="A1021" i="10" s="1"/>
  <c r="M1021" i="10"/>
  <c r="B1022" i="10"/>
  <c r="C1022" i="10"/>
  <c r="D1022" i="10"/>
  <c r="E1022" i="10"/>
  <c r="F1022" i="10"/>
  <c r="G1022" i="10"/>
  <c r="H1022" i="10"/>
  <c r="I1022" i="10"/>
  <c r="J1022" i="10"/>
  <c r="K1022" i="10"/>
  <c r="L1022" i="10"/>
  <c r="A1022" i="10" s="1"/>
  <c r="M1022" i="10"/>
  <c r="B1023" i="10"/>
  <c r="C1023" i="10"/>
  <c r="D1023" i="10"/>
  <c r="E1023" i="10"/>
  <c r="F1023" i="10"/>
  <c r="G1023" i="10"/>
  <c r="H1023" i="10"/>
  <c r="I1023" i="10"/>
  <c r="J1023" i="10"/>
  <c r="K1023" i="10"/>
  <c r="L1023" i="10"/>
  <c r="A1023" i="10" s="1"/>
  <c r="M1023" i="10"/>
  <c r="B1024" i="10"/>
  <c r="C1024" i="10"/>
  <c r="D1024" i="10"/>
  <c r="E1024" i="10"/>
  <c r="F1024" i="10"/>
  <c r="G1024" i="10"/>
  <c r="H1024" i="10"/>
  <c r="I1024" i="10"/>
  <c r="J1024" i="10"/>
  <c r="K1024" i="10"/>
  <c r="L1024" i="10"/>
  <c r="A1024" i="10" s="1"/>
  <c r="M1024" i="10"/>
  <c r="B1025" i="10"/>
  <c r="C1025" i="10"/>
  <c r="D1025" i="10"/>
  <c r="E1025" i="10"/>
  <c r="F1025" i="10"/>
  <c r="G1025" i="10"/>
  <c r="H1025" i="10"/>
  <c r="I1025" i="10"/>
  <c r="J1025" i="10"/>
  <c r="K1025" i="10"/>
  <c r="L1025" i="10"/>
  <c r="A1025" i="10" s="1"/>
  <c r="M1025" i="10"/>
  <c r="B1026" i="10"/>
  <c r="C1026" i="10"/>
  <c r="D1026" i="10"/>
  <c r="E1026" i="10"/>
  <c r="F1026" i="10"/>
  <c r="G1026" i="10"/>
  <c r="H1026" i="10"/>
  <c r="I1026" i="10"/>
  <c r="J1026" i="10"/>
  <c r="K1026" i="10"/>
  <c r="L1026" i="10"/>
  <c r="A1026" i="10" s="1"/>
  <c r="M1026" i="10"/>
  <c r="B1027" i="10"/>
  <c r="C1027" i="10"/>
  <c r="D1027" i="10"/>
  <c r="E1027" i="10"/>
  <c r="F1027" i="10"/>
  <c r="G1027" i="10"/>
  <c r="H1027" i="10"/>
  <c r="I1027" i="10"/>
  <c r="J1027" i="10"/>
  <c r="K1027" i="10"/>
  <c r="L1027" i="10"/>
  <c r="A1027" i="10" s="1"/>
  <c r="M1027" i="10"/>
  <c r="B1028" i="10"/>
  <c r="C1028" i="10"/>
  <c r="D1028" i="10"/>
  <c r="E1028" i="10"/>
  <c r="F1028" i="10"/>
  <c r="G1028" i="10"/>
  <c r="H1028" i="10"/>
  <c r="I1028" i="10"/>
  <c r="J1028" i="10"/>
  <c r="K1028" i="10"/>
  <c r="L1028" i="10"/>
  <c r="A1028" i="10" s="1"/>
  <c r="M1028" i="10"/>
  <c r="B1029" i="10"/>
  <c r="C1029" i="10"/>
  <c r="D1029" i="10"/>
  <c r="E1029" i="10"/>
  <c r="F1029" i="10"/>
  <c r="G1029" i="10"/>
  <c r="H1029" i="10"/>
  <c r="I1029" i="10"/>
  <c r="J1029" i="10"/>
  <c r="K1029" i="10"/>
  <c r="L1029" i="10"/>
  <c r="A1029" i="10" s="1"/>
  <c r="M1029" i="10"/>
  <c r="B1030" i="10"/>
  <c r="C1030" i="10"/>
  <c r="D1030" i="10"/>
  <c r="E1030" i="10"/>
  <c r="F1030" i="10"/>
  <c r="G1030" i="10"/>
  <c r="H1030" i="10"/>
  <c r="I1030" i="10"/>
  <c r="J1030" i="10"/>
  <c r="K1030" i="10"/>
  <c r="L1030" i="10"/>
  <c r="A1030" i="10" s="1"/>
  <c r="M1030" i="10"/>
  <c r="B1031" i="10"/>
  <c r="C1031" i="10"/>
  <c r="D1031" i="10"/>
  <c r="E1031" i="10"/>
  <c r="F1031" i="10"/>
  <c r="G1031" i="10"/>
  <c r="H1031" i="10"/>
  <c r="I1031" i="10"/>
  <c r="J1031" i="10"/>
  <c r="K1031" i="10"/>
  <c r="L1031" i="10"/>
  <c r="A1031" i="10" s="1"/>
  <c r="M1031" i="10"/>
  <c r="B1032" i="10"/>
  <c r="C1032" i="10"/>
  <c r="D1032" i="10"/>
  <c r="E1032" i="10"/>
  <c r="F1032" i="10"/>
  <c r="G1032" i="10"/>
  <c r="H1032" i="10"/>
  <c r="I1032" i="10"/>
  <c r="J1032" i="10"/>
  <c r="K1032" i="10"/>
  <c r="L1032" i="10"/>
  <c r="A1032" i="10" s="1"/>
  <c r="M1032" i="10"/>
  <c r="B1033" i="10"/>
  <c r="C1033" i="10"/>
  <c r="D1033" i="10"/>
  <c r="E1033" i="10"/>
  <c r="F1033" i="10"/>
  <c r="G1033" i="10"/>
  <c r="H1033" i="10"/>
  <c r="I1033" i="10"/>
  <c r="J1033" i="10"/>
  <c r="K1033" i="10"/>
  <c r="L1033" i="10"/>
  <c r="A1033" i="10" s="1"/>
  <c r="M1033" i="10"/>
  <c r="B1034" i="10"/>
  <c r="C1034" i="10"/>
  <c r="D1034" i="10"/>
  <c r="E1034" i="10"/>
  <c r="F1034" i="10"/>
  <c r="G1034" i="10"/>
  <c r="H1034" i="10"/>
  <c r="I1034" i="10"/>
  <c r="J1034" i="10"/>
  <c r="K1034" i="10"/>
  <c r="L1034" i="10"/>
  <c r="A1034" i="10" s="1"/>
  <c r="M1034" i="10"/>
  <c r="B1035" i="10"/>
  <c r="C1035" i="10"/>
  <c r="D1035" i="10"/>
  <c r="E1035" i="10"/>
  <c r="F1035" i="10"/>
  <c r="G1035" i="10"/>
  <c r="H1035" i="10"/>
  <c r="I1035" i="10"/>
  <c r="J1035" i="10"/>
  <c r="K1035" i="10"/>
  <c r="L1035" i="10"/>
  <c r="A1035" i="10" s="1"/>
  <c r="M1035" i="10"/>
  <c r="B1036" i="10"/>
  <c r="C1036" i="10"/>
  <c r="D1036" i="10"/>
  <c r="E1036" i="10"/>
  <c r="F1036" i="10"/>
  <c r="G1036" i="10"/>
  <c r="H1036" i="10"/>
  <c r="I1036" i="10"/>
  <c r="J1036" i="10"/>
  <c r="K1036" i="10"/>
  <c r="L1036" i="10"/>
  <c r="A1036" i="10" s="1"/>
  <c r="M1036" i="10"/>
  <c r="B1037" i="10"/>
  <c r="C1037" i="10"/>
  <c r="D1037" i="10"/>
  <c r="E1037" i="10"/>
  <c r="F1037" i="10"/>
  <c r="G1037" i="10"/>
  <c r="H1037" i="10"/>
  <c r="I1037" i="10"/>
  <c r="J1037" i="10"/>
  <c r="K1037" i="10"/>
  <c r="L1037" i="10"/>
  <c r="A1037" i="10" s="1"/>
  <c r="M1037" i="10"/>
  <c r="B1038" i="10"/>
  <c r="C1038" i="10"/>
  <c r="D1038" i="10"/>
  <c r="E1038" i="10"/>
  <c r="F1038" i="10"/>
  <c r="G1038" i="10"/>
  <c r="H1038" i="10"/>
  <c r="I1038" i="10"/>
  <c r="J1038" i="10"/>
  <c r="K1038" i="10"/>
  <c r="L1038" i="10"/>
  <c r="A1038" i="10" s="1"/>
  <c r="M1038" i="10"/>
  <c r="B1039" i="10"/>
  <c r="C1039" i="10"/>
  <c r="D1039" i="10"/>
  <c r="E1039" i="10"/>
  <c r="F1039" i="10"/>
  <c r="G1039" i="10"/>
  <c r="H1039" i="10"/>
  <c r="I1039" i="10"/>
  <c r="J1039" i="10"/>
  <c r="K1039" i="10"/>
  <c r="L1039" i="10"/>
  <c r="A1039" i="10" s="1"/>
  <c r="M1039" i="10"/>
  <c r="B1040" i="10"/>
  <c r="C1040" i="10"/>
  <c r="D1040" i="10"/>
  <c r="E1040" i="10"/>
  <c r="F1040" i="10"/>
  <c r="G1040" i="10"/>
  <c r="H1040" i="10"/>
  <c r="I1040" i="10"/>
  <c r="J1040" i="10"/>
  <c r="K1040" i="10"/>
  <c r="L1040" i="10"/>
  <c r="A1040" i="10" s="1"/>
  <c r="M1040" i="10"/>
  <c r="B1041" i="10"/>
  <c r="C1041" i="10"/>
  <c r="D1041" i="10"/>
  <c r="E1041" i="10"/>
  <c r="F1041" i="10"/>
  <c r="G1041" i="10"/>
  <c r="H1041" i="10"/>
  <c r="I1041" i="10"/>
  <c r="J1041" i="10"/>
  <c r="K1041" i="10"/>
  <c r="L1041" i="10"/>
  <c r="A1041" i="10" s="1"/>
  <c r="M1041" i="10"/>
  <c r="B1042" i="10"/>
  <c r="C1042" i="10"/>
  <c r="D1042" i="10"/>
  <c r="E1042" i="10"/>
  <c r="F1042" i="10"/>
  <c r="G1042" i="10"/>
  <c r="H1042" i="10"/>
  <c r="I1042" i="10"/>
  <c r="J1042" i="10"/>
  <c r="K1042" i="10"/>
  <c r="L1042" i="10"/>
  <c r="A1042" i="10" s="1"/>
  <c r="M1042" i="10"/>
  <c r="B1043" i="10"/>
  <c r="C1043" i="10"/>
  <c r="D1043" i="10"/>
  <c r="E1043" i="10"/>
  <c r="F1043" i="10"/>
  <c r="G1043" i="10"/>
  <c r="H1043" i="10"/>
  <c r="I1043" i="10"/>
  <c r="J1043" i="10"/>
  <c r="K1043" i="10"/>
  <c r="L1043" i="10"/>
  <c r="A1043" i="10" s="1"/>
  <c r="M1043" i="10"/>
  <c r="B1044" i="10"/>
  <c r="C1044" i="10"/>
  <c r="D1044" i="10"/>
  <c r="E1044" i="10"/>
  <c r="F1044" i="10"/>
  <c r="G1044" i="10"/>
  <c r="H1044" i="10"/>
  <c r="I1044" i="10"/>
  <c r="J1044" i="10"/>
  <c r="K1044" i="10"/>
  <c r="L1044" i="10"/>
  <c r="A1044" i="10" s="1"/>
  <c r="M1044" i="10"/>
  <c r="B1045" i="10"/>
  <c r="C1045" i="10"/>
  <c r="D1045" i="10"/>
  <c r="E1045" i="10"/>
  <c r="F1045" i="10"/>
  <c r="G1045" i="10"/>
  <c r="H1045" i="10"/>
  <c r="I1045" i="10"/>
  <c r="J1045" i="10"/>
  <c r="K1045" i="10"/>
  <c r="L1045" i="10"/>
  <c r="A1045" i="10" s="1"/>
  <c r="M1045" i="10"/>
  <c r="B1046" i="10"/>
  <c r="C1046" i="10"/>
  <c r="D1046" i="10"/>
  <c r="E1046" i="10"/>
  <c r="F1046" i="10"/>
  <c r="G1046" i="10"/>
  <c r="H1046" i="10"/>
  <c r="I1046" i="10"/>
  <c r="J1046" i="10"/>
  <c r="K1046" i="10"/>
  <c r="L1046" i="10"/>
  <c r="A1046" i="10" s="1"/>
  <c r="M1046" i="10"/>
  <c r="B1047" i="10"/>
  <c r="C1047" i="10"/>
  <c r="D1047" i="10"/>
  <c r="E1047" i="10"/>
  <c r="F1047" i="10"/>
  <c r="G1047" i="10"/>
  <c r="H1047" i="10"/>
  <c r="I1047" i="10"/>
  <c r="J1047" i="10"/>
  <c r="K1047" i="10"/>
  <c r="L1047" i="10"/>
  <c r="A1047" i="10" s="1"/>
  <c r="M1047" i="10"/>
  <c r="B1048" i="10"/>
  <c r="C1048" i="10"/>
  <c r="D1048" i="10"/>
  <c r="E1048" i="10"/>
  <c r="F1048" i="10"/>
  <c r="G1048" i="10"/>
  <c r="H1048" i="10"/>
  <c r="I1048" i="10"/>
  <c r="J1048" i="10"/>
  <c r="K1048" i="10"/>
  <c r="L1048" i="10"/>
  <c r="A1048" i="10" s="1"/>
  <c r="M1048" i="10"/>
  <c r="B1049" i="10"/>
  <c r="C1049" i="10"/>
  <c r="D1049" i="10"/>
  <c r="E1049" i="10"/>
  <c r="F1049" i="10"/>
  <c r="G1049" i="10"/>
  <c r="H1049" i="10"/>
  <c r="I1049" i="10"/>
  <c r="J1049" i="10"/>
  <c r="K1049" i="10"/>
  <c r="L1049" i="10"/>
  <c r="A1049" i="10" s="1"/>
  <c r="M1049" i="10"/>
  <c r="B1050" i="10"/>
  <c r="C1050" i="10"/>
  <c r="D1050" i="10"/>
  <c r="E1050" i="10"/>
  <c r="F1050" i="10"/>
  <c r="G1050" i="10"/>
  <c r="H1050" i="10"/>
  <c r="I1050" i="10"/>
  <c r="J1050" i="10"/>
  <c r="K1050" i="10"/>
  <c r="L1050" i="10"/>
  <c r="A1050" i="10" s="1"/>
  <c r="M1050" i="10"/>
  <c r="B1051" i="10"/>
  <c r="C1051" i="10"/>
  <c r="D1051" i="10"/>
  <c r="E1051" i="10"/>
  <c r="F1051" i="10"/>
  <c r="G1051" i="10"/>
  <c r="H1051" i="10"/>
  <c r="I1051" i="10"/>
  <c r="J1051" i="10"/>
  <c r="K1051" i="10"/>
  <c r="L1051" i="10"/>
  <c r="A1051" i="10" s="1"/>
  <c r="M1051" i="10"/>
  <c r="B1052" i="10"/>
  <c r="C1052" i="10"/>
  <c r="D1052" i="10"/>
  <c r="E1052" i="10"/>
  <c r="F1052" i="10"/>
  <c r="G1052" i="10"/>
  <c r="H1052" i="10"/>
  <c r="I1052" i="10"/>
  <c r="J1052" i="10"/>
  <c r="K1052" i="10"/>
  <c r="L1052" i="10"/>
  <c r="A1052" i="10" s="1"/>
  <c r="M1052" i="10"/>
  <c r="B1053" i="10"/>
  <c r="C1053" i="10"/>
  <c r="D1053" i="10"/>
  <c r="E1053" i="10"/>
  <c r="F1053" i="10"/>
  <c r="G1053" i="10"/>
  <c r="H1053" i="10"/>
  <c r="I1053" i="10"/>
  <c r="J1053" i="10"/>
  <c r="K1053" i="10"/>
  <c r="L1053" i="10"/>
  <c r="A1053" i="10" s="1"/>
  <c r="M1053" i="10"/>
  <c r="B1054" i="10"/>
  <c r="C1054" i="10"/>
  <c r="D1054" i="10"/>
  <c r="E1054" i="10"/>
  <c r="F1054" i="10"/>
  <c r="G1054" i="10"/>
  <c r="H1054" i="10"/>
  <c r="I1054" i="10"/>
  <c r="J1054" i="10"/>
  <c r="K1054" i="10"/>
  <c r="L1054" i="10"/>
  <c r="A1054" i="10" s="1"/>
  <c r="M1054" i="10"/>
  <c r="B1055" i="10"/>
  <c r="C1055" i="10"/>
  <c r="D1055" i="10"/>
  <c r="E1055" i="10"/>
  <c r="F1055" i="10"/>
  <c r="G1055" i="10"/>
  <c r="H1055" i="10"/>
  <c r="I1055" i="10"/>
  <c r="J1055" i="10"/>
  <c r="K1055" i="10"/>
  <c r="L1055" i="10"/>
  <c r="A1055" i="10" s="1"/>
  <c r="M1055" i="10"/>
  <c r="B1056" i="10"/>
  <c r="C1056" i="10"/>
  <c r="D1056" i="10"/>
  <c r="E1056" i="10"/>
  <c r="F1056" i="10"/>
  <c r="G1056" i="10"/>
  <c r="H1056" i="10"/>
  <c r="I1056" i="10"/>
  <c r="J1056" i="10"/>
  <c r="K1056" i="10"/>
  <c r="L1056" i="10"/>
  <c r="A1056" i="10" s="1"/>
  <c r="M1056" i="10"/>
  <c r="B1057" i="10"/>
  <c r="C1057" i="10"/>
  <c r="D1057" i="10"/>
  <c r="E1057" i="10"/>
  <c r="F1057" i="10"/>
  <c r="G1057" i="10"/>
  <c r="H1057" i="10"/>
  <c r="I1057" i="10"/>
  <c r="J1057" i="10"/>
  <c r="K1057" i="10"/>
  <c r="L1057" i="10"/>
  <c r="A1057" i="10" s="1"/>
  <c r="M1057" i="10"/>
  <c r="B1058" i="10"/>
  <c r="C1058" i="10"/>
  <c r="D1058" i="10"/>
  <c r="E1058" i="10"/>
  <c r="F1058" i="10"/>
  <c r="G1058" i="10"/>
  <c r="H1058" i="10"/>
  <c r="I1058" i="10"/>
  <c r="J1058" i="10"/>
  <c r="K1058" i="10"/>
  <c r="L1058" i="10"/>
  <c r="A1058" i="10" s="1"/>
  <c r="M1058" i="10"/>
  <c r="B1059" i="10"/>
  <c r="C1059" i="10"/>
  <c r="D1059" i="10"/>
  <c r="E1059" i="10"/>
  <c r="F1059" i="10"/>
  <c r="G1059" i="10"/>
  <c r="H1059" i="10"/>
  <c r="I1059" i="10"/>
  <c r="J1059" i="10"/>
  <c r="K1059" i="10"/>
  <c r="L1059" i="10"/>
  <c r="A1059" i="10" s="1"/>
  <c r="M1059" i="10"/>
  <c r="B1060" i="10"/>
  <c r="C1060" i="10"/>
  <c r="D1060" i="10"/>
  <c r="E1060" i="10"/>
  <c r="F1060" i="10"/>
  <c r="G1060" i="10"/>
  <c r="H1060" i="10"/>
  <c r="I1060" i="10"/>
  <c r="J1060" i="10"/>
  <c r="K1060" i="10"/>
  <c r="L1060" i="10"/>
  <c r="A1060" i="10" s="1"/>
  <c r="M1060" i="10"/>
  <c r="B1061" i="10"/>
  <c r="C1061" i="10"/>
  <c r="D1061" i="10"/>
  <c r="E1061" i="10"/>
  <c r="F1061" i="10"/>
  <c r="G1061" i="10"/>
  <c r="H1061" i="10"/>
  <c r="I1061" i="10"/>
  <c r="J1061" i="10"/>
  <c r="K1061" i="10"/>
  <c r="L1061" i="10"/>
  <c r="A1061" i="10" s="1"/>
  <c r="M1061" i="10"/>
  <c r="B1062" i="10"/>
  <c r="C1062" i="10"/>
  <c r="D1062" i="10"/>
  <c r="E1062" i="10"/>
  <c r="F1062" i="10"/>
  <c r="G1062" i="10"/>
  <c r="H1062" i="10"/>
  <c r="I1062" i="10"/>
  <c r="J1062" i="10"/>
  <c r="K1062" i="10"/>
  <c r="L1062" i="10"/>
  <c r="A1062" i="10" s="1"/>
  <c r="M1062" i="10"/>
  <c r="B1063" i="10"/>
  <c r="C1063" i="10"/>
  <c r="D1063" i="10"/>
  <c r="E1063" i="10"/>
  <c r="F1063" i="10"/>
  <c r="G1063" i="10"/>
  <c r="H1063" i="10"/>
  <c r="I1063" i="10"/>
  <c r="J1063" i="10"/>
  <c r="K1063" i="10"/>
  <c r="L1063" i="10"/>
  <c r="A1063" i="10" s="1"/>
  <c r="M1063" i="10"/>
  <c r="B1064" i="10"/>
  <c r="C1064" i="10"/>
  <c r="D1064" i="10"/>
  <c r="E1064" i="10"/>
  <c r="F1064" i="10"/>
  <c r="G1064" i="10"/>
  <c r="H1064" i="10"/>
  <c r="I1064" i="10"/>
  <c r="J1064" i="10"/>
  <c r="K1064" i="10"/>
  <c r="L1064" i="10"/>
  <c r="A1064" i="10" s="1"/>
  <c r="M1064" i="10"/>
  <c r="B1065" i="10"/>
  <c r="C1065" i="10"/>
  <c r="D1065" i="10"/>
  <c r="E1065" i="10"/>
  <c r="F1065" i="10"/>
  <c r="G1065" i="10"/>
  <c r="H1065" i="10"/>
  <c r="I1065" i="10"/>
  <c r="J1065" i="10"/>
  <c r="K1065" i="10"/>
  <c r="L1065" i="10"/>
  <c r="A1065" i="10" s="1"/>
  <c r="M1065" i="10"/>
  <c r="B1066" i="10"/>
  <c r="C1066" i="10"/>
  <c r="D1066" i="10"/>
  <c r="E1066" i="10"/>
  <c r="F1066" i="10"/>
  <c r="G1066" i="10"/>
  <c r="H1066" i="10"/>
  <c r="I1066" i="10"/>
  <c r="J1066" i="10"/>
  <c r="K1066" i="10"/>
  <c r="L1066" i="10"/>
  <c r="A1066" i="10" s="1"/>
  <c r="M1066" i="10"/>
  <c r="B1067" i="10"/>
  <c r="C1067" i="10"/>
  <c r="D1067" i="10"/>
  <c r="E1067" i="10"/>
  <c r="F1067" i="10"/>
  <c r="G1067" i="10"/>
  <c r="H1067" i="10"/>
  <c r="I1067" i="10"/>
  <c r="J1067" i="10"/>
  <c r="K1067" i="10"/>
  <c r="L1067" i="10"/>
  <c r="A1067" i="10" s="1"/>
  <c r="M1067" i="10"/>
  <c r="B1068" i="10"/>
  <c r="C1068" i="10"/>
  <c r="D1068" i="10"/>
  <c r="E1068" i="10"/>
  <c r="F1068" i="10"/>
  <c r="G1068" i="10"/>
  <c r="H1068" i="10"/>
  <c r="I1068" i="10"/>
  <c r="J1068" i="10"/>
  <c r="K1068" i="10"/>
  <c r="L1068" i="10"/>
  <c r="A1068" i="10" s="1"/>
  <c r="M1068" i="10"/>
  <c r="B1069" i="10"/>
  <c r="C1069" i="10"/>
  <c r="D1069" i="10"/>
  <c r="E1069" i="10"/>
  <c r="F1069" i="10"/>
  <c r="G1069" i="10"/>
  <c r="H1069" i="10"/>
  <c r="I1069" i="10"/>
  <c r="J1069" i="10"/>
  <c r="K1069" i="10"/>
  <c r="L1069" i="10"/>
  <c r="A1069" i="10" s="1"/>
  <c r="M1069" i="10"/>
  <c r="B1070" i="10"/>
  <c r="C1070" i="10"/>
  <c r="D1070" i="10"/>
  <c r="E1070" i="10"/>
  <c r="F1070" i="10"/>
  <c r="G1070" i="10"/>
  <c r="H1070" i="10"/>
  <c r="I1070" i="10"/>
  <c r="J1070" i="10"/>
  <c r="K1070" i="10"/>
  <c r="L1070" i="10"/>
  <c r="A1070" i="10" s="1"/>
  <c r="M1070" i="10"/>
  <c r="B1071" i="10"/>
  <c r="C1071" i="10"/>
  <c r="D1071" i="10"/>
  <c r="E1071" i="10"/>
  <c r="F1071" i="10"/>
  <c r="G1071" i="10"/>
  <c r="H1071" i="10"/>
  <c r="I1071" i="10"/>
  <c r="J1071" i="10"/>
  <c r="K1071" i="10"/>
  <c r="L1071" i="10"/>
  <c r="A1071" i="10" s="1"/>
  <c r="M1071" i="10"/>
  <c r="B1072" i="10"/>
  <c r="C1072" i="10"/>
  <c r="D1072" i="10"/>
  <c r="E1072" i="10"/>
  <c r="F1072" i="10"/>
  <c r="G1072" i="10"/>
  <c r="H1072" i="10"/>
  <c r="I1072" i="10"/>
  <c r="J1072" i="10"/>
  <c r="K1072" i="10"/>
  <c r="L1072" i="10"/>
  <c r="A1072" i="10" s="1"/>
  <c r="M1072" i="10"/>
  <c r="B1073" i="10"/>
  <c r="C1073" i="10"/>
  <c r="D1073" i="10"/>
  <c r="E1073" i="10"/>
  <c r="F1073" i="10"/>
  <c r="G1073" i="10"/>
  <c r="H1073" i="10"/>
  <c r="I1073" i="10"/>
  <c r="J1073" i="10"/>
  <c r="K1073" i="10"/>
  <c r="L1073" i="10"/>
  <c r="A1073" i="10" s="1"/>
  <c r="M1073" i="10"/>
  <c r="B1074" i="10"/>
  <c r="C1074" i="10"/>
  <c r="D1074" i="10"/>
  <c r="E1074" i="10"/>
  <c r="F1074" i="10"/>
  <c r="G1074" i="10"/>
  <c r="H1074" i="10"/>
  <c r="I1074" i="10"/>
  <c r="J1074" i="10"/>
  <c r="K1074" i="10"/>
  <c r="L1074" i="10"/>
  <c r="A1074" i="10" s="1"/>
  <c r="M1074" i="10"/>
  <c r="B1075" i="10"/>
  <c r="C1075" i="10"/>
  <c r="D1075" i="10"/>
  <c r="E1075" i="10"/>
  <c r="F1075" i="10"/>
  <c r="G1075" i="10"/>
  <c r="H1075" i="10"/>
  <c r="I1075" i="10"/>
  <c r="J1075" i="10"/>
  <c r="K1075" i="10"/>
  <c r="L1075" i="10"/>
  <c r="A1075" i="10" s="1"/>
  <c r="M1075" i="10"/>
  <c r="B1076" i="10"/>
  <c r="C1076" i="10"/>
  <c r="D1076" i="10"/>
  <c r="E1076" i="10"/>
  <c r="F1076" i="10"/>
  <c r="G1076" i="10"/>
  <c r="H1076" i="10"/>
  <c r="I1076" i="10"/>
  <c r="J1076" i="10"/>
  <c r="K1076" i="10"/>
  <c r="L1076" i="10"/>
  <c r="A1076" i="10" s="1"/>
  <c r="M1076" i="10"/>
  <c r="B1077" i="10"/>
  <c r="C1077" i="10"/>
  <c r="D1077" i="10"/>
  <c r="E1077" i="10"/>
  <c r="F1077" i="10"/>
  <c r="G1077" i="10"/>
  <c r="H1077" i="10"/>
  <c r="I1077" i="10"/>
  <c r="J1077" i="10"/>
  <c r="K1077" i="10"/>
  <c r="L1077" i="10"/>
  <c r="A1077" i="10" s="1"/>
  <c r="M1077" i="10"/>
  <c r="B1078" i="10"/>
  <c r="C1078" i="10"/>
  <c r="D1078" i="10"/>
  <c r="E1078" i="10"/>
  <c r="F1078" i="10"/>
  <c r="G1078" i="10"/>
  <c r="H1078" i="10"/>
  <c r="I1078" i="10"/>
  <c r="J1078" i="10"/>
  <c r="K1078" i="10"/>
  <c r="L1078" i="10"/>
  <c r="A1078" i="10" s="1"/>
  <c r="M1078" i="10"/>
  <c r="B1079" i="10"/>
  <c r="C1079" i="10"/>
  <c r="D1079" i="10"/>
  <c r="E1079" i="10"/>
  <c r="F1079" i="10"/>
  <c r="G1079" i="10"/>
  <c r="H1079" i="10"/>
  <c r="I1079" i="10"/>
  <c r="J1079" i="10"/>
  <c r="K1079" i="10"/>
  <c r="L1079" i="10"/>
  <c r="A1079" i="10" s="1"/>
  <c r="M1079" i="10"/>
  <c r="B1080" i="10"/>
  <c r="C1080" i="10"/>
  <c r="D1080" i="10"/>
  <c r="E1080" i="10"/>
  <c r="F1080" i="10"/>
  <c r="G1080" i="10"/>
  <c r="H1080" i="10"/>
  <c r="I1080" i="10"/>
  <c r="J1080" i="10"/>
  <c r="K1080" i="10"/>
  <c r="L1080" i="10"/>
  <c r="A1080" i="10" s="1"/>
  <c r="M1080" i="10"/>
  <c r="B1081" i="10"/>
  <c r="C1081" i="10"/>
  <c r="D1081" i="10"/>
  <c r="E1081" i="10"/>
  <c r="F1081" i="10"/>
  <c r="G1081" i="10"/>
  <c r="H1081" i="10"/>
  <c r="I1081" i="10"/>
  <c r="J1081" i="10"/>
  <c r="K1081" i="10"/>
  <c r="L1081" i="10"/>
  <c r="A1081" i="10" s="1"/>
  <c r="M1081" i="10"/>
  <c r="B1082" i="10"/>
  <c r="C1082" i="10"/>
  <c r="D1082" i="10"/>
  <c r="E1082" i="10"/>
  <c r="F1082" i="10"/>
  <c r="G1082" i="10"/>
  <c r="H1082" i="10"/>
  <c r="I1082" i="10"/>
  <c r="J1082" i="10"/>
  <c r="K1082" i="10"/>
  <c r="L1082" i="10"/>
  <c r="A1082" i="10" s="1"/>
  <c r="M1082" i="10"/>
  <c r="B1083" i="10"/>
  <c r="C1083" i="10"/>
  <c r="D1083" i="10"/>
  <c r="E1083" i="10"/>
  <c r="F1083" i="10"/>
  <c r="G1083" i="10"/>
  <c r="H1083" i="10"/>
  <c r="I1083" i="10"/>
  <c r="J1083" i="10"/>
  <c r="K1083" i="10"/>
  <c r="L1083" i="10"/>
  <c r="A1083" i="10" s="1"/>
  <c r="M1083" i="10"/>
  <c r="B1084" i="10"/>
  <c r="C1084" i="10"/>
  <c r="D1084" i="10"/>
  <c r="E1084" i="10"/>
  <c r="F1084" i="10"/>
  <c r="G1084" i="10"/>
  <c r="H1084" i="10"/>
  <c r="I1084" i="10"/>
  <c r="J1084" i="10"/>
  <c r="K1084" i="10"/>
  <c r="L1084" i="10"/>
  <c r="A1084" i="10" s="1"/>
  <c r="M1084" i="10"/>
  <c r="B1085" i="10"/>
  <c r="C1085" i="10"/>
  <c r="D1085" i="10"/>
  <c r="E1085" i="10"/>
  <c r="F1085" i="10"/>
  <c r="G1085" i="10"/>
  <c r="H1085" i="10"/>
  <c r="I1085" i="10"/>
  <c r="J1085" i="10"/>
  <c r="K1085" i="10"/>
  <c r="L1085" i="10"/>
  <c r="A1085" i="10" s="1"/>
  <c r="M1085" i="10"/>
  <c r="B1086" i="10"/>
  <c r="C1086" i="10"/>
  <c r="D1086" i="10"/>
  <c r="E1086" i="10"/>
  <c r="F1086" i="10"/>
  <c r="G1086" i="10"/>
  <c r="H1086" i="10"/>
  <c r="I1086" i="10"/>
  <c r="J1086" i="10"/>
  <c r="K1086" i="10"/>
  <c r="L1086" i="10"/>
  <c r="A1086" i="10" s="1"/>
  <c r="M1086" i="10"/>
  <c r="B1087" i="10"/>
  <c r="C1087" i="10"/>
  <c r="D1087" i="10"/>
  <c r="E1087" i="10"/>
  <c r="F1087" i="10"/>
  <c r="G1087" i="10"/>
  <c r="H1087" i="10"/>
  <c r="I1087" i="10"/>
  <c r="J1087" i="10"/>
  <c r="K1087" i="10"/>
  <c r="L1087" i="10"/>
  <c r="A1087" i="10" s="1"/>
  <c r="M1087" i="10"/>
  <c r="B1088" i="10"/>
  <c r="C1088" i="10"/>
  <c r="D1088" i="10"/>
  <c r="E1088" i="10"/>
  <c r="F1088" i="10"/>
  <c r="G1088" i="10"/>
  <c r="H1088" i="10"/>
  <c r="I1088" i="10"/>
  <c r="J1088" i="10"/>
  <c r="K1088" i="10"/>
  <c r="L1088" i="10"/>
  <c r="A1088" i="10" s="1"/>
  <c r="M1088" i="10"/>
  <c r="B1089" i="10"/>
  <c r="C1089" i="10"/>
  <c r="D1089" i="10"/>
  <c r="E1089" i="10"/>
  <c r="F1089" i="10"/>
  <c r="G1089" i="10"/>
  <c r="H1089" i="10"/>
  <c r="I1089" i="10"/>
  <c r="J1089" i="10"/>
  <c r="K1089" i="10"/>
  <c r="L1089" i="10"/>
  <c r="A1089" i="10" s="1"/>
  <c r="M1089" i="10"/>
  <c r="B1090" i="10"/>
  <c r="C1090" i="10"/>
  <c r="D1090" i="10"/>
  <c r="E1090" i="10"/>
  <c r="F1090" i="10"/>
  <c r="G1090" i="10"/>
  <c r="H1090" i="10"/>
  <c r="I1090" i="10"/>
  <c r="J1090" i="10"/>
  <c r="K1090" i="10"/>
  <c r="L1090" i="10"/>
  <c r="A1090" i="10" s="1"/>
  <c r="M1090" i="10"/>
  <c r="B1091" i="10"/>
  <c r="C1091" i="10"/>
  <c r="D1091" i="10"/>
  <c r="E1091" i="10"/>
  <c r="F1091" i="10"/>
  <c r="G1091" i="10"/>
  <c r="H1091" i="10"/>
  <c r="I1091" i="10"/>
  <c r="J1091" i="10"/>
  <c r="K1091" i="10"/>
  <c r="L1091" i="10"/>
  <c r="A1091" i="10" s="1"/>
  <c r="M1091" i="10"/>
  <c r="B1092" i="10"/>
  <c r="C1092" i="10"/>
  <c r="D1092" i="10"/>
  <c r="E1092" i="10"/>
  <c r="F1092" i="10"/>
  <c r="G1092" i="10"/>
  <c r="H1092" i="10"/>
  <c r="I1092" i="10"/>
  <c r="J1092" i="10"/>
  <c r="K1092" i="10"/>
  <c r="L1092" i="10"/>
  <c r="A1092" i="10" s="1"/>
  <c r="M1092" i="10"/>
  <c r="B1093" i="10"/>
  <c r="C1093" i="10"/>
  <c r="D1093" i="10"/>
  <c r="E1093" i="10"/>
  <c r="F1093" i="10"/>
  <c r="G1093" i="10"/>
  <c r="H1093" i="10"/>
  <c r="I1093" i="10"/>
  <c r="J1093" i="10"/>
  <c r="K1093" i="10"/>
  <c r="L1093" i="10"/>
  <c r="A1093" i="10" s="1"/>
  <c r="M1093" i="10"/>
  <c r="B1094" i="10"/>
  <c r="C1094" i="10"/>
  <c r="D1094" i="10"/>
  <c r="E1094" i="10"/>
  <c r="F1094" i="10"/>
  <c r="G1094" i="10"/>
  <c r="H1094" i="10"/>
  <c r="I1094" i="10"/>
  <c r="J1094" i="10"/>
  <c r="K1094" i="10"/>
  <c r="L1094" i="10"/>
  <c r="A1094" i="10" s="1"/>
  <c r="M1094" i="10"/>
  <c r="B1095" i="10"/>
  <c r="C1095" i="10"/>
  <c r="D1095" i="10"/>
  <c r="E1095" i="10"/>
  <c r="F1095" i="10"/>
  <c r="G1095" i="10"/>
  <c r="H1095" i="10"/>
  <c r="I1095" i="10"/>
  <c r="J1095" i="10"/>
  <c r="K1095" i="10"/>
  <c r="L1095" i="10"/>
  <c r="A1095" i="10" s="1"/>
  <c r="M1095" i="10"/>
  <c r="B1096" i="10"/>
  <c r="C1096" i="10"/>
  <c r="D1096" i="10"/>
  <c r="E1096" i="10"/>
  <c r="F1096" i="10"/>
  <c r="G1096" i="10"/>
  <c r="H1096" i="10"/>
  <c r="I1096" i="10"/>
  <c r="J1096" i="10"/>
  <c r="K1096" i="10"/>
  <c r="L1096" i="10"/>
  <c r="A1096" i="10" s="1"/>
  <c r="M1096" i="10"/>
  <c r="B1097" i="10"/>
  <c r="C1097" i="10"/>
  <c r="D1097" i="10"/>
  <c r="E1097" i="10"/>
  <c r="F1097" i="10"/>
  <c r="G1097" i="10"/>
  <c r="H1097" i="10"/>
  <c r="I1097" i="10"/>
  <c r="J1097" i="10"/>
  <c r="K1097" i="10"/>
  <c r="L1097" i="10"/>
  <c r="A1097" i="10" s="1"/>
  <c r="M1097" i="10"/>
  <c r="B1098" i="10"/>
  <c r="C1098" i="10"/>
  <c r="D1098" i="10"/>
  <c r="E1098" i="10"/>
  <c r="F1098" i="10"/>
  <c r="G1098" i="10"/>
  <c r="H1098" i="10"/>
  <c r="I1098" i="10"/>
  <c r="J1098" i="10"/>
  <c r="K1098" i="10"/>
  <c r="L1098" i="10"/>
  <c r="A1098" i="10" s="1"/>
  <c r="M1098" i="10"/>
  <c r="B1099" i="10"/>
  <c r="C1099" i="10"/>
  <c r="D1099" i="10"/>
  <c r="E1099" i="10"/>
  <c r="F1099" i="10"/>
  <c r="G1099" i="10"/>
  <c r="H1099" i="10"/>
  <c r="I1099" i="10"/>
  <c r="J1099" i="10"/>
  <c r="K1099" i="10"/>
  <c r="L1099" i="10"/>
  <c r="A1099" i="10" s="1"/>
  <c r="M1099" i="10"/>
  <c r="B1100" i="10"/>
  <c r="C1100" i="10"/>
  <c r="D1100" i="10"/>
  <c r="E1100" i="10"/>
  <c r="F1100" i="10"/>
  <c r="G1100" i="10"/>
  <c r="H1100" i="10"/>
  <c r="I1100" i="10"/>
  <c r="J1100" i="10"/>
  <c r="K1100" i="10"/>
  <c r="L1100" i="10"/>
  <c r="A1100" i="10" s="1"/>
  <c r="M1100" i="10"/>
  <c r="B1101" i="10"/>
  <c r="C1101" i="10"/>
  <c r="D1101" i="10"/>
  <c r="E1101" i="10"/>
  <c r="F1101" i="10"/>
  <c r="G1101" i="10"/>
  <c r="H1101" i="10"/>
  <c r="I1101" i="10"/>
  <c r="J1101" i="10"/>
  <c r="K1101" i="10"/>
  <c r="L1101" i="10"/>
  <c r="A1101" i="10" s="1"/>
  <c r="M1101" i="10"/>
  <c r="B1102" i="10"/>
  <c r="C1102" i="10"/>
  <c r="D1102" i="10"/>
  <c r="E1102" i="10"/>
  <c r="F1102" i="10"/>
  <c r="G1102" i="10"/>
  <c r="H1102" i="10"/>
  <c r="I1102" i="10"/>
  <c r="J1102" i="10"/>
  <c r="K1102" i="10"/>
  <c r="L1102" i="10"/>
  <c r="A1102" i="10" s="1"/>
  <c r="M1102" i="10"/>
  <c r="B1103" i="10"/>
  <c r="C1103" i="10"/>
  <c r="D1103" i="10"/>
  <c r="E1103" i="10"/>
  <c r="F1103" i="10"/>
  <c r="G1103" i="10"/>
  <c r="H1103" i="10"/>
  <c r="I1103" i="10"/>
  <c r="J1103" i="10"/>
  <c r="K1103" i="10"/>
  <c r="L1103" i="10"/>
  <c r="A1103" i="10" s="1"/>
  <c r="M1103" i="10"/>
  <c r="B1104" i="10"/>
  <c r="C1104" i="10"/>
  <c r="D1104" i="10"/>
  <c r="E1104" i="10"/>
  <c r="F1104" i="10"/>
  <c r="G1104" i="10"/>
  <c r="H1104" i="10"/>
  <c r="I1104" i="10"/>
  <c r="J1104" i="10"/>
  <c r="K1104" i="10"/>
  <c r="L1104" i="10"/>
  <c r="A1104" i="10" s="1"/>
  <c r="M1104" i="10"/>
  <c r="B1105" i="10"/>
  <c r="C1105" i="10"/>
  <c r="D1105" i="10"/>
  <c r="E1105" i="10"/>
  <c r="F1105" i="10"/>
  <c r="G1105" i="10"/>
  <c r="H1105" i="10"/>
  <c r="I1105" i="10"/>
  <c r="J1105" i="10"/>
  <c r="K1105" i="10"/>
  <c r="L1105" i="10"/>
  <c r="A1105" i="10" s="1"/>
  <c r="M1105" i="10"/>
  <c r="B1106" i="10"/>
  <c r="C1106" i="10"/>
  <c r="D1106" i="10"/>
  <c r="E1106" i="10"/>
  <c r="F1106" i="10"/>
  <c r="G1106" i="10"/>
  <c r="H1106" i="10"/>
  <c r="I1106" i="10"/>
  <c r="J1106" i="10"/>
  <c r="K1106" i="10"/>
  <c r="L1106" i="10"/>
  <c r="A1106" i="10" s="1"/>
  <c r="M1106" i="10"/>
  <c r="B1107" i="10"/>
  <c r="C1107" i="10"/>
  <c r="D1107" i="10"/>
  <c r="E1107" i="10"/>
  <c r="F1107" i="10"/>
  <c r="G1107" i="10"/>
  <c r="H1107" i="10"/>
  <c r="I1107" i="10"/>
  <c r="J1107" i="10"/>
  <c r="K1107" i="10"/>
  <c r="L1107" i="10"/>
  <c r="A1107" i="10" s="1"/>
  <c r="M1107" i="10"/>
  <c r="B1108" i="10"/>
  <c r="C1108" i="10"/>
  <c r="D1108" i="10"/>
  <c r="E1108" i="10"/>
  <c r="F1108" i="10"/>
  <c r="G1108" i="10"/>
  <c r="H1108" i="10"/>
  <c r="I1108" i="10"/>
  <c r="J1108" i="10"/>
  <c r="K1108" i="10"/>
  <c r="L1108" i="10"/>
  <c r="A1108" i="10" s="1"/>
  <c r="M1108" i="10"/>
  <c r="B1109" i="10"/>
  <c r="C1109" i="10"/>
  <c r="D1109" i="10"/>
  <c r="E1109" i="10"/>
  <c r="F1109" i="10"/>
  <c r="G1109" i="10"/>
  <c r="H1109" i="10"/>
  <c r="I1109" i="10"/>
  <c r="J1109" i="10"/>
  <c r="K1109" i="10"/>
  <c r="L1109" i="10"/>
  <c r="A1109" i="10" s="1"/>
  <c r="M1109" i="10"/>
  <c r="B1110" i="10"/>
  <c r="C1110" i="10"/>
  <c r="D1110" i="10"/>
  <c r="E1110" i="10"/>
  <c r="F1110" i="10"/>
  <c r="G1110" i="10"/>
  <c r="H1110" i="10"/>
  <c r="I1110" i="10"/>
  <c r="J1110" i="10"/>
  <c r="K1110" i="10"/>
  <c r="L1110" i="10"/>
  <c r="A1110" i="10" s="1"/>
  <c r="M1110" i="10"/>
  <c r="B1111" i="10"/>
  <c r="C1111" i="10"/>
  <c r="D1111" i="10"/>
  <c r="E1111" i="10"/>
  <c r="F1111" i="10"/>
  <c r="G1111" i="10"/>
  <c r="H1111" i="10"/>
  <c r="I1111" i="10"/>
  <c r="J1111" i="10"/>
  <c r="K1111" i="10"/>
  <c r="L1111" i="10"/>
  <c r="A1111" i="10" s="1"/>
  <c r="M1111" i="10"/>
  <c r="B1112" i="10"/>
  <c r="C1112" i="10"/>
  <c r="D1112" i="10"/>
  <c r="E1112" i="10"/>
  <c r="F1112" i="10"/>
  <c r="G1112" i="10"/>
  <c r="H1112" i="10"/>
  <c r="I1112" i="10"/>
  <c r="J1112" i="10"/>
  <c r="K1112" i="10"/>
  <c r="L1112" i="10"/>
  <c r="A1112" i="10" s="1"/>
  <c r="M1112" i="10"/>
  <c r="B1113" i="10"/>
  <c r="C1113" i="10"/>
  <c r="D1113" i="10"/>
  <c r="E1113" i="10"/>
  <c r="F1113" i="10"/>
  <c r="G1113" i="10"/>
  <c r="H1113" i="10"/>
  <c r="I1113" i="10"/>
  <c r="J1113" i="10"/>
  <c r="K1113" i="10"/>
  <c r="L1113" i="10"/>
  <c r="A1113" i="10" s="1"/>
  <c r="M1113" i="10"/>
  <c r="B1114" i="10"/>
  <c r="C1114" i="10"/>
  <c r="D1114" i="10"/>
  <c r="E1114" i="10"/>
  <c r="F1114" i="10"/>
  <c r="G1114" i="10"/>
  <c r="H1114" i="10"/>
  <c r="I1114" i="10"/>
  <c r="J1114" i="10"/>
  <c r="K1114" i="10"/>
  <c r="L1114" i="10"/>
  <c r="A1114" i="10" s="1"/>
  <c r="M1114" i="10"/>
  <c r="B1115" i="10"/>
  <c r="C1115" i="10"/>
  <c r="D1115" i="10"/>
  <c r="E1115" i="10"/>
  <c r="F1115" i="10"/>
  <c r="G1115" i="10"/>
  <c r="H1115" i="10"/>
  <c r="I1115" i="10"/>
  <c r="J1115" i="10"/>
  <c r="K1115" i="10"/>
  <c r="L1115" i="10"/>
  <c r="A1115" i="10" s="1"/>
  <c r="M1115" i="10"/>
  <c r="B1116" i="10"/>
  <c r="C1116" i="10"/>
  <c r="D1116" i="10"/>
  <c r="E1116" i="10"/>
  <c r="F1116" i="10"/>
  <c r="G1116" i="10"/>
  <c r="H1116" i="10"/>
  <c r="I1116" i="10"/>
  <c r="J1116" i="10"/>
  <c r="K1116" i="10"/>
  <c r="L1116" i="10"/>
  <c r="A1116" i="10" s="1"/>
  <c r="M1116" i="10"/>
  <c r="B1117" i="10"/>
  <c r="C1117" i="10"/>
  <c r="D1117" i="10"/>
  <c r="E1117" i="10"/>
  <c r="F1117" i="10"/>
  <c r="G1117" i="10"/>
  <c r="H1117" i="10"/>
  <c r="I1117" i="10"/>
  <c r="J1117" i="10"/>
  <c r="K1117" i="10"/>
  <c r="L1117" i="10"/>
  <c r="A1117" i="10" s="1"/>
  <c r="M1117" i="10"/>
  <c r="B1118" i="10"/>
  <c r="C1118" i="10"/>
  <c r="D1118" i="10"/>
  <c r="E1118" i="10"/>
  <c r="F1118" i="10"/>
  <c r="G1118" i="10"/>
  <c r="H1118" i="10"/>
  <c r="I1118" i="10"/>
  <c r="J1118" i="10"/>
  <c r="K1118" i="10"/>
  <c r="L1118" i="10"/>
  <c r="A1118" i="10" s="1"/>
  <c r="M1118" i="10"/>
  <c r="B1119" i="10"/>
  <c r="C1119" i="10"/>
  <c r="D1119" i="10"/>
  <c r="E1119" i="10"/>
  <c r="F1119" i="10"/>
  <c r="G1119" i="10"/>
  <c r="H1119" i="10"/>
  <c r="I1119" i="10"/>
  <c r="J1119" i="10"/>
  <c r="K1119" i="10"/>
  <c r="L1119" i="10"/>
  <c r="A1119" i="10" s="1"/>
  <c r="M1119" i="10"/>
  <c r="B1120" i="10"/>
  <c r="C1120" i="10"/>
  <c r="D1120" i="10"/>
  <c r="E1120" i="10"/>
  <c r="F1120" i="10"/>
  <c r="G1120" i="10"/>
  <c r="H1120" i="10"/>
  <c r="I1120" i="10"/>
  <c r="J1120" i="10"/>
  <c r="K1120" i="10"/>
  <c r="L1120" i="10"/>
  <c r="A1120" i="10" s="1"/>
  <c r="M1120" i="10"/>
  <c r="B1121" i="10"/>
  <c r="C1121" i="10"/>
  <c r="D1121" i="10"/>
  <c r="E1121" i="10"/>
  <c r="F1121" i="10"/>
  <c r="G1121" i="10"/>
  <c r="H1121" i="10"/>
  <c r="I1121" i="10"/>
  <c r="J1121" i="10"/>
  <c r="K1121" i="10"/>
  <c r="L1121" i="10"/>
  <c r="A1121" i="10" s="1"/>
  <c r="M1121" i="10"/>
  <c r="B1122" i="10"/>
  <c r="C1122" i="10"/>
  <c r="D1122" i="10"/>
  <c r="E1122" i="10"/>
  <c r="F1122" i="10"/>
  <c r="G1122" i="10"/>
  <c r="H1122" i="10"/>
  <c r="I1122" i="10"/>
  <c r="J1122" i="10"/>
  <c r="K1122" i="10"/>
  <c r="L1122" i="10"/>
  <c r="A1122" i="10" s="1"/>
  <c r="M1122" i="10"/>
  <c r="B1123" i="10"/>
  <c r="C1123" i="10"/>
  <c r="D1123" i="10"/>
  <c r="E1123" i="10"/>
  <c r="F1123" i="10"/>
  <c r="G1123" i="10"/>
  <c r="H1123" i="10"/>
  <c r="I1123" i="10"/>
  <c r="J1123" i="10"/>
  <c r="K1123" i="10"/>
  <c r="L1123" i="10"/>
  <c r="A1123" i="10" s="1"/>
  <c r="M1123" i="10"/>
  <c r="B1124" i="10"/>
  <c r="C1124" i="10"/>
  <c r="D1124" i="10"/>
  <c r="E1124" i="10"/>
  <c r="F1124" i="10"/>
  <c r="G1124" i="10"/>
  <c r="H1124" i="10"/>
  <c r="I1124" i="10"/>
  <c r="J1124" i="10"/>
  <c r="K1124" i="10"/>
  <c r="L1124" i="10"/>
  <c r="A1124" i="10" s="1"/>
  <c r="M1124" i="10"/>
  <c r="B1125" i="10"/>
  <c r="C1125" i="10"/>
  <c r="D1125" i="10"/>
  <c r="E1125" i="10"/>
  <c r="F1125" i="10"/>
  <c r="G1125" i="10"/>
  <c r="H1125" i="10"/>
  <c r="I1125" i="10"/>
  <c r="J1125" i="10"/>
  <c r="K1125" i="10"/>
  <c r="L1125" i="10"/>
  <c r="A1125" i="10" s="1"/>
  <c r="M1125" i="10"/>
  <c r="B1126" i="10"/>
  <c r="C1126" i="10"/>
  <c r="D1126" i="10"/>
  <c r="E1126" i="10"/>
  <c r="F1126" i="10"/>
  <c r="G1126" i="10"/>
  <c r="H1126" i="10"/>
  <c r="I1126" i="10"/>
  <c r="J1126" i="10"/>
  <c r="K1126" i="10"/>
  <c r="L1126" i="10"/>
  <c r="A1126" i="10" s="1"/>
  <c r="M1126" i="10"/>
  <c r="B1127" i="10"/>
  <c r="C1127" i="10"/>
  <c r="D1127" i="10"/>
  <c r="E1127" i="10"/>
  <c r="F1127" i="10"/>
  <c r="G1127" i="10"/>
  <c r="H1127" i="10"/>
  <c r="I1127" i="10"/>
  <c r="J1127" i="10"/>
  <c r="K1127" i="10"/>
  <c r="L1127" i="10"/>
  <c r="A1127" i="10" s="1"/>
  <c r="M1127" i="10"/>
  <c r="B1128" i="10"/>
  <c r="C1128" i="10"/>
  <c r="D1128" i="10"/>
  <c r="E1128" i="10"/>
  <c r="F1128" i="10"/>
  <c r="G1128" i="10"/>
  <c r="H1128" i="10"/>
  <c r="I1128" i="10"/>
  <c r="J1128" i="10"/>
  <c r="K1128" i="10"/>
  <c r="L1128" i="10"/>
  <c r="A1128" i="10" s="1"/>
  <c r="M1128" i="10"/>
  <c r="B1129" i="10"/>
  <c r="C1129" i="10"/>
  <c r="D1129" i="10"/>
  <c r="E1129" i="10"/>
  <c r="F1129" i="10"/>
  <c r="G1129" i="10"/>
  <c r="H1129" i="10"/>
  <c r="I1129" i="10"/>
  <c r="J1129" i="10"/>
  <c r="K1129" i="10"/>
  <c r="L1129" i="10"/>
  <c r="A1129" i="10" s="1"/>
  <c r="M1129" i="10"/>
  <c r="B1130" i="10"/>
  <c r="C1130" i="10"/>
  <c r="D1130" i="10"/>
  <c r="E1130" i="10"/>
  <c r="F1130" i="10"/>
  <c r="G1130" i="10"/>
  <c r="H1130" i="10"/>
  <c r="I1130" i="10"/>
  <c r="J1130" i="10"/>
  <c r="K1130" i="10"/>
  <c r="L1130" i="10"/>
  <c r="A1130" i="10" s="1"/>
  <c r="M1130" i="10"/>
  <c r="B1131" i="10"/>
  <c r="C1131" i="10"/>
  <c r="D1131" i="10"/>
  <c r="E1131" i="10"/>
  <c r="F1131" i="10"/>
  <c r="G1131" i="10"/>
  <c r="H1131" i="10"/>
  <c r="I1131" i="10"/>
  <c r="J1131" i="10"/>
  <c r="K1131" i="10"/>
  <c r="L1131" i="10"/>
  <c r="A1131" i="10" s="1"/>
  <c r="M1131" i="10"/>
  <c r="B1132" i="10"/>
  <c r="C1132" i="10"/>
  <c r="D1132" i="10"/>
  <c r="E1132" i="10"/>
  <c r="F1132" i="10"/>
  <c r="G1132" i="10"/>
  <c r="H1132" i="10"/>
  <c r="I1132" i="10"/>
  <c r="J1132" i="10"/>
  <c r="K1132" i="10"/>
  <c r="L1132" i="10"/>
  <c r="A1132" i="10" s="1"/>
  <c r="M1132" i="10"/>
  <c r="B1133" i="10"/>
  <c r="C1133" i="10"/>
  <c r="D1133" i="10"/>
  <c r="E1133" i="10"/>
  <c r="F1133" i="10"/>
  <c r="G1133" i="10"/>
  <c r="H1133" i="10"/>
  <c r="I1133" i="10"/>
  <c r="J1133" i="10"/>
  <c r="K1133" i="10"/>
  <c r="L1133" i="10"/>
  <c r="A1133" i="10" s="1"/>
  <c r="M1133" i="10"/>
  <c r="B1134" i="10"/>
  <c r="C1134" i="10"/>
  <c r="D1134" i="10"/>
  <c r="E1134" i="10"/>
  <c r="F1134" i="10"/>
  <c r="G1134" i="10"/>
  <c r="H1134" i="10"/>
  <c r="I1134" i="10"/>
  <c r="J1134" i="10"/>
  <c r="K1134" i="10"/>
  <c r="L1134" i="10"/>
  <c r="A1134" i="10" s="1"/>
  <c r="M1134" i="10"/>
  <c r="B1135" i="10"/>
  <c r="C1135" i="10"/>
  <c r="D1135" i="10"/>
  <c r="E1135" i="10"/>
  <c r="F1135" i="10"/>
  <c r="G1135" i="10"/>
  <c r="H1135" i="10"/>
  <c r="I1135" i="10"/>
  <c r="J1135" i="10"/>
  <c r="K1135" i="10"/>
  <c r="L1135" i="10"/>
  <c r="A1135" i="10" s="1"/>
  <c r="M1135" i="10"/>
  <c r="B1136" i="10"/>
  <c r="C1136" i="10"/>
  <c r="D1136" i="10"/>
  <c r="E1136" i="10"/>
  <c r="F1136" i="10"/>
  <c r="G1136" i="10"/>
  <c r="H1136" i="10"/>
  <c r="I1136" i="10"/>
  <c r="J1136" i="10"/>
  <c r="K1136" i="10"/>
  <c r="L1136" i="10"/>
  <c r="A1136" i="10" s="1"/>
  <c r="M1136" i="10"/>
  <c r="B1137" i="10"/>
  <c r="C1137" i="10"/>
  <c r="D1137" i="10"/>
  <c r="E1137" i="10"/>
  <c r="F1137" i="10"/>
  <c r="G1137" i="10"/>
  <c r="H1137" i="10"/>
  <c r="I1137" i="10"/>
  <c r="J1137" i="10"/>
  <c r="K1137" i="10"/>
  <c r="L1137" i="10"/>
  <c r="A1137" i="10" s="1"/>
  <c r="M1137" i="10"/>
  <c r="B1138" i="10"/>
  <c r="C1138" i="10"/>
  <c r="D1138" i="10"/>
  <c r="E1138" i="10"/>
  <c r="F1138" i="10"/>
  <c r="G1138" i="10"/>
  <c r="H1138" i="10"/>
  <c r="I1138" i="10"/>
  <c r="J1138" i="10"/>
  <c r="K1138" i="10"/>
  <c r="L1138" i="10"/>
  <c r="A1138" i="10" s="1"/>
  <c r="M1138" i="10"/>
  <c r="B1139" i="10"/>
  <c r="C1139" i="10"/>
  <c r="D1139" i="10"/>
  <c r="E1139" i="10"/>
  <c r="F1139" i="10"/>
  <c r="G1139" i="10"/>
  <c r="H1139" i="10"/>
  <c r="I1139" i="10"/>
  <c r="J1139" i="10"/>
  <c r="K1139" i="10"/>
  <c r="L1139" i="10"/>
  <c r="A1139" i="10" s="1"/>
  <c r="M1139" i="10"/>
  <c r="B1140" i="10"/>
  <c r="C1140" i="10"/>
  <c r="D1140" i="10"/>
  <c r="E1140" i="10"/>
  <c r="F1140" i="10"/>
  <c r="G1140" i="10"/>
  <c r="H1140" i="10"/>
  <c r="I1140" i="10"/>
  <c r="J1140" i="10"/>
  <c r="K1140" i="10"/>
  <c r="L1140" i="10"/>
  <c r="A1140" i="10" s="1"/>
  <c r="M1140" i="10"/>
  <c r="B1141" i="10"/>
  <c r="C1141" i="10"/>
  <c r="D1141" i="10"/>
  <c r="E1141" i="10"/>
  <c r="F1141" i="10"/>
  <c r="G1141" i="10"/>
  <c r="H1141" i="10"/>
  <c r="I1141" i="10"/>
  <c r="J1141" i="10"/>
  <c r="K1141" i="10"/>
  <c r="L1141" i="10"/>
  <c r="A1141" i="10" s="1"/>
  <c r="M1141" i="10"/>
  <c r="B1142" i="10"/>
  <c r="C1142" i="10"/>
  <c r="D1142" i="10"/>
  <c r="E1142" i="10"/>
  <c r="F1142" i="10"/>
  <c r="G1142" i="10"/>
  <c r="H1142" i="10"/>
  <c r="I1142" i="10"/>
  <c r="J1142" i="10"/>
  <c r="K1142" i="10"/>
  <c r="L1142" i="10"/>
  <c r="A1142" i="10" s="1"/>
  <c r="M1142" i="10"/>
  <c r="B1143" i="10"/>
  <c r="C1143" i="10"/>
  <c r="D1143" i="10"/>
  <c r="E1143" i="10"/>
  <c r="F1143" i="10"/>
  <c r="G1143" i="10"/>
  <c r="H1143" i="10"/>
  <c r="I1143" i="10"/>
  <c r="J1143" i="10"/>
  <c r="K1143" i="10"/>
  <c r="L1143" i="10"/>
  <c r="A1143" i="10" s="1"/>
  <c r="M1143" i="10"/>
  <c r="B1144" i="10"/>
  <c r="C1144" i="10"/>
  <c r="D1144" i="10"/>
  <c r="E1144" i="10"/>
  <c r="F1144" i="10"/>
  <c r="G1144" i="10"/>
  <c r="H1144" i="10"/>
  <c r="I1144" i="10"/>
  <c r="J1144" i="10"/>
  <c r="K1144" i="10"/>
  <c r="L1144" i="10"/>
  <c r="A1144" i="10" s="1"/>
  <c r="M1144" i="10"/>
  <c r="B1145" i="10"/>
  <c r="C1145" i="10"/>
  <c r="D1145" i="10"/>
  <c r="E1145" i="10"/>
  <c r="F1145" i="10"/>
  <c r="G1145" i="10"/>
  <c r="H1145" i="10"/>
  <c r="I1145" i="10"/>
  <c r="J1145" i="10"/>
  <c r="K1145" i="10"/>
  <c r="L1145" i="10"/>
  <c r="A1145" i="10" s="1"/>
  <c r="M1145" i="10"/>
  <c r="B1146" i="10"/>
  <c r="C1146" i="10"/>
  <c r="D1146" i="10"/>
  <c r="E1146" i="10"/>
  <c r="F1146" i="10"/>
  <c r="G1146" i="10"/>
  <c r="H1146" i="10"/>
  <c r="I1146" i="10"/>
  <c r="J1146" i="10"/>
  <c r="K1146" i="10"/>
  <c r="L1146" i="10"/>
  <c r="A1146" i="10" s="1"/>
  <c r="M1146" i="10"/>
  <c r="B1147" i="10"/>
  <c r="C1147" i="10"/>
  <c r="D1147" i="10"/>
  <c r="E1147" i="10"/>
  <c r="F1147" i="10"/>
  <c r="G1147" i="10"/>
  <c r="H1147" i="10"/>
  <c r="I1147" i="10"/>
  <c r="J1147" i="10"/>
  <c r="K1147" i="10"/>
  <c r="L1147" i="10"/>
  <c r="A1147" i="10" s="1"/>
  <c r="M1147" i="10"/>
  <c r="B1148" i="10"/>
  <c r="C1148" i="10"/>
  <c r="D1148" i="10"/>
  <c r="E1148" i="10"/>
  <c r="F1148" i="10"/>
  <c r="G1148" i="10"/>
  <c r="H1148" i="10"/>
  <c r="I1148" i="10"/>
  <c r="J1148" i="10"/>
  <c r="K1148" i="10"/>
  <c r="L1148" i="10"/>
  <c r="A1148" i="10" s="1"/>
  <c r="M1148" i="10"/>
  <c r="B1149" i="10"/>
  <c r="C1149" i="10"/>
  <c r="D1149" i="10"/>
  <c r="E1149" i="10"/>
  <c r="F1149" i="10"/>
  <c r="G1149" i="10"/>
  <c r="H1149" i="10"/>
  <c r="I1149" i="10"/>
  <c r="J1149" i="10"/>
  <c r="K1149" i="10"/>
  <c r="L1149" i="10"/>
  <c r="A1149" i="10" s="1"/>
  <c r="M1149" i="10"/>
  <c r="B1150" i="10"/>
  <c r="C1150" i="10"/>
  <c r="D1150" i="10"/>
  <c r="E1150" i="10"/>
  <c r="F1150" i="10"/>
  <c r="G1150" i="10"/>
  <c r="H1150" i="10"/>
  <c r="I1150" i="10"/>
  <c r="J1150" i="10"/>
  <c r="K1150" i="10"/>
  <c r="L1150" i="10"/>
  <c r="A1150" i="10" s="1"/>
  <c r="M1150" i="10"/>
  <c r="B1151" i="10"/>
  <c r="C1151" i="10"/>
  <c r="D1151" i="10"/>
  <c r="E1151" i="10"/>
  <c r="F1151" i="10"/>
  <c r="G1151" i="10"/>
  <c r="H1151" i="10"/>
  <c r="I1151" i="10"/>
  <c r="J1151" i="10"/>
  <c r="K1151" i="10"/>
  <c r="L1151" i="10"/>
  <c r="A1151" i="10" s="1"/>
  <c r="M1151" i="10"/>
  <c r="B1152" i="10"/>
  <c r="C1152" i="10"/>
  <c r="D1152" i="10"/>
  <c r="E1152" i="10"/>
  <c r="F1152" i="10"/>
  <c r="G1152" i="10"/>
  <c r="H1152" i="10"/>
  <c r="I1152" i="10"/>
  <c r="J1152" i="10"/>
  <c r="K1152" i="10"/>
  <c r="L1152" i="10"/>
  <c r="A1152" i="10" s="1"/>
  <c r="M1152" i="10"/>
  <c r="B1153" i="10"/>
  <c r="C1153" i="10"/>
  <c r="D1153" i="10"/>
  <c r="E1153" i="10"/>
  <c r="F1153" i="10"/>
  <c r="G1153" i="10"/>
  <c r="H1153" i="10"/>
  <c r="I1153" i="10"/>
  <c r="J1153" i="10"/>
  <c r="K1153" i="10"/>
  <c r="L1153" i="10"/>
  <c r="A1153" i="10" s="1"/>
  <c r="M1153" i="10"/>
  <c r="B1154" i="10"/>
  <c r="C1154" i="10"/>
  <c r="D1154" i="10"/>
  <c r="E1154" i="10"/>
  <c r="F1154" i="10"/>
  <c r="G1154" i="10"/>
  <c r="H1154" i="10"/>
  <c r="I1154" i="10"/>
  <c r="J1154" i="10"/>
  <c r="K1154" i="10"/>
  <c r="L1154" i="10"/>
  <c r="A1154" i="10" s="1"/>
  <c r="M1154" i="10"/>
  <c r="S1137" i="2"/>
  <c r="R1137" i="2"/>
  <c r="Q1137" i="2"/>
  <c r="B1137" i="2"/>
  <c r="C1137" i="2"/>
  <c r="D1137" i="2"/>
  <c r="E1137" i="2"/>
  <c r="F1137" i="2"/>
  <c r="G1137" i="2"/>
  <c r="H1137" i="2"/>
  <c r="I1137" i="2"/>
  <c r="J1137" i="2"/>
  <c r="K1137" i="2"/>
  <c r="L1137" i="2"/>
  <c r="A1137" i="2" s="1"/>
  <c r="M1137" i="2"/>
  <c r="B1138" i="2"/>
  <c r="C1138" i="2"/>
  <c r="D1138" i="2"/>
  <c r="E1138" i="2"/>
  <c r="F1138" i="2"/>
  <c r="G1138" i="2"/>
  <c r="H1138" i="2"/>
  <c r="I1138" i="2"/>
  <c r="J1138" i="2"/>
  <c r="K1138" i="2"/>
  <c r="L1138" i="2"/>
  <c r="A1138" i="2" s="1"/>
  <c r="M1138" i="2"/>
  <c r="B1139" i="2"/>
  <c r="C1139" i="2"/>
  <c r="D1139" i="2"/>
  <c r="E1139" i="2"/>
  <c r="F1139" i="2"/>
  <c r="G1139" i="2"/>
  <c r="H1139" i="2"/>
  <c r="I1139" i="2"/>
  <c r="J1139" i="2"/>
  <c r="K1139" i="2"/>
  <c r="L1139" i="2"/>
  <c r="A1139" i="2" s="1"/>
  <c r="M1139" i="2"/>
  <c r="B1140" i="2"/>
  <c r="C1140" i="2"/>
  <c r="D1140" i="2"/>
  <c r="E1140" i="2"/>
  <c r="F1140" i="2"/>
  <c r="G1140" i="2"/>
  <c r="H1140" i="2"/>
  <c r="I1140" i="2"/>
  <c r="J1140" i="2"/>
  <c r="K1140" i="2"/>
  <c r="L1140" i="2"/>
  <c r="A1140" i="2" s="1"/>
  <c r="M1140" i="2"/>
  <c r="B1141" i="2"/>
  <c r="C1141" i="2"/>
  <c r="D1141" i="2"/>
  <c r="E1141" i="2"/>
  <c r="F1141" i="2"/>
  <c r="G1141" i="2"/>
  <c r="H1141" i="2"/>
  <c r="I1141" i="2"/>
  <c r="J1141" i="2"/>
  <c r="K1141" i="2"/>
  <c r="L1141" i="2"/>
  <c r="A1141" i="2" s="1"/>
  <c r="M1141" i="2"/>
  <c r="B1142" i="2"/>
  <c r="C1142" i="2"/>
  <c r="D1142" i="2"/>
  <c r="E1142" i="2"/>
  <c r="F1142" i="2"/>
  <c r="G1142" i="2"/>
  <c r="H1142" i="2"/>
  <c r="I1142" i="2"/>
  <c r="J1142" i="2"/>
  <c r="K1142" i="2"/>
  <c r="L1142" i="2"/>
  <c r="A1142" i="2" s="1"/>
  <c r="M1142" i="2"/>
  <c r="B1143" i="2"/>
  <c r="C1143" i="2"/>
  <c r="D1143" i="2"/>
  <c r="E1143" i="2"/>
  <c r="F1143" i="2"/>
  <c r="G1143" i="2"/>
  <c r="H1143" i="2"/>
  <c r="I1143" i="2"/>
  <c r="J1143" i="2"/>
  <c r="K1143" i="2"/>
  <c r="L1143" i="2"/>
  <c r="A1143" i="2" s="1"/>
  <c r="M1143" i="2"/>
  <c r="B1144" i="2"/>
  <c r="C1144" i="2"/>
  <c r="D1144" i="2"/>
  <c r="E1144" i="2"/>
  <c r="F1144" i="2"/>
  <c r="G1144" i="2"/>
  <c r="H1144" i="2"/>
  <c r="I1144" i="2"/>
  <c r="J1144" i="2"/>
  <c r="K1144" i="2"/>
  <c r="L1144" i="2"/>
  <c r="A1144" i="2" s="1"/>
  <c r="M1144" i="2"/>
  <c r="B1145" i="2"/>
  <c r="C1145" i="2"/>
  <c r="D1145" i="2"/>
  <c r="E1145" i="2"/>
  <c r="F1145" i="2"/>
  <c r="G1145" i="2"/>
  <c r="H1145" i="2"/>
  <c r="I1145" i="2"/>
  <c r="J1145" i="2"/>
  <c r="K1145" i="2"/>
  <c r="L1145" i="2"/>
  <c r="A1145" i="2" s="1"/>
  <c r="M1145" i="2"/>
  <c r="B1146" i="2"/>
  <c r="C1146" i="2"/>
  <c r="D1146" i="2"/>
  <c r="E1146" i="2"/>
  <c r="F1146" i="2"/>
  <c r="G1146" i="2"/>
  <c r="H1146" i="2"/>
  <c r="I1146" i="2"/>
  <c r="J1146" i="2"/>
  <c r="K1146" i="2"/>
  <c r="L1146" i="2"/>
  <c r="A1146" i="2" s="1"/>
  <c r="M1146" i="2"/>
  <c r="B1147" i="2"/>
  <c r="C1147" i="2"/>
  <c r="D1147" i="2"/>
  <c r="E1147" i="2"/>
  <c r="F1147" i="2"/>
  <c r="G1147" i="2"/>
  <c r="H1147" i="2"/>
  <c r="I1147" i="2"/>
  <c r="J1147" i="2"/>
  <c r="K1147" i="2"/>
  <c r="L1147" i="2"/>
  <c r="A1147" i="2" s="1"/>
  <c r="M1147" i="2"/>
  <c r="B1148" i="2"/>
  <c r="C1148" i="2"/>
  <c r="D1148" i="2"/>
  <c r="E1148" i="2"/>
  <c r="F1148" i="2"/>
  <c r="G1148" i="2"/>
  <c r="H1148" i="2"/>
  <c r="I1148" i="2"/>
  <c r="J1148" i="2"/>
  <c r="K1148" i="2"/>
  <c r="L1148" i="2"/>
  <c r="A1148" i="2" s="1"/>
  <c r="M1148" i="2"/>
  <c r="B1149" i="2"/>
  <c r="C1149" i="2"/>
  <c r="D1149" i="2"/>
  <c r="E1149" i="2"/>
  <c r="F1149" i="2"/>
  <c r="G1149" i="2"/>
  <c r="H1149" i="2"/>
  <c r="I1149" i="2"/>
  <c r="J1149" i="2"/>
  <c r="K1149" i="2"/>
  <c r="L1149" i="2"/>
  <c r="A1149" i="2" s="1"/>
  <c r="M1149" i="2"/>
  <c r="B1150" i="2"/>
  <c r="C1150" i="2"/>
  <c r="D1150" i="2"/>
  <c r="E1150" i="2"/>
  <c r="F1150" i="2"/>
  <c r="G1150" i="2"/>
  <c r="H1150" i="2"/>
  <c r="I1150" i="2"/>
  <c r="J1150" i="2"/>
  <c r="K1150" i="2"/>
  <c r="L1150" i="2"/>
  <c r="A1150" i="2" s="1"/>
  <c r="M1150" i="2"/>
  <c r="B1151" i="2"/>
  <c r="C1151" i="2"/>
  <c r="D1151" i="2"/>
  <c r="E1151" i="2"/>
  <c r="F1151" i="2"/>
  <c r="G1151" i="2"/>
  <c r="H1151" i="2"/>
  <c r="I1151" i="2"/>
  <c r="J1151" i="2"/>
  <c r="K1151" i="2"/>
  <c r="L1151" i="2"/>
  <c r="A1151" i="2" s="1"/>
  <c r="M1151" i="2"/>
  <c r="B1152" i="2"/>
  <c r="C1152" i="2"/>
  <c r="D1152" i="2"/>
  <c r="E1152" i="2"/>
  <c r="F1152" i="2"/>
  <c r="G1152" i="2"/>
  <c r="H1152" i="2"/>
  <c r="I1152" i="2"/>
  <c r="J1152" i="2"/>
  <c r="K1152" i="2"/>
  <c r="L1152" i="2"/>
  <c r="A1152" i="2" s="1"/>
  <c r="M1152" i="2"/>
  <c r="B1153" i="2"/>
  <c r="C1153" i="2"/>
  <c r="D1153" i="2"/>
  <c r="E1153" i="2"/>
  <c r="F1153" i="2"/>
  <c r="G1153" i="2"/>
  <c r="H1153" i="2"/>
  <c r="I1153" i="2"/>
  <c r="J1153" i="2"/>
  <c r="K1153" i="2"/>
  <c r="L1153" i="2"/>
  <c r="A1153" i="2" s="1"/>
  <c r="M1153" i="2"/>
  <c r="B1154" i="2"/>
  <c r="C1154" i="2"/>
  <c r="D1154" i="2"/>
  <c r="E1154" i="2"/>
  <c r="F1154" i="2"/>
  <c r="G1154" i="2"/>
  <c r="H1154" i="2"/>
  <c r="I1154" i="2"/>
  <c r="J1154" i="2"/>
  <c r="K1154" i="2"/>
  <c r="L1154" i="2"/>
  <c r="A1154" i="2" s="1"/>
  <c r="M1154" i="2"/>
  <c r="C1136" i="5"/>
  <c r="C1118" i="5"/>
  <c r="C1100" i="5"/>
  <c r="C1082" i="5"/>
  <c r="C1064" i="5"/>
  <c r="C1046" i="5"/>
  <c r="C1028" i="5"/>
  <c r="C1010" i="5"/>
  <c r="C992" i="5"/>
  <c r="C974" i="5"/>
  <c r="C956" i="5"/>
  <c r="C938" i="5"/>
  <c r="C920" i="5"/>
  <c r="C902" i="5"/>
  <c r="C884" i="5"/>
  <c r="C866" i="5"/>
  <c r="C848" i="5"/>
  <c r="C830" i="5"/>
  <c r="C812" i="5"/>
  <c r="C794" i="5"/>
  <c r="C776" i="5"/>
  <c r="C758" i="5"/>
  <c r="C740" i="5"/>
  <c r="C722" i="5"/>
  <c r="C704" i="5"/>
  <c r="C686" i="5"/>
  <c r="C668" i="5"/>
  <c r="C650" i="5"/>
  <c r="C632" i="5"/>
  <c r="C614" i="5"/>
  <c r="C596" i="5"/>
  <c r="C578" i="5"/>
  <c r="C560" i="5"/>
  <c r="C542" i="5"/>
  <c r="C524" i="5"/>
  <c r="C506" i="5"/>
  <c r="C488" i="5"/>
  <c r="C470" i="5"/>
  <c r="C452" i="5"/>
  <c r="C434" i="5"/>
  <c r="C416" i="5"/>
  <c r="C398" i="5"/>
  <c r="C380" i="5"/>
  <c r="C362" i="5"/>
  <c r="C344" i="5"/>
  <c r="C326" i="5"/>
  <c r="C308" i="5"/>
  <c r="C290" i="5"/>
  <c r="C272" i="5"/>
  <c r="C254" i="5"/>
  <c r="C236" i="5"/>
  <c r="C218" i="5"/>
  <c r="C200" i="5"/>
  <c r="C182" i="5"/>
  <c r="C164" i="5"/>
  <c r="C146" i="5"/>
  <c r="C128" i="5"/>
  <c r="C110" i="5"/>
  <c r="C92" i="5"/>
  <c r="C74" i="5"/>
  <c r="C56" i="5"/>
  <c r="C38" i="5"/>
  <c r="C20" i="5"/>
  <c r="C2" i="5"/>
  <c r="A78" i="12"/>
  <c r="A79" i="12"/>
  <c r="A80" i="12"/>
  <c r="A81" i="12"/>
  <c r="A82" i="12"/>
  <c r="A83" i="12"/>
  <c r="A84" i="12"/>
  <c r="A85" i="12"/>
  <c r="A86" i="12"/>
  <c r="A87" i="12"/>
  <c r="A88" i="12"/>
  <c r="A89" i="12"/>
  <c r="A90" i="12"/>
  <c r="A91" i="12"/>
  <c r="A92" i="12"/>
  <c r="A93" i="12"/>
  <c r="A94" i="12"/>
  <c r="A95" i="12"/>
  <c r="A96" i="12"/>
  <c r="A97" i="12"/>
  <c r="A98" i="12"/>
  <c r="A99" i="12"/>
  <c r="A100" i="12"/>
  <c r="A101" i="12"/>
  <c r="A103" i="12"/>
  <c r="A104" i="12"/>
  <c r="A77" i="12"/>
  <c r="A47" i="12"/>
  <c r="A48" i="12"/>
  <c r="A49" i="12"/>
  <c r="A50" i="12"/>
  <c r="A51" i="12"/>
  <c r="A52" i="12"/>
  <c r="A53" i="12"/>
  <c r="A54" i="12"/>
  <c r="A55" i="12"/>
  <c r="A56" i="12"/>
  <c r="A57" i="12"/>
  <c r="A58" i="12"/>
  <c r="A59" i="12"/>
  <c r="A60" i="12"/>
  <c r="A61" i="12"/>
  <c r="A62" i="12"/>
  <c r="A63" i="12"/>
  <c r="A64" i="12"/>
  <c r="A65" i="12"/>
  <c r="A66" i="12"/>
  <c r="A67" i="12"/>
  <c r="A68" i="12"/>
  <c r="A69" i="12"/>
  <c r="A70" i="12"/>
  <c r="A72" i="12"/>
  <c r="A73" i="12"/>
  <c r="A46" i="12"/>
  <c r="B46" i="12" s="1"/>
  <c r="B3" i="12"/>
  <c r="B4" i="12"/>
  <c r="B5" i="12"/>
  <c r="B6" i="12"/>
  <c r="B7" i="12"/>
  <c r="B8" i="12"/>
  <c r="B9" i="12"/>
  <c r="B10" i="12"/>
  <c r="B11" i="12"/>
  <c r="B12" i="12"/>
  <c r="B13" i="12"/>
  <c r="B14" i="12"/>
  <c r="B15" i="12"/>
  <c r="B16" i="12"/>
  <c r="B17" i="12"/>
  <c r="B18" i="12"/>
  <c r="B19" i="12"/>
  <c r="B20" i="12"/>
  <c r="B21" i="12"/>
  <c r="B22" i="12"/>
  <c r="B23" i="12"/>
  <c r="B24" i="12"/>
  <c r="B25" i="12"/>
  <c r="B26" i="12"/>
  <c r="B28" i="12"/>
  <c r="B29" i="12"/>
  <c r="B2" i="12"/>
  <c r="A98" i="7"/>
  <c r="B98" i="7" s="1"/>
  <c r="A99" i="7"/>
  <c r="B99" i="7" s="1"/>
  <c r="A100" i="7"/>
  <c r="B100" i="7" s="1"/>
  <c r="A101" i="7"/>
  <c r="B101" i="7" s="1"/>
  <c r="A102" i="7"/>
  <c r="B102" i="7" s="1"/>
  <c r="A103" i="7"/>
  <c r="B103" i="7" s="1"/>
  <c r="A104" i="7"/>
  <c r="B104" i="7" s="1"/>
  <c r="A105" i="7"/>
  <c r="B105" i="7" s="1"/>
  <c r="A106" i="7"/>
  <c r="B106" i="7" s="1"/>
  <c r="A107" i="7"/>
  <c r="B107" i="7" s="1"/>
  <c r="A108" i="7"/>
  <c r="B108" i="7" s="1"/>
  <c r="A109" i="7"/>
  <c r="B109" i="7" s="1"/>
  <c r="A110" i="7"/>
  <c r="B110" i="7" s="1"/>
  <c r="A111" i="7"/>
  <c r="B111" i="7" s="1"/>
  <c r="A112" i="7"/>
  <c r="B112" i="7" s="1"/>
  <c r="A113" i="7"/>
  <c r="B113" i="7" s="1"/>
  <c r="A114" i="7"/>
  <c r="B114" i="7" s="1"/>
  <c r="A115" i="7"/>
  <c r="B115" i="7" s="1"/>
  <c r="A116" i="7"/>
  <c r="B116" i="7" s="1"/>
  <c r="A117" i="7"/>
  <c r="B117" i="7" s="1"/>
  <c r="A118" i="7"/>
  <c r="B118" i="7" s="1"/>
  <c r="A119" i="7"/>
  <c r="B119" i="7" s="1"/>
  <c r="A120" i="7"/>
  <c r="B120" i="7" s="1"/>
  <c r="A121" i="7"/>
  <c r="B121" i="7" s="1"/>
  <c r="A122" i="7"/>
  <c r="B122" i="7" s="1"/>
  <c r="A123" i="7"/>
  <c r="B123" i="7" s="1"/>
  <c r="A124" i="7"/>
  <c r="B124" i="7" s="1"/>
  <c r="A125" i="7"/>
  <c r="B125" i="7" s="1"/>
  <c r="A126" i="7"/>
  <c r="B126" i="7" s="1"/>
  <c r="A127" i="7"/>
  <c r="B127" i="7" s="1"/>
  <c r="A128" i="7"/>
  <c r="B128" i="7" s="1"/>
  <c r="A129" i="7"/>
  <c r="B129" i="7" s="1"/>
  <c r="A130" i="7"/>
  <c r="B130" i="7" s="1"/>
  <c r="A131" i="7"/>
  <c r="B131" i="7" s="1"/>
  <c r="A132" i="7"/>
  <c r="B132" i="7" s="1"/>
  <c r="A134" i="7"/>
  <c r="B134" i="7" s="1"/>
  <c r="A97" i="7"/>
  <c r="C57" i="7"/>
  <c r="C98" i="7" s="1"/>
  <c r="C58" i="7"/>
  <c r="C99" i="7" s="1"/>
  <c r="C59" i="7"/>
  <c r="C100" i="7" s="1"/>
  <c r="C60" i="7"/>
  <c r="C101" i="7" s="1"/>
  <c r="C61" i="7"/>
  <c r="C102" i="7" s="1"/>
  <c r="C62" i="7"/>
  <c r="C103" i="7" s="1"/>
  <c r="C63" i="7"/>
  <c r="C104" i="7" s="1"/>
  <c r="C64" i="7"/>
  <c r="C105" i="7" s="1"/>
  <c r="C65" i="7"/>
  <c r="C106" i="7" s="1"/>
  <c r="C66" i="7"/>
  <c r="C107" i="7" s="1"/>
  <c r="C67" i="7"/>
  <c r="C108" i="7" s="1"/>
  <c r="C68" i="7"/>
  <c r="C109" i="7" s="1"/>
  <c r="C69" i="7"/>
  <c r="C110" i="7" s="1"/>
  <c r="C70" i="7"/>
  <c r="C111" i="7" s="1"/>
  <c r="C71" i="7"/>
  <c r="C112" i="7" s="1"/>
  <c r="C72" i="7"/>
  <c r="C113" i="7" s="1"/>
  <c r="C73" i="7"/>
  <c r="C114" i="7" s="1"/>
  <c r="C74" i="7"/>
  <c r="C115" i="7" s="1"/>
  <c r="C75" i="7"/>
  <c r="C116" i="7" s="1"/>
  <c r="C76" i="7"/>
  <c r="C117" i="7" s="1"/>
  <c r="C77" i="7"/>
  <c r="C118" i="7" s="1"/>
  <c r="C78" i="7"/>
  <c r="C119" i="7" s="1"/>
  <c r="C79" i="7"/>
  <c r="C120" i="7" s="1"/>
  <c r="C80" i="7"/>
  <c r="C121" i="7" s="1"/>
  <c r="C81" i="7"/>
  <c r="C122" i="7" s="1"/>
  <c r="C82" i="7"/>
  <c r="C123" i="7" s="1"/>
  <c r="C83" i="7"/>
  <c r="C124" i="7" s="1"/>
  <c r="C84" i="7"/>
  <c r="C125" i="7" s="1"/>
  <c r="C85" i="7"/>
  <c r="C126" i="7" s="1"/>
  <c r="C86" i="7"/>
  <c r="C127" i="7" s="1"/>
  <c r="C87" i="7"/>
  <c r="C128" i="7" s="1"/>
  <c r="C88" i="7"/>
  <c r="C129" i="7" s="1"/>
  <c r="C89" i="7"/>
  <c r="C130" i="7" s="1"/>
  <c r="C90" i="7"/>
  <c r="C131" i="7" s="1"/>
  <c r="C91" i="7"/>
  <c r="C132" i="7" s="1"/>
  <c r="C93" i="7"/>
  <c r="C134" i="7" s="1"/>
  <c r="A57" i="7"/>
  <c r="B57" i="7" s="1"/>
  <c r="A58" i="7"/>
  <c r="B58" i="7" s="1"/>
  <c r="A59" i="7"/>
  <c r="B59" i="7" s="1"/>
  <c r="A60" i="7"/>
  <c r="B60" i="7" s="1"/>
  <c r="A61" i="7"/>
  <c r="B61" i="7" s="1"/>
  <c r="A62" i="7"/>
  <c r="B62" i="7" s="1"/>
  <c r="A63" i="7"/>
  <c r="B63" i="7" s="1"/>
  <c r="A64" i="7"/>
  <c r="B64" i="7" s="1"/>
  <c r="A65" i="7"/>
  <c r="B65" i="7" s="1"/>
  <c r="A66" i="7"/>
  <c r="B66" i="7" s="1"/>
  <c r="A67" i="7"/>
  <c r="B67" i="7" s="1"/>
  <c r="A68" i="7"/>
  <c r="B68" i="7" s="1"/>
  <c r="A69" i="7"/>
  <c r="B69" i="7" s="1"/>
  <c r="A70" i="7"/>
  <c r="B70" i="7" s="1"/>
  <c r="A71" i="7"/>
  <c r="B71" i="7" s="1"/>
  <c r="A72" i="7"/>
  <c r="B72" i="7" s="1"/>
  <c r="A73" i="7"/>
  <c r="B73" i="7" s="1"/>
  <c r="A74" i="7"/>
  <c r="B74" i="7" s="1"/>
  <c r="A75" i="7"/>
  <c r="B75" i="7" s="1"/>
  <c r="A76" i="7"/>
  <c r="B76" i="7" s="1"/>
  <c r="A77" i="7"/>
  <c r="B77" i="7" s="1"/>
  <c r="A78" i="7"/>
  <c r="B78" i="7" s="1"/>
  <c r="A79" i="7"/>
  <c r="B79" i="7" s="1"/>
  <c r="A80" i="7"/>
  <c r="B80" i="7" s="1"/>
  <c r="A81" i="7"/>
  <c r="B81" i="7" s="1"/>
  <c r="A82" i="7"/>
  <c r="B82" i="7" s="1"/>
  <c r="A83" i="7"/>
  <c r="B83" i="7" s="1"/>
  <c r="A84" i="7"/>
  <c r="B84" i="7" s="1"/>
  <c r="A85" i="7"/>
  <c r="B85" i="7" s="1"/>
  <c r="A86" i="7"/>
  <c r="B86" i="7" s="1"/>
  <c r="A87" i="7"/>
  <c r="B87" i="7" s="1"/>
  <c r="A88" i="7"/>
  <c r="B88" i="7" s="1"/>
  <c r="A89" i="7"/>
  <c r="B89" i="7" s="1"/>
  <c r="A90" i="7"/>
  <c r="B90" i="7" s="1"/>
  <c r="A91" i="7"/>
  <c r="B91" i="7" s="1"/>
  <c r="A93" i="7"/>
  <c r="B93" i="7" s="1"/>
  <c r="A56" i="7"/>
  <c r="B56" i="7" s="1"/>
  <c r="B2" i="7"/>
  <c r="B3" i="7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9" i="7"/>
  <c r="K293" i="10"/>
  <c r="J51" i="5"/>
  <c r="S1119" i="2"/>
  <c r="R1119" i="2"/>
  <c r="Q1119" i="2"/>
  <c r="S1101" i="2"/>
  <c r="R1101" i="2"/>
  <c r="Q1101" i="2"/>
  <c r="S1083" i="2"/>
  <c r="R1083" i="2"/>
  <c r="Q1083" i="2"/>
  <c r="S1065" i="2"/>
  <c r="R1065" i="2"/>
  <c r="Q1065" i="2"/>
  <c r="S1047" i="2"/>
  <c r="R1047" i="2"/>
  <c r="Q1047" i="2"/>
  <c r="S1029" i="2"/>
  <c r="R1029" i="2"/>
  <c r="Q1029" i="2"/>
  <c r="S1011" i="2"/>
  <c r="R1011" i="2"/>
  <c r="Q1011" i="2"/>
  <c r="S993" i="2"/>
  <c r="R993" i="2"/>
  <c r="Q993" i="2"/>
  <c r="S975" i="2"/>
  <c r="R975" i="2"/>
  <c r="Q975" i="2"/>
  <c r="S957" i="2"/>
  <c r="R957" i="2"/>
  <c r="Q957" i="2"/>
  <c r="S939" i="2"/>
  <c r="R939" i="2"/>
  <c r="Q939" i="2"/>
  <c r="S921" i="2"/>
  <c r="R921" i="2"/>
  <c r="Q921" i="2"/>
  <c r="S903" i="2"/>
  <c r="R903" i="2"/>
  <c r="Q903" i="2"/>
  <c r="S885" i="2"/>
  <c r="R885" i="2"/>
  <c r="Q885" i="2"/>
  <c r="S867" i="2"/>
  <c r="R867" i="2"/>
  <c r="Q867" i="2"/>
  <c r="S849" i="2"/>
  <c r="R849" i="2"/>
  <c r="Q849" i="2"/>
  <c r="S831" i="2"/>
  <c r="R831" i="2"/>
  <c r="Q831" i="2"/>
  <c r="S813" i="2"/>
  <c r="R813" i="2"/>
  <c r="Q813" i="2"/>
  <c r="S795" i="2"/>
  <c r="R795" i="2"/>
  <c r="Q795" i="2"/>
  <c r="S777" i="2"/>
  <c r="R777" i="2"/>
  <c r="Q777" i="2"/>
  <c r="S759" i="2"/>
  <c r="R759" i="2"/>
  <c r="Q759" i="2"/>
  <c r="S741" i="2"/>
  <c r="R741" i="2"/>
  <c r="Q741" i="2"/>
  <c r="S723" i="2"/>
  <c r="R723" i="2"/>
  <c r="Q723" i="2"/>
  <c r="S705" i="2"/>
  <c r="R705" i="2"/>
  <c r="Q705" i="2"/>
  <c r="S687" i="2"/>
  <c r="R687" i="2"/>
  <c r="Q687" i="2"/>
  <c r="S669" i="2"/>
  <c r="R669" i="2"/>
  <c r="Q669" i="2"/>
  <c r="S651" i="2"/>
  <c r="R651" i="2"/>
  <c r="Q651" i="2"/>
  <c r="S633" i="2"/>
  <c r="R633" i="2"/>
  <c r="Q633" i="2"/>
  <c r="S615" i="2"/>
  <c r="R615" i="2"/>
  <c r="Q615" i="2"/>
  <c r="S597" i="2"/>
  <c r="R597" i="2"/>
  <c r="Q597" i="2"/>
  <c r="S579" i="2"/>
  <c r="R579" i="2"/>
  <c r="Q579" i="2"/>
  <c r="S561" i="2"/>
  <c r="R561" i="2"/>
  <c r="Q561" i="2"/>
  <c r="S543" i="2"/>
  <c r="R543" i="2"/>
  <c r="Q543" i="2"/>
  <c r="S525" i="2"/>
  <c r="R525" i="2"/>
  <c r="Q525" i="2"/>
  <c r="S507" i="2"/>
  <c r="R507" i="2"/>
  <c r="Q507" i="2"/>
  <c r="S489" i="2"/>
  <c r="R489" i="2"/>
  <c r="Q489" i="2"/>
  <c r="S471" i="2"/>
  <c r="R471" i="2"/>
  <c r="Q471" i="2"/>
  <c r="S453" i="2"/>
  <c r="R453" i="2"/>
  <c r="Q453" i="2"/>
  <c r="S435" i="2"/>
  <c r="R435" i="2"/>
  <c r="Q435" i="2"/>
  <c r="S417" i="2"/>
  <c r="R417" i="2"/>
  <c r="Q417" i="2"/>
  <c r="S399" i="2"/>
  <c r="R399" i="2"/>
  <c r="Q399" i="2"/>
  <c r="S381" i="2"/>
  <c r="R381" i="2"/>
  <c r="Q381" i="2"/>
  <c r="S363" i="2"/>
  <c r="R363" i="2"/>
  <c r="Q363" i="2"/>
  <c r="S345" i="2"/>
  <c r="R345" i="2"/>
  <c r="Q345" i="2"/>
  <c r="S327" i="2"/>
  <c r="R327" i="2"/>
  <c r="Q327" i="2"/>
  <c r="S309" i="2"/>
  <c r="R309" i="2"/>
  <c r="Q309" i="2"/>
  <c r="S291" i="2"/>
  <c r="R291" i="2"/>
  <c r="Q291" i="2"/>
  <c r="S273" i="2"/>
  <c r="R273" i="2"/>
  <c r="Q273" i="2"/>
  <c r="S255" i="2"/>
  <c r="R255" i="2"/>
  <c r="Q255" i="2"/>
  <c r="S237" i="2"/>
  <c r="R237" i="2"/>
  <c r="Q237" i="2"/>
  <c r="S219" i="2"/>
  <c r="R219" i="2"/>
  <c r="Q219" i="2"/>
  <c r="S201" i="2"/>
  <c r="R201" i="2"/>
  <c r="Q201" i="2"/>
  <c r="S183" i="2"/>
  <c r="R183" i="2"/>
  <c r="Q183" i="2"/>
  <c r="S165" i="2"/>
  <c r="R165" i="2"/>
  <c r="Q165" i="2"/>
  <c r="S147" i="2"/>
  <c r="R147" i="2"/>
  <c r="Q147" i="2"/>
  <c r="S129" i="2"/>
  <c r="R129" i="2"/>
  <c r="Q129" i="2"/>
  <c r="S111" i="2"/>
  <c r="R111" i="2"/>
  <c r="Q111" i="2"/>
  <c r="S93" i="2"/>
  <c r="R93" i="2"/>
  <c r="Q93" i="2"/>
  <c r="S75" i="2"/>
  <c r="R75" i="2"/>
  <c r="Q75" i="2"/>
  <c r="S57" i="2"/>
  <c r="R57" i="2"/>
  <c r="Q57" i="2"/>
  <c r="S39" i="2"/>
  <c r="R39" i="2"/>
  <c r="Q39" i="2"/>
  <c r="S21" i="2"/>
  <c r="R21" i="2"/>
  <c r="Q21" i="2"/>
  <c r="Q3" i="2"/>
  <c r="R3" i="2"/>
  <c r="S3" i="2"/>
  <c r="Q1" i="2" l="1"/>
  <c r="S1" i="2"/>
  <c r="B97" i="7"/>
  <c r="R1" i="2"/>
  <c r="B77" i="12"/>
  <c r="B78" i="12"/>
  <c r="L795" i="2"/>
  <c r="A795" i="2" s="1"/>
  <c r="M795" i="2"/>
  <c r="L796" i="2"/>
  <c r="A796" i="2" s="1"/>
  <c r="M796" i="2"/>
  <c r="L797" i="2"/>
  <c r="A797" i="2" s="1"/>
  <c r="M797" i="2"/>
  <c r="L798" i="2"/>
  <c r="A798" i="2" s="1"/>
  <c r="M798" i="2"/>
  <c r="L799" i="2"/>
  <c r="A799" i="2" s="1"/>
  <c r="M799" i="2"/>
  <c r="L800" i="2"/>
  <c r="A800" i="2" s="1"/>
  <c r="M800" i="2"/>
  <c r="L801" i="2"/>
  <c r="A801" i="2" s="1"/>
  <c r="M801" i="2"/>
  <c r="L802" i="2"/>
  <c r="A802" i="2" s="1"/>
  <c r="M802" i="2"/>
  <c r="L803" i="2"/>
  <c r="A803" i="2" s="1"/>
  <c r="M803" i="2"/>
  <c r="L804" i="2"/>
  <c r="A804" i="2" s="1"/>
  <c r="M804" i="2"/>
  <c r="L805" i="2"/>
  <c r="A805" i="2" s="1"/>
  <c r="M805" i="2"/>
  <c r="L806" i="2"/>
  <c r="A806" i="2" s="1"/>
  <c r="M806" i="2"/>
  <c r="L807" i="2"/>
  <c r="A807" i="2" s="1"/>
  <c r="M807" i="2"/>
  <c r="L808" i="2"/>
  <c r="A808" i="2" s="1"/>
  <c r="M808" i="2"/>
  <c r="L809" i="2"/>
  <c r="A809" i="2" s="1"/>
  <c r="M809" i="2"/>
  <c r="L810" i="2"/>
  <c r="A810" i="2" s="1"/>
  <c r="M810" i="2"/>
  <c r="L811" i="2"/>
  <c r="A811" i="2" s="1"/>
  <c r="M811" i="2"/>
  <c r="L812" i="2"/>
  <c r="A812" i="2" s="1"/>
  <c r="M812" i="2"/>
  <c r="L813" i="2"/>
  <c r="A813" i="2" s="1"/>
  <c r="M813" i="2"/>
  <c r="L814" i="2"/>
  <c r="A814" i="2" s="1"/>
  <c r="M814" i="2"/>
  <c r="L815" i="2"/>
  <c r="A815" i="2" s="1"/>
  <c r="M815" i="2"/>
  <c r="L816" i="2"/>
  <c r="A816" i="2" s="1"/>
  <c r="M816" i="2"/>
  <c r="L817" i="2"/>
  <c r="A817" i="2" s="1"/>
  <c r="M817" i="2"/>
  <c r="L818" i="2"/>
  <c r="A818" i="2" s="1"/>
  <c r="M818" i="2"/>
  <c r="L819" i="2"/>
  <c r="A819" i="2" s="1"/>
  <c r="M819" i="2"/>
  <c r="L820" i="2"/>
  <c r="A820" i="2" s="1"/>
  <c r="M820" i="2"/>
  <c r="L821" i="2"/>
  <c r="A821" i="2" s="1"/>
  <c r="M821" i="2"/>
  <c r="L822" i="2"/>
  <c r="A822" i="2" s="1"/>
  <c r="M822" i="2"/>
  <c r="L823" i="2"/>
  <c r="A823" i="2" s="1"/>
  <c r="M823" i="2"/>
  <c r="L824" i="2"/>
  <c r="A824" i="2" s="1"/>
  <c r="M824" i="2"/>
  <c r="L825" i="2"/>
  <c r="A825" i="2" s="1"/>
  <c r="M825" i="2"/>
  <c r="L826" i="2"/>
  <c r="A826" i="2" s="1"/>
  <c r="M826" i="2"/>
  <c r="L827" i="2"/>
  <c r="A827" i="2" s="1"/>
  <c r="M827" i="2"/>
  <c r="L828" i="2"/>
  <c r="A828" i="2" s="1"/>
  <c r="M828" i="2"/>
  <c r="L829" i="2"/>
  <c r="A829" i="2" s="1"/>
  <c r="M829" i="2"/>
  <c r="L830" i="2"/>
  <c r="A830" i="2" s="1"/>
  <c r="M830" i="2"/>
  <c r="L831" i="2"/>
  <c r="A831" i="2" s="1"/>
  <c r="M831" i="2"/>
  <c r="L832" i="2"/>
  <c r="A832" i="2" s="1"/>
  <c r="M832" i="2"/>
  <c r="L833" i="2"/>
  <c r="A833" i="2" s="1"/>
  <c r="M833" i="2"/>
  <c r="L834" i="2"/>
  <c r="A834" i="2" s="1"/>
  <c r="M834" i="2"/>
  <c r="L835" i="2"/>
  <c r="A835" i="2" s="1"/>
  <c r="M835" i="2"/>
  <c r="L836" i="2"/>
  <c r="A836" i="2" s="1"/>
  <c r="M836" i="2"/>
  <c r="L837" i="2"/>
  <c r="A837" i="2" s="1"/>
  <c r="M837" i="2"/>
  <c r="L838" i="2"/>
  <c r="A838" i="2" s="1"/>
  <c r="M838" i="2"/>
  <c r="L839" i="2"/>
  <c r="A839" i="2" s="1"/>
  <c r="M839" i="2"/>
  <c r="L840" i="2"/>
  <c r="A840" i="2" s="1"/>
  <c r="M840" i="2"/>
  <c r="L841" i="2"/>
  <c r="A841" i="2" s="1"/>
  <c r="M841" i="2"/>
  <c r="L842" i="2"/>
  <c r="A842" i="2" s="1"/>
  <c r="M842" i="2"/>
  <c r="L843" i="2"/>
  <c r="A843" i="2" s="1"/>
  <c r="M843" i="2"/>
  <c r="L844" i="2"/>
  <c r="A844" i="2" s="1"/>
  <c r="M844" i="2"/>
  <c r="L845" i="2"/>
  <c r="A845" i="2" s="1"/>
  <c r="M845" i="2"/>
  <c r="L846" i="2"/>
  <c r="A846" i="2" s="1"/>
  <c r="M846" i="2"/>
  <c r="L847" i="2"/>
  <c r="A847" i="2" s="1"/>
  <c r="M847" i="2"/>
  <c r="L848" i="2"/>
  <c r="A848" i="2" s="1"/>
  <c r="M848" i="2"/>
  <c r="L849" i="2"/>
  <c r="A849" i="2" s="1"/>
  <c r="M849" i="2"/>
  <c r="L850" i="2"/>
  <c r="A850" i="2" s="1"/>
  <c r="M850" i="2"/>
  <c r="L851" i="2"/>
  <c r="A851" i="2" s="1"/>
  <c r="M851" i="2"/>
  <c r="L852" i="2"/>
  <c r="A852" i="2" s="1"/>
  <c r="M852" i="2"/>
  <c r="L853" i="2"/>
  <c r="A853" i="2" s="1"/>
  <c r="M853" i="2"/>
  <c r="L854" i="2"/>
  <c r="A854" i="2" s="1"/>
  <c r="M854" i="2"/>
  <c r="L855" i="2"/>
  <c r="A855" i="2" s="1"/>
  <c r="M855" i="2"/>
  <c r="L856" i="2"/>
  <c r="A856" i="2" s="1"/>
  <c r="M856" i="2"/>
  <c r="L857" i="2"/>
  <c r="A857" i="2" s="1"/>
  <c r="M857" i="2"/>
  <c r="L858" i="2"/>
  <c r="A858" i="2" s="1"/>
  <c r="M858" i="2"/>
  <c r="L859" i="2"/>
  <c r="A859" i="2" s="1"/>
  <c r="M859" i="2"/>
  <c r="L860" i="2"/>
  <c r="A860" i="2" s="1"/>
  <c r="M860" i="2"/>
  <c r="L861" i="2"/>
  <c r="A861" i="2" s="1"/>
  <c r="M861" i="2"/>
  <c r="L862" i="2"/>
  <c r="A862" i="2" s="1"/>
  <c r="M862" i="2"/>
  <c r="L863" i="2"/>
  <c r="A863" i="2" s="1"/>
  <c r="M863" i="2"/>
  <c r="L864" i="2"/>
  <c r="A864" i="2" s="1"/>
  <c r="M864" i="2"/>
  <c r="L865" i="2"/>
  <c r="A865" i="2" s="1"/>
  <c r="M865" i="2"/>
  <c r="L866" i="2"/>
  <c r="A866" i="2" s="1"/>
  <c r="M866" i="2"/>
  <c r="L867" i="2"/>
  <c r="A867" i="2" s="1"/>
  <c r="M867" i="2"/>
  <c r="L868" i="2"/>
  <c r="A868" i="2" s="1"/>
  <c r="M868" i="2"/>
  <c r="L869" i="2"/>
  <c r="A869" i="2" s="1"/>
  <c r="M869" i="2"/>
  <c r="L870" i="2"/>
  <c r="A870" i="2" s="1"/>
  <c r="M870" i="2"/>
  <c r="L871" i="2"/>
  <c r="A871" i="2" s="1"/>
  <c r="M871" i="2"/>
  <c r="L872" i="2"/>
  <c r="A872" i="2" s="1"/>
  <c r="M872" i="2"/>
  <c r="L873" i="2"/>
  <c r="A873" i="2" s="1"/>
  <c r="M873" i="2"/>
  <c r="L874" i="2"/>
  <c r="A874" i="2" s="1"/>
  <c r="M874" i="2"/>
  <c r="L875" i="2"/>
  <c r="A875" i="2" s="1"/>
  <c r="M875" i="2"/>
  <c r="L876" i="2"/>
  <c r="A876" i="2" s="1"/>
  <c r="M876" i="2"/>
  <c r="L877" i="2"/>
  <c r="A877" i="2" s="1"/>
  <c r="M877" i="2"/>
  <c r="L878" i="2"/>
  <c r="A878" i="2" s="1"/>
  <c r="M878" i="2"/>
  <c r="L879" i="2"/>
  <c r="A879" i="2" s="1"/>
  <c r="M879" i="2"/>
  <c r="L880" i="2"/>
  <c r="A880" i="2" s="1"/>
  <c r="M880" i="2"/>
  <c r="L881" i="2"/>
  <c r="A881" i="2" s="1"/>
  <c r="M881" i="2"/>
  <c r="L882" i="2"/>
  <c r="A882" i="2" s="1"/>
  <c r="M882" i="2"/>
  <c r="L883" i="2"/>
  <c r="A883" i="2" s="1"/>
  <c r="M883" i="2"/>
  <c r="L884" i="2"/>
  <c r="A884" i="2" s="1"/>
  <c r="M884" i="2"/>
  <c r="L885" i="2"/>
  <c r="A885" i="2" s="1"/>
  <c r="M885" i="2"/>
  <c r="L886" i="2"/>
  <c r="A886" i="2" s="1"/>
  <c r="M886" i="2"/>
  <c r="L887" i="2"/>
  <c r="A887" i="2" s="1"/>
  <c r="M887" i="2"/>
  <c r="L888" i="2"/>
  <c r="A888" i="2" s="1"/>
  <c r="M888" i="2"/>
  <c r="L889" i="2"/>
  <c r="A889" i="2" s="1"/>
  <c r="M889" i="2"/>
  <c r="L890" i="2"/>
  <c r="A890" i="2" s="1"/>
  <c r="M890" i="2"/>
  <c r="L891" i="2"/>
  <c r="A891" i="2" s="1"/>
  <c r="M891" i="2"/>
  <c r="L892" i="2"/>
  <c r="A892" i="2" s="1"/>
  <c r="M892" i="2"/>
  <c r="L893" i="2"/>
  <c r="A893" i="2" s="1"/>
  <c r="M893" i="2"/>
  <c r="L894" i="2"/>
  <c r="A894" i="2" s="1"/>
  <c r="M894" i="2"/>
  <c r="L895" i="2"/>
  <c r="A895" i="2" s="1"/>
  <c r="M895" i="2"/>
  <c r="L896" i="2"/>
  <c r="A896" i="2" s="1"/>
  <c r="M896" i="2"/>
  <c r="L897" i="2"/>
  <c r="A897" i="2" s="1"/>
  <c r="M897" i="2"/>
  <c r="L898" i="2"/>
  <c r="A898" i="2" s="1"/>
  <c r="M898" i="2"/>
  <c r="L899" i="2"/>
  <c r="A899" i="2" s="1"/>
  <c r="M899" i="2"/>
  <c r="L900" i="2"/>
  <c r="A900" i="2" s="1"/>
  <c r="M900" i="2"/>
  <c r="L901" i="2"/>
  <c r="A901" i="2" s="1"/>
  <c r="M901" i="2"/>
  <c r="L902" i="2"/>
  <c r="A902" i="2" s="1"/>
  <c r="M902" i="2"/>
  <c r="L903" i="2"/>
  <c r="A903" i="2" s="1"/>
  <c r="M903" i="2"/>
  <c r="L904" i="2"/>
  <c r="A904" i="2" s="1"/>
  <c r="M904" i="2"/>
  <c r="L905" i="2"/>
  <c r="A905" i="2" s="1"/>
  <c r="M905" i="2"/>
  <c r="L906" i="2"/>
  <c r="A906" i="2" s="1"/>
  <c r="M906" i="2"/>
  <c r="L907" i="2"/>
  <c r="A907" i="2" s="1"/>
  <c r="M907" i="2"/>
  <c r="L908" i="2"/>
  <c r="A908" i="2" s="1"/>
  <c r="M908" i="2"/>
  <c r="L909" i="2"/>
  <c r="A909" i="2" s="1"/>
  <c r="M909" i="2"/>
  <c r="L910" i="2"/>
  <c r="A910" i="2" s="1"/>
  <c r="M910" i="2"/>
  <c r="L911" i="2"/>
  <c r="A911" i="2" s="1"/>
  <c r="M911" i="2"/>
  <c r="L912" i="2"/>
  <c r="A912" i="2" s="1"/>
  <c r="M912" i="2"/>
  <c r="L913" i="2"/>
  <c r="A913" i="2" s="1"/>
  <c r="M913" i="2"/>
  <c r="L914" i="2"/>
  <c r="A914" i="2" s="1"/>
  <c r="M914" i="2"/>
  <c r="L915" i="2"/>
  <c r="A915" i="2" s="1"/>
  <c r="M915" i="2"/>
  <c r="L916" i="2"/>
  <c r="A916" i="2" s="1"/>
  <c r="M916" i="2"/>
  <c r="L917" i="2"/>
  <c r="A917" i="2" s="1"/>
  <c r="M917" i="2"/>
  <c r="L918" i="2"/>
  <c r="A918" i="2" s="1"/>
  <c r="M918" i="2"/>
  <c r="L919" i="2"/>
  <c r="A919" i="2" s="1"/>
  <c r="M919" i="2"/>
  <c r="L920" i="2"/>
  <c r="A920" i="2" s="1"/>
  <c r="M920" i="2"/>
  <c r="L921" i="2"/>
  <c r="A921" i="2" s="1"/>
  <c r="M921" i="2"/>
  <c r="L922" i="2"/>
  <c r="A922" i="2" s="1"/>
  <c r="M922" i="2"/>
  <c r="L923" i="2"/>
  <c r="A923" i="2" s="1"/>
  <c r="M923" i="2"/>
  <c r="L924" i="2"/>
  <c r="A924" i="2" s="1"/>
  <c r="M924" i="2"/>
  <c r="L925" i="2"/>
  <c r="A925" i="2" s="1"/>
  <c r="M925" i="2"/>
  <c r="L926" i="2"/>
  <c r="A926" i="2" s="1"/>
  <c r="M926" i="2"/>
  <c r="L927" i="2"/>
  <c r="A927" i="2" s="1"/>
  <c r="M927" i="2"/>
  <c r="L928" i="2"/>
  <c r="A928" i="2" s="1"/>
  <c r="M928" i="2"/>
  <c r="L929" i="2"/>
  <c r="A929" i="2" s="1"/>
  <c r="M929" i="2"/>
  <c r="L930" i="2"/>
  <c r="A930" i="2" s="1"/>
  <c r="M930" i="2"/>
  <c r="L931" i="2"/>
  <c r="A931" i="2" s="1"/>
  <c r="M931" i="2"/>
  <c r="L932" i="2"/>
  <c r="A932" i="2" s="1"/>
  <c r="M932" i="2"/>
  <c r="L933" i="2"/>
  <c r="A933" i="2" s="1"/>
  <c r="M933" i="2"/>
  <c r="L934" i="2"/>
  <c r="A934" i="2" s="1"/>
  <c r="M934" i="2"/>
  <c r="L935" i="2"/>
  <c r="A935" i="2" s="1"/>
  <c r="M935" i="2"/>
  <c r="L936" i="2"/>
  <c r="A936" i="2" s="1"/>
  <c r="M936" i="2"/>
  <c r="L937" i="2"/>
  <c r="A937" i="2" s="1"/>
  <c r="M937" i="2"/>
  <c r="L938" i="2"/>
  <c r="A938" i="2" s="1"/>
  <c r="M938" i="2"/>
  <c r="L939" i="2"/>
  <c r="A939" i="2" s="1"/>
  <c r="M939" i="2"/>
  <c r="L940" i="2"/>
  <c r="A940" i="2" s="1"/>
  <c r="M940" i="2"/>
  <c r="L941" i="2"/>
  <c r="A941" i="2" s="1"/>
  <c r="M941" i="2"/>
  <c r="L942" i="2"/>
  <c r="A942" i="2" s="1"/>
  <c r="M942" i="2"/>
  <c r="L943" i="2"/>
  <c r="A943" i="2" s="1"/>
  <c r="M943" i="2"/>
  <c r="L944" i="2"/>
  <c r="A944" i="2" s="1"/>
  <c r="M944" i="2"/>
  <c r="L945" i="2"/>
  <c r="A945" i="2" s="1"/>
  <c r="M945" i="2"/>
  <c r="L946" i="2"/>
  <c r="A946" i="2" s="1"/>
  <c r="M946" i="2"/>
  <c r="L947" i="2"/>
  <c r="A947" i="2" s="1"/>
  <c r="M947" i="2"/>
  <c r="L948" i="2"/>
  <c r="A948" i="2" s="1"/>
  <c r="M948" i="2"/>
  <c r="L949" i="2"/>
  <c r="A949" i="2" s="1"/>
  <c r="M949" i="2"/>
  <c r="L950" i="2"/>
  <c r="A950" i="2" s="1"/>
  <c r="M950" i="2"/>
  <c r="L951" i="2"/>
  <c r="A951" i="2" s="1"/>
  <c r="M951" i="2"/>
  <c r="L952" i="2"/>
  <c r="A952" i="2" s="1"/>
  <c r="M952" i="2"/>
  <c r="L953" i="2"/>
  <c r="A953" i="2" s="1"/>
  <c r="M953" i="2"/>
  <c r="L954" i="2"/>
  <c r="A954" i="2" s="1"/>
  <c r="M954" i="2"/>
  <c r="L955" i="2"/>
  <c r="A955" i="2" s="1"/>
  <c r="M955" i="2"/>
  <c r="L956" i="2"/>
  <c r="A956" i="2" s="1"/>
  <c r="M956" i="2"/>
  <c r="L957" i="2"/>
  <c r="A957" i="2" s="1"/>
  <c r="M957" i="2"/>
  <c r="L958" i="2"/>
  <c r="A958" i="2" s="1"/>
  <c r="M958" i="2"/>
  <c r="L959" i="2"/>
  <c r="A959" i="2" s="1"/>
  <c r="M959" i="2"/>
  <c r="L960" i="2"/>
  <c r="A960" i="2" s="1"/>
  <c r="M960" i="2"/>
  <c r="L961" i="2"/>
  <c r="A961" i="2" s="1"/>
  <c r="M961" i="2"/>
  <c r="L962" i="2"/>
  <c r="A962" i="2" s="1"/>
  <c r="M962" i="2"/>
  <c r="L963" i="2"/>
  <c r="A963" i="2" s="1"/>
  <c r="M963" i="2"/>
  <c r="L964" i="2"/>
  <c r="A964" i="2" s="1"/>
  <c r="M964" i="2"/>
  <c r="L965" i="2"/>
  <c r="A965" i="2" s="1"/>
  <c r="M965" i="2"/>
  <c r="L966" i="2"/>
  <c r="A966" i="2" s="1"/>
  <c r="M966" i="2"/>
  <c r="L967" i="2"/>
  <c r="A967" i="2" s="1"/>
  <c r="M967" i="2"/>
  <c r="L968" i="2"/>
  <c r="A968" i="2" s="1"/>
  <c r="M968" i="2"/>
  <c r="L969" i="2"/>
  <c r="A969" i="2" s="1"/>
  <c r="M969" i="2"/>
  <c r="L970" i="2"/>
  <c r="A970" i="2" s="1"/>
  <c r="M970" i="2"/>
  <c r="L971" i="2"/>
  <c r="A971" i="2" s="1"/>
  <c r="M971" i="2"/>
  <c r="L972" i="2"/>
  <c r="A972" i="2" s="1"/>
  <c r="M972" i="2"/>
  <c r="L973" i="2"/>
  <c r="A973" i="2" s="1"/>
  <c r="M973" i="2"/>
  <c r="L974" i="2"/>
  <c r="A974" i="2" s="1"/>
  <c r="M974" i="2"/>
  <c r="L975" i="2"/>
  <c r="A975" i="2" s="1"/>
  <c r="M975" i="2"/>
  <c r="L976" i="2"/>
  <c r="A976" i="2" s="1"/>
  <c r="M976" i="2"/>
  <c r="L977" i="2"/>
  <c r="A977" i="2" s="1"/>
  <c r="M977" i="2"/>
  <c r="L978" i="2"/>
  <c r="A978" i="2" s="1"/>
  <c r="M978" i="2"/>
  <c r="L979" i="2"/>
  <c r="A979" i="2" s="1"/>
  <c r="M979" i="2"/>
  <c r="L980" i="2"/>
  <c r="A980" i="2" s="1"/>
  <c r="M980" i="2"/>
  <c r="L981" i="2"/>
  <c r="A981" i="2" s="1"/>
  <c r="M981" i="2"/>
  <c r="L982" i="2"/>
  <c r="A982" i="2" s="1"/>
  <c r="M982" i="2"/>
  <c r="L983" i="2"/>
  <c r="A983" i="2" s="1"/>
  <c r="M983" i="2"/>
  <c r="L984" i="2"/>
  <c r="A984" i="2" s="1"/>
  <c r="M984" i="2"/>
  <c r="L985" i="2"/>
  <c r="A985" i="2" s="1"/>
  <c r="M985" i="2"/>
  <c r="L986" i="2"/>
  <c r="A986" i="2" s="1"/>
  <c r="M986" i="2"/>
  <c r="L987" i="2"/>
  <c r="A987" i="2" s="1"/>
  <c r="M987" i="2"/>
  <c r="L988" i="2"/>
  <c r="A988" i="2" s="1"/>
  <c r="M988" i="2"/>
  <c r="L989" i="2"/>
  <c r="A989" i="2" s="1"/>
  <c r="M989" i="2"/>
  <c r="L990" i="2"/>
  <c r="A990" i="2" s="1"/>
  <c r="M990" i="2"/>
  <c r="L991" i="2"/>
  <c r="A991" i="2" s="1"/>
  <c r="M991" i="2"/>
  <c r="L992" i="2"/>
  <c r="A992" i="2" s="1"/>
  <c r="M992" i="2"/>
  <c r="L993" i="2"/>
  <c r="A993" i="2" s="1"/>
  <c r="M993" i="2"/>
  <c r="L994" i="2"/>
  <c r="A994" i="2" s="1"/>
  <c r="M994" i="2"/>
  <c r="L995" i="2"/>
  <c r="A995" i="2" s="1"/>
  <c r="M995" i="2"/>
  <c r="L996" i="2"/>
  <c r="A996" i="2" s="1"/>
  <c r="M996" i="2"/>
  <c r="L997" i="2"/>
  <c r="A997" i="2" s="1"/>
  <c r="M997" i="2"/>
  <c r="L998" i="2"/>
  <c r="A998" i="2" s="1"/>
  <c r="M998" i="2"/>
  <c r="L999" i="2"/>
  <c r="A999" i="2" s="1"/>
  <c r="M999" i="2"/>
  <c r="L1000" i="2"/>
  <c r="A1000" i="2" s="1"/>
  <c r="M1000" i="2"/>
  <c r="L1001" i="2"/>
  <c r="A1001" i="2" s="1"/>
  <c r="M1001" i="2"/>
  <c r="L1002" i="2"/>
  <c r="A1002" i="2" s="1"/>
  <c r="M1002" i="2"/>
  <c r="L1003" i="2"/>
  <c r="A1003" i="2" s="1"/>
  <c r="M1003" i="2"/>
  <c r="L1004" i="2"/>
  <c r="A1004" i="2" s="1"/>
  <c r="M1004" i="2"/>
  <c r="L1005" i="2"/>
  <c r="A1005" i="2" s="1"/>
  <c r="M1005" i="2"/>
  <c r="L1006" i="2"/>
  <c r="A1006" i="2" s="1"/>
  <c r="M1006" i="2"/>
  <c r="L1007" i="2"/>
  <c r="A1007" i="2" s="1"/>
  <c r="M1007" i="2"/>
  <c r="L1008" i="2"/>
  <c r="A1008" i="2" s="1"/>
  <c r="M1008" i="2"/>
  <c r="L1009" i="2"/>
  <c r="A1009" i="2" s="1"/>
  <c r="M1009" i="2"/>
  <c r="L1010" i="2"/>
  <c r="A1010" i="2" s="1"/>
  <c r="M1010" i="2"/>
  <c r="L1011" i="2"/>
  <c r="A1011" i="2" s="1"/>
  <c r="M1011" i="2"/>
  <c r="L1012" i="2"/>
  <c r="A1012" i="2" s="1"/>
  <c r="M1012" i="2"/>
  <c r="L1013" i="2"/>
  <c r="A1013" i="2" s="1"/>
  <c r="M1013" i="2"/>
  <c r="L1014" i="2"/>
  <c r="A1014" i="2" s="1"/>
  <c r="M1014" i="2"/>
  <c r="L1015" i="2"/>
  <c r="A1015" i="2" s="1"/>
  <c r="M1015" i="2"/>
  <c r="L1016" i="2"/>
  <c r="A1016" i="2" s="1"/>
  <c r="M1016" i="2"/>
  <c r="L1017" i="2"/>
  <c r="A1017" i="2" s="1"/>
  <c r="M1017" i="2"/>
  <c r="L1018" i="2"/>
  <c r="A1018" i="2" s="1"/>
  <c r="M1018" i="2"/>
  <c r="L1019" i="2"/>
  <c r="A1019" i="2" s="1"/>
  <c r="M1019" i="2"/>
  <c r="L1020" i="2"/>
  <c r="A1020" i="2" s="1"/>
  <c r="M1020" i="2"/>
  <c r="L1021" i="2"/>
  <c r="A1021" i="2" s="1"/>
  <c r="M1021" i="2"/>
  <c r="L1022" i="2"/>
  <c r="A1022" i="2" s="1"/>
  <c r="M1022" i="2"/>
  <c r="L1023" i="2"/>
  <c r="A1023" i="2" s="1"/>
  <c r="M1023" i="2"/>
  <c r="L1024" i="2"/>
  <c r="A1024" i="2" s="1"/>
  <c r="M1024" i="2"/>
  <c r="L1025" i="2"/>
  <c r="A1025" i="2" s="1"/>
  <c r="M1025" i="2"/>
  <c r="L1026" i="2"/>
  <c r="A1026" i="2" s="1"/>
  <c r="M1026" i="2"/>
  <c r="L1027" i="2"/>
  <c r="A1027" i="2" s="1"/>
  <c r="M1027" i="2"/>
  <c r="L1028" i="2"/>
  <c r="A1028" i="2" s="1"/>
  <c r="M1028" i="2"/>
  <c r="L1029" i="2"/>
  <c r="A1029" i="2" s="1"/>
  <c r="M1029" i="2"/>
  <c r="L1030" i="2"/>
  <c r="A1030" i="2" s="1"/>
  <c r="M1030" i="2"/>
  <c r="L1031" i="2"/>
  <c r="A1031" i="2" s="1"/>
  <c r="M1031" i="2"/>
  <c r="L1032" i="2"/>
  <c r="A1032" i="2" s="1"/>
  <c r="M1032" i="2"/>
  <c r="L1033" i="2"/>
  <c r="A1033" i="2" s="1"/>
  <c r="M1033" i="2"/>
  <c r="L1034" i="2"/>
  <c r="A1034" i="2" s="1"/>
  <c r="M1034" i="2"/>
  <c r="L1035" i="2"/>
  <c r="A1035" i="2" s="1"/>
  <c r="M1035" i="2"/>
  <c r="L1036" i="2"/>
  <c r="A1036" i="2" s="1"/>
  <c r="M1036" i="2"/>
  <c r="L1037" i="2"/>
  <c r="A1037" i="2" s="1"/>
  <c r="M1037" i="2"/>
  <c r="L1038" i="2"/>
  <c r="A1038" i="2" s="1"/>
  <c r="M1038" i="2"/>
  <c r="L1039" i="2"/>
  <c r="A1039" i="2" s="1"/>
  <c r="M1039" i="2"/>
  <c r="L1040" i="2"/>
  <c r="A1040" i="2" s="1"/>
  <c r="M1040" i="2"/>
  <c r="L1041" i="2"/>
  <c r="A1041" i="2" s="1"/>
  <c r="M1041" i="2"/>
  <c r="L1042" i="2"/>
  <c r="A1042" i="2" s="1"/>
  <c r="M1042" i="2"/>
  <c r="L1043" i="2"/>
  <c r="A1043" i="2" s="1"/>
  <c r="M1043" i="2"/>
  <c r="L1044" i="2"/>
  <c r="A1044" i="2" s="1"/>
  <c r="M1044" i="2"/>
  <c r="L1045" i="2"/>
  <c r="A1045" i="2" s="1"/>
  <c r="M1045" i="2"/>
  <c r="L1046" i="2"/>
  <c r="A1046" i="2" s="1"/>
  <c r="M1046" i="2"/>
  <c r="L1047" i="2"/>
  <c r="A1047" i="2" s="1"/>
  <c r="M1047" i="2"/>
  <c r="L1048" i="2"/>
  <c r="A1048" i="2" s="1"/>
  <c r="M1048" i="2"/>
  <c r="L1049" i="2"/>
  <c r="A1049" i="2" s="1"/>
  <c r="M1049" i="2"/>
  <c r="L1050" i="2"/>
  <c r="A1050" i="2" s="1"/>
  <c r="M1050" i="2"/>
  <c r="L1051" i="2"/>
  <c r="A1051" i="2" s="1"/>
  <c r="M1051" i="2"/>
  <c r="L1052" i="2"/>
  <c r="A1052" i="2" s="1"/>
  <c r="M1052" i="2"/>
  <c r="L1053" i="2"/>
  <c r="A1053" i="2" s="1"/>
  <c r="M1053" i="2"/>
  <c r="L1054" i="2"/>
  <c r="A1054" i="2" s="1"/>
  <c r="M1054" i="2"/>
  <c r="L1055" i="2"/>
  <c r="A1055" i="2" s="1"/>
  <c r="M1055" i="2"/>
  <c r="L1056" i="2"/>
  <c r="A1056" i="2" s="1"/>
  <c r="M1056" i="2"/>
  <c r="L1057" i="2"/>
  <c r="A1057" i="2" s="1"/>
  <c r="M1057" i="2"/>
  <c r="L1058" i="2"/>
  <c r="A1058" i="2" s="1"/>
  <c r="M1058" i="2"/>
  <c r="L1059" i="2"/>
  <c r="A1059" i="2" s="1"/>
  <c r="M1059" i="2"/>
  <c r="L1060" i="2"/>
  <c r="A1060" i="2" s="1"/>
  <c r="M1060" i="2"/>
  <c r="L1061" i="2"/>
  <c r="A1061" i="2" s="1"/>
  <c r="M1061" i="2"/>
  <c r="L1062" i="2"/>
  <c r="A1062" i="2" s="1"/>
  <c r="M1062" i="2"/>
  <c r="L1063" i="2"/>
  <c r="A1063" i="2" s="1"/>
  <c r="M1063" i="2"/>
  <c r="L1064" i="2"/>
  <c r="A1064" i="2" s="1"/>
  <c r="M1064" i="2"/>
  <c r="L1065" i="2"/>
  <c r="A1065" i="2" s="1"/>
  <c r="M1065" i="2"/>
  <c r="L1066" i="2"/>
  <c r="A1066" i="2" s="1"/>
  <c r="M1066" i="2"/>
  <c r="L1067" i="2"/>
  <c r="A1067" i="2" s="1"/>
  <c r="M1067" i="2"/>
  <c r="L1068" i="2"/>
  <c r="A1068" i="2" s="1"/>
  <c r="M1068" i="2"/>
  <c r="L1069" i="2"/>
  <c r="A1069" i="2" s="1"/>
  <c r="M1069" i="2"/>
  <c r="L1070" i="2"/>
  <c r="A1070" i="2" s="1"/>
  <c r="M1070" i="2"/>
  <c r="L1071" i="2"/>
  <c r="A1071" i="2" s="1"/>
  <c r="M1071" i="2"/>
  <c r="L1072" i="2"/>
  <c r="A1072" i="2" s="1"/>
  <c r="M1072" i="2"/>
  <c r="L1073" i="2"/>
  <c r="A1073" i="2" s="1"/>
  <c r="M1073" i="2"/>
  <c r="L1074" i="2"/>
  <c r="A1074" i="2" s="1"/>
  <c r="M1074" i="2"/>
  <c r="L1075" i="2"/>
  <c r="A1075" i="2" s="1"/>
  <c r="M1075" i="2"/>
  <c r="L1076" i="2"/>
  <c r="A1076" i="2" s="1"/>
  <c r="M1076" i="2"/>
  <c r="L1077" i="2"/>
  <c r="A1077" i="2" s="1"/>
  <c r="M1077" i="2"/>
  <c r="L1078" i="2"/>
  <c r="A1078" i="2" s="1"/>
  <c r="M1078" i="2"/>
  <c r="L1079" i="2"/>
  <c r="A1079" i="2" s="1"/>
  <c r="M1079" i="2"/>
  <c r="L1080" i="2"/>
  <c r="A1080" i="2" s="1"/>
  <c r="M1080" i="2"/>
  <c r="L1081" i="2"/>
  <c r="A1081" i="2" s="1"/>
  <c r="M1081" i="2"/>
  <c r="L1082" i="2"/>
  <c r="A1082" i="2" s="1"/>
  <c r="M1082" i="2"/>
  <c r="L1083" i="2"/>
  <c r="A1083" i="2" s="1"/>
  <c r="M1083" i="2"/>
  <c r="L1084" i="2"/>
  <c r="A1084" i="2" s="1"/>
  <c r="M1084" i="2"/>
  <c r="L1085" i="2"/>
  <c r="A1085" i="2" s="1"/>
  <c r="M1085" i="2"/>
  <c r="L1086" i="2"/>
  <c r="A1086" i="2" s="1"/>
  <c r="M1086" i="2"/>
  <c r="L1087" i="2"/>
  <c r="A1087" i="2" s="1"/>
  <c r="M1087" i="2"/>
  <c r="L1088" i="2"/>
  <c r="A1088" i="2" s="1"/>
  <c r="M1088" i="2"/>
  <c r="L1089" i="2"/>
  <c r="A1089" i="2" s="1"/>
  <c r="M1089" i="2"/>
  <c r="L1090" i="2"/>
  <c r="A1090" i="2" s="1"/>
  <c r="M1090" i="2"/>
  <c r="L1091" i="2"/>
  <c r="A1091" i="2" s="1"/>
  <c r="M1091" i="2"/>
  <c r="L1092" i="2"/>
  <c r="A1092" i="2" s="1"/>
  <c r="M1092" i="2"/>
  <c r="L1093" i="2"/>
  <c r="A1093" i="2" s="1"/>
  <c r="M1093" i="2"/>
  <c r="L1094" i="2"/>
  <c r="A1094" i="2" s="1"/>
  <c r="M1094" i="2"/>
  <c r="L1095" i="2"/>
  <c r="A1095" i="2" s="1"/>
  <c r="M1095" i="2"/>
  <c r="L1096" i="2"/>
  <c r="A1096" i="2" s="1"/>
  <c r="M1096" i="2"/>
  <c r="L1097" i="2"/>
  <c r="A1097" i="2" s="1"/>
  <c r="M1097" i="2"/>
  <c r="L1098" i="2"/>
  <c r="A1098" i="2" s="1"/>
  <c r="M1098" i="2"/>
  <c r="L1099" i="2"/>
  <c r="A1099" i="2" s="1"/>
  <c r="M1099" i="2"/>
  <c r="L1100" i="2"/>
  <c r="A1100" i="2" s="1"/>
  <c r="M1100" i="2"/>
  <c r="L1101" i="2"/>
  <c r="A1101" i="2" s="1"/>
  <c r="M1101" i="2"/>
  <c r="L1102" i="2"/>
  <c r="A1102" i="2" s="1"/>
  <c r="M1102" i="2"/>
  <c r="L1103" i="2"/>
  <c r="A1103" i="2" s="1"/>
  <c r="M1103" i="2"/>
  <c r="L1104" i="2"/>
  <c r="A1104" i="2" s="1"/>
  <c r="M1104" i="2"/>
  <c r="L1105" i="2"/>
  <c r="A1105" i="2" s="1"/>
  <c r="M1105" i="2"/>
  <c r="L1106" i="2"/>
  <c r="A1106" i="2" s="1"/>
  <c r="M1106" i="2"/>
  <c r="L1107" i="2"/>
  <c r="A1107" i="2" s="1"/>
  <c r="M1107" i="2"/>
  <c r="L1108" i="2"/>
  <c r="A1108" i="2" s="1"/>
  <c r="M1108" i="2"/>
  <c r="L1109" i="2"/>
  <c r="A1109" i="2" s="1"/>
  <c r="M1109" i="2"/>
  <c r="L1110" i="2"/>
  <c r="A1110" i="2" s="1"/>
  <c r="M1110" i="2"/>
  <c r="L1111" i="2"/>
  <c r="A1111" i="2" s="1"/>
  <c r="M1111" i="2"/>
  <c r="L1112" i="2"/>
  <c r="A1112" i="2" s="1"/>
  <c r="M1112" i="2"/>
  <c r="L1113" i="2"/>
  <c r="A1113" i="2" s="1"/>
  <c r="M1113" i="2"/>
  <c r="L1114" i="2"/>
  <c r="A1114" i="2" s="1"/>
  <c r="M1114" i="2"/>
  <c r="L1115" i="2"/>
  <c r="A1115" i="2" s="1"/>
  <c r="M1115" i="2"/>
  <c r="L1116" i="2"/>
  <c r="A1116" i="2" s="1"/>
  <c r="M1116" i="2"/>
  <c r="L1117" i="2"/>
  <c r="A1117" i="2" s="1"/>
  <c r="M1117" i="2"/>
  <c r="L1118" i="2"/>
  <c r="A1118" i="2" s="1"/>
  <c r="M1118" i="2"/>
  <c r="L1119" i="2"/>
  <c r="A1119" i="2" s="1"/>
  <c r="M1119" i="2"/>
  <c r="L1120" i="2"/>
  <c r="A1120" i="2" s="1"/>
  <c r="M1120" i="2"/>
  <c r="L1121" i="2"/>
  <c r="A1121" i="2" s="1"/>
  <c r="M1121" i="2"/>
  <c r="L1122" i="2"/>
  <c r="A1122" i="2" s="1"/>
  <c r="M1122" i="2"/>
  <c r="L1123" i="2"/>
  <c r="A1123" i="2" s="1"/>
  <c r="M1123" i="2"/>
  <c r="L1124" i="2"/>
  <c r="A1124" i="2" s="1"/>
  <c r="M1124" i="2"/>
  <c r="L1125" i="2"/>
  <c r="A1125" i="2" s="1"/>
  <c r="M1125" i="2"/>
  <c r="L1126" i="2"/>
  <c r="A1126" i="2" s="1"/>
  <c r="M1126" i="2"/>
  <c r="L1127" i="2"/>
  <c r="A1127" i="2" s="1"/>
  <c r="M1127" i="2"/>
  <c r="L1128" i="2"/>
  <c r="A1128" i="2" s="1"/>
  <c r="M1128" i="2"/>
  <c r="L1129" i="2"/>
  <c r="A1129" i="2" s="1"/>
  <c r="M1129" i="2"/>
  <c r="L1130" i="2"/>
  <c r="A1130" i="2" s="1"/>
  <c r="M1130" i="2"/>
  <c r="L1131" i="2"/>
  <c r="A1131" i="2" s="1"/>
  <c r="M1131" i="2"/>
  <c r="L1132" i="2"/>
  <c r="A1132" i="2" s="1"/>
  <c r="M1132" i="2"/>
  <c r="L1133" i="2"/>
  <c r="A1133" i="2" s="1"/>
  <c r="M1133" i="2"/>
  <c r="L1134" i="2"/>
  <c r="A1134" i="2" s="1"/>
  <c r="M1134" i="2"/>
  <c r="L1135" i="2"/>
  <c r="A1135" i="2" s="1"/>
  <c r="M1135" i="2"/>
  <c r="L1136" i="2"/>
  <c r="A1136" i="2" s="1"/>
  <c r="M1136" i="2"/>
  <c r="B795" i="2"/>
  <c r="C795" i="2"/>
  <c r="D795" i="2"/>
  <c r="E795" i="2"/>
  <c r="F795" i="2"/>
  <c r="G795" i="2"/>
  <c r="H795" i="2"/>
  <c r="I795" i="2"/>
  <c r="J795" i="2"/>
  <c r="K795" i="2"/>
  <c r="B796" i="2"/>
  <c r="C796" i="2"/>
  <c r="D796" i="2"/>
  <c r="E796" i="2"/>
  <c r="F796" i="2"/>
  <c r="G796" i="2"/>
  <c r="H796" i="2"/>
  <c r="I796" i="2"/>
  <c r="J796" i="2"/>
  <c r="K796" i="2"/>
  <c r="B797" i="2"/>
  <c r="C797" i="2"/>
  <c r="D797" i="2"/>
  <c r="E797" i="2"/>
  <c r="F797" i="2"/>
  <c r="G797" i="2"/>
  <c r="H797" i="2"/>
  <c r="I797" i="2"/>
  <c r="J797" i="2"/>
  <c r="K797" i="2"/>
  <c r="B798" i="2"/>
  <c r="C798" i="2"/>
  <c r="D798" i="2"/>
  <c r="E798" i="2"/>
  <c r="F798" i="2"/>
  <c r="G798" i="2"/>
  <c r="H798" i="2"/>
  <c r="I798" i="2"/>
  <c r="J798" i="2"/>
  <c r="K798" i="2"/>
  <c r="B799" i="2"/>
  <c r="C799" i="2"/>
  <c r="D799" i="2"/>
  <c r="E799" i="2"/>
  <c r="F799" i="2"/>
  <c r="G799" i="2"/>
  <c r="H799" i="2"/>
  <c r="I799" i="2"/>
  <c r="J799" i="2"/>
  <c r="K799" i="2"/>
  <c r="B800" i="2"/>
  <c r="C800" i="2"/>
  <c r="D800" i="2"/>
  <c r="E800" i="2"/>
  <c r="F800" i="2"/>
  <c r="G800" i="2"/>
  <c r="H800" i="2"/>
  <c r="I800" i="2"/>
  <c r="J800" i="2"/>
  <c r="K800" i="2"/>
  <c r="B801" i="2"/>
  <c r="C801" i="2"/>
  <c r="D801" i="2"/>
  <c r="E801" i="2"/>
  <c r="F801" i="2"/>
  <c r="G801" i="2"/>
  <c r="H801" i="2"/>
  <c r="I801" i="2"/>
  <c r="J801" i="2"/>
  <c r="K801" i="2"/>
  <c r="B802" i="2"/>
  <c r="C802" i="2"/>
  <c r="D802" i="2"/>
  <c r="E802" i="2"/>
  <c r="F802" i="2"/>
  <c r="G802" i="2"/>
  <c r="H802" i="2"/>
  <c r="I802" i="2"/>
  <c r="J802" i="2"/>
  <c r="K802" i="2"/>
  <c r="B803" i="2"/>
  <c r="C803" i="2"/>
  <c r="D803" i="2"/>
  <c r="E803" i="2"/>
  <c r="F803" i="2"/>
  <c r="G803" i="2"/>
  <c r="H803" i="2"/>
  <c r="I803" i="2"/>
  <c r="J803" i="2"/>
  <c r="K803" i="2"/>
  <c r="B804" i="2"/>
  <c r="C804" i="2"/>
  <c r="D804" i="2"/>
  <c r="E804" i="2"/>
  <c r="F804" i="2"/>
  <c r="G804" i="2"/>
  <c r="H804" i="2"/>
  <c r="I804" i="2"/>
  <c r="J804" i="2"/>
  <c r="K804" i="2"/>
  <c r="B805" i="2"/>
  <c r="C805" i="2"/>
  <c r="D805" i="2"/>
  <c r="E805" i="2"/>
  <c r="F805" i="2"/>
  <c r="G805" i="2"/>
  <c r="H805" i="2"/>
  <c r="I805" i="2"/>
  <c r="J805" i="2"/>
  <c r="K805" i="2"/>
  <c r="B806" i="2"/>
  <c r="C806" i="2"/>
  <c r="D806" i="2"/>
  <c r="E806" i="2"/>
  <c r="F806" i="2"/>
  <c r="G806" i="2"/>
  <c r="H806" i="2"/>
  <c r="I806" i="2"/>
  <c r="J806" i="2"/>
  <c r="K806" i="2"/>
  <c r="B807" i="2"/>
  <c r="C807" i="2"/>
  <c r="D807" i="2"/>
  <c r="E807" i="2"/>
  <c r="F807" i="2"/>
  <c r="G807" i="2"/>
  <c r="H807" i="2"/>
  <c r="I807" i="2"/>
  <c r="J807" i="2"/>
  <c r="K807" i="2"/>
  <c r="B808" i="2"/>
  <c r="C808" i="2"/>
  <c r="D808" i="2"/>
  <c r="E808" i="2"/>
  <c r="F808" i="2"/>
  <c r="G808" i="2"/>
  <c r="H808" i="2"/>
  <c r="I808" i="2"/>
  <c r="J808" i="2"/>
  <c r="K808" i="2"/>
  <c r="B809" i="2"/>
  <c r="C809" i="2"/>
  <c r="D809" i="2"/>
  <c r="E809" i="2"/>
  <c r="F809" i="2"/>
  <c r="G809" i="2"/>
  <c r="H809" i="2"/>
  <c r="I809" i="2"/>
  <c r="J809" i="2"/>
  <c r="K809" i="2"/>
  <c r="B810" i="2"/>
  <c r="C810" i="2"/>
  <c r="D810" i="2"/>
  <c r="E810" i="2"/>
  <c r="F810" i="2"/>
  <c r="G810" i="2"/>
  <c r="H810" i="2"/>
  <c r="I810" i="2"/>
  <c r="J810" i="2"/>
  <c r="K810" i="2"/>
  <c r="B811" i="2"/>
  <c r="C811" i="2"/>
  <c r="D811" i="2"/>
  <c r="E811" i="2"/>
  <c r="F811" i="2"/>
  <c r="G811" i="2"/>
  <c r="H811" i="2"/>
  <c r="I811" i="2"/>
  <c r="J811" i="2"/>
  <c r="K811" i="2"/>
  <c r="B812" i="2"/>
  <c r="C812" i="2"/>
  <c r="D812" i="2"/>
  <c r="E812" i="2"/>
  <c r="F812" i="2"/>
  <c r="G812" i="2"/>
  <c r="H812" i="2"/>
  <c r="I812" i="2"/>
  <c r="J812" i="2"/>
  <c r="K812" i="2"/>
  <c r="B813" i="2"/>
  <c r="C813" i="2"/>
  <c r="D813" i="2"/>
  <c r="E813" i="2"/>
  <c r="F813" i="2"/>
  <c r="G813" i="2"/>
  <c r="H813" i="2"/>
  <c r="I813" i="2"/>
  <c r="J813" i="2"/>
  <c r="K813" i="2"/>
  <c r="B814" i="2"/>
  <c r="C814" i="2"/>
  <c r="D814" i="2"/>
  <c r="E814" i="2"/>
  <c r="F814" i="2"/>
  <c r="G814" i="2"/>
  <c r="H814" i="2"/>
  <c r="I814" i="2"/>
  <c r="J814" i="2"/>
  <c r="K814" i="2"/>
  <c r="B815" i="2"/>
  <c r="C815" i="2"/>
  <c r="D815" i="2"/>
  <c r="E815" i="2"/>
  <c r="F815" i="2"/>
  <c r="G815" i="2"/>
  <c r="H815" i="2"/>
  <c r="I815" i="2"/>
  <c r="J815" i="2"/>
  <c r="K815" i="2"/>
  <c r="B816" i="2"/>
  <c r="C816" i="2"/>
  <c r="D816" i="2"/>
  <c r="E816" i="2"/>
  <c r="F816" i="2"/>
  <c r="G816" i="2"/>
  <c r="H816" i="2"/>
  <c r="I816" i="2"/>
  <c r="J816" i="2"/>
  <c r="K816" i="2"/>
  <c r="B817" i="2"/>
  <c r="C817" i="2"/>
  <c r="D817" i="2"/>
  <c r="E817" i="2"/>
  <c r="F817" i="2"/>
  <c r="G817" i="2"/>
  <c r="H817" i="2"/>
  <c r="I817" i="2"/>
  <c r="J817" i="2"/>
  <c r="K817" i="2"/>
  <c r="B818" i="2"/>
  <c r="C818" i="2"/>
  <c r="D818" i="2"/>
  <c r="E818" i="2"/>
  <c r="F818" i="2"/>
  <c r="G818" i="2"/>
  <c r="H818" i="2"/>
  <c r="I818" i="2"/>
  <c r="J818" i="2"/>
  <c r="K818" i="2"/>
  <c r="B819" i="2"/>
  <c r="C819" i="2"/>
  <c r="D819" i="2"/>
  <c r="E819" i="2"/>
  <c r="F819" i="2"/>
  <c r="G819" i="2"/>
  <c r="H819" i="2"/>
  <c r="I819" i="2"/>
  <c r="J819" i="2"/>
  <c r="K819" i="2"/>
  <c r="B820" i="2"/>
  <c r="C820" i="2"/>
  <c r="D820" i="2"/>
  <c r="E820" i="2"/>
  <c r="F820" i="2"/>
  <c r="G820" i="2"/>
  <c r="H820" i="2"/>
  <c r="I820" i="2"/>
  <c r="J820" i="2"/>
  <c r="K820" i="2"/>
  <c r="B821" i="2"/>
  <c r="C821" i="2"/>
  <c r="D821" i="2"/>
  <c r="E821" i="2"/>
  <c r="F821" i="2"/>
  <c r="G821" i="2"/>
  <c r="H821" i="2"/>
  <c r="I821" i="2"/>
  <c r="J821" i="2"/>
  <c r="K821" i="2"/>
  <c r="B822" i="2"/>
  <c r="C822" i="2"/>
  <c r="D822" i="2"/>
  <c r="E822" i="2"/>
  <c r="F822" i="2"/>
  <c r="G822" i="2"/>
  <c r="H822" i="2"/>
  <c r="I822" i="2"/>
  <c r="J822" i="2"/>
  <c r="K822" i="2"/>
  <c r="B823" i="2"/>
  <c r="C823" i="2"/>
  <c r="D823" i="2"/>
  <c r="E823" i="2"/>
  <c r="F823" i="2"/>
  <c r="G823" i="2"/>
  <c r="H823" i="2"/>
  <c r="I823" i="2"/>
  <c r="J823" i="2"/>
  <c r="K823" i="2"/>
  <c r="B824" i="2"/>
  <c r="C824" i="2"/>
  <c r="D824" i="2"/>
  <c r="E824" i="2"/>
  <c r="F824" i="2"/>
  <c r="G824" i="2"/>
  <c r="H824" i="2"/>
  <c r="I824" i="2"/>
  <c r="J824" i="2"/>
  <c r="K824" i="2"/>
  <c r="B825" i="2"/>
  <c r="C825" i="2"/>
  <c r="D825" i="2"/>
  <c r="E825" i="2"/>
  <c r="F825" i="2"/>
  <c r="G825" i="2"/>
  <c r="H825" i="2"/>
  <c r="I825" i="2"/>
  <c r="J825" i="2"/>
  <c r="K825" i="2"/>
  <c r="B826" i="2"/>
  <c r="C826" i="2"/>
  <c r="D826" i="2"/>
  <c r="E826" i="2"/>
  <c r="F826" i="2"/>
  <c r="G826" i="2"/>
  <c r="H826" i="2"/>
  <c r="I826" i="2"/>
  <c r="J826" i="2"/>
  <c r="K826" i="2"/>
  <c r="B827" i="2"/>
  <c r="C827" i="2"/>
  <c r="D827" i="2"/>
  <c r="E827" i="2"/>
  <c r="F827" i="2"/>
  <c r="G827" i="2"/>
  <c r="H827" i="2"/>
  <c r="I827" i="2"/>
  <c r="J827" i="2"/>
  <c r="K827" i="2"/>
  <c r="B828" i="2"/>
  <c r="C828" i="2"/>
  <c r="D828" i="2"/>
  <c r="E828" i="2"/>
  <c r="F828" i="2"/>
  <c r="G828" i="2"/>
  <c r="H828" i="2"/>
  <c r="I828" i="2"/>
  <c r="J828" i="2"/>
  <c r="K828" i="2"/>
  <c r="B829" i="2"/>
  <c r="C829" i="2"/>
  <c r="D829" i="2"/>
  <c r="E829" i="2"/>
  <c r="F829" i="2"/>
  <c r="G829" i="2"/>
  <c r="H829" i="2"/>
  <c r="I829" i="2"/>
  <c r="J829" i="2"/>
  <c r="K829" i="2"/>
  <c r="B830" i="2"/>
  <c r="C830" i="2"/>
  <c r="D830" i="2"/>
  <c r="E830" i="2"/>
  <c r="F830" i="2"/>
  <c r="G830" i="2"/>
  <c r="H830" i="2"/>
  <c r="I830" i="2"/>
  <c r="J830" i="2"/>
  <c r="K830" i="2"/>
  <c r="B831" i="2"/>
  <c r="C831" i="2"/>
  <c r="D831" i="2"/>
  <c r="E831" i="2"/>
  <c r="F831" i="2"/>
  <c r="G831" i="2"/>
  <c r="H831" i="2"/>
  <c r="I831" i="2"/>
  <c r="J831" i="2"/>
  <c r="K831" i="2"/>
  <c r="B832" i="2"/>
  <c r="C832" i="2"/>
  <c r="D832" i="2"/>
  <c r="E832" i="2"/>
  <c r="F832" i="2"/>
  <c r="G832" i="2"/>
  <c r="H832" i="2"/>
  <c r="I832" i="2"/>
  <c r="J832" i="2"/>
  <c r="K832" i="2"/>
  <c r="B833" i="2"/>
  <c r="C833" i="2"/>
  <c r="D833" i="2"/>
  <c r="E833" i="2"/>
  <c r="F833" i="2"/>
  <c r="G833" i="2"/>
  <c r="H833" i="2"/>
  <c r="I833" i="2"/>
  <c r="J833" i="2"/>
  <c r="K833" i="2"/>
  <c r="B834" i="2"/>
  <c r="C834" i="2"/>
  <c r="D834" i="2"/>
  <c r="E834" i="2"/>
  <c r="F834" i="2"/>
  <c r="G834" i="2"/>
  <c r="H834" i="2"/>
  <c r="I834" i="2"/>
  <c r="J834" i="2"/>
  <c r="K834" i="2"/>
  <c r="B835" i="2"/>
  <c r="C835" i="2"/>
  <c r="D835" i="2"/>
  <c r="E835" i="2"/>
  <c r="F835" i="2"/>
  <c r="G835" i="2"/>
  <c r="H835" i="2"/>
  <c r="I835" i="2"/>
  <c r="J835" i="2"/>
  <c r="K835" i="2"/>
  <c r="B836" i="2"/>
  <c r="C836" i="2"/>
  <c r="D836" i="2"/>
  <c r="E836" i="2"/>
  <c r="F836" i="2"/>
  <c r="G836" i="2"/>
  <c r="H836" i="2"/>
  <c r="I836" i="2"/>
  <c r="J836" i="2"/>
  <c r="K836" i="2"/>
  <c r="B837" i="2"/>
  <c r="C837" i="2"/>
  <c r="D837" i="2"/>
  <c r="E837" i="2"/>
  <c r="F837" i="2"/>
  <c r="G837" i="2"/>
  <c r="H837" i="2"/>
  <c r="I837" i="2"/>
  <c r="J837" i="2"/>
  <c r="K837" i="2"/>
  <c r="B838" i="2"/>
  <c r="C838" i="2"/>
  <c r="D838" i="2"/>
  <c r="E838" i="2"/>
  <c r="F838" i="2"/>
  <c r="G838" i="2"/>
  <c r="H838" i="2"/>
  <c r="I838" i="2"/>
  <c r="J838" i="2"/>
  <c r="K838" i="2"/>
  <c r="B839" i="2"/>
  <c r="C839" i="2"/>
  <c r="D839" i="2"/>
  <c r="E839" i="2"/>
  <c r="F839" i="2"/>
  <c r="G839" i="2"/>
  <c r="H839" i="2"/>
  <c r="I839" i="2"/>
  <c r="J839" i="2"/>
  <c r="K839" i="2"/>
  <c r="B840" i="2"/>
  <c r="C840" i="2"/>
  <c r="D840" i="2"/>
  <c r="E840" i="2"/>
  <c r="F840" i="2"/>
  <c r="G840" i="2"/>
  <c r="H840" i="2"/>
  <c r="I840" i="2"/>
  <c r="J840" i="2"/>
  <c r="K840" i="2"/>
  <c r="B841" i="2"/>
  <c r="C841" i="2"/>
  <c r="D841" i="2"/>
  <c r="E841" i="2"/>
  <c r="F841" i="2"/>
  <c r="G841" i="2"/>
  <c r="H841" i="2"/>
  <c r="I841" i="2"/>
  <c r="J841" i="2"/>
  <c r="K841" i="2"/>
  <c r="B842" i="2"/>
  <c r="C842" i="2"/>
  <c r="D842" i="2"/>
  <c r="E842" i="2"/>
  <c r="F842" i="2"/>
  <c r="G842" i="2"/>
  <c r="H842" i="2"/>
  <c r="I842" i="2"/>
  <c r="J842" i="2"/>
  <c r="K842" i="2"/>
  <c r="B843" i="2"/>
  <c r="C843" i="2"/>
  <c r="D843" i="2"/>
  <c r="E843" i="2"/>
  <c r="F843" i="2"/>
  <c r="G843" i="2"/>
  <c r="H843" i="2"/>
  <c r="I843" i="2"/>
  <c r="J843" i="2"/>
  <c r="K843" i="2"/>
  <c r="B844" i="2"/>
  <c r="C844" i="2"/>
  <c r="D844" i="2"/>
  <c r="E844" i="2"/>
  <c r="F844" i="2"/>
  <c r="G844" i="2"/>
  <c r="H844" i="2"/>
  <c r="I844" i="2"/>
  <c r="J844" i="2"/>
  <c r="K844" i="2"/>
  <c r="B845" i="2"/>
  <c r="C845" i="2"/>
  <c r="D845" i="2"/>
  <c r="E845" i="2"/>
  <c r="F845" i="2"/>
  <c r="G845" i="2"/>
  <c r="H845" i="2"/>
  <c r="I845" i="2"/>
  <c r="J845" i="2"/>
  <c r="K845" i="2"/>
  <c r="B846" i="2"/>
  <c r="C846" i="2"/>
  <c r="D846" i="2"/>
  <c r="E846" i="2"/>
  <c r="F846" i="2"/>
  <c r="G846" i="2"/>
  <c r="H846" i="2"/>
  <c r="I846" i="2"/>
  <c r="J846" i="2"/>
  <c r="K846" i="2"/>
  <c r="B847" i="2"/>
  <c r="C847" i="2"/>
  <c r="D847" i="2"/>
  <c r="E847" i="2"/>
  <c r="F847" i="2"/>
  <c r="G847" i="2"/>
  <c r="H847" i="2"/>
  <c r="I847" i="2"/>
  <c r="J847" i="2"/>
  <c r="K847" i="2"/>
  <c r="B848" i="2"/>
  <c r="C848" i="2"/>
  <c r="D848" i="2"/>
  <c r="E848" i="2"/>
  <c r="F848" i="2"/>
  <c r="G848" i="2"/>
  <c r="H848" i="2"/>
  <c r="I848" i="2"/>
  <c r="J848" i="2"/>
  <c r="K848" i="2"/>
  <c r="B849" i="2"/>
  <c r="C849" i="2"/>
  <c r="D849" i="2"/>
  <c r="E849" i="2"/>
  <c r="F849" i="2"/>
  <c r="G849" i="2"/>
  <c r="H849" i="2"/>
  <c r="I849" i="2"/>
  <c r="J849" i="2"/>
  <c r="K849" i="2"/>
  <c r="B850" i="2"/>
  <c r="C850" i="2"/>
  <c r="D850" i="2"/>
  <c r="E850" i="2"/>
  <c r="F850" i="2"/>
  <c r="G850" i="2"/>
  <c r="H850" i="2"/>
  <c r="I850" i="2"/>
  <c r="J850" i="2"/>
  <c r="K850" i="2"/>
  <c r="B851" i="2"/>
  <c r="C851" i="2"/>
  <c r="D851" i="2"/>
  <c r="E851" i="2"/>
  <c r="F851" i="2"/>
  <c r="G851" i="2"/>
  <c r="H851" i="2"/>
  <c r="I851" i="2"/>
  <c r="J851" i="2"/>
  <c r="K851" i="2"/>
  <c r="B852" i="2"/>
  <c r="C852" i="2"/>
  <c r="D852" i="2"/>
  <c r="E852" i="2"/>
  <c r="F852" i="2"/>
  <c r="G852" i="2"/>
  <c r="H852" i="2"/>
  <c r="I852" i="2"/>
  <c r="J852" i="2"/>
  <c r="K852" i="2"/>
  <c r="B853" i="2"/>
  <c r="C853" i="2"/>
  <c r="D853" i="2"/>
  <c r="E853" i="2"/>
  <c r="F853" i="2"/>
  <c r="G853" i="2"/>
  <c r="H853" i="2"/>
  <c r="I853" i="2"/>
  <c r="J853" i="2"/>
  <c r="K853" i="2"/>
  <c r="B854" i="2"/>
  <c r="C854" i="2"/>
  <c r="D854" i="2"/>
  <c r="E854" i="2"/>
  <c r="F854" i="2"/>
  <c r="G854" i="2"/>
  <c r="H854" i="2"/>
  <c r="I854" i="2"/>
  <c r="J854" i="2"/>
  <c r="K854" i="2"/>
  <c r="B855" i="2"/>
  <c r="C855" i="2"/>
  <c r="D855" i="2"/>
  <c r="E855" i="2"/>
  <c r="F855" i="2"/>
  <c r="G855" i="2"/>
  <c r="H855" i="2"/>
  <c r="I855" i="2"/>
  <c r="J855" i="2"/>
  <c r="K855" i="2"/>
  <c r="B856" i="2"/>
  <c r="C856" i="2"/>
  <c r="D856" i="2"/>
  <c r="E856" i="2"/>
  <c r="F856" i="2"/>
  <c r="G856" i="2"/>
  <c r="H856" i="2"/>
  <c r="I856" i="2"/>
  <c r="J856" i="2"/>
  <c r="K856" i="2"/>
  <c r="B857" i="2"/>
  <c r="C857" i="2"/>
  <c r="D857" i="2"/>
  <c r="E857" i="2"/>
  <c r="F857" i="2"/>
  <c r="G857" i="2"/>
  <c r="H857" i="2"/>
  <c r="I857" i="2"/>
  <c r="J857" i="2"/>
  <c r="K857" i="2"/>
  <c r="B858" i="2"/>
  <c r="C858" i="2"/>
  <c r="D858" i="2"/>
  <c r="E858" i="2"/>
  <c r="F858" i="2"/>
  <c r="G858" i="2"/>
  <c r="H858" i="2"/>
  <c r="I858" i="2"/>
  <c r="J858" i="2"/>
  <c r="K858" i="2"/>
  <c r="B859" i="2"/>
  <c r="C859" i="2"/>
  <c r="D859" i="2"/>
  <c r="E859" i="2"/>
  <c r="F859" i="2"/>
  <c r="G859" i="2"/>
  <c r="H859" i="2"/>
  <c r="I859" i="2"/>
  <c r="J859" i="2"/>
  <c r="K859" i="2"/>
  <c r="B860" i="2"/>
  <c r="C860" i="2"/>
  <c r="D860" i="2"/>
  <c r="E860" i="2"/>
  <c r="F860" i="2"/>
  <c r="G860" i="2"/>
  <c r="H860" i="2"/>
  <c r="I860" i="2"/>
  <c r="J860" i="2"/>
  <c r="K860" i="2"/>
  <c r="B861" i="2"/>
  <c r="C861" i="2"/>
  <c r="D861" i="2"/>
  <c r="E861" i="2"/>
  <c r="F861" i="2"/>
  <c r="G861" i="2"/>
  <c r="H861" i="2"/>
  <c r="I861" i="2"/>
  <c r="J861" i="2"/>
  <c r="K861" i="2"/>
  <c r="B862" i="2"/>
  <c r="C862" i="2"/>
  <c r="D862" i="2"/>
  <c r="E862" i="2"/>
  <c r="F862" i="2"/>
  <c r="G862" i="2"/>
  <c r="H862" i="2"/>
  <c r="I862" i="2"/>
  <c r="J862" i="2"/>
  <c r="K862" i="2"/>
  <c r="B863" i="2"/>
  <c r="C863" i="2"/>
  <c r="D863" i="2"/>
  <c r="E863" i="2"/>
  <c r="F863" i="2"/>
  <c r="G863" i="2"/>
  <c r="H863" i="2"/>
  <c r="I863" i="2"/>
  <c r="J863" i="2"/>
  <c r="K863" i="2"/>
  <c r="B864" i="2"/>
  <c r="C864" i="2"/>
  <c r="D864" i="2"/>
  <c r="E864" i="2"/>
  <c r="F864" i="2"/>
  <c r="G864" i="2"/>
  <c r="H864" i="2"/>
  <c r="I864" i="2"/>
  <c r="J864" i="2"/>
  <c r="K864" i="2"/>
  <c r="B865" i="2"/>
  <c r="C865" i="2"/>
  <c r="D865" i="2"/>
  <c r="E865" i="2"/>
  <c r="F865" i="2"/>
  <c r="G865" i="2"/>
  <c r="H865" i="2"/>
  <c r="I865" i="2"/>
  <c r="J865" i="2"/>
  <c r="K865" i="2"/>
  <c r="B866" i="2"/>
  <c r="C866" i="2"/>
  <c r="D866" i="2"/>
  <c r="E866" i="2"/>
  <c r="F866" i="2"/>
  <c r="G866" i="2"/>
  <c r="H866" i="2"/>
  <c r="I866" i="2"/>
  <c r="J866" i="2"/>
  <c r="K866" i="2"/>
  <c r="B867" i="2"/>
  <c r="C867" i="2"/>
  <c r="D867" i="2"/>
  <c r="E867" i="2"/>
  <c r="F867" i="2"/>
  <c r="G867" i="2"/>
  <c r="H867" i="2"/>
  <c r="I867" i="2"/>
  <c r="J867" i="2"/>
  <c r="K867" i="2"/>
  <c r="B868" i="2"/>
  <c r="C868" i="2"/>
  <c r="D868" i="2"/>
  <c r="E868" i="2"/>
  <c r="F868" i="2"/>
  <c r="G868" i="2"/>
  <c r="H868" i="2"/>
  <c r="I868" i="2"/>
  <c r="J868" i="2"/>
  <c r="K868" i="2"/>
  <c r="B869" i="2"/>
  <c r="C869" i="2"/>
  <c r="D869" i="2"/>
  <c r="E869" i="2"/>
  <c r="F869" i="2"/>
  <c r="G869" i="2"/>
  <c r="H869" i="2"/>
  <c r="I869" i="2"/>
  <c r="J869" i="2"/>
  <c r="K869" i="2"/>
  <c r="B870" i="2"/>
  <c r="C870" i="2"/>
  <c r="D870" i="2"/>
  <c r="E870" i="2"/>
  <c r="F870" i="2"/>
  <c r="G870" i="2"/>
  <c r="H870" i="2"/>
  <c r="I870" i="2"/>
  <c r="J870" i="2"/>
  <c r="K870" i="2"/>
  <c r="B871" i="2"/>
  <c r="C871" i="2"/>
  <c r="D871" i="2"/>
  <c r="E871" i="2"/>
  <c r="F871" i="2"/>
  <c r="G871" i="2"/>
  <c r="H871" i="2"/>
  <c r="I871" i="2"/>
  <c r="J871" i="2"/>
  <c r="K871" i="2"/>
  <c r="B872" i="2"/>
  <c r="C872" i="2"/>
  <c r="D872" i="2"/>
  <c r="E872" i="2"/>
  <c r="F872" i="2"/>
  <c r="G872" i="2"/>
  <c r="H872" i="2"/>
  <c r="I872" i="2"/>
  <c r="J872" i="2"/>
  <c r="K872" i="2"/>
  <c r="B873" i="2"/>
  <c r="C873" i="2"/>
  <c r="D873" i="2"/>
  <c r="E873" i="2"/>
  <c r="F873" i="2"/>
  <c r="G873" i="2"/>
  <c r="H873" i="2"/>
  <c r="I873" i="2"/>
  <c r="J873" i="2"/>
  <c r="K873" i="2"/>
  <c r="B874" i="2"/>
  <c r="C874" i="2"/>
  <c r="D874" i="2"/>
  <c r="E874" i="2"/>
  <c r="F874" i="2"/>
  <c r="G874" i="2"/>
  <c r="H874" i="2"/>
  <c r="I874" i="2"/>
  <c r="J874" i="2"/>
  <c r="K874" i="2"/>
  <c r="B875" i="2"/>
  <c r="C875" i="2"/>
  <c r="D875" i="2"/>
  <c r="E875" i="2"/>
  <c r="F875" i="2"/>
  <c r="G875" i="2"/>
  <c r="H875" i="2"/>
  <c r="I875" i="2"/>
  <c r="J875" i="2"/>
  <c r="K875" i="2"/>
  <c r="B876" i="2"/>
  <c r="C876" i="2"/>
  <c r="D876" i="2"/>
  <c r="E876" i="2"/>
  <c r="F876" i="2"/>
  <c r="G876" i="2"/>
  <c r="H876" i="2"/>
  <c r="I876" i="2"/>
  <c r="J876" i="2"/>
  <c r="K876" i="2"/>
  <c r="B877" i="2"/>
  <c r="C877" i="2"/>
  <c r="D877" i="2"/>
  <c r="E877" i="2"/>
  <c r="F877" i="2"/>
  <c r="G877" i="2"/>
  <c r="H877" i="2"/>
  <c r="I877" i="2"/>
  <c r="J877" i="2"/>
  <c r="K877" i="2"/>
  <c r="B878" i="2"/>
  <c r="C878" i="2"/>
  <c r="D878" i="2"/>
  <c r="E878" i="2"/>
  <c r="F878" i="2"/>
  <c r="G878" i="2"/>
  <c r="H878" i="2"/>
  <c r="I878" i="2"/>
  <c r="J878" i="2"/>
  <c r="K878" i="2"/>
  <c r="B879" i="2"/>
  <c r="C879" i="2"/>
  <c r="D879" i="2"/>
  <c r="E879" i="2"/>
  <c r="F879" i="2"/>
  <c r="G879" i="2"/>
  <c r="H879" i="2"/>
  <c r="I879" i="2"/>
  <c r="J879" i="2"/>
  <c r="K879" i="2"/>
  <c r="B880" i="2"/>
  <c r="C880" i="2"/>
  <c r="D880" i="2"/>
  <c r="E880" i="2"/>
  <c r="F880" i="2"/>
  <c r="G880" i="2"/>
  <c r="H880" i="2"/>
  <c r="I880" i="2"/>
  <c r="J880" i="2"/>
  <c r="K880" i="2"/>
  <c r="B881" i="2"/>
  <c r="C881" i="2"/>
  <c r="D881" i="2"/>
  <c r="E881" i="2"/>
  <c r="F881" i="2"/>
  <c r="G881" i="2"/>
  <c r="H881" i="2"/>
  <c r="I881" i="2"/>
  <c r="J881" i="2"/>
  <c r="K881" i="2"/>
  <c r="B882" i="2"/>
  <c r="C882" i="2"/>
  <c r="D882" i="2"/>
  <c r="E882" i="2"/>
  <c r="F882" i="2"/>
  <c r="G882" i="2"/>
  <c r="H882" i="2"/>
  <c r="I882" i="2"/>
  <c r="J882" i="2"/>
  <c r="K882" i="2"/>
  <c r="B883" i="2"/>
  <c r="C883" i="2"/>
  <c r="D883" i="2"/>
  <c r="E883" i="2"/>
  <c r="F883" i="2"/>
  <c r="G883" i="2"/>
  <c r="H883" i="2"/>
  <c r="I883" i="2"/>
  <c r="J883" i="2"/>
  <c r="K883" i="2"/>
  <c r="B884" i="2"/>
  <c r="C884" i="2"/>
  <c r="D884" i="2"/>
  <c r="E884" i="2"/>
  <c r="F884" i="2"/>
  <c r="G884" i="2"/>
  <c r="H884" i="2"/>
  <c r="I884" i="2"/>
  <c r="J884" i="2"/>
  <c r="K884" i="2"/>
  <c r="B885" i="2"/>
  <c r="C885" i="2"/>
  <c r="D885" i="2"/>
  <c r="E885" i="2"/>
  <c r="F885" i="2"/>
  <c r="G885" i="2"/>
  <c r="H885" i="2"/>
  <c r="I885" i="2"/>
  <c r="J885" i="2"/>
  <c r="K885" i="2"/>
  <c r="B886" i="2"/>
  <c r="C886" i="2"/>
  <c r="D886" i="2"/>
  <c r="E886" i="2"/>
  <c r="F886" i="2"/>
  <c r="G886" i="2"/>
  <c r="H886" i="2"/>
  <c r="I886" i="2"/>
  <c r="J886" i="2"/>
  <c r="K886" i="2"/>
  <c r="B887" i="2"/>
  <c r="C887" i="2"/>
  <c r="D887" i="2"/>
  <c r="E887" i="2"/>
  <c r="F887" i="2"/>
  <c r="G887" i="2"/>
  <c r="H887" i="2"/>
  <c r="I887" i="2"/>
  <c r="J887" i="2"/>
  <c r="K887" i="2"/>
  <c r="B888" i="2"/>
  <c r="C888" i="2"/>
  <c r="D888" i="2"/>
  <c r="E888" i="2"/>
  <c r="F888" i="2"/>
  <c r="G888" i="2"/>
  <c r="H888" i="2"/>
  <c r="I888" i="2"/>
  <c r="J888" i="2"/>
  <c r="K888" i="2"/>
  <c r="B889" i="2"/>
  <c r="C889" i="2"/>
  <c r="D889" i="2"/>
  <c r="E889" i="2"/>
  <c r="F889" i="2"/>
  <c r="G889" i="2"/>
  <c r="H889" i="2"/>
  <c r="I889" i="2"/>
  <c r="J889" i="2"/>
  <c r="K889" i="2"/>
  <c r="B890" i="2"/>
  <c r="C890" i="2"/>
  <c r="D890" i="2"/>
  <c r="E890" i="2"/>
  <c r="F890" i="2"/>
  <c r="G890" i="2"/>
  <c r="H890" i="2"/>
  <c r="I890" i="2"/>
  <c r="J890" i="2"/>
  <c r="K890" i="2"/>
  <c r="B891" i="2"/>
  <c r="C891" i="2"/>
  <c r="D891" i="2"/>
  <c r="E891" i="2"/>
  <c r="F891" i="2"/>
  <c r="G891" i="2"/>
  <c r="H891" i="2"/>
  <c r="I891" i="2"/>
  <c r="J891" i="2"/>
  <c r="K891" i="2"/>
  <c r="B892" i="2"/>
  <c r="C892" i="2"/>
  <c r="D892" i="2"/>
  <c r="E892" i="2"/>
  <c r="F892" i="2"/>
  <c r="G892" i="2"/>
  <c r="H892" i="2"/>
  <c r="I892" i="2"/>
  <c r="J892" i="2"/>
  <c r="K892" i="2"/>
  <c r="B893" i="2"/>
  <c r="C893" i="2"/>
  <c r="D893" i="2"/>
  <c r="E893" i="2"/>
  <c r="F893" i="2"/>
  <c r="G893" i="2"/>
  <c r="H893" i="2"/>
  <c r="I893" i="2"/>
  <c r="J893" i="2"/>
  <c r="K893" i="2"/>
  <c r="B894" i="2"/>
  <c r="C894" i="2"/>
  <c r="D894" i="2"/>
  <c r="E894" i="2"/>
  <c r="F894" i="2"/>
  <c r="G894" i="2"/>
  <c r="H894" i="2"/>
  <c r="I894" i="2"/>
  <c r="J894" i="2"/>
  <c r="K894" i="2"/>
  <c r="B895" i="2"/>
  <c r="C895" i="2"/>
  <c r="D895" i="2"/>
  <c r="E895" i="2"/>
  <c r="F895" i="2"/>
  <c r="G895" i="2"/>
  <c r="H895" i="2"/>
  <c r="I895" i="2"/>
  <c r="J895" i="2"/>
  <c r="K895" i="2"/>
  <c r="B896" i="2"/>
  <c r="C896" i="2"/>
  <c r="D896" i="2"/>
  <c r="E896" i="2"/>
  <c r="F896" i="2"/>
  <c r="G896" i="2"/>
  <c r="H896" i="2"/>
  <c r="I896" i="2"/>
  <c r="J896" i="2"/>
  <c r="K896" i="2"/>
  <c r="B897" i="2"/>
  <c r="C897" i="2"/>
  <c r="D897" i="2"/>
  <c r="E897" i="2"/>
  <c r="F897" i="2"/>
  <c r="G897" i="2"/>
  <c r="H897" i="2"/>
  <c r="I897" i="2"/>
  <c r="J897" i="2"/>
  <c r="K897" i="2"/>
  <c r="B898" i="2"/>
  <c r="C898" i="2"/>
  <c r="D898" i="2"/>
  <c r="E898" i="2"/>
  <c r="F898" i="2"/>
  <c r="G898" i="2"/>
  <c r="H898" i="2"/>
  <c r="I898" i="2"/>
  <c r="J898" i="2"/>
  <c r="K898" i="2"/>
  <c r="B899" i="2"/>
  <c r="C899" i="2"/>
  <c r="D899" i="2"/>
  <c r="E899" i="2"/>
  <c r="F899" i="2"/>
  <c r="G899" i="2"/>
  <c r="H899" i="2"/>
  <c r="I899" i="2"/>
  <c r="J899" i="2"/>
  <c r="K899" i="2"/>
  <c r="B900" i="2"/>
  <c r="C900" i="2"/>
  <c r="D900" i="2"/>
  <c r="E900" i="2"/>
  <c r="F900" i="2"/>
  <c r="G900" i="2"/>
  <c r="H900" i="2"/>
  <c r="I900" i="2"/>
  <c r="J900" i="2"/>
  <c r="K900" i="2"/>
  <c r="B901" i="2"/>
  <c r="C901" i="2"/>
  <c r="D901" i="2"/>
  <c r="E901" i="2"/>
  <c r="F901" i="2"/>
  <c r="G901" i="2"/>
  <c r="H901" i="2"/>
  <c r="I901" i="2"/>
  <c r="J901" i="2"/>
  <c r="K901" i="2"/>
  <c r="B902" i="2"/>
  <c r="C902" i="2"/>
  <c r="D902" i="2"/>
  <c r="E902" i="2"/>
  <c r="F902" i="2"/>
  <c r="G902" i="2"/>
  <c r="H902" i="2"/>
  <c r="I902" i="2"/>
  <c r="J902" i="2"/>
  <c r="K902" i="2"/>
  <c r="B903" i="2"/>
  <c r="C903" i="2"/>
  <c r="D903" i="2"/>
  <c r="E903" i="2"/>
  <c r="F903" i="2"/>
  <c r="G903" i="2"/>
  <c r="H903" i="2"/>
  <c r="I903" i="2"/>
  <c r="J903" i="2"/>
  <c r="K903" i="2"/>
  <c r="B904" i="2"/>
  <c r="C904" i="2"/>
  <c r="D904" i="2"/>
  <c r="E904" i="2"/>
  <c r="F904" i="2"/>
  <c r="G904" i="2"/>
  <c r="H904" i="2"/>
  <c r="I904" i="2"/>
  <c r="J904" i="2"/>
  <c r="K904" i="2"/>
  <c r="B905" i="2"/>
  <c r="C905" i="2"/>
  <c r="D905" i="2"/>
  <c r="E905" i="2"/>
  <c r="F905" i="2"/>
  <c r="G905" i="2"/>
  <c r="H905" i="2"/>
  <c r="I905" i="2"/>
  <c r="J905" i="2"/>
  <c r="K905" i="2"/>
  <c r="B906" i="2"/>
  <c r="C906" i="2"/>
  <c r="D906" i="2"/>
  <c r="E906" i="2"/>
  <c r="F906" i="2"/>
  <c r="G906" i="2"/>
  <c r="H906" i="2"/>
  <c r="I906" i="2"/>
  <c r="J906" i="2"/>
  <c r="K906" i="2"/>
  <c r="B907" i="2"/>
  <c r="C907" i="2"/>
  <c r="D907" i="2"/>
  <c r="E907" i="2"/>
  <c r="F907" i="2"/>
  <c r="G907" i="2"/>
  <c r="H907" i="2"/>
  <c r="I907" i="2"/>
  <c r="J907" i="2"/>
  <c r="K907" i="2"/>
  <c r="B908" i="2"/>
  <c r="C908" i="2"/>
  <c r="D908" i="2"/>
  <c r="E908" i="2"/>
  <c r="F908" i="2"/>
  <c r="G908" i="2"/>
  <c r="H908" i="2"/>
  <c r="I908" i="2"/>
  <c r="J908" i="2"/>
  <c r="K908" i="2"/>
  <c r="B909" i="2"/>
  <c r="C909" i="2"/>
  <c r="D909" i="2"/>
  <c r="E909" i="2"/>
  <c r="F909" i="2"/>
  <c r="G909" i="2"/>
  <c r="H909" i="2"/>
  <c r="I909" i="2"/>
  <c r="J909" i="2"/>
  <c r="K909" i="2"/>
  <c r="B910" i="2"/>
  <c r="C910" i="2"/>
  <c r="D910" i="2"/>
  <c r="E910" i="2"/>
  <c r="F910" i="2"/>
  <c r="G910" i="2"/>
  <c r="H910" i="2"/>
  <c r="I910" i="2"/>
  <c r="J910" i="2"/>
  <c r="K910" i="2"/>
  <c r="B911" i="2"/>
  <c r="C911" i="2"/>
  <c r="D911" i="2"/>
  <c r="E911" i="2"/>
  <c r="F911" i="2"/>
  <c r="G911" i="2"/>
  <c r="H911" i="2"/>
  <c r="I911" i="2"/>
  <c r="J911" i="2"/>
  <c r="K911" i="2"/>
  <c r="B912" i="2"/>
  <c r="C912" i="2"/>
  <c r="D912" i="2"/>
  <c r="E912" i="2"/>
  <c r="F912" i="2"/>
  <c r="G912" i="2"/>
  <c r="H912" i="2"/>
  <c r="I912" i="2"/>
  <c r="J912" i="2"/>
  <c r="K912" i="2"/>
  <c r="B913" i="2"/>
  <c r="C913" i="2"/>
  <c r="D913" i="2"/>
  <c r="E913" i="2"/>
  <c r="F913" i="2"/>
  <c r="G913" i="2"/>
  <c r="H913" i="2"/>
  <c r="I913" i="2"/>
  <c r="J913" i="2"/>
  <c r="K913" i="2"/>
  <c r="B914" i="2"/>
  <c r="C914" i="2"/>
  <c r="D914" i="2"/>
  <c r="E914" i="2"/>
  <c r="F914" i="2"/>
  <c r="G914" i="2"/>
  <c r="H914" i="2"/>
  <c r="I914" i="2"/>
  <c r="J914" i="2"/>
  <c r="K914" i="2"/>
  <c r="B915" i="2"/>
  <c r="C915" i="2"/>
  <c r="D915" i="2"/>
  <c r="E915" i="2"/>
  <c r="F915" i="2"/>
  <c r="G915" i="2"/>
  <c r="H915" i="2"/>
  <c r="I915" i="2"/>
  <c r="J915" i="2"/>
  <c r="K915" i="2"/>
  <c r="B916" i="2"/>
  <c r="C916" i="2"/>
  <c r="D916" i="2"/>
  <c r="E916" i="2"/>
  <c r="F916" i="2"/>
  <c r="G916" i="2"/>
  <c r="H916" i="2"/>
  <c r="I916" i="2"/>
  <c r="J916" i="2"/>
  <c r="K916" i="2"/>
  <c r="B917" i="2"/>
  <c r="C917" i="2"/>
  <c r="D917" i="2"/>
  <c r="E917" i="2"/>
  <c r="F917" i="2"/>
  <c r="G917" i="2"/>
  <c r="H917" i="2"/>
  <c r="I917" i="2"/>
  <c r="J917" i="2"/>
  <c r="K917" i="2"/>
  <c r="B918" i="2"/>
  <c r="C918" i="2"/>
  <c r="D918" i="2"/>
  <c r="E918" i="2"/>
  <c r="F918" i="2"/>
  <c r="G918" i="2"/>
  <c r="H918" i="2"/>
  <c r="I918" i="2"/>
  <c r="J918" i="2"/>
  <c r="K918" i="2"/>
  <c r="B919" i="2"/>
  <c r="C919" i="2"/>
  <c r="D919" i="2"/>
  <c r="E919" i="2"/>
  <c r="F919" i="2"/>
  <c r="G919" i="2"/>
  <c r="H919" i="2"/>
  <c r="I919" i="2"/>
  <c r="J919" i="2"/>
  <c r="K919" i="2"/>
  <c r="B920" i="2"/>
  <c r="C920" i="2"/>
  <c r="D920" i="2"/>
  <c r="E920" i="2"/>
  <c r="F920" i="2"/>
  <c r="G920" i="2"/>
  <c r="H920" i="2"/>
  <c r="I920" i="2"/>
  <c r="J920" i="2"/>
  <c r="K920" i="2"/>
  <c r="B921" i="2"/>
  <c r="C921" i="2"/>
  <c r="D921" i="2"/>
  <c r="E921" i="2"/>
  <c r="F921" i="2"/>
  <c r="G921" i="2"/>
  <c r="H921" i="2"/>
  <c r="I921" i="2"/>
  <c r="J921" i="2"/>
  <c r="K921" i="2"/>
  <c r="B922" i="2"/>
  <c r="C922" i="2"/>
  <c r="D922" i="2"/>
  <c r="E922" i="2"/>
  <c r="F922" i="2"/>
  <c r="G922" i="2"/>
  <c r="H922" i="2"/>
  <c r="I922" i="2"/>
  <c r="J922" i="2"/>
  <c r="K922" i="2"/>
  <c r="B923" i="2"/>
  <c r="C923" i="2"/>
  <c r="D923" i="2"/>
  <c r="E923" i="2"/>
  <c r="F923" i="2"/>
  <c r="G923" i="2"/>
  <c r="H923" i="2"/>
  <c r="I923" i="2"/>
  <c r="J923" i="2"/>
  <c r="K923" i="2"/>
  <c r="B924" i="2"/>
  <c r="C924" i="2"/>
  <c r="D924" i="2"/>
  <c r="E924" i="2"/>
  <c r="F924" i="2"/>
  <c r="G924" i="2"/>
  <c r="H924" i="2"/>
  <c r="I924" i="2"/>
  <c r="J924" i="2"/>
  <c r="K924" i="2"/>
  <c r="B925" i="2"/>
  <c r="C925" i="2"/>
  <c r="D925" i="2"/>
  <c r="E925" i="2"/>
  <c r="F925" i="2"/>
  <c r="G925" i="2"/>
  <c r="H925" i="2"/>
  <c r="I925" i="2"/>
  <c r="J925" i="2"/>
  <c r="K925" i="2"/>
  <c r="B926" i="2"/>
  <c r="C926" i="2"/>
  <c r="D926" i="2"/>
  <c r="E926" i="2"/>
  <c r="F926" i="2"/>
  <c r="G926" i="2"/>
  <c r="H926" i="2"/>
  <c r="I926" i="2"/>
  <c r="J926" i="2"/>
  <c r="K926" i="2"/>
  <c r="B927" i="2"/>
  <c r="C927" i="2"/>
  <c r="D927" i="2"/>
  <c r="E927" i="2"/>
  <c r="F927" i="2"/>
  <c r="G927" i="2"/>
  <c r="H927" i="2"/>
  <c r="I927" i="2"/>
  <c r="J927" i="2"/>
  <c r="K927" i="2"/>
  <c r="B928" i="2"/>
  <c r="C928" i="2"/>
  <c r="D928" i="2"/>
  <c r="E928" i="2"/>
  <c r="F928" i="2"/>
  <c r="G928" i="2"/>
  <c r="H928" i="2"/>
  <c r="I928" i="2"/>
  <c r="J928" i="2"/>
  <c r="K928" i="2"/>
  <c r="B929" i="2"/>
  <c r="C929" i="2"/>
  <c r="D929" i="2"/>
  <c r="E929" i="2"/>
  <c r="F929" i="2"/>
  <c r="G929" i="2"/>
  <c r="H929" i="2"/>
  <c r="I929" i="2"/>
  <c r="J929" i="2"/>
  <c r="K929" i="2"/>
  <c r="B930" i="2"/>
  <c r="C930" i="2"/>
  <c r="D930" i="2"/>
  <c r="E930" i="2"/>
  <c r="F930" i="2"/>
  <c r="G930" i="2"/>
  <c r="H930" i="2"/>
  <c r="I930" i="2"/>
  <c r="J930" i="2"/>
  <c r="K930" i="2"/>
  <c r="B931" i="2"/>
  <c r="C931" i="2"/>
  <c r="D931" i="2"/>
  <c r="E931" i="2"/>
  <c r="F931" i="2"/>
  <c r="G931" i="2"/>
  <c r="H931" i="2"/>
  <c r="I931" i="2"/>
  <c r="J931" i="2"/>
  <c r="K931" i="2"/>
  <c r="B932" i="2"/>
  <c r="C932" i="2"/>
  <c r="D932" i="2"/>
  <c r="E932" i="2"/>
  <c r="F932" i="2"/>
  <c r="G932" i="2"/>
  <c r="H932" i="2"/>
  <c r="I932" i="2"/>
  <c r="J932" i="2"/>
  <c r="K932" i="2"/>
  <c r="B933" i="2"/>
  <c r="C933" i="2"/>
  <c r="D933" i="2"/>
  <c r="E933" i="2"/>
  <c r="F933" i="2"/>
  <c r="G933" i="2"/>
  <c r="H933" i="2"/>
  <c r="I933" i="2"/>
  <c r="J933" i="2"/>
  <c r="K933" i="2"/>
  <c r="B934" i="2"/>
  <c r="C934" i="2"/>
  <c r="D934" i="2"/>
  <c r="E934" i="2"/>
  <c r="F934" i="2"/>
  <c r="G934" i="2"/>
  <c r="H934" i="2"/>
  <c r="I934" i="2"/>
  <c r="J934" i="2"/>
  <c r="K934" i="2"/>
  <c r="B935" i="2"/>
  <c r="C935" i="2"/>
  <c r="D935" i="2"/>
  <c r="E935" i="2"/>
  <c r="F935" i="2"/>
  <c r="G935" i="2"/>
  <c r="H935" i="2"/>
  <c r="I935" i="2"/>
  <c r="J935" i="2"/>
  <c r="K935" i="2"/>
  <c r="B936" i="2"/>
  <c r="C936" i="2"/>
  <c r="D936" i="2"/>
  <c r="E936" i="2"/>
  <c r="F936" i="2"/>
  <c r="G936" i="2"/>
  <c r="H936" i="2"/>
  <c r="I936" i="2"/>
  <c r="J936" i="2"/>
  <c r="K936" i="2"/>
  <c r="B937" i="2"/>
  <c r="C937" i="2"/>
  <c r="D937" i="2"/>
  <c r="E937" i="2"/>
  <c r="F937" i="2"/>
  <c r="G937" i="2"/>
  <c r="H937" i="2"/>
  <c r="I937" i="2"/>
  <c r="J937" i="2"/>
  <c r="K937" i="2"/>
  <c r="B938" i="2"/>
  <c r="C938" i="2"/>
  <c r="D938" i="2"/>
  <c r="E938" i="2"/>
  <c r="F938" i="2"/>
  <c r="G938" i="2"/>
  <c r="H938" i="2"/>
  <c r="I938" i="2"/>
  <c r="J938" i="2"/>
  <c r="K938" i="2"/>
  <c r="B939" i="2"/>
  <c r="C939" i="2"/>
  <c r="D939" i="2"/>
  <c r="E939" i="2"/>
  <c r="F939" i="2"/>
  <c r="G939" i="2"/>
  <c r="H939" i="2"/>
  <c r="I939" i="2"/>
  <c r="J939" i="2"/>
  <c r="K939" i="2"/>
  <c r="B940" i="2"/>
  <c r="C940" i="2"/>
  <c r="D940" i="2"/>
  <c r="E940" i="2"/>
  <c r="F940" i="2"/>
  <c r="G940" i="2"/>
  <c r="H940" i="2"/>
  <c r="I940" i="2"/>
  <c r="J940" i="2"/>
  <c r="K940" i="2"/>
  <c r="B941" i="2"/>
  <c r="C941" i="2"/>
  <c r="D941" i="2"/>
  <c r="E941" i="2"/>
  <c r="F941" i="2"/>
  <c r="G941" i="2"/>
  <c r="H941" i="2"/>
  <c r="I941" i="2"/>
  <c r="J941" i="2"/>
  <c r="K941" i="2"/>
  <c r="B942" i="2"/>
  <c r="C942" i="2"/>
  <c r="D942" i="2"/>
  <c r="E942" i="2"/>
  <c r="F942" i="2"/>
  <c r="G942" i="2"/>
  <c r="H942" i="2"/>
  <c r="I942" i="2"/>
  <c r="J942" i="2"/>
  <c r="K942" i="2"/>
  <c r="B943" i="2"/>
  <c r="C943" i="2"/>
  <c r="D943" i="2"/>
  <c r="E943" i="2"/>
  <c r="F943" i="2"/>
  <c r="G943" i="2"/>
  <c r="H943" i="2"/>
  <c r="I943" i="2"/>
  <c r="J943" i="2"/>
  <c r="K943" i="2"/>
  <c r="B944" i="2"/>
  <c r="C944" i="2"/>
  <c r="D944" i="2"/>
  <c r="E944" i="2"/>
  <c r="F944" i="2"/>
  <c r="G944" i="2"/>
  <c r="H944" i="2"/>
  <c r="I944" i="2"/>
  <c r="J944" i="2"/>
  <c r="K944" i="2"/>
  <c r="B945" i="2"/>
  <c r="C945" i="2"/>
  <c r="D945" i="2"/>
  <c r="E945" i="2"/>
  <c r="F945" i="2"/>
  <c r="G945" i="2"/>
  <c r="H945" i="2"/>
  <c r="I945" i="2"/>
  <c r="J945" i="2"/>
  <c r="K945" i="2"/>
  <c r="B946" i="2"/>
  <c r="C946" i="2"/>
  <c r="D946" i="2"/>
  <c r="E946" i="2"/>
  <c r="F946" i="2"/>
  <c r="G946" i="2"/>
  <c r="H946" i="2"/>
  <c r="I946" i="2"/>
  <c r="J946" i="2"/>
  <c r="K946" i="2"/>
  <c r="B947" i="2"/>
  <c r="C947" i="2"/>
  <c r="D947" i="2"/>
  <c r="E947" i="2"/>
  <c r="F947" i="2"/>
  <c r="G947" i="2"/>
  <c r="H947" i="2"/>
  <c r="I947" i="2"/>
  <c r="J947" i="2"/>
  <c r="K947" i="2"/>
  <c r="B948" i="2"/>
  <c r="C948" i="2"/>
  <c r="D948" i="2"/>
  <c r="E948" i="2"/>
  <c r="F948" i="2"/>
  <c r="G948" i="2"/>
  <c r="H948" i="2"/>
  <c r="I948" i="2"/>
  <c r="J948" i="2"/>
  <c r="K948" i="2"/>
  <c r="B949" i="2"/>
  <c r="C949" i="2"/>
  <c r="D949" i="2"/>
  <c r="E949" i="2"/>
  <c r="F949" i="2"/>
  <c r="G949" i="2"/>
  <c r="H949" i="2"/>
  <c r="I949" i="2"/>
  <c r="J949" i="2"/>
  <c r="K949" i="2"/>
  <c r="B950" i="2"/>
  <c r="C950" i="2"/>
  <c r="D950" i="2"/>
  <c r="E950" i="2"/>
  <c r="F950" i="2"/>
  <c r="G950" i="2"/>
  <c r="H950" i="2"/>
  <c r="I950" i="2"/>
  <c r="J950" i="2"/>
  <c r="K950" i="2"/>
  <c r="B951" i="2"/>
  <c r="C951" i="2"/>
  <c r="D951" i="2"/>
  <c r="E951" i="2"/>
  <c r="F951" i="2"/>
  <c r="G951" i="2"/>
  <c r="H951" i="2"/>
  <c r="I951" i="2"/>
  <c r="J951" i="2"/>
  <c r="K951" i="2"/>
  <c r="B952" i="2"/>
  <c r="C952" i="2"/>
  <c r="D952" i="2"/>
  <c r="E952" i="2"/>
  <c r="F952" i="2"/>
  <c r="G952" i="2"/>
  <c r="H952" i="2"/>
  <c r="I952" i="2"/>
  <c r="J952" i="2"/>
  <c r="K952" i="2"/>
  <c r="B953" i="2"/>
  <c r="C953" i="2"/>
  <c r="D953" i="2"/>
  <c r="E953" i="2"/>
  <c r="F953" i="2"/>
  <c r="G953" i="2"/>
  <c r="H953" i="2"/>
  <c r="I953" i="2"/>
  <c r="J953" i="2"/>
  <c r="K953" i="2"/>
  <c r="B954" i="2"/>
  <c r="C954" i="2"/>
  <c r="D954" i="2"/>
  <c r="E954" i="2"/>
  <c r="F954" i="2"/>
  <c r="G954" i="2"/>
  <c r="H954" i="2"/>
  <c r="I954" i="2"/>
  <c r="J954" i="2"/>
  <c r="K954" i="2"/>
  <c r="B955" i="2"/>
  <c r="C955" i="2"/>
  <c r="D955" i="2"/>
  <c r="E955" i="2"/>
  <c r="F955" i="2"/>
  <c r="G955" i="2"/>
  <c r="H955" i="2"/>
  <c r="I955" i="2"/>
  <c r="J955" i="2"/>
  <c r="K955" i="2"/>
  <c r="B956" i="2"/>
  <c r="C956" i="2"/>
  <c r="D956" i="2"/>
  <c r="E956" i="2"/>
  <c r="F956" i="2"/>
  <c r="G956" i="2"/>
  <c r="H956" i="2"/>
  <c r="I956" i="2"/>
  <c r="J956" i="2"/>
  <c r="K956" i="2"/>
  <c r="B957" i="2"/>
  <c r="C957" i="2"/>
  <c r="D957" i="2"/>
  <c r="E957" i="2"/>
  <c r="F957" i="2"/>
  <c r="G957" i="2"/>
  <c r="H957" i="2"/>
  <c r="I957" i="2"/>
  <c r="J957" i="2"/>
  <c r="K957" i="2"/>
  <c r="B958" i="2"/>
  <c r="C958" i="2"/>
  <c r="D958" i="2"/>
  <c r="E958" i="2"/>
  <c r="F958" i="2"/>
  <c r="G958" i="2"/>
  <c r="H958" i="2"/>
  <c r="I958" i="2"/>
  <c r="J958" i="2"/>
  <c r="K958" i="2"/>
  <c r="B959" i="2"/>
  <c r="C959" i="2"/>
  <c r="D959" i="2"/>
  <c r="E959" i="2"/>
  <c r="F959" i="2"/>
  <c r="G959" i="2"/>
  <c r="H959" i="2"/>
  <c r="I959" i="2"/>
  <c r="J959" i="2"/>
  <c r="K959" i="2"/>
  <c r="B960" i="2"/>
  <c r="C960" i="2"/>
  <c r="D960" i="2"/>
  <c r="E960" i="2"/>
  <c r="F960" i="2"/>
  <c r="G960" i="2"/>
  <c r="H960" i="2"/>
  <c r="I960" i="2"/>
  <c r="J960" i="2"/>
  <c r="K960" i="2"/>
  <c r="B961" i="2"/>
  <c r="C961" i="2"/>
  <c r="D961" i="2"/>
  <c r="E961" i="2"/>
  <c r="F961" i="2"/>
  <c r="G961" i="2"/>
  <c r="H961" i="2"/>
  <c r="I961" i="2"/>
  <c r="J961" i="2"/>
  <c r="K961" i="2"/>
  <c r="B962" i="2"/>
  <c r="C962" i="2"/>
  <c r="D962" i="2"/>
  <c r="E962" i="2"/>
  <c r="F962" i="2"/>
  <c r="G962" i="2"/>
  <c r="H962" i="2"/>
  <c r="I962" i="2"/>
  <c r="J962" i="2"/>
  <c r="K962" i="2"/>
  <c r="B963" i="2"/>
  <c r="C963" i="2"/>
  <c r="D963" i="2"/>
  <c r="E963" i="2"/>
  <c r="F963" i="2"/>
  <c r="G963" i="2"/>
  <c r="H963" i="2"/>
  <c r="I963" i="2"/>
  <c r="J963" i="2"/>
  <c r="K963" i="2"/>
  <c r="B964" i="2"/>
  <c r="C964" i="2"/>
  <c r="D964" i="2"/>
  <c r="E964" i="2"/>
  <c r="F964" i="2"/>
  <c r="G964" i="2"/>
  <c r="H964" i="2"/>
  <c r="I964" i="2"/>
  <c r="J964" i="2"/>
  <c r="K964" i="2"/>
  <c r="B965" i="2"/>
  <c r="C965" i="2"/>
  <c r="D965" i="2"/>
  <c r="E965" i="2"/>
  <c r="F965" i="2"/>
  <c r="G965" i="2"/>
  <c r="H965" i="2"/>
  <c r="I965" i="2"/>
  <c r="J965" i="2"/>
  <c r="K965" i="2"/>
  <c r="B966" i="2"/>
  <c r="C966" i="2"/>
  <c r="D966" i="2"/>
  <c r="E966" i="2"/>
  <c r="F966" i="2"/>
  <c r="G966" i="2"/>
  <c r="H966" i="2"/>
  <c r="I966" i="2"/>
  <c r="J966" i="2"/>
  <c r="K966" i="2"/>
  <c r="B967" i="2"/>
  <c r="C967" i="2"/>
  <c r="D967" i="2"/>
  <c r="E967" i="2"/>
  <c r="F967" i="2"/>
  <c r="G967" i="2"/>
  <c r="H967" i="2"/>
  <c r="I967" i="2"/>
  <c r="J967" i="2"/>
  <c r="K967" i="2"/>
  <c r="B968" i="2"/>
  <c r="C968" i="2"/>
  <c r="D968" i="2"/>
  <c r="E968" i="2"/>
  <c r="F968" i="2"/>
  <c r="G968" i="2"/>
  <c r="H968" i="2"/>
  <c r="I968" i="2"/>
  <c r="J968" i="2"/>
  <c r="K968" i="2"/>
  <c r="B969" i="2"/>
  <c r="C969" i="2"/>
  <c r="D969" i="2"/>
  <c r="E969" i="2"/>
  <c r="F969" i="2"/>
  <c r="G969" i="2"/>
  <c r="H969" i="2"/>
  <c r="I969" i="2"/>
  <c r="J969" i="2"/>
  <c r="K969" i="2"/>
  <c r="B970" i="2"/>
  <c r="C970" i="2"/>
  <c r="D970" i="2"/>
  <c r="E970" i="2"/>
  <c r="F970" i="2"/>
  <c r="G970" i="2"/>
  <c r="H970" i="2"/>
  <c r="I970" i="2"/>
  <c r="J970" i="2"/>
  <c r="K970" i="2"/>
  <c r="B971" i="2"/>
  <c r="C971" i="2"/>
  <c r="D971" i="2"/>
  <c r="E971" i="2"/>
  <c r="F971" i="2"/>
  <c r="G971" i="2"/>
  <c r="H971" i="2"/>
  <c r="I971" i="2"/>
  <c r="J971" i="2"/>
  <c r="K971" i="2"/>
  <c r="B972" i="2"/>
  <c r="C972" i="2"/>
  <c r="D972" i="2"/>
  <c r="E972" i="2"/>
  <c r="F972" i="2"/>
  <c r="G972" i="2"/>
  <c r="H972" i="2"/>
  <c r="I972" i="2"/>
  <c r="J972" i="2"/>
  <c r="K972" i="2"/>
  <c r="B973" i="2"/>
  <c r="C973" i="2"/>
  <c r="D973" i="2"/>
  <c r="E973" i="2"/>
  <c r="F973" i="2"/>
  <c r="G973" i="2"/>
  <c r="H973" i="2"/>
  <c r="I973" i="2"/>
  <c r="J973" i="2"/>
  <c r="K973" i="2"/>
  <c r="B974" i="2"/>
  <c r="C974" i="2"/>
  <c r="D974" i="2"/>
  <c r="E974" i="2"/>
  <c r="F974" i="2"/>
  <c r="G974" i="2"/>
  <c r="H974" i="2"/>
  <c r="I974" i="2"/>
  <c r="J974" i="2"/>
  <c r="K974" i="2"/>
  <c r="B975" i="2"/>
  <c r="C975" i="2"/>
  <c r="D975" i="2"/>
  <c r="E975" i="2"/>
  <c r="F975" i="2"/>
  <c r="G975" i="2"/>
  <c r="H975" i="2"/>
  <c r="I975" i="2"/>
  <c r="J975" i="2"/>
  <c r="K975" i="2"/>
  <c r="B976" i="2"/>
  <c r="C976" i="2"/>
  <c r="D976" i="2"/>
  <c r="E976" i="2"/>
  <c r="F976" i="2"/>
  <c r="G976" i="2"/>
  <c r="H976" i="2"/>
  <c r="I976" i="2"/>
  <c r="J976" i="2"/>
  <c r="K976" i="2"/>
  <c r="B977" i="2"/>
  <c r="C977" i="2"/>
  <c r="D977" i="2"/>
  <c r="E977" i="2"/>
  <c r="F977" i="2"/>
  <c r="G977" i="2"/>
  <c r="H977" i="2"/>
  <c r="I977" i="2"/>
  <c r="J977" i="2"/>
  <c r="K977" i="2"/>
  <c r="B978" i="2"/>
  <c r="C978" i="2"/>
  <c r="D978" i="2"/>
  <c r="E978" i="2"/>
  <c r="F978" i="2"/>
  <c r="G978" i="2"/>
  <c r="H978" i="2"/>
  <c r="I978" i="2"/>
  <c r="J978" i="2"/>
  <c r="K978" i="2"/>
  <c r="B979" i="2"/>
  <c r="C979" i="2"/>
  <c r="D979" i="2"/>
  <c r="E979" i="2"/>
  <c r="F979" i="2"/>
  <c r="G979" i="2"/>
  <c r="H979" i="2"/>
  <c r="I979" i="2"/>
  <c r="J979" i="2"/>
  <c r="K979" i="2"/>
  <c r="B980" i="2"/>
  <c r="C980" i="2"/>
  <c r="D980" i="2"/>
  <c r="E980" i="2"/>
  <c r="F980" i="2"/>
  <c r="G980" i="2"/>
  <c r="H980" i="2"/>
  <c r="I980" i="2"/>
  <c r="J980" i="2"/>
  <c r="K980" i="2"/>
  <c r="B981" i="2"/>
  <c r="C981" i="2"/>
  <c r="D981" i="2"/>
  <c r="E981" i="2"/>
  <c r="F981" i="2"/>
  <c r="G981" i="2"/>
  <c r="H981" i="2"/>
  <c r="I981" i="2"/>
  <c r="J981" i="2"/>
  <c r="K981" i="2"/>
  <c r="B982" i="2"/>
  <c r="C982" i="2"/>
  <c r="D982" i="2"/>
  <c r="E982" i="2"/>
  <c r="F982" i="2"/>
  <c r="G982" i="2"/>
  <c r="H982" i="2"/>
  <c r="I982" i="2"/>
  <c r="J982" i="2"/>
  <c r="K982" i="2"/>
  <c r="B983" i="2"/>
  <c r="C983" i="2"/>
  <c r="D983" i="2"/>
  <c r="E983" i="2"/>
  <c r="F983" i="2"/>
  <c r="G983" i="2"/>
  <c r="H983" i="2"/>
  <c r="I983" i="2"/>
  <c r="J983" i="2"/>
  <c r="K983" i="2"/>
  <c r="B984" i="2"/>
  <c r="C984" i="2"/>
  <c r="D984" i="2"/>
  <c r="E984" i="2"/>
  <c r="F984" i="2"/>
  <c r="G984" i="2"/>
  <c r="H984" i="2"/>
  <c r="I984" i="2"/>
  <c r="J984" i="2"/>
  <c r="K984" i="2"/>
  <c r="B985" i="2"/>
  <c r="C985" i="2"/>
  <c r="D985" i="2"/>
  <c r="E985" i="2"/>
  <c r="F985" i="2"/>
  <c r="G985" i="2"/>
  <c r="H985" i="2"/>
  <c r="I985" i="2"/>
  <c r="J985" i="2"/>
  <c r="K985" i="2"/>
  <c r="B986" i="2"/>
  <c r="C986" i="2"/>
  <c r="D986" i="2"/>
  <c r="E986" i="2"/>
  <c r="F986" i="2"/>
  <c r="G986" i="2"/>
  <c r="H986" i="2"/>
  <c r="I986" i="2"/>
  <c r="J986" i="2"/>
  <c r="K986" i="2"/>
  <c r="B987" i="2"/>
  <c r="C987" i="2"/>
  <c r="D987" i="2"/>
  <c r="E987" i="2"/>
  <c r="F987" i="2"/>
  <c r="G987" i="2"/>
  <c r="H987" i="2"/>
  <c r="I987" i="2"/>
  <c r="J987" i="2"/>
  <c r="K987" i="2"/>
  <c r="B988" i="2"/>
  <c r="C988" i="2"/>
  <c r="D988" i="2"/>
  <c r="E988" i="2"/>
  <c r="F988" i="2"/>
  <c r="G988" i="2"/>
  <c r="H988" i="2"/>
  <c r="I988" i="2"/>
  <c r="J988" i="2"/>
  <c r="K988" i="2"/>
  <c r="B989" i="2"/>
  <c r="C989" i="2"/>
  <c r="D989" i="2"/>
  <c r="E989" i="2"/>
  <c r="F989" i="2"/>
  <c r="G989" i="2"/>
  <c r="H989" i="2"/>
  <c r="I989" i="2"/>
  <c r="J989" i="2"/>
  <c r="K989" i="2"/>
  <c r="B990" i="2"/>
  <c r="C990" i="2"/>
  <c r="D990" i="2"/>
  <c r="E990" i="2"/>
  <c r="F990" i="2"/>
  <c r="G990" i="2"/>
  <c r="H990" i="2"/>
  <c r="I990" i="2"/>
  <c r="J990" i="2"/>
  <c r="K990" i="2"/>
  <c r="B991" i="2"/>
  <c r="C991" i="2"/>
  <c r="D991" i="2"/>
  <c r="E991" i="2"/>
  <c r="F991" i="2"/>
  <c r="G991" i="2"/>
  <c r="H991" i="2"/>
  <c r="I991" i="2"/>
  <c r="J991" i="2"/>
  <c r="K991" i="2"/>
  <c r="B992" i="2"/>
  <c r="C992" i="2"/>
  <c r="D992" i="2"/>
  <c r="E992" i="2"/>
  <c r="F992" i="2"/>
  <c r="G992" i="2"/>
  <c r="H992" i="2"/>
  <c r="I992" i="2"/>
  <c r="J992" i="2"/>
  <c r="K992" i="2"/>
  <c r="B993" i="2"/>
  <c r="C993" i="2"/>
  <c r="D993" i="2"/>
  <c r="E993" i="2"/>
  <c r="F993" i="2"/>
  <c r="G993" i="2"/>
  <c r="H993" i="2"/>
  <c r="I993" i="2"/>
  <c r="J993" i="2"/>
  <c r="K993" i="2"/>
  <c r="B994" i="2"/>
  <c r="C994" i="2"/>
  <c r="D994" i="2"/>
  <c r="E994" i="2"/>
  <c r="F994" i="2"/>
  <c r="G994" i="2"/>
  <c r="H994" i="2"/>
  <c r="I994" i="2"/>
  <c r="J994" i="2"/>
  <c r="K994" i="2"/>
  <c r="B995" i="2"/>
  <c r="C995" i="2"/>
  <c r="D995" i="2"/>
  <c r="E995" i="2"/>
  <c r="F995" i="2"/>
  <c r="G995" i="2"/>
  <c r="H995" i="2"/>
  <c r="I995" i="2"/>
  <c r="J995" i="2"/>
  <c r="K995" i="2"/>
  <c r="B996" i="2"/>
  <c r="C996" i="2"/>
  <c r="D996" i="2"/>
  <c r="E996" i="2"/>
  <c r="F996" i="2"/>
  <c r="G996" i="2"/>
  <c r="H996" i="2"/>
  <c r="I996" i="2"/>
  <c r="J996" i="2"/>
  <c r="K996" i="2"/>
  <c r="B997" i="2"/>
  <c r="C997" i="2"/>
  <c r="D997" i="2"/>
  <c r="E997" i="2"/>
  <c r="F997" i="2"/>
  <c r="G997" i="2"/>
  <c r="H997" i="2"/>
  <c r="I997" i="2"/>
  <c r="J997" i="2"/>
  <c r="K997" i="2"/>
  <c r="B998" i="2"/>
  <c r="C998" i="2"/>
  <c r="D998" i="2"/>
  <c r="E998" i="2"/>
  <c r="F998" i="2"/>
  <c r="G998" i="2"/>
  <c r="H998" i="2"/>
  <c r="I998" i="2"/>
  <c r="J998" i="2"/>
  <c r="K998" i="2"/>
  <c r="B999" i="2"/>
  <c r="C999" i="2"/>
  <c r="D999" i="2"/>
  <c r="E999" i="2"/>
  <c r="F999" i="2"/>
  <c r="G999" i="2"/>
  <c r="H999" i="2"/>
  <c r="I999" i="2"/>
  <c r="J999" i="2"/>
  <c r="K999" i="2"/>
  <c r="B1000" i="2"/>
  <c r="C1000" i="2"/>
  <c r="D1000" i="2"/>
  <c r="E1000" i="2"/>
  <c r="F1000" i="2"/>
  <c r="G1000" i="2"/>
  <c r="H1000" i="2"/>
  <c r="I1000" i="2"/>
  <c r="J1000" i="2"/>
  <c r="K1000" i="2"/>
  <c r="B1001" i="2"/>
  <c r="C1001" i="2"/>
  <c r="D1001" i="2"/>
  <c r="E1001" i="2"/>
  <c r="F1001" i="2"/>
  <c r="G1001" i="2"/>
  <c r="H1001" i="2"/>
  <c r="I1001" i="2"/>
  <c r="J1001" i="2"/>
  <c r="K1001" i="2"/>
  <c r="B1002" i="2"/>
  <c r="C1002" i="2"/>
  <c r="D1002" i="2"/>
  <c r="E1002" i="2"/>
  <c r="F1002" i="2"/>
  <c r="G1002" i="2"/>
  <c r="H1002" i="2"/>
  <c r="I1002" i="2"/>
  <c r="J1002" i="2"/>
  <c r="K1002" i="2"/>
  <c r="B1003" i="2"/>
  <c r="C1003" i="2"/>
  <c r="D1003" i="2"/>
  <c r="E1003" i="2"/>
  <c r="F1003" i="2"/>
  <c r="G1003" i="2"/>
  <c r="H1003" i="2"/>
  <c r="I1003" i="2"/>
  <c r="J1003" i="2"/>
  <c r="K1003" i="2"/>
  <c r="B1004" i="2"/>
  <c r="C1004" i="2"/>
  <c r="D1004" i="2"/>
  <c r="E1004" i="2"/>
  <c r="F1004" i="2"/>
  <c r="G1004" i="2"/>
  <c r="H1004" i="2"/>
  <c r="I1004" i="2"/>
  <c r="J1004" i="2"/>
  <c r="K1004" i="2"/>
  <c r="B1005" i="2"/>
  <c r="C1005" i="2"/>
  <c r="D1005" i="2"/>
  <c r="E1005" i="2"/>
  <c r="F1005" i="2"/>
  <c r="G1005" i="2"/>
  <c r="H1005" i="2"/>
  <c r="I1005" i="2"/>
  <c r="J1005" i="2"/>
  <c r="K1005" i="2"/>
  <c r="B1006" i="2"/>
  <c r="C1006" i="2"/>
  <c r="D1006" i="2"/>
  <c r="E1006" i="2"/>
  <c r="F1006" i="2"/>
  <c r="G1006" i="2"/>
  <c r="H1006" i="2"/>
  <c r="I1006" i="2"/>
  <c r="J1006" i="2"/>
  <c r="K1006" i="2"/>
  <c r="B1007" i="2"/>
  <c r="C1007" i="2"/>
  <c r="D1007" i="2"/>
  <c r="E1007" i="2"/>
  <c r="F1007" i="2"/>
  <c r="G1007" i="2"/>
  <c r="H1007" i="2"/>
  <c r="I1007" i="2"/>
  <c r="J1007" i="2"/>
  <c r="K1007" i="2"/>
  <c r="B1008" i="2"/>
  <c r="C1008" i="2"/>
  <c r="D1008" i="2"/>
  <c r="E1008" i="2"/>
  <c r="F1008" i="2"/>
  <c r="G1008" i="2"/>
  <c r="H1008" i="2"/>
  <c r="I1008" i="2"/>
  <c r="J1008" i="2"/>
  <c r="K1008" i="2"/>
  <c r="B1009" i="2"/>
  <c r="C1009" i="2"/>
  <c r="D1009" i="2"/>
  <c r="E1009" i="2"/>
  <c r="F1009" i="2"/>
  <c r="G1009" i="2"/>
  <c r="H1009" i="2"/>
  <c r="I1009" i="2"/>
  <c r="J1009" i="2"/>
  <c r="K1009" i="2"/>
  <c r="B1010" i="2"/>
  <c r="C1010" i="2"/>
  <c r="D1010" i="2"/>
  <c r="E1010" i="2"/>
  <c r="F1010" i="2"/>
  <c r="G1010" i="2"/>
  <c r="H1010" i="2"/>
  <c r="I1010" i="2"/>
  <c r="J1010" i="2"/>
  <c r="K1010" i="2"/>
  <c r="B1011" i="2"/>
  <c r="C1011" i="2"/>
  <c r="D1011" i="2"/>
  <c r="E1011" i="2"/>
  <c r="F1011" i="2"/>
  <c r="G1011" i="2"/>
  <c r="H1011" i="2"/>
  <c r="I1011" i="2"/>
  <c r="J1011" i="2"/>
  <c r="K1011" i="2"/>
  <c r="B1012" i="2"/>
  <c r="C1012" i="2"/>
  <c r="D1012" i="2"/>
  <c r="E1012" i="2"/>
  <c r="F1012" i="2"/>
  <c r="G1012" i="2"/>
  <c r="H1012" i="2"/>
  <c r="I1012" i="2"/>
  <c r="J1012" i="2"/>
  <c r="K1012" i="2"/>
  <c r="B1013" i="2"/>
  <c r="C1013" i="2"/>
  <c r="D1013" i="2"/>
  <c r="E1013" i="2"/>
  <c r="F1013" i="2"/>
  <c r="G1013" i="2"/>
  <c r="H1013" i="2"/>
  <c r="I1013" i="2"/>
  <c r="J1013" i="2"/>
  <c r="K1013" i="2"/>
  <c r="B1014" i="2"/>
  <c r="C1014" i="2"/>
  <c r="D1014" i="2"/>
  <c r="E1014" i="2"/>
  <c r="F1014" i="2"/>
  <c r="G1014" i="2"/>
  <c r="H1014" i="2"/>
  <c r="I1014" i="2"/>
  <c r="J1014" i="2"/>
  <c r="K1014" i="2"/>
  <c r="B1015" i="2"/>
  <c r="C1015" i="2"/>
  <c r="D1015" i="2"/>
  <c r="E1015" i="2"/>
  <c r="F1015" i="2"/>
  <c r="G1015" i="2"/>
  <c r="H1015" i="2"/>
  <c r="I1015" i="2"/>
  <c r="J1015" i="2"/>
  <c r="K1015" i="2"/>
  <c r="B1016" i="2"/>
  <c r="C1016" i="2"/>
  <c r="D1016" i="2"/>
  <c r="E1016" i="2"/>
  <c r="F1016" i="2"/>
  <c r="G1016" i="2"/>
  <c r="H1016" i="2"/>
  <c r="I1016" i="2"/>
  <c r="J1016" i="2"/>
  <c r="K1016" i="2"/>
  <c r="B1017" i="2"/>
  <c r="C1017" i="2"/>
  <c r="D1017" i="2"/>
  <c r="E1017" i="2"/>
  <c r="F1017" i="2"/>
  <c r="G1017" i="2"/>
  <c r="H1017" i="2"/>
  <c r="I1017" i="2"/>
  <c r="J1017" i="2"/>
  <c r="K1017" i="2"/>
  <c r="B1018" i="2"/>
  <c r="C1018" i="2"/>
  <c r="D1018" i="2"/>
  <c r="E1018" i="2"/>
  <c r="F1018" i="2"/>
  <c r="G1018" i="2"/>
  <c r="H1018" i="2"/>
  <c r="I1018" i="2"/>
  <c r="J1018" i="2"/>
  <c r="K1018" i="2"/>
  <c r="B1019" i="2"/>
  <c r="C1019" i="2"/>
  <c r="D1019" i="2"/>
  <c r="E1019" i="2"/>
  <c r="F1019" i="2"/>
  <c r="G1019" i="2"/>
  <c r="H1019" i="2"/>
  <c r="I1019" i="2"/>
  <c r="J1019" i="2"/>
  <c r="K1019" i="2"/>
  <c r="B1020" i="2"/>
  <c r="C1020" i="2"/>
  <c r="D1020" i="2"/>
  <c r="E1020" i="2"/>
  <c r="F1020" i="2"/>
  <c r="G1020" i="2"/>
  <c r="H1020" i="2"/>
  <c r="I1020" i="2"/>
  <c r="J1020" i="2"/>
  <c r="K1020" i="2"/>
  <c r="B1021" i="2"/>
  <c r="C1021" i="2"/>
  <c r="D1021" i="2"/>
  <c r="E1021" i="2"/>
  <c r="F1021" i="2"/>
  <c r="G1021" i="2"/>
  <c r="H1021" i="2"/>
  <c r="I1021" i="2"/>
  <c r="J1021" i="2"/>
  <c r="K1021" i="2"/>
  <c r="B1022" i="2"/>
  <c r="C1022" i="2"/>
  <c r="D1022" i="2"/>
  <c r="E1022" i="2"/>
  <c r="F1022" i="2"/>
  <c r="G1022" i="2"/>
  <c r="H1022" i="2"/>
  <c r="I1022" i="2"/>
  <c r="J1022" i="2"/>
  <c r="K1022" i="2"/>
  <c r="B1023" i="2"/>
  <c r="C1023" i="2"/>
  <c r="D1023" i="2"/>
  <c r="E1023" i="2"/>
  <c r="F1023" i="2"/>
  <c r="G1023" i="2"/>
  <c r="H1023" i="2"/>
  <c r="I1023" i="2"/>
  <c r="J1023" i="2"/>
  <c r="K1023" i="2"/>
  <c r="B1024" i="2"/>
  <c r="C1024" i="2"/>
  <c r="D1024" i="2"/>
  <c r="E1024" i="2"/>
  <c r="F1024" i="2"/>
  <c r="G1024" i="2"/>
  <c r="H1024" i="2"/>
  <c r="I1024" i="2"/>
  <c r="J1024" i="2"/>
  <c r="K1024" i="2"/>
  <c r="B1025" i="2"/>
  <c r="C1025" i="2"/>
  <c r="D1025" i="2"/>
  <c r="E1025" i="2"/>
  <c r="F1025" i="2"/>
  <c r="G1025" i="2"/>
  <c r="H1025" i="2"/>
  <c r="I1025" i="2"/>
  <c r="J1025" i="2"/>
  <c r="K1025" i="2"/>
  <c r="B1026" i="2"/>
  <c r="C1026" i="2"/>
  <c r="D1026" i="2"/>
  <c r="E1026" i="2"/>
  <c r="F1026" i="2"/>
  <c r="G1026" i="2"/>
  <c r="H1026" i="2"/>
  <c r="I1026" i="2"/>
  <c r="J1026" i="2"/>
  <c r="K1026" i="2"/>
  <c r="B1027" i="2"/>
  <c r="C1027" i="2"/>
  <c r="D1027" i="2"/>
  <c r="E1027" i="2"/>
  <c r="F1027" i="2"/>
  <c r="G1027" i="2"/>
  <c r="H1027" i="2"/>
  <c r="I1027" i="2"/>
  <c r="J1027" i="2"/>
  <c r="K1027" i="2"/>
  <c r="B1028" i="2"/>
  <c r="C1028" i="2"/>
  <c r="D1028" i="2"/>
  <c r="E1028" i="2"/>
  <c r="F1028" i="2"/>
  <c r="G1028" i="2"/>
  <c r="H1028" i="2"/>
  <c r="I1028" i="2"/>
  <c r="J1028" i="2"/>
  <c r="K1028" i="2"/>
  <c r="B1029" i="2"/>
  <c r="C1029" i="2"/>
  <c r="D1029" i="2"/>
  <c r="E1029" i="2"/>
  <c r="F1029" i="2"/>
  <c r="G1029" i="2"/>
  <c r="H1029" i="2"/>
  <c r="I1029" i="2"/>
  <c r="J1029" i="2"/>
  <c r="K1029" i="2"/>
  <c r="B1030" i="2"/>
  <c r="C1030" i="2"/>
  <c r="D1030" i="2"/>
  <c r="E1030" i="2"/>
  <c r="F1030" i="2"/>
  <c r="G1030" i="2"/>
  <c r="H1030" i="2"/>
  <c r="I1030" i="2"/>
  <c r="J1030" i="2"/>
  <c r="K1030" i="2"/>
  <c r="B1031" i="2"/>
  <c r="C1031" i="2"/>
  <c r="D1031" i="2"/>
  <c r="E1031" i="2"/>
  <c r="F1031" i="2"/>
  <c r="G1031" i="2"/>
  <c r="H1031" i="2"/>
  <c r="I1031" i="2"/>
  <c r="J1031" i="2"/>
  <c r="K1031" i="2"/>
  <c r="B1032" i="2"/>
  <c r="C1032" i="2"/>
  <c r="D1032" i="2"/>
  <c r="E1032" i="2"/>
  <c r="F1032" i="2"/>
  <c r="G1032" i="2"/>
  <c r="H1032" i="2"/>
  <c r="I1032" i="2"/>
  <c r="J1032" i="2"/>
  <c r="K1032" i="2"/>
  <c r="B1033" i="2"/>
  <c r="C1033" i="2"/>
  <c r="D1033" i="2"/>
  <c r="E1033" i="2"/>
  <c r="F1033" i="2"/>
  <c r="G1033" i="2"/>
  <c r="H1033" i="2"/>
  <c r="I1033" i="2"/>
  <c r="J1033" i="2"/>
  <c r="K1033" i="2"/>
  <c r="B1034" i="2"/>
  <c r="C1034" i="2"/>
  <c r="D1034" i="2"/>
  <c r="E1034" i="2"/>
  <c r="F1034" i="2"/>
  <c r="G1034" i="2"/>
  <c r="H1034" i="2"/>
  <c r="I1034" i="2"/>
  <c r="J1034" i="2"/>
  <c r="K1034" i="2"/>
  <c r="B1035" i="2"/>
  <c r="C1035" i="2"/>
  <c r="D1035" i="2"/>
  <c r="E1035" i="2"/>
  <c r="F1035" i="2"/>
  <c r="G1035" i="2"/>
  <c r="H1035" i="2"/>
  <c r="I1035" i="2"/>
  <c r="J1035" i="2"/>
  <c r="K1035" i="2"/>
  <c r="B1036" i="2"/>
  <c r="C1036" i="2"/>
  <c r="D1036" i="2"/>
  <c r="E1036" i="2"/>
  <c r="F1036" i="2"/>
  <c r="G1036" i="2"/>
  <c r="H1036" i="2"/>
  <c r="I1036" i="2"/>
  <c r="J1036" i="2"/>
  <c r="K1036" i="2"/>
  <c r="B1037" i="2"/>
  <c r="C1037" i="2"/>
  <c r="D1037" i="2"/>
  <c r="E1037" i="2"/>
  <c r="F1037" i="2"/>
  <c r="G1037" i="2"/>
  <c r="H1037" i="2"/>
  <c r="I1037" i="2"/>
  <c r="J1037" i="2"/>
  <c r="K1037" i="2"/>
  <c r="B1038" i="2"/>
  <c r="C1038" i="2"/>
  <c r="D1038" i="2"/>
  <c r="E1038" i="2"/>
  <c r="F1038" i="2"/>
  <c r="G1038" i="2"/>
  <c r="H1038" i="2"/>
  <c r="I1038" i="2"/>
  <c r="J1038" i="2"/>
  <c r="K1038" i="2"/>
  <c r="B1039" i="2"/>
  <c r="C1039" i="2"/>
  <c r="D1039" i="2"/>
  <c r="E1039" i="2"/>
  <c r="F1039" i="2"/>
  <c r="G1039" i="2"/>
  <c r="H1039" i="2"/>
  <c r="I1039" i="2"/>
  <c r="J1039" i="2"/>
  <c r="K1039" i="2"/>
  <c r="B1040" i="2"/>
  <c r="C1040" i="2"/>
  <c r="D1040" i="2"/>
  <c r="E1040" i="2"/>
  <c r="F1040" i="2"/>
  <c r="G1040" i="2"/>
  <c r="H1040" i="2"/>
  <c r="I1040" i="2"/>
  <c r="J1040" i="2"/>
  <c r="K1040" i="2"/>
  <c r="B1041" i="2"/>
  <c r="C1041" i="2"/>
  <c r="D1041" i="2"/>
  <c r="E1041" i="2"/>
  <c r="F1041" i="2"/>
  <c r="G1041" i="2"/>
  <c r="H1041" i="2"/>
  <c r="I1041" i="2"/>
  <c r="J1041" i="2"/>
  <c r="K1041" i="2"/>
  <c r="B1042" i="2"/>
  <c r="C1042" i="2"/>
  <c r="D1042" i="2"/>
  <c r="E1042" i="2"/>
  <c r="F1042" i="2"/>
  <c r="G1042" i="2"/>
  <c r="H1042" i="2"/>
  <c r="I1042" i="2"/>
  <c r="J1042" i="2"/>
  <c r="K1042" i="2"/>
  <c r="B1043" i="2"/>
  <c r="C1043" i="2"/>
  <c r="D1043" i="2"/>
  <c r="E1043" i="2"/>
  <c r="F1043" i="2"/>
  <c r="G1043" i="2"/>
  <c r="H1043" i="2"/>
  <c r="I1043" i="2"/>
  <c r="J1043" i="2"/>
  <c r="K1043" i="2"/>
  <c r="B1044" i="2"/>
  <c r="C1044" i="2"/>
  <c r="D1044" i="2"/>
  <c r="E1044" i="2"/>
  <c r="F1044" i="2"/>
  <c r="G1044" i="2"/>
  <c r="H1044" i="2"/>
  <c r="I1044" i="2"/>
  <c r="J1044" i="2"/>
  <c r="K1044" i="2"/>
  <c r="B1045" i="2"/>
  <c r="C1045" i="2"/>
  <c r="D1045" i="2"/>
  <c r="E1045" i="2"/>
  <c r="F1045" i="2"/>
  <c r="G1045" i="2"/>
  <c r="H1045" i="2"/>
  <c r="I1045" i="2"/>
  <c r="J1045" i="2"/>
  <c r="K1045" i="2"/>
  <c r="B1046" i="2"/>
  <c r="C1046" i="2"/>
  <c r="D1046" i="2"/>
  <c r="E1046" i="2"/>
  <c r="F1046" i="2"/>
  <c r="G1046" i="2"/>
  <c r="H1046" i="2"/>
  <c r="I1046" i="2"/>
  <c r="J1046" i="2"/>
  <c r="K1046" i="2"/>
  <c r="B1047" i="2"/>
  <c r="C1047" i="2"/>
  <c r="D1047" i="2"/>
  <c r="E1047" i="2"/>
  <c r="F1047" i="2"/>
  <c r="G1047" i="2"/>
  <c r="H1047" i="2"/>
  <c r="I1047" i="2"/>
  <c r="J1047" i="2"/>
  <c r="K1047" i="2"/>
  <c r="B1048" i="2"/>
  <c r="C1048" i="2"/>
  <c r="D1048" i="2"/>
  <c r="E1048" i="2"/>
  <c r="F1048" i="2"/>
  <c r="G1048" i="2"/>
  <c r="H1048" i="2"/>
  <c r="I1048" i="2"/>
  <c r="J1048" i="2"/>
  <c r="K1048" i="2"/>
  <c r="B1049" i="2"/>
  <c r="C1049" i="2"/>
  <c r="D1049" i="2"/>
  <c r="E1049" i="2"/>
  <c r="F1049" i="2"/>
  <c r="G1049" i="2"/>
  <c r="H1049" i="2"/>
  <c r="I1049" i="2"/>
  <c r="J1049" i="2"/>
  <c r="K1049" i="2"/>
  <c r="B1050" i="2"/>
  <c r="C1050" i="2"/>
  <c r="D1050" i="2"/>
  <c r="E1050" i="2"/>
  <c r="F1050" i="2"/>
  <c r="G1050" i="2"/>
  <c r="H1050" i="2"/>
  <c r="I1050" i="2"/>
  <c r="J1050" i="2"/>
  <c r="K1050" i="2"/>
  <c r="B1051" i="2"/>
  <c r="C1051" i="2"/>
  <c r="D1051" i="2"/>
  <c r="E1051" i="2"/>
  <c r="F1051" i="2"/>
  <c r="G1051" i="2"/>
  <c r="H1051" i="2"/>
  <c r="I1051" i="2"/>
  <c r="J1051" i="2"/>
  <c r="K1051" i="2"/>
  <c r="B1052" i="2"/>
  <c r="C1052" i="2"/>
  <c r="D1052" i="2"/>
  <c r="E1052" i="2"/>
  <c r="F1052" i="2"/>
  <c r="G1052" i="2"/>
  <c r="H1052" i="2"/>
  <c r="I1052" i="2"/>
  <c r="J1052" i="2"/>
  <c r="K1052" i="2"/>
  <c r="B1053" i="2"/>
  <c r="C1053" i="2"/>
  <c r="D1053" i="2"/>
  <c r="E1053" i="2"/>
  <c r="F1053" i="2"/>
  <c r="G1053" i="2"/>
  <c r="H1053" i="2"/>
  <c r="I1053" i="2"/>
  <c r="J1053" i="2"/>
  <c r="K1053" i="2"/>
  <c r="B1054" i="2"/>
  <c r="C1054" i="2"/>
  <c r="D1054" i="2"/>
  <c r="E1054" i="2"/>
  <c r="F1054" i="2"/>
  <c r="G1054" i="2"/>
  <c r="H1054" i="2"/>
  <c r="I1054" i="2"/>
  <c r="J1054" i="2"/>
  <c r="K1054" i="2"/>
  <c r="B1055" i="2"/>
  <c r="C1055" i="2"/>
  <c r="D1055" i="2"/>
  <c r="E1055" i="2"/>
  <c r="F1055" i="2"/>
  <c r="G1055" i="2"/>
  <c r="H1055" i="2"/>
  <c r="I1055" i="2"/>
  <c r="J1055" i="2"/>
  <c r="K1055" i="2"/>
  <c r="B1056" i="2"/>
  <c r="C1056" i="2"/>
  <c r="D1056" i="2"/>
  <c r="E1056" i="2"/>
  <c r="F1056" i="2"/>
  <c r="G1056" i="2"/>
  <c r="H1056" i="2"/>
  <c r="I1056" i="2"/>
  <c r="J1056" i="2"/>
  <c r="K1056" i="2"/>
  <c r="B1057" i="2"/>
  <c r="C1057" i="2"/>
  <c r="D1057" i="2"/>
  <c r="E1057" i="2"/>
  <c r="F1057" i="2"/>
  <c r="G1057" i="2"/>
  <c r="H1057" i="2"/>
  <c r="I1057" i="2"/>
  <c r="J1057" i="2"/>
  <c r="K1057" i="2"/>
  <c r="B1058" i="2"/>
  <c r="C1058" i="2"/>
  <c r="D1058" i="2"/>
  <c r="E1058" i="2"/>
  <c r="F1058" i="2"/>
  <c r="G1058" i="2"/>
  <c r="H1058" i="2"/>
  <c r="I1058" i="2"/>
  <c r="J1058" i="2"/>
  <c r="K1058" i="2"/>
  <c r="B1059" i="2"/>
  <c r="C1059" i="2"/>
  <c r="D1059" i="2"/>
  <c r="E1059" i="2"/>
  <c r="F1059" i="2"/>
  <c r="G1059" i="2"/>
  <c r="H1059" i="2"/>
  <c r="I1059" i="2"/>
  <c r="J1059" i="2"/>
  <c r="K1059" i="2"/>
  <c r="B1060" i="2"/>
  <c r="C1060" i="2"/>
  <c r="D1060" i="2"/>
  <c r="E1060" i="2"/>
  <c r="F1060" i="2"/>
  <c r="G1060" i="2"/>
  <c r="H1060" i="2"/>
  <c r="I1060" i="2"/>
  <c r="J1060" i="2"/>
  <c r="K1060" i="2"/>
  <c r="B1061" i="2"/>
  <c r="C1061" i="2"/>
  <c r="D1061" i="2"/>
  <c r="E1061" i="2"/>
  <c r="F1061" i="2"/>
  <c r="G1061" i="2"/>
  <c r="H1061" i="2"/>
  <c r="I1061" i="2"/>
  <c r="J1061" i="2"/>
  <c r="K1061" i="2"/>
  <c r="B1062" i="2"/>
  <c r="C1062" i="2"/>
  <c r="D1062" i="2"/>
  <c r="E1062" i="2"/>
  <c r="F1062" i="2"/>
  <c r="G1062" i="2"/>
  <c r="H1062" i="2"/>
  <c r="I1062" i="2"/>
  <c r="J1062" i="2"/>
  <c r="K1062" i="2"/>
  <c r="B1063" i="2"/>
  <c r="C1063" i="2"/>
  <c r="D1063" i="2"/>
  <c r="E1063" i="2"/>
  <c r="F1063" i="2"/>
  <c r="G1063" i="2"/>
  <c r="H1063" i="2"/>
  <c r="I1063" i="2"/>
  <c r="J1063" i="2"/>
  <c r="K1063" i="2"/>
  <c r="B1064" i="2"/>
  <c r="C1064" i="2"/>
  <c r="D1064" i="2"/>
  <c r="E1064" i="2"/>
  <c r="F1064" i="2"/>
  <c r="G1064" i="2"/>
  <c r="H1064" i="2"/>
  <c r="I1064" i="2"/>
  <c r="J1064" i="2"/>
  <c r="K1064" i="2"/>
  <c r="B1065" i="2"/>
  <c r="C1065" i="2"/>
  <c r="D1065" i="2"/>
  <c r="E1065" i="2"/>
  <c r="F1065" i="2"/>
  <c r="G1065" i="2"/>
  <c r="H1065" i="2"/>
  <c r="I1065" i="2"/>
  <c r="J1065" i="2"/>
  <c r="K1065" i="2"/>
  <c r="B1066" i="2"/>
  <c r="C1066" i="2"/>
  <c r="D1066" i="2"/>
  <c r="E1066" i="2"/>
  <c r="F1066" i="2"/>
  <c r="G1066" i="2"/>
  <c r="H1066" i="2"/>
  <c r="I1066" i="2"/>
  <c r="J1066" i="2"/>
  <c r="K1066" i="2"/>
  <c r="B1067" i="2"/>
  <c r="C1067" i="2"/>
  <c r="D1067" i="2"/>
  <c r="E1067" i="2"/>
  <c r="F1067" i="2"/>
  <c r="G1067" i="2"/>
  <c r="H1067" i="2"/>
  <c r="I1067" i="2"/>
  <c r="J1067" i="2"/>
  <c r="K1067" i="2"/>
  <c r="B1068" i="2"/>
  <c r="C1068" i="2"/>
  <c r="D1068" i="2"/>
  <c r="E1068" i="2"/>
  <c r="F1068" i="2"/>
  <c r="G1068" i="2"/>
  <c r="H1068" i="2"/>
  <c r="I1068" i="2"/>
  <c r="J1068" i="2"/>
  <c r="K1068" i="2"/>
  <c r="B1069" i="2"/>
  <c r="C1069" i="2"/>
  <c r="D1069" i="2"/>
  <c r="E1069" i="2"/>
  <c r="F1069" i="2"/>
  <c r="G1069" i="2"/>
  <c r="H1069" i="2"/>
  <c r="I1069" i="2"/>
  <c r="J1069" i="2"/>
  <c r="K1069" i="2"/>
  <c r="B1070" i="2"/>
  <c r="C1070" i="2"/>
  <c r="D1070" i="2"/>
  <c r="E1070" i="2"/>
  <c r="F1070" i="2"/>
  <c r="G1070" i="2"/>
  <c r="H1070" i="2"/>
  <c r="I1070" i="2"/>
  <c r="J1070" i="2"/>
  <c r="K1070" i="2"/>
  <c r="B1071" i="2"/>
  <c r="C1071" i="2"/>
  <c r="D1071" i="2"/>
  <c r="E1071" i="2"/>
  <c r="F1071" i="2"/>
  <c r="G1071" i="2"/>
  <c r="H1071" i="2"/>
  <c r="I1071" i="2"/>
  <c r="J1071" i="2"/>
  <c r="K1071" i="2"/>
  <c r="B1072" i="2"/>
  <c r="C1072" i="2"/>
  <c r="D1072" i="2"/>
  <c r="E1072" i="2"/>
  <c r="F1072" i="2"/>
  <c r="G1072" i="2"/>
  <c r="H1072" i="2"/>
  <c r="I1072" i="2"/>
  <c r="J1072" i="2"/>
  <c r="K1072" i="2"/>
  <c r="B1073" i="2"/>
  <c r="C1073" i="2"/>
  <c r="D1073" i="2"/>
  <c r="E1073" i="2"/>
  <c r="F1073" i="2"/>
  <c r="G1073" i="2"/>
  <c r="H1073" i="2"/>
  <c r="I1073" i="2"/>
  <c r="J1073" i="2"/>
  <c r="K1073" i="2"/>
  <c r="B1074" i="2"/>
  <c r="C1074" i="2"/>
  <c r="D1074" i="2"/>
  <c r="E1074" i="2"/>
  <c r="F1074" i="2"/>
  <c r="G1074" i="2"/>
  <c r="H1074" i="2"/>
  <c r="I1074" i="2"/>
  <c r="J1074" i="2"/>
  <c r="K1074" i="2"/>
  <c r="B1075" i="2"/>
  <c r="C1075" i="2"/>
  <c r="D1075" i="2"/>
  <c r="E1075" i="2"/>
  <c r="F1075" i="2"/>
  <c r="G1075" i="2"/>
  <c r="H1075" i="2"/>
  <c r="I1075" i="2"/>
  <c r="J1075" i="2"/>
  <c r="K1075" i="2"/>
  <c r="B1076" i="2"/>
  <c r="C1076" i="2"/>
  <c r="D1076" i="2"/>
  <c r="E1076" i="2"/>
  <c r="F1076" i="2"/>
  <c r="G1076" i="2"/>
  <c r="H1076" i="2"/>
  <c r="I1076" i="2"/>
  <c r="J1076" i="2"/>
  <c r="K1076" i="2"/>
  <c r="B1077" i="2"/>
  <c r="C1077" i="2"/>
  <c r="D1077" i="2"/>
  <c r="E1077" i="2"/>
  <c r="F1077" i="2"/>
  <c r="G1077" i="2"/>
  <c r="H1077" i="2"/>
  <c r="I1077" i="2"/>
  <c r="J1077" i="2"/>
  <c r="K1077" i="2"/>
  <c r="B1078" i="2"/>
  <c r="C1078" i="2"/>
  <c r="D1078" i="2"/>
  <c r="E1078" i="2"/>
  <c r="F1078" i="2"/>
  <c r="G1078" i="2"/>
  <c r="H1078" i="2"/>
  <c r="I1078" i="2"/>
  <c r="J1078" i="2"/>
  <c r="K1078" i="2"/>
  <c r="B1079" i="2"/>
  <c r="C1079" i="2"/>
  <c r="D1079" i="2"/>
  <c r="E1079" i="2"/>
  <c r="F1079" i="2"/>
  <c r="G1079" i="2"/>
  <c r="H1079" i="2"/>
  <c r="I1079" i="2"/>
  <c r="J1079" i="2"/>
  <c r="K1079" i="2"/>
  <c r="B1080" i="2"/>
  <c r="C1080" i="2"/>
  <c r="D1080" i="2"/>
  <c r="E1080" i="2"/>
  <c r="F1080" i="2"/>
  <c r="G1080" i="2"/>
  <c r="H1080" i="2"/>
  <c r="I1080" i="2"/>
  <c r="J1080" i="2"/>
  <c r="K1080" i="2"/>
  <c r="B1081" i="2"/>
  <c r="C1081" i="2"/>
  <c r="D1081" i="2"/>
  <c r="E1081" i="2"/>
  <c r="F1081" i="2"/>
  <c r="G1081" i="2"/>
  <c r="H1081" i="2"/>
  <c r="I1081" i="2"/>
  <c r="J1081" i="2"/>
  <c r="K1081" i="2"/>
  <c r="B1082" i="2"/>
  <c r="C1082" i="2"/>
  <c r="D1082" i="2"/>
  <c r="E1082" i="2"/>
  <c r="F1082" i="2"/>
  <c r="G1082" i="2"/>
  <c r="H1082" i="2"/>
  <c r="I1082" i="2"/>
  <c r="J1082" i="2"/>
  <c r="K1082" i="2"/>
  <c r="B1083" i="2"/>
  <c r="C1083" i="2"/>
  <c r="D1083" i="2"/>
  <c r="E1083" i="2"/>
  <c r="F1083" i="2"/>
  <c r="G1083" i="2"/>
  <c r="H1083" i="2"/>
  <c r="I1083" i="2"/>
  <c r="J1083" i="2"/>
  <c r="K1083" i="2"/>
  <c r="B1084" i="2"/>
  <c r="C1084" i="2"/>
  <c r="D1084" i="2"/>
  <c r="E1084" i="2"/>
  <c r="F1084" i="2"/>
  <c r="G1084" i="2"/>
  <c r="H1084" i="2"/>
  <c r="I1084" i="2"/>
  <c r="J1084" i="2"/>
  <c r="K1084" i="2"/>
  <c r="B1085" i="2"/>
  <c r="C1085" i="2"/>
  <c r="D1085" i="2"/>
  <c r="E1085" i="2"/>
  <c r="F1085" i="2"/>
  <c r="G1085" i="2"/>
  <c r="H1085" i="2"/>
  <c r="I1085" i="2"/>
  <c r="J1085" i="2"/>
  <c r="K1085" i="2"/>
  <c r="B1086" i="2"/>
  <c r="C1086" i="2"/>
  <c r="D1086" i="2"/>
  <c r="E1086" i="2"/>
  <c r="F1086" i="2"/>
  <c r="G1086" i="2"/>
  <c r="H1086" i="2"/>
  <c r="I1086" i="2"/>
  <c r="J1086" i="2"/>
  <c r="K1086" i="2"/>
  <c r="B1087" i="2"/>
  <c r="C1087" i="2"/>
  <c r="D1087" i="2"/>
  <c r="E1087" i="2"/>
  <c r="F1087" i="2"/>
  <c r="G1087" i="2"/>
  <c r="H1087" i="2"/>
  <c r="I1087" i="2"/>
  <c r="J1087" i="2"/>
  <c r="K1087" i="2"/>
  <c r="B1088" i="2"/>
  <c r="C1088" i="2"/>
  <c r="D1088" i="2"/>
  <c r="E1088" i="2"/>
  <c r="F1088" i="2"/>
  <c r="G1088" i="2"/>
  <c r="H1088" i="2"/>
  <c r="I1088" i="2"/>
  <c r="J1088" i="2"/>
  <c r="K1088" i="2"/>
  <c r="B1089" i="2"/>
  <c r="C1089" i="2"/>
  <c r="D1089" i="2"/>
  <c r="E1089" i="2"/>
  <c r="F1089" i="2"/>
  <c r="G1089" i="2"/>
  <c r="H1089" i="2"/>
  <c r="I1089" i="2"/>
  <c r="J1089" i="2"/>
  <c r="K1089" i="2"/>
  <c r="B1090" i="2"/>
  <c r="C1090" i="2"/>
  <c r="D1090" i="2"/>
  <c r="E1090" i="2"/>
  <c r="F1090" i="2"/>
  <c r="G1090" i="2"/>
  <c r="H1090" i="2"/>
  <c r="I1090" i="2"/>
  <c r="J1090" i="2"/>
  <c r="K1090" i="2"/>
  <c r="B1091" i="2"/>
  <c r="C1091" i="2"/>
  <c r="D1091" i="2"/>
  <c r="E1091" i="2"/>
  <c r="F1091" i="2"/>
  <c r="G1091" i="2"/>
  <c r="H1091" i="2"/>
  <c r="I1091" i="2"/>
  <c r="J1091" i="2"/>
  <c r="K1091" i="2"/>
  <c r="B1092" i="2"/>
  <c r="C1092" i="2"/>
  <c r="D1092" i="2"/>
  <c r="E1092" i="2"/>
  <c r="F1092" i="2"/>
  <c r="G1092" i="2"/>
  <c r="H1092" i="2"/>
  <c r="I1092" i="2"/>
  <c r="J1092" i="2"/>
  <c r="K1092" i="2"/>
  <c r="B1093" i="2"/>
  <c r="C1093" i="2"/>
  <c r="D1093" i="2"/>
  <c r="E1093" i="2"/>
  <c r="F1093" i="2"/>
  <c r="G1093" i="2"/>
  <c r="H1093" i="2"/>
  <c r="I1093" i="2"/>
  <c r="J1093" i="2"/>
  <c r="K1093" i="2"/>
  <c r="B1094" i="2"/>
  <c r="C1094" i="2"/>
  <c r="D1094" i="2"/>
  <c r="E1094" i="2"/>
  <c r="F1094" i="2"/>
  <c r="G1094" i="2"/>
  <c r="H1094" i="2"/>
  <c r="I1094" i="2"/>
  <c r="J1094" i="2"/>
  <c r="K1094" i="2"/>
  <c r="B1095" i="2"/>
  <c r="C1095" i="2"/>
  <c r="D1095" i="2"/>
  <c r="E1095" i="2"/>
  <c r="F1095" i="2"/>
  <c r="G1095" i="2"/>
  <c r="H1095" i="2"/>
  <c r="I1095" i="2"/>
  <c r="J1095" i="2"/>
  <c r="K1095" i="2"/>
  <c r="B1096" i="2"/>
  <c r="C1096" i="2"/>
  <c r="D1096" i="2"/>
  <c r="E1096" i="2"/>
  <c r="F1096" i="2"/>
  <c r="G1096" i="2"/>
  <c r="H1096" i="2"/>
  <c r="I1096" i="2"/>
  <c r="J1096" i="2"/>
  <c r="K1096" i="2"/>
  <c r="B1097" i="2"/>
  <c r="C1097" i="2"/>
  <c r="D1097" i="2"/>
  <c r="E1097" i="2"/>
  <c r="F1097" i="2"/>
  <c r="G1097" i="2"/>
  <c r="H1097" i="2"/>
  <c r="I1097" i="2"/>
  <c r="J1097" i="2"/>
  <c r="K1097" i="2"/>
  <c r="B1098" i="2"/>
  <c r="C1098" i="2"/>
  <c r="D1098" i="2"/>
  <c r="E1098" i="2"/>
  <c r="F1098" i="2"/>
  <c r="G1098" i="2"/>
  <c r="H1098" i="2"/>
  <c r="I1098" i="2"/>
  <c r="J1098" i="2"/>
  <c r="K1098" i="2"/>
  <c r="B1099" i="2"/>
  <c r="C1099" i="2"/>
  <c r="D1099" i="2"/>
  <c r="E1099" i="2"/>
  <c r="F1099" i="2"/>
  <c r="G1099" i="2"/>
  <c r="H1099" i="2"/>
  <c r="I1099" i="2"/>
  <c r="J1099" i="2"/>
  <c r="K1099" i="2"/>
  <c r="B1100" i="2"/>
  <c r="C1100" i="2"/>
  <c r="D1100" i="2"/>
  <c r="E1100" i="2"/>
  <c r="F1100" i="2"/>
  <c r="G1100" i="2"/>
  <c r="H1100" i="2"/>
  <c r="I1100" i="2"/>
  <c r="J1100" i="2"/>
  <c r="K1100" i="2"/>
  <c r="B1101" i="2"/>
  <c r="C1101" i="2"/>
  <c r="D1101" i="2"/>
  <c r="E1101" i="2"/>
  <c r="F1101" i="2"/>
  <c r="G1101" i="2"/>
  <c r="H1101" i="2"/>
  <c r="I1101" i="2"/>
  <c r="J1101" i="2"/>
  <c r="K1101" i="2"/>
  <c r="B1102" i="2"/>
  <c r="C1102" i="2"/>
  <c r="D1102" i="2"/>
  <c r="E1102" i="2"/>
  <c r="F1102" i="2"/>
  <c r="G1102" i="2"/>
  <c r="H1102" i="2"/>
  <c r="I1102" i="2"/>
  <c r="J1102" i="2"/>
  <c r="K1102" i="2"/>
  <c r="B1103" i="2"/>
  <c r="C1103" i="2"/>
  <c r="D1103" i="2"/>
  <c r="E1103" i="2"/>
  <c r="F1103" i="2"/>
  <c r="G1103" i="2"/>
  <c r="H1103" i="2"/>
  <c r="I1103" i="2"/>
  <c r="J1103" i="2"/>
  <c r="K1103" i="2"/>
  <c r="B1104" i="2"/>
  <c r="C1104" i="2"/>
  <c r="D1104" i="2"/>
  <c r="E1104" i="2"/>
  <c r="F1104" i="2"/>
  <c r="G1104" i="2"/>
  <c r="H1104" i="2"/>
  <c r="I1104" i="2"/>
  <c r="J1104" i="2"/>
  <c r="K1104" i="2"/>
  <c r="B1105" i="2"/>
  <c r="C1105" i="2"/>
  <c r="D1105" i="2"/>
  <c r="E1105" i="2"/>
  <c r="F1105" i="2"/>
  <c r="G1105" i="2"/>
  <c r="H1105" i="2"/>
  <c r="I1105" i="2"/>
  <c r="J1105" i="2"/>
  <c r="K1105" i="2"/>
  <c r="B1106" i="2"/>
  <c r="C1106" i="2"/>
  <c r="D1106" i="2"/>
  <c r="E1106" i="2"/>
  <c r="F1106" i="2"/>
  <c r="G1106" i="2"/>
  <c r="H1106" i="2"/>
  <c r="I1106" i="2"/>
  <c r="J1106" i="2"/>
  <c r="K1106" i="2"/>
  <c r="B1107" i="2"/>
  <c r="C1107" i="2"/>
  <c r="D1107" i="2"/>
  <c r="E1107" i="2"/>
  <c r="F1107" i="2"/>
  <c r="G1107" i="2"/>
  <c r="H1107" i="2"/>
  <c r="I1107" i="2"/>
  <c r="J1107" i="2"/>
  <c r="K1107" i="2"/>
  <c r="B1108" i="2"/>
  <c r="C1108" i="2"/>
  <c r="D1108" i="2"/>
  <c r="E1108" i="2"/>
  <c r="F1108" i="2"/>
  <c r="G1108" i="2"/>
  <c r="H1108" i="2"/>
  <c r="I1108" i="2"/>
  <c r="J1108" i="2"/>
  <c r="K1108" i="2"/>
  <c r="B1109" i="2"/>
  <c r="C1109" i="2"/>
  <c r="D1109" i="2"/>
  <c r="E1109" i="2"/>
  <c r="F1109" i="2"/>
  <c r="G1109" i="2"/>
  <c r="H1109" i="2"/>
  <c r="I1109" i="2"/>
  <c r="J1109" i="2"/>
  <c r="K1109" i="2"/>
  <c r="B1110" i="2"/>
  <c r="C1110" i="2"/>
  <c r="D1110" i="2"/>
  <c r="E1110" i="2"/>
  <c r="F1110" i="2"/>
  <c r="G1110" i="2"/>
  <c r="H1110" i="2"/>
  <c r="I1110" i="2"/>
  <c r="J1110" i="2"/>
  <c r="K1110" i="2"/>
  <c r="B1111" i="2"/>
  <c r="C1111" i="2"/>
  <c r="D1111" i="2"/>
  <c r="E1111" i="2"/>
  <c r="F1111" i="2"/>
  <c r="G1111" i="2"/>
  <c r="H1111" i="2"/>
  <c r="I1111" i="2"/>
  <c r="J1111" i="2"/>
  <c r="K1111" i="2"/>
  <c r="B1112" i="2"/>
  <c r="C1112" i="2"/>
  <c r="D1112" i="2"/>
  <c r="E1112" i="2"/>
  <c r="F1112" i="2"/>
  <c r="G1112" i="2"/>
  <c r="H1112" i="2"/>
  <c r="I1112" i="2"/>
  <c r="J1112" i="2"/>
  <c r="K1112" i="2"/>
  <c r="B1113" i="2"/>
  <c r="C1113" i="2"/>
  <c r="D1113" i="2"/>
  <c r="E1113" i="2"/>
  <c r="F1113" i="2"/>
  <c r="G1113" i="2"/>
  <c r="H1113" i="2"/>
  <c r="I1113" i="2"/>
  <c r="J1113" i="2"/>
  <c r="K1113" i="2"/>
  <c r="B1114" i="2"/>
  <c r="C1114" i="2"/>
  <c r="D1114" i="2"/>
  <c r="E1114" i="2"/>
  <c r="F1114" i="2"/>
  <c r="G1114" i="2"/>
  <c r="H1114" i="2"/>
  <c r="I1114" i="2"/>
  <c r="J1114" i="2"/>
  <c r="K1114" i="2"/>
  <c r="B1115" i="2"/>
  <c r="C1115" i="2"/>
  <c r="D1115" i="2"/>
  <c r="E1115" i="2"/>
  <c r="F1115" i="2"/>
  <c r="G1115" i="2"/>
  <c r="H1115" i="2"/>
  <c r="I1115" i="2"/>
  <c r="J1115" i="2"/>
  <c r="K1115" i="2"/>
  <c r="B1116" i="2"/>
  <c r="C1116" i="2"/>
  <c r="D1116" i="2"/>
  <c r="E1116" i="2"/>
  <c r="F1116" i="2"/>
  <c r="G1116" i="2"/>
  <c r="H1116" i="2"/>
  <c r="I1116" i="2"/>
  <c r="J1116" i="2"/>
  <c r="K1116" i="2"/>
  <c r="B1117" i="2"/>
  <c r="C1117" i="2"/>
  <c r="D1117" i="2"/>
  <c r="E1117" i="2"/>
  <c r="F1117" i="2"/>
  <c r="G1117" i="2"/>
  <c r="H1117" i="2"/>
  <c r="I1117" i="2"/>
  <c r="J1117" i="2"/>
  <c r="K1117" i="2"/>
  <c r="B1118" i="2"/>
  <c r="C1118" i="2"/>
  <c r="D1118" i="2"/>
  <c r="E1118" i="2"/>
  <c r="F1118" i="2"/>
  <c r="G1118" i="2"/>
  <c r="H1118" i="2"/>
  <c r="I1118" i="2"/>
  <c r="J1118" i="2"/>
  <c r="K1118" i="2"/>
  <c r="B1119" i="2"/>
  <c r="C1119" i="2"/>
  <c r="D1119" i="2"/>
  <c r="E1119" i="2"/>
  <c r="F1119" i="2"/>
  <c r="G1119" i="2"/>
  <c r="H1119" i="2"/>
  <c r="I1119" i="2"/>
  <c r="J1119" i="2"/>
  <c r="K1119" i="2"/>
  <c r="B1120" i="2"/>
  <c r="C1120" i="2"/>
  <c r="D1120" i="2"/>
  <c r="E1120" i="2"/>
  <c r="F1120" i="2"/>
  <c r="G1120" i="2"/>
  <c r="H1120" i="2"/>
  <c r="I1120" i="2"/>
  <c r="J1120" i="2"/>
  <c r="K1120" i="2"/>
  <c r="B1121" i="2"/>
  <c r="C1121" i="2"/>
  <c r="D1121" i="2"/>
  <c r="E1121" i="2"/>
  <c r="F1121" i="2"/>
  <c r="G1121" i="2"/>
  <c r="H1121" i="2"/>
  <c r="I1121" i="2"/>
  <c r="J1121" i="2"/>
  <c r="K1121" i="2"/>
  <c r="B1122" i="2"/>
  <c r="C1122" i="2"/>
  <c r="D1122" i="2"/>
  <c r="E1122" i="2"/>
  <c r="F1122" i="2"/>
  <c r="G1122" i="2"/>
  <c r="H1122" i="2"/>
  <c r="I1122" i="2"/>
  <c r="J1122" i="2"/>
  <c r="K1122" i="2"/>
  <c r="B1123" i="2"/>
  <c r="C1123" i="2"/>
  <c r="D1123" i="2"/>
  <c r="E1123" i="2"/>
  <c r="F1123" i="2"/>
  <c r="G1123" i="2"/>
  <c r="H1123" i="2"/>
  <c r="I1123" i="2"/>
  <c r="J1123" i="2"/>
  <c r="K1123" i="2"/>
  <c r="B1124" i="2"/>
  <c r="C1124" i="2"/>
  <c r="D1124" i="2"/>
  <c r="E1124" i="2"/>
  <c r="F1124" i="2"/>
  <c r="G1124" i="2"/>
  <c r="H1124" i="2"/>
  <c r="I1124" i="2"/>
  <c r="J1124" i="2"/>
  <c r="K1124" i="2"/>
  <c r="B1125" i="2"/>
  <c r="C1125" i="2"/>
  <c r="D1125" i="2"/>
  <c r="E1125" i="2"/>
  <c r="F1125" i="2"/>
  <c r="G1125" i="2"/>
  <c r="H1125" i="2"/>
  <c r="I1125" i="2"/>
  <c r="J1125" i="2"/>
  <c r="K1125" i="2"/>
  <c r="B1126" i="2"/>
  <c r="C1126" i="2"/>
  <c r="D1126" i="2"/>
  <c r="E1126" i="2"/>
  <c r="F1126" i="2"/>
  <c r="G1126" i="2"/>
  <c r="H1126" i="2"/>
  <c r="I1126" i="2"/>
  <c r="J1126" i="2"/>
  <c r="K1126" i="2"/>
  <c r="B1127" i="2"/>
  <c r="C1127" i="2"/>
  <c r="D1127" i="2"/>
  <c r="E1127" i="2"/>
  <c r="F1127" i="2"/>
  <c r="G1127" i="2"/>
  <c r="H1127" i="2"/>
  <c r="I1127" i="2"/>
  <c r="J1127" i="2"/>
  <c r="K1127" i="2"/>
  <c r="B1128" i="2"/>
  <c r="C1128" i="2"/>
  <c r="D1128" i="2"/>
  <c r="E1128" i="2"/>
  <c r="F1128" i="2"/>
  <c r="G1128" i="2"/>
  <c r="H1128" i="2"/>
  <c r="I1128" i="2"/>
  <c r="J1128" i="2"/>
  <c r="K1128" i="2"/>
  <c r="B1129" i="2"/>
  <c r="C1129" i="2"/>
  <c r="D1129" i="2"/>
  <c r="E1129" i="2"/>
  <c r="F1129" i="2"/>
  <c r="G1129" i="2"/>
  <c r="H1129" i="2"/>
  <c r="I1129" i="2"/>
  <c r="J1129" i="2"/>
  <c r="K1129" i="2"/>
  <c r="B1130" i="2"/>
  <c r="C1130" i="2"/>
  <c r="D1130" i="2"/>
  <c r="E1130" i="2"/>
  <c r="F1130" i="2"/>
  <c r="G1130" i="2"/>
  <c r="H1130" i="2"/>
  <c r="I1130" i="2"/>
  <c r="J1130" i="2"/>
  <c r="K1130" i="2"/>
  <c r="B1131" i="2"/>
  <c r="C1131" i="2"/>
  <c r="D1131" i="2"/>
  <c r="E1131" i="2"/>
  <c r="F1131" i="2"/>
  <c r="G1131" i="2"/>
  <c r="H1131" i="2"/>
  <c r="I1131" i="2"/>
  <c r="J1131" i="2"/>
  <c r="K1131" i="2"/>
  <c r="B1132" i="2"/>
  <c r="C1132" i="2"/>
  <c r="D1132" i="2"/>
  <c r="E1132" i="2"/>
  <c r="F1132" i="2"/>
  <c r="G1132" i="2"/>
  <c r="H1132" i="2"/>
  <c r="I1132" i="2"/>
  <c r="J1132" i="2"/>
  <c r="K1132" i="2"/>
  <c r="B1133" i="2"/>
  <c r="C1133" i="2"/>
  <c r="D1133" i="2"/>
  <c r="E1133" i="2"/>
  <c r="F1133" i="2"/>
  <c r="G1133" i="2"/>
  <c r="H1133" i="2"/>
  <c r="I1133" i="2"/>
  <c r="J1133" i="2"/>
  <c r="K1133" i="2"/>
  <c r="B1134" i="2"/>
  <c r="C1134" i="2"/>
  <c r="D1134" i="2"/>
  <c r="E1134" i="2"/>
  <c r="F1134" i="2"/>
  <c r="G1134" i="2"/>
  <c r="H1134" i="2"/>
  <c r="I1134" i="2"/>
  <c r="J1134" i="2"/>
  <c r="K1134" i="2"/>
  <c r="B1135" i="2"/>
  <c r="C1135" i="2"/>
  <c r="D1135" i="2"/>
  <c r="E1135" i="2"/>
  <c r="F1135" i="2"/>
  <c r="G1135" i="2"/>
  <c r="H1135" i="2"/>
  <c r="I1135" i="2"/>
  <c r="J1135" i="2"/>
  <c r="K1135" i="2"/>
  <c r="B1136" i="2"/>
  <c r="C1136" i="2"/>
  <c r="D1136" i="2"/>
  <c r="E1136" i="2"/>
  <c r="F1136" i="2"/>
  <c r="G1136" i="2"/>
  <c r="H1136" i="2"/>
  <c r="I1136" i="2"/>
  <c r="J1136" i="2"/>
  <c r="K1136" i="2"/>
  <c r="J65" i="5"/>
  <c r="J64" i="5"/>
  <c r="J63" i="5"/>
  <c r="J62" i="5"/>
  <c r="J61" i="5"/>
  <c r="J60" i="5"/>
  <c r="J59" i="5"/>
  <c r="J58" i="5"/>
  <c r="J57" i="5"/>
  <c r="J56" i="5"/>
  <c r="J55" i="5"/>
  <c r="J54" i="5"/>
  <c r="J53" i="5"/>
  <c r="J52" i="5"/>
  <c r="J50" i="5"/>
  <c r="J49" i="5"/>
  <c r="J48" i="5"/>
  <c r="J47" i="5"/>
  <c r="J46" i="5"/>
  <c r="J45" i="5"/>
  <c r="J44" i="5"/>
  <c r="J43" i="5"/>
  <c r="J42" i="5"/>
  <c r="J41" i="5"/>
  <c r="J40" i="5"/>
  <c r="J39" i="5"/>
  <c r="J38" i="5"/>
  <c r="F40" i="5"/>
  <c r="B47" i="12" l="1"/>
  <c r="B79" i="12"/>
  <c r="C73" i="12"/>
  <c r="C104" i="12" s="1"/>
  <c r="C72" i="12"/>
  <c r="C103" i="12" s="1"/>
  <c r="C70" i="12"/>
  <c r="C101" i="12" s="1"/>
  <c r="C69" i="12"/>
  <c r="C100" i="12" s="1"/>
  <c r="C68" i="12"/>
  <c r="C99" i="12" s="1"/>
  <c r="C67" i="12"/>
  <c r="C98" i="12" s="1"/>
  <c r="C66" i="12"/>
  <c r="C97" i="12" s="1"/>
  <c r="C65" i="12"/>
  <c r="C96" i="12" s="1"/>
  <c r="C64" i="12"/>
  <c r="C95" i="12" s="1"/>
  <c r="C63" i="12"/>
  <c r="C94" i="12" s="1"/>
  <c r="C62" i="12"/>
  <c r="C93" i="12" s="1"/>
  <c r="C61" i="12"/>
  <c r="C92" i="12" s="1"/>
  <c r="C60" i="12"/>
  <c r="C91" i="12" s="1"/>
  <c r="C59" i="12"/>
  <c r="C90" i="12" s="1"/>
  <c r="C58" i="12"/>
  <c r="C89" i="12" s="1"/>
  <c r="C57" i="12"/>
  <c r="C88" i="12" s="1"/>
  <c r="C56" i="12"/>
  <c r="C87" i="12" s="1"/>
  <c r="C55" i="12"/>
  <c r="C86" i="12" s="1"/>
  <c r="C54" i="12"/>
  <c r="C85" i="12" s="1"/>
  <c r="C53" i="12"/>
  <c r="C84" i="12" s="1"/>
  <c r="C52" i="12"/>
  <c r="C83" i="12" s="1"/>
  <c r="C51" i="12"/>
  <c r="C82" i="12" s="1"/>
  <c r="C50" i="12"/>
  <c r="C81" i="12" s="1"/>
  <c r="C49" i="12"/>
  <c r="C80" i="12" s="1"/>
  <c r="C48" i="12"/>
  <c r="C79" i="12" s="1"/>
  <c r="C47" i="12"/>
  <c r="C78" i="12" s="1"/>
  <c r="C46" i="12"/>
  <c r="D35" i="12"/>
  <c r="C30" i="12"/>
  <c r="D30" i="12" s="1"/>
  <c r="D38" i="12" s="1"/>
  <c r="D39" i="12" s="1"/>
  <c r="C40" i="7"/>
  <c r="D40" i="7" s="1"/>
  <c r="E40" i="7" s="1"/>
  <c r="F40" i="7" s="1"/>
  <c r="G40" i="7" s="1"/>
  <c r="H40" i="7" s="1"/>
  <c r="I40" i="7" s="1"/>
  <c r="J40" i="7" s="1"/>
  <c r="K40" i="7" s="1"/>
  <c r="L40" i="7" s="1"/>
  <c r="M40" i="7" s="1"/>
  <c r="N40" i="7" s="1"/>
  <c r="O40" i="7" s="1"/>
  <c r="AC7" i="10"/>
  <c r="AC785" i="10"/>
  <c r="E30" i="10"/>
  <c r="G60" i="10"/>
  <c r="I128" i="10"/>
  <c r="I230" i="10"/>
  <c r="I268" i="10"/>
  <c r="C398" i="10"/>
  <c r="K398" i="10"/>
  <c r="E429" i="10"/>
  <c r="I437" i="10"/>
  <c r="G461" i="10"/>
  <c r="E485" i="10"/>
  <c r="H481" i="10"/>
  <c r="B508" i="10"/>
  <c r="C491" i="10"/>
  <c r="F503" i="10"/>
  <c r="J506" i="10"/>
  <c r="D520" i="10"/>
  <c r="H526" i="10"/>
  <c r="B547" i="10"/>
  <c r="F550" i="10"/>
  <c r="G546" i="10"/>
  <c r="J545" i="10"/>
  <c r="D574" i="10"/>
  <c r="H565" i="10"/>
  <c r="I566" i="10"/>
  <c r="K575" i="10"/>
  <c r="E608" i="10"/>
  <c r="K616" i="10"/>
  <c r="B661" i="10"/>
  <c r="J660" i="10"/>
  <c r="E665" i="10"/>
  <c r="H668" i="10"/>
  <c r="I684" i="10"/>
  <c r="B703" i="10"/>
  <c r="C694" i="10"/>
  <c r="K689" i="10"/>
  <c r="D707" i="10"/>
  <c r="J746" i="10"/>
  <c r="K730" i="10"/>
  <c r="G759" i="10"/>
  <c r="I752" i="10"/>
  <c r="B579" i="10"/>
  <c r="G590" i="10"/>
  <c r="G624" i="10"/>
  <c r="E659" i="10"/>
  <c r="H681" i="10"/>
  <c r="K667" i="10"/>
  <c r="I700" i="10"/>
  <c r="B714" i="10"/>
  <c r="J713" i="10"/>
  <c r="E745" i="10"/>
  <c r="H750" i="10"/>
  <c r="D752" i="10"/>
  <c r="B782" i="10"/>
  <c r="G782" i="10"/>
  <c r="J783" i="10"/>
  <c r="M134" i="10"/>
  <c r="M144" i="10"/>
  <c r="M169" i="10"/>
  <c r="M210" i="10"/>
  <c r="M239" i="10"/>
  <c r="M374" i="10"/>
  <c r="M396" i="10"/>
  <c r="M525" i="10"/>
  <c r="M545" i="10"/>
  <c r="M567" i="10"/>
  <c r="M676" i="10"/>
  <c r="M689" i="10"/>
  <c r="M726" i="10"/>
  <c r="AC4" i="10"/>
  <c r="S773" i="10"/>
  <c r="R773" i="10"/>
  <c r="S751" i="10"/>
  <c r="R751" i="10"/>
  <c r="S729" i="10"/>
  <c r="R729" i="10"/>
  <c r="S707" i="10"/>
  <c r="R707" i="10"/>
  <c r="S685" i="10"/>
  <c r="R685" i="10"/>
  <c r="S663" i="10"/>
  <c r="R663" i="10"/>
  <c r="S641" i="10"/>
  <c r="R641" i="10"/>
  <c r="S619" i="10"/>
  <c r="R619" i="10"/>
  <c r="S597" i="10"/>
  <c r="R597" i="10"/>
  <c r="S575" i="10"/>
  <c r="R575" i="10"/>
  <c r="S553" i="10"/>
  <c r="R553" i="10"/>
  <c r="S531" i="10"/>
  <c r="R531" i="10"/>
  <c r="S509" i="10"/>
  <c r="R509" i="10"/>
  <c r="S487" i="10"/>
  <c r="R487" i="10"/>
  <c r="S465" i="10"/>
  <c r="R465" i="10"/>
  <c r="S443" i="10"/>
  <c r="R443" i="10"/>
  <c r="S421" i="10"/>
  <c r="R421" i="10"/>
  <c r="S399" i="10"/>
  <c r="R399" i="10"/>
  <c r="S377" i="10"/>
  <c r="R377" i="10"/>
  <c r="S355" i="10"/>
  <c r="R355" i="10"/>
  <c r="S333" i="10"/>
  <c r="R333" i="10"/>
  <c r="S311" i="10"/>
  <c r="R311" i="10"/>
  <c r="S289" i="10"/>
  <c r="R289" i="10"/>
  <c r="S267" i="10"/>
  <c r="R267" i="10"/>
  <c r="S245" i="10"/>
  <c r="R245" i="10"/>
  <c r="S223" i="10"/>
  <c r="R223" i="10"/>
  <c r="S201" i="10"/>
  <c r="R201" i="10"/>
  <c r="S179" i="10"/>
  <c r="R179" i="10"/>
  <c r="S157" i="10"/>
  <c r="R157" i="10"/>
  <c r="S135" i="10"/>
  <c r="R135" i="10"/>
  <c r="S113" i="10"/>
  <c r="R113" i="10"/>
  <c r="S91" i="10"/>
  <c r="R91" i="10"/>
  <c r="S69" i="10"/>
  <c r="R69" i="10"/>
  <c r="S47" i="10"/>
  <c r="R47" i="10"/>
  <c r="S25" i="10"/>
  <c r="R25" i="10"/>
  <c r="R3" i="10"/>
  <c r="S3" i="10"/>
  <c r="AH649" i="10"/>
  <c r="AH645" i="10"/>
  <c r="AH640" i="10"/>
  <c r="AH636" i="10"/>
  <c r="AH632" i="10"/>
  <c r="AH628" i="10"/>
  <c r="AH624" i="10"/>
  <c r="AH607" i="10"/>
  <c r="AH594" i="10"/>
  <c r="AH590" i="10"/>
  <c r="AH582" i="10"/>
  <c r="AH578" i="10"/>
  <c r="AH573" i="10"/>
  <c r="AH569" i="10"/>
  <c r="AH565" i="10"/>
  <c r="AH557" i="10"/>
  <c r="AH552" i="10"/>
  <c r="AH544" i="10"/>
  <c r="AH540" i="10"/>
  <c r="AH536" i="10"/>
  <c r="AH527" i="10"/>
  <c r="AH519" i="10"/>
  <c r="AH506" i="10"/>
  <c r="AH502" i="10"/>
  <c r="AH498" i="10"/>
  <c r="AH485" i="10"/>
  <c r="AH477" i="10"/>
  <c r="AH473" i="10"/>
  <c r="AH469" i="10"/>
  <c r="AH464" i="10"/>
  <c r="AH460" i="10"/>
  <c r="AH456" i="10"/>
  <c r="AH452" i="10"/>
  <c r="AH448" i="10"/>
  <c r="AH444" i="10"/>
  <c r="AH431" i="10"/>
  <c r="AH418" i="10"/>
  <c r="AH414" i="10"/>
  <c r="AH406" i="10"/>
  <c r="AH402" i="10"/>
  <c r="AH397" i="10"/>
  <c r="AH385" i="10"/>
  <c r="AH372" i="10"/>
  <c r="AH364" i="10"/>
  <c r="AH351" i="10"/>
  <c r="AH347" i="10"/>
  <c r="AH343" i="10"/>
  <c r="AH339" i="10"/>
  <c r="AH326" i="10"/>
  <c r="AH322" i="10"/>
  <c r="AH318" i="10"/>
  <c r="AH314" i="10"/>
  <c r="AH293" i="10"/>
  <c r="AH288" i="10"/>
  <c r="AH272" i="10"/>
  <c r="AH263" i="10"/>
  <c r="AH259" i="10"/>
  <c r="AH247" i="10"/>
  <c r="AH242" i="10"/>
  <c r="AH234" i="10"/>
  <c r="AH233" i="10"/>
  <c r="AH230" i="10"/>
  <c r="AH226" i="10"/>
  <c r="AH221" i="10"/>
  <c r="AH220" i="10"/>
  <c r="AH216" i="10"/>
  <c r="AH213" i="10"/>
  <c r="AH212" i="10"/>
  <c r="AH209" i="10"/>
  <c r="AH208" i="10"/>
  <c r="AH205" i="10"/>
  <c r="AH204" i="10"/>
  <c r="AH200" i="10"/>
  <c r="AH196" i="10"/>
  <c r="AH192" i="10"/>
  <c r="AH188" i="10"/>
  <c r="AH180" i="10"/>
  <c r="AH178" i="10"/>
  <c r="AH175" i="10"/>
  <c r="AH171" i="10"/>
  <c r="AH167" i="10"/>
  <c r="AH163" i="10"/>
  <c r="AH162" i="10"/>
  <c r="AH159" i="10"/>
  <c r="AH154" i="10"/>
  <c r="AH153" i="10"/>
  <c r="AH150" i="10"/>
  <c r="AH149" i="10"/>
  <c r="AH146" i="10"/>
  <c r="AH145" i="10"/>
  <c r="AH142" i="10"/>
  <c r="AH141" i="10"/>
  <c r="AH138" i="10"/>
  <c r="AH133" i="10"/>
  <c r="AH132" i="10"/>
  <c r="AH128" i="10"/>
  <c r="AH125" i="10"/>
  <c r="AH124" i="10"/>
  <c r="AH121" i="10"/>
  <c r="AH120" i="10"/>
  <c r="AH117" i="10"/>
  <c r="AH108" i="10"/>
  <c r="AH107" i="10"/>
  <c r="AH104" i="10"/>
  <c r="AH103" i="10"/>
  <c r="AH100" i="10"/>
  <c r="AH99" i="10"/>
  <c r="AH96" i="10"/>
  <c r="AH95" i="10"/>
  <c r="AH90" i="10"/>
  <c r="AH87" i="10"/>
  <c r="AH86" i="10"/>
  <c r="AH83" i="10"/>
  <c r="AH82" i="10"/>
  <c r="AH79" i="10"/>
  <c r="AH78" i="10"/>
  <c r="AH74" i="10"/>
  <c r="AH71" i="10"/>
  <c r="AH62" i="10"/>
  <c r="AH61" i="10"/>
  <c r="AH58" i="10"/>
  <c r="AH53" i="10"/>
  <c r="AH50" i="10"/>
  <c r="AH45" i="10"/>
  <c r="AH44" i="10"/>
  <c r="AH41" i="10"/>
  <c r="AH40" i="10"/>
  <c r="AH33" i="10"/>
  <c r="AH32" i="10"/>
  <c r="AH29" i="10"/>
  <c r="AH28" i="10"/>
  <c r="AH24" i="10"/>
  <c r="AH23" i="10"/>
  <c r="AH20" i="10"/>
  <c r="AH19" i="10"/>
  <c r="AH16" i="10"/>
  <c r="AH8" i="10"/>
  <c r="AH7" i="10"/>
  <c r="AC794" i="10"/>
  <c r="AC793" i="10"/>
  <c r="M793" i="10"/>
  <c r="L793" i="10"/>
  <c r="A793" i="10" s="1"/>
  <c r="K793" i="10"/>
  <c r="F793" i="10"/>
  <c r="D793" i="10"/>
  <c r="C793" i="10"/>
  <c r="AC792" i="10"/>
  <c r="M792" i="10"/>
  <c r="L792" i="10"/>
  <c r="A792" i="10" s="1"/>
  <c r="K792" i="10"/>
  <c r="J792" i="10"/>
  <c r="G792" i="10"/>
  <c r="F792" i="10"/>
  <c r="E792" i="10"/>
  <c r="C792" i="10"/>
  <c r="B792" i="10"/>
  <c r="AC791" i="10"/>
  <c r="M791" i="10"/>
  <c r="L791" i="10"/>
  <c r="A791" i="10" s="1"/>
  <c r="K791" i="10"/>
  <c r="H791" i="10"/>
  <c r="F791" i="10"/>
  <c r="D791" i="10"/>
  <c r="C791" i="10"/>
  <c r="AC790" i="10"/>
  <c r="M790" i="10"/>
  <c r="L790" i="10"/>
  <c r="A790" i="10" s="1"/>
  <c r="K790" i="10"/>
  <c r="H790" i="10"/>
  <c r="F790" i="10"/>
  <c r="D790" i="10"/>
  <c r="C790" i="10"/>
  <c r="B790" i="10"/>
  <c r="AC789" i="10"/>
  <c r="M789" i="10"/>
  <c r="L789" i="10"/>
  <c r="A789" i="10" s="1"/>
  <c r="K789" i="10"/>
  <c r="H789" i="10"/>
  <c r="F789" i="10"/>
  <c r="D789" i="10"/>
  <c r="C789" i="10"/>
  <c r="B789" i="10"/>
  <c r="AC788" i="10"/>
  <c r="M788" i="10"/>
  <c r="L788" i="10"/>
  <c r="A788" i="10" s="1"/>
  <c r="K788" i="10"/>
  <c r="H788" i="10"/>
  <c r="F788" i="10"/>
  <c r="C788" i="10"/>
  <c r="AC787" i="10"/>
  <c r="M787" i="10"/>
  <c r="L787" i="10"/>
  <c r="A787" i="10" s="1"/>
  <c r="K787" i="10"/>
  <c r="H787" i="10"/>
  <c r="F787" i="10"/>
  <c r="C787" i="10"/>
  <c r="AC786" i="10"/>
  <c r="M786" i="10"/>
  <c r="L786" i="10"/>
  <c r="A786" i="10" s="1"/>
  <c r="K786" i="10"/>
  <c r="J786" i="10"/>
  <c r="H786" i="10"/>
  <c r="F786" i="10"/>
  <c r="C786" i="10"/>
  <c r="B786" i="10"/>
  <c r="M785" i="10"/>
  <c r="L785" i="10"/>
  <c r="A785" i="10" s="1"/>
  <c r="K785" i="10"/>
  <c r="H785" i="10"/>
  <c r="F785" i="10"/>
  <c r="D785" i="10"/>
  <c r="C785" i="10"/>
  <c r="AC784" i="10"/>
  <c r="M784" i="10"/>
  <c r="L784" i="10"/>
  <c r="A784" i="10" s="1"/>
  <c r="K784" i="10"/>
  <c r="J784" i="10"/>
  <c r="F784" i="10"/>
  <c r="E784" i="10"/>
  <c r="D784" i="10"/>
  <c r="C784" i="10"/>
  <c r="AC783" i="10"/>
  <c r="M783" i="10"/>
  <c r="L783" i="10"/>
  <c r="A783" i="10" s="1"/>
  <c r="K783" i="10"/>
  <c r="H783" i="10"/>
  <c r="F783" i="10"/>
  <c r="C783" i="10"/>
  <c r="B783" i="10"/>
  <c r="AC782" i="10"/>
  <c r="M782" i="10"/>
  <c r="L782" i="10"/>
  <c r="A782" i="10" s="1"/>
  <c r="K782" i="10"/>
  <c r="H782" i="10"/>
  <c r="F782" i="10"/>
  <c r="D782" i="10"/>
  <c r="C782" i="10"/>
  <c r="AC781" i="10"/>
  <c r="M781" i="10"/>
  <c r="L781" i="10"/>
  <c r="A781" i="10" s="1"/>
  <c r="K781" i="10"/>
  <c r="H781" i="10"/>
  <c r="F781" i="10"/>
  <c r="D781" i="10"/>
  <c r="C781" i="10"/>
  <c r="B781" i="10"/>
  <c r="AC780" i="10"/>
  <c r="M780" i="10"/>
  <c r="L780" i="10"/>
  <c r="A780" i="10" s="1"/>
  <c r="K780" i="10"/>
  <c r="H780" i="10"/>
  <c r="F780" i="10"/>
  <c r="D780" i="10"/>
  <c r="C780" i="10"/>
  <c r="W773" i="10"/>
  <c r="AC779" i="10"/>
  <c r="M779" i="10"/>
  <c r="L779" i="10"/>
  <c r="A779" i="10" s="1"/>
  <c r="K779" i="10"/>
  <c r="H779" i="10"/>
  <c r="F779" i="10"/>
  <c r="D779" i="10"/>
  <c r="C779" i="10"/>
  <c r="AC778" i="10"/>
  <c r="M778" i="10"/>
  <c r="L778" i="10"/>
  <c r="A778" i="10" s="1"/>
  <c r="K778" i="10"/>
  <c r="H778" i="10"/>
  <c r="F778" i="10"/>
  <c r="C778" i="10"/>
  <c r="B778" i="10"/>
  <c r="AC777" i="10"/>
  <c r="M777" i="10"/>
  <c r="L777" i="10"/>
  <c r="A777" i="10" s="1"/>
  <c r="K777" i="10"/>
  <c r="H777" i="10"/>
  <c r="F777" i="10"/>
  <c r="E777" i="10"/>
  <c r="D777" i="10"/>
  <c r="C777" i="10"/>
  <c r="AB773" i="10"/>
  <c r="T773" i="10"/>
  <c r="M776" i="10"/>
  <c r="L776" i="10"/>
  <c r="A776" i="10" s="1"/>
  <c r="K776" i="10"/>
  <c r="J776" i="10"/>
  <c r="H776" i="10"/>
  <c r="F776" i="10"/>
  <c r="D776" i="10"/>
  <c r="C776" i="10"/>
  <c r="AA773" i="10"/>
  <c r="V773" i="10"/>
  <c r="AC775" i="10"/>
  <c r="M775" i="10"/>
  <c r="L775" i="10"/>
  <c r="A775" i="10" s="1"/>
  <c r="K775" i="10"/>
  <c r="H775" i="10"/>
  <c r="F775" i="10"/>
  <c r="D775" i="10"/>
  <c r="C775" i="10"/>
  <c r="B775" i="10"/>
  <c r="Z773" i="10"/>
  <c r="X773" i="10"/>
  <c r="U773" i="10"/>
  <c r="M774" i="10"/>
  <c r="L774" i="10"/>
  <c r="A774" i="10" s="1"/>
  <c r="K774" i="10"/>
  <c r="H774" i="10"/>
  <c r="G774" i="10"/>
  <c r="F774" i="10"/>
  <c r="E774" i="10"/>
  <c r="C774" i="10"/>
  <c r="Y773" i="10"/>
  <c r="Q773" i="10"/>
  <c r="M773" i="10"/>
  <c r="L773" i="10"/>
  <c r="A773" i="10" s="1"/>
  <c r="K773" i="10"/>
  <c r="J773" i="10"/>
  <c r="G773" i="10"/>
  <c r="F773" i="10"/>
  <c r="E773" i="10"/>
  <c r="C773" i="10"/>
  <c r="B773" i="10"/>
  <c r="AC772" i="10"/>
  <c r="M772" i="10"/>
  <c r="L772" i="10"/>
  <c r="A772" i="10" s="1"/>
  <c r="J772" i="10"/>
  <c r="H772" i="10"/>
  <c r="G772" i="10"/>
  <c r="F772" i="10"/>
  <c r="E772" i="10"/>
  <c r="B772" i="10"/>
  <c r="AC771" i="10"/>
  <c r="M771" i="10"/>
  <c r="L771" i="10"/>
  <c r="A771" i="10" s="1"/>
  <c r="J771" i="10"/>
  <c r="H771" i="10"/>
  <c r="G771" i="10"/>
  <c r="E771" i="10"/>
  <c r="B771" i="10"/>
  <c r="AC770" i="10"/>
  <c r="M770" i="10"/>
  <c r="L770" i="10"/>
  <c r="A770" i="10" s="1"/>
  <c r="J770" i="10"/>
  <c r="I770" i="10"/>
  <c r="H770" i="10"/>
  <c r="F770" i="10"/>
  <c r="E770" i="10"/>
  <c r="AC769" i="10"/>
  <c r="M769" i="10"/>
  <c r="L769" i="10"/>
  <c r="A769" i="10" s="1"/>
  <c r="J769" i="10"/>
  <c r="H769" i="10"/>
  <c r="F769" i="10"/>
  <c r="E769" i="10"/>
  <c r="D769" i="10"/>
  <c r="AC768" i="10"/>
  <c r="L768" i="10"/>
  <c r="A768" i="10" s="1"/>
  <c r="J768" i="10"/>
  <c r="H768" i="10"/>
  <c r="F768" i="10"/>
  <c r="E768" i="10"/>
  <c r="B768" i="10"/>
  <c r="AC767" i="10"/>
  <c r="M767" i="10"/>
  <c r="L767" i="10"/>
  <c r="A767" i="10" s="1"/>
  <c r="J767" i="10"/>
  <c r="H767" i="10"/>
  <c r="G767" i="10"/>
  <c r="E767" i="10"/>
  <c r="B767" i="10"/>
  <c r="AC766" i="10"/>
  <c r="M766" i="10"/>
  <c r="L766" i="10"/>
  <c r="A766" i="10" s="1"/>
  <c r="J766" i="10"/>
  <c r="H766" i="10"/>
  <c r="E766" i="10"/>
  <c r="B766" i="10"/>
  <c r="AC765" i="10"/>
  <c r="M765" i="10"/>
  <c r="L765" i="10"/>
  <c r="A765" i="10" s="1"/>
  <c r="J765" i="10"/>
  <c r="H765" i="10"/>
  <c r="E765" i="10"/>
  <c r="B765" i="10"/>
  <c r="AC764" i="10"/>
  <c r="M764" i="10"/>
  <c r="L764" i="10"/>
  <c r="A764" i="10" s="1"/>
  <c r="J764" i="10"/>
  <c r="H764" i="10"/>
  <c r="F764" i="10"/>
  <c r="E764" i="10"/>
  <c r="D764" i="10"/>
  <c r="B764" i="10"/>
  <c r="AC763" i="10"/>
  <c r="M763" i="10"/>
  <c r="L763" i="10"/>
  <c r="A763" i="10" s="1"/>
  <c r="J763" i="10"/>
  <c r="H763" i="10"/>
  <c r="G763" i="10"/>
  <c r="F763" i="10"/>
  <c r="E763" i="10"/>
  <c r="B763" i="10"/>
  <c r="AC762" i="10"/>
  <c r="M762" i="10"/>
  <c r="L762" i="10"/>
  <c r="A762" i="10" s="1"/>
  <c r="J762" i="10"/>
  <c r="H762" i="10"/>
  <c r="F762" i="10"/>
  <c r="E762" i="10"/>
  <c r="B762" i="10"/>
  <c r="AC761" i="10"/>
  <c r="M761" i="10"/>
  <c r="L761" i="10"/>
  <c r="A761" i="10" s="1"/>
  <c r="J761" i="10"/>
  <c r="H761" i="10"/>
  <c r="G761" i="10"/>
  <c r="F761" i="10"/>
  <c r="E761" i="10"/>
  <c r="AC760" i="10"/>
  <c r="L760" i="10"/>
  <c r="A760" i="10" s="1"/>
  <c r="J760" i="10"/>
  <c r="I760" i="10"/>
  <c r="H760" i="10"/>
  <c r="F760" i="10"/>
  <c r="E760" i="10"/>
  <c r="AC759" i="10"/>
  <c r="M759" i="10"/>
  <c r="L759" i="10"/>
  <c r="A759" i="10" s="1"/>
  <c r="J759" i="10"/>
  <c r="H759" i="10"/>
  <c r="F759" i="10"/>
  <c r="E759" i="10"/>
  <c r="AC758" i="10"/>
  <c r="M758" i="10"/>
  <c r="L758" i="10"/>
  <c r="A758" i="10" s="1"/>
  <c r="J758" i="10"/>
  <c r="H758" i="10"/>
  <c r="F758" i="10"/>
  <c r="E758" i="10"/>
  <c r="D758" i="10"/>
  <c r="B758" i="10"/>
  <c r="AB751" i="10"/>
  <c r="T751" i="10"/>
  <c r="L757" i="10"/>
  <c r="A757" i="10" s="1"/>
  <c r="J757" i="10"/>
  <c r="H757" i="10"/>
  <c r="F757" i="10"/>
  <c r="E757" i="10"/>
  <c r="B757" i="10"/>
  <c r="AC756" i="10"/>
  <c r="M756" i="10"/>
  <c r="L756" i="10"/>
  <c r="A756" i="10" s="1"/>
  <c r="K756" i="10"/>
  <c r="J756" i="10"/>
  <c r="I756" i="10"/>
  <c r="H756" i="10"/>
  <c r="G756" i="10"/>
  <c r="F756" i="10"/>
  <c r="E756" i="10"/>
  <c r="B756" i="10"/>
  <c r="AC755" i="10"/>
  <c r="M755" i="10"/>
  <c r="L755" i="10"/>
  <c r="A755" i="10" s="1"/>
  <c r="H755" i="10"/>
  <c r="F755" i="10"/>
  <c r="E755" i="10"/>
  <c r="Y751" i="10"/>
  <c r="AC754" i="10"/>
  <c r="L754" i="10"/>
  <c r="A754" i="10" s="1"/>
  <c r="H754" i="10"/>
  <c r="F754" i="10"/>
  <c r="E754" i="10"/>
  <c r="B754" i="10"/>
  <c r="AA751" i="10"/>
  <c r="AC753" i="10"/>
  <c r="M753" i="10"/>
  <c r="L753" i="10"/>
  <c r="A753" i="10" s="1"/>
  <c r="J753" i="10"/>
  <c r="H753" i="10"/>
  <c r="F753" i="10"/>
  <c r="E753" i="10"/>
  <c r="Z751" i="10"/>
  <c r="X751" i="10"/>
  <c r="W751" i="10"/>
  <c r="U751" i="10"/>
  <c r="M752" i="10"/>
  <c r="L752" i="10"/>
  <c r="A752" i="10" s="1"/>
  <c r="J752" i="10"/>
  <c r="H752" i="10"/>
  <c r="F752" i="10"/>
  <c r="E752" i="10"/>
  <c r="V751" i="10"/>
  <c r="Q751" i="10"/>
  <c r="M751" i="10"/>
  <c r="L751" i="10"/>
  <c r="A751" i="10" s="1"/>
  <c r="J751" i="10"/>
  <c r="H751" i="10"/>
  <c r="F751" i="10"/>
  <c r="E751" i="10"/>
  <c r="B751" i="10"/>
  <c r="AC750" i="10"/>
  <c r="M750" i="10"/>
  <c r="L750" i="10"/>
  <c r="A750" i="10" s="1"/>
  <c r="I750" i="10"/>
  <c r="D750" i="10"/>
  <c r="AC749" i="10"/>
  <c r="M749" i="10"/>
  <c r="L749" i="10"/>
  <c r="A749" i="10" s="1"/>
  <c r="K749" i="10"/>
  <c r="J749" i="10"/>
  <c r="I749" i="10"/>
  <c r="D749" i="10"/>
  <c r="AC748" i="10"/>
  <c r="L748" i="10"/>
  <c r="A748" i="10" s="1"/>
  <c r="J748" i="10"/>
  <c r="I748" i="10"/>
  <c r="H748" i="10"/>
  <c r="F748" i="10"/>
  <c r="E748" i="10"/>
  <c r="D748" i="10"/>
  <c r="B748" i="10"/>
  <c r="AC747" i="10"/>
  <c r="L747" i="10"/>
  <c r="A747" i="10" s="1"/>
  <c r="K747" i="10"/>
  <c r="I747" i="10"/>
  <c r="H747" i="10"/>
  <c r="E747" i="10"/>
  <c r="D747" i="10"/>
  <c r="C747" i="10"/>
  <c r="B747" i="10"/>
  <c r="AC746" i="10"/>
  <c r="L746" i="10"/>
  <c r="A746" i="10" s="1"/>
  <c r="K746" i="10"/>
  <c r="I746" i="10"/>
  <c r="F746" i="10"/>
  <c r="D746" i="10"/>
  <c r="B746" i="10"/>
  <c r="AC745" i="10"/>
  <c r="M745" i="10"/>
  <c r="L745" i="10"/>
  <c r="A745" i="10" s="1"/>
  <c r="I745" i="10"/>
  <c r="D745" i="10"/>
  <c r="C745" i="10"/>
  <c r="B745" i="10"/>
  <c r="AC744" i="10"/>
  <c r="M744" i="10"/>
  <c r="L744" i="10"/>
  <c r="A744" i="10" s="1"/>
  <c r="J744" i="10"/>
  <c r="I744" i="10"/>
  <c r="F744" i="10"/>
  <c r="D744" i="10"/>
  <c r="B744" i="10"/>
  <c r="AC743" i="10"/>
  <c r="L743" i="10"/>
  <c r="A743" i="10" s="1"/>
  <c r="J743" i="10"/>
  <c r="I743" i="10"/>
  <c r="D743" i="10"/>
  <c r="B743" i="10"/>
  <c r="AC742" i="10"/>
  <c r="M742" i="10"/>
  <c r="L742" i="10"/>
  <c r="A742" i="10" s="1"/>
  <c r="J742" i="10"/>
  <c r="I742" i="10"/>
  <c r="E742" i="10"/>
  <c r="D742" i="10"/>
  <c r="B742" i="10"/>
  <c r="AC741" i="10"/>
  <c r="L741" i="10"/>
  <c r="A741" i="10" s="1"/>
  <c r="I741" i="10"/>
  <c r="H741" i="10"/>
  <c r="D741" i="10"/>
  <c r="AC740" i="10"/>
  <c r="M740" i="10"/>
  <c r="L740" i="10"/>
  <c r="A740" i="10" s="1"/>
  <c r="K740" i="10"/>
  <c r="J740" i="10"/>
  <c r="I740" i="10"/>
  <c r="D740" i="10"/>
  <c r="B740" i="10"/>
  <c r="AC739" i="10"/>
  <c r="L739" i="10"/>
  <c r="A739" i="10" s="1"/>
  <c r="J739" i="10"/>
  <c r="I739" i="10"/>
  <c r="F739" i="10"/>
  <c r="D739" i="10"/>
  <c r="B739" i="10"/>
  <c r="AC738" i="10"/>
  <c r="L738" i="10"/>
  <c r="A738" i="10" s="1"/>
  <c r="I738" i="10"/>
  <c r="F738" i="10"/>
  <c r="D738" i="10"/>
  <c r="AC737" i="10"/>
  <c r="M737" i="10"/>
  <c r="L737" i="10"/>
  <c r="A737" i="10" s="1"/>
  <c r="J737" i="10"/>
  <c r="I737" i="10"/>
  <c r="F737" i="10"/>
  <c r="D737" i="10"/>
  <c r="AC736" i="10"/>
  <c r="L736" i="10"/>
  <c r="A736" i="10" s="1"/>
  <c r="J736" i="10"/>
  <c r="I736" i="10"/>
  <c r="F736" i="10"/>
  <c r="D736" i="10"/>
  <c r="B736" i="10"/>
  <c r="Y729" i="10"/>
  <c r="AC735" i="10"/>
  <c r="L735" i="10"/>
  <c r="A735" i="10" s="1"/>
  <c r="J735" i="10"/>
  <c r="I735" i="10"/>
  <c r="F735" i="10"/>
  <c r="D735" i="10"/>
  <c r="B735" i="10"/>
  <c r="AC734" i="10"/>
  <c r="M734" i="10"/>
  <c r="L734" i="10"/>
  <c r="A734" i="10" s="1"/>
  <c r="I734" i="10"/>
  <c r="F734" i="10"/>
  <c r="E734" i="10"/>
  <c r="D734" i="10"/>
  <c r="AC733" i="10"/>
  <c r="L733" i="10"/>
  <c r="A733" i="10" s="1"/>
  <c r="K733" i="10"/>
  <c r="J733" i="10"/>
  <c r="I733" i="10"/>
  <c r="F733" i="10"/>
  <c r="D733" i="10"/>
  <c r="V729" i="10"/>
  <c r="AC732" i="10"/>
  <c r="L732" i="10"/>
  <c r="A732" i="10" s="1"/>
  <c r="J732" i="10"/>
  <c r="I732" i="10"/>
  <c r="H732" i="10"/>
  <c r="F732" i="10"/>
  <c r="E732" i="10"/>
  <c r="D732" i="10"/>
  <c r="B732" i="10"/>
  <c r="X729" i="10"/>
  <c r="AC731" i="10"/>
  <c r="M731" i="10"/>
  <c r="L731" i="10"/>
  <c r="A731" i="10" s="1"/>
  <c r="K731" i="10"/>
  <c r="I731" i="10"/>
  <c r="F731" i="10"/>
  <c r="D731" i="10"/>
  <c r="B731" i="10"/>
  <c r="AB729" i="10"/>
  <c r="Z729" i="10"/>
  <c r="W729" i="10"/>
  <c r="U729" i="10"/>
  <c r="AC730" i="10"/>
  <c r="M730" i="10"/>
  <c r="L730" i="10"/>
  <c r="A730" i="10" s="1"/>
  <c r="I730" i="10"/>
  <c r="F730" i="10"/>
  <c r="E730" i="10"/>
  <c r="D730" i="10"/>
  <c r="AA729" i="10"/>
  <c r="Q729" i="10"/>
  <c r="M729" i="10"/>
  <c r="L729" i="10"/>
  <c r="A729" i="10" s="1"/>
  <c r="J729" i="10"/>
  <c r="I729" i="10"/>
  <c r="F729" i="10"/>
  <c r="D729" i="10"/>
  <c r="AC728" i="10"/>
  <c r="L728" i="10"/>
  <c r="A728" i="10" s="1"/>
  <c r="K728" i="10"/>
  <c r="H728" i="10"/>
  <c r="G728" i="10"/>
  <c r="F728" i="10"/>
  <c r="C728" i="10"/>
  <c r="AC727" i="10"/>
  <c r="M727" i="10"/>
  <c r="L727" i="10"/>
  <c r="A727" i="10" s="1"/>
  <c r="K727" i="10"/>
  <c r="J727" i="10"/>
  <c r="H727" i="10"/>
  <c r="G727" i="10"/>
  <c r="F727" i="10"/>
  <c r="C727" i="10"/>
  <c r="B727" i="10"/>
  <c r="AC726" i="10"/>
  <c r="L726" i="10"/>
  <c r="A726" i="10" s="1"/>
  <c r="K726" i="10"/>
  <c r="J726" i="10"/>
  <c r="H726" i="10"/>
  <c r="G726" i="10"/>
  <c r="F726" i="10"/>
  <c r="E726" i="10"/>
  <c r="D726" i="10"/>
  <c r="C726" i="10"/>
  <c r="AC725" i="10"/>
  <c r="L725" i="10"/>
  <c r="A725" i="10" s="1"/>
  <c r="K725" i="10"/>
  <c r="F725" i="10"/>
  <c r="D725" i="10"/>
  <c r="C725" i="10"/>
  <c r="B725" i="10"/>
  <c r="AC724" i="10"/>
  <c r="L724" i="10"/>
  <c r="A724" i="10" s="1"/>
  <c r="K724" i="10"/>
  <c r="F724" i="10"/>
  <c r="D724" i="10"/>
  <c r="C724" i="10"/>
  <c r="B724" i="10"/>
  <c r="AC723" i="10"/>
  <c r="L723" i="10"/>
  <c r="A723" i="10" s="1"/>
  <c r="K723" i="10"/>
  <c r="J723" i="10"/>
  <c r="G723" i="10"/>
  <c r="F723" i="10"/>
  <c r="E723" i="10"/>
  <c r="D723" i="10"/>
  <c r="C723" i="10"/>
  <c r="AC722" i="10"/>
  <c r="L722" i="10"/>
  <c r="A722" i="10" s="1"/>
  <c r="K722" i="10"/>
  <c r="J722" i="10"/>
  <c r="H722" i="10"/>
  <c r="G722" i="10"/>
  <c r="F722" i="10"/>
  <c r="E722" i="10"/>
  <c r="D722" i="10"/>
  <c r="C722" i="10"/>
  <c r="AC721" i="10"/>
  <c r="L721" i="10"/>
  <c r="A721" i="10" s="1"/>
  <c r="K721" i="10"/>
  <c r="H721" i="10"/>
  <c r="F721" i="10"/>
  <c r="D721" i="10"/>
  <c r="C721" i="10"/>
  <c r="AC720" i="10"/>
  <c r="L720" i="10"/>
  <c r="A720" i="10" s="1"/>
  <c r="K720" i="10"/>
  <c r="H720" i="10"/>
  <c r="F720" i="10"/>
  <c r="D720" i="10"/>
  <c r="C720" i="10"/>
  <c r="AC719" i="10"/>
  <c r="L719" i="10"/>
  <c r="A719" i="10" s="1"/>
  <c r="K719" i="10"/>
  <c r="H719" i="10"/>
  <c r="F719" i="10"/>
  <c r="D719" i="10"/>
  <c r="C719" i="10"/>
  <c r="AC718" i="10"/>
  <c r="M718" i="10"/>
  <c r="L718" i="10"/>
  <c r="A718" i="10" s="1"/>
  <c r="K718" i="10"/>
  <c r="J718" i="10"/>
  <c r="H718" i="10"/>
  <c r="G718" i="10"/>
  <c r="F718" i="10"/>
  <c r="E718" i="10"/>
  <c r="D718" i="10"/>
  <c r="C718" i="10"/>
  <c r="AC717" i="10"/>
  <c r="L717" i="10"/>
  <c r="A717" i="10" s="1"/>
  <c r="K717" i="10"/>
  <c r="H717" i="10"/>
  <c r="G717" i="10"/>
  <c r="F717" i="10"/>
  <c r="D717" i="10"/>
  <c r="C717" i="10"/>
  <c r="AC716" i="10"/>
  <c r="L716" i="10"/>
  <c r="A716" i="10" s="1"/>
  <c r="K716" i="10"/>
  <c r="J716" i="10"/>
  <c r="H716" i="10"/>
  <c r="F716" i="10"/>
  <c r="D716" i="10"/>
  <c r="C716" i="10"/>
  <c r="AC715" i="10"/>
  <c r="L715" i="10"/>
  <c r="A715" i="10" s="1"/>
  <c r="K715" i="10"/>
  <c r="H715" i="10"/>
  <c r="F715" i="10"/>
  <c r="D715" i="10"/>
  <c r="C715" i="10"/>
  <c r="AC714" i="10"/>
  <c r="L714" i="10"/>
  <c r="A714" i="10" s="1"/>
  <c r="K714" i="10"/>
  <c r="H714" i="10"/>
  <c r="F714" i="10"/>
  <c r="D714" i="10"/>
  <c r="C714" i="10"/>
  <c r="V707" i="10"/>
  <c r="AC713" i="10"/>
  <c r="M713" i="10"/>
  <c r="L713" i="10"/>
  <c r="A713" i="10" s="1"/>
  <c r="K713" i="10"/>
  <c r="H713" i="10"/>
  <c r="F713" i="10"/>
  <c r="E713" i="10"/>
  <c r="C713" i="10"/>
  <c r="B713" i="10"/>
  <c r="AC712" i="10"/>
  <c r="L712" i="10"/>
  <c r="A712" i="10" s="1"/>
  <c r="K712" i="10"/>
  <c r="H712" i="10"/>
  <c r="F712" i="10"/>
  <c r="D712" i="10"/>
  <c r="C712" i="10"/>
  <c r="AC711" i="10"/>
  <c r="L711" i="10"/>
  <c r="A711" i="10" s="1"/>
  <c r="K711" i="10"/>
  <c r="H711" i="10"/>
  <c r="F711" i="10"/>
  <c r="C711" i="10"/>
  <c r="B711" i="10"/>
  <c r="AA707" i="10"/>
  <c r="AC710" i="10"/>
  <c r="L710" i="10"/>
  <c r="A710" i="10" s="1"/>
  <c r="K710" i="10"/>
  <c r="H710" i="10"/>
  <c r="F710" i="10"/>
  <c r="D710" i="10"/>
  <c r="C710" i="10"/>
  <c r="B710" i="10"/>
  <c r="U707" i="10"/>
  <c r="L709" i="10"/>
  <c r="A709" i="10" s="1"/>
  <c r="K709" i="10"/>
  <c r="J709" i="10"/>
  <c r="H709" i="10"/>
  <c r="G709" i="10"/>
  <c r="F709" i="10"/>
  <c r="E709" i="10"/>
  <c r="D709" i="10"/>
  <c r="C709" i="10"/>
  <c r="AB707" i="10"/>
  <c r="Z707" i="10"/>
  <c r="Y707" i="10"/>
  <c r="W707" i="10"/>
  <c r="AC708" i="10"/>
  <c r="L708" i="10"/>
  <c r="A708" i="10" s="1"/>
  <c r="K708" i="10"/>
  <c r="F708" i="10"/>
  <c r="D708" i="10"/>
  <c r="C708" i="10"/>
  <c r="X707" i="10"/>
  <c r="Q707" i="10"/>
  <c r="L707" i="10"/>
  <c r="A707" i="10" s="1"/>
  <c r="K707" i="10"/>
  <c r="F707" i="10"/>
  <c r="C707" i="10"/>
  <c r="AC706" i="10"/>
  <c r="M706" i="10"/>
  <c r="L706" i="10"/>
  <c r="A706" i="10" s="1"/>
  <c r="J706" i="10"/>
  <c r="H706" i="10"/>
  <c r="F706" i="10"/>
  <c r="E706" i="10"/>
  <c r="B706" i="10"/>
  <c r="AC705" i="10"/>
  <c r="L705" i="10"/>
  <c r="A705" i="10" s="1"/>
  <c r="J705" i="10"/>
  <c r="H705" i="10"/>
  <c r="E705" i="10"/>
  <c r="D705" i="10"/>
  <c r="AC704" i="10"/>
  <c r="L704" i="10"/>
  <c r="A704" i="10" s="1"/>
  <c r="J704" i="10"/>
  <c r="H704" i="10"/>
  <c r="E704" i="10"/>
  <c r="B704" i="10"/>
  <c r="AC703" i="10"/>
  <c r="L703" i="10"/>
  <c r="A703" i="10" s="1"/>
  <c r="J703" i="10"/>
  <c r="H703" i="10"/>
  <c r="E703" i="10"/>
  <c r="AC702" i="10"/>
  <c r="L702" i="10"/>
  <c r="A702" i="10" s="1"/>
  <c r="J702" i="10"/>
  <c r="H702" i="10"/>
  <c r="E702" i="10"/>
  <c r="B702" i="10"/>
  <c r="AC701" i="10"/>
  <c r="L701" i="10"/>
  <c r="A701" i="10" s="1"/>
  <c r="J701" i="10"/>
  <c r="H701" i="10"/>
  <c r="F701" i="10"/>
  <c r="E701" i="10"/>
  <c r="B701" i="10"/>
  <c r="AC700" i="10"/>
  <c r="L700" i="10"/>
  <c r="A700" i="10" s="1"/>
  <c r="J700" i="10"/>
  <c r="H700" i="10"/>
  <c r="F700" i="10"/>
  <c r="E700" i="10"/>
  <c r="AC699" i="10"/>
  <c r="M699" i="10"/>
  <c r="L699" i="10"/>
  <c r="A699" i="10" s="1"/>
  <c r="J699" i="10"/>
  <c r="H699" i="10"/>
  <c r="F699" i="10"/>
  <c r="E699" i="10"/>
  <c r="AC698" i="10"/>
  <c r="L698" i="10"/>
  <c r="A698" i="10" s="1"/>
  <c r="H698" i="10"/>
  <c r="F698" i="10"/>
  <c r="E698" i="10"/>
  <c r="B698" i="10"/>
  <c r="AC697" i="10"/>
  <c r="M697" i="10"/>
  <c r="L697" i="10"/>
  <c r="A697" i="10" s="1"/>
  <c r="H697" i="10"/>
  <c r="F697" i="10"/>
  <c r="E697" i="10"/>
  <c r="B697" i="10"/>
  <c r="AC696" i="10"/>
  <c r="L696" i="10"/>
  <c r="A696" i="10" s="1"/>
  <c r="H696" i="10"/>
  <c r="F696" i="10"/>
  <c r="E696" i="10"/>
  <c r="B696" i="10"/>
  <c r="AC695" i="10"/>
  <c r="L695" i="10"/>
  <c r="A695" i="10" s="1"/>
  <c r="J695" i="10"/>
  <c r="H695" i="10"/>
  <c r="E695" i="10"/>
  <c r="D695" i="10"/>
  <c r="B695" i="10"/>
  <c r="AC694" i="10"/>
  <c r="L694" i="10"/>
  <c r="A694" i="10" s="1"/>
  <c r="J694" i="10"/>
  <c r="H694" i="10"/>
  <c r="E694" i="10"/>
  <c r="D694" i="10"/>
  <c r="B694" i="10"/>
  <c r="AC693" i="10"/>
  <c r="L693" i="10"/>
  <c r="A693" i="10" s="1"/>
  <c r="J693" i="10"/>
  <c r="H693" i="10"/>
  <c r="E693" i="10"/>
  <c r="D693" i="10"/>
  <c r="B693" i="10"/>
  <c r="AC692" i="10"/>
  <c r="L692" i="10"/>
  <c r="A692" i="10" s="1"/>
  <c r="J692" i="10"/>
  <c r="H692" i="10"/>
  <c r="E692" i="10"/>
  <c r="B692" i="10"/>
  <c r="AA685" i="10"/>
  <c r="AC691" i="10"/>
  <c r="L691" i="10"/>
  <c r="A691" i="10" s="1"/>
  <c r="J691" i="10"/>
  <c r="H691" i="10"/>
  <c r="E691" i="10"/>
  <c r="D691" i="10"/>
  <c r="B691" i="10"/>
  <c r="AC690" i="10"/>
  <c r="L690" i="10"/>
  <c r="A690" i="10" s="1"/>
  <c r="J690" i="10"/>
  <c r="I690" i="10"/>
  <c r="H690" i="10"/>
  <c r="F690" i="10"/>
  <c r="E690" i="10"/>
  <c r="B690" i="10"/>
  <c r="AC689" i="10"/>
  <c r="L689" i="10"/>
  <c r="A689" i="10" s="1"/>
  <c r="J689" i="10"/>
  <c r="H689" i="10"/>
  <c r="E689" i="10"/>
  <c r="B689" i="10"/>
  <c r="X685" i="10"/>
  <c r="AC688" i="10"/>
  <c r="L688" i="10"/>
  <c r="A688" i="10" s="1"/>
  <c r="J688" i="10"/>
  <c r="H688" i="10"/>
  <c r="E688" i="10"/>
  <c r="B688" i="10"/>
  <c r="Z685" i="10"/>
  <c r="AC687" i="10"/>
  <c r="L687" i="10"/>
  <c r="A687" i="10" s="1"/>
  <c r="H687" i="10"/>
  <c r="E687" i="10"/>
  <c r="B687" i="10"/>
  <c r="AB685" i="10"/>
  <c r="Y685" i="10"/>
  <c r="W685" i="10"/>
  <c r="V685" i="10"/>
  <c r="AC686" i="10"/>
  <c r="L686" i="10"/>
  <c r="A686" i="10" s="1"/>
  <c r="J686" i="10"/>
  <c r="I686" i="10"/>
  <c r="H686" i="10"/>
  <c r="F686" i="10"/>
  <c r="E686" i="10"/>
  <c r="D686" i="10"/>
  <c r="U685" i="10"/>
  <c r="Q685" i="10"/>
  <c r="L685" i="10"/>
  <c r="A685" i="10" s="1"/>
  <c r="J685" i="10"/>
  <c r="I685" i="10"/>
  <c r="H685" i="10"/>
  <c r="G685" i="10"/>
  <c r="E685" i="10"/>
  <c r="B685" i="10"/>
  <c r="AC684" i="10"/>
  <c r="M684" i="10"/>
  <c r="L684" i="10"/>
  <c r="A684" i="10" s="1"/>
  <c r="J684" i="10"/>
  <c r="H684" i="10"/>
  <c r="G684" i="10"/>
  <c r="B684" i="10"/>
  <c r="AC683" i="10"/>
  <c r="L683" i="10"/>
  <c r="A683" i="10" s="1"/>
  <c r="K683" i="10"/>
  <c r="J683" i="10"/>
  <c r="H683" i="10"/>
  <c r="G683" i="10"/>
  <c r="B683" i="10"/>
  <c r="AC682" i="10"/>
  <c r="M682" i="10"/>
  <c r="L682" i="10"/>
  <c r="A682" i="10" s="1"/>
  <c r="J682" i="10"/>
  <c r="H682" i="10"/>
  <c r="G682" i="10"/>
  <c r="B682" i="10"/>
  <c r="AC681" i="10"/>
  <c r="M681" i="10"/>
  <c r="L681" i="10"/>
  <c r="A681" i="10" s="1"/>
  <c r="J681" i="10"/>
  <c r="G681" i="10"/>
  <c r="D681" i="10"/>
  <c r="C681" i="10"/>
  <c r="B681" i="10"/>
  <c r="AC680" i="10"/>
  <c r="L680" i="10"/>
  <c r="A680" i="10" s="1"/>
  <c r="J680" i="10"/>
  <c r="G680" i="10"/>
  <c r="F680" i="10"/>
  <c r="D680" i="10"/>
  <c r="B680" i="10"/>
  <c r="AC679" i="10"/>
  <c r="M679" i="10"/>
  <c r="L679" i="10"/>
  <c r="A679" i="10" s="1"/>
  <c r="J679" i="10"/>
  <c r="H679" i="10"/>
  <c r="G679" i="10"/>
  <c r="D679" i="10"/>
  <c r="B679" i="10"/>
  <c r="AC678" i="10"/>
  <c r="L678" i="10"/>
  <c r="A678" i="10" s="1"/>
  <c r="J678" i="10"/>
  <c r="H678" i="10"/>
  <c r="G678" i="10"/>
  <c r="D678" i="10"/>
  <c r="B678" i="10"/>
  <c r="AC677" i="10"/>
  <c r="M677" i="10"/>
  <c r="L677" i="10"/>
  <c r="A677" i="10" s="1"/>
  <c r="J677" i="10"/>
  <c r="H677" i="10"/>
  <c r="G677" i="10"/>
  <c r="F677" i="10"/>
  <c r="D677" i="10"/>
  <c r="C677" i="10"/>
  <c r="B677" i="10"/>
  <c r="AC676" i="10"/>
  <c r="L676" i="10"/>
  <c r="A676" i="10" s="1"/>
  <c r="J676" i="10"/>
  <c r="H676" i="10"/>
  <c r="G676" i="10"/>
  <c r="D676" i="10"/>
  <c r="B676" i="10"/>
  <c r="AC675" i="10"/>
  <c r="L675" i="10"/>
  <c r="A675" i="10" s="1"/>
  <c r="J675" i="10"/>
  <c r="H675" i="10"/>
  <c r="G675" i="10"/>
  <c r="F675" i="10"/>
  <c r="D675" i="10"/>
  <c r="C675" i="10"/>
  <c r="B675" i="10"/>
  <c r="AC674" i="10"/>
  <c r="M674" i="10"/>
  <c r="L674" i="10"/>
  <c r="A674" i="10" s="1"/>
  <c r="J674" i="10"/>
  <c r="I674" i="10"/>
  <c r="H674" i="10"/>
  <c r="G674" i="10"/>
  <c r="D674" i="10"/>
  <c r="C674" i="10"/>
  <c r="B674" i="10"/>
  <c r="AC673" i="10"/>
  <c r="L673" i="10"/>
  <c r="A673" i="10" s="1"/>
  <c r="J673" i="10"/>
  <c r="H673" i="10"/>
  <c r="G673" i="10"/>
  <c r="F673" i="10"/>
  <c r="B673" i="10"/>
  <c r="AC672" i="10"/>
  <c r="L672" i="10"/>
  <c r="A672" i="10" s="1"/>
  <c r="J672" i="10"/>
  <c r="H672" i="10"/>
  <c r="G672" i="10"/>
  <c r="D672" i="10"/>
  <c r="B672" i="10"/>
  <c r="AC671" i="10"/>
  <c r="L671" i="10"/>
  <c r="A671" i="10" s="1"/>
  <c r="J671" i="10"/>
  <c r="H671" i="10"/>
  <c r="G671" i="10"/>
  <c r="F671" i="10"/>
  <c r="D671" i="10"/>
  <c r="B671" i="10"/>
  <c r="AC670" i="10"/>
  <c r="L670" i="10"/>
  <c r="A670" i="10" s="1"/>
  <c r="J670" i="10"/>
  <c r="H670" i="10"/>
  <c r="G670" i="10"/>
  <c r="B670" i="10"/>
  <c r="X663" i="10"/>
  <c r="AC669" i="10"/>
  <c r="M669" i="10"/>
  <c r="L669" i="10"/>
  <c r="A669" i="10" s="1"/>
  <c r="J669" i="10"/>
  <c r="H669" i="10"/>
  <c r="G669" i="10"/>
  <c r="F669" i="10"/>
  <c r="D669" i="10"/>
  <c r="B669" i="10"/>
  <c r="AC668" i="10"/>
  <c r="L668" i="10"/>
  <c r="A668" i="10" s="1"/>
  <c r="J668" i="10"/>
  <c r="I668" i="10"/>
  <c r="G668" i="10"/>
  <c r="D668" i="10"/>
  <c r="B668" i="10"/>
  <c r="AC667" i="10"/>
  <c r="L667" i="10"/>
  <c r="A667" i="10" s="1"/>
  <c r="J667" i="10"/>
  <c r="H667" i="10"/>
  <c r="G667" i="10"/>
  <c r="F667" i="10"/>
  <c r="D667" i="10"/>
  <c r="B667" i="10"/>
  <c r="U663" i="10"/>
  <c r="L666" i="10"/>
  <c r="A666" i="10" s="1"/>
  <c r="J666" i="10"/>
  <c r="H666" i="10"/>
  <c r="G666" i="10"/>
  <c r="F666" i="10"/>
  <c r="D666" i="10"/>
  <c r="B666" i="10"/>
  <c r="W663" i="10"/>
  <c r="AC665" i="10"/>
  <c r="M665" i="10"/>
  <c r="L665" i="10"/>
  <c r="A665" i="10" s="1"/>
  <c r="J665" i="10"/>
  <c r="I665" i="10"/>
  <c r="H665" i="10"/>
  <c r="G665" i="10"/>
  <c r="F665" i="10"/>
  <c r="D665" i="10"/>
  <c r="B665" i="10"/>
  <c r="AB663" i="10"/>
  <c r="AA663" i="10"/>
  <c r="Y663" i="10"/>
  <c r="V663" i="10"/>
  <c r="AC664" i="10"/>
  <c r="L664" i="10"/>
  <c r="A664" i="10" s="1"/>
  <c r="J664" i="10"/>
  <c r="H664" i="10"/>
  <c r="G664" i="10"/>
  <c r="F664" i="10"/>
  <c r="D664" i="10"/>
  <c r="B664" i="10"/>
  <c r="Z663" i="10"/>
  <c r="Q663" i="10"/>
  <c r="L663" i="10"/>
  <c r="A663" i="10" s="1"/>
  <c r="J663" i="10"/>
  <c r="I663" i="10"/>
  <c r="G663" i="10"/>
  <c r="E663" i="10"/>
  <c r="D663" i="10"/>
  <c r="B663" i="10"/>
  <c r="AC662" i="10"/>
  <c r="M662" i="10"/>
  <c r="L662" i="10"/>
  <c r="A662" i="10" s="1"/>
  <c r="K662" i="10"/>
  <c r="I662" i="10"/>
  <c r="F662" i="10"/>
  <c r="D662" i="10"/>
  <c r="B662" i="10"/>
  <c r="AC661" i="10"/>
  <c r="M661" i="10"/>
  <c r="L661" i="10"/>
  <c r="A661" i="10" s="1"/>
  <c r="I661" i="10"/>
  <c r="F661" i="10"/>
  <c r="D661" i="10"/>
  <c r="C661" i="10"/>
  <c r="AC660" i="10"/>
  <c r="L660" i="10"/>
  <c r="A660" i="10" s="1"/>
  <c r="K660" i="10"/>
  <c r="I660" i="10"/>
  <c r="H660" i="10"/>
  <c r="F660" i="10"/>
  <c r="D660" i="10"/>
  <c r="C660" i="10"/>
  <c r="B660" i="10"/>
  <c r="AC659" i="10"/>
  <c r="M659" i="10"/>
  <c r="L659" i="10"/>
  <c r="A659" i="10" s="1"/>
  <c r="I659" i="10"/>
  <c r="H659" i="10"/>
  <c r="F659" i="10"/>
  <c r="D659" i="10"/>
  <c r="C659" i="10"/>
  <c r="AC658" i="10"/>
  <c r="M658" i="10"/>
  <c r="L658" i="10"/>
  <c r="A658" i="10" s="1"/>
  <c r="I658" i="10"/>
  <c r="F658" i="10"/>
  <c r="E658" i="10"/>
  <c r="D658" i="10"/>
  <c r="B658" i="10"/>
  <c r="AC657" i="10"/>
  <c r="L657" i="10"/>
  <c r="A657" i="10" s="1"/>
  <c r="I657" i="10"/>
  <c r="H657" i="10"/>
  <c r="F657" i="10"/>
  <c r="D657" i="10"/>
  <c r="B657" i="10"/>
  <c r="AC656" i="10"/>
  <c r="M656" i="10"/>
  <c r="L656" i="10"/>
  <c r="A656" i="10" s="1"/>
  <c r="J656" i="10"/>
  <c r="I656" i="10"/>
  <c r="F656" i="10"/>
  <c r="D656" i="10"/>
  <c r="C656" i="10"/>
  <c r="B656" i="10"/>
  <c r="AC655" i="10"/>
  <c r="L655" i="10"/>
  <c r="A655" i="10" s="1"/>
  <c r="K655" i="10"/>
  <c r="J655" i="10"/>
  <c r="I655" i="10"/>
  <c r="H655" i="10"/>
  <c r="F655" i="10"/>
  <c r="D655" i="10"/>
  <c r="AC654" i="10"/>
  <c r="M654" i="10"/>
  <c r="L654" i="10"/>
  <c r="A654" i="10" s="1"/>
  <c r="K654" i="10"/>
  <c r="J654" i="10"/>
  <c r="I654" i="10"/>
  <c r="F654" i="10"/>
  <c r="D654" i="10"/>
  <c r="B654" i="10"/>
  <c r="AC653" i="10"/>
  <c r="M653" i="10"/>
  <c r="L653" i="10"/>
  <c r="A653" i="10" s="1"/>
  <c r="K653" i="10"/>
  <c r="J653" i="10"/>
  <c r="I653" i="10"/>
  <c r="H653" i="10"/>
  <c r="F653" i="10"/>
  <c r="D653" i="10"/>
  <c r="B653" i="10"/>
  <c r="AC652" i="10"/>
  <c r="M652" i="10"/>
  <c r="L652" i="10"/>
  <c r="A652" i="10" s="1"/>
  <c r="K652" i="10"/>
  <c r="I652" i="10"/>
  <c r="F652" i="10"/>
  <c r="D652" i="10"/>
  <c r="B652" i="10"/>
  <c r="AC651" i="10"/>
  <c r="M651" i="10"/>
  <c r="L651" i="10"/>
  <c r="A651" i="10" s="1"/>
  <c r="J651" i="10"/>
  <c r="I651" i="10"/>
  <c r="F651" i="10"/>
  <c r="E651" i="10"/>
  <c r="D651" i="10"/>
  <c r="C651" i="10"/>
  <c r="B651" i="10"/>
  <c r="AL650" i="10"/>
  <c r="AH650" i="10"/>
  <c r="AC650" i="10"/>
  <c r="M650" i="10"/>
  <c r="L650" i="10"/>
  <c r="A650" i="10" s="1"/>
  <c r="J650" i="10"/>
  <c r="I650" i="10"/>
  <c r="H650" i="10"/>
  <c r="D650" i="10"/>
  <c r="C650" i="10"/>
  <c r="AL649" i="10"/>
  <c r="AC649" i="10"/>
  <c r="M649" i="10"/>
  <c r="L649" i="10"/>
  <c r="A649" i="10" s="1"/>
  <c r="I649" i="10"/>
  <c r="H649" i="10"/>
  <c r="F649" i="10"/>
  <c r="D649" i="10"/>
  <c r="B649" i="10"/>
  <c r="AL648" i="10"/>
  <c r="AH648" i="10"/>
  <c r="AC648" i="10"/>
  <c r="L648" i="10"/>
  <c r="A648" i="10" s="1"/>
  <c r="J648" i="10"/>
  <c r="I648" i="10"/>
  <c r="D648" i="10"/>
  <c r="C648" i="10"/>
  <c r="B648" i="10"/>
  <c r="AL647" i="10"/>
  <c r="AH647" i="10"/>
  <c r="AC647" i="10"/>
  <c r="M647" i="10"/>
  <c r="L647" i="10"/>
  <c r="A647" i="10" s="1"/>
  <c r="K647" i="10"/>
  <c r="I647" i="10"/>
  <c r="H647" i="10"/>
  <c r="D647" i="10"/>
  <c r="AL646" i="10"/>
  <c r="AH646" i="10"/>
  <c r="AC646" i="10"/>
  <c r="L646" i="10"/>
  <c r="A646" i="10" s="1"/>
  <c r="J646" i="10"/>
  <c r="I646" i="10"/>
  <c r="D646" i="10"/>
  <c r="C646" i="10"/>
  <c r="B646" i="10"/>
  <c r="AL645" i="10"/>
  <c r="U641" i="10"/>
  <c r="M645" i="10"/>
  <c r="L645" i="10"/>
  <c r="A645" i="10" s="1"/>
  <c r="I645" i="10"/>
  <c r="H645" i="10"/>
  <c r="F645" i="10"/>
  <c r="D645" i="10"/>
  <c r="B645" i="10"/>
  <c r="AL644" i="10"/>
  <c r="AH644" i="10"/>
  <c r="AB641" i="10"/>
  <c r="T641" i="10"/>
  <c r="M644" i="10"/>
  <c r="L644" i="10"/>
  <c r="A644" i="10" s="1"/>
  <c r="J644" i="10"/>
  <c r="I644" i="10"/>
  <c r="H644" i="10"/>
  <c r="E644" i="10"/>
  <c r="D644" i="10"/>
  <c r="C644" i="10"/>
  <c r="B644" i="10"/>
  <c r="AL643" i="10"/>
  <c r="AH643" i="10"/>
  <c r="AC643" i="10"/>
  <c r="M643" i="10"/>
  <c r="L643" i="10"/>
  <c r="A643" i="10" s="1"/>
  <c r="K643" i="10"/>
  <c r="J643" i="10"/>
  <c r="I643" i="10"/>
  <c r="H643" i="10"/>
  <c r="F643" i="10"/>
  <c r="D643" i="10"/>
  <c r="AL642" i="10"/>
  <c r="AH642" i="10"/>
  <c r="AA641" i="10"/>
  <c r="Z641" i="10"/>
  <c r="AC642" i="10"/>
  <c r="M642" i="10"/>
  <c r="L642" i="10"/>
  <c r="A642" i="10" s="1"/>
  <c r="I642" i="10"/>
  <c r="F642" i="10"/>
  <c r="D642" i="10"/>
  <c r="B642" i="10"/>
  <c r="AL641" i="10"/>
  <c r="Y641" i="10"/>
  <c r="X641" i="10"/>
  <c r="W641" i="10"/>
  <c r="V641" i="10"/>
  <c r="Q641" i="10"/>
  <c r="L641" i="10"/>
  <c r="A641" i="10" s="1"/>
  <c r="J641" i="10"/>
  <c r="I641" i="10"/>
  <c r="F641" i="10"/>
  <c r="D641" i="10"/>
  <c r="AL640" i="10"/>
  <c r="AC640" i="10"/>
  <c r="M640" i="10"/>
  <c r="L640" i="10"/>
  <c r="A640" i="10" s="1"/>
  <c r="K640" i="10"/>
  <c r="J640" i="10"/>
  <c r="H640" i="10"/>
  <c r="G640" i="10"/>
  <c r="F640" i="10"/>
  <c r="E640" i="10"/>
  <c r="D640" i="10"/>
  <c r="C640" i="10"/>
  <c r="AL639" i="10"/>
  <c r="AH639" i="10"/>
  <c r="AC639" i="10"/>
  <c r="M639" i="10"/>
  <c r="L639" i="10"/>
  <c r="A639" i="10" s="1"/>
  <c r="K639" i="10"/>
  <c r="J639" i="10"/>
  <c r="H639" i="10"/>
  <c r="F639" i="10"/>
  <c r="C639" i="10"/>
  <c r="AL638" i="10"/>
  <c r="AH638" i="10"/>
  <c r="AC638" i="10"/>
  <c r="M638" i="10"/>
  <c r="L638" i="10"/>
  <c r="A638" i="10" s="1"/>
  <c r="K638" i="10"/>
  <c r="H638" i="10"/>
  <c r="G638" i="10"/>
  <c r="F638" i="10"/>
  <c r="C638" i="10"/>
  <c r="B638" i="10"/>
  <c r="AL637" i="10"/>
  <c r="AH637" i="10"/>
  <c r="AC637" i="10"/>
  <c r="M637" i="10"/>
  <c r="L637" i="10"/>
  <c r="A637" i="10" s="1"/>
  <c r="K637" i="10"/>
  <c r="G637" i="10"/>
  <c r="F637" i="10"/>
  <c r="D637" i="10"/>
  <c r="C637" i="10"/>
  <c r="AL636" i="10"/>
  <c r="AC636" i="10"/>
  <c r="M636" i="10"/>
  <c r="L636" i="10"/>
  <c r="A636" i="10" s="1"/>
  <c r="K636" i="10"/>
  <c r="H636" i="10"/>
  <c r="G636" i="10"/>
  <c r="F636" i="10"/>
  <c r="D636" i="10"/>
  <c r="C636" i="10"/>
  <c r="AL635" i="10"/>
  <c r="AH635" i="10"/>
  <c r="AC635" i="10"/>
  <c r="M635" i="10"/>
  <c r="L635" i="10"/>
  <c r="A635" i="10" s="1"/>
  <c r="K635" i="10"/>
  <c r="J635" i="10"/>
  <c r="H635" i="10"/>
  <c r="F635" i="10"/>
  <c r="C635" i="10"/>
  <c r="B635" i="10"/>
  <c r="AL634" i="10"/>
  <c r="AH634" i="10"/>
  <c r="AC634" i="10"/>
  <c r="M634" i="10"/>
  <c r="L634" i="10"/>
  <c r="A634" i="10" s="1"/>
  <c r="K634" i="10"/>
  <c r="J634" i="10"/>
  <c r="H634" i="10"/>
  <c r="F634" i="10"/>
  <c r="D634" i="10"/>
  <c r="C634" i="10"/>
  <c r="AC633" i="10"/>
  <c r="M633" i="10"/>
  <c r="L633" i="10"/>
  <c r="A633" i="10" s="1"/>
  <c r="K633" i="10"/>
  <c r="H633" i="10"/>
  <c r="F633" i="10"/>
  <c r="D633" i="10"/>
  <c r="C633" i="10"/>
  <c r="B633" i="10"/>
  <c r="AL632" i="10"/>
  <c r="AC632" i="10"/>
  <c r="M632" i="10"/>
  <c r="L632" i="10"/>
  <c r="A632" i="10" s="1"/>
  <c r="K632" i="10"/>
  <c r="J632" i="10"/>
  <c r="H632" i="10"/>
  <c r="G632" i="10"/>
  <c r="F632" i="10"/>
  <c r="C632" i="10"/>
  <c r="AL631" i="10"/>
  <c r="AH631" i="10"/>
  <c r="AC631" i="10"/>
  <c r="M631" i="10"/>
  <c r="L631" i="10"/>
  <c r="A631" i="10" s="1"/>
  <c r="K631" i="10"/>
  <c r="J631" i="10"/>
  <c r="H631" i="10"/>
  <c r="G631" i="10"/>
  <c r="F631" i="10"/>
  <c r="E631" i="10"/>
  <c r="D631" i="10"/>
  <c r="C631" i="10"/>
  <c r="AL630" i="10"/>
  <c r="AH630" i="10"/>
  <c r="M630" i="10"/>
  <c r="L630" i="10"/>
  <c r="A630" i="10" s="1"/>
  <c r="K630" i="10"/>
  <c r="H630" i="10"/>
  <c r="G630" i="10"/>
  <c r="F630" i="10"/>
  <c r="D630" i="10"/>
  <c r="C630" i="10"/>
  <c r="B630" i="10"/>
  <c r="AL629" i="10"/>
  <c r="AH629" i="10"/>
  <c r="M629" i="10"/>
  <c r="L629" i="10"/>
  <c r="A629" i="10" s="1"/>
  <c r="K629" i="10"/>
  <c r="H629" i="10"/>
  <c r="F629" i="10"/>
  <c r="C629" i="10"/>
  <c r="AL628" i="10"/>
  <c r="M628" i="10"/>
  <c r="L628" i="10"/>
  <c r="A628" i="10" s="1"/>
  <c r="K628" i="10"/>
  <c r="H628" i="10"/>
  <c r="F628" i="10"/>
  <c r="C628" i="10"/>
  <c r="B628" i="10"/>
  <c r="AL627" i="10"/>
  <c r="AH627" i="10"/>
  <c r="M627" i="10"/>
  <c r="L627" i="10"/>
  <c r="A627" i="10" s="1"/>
  <c r="K627" i="10"/>
  <c r="J627" i="10"/>
  <c r="H627" i="10"/>
  <c r="F627" i="10"/>
  <c r="C627" i="10"/>
  <c r="AL626" i="10"/>
  <c r="AH626" i="10"/>
  <c r="M626" i="10"/>
  <c r="L626" i="10"/>
  <c r="A626" i="10" s="1"/>
  <c r="K626" i="10"/>
  <c r="J626" i="10"/>
  <c r="F626" i="10"/>
  <c r="D626" i="10"/>
  <c r="C626" i="10"/>
  <c r="AL625" i="10"/>
  <c r="AH625" i="10"/>
  <c r="M625" i="10"/>
  <c r="L625" i="10"/>
  <c r="A625" i="10" s="1"/>
  <c r="K625" i="10"/>
  <c r="I625" i="10"/>
  <c r="H625" i="10"/>
  <c r="G625" i="10"/>
  <c r="F625" i="10"/>
  <c r="D625" i="10"/>
  <c r="C625" i="10"/>
  <c r="AL624" i="10"/>
  <c r="M624" i="10"/>
  <c r="L624" i="10"/>
  <c r="A624" i="10" s="1"/>
  <c r="K624" i="10"/>
  <c r="J624" i="10"/>
  <c r="F624" i="10"/>
  <c r="E624" i="10"/>
  <c r="D624" i="10"/>
  <c r="C624" i="10"/>
  <c r="B624" i="10"/>
  <c r="AL623" i="10"/>
  <c r="AH623" i="10"/>
  <c r="M623" i="10"/>
  <c r="L623" i="10"/>
  <c r="A623" i="10" s="1"/>
  <c r="K623" i="10"/>
  <c r="H623" i="10"/>
  <c r="F623" i="10"/>
  <c r="C623" i="10"/>
  <c r="AL622" i="10"/>
  <c r="AH622" i="10"/>
  <c r="T619" i="10"/>
  <c r="M622" i="10"/>
  <c r="L622" i="10"/>
  <c r="A622" i="10" s="1"/>
  <c r="K622" i="10"/>
  <c r="J622" i="10"/>
  <c r="H622" i="10"/>
  <c r="F622" i="10"/>
  <c r="C622" i="10"/>
  <c r="B622" i="10"/>
  <c r="AL621" i="10"/>
  <c r="AH621" i="10"/>
  <c r="M621" i="10"/>
  <c r="L621" i="10"/>
  <c r="A621" i="10" s="1"/>
  <c r="K621" i="10"/>
  <c r="J621" i="10"/>
  <c r="H621" i="10"/>
  <c r="F621" i="10"/>
  <c r="D621" i="10"/>
  <c r="C621" i="10"/>
  <c r="AL620" i="10"/>
  <c r="AH620" i="10"/>
  <c r="AA619" i="10"/>
  <c r="M620" i="10"/>
  <c r="L620" i="10"/>
  <c r="A620" i="10" s="1"/>
  <c r="K620" i="10"/>
  <c r="H620" i="10"/>
  <c r="F620" i="10"/>
  <c r="E620" i="10"/>
  <c r="C620" i="10"/>
  <c r="AL619" i="10"/>
  <c r="AB619" i="10"/>
  <c r="Q619" i="10"/>
  <c r="M619" i="10"/>
  <c r="L619" i="10"/>
  <c r="A619" i="10" s="1"/>
  <c r="K619" i="10"/>
  <c r="J619" i="10"/>
  <c r="H619" i="10"/>
  <c r="F619" i="10"/>
  <c r="D619" i="10"/>
  <c r="C619" i="10"/>
  <c r="B619" i="10"/>
  <c r="AL618" i="10"/>
  <c r="AH618" i="10"/>
  <c r="L618" i="10"/>
  <c r="A618" i="10" s="1"/>
  <c r="J618" i="10"/>
  <c r="G618" i="10"/>
  <c r="D618" i="10"/>
  <c r="C618" i="10"/>
  <c r="B618" i="10"/>
  <c r="AL617" i="10"/>
  <c r="AH617" i="10"/>
  <c r="L617" i="10"/>
  <c r="A617" i="10" s="1"/>
  <c r="J617" i="10"/>
  <c r="H617" i="10"/>
  <c r="G617" i="10"/>
  <c r="D617" i="10"/>
  <c r="B617" i="10"/>
  <c r="AL616" i="10"/>
  <c r="AH616" i="10"/>
  <c r="L616" i="10"/>
  <c r="A616" i="10" s="1"/>
  <c r="J616" i="10"/>
  <c r="G616" i="10"/>
  <c r="D616" i="10"/>
  <c r="B616" i="10"/>
  <c r="L615" i="10"/>
  <c r="A615" i="10" s="1"/>
  <c r="J615" i="10"/>
  <c r="H615" i="10"/>
  <c r="G615" i="10"/>
  <c r="F615" i="10"/>
  <c r="D615" i="10"/>
  <c r="B615" i="10"/>
  <c r="AL614" i="10"/>
  <c r="AH614" i="10"/>
  <c r="L614" i="10"/>
  <c r="A614" i="10" s="1"/>
  <c r="J614" i="10"/>
  <c r="G614" i="10"/>
  <c r="C614" i="10"/>
  <c r="B614" i="10"/>
  <c r="AL613" i="10"/>
  <c r="AH613" i="10"/>
  <c r="M613" i="10"/>
  <c r="L613" i="10"/>
  <c r="A613" i="10" s="1"/>
  <c r="J613" i="10"/>
  <c r="G613" i="10"/>
  <c r="D613" i="10"/>
  <c r="B613" i="10"/>
  <c r="AL612" i="10"/>
  <c r="AH612" i="10"/>
  <c r="L612" i="10"/>
  <c r="A612" i="10" s="1"/>
  <c r="J612" i="10"/>
  <c r="G612" i="10"/>
  <c r="D612" i="10"/>
  <c r="B612" i="10"/>
  <c r="AL611" i="10"/>
  <c r="AH611" i="10"/>
  <c r="L611" i="10"/>
  <c r="A611" i="10" s="1"/>
  <c r="J611" i="10"/>
  <c r="G611" i="10"/>
  <c r="D611" i="10"/>
  <c r="C611" i="10"/>
  <c r="B611" i="10"/>
  <c r="AL610" i="10"/>
  <c r="AH610" i="10"/>
  <c r="AC610" i="10"/>
  <c r="L610" i="10"/>
  <c r="A610" i="10" s="1"/>
  <c r="J610" i="10"/>
  <c r="I610" i="10"/>
  <c r="H610" i="10"/>
  <c r="G610" i="10"/>
  <c r="D610" i="10"/>
  <c r="C610" i="10"/>
  <c r="B610" i="10"/>
  <c r="AL609" i="10"/>
  <c r="AH609" i="10"/>
  <c r="L609" i="10"/>
  <c r="A609" i="10" s="1"/>
  <c r="J609" i="10"/>
  <c r="H609" i="10"/>
  <c r="G609" i="10"/>
  <c r="D609" i="10"/>
  <c r="B609" i="10"/>
  <c r="AL608" i="10"/>
  <c r="AH608" i="10"/>
  <c r="AC608" i="10"/>
  <c r="L608" i="10"/>
  <c r="A608" i="10" s="1"/>
  <c r="K608" i="10"/>
  <c r="J608" i="10"/>
  <c r="I608" i="10"/>
  <c r="H608" i="10"/>
  <c r="G608" i="10"/>
  <c r="C608" i="10"/>
  <c r="B608" i="10"/>
  <c r="AL607" i="10"/>
  <c r="AC607" i="10"/>
  <c r="L607" i="10"/>
  <c r="A607" i="10" s="1"/>
  <c r="J607" i="10"/>
  <c r="G607" i="10"/>
  <c r="C607" i="10"/>
  <c r="B607" i="10"/>
  <c r="AL606" i="10"/>
  <c r="AH606" i="10"/>
  <c r="L606" i="10"/>
  <c r="A606" i="10" s="1"/>
  <c r="J606" i="10"/>
  <c r="H606" i="10"/>
  <c r="G606" i="10"/>
  <c r="E606" i="10"/>
  <c r="D606" i="10"/>
  <c r="B606" i="10"/>
  <c r="AL605" i="10"/>
  <c r="AH605" i="10"/>
  <c r="L605" i="10"/>
  <c r="A605" i="10" s="1"/>
  <c r="K605" i="10"/>
  <c r="J605" i="10"/>
  <c r="I605" i="10"/>
  <c r="G605" i="10"/>
  <c r="F605" i="10"/>
  <c r="D605" i="10"/>
  <c r="C605" i="10"/>
  <c r="B605" i="10"/>
  <c r="AL604" i="10"/>
  <c r="AH604" i="10"/>
  <c r="L604" i="10"/>
  <c r="A604" i="10" s="1"/>
  <c r="J604" i="10"/>
  <c r="H604" i="10"/>
  <c r="G604" i="10"/>
  <c r="F604" i="10"/>
  <c r="C604" i="10"/>
  <c r="B604" i="10"/>
  <c r="AL603" i="10"/>
  <c r="AH603" i="10"/>
  <c r="M603" i="10"/>
  <c r="L603" i="10"/>
  <c r="A603" i="10" s="1"/>
  <c r="J603" i="10"/>
  <c r="H603" i="10"/>
  <c r="G603" i="10"/>
  <c r="F603" i="10"/>
  <c r="B603" i="10"/>
  <c r="AL602" i="10"/>
  <c r="AH602" i="10"/>
  <c r="L602" i="10"/>
  <c r="A602" i="10" s="1"/>
  <c r="K602" i="10"/>
  <c r="J602" i="10"/>
  <c r="I602" i="10"/>
  <c r="G602" i="10"/>
  <c r="F602" i="10"/>
  <c r="D602" i="10"/>
  <c r="C602" i="10"/>
  <c r="B602" i="10"/>
  <c r="AL601" i="10"/>
  <c r="AH601" i="10"/>
  <c r="L601" i="10"/>
  <c r="A601" i="10" s="1"/>
  <c r="J601" i="10"/>
  <c r="H601" i="10"/>
  <c r="G601" i="10"/>
  <c r="F601" i="10"/>
  <c r="C601" i="10"/>
  <c r="B601" i="10"/>
  <c r="AL600" i="10"/>
  <c r="AH600" i="10"/>
  <c r="Z597" i="10"/>
  <c r="L600" i="10"/>
  <c r="A600" i="10" s="1"/>
  <c r="J600" i="10"/>
  <c r="G600" i="10"/>
  <c r="F600" i="10"/>
  <c r="D600" i="10"/>
  <c r="B600" i="10"/>
  <c r="AL599" i="10"/>
  <c r="AH599" i="10"/>
  <c r="M599" i="10"/>
  <c r="L599" i="10"/>
  <c r="A599" i="10" s="1"/>
  <c r="J599" i="10"/>
  <c r="H599" i="10"/>
  <c r="G599" i="10"/>
  <c r="F599" i="10"/>
  <c r="D599" i="10"/>
  <c r="C599" i="10"/>
  <c r="B599" i="10"/>
  <c r="AL598" i="10"/>
  <c r="AH598" i="10"/>
  <c r="Y597" i="10"/>
  <c r="L598" i="10"/>
  <c r="A598" i="10" s="1"/>
  <c r="K598" i="10"/>
  <c r="J598" i="10"/>
  <c r="H598" i="10"/>
  <c r="G598" i="10"/>
  <c r="D598" i="10"/>
  <c r="C598" i="10"/>
  <c r="B598" i="10"/>
  <c r="Q597" i="10"/>
  <c r="L597" i="10"/>
  <c r="A597" i="10" s="1"/>
  <c r="J597" i="10"/>
  <c r="I597" i="10"/>
  <c r="G597" i="10"/>
  <c r="F597" i="10"/>
  <c r="D597" i="10"/>
  <c r="B597" i="10"/>
  <c r="AL596" i="10"/>
  <c r="AH596" i="10"/>
  <c r="M596" i="10"/>
  <c r="L596" i="10"/>
  <c r="A596" i="10" s="1"/>
  <c r="K596" i="10"/>
  <c r="J596" i="10"/>
  <c r="I596" i="10"/>
  <c r="F596" i="10"/>
  <c r="D596" i="10"/>
  <c r="B596" i="10"/>
  <c r="AL595" i="10"/>
  <c r="AH595" i="10"/>
  <c r="M595" i="10"/>
  <c r="L595" i="10"/>
  <c r="A595" i="10" s="1"/>
  <c r="J595" i="10"/>
  <c r="I595" i="10"/>
  <c r="H595" i="10"/>
  <c r="F595" i="10"/>
  <c r="E595" i="10"/>
  <c r="D595" i="10"/>
  <c r="C595" i="10"/>
  <c r="B595" i="10"/>
  <c r="AL594" i="10"/>
  <c r="L594" i="10"/>
  <c r="A594" i="10" s="1"/>
  <c r="K594" i="10"/>
  <c r="J594" i="10"/>
  <c r="I594" i="10"/>
  <c r="D594" i="10"/>
  <c r="B594" i="10"/>
  <c r="AL593" i="10"/>
  <c r="AH593" i="10"/>
  <c r="M593" i="10"/>
  <c r="L593" i="10"/>
  <c r="A593" i="10" s="1"/>
  <c r="J593" i="10"/>
  <c r="I593" i="10"/>
  <c r="H593" i="10"/>
  <c r="F593" i="10"/>
  <c r="E593" i="10"/>
  <c r="D593" i="10"/>
  <c r="C593" i="10"/>
  <c r="B593" i="10"/>
  <c r="AL592" i="10"/>
  <c r="AH592" i="10"/>
  <c r="M592" i="10"/>
  <c r="L592" i="10"/>
  <c r="A592" i="10" s="1"/>
  <c r="K592" i="10"/>
  <c r="J592" i="10"/>
  <c r="I592" i="10"/>
  <c r="F592" i="10"/>
  <c r="D592" i="10"/>
  <c r="AL591" i="10"/>
  <c r="AH591" i="10"/>
  <c r="L591" i="10"/>
  <c r="A591" i="10" s="1"/>
  <c r="K591" i="10"/>
  <c r="J591" i="10"/>
  <c r="I591" i="10"/>
  <c r="H591" i="10"/>
  <c r="D591" i="10"/>
  <c r="B591" i="10"/>
  <c r="AL590" i="10"/>
  <c r="AC590" i="10"/>
  <c r="L590" i="10"/>
  <c r="A590" i="10" s="1"/>
  <c r="K590" i="10"/>
  <c r="I590" i="10"/>
  <c r="E590" i="10"/>
  <c r="D590" i="10"/>
  <c r="C590" i="10"/>
  <c r="B590" i="10"/>
  <c r="AL589" i="10"/>
  <c r="AH589" i="10"/>
  <c r="M589" i="10"/>
  <c r="L589" i="10"/>
  <c r="A589" i="10" s="1"/>
  <c r="K589" i="10"/>
  <c r="J589" i="10"/>
  <c r="I589" i="10"/>
  <c r="F589" i="10"/>
  <c r="D589" i="10"/>
  <c r="AL588" i="10"/>
  <c r="AH588" i="10"/>
  <c r="L588" i="10"/>
  <c r="A588" i="10" s="1"/>
  <c r="K588" i="10"/>
  <c r="J588" i="10"/>
  <c r="I588" i="10"/>
  <c r="F588" i="10"/>
  <c r="E588" i="10"/>
  <c r="D588" i="10"/>
  <c r="B588" i="10"/>
  <c r="AL587" i="10"/>
  <c r="AH587" i="10"/>
  <c r="L587" i="10"/>
  <c r="A587" i="10" s="1"/>
  <c r="K587" i="10"/>
  <c r="J587" i="10"/>
  <c r="I587" i="10"/>
  <c r="F587" i="10"/>
  <c r="D587" i="10"/>
  <c r="AL586" i="10"/>
  <c r="AH586" i="10"/>
  <c r="L586" i="10"/>
  <c r="A586" i="10" s="1"/>
  <c r="K586" i="10"/>
  <c r="I586" i="10"/>
  <c r="F586" i="10"/>
  <c r="E586" i="10"/>
  <c r="D586" i="10"/>
  <c r="B586" i="10"/>
  <c r="AL585" i="10"/>
  <c r="AH585" i="10"/>
  <c r="M585" i="10"/>
  <c r="L585" i="10"/>
  <c r="A585" i="10" s="1"/>
  <c r="K585" i="10"/>
  <c r="J585" i="10"/>
  <c r="I585" i="10"/>
  <c r="H585" i="10"/>
  <c r="F585" i="10"/>
  <c r="E585" i="10"/>
  <c r="D585" i="10"/>
  <c r="C585" i="10"/>
  <c r="B585" i="10"/>
  <c r="AL584" i="10"/>
  <c r="AH584" i="10"/>
  <c r="L584" i="10"/>
  <c r="A584" i="10" s="1"/>
  <c r="J584" i="10"/>
  <c r="I584" i="10"/>
  <c r="H584" i="10"/>
  <c r="F584" i="10"/>
  <c r="E584" i="10"/>
  <c r="D584" i="10"/>
  <c r="B584" i="10"/>
  <c r="AL583" i="10"/>
  <c r="AH583" i="10"/>
  <c r="AC583" i="10"/>
  <c r="L583" i="10"/>
  <c r="A583" i="10" s="1"/>
  <c r="K583" i="10"/>
  <c r="J583" i="10"/>
  <c r="I583" i="10"/>
  <c r="F583" i="10"/>
  <c r="D583" i="10"/>
  <c r="C583" i="10"/>
  <c r="AL582" i="10"/>
  <c r="L582" i="10"/>
  <c r="A582" i="10" s="1"/>
  <c r="J582" i="10"/>
  <c r="I582" i="10"/>
  <c r="H582" i="10"/>
  <c r="F582" i="10"/>
  <c r="E582" i="10"/>
  <c r="D582" i="10"/>
  <c r="C582" i="10"/>
  <c r="B582" i="10"/>
  <c r="AL581" i="10"/>
  <c r="AH581" i="10"/>
  <c r="L581" i="10"/>
  <c r="A581" i="10" s="1"/>
  <c r="K581" i="10"/>
  <c r="J581" i="10"/>
  <c r="I581" i="10"/>
  <c r="F581" i="10"/>
  <c r="D581" i="10"/>
  <c r="B581" i="10"/>
  <c r="AL580" i="10"/>
  <c r="AH580" i="10"/>
  <c r="AC580" i="10"/>
  <c r="L580" i="10"/>
  <c r="A580" i="10" s="1"/>
  <c r="I580" i="10"/>
  <c r="H580" i="10"/>
  <c r="F580" i="10"/>
  <c r="E580" i="10"/>
  <c r="D580" i="10"/>
  <c r="B580" i="10"/>
  <c r="M579" i="10"/>
  <c r="L579" i="10"/>
  <c r="A579" i="10" s="1"/>
  <c r="K579" i="10"/>
  <c r="I579" i="10"/>
  <c r="H579" i="10"/>
  <c r="F579" i="10"/>
  <c r="E579" i="10"/>
  <c r="D579" i="10"/>
  <c r="AL578" i="10"/>
  <c r="L578" i="10"/>
  <c r="A578" i="10" s="1"/>
  <c r="K578" i="10"/>
  <c r="J578" i="10"/>
  <c r="I578" i="10"/>
  <c r="H578" i="10"/>
  <c r="E578" i="10"/>
  <c r="D578" i="10"/>
  <c r="C578" i="10"/>
  <c r="B578" i="10"/>
  <c r="AL577" i="10"/>
  <c r="AH577" i="10"/>
  <c r="L577" i="10"/>
  <c r="A577" i="10" s="1"/>
  <c r="I577" i="10"/>
  <c r="H577" i="10"/>
  <c r="F577" i="10"/>
  <c r="E577" i="10"/>
  <c r="D577" i="10"/>
  <c r="C577" i="10"/>
  <c r="B577" i="10"/>
  <c r="AL576" i="10"/>
  <c r="AH576" i="10"/>
  <c r="AB575" i="10"/>
  <c r="W575" i="10"/>
  <c r="V575" i="10"/>
  <c r="L576" i="10"/>
  <c r="A576" i="10" s="1"/>
  <c r="K576" i="10"/>
  <c r="J576" i="10"/>
  <c r="I576" i="10"/>
  <c r="E576" i="10"/>
  <c r="D576" i="10"/>
  <c r="B576" i="10"/>
  <c r="AL575" i="10"/>
  <c r="Q575" i="10"/>
  <c r="M575" i="10"/>
  <c r="L575" i="10"/>
  <c r="A575" i="10" s="1"/>
  <c r="I575" i="10"/>
  <c r="H575" i="10"/>
  <c r="F575" i="10"/>
  <c r="E575" i="10"/>
  <c r="D575" i="10"/>
  <c r="C575" i="10"/>
  <c r="AL574" i="10"/>
  <c r="AH574" i="10"/>
  <c r="L574" i="10"/>
  <c r="A574" i="10" s="1"/>
  <c r="K574" i="10"/>
  <c r="J574" i="10"/>
  <c r="H574" i="10"/>
  <c r="G574" i="10"/>
  <c r="F574" i="10"/>
  <c r="E574" i="10"/>
  <c r="C574" i="10"/>
  <c r="AL573" i="10"/>
  <c r="L573" i="10"/>
  <c r="A573" i="10" s="1"/>
  <c r="K573" i="10"/>
  <c r="H573" i="10"/>
  <c r="G573" i="10"/>
  <c r="F573" i="10"/>
  <c r="D573" i="10"/>
  <c r="C573" i="10"/>
  <c r="AL572" i="10"/>
  <c r="AH572" i="10"/>
  <c r="L572" i="10"/>
  <c r="A572" i="10" s="1"/>
  <c r="K572" i="10"/>
  <c r="H572" i="10"/>
  <c r="F572" i="10"/>
  <c r="E572" i="10"/>
  <c r="D572" i="10"/>
  <c r="C572" i="10"/>
  <c r="B572" i="10"/>
  <c r="AL571" i="10"/>
  <c r="AH571" i="10"/>
  <c r="M571" i="10"/>
  <c r="L571" i="10"/>
  <c r="A571" i="10" s="1"/>
  <c r="K571" i="10"/>
  <c r="H571" i="10"/>
  <c r="G571" i="10"/>
  <c r="F571" i="10"/>
  <c r="D571" i="10"/>
  <c r="C571" i="10"/>
  <c r="B571" i="10"/>
  <c r="AL570" i="10"/>
  <c r="AH570" i="10"/>
  <c r="L570" i="10"/>
  <c r="A570" i="10" s="1"/>
  <c r="K570" i="10"/>
  <c r="H570" i="10"/>
  <c r="G570" i="10"/>
  <c r="F570" i="10"/>
  <c r="E570" i="10"/>
  <c r="C570" i="10"/>
  <c r="AL569" i="10"/>
  <c r="L569" i="10"/>
  <c r="A569" i="10" s="1"/>
  <c r="K569" i="10"/>
  <c r="J569" i="10"/>
  <c r="H569" i="10"/>
  <c r="G569" i="10"/>
  <c r="F569" i="10"/>
  <c r="E569" i="10"/>
  <c r="D569" i="10"/>
  <c r="C569" i="10"/>
  <c r="AL568" i="10"/>
  <c r="AH568" i="10"/>
  <c r="L568" i="10"/>
  <c r="A568" i="10" s="1"/>
  <c r="K568" i="10"/>
  <c r="J568" i="10"/>
  <c r="H568" i="10"/>
  <c r="G568" i="10"/>
  <c r="F568" i="10"/>
  <c r="E568" i="10"/>
  <c r="D568" i="10"/>
  <c r="C568" i="10"/>
  <c r="AL567" i="10"/>
  <c r="AH567" i="10"/>
  <c r="L567" i="10"/>
  <c r="A567" i="10" s="1"/>
  <c r="K567" i="10"/>
  <c r="J567" i="10"/>
  <c r="H567" i="10"/>
  <c r="G567" i="10"/>
  <c r="F567" i="10"/>
  <c r="E567" i="10"/>
  <c r="C567" i="10"/>
  <c r="AL566" i="10"/>
  <c r="AH566" i="10"/>
  <c r="L566" i="10"/>
  <c r="A566" i="10" s="1"/>
  <c r="K566" i="10"/>
  <c r="J566" i="10"/>
  <c r="H566" i="10"/>
  <c r="F566" i="10"/>
  <c r="D566" i="10"/>
  <c r="C566" i="10"/>
  <c r="B566" i="10"/>
  <c r="AL565" i="10"/>
  <c r="L565" i="10"/>
  <c r="A565" i="10" s="1"/>
  <c r="K565" i="10"/>
  <c r="J565" i="10"/>
  <c r="G565" i="10"/>
  <c r="F565" i="10"/>
  <c r="E565" i="10"/>
  <c r="D565" i="10"/>
  <c r="C565" i="10"/>
  <c r="AL564" i="10"/>
  <c r="AH564" i="10"/>
  <c r="L564" i="10"/>
  <c r="A564" i="10" s="1"/>
  <c r="K564" i="10"/>
  <c r="J564" i="10"/>
  <c r="I564" i="10"/>
  <c r="H564" i="10"/>
  <c r="F564" i="10"/>
  <c r="D564" i="10"/>
  <c r="C564" i="10"/>
  <c r="B564" i="10"/>
  <c r="AL563" i="10"/>
  <c r="AH563" i="10"/>
  <c r="AC563" i="10"/>
  <c r="L563" i="10"/>
  <c r="A563" i="10" s="1"/>
  <c r="K563" i="10"/>
  <c r="J563" i="10"/>
  <c r="H563" i="10"/>
  <c r="G563" i="10"/>
  <c r="F563" i="10"/>
  <c r="E563" i="10"/>
  <c r="D563" i="10"/>
  <c r="C563" i="10"/>
  <c r="AL562" i="10"/>
  <c r="AH562" i="10"/>
  <c r="L562" i="10"/>
  <c r="A562" i="10" s="1"/>
  <c r="K562" i="10"/>
  <c r="J562" i="10"/>
  <c r="H562" i="10"/>
  <c r="G562" i="10"/>
  <c r="F562" i="10"/>
  <c r="E562" i="10"/>
  <c r="D562" i="10"/>
  <c r="C562" i="10"/>
  <c r="B562" i="10"/>
  <c r="L561" i="10"/>
  <c r="A561" i="10" s="1"/>
  <c r="K561" i="10"/>
  <c r="J561" i="10"/>
  <c r="H561" i="10"/>
  <c r="G561" i="10"/>
  <c r="F561" i="10"/>
  <c r="E561" i="10"/>
  <c r="C561" i="10"/>
  <c r="AL560" i="10"/>
  <c r="AH560" i="10"/>
  <c r="L560" i="10"/>
  <c r="A560" i="10" s="1"/>
  <c r="K560" i="10"/>
  <c r="J560" i="10"/>
  <c r="H560" i="10"/>
  <c r="G560" i="10"/>
  <c r="F560" i="10"/>
  <c r="E560" i="10"/>
  <c r="D560" i="10"/>
  <c r="C560" i="10"/>
  <c r="AL559" i="10"/>
  <c r="AH559" i="10"/>
  <c r="L559" i="10"/>
  <c r="A559" i="10" s="1"/>
  <c r="K559" i="10"/>
  <c r="J559" i="10"/>
  <c r="H559" i="10"/>
  <c r="G559" i="10"/>
  <c r="F559" i="10"/>
  <c r="E559" i="10"/>
  <c r="D559" i="10"/>
  <c r="C559" i="10"/>
  <c r="AL558" i="10"/>
  <c r="AH558" i="10"/>
  <c r="L558" i="10"/>
  <c r="A558" i="10" s="1"/>
  <c r="K558" i="10"/>
  <c r="J558" i="10"/>
  <c r="H558" i="10"/>
  <c r="G558" i="10"/>
  <c r="F558" i="10"/>
  <c r="D558" i="10"/>
  <c r="C558" i="10"/>
  <c r="AL557" i="10"/>
  <c r="AC557" i="10"/>
  <c r="L557" i="10"/>
  <c r="A557" i="10" s="1"/>
  <c r="K557" i="10"/>
  <c r="J557" i="10"/>
  <c r="G557" i="10"/>
  <c r="F557" i="10"/>
  <c r="E557" i="10"/>
  <c r="D557" i="10"/>
  <c r="C557" i="10"/>
  <c r="AL556" i="10"/>
  <c r="AH556" i="10"/>
  <c r="L556" i="10"/>
  <c r="A556" i="10" s="1"/>
  <c r="K556" i="10"/>
  <c r="J556" i="10"/>
  <c r="H556" i="10"/>
  <c r="G556" i="10"/>
  <c r="F556" i="10"/>
  <c r="E556" i="10"/>
  <c r="D556" i="10"/>
  <c r="C556" i="10"/>
  <c r="AL555" i="10"/>
  <c r="AH555" i="10"/>
  <c r="L555" i="10"/>
  <c r="A555" i="10" s="1"/>
  <c r="K555" i="10"/>
  <c r="J555" i="10"/>
  <c r="H555" i="10"/>
  <c r="G555" i="10"/>
  <c r="F555" i="10"/>
  <c r="E555" i="10"/>
  <c r="D555" i="10"/>
  <c r="C555" i="10"/>
  <c r="AL554" i="10"/>
  <c r="AH554" i="10"/>
  <c r="L554" i="10"/>
  <c r="A554" i="10" s="1"/>
  <c r="K554" i="10"/>
  <c r="J554" i="10"/>
  <c r="H554" i="10"/>
  <c r="F554" i="10"/>
  <c r="D554" i="10"/>
  <c r="C554" i="10"/>
  <c r="B554" i="10"/>
  <c r="AL553" i="10"/>
  <c r="Q553" i="10"/>
  <c r="L553" i="10"/>
  <c r="A553" i="10" s="1"/>
  <c r="K553" i="10"/>
  <c r="H553" i="10"/>
  <c r="F553" i="10"/>
  <c r="D553" i="10"/>
  <c r="C553" i="10"/>
  <c r="B553" i="10"/>
  <c r="AL552" i="10"/>
  <c r="L552" i="10"/>
  <c r="A552" i="10" s="1"/>
  <c r="J552" i="10"/>
  <c r="I552" i="10"/>
  <c r="H552" i="10"/>
  <c r="G552" i="10"/>
  <c r="F552" i="10"/>
  <c r="E552" i="10"/>
  <c r="B552" i="10"/>
  <c r="AL551" i="10"/>
  <c r="AH551" i="10"/>
  <c r="L551" i="10"/>
  <c r="A551" i="10" s="1"/>
  <c r="J551" i="10"/>
  <c r="I551" i="10"/>
  <c r="H551" i="10"/>
  <c r="F551" i="10"/>
  <c r="E551" i="10"/>
  <c r="D551" i="10"/>
  <c r="B551" i="10"/>
  <c r="AL550" i="10"/>
  <c r="AH550" i="10"/>
  <c r="M550" i="10"/>
  <c r="L550" i="10"/>
  <c r="A550" i="10" s="1"/>
  <c r="J550" i="10"/>
  <c r="H550" i="10"/>
  <c r="E550" i="10"/>
  <c r="D550" i="10"/>
  <c r="B550" i="10"/>
  <c r="AL549" i="10"/>
  <c r="AH549" i="10"/>
  <c r="L549" i="10"/>
  <c r="A549" i="10" s="1"/>
  <c r="J549" i="10"/>
  <c r="I549" i="10"/>
  <c r="H549" i="10"/>
  <c r="G549" i="10"/>
  <c r="F549" i="10"/>
  <c r="E549" i="10"/>
  <c r="B549" i="10"/>
  <c r="AL548" i="10"/>
  <c r="AH548" i="10"/>
  <c r="L548" i="10"/>
  <c r="A548" i="10" s="1"/>
  <c r="J548" i="10"/>
  <c r="H548" i="10"/>
  <c r="F548" i="10"/>
  <c r="E548" i="10"/>
  <c r="D548" i="10"/>
  <c r="B548" i="10"/>
  <c r="AL547" i="10"/>
  <c r="AH547" i="10"/>
  <c r="L547" i="10"/>
  <c r="A547" i="10" s="1"/>
  <c r="J547" i="10"/>
  <c r="I547" i="10"/>
  <c r="H547" i="10"/>
  <c r="G547" i="10"/>
  <c r="F547" i="10"/>
  <c r="E547" i="10"/>
  <c r="AL546" i="10"/>
  <c r="AH546" i="10"/>
  <c r="M546" i="10"/>
  <c r="L546" i="10"/>
  <c r="A546" i="10" s="1"/>
  <c r="J546" i="10"/>
  <c r="I546" i="10"/>
  <c r="H546" i="10"/>
  <c r="F546" i="10"/>
  <c r="E546" i="10"/>
  <c r="D546" i="10"/>
  <c r="B546" i="10"/>
  <c r="AL545" i="10"/>
  <c r="AH545" i="10"/>
  <c r="L545" i="10"/>
  <c r="A545" i="10" s="1"/>
  <c r="H545" i="10"/>
  <c r="G545" i="10"/>
  <c r="F545" i="10"/>
  <c r="E545" i="10"/>
  <c r="D545" i="10"/>
  <c r="B545" i="10"/>
  <c r="AL544" i="10"/>
  <c r="L544" i="10"/>
  <c r="A544" i="10" s="1"/>
  <c r="J544" i="10"/>
  <c r="H544" i="10"/>
  <c r="G544" i="10"/>
  <c r="F544" i="10"/>
  <c r="E544" i="10"/>
  <c r="D544" i="10"/>
  <c r="B544" i="10"/>
  <c r="L543" i="10"/>
  <c r="A543" i="10" s="1"/>
  <c r="J543" i="10"/>
  <c r="I543" i="10"/>
  <c r="H543" i="10"/>
  <c r="G543" i="10"/>
  <c r="F543" i="10"/>
  <c r="E543" i="10"/>
  <c r="D543" i="10"/>
  <c r="AL542" i="10"/>
  <c r="AH542" i="10"/>
  <c r="L542" i="10"/>
  <c r="A542" i="10" s="1"/>
  <c r="J542" i="10"/>
  <c r="H542" i="10"/>
  <c r="G542" i="10"/>
  <c r="F542" i="10"/>
  <c r="E542" i="10"/>
  <c r="D542" i="10"/>
  <c r="B542" i="10"/>
  <c r="AL541" i="10"/>
  <c r="AH541" i="10"/>
  <c r="L541" i="10"/>
  <c r="A541" i="10" s="1"/>
  <c r="J541" i="10"/>
  <c r="I541" i="10"/>
  <c r="H541" i="10"/>
  <c r="G541" i="10"/>
  <c r="F541" i="10"/>
  <c r="E541" i="10"/>
  <c r="D541" i="10"/>
  <c r="B541" i="10"/>
  <c r="AL540" i="10"/>
  <c r="L540" i="10"/>
  <c r="A540" i="10" s="1"/>
  <c r="I540" i="10"/>
  <c r="H540" i="10"/>
  <c r="G540" i="10"/>
  <c r="F540" i="10"/>
  <c r="E540" i="10"/>
  <c r="D540" i="10"/>
  <c r="B540" i="10"/>
  <c r="AL539" i="10"/>
  <c r="AH539" i="10"/>
  <c r="M539" i="10"/>
  <c r="L539" i="10"/>
  <c r="A539" i="10" s="1"/>
  <c r="J539" i="10"/>
  <c r="I539" i="10"/>
  <c r="H539" i="10"/>
  <c r="G539" i="10"/>
  <c r="E539" i="10"/>
  <c r="D539" i="10"/>
  <c r="B539" i="10"/>
  <c r="AL538" i="10"/>
  <c r="AH538" i="10"/>
  <c r="AC538" i="10"/>
  <c r="L538" i="10"/>
  <c r="A538" i="10" s="1"/>
  <c r="I538" i="10"/>
  <c r="H538" i="10"/>
  <c r="G538" i="10"/>
  <c r="F538" i="10"/>
  <c r="E538" i="10"/>
  <c r="D538" i="10"/>
  <c r="B538" i="10"/>
  <c r="AL537" i="10"/>
  <c r="AH537" i="10"/>
  <c r="L537" i="10"/>
  <c r="A537" i="10" s="1"/>
  <c r="J537" i="10"/>
  <c r="I537" i="10"/>
  <c r="H537" i="10"/>
  <c r="G537" i="10"/>
  <c r="F537" i="10"/>
  <c r="E537" i="10"/>
  <c r="D537" i="10"/>
  <c r="B537" i="10"/>
  <c r="AL536" i="10"/>
  <c r="M536" i="10"/>
  <c r="L536" i="10"/>
  <c r="A536" i="10" s="1"/>
  <c r="J536" i="10"/>
  <c r="I536" i="10"/>
  <c r="H536" i="10"/>
  <c r="G536" i="10"/>
  <c r="F536" i="10"/>
  <c r="E536" i="10"/>
  <c r="D536" i="10"/>
  <c r="B536" i="10"/>
  <c r="AL535" i="10"/>
  <c r="AH535" i="10"/>
  <c r="M535" i="10"/>
  <c r="L535" i="10"/>
  <c r="A535" i="10" s="1"/>
  <c r="J535" i="10"/>
  <c r="I535" i="10"/>
  <c r="H535" i="10"/>
  <c r="G535" i="10"/>
  <c r="F535" i="10"/>
  <c r="E535" i="10"/>
  <c r="D535" i="10"/>
  <c r="B535" i="10"/>
  <c r="AL534" i="10"/>
  <c r="AH534" i="10"/>
  <c r="AC534" i="10"/>
  <c r="L534" i="10"/>
  <c r="A534" i="10" s="1"/>
  <c r="J534" i="10"/>
  <c r="I534" i="10"/>
  <c r="H534" i="10"/>
  <c r="G534" i="10"/>
  <c r="F534" i="10"/>
  <c r="E534" i="10"/>
  <c r="D534" i="10"/>
  <c r="B534" i="10"/>
  <c r="AL533" i="10"/>
  <c r="AH533" i="10"/>
  <c r="AB531" i="10"/>
  <c r="L533" i="10"/>
  <c r="A533" i="10" s="1"/>
  <c r="K533" i="10"/>
  <c r="J533" i="10"/>
  <c r="I533" i="10"/>
  <c r="H533" i="10"/>
  <c r="G533" i="10"/>
  <c r="F533" i="10"/>
  <c r="E533" i="10"/>
  <c r="D533" i="10"/>
  <c r="C533" i="10"/>
  <c r="B533" i="10"/>
  <c r="AL532" i="10"/>
  <c r="AH532" i="10"/>
  <c r="M532" i="10"/>
  <c r="L532" i="10"/>
  <c r="A532" i="10" s="1"/>
  <c r="I532" i="10"/>
  <c r="H532" i="10"/>
  <c r="G532" i="10"/>
  <c r="F532" i="10"/>
  <c r="E532" i="10"/>
  <c r="D532" i="10"/>
  <c r="B532" i="10"/>
  <c r="AL531" i="10"/>
  <c r="Q531" i="10"/>
  <c r="M531" i="10"/>
  <c r="L531" i="10"/>
  <c r="A531" i="10" s="1"/>
  <c r="J531" i="10"/>
  <c r="I531" i="10"/>
  <c r="H531" i="10"/>
  <c r="G531" i="10"/>
  <c r="E531" i="10"/>
  <c r="D531" i="10"/>
  <c r="B531" i="10"/>
  <c r="AL530" i="10"/>
  <c r="AH530" i="10"/>
  <c r="L530" i="10"/>
  <c r="A530" i="10" s="1"/>
  <c r="J530" i="10"/>
  <c r="H530" i="10"/>
  <c r="G530" i="10"/>
  <c r="F530" i="10"/>
  <c r="D530" i="10"/>
  <c r="B530" i="10"/>
  <c r="AL529" i="10"/>
  <c r="AH529" i="10"/>
  <c r="L529" i="10"/>
  <c r="A529" i="10" s="1"/>
  <c r="K529" i="10"/>
  <c r="J529" i="10"/>
  <c r="I529" i="10"/>
  <c r="H529" i="10"/>
  <c r="G529" i="10"/>
  <c r="F529" i="10"/>
  <c r="D529" i="10"/>
  <c r="C529" i="10"/>
  <c r="B529" i="10"/>
  <c r="AL528" i="10"/>
  <c r="AH528" i="10"/>
  <c r="M528" i="10"/>
  <c r="L528" i="10"/>
  <c r="A528" i="10" s="1"/>
  <c r="K528" i="10"/>
  <c r="J528" i="10"/>
  <c r="H528" i="10"/>
  <c r="G528" i="10"/>
  <c r="F528" i="10"/>
  <c r="D528" i="10"/>
  <c r="C528" i="10"/>
  <c r="B528" i="10"/>
  <c r="AL527" i="10"/>
  <c r="L527" i="10"/>
  <c r="A527" i="10" s="1"/>
  <c r="K527" i="10"/>
  <c r="J527" i="10"/>
  <c r="I527" i="10"/>
  <c r="H527" i="10"/>
  <c r="G527" i="10"/>
  <c r="F527" i="10"/>
  <c r="D527" i="10"/>
  <c r="C527" i="10"/>
  <c r="B527" i="10"/>
  <c r="AL526" i="10"/>
  <c r="AH526" i="10"/>
  <c r="L526" i="10"/>
  <c r="A526" i="10" s="1"/>
  <c r="K526" i="10"/>
  <c r="J526" i="10"/>
  <c r="I526" i="10"/>
  <c r="G526" i="10"/>
  <c r="F526" i="10"/>
  <c r="D526" i="10"/>
  <c r="C526" i="10"/>
  <c r="B526" i="10"/>
  <c r="L525" i="10"/>
  <c r="A525" i="10" s="1"/>
  <c r="K525" i="10"/>
  <c r="J525" i="10"/>
  <c r="I525" i="10"/>
  <c r="H525" i="10"/>
  <c r="G525" i="10"/>
  <c r="F525" i="10"/>
  <c r="D525" i="10"/>
  <c r="C525" i="10"/>
  <c r="B525" i="10"/>
  <c r="AL524" i="10"/>
  <c r="AH524" i="10"/>
  <c r="L524" i="10"/>
  <c r="A524" i="10" s="1"/>
  <c r="K524" i="10"/>
  <c r="J524" i="10"/>
  <c r="I524" i="10"/>
  <c r="H524" i="10"/>
  <c r="G524" i="10"/>
  <c r="F524" i="10"/>
  <c r="D524" i="10"/>
  <c r="C524" i="10"/>
  <c r="B524" i="10"/>
  <c r="AL523" i="10"/>
  <c r="AH523" i="10"/>
  <c r="L523" i="10"/>
  <c r="A523" i="10" s="1"/>
  <c r="K523" i="10"/>
  <c r="J523" i="10"/>
  <c r="I523" i="10"/>
  <c r="H523" i="10"/>
  <c r="G523" i="10"/>
  <c r="F523" i="10"/>
  <c r="D523" i="10"/>
  <c r="C523" i="10"/>
  <c r="B523" i="10"/>
  <c r="AL522" i="10"/>
  <c r="AH522" i="10"/>
  <c r="L522" i="10"/>
  <c r="A522" i="10" s="1"/>
  <c r="K522" i="10"/>
  <c r="J522" i="10"/>
  <c r="I522" i="10"/>
  <c r="H522" i="10"/>
  <c r="G522" i="10"/>
  <c r="F522" i="10"/>
  <c r="D522" i="10"/>
  <c r="C522" i="10"/>
  <c r="B522" i="10"/>
  <c r="AL521" i="10"/>
  <c r="AH521" i="10"/>
  <c r="L521" i="10"/>
  <c r="A521" i="10" s="1"/>
  <c r="K521" i="10"/>
  <c r="J521" i="10"/>
  <c r="I521" i="10"/>
  <c r="H521" i="10"/>
  <c r="G521" i="10"/>
  <c r="F521" i="10"/>
  <c r="D521" i="10"/>
  <c r="C521" i="10"/>
  <c r="B521" i="10"/>
  <c r="AL520" i="10"/>
  <c r="AH520" i="10"/>
  <c r="L520" i="10"/>
  <c r="A520" i="10" s="1"/>
  <c r="J520" i="10"/>
  <c r="I520" i="10"/>
  <c r="H520" i="10"/>
  <c r="G520" i="10"/>
  <c r="F520" i="10"/>
  <c r="B520" i="10"/>
  <c r="AL519" i="10"/>
  <c r="L519" i="10"/>
  <c r="A519" i="10" s="1"/>
  <c r="K519" i="10"/>
  <c r="J519" i="10"/>
  <c r="I519" i="10"/>
  <c r="H519" i="10"/>
  <c r="G519" i="10"/>
  <c r="F519" i="10"/>
  <c r="D519" i="10"/>
  <c r="C519" i="10"/>
  <c r="B519" i="10"/>
  <c r="AL518" i="10"/>
  <c r="AH518" i="10"/>
  <c r="AC518" i="10"/>
  <c r="L518" i="10"/>
  <c r="A518" i="10" s="1"/>
  <c r="K518" i="10"/>
  <c r="J518" i="10"/>
  <c r="I518" i="10"/>
  <c r="H518" i="10"/>
  <c r="G518" i="10"/>
  <c r="F518" i="10"/>
  <c r="D518" i="10"/>
  <c r="C518" i="10"/>
  <c r="B518" i="10"/>
  <c r="AL517" i="10"/>
  <c r="AH517" i="10"/>
  <c r="M517" i="10"/>
  <c r="L517" i="10"/>
  <c r="A517" i="10" s="1"/>
  <c r="J517" i="10"/>
  <c r="I517" i="10"/>
  <c r="G517" i="10"/>
  <c r="F517" i="10"/>
  <c r="D517" i="10"/>
  <c r="B517" i="10"/>
  <c r="AL516" i="10"/>
  <c r="AH516" i="10"/>
  <c r="L516" i="10"/>
  <c r="A516" i="10" s="1"/>
  <c r="K516" i="10"/>
  <c r="J516" i="10"/>
  <c r="I516" i="10"/>
  <c r="H516" i="10"/>
  <c r="G516" i="10"/>
  <c r="F516" i="10"/>
  <c r="D516" i="10"/>
  <c r="C516" i="10"/>
  <c r="B516" i="10"/>
  <c r="AL515" i="10"/>
  <c r="AH515" i="10"/>
  <c r="L515" i="10"/>
  <c r="A515" i="10" s="1"/>
  <c r="K515" i="10"/>
  <c r="J515" i="10"/>
  <c r="I515" i="10"/>
  <c r="H515" i="10"/>
  <c r="G515" i="10"/>
  <c r="F515" i="10"/>
  <c r="D515" i="10"/>
  <c r="C515" i="10"/>
  <c r="B515" i="10"/>
  <c r="AL514" i="10"/>
  <c r="AH514" i="10"/>
  <c r="M514" i="10"/>
  <c r="L514" i="10"/>
  <c r="A514" i="10" s="1"/>
  <c r="J514" i="10"/>
  <c r="I514" i="10"/>
  <c r="H514" i="10"/>
  <c r="G514" i="10"/>
  <c r="F514" i="10"/>
  <c r="D514" i="10"/>
  <c r="B514" i="10"/>
  <c r="AL513" i="10"/>
  <c r="AH513" i="10"/>
  <c r="M513" i="10"/>
  <c r="L513" i="10"/>
  <c r="A513" i="10" s="1"/>
  <c r="K513" i="10"/>
  <c r="J513" i="10"/>
  <c r="I513" i="10"/>
  <c r="H513" i="10"/>
  <c r="G513" i="10"/>
  <c r="F513" i="10"/>
  <c r="D513" i="10"/>
  <c r="C513" i="10"/>
  <c r="B513" i="10"/>
  <c r="AL512" i="10"/>
  <c r="AH512" i="10"/>
  <c r="L512" i="10"/>
  <c r="A512" i="10" s="1"/>
  <c r="K512" i="10"/>
  <c r="J512" i="10"/>
  <c r="I512" i="10"/>
  <c r="H512" i="10"/>
  <c r="G512" i="10"/>
  <c r="F512" i="10"/>
  <c r="D512" i="10"/>
  <c r="C512" i="10"/>
  <c r="B512" i="10"/>
  <c r="AL511" i="10"/>
  <c r="AH511" i="10"/>
  <c r="L511" i="10"/>
  <c r="A511" i="10" s="1"/>
  <c r="J511" i="10"/>
  <c r="I511" i="10"/>
  <c r="H511" i="10"/>
  <c r="G511" i="10"/>
  <c r="F511" i="10"/>
  <c r="D511" i="10"/>
  <c r="B511" i="10"/>
  <c r="AL510" i="10"/>
  <c r="AH510" i="10"/>
  <c r="M510" i="10"/>
  <c r="L510" i="10"/>
  <c r="A510" i="10" s="1"/>
  <c r="K510" i="10"/>
  <c r="J510" i="10"/>
  <c r="I510" i="10"/>
  <c r="H510" i="10"/>
  <c r="G510" i="10"/>
  <c r="F510" i="10"/>
  <c r="D510" i="10"/>
  <c r="C510" i="10"/>
  <c r="B510" i="10"/>
  <c r="AL509" i="10"/>
  <c r="Q509" i="10"/>
  <c r="M509" i="10"/>
  <c r="L509" i="10"/>
  <c r="A509" i="10" s="1"/>
  <c r="K509" i="10"/>
  <c r="J509" i="10"/>
  <c r="I509" i="10"/>
  <c r="H509" i="10"/>
  <c r="G509" i="10"/>
  <c r="F509" i="10"/>
  <c r="D509" i="10"/>
  <c r="C509" i="10"/>
  <c r="B509" i="10"/>
  <c r="AL508" i="10"/>
  <c r="AH508" i="10"/>
  <c r="L508" i="10"/>
  <c r="A508" i="10" s="1"/>
  <c r="J508" i="10"/>
  <c r="I508" i="10"/>
  <c r="H508" i="10"/>
  <c r="F508" i="10"/>
  <c r="E508" i="10"/>
  <c r="D508" i="10"/>
  <c r="C508" i="10"/>
  <c r="M507" i="10"/>
  <c r="L507" i="10"/>
  <c r="A507" i="10" s="1"/>
  <c r="K507" i="10"/>
  <c r="J507" i="10"/>
  <c r="I507" i="10"/>
  <c r="H507" i="10"/>
  <c r="F507" i="10"/>
  <c r="E507" i="10"/>
  <c r="D507" i="10"/>
  <c r="C507" i="10"/>
  <c r="B507" i="10"/>
  <c r="AL506" i="10"/>
  <c r="M506" i="10"/>
  <c r="L506" i="10"/>
  <c r="A506" i="10" s="1"/>
  <c r="K506" i="10"/>
  <c r="I506" i="10"/>
  <c r="H506" i="10"/>
  <c r="F506" i="10"/>
  <c r="D506" i="10"/>
  <c r="C506" i="10"/>
  <c r="B506" i="10"/>
  <c r="AL505" i="10"/>
  <c r="AH505" i="10"/>
  <c r="M505" i="10"/>
  <c r="L505" i="10"/>
  <c r="A505" i="10" s="1"/>
  <c r="K505" i="10"/>
  <c r="J505" i="10"/>
  <c r="I505" i="10"/>
  <c r="H505" i="10"/>
  <c r="F505" i="10"/>
  <c r="E505" i="10"/>
  <c r="D505" i="10"/>
  <c r="C505" i="10"/>
  <c r="B505" i="10"/>
  <c r="AL504" i="10"/>
  <c r="AH504" i="10"/>
  <c r="L504" i="10"/>
  <c r="A504" i="10" s="1"/>
  <c r="K504" i="10"/>
  <c r="I504" i="10"/>
  <c r="H504" i="10"/>
  <c r="F504" i="10"/>
  <c r="E504" i="10"/>
  <c r="D504" i="10"/>
  <c r="C504" i="10"/>
  <c r="B504" i="10"/>
  <c r="AL503" i="10"/>
  <c r="AH503" i="10"/>
  <c r="M503" i="10"/>
  <c r="L503" i="10"/>
  <c r="A503" i="10" s="1"/>
  <c r="K503" i="10"/>
  <c r="J503" i="10"/>
  <c r="I503" i="10"/>
  <c r="H503" i="10"/>
  <c r="E503" i="10"/>
  <c r="D503" i="10"/>
  <c r="C503" i="10"/>
  <c r="B503" i="10"/>
  <c r="AL502" i="10"/>
  <c r="M502" i="10"/>
  <c r="L502" i="10"/>
  <c r="A502" i="10" s="1"/>
  <c r="J502" i="10"/>
  <c r="I502" i="10"/>
  <c r="H502" i="10"/>
  <c r="F502" i="10"/>
  <c r="E502" i="10"/>
  <c r="D502" i="10"/>
  <c r="C502" i="10"/>
  <c r="AL501" i="10"/>
  <c r="AH501" i="10"/>
  <c r="M501" i="10"/>
  <c r="L501" i="10"/>
  <c r="A501" i="10" s="1"/>
  <c r="K501" i="10"/>
  <c r="J501" i="10"/>
  <c r="I501" i="10"/>
  <c r="H501" i="10"/>
  <c r="F501" i="10"/>
  <c r="E501" i="10"/>
  <c r="D501" i="10"/>
  <c r="C501" i="10"/>
  <c r="B501" i="10"/>
  <c r="AL500" i="10"/>
  <c r="AH500" i="10"/>
  <c r="M500" i="10"/>
  <c r="L500" i="10"/>
  <c r="A500" i="10" s="1"/>
  <c r="K500" i="10"/>
  <c r="J500" i="10"/>
  <c r="I500" i="10"/>
  <c r="H500" i="10"/>
  <c r="F500" i="10"/>
  <c r="E500" i="10"/>
  <c r="D500" i="10"/>
  <c r="C500" i="10"/>
  <c r="B500" i="10"/>
  <c r="AL499" i="10"/>
  <c r="AH499" i="10"/>
  <c r="M499" i="10"/>
  <c r="L499" i="10"/>
  <c r="A499" i="10" s="1"/>
  <c r="K499" i="10"/>
  <c r="I499" i="10"/>
  <c r="H499" i="10"/>
  <c r="F499" i="10"/>
  <c r="D499" i="10"/>
  <c r="C499" i="10"/>
  <c r="B499" i="10"/>
  <c r="AL498" i="10"/>
  <c r="M498" i="10"/>
  <c r="L498" i="10"/>
  <c r="A498" i="10" s="1"/>
  <c r="K498" i="10"/>
  <c r="J498" i="10"/>
  <c r="I498" i="10"/>
  <c r="H498" i="10"/>
  <c r="F498" i="10"/>
  <c r="E498" i="10"/>
  <c r="D498" i="10"/>
  <c r="C498" i="10"/>
  <c r="B498" i="10"/>
  <c r="AL497" i="10"/>
  <c r="AH497" i="10"/>
  <c r="L497" i="10"/>
  <c r="A497" i="10" s="1"/>
  <c r="K497" i="10"/>
  <c r="J497" i="10"/>
  <c r="I497" i="10"/>
  <c r="H497" i="10"/>
  <c r="F497" i="10"/>
  <c r="E497" i="10"/>
  <c r="D497" i="10"/>
  <c r="C497" i="10"/>
  <c r="B497" i="10"/>
  <c r="AL496" i="10"/>
  <c r="AH496" i="10"/>
  <c r="M496" i="10"/>
  <c r="L496" i="10"/>
  <c r="A496" i="10" s="1"/>
  <c r="K496" i="10"/>
  <c r="J496" i="10"/>
  <c r="I496" i="10"/>
  <c r="H496" i="10"/>
  <c r="F496" i="10"/>
  <c r="D496" i="10"/>
  <c r="C496" i="10"/>
  <c r="B496" i="10"/>
  <c r="AL495" i="10"/>
  <c r="AH495" i="10"/>
  <c r="M495" i="10"/>
  <c r="L495" i="10"/>
  <c r="A495" i="10" s="1"/>
  <c r="K495" i="10"/>
  <c r="I495" i="10"/>
  <c r="H495" i="10"/>
  <c r="F495" i="10"/>
  <c r="E495" i="10"/>
  <c r="D495" i="10"/>
  <c r="C495" i="10"/>
  <c r="B495" i="10"/>
  <c r="AL494" i="10"/>
  <c r="AH494" i="10"/>
  <c r="M494" i="10"/>
  <c r="L494" i="10"/>
  <c r="A494" i="10" s="1"/>
  <c r="K494" i="10"/>
  <c r="J494" i="10"/>
  <c r="I494" i="10"/>
  <c r="H494" i="10"/>
  <c r="E494" i="10"/>
  <c r="D494" i="10"/>
  <c r="C494" i="10"/>
  <c r="B494" i="10"/>
  <c r="AL493" i="10"/>
  <c r="AH493" i="10"/>
  <c r="L493" i="10"/>
  <c r="A493" i="10" s="1"/>
  <c r="J493" i="10"/>
  <c r="I493" i="10"/>
  <c r="H493" i="10"/>
  <c r="F493" i="10"/>
  <c r="E493" i="10"/>
  <c r="D493" i="10"/>
  <c r="C493" i="10"/>
  <c r="AL492" i="10"/>
  <c r="AH492" i="10"/>
  <c r="L492" i="10"/>
  <c r="A492" i="10" s="1"/>
  <c r="K492" i="10"/>
  <c r="J492" i="10"/>
  <c r="I492" i="10"/>
  <c r="H492" i="10"/>
  <c r="E492" i="10"/>
  <c r="D492" i="10"/>
  <c r="C492" i="10"/>
  <c r="B492" i="10"/>
  <c r="AL491" i="10"/>
  <c r="AH491" i="10"/>
  <c r="M491" i="10"/>
  <c r="L491" i="10"/>
  <c r="A491" i="10" s="1"/>
  <c r="K491" i="10"/>
  <c r="J491" i="10"/>
  <c r="I491" i="10"/>
  <c r="H491" i="10"/>
  <c r="F491" i="10"/>
  <c r="E491" i="10"/>
  <c r="D491" i="10"/>
  <c r="B491" i="10"/>
  <c r="AL490" i="10"/>
  <c r="AH490" i="10"/>
  <c r="M490" i="10"/>
  <c r="L490" i="10"/>
  <c r="A490" i="10" s="1"/>
  <c r="K490" i="10"/>
  <c r="J490" i="10"/>
  <c r="I490" i="10"/>
  <c r="H490" i="10"/>
  <c r="F490" i="10"/>
  <c r="E490" i="10"/>
  <c r="D490" i="10"/>
  <c r="C490" i="10"/>
  <c r="B490" i="10"/>
  <c r="L489" i="10"/>
  <c r="A489" i="10" s="1"/>
  <c r="J489" i="10"/>
  <c r="I489" i="10"/>
  <c r="H489" i="10"/>
  <c r="F489" i="10"/>
  <c r="E489" i="10"/>
  <c r="D489" i="10"/>
  <c r="C489" i="10"/>
  <c r="AL488" i="10"/>
  <c r="AH488" i="10"/>
  <c r="M488" i="10"/>
  <c r="L488" i="10"/>
  <c r="A488" i="10" s="1"/>
  <c r="K488" i="10"/>
  <c r="J488" i="10"/>
  <c r="I488" i="10"/>
  <c r="H488" i="10"/>
  <c r="F488" i="10"/>
  <c r="E488" i="10"/>
  <c r="D488" i="10"/>
  <c r="C488" i="10"/>
  <c r="B488" i="10"/>
  <c r="AL487" i="10"/>
  <c r="Q487" i="10"/>
  <c r="M487" i="10"/>
  <c r="L487" i="10"/>
  <c r="A487" i="10" s="1"/>
  <c r="K487" i="10"/>
  <c r="J487" i="10"/>
  <c r="I487" i="10"/>
  <c r="H487" i="10"/>
  <c r="F487" i="10"/>
  <c r="E487" i="10"/>
  <c r="D487" i="10"/>
  <c r="C487" i="10"/>
  <c r="B487" i="10"/>
  <c r="AL486" i="10"/>
  <c r="AH486" i="10"/>
  <c r="M486" i="10"/>
  <c r="L486" i="10"/>
  <c r="A486" i="10" s="1"/>
  <c r="K486" i="10"/>
  <c r="J486" i="10"/>
  <c r="H486" i="10"/>
  <c r="G486" i="10"/>
  <c r="F486" i="10"/>
  <c r="E486" i="10"/>
  <c r="D486" i="10"/>
  <c r="C486" i="10"/>
  <c r="B486" i="10"/>
  <c r="AL485" i="10"/>
  <c r="M485" i="10"/>
  <c r="L485" i="10"/>
  <c r="A485" i="10" s="1"/>
  <c r="K485" i="10"/>
  <c r="J485" i="10"/>
  <c r="H485" i="10"/>
  <c r="G485" i="10"/>
  <c r="F485" i="10"/>
  <c r="D485" i="10"/>
  <c r="C485" i="10"/>
  <c r="B485" i="10"/>
  <c r="AL484" i="10"/>
  <c r="AH484" i="10"/>
  <c r="M484" i="10"/>
  <c r="L484" i="10"/>
  <c r="A484" i="10" s="1"/>
  <c r="K484" i="10"/>
  <c r="J484" i="10"/>
  <c r="H484" i="10"/>
  <c r="F484" i="10"/>
  <c r="E484" i="10"/>
  <c r="D484" i="10"/>
  <c r="C484" i="10"/>
  <c r="B484" i="10"/>
  <c r="AL483" i="10"/>
  <c r="AH483" i="10"/>
  <c r="M483" i="10"/>
  <c r="L483" i="10"/>
  <c r="A483" i="10" s="1"/>
  <c r="K483" i="10"/>
  <c r="J483" i="10"/>
  <c r="H483" i="10"/>
  <c r="G483" i="10"/>
  <c r="F483" i="10"/>
  <c r="E483" i="10"/>
  <c r="D483" i="10"/>
  <c r="C483" i="10"/>
  <c r="B483" i="10"/>
  <c r="AL482" i="10"/>
  <c r="AH482" i="10"/>
  <c r="M482" i="10"/>
  <c r="L482" i="10"/>
  <c r="A482" i="10" s="1"/>
  <c r="K482" i="10"/>
  <c r="J482" i="10"/>
  <c r="H482" i="10"/>
  <c r="G482" i="10"/>
  <c r="F482" i="10"/>
  <c r="E482" i="10"/>
  <c r="D482" i="10"/>
  <c r="C482" i="10"/>
  <c r="B482" i="10"/>
  <c r="AL481" i="10"/>
  <c r="AH481" i="10"/>
  <c r="M481" i="10"/>
  <c r="L481" i="10"/>
  <c r="A481" i="10" s="1"/>
  <c r="K481" i="10"/>
  <c r="J481" i="10"/>
  <c r="G481" i="10"/>
  <c r="F481" i="10"/>
  <c r="E481" i="10"/>
  <c r="D481" i="10"/>
  <c r="C481" i="10"/>
  <c r="B481" i="10"/>
  <c r="AL480" i="10"/>
  <c r="AH480" i="10"/>
  <c r="AC480" i="10"/>
  <c r="M480" i="10"/>
  <c r="L480" i="10"/>
  <c r="A480" i="10" s="1"/>
  <c r="K480" i="10"/>
  <c r="J480" i="10"/>
  <c r="H480" i="10"/>
  <c r="G480" i="10"/>
  <c r="F480" i="10"/>
  <c r="E480" i="10"/>
  <c r="D480" i="10"/>
  <c r="C480" i="10"/>
  <c r="B480" i="10"/>
  <c r="AL479" i="10"/>
  <c r="AH479" i="10"/>
  <c r="M479" i="10"/>
  <c r="L479" i="10"/>
  <c r="A479" i="10" s="1"/>
  <c r="K479" i="10"/>
  <c r="J479" i="10"/>
  <c r="H479" i="10"/>
  <c r="G479" i="10"/>
  <c r="F479" i="10"/>
  <c r="E479" i="10"/>
  <c r="D479" i="10"/>
  <c r="C479" i="10"/>
  <c r="B479" i="10"/>
  <c r="AL478" i="10"/>
  <c r="AH478" i="10"/>
  <c r="M478" i="10"/>
  <c r="L478" i="10"/>
  <c r="A478" i="10" s="1"/>
  <c r="K478" i="10"/>
  <c r="J478" i="10"/>
  <c r="G478" i="10"/>
  <c r="F478" i="10"/>
  <c r="E478" i="10"/>
  <c r="D478" i="10"/>
  <c r="C478" i="10"/>
  <c r="B478" i="10"/>
  <c r="AL477" i="10"/>
  <c r="M477" i="10"/>
  <c r="L477" i="10"/>
  <c r="A477" i="10" s="1"/>
  <c r="K477" i="10"/>
  <c r="J477" i="10"/>
  <c r="H477" i="10"/>
  <c r="G477" i="10"/>
  <c r="F477" i="10"/>
  <c r="E477" i="10"/>
  <c r="D477" i="10"/>
  <c r="C477" i="10"/>
  <c r="B477" i="10"/>
  <c r="AL476" i="10"/>
  <c r="AH476" i="10"/>
  <c r="AC476" i="10"/>
  <c r="M476" i="10"/>
  <c r="L476" i="10"/>
  <c r="A476" i="10" s="1"/>
  <c r="K476" i="10"/>
  <c r="J476" i="10"/>
  <c r="H476" i="10"/>
  <c r="G476" i="10"/>
  <c r="F476" i="10"/>
  <c r="E476" i="10"/>
  <c r="D476" i="10"/>
  <c r="C476" i="10"/>
  <c r="B476" i="10"/>
  <c r="AL475" i="10"/>
  <c r="AH475" i="10"/>
  <c r="M475" i="10"/>
  <c r="L475" i="10"/>
  <c r="A475" i="10" s="1"/>
  <c r="K475" i="10"/>
  <c r="J475" i="10"/>
  <c r="H475" i="10"/>
  <c r="G475" i="10"/>
  <c r="F475" i="10"/>
  <c r="E475" i="10"/>
  <c r="D475" i="10"/>
  <c r="C475" i="10"/>
  <c r="B475" i="10"/>
  <c r="AL474" i="10"/>
  <c r="AH474" i="10"/>
  <c r="M474" i="10"/>
  <c r="L474" i="10"/>
  <c r="A474" i="10" s="1"/>
  <c r="K474" i="10"/>
  <c r="J474" i="10"/>
  <c r="H474" i="10"/>
  <c r="G474" i="10"/>
  <c r="F474" i="10"/>
  <c r="E474" i="10"/>
  <c r="D474" i="10"/>
  <c r="C474" i="10"/>
  <c r="B474" i="10"/>
  <c r="AL473" i="10"/>
  <c r="M473" i="10"/>
  <c r="L473" i="10"/>
  <c r="A473" i="10" s="1"/>
  <c r="K473" i="10"/>
  <c r="J473" i="10"/>
  <c r="H473" i="10"/>
  <c r="G473" i="10"/>
  <c r="F473" i="10"/>
  <c r="E473" i="10"/>
  <c r="D473" i="10"/>
  <c r="C473" i="10"/>
  <c r="B473" i="10"/>
  <c r="AL472" i="10"/>
  <c r="AH472" i="10"/>
  <c r="U465" i="10"/>
  <c r="M472" i="10"/>
  <c r="L472" i="10"/>
  <c r="A472" i="10" s="1"/>
  <c r="K472" i="10"/>
  <c r="J472" i="10"/>
  <c r="H472" i="10"/>
  <c r="G472" i="10"/>
  <c r="F472" i="10"/>
  <c r="E472" i="10"/>
  <c r="D472" i="10"/>
  <c r="C472" i="10"/>
  <c r="B472" i="10"/>
  <c r="M471" i="10"/>
  <c r="L471" i="10"/>
  <c r="A471" i="10" s="1"/>
  <c r="K471" i="10"/>
  <c r="J471" i="10"/>
  <c r="H471" i="10"/>
  <c r="G471" i="10"/>
  <c r="F471" i="10"/>
  <c r="E471" i="10"/>
  <c r="D471" i="10"/>
  <c r="C471" i="10"/>
  <c r="B471" i="10"/>
  <c r="AL470" i="10"/>
  <c r="AH470" i="10"/>
  <c r="M470" i="10"/>
  <c r="L470" i="10"/>
  <c r="A470" i="10" s="1"/>
  <c r="K470" i="10"/>
  <c r="J470" i="10"/>
  <c r="H470" i="10"/>
  <c r="G470" i="10"/>
  <c r="F470" i="10"/>
  <c r="E470" i="10"/>
  <c r="D470" i="10"/>
  <c r="C470" i="10"/>
  <c r="B470" i="10"/>
  <c r="AL469" i="10"/>
  <c r="M469" i="10"/>
  <c r="L469" i="10"/>
  <c r="A469" i="10" s="1"/>
  <c r="K469" i="10"/>
  <c r="J469" i="10"/>
  <c r="H469" i="10"/>
  <c r="F469" i="10"/>
  <c r="E469" i="10"/>
  <c r="D469" i="10"/>
  <c r="C469" i="10"/>
  <c r="B469" i="10"/>
  <c r="AL468" i="10"/>
  <c r="AH468" i="10"/>
  <c r="M468" i="10"/>
  <c r="L468" i="10"/>
  <c r="A468" i="10" s="1"/>
  <c r="K468" i="10"/>
  <c r="J468" i="10"/>
  <c r="H468" i="10"/>
  <c r="G468" i="10"/>
  <c r="F468" i="10"/>
  <c r="E468" i="10"/>
  <c r="D468" i="10"/>
  <c r="C468" i="10"/>
  <c r="B468" i="10"/>
  <c r="AL467" i="10"/>
  <c r="AH467" i="10"/>
  <c r="M467" i="10"/>
  <c r="L467" i="10"/>
  <c r="A467" i="10" s="1"/>
  <c r="K467" i="10"/>
  <c r="J467" i="10"/>
  <c r="H467" i="10"/>
  <c r="G467" i="10"/>
  <c r="F467" i="10"/>
  <c r="E467" i="10"/>
  <c r="D467" i="10"/>
  <c r="C467" i="10"/>
  <c r="B467" i="10"/>
  <c r="AL466" i="10"/>
  <c r="AH466" i="10"/>
  <c r="Z465" i="10"/>
  <c r="M466" i="10"/>
  <c r="L466" i="10"/>
  <c r="A466" i="10" s="1"/>
  <c r="K466" i="10"/>
  <c r="J466" i="10"/>
  <c r="H466" i="10"/>
  <c r="G466" i="10"/>
  <c r="F466" i="10"/>
  <c r="E466" i="10"/>
  <c r="D466" i="10"/>
  <c r="C466" i="10"/>
  <c r="B466" i="10"/>
  <c r="AL465" i="10"/>
  <c r="Q465" i="10"/>
  <c r="M465" i="10"/>
  <c r="L465" i="10"/>
  <c r="A465" i="10" s="1"/>
  <c r="K465" i="10"/>
  <c r="J465" i="10"/>
  <c r="H465" i="10"/>
  <c r="G465" i="10"/>
  <c r="F465" i="10"/>
  <c r="E465" i="10"/>
  <c r="D465" i="10"/>
  <c r="C465" i="10"/>
  <c r="B465" i="10"/>
  <c r="AL464" i="10"/>
  <c r="M464" i="10"/>
  <c r="L464" i="10"/>
  <c r="A464" i="10" s="1"/>
  <c r="J464" i="10"/>
  <c r="I464" i="10"/>
  <c r="H464" i="10"/>
  <c r="G464" i="10"/>
  <c r="F464" i="10"/>
  <c r="E464" i="10"/>
  <c r="D464" i="10"/>
  <c r="B464" i="10"/>
  <c r="AL463" i="10"/>
  <c r="AH463" i="10"/>
  <c r="M463" i="10"/>
  <c r="L463" i="10"/>
  <c r="A463" i="10" s="1"/>
  <c r="J463" i="10"/>
  <c r="I463" i="10"/>
  <c r="H463" i="10"/>
  <c r="G463" i="10"/>
  <c r="F463" i="10"/>
  <c r="E463" i="10"/>
  <c r="D463" i="10"/>
  <c r="B463" i="10"/>
  <c r="AL462" i="10"/>
  <c r="AH462" i="10"/>
  <c r="M462" i="10"/>
  <c r="L462" i="10"/>
  <c r="A462" i="10" s="1"/>
  <c r="J462" i="10"/>
  <c r="I462" i="10"/>
  <c r="H462" i="10"/>
  <c r="G462" i="10"/>
  <c r="F462" i="10"/>
  <c r="E462" i="10"/>
  <c r="D462" i="10"/>
  <c r="B462" i="10"/>
  <c r="AL461" i="10"/>
  <c r="AH461" i="10"/>
  <c r="AC461" i="10"/>
  <c r="M461" i="10"/>
  <c r="L461" i="10"/>
  <c r="A461" i="10" s="1"/>
  <c r="J461" i="10"/>
  <c r="I461" i="10"/>
  <c r="H461" i="10"/>
  <c r="F461" i="10"/>
  <c r="E461" i="10"/>
  <c r="D461" i="10"/>
  <c r="B461" i="10"/>
  <c r="AL460" i="10"/>
  <c r="M460" i="10"/>
  <c r="L460" i="10"/>
  <c r="A460" i="10" s="1"/>
  <c r="J460" i="10"/>
  <c r="I460" i="10"/>
  <c r="H460" i="10"/>
  <c r="G460" i="10"/>
  <c r="F460" i="10"/>
  <c r="E460" i="10"/>
  <c r="D460" i="10"/>
  <c r="B460" i="10"/>
  <c r="AL459" i="10"/>
  <c r="AH459" i="10"/>
  <c r="M459" i="10"/>
  <c r="L459" i="10"/>
  <c r="A459" i="10" s="1"/>
  <c r="J459" i="10"/>
  <c r="I459" i="10"/>
  <c r="H459" i="10"/>
  <c r="G459" i="10"/>
  <c r="F459" i="10"/>
  <c r="E459" i="10"/>
  <c r="D459" i="10"/>
  <c r="B459" i="10"/>
  <c r="AL458" i="10"/>
  <c r="AH458" i="10"/>
  <c r="M458" i="10"/>
  <c r="L458" i="10"/>
  <c r="A458" i="10" s="1"/>
  <c r="J458" i="10"/>
  <c r="I458" i="10"/>
  <c r="H458" i="10"/>
  <c r="G458" i="10"/>
  <c r="F458" i="10"/>
  <c r="E458" i="10"/>
  <c r="D458" i="10"/>
  <c r="B458" i="10"/>
  <c r="AL457" i="10"/>
  <c r="AH457" i="10"/>
  <c r="M457" i="10"/>
  <c r="L457" i="10"/>
  <c r="A457" i="10" s="1"/>
  <c r="J457" i="10"/>
  <c r="I457" i="10"/>
  <c r="H457" i="10"/>
  <c r="G457" i="10"/>
  <c r="F457" i="10"/>
  <c r="E457" i="10"/>
  <c r="D457" i="10"/>
  <c r="B457" i="10"/>
  <c r="AL456" i="10"/>
  <c r="L456" i="10"/>
  <c r="A456" i="10" s="1"/>
  <c r="J456" i="10"/>
  <c r="I456" i="10"/>
  <c r="H456" i="10"/>
  <c r="G456" i="10"/>
  <c r="F456" i="10"/>
  <c r="E456" i="10"/>
  <c r="D456" i="10"/>
  <c r="B456" i="10"/>
  <c r="AL455" i="10"/>
  <c r="AH455" i="10"/>
  <c r="M455" i="10"/>
  <c r="L455" i="10"/>
  <c r="A455" i="10" s="1"/>
  <c r="J455" i="10"/>
  <c r="I455" i="10"/>
  <c r="H455" i="10"/>
  <c r="G455" i="10"/>
  <c r="F455" i="10"/>
  <c r="E455" i="10"/>
  <c r="D455" i="10"/>
  <c r="B455" i="10"/>
  <c r="AL454" i="10"/>
  <c r="AH454" i="10"/>
  <c r="M454" i="10"/>
  <c r="L454" i="10"/>
  <c r="A454" i="10" s="1"/>
  <c r="J454" i="10"/>
  <c r="I454" i="10"/>
  <c r="H454" i="10"/>
  <c r="G454" i="10"/>
  <c r="F454" i="10"/>
  <c r="E454" i="10"/>
  <c r="D454" i="10"/>
  <c r="B454" i="10"/>
  <c r="L453" i="10"/>
  <c r="A453" i="10" s="1"/>
  <c r="J453" i="10"/>
  <c r="I453" i="10"/>
  <c r="H453" i="10"/>
  <c r="G453" i="10"/>
  <c r="F453" i="10"/>
  <c r="E453" i="10"/>
  <c r="D453" i="10"/>
  <c r="B453" i="10"/>
  <c r="AL452" i="10"/>
  <c r="M452" i="10"/>
  <c r="L452" i="10"/>
  <c r="A452" i="10" s="1"/>
  <c r="J452" i="10"/>
  <c r="I452" i="10"/>
  <c r="H452" i="10"/>
  <c r="G452" i="10"/>
  <c r="F452" i="10"/>
  <c r="E452" i="10"/>
  <c r="D452" i="10"/>
  <c r="B452" i="10"/>
  <c r="AL451" i="10"/>
  <c r="AH451" i="10"/>
  <c r="M451" i="10"/>
  <c r="L451" i="10"/>
  <c r="A451" i="10" s="1"/>
  <c r="J451" i="10"/>
  <c r="I451" i="10"/>
  <c r="H451" i="10"/>
  <c r="G451" i="10"/>
  <c r="F451" i="10"/>
  <c r="E451" i="10"/>
  <c r="D451" i="10"/>
  <c r="B451" i="10"/>
  <c r="AL450" i="10"/>
  <c r="AH450" i="10"/>
  <c r="M450" i="10"/>
  <c r="L450" i="10"/>
  <c r="A450" i="10" s="1"/>
  <c r="J450" i="10"/>
  <c r="I450" i="10"/>
  <c r="H450" i="10"/>
  <c r="G450" i="10"/>
  <c r="F450" i="10"/>
  <c r="E450" i="10"/>
  <c r="D450" i="10"/>
  <c r="B450" i="10"/>
  <c r="AL449" i="10"/>
  <c r="AH449" i="10"/>
  <c r="X443" i="10"/>
  <c r="L449" i="10"/>
  <c r="A449" i="10" s="1"/>
  <c r="J449" i="10"/>
  <c r="I449" i="10"/>
  <c r="H449" i="10"/>
  <c r="G449" i="10"/>
  <c r="F449" i="10"/>
  <c r="E449" i="10"/>
  <c r="D449" i="10"/>
  <c r="B449" i="10"/>
  <c r="AL448" i="10"/>
  <c r="AC448" i="10"/>
  <c r="M448" i="10"/>
  <c r="L448" i="10"/>
  <c r="A448" i="10" s="1"/>
  <c r="J448" i="10"/>
  <c r="I448" i="10"/>
  <c r="H448" i="10"/>
  <c r="G448" i="10"/>
  <c r="F448" i="10"/>
  <c r="E448" i="10"/>
  <c r="D448" i="10"/>
  <c r="B448" i="10"/>
  <c r="AL447" i="10"/>
  <c r="AH447" i="10"/>
  <c r="M447" i="10"/>
  <c r="L447" i="10"/>
  <c r="A447" i="10" s="1"/>
  <c r="J447" i="10"/>
  <c r="I447" i="10"/>
  <c r="H447" i="10"/>
  <c r="G447" i="10"/>
  <c r="F447" i="10"/>
  <c r="E447" i="10"/>
  <c r="D447" i="10"/>
  <c r="B447" i="10"/>
  <c r="AL446" i="10"/>
  <c r="AH446" i="10"/>
  <c r="M446" i="10"/>
  <c r="L446" i="10"/>
  <c r="A446" i="10" s="1"/>
  <c r="J446" i="10"/>
  <c r="I446" i="10"/>
  <c r="H446" i="10"/>
  <c r="G446" i="10"/>
  <c r="F446" i="10"/>
  <c r="E446" i="10"/>
  <c r="D446" i="10"/>
  <c r="B446" i="10"/>
  <c r="AL445" i="10"/>
  <c r="AH445" i="10"/>
  <c r="Y443" i="10"/>
  <c r="M445" i="10"/>
  <c r="L445" i="10"/>
  <c r="A445" i="10" s="1"/>
  <c r="J445" i="10"/>
  <c r="I445" i="10"/>
  <c r="H445" i="10"/>
  <c r="G445" i="10"/>
  <c r="F445" i="10"/>
  <c r="E445" i="10"/>
  <c r="D445" i="10"/>
  <c r="B445" i="10"/>
  <c r="AL444" i="10"/>
  <c r="M444" i="10"/>
  <c r="L444" i="10"/>
  <c r="A444" i="10" s="1"/>
  <c r="J444" i="10"/>
  <c r="I444" i="10"/>
  <c r="H444" i="10"/>
  <c r="G444" i="10"/>
  <c r="F444" i="10"/>
  <c r="E444" i="10"/>
  <c r="D444" i="10"/>
  <c r="B444" i="10"/>
  <c r="AL443" i="10"/>
  <c r="Q443" i="10"/>
  <c r="M443" i="10"/>
  <c r="L443" i="10"/>
  <c r="A443" i="10" s="1"/>
  <c r="J443" i="10"/>
  <c r="I443" i="10"/>
  <c r="H443" i="10"/>
  <c r="G443" i="10"/>
  <c r="F443" i="10"/>
  <c r="E443" i="10"/>
  <c r="D443" i="10"/>
  <c r="B443" i="10"/>
  <c r="AL442" i="10"/>
  <c r="AH442" i="10"/>
  <c r="L442" i="10"/>
  <c r="A442" i="10" s="1"/>
  <c r="K442" i="10"/>
  <c r="J442" i="10"/>
  <c r="I442" i="10"/>
  <c r="H442" i="10"/>
  <c r="G442" i="10"/>
  <c r="F442" i="10"/>
  <c r="D442" i="10"/>
  <c r="C442" i="10"/>
  <c r="B442" i="10"/>
  <c r="AL441" i="10"/>
  <c r="AH441" i="10"/>
  <c r="L441" i="10"/>
  <c r="A441" i="10" s="1"/>
  <c r="K441" i="10"/>
  <c r="J441" i="10"/>
  <c r="I441" i="10"/>
  <c r="H441" i="10"/>
  <c r="G441" i="10"/>
  <c r="F441" i="10"/>
  <c r="D441" i="10"/>
  <c r="C441" i="10"/>
  <c r="B441" i="10"/>
  <c r="AL440" i="10"/>
  <c r="AH440" i="10"/>
  <c r="L440" i="10"/>
  <c r="A440" i="10" s="1"/>
  <c r="K440" i="10"/>
  <c r="J440" i="10"/>
  <c r="I440" i="10"/>
  <c r="H440" i="10"/>
  <c r="G440" i="10"/>
  <c r="F440" i="10"/>
  <c r="D440" i="10"/>
  <c r="C440" i="10"/>
  <c r="B440" i="10"/>
  <c r="AL439" i="10"/>
  <c r="AH439" i="10"/>
  <c r="L439" i="10"/>
  <c r="A439" i="10" s="1"/>
  <c r="K439" i="10"/>
  <c r="J439" i="10"/>
  <c r="I439" i="10"/>
  <c r="H439" i="10"/>
  <c r="G439" i="10"/>
  <c r="F439" i="10"/>
  <c r="D439" i="10"/>
  <c r="C439" i="10"/>
  <c r="B439" i="10"/>
  <c r="AL438" i="10"/>
  <c r="AH438" i="10"/>
  <c r="L438" i="10"/>
  <c r="A438" i="10" s="1"/>
  <c r="K438" i="10"/>
  <c r="J438" i="10"/>
  <c r="I438" i="10"/>
  <c r="H438" i="10"/>
  <c r="G438" i="10"/>
  <c r="F438" i="10"/>
  <c r="D438" i="10"/>
  <c r="C438" i="10"/>
  <c r="B438" i="10"/>
  <c r="AL437" i="10"/>
  <c r="AH437" i="10"/>
  <c r="AC437" i="10"/>
  <c r="L437" i="10"/>
  <c r="A437" i="10" s="1"/>
  <c r="K437" i="10"/>
  <c r="J437" i="10"/>
  <c r="H437" i="10"/>
  <c r="G437" i="10"/>
  <c r="F437" i="10"/>
  <c r="D437" i="10"/>
  <c r="C437" i="10"/>
  <c r="B437" i="10"/>
  <c r="AL436" i="10"/>
  <c r="AH436" i="10"/>
  <c r="L436" i="10"/>
  <c r="A436" i="10" s="1"/>
  <c r="K436" i="10"/>
  <c r="J436" i="10"/>
  <c r="I436" i="10"/>
  <c r="H436" i="10"/>
  <c r="G436" i="10"/>
  <c r="F436" i="10"/>
  <c r="D436" i="10"/>
  <c r="C436" i="10"/>
  <c r="B436" i="10"/>
  <c r="L435" i="10"/>
  <c r="A435" i="10" s="1"/>
  <c r="K435" i="10"/>
  <c r="J435" i="10"/>
  <c r="I435" i="10"/>
  <c r="H435" i="10"/>
  <c r="G435" i="10"/>
  <c r="F435" i="10"/>
  <c r="D435" i="10"/>
  <c r="C435" i="10"/>
  <c r="B435" i="10"/>
  <c r="AL434" i="10"/>
  <c r="AH434" i="10"/>
  <c r="L434" i="10"/>
  <c r="A434" i="10" s="1"/>
  <c r="K434" i="10"/>
  <c r="J434" i="10"/>
  <c r="I434" i="10"/>
  <c r="H434" i="10"/>
  <c r="G434" i="10"/>
  <c r="F434" i="10"/>
  <c r="D434" i="10"/>
  <c r="C434" i="10"/>
  <c r="B434" i="10"/>
  <c r="AL433" i="10"/>
  <c r="AH433" i="10"/>
  <c r="M433" i="10"/>
  <c r="L433" i="10"/>
  <c r="A433" i="10" s="1"/>
  <c r="K433" i="10"/>
  <c r="J433" i="10"/>
  <c r="I433" i="10"/>
  <c r="H433" i="10"/>
  <c r="G433" i="10"/>
  <c r="F433" i="10"/>
  <c r="D433" i="10"/>
  <c r="C433" i="10"/>
  <c r="B433" i="10"/>
  <c r="AL432" i="10"/>
  <c r="AH432" i="10"/>
  <c r="M432" i="10"/>
  <c r="L432" i="10"/>
  <c r="A432" i="10" s="1"/>
  <c r="K432" i="10"/>
  <c r="J432" i="10"/>
  <c r="I432" i="10"/>
  <c r="H432" i="10"/>
  <c r="G432" i="10"/>
  <c r="F432" i="10"/>
  <c r="D432" i="10"/>
  <c r="C432" i="10"/>
  <c r="B432" i="10"/>
  <c r="AL431" i="10"/>
  <c r="L431" i="10"/>
  <c r="A431" i="10" s="1"/>
  <c r="K431" i="10"/>
  <c r="J431" i="10"/>
  <c r="I431" i="10"/>
  <c r="H431" i="10"/>
  <c r="G431" i="10"/>
  <c r="F431" i="10"/>
  <c r="D431" i="10"/>
  <c r="C431" i="10"/>
  <c r="B431" i="10"/>
  <c r="AL430" i="10"/>
  <c r="AH430" i="10"/>
  <c r="AC430" i="10"/>
  <c r="L430" i="10"/>
  <c r="A430" i="10" s="1"/>
  <c r="K430" i="10"/>
  <c r="J430" i="10"/>
  <c r="I430" i="10"/>
  <c r="H430" i="10"/>
  <c r="G430" i="10"/>
  <c r="F430" i="10"/>
  <c r="D430" i="10"/>
  <c r="C430" i="10"/>
  <c r="B430" i="10"/>
  <c r="AL429" i="10"/>
  <c r="AH429" i="10"/>
  <c r="M429" i="10"/>
  <c r="L429" i="10"/>
  <c r="A429" i="10" s="1"/>
  <c r="K429" i="10"/>
  <c r="J429" i="10"/>
  <c r="I429" i="10"/>
  <c r="H429" i="10"/>
  <c r="G429" i="10"/>
  <c r="F429" i="10"/>
  <c r="D429" i="10"/>
  <c r="C429" i="10"/>
  <c r="B429" i="10"/>
  <c r="AL428" i="10"/>
  <c r="AH428" i="10"/>
  <c r="L428" i="10"/>
  <c r="A428" i="10" s="1"/>
  <c r="K428" i="10"/>
  <c r="J428" i="10"/>
  <c r="I428" i="10"/>
  <c r="H428" i="10"/>
  <c r="G428" i="10"/>
  <c r="F428" i="10"/>
  <c r="D428" i="10"/>
  <c r="C428" i="10"/>
  <c r="B428" i="10"/>
  <c r="AL427" i="10"/>
  <c r="AH427" i="10"/>
  <c r="L427" i="10"/>
  <c r="A427" i="10" s="1"/>
  <c r="K427" i="10"/>
  <c r="J427" i="10"/>
  <c r="I427" i="10"/>
  <c r="H427" i="10"/>
  <c r="G427" i="10"/>
  <c r="F427" i="10"/>
  <c r="D427" i="10"/>
  <c r="C427" i="10"/>
  <c r="B427" i="10"/>
  <c r="AL426" i="10"/>
  <c r="AH426" i="10"/>
  <c r="L426" i="10"/>
  <c r="A426" i="10" s="1"/>
  <c r="K426" i="10"/>
  <c r="J426" i="10"/>
  <c r="I426" i="10"/>
  <c r="H426" i="10"/>
  <c r="G426" i="10"/>
  <c r="F426" i="10"/>
  <c r="D426" i="10"/>
  <c r="C426" i="10"/>
  <c r="B426" i="10"/>
  <c r="AL425" i="10"/>
  <c r="AH425" i="10"/>
  <c r="L425" i="10"/>
  <c r="A425" i="10" s="1"/>
  <c r="K425" i="10"/>
  <c r="J425" i="10"/>
  <c r="I425" i="10"/>
  <c r="H425" i="10"/>
  <c r="G425" i="10"/>
  <c r="F425" i="10"/>
  <c r="D425" i="10"/>
  <c r="C425" i="10"/>
  <c r="B425" i="10"/>
  <c r="AL424" i="10"/>
  <c r="AH424" i="10"/>
  <c r="L424" i="10"/>
  <c r="A424" i="10" s="1"/>
  <c r="K424" i="10"/>
  <c r="J424" i="10"/>
  <c r="I424" i="10"/>
  <c r="H424" i="10"/>
  <c r="G424" i="10"/>
  <c r="F424" i="10"/>
  <c r="D424" i="10"/>
  <c r="C424" i="10"/>
  <c r="B424" i="10"/>
  <c r="AL423" i="10"/>
  <c r="AH423" i="10"/>
  <c r="W421" i="10"/>
  <c r="L423" i="10"/>
  <c r="A423" i="10" s="1"/>
  <c r="K423" i="10"/>
  <c r="J423" i="10"/>
  <c r="I423" i="10"/>
  <c r="H423" i="10"/>
  <c r="G423" i="10"/>
  <c r="F423" i="10"/>
  <c r="D423" i="10"/>
  <c r="C423" i="10"/>
  <c r="B423" i="10"/>
  <c r="AL422" i="10"/>
  <c r="AH422" i="10"/>
  <c r="L422" i="10"/>
  <c r="A422" i="10" s="1"/>
  <c r="K422" i="10"/>
  <c r="J422" i="10"/>
  <c r="I422" i="10"/>
  <c r="H422" i="10"/>
  <c r="G422" i="10"/>
  <c r="F422" i="10"/>
  <c r="D422" i="10"/>
  <c r="C422" i="10"/>
  <c r="B422" i="10"/>
  <c r="AL421" i="10"/>
  <c r="Q421" i="10"/>
  <c r="L421" i="10"/>
  <c r="A421" i="10" s="1"/>
  <c r="K421" i="10"/>
  <c r="J421" i="10"/>
  <c r="I421" i="10"/>
  <c r="H421" i="10"/>
  <c r="G421" i="10"/>
  <c r="F421" i="10"/>
  <c r="D421" i="10"/>
  <c r="C421" i="10"/>
  <c r="B421" i="10"/>
  <c r="AL420" i="10"/>
  <c r="AH420" i="10"/>
  <c r="M420" i="10"/>
  <c r="L420" i="10"/>
  <c r="A420" i="10" s="1"/>
  <c r="K420" i="10"/>
  <c r="J420" i="10"/>
  <c r="I420" i="10"/>
  <c r="H420" i="10"/>
  <c r="F420" i="10"/>
  <c r="E420" i="10"/>
  <c r="D420" i="10"/>
  <c r="C420" i="10"/>
  <c r="B420" i="10"/>
  <c r="AL419" i="10"/>
  <c r="AH419" i="10"/>
  <c r="L419" i="10"/>
  <c r="A419" i="10" s="1"/>
  <c r="K419" i="10"/>
  <c r="J419" i="10"/>
  <c r="I419" i="10"/>
  <c r="H419" i="10"/>
  <c r="F419" i="10"/>
  <c r="E419" i="10"/>
  <c r="D419" i="10"/>
  <c r="B419" i="10"/>
  <c r="AL418" i="10"/>
  <c r="AC418" i="10"/>
  <c r="L418" i="10"/>
  <c r="A418" i="10" s="1"/>
  <c r="K418" i="10"/>
  <c r="J418" i="10"/>
  <c r="I418" i="10"/>
  <c r="H418" i="10"/>
  <c r="F418" i="10"/>
  <c r="E418" i="10"/>
  <c r="D418" i="10"/>
  <c r="C418" i="10"/>
  <c r="B418" i="10"/>
  <c r="M417" i="10"/>
  <c r="L417" i="10"/>
  <c r="A417" i="10" s="1"/>
  <c r="J417" i="10"/>
  <c r="I417" i="10"/>
  <c r="H417" i="10"/>
  <c r="F417" i="10"/>
  <c r="E417" i="10"/>
  <c r="D417" i="10"/>
  <c r="C417" i="10"/>
  <c r="B417" i="10"/>
  <c r="AL416" i="10"/>
  <c r="AH416" i="10"/>
  <c r="L416" i="10"/>
  <c r="A416" i="10" s="1"/>
  <c r="K416" i="10"/>
  <c r="J416" i="10"/>
  <c r="I416" i="10"/>
  <c r="H416" i="10"/>
  <c r="F416" i="10"/>
  <c r="E416" i="10"/>
  <c r="D416" i="10"/>
  <c r="C416" i="10"/>
  <c r="B416" i="10"/>
  <c r="AL415" i="10"/>
  <c r="AH415" i="10"/>
  <c r="L415" i="10"/>
  <c r="A415" i="10" s="1"/>
  <c r="J415" i="10"/>
  <c r="I415" i="10"/>
  <c r="H415" i="10"/>
  <c r="F415" i="10"/>
  <c r="E415" i="10"/>
  <c r="D415" i="10"/>
  <c r="C415" i="10"/>
  <c r="B415" i="10"/>
  <c r="AL414" i="10"/>
  <c r="M414" i="10"/>
  <c r="L414" i="10"/>
  <c r="A414" i="10" s="1"/>
  <c r="K414" i="10"/>
  <c r="J414" i="10"/>
  <c r="I414" i="10"/>
  <c r="H414" i="10"/>
  <c r="F414" i="10"/>
  <c r="E414" i="10"/>
  <c r="D414" i="10"/>
  <c r="C414" i="10"/>
  <c r="B414" i="10"/>
  <c r="AL413" i="10"/>
  <c r="AH413" i="10"/>
  <c r="M413" i="10"/>
  <c r="L413" i="10"/>
  <c r="A413" i="10" s="1"/>
  <c r="K413" i="10"/>
  <c r="J413" i="10"/>
  <c r="I413" i="10"/>
  <c r="H413" i="10"/>
  <c r="G413" i="10"/>
  <c r="F413" i="10"/>
  <c r="E413" i="10"/>
  <c r="D413" i="10"/>
  <c r="C413" i="10"/>
  <c r="B413" i="10"/>
  <c r="AL412" i="10"/>
  <c r="AH412" i="10"/>
  <c r="L412" i="10"/>
  <c r="A412" i="10" s="1"/>
  <c r="K412" i="10"/>
  <c r="J412" i="10"/>
  <c r="I412" i="10"/>
  <c r="H412" i="10"/>
  <c r="F412" i="10"/>
  <c r="E412" i="10"/>
  <c r="D412" i="10"/>
  <c r="C412" i="10"/>
  <c r="B412" i="10"/>
  <c r="AL411" i="10"/>
  <c r="AH411" i="10"/>
  <c r="M411" i="10"/>
  <c r="L411" i="10"/>
  <c r="A411" i="10" s="1"/>
  <c r="K411" i="10"/>
  <c r="J411" i="10"/>
  <c r="I411" i="10"/>
  <c r="H411" i="10"/>
  <c r="F411" i="10"/>
  <c r="E411" i="10"/>
  <c r="D411" i="10"/>
  <c r="C411" i="10"/>
  <c r="B411" i="10"/>
  <c r="AL410" i="10"/>
  <c r="AH410" i="10"/>
  <c r="AC410" i="10"/>
  <c r="L410" i="10"/>
  <c r="A410" i="10" s="1"/>
  <c r="J410" i="10"/>
  <c r="I410" i="10"/>
  <c r="H410" i="10"/>
  <c r="F410" i="10"/>
  <c r="E410" i="10"/>
  <c r="D410" i="10"/>
  <c r="C410" i="10"/>
  <c r="B410" i="10"/>
  <c r="AL409" i="10"/>
  <c r="AH409" i="10"/>
  <c r="M409" i="10"/>
  <c r="L409" i="10"/>
  <c r="A409" i="10" s="1"/>
  <c r="K409" i="10"/>
  <c r="J409" i="10"/>
  <c r="I409" i="10"/>
  <c r="H409" i="10"/>
  <c r="F409" i="10"/>
  <c r="E409" i="10"/>
  <c r="D409" i="10"/>
  <c r="C409" i="10"/>
  <c r="B409" i="10"/>
  <c r="AL408" i="10"/>
  <c r="AH408" i="10"/>
  <c r="L408" i="10"/>
  <c r="A408" i="10" s="1"/>
  <c r="K408" i="10"/>
  <c r="J408" i="10"/>
  <c r="I408" i="10"/>
  <c r="H408" i="10"/>
  <c r="F408" i="10"/>
  <c r="E408" i="10"/>
  <c r="D408" i="10"/>
  <c r="B408" i="10"/>
  <c r="AL407" i="10"/>
  <c r="AH407" i="10"/>
  <c r="M407" i="10"/>
  <c r="L407" i="10"/>
  <c r="A407" i="10" s="1"/>
  <c r="K407" i="10"/>
  <c r="J407" i="10"/>
  <c r="I407" i="10"/>
  <c r="H407" i="10"/>
  <c r="F407" i="10"/>
  <c r="E407" i="10"/>
  <c r="D407" i="10"/>
  <c r="C407" i="10"/>
  <c r="B407" i="10"/>
  <c r="AL406" i="10"/>
  <c r="M406" i="10"/>
  <c r="L406" i="10"/>
  <c r="A406" i="10" s="1"/>
  <c r="K406" i="10"/>
  <c r="J406" i="10"/>
  <c r="I406" i="10"/>
  <c r="H406" i="10"/>
  <c r="F406" i="10"/>
  <c r="E406" i="10"/>
  <c r="D406" i="10"/>
  <c r="C406" i="10"/>
  <c r="B406" i="10"/>
  <c r="AL405" i="10"/>
  <c r="AH405" i="10"/>
  <c r="AC405" i="10"/>
  <c r="M405" i="10"/>
  <c r="L405" i="10"/>
  <c r="A405" i="10" s="1"/>
  <c r="J405" i="10"/>
  <c r="I405" i="10"/>
  <c r="H405" i="10"/>
  <c r="F405" i="10"/>
  <c r="E405" i="10"/>
  <c r="D405" i="10"/>
  <c r="C405" i="10"/>
  <c r="B405" i="10"/>
  <c r="AL404" i="10"/>
  <c r="AH404" i="10"/>
  <c r="L404" i="10"/>
  <c r="A404" i="10" s="1"/>
  <c r="K404" i="10"/>
  <c r="J404" i="10"/>
  <c r="I404" i="10"/>
  <c r="H404" i="10"/>
  <c r="F404" i="10"/>
  <c r="E404" i="10"/>
  <c r="D404" i="10"/>
  <c r="C404" i="10"/>
  <c r="B404" i="10"/>
  <c r="AL403" i="10"/>
  <c r="AH403" i="10"/>
  <c r="M403" i="10"/>
  <c r="L403" i="10"/>
  <c r="A403" i="10" s="1"/>
  <c r="K403" i="10"/>
  <c r="J403" i="10"/>
  <c r="I403" i="10"/>
  <c r="H403" i="10"/>
  <c r="F403" i="10"/>
  <c r="E403" i="10"/>
  <c r="D403" i="10"/>
  <c r="B403" i="10"/>
  <c r="AL402" i="10"/>
  <c r="Y399" i="10"/>
  <c r="L402" i="10"/>
  <c r="A402" i="10" s="1"/>
  <c r="K402" i="10"/>
  <c r="J402" i="10"/>
  <c r="I402" i="10"/>
  <c r="H402" i="10"/>
  <c r="F402" i="10"/>
  <c r="E402" i="10"/>
  <c r="D402" i="10"/>
  <c r="C402" i="10"/>
  <c r="B402" i="10"/>
  <c r="AL401" i="10"/>
  <c r="AH401" i="10"/>
  <c r="L401" i="10"/>
  <c r="A401" i="10" s="1"/>
  <c r="K401" i="10"/>
  <c r="J401" i="10"/>
  <c r="I401" i="10"/>
  <c r="H401" i="10"/>
  <c r="F401" i="10"/>
  <c r="E401" i="10"/>
  <c r="D401" i="10"/>
  <c r="B401" i="10"/>
  <c r="AL400" i="10"/>
  <c r="AH400" i="10"/>
  <c r="X399" i="10"/>
  <c r="L400" i="10"/>
  <c r="A400" i="10" s="1"/>
  <c r="K400" i="10"/>
  <c r="J400" i="10"/>
  <c r="I400" i="10"/>
  <c r="H400" i="10"/>
  <c r="F400" i="10"/>
  <c r="E400" i="10"/>
  <c r="D400" i="10"/>
  <c r="C400" i="10"/>
  <c r="B400" i="10"/>
  <c r="Q399" i="10"/>
  <c r="M399" i="10"/>
  <c r="L399" i="10"/>
  <c r="A399" i="10" s="1"/>
  <c r="K399" i="10"/>
  <c r="J399" i="10"/>
  <c r="I399" i="10"/>
  <c r="H399" i="10"/>
  <c r="F399" i="10"/>
  <c r="E399" i="10"/>
  <c r="D399" i="10"/>
  <c r="C399" i="10"/>
  <c r="B399" i="10"/>
  <c r="AL398" i="10"/>
  <c r="AH398" i="10"/>
  <c r="L398" i="10"/>
  <c r="A398" i="10" s="1"/>
  <c r="J398" i="10"/>
  <c r="I398" i="10"/>
  <c r="H398" i="10"/>
  <c r="G398" i="10"/>
  <c r="F398" i="10"/>
  <c r="E398" i="10"/>
  <c r="D398" i="10"/>
  <c r="B398" i="10"/>
  <c r="AL397" i="10"/>
  <c r="AC397" i="10"/>
  <c r="L397" i="10"/>
  <c r="A397" i="10" s="1"/>
  <c r="J397" i="10"/>
  <c r="I397" i="10"/>
  <c r="H397" i="10"/>
  <c r="G397" i="10"/>
  <c r="F397" i="10"/>
  <c r="E397" i="10"/>
  <c r="D397" i="10"/>
  <c r="B397" i="10"/>
  <c r="AL396" i="10"/>
  <c r="AH396" i="10"/>
  <c r="L396" i="10"/>
  <c r="A396" i="10" s="1"/>
  <c r="J396" i="10"/>
  <c r="I396" i="10"/>
  <c r="H396" i="10"/>
  <c r="G396" i="10"/>
  <c r="F396" i="10"/>
  <c r="E396" i="10"/>
  <c r="D396" i="10"/>
  <c r="B396" i="10"/>
  <c r="AL395" i="10"/>
  <c r="AH395" i="10"/>
  <c r="M395" i="10"/>
  <c r="L395" i="10"/>
  <c r="A395" i="10" s="1"/>
  <c r="J395" i="10"/>
  <c r="I395" i="10"/>
  <c r="H395" i="10"/>
  <c r="G395" i="10"/>
  <c r="F395" i="10"/>
  <c r="E395" i="10"/>
  <c r="D395" i="10"/>
  <c r="B395" i="10"/>
  <c r="AL394" i="10"/>
  <c r="AH394" i="10"/>
  <c r="AC394" i="10"/>
  <c r="L394" i="10"/>
  <c r="A394" i="10" s="1"/>
  <c r="J394" i="10"/>
  <c r="I394" i="10"/>
  <c r="H394" i="10"/>
  <c r="G394" i="10"/>
  <c r="F394" i="10"/>
  <c r="E394" i="10"/>
  <c r="D394" i="10"/>
  <c r="B394" i="10"/>
  <c r="AL393" i="10"/>
  <c r="AH393" i="10"/>
  <c r="L393" i="10"/>
  <c r="A393" i="10" s="1"/>
  <c r="J393" i="10"/>
  <c r="I393" i="10"/>
  <c r="H393" i="10"/>
  <c r="G393" i="10"/>
  <c r="F393" i="10"/>
  <c r="E393" i="10"/>
  <c r="D393" i="10"/>
  <c r="B393" i="10"/>
  <c r="AL392" i="10"/>
  <c r="AH392" i="10"/>
  <c r="L392" i="10"/>
  <c r="A392" i="10" s="1"/>
  <c r="J392" i="10"/>
  <c r="I392" i="10"/>
  <c r="H392" i="10"/>
  <c r="G392" i="10"/>
  <c r="F392" i="10"/>
  <c r="E392" i="10"/>
  <c r="D392" i="10"/>
  <c r="B392" i="10"/>
  <c r="AL391" i="10"/>
  <c r="AH391" i="10"/>
  <c r="L391" i="10"/>
  <c r="A391" i="10" s="1"/>
  <c r="J391" i="10"/>
  <c r="I391" i="10"/>
  <c r="H391" i="10"/>
  <c r="F391" i="10"/>
  <c r="E391" i="10"/>
  <c r="D391" i="10"/>
  <c r="B391" i="10"/>
  <c r="AL390" i="10"/>
  <c r="AH390" i="10"/>
  <c r="M390" i="10"/>
  <c r="L390" i="10"/>
  <c r="A390" i="10" s="1"/>
  <c r="J390" i="10"/>
  <c r="I390" i="10"/>
  <c r="H390" i="10"/>
  <c r="G390" i="10"/>
  <c r="F390" i="10"/>
  <c r="E390" i="10"/>
  <c r="D390" i="10"/>
  <c r="B390" i="10"/>
  <c r="AL389" i="10"/>
  <c r="AH389" i="10"/>
  <c r="AC389" i="10"/>
  <c r="L389" i="10"/>
  <c r="A389" i="10" s="1"/>
  <c r="J389" i="10"/>
  <c r="I389" i="10"/>
  <c r="H389" i="10"/>
  <c r="F389" i="10"/>
  <c r="E389" i="10"/>
  <c r="D389" i="10"/>
  <c r="B389" i="10"/>
  <c r="AL388" i="10"/>
  <c r="AH388" i="10"/>
  <c r="L388" i="10"/>
  <c r="A388" i="10" s="1"/>
  <c r="J388" i="10"/>
  <c r="I388" i="10"/>
  <c r="H388" i="10"/>
  <c r="G388" i="10"/>
  <c r="F388" i="10"/>
  <c r="E388" i="10"/>
  <c r="D388" i="10"/>
  <c r="B388" i="10"/>
  <c r="AL387" i="10"/>
  <c r="AH387" i="10"/>
  <c r="M387" i="10"/>
  <c r="L387" i="10"/>
  <c r="A387" i="10" s="1"/>
  <c r="J387" i="10"/>
  <c r="I387" i="10"/>
  <c r="H387" i="10"/>
  <c r="G387" i="10"/>
  <c r="F387" i="10"/>
  <c r="E387" i="10"/>
  <c r="D387" i="10"/>
  <c r="B387" i="10"/>
  <c r="AL386" i="10"/>
  <c r="AH386" i="10"/>
  <c r="L386" i="10"/>
  <c r="A386" i="10" s="1"/>
  <c r="J386" i="10"/>
  <c r="I386" i="10"/>
  <c r="H386" i="10"/>
  <c r="G386" i="10"/>
  <c r="F386" i="10"/>
  <c r="E386" i="10"/>
  <c r="D386" i="10"/>
  <c r="B386" i="10"/>
  <c r="AL385" i="10"/>
  <c r="AC385" i="10"/>
  <c r="L385" i="10"/>
  <c r="A385" i="10" s="1"/>
  <c r="J385" i="10"/>
  <c r="I385" i="10"/>
  <c r="H385" i="10"/>
  <c r="G385" i="10"/>
  <c r="F385" i="10"/>
  <c r="E385" i="10"/>
  <c r="D385" i="10"/>
  <c r="B385" i="10"/>
  <c r="AL384" i="10"/>
  <c r="AH384" i="10"/>
  <c r="L384" i="10"/>
  <c r="A384" i="10" s="1"/>
  <c r="J384" i="10"/>
  <c r="I384" i="10"/>
  <c r="H384" i="10"/>
  <c r="F384" i="10"/>
  <c r="E384" i="10"/>
  <c r="D384" i="10"/>
  <c r="B384" i="10"/>
  <c r="AL383" i="10"/>
  <c r="AH383" i="10"/>
  <c r="M383" i="10"/>
  <c r="L383" i="10"/>
  <c r="A383" i="10" s="1"/>
  <c r="J383" i="10"/>
  <c r="I383" i="10"/>
  <c r="H383" i="10"/>
  <c r="G383" i="10"/>
  <c r="F383" i="10"/>
  <c r="E383" i="10"/>
  <c r="D383" i="10"/>
  <c r="B383" i="10"/>
  <c r="AL382" i="10"/>
  <c r="AH382" i="10"/>
  <c r="L382" i="10"/>
  <c r="A382" i="10" s="1"/>
  <c r="J382" i="10"/>
  <c r="I382" i="10"/>
  <c r="H382" i="10"/>
  <c r="G382" i="10"/>
  <c r="F382" i="10"/>
  <c r="E382" i="10"/>
  <c r="D382" i="10"/>
  <c r="B382" i="10"/>
  <c r="X377" i="10"/>
  <c r="L381" i="10"/>
  <c r="A381" i="10" s="1"/>
  <c r="J381" i="10"/>
  <c r="I381" i="10"/>
  <c r="H381" i="10"/>
  <c r="G381" i="10"/>
  <c r="F381" i="10"/>
  <c r="E381" i="10"/>
  <c r="D381" i="10"/>
  <c r="B381" i="10"/>
  <c r="AL380" i="10"/>
  <c r="AH380" i="10"/>
  <c r="M380" i="10"/>
  <c r="L380" i="10"/>
  <c r="A380" i="10" s="1"/>
  <c r="J380" i="10"/>
  <c r="I380" i="10"/>
  <c r="H380" i="10"/>
  <c r="G380" i="10"/>
  <c r="F380" i="10"/>
  <c r="E380" i="10"/>
  <c r="D380" i="10"/>
  <c r="B380" i="10"/>
  <c r="AL379" i="10"/>
  <c r="AH379" i="10"/>
  <c r="AB377" i="10"/>
  <c r="T377" i="10"/>
  <c r="M379" i="10"/>
  <c r="L379" i="10"/>
  <c r="A379" i="10" s="1"/>
  <c r="J379" i="10"/>
  <c r="I379" i="10"/>
  <c r="H379" i="10"/>
  <c r="G379" i="10"/>
  <c r="F379" i="10"/>
  <c r="E379" i="10"/>
  <c r="D379" i="10"/>
  <c r="B379" i="10"/>
  <c r="AL378" i="10"/>
  <c r="AH378" i="10"/>
  <c r="V377" i="10"/>
  <c r="L378" i="10"/>
  <c r="A378" i="10" s="1"/>
  <c r="J378" i="10"/>
  <c r="I378" i="10"/>
  <c r="H378" i="10"/>
  <c r="G378" i="10"/>
  <c r="F378" i="10"/>
  <c r="E378" i="10"/>
  <c r="D378" i="10"/>
  <c r="B378" i="10"/>
  <c r="AL377" i="10"/>
  <c r="Q377" i="10"/>
  <c r="L377" i="10"/>
  <c r="A377" i="10" s="1"/>
  <c r="J377" i="10"/>
  <c r="I377" i="10"/>
  <c r="H377" i="10"/>
  <c r="G377" i="10"/>
  <c r="F377" i="10"/>
  <c r="E377" i="10"/>
  <c r="D377" i="10"/>
  <c r="B377" i="10"/>
  <c r="AL376" i="10"/>
  <c r="AH376" i="10"/>
  <c r="L376" i="10"/>
  <c r="A376" i="10" s="1"/>
  <c r="K376" i="10"/>
  <c r="J376" i="10"/>
  <c r="I376" i="10"/>
  <c r="H376" i="10"/>
  <c r="G376" i="10"/>
  <c r="F376" i="10"/>
  <c r="D376" i="10"/>
  <c r="C376" i="10"/>
  <c r="B376" i="10"/>
  <c r="AL375" i="10"/>
  <c r="AH375" i="10"/>
  <c r="M375" i="10"/>
  <c r="L375" i="10"/>
  <c r="A375" i="10" s="1"/>
  <c r="K375" i="10"/>
  <c r="J375" i="10"/>
  <c r="I375" i="10"/>
  <c r="H375" i="10"/>
  <c r="G375" i="10"/>
  <c r="F375" i="10"/>
  <c r="D375" i="10"/>
  <c r="C375" i="10"/>
  <c r="B375" i="10"/>
  <c r="AL374" i="10"/>
  <c r="AH374" i="10"/>
  <c r="L374" i="10"/>
  <c r="A374" i="10" s="1"/>
  <c r="K374" i="10"/>
  <c r="J374" i="10"/>
  <c r="I374" i="10"/>
  <c r="H374" i="10"/>
  <c r="G374" i="10"/>
  <c r="F374" i="10"/>
  <c r="D374" i="10"/>
  <c r="C374" i="10"/>
  <c r="B374" i="10"/>
  <c r="AL373" i="10"/>
  <c r="AH373" i="10"/>
  <c r="L373" i="10"/>
  <c r="A373" i="10" s="1"/>
  <c r="K373" i="10"/>
  <c r="J373" i="10"/>
  <c r="I373" i="10"/>
  <c r="H373" i="10"/>
  <c r="G373" i="10"/>
  <c r="F373" i="10"/>
  <c r="D373" i="10"/>
  <c r="C373" i="10"/>
  <c r="B373" i="10"/>
  <c r="AL372" i="10"/>
  <c r="M372" i="10"/>
  <c r="L372" i="10"/>
  <c r="A372" i="10" s="1"/>
  <c r="K372" i="10"/>
  <c r="J372" i="10"/>
  <c r="I372" i="10"/>
  <c r="H372" i="10"/>
  <c r="G372" i="10"/>
  <c r="F372" i="10"/>
  <c r="D372" i="10"/>
  <c r="C372" i="10"/>
  <c r="B372" i="10"/>
  <c r="AL371" i="10"/>
  <c r="AH371" i="10"/>
  <c r="L371" i="10"/>
  <c r="A371" i="10" s="1"/>
  <c r="K371" i="10"/>
  <c r="J371" i="10"/>
  <c r="I371" i="10"/>
  <c r="H371" i="10"/>
  <c r="G371" i="10"/>
  <c r="F371" i="10"/>
  <c r="D371" i="10"/>
  <c r="C371" i="10"/>
  <c r="B371" i="10"/>
  <c r="AL370" i="10"/>
  <c r="AH370" i="10"/>
  <c r="L370" i="10"/>
  <c r="A370" i="10" s="1"/>
  <c r="K370" i="10"/>
  <c r="J370" i="10"/>
  <c r="I370" i="10"/>
  <c r="H370" i="10"/>
  <c r="G370" i="10"/>
  <c r="F370" i="10"/>
  <c r="E370" i="10"/>
  <c r="D370" i="10"/>
  <c r="C370" i="10"/>
  <c r="B370" i="10"/>
  <c r="AL369" i="10"/>
  <c r="AH369" i="10"/>
  <c r="L369" i="10"/>
  <c r="A369" i="10" s="1"/>
  <c r="K369" i="10"/>
  <c r="J369" i="10"/>
  <c r="I369" i="10"/>
  <c r="H369" i="10"/>
  <c r="G369" i="10"/>
  <c r="F369" i="10"/>
  <c r="D369" i="10"/>
  <c r="C369" i="10"/>
  <c r="B369" i="10"/>
  <c r="AL368" i="10"/>
  <c r="AH368" i="10"/>
  <c r="M368" i="10"/>
  <c r="L368" i="10"/>
  <c r="A368" i="10" s="1"/>
  <c r="K368" i="10"/>
  <c r="J368" i="10"/>
  <c r="I368" i="10"/>
  <c r="H368" i="10"/>
  <c r="G368" i="10"/>
  <c r="F368" i="10"/>
  <c r="D368" i="10"/>
  <c r="C368" i="10"/>
  <c r="B368" i="10"/>
  <c r="AL367" i="10"/>
  <c r="AH367" i="10"/>
  <c r="L367" i="10"/>
  <c r="A367" i="10" s="1"/>
  <c r="K367" i="10"/>
  <c r="J367" i="10"/>
  <c r="I367" i="10"/>
  <c r="H367" i="10"/>
  <c r="G367" i="10"/>
  <c r="F367" i="10"/>
  <c r="D367" i="10"/>
  <c r="C367" i="10"/>
  <c r="B367" i="10"/>
  <c r="AL366" i="10"/>
  <c r="AH366" i="10"/>
  <c r="M366" i="10"/>
  <c r="L366" i="10"/>
  <c r="A366" i="10" s="1"/>
  <c r="K366" i="10"/>
  <c r="J366" i="10"/>
  <c r="H366" i="10"/>
  <c r="G366" i="10"/>
  <c r="F366" i="10"/>
  <c r="D366" i="10"/>
  <c r="C366" i="10"/>
  <c r="B366" i="10"/>
  <c r="AL365" i="10"/>
  <c r="AH365" i="10"/>
  <c r="AC365" i="10"/>
  <c r="L365" i="10"/>
  <c r="A365" i="10" s="1"/>
  <c r="K365" i="10"/>
  <c r="J365" i="10"/>
  <c r="I365" i="10"/>
  <c r="H365" i="10"/>
  <c r="G365" i="10"/>
  <c r="F365" i="10"/>
  <c r="D365" i="10"/>
  <c r="C365" i="10"/>
  <c r="B365" i="10"/>
  <c r="AL364" i="10"/>
  <c r="AC364" i="10"/>
  <c r="L364" i="10"/>
  <c r="A364" i="10" s="1"/>
  <c r="K364" i="10"/>
  <c r="J364" i="10"/>
  <c r="I364" i="10"/>
  <c r="H364" i="10"/>
  <c r="G364" i="10"/>
  <c r="F364" i="10"/>
  <c r="D364" i="10"/>
  <c r="C364" i="10"/>
  <c r="B364" i="10"/>
  <c r="M363" i="10"/>
  <c r="L363" i="10"/>
  <c r="A363" i="10" s="1"/>
  <c r="K363" i="10"/>
  <c r="J363" i="10"/>
  <c r="I363" i="10"/>
  <c r="H363" i="10"/>
  <c r="G363" i="10"/>
  <c r="F363" i="10"/>
  <c r="D363" i="10"/>
  <c r="C363" i="10"/>
  <c r="B363" i="10"/>
  <c r="AL362" i="10"/>
  <c r="AH362" i="10"/>
  <c r="L362" i="10"/>
  <c r="A362" i="10" s="1"/>
  <c r="K362" i="10"/>
  <c r="J362" i="10"/>
  <c r="H362" i="10"/>
  <c r="G362" i="10"/>
  <c r="F362" i="10"/>
  <c r="D362" i="10"/>
  <c r="C362" i="10"/>
  <c r="B362" i="10"/>
  <c r="AL361" i="10"/>
  <c r="AH361" i="10"/>
  <c r="L361" i="10"/>
  <c r="A361" i="10" s="1"/>
  <c r="K361" i="10"/>
  <c r="J361" i="10"/>
  <c r="I361" i="10"/>
  <c r="H361" i="10"/>
  <c r="G361" i="10"/>
  <c r="F361" i="10"/>
  <c r="D361" i="10"/>
  <c r="C361" i="10"/>
  <c r="B361" i="10"/>
  <c r="AL360" i="10"/>
  <c r="AH360" i="10"/>
  <c r="M360" i="10"/>
  <c r="L360" i="10"/>
  <c r="A360" i="10" s="1"/>
  <c r="K360" i="10"/>
  <c r="J360" i="10"/>
  <c r="I360" i="10"/>
  <c r="H360" i="10"/>
  <c r="G360" i="10"/>
  <c r="F360" i="10"/>
  <c r="D360" i="10"/>
  <c r="C360" i="10"/>
  <c r="B360" i="10"/>
  <c r="AL359" i="10"/>
  <c r="AH359" i="10"/>
  <c r="L359" i="10"/>
  <c r="A359" i="10" s="1"/>
  <c r="K359" i="10"/>
  <c r="J359" i="10"/>
  <c r="I359" i="10"/>
  <c r="H359" i="10"/>
  <c r="G359" i="10"/>
  <c r="F359" i="10"/>
  <c r="D359" i="10"/>
  <c r="C359" i="10"/>
  <c r="B359" i="10"/>
  <c r="AL358" i="10"/>
  <c r="AH358" i="10"/>
  <c r="L358" i="10"/>
  <c r="A358" i="10" s="1"/>
  <c r="K358" i="10"/>
  <c r="J358" i="10"/>
  <c r="I358" i="10"/>
  <c r="H358" i="10"/>
  <c r="G358" i="10"/>
  <c r="F358" i="10"/>
  <c r="D358" i="10"/>
  <c r="C358" i="10"/>
  <c r="B358" i="10"/>
  <c r="AL357" i="10"/>
  <c r="AH357" i="10"/>
  <c r="L357" i="10"/>
  <c r="A357" i="10" s="1"/>
  <c r="K357" i="10"/>
  <c r="J357" i="10"/>
  <c r="I357" i="10"/>
  <c r="H357" i="10"/>
  <c r="G357" i="10"/>
  <c r="F357" i="10"/>
  <c r="D357" i="10"/>
  <c r="C357" i="10"/>
  <c r="B357" i="10"/>
  <c r="AL356" i="10"/>
  <c r="AH356" i="10"/>
  <c r="X355" i="10"/>
  <c r="M356" i="10"/>
  <c r="L356" i="10"/>
  <c r="A356" i="10" s="1"/>
  <c r="K356" i="10"/>
  <c r="J356" i="10"/>
  <c r="I356" i="10"/>
  <c r="H356" i="10"/>
  <c r="G356" i="10"/>
  <c r="F356" i="10"/>
  <c r="D356" i="10"/>
  <c r="C356" i="10"/>
  <c r="B356" i="10"/>
  <c r="AL355" i="10"/>
  <c r="Q355" i="10"/>
  <c r="L355" i="10"/>
  <c r="A355" i="10" s="1"/>
  <c r="K355" i="10"/>
  <c r="J355" i="10"/>
  <c r="I355" i="10"/>
  <c r="H355" i="10"/>
  <c r="G355" i="10"/>
  <c r="F355" i="10"/>
  <c r="D355" i="10"/>
  <c r="C355" i="10"/>
  <c r="B355" i="10"/>
  <c r="AL354" i="10"/>
  <c r="AH354" i="10"/>
  <c r="M354" i="10"/>
  <c r="L354" i="10"/>
  <c r="A354" i="10" s="1"/>
  <c r="K354" i="10"/>
  <c r="J354" i="10"/>
  <c r="I354" i="10"/>
  <c r="H354" i="10"/>
  <c r="F354" i="10"/>
  <c r="E354" i="10"/>
  <c r="D354" i="10"/>
  <c r="C354" i="10"/>
  <c r="B354" i="10"/>
  <c r="AL353" i="10"/>
  <c r="AH353" i="10"/>
  <c r="M353" i="10"/>
  <c r="L353" i="10"/>
  <c r="A353" i="10" s="1"/>
  <c r="K353" i="10"/>
  <c r="J353" i="10"/>
  <c r="I353" i="10"/>
  <c r="H353" i="10"/>
  <c r="F353" i="10"/>
  <c r="E353" i="10"/>
  <c r="D353" i="10"/>
  <c r="C353" i="10"/>
  <c r="B353" i="10"/>
  <c r="AL352" i="10"/>
  <c r="AH352" i="10"/>
  <c r="M352" i="10"/>
  <c r="L352" i="10"/>
  <c r="A352" i="10" s="1"/>
  <c r="K352" i="10"/>
  <c r="J352" i="10"/>
  <c r="I352" i="10"/>
  <c r="H352" i="10"/>
  <c r="F352" i="10"/>
  <c r="E352" i="10"/>
  <c r="D352" i="10"/>
  <c r="C352" i="10"/>
  <c r="B352" i="10"/>
  <c r="AL351" i="10"/>
  <c r="L351" i="10"/>
  <c r="A351" i="10" s="1"/>
  <c r="K351" i="10"/>
  <c r="J351" i="10"/>
  <c r="I351" i="10"/>
  <c r="H351" i="10"/>
  <c r="F351" i="10"/>
  <c r="E351" i="10"/>
  <c r="D351" i="10"/>
  <c r="C351" i="10"/>
  <c r="B351" i="10"/>
  <c r="AL350" i="10"/>
  <c r="AH350" i="10"/>
  <c r="M350" i="10"/>
  <c r="L350" i="10"/>
  <c r="A350" i="10" s="1"/>
  <c r="K350" i="10"/>
  <c r="J350" i="10"/>
  <c r="I350" i="10"/>
  <c r="H350" i="10"/>
  <c r="F350" i="10"/>
  <c r="E350" i="10"/>
  <c r="D350" i="10"/>
  <c r="C350" i="10"/>
  <c r="B350" i="10"/>
  <c r="AL349" i="10"/>
  <c r="AH349" i="10"/>
  <c r="L349" i="10"/>
  <c r="A349" i="10" s="1"/>
  <c r="J349" i="10"/>
  <c r="I349" i="10"/>
  <c r="H349" i="10"/>
  <c r="F349" i="10"/>
  <c r="E349" i="10"/>
  <c r="D349" i="10"/>
  <c r="C349" i="10"/>
  <c r="B349" i="10"/>
  <c r="AL348" i="10"/>
  <c r="AH348" i="10"/>
  <c r="M348" i="10"/>
  <c r="L348" i="10"/>
  <c r="A348" i="10" s="1"/>
  <c r="K348" i="10"/>
  <c r="J348" i="10"/>
  <c r="I348" i="10"/>
  <c r="H348" i="10"/>
  <c r="F348" i="10"/>
  <c r="E348" i="10"/>
  <c r="D348" i="10"/>
  <c r="C348" i="10"/>
  <c r="B348" i="10"/>
  <c r="AL347" i="10"/>
  <c r="M347" i="10"/>
  <c r="L347" i="10"/>
  <c r="A347" i="10" s="1"/>
  <c r="K347" i="10"/>
  <c r="J347" i="10"/>
  <c r="I347" i="10"/>
  <c r="H347" i="10"/>
  <c r="F347" i="10"/>
  <c r="E347" i="10"/>
  <c r="D347" i="10"/>
  <c r="B347" i="10"/>
  <c r="AL346" i="10"/>
  <c r="AH346" i="10"/>
  <c r="M346" i="10"/>
  <c r="L346" i="10"/>
  <c r="A346" i="10" s="1"/>
  <c r="K346" i="10"/>
  <c r="J346" i="10"/>
  <c r="I346" i="10"/>
  <c r="H346" i="10"/>
  <c r="F346" i="10"/>
  <c r="E346" i="10"/>
  <c r="D346" i="10"/>
  <c r="C346" i="10"/>
  <c r="B346" i="10"/>
  <c r="L345" i="10"/>
  <c r="A345" i="10" s="1"/>
  <c r="J345" i="10"/>
  <c r="I345" i="10"/>
  <c r="H345" i="10"/>
  <c r="F345" i="10"/>
  <c r="E345" i="10"/>
  <c r="D345" i="10"/>
  <c r="C345" i="10"/>
  <c r="B345" i="10"/>
  <c r="AL344" i="10"/>
  <c r="AH344" i="10"/>
  <c r="M344" i="10"/>
  <c r="L344" i="10"/>
  <c r="A344" i="10" s="1"/>
  <c r="K344" i="10"/>
  <c r="J344" i="10"/>
  <c r="I344" i="10"/>
  <c r="H344" i="10"/>
  <c r="F344" i="10"/>
  <c r="E344" i="10"/>
  <c r="D344" i="10"/>
  <c r="C344" i="10"/>
  <c r="B344" i="10"/>
  <c r="AL343" i="10"/>
  <c r="L343" i="10"/>
  <c r="A343" i="10" s="1"/>
  <c r="J343" i="10"/>
  <c r="I343" i="10"/>
  <c r="H343" i="10"/>
  <c r="F343" i="10"/>
  <c r="E343" i="10"/>
  <c r="D343" i="10"/>
  <c r="C343" i="10"/>
  <c r="B343" i="10"/>
  <c r="AL342" i="10"/>
  <c r="AH342" i="10"/>
  <c r="L342" i="10"/>
  <c r="A342" i="10" s="1"/>
  <c r="K342" i="10"/>
  <c r="J342" i="10"/>
  <c r="I342" i="10"/>
  <c r="H342" i="10"/>
  <c r="F342" i="10"/>
  <c r="E342" i="10"/>
  <c r="D342" i="10"/>
  <c r="C342" i="10"/>
  <c r="B342" i="10"/>
  <c r="AL341" i="10"/>
  <c r="AH341" i="10"/>
  <c r="M341" i="10"/>
  <c r="L341" i="10"/>
  <c r="A341" i="10" s="1"/>
  <c r="K341" i="10"/>
  <c r="J341" i="10"/>
  <c r="I341" i="10"/>
  <c r="H341" i="10"/>
  <c r="F341" i="10"/>
  <c r="E341" i="10"/>
  <c r="D341" i="10"/>
  <c r="B341" i="10"/>
  <c r="AL340" i="10"/>
  <c r="AH340" i="10"/>
  <c r="M340" i="10"/>
  <c r="L340" i="10"/>
  <c r="A340" i="10" s="1"/>
  <c r="K340" i="10"/>
  <c r="J340" i="10"/>
  <c r="I340" i="10"/>
  <c r="H340" i="10"/>
  <c r="F340" i="10"/>
  <c r="E340" i="10"/>
  <c r="D340" i="10"/>
  <c r="C340" i="10"/>
  <c r="B340" i="10"/>
  <c r="AL339" i="10"/>
  <c r="AC339" i="10"/>
  <c r="L339" i="10"/>
  <c r="A339" i="10" s="1"/>
  <c r="K339" i="10"/>
  <c r="J339" i="10"/>
  <c r="I339" i="10"/>
  <c r="H339" i="10"/>
  <c r="F339" i="10"/>
  <c r="E339" i="10"/>
  <c r="D339" i="10"/>
  <c r="C339" i="10"/>
  <c r="B339" i="10"/>
  <c r="AL338" i="10"/>
  <c r="AH338" i="10"/>
  <c r="M338" i="10"/>
  <c r="L338" i="10"/>
  <c r="A338" i="10" s="1"/>
  <c r="K338" i="10"/>
  <c r="J338" i="10"/>
  <c r="I338" i="10"/>
  <c r="H338" i="10"/>
  <c r="F338" i="10"/>
  <c r="E338" i="10"/>
  <c r="D338" i="10"/>
  <c r="C338" i="10"/>
  <c r="B338" i="10"/>
  <c r="AL337" i="10"/>
  <c r="AH337" i="10"/>
  <c r="AC337" i="10"/>
  <c r="M337" i="10"/>
  <c r="L337" i="10"/>
  <c r="A337" i="10" s="1"/>
  <c r="K337" i="10"/>
  <c r="J337" i="10"/>
  <c r="I337" i="10"/>
  <c r="H337" i="10"/>
  <c r="F337" i="10"/>
  <c r="E337" i="10"/>
  <c r="D337" i="10"/>
  <c r="C337" i="10"/>
  <c r="B337" i="10"/>
  <c r="AL336" i="10"/>
  <c r="AH336" i="10"/>
  <c r="M336" i="10"/>
  <c r="L336" i="10"/>
  <c r="A336" i="10" s="1"/>
  <c r="K336" i="10"/>
  <c r="J336" i="10"/>
  <c r="I336" i="10"/>
  <c r="H336" i="10"/>
  <c r="F336" i="10"/>
  <c r="E336" i="10"/>
  <c r="D336" i="10"/>
  <c r="C336" i="10"/>
  <c r="B336" i="10"/>
  <c r="AL335" i="10"/>
  <c r="AA333" i="10"/>
  <c r="X333" i="10"/>
  <c r="M335" i="10"/>
  <c r="L335" i="10"/>
  <c r="A335" i="10" s="1"/>
  <c r="J335" i="10"/>
  <c r="I335" i="10"/>
  <c r="H335" i="10"/>
  <c r="F335" i="10"/>
  <c r="E335" i="10"/>
  <c r="D335" i="10"/>
  <c r="C335" i="10"/>
  <c r="B335" i="10"/>
  <c r="AL334" i="10"/>
  <c r="AH334" i="10"/>
  <c r="L334" i="10"/>
  <c r="A334" i="10" s="1"/>
  <c r="K334" i="10"/>
  <c r="J334" i="10"/>
  <c r="I334" i="10"/>
  <c r="H334" i="10"/>
  <c r="F334" i="10"/>
  <c r="E334" i="10"/>
  <c r="D334" i="10"/>
  <c r="C334" i="10"/>
  <c r="B334" i="10"/>
  <c r="AL333" i="10"/>
  <c r="Y333" i="10"/>
  <c r="Q333" i="10"/>
  <c r="M333" i="10"/>
  <c r="L333" i="10"/>
  <c r="A333" i="10" s="1"/>
  <c r="K333" i="10"/>
  <c r="J333" i="10"/>
  <c r="I333" i="10"/>
  <c r="H333" i="10"/>
  <c r="F333" i="10"/>
  <c r="E333" i="10"/>
  <c r="D333" i="10"/>
  <c r="C333" i="10"/>
  <c r="B333" i="10"/>
  <c r="AL332" i="10"/>
  <c r="AH332" i="10"/>
  <c r="M332" i="10"/>
  <c r="L332" i="10"/>
  <c r="A332" i="10" s="1"/>
  <c r="K332" i="10"/>
  <c r="J332" i="10"/>
  <c r="H332" i="10"/>
  <c r="G332" i="10"/>
  <c r="F332" i="10"/>
  <c r="E332" i="10"/>
  <c r="D332" i="10"/>
  <c r="C332" i="10"/>
  <c r="B332" i="10"/>
  <c r="AL331" i="10"/>
  <c r="AH331" i="10"/>
  <c r="M331" i="10"/>
  <c r="L331" i="10"/>
  <c r="A331" i="10" s="1"/>
  <c r="K331" i="10"/>
  <c r="J331" i="10"/>
  <c r="H331" i="10"/>
  <c r="G331" i="10"/>
  <c r="F331" i="10"/>
  <c r="E331" i="10"/>
  <c r="D331" i="10"/>
  <c r="C331" i="10"/>
  <c r="B331" i="10"/>
  <c r="AL330" i="10"/>
  <c r="AH330" i="10"/>
  <c r="M330" i="10"/>
  <c r="L330" i="10"/>
  <c r="A330" i="10" s="1"/>
  <c r="K330" i="10"/>
  <c r="J330" i="10"/>
  <c r="H330" i="10"/>
  <c r="G330" i="10"/>
  <c r="F330" i="10"/>
  <c r="E330" i="10"/>
  <c r="D330" i="10"/>
  <c r="C330" i="10"/>
  <c r="B330" i="10"/>
  <c r="AL329" i="10"/>
  <c r="AH329" i="10"/>
  <c r="M329" i="10"/>
  <c r="L329" i="10"/>
  <c r="A329" i="10" s="1"/>
  <c r="K329" i="10"/>
  <c r="J329" i="10"/>
  <c r="H329" i="10"/>
  <c r="G329" i="10"/>
  <c r="F329" i="10"/>
  <c r="E329" i="10"/>
  <c r="D329" i="10"/>
  <c r="C329" i="10"/>
  <c r="B329" i="10"/>
  <c r="AL328" i="10"/>
  <c r="AH328" i="10"/>
  <c r="AC328" i="10"/>
  <c r="M328" i="10"/>
  <c r="L328" i="10"/>
  <c r="A328" i="10" s="1"/>
  <c r="K328" i="10"/>
  <c r="J328" i="10"/>
  <c r="H328" i="10"/>
  <c r="G328" i="10"/>
  <c r="F328" i="10"/>
  <c r="E328" i="10"/>
  <c r="D328" i="10"/>
  <c r="C328" i="10"/>
  <c r="B328" i="10"/>
  <c r="M327" i="10"/>
  <c r="L327" i="10"/>
  <c r="A327" i="10" s="1"/>
  <c r="K327" i="10"/>
  <c r="J327" i="10"/>
  <c r="H327" i="10"/>
  <c r="G327" i="10"/>
  <c r="F327" i="10"/>
  <c r="E327" i="10"/>
  <c r="D327" i="10"/>
  <c r="C327" i="10"/>
  <c r="B327" i="10"/>
  <c r="AL326" i="10"/>
  <c r="M326" i="10"/>
  <c r="L326" i="10"/>
  <c r="A326" i="10" s="1"/>
  <c r="K326" i="10"/>
  <c r="J326" i="10"/>
  <c r="H326" i="10"/>
  <c r="G326" i="10"/>
  <c r="F326" i="10"/>
  <c r="D326" i="10"/>
  <c r="C326" i="10"/>
  <c r="B326" i="10"/>
  <c r="AL325" i="10"/>
  <c r="AH325" i="10"/>
  <c r="M325" i="10"/>
  <c r="L325" i="10"/>
  <c r="A325" i="10" s="1"/>
  <c r="K325" i="10"/>
  <c r="J325" i="10"/>
  <c r="H325" i="10"/>
  <c r="G325" i="10"/>
  <c r="F325" i="10"/>
  <c r="E325" i="10"/>
  <c r="D325" i="10"/>
  <c r="C325" i="10"/>
  <c r="B325" i="10"/>
  <c r="AL324" i="10"/>
  <c r="AH324" i="10"/>
  <c r="M324" i="10"/>
  <c r="L324" i="10"/>
  <c r="A324" i="10" s="1"/>
  <c r="K324" i="10"/>
  <c r="J324" i="10"/>
  <c r="H324" i="10"/>
  <c r="G324" i="10"/>
  <c r="F324" i="10"/>
  <c r="E324" i="10"/>
  <c r="D324" i="10"/>
  <c r="C324" i="10"/>
  <c r="B324" i="10"/>
  <c r="AL323" i="10"/>
  <c r="AH323" i="10"/>
  <c r="M323" i="10"/>
  <c r="L323" i="10"/>
  <c r="A323" i="10" s="1"/>
  <c r="K323" i="10"/>
  <c r="J323" i="10"/>
  <c r="H323" i="10"/>
  <c r="G323" i="10"/>
  <c r="F323" i="10"/>
  <c r="E323" i="10"/>
  <c r="D323" i="10"/>
  <c r="C323" i="10"/>
  <c r="B323" i="10"/>
  <c r="AL322" i="10"/>
  <c r="M322" i="10"/>
  <c r="L322" i="10"/>
  <c r="A322" i="10" s="1"/>
  <c r="K322" i="10"/>
  <c r="J322" i="10"/>
  <c r="H322" i="10"/>
  <c r="G322" i="10"/>
  <c r="F322" i="10"/>
  <c r="E322" i="10"/>
  <c r="D322" i="10"/>
  <c r="C322" i="10"/>
  <c r="B322" i="10"/>
  <c r="AL321" i="10"/>
  <c r="AH321" i="10"/>
  <c r="M321" i="10"/>
  <c r="L321" i="10"/>
  <c r="A321" i="10" s="1"/>
  <c r="K321" i="10"/>
  <c r="J321" i="10"/>
  <c r="H321" i="10"/>
  <c r="G321" i="10"/>
  <c r="F321" i="10"/>
  <c r="D321" i="10"/>
  <c r="C321" i="10"/>
  <c r="B321" i="10"/>
  <c r="AL320" i="10"/>
  <c r="AH320" i="10"/>
  <c r="M320" i="10"/>
  <c r="L320" i="10"/>
  <c r="A320" i="10" s="1"/>
  <c r="K320" i="10"/>
  <c r="J320" i="10"/>
  <c r="H320" i="10"/>
  <c r="G320" i="10"/>
  <c r="F320" i="10"/>
  <c r="E320" i="10"/>
  <c r="D320" i="10"/>
  <c r="C320" i="10"/>
  <c r="B320" i="10"/>
  <c r="AL319" i="10"/>
  <c r="AH319" i="10"/>
  <c r="M319" i="10"/>
  <c r="L319" i="10"/>
  <c r="A319" i="10" s="1"/>
  <c r="K319" i="10"/>
  <c r="J319" i="10"/>
  <c r="H319" i="10"/>
  <c r="G319" i="10"/>
  <c r="F319" i="10"/>
  <c r="E319" i="10"/>
  <c r="D319" i="10"/>
  <c r="C319" i="10"/>
  <c r="B319" i="10"/>
  <c r="AL318" i="10"/>
  <c r="M318" i="10"/>
  <c r="L318" i="10"/>
  <c r="A318" i="10" s="1"/>
  <c r="K318" i="10"/>
  <c r="J318" i="10"/>
  <c r="H318" i="10"/>
  <c r="G318" i="10"/>
  <c r="F318" i="10"/>
  <c r="E318" i="10"/>
  <c r="D318" i="10"/>
  <c r="C318" i="10"/>
  <c r="B318" i="10"/>
  <c r="AL317" i="10"/>
  <c r="AH317" i="10"/>
  <c r="M317" i="10"/>
  <c r="L317" i="10"/>
  <c r="A317" i="10" s="1"/>
  <c r="K317" i="10"/>
  <c r="J317" i="10"/>
  <c r="H317" i="10"/>
  <c r="G317" i="10"/>
  <c r="F317" i="10"/>
  <c r="E317" i="10"/>
  <c r="D317" i="10"/>
  <c r="C317" i="10"/>
  <c r="B317" i="10"/>
  <c r="AL316" i="10"/>
  <c r="AH316" i="10"/>
  <c r="M316" i="10"/>
  <c r="L316" i="10"/>
  <c r="A316" i="10" s="1"/>
  <c r="K316" i="10"/>
  <c r="J316" i="10"/>
  <c r="H316" i="10"/>
  <c r="G316" i="10"/>
  <c r="F316" i="10"/>
  <c r="D316" i="10"/>
  <c r="C316" i="10"/>
  <c r="B316" i="10"/>
  <c r="AL315" i="10"/>
  <c r="AH315" i="10"/>
  <c r="AC315" i="10"/>
  <c r="M315" i="10"/>
  <c r="L315" i="10"/>
  <c r="A315" i="10" s="1"/>
  <c r="K315" i="10"/>
  <c r="J315" i="10"/>
  <c r="H315" i="10"/>
  <c r="G315" i="10"/>
  <c r="F315" i="10"/>
  <c r="E315" i="10"/>
  <c r="D315" i="10"/>
  <c r="C315" i="10"/>
  <c r="B315" i="10"/>
  <c r="AL314" i="10"/>
  <c r="M314" i="10"/>
  <c r="L314" i="10"/>
  <c r="A314" i="10" s="1"/>
  <c r="K314" i="10"/>
  <c r="J314" i="10"/>
  <c r="H314" i="10"/>
  <c r="G314" i="10"/>
  <c r="F314" i="10"/>
  <c r="E314" i="10"/>
  <c r="D314" i="10"/>
  <c r="C314" i="10"/>
  <c r="B314" i="10"/>
  <c r="AL313" i="10"/>
  <c r="AH313" i="10"/>
  <c r="AC313" i="10"/>
  <c r="M313" i="10"/>
  <c r="L313" i="10"/>
  <c r="A313" i="10" s="1"/>
  <c r="K313" i="10"/>
  <c r="J313" i="10"/>
  <c r="I313" i="10"/>
  <c r="H313" i="10"/>
  <c r="G313" i="10"/>
  <c r="F313" i="10"/>
  <c r="E313" i="10"/>
  <c r="D313" i="10"/>
  <c r="C313" i="10"/>
  <c r="B313" i="10"/>
  <c r="AL312" i="10"/>
  <c r="AH312" i="10"/>
  <c r="Y311" i="10"/>
  <c r="V311" i="10"/>
  <c r="M312" i="10"/>
  <c r="L312" i="10"/>
  <c r="A312" i="10" s="1"/>
  <c r="K312" i="10"/>
  <c r="J312" i="10"/>
  <c r="I312" i="10"/>
  <c r="H312" i="10"/>
  <c r="G312" i="10"/>
  <c r="F312" i="10"/>
  <c r="E312" i="10"/>
  <c r="D312" i="10"/>
  <c r="C312" i="10"/>
  <c r="B312" i="10"/>
  <c r="AL311" i="10"/>
  <c r="U311" i="10"/>
  <c r="Q311" i="10"/>
  <c r="M311" i="10"/>
  <c r="L311" i="10"/>
  <c r="A311" i="10" s="1"/>
  <c r="K311" i="10"/>
  <c r="J311" i="10"/>
  <c r="H311" i="10"/>
  <c r="G311" i="10"/>
  <c r="F311" i="10"/>
  <c r="E311" i="10"/>
  <c r="D311" i="10"/>
  <c r="C311" i="10"/>
  <c r="B311" i="10"/>
  <c r="AL310" i="10"/>
  <c r="AH310" i="10"/>
  <c r="M310" i="10"/>
  <c r="L310" i="10"/>
  <c r="A310" i="10" s="1"/>
  <c r="J310" i="10"/>
  <c r="I310" i="10"/>
  <c r="H310" i="10"/>
  <c r="G310" i="10"/>
  <c r="F310" i="10"/>
  <c r="E310" i="10"/>
  <c r="D310" i="10"/>
  <c r="B310" i="10"/>
  <c r="M309" i="10"/>
  <c r="L309" i="10"/>
  <c r="A309" i="10" s="1"/>
  <c r="J309" i="10"/>
  <c r="I309" i="10"/>
  <c r="H309" i="10"/>
  <c r="G309" i="10"/>
  <c r="F309" i="10"/>
  <c r="E309" i="10"/>
  <c r="D309" i="10"/>
  <c r="B309" i="10"/>
  <c r="AL308" i="10"/>
  <c r="AH308" i="10"/>
  <c r="M308" i="10"/>
  <c r="L308" i="10"/>
  <c r="A308" i="10" s="1"/>
  <c r="J308" i="10"/>
  <c r="I308" i="10"/>
  <c r="H308" i="10"/>
  <c r="F308" i="10"/>
  <c r="E308" i="10"/>
  <c r="D308" i="10"/>
  <c r="B308" i="10"/>
  <c r="AL307" i="10"/>
  <c r="AH307" i="10"/>
  <c r="M307" i="10"/>
  <c r="L307" i="10"/>
  <c r="A307" i="10" s="1"/>
  <c r="J307" i="10"/>
  <c r="I307" i="10"/>
  <c r="H307" i="10"/>
  <c r="G307" i="10"/>
  <c r="F307" i="10"/>
  <c r="E307" i="10"/>
  <c r="D307" i="10"/>
  <c r="B307" i="10"/>
  <c r="AL306" i="10"/>
  <c r="AH306" i="10"/>
  <c r="M306" i="10"/>
  <c r="L306" i="10"/>
  <c r="A306" i="10" s="1"/>
  <c r="J306" i="10"/>
  <c r="I306" i="10"/>
  <c r="H306" i="10"/>
  <c r="F306" i="10"/>
  <c r="E306" i="10"/>
  <c r="D306" i="10"/>
  <c r="B306" i="10"/>
  <c r="AL305" i="10"/>
  <c r="AH305" i="10"/>
  <c r="M305" i="10"/>
  <c r="L305" i="10"/>
  <c r="A305" i="10" s="1"/>
  <c r="J305" i="10"/>
  <c r="I305" i="10"/>
  <c r="H305" i="10"/>
  <c r="G305" i="10"/>
  <c r="F305" i="10"/>
  <c r="E305" i="10"/>
  <c r="D305" i="10"/>
  <c r="B305" i="10"/>
  <c r="AL304" i="10"/>
  <c r="AH304" i="10"/>
  <c r="M304" i="10"/>
  <c r="L304" i="10"/>
  <c r="A304" i="10" s="1"/>
  <c r="J304" i="10"/>
  <c r="I304" i="10"/>
  <c r="H304" i="10"/>
  <c r="F304" i="10"/>
  <c r="E304" i="10"/>
  <c r="D304" i="10"/>
  <c r="B304" i="10"/>
  <c r="AL303" i="10"/>
  <c r="AH303" i="10"/>
  <c r="M303" i="10"/>
  <c r="L303" i="10"/>
  <c r="A303" i="10" s="1"/>
  <c r="J303" i="10"/>
  <c r="I303" i="10"/>
  <c r="H303" i="10"/>
  <c r="G303" i="10"/>
  <c r="F303" i="10"/>
  <c r="E303" i="10"/>
  <c r="D303" i="10"/>
  <c r="B303" i="10"/>
  <c r="AL302" i="10"/>
  <c r="AH302" i="10"/>
  <c r="M302" i="10"/>
  <c r="L302" i="10"/>
  <c r="A302" i="10" s="1"/>
  <c r="J302" i="10"/>
  <c r="I302" i="10"/>
  <c r="H302" i="10"/>
  <c r="F302" i="10"/>
  <c r="E302" i="10"/>
  <c r="D302" i="10"/>
  <c r="B302" i="10"/>
  <c r="AL301" i="10"/>
  <c r="AH301" i="10"/>
  <c r="M301" i="10"/>
  <c r="L301" i="10"/>
  <c r="A301" i="10" s="1"/>
  <c r="J301" i="10"/>
  <c r="I301" i="10"/>
  <c r="H301" i="10"/>
  <c r="G301" i="10"/>
  <c r="F301" i="10"/>
  <c r="E301" i="10"/>
  <c r="D301" i="10"/>
  <c r="B301" i="10"/>
  <c r="AL300" i="10"/>
  <c r="AH300" i="10"/>
  <c r="M300" i="10"/>
  <c r="L300" i="10"/>
  <c r="A300" i="10" s="1"/>
  <c r="J300" i="10"/>
  <c r="I300" i="10"/>
  <c r="H300" i="10"/>
  <c r="F300" i="10"/>
  <c r="E300" i="10"/>
  <c r="D300" i="10"/>
  <c r="B300" i="10"/>
  <c r="AL299" i="10"/>
  <c r="AH299" i="10"/>
  <c r="M299" i="10"/>
  <c r="L299" i="10"/>
  <c r="A299" i="10" s="1"/>
  <c r="J299" i="10"/>
  <c r="I299" i="10"/>
  <c r="H299" i="10"/>
  <c r="G299" i="10"/>
  <c r="F299" i="10"/>
  <c r="E299" i="10"/>
  <c r="D299" i="10"/>
  <c r="B299" i="10"/>
  <c r="AL298" i="10"/>
  <c r="AH298" i="10"/>
  <c r="M298" i="10"/>
  <c r="L298" i="10"/>
  <c r="A298" i="10" s="1"/>
  <c r="J298" i="10"/>
  <c r="I298" i="10"/>
  <c r="H298" i="10"/>
  <c r="F298" i="10"/>
  <c r="E298" i="10"/>
  <c r="D298" i="10"/>
  <c r="B298" i="10"/>
  <c r="AL297" i="10"/>
  <c r="AH297" i="10"/>
  <c r="M297" i="10"/>
  <c r="L297" i="10"/>
  <c r="A297" i="10" s="1"/>
  <c r="J297" i="10"/>
  <c r="I297" i="10"/>
  <c r="H297" i="10"/>
  <c r="G297" i="10"/>
  <c r="F297" i="10"/>
  <c r="E297" i="10"/>
  <c r="D297" i="10"/>
  <c r="B297" i="10"/>
  <c r="AL296" i="10"/>
  <c r="AH296" i="10"/>
  <c r="M296" i="10"/>
  <c r="L296" i="10"/>
  <c r="A296" i="10" s="1"/>
  <c r="J296" i="10"/>
  <c r="I296" i="10"/>
  <c r="H296" i="10"/>
  <c r="F296" i="10"/>
  <c r="E296" i="10"/>
  <c r="D296" i="10"/>
  <c r="B296" i="10"/>
  <c r="AL295" i="10"/>
  <c r="AH295" i="10"/>
  <c r="M295" i="10"/>
  <c r="L295" i="10"/>
  <c r="A295" i="10" s="1"/>
  <c r="J295" i="10"/>
  <c r="I295" i="10"/>
  <c r="H295" i="10"/>
  <c r="G295" i="10"/>
  <c r="F295" i="10"/>
  <c r="E295" i="10"/>
  <c r="D295" i="10"/>
  <c r="B295" i="10"/>
  <c r="AL294" i="10"/>
  <c r="AH294" i="10"/>
  <c r="AC294" i="10"/>
  <c r="L294" i="10"/>
  <c r="A294" i="10" s="1"/>
  <c r="J294" i="10"/>
  <c r="I294" i="10"/>
  <c r="H294" i="10"/>
  <c r="F294" i="10"/>
  <c r="E294" i="10"/>
  <c r="D294" i="10"/>
  <c r="B294" i="10"/>
  <c r="AL293" i="10"/>
  <c r="AC293" i="10"/>
  <c r="M293" i="10"/>
  <c r="L293" i="10"/>
  <c r="A293" i="10" s="1"/>
  <c r="J293" i="10"/>
  <c r="I293" i="10"/>
  <c r="H293" i="10"/>
  <c r="G293" i="10"/>
  <c r="F293" i="10"/>
  <c r="E293" i="10"/>
  <c r="D293" i="10"/>
  <c r="B293" i="10"/>
  <c r="AL292" i="10"/>
  <c r="AH292" i="10"/>
  <c r="M292" i="10"/>
  <c r="L292" i="10"/>
  <c r="A292" i="10" s="1"/>
  <c r="J292" i="10"/>
  <c r="I292" i="10"/>
  <c r="H292" i="10"/>
  <c r="F292" i="10"/>
  <c r="E292" i="10"/>
  <c r="D292" i="10"/>
  <c r="B292" i="10"/>
  <c r="L291" i="10"/>
  <c r="A291" i="10" s="1"/>
  <c r="K291" i="10"/>
  <c r="J291" i="10"/>
  <c r="I291" i="10"/>
  <c r="H291" i="10"/>
  <c r="G291" i="10"/>
  <c r="F291" i="10"/>
  <c r="E291" i="10"/>
  <c r="D291" i="10"/>
  <c r="C291" i="10"/>
  <c r="B291" i="10"/>
  <c r="AL290" i="10"/>
  <c r="AH290" i="10"/>
  <c r="X289" i="10"/>
  <c r="V289" i="10"/>
  <c r="L290" i="10"/>
  <c r="A290" i="10" s="1"/>
  <c r="J290" i="10"/>
  <c r="I290" i="10"/>
  <c r="H290" i="10"/>
  <c r="F290" i="10"/>
  <c r="E290" i="10"/>
  <c r="D290" i="10"/>
  <c r="B290" i="10"/>
  <c r="AL289" i="10"/>
  <c r="Q289" i="10"/>
  <c r="M289" i="10"/>
  <c r="L289" i="10"/>
  <c r="A289" i="10" s="1"/>
  <c r="J289" i="10"/>
  <c r="I289" i="10"/>
  <c r="H289" i="10"/>
  <c r="G289" i="10"/>
  <c r="F289" i="10"/>
  <c r="E289" i="10"/>
  <c r="D289" i="10"/>
  <c r="B289" i="10"/>
  <c r="AL288" i="10"/>
  <c r="AC288" i="10"/>
  <c r="L288" i="10"/>
  <c r="A288" i="10" s="1"/>
  <c r="K288" i="10"/>
  <c r="J288" i="10"/>
  <c r="I288" i="10"/>
  <c r="H288" i="10"/>
  <c r="G288" i="10"/>
  <c r="F288" i="10"/>
  <c r="D288" i="10"/>
  <c r="C288" i="10"/>
  <c r="B288" i="10"/>
  <c r="AL287" i="10"/>
  <c r="AH287" i="10"/>
  <c r="AC287" i="10"/>
  <c r="L287" i="10"/>
  <c r="A287" i="10" s="1"/>
  <c r="K287" i="10"/>
  <c r="J287" i="10"/>
  <c r="I287" i="10"/>
  <c r="H287" i="10"/>
  <c r="G287" i="10"/>
  <c r="F287" i="10"/>
  <c r="D287" i="10"/>
  <c r="C287" i="10"/>
  <c r="B287" i="10"/>
  <c r="AL286" i="10"/>
  <c r="AH286" i="10"/>
  <c r="L286" i="10"/>
  <c r="A286" i="10" s="1"/>
  <c r="K286" i="10"/>
  <c r="J286" i="10"/>
  <c r="I286" i="10"/>
  <c r="H286" i="10"/>
  <c r="G286" i="10"/>
  <c r="F286" i="10"/>
  <c r="D286" i="10"/>
  <c r="C286" i="10"/>
  <c r="B286" i="10"/>
  <c r="AL285" i="10"/>
  <c r="AH285" i="10"/>
  <c r="AC285" i="10"/>
  <c r="L285" i="10"/>
  <c r="A285" i="10" s="1"/>
  <c r="K285" i="10"/>
  <c r="J285" i="10"/>
  <c r="I285" i="10"/>
  <c r="H285" i="10"/>
  <c r="G285" i="10"/>
  <c r="F285" i="10"/>
  <c r="D285" i="10"/>
  <c r="C285" i="10"/>
  <c r="B285" i="10"/>
  <c r="AL284" i="10"/>
  <c r="AH284" i="10"/>
  <c r="M284" i="10"/>
  <c r="L284" i="10"/>
  <c r="A284" i="10" s="1"/>
  <c r="K284" i="10"/>
  <c r="J284" i="10"/>
  <c r="I284" i="10"/>
  <c r="H284" i="10"/>
  <c r="G284" i="10"/>
  <c r="F284" i="10"/>
  <c r="E284" i="10"/>
  <c r="D284" i="10"/>
  <c r="C284" i="10"/>
  <c r="B284" i="10"/>
  <c r="AL283" i="10"/>
  <c r="AH283" i="10"/>
  <c r="L283" i="10"/>
  <c r="A283" i="10" s="1"/>
  <c r="K283" i="10"/>
  <c r="J283" i="10"/>
  <c r="I283" i="10"/>
  <c r="H283" i="10"/>
  <c r="G283" i="10"/>
  <c r="F283" i="10"/>
  <c r="D283" i="10"/>
  <c r="C283" i="10"/>
  <c r="B283" i="10"/>
  <c r="AL282" i="10"/>
  <c r="AH282" i="10"/>
  <c r="L282" i="10"/>
  <c r="A282" i="10" s="1"/>
  <c r="K282" i="10"/>
  <c r="J282" i="10"/>
  <c r="I282" i="10"/>
  <c r="H282" i="10"/>
  <c r="G282" i="10"/>
  <c r="F282" i="10"/>
  <c r="D282" i="10"/>
  <c r="C282" i="10"/>
  <c r="B282" i="10"/>
  <c r="AL281" i="10"/>
  <c r="AH281" i="10"/>
  <c r="L281" i="10"/>
  <c r="A281" i="10" s="1"/>
  <c r="K281" i="10"/>
  <c r="J281" i="10"/>
  <c r="I281" i="10"/>
  <c r="H281" i="10"/>
  <c r="G281" i="10"/>
  <c r="F281" i="10"/>
  <c r="D281" i="10"/>
  <c r="C281" i="10"/>
  <c r="B281" i="10"/>
  <c r="AL280" i="10"/>
  <c r="AH280" i="10"/>
  <c r="L280" i="10"/>
  <c r="A280" i="10" s="1"/>
  <c r="K280" i="10"/>
  <c r="J280" i="10"/>
  <c r="I280" i="10"/>
  <c r="H280" i="10"/>
  <c r="G280" i="10"/>
  <c r="F280" i="10"/>
  <c r="D280" i="10"/>
  <c r="C280" i="10"/>
  <c r="B280" i="10"/>
  <c r="AL279" i="10"/>
  <c r="AH279" i="10"/>
  <c r="L279" i="10"/>
  <c r="A279" i="10" s="1"/>
  <c r="K279" i="10"/>
  <c r="J279" i="10"/>
  <c r="I279" i="10"/>
  <c r="H279" i="10"/>
  <c r="G279" i="10"/>
  <c r="F279" i="10"/>
  <c r="D279" i="10"/>
  <c r="C279" i="10"/>
  <c r="B279" i="10"/>
  <c r="AL278" i="10"/>
  <c r="AH278" i="10"/>
  <c r="M278" i="10"/>
  <c r="L278" i="10"/>
  <c r="A278" i="10" s="1"/>
  <c r="K278" i="10"/>
  <c r="J278" i="10"/>
  <c r="I278" i="10"/>
  <c r="H278" i="10"/>
  <c r="G278" i="10"/>
  <c r="F278" i="10"/>
  <c r="D278" i="10"/>
  <c r="C278" i="10"/>
  <c r="B278" i="10"/>
  <c r="AL277" i="10"/>
  <c r="AH277" i="10"/>
  <c r="L277" i="10"/>
  <c r="A277" i="10" s="1"/>
  <c r="K277" i="10"/>
  <c r="J277" i="10"/>
  <c r="I277" i="10"/>
  <c r="H277" i="10"/>
  <c r="G277" i="10"/>
  <c r="F277" i="10"/>
  <c r="E277" i="10"/>
  <c r="D277" i="10"/>
  <c r="C277" i="10"/>
  <c r="B277" i="10"/>
  <c r="AL276" i="10"/>
  <c r="AH276" i="10"/>
  <c r="L276" i="10"/>
  <c r="A276" i="10" s="1"/>
  <c r="K276" i="10"/>
  <c r="J276" i="10"/>
  <c r="I276" i="10"/>
  <c r="H276" i="10"/>
  <c r="G276" i="10"/>
  <c r="F276" i="10"/>
  <c r="D276" i="10"/>
  <c r="C276" i="10"/>
  <c r="B276" i="10"/>
  <c r="AL275" i="10"/>
  <c r="AH275" i="10"/>
  <c r="M275" i="10"/>
  <c r="L275" i="10"/>
  <c r="A275" i="10" s="1"/>
  <c r="K275" i="10"/>
  <c r="J275" i="10"/>
  <c r="I275" i="10"/>
  <c r="H275" i="10"/>
  <c r="G275" i="10"/>
  <c r="F275" i="10"/>
  <c r="D275" i="10"/>
  <c r="C275" i="10"/>
  <c r="B275" i="10"/>
  <c r="AL274" i="10"/>
  <c r="AH274" i="10"/>
  <c r="AC274" i="10"/>
  <c r="M274" i="10"/>
  <c r="L274" i="10"/>
  <c r="A274" i="10" s="1"/>
  <c r="K274" i="10"/>
  <c r="J274" i="10"/>
  <c r="I274" i="10"/>
  <c r="H274" i="10"/>
  <c r="G274" i="10"/>
  <c r="F274" i="10"/>
  <c r="D274" i="10"/>
  <c r="C274" i="10"/>
  <c r="B274" i="10"/>
  <c r="L273" i="10"/>
  <c r="A273" i="10" s="1"/>
  <c r="K273" i="10"/>
  <c r="J273" i="10"/>
  <c r="I273" i="10"/>
  <c r="H273" i="10"/>
  <c r="G273" i="10"/>
  <c r="F273" i="10"/>
  <c r="D273" i="10"/>
  <c r="C273" i="10"/>
  <c r="B273" i="10"/>
  <c r="AL272" i="10"/>
  <c r="M272" i="10"/>
  <c r="L272" i="10"/>
  <c r="A272" i="10" s="1"/>
  <c r="K272" i="10"/>
  <c r="J272" i="10"/>
  <c r="I272" i="10"/>
  <c r="H272" i="10"/>
  <c r="G272" i="10"/>
  <c r="F272" i="10"/>
  <c r="D272" i="10"/>
  <c r="C272" i="10"/>
  <c r="B272" i="10"/>
  <c r="AL271" i="10"/>
  <c r="AH271" i="10"/>
  <c r="L271" i="10"/>
  <c r="A271" i="10" s="1"/>
  <c r="K271" i="10"/>
  <c r="J271" i="10"/>
  <c r="I271" i="10"/>
  <c r="H271" i="10"/>
  <c r="G271" i="10"/>
  <c r="F271" i="10"/>
  <c r="D271" i="10"/>
  <c r="C271" i="10"/>
  <c r="B271" i="10"/>
  <c r="AL270" i="10"/>
  <c r="AH270" i="10"/>
  <c r="L270" i="10"/>
  <c r="A270" i="10" s="1"/>
  <c r="K270" i="10"/>
  <c r="J270" i="10"/>
  <c r="I270" i="10"/>
  <c r="H270" i="10"/>
  <c r="G270" i="10"/>
  <c r="F270" i="10"/>
  <c r="E270" i="10"/>
  <c r="D270" i="10"/>
  <c r="C270" i="10"/>
  <c r="B270" i="10"/>
  <c r="AL269" i="10"/>
  <c r="AH269" i="10"/>
  <c r="T267" i="10"/>
  <c r="L269" i="10"/>
  <c r="A269" i="10" s="1"/>
  <c r="K269" i="10"/>
  <c r="J269" i="10"/>
  <c r="I269" i="10"/>
  <c r="H269" i="10"/>
  <c r="G269" i="10"/>
  <c r="F269" i="10"/>
  <c r="D269" i="10"/>
  <c r="C269" i="10"/>
  <c r="B269" i="10"/>
  <c r="AL268" i="10"/>
  <c r="X267" i="10"/>
  <c r="U267" i="10"/>
  <c r="L268" i="10"/>
  <c r="A268" i="10" s="1"/>
  <c r="K268" i="10"/>
  <c r="J268" i="10"/>
  <c r="H268" i="10"/>
  <c r="G268" i="10"/>
  <c r="F268" i="10"/>
  <c r="D268" i="10"/>
  <c r="C268" i="10"/>
  <c r="B268" i="10"/>
  <c r="AL267" i="10"/>
  <c r="Q267" i="10"/>
  <c r="L267" i="10"/>
  <c r="A267" i="10" s="1"/>
  <c r="K267" i="10"/>
  <c r="J267" i="10"/>
  <c r="I267" i="10"/>
  <c r="H267" i="10"/>
  <c r="G267" i="10"/>
  <c r="F267" i="10"/>
  <c r="D267" i="10"/>
  <c r="C267" i="10"/>
  <c r="B267" i="10"/>
  <c r="AL266" i="10"/>
  <c r="AH266" i="10"/>
  <c r="M266" i="10"/>
  <c r="L266" i="10"/>
  <c r="A266" i="10" s="1"/>
  <c r="K266" i="10"/>
  <c r="J266" i="10"/>
  <c r="I266" i="10"/>
  <c r="H266" i="10"/>
  <c r="F266" i="10"/>
  <c r="E266" i="10"/>
  <c r="D266" i="10"/>
  <c r="C266" i="10"/>
  <c r="B266" i="10"/>
  <c r="AL265" i="10"/>
  <c r="AH265" i="10"/>
  <c r="AC265" i="10"/>
  <c r="M265" i="10"/>
  <c r="L265" i="10"/>
  <c r="A265" i="10" s="1"/>
  <c r="K265" i="10"/>
  <c r="J265" i="10"/>
  <c r="I265" i="10"/>
  <c r="H265" i="10"/>
  <c r="F265" i="10"/>
  <c r="E265" i="10"/>
  <c r="D265" i="10"/>
  <c r="C265" i="10"/>
  <c r="B265" i="10"/>
  <c r="AL264" i="10"/>
  <c r="AH264" i="10"/>
  <c r="L264" i="10"/>
  <c r="A264" i="10" s="1"/>
  <c r="K264" i="10"/>
  <c r="J264" i="10"/>
  <c r="I264" i="10"/>
  <c r="H264" i="10"/>
  <c r="F264" i="10"/>
  <c r="E264" i="10"/>
  <c r="D264" i="10"/>
  <c r="B264" i="10"/>
  <c r="AL263" i="10"/>
  <c r="M263" i="10"/>
  <c r="L263" i="10"/>
  <c r="A263" i="10" s="1"/>
  <c r="K263" i="10"/>
  <c r="J263" i="10"/>
  <c r="I263" i="10"/>
  <c r="H263" i="10"/>
  <c r="F263" i="10"/>
  <c r="E263" i="10"/>
  <c r="D263" i="10"/>
  <c r="C263" i="10"/>
  <c r="B263" i="10"/>
  <c r="AL262" i="10"/>
  <c r="AH262" i="10"/>
  <c r="M262" i="10"/>
  <c r="L262" i="10"/>
  <c r="A262" i="10" s="1"/>
  <c r="K262" i="10"/>
  <c r="J262" i="10"/>
  <c r="I262" i="10"/>
  <c r="H262" i="10"/>
  <c r="F262" i="10"/>
  <c r="E262" i="10"/>
  <c r="D262" i="10"/>
  <c r="C262" i="10"/>
  <c r="B262" i="10"/>
  <c r="AL261" i="10"/>
  <c r="AH261" i="10"/>
  <c r="AC261" i="10"/>
  <c r="M261" i="10"/>
  <c r="L261" i="10"/>
  <c r="A261" i="10" s="1"/>
  <c r="J261" i="10"/>
  <c r="I261" i="10"/>
  <c r="H261" i="10"/>
  <c r="F261" i="10"/>
  <c r="E261" i="10"/>
  <c r="D261" i="10"/>
  <c r="C261" i="10"/>
  <c r="B261" i="10"/>
  <c r="AL260" i="10"/>
  <c r="AH260" i="10"/>
  <c r="L260" i="10"/>
  <c r="A260" i="10" s="1"/>
  <c r="K260" i="10"/>
  <c r="J260" i="10"/>
  <c r="I260" i="10"/>
  <c r="H260" i="10"/>
  <c r="F260" i="10"/>
  <c r="E260" i="10"/>
  <c r="D260" i="10"/>
  <c r="C260" i="10"/>
  <c r="B260" i="10"/>
  <c r="AL259" i="10"/>
  <c r="M259" i="10"/>
  <c r="L259" i="10"/>
  <c r="A259" i="10" s="1"/>
  <c r="J259" i="10"/>
  <c r="I259" i="10"/>
  <c r="H259" i="10"/>
  <c r="F259" i="10"/>
  <c r="E259" i="10"/>
  <c r="D259" i="10"/>
  <c r="C259" i="10"/>
  <c r="B259" i="10"/>
  <c r="AL258" i="10"/>
  <c r="AH258" i="10"/>
  <c r="M258" i="10"/>
  <c r="L258" i="10"/>
  <c r="A258" i="10" s="1"/>
  <c r="K258" i="10"/>
  <c r="J258" i="10"/>
  <c r="I258" i="10"/>
  <c r="H258" i="10"/>
  <c r="F258" i="10"/>
  <c r="E258" i="10"/>
  <c r="D258" i="10"/>
  <c r="C258" i="10"/>
  <c r="B258" i="10"/>
  <c r="AL257" i="10"/>
  <c r="AH257" i="10"/>
  <c r="L257" i="10"/>
  <c r="A257" i="10" s="1"/>
  <c r="K257" i="10"/>
  <c r="J257" i="10"/>
  <c r="I257" i="10"/>
  <c r="H257" i="10"/>
  <c r="G257" i="10"/>
  <c r="F257" i="10"/>
  <c r="E257" i="10"/>
  <c r="D257" i="10"/>
  <c r="C257" i="10"/>
  <c r="B257" i="10"/>
  <c r="AL256" i="10"/>
  <c r="AH256" i="10"/>
  <c r="M256" i="10"/>
  <c r="L256" i="10"/>
  <c r="A256" i="10" s="1"/>
  <c r="K256" i="10"/>
  <c r="J256" i="10"/>
  <c r="I256" i="10"/>
  <c r="H256" i="10"/>
  <c r="F256" i="10"/>
  <c r="E256" i="10"/>
  <c r="D256" i="10"/>
  <c r="C256" i="10"/>
  <c r="B256" i="10"/>
  <c r="M255" i="10"/>
  <c r="L255" i="10"/>
  <c r="A255" i="10" s="1"/>
  <c r="K255" i="10"/>
  <c r="J255" i="10"/>
  <c r="I255" i="10"/>
  <c r="H255" i="10"/>
  <c r="F255" i="10"/>
  <c r="E255" i="10"/>
  <c r="D255" i="10"/>
  <c r="C255" i="10"/>
  <c r="B255" i="10"/>
  <c r="AL254" i="10"/>
  <c r="AH254" i="10"/>
  <c r="L254" i="10"/>
  <c r="A254" i="10" s="1"/>
  <c r="K254" i="10"/>
  <c r="J254" i="10"/>
  <c r="I254" i="10"/>
  <c r="H254" i="10"/>
  <c r="F254" i="10"/>
  <c r="E254" i="10"/>
  <c r="D254" i="10"/>
  <c r="C254" i="10"/>
  <c r="B254" i="10"/>
  <c r="AL253" i="10"/>
  <c r="AH253" i="10"/>
  <c r="M253" i="10"/>
  <c r="L253" i="10"/>
  <c r="A253" i="10" s="1"/>
  <c r="K253" i="10"/>
  <c r="J253" i="10"/>
  <c r="I253" i="10"/>
  <c r="H253" i="10"/>
  <c r="F253" i="10"/>
  <c r="E253" i="10"/>
  <c r="D253" i="10"/>
  <c r="C253" i="10"/>
  <c r="B253" i="10"/>
  <c r="AL252" i="10"/>
  <c r="AH252" i="10"/>
  <c r="M252" i="10"/>
  <c r="L252" i="10"/>
  <c r="A252" i="10" s="1"/>
  <c r="J252" i="10"/>
  <c r="I252" i="10"/>
  <c r="H252" i="10"/>
  <c r="F252" i="10"/>
  <c r="E252" i="10"/>
  <c r="D252" i="10"/>
  <c r="C252" i="10"/>
  <c r="B252" i="10"/>
  <c r="AL251" i="10"/>
  <c r="AH251" i="10"/>
  <c r="Y245" i="10"/>
  <c r="M251" i="10"/>
  <c r="L251" i="10"/>
  <c r="A251" i="10" s="1"/>
  <c r="K251" i="10"/>
  <c r="J251" i="10"/>
  <c r="I251" i="10"/>
  <c r="H251" i="10"/>
  <c r="F251" i="10"/>
  <c r="E251" i="10"/>
  <c r="D251" i="10"/>
  <c r="C251" i="10"/>
  <c r="B251" i="10"/>
  <c r="AL250" i="10"/>
  <c r="AH250" i="10"/>
  <c r="L250" i="10"/>
  <c r="A250" i="10" s="1"/>
  <c r="K250" i="10"/>
  <c r="J250" i="10"/>
  <c r="I250" i="10"/>
  <c r="H250" i="10"/>
  <c r="F250" i="10"/>
  <c r="E250" i="10"/>
  <c r="D250" i="10"/>
  <c r="C250" i="10"/>
  <c r="B250" i="10"/>
  <c r="AL249" i="10"/>
  <c r="AH249" i="10"/>
  <c r="M249" i="10"/>
  <c r="L249" i="10"/>
  <c r="A249" i="10" s="1"/>
  <c r="K249" i="10"/>
  <c r="J249" i="10"/>
  <c r="I249" i="10"/>
  <c r="H249" i="10"/>
  <c r="F249" i="10"/>
  <c r="E249" i="10"/>
  <c r="D249" i="10"/>
  <c r="C249" i="10"/>
  <c r="B249" i="10"/>
  <c r="AL248" i="10"/>
  <c r="AH248" i="10"/>
  <c r="M248" i="10"/>
  <c r="L248" i="10"/>
  <c r="A248" i="10" s="1"/>
  <c r="K248" i="10"/>
  <c r="J248" i="10"/>
  <c r="I248" i="10"/>
  <c r="H248" i="10"/>
  <c r="F248" i="10"/>
  <c r="E248" i="10"/>
  <c r="D248" i="10"/>
  <c r="C248" i="10"/>
  <c r="B248" i="10"/>
  <c r="AL247" i="10"/>
  <c r="Z245" i="10"/>
  <c r="M247" i="10"/>
  <c r="L247" i="10"/>
  <c r="A247" i="10" s="1"/>
  <c r="K247" i="10"/>
  <c r="J247" i="10"/>
  <c r="I247" i="10"/>
  <c r="H247" i="10"/>
  <c r="F247" i="10"/>
  <c r="E247" i="10"/>
  <c r="D247" i="10"/>
  <c r="B247" i="10"/>
  <c r="AL246" i="10"/>
  <c r="AH246" i="10"/>
  <c r="AA245" i="10"/>
  <c r="M246" i="10"/>
  <c r="L246" i="10"/>
  <c r="A246" i="10" s="1"/>
  <c r="K246" i="10"/>
  <c r="J246" i="10"/>
  <c r="I246" i="10"/>
  <c r="H246" i="10"/>
  <c r="F246" i="10"/>
  <c r="E246" i="10"/>
  <c r="D246" i="10"/>
  <c r="C246" i="10"/>
  <c r="B246" i="10"/>
  <c r="AL245" i="10"/>
  <c r="Q245" i="10"/>
  <c r="L245" i="10"/>
  <c r="A245" i="10" s="1"/>
  <c r="K245" i="10"/>
  <c r="J245" i="10"/>
  <c r="I245" i="10"/>
  <c r="H245" i="10"/>
  <c r="F245" i="10"/>
  <c r="E245" i="10"/>
  <c r="D245" i="10"/>
  <c r="C245" i="10"/>
  <c r="B245" i="10"/>
  <c r="AL244" i="10"/>
  <c r="AH244" i="10"/>
  <c r="M244" i="10"/>
  <c r="L244" i="10"/>
  <c r="A244" i="10" s="1"/>
  <c r="K244" i="10"/>
  <c r="J244" i="10"/>
  <c r="H244" i="10"/>
  <c r="G244" i="10"/>
  <c r="F244" i="10"/>
  <c r="E244" i="10"/>
  <c r="D244" i="10"/>
  <c r="C244" i="10"/>
  <c r="B244" i="10"/>
  <c r="AL243" i="10"/>
  <c r="AH243" i="10"/>
  <c r="L243" i="10"/>
  <c r="A243" i="10" s="1"/>
  <c r="K243" i="10"/>
  <c r="J243" i="10"/>
  <c r="H243" i="10"/>
  <c r="G243" i="10"/>
  <c r="F243" i="10"/>
  <c r="E243" i="10"/>
  <c r="D243" i="10"/>
  <c r="C243" i="10"/>
  <c r="B243" i="10"/>
  <c r="AL242" i="10"/>
  <c r="L242" i="10"/>
  <c r="A242" i="10" s="1"/>
  <c r="K242" i="10"/>
  <c r="J242" i="10"/>
  <c r="H242" i="10"/>
  <c r="G242" i="10"/>
  <c r="F242" i="10"/>
  <c r="E242" i="10"/>
  <c r="D242" i="10"/>
  <c r="C242" i="10"/>
  <c r="B242" i="10"/>
  <c r="AL241" i="10"/>
  <c r="AH241" i="10"/>
  <c r="M241" i="10"/>
  <c r="L241" i="10"/>
  <c r="A241" i="10" s="1"/>
  <c r="K241" i="10"/>
  <c r="J241" i="10"/>
  <c r="H241" i="10"/>
  <c r="G241" i="10"/>
  <c r="F241" i="10"/>
  <c r="E241" i="10"/>
  <c r="D241" i="10"/>
  <c r="C241" i="10"/>
  <c r="B241" i="10"/>
  <c r="AL240" i="10"/>
  <c r="AH240" i="10"/>
  <c r="AC240" i="10"/>
  <c r="L240" i="10"/>
  <c r="A240" i="10" s="1"/>
  <c r="K240" i="10"/>
  <c r="J240" i="10"/>
  <c r="H240" i="10"/>
  <c r="G240" i="10"/>
  <c r="F240" i="10"/>
  <c r="E240" i="10"/>
  <c r="D240" i="10"/>
  <c r="C240" i="10"/>
  <c r="B240" i="10"/>
  <c r="AL239" i="10"/>
  <c r="AH239" i="10"/>
  <c r="L239" i="10"/>
  <c r="A239" i="10" s="1"/>
  <c r="K239" i="10"/>
  <c r="J239" i="10"/>
  <c r="H239" i="10"/>
  <c r="G239" i="10"/>
  <c r="F239" i="10"/>
  <c r="E239" i="10"/>
  <c r="D239" i="10"/>
  <c r="C239" i="10"/>
  <c r="B239" i="10"/>
  <c r="AL238" i="10"/>
  <c r="AH238" i="10"/>
  <c r="L238" i="10"/>
  <c r="A238" i="10" s="1"/>
  <c r="K238" i="10"/>
  <c r="J238" i="10"/>
  <c r="H238" i="10"/>
  <c r="G238" i="10"/>
  <c r="F238" i="10"/>
  <c r="E238" i="10"/>
  <c r="D238" i="10"/>
  <c r="C238" i="10"/>
  <c r="B238" i="10"/>
  <c r="L237" i="10"/>
  <c r="A237" i="10" s="1"/>
  <c r="K237" i="10"/>
  <c r="J237" i="10"/>
  <c r="H237" i="10"/>
  <c r="G237" i="10"/>
  <c r="F237" i="10"/>
  <c r="D237" i="10"/>
  <c r="C237" i="10"/>
  <c r="B237" i="10"/>
  <c r="AL236" i="10"/>
  <c r="AH236" i="10"/>
  <c r="L236" i="10"/>
  <c r="A236" i="10" s="1"/>
  <c r="K236" i="10"/>
  <c r="J236" i="10"/>
  <c r="H236" i="10"/>
  <c r="G236" i="10"/>
  <c r="F236" i="10"/>
  <c r="E236" i="10"/>
  <c r="D236" i="10"/>
  <c r="C236" i="10"/>
  <c r="B236" i="10"/>
  <c r="AL235" i="10"/>
  <c r="AH235" i="10"/>
  <c r="L235" i="10"/>
  <c r="A235" i="10" s="1"/>
  <c r="K235" i="10"/>
  <c r="J235" i="10"/>
  <c r="H235" i="10"/>
  <c r="G235" i="10"/>
  <c r="F235" i="10"/>
  <c r="D235" i="10"/>
  <c r="C235" i="10"/>
  <c r="B235" i="10"/>
  <c r="AL234" i="10"/>
  <c r="AC234" i="10"/>
  <c r="L234" i="10"/>
  <c r="A234" i="10" s="1"/>
  <c r="K234" i="10"/>
  <c r="J234" i="10"/>
  <c r="H234" i="10"/>
  <c r="G234" i="10"/>
  <c r="F234" i="10"/>
  <c r="E234" i="10"/>
  <c r="D234" i="10"/>
  <c r="C234" i="10"/>
  <c r="B234" i="10"/>
  <c r="AL233" i="10"/>
  <c r="L233" i="10"/>
  <c r="A233" i="10" s="1"/>
  <c r="K233" i="10"/>
  <c r="J233" i="10"/>
  <c r="H233" i="10"/>
  <c r="G233" i="10"/>
  <c r="F233" i="10"/>
  <c r="E233" i="10"/>
  <c r="D233" i="10"/>
  <c r="C233" i="10"/>
  <c r="B233" i="10"/>
  <c r="AL232" i="10"/>
  <c r="AH232" i="10"/>
  <c r="L232" i="10"/>
  <c r="A232" i="10" s="1"/>
  <c r="K232" i="10"/>
  <c r="J232" i="10"/>
  <c r="H232" i="10"/>
  <c r="G232" i="10"/>
  <c r="F232" i="10"/>
  <c r="E232" i="10"/>
  <c r="D232" i="10"/>
  <c r="C232" i="10"/>
  <c r="B232" i="10"/>
  <c r="AL231" i="10"/>
  <c r="AH231" i="10"/>
  <c r="AC231" i="10"/>
  <c r="L231" i="10"/>
  <c r="A231" i="10" s="1"/>
  <c r="K231" i="10"/>
  <c r="J231" i="10"/>
  <c r="H231" i="10"/>
  <c r="G231" i="10"/>
  <c r="F231" i="10"/>
  <c r="D231" i="10"/>
  <c r="C231" i="10"/>
  <c r="B231" i="10"/>
  <c r="AL230" i="10"/>
  <c r="L230" i="10"/>
  <c r="A230" i="10" s="1"/>
  <c r="K230" i="10"/>
  <c r="J230" i="10"/>
  <c r="H230" i="10"/>
  <c r="G230" i="10"/>
  <c r="F230" i="10"/>
  <c r="E230" i="10"/>
  <c r="D230" i="10"/>
  <c r="C230" i="10"/>
  <c r="B230" i="10"/>
  <c r="AL229" i="10"/>
  <c r="AH229" i="10"/>
  <c r="L229" i="10"/>
  <c r="A229" i="10" s="1"/>
  <c r="K229" i="10"/>
  <c r="J229" i="10"/>
  <c r="H229" i="10"/>
  <c r="G229" i="10"/>
  <c r="F229" i="10"/>
  <c r="E229" i="10"/>
  <c r="D229" i="10"/>
  <c r="C229" i="10"/>
  <c r="B229" i="10"/>
  <c r="AL228" i="10"/>
  <c r="AH228" i="10"/>
  <c r="L228" i="10"/>
  <c r="A228" i="10" s="1"/>
  <c r="K228" i="10"/>
  <c r="J228" i="10"/>
  <c r="H228" i="10"/>
  <c r="G228" i="10"/>
  <c r="F228" i="10"/>
  <c r="E228" i="10"/>
  <c r="D228" i="10"/>
  <c r="C228" i="10"/>
  <c r="B228" i="10"/>
  <c r="AL227" i="10"/>
  <c r="AH227" i="10"/>
  <c r="L227" i="10"/>
  <c r="A227" i="10" s="1"/>
  <c r="K227" i="10"/>
  <c r="J227" i="10"/>
  <c r="H227" i="10"/>
  <c r="G227" i="10"/>
  <c r="F227" i="10"/>
  <c r="E227" i="10"/>
  <c r="D227" i="10"/>
  <c r="C227" i="10"/>
  <c r="B227" i="10"/>
  <c r="AL226" i="10"/>
  <c r="Y223" i="10"/>
  <c r="M226" i="10"/>
  <c r="L226" i="10"/>
  <c r="A226" i="10" s="1"/>
  <c r="K226" i="10"/>
  <c r="J226" i="10"/>
  <c r="H226" i="10"/>
  <c r="G226" i="10"/>
  <c r="F226" i="10"/>
  <c r="E226" i="10"/>
  <c r="D226" i="10"/>
  <c r="C226" i="10"/>
  <c r="B226" i="10"/>
  <c r="AL225" i="10"/>
  <c r="AH225" i="10"/>
  <c r="M225" i="10"/>
  <c r="L225" i="10"/>
  <c r="A225" i="10" s="1"/>
  <c r="K225" i="10"/>
  <c r="J225" i="10"/>
  <c r="H225" i="10"/>
  <c r="G225" i="10"/>
  <c r="F225" i="10"/>
  <c r="E225" i="10"/>
  <c r="D225" i="10"/>
  <c r="C225" i="10"/>
  <c r="B225" i="10"/>
  <c r="AL224" i="10"/>
  <c r="AH224" i="10"/>
  <c r="AB223" i="10"/>
  <c r="AC224" i="10"/>
  <c r="M224" i="10"/>
  <c r="L224" i="10"/>
  <c r="A224" i="10" s="1"/>
  <c r="K224" i="10"/>
  <c r="J224" i="10"/>
  <c r="H224" i="10"/>
  <c r="G224" i="10"/>
  <c r="F224" i="10"/>
  <c r="D224" i="10"/>
  <c r="C224" i="10"/>
  <c r="B224" i="10"/>
  <c r="AL223" i="10"/>
  <c r="V223" i="10"/>
  <c r="Q223" i="10"/>
  <c r="L223" i="10"/>
  <c r="A223" i="10" s="1"/>
  <c r="K223" i="10"/>
  <c r="J223" i="10"/>
  <c r="H223" i="10"/>
  <c r="G223" i="10"/>
  <c r="F223" i="10"/>
  <c r="E223" i="10"/>
  <c r="D223" i="10"/>
  <c r="C223" i="10"/>
  <c r="B223" i="10"/>
  <c r="AL222" i="10"/>
  <c r="AH222" i="10"/>
  <c r="L222" i="10"/>
  <c r="A222" i="10" s="1"/>
  <c r="K222" i="10"/>
  <c r="J222" i="10"/>
  <c r="I222" i="10"/>
  <c r="H222" i="10"/>
  <c r="F222" i="10"/>
  <c r="E222" i="10"/>
  <c r="D222" i="10"/>
  <c r="C222" i="10"/>
  <c r="B222" i="10"/>
  <c r="AL221" i="10"/>
  <c r="L221" i="10"/>
  <c r="A221" i="10" s="1"/>
  <c r="J221" i="10"/>
  <c r="I221" i="10"/>
  <c r="H221" i="10"/>
  <c r="G221" i="10"/>
  <c r="F221" i="10"/>
  <c r="E221" i="10"/>
  <c r="D221" i="10"/>
  <c r="B221" i="10"/>
  <c r="AL220" i="10"/>
  <c r="L220" i="10"/>
  <c r="A220" i="10" s="1"/>
  <c r="K220" i="10"/>
  <c r="J220" i="10"/>
  <c r="I220" i="10"/>
  <c r="H220" i="10"/>
  <c r="G220" i="10"/>
  <c r="F220" i="10"/>
  <c r="E220" i="10"/>
  <c r="D220" i="10"/>
  <c r="C220" i="10"/>
  <c r="B220" i="10"/>
  <c r="L219" i="10"/>
  <c r="A219" i="10" s="1"/>
  <c r="J219" i="10"/>
  <c r="I219" i="10"/>
  <c r="H219" i="10"/>
  <c r="F219" i="10"/>
  <c r="E219" i="10"/>
  <c r="D219" i="10"/>
  <c r="B219" i="10"/>
  <c r="AL218" i="10"/>
  <c r="AH218" i="10"/>
  <c r="AC218" i="10"/>
  <c r="M218" i="10"/>
  <c r="L218" i="10"/>
  <c r="A218" i="10" s="1"/>
  <c r="J218" i="10"/>
  <c r="I218" i="10"/>
  <c r="H218" i="10"/>
  <c r="G218" i="10"/>
  <c r="F218" i="10"/>
  <c r="E218" i="10"/>
  <c r="D218" i="10"/>
  <c r="B218" i="10"/>
  <c r="AL217" i="10"/>
  <c r="AH217" i="10"/>
  <c r="AC217" i="10"/>
  <c r="M217" i="10"/>
  <c r="L217" i="10"/>
  <c r="A217" i="10" s="1"/>
  <c r="J217" i="10"/>
  <c r="I217" i="10"/>
  <c r="H217" i="10"/>
  <c r="G217" i="10"/>
  <c r="F217" i="10"/>
  <c r="E217" i="10"/>
  <c r="D217" i="10"/>
  <c r="B217" i="10"/>
  <c r="AL216" i="10"/>
  <c r="L216" i="10"/>
  <c r="A216" i="10" s="1"/>
  <c r="J216" i="10"/>
  <c r="I216" i="10"/>
  <c r="H216" i="10"/>
  <c r="G216" i="10"/>
  <c r="F216" i="10"/>
  <c r="E216" i="10"/>
  <c r="D216" i="10"/>
  <c r="B216" i="10"/>
  <c r="AL215" i="10"/>
  <c r="AH215" i="10"/>
  <c r="L215" i="10"/>
  <c r="A215" i="10" s="1"/>
  <c r="J215" i="10"/>
  <c r="I215" i="10"/>
  <c r="H215" i="10"/>
  <c r="G215" i="10"/>
  <c r="F215" i="10"/>
  <c r="E215" i="10"/>
  <c r="D215" i="10"/>
  <c r="B215" i="10"/>
  <c r="AL214" i="10"/>
  <c r="AH214" i="10"/>
  <c r="M214" i="10"/>
  <c r="L214" i="10"/>
  <c r="A214" i="10" s="1"/>
  <c r="J214" i="10"/>
  <c r="I214" i="10"/>
  <c r="H214" i="10"/>
  <c r="G214" i="10"/>
  <c r="F214" i="10"/>
  <c r="E214" i="10"/>
  <c r="D214" i="10"/>
  <c r="B214" i="10"/>
  <c r="AL213" i="10"/>
  <c r="L213" i="10"/>
  <c r="A213" i="10" s="1"/>
  <c r="J213" i="10"/>
  <c r="I213" i="10"/>
  <c r="H213" i="10"/>
  <c r="G213" i="10"/>
  <c r="F213" i="10"/>
  <c r="E213" i="10"/>
  <c r="D213" i="10"/>
  <c r="B213" i="10"/>
  <c r="AL212" i="10"/>
  <c r="AC212" i="10"/>
  <c r="L212" i="10"/>
  <c r="A212" i="10" s="1"/>
  <c r="J212" i="10"/>
  <c r="I212" i="10"/>
  <c r="H212" i="10"/>
  <c r="F212" i="10"/>
  <c r="E212" i="10"/>
  <c r="D212" i="10"/>
  <c r="B212" i="10"/>
  <c r="AL211" i="10"/>
  <c r="AH211" i="10"/>
  <c r="L211" i="10"/>
  <c r="A211" i="10" s="1"/>
  <c r="J211" i="10"/>
  <c r="I211" i="10"/>
  <c r="H211" i="10"/>
  <c r="G211" i="10"/>
  <c r="F211" i="10"/>
  <c r="E211" i="10"/>
  <c r="D211" i="10"/>
  <c r="B211" i="10"/>
  <c r="AL210" i="10"/>
  <c r="AH210" i="10"/>
  <c r="L210" i="10"/>
  <c r="A210" i="10" s="1"/>
  <c r="J210" i="10"/>
  <c r="I210" i="10"/>
  <c r="H210" i="10"/>
  <c r="G210" i="10"/>
  <c r="F210" i="10"/>
  <c r="E210" i="10"/>
  <c r="D210" i="10"/>
  <c r="B210" i="10"/>
  <c r="AL209" i="10"/>
  <c r="M209" i="10"/>
  <c r="L209" i="10"/>
  <c r="A209" i="10" s="1"/>
  <c r="J209" i="10"/>
  <c r="I209" i="10"/>
  <c r="H209" i="10"/>
  <c r="G209" i="10"/>
  <c r="F209" i="10"/>
  <c r="E209" i="10"/>
  <c r="D209" i="10"/>
  <c r="B209" i="10"/>
  <c r="AL208" i="10"/>
  <c r="L208" i="10"/>
  <c r="A208" i="10" s="1"/>
  <c r="J208" i="10"/>
  <c r="I208" i="10"/>
  <c r="H208" i="10"/>
  <c r="G208" i="10"/>
  <c r="F208" i="10"/>
  <c r="E208" i="10"/>
  <c r="D208" i="10"/>
  <c r="B208" i="10"/>
  <c r="AL207" i="10"/>
  <c r="AH207" i="10"/>
  <c r="L207" i="10"/>
  <c r="A207" i="10" s="1"/>
  <c r="J207" i="10"/>
  <c r="I207" i="10"/>
  <c r="H207" i="10"/>
  <c r="G207" i="10"/>
  <c r="F207" i="10"/>
  <c r="E207" i="10"/>
  <c r="D207" i="10"/>
  <c r="B207" i="10"/>
  <c r="AL206" i="10"/>
  <c r="AH206" i="10"/>
  <c r="M206" i="10"/>
  <c r="L206" i="10"/>
  <c r="A206" i="10" s="1"/>
  <c r="J206" i="10"/>
  <c r="I206" i="10"/>
  <c r="H206" i="10"/>
  <c r="G206" i="10"/>
  <c r="F206" i="10"/>
  <c r="E206" i="10"/>
  <c r="D206" i="10"/>
  <c r="B206" i="10"/>
  <c r="AL205" i="10"/>
  <c r="L205" i="10"/>
  <c r="A205" i="10" s="1"/>
  <c r="J205" i="10"/>
  <c r="I205" i="10"/>
  <c r="H205" i="10"/>
  <c r="G205" i="10"/>
  <c r="F205" i="10"/>
  <c r="E205" i="10"/>
  <c r="D205" i="10"/>
  <c r="B205" i="10"/>
  <c r="AL204" i="10"/>
  <c r="L204" i="10"/>
  <c r="A204" i="10" s="1"/>
  <c r="J204" i="10"/>
  <c r="I204" i="10"/>
  <c r="H204" i="10"/>
  <c r="G204" i="10"/>
  <c r="F204" i="10"/>
  <c r="E204" i="10"/>
  <c r="D204" i="10"/>
  <c r="B204" i="10"/>
  <c r="AL203" i="10"/>
  <c r="AH203" i="10"/>
  <c r="Y201" i="10"/>
  <c r="L203" i="10"/>
  <c r="A203" i="10" s="1"/>
  <c r="J203" i="10"/>
  <c r="I203" i="10"/>
  <c r="H203" i="10"/>
  <c r="G203" i="10"/>
  <c r="F203" i="10"/>
  <c r="E203" i="10"/>
  <c r="D203" i="10"/>
  <c r="B203" i="10"/>
  <c r="AL202" i="10"/>
  <c r="AH202" i="10"/>
  <c r="AA201" i="10"/>
  <c r="X201" i="10"/>
  <c r="L202" i="10"/>
  <c r="A202" i="10" s="1"/>
  <c r="J202" i="10"/>
  <c r="I202" i="10"/>
  <c r="H202" i="10"/>
  <c r="G202" i="10"/>
  <c r="F202" i="10"/>
  <c r="E202" i="10"/>
  <c r="D202" i="10"/>
  <c r="B202" i="10"/>
  <c r="Q201" i="10"/>
  <c r="L201" i="10"/>
  <c r="A201" i="10" s="1"/>
  <c r="J201" i="10"/>
  <c r="I201" i="10"/>
  <c r="H201" i="10"/>
  <c r="G201" i="10"/>
  <c r="F201" i="10"/>
  <c r="E201" i="10"/>
  <c r="D201" i="10"/>
  <c r="B201" i="10"/>
  <c r="AL200" i="10"/>
  <c r="M200" i="10"/>
  <c r="L200" i="10"/>
  <c r="A200" i="10" s="1"/>
  <c r="K200" i="10"/>
  <c r="J200" i="10"/>
  <c r="I200" i="10"/>
  <c r="H200" i="10"/>
  <c r="F200" i="10"/>
  <c r="E200" i="10"/>
  <c r="D200" i="10"/>
  <c r="B200" i="10"/>
  <c r="AL199" i="10"/>
  <c r="AH199" i="10"/>
  <c r="L199" i="10"/>
  <c r="A199" i="10" s="1"/>
  <c r="K199" i="10"/>
  <c r="J199" i="10"/>
  <c r="I199" i="10"/>
  <c r="H199" i="10"/>
  <c r="F199" i="10"/>
  <c r="E199" i="10"/>
  <c r="D199" i="10"/>
  <c r="C199" i="10"/>
  <c r="B199" i="10"/>
  <c r="AL198" i="10"/>
  <c r="AH198" i="10"/>
  <c r="M198" i="10"/>
  <c r="L198" i="10"/>
  <c r="A198" i="10" s="1"/>
  <c r="K198" i="10"/>
  <c r="J198" i="10"/>
  <c r="I198" i="10"/>
  <c r="H198" i="10"/>
  <c r="F198" i="10"/>
  <c r="E198" i="10"/>
  <c r="D198" i="10"/>
  <c r="C198" i="10"/>
  <c r="B198" i="10"/>
  <c r="AL197" i="10"/>
  <c r="AH197" i="10"/>
  <c r="M197" i="10"/>
  <c r="L197" i="10"/>
  <c r="A197" i="10" s="1"/>
  <c r="K197" i="10"/>
  <c r="J197" i="10"/>
  <c r="I197" i="10"/>
  <c r="H197" i="10"/>
  <c r="F197" i="10"/>
  <c r="E197" i="10"/>
  <c r="D197" i="10"/>
  <c r="C197" i="10"/>
  <c r="B197" i="10"/>
  <c r="AL196" i="10"/>
  <c r="L196" i="10"/>
  <c r="A196" i="10" s="1"/>
  <c r="K196" i="10"/>
  <c r="J196" i="10"/>
  <c r="I196" i="10"/>
  <c r="H196" i="10"/>
  <c r="F196" i="10"/>
  <c r="E196" i="10"/>
  <c r="D196" i="10"/>
  <c r="C196" i="10"/>
  <c r="B196" i="10"/>
  <c r="AL195" i="10"/>
  <c r="AH195" i="10"/>
  <c r="M195" i="10"/>
  <c r="L195" i="10"/>
  <c r="A195" i="10" s="1"/>
  <c r="K195" i="10"/>
  <c r="J195" i="10"/>
  <c r="I195" i="10"/>
  <c r="H195" i="10"/>
  <c r="F195" i="10"/>
  <c r="E195" i="10"/>
  <c r="D195" i="10"/>
  <c r="C195" i="10"/>
  <c r="B195" i="10"/>
  <c r="AL194" i="10"/>
  <c r="AH194" i="10"/>
  <c r="M194" i="10"/>
  <c r="L194" i="10"/>
  <c r="A194" i="10" s="1"/>
  <c r="K194" i="10"/>
  <c r="J194" i="10"/>
  <c r="I194" i="10"/>
  <c r="H194" i="10"/>
  <c r="F194" i="10"/>
  <c r="E194" i="10"/>
  <c r="D194" i="10"/>
  <c r="C194" i="10"/>
  <c r="B194" i="10"/>
  <c r="AL193" i="10"/>
  <c r="AH193" i="10"/>
  <c r="L193" i="10"/>
  <c r="A193" i="10" s="1"/>
  <c r="J193" i="10"/>
  <c r="I193" i="10"/>
  <c r="H193" i="10"/>
  <c r="F193" i="10"/>
  <c r="E193" i="10"/>
  <c r="D193" i="10"/>
  <c r="C193" i="10"/>
  <c r="B193" i="10"/>
  <c r="AL192" i="10"/>
  <c r="M192" i="10"/>
  <c r="L192" i="10"/>
  <c r="A192" i="10" s="1"/>
  <c r="K192" i="10"/>
  <c r="J192" i="10"/>
  <c r="I192" i="10"/>
  <c r="H192" i="10"/>
  <c r="G192" i="10"/>
  <c r="F192" i="10"/>
  <c r="E192" i="10"/>
  <c r="D192" i="10"/>
  <c r="C192" i="10"/>
  <c r="B192" i="10"/>
  <c r="AL191" i="10"/>
  <c r="AH191" i="10"/>
  <c r="M191" i="10"/>
  <c r="L191" i="10"/>
  <c r="A191" i="10" s="1"/>
  <c r="K191" i="10"/>
  <c r="J191" i="10"/>
  <c r="I191" i="10"/>
  <c r="H191" i="10"/>
  <c r="F191" i="10"/>
  <c r="E191" i="10"/>
  <c r="D191" i="10"/>
  <c r="C191" i="10"/>
  <c r="B191" i="10"/>
  <c r="AL190" i="10"/>
  <c r="AH190" i="10"/>
  <c r="M190" i="10"/>
  <c r="L190" i="10"/>
  <c r="A190" i="10" s="1"/>
  <c r="K190" i="10"/>
  <c r="J190" i="10"/>
  <c r="I190" i="10"/>
  <c r="H190" i="10"/>
  <c r="F190" i="10"/>
  <c r="E190" i="10"/>
  <c r="D190" i="10"/>
  <c r="C190" i="10"/>
  <c r="B190" i="10"/>
  <c r="AL189" i="10"/>
  <c r="AH189" i="10"/>
  <c r="L189" i="10"/>
  <c r="A189" i="10" s="1"/>
  <c r="K189" i="10"/>
  <c r="J189" i="10"/>
  <c r="I189" i="10"/>
  <c r="H189" i="10"/>
  <c r="F189" i="10"/>
  <c r="E189" i="10"/>
  <c r="D189" i="10"/>
  <c r="C189" i="10"/>
  <c r="B189" i="10"/>
  <c r="AL188" i="10"/>
  <c r="M188" i="10"/>
  <c r="L188" i="10"/>
  <c r="A188" i="10" s="1"/>
  <c r="K188" i="10"/>
  <c r="J188" i="10"/>
  <c r="I188" i="10"/>
  <c r="H188" i="10"/>
  <c r="F188" i="10"/>
  <c r="E188" i="10"/>
  <c r="D188" i="10"/>
  <c r="C188" i="10"/>
  <c r="B188" i="10"/>
  <c r="AL187" i="10"/>
  <c r="AH187" i="10"/>
  <c r="M187" i="10"/>
  <c r="L187" i="10"/>
  <c r="A187" i="10" s="1"/>
  <c r="K187" i="10"/>
  <c r="J187" i="10"/>
  <c r="I187" i="10"/>
  <c r="H187" i="10"/>
  <c r="F187" i="10"/>
  <c r="E187" i="10"/>
  <c r="D187" i="10"/>
  <c r="C187" i="10"/>
  <c r="B187" i="10"/>
  <c r="AL186" i="10"/>
  <c r="AH186" i="10"/>
  <c r="L186" i="10"/>
  <c r="A186" i="10" s="1"/>
  <c r="J186" i="10"/>
  <c r="I186" i="10"/>
  <c r="H186" i="10"/>
  <c r="F186" i="10"/>
  <c r="E186" i="10"/>
  <c r="D186" i="10"/>
  <c r="C186" i="10"/>
  <c r="B186" i="10"/>
  <c r="AL185" i="10"/>
  <c r="AH185" i="10"/>
  <c r="AC185" i="10"/>
  <c r="L185" i="10"/>
  <c r="A185" i="10" s="1"/>
  <c r="K185" i="10"/>
  <c r="J185" i="10"/>
  <c r="I185" i="10"/>
  <c r="H185" i="10"/>
  <c r="F185" i="10"/>
  <c r="E185" i="10"/>
  <c r="D185" i="10"/>
  <c r="C185" i="10"/>
  <c r="B185" i="10"/>
  <c r="AL184" i="10"/>
  <c r="AH184" i="10"/>
  <c r="M184" i="10"/>
  <c r="L184" i="10"/>
  <c r="A184" i="10" s="1"/>
  <c r="K184" i="10"/>
  <c r="J184" i="10"/>
  <c r="I184" i="10"/>
  <c r="H184" i="10"/>
  <c r="F184" i="10"/>
  <c r="E184" i="10"/>
  <c r="D184" i="10"/>
  <c r="C184" i="10"/>
  <c r="B184" i="10"/>
  <c r="M183" i="10"/>
  <c r="L183" i="10"/>
  <c r="A183" i="10" s="1"/>
  <c r="K183" i="10"/>
  <c r="J183" i="10"/>
  <c r="I183" i="10"/>
  <c r="H183" i="10"/>
  <c r="F183" i="10"/>
  <c r="E183" i="10"/>
  <c r="D183" i="10"/>
  <c r="C183" i="10"/>
  <c r="B183" i="10"/>
  <c r="AL182" i="10"/>
  <c r="AH182" i="10"/>
  <c r="L182" i="10"/>
  <c r="A182" i="10" s="1"/>
  <c r="K182" i="10"/>
  <c r="J182" i="10"/>
  <c r="I182" i="10"/>
  <c r="H182" i="10"/>
  <c r="F182" i="10"/>
  <c r="E182" i="10"/>
  <c r="D182" i="10"/>
  <c r="B182" i="10"/>
  <c r="AL181" i="10"/>
  <c r="AH181" i="10"/>
  <c r="M181" i="10"/>
  <c r="L181" i="10"/>
  <c r="A181" i="10" s="1"/>
  <c r="K181" i="10"/>
  <c r="J181" i="10"/>
  <c r="I181" i="10"/>
  <c r="H181" i="10"/>
  <c r="F181" i="10"/>
  <c r="E181" i="10"/>
  <c r="D181" i="10"/>
  <c r="C181" i="10"/>
  <c r="B181" i="10"/>
  <c r="AL180" i="10"/>
  <c r="Y179" i="10"/>
  <c r="X179" i="10"/>
  <c r="AC180" i="10"/>
  <c r="T179" i="10"/>
  <c r="M180" i="10"/>
  <c r="L180" i="10"/>
  <c r="A180" i="10" s="1"/>
  <c r="K180" i="10"/>
  <c r="J180" i="10"/>
  <c r="I180" i="10"/>
  <c r="H180" i="10"/>
  <c r="F180" i="10"/>
  <c r="E180" i="10"/>
  <c r="D180" i="10"/>
  <c r="C180" i="10"/>
  <c r="B180" i="10"/>
  <c r="AL179" i="10"/>
  <c r="AB179" i="10"/>
  <c r="Q179" i="10"/>
  <c r="M179" i="10"/>
  <c r="L179" i="10"/>
  <c r="A179" i="10" s="1"/>
  <c r="K179" i="10"/>
  <c r="J179" i="10"/>
  <c r="I179" i="10"/>
  <c r="H179" i="10"/>
  <c r="F179" i="10"/>
  <c r="E179" i="10"/>
  <c r="D179" i="10"/>
  <c r="C179" i="10"/>
  <c r="B179" i="10"/>
  <c r="AL178" i="10"/>
  <c r="L178" i="10"/>
  <c r="A178" i="10" s="1"/>
  <c r="K178" i="10"/>
  <c r="J178" i="10"/>
  <c r="H178" i="10"/>
  <c r="G178" i="10"/>
  <c r="F178" i="10"/>
  <c r="E178" i="10"/>
  <c r="D178" i="10"/>
  <c r="C178" i="10"/>
  <c r="B178" i="10"/>
  <c r="AL177" i="10"/>
  <c r="AH177" i="10"/>
  <c r="L177" i="10"/>
  <c r="A177" i="10" s="1"/>
  <c r="K177" i="10"/>
  <c r="J177" i="10"/>
  <c r="H177" i="10"/>
  <c r="G177" i="10"/>
  <c r="F177" i="10"/>
  <c r="D177" i="10"/>
  <c r="C177" i="10"/>
  <c r="B177" i="10"/>
  <c r="AL176" i="10"/>
  <c r="AH176" i="10"/>
  <c r="L176" i="10"/>
  <c r="A176" i="10" s="1"/>
  <c r="K176" i="10"/>
  <c r="J176" i="10"/>
  <c r="H176" i="10"/>
  <c r="G176" i="10"/>
  <c r="F176" i="10"/>
  <c r="E176" i="10"/>
  <c r="D176" i="10"/>
  <c r="C176" i="10"/>
  <c r="B176" i="10"/>
  <c r="AL175" i="10"/>
  <c r="L175" i="10"/>
  <c r="A175" i="10" s="1"/>
  <c r="K175" i="10"/>
  <c r="J175" i="10"/>
  <c r="H175" i="10"/>
  <c r="G175" i="10"/>
  <c r="F175" i="10"/>
  <c r="E175" i="10"/>
  <c r="D175" i="10"/>
  <c r="C175" i="10"/>
  <c r="B175" i="10"/>
  <c r="AL174" i="10"/>
  <c r="AH174" i="10"/>
  <c r="L174" i="10"/>
  <c r="A174" i="10" s="1"/>
  <c r="K174" i="10"/>
  <c r="J174" i="10"/>
  <c r="I174" i="10"/>
  <c r="H174" i="10"/>
  <c r="G174" i="10"/>
  <c r="F174" i="10"/>
  <c r="E174" i="10"/>
  <c r="D174" i="10"/>
  <c r="C174" i="10"/>
  <c r="B174" i="10"/>
  <c r="AL173" i="10"/>
  <c r="AH173" i="10"/>
  <c r="L173" i="10"/>
  <c r="A173" i="10" s="1"/>
  <c r="K173" i="10"/>
  <c r="J173" i="10"/>
  <c r="H173" i="10"/>
  <c r="G173" i="10"/>
  <c r="F173" i="10"/>
  <c r="D173" i="10"/>
  <c r="C173" i="10"/>
  <c r="B173" i="10"/>
  <c r="AL172" i="10"/>
  <c r="AH172" i="10"/>
  <c r="L172" i="10"/>
  <c r="A172" i="10" s="1"/>
  <c r="K172" i="10"/>
  <c r="J172" i="10"/>
  <c r="H172" i="10"/>
  <c r="G172" i="10"/>
  <c r="F172" i="10"/>
  <c r="E172" i="10"/>
  <c r="D172" i="10"/>
  <c r="C172" i="10"/>
  <c r="B172" i="10"/>
  <c r="AL171" i="10"/>
  <c r="M171" i="10"/>
  <c r="L171" i="10"/>
  <c r="A171" i="10" s="1"/>
  <c r="K171" i="10"/>
  <c r="J171" i="10"/>
  <c r="H171" i="10"/>
  <c r="G171" i="10"/>
  <c r="F171" i="10"/>
  <c r="D171" i="10"/>
  <c r="C171" i="10"/>
  <c r="B171" i="10"/>
  <c r="AL170" i="10"/>
  <c r="AH170" i="10"/>
  <c r="L170" i="10"/>
  <c r="A170" i="10" s="1"/>
  <c r="K170" i="10"/>
  <c r="J170" i="10"/>
  <c r="H170" i="10"/>
  <c r="G170" i="10"/>
  <c r="F170" i="10"/>
  <c r="E170" i="10"/>
  <c r="D170" i="10"/>
  <c r="C170" i="10"/>
  <c r="B170" i="10"/>
  <c r="AL169" i="10"/>
  <c r="AH169" i="10"/>
  <c r="L169" i="10"/>
  <c r="A169" i="10" s="1"/>
  <c r="K169" i="10"/>
  <c r="J169" i="10"/>
  <c r="H169" i="10"/>
  <c r="G169" i="10"/>
  <c r="F169" i="10"/>
  <c r="D169" i="10"/>
  <c r="C169" i="10"/>
  <c r="B169" i="10"/>
  <c r="AL168" i="10"/>
  <c r="AH168" i="10"/>
  <c r="L168" i="10"/>
  <c r="A168" i="10" s="1"/>
  <c r="K168" i="10"/>
  <c r="J168" i="10"/>
  <c r="H168" i="10"/>
  <c r="G168" i="10"/>
  <c r="F168" i="10"/>
  <c r="E168" i="10"/>
  <c r="D168" i="10"/>
  <c r="C168" i="10"/>
  <c r="B168" i="10"/>
  <c r="AL167" i="10"/>
  <c r="L167" i="10"/>
  <c r="A167" i="10" s="1"/>
  <c r="K167" i="10"/>
  <c r="J167" i="10"/>
  <c r="I167" i="10"/>
  <c r="H167" i="10"/>
  <c r="G167" i="10"/>
  <c r="F167" i="10"/>
  <c r="D167" i="10"/>
  <c r="C167" i="10"/>
  <c r="B167" i="10"/>
  <c r="AL166" i="10"/>
  <c r="AH166" i="10"/>
  <c r="L166" i="10"/>
  <c r="A166" i="10" s="1"/>
  <c r="K166" i="10"/>
  <c r="J166" i="10"/>
  <c r="H166" i="10"/>
  <c r="G166" i="10"/>
  <c r="F166" i="10"/>
  <c r="E166" i="10"/>
  <c r="D166" i="10"/>
  <c r="C166" i="10"/>
  <c r="B166" i="10"/>
  <c r="L165" i="10"/>
  <c r="A165" i="10" s="1"/>
  <c r="K165" i="10"/>
  <c r="J165" i="10"/>
  <c r="H165" i="10"/>
  <c r="G165" i="10"/>
  <c r="F165" i="10"/>
  <c r="E165" i="10"/>
  <c r="D165" i="10"/>
  <c r="C165" i="10"/>
  <c r="B165" i="10"/>
  <c r="AL164" i="10"/>
  <c r="AH164" i="10"/>
  <c r="L164" i="10"/>
  <c r="A164" i="10" s="1"/>
  <c r="K164" i="10"/>
  <c r="J164" i="10"/>
  <c r="H164" i="10"/>
  <c r="G164" i="10"/>
  <c r="F164" i="10"/>
  <c r="E164" i="10"/>
  <c r="D164" i="10"/>
  <c r="C164" i="10"/>
  <c r="B164" i="10"/>
  <c r="AL163" i="10"/>
  <c r="L163" i="10"/>
  <c r="A163" i="10" s="1"/>
  <c r="K163" i="10"/>
  <c r="J163" i="10"/>
  <c r="H163" i="10"/>
  <c r="G163" i="10"/>
  <c r="F163" i="10"/>
  <c r="E163" i="10"/>
  <c r="D163" i="10"/>
  <c r="C163" i="10"/>
  <c r="B163" i="10"/>
  <c r="AL162" i="10"/>
  <c r="AC162" i="10"/>
  <c r="L162" i="10"/>
  <c r="A162" i="10" s="1"/>
  <c r="K162" i="10"/>
  <c r="J162" i="10"/>
  <c r="H162" i="10"/>
  <c r="G162" i="10"/>
  <c r="F162" i="10"/>
  <c r="E162" i="10"/>
  <c r="D162" i="10"/>
  <c r="C162" i="10"/>
  <c r="B162" i="10"/>
  <c r="AL161" i="10"/>
  <c r="AH161" i="10"/>
  <c r="L161" i="10"/>
  <c r="A161" i="10" s="1"/>
  <c r="K161" i="10"/>
  <c r="J161" i="10"/>
  <c r="H161" i="10"/>
  <c r="G161" i="10"/>
  <c r="F161" i="10"/>
  <c r="E161" i="10"/>
  <c r="D161" i="10"/>
  <c r="C161" i="10"/>
  <c r="B161" i="10"/>
  <c r="AL160" i="10"/>
  <c r="AH160" i="10"/>
  <c r="X157" i="10"/>
  <c r="L160" i="10"/>
  <c r="A160" i="10" s="1"/>
  <c r="K160" i="10"/>
  <c r="J160" i="10"/>
  <c r="H160" i="10"/>
  <c r="G160" i="10"/>
  <c r="F160" i="10"/>
  <c r="E160" i="10"/>
  <c r="D160" i="10"/>
  <c r="C160" i="10"/>
  <c r="B160" i="10"/>
  <c r="AL159" i="10"/>
  <c r="L159" i="10"/>
  <c r="A159" i="10" s="1"/>
  <c r="K159" i="10"/>
  <c r="J159" i="10"/>
  <c r="H159" i="10"/>
  <c r="G159" i="10"/>
  <c r="F159" i="10"/>
  <c r="E159" i="10"/>
  <c r="D159" i="10"/>
  <c r="C159" i="10"/>
  <c r="B159" i="10"/>
  <c r="AL158" i="10"/>
  <c r="Z157" i="10"/>
  <c r="V157" i="10"/>
  <c r="U157" i="10"/>
  <c r="L158" i="10"/>
  <c r="A158" i="10" s="1"/>
  <c r="K158" i="10"/>
  <c r="J158" i="10"/>
  <c r="H158" i="10"/>
  <c r="G158" i="10"/>
  <c r="F158" i="10"/>
  <c r="E158" i="10"/>
  <c r="D158" i="10"/>
  <c r="C158" i="10"/>
  <c r="B158" i="10"/>
  <c r="AL157" i="10"/>
  <c r="Y157" i="10"/>
  <c r="Q157" i="10"/>
  <c r="M157" i="10"/>
  <c r="L157" i="10"/>
  <c r="A157" i="10" s="1"/>
  <c r="K157" i="10"/>
  <c r="J157" i="10"/>
  <c r="H157" i="10"/>
  <c r="G157" i="10"/>
  <c r="F157" i="10"/>
  <c r="E157" i="10"/>
  <c r="D157" i="10"/>
  <c r="C157" i="10"/>
  <c r="B157" i="10"/>
  <c r="AL156" i="10"/>
  <c r="AH156" i="10"/>
  <c r="L156" i="10"/>
  <c r="A156" i="10" s="1"/>
  <c r="K156" i="10"/>
  <c r="J156" i="10"/>
  <c r="I156" i="10"/>
  <c r="H156" i="10"/>
  <c r="G156" i="10"/>
  <c r="F156" i="10"/>
  <c r="E156" i="10"/>
  <c r="D156" i="10"/>
  <c r="C156" i="10"/>
  <c r="B156" i="10"/>
  <c r="AL155" i="10"/>
  <c r="AH155" i="10"/>
  <c r="L155" i="10"/>
  <c r="A155" i="10" s="1"/>
  <c r="J155" i="10"/>
  <c r="I155" i="10"/>
  <c r="H155" i="10"/>
  <c r="F155" i="10"/>
  <c r="E155" i="10"/>
  <c r="D155" i="10"/>
  <c r="B155" i="10"/>
  <c r="AL154" i="10"/>
  <c r="M154" i="10"/>
  <c r="L154" i="10"/>
  <c r="A154" i="10" s="1"/>
  <c r="K154" i="10"/>
  <c r="J154" i="10"/>
  <c r="I154" i="10"/>
  <c r="H154" i="10"/>
  <c r="G154" i="10"/>
  <c r="F154" i="10"/>
  <c r="E154" i="10"/>
  <c r="D154" i="10"/>
  <c r="C154" i="10"/>
  <c r="B154" i="10"/>
  <c r="AL153" i="10"/>
  <c r="L153" i="10"/>
  <c r="A153" i="10" s="1"/>
  <c r="J153" i="10"/>
  <c r="I153" i="10"/>
  <c r="H153" i="10"/>
  <c r="G153" i="10"/>
  <c r="F153" i="10"/>
  <c r="E153" i="10"/>
  <c r="D153" i="10"/>
  <c r="B153" i="10"/>
  <c r="AL152" i="10"/>
  <c r="AH152" i="10"/>
  <c r="L152" i="10"/>
  <c r="A152" i="10" s="1"/>
  <c r="J152" i="10"/>
  <c r="I152" i="10"/>
  <c r="H152" i="10"/>
  <c r="G152" i="10"/>
  <c r="F152" i="10"/>
  <c r="E152" i="10"/>
  <c r="D152" i="10"/>
  <c r="B152" i="10"/>
  <c r="AL151" i="10"/>
  <c r="AH151" i="10"/>
  <c r="M151" i="10"/>
  <c r="L151" i="10"/>
  <c r="A151" i="10" s="1"/>
  <c r="J151" i="10"/>
  <c r="I151" i="10"/>
  <c r="H151" i="10"/>
  <c r="G151" i="10"/>
  <c r="F151" i="10"/>
  <c r="E151" i="10"/>
  <c r="D151" i="10"/>
  <c r="B151" i="10"/>
  <c r="AL150" i="10"/>
  <c r="AC150" i="10"/>
  <c r="L150" i="10"/>
  <c r="A150" i="10" s="1"/>
  <c r="K150" i="10"/>
  <c r="J150" i="10"/>
  <c r="I150" i="10"/>
  <c r="H150" i="10"/>
  <c r="G150" i="10"/>
  <c r="F150" i="10"/>
  <c r="E150" i="10"/>
  <c r="D150" i="10"/>
  <c r="C150" i="10"/>
  <c r="B150" i="10"/>
  <c r="AL149" i="10"/>
  <c r="AC149" i="10"/>
  <c r="AD149" i="10" s="1"/>
  <c r="L149" i="10"/>
  <c r="A149" i="10" s="1"/>
  <c r="J149" i="10"/>
  <c r="I149" i="10"/>
  <c r="H149" i="10"/>
  <c r="G149" i="10"/>
  <c r="F149" i="10"/>
  <c r="E149" i="10"/>
  <c r="D149" i="10"/>
  <c r="B149" i="10"/>
  <c r="AL148" i="10"/>
  <c r="AH148" i="10"/>
  <c r="L148" i="10"/>
  <c r="A148" i="10" s="1"/>
  <c r="K148" i="10"/>
  <c r="J148" i="10"/>
  <c r="I148" i="10"/>
  <c r="H148" i="10"/>
  <c r="G148" i="10"/>
  <c r="F148" i="10"/>
  <c r="E148" i="10"/>
  <c r="D148" i="10"/>
  <c r="C148" i="10"/>
  <c r="B148" i="10"/>
  <c r="AC147" i="10"/>
  <c r="L147" i="10"/>
  <c r="A147" i="10" s="1"/>
  <c r="J147" i="10"/>
  <c r="I147" i="10"/>
  <c r="H147" i="10"/>
  <c r="G147" i="10"/>
  <c r="F147" i="10"/>
  <c r="E147" i="10"/>
  <c r="D147" i="10"/>
  <c r="B147" i="10"/>
  <c r="AL146" i="10"/>
  <c r="L146" i="10"/>
  <c r="A146" i="10" s="1"/>
  <c r="J146" i="10"/>
  <c r="I146" i="10"/>
  <c r="H146" i="10"/>
  <c r="G146" i="10"/>
  <c r="F146" i="10"/>
  <c r="E146" i="10"/>
  <c r="D146" i="10"/>
  <c r="B146" i="10"/>
  <c r="AL145" i="10"/>
  <c r="L145" i="10"/>
  <c r="A145" i="10" s="1"/>
  <c r="J145" i="10"/>
  <c r="I145" i="10"/>
  <c r="H145" i="10"/>
  <c r="G145" i="10"/>
  <c r="F145" i="10"/>
  <c r="E145" i="10"/>
  <c r="D145" i="10"/>
  <c r="B145" i="10"/>
  <c r="AL144" i="10"/>
  <c r="AH144" i="10"/>
  <c r="L144" i="10"/>
  <c r="A144" i="10" s="1"/>
  <c r="J144" i="10"/>
  <c r="I144" i="10"/>
  <c r="H144" i="10"/>
  <c r="G144" i="10"/>
  <c r="F144" i="10"/>
  <c r="E144" i="10"/>
  <c r="D144" i="10"/>
  <c r="B144" i="10"/>
  <c r="AL143" i="10"/>
  <c r="AH143" i="10"/>
  <c r="L143" i="10"/>
  <c r="A143" i="10" s="1"/>
  <c r="K143" i="10"/>
  <c r="J143" i="10"/>
  <c r="I143" i="10"/>
  <c r="H143" i="10"/>
  <c r="F143" i="10"/>
  <c r="E143" i="10"/>
  <c r="D143" i="10"/>
  <c r="C143" i="10"/>
  <c r="B143" i="10"/>
  <c r="AL142" i="10"/>
  <c r="M142" i="10"/>
  <c r="L142" i="10"/>
  <c r="A142" i="10" s="1"/>
  <c r="J142" i="10"/>
  <c r="I142" i="10"/>
  <c r="H142" i="10"/>
  <c r="G142" i="10"/>
  <c r="F142" i="10"/>
  <c r="E142" i="10"/>
  <c r="D142" i="10"/>
  <c r="B142" i="10"/>
  <c r="AL141" i="10"/>
  <c r="L141" i="10"/>
  <c r="A141" i="10" s="1"/>
  <c r="J141" i="10"/>
  <c r="I141" i="10"/>
  <c r="H141" i="10"/>
  <c r="G141" i="10"/>
  <c r="F141" i="10"/>
  <c r="E141" i="10"/>
  <c r="D141" i="10"/>
  <c r="B141" i="10"/>
  <c r="AL140" i="10"/>
  <c r="AH140" i="10"/>
  <c r="L140" i="10"/>
  <c r="A140" i="10" s="1"/>
  <c r="J140" i="10"/>
  <c r="I140" i="10"/>
  <c r="H140" i="10"/>
  <c r="G140" i="10"/>
  <c r="F140" i="10"/>
  <c r="E140" i="10"/>
  <c r="D140" i="10"/>
  <c r="B140" i="10"/>
  <c r="AL139" i="10"/>
  <c r="AH139" i="10"/>
  <c r="L139" i="10"/>
  <c r="A139" i="10" s="1"/>
  <c r="J139" i="10"/>
  <c r="I139" i="10"/>
  <c r="H139" i="10"/>
  <c r="G139" i="10"/>
  <c r="F139" i="10"/>
  <c r="E139" i="10"/>
  <c r="D139" i="10"/>
  <c r="B139" i="10"/>
  <c r="AL138" i="10"/>
  <c r="L138" i="10"/>
  <c r="A138" i="10" s="1"/>
  <c r="J138" i="10"/>
  <c r="I138" i="10"/>
  <c r="H138" i="10"/>
  <c r="G138" i="10"/>
  <c r="F138" i="10"/>
  <c r="E138" i="10"/>
  <c r="D138" i="10"/>
  <c r="B138" i="10"/>
  <c r="AL137" i="10"/>
  <c r="AC137" i="10"/>
  <c r="L137" i="10"/>
  <c r="A137" i="10" s="1"/>
  <c r="J137" i="10"/>
  <c r="I137" i="10"/>
  <c r="H137" i="10"/>
  <c r="G137" i="10"/>
  <c r="F137" i="10"/>
  <c r="E137" i="10"/>
  <c r="D137" i="10"/>
  <c r="B137" i="10"/>
  <c r="AL136" i="10"/>
  <c r="AH136" i="10"/>
  <c r="L136" i="10"/>
  <c r="A136" i="10" s="1"/>
  <c r="J136" i="10"/>
  <c r="I136" i="10"/>
  <c r="H136" i="10"/>
  <c r="G136" i="10"/>
  <c r="F136" i="10"/>
  <c r="E136" i="10"/>
  <c r="D136" i="10"/>
  <c r="B136" i="10"/>
  <c r="AL135" i="10"/>
  <c r="Y135" i="10"/>
  <c r="Q135" i="10"/>
  <c r="L135" i="10"/>
  <c r="A135" i="10" s="1"/>
  <c r="J135" i="10"/>
  <c r="I135" i="10"/>
  <c r="H135" i="10"/>
  <c r="F135" i="10"/>
  <c r="E135" i="10"/>
  <c r="D135" i="10"/>
  <c r="B135" i="10"/>
  <c r="AL134" i="10"/>
  <c r="AH134" i="10"/>
  <c r="AC134" i="10"/>
  <c r="L134" i="10"/>
  <c r="A134" i="10" s="1"/>
  <c r="K134" i="10"/>
  <c r="J134" i="10"/>
  <c r="I134" i="10"/>
  <c r="H134" i="10"/>
  <c r="G134" i="10"/>
  <c r="F134" i="10"/>
  <c r="D134" i="10"/>
  <c r="C134" i="10"/>
  <c r="B134" i="10"/>
  <c r="AL133" i="10"/>
  <c r="M133" i="10"/>
  <c r="L133" i="10"/>
  <c r="A133" i="10" s="1"/>
  <c r="K133" i="10"/>
  <c r="J133" i="10"/>
  <c r="I133" i="10"/>
  <c r="H133" i="10"/>
  <c r="G133" i="10"/>
  <c r="F133" i="10"/>
  <c r="D133" i="10"/>
  <c r="C133" i="10"/>
  <c r="B133" i="10"/>
  <c r="AL132" i="10"/>
  <c r="L132" i="10"/>
  <c r="A132" i="10" s="1"/>
  <c r="K132" i="10"/>
  <c r="J132" i="10"/>
  <c r="I132" i="10"/>
  <c r="H132" i="10"/>
  <c r="G132" i="10"/>
  <c r="F132" i="10"/>
  <c r="D132" i="10"/>
  <c r="C132" i="10"/>
  <c r="B132" i="10"/>
  <c r="AL131" i="10"/>
  <c r="AH131" i="10"/>
  <c r="L131" i="10"/>
  <c r="A131" i="10" s="1"/>
  <c r="K131" i="10"/>
  <c r="J131" i="10"/>
  <c r="I131" i="10"/>
  <c r="H131" i="10"/>
  <c r="G131" i="10"/>
  <c r="F131" i="10"/>
  <c r="D131" i="10"/>
  <c r="C131" i="10"/>
  <c r="B131" i="10"/>
  <c r="AL130" i="10"/>
  <c r="AH130" i="10"/>
  <c r="M130" i="10"/>
  <c r="L130" i="10"/>
  <c r="A130" i="10" s="1"/>
  <c r="K130" i="10"/>
  <c r="J130" i="10"/>
  <c r="I130" i="10"/>
  <c r="H130" i="10"/>
  <c r="G130" i="10"/>
  <c r="F130" i="10"/>
  <c r="D130" i="10"/>
  <c r="C130" i="10"/>
  <c r="B130" i="10"/>
  <c r="L129" i="10"/>
  <c r="A129" i="10" s="1"/>
  <c r="K129" i="10"/>
  <c r="J129" i="10"/>
  <c r="I129" i="10"/>
  <c r="H129" i="10"/>
  <c r="G129" i="10"/>
  <c r="F129" i="10"/>
  <c r="D129" i="10"/>
  <c r="C129" i="10"/>
  <c r="B129" i="10"/>
  <c r="AL128" i="10"/>
  <c r="L128" i="10"/>
  <c r="A128" i="10" s="1"/>
  <c r="K128" i="10"/>
  <c r="J128" i="10"/>
  <c r="H128" i="10"/>
  <c r="G128" i="10"/>
  <c r="F128" i="10"/>
  <c r="D128" i="10"/>
  <c r="C128" i="10"/>
  <c r="B128" i="10"/>
  <c r="AL127" i="10"/>
  <c r="AH127" i="10"/>
  <c r="M127" i="10"/>
  <c r="L127" i="10"/>
  <c r="A127" i="10" s="1"/>
  <c r="K127" i="10"/>
  <c r="J127" i="10"/>
  <c r="I127" i="10"/>
  <c r="H127" i="10"/>
  <c r="G127" i="10"/>
  <c r="F127" i="10"/>
  <c r="D127" i="10"/>
  <c r="C127" i="10"/>
  <c r="B127" i="10"/>
  <c r="AL126" i="10"/>
  <c r="AH126" i="10"/>
  <c r="L126" i="10"/>
  <c r="A126" i="10" s="1"/>
  <c r="K126" i="10"/>
  <c r="J126" i="10"/>
  <c r="I126" i="10"/>
  <c r="H126" i="10"/>
  <c r="G126" i="10"/>
  <c r="F126" i="10"/>
  <c r="D126" i="10"/>
  <c r="C126" i="10"/>
  <c r="B126" i="10"/>
  <c r="AL125" i="10"/>
  <c r="M125" i="10"/>
  <c r="L125" i="10"/>
  <c r="A125" i="10" s="1"/>
  <c r="K125" i="10"/>
  <c r="J125" i="10"/>
  <c r="I125" i="10"/>
  <c r="H125" i="10"/>
  <c r="G125" i="10"/>
  <c r="F125" i="10"/>
  <c r="D125" i="10"/>
  <c r="C125" i="10"/>
  <c r="B125" i="10"/>
  <c r="AL124" i="10"/>
  <c r="M124" i="10"/>
  <c r="L124" i="10"/>
  <c r="A124" i="10" s="1"/>
  <c r="K124" i="10"/>
  <c r="J124" i="10"/>
  <c r="I124" i="10"/>
  <c r="H124" i="10"/>
  <c r="G124" i="10"/>
  <c r="F124" i="10"/>
  <c r="D124" i="10"/>
  <c r="C124" i="10"/>
  <c r="B124" i="10"/>
  <c r="AL123" i="10"/>
  <c r="AH123" i="10"/>
  <c r="L123" i="10"/>
  <c r="A123" i="10" s="1"/>
  <c r="K123" i="10"/>
  <c r="J123" i="10"/>
  <c r="I123" i="10"/>
  <c r="H123" i="10"/>
  <c r="G123" i="10"/>
  <c r="F123" i="10"/>
  <c r="D123" i="10"/>
  <c r="C123" i="10"/>
  <c r="B123" i="10"/>
  <c r="AL122" i="10"/>
  <c r="AH122" i="10"/>
  <c r="M122" i="10"/>
  <c r="L122" i="10"/>
  <c r="A122" i="10" s="1"/>
  <c r="K122" i="10"/>
  <c r="J122" i="10"/>
  <c r="I122" i="10"/>
  <c r="H122" i="10"/>
  <c r="G122" i="10"/>
  <c r="F122" i="10"/>
  <c r="D122" i="10"/>
  <c r="C122" i="10"/>
  <c r="B122" i="10"/>
  <c r="AL121" i="10"/>
  <c r="M121" i="10"/>
  <c r="L121" i="10"/>
  <c r="A121" i="10" s="1"/>
  <c r="K121" i="10"/>
  <c r="J121" i="10"/>
  <c r="I121" i="10"/>
  <c r="H121" i="10"/>
  <c r="G121" i="10"/>
  <c r="F121" i="10"/>
  <c r="D121" i="10"/>
  <c r="C121" i="10"/>
  <c r="B121" i="10"/>
  <c r="AL120" i="10"/>
  <c r="L120" i="10"/>
  <c r="A120" i="10" s="1"/>
  <c r="K120" i="10"/>
  <c r="J120" i="10"/>
  <c r="I120" i="10"/>
  <c r="H120" i="10"/>
  <c r="G120" i="10"/>
  <c r="F120" i="10"/>
  <c r="D120" i="10"/>
  <c r="C120" i="10"/>
  <c r="B120" i="10"/>
  <c r="AL119" i="10"/>
  <c r="AH119" i="10"/>
  <c r="M119" i="10"/>
  <c r="L119" i="10"/>
  <c r="A119" i="10" s="1"/>
  <c r="K119" i="10"/>
  <c r="J119" i="10"/>
  <c r="I119" i="10"/>
  <c r="H119" i="10"/>
  <c r="G119" i="10"/>
  <c r="F119" i="10"/>
  <c r="D119" i="10"/>
  <c r="C119" i="10"/>
  <c r="B119" i="10"/>
  <c r="AL118" i="10"/>
  <c r="AH118" i="10"/>
  <c r="L118" i="10"/>
  <c r="A118" i="10" s="1"/>
  <c r="K118" i="10"/>
  <c r="J118" i="10"/>
  <c r="I118" i="10"/>
  <c r="H118" i="10"/>
  <c r="G118" i="10"/>
  <c r="F118" i="10"/>
  <c r="D118" i="10"/>
  <c r="C118" i="10"/>
  <c r="B118" i="10"/>
  <c r="AL117" i="10"/>
  <c r="L117" i="10"/>
  <c r="A117" i="10" s="1"/>
  <c r="K117" i="10"/>
  <c r="J117" i="10"/>
  <c r="I117" i="10"/>
  <c r="H117" i="10"/>
  <c r="G117" i="10"/>
  <c r="F117" i="10"/>
  <c r="D117" i="10"/>
  <c r="C117" i="10"/>
  <c r="B117" i="10"/>
  <c r="AL116" i="10"/>
  <c r="M116" i="10"/>
  <c r="L116" i="10"/>
  <c r="A116" i="10" s="1"/>
  <c r="K116" i="10"/>
  <c r="J116" i="10"/>
  <c r="I116" i="10"/>
  <c r="H116" i="10"/>
  <c r="G116" i="10"/>
  <c r="F116" i="10"/>
  <c r="D116" i="10"/>
  <c r="C116" i="10"/>
  <c r="B116" i="10"/>
  <c r="AL115" i="10"/>
  <c r="AH115" i="10"/>
  <c r="L115" i="10"/>
  <c r="A115" i="10" s="1"/>
  <c r="K115" i="10"/>
  <c r="J115" i="10"/>
  <c r="I115" i="10"/>
  <c r="H115" i="10"/>
  <c r="G115" i="10"/>
  <c r="F115" i="10"/>
  <c r="D115" i="10"/>
  <c r="C115" i="10"/>
  <c r="B115" i="10"/>
  <c r="AL114" i="10"/>
  <c r="AH114" i="10"/>
  <c r="L114" i="10"/>
  <c r="A114" i="10" s="1"/>
  <c r="K114" i="10"/>
  <c r="J114" i="10"/>
  <c r="I114" i="10"/>
  <c r="H114" i="10"/>
  <c r="G114" i="10"/>
  <c r="F114" i="10"/>
  <c r="D114" i="10"/>
  <c r="C114" i="10"/>
  <c r="B114" i="10"/>
  <c r="AL113" i="10"/>
  <c r="Q113" i="10"/>
  <c r="M113" i="10"/>
  <c r="L113" i="10"/>
  <c r="A113" i="10" s="1"/>
  <c r="K113" i="10"/>
  <c r="J113" i="10"/>
  <c r="I113" i="10"/>
  <c r="H113" i="10"/>
  <c r="G113" i="10"/>
  <c r="F113" i="10"/>
  <c r="D113" i="10"/>
  <c r="C113" i="10"/>
  <c r="B113" i="10"/>
  <c r="AL112" i="10"/>
  <c r="AH112" i="10"/>
  <c r="M112" i="10"/>
  <c r="L112" i="10"/>
  <c r="A112" i="10" s="1"/>
  <c r="K112" i="10"/>
  <c r="J112" i="10"/>
  <c r="I112" i="10"/>
  <c r="H112" i="10"/>
  <c r="F112" i="10"/>
  <c r="E112" i="10"/>
  <c r="D112" i="10"/>
  <c r="B112" i="10"/>
  <c r="L111" i="10"/>
  <c r="A111" i="10" s="1"/>
  <c r="K111" i="10"/>
  <c r="J111" i="10"/>
  <c r="I111" i="10"/>
  <c r="H111" i="10"/>
  <c r="F111" i="10"/>
  <c r="E111" i="10"/>
  <c r="D111" i="10"/>
  <c r="C111" i="10"/>
  <c r="B111" i="10"/>
  <c r="AL110" i="10"/>
  <c r="AH110" i="10"/>
  <c r="M110" i="10"/>
  <c r="L110" i="10"/>
  <c r="A110" i="10" s="1"/>
  <c r="J110" i="10"/>
  <c r="I110" i="10"/>
  <c r="H110" i="10"/>
  <c r="F110" i="10"/>
  <c r="E110" i="10"/>
  <c r="D110" i="10"/>
  <c r="C110" i="10"/>
  <c r="B110" i="10"/>
  <c r="AL109" i="10"/>
  <c r="AH109" i="10"/>
  <c r="M109" i="10"/>
  <c r="L109" i="10"/>
  <c r="A109" i="10" s="1"/>
  <c r="K109" i="10"/>
  <c r="J109" i="10"/>
  <c r="I109" i="10"/>
  <c r="H109" i="10"/>
  <c r="F109" i="10"/>
  <c r="E109" i="10"/>
  <c r="D109" i="10"/>
  <c r="C109" i="10"/>
  <c r="B109" i="10"/>
  <c r="AL108" i="10"/>
  <c r="M108" i="10"/>
  <c r="L108" i="10"/>
  <c r="A108" i="10" s="1"/>
  <c r="K108" i="10"/>
  <c r="J108" i="10"/>
  <c r="I108" i="10"/>
  <c r="H108" i="10"/>
  <c r="F108" i="10"/>
  <c r="E108" i="10"/>
  <c r="D108" i="10"/>
  <c r="B108" i="10"/>
  <c r="AL107" i="10"/>
  <c r="M107" i="10"/>
  <c r="L107" i="10"/>
  <c r="A107" i="10" s="1"/>
  <c r="K107" i="10"/>
  <c r="J107" i="10"/>
  <c r="I107" i="10"/>
  <c r="H107" i="10"/>
  <c r="F107" i="10"/>
  <c r="E107" i="10"/>
  <c r="D107" i="10"/>
  <c r="C107" i="10"/>
  <c r="B107" i="10"/>
  <c r="AL106" i="10"/>
  <c r="AH106" i="10"/>
  <c r="M106" i="10"/>
  <c r="L106" i="10"/>
  <c r="A106" i="10" s="1"/>
  <c r="K106" i="10"/>
  <c r="J106" i="10"/>
  <c r="I106" i="10"/>
  <c r="H106" i="10"/>
  <c r="F106" i="10"/>
  <c r="E106" i="10"/>
  <c r="D106" i="10"/>
  <c r="C106" i="10"/>
  <c r="B106" i="10"/>
  <c r="AL105" i="10"/>
  <c r="AH105" i="10"/>
  <c r="L105" i="10"/>
  <c r="A105" i="10" s="1"/>
  <c r="K105" i="10"/>
  <c r="J105" i="10"/>
  <c r="I105" i="10"/>
  <c r="H105" i="10"/>
  <c r="F105" i="10"/>
  <c r="E105" i="10"/>
  <c r="D105" i="10"/>
  <c r="C105" i="10"/>
  <c r="B105" i="10"/>
  <c r="AL104" i="10"/>
  <c r="M104" i="10"/>
  <c r="L104" i="10"/>
  <c r="A104" i="10" s="1"/>
  <c r="K104" i="10"/>
  <c r="J104" i="10"/>
  <c r="I104" i="10"/>
  <c r="H104" i="10"/>
  <c r="F104" i="10"/>
  <c r="E104" i="10"/>
  <c r="D104" i="10"/>
  <c r="C104" i="10"/>
  <c r="B104" i="10"/>
  <c r="AL103" i="10"/>
  <c r="M103" i="10"/>
  <c r="L103" i="10"/>
  <c r="A103" i="10" s="1"/>
  <c r="K103" i="10"/>
  <c r="J103" i="10"/>
  <c r="I103" i="10"/>
  <c r="H103" i="10"/>
  <c r="F103" i="10"/>
  <c r="E103" i="10"/>
  <c r="D103" i="10"/>
  <c r="C103" i="10"/>
  <c r="B103" i="10"/>
  <c r="AL102" i="10"/>
  <c r="AH102" i="10"/>
  <c r="L102" i="10"/>
  <c r="A102" i="10" s="1"/>
  <c r="K102" i="10"/>
  <c r="J102" i="10"/>
  <c r="I102" i="10"/>
  <c r="H102" i="10"/>
  <c r="F102" i="10"/>
  <c r="E102" i="10"/>
  <c r="D102" i="10"/>
  <c r="C102" i="10"/>
  <c r="B102" i="10"/>
  <c r="AL101" i="10"/>
  <c r="AH101" i="10"/>
  <c r="M101" i="10"/>
  <c r="L101" i="10"/>
  <c r="A101" i="10" s="1"/>
  <c r="K101" i="10"/>
  <c r="J101" i="10"/>
  <c r="I101" i="10"/>
  <c r="H101" i="10"/>
  <c r="F101" i="10"/>
  <c r="E101" i="10"/>
  <c r="D101" i="10"/>
  <c r="C101" i="10"/>
  <c r="B101" i="10"/>
  <c r="AL100" i="10"/>
  <c r="M100" i="10"/>
  <c r="L100" i="10"/>
  <c r="A100" i="10" s="1"/>
  <c r="K100" i="10"/>
  <c r="J100" i="10"/>
  <c r="I100" i="10"/>
  <c r="H100" i="10"/>
  <c r="F100" i="10"/>
  <c r="E100" i="10"/>
  <c r="D100" i="10"/>
  <c r="C100" i="10"/>
  <c r="B100" i="10"/>
  <c r="AL99" i="10"/>
  <c r="L99" i="10"/>
  <c r="A99" i="10" s="1"/>
  <c r="K99" i="10"/>
  <c r="J99" i="10"/>
  <c r="I99" i="10"/>
  <c r="H99" i="10"/>
  <c r="F99" i="10"/>
  <c r="E99" i="10"/>
  <c r="D99" i="10"/>
  <c r="C99" i="10"/>
  <c r="B99" i="10"/>
  <c r="AL98" i="10"/>
  <c r="AH98" i="10"/>
  <c r="M98" i="10"/>
  <c r="L98" i="10"/>
  <c r="A98" i="10" s="1"/>
  <c r="K98" i="10"/>
  <c r="J98" i="10"/>
  <c r="I98" i="10"/>
  <c r="H98" i="10"/>
  <c r="F98" i="10"/>
  <c r="E98" i="10"/>
  <c r="D98" i="10"/>
  <c r="C98" i="10"/>
  <c r="B98" i="10"/>
  <c r="AL97" i="10"/>
  <c r="AH97" i="10"/>
  <c r="AC97" i="10"/>
  <c r="M97" i="10"/>
  <c r="L97" i="10"/>
  <c r="A97" i="10" s="1"/>
  <c r="K97" i="10"/>
  <c r="J97" i="10"/>
  <c r="I97" i="10"/>
  <c r="H97" i="10"/>
  <c r="F97" i="10"/>
  <c r="E97" i="10"/>
  <c r="D97" i="10"/>
  <c r="B97" i="10"/>
  <c r="AL96" i="10"/>
  <c r="M96" i="10"/>
  <c r="L96" i="10"/>
  <c r="A96" i="10" s="1"/>
  <c r="K96" i="10"/>
  <c r="J96" i="10"/>
  <c r="I96" i="10"/>
  <c r="H96" i="10"/>
  <c r="F96" i="10"/>
  <c r="E96" i="10"/>
  <c r="D96" i="10"/>
  <c r="C96" i="10"/>
  <c r="B96" i="10"/>
  <c r="AL95" i="10"/>
  <c r="M95" i="10"/>
  <c r="L95" i="10"/>
  <c r="A95" i="10" s="1"/>
  <c r="K95" i="10"/>
  <c r="J95" i="10"/>
  <c r="I95" i="10"/>
  <c r="H95" i="10"/>
  <c r="F95" i="10"/>
  <c r="E95" i="10"/>
  <c r="D95" i="10"/>
  <c r="B95" i="10"/>
  <c r="AL94" i="10"/>
  <c r="AH94" i="10"/>
  <c r="M94" i="10"/>
  <c r="L94" i="10"/>
  <c r="A94" i="10" s="1"/>
  <c r="K94" i="10"/>
  <c r="J94" i="10"/>
  <c r="I94" i="10"/>
  <c r="H94" i="10"/>
  <c r="F94" i="10"/>
  <c r="E94" i="10"/>
  <c r="D94" i="10"/>
  <c r="C94" i="10"/>
  <c r="B94" i="10"/>
  <c r="L93" i="10"/>
  <c r="A93" i="10" s="1"/>
  <c r="J93" i="10"/>
  <c r="I93" i="10"/>
  <c r="H93" i="10"/>
  <c r="F93" i="10"/>
  <c r="E93" i="10"/>
  <c r="D93" i="10"/>
  <c r="C93" i="10"/>
  <c r="B93" i="10"/>
  <c r="AL92" i="10"/>
  <c r="AH92" i="10"/>
  <c r="X91" i="10"/>
  <c r="V91" i="10"/>
  <c r="L92" i="10"/>
  <c r="A92" i="10" s="1"/>
  <c r="K92" i="10"/>
  <c r="J92" i="10"/>
  <c r="I92" i="10"/>
  <c r="H92" i="10"/>
  <c r="F92" i="10"/>
  <c r="E92" i="10"/>
  <c r="D92" i="10"/>
  <c r="C92" i="10"/>
  <c r="B92" i="10"/>
  <c r="AL91" i="10"/>
  <c r="Q91" i="10"/>
  <c r="M91" i="10"/>
  <c r="L91" i="10"/>
  <c r="A91" i="10" s="1"/>
  <c r="K91" i="10"/>
  <c r="J91" i="10"/>
  <c r="I91" i="10"/>
  <c r="H91" i="10"/>
  <c r="F91" i="10"/>
  <c r="E91" i="10"/>
  <c r="D91" i="10"/>
  <c r="C91" i="10"/>
  <c r="B91" i="10"/>
  <c r="AL90" i="10"/>
  <c r="M90" i="10"/>
  <c r="L90" i="10"/>
  <c r="A90" i="10" s="1"/>
  <c r="K90" i="10"/>
  <c r="J90" i="10"/>
  <c r="H90" i="10"/>
  <c r="G90" i="10"/>
  <c r="F90" i="10"/>
  <c r="E90" i="10"/>
  <c r="D90" i="10"/>
  <c r="C90" i="10"/>
  <c r="B90" i="10"/>
  <c r="AL89" i="10"/>
  <c r="AH89" i="10"/>
  <c r="M89" i="10"/>
  <c r="L89" i="10"/>
  <c r="A89" i="10" s="1"/>
  <c r="K89" i="10"/>
  <c r="J89" i="10"/>
  <c r="H89" i="10"/>
  <c r="G89" i="10"/>
  <c r="F89" i="10"/>
  <c r="E89" i="10"/>
  <c r="D89" i="10"/>
  <c r="C89" i="10"/>
  <c r="B89" i="10"/>
  <c r="AL88" i="10"/>
  <c r="AH88" i="10"/>
  <c r="M88" i="10"/>
  <c r="L88" i="10"/>
  <c r="A88" i="10" s="1"/>
  <c r="K88" i="10"/>
  <c r="J88" i="10"/>
  <c r="H88" i="10"/>
  <c r="G88" i="10"/>
  <c r="F88" i="10"/>
  <c r="E88" i="10"/>
  <c r="D88" i="10"/>
  <c r="C88" i="10"/>
  <c r="B88" i="10"/>
  <c r="AL87" i="10"/>
  <c r="M87" i="10"/>
  <c r="L87" i="10"/>
  <c r="A87" i="10" s="1"/>
  <c r="K87" i="10"/>
  <c r="J87" i="10"/>
  <c r="H87" i="10"/>
  <c r="G87" i="10"/>
  <c r="F87" i="10"/>
  <c r="E87" i="10"/>
  <c r="D87" i="10"/>
  <c r="C87" i="10"/>
  <c r="B87" i="10"/>
  <c r="AL86" i="10"/>
  <c r="M86" i="10"/>
  <c r="L86" i="10"/>
  <c r="A86" i="10" s="1"/>
  <c r="K86" i="10"/>
  <c r="J86" i="10"/>
  <c r="H86" i="10"/>
  <c r="G86" i="10"/>
  <c r="F86" i="10"/>
  <c r="E86" i="10"/>
  <c r="D86" i="10"/>
  <c r="C86" i="10"/>
  <c r="B86" i="10"/>
  <c r="AL85" i="10"/>
  <c r="AH85" i="10"/>
  <c r="M85" i="10"/>
  <c r="L85" i="10"/>
  <c r="A85" i="10" s="1"/>
  <c r="K85" i="10"/>
  <c r="J85" i="10"/>
  <c r="H85" i="10"/>
  <c r="G85" i="10"/>
  <c r="F85" i="10"/>
  <c r="E85" i="10"/>
  <c r="D85" i="10"/>
  <c r="C85" i="10"/>
  <c r="B85" i="10"/>
  <c r="AL84" i="10"/>
  <c r="AH84" i="10"/>
  <c r="M84" i="10"/>
  <c r="L84" i="10"/>
  <c r="A84" i="10" s="1"/>
  <c r="K84" i="10"/>
  <c r="J84" i="10"/>
  <c r="H84" i="10"/>
  <c r="G84" i="10"/>
  <c r="F84" i="10"/>
  <c r="D84" i="10"/>
  <c r="C84" i="10"/>
  <c r="B84" i="10"/>
  <c r="AL83" i="10"/>
  <c r="M83" i="10"/>
  <c r="L83" i="10"/>
  <c r="A83" i="10" s="1"/>
  <c r="K83" i="10"/>
  <c r="J83" i="10"/>
  <c r="H83" i="10"/>
  <c r="G83" i="10"/>
  <c r="F83" i="10"/>
  <c r="E83" i="10"/>
  <c r="D83" i="10"/>
  <c r="C83" i="10"/>
  <c r="B83" i="10"/>
  <c r="AL82" i="10"/>
  <c r="M82" i="10"/>
  <c r="L82" i="10"/>
  <c r="A82" i="10" s="1"/>
  <c r="K82" i="10"/>
  <c r="J82" i="10"/>
  <c r="H82" i="10"/>
  <c r="G82" i="10"/>
  <c r="F82" i="10"/>
  <c r="D82" i="10"/>
  <c r="C82" i="10"/>
  <c r="B82" i="10"/>
  <c r="AL81" i="10"/>
  <c r="AH81" i="10"/>
  <c r="M81" i="10"/>
  <c r="L81" i="10"/>
  <c r="A81" i="10" s="1"/>
  <c r="K81" i="10"/>
  <c r="J81" i="10"/>
  <c r="H81" i="10"/>
  <c r="G81" i="10"/>
  <c r="F81" i="10"/>
  <c r="E81" i="10"/>
  <c r="D81" i="10"/>
  <c r="C81" i="10"/>
  <c r="B81" i="10"/>
  <c r="AL80" i="10"/>
  <c r="AH80" i="10"/>
  <c r="M80" i="10"/>
  <c r="L80" i="10"/>
  <c r="A80" i="10" s="1"/>
  <c r="K80" i="10"/>
  <c r="J80" i="10"/>
  <c r="H80" i="10"/>
  <c r="G80" i="10"/>
  <c r="F80" i="10"/>
  <c r="E80" i="10"/>
  <c r="D80" i="10"/>
  <c r="C80" i="10"/>
  <c r="B80" i="10"/>
  <c r="AL79" i="10"/>
  <c r="M79" i="10"/>
  <c r="L79" i="10"/>
  <c r="A79" i="10" s="1"/>
  <c r="K79" i="10"/>
  <c r="J79" i="10"/>
  <c r="H79" i="10"/>
  <c r="G79" i="10"/>
  <c r="F79" i="10"/>
  <c r="E79" i="10"/>
  <c r="D79" i="10"/>
  <c r="C79" i="10"/>
  <c r="B79" i="10"/>
  <c r="AL78" i="10"/>
  <c r="M78" i="10"/>
  <c r="L78" i="10"/>
  <c r="A78" i="10" s="1"/>
  <c r="K78" i="10"/>
  <c r="J78" i="10"/>
  <c r="H78" i="10"/>
  <c r="G78" i="10"/>
  <c r="F78" i="10"/>
  <c r="E78" i="10"/>
  <c r="D78" i="10"/>
  <c r="C78" i="10"/>
  <c r="B78" i="10"/>
  <c r="AL77" i="10"/>
  <c r="AH77" i="10"/>
  <c r="M77" i="10"/>
  <c r="L77" i="10"/>
  <c r="A77" i="10" s="1"/>
  <c r="K77" i="10"/>
  <c r="J77" i="10"/>
  <c r="H77" i="10"/>
  <c r="G77" i="10"/>
  <c r="F77" i="10"/>
  <c r="E77" i="10"/>
  <c r="D77" i="10"/>
  <c r="C77" i="10"/>
  <c r="B77" i="10"/>
  <c r="AL76" i="10"/>
  <c r="AH76" i="10"/>
  <c r="M76" i="10"/>
  <c r="L76" i="10"/>
  <c r="A76" i="10" s="1"/>
  <c r="K76" i="10"/>
  <c r="J76" i="10"/>
  <c r="H76" i="10"/>
  <c r="G76" i="10"/>
  <c r="F76" i="10"/>
  <c r="E76" i="10"/>
  <c r="D76" i="10"/>
  <c r="C76" i="10"/>
  <c r="B76" i="10"/>
  <c r="M75" i="10"/>
  <c r="L75" i="10"/>
  <c r="A75" i="10" s="1"/>
  <c r="K75" i="10"/>
  <c r="J75" i="10"/>
  <c r="I75" i="10"/>
  <c r="H75" i="10"/>
  <c r="G75" i="10"/>
  <c r="F75" i="10"/>
  <c r="D75" i="10"/>
  <c r="C75" i="10"/>
  <c r="B75" i="10"/>
  <c r="AL74" i="10"/>
  <c r="AC74" i="10"/>
  <c r="M74" i="10"/>
  <c r="L74" i="10"/>
  <c r="A74" i="10" s="1"/>
  <c r="K74" i="10"/>
  <c r="J74" i="10"/>
  <c r="H74" i="10"/>
  <c r="G74" i="10"/>
  <c r="F74" i="10"/>
  <c r="E74" i="10"/>
  <c r="D74" i="10"/>
  <c r="C74" i="10"/>
  <c r="B74" i="10"/>
  <c r="AL73" i="10"/>
  <c r="AH73" i="10"/>
  <c r="M73" i="10"/>
  <c r="L73" i="10"/>
  <c r="A73" i="10" s="1"/>
  <c r="K73" i="10"/>
  <c r="J73" i="10"/>
  <c r="H73" i="10"/>
  <c r="G73" i="10"/>
  <c r="F73" i="10"/>
  <c r="E73" i="10"/>
  <c r="D73" i="10"/>
  <c r="C73" i="10"/>
  <c r="B73" i="10"/>
  <c r="AL72" i="10"/>
  <c r="AH72" i="10"/>
  <c r="M72" i="10"/>
  <c r="L72" i="10"/>
  <c r="A72" i="10" s="1"/>
  <c r="K72" i="10"/>
  <c r="J72" i="10"/>
  <c r="I72" i="10"/>
  <c r="H72" i="10"/>
  <c r="G72" i="10"/>
  <c r="F72" i="10"/>
  <c r="D72" i="10"/>
  <c r="C72" i="10"/>
  <c r="B72" i="10"/>
  <c r="AL71" i="10"/>
  <c r="M71" i="10"/>
  <c r="L71" i="10"/>
  <c r="A71" i="10" s="1"/>
  <c r="K71" i="10"/>
  <c r="J71" i="10"/>
  <c r="H71" i="10"/>
  <c r="G71" i="10"/>
  <c r="F71" i="10"/>
  <c r="E71" i="10"/>
  <c r="D71" i="10"/>
  <c r="C71" i="10"/>
  <c r="B71" i="10"/>
  <c r="AL70" i="10"/>
  <c r="AB69" i="10"/>
  <c r="AC70" i="10"/>
  <c r="M70" i="10"/>
  <c r="L70" i="10"/>
  <c r="A70" i="10" s="1"/>
  <c r="K70" i="10"/>
  <c r="J70" i="10"/>
  <c r="H70" i="10"/>
  <c r="G70" i="10"/>
  <c r="F70" i="10"/>
  <c r="E70" i="10"/>
  <c r="D70" i="10"/>
  <c r="C70" i="10"/>
  <c r="B70" i="10"/>
  <c r="AL69" i="10"/>
  <c r="W69" i="10"/>
  <c r="Q69" i="10"/>
  <c r="M69" i="10"/>
  <c r="L69" i="10"/>
  <c r="A69" i="10" s="1"/>
  <c r="K69" i="10"/>
  <c r="J69" i="10"/>
  <c r="H69" i="10"/>
  <c r="G69" i="10"/>
  <c r="F69" i="10"/>
  <c r="D69" i="10"/>
  <c r="C69" i="10"/>
  <c r="B69" i="10"/>
  <c r="AL68" i="10"/>
  <c r="AH68" i="10"/>
  <c r="M68" i="10"/>
  <c r="L68" i="10"/>
  <c r="A68" i="10" s="1"/>
  <c r="J68" i="10"/>
  <c r="I68" i="10"/>
  <c r="H68" i="10"/>
  <c r="G68" i="10"/>
  <c r="F68" i="10"/>
  <c r="E68" i="10"/>
  <c r="D68" i="10"/>
  <c r="B68" i="10"/>
  <c r="AL67" i="10"/>
  <c r="AH67" i="10"/>
  <c r="M67" i="10"/>
  <c r="L67" i="10"/>
  <c r="A67" i="10" s="1"/>
  <c r="J67" i="10"/>
  <c r="I67" i="10"/>
  <c r="H67" i="10"/>
  <c r="G67" i="10"/>
  <c r="F67" i="10"/>
  <c r="E67" i="10"/>
  <c r="D67" i="10"/>
  <c r="B67" i="10"/>
  <c r="AL66" i="10"/>
  <c r="AH66" i="10"/>
  <c r="M66" i="10"/>
  <c r="L66" i="10"/>
  <c r="A66" i="10" s="1"/>
  <c r="J66" i="10"/>
  <c r="I66" i="10"/>
  <c r="H66" i="10"/>
  <c r="G66" i="10"/>
  <c r="F66" i="10"/>
  <c r="E66" i="10"/>
  <c r="D66" i="10"/>
  <c r="B66" i="10"/>
  <c r="AL65" i="10"/>
  <c r="AH65" i="10"/>
  <c r="M65" i="10"/>
  <c r="L65" i="10"/>
  <c r="A65" i="10" s="1"/>
  <c r="J65" i="10"/>
  <c r="I65" i="10"/>
  <c r="H65" i="10"/>
  <c r="G65" i="10"/>
  <c r="F65" i="10"/>
  <c r="E65" i="10"/>
  <c r="D65" i="10"/>
  <c r="B65" i="10"/>
  <c r="AL64" i="10"/>
  <c r="AH64" i="10"/>
  <c r="M64" i="10"/>
  <c r="L64" i="10"/>
  <c r="A64" i="10" s="1"/>
  <c r="J64" i="10"/>
  <c r="I64" i="10"/>
  <c r="H64" i="10"/>
  <c r="G64" i="10"/>
  <c r="F64" i="10"/>
  <c r="E64" i="10"/>
  <c r="D64" i="10"/>
  <c r="B64" i="10"/>
  <c r="AL63" i="10"/>
  <c r="AH63" i="10"/>
  <c r="AC63" i="10"/>
  <c r="L63" i="10"/>
  <c r="A63" i="10" s="1"/>
  <c r="J63" i="10"/>
  <c r="I63" i="10"/>
  <c r="H63" i="10"/>
  <c r="G63" i="10"/>
  <c r="F63" i="10"/>
  <c r="E63" i="10"/>
  <c r="D63" i="10"/>
  <c r="B63" i="10"/>
  <c r="AL62" i="10"/>
  <c r="M62" i="10"/>
  <c r="L62" i="10"/>
  <c r="A62" i="10" s="1"/>
  <c r="J62" i="10"/>
  <c r="I62" i="10"/>
  <c r="H62" i="10"/>
  <c r="G62" i="10"/>
  <c r="F62" i="10"/>
  <c r="E62" i="10"/>
  <c r="D62" i="10"/>
  <c r="B62" i="10"/>
  <c r="AL61" i="10"/>
  <c r="M61" i="10"/>
  <c r="L61" i="10"/>
  <c r="A61" i="10" s="1"/>
  <c r="J61" i="10"/>
  <c r="I61" i="10"/>
  <c r="H61" i="10"/>
  <c r="G61" i="10"/>
  <c r="F61" i="10"/>
  <c r="E61" i="10"/>
  <c r="D61" i="10"/>
  <c r="B61" i="10"/>
  <c r="AL60" i="10"/>
  <c r="AH60" i="10"/>
  <c r="L60" i="10"/>
  <c r="A60" i="10" s="1"/>
  <c r="J60" i="10"/>
  <c r="I60" i="10"/>
  <c r="H60" i="10"/>
  <c r="F60" i="10"/>
  <c r="E60" i="10"/>
  <c r="D60" i="10"/>
  <c r="B60" i="10"/>
  <c r="AL59" i="10"/>
  <c r="AH59" i="10"/>
  <c r="AC59" i="10"/>
  <c r="M59" i="10"/>
  <c r="L59" i="10"/>
  <c r="A59" i="10" s="1"/>
  <c r="J59" i="10"/>
  <c r="I59" i="10"/>
  <c r="H59" i="10"/>
  <c r="G59" i="10"/>
  <c r="F59" i="10"/>
  <c r="E59" i="10"/>
  <c r="D59" i="10"/>
  <c r="B59" i="10"/>
  <c r="AL58" i="10"/>
  <c r="M58" i="10"/>
  <c r="L58" i="10"/>
  <c r="A58" i="10" s="1"/>
  <c r="J58" i="10"/>
  <c r="I58" i="10"/>
  <c r="H58" i="10"/>
  <c r="G58" i="10"/>
  <c r="F58" i="10"/>
  <c r="E58" i="10"/>
  <c r="D58" i="10"/>
  <c r="B58" i="10"/>
  <c r="L57" i="10"/>
  <c r="A57" i="10" s="1"/>
  <c r="J57" i="10"/>
  <c r="I57" i="10"/>
  <c r="H57" i="10"/>
  <c r="G57" i="10"/>
  <c r="F57" i="10"/>
  <c r="E57" i="10"/>
  <c r="D57" i="10"/>
  <c r="B57" i="10"/>
  <c r="AL56" i="10"/>
  <c r="AH56" i="10"/>
  <c r="M56" i="10"/>
  <c r="L56" i="10"/>
  <c r="A56" i="10" s="1"/>
  <c r="J56" i="10"/>
  <c r="I56" i="10"/>
  <c r="H56" i="10"/>
  <c r="G56" i="10"/>
  <c r="F56" i="10"/>
  <c r="E56" i="10"/>
  <c r="D56" i="10"/>
  <c r="B56" i="10"/>
  <c r="AL55" i="10"/>
  <c r="AH55" i="10"/>
  <c r="M55" i="10"/>
  <c r="L55" i="10"/>
  <c r="A55" i="10" s="1"/>
  <c r="J55" i="10"/>
  <c r="I55" i="10"/>
  <c r="H55" i="10"/>
  <c r="G55" i="10"/>
  <c r="F55" i="10"/>
  <c r="E55" i="10"/>
  <c r="D55" i="10"/>
  <c r="B55" i="10"/>
  <c r="AL54" i="10"/>
  <c r="AH54" i="10"/>
  <c r="AC54" i="10"/>
  <c r="M54" i="10"/>
  <c r="L54" i="10"/>
  <c r="A54" i="10" s="1"/>
  <c r="J54" i="10"/>
  <c r="I54" i="10"/>
  <c r="H54" i="10"/>
  <c r="G54" i="10"/>
  <c r="F54" i="10"/>
  <c r="E54" i="10"/>
  <c r="D54" i="10"/>
  <c r="B54" i="10"/>
  <c r="AL53" i="10"/>
  <c r="AC53" i="10"/>
  <c r="M53" i="10"/>
  <c r="L53" i="10"/>
  <c r="A53" i="10" s="1"/>
  <c r="J53" i="10"/>
  <c r="I53" i="10"/>
  <c r="H53" i="10"/>
  <c r="G53" i="10"/>
  <c r="F53" i="10"/>
  <c r="E53" i="10"/>
  <c r="D53" i="10"/>
  <c r="B53" i="10"/>
  <c r="AL52" i="10"/>
  <c r="AH52" i="10"/>
  <c r="M52" i="10"/>
  <c r="L52" i="10"/>
  <c r="A52" i="10" s="1"/>
  <c r="J52" i="10"/>
  <c r="I52" i="10"/>
  <c r="H52" i="10"/>
  <c r="G52" i="10"/>
  <c r="F52" i="10"/>
  <c r="E52" i="10"/>
  <c r="D52" i="10"/>
  <c r="B52" i="10"/>
  <c r="AL51" i="10"/>
  <c r="AH51" i="10"/>
  <c r="AC51" i="10"/>
  <c r="M51" i="10"/>
  <c r="L51" i="10"/>
  <c r="A51" i="10" s="1"/>
  <c r="J51" i="10"/>
  <c r="I51" i="10"/>
  <c r="H51" i="10"/>
  <c r="G51" i="10"/>
  <c r="F51" i="10"/>
  <c r="E51" i="10"/>
  <c r="D51" i="10"/>
  <c r="B51" i="10"/>
  <c r="AL50" i="10"/>
  <c r="V47" i="10"/>
  <c r="M50" i="10"/>
  <c r="L50" i="10"/>
  <c r="A50" i="10" s="1"/>
  <c r="J50" i="10"/>
  <c r="I50" i="10"/>
  <c r="H50" i="10"/>
  <c r="G50" i="10"/>
  <c r="F50" i="10"/>
  <c r="E50" i="10"/>
  <c r="D50" i="10"/>
  <c r="B50" i="10"/>
  <c r="AL49" i="10"/>
  <c r="M49" i="10"/>
  <c r="L49" i="10"/>
  <c r="A49" i="10" s="1"/>
  <c r="J49" i="10"/>
  <c r="I49" i="10"/>
  <c r="H49" i="10"/>
  <c r="G49" i="10"/>
  <c r="F49" i="10"/>
  <c r="E49" i="10"/>
  <c r="D49" i="10"/>
  <c r="B49" i="10"/>
  <c r="AL48" i="10"/>
  <c r="AH48" i="10"/>
  <c r="AB47" i="10"/>
  <c r="X47" i="10"/>
  <c r="M48" i="10"/>
  <c r="L48" i="10"/>
  <c r="A48" i="10" s="1"/>
  <c r="J48" i="10"/>
  <c r="I48" i="10"/>
  <c r="H48" i="10"/>
  <c r="G48" i="10"/>
  <c r="F48" i="10"/>
  <c r="E48" i="10"/>
  <c r="D48" i="10"/>
  <c r="B48" i="10"/>
  <c r="AL47" i="10"/>
  <c r="AA47" i="10"/>
  <c r="Q47" i="10"/>
  <c r="L47" i="10"/>
  <c r="A47" i="10" s="1"/>
  <c r="J47" i="10"/>
  <c r="I47" i="10"/>
  <c r="H47" i="10"/>
  <c r="G47" i="10"/>
  <c r="F47" i="10"/>
  <c r="E47" i="10"/>
  <c r="D47" i="10"/>
  <c r="B47" i="10"/>
  <c r="AL46" i="10"/>
  <c r="AH46" i="10"/>
  <c r="AC46" i="10"/>
  <c r="M46" i="10"/>
  <c r="L46" i="10"/>
  <c r="A46" i="10" s="1"/>
  <c r="K46" i="10"/>
  <c r="J46" i="10"/>
  <c r="I46" i="10"/>
  <c r="H46" i="10"/>
  <c r="G46" i="10"/>
  <c r="F46" i="10"/>
  <c r="D46" i="10"/>
  <c r="C46" i="10"/>
  <c r="B46" i="10"/>
  <c r="AL45" i="10"/>
  <c r="L45" i="10"/>
  <c r="A45" i="10" s="1"/>
  <c r="K45" i="10"/>
  <c r="J45" i="10"/>
  <c r="I45" i="10"/>
  <c r="H45" i="10"/>
  <c r="G45" i="10"/>
  <c r="F45" i="10"/>
  <c r="D45" i="10"/>
  <c r="C45" i="10"/>
  <c r="B45" i="10"/>
  <c r="AL44" i="10"/>
  <c r="M44" i="10"/>
  <c r="L44" i="10"/>
  <c r="A44" i="10" s="1"/>
  <c r="K44" i="10"/>
  <c r="J44" i="10"/>
  <c r="I44" i="10"/>
  <c r="H44" i="10"/>
  <c r="G44" i="10"/>
  <c r="F44" i="10"/>
  <c r="D44" i="10"/>
  <c r="C44" i="10"/>
  <c r="B44" i="10"/>
  <c r="AL43" i="10"/>
  <c r="AH43" i="10"/>
  <c r="L43" i="10"/>
  <c r="A43" i="10" s="1"/>
  <c r="K43" i="10"/>
  <c r="J43" i="10"/>
  <c r="I43" i="10"/>
  <c r="H43" i="10"/>
  <c r="G43" i="10"/>
  <c r="F43" i="10"/>
  <c r="D43" i="10"/>
  <c r="C43" i="10"/>
  <c r="B43" i="10"/>
  <c r="AL42" i="10"/>
  <c r="AH42" i="10"/>
  <c r="L42" i="10"/>
  <c r="A42" i="10" s="1"/>
  <c r="K42" i="10"/>
  <c r="J42" i="10"/>
  <c r="I42" i="10"/>
  <c r="H42" i="10"/>
  <c r="G42" i="10"/>
  <c r="F42" i="10"/>
  <c r="D42" i="10"/>
  <c r="C42" i="10"/>
  <c r="B42" i="10"/>
  <c r="AL41" i="10"/>
  <c r="M41" i="10"/>
  <c r="L41" i="10"/>
  <c r="A41" i="10" s="1"/>
  <c r="K41" i="10"/>
  <c r="J41" i="10"/>
  <c r="I41" i="10"/>
  <c r="H41" i="10"/>
  <c r="G41" i="10"/>
  <c r="F41" i="10"/>
  <c r="D41" i="10"/>
  <c r="C41" i="10"/>
  <c r="B41" i="10"/>
  <c r="AL40" i="10"/>
  <c r="L40" i="10"/>
  <c r="A40" i="10" s="1"/>
  <c r="K40" i="10"/>
  <c r="J40" i="10"/>
  <c r="I40" i="10"/>
  <c r="H40" i="10"/>
  <c r="G40" i="10"/>
  <c r="F40" i="10"/>
  <c r="D40" i="10"/>
  <c r="C40" i="10"/>
  <c r="B40" i="10"/>
  <c r="L39" i="10"/>
  <c r="A39" i="10" s="1"/>
  <c r="K39" i="10"/>
  <c r="J39" i="10"/>
  <c r="I39" i="10"/>
  <c r="H39" i="10"/>
  <c r="G39" i="10"/>
  <c r="F39" i="10"/>
  <c r="D39" i="10"/>
  <c r="C39" i="10"/>
  <c r="B39" i="10"/>
  <c r="AL38" i="10"/>
  <c r="AH38" i="10"/>
  <c r="AC38" i="10"/>
  <c r="M38" i="10"/>
  <c r="L38" i="10"/>
  <c r="A38" i="10" s="1"/>
  <c r="K38" i="10"/>
  <c r="J38" i="10"/>
  <c r="I38" i="10"/>
  <c r="H38" i="10"/>
  <c r="G38" i="10"/>
  <c r="F38" i="10"/>
  <c r="D38" i="10"/>
  <c r="C38" i="10"/>
  <c r="B38" i="10"/>
  <c r="AL37" i="10"/>
  <c r="AH37" i="10"/>
  <c r="L37" i="10"/>
  <c r="A37" i="10" s="1"/>
  <c r="K37" i="10"/>
  <c r="J37" i="10"/>
  <c r="I37" i="10"/>
  <c r="H37" i="10"/>
  <c r="G37" i="10"/>
  <c r="F37" i="10"/>
  <c r="D37" i="10"/>
  <c r="C37" i="10"/>
  <c r="B37" i="10"/>
  <c r="AL36" i="10"/>
  <c r="AH36" i="10"/>
  <c r="L36" i="10"/>
  <c r="A36" i="10" s="1"/>
  <c r="K36" i="10"/>
  <c r="J36" i="10"/>
  <c r="I36" i="10"/>
  <c r="H36" i="10"/>
  <c r="G36" i="10"/>
  <c r="F36" i="10"/>
  <c r="D36" i="10"/>
  <c r="C36" i="10"/>
  <c r="B36" i="10"/>
  <c r="AL35" i="10"/>
  <c r="AH35" i="10"/>
  <c r="L35" i="10"/>
  <c r="A35" i="10" s="1"/>
  <c r="K35" i="10"/>
  <c r="J35" i="10"/>
  <c r="I35" i="10"/>
  <c r="H35" i="10"/>
  <c r="G35" i="10"/>
  <c r="F35" i="10"/>
  <c r="D35" i="10"/>
  <c r="C35" i="10"/>
  <c r="B35" i="10"/>
  <c r="AL34" i="10"/>
  <c r="AH34" i="10"/>
  <c r="AC34" i="10"/>
  <c r="M34" i="10"/>
  <c r="L34" i="10"/>
  <c r="A34" i="10" s="1"/>
  <c r="K34" i="10"/>
  <c r="J34" i="10"/>
  <c r="I34" i="10"/>
  <c r="H34" i="10"/>
  <c r="G34" i="10"/>
  <c r="F34" i="10"/>
  <c r="D34" i="10"/>
  <c r="C34" i="10"/>
  <c r="B34" i="10"/>
  <c r="AL33" i="10"/>
  <c r="L33" i="10"/>
  <c r="A33" i="10" s="1"/>
  <c r="K33" i="10"/>
  <c r="J33" i="10"/>
  <c r="I33" i="10"/>
  <c r="H33" i="10"/>
  <c r="G33" i="10"/>
  <c r="F33" i="10"/>
  <c r="D33" i="10"/>
  <c r="C33" i="10"/>
  <c r="B33" i="10"/>
  <c r="AL32" i="10"/>
  <c r="L32" i="10"/>
  <c r="A32" i="10" s="1"/>
  <c r="K32" i="10"/>
  <c r="J32" i="10"/>
  <c r="I32" i="10"/>
  <c r="H32" i="10"/>
  <c r="G32" i="10"/>
  <c r="F32" i="10"/>
  <c r="D32" i="10"/>
  <c r="C32" i="10"/>
  <c r="B32" i="10"/>
  <c r="AL31" i="10"/>
  <c r="AH31" i="10"/>
  <c r="M31" i="10"/>
  <c r="L31" i="10"/>
  <c r="A31" i="10" s="1"/>
  <c r="K31" i="10"/>
  <c r="J31" i="10"/>
  <c r="I31" i="10"/>
  <c r="H31" i="10"/>
  <c r="G31" i="10"/>
  <c r="F31" i="10"/>
  <c r="D31" i="10"/>
  <c r="C31" i="10"/>
  <c r="B31" i="10"/>
  <c r="AL30" i="10"/>
  <c r="AH30" i="10"/>
  <c r="L30" i="10"/>
  <c r="A30" i="10" s="1"/>
  <c r="K30" i="10"/>
  <c r="J30" i="10"/>
  <c r="I30" i="10"/>
  <c r="H30" i="10"/>
  <c r="G30" i="10"/>
  <c r="F30" i="10"/>
  <c r="D30" i="10"/>
  <c r="C30" i="10"/>
  <c r="B30" i="10"/>
  <c r="AL29" i="10"/>
  <c r="M29" i="10"/>
  <c r="L29" i="10"/>
  <c r="A29" i="10" s="1"/>
  <c r="K29" i="10"/>
  <c r="J29" i="10"/>
  <c r="I29" i="10"/>
  <c r="H29" i="10"/>
  <c r="G29" i="10"/>
  <c r="F29" i="10"/>
  <c r="D29" i="10"/>
  <c r="C29" i="10"/>
  <c r="B29" i="10"/>
  <c r="AL28" i="10"/>
  <c r="AA25" i="10"/>
  <c r="W25" i="10"/>
  <c r="AC28" i="10"/>
  <c r="M28" i="10"/>
  <c r="L28" i="10"/>
  <c r="A28" i="10" s="1"/>
  <c r="K28" i="10"/>
  <c r="J28" i="10"/>
  <c r="I28" i="10"/>
  <c r="H28" i="10"/>
  <c r="G28" i="10"/>
  <c r="F28" i="10"/>
  <c r="D28" i="10"/>
  <c r="C28" i="10"/>
  <c r="B28" i="10"/>
  <c r="AL27" i="10"/>
  <c r="AH27" i="10"/>
  <c r="AC27" i="10"/>
  <c r="L27" i="10"/>
  <c r="A27" i="10" s="1"/>
  <c r="K27" i="10"/>
  <c r="J27" i="10"/>
  <c r="I27" i="10"/>
  <c r="H27" i="10"/>
  <c r="G27" i="10"/>
  <c r="F27" i="10"/>
  <c r="D27" i="10"/>
  <c r="C27" i="10"/>
  <c r="B27" i="10"/>
  <c r="AL26" i="10"/>
  <c r="AH26" i="10"/>
  <c r="Y25" i="10"/>
  <c r="V25" i="10"/>
  <c r="L26" i="10"/>
  <c r="A26" i="10" s="1"/>
  <c r="K26" i="10"/>
  <c r="J26" i="10"/>
  <c r="I26" i="10"/>
  <c r="H26" i="10"/>
  <c r="G26" i="10"/>
  <c r="F26" i="10"/>
  <c r="D26" i="10"/>
  <c r="C26" i="10"/>
  <c r="B26" i="10"/>
  <c r="AL25" i="10"/>
  <c r="Q25" i="10"/>
  <c r="L25" i="10"/>
  <c r="A25" i="10" s="1"/>
  <c r="K25" i="10"/>
  <c r="J25" i="10"/>
  <c r="I25" i="10"/>
  <c r="H25" i="10"/>
  <c r="G25" i="10"/>
  <c r="F25" i="10"/>
  <c r="D25" i="10"/>
  <c r="C25" i="10"/>
  <c r="B25" i="10"/>
  <c r="AL24" i="10"/>
  <c r="M24" i="10"/>
  <c r="L24" i="10"/>
  <c r="A24" i="10" s="1"/>
  <c r="K24" i="10"/>
  <c r="J24" i="10"/>
  <c r="I24" i="10"/>
  <c r="H24" i="10"/>
  <c r="F24" i="10"/>
  <c r="E24" i="10"/>
  <c r="D24" i="10"/>
  <c r="C24" i="10"/>
  <c r="B24" i="10"/>
  <c r="AL23" i="10"/>
  <c r="L23" i="10"/>
  <c r="A23" i="10" s="1"/>
  <c r="K23" i="10"/>
  <c r="J23" i="10"/>
  <c r="I23" i="10"/>
  <c r="H23" i="10"/>
  <c r="F23" i="10"/>
  <c r="E23" i="10"/>
  <c r="D23" i="10"/>
  <c r="C23" i="10"/>
  <c r="B23" i="10"/>
  <c r="AL22" i="10"/>
  <c r="AH22" i="10"/>
  <c r="M22" i="10"/>
  <c r="L22" i="10"/>
  <c r="A22" i="10" s="1"/>
  <c r="K22" i="10"/>
  <c r="J22" i="10"/>
  <c r="I22" i="10"/>
  <c r="H22" i="10"/>
  <c r="F22" i="10"/>
  <c r="E22" i="10"/>
  <c r="D22" i="10"/>
  <c r="C22" i="10"/>
  <c r="B22" i="10"/>
  <c r="M21" i="10"/>
  <c r="L21" i="10"/>
  <c r="A21" i="10" s="1"/>
  <c r="K21" i="10"/>
  <c r="J21" i="10"/>
  <c r="I21" i="10"/>
  <c r="H21" i="10"/>
  <c r="F21" i="10"/>
  <c r="E21" i="10"/>
  <c r="D21" i="10"/>
  <c r="C21" i="10"/>
  <c r="B21" i="10"/>
  <c r="AL20" i="10"/>
  <c r="L20" i="10"/>
  <c r="A20" i="10" s="1"/>
  <c r="K20" i="10"/>
  <c r="J20" i="10"/>
  <c r="I20" i="10"/>
  <c r="H20" i="10"/>
  <c r="F20" i="10"/>
  <c r="E20" i="10"/>
  <c r="D20" i="10"/>
  <c r="C20" i="10"/>
  <c r="B20" i="10"/>
  <c r="AL19" i="10"/>
  <c r="M19" i="10"/>
  <c r="L19" i="10"/>
  <c r="A19" i="10" s="1"/>
  <c r="K19" i="10"/>
  <c r="J19" i="10"/>
  <c r="I19" i="10"/>
  <c r="H19" i="10"/>
  <c r="F19" i="10"/>
  <c r="E19" i="10"/>
  <c r="D19" i="10"/>
  <c r="C19" i="10"/>
  <c r="B19" i="10"/>
  <c r="AL18" i="10"/>
  <c r="AH18" i="10"/>
  <c r="M18" i="10"/>
  <c r="L18" i="10"/>
  <c r="A18" i="10" s="1"/>
  <c r="K18" i="10"/>
  <c r="J18" i="10"/>
  <c r="I18" i="10"/>
  <c r="H18" i="10"/>
  <c r="F18" i="10"/>
  <c r="E18" i="10"/>
  <c r="D18" i="10"/>
  <c r="C18" i="10"/>
  <c r="B18" i="10"/>
  <c r="AL17" i="10"/>
  <c r="AH17" i="10"/>
  <c r="L17" i="10"/>
  <c r="A17" i="10" s="1"/>
  <c r="K17" i="10"/>
  <c r="J17" i="10"/>
  <c r="I17" i="10"/>
  <c r="H17" i="10"/>
  <c r="F17" i="10"/>
  <c r="E17" i="10"/>
  <c r="D17" i="10"/>
  <c r="C17" i="10"/>
  <c r="B17" i="10"/>
  <c r="AL16" i="10"/>
  <c r="AC16" i="10"/>
  <c r="M16" i="10"/>
  <c r="L16" i="10"/>
  <c r="A16" i="10" s="1"/>
  <c r="K16" i="10"/>
  <c r="J16" i="10"/>
  <c r="I16" i="10"/>
  <c r="H16" i="10"/>
  <c r="F16" i="10"/>
  <c r="E16" i="10"/>
  <c r="D16" i="10"/>
  <c r="C16" i="10"/>
  <c r="B16" i="10"/>
  <c r="AL15" i="10"/>
  <c r="AH15" i="10"/>
  <c r="M15" i="10"/>
  <c r="L15" i="10"/>
  <c r="A15" i="10" s="1"/>
  <c r="K15" i="10"/>
  <c r="J15" i="10"/>
  <c r="I15" i="10"/>
  <c r="H15" i="10"/>
  <c r="F15" i="10"/>
  <c r="E15" i="10"/>
  <c r="D15" i="10"/>
  <c r="C15" i="10"/>
  <c r="B15" i="10"/>
  <c r="AL14" i="10"/>
  <c r="AH14" i="10"/>
  <c r="AC14" i="10"/>
  <c r="M14" i="10"/>
  <c r="L14" i="10"/>
  <c r="A14" i="10" s="1"/>
  <c r="K14" i="10"/>
  <c r="J14" i="10"/>
  <c r="I14" i="10"/>
  <c r="H14" i="10"/>
  <c r="F14" i="10"/>
  <c r="E14" i="10"/>
  <c r="D14" i="10"/>
  <c r="C14" i="10"/>
  <c r="B14" i="10"/>
  <c r="AL13" i="10"/>
  <c r="AH13" i="10"/>
  <c r="M13" i="10"/>
  <c r="L13" i="10"/>
  <c r="A13" i="10" s="1"/>
  <c r="K13" i="10"/>
  <c r="J13" i="10"/>
  <c r="I13" i="10"/>
  <c r="H13" i="10"/>
  <c r="F13" i="10"/>
  <c r="E13" i="10"/>
  <c r="D13" i="10"/>
  <c r="C13" i="10"/>
  <c r="B13" i="10"/>
  <c r="AL12" i="10"/>
  <c r="AH12" i="10"/>
  <c r="L12" i="10"/>
  <c r="A12" i="10" s="1"/>
  <c r="K12" i="10"/>
  <c r="J12" i="10"/>
  <c r="I12" i="10"/>
  <c r="H12" i="10"/>
  <c r="F12" i="10"/>
  <c r="E12" i="10"/>
  <c r="D12" i="10"/>
  <c r="C12" i="10"/>
  <c r="B12" i="10"/>
  <c r="AL11" i="10"/>
  <c r="AH11" i="10"/>
  <c r="AC11" i="10"/>
  <c r="M11" i="10"/>
  <c r="L11" i="10"/>
  <c r="A11" i="10" s="1"/>
  <c r="K11" i="10"/>
  <c r="J11" i="10"/>
  <c r="I11" i="10"/>
  <c r="H11" i="10"/>
  <c r="F11" i="10"/>
  <c r="E11" i="10"/>
  <c r="D11" i="10"/>
  <c r="C11" i="10"/>
  <c r="B11" i="10"/>
  <c r="AL10" i="10"/>
  <c r="AH10" i="10"/>
  <c r="M10" i="10"/>
  <c r="L10" i="10"/>
  <c r="A10" i="10" s="1"/>
  <c r="K10" i="10"/>
  <c r="J10" i="10"/>
  <c r="I10" i="10"/>
  <c r="H10" i="10"/>
  <c r="F10" i="10"/>
  <c r="E10" i="10"/>
  <c r="D10" i="10"/>
  <c r="C10" i="10"/>
  <c r="B10" i="10"/>
  <c r="AL9" i="10"/>
  <c r="AH9" i="10"/>
  <c r="M9" i="10"/>
  <c r="L9" i="10"/>
  <c r="A9" i="10" s="1"/>
  <c r="K9" i="10"/>
  <c r="J9" i="10"/>
  <c r="I9" i="10"/>
  <c r="H9" i="10"/>
  <c r="F9" i="10"/>
  <c r="E9" i="10"/>
  <c r="D9" i="10"/>
  <c r="C9" i="10"/>
  <c r="B9" i="10"/>
  <c r="AL8" i="10"/>
  <c r="L8" i="10"/>
  <c r="A8" i="10" s="1"/>
  <c r="K8" i="10"/>
  <c r="J8" i="10"/>
  <c r="I8" i="10"/>
  <c r="H8" i="10"/>
  <c r="F8" i="10"/>
  <c r="E8" i="10"/>
  <c r="D8" i="10"/>
  <c r="C8" i="10"/>
  <c r="B8" i="10"/>
  <c r="AL7" i="10"/>
  <c r="M7" i="10"/>
  <c r="L7" i="10"/>
  <c r="A7" i="10" s="1"/>
  <c r="K7" i="10"/>
  <c r="J7" i="10"/>
  <c r="I7" i="10"/>
  <c r="H7" i="10"/>
  <c r="F7" i="10"/>
  <c r="E7" i="10"/>
  <c r="D7" i="10"/>
  <c r="C7" i="10"/>
  <c r="B7" i="10"/>
  <c r="AL6" i="10"/>
  <c r="AH6" i="10"/>
  <c r="W3" i="10"/>
  <c r="M6" i="10"/>
  <c r="L6" i="10"/>
  <c r="A6" i="10" s="1"/>
  <c r="K6" i="10"/>
  <c r="J6" i="10"/>
  <c r="I6" i="10"/>
  <c r="H6" i="10"/>
  <c r="F6" i="10"/>
  <c r="E6" i="10"/>
  <c r="D6" i="10"/>
  <c r="C6" i="10"/>
  <c r="B6" i="10"/>
  <c r="AL5" i="10"/>
  <c r="AH5" i="10"/>
  <c r="M5" i="10"/>
  <c r="L5" i="10"/>
  <c r="A5" i="10" s="1"/>
  <c r="K5" i="10"/>
  <c r="J5" i="10"/>
  <c r="I5" i="10"/>
  <c r="H5" i="10"/>
  <c r="F5" i="10"/>
  <c r="E5" i="10"/>
  <c r="D5" i="10"/>
  <c r="C5" i="10"/>
  <c r="B5" i="10"/>
  <c r="AL4" i="10"/>
  <c r="M4" i="10"/>
  <c r="L4" i="10"/>
  <c r="A4" i="10" s="1"/>
  <c r="K4" i="10"/>
  <c r="J4" i="10"/>
  <c r="I4" i="10"/>
  <c r="H4" i="10"/>
  <c r="G4" i="10"/>
  <c r="F4" i="10"/>
  <c r="E4" i="10"/>
  <c r="D4" i="10"/>
  <c r="C4" i="10"/>
  <c r="B4" i="10"/>
  <c r="Z3" i="10"/>
  <c r="Q3" i="10"/>
  <c r="M3" i="10"/>
  <c r="L3" i="10"/>
  <c r="A3" i="10" s="1"/>
  <c r="K3" i="10"/>
  <c r="J3" i="10"/>
  <c r="I3" i="10"/>
  <c r="H3" i="10"/>
  <c r="F3" i="10"/>
  <c r="E3" i="10"/>
  <c r="D3" i="10"/>
  <c r="C3" i="10"/>
  <c r="B3" i="10"/>
  <c r="R1" i="10" l="1"/>
  <c r="S1" i="10"/>
  <c r="Q1" i="10"/>
  <c r="B48" i="12"/>
  <c r="G48" i="7"/>
  <c r="B80" i="12"/>
  <c r="E30" i="12"/>
  <c r="D31" i="12"/>
  <c r="D27" i="12" s="1"/>
  <c r="D71" i="12" s="1"/>
  <c r="D102" i="12" s="1"/>
  <c r="C74" i="12"/>
  <c r="C77" i="12"/>
  <c r="C105" i="12" s="1"/>
  <c r="E793" i="10"/>
  <c r="E779" i="10"/>
  <c r="C748" i="10"/>
  <c r="C732" i="10"/>
  <c r="C741" i="10"/>
  <c r="E716" i="10"/>
  <c r="E727" i="10"/>
  <c r="G694" i="10"/>
  <c r="G690" i="10"/>
  <c r="G689" i="10"/>
  <c r="K658" i="10"/>
  <c r="K651" i="10"/>
  <c r="C654" i="10"/>
  <c r="C657" i="10"/>
  <c r="E625" i="10"/>
  <c r="E623" i="10"/>
  <c r="I613" i="10"/>
  <c r="I603" i="10"/>
  <c r="I598" i="10"/>
  <c r="I618" i="10"/>
  <c r="C592" i="10"/>
  <c r="C579" i="10"/>
  <c r="C584" i="10"/>
  <c r="C580" i="10"/>
  <c r="E573" i="10"/>
  <c r="E558" i="10"/>
  <c r="I530" i="10"/>
  <c r="I528" i="10"/>
  <c r="K508" i="10"/>
  <c r="K502" i="10"/>
  <c r="K493" i="10"/>
  <c r="K489" i="10"/>
  <c r="K417" i="10"/>
  <c r="K415" i="10"/>
  <c r="K410" i="10"/>
  <c r="K405" i="10"/>
  <c r="C419" i="10"/>
  <c r="C408" i="10"/>
  <c r="C403" i="10"/>
  <c r="C401" i="10"/>
  <c r="G391" i="10"/>
  <c r="G389" i="10"/>
  <c r="G384" i="10"/>
  <c r="I366" i="10"/>
  <c r="I362" i="10"/>
  <c r="K349" i="10"/>
  <c r="K345" i="10"/>
  <c r="K343" i="10"/>
  <c r="K335" i="10"/>
  <c r="C347" i="10"/>
  <c r="C341" i="10"/>
  <c r="E326" i="10"/>
  <c r="E321" i="10"/>
  <c r="E316" i="10"/>
  <c r="G308" i="10"/>
  <c r="G306" i="10"/>
  <c r="G304" i="10"/>
  <c r="G302" i="10"/>
  <c r="G300" i="10"/>
  <c r="G298" i="10"/>
  <c r="G296" i="10"/>
  <c r="G294" i="10"/>
  <c r="G292" i="10"/>
  <c r="G290" i="10"/>
  <c r="K261" i="10"/>
  <c r="K259" i="10"/>
  <c r="K252" i="10"/>
  <c r="C264" i="10"/>
  <c r="C247" i="10"/>
  <c r="E237" i="10"/>
  <c r="E235" i="10"/>
  <c r="E231" i="10"/>
  <c r="E224" i="10"/>
  <c r="G222" i="10"/>
  <c r="G219" i="10"/>
  <c r="G212" i="10"/>
  <c r="K193" i="10"/>
  <c r="K186" i="10"/>
  <c r="C200" i="10"/>
  <c r="C182" i="10"/>
  <c r="E177" i="10"/>
  <c r="E173" i="10"/>
  <c r="E171" i="10"/>
  <c r="E169" i="10"/>
  <c r="E167" i="10"/>
  <c r="G155" i="10"/>
  <c r="G143" i="10"/>
  <c r="G135" i="10"/>
  <c r="K110" i="10"/>
  <c r="K93" i="10"/>
  <c r="C112" i="10"/>
  <c r="C108" i="10"/>
  <c r="C97" i="10"/>
  <c r="C95" i="10"/>
  <c r="E84" i="10"/>
  <c r="E82" i="10"/>
  <c r="E75" i="10"/>
  <c r="E72" i="10"/>
  <c r="E69" i="10"/>
  <c r="E776" i="10"/>
  <c r="H793" i="10"/>
  <c r="H784" i="10"/>
  <c r="H773" i="10"/>
  <c r="J755" i="10"/>
  <c r="J754" i="10"/>
  <c r="B769" i="10"/>
  <c r="B761" i="10"/>
  <c r="B760" i="10"/>
  <c r="B759" i="10"/>
  <c r="B752" i="10"/>
  <c r="F745" i="10"/>
  <c r="F743" i="10"/>
  <c r="F742" i="10"/>
  <c r="F741" i="10"/>
  <c r="F740" i="10"/>
  <c r="H723" i="10"/>
  <c r="H708" i="10"/>
  <c r="H707" i="10"/>
  <c r="J698" i="10"/>
  <c r="J697" i="10"/>
  <c r="D684" i="10"/>
  <c r="D683" i="10"/>
  <c r="D682" i="10"/>
  <c r="D670" i="10"/>
  <c r="F650" i="10"/>
  <c r="F647" i="10"/>
  <c r="F646" i="10"/>
  <c r="H637" i="10"/>
  <c r="H624" i="10"/>
  <c r="D614" i="10"/>
  <c r="D604" i="10"/>
  <c r="D601" i="10"/>
  <c r="F594" i="10"/>
  <c r="F576" i="10"/>
  <c r="D788" i="10"/>
  <c r="D787" i="10"/>
  <c r="D774" i="10"/>
  <c r="B738" i="10"/>
  <c r="B737" i="10"/>
  <c r="F705" i="10"/>
  <c r="F704" i="10"/>
  <c r="F695" i="10"/>
  <c r="F693" i="10"/>
  <c r="F692" i="10"/>
  <c r="F688" i="10"/>
  <c r="F687" i="10"/>
  <c r="J662" i="10"/>
  <c r="J658" i="10"/>
  <c r="J657" i="10"/>
  <c r="J652" i="10"/>
  <c r="J649" i="10"/>
  <c r="J645" i="10"/>
  <c r="D635" i="10"/>
  <c r="D632" i="10"/>
  <c r="D628" i="10"/>
  <c r="D622" i="10"/>
  <c r="D639" i="10"/>
  <c r="H618" i="10"/>
  <c r="H607" i="10"/>
  <c r="H600" i="10"/>
  <c r="H597" i="10"/>
  <c r="J590" i="10"/>
  <c r="J586" i="10"/>
  <c r="J580" i="10"/>
  <c r="J579" i="10"/>
  <c r="B589" i="10"/>
  <c r="B583" i="10"/>
  <c r="B575" i="10"/>
  <c r="H478" i="10"/>
  <c r="B489" i="10"/>
  <c r="F492" i="10"/>
  <c r="B493" i="10"/>
  <c r="F494" i="10"/>
  <c r="J495" i="10"/>
  <c r="J499" i="10"/>
  <c r="B502" i="10"/>
  <c r="J504" i="10"/>
  <c r="H517" i="10"/>
  <c r="F531" i="10"/>
  <c r="J532" i="10"/>
  <c r="J538" i="10"/>
  <c r="F539" i="10"/>
  <c r="J540" i="10"/>
  <c r="B543" i="10"/>
  <c r="H557" i="10"/>
  <c r="D561" i="10"/>
  <c r="D567" i="10"/>
  <c r="D570" i="10"/>
  <c r="J575" i="10"/>
  <c r="J577" i="10"/>
  <c r="F578" i="10"/>
  <c r="B587" i="10"/>
  <c r="F590" i="10"/>
  <c r="F591" i="10"/>
  <c r="B592" i="10"/>
  <c r="D603" i="10"/>
  <c r="D607" i="10"/>
  <c r="D608" i="10"/>
  <c r="H612" i="10"/>
  <c r="H613" i="10"/>
  <c r="D620" i="10"/>
  <c r="D623" i="10"/>
  <c r="H626" i="10"/>
  <c r="D627" i="10"/>
  <c r="D638" i="10"/>
  <c r="B641" i="10"/>
  <c r="J642" i="10"/>
  <c r="B643" i="10"/>
  <c r="F644" i="10"/>
  <c r="F648" i="10"/>
  <c r="B650" i="10"/>
  <c r="B655" i="10"/>
  <c r="D673" i="10"/>
  <c r="F685" i="10"/>
  <c r="B686" i="10"/>
  <c r="J687" i="10"/>
  <c r="J696" i="10"/>
  <c r="B699" i="10"/>
  <c r="B700" i="10"/>
  <c r="F702" i="10"/>
  <c r="B705" i="10"/>
  <c r="H724" i="10"/>
  <c r="H725" i="10"/>
  <c r="B729" i="10"/>
  <c r="J731" i="10"/>
  <c r="B733" i="10"/>
  <c r="J738" i="10"/>
  <c r="F747" i="10"/>
  <c r="F749" i="10"/>
  <c r="F750" i="10"/>
  <c r="B753" i="10"/>
  <c r="B755" i="10"/>
  <c r="B770" i="10"/>
  <c r="H792" i="10"/>
  <c r="H616" i="10"/>
  <c r="I786" i="10"/>
  <c r="I780" i="10"/>
  <c r="C759" i="10"/>
  <c r="C756" i="10"/>
  <c r="I711" i="10"/>
  <c r="I713" i="10"/>
  <c r="I624" i="10"/>
  <c r="I639" i="10"/>
  <c r="I636" i="10"/>
  <c r="E436" i="10"/>
  <c r="I617" i="10"/>
  <c r="K642" i="10"/>
  <c r="K645" i="10"/>
  <c r="E646" i="10"/>
  <c r="C649" i="10"/>
  <c r="I669" i="10"/>
  <c r="I675" i="10"/>
  <c r="I676" i="10"/>
  <c r="E710" i="10"/>
  <c r="H730" i="10"/>
  <c r="C738" i="10"/>
  <c r="K741" i="10"/>
  <c r="H742" i="10"/>
  <c r="G757" i="10"/>
  <c r="G777" i="10"/>
  <c r="E778" i="10"/>
  <c r="E783" i="10"/>
  <c r="J787" i="10"/>
  <c r="E789" i="10"/>
  <c r="B791" i="10"/>
  <c r="G790" i="10"/>
  <c r="G781" i="10"/>
  <c r="G791" i="10"/>
  <c r="G789" i="10"/>
  <c r="G785" i="10"/>
  <c r="G780" i="10"/>
  <c r="I765" i="10"/>
  <c r="I762" i="10"/>
  <c r="I758" i="10"/>
  <c r="I753" i="10"/>
  <c r="I764" i="10"/>
  <c r="I751" i="10"/>
  <c r="I771" i="10"/>
  <c r="I769" i="10"/>
  <c r="I768" i="10"/>
  <c r="I755" i="10"/>
  <c r="I766" i="10"/>
  <c r="I763" i="10"/>
  <c r="I757" i="10"/>
  <c r="E750" i="10"/>
  <c r="E740" i="10"/>
  <c r="E737" i="10"/>
  <c r="E739" i="10"/>
  <c r="E736" i="10"/>
  <c r="E731" i="10"/>
  <c r="E733" i="10"/>
  <c r="E749" i="10"/>
  <c r="E743" i="10"/>
  <c r="G715" i="10"/>
  <c r="G712" i="10"/>
  <c r="G720" i="10"/>
  <c r="G714" i="10"/>
  <c r="G711" i="10"/>
  <c r="G710" i="10"/>
  <c r="G721" i="10"/>
  <c r="G725" i="10"/>
  <c r="G719" i="10"/>
  <c r="G708" i="10"/>
  <c r="I703" i="10"/>
  <c r="I687" i="10"/>
  <c r="I706" i="10"/>
  <c r="I701" i="10"/>
  <c r="I697" i="10"/>
  <c r="I691" i="10"/>
  <c r="I705" i="10"/>
  <c r="I695" i="10"/>
  <c r="I704" i="10"/>
  <c r="I699" i="10"/>
  <c r="I698" i="10"/>
  <c r="I693" i="10"/>
  <c r="I688" i="10"/>
  <c r="K679" i="10"/>
  <c r="K674" i="10"/>
  <c r="K670" i="10"/>
  <c r="K681" i="10"/>
  <c r="K677" i="10"/>
  <c r="K666" i="10"/>
  <c r="K680" i="10"/>
  <c r="K675" i="10"/>
  <c r="K668" i="10"/>
  <c r="K663" i="10"/>
  <c r="C676" i="10"/>
  <c r="C667" i="10"/>
  <c r="C663" i="10"/>
  <c r="C684" i="10"/>
  <c r="C678" i="10"/>
  <c r="C683" i="10"/>
  <c r="C680" i="10"/>
  <c r="C669" i="10"/>
  <c r="C679" i="10"/>
  <c r="C672" i="10"/>
  <c r="C668" i="10"/>
  <c r="C670" i="10"/>
  <c r="E656" i="10"/>
  <c r="E650" i="10"/>
  <c r="E655" i="10"/>
  <c r="E653" i="10"/>
  <c r="E645" i="10"/>
  <c r="E641" i="10"/>
  <c r="E661" i="10"/>
  <c r="E654" i="10"/>
  <c r="E652" i="10"/>
  <c r="E648" i="10"/>
  <c r="G622" i="10"/>
  <c r="G634" i="10"/>
  <c r="G628" i="10"/>
  <c r="G626" i="10"/>
  <c r="G639" i="10"/>
  <c r="G633" i="10"/>
  <c r="G620" i="10"/>
  <c r="K618" i="10"/>
  <c r="K614" i="10"/>
  <c r="K611" i="10"/>
  <c r="K607" i="10"/>
  <c r="K604" i="10"/>
  <c r="K601" i="10"/>
  <c r="K599" i="10"/>
  <c r="K613" i="10"/>
  <c r="K610" i="10"/>
  <c r="C613" i="10"/>
  <c r="C616" i="10"/>
  <c r="E591" i="10"/>
  <c r="E596" i="10"/>
  <c r="E594" i="10"/>
  <c r="E589" i="10"/>
  <c r="E587" i="10"/>
  <c r="E581" i="10"/>
  <c r="E592" i="10"/>
  <c r="E583" i="10"/>
  <c r="G566" i="10"/>
  <c r="G564" i="10"/>
  <c r="G553" i="10"/>
  <c r="I548" i="10"/>
  <c r="I550" i="10"/>
  <c r="I545" i="10"/>
  <c r="I609" i="10"/>
  <c r="E610" i="10"/>
  <c r="E619" i="10"/>
  <c r="E621" i="10"/>
  <c r="G629" i="10"/>
  <c r="C642" i="10"/>
  <c r="E647" i="10"/>
  <c r="K648" i="10"/>
  <c r="C652" i="10"/>
  <c r="C666" i="10"/>
  <c r="I670" i="10"/>
  <c r="I672" i="10"/>
  <c r="K676" i="10"/>
  <c r="G707" i="10"/>
  <c r="H733" i="10"/>
  <c r="E738" i="10"/>
  <c r="C739" i="10"/>
  <c r="D751" i="10"/>
  <c r="G778" i="10"/>
  <c r="G783" i="10"/>
  <c r="E788" i="10"/>
  <c r="E782" i="10"/>
  <c r="E780" i="10"/>
  <c r="E790" i="10"/>
  <c r="E787" i="10"/>
  <c r="E775" i="10"/>
  <c r="E786" i="10"/>
  <c r="E781" i="10"/>
  <c r="E791" i="10"/>
  <c r="E785" i="10"/>
  <c r="G770" i="10"/>
  <c r="G766" i="10"/>
  <c r="G752" i="10"/>
  <c r="G765" i="10"/>
  <c r="G762" i="10"/>
  <c r="G758" i="10"/>
  <c r="G753" i="10"/>
  <c r="G764" i="10"/>
  <c r="G751" i="10"/>
  <c r="G769" i="10"/>
  <c r="G768" i="10"/>
  <c r="G755" i="10"/>
  <c r="K748" i="10"/>
  <c r="K745" i="10"/>
  <c r="K742" i="10"/>
  <c r="K739" i="10"/>
  <c r="K736" i="10"/>
  <c r="K744" i="10"/>
  <c r="K738" i="10"/>
  <c r="K732" i="10"/>
  <c r="K729" i="10"/>
  <c r="K750" i="10"/>
  <c r="K743" i="10"/>
  <c r="K737" i="10"/>
  <c r="K734" i="10"/>
  <c r="C744" i="10"/>
  <c r="C735" i="10"/>
  <c r="C750" i="10"/>
  <c r="C740" i="10"/>
  <c r="C737" i="10"/>
  <c r="C746" i="10"/>
  <c r="C734" i="10"/>
  <c r="C731" i="10"/>
  <c r="C729" i="10"/>
  <c r="C733" i="10"/>
  <c r="C749" i="10"/>
  <c r="C743" i="10"/>
  <c r="C736" i="10"/>
  <c r="E728" i="10"/>
  <c r="E725" i="10"/>
  <c r="E708" i="10"/>
  <c r="E724" i="10"/>
  <c r="E715" i="10"/>
  <c r="E712" i="10"/>
  <c r="E720" i="10"/>
  <c r="E714" i="10"/>
  <c r="E711" i="10"/>
  <c r="E707" i="10"/>
  <c r="E721" i="10"/>
  <c r="E719" i="10"/>
  <c r="G704" i="10"/>
  <c r="G699" i="10"/>
  <c r="G693" i="10"/>
  <c r="G688" i="10"/>
  <c r="G686" i="10"/>
  <c r="G703" i="10"/>
  <c r="G702" i="10"/>
  <c r="G687" i="10"/>
  <c r="G706" i="10"/>
  <c r="G701" i="10"/>
  <c r="G697" i="10"/>
  <c r="G696" i="10"/>
  <c r="G691" i="10"/>
  <c r="G705" i="10"/>
  <c r="G700" i="10"/>
  <c r="G698" i="10"/>
  <c r="G695" i="10"/>
  <c r="G692" i="10"/>
  <c r="I683" i="10"/>
  <c r="I671" i="10"/>
  <c r="I664" i="10"/>
  <c r="I682" i="10"/>
  <c r="I679" i="10"/>
  <c r="I678" i="10"/>
  <c r="I667" i="10"/>
  <c r="I681" i="10"/>
  <c r="I677" i="10"/>
  <c r="I666" i="10"/>
  <c r="I680" i="10"/>
  <c r="K661" i="10"/>
  <c r="K657" i="10"/>
  <c r="K649" i="10"/>
  <c r="K644" i="10"/>
  <c r="K650" i="10"/>
  <c r="K656" i="10"/>
  <c r="K641" i="10"/>
  <c r="C647" i="10"/>
  <c r="C645" i="10"/>
  <c r="C655" i="10"/>
  <c r="C653" i="10"/>
  <c r="C641" i="10"/>
  <c r="C662" i="10"/>
  <c r="C643" i="10"/>
  <c r="E637" i="10"/>
  <c r="E634" i="10"/>
  <c r="E627" i="10"/>
  <c r="E638" i="10"/>
  <c r="E636" i="10"/>
  <c r="E629" i="10"/>
  <c r="E628" i="10"/>
  <c r="E626" i="10"/>
  <c r="E639" i="10"/>
  <c r="E635" i="10"/>
  <c r="E633" i="10"/>
  <c r="E622" i="10"/>
  <c r="I612" i="10"/>
  <c r="I616" i="10"/>
  <c r="I615" i="10"/>
  <c r="I600" i="10"/>
  <c r="I614" i="10"/>
  <c r="I611" i="10"/>
  <c r="I607" i="10"/>
  <c r="I604" i="10"/>
  <c r="I606" i="10"/>
  <c r="I601" i="10"/>
  <c r="I599" i="10"/>
  <c r="K595" i="10"/>
  <c r="K593" i="10"/>
  <c r="K584" i="10"/>
  <c r="K582" i="10"/>
  <c r="K580" i="10"/>
  <c r="K577" i="10"/>
  <c r="C588" i="10"/>
  <c r="C586" i="10"/>
  <c r="C576" i="10"/>
  <c r="C591" i="10"/>
  <c r="C596" i="10"/>
  <c r="C594" i="10"/>
  <c r="C589" i="10"/>
  <c r="C587" i="10"/>
  <c r="C581" i="10"/>
  <c r="E571" i="10"/>
  <c r="E554" i="10"/>
  <c r="E566" i="10"/>
  <c r="E564" i="10"/>
  <c r="E553" i="10"/>
  <c r="G551" i="10"/>
  <c r="G548" i="10"/>
  <c r="G550" i="10"/>
  <c r="G619" i="10"/>
  <c r="G621" i="10"/>
  <c r="G623" i="10"/>
  <c r="E630" i="10"/>
  <c r="E632" i="10"/>
  <c r="E642" i="10"/>
  <c r="K646" i="10"/>
  <c r="E657" i="10"/>
  <c r="C658" i="10"/>
  <c r="K659" i="10"/>
  <c r="K672" i="10"/>
  <c r="I673" i="10"/>
  <c r="K678" i="10"/>
  <c r="K684" i="10"/>
  <c r="I715" i="10"/>
  <c r="G716" i="10"/>
  <c r="E717" i="10"/>
  <c r="C730" i="10"/>
  <c r="K735" i="10"/>
  <c r="H738" i="10"/>
  <c r="E741" i="10"/>
  <c r="C742" i="10"/>
  <c r="G754" i="10"/>
  <c r="I759" i="10"/>
  <c r="G760" i="10"/>
  <c r="G776" i="10"/>
  <c r="J778" i="10"/>
  <c r="J774" i="10"/>
  <c r="J781" i="10"/>
  <c r="J779" i="10"/>
  <c r="J791" i="10"/>
  <c r="J789" i="10"/>
  <c r="J793" i="10"/>
  <c r="J782" i="10"/>
  <c r="J785" i="10"/>
  <c r="J790" i="10"/>
  <c r="J775" i="10"/>
  <c r="B787" i="10"/>
  <c r="B776" i="10"/>
  <c r="B793" i="10"/>
  <c r="B784" i="10"/>
  <c r="B779" i="10"/>
  <c r="D762" i="10"/>
  <c r="D771" i="10"/>
  <c r="D767" i="10"/>
  <c r="D757" i="10"/>
  <c r="D766" i="10"/>
  <c r="D763" i="10"/>
  <c r="D759" i="10"/>
  <c r="D765" i="10"/>
  <c r="D756" i="10"/>
  <c r="D772" i="10"/>
  <c r="D754" i="10"/>
  <c r="D770" i="10"/>
  <c r="D761" i="10"/>
  <c r="D753" i="10"/>
  <c r="H739" i="10"/>
  <c r="H746" i="10"/>
  <c r="H740" i="10"/>
  <c r="H731" i="10"/>
  <c r="H749" i="10"/>
  <c r="H744" i="10"/>
  <c r="H743" i="10"/>
  <c r="H734" i="10"/>
  <c r="J721" i="10"/>
  <c r="J720" i="10"/>
  <c r="J714" i="10"/>
  <c r="J711" i="10"/>
  <c r="J728" i="10"/>
  <c r="J725" i="10"/>
  <c r="J708" i="10"/>
  <c r="J719" i="10"/>
  <c r="J724" i="10"/>
  <c r="B723" i="10"/>
  <c r="B726" i="10"/>
  <c r="B728" i="10"/>
  <c r="B722" i="10"/>
  <c r="B719" i="10"/>
  <c r="B716" i="10"/>
  <c r="B721" i="10"/>
  <c r="B709" i="10"/>
  <c r="B708" i="10"/>
  <c r="B718" i="10"/>
  <c r="B720" i="10"/>
  <c r="D699" i="10"/>
  <c r="D700" i="10"/>
  <c r="D690" i="10"/>
  <c r="D689" i="10"/>
  <c r="D703" i="10"/>
  <c r="D698" i="10"/>
  <c r="D692" i="10"/>
  <c r="D687" i="10"/>
  <c r="D685" i="10"/>
  <c r="D706" i="10"/>
  <c r="D702" i="10"/>
  <c r="D704" i="10"/>
  <c r="D696" i="10"/>
  <c r="F668" i="10"/>
  <c r="F684" i="10"/>
  <c r="F678" i="10"/>
  <c r="F679" i="10"/>
  <c r="F672" i="10"/>
  <c r="F663" i="10"/>
  <c r="F682" i="10"/>
  <c r="F670" i="10"/>
  <c r="F681" i="10"/>
  <c r="F674" i="10"/>
  <c r="H656" i="10"/>
  <c r="H662" i="10"/>
  <c r="H658" i="10"/>
  <c r="H642" i="10"/>
  <c r="H641" i="10"/>
  <c r="H661" i="10"/>
  <c r="H654" i="10"/>
  <c r="H652" i="10"/>
  <c r="H648" i="10"/>
  <c r="J637" i="10"/>
  <c r="J636" i="10"/>
  <c r="J633" i="10"/>
  <c r="J630" i="10"/>
  <c r="J628" i="10"/>
  <c r="J623" i="10"/>
  <c r="J625" i="10"/>
  <c r="J638" i="10"/>
  <c r="J629" i="10"/>
  <c r="B637" i="10"/>
  <c r="B639" i="10"/>
  <c r="B636" i="10"/>
  <c r="B626" i="10"/>
  <c r="B640" i="10"/>
  <c r="B627" i="10"/>
  <c r="B631" i="10"/>
  <c r="B629" i="10"/>
  <c r="B625" i="10"/>
  <c r="B623" i="10"/>
  <c r="B634" i="10"/>
  <c r="B632" i="10"/>
  <c r="B621" i="10"/>
  <c r="F618" i="10"/>
  <c r="F606" i="10"/>
  <c r="F617" i="10"/>
  <c r="F608" i="10"/>
  <c r="F616" i="10"/>
  <c r="F612" i="10"/>
  <c r="F614" i="10"/>
  <c r="F611" i="10"/>
  <c r="F609" i="10"/>
  <c r="F598" i="10"/>
  <c r="H581" i="10"/>
  <c r="H596" i="10"/>
  <c r="H594" i="10"/>
  <c r="H589" i="10"/>
  <c r="H587" i="10"/>
  <c r="H592" i="10"/>
  <c r="H590" i="10"/>
  <c r="H583" i="10"/>
  <c r="H588" i="10"/>
  <c r="H586" i="10"/>
  <c r="H576" i="10"/>
  <c r="J573" i="10"/>
  <c r="J572" i="10"/>
  <c r="J553" i="10"/>
  <c r="J571" i="10"/>
  <c r="B573" i="10"/>
  <c r="B569" i="10"/>
  <c r="B567" i="10"/>
  <c r="B565" i="10"/>
  <c r="B561" i="10"/>
  <c r="B559" i="10"/>
  <c r="B557" i="10"/>
  <c r="B555" i="10"/>
  <c r="B574" i="10"/>
  <c r="B563" i="10"/>
  <c r="B568" i="10"/>
  <c r="B560" i="10"/>
  <c r="B558" i="10"/>
  <c r="B556" i="10"/>
  <c r="D552" i="10"/>
  <c r="D547" i="10"/>
  <c r="D549" i="10"/>
  <c r="K770" i="10"/>
  <c r="K765" i="10"/>
  <c r="K760" i="10"/>
  <c r="K768" i="10"/>
  <c r="K766" i="10"/>
  <c r="K751" i="10"/>
  <c r="K772" i="10"/>
  <c r="K755" i="10"/>
  <c r="K753" i="10"/>
  <c r="K752" i="10"/>
  <c r="K763" i="10"/>
  <c r="K757" i="10"/>
  <c r="K761" i="10"/>
  <c r="K767" i="10"/>
  <c r="K764" i="10"/>
  <c r="K758" i="10"/>
  <c r="K769" i="10"/>
  <c r="K754" i="10"/>
  <c r="G658" i="10"/>
  <c r="G650" i="10"/>
  <c r="G641" i="10"/>
  <c r="G662" i="10"/>
  <c r="G659" i="10"/>
  <c r="G661" i="10"/>
  <c r="G656" i="10"/>
  <c r="G648" i="10"/>
  <c r="G645" i="10"/>
  <c r="G644" i="10"/>
  <c r="G654" i="10"/>
  <c r="G646" i="10"/>
  <c r="G652" i="10"/>
  <c r="G649" i="10"/>
  <c r="G660" i="10"/>
  <c r="G655" i="10"/>
  <c r="G643" i="10"/>
  <c r="G642" i="10"/>
  <c r="G595" i="10"/>
  <c r="G592" i="10"/>
  <c r="G589" i="10"/>
  <c r="G583" i="10"/>
  <c r="G586" i="10"/>
  <c r="G581" i="10"/>
  <c r="G587" i="10"/>
  <c r="G584" i="10"/>
  <c r="G580" i="10"/>
  <c r="G575" i="10"/>
  <c r="G593" i="10"/>
  <c r="G579" i="10"/>
  <c r="G577" i="10"/>
  <c r="G576" i="10"/>
  <c r="G596" i="10"/>
  <c r="G588" i="10"/>
  <c r="I565" i="10"/>
  <c r="I562" i="10"/>
  <c r="I560" i="10"/>
  <c r="I554" i="10"/>
  <c r="I571" i="10"/>
  <c r="I555" i="10"/>
  <c r="I553" i="10"/>
  <c r="I567" i="10"/>
  <c r="I558" i="10"/>
  <c r="I572" i="10"/>
  <c r="I561" i="10"/>
  <c r="I556" i="10"/>
  <c r="I574" i="10"/>
  <c r="I570" i="10"/>
  <c r="I568" i="10"/>
  <c r="I563" i="10"/>
  <c r="I559" i="10"/>
  <c r="K550" i="10"/>
  <c r="K537" i="10"/>
  <c r="K544" i="10"/>
  <c r="K541" i="10"/>
  <c r="K538" i="10"/>
  <c r="K536" i="10"/>
  <c r="K532" i="10"/>
  <c r="K549" i="10"/>
  <c r="K546" i="10"/>
  <c r="K534" i="10"/>
  <c r="K531" i="10"/>
  <c r="K539" i="10"/>
  <c r="K535" i="10"/>
  <c r="C550" i="10"/>
  <c r="C537" i="10"/>
  <c r="C541" i="10"/>
  <c r="C538" i="10"/>
  <c r="C536" i="10"/>
  <c r="C532" i="10"/>
  <c r="C549" i="10"/>
  <c r="C546" i="10"/>
  <c r="C534" i="10"/>
  <c r="C531" i="10"/>
  <c r="C539" i="10"/>
  <c r="C535" i="10"/>
  <c r="E518" i="10"/>
  <c r="E515" i="10"/>
  <c r="E522" i="10"/>
  <c r="E513" i="10"/>
  <c r="E530" i="10"/>
  <c r="E523" i="10"/>
  <c r="E514" i="10"/>
  <c r="E527" i="10"/>
  <c r="E525" i="10"/>
  <c r="E512" i="10"/>
  <c r="E519" i="10"/>
  <c r="E510" i="10"/>
  <c r="E517" i="10"/>
  <c r="E528" i="10"/>
  <c r="E511" i="10"/>
  <c r="G500" i="10"/>
  <c r="G497" i="10"/>
  <c r="G490" i="10"/>
  <c r="G506" i="10"/>
  <c r="G503" i="10"/>
  <c r="G507" i="10"/>
  <c r="G501" i="10"/>
  <c r="G487" i="10"/>
  <c r="G495" i="10"/>
  <c r="G492" i="10"/>
  <c r="G498" i="10"/>
  <c r="G504" i="10"/>
  <c r="G496" i="10"/>
  <c r="G493" i="10"/>
  <c r="G488" i="10"/>
  <c r="I485" i="10"/>
  <c r="I481" i="10"/>
  <c r="I477" i="10"/>
  <c r="I473" i="10"/>
  <c r="I480" i="10"/>
  <c r="I470" i="10"/>
  <c r="I467" i="10"/>
  <c r="I474" i="10"/>
  <c r="I478" i="10"/>
  <c r="I466" i="10"/>
  <c r="I479" i="10"/>
  <c r="I483" i="10"/>
  <c r="I476" i="10"/>
  <c r="K464" i="10"/>
  <c r="K460" i="10"/>
  <c r="K451" i="10"/>
  <c r="K447" i="10"/>
  <c r="K443" i="10"/>
  <c r="K461" i="10"/>
  <c r="K453" i="10"/>
  <c r="K462" i="10"/>
  <c r="K448" i="10"/>
  <c r="C464" i="10"/>
  <c r="C460" i="10"/>
  <c r="C451" i="10"/>
  <c r="C447" i="10"/>
  <c r="C443" i="10"/>
  <c r="C461" i="10"/>
  <c r="C453" i="10"/>
  <c r="C462" i="10"/>
  <c r="C448" i="10"/>
  <c r="E441" i="10"/>
  <c r="E433" i="10"/>
  <c r="E430" i="10"/>
  <c r="E427" i="10"/>
  <c r="E442" i="10"/>
  <c r="E428" i="10"/>
  <c r="E440" i="10"/>
  <c r="E437" i="10"/>
  <c r="E435" i="10"/>
  <c r="E432" i="10"/>
  <c r="E438" i="10"/>
  <c r="G419" i="10"/>
  <c r="G414" i="10"/>
  <c r="G407" i="10"/>
  <c r="G420" i="10"/>
  <c r="G415" i="10"/>
  <c r="G412" i="10"/>
  <c r="G403" i="10"/>
  <c r="G400" i="10"/>
  <c r="G418" i="10"/>
  <c r="G404" i="10"/>
  <c r="G401" i="10"/>
  <c r="G416" i="10"/>
  <c r="G411" i="10"/>
  <c r="K393" i="10"/>
  <c r="K390" i="10"/>
  <c r="K384" i="10"/>
  <c r="K377" i="10"/>
  <c r="K394" i="10"/>
  <c r="K388" i="10"/>
  <c r="K385" i="10"/>
  <c r="K382" i="10"/>
  <c r="K378" i="10"/>
  <c r="K396" i="10"/>
  <c r="K380" i="10"/>
  <c r="K379" i="10"/>
  <c r="K392" i="10"/>
  <c r="K387" i="10"/>
  <c r="K381" i="10"/>
  <c r="K397" i="10"/>
  <c r="K383" i="10"/>
  <c r="C393" i="10"/>
  <c r="C390" i="10"/>
  <c r="C384" i="10"/>
  <c r="C377" i="10"/>
  <c r="C394" i="10"/>
  <c r="C388" i="10"/>
  <c r="C385" i="10"/>
  <c r="C382" i="10"/>
  <c r="C378" i="10"/>
  <c r="C396" i="10"/>
  <c r="C380" i="10"/>
  <c r="C379" i="10"/>
  <c r="C392" i="10"/>
  <c r="C387" i="10"/>
  <c r="C381" i="10"/>
  <c r="C397" i="10"/>
  <c r="C383" i="10"/>
  <c r="E372" i="10"/>
  <c r="E366" i="10"/>
  <c r="E376" i="10"/>
  <c r="E373" i="10"/>
  <c r="E364" i="10"/>
  <c r="E357" i="10"/>
  <c r="E369" i="10"/>
  <c r="E361" i="10"/>
  <c r="E358" i="10"/>
  <c r="G340" i="10"/>
  <c r="G336" i="10"/>
  <c r="G344" i="10"/>
  <c r="G338" i="10"/>
  <c r="G333" i="10"/>
  <c r="G354" i="10"/>
  <c r="G351" i="10"/>
  <c r="G343" i="10"/>
  <c r="G334" i="10"/>
  <c r="G349" i="10"/>
  <c r="G341" i="10"/>
  <c r="I328" i="10"/>
  <c r="I322" i="10"/>
  <c r="I330" i="10"/>
  <c r="I323" i="10"/>
  <c r="I316" i="10"/>
  <c r="I324" i="10"/>
  <c r="I318" i="10"/>
  <c r="I331" i="10"/>
  <c r="I325" i="10"/>
  <c r="I315" i="10"/>
  <c r="I319" i="10"/>
  <c r="K308" i="10"/>
  <c r="K304" i="10"/>
  <c r="K300" i="10"/>
  <c r="K296" i="10"/>
  <c r="K292" i="10"/>
  <c r="K289" i="10"/>
  <c r="K305" i="10"/>
  <c r="K302" i="10"/>
  <c r="K299" i="10"/>
  <c r="K290" i="10"/>
  <c r="C308" i="10"/>
  <c r="C304" i="10"/>
  <c r="C300" i="10"/>
  <c r="C296" i="10"/>
  <c r="C292" i="10"/>
  <c r="C289" i="10"/>
  <c r="C305" i="10"/>
  <c r="C302" i="10"/>
  <c r="C299" i="10"/>
  <c r="C290" i="10"/>
  <c r="E271" i="10"/>
  <c r="E274" i="10"/>
  <c r="E287" i="10"/>
  <c r="E281" i="10"/>
  <c r="E278" i="10"/>
  <c r="E275" i="10"/>
  <c r="E267" i="10"/>
  <c r="E288" i="10"/>
  <c r="E279" i="10"/>
  <c r="E276" i="10"/>
  <c r="E285" i="10"/>
  <c r="E282" i="10"/>
  <c r="E268" i="10"/>
  <c r="G261" i="10"/>
  <c r="G258" i="10"/>
  <c r="G252" i="10"/>
  <c r="G248" i="10"/>
  <c r="G264" i="10"/>
  <c r="G245" i="10"/>
  <c r="G253" i="10"/>
  <c r="G265" i="10"/>
  <c r="G262" i="10"/>
  <c r="G259" i="10"/>
  <c r="G256" i="10"/>
  <c r="G250" i="10"/>
  <c r="G246" i="10"/>
  <c r="I239" i="10"/>
  <c r="I237" i="10"/>
  <c r="I232" i="10"/>
  <c r="I225" i="10"/>
  <c r="I224" i="10"/>
  <c r="I238" i="10"/>
  <c r="I229" i="10"/>
  <c r="I226" i="10"/>
  <c r="I241" i="10"/>
  <c r="I234" i="10"/>
  <c r="K218" i="10"/>
  <c r="K215" i="10"/>
  <c r="K217" i="10"/>
  <c r="K210" i="10"/>
  <c r="K205" i="10"/>
  <c r="K203" i="10"/>
  <c r="K211" i="10"/>
  <c r="C218" i="10"/>
  <c r="C215" i="10"/>
  <c r="C217" i="10"/>
  <c r="C210" i="10"/>
  <c r="C205" i="10"/>
  <c r="C203" i="10"/>
  <c r="C211" i="10"/>
  <c r="G197" i="10"/>
  <c r="G194" i="10"/>
  <c r="G191" i="10"/>
  <c r="G188" i="10"/>
  <c r="G182" i="10"/>
  <c r="G195" i="10"/>
  <c r="G181" i="10"/>
  <c r="G179" i="10"/>
  <c r="G196" i="10"/>
  <c r="G193" i="10"/>
  <c r="G190" i="10"/>
  <c r="G184" i="10"/>
  <c r="G199" i="10"/>
  <c r="I178" i="10"/>
  <c r="I173" i="10"/>
  <c r="I161" i="10"/>
  <c r="I157" i="10"/>
  <c r="I158" i="10"/>
  <c r="I171" i="10"/>
  <c r="I166" i="10"/>
  <c r="I164" i="10"/>
  <c r="I176" i="10"/>
  <c r="I162" i="10"/>
  <c r="K155" i="10"/>
  <c r="K138" i="10"/>
  <c r="K135" i="10"/>
  <c r="K151" i="10"/>
  <c r="K144" i="10"/>
  <c r="K139" i="10"/>
  <c r="K152" i="10"/>
  <c r="K149" i="10"/>
  <c r="K142" i="10"/>
  <c r="K147" i="10"/>
  <c r="K145" i="10"/>
  <c r="K140" i="10"/>
  <c r="C155" i="10"/>
  <c r="C138" i="10"/>
  <c r="C135" i="10"/>
  <c r="C151" i="10"/>
  <c r="C144" i="10"/>
  <c r="C139" i="10"/>
  <c r="C152" i="10"/>
  <c r="C149" i="10"/>
  <c r="C142" i="10"/>
  <c r="C147" i="10"/>
  <c r="C145" i="10"/>
  <c r="C140" i="10"/>
  <c r="E130" i="10"/>
  <c r="E120" i="10"/>
  <c r="E123" i="10"/>
  <c r="E131" i="10"/>
  <c r="E129" i="10"/>
  <c r="E116" i="10"/>
  <c r="E113" i="10"/>
  <c r="E124" i="10"/>
  <c r="E121" i="10"/>
  <c r="G112" i="10"/>
  <c r="G98" i="10"/>
  <c r="G111" i="10"/>
  <c r="G102" i="10"/>
  <c r="G96" i="10"/>
  <c r="G103" i="10"/>
  <c r="G100" i="10"/>
  <c r="G97" i="10"/>
  <c r="G94" i="10"/>
  <c r="G91" i="10"/>
  <c r="I89" i="10"/>
  <c r="I86" i="10"/>
  <c r="I76" i="10"/>
  <c r="I73" i="10"/>
  <c r="I85" i="10"/>
  <c r="I82" i="10"/>
  <c r="I70" i="10"/>
  <c r="I83" i="10"/>
  <c r="I74" i="10"/>
  <c r="I71" i="10"/>
  <c r="K62" i="10"/>
  <c r="K52" i="10"/>
  <c r="K47" i="10"/>
  <c r="K60" i="10"/>
  <c r="K53" i="10"/>
  <c r="K54" i="10"/>
  <c r="K67" i="10"/>
  <c r="K63" i="10"/>
  <c r="K61" i="10"/>
  <c r="K55" i="10"/>
  <c r="K51" i="10"/>
  <c r="C62" i="10"/>
  <c r="C52" i="10"/>
  <c r="C47" i="10"/>
  <c r="C60" i="10"/>
  <c r="C53" i="10"/>
  <c r="C54" i="10"/>
  <c r="C67" i="10"/>
  <c r="C63" i="10"/>
  <c r="C61" i="10"/>
  <c r="C55" i="10"/>
  <c r="C51" i="10"/>
  <c r="E42" i="10"/>
  <c r="E37" i="10"/>
  <c r="E44" i="10"/>
  <c r="E40" i="10"/>
  <c r="E35" i="10"/>
  <c r="E45" i="10"/>
  <c r="E25" i="10"/>
  <c r="G22" i="10"/>
  <c r="G20" i="10"/>
  <c r="G17" i="10"/>
  <c r="G14" i="10"/>
  <c r="G10" i="10"/>
  <c r="G23" i="10"/>
  <c r="G11" i="10"/>
  <c r="G749" i="10"/>
  <c r="G747" i="10"/>
  <c r="G740" i="10"/>
  <c r="G738" i="10"/>
  <c r="G750" i="10"/>
  <c r="G735" i="10"/>
  <c r="G734" i="10"/>
  <c r="G732" i="10"/>
  <c r="G731" i="10"/>
  <c r="G730" i="10"/>
  <c r="G744" i="10"/>
  <c r="G742" i="10"/>
  <c r="G737" i="10"/>
  <c r="G746" i="10"/>
  <c r="G739" i="10"/>
  <c r="G729" i="10"/>
  <c r="K457" i="10"/>
  <c r="E678" i="10"/>
  <c r="E669" i="10"/>
  <c r="E667" i="10"/>
  <c r="E683" i="10"/>
  <c r="E679" i="10"/>
  <c r="E677" i="10"/>
  <c r="E670" i="10"/>
  <c r="E666" i="10"/>
  <c r="E680" i="10"/>
  <c r="E671" i="10"/>
  <c r="E681" i="10"/>
  <c r="E676" i="10"/>
  <c r="E674" i="10"/>
  <c r="E664" i="10"/>
  <c r="E675" i="10"/>
  <c r="E673" i="10"/>
  <c r="E46" i="10"/>
  <c r="K59" i="10"/>
  <c r="K141" i="10"/>
  <c r="I165" i="10"/>
  <c r="I169" i="10"/>
  <c r="G189" i="10"/>
  <c r="C306" i="10"/>
  <c r="K309" i="10"/>
  <c r="G399" i="10"/>
  <c r="E424" i="10"/>
  <c r="E434" i="10"/>
  <c r="K444" i="10"/>
  <c r="C457" i="10"/>
  <c r="I621" i="10"/>
  <c r="I635" i="10"/>
  <c r="G3" i="10"/>
  <c r="G7" i="10"/>
  <c r="C48" i="10"/>
  <c r="K48" i="10"/>
  <c r="C49" i="10"/>
  <c r="K49" i="10"/>
  <c r="G105" i="10"/>
  <c r="G108" i="10"/>
  <c r="E115" i="10"/>
  <c r="E133" i="10"/>
  <c r="C146" i="10"/>
  <c r="K146" i="10"/>
  <c r="G186" i="10"/>
  <c r="C202" i="10"/>
  <c r="K202" i="10"/>
  <c r="C209" i="10"/>
  <c r="K209" i="10"/>
  <c r="C213" i="10"/>
  <c r="K213" i="10"/>
  <c r="I227" i="10"/>
  <c r="I240" i="10"/>
  <c r="G254" i="10"/>
  <c r="E269" i="10"/>
  <c r="I327" i="10"/>
  <c r="G335" i="10"/>
  <c r="G339" i="10"/>
  <c r="E359" i="10"/>
  <c r="E374" i="10"/>
  <c r="G417" i="10"/>
  <c r="I472" i="10"/>
  <c r="I475" i="10"/>
  <c r="E509" i="10"/>
  <c r="E521" i="10"/>
  <c r="K542" i="10"/>
  <c r="C544" i="10"/>
  <c r="C548" i="10"/>
  <c r="K548" i="10"/>
  <c r="I573" i="10"/>
  <c r="I627" i="10"/>
  <c r="G657" i="10"/>
  <c r="G745" i="10"/>
  <c r="E604" i="10"/>
  <c r="E601" i="10"/>
  <c r="E615" i="10"/>
  <c r="E613" i="10"/>
  <c r="E609" i="10"/>
  <c r="E605" i="10"/>
  <c r="E598" i="10"/>
  <c r="E617" i="10"/>
  <c r="E614" i="10"/>
  <c r="E597" i="10"/>
  <c r="E611" i="10"/>
  <c r="E603" i="10"/>
  <c r="E616" i="10"/>
  <c r="E602" i="10"/>
  <c r="K57" i="10"/>
  <c r="K306" i="10"/>
  <c r="G342" i="10"/>
  <c r="K450" i="10"/>
  <c r="K454" i="10"/>
  <c r="G489" i="10"/>
  <c r="G748" i="10"/>
  <c r="C768" i="10"/>
  <c r="G19" i="10"/>
  <c r="G21" i="10"/>
  <c r="E28" i="10"/>
  <c r="E32" i="10"/>
  <c r="C65" i="10"/>
  <c r="E117" i="10"/>
  <c r="I160" i="10"/>
  <c r="G198" i="10"/>
  <c r="I223" i="10"/>
  <c r="E283" i="10"/>
  <c r="E286" i="10"/>
  <c r="C295" i="10"/>
  <c r="C298" i="10"/>
  <c r="K298" i="10"/>
  <c r="C303" i="10"/>
  <c r="E356" i="10"/>
  <c r="C389" i="10"/>
  <c r="G409" i="10"/>
  <c r="E426" i="10"/>
  <c r="E431" i="10"/>
  <c r="C449" i="10"/>
  <c r="K449" i="10"/>
  <c r="C452" i="10"/>
  <c r="K452" i="10"/>
  <c r="I486" i="10"/>
  <c r="G505" i="10"/>
  <c r="E529" i="10"/>
  <c r="C542" i="10"/>
  <c r="C552" i="10"/>
  <c r="K552" i="10"/>
  <c r="E600" i="10"/>
  <c r="G651" i="10"/>
  <c r="G653" i="10"/>
  <c r="E668" i="10"/>
  <c r="E682" i="10"/>
  <c r="C697" i="10"/>
  <c r="I722" i="10"/>
  <c r="G743" i="10"/>
  <c r="K759" i="10"/>
  <c r="I775" i="10"/>
  <c r="I779" i="10"/>
  <c r="I793" i="10"/>
  <c r="I785" i="10"/>
  <c r="I791" i="10"/>
  <c r="I782" i="10"/>
  <c r="I778" i="10"/>
  <c r="I776" i="10"/>
  <c r="I792" i="10"/>
  <c r="I790" i="10"/>
  <c r="I788" i="10"/>
  <c r="I783" i="10"/>
  <c r="I781" i="10"/>
  <c r="I777" i="10"/>
  <c r="I773" i="10"/>
  <c r="I787" i="10"/>
  <c r="I784" i="10"/>
  <c r="I774" i="10"/>
  <c r="I789" i="10"/>
  <c r="K705" i="10"/>
  <c r="K703" i="10"/>
  <c r="K701" i="10"/>
  <c r="K688" i="10"/>
  <c r="K704" i="10"/>
  <c r="K695" i="10"/>
  <c r="K693" i="10"/>
  <c r="K691" i="10"/>
  <c r="K690" i="10"/>
  <c r="K702" i="10"/>
  <c r="K697" i="10"/>
  <c r="K699" i="10"/>
  <c r="K698" i="10"/>
  <c r="K696" i="10"/>
  <c r="K692" i="10"/>
  <c r="K700" i="10"/>
  <c r="K685" i="10"/>
  <c r="C57" i="10"/>
  <c r="E122" i="10"/>
  <c r="E272" i="10"/>
  <c r="C450" i="10"/>
  <c r="G491" i="10"/>
  <c r="G585" i="10"/>
  <c r="G16" i="10"/>
  <c r="G93" i="10"/>
  <c r="G95" i="10"/>
  <c r="G183" i="10"/>
  <c r="C206" i="10"/>
  <c r="K206" i="10"/>
  <c r="I236" i="10"/>
  <c r="K295" i="10"/>
  <c r="K303" i="10"/>
  <c r="K389" i="10"/>
  <c r="E423" i="10"/>
  <c r="G12" i="10"/>
  <c r="E41" i="10"/>
  <c r="C58" i="10"/>
  <c r="K58" i="10"/>
  <c r="I79" i="10"/>
  <c r="I87" i="10"/>
  <c r="I90" i="10"/>
  <c r="G92" i="10"/>
  <c r="E119" i="10"/>
  <c r="E126" i="10"/>
  <c r="C137" i="10"/>
  <c r="K137" i="10"/>
  <c r="C153" i="10"/>
  <c r="K153" i="10"/>
  <c r="I168" i="10"/>
  <c r="G185" i="10"/>
  <c r="C221" i="10"/>
  <c r="K221" i="10"/>
  <c r="I231" i="10"/>
  <c r="G247" i="10"/>
  <c r="I321" i="10"/>
  <c r="I329" i="10"/>
  <c r="I332" i="10"/>
  <c r="G348" i="10"/>
  <c r="C395" i="10"/>
  <c r="K395" i="10"/>
  <c r="G406" i="10"/>
  <c r="I469" i="10"/>
  <c r="C540" i="10"/>
  <c r="K540" i="10"/>
  <c r="C545" i="10"/>
  <c r="K545" i="10"/>
  <c r="I557" i="10"/>
  <c r="G582" i="10"/>
  <c r="G594" i="10"/>
  <c r="E607" i="10"/>
  <c r="K694" i="10"/>
  <c r="C706" i="10"/>
  <c r="K706" i="10"/>
  <c r="G741" i="10"/>
  <c r="C770" i="10"/>
  <c r="C765" i="10"/>
  <c r="C760" i="10"/>
  <c r="C772" i="10"/>
  <c r="C755" i="10"/>
  <c r="C751" i="10"/>
  <c r="C753" i="10"/>
  <c r="C752" i="10"/>
  <c r="C763" i="10"/>
  <c r="C761" i="10"/>
  <c r="C757" i="10"/>
  <c r="C767" i="10"/>
  <c r="C764" i="10"/>
  <c r="C758" i="10"/>
  <c r="C754" i="10"/>
  <c r="C771" i="10"/>
  <c r="C769" i="10"/>
  <c r="C766" i="10"/>
  <c r="C762" i="10"/>
  <c r="I632" i="10"/>
  <c r="I628" i="10"/>
  <c r="I619" i="10"/>
  <c r="I633" i="10"/>
  <c r="I629" i="10"/>
  <c r="I638" i="10"/>
  <c r="I634" i="10"/>
  <c r="I640" i="10"/>
  <c r="I620" i="10"/>
  <c r="I630" i="10"/>
  <c r="I631" i="10"/>
  <c r="I626" i="10"/>
  <c r="I622" i="10"/>
  <c r="K66" i="10"/>
  <c r="C141" i="10"/>
  <c r="G180" i="10"/>
  <c r="G251" i="10"/>
  <c r="K301" i="10"/>
  <c r="I311" i="10"/>
  <c r="G346" i="10"/>
  <c r="G410" i="10"/>
  <c r="C444" i="10"/>
  <c r="C454" i="10"/>
  <c r="I484" i="10"/>
  <c r="K762" i="10"/>
  <c r="G6" i="10"/>
  <c r="E34" i="10"/>
  <c r="K56" i="10"/>
  <c r="K68" i="10"/>
  <c r="G5" i="10"/>
  <c r="E27" i="10"/>
  <c r="E31" i="10"/>
  <c r="E43" i="10"/>
  <c r="I84" i="10"/>
  <c r="G104" i="10"/>
  <c r="C219" i="10"/>
  <c r="I242" i="10"/>
  <c r="G266" i="10"/>
  <c r="C294" i="10"/>
  <c r="K294" i="10"/>
  <c r="C297" i="10"/>
  <c r="K297" i="10"/>
  <c r="C310" i="10"/>
  <c r="K310" i="10"/>
  <c r="I326" i="10"/>
  <c r="G353" i="10"/>
  <c r="E371" i="10"/>
  <c r="C391" i="10"/>
  <c r="K391" i="10"/>
  <c r="G405" i="10"/>
  <c r="C446" i="10"/>
  <c r="K446" i="10"/>
  <c r="C456" i="10"/>
  <c r="K456" i="10"/>
  <c r="C459" i="10"/>
  <c r="K459" i="10"/>
  <c r="G499" i="10"/>
  <c r="G502" i="10"/>
  <c r="C547" i="10"/>
  <c r="K547" i="10"/>
  <c r="I569" i="10"/>
  <c r="G591" i="10"/>
  <c r="I623" i="10"/>
  <c r="I637" i="10"/>
  <c r="C702" i="10"/>
  <c r="I727" i="10"/>
  <c r="I725" i="10"/>
  <c r="I723" i="10"/>
  <c r="I721" i="10"/>
  <c r="I719" i="10"/>
  <c r="I710" i="10"/>
  <c r="I728" i="10"/>
  <c r="I714" i="10"/>
  <c r="I707" i="10"/>
  <c r="I717" i="10"/>
  <c r="I709" i="10"/>
  <c r="I708" i="10"/>
  <c r="I726" i="10"/>
  <c r="I716" i="10"/>
  <c r="I724" i="10"/>
  <c r="I720" i="10"/>
  <c r="I718" i="10"/>
  <c r="I712" i="10"/>
  <c r="I88" i="10"/>
  <c r="I163" i="10"/>
  <c r="C207" i="10"/>
  <c r="I243" i="10"/>
  <c r="E367" i="10"/>
  <c r="E421" i="10"/>
  <c r="E684" i="10"/>
  <c r="G9" i="10"/>
  <c r="E29" i="10"/>
  <c r="C56" i="10"/>
  <c r="K65" i="10"/>
  <c r="C68" i="10"/>
  <c r="C64" i="10"/>
  <c r="I177" i="10"/>
  <c r="G200" i="10"/>
  <c r="K204" i="10"/>
  <c r="C212" i="10"/>
  <c r="K219" i="10"/>
  <c r="E26" i="10"/>
  <c r="E36" i="10"/>
  <c r="E39" i="10"/>
  <c r="E132" i="10"/>
  <c r="I170" i="10"/>
  <c r="C201" i="10"/>
  <c r="K201" i="10"/>
  <c r="C208" i="10"/>
  <c r="K208" i="10"/>
  <c r="C214" i="10"/>
  <c r="K214" i="10"/>
  <c r="I233" i="10"/>
  <c r="I235" i="10"/>
  <c r="I244" i="10"/>
  <c r="G260" i="10"/>
  <c r="G263" i="10"/>
  <c r="E273" i="10"/>
  <c r="E280" i="10"/>
  <c r="I320" i="10"/>
  <c r="G337" i="10"/>
  <c r="G345" i="10"/>
  <c r="G350" i="10"/>
  <c r="E355" i="10"/>
  <c r="E363" i="10"/>
  <c r="E365" i="10"/>
  <c r="E368" i="10"/>
  <c r="G408" i="10"/>
  <c r="E422" i="10"/>
  <c r="E425" i="10"/>
  <c r="E439" i="10"/>
  <c r="C445" i="10"/>
  <c r="K445" i="10"/>
  <c r="I465" i="10"/>
  <c r="I471" i="10"/>
  <c r="E520" i="10"/>
  <c r="E526" i="10"/>
  <c r="C551" i="10"/>
  <c r="K551" i="10"/>
  <c r="E599" i="10"/>
  <c r="G647" i="10"/>
  <c r="E672" i="10"/>
  <c r="G733" i="10"/>
  <c r="G736" i="10"/>
  <c r="C705" i="10"/>
  <c r="C703" i="10"/>
  <c r="C701" i="10"/>
  <c r="C688" i="10"/>
  <c r="C704" i="10"/>
  <c r="C699" i="10"/>
  <c r="C695" i="10"/>
  <c r="C696" i="10"/>
  <c r="C693" i="10"/>
  <c r="C692" i="10"/>
  <c r="C690" i="10"/>
  <c r="C689" i="10"/>
  <c r="C698" i="10"/>
  <c r="C700" i="10"/>
  <c r="C691" i="10"/>
  <c r="C685" i="10"/>
  <c r="G13" i="10"/>
  <c r="C59" i="10"/>
  <c r="C66" i="10"/>
  <c r="I77" i="10"/>
  <c r="I80" i="10"/>
  <c r="E127" i="10"/>
  <c r="K207" i="10"/>
  <c r="C301" i="10"/>
  <c r="C309" i="10"/>
  <c r="E362" i="10"/>
  <c r="G15" i="10"/>
  <c r="G18" i="10"/>
  <c r="K64" i="10"/>
  <c r="G107" i="10"/>
  <c r="G110" i="10"/>
  <c r="E114" i="10"/>
  <c r="I175" i="10"/>
  <c r="C204" i="10"/>
  <c r="K212" i="10"/>
  <c r="G8" i="10"/>
  <c r="G24" i="10"/>
  <c r="E33" i="10"/>
  <c r="E38" i="10"/>
  <c r="C50" i="10"/>
  <c r="K50" i="10"/>
  <c r="I69" i="10"/>
  <c r="I78" i="10"/>
  <c r="I81" i="10"/>
  <c r="G99" i="10"/>
  <c r="G101" i="10"/>
  <c r="G106" i="10"/>
  <c r="G109" i="10"/>
  <c r="E118" i="10"/>
  <c r="E125" i="10"/>
  <c r="E128" i="10"/>
  <c r="E134" i="10"/>
  <c r="C136" i="10"/>
  <c r="K136" i="10"/>
  <c r="I159" i="10"/>
  <c r="I172" i="10"/>
  <c r="G187" i="10"/>
  <c r="C216" i="10"/>
  <c r="K216" i="10"/>
  <c r="I228" i="10"/>
  <c r="G249" i="10"/>
  <c r="G255" i="10"/>
  <c r="C293" i="10"/>
  <c r="C307" i="10"/>
  <c r="K307" i="10"/>
  <c r="I314" i="10"/>
  <c r="I317" i="10"/>
  <c r="G347" i="10"/>
  <c r="G352" i="10"/>
  <c r="E360" i="10"/>
  <c r="E375" i="10"/>
  <c r="C386" i="10"/>
  <c r="K386" i="10"/>
  <c r="G402" i="10"/>
  <c r="C455" i="10"/>
  <c r="K455" i="10"/>
  <c r="C458" i="10"/>
  <c r="K458" i="10"/>
  <c r="C463" i="10"/>
  <c r="K463" i="10"/>
  <c r="I468" i="10"/>
  <c r="I482" i="10"/>
  <c r="G494" i="10"/>
  <c r="G508" i="10"/>
  <c r="E516" i="10"/>
  <c r="E524" i="10"/>
  <c r="C543" i="10"/>
  <c r="K543" i="10"/>
  <c r="G578" i="10"/>
  <c r="E612" i="10"/>
  <c r="E618" i="10"/>
  <c r="C686" i="10"/>
  <c r="K686" i="10"/>
  <c r="C687" i="10"/>
  <c r="K687" i="10"/>
  <c r="K771" i="10"/>
  <c r="G787" i="10"/>
  <c r="G775" i="10"/>
  <c r="G793" i="10"/>
  <c r="G788" i="10"/>
  <c r="G786" i="10"/>
  <c r="G784" i="10"/>
  <c r="G779" i="10"/>
  <c r="I772" i="10"/>
  <c r="I767" i="10"/>
  <c r="I754" i="10"/>
  <c r="I761" i="10"/>
  <c r="E744" i="10"/>
  <c r="E735" i="10"/>
  <c r="E746" i="10"/>
  <c r="E729" i="10"/>
  <c r="G724" i="10"/>
  <c r="G713" i="10"/>
  <c r="I696" i="10"/>
  <c r="I694" i="10"/>
  <c r="I692" i="10"/>
  <c r="I702" i="10"/>
  <c r="I689" i="10"/>
  <c r="K682" i="10"/>
  <c r="K673" i="10"/>
  <c r="K671" i="10"/>
  <c r="K669" i="10"/>
  <c r="K665" i="10"/>
  <c r="K664" i="10"/>
  <c r="C682" i="10"/>
  <c r="C673" i="10"/>
  <c r="C671" i="10"/>
  <c r="C665" i="10"/>
  <c r="C664" i="10"/>
  <c r="E662" i="10"/>
  <c r="E660" i="10"/>
  <c r="E649" i="10"/>
  <c r="E643" i="10"/>
  <c r="G635" i="10"/>
  <c r="G627" i="10"/>
  <c r="K617" i="10"/>
  <c r="K615" i="10"/>
  <c r="K612" i="10"/>
  <c r="K609" i="10"/>
  <c r="K606" i="10"/>
  <c r="K603" i="10"/>
  <c r="K600" i="10"/>
  <c r="K597" i="10"/>
  <c r="C617" i="10"/>
  <c r="C615" i="10"/>
  <c r="C612" i="10"/>
  <c r="C609" i="10"/>
  <c r="C606" i="10"/>
  <c r="C603" i="10"/>
  <c r="C600" i="10"/>
  <c r="C597" i="10"/>
  <c r="G572" i="10"/>
  <c r="G554" i="10"/>
  <c r="I544" i="10"/>
  <c r="I542" i="10"/>
  <c r="K530" i="10"/>
  <c r="K520" i="10"/>
  <c r="K517" i="10"/>
  <c r="K514" i="10"/>
  <c r="K511" i="10"/>
  <c r="C530" i="10"/>
  <c r="C520" i="10"/>
  <c r="C517" i="10"/>
  <c r="C514" i="10"/>
  <c r="C511" i="10"/>
  <c r="E506" i="10"/>
  <c r="E499" i="10"/>
  <c r="E496" i="10"/>
  <c r="G484" i="10"/>
  <c r="G469" i="10"/>
  <c r="D786" i="10"/>
  <c r="D773" i="10"/>
  <c r="F771" i="10"/>
  <c r="F766" i="10"/>
  <c r="J750" i="10"/>
  <c r="J741" i="10"/>
  <c r="J734" i="10"/>
  <c r="J730" i="10"/>
  <c r="B750" i="10"/>
  <c r="B741" i="10"/>
  <c r="B734" i="10"/>
  <c r="B730" i="10"/>
  <c r="D728" i="10"/>
  <c r="D713" i="10"/>
  <c r="D711" i="10"/>
  <c r="F691" i="10"/>
  <c r="F689" i="10"/>
  <c r="B570" i="10"/>
  <c r="J570" i="10"/>
  <c r="H602" i="10"/>
  <c r="H605" i="10"/>
  <c r="F607" i="10"/>
  <c r="F610" i="10"/>
  <c r="H611" i="10"/>
  <c r="F613" i="10"/>
  <c r="H614" i="10"/>
  <c r="B620" i="10"/>
  <c r="J620" i="10"/>
  <c r="D629" i="10"/>
  <c r="H646" i="10"/>
  <c r="B647" i="10"/>
  <c r="J647" i="10"/>
  <c r="H651" i="10"/>
  <c r="B659" i="10"/>
  <c r="J659" i="10"/>
  <c r="J661" i="10"/>
  <c r="H663" i="10"/>
  <c r="H680" i="10"/>
  <c r="D688" i="10"/>
  <c r="F694" i="10"/>
  <c r="D697" i="10"/>
  <c r="D701" i="10"/>
  <c r="F703" i="10"/>
  <c r="J710" i="10"/>
  <c r="B712" i="10"/>
  <c r="J712" i="10"/>
  <c r="D727" i="10"/>
  <c r="H735" i="10"/>
  <c r="H737" i="10"/>
  <c r="J745" i="10"/>
  <c r="J747" i="10"/>
  <c r="B749" i="10"/>
  <c r="D760" i="10"/>
  <c r="F765" i="10"/>
  <c r="F767" i="10"/>
  <c r="B774" i="10"/>
  <c r="D778" i="10"/>
  <c r="D783" i="10"/>
  <c r="B785" i="10"/>
  <c r="D792" i="10"/>
  <c r="J788" i="10"/>
  <c r="J780" i="10"/>
  <c r="J777" i="10"/>
  <c r="B788" i="10"/>
  <c r="B780" i="10"/>
  <c r="B777" i="10"/>
  <c r="D768" i="10"/>
  <c r="D755" i="10"/>
  <c r="H745" i="10"/>
  <c r="H736" i="10"/>
  <c r="H729" i="10"/>
  <c r="J717" i="10"/>
  <c r="J715" i="10"/>
  <c r="J707" i="10"/>
  <c r="B717" i="10"/>
  <c r="B715" i="10"/>
  <c r="B707" i="10"/>
  <c r="F683" i="10"/>
  <c r="F676" i="10"/>
  <c r="M618" i="10"/>
  <c r="M615" i="10"/>
  <c r="M611" i="10"/>
  <c r="M606" i="10"/>
  <c r="M602" i="10"/>
  <c r="M616" i="10"/>
  <c r="M598" i="10"/>
  <c r="M614" i="10"/>
  <c r="M610" i="10"/>
  <c r="M617" i="10"/>
  <c r="M441" i="10"/>
  <c r="M421" i="10"/>
  <c r="M437" i="10"/>
  <c r="M434" i="10"/>
  <c r="M430" i="10"/>
  <c r="M426" i="10"/>
  <c r="M442" i="10"/>
  <c r="M435" i="10"/>
  <c r="M438" i="10"/>
  <c r="M431" i="10"/>
  <c r="M422" i="10"/>
  <c r="M427" i="10"/>
  <c r="M285" i="10"/>
  <c r="M281" i="10"/>
  <c r="M277" i="10"/>
  <c r="M270" i="10"/>
  <c r="M279" i="10"/>
  <c r="M268" i="10"/>
  <c r="M280" i="10"/>
  <c r="M273" i="10"/>
  <c r="M287" i="10"/>
  <c r="M283" i="10"/>
  <c r="M276" i="10"/>
  <c r="M269" i="10"/>
  <c r="M288" i="10"/>
  <c r="M45" i="10"/>
  <c r="M35" i="10"/>
  <c r="M42" i="10"/>
  <c r="M32" i="10"/>
  <c r="M27" i="10"/>
  <c r="M26" i="10"/>
  <c r="M39" i="10"/>
  <c r="M158" i="10"/>
  <c r="M159" i="10"/>
  <c r="M162" i="10"/>
  <c r="M165" i="10"/>
  <c r="M212" i="10"/>
  <c r="M215" i="10"/>
  <c r="M221" i="10"/>
  <c r="M229" i="10"/>
  <c r="M384" i="10"/>
  <c r="M391" i="10"/>
  <c r="M394" i="10"/>
  <c r="M547" i="10"/>
  <c r="M553" i="10"/>
  <c r="M556" i="10"/>
  <c r="M574" i="10"/>
  <c r="M704" i="10"/>
  <c r="M710" i="10"/>
  <c r="M747" i="10"/>
  <c r="M739" i="10"/>
  <c r="M748" i="10"/>
  <c r="M743" i="10"/>
  <c r="M738" i="10"/>
  <c r="M735" i="10"/>
  <c r="M732" i="10"/>
  <c r="M741" i="10"/>
  <c r="M736" i="10"/>
  <c r="M746" i="10"/>
  <c r="M733" i="10"/>
  <c r="M594" i="10"/>
  <c r="M590" i="10"/>
  <c r="M586" i="10"/>
  <c r="M582" i="10"/>
  <c r="M587" i="10"/>
  <c r="M583" i="10"/>
  <c r="M577" i="10"/>
  <c r="M588" i="10"/>
  <c r="M581" i="10"/>
  <c r="M591" i="10"/>
  <c r="M584" i="10"/>
  <c r="M580" i="10"/>
  <c r="M576" i="10"/>
  <c r="M578" i="10"/>
  <c r="M410" i="10"/>
  <c r="M402" i="10"/>
  <c r="M418" i="10"/>
  <c r="M415" i="10"/>
  <c r="M416" i="10"/>
  <c r="M412" i="10"/>
  <c r="M408" i="10"/>
  <c r="M404" i="10"/>
  <c r="M400" i="10"/>
  <c r="M419" i="10"/>
  <c r="M401" i="10"/>
  <c r="M257" i="10"/>
  <c r="M254" i="10"/>
  <c r="M245" i="10"/>
  <c r="M264" i="10"/>
  <c r="M260" i="10"/>
  <c r="M250" i="10"/>
  <c r="M193" i="10"/>
  <c r="M186" i="10"/>
  <c r="M199" i="10"/>
  <c r="M185" i="10"/>
  <c r="M182" i="10"/>
  <c r="M196" i="10"/>
  <c r="M189" i="10"/>
  <c r="M20" i="10"/>
  <c r="M12" i="10"/>
  <c r="M8" i="10"/>
  <c r="M23" i="10"/>
  <c r="M17" i="10"/>
  <c r="M173" i="10"/>
  <c r="M223" i="10"/>
  <c r="M37" i="10"/>
  <c r="M147" i="10"/>
  <c r="M156" i="10"/>
  <c r="M237" i="10"/>
  <c r="M378" i="10"/>
  <c r="M425" i="10"/>
  <c r="M549" i="10"/>
  <c r="M692" i="10"/>
  <c r="M25" i="10"/>
  <c r="M30" i="10"/>
  <c r="M40" i="10"/>
  <c r="M371" i="10"/>
  <c r="M382" i="10"/>
  <c r="M440" i="10"/>
  <c r="M522" i="10"/>
  <c r="M543" i="10"/>
  <c r="M561" i="10"/>
  <c r="M564" i="10"/>
  <c r="M597" i="10"/>
  <c r="M601" i="10"/>
  <c r="M608" i="10"/>
  <c r="M612" i="10"/>
  <c r="M696" i="10"/>
  <c r="M719" i="10"/>
  <c r="M723" i="10"/>
  <c r="M715" i="10"/>
  <c r="M712" i="10"/>
  <c r="M709" i="10"/>
  <c r="M717" i="10"/>
  <c r="M708" i="10"/>
  <c r="M725" i="10"/>
  <c r="M720" i="10"/>
  <c r="M728" i="10"/>
  <c r="M570" i="10"/>
  <c r="M572" i="10"/>
  <c r="M569" i="10"/>
  <c r="M558" i="10"/>
  <c r="M554" i="10"/>
  <c r="M573" i="10"/>
  <c r="M562" i="10"/>
  <c r="M555" i="10"/>
  <c r="M566" i="10"/>
  <c r="M559" i="10"/>
  <c r="M234" i="10"/>
  <c r="M242" i="10"/>
  <c r="M231" i="10"/>
  <c r="M238" i="10"/>
  <c r="M235" i="10"/>
  <c r="M232" i="10"/>
  <c r="M228" i="10"/>
  <c r="M177" i="10"/>
  <c r="M170" i="10"/>
  <c r="M167" i="10"/>
  <c r="M164" i="10"/>
  <c r="M160" i="10"/>
  <c r="M174" i="10"/>
  <c r="M161" i="10"/>
  <c r="M176" i="10"/>
  <c r="M240" i="10"/>
  <c r="M568" i="10"/>
  <c r="M552" i="10"/>
  <c r="M548" i="10"/>
  <c r="M533" i="10"/>
  <c r="M551" i="10"/>
  <c r="M544" i="10"/>
  <c r="M541" i="10"/>
  <c r="M537" i="10"/>
  <c r="M542" i="10"/>
  <c r="M538" i="10"/>
  <c r="M534" i="10"/>
  <c r="M145" i="10"/>
  <c r="M155" i="10"/>
  <c r="M152" i="10"/>
  <c r="M148" i="10"/>
  <c r="M139" i="10"/>
  <c r="M135" i="10"/>
  <c r="M136" i="10"/>
  <c r="M43" i="10"/>
  <c r="M150" i="10"/>
  <c r="M220" i="10"/>
  <c r="M428" i="10"/>
  <c r="M605" i="10"/>
  <c r="M609" i="10"/>
  <c r="M678" i="10"/>
  <c r="M670" i="10"/>
  <c r="M667" i="10"/>
  <c r="M672" i="10"/>
  <c r="M663" i="10"/>
  <c r="M680" i="10"/>
  <c r="M675" i="10"/>
  <c r="M683" i="10"/>
  <c r="M529" i="10"/>
  <c r="M519" i="10"/>
  <c r="M526" i="10"/>
  <c r="M523" i="10"/>
  <c r="M530" i="10"/>
  <c r="M524" i="10"/>
  <c r="M516" i="10"/>
  <c r="M512" i="10"/>
  <c r="M527" i="10"/>
  <c r="M520" i="10"/>
  <c r="M376" i="10"/>
  <c r="M364" i="10"/>
  <c r="M361" i="10"/>
  <c r="M357" i="10"/>
  <c r="M358" i="10"/>
  <c r="M373" i="10"/>
  <c r="M365" i="10"/>
  <c r="M359" i="10"/>
  <c r="M355" i="10"/>
  <c r="M369" i="10"/>
  <c r="M362" i="10"/>
  <c r="M128" i="10"/>
  <c r="M118" i="10"/>
  <c r="M115" i="10"/>
  <c r="M132" i="10"/>
  <c r="M129" i="10"/>
  <c r="M126" i="10"/>
  <c r="M123" i="10"/>
  <c r="M120" i="10"/>
  <c r="M117" i="10"/>
  <c r="M114" i="10"/>
  <c r="M33" i="10"/>
  <c r="M138" i="10"/>
  <c r="M153" i="10"/>
  <c r="M172" i="10"/>
  <c r="M131" i="10"/>
  <c r="M149" i="10"/>
  <c r="M175" i="10"/>
  <c r="M178" i="10"/>
  <c r="M227" i="10"/>
  <c r="M236" i="10"/>
  <c r="M267" i="10"/>
  <c r="M286" i="10"/>
  <c r="M367" i="10"/>
  <c r="M377" i="10"/>
  <c r="M424" i="10"/>
  <c r="M436" i="10"/>
  <c r="M515" i="10"/>
  <c r="M540" i="10"/>
  <c r="M563" i="10"/>
  <c r="M600" i="10"/>
  <c r="M604" i="10"/>
  <c r="M666" i="10"/>
  <c r="M671" i="10"/>
  <c r="M714" i="10"/>
  <c r="M721" i="10"/>
  <c r="M565" i="10"/>
  <c r="M722" i="10"/>
  <c r="M702" i="10"/>
  <c r="M694" i="10"/>
  <c r="M691" i="10"/>
  <c r="M688" i="10"/>
  <c r="M705" i="10"/>
  <c r="M700" i="10"/>
  <c r="M685" i="10"/>
  <c r="M698" i="10"/>
  <c r="M686" i="10"/>
  <c r="M695" i="10"/>
  <c r="M690" i="10"/>
  <c r="M687" i="10"/>
  <c r="M703" i="10"/>
  <c r="M693" i="10"/>
  <c r="M398" i="10"/>
  <c r="M389" i="10"/>
  <c r="M385" i="10"/>
  <c r="M392" i="10"/>
  <c r="M388" i="10"/>
  <c r="M381" i="10"/>
  <c r="M397" i="10"/>
  <c r="M393" i="10"/>
  <c r="M219" i="10"/>
  <c r="M211" i="10"/>
  <c r="M208" i="10"/>
  <c r="M222" i="10"/>
  <c r="M216" i="10"/>
  <c r="M203" i="10"/>
  <c r="M202" i="10"/>
  <c r="M213" i="10"/>
  <c r="M207" i="10"/>
  <c r="M204" i="10"/>
  <c r="M243" i="10"/>
  <c r="M386" i="10"/>
  <c r="M701" i="10"/>
  <c r="M724" i="10"/>
  <c r="M141" i="10"/>
  <c r="M166" i="10"/>
  <c r="M205" i="10"/>
  <c r="M271" i="10"/>
  <c r="M36" i="10"/>
  <c r="M137" i="10"/>
  <c r="M140" i="10"/>
  <c r="M143" i="10"/>
  <c r="M146" i="10"/>
  <c r="M163" i="10"/>
  <c r="M168" i="10"/>
  <c r="M201" i="10"/>
  <c r="M230" i="10"/>
  <c r="M233" i="10"/>
  <c r="M282" i="10"/>
  <c r="M370" i="10"/>
  <c r="M423" i="10"/>
  <c r="M439" i="10"/>
  <c r="M511" i="10"/>
  <c r="M518" i="10"/>
  <c r="M521" i="10"/>
  <c r="M557" i="10"/>
  <c r="M560" i="10"/>
  <c r="M607" i="10"/>
  <c r="M664" i="10"/>
  <c r="M668" i="10"/>
  <c r="M673" i="10"/>
  <c r="M707" i="10"/>
  <c r="M711" i="10"/>
  <c r="M716" i="10"/>
  <c r="M657" i="10"/>
  <c r="M646" i="10"/>
  <c r="M641" i="10"/>
  <c r="M504" i="10"/>
  <c r="M497" i="10"/>
  <c r="M493" i="10"/>
  <c r="M349" i="10"/>
  <c r="M343" i="10"/>
  <c r="M339" i="10"/>
  <c r="M334" i="10"/>
  <c r="M105" i="10"/>
  <c r="M102" i="10"/>
  <c r="M99" i="10"/>
  <c r="M92" i="10"/>
  <c r="M93" i="10"/>
  <c r="M111" i="10"/>
  <c r="M342" i="10"/>
  <c r="M345" i="10"/>
  <c r="M351" i="10"/>
  <c r="M489" i="10"/>
  <c r="M492" i="10"/>
  <c r="M508" i="10"/>
  <c r="M648" i="10"/>
  <c r="M655" i="10"/>
  <c r="M660" i="10"/>
  <c r="M768" i="10"/>
  <c r="M760" i="10"/>
  <c r="M757" i="10"/>
  <c r="M754" i="10"/>
  <c r="M456" i="10"/>
  <c r="M453" i="10"/>
  <c r="M449" i="10"/>
  <c r="M294" i="10"/>
  <c r="M291" i="10"/>
  <c r="M290" i="10"/>
  <c r="M63" i="10"/>
  <c r="M60" i="10"/>
  <c r="M57" i="10"/>
  <c r="M47" i="10"/>
  <c r="AH49" i="10"/>
  <c r="AH116" i="10"/>
  <c r="AH158" i="10"/>
  <c r="AH268" i="10"/>
  <c r="AH70" i="10"/>
  <c r="AH137" i="10"/>
  <c r="AH335" i="10"/>
  <c r="AH641" i="10"/>
  <c r="AH633" i="10" s="1"/>
  <c r="AH4" i="10"/>
  <c r="AH223" i="10"/>
  <c r="AH69" i="10"/>
  <c r="AH135" i="10"/>
  <c r="AH267" i="10"/>
  <c r="AH333" i="10"/>
  <c r="AH421" i="10"/>
  <c r="AH25" i="10"/>
  <c r="AH531" i="10"/>
  <c r="AH289" i="10"/>
  <c r="AH273" i="10" s="1"/>
  <c r="AH47" i="10"/>
  <c r="AH355" i="10"/>
  <c r="AH399" i="10"/>
  <c r="AH291" i="10"/>
  <c r="AH377" i="10"/>
  <c r="AH363" i="10" s="1"/>
  <c r="AH465" i="10"/>
  <c r="T3" i="10"/>
  <c r="AB3" i="10"/>
  <c r="AC17" i="10"/>
  <c r="AD17" i="10" s="1"/>
  <c r="AC18" i="10"/>
  <c r="AC21" i="10"/>
  <c r="AC42" i="10"/>
  <c r="AD42" i="10" s="1"/>
  <c r="Z47" i="10"/>
  <c r="AC67" i="10"/>
  <c r="AD67" i="10" s="1"/>
  <c r="U69" i="10"/>
  <c r="AC76" i="10"/>
  <c r="AD76" i="10" s="1"/>
  <c r="AC102" i="10"/>
  <c r="AD102" i="10" s="1"/>
  <c r="AC110" i="10"/>
  <c r="AD110" i="10" s="1"/>
  <c r="T113" i="10"/>
  <c r="AB113" i="10"/>
  <c r="AH157" i="10"/>
  <c r="AC165" i="10"/>
  <c r="AC171" i="10"/>
  <c r="AD171" i="10" s="1"/>
  <c r="AC190" i="10"/>
  <c r="AD190" i="10" s="1"/>
  <c r="AC198" i="10"/>
  <c r="AD198" i="10" s="1"/>
  <c r="AC206" i="10"/>
  <c r="AD206" i="10" s="1"/>
  <c r="AC210" i="10"/>
  <c r="U223" i="10"/>
  <c r="AC225" i="10"/>
  <c r="U3" i="10"/>
  <c r="AC23" i="10"/>
  <c r="X25" i="10"/>
  <c r="T25" i="10"/>
  <c r="AB25" i="10"/>
  <c r="AC31" i="10"/>
  <c r="AC40" i="10"/>
  <c r="AD40" i="10" s="1"/>
  <c r="AC43" i="10"/>
  <c r="AD43" i="10" s="1"/>
  <c r="Y47" i="10"/>
  <c r="AC55" i="10"/>
  <c r="AD55" i="10" s="1"/>
  <c r="AC84" i="10"/>
  <c r="AD84" i="10" s="1"/>
  <c r="AC93" i="10"/>
  <c r="AC123" i="10"/>
  <c r="AD123" i="10" s="1"/>
  <c r="V135" i="10"/>
  <c r="AC154" i="10"/>
  <c r="AD154" i="10" s="1"/>
  <c r="AC167" i="10"/>
  <c r="AD167" i="10" s="1"/>
  <c r="AC168" i="10"/>
  <c r="W179" i="10"/>
  <c r="AC194" i="10"/>
  <c r="AD194" i="10" s="1"/>
  <c r="V201" i="10"/>
  <c r="T201" i="10"/>
  <c r="AB201" i="10"/>
  <c r="AC215" i="10"/>
  <c r="AD215" i="10" s="1"/>
  <c r="AC235" i="10"/>
  <c r="AD235" i="10" s="1"/>
  <c r="AC15" i="10"/>
  <c r="AD15" i="10" s="1"/>
  <c r="AC19" i="10"/>
  <c r="AC24" i="10"/>
  <c r="AC32" i="10"/>
  <c r="AD32" i="10" s="1"/>
  <c r="AC44" i="10"/>
  <c r="AD44" i="10" s="1"/>
  <c r="AC48" i="10"/>
  <c r="W47" i="10"/>
  <c r="AC64" i="10"/>
  <c r="AD64" i="10" s="1"/>
  <c r="AC65" i="10"/>
  <c r="AD65" i="10" s="1"/>
  <c r="AC71" i="10"/>
  <c r="AC72" i="10"/>
  <c r="AD72" i="10" s="1"/>
  <c r="AC75" i="10"/>
  <c r="AC120" i="10"/>
  <c r="AD120" i="10" s="1"/>
  <c r="AC128" i="10"/>
  <c r="AD128" i="10" s="1"/>
  <c r="AC152" i="10"/>
  <c r="AD152" i="10" s="1"/>
  <c r="AC182" i="10"/>
  <c r="AD182" i="10" s="1"/>
  <c r="AC186" i="10"/>
  <c r="AD186" i="10" s="1"/>
  <c r="AC191" i="10"/>
  <c r="AD191" i="10" s="1"/>
  <c r="AC192" i="10"/>
  <c r="AC195" i="10"/>
  <c r="AC199" i="10"/>
  <c r="AC200" i="10"/>
  <c r="W201" i="10"/>
  <c r="AC207" i="10"/>
  <c r="AD207" i="10" s="1"/>
  <c r="AC211" i="10"/>
  <c r="AD211" i="10" s="1"/>
  <c r="AC5" i="10"/>
  <c r="AC12" i="10"/>
  <c r="AD12" i="10" s="1"/>
  <c r="AC35" i="10"/>
  <c r="AD35" i="10" s="1"/>
  <c r="AC39" i="10"/>
  <c r="AC41" i="10"/>
  <c r="AD41" i="10" s="1"/>
  <c r="AC52" i="10"/>
  <c r="AD52" i="10" s="1"/>
  <c r="AC56" i="10"/>
  <c r="AD56" i="10" s="1"/>
  <c r="AC58" i="10"/>
  <c r="AD58" i="10" s="1"/>
  <c r="AC60" i="10"/>
  <c r="AD60" i="10" s="1"/>
  <c r="AC61" i="10"/>
  <c r="AD61" i="10" s="1"/>
  <c r="AC68" i="10"/>
  <c r="AD68" i="10" s="1"/>
  <c r="X69" i="10"/>
  <c r="V69" i="10"/>
  <c r="AA69" i="10"/>
  <c r="AC77" i="10"/>
  <c r="AD77" i="10" s="1"/>
  <c r="AC81" i="10"/>
  <c r="AD81" i="10" s="1"/>
  <c r="AC88" i="10"/>
  <c r="AD88" i="10" s="1"/>
  <c r="AC89" i="10"/>
  <c r="AD89" i="10" s="1"/>
  <c r="AC96" i="10"/>
  <c r="AC100" i="10"/>
  <c r="AD100" i="10" s="1"/>
  <c r="AC103" i="10"/>
  <c r="AC108" i="10"/>
  <c r="AD108" i="10" s="1"/>
  <c r="AC111" i="10"/>
  <c r="AH113" i="10"/>
  <c r="W113" i="10"/>
  <c r="AC116" i="10"/>
  <c r="Z113" i="10"/>
  <c r="AC138" i="10"/>
  <c r="AD138" i="10" s="1"/>
  <c r="AC161" i="10"/>
  <c r="AD161" i="10" s="1"/>
  <c r="AC187" i="10"/>
  <c r="AD187" i="10" s="1"/>
  <c r="AC188" i="10"/>
  <c r="AC196" i="10"/>
  <c r="AD196" i="10" s="1"/>
  <c r="X3" i="10"/>
  <c r="V3" i="10"/>
  <c r="AC8" i="10"/>
  <c r="AD8" i="10" s="1"/>
  <c r="Z25" i="10"/>
  <c r="AC36" i="10"/>
  <c r="AD36" i="10" s="1"/>
  <c r="AC45" i="10"/>
  <c r="AD45" i="10" s="1"/>
  <c r="AC66" i="10"/>
  <c r="AD66" i="10" s="1"/>
  <c r="Y69" i="10"/>
  <c r="AC73" i="10"/>
  <c r="AD73" i="10" s="1"/>
  <c r="AC78" i="10"/>
  <c r="AC85" i="10"/>
  <c r="AD85" i="10" s="1"/>
  <c r="AA113" i="10"/>
  <c r="AC117" i="10"/>
  <c r="AD117" i="10" s="1"/>
  <c r="AC125" i="10"/>
  <c r="AD125" i="10" s="1"/>
  <c r="AC146" i="10"/>
  <c r="AD146" i="10" s="1"/>
  <c r="AA157" i="10"/>
  <c r="AC163" i="10"/>
  <c r="AD163" i="10" s="1"/>
  <c r="AC172" i="10"/>
  <c r="AD172" i="10" s="1"/>
  <c r="AC176" i="10"/>
  <c r="U179" i="10"/>
  <c r="Z179" i="10"/>
  <c r="AC184" i="10"/>
  <c r="AD184" i="10" s="1"/>
  <c r="AC228" i="10"/>
  <c r="AD228" i="10" s="1"/>
  <c r="Y3" i="10"/>
  <c r="AC6" i="10"/>
  <c r="AD6" i="10" s="1"/>
  <c r="AC9" i="10"/>
  <c r="AD9" i="10" s="1"/>
  <c r="AC10" i="10"/>
  <c r="AD10" i="10" s="1"/>
  <c r="AC20" i="10"/>
  <c r="AC22" i="10"/>
  <c r="AD22" i="10" s="1"/>
  <c r="AC30" i="10"/>
  <c r="AC33" i="10"/>
  <c r="AD33" i="10" s="1"/>
  <c r="AC37" i="10"/>
  <c r="AC49" i="10"/>
  <c r="AC50" i="10"/>
  <c r="AD50" i="10" s="1"/>
  <c r="AC62" i="10"/>
  <c r="AD62" i="10" s="1"/>
  <c r="Z69" i="10"/>
  <c r="AC83" i="10"/>
  <c r="AD83" i="10" s="1"/>
  <c r="AC86" i="10"/>
  <c r="AH91" i="10"/>
  <c r="Y91" i="10"/>
  <c r="AC114" i="10"/>
  <c r="AC121" i="10"/>
  <c r="AD121" i="10" s="1"/>
  <c r="AC126" i="10"/>
  <c r="AD126" i="10" s="1"/>
  <c r="U113" i="10"/>
  <c r="AB157" i="10"/>
  <c r="AC169" i="10"/>
  <c r="AC173" i="10"/>
  <c r="AD173" i="10" s="1"/>
  <c r="AC177" i="10"/>
  <c r="AD177" i="10" s="1"/>
  <c r="AA179" i="10"/>
  <c r="AC183" i="10"/>
  <c r="AC189" i="10"/>
  <c r="AD189" i="10" s="1"/>
  <c r="U201" i="10"/>
  <c r="AC208" i="10"/>
  <c r="AD208" i="10" s="1"/>
  <c r="Z223" i="10"/>
  <c r="U245" i="10"/>
  <c r="AA3" i="10"/>
  <c r="AC13" i="10"/>
  <c r="U25" i="10"/>
  <c r="AC57" i="10"/>
  <c r="Z91" i="10"/>
  <c r="AH93" i="10"/>
  <c r="AC122" i="10"/>
  <c r="AD122" i="10" s="1"/>
  <c r="AC133" i="10"/>
  <c r="AC136" i="10"/>
  <c r="AD136" i="10" s="1"/>
  <c r="AC139" i="10"/>
  <c r="AC153" i="10"/>
  <c r="AD153" i="10" s="1"/>
  <c r="AC166" i="10"/>
  <c r="AD166" i="10" s="1"/>
  <c r="AC178" i="10"/>
  <c r="AD178" i="10" s="1"/>
  <c r="AD7" i="10"/>
  <c r="AC164" i="10"/>
  <c r="AD164" i="10" s="1"/>
  <c r="AC202" i="10"/>
  <c r="AD202" i="10" s="1"/>
  <c r="AC205" i="10"/>
  <c r="AD205" i="10" s="1"/>
  <c r="AC209" i="10"/>
  <c r="AC213" i="10"/>
  <c r="AD213" i="10" s="1"/>
  <c r="AC214" i="10"/>
  <c r="AD214" i="10" s="1"/>
  <c r="AC232" i="10"/>
  <c r="AD232" i="10" s="1"/>
  <c r="AC236" i="10"/>
  <c r="AD236" i="10" s="1"/>
  <c r="AC241" i="10"/>
  <c r="V245" i="10"/>
  <c r="Y289" i="10"/>
  <c r="AC303" i="10"/>
  <c r="AC305" i="10"/>
  <c r="AD305" i="10" s="1"/>
  <c r="AC306" i="10"/>
  <c r="AD306" i="10" s="1"/>
  <c r="AC309" i="10"/>
  <c r="V399" i="10"/>
  <c r="W245" i="10"/>
  <c r="AC247" i="10"/>
  <c r="AD247" i="10" s="1"/>
  <c r="AC251" i="10"/>
  <c r="AD251" i="10" s="1"/>
  <c r="AC260" i="10"/>
  <c r="AD260" i="10" s="1"/>
  <c r="Y267" i="10"/>
  <c r="AC275" i="10"/>
  <c r="AD275" i="10" s="1"/>
  <c r="AC286" i="10"/>
  <c r="AD286" i="10" s="1"/>
  <c r="Z289" i="10"/>
  <c r="AA289" i="10"/>
  <c r="AC299" i="10"/>
  <c r="W311" i="10"/>
  <c r="AC316" i="10"/>
  <c r="AD316" i="10" s="1"/>
  <c r="AC321" i="10"/>
  <c r="AD321" i="10" s="1"/>
  <c r="AC323" i="10"/>
  <c r="AC331" i="10"/>
  <c r="AD331" i="10" s="1"/>
  <c r="W333" i="10"/>
  <c r="AC344" i="10"/>
  <c r="AD344" i="10" s="1"/>
  <c r="AC351" i="10"/>
  <c r="AD351" i="10" s="1"/>
  <c r="Y355" i="10"/>
  <c r="AC359" i="10"/>
  <c r="AD359" i="10" s="1"/>
  <c r="AC362" i="10"/>
  <c r="AD362" i="10" s="1"/>
  <c r="AC372" i="10"/>
  <c r="AD372" i="10" s="1"/>
  <c r="AC454" i="10"/>
  <c r="AC455" i="10"/>
  <c r="AD455" i="10" s="1"/>
  <c r="AC493" i="10"/>
  <c r="AC524" i="10"/>
  <c r="AD524" i="10" s="1"/>
  <c r="AC539" i="10"/>
  <c r="AD539" i="10" s="1"/>
  <c r="W223" i="10"/>
  <c r="AC229" i="10"/>
  <c r="AC233" i="10"/>
  <c r="AD233" i="10" s="1"/>
  <c r="AC238" i="10"/>
  <c r="AC242" i="10"/>
  <c r="AD242" i="10" s="1"/>
  <c r="AH245" i="10"/>
  <c r="X245" i="10"/>
  <c r="AC254" i="10"/>
  <c r="AC255" i="10"/>
  <c r="W267" i="10"/>
  <c r="AC292" i="10"/>
  <c r="AD292" i="10" s="1"/>
  <c r="AB289" i="10"/>
  <c r="W289" i="10"/>
  <c r="AC307" i="10"/>
  <c r="AD307" i="10" s="1"/>
  <c r="AH311" i="10"/>
  <c r="X311" i="10"/>
  <c r="AC324" i="10"/>
  <c r="AD324" i="10" s="1"/>
  <c r="AC332" i="10"/>
  <c r="AD332" i="10" s="1"/>
  <c r="T333" i="10"/>
  <c r="AB333" i="10"/>
  <c r="Z333" i="10"/>
  <c r="AC341" i="10"/>
  <c r="AC348" i="10"/>
  <c r="AC363" i="10"/>
  <c r="AC366" i="10"/>
  <c r="AC369" i="10"/>
  <c r="AD369" i="10" s="1"/>
  <c r="AC373" i="10"/>
  <c r="AD373" i="10" s="1"/>
  <c r="AC382" i="10"/>
  <c r="AC390" i="10"/>
  <c r="AD390" i="10" s="1"/>
  <c r="W399" i="10"/>
  <c r="AC451" i="10"/>
  <c r="AA509" i="10"/>
  <c r="AC220" i="10"/>
  <c r="X223" i="10"/>
  <c r="AC237" i="10"/>
  <c r="AC239" i="10"/>
  <c r="AD239" i="10" s="1"/>
  <c r="AC243" i="10"/>
  <c r="AC257" i="10"/>
  <c r="AD257" i="10" s="1"/>
  <c r="AC277" i="10"/>
  <c r="AD277" i="10" s="1"/>
  <c r="AC283" i="10"/>
  <c r="AD283" i="10" s="1"/>
  <c r="AC296" i="10"/>
  <c r="AD296" i="10" s="1"/>
  <c r="AC300" i="10"/>
  <c r="AD300" i="10" s="1"/>
  <c r="AC317" i="10"/>
  <c r="AD317" i="10" s="1"/>
  <c r="AC325" i="10"/>
  <c r="AD325" i="10" s="1"/>
  <c r="AC329" i="10"/>
  <c r="AD329" i="10" s="1"/>
  <c r="U333" i="10"/>
  <c r="Z355" i="10"/>
  <c r="Y377" i="10"/>
  <c r="AC380" i="10"/>
  <c r="AC383" i="10"/>
  <c r="AD383" i="10" s="1"/>
  <c r="AC395" i="10"/>
  <c r="AD395" i="10" s="1"/>
  <c r="AA399" i="10"/>
  <c r="AC403" i="10"/>
  <c r="AC533" i="10"/>
  <c r="AC175" i="10"/>
  <c r="AD175" i="10" s="1"/>
  <c r="AH179" i="10"/>
  <c r="V179" i="10"/>
  <c r="AC181" i="10"/>
  <c r="AC193" i="10"/>
  <c r="AC197" i="10"/>
  <c r="AD197" i="10" s="1"/>
  <c r="Z201" i="10"/>
  <c r="AC219" i="10"/>
  <c r="AC221" i="10"/>
  <c r="AD221" i="10" s="1"/>
  <c r="AC226" i="10"/>
  <c r="AD226" i="10" s="1"/>
  <c r="AC284" i="10"/>
  <c r="U289" i="10"/>
  <c r="AC291" i="10"/>
  <c r="AC304" i="10"/>
  <c r="AC308" i="10"/>
  <c r="AD308" i="10" s="1"/>
  <c r="Z311" i="10"/>
  <c r="T311" i="10"/>
  <c r="AB311" i="10"/>
  <c r="AC338" i="10"/>
  <c r="AD338" i="10" s="1"/>
  <c r="AC342" i="10"/>
  <c r="AC349" i="10"/>
  <c r="AD349" i="10" s="1"/>
  <c r="AC374" i="10"/>
  <c r="AD374" i="10" s="1"/>
  <c r="AC381" i="10"/>
  <c r="AH381" i="10"/>
  <c r="AC387" i="10"/>
  <c r="AD387" i="10" s="1"/>
  <c r="AC392" i="10"/>
  <c r="AD392" i="10" s="1"/>
  <c r="AC396" i="10"/>
  <c r="AD396" i="10" s="1"/>
  <c r="X487" i="10"/>
  <c r="AC521" i="10"/>
  <c r="AD521" i="10" s="1"/>
  <c r="AC522" i="10"/>
  <c r="AB267" i="10"/>
  <c r="AC318" i="10"/>
  <c r="AC322" i="10"/>
  <c r="AD322" i="10" s="1"/>
  <c r="AC326" i="10"/>
  <c r="AD326" i="10" s="1"/>
  <c r="AC335" i="10"/>
  <c r="AD335" i="10" s="1"/>
  <c r="AC343" i="10"/>
  <c r="AD343" i="10" s="1"/>
  <c r="U355" i="10"/>
  <c r="AC361" i="10"/>
  <c r="AC367" i="10"/>
  <c r="AA377" i="10"/>
  <c r="W377" i="10"/>
  <c r="AC384" i="10"/>
  <c r="AD384" i="10" s="1"/>
  <c r="AC404" i="10"/>
  <c r="AD404" i="10" s="1"/>
  <c r="AC407" i="10"/>
  <c r="AD407" i="10" s="1"/>
  <c r="V421" i="10"/>
  <c r="AC490" i="10"/>
  <c r="AD490" i="10" s="1"/>
  <c r="AB487" i="10"/>
  <c r="AC216" i="10"/>
  <c r="AD216" i="10" s="1"/>
  <c r="AC222" i="10"/>
  <c r="AD222" i="10" s="1"/>
  <c r="AA223" i="10"/>
  <c r="AC227" i="10"/>
  <c r="AC230" i="10"/>
  <c r="AD230" i="10" s="1"/>
  <c r="AC244" i="10"/>
  <c r="AD244" i="10" s="1"/>
  <c r="AC246" i="10"/>
  <c r="AD246" i="10" s="1"/>
  <c r="AB245" i="10"/>
  <c r="AA267" i="10"/>
  <c r="AC301" i="10"/>
  <c r="AD301" i="10" s="1"/>
  <c r="AC302" i="10"/>
  <c r="AC310" i="10"/>
  <c r="AD310" i="10" s="1"/>
  <c r="AC312" i="10"/>
  <c r="AD312" i="10" s="1"/>
  <c r="AC319" i="10"/>
  <c r="AC327" i="10"/>
  <c r="AC336" i="10"/>
  <c r="AA355" i="10"/>
  <c r="AC368" i="10"/>
  <c r="AC375" i="10"/>
  <c r="AC401" i="10"/>
  <c r="AB399" i="10"/>
  <c r="AC412" i="10"/>
  <c r="AD412" i="10" s="1"/>
  <c r="U421" i="10"/>
  <c r="AC433" i="10"/>
  <c r="AD433" i="10" s="1"/>
  <c r="AC440" i="10"/>
  <c r="AD440" i="10" s="1"/>
  <c r="V443" i="10"/>
  <c r="T487" i="10"/>
  <c r="Z509" i="10"/>
  <c r="AC519" i="10"/>
  <c r="AC546" i="10"/>
  <c r="AD546" i="10" s="1"/>
  <c r="AC250" i="10"/>
  <c r="AC270" i="10"/>
  <c r="AC272" i="10"/>
  <c r="AD272" i="10" s="1"/>
  <c r="AC282" i="10"/>
  <c r="AD282" i="10" s="1"/>
  <c r="AC295" i="10"/>
  <c r="AC297" i="10"/>
  <c r="AD297" i="10" s="1"/>
  <c r="AC298" i="10"/>
  <c r="AA311" i="10"/>
  <c r="AC320" i="10"/>
  <c r="AC330" i="10"/>
  <c r="AD330" i="10" s="1"/>
  <c r="W355" i="10"/>
  <c r="AC358" i="10"/>
  <c r="V355" i="10"/>
  <c r="AC371" i="10"/>
  <c r="AC379" i="10"/>
  <c r="Z377" i="10"/>
  <c r="AC393" i="10"/>
  <c r="AD393" i="10" s="1"/>
  <c r="AC464" i="10"/>
  <c r="AD464" i="10" s="1"/>
  <c r="W465" i="10"/>
  <c r="AC496" i="10"/>
  <c r="AD496" i="10" s="1"/>
  <c r="AC556" i="10"/>
  <c r="AC573" i="10"/>
  <c r="AD573" i="10" s="1"/>
  <c r="AA575" i="10"/>
  <c r="AC585" i="10"/>
  <c r="AD585" i="10" s="1"/>
  <c r="AC589" i="10"/>
  <c r="AD589" i="10" s="1"/>
  <c r="AH597" i="10"/>
  <c r="AC609" i="10"/>
  <c r="AD609" i="10" s="1"/>
  <c r="AC612" i="10"/>
  <c r="AD612" i="10" s="1"/>
  <c r="AC376" i="10"/>
  <c r="AD376" i="10" s="1"/>
  <c r="U377" i="10"/>
  <c r="AC388" i="10"/>
  <c r="AD388" i="10" s="1"/>
  <c r="AC391" i="10"/>
  <c r="AC398" i="10"/>
  <c r="AD398" i="10" s="1"/>
  <c r="Z399" i="10"/>
  <c r="AC402" i="10"/>
  <c r="AD402" i="10" s="1"/>
  <c r="AC438" i="10"/>
  <c r="AC445" i="10"/>
  <c r="AC466" i="10"/>
  <c r="AA465" i="10"/>
  <c r="AC485" i="10"/>
  <c r="AD485" i="10" s="1"/>
  <c r="AC491" i="10"/>
  <c r="AC505" i="10"/>
  <c r="X509" i="10"/>
  <c r="AC530" i="10"/>
  <c r="AD530" i="10" s="1"/>
  <c r="T531" i="10"/>
  <c r="X553" i="10"/>
  <c r="AC570" i="10"/>
  <c r="AC592" i="10"/>
  <c r="X597" i="10"/>
  <c r="U597" i="10"/>
  <c r="AC618" i="10"/>
  <c r="AD618" i="10" s="1"/>
  <c r="AC622" i="10"/>
  <c r="AD622" i="10" s="1"/>
  <c r="Z619" i="10"/>
  <c r="AC429" i="10"/>
  <c r="AD429" i="10" s="1"/>
  <c r="AB421" i="10"/>
  <c r="AH443" i="10"/>
  <c r="AC446" i="10"/>
  <c r="AC449" i="10"/>
  <c r="AD449" i="10" s="1"/>
  <c r="AC453" i="10"/>
  <c r="AC462" i="10"/>
  <c r="AD462" i="10" s="1"/>
  <c r="AC477" i="10"/>
  <c r="AC489" i="10"/>
  <c r="AB509" i="10"/>
  <c r="AC528" i="10"/>
  <c r="Y531" i="10"/>
  <c r="AC547" i="10"/>
  <c r="AD547" i="10" s="1"/>
  <c r="AH553" i="10"/>
  <c r="AC559" i="10"/>
  <c r="AD559" i="10" s="1"/>
  <c r="AC562" i="10"/>
  <c r="AD562" i="10" s="1"/>
  <c r="AC576" i="10"/>
  <c r="AD576" i="10" s="1"/>
  <c r="U575" i="10"/>
  <c r="AC595" i="10"/>
  <c r="AD595" i="10" s="1"/>
  <c r="AC602" i="10"/>
  <c r="AD602" i="10" s="1"/>
  <c r="AH619" i="10"/>
  <c r="AH615" i="10" s="1"/>
  <c r="AC620" i="10"/>
  <c r="AC419" i="10"/>
  <c r="AD419" i="10" s="1"/>
  <c r="W443" i="10"/>
  <c r="AC450" i="10"/>
  <c r="AD450" i="10" s="1"/>
  <c r="AC475" i="10"/>
  <c r="AC478" i="10"/>
  <c r="V487" i="10"/>
  <c r="AC508" i="10"/>
  <c r="AD508" i="10" s="1"/>
  <c r="AC523" i="10"/>
  <c r="AD523" i="10" s="1"/>
  <c r="W597" i="10"/>
  <c r="AC600" i="10"/>
  <c r="AD600" i="10" s="1"/>
  <c r="AC614" i="10"/>
  <c r="AD614" i="10" s="1"/>
  <c r="AC616" i="10"/>
  <c r="AD616" i="10" s="1"/>
  <c r="V619" i="10"/>
  <c r="AC623" i="10"/>
  <c r="AD623" i="10" s="1"/>
  <c r="AC624" i="10"/>
  <c r="AD624" i="10" s="1"/>
  <c r="AC627" i="10"/>
  <c r="AC629" i="10"/>
  <c r="AC350" i="10"/>
  <c r="AD350" i="10" s="1"/>
  <c r="AB355" i="10"/>
  <c r="AC360" i="10"/>
  <c r="AD360" i="10" s="1"/>
  <c r="AC370" i="10"/>
  <c r="AD370" i="10" s="1"/>
  <c r="AC386" i="10"/>
  <c r="U399" i="10"/>
  <c r="AC411" i="10"/>
  <c r="AD411" i="10" s="1"/>
  <c r="AC422" i="10"/>
  <c r="AA421" i="10"/>
  <c r="AC425" i="10"/>
  <c r="AD425" i="10" s="1"/>
  <c r="AC426" i="10"/>
  <c r="AD426" i="10" s="1"/>
  <c r="AC436" i="10"/>
  <c r="AC457" i="10"/>
  <c r="AH487" i="10"/>
  <c r="Y487" i="10"/>
  <c r="AC495" i="10"/>
  <c r="AD495" i="10" s="1"/>
  <c r="AC501" i="10"/>
  <c r="AD501" i="10" s="1"/>
  <c r="AC506" i="10"/>
  <c r="AD506" i="10" s="1"/>
  <c r="Y509" i="10"/>
  <c r="Z531" i="10"/>
  <c r="Z553" i="10"/>
  <c r="AC560" i="10"/>
  <c r="AD560" i="10" s="1"/>
  <c r="Z575" i="10"/>
  <c r="W619" i="10"/>
  <c r="AC625" i="10"/>
  <c r="AC587" i="10"/>
  <c r="AB597" i="10"/>
  <c r="AC615" i="10"/>
  <c r="X619" i="10"/>
  <c r="AC555" i="10"/>
  <c r="T597" i="10"/>
  <c r="AC604" i="10"/>
  <c r="AD604" i="10" s="1"/>
  <c r="AC617" i="10"/>
  <c r="U619" i="10"/>
  <c r="AC621" i="10"/>
  <c r="AD621" i="10" s="1"/>
  <c r="AC626" i="10"/>
  <c r="AD626" i="10" s="1"/>
  <c r="AC630" i="10"/>
  <c r="AD630" i="10" s="1"/>
  <c r="AC469" i="10"/>
  <c r="AD469" i="10" s="1"/>
  <c r="AA487" i="10"/>
  <c r="AC494" i="10"/>
  <c r="AD494" i="10" s="1"/>
  <c r="AC497" i="10"/>
  <c r="AD497" i="10" s="1"/>
  <c r="AC498" i="10"/>
  <c r="AD498" i="10" s="1"/>
  <c r="AH509" i="10"/>
  <c r="V509" i="10"/>
  <c r="AC512" i="10"/>
  <c r="AC515" i="10"/>
  <c r="AD515" i="10" s="1"/>
  <c r="AC527" i="10"/>
  <c r="AC543" i="10"/>
  <c r="U531" i="10"/>
  <c r="V553" i="10"/>
  <c r="AC566" i="10"/>
  <c r="AD566" i="10" s="1"/>
  <c r="AH575" i="10"/>
  <c r="AH561" i="10" s="1"/>
  <c r="AC577" i="10"/>
  <c r="AD577" i="10" s="1"/>
  <c r="AC591" i="10"/>
  <c r="AC594" i="10"/>
  <c r="AD594" i="10" s="1"/>
  <c r="V597" i="10"/>
  <c r="Y619" i="10"/>
  <c r="AC628" i="10"/>
  <c r="AC685" i="10"/>
  <c r="AD11" i="10"/>
  <c r="AD14" i="10"/>
  <c r="AD16" i="10"/>
  <c r="AD27" i="10"/>
  <c r="AD28" i="10"/>
  <c r="AD34" i="10"/>
  <c r="AD38" i="10"/>
  <c r="AD46" i="10"/>
  <c r="AD51" i="10"/>
  <c r="AD53" i="10"/>
  <c r="AD54" i="10"/>
  <c r="AD59" i="10"/>
  <c r="AD63" i="10"/>
  <c r="AD70" i="10"/>
  <c r="AD74" i="10"/>
  <c r="T47" i="10"/>
  <c r="AC79" i="10"/>
  <c r="AC109" i="10"/>
  <c r="AC129" i="10"/>
  <c r="X135" i="10"/>
  <c r="AB135" i="10"/>
  <c r="AC145" i="10"/>
  <c r="AC29" i="10"/>
  <c r="U47" i="10"/>
  <c r="AC90" i="10"/>
  <c r="U91" i="10"/>
  <c r="AC95" i="10"/>
  <c r="Y113" i="10"/>
  <c r="AC127" i="10"/>
  <c r="AC131" i="10"/>
  <c r="Z135" i="10"/>
  <c r="AC141" i="10"/>
  <c r="AD150" i="10"/>
  <c r="AC156" i="10"/>
  <c r="AC160" i="10"/>
  <c r="AD97" i="10"/>
  <c r="W91" i="10"/>
  <c r="AC98" i="10"/>
  <c r="AC105" i="10"/>
  <c r="AC132" i="10"/>
  <c r="AA135" i="10"/>
  <c r="AC151" i="10"/>
  <c r="AC158" i="10"/>
  <c r="AC99" i="10"/>
  <c r="AC26" i="10"/>
  <c r="T69" i="10"/>
  <c r="AC80" i="10"/>
  <c r="AC87" i="10"/>
  <c r="AD134" i="10"/>
  <c r="U135" i="10"/>
  <c r="AD137" i="10"/>
  <c r="AC142" i="10"/>
  <c r="AA91" i="10"/>
  <c r="AC101" i="10"/>
  <c r="AC106" i="10"/>
  <c r="AC112" i="10"/>
  <c r="AC118" i="10"/>
  <c r="AC140" i="10"/>
  <c r="AC143" i="10"/>
  <c r="AC148" i="10"/>
  <c r="AC155" i="10"/>
  <c r="W157" i="10"/>
  <c r="AC82" i="10"/>
  <c r="AC92" i="10"/>
  <c r="AC94" i="10"/>
  <c r="T91" i="10"/>
  <c r="AB91" i="10"/>
  <c r="AC104" i="10"/>
  <c r="AC107" i="10"/>
  <c r="V113" i="10"/>
  <c r="X113" i="10"/>
  <c r="AC119" i="10"/>
  <c r="AC124" i="10"/>
  <c r="AC130" i="10"/>
  <c r="W135" i="10"/>
  <c r="AC144" i="10"/>
  <c r="AC159" i="10"/>
  <c r="AD162" i="10"/>
  <c r="T135" i="10"/>
  <c r="AD180" i="10"/>
  <c r="AD185" i="10"/>
  <c r="AC115" i="10"/>
  <c r="AD234" i="10"/>
  <c r="AD240" i="10"/>
  <c r="AD261" i="10"/>
  <c r="AD265" i="10"/>
  <c r="T157" i="10"/>
  <c r="AC170" i="10"/>
  <c r="AD212" i="10"/>
  <c r="AD224" i="10"/>
  <c r="AD231" i="10"/>
  <c r="AC174" i="10"/>
  <c r="AD217" i="10"/>
  <c r="AD218" i="10"/>
  <c r="AC204" i="10"/>
  <c r="AD274" i="10"/>
  <c r="AH183" i="10"/>
  <c r="AH201" i="10"/>
  <c r="AC203" i="10"/>
  <c r="AC249" i="10"/>
  <c r="AC263" i="10"/>
  <c r="AC279" i="10"/>
  <c r="AC280" i="10"/>
  <c r="T245" i="10"/>
  <c r="AC252" i="10"/>
  <c r="AC258" i="10"/>
  <c r="AC266" i="10"/>
  <c r="AC273" i="10"/>
  <c r="AC256" i="10"/>
  <c r="AC264" i="10"/>
  <c r="Z267" i="10"/>
  <c r="AC281" i="10"/>
  <c r="AD285" i="10"/>
  <c r="AD287" i="10"/>
  <c r="AD288" i="10"/>
  <c r="AD293" i="10"/>
  <c r="AD294" i="10"/>
  <c r="AC259" i="10"/>
  <c r="AC268" i="10"/>
  <c r="AC271" i="10"/>
  <c r="AC278" i="10"/>
  <c r="V267" i="10"/>
  <c r="T223" i="10"/>
  <c r="AC248" i="10"/>
  <c r="AC253" i="10"/>
  <c r="AC262" i="10"/>
  <c r="AC269" i="10"/>
  <c r="AC276" i="10"/>
  <c r="AD313" i="10"/>
  <c r="AD315" i="10"/>
  <c r="AD328" i="10"/>
  <c r="AD337" i="10"/>
  <c r="AD339" i="10"/>
  <c r="V333" i="10"/>
  <c r="AC345" i="10"/>
  <c r="AC346" i="10"/>
  <c r="AD364" i="10"/>
  <c r="AD405" i="10"/>
  <c r="T289" i="10"/>
  <c r="AC290" i="10"/>
  <c r="AD365" i="10"/>
  <c r="AC314" i="10"/>
  <c r="AC334" i="10"/>
  <c r="AC340" i="10"/>
  <c r="AC347" i="10"/>
  <c r="AD385" i="10"/>
  <c r="AC353" i="10"/>
  <c r="AC356" i="10"/>
  <c r="AD389" i="10"/>
  <c r="AD430" i="10"/>
  <c r="AC354" i="10"/>
  <c r="AC357" i="10"/>
  <c r="AD394" i="10"/>
  <c r="AC352" i="10"/>
  <c r="AD397" i="10"/>
  <c r="AD418" i="10"/>
  <c r="AD437" i="10"/>
  <c r="AC378" i="10"/>
  <c r="AC400" i="10"/>
  <c r="AD410" i="10"/>
  <c r="AC472" i="10"/>
  <c r="AD480" i="10"/>
  <c r="AC424" i="10"/>
  <c r="AC427" i="10"/>
  <c r="AC432" i="10"/>
  <c r="AC435" i="10"/>
  <c r="AC441" i="10"/>
  <c r="AC444" i="10"/>
  <c r="AB443" i="10"/>
  <c r="X465" i="10"/>
  <c r="AC467" i="10"/>
  <c r="AC471" i="10"/>
  <c r="AC481" i="10"/>
  <c r="AC406" i="10"/>
  <c r="Y421" i="10"/>
  <c r="AC428" i="10"/>
  <c r="AA443" i="10"/>
  <c r="U443" i="10"/>
  <c r="AC447" i="10"/>
  <c r="AC458" i="10"/>
  <c r="AC459" i="10"/>
  <c r="T465" i="10"/>
  <c r="AB465" i="10"/>
  <c r="Y465" i="10"/>
  <c r="AC473" i="10"/>
  <c r="AH489" i="10"/>
  <c r="AD580" i="10"/>
  <c r="AD583" i="10"/>
  <c r="AC408" i="10"/>
  <c r="AC439" i="10"/>
  <c r="AC442" i="10"/>
  <c r="AD518" i="10"/>
  <c r="AD557" i="10"/>
  <c r="T355" i="10"/>
  <c r="T399" i="10"/>
  <c r="AC413" i="10"/>
  <c r="AC415" i="10"/>
  <c r="AD448" i="10"/>
  <c r="AC456" i="10"/>
  <c r="AC474" i="10"/>
  <c r="AC572" i="10"/>
  <c r="T553" i="10"/>
  <c r="AD590" i="10"/>
  <c r="AC416" i="10"/>
  <c r="T421" i="10"/>
  <c r="X421" i="10"/>
  <c r="AC452" i="10"/>
  <c r="AC460" i="10"/>
  <c r="AC463" i="10"/>
  <c r="AC483" i="10"/>
  <c r="W531" i="10"/>
  <c r="AC423" i="10"/>
  <c r="AC431" i="10"/>
  <c r="AD461" i="10"/>
  <c r="AC470" i="10"/>
  <c r="AD476" i="10"/>
  <c r="AC486" i="10"/>
  <c r="AD534" i="10"/>
  <c r="AC409" i="10"/>
  <c r="AC414" i="10"/>
  <c r="AC417" i="10"/>
  <c r="AC420" i="10"/>
  <c r="Z421" i="10"/>
  <c r="AC434" i="10"/>
  <c r="Z443" i="10"/>
  <c r="V465" i="10"/>
  <c r="AC482" i="10"/>
  <c r="AC484" i="10"/>
  <c r="AC502" i="10"/>
  <c r="X531" i="10"/>
  <c r="AC542" i="10"/>
  <c r="AC545" i="10"/>
  <c r="AC551" i="10"/>
  <c r="Y553" i="10"/>
  <c r="AC565" i="10"/>
  <c r="AC503" i="10"/>
  <c r="AC548" i="10"/>
  <c r="AC552" i="10"/>
  <c r="AC574" i="10"/>
  <c r="T443" i="10"/>
  <c r="AC499" i="10"/>
  <c r="U509" i="10"/>
  <c r="AC510" i="10"/>
  <c r="AC513" i="10"/>
  <c r="AC526" i="10"/>
  <c r="AC536" i="10"/>
  <c r="AC479" i="10"/>
  <c r="U487" i="10"/>
  <c r="AC488" i="10"/>
  <c r="Z487" i="10"/>
  <c r="AC500" i="10"/>
  <c r="AA531" i="10"/>
  <c r="AC537" i="10"/>
  <c r="T575" i="10"/>
  <c r="AC582" i="10"/>
  <c r="AC468" i="10"/>
  <c r="AC492" i="10"/>
  <c r="W509" i="10"/>
  <c r="T509" i="10"/>
  <c r="AC514" i="10"/>
  <c r="AC516" i="10"/>
  <c r="AC529" i="10"/>
  <c r="AC532" i="10"/>
  <c r="AD538" i="10"/>
  <c r="AC567" i="10"/>
  <c r="W487" i="10"/>
  <c r="AC504" i="10"/>
  <c r="AC540" i="10"/>
  <c r="AC549" i="10"/>
  <c r="AB553" i="10"/>
  <c r="AA553" i="10"/>
  <c r="AC558" i="10"/>
  <c r="AD563" i="10"/>
  <c r="AC564" i="10"/>
  <c r="AC571" i="10"/>
  <c r="AC511" i="10"/>
  <c r="AC520" i="10"/>
  <c r="V531" i="10"/>
  <c r="AC541" i="10"/>
  <c r="AC544" i="10"/>
  <c r="W553" i="10"/>
  <c r="AC578" i="10"/>
  <c r="AC561" i="10"/>
  <c r="AC569" i="10"/>
  <c r="AC588" i="10"/>
  <c r="AC584" i="10"/>
  <c r="AC517" i="10"/>
  <c r="AC550" i="10"/>
  <c r="AH579" i="10"/>
  <c r="AC581" i="10"/>
  <c r="AC586" i="10"/>
  <c r="AC507" i="10"/>
  <c r="AC568" i="10"/>
  <c r="AC579" i="10"/>
  <c r="AD607" i="10"/>
  <c r="AD610" i="10"/>
  <c r="AC525" i="10"/>
  <c r="AC593" i="10"/>
  <c r="AC535" i="10"/>
  <c r="U553" i="10"/>
  <c r="AC554" i="10"/>
  <c r="X575" i="10"/>
  <c r="Y575" i="10"/>
  <c r="AC603" i="10"/>
  <c r="AD631" i="10"/>
  <c r="AD632" i="10"/>
  <c r="AD634" i="10"/>
  <c r="AD636" i="10"/>
  <c r="AA597" i="10"/>
  <c r="AC599" i="10"/>
  <c r="AC606" i="10"/>
  <c r="AD639" i="10"/>
  <c r="AD650" i="10"/>
  <c r="AC598" i="10"/>
  <c r="AD640" i="10"/>
  <c r="AD647" i="10"/>
  <c r="AC613" i="10"/>
  <c r="AD635" i="10"/>
  <c r="AD642" i="10"/>
  <c r="AD637" i="10"/>
  <c r="AD643" i="10"/>
  <c r="AC596" i="10"/>
  <c r="AC601" i="10"/>
  <c r="AC611" i="10"/>
  <c r="AD648" i="10"/>
  <c r="AC729" i="10"/>
  <c r="AC605" i="10"/>
  <c r="AD608" i="10"/>
  <c r="AD638" i="10"/>
  <c r="AD646" i="10"/>
  <c r="AD649" i="10"/>
  <c r="AC666" i="10"/>
  <c r="AC663" i="10" s="1"/>
  <c r="T729" i="10"/>
  <c r="AC757" i="10"/>
  <c r="AC776" i="10"/>
  <c r="AC645" i="10"/>
  <c r="T663" i="10"/>
  <c r="AC644" i="10"/>
  <c r="AC709" i="10"/>
  <c r="AC707" i="10" s="1"/>
  <c r="AC774" i="10"/>
  <c r="T707" i="10"/>
  <c r="AC752" i="10"/>
  <c r="T685" i="10"/>
  <c r="Z1" i="10" l="1"/>
  <c r="W1" i="10"/>
  <c r="Y1" i="10"/>
  <c r="V1" i="10"/>
  <c r="AB1" i="10"/>
  <c r="U1" i="10"/>
  <c r="X1" i="10"/>
  <c r="T1" i="10"/>
  <c r="AA1" i="10"/>
  <c r="B49" i="12"/>
  <c r="B81" i="12"/>
  <c r="D28" i="12"/>
  <c r="D14" i="12"/>
  <c r="D11" i="12"/>
  <c r="D20" i="12"/>
  <c r="D17" i="12"/>
  <c r="D4" i="12"/>
  <c r="D16" i="12"/>
  <c r="D13" i="12"/>
  <c r="D22" i="12"/>
  <c r="D21" i="12"/>
  <c r="D29" i="12"/>
  <c r="D10" i="12"/>
  <c r="D7" i="12"/>
  <c r="D6" i="12"/>
  <c r="D3" i="12"/>
  <c r="D2" i="12"/>
  <c r="D23" i="12"/>
  <c r="D12" i="12"/>
  <c r="D9" i="12"/>
  <c r="D8" i="12"/>
  <c r="D5" i="12"/>
  <c r="D18" i="12"/>
  <c r="D24" i="12"/>
  <c r="D19" i="12"/>
  <c r="D26" i="12"/>
  <c r="D15" i="12"/>
  <c r="D25" i="12"/>
  <c r="F30" i="12"/>
  <c r="G30" i="12" s="1"/>
  <c r="H30" i="12" s="1"/>
  <c r="I30" i="12" s="1"/>
  <c r="J30" i="12" s="1"/>
  <c r="K30" i="12" s="1"/>
  <c r="L30" i="12" s="1"/>
  <c r="M30" i="12" s="1"/>
  <c r="N30" i="12" s="1"/>
  <c r="O30" i="12" s="1"/>
  <c r="E31" i="12"/>
  <c r="E27" i="12" s="1"/>
  <c r="E71" i="12" s="1"/>
  <c r="E102" i="12" s="1"/>
  <c r="E38" i="12"/>
  <c r="E39" i="12" s="1"/>
  <c r="AH507" i="10"/>
  <c r="AD49" i="10"/>
  <c r="AD533" i="10"/>
  <c r="AD367" i="10"/>
  <c r="AD303" i="10"/>
  <c r="AD319" i="10"/>
  <c r="AD168" i="10"/>
  <c r="AD13" i="10"/>
  <c r="AD181" i="10"/>
  <c r="AD19" i="10"/>
  <c r="AD556" i="10"/>
  <c r="AD299" i="10"/>
  <c r="AD320" i="10"/>
  <c r="AD71" i="10"/>
  <c r="AD270" i="10"/>
  <c r="AH219" i="10"/>
  <c r="AD188" i="10"/>
  <c r="AH147" i="10"/>
  <c r="AD379" i="10"/>
  <c r="AH453" i="10"/>
  <c r="AH39" i="10"/>
  <c r="AH327" i="10"/>
  <c r="AH129" i="10"/>
  <c r="AH525" i="10"/>
  <c r="AH255" i="10"/>
  <c r="AD386" i="10"/>
  <c r="AD438" i="10"/>
  <c r="AH3" i="10"/>
  <c r="AH57" i="10"/>
  <c r="AH417" i="10"/>
  <c r="AH111" i="10"/>
  <c r="AH345" i="10"/>
  <c r="AD451" i="10"/>
  <c r="AH471" i="10"/>
  <c r="AH435" i="10"/>
  <c r="AD78" i="10"/>
  <c r="AH21" i="10"/>
  <c r="AD341" i="10"/>
  <c r="AD625" i="10"/>
  <c r="AD555" i="10"/>
  <c r="AD592" i="10"/>
  <c r="AD493" i="10"/>
  <c r="AD295" i="10"/>
  <c r="AD284" i="10"/>
  <c r="AD199" i="10"/>
  <c r="AD241" i="10"/>
  <c r="AD193" i="10"/>
  <c r="AD243" i="10"/>
  <c r="AD229" i="10"/>
  <c r="AD169" i="10"/>
  <c r="AC311" i="10"/>
  <c r="AD311" i="10" s="1"/>
  <c r="AD368" i="10"/>
  <c r="AD133" i="10"/>
  <c r="AD527" i="10"/>
  <c r="AD627" i="10"/>
  <c r="AD445" i="10"/>
  <c r="AD477" i="10"/>
  <c r="AD302" i="10"/>
  <c r="AD195" i="10"/>
  <c r="AD254" i="10"/>
  <c r="AD18" i="10"/>
  <c r="AD617" i="10"/>
  <c r="AH543" i="10"/>
  <c r="AD382" i="10"/>
  <c r="AD375" i="10"/>
  <c r="AD342" i="10"/>
  <c r="AD210" i="10"/>
  <c r="AD209" i="10"/>
  <c r="AD30" i="10"/>
  <c r="AD23" i="10"/>
  <c r="AD620" i="10"/>
  <c r="AD403" i="10"/>
  <c r="AH309" i="10"/>
  <c r="AD114" i="10"/>
  <c r="AD139" i="10"/>
  <c r="AD103" i="10"/>
  <c r="AD250" i="10"/>
  <c r="AD238" i="10"/>
  <c r="AC773" i="10"/>
  <c r="AC223" i="10"/>
  <c r="AD436" i="10"/>
  <c r="AD336" i="10"/>
  <c r="AD587" i="10"/>
  <c r="AD323" i="10"/>
  <c r="AD200" i="10"/>
  <c r="AD31" i="10"/>
  <c r="AD522" i="10"/>
  <c r="AD491" i="10"/>
  <c r="AD446" i="10"/>
  <c r="AD475" i="10"/>
  <c r="AD348" i="10"/>
  <c r="AD37" i="10"/>
  <c r="AD466" i="10"/>
  <c r="AD225" i="10"/>
  <c r="AD5" i="10"/>
  <c r="AD24" i="10"/>
  <c r="AC179" i="10"/>
  <c r="AD179" i="10" s="1"/>
  <c r="AD628" i="10"/>
  <c r="AD358" i="10"/>
  <c r="AD361" i="10"/>
  <c r="AD298" i="10"/>
  <c r="AC619" i="10"/>
  <c r="AD619" i="10" s="1"/>
  <c r="AD176" i="10"/>
  <c r="AD629" i="10"/>
  <c r="AD380" i="10"/>
  <c r="AD318" i="10"/>
  <c r="AD304" i="10"/>
  <c r="AC69" i="10"/>
  <c r="AD69" i="10" s="1"/>
  <c r="AD86" i="10"/>
  <c r="AD454" i="10"/>
  <c r="AD192" i="10"/>
  <c r="AD227" i="10"/>
  <c r="AH237" i="10"/>
  <c r="AD96" i="10"/>
  <c r="AD478" i="10"/>
  <c r="AD366" i="10"/>
  <c r="AD20" i="10"/>
  <c r="AC47" i="10"/>
  <c r="AD505" i="10"/>
  <c r="AC421" i="10"/>
  <c r="AD421" i="10" s="1"/>
  <c r="AD391" i="10"/>
  <c r="AD371" i="10"/>
  <c r="AD220" i="10"/>
  <c r="AD48" i="10"/>
  <c r="AD591" i="10"/>
  <c r="AD512" i="10"/>
  <c r="AD401" i="10"/>
  <c r="AD422" i="10"/>
  <c r="AD528" i="10"/>
  <c r="AD519" i="10"/>
  <c r="AD116" i="10"/>
  <c r="AH165" i="10"/>
  <c r="AD457" i="10"/>
  <c r="AC751" i="10"/>
  <c r="AD570" i="10"/>
  <c r="AH75" i="10"/>
  <c r="AD644" i="10"/>
  <c r="AD611" i="10"/>
  <c r="AD603" i="10"/>
  <c r="AD578" i="10"/>
  <c r="AD571" i="10"/>
  <c r="AD532" i="10"/>
  <c r="AC531" i="10"/>
  <c r="AD468" i="10"/>
  <c r="AD420" i="10"/>
  <c r="AD413" i="10"/>
  <c r="AD473" i="10"/>
  <c r="AD481" i="10"/>
  <c r="AD444" i="10"/>
  <c r="AC443" i="10"/>
  <c r="AD424" i="10"/>
  <c r="AD472" i="10"/>
  <c r="AD354" i="10"/>
  <c r="AD276" i="10"/>
  <c r="AD144" i="10"/>
  <c r="AD124" i="10"/>
  <c r="AD118" i="10"/>
  <c r="AD87" i="10"/>
  <c r="AD98" i="10"/>
  <c r="AD160" i="10"/>
  <c r="AD95" i="10"/>
  <c r="AD564" i="10"/>
  <c r="AD567" i="10"/>
  <c r="AD574" i="10"/>
  <c r="AD548" i="10"/>
  <c r="AD551" i="10"/>
  <c r="AD470" i="10"/>
  <c r="AD431" i="10"/>
  <c r="AD483" i="10"/>
  <c r="AD416" i="10"/>
  <c r="AD456" i="10"/>
  <c r="AD406" i="10"/>
  <c r="AD441" i="10"/>
  <c r="AD347" i="10"/>
  <c r="AD334" i="10"/>
  <c r="AC333" i="10"/>
  <c r="AD269" i="10"/>
  <c r="AD271" i="10"/>
  <c r="AD263" i="10"/>
  <c r="AD119" i="10"/>
  <c r="AD148" i="10"/>
  <c r="AD80" i="10"/>
  <c r="AD132" i="10"/>
  <c r="AD156" i="10"/>
  <c r="AD131" i="10"/>
  <c r="AD645" i="10"/>
  <c r="AD605" i="10"/>
  <c r="AD601" i="10"/>
  <c r="AD613" i="10"/>
  <c r="AC597" i="10"/>
  <c r="AD598" i="10"/>
  <c r="AD568" i="10"/>
  <c r="AC575" i="10"/>
  <c r="AD520" i="10"/>
  <c r="AD504" i="10"/>
  <c r="AD529" i="10"/>
  <c r="AD536" i="10"/>
  <c r="AD565" i="10"/>
  <c r="AD545" i="10"/>
  <c r="AD484" i="10"/>
  <c r="AD434" i="10"/>
  <c r="AD452" i="10"/>
  <c r="AD442" i="10"/>
  <c r="AD262" i="10"/>
  <c r="AD268" i="10"/>
  <c r="AC267" i="10"/>
  <c r="AD281" i="10"/>
  <c r="AD204" i="10"/>
  <c r="AD115" i="10"/>
  <c r="AD94" i="10"/>
  <c r="AD143" i="10"/>
  <c r="AD112" i="10"/>
  <c r="AD142" i="10"/>
  <c r="AD554" i="10"/>
  <c r="AC553" i="10"/>
  <c r="AD550" i="10"/>
  <c r="AD511" i="10"/>
  <c r="AD549" i="10"/>
  <c r="AD492" i="10"/>
  <c r="AD488" i="10"/>
  <c r="AC487" i="10"/>
  <c r="AD526" i="10"/>
  <c r="AD482" i="10"/>
  <c r="AD414" i="10"/>
  <c r="AD423" i="10"/>
  <c r="AD439" i="10"/>
  <c r="AD356" i="10"/>
  <c r="AC355" i="10"/>
  <c r="AD259" i="10"/>
  <c r="AD258" i="10"/>
  <c r="AD249" i="10"/>
  <c r="AD170" i="10"/>
  <c r="AD92" i="10"/>
  <c r="AC91" i="10"/>
  <c r="AD140" i="10"/>
  <c r="AD106" i="10"/>
  <c r="AD127" i="10"/>
  <c r="AD29" i="10"/>
  <c r="AC3" i="10"/>
  <c r="AD4" i="10"/>
  <c r="AD596" i="10"/>
  <c r="AD606" i="10"/>
  <c r="AD584" i="10"/>
  <c r="AD544" i="10"/>
  <c r="AD540" i="10"/>
  <c r="AD516" i="10"/>
  <c r="AD582" i="10"/>
  <c r="AD499" i="10"/>
  <c r="AD542" i="10"/>
  <c r="AD409" i="10"/>
  <c r="AD408" i="10"/>
  <c r="AD459" i="10"/>
  <c r="AD467" i="10"/>
  <c r="AD353" i="10"/>
  <c r="AD340" i="10"/>
  <c r="AD314" i="10"/>
  <c r="AD290" i="10"/>
  <c r="AC289" i="10"/>
  <c r="AD346" i="10"/>
  <c r="AD203" i="10"/>
  <c r="AD174" i="10"/>
  <c r="AC201" i="10"/>
  <c r="AD82" i="10"/>
  <c r="AD101" i="10"/>
  <c r="AC135" i="10"/>
  <c r="AD90" i="10"/>
  <c r="AD79" i="10"/>
  <c r="AD599" i="10"/>
  <c r="AD535" i="10"/>
  <c r="AD586" i="10"/>
  <c r="AD588" i="10"/>
  <c r="AD541" i="10"/>
  <c r="AD514" i="10"/>
  <c r="AC465" i="10"/>
  <c r="AD458" i="10"/>
  <c r="AD428" i="10"/>
  <c r="AD352" i="10"/>
  <c r="AD253" i="10"/>
  <c r="AD264" i="10"/>
  <c r="AD280" i="10"/>
  <c r="AD107" i="10"/>
  <c r="AD155" i="10"/>
  <c r="AC113" i="10"/>
  <c r="AD145" i="10"/>
  <c r="AD593" i="10"/>
  <c r="AD581" i="10"/>
  <c r="AD517" i="10"/>
  <c r="AD558" i="10"/>
  <c r="AD537" i="10"/>
  <c r="AD500" i="10"/>
  <c r="AD479" i="10"/>
  <c r="AD513" i="10"/>
  <c r="AD552" i="10"/>
  <c r="AD502" i="10"/>
  <c r="AD486" i="10"/>
  <c r="AD463" i="10"/>
  <c r="AD572" i="10"/>
  <c r="AD432" i="10"/>
  <c r="AC399" i="10"/>
  <c r="AD400" i="10"/>
  <c r="AD248" i="10"/>
  <c r="AD278" i="10"/>
  <c r="AD256" i="10"/>
  <c r="AD279" i="10"/>
  <c r="AC245" i="10"/>
  <c r="AD159" i="10"/>
  <c r="AD104" i="10"/>
  <c r="AD26" i="10"/>
  <c r="AC25" i="10"/>
  <c r="AD99" i="10"/>
  <c r="AD158" i="10"/>
  <c r="AC157" i="10"/>
  <c r="AD109" i="10"/>
  <c r="AC641" i="10"/>
  <c r="AD569" i="10"/>
  <c r="AD510" i="10"/>
  <c r="AC509" i="10"/>
  <c r="AD503" i="10"/>
  <c r="AD460" i="10"/>
  <c r="AD474" i="10"/>
  <c r="AD415" i="10"/>
  <c r="AD447" i="10"/>
  <c r="AD427" i="10"/>
  <c r="AD378" i="10"/>
  <c r="AC377" i="10"/>
  <c r="AD357" i="10"/>
  <c r="AD266" i="10"/>
  <c r="AD252" i="10"/>
  <c r="AD130" i="10"/>
  <c r="AD151" i="10"/>
  <c r="AD105" i="10"/>
  <c r="AD141" i="10"/>
  <c r="B50" i="12" l="1"/>
  <c r="B82" i="12"/>
  <c r="D58" i="12"/>
  <c r="D89" i="12" s="1"/>
  <c r="E14" i="12"/>
  <c r="F38" i="12"/>
  <c r="F39" i="12" s="1"/>
  <c r="F31" i="12"/>
  <c r="F27" i="12" s="1"/>
  <c r="F71" i="12" s="1"/>
  <c r="F102" i="12" s="1"/>
  <c r="D65" i="12"/>
  <c r="D96" i="12" s="1"/>
  <c r="E21" i="12"/>
  <c r="D67" i="12"/>
  <c r="D98" i="12" s="1"/>
  <c r="E23" i="12"/>
  <c r="D46" i="12"/>
  <c r="E2" i="12"/>
  <c r="D72" i="12"/>
  <c r="D103" i="12" s="1"/>
  <c r="E28" i="12"/>
  <c r="E3" i="12"/>
  <c r="D47" i="12"/>
  <c r="D78" i="12" s="1"/>
  <c r="D57" i="12"/>
  <c r="D88" i="12" s="1"/>
  <c r="E13" i="12"/>
  <c r="D59" i="12"/>
  <c r="D90" i="12" s="1"/>
  <c r="E15" i="12"/>
  <c r="D49" i="12"/>
  <c r="D80" i="12" s="1"/>
  <c r="E5" i="12"/>
  <c r="E7" i="12"/>
  <c r="D51" i="12"/>
  <c r="D82" i="12" s="1"/>
  <c r="D60" i="12"/>
  <c r="D91" i="12" s="1"/>
  <c r="E16" i="12"/>
  <c r="D56" i="12"/>
  <c r="D87" i="12" s="1"/>
  <c r="E12" i="12"/>
  <c r="E11" i="12"/>
  <c r="D55" i="12"/>
  <c r="D86" i="12" s="1"/>
  <c r="D68" i="12"/>
  <c r="D99" i="12" s="1"/>
  <c r="E24" i="12"/>
  <c r="D66" i="12"/>
  <c r="D97" i="12" s="1"/>
  <c r="E22" i="12"/>
  <c r="D48" i="12"/>
  <c r="D79" i="12" s="1"/>
  <c r="E4" i="12"/>
  <c r="D69" i="12"/>
  <c r="D100" i="12" s="1"/>
  <c r="E25" i="12"/>
  <c r="E18" i="12"/>
  <c r="D62" i="12"/>
  <c r="D93" i="12" s="1"/>
  <c r="E32" i="12"/>
  <c r="E34" i="12" s="1"/>
  <c r="E35" i="12" s="1"/>
  <c r="E17" i="12"/>
  <c r="D61" i="12"/>
  <c r="D92" i="12" s="1"/>
  <c r="D50" i="12"/>
  <c r="D81" i="12" s="1"/>
  <c r="E6" i="12"/>
  <c r="D64" i="12"/>
  <c r="D95" i="12" s="1"/>
  <c r="E20" i="12"/>
  <c r="D70" i="12"/>
  <c r="D101" i="12" s="1"/>
  <c r="E26" i="12"/>
  <c r="D52" i="12"/>
  <c r="D83" i="12" s="1"/>
  <c r="E8" i="12"/>
  <c r="D54" i="12"/>
  <c r="D85" i="12" s="1"/>
  <c r="E10" i="12"/>
  <c r="D63" i="12"/>
  <c r="D94" i="12" s="1"/>
  <c r="E19" i="12"/>
  <c r="D53" i="12"/>
  <c r="D84" i="12" s="1"/>
  <c r="E9" i="12"/>
  <c r="D73" i="12"/>
  <c r="D104" i="12" s="1"/>
  <c r="E29" i="12"/>
  <c r="AD57" i="10"/>
  <c r="AD381" i="10"/>
  <c r="AD615" i="10"/>
  <c r="AD3" i="10"/>
  <c r="AD223" i="10"/>
  <c r="AD219" i="10" s="1"/>
  <c r="AD291" i="10"/>
  <c r="AD201" i="10"/>
  <c r="AD183" i="10"/>
  <c r="AD309" i="10"/>
  <c r="AC1" i="10"/>
  <c r="AD47" i="10"/>
  <c r="AD39" i="10" s="1"/>
  <c r="AD165" i="10"/>
  <c r="AD489" i="10"/>
  <c r="AD579" i="10"/>
  <c r="AD417" i="10"/>
  <c r="AD135" i="10"/>
  <c r="AD129" i="10" s="1"/>
  <c r="AD355" i="10"/>
  <c r="AD345" i="10" s="1"/>
  <c r="AD333" i="10"/>
  <c r="AD327" i="10" s="1"/>
  <c r="AD641" i="10"/>
  <c r="AD633" i="10" s="1"/>
  <c r="AD113" i="10"/>
  <c r="AD111" i="10" s="1"/>
  <c r="AD91" i="10"/>
  <c r="AD75" i="10" s="1"/>
  <c r="AD245" i="10"/>
  <c r="AD237" i="10" s="1"/>
  <c r="AD553" i="10"/>
  <c r="AD543" i="10" s="1"/>
  <c r="AD575" i="10"/>
  <c r="AD561" i="10" s="1"/>
  <c r="AD289" i="10"/>
  <c r="AD273" i="10" s="1"/>
  <c r="AD377" i="10"/>
  <c r="AD363" i="10" s="1"/>
  <c r="AD509" i="10"/>
  <c r="AD507" i="10" s="1"/>
  <c r="AD25" i="10"/>
  <c r="AD21" i="10" s="1"/>
  <c r="AD93" i="10"/>
  <c r="AD531" i="10"/>
  <c r="AD525" i="10" s="1"/>
  <c r="AD267" i="10"/>
  <c r="AD255" i="10" s="1"/>
  <c r="AD597" i="10"/>
  <c r="AD443" i="10"/>
  <c r="AD435" i="10" s="1"/>
  <c r="AD157" i="10"/>
  <c r="AD147" i="10" s="1"/>
  <c r="AD399" i="10"/>
  <c r="AD465" i="10"/>
  <c r="AD453" i="10" s="1"/>
  <c r="AD487" i="10"/>
  <c r="AD471" i="10" s="1"/>
  <c r="B51" i="12" l="1"/>
  <c r="B83" i="12"/>
  <c r="E55" i="12"/>
  <c r="E86" i="12" s="1"/>
  <c r="F11" i="12"/>
  <c r="F2" i="12"/>
  <c r="E46" i="12"/>
  <c r="E65" i="12"/>
  <c r="E96" i="12" s="1"/>
  <c r="F21" i="12"/>
  <c r="E53" i="12"/>
  <c r="E84" i="12" s="1"/>
  <c r="F9" i="12"/>
  <c r="E61" i="12"/>
  <c r="E92" i="12" s="1"/>
  <c r="F17" i="12"/>
  <c r="F12" i="12"/>
  <c r="E56" i="12"/>
  <c r="E87" i="12" s="1"/>
  <c r="F7" i="12"/>
  <c r="E51" i="12"/>
  <c r="E82" i="12" s="1"/>
  <c r="D74" i="12"/>
  <c r="D77" i="12"/>
  <c r="D105" i="12" s="1"/>
  <c r="F10" i="12"/>
  <c r="E54" i="12"/>
  <c r="E85" i="12" s="1"/>
  <c r="F23" i="12"/>
  <c r="E67" i="12"/>
  <c r="E98" i="12" s="1"/>
  <c r="G38" i="12"/>
  <c r="G39" i="12" s="1"/>
  <c r="G31" i="12"/>
  <c r="G27" i="12" s="1"/>
  <c r="G71" i="12" s="1"/>
  <c r="G102" i="12" s="1"/>
  <c r="E66" i="12"/>
  <c r="E97" i="12" s="1"/>
  <c r="F22" i="12"/>
  <c r="F6" i="12"/>
  <c r="E50" i="12"/>
  <c r="E81" i="12" s="1"/>
  <c r="E62" i="12"/>
  <c r="E93" i="12" s="1"/>
  <c r="F18" i="12"/>
  <c r="E59" i="12"/>
  <c r="E90" i="12" s="1"/>
  <c r="F15" i="12"/>
  <c r="E63" i="12"/>
  <c r="E94" i="12" s="1"/>
  <c r="F19" i="12"/>
  <c r="F8" i="12"/>
  <c r="E52" i="12"/>
  <c r="E83" i="12" s="1"/>
  <c r="E69" i="12"/>
  <c r="E100" i="12" s="1"/>
  <c r="F25" i="12"/>
  <c r="F24" i="12"/>
  <c r="E68" i="12"/>
  <c r="E99" i="12" s="1"/>
  <c r="E47" i="12"/>
  <c r="E78" i="12" s="1"/>
  <c r="F3" i="12"/>
  <c r="E58" i="12"/>
  <c r="E89" i="12" s="1"/>
  <c r="F14" i="12"/>
  <c r="E64" i="12"/>
  <c r="E95" i="12" s="1"/>
  <c r="F20" i="12"/>
  <c r="F16" i="12"/>
  <c r="E60" i="12"/>
  <c r="E91" i="12" s="1"/>
  <c r="F32" i="12"/>
  <c r="F34" i="12" s="1"/>
  <c r="F35" i="12" s="1"/>
  <c r="E72" i="12"/>
  <c r="E103" i="12" s="1"/>
  <c r="F28" i="12"/>
  <c r="F5" i="12"/>
  <c r="E49" i="12"/>
  <c r="E80" i="12" s="1"/>
  <c r="E73" i="12"/>
  <c r="E104" i="12" s="1"/>
  <c r="F29" i="12"/>
  <c r="F26" i="12"/>
  <c r="E70" i="12"/>
  <c r="E101" i="12" s="1"/>
  <c r="E48" i="12"/>
  <c r="E79" i="12" s="1"/>
  <c r="F4" i="12"/>
  <c r="E57" i="12"/>
  <c r="E88" i="12" s="1"/>
  <c r="F13" i="12"/>
  <c r="C56" i="7"/>
  <c r="C97" i="7" s="1"/>
  <c r="B651" i="2"/>
  <c r="C651" i="2"/>
  <c r="D651" i="2"/>
  <c r="E651" i="2"/>
  <c r="F651" i="2"/>
  <c r="G651" i="2"/>
  <c r="H651" i="2"/>
  <c r="I651" i="2"/>
  <c r="J651" i="2"/>
  <c r="K651" i="2"/>
  <c r="L651" i="2"/>
  <c r="A651" i="2" s="1"/>
  <c r="M651" i="2"/>
  <c r="B652" i="2"/>
  <c r="C652" i="2"/>
  <c r="D652" i="2"/>
  <c r="E652" i="2"/>
  <c r="F652" i="2"/>
  <c r="G652" i="2"/>
  <c r="H652" i="2"/>
  <c r="I652" i="2"/>
  <c r="J652" i="2"/>
  <c r="K652" i="2"/>
  <c r="L652" i="2"/>
  <c r="A652" i="2" s="1"/>
  <c r="M652" i="2"/>
  <c r="B653" i="2"/>
  <c r="C653" i="2"/>
  <c r="D653" i="2"/>
  <c r="E653" i="2"/>
  <c r="F653" i="2"/>
  <c r="G653" i="2"/>
  <c r="H653" i="2"/>
  <c r="I653" i="2"/>
  <c r="J653" i="2"/>
  <c r="K653" i="2"/>
  <c r="L653" i="2"/>
  <c r="A653" i="2" s="1"/>
  <c r="M653" i="2"/>
  <c r="B654" i="2"/>
  <c r="C654" i="2"/>
  <c r="D654" i="2"/>
  <c r="E654" i="2"/>
  <c r="F654" i="2"/>
  <c r="G654" i="2"/>
  <c r="H654" i="2"/>
  <c r="I654" i="2"/>
  <c r="J654" i="2"/>
  <c r="K654" i="2"/>
  <c r="L654" i="2"/>
  <c r="A654" i="2" s="1"/>
  <c r="M654" i="2"/>
  <c r="B655" i="2"/>
  <c r="C655" i="2"/>
  <c r="D655" i="2"/>
  <c r="E655" i="2"/>
  <c r="F655" i="2"/>
  <c r="G655" i="2"/>
  <c r="H655" i="2"/>
  <c r="I655" i="2"/>
  <c r="J655" i="2"/>
  <c r="K655" i="2"/>
  <c r="L655" i="2"/>
  <c r="A655" i="2" s="1"/>
  <c r="M655" i="2"/>
  <c r="B656" i="2"/>
  <c r="C656" i="2"/>
  <c r="D656" i="2"/>
  <c r="E656" i="2"/>
  <c r="F656" i="2"/>
  <c r="G656" i="2"/>
  <c r="H656" i="2"/>
  <c r="I656" i="2"/>
  <c r="J656" i="2"/>
  <c r="K656" i="2"/>
  <c r="L656" i="2"/>
  <c r="A656" i="2" s="1"/>
  <c r="M656" i="2"/>
  <c r="B657" i="2"/>
  <c r="C657" i="2"/>
  <c r="D657" i="2"/>
  <c r="E657" i="2"/>
  <c r="F657" i="2"/>
  <c r="G657" i="2"/>
  <c r="H657" i="2"/>
  <c r="I657" i="2"/>
  <c r="J657" i="2"/>
  <c r="K657" i="2"/>
  <c r="L657" i="2"/>
  <c r="A657" i="2" s="1"/>
  <c r="M657" i="2"/>
  <c r="B658" i="2"/>
  <c r="C658" i="2"/>
  <c r="D658" i="2"/>
  <c r="E658" i="2"/>
  <c r="F658" i="2"/>
  <c r="G658" i="2"/>
  <c r="H658" i="2"/>
  <c r="I658" i="2"/>
  <c r="J658" i="2"/>
  <c r="K658" i="2"/>
  <c r="L658" i="2"/>
  <c r="A658" i="2" s="1"/>
  <c r="M658" i="2"/>
  <c r="B659" i="2"/>
  <c r="C659" i="2"/>
  <c r="D659" i="2"/>
  <c r="E659" i="2"/>
  <c r="F659" i="2"/>
  <c r="G659" i="2"/>
  <c r="H659" i="2"/>
  <c r="I659" i="2"/>
  <c r="J659" i="2"/>
  <c r="K659" i="2"/>
  <c r="L659" i="2"/>
  <c r="A659" i="2" s="1"/>
  <c r="M659" i="2"/>
  <c r="B660" i="2"/>
  <c r="C660" i="2"/>
  <c r="D660" i="2"/>
  <c r="E660" i="2"/>
  <c r="F660" i="2"/>
  <c r="G660" i="2"/>
  <c r="H660" i="2"/>
  <c r="I660" i="2"/>
  <c r="J660" i="2"/>
  <c r="K660" i="2"/>
  <c r="L660" i="2"/>
  <c r="A660" i="2" s="1"/>
  <c r="M660" i="2"/>
  <c r="B661" i="2"/>
  <c r="C661" i="2"/>
  <c r="D661" i="2"/>
  <c r="E661" i="2"/>
  <c r="F661" i="2"/>
  <c r="G661" i="2"/>
  <c r="H661" i="2"/>
  <c r="I661" i="2"/>
  <c r="J661" i="2"/>
  <c r="K661" i="2"/>
  <c r="L661" i="2"/>
  <c r="A661" i="2" s="1"/>
  <c r="M661" i="2"/>
  <c r="B662" i="2"/>
  <c r="C662" i="2"/>
  <c r="D662" i="2"/>
  <c r="E662" i="2"/>
  <c r="F662" i="2"/>
  <c r="G662" i="2"/>
  <c r="H662" i="2"/>
  <c r="I662" i="2"/>
  <c r="J662" i="2"/>
  <c r="K662" i="2"/>
  <c r="L662" i="2"/>
  <c r="A662" i="2" s="1"/>
  <c r="M662" i="2"/>
  <c r="B663" i="2"/>
  <c r="C663" i="2"/>
  <c r="D663" i="2"/>
  <c r="E663" i="2"/>
  <c r="F663" i="2"/>
  <c r="G663" i="2"/>
  <c r="H663" i="2"/>
  <c r="I663" i="2"/>
  <c r="J663" i="2"/>
  <c r="K663" i="2"/>
  <c r="L663" i="2"/>
  <c r="A663" i="2" s="1"/>
  <c r="M663" i="2"/>
  <c r="B664" i="2"/>
  <c r="C664" i="2"/>
  <c r="D664" i="2"/>
  <c r="E664" i="2"/>
  <c r="F664" i="2"/>
  <c r="G664" i="2"/>
  <c r="H664" i="2"/>
  <c r="I664" i="2"/>
  <c r="J664" i="2"/>
  <c r="K664" i="2"/>
  <c r="L664" i="2"/>
  <c r="A664" i="2" s="1"/>
  <c r="M664" i="2"/>
  <c r="B665" i="2"/>
  <c r="C665" i="2"/>
  <c r="D665" i="2"/>
  <c r="E665" i="2"/>
  <c r="F665" i="2"/>
  <c r="G665" i="2"/>
  <c r="H665" i="2"/>
  <c r="I665" i="2"/>
  <c r="J665" i="2"/>
  <c r="K665" i="2"/>
  <c r="L665" i="2"/>
  <c r="A665" i="2" s="1"/>
  <c r="M665" i="2"/>
  <c r="B666" i="2"/>
  <c r="C666" i="2"/>
  <c r="D666" i="2"/>
  <c r="E666" i="2"/>
  <c r="F666" i="2"/>
  <c r="G666" i="2"/>
  <c r="H666" i="2"/>
  <c r="I666" i="2"/>
  <c r="J666" i="2"/>
  <c r="K666" i="2"/>
  <c r="L666" i="2"/>
  <c r="A666" i="2" s="1"/>
  <c r="M666" i="2"/>
  <c r="B667" i="2"/>
  <c r="C667" i="2"/>
  <c r="D667" i="2"/>
  <c r="E667" i="2"/>
  <c r="F667" i="2"/>
  <c r="G667" i="2"/>
  <c r="H667" i="2"/>
  <c r="I667" i="2"/>
  <c r="J667" i="2"/>
  <c r="K667" i="2"/>
  <c r="L667" i="2"/>
  <c r="A667" i="2" s="1"/>
  <c r="M667" i="2"/>
  <c r="B668" i="2"/>
  <c r="C668" i="2"/>
  <c r="D668" i="2"/>
  <c r="E668" i="2"/>
  <c r="F668" i="2"/>
  <c r="G668" i="2"/>
  <c r="H668" i="2"/>
  <c r="I668" i="2"/>
  <c r="J668" i="2"/>
  <c r="K668" i="2"/>
  <c r="L668" i="2"/>
  <c r="A668" i="2" s="1"/>
  <c r="M668" i="2"/>
  <c r="B669" i="2"/>
  <c r="C669" i="2"/>
  <c r="D669" i="2"/>
  <c r="E669" i="2"/>
  <c r="F669" i="2"/>
  <c r="G669" i="2"/>
  <c r="H669" i="2"/>
  <c r="I669" i="2"/>
  <c r="J669" i="2"/>
  <c r="K669" i="2"/>
  <c r="L669" i="2"/>
  <c r="A669" i="2" s="1"/>
  <c r="M669" i="2"/>
  <c r="B670" i="2"/>
  <c r="C670" i="2"/>
  <c r="D670" i="2"/>
  <c r="E670" i="2"/>
  <c r="F670" i="2"/>
  <c r="G670" i="2"/>
  <c r="H670" i="2"/>
  <c r="I670" i="2"/>
  <c r="J670" i="2"/>
  <c r="K670" i="2"/>
  <c r="L670" i="2"/>
  <c r="A670" i="2" s="1"/>
  <c r="M670" i="2"/>
  <c r="B671" i="2"/>
  <c r="C671" i="2"/>
  <c r="D671" i="2"/>
  <c r="E671" i="2"/>
  <c r="F671" i="2"/>
  <c r="G671" i="2"/>
  <c r="H671" i="2"/>
  <c r="I671" i="2"/>
  <c r="J671" i="2"/>
  <c r="K671" i="2"/>
  <c r="L671" i="2"/>
  <c r="A671" i="2" s="1"/>
  <c r="M671" i="2"/>
  <c r="B672" i="2"/>
  <c r="C672" i="2"/>
  <c r="D672" i="2"/>
  <c r="E672" i="2"/>
  <c r="F672" i="2"/>
  <c r="G672" i="2"/>
  <c r="H672" i="2"/>
  <c r="I672" i="2"/>
  <c r="J672" i="2"/>
  <c r="K672" i="2"/>
  <c r="L672" i="2"/>
  <c r="A672" i="2" s="1"/>
  <c r="M672" i="2"/>
  <c r="B673" i="2"/>
  <c r="C673" i="2"/>
  <c r="D673" i="2"/>
  <c r="E673" i="2"/>
  <c r="F673" i="2"/>
  <c r="G673" i="2"/>
  <c r="H673" i="2"/>
  <c r="I673" i="2"/>
  <c r="J673" i="2"/>
  <c r="K673" i="2"/>
  <c r="L673" i="2"/>
  <c r="A673" i="2" s="1"/>
  <c r="M673" i="2"/>
  <c r="B674" i="2"/>
  <c r="C674" i="2"/>
  <c r="D674" i="2"/>
  <c r="E674" i="2"/>
  <c r="F674" i="2"/>
  <c r="G674" i="2"/>
  <c r="H674" i="2"/>
  <c r="I674" i="2"/>
  <c r="J674" i="2"/>
  <c r="K674" i="2"/>
  <c r="L674" i="2"/>
  <c r="A674" i="2" s="1"/>
  <c r="M674" i="2"/>
  <c r="B675" i="2"/>
  <c r="C675" i="2"/>
  <c r="D675" i="2"/>
  <c r="E675" i="2"/>
  <c r="F675" i="2"/>
  <c r="G675" i="2"/>
  <c r="H675" i="2"/>
  <c r="I675" i="2"/>
  <c r="J675" i="2"/>
  <c r="K675" i="2"/>
  <c r="L675" i="2"/>
  <c r="A675" i="2" s="1"/>
  <c r="M675" i="2"/>
  <c r="B676" i="2"/>
  <c r="C676" i="2"/>
  <c r="D676" i="2"/>
  <c r="E676" i="2"/>
  <c r="F676" i="2"/>
  <c r="G676" i="2"/>
  <c r="H676" i="2"/>
  <c r="I676" i="2"/>
  <c r="J676" i="2"/>
  <c r="K676" i="2"/>
  <c r="L676" i="2"/>
  <c r="A676" i="2" s="1"/>
  <c r="M676" i="2"/>
  <c r="B677" i="2"/>
  <c r="C677" i="2"/>
  <c r="D677" i="2"/>
  <c r="E677" i="2"/>
  <c r="F677" i="2"/>
  <c r="G677" i="2"/>
  <c r="H677" i="2"/>
  <c r="I677" i="2"/>
  <c r="J677" i="2"/>
  <c r="K677" i="2"/>
  <c r="L677" i="2"/>
  <c r="A677" i="2" s="1"/>
  <c r="M677" i="2"/>
  <c r="B678" i="2"/>
  <c r="C678" i="2"/>
  <c r="D678" i="2"/>
  <c r="E678" i="2"/>
  <c r="F678" i="2"/>
  <c r="G678" i="2"/>
  <c r="H678" i="2"/>
  <c r="I678" i="2"/>
  <c r="J678" i="2"/>
  <c r="K678" i="2"/>
  <c r="L678" i="2"/>
  <c r="A678" i="2" s="1"/>
  <c r="M678" i="2"/>
  <c r="B679" i="2"/>
  <c r="C679" i="2"/>
  <c r="D679" i="2"/>
  <c r="E679" i="2"/>
  <c r="F679" i="2"/>
  <c r="G679" i="2"/>
  <c r="H679" i="2"/>
  <c r="I679" i="2"/>
  <c r="J679" i="2"/>
  <c r="K679" i="2"/>
  <c r="L679" i="2"/>
  <c r="A679" i="2" s="1"/>
  <c r="M679" i="2"/>
  <c r="B680" i="2"/>
  <c r="C680" i="2"/>
  <c r="D680" i="2"/>
  <c r="E680" i="2"/>
  <c r="F680" i="2"/>
  <c r="G680" i="2"/>
  <c r="H680" i="2"/>
  <c r="I680" i="2"/>
  <c r="J680" i="2"/>
  <c r="K680" i="2"/>
  <c r="L680" i="2"/>
  <c r="A680" i="2" s="1"/>
  <c r="M680" i="2"/>
  <c r="B681" i="2"/>
  <c r="C681" i="2"/>
  <c r="D681" i="2"/>
  <c r="E681" i="2"/>
  <c r="F681" i="2"/>
  <c r="G681" i="2"/>
  <c r="H681" i="2"/>
  <c r="I681" i="2"/>
  <c r="J681" i="2"/>
  <c r="K681" i="2"/>
  <c r="L681" i="2"/>
  <c r="A681" i="2" s="1"/>
  <c r="M681" i="2"/>
  <c r="B682" i="2"/>
  <c r="C682" i="2"/>
  <c r="D682" i="2"/>
  <c r="E682" i="2"/>
  <c r="F682" i="2"/>
  <c r="G682" i="2"/>
  <c r="H682" i="2"/>
  <c r="I682" i="2"/>
  <c r="J682" i="2"/>
  <c r="K682" i="2"/>
  <c r="L682" i="2"/>
  <c r="A682" i="2" s="1"/>
  <c r="M682" i="2"/>
  <c r="B683" i="2"/>
  <c r="C683" i="2"/>
  <c r="D683" i="2"/>
  <c r="E683" i="2"/>
  <c r="F683" i="2"/>
  <c r="G683" i="2"/>
  <c r="H683" i="2"/>
  <c r="I683" i="2"/>
  <c r="J683" i="2"/>
  <c r="K683" i="2"/>
  <c r="L683" i="2"/>
  <c r="A683" i="2" s="1"/>
  <c r="M683" i="2"/>
  <c r="B684" i="2"/>
  <c r="C684" i="2"/>
  <c r="D684" i="2"/>
  <c r="E684" i="2"/>
  <c r="F684" i="2"/>
  <c r="G684" i="2"/>
  <c r="H684" i="2"/>
  <c r="I684" i="2"/>
  <c r="J684" i="2"/>
  <c r="K684" i="2"/>
  <c r="L684" i="2"/>
  <c r="A684" i="2" s="1"/>
  <c r="M684" i="2"/>
  <c r="B685" i="2"/>
  <c r="C685" i="2"/>
  <c r="D685" i="2"/>
  <c r="E685" i="2"/>
  <c r="F685" i="2"/>
  <c r="G685" i="2"/>
  <c r="H685" i="2"/>
  <c r="I685" i="2"/>
  <c r="J685" i="2"/>
  <c r="K685" i="2"/>
  <c r="L685" i="2"/>
  <c r="A685" i="2" s="1"/>
  <c r="M685" i="2"/>
  <c r="B686" i="2"/>
  <c r="C686" i="2"/>
  <c r="D686" i="2"/>
  <c r="E686" i="2"/>
  <c r="F686" i="2"/>
  <c r="G686" i="2"/>
  <c r="H686" i="2"/>
  <c r="I686" i="2"/>
  <c r="J686" i="2"/>
  <c r="K686" i="2"/>
  <c r="L686" i="2"/>
  <c r="A686" i="2" s="1"/>
  <c r="M686" i="2"/>
  <c r="B687" i="2"/>
  <c r="C687" i="2"/>
  <c r="D687" i="2"/>
  <c r="E687" i="2"/>
  <c r="F687" i="2"/>
  <c r="G687" i="2"/>
  <c r="H687" i="2"/>
  <c r="I687" i="2"/>
  <c r="J687" i="2"/>
  <c r="K687" i="2"/>
  <c r="L687" i="2"/>
  <c r="A687" i="2" s="1"/>
  <c r="M687" i="2"/>
  <c r="B688" i="2"/>
  <c r="C688" i="2"/>
  <c r="D688" i="2"/>
  <c r="E688" i="2"/>
  <c r="F688" i="2"/>
  <c r="G688" i="2"/>
  <c r="H688" i="2"/>
  <c r="I688" i="2"/>
  <c r="J688" i="2"/>
  <c r="K688" i="2"/>
  <c r="L688" i="2"/>
  <c r="A688" i="2" s="1"/>
  <c r="M688" i="2"/>
  <c r="B689" i="2"/>
  <c r="C689" i="2"/>
  <c r="D689" i="2"/>
  <c r="E689" i="2"/>
  <c r="F689" i="2"/>
  <c r="G689" i="2"/>
  <c r="H689" i="2"/>
  <c r="I689" i="2"/>
  <c r="J689" i="2"/>
  <c r="K689" i="2"/>
  <c r="L689" i="2"/>
  <c r="A689" i="2" s="1"/>
  <c r="M689" i="2"/>
  <c r="B690" i="2"/>
  <c r="C690" i="2"/>
  <c r="D690" i="2"/>
  <c r="E690" i="2"/>
  <c r="F690" i="2"/>
  <c r="G690" i="2"/>
  <c r="H690" i="2"/>
  <c r="I690" i="2"/>
  <c r="J690" i="2"/>
  <c r="K690" i="2"/>
  <c r="L690" i="2"/>
  <c r="A690" i="2" s="1"/>
  <c r="M690" i="2"/>
  <c r="B691" i="2"/>
  <c r="C691" i="2"/>
  <c r="D691" i="2"/>
  <c r="E691" i="2"/>
  <c r="F691" i="2"/>
  <c r="G691" i="2"/>
  <c r="H691" i="2"/>
  <c r="I691" i="2"/>
  <c r="J691" i="2"/>
  <c r="K691" i="2"/>
  <c r="L691" i="2"/>
  <c r="A691" i="2" s="1"/>
  <c r="M691" i="2"/>
  <c r="B692" i="2"/>
  <c r="C692" i="2"/>
  <c r="D692" i="2"/>
  <c r="E692" i="2"/>
  <c r="F692" i="2"/>
  <c r="G692" i="2"/>
  <c r="H692" i="2"/>
  <c r="I692" i="2"/>
  <c r="J692" i="2"/>
  <c r="K692" i="2"/>
  <c r="L692" i="2"/>
  <c r="A692" i="2" s="1"/>
  <c r="M692" i="2"/>
  <c r="B693" i="2"/>
  <c r="C693" i="2"/>
  <c r="D693" i="2"/>
  <c r="E693" i="2"/>
  <c r="F693" i="2"/>
  <c r="G693" i="2"/>
  <c r="H693" i="2"/>
  <c r="I693" i="2"/>
  <c r="J693" i="2"/>
  <c r="K693" i="2"/>
  <c r="L693" i="2"/>
  <c r="A693" i="2" s="1"/>
  <c r="M693" i="2"/>
  <c r="B694" i="2"/>
  <c r="C694" i="2"/>
  <c r="D694" i="2"/>
  <c r="E694" i="2"/>
  <c r="F694" i="2"/>
  <c r="G694" i="2"/>
  <c r="H694" i="2"/>
  <c r="I694" i="2"/>
  <c r="J694" i="2"/>
  <c r="K694" i="2"/>
  <c r="L694" i="2"/>
  <c r="A694" i="2" s="1"/>
  <c r="M694" i="2"/>
  <c r="B695" i="2"/>
  <c r="C695" i="2"/>
  <c r="D695" i="2"/>
  <c r="E695" i="2"/>
  <c r="F695" i="2"/>
  <c r="G695" i="2"/>
  <c r="H695" i="2"/>
  <c r="I695" i="2"/>
  <c r="J695" i="2"/>
  <c r="K695" i="2"/>
  <c r="L695" i="2"/>
  <c r="A695" i="2" s="1"/>
  <c r="M695" i="2"/>
  <c r="B696" i="2"/>
  <c r="C696" i="2"/>
  <c r="D696" i="2"/>
  <c r="E696" i="2"/>
  <c r="F696" i="2"/>
  <c r="G696" i="2"/>
  <c r="H696" i="2"/>
  <c r="I696" i="2"/>
  <c r="J696" i="2"/>
  <c r="K696" i="2"/>
  <c r="L696" i="2"/>
  <c r="A696" i="2" s="1"/>
  <c r="M696" i="2"/>
  <c r="B697" i="2"/>
  <c r="C697" i="2"/>
  <c r="D697" i="2"/>
  <c r="E697" i="2"/>
  <c r="F697" i="2"/>
  <c r="G697" i="2"/>
  <c r="H697" i="2"/>
  <c r="I697" i="2"/>
  <c r="J697" i="2"/>
  <c r="K697" i="2"/>
  <c r="L697" i="2"/>
  <c r="A697" i="2" s="1"/>
  <c r="M697" i="2"/>
  <c r="B698" i="2"/>
  <c r="C698" i="2"/>
  <c r="D698" i="2"/>
  <c r="E698" i="2"/>
  <c r="F698" i="2"/>
  <c r="G698" i="2"/>
  <c r="H698" i="2"/>
  <c r="I698" i="2"/>
  <c r="J698" i="2"/>
  <c r="K698" i="2"/>
  <c r="L698" i="2"/>
  <c r="A698" i="2" s="1"/>
  <c r="M698" i="2"/>
  <c r="B699" i="2"/>
  <c r="C699" i="2"/>
  <c r="D699" i="2"/>
  <c r="E699" i="2"/>
  <c r="F699" i="2"/>
  <c r="G699" i="2"/>
  <c r="H699" i="2"/>
  <c r="I699" i="2"/>
  <c r="J699" i="2"/>
  <c r="K699" i="2"/>
  <c r="L699" i="2"/>
  <c r="A699" i="2" s="1"/>
  <c r="M699" i="2"/>
  <c r="B700" i="2"/>
  <c r="C700" i="2"/>
  <c r="D700" i="2"/>
  <c r="E700" i="2"/>
  <c r="F700" i="2"/>
  <c r="G700" i="2"/>
  <c r="H700" i="2"/>
  <c r="I700" i="2"/>
  <c r="J700" i="2"/>
  <c r="K700" i="2"/>
  <c r="L700" i="2"/>
  <c r="A700" i="2" s="1"/>
  <c r="M700" i="2"/>
  <c r="B701" i="2"/>
  <c r="C701" i="2"/>
  <c r="D701" i="2"/>
  <c r="E701" i="2"/>
  <c r="F701" i="2"/>
  <c r="G701" i="2"/>
  <c r="H701" i="2"/>
  <c r="I701" i="2"/>
  <c r="J701" i="2"/>
  <c r="K701" i="2"/>
  <c r="L701" i="2"/>
  <c r="A701" i="2" s="1"/>
  <c r="M701" i="2"/>
  <c r="B702" i="2"/>
  <c r="C702" i="2"/>
  <c r="D702" i="2"/>
  <c r="E702" i="2"/>
  <c r="F702" i="2"/>
  <c r="G702" i="2"/>
  <c r="H702" i="2"/>
  <c r="I702" i="2"/>
  <c r="J702" i="2"/>
  <c r="K702" i="2"/>
  <c r="L702" i="2"/>
  <c r="A702" i="2" s="1"/>
  <c r="M702" i="2"/>
  <c r="B703" i="2"/>
  <c r="C703" i="2"/>
  <c r="D703" i="2"/>
  <c r="E703" i="2"/>
  <c r="F703" i="2"/>
  <c r="G703" i="2"/>
  <c r="H703" i="2"/>
  <c r="I703" i="2"/>
  <c r="J703" i="2"/>
  <c r="K703" i="2"/>
  <c r="L703" i="2"/>
  <c r="A703" i="2" s="1"/>
  <c r="M703" i="2"/>
  <c r="B704" i="2"/>
  <c r="C704" i="2"/>
  <c r="D704" i="2"/>
  <c r="E704" i="2"/>
  <c r="F704" i="2"/>
  <c r="G704" i="2"/>
  <c r="H704" i="2"/>
  <c r="I704" i="2"/>
  <c r="J704" i="2"/>
  <c r="K704" i="2"/>
  <c r="L704" i="2"/>
  <c r="A704" i="2" s="1"/>
  <c r="M704" i="2"/>
  <c r="B705" i="2"/>
  <c r="C705" i="2"/>
  <c r="D705" i="2"/>
  <c r="E705" i="2"/>
  <c r="F705" i="2"/>
  <c r="G705" i="2"/>
  <c r="H705" i="2"/>
  <c r="I705" i="2"/>
  <c r="J705" i="2"/>
  <c r="K705" i="2"/>
  <c r="L705" i="2"/>
  <c r="A705" i="2" s="1"/>
  <c r="M705" i="2"/>
  <c r="B706" i="2"/>
  <c r="C706" i="2"/>
  <c r="D706" i="2"/>
  <c r="E706" i="2"/>
  <c r="F706" i="2"/>
  <c r="G706" i="2"/>
  <c r="H706" i="2"/>
  <c r="I706" i="2"/>
  <c r="J706" i="2"/>
  <c r="K706" i="2"/>
  <c r="L706" i="2"/>
  <c r="A706" i="2" s="1"/>
  <c r="M706" i="2"/>
  <c r="B707" i="2"/>
  <c r="C707" i="2"/>
  <c r="D707" i="2"/>
  <c r="E707" i="2"/>
  <c r="F707" i="2"/>
  <c r="G707" i="2"/>
  <c r="H707" i="2"/>
  <c r="I707" i="2"/>
  <c r="J707" i="2"/>
  <c r="K707" i="2"/>
  <c r="L707" i="2"/>
  <c r="A707" i="2" s="1"/>
  <c r="M707" i="2"/>
  <c r="B708" i="2"/>
  <c r="C708" i="2"/>
  <c r="D708" i="2"/>
  <c r="E708" i="2"/>
  <c r="F708" i="2"/>
  <c r="G708" i="2"/>
  <c r="H708" i="2"/>
  <c r="I708" i="2"/>
  <c r="J708" i="2"/>
  <c r="K708" i="2"/>
  <c r="L708" i="2"/>
  <c r="A708" i="2" s="1"/>
  <c r="M708" i="2"/>
  <c r="B709" i="2"/>
  <c r="C709" i="2"/>
  <c r="D709" i="2"/>
  <c r="E709" i="2"/>
  <c r="F709" i="2"/>
  <c r="G709" i="2"/>
  <c r="H709" i="2"/>
  <c r="I709" i="2"/>
  <c r="J709" i="2"/>
  <c r="K709" i="2"/>
  <c r="L709" i="2"/>
  <c r="A709" i="2" s="1"/>
  <c r="M709" i="2"/>
  <c r="B710" i="2"/>
  <c r="C710" i="2"/>
  <c r="D710" i="2"/>
  <c r="E710" i="2"/>
  <c r="F710" i="2"/>
  <c r="G710" i="2"/>
  <c r="H710" i="2"/>
  <c r="I710" i="2"/>
  <c r="J710" i="2"/>
  <c r="K710" i="2"/>
  <c r="L710" i="2"/>
  <c r="A710" i="2" s="1"/>
  <c r="M710" i="2"/>
  <c r="B711" i="2"/>
  <c r="C711" i="2"/>
  <c r="D711" i="2"/>
  <c r="E711" i="2"/>
  <c r="F711" i="2"/>
  <c r="G711" i="2"/>
  <c r="H711" i="2"/>
  <c r="I711" i="2"/>
  <c r="J711" i="2"/>
  <c r="K711" i="2"/>
  <c r="L711" i="2"/>
  <c r="A711" i="2" s="1"/>
  <c r="M711" i="2"/>
  <c r="B712" i="2"/>
  <c r="C712" i="2"/>
  <c r="D712" i="2"/>
  <c r="E712" i="2"/>
  <c r="F712" i="2"/>
  <c r="G712" i="2"/>
  <c r="H712" i="2"/>
  <c r="I712" i="2"/>
  <c r="J712" i="2"/>
  <c r="K712" i="2"/>
  <c r="L712" i="2"/>
  <c r="A712" i="2" s="1"/>
  <c r="M712" i="2"/>
  <c r="B713" i="2"/>
  <c r="C713" i="2"/>
  <c r="D713" i="2"/>
  <c r="E713" i="2"/>
  <c r="F713" i="2"/>
  <c r="G713" i="2"/>
  <c r="H713" i="2"/>
  <c r="I713" i="2"/>
  <c r="J713" i="2"/>
  <c r="K713" i="2"/>
  <c r="L713" i="2"/>
  <c r="A713" i="2" s="1"/>
  <c r="M713" i="2"/>
  <c r="B714" i="2"/>
  <c r="C714" i="2"/>
  <c r="D714" i="2"/>
  <c r="E714" i="2"/>
  <c r="F714" i="2"/>
  <c r="G714" i="2"/>
  <c r="H714" i="2"/>
  <c r="I714" i="2"/>
  <c r="J714" i="2"/>
  <c r="K714" i="2"/>
  <c r="L714" i="2"/>
  <c r="A714" i="2" s="1"/>
  <c r="M714" i="2"/>
  <c r="B715" i="2"/>
  <c r="C715" i="2"/>
  <c r="D715" i="2"/>
  <c r="E715" i="2"/>
  <c r="F715" i="2"/>
  <c r="G715" i="2"/>
  <c r="H715" i="2"/>
  <c r="I715" i="2"/>
  <c r="J715" i="2"/>
  <c r="K715" i="2"/>
  <c r="L715" i="2"/>
  <c r="A715" i="2" s="1"/>
  <c r="M715" i="2"/>
  <c r="B716" i="2"/>
  <c r="C716" i="2"/>
  <c r="D716" i="2"/>
  <c r="E716" i="2"/>
  <c r="F716" i="2"/>
  <c r="G716" i="2"/>
  <c r="H716" i="2"/>
  <c r="I716" i="2"/>
  <c r="J716" i="2"/>
  <c r="K716" i="2"/>
  <c r="L716" i="2"/>
  <c r="A716" i="2" s="1"/>
  <c r="M716" i="2"/>
  <c r="B717" i="2"/>
  <c r="C717" i="2"/>
  <c r="D717" i="2"/>
  <c r="E717" i="2"/>
  <c r="F717" i="2"/>
  <c r="G717" i="2"/>
  <c r="H717" i="2"/>
  <c r="I717" i="2"/>
  <c r="J717" i="2"/>
  <c r="K717" i="2"/>
  <c r="L717" i="2"/>
  <c r="A717" i="2" s="1"/>
  <c r="M717" i="2"/>
  <c r="B718" i="2"/>
  <c r="C718" i="2"/>
  <c r="D718" i="2"/>
  <c r="E718" i="2"/>
  <c r="F718" i="2"/>
  <c r="G718" i="2"/>
  <c r="H718" i="2"/>
  <c r="I718" i="2"/>
  <c r="J718" i="2"/>
  <c r="K718" i="2"/>
  <c r="L718" i="2"/>
  <c r="A718" i="2" s="1"/>
  <c r="M718" i="2"/>
  <c r="B719" i="2"/>
  <c r="C719" i="2"/>
  <c r="D719" i="2"/>
  <c r="E719" i="2"/>
  <c r="F719" i="2"/>
  <c r="G719" i="2"/>
  <c r="H719" i="2"/>
  <c r="I719" i="2"/>
  <c r="J719" i="2"/>
  <c r="K719" i="2"/>
  <c r="L719" i="2"/>
  <c r="A719" i="2" s="1"/>
  <c r="M719" i="2"/>
  <c r="B720" i="2"/>
  <c r="C720" i="2"/>
  <c r="D720" i="2"/>
  <c r="E720" i="2"/>
  <c r="F720" i="2"/>
  <c r="G720" i="2"/>
  <c r="H720" i="2"/>
  <c r="I720" i="2"/>
  <c r="J720" i="2"/>
  <c r="K720" i="2"/>
  <c r="L720" i="2"/>
  <c r="A720" i="2" s="1"/>
  <c r="M720" i="2"/>
  <c r="B721" i="2"/>
  <c r="C721" i="2"/>
  <c r="D721" i="2"/>
  <c r="E721" i="2"/>
  <c r="F721" i="2"/>
  <c r="G721" i="2"/>
  <c r="H721" i="2"/>
  <c r="I721" i="2"/>
  <c r="J721" i="2"/>
  <c r="K721" i="2"/>
  <c r="L721" i="2"/>
  <c r="A721" i="2" s="1"/>
  <c r="M721" i="2"/>
  <c r="B722" i="2"/>
  <c r="C722" i="2"/>
  <c r="D722" i="2"/>
  <c r="E722" i="2"/>
  <c r="F722" i="2"/>
  <c r="G722" i="2"/>
  <c r="H722" i="2"/>
  <c r="I722" i="2"/>
  <c r="J722" i="2"/>
  <c r="K722" i="2"/>
  <c r="L722" i="2"/>
  <c r="A722" i="2" s="1"/>
  <c r="M722" i="2"/>
  <c r="B723" i="2"/>
  <c r="C723" i="2"/>
  <c r="D723" i="2"/>
  <c r="E723" i="2"/>
  <c r="F723" i="2"/>
  <c r="G723" i="2"/>
  <c r="H723" i="2"/>
  <c r="I723" i="2"/>
  <c r="J723" i="2"/>
  <c r="K723" i="2"/>
  <c r="L723" i="2"/>
  <c r="A723" i="2" s="1"/>
  <c r="M723" i="2"/>
  <c r="B724" i="2"/>
  <c r="C724" i="2"/>
  <c r="D724" i="2"/>
  <c r="E724" i="2"/>
  <c r="F724" i="2"/>
  <c r="G724" i="2"/>
  <c r="H724" i="2"/>
  <c r="I724" i="2"/>
  <c r="J724" i="2"/>
  <c r="K724" i="2"/>
  <c r="L724" i="2"/>
  <c r="A724" i="2" s="1"/>
  <c r="M724" i="2"/>
  <c r="B725" i="2"/>
  <c r="C725" i="2"/>
  <c r="D725" i="2"/>
  <c r="E725" i="2"/>
  <c r="F725" i="2"/>
  <c r="G725" i="2"/>
  <c r="H725" i="2"/>
  <c r="I725" i="2"/>
  <c r="J725" i="2"/>
  <c r="K725" i="2"/>
  <c r="L725" i="2"/>
  <c r="A725" i="2" s="1"/>
  <c r="M725" i="2"/>
  <c r="B726" i="2"/>
  <c r="C726" i="2"/>
  <c r="D726" i="2"/>
  <c r="E726" i="2"/>
  <c r="F726" i="2"/>
  <c r="G726" i="2"/>
  <c r="H726" i="2"/>
  <c r="I726" i="2"/>
  <c r="J726" i="2"/>
  <c r="K726" i="2"/>
  <c r="L726" i="2"/>
  <c r="A726" i="2" s="1"/>
  <c r="M726" i="2"/>
  <c r="B727" i="2"/>
  <c r="C727" i="2"/>
  <c r="D727" i="2"/>
  <c r="E727" i="2"/>
  <c r="F727" i="2"/>
  <c r="G727" i="2"/>
  <c r="H727" i="2"/>
  <c r="I727" i="2"/>
  <c r="J727" i="2"/>
  <c r="K727" i="2"/>
  <c r="L727" i="2"/>
  <c r="A727" i="2" s="1"/>
  <c r="M727" i="2"/>
  <c r="B728" i="2"/>
  <c r="C728" i="2"/>
  <c r="D728" i="2"/>
  <c r="E728" i="2"/>
  <c r="F728" i="2"/>
  <c r="G728" i="2"/>
  <c r="H728" i="2"/>
  <c r="I728" i="2"/>
  <c r="J728" i="2"/>
  <c r="K728" i="2"/>
  <c r="L728" i="2"/>
  <c r="A728" i="2" s="1"/>
  <c r="M728" i="2"/>
  <c r="B729" i="2"/>
  <c r="C729" i="2"/>
  <c r="D729" i="2"/>
  <c r="E729" i="2"/>
  <c r="F729" i="2"/>
  <c r="G729" i="2"/>
  <c r="H729" i="2"/>
  <c r="I729" i="2"/>
  <c r="J729" i="2"/>
  <c r="K729" i="2"/>
  <c r="L729" i="2"/>
  <c r="A729" i="2" s="1"/>
  <c r="M729" i="2"/>
  <c r="B730" i="2"/>
  <c r="C730" i="2"/>
  <c r="D730" i="2"/>
  <c r="E730" i="2"/>
  <c r="F730" i="2"/>
  <c r="G730" i="2"/>
  <c r="H730" i="2"/>
  <c r="I730" i="2"/>
  <c r="J730" i="2"/>
  <c r="K730" i="2"/>
  <c r="L730" i="2"/>
  <c r="A730" i="2" s="1"/>
  <c r="M730" i="2"/>
  <c r="B731" i="2"/>
  <c r="C731" i="2"/>
  <c r="D731" i="2"/>
  <c r="E731" i="2"/>
  <c r="F731" i="2"/>
  <c r="G731" i="2"/>
  <c r="H731" i="2"/>
  <c r="I731" i="2"/>
  <c r="J731" i="2"/>
  <c r="K731" i="2"/>
  <c r="L731" i="2"/>
  <c r="A731" i="2" s="1"/>
  <c r="M731" i="2"/>
  <c r="B732" i="2"/>
  <c r="C732" i="2"/>
  <c r="D732" i="2"/>
  <c r="E732" i="2"/>
  <c r="F732" i="2"/>
  <c r="G732" i="2"/>
  <c r="H732" i="2"/>
  <c r="I732" i="2"/>
  <c r="J732" i="2"/>
  <c r="K732" i="2"/>
  <c r="L732" i="2"/>
  <c r="A732" i="2" s="1"/>
  <c r="M732" i="2"/>
  <c r="B733" i="2"/>
  <c r="C733" i="2"/>
  <c r="D733" i="2"/>
  <c r="E733" i="2"/>
  <c r="F733" i="2"/>
  <c r="G733" i="2"/>
  <c r="H733" i="2"/>
  <c r="I733" i="2"/>
  <c r="J733" i="2"/>
  <c r="K733" i="2"/>
  <c r="L733" i="2"/>
  <c r="A733" i="2" s="1"/>
  <c r="M733" i="2"/>
  <c r="B734" i="2"/>
  <c r="C734" i="2"/>
  <c r="D734" i="2"/>
  <c r="E734" i="2"/>
  <c r="F734" i="2"/>
  <c r="G734" i="2"/>
  <c r="H734" i="2"/>
  <c r="I734" i="2"/>
  <c r="J734" i="2"/>
  <c r="K734" i="2"/>
  <c r="L734" i="2"/>
  <c r="A734" i="2" s="1"/>
  <c r="M734" i="2"/>
  <c r="B735" i="2"/>
  <c r="C735" i="2"/>
  <c r="D735" i="2"/>
  <c r="E735" i="2"/>
  <c r="F735" i="2"/>
  <c r="G735" i="2"/>
  <c r="H735" i="2"/>
  <c r="I735" i="2"/>
  <c r="J735" i="2"/>
  <c r="K735" i="2"/>
  <c r="L735" i="2"/>
  <c r="A735" i="2" s="1"/>
  <c r="M735" i="2"/>
  <c r="B736" i="2"/>
  <c r="C736" i="2"/>
  <c r="D736" i="2"/>
  <c r="E736" i="2"/>
  <c r="F736" i="2"/>
  <c r="G736" i="2"/>
  <c r="H736" i="2"/>
  <c r="I736" i="2"/>
  <c r="J736" i="2"/>
  <c r="K736" i="2"/>
  <c r="L736" i="2"/>
  <c r="A736" i="2" s="1"/>
  <c r="M736" i="2"/>
  <c r="B737" i="2"/>
  <c r="C737" i="2"/>
  <c r="D737" i="2"/>
  <c r="E737" i="2"/>
  <c r="F737" i="2"/>
  <c r="G737" i="2"/>
  <c r="H737" i="2"/>
  <c r="I737" i="2"/>
  <c r="J737" i="2"/>
  <c r="K737" i="2"/>
  <c r="L737" i="2"/>
  <c r="A737" i="2" s="1"/>
  <c r="M737" i="2"/>
  <c r="B738" i="2"/>
  <c r="C738" i="2"/>
  <c r="D738" i="2"/>
  <c r="E738" i="2"/>
  <c r="F738" i="2"/>
  <c r="G738" i="2"/>
  <c r="H738" i="2"/>
  <c r="I738" i="2"/>
  <c r="J738" i="2"/>
  <c r="K738" i="2"/>
  <c r="L738" i="2"/>
  <c r="A738" i="2" s="1"/>
  <c r="M738" i="2"/>
  <c r="B739" i="2"/>
  <c r="C739" i="2"/>
  <c r="D739" i="2"/>
  <c r="E739" i="2"/>
  <c r="F739" i="2"/>
  <c r="G739" i="2"/>
  <c r="H739" i="2"/>
  <c r="I739" i="2"/>
  <c r="J739" i="2"/>
  <c r="K739" i="2"/>
  <c r="L739" i="2"/>
  <c r="A739" i="2" s="1"/>
  <c r="M739" i="2"/>
  <c r="B740" i="2"/>
  <c r="C740" i="2"/>
  <c r="D740" i="2"/>
  <c r="E740" i="2"/>
  <c r="F740" i="2"/>
  <c r="G740" i="2"/>
  <c r="H740" i="2"/>
  <c r="I740" i="2"/>
  <c r="J740" i="2"/>
  <c r="K740" i="2"/>
  <c r="L740" i="2"/>
  <c r="A740" i="2" s="1"/>
  <c r="M740" i="2"/>
  <c r="B741" i="2"/>
  <c r="C741" i="2"/>
  <c r="D741" i="2"/>
  <c r="E741" i="2"/>
  <c r="F741" i="2"/>
  <c r="G741" i="2"/>
  <c r="H741" i="2"/>
  <c r="I741" i="2"/>
  <c r="J741" i="2"/>
  <c r="K741" i="2"/>
  <c r="L741" i="2"/>
  <c r="A741" i="2" s="1"/>
  <c r="M741" i="2"/>
  <c r="B742" i="2"/>
  <c r="C742" i="2"/>
  <c r="D742" i="2"/>
  <c r="E742" i="2"/>
  <c r="F742" i="2"/>
  <c r="G742" i="2"/>
  <c r="H742" i="2"/>
  <c r="I742" i="2"/>
  <c r="J742" i="2"/>
  <c r="K742" i="2"/>
  <c r="L742" i="2"/>
  <c r="A742" i="2" s="1"/>
  <c r="M742" i="2"/>
  <c r="B743" i="2"/>
  <c r="C743" i="2"/>
  <c r="D743" i="2"/>
  <c r="E743" i="2"/>
  <c r="F743" i="2"/>
  <c r="G743" i="2"/>
  <c r="H743" i="2"/>
  <c r="I743" i="2"/>
  <c r="J743" i="2"/>
  <c r="K743" i="2"/>
  <c r="L743" i="2"/>
  <c r="A743" i="2" s="1"/>
  <c r="M743" i="2"/>
  <c r="B744" i="2"/>
  <c r="C744" i="2"/>
  <c r="D744" i="2"/>
  <c r="E744" i="2"/>
  <c r="F744" i="2"/>
  <c r="G744" i="2"/>
  <c r="H744" i="2"/>
  <c r="I744" i="2"/>
  <c r="J744" i="2"/>
  <c r="K744" i="2"/>
  <c r="L744" i="2"/>
  <c r="A744" i="2" s="1"/>
  <c r="M744" i="2"/>
  <c r="B745" i="2"/>
  <c r="C745" i="2"/>
  <c r="D745" i="2"/>
  <c r="E745" i="2"/>
  <c r="F745" i="2"/>
  <c r="G745" i="2"/>
  <c r="H745" i="2"/>
  <c r="I745" i="2"/>
  <c r="J745" i="2"/>
  <c r="K745" i="2"/>
  <c r="L745" i="2"/>
  <c r="A745" i="2" s="1"/>
  <c r="M745" i="2"/>
  <c r="B746" i="2"/>
  <c r="C746" i="2"/>
  <c r="D746" i="2"/>
  <c r="E746" i="2"/>
  <c r="F746" i="2"/>
  <c r="G746" i="2"/>
  <c r="H746" i="2"/>
  <c r="I746" i="2"/>
  <c r="J746" i="2"/>
  <c r="K746" i="2"/>
  <c r="L746" i="2"/>
  <c r="A746" i="2" s="1"/>
  <c r="M746" i="2"/>
  <c r="B747" i="2"/>
  <c r="C747" i="2"/>
  <c r="D747" i="2"/>
  <c r="E747" i="2"/>
  <c r="F747" i="2"/>
  <c r="G747" i="2"/>
  <c r="H747" i="2"/>
  <c r="I747" i="2"/>
  <c r="J747" i="2"/>
  <c r="K747" i="2"/>
  <c r="L747" i="2"/>
  <c r="A747" i="2" s="1"/>
  <c r="M747" i="2"/>
  <c r="B748" i="2"/>
  <c r="C748" i="2"/>
  <c r="D748" i="2"/>
  <c r="E748" i="2"/>
  <c r="F748" i="2"/>
  <c r="G748" i="2"/>
  <c r="H748" i="2"/>
  <c r="I748" i="2"/>
  <c r="J748" i="2"/>
  <c r="K748" i="2"/>
  <c r="L748" i="2"/>
  <c r="A748" i="2" s="1"/>
  <c r="M748" i="2"/>
  <c r="B749" i="2"/>
  <c r="C749" i="2"/>
  <c r="D749" i="2"/>
  <c r="E749" i="2"/>
  <c r="F749" i="2"/>
  <c r="G749" i="2"/>
  <c r="H749" i="2"/>
  <c r="I749" i="2"/>
  <c r="J749" i="2"/>
  <c r="K749" i="2"/>
  <c r="L749" i="2"/>
  <c r="A749" i="2" s="1"/>
  <c r="M749" i="2"/>
  <c r="B750" i="2"/>
  <c r="C750" i="2"/>
  <c r="D750" i="2"/>
  <c r="E750" i="2"/>
  <c r="F750" i="2"/>
  <c r="G750" i="2"/>
  <c r="H750" i="2"/>
  <c r="I750" i="2"/>
  <c r="J750" i="2"/>
  <c r="K750" i="2"/>
  <c r="L750" i="2"/>
  <c r="A750" i="2" s="1"/>
  <c r="M750" i="2"/>
  <c r="B751" i="2"/>
  <c r="C751" i="2"/>
  <c r="D751" i="2"/>
  <c r="E751" i="2"/>
  <c r="F751" i="2"/>
  <c r="G751" i="2"/>
  <c r="H751" i="2"/>
  <c r="I751" i="2"/>
  <c r="J751" i="2"/>
  <c r="K751" i="2"/>
  <c r="L751" i="2"/>
  <c r="A751" i="2" s="1"/>
  <c r="M751" i="2"/>
  <c r="B752" i="2"/>
  <c r="C752" i="2"/>
  <c r="D752" i="2"/>
  <c r="E752" i="2"/>
  <c r="F752" i="2"/>
  <c r="G752" i="2"/>
  <c r="H752" i="2"/>
  <c r="I752" i="2"/>
  <c r="J752" i="2"/>
  <c r="K752" i="2"/>
  <c r="L752" i="2"/>
  <c r="A752" i="2" s="1"/>
  <c r="M752" i="2"/>
  <c r="B753" i="2"/>
  <c r="C753" i="2"/>
  <c r="D753" i="2"/>
  <c r="E753" i="2"/>
  <c r="F753" i="2"/>
  <c r="G753" i="2"/>
  <c r="H753" i="2"/>
  <c r="I753" i="2"/>
  <c r="J753" i="2"/>
  <c r="K753" i="2"/>
  <c r="L753" i="2"/>
  <c r="A753" i="2" s="1"/>
  <c r="M753" i="2"/>
  <c r="B754" i="2"/>
  <c r="C754" i="2"/>
  <c r="D754" i="2"/>
  <c r="E754" i="2"/>
  <c r="F754" i="2"/>
  <c r="G754" i="2"/>
  <c r="H754" i="2"/>
  <c r="I754" i="2"/>
  <c r="J754" i="2"/>
  <c r="K754" i="2"/>
  <c r="L754" i="2"/>
  <c r="A754" i="2" s="1"/>
  <c r="M754" i="2"/>
  <c r="B755" i="2"/>
  <c r="C755" i="2"/>
  <c r="D755" i="2"/>
  <c r="E755" i="2"/>
  <c r="F755" i="2"/>
  <c r="G755" i="2"/>
  <c r="H755" i="2"/>
  <c r="I755" i="2"/>
  <c r="J755" i="2"/>
  <c r="K755" i="2"/>
  <c r="L755" i="2"/>
  <c r="A755" i="2" s="1"/>
  <c r="M755" i="2"/>
  <c r="B756" i="2"/>
  <c r="C756" i="2"/>
  <c r="D756" i="2"/>
  <c r="E756" i="2"/>
  <c r="F756" i="2"/>
  <c r="G756" i="2"/>
  <c r="H756" i="2"/>
  <c r="I756" i="2"/>
  <c r="J756" i="2"/>
  <c r="K756" i="2"/>
  <c r="L756" i="2"/>
  <c r="A756" i="2" s="1"/>
  <c r="M756" i="2"/>
  <c r="B757" i="2"/>
  <c r="C757" i="2"/>
  <c r="D757" i="2"/>
  <c r="E757" i="2"/>
  <c r="F757" i="2"/>
  <c r="G757" i="2"/>
  <c r="H757" i="2"/>
  <c r="I757" i="2"/>
  <c r="J757" i="2"/>
  <c r="K757" i="2"/>
  <c r="L757" i="2"/>
  <c r="A757" i="2" s="1"/>
  <c r="M757" i="2"/>
  <c r="B758" i="2"/>
  <c r="C758" i="2"/>
  <c r="D758" i="2"/>
  <c r="E758" i="2"/>
  <c r="F758" i="2"/>
  <c r="G758" i="2"/>
  <c r="H758" i="2"/>
  <c r="I758" i="2"/>
  <c r="J758" i="2"/>
  <c r="K758" i="2"/>
  <c r="L758" i="2"/>
  <c r="A758" i="2" s="1"/>
  <c r="M758" i="2"/>
  <c r="B759" i="2"/>
  <c r="C759" i="2"/>
  <c r="D759" i="2"/>
  <c r="E759" i="2"/>
  <c r="F759" i="2"/>
  <c r="G759" i="2"/>
  <c r="H759" i="2"/>
  <c r="I759" i="2"/>
  <c r="J759" i="2"/>
  <c r="K759" i="2"/>
  <c r="L759" i="2"/>
  <c r="A759" i="2" s="1"/>
  <c r="M759" i="2"/>
  <c r="B760" i="2"/>
  <c r="C760" i="2"/>
  <c r="D760" i="2"/>
  <c r="E760" i="2"/>
  <c r="F760" i="2"/>
  <c r="G760" i="2"/>
  <c r="H760" i="2"/>
  <c r="I760" i="2"/>
  <c r="J760" i="2"/>
  <c r="K760" i="2"/>
  <c r="L760" i="2"/>
  <c r="A760" i="2" s="1"/>
  <c r="M760" i="2"/>
  <c r="B761" i="2"/>
  <c r="C761" i="2"/>
  <c r="D761" i="2"/>
  <c r="E761" i="2"/>
  <c r="F761" i="2"/>
  <c r="G761" i="2"/>
  <c r="H761" i="2"/>
  <c r="I761" i="2"/>
  <c r="J761" i="2"/>
  <c r="K761" i="2"/>
  <c r="L761" i="2"/>
  <c r="A761" i="2" s="1"/>
  <c r="M761" i="2"/>
  <c r="B762" i="2"/>
  <c r="C762" i="2"/>
  <c r="D762" i="2"/>
  <c r="E762" i="2"/>
  <c r="F762" i="2"/>
  <c r="G762" i="2"/>
  <c r="H762" i="2"/>
  <c r="I762" i="2"/>
  <c r="J762" i="2"/>
  <c r="K762" i="2"/>
  <c r="L762" i="2"/>
  <c r="A762" i="2" s="1"/>
  <c r="M762" i="2"/>
  <c r="B763" i="2"/>
  <c r="C763" i="2"/>
  <c r="D763" i="2"/>
  <c r="E763" i="2"/>
  <c r="F763" i="2"/>
  <c r="G763" i="2"/>
  <c r="H763" i="2"/>
  <c r="I763" i="2"/>
  <c r="J763" i="2"/>
  <c r="K763" i="2"/>
  <c r="L763" i="2"/>
  <c r="A763" i="2" s="1"/>
  <c r="M763" i="2"/>
  <c r="B764" i="2"/>
  <c r="C764" i="2"/>
  <c r="D764" i="2"/>
  <c r="E764" i="2"/>
  <c r="F764" i="2"/>
  <c r="G764" i="2"/>
  <c r="H764" i="2"/>
  <c r="I764" i="2"/>
  <c r="J764" i="2"/>
  <c r="K764" i="2"/>
  <c r="L764" i="2"/>
  <c r="A764" i="2" s="1"/>
  <c r="M764" i="2"/>
  <c r="B765" i="2"/>
  <c r="C765" i="2"/>
  <c r="D765" i="2"/>
  <c r="E765" i="2"/>
  <c r="F765" i="2"/>
  <c r="G765" i="2"/>
  <c r="H765" i="2"/>
  <c r="I765" i="2"/>
  <c r="J765" i="2"/>
  <c r="K765" i="2"/>
  <c r="L765" i="2"/>
  <c r="A765" i="2" s="1"/>
  <c r="M765" i="2"/>
  <c r="B766" i="2"/>
  <c r="C766" i="2"/>
  <c r="D766" i="2"/>
  <c r="E766" i="2"/>
  <c r="F766" i="2"/>
  <c r="G766" i="2"/>
  <c r="H766" i="2"/>
  <c r="I766" i="2"/>
  <c r="J766" i="2"/>
  <c r="K766" i="2"/>
  <c r="L766" i="2"/>
  <c r="A766" i="2" s="1"/>
  <c r="M766" i="2"/>
  <c r="B767" i="2"/>
  <c r="C767" i="2"/>
  <c r="D767" i="2"/>
  <c r="E767" i="2"/>
  <c r="F767" i="2"/>
  <c r="G767" i="2"/>
  <c r="H767" i="2"/>
  <c r="I767" i="2"/>
  <c r="J767" i="2"/>
  <c r="K767" i="2"/>
  <c r="L767" i="2"/>
  <c r="A767" i="2" s="1"/>
  <c r="M767" i="2"/>
  <c r="B768" i="2"/>
  <c r="C768" i="2"/>
  <c r="D768" i="2"/>
  <c r="E768" i="2"/>
  <c r="F768" i="2"/>
  <c r="G768" i="2"/>
  <c r="H768" i="2"/>
  <c r="I768" i="2"/>
  <c r="J768" i="2"/>
  <c r="K768" i="2"/>
  <c r="L768" i="2"/>
  <c r="A768" i="2" s="1"/>
  <c r="M768" i="2"/>
  <c r="B769" i="2"/>
  <c r="C769" i="2"/>
  <c r="D769" i="2"/>
  <c r="E769" i="2"/>
  <c r="F769" i="2"/>
  <c r="G769" i="2"/>
  <c r="H769" i="2"/>
  <c r="I769" i="2"/>
  <c r="J769" i="2"/>
  <c r="K769" i="2"/>
  <c r="L769" i="2"/>
  <c r="A769" i="2" s="1"/>
  <c r="M769" i="2"/>
  <c r="B770" i="2"/>
  <c r="C770" i="2"/>
  <c r="D770" i="2"/>
  <c r="E770" i="2"/>
  <c r="F770" i="2"/>
  <c r="G770" i="2"/>
  <c r="H770" i="2"/>
  <c r="I770" i="2"/>
  <c r="J770" i="2"/>
  <c r="K770" i="2"/>
  <c r="L770" i="2"/>
  <c r="A770" i="2" s="1"/>
  <c r="M770" i="2"/>
  <c r="B771" i="2"/>
  <c r="C771" i="2"/>
  <c r="D771" i="2"/>
  <c r="E771" i="2"/>
  <c r="F771" i="2"/>
  <c r="G771" i="2"/>
  <c r="H771" i="2"/>
  <c r="I771" i="2"/>
  <c r="J771" i="2"/>
  <c r="K771" i="2"/>
  <c r="L771" i="2"/>
  <c r="A771" i="2" s="1"/>
  <c r="M771" i="2"/>
  <c r="B772" i="2"/>
  <c r="C772" i="2"/>
  <c r="D772" i="2"/>
  <c r="E772" i="2"/>
  <c r="F772" i="2"/>
  <c r="G772" i="2"/>
  <c r="H772" i="2"/>
  <c r="I772" i="2"/>
  <c r="J772" i="2"/>
  <c r="K772" i="2"/>
  <c r="L772" i="2"/>
  <c r="A772" i="2" s="1"/>
  <c r="M772" i="2"/>
  <c r="B773" i="2"/>
  <c r="C773" i="2"/>
  <c r="D773" i="2"/>
  <c r="E773" i="2"/>
  <c r="F773" i="2"/>
  <c r="G773" i="2"/>
  <c r="H773" i="2"/>
  <c r="I773" i="2"/>
  <c r="J773" i="2"/>
  <c r="K773" i="2"/>
  <c r="L773" i="2"/>
  <c r="A773" i="2" s="1"/>
  <c r="M773" i="2"/>
  <c r="B774" i="2"/>
  <c r="C774" i="2"/>
  <c r="D774" i="2"/>
  <c r="E774" i="2"/>
  <c r="F774" i="2"/>
  <c r="G774" i="2"/>
  <c r="H774" i="2"/>
  <c r="I774" i="2"/>
  <c r="J774" i="2"/>
  <c r="K774" i="2"/>
  <c r="L774" i="2"/>
  <c r="A774" i="2" s="1"/>
  <c r="M774" i="2"/>
  <c r="B775" i="2"/>
  <c r="C775" i="2"/>
  <c r="D775" i="2"/>
  <c r="E775" i="2"/>
  <c r="F775" i="2"/>
  <c r="G775" i="2"/>
  <c r="H775" i="2"/>
  <c r="I775" i="2"/>
  <c r="J775" i="2"/>
  <c r="K775" i="2"/>
  <c r="L775" i="2"/>
  <c r="A775" i="2" s="1"/>
  <c r="M775" i="2"/>
  <c r="B776" i="2"/>
  <c r="C776" i="2"/>
  <c r="D776" i="2"/>
  <c r="E776" i="2"/>
  <c r="F776" i="2"/>
  <c r="G776" i="2"/>
  <c r="H776" i="2"/>
  <c r="I776" i="2"/>
  <c r="J776" i="2"/>
  <c r="K776" i="2"/>
  <c r="L776" i="2"/>
  <c r="A776" i="2" s="1"/>
  <c r="M776" i="2"/>
  <c r="B777" i="2"/>
  <c r="C777" i="2"/>
  <c r="D777" i="2"/>
  <c r="E777" i="2"/>
  <c r="F777" i="2"/>
  <c r="G777" i="2"/>
  <c r="H777" i="2"/>
  <c r="I777" i="2"/>
  <c r="J777" i="2"/>
  <c r="K777" i="2"/>
  <c r="L777" i="2"/>
  <c r="A777" i="2" s="1"/>
  <c r="M777" i="2"/>
  <c r="B778" i="2"/>
  <c r="C778" i="2"/>
  <c r="D778" i="2"/>
  <c r="E778" i="2"/>
  <c r="F778" i="2"/>
  <c r="G778" i="2"/>
  <c r="H778" i="2"/>
  <c r="I778" i="2"/>
  <c r="J778" i="2"/>
  <c r="K778" i="2"/>
  <c r="L778" i="2"/>
  <c r="A778" i="2" s="1"/>
  <c r="M778" i="2"/>
  <c r="B779" i="2"/>
  <c r="C779" i="2"/>
  <c r="D779" i="2"/>
  <c r="E779" i="2"/>
  <c r="F779" i="2"/>
  <c r="G779" i="2"/>
  <c r="H779" i="2"/>
  <c r="I779" i="2"/>
  <c r="J779" i="2"/>
  <c r="K779" i="2"/>
  <c r="L779" i="2"/>
  <c r="A779" i="2" s="1"/>
  <c r="M779" i="2"/>
  <c r="B780" i="2"/>
  <c r="C780" i="2"/>
  <c r="D780" i="2"/>
  <c r="E780" i="2"/>
  <c r="F780" i="2"/>
  <c r="G780" i="2"/>
  <c r="H780" i="2"/>
  <c r="I780" i="2"/>
  <c r="J780" i="2"/>
  <c r="K780" i="2"/>
  <c r="L780" i="2"/>
  <c r="A780" i="2" s="1"/>
  <c r="M780" i="2"/>
  <c r="B781" i="2"/>
  <c r="C781" i="2"/>
  <c r="D781" i="2"/>
  <c r="E781" i="2"/>
  <c r="F781" i="2"/>
  <c r="G781" i="2"/>
  <c r="H781" i="2"/>
  <c r="I781" i="2"/>
  <c r="J781" i="2"/>
  <c r="K781" i="2"/>
  <c r="L781" i="2"/>
  <c r="A781" i="2" s="1"/>
  <c r="M781" i="2"/>
  <c r="B782" i="2"/>
  <c r="C782" i="2"/>
  <c r="D782" i="2"/>
  <c r="E782" i="2"/>
  <c r="F782" i="2"/>
  <c r="G782" i="2"/>
  <c r="H782" i="2"/>
  <c r="I782" i="2"/>
  <c r="J782" i="2"/>
  <c r="K782" i="2"/>
  <c r="L782" i="2"/>
  <c r="A782" i="2" s="1"/>
  <c r="M782" i="2"/>
  <c r="B783" i="2"/>
  <c r="C783" i="2"/>
  <c r="D783" i="2"/>
  <c r="E783" i="2"/>
  <c r="F783" i="2"/>
  <c r="G783" i="2"/>
  <c r="H783" i="2"/>
  <c r="I783" i="2"/>
  <c r="J783" i="2"/>
  <c r="K783" i="2"/>
  <c r="L783" i="2"/>
  <c r="A783" i="2" s="1"/>
  <c r="M783" i="2"/>
  <c r="B784" i="2"/>
  <c r="C784" i="2"/>
  <c r="D784" i="2"/>
  <c r="E784" i="2"/>
  <c r="F784" i="2"/>
  <c r="G784" i="2"/>
  <c r="H784" i="2"/>
  <c r="I784" i="2"/>
  <c r="J784" i="2"/>
  <c r="K784" i="2"/>
  <c r="L784" i="2"/>
  <c r="A784" i="2" s="1"/>
  <c r="M784" i="2"/>
  <c r="B785" i="2"/>
  <c r="C785" i="2"/>
  <c r="D785" i="2"/>
  <c r="E785" i="2"/>
  <c r="F785" i="2"/>
  <c r="G785" i="2"/>
  <c r="H785" i="2"/>
  <c r="I785" i="2"/>
  <c r="J785" i="2"/>
  <c r="K785" i="2"/>
  <c r="L785" i="2"/>
  <c r="A785" i="2" s="1"/>
  <c r="M785" i="2"/>
  <c r="B786" i="2"/>
  <c r="C786" i="2"/>
  <c r="D786" i="2"/>
  <c r="E786" i="2"/>
  <c r="F786" i="2"/>
  <c r="G786" i="2"/>
  <c r="H786" i="2"/>
  <c r="I786" i="2"/>
  <c r="J786" i="2"/>
  <c r="K786" i="2"/>
  <c r="L786" i="2"/>
  <c r="A786" i="2" s="1"/>
  <c r="M786" i="2"/>
  <c r="B787" i="2"/>
  <c r="C787" i="2"/>
  <c r="D787" i="2"/>
  <c r="E787" i="2"/>
  <c r="F787" i="2"/>
  <c r="G787" i="2"/>
  <c r="H787" i="2"/>
  <c r="I787" i="2"/>
  <c r="J787" i="2"/>
  <c r="K787" i="2"/>
  <c r="L787" i="2"/>
  <c r="A787" i="2" s="1"/>
  <c r="M787" i="2"/>
  <c r="B788" i="2"/>
  <c r="C788" i="2"/>
  <c r="D788" i="2"/>
  <c r="E788" i="2"/>
  <c r="F788" i="2"/>
  <c r="G788" i="2"/>
  <c r="H788" i="2"/>
  <c r="I788" i="2"/>
  <c r="J788" i="2"/>
  <c r="K788" i="2"/>
  <c r="L788" i="2"/>
  <c r="A788" i="2" s="1"/>
  <c r="M788" i="2"/>
  <c r="B789" i="2"/>
  <c r="C789" i="2"/>
  <c r="D789" i="2"/>
  <c r="E789" i="2"/>
  <c r="F789" i="2"/>
  <c r="G789" i="2"/>
  <c r="H789" i="2"/>
  <c r="I789" i="2"/>
  <c r="J789" i="2"/>
  <c r="K789" i="2"/>
  <c r="L789" i="2"/>
  <c r="A789" i="2" s="1"/>
  <c r="M789" i="2"/>
  <c r="B790" i="2"/>
  <c r="C790" i="2"/>
  <c r="D790" i="2"/>
  <c r="E790" i="2"/>
  <c r="F790" i="2"/>
  <c r="G790" i="2"/>
  <c r="H790" i="2"/>
  <c r="I790" i="2"/>
  <c r="J790" i="2"/>
  <c r="K790" i="2"/>
  <c r="L790" i="2"/>
  <c r="A790" i="2" s="1"/>
  <c r="M790" i="2"/>
  <c r="B791" i="2"/>
  <c r="C791" i="2"/>
  <c r="D791" i="2"/>
  <c r="E791" i="2"/>
  <c r="F791" i="2"/>
  <c r="G791" i="2"/>
  <c r="H791" i="2"/>
  <c r="I791" i="2"/>
  <c r="J791" i="2"/>
  <c r="K791" i="2"/>
  <c r="L791" i="2"/>
  <c r="A791" i="2" s="1"/>
  <c r="M791" i="2"/>
  <c r="B792" i="2"/>
  <c r="C792" i="2"/>
  <c r="D792" i="2"/>
  <c r="E792" i="2"/>
  <c r="F792" i="2"/>
  <c r="G792" i="2"/>
  <c r="H792" i="2"/>
  <c r="I792" i="2"/>
  <c r="J792" i="2"/>
  <c r="K792" i="2"/>
  <c r="L792" i="2"/>
  <c r="A792" i="2" s="1"/>
  <c r="M792" i="2"/>
  <c r="B793" i="2"/>
  <c r="C793" i="2"/>
  <c r="D793" i="2"/>
  <c r="E793" i="2"/>
  <c r="F793" i="2"/>
  <c r="G793" i="2"/>
  <c r="H793" i="2"/>
  <c r="I793" i="2"/>
  <c r="J793" i="2"/>
  <c r="K793" i="2"/>
  <c r="L793" i="2"/>
  <c r="A793" i="2" s="1"/>
  <c r="M793" i="2"/>
  <c r="B794" i="2"/>
  <c r="C794" i="2"/>
  <c r="D794" i="2"/>
  <c r="E794" i="2"/>
  <c r="F794" i="2"/>
  <c r="G794" i="2"/>
  <c r="H794" i="2"/>
  <c r="I794" i="2"/>
  <c r="J794" i="2"/>
  <c r="K794" i="2"/>
  <c r="L794" i="2"/>
  <c r="A794" i="2" s="1"/>
  <c r="M794" i="2"/>
  <c r="J2" i="5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T1159" i="2" l="1"/>
  <c r="T1158" i="2"/>
  <c r="T1171" i="2"/>
  <c r="T1170" i="2"/>
  <c r="T1168" i="2"/>
  <c r="T1169" i="2"/>
  <c r="T1160" i="2"/>
  <c r="T1163" i="2"/>
  <c r="T1162" i="2"/>
  <c r="T1165" i="2"/>
  <c r="T1161" i="2"/>
  <c r="T1172" i="2"/>
  <c r="T1167" i="2"/>
  <c r="T1166" i="2"/>
  <c r="T1157" i="2"/>
  <c r="T1164" i="2"/>
  <c r="T1156" i="2"/>
  <c r="B52" i="12"/>
  <c r="B84" i="12"/>
  <c r="G3" i="12"/>
  <c r="F47" i="12"/>
  <c r="F78" i="12" s="1"/>
  <c r="F63" i="12"/>
  <c r="F94" i="12" s="1"/>
  <c r="G19" i="12"/>
  <c r="F56" i="12"/>
  <c r="F87" i="12" s="1"/>
  <c r="G12" i="12"/>
  <c r="F48" i="12"/>
  <c r="F79" i="12" s="1"/>
  <c r="G4" i="12"/>
  <c r="G16" i="12"/>
  <c r="F60" i="12"/>
  <c r="F91" i="12" s="1"/>
  <c r="H31" i="12"/>
  <c r="H32" i="12" s="1"/>
  <c r="H38" i="12"/>
  <c r="H39" i="12" s="1"/>
  <c r="E77" i="12"/>
  <c r="E105" i="12" s="1"/>
  <c r="E74" i="12"/>
  <c r="F49" i="12"/>
  <c r="F80" i="12" s="1"/>
  <c r="G5" i="12"/>
  <c r="F62" i="12"/>
  <c r="F93" i="12" s="1"/>
  <c r="G18" i="12"/>
  <c r="F68" i="12"/>
  <c r="F99" i="12" s="1"/>
  <c r="G24" i="12"/>
  <c r="F55" i="12"/>
  <c r="F86" i="12" s="1"/>
  <c r="G11" i="12"/>
  <c r="F70" i="12"/>
  <c r="F101" i="12" s="1"/>
  <c r="G26" i="12"/>
  <c r="F64" i="12"/>
  <c r="F95" i="12" s="1"/>
  <c r="G20" i="12"/>
  <c r="F69" i="12"/>
  <c r="F100" i="12" s="1"/>
  <c r="G25" i="12"/>
  <c r="F67" i="12"/>
  <c r="F98" i="12" s="1"/>
  <c r="G23" i="12"/>
  <c r="G17" i="12"/>
  <c r="F61" i="12"/>
  <c r="F92" i="12" s="1"/>
  <c r="F72" i="12"/>
  <c r="F103" i="12" s="1"/>
  <c r="G28" i="12"/>
  <c r="F50" i="12"/>
  <c r="F81" i="12" s="1"/>
  <c r="G6" i="12"/>
  <c r="F53" i="12"/>
  <c r="F84" i="12" s="1"/>
  <c r="G9" i="12"/>
  <c r="G32" i="12"/>
  <c r="G34" i="12" s="1"/>
  <c r="G35" i="12" s="1"/>
  <c r="F58" i="12"/>
  <c r="F89" i="12" s="1"/>
  <c r="G14" i="12"/>
  <c r="F59" i="12"/>
  <c r="F90" i="12" s="1"/>
  <c r="G15" i="12"/>
  <c r="G7" i="12"/>
  <c r="F51" i="12"/>
  <c r="F82" i="12" s="1"/>
  <c r="F46" i="12"/>
  <c r="G2" i="12"/>
  <c r="G13" i="12"/>
  <c r="F57" i="12"/>
  <c r="F88" i="12" s="1"/>
  <c r="F73" i="12"/>
  <c r="F104" i="12" s="1"/>
  <c r="G29" i="12"/>
  <c r="F52" i="12"/>
  <c r="F83" i="12" s="1"/>
  <c r="G8" i="12"/>
  <c r="F66" i="12"/>
  <c r="F97" i="12" s="1"/>
  <c r="G22" i="12"/>
  <c r="F54" i="12"/>
  <c r="F85" i="12" s="1"/>
  <c r="G10" i="12"/>
  <c r="F65" i="12"/>
  <c r="F96" i="12" s="1"/>
  <c r="G21" i="12"/>
  <c r="C94" i="7"/>
  <c r="C135" i="7"/>
  <c r="L3" i="2"/>
  <c r="T1155" i="2" l="1"/>
  <c r="H27" i="12"/>
  <c r="H71" i="12" s="1"/>
  <c r="H102" i="12" s="1"/>
  <c r="B53" i="12"/>
  <c r="B85" i="12"/>
  <c r="I31" i="12"/>
  <c r="I38" i="12"/>
  <c r="I39" i="12" s="1"/>
  <c r="G51" i="12"/>
  <c r="G82" i="12" s="1"/>
  <c r="H7" i="12"/>
  <c r="G69" i="12"/>
  <c r="G100" i="12" s="1"/>
  <c r="H25" i="12"/>
  <c r="G68" i="12"/>
  <c r="G99" i="12" s="1"/>
  <c r="H24" i="12"/>
  <c r="G48" i="12"/>
  <c r="G79" i="12" s="1"/>
  <c r="H4" i="12"/>
  <c r="H3" i="12"/>
  <c r="G47" i="12"/>
  <c r="G78" i="12" s="1"/>
  <c r="H10" i="12"/>
  <c r="G54" i="12"/>
  <c r="G85" i="12" s="1"/>
  <c r="G73" i="12"/>
  <c r="G104" i="12" s="1"/>
  <c r="H29" i="12"/>
  <c r="G61" i="12"/>
  <c r="G92" i="12" s="1"/>
  <c r="H17" i="12"/>
  <c r="H34" i="12"/>
  <c r="H35" i="12" s="1"/>
  <c r="G64" i="12"/>
  <c r="G95" i="12" s="1"/>
  <c r="H20" i="12"/>
  <c r="G67" i="12"/>
  <c r="G98" i="12" s="1"/>
  <c r="H23" i="12"/>
  <c r="G57" i="12"/>
  <c r="G88" i="12" s="1"/>
  <c r="H13" i="12"/>
  <c r="G58" i="12"/>
  <c r="G89" i="12" s="1"/>
  <c r="H14" i="12"/>
  <c r="G72" i="12"/>
  <c r="G103" i="12" s="1"/>
  <c r="H28" i="12"/>
  <c r="G70" i="12"/>
  <c r="G101" i="12" s="1"/>
  <c r="H26" i="12"/>
  <c r="G49" i="12"/>
  <c r="G80" i="12" s="1"/>
  <c r="H5" i="12"/>
  <c r="G59" i="12"/>
  <c r="G90" i="12" s="1"/>
  <c r="H15" i="12"/>
  <c r="G56" i="12"/>
  <c r="G87" i="12" s="1"/>
  <c r="H12" i="12"/>
  <c r="G66" i="12"/>
  <c r="G97" i="12" s="1"/>
  <c r="H22" i="12"/>
  <c r="G46" i="12"/>
  <c r="H2" i="12"/>
  <c r="H6" i="12"/>
  <c r="G50" i="12"/>
  <c r="G81" i="12" s="1"/>
  <c r="F77" i="12"/>
  <c r="F105" i="12" s="1"/>
  <c r="F74" i="12"/>
  <c r="G55" i="12"/>
  <c r="G86" i="12" s="1"/>
  <c r="H11" i="12"/>
  <c r="G62" i="12"/>
  <c r="G93" i="12" s="1"/>
  <c r="H18" i="12"/>
  <c r="G65" i="12"/>
  <c r="G96" i="12" s="1"/>
  <c r="H21" i="12"/>
  <c r="G52" i="12"/>
  <c r="G83" i="12" s="1"/>
  <c r="H8" i="12"/>
  <c r="G53" i="12"/>
  <c r="G84" i="12" s="1"/>
  <c r="H9" i="12"/>
  <c r="G60" i="12"/>
  <c r="G91" i="12" s="1"/>
  <c r="H16" i="12"/>
  <c r="G63" i="12"/>
  <c r="G94" i="12" s="1"/>
  <c r="H19" i="12"/>
  <c r="D45" i="7"/>
  <c r="U1168" i="2" l="1"/>
  <c r="U1160" i="2"/>
  <c r="U1167" i="2"/>
  <c r="U1159" i="2"/>
  <c r="U1157" i="2"/>
  <c r="U1170" i="2"/>
  <c r="U1162" i="2"/>
  <c r="U1161" i="2"/>
  <c r="U1172" i="2"/>
  <c r="U1164" i="2"/>
  <c r="U1156" i="2"/>
  <c r="U1171" i="2"/>
  <c r="U1163" i="2"/>
  <c r="U1169" i="2"/>
  <c r="U1166" i="2"/>
  <c r="U1158" i="2"/>
  <c r="U1165" i="2"/>
  <c r="I27" i="12"/>
  <c r="I71" i="12" s="1"/>
  <c r="I102" i="12" s="1"/>
  <c r="T1148" i="2"/>
  <c r="T1149" i="2"/>
  <c r="T1150" i="2"/>
  <c r="T1143" i="2"/>
  <c r="T1138" i="2"/>
  <c r="T1139" i="2"/>
  <c r="T1151" i="2"/>
  <c r="T1140" i="2"/>
  <c r="T1144" i="2"/>
  <c r="T1145" i="2"/>
  <c r="T1146" i="2"/>
  <c r="T1147" i="2"/>
  <c r="T1152" i="2"/>
  <c r="T1153" i="2"/>
  <c r="T1154" i="2"/>
  <c r="T1141" i="2"/>
  <c r="T1142" i="2"/>
  <c r="B54" i="12"/>
  <c r="G74" i="12"/>
  <c r="H73" i="12"/>
  <c r="H104" i="12" s="1"/>
  <c r="I29" i="12"/>
  <c r="H53" i="12"/>
  <c r="H84" i="12" s="1"/>
  <c r="I9" i="12"/>
  <c r="H46" i="12"/>
  <c r="I2" i="12"/>
  <c r="H49" i="12"/>
  <c r="H80" i="12" s="1"/>
  <c r="I5" i="12"/>
  <c r="H58" i="12"/>
  <c r="H89" i="12" s="1"/>
  <c r="I14" i="12"/>
  <c r="H64" i="12"/>
  <c r="H95" i="12" s="1"/>
  <c r="I20" i="12"/>
  <c r="J31" i="12"/>
  <c r="J38" i="12"/>
  <c r="J39" i="12" s="1"/>
  <c r="G77" i="12"/>
  <c r="H57" i="12"/>
  <c r="H88" i="12" s="1"/>
  <c r="I13" i="12"/>
  <c r="H54" i="12"/>
  <c r="H85" i="12" s="1"/>
  <c r="I10" i="12"/>
  <c r="I24" i="12"/>
  <c r="H68" i="12"/>
  <c r="H99" i="12" s="1"/>
  <c r="I32" i="12"/>
  <c r="I34" i="12" s="1"/>
  <c r="I35" i="12" s="1"/>
  <c r="I6" i="12"/>
  <c r="H50" i="12"/>
  <c r="H81" i="12" s="1"/>
  <c r="H63" i="12"/>
  <c r="H94" i="12" s="1"/>
  <c r="I19" i="12"/>
  <c r="H52" i="12"/>
  <c r="H83" i="12" s="1"/>
  <c r="I8" i="12"/>
  <c r="H62" i="12"/>
  <c r="H93" i="12" s="1"/>
  <c r="I18" i="12"/>
  <c r="H66" i="12"/>
  <c r="H97" i="12" s="1"/>
  <c r="I22" i="12"/>
  <c r="I16" i="12"/>
  <c r="H60" i="12"/>
  <c r="H91" i="12" s="1"/>
  <c r="H65" i="12"/>
  <c r="H96" i="12" s="1"/>
  <c r="I21" i="12"/>
  <c r="H55" i="12"/>
  <c r="H86" i="12" s="1"/>
  <c r="I11" i="12"/>
  <c r="H56" i="12"/>
  <c r="H87" i="12" s="1"/>
  <c r="I12" i="12"/>
  <c r="H70" i="12"/>
  <c r="H101" i="12" s="1"/>
  <c r="I26" i="12"/>
  <c r="H67" i="12"/>
  <c r="H98" i="12" s="1"/>
  <c r="I23" i="12"/>
  <c r="H47" i="12"/>
  <c r="H78" i="12" s="1"/>
  <c r="I3" i="12"/>
  <c r="I25" i="12"/>
  <c r="H69" i="12"/>
  <c r="H100" i="12" s="1"/>
  <c r="H61" i="12"/>
  <c r="H92" i="12" s="1"/>
  <c r="I17" i="12"/>
  <c r="H48" i="12"/>
  <c r="H79" i="12" s="1"/>
  <c r="I4" i="12"/>
  <c r="H59" i="12"/>
  <c r="H90" i="12" s="1"/>
  <c r="I15" i="12"/>
  <c r="H72" i="12"/>
  <c r="H103" i="12" s="1"/>
  <c r="I28" i="12"/>
  <c r="H51" i="12"/>
  <c r="H82" i="12" s="1"/>
  <c r="I7" i="12"/>
  <c r="M134" i="2"/>
  <c r="M173" i="2"/>
  <c r="M296" i="2"/>
  <c r="M337" i="2"/>
  <c r="M426" i="2"/>
  <c r="M566" i="2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33" i="6"/>
  <c r="N34" i="6"/>
  <c r="N35" i="6"/>
  <c r="N36" i="6"/>
  <c r="N37" i="6"/>
  <c r="N38" i="6"/>
  <c r="N39" i="6"/>
  <c r="N40" i="6"/>
  <c r="N41" i="6"/>
  <c r="N42" i="6"/>
  <c r="N43" i="6"/>
  <c r="N44" i="6"/>
  <c r="N45" i="6"/>
  <c r="N46" i="6"/>
  <c r="N6" i="6"/>
  <c r="M27" i="2"/>
  <c r="M97" i="2"/>
  <c r="M368" i="2"/>
  <c r="M421" i="2"/>
  <c r="M487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3" i="2"/>
  <c r="M24" i="2"/>
  <c r="M25" i="2"/>
  <c r="M29" i="2"/>
  <c r="M30" i="2"/>
  <c r="M32" i="2"/>
  <c r="M33" i="2"/>
  <c r="M34" i="2"/>
  <c r="M35" i="2"/>
  <c r="M38" i="2"/>
  <c r="M39" i="2"/>
  <c r="M40" i="2"/>
  <c r="M41" i="2"/>
  <c r="M42" i="2"/>
  <c r="M44" i="2"/>
  <c r="M46" i="2"/>
  <c r="M47" i="2"/>
  <c r="M48" i="2"/>
  <c r="M49" i="2"/>
  <c r="M50" i="2"/>
  <c r="M52" i="2"/>
  <c r="M54" i="2"/>
  <c r="M55" i="2"/>
  <c r="M56" i="2"/>
  <c r="M57" i="2"/>
  <c r="M58" i="2"/>
  <c r="M59" i="2"/>
  <c r="M61" i="2"/>
  <c r="M63" i="2"/>
  <c r="M64" i="2"/>
  <c r="M67" i="2"/>
  <c r="M69" i="2"/>
  <c r="M70" i="2"/>
  <c r="M71" i="2"/>
  <c r="M73" i="2"/>
  <c r="M75" i="2"/>
  <c r="M77" i="2"/>
  <c r="M79" i="2"/>
  <c r="M80" i="2"/>
  <c r="M81" i="2"/>
  <c r="M85" i="2"/>
  <c r="M86" i="2"/>
  <c r="M87" i="2"/>
  <c r="M88" i="2"/>
  <c r="M90" i="2"/>
  <c r="M91" i="2"/>
  <c r="M95" i="2"/>
  <c r="M106" i="2"/>
  <c r="M111" i="2"/>
  <c r="M112" i="2"/>
  <c r="M113" i="2"/>
  <c r="M114" i="2"/>
  <c r="M115" i="2"/>
  <c r="M116" i="2"/>
  <c r="M117" i="2"/>
  <c r="M119" i="2"/>
  <c r="M120" i="2"/>
  <c r="M121" i="2"/>
  <c r="M122" i="2"/>
  <c r="M123" i="2"/>
  <c r="M124" i="2"/>
  <c r="M125" i="2"/>
  <c r="M127" i="2"/>
  <c r="M128" i="2"/>
  <c r="M129" i="2"/>
  <c r="M130" i="2"/>
  <c r="M131" i="2"/>
  <c r="M133" i="2"/>
  <c r="M138" i="2"/>
  <c r="M139" i="2"/>
  <c r="M141" i="2"/>
  <c r="M142" i="2"/>
  <c r="M143" i="2"/>
  <c r="M144" i="2"/>
  <c r="M146" i="2"/>
  <c r="M152" i="2"/>
  <c r="M162" i="2"/>
  <c r="M168" i="2"/>
  <c r="M179" i="2"/>
  <c r="M183" i="2"/>
  <c r="M184" i="2"/>
  <c r="M186" i="2"/>
  <c r="M188" i="2"/>
  <c r="M189" i="2"/>
  <c r="M190" i="2"/>
  <c r="M191" i="2"/>
  <c r="M192" i="2"/>
  <c r="M194" i="2"/>
  <c r="M196" i="2"/>
  <c r="M197" i="2"/>
  <c r="M198" i="2"/>
  <c r="M199" i="2"/>
  <c r="M200" i="2"/>
  <c r="M201" i="2"/>
  <c r="M205" i="2"/>
  <c r="M206" i="2"/>
  <c r="M207" i="2"/>
  <c r="M209" i="2"/>
  <c r="M210" i="2"/>
  <c r="M211" i="2"/>
  <c r="M215" i="2"/>
  <c r="M216" i="2"/>
  <c r="M217" i="2"/>
  <c r="M218" i="2"/>
  <c r="M237" i="2"/>
  <c r="M238" i="2"/>
  <c r="M239" i="2"/>
  <c r="M240" i="2"/>
  <c r="M241" i="2"/>
  <c r="M243" i="2"/>
  <c r="M245" i="2"/>
  <c r="M246" i="2"/>
  <c r="M247" i="2"/>
  <c r="M248" i="2"/>
  <c r="M249" i="2"/>
  <c r="M251" i="2"/>
  <c r="M253" i="2"/>
  <c r="M254" i="2"/>
  <c r="M255" i="2"/>
  <c r="M257" i="2"/>
  <c r="M258" i="2"/>
  <c r="M259" i="2"/>
  <c r="M261" i="2"/>
  <c r="M262" i="2"/>
  <c r="M266" i="2"/>
  <c r="M267" i="2"/>
  <c r="M269" i="2"/>
  <c r="M270" i="2"/>
  <c r="M271" i="2"/>
  <c r="M272" i="2"/>
  <c r="M275" i="2"/>
  <c r="M278" i="2"/>
  <c r="M279" i="2"/>
  <c r="M280" i="2"/>
  <c r="M281" i="2"/>
  <c r="M282" i="2"/>
  <c r="M286" i="2"/>
  <c r="M287" i="2"/>
  <c r="M289" i="2"/>
  <c r="M290" i="2"/>
  <c r="M304" i="2"/>
  <c r="M310" i="2"/>
  <c r="M311" i="2"/>
  <c r="M312" i="2"/>
  <c r="M313" i="2"/>
  <c r="M314" i="2"/>
  <c r="M315" i="2"/>
  <c r="M316" i="2"/>
  <c r="M318" i="2"/>
  <c r="M319" i="2"/>
  <c r="M320" i="2"/>
  <c r="M321" i="2"/>
  <c r="M322" i="2"/>
  <c r="M323" i="2"/>
  <c r="M324" i="2"/>
  <c r="M326" i="2"/>
  <c r="M328" i="2"/>
  <c r="M330" i="2"/>
  <c r="M331" i="2"/>
  <c r="M333" i="2"/>
  <c r="M334" i="2"/>
  <c r="M335" i="2"/>
  <c r="M341" i="2"/>
  <c r="M342" i="2"/>
  <c r="M343" i="2"/>
  <c r="M344" i="2"/>
  <c r="M346" i="2"/>
  <c r="M358" i="2"/>
  <c r="M378" i="2"/>
  <c r="M381" i="2"/>
  <c r="M383" i="2"/>
  <c r="M384" i="2"/>
  <c r="M385" i="2"/>
  <c r="M387" i="2"/>
  <c r="M389" i="2"/>
  <c r="M390" i="2"/>
  <c r="M391" i="2"/>
  <c r="M393" i="2"/>
  <c r="M394" i="2"/>
  <c r="M397" i="2"/>
  <c r="M398" i="2"/>
  <c r="M399" i="2"/>
  <c r="M400" i="2"/>
  <c r="M401" i="2"/>
  <c r="M403" i="2"/>
  <c r="M406" i="2"/>
  <c r="M407" i="2"/>
  <c r="M408" i="2"/>
  <c r="M409" i="2"/>
  <c r="M410" i="2"/>
  <c r="M411" i="2"/>
  <c r="M415" i="2"/>
  <c r="M416" i="2"/>
  <c r="M435" i="2"/>
  <c r="M436" i="2"/>
  <c r="M437" i="2"/>
  <c r="M438" i="2"/>
  <c r="M439" i="2"/>
  <c r="M441" i="2"/>
  <c r="M442" i="2"/>
  <c r="M443" i="2"/>
  <c r="M444" i="2"/>
  <c r="M445" i="2"/>
  <c r="M446" i="2"/>
  <c r="M447" i="2"/>
  <c r="M449" i="2"/>
  <c r="M450" i="2"/>
  <c r="M451" i="2"/>
  <c r="M452" i="2"/>
  <c r="M459" i="2"/>
  <c r="M469" i="2"/>
  <c r="M481" i="2"/>
  <c r="M489" i="2"/>
  <c r="M490" i="2"/>
  <c r="M492" i="2"/>
  <c r="M494" i="2"/>
  <c r="M495" i="2"/>
  <c r="M496" i="2"/>
  <c r="M497" i="2"/>
  <c r="M498" i="2"/>
  <c r="M500" i="2"/>
  <c r="M502" i="2"/>
  <c r="M503" i="2"/>
  <c r="M504" i="2"/>
  <c r="M505" i="2"/>
  <c r="M506" i="2"/>
  <c r="M507" i="2"/>
  <c r="M511" i="2"/>
  <c r="M512" i="2"/>
  <c r="M513" i="2"/>
  <c r="M514" i="2"/>
  <c r="M515" i="2"/>
  <c r="M517" i="2"/>
  <c r="M519" i="2"/>
  <c r="M521" i="2"/>
  <c r="M522" i="2"/>
  <c r="M523" i="2"/>
  <c r="M525" i="2"/>
  <c r="M526" i="2"/>
  <c r="M528" i="2"/>
  <c r="M529" i="2"/>
  <c r="M531" i="2"/>
  <c r="M533" i="2"/>
  <c r="M534" i="2"/>
  <c r="M535" i="2"/>
  <c r="M537" i="2"/>
  <c r="M538" i="2"/>
  <c r="M539" i="2"/>
  <c r="M542" i="2"/>
  <c r="M543" i="2"/>
  <c r="M544" i="2"/>
  <c r="M545" i="2"/>
  <c r="M546" i="2"/>
  <c r="M547" i="2"/>
  <c r="M548" i="2"/>
  <c r="M550" i="2"/>
  <c r="M551" i="2"/>
  <c r="M552" i="2"/>
  <c r="M553" i="2"/>
  <c r="M554" i="2"/>
  <c r="M555" i="2"/>
  <c r="M556" i="2"/>
  <c r="M558" i="2"/>
  <c r="M559" i="2"/>
  <c r="M560" i="2"/>
  <c r="M562" i="2"/>
  <c r="M563" i="2"/>
  <c r="M565" i="2"/>
  <c r="M568" i="2"/>
  <c r="M569" i="2"/>
  <c r="M571" i="2"/>
  <c r="M573" i="2"/>
  <c r="M574" i="2"/>
  <c r="M575" i="2"/>
  <c r="M576" i="2"/>
  <c r="M581" i="2"/>
  <c r="M591" i="2"/>
  <c r="M615" i="2"/>
  <c r="M616" i="2"/>
  <c r="M617" i="2"/>
  <c r="M619" i="2"/>
  <c r="M621" i="2"/>
  <c r="M622" i="2"/>
  <c r="M623" i="2"/>
  <c r="M624" i="2"/>
  <c r="M625" i="2"/>
  <c r="M627" i="2"/>
  <c r="M629" i="2"/>
  <c r="M630" i="2"/>
  <c r="M631" i="2"/>
  <c r="M632" i="2"/>
  <c r="M633" i="2"/>
  <c r="M634" i="2"/>
  <c r="M635" i="2"/>
  <c r="M636" i="2"/>
  <c r="M639" i="2"/>
  <c r="M641" i="2"/>
  <c r="M642" i="2"/>
  <c r="M643" i="2"/>
  <c r="M644" i="2"/>
  <c r="M645" i="2"/>
  <c r="M648" i="2"/>
  <c r="M649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6" i="2"/>
  <c r="J97" i="2"/>
  <c r="J98" i="2"/>
  <c r="J99" i="2"/>
  <c r="J100" i="2"/>
  <c r="J101" i="2"/>
  <c r="J102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8" i="2"/>
  <c r="J169" i="2"/>
  <c r="J170" i="2"/>
  <c r="J171" i="2"/>
  <c r="J172" i="2"/>
  <c r="J173" i="2"/>
  <c r="J174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4" i="2"/>
  <c r="J225" i="2"/>
  <c r="J226" i="2"/>
  <c r="J227" i="2"/>
  <c r="J228" i="2"/>
  <c r="J229" i="2"/>
  <c r="J230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6" i="2"/>
  <c r="J297" i="2"/>
  <c r="J298" i="2"/>
  <c r="J299" i="2"/>
  <c r="J300" i="2"/>
  <c r="J301" i="2"/>
  <c r="J302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8" i="2"/>
  <c r="J369" i="2"/>
  <c r="J370" i="2"/>
  <c r="J371" i="2"/>
  <c r="J372" i="2"/>
  <c r="J373" i="2"/>
  <c r="J374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4" i="2"/>
  <c r="J425" i="2"/>
  <c r="J426" i="2"/>
  <c r="J427" i="2"/>
  <c r="J428" i="2"/>
  <c r="J429" i="2"/>
  <c r="J430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2" i="2"/>
  <c r="J473" i="2"/>
  <c r="J474" i="2"/>
  <c r="J475" i="2"/>
  <c r="J476" i="2"/>
  <c r="J477" i="2"/>
  <c r="J478" i="2"/>
  <c r="J480" i="2"/>
  <c r="J481" i="2"/>
  <c r="J482" i="2"/>
  <c r="J483" i="2"/>
  <c r="J484" i="2"/>
  <c r="J485" i="2"/>
  <c r="J486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600" i="2"/>
  <c r="J601" i="2"/>
  <c r="J602" i="2"/>
  <c r="J603" i="2"/>
  <c r="J604" i="2"/>
  <c r="J605" i="2"/>
  <c r="J606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5" i="2"/>
  <c r="H46" i="2"/>
  <c r="H47" i="2"/>
  <c r="H48" i="2"/>
  <c r="H49" i="2"/>
  <c r="H50" i="2"/>
  <c r="H51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7" i="2"/>
  <c r="H118" i="2"/>
  <c r="H119" i="2"/>
  <c r="H120" i="2"/>
  <c r="H121" i="2"/>
  <c r="H122" i="2"/>
  <c r="H123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9" i="2"/>
  <c r="H190" i="2"/>
  <c r="H191" i="2"/>
  <c r="H192" i="2"/>
  <c r="H193" i="2"/>
  <c r="H194" i="2"/>
  <c r="H195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5" i="2"/>
  <c r="H246" i="2"/>
  <c r="H247" i="2"/>
  <c r="H248" i="2"/>
  <c r="H249" i="2"/>
  <c r="H250" i="2"/>
  <c r="H251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7" i="2"/>
  <c r="H318" i="2"/>
  <c r="H319" i="2"/>
  <c r="H320" i="2"/>
  <c r="H321" i="2"/>
  <c r="H322" i="2"/>
  <c r="H323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7" i="2"/>
  <c r="H438" i="2"/>
  <c r="H439" i="2"/>
  <c r="H440" i="2"/>
  <c r="H441" i="2"/>
  <c r="H442" i="2"/>
  <c r="H443" i="2"/>
  <c r="H445" i="2"/>
  <c r="H446" i="2"/>
  <c r="H447" i="2"/>
  <c r="H448" i="2"/>
  <c r="H449" i="2"/>
  <c r="H450" i="2"/>
  <c r="H451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3" i="2"/>
  <c r="H494" i="2"/>
  <c r="H495" i="2"/>
  <c r="H496" i="2"/>
  <c r="H497" i="2"/>
  <c r="H498" i="2"/>
  <c r="H499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9" i="2"/>
  <c r="H550" i="2"/>
  <c r="H551" i="2"/>
  <c r="H552" i="2"/>
  <c r="H553" i="2"/>
  <c r="H554" i="2"/>
  <c r="H555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1" i="2"/>
  <c r="H622" i="2"/>
  <c r="H623" i="2"/>
  <c r="H624" i="2"/>
  <c r="H625" i="2"/>
  <c r="H626" i="2"/>
  <c r="H627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8" i="2"/>
  <c r="F59" i="2"/>
  <c r="F60" i="2"/>
  <c r="F61" i="2"/>
  <c r="F62" i="2"/>
  <c r="F63" i="2"/>
  <c r="F64" i="2"/>
  <c r="F66" i="2"/>
  <c r="F67" i="2"/>
  <c r="F68" i="2"/>
  <c r="F69" i="2"/>
  <c r="F70" i="2"/>
  <c r="F71" i="2"/>
  <c r="F72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30" i="2"/>
  <c r="F131" i="2"/>
  <c r="F132" i="2"/>
  <c r="F133" i="2"/>
  <c r="F134" i="2"/>
  <c r="F135" i="2"/>
  <c r="F136" i="2"/>
  <c r="F138" i="2"/>
  <c r="F139" i="2"/>
  <c r="F140" i="2"/>
  <c r="F141" i="2"/>
  <c r="F142" i="2"/>
  <c r="F143" i="2"/>
  <c r="F144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2" i="2"/>
  <c r="F203" i="2"/>
  <c r="F204" i="2"/>
  <c r="F205" i="2"/>
  <c r="F206" i="2"/>
  <c r="F207" i="2"/>
  <c r="F208" i="2"/>
  <c r="F210" i="2"/>
  <c r="F211" i="2"/>
  <c r="F212" i="2"/>
  <c r="F213" i="2"/>
  <c r="F214" i="2"/>
  <c r="F215" i="2"/>
  <c r="F216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8" i="2"/>
  <c r="F259" i="2"/>
  <c r="F260" i="2"/>
  <c r="F261" i="2"/>
  <c r="F262" i="2"/>
  <c r="F263" i="2"/>
  <c r="F264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30" i="2"/>
  <c r="F331" i="2"/>
  <c r="F332" i="2"/>
  <c r="F333" i="2"/>
  <c r="F334" i="2"/>
  <c r="F335" i="2"/>
  <c r="F336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6" i="2"/>
  <c r="F387" i="2"/>
  <c r="F388" i="2"/>
  <c r="F389" i="2"/>
  <c r="F390" i="2"/>
  <c r="F391" i="2"/>
  <c r="F392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4" i="2"/>
  <c r="F515" i="2"/>
  <c r="F516" i="2"/>
  <c r="F517" i="2"/>
  <c r="F518" i="2"/>
  <c r="F519" i="2"/>
  <c r="F520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2" i="2"/>
  <c r="F563" i="2"/>
  <c r="F564" i="2"/>
  <c r="F565" i="2"/>
  <c r="F566" i="2"/>
  <c r="F567" i="2"/>
  <c r="F568" i="2"/>
  <c r="F570" i="2"/>
  <c r="F571" i="2"/>
  <c r="F572" i="2"/>
  <c r="F573" i="2"/>
  <c r="F574" i="2"/>
  <c r="F575" i="2"/>
  <c r="F576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4" i="2"/>
  <c r="F635" i="2"/>
  <c r="F636" i="2"/>
  <c r="F637" i="2"/>
  <c r="F638" i="2"/>
  <c r="F639" i="2"/>
  <c r="F640" i="2"/>
  <c r="F642" i="2"/>
  <c r="F643" i="2"/>
  <c r="F644" i="2"/>
  <c r="F645" i="2"/>
  <c r="F646" i="2"/>
  <c r="F647" i="2"/>
  <c r="F648" i="2"/>
  <c r="F650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3" i="2"/>
  <c r="D24" i="2"/>
  <c r="D25" i="2"/>
  <c r="D26" i="2"/>
  <c r="D27" i="2"/>
  <c r="D28" i="2"/>
  <c r="D29" i="2"/>
  <c r="D31" i="2"/>
  <c r="D32" i="2"/>
  <c r="D33" i="2"/>
  <c r="D34" i="2"/>
  <c r="D35" i="2"/>
  <c r="D36" i="2"/>
  <c r="D37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9" i="2"/>
  <c r="D80" i="2"/>
  <c r="D81" i="2"/>
  <c r="D82" i="2"/>
  <c r="D83" i="2"/>
  <c r="D84" i="2"/>
  <c r="D85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1" i="2"/>
  <c r="D152" i="2"/>
  <c r="D153" i="2"/>
  <c r="D154" i="2"/>
  <c r="D155" i="2"/>
  <c r="D156" i="2"/>
  <c r="D157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9" i="2"/>
  <c r="D280" i="2"/>
  <c r="D281" i="2"/>
  <c r="D282" i="2"/>
  <c r="D283" i="2"/>
  <c r="D284" i="2"/>
  <c r="D285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1" i="2"/>
  <c r="D352" i="2"/>
  <c r="D353" i="2"/>
  <c r="D354" i="2"/>
  <c r="D355" i="2"/>
  <c r="D356" i="2"/>
  <c r="D357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7" i="2"/>
  <c r="D408" i="2"/>
  <c r="D409" i="2"/>
  <c r="D410" i="2"/>
  <c r="D411" i="2"/>
  <c r="D412" i="2"/>
  <c r="D413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5" i="2"/>
  <c r="D456" i="2"/>
  <c r="D457" i="2"/>
  <c r="D458" i="2"/>
  <c r="D459" i="2"/>
  <c r="D460" i="2"/>
  <c r="D461" i="2"/>
  <c r="D463" i="2"/>
  <c r="D464" i="2"/>
  <c r="D465" i="2"/>
  <c r="D466" i="2"/>
  <c r="D467" i="2"/>
  <c r="D468" i="2"/>
  <c r="D469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7" i="2"/>
  <c r="D528" i="2"/>
  <c r="D529" i="2"/>
  <c r="D530" i="2"/>
  <c r="D531" i="2"/>
  <c r="D532" i="2"/>
  <c r="D533" i="2"/>
  <c r="D535" i="2"/>
  <c r="D536" i="2"/>
  <c r="D537" i="2"/>
  <c r="D538" i="2"/>
  <c r="D539" i="2"/>
  <c r="D540" i="2"/>
  <c r="D541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3" i="2"/>
  <c r="D584" i="2"/>
  <c r="D585" i="2"/>
  <c r="D586" i="2"/>
  <c r="D587" i="2"/>
  <c r="D588" i="2"/>
  <c r="D589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U1155" i="2" l="1"/>
  <c r="V1168" i="2"/>
  <c r="V1163" i="2"/>
  <c r="V1158" i="2"/>
  <c r="V1157" i="2"/>
  <c r="V1170" i="2"/>
  <c r="V1169" i="2"/>
  <c r="V1167" i="2"/>
  <c r="V1164" i="2"/>
  <c r="V1159" i="2"/>
  <c r="V1162" i="2"/>
  <c r="V1161" i="2"/>
  <c r="V1160" i="2"/>
  <c r="V1172" i="2"/>
  <c r="V1171" i="2"/>
  <c r="V1156" i="2"/>
  <c r="V1166" i="2"/>
  <c r="V1165" i="2"/>
  <c r="J27" i="12"/>
  <c r="T1137" i="2"/>
  <c r="U1145" i="2"/>
  <c r="U1153" i="2"/>
  <c r="U1138" i="2"/>
  <c r="U1146" i="2"/>
  <c r="U1154" i="2"/>
  <c r="U1140" i="2"/>
  <c r="U1148" i="2"/>
  <c r="U1143" i="2"/>
  <c r="U1151" i="2"/>
  <c r="U1141" i="2"/>
  <c r="U1149" i="2"/>
  <c r="U1142" i="2"/>
  <c r="U1150" i="2"/>
  <c r="U1147" i="2"/>
  <c r="U1144" i="2"/>
  <c r="U1152" i="2"/>
  <c r="U1139" i="2"/>
  <c r="B86" i="12"/>
  <c r="B55" i="12"/>
  <c r="G105" i="12"/>
  <c r="I61" i="12"/>
  <c r="I92" i="12" s="1"/>
  <c r="J17" i="12"/>
  <c r="J11" i="12"/>
  <c r="I55" i="12"/>
  <c r="I86" i="12" s="1"/>
  <c r="J22" i="12"/>
  <c r="I66" i="12"/>
  <c r="I97" i="12" s="1"/>
  <c r="J14" i="12"/>
  <c r="I58" i="12"/>
  <c r="I89" i="12" s="1"/>
  <c r="J9" i="12"/>
  <c r="I53" i="12"/>
  <c r="I84" i="12" s="1"/>
  <c r="I51" i="12"/>
  <c r="I82" i="12" s="1"/>
  <c r="J7" i="12"/>
  <c r="I50" i="12"/>
  <c r="I81" i="12" s="1"/>
  <c r="J6" i="12"/>
  <c r="I68" i="12"/>
  <c r="I99" i="12" s="1"/>
  <c r="J24" i="12"/>
  <c r="K38" i="12"/>
  <c r="K39" i="12" s="1"/>
  <c r="K31" i="12"/>
  <c r="K32" i="12" s="1"/>
  <c r="I67" i="12"/>
  <c r="I98" i="12" s="1"/>
  <c r="J23" i="12"/>
  <c r="J21" i="12"/>
  <c r="I65" i="12"/>
  <c r="I96" i="12" s="1"/>
  <c r="I62" i="12"/>
  <c r="I93" i="12" s="1"/>
  <c r="J18" i="12"/>
  <c r="I54" i="12"/>
  <c r="I85" i="12" s="1"/>
  <c r="J10" i="12"/>
  <c r="I49" i="12"/>
  <c r="I80" i="12" s="1"/>
  <c r="J5" i="12"/>
  <c r="J29" i="12"/>
  <c r="I73" i="12"/>
  <c r="I104" i="12" s="1"/>
  <c r="J32" i="12"/>
  <c r="J34" i="12" s="1"/>
  <c r="J35" i="12" s="1"/>
  <c r="I70" i="12"/>
  <c r="I101" i="12" s="1"/>
  <c r="J26" i="12"/>
  <c r="I52" i="12"/>
  <c r="I83" i="12" s="1"/>
  <c r="J8" i="12"/>
  <c r="J13" i="12"/>
  <c r="I57" i="12"/>
  <c r="I88" i="12" s="1"/>
  <c r="J2" i="12"/>
  <c r="I46" i="12"/>
  <c r="J28" i="12"/>
  <c r="I72" i="12"/>
  <c r="I103" i="12" s="1"/>
  <c r="I60" i="12"/>
  <c r="I91" i="12" s="1"/>
  <c r="J16" i="12"/>
  <c r="H74" i="12"/>
  <c r="H77" i="12"/>
  <c r="I48" i="12"/>
  <c r="I79" i="12" s="1"/>
  <c r="J4" i="12"/>
  <c r="I69" i="12"/>
  <c r="I100" i="12" s="1"/>
  <c r="J25" i="12"/>
  <c r="I56" i="12"/>
  <c r="I87" i="12" s="1"/>
  <c r="J12" i="12"/>
  <c r="J19" i="12"/>
  <c r="I63" i="12"/>
  <c r="I94" i="12" s="1"/>
  <c r="I64" i="12"/>
  <c r="I95" i="12" s="1"/>
  <c r="J20" i="12"/>
  <c r="J15" i="12"/>
  <c r="I59" i="12"/>
  <c r="I90" i="12" s="1"/>
  <c r="J3" i="12"/>
  <c r="I47" i="12"/>
  <c r="I78" i="12" s="1"/>
  <c r="F633" i="2"/>
  <c r="F641" i="2"/>
  <c r="F649" i="2"/>
  <c r="H620" i="2"/>
  <c r="H628" i="2"/>
  <c r="J599" i="2"/>
  <c r="J607" i="2"/>
  <c r="D582" i="2"/>
  <c r="D590" i="2"/>
  <c r="F561" i="2"/>
  <c r="F569" i="2"/>
  <c r="F577" i="2"/>
  <c r="H548" i="2"/>
  <c r="H556" i="2"/>
  <c r="D526" i="2"/>
  <c r="D534" i="2"/>
  <c r="D542" i="2"/>
  <c r="F513" i="2"/>
  <c r="F521" i="2"/>
  <c r="H492" i="2"/>
  <c r="H500" i="2"/>
  <c r="J471" i="2"/>
  <c r="J479" i="2"/>
  <c r="J487" i="2"/>
  <c r="D454" i="2"/>
  <c r="D462" i="2"/>
  <c r="D470" i="2"/>
  <c r="H436" i="2"/>
  <c r="H444" i="2"/>
  <c r="H452" i="2"/>
  <c r="J423" i="2"/>
  <c r="J431" i="2"/>
  <c r="D406" i="2"/>
  <c r="D414" i="2"/>
  <c r="F385" i="2"/>
  <c r="F393" i="2"/>
  <c r="J367" i="2"/>
  <c r="J375" i="2"/>
  <c r="D350" i="2"/>
  <c r="D358" i="2"/>
  <c r="F329" i="2"/>
  <c r="F337" i="2"/>
  <c r="H316" i="2"/>
  <c r="H324" i="2"/>
  <c r="J295" i="2"/>
  <c r="J303" i="2"/>
  <c r="D278" i="2"/>
  <c r="D286" i="2"/>
  <c r="F257" i="2"/>
  <c r="F265" i="2"/>
  <c r="H244" i="2"/>
  <c r="H252" i="2"/>
  <c r="J223" i="2"/>
  <c r="J231" i="2"/>
  <c r="F201" i="2"/>
  <c r="F209" i="2"/>
  <c r="F217" i="2"/>
  <c r="H188" i="2"/>
  <c r="H196" i="2"/>
  <c r="J167" i="2"/>
  <c r="J175" i="2"/>
  <c r="D150" i="2"/>
  <c r="D158" i="2"/>
  <c r="F129" i="2"/>
  <c r="F137" i="2"/>
  <c r="F145" i="2"/>
  <c r="H116" i="2"/>
  <c r="H124" i="2"/>
  <c r="J95" i="2"/>
  <c r="J103" i="2"/>
  <c r="D78" i="2"/>
  <c r="D86" i="2"/>
  <c r="F57" i="2"/>
  <c r="F65" i="2"/>
  <c r="F73" i="2"/>
  <c r="H44" i="2"/>
  <c r="H52" i="2"/>
  <c r="D22" i="2"/>
  <c r="D30" i="2"/>
  <c r="D38" i="2"/>
  <c r="M291" i="2"/>
  <c r="M626" i="2"/>
  <c r="M618" i="2"/>
  <c r="M499" i="2"/>
  <c r="M491" i="2"/>
  <c r="M250" i="2"/>
  <c r="M242" i="2"/>
  <c r="M193" i="2"/>
  <c r="M185" i="2"/>
  <c r="M51" i="2"/>
  <c r="M43" i="2"/>
  <c r="M628" i="2"/>
  <c r="M620" i="2"/>
  <c r="M578" i="2"/>
  <c r="M501" i="2"/>
  <c r="M493" i="2"/>
  <c r="M338" i="2"/>
  <c r="M252" i="2"/>
  <c r="M244" i="2"/>
  <c r="M195" i="2"/>
  <c r="M187" i="2"/>
  <c r="M53" i="2"/>
  <c r="M45" i="2"/>
  <c r="M425" i="2"/>
  <c r="M302" i="2"/>
  <c r="M105" i="2"/>
  <c r="M94" i="2"/>
  <c r="M434" i="2"/>
  <c r="M424" i="2"/>
  <c r="M301" i="2"/>
  <c r="M104" i="2"/>
  <c r="M433" i="2"/>
  <c r="M299" i="2"/>
  <c r="M103" i="2"/>
  <c r="M431" i="2"/>
  <c r="M420" i="2"/>
  <c r="M297" i="2"/>
  <c r="M101" i="2"/>
  <c r="M429" i="2"/>
  <c r="M419" i="2"/>
  <c r="M307" i="2"/>
  <c r="M98" i="2"/>
  <c r="M428" i="2"/>
  <c r="M418" i="2"/>
  <c r="M306" i="2"/>
  <c r="M295" i="2"/>
  <c r="M109" i="2"/>
  <c r="M427" i="2"/>
  <c r="M417" i="2"/>
  <c r="M305" i="2"/>
  <c r="M293" i="2"/>
  <c r="M107" i="2"/>
  <c r="M96" i="2"/>
  <c r="M457" i="2"/>
  <c r="M466" i="2"/>
  <c r="M148" i="2"/>
  <c r="M157" i="2"/>
  <c r="M590" i="2"/>
  <c r="M580" i="2"/>
  <c r="M468" i="2"/>
  <c r="M458" i="2"/>
  <c r="M355" i="2"/>
  <c r="M345" i="2"/>
  <c r="M161" i="2"/>
  <c r="M151" i="2"/>
  <c r="M567" i="2"/>
  <c r="M577" i="2"/>
  <c r="M135" i="2"/>
  <c r="M586" i="2"/>
  <c r="M596" i="2"/>
  <c r="M347" i="2"/>
  <c r="M357" i="2"/>
  <c r="M589" i="2"/>
  <c r="M467" i="2"/>
  <c r="M456" i="2"/>
  <c r="M354" i="2"/>
  <c r="M160" i="2"/>
  <c r="M150" i="2"/>
  <c r="M549" i="2"/>
  <c r="M557" i="2"/>
  <c r="M440" i="2"/>
  <c r="M448" i="2"/>
  <c r="M309" i="2"/>
  <c r="M317" i="2"/>
  <c r="M325" i="2"/>
  <c r="M118" i="2"/>
  <c r="M126" i="2"/>
  <c r="M588" i="2"/>
  <c r="M465" i="2"/>
  <c r="M455" i="2"/>
  <c r="M353" i="2"/>
  <c r="M159" i="2"/>
  <c r="M149" i="2"/>
  <c r="M422" i="2"/>
  <c r="M423" i="2"/>
  <c r="M432" i="2"/>
  <c r="M298" i="2"/>
  <c r="M99" i="2"/>
  <c r="M110" i="2"/>
  <c r="M585" i="2"/>
  <c r="M464" i="2"/>
  <c r="M453" i="2"/>
  <c r="M362" i="2"/>
  <c r="M352" i="2"/>
  <c r="M158" i="2"/>
  <c r="M530" i="2"/>
  <c r="M541" i="2"/>
  <c r="M402" i="2"/>
  <c r="M413" i="2"/>
  <c r="M277" i="2"/>
  <c r="M288" i="2"/>
  <c r="M78" i="2"/>
  <c r="M89" i="2"/>
  <c r="M584" i="2"/>
  <c r="M463" i="2"/>
  <c r="M351" i="2"/>
  <c r="M640" i="2"/>
  <c r="M650" i="2"/>
  <c r="M509" i="2"/>
  <c r="M510" i="2"/>
  <c r="M520" i="2"/>
  <c r="M386" i="2"/>
  <c r="M382" i="2"/>
  <c r="M392" i="2"/>
  <c r="M264" i="2"/>
  <c r="M202" i="2"/>
  <c r="M208" i="2"/>
  <c r="M66" i="2"/>
  <c r="M594" i="2"/>
  <c r="M361" i="2"/>
  <c r="M156" i="2"/>
  <c r="M593" i="2"/>
  <c r="M583" i="2"/>
  <c r="M461" i="2"/>
  <c r="M360" i="2"/>
  <c r="M350" i="2"/>
  <c r="M154" i="2"/>
  <c r="M592" i="2"/>
  <c r="M582" i="2"/>
  <c r="M460" i="2"/>
  <c r="M359" i="2"/>
  <c r="M349" i="2"/>
  <c r="M164" i="2"/>
  <c r="M153" i="2"/>
  <c r="M478" i="2"/>
  <c r="M375" i="2"/>
  <c r="M230" i="2"/>
  <c r="M226" i="2"/>
  <c r="M561" i="2"/>
  <c r="M570" i="2"/>
  <c r="M329" i="2"/>
  <c r="M339" i="2"/>
  <c r="M137" i="2"/>
  <c r="M472" i="2"/>
  <c r="M365" i="2"/>
  <c r="M219" i="2"/>
  <c r="M527" i="2"/>
  <c r="M536" i="2"/>
  <c r="M405" i="2"/>
  <c r="M414" i="2"/>
  <c r="M273" i="2"/>
  <c r="M285" i="2"/>
  <c r="M82" i="2"/>
  <c r="M26" i="2"/>
  <c r="M37" i="2"/>
  <c r="M647" i="2"/>
  <c r="M637" i="2"/>
  <c r="M595" i="2"/>
  <c r="M587" i="2"/>
  <c r="M579" i="2"/>
  <c r="M518" i="2"/>
  <c r="M470" i="2"/>
  <c r="M462" i="2"/>
  <c r="M454" i="2"/>
  <c r="M430" i="2"/>
  <c r="M395" i="2"/>
  <c r="M356" i="2"/>
  <c r="M348" i="2"/>
  <c r="M303" i="2"/>
  <c r="M294" i="2"/>
  <c r="M263" i="2"/>
  <c r="M214" i="2"/>
  <c r="M163" i="2"/>
  <c r="M155" i="2"/>
  <c r="M147" i="2"/>
  <c r="M102" i="2"/>
  <c r="M93" i="2"/>
  <c r="M72" i="2"/>
  <c r="M62" i="2"/>
  <c r="M370" i="2"/>
  <c r="M379" i="2"/>
  <c r="M222" i="2"/>
  <c r="M231" i="2"/>
  <c r="M169" i="2"/>
  <c r="M178" i="2"/>
  <c r="M486" i="2"/>
  <c r="M477" i="2"/>
  <c r="M374" i="2"/>
  <c r="M363" i="2"/>
  <c r="M235" i="2"/>
  <c r="M225" i="2"/>
  <c r="M177" i="2"/>
  <c r="M167" i="2"/>
  <c r="M485" i="2"/>
  <c r="M475" i="2"/>
  <c r="M373" i="2"/>
  <c r="M234" i="2"/>
  <c r="M224" i="2"/>
  <c r="M176" i="2"/>
  <c r="M166" i="2"/>
  <c r="M564" i="2"/>
  <c r="M572" i="2"/>
  <c r="M327" i="2"/>
  <c r="M336" i="2"/>
  <c r="M136" i="2"/>
  <c r="M145" i="2"/>
  <c r="M476" i="2"/>
  <c r="M484" i="2"/>
  <c r="M483" i="2"/>
  <c r="M474" i="2"/>
  <c r="M371" i="2"/>
  <c r="M233" i="2"/>
  <c r="M223" i="2"/>
  <c r="M175" i="2"/>
  <c r="M165" i="2"/>
  <c r="M482" i="2"/>
  <c r="M473" i="2"/>
  <c r="M369" i="2"/>
  <c r="M232" i="2"/>
  <c r="M221" i="2"/>
  <c r="M174" i="2"/>
  <c r="M532" i="2"/>
  <c r="M540" i="2"/>
  <c r="M404" i="2"/>
  <c r="M412" i="2"/>
  <c r="M274" i="2"/>
  <c r="M283" i="2"/>
  <c r="M83" i="2"/>
  <c r="M22" i="2"/>
  <c r="M31" i="2"/>
  <c r="M480" i="2"/>
  <c r="M377" i="2"/>
  <c r="M182" i="2"/>
  <c r="M638" i="2"/>
  <c r="M646" i="2"/>
  <c r="M508" i="2"/>
  <c r="M516" i="2"/>
  <c r="M524" i="2"/>
  <c r="M388" i="2"/>
  <c r="M396" i="2"/>
  <c r="M256" i="2"/>
  <c r="M265" i="2"/>
  <c r="M203" i="2"/>
  <c r="M213" i="2"/>
  <c r="M65" i="2"/>
  <c r="M74" i="2"/>
  <c r="M471" i="2"/>
  <c r="M367" i="2"/>
  <c r="M229" i="2"/>
  <c r="M171" i="2"/>
  <c r="M488" i="2"/>
  <c r="M479" i="2"/>
  <c r="M376" i="2"/>
  <c r="M366" i="2"/>
  <c r="M227" i="2"/>
  <c r="M181" i="2"/>
  <c r="M170" i="2"/>
  <c r="M364" i="2"/>
  <c r="M372" i="2"/>
  <c r="M380" i="2"/>
  <c r="M220" i="2"/>
  <c r="M228" i="2"/>
  <c r="M236" i="2"/>
  <c r="M172" i="2"/>
  <c r="M180" i="2"/>
  <c r="M607" i="2"/>
  <c r="M599" i="2"/>
  <c r="M614" i="2"/>
  <c r="M606" i="2"/>
  <c r="M598" i="2"/>
  <c r="M332" i="2"/>
  <c r="M340" i="2"/>
  <c r="M132" i="2"/>
  <c r="M140" i="2"/>
  <c r="M600" i="2"/>
  <c r="M613" i="2"/>
  <c r="M605" i="2"/>
  <c r="M597" i="2"/>
  <c r="M608" i="2"/>
  <c r="M612" i="2"/>
  <c r="M604" i="2"/>
  <c r="M292" i="2"/>
  <c r="M300" i="2"/>
  <c r="M308" i="2"/>
  <c r="M100" i="2"/>
  <c r="M108" i="2"/>
  <c r="M276" i="2"/>
  <c r="M284" i="2"/>
  <c r="M76" i="2"/>
  <c r="M84" i="2"/>
  <c r="M92" i="2"/>
  <c r="M28" i="2"/>
  <c r="M36" i="2"/>
  <c r="M603" i="2"/>
  <c r="M610" i="2"/>
  <c r="M260" i="2"/>
  <c r="M268" i="2"/>
  <c r="M204" i="2"/>
  <c r="M212" i="2"/>
  <c r="M60" i="2"/>
  <c r="M68" i="2"/>
  <c r="M611" i="2"/>
  <c r="M602" i="2"/>
  <c r="M609" i="2"/>
  <c r="M601" i="2"/>
  <c r="K27" i="12" l="1"/>
  <c r="K71" i="12" s="1"/>
  <c r="K102" i="12" s="1"/>
  <c r="J71" i="12"/>
  <c r="J102" i="12" s="1"/>
  <c r="V1155" i="2"/>
  <c r="V1142" i="2"/>
  <c r="V1147" i="2"/>
  <c r="V1148" i="2"/>
  <c r="V1149" i="2"/>
  <c r="V1138" i="2"/>
  <c r="V1146" i="2"/>
  <c r="V1143" i="2"/>
  <c r="V1144" i="2"/>
  <c r="V1145" i="2"/>
  <c r="V1154" i="2"/>
  <c r="V1151" i="2"/>
  <c r="V1152" i="2"/>
  <c r="V1153" i="2"/>
  <c r="V1139" i="2"/>
  <c r="V1150" i="2"/>
  <c r="V1140" i="2"/>
  <c r="V1141" i="2"/>
  <c r="U1137" i="2"/>
  <c r="B87" i="12"/>
  <c r="B56" i="12"/>
  <c r="H105" i="12"/>
  <c r="J63" i="12"/>
  <c r="J94" i="12" s="1"/>
  <c r="K19" i="12"/>
  <c r="I74" i="12"/>
  <c r="I77" i="12"/>
  <c r="J70" i="12"/>
  <c r="J101" i="12" s="1"/>
  <c r="K26" i="12"/>
  <c r="K18" i="12"/>
  <c r="J62" i="12"/>
  <c r="J93" i="12" s="1"/>
  <c r="K34" i="12"/>
  <c r="K35" i="12" s="1"/>
  <c r="J66" i="12"/>
  <c r="J97" i="12" s="1"/>
  <c r="K22" i="12"/>
  <c r="J52" i="12"/>
  <c r="J83" i="12" s="1"/>
  <c r="K8" i="12"/>
  <c r="K16" i="12"/>
  <c r="J60" i="12"/>
  <c r="J91" i="12" s="1"/>
  <c r="J73" i="12"/>
  <c r="J104" i="12" s="1"/>
  <c r="K29" i="12"/>
  <c r="J55" i="12"/>
  <c r="J86" i="12" s="1"/>
  <c r="K11" i="12"/>
  <c r="J64" i="12"/>
  <c r="J95" i="12" s="1"/>
  <c r="K20" i="12"/>
  <c r="J69" i="12"/>
  <c r="J100" i="12" s="1"/>
  <c r="K25" i="12"/>
  <c r="K5" i="12"/>
  <c r="J49" i="12"/>
  <c r="J80" i="12" s="1"/>
  <c r="J65" i="12"/>
  <c r="J96" i="12" s="1"/>
  <c r="K21" i="12"/>
  <c r="J68" i="12"/>
  <c r="J99" i="12" s="1"/>
  <c r="K24" i="12"/>
  <c r="J61" i="12"/>
  <c r="J92" i="12" s="1"/>
  <c r="K17" i="12"/>
  <c r="J58" i="12"/>
  <c r="J89" i="12" s="1"/>
  <c r="K14" i="12"/>
  <c r="J56" i="12"/>
  <c r="J87" i="12" s="1"/>
  <c r="K12" i="12"/>
  <c r="K2" i="12"/>
  <c r="J46" i="12"/>
  <c r="L38" i="12"/>
  <c r="L39" i="12" s="1"/>
  <c r="L31" i="12"/>
  <c r="J47" i="12"/>
  <c r="J78" i="12" s="1"/>
  <c r="K3" i="12"/>
  <c r="K23" i="12"/>
  <c r="J67" i="12"/>
  <c r="J98" i="12" s="1"/>
  <c r="J53" i="12"/>
  <c r="J84" i="12" s="1"/>
  <c r="K9" i="12"/>
  <c r="K15" i="12"/>
  <c r="J59" i="12"/>
  <c r="J90" i="12" s="1"/>
  <c r="J54" i="12"/>
  <c r="J85" i="12" s="1"/>
  <c r="K10" i="12"/>
  <c r="J51" i="12"/>
  <c r="J82" i="12" s="1"/>
  <c r="K7" i="12"/>
  <c r="J48" i="12"/>
  <c r="J79" i="12" s="1"/>
  <c r="K4" i="12"/>
  <c r="J72" i="12"/>
  <c r="J103" i="12" s="1"/>
  <c r="K28" i="12"/>
  <c r="K13" i="12"/>
  <c r="J57" i="12"/>
  <c r="J88" i="12" s="1"/>
  <c r="J50" i="12"/>
  <c r="J81" i="12" s="1"/>
  <c r="K6" i="12"/>
  <c r="F19" i="5"/>
  <c r="L27" i="12" l="1"/>
  <c r="L71" i="12" s="1"/>
  <c r="L102" i="12" s="1"/>
  <c r="Y1166" i="2" s="1"/>
  <c r="W1167" i="2"/>
  <c r="W1159" i="2"/>
  <c r="W1166" i="2"/>
  <c r="W1158" i="2"/>
  <c r="W1164" i="2"/>
  <c r="W1156" i="2"/>
  <c r="W1169" i="2"/>
  <c r="W1161" i="2"/>
  <c r="W1172" i="2"/>
  <c r="W1160" i="2"/>
  <c r="W1171" i="2"/>
  <c r="W1163" i="2"/>
  <c r="W1170" i="2"/>
  <c r="W1162" i="2"/>
  <c r="W1168" i="2"/>
  <c r="W1165" i="2"/>
  <c r="W1157" i="2"/>
  <c r="X1162" i="2"/>
  <c r="X1165" i="2"/>
  <c r="X1164" i="2"/>
  <c r="X1158" i="2"/>
  <c r="X1157" i="2"/>
  <c r="X1156" i="2"/>
  <c r="X1169" i="2"/>
  <c r="X1167" i="2"/>
  <c r="X1168" i="2"/>
  <c r="X1166" i="2"/>
  <c r="X1163" i="2"/>
  <c r="X1159" i="2"/>
  <c r="X1161" i="2"/>
  <c r="X1160" i="2"/>
  <c r="X1172" i="2"/>
  <c r="X1171" i="2"/>
  <c r="X1170" i="2"/>
  <c r="W1139" i="2"/>
  <c r="W1147" i="2"/>
  <c r="W1142" i="2"/>
  <c r="W1150" i="2"/>
  <c r="W1153" i="2"/>
  <c r="W1140" i="2"/>
  <c r="W1148" i="2"/>
  <c r="W1141" i="2"/>
  <c r="W1149" i="2"/>
  <c r="W1144" i="2"/>
  <c r="W1143" i="2"/>
  <c r="W1151" i="2"/>
  <c r="W1152" i="2"/>
  <c r="W1145" i="2"/>
  <c r="W1138" i="2"/>
  <c r="W1146" i="2"/>
  <c r="W1154" i="2"/>
  <c r="V1137" i="2"/>
  <c r="B88" i="12"/>
  <c r="B57" i="12"/>
  <c r="I105" i="12"/>
  <c r="K60" i="12"/>
  <c r="K91" i="12" s="1"/>
  <c r="L16" i="12"/>
  <c r="K72" i="12"/>
  <c r="K103" i="12" s="1"/>
  <c r="L28" i="12"/>
  <c r="L23" i="12"/>
  <c r="K67" i="12"/>
  <c r="K98" i="12" s="1"/>
  <c r="K58" i="12"/>
  <c r="K89" i="12" s="1"/>
  <c r="L14" i="12"/>
  <c r="K65" i="12"/>
  <c r="K96" i="12" s="1"/>
  <c r="L21" i="12"/>
  <c r="L11" i="12"/>
  <c r="K55" i="12"/>
  <c r="K86" i="12" s="1"/>
  <c r="K52" i="12"/>
  <c r="K83" i="12" s="1"/>
  <c r="L8" i="12"/>
  <c r="K54" i="12"/>
  <c r="K85" i="12" s="1"/>
  <c r="L10" i="12"/>
  <c r="L32" i="12"/>
  <c r="L34" i="12" s="1"/>
  <c r="L35" i="12" s="1"/>
  <c r="K66" i="12"/>
  <c r="K97" i="12" s="1"/>
  <c r="L22" i="12"/>
  <c r="M31" i="12"/>
  <c r="M38" i="12"/>
  <c r="M39" i="12" s="1"/>
  <c r="L26" i="12"/>
  <c r="K70" i="12"/>
  <c r="K101" i="12" s="1"/>
  <c r="K48" i="12"/>
  <c r="K79" i="12" s="1"/>
  <c r="L4" i="12"/>
  <c r="L5" i="12"/>
  <c r="K49" i="12"/>
  <c r="K80" i="12" s="1"/>
  <c r="K50" i="12"/>
  <c r="K81" i="12" s="1"/>
  <c r="L6" i="12"/>
  <c r="L15" i="12"/>
  <c r="K59" i="12"/>
  <c r="K90" i="12" s="1"/>
  <c r="J77" i="12"/>
  <c r="J74" i="12"/>
  <c r="K61" i="12"/>
  <c r="K92" i="12" s="1"/>
  <c r="L17" i="12"/>
  <c r="K69" i="12"/>
  <c r="K100" i="12" s="1"/>
  <c r="L25" i="12"/>
  <c r="K73" i="12"/>
  <c r="K104" i="12" s="1"/>
  <c r="L29" i="12"/>
  <c r="K51" i="12"/>
  <c r="K82" i="12" s="1"/>
  <c r="L7" i="12"/>
  <c r="K53" i="12"/>
  <c r="K84" i="12" s="1"/>
  <c r="L9" i="12"/>
  <c r="K47" i="12"/>
  <c r="K78" i="12" s="1"/>
  <c r="L3" i="12"/>
  <c r="L2" i="12"/>
  <c r="K46" i="12"/>
  <c r="L19" i="12"/>
  <c r="K63" i="12"/>
  <c r="K94" i="12" s="1"/>
  <c r="K57" i="12"/>
  <c r="K88" i="12" s="1"/>
  <c r="L13" i="12"/>
  <c r="K56" i="12"/>
  <c r="K87" i="12" s="1"/>
  <c r="L12" i="12"/>
  <c r="K68" i="12"/>
  <c r="K99" i="12" s="1"/>
  <c r="L24" i="12"/>
  <c r="K64" i="12"/>
  <c r="K95" i="12" s="1"/>
  <c r="L20" i="12"/>
  <c r="K62" i="12"/>
  <c r="K93" i="12" s="1"/>
  <c r="L18" i="12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2" i="6"/>
  <c r="D33" i="6"/>
  <c r="D34" i="6"/>
  <c r="D35" i="6"/>
  <c r="D36" i="6"/>
  <c r="D37" i="6"/>
  <c r="D38" i="6"/>
  <c r="D39" i="6"/>
  <c r="D40" i="6"/>
  <c r="D41" i="6"/>
  <c r="D32" i="6"/>
  <c r="AL598" i="2"/>
  <c r="AL580" i="2"/>
  <c r="AL490" i="2"/>
  <c r="AL473" i="2"/>
  <c r="AL364" i="2"/>
  <c r="AL346" i="2"/>
  <c r="AL238" i="2"/>
  <c r="AL148" i="2"/>
  <c r="AL130" i="2"/>
  <c r="AL76" i="2"/>
  <c r="AL22" i="2"/>
  <c r="A3" i="2"/>
  <c r="L4" i="2"/>
  <c r="A4" i="2" s="1"/>
  <c r="L5" i="2"/>
  <c r="A5" i="2" s="1"/>
  <c r="L6" i="2"/>
  <c r="A6" i="2" s="1"/>
  <c r="L7" i="2"/>
  <c r="A7" i="2" s="1"/>
  <c r="L8" i="2"/>
  <c r="A8" i="2" s="1"/>
  <c r="L9" i="2"/>
  <c r="A9" i="2" s="1"/>
  <c r="L10" i="2"/>
  <c r="A10" i="2" s="1"/>
  <c r="L11" i="2"/>
  <c r="A11" i="2" s="1"/>
  <c r="L12" i="2"/>
  <c r="A12" i="2" s="1"/>
  <c r="L13" i="2"/>
  <c r="A13" i="2" s="1"/>
  <c r="L14" i="2"/>
  <c r="A14" i="2" s="1"/>
  <c r="L15" i="2"/>
  <c r="A15" i="2" s="1"/>
  <c r="L16" i="2"/>
  <c r="A16" i="2" s="1"/>
  <c r="L17" i="2"/>
  <c r="A17" i="2" s="1"/>
  <c r="L18" i="2"/>
  <c r="A18" i="2" s="1"/>
  <c r="L19" i="2"/>
  <c r="A19" i="2" s="1"/>
  <c r="L20" i="2"/>
  <c r="A20" i="2" s="1"/>
  <c r="L21" i="2"/>
  <c r="A21" i="2" s="1"/>
  <c r="L22" i="2"/>
  <c r="A22" i="2" s="1"/>
  <c r="L23" i="2"/>
  <c r="A23" i="2" s="1"/>
  <c r="L24" i="2"/>
  <c r="A24" i="2" s="1"/>
  <c r="L25" i="2"/>
  <c r="A25" i="2" s="1"/>
  <c r="L26" i="2"/>
  <c r="A26" i="2" s="1"/>
  <c r="L27" i="2"/>
  <c r="A27" i="2" s="1"/>
  <c r="L28" i="2"/>
  <c r="A28" i="2" s="1"/>
  <c r="L29" i="2"/>
  <c r="A29" i="2" s="1"/>
  <c r="L30" i="2"/>
  <c r="A30" i="2" s="1"/>
  <c r="L31" i="2"/>
  <c r="A31" i="2" s="1"/>
  <c r="L32" i="2"/>
  <c r="A32" i="2" s="1"/>
  <c r="L33" i="2"/>
  <c r="A33" i="2" s="1"/>
  <c r="L34" i="2"/>
  <c r="A34" i="2" s="1"/>
  <c r="L35" i="2"/>
  <c r="A35" i="2" s="1"/>
  <c r="L36" i="2"/>
  <c r="A36" i="2" s="1"/>
  <c r="L37" i="2"/>
  <c r="A37" i="2" s="1"/>
  <c r="L38" i="2"/>
  <c r="A38" i="2" s="1"/>
  <c r="L39" i="2"/>
  <c r="A39" i="2" s="1"/>
  <c r="L40" i="2"/>
  <c r="A40" i="2" s="1"/>
  <c r="L41" i="2"/>
  <c r="A41" i="2" s="1"/>
  <c r="L42" i="2"/>
  <c r="A42" i="2" s="1"/>
  <c r="L43" i="2"/>
  <c r="A43" i="2" s="1"/>
  <c r="L44" i="2"/>
  <c r="A44" i="2" s="1"/>
  <c r="L45" i="2"/>
  <c r="A45" i="2" s="1"/>
  <c r="L46" i="2"/>
  <c r="A46" i="2" s="1"/>
  <c r="L47" i="2"/>
  <c r="A47" i="2" s="1"/>
  <c r="L48" i="2"/>
  <c r="A48" i="2" s="1"/>
  <c r="L49" i="2"/>
  <c r="A49" i="2" s="1"/>
  <c r="L50" i="2"/>
  <c r="A50" i="2" s="1"/>
  <c r="L51" i="2"/>
  <c r="A51" i="2" s="1"/>
  <c r="L52" i="2"/>
  <c r="A52" i="2" s="1"/>
  <c r="L53" i="2"/>
  <c r="A53" i="2" s="1"/>
  <c r="L54" i="2"/>
  <c r="A54" i="2" s="1"/>
  <c r="L55" i="2"/>
  <c r="A55" i="2" s="1"/>
  <c r="L56" i="2"/>
  <c r="A56" i="2" s="1"/>
  <c r="L57" i="2"/>
  <c r="A57" i="2" s="1"/>
  <c r="L58" i="2"/>
  <c r="A58" i="2" s="1"/>
  <c r="L59" i="2"/>
  <c r="A59" i="2" s="1"/>
  <c r="L60" i="2"/>
  <c r="A60" i="2" s="1"/>
  <c r="L61" i="2"/>
  <c r="A61" i="2" s="1"/>
  <c r="L62" i="2"/>
  <c r="A62" i="2" s="1"/>
  <c r="L63" i="2"/>
  <c r="A63" i="2" s="1"/>
  <c r="L64" i="2"/>
  <c r="A64" i="2" s="1"/>
  <c r="L65" i="2"/>
  <c r="A65" i="2" s="1"/>
  <c r="L66" i="2"/>
  <c r="A66" i="2" s="1"/>
  <c r="L67" i="2"/>
  <c r="A67" i="2" s="1"/>
  <c r="L68" i="2"/>
  <c r="A68" i="2" s="1"/>
  <c r="L69" i="2"/>
  <c r="A69" i="2" s="1"/>
  <c r="L70" i="2"/>
  <c r="A70" i="2" s="1"/>
  <c r="L71" i="2"/>
  <c r="A71" i="2" s="1"/>
  <c r="L72" i="2"/>
  <c r="A72" i="2" s="1"/>
  <c r="L73" i="2"/>
  <c r="A73" i="2" s="1"/>
  <c r="L74" i="2"/>
  <c r="A74" i="2" s="1"/>
  <c r="L75" i="2"/>
  <c r="A75" i="2" s="1"/>
  <c r="L76" i="2"/>
  <c r="A76" i="2" s="1"/>
  <c r="L77" i="2"/>
  <c r="A77" i="2" s="1"/>
  <c r="L78" i="2"/>
  <c r="A78" i="2" s="1"/>
  <c r="L79" i="2"/>
  <c r="A79" i="2" s="1"/>
  <c r="L80" i="2"/>
  <c r="A80" i="2" s="1"/>
  <c r="L81" i="2"/>
  <c r="A81" i="2" s="1"/>
  <c r="L82" i="2"/>
  <c r="A82" i="2" s="1"/>
  <c r="L83" i="2"/>
  <c r="A83" i="2" s="1"/>
  <c r="L84" i="2"/>
  <c r="A84" i="2" s="1"/>
  <c r="L85" i="2"/>
  <c r="A85" i="2" s="1"/>
  <c r="L86" i="2"/>
  <c r="A86" i="2" s="1"/>
  <c r="L87" i="2"/>
  <c r="A87" i="2" s="1"/>
  <c r="L88" i="2"/>
  <c r="A88" i="2" s="1"/>
  <c r="L89" i="2"/>
  <c r="A89" i="2" s="1"/>
  <c r="L90" i="2"/>
  <c r="A90" i="2" s="1"/>
  <c r="L91" i="2"/>
  <c r="A91" i="2" s="1"/>
  <c r="L92" i="2"/>
  <c r="A92" i="2" s="1"/>
  <c r="L93" i="2"/>
  <c r="A93" i="2" s="1"/>
  <c r="L94" i="2"/>
  <c r="A94" i="2" s="1"/>
  <c r="L95" i="2"/>
  <c r="A95" i="2" s="1"/>
  <c r="L96" i="2"/>
  <c r="A96" i="2" s="1"/>
  <c r="L97" i="2"/>
  <c r="A97" i="2" s="1"/>
  <c r="L98" i="2"/>
  <c r="A98" i="2" s="1"/>
  <c r="L99" i="2"/>
  <c r="A99" i="2" s="1"/>
  <c r="L100" i="2"/>
  <c r="A100" i="2" s="1"/>
  <c r="L101" i="2"/>
  <c r="A101" i="2" s="1"/>
  <c r="L102" i="2"/>
  <c r="A102" i="2" s="1"/>
  <c r="L103" i="2"/>
  <c r="A103" i="2" s="1"/>
  <c r="L104" i="2"/>
  <c r="A104" i="2" s="1"/>
  <c r="L105" i="2"/>
  <c r="A105" i="2" s="1"/>
  <c r="L106" i="2"/>
  <c r="A106" i="2" s="1"/>
  <c r="L107" i="2"/>
  <c r="A107" i="2" s="1"/>
  <c r="L108" i="2"/>
  <c r="A108" i="2" s="1"/>
  <c r="L109" i="2"/>
  <c r="A109" i="2" s="1"/>
  <c r="L110" i="2"/>
  <c r="A110" i="2" s="1"/>
  <c r="L111" i="2"/>
  <c r="A111" i="2" s="1"/>
  <c r="L112" i="2"/>
  <c r="A112" i="2" s="1"/>
  <c r="L113" i="2"/>
  <c r="A113" i="2" s="1"/>
  <c r="L114" i="2"/>
  <c r="A114" i="2" s="1"/>
  <c r="L115" i="2"/>
  <c r="A115" i="2" s="1"/>
  <c r="L116" i="2"/>
  <c r="A116" i="2" s="1"/>
  <c r="L117" i="2"/>
  <c r="A117" i="2" s="1"/>
  <c r="L118" i="2"/>
  <c r="A118" i="2" s="1"/>
  <c r="L119" i="2"/>
  <c r="A119" i="2" s="1"/>
  <c r="L120" i="2"/>
  <c r="A120" i="2" s="1"/>
  <c r="L121" i="2"/>
  <c r="A121" i="2" s="1"/>
  <c r="L122" i="2"/>
  <c r="A122" i="2" s="1"/>
  <c r="L123" i="2"/>
  <c r="A123" i="2" s="1"/>
  <c r="L124" i="2"/>
  <c r="A124" i="2" s="1"/>
  <c r="L125" i="2"/>
  <c r="A125" i="2" s="1"/>
  <c r="L126" i="2"/>
  <c r="A126" i="2" s="1"/>
  <c r="L127" i="2"/>
  <c r="A127" i="2" s="1"/>
  <c r="L128" i="2"/>
  <c r="A128" i="2" s="1"/>
  <c r="L129" i="2"/>
  <c r="A129" i="2" s="1"/>
  <c r="L130" i="2"/>
  <c r="A130" i="2" s="1"/>
  <c r="L131" i="2"/>
  <c r="A131" i="2" s="1"/>
  <c r="L132" i="2"/>
  <c r="A132" i="2" s="1"/>
  <c r="L133" i="2"/>
  <c r="A133" i="2" s="1"/>
  <c r="L134" i="2"/>
  <c r="A134" i="2" s="1"/>
  <c r="L135" i="2"/>
  <c r="A135" i="2" s="1"/>
  <c r="L136" i="2"/>
  <c r="A136" i="2" s="1"/>
  <c r="L137" i="2"/>
  <c r="A137" i="2" s="1"/>
  <c r="L138" i="2"/>
  <c r="A138" i="2" s="1"/>
  <c r="L139" i="2"/>
  <c r="A139" i="2" s="1"/>
  <c r="L140" i="2"/>
  <c r="A140" i="2" s="1"/>
  <c r="L141" i="2"/>
  <c r="A141" i="2" s="1"/>
  <c r="L142" i="2"/>
  <c r="A142" i="2" s="1"/>
  <c r="L143" i="2"/>
  <c r="A143" i="2" s="1"/>
  <c r="L144" i="2"/>
  <c r="A144" i="2" s="1"/>
  <c r="L145" i="2"/>
  <c r="A145" i="2" s="1"/>
  <c r="L146" i="2"/>
  <c r="A146" i="2" s="1"/>
  <c r="L147" i="2"/>
  <c r="A147" i="2" s="1"/>
  <c r="L148" i="2"/>
  <c r="A148" i="2" s="1"/>
  <c r="L149" i="2"/>
  <c r="A149" i="2" s="1"/>
  <c r="L150" i="2"/>
  <c r="A150" i="2" s="1"/>
  <c r="L151" i="2"/>
  <c r="A151" i="2" s="1"/>
  <c r="L152" i="2"/>
  <c r="A152" i="2" s="1"/>
  <c r="L153" i="2"/>
  <c r="A153" i="2" s="1"/>
  <c r="L154" i="2"/>
  <c r="A154" i="2" s="1"/>
  <c r="L155" i="2"/>
  <c r="A155" i="2" s="1"/>
  <c r="L156" i="2"/>
  <c r="A156" i="2" s="1"/>
  <c r="L157" i="2"/>
  <c r="A157" i="2" s="1"/>
  <c r="L158" i="2"/>
  <c r="A158" i="2" s="1"/>
  <c r="L159" i="2"/>
  <c r="A159" i="2" s="1"/>
  <c r="L160" i="2"/>
  <c r="A160" i="2" s="1"/>
  <c r="L161" i="2"/>
  <c r="A161" i="2" s="1"/>
  <c r="L162" i="2"/>
  <c r="A162" i="2" s="1"/>
  <c r="L163" i="2"/>
  <c r="A163" i="2" s="1"/>
  <c r="L164" i="2"/>
  <c r="A164" i="2" s="1"/>
  <c r="L165" i="2"/>
  <c r="A165" i="2" s="1"/>
  <c r="L166" i="2"/>
  <c r="A166" i="2" s="1"/>
  <c r="L167" i="2"/>
  <c r="A167" i="2" s="1"/>
  <c r="L168" i="2"/>
  <c r="A168" i="2" s="1"/>
  <c r="L169" i="2"/>
  <c r="A169" i="2" s="1"/>
  <c r="L170" i="2"/>
  <c r="A170" i="2" s="1"/>
  <c r="L171" i="2"/>
  <c r="A171" i="2" s="1"/>
  <c r="L172" i="2"/>
  <c r="A172" i="2" s="1"/>
  <c r="L173" i="2"/>
  <c r="A173" i="2" s="1"/>
  <c r="L174" i="2"/>
  <c r="A174" i="2" s="1"/>
  <c r="L175" i="2"/>
  <c r="A175" i="2" s="1"/>
  <c r="L176" i="2"/>
  <c r="A176" i="2" s="1"/>
  <c r="L177" i="2"/>
  <c r="A177" i="2" s="1"/>
  <c r="L178" i="2"/>
  <c r="A178" i="2" s="1"/>
  <c r="L179" i="2"/>
  <c r="A179" i="2" s="1"/>
  <c r="L180" i="2"/>
  <c r="A180" i="2" s="1"/>
  <c r="L181" i="2"/>
  <c r="A181" i="2" s="1"/>
  <c r="L182" i="2"/>
  <c r="A182" i="2" s="1"/>
  <c r="L183" i="2"/>
  <c r="A183" i="2" s="1"/>
  <c r="L184" i="2"/>
  <c r="A184" i="2" s="1"/>
  <c r="L185" i="2"/>
  <c r="A185" i="2" s="1"/>
  <c r="L186" i="2"/>
  <c r="A186" i="2" s="1"/>
  <c r="L187" i="2"/>
  <c r="A187" i="2" s="1"/>
  <c r="L188" i="2"/>
  <c r="A188" i="2" s="1"/>
  <c r="L189" i="2"/>
  <c r="A189" i="2" s="1"/>
  <c r="L190" i="2"/>
  <c r="A190" i="2" s="1"/>
  <c r="L191" i="2"/>
  <c r="A191" i="2" s="1"/>
  <c r="L192" i="2"/>
  <c r="A192" i="2" s="1"/>
  <c r="L193" i="2"/>
  <c r="A193" i="2" s="1"/>
  <c r="L194" i="2"/>
  <c r="A194" i="2" s="1"/>
  <c r="L195" i="2"/>
  <c r="A195" i="2" s="1"/>
  <c r="L196" i="2"/>
  <c r="A196" i="2" s="1"/>
  <c r="L197" i="2"/>
  <c r="A197" i="2" s="1"/>
  <c r="L198" i="2"/>
  <c r="A198" i="2" s="1"/>
  <c r="L199" i="2"/>
  <c r="A199" i="2" s="1"/>
  <c r="L200" i="2"/>
  <c r="A200" i="2" s="1"/>
  <c r="L201" i="2"/>
  <c r="A201" i="2" s="1"/>
  <c r="L202" i="2"/>
  <c r="A202" i="2" s="1"/>
  <c r="L203" i="2"/>
  <c r="A203" i="2" s="1"/>
  <c r="L204" i="2"/>
  <c r="A204" i="2" s="1"/>
  <c r="L205" i="2"/>
  <c r="A205" i="2" s="1"/>
  <c r="L206" i="2"/>
  <c r="A206" i="2" s="1"/>
  <c r="L207" i="2"/>
  <c r="A207" i="2" s="1"/>
  <c r="L208" i="2"/>
  <c r="A208" i="2" s="1"/>
  <c r="L209" i="2"/>
  <c r="A209" i="2" s="1"/>
  <c r="L210" i="2"/>
  <c r="A210" i="2" s="1"/>
  <c r="L211" i="2"/>
  <c r="A211" i="2" s="1"/>
  <c r="L212" i="2"/>
  <c r="A212" i="2" s="1"/>
  <c r="L213" i="2"/>
  <c r="A213" i="2" s="1"/>
  <c r="L214" i="2"/>
  <c r="A214" i="2" s="1"/>
  <c r="L215" i="2"/>
  <c r="A215" i="2" s="1"/>
  <c r="L216" i="2"/>
  <c r="A216" i="2" s="1"/>
  <c r="L217" i="2"/>
  <c r="A217" i="2" s="1"/>
  <c r="L218" i="2"/>
  <c r="A218" i="2" s="1"/>
  <c r="L219" i="2"/>
  <c r="A219" i="2" s="1"/>
  <c r="L220" i="2"/>
  <c r="A220" i="2" s="1"/>
  <c r="L221" i="2"/>
  <c r="A221" i="2" s="1"/>
  <c r="L222" i="2"/>
  <c r="A222" i="2" s="1"/>
  <c r="L223" i="2"/>
  <c r="A223" i="2" s="1"/>
  <c r="L224" i="2"/>
  <c r="A224" i="2" s="1"/>
  <c r="L225" i="2"/>
  <c r="A225" i="2" s="1"/>
  <c r="L226" i="2"/>
  <c r="A226" i="2" s="1"/>
  <c r="L227" i="2"/>
  <c r="A227" i="2" s="1"/>
  <c r="L228" i="2"/>
  <c r="A228" i="2" s="1"/>
  <c r="L229" i="2"/>
  <c r="A229" i="2" s="1"/>
  <c r="L230" i="2"/>
  <c r="A230" i="2" s="1"/>
  <c r="L231" i="2"/>
  <c r="A231" i="2" s="1"/>
  <c r="L232" i="2"/>
  <c r="A232" i="2" s="1"/>
  <c r="L233" i="2"/>
  <c r="A233" i="2" s="1"/>
  <c r="L234" i="2"/>
  <c r="A234" i="2" s="1"/>
  <c r="L235" i="2"/>
  <c r="A235" i="2" s="1"/>
  <c r="L236" i="2"/>
  <c r="A236" i="2" s="1"/>
  <c r="L237" i="2"/>
  <c r="A237" i="2" s="1"/>
  <c r="L238" i="2"/>
  <c r="A238" i="2" s="1"/>
  <c r="L239" i="2"/>
  <c r="A239" i="2" s="1"/>
  <c r="L240" i="2"/>
  <c r="A240" i="2" s="1"/>
  <c r="L241" i="2"/>
  <c r="A241" i="2" s="1"/>
  <c r="L242" i="2"/>
  <c r="A242" i="2" s="1"/>
  <c r="L243" i="2"/>
  <c r="A243" i="2" s="1"/>
  <c r="L244" i="2"/>
  <c r="A244" i="2" s="1"/>
  <c r="L245" i="2"/>
  <c r="A245" i="2" s="1"/>
  <c r="L246" i="2"/>
  <c r="A246" i="2" s="1"/>
  <c r="L247" i="2"/>
  <c r="A247" i="2" s="1"/>
  <c r="L248" i="2"/>
  <c r="A248" i="2" s="1"/>
  <c r="L249" i="2"/>
  <c r="A249" i="2" s="1"/>
  <c r="L250" i="2"/>
  <c r="A250" i="2" s="1"/>
  <c r="L251" i="2"/>
  <c r="A251" i="2" s="1"/>
  <c r="L252" i="2"/>
  <c r="A252" i="2" s="1"/>
  <c r="L253" i="2"/>
  <c r="A253" i="2" s="1"/>
  <c r="L254" i="2"/>
  <c r="A254" i="2" s="1"/>
  <c r="L255" i="2"/>
  <c r="A255" i="2" s="1"/>
  <c r="L256" i="2"/>
  <c r="A256" i="2" s="1"/>
  <c r="L257" i="2"/>
  <c r="A257" i="2" s="1"/>
  <c r="L258" i="2"/>
  <c r="A258" i="2" s="1"/>
  <c r="L259" i="2"/>
  <c r="A259" i="2" s="1"/>
  <c r="L260" i="2"/>
  <c r="A260" i="2" s="1"/>
  <c r="L261" i="2"/>
  <c r="A261" i="2" s="1"/>
  <c r="L262" i="2"/>
  <c r="A262" i="2" s="1"/>
  <c r="L263" i="2"/>
  <c r="A263" i="2" s="1"/>
  <c r="L264" i="2"/>
  <c r="A264" i="2" s="1"/>
  <c r="L265" i="2"/>
  <c r="A265" i="2" s="1"/>
  <c r="L266" i="2"/>
  <c r="A266" i="2" s="1"/>
  <c r="L267" i="2"/>
  <c r="A267" i="2" s="1"/>
  <c r="L268" i="2"/>
  <c r="A268" i="2" s="1"/>
  <c r="L269" i="2"/>
  <c r="A269" i="2" s="1"/>
  <c r="L270" i="2"/>
  <c r="A270" i="2" s="1"/>
  <c r="L271" i="2"/>
  <c r="A271" i="2" s="1"/>
  <c r="L272" i="2"/>
  <c r="A272" i="2" s="1"/>
  <c r="L273" i="2"/>
  <c r="A273" i="2" s="1"/>
  <c r="L274" i="2"/>
  <c r="A274" i="2" s="1"/>
  <c r="L275" i="2"/>
  <c r="A275" i="2" s="1"/>
  <c r="L276" i="2"/>
  <c r="A276" i="2" s="1"/>
  <c r="L277" i="2"/>
  <c r="A277" i="2" s="1"/>
  <c r="L278" i="2"/>
  <c r="A278" i="2" s="1"/>
  <c r="L279" i="2"/>
  <c r="A279" i="2" s="1"/>
  <c r="L280" i="2"/>
  <c r="A280" i="2" s="1"/>
  <c r="L281" i="2"/>
  <c r="A281" i="2" s="1"/>
  <c r="L282" i="2"/>
  <c r="A282" i="2" s="1"/>
  <c r="L283" i="2"/>
  <c r="A283" i="2" s="1"/>
  <c r="L284" i="2"/>
  <c r="A284" i="2" s="1"/>
  <c r="L285" i="2"/>
  <c r="A285" i="2" s="1"/>
  <c r="L286" i="2"/>
  <c r="A286" i="2" s="1"/>
  <c r="L287" i="2"/>
  <c r="A287" i="2" s="1"/>
  <c r="L288" i="2"/>
  <c r="A288" i="2" s="1"/>
  <c r="L289" i="2"/>
  <c r="A289" i="2" s="1"/>
  <c r="L290" i="2"/>
  <c r="A290" i="2" s="1"/>
  <c r="L291" i="2"/>
  <c r="A291" i="2" s="1"/>
  <c r="L292" i="2"/>
  <c r="A292" i="2" s="1"/>
  <c r="L293" i="2"/>
  <c r="A293" i="2" s="1"/>
  <c r="L294" i="2"/>
  <c r="A294" i="2" s="1"/>
  <c r="L295" i="2"/>
  <c r="A295" i="2" s="1"/>
  <c r="L296" i="2"/>
  <c r="A296" i="2" s="1"/>
  <c r="L297" i="2"/>
  <c r="A297" i="2" s="1"/>
  <c r="L298" i="2"/>
  <c r="A298" i="2" s="1"/>
  <c r="L299" i="2"/>
  <c r="A299" i="2" s="1"/>
  <c r="L300" i="2"/>
  <c r="A300" i="2" s="1"/>
  <c r="L301" i="2"/>
  <c r="A301" i="2" s="1"/>
  <c r="L302" i="2"/>
  <c r="A302" i="2" s="1"/>
  <c r="L303" i="2"/>
  <c r="A303" i="2" s="1"/>
  <c r="L304" i="2"/>
  <c r="A304" i="2" s="1"/>
  <c r="L305" i="2"/>
  <c r="A305" i="2" s="1"/>
  <c r="L306" i="2"/>
  <c r="A306" i="2" s="1"/>
  <c r="L307" i="2"/>
  <c r="A307" i="2" s="1"/>
  <c r="L308" i="2"/>
  <c r="A308" i="2" s="1"/>
  <c r="L309" i="2"/>
  <c r="A309" i="2" s="1"/>
  <c r="L310" i="2"/>
  <c r="A310" i="2" s="1"/>
  <c r="L311" i="2"/>
  <c r="A311" i="2" s="1"/>
  <c r="L312" i="2"/>
  <c r="A312" i="2" s="1"/>
  <c r="L313" i="2"/>
  <c r="A313" i="2" s="1"/>
  <c r="L314" i="2"/>
  <c r="A314" i="2" s="1"/>
  <c r="L315" i="2"/>
  <c r="A315" i="2" s="1"/>
  <c r="L316" i="2"/>
  <c r="A316" i="2" s="1"/>
  <c r="L317" i="2"/>
  <c r="A317" i="2" s="1"/>
  <c r="L318" i="2"/>
  <c r="A318" i="2" s="1"/>
  <c r="L319" i="2"/>
  <c r="A319" i="2" s="1"/>
  <c r="L320" i="2"/>
  <c r="A320" i="2" s="1"/>
  <c r="L321" i="2"/>
  <c r="A321" i="2" s="1"/>
  <c r="L322" i="2"/>
  <c r="A322" i="2" s="1"/>
  <c r="L323" i="2"/>
  <c r="A323" i="2" s="1"/>
  <c r="L324" i="2"/>
  <c r="A324" i="2" s="1"/>
  <c r="L325" i="2"/>
  <c r="A325" i="2" s="1"/>
  <c r="L326" i="2"/>
  <c r="A326" i="2" s="1"/>
  <c r="L327" i="2"/>
  <c r="A327" i="2" s="1"/>
  <c r="L328" i="2"/>
  <c r="A328" i="2" s="1"/>
  <c r="L329" i="2"/>
  <c r="A329" i="2" s="1"/>
  <c r="L330" i="2"/>
  <c r="A330" i="2" s="1"/>
  <c r="L331" i="2"/>
  <c r="A331" i="2" s="1"/>
  <c r="L332" i="2"/>
  <c r="A332" i="2" s="1"/>
  <c r="L333" i="2"/>
  <c r="A333" i="2" s="1"/>
  <c r="L334" i="2"/>
  <c r="A334" i="2" s="1"/>
  <c r="L335" i="2"/>
  <c r="A335" i="2" s="1"/>
  <c r="L336" i="2"/>
  <c r="A336" i="2" s="1"/>
  <c r="L337" i="2"/>
  <c r="A337" i="2" s="1"/>
  <c r="L338" i="2"/>
  <c r="A338" i="2" s="1"/>
  <c r="L339" i="2"/>
  <c r="A339" i="2" s="1"/>
  <c r="L340" i="2"/>
  <c r="A340" i="2" s="1"/>
  <c r="L341" i="2"/>
  <c r="A341" i="2" s="1"/>
  <c r="L342" i="2"/>
  <c r="A342" i="2" s="1"/>
  <c r="L343" i="2"/>
  <c r="A343" i="2" s="1"/>
  <c r="L344" i="2"/>
  <c r="A344" i="2" s="1"/>
  <c r="L345" i="2"/>
  <c r="A345" i="2" s="1"/>
  <c r="L346" i="2"/>
  <c r="A346" i="2" s="1"/>
  <c r="L347" i="2"/>
  <c r="A347" i="2" s="1"/>
  <c r="L348" i="2"/>
  <c r="A348" i="2" s="1"/>
  <c r="L349" i="2"/>
  <c r="A349" i="2" s="1"/>
  <c r="L350" i="2"/>
  <c r="A350" i="2" s="1"/>
  <c r="L351" i="2"/>
  <c r="A351" i="2" s="1"/>
  <c r="L352" i="2"/>
  <c r="A352" i="2" s="1"/>
  <c r="L353" i="2"/>
  <c r="A353" i="2" s="1"/>
  <c r="L354" i="2"/>
  <c r="A354" i="2" s="1"/>
  <c r="L355" i="2"/>
  <c r="A355" i="2" s="1"/>
  <c r="L356" i="2"/>
  <c r="A356" i="2" s="1"/>
  <c r="L357" i="2"/>
  <c r="A357" i="2" s="1"/>
  <c r="L358" i="2"/>
  <c r="A358" i="2" s="1"/>
  <c r="L359" i="2"/>
  <c r="A359" i="2" s="1"/>
  <c r="L360" i="2"/>
  <c r="A360" i="2" s="1"/>
  <c r="L361" i="2"/>
  <c r="A361" i="2" s="1"/>
  <c r="L362" i="2"/>
  <c r="A362" i="2" s="1"/>
  <c r="L363" i="2"/>
  <c r="A363" i="2" s="1"/>
  <c r="L364" i="2"/>
  <c r="A364" i="2" s="1"/>
  <c r="L365" i="2"/>
  <c r="A365" i="2" s="1"/>
  <c r="L366" i="2"/>
  <c r="A366" i="2" s="1"/>
  <c r="L367" i="2"/>
  <c r="A367" i="2" s="1"/>
  <c r="L368" i="2"/>
  <c r="A368" i="2" s="1"/>
  <c r="L369" i="2"/>
  <c r="A369" i="2" s="1"/>
  <c r="L370" i="2"/>
  <c r="A370" i="2" s="1"/>
  <c r="L371" i="2"/>
  <c r="A371" i="2" s="1"/>
  <c r="L372" i="2"/>
  <c r="A372" i="2" s="1"/>
  <c r="L373" i="2"/>
  <c r="A373" i="2" s="1"/>
  <c r="L374" i="2"/>
  <c r="A374" i="2" s="1"/>
  <c r="L375" i="2"/>
  <c r="A375" i="2" s="1"/>
  <c r="L376" i="2"/>
  <c r="A376" i="2" s="1"/>
  <c r="L377" i="2"/>
  <c r="A377" i="2" s="1"/>
  <c r="L378" i="2"/>
  <c r="A378" i="2" s="1"/>
  <c r="L379" i="2"/>
  <c r="A379" i="2" s="1"/>
  <c r="L380" i="2"/>
  <c r="A380" i="2" s="1"/>
  <c r="L381" i="2"/>
  <c r="A381" i="2" s="1"/>
  <c r="L382" i="2"/>
  <c r="A382" i="2" s="1"/>
  <c r="L383" i="2"/>
  <c r="A383" i="2" s="1"/>
  <c r="L384" i="2"/>
  <c r="A384" i="2" s="1"/>
  <c r="L385" i="2"/>
  <c r="A385" i="2" s="1"/>
  <c r="L386" i="2"/>
  <c r="A386" i="2" s="1"/>
  <c r="L387" i="2"/>
  <c r="A387" i="2" s="1"/>
  <c r="L388" i="2"/>
  <c r="A388" i="2" s="1"/>
  <c r="L389" i="2"/>
  <c r="A389" i="2" s="1"/>
  <c r="L390" i="2"/>
  <c r="A390" i="2" s="1"/>
  <c r="L391" i="2"/>
  <c r="A391" i="2" s="1"/>
  <c r="L392" i="2"/>
  <c r="A392" i="2" s="1"/>
  <c r="L393" i="2"/>
  <c r="A393" i="2" s="1"/>
  <c r="L394" i="2"/>
  <c r="A394" i="2" s="1"/>
  <c r="L395" i="2"/>
  <c r="A395" i="2" s="1"/>
  <c r="L396" i="2"/>
  <c r="A396" i="2" s="1"/>
  <c r="L397" i="2"/>
  <c r="A397" i="2" s="1"/>
  <c r="L398" i="2"/>
  <c r="A398" i="2" s="1"/>
  <c r="L399" i="2"/>
  <c r="A399" i="2" s="1"/>
  <c r="L400" i="2"/>
  <c r="A400" i="2" s="1"/>
  <c r="L401" i="2"/>
  <c r="A401" i="2" s="1"/>
  <c r="L402" i="2"/>
  <c r="A402" i="2" s="1"/>
  <c r="L403" i="2"/>
  <c r="A403" i="2" s="1"/>
  <c r="L404" i="2"/>
  <c r="A404" i="2" s="1"/>
  <c r="L405" i="2"/>
  <c r="A405" i="2" s="1"/>
  <c r="L406" i="2"/>
  <c r="A406" i="2" s="1"/>
  <c r="L407" i="2"/>
  <c r="A407" i="2" s="1"/>
  <c r="L408" i="2"/>
  <c r="A408" i="2" s="1"/>
  <c r="L409" i="2"/>
  <c r="A409" i="2" s="1"/>
  <c r="L410" i="2"/>
  <c r="A410" i="2" s="1"/>
  <c r="L411" i="2"/>
  <c r="A411" i="2" s="1"/>
  <c r="L412" i="2"/>
  <c r="A412" i="2" s="1"/>
  <c r="L413" i="2"/>
  <c r="A413" i="2" s="1"/>
  <c r="L414" i="2"/>
  <c r="A414" i="2" s="1"/>
  <c r="L415" i="2"/>
  <c r="A415" i="2" s="1"/>
  <c r="L416" i="2"/>
  <c r="A416" i="2" s="1"/>
  <c r="L417" i="2"/>
  <c r="A417" i="2" s="1"/>
  <c r="L418" i="2"/>
  <c r="A418" i="2" s="1"/>
  <c r="L419" i="2"/>
  <c r="A419" i="2" s="1"/>
  <c r="L420" i="2"/>
  <c r="A420" i="2" s="1"/>
  <c r="L421" i="2"/>
  <c r="A421" i="2" s="1"/>
  <c r="L422" i="2"/>
  <c r="A422" i="2" s="1"/>
  <c r="L423" i="2"/>
  <c r="A423" i="2" s="1"/>
  <c r="L424" i="2"/>
  <c r="A424" i="2" s="1"/>
  <c r="L425" i="2"/>
  <c r="A425" i="2" s="1"/>
  <c r="L426" i="2"/>
  <c r="A426" i="2" s="1"/>
  <c r="L427" i="2"/>
  <c r="A427" i="2" s="1"/>
  <c r="L428" i="2"/>
  <c r="A428" i="2" s="1"/>
  <c r="L429" i="2"/>
  <c r="A429" i="2" s="1"/>
  <c r="L430" i="2"/>
  <c r="A430" i="2" s="1"/>
  <c r="L431" i="2"/>
  <c r="A431" i="2" s="1"/>
  <c r="L432" i="2"/>
  <c r="A432" i="2" s="1"/>
  <c r="L433" i="2"/>
  <c r="A433" i="2" s="1"/>
  <c r="L434" i="2"/>
  <c r="A434" i="2" s="1"/>
  <c r="L435" i="2"/>
  <c r="A435" i="2" s="1"/>
  <c r="L436" i="2"/>
  <c r="A436" i="2" s="1"/>
  <c r="L437" i="2"/>
  <c r="A437" i="2" s="1"/>
  <c r="L438" i="2"/>
  <c r="A438" i="2" s="1"/>
  <c r="L439" i="2"/>
  <c r="A439" i="2" s="1"/>
  <c r="L440" i="2"/>
  <c r="A440" i="2" s="1"/>
  <c r="L441" i="2"/>
  <c r="A441" i="2" s="1"/>
  <c r="L442" i="2"/>
  <c r="A442" i="2" s="1"/>
  <c r="L443" i="2"/>
  <c r="A443" i="2" s="1"/>
  <c r="L444" i="2"/>
  <c r="A444" i="2" s="1"/>
  <c r="L445" i="2"/>
  <c r="A445" i="2" s="1"/>
  <c r="L446" i="2"/>
  <c r="A446" i="2" s="1"/>
  <c r="L447" i="2"/>
  <c r="A447" i="2" s="1"/>
  <c r="L448" i="2"/>
  <c r="A448" i="2" s="1"/>
  <c r="L449" i="2"/>
  <c r="A449" i="2" s="1"/>
  <c r="L450" i="2"/>
  <c r="A450" i="2" s="1"/>
  <c r="L451" i="2"/>
  <c r="A451" i="2" s="1"/>
  <c r="L452" i="2"/>
  <c r="A452" i="2" s="1"/>
  <c r="L453" i="2"/>
  <c r="A453" i="2" s="1"/>
  <c r="L454" i="2"/>
  <c r="A454" i="2" s="1"/>
  <c r="L455" i="2"/>
  <c r="A455" i="2" s="1"/>
  <c r="L456" i="2"/>
  <c r="A456" i="2" s="1"/>
  <c r="L457" i="2"/>
  <c r="A457" i="2" s="1"/>
  <c r="L458" i="2"/>
  <c r="A458" i="2" s="1"/>
  <c r="L459" i="2"/>
  <c r="A459" i="2" s="1"/>
  <c r="L460" i="2"/>
  <c r="A460" i="2" s="1"/>
  <c r="L461" i="2"/>
  <c r="A461" i="2" s="1"/>
  <c r="L462" i="2"/>
  <c r="A462" i="2" s="1"/>
  <c r="L463" i="2"/>
  <c r="A463" i="2" s="1"/>
  <c r="L464" i="2"/>
  <c r="A464" i="2" s="1"/>
  <c r="L465" i="2"/>
  <c r="A465" i="2" s="1"/>
  <c r="L466" i="2"/>
  <c r="A466" i="2" s="1"/>
  <c r="L467" i="2"/>
  <c r="A467" i="2" s="1"/>
  <c r="L468" i="2"/>
  <c r="A468" i="2" s="1"/>
  <c r="L469" i="2"/>
  <c r="A469" i="2" s="1"/>
  <c r="L470" i="2"/>
  <c r="A470" i="2" s="1"/>
  <c r="L471" i="2"/>
  <c r="A471" i="2" s="1"/>
  <c r="L472" i="2"/>
  <c r="A472" i="2" s="1"/>
  <c r="L473" i="2"/>
  <c r="A473" i="2" s="1"/>
  <c r="L474" i="2"/>
  <c r="A474" i="2" s="1"/>
  <c r="L475" i="2"/>
  <c r="A475" i="2" s="1"/>
  <c r="L476" i="2"/>
  <c r="A476" i="2" s="1"/>
  <c r="L477" i="2"/>
  <c r="A477" i="2" s="1"/>
  <c r="L478" i="2"/>
  <c r="A478" i="2" s="1"/>
  <c r="L479" i="2"/>
  <c r="A479" i="2" s="1"/>
  <c r="L480" i="2"/>
  <c r="A480" i="2" s="1"/>
  <c r="L481" i="2"/>
  <c r="A481" i="2" s="1"/>
  <c r="L482" i="2"/>
  <c r="A482" i="2" s="1"/>
  <c r="L483" i="2"/>
  <c r="A483" i="2" s="1"/>
  <c r="L484" i="2"/>
  <c r="A484" i="2" s="1"/>
  <c r="L485" i="2"/>
  <c r="A485" i="2" s="1"/>
  <c r="L486" i="2"/>
  <c r="A486" i="2" s="1"/>
  <c r="L487" i="2"/>
  <c r="A487" i="2" s="1"/>
  <c r="L488" i="2"/>
  <c r="A488" i="2" s="1"/>
  <c r="L489" i="2"/>
  <c r="A489" i="2" s="1"/>
  <c r="L490" i="2"/>
  <c r="A490" i="2" s="1"/>
  <c r="L491" i="2"/>
  <c r="A491" i="2" s="1"/>
  <c r="L492" i="2"/>
  <c r="A492" i="2" s="1"/>
  <c r="L493" i="2"/>
  <c r="A493" i="2" s="1"/>
  <c r="L494" i="2"/>
  <c r="A494" i="2" s="1"/>
  <c r="L495" i="2"/>
  <c r="A495" i="2" s="1"/>
  <c r="L496" i="2"/>
  <c r="A496" i="2" s="1"/>
  <c r="L497" i="2"/>
  <c r="A497" i="2" s="1"/>
  <c r="L498" i="2"/>
  <c r="A498" i="2" s="1"/>
  <c r="L499" i="2"/>
  <c r="A499" i="2" s="1"/>
  <c r="L500" i="2"/>
  <c r="A500" i="2" s="1"/>
  <c r="L501" i="2"/>
  <c r="A501" i="2" s="1"/>
  <c r="L502" i="2"/>
  <c r="A502" i="2" s="1"/>
  <c r="L503" i="2"/>
  <c r="A503" i="2" s="1"/>
  <c r="L504" i="2"/>
  <c r="A504" i="2" s="1"/>
  <c r="L505" i="2"/>
  <c r="A505" i="2" s="1"/>
  <c r="L506" i="2"/>
  <c r="A506" i="2" s="1"/>
  <c r="L507" i="2"/>
  <c r="A507" i="2" s="1"/>
  <c r="L508" i="2"/>
  <c r="A508" i="2" s="1"/>
  <c r="L509" i="2"/>
  <c r="A509" i="2" s="1"/>
  <c r="L510" i="2"/>
  <c r="A510" i="2" s="1"/>
  <c r="L511" i="2"/>
  <c r="A511" i="2" s="1"/>
  <c r="L512" i="2"/>
  <c r="A512" i="2" s="1"/>
  <c r="L513" i="2"/>
  <c r="A513" i="2" s="1"/>
  <c r="L514" i="2"/>
  <c r="A514" i="2" s="1"/>
  <c r="L515" i="2"/>
  <c r="A515" i="2" s="1"/>
  <c r="L516" i="2"/>
  <c r="A516" i="2" s="1"/>
  <c r="L517" i="2"/>
  <c r="A517" i="2" s="1"/>
  <c r="L518" i="2"/>
  <c r="A518" i="2" s="1"/>
  <c r="L519" i="2"/>
  <c r="A519" i="2" s="1"/>
  <c r="L520" i="2"/>
  <c r="A520" i="2" s="1"/>
  <c r="L521" i="2"/>
  <c r="A521" i="2" s="1"/>
  <c r="L522" i="2"/>
  <c r="A522" i="2" s="1"/>
  <c r="L523" i="2"/>
  <c r="A523" i="2" s="1"/>
  <c r="L524" i="2"/>
  <c r="A524" i="2" s="1"/>
  <c r="L525" i="2"/>
  <c r="A525" i="2" s="1"/>
  <c r="L526" i="2"/>
  <c r="A526" i="2" s="1"/>
  <c r="L527" i="2"/>
  <c r="A527" i="2" s="1"/>
  <c r="L528" i="2"/>
  <c r="A528" i="2" s="1"/>
  <c r="L529" i="2"/>
  <c r="A529" i="2" s="1"/>
  <c r="L530" i="2"/>
  <c r="A530" i="2" s="1"/>
  <c r="L531" i="2"/>
  <c r="A531" i="2" s="1"/>
  <c r="L532" i="2"/>
  <c r="A532" i="2" s="1"/>
  <c r="L533" i="2"/>
  <c r="A533" i="2" s="1"/>
  <c r="L534" i="2"/>
  <c r="A534" i="2" s="1"/>
  <c r="L535" i="2"/>
  <c r="A535" i="2" s="1"/>
  <c r="L536" i="2"/>
  <c r="A536" i="2" s="1"/>
  <c r="L537" i="2"/>
  <c r="A537" i="2" s="1"/>
  <c r="L538" i="2"/>
  <c r="A538" i="2" s="1"/>
  <c r="L539" i="2"/>
  <c r="A539" i="2" s="1"/>
  <c r="L540" i="2"/>
  <c r="A540" i="2" s="1"/>
  <c r="L541" i="2"/>
  <c r="A541" i="2" s="1"/>
  <c r="L542" i="2"/>
  <c r="A542" i="2" s="1"/>
  <c r="L543" i="2"/>
  <c r="A543" i="2" s="1"/>
  <c r="L544" i="2"/>
  <c r="A544" i="2" s="1"/>
  <c r="L545" i="2"/>
  <c r="A545" i="2" s="1"/>
  <c r="L546" i="2"/>
  <c r="A546" i="2" s="1"/>
  <c r="L547" i="2"/>
  <c r="A547" i="2" s="1"/>
  <c r="L548" i="2"/>
  <c r="A548" i="2" s="1"/>
  <c r="L549" i="2"/>
  <c r="A549" i="2" s="1"/>
  <c r="L550" i="2"/>
  <c r="A550" i="2" s="1"/>
  <c r="L551" i="2"/>
  <c r="A551" i="2" s="1"/>
  <c r="L552" i="2"/>
  <c r="A552" i="2" s="1"/>
  <c r="L553" i="2"/>
  <c r="A553" i="2" s="1"/>
  <c r="L554" i="2"/>
  <c r="A554" i="2" s="1"/>
  <c r="L555" i="2"/>
  <c r="A555" i="2" s="1"/>
  <c r="L556" i="2"/>
  <c r="A556" i="2" s="1"/>
  <c r="L557" i="2"/>
  <c r="A557" i="2" s="1"/>
  <c r="L558" i="2"/>
  <c r="A558" i="2" s="1"/>
  <c r="L559" i="2"/>
  <c r="A559" i="2" s="1"/>
  <c r="L560" i="2"/>
  <c r="A560" i="2" s="1"/>
  <c r="L561" i="2"/>
  <c r="A561" i="2" s="1"/>
  <c r="L562" i="2"/>
  <c r="A562" i="2" s="1"/>
  <c r="L563" i="2"/>
  <c r="A563" i="2" s="1"/>
  <c r="L564" i="2"/>
  <c r="A564" i="2" s="1"/>
  <c r="L565" i="2"/>
  <c r="A565" i="2" s="1"/>
  <c r="L566" i="2"/>
  <c r="A566" i="2" s="1"/>
  <c r="L567" i="2"/>
  <c r="A567" i="2" s="1"/>
  <c r="L568" i="2"/>
  <c r="A568" i="2" s="1"/>
  <c r="L569" i="2"/>
  <c r="A569" i="2" s="1"/>
  <c r="L570" i="2"/>
  <c r="A570" i="2" s="1"/>
  <c r="L571" i="2"/>
  <c r="A571" i="2" s="1"/>
  <c r="L572" i="2"/>
  <c r="A572" i="2" s="1"/>
  <c r="L573" i="2"/>
  <c r="A573" i="2" s="1"/>
  <c r="L574" i="2"/>
  <c r="A574" i="2" s="1"/>
  <c r="L575" i="2"/>
  <c r="A575" i="2" s="1"/>
  <c r="L576" i="2"/>
  <c r="A576" i="2" s="1"/>
  <c r="L577" i="2"/>
  <c r="A577" i="2" s="1"/>
  <c r="L578" i="2"/>
  <c r="A578" i="2" s="1"/>
  <c r="L579" i="2"/>
  <c r="A579" i="2" s="1"/>
  <c r="L580" i="2"/>
  <c r="A580" i="2" s="1"/>
  <c r="L581" i="2"/>
  <c r="A581" i="2" s="1"/>
  <c r="L582" i="2"/>
  <c r="A582" i="2" s="1"/>
  <c r="L583" i="2"/>
  <c r="A583" i="2" s="1"/>
  <c r="L584" i="2"/>
  <c r="A584" i="2" s="1"/>
  <c r="L585" i="2"/>
  <c r="A585" i="2" s="1"/>
  <c r="L586" i="2"/>
  <c r="A586" i="2" s="1"/>
  <c r="L587" i="2"/>
  <c r="A587" i="2" s="1"/>
  <c r="L588" i="2"/>
  <c r="A588" i="2" s="1"/>
  <c r="L589" i="2"/>
  <c r="A589" i="2" s="1"/>
  <c r="L590" i="2"/>
  <c r="A590" i="2" s="1"/>
  <c r="L591" i="2"/>
  <c r="A591" i="2" s="1"/>
  <c r="L592" i="2"/>
  <c r="A592" i="2" s="1"/>
  <c r="L593" i="2"/>
  <c r="A593" i="2" s="1"/>
  <c r="L594" i="2"/>
  <c r="A594" i="2" s="1"/>
  <c r="L595" i="2"/>
  <c r="A595" i="2" s="1"/>
  <c r="L596" i="2"/>
  <c r="A596" i="2" s="1"/>
  <c r="L597" i="2"/>
  <c r="A597" i="2" s="1"/>
  <c r="L598" i="2"/>
  <c r="A598" i="2" s="1"/>
  <c r="L599" i="2"/>
  <c r="A599" i="2" s="1"/>
  <c r="L600" i="2"/>
  <c r="A600" i="2" s="1"/>
  <c r="L601" i="2"/>
  <c r="A601" i="2" s="1"/>
  <c r="L602" i="2"/>
  <c r="A602" i="2" s="1"/>
  <c r="L603" i="2"/>
  <c r="A603" i="2" s="1"/>
  <c r="L604" i="2"/>
  <c r="A604" i="2" s="1"/>
  <c r="L605" i="2"/>
  <c r="A605" i="2" s="1"/>
  <c r="L606" i="2"/>
  <c r="A606" i="2" s="1"/>
  <c r="L607" i="2"/>
  <c r="A607" i="2" s="1"/>
  <c r="L608" i="2"/>
  <c r="A608" i="2" s="1"/>
  <c r="L609" i="2"/>
  <c r="A609" i="2" s="1"/>
  <c r="L610" i="2"/>
  <c r="A610" i="2" s="1"/>
  <c r="L611" i="2"/>
  <c r="A611" i="2" s="1"/>
  <c r="L612" i="2"/>
  <c r="A612" i="2" s="1"/>
  <c r="L613" i="2"/>
  <c r="A613" i="2" s="1"/>
  <c r="L614" i="2"/>
  <c r="A614" i="2" s="1"/>
  <c r="L615" i="2"/>
  <c r="A615" i="2" s="1"/>
  <c r="L616" i="2"/>
  <c r="A616" i="2" s="1"/>
  <c r="L617" i="2"/>
  <c r="A617" i="2" s="1"/>
  <c r="L618" i="2"/>
  <c r="A618" i="2" s="1"/>
  <c r="L619" i="2"/>
  <c r="A619" i="2" s="1"/>
  <c r="L620" i="2"/>
  <c r="A620" i="2" s="1"/>
  <c r="L621" i="2"/>
  <c r="A621" i="2" s="1"/>
  <c r="L622" i="2"/>
  <c r="A622" i="2" s="1"/>
  <c r="L623" i="2"/>
  <c r="A623" i="2" s="1"/>
  <c r="L624" i="2"/>
  <c r="A624" i="2" s="1"/>
  <c r="L625" i="2"/>
  <c r="A625" i="2" s="1"/>
  <c r="L626" i="2"/>
  <c r="A626" i="2" s="1"/>
  <c r="L627" i="2"/>
  <c r="A627" i="2" s="1"/>
  <c r="L628" i="2"/>
  <c r="A628" i="2" s="1"/>
  <c r="L629" i="2"/>
  <c r="A629" i="2" s="1"/>
  <c r="L630" i="2"/>
  <c r="A630" i="2" s="1"/>
  <c r="L631" i="2"/>
  <c r="A631" i="2" s="1"/>
  <c r="L632" i="2"/>
  <c r="A632" i="2" s="1"/>
  <c r="L633" i="2"/>
  <c r="A633" i="2" s="1"/>
  <c r="L634" i="2"/>
  <c r="A634" i="2" s="1"/>
  <c r="L635" i="2"/>
  <c r="A635" i="2" s="1"/>
  <c r="L636" i="2"/>
  <c r="A636" i="2" s="1"/>
  <c r="L637" i="2"/>
  <c r="A637" i="2" s="1"/>
  <c r="L638" i="2"/>
  <c r="A638" i="2" s="1"/>
  <c r="L639" i="2"/>
  <c r="A639" i="2" s="1"/>
  <c r="L640" i="2"/>
  <c r="A640" i="2" s="1"/>
  <c r="L641" i="2"/>
  <c r="A641" i="2" s="1"/>
  <c r="L642" i="2"/>
  <c r="A642" i="2" s="1"/>
  <c r="L643" i="2"/>
  <c r="A643" i="2" s="1"/>
  <c r="L644" i="2"/>
  <c r="A644" i="2" s="1"/>
  <c r="L645" i="2"/>
  <c r="A645" i="2" s="1"/>
  <c r="L646" i="2"/>
  <c r="A646" i="2" s="1"/>
  <c r="L647" i="2"/>
  <c r="A647" i="2" s="1"/>
  <c r="L648" i="2"/>
  <c r="A648" i="2" s="1"/>
  <c r="L649" i="2"/>
  <c r="A649" i="2" s="1"/>
  <c r="L650" i="2"/>
  <c r="A650" i="2" s="1"/>
  <c r="C20" i="2"/>
  <c r="E20" i="2"/>
  <c r="G20" i="2"/>
  <c r="I20" i="2"/>
  <c r="K20" i="2"/>
  <c r="C21" i="2"/>
  <c r="E21" i="2"/>
  <c r="G21" i="2"/>
  <c r="I21" i="2"/>
  <c r="K21" i="2"/>
  <c r="C22" i="2"/>
  <c r="E22" i="2"/>
  <c r="G22" i="2"/>
  <c r="I22" i="2"/>
  <c r="K22" i="2"/>
  <c r="C23" i="2"/>
  <c r="E23" i="2"/>
  <c r="G23" i="2"/>
  <c r="I23" i="2"/>
  <c r="K23" i="2"/>
  <c r="C24" i="2"/>
  <c r="E24" i="2"/>
  <c r="G24" i="2"/>
  <c r="I24" i="2"/>
  <c r="K24" i="2"/>
  <c r="C25" i="2"/>
  <c r="E25" i="2"/>
  <c r="G25" i="2"/>
  <c r="I25" i="2"/>
  <c r="K25" i="2"/>
  <c r="C26" i="2"/>
  <c r="E26" i="2"/>
  <c r="G26" i="2"/>
  <c r="I26" i="2"/>
  <c r="K26" i="2"/>
  <c r="C27" i="2"/>
  <c r="E27" i="2"/>
  <c r="G27" i="2"/>
  <c r="I27" i="2"/>
  <c r="K27" i="2"/>
  <c r="C28" i="2"/>
  <c r="E28" i="2"/>
  <c r="G28" i="2"/>
  <c r="I28" i="2"/>
  <c r="K28" i="2"/>
  <c r="C29" i="2"/>
  <c r="E29" i="2"/>
  <c r="G29" i="2"/>
  <c r="I29" i="2"/>
  <c r="K29" i="2"/>
  <c r="C30" i="2"/>
  <c r="E30" i="2"/>
  <c r="G30" i="2"/>
  <c r="I30" i="2"/>
  <c r="K30" i="2"/>
  <c r="C31" i="2"/>
  <c r="E31" i="2"/>
  <c r="G31" i="2"/>
  <c r="I31" i="2"/>
  <c r="K31" i="2"/>
  <c r="C32" i="2"/>
  <c r="E32" i="2"/>
  <c r="G32" i="2"/>
  <c r="I32" i="2"/>
  <c r="K32" i="2"/>
  <c r="C33" i="2"/>
  <c r="E33" i="2"/>
  <c r="G33" i="2"/>
  <c r="I33" i="2"/>
  <c r="K33" i="2"/>
  <c r="C34" i="2"/>
  <c r="E34" i="2"/>
  <c r="G34" i="2"/>
  <c r="I34" i="2"/>
  <c r="K34" i="2"/>
  <c r="C35" i="2"/>
  <c r="E35" i="2"/>
  <c r="G35" i="2"/>
  <c r="I35" i="2"/>
  <c r="K35" i="2"/>
  <c r="C36" i="2"/>
  <c r="E36" i="2"/>
  <c r="G36" i="2"/>
  <c r="I36" i="2"/>
  <c r="K36" i="2"/>
  <c r="C37" i="2"/>
  <c r="E37" i="2"/>
  <c r="G37" i="2"/>
  <c r="I37" i="2"/>
  <c r="K37" i="2"/>
  <c r="C38" i="2"/>
  <c r="E38" i="2"/>
  <c r="G38" i="2"/>
  <c r="I38" i="2"/>
  <c r="K38" i="2"/>
  <c r="C39" i="2"/>
  <c r="E39" i="2"/>
  <c r="G39" i="2"/>
  <c r="I39" i="2"/>
  <c r="K39" i="2"/>
  <c r="C40" i="2"/>
  <c r="E40" i="2"/>
  <c r="G40" i="2"/>
  <c r="I40" i="2"/>
  <c r="K40" i="2"/>
  <c r="C41" i="2"/>
  <c r="E41" i="2"/>
  <c r="G41" i="2"/>
  <c r="I41" i="2"/>
  <c r="K41" i="2"/>
  <c r="C42" i="2"/>
  <c r="E42" i="2"/>
  <c r="G42" i="2"/>
  <c r="I42" i="2"/>
  <c r="K42" i="2"/>
  <c r="C43" i="2"/>
  <c r="E43" i="2"/>
  <c r="G43" i="2"/>
  <c r="I43" i="2"/>
  <c r="K43" i="2"/>
  <c r="C44" i="2"/>
  <c r="E44" i="2"/>
  <c r="G44" i="2"/>
  <c r="I44" i="2"/>
  <c r="K44" i="2"/>
  <c r="C45" i="2"/>
  <c r="E45" i="2"/>
  <c r="G45" i="2"/>
  <c r="I45" i="2"/>
  <c r="K45" i="2"/>
  <c r="C46" i="2"/>
  <c r="E46" i="2"/>
  <c r="G46" i="2"/>
  <c r="I46" i="2"/>
  <c r="K46" i="2"/>
  <c r="C47" i="2"/>
  <c r="E47" i="2"/>
  <c r="G47" i="2"/>
  <c r="I47" i="2"/>
  <c r="K47" i="2"/>
  <c r="C48" i="2"/>
  <c r="E48" i="2"/>
  <c r="G48" i="2"/>
  <c r="I48" i="2"/>
  <c r="K48" i="2"/>
  <c r="C49" i="2"/>
  <c r="E49" i="2"/>
  <c r="G49" i="2"/>
  <c r="I49" i="2"/>
  <c r="K49" i="2"/>
  <c r="C50" i="2"/>
  <c r="E50" i="2"/>
  <c r="G50" i="2"/>
  <c r="I50" i="2"/>
  <c r="K50" i="2"/>
  <c r="C51" i="2"/>
  <c r="E51" i="2"/>
  <c r="G51" i="2"/>
  <c r="I51" i="2"/>
  <c r="K51" i="2"/>
  <c r="C52" i="2"/>
  <c r="E52" i="2"/>
  <c r="G52" i="2"/>
  <c r="I52" i="2"/>
  <c r="K52" i="2"/>
  <c r="C53" i="2"/>
  <c r="E53" i="2"/>
  <c r="G53" i="2"/>
  <c r="I53" i="2"/>
  <c r="K53" i="2"/>
  <c r="C54" i="2"/>
  <c r="E54" i="2"/>
  <c r="G54" i="2"/>
  <c r="I54" i="2"/>
  <c r="K54" i="2"/>
  <c r="C55" i="2"/>
  <c r="E55" i="2"/>
  <c r="G55" i="2"/>
  <c r="I55" i="2"/>
  <c r="K55" i="2"/>
  <c r="C56" i="2"/>
  <c r="E56" i="2"/>
  <c r="G56" i="2"/>
  <c r="I56" i="2"/>
  <c r="K56" i="2"/>
  <c r="C57" i="2"/>
  <c r="E57" i="2"/>
  <c r="G57" i="2"/>
  <c r="I57" i="2"/>
  <c r="K57" i="2"/>
  <c r="C58" i="2"/>
  <c r="E58" i="2"/>
  <c r="G58" i="2"/>
  <c r="I58" i="2"/>
  <c r="K58" i="2"/>
  <c r="C59" i="2"/>
  <c r="E59" i="2"/>
  <c r="G59" i="2"/>
  <c r="I59" i="2"/>
  <c r="K59" i="2"/>
  <c r="C60" i="2"/>
  <c r="E60" i="2"/>
  <c r="G60" i="2"/>
  <c r="I60" i="2"/>
  <c r="K60" i="2"/>
  <c r="C61" i="2"/>
  <c r="E61" i="2"/>
  <c r="G61" i="2"/>
  <c r="I61" i="2"/>
  <c r="K61" i="2"/>
  <c r="C62" i="2"/>
  <c r="E62" i="2"/>
  <c r="G62" i="2"/>
  <c r="I62" i="2"/>
  <c r="K62" i="2"/>
  <c r="C63" i="2"/>
  <c r="E63" i="2"/>
  <c r="G63" i="2"/>
  <c r="I63" i="2"/>
  <c r="K63" i="2"/>
  <c r="C64" i="2"/>
  <c r="E64" i="2"/>
  <c r="G64" i="2"/>
  <c r="I64" i="2"/>
  <c r="K64" i="2"/>
  <c r="C65" i="2"/>
  <c r="E65" i="2"/>
  <c r="G65" i="2"/>
  <c r="I65" i="2"/>
  <c r="K65" i="2"/>
  <c r="C66" i="2"/>
  <c r="E66" i="2"/>
  <c r="G66" i="2"/>
  <c r="I66" i="2"/>
  <c r="K66" i="2"/>
  <c r="C67" i="2"/>
  <c r="E67" i="2"/>
  <c r="G67" i="2"/>
  <c r="I67" i="2"/>
  <c r="K67" i="2"/>
  <c r="C68" i="2"/>
  <c r="E68" i="2"/>
  <c r="G68" i="2"/>
  <c r="I68" i="2"/>
  <c r="K68" i="2"/>
  <c r="C69" i="2"/>
  <c r="E69" i="2"/>
  <c r="G69" i="2"/>
  <c r="I69" i="2"/>
  <c r="K69" i="2"/>
  <c r="C70" i="2"/>
  <c r="E70" i="2"/>
  <c r="G70" i="2"/>
  <c r="I70" i="2"/>
  <c r="K70" i="2"/>
  <c r="C71" i="2"/>
  <c r="E71" i="2"/>
  <c r="G71" i="2"/>
  <c r="I71" i="2"/>
  <c r="K71" i="2"/>
  <c r="C72" i="2"/>
  <c r="E72" i="2"/>
  <c r="G72" i="2"/>
  <c r="I72" i="2"/>
  <c r="K72" i="2"/>
  <c r="C73" i="2"/>
  <c r="E73" i="2"/>
  <c r="G73" i="2"/>
  <c r="I73" i="2"/>
  <c r="K73" i="2"/>
  <c r="C74" i="2"/>
  <c r="E74" i="2"/>
  <c r="G74" i="2"/>
  <c r="I74" i="2"/>
  <c r="K74" i="2"/>
  <c r="C75" i="2"/>
  <c r="E75" i="2"/>
  <c r="G75" i="2"/>
  <c r="I75" i="2"/>
  <c r="K75" i="2"/>
  <c r="C76" i="2"/>
  <c r="E76" i="2"/>
  <c r="G76" i="2"/>
  <c r="I76" i="2"/>
  <c r="K76" i="2"/>
  <c r="C77" i="2"/>
  <c r="E77" i="2"/>
  <c r="G77" i="2"/>
  <c r="I77" i="2"/>
  <c r="K77" i="2"/>
  <c r="C78" i="2"/>
  <c r="E78" i="2"/>
  <c r="G78" i="2"/>
  <c r="I78" i="2"/>
  <c r="K78" i="2"/>
  <c r="C79" i="2"/>
  <c r="E79" i="2"/>
  <c r="G79" i="2"/>
  <c r="I79" i="2"/>
  <c r="K79" i="2"/>
  <c r="C80" i="2"/>
  <c r="E80" i="2"/>
  <c r="G80" i="2"/>
  <c r="I80" i="2"/>
  <c r="K80" i="2"/>
  <c r="C81" i="2"/>
  <c r="E81" i="2"/>
  <c r="G81" i="2"/>
  <c r="I81" i="2"/>
  <c r="K81" i="2"/>
  <c r="C82" i="2"/>
  <c r="E82" i="2"/>
  <c r="G82" i="2"/>
  <c r="I82" i="2"/>
  <c r="K82" i="2"/>
  <c r="C83" i="2"/>
  <c r="E83" i="2"/>
  <c r="G83" i="2"/>
  <c r="I83" i="2"/>
  <c r="K83" i="2"/>
  <c r="C84" i="2"/>
  <c r="E84" i="2"/>
  <c r="G84" i="2"/>
  <c r="I84" i="2"/>
  <c r="K84" i="2"/>
  <c r="C85" i="2"/>
  <c r="E85" i="2"/>
  <c r="G85" i="2"/>
  <c r="I85" i="2"/>
  <c r="K85" i="2"/>
  <c r="C86" i="2"/>
  <c r="E86" i="2"/>
  <c r="G86" i="2"/>
  <c r="I86" i="2"/>
  <c r="K86" i="2"/>
  <c r="C87" i="2"/>
  <c r="E87" i="2"/>
  <c r="G87" i="2"/>
  <c r="I87" i="2"/>
  <c r="K87" i="2"/>
  <c r="C88" i="2"/>
  <c r="E88" i="2"/>
  <c r="G88" i="2"/>
  <c r="I88" i="2"/>
  <c r="K88" i="2"/>
  <c r="C89" i="2"/>
  <c r="E89" i="2"/>
  <c r="G89" i="2"/>
  <c r="I89" i="2"/>
  <c r="K89" i="2"/>
  <c r="C90" i="2"/>
  <c r="E90" i="2"/>
  <c r="G90" i="2"/>
  <c r="I90" i="2"/>
  <c r="K90" i="2"/>
  <c r="C91" i="2"/>
  <c r="E91" i="2"/>
  <c r="G91" i="2"/>
  <c r="I91" i="2"/>
  <c r="K91" i="2"/>
  <c r="C92" i="2"/>
  <c r="E92" i="2"/>
  <c r="G92" i="2"/>
  <c r="I92" i="2"/>
  <c r="K92" i="2"/>
  <c r="C93" i="2"/>
  <c r="E93" i="2"/>
  <c r="G93" i="2"/>
  <c r="I93" i="2"/>
  <c r="K93" i="2"/>
  <c r="C94" i="2"/>
  <c r="E94" i="2"/>
  <c r="G94" i="2"/>
  <c r="I94" i="2"/>
  <c r="K94" i="2"/>
  <c r="C95" i="2"/>
  <c r="E95" i="2"/>
  <c r="G95" i="2"/>
  <c r="I95" i="2"/>
  <c r="K95" i="2"/>
  <c r="C96" i="2"/>
  <c r="E96" i="2"/>
  <c r="G96" i="2"/>
  <c r="I96" i="2"/>
  <c r="K96" i="2"/>
  <c r="C97" i="2"/>
  <c r="E97" i="2"/>
  <c r="G97" i="2"/>
  <c r="I97" i="2"/>
  <c r="K97" i="2"/>
  <c r="C98" i="2"/>
  <c r="E98" i="2"/>
  <c r="G98" i="2"/>
  <c r="I98" i="2"/>
  <c r="K98" i="2"/>
  <c r="C99" i="2"/>
  <c r="E99" i="2"/>
  <c r="G99" i="2"/>
  <c r="I99" i="2"/>
  <c r="K99" i="2"/>
  <c r="C100" i="2"/>
  <c r="E100" i="2"/>
  <c r="G100" i="2"/>
  <c r="I100" i="2"/>
  <c r="K100" i="2"/>
  <c r="C101" i="2"/>
  <c r="E101" i="2"/>
  <c r="G101" i="2"/>
  <c r="I101" i="2"/>
  <c r="K101" i="2"/>
  <c r="C102" i="2"/>
  <c r="E102" i="2"/>
  <c r="G102" i="2"/>
  <c r="I102" i="2"/>
  <c r="K102" i="2"/>
  <c r="C103" i="2"/>
  <c r="E103" i="2"/>
  <c r="G103" i="2"/>
  <c r="I103" i="2"/>
  <c r="K103" i="2"/>
  <c r="C104" i="2"/>
  <c r="E104" i="2"/>
  <c r="G104" i="2"/>
  <c r="I104" i="2"/>
  <c r="K104" i="2"/>
  <c r="C105" i="2"/>
  <c r="E105" i="2"/>
  <c r="G105" i="2"/>
  <c r="I105" i="2"/>
  <c r="K105" i="2"/>
  <c r="C106" i="2"/>
  <c r="E106" i="2"/>
  <c r="G106" i="2"/>
  <c r="I106" i="2"/>
  <c r="K106" i="2"/>
  <c r="C107" i="2"/>
  <c r="E107" i="2"/>
  <c r="G107" i="2"/>
  <c r="I107" i="2"/>
  <c r="K107" i="2"/>
  <c r="C108" i="2"/>
  <c r="E108" i="2"/>
  <c r="G108" i="2"/>
  <c r="I108" i="2"/>
  <c r="K108" i="2"/>
  <c r="C109" i="2"/>
  <c r="E109" i="2"/>
  <c r="G109" i="2"/>
  <c r="I109" i="2"/>
  <c r="K109" i="2"/>
  <c r="C110" i="2"/>
  <c r="E110" i="2"/>
  <c r="G110" i="2"/>
  <c r="I110" i="2"/>
  <c r="K110" i="2"/>
  <c r="C111" i="2"/>
  <c r="E111" i="2"/>
  <c r="G111" i="2"/>
  <c r="I111" i="2"/>
  <c r="K111" i="2"/>
  <c r="C112" i="2"/>
  <c r="E112" i="2"/>
  <c r="G112" i="2"/>
  <c r="I112" i="2"/>
  <c r="K112" i="2"/>
  <c r="C113" i="2"/>
  <c r="E113" i="2"/>
  <c r="G113" i="2"/>
  <c r="I113" i="2"/>
  <c r="K113" i="2"/>
  <c r="C114" i="2"/>
  <c r="E114" i="2"/>
  <c r="G114" i="2"/>
  <c r="I114" i="2"/>
  <c r="K114" i="2"/>
  <c r="C115" i="2"/>
  <c r="E115" i="2"/>
  <c r="G115" i="2"/>
  <c r="I115" i="2"/>
  <c r="K115" i="2"/>
  <c r="C116" i="2"/>
  <c r="E116" i="2"/>
  <c r="G116" i="2"/>
  <c r="I116" i="2"/>
  <c r="K116" i="2"/>
  <c r="C117" i="2"/>
  <c r="E117" i="2"/>
  <c r="G117" i="2"/>
  <c r="I117" i="2"/>
  <c r="K117" i="2"/>
  <c r="C118" i="2"/>
  <c r="E118" i="2"/>
  <c r="G118" i="2"/>
  <c r="I118" i="2"/>
  <c r="K118" i="2"/>
  <c r="C119" i="2"/>
  <c r="E119" i="2"/>
  <c r="G119" i="2"/>
  <c r="I119" i="2"/>
  <c r="K119" i="2"/>
  <c r="C120" i="2"/>
  <c r="E120" i="2"/>
  <c r="G120" i="2"/>
  <c r="I120" i="2"/>
  <c r="K120" i="2"/>
  <c r="C121" i="2"/>
  <c r="E121" i="2"/>
  <c r="G121" i="2"/>
  <c r="I121" i="2"/>
  <c r="K121" i="2"/>
  <c r="C122" i="2"/>
  <c r="E122" i="2"/>
  <c r="G122" i="2"/>
  <c r="I122" i="2"/>
  <c r="K122" i="2"/>
  <c r="C123" i="2"/>
  <c r="E123" i="2"/>
  <c r="G123" i="2"/>
  <c r="I123" i="2"/>
  <c r="K123" i="2"/>
  <c r="C124" i="2"/>
  <c r="E124" i="2"/>
  <c r="G124" i="2"/>
  <c r="I124" i="2"/>
  <c r="K124" i="2"/>
  <c r="C125" i="2"/>
  <c r="E125" i="2"/>
  <c r="G125" i="2"/>
  <c r="I125" i="2"/>
  <c r="K125" i="2"/>
  <c r="C126" i="2"/>
  <c r="E126" i="2"/>
  <c r="G126" i="2"/>
  <c r="I126" i="2"/>
  <c r="K126" i="2"/>
  <c r="C127" i="2"/>
  <c r="E127" i="2"/>
  <c r="G127" i="2"/>
  <c r="I127" i="2"/>
  <c r="K127" i="2"/>
  <c r="C128" i="2"/>
  <c r="E128" i="2"/>
  <c r="G128" i="2"/>
  <c r="I128" i="2"/>
  <c r="K128" i="2"/>
  <c r="C129" i="2"/>
  <c r="E129" i="2"/>
  <c r="G129" i="2"/>
  <c r="I129" i="2"/>
  <c r="K129" i="2"/>
  <c r="C130" i="2"/>
  <c r="E130" i="2"/>
  <c r="G130" i="2"/>
  <c r="I130" i="2"/>
  <c r="K130" i="2"/>
  <c r="C131" i="2"/>
  <c r="E131" i="2"/>
  <c r="G131" i="2"/>
  <c r="I131" i="2"/>
  <c r="K131" i="2"/>
  <c r="C132" i="2"/>
  <c r="E132" i="2"/>
  <c r="G132" i="2"/>
  <c r="I132" i="2"/>
  <c r="K132" i="2"/>
  <c r="C133" i="2"/>
  <c r="E133" i="2"/>
  <c r="G133" i="2"/>
  <c r="I133" i="2"/>
  <c r="K133" i="2"/>
  <c r="C134" i="2"/>
  <c r="E134" i="2"/>
  <c r="G134" i="2"/>
  <c r="I134" i="2"/>
  <c r="K134" i="2"/>
  <c r="C135" i="2"/>
  <c r="E135" i="2"/>
  <c r="G135" i="2"/>
  <c r="I135" i="2"/>
  <c r="K135" i="2"/>
  <c r="C136" i="2"/>
  <c r="E136" i="2"/>
  <c r="G136" i="2"/>
  <c r="I136" i="2"/>
  <c r="K136" i="2"/>
  <c r="C137" i="2"/>
  <c r="E137" i="2"/>
  <c r="G137" i="2"/>
  <c r="I137" i="2"/>
  <c r="K137" i="2"/>
  <c r="C138" i="2"/>
  <c r="E138" i="2"/>
  <c r="G138" i="2"/>
  <c r="I138" i="2"/>
  <c r="K138" i="2"/>
  <c r="C139" i="2"/>
  <c r="E139" i="2"/>
  <c r="G139" i="2"/>
  <c r="I139" i="2"/>
  <c r="K139" i="2"/>
  <c r="C140" i="2"/>
  <c r="E140" i="2"/>
  <c r="G140" i="2"/>
  <c r="I140" i="2"/>
  <c r="K140" i="2"/>
  <c r="C141" i="2"/>
  <c r="E141" i="2"/>
  <c r="G141" i="2"/>
  <c r="I141" i="2"/>
  <c r="K141" i="2"/>
  <c r="C142" i="2"/>
  <c r="E142" i="2"/>
  <c r="G142" i="2"/>
  <c r="I142" i="2"/>
  <c r="K142" i="2"/>
  <c r="C143" i="2"/>
  <c r="E143" i="2"/>
  <c r="G143" i="2"/>
  <c r="I143" i="2"/>
  <c r="K143" i="2"/>
  <c r="C144" i="2"/>
  <c r="E144" i="2"/>
  <c r="G144" i="2"/>
  <c r="I144" i="2"/>
  <c r="K144" i="2"/>
  <c r="C145" i="2"/>
  <c r="E145" i="2"/>
  <c r="G145" i="2"/>
  <c r="I145" i="2"/>
  <c r="K145" i="2"/>
  <c r="C146" i="2"/>
  <c r="E146" i="2"/>
  <c r="G146" i="2"/>
  <c r="I146" i="2"/>
  <c r="K146" i="2"/>
  <c r="C147" i="2"/>
  <c r="E147" i="2"/>
  <c r="G147" i="2"/>
  <c r="I147" i="2"/>
  <c r="K147" i="2"/>
  <c r="C148" i="2"/>
  <c r="E148" i="2"/>
  <c r="G148" i="2"/>
  <c r="I148" i="2"/>
  <c r="K148" i="2"/>
  <c r="C149" i="2"/>
  <c r="E149" i="2"/>
  <c r="G149" i="2"/>
  <c r="I149" i="2"/>
  <c r="K149" i="2"/>
  <c r="C150" i="2"/>
  <c r="E150" i="2"/>
  <c r="G150" i="2"/>
  <c r="I150" i="2"/>
  <c r="K150" i="2"/>
  <c r="C151" i="2"/>
  <c r="E151" i="2"/>
  <c r="G151" i="2"/>
  <c r="I151" i="2"/>
  <c r="K151" i="2"/>
  <c r="C152" i="2"/>
  <c r="E152" i="2"/>
  <c r="G152" i="2"/>
  <c r="I152" i="2"/>
  <c r="K152" i="2"/>
  <c r="C153" i="2"/>
  <c r="E153" i="2"/>
  <c r="G153" i="2"/>
  <c r="I153" i="2"/>
  <c r="K153" i="2"/>
  <c r="C154" i="2"/>
  <c r="E154" i="2"/>
  <c r="G154" i="2"/>
  <c r="I154" i="2"/>
  <c r="K154" i="2"/>
  <c r="C155" i="2"/>
  <c r="E155" i="2"/>
  <c r="G155" i="2"/>
  <c r="I155" i="2"/>
  <c r="K155" i="2"/>
  <c r="C156" i="2"/>
  <c r="E156" i="2"/>
  <c r="G156" i="2"/>
  <c r="I156" i="2"/>
  <c r="K156" i="2"/>
  <c r="C157" i="2"/>
  <c r="E157" i="2"/>
  <c r="G157" i="2"/>
  <c r="I157" i="2"/>
  <c r="K157" i="2"/>
  <c r="C158" i="2"/>
  <c r="E158" i="2"/>
  <c r="G158" i="2"/>
  <c r="I158" i="2"/>
  <c r="K158" i="2"/>
  <c r="C159" i="2"/>
  <c r="E159" i="2"/>
  <c r="G159" i="2"/>
  <c r="I159" i="2"/>
  <c r="K159" i="2"/>
  <c r="C160" i="2"/>
  <c r="E160" i="2"/>
  <c r="G160" i="2"/>
  <c r="I160" i="2"/>
  <c r="K160" i="2"/>
  <c r="C161" i="2"/>
  <c r="E161" i="2"/>
  <c r="G161" i="2"/>
  <c r="I161" i="2"/>
  <c r="K161" i="2"/>
  <c r="C162" i="2"/>
  <c r="E162" i="2"/>
  <c r="G162" i="2"/>
  <c r="I162" i="2"/>
  <c r="K162" i="2"/>
  <c r="C163" i="2"/>
  <c r="E163" i="2"/>
  <c r="G163" i="2"/>
  <c r="I163" i="2"/>
  <c r="K163" i="2"/>
  <c r="C164" i="2"/>
  <c r="E164" i="2"/>
  <c r="G164" i="2"/>
  <c r="I164" i="2"/>
  <c r="K164" i="2"/>
  <c r="C165" i="2"/>
  <c r="E165" i="2"/>
  <c r="G165" i="2"/>
  <c r="I165" i="2"/>
  <c r="K165" i="2"/>
  <c r="C166" i="2"/>
  <c r="E166" i="2"/>
  <c r="G166" i="2"/>
  <c r="I166" i="2"/>
  <c r="K166" i="2"/>
  <c r="C167" i="2"/>
  <c r="E167" i="2"/>
  <c r="G167" i="2"/>
  <c r="I167" i="2"/>
  <c r="K167" i="2"/>
  <c r="C168" i="2"/>
  <c r="E168" i="2"/>
  <c r="G168" i="2"/>
  <c r="I168" i="2"/>
  <c r="K168" i="2"/>
  <c r="C169" i="2"/>
  <c r="E169" i="2"/>
  <c r="G169" i="2"/>
  <c r="I169" i="2"/>
  <c r="K169" i="2"/>
  <c r="C170" i="2"/>
  <c r="E170" i="2"/>
  <c r="G170" i="2"/>
  <c r="I170" i="2"/>
  <c r="K170" i="2"/>
  <c r="C171" i="2"/>
  <c r="E171" i="2"/>
  <c r="G171" i="2"/>
  <c r="I171" i="2"/>
  <c r="K171" i="2"/>
  <c r="C172" i="2"/>
  <c r="E172" i="2"/>
  <c r="G172" i="2"/>
  <c r="I172" i="2"/>
  <c r="K172" i="2"/>
  <c r="C173" i="2"/>
  <c r="E173" i="2"/>
  <c r="G173" i="2"/>
  <c r="I173" i="2"/>
  <c r="K173" i="2"/>
  <c r="C174" i="2"/>
  <c r="E174" i="2"/>
  <c r="G174" i="2"/>
  <c r="I174" i="2"/>
  <c r="K174" i="2"/>
  <c r="C175" i="2"/>
  <c r="E175" i="2"/>
  <c r="G175" i="2"/>
  <c r="I175" i="2"/>
  <c r="K175" i="2"/>
  <c r="C176" i="2"/>
  <c r="E176" i="2"/>
  <c r="G176" i="2"/>
  <c r="I176" i="2"/>
  <c r="K176" i="2"/>
  <c r="C177" i="2"/>
  <c r="E177" i="2"/>
  <c r="G177" i="2"/>
  <c r="I177" i="2"/>
  <c r="K177" i="2"/>
  <c r="C178" i="2"/>
  <c r="E178" i="2"/>
  <c r="G178" i="2"/>
  <c r="I178" i="2"/>
  <c r="K178" i="2"/>
  <c r="C179" i="2"/>
  <c r="E179" i="2"/>
  <c r="G179" i="2"/>
  <c r="I179" i="2"/>
  <c r="K179" i="2"/>
  <c r="C180" i="2"/>
  <c r="E180" i="2"/>
  <c r="G180" i="2"/>
  <c r="I180" i="2"/>
  <c r="K180" i="2"/>
  <c r="C181" i="2"/>
  <c r="E181" i="2"/>
  <c r="G181" i="2"/>
  <c r="I181" i="2"/>
  <c r="K181" i="2"/>
  <c r="C182" i="2"/>
  <c r="E182" i="2"/>
  <c r="G182" i="2"/>
  <c r="I182" i="2"/>
  <c r="K182" i="2"/>
  <c r="C183" i="2"/>
  <c r="E183" i="2"/>
  <c r="G183" i="2"/>
  <c r="I183" i="2"/>
  <c r="K183" i="2"/>
  <c r="C184" i="2"/>
  <c r="E184" i="2"/>
  <c r="G184" i="2"/>
  <c r="I184" i="2"/>
  <c r="K184" i="2"/>
  <c r="C185" i="2"/>
  <c r="E185" i="2"/>
  <c r="G185" i="2"/>
  <c r="I185" i="2"/>
  <c r="K185" i="2"/>
  <c r="C186" i="2"/>
  <c r="E186" i="2"/>
  <c r="G186" i="2"/>
  <c r="I186" i="2"/>
  <c r="K186" i="2"/>
  <c r="C187" i="2"/>
  <c r="E187" i="2"/>
  <c r="G187" i="2"/>
  <c r="I187" i="2"/>
  <c r="K187" i="2"/>
  <c r="C188" i="2"/>
  <c r="E188" i="2"/>
  <c r="G188" i="2"/>
  <c r="I188" i="2"/>
  <c r="K188" i="2"/>
  <c r="C189" i="2"/>
  <c r="E189" i="2"/>
  <c r="G189" i="2"/>
  <c r="I189" i="2"/>
  <c r="K189" i="2"/>
  <c r="C190" i="2"/>
  <c r="E190" i="2"/>
  <c r="G190" i="2"/>
  <c r="I190" i="2"/>
  <c r="K190" i="2"/>
  <c r="C191" i="2"/>
  <c r="E191" i="2"/>
  <c r="G191" i="2"/>
  <c r="I191" i="2"/>
  <c r="K191" i="2"/>
  <c r="C192" i="2"/>
  <c r="E192" i="2"/>
  <c r="G192" i="2"/>
  <c r="I192" i="2"/>
  <c r="K192" i="2"/>
  <c r="C193" i="2"/>
  <c r="E193" i="2"/>
  <c r="G193" i="2"/>
  <c r="I193" i="2"/>
  <c r="K193" i="2"/>
  <c r="C194" i="2"/>
  <c r="E194" i="2"/>
  <c r="G194" i="2"/>
  <c r="I194" i="2"/>
  <c r="K194" i="2"/>
  <c r="C195" i="2"/>
  <c r="E195" i="2"/>
  <c r="G195" i="2"/>
  <c r="I195" i="2"/>
  <c r="K195" i="2"/>
  <c r="C196" i="2"/>
  <c r="E196" i="2"/>
  <c r="G196" i="2"/>
  <c r="I196" i="2"/>
  <c r="K196" i="2"/>
  <c r="C197" i="2"/>
  <c r="E197" i="2"/>
  <c r="G197" i="2"/>
  <c r="I197" i="2"/>
  <c r="K197" i="2"/>
  <c r="C198" i="2"/>
  <c r="E198" i="2"/>
  <c r="G198" i="2"/>
  <c r="I198" i="2"/>
  <c r="K198" i="2"/>
  <c r="C199" i="2"/>
  <c r="E199" i="2"/>
  <c r="G199" i="2"/>
  <c r="I199" i="2"/>
  <c r="K199" i="2"/>
  <c r="C200" i="2"/>
  <c r="E200" i="2"/>
  <c r="G200" i="2"/>
  <c r="I200" i="2"/>
  <c r="K200" i="2"/>
  <c r="C201" i="2"/>
  <c r="E201" i="2"/>
  <c r="G201" i="2"/>
  <c r="I201" i="2"/>
  <c r="K201" i="2"/>
  <c r="C202" i="2"/>
  <c r="E202" i="2"/>
  <c r="G202" i="2"/>
  <c r="I202" i="2"/>
  <c r="K202" i="2"/>
  <c r="C203" i="2"/>
  <c r="E203" i="2"/>
  <c r="G203" i="2"/>
  <c r="I203" i="2"/>
  <c r="K203" i="2"/>
  <c r="C204" i="2"/>
  <c r="E204" i="2"/>
  <c r="G204" i="2"/>
  <c r="I204" i="2"/>
  <c r="K204" i="2"/>
  <c r="C205" i="2"/>
  <c r="E205" i="2"/>
  <c r="G205" i="2"/>
  <c r="I205" i="2"/>
  <c r="K205" i="2"/>
  <c r="C206" i="2"/>
  <c r="E206" i="2"/>
  <c r="G206" i="2"/>
  <c r="I206" i="2"/>
  <c r="K206" i="2"/>
  <c r="C207" i="2"/>
  <c r="E207" i="2"/>
  <c r="G207" i="2"/>
  <c r="I207" i="2"/>
  <c r="K207" i="2"/>
  <c r="C208" i="2"/>
  <c r="E208" i="2"/>
  <c r="G208" i="2"/>
  <c r="I208" i="2"/>
  <c r="K208" i="2"/>
  <c r="C209" i="2"/>
  <c r="E209" i="2"/>
  <c r="G209" i="2"/>
  <c r="I209" i="2"/>
  <c r="K209" i="2"/>
  <c r="C210" i="2"/>
  <c r="E210" i="2"/>
  <c r="G210" i="2"/>
  <c r="I210" i="2"/>
  <c r="K210" i="2"/>
  <c r="C211" i="2"/>
  <c r="E211" i="2"/>
  <c r="G211" i="2"/>
  <c r="I211" i="2"/>
  <c r="K211" i="2"/>
  <c r="C212" i="2"/>
  <c r="E212" i="2"/>
  <c r="G212" i="2"/>
  <c r="I212" i="2"/>
  <c r="K212" i="2"/>
  <c r="C213" i="2"/>
  <c r="E213" i="2"/>
  <c r="G213" i="2"/>
  <c r="I213" i="2"/>
  <c r="K213" i="2"/>
  <c r="C214" i="2"/>
  <c r="E214" i="2"/>
  <c r="G214" i="2"/>
  <c r="I214" i="2"/>
  <c r="K214" i="2"/>
  <c r="C215" i="2"/>
  <c r="E215" i="2"/>
  <c r="G215" i="2"/>
  <c r="I215" i="2"/>
  <c r="K215" i="2"/>
  <c r="C216" i="2"/>
  <c r="E216" i="2"/>
  <c r="G216" i="2"/>
  <c r="I216" i="2"/>
  <c r="K216" i="2"/>
  <c r="C217" i="2"/>
  <c r="E217" i="2"/>
  <c r="G217" i="2"/>
  <c r="I217" i="2"/>
  <c r="K217" i="2"/>
  <c r="C218" i="2"/>
  <c r="E218" i="2"/>
  <c r="G218" i="2"/>
  <c r="I218" i="2"/>
  <c r="K218" i="2"/>
  <c r="C219" i="2"/>
  <c r="E219" i="2"/>
  <c r="G219" i="2"/>
  <c r="I219" i="2"/>
  <c r="K219" i="2"/>
  <c r="C220" i="2"/>
  <c r="E220" i="2"/>
  <c r="G220" i="2"/>
  <c r="I220" i="2"/>
  <c r="K220" i="2"/>
  <c r="C221" i="2"/>
  <c r="E221" i="2"/>
  <c r="G221" i="2"/>
  <c r="I221" i="2"/>
  <c r="K221" i="2"/>
  <c r="C222" i="2"/>
  <c r="E222" i="2"/>
  <c r="G222" i="2"/>
  <c r="I222" i="2"/>
  <c r="K222" i="2"/>
  <c r="C223" i="2"/>
  <c r="E223" i="2"/>
  <c r="G223" i="2"/>
  <c r="I223" i="2"/>
  <c r="K223" i="2"/>
  <c r="C224" i="2"/>
  <c r="E224" i="2"/>
  <c r="G224" i="2"/>
  <c r="I224" i="2"/>
  <c r="K224" i="2"/>
  <c r="C225" i="2"/>
  <c r="E225" i="2"/>
  <c r="G225" i="2"/>
  <c r="I225" i="2"/>
  <c r="K225" i="2"/>
  <c r="C226" i="2"/>
  <c r="E226" i="2"/>
  <c r="G226" i="2"/>
  <c r="I226" i="2"/>
  <c r="K226" i="2"/>
  <c r="C227" i="2"/>
  <c r="E227" i="2"/>
  <c r="G227" i="2"/>
  <c r="I227" i="2"/>
  <c r="K227" i="2"/>
  <c r="C228" i="2"/>
  <c r="E228" i="2"/>
  <c r="G228" i="2"/>
  <c r="I228" i="2"/>
  <c r="K228" i="2"/>
  <c r="C229" i="2"/>
  <c r="E229" i="2"/>
  <c r="G229" i="2"/>
  <c r="I229" i="2"/>
  <c r="K229" i="2"/>
  <c r="C230" i="2"/>
  <c r="E230" i="2"/>
  <c r="G230" i="2"/>
  <c r="I230" i="2"/>
  <c r="K230" i="2"/>
  <c r="C231" i="2"/>
  <c r="E231" i="2"/>
  <c r="G231" i="2"/>
  <c r="I231" i="2"/>
  <c r="K231" i="2"/>
  <c r="C232" i="2"/>
  <c r="E232" i="2"/>
  <c r="G232" i="2"/>
  <c r="I232" i="2"/>
  <c r="K232" i="2"/>
  <c r="C233" i="2"/>
  <c r="E233" i="2"/>
  <c r="G233" i="2"/>
  <c r="I233" i="2"/>
  <c r="K233" i="2"/>
  <c r="C234" i="2"/>
  <c r="E234" i="2"/>
  <c r="G234" i="2"/>
  <c r="I234" i="2"/>
  <c r="K234" i="2"/>
  <c r="C235" i="2"/>
  <c r="E235" i="2"/>
  <c r="G235" i="2"/>
  <c r="I235" i="2"/>
  <c r="K235" i="2"/>
  <c r="C236" i="2"/>
  <c r="E236" i="2"/>
  <c r="G236" i="2"/>
  <c r="I236" i="2"/>
  <c r="K236" i="2"/>
  <c r="C237" i="2"/>
  <c r="E237" i="2"/>
  <c r="G237" i="2"/>
  <c r="I237" i="2"/>
  <c r="K237" i="2"/>
  <c r="C238" i="2"/>
  <c r="E238" i="2"/>
  <c r="G238" i="2"/>
  <c r="I238" i="2"/>
  <c r="K238" i="2"/>
  <c r="C239" i="2"/>
  <c r="E239" i="2"/>
  <c r="G239" i="2"/>
  <c r="I239" i="2"/>
  <c r="K239" i="2"/>
  <c r="C240" i="2"/>
  <c r="E240" i="2"/>
  <c r="G240" i="2"/>
  <c r="I240" i="2"/>
  <c r="K240" i="2"/>
  <c r="C241" i="2"/>
  <c r="E241" i="2"/>
  <c r="G241" i="2"/>
  <c r="I241" i="2"/>
  <c r="K241" i="2"/>
  <c r="C242" i="2"/>
  <c r="E242" i="2"/>
  <c r="G242" i="2"/>
  <c r="I242" i="2"/>
  <c r="K242" i="2"/>
  <c r="C243" i="2"/>
  <c r="E243" i="2"/>
  <c r="G243" i="2"/>
  <c r="I243" i="2"/>
  <c r="K243" i="2"/>
  <c r="C244" i="2"/>
  <c r="E244" i="2"/>
  <c r="G244" i="2"/>
  <c r="I244" i="2"/>
  <c r="K244" i="2"/>
  <c r="C245" i="2"/>
  <c r="E245" i="2"/>
  <c r="G245" i="2"/>
  <c r="I245" i="2"/>
  <c r="K245" i="2"/>
  <c r="C246" i="2"/>
  <c r="E246" i="2"/>
  <c r="G246" i="2"/>
  <c r="I246" i="2"/>
  <c r="K246" i="2"/>
  <c r="C247" i="2"/>
  <c r="E247" i="2"/>
  <c r="G247" i="2"/>
  <c r="I247" i="2"/>
  <c r="K247" i="2"/>
  <c r="C248" i="2"/>
  <c r="E248" i="2"/>
  <c r="G248" i="2"/>
  <c r="I248" i="2"/>
  <c r="K248" i="2"/>
  <c r="C249" i="2"/>
  <c r="E249" i="2"/>
  <c r="G249" i="2"/>
  <c r="I249" i="2"/>
  <c r="K249" i="2"/>
  <c r="C250" i="2"/>
  <c r="E250" i="2"/>
  <c r="G250" i="2"/>
  <c r="I250" i="2"/>
  <c r="K250" i="2"/>
  <c r="C251" i="2"/>
  <c r="E251" i="2"/>
  <c r="G251" i="2"/>
  <c r="I251" i="2"/>
  <c r="K251" i="2"/>
  <c r="C252" i="2"/>
  <c r="E252" i="2"/>
  <c r="G252" i="2"/>
  <c r="I252" i="2"/>
  <c r="K252" i="2"/>
  <c r="C253" i="2"/>
  <c r="E253" i="2"/>
  <c r="G253" i="2"/>
  <c r="I253" i="2"/>
  <c r="K253" i="2"/>
  <c r="C254" i="2"/>
  <c r="E254" i="2"/>
  <c r="G254" i="2"/>
  <c r="I254" i="2"/>
  <c r="K254" i="2"/>
  <c r="C255" i="2"/>
  <c r="E255" i="2"/>
  <c r="G255" i="2"/>
  <c r="I255" i="2"/>
  <c r="K255" i="2"/>
  <c r="C256" i="2"/>
  <c r="E256" i="2"/>
  <c r="G256" i="2"/>
  <c r="I256" i="2"/>
  <c r="K256" i="2"/>
  <c r="C257" i="2"/>
  <c r="E257" i="2"/>
  <c r="G257" i="2"/>
  <c r="I257" i="2"/>
  <c r="K257" i="2"/>
  <c r="C258" i="2"/>
  <c r="E258" i="2"/>
  <c r="G258" i="2"/>
  <c r="I258" i="2"/>
  <c r="K258" i="2"/>
  <c r="C259" i="2"/>
  <c r="E259" i="2"/>
  <c r="G259" i="2"/>
  <c r="I259" i="2"/>
  <c r="K259" i="2"/>
  <c r="C260" i="2"/>
  <c r="E260" i="2"/>
  <c r="G260" i="2"/>
  <c r="I260" i="2"/>
  <c r="K260" i="2"/>
  <c r="C261" i="2"/>
  <c r="E261" i="2"/>
  <c r="G261" i="2"/>
  <c r="I261" i="2"/>
  <c r="K261" i="2"/>
  <c r="C262" i="2"/>
  <c r="E262" i="2"/>
  <c r="G262" i="2"/>
  <c r="I262" i="2"/>
  <c r="K262" i="2"/>
  <c r="C263" i="2"/>
  <c r="E263" i="2"/>
  <c r="G263" i="2"/>
  <c r="I263" i="2"/>
  <c r="K263" i="2"/>
  <c r="C264" i="2"/>
  <c r="E264" i="2"/>
  <c r="G264" i="2"/>
  <c r="I264" i="2"/>
  <c r="K264" i="2"/>
  <c r="C265" i="2"/>
  <c r="E265" i="2"/>
  <c r="G265" i="2"/>
  <c r="I265" i="2"/>
  <c r="K265" i="2"/>
  <c r="C266" i="2"/>
  <c r="E266" i="2"/>
  <c r="G266" i="2"/>
  <c r="I266" i="2"/>
  <c r="K266" i="2"/>
  <c r="C267" i="2"/>
  <c r="E267" i="2"/>
  <c r="G267" i="2"/>
  <c r="I267" i="2"/>
  <c r="K267" i="2"/>
  <c r="C268" i="2"/>
  <c r="E268" i="2"/>
  <c r="G268" i="2"/>
  <c r="I268" i="2"/>
  <c r="K268" i="2"/>
  <c r="C269" i="2"/>
  <c r="E269" i="2"/>
  <c r="G269" i="2"/>
  <c r="I269" i="2"/>
  <c r="K269" i="2"/>
  <c r="C270" i="2"/>
  <c r="E270" i="2"/>
  <c r="G270" i="2"/>
  <c r="I270" i="2"/>
  <c r="K270" i="2"/>
  <c r="C271" i="2"/>
  <c r="E271" i="2"/>
  <c r="G271" i="2"/>
  <c r="I271" i="2"/>
  <c r="K271" i="2"/>
  <c r="C272" i="2"/>
  <c r="E272" i="2"/>
  <c r="G272" i="2"/>
  <c r="I272" i="2"/>
  <c r="K272" i="2"/>
  <c r="C273" i="2"/>
  <c r="E273" i="2"/>
  <c r="G273" i="2"/>
  <c r="I273" i="2"/>
  <c r="K273" i="2"/>
  <c r="C274" i="2"/>
  <c r="E274" i="2"/>
  <c r="G274" i="2"/>
  <c r="I274" i="2"/>
  <c r="K274" i="2"/>
  <c r="C275" i="2"/>
  <c r="E275" i="2"/>
  <c r="G275" i="2"/>
  <c r="I275" i="2"/>
  <c r="K275" i="2"/>
  <c r="C276" i="2"/>
  <c r="E276" i="2"/>
  <c r="G276" i="2"/>
  <c r="I276" i="2"/>
  <c r="K276" i="2"/>
  <c r="C277" i="2"/>
  <c r="E277" i="2"/>
  <c r="G277" i="2"/>
  <c r="I277" i="2"/>
  <c r="K277" i="2"/>
  <c r="C278" i="2"/>
  <c r="E278" i="2"/>
  <c r="G278" i="2"/>
  <c r="I278" i="2"/>
  <c r="K278" i="2"/>
  <c r="C279" i="2"/>
  <c r="E279" i="2"/>
  <c r="G279" i="2"/>
  <c r="I279" i="2"/>
  <c r="K279" i="2"/>
  <c r="C280" i="2"/>
  <c r="E280" i="2"/>
  <c r="G280" i="2"/>
  <c r="I280" i="2"/>
  <c r="K280" i="2"/>
  <c r="C281" i="2"/>
  <c r="E281" i="2"/>
  <c r="G281" i="2"/>
  <c r="I281" i="2"/>
  <c r="K281" i="2"/>
  <c r="C282" i="2"/>
  <c r="E282" i="2"/>
  <c r="G282" i="2"/>
  <c r="I282" i="2"/>
  <c r="K282" i="2"/>
  <c r="C283" i="2"/>
  <c r="E283" i="2"/>
  <c r="G283" i="2"/>
  <c r="I283" i="2"/>
  <c r="K283" i="2"/>
  <c r="C284" i="2"/>
  <c r="E284" i="2"/>
  <c r="G284" i="2"/>
  <c r="I284" i="2"/>
  <c r="K284" i="2"/>
  <c r="C285" i="2"/>
  <c r="E285" i="2"/>
  <c r="G285" i="2"/>
  <c r="I285" i="2"/>
  <c r="K285" i="2"/>
  <c r="C286" i="2"/>
  <c r="E286" i="2"/>
  <c r="G286" i="2"/>
  <c r="I286" i="2"/>
  <c r="K286" i="2"/>
  <c r="C287" i="2"/>
  <c r="E287" i="2"/>
  <c r="G287" i="2"/>
  <c r="I287" i="2"/>
  <c r="K287" i="2"/>
  <c r="C288" i="2"/>
  <c r="E288" i="2"/>
  <c r="G288" i="2"/>
  <c r="I288" i="2"/>
  <c r="K288" i="2"/>
  <c r="C289" i="2"/>
  <c r="E289" i="2"/>
  <c r="G289" i="2"/>
  <c r="I289" i="2"/>
  <c r="K289" i="2"/>
  <c r="C290" i="2"/>
  <c r="E290" i="2"/>
  <c r="G290" i="2"/>
  <c r="I290" i="2"/>
  <c r="K290" i="2"/>
  <c r="C291" i="2"/>
  <c r="E291" i="2"/>
  <c r="G291" i="2"/>
  <c r="I291" i="2"/>
  <c r="K291" i="2"/>
  <c r="C292" i="2"/>
  <c r="E292" i="2"/>
  <c r="G292" i="2"/>
  <c r="I292" i="2"/>
  <c r="K292" i="2"/>
  <c r="C293" i="2"/>
  <c r="E293" i="2"/>
  <c r="G293" i="2"/>
  <c r="I293" i="2"/>
  <c r="K293" i="2"/>
  <c r="C294" i="2"/>
  <c r="E294" i="2"/>
  <c r="G294" i="2"/>
  <c r="I294" i="2"/>
  <c r="K294" i="2"/>
  <c r="C295" i="2"/>
  <c r="E295" i="2"/>
  <c r="G295" i="2"/>
  <c r="I295" i="2"/>
  <c r="K295" i="2"/>
  <c r="C296" i="2"/>
  <c r="E296" i="2"/>
  <c r="G296" i="2"/>
  <c r="I296" i="2"/>
  <c r="K296" i="2"/>
  <c r="C297" i="2"/>
  <c r="E297" i="2"/>
  <c r="G297" i="2"/>
  <c r="I297" i="2"/>
  <c r="K297" i="2"/>
  <c r="C298" i="2"/>
  <c r="E298" i="2"/>
  <c r="G298" i="2"/>
  <c r="I298" i="2"/>
  <c r="K298" i="2"/>
  <c r="C299" i="2"/>
  <c r="E299" i="2"/>
  <c r="G299" i="2"/>
  <c r="I299" i="2"/>
  <c r="K299" i="2"/>
  <c r="C300" i="2"/>
  <c r="E300" i="2"/>
  <c r="G300" i="2"/>
  <c r="I300" i="2"/>
  <c r="K300" i="2"/>
  <c r="C301" i="2"/>
  <c r="E301" i="2"/>
  <c r="G301" i="2"/>
  <c r="I301" i="2"/>
  <c r="K301" i="2"/>
  <c r="C302" i="2"/>
  <c r="E302" i="2"/>
  <c r="G302" i="2"/>
  <c r="I302" i="2"/>
  <c r="K302" i="2"/>
  <c r="C303" i="2"/>
  <c r="E303" i="2"/>
  <c r="G303" i="2"/>
  <c r="I303" i="2"/>
  <c r="K303" i="2"/>
  <c r="C304" i="2"/>
  <c r="E304" i="2"/>
  <c r="G304" i="2"/>
  <c r="I304" i="2"/>
  <c r="K304" i="2"/>
  <c r="C305" i="2"/>
  <c r="E305" i="2"/>
  <c r="G305" i="2"/>
  <c r="I305" i="2"/>
  <c r="K305" i="2"/>
  <c r="C306" i="2"/>
  <c r="E306" i="2"/>
  <c r="G306" i="2"/>
  <c r="I306" i="2"/>
  <c r="K306" i="2"/>
  <c r="C307" i="2"/>
  <c r="E307" i="2"/>
  <c r="G307" i="2"/>
  <c r="I307" i="2"/>
  <c r="K307" i="2"/>
  <c r="C308" i="2"/>
  <c r="E308" i="2"/>
  <c r="G308" i="2"/>
  <c r="I308" i="2"/>
  <c r="K308" i="2"/>
  <c r="C309" i="2"/>
  <c r="E309" i="2"/>
  <c r="G309" i="2"/>
  <c r="I309" i="2"/>
  <c r="K309" i="2"/>
  <c r="C310" i="2"/>
  <c r="E310" i="2"/>
  <c r="G310" i="2"/>
  <c r="I310" i="2"/>
  <c r="K310" i="2"/>
  <c r="C311" i="2"/>
  <c r="E311" i="2"/>
  <c r="G311" i="2"/>
  <c r="I311" i="2"/>
  <c r="K311" i="2"/>
  <c r="C312" i="2"/>
  <c r="E312" i="2"/>
  <c r="G312" i="2"/>
  <c r="I312" i="2"/>
  <c r="K312" i="2"/>
  <c r="C313" i="2"/>
  <c r="E313" i="2"/>
  <c r="G313" i="2"/>
  <c r="I313" i="2"/>
  <c r="K313" i="2"/>
  <c r="C314" i="2"/>
  <c r="E314" i="2"/>
  <c r="G314" i="2"/>
  <c r="I314" i="2"/>
  <c r="K314" i="2"/>
  <c r="C315" i="2"/>
  <c r="E315" i="2"/>
  <c r="G315" i="2"/>
  <c r="I315" i="2"/>
  <c r="K315" i="2"/>
  <c r="C316" i="2"/>
  <c r="E316" i="2"/>
  <c r="G316" i="2"/>
  <c r="I316" i="2"/>
  <c r="K316" i="2"/>
  <c r="C317" i="2"/>
  <c r="E317" i="2"/>
  <c r="G317" i="2"/>
  <c r="I317" i="2"/>
  <c r="K317" i="2"/>
  <c r="C318" i="2"/>
  <c r="E318" i="2"/>
  <c r="G318" i="2"/>
  <c r="I318" i="2"/>
  <c r="K318" i="2"/>
  <c r="C319" i="2"/>
  <c r="E319" i="2"/>
  <c r="G319" i="2"/>
  <c r="I319" i="2"/>
  <c r="K319" i="2"/>
  <c r="C320" i="2"/>
  <c r="E320" i="2"/>
  <c r="G320" i="2"/>
  <c r="I320" i="2"/>
  <c r="K320" i="2"/>
  <c r="C321" i="2"/>
  <c r="E321" i="2"/>
  <c r="G321" i="2"/>
  <c r="I321" i="2"/>
  <c r="K321" i="2"/>
  <c r="C322" i="2"/>
  <c r="E322" i="2"/>
  <c r="G322" i="2"/>
  <c r="I322" i="2"/>
  <c r="K322" i="2"/>
  <c r="C323" i="2"/>
  <c r="E323" i="2"/>
  <c r="G323" i="2"/>
  <c r="I323" i="2"/>
  <c r="K323" i="2"/>
  <c r="C324" i="2"/>
  <c r="E324" i="2"/>
  <c r="G324" i="2"/>
  <c r="I324" i="2"/>
  <c r="K324" i="2"/>
  <c r="C325" i="2"/>
  <c r="E325" i="2"/>
  <c r="G325" i="2"/>
  <c r="I325" i="2"/>
  <c r="K325" i="2"/>
  <c r="C326" i="2"/>
  <c r="E326" i="2"/>
  <c r="G326" i="2"/>
  <c r="I326" i="2"/>
  <c r="K326" i="2"/>
  <c r="C327" i="2"/>
  <c r="E327" i="2"/>
  <c r="G327" i="2"/>
  <c r="I327" i="2"/>
  <c r="K327" i="2"/>
  <c r="C328" i="2"/>
  <c r="E328" i="2"/>
  <c r="G328" i="2"/>
  <c r="I328" i="2"/>
  <c r="K328" i="2"/>
  <c r="C329" i="2"/>
  <c r="E329" i="2"/>
  <c r="G329" i="2"/>
  <c r="I329" i="2"/>
  <c r="K329" i="2"/>
  <c r="C330" i="2"/>
  <c r="E330" i="2"/>
  <c r="G330" i="2"/>
  <c r="I330" i="2"/>
  <c r="K330" i="2"/>
  <c r="C331" i="2"/>
  <c r="E331" i="2"/>
  <c r="G331" i="2"/>
  <c r="I331" i="2"/>
  <c r="K331" i="2"/>
  <c r="C332" i="2"/>
  <c r="E332" i="2"/>
  <c r="G332" i="2"/>
  <c r="I332" i="2"/>
  <c r="K332" i="2"/>
  <c r="C333" i="2"/>
  <c r="E333" i="2"/>
  <c r="G333" i="2"/>
  <c r="I333" i="2"/>
  <c r="K333" i="2"/>
  <c r="C334" i="2"/>
  <c r="E334" i="2"/>
  <c r="G334" i="2"/>
  <c r="I334" i="2"/>
  <c r="K334" i="2"/>
  <c r="C335" i="2"/>
  <c r="E335" i="2"/>
  <c r="G335" i="2"/>
  <c r="I335" i="2"/>
  <c r="K335" i="2"/>
  <c r="C336" i="2"/>
  <c r="E336" i="2"/>
  <c r="G336" i="2"/>
  <c r="I336" i="2"/>
  <c r="K336" i="2"/>
  <c r="C337" i="2"/>
  <c r="E337" i="2"/>
  <c r="G337" i="2"/>
  <c r="I337" i="2"/>
  <c r="K337" i="2"/>
  <c r="C338" i="2"/>
  <c r="E338" i="2"/>
  <c r="G338" i="2"/>
  <c r="I338" i="2"/>
  <c r="K338" i="2"/>
  <c r="C339" i="2"/>
  <c r="E339" i="2"/>
  <c r="G339" i="2"/>
  <c r="I339" i="2"/>
  <c r="K339" i="2"/>
  <c r="C340" i="2"/>
  <c r="E340" i="2"/>
  <c r="G340" i="2"/>
  <c r="I340" i="2"/>
  <c r="K340" i="2"/>
  <c r="C341" i="2"/>
  <c r="E341" i="2"/>
  <c r="G341" i="2"/>
  <c r="I341" i="2"/>
  <c r="K341" i="2"/>
  <c r="C342" i="2"/>
  <c r="E342" i="2"/>
  <c r="G342" i="2"/>
  <c r="I342" i="2"/>
  <c r="K342" i="2"/>
  <c r="C343" i="2"/>
  <c r="E343" i="2"/>
  <c r="G343" i="2"/>
  <c r="I343" i="2"/>
  <c r="K343" i="2"/>
  <c r="C344" i="2"/>
  <c r="E344" i="2"/>
  <c r="G344" i="2"/>
  <c r="I344" i="2"/>
  <c r="K344" i="2"/>
  <c r="C345" i="2"/>
  <c r="E345" i="2"/>
  <c r="G345" i="2"/>
  <c r="I345" i="2"/>
  <c r="K345" i="2"/>
  <c r="C346" i="2"/>
  <c r="E346" i="2"/>
  <c r="G346" i="2"/>
  <c r="I346" i="2"/>
  <c r="K346" i="2"/>
  <c r="C347" i="2"/>
  <c r="E347" i="2"/>
  <c r="G347" i="2"/>
  <c r="I347" i="2"/>
  <c r="K347" i="2"/>
  <c r="C348" i="2"/>
  <c r="E348" i="2"/>
  <c r="G348" i="2"/>
  <c r="I348" i="2"/>
  <c r="K348" i="2"/>
  <c r="C349" i="2"/>
  <c r="E349" i="2"/>
  <c r="G349" i="2"/>
  <c r="I349" i="2"/>
  <c r="K349" i="2"/>
  <c r="C350" i="2"/>
  <c r="E350" i="2"/>
  <c r="G350" i="2"/>
  <c r="I350" i="2"/>
  <c r="K350" i="2"/>
  <c r="C351" i="2"/>
  <c r="E351" i="2"/>
  <c r="G351" i="2"/>
  <c r="I351" i="2"/>
  <c r="K351" i="2"/>
  <c r="C352" i="2"/>
  <c r="E352" i="2"/>
  <c r="G352" i="2"/>
  <c r="I352" i="2"/>
  <c r="K352" i="2"/>
  <c r="C353" i="2"/>
  <c r="E353" i="2"/>
  <c r="G353" i="2"/>
  <c r="I353" i="2"/>
  <c r="K353" i="2"/>
  <c r="C354" i="2"/>
  <c r="E354" i="2"/>
  <c r="G354" i="2"/>
  <c r="I354" i="2"/>
  <c r="K354" i="2"/>
  <c r="C355" i="2"/>
  <c r="E355" i="2"/>
  <c r="G355" i="2"/>
  <c r="I355" i="2"/>
  <c r="K355" i="2"/>
  <c r="C356" i="2"/>
  <c r="E356" i="2"/>
  <c r="G356" i="2"/>
  <c r="I356" i="2"/>
  <c r="K356" i="2"/>
  <c r="C357" i="2"/>
  <c r="E357" i="2"/>
  <c r="G357" i="2"/>
  <c r="I357" i="2"/>
  <c r="K357" i="2"/>
  <c r="C358" i="2"/>
  <c r="E358" i="2"/>
  <c r="G358" i="2"/>
  <c r="I358" i="2"/>
  <c r="K358" i="2"/>
  <c r="C359" i="2"/>
  <c r="E359" i="2"/>
  <c r="G359" i="2"/>
  <c r="I359" i="2"/>
  <c r="K359" i="2"/>
  <c r="C360" i="2"/>
  <c r="E360" i="2"/>
  <c r="G360" i="2"/>
  <c r="I360" i="2"/>
  <c r="K360" i="2"/>
  <c r="C361" i="2"/>
  <c r="E361" i="2"/>
  <c r="G361" i="2"/>
  <c r="I361" i="2"/>
  <c r="K361" i="2"/>
  <c r="C362" i="2"/>
  <c r="E362" i="2"/>
  <c r="G362" i="2"/>
  <c r="I362" i="2"/>
  <c r="K362" i="2"/>
  <c r="C363" i="2"/>
  <c r="E363" i="2"/>
  <c r="G363" i="2"/>
  <c r="I363" i="2"/>
  <c r="K363" i="2"/>
  <c r="C364" i="2"/>
  <c r="E364" i="2"/>
  <c r="G364" i="2"/>
  <c r="I364" i="2"/>
  <c r="K364" i="2"/>
  <c r="C365" i="2"/>
  <c r="E365" i="2"/>
  <c r="G365" i="2"/>
  <c r="I365" i="2"/>
  <c r="K365" i="2"/>
  <c r="C366" i="2"/>
  <c r="E366" i="2"/>
  <c r="G366" i="2"/>
  <c r="I366" i="2"/>
  <c r="K366" i="2"/>
  <c r="C367" i="2"/>
  <c r="E367" i="2"/>
  <c r="G367" i="2"/>
  <c r="I367" i="2"/>
  <c r="K367" i="2"/>
  <c r="C368" i="2"/>
  <c r="E368" i="2"/>
  <c r="G368" i="2"/>
  <c r="I368" i="2"/>
  <c r="K368" i="2"/>
  <c r="C369" i="2"/>
  <c r="E369" i="2"/>
  <c r="G369" i="2"/>
  <c r="I369" i="2"/>
  <c r="K369" i="2"/>
  <c r="C370" i="2"/>
  <c r="E370" i="2"/>
  <c r="G370" i="2"/>
  <c r="I370" i="2"/>
  <c r="K370" i="2"/>
  <c r="C371" i="2"/>
  <c r="E371" i="2"/>
  <c r="G371" i="2"/>
  <c r="I371" i="2"/>
  <c r="K371" i="2"/>
  <c r="C372" i="2"/>
  <c r="E372" i="2"/>
  <c r="G372" i="2"/>
  <c r="I372" i="2"/>
  <c r="K372" i="2"/>
  <c r="C373" i="2"/>
  <c r="E373" i="2"/>
  <c r="G373" i="2"/>
  <c r="I373" i="2"/>
  <c r="K373" i="2"/>
  <c r="C374" i="2"/>
  <c r="E374" i="2"/>
  <c r="G374" i="2"/>
  <c r="I374" i="2"/>
  <c r="K374" i="2"/>
  <c r="C375" i="2"/>
  <c r="E375" i="2"/>
  <c r="G375" i="2"/>
  <c r="I375" i="2"/>
  <c r="K375" i="2"/>
  <c r="C376" i="2"/>
  <c r="E376" i="2"/>
  <c r="G376" i="2"/>
  <c r="I376" i="2"/>
  <c r="K376" i="2"/>
  <c r="C377" i="2"/>
  <c r="E377" i="2"/>
  <c r="G377" i="2"/>
  <c r="I377" i="2"/>
  <c r="K377" i="2"/>
  <c r="C378" i="2"/>
  <c r="E378" i="2"/>
  <c r="G378" i="2"/>
  <c r="I378" i="2"/>
  <c r="K378" i="2"/>
  <c r="C379" i="2"/>
  <c r="E379" i="2"/>
  <c r="G379" i="2"/>
  <c r="I379" i="2"/>
  <c r="K379" i="2"/>
  <c r="C380" i="2"/>
  <c r="E380" i="2"/>
  <c r="G380" i="2"/>
  <c r="I380" i="2"/>
  <c r="K380" i="2"/>
  <c r="C381" i="2"/>
  <c r="E381" i="2"/>
  <c r="G381" i="2"/>
  <c r="I381" i="2"/>
  <c r="K381" i="2"/>
  <c r="C382" i="2"/>
  <c r="E382" i="2"/>
  <c r="G382" i="2"/>
  <c r="I382" i="2"/>
  <c r="K382" i="2"/>
  <c r="C383" i="2"/>
  <c r="E383" i="2"/>
  <c r="G383" i="2"/>
  <c r="I383" i="2"/>
  <c r="K383" i="2"/>
  <c r="C384" i="2"/>
  <c r="E384" i="2"/>
  <c r="G384" i="2"/>
  <c r="I384" i="2"/>
  <c r="K384" i="2"/>
  <c r="C385" i="2"/>
  <c r="E385" i="2"/>
  <c r="G385" i="2"/>
  <c r="I385" i="2"/>
  <c r="K385" i="2"/>
  <c r="C386" i="2"/>
  <c r="E386" i="2"/>
  <c r="G386" i="2"/>
  <c r="I386" i="2"/>
  <c r="K386" i="2"/>
  <c r="C387" i="2"/>
  <c r="E387" i="2"/>
  <c r="G387" i="2"/>
  <c r="I387" i="2"/>
  <c r="K387" i="2"/>
  <c r="C388" i="2"/>
  <c r="E388" i="2"/>
  <c r="G388" i="2"/>
  <c r="I388" i="2"/>
  <c r="K388" i="2"/>
  <c r="C389" i="2"/>
  <c r="E389" i="2"/>
  <c r="G389" i="2"/>
  <c r="I389" i="2"/>
  <c r="K389" i="2"/>
  <c r="C390" i="2"/>
  <c r="E390" i="2"/>
  <c r="G390" i="2"/>
  <c r="I390" i="2"/>
  <c r="K390" i="2"/>
  <c r="C391" i="2"/>
  <c r="E391" i="2"/>
  <c r="G391" i="2"/>
  <c r="I391" i="2"/>
  <c r="K391" i="2"/>
  <c r="C392" i="2"/>
  <c r="E392" i="2"/>
  <c r="G392" i="2"/>
  <c r="I392" i="2"/>
  <c r="K392" i="2"/>
  <c r="C393" i="2"/>
  <c r="E393" i="2"/>
  <c r="G393" i="2"/>
  <c r="I393" i="2"/>
  <c r="K393" i="2"/>
  <c r="C394" i="2"/>
  <c r="E394" i="2"/>
  <c r="G394" i="2"/>
  <c r="I394" i="2"/>
  <c r="K394" i="2"/>
  <c r="C395" i="2"/>
  <c r="E395" i="2"/>
  <c r="G395" i="2"/>
  <c r="I395" i="2"/>
  <c r="K395" i="2"/>
  <c r="C396" i="2"/>
  <c r="E396" i="2"/>
  <c r="G396" i="2"/>
  <c r="I396" i="2"/>
  <c r="K396" i="2"/>
  <c r="C397" i="2"/>
  <c r="E397" i="2"/>
  <c r="G397" i="2"/>
  <c r="I397" i="2"/>
  <c r="K397" i="2"/>
  <c r="C398" i="2"/>
  <c r="E398" i="2"/>
  <c r="G398" i="2"/>
  <c r="I398" i="2"/>
  <c r="K398" i="2"/>
  <c r="C399" i="2"/>
  <c r="E399" i="2"/>
  <c r="G399" i="2"/>
  <c r="I399" i="2"/>
  <c r="K399" i="2"/>
  <c r="C400" i="2"/>
  <c r="E400" i="2"/>
  <c r="G400" i="2"/>
  <c r="I400" i="2"/>
  <c r="K400" i="2"/>
  <c r="C401" i="2"/>
  <c r="E401" i="2"/>
  <c r="G401" i="2"/>
  <c r="I401" i="2"/>
  <c r="K401" i="2"/>
  <c r="C402" i="2"/>
  <c r="E402" i="2"/>
  <c r="G402" i="2"/>
  <c r="I402" i="2"/>
  <c r="K402" i="2"/>
  <c r="C403" i="2"/>
  <c r="E403" i="2"/>
  <c r="G403" i="2"/>
  <c r="I403" i="2"/>
  <c r="K403" i="2"/>
  <c r="C404" i="2"/>
  <c r="E404" i="2"/>
  <c r="G404" i="2"/>
  <c r="I404" i="2"/>
  <c r="K404" i="2"/>
  <c r="C405" i="2"/>
  <c r="E405" i="2"/>
  <c r="G405" i="2"/>
  <c r="I405" i="2"/>
  <c r="K405" i="2"/>
  <c r="C406" i="2"/>
  <c r="E406" i="2"/>
  <c r="G406" i="2"/>
  <c r="I406" i="2"/>
  <c r="K406" i="2"/>
  <c r="C407" i="2"/>
  <c r="E407" i="2"/>
  <c r="G407" i="2"/>
  <c r="I407" i="2"/>
  <c r="K407" i="2"/>
  <c r="C408" i="2"/>
  <c r="E408" i="2"/>
  <c r="G408" i="2"/>
  <c r="I408" i="2"/>
  <c r="K408" i="2"/>
  <c r="C409" i="2"/>
  <c r="E409" i="2"/>
  <c r="G409" i="2"/>
  <c r="I409" i="2"/>
  <c r="K409" i="2"/>
  <c r="C410" i="2"/>
  <c r="E410" i="2"/>
  <c r="G410" i="2"/>
  <c r="I410" i="2"/>
  <c r="K410" i="2"/>
  <c r="C411" i="2"/>
  <c r="E411" i="2"/>
  <c r="G411" i="2"/>
  <c r="I411" i="2"/>
  <c r="K411" i="2"/>
  <c r="C412" i="2"/>
  <c r="E412" i="2"/>
  <c r="G412" i="2"/>
  <c r="I412" i="2"/>
  <c r="K412" i="2"/>
  <c r="C413" i="2"/>
  <c r="E413" i="2"/>
  <c r="G413" i="2"/>
  <c r="I413" i="2"/>
  <c r="K413" i="2"/>
  <c r="C414" i="2"/>
  <c r="E414" i="2"/>
  <c r="G414" i="2"/>
  <c r="I414" i="2"/>
  <c r="K414" i="2"/>
  <c r="C415" i="2"/>
  <c r="E415" i="2"/>
  <c r="G415" i="2"/>
  <c r="I415" i="2"/>
  <c r="K415" i="2"/>
  <c r="C416" i="2"/>
  <c r="E416" i="2"/>
  <c r="G416" i="2"/>
  <c r="I416" i="2"/>
  <c r="K416" i="2"/>
  <c r="C417" i="2"/>
  <c r="E417" i="2"/>
  <c r="G417" i="2"/>
  <c r="I417" i="2"/>
  <c r="K417" i="2"/>
  <c r="C418" i="2"/>
  <c r="E418" i="2"/>
  <c r="G418" i="2"/>
  <c r="I418" i="2"/>
  <c r="K418" i="2"/>
  <c r="C419" i="2"/>
  <c r="E419" i="2"/>
  <c r="G419" i="2"/>
  <c r="I419" i="2"/>
  <c r="K419" i="2"/>
  <c r="C420" i="2"/>
  <c r="E420" i="2"/>
  <c r="G420" i="2"/>
  <c r="I420" i="2"/>
  <c r="K420" i="2"/>
  <c r="C421" i="2"/>
  <c r="E421" i="2"/>
  <c r="G421" i="2"/>
  <c r="I421" i="2"/>
  <c r="K421" i="2"/>
  <c r="C422" i="2"/>
  <c r="E422" i="2"/>
  <c r="G422" i="2"/>
  <c r="I422" i="2"/>
  <c r="K422" i="2"/>
  <c r="C423" i="2"/>
  <c r="E423" i="2"/>
  <c r="G423" i="2"/>
  <c r="I423" i="2"/>
  <c r="K423" i="2"/>
  <c r="C424" i="2"/>
  <c r="E424" i="2"/>
  <c r="G424" i="2"/>
  <c r="I424" i="2"/>
  <c r="K424" i="2"/>
  <c r="C425" i="2"/>
  <c r="E425" i="2"/>
  <c r="G425" i="2"/>
  <c r="I425" i="2"/>
  <c r="K425" i="2"/>
  <c r="C426" i="2"/>
  <c r="E426" i="2"/>
  <c r="G426" i="2"/>
  <c r="I426" i="2"/>
  <c r="K426" i="2"/>
  <c r="C427" i="2"/>
  <c r="E427" i="2"/>
  <c r="G427" i="2"/>
  <c r="I427" i="2"/>
  <c r="K427" i="2"/>
  <c r="C428" i="2"/>
  <c r="E428" i="2"/>
  <c r="G428" i="2"/>
  <c r="I428" i="2"/>
  <c r="K428" i="2"/>
  <c r="C429" i="2"/>
  <c r="E429" i="2"/>
  <c r="G429" i="2"/>
  <c r="I429" i="2"/>
  <c r="K429" i="2"/>
  <c r="C430" i="2"/>
  <c r="E430" i="2"/>
  <c r="G430" i="2"/>
  <c r="I430" i="2"/>
  <c r="K430" i="2"/>
  <c r="C431" i="2"/>
  <c r="E431" i="2"/>
  <c r="G431" i="2"/>
  <c r="I431" i="2"/>
  <c r="K431" i="2"/>
  <c r="C432" i="2"/>
  <c r="E432" i="2"/>
  <c r="G432" i="2"/>
  <c r="I432" i="2"/>
  <c r="K432" i="2"/>
  <c r="C433" i="2"/>
  <c r="E433" i="2"/>
  <c r="G433" i="2"/>
  <c r="I433" i="2"/>
  <c r="K433" i="2"/>
  <c r="C434" i="2"/>
  <c r="E434" i="2"/>
  <c r="G434" i="2"/>
  <c r="I434" i="2"/>
  <c r="K434" i="2"/>
  <c r="C435" i="2"/>
  <c r="E435" i="2"/>
  <c r="G435" i="2"/>
  <c r="I435" i="2"/>
  <c r="K435" i="2"/>
  <c r="C436" i="2"/>
  <c r="E436" i="2"/>
  <c r="G436" i="2"/>
  <c r="I436" i="2"/>
  <c r="K436" i="2"/>
  <c r="C437" i="2"/>
  <c r="E437" i="2"/>
  <c r="G437" i="2"/>
  <c r="I437" i="2"/>
  <c r="K437" i="2"/>
  <c r="C438" i="2"/>
  <c r="E438" i="2"/>
  <c r="G438" i="2"/>
  <c r="I438" i="2"/>
  <c r="K438" i="2"/>
  <c r="C439" i="2"/>
  <c r="E439" i="2"/>
  <c r="G439" i="2"/>
  <c r="I439" i="2"/>
  <c r="K439" i="2"/>
  <c r="C440" i="2"/>
  <c r="E440" i="2"/>
  <c r="G440" i="2"/>
  <c r="I440" i="2"/>
  <c r="K440" i="2"/>
  <c r="C441" i="2"/>
  <c r="E441" i="2"/>
  <c r="G441" i="2"/>
  <c r="I441" i="2"/>
  <c r="K441" i="2"/>
  <c r="C442" i="2"/>
  <c r="E442" i="2"/>
  <c r="G442" i="2"/>
  <c r="I442" i="2"/>
  <c r="K442" i="2"/>
  <c r="C443" i="2"/>
  <c r="E443" i="2"/>
  <c r="G443" i="2"/>
  <c r="I443" i="2"/>
  <c r="K443" i="2"/>
  <c r="C444" i="2"/>
  <c r="E444" i="2"/>
  <c r="G444" i="2"/>
  <c r="I444" i="2"/>
  <c r="K444" i="2"/>
  <c r="C445" i="2"/>
  <c r="E445" i="2"/>
  <c r="G445" i="2"/>
  <c r="I445" i="2"/>
  <c r="K445" i="2"/>
  <c r="C446" i="2"/>
  <c r="E446" i="2"/>
  <c r="G446" i="2"/>
  <c r="I446" i="2"/>
  <c r="K446" i="2"/>
  <c r="C447" i="2"/>
  <c r="E447" i="2"/>
  <c r="G447" i="2"/>
  <c r="I447" i="2"/>
  <c r="K447" i="2"/>
  <c r="C448" i="2"/>
  <c r="E448" i="2"/>
  <c r="G448" i="2"/>
  <c r="I448" i="2"/>
  <c r="K448" i="2"/>
  <c r="C449" i="2"/>
  <c r="E449" i="2"/>
  <c r="G449" i="2"/>
  <c r="I449" i="2"/>
  <c r="K449" i="2"/>
  <c r="C450" i="2"/>
  <c r="E450" i="2"/>
  <c r="G450" i="2"/>
  <c r="I450" i="2"/>
  <c r="K450" i="2"/>
  <c r="C451" i="2"/>
  <c r="E451" i="2"/>
  <c r="G451" i="2"/>
  <c r="I451" i="2"/>
  <c r="K451" i="2"/>
  <c r="C452" i="2"/>
  <c r="E452" i="2"/>
  <c r="G452" i="2"/>
  <c r="I452" i="2"/>
  <c r="K452" i="2"/>
  <c r="C453" i="2"/>
  <c r="E453" i="2"/>
  <c r="G453" i="2"/>
  <c r="I453" i="2"/>
  <c r="K453" i="2"/>
  <c r="C454" i="2"/>
  <c r="E454" i="2"/>
  <c r="G454" i="2"/>
  <c r="I454" i="2"/>
  <c r="K454" i="2"/>
  <c r="C455" i="2"/>
  <c r="E455" i="2"/>
  <c r="G455" i="2"/>
  <c r="I455" i="2"/>
  <c r="K455" i="2"/>
  <c r="C456" i="2"/>
  <c r="E456" i="2"/>
  <c r="G456" i="2"/>
  <c r="I456" i="2"/>
  <c r="K456" i="2"/>
  <c r="C457" i="2"/>
  <c r="E457" i="2"/>
  <c r="G457" i="2"/>
  <c r="I457" i="2"/>
  <c r="K457" i="2"/>
  <c r="C458" i="2"/>
  <c r="E458" i="2"/>
  <c r="G458" i="2"/>
  <c r="I458" i="2"/>
  <c r="K458" i="2"/>
  <c r="C459" i="2"/>
  <c r="E459" i="2"/>
  <c r="G459" i="2"/>
  <c r="I459" i="2"/>
  <c r="K459" i="2"/>
  <c r="C460" i="2"/>
  <c r="E460" i="2"/>
  <c r="G460" i="2"/>
  <c r="I460" i="2"/>
  <c r="K460" i="2"/>
  <c r="C461" i="2"/>
  <c r="E461" i="2"/>
  <c r="G461" i="2"/>
  <c r="I461" i="2"/>
  <c r="K461" i="2"/>
  <c r="C462" i="2"/>
  <c r="E462" i="2"/>
  <c r="G462" i="2"/>
  <c r="I462" i="2"/>
  <c r="K462" i="2"/>
  <c r="C463" i="2"/>
  <c r="E463" i="2"/>
  <c r="G463" i="2"/>
  <c r="I463" i="2"/>
  <c r="K463" i="2"/>
  <c r="C464" i="2"/>
  <c r="E464" i="2"/>
  <c r="G464" i="2"/>
  <c r="I464" i="2"/>
  <c r="K464" i="2"/>
  <c r="C465" i="2"/>
  <c r="E465" i="2"/>
  <c r="G465" i="2"/>
  <c r="I465" i="2"/>
  <c r="K465" i="2"/>
  <c r="C466" i="2"/>
  <c r="E466" i="2"/>
  <c r="G466" i="2"/>
  <c r="I466" i="2"/>
  <c r="K466" i="2"/>
  <c r="C467" i="2"/>
  <c r="E467" i="2"/>
  <c r="G467" i="2"/>
  <c r="I467" i="2"/>
  <c r="K467" i="2"/>
  <c r="C468" i="2"/>
  <c r="E468" i="2"/>
  <c r="G468" i="2"/>
  <c r="I468" i="2"/>
  <c r="K468" i="2"/>
  <c r="C469" i="2"/>
  <c r="E469" i="2"/>
  <c r="G469" i="2"/>
  <c r="I469" i="2"/>
  <c r="K469" i="2"/>
  <c r="C470" i="2"/>
  <c r="E470" i="2"/>
  <c r="G470" i="2"/>
  <c r="I470" i="2"/>
  <c r="K470" i="2"/>
  <c r="C471" i="2"/>
  <c r="E471" i="2"/>
  <c r="G471" i="2"/>
  <c r="I471" i="2"/>
  <c r="K471" i="2"/>
  <c r="C472" i="2"/>
  <c r="E472" i="2"/>
  <c r="G472" i="2"/>
  <c r="I472" i="2"/>
  <c r="K472" i="2"/>
  <c r="C473" i="2"/>
  <c r="E473" i="2"/>
  <c r="G473" i="2"/>
  <c r="I473" i="2"/>
  <c r="K473" i="2"/>
  <c r="C474" i="2"/>
  <c r="E474" i="2"/>
  <c r="G474" i="2"/>
  <c r="I474" i="2"/>
  <c r="K474" i="2"/>
  <c r="C475" i="2"/>
  <c r="E475" i="2"/>
  <c r="G475" i="2"/>
  <c r="I475" i="2"/>
  <c r="K475" i="2"/>
  <c r="C476" i="2"/>
  <c r="E476" i="2"/>
  <c r="G476" i="2"/>
  <c r="I476" i="2"/>
  <c r="K476" i="2"/>
  <c r="C477" i="2"/>
  <c r="E477" i="2"/>
  <c r="G477" i="2"/>
  <c r="I477" i="2"/>
  <c r="K477" i="2"/>
  <c r="C478" i="2"/>
  <c r="E478" i="2"/>
  <c r="G478" i="2"/>
  <c r="I478" i="2"/>
  <c r="K478" i="2"/>
  <c r="C479" i="2"/>
  <c r="E479" i="2"/>
  <c r="G479" i="2"/>
  <c r="I479" i="2"/>
  <c r="K479" i="2"/>
  <c r="C480" i="2"/>
  <c r="E480" i="2"/>
  <c r="G480" i="2"/>
  <c r="I480" i="2"/>
  <c r="K480" i="2"/>
  <c r="C481" i="2"/>
  <c r="E481" i="2"/>
  <c r="G481" i="2"/>
  <c r="I481" i="2"/>
  <c r="K481" i="2"/>
  <c r="C482" i="2"/>
  <c r="E482" i="2"/>
  <c r="G482" i="2"/>
  <c r="I482" i="2"/>
  <c r="K482" i="2"/>
  <c r="C483" i="2"/>
  <c r="E483" i="2"/>
  <c r="G483" i="2"/>
  <c r="I483" i="2"/>
  <c r="K483" i="2"/>
  <c r="C484" i="2"/>
  <c r="E484" i="2"/>
  <c r="G484" i="2"/>
  <c r="I484" i="2"/>
  <c r="K484" i="2"/>
  <c r="C485" i="2"/>
  <c r="E485" i="2"/>
  <c r="G485" i="2"/>
  <c r="I485" i="2"/>
  <c r="K485" i="2"/>
  <c r="C486" i="2"/>
  <c r="E486" i="2"/>
  <c r="G486" i="2"/>
  <c r="I486" i="2"/>
  <c r="K486" i="2"/>
  <c r="C487" i="2"/>
  <c r="E487" i="2"/>
  <c r="G487" i="2"/>
  <c r="I487" i="2"/>
  <c r="K487" i="2"/>
  <c r="C488" i="2"/>
  <c r="E488" i="2"/>
  <c r="G488" i="2"/>
  <c r="I488" i="2"/>
  <c r="K488" i="2"/>
  <c r="C489" i="2"/>
  <c r="E489" i="2"/>
  <c r="G489" i="2"/>
  <c r="I489" i="2"/>
  <c r="K489" i="2"/>
  <c r="C490" i="2"/>
  <c r="E490" i="2"/>
  <c r="G490" i="2"/>
  <c r="I490" i="2"/>
  <c r="K490" i="2"/>
  <c r="C491" i="2"/>
  <c r="E491" i="2"/>
  <c r="G491" i="2"/>
  <c r="I491" i="2"/>
  <c r="K491" i="2"/>
  <c r="C492" i="2"/>
  <c r="E492" i="2"/>
  <c r="G492" i="2"/>
  <c r="I492" i="2"/>
  <c r="K492" i="2"/>
  <c r="C493" i="2"/>
  <c r="E493" i="2"/>
  <c r="G493" i="2"/>
  <c r="I493" i="2"/>
  <c r="K493" i="2"/>
  <c r="C494" i="2"/>
  <c r="E494" i="2"/>
  <c r="G494" i="2"/>
  <c r="I494" i="2"/>
  <c r="K494" i="2"/>
  <c r="C495" i="2"/>
  <c r="E495" i="2"/>
  <c r="G495" i="2"/>
  <c r="I495" i="2"/>
  <c r="K495" i="2"/>
  <c r="C496" i="2"/>
  <c r="E496" i="2"/>
  <c r="G496" i="2"/>
  <c r="I496" i="2"/>
  <c r="K496" i="2"/>
  <c r="C497" i="2"/>
  <c r="E497" i="2"/>
  <c r="G497" i="2"/>
  <c r="I497" i="2"/>
  <c r="K497" i="2"/>
  <c r="C498" i="2"/>
  <c r="E498" i="2"/>
  <c r="G498" i="2"/>
  <c r="I498" i="2"/>
  <c r="K498" i="2"/>
  <c r="C499" i="2"/>
  <c r="E499" i="2"/>
  <c r="G499" i="2"/>
  <c r="I499" i="2"/>
  <c r="K499" i="2"/>
  <c r="C500" i="2"/>
  <c r="E500" i="2"/>
  <c r="G500" i="2"/>
  <c r="I500" i="2"/>
  <c r="K500" i="2"/>
  <c r="C501" i="2"/>
  <c r="E501" i="2"/>
  <c r="G501" i="2"/>
  <c r="I501" i="2"/>
  <c r="K501" i="2"/>
  <c r="C502" i="2"/>
  <c r="E502" i="2"/>
  <c r="G502" i="2"/>
  <c r="I502" i="2"/>
  <c r="K502" i="2"/>
  <c r="C503" i="2"/>
  <c r="E503" i="2"/>
  <c r="G503" i="2"/>
  <c r="I503" i="2"/>
  <c r="K503" i="2"/>
  <c r="C504" i="2"/>
  <c r="E504" i="2"/>
  <c r="G504" i="2"/>
  <c r="I504" i="2"/>
  <c r="K504" i="2"/>
  <c r="C505" i="2"/>
  <c r="E505" i="2"/>
  <c r="G505" i="2"/>
  <c r="I505" i="2"/>
  <c r="K505" i="2"/>
  <c r="C506" i="2"/>
  <c r="E506" i="2"/>
  <c r="G506" i="2"/>
  <c r="I506" i="2"/>
  <c r="K506" i="2"/>
  <c r="C507" i="2"/>
  <c r="E507" i="2"/>
  <c r="G507" i="2"/>
  <c r="I507" i="2"/>
  <c r="K507" i="2"/>
  <c r="C508" i="2"/>
  <c r="E508" i="2"/>
  <c r="G508" i="2"/>
  <c r="I508" i="2"/>
  <c r="K508" i="2"/>
  <c r="C509" i="2"/>
  <c r="E509" i="2"/>
  <c r="G509" i="2"/>
  <c r="I509" i="2"/>
  <c r="K509" i="2"/>
  <c r="C510" i="2"/>
  <c r="E510" i="2"/>
  <c r="G510" i="2"/>
  <c r="I510" i="2"/>
  <c r="K510" i="2"/>
  <c r="C511" i="2"/>
  <c r="E511" i="2"/>
  <c r="G511" i="2"/>
  <c r="I511" i="2"/>
  <c r="K511" i="2"/>
  <c r="C512" i="2"/>
  <c r="E512" i="2"/>
  <c r="G512" i="2"/>
  <c r="I512" i="2"/>
  <c r="K512" i="2"/>
  <c r="C513" i="2"/>
  <c r="E513" i="2"/>
  <c r="G513" i="2"/>
  <c r="I513" i="2"/>
  <c r="K513" i="2"/>
  <c r="C514" i="2"/>
  <c r="E514" i="2"/>
  <c r="G514" i="2"/>
  <c r="I514" i="2"/>
  <c r="K514" i="2"/>
  <c r="C515" i="2"/>
  <c r="E515" i="2"/>
  <c r="G515" i="2"/>
  <c r="I515" i="2"/>
  <c r="K515" i="2"/>
  <c r="C516" i="2"/>
  <c r="E516" i="2"/>
  <c r="G516" i="2"/>
  <c r="I516" i="2"/>
  <c r="K516" i="2"/>
  <c r="C517" i="2"/>
  <c r="E517" i="2"/>
  <c r="G517" i="2"/>
  <c r="I517" i="2"/>
  <c r="K517" i="2"/>
  <c r="C518" i="2"/>
  <c r="E518" i="2"/>
  <c r="G518" i="2"/>
  <c r="I518" i="2"/>
  <c r="K518" i="2"/>
  <c r="C519" i="2"/>
  <c r="E519" i="2"/>
  <c r="G519" i="2"/>
  <c r="I519" i="2"/>
  <c r="K519" i="2"/>
  <c r="C520" i="2"/>
  <c r="E520" i="2"/>
  <c r="G520" i="2"/>
  <c r="I520" i="2"/>
  <c r="K520" i="2"/>
  <c r="C521" i="2"/>
  <c r="E521" i="2"/>
  <c r="G521" i="2"/>
  <c r="I521" i="2"/>
  <c r="K521" i="2"/>
  <c r="C522" i="2"/>
  <c r="E522" i="2"/>
  <c r="G522" i="2"/>
  <c r="I522" i="2"/>
  <c r="K522" i="2"/>
  <c r="C523" i="2"/>
  <c r="E523" i="2"/>
  <c r="G523" i="2"/>
  <c r="I523" i="2"/>
  <c r="K523" i="2"/>
  <c r="C524" i="2"/>
  <c r="E524" i="2"/>
  <c r="G524" i="2"/>
  <c r="I524" i="2"/>
  <c r="K524" i="2"/>
  <c r="C525" i="2"/>
  <c r="E525" i="2"/>
  <c r="G525" i="2"/>
  <c r="I525" i="2"/>
  <c r="K525" i="2"/>
  <c r="C526" i="2"/>
  <c r="E526" i="2"/>
  <c r="G526" i="2"/>
  <c r="I526" i="2"/>
  <c r="K526" i="2"/>
  <c r="C527" i="2"/>
  <c r="E527" i="2"/>
  <c r="G527" i="2"/>
  <c r="I527" i="2"/>
  <c r="K527" i="2"/>
  <c r="C528" i="2"/>
  <c r="E528" i="2"/>
  <c r="G528" i="2"/>
  <c r="I528" i="2"/>
  <c r="K528" i="2"/>
  <c r="C529" i="2"/>
  <c r="E529" i="2"/>
  <c r="G529" i="2"/>
  <c r="I529" i="2"/>
  <c r="K529" i="2"/>
  <c r="C530" i="2"/>
  <c r="E530" i="2"/>
  <c r="G530" i="2"/>
  <c r="I530" i="2"/>
  <c r="K530" i="2"/>
  <c r="C531" i="2"/>
  <c r="E531" i="2"/>
  <c r="G531" i="2"/>
  <c r="I531" i="2"/>
  <c r="K531" i="2"/>
  <c r="C532" i="2"/>
  <c r="E532" i="2"/>
  <c r="G532" i="2"/>
  <c r="I532" i="2"/>
  <c r="K532" i="2"/>
  <c r="C533" i="2"/>
  <c r="E533" i="2"/>
  <c r="G533" i="2"/>
  <c r="I533" i="2"/>
  <c r="K533" i="2"/>
  <c r="C534" i="2"/>
  <c r="E534" i="2"/>
  <c r="G534" i="2"/>
  <c r="I534" i="2"/>
  <c r="K534" i="2"/>
  <c r="C535" i="2"/>
  <c r="E535" i="2"/>
  <c r="G535" i="2"/>
  <c r="I535" i="2"/>
  <c r="K535" i="2"/>
  <c r="C536" i="2"/>
  <c r="E536" i="2"/>
  <c r="G536" i="2"/>
  <c r="I536" i="2"/>
  <c r="K536" i="2"/>
  <c r="C537" i="2"/>
  <c r="E537" i="2"/>
  <c r="G537" i="2"/>
  <c r="I537" i="2"/>
  <c r="K537" i="2"/>
  <c r="C538" i="2"/>
  <c r="E538" i="2"/>
  <c r="G538" i="2"/>
  <c r="I538" i="2"/>
  <c r="K538" i="2"/>
  <c r="C539" i="2"/>
  <c r="E539" i="2"/>
  <c r="G539" i="2"/>
  <c r="I539" i="2"/>
  <c r="K539" i="2"/>
  <c r="C540" i="2"/>
  <c r="E540" i="2"/>
  <c r="G540" i="2"/>
  <c r="I540" i="2"/>
  <c r="K540" i="2"/>
  <c r="C541" i="2"/>
  <c r="E541" i="2"/>
  <c r="G541" i="2"/>
  <c r="I541" i="2"/>
  <c r="K541" i="2"/>
  <c r="C542" i="2"/>
  <c r="E542" i="2"/>
  <c r="G542" i="2"/>
  <c r="I542" i="2"/>
  <c r="K542" i="2"/>
  <c r="C543" i="2"/>
  <c r="E543" i="2"/>
  <c r="G543" i="2"/>
  <c r="I543" i="2"/>
  <c r="K543" i="2"/>
  <c r="C544" i="2"/>
  <c r="E544" i="2"/>
  <c r="G544" i="2"/>
  <c r="I544" i="2"/>
  <c r="K544" i="2"/>
  <c r="C545" i="2"/>
  <c r="E545" i="2"/>
  <c r="G545" i="2"/>
  <c r="I545" i="2"/>
  <c r="K545" i="2"/>
  <c r="C546" i="2"/>
  <c r="E546" i="2"/>
  <c r="G546" i="2"/>
  <c r="I546" i="2"/>
  <c r="K546" i="2"/>
  <c r="C547" i="2"/>
  <c r="E547" i="2"/>
  <c r="G547" i="2"/>
  <c r="I547" i="2"/>
  <c r="K547" i="2"/>
  <c r="C548" i="2"/>
  <c r="E548" i="2"/>
  <c r="G548" i="2"/>
  <c r="I548" i="2"/>
  <c r="K548" i="2"/>
  <c r="C549" i="2"/>
  <c r="E549" i="2"/>
  <c r="G549" i="2"/>
  <c r="I549" i="2"/>
  <c r="K549" i="2"/>
  <c r="C550" i="2"/>
  <c r="E550" i="2"/>
  <c r="G550" i="2"/>
  <c r="I550" i="2"/>
  <c r="K550" i="2"/>
  <c r="C551" i="2"/>
  <c r="E551" i="2"/>
  <c r="G551" i="2"/>
  <c r="I551" i="2"/>
  <c r="K551" i="2"/>
  <c r="C552" i="2"/>
  <c r="E552" i="2"/>
  <c r="G552" i="2"/>
  <c r="I552" i="2"/>
  <c r="K552" i="2"/>
  <c r="C553" i="2"/>
  <c r="E553" i="2"/>
  <c r="G553" i="2"/>
  <c r="I553" i="2"/>
  <c r="K553" i="2"/>
  <c r="C554" i="2"/>
  <c r="E554" i="2"/>
  <c r="G554" i="2"/>
  <c r="I554" i="2"/>
  <c r="K554" i="2"/>
  <c r="C555" i="2"/>
  <c r="E555" i="2"/>
  <c r="G555" i="2"/>
  <c r="I555" i="2"/>
  <c r="K555" i="2"/>
  <c r="C556" i="2"/>
  <c r="E556" i="2"/>
  <c r="G556" i="2"/>
  <c r="I556" i="2"/>
  <c r="K556" i="2"/>
  <c r="C557" i="2"/>
  <c r="E557" i="2"/>
  <c r="G557" i="2"/>
  <c r="I557" i="2"/>
  <c r="K557" i="2"/>
  <c r="C558" i="2"/>
  <c r="E558" i="2"/>
  <c r="G558" i="2"/>
  <c r="I558" i="2"/>
  <c r="K558" i="2"/>
  <c r="C559" i="2"/>
  <c r="E559" i="2"/>
  <c r="G559" i="2"/>
  <c r="I559" i="2"/>
  <c r="K559" i="2"/>
  <c r="C560" i="2"/>
  <c r="E560" i="2"/>
  <c r="G560" i="2"/>
  <c r="I560" i="2"/>
  <c r="K560" i="2"/>
  <c r="C561" i="2"/>
  <c r="E561" i="2"/>
  <c r="G561" i="2"/>
  <c r="I561" i="2"/>
  <c r="K561" i="2"/>
  <c r="C562" i="2"/>
  <c r="E562" i="2"/>
  <c r="G562" i="2"/>
  <c r="I562" i="2"/>
  <c r="K562" i="2"/>
  <c r="C563" i="2"/>
  <c r="E563" i="2"/>
  <c r="G563" i="2"/>
  <c r="I563" i="2"/>
  <c r="K563" i="2"/>
  <c r="C564" i="2"/>
  <c r="E564" i="2"/>
  <c r="G564" i="2"/>
  <c r="I564" i="2"/>
  <c r="K564" i="2"/>
  <c r="C565" i="2"/>
  <c r="E565" i="2"/>
  <c r="G565" i="2"/>
  <c r="I565" i="2"/>
  <c r="K565" i="2"/>
  <c r="C566" i="2"/>
  <c r="E566" i="2"/>
  <c r="G566" i="2"/>
  <c r="I566" i="2"/>
  <c r="K566" i="2"/>
  <c r="C567" i="2"/>
  <c r="E567" i="2"/>
  <c r="G567" i="2"/>
  <c r="I567" i="2"/>
  <c r="K567" i="2"/>
  <c r="C568" i="2"/>
  <c r="E568" i="2"/>
  <c r="G568" i="2"/>
  <c r="I568" i="2"/>
  <c r="K568" i="2"/>
  <c r="C569" i="2"/>
  <c r="E569" i="2"/>
  <c r="G569" i="2"/>
  <c r="I569" i="2"/>
  <c r="K569" i="2"/>
  <c r="C570" i="2"/>
  <c r="E570" i="2"/>
  <c r="G570" i="2"/>
  <c r="I570" i="2"/>
  <c r="K570" i="2"/>
  <c r="C571" i="2"/>
  <c r="E571" i="2"/>
  <c r="G571" i="2"/>
  <c r="I571" i="2"/>
  <c r="K571" i="2"/>
  <c r="C572" i="2"/>
  <c r="E572" i="2"/>
  <c r="G572" i="2"/>
  <c r="I572" i="2"/>
  <c r="K572" i="2"/>
  <c r="C573" i="2"/>
  <c r="E573" i="2"/>
  <c r="G573" i="2"/>
  <c r="I573" i="2"/>
  <c r="K573" i="2"/>
  <c r="C574" i="2"/>
  <c r="E574" i="2"/>
  <c r="G574" i="2"/>
  <c r="I574" i="2"/>
  <c r="K574" i="2"/>
  <c r="C575" i="2"/>
  <c r="E575" i="2"/>
  <c r="G575" i="2"/>
  <c r="I575" i="2"/>
  <c r="K575" i="2"/>
  <c r="C576" i="2"/>
  <c r="E576" i="2"/>
  <c r="G576" i="2"/>
  <c r="I576" i="2"/>
  <c r="K576" i="2"/>
  <c r="C577" i="2"/>
  <c r="E577" i="2"/>
  <c r="G577" i="2"/>
  <c r="I577" i="2"/>
  <c r="K577" i="2"/>
  <c r="C578" i="2"/>
  <c r="E578" i="2"/>
  <c r="G578" i="2"/>
  <c r="I578" i="2"/>
  <c r="K578" i="2"/>
  <c r="C579" i="2"/>
  <c r="E579" i="2"/>
  <c r="G579" i="2"/>
  <c r="I579" i="2"/>
  <c r="K579" i="2"/>
  <c r="C580" i="2"/>
  <c r="E580" i="2"/>
  <c r="G580" i="2"/>
  <c r="I580" i="2"/>
  <c r="K580" i="2"/>
  <c r="C581" i="2"/>
  <c r="E581" i="2"/>
  <c r="G581" i="2"/>
  <c r="I581" i="2"/>
  <c r="K581" i="2"/>
  <c r="C582" i="2"/>
  <c r="E582" i="2"/>
  <c r="G582" i="2"/>
  <c r="I582" i="2"/>
  <c r="K582" i="2"/>
  <c r="C583" i="2"/>
  <c r="E583" i="2"/>
  <c r="G583" i="2"/>
  <c r="I583" i="2"/>
  <c r="K583" i="2"/>
  <c r="C584" i="2"/>
  <c r="E584" i="2"/>
  <c r="G584" i="2"/>
  <c r="I584" i="2"/>
  <c r="K584" i="2"/>
  <c r="C585" i="2"/>
  <c r="E585" i="2"/>
  <c r="G585" i="2"/>
  <c r="I585" i="2"/>
  <c r="K585" i="2"/>
  <c r="C586" i="2"/>
  <c r="E586" i="2"/>
  <c r="G586" i="2"/>
  <c r="I586" i="2"/>
  <c r="K586" i="2"/>
  <c r="C587" i="2"/>
  <c r="E587" i="2"/>
  <c r="G587" i="2"/>
  <c r="I587" i="2"/>
  <c r="K587" i="2"/>
  <c r="C588" i="2"/>
  <c r="E588" i="2"/>
  <c r="G588" i="2"/>
  <c r="I588" i="2"/>
  <c r="K588" i="2"/>
  <c r="C589" i="2"/>
  <c r="E589" i="2"/>
  <c r="G589" i="2"/>
  <c r="I589" i="2"/>
  <c r="K589" i="2"/>
  <c r="C590" i="2"/>
  <c r="E590" i="2"/>
  <c r="G590" i="2"/>
  <c r="I590" i="2"/>
  <c r="K590" i="2"/>
  <c r="C591" i="2"/>
  <c r="E591" i="2"/>
  <c r="G591" i="2"/>
  <c r="I591" i="2"/>
  <c r="K591" i="2"/>
  <c r="C592" i="2"/>
  <c r="E592" i="2"/>
  <c r="G592" i="2"/>
  <c r="I592" i="2"/>
  <c r="K592" i="2"/>
  <c r="C593" i="2"/>
  <c r="E593" i="2"/>
  <c r="G593" i="2"/>
  <c r="I593" i="2"/>
  <c r="K593" i="2"/>
  <c r="C594" i="2"/>
  <c r="E594" i="2"/>
  <c r="G594" i="2"/>
  <c r="I594" i="2"/>
  <c r="K594" i="2"/>
  <c r="C595" i="2"/>
  <c r="E595" i="2"/>
  <c r="G595" i="2"/>
  <c r="I595" i="2"/>
  <c r="K595" i="2"/>
  <c r="C596" i="2"/>
  <c r="E596" i="2"/>
  <c r="G596" i="2"/>
  <c r="I596" i="2"/>
  <c r="K596" i="2"/>
  <c r="C597" i="2"/>
  <c r="E597" i="2"/>
  <c r="G597" i="2"/>
  <c r="I597" i="2"/>
  <c r="K597" i="2"/>
  <c r="C598" i="2"/>
  <c r="E598" i="2"/>
  <c r="G598" i="2"/>
  <c r="I598" i="2"/>
  <c r="K598" i="2"/>
  <c r="C599" i="2"/>
  <c r="E599" i="2"/>
  <c r="G599" i="2"/>
  <c r="I599" i="2"/>
  <c r="K599" i="2"/>
  <c r="C600" i="2"/>
  <c r="E600" i="2"/>
  <c r="G600" i="2"/>
  <c r="I600" i="2"/>
  <c r="K600" i="2"/>
  <c r="C601" i="2"/>
  <c r="E601" i="2"/>
  <c r="G601" i="2"/>
  <c r="I601" i="2"/>
  <c r="K601" i="2"/>
  <c r="C602" i="2"/>
  <c r="E602" i="2"/>
  <c r="G602" i="2"/>
  <c r="I602" i="2"/>
  <c r="K602" i="2"/>
  <c r="C603" i="2"/>
  <c r="E603" i="2"/>
  <c r="G603" i="2"/>
  <c r="I603" i="2"/>
  <c r="K603" i="2"/>
  <c r="C604" i="2"/>
  <c r="E604" i="2"/>
  <c r="G604" i="2"/>
  <c r="I604" i="2"/>
  <c r="K604" i="2"/>
  <c r="C605" i="2"/>
  <c r="E605" i="2"/>
  <c r="G605" i="2"/>
  <c r="I605" i="2"/>
  <c r="K605" i="2"/>
  <c r="C606" i="2"/>
  <c r="E606" i="2"/>
  <c r="G606" i="2"/>
  <c r="I606" i="2"/>
  <c r="K606" i="2"/>
  <c r="C607" i="2"/>
  <c r="E607" i="2"/>
  <c r="G607" i="2"/>
  <c r="I607" i="2"/>
  <c r="K607" i="2"/>
  <c r="C608" i="2"/>
  <c r="E608" i="2"/>
  <c r="G608" i="2"/>
  <c r="I608" i="2"/>
  <c r="K608" i="2"/>
  <c r="C609" i="2"/>
  <c r="E609" i="2"/>
  <c r="G609" i="2"/>
  <c r="I609" i="2"/>
  <c r="K609" i="2"/>
  <c r="C610" i="2"/>
  <c r="E610" i="2"/>
  <c r="G610" i="2"/>
  <c r="I610" i="2"/>
  <c r="K610" i="2"/>
  <c r="C611" i="2"/>
  <c r="E611" i="2"/>
  <c r="G611" i="2"/>
  <c r="I611" i="2"/>
  <c r="K611" i="2"/>
  <c r="C612" i="2"/>
  <c r="E612" i="2"/>
  <c r="G612" i="2"/>
  <c r="I612" i="2"/>
  <c r="K612" i="2"/>
  <c r="C613" i="2"/>
  <c r="E613" i="2"/>
  <c r="G613" i="2"/>
  <c r="I613" i="2"/>
  <c r="K613" i="2"/>
  <c r="C614" i="2"/>
  <c r="E614" i="2"/>
  <c r="G614" i="2"/>
  <c r="I614" i="2"/>
  <c r="K614" i="2"/>
  <c r="C615" i="2"/>
  <c r="E615" i="2"/>
  <c r="G615" i="2"/>
  <c r="I615" i="2"/>
  <c r="K615" i="2"/>
  <c r="C616" i="2"/>
  <c r="E616" i="2"/>
  <c r="G616" i="2"/>
  <c r="I616" i="2"/>
  <c r="K616" i="2"/>
  <c r="C617" i="2"/>
  <c r="E617" i="2"/>
  <c r="G617" i="2"/>
  <c r="I617" i="2"/>
  <c r="K617" i="2"/>
  <c r="C618" i="2"/>
  <c r="E618" i="2"/>
  <c r="G618" i="2"/>
  <c r="I618" i="2"/>
  <c r="K618" i="2"/>
  <c r="C619" i="2"/>
  <c r="E619" i="2"/>
  <c r="G619" i="2"/>
  <c r="I619" i="2"/>
  <c r="K619" i="2"/>
  <c r="C620" i="2"/>
  <c r="E620" i="2"/>
  <c r="G620" i="2"/>
  <c r="I620" i="2"/>
  <c r="K620" i="2"/>
  <c r="C621" i="2"/>
  <c r="E621" i="2"/>
  <c r="G621" i="2"/>
  <c r="I621" i="2"/>
  <c r="K621" i="2"/>
  <c r="C622" i="2"/>
  <c r="E622" i="2"/>
  <c r="G622" i="2"/>
  <c r="I622" i="2"/>
  <c r="K622" i="2"/>
  <c r="C623" i="2"/>
  <c r="E623" i="2"/>
  <c r="G623" i="2"/>
  <c r="I623" i="2"/>
  <c r="K623" i="2"/>
  <c r="C624" i="2"/>
  <c r="E624" i="2"/>
  <c r="G624" i="2"/>
  <c r="I624" i="2"/>
  <c r="K624" i="2"/>
  <c r="C625" i="2"/>
  <c r="E625" i="2"/>
  <c r="G625" i="2"/>
  <c r="I625" i="2"/>
  <c r="K625" i="2"/>
  <c r="C626" i="2"/>
  <c r="E626" i="2"/>
  <c r="G626" i="2"/>
  <c r="I626" i="2"/>
  <c r="K626" i="2"/>
  <c r="C627" i="2"/>
  <c r="E627" i="2"/>
  <c r="G627" i="2"/>
  <c r="I627" i="2"/>
  <c r="K627" i="2"/>
  <c r="C628" i="2"/>
  <c r="E628" i="2"/>
  <c r="G628" i="2"/>
  <c r="I628" i="2"/>
  <c r="K628" i="2"/>
  <c r="C629" i="2"/>
  <c r="E629" i="2"/>
  <c r="G629" i="2"/>
  <c r="I629" i="2"/>
  <c r="K629" i="2"/>
  <c r="C630" i="2"/>
  <c r="E630" i="2"/>
  <c r="G630" i="2"/>
  <c r="I630" i="2"/>
  <c r="K630" i="2"/>
  <c r="C631" i="2"/>
  <c r="E631" i="2"/>
  <c r="G631" i="2"/>
  <c r="I631" i="2"/>
  <c r="K631" i="2"/>
  <c r="C632" i="2"/>
  <c r="E632" i="2"/>
  <c r="G632" i="2"/>
  <c r="I632" i="2"/>
  <c r="K632" i="2"/>
  <c r="C633" i="2"/>
  <c r="E633" i="2"/>
  <c r="G633" i="2"/>
  <c r="I633" i="2"/>
  <c r="K633" i="2"/>
  <c r="C634" i="2"/>
  <c r="E634" i="2"/>
  <c r="G634" i="2"/>
  <c r="I634" i="2"/>
  <c r="K634" i="2"/>
  <c r="C635" i="2"/>
  <c r="E635" i="2"/>
  <c r="G635" i="2"/>
  <c r="I635" i="2"/>
  <c r="K635" i="2"/>
  <c r="C636" i="2"/>
  <c r="E636" i="2"/>
  <c r="G636" i="2"/>
  <c r="I636" i="2"/>
  <c r="K636" i="2"/>
  <c r="C637" i="2"/>
  <c r="E637" i="2"/>
  <c r="G637" i="2"/>
  <c r="I637" i="2"/>
  <c r="K637" i="2"/>
  <c r="C638" i="2"/>
  <c r="E638" i="2"/>
  <c r="G638" i="2"/>
  <c r="I638" i="2"/>
  <c r="K638" i="2"/>
  <c r="C639" i="2"/>
  <c r="E639" i="2"/>
  <c r="G639" i="2"/>
  <c r="I639" i="2"/>
  <c r="K639" i="2"/>
  <c r="C640" i="2"/>
  <c r="E640" i="2"/>
  <c r="G640" i="2"/>
  <c r="I640" i="2"/>
  <c r="K640" i="2"/>
  <c r="C641" i="2"/>
  <c r="E641" i="2"/>
  <c r="G641" i="2"/>
  <c r="I641" i="2"/>
  <c r="K641" i="2"/>
  <c r="C642" i="2"/>
  <c r="E642" i="2"/>
  <c r="G642" i="2"/>
  <c r="I642" i="2"/>
  <c r="K642" i="2"/>
  <c r="C643" i="2"/>
  <c r="E643" i="2"/>
  <c r="G643" i="2"/>
  <c r="I643" i="2"/>
  <c r="K643" i="2"/>
  <c r="C644" i="2"/>
  <c r="E644" i="2"/>
  <c r="G644" i="2"/>
  <c r="I644" i="2"/>
  <c r="K644" i="2"/>
  <c r="C645" i="2"/>
  <c r="E645" i="2"/>
  <c r="G645" i="2"/>
  <c r="I645" i="2"/>
  <c r="K645" i="2"/>
  <c r="C646" i="2"/>
  <c r="E646" i="2"/>
  <c r="G646" i="2"/>
  <c r="I646" i="2"/>
  <c r="K646" i="2"/>
  <c r="C647" i="2"/>
  <c r="E647" i="2"/>
  <c r="G647" i="2"/>
  <c r="I647" i="2"/>
  <c r="K647" i="2"/>
  <c r="C648" i="2"/>
  <c r="E648" i="2"/>
  <c r="G648" i="2"/>
  <c r="I648" i="2"/>
  <c r="K648" i="2"/>
  <c r="C649" i="2"/>
  <c r="E649" i="2"/>
  <c r="G649" i="2"/>
  <c r="I649" i="2"/>
  <c r="K649" i="2"/>
  <c r="C650" i="2"/>
  <c r="E650" i="2"/>
  <c r="G650" i="2"/>
  <c r="I650" i="2"/>
  <c r="K650" i="2"/>
  <c r="Y1161" i="2" l="1"/>
  <c r="Y1167" i="2"/>
  <c r="Y1163" i="2"/>
  <c r="Y1160" i="2"/>
  <c r="Y1157" i="2"/>
  <c r="Y1156" i="2"/>
  <c r="Y1159" i="2"/>
  <c r="Y1164" i="2"/>
  <c r="Y1172" i="2"/>
  <c r="Y1171" i="2"/>
  <c r="Y1168" i="2"/>
  <c r="Y1169" i="2"/>
  <c r="Y1165" i="2"/>
  <c r="Y1162" i="2"/>
  <c r="Y1158" i="2"/>
  <c r="M27" i="12"/>
  <c r="M71" i="12" s="1"/>
  <c r="M102" i="12" s="1"/>
  <c r="Z1170" i="2" s="1"/>
  <c r="Y1170" i="2"/>
  <c r="X1155" i="2"/>
  <c r="W1155" i="2"/>
  <c r="X1145" i="2"/>
  <c r="X1154" i="2"/>
  <c r="X1142" i="2"/>
  <c r="X1143" i="2"/>
  <c r="X1144" i="2"/>
  <c r="X1147" i="2"/>
  <c r="X1148" i="2"/>
  <c r="X1141" i="2"/>
  <c r="X1149" i="2"/>
  <c r="X1153" i="2"/>
  <c r="X1150" i="2"/>
  <c r="X1151" i="2"/>
  <c r="X1152" i="2"/>
  <c r="X1138" i="2"/>
  <c r="X1139" i="2"/>
  <c r="X1140" i="2"/>
  <c r="X1146" i="2"/>
  <c r="W1137" i="2"/>
  <c r="T781" i="2"/>
  <c r="B89" i="12"/>
  <c r="B58" i="12"/>
  <c r="X901" i="2"/>
  <c r="X763" i="2"/>
  <c r="X766" i="2"/>
  <c r="X767" i="2"/>
  <c r="X773" i="2"/>
  <c r="X770" i="2"/>
  <c r="X897" i="2"/>
  <c r="X852" i="2"/>
  <c r="X875" i="2"/>
  <c r="X733" i="2"/>
  <c r="X738" i="2"/>
  <c r="X728" i="2"/>
  <c r="X736" i="2"/>
  <c r="X740" i="2"/>
  <c r="X732" i="2"/>
  <c r="X724" i="2"/>
  <c r="X737" i="2"/>
  <c r="X734" i="2"/>
  <c r="X727" i="2"/>
  <c r="X729" i="2"/>
  <c r="X731" i="2"/>
  <c r="X726" i="2"/>
  <c r="X725" i="2"/>
  <c r="X869" i="2"/>
  <c r="X859" i="2"/>
  <c r="X894" i="2"/>
  <c r="X717" i="2"/>
  <c r="X709" i="2"/>
  <c r="X708" i="2"/>
  <c r="X721" i="2"/>
  <c r="X711" i="2"/>
  <c r="X715" i="2"/>
  <c r="X712" i="2"/>
  <c r="X713" i="2"/>
  <c r="X720" i="2"/>
  <c r="X719" i="2"/>
  <c r="X718" i="2"/>
  <c r="X707" i="2"/>
  <c r="X710" i="2"/>
  <c r="X714" i="2"/>
  <c r="X706" i="2"/>
  <c r="X861" i="2"/>
  <c r="X868" i="2"/>
  <c r="X857" i="2"/>
  <c r="X887" i="2"/>
  <c r="X863" i="2"/>
  <c r="X781" i="2"/>
  <c r="X787" i="2"/>
  <c r="X793" i="2"/>
  <c r="X791" i="2"/>
  <c r="X784" i="2"/>
  <c r="X779" i="2"/>
  <c r="X788" i="2"/>
  <c r="X792" i="2"/>
  <c r="X782" i="2"/>
  <c r="X790" i="2"/>
  <c r="X789" i="2"/>
  <c r="X783" i="2"/>
  <c r="X780" i="2"/>
  <c r="X785" i="2"/>
  <c r="X778" i="2"/>
  <c r="X893" i="2"/>
  <c r="X898" i="2"/>
  <c r="X860" i="2"/>
  <c r="X850" i="2"/>
  <c r="X882" i="2"/>
  <c r="X853" i="2"/>
  <c r="X851" i="2"/>
  <c r="X886" i="2"/>
  <c r="X880" i="2"/>
  <c r="X865" i="2"/>
  <c r="X895" i="2"/>
  <c r="X761" i="2"/>
  <c r="X892" i="2"/>
  <c r="X854" i="2"/>
  <c r="X891" i="2"/>
  <c r="X873" i="2"/>
  <c r="X862" i="2"/>
  <c r="X879" i="2"/>
  <c r="X743" i="2"/>
  <c r="X752" i="2"/>
  <c r="X751" i="2"/>
  <c r="X744" i="2"/>
  <c r="X747" i="2"/>
  <c r="X757" i="2"/>
  <c r="X749" i="2"/>
  <c r="X750" i="2"/>
  <c r="X745" i="2"/>
  <c r="X742" i="2"/>
  <c r="X755" i="2"/>
  <c r="X746" i="2"/>
  <c r="X758" i="2"/>
  <c r="X756" i="2"/>
  <c r="X754" i="2"/>
  <c r="X748" i="2"/>
  <c r="X753" i="2"/>
  <c r="J105" i="12"/>
  <c r="X689" i="2"/>
  <c r="X697" i="2"/>
  <c r="X690" i="2"/>
  <c r="X698" i="2"/>
  <c r="X703" i="2"/>
  <c r="X688" i="2"/>
  <c r="X695" i="2"/>
  <c r="X702" i="2"/>
  <c r="X693" i="2"/>
  <c r="X704" i="2"/>
  <c r="X694" i="2"/>
  <c r="X701" i="2"/>
  <c r="X700" i="2"/>
  <c r="X692" i="2"/>
  <c r="X699" i="2"/>
  <c r="X696" i="2"/>
  <c r="X691" i="2"/>
  <c r="X871" i="2"/>
  <c r="X856" i="2"/>
  <c r="X902" i="2"/>
  <c r="X874" i="2"/>
  <c r="X797" i="2"/>
  <c r="X802" i="2"/>
  <c r="X798" i="2"/>
  <c r="X801" i="2"/>
  <c r="X804" i="2"/>
  <c r="X800" i="2"/>
  <c r="X806" i="2"/>
  <c r="X808" i="2"/>
  <c r="X811" i="2"/>
  <c r="X805" i="2"/>
  <c r="X812" i="2"/>
  <c r="X799" i="2"/>
  <c r="X807" i="2"/>
  <c r="X796" i="2"/>
  <c r="X809" i="2"/>
  <c r="X900" i="2"/>
  <c r="X884" i="2"/>
  <c r="X896" i="2"/>
  <c r="X769" i="2"/>
  <c r="X794" i="2"/>
  <c r="X803" i="2"/>
  <c r="X810" i="2"/>
  <c r="X841" i="2"/>
  <c r="X839" i="2"/>
  <c r="X827" i="2"/>
  <c r="X830" i="2"/>
  <c r="X826" i="2"/>
  <c r="X822" i="2"/>
  <c r="X814" i="2"/>
  <c r="X823" i="2"/>
  <c r="X818" i="2"/>
  <c r="X835" i="2"/>
  <c r="X848" i="2"/>
  <c r="X815" i="2"/>
  <c r="X821" i="2"/>
  <c r="X847" i="2"/>
  <c r="X843" i="2"/>
  <c r="X834" i="2"/>
  <c r="X816" i="2"/>
  <c r="X825" i="2"/>
  <c r="X833" i="2"/>
  <c r="X824" i="2"/>
  <c r="X842" i="2"/>
  <c r="X820" i="2"/>
  <c r="X832" i="2"/>
  <c r="X846" i="2"/>
  <c r="X845" i="2"/>
  <c r="X836" i="2"/>
  <c r="X829" i="2"/>
  <c r="X840" i="2"/>
  <c r="X838" i="2"/>
  <c r="X837" i="2"/>
  <c r="X817" i="2"/>
  <c r="X866" i="2"/>
  <c r="X864" i="2"/>
  <c r="M20" i="12"/>
  <c r="L64" i="12"/>
  <c r="L95" i="12" s="1"/>
  <c r="L53" i="12"/>
  <c r="L84" i="12" s="1"/>
  <c r="M9" i="12"/>
  <c r="M32" i="12"/>
  <c r="M34" i="12" s="1"/>
  <c r="M35" i="12" s="1"/>
  <c r="L54" i="12"/>
  <c r="L85" i="12" s="1"/>
  <c r="M10" i="12"/>
  <c r="L65" i="12"/>
  <c r="L96" i="12" s="1"/>
  <c r="M21" i="12"/>
  <c r="M19" i="12"/>
  <c r="L63" i="12"/>
  <c r="L94" i="12" s="1"/>
  <c r="N31" i="12"/>
  <c r="N38" i="12"/>
  <c r="N39" i="12" s="1"/>
  <c r="L59" i="12"/>
  <c r="L90" i="12" s="1"/>
  <c r="M15" i="12"/>
  <c r="M14" i="12"/>
  <c r="L58" i="12"/>
  <c r="L89" i="12" s="1"/>
  <c r="L56" i="12"/>
  <c r="L87" i="12" s="1"/>
  <c r="M12" i="12"/>
  <c r="K74" i="12"/>
  <c r="K77" i="12"/>
  <c r="X670" i="2" s="1"/>
  <c r="L73" i="12"/>
  <c r="L104" i="12" s="1"/>
  <c r="M29" i="12"/>
  <c r="L70" i="12"/>
  <c r="L101" i="12" s="1"/>
  <c r="M26" i="12"/>
  <c r="L52" i="12"/>
  <c r="L83" i="12" s="1"/>
  <c r="M8" i="12"/>
  <c r="L60" i="12"/>
  <c r="L91" i="12" s="1"/>
  <c r="M16" i="12"/>
  <c r="L68" i="12"/>
  <c r="L99" i="12" s="1"/>
  <c r="M24" i="12"/>
  <c r="L51" i="12"/>
  <c r="L82" i="12" s="1"/>
  <c r="M7" i="12"/>
  <c r="L69" i="12"/>
  <c r="L100" i="12" s="1"/>
  <c r="M25" i="12"/>
  <c r="L50" i="12"/>
  <c r="L81" i="12" s="1"/>
  <c r="M6" i="12"/>
  <c r="L46" i="12"/>
  <c r="M2" i="12"/>
  <c r="M17" i="12"/>
  <c r="L61" i="12"/>
  <c r="L92" i="12" s="1"/>
  <c r="M23" i="12"/>
  <c r="L67" i="12"/>
  <c r="L98" i="12" s="1"/>
  <c r="L66" i="12"/>
  <c r="L97" i="12" s="1"/>
  <c r="M22" i="12"/>
  <c r="L62" i="12"/>
  <c r="L93" i="12" s="1"/>
  <c r="M18" i="12"/>
  <c r="M13" i="12"/>
  <c r="L57" i="12"/>
  <c r="L88" i="12" s="1"/>
  <c r="L47" i="12"/>
  <c r="L78" i="12" s="1"/>
  <c r="M3" i="12"/>
  <c r="L49" i="12"/>
  <c r="L80" i="12" s="1"/>
  <c r="M5" i="12"/>
  <c r="L72" i="12"/>
  <c r="L103" i="12" s="1"/>
  <c r="M28" i="12"/>
  <c r="M4" i="12"/>
  <c r="L48" i="12"/>
  <c r="L79" i="12" s="1"/>
  <c r="M11" i="12"/>
  <c r="L55" i="12"/>
  <c r="L86" i="12" s="1"/>
  <c r="AE649" i="10"/>
  <c r="AF649" i="10" s="1"/>
  <c r="AG644" i="10"/>
  <c r="AG641" i="10"/>
  <c r="AG638" i="10"/>
  <c r="AE634" i="10"/>
  <c r="AF634" i="10" s="1"/>
  <c r="AG630" i="10"/>
  <c r="AE618" i="10"/>
  <c r="AF618" i="10" s="1"/>
  <c r="AG617" i="10"/>
  <c r="AG616" i="10"/>
  <c r="AE606" i="10"/>
  <c r="AF606" i="10" s="1"/>
  <c r="AE605" i="10"/>
  <c r="AF605" i="10" s="1"/>
  <c r="AE604" i="10"/>
  <c r="AF604" i="10" s="1"/>
  <c r="AE603" i="10"/>
  <c r="AF603" i="10" s="1"/>
  <c r="AE602" i="10"/>
  <c r="AF602" i="10" s="1"/>
  <c r="AE601" i="10"/>
  <c r="AF601" i="10" s="1"/>
  <c r="AE600" i="10"/>
  <c r="AF600" i="10" s="1"/>
  <c r="AG596" i="10"/>
  <c r="AG595" i="10"/>
  <c r="AG594" i="10"/>
  <c r="AG593" i="10"/>
  <c r="AG592" i="10"/>
  <c r="AG590" i="10"/>
  <c r="AG578" i="10"/>
  <c r="AG577" i="10"/>
  <c r="AG576" i="10"/>
  <c r="AG565" i="10"/>
  <c r="AG564" i="10"/>
  <c r="AG563" i="10"/>
  <c r="AE542" i="10"/>
  <c r="AF542" i="10" s="1"/>
  <c r="AE541" i="10"/>
  <c r="AF541" i="10" s="1"/>
  <c r="AE537" i="10"/>
  <c r="AF537" i="10" s="1"/>
  <c r="AE533" i="10"/>
  <c r="AF533" i="10" s="1"/>
  <c r="AG532" i="10"/>
  <c r="AG531" i="10"/>
  <c r="AG527" i="10"/>
  <c r="AG526" i="10"/>
  <c r="AG506" i="10"/>
  <c r="AG505" i="10"/>
  <c r="AG504" i="10"/>
  <c r="AG503" i="10"/>
  <c r="AE502" i="10"/>
  <c r="AF502" i="10" s="1"/>
  <c r="AE501" i="10"/>
  <c r="AF501" i="10" s="1"/>
  <c r="AE500" i="10"/>
  <c r="AF500" i="10" s="1"/>
  <c r="AE499" i="10"/>
  <c r="AF499" i="10" s="1"/>
  <c r="AG470" i="10"/>
  <c r="AE469" i="10"/>
  <c r="AF469" i="10" s="1"/>
  <c r="AE468" i="10"/>
  <c r="AF468" i="10" s="1"/>
  <c r="AE467" i="10"/>
  <c r="AF467" i="10" s="1"/>
  <c r="AE466" i="10"/>
  <c r="AF466" i="10" s="1"/>
  <c r="AE465" i="10"/>
  <c r="AF465" i="10" s="1"/>
  <c r="AE464" i="10"/>
  <c r="AF464" i="10" s="1"/>
  <c r="AE463" i="10"/>
  <c r="AF463" i="10" s="1"/>
  <c r="AE462" i="10"/>
  <c r="AF462" i="10" s="1"/>
  <c r="AE461" i="10"/>
  <c r="AF461" i="10" s="1"/>
  <c r="AE460" i="10"/>
  <c r="AF460" i="10" s="1"/>
  <c r="AE459" i="10"/>
  <c r="AF459" i="10" s="1"/>
  <c r="AE458" i="10"/>
  <c r="AF458" i="10" s="1"/>
  <c r="AE457" i="10"/>
  <c r="AF457" i="10" s="1"/>
  <c r="AE434" i="10"/>
  <c r="AF434" i="10" s="1"/>
  <c r="AE433" i="10"/>
  <c r="AF433" i="10" s="1"/>
  <c r="AE432" i="10"/>
  <c r="AF432" i="10" s="1"/>
  <c r="AE429" i="10"/>
  <c r="AF429" i="10" s="1"/>
  <c r="AE428" i="10"/>
  <c r="AF428" i="10" s="1"/>
  <c r="AE427" i="10"/>
  <c r="AF427" i="10" s="1"/>
  <c r="AE426" i="10"/>
  <c r="AF426" i="10" s="1"/>
  <c r="AE425" i="10"/>
  <c r="AF425" i="10" s="1"/>
  <c r="AE424" i="10"/>
  <c r="AF424" i="10" s="1"/>
  <c r="AE423" i="10"/>
  <c r="AF423" i="10" s="1"/>
  <c r="AG422" i="10"/>
  <c r="AE421" i="10"/>
  <c r="AF421" i="10" s="1"/>
  <c r="AG420" i="10"/>
  <c r="AG419" i="10"/>
  <c r="AE418" i="10"/>
  <c r="AG648" i="10"/>
  <c r="AE644" i="10"/>
  <c r="AF644" i="10" s="1"/>
  <c r="AE641" i="10"/>
  <c r="AF641" i="10" s="1"/>
  <c r="AE638" i="10"/>
  <c r="AF638" i="10" s="1"/>
  <c r="AE630" i="10"/>
  <c r="AF630" i="10" s="1"/>
  <c r="AG628" i="10"/>
  <c r="AE617" i="10"/>
  <c r="AF617" i="10" s="1"/>
  <c r="AE616" i="10"/>
  <c r="AG599" i="10"/>
  <c r="AE596" i="10"/>
  <c r="AF596" i="10" s="1"/>
  <c r="AE595" i="10"/>
  <c r="AF595" i="10" s="1"/>
  <c r="AE594" i="10"/>
  <c r="AF594" i="10" s="1"/>
  <c r="AE593" i="10"/>
  <c r="AF593" i="10" s="1"/>
  <c r="AE592" i="10"/>
  <c r="AF592" i="10" s="1"/>
  <c r="AG591" i="10"/>
  <c r="AE590" i="10"/>
  <c r="AF590" i="10" s="1"/>
  <c r="AG589" i="10"/>
  <c r="AE578" i="10"/>
  <c r="AF578" i="10" s="1"/>
  <c r="AE577" i="10"/>
  <c r="AF577" i="10" s="1"/>
  <c r="AE576" i="10"/>
  <c r="AF576" i="10" s="1"/>
  <c r="AG569" i="10"/>
  <c r="AG568" i="10"/>
  <c r="AG567" i="10"/>
  <c r="AG566" i="10"/>
  <c r="AE565" i="10"/>
  <c r="AF565" i="10" s="1"/>
  <c r="AE564" i="10"/>
  <c r="AF564" i="10" s="1"/>
  <c r="AE563" i="10"/>
  <c r="AF563" i="10" s="1"/>
  <c r="AG562" i="10"/>
  <c r="AE532" i="10"/>
  <c r="AF532" i="10" s="1"/>
  <c r="AE531" i="10"/>
  <c r="AF531" i="10" s="1"/>
  <c r="AG530" i="10"/>
  <c r="AG529" i="10"/>
  <c r="AG528" i="10"/>
  <c r="AE527" i="10"/>
  <c r="AF527" i="10" s="1"/>
  <c r="AE526" i="10"/>
  <c r="AE506" i="10"/>
  <c r="AF506" i="10" s="1"/>
  <c r="AE505" i="10"/>
  <c r="AF505" i="10" s="1"/>
  <c r="AE504" i="10"/>
  <c r="AF504" i="10" s="1"/>
  <c r="AE503" i="10"/>
  <c r="AF503" i="10" s="1"/>
  <c r="AG487" i="10"/>
  <c r="AE470" i="10"/>
  <c r="AF470" i="10" s="1"/>
  <c r="AG452" i="10"/>
  <c r="AG451" i="10"/>
  <c r="AG450" i="10"/>
  <c r="AG449" i="10"/>
  <c r="AG448" i="10"/>
  <c r="AG443" i="10"/>
  <c r="AE422" i="10"/>
  <c r="AF422" i="10" s="1"/>
  <c r="AE420" i="10"/>
  <c r="AF420" i="10" s="1"/>
  <c r="AE419" i="10"/>
  <c r="AF419" i="10" s="1"/>
  <c r="AG397" i="10"/>
  <c r="AG380" i="10"/>
  <c r="AG379" i="10"/>
  <c r="AE648" i="10"/>
  <c r="AF648" i="10" s="1"/>
  <c r="AG637" i="10"/>
  <c r="AG629" i="10"/>
  <c r="AE628" i="10"/>
  <c r="AF628" i="10" s="1"/>
  <c r="AG627" i="10"/>
  <c r="AG626" i="10"/>
  <c r="AG624" i="10"/>
  <c r="AG623" i="10"/>
  <c r="AG622" i="10"/>
  <c r="AE599" i="10"/>
  <c r="AF599" i="10" s="1"/>
  <c r="AG598" i="10"/>
  <c r="AE591" i="10"/>
  <c r="AF591" i="10" s="1"/>
  <c r="AE589" i="10"/>
  <c r="AF589" i="10" s="1"/>
  <c r="AG588" i="10"/>
  <c r="AG587" i="10"/>
  <c r="AG586" i="10"/>
  <c r="AG575" i="10"/>
  <c r="AG573" i="10"/>
  <c r="AG572" i="10"/>
  <c r="AG571" i="10"/>
  <c r="AG570" i="10"/>
  <c r="AE569" i="10"/>
  <c r="AF569" i="10" s="1"/>
  <c r="AE568" i="10"/>
  <c r="AF568" i="10" s="1"/>
  <c r="AE567" i="10"/>
  <c r="AF567" i="10" s="1"/>
  <c r="AE566" i="10"/>
  <c r="AF566" i="10" s="1"/>
  <c r="AE562" i="10"/>
  <c r="AE530" i="10"/>
  <c r="AF530" i="10" s="1"/>
  <c r="AE529" i="10"/>
  <c r="AF529" i="10" s="1"/>
  <c r="AE528" i="10"/>
  <c r="AF528" i="10" s="1"/>
  <c r="AG488" i="10"/>
  <c r="AE487" i="10"/>
  <c r="AF487" i="10" s="1"/>
  <c r="AG485" i="10"/>
  <c r="AG484" i="10"/>
  <c r="AE452" i="10"/>
  <c r="AF452" i="10" s="1"/>
  <c r="AE451" i="10"/>
  <c r="AF451" i="10" s="1"/>
  <c r="AE450" i="10"/>
  <c r="AF450" i="10" s="1"/>
  <c r="AE449" i="10"/>
  <c r="AF449" i="10" s="1"/>
  <c r="AE448" i="10"/>
  <c r="AF448" i="10" s="1"/>
  <c r="AG447" i="10"/>
  <c r="AG446" i="10"/>
  <c r="AG445" i="10"/>
  <c r="AG444" i="10"/>
  <c r="AE443" i="10"/>
  <c r="AF443" i="10" s="1"/>
  <c r="AG442" i="10"/>
  <c r="AG441" i="10"/>
  <c r="AG440" i="10"/>
  <c r="AG439" i="10"/>
  <c r="AG438" i="10"/>
  <c r="AG437" i="10"/>
  <c r="AG647" i="10"/>
  <c r="AG643" i="10"/>
  <c r="AE637" i="10"/>
  <c r="AF637" i="10" s="1"/>
  <c r="AG636" i="10"/>
  <c r="AE629" i="10"/>
  <c r="AF629" i="10" s="1"/>
  <c r="AE627" i="10"/>
  <c r="AF627" i="10" s="1"/>
  <c r="AE626" i="10"/>
  <c r="AF626" i="10" s="1"/>
  <c r="AG625" i="10"/>
  <c r="AE624" i="10"/>
  <c r="AF624" i="10" s="1"/>
  <c r="AE623" i="10"/>
  <c r="AF623" i="10" s="1"/>
  <c r="AE622" i="10"/>
  <c r="AF622" i="10" s="1"/>
  <c r="AE598" i="10"/>
  <c r="AE588" i="10"/>
  <c r="AF588" i="10" s="1"/>
  <c r="AE587" i="10"/>
  <c r="AF587" i="10" s="1"/>
  <c r="AE586" i="10"/>
  <c r="AF586" i="10" s="1"/>
  <c r="AG585" i="10"/>
  <c r="AE575" i="10"/>
  <c r="AF575" i="10" s="1"/>
  <c r="AG574" i="10"/>
  <c r="AE573" i="10"/>
  <c r="AF573" i="10" s="1"/>
  <c r="AE572" i="10"/>
  <c r="AF572" i="10" s="1"/>
  <c r="AE571" i="10"/>
  <c r="AF571" i="10" s="1"/>
  <c r="AE570" i="10"/>
  <c r="AF570" i="10" s="1"/>
  <c r="AG544" i="10"/>
  <c r="AE488" i="10"/>
  <c r="AF488" i="10" s="1"/>
  <c r="AG486" i="10"/>
  <c r="AE485" i="10"/>
  <c r="AF485" i="10" s="1"/>
  <c r="AE484" i="10"/>
  <c r="AF484" i="10" s="1"/>
  <c r="AG483" i="10"/>
  <c r="AG482" i="10"/>
  <c r="AG481" i="10"/>
  <c r="AG480" i="10"/>
  <c r="AG477" i="10"/>
  <c r="AG476" i="10"/>
  <c r="AG473" i="10"/>
  <c r="AG472" i="10"/>
  <c r="AE447" i="10"/>
  <c r="AF447" i="10" s="1"/>
  <c r="AE446" i="10"/>
  <c r="AF446" i="10" s="1"/>
  <c r="AE445" i="10"/>
  <c r="AF445" i="10" s="1"/>
  <c r="AE444" i="10"/>
  <c r="AF444" i="10" s="1"/>
  <c r="AE442" i="10"/>
  <c r="AF442" i="10" s="1"/>
  <c r="AE441" i="10"/>
  <c r="AF441" i="10" s="1"/>
  <c r="AE440" i="10"/>
  <c r="AF440" i="10" s="1"/>
  <c r="AE439" i="10"/>
  <c r="AF439" i="10" s="1"/>
  <c r="AE438" i="10"/>
  <c r="AF438" i="10" s="1"/>
  <c r="AE437" i="10"/>
  <c r="AF437" i="10" s="1"/>
  <c r="AG436" i="10"/>
  <c r="AG414" i="10"/>
  <c r="AG413" i="10"/>
  <c r="AG412" i="10"/>
  <c r="AG411" i="10"/>
  <c r="AG410" i="10"/>
  <c r="AG406" i="10"/>
  <c r="AG405" i="10"/>
  <c r="AG402" i="10"/>
  <c r="AE398" i="10"/>
  <c r="AF398" i="10" s="1"/>
  <c r="AE396" i="10"/>
  <c r="AF396" i="10" s="1"/>
  <c r="AE395" i="10"/>
  <c r="AF395" i="10" s="1"/>
  <c r="AE394" i="10"/>
  <c r="AF394" i="10" s="1"/>
  <c r="AG393" i="10"/>
  <c r="AG392" i="10"/>
  <c r="AG391" i="10"/>
  <c r="AG390" i="10"/>
  <c r="AG389" i="10"/>
  <c r="AG385" i="10"/>
  <c r="AG378" i="10"/>
  <c r="AG377" i="10"/>
  <c r="AE647" i="10"/>
  <c r="AF647" i="10" s="1"/>
  <c r="AE643" i="10"/>
  <c r="AF643" i="10" s="1"/>
  <c r="AG640" i="10"/>
  <c r="AE636" i="10"/>
  <c r="AE625" i="10"/>
  <c r="AF625" i="10" s="1"/>
  <c r="AG621" i="10"/>
  <c r="AG614" i="10"/>
  <c r="AG613" i="10"/>
  <c r="AG612" i="10"/>
  <c r="AG611" i="10"/>
  <c r="AG610" i="10"/>
  <c r="AE585" i="10"/>
  <c r="AF585" i="10" s="1"/>
  <c r="AG584" i="10"/>
  <c r="AG583" i="10"/>
  <c r="AG582" i="10"/>
  <c r="AG581" i="10"/>
  <c r="AG580" i="10"/>
  <c r="AE574" i="10"/>
  <c r="AF574" i="10" s="1"/>
  <c r="AG557" i="10"/>
  <c r="AG553" i="10"/>
  <c r="AG552" i="10"/>
  <c r="AG551" i="10"/>
  <c r="AG550" i="10"/>
  <c r="AG549" i="10"/>
  <c r="AG548" i="10"/>
  <c r="AG547" i="10"/>
  <c r="AG546" i="10"/>
  <c r="AG545" i="10"/>
  <c r="AE544" i="10"/>
  <c r="AG524" i="10"/>
  <c r="AG519" i="10"/>
  <c r="AG518" i="10"/>
  <c r="AG509" i="10"/>
  <c r="AE486" i="10"/>
  <c r="AF486" i="10" s="1"/>
  <c r="AE483" i="10"/>
  <c r="AF483" i="10" s="1"/>
  <c r="AE482" i="10"/>
  <c r="AF482" i="10" s="1"/>
  <c r="AE481" i="10"/>
  <c r="AF481" i="10" s="1"/>
  <c r="AE480" i="10"/>
  <c r="AF480" i="10" s="1"/>
  <c r="AG479" i="10"/>
  <c r="AG478" i="10"/>
  <c r="AE477" i="10"/>
  <c r="AF477" i="10" s="1"/>
  <c r="AE476" i="10"/>
  <c r="AF476" i="10" s="1"/>
  <c r="AG475" i="10"/>
  <c r="AG474" i="10"/>
  <c r="AE473" i="10"/>
  <c r="AF473" i="10" s="1"/>
  <c r="AE472" i="10"/>
  <c r="AE436" i="10"/>
  <c r="AG416" i="10"/>
  <c r="AG415" i="10"/>
  <c r="AE414" i="10"/>
  <c r="AF414" i="10" s="1"/>
  <c r="AE413" i="10"/>
  <c r="AF413" i="10" s="1"/>
  <c r="AE412" i="10"/>
  <c r="AF412" i="10" s="1"/>
  <c r="AE411" i="10"/>
  <c r="AF411" i="10" s="1"/>
  <c r="AE410" i="10"/>
  <c r="AF410" i="10" s="1"/>
  <c r="AG409" i="10"/>
  <c r="AG408" i="10"/>
  <c r="AG407" i="10"/>
  <c r="AE406" i="10"/>
  <c r="AF406" i="10" s="1"/>
  <c r="AE405" i="10"/>
  <c r="AF405" i="10" s="1"/>
  <c r="AG404" i="10"/>
  <c r="AG403" i="10"/>
  <c r="AE402" i="10"/>
  <c r="AF402" i="10" s="1"/>
  <c r="AG401" i="10"/>
  <c r="AG400" i="10"/>
  <c r="AE393" i="10"/>
  <c r="AF393" i="10" s="1"/>
  <c r="AE392" i="10"/>
  <c r="AF392" i="10" s="1"/>
  <c r="AE391" i="10"/>
  <c r="AF391" i="10" s="1"/>
  <c r="AE390" i="10"/>
  <c r="AF390" i="10" s="1"/>
  <c r="AE389" i="10"/>
  <c r="AF389" i="10" s="1"/>
  <c r="AG388" i="10"/>
  <c r="AG387" i="10"/>
  <c r="AG386" i="10"/>
  <c r="AE385" i="10"/>
  <c r="AF385" i="10" s="1"/>
  <c r="AG384" i="10"/>
  <c r="AG383" i="10"/>
  <c r="AG382" i="10"/>
  <c r="AE378" i="10"/>
  <c r="AF378" i="10" s="1"/>
  <c r="AE377" i="10"/>
  <c r="AF377" i="10" s="1"/>
  <c r="AG376" i="10"/>
  <c r="AG375" i="10"/>
  <c r="AG374" i="10"/>
  <c r="AG646" i="10"/>
  <c r="AG650" i="10"/>
  <c r="AE646" i="10"/>
  <c r="AF646" i="10" s="1"/>
  <c r="AG645" i="10"/>
  <c r="AE642" i="10"/>
  <c r="AF642" i="10" s="1"/>
  <c r="AG639" i="10"/>
  <c r="AE635" i="10"/>
  <c r="AF635" i="10" s="1"/>
  <c r="AE632" i="10"/>
  <c r="AF632" i="10" s="1"/>
  <c r="AG631" i="10"/>
  <c r="AE620" i="10"/>
  <c r="AF620" i="10" s="1"/>
  <c r="AE619" i="10"/>
  <c r="AF619" i="10" s="1"/>
  <c r="AE609" i="10"/>
  <c r="AF609" i="10" s="1"/>
  <c r="AG608" i="10"/>
  <c r="AG607" i="10"/>
  <c r="AE560" i="10"/>
  <c r="AF560" i="10" s="1"/>
  <c r="AE559" i="10"/>
  <c r="AF559" i="10" s="1"/>
  <c r="AE558" i="10"/>
  <c r="AF558" i="10" s="1"/>
  <c r="AE556" i="10"/>
  <c r="AF556" i="10" s="1"/>
  <c r="AE555" i="10"/>
  <c r="AF555" i="10" s="1"/>
  <c r="AE554" i="10"/>
  <c r="AF554" i="10" s="1"/>
  <c r="AG540" i="10"/>
  <c r="AG539" i="10"/>
  <c r="AG538" i="10"/>
  <c r="AG536" i="10"/>
  <c r="AG535" i="10"/>
  <c r="AG534" i="10"/>
  <c r="AE523" i="10"/>
  <c r="AF523" i="10" s="1"/>
  <c r="AE522" i="10"/>
  <c r="AF522" i="10" s="1"/>
  <c r="AE521" i="10"/>
  <c r="AF521" i="10" s="1"/>
  <c r="AE520" i="10"/>
  <c r="AF520" i="10" s="1"/>
  <c r="AE517" i="10"/>
  <c r="AF517" i="10" s="1"/>
  <c r="AE516" i="10"/>
  <c r="AF516" i="10" s="1"/>
  <c r="AE515" i="10"/>
  <c r="AF515" i="10" s="1"/>
  <c r="AE514" i="10"/>
  <c r="AF514" i="10" s="1"/>
  <c r="AE513" i="10"/>
  <c r="AF513" i="10" s="1"/>
  <c r="AE512" i="10"/>
  <c r="AF512" i="10" s="1"/>
  <c r="AE511" i="10"/>
  <c r="AF511" i="10" s="1"/>
  <c r="AE510" i="10"/>
  <c r="AF510" i="10" s="1"/>
  <c r="AE508" i="10"/>
  <c r="AG498" i="10"/>
  <c r="AG497" i="10"/>
  <c r="AG496" i="10"/>
  <c r="AG495" i="10"/>
  <c r="AG494" i="10"/>
  <c r="AG493" i="10"/>
  <c r="AG492" i="10"/>
  <c r="AG491" i="10"/>
  <c r="AG490" i="10"/>
  <c r="AG456" i="10"/>
  <c r="AG455" i="10"/>
  <c r="AG454" i="10"/>
  <c r="AG431" i="10"/>
  <c r="AG430" i="10"/>
  <c r="AE650" i="10"/>
  <c r="AF650" i="10" s="1"/>
  <c r="AG649" i="10"/>
  <c r="AE645" i="10"/>
  <c r="AF645" i="10" s="1"/>
  <c r="AE639" i="10"/>
  <c r="AF639" i="10" s="1"/>
  <c r="AG634" i="10"/>
  <c r="AE631" i="10"/>
  <c r="AF631" i="10" s="1"/>
  <c r="AG618" i="10"/>
  <c r="AE608" i="10"/>
  <c r="AF608" i="10" s="1"/>
  <c r="AE607" i="10"/>
  <c r="AF607" i="10" s="1"/>
  <c r="AG606" i="10"/>
  <c r="AG605" i="10"/>
  <c r="AG604" i="10"/>
  <c r="AG603" i="10"/>
  <c r="AG602" i="10"/>
  <c r="AG601" i="10"/>
  <c r="AG600" i="10"/>
  <c r="AG542" i="10"/>
  <c r="AG541" i="10"/>
  <c r="AE540" i="10"/>
  <c r="AF540" i="10" s="1"/>
  <c r="AE539" i="10"/>
  <c r="AF539" i="10" s="1"/>
  <c r="AE538" i="10"/>
  <c r="AF538" i="10" s="1"/>
  <c r="AG537" i="10"/>
  <c r="AE536" i="10"/>
  <c r="AF536" i="10" s="1"/>
  <c r="AE535" i="10"/>
  <c r="AF535" i="10" s="1"/>
  <c r="AE534" i="10"/>
  <c r="AF534" i="10" s="1"/>
  <c r="AG533" i="10"/>
  <c r="AG502" i="10"/>
  <c r="AG501" i="10"/>
  <c r="AG500" i="10"/>
  <c r="AG499" i="10"/>
  <c r="AE498" i="10"/>
  <c r="AF498" i="10" s="1"/>
  <c r="AE497" i="10"/>
  <c r="AF497" i="10" s="1"/>
  <c r="AE496" i="10"/>
  <c r="AF496" i="10" s="1"/>
  <c r="AE495" i="10"/>
  <c r="AF495" i="10" s="1"/>
  <c r="AE494" i="10"/>
  <c r="AF494" i="10" s="1"/>
  <c r="AE493" i="10"/>
  <c r="AF493" i="10" s="1"/>
  <c r="AE492" i="10"/>
  <c r="AF492" i="10" s="1"/>
  <c r="AE491" i="10"/>
  <c r="AF491" i="10" s="1"/>
  <c r="AE490" i="10"/>
  <c r="AG469" i="10"/>
  <c r="AG468" i="10"/>
  <c r="AG467" i="10"/>
  <c r="AG466" i="10"/>
  <c r="AG465" i="10"/>
  <c r="AG464" i="10"/>
  <c r="AG463" i="10"/>
  <c r="AG462" i="10"/>
  <c r="AG461" i="10"/>
  <c r="AG460" i="10"/>
  <c r="AG459" i="10"/>
  <c r="AG458" i="10"/>
  <c r="AG457" i="10"/>
  <c r="AE456" i="10"/>
  <c r="AF456" i="10" s="1"/>
  <c r="AE455" i="10"/>
  <c r="AF455" i="10" s="1"/>
  <c r="AE454" i="10"/>
  <c r="AG434" i="10"/>
  <c r="AG433" i="10"/>
  <c r="AG432" i="10"/>
  <c r="AE431" i="10"/>
  <c r="AF431" i="10" s="1"/>
  <c r="AE430" i="10"/>
  <c r="AF430" i="10" s="1"/>
  <c r="AG429" i="10"/>
  <c r="AG428" i="10"/>
  <c r="AG427" i="10"/>
  <c r="AG426" i="10"/>
  <c r="AG425" i="10"/>
  <c r="AG424" i="10"/>
  <c r="AG423" i="10"/>
  <c r="AG421" i="10"/>
  <c r="AG418" i="10"/>
  <c r="AE610" i="10"/>
  <c r="AF610" i="10" s="1"/>
  <c r="AG609" i="10"/>
  <c r="AE583" i="10"/>
  <c r="AF583" i="10" s="1"/>
  <c r="AE550" i="10"/>
  <c r="AF550" i="10" s="1"/>
  <c r="AG511" i="10"/>
  <c r="AE404" i="10"/>
  <c r="AF404" i="10" s="1"/>
  <c r="AG398" i="10"/>
  <c r="AE380" i="10"/>
  <c r="AF380" i="10" s="1"/>
  <c r="AE354" i="10"/>
  <c r="AF354" i="10" s="1"/>
  <c r="AE353" i="10"/>
  <c r="AF353" i="10" s="1"/>
  <c r="AE352" i="10"/>
  <c r="AF352" i="10" s="1"/>
  <c r="AG343" i="10"/>
  <c r="AG342" i="10"/>
  <c r="AG341" i="10"/>
  <c r="AG340" i="10"/>
  <c r="AE339" i="10"/>
  <c r="AF339" i="10" s="1"/>
  <c r="AG338" i="10"/>
  <c r="AG337" i="10"/>
  <c r="AG335" i="10"/>
  <c r="AE326" i="10"/>
  <c r="AF326" i="10" s="1"/>
  <c r="AE325" i="10"/>
  <c r="AF325" i="10" s="1"/>
  <c r="AE324" i="10"/>
  <c r="AF324" i="10" s="1"/>
  <c r="AE323" i="10"/>
  <c r="AF323" i="10" s="1"/>
  <c r="AE311" i="10"/>
  <c r="AF311" i="10" s="1"/>
  <c r="AG254" i="10"/>
  <c r="AG253" i="10"/>
  <c r="AG252" i="10"/>
  <c r="AG251" i="10"/>
  <c r="AG247" i="10"/>
  <c r="AG222" i="10"/>
  <c r="AG221" i="10"/>
  <c r="AE220" i="10"/>
  <c r="AG205" i="10"/>
  <c r="AE204" i="10"/>
  <c r="AF204" i="10" s="1"/>
  <c r="AE203" i="10"/>
  <c r="AF203" i="10" s="1"/>
  <c r="AG202" i="10"/>
  <c r="AG632" i="10"/>
  <c r="AE611" i="10"/>
  <c r="AF611" i="10" s="1"/>
  <c r="AE584" i="10"/>
  <c r="AF584" i="10" s="1"/>
  <c r="AG558" i="10"/>
  <c r="AE551" i="10"/>
  <c r="AF551" i="10" s="1"/>
  <c r="AG520" i="10"/>
  <c r="AG512" i="10"/>
  <c r="AE386" i="10"/>
  <c r="AF386" i="10" s="1"/>
  <c r="AG372" i="10"/>
  <c r="AG371" i="10"/>
  <c r="AG370" i="10"/>
  <c r="AG369" i="10"/>
  <c r="AG368" i="10"/>
  <c r="AG367" i="10"/>
  <c r="AG366" i="10"/>
  <c r="AG365" i="10"/>
  <c r="AG364" i="10"/>
  <c r="AG344" i="10"/>
  <c r="AE343" i="10"/>
  <c r="AF343" i="10" s="1"/>
  <c r="AE342" i="10"/>
  <c r="AF342" i="10" s="1"/>
  <c r="AE341" i="10"/>
  <c r="AF341" i="10" s="1"/>
  <c r="AE340" i="10"/>
  <c r="AF340" i="10" s="1"/>
  <c r="AE338" i="10"/>
  <c r="AF338" i="10" s="1"/>
  <c r="AE337" i="10"/>
  <c r="AF337" i="10" s="1"/>
  <c r="AG336" i="10"/>
  <c r="AE335" i="10"/>
  <c r="AF335" i="10" s="1"/>
  <c r="AG333" i="10"/>
  <c r="AG310" i="10"/>
  <c r="AE254" i="10"/>
  <c r="AF254" i="10" s="1"/>
  <c r="AE253" i="10"/>
  <c r="AF253" i="10" s="1"/>
  <c r="AE252" i="10"/>
  <c r="AF252" i="10" s="1"/>
  <c r="AE251" i="10"/>
  <c r="AF251" i="10" s="1"/>
  <c r="AG250" i="10"/>
  <c r="AG249" i="10"/>
  <c r="AG248" i="10"/>
  <c r="AE247" i="10"/>
  <c r="AF247" i="10" s="1"/>
  <c r="AG246" i="10"/>
  <c r="AG245" i="10"/>
  <c r="AG242" i="10"/>
  <c r="AG241" i="10"/>
  <c r="AG240" i="10"/>
  <c r="AE222" i="10"/>
  <c r="AF222" i="10" s="1"/>
  <c r="AE221" i="10"/>
  <c r="AF221" i="10" s="1"/>
  <c r="AG208" i="10"/>
  <c r="AG207" i="10"/>
  <c r="AG206" i="10"/>
  <c r="AE205" i="10"/>
  <c r="AF205" i="10" s="1"/>
  <c r="AE202" i="10"/>
  <c r="AE612" i="10"/>
  <c r="AF612" i="10" s="1"/>
  <c r="AG559" i="10"/>
  <c r="AE552" i="10"/>
  <c r="AF552" i="10" s="1"/>
  <c r="AG521" i="10"/>
  <c r="AG513" i="10"/>
  <c r="AE415" i="10"/>
  <c r="AF415" i="10" s="1"/>
  <c r="AE387" i="10"/>
  <c r="AF387" i="10" s="1"/>
  <c r="AG373" i="10"/>
  <c r="AE372" i="10"/>
  <c r="AF372" i="10" s="1"/>
  <c r="AE371" i="10"/>
  <c r="AF371" i="10" s="1"/>
  <c r="AE370" i="10"/>
  <c r="AF370" i="10" s="1"/>
  <c r="AE369" i="10"/>
  <c r="AF369" i="10" s="1"/>
  <c r="AE368" i="10"/>
  <c r="AF368" i="10" s="1"/>
  <c r="AE367" i="10"/>
  <c r="AF367" i="10" s="1"/>
  <c r="AE366" i="10"/>
  <c r="AF366" i="10" s="1"/>
  <c r="AE365" i="10"/>
  <c r="AF365" i="10" s="1"/>
  <c r="AE364" i="10"/>
  <c r="AE344" i="10"/>
  <c r="AF344" i="10" s="1"/>
  <c r="AE336" i="10"/>
  <c r="AF336" i="10" s="1"/>
  <c r="AG334" i="10"/>
  <c r="AE333" i="10"/>
  <c r="AF333" i="10" s="1"/>
  <c r="AE310" i="10"/>
  <c r="AG290" i="10"/>
  <c r="AG272" i="10"/>
  <c r="AG271" i="10"/>
  <c r="AG270" i="10"/>
  <c r="AG269" i="10"/>
  <c r="AG268" i="10"/>
  <c r="AE250" i="10"/>
  <c r="AF250" i="10" s="1"/>
  <c r="AE249" i="10"/>
  <c r="AF249" i="10" s="1"/>
  <c r="AE248" i="10"/>
  <c r="AF248" i="10" s="1"/>
  <c r="AE246" i="10"/>
  <c r="AF246" i="10" s="1"/>
  <c r="AE245" i="10"/>
  <c r="AF245" i="10" s="1"/>
  <c r="AG244" i="10"/>
  <c r="AG243" i="10"/>
  <c r="AE242" i="10"/>
  <c r="AF242" i="10" s="1"/>
  <c r="AE241" i="10"/>
  <c r="AF241" i="10" s="1"/>
  <c r="AE240" i="10"/>
  <c r="AF240" i="10" s="1"/>
  <c r="AG239" i="10"/>
  <c r="AG238" i="10"/>
  <c r="AG212" i="10"/>
  <c r="AG209" i="10"/>
  <c r="AE208" i="10"/>
  <c r="AF208" i="10" s="1"/>
  <c r="AE207" i="10"/>
  <c r="AF207" i="10" s="1"/>
  <c r="AE206" i="10"/>
  <c r="AF206" i="10" s="1"/>
  <c r="AG642" i="10"/>
  <c r="AE613" i="10"/>
  <c r="AF613" i="10" s="1"/>
  <c r="AG560" i="10"/>
  <c r="AE553" i="10"/>
  <c r="AF553" i="10" s="1"/>
  <c r="AE545" i="10"/>
  <c r="AF545" i="10" s="1"/>
  <c r="AG522" i="10"/>
  <c r="AG514" i="10"/>
  <c r="AE416" i="10"/>
  <c r="AF416" i="10" s="1"/>
  <c r="AE400" i="10"/>
  <c r="AE388" i="10"/>
  <c r="AF388" i="10" s="1"/>
  <c r="AE374" i="10"/>
  <c r="AF374" i="10" s="1"/>
  <c r="AE373" i="10"/>
  <c r="AF373" i="10" s="1"/>
  <c r="AE334" i="10"/>
  <c r="AF334" i="10" s="1"/>
  <c r="AG332" i="10"/>
  <c r="AG331" i="10"/>
  <c r="AG330" i="10"/>
  <c r="AG329" i="10"/>
  <c r="AG328" i="10"/>
  <c r="AE290" i="10"/>
  <c r="AF290" i="10" s="1"/>
  <c r="AG289" i="10"/>
  <c r="AG288" i="10"/>
  <c r="AE272" i="10"/>
  <c r="AF272" i="10" s="1"/>
  <c r="AE271" i="10"/>
  <c r="AF271" i="10" s="1"/>
  <c r="AE270" i="10"/>
  <c r="AF270" i="10" s="1"/>
  <c r="AE269" i="10"/>
  <c r="AF269" i="10" s="1"/>
  <c r="AE268" i="10"/>
  <c r="AF268" i="10" s="1"/>
  <c r="AG267" i="10"/>
  <c r="AE244" i="10"/>
  <c r="AF244" i="10" s="1"/>
  <c r="AE243" i="10"/>
  <c r="AF243" i="10" s="1"/>
  <c r="AE239" i="10"/>
  <c r="AF239" i="10" s="1"/>
  <c r="AE238" i="10"/>
  <c r="AG218" i="10"/>
  <c r="AG213" i="10"/>
  <c r="AE212" i="10"/>
  <c r="AF212" i="10" s="1"/>
  <c r="AG211" i="10"/>
  <c r="AG210" i="10"/>
  <c r="AE209" i="10"/>
  <c r="AF209" i="10" s="1"/>
  <c r="AG619" i="10"/>
  <c r="AE614" i="10"/>
  <c r="AF614" i="10" s="1"/>
  <c r="AE546" i="10"/>
  <c r="AF546" i="10" s="1"/>
  <c r="AG523" i="10"/>
  <c r="AG515" i="10"/>
  <c r="AE478" i="10"/>
  <c r="AF478" i="10" s="1"/>
  <c r="AE401" i="10"/>
  <c r="AF401" i="10" s="1"/>
  <c r="AG394" i="10"/>
  <c r="AE382" i="10"/>
  <c r="AE375" i="10"/>
  <c r="AF375" i="10" s="1"/>
  <c r="AE332" i="10"/>
  <c r="AF332" i="10" s="1"/>
  <c r="AE331" i="10"/>
  <c r="AF331" i="10" s="1"/>
  <c r="AE330" i="10"/>
  <c r="AF330" i="10" s="1"/>
  <c r="AE329" i="10"/>
  <c r="AF329" i="10" s="1"/>
  <c r="AE328" i="10"/>
  <c r="AE289" i="10"/>
  <c r="AF289" i="10" s="1"/>
  <c r="AE288" i="10"/>
  <c r="AF288" i="10" s="1"/>
  <c r="AG287" i="10"/>
  <c r="AE267" i="10"/>
  <c r="AF267" i="10" s="1"/>
  <c r="AG266" i="10"/>
  <c r="AG265" i="10"/>
  <c r="AG263" i="10"/>
  <c r="AG262" i="10"/>
  <c r="AG261" i="10"/>
  <c r="AG259" i="10"/>
  <c r="AG258" i="10"/>
  <c r="AG257" i="10"/>
  <c r="AG256" i="10"/>
  <c r="AG226" i="10"/>
  <c r="AE218" i="10"/>
  <c r="AF218" i="10" s="1"/>
  <c r="AG217" i="10"/>
  <c r="AG216" i="10"/>
  <c r="AG215" i="10"/>
  <c r="AG214" i="10"/>
  <c r="AE213" i="10"/>
  <c r="AF213" i="10" s="1"/>
  <c r="AE211" i="10"/>
  <c r="AF211" i="10" s="1"/>
  <c r="AE210" i="10"/>
  <c r="AF210" i="10" s="1"/>
  <c r="AG635" i="10"/>
  <c r="AG620" i="10"/>
  <c r="AE580" i="10"/>
  <c r="AG554" i="10"/>
  <c r="AE547" i="10"/>
  <c r="AF547" i="10" s="1"/>
  <c r="AE524" i="10"/>
  <c r="AF524" i="10" s="1"/>
  <c r="AG516" i="10"/>
  <c r="AE509" i="10"/>
  <c r="AF509" i="10" s="1"/>
  <c r="AG508" i="10"/>
  <c r="AE479" i="10"/>
  <c r="AF479" i="10" s="1"/>
  <c r="AE407" i="10"/>
  <c r="AF407" i="10" s="1"/>
  <c r="AG395" i="10"/>
  <c r="AE383" i="10"/>
  <c r="AF383" i="10" s="1"/>
  <c r="AE376" i="10"/>
  <c r="AF376" i="10" s="1"/>
  <c r="AG347" i="10"/>
  <c r="AG346" i="10"/>
  <c r="AG318" i="10"/>
  <c r="AG317" i="10"/>
  <c r="AG316" i="10"/>
  <c r="AG315" i="10"/>
  <c r="AG314" i="10"/>
  <c r="AG313" i="10"/>
  <c r="AG308" i="10"/>
  <c r="AG307" i="10"/>
  <c r="AG306" i="10"/>
  <c r="AG305" i="10"/>
  <c r="AG304" i="10"/>
  <c r="AG303" i="10"/>
  <c r="AG302" i="10"/>
  <c r="AG301" i="10"/>
  <c r="AG300" i="10"/>
  <c r="AG299" i="10"/>
  <c r="AG298" i="10"/>
  <c r="AG297" i="10"/>
  <c r="AG296" i="10"/>
  <c r="AG295" i="10"/>
  <c r="AG294" i="10"/>
  <c r="AG293" i="10"/>
  <c r="AE287" i="10"/>
  <c r="AF287" i="10" s="1"/>
  <c r="AG286" i="10"/>
  <c r="AG285" i="10"/>
  <c r="AE266" i="10"/>
  <c r="AF266" i="10" s="1"/>
  <c r="AE265" i="10"/>
  <c r="AF265" i="10" s="1"/>
  <c r="AG264" i="10"/>
  <c r="AE263" i="10"/>
  <c r="AF263" i="10" s="1"/>
  <c r="AE262" i="10"/>
  <c r="AF262" i="10" s="1"/>
  <c r="AE261" i="10"/>
  <c r="AF261" i="10" s="1"/>
  <c r="AG260" i="10"/>
  <c r="AE259" i="10"/>
  <c r="AF259" i="10" s="1"/>
  <c r="AE258" i="10"/>
  <c r="AF258" i="10" s="1"/>
  <c r="AE257" i="10"/>
  <c r="AF257" i="10" s="1"/>
  <c r="AE256" i="10"/>
  <c r="AG234" i="10"/>
  <c r="AG233" i="10"/>
  <c r="AG232" i="10"/>
  <c r="AG231" i="10"/>
  <c r="AG230" i="10"/>
  <c r="AG229" i="10"/>
  <c r="AG228" i="10"/>
  <c r="AG227" i="10"/>
  <c r="AE226" i="10"/>
  <c r="AF226" i="10" s="1"/>
  <c r="AG225" i="10"/>
  <c r="AG224" i="10"/>
  <c r="AE621" i="10"/>
  <c r="AF621" i="10" s="1"/>
  <c r="AE581" i="10"/>
  <c r="AF581" i="10" s="1"/>
  <c r="AG555" i="10"/>
  <c r="AE548" i="10"/>
  <c r="AF548" i="10" s="1"/>
  <c r="AE518" i="10"/>
  <c r="AF518" i="10" s="1"/>
  <c r="AG517" i="10"/>
  <c r="AE474" i="10"/>
  <c r="AF474" i="10" s="1"/>
  <c r="AE408" i="10"/>
  <c r="AF408" i="10" s="1"/>
  <c r="AE397" i="10"/>
  <c r="AF397" i="10" s="1"/>
  <c r="AG396" i="10"/>
  <c r="AE384" i="10"/>
  <c r="AF384" i="10" s="1"/>
  <c r="AG362" i="10"/>
  <c r="AG361" i="10"/>
  <c r="AG360" i="10"/>
  <c r="AG359" i="10"/>
  <c r="AG358" i="10"/>
  <c r="AG357" i="10"/>
  <c r="AG356" i="10"/>
  <c r="AG355" i="10"/>
  <c r="AG351" i="10"/>
  <c r="AG350" i="10"/>
  <c r="AG349" i="10"/>
  <c r="AG348" i="10"/>
  <c r="AE347" i="10"/>
  <c r="AF347" i="10" s="1"/>
  <c r="AE346" i="10"/>
  <c r="AG322" i="10"/>
  <c r="AG321" i="10"/>
  <c r="AG320" i="10"/>
  <c r="AG319" i="10"/>
  <c r="AE318" i="10"/>
  <c r="AF318" i="10" s="1"/>
  <c r="AE317" i="10"/>
  <c r="AF317" i="10" s="1"/>
  <c r="AE316" i="10"/>
  <c r="AF316" i="10" s="1"/>
  <c r="AE315" i="10"/>
  <c r="AF315" i="10" s="1"/>
  <c r="AE314" i="10"/>
  <c r="AF314" i="10" s="1"/>
  <c r="AE313" i="10"/>
  <c r="AF313" i="10" s="1"/>
  <c r="AG312" i="10"/>
  <c r="AE308" i="10"/>
  <c r="AF308" i="10" s="1"/>
  <c r="AE307" i="10"/>
  <c r="AF307" i="10" s="1"/>
  <c r="AE306" i="10"/>
  <c r="AF306" i="10" s="1"/>
  <c r="AE305" i="10"/>
  <c r="AF305" i="10" s="1"/>
  <c r="AE304" i="10"/>
  <c r="AF304" i="10" s="1"/>
  <c r="AE303" i="10"/>
  <c r="AF303" i="10" s="1"/>
  <c r="AE302" i="10"/>
  <c r="AF302" i="10" s="1"/>
  <c r="AE301" i="10"/>
  <c r="AF301" i="10" s="1"/>
  <c r="AE300" i="10"/>
  <c r="AF300" i="10" s="1"/>
  <c r="AE299" i="10"/>
  <c r="AF299" i="10" s="1"/>
  <c r="AE298" i="10"/>
  <c r="AF298" i="10" s="1"/>
  <c r="AE297" i="10"/>
  <c r="AF297" i="10" s="1"/>
  <c r="AE296" i="10"/>
  <c r="AF296" i="10" s="1"/>
  <c r="AE295" i="10"/>
  <c r="AF295" i="10" s="1"/>
  <c r="AE294" i="10"/>
  <c r="AF294" i="10" s="1"/>
  <c r="AE293" i="10"/>
  <c r="AF293" i="10" s="1"/>
  <c r="AG292" i="10"/>
  <c r="AE286" i="10"/>
  <c r="AF286" i="10" s="1"/>
  <c r="AE285" i="10"/>
  <c r="AF285" i="10" s="1"/>
  <c r="AG284" i="10"/>
  <c r="AG283" i="10"/>
  <c r="AG282" i="10"/>
  <c r="AG281" i="10"/>
  <c r="AG280" i="10"/>
  <c r="AG279" i="10"/>
  <c r="AG278" i="10"/>
  <c r="AG277" i="10"/>
  <c r="AG276" i="10"/>
  <c r="AG275" i="10"/>
  <c r="AG274" i="10"/>
  <c r="AE264" i="10"/>
  <c r="AF264" i="10" s="1"/>
  <c r="AE260" i="10"/>
  <c r="AF260" i="10" s="1"/>
  <c r="AG236" i="10"/>
  <c r="AG235" i="10"/>
  <c r="AE234" i="10"/>
  <c r="AF234" i="10" s="1"/>
  <c r="AE233" i="10"/>
  <c r="AF233" i="10" s="1"/>
  <c r="AE232" i="10"/>
  <c r="AF232" i="10" s="1"/>
  <c r="AE231" i="10"/>
  <c r="AF231" i="10" s="1"/>
  <c r="AE230" i="10"/>
  <c r="AF230" i="10" s="1"/>
  <c r="AE229" i="10"/>
  <c r="AF229" i="10" s="1"/>
  <c r="AE228" i="10"/>
  <c r="AF228" i="10" s="1"/>
  <c r="AE227" i="10"/>
  <c r="AF227" i="10" s="1"/>
  <c r="AE225" i="10"/>
  <c r="AF225" i="10" s="1"/>
  <c r="AE224" i="10"/>
  <c r="AF224" i="10" s="1"/>
  <c r="AG223" i="10"/>
  <c r="AG200" i="10"/>
  <c r="AG199" i="10"/>
  <c r="AG198" i="10"/>
  <c r="AG197" i="10"/>
  <c r="AE357" i="10"/>
  <c r="AF357" i="10" s="1"/>
  <c r="AE349" i="10"/>
  <c r="AF349" i="10" s="1"/>
  <c r="AG324" i="10"/>
  <c r="AE280" i="10"/>
  <c r="AF280" i="10" s="1"/>
  <c r="AE214" i="10"/>
  <c r="AF214" i="10" s="1"/>
  <c r="AG204" i="10"/>
  <c r="AE197" i="10"/>
  <c r="AF197" i="10" s="1"/>
  <c r="AG180" i="10"/>
  <c r="AE156" i="10"/>
  <c r="AF156" i="10" s="1"/>
  <c r="AE155" i="10"/>
  <c r="AF155" i="10" s="1"/>
  <c r="AG145" i="10"/>
  <c r="AG144" i="10"/>
  <c r="AG143" i="10"/>
  <c r="AE142" i="10"/>
  <c r="AF142" i="10" s="1"/>
  <c r="AG128" i="10"/>
  <c r="AG127" i="10"/>
  <c r="AG126" i="10"/>
  <c r="AE125" i="10"/>
  <c r="AF125" i="10" s="1"/>
  <c r="AG99" i="10"/>
  <c r="AG98" i="10"/>
  <c r="AG97" i="10"/>
  <c r="AG96" i="10"/>
  <c r="AE95" i="10"/>
  <c r="AF95" i="10" s="1"/>
  <c r="AE94" i="10"/>
  <c r="AG82" i="10"/>
  <c r="AG81" i="10"/>
  <c r="AG80" i="10"/>
  <c r="AE79" i="10"/>
  <c r="AF79" i="10" s="1"/>
  <c r="AG70" i="10"/>
  <c r="AE52" i="10"/>
  <c r="AF52" i="10" s="1"/>
  <c r="AE51" i="10"/>
  <c r="AF51" i="10" s="1"/>
  <c r="AE50" i="10"/>
  <c r="AF50" i="10" s="1"/>
  <c r="AE49" i="10"/>
  <c r="AF49" i="10" s="1"/>
  <c r="AE48" i="10"/>
  <c r="AF48" i="10" s="1"/>
  <c r="AG47" i="10"/>
  <c r="AG41" i="10"/>
  <c r="AE40" i="10"/>
  <c r="AG20" i="10"/>
  <c r="AE19" i="10"/>
  <c r="AF19" i="10" s="1"/>
  <c r="AE18" i="10"/>
  <c r="AF18" i="10" s="1"/>
  <c r="AE17" i="10"/>
  <c r="AF17" i="10" s="1"/>
  <c r="AE15" i="10"/>
  <c r="AF15" i="10" s="1"/>
  <c r="AE14" i="10"/>
  <c r="AF14" i="10" s="1"/>
  <c r="AG13" i="10"/>
  <c r="AG12" i="10"/>
  <c r="AG11" i="10"/>
  <c r="AG8" i="10"/>
  <c r="AE7" i="10"/>
  <c r="AF7" i="10" s="1"/>
  <c r="AE6" i="10"/>
  <c r="AF6" i="10" s="1"/>
  <c r="AG5" i="10"/>
  <c r="AE4" i="10"/>
  <c r="AE69" i="10"/>
  <c r="AF69" i="10" s="1"/>
  <c r="AG58" i="10"/>
  <c r="AE43" i="10"/>
  <c r="AF43" i="10" s="1"/>
  <c r="AG191" i="10"/>
  <c r="AE185" i="10"/>
  <c r="AF185" i="10" s="1"/>
  <c r="AE177" i="10"/>
  <c r="AF177" i="10" s="1"/>
  <c r="AG164" i="10"/>
  <c r="AE159" i="10"/>
  <c r="AF159" i="10" s="1"/>
  <c r="AE149" i="10"/>
  <c r="AF149" i="10" s="1"/>
  <c r="AG136" i="10"/>
  <c r="AG130" i="10"/>
  <c r="AE89" i="10"/>
  <c r="AF89" i="10" s="1"/>
  <c r="AE34" i="10"/>
  <c r="AF34" i="10" s="1"/>
  <c r="AG26" i="10"/>
  <c r="AE140" i="10"/>
  <c r="AF140" i="10" s="1"/>
  <c r="AE123" i="10"/>
  <c r="AF123" i="10" s="1"/>
  <c r="AE110" i="10"/>
  <c r="AF110" i="10" s="1"/>
  <c r="AG94" i="10"/>
  <c r="AE77" i="10"/>
  <c r="AF77" i="10" s="1"/>
  <c r="AE582" i="10"/>
  <c r="AF582" i="10" s="1"/>
  <c r="AE475" i="10"/>
  <c r="AF475" i="10" s="1"/>
  <c r="AE358" i="10"/>
  <c r="AF358" i="10" s="1"/>
  <c r="AE350" i="10"/>
  <c r="AF350" i="10" s="1"/>
  <c r="AG339" i="10"/>
  <c r="AG325" i="10"/>
  <c r="AE292" i="10"/>
  <c r="AE281" i="10"/>
  <c r="AF281" i="10" s="1"/>
  <c r="AG220" i="10"/>
  <c r="AE215" i="10"/>
  <c r="AF215" i="10" s="1"/>
  <c r="AE198" i="10"/>
  <c r="AF198" i="10" s="1"/>
  <c r="AG182" i="10"/>
  <c r="AG181" i="10"/>
  <c r="AE180" i="10"/>
  <c r="AF180" i="10" s="1"/>
  <c r="AG167" i="10"/>
  <c r="AG166" i="10"/>
  <c r="AG146" i="10"/>
  <c r="AE145" i="10"/>
  <c r="AF145" i="10" s="1"/>
  <c r="AE144" i="10"/>
  <c r="AF144" i="10" s="1"/>
  <c r="AE143" i="10"/>
  <c r="AF143" i="10" s="1"/>
  <c r="AE128" i="10"/>
  <c r="AF128" i="10" s="1"/>
  <c r="AE127" i="10"/>
  <c r="AF127" i="10" s="1"/>
  <c r="AE126" i="10"/>
  <c r="AF126" i="10" s="1"/>
  <c r="AG113" i="10"/>
  <c r="AG100" i="10"/>
  <c r="AE99" i="10"/>
  <c r="AF99" i="10" s="1"/>
  <c r="AE98" i="10"/>
  <c r="AF98" i="10" s="1"/>
  <c r="AE97" i="10"/>
  <c r="AF97" i="10" s="1"/>
  <c r="AE96" i="10"/>
  <c r="AF96" i="10" s="1"/>
  <c r="AG83" i="10"/>
  <c r="AE82" i="10"/>
  <c r="AF82" i="10" s="1"/>
  <c r="AE81" i="10"/>
  <c r="AF81" i="10" s="1"/>
  <c r="AE80" i="10"/>
  <c r="AF80" i="10" s="1"/>
  <c r="AG74" i="10"/>
  <c r="AG71" i="10"/>
  <c r="AE70" i="10"/>
  <c r="AF70" i="10" s="1"/>
  <c r="AG69" i="10"/>
  <c r="AE47" i="10"/>
  <c r="AF47" i="10" s="1"/>
  <c r="AG44" i="10"/>
  <c r="AG43" i="10"/>
  <c r="AG42" i="10"/>
  <c r="AE41" i="10"/>
  <c r="AF41" i="10" s="1"/>
  <c r="AG28" i="10"/>
  <c r="AE20" i="10"/>
  <c r="AF20" i="10" s="1"/>
  <c r="AE13" i="10"/>
  <c r="AF13" i="10" s="1"/>
  <c r="AE12" i="10"/>
  <c r="AF12" i="10" s="1"/>
  <c r="AE11" i="10"/>
  <c r="AF11" i="10" s="1"/>
  <c r="AG10" i="10"/>
  <c r="AG9" i="10"/>
  <c r="AE8" i="10"/>
  <c r="AF8" i="10" s="1"/>
  <c r="AE5" i="10"/>
  <c r="AF5" i="10" s="1"/>
  <c r="AG116" i="10"/>
  <c r="AG115" i="10"/>
  <c r="AG114" i="10"/>
  <c r="AG86" i="10"/>
  <c r="AG85" i="10"/>
  <c r="AG84" i="10"/>
  <c r="AE74" i="10"/>
  <c r="AF74" i="10" s="1"/>
  <c r="AG73" i="10"/>
  <c r="AG60" i="10"/>
  <c r="AG46" i="10"/>
  <c r="AG45" i="10"/>
  <c r="AE44" i="10"/>
  <c r="AF44" i="10" s="1"/>
  <c r="AE42" i="10"/>
  <c r="AF42" i="10" s="1"/>
  <c r="AG29" i="10"/>
  <c r="AE28" i="10"/>
  <c r="AF28" i="10" s="1"/>
  <c r="AE9" i="10"/>
  <c r="AF9" i="10" s="1"/>
  <c r="AE187" i="10"/>
  <c r="AF187" i="10" s="1"/>
  <c r="AE163" i="10"/>
  <c r="AF163" i="10" s="1"/>
  <c r="AE160" i="10"/>
  <c r="AF160" i="10" s="1"/>
  <c r="AG152" i="10"/>
  <c r="AE150" i="10"/>
  <c r="AF150" i="10" s="1"/>
  <c r="AG148" i="10"/>
  <c r="AG138" i="10"/>
  <c r="AG131" i="10"/>
  <c r="AE118" i="10"/>
  <c r="AF118" i="10" s="1"/>
  <c r="AE88" i="10"/>
  <c r="AF88" i="10" s="1"/>
  <c r="AE36" i="10"/>
  <c r="AF36" i="10" s="1"/>
  <c r="AG22" i="10"/>
  <c r="AE141" i="10"/>
  <c r="AF141" i="10" s="1"/>
  <c r="AE133" i="10"/>
  <c r="AF133" i="10" s="1"/>
  <c r="AG79" i="10"/>
  <c r="AE53" i="10"/>
  <c r="AF53" i="10" s="1"/>
  <c r="AG50" i="10"/>
  <c r="AG40" i="10"/>
  <c r="AE359" i="10"/>
  <c r="AF359" i="10" s="1"/>
  <c r="AE351" i="10"/>
  <c r="AF351" i="10" s="1"/>
  <c r="AG326" i="10"/>
  <c r="AE319" i="10"/>
  <c r="AF319" i="10" s="1"/>
  <c r="AE282" i="10"/>
  <c r="AF282" i="10" s="1"/>
  <c r="AE274" i="10"/>
  <c r="AE216" i="10"/>
  <c r="AF216" i="10" s="1"/>
  <c r="AE199" i="10"/>
  <c r="AF199" i="10" s="1"/>
  <c r="AE182" i="10"/>
  <c r="AF182" i="10" s="1"/>
  <c r="AE181" i="10"/>
  <c r="AF181" i="10" s="1"/>
  <c r="AG171" i="10"/>
  <c r="AG170" i="10"/>
  <c r="AG169" i="10"/>
  <c r="AG168" i="10"/>
  <c r="AE167" i="10"/>
  <c r="AF167" i="10" s="1"/>
  <c r="AE166" i="10"/>
  <c r="AE146" i="10"/>
  <c r="AF146" i="10" s="1"/>
  <c r="AE113" i="10"/>
  <c r="AF113" i="10" s="1"/>
  <c r="AG112" i="10"/>
  <c r="AG103" i="10"/>
  <c r="AG102" i="10"/>
  <c r="AG101" i="10"/>
  <c r="AE100" i="10"/>
  <c r="AF100" i="10" s="1"/>
  <c r="AE83" i="10"/>
  <c r="AF83" i="10" s="1"/>
  <c r="AG72" i="10"/>
  <c r="AE71" i="10"/>
  <c r="AF71" i="10" s="1"/>
  <c r="AG61" i="10"/>
  <c r="AG59" i="10"/>
  <c r="AE10" i="10"/>
  <c r="AF10" i="10" s="1"/>
  <c r="AG189" i="10"/>
  <c r="AE178" i="10"/>
  <c r="AF178" i="10" s="1"/>
  <c r="AG157" i="10"/>
  <c r="AG153" i="10"/>
  <c r="AG151" i="10"/>
  <c r="AE135" i="10"/>
  <c r="AF135" i="10" s="1"/>
  <c r="AG132" i="10"/>
  <c r="AE107" i="10"/>
  <c r="AF107" i="10" s="1"/>
  <c r="AE27" i="10"/>
  <c r="AF27" i="10" s="1"/>
  <c r="AG125" i="10"/>
  <c r="AE122" i="10"/>
  <c r="AF122" i="10" s="1"/>
  <c r="AG95" i="10"/>
  <c r="AE55" i="10"/>
  <c r="AF55" i="10" s="1"/>
  <c r="AE403" i="10"/>
  <c r="AF403" i="10" s="1"/>
  <c r="AE360" i="10"/>
  <c r="AF360" i="10" s="1"/>
  <c r="AE320" i="10"/>
  <c r="AF320" i="10" s="1"/>
  <c r="AE283" i="10"/>
  <c r="AF283" i="10" s="1"/>
  <c r="AE275" i="10"/>
  <c r="AF275" i="10" s="1"/>
  <c r="AE217" i="10"/>
  <c r="AF217" i="10" s="1"/>
  <c r="AE200" i="10"/>
  <c r="AF200" i="10" s="1"/>
  <c r="AG179" i="10"/>
  <c r="AG175" i="10"/>
  <c r="AG174" i="10"/>
  <c r="AG173" i="10"/>
  <c r="AG172" i="10"/>
  <c r="AE171" i="10"/>
  <c r="AF171" i="10" s="1"/>
  <c r="AE170" i="10"/>
  <c r="AF170" i="10" s="1"/>
  <c r="AE169" i="10"/>
  <c r="AF169" i="10" s="1"/>
  <c r="AE168" i="10"/>
  <c r="AF168" i="10" s="1"/>
  <c r="AG162" i="10"/>
  <c r="AG158" i="10"/>
  <c r="AG117" i="10"/>
  <c r="AE116" i="10"/>
  <c r="AF116" i="10" s="1"/>
  <c r="AE115" i="10"/>
  <c r="AF115" i="10" s="1"/>
  <c r="AE114" i="10"/>
  <c r="AF114" i="10" s="1"/>
  <c r="AE112" i="10"/>
  <c r="AG104" i="10"/>
  <c r="AE103" i="10"/>
  <c r="AF103" i="10" s="1"/>
  <c r="AE102" i="10"/>
  <c r="AF102" i="10" s="1"/>
  <c r="AE101" i="10"/>
  <c r="AF101" i="10" s="1"/>
  <c r="AG92" i="10"/>
  <c r="AG87" i="10"/>
  <c r="AE86" i="10"/>
  <c r="AF86" i="10" s="1"/>
  <c r="AE85" i="10"/>
  <c r="AF85" i="10" s="1"/>
  <c r="AE84" i="10"/>
  <c r="AF84" i="10" s="1"/>
  <c r="AE73" i="10"/>
  <c r="AF73" i="10" s="1"/>
  <c r="AE72" i="10"/>
  <c r="AF72" i="10" s="1"/>
  <c r="AG68" i="10"/>
  <c r="AG67" i="10"/>
  <c r="AG66" i="10"/>
  <c r="AG65" i="10"/>
  <c r="AG64" i="10"/>
  <c r="AG63" i="10"/>
  <c r="AG62" i="10"/>
  <c r="AE61" i="10"/>
  <c r="AF61" i="10" s="1"/>
  <c r="AE60" i="10"/>
  <c r="AF60" i="10" s="1"/>
  <c r="AE59" i="10"/>
  <c r="AF59" i="10" s="1"/>
  <c r="AE58" i="10"/>
  <c r="AE46" i="10"/>
  <c r="AF46" i="10" s="1"/>
  <c r="AE45" i="10"/>
  <c r="AF45" i="10" s="1"/>
  <c r="AG38" i="10"/>
  <c r="AG32" i="10"/>
  <c r="AG31" i="10"/>
  <c r="AG30" i="10"/>
  <c r="AE29" i="10"/>
  <c r="AF29" i="10" s="1"/>
  <c r="AE188" i="10"/>
  <c r="AF188" i="10" s="1"/>
  <c r="AE186" i="10"/>
  <c r="AF186" i="10" s="1"/>
  <c r="AG184" i="10"/>
  <c r="AE176" i="10"/>
  <c r="AF176" i="10" s="1"/>
  <c r="AE161" i="10"/>
  <c r="AF161" i="10" s="1"/>
  <c r="AE120" i="10"/>
  <c r="AF120" i="10" s="1"/>
  <c r="AE105" i="10"/>
  <c r="AF105" i="10" s="1"/>
  <c r="AE90" i="10"/>
  <c r="AF90" i="10" s="1"/>
  <c r="AG155" i="10"/>
  <c r="AE139" i="10"/>
  <c r="AF139" i="10" s="1"/>
  <c r="AE56" i="10"/>
  <c r="AF56" i="10" s="1"/>
  <c r="AG52" i="10"/>
  <c r="AG49" i="10"/>
  <c r="AE557" i="10"/>
  <c r="AF557" i="10" s="1"/>
  <c r="AG556" i="10"/>
  <c r="AE361" i="10"/>
  <c r="AF361" i="10" s="1"/>
  <c r="AG352" i="10"/>
  <c r="AE321" i="10"/>
  <c r="AF321" i="10" s="1"/>
  <c r="AE284" i="10"/>
  <c r="AF284" i="10" s="1"/>
  <c r="AE276" i="10"/>
  <c r="AF276" i="10" s="1"/>
  <c r="AE235" i="10"/>
  <c r="AF235" i="10" s="1"/>
  <c r="AG188" i="10"/>
  <c r="AG187" i="10"/>
  <c r="AG186" i="10"/>
  <c r="AG185" i="10"/>
  <c r="AE179" i="10"/>
  <c r="AF179" i="10" s="1"/>
  <c r="AG178" i="10"/>
  <c r="AG177" i="10"/>
  <c r="AG176" i="10"/>
  <c r="AE175" i="10"/>
  <c r="AF175" i="10" s="1"/>
  <c r="AE174" i="10"/>
  <c r="AF174" i="10" s="1"/>
  <c r="AE173" i="10"/>
  <c r="AF173" i="10" s="1"/>
  <c r="AE172" i="10"/>
  <c r="AF172" i="10" s="1"/>
  <c r="AG163" i="10"/>
  <c r="AE162" i="10"/>
  <c r="AF162" i="10" s="1"/>
  <c r="AG161" i="10"/>
  <c r="AG160" i="10"/>
  <c r="AG159" i="10"/>
  <c r="AE158" i="10"/>
  <c r="AF158" i="10" s="1"/>
  <c r="AG150" i="10"/>
  <c r="AG149" i="10"/>
  <c r="AG137" i="10"/>
  <c r="AG135" i="10"/>
  <c r="AG120" i="10"/>
  <c r="AG119" i="10"/>
  <c r="AG118" i="10"/>
  <c r="AE117" i="10"/>
  <c r="AF117" i="10" s="1"/>
  <c r="AG107" i="10"/>
  <c r="AG106" i="10"/>
  <c r="AG105" i="10"/>
  <c r="AE104" i="10"/>
  <c r="AF104" i="10" s="1"/>
  <c r="AE92" i="10"/>
  <c r="AF92" i="10" s="1"/>
  <c r="AG91" i="10"/>
  <c r="AG90" i="10"/>
  <c r="AG89" i="10"/>
  <c r="AG88" i="10"/>
  <c r="AE87" i="10"/>
  <c r="AF87" i="10" s="1"/>
  <c r="AE68" i="10"/>
  <c r="AF68" i="10" s="1"/>
  <c r="AE67" i="10"/>
  <c r="AF67" i="10" s="1"/>
  <c r="AE66" i="10"/>
  <c r="AF66" i="10" s="1"/>
  <c r="AE65" i="10"/>
  <c r="AF65" i="10" s="1"/>
  <c r="AE64" i="10"/>
  <c r="AF64" i="10" s="1"/>
  <c r="AE63" i="10"/>
  <c r="AF63" i="10" s="1"/>
  <c r="AE62" i="10"/>
  <c r="AF62" i="10" s="1"/>
  <c r="AE38" i="10"/>
  <c r="AF38" i="10" s="1"/>
  <c r="AG37" i="10"/>
  <c r="AG36" i="10"/>
  <c r="AG35" i="10"/>
  <c r="AG34" i="10"/>
  <c r="AG33" i="10"/>
  <c r="AE32" i="10"/>
  <c r="AF32" i="10" s="1"/>
  <c r="AE31" i="10"/>
  <c r="AF31" i="10" s="1"/>
  <c r="AE30" i="10"/>
  <c r="AF30" i="10" s="1"/>
  <c r="AG27" i="10"/>
  <c r="AE154" i="10"/>
  <c r="AF154" i="10" s="1"/>
  <c r="AG142" i="10"/>
  <c r="AE124" i="10"/>
  <c r="AF124" i="10" s="1"/>
  <c r="AE76" i="10"/>
  <c r="AG51" i="10"/>
  <c r="AG48" i="10"/>
  <c r="AE519" i="10"/>
  <c r="AF519" i="10" s="1"/>
  <c r="AG510" i="10"/>
  <c r="AE379" i="10"/>
  <c r="AF379" i="10" s="1"/>
  <c r="AE362" i="10"/>
  <c r="AF362" i="10" s="1"/>
  <c r="AG353" i="10"/>
  <c r="AE322" i="10"/>
  <c r="AF322" i="10" s="1"/>
  <c r="AE312" i="10"/>
  <c r="AF312" i="10" s="1"/>
  <c r="AG311" i="10"/>
  <c r="AE277" i="10"/>
  <c r="AF277" i="10" s="1"/>
  <c r="AE236" i="10"/>
  <c r="AF236" i="10" s="1"/>
  <c r="AE223" i="10"/>
  <c r="AF223" i="10" s="1"/>
  <c r="AG192" i="10"/>
  <c r="AG190" i="10"/>
  <c r="AE137" i="10"/>
  <c r="AF137" i="10" s="1"/>
  <c r="AG121" i="10"/>
  <c r="AE119" i="10"/>
  <c r="AF119" i="10" s="1"/>
  <c r="AG108" i="10"/>
  <c r="AE106" i="10"/>
  <c r="AF106" i="10" s="1"/>
  <c r="AE91" i="10"/>
  <c r="AF91" i="10" s="1"/>
  <c r="AE37" i="10"/>
  <c r="AF37" i="10" s="1"/>
  <c r="AE35" i="10"/>
  <c r="AF35" i="10" s="1"/>
  <c r="AE33" i="10"/>
  <c r="AF33" i="10" s="1"/>
  <c r="AG23" i="10"/>
  <c r="AE109" i="10"/>
  <c r="AF109" i="10" s="1"/>
  <c r="AE640" i="10"/>
  <c r="AF640" i="10" s="1"/>
  <c r="AE549" i="10"/>
  <c r="AF549" i="10" s="1"/>
  <c r="AE409" i="10"/>
  <c r="AF409" i="10" s="1"/>
  <c r="AE355" i="10"/>
  <c r="AF355" i="10" s="1"/>
  <c r="AG354" i="10"/>
  <c r="AE278" i="10"/>
  <c r="AF278" i="10" s="1"/>
  <c r="AG196" i="10"/>
  <c r="AG195" i="10"/>
  <c r="AG194" i="10"/>
  <c r="AG193" i="10"/>
  <c r="AE192" i="10"/>
  <c r="AF192" i="10" s="1"/>
  <c r="AE191" i="10"/>
  <c r="AF191" i="10" s="1"/>
  <c r="AE190" i="10"/>
  <c r="AF190" i="10" s="1"/>
  <c r="AE189" i="10"/>
  <c r="AF189" i="10" s="1"/>
  <c r="AE184" i="10"/>
  <c r="AE164" i="10"/>
  <c r="AF164" i="10" s="1"/>
  <c r="AE157" i="10"/>
  <c r="AF157" i="10" s="1"/>
  <c r="AG154" i="10"/>
  <c r="AE153" i="10"/>
  <c r="AF153" i="10" s="1"/>
  <c r="AE152" i="10"/>
  <c r="AF152" i="10" s="1"/>
  <c r="AE151" i="10"/>
  <c r="AF151" i="10" s="1"/>
  <c r="AE148" i="10"/>
  <c r="AG141" i="10"/>
  <c r="AG140" i="10"/>
  <c r="AG139" i="10"/>
  <c r="AE138" i="10"/>
  <c r="AF138" i="10" s="1"/>
  <c r="AE136" i="10"/>
  <c r="AF136" i="10" s="1"/>
  <c r="AG134" i="10"/>
  <c r="AG133" i="10"/>
  <c r="AE132" i="10"/>
  <c r="AF132" i="10" s="1"/>
  <c r="AE131" i="10"/>
  <c r="AF131" i="10" s="1"/>
  <c r="AE130" i="10"/>
  <c r="AG124" i="10"/>
  <c r="AG123" i="10"/>
  <c r="AG122" i="10"/>
  <c r="AE121" i="10"/>
  <c r="AF121" i="10" s="1"/>
  <c r="AG110" i="10"/>
  <c r="AG109" i="10"/>
  <c r="AE108" i="10"/>
  <c r="AF108" i="10" s="1"/>
  <c r="AG78" i="10"/>
  <c r="AG77" i="10"/>
  <c r="AG76" i="10"/>
  <c r="AG56" i="10"/>
  <c r="AG55" i="10"/>
  <c r="AG54" i="10"/>
  <c r="AG53" i="10"/>
  <c r="AE26" i="10"/>
  <c r="AF26" i="10" s="1"/>
  <c r="AG25" i="10"/>
  <c r="AG24" i="10"/>
  <c r="AE23" i="10"/>
  <c r="AF23" i="10" s="1"/>
  <c r="AE22" i="10"/>
  <c r="AG16" i="10"/>
  <c r="AE356" i="10"/>
  <c r="AF356" i="10" s="1"/>
  <c r="AE348" i="10"/>
  <c r="AF348" i="10" s="1"/>
  <c r="AG323" i="10"/>
  <c r="AE279" i="10"/>
  <c r="AF279" i="10" s="1"/>
  <c r="AG203" i="10"/>
  <c r="AE196" i="10"/>
  <c r="AF196" i="10" s="1"/>
  <c r="AE195" i="10"/>
  <c r="AF195" i="10" s="1"/>
  <c r="AE194" i="10"/>
  <c r="AF194" i="10" s="1"/>
  <c r="AE193" i="10"/>
  <c r="AF193" i="10" s="1"/>
  <c r="AG156" i="10"/>
  <c r="AE134" i="10"/>
  <c r="AF134" i="10" s="1"/>
  <c r="AE78" i="10"/>
  <c r="AF78" i="10" s="1"/>
  <c r="AE54" i="10"/>
  <c r="AF54" i="10" s="1"/>
  <c r="AE16" i="10"/>
  <c r="AF16" i="10" s="1"/>
  <c r="AG15" i="10"/>
  <c r="AG14" i="10"/>
  <c r="AG6" i="10"/>
  <c r="AE24" i="10"/>
  <c r="AF24" i="10" s="1"/>
  <c r="AG17" i="10"/>
  <c r="AG7" i="10"/>
  <c r="AE25" i="10"/>
  <c r="AF25" i="10" s="1"/>
  <c r="AG18" i="10"/>
  <c r="AG19" i="10"/>
  <c r="AG4" i="10"/>
  <c r="AG12" i="2"/>
  <c r="AE66" i="2"/>
  <c r="AG614" i="2"/>
  <c r="AG643" i="2"/>
  <c r="AG23" i="2"/>
  <c r="AG455" i="2"/>
  <c r="AG605" i="2"/>
  <c r="AG594" i="2"/>
  <c r="AG585" i="2"/>
  <c r="AG575" i="2"/>
  <c r="AG566" i="2"/>
  <c r="AG556" i="2"/>
  <c r="AG547" i="2"/>
  <c r="AG537" i="2"/>
  <c r="AG527" i="2"/>
  <c r="AG517" i="2"/>
  <c r="AG508" i="2"/>
  <c r="AG498" i="2"/>
  <c r="AG488" i="2"/>
  <c r="AG479" i="2"/>
  <c r="AG469" i="2"/>
  <c r="AG459" i="2"/>
  <c r="AG449" i="2"/>
  <c r="AG440" i="2"/>
  <c r="AG430" i="2"/>
  <c r="AG421" i="2"/>
  <c r="AG411" i="2"/>
  <c r="AG402" i="2"/>
  <c r="AG391" i="2"/>
  <c r="AG382" i="2"/>
  <c r="AG372" i="2"/>
  <c r="AG362" i="2"/>
  <c r="AG353" i="2"/>
  <c r="AG343" i="2"/>
  <c r="AG334" i="2"/>
  <c r="AG323" i="2"/>
  <c r="AG314" i="2"/>
  <c r="AG304" i="2"/>
  <c r="AG295" i="2"/>
  <c r="AG285" i="2"/>
  <c r="AG276" i="2"/>
  <c r="AG266" i="2"/>
  <c r="AG256" i="2"/>
  <c r="AG246" i="2"/>
  <c r="AG236" i="2"/>
  <c r="AG227" i="2"/>
  <c r="AG217" i="2"/>
  <c r="AG208" i="2"/>
  <c r="AG198" i="2"/>
  <c r="AG188" i="2"/>
  <c r="AG178" i="2"/>
  <c r="AG169" i="2"/>
  <c r="AG159" i="2"/>
  <c r="AG150" i="2"/>
  <c r="AG140" i="2"/>
  <c r="AG131" i="2"/>
  <c r="AG120" i="2"/>
  <c r="AG110" i="2"/>
  <c r="AG101" i="2"/>
  <c r="AG91" i="2"/>
  <c r="AG82" i="2"/>
  <c r="AG72" i="2"/>
  <c r="AG63" i="2"/>
  <c r="AG52" i="2"/>
  <c r="AG43" i="2"/>
  <c r="AG33" i="2"/>
  <c r="AG24" i="2"/>
  <c r="AG14" i="2"/>
  <c r="AG5" i="2"/>
  <c r="AG624" i="2"/>
  <c r="AG642" i="2"/>
  <c r="AG632" i="2"/>
  <c r="AG623" i="2"/>
  <c r="AG613" i="2"/>
  <c r="AG603" i="2"/>
  <c r="AG593" i="2"/>
  <c r="AG584" i="2"/>
  <c r="AG574" i="2"/>
  <c r="AG565" i="2"/>
  <c r="AG555" i="2"/>
  <c r="AG546" i="2"/>
  <c r="AG535" i="2"/>
  <c r="AG526" i="2"/>
  <c r="AG516" i="2"/>
  <c r="AG506" i="2"/>
  <c r="AG497" i="2"/>
  <c r="AG487" i="2"/>
  <c r="AG478" i="2"/>
  <c r="AG467" i="2"/>
  <c r="AG458" i="2"/>
  <c r="AG448" i="2"/>
  <c r="AG439" i="2"/>
  <c r="AG429" i="2"/>
  <c r="AG420" i="2"/>
  <c r="AG410" i="2"/>
  <c r="AG400" i="2"/>
  <c r="AG390" i="2"/>
  <c r="AG380" i="2"/>
  <c r="AG371" i="2"/>
  <c r="AG361" i="2"/>
  <c r="AG352" i="2"/>
  <c r="AG342" i="2"/>
  <c r="AG332" i="2"/>
  <c r="AG322" i="2"/>
  <c r="AG313" i="2"/>
  <c r="AG303" i="2"/>
  <c r="AG294" i="2"/>
  <c r="AG284" i="2"/>
  <c r="AG275" i="2"/>
  <c r="AG264" i="2"/>
  <c r="AG254" i="2"/>
  <c r="AG245" i="2"/>
  <c r="AG235" i="2"/>
  <c r="AG226" i="2"/>
  <c r="AG216" i="2"/>
  <c r="AG207" i="2"/>
  <c r="AG196" i="2"/>
  <c r="AG187" i="2"/>
  <c r="AG177" i="2"/>
  <c r="AG168" i="2"/>
  <c r="AG158" i="2"/>
  <c r="AG149" i="2"/>
  <c r="AG139" i="2"/>
  <c r="AG128" i="2"/>
  <c r="AG119" i="2"/>
  <c r="AG109" i="2"/>
  <c r="AG100" i="2"/>
  <c r="AG90" i="2"/>
  <c r="AG81" i="2"/>
  <c r="AG71" i="2"/>
  <c r="AG61" i="2"/>
  <c r="AG51" i="2"/>
  <c r="AG42" i="2"/>
  <c r="AG32" i="2"/>
  <c r="AG13" i="2"/>
  <c r="AG4" i="2"/>
  <c r="AG650" i="2"/>
  <c r="AG641" i="2"/>
  <c r="AG631" i="2"/>
  <c r="AG622" i="2"/>
  <c r="AG611" i="2"/>
  <c r="AG602" i="2"/>
  <c r="AG592" i="2"/>
  <c r="AG583" i="2"/>
  <c r="AG573" i="2"/>
  <c r="AG564" i="2"/>
  <c r="AG554" i="2"/>
  <c r="AG544" i="2"/>
  <c r="AG534" i="2"/>
  <c r="AG524" i="2"/>
  <c r="AG515" i="2"/>
  <c r="AG505" i="2"/>
  <c r="AG496" i="2"/>
  <c r="AG486" i="2"/>
  <c r="AG476" i="2"/>
  <c r="AG466" i="2"/>
  <c r="AG457" i="2"/>
  <c r="AG447" i="2"/>
  <c r="AG438" i="2"/>
  <c r="AG428" i="2"/>
  <c r="AG419" i="2"/>
  <c r="AG408" i="2"/>
  <c r="AG398" i="2"/>
  <c r="AG389" i="2"/>
  <c r="AG379" i="2"/>
  <c r="AG370" i="2"/>
  <c r="AG360" i="2"/>
  <c r="AG351" i="2"/>
  <c r="AG340" i="2"/>
  <c r="AG331" i="2"/>
  <c r="AG321" i="2"/>
  <c r="AG312" i="2"/>
  <c r="AG302" i="2"/>
  <c r="AG293" i="2"/>
  <c r="AG283" i="2"/>
  <c r="AG272" i="2"/>
  <c r="AG263" i="2"/>
  <c r="AG253" i="2"/>
  <c r="AG244" i="2"/>
  <c r="AG234" i="2"/>
  <c r="AG225" i="2"/>
  <c r="AG215" i="2"/>
  <c r="AG205" i="2"/>
  <c r="AG195" i="2"/>
  <c r="AG186" i="2"/>
  <c r="AG176" i="2"/>
  <c r="AG167" i="2"/>
  <c r="AG157" i="2"/>
  <c r="AG148" i="2"/>
  <c r="AG137" i="2"/>
  <c r="AG127" i="2"/>
  <c r="AG118" i="2"/>
  <c r="AG108" i="2"/>
  <c r="AG99" i="2"/>
  <c r="AG89" i="2"/>
  <c r="AG80" i="2"/>
  <c r="AG69" i="2"/>
  <c r="AG60" i="2"/>
  <c r="AG50" i="2"/>
  <c r="AG41" i="2"/>
  <c r="AG31" i="2"/>
  <c r="AG22" i="2"/>
  <c r="AG11" i="2"/>
  <c r="AG19" i="2"/>
  <c r="AG28" i="2"/>
  <c r="AG36" i="2"/>
  <c r="AG45" i="2"/>
  <c r="AG53" i="2"/>
  <c r="AG62" i="2"/>
  <c r="AG70" i="2"/>
  <c r="AG79" i="2"/>
  <c r="AG87" i="2"/>
  <c r="AG96" i="2"/>
  <c r="AG104" i="2"/>
  <c r="AG113" i="2"/>
  <c r="AG121" i="2"/>
  <c r="AG130" i="2"/>
  <c r="AG138" i="2"/>
  <c r="AG146" i="2"/>
  <c r="AG155" i="2"/>
  <c r="AG163" i="2"/>
  <c r="AG172" i="2"/>
  <c r="AG180" i="2"/>
  <c r="AG189" i="2"/>
  <c r="AG197" i="2"/>
  <c r="AG206" i="2"/>
  <c r="AG214" i="2"/>
  <c r="AG223" i="2"/>
  <c r="AG231" i="2"/>
  <c r="AG240" i="2"/>
  <c r="AG248" i="2"/>
  <c r="AG257" i="2"/>
  <c r="AG265" i="2"/>
  <c r="AG274" i="2"/>
  <c r="AG282" i="2"/>
  <c r="AG290" i="2"/>
  <c r="AG299" i="2"/>
  <c r="AG307" i="2"/>
  <c r="AG316" i="2"/>
  <c r="AG324" i="2"/>
  <c r="AG333" i="2"/>
  <c r="AG341" i="2"/>
  <c r="AG350" i="2"/>
  <c r="AG358" i="2"/>
  <c r="AG367" i="2"/>
  <c r="AG375" i="2"/>
  <c r="AG384" i="2"/>
  <c r="AG392" i="2"/>
  <c r="AG401" i="2"/>
  <c r="AG409" i="2"/>
  <c r="AG418" i="2"/>
  <c r="AG426" i="2"/>
  <c r="AG434" i="2"/>
  <c r="AG443" i="2"/>
  <c r="AG451" i="2"/>
  <c r="AG460" i="2"/>
  <c r="AG468" i="2"/>
  <c r="AG477" i="2"/>
  <c r="AG485" i="2"/>
  <c r="AG494" i="2"/>
  <c r="AG502" i="2"/>
  <c r="AG511" i="2"/>
  <c r="AG519" i="2"/>
  <c r="AG528" i="2"/>
  <c r="AG536" i="2"/>
  <c r="AG545" i="2"/>
  <c r="AG553" i="2"/>
  <c r="AG562" i="2"/>
  <c r="AG570" i="2"/>
  <c r="AG578" i="2"/>
  <c r="AG587" i="2"/>
  <c r="AG595" i="2"/>
  <c r="AG604" i="2"/>
  <c r="AG612" i="2"/>
  <c r="AG621" i="2"/>
  <c r="AG629" i="2"/>
  <c r="AG638" i="2"/>
  <c r="AG646" i="2"/>
  <c r="AG649" i="2"/>
  <c r="AG640" i="2"/>
  <c r="AG630" i="2"/>
  <c r="AG620" i="2"/>
  <c r="AG610" i="2"/>
  <c r="AG601" i="2"/>
  <c r="AG591" i="2"/>
  <c r="AG582" i="2"/>
  <c r="AG572" i="2"/>
  <c r="AG563" i="2"/>
  <c r="AG552" i="2"/>
  <c r="AG542" i="2"/>
  <c r="AG533" i="2"/>
  <c r="AG523" i="2"/>
  <c r="AG514" i="2"/>
  <c r="AG504" i="2"/>
  <c r="AG495" i="2"/>
  <c r="AG484" i="2"/>
  <c r="AG475" i="2"/>
  <c r="AG465" i="2"/>
  <c r="AG456" i="2"/>
  <c r="AG446" i="2"/>
  <c r="AG437" i="2"/>
  <c r="AG427" i="2"/>
  <c r="AG416" i="2"/>
  <c r="AG407" i="2"/>
  <c r="AG397" i="2"/>
  <c r="AG388" i="2"/>
  <c r="AG378" i="2"/>
  <c r="AG369" i="2"/>
  <c r="AG359" i="2"/>
  <c r="AG349" i="2"/>
  <c r="AG339" i="2"/>
  <c r="AG330" i="2"/>
  <c r="AG320" i="2"/>
  <c r="AG311" i="2"/>
  <c r="AG301" i="2"/>
  <c r="AG292" i="2"/>
  <c r="AG281" i="2"/>
  <c r="AG271" i="2"/>
  <c r="AG262" i="2"/>
  <c r="AG252" i="2"/>
  <c r="AG243" i="2"/>
  <c r="AG233" i="2"/>
  <c r="AG224" i="2"/>
  <c r="AG213" i="2"/>
  <c r="AG204" i="2"/>
  <c r="AG194" i="2"/>
  <c r="AG185" i="2"/>
  <c r="AG175" i="2"/>
  <c r="AG166" i="2"/>
  <c r="AG156" i="2"/>
  <c r="AG145" i="2"/>
  <c r="AG136" i="2"/>
  <c r="AG126" i="2"/>
  <c r="AG117" i="2"/>
  <c r="AG107" i="2"/>
  <c r="AG98" i="2"/>
  <c r="AG88" i="2"/>
  <c r="AG78" i="2"/>
  <c r="AG68" i="2"/>
  <c r="AG59" i="2"/>
  <c r="AG49" i="2"/>
  <c r="AG40" i="2"/>
  <c r="AG30" i="2"/>
  <c r="AG20" i="2"/>
  <c r="AG10" i="2"/>
  <c r="AG648" i="2"/>
  <c r="AG639" i="2"/>
  <c r="AG628" i="2"/>
  <c r="AG619" i="2"/>
  <c r="AG609" i="2"/>
  <c r="AG600" i="2"/>
  <c r="AG590" i="2"/>
  <c r="AG581" i="2"/>
  <c r="AG571" i="2"/>
  <c r="AG560" i="2"/>
  <c r="AG551" i="2"/>
  <c r="AG541" i="2"/>
  <c r="AG532" i="2"/>
  <c r="AG522" i="2"/>
  <c r="AG513" i="2"/>
  <c r="AG503" i="2"/>
  <c r="AG493" i="2"/>
  <c r="AG483" i="2"/>
  <c r="AG474" i="2"/>
  <c r="AG464" i="2"/>
  <c r="AG445" i="2"/>
  <c r="AG436" i="2"/>
  <c r="AG425" i="2"/>
  <c r="AG415" i="2"/>
  <c r="AG406" i="2"/>
  <c r="AG396" i="2"/>
  <c r="AG387" i="2"/>
  <c r="AG377" i="2"/>
  <c r="AG368" i="2"/>
  <c r="AG357" i="2"/>
  <c r="AG348" i="2"/>
  <c r="AG338" i="2"/>
  <c r="AG329" i="2"/>
  <c r="AG319" i="2"/>
  <c r="AG310" i="2"/>
  <c r="AG300" i="2"/>
  <c r="AG289" i="2"/>
  <c r="AG280" i="2"/>
  <c r="AG270" i="2"/>
  <c r="AG261" i="2"/>
  <c r="AG251" i="2"/>
  <c r="AG242" i="2"/>
  <c r="AG232" i="2"/>
  <c r="AG222" i="2"/>
  <c r="AG212" i="2"/>
  <c r="AG203" i="2"/>
  <c r="AG193" i="2"/>
  <c r="AG184" i="2"/>
  <c r="AG174" i="2"/>
  <c r="AG164" i="2"/>
  <c r="AG154" i="2"/>
  <c r="AG144" i="2"/>
  <c r="AG135" i="2"/>
  <c r="AG125" i="2"/>
  <c r="AG116" i="2"/>
  <c r="AG106" i="2"/>
  <c r="AG97" i="2"/>
  <c r="AG86" i="2"/>
  <c r="AG77" i="2"/>
  <c r="AG67" i="2"/>
  <c r="AG58" i="2"/>
  <c r="AG48" i="2"/>
  <c r="AG38" i="2"/>
  <c r="AG29" i="2"/>
  <c r="AG18" i="2"/>
  <c r="AG9" i="2"/>
  <c r="AG634" i="2"/>
  <c r="AG647" i="2"/>
  <c r="AG637" i="2"/>
  <c r="AG627" i="2"/>
  <c r="AG618" i="2"/>
  <c r="AG608" i="2"/>
  <c r="AG599" i="2"/>
  <c r="AG589" i="2"/>
  <c r="AG580" i="2"/>
  <c r="AG569" i="2"/>
  <c r="AG559" i="2"/>
  <c r="AG550" i="2"/>
  <c r="AG540" i="2"/>
  <c r="AG531" i="2"/>
  <c r="AG521" i="2"/>
  <c r="AG512" i="2"/>
  <c r="AG501" i="2"/>
  <c r="AG492" i="2"/>
  <c r="AG482" i="2"/>
  <c r="AG473" i="2"/>
  <c r="AG463" i="2"/>
  <c r="AG454" i="2"/>
  <c r="AG444" i="2"/>
  <c r="AG433" i="2"/>
  <c r="AG424" i="2"/>
  <c r="AG414" i="2"/>
  <c r="AG405" i="2"/>
  <c r="AG395" i="2"/>
  <c r="AG386" i="2"/>
  <c r="AG376" i="2"/>
  <c r="AG366" i="2"/>
  <c r="AG356" i="2"/>
  <c r="AG347" i="2"/>
  <c r="AG337" i="2"/>
  <c r="AG328" i="2"/>
  <c r="AG318" i="2"/>
  <c r="AG308" i="2"/>
  <c r="AG298" i="2"/>
  <c r="AG288" i="2"/>
  <c r="AG279" i="2"/>
  <c r="AG269" i="2"/>
  <c r="AG260" i="2"/>
  <c r="AG250" i="2"/>
  <c r="AG241" i="2"/>
  <c r="AG230" i="2"/>
  <c r="AG221" i="2"/>
  <c r="AG211" i="2"/>
  <c r="AG202" i="2"/>
  <c r="AG192" i="2"/>
  <c r="AG182" i="2"/>
  <c r="AG173" i="2"/>
  <c r="AG162" i="2"/>
  <c r="AG153" i="2"/>
  <c r="AG143" i="2"/>
  <c r="AG134" i="2"/>
  <c r="AG124" i="2"/>
  <c r="AG115" i="2"/>
  <c r="AG105" i="2"/>
  <c r="AG95" i="2"/>
  <c r="AG85" i="2"/>
  <c r="AG76" i="2"/>
  <c r="AG66" i="2"/>
  <c r="AG56" i="2"/>
  <c r="AG47" i="2"/>
  <c r="AG37" i="2"/>
  <c r="AG27" i="2"/>
  <c r="AG17" i="2"/>
  <c r="AG8" i="2"/>
  <c r="AG645" i="2"/>
  <c r="AG636" i="2"/>
  <c r="AG626" i="2"/>
  <c r="AG617" i="2"/>
  <c r="AG607" i="2"/>
  <c r="AG598" i="2"/>
  <c r="AG588" i="2"/>
  <c r="AG577" i="2"/>
  <c r="AG568" i="2"/>
  <c r="AG558" i="2"/>
  <c r="AG549" i="2"/>
  <c r="AG539" i="2"/>
  <c r="AG530" i="2"/>
  <c r="AG520" i="2"/>
  <c r="AG510" i="2"/>
  <c r="AG500" i="2"/>
  <c r="AG491" i="2"/>
  <c r="AG481" i="2"/>
  <c r="AG472" i="2"/>
  <c r="AG462" i="2"/>
  <c r="AG452" i="2"/>
  <c r="AG442" i="2"/>
  <c r="AG432" i="2"/>
  <c r="AG423" i="2"/>
  <c r="AG413" i="2"/>
  <c r="AG404" i="2"/>
  <c r="AG394" i="2"/>
  <c r="AG385" i="2"/>
  <c r="AG374" i="2"/>
  <c r="AG365" i="2"/>
  <c r="AG355" i="2"/>
  <c r="AG346" i="2"/>
  <c r="AG336" i="2"/>
  <c r="AG326" i="2"/>
  <c r="AG317" i="2"/>
  <c r="AG306" i="2"/>
  <c r="AG297" i="2"/>
  <c r="AG287" i="2"/>
  <c r="AG278" i="2"/>
  <c r="AG268" i="2"/>
  <c r="AG259" i="2"/>
  <c r="AG249" i="2"/>
  <c r="AG239" i="2"/>
  <c r="AG229" i="2"/>
  <c r="AG220" i="2"/>
  <c r="AG210" i="2"/>
  <c r="AG200" i="2"/>
  <c r="AG191" i="2"/>
  <c r="AG181" i="2"/>
  <c r="AG171" i="2"/>
  <c r="AG161" i="2"/>
  <c r="AG152" i="2"/>
  <c r="AG142" i="2"/>
  <c r="AG133" i="2"/>
  <c r="AG123" i="2"/>
  <c r="AG114" i="2"/>
  <c r="AG103" i="2"/>
  <c r="AG94" i="2"/>
  <c r="AG84" i="2"/>
  <c r="AG74" i="2"/>
  <c r="AG65" i="2"/>
  <c r="AG55" i="2"/>
  <c r="AG46" i="2"/>
  <c r="AG35" i="2"/>
  <c r="AG26" i="2"/>
  <c r="AG16" i="2"/>
  <c r="AG7" i="2"/>
  <c r="AG644" i="2"/>
  <c r="AG635" i="2"/>
  <c r="AG625" i="2"/>
  <c r="AG616" i="2"/>
  <c r="AG606" i="2"/>
  <c r="AG596" i="2"/>
  <c r="AG586" i="2"/>
  <c r="AG576" i="2"/>
  <c r="AG567" i="2"/>
  <c r="AG557" i="2"/>
  <c r="AG548" i="2"/>
  <c r="AG538" i="2"/>
  <c r="AG529" i="2"/>
  <c r="AG518" i="2"/>
  <c r="AG509" i="2"/>
  <c r="AG499" i="2"/>
  <c r="AG490" i="2"/>
  <c r="AG480" i="2"/>
  <c r="AG470" i="2"/>
  <c r="AG461" i="2"/>
  <c r="AG450" i="2"/>
  <c r="AG441" i="2"/>
  <c r="AG431" i="2"/>
  <c r="AG422" i="2"/>
  <c r="AG412" i="2"/>
  <c r="AG403" i="2"/>
  <c r="AG393" i="2"/>
  <c r="AG383" i="2"/>
  <c r="AG373" i="2"/>
  <c r="AG364" i="2"/>
  <c r="AG354" i="2"/>
  <c r="AG344" i="2"/>
  <c r="AG335" i="2"/>
  <c r="AG325" i="2"/>
  <c r="AG315" i="2"/>
  <c r="AG305" i="2"/>
  <c r="AG296" i="2"/>
  <c r="AG286" i="2"/>
  <c r="AG277" i="2"/>
  <c r="AG267" i="2"/>
  <c r="AG258" i="2"/>
  <c r="AG247" i="2"/>
  <c r="AG238" i="2"/>
  <c r="AG228" i="2"/>
  <c r="AG218" i="2"/>
  <c r="AG209" i="2"/>
  <c r="AG199" i="2"/>
  <c r="AG190" i="2"/>
  <c r="AG179" i="2"/>
  <c r="AG170" i="2"/>
  <c r="AG160" i="2"/>
  <c r="AG151" i="2"/>
  <c r="AG141" i="2"/>
  <c r="AG132" i="2"/>
  <c r="AG122" i="2"/>
  <c r="AG112" i="2"/>
  <c r="AG102" i="2"/>
  <c r="AG92" i="2"/>
  <c r="AG83" i="2"/>
  <c r="AG73" i="2"/>
  <c r="AG64" i="2"/>
  <c r="AG54" i="2"/>
  <c r="AG44" i="2"/>
  <c r="AG34" i="2"/>
  <c r="AG25" i="2"/>
  <c r="AG15" i="2"/>
  <c r="AG6" i="2"/>
  <c r="AE88" i="2"/>
  <c r="AE276" i="2"/>
  <c r="AE73" i="2"/>
  <c r="AE105" i="2"/>
  <c r="AE242" i="2"/>
  <c r="AE319" i="2"/>
  <c r="AE10" i="2"/>
  <c r="AE122" i="2"/>
  <c r="AE387" i="2"/>
  <c r="AE20" i="2"/>
  <c r="AE141" i="2"/>
  <c r="AE455" i="2"/>
  <c r="AE35" i="2"/>
  <c r="AE166" i="2"/>
  <c r="AE522" i="2"/>
  <c r="AE47" i="2"/>
  <c r="AE190" i="2"/>
  <c r="AE590" i="2"/>
  <c r="AE62" i="2"/>
  <c r="AE209" i="2"/>
  <c r="AE11" i="2"/>
  <c r="AE22" i="2"/>
  <c r="AE36" i="2"/>
  <c r="AE48" i="2"/>
  <c r="AE63" i="2"/>
  <c r="AE78" i="2"/>
  <c r="AE89" i="2"/>
  <c r="AE106" i="2"/>
  <c r="AE123" i="2"/>
  <c r="AE148" i="2"/>
  <c r="AE167" i="2"/>
  <c r="AE191" i="2"/>
  <c r="AE215" i="2"/>
  <c r="AE243" i="2"/>
  <c r="AE277" i="2"/>
  <c r="AE328" i="2"/>
  <c r="AE395" i="2"/>
  <c r="AE463" i="2"/>
  <c r="AE531" i="2"/>
  <c r="AE599" i="2"/>
  <c r="AE12" i="2"/>
  <c r="AE23" i="2"/>
  <c r="AE37" i="2"/>
  <c r="AE52" i="2"/>
  <c r="AE64" i="2"/>
  <c r="AE79" i="2"/>
  <c r="AE90" i="2"/>
  <c r="AE107" i="2"/>
  <c r="AE124" i="2"/>
  <c r="AE149" i="2"/>
  <c r="AE173" i="2"/>
  <c r="AE192" i="2"/>
  <c r="AE216" i="2"/>
  <c r="AE250" i="2"/>
  <c r="AE284" i="2"/>
  <c r="AE336" i="2"/>
  <c r="AE404" i="2"/>
  <c r="AE472" i="2"/>
  <c r="AE539" i="2"/>
  <c r="AE607" i="2"/>
  <c r="AE646" i="2"/>
  <c r="AE638" i="2"/>
  <c r="AE629" i="2"/>
  <c r="AE621" i="2"/>
  <c r="AE612" i="2"/>
  <c r="AE604" i="2"/>
  <c r="AE595" i="2"/>
  <c r="AE587" i="2"/>
  <c r="AE578" i="2"/>
  <c r="AE570" i="2"/>
  <c r="AE562" i="2"/>
  <c r="AE553" i="2"/>
  <c r="AE545" i="2"/>
  <c r="AE536" i="2"/>
  <c r="AE528" i="2"/>
  <c r="AE519" i="2"/>
  <c r="AE511" i="2"/>
  <c r="AE502" i="2"/>
  <c r="AE494" i="2"/>
  <c r="AE485" i="2"/>
  <c r="AE477" i="2"/>
  <c r="AE468" i="2"/>
  <c r="AE460" i="2"/>
  <c r="AE451" i="2"/>
  <c r="AE443" i="2"/>
  <c r="AE434" i="2"/>
  <c r="AE426" i="2"/>
  <c r="AE418" i="2"/>
  <c r="AE409" i="2"/>
  <c r="AE401" i="2"/>
  <c r="AE392" i="2"/>
  <c r="AE384" i="2"/>
  <c r="AE375" i="2"/>
  <c r="AE367" i="2"/>
  <c r="AE358" i="2"/>
  <c r="AE350" i="2"/>
  <c r="AE341" i="2"/>
  <c r="AE333" i="2"/>
  <c r="AE324" i="2"/>
  <c r="AE316" i="2"/>
  <c r="AE307" i="2"/>
  <c r="AE299" i="2"/>
  <c r="AE290" i="2"/>
  <c r="AE282" i="2"/>
  <c r="AE274" i="2"/>
  <c r="AE265" i="2"/>
  <c r="AE257" i="2"/>
  <c r="AE248" i="2"/>
  <c r="AE240" i="2"/>
  <c r="AE231" i="2"/>
  <c r="AE223" i="2"/>
  <c r="AE214" i="2"/>
  <c r="AE206" i="2"/>
  <c r="AE197" i="2"/>
  <c r="AE189" i="2"/>
  <c r="AE180" i="2"/>
  <c r="AE172" i="2"/>
  <c r="AE163" i="2"/>
  <c r="AE155" i="2"/>
  <c r="AE146" i="2"/>
  <c r="AE138" i="2"/>
  <c r="AE130" i="2"/>
  <c r="AE121" i="2"/>
  <c r="AE113" i="2"/>
  <c r="AE104" i="2"/>
  <c r="AE96" i="2"/>
  <c r="AE645" i="2"/>
  <c r="AE637" i="2"/>
  <c r="AE628" i="2"/>
  <c r="AE620" i="2"/>
  <c r="AE611" i="2"/>
  <c r="AE603" i="2"/>
  <c r="AE594" i="2"/>
  <c r="AE586" i="2"/>
  <c r="AE577" i="2"/>
  <c r="AE569" i="2"/>
  <c r="AE560" i="2"/>
  <c r="AE552" i="2"/>
  <c r="AE544" i="2"/>
  <c r="AE535" i="2"/>
  <c r="AE527" i="2"/>
  <c r="AE518" i="2"/>
  <c r="AE510" i="2"/>
  <c r="AE501" i="2"/>
  <c r="AE493" i="2"/>
  <c r="AE484" i="2"/>
  <c r="AE476" i="2"/>
  <c r="AE467" i="2"/>
  <c r="AE459" i="2"/>
  <c r="AE450" i="2"/>
  <c r="AE442" i="2"/>
  <c r="AE433" i="2"/>
  <c r="AE425" i="2"/>
  <c r="AE416" i="2"/>
  <c r="AE408" i="2"/>
  <c r="AE400" i="2"/>
  <c r="AE391" i="2"/>
  <c r="AE383" i="2"/>
  <c r="AE374" i="2"/>
  <c r="AE366" i="2"/>
  <c r="AE357" i="2"/>
  <c r="AE349" i="2"/>
  <c r="AE340" i="2"/>
  <c r="AE332" i="2"/>
  <c r="AE323" i="2"/>
  <c r="AE315" i="2"/>
  <c r="AE306" i="2"/>
  <c r="AE298" i="2"/>
  <c r="AE289" i="2"/>
  <c r="AE281" i="2"/>
  <c r="AE272" i="2"/>
  <c r="AE264" i="2"/>
  <c r="AE256" i="2"/>
  <c r="AE247" i="2"/>
  <c r="AE239" i="2"/>
  <c r="AE230" i="2"/>
  <c r="AE222" i="2"/>
  <c r="AE213" i="2"/>
  <c r="AE205" i="2"/>
  <c r="AE196" i="2"/>
  <c r="AE188" i="2"/>
  <c r="AE179" i="2"/>
  <c r="AE171" i="2"/>
  <c r="AE162" i="2"/>
  <c r="AE154" i="2"/>
  <c r="AE145" i="2"/>
  <c r="AE137" i="2"/>
  <c r="AE128" i="2"/>
  <c r="AE644" i="2"/>
  <c r="AE636" i="2"/>
  <c r="AE627" i="2"/>
  <c r="AE619" i="2"/>
  <c r="AE610" i="2"/>
  <c r="AE602" i="2"/>
  <c r="AE593" i="2"/>
  <c r="AE585" i="2"/>
  <c r="AE576" i="2"/>
  <c r="AE568" i="2"/>
  <c r="AE559" i="2"/>
  <c r="AE551" i="2"/>
  <c r="AE542" i="2"/>
  <c r="AE534" i="2"/>
  <c r="AE526" i="2"/>
  <c r="AE517" i="2"/>
  <c r="AE509" i="2"/>
  <c r="AE500" i="2"/>
  <c r="AE492" i="2"/>
  <c r="AE483" i="2"/>
  <c r="AE475" i="2"/>
  <c r="AE466" i="2"/>
  <c r="AE458" i="2"/>
  <c r="AE449" i="2"/>
  <c r="AE441" i="2"/>
  <c r="AE432" i="2"/>
  <c r="AE424" i="2"/>
  <c r="AE415" i="2"/>
  <c r="AE407" i="2"/>
  <c r="AE398" i="2"/>
  <c r="AE390" i="2"/>
  <c r="AE382" i="2"/>
  <c r="AE373" i="2"/>
  <c r="AE365" i="2"/>
  <c r="AE356" i="2"/>
  <c r="AE348" i="2"/>
  <c r="AE339" i="2"/>
  <c r="AE331" i="2"/>
  <c r="AE322" i="2"/>
  <c r="AE314" i="2"/>
  <c r="AE305" i="2"/>
  <c r="AE297" i="2"/>
  <c r="AE288" i="2"/>
  <c r="AE280" i="2"/>
  <c r="AE271" i="2"/>
  <c r="AE263" i="2"/>
  <c r="AE254" i="2"/>
  <c r="AE246" i="2"/>
  <c r="AE238" i="2"/>
  <c r="AE229" i="2"/>
  <c r="AE221" i="2"/>
  <c r="AE212" i="2"/>
  <c r="AE204" i="2"/>
  <c r="AE195" i="2"/>
  <c r="AE187" i="2"/>
  <c r="AE178" i="2"/>
  <c r="AE170" i="2"/>
  <c r="AE161" i="2"/>
  <c r="AE153" i="2"/>
  <c r="AE144" i="2"/>
  <c r="AE136" i="2"/>
  <c r="AE127" i="2"/>
  <c r="AE119" i="2"/>
  <c r="AE110" i="2"/>
  <c r="AE102" i="2"/>
  <c r="AE94" i="2"/>
  <c r="AE85" i="2"/>
  <c r="AE77" i="2"/>
  <c r="AE68" i="2"/>
  <c r="AE60" i="2"/>
  <c r="AE51" i="2"/>
  <c r="AE43" i="2"/>
  <c r="AE34" i="2"/>
  <c r="AE26" i="2"/>
  <c r="AE643" i="2"/>
  <c r="AE635" i="2"/>
  <c r="AE626" i="2"/>
  <c r="AE618" i="2"/>
  <c r="AE609" i="2"/>
  <c r="AE601" i="2"/>
  <c r="AE592" i="2"/>
  <c r="AE584" i="2"/>
  <c r="AE575" i="2"/>
  <c r="AE567" i="2"/>
  <c r="AE558" i="2"/>
  <c r="AE550" i="2"/>
  <c r="AE541" i="2"/>
  <c r="AE533" i="2"/>
  <c r="AE524" i="2"/>
  <c r="AE516" i="2"/>
  <c r="AE508" i="2"/>
  <c r="AE499" i="2"/>
  <c r="AE491" i="2"/>
  <c r="AE482" i="2"/>
  <c r="AE474" i="2"/>
  <c r="AE465" i="2"/>
  <c r="AE457" i="2"/>
  <c r="AE448" i="2"/>
  <c r="AE440" i="2"/>
  <c r="AE431" i="2"/>
  <c r="AE423" i="2"/>
  <c r="AE414" i="2"/>
  <c r="AE406" i="2"/>
  <c r="AE397" i="2"/>
  <c r="AE389" i="2"/>
  <c r="AE380" i="2"/>
  <c r="AE372" i="2"/>
  <c r="AE364" i="2"/>
  <c r="AE355" i="2"/>
  <c r="AE347" i="2"/>
  <c r="AE338" i="2"/>
  <c r="AE330" i="2"/>
  <c r="AE321" i="2"/>
  <c r="AE313" i="2"/>
  <c r="AE304" i="2"/>
  <c r="AE296" i="2"/>
  <c r="AE287" i="2"/>
  <c r="AE279" i="2"/>
  <c r="AE270" i="2"/>
  <c r="AE262" i="2"/>
  <c r="AE253" i="2"/>
  <c r="AE245" i="2"/>
  <c r="AE236" i="2"/>
  <c r="AE228" i="2"/>
  <c r="AE220" i="2"/>
  <c r="AE211" i="2"/>
  <c r="AE203" i="2"/>
  <c r="AE194" i="2"/>
  <c r="AE186" i="2"/>
  <c r="AE177" i="2"/>
  <c r="AE169" i="2"/>
  <c r="AE160" i="2"/>
  <c r="AE152" i="2"/>
  <c r="AE143" i="2"/>
  <c r="AE135" i="2"/>
  <c r="AE126" i="2"/>
  <c r="AE118" i="2"/>
  <c r="AE109" i="2"/>
  <c r="AE101" i="2"/>
  <c r="AE92" i="2"/>
  <c r="AE84" i="2"/>
  <c r="AE76" i="2"/>
  <c r="AE67" i="2"/>
  <c r="AE59" i="2"/>
  <c r="AE50" i="2"/>
  <c r="AE42" i="2"/>
  <c r="AE33" i="2"/>
  <c r="AE25" i="2"/>
  <c r="AE16" i="2"/>
  <c r="AE8" i="2"/>
  <c r="AE650" i="2"/>
  <c r="AE642" i="2"/>
  <c r="AE634" i="2"/>
  <c r="AE625" i="2"/>
  <c r="AE617" i="2"/>
  <c r="AE608" i="2"/>
  <c r="AE600" i="2"/>
  <c r="AE591" i="2"/>
  <c r="AE583" i="2"/>
  <c r="AE574" i="2"/>
  <c r="AE566" i="2"/>
  <c r="AE557" i="2"/>
  <c r="AE549" i="2"/>
  <c r="AE540" i="2"/>
  <c r="AE532" i="2"/>
  <c r="AE523" i="2"/>
  <c r="AE515" i="2"/>
  <c r="AE506" i="2"/>
  <c r="AE498" i="2"/>
  <c r="AE490" i="2"/>
  <c r="AE481" i="2"/>
  <c r="AE473" i="2"/>
  <c r="AE464" i="2"/>
  <c r="AE456" i="2"/>
  <c r="AE447" i="2"/>
  <c r="AE439" i="2"/>
  <c r="AE430" i="2"/>
  <c r="AE422" i="2"/>
  <c r="AE413" i="2"/>
  <c r="AE405" i="2"/>
  <c r="AE396" i="2"/>
  <c r="AE388" i="2"/>
  <c r="AE379" i="2"/>
  <c r="AE371" i="2"/>
  <c r="AE362" i="2"/>
  <c r="AE354" i="2"/>
  <c r="AE346" i="2"/>
  <c r="AE337" i="2"/>
  <c r="AE329" i="2"/>
  <c r="AE320" i="2"/>
  <c r="AE312" i="2"/>
  <c r="AE303" i="2"/>
  <c r="AE295" i="2"/>
  <c r="AE286" i="2"/>
  <c r="AE278" i="2"/>
  <c r="AE269" i="2"/>
  <c r="AE261" i="2"/>
  <c r="AE252" i="2"/>
  <c r="AE244" i="2"/>
  <c r="AE235" i="2"/>
  <c r="AE227" i="2"/>
  <c r="AE218" i="2"/>
  <c r="AE210" i="2"/>
  <c r="AE202" i="2"/>
  <c r="AE193" i="2"/>
  <c r="AE185" i="2"/>
  <c r="AE176" i="2"/>
  <c r="AE168" i="2"/>
  <c r="AE159" i="2"/>
  <c r="AE151" i="2"/>
  <c r="AE142" i="2"/>
  <c r="AE134" i="2"/>
  <c r="AE125" i="2"/>
  <c r="AE117" i="2"/>
  <c r="AE108" i="2"/>
  <c r="AE100" i="2"/>
  <c r="AE91" i="2"/>
  <c r="AE83" i="2"/>
  <c r="AE74" i="2"/>
  <c r="AE58" i="2"/>
  <c r="AE49" i="2"/>
  <c r="AE41" i="2"/>
  <c r="AE32" i="2"/>
  <c r="AE24" i="2"/>
  <c r="AE15" i="2"/>
  <c r="AE7" i="2"/>
  <c r="AE648" i="2"/>
  <c r="AE640" i="2"/>
  <c r="AE631" i="2"/>
  <c r="AE623" i="2"/>
  <c r="AE614" i="2"/>
  <c r="AE606" i="2"/>
  <c r="AE598" i="2"/>
  <c r="AE589" i="2"/>
  <c r="AE581" i="2"/>
  <c r="AE572" i="2"/>
  <c r="AE564" i="2"/>
  <c r="AE555" i="2"/>
  <c r="AE547" i="2"/>
  <c r="AE538" i="2"/>
  <c r="AE530" i="2"/>
  <c r="AE521" i="2"/>
  <c r="AE513" i="2"/>
  <c r="AE504" i="2"/>
  <c r="AE496" i="2"/>
  <c r="AE487" i="2"/>
  <c r="AE479" i="2"/>
  <c r="AE470" i="2"/>
  <c r="AE462" i="2"/>
  <c r="AE454" i="2"/>
  <c r="AE445" i="2"/>
  <c r="AE437" i="2"/>
  <c r="AE428" i="2"/>
  <c r="AE420" i="2"/>
  <c r="AE411" i="2"/>
  <c r="AE403" i="2"/>
  <c r="AE394" i="2"/>
  <c r="AE386" i="2"/>
  <c r="AE377" i="2"/>
  <c r="AE369" i="2"/>
  <c r="AE360" i="2"/>
  <c r="AE352" i="2"/>
  <c r="AE343" i="2"/>
  <c r="AE335" i="2"/>
  <c r="AE326" i="2"/>
  <c r="AE318" i="2"/>
  <c r="AE310" i="2"/>
  <c r="AE301" i="2"/>
  <c r="AE647" i="2"/>
  <c r="AE639" i="2"/>
  <c r="AE630" i="2"/>
  <c r="AE622" i="2"/>
  <c r="AE613" i="2"/>
  <c r="AE605" i="2"/>
  <c r="AE596" i="2"/>
  <c r="AE588" i="2"/>
  <c r="AE580" i="2"/>
  <c r="AE571" i="2"/>
  <c r="AE563" i="2"/>
  <c r="AE554" i="2"/>
  <c r="AE546" i="2"/>
  <c r="AE537" i="2"/>
  <c r="AE529" i="2"/>
  <c r="AE520" i="2"/>
  <c r="AE512" i="2"/>
  <c r="AE503" i="2"/>
  <c r="AE495" i="2"/>
  <c r="AE486" i="2"/>
  <c r="AE478" i="2"/>
  <c r="AE469" i="2"/>
  <c r="AE461" i="2"/>
  <c r="AE452" i="2"/>
  <c r="AE444" i="2"/>
  <c r="AE436" i="2"/>
  <c r="AE427" i="2"/>
  <c r="AE419" i="2"/>
  <c r="AE410" i="2"/>
  <c r="AE402" i="2"/>
  <c r="AE393" i="2"/>
  <c r="AE385" i="2"/>
  <c r="AE376" i="2"/>
  <c r="AE368" i="2"/>
  <c r="AE359" i="2"/>
  <c r="AE351" i="2"/>
  <c r="AE342" i="2"/>
  <c r="AE334" i="2"/>
  <c r="AE325" i="2"/>
  <c r="AE317" i="2"/>
  <c r="AE308" i="2"/>
  <c r="AE300" i="2"/>
  <c r="AE292" i="2"/>
  <c r="AE283" i="2"/>
  <c r="AE275" i="2"/>
  <c r="AE266" i="2"/>
  <c r="AE258" i="2"/>
  <c r="AE249" i="2"/>
  <c r="AE241" i="2"/>
  <c r="AE232" i="2"/>
  <c r="AE224" i="2"/>
  <c r="AE13" i="2"/>
  <c r="AE27" i="2"/>
  <c r="AE38" i="2"/>
  <c r="AE53" i="2"/>
  <c r="AE65" i="2"/>
  <c r="AE80" i="2"/>
  <c r="AE95" i="2"/>
  <c r="AE112" i="2"/>
  <c r="AE131" i="2"/>
  <c r="AE150" i="2"/>
  <c r="AE174" i="2"/>
  <c r="AE198" i="2"/>
  <c r="AE217" i="2"/>
  <c r="AE251" i="2"/>
  <c r="AE285" i="2"/>
  <c r="AE344" i="2"/>
  <c r="AE412" i="2"/>
  <c r="AE480" i="2"/>
  <c r="AE548" i="2"/>
  <c r="AE616" i="2"/>
  <c r="AE4" i="2"/>
  <c r="AE14" i="2"/>
  <c r="AE28" i="2"/>
  <c r="AE40" i="2"/>
  <c r="AE54" i="2"/>
  <c r="AE69" i="2"/>
  <c r="AE81" i="2"/>
  <c r="AE97" i="2"/>
  <c r="AE114" i="2"/>
  <c r="AE132" i="2"/>
  <c r="AE156" i="2"/>
  <c r="AE175" i="2"/>
  <c r="AE199" i="2"/>
  <c r="AE225" i="2"/>
  <c r="AE259" i="2"/>
  <c r="AE293" i="2"/>
  <c r="AE353" i="2"/>
  <c r="AE421" i="2"/>
  <c r="AE488" i="2"/>
  <c r="AE556" i="2"/>
  <c r="AE624" i="2"/>
  <c r="AE5" i="2"/>
  <c r="AE17" i="2"/>
  <c r="AE29" i="2"/>
  <c r="AE44" i="2"/>
  <c r="AE55" i="2"/>
  <c r="AE70" i="2"/>
  <c r="AE82" i="2"/>
  <c r="AE98" i="2"/>
  <c r="AE115" i="2"/>
  <c r="AE133" i="2"/>
  <c r="AE157" i="2"/>
  <c r="AE181" i="2"/>
  <c r="AE200" i="2"/>
  <c r="AE226" i="2"/>
  <c r="AE260" i="2"/>
  <c r="AE294" i="2"/>
  <c r="AE361" i="2"/>
  <c r="AE429" i="2"/>
  <c r="AE497" i="2"/>
  <c r="AE565" i="2"/>
  <c r="AE632" i="2"/>
  <c r="AE6" i="2"/>
  <c r="AE18" i="2"/>
  <c r="AE30" i="2"/>
  <c r="AE45" i="2"/>
  <c r="AE56" i="2"/>
  <c r="AE71" i="2"/>
  <c r="AE86" i="2"/>
  <c r="AE99" i="2"/>
  <c r="AE116" i="2"/>
  <c r="AE139" i="2"/>
  <c r="AE158" i="2"/>
  <c r="AE182" i="2"/>
  <c r="AE207" i="2"/>
  <c r="AE233" i="2"/>
  <c r="AE267" i="2"/>
  <c r="AE302" i="2"/>
  <c r="AE370" i="2"/>
  <c r="AE438" i="2"/>
  <c r="AE505" i="2"/>
  <c r="AE573" i="2"/>
  <c r="AE641" i="2"/>
  <c r="AE9" i="2"/>
  <c r="AE19" i="2"/>
  <c r="AE31" i="2"/>
  <c r="AE46" i="2"/>
  <c r="AE61" i="2"/>
  <c r="AE72" i="2"/>
  <c r="AE87" i="2"/>
  <c r="AE103" i="2"/>
  <c r="AE120" i="2"/>
  <c r="AE140" i="2"/>
  <c r="AE164" i="2"/>
  <c r="AE184" i="2"/>
  <c r="AE208" i="2"/>
  <c r="AE234" i="2"/>
  <c r="AE268" i="2"/>
  <c r="AE311" i="2"/>
  <c r="AE378" i="2"/>
  <c r="AE446" i="2"/>
  <c r="AE514" i="2"/>
  <c r="AE582" i="2"/>
  <c r="AE649" i="2"/>
  <c r="AL526" i="2"/>
  <c r="AL4" i="2"/>
  <c r="AL472" i="2"/>
  <c r="AL436" i="2"/>
  <c r="AL328" i="2"/>
  <c r="AL493" i="2"/>
  <c r="AL329" i="2"/>
  <c r="AL418" i="2"/>
  <c r="AL634" i="2"/>
  <c r="AL23" i="2"/>
  <c r="AL365" i="2"/>
  <c r="AL149" i="2"/>
  <c r="AL293" i="2"/>
  <c r="AL382" i="2"/>
  <c r="AL292" i="2"/>
  <c r="AL184" i="2"/>
  <c r="AL220" i="2"/>
  <c r="AL275" i="2"/>
  <c r="AL274" i="2"/>
  <c r="AL527" i="2"/>
  <c r="AL617" i="2"/>
  <c r="AL616" i="2"/>
  <c r="AL112" i="2"/>
  <c r="AL310" i="2"/>
  <c r="AL400" i="2"/>
  <c r="AL562" i="2"/>
  <c r="AL635" i="2"/>
  <c r="AL95" i="2"/>
  <c r="AL58" i="2"/>
  <c r="AL167" i="2"/>
  <c r="AL203" i="2"/>
  <c r="AL94" i="2"/>
  <c r="AL331" i="2"/>
  <c r="AL166" i="2"/>
  <c r="AL256" i="2"/>
  <c r="AL202" i="2"/>
  <c r="AL420" i="2"/>
  <c r="AL330" i="2"/>
  <c r="AL419" i="2"/>
  <c r="AL437" i="2"/>
  <c r="AL454" i="2"/>
  <c r="AL508" i="2"/>
  <c r="AL545" i="2"/>
  <c r="AL544" i="2"/>
  <c r="AL41" i="2"/>
  <c r="AL40" i="2"/>
  <c r="AL5" i="2"/>
  <c r="Z1160" i="2" l="1"/>
  <c r="N27" i="12"/>
  <c r="N71" i="12" s="1"/>
  <c r="N102" i="12" s="1"/>
  <c r="AA1171" i="2" s="1"/>
  <c r="Z1158" i="2"/>
  <c r="Y1155" i="2"/>
  <c r="Z1172" i="2"/>
  <c r="Z1168" i="2"/>
  <c r="Z1156" i="2"/>
  <c r="Z1163" i="2"/>
  <c r="Z1159" i="2"/>
  <c r="Z1162" i="2"/>
  <c r="Z1166" i="2"/>
  <c r="Z1164" i="2"/>
  <c r="Z1157" i="2"/>
  <c r="Z1161" i="2"/>
  <c r="Z1165" i="2"/>
  <c r="Z1169" i="2"/>
  <c r="Z1171" i="2"/>
  <c r="Z1167" i="2"/>
  <c r="Y1138" i="2"/>
  <c r="Y1146" i="2"/>
  <c r="Y1154" i="2"/>
  <c r="Y1141" i="2"/>
  <c r="Y1149" i="2"/>
  <c r="Y1139" i="2"/>
  <c r="Y1147" i="2"/>
  <c r="Y1140" i="2"/>
  <c r="Y1148" i="2"/>
  <c r="Y1142" i="2"/>
  <c r="Y1150" i="2"/>
  <c r="Y1145" i="2"/>
  <c r="Y1153" i="2"/>
  <c r="Y1143" i="2"/>
  <c r="Y1151" i="2"/>
  <c r="Y1144" i="2"/>
  <c r="Y1152" i="2"/>
  <c r="X1137" i="2"/>
  <c r="X677" i="2"/>
  <c r="X674" i="2"/>
  <c r="X680" i="2"/>
  <c r="X682" i="2"/>
  <c r="Y843" i="2"/>
  <c r="X672" i="2"/>
  <c r="X675" i="2"/>
  <c r="X686" i="2"/>
  <c r="X671" i="2"/>
  <c r="X678" i="2"/>
  <c r="W855" i="2"/>
  <c r="V850" i="2"/>
  <c r="U884" i="2"/>
  <c r="W884" i="2"/>
  <c r="W854" i="2"/>
  <c r="T870" i="2"/>
  <c r="V880" i="2"/>
  <c r="U851" i="2"/>
  <c r="T852" i="2"/>
  <c r="W769" i="2"/>
  <c r="W844" i="2"/>
  <c r="W848" i="2"/>
  <c r="W830" i="2"/>
  <c r="W794" i="2"/>
  <c r="W788" i="2"/>
  <c r="W798" i="2"/>
  <c r="W801" i="2"/>
  <c r="W692" i="2"/>
  <c r="W704" i="2"/>
  <c r="W771" i="2"/>
  <c r="W767" i="2"/>
  <c r="V858" i="2"/>
  <c r="T862" i="2"/>
  <c r="T865" i="2"/>
  <c r="V869" i="2"/>
  <c r="T851" i="2"/>
  <c r="V851" i="2"/>
  <c r="W835" i="2"/>
  <c r="T866" i="2"/>
  <c r="W881" i="2"/>
  <c r="W787" i="2"/>
  <c r="W842" i="2"/>
  <c r="W814" i="2"/>
  <c r="W816" i="2"/>
  <c r="W778" i="2"/>
  <c r="W793" i="2"/>
  <c r="W806" i="2"/>
  <c r="W812" i="2"/>
  <c r="W696" i="2"/>
  <c r="W701" i="2"/>
  <c r="W774" i="2"/>
  <c r="W761" i="2"/>
  <c r="V803" i="2"/>
  <c r="U682" i="2"/>
  <c r="U805" i="2"/>
  <c r="T738" i="2"/>
  <c r="U727" i="2"/>
  <c r="T758" i="2"/>
  <c r="T814" i="2"/>
  <c r="T825" i="2"/>
  <c r="V680" i="2"/>
  <c r="V685" i="2"/>
  <c r="V785" i="2"/>
  <c r="T775" i="2"/>
  <c r="T701" i="2"/>
  <c r="U845" i="2"/>
  <c r="V715" i="2"/>
  <c r="W749" i="2"/>
  <c r="W679" i="2"/>
  <c r="V852" i="2"/>
  <c r="U879" i="2"/>
  <c r="V878" i="2"/>
  <c r="T855" i="2"/>
  <c r="V884" i="2"/>
  <c r="U871" i="2"/>
  <c r="T884" i="2"/>
  <c r="U870" i="2"/>
  <c r="T871" i="2"/>
  <c r="W840" i="2"/>
  <c r="T877" i="2"/>
  <c r="U856" i="2"/>
  <c r="W811" i="2"/>
  <c r="W815" i="2"/>
  <c r="W839" i="2"/>
  <c r="W824" i="2"/>
  <c r="W780" i="2"/>
  <c r="W789" i="2"/>
  <c r="W797" i="2"/>
  <c r="W690" i="2"/>
  <c r="W703" i="2"/>
  <c r="W693" i="2"/>
  <c r="W776" i="2"/>
  <c r="W721" i="2"/>
  <c r="W682" i="2"/>
  <c r="U859" i="2"/>
  <c r="T883" i="2"/>
  <c r="W879" i="2"/>
  <c r="W875" i="2"/>
  <c r="U873" i="2"/>
  <c r="T854" i="2"/>
  <c r="W874" i="2"/>
  <c r="U865" i="2"/>
  <c r="W877" i="2"/>
  <c r="W878" i="2"/>
  <c r="U881" i="2"/>
  <c r="T860" i="2"/>
  <c r="W838" i="2"/>
  <c r="W834" i="2"/>
  <c r="W823" i="2"/>
  <c r="W836" i="2"/>
  <c r="W786" i="2"/>
  <c r="W783" i="2"/>
  <c r="W799" i="2"/>
  <c r="W698" i="2"/>
  <c r="W688" i="2"/>
  <c r="W765" i="2"/>
  <c r="W760" i="2"/>
  <c r="W714" i="2"/>
  <c r="U878" i="2"/>
  <c r="T850" i="2"/>
  <c r="W882" i="2"/>
  <c r="V877" i="2"/>
  <c r="W872" i="2"/>
  <c r="U872" i="2"/>
  <c r="V876" i="2"/>
  <c r="W871" i="2"/>
  <c r="W869" i="2"/>
  <c r="W880" i="2"/>
  <c r="T872" i="2"/>
  <c r="V866" i="2"/>
  <c r="W825" i="2"/>
  <c r="W833" i="2"/>
  <c r="W828" i="2"/>
  <c r="W846" i="2"/>
  <c r="W782" i="2"/>
  <c r="W779" i="2"/>
  <c r="W805" i="2"/>
  <c r="W810" i="2"/>
  <c r="W691" i="2"/>
  <c r="W695" i="2"/>
  <c r="W770" i="2"/>
  <c r="W766" i="2"/>
  <c r="T767" i="2"/>
  <c r="W732" i="2"/>
  <c r="W722" i="2"/>
  <c r="U830" i="2"/>
  <c r="U874" i="2"/>
  <c r="V860" i="2"/>
  <c r="U860" i="2"/>
  <c r="V863" i="2"/>
  <c r="T853" i="2"/>
  <c r="T864" i="2"/>
  <c r="T859" i="2"/>
  <c r="T876" i="2"/>
  <c r="T873" i="2"/>
  <c r="W876" i="2"/>
  <c r="V872" i="2"/>
  <c r="W817" i="2"/>
  <c r="W826" i="2"/>
  <c r="W847" i="2"/>
  <c r="W822" i="2"/>
  <c r="W792" i="2"/>
  <c r="W784" i="2"/>
  <c r="W800" i="2"/>
  <c r="W807" i="2"/>
  <c r="W699" i="2"/>
  <c r="W697" i="2"/>
  <c r="W773" i="2"/>
  <c r="W764" i="2"/>
  <c r="U683" i="2"/>
  <c r="U827" i="2"/>
  <c r="U767" i="2"/>
  <c r="T754" i="2"/>
  <c r="T747" i="2"/>
  <c r="V739" i="2"/>
  <c r="T808" i="2"/>
  <c r="T731" i="2"/>
  <c r="T709" i="2"/>
  <c r="U844" i="2"/>
  <c r="V765" i="2"/>
  <c r="V826" i="2"/>
  <c r="V694" i="2"/>
  <c r="T772" i="2"/>
  <c r="W735" i="2"/>
  <c r="W711" i="2"/>
  <c r="W829" i="2"/>
  <c r="T882" i="2"/>
  <c r="U864" i="2"/>
  <c r="V875" i="2"/>
  <c r="T881" i="2"/>
  <c r="U866" i="2"/>
  <c r="T869" i="2"/>
  <c r="U880" i="2"/>
  <c r="T880" i="2"/>
  <c r="W857" i="2"/>
  <c r="W873" i="2"/>
  <c r="T863" i="2"/>
  <c r="W827" i="2"/>
  <c r="W819" i="2"/>
  <c r="W818" i="2"/>
  <c r="W820" i="2"/>
  <c r="W781" i="2"/>
  <c r="W790" i="2"/>
  <c r="W808" i="2"/>
  <c r="W809" i="2"/>
  <c r="W689" i="2"/>
  <c r="W702" i="2"/>
  <c r="W768" i="2"/>
  <c r="W772" i="2"/>
  <c r="W755" i="2"/>
  <c r="T823" i="2"/>
  <c r="U876" i="2"/>
  <c r="V873" i="2"/>
  <c r="U882" i="2"/>
  <c r="W868" i="2"/>
  <c r="U862" i="2"/>
  <c r="W860" i="2"/>
  <c r="W865" i="2"/>
  <c r="W864" i="2"/>
  <c r="V856" i="2"/>
  <c r="W866" i="2"/>
  <c r="V857" i="2"/>
  <c r="W762" i="2"/>
  <c r="W832" i="2"/>
  <c r="W843" i="2"/>
  <c r="W841" i="2"/>
  <c r="W837" i="2"/>
  <c r="W785" i="2"/>
  <c r="W791" i="2"/>
  <c r="W802" i="2"/>
  <c r="W804" i="2"/>
  <c r="W700" i="2"/>
  <c r="W694" i="2"/>
  <c r="W775" i="2"/>
  <c r="W763" i="2"/>
  <c r="V740" i="2"/>
  <c r="V842" i="2"/>
  <c r="U724" i="2"/>
  <c r="T816" i="2"/>
  <c r="U775" i="2"/>
  <c r="U742" i="2"/>
  <c r="V736" i="2"/>
  <c r="T720" i="2"/>
  <c r="V787" i="2"/>
  <c r="W733" i="2"/>
  <c r="W673" i="2"/>
  <c r="W851" i="2"/>
  <c r="T835" i="2"/>
  <c r="U679" i="2"/>
  <c r="U774" i="2"/>
  <c r="T728" i="2"/>
  <c r="T734" i="2"/>
  <c r="T824" i="2"/>
  <c r="V769" i="2"/>
  <c r="V695" i="2"/>
  <c r="W751" i="2"/>
  <c r="W853" i="2"/>
  <c r="V707" i="2"/>
  <c r="U719" i="2"/>
  <c r="U824" i="2"/>
  <c r="U778" i="2"/>
  <c r="T805" i="2"/>
  <c r="V676" i="2"/>
  <c r="V845" i="2"/>
  <c r="T697" i="2"/>
  <c r="W730" i="2"/>
  <c r="W845" i="2"/>
  <c r="U877" i="2"/>
  <c r="U713" i="2"/>
  <c r="U672" i="2"/>
  <c r="T672" i="2"/>
  <c r="V824" i="2"/>
  <c r="U848" i="2"/>
  <c r="V807" i="2"/>
  <c r="T678" i="2"/>
  <c r="W677" i="2"/>
  <c r="U875" i="2"/>
  <c r="T740" i="2"/>
  <c r="U758" i="2"/>
  <c r="U710" i="2"/>
  <c r="V751" i="2"/>
  <c r="V699" i="2"/>
  <c r="T791" i="2"/>
  <c r="V771" i="2"/>
  <c r="W717" i="2"/>
  <c r="V874" i="2"/>
  <c r="U858" i="2"/>
  <c r="U828" i="2"/>
  <c r="U700" i="2"/>
  <c r="T739" i="2"/>
  <c r="V839" i="2"/>
  <c r="V692" i="2"/>
  <c r="T753" i="2"/>
  <c r="V844" i="2"/>
  <c r="W674" i="2"/>
  <c r="T874" i="2"/>
  <c r="V815" i="2"/>
  <c r="U826" i="2"/>
  <c r="V791" i="2"/>
  <c r="U693" i="2"/>
  <c r="V697" i="2"/>
  <c r="T674" i="2"/>
  <c r="T847" i="2"/>
  <c r="U697" i="2"/>
  <c r="V882" i="2"/>
  <c r="T670" i="2"/>
  <c r="U752" i="2"/>
  <c r="T799" i="2"/>
  <c r="U675" i="2"/>
  <c r="X872" i="2"/>
  <c r="X765" i="2"/>
  <c r="X762" i="2"/>
  <c r="X876" i="2"/>
  <c r="X676" i="2"/>
  <c r="X679" i="2"/>
  <c r="X730" i="2"/>
  <c r="X735" i="2"/>
  <c r="X890" i="2"/>
  <c r="X716" i="2"/>
  <c r="X722" i="2"/>
  <c r="X889" i="2"/>
  <c r="X786" i="2"/>
  <c r="X777" i="2" s="1"/>
  <c r="V700" i="2"/>
  <c r="V728" i="2"/>
  <c r="T826" i="2"/>
  <c r="U770" i="2"/>
  <c r="T798" i="2"/>
  <c r="V806" i="2"/>
  <c r="V827" i="2"/>
  <c r="T756" i="2"/>
  <c r="V832" i="2"/>
  <c r="W727" i="2"/>
  <c r="T815" i="2"/>
  <c r="U863" i="2"/>
  <c r="T699" i="2"/>
  <c r="U804" i="2"/>
  <c r="U763" i="2"/>
  <c r="T779" i="2"/>
  <c r="V790" i="2"/>
  <c r="T763" i="2"/>
  <c r="U838" i="2"/>
  <c r="V798" i="2"/>
  <c r="W718" i="2"/>
  <c r="T878" i="2"/>
  <c r="T755" i="2"/>
  <c r="U692" i="2"/>
  <c r="U789" i="2"/>
  <c r="T782" i="2"/>
  <c r="T703" i="2"/>
  <c r="T745" i="2"/>
  <c r="V754" i="2"/>
  <c r="V729" i="2"/>
  <c r="W757" i="2"/>
  <c r="U822" i="2"/>
  <c r="U704" i="2"/>
  <c r="U798" i="2"/>
  <c r="U739" i="2"/>
  <c r="V772" i="2"/>
  <c r="V847" i="2"/>
  <c r="T693" i="2"/>
  <c r="V720" i="2"/>
  <c r="W728" i="2"/>
  <c r="W680" i="2"/>
  <c r="U868" i="2"/>
  <c r="U688" i="2"/>
  <c r="T797" i="2"/>
  <c r="T676" i="2"/>
  <c r="U670" i="2"/>
  <c r="U836" i="2"/>
  <c r="V797" i="2"/>
  <c r="T689" i="2"/>
  <c r="V670" i="2"/>
  <c r="W715" i="2"/>
  <c r="U850" i="2"/>
  <c r="V788" i="2"/>
  <c r="U765" i="2"/>
  <c r="U754" i="2"/>
  <c r="V745" i="2"/>
  <c r="V805" i="2"/>
  <c r="T714" i="2"/>
  <c r="V674" i="2"/>
  <c r="W739" i="2"/>
  <c r="W803" i="2"/>
  <c r="W862" i="2"/>
  <c r="V835" i="2"/>
  <c r="T770" i="2"/>
  <c r="V721" i="2"/>
  <c r="U715" i="2"/>
  <c r="V846" i="2"/>
  <c r="U817" i="2"/>
  <c r="T733" i="2"/>
  <c r="U690" i="2"/>
  <c r="W856" i="2"/>
  <c r="V737" i="2"/>
  <c r="U810" i="2"/>
  <c r="W675" i="2"/>
  <c r="V768" i="2"/>
  <c r="T776" i="2"/>
  <c r="X877" i="2"/>
  <c r="X771" i="2"/>
  <c r="X768" i="2"/>
  <c r="X819" i="2"/>
  <c r="X684" i="2"/>
  <c r="X681" i="2"/>
  <c r="V693" i="2"/>
  <c r="V703" i="2"/>
  <c r="V819" i="2"/>
  <c r="U793" i="2"/>
  <c r="U788" i="2"/>
  <c r="U706" i="2"/>
  <c r="V708" i="2"/>
  <c r="V722" i="2"/>
  <c r="T704" i="2"/>
  <c r="W744" i="2"/>
  <c r="T833" i="2"/>
  <c r="V854" i="2"/>
  <c r="U677" i="2"/>
  <c r="T680" i="2"/>
  <c r="U790" i="2"/>
  <c r="U718" i="2"/>
  <c r="V672" i="2"/>
  <c r="T707" i="2"/>
  <c r="V756" i="2"/>
  <c r="W707" i="2"/>
  <c r="V855" i="2"/>
  <c r="T673" i="2"/>
  <c r="U746" i="2"/>
  <c r="U733" i="2"/>
  <c r="V774" i="2"/>
  <c r="T784" i="2"/>
  <c r="U841" i="2"/>
  <c r="V783" i="2"/>
  <c r="W754" i="2"/>
  <c r="V859" i="2"/>
  <c r="V779" i="2"/>
  <c r="U748" i="2"/>
  <c r="U725" i="2"/>
  <c r="U823" i="2"/>
  <c r="U847" i="2"/>
  <c r="V760" i="2"/>
  <c r="V691" i="2"/>
  <c r="T683" i="2"/>
  <c r="W724" i="2"/>
  <c r="U772" i="2"/>
  <c r="T856" i="2"/>
  <c r="U821" i="2"/>
  <c r="U721" i="2"/>
  <c r="U802" i="2"/>
  <c r="T721" i="2"/>
  <c r="V743" i="2"/>
  <c r="V733" i="2"/>
  <c r="T685" i="2"/>
  <c r="W719" i="2"/>
  <c r="V865" i="2"/>
  <c r="V773" i="2"/>
  <c r="U747" i="2"/>
  <c r="U681" i="2"/>
  <c r="U846" i="2"/>
  <c r="V750" i="2"/>
  <c r="V727" i="2"/>
  <c r="T702" i="2"/>
  <c r="W726" i="2"/>
  <c r="V804" i="2"/>
  <c r="V848" i="2"/>
  <c r="V812" i="2"/>
  <c r="U837" i="2"/>
  <c r="U820" i="2"/>
  <c r="V764" i="2"/>
  <c r="U726" i="2"/>
  <c r="T792" i="2"/>
  <c r="T752" i="2"/>
  <c r="V861" i="2"/>
  <c r="V801" i="2"/>
  <c r="U781" i="2"/>
  <c r="W756" i="2"/>
  <c r="V793" i="2"/>
  <c r="V724" i="2"/>
  <c r="V818" i="2"/>
  <c r="V704" i="2"/>
  <c r="V746" i="2"/>
  <c r="U728" i="2"/>
  <c r="U709" i="2"/>
  <c r="U694" i="2"/>
  <c r="T762" i="2"/>
  <c r="T724" i="2"/>
  <c r="V780" i="2"/>
  <c r="T726" i="2"/>
  <c r="W748" i="2"/>
  <c r="V883" i="2"/>
  <c r="U883" i="2"/>
  <c r="U796" i="2"/>
  <c r="U814" i="2"/>
  <c r="T764" i="2"/>
  <c r="U773" i="2"/>
  <c r="T796" i="2"/>
  <c r="V778" i="2"/>
  <c r="T778" i="2"/>
  <c r="U840" i="2"/>
  <c r="W683" i="2"/>
  <c r="V879" i="2"/>
  <c r="U698" i="2"/>
  <c r="T746" i="2"/>
  <c r="T800" i="2"/>
  <c r="U819" i="2"/>
  <c r="T848" i="2"/>
  <c r="V833" i="2"/>
  <c r="T774" i="2"/>
  <c r="V718" i="2"/>
  <c r="W706" i="2"/>
  <c r="V864" i="2"/>
  <c r="V673" i="2"/>
  <c r="U716" i="2"/>
  <c r="U686" i="2"/>
  <c r="U786" i="2"/>
  <c r="T679" i="2"/>
  <c r="T836" i="2"/>
  <c r="V811" i="2"/>
  <c r="T692" i="2"/>
  <c r="W753" i="2"/>
  <c r="V822" i="2"/>
  <c r="T858" i="2"/>
  <c r="T828" i="2"/>
  <c r="U676" i="2"/>
  <c r="T729" i="2"/>
  <c r="V770" i="2"/>
  <c r="V696" i="2"/>
  <c r="T834" i="2"/>
  <c r="V802" i="2"/>
  <c r="T727" i="2"/>
  <c r="W670" i="2"/>
  <c r="U855" i="2"/>
  <c r="T839" i="2"/>
  <c r="T821" i="2"/>
  <c r="U684" i="2"/>
  <c r="U811" i="2"/>
  <c r="T717" i="2"/>
  <c r="U833" i="2"/>
  <c r="V836" i="2"/>
  <c r="T785" i="2"/>
  <c r="W743" i="2"/>
  <c r="V814" i="2"/>
  <c r="V823" i="2"/>
  <c r="T757" i="2"/>
  <c r="T844" i="2"/>
  <c r="T810" i="2"/>
  <c r="U736" i="2"/>
  <c r="V679" i="2"/>
  <c r="V735" i="2"/>
  <c r="U714" i="2"/>
  <c r="W678" i="2"/>
  <c r="V706" i="2"/>
  <c r="T818" i="2"/>
  <c r="V800" i="2"/>
  <c r="V688" i="2"/>
  <c r="U839" i="2"/>
  <c r="U825" i="2"/>
  <c r="U689" i="2"/>
  <c r="U755" i="2"/>
  <c r="V786" i="2"/>
  <c r="T708" i="2"/>
  <c r="V671" i="2"/>
  <c r="V828" i="2"/>
  <c r="W710" i="2"/>
  <c r="W852" i="2"/>
  <c r="V868" i="2"/>
  <c r="U816" i="2"/>
  <c r="U808" i="2"/>
  <c r="V730" i="2"/>
  <c r="T801" i="2"/>
  <c r="V686" i="2"/>
  <c r="T698" i="2"/>
  <c r="W686" i="2"/>
  <c r="T857" i="2"/>
  <c r="U753" i="2"/>
  <c r="U730" i="2"/>
  <c r="U735" i="2"/>
  <c r="U792" i="2"/>
  <c r="T790" i="2"/>
  <c r="V761" i="2"/>
  <c r="V689" i="2"/>
  <c r="W708" i="2"/>
  <c r="U853" i="2"/>
  <c r="U712" i="2"/>
  <c r="U695" i="2"/>
  <c r="U784" i="2"/>
  <c r="T806" i="2"/>
  <c r="T751" i="2"/>
  <c r="T783" i="2"/>
  <c r="V749" i="2"/>
  <c r="V738" i="2"/>
  <c r="W742" i="2"/>
  <c r="V829" i="2"/>
  <c r="U771" i="2"/>
  <c r="U809" i="2"/>
  <c r="V753" i="2"/>
  <c r="V816" i="2"/>
  <c r="T706" i="2"/>
  <c r="V714" i="2"/>
  <c r="W737" i="2"/>
  <c r="W681" i="2"/>
  <c r="U869" i="2"/>
  <c r="T681" i="2"/>
  <c r="U766" i="2"/>
  <c r="U803" i="2"/>
  <c r="T737" i="2"/>
  <c r="V808" i="2"/>
  <c r="T700" i="2"/>
  <c r="V710" i="2"/>
  <c r="W746" i="2"/>
  <c r="W883" i="2"/>
  <c r="V792" i="2"/>
  <c r="T793" i="2"/>
  <c r="X844" i="2"/>
  <c r="X831" i="2" s="1"/>
  <c r="T691" i="2"/>
  <c r="U843" i="2"/>
  <c r="T794" i="2"/>
  <c r="U807" i="2"/>
  <c r="V817" i="2"/>
  <c r="T690" i="2"/>
  <c r="W750" i="2"/>
  <c r="V758" i="2"/>
  <c r="V820" i="2"/>
  <c r="V742" i="2"/>
  <c r="T686" i="2"/>
  <c r="X772" i="2"/>
  <c r="X776" i="2"/>
  <c r="X878" i="2"/>
  <c r="X683" i="2"/>
  <c r="X685" i="2"/>
  <c r="X673" i="2"/>
  <c r="X739" i="2"/>
  <c r="V821" i="2"/>
  <c r="V825" i="2"/>
  <c r="T711" i="2"/>
  <c r="U794" i="2"/>
  <c r="U750" i="2"/>
  <c r="T773" i="2"/>
  <c r="V719" i="2"/>
  <c r="V734" i="2"/>
  <c r="T735" i="2"/>
  <c r="V755" i="2"/>
  <c r="W712" i="2"/>
  <c r="V881" i="2"/>
  <c r="U832" i="2"/>
  <c r="U671" i="2"/>
  <c r="U761" i="2"/>
  <c r="T804" i="2"/>
  <c r="V782" i="2"/>
  <c r="V732" i="2"/>
  <c r="T749" i="2"/>
  <c r="V775" i="2"/>
  <c r="W740" i="2"/>
  <c r="W796" i="2"/>
  <c r="V871" i="2"/>
  <c r="U707" i="2"/>
  <c r="T822" i="2"/>
  <c r="T769" i="2"/>
  <c r="T766" i="2"/>
  <c r="T842" i="2"/>
  <c r="V830" i="2"/>
  <c r="T712" i="2"/>
  <c r="W684" i="2"/>
  <c r="W858" i="2"/>
  <c r="T750" i="2"/>
  <c r="U743" i="2"/>
  <c r="U729" i="2"/>
  <c r="V744" i="2"/>
  <c r="T682" i="2"/>
  <c r="T837" i="2"/>
  <c r="V794" i="2"/>
  <c r="W747" i="2"/>
  <c r="W850" i="2"/>
  <c r="V763" i="2"/>
  <c r="U678" i="2"/>
  <c r="U685" i="2"/>
  <c r="T845" i="2"/>
  <c r="V747" i="2"/>
  <c r="V731" i="2"/>
  <c r="W725" i="2"/>
  <c r="V796" i="2"/>
  <c r="V853" i="2"/>
  <c r="T820" i="2"/>
  <c r="U673" i="2"/>
  <c r="T819" i="2"/>
  <c r="V717" i="2"/>
  <c r="V840" i="2"/>
  <c r="U731" i="2"/>
  <c r="V767" i="2"/>
  <c r="W709" i="2"/>
  <c r="T861" i="2"/>
  <c r="V682" i="2"/>
  <c r="U757" i="2"/>
  <c r="X828" i="2"/>
  <c r="U749" i="2"/>
  <c r="W738" i="2"/>
  <c r="U708" i="2"/>
  <c r="V713" i="2"/>
  <c r="V716" i="2"/>
  <c r="U732" i="2"/>
  <c r="V834" i="2"/>
  <c r="U720" i="2"/>
  <c r="X881" i="2"/>
  <c r="U834" i="2"/>
  <c r="T812" i="2"/>
  <c r="V837" i="2"/>
  <c r="V702" i="2"/>
  <c r="T827" i="2"/>
  <c r="T809" i="2"/>
  <c r="U776" i="2"/>
  <c r="U722" i="2"/>
  <c r="T743" i="2"/>
  <c r="V781" i="2"/>
  <c r="T786" i="2"/>
  <c r="T840" i="2"/>
  <c r="W676" i="2"/>
  <c r="T868" i="2"/>
  <c r="V799" i="2"/>
  <c r="U800" i="2"/>
  <c r="U787" i="2"/>
  <c r="U717" i="2"/>
  <c r="V711" i="2"/>
  <c r="V789" i="2"/>
  <c r="T742" i="2"/>
  <c r="T846" i="2"/>
  <c r="W729" i="2"/>
  <c r="U815" i="2"/>
  <c r="V726" i="2"/>
  <c r="U691" i="2"/>
  <c r="U779" i="2"/>
  <c r="U740" i="2"/>
  <c r="V766" i="2"/>
  <c r="T688" i="2"/>
  <c r="V757" i="2"/>
  <c r="W731" i="2"/>
  <c r="W672" i="2"/>
  <c r="U854" i="2"/>
  <c r="U699" i="2"/>
  <c r="T811" i="2"/>
  <c r="T787" i="2"/>
  <c r="T817" i="2"/>
  <c r="U842" i="2"/>
  <c r="V841" i="2"/>
  <c r="T695" i="2"/>
  <c r="V681" i="2"/>
  <c r="W713" i="2"/>
  <c r="U852" i="2"/>
  <c r="V684" i="2"/>
  <c r="U829" i="2"/>
  <c r="U680" i="2"/>
  <c r="U806" i="2"/>
  <c r="T802" i="2"/>
  <c r="U835" i="2"/>
  <c r="V810" i="2"/>
  <c r="T730" i="2"/>
  <c r="W745" i="2"/>
  <c r="U797" i="2"/>
  <c r="W870" i="2"/>
  <c r="U768" i="2"/>
  <c r="T788" i="2"/>
  <c r="T725" i="2"/>
  <c r="U674" i="2"/>
  <c r="T841" i="2"/>
  <c r="V809" i="2"/>
  <c r="T675" i="2"/>
  <c r="T832" i="2"/>
  <c r="W720" i="2"/>
  <c r="W861" i="2"/>
  <c r="U734" i="2"/>
  <c r="U703" i="2"/>
  <c r="T807" i="2"/>
  <c r="U751" i="2"/>
  <c r="T803" i="2"/>
  <c r="U764" i="2"/>
  <c r="X855" i="2"/>
  <c r="T677" i="2"/>
  <c r="U780" i="2"/>
  <c r="V678" i="2"/>
  <c r="T879" i="2"/>
  <c r="T722" i="2"/>
  <c r="U791" i="2"/>
  <c r="X883" i="2"/>
  <c r="X764" i="2"/>
  <c r="X760" i="2"/>
  <c r="X888" i="2"/>
  <c r="V762" i="2"/>
  <c r="V690" i="2"/>
  <c r="U783" i="2"/>
  <c r="T732" i="2"/>
  <c r="T671" i="2"/>
  <c r="U696" i="2"/>
  <c r="T744" i="2"/>
  <c r="V675" i="2"/>
  <c r="T719" i="2"/>
  <c r="W671" i="2"/>
  <c r="V862" i="2"/>
  <c r="V748" i="2"/>
  <c r="U818" i="2"/>
  <c r="U760" i="2"/>
  <c r="T715" i="2"/>
  <c r="V683" i="2"/>
  <c r="T765" i="2"/>
  <c r="W752" i="2"/>
  <c r="U861" i="2"/>
  <c r="V784" i="2"/>
  <c r="U756" i="2"/>
  <c r="U737" i="2"/>
  <c r="T830" i="2"/>
  <c r="V677" i="2"/>
  <c r="V776" i="2"/>
  <c r="V701" i="2"/>
  <c r="T843" i="2"/>
  <c r="W736" i="2"/>
  <c r="T789" i="2"/>
  <c r="W859" i="2"/>
  <c r="U745" i="2"/>
  <c r="U738" i="2"/>
  <c r="U782" i="2"/>
  <c r="T716" i="2"/>
  <c r="V752" i="2"/>
  <c r="V698" i="2"/>
  <c r="T768" i="2"/>
  <c r="W716" i="2"/>
  <c r="V870" i="2"/>
  <c r="T771" i="2"/>
  <c r="U762" i="2"/>
  <c r="U801" i="2"/>
  <c r="T736" i="2"/>
  <c r="V838" i="2"/>
  <c r="T713" i="2"/>
  <c r="V712" i="2"/>
  <c r="W758" i="2"/>
  <c r="W821" i="2"/>
  <c r="W863" i="2"/>
  <c r="U744" i="2"/>
  <c r="U711" i="2"/>
  <c r="T829" i="2"/>
  <c r="U799" i="2"/>
  <c r="T760" i="2"/>
  <c r="V709" i="2"/>
  <c r="V725" i="2"/>
  <c r="T694" i="2"/>
  <c r="W685" i="2"/>
  <c r="U857" i="2"/>
  <c r="T718" i="2"/>
  <c r="U785" i="2"/>
  <c r="U702" i="2"/>
  <c r="T710" i="2"/>
  <c r="U769" i="2"/>
  <c r="W734" i="2"/>
  <c r="T838" i="2"/>
  <c r="V843" i="2"/>
  <c r="T696" i="2"/>
  <c r="U701" i="2"/>
  <c r="T875" i="2"/>
  <c r="T684" i="2"/>
  <c r="U812" i="2"/>
  <c r="X870" i="2"/>
  <c r="X774" i="2"/>
  <c r="X775" i="2"/>
  <c r="X858" i="2"/>
  <c r="V894" i="2"/>
  <c r="W888" i="2"/>
  <c r="U887" i="2"/>
  <c r="V899" i="2"/>
  <c r="T894" i="2"/>
  <c r="U907" i="2"/>
  <c r="T891" i="2"/>
  <c r="U893" i="2"/>
  <c r="V902" i="2"/>
  <c r="U901" i="2"/>
  <c r="W896" i="2"/>
  <c r="T893" i="2"/>
  <c r="W893" i="2"/>
  <c r="V890" i="2"/>
  <c r="W887" i="2"/>
  <c r="T890" i="2"/>
  <c r="V901" i="2"/>
  <c r="U895" i="2"/>
  <c r="U889" i="2"/>
  <c r="U898" i="2"/>
  <c r="W895" i="2"/>
  <c r="V889" i="2"/>
  <c r="U894" i="2"/>
  <c r="V898" i="2"/>
  <c r="V897" i="2"/>
  <c r="V888" i="2"/>
  <c r="V892" i="2"/>
  <c r="W890" i="2"/>
  <c r="U902" i="2"/>
  <c r="V896" i="2"/>
  <c r="W891" i="2"/>
  <c r="T889" i="2"/>
  <c r="W901" i="2"/>
  <c r="V887" i="2"/>
  <c r="U892" i="2"/>
  <c r="T887" i="2"/>
  <c r="V895" i="2"/>
  <c r="U888" i="2"/>
  <c r="V886" i="2"/>
  <c r="W892" i="2"/>
  <c r="T899" i="2"/>
  <c r="T898" i="2"/>
  <c r="T902" i="2"/>
  <c r="W897" i="2"/>
  <c r="U899" i="2"/>
  <c r="W899" i="2"/>
  <c r="U896" i="2"/>
  <c r="T900" i="2"/>
  <c r="U897" i="2"/>
  <c r="T886" i="2"/>
  <c r="U900" i="2"/>
  <c r="V908" i="2"/>
  <c r="U914" i="2"/>
  <c r="W918" i="2"/>
  <c r="V907" i="2"/>
  <c r="T897" i="2"/>
  <c r="T901" i="2"/>
  <c r="V914" i="2"/>
  <c r="T905" i="2"/>
  <c r="W886" i="2"/>
  <c r="U913" i="2"/>
  <c r="W889" i="2"/>
  <c r="W916" i="2"/>
  <c r="V900" i="2"/>
  <c r="T892" i="2"/>
  <c r="W913" i="2"/>
  <c r="W905" i="2"/>
  <c r="U890" i="2"/>
  <c r="U886" i="2"/>
  <c r="W908" i="2"/>
  <c r="V893" i="2"/>
  <c r="W907" i="2"/>
  <c r="U912" i="2"/>
  <c r="U891" i="2"/>
  <c r="T895" i="2"/>
  <c r="W902" i="2"/>
  <c r="W898" i="2"/>
  <c r="T888" i="2"/>
  <c r="W894" i="2"/>
  <c r="W900" i="2"/>
  <c r="V891" i="2"/>
  <c r="T896" i="2"/>
  <c r="X899" i="2"/>
  <c r="X912" i="2"/>
  <c r="B90" i="12"/>
  <c r="B59" i="12"/>
  <c r="Y716" i="2"/>
  <c r="Y708" i="2"/>
  <c r="Y715" i="2"/>
  <c r="Y707" i="2"/>
  <c r="Y710" i="2"/>
  <c r="Y713" i="2"/>
  <c r="Y711" i="2"/>
  <c r="Y722" i="2"/>
  <c r="Y717" i="2"/>
  <c r="Y720" i="2"/>
  <c r="Y712" i="2"/>
  <c r="Y714" i="2"/>
  <c r="Y719" i="2"/>
  <c r="Y721" i="2"/>
  <c r="Y709" i="2"/>
  <c r="Y706" i="2"/>
  <c r="Y718" i="2"/>
  <c r="Y735" i="2"/>
  <c r="Y728" i="2"/>
  <c r="Y730" i="2"/>
  <c r="Y738" i="2"/>
  <c r="Y732" i="2"/>
  <c r="Y736" i="2"/>
  <c r="Y740" i="2"/>
  <c r="Y739" i="2"/>
  <c r="Y737" i="2"/>
  <c r="Y731" i="2"/>
  <c r="Y724" i="2"/>
  <c r="Y729" i="2"/>
  <c r="Y733" i="2"/>
  <c r="Y734" i="2"/>
  <c r="Y726" i="2"/>
  <c r="Y725" i="2"/>
  <c r="Y727" i="2"/>
  <c r="Y908" i="2"/>
  <c r="Y905" i="2"/>
  <c r="Y907" i="2"/>
  <c r="Y915" i="2"/>
  <c r="Y912" i="2"/>
  <c r="Y917" i="2"/>
  <c r="Y910" i="2"/>
  <c r="Y918" i="2"/>
  <c r="Y911" i="2"/>
  <c r="Y904" i="2"/>
  <c r="Y919" i="2"/>
  <c r="Y914" i="2"/>
  <c r="Y916" i="2"/>
  <c r="Y909" i="2"/>
  <c r="Y920" i="2"/>
  <c r="Y827" i="2"/>
  <c r="Y818" i="2"/>
  <c r="Y826" i="2"/>
  <c r="Y793" i="2"/>
  <c r="Y779" i="2"/>
  <c r="Y778" i="2"/>
  <c r="Y782" i="2"/>
  <c r="Y790" i="2"/>
  <c r="Y781" i="2"/>
  <c r="Y785" i="2"/>
  <c r="Y788" i="2"/>
  <c r="Y783" i="2"/>
  <c r="Y794" i="2"/>
  <c r="Y789" i="2"/>
  <c r="Y780" i="2"/>
  <c r="Y787" i="2"/>
  <c r="Y786" i="2"/>
  <c r="Y791" i="2"/>
  <c r="X795" i="2"/>
  <c r="Y776" i="2"/>
  <c r="Y771" i="2"/>
  <c r="Y767" i="2"/>
  <c r="Y764" i="2"/>
  <c r="Y765" i="2"/>
  <c r="Y763" i="2"/>
  <c r="Y770" i="2"/>
  <c r="Y773" i="2"/>
  <c r="Y772" i="2"/>
  <c r="Y762" i="2"/>
  <c r="Y769" i="2"/>
  <c r="Y760" i="2"/>
  <c r="Y766" i="2"/>
  <c r="Y761" i="2"/>
  <c r="Y774" i="2"/>
  <c r="Y775" i="2"/>
  <c r="Y696" i="2"/>
  <c r="Y689" i="2"/>
  <c r="Y704" i="2"/>
  <c r="Y697" i="2"/>
  <c r="Y688" i="2"/>
  <c r="Y695" i="2"/>
  <c r="Y692" i="2"/>
  <c r="Y702" i="2"/>
  <c r="Y693" i="2"/>
  <c r="Y700" i="2"/>
  <c r="Y694" i="2"/>
  <c r="Y701" i="2"/>
  <c r="Y691" i="2"/>
  <c r="Y699" i="2"/>
  <c r="Y698" i="2"/>
  <c r="Y690" i="2"/>
  <c r="Y703" i="2"/>
  <c r="Y865" i="2"/>
  <c r="Y862" i="2"/>
  <c r="Y863" i="2"/>
  <c r="Y856" i="2"/>
  <c r="Y854" i="2"/>
  <c r="Y866" i="2"/>
  <c r="Y860" i="2"/>
  <c r="Y852" i="2"/>
  <c r="Y855" i="2"/>
  <c r="Y858" i="2"/>
  <c r="Y861" i="2"/>
  <c r="Y857" i="2"/>
  <c r="Y864" i="2"/>
  <c r="Y851" i="2"/>
  <c r="Y859" i="2"/>
  <c r="Y850" i="2"/>
  <c r="Y853" i="2"/>
  <c r="Y877" i="2"/>
  <c r="Y870" i="2"/>
  <c r="Y875" i="2"/>
  <c r="Y879" i="2"/>
  <c r="Y876" i="2"/>
  <c r="Y869" i="2"/>
  <c r="Y881" i="2"/>
  <c r="Y872" i="2"/>
  <c r="Y884" i="2"/>
  <c r="Y868" i="2"/>
  <c r="Y882" i="2"/>
  <c r="Y880" i="2"/>
  <c r="Y871" i="2"/>
  <c r="Y878" i="2"/>
  <c r="Y874" i="2"/>
  <c r="Y873" i="2"/>
  <c r="Y883" i="2"/>
  <c r="Y758" i="2"/>
  <c r="Y750" i="2"/>
  <c r="Y751" i="2"/>
  <c r="Y754" i="2"/>
  <c r="Y744" i="2"/>
  <c r="Y748" i="2"/>
  <c r="Y756" i="2"/>
  <c r="Y746" i="2"/>
  <c r="Y752" i="2"/>
  <c r="Y757" i="2"/>
  <c r="Y749" i="2"/>
  <c r="Y753" i="2"/>
  <c r="Y747" i="2"/>
  <c r="Y755" i="2"/>
  <c r="Y745" i="2"/>
  <c r="Y742" i="2"/>
  <c r="X741" i="2"/>
  <c r="Y743" i="2"/>
  <c r="Y768" i="2"/>
  <c r="Y792" i="2"/>
  <c r="Y784" i="2"/>
  <c r="Y810" i="2"/>
  <c r="Y835" i="2"/>
  <c r="Y829" i="2"/>
  <c r="Y832" i="2"/>
  <c r="Y816" i="2"/>
  <c r="Y848" i="2"/>
  <c r="Y830" i="2"/>
  <c r="Y840" i="2"/>
  <c r="Y814" i="2"/>
  <c r="Y842" i="2"/>
  <c r="Y833" i="2"/>
  <c r="Y845" i="2"/>
  <c r="Y820" i="2"/>
  <c r="Y836" i="2"/>
  <c r="Y847" i="2"/>
  <c r="Y841" i="2"/>
  <c r="Y819" i="2"/>
  <c r="Y846" i="2"/>
  <c r="Y839" i="2"/>
  <c r="Y822" i="2"/>
  <c r="Y821" i="2"/>
  <c r="Y828" i="2"/>
  <c r="Y825" i="2"/>
  <c r="Y837" i="2"/>
  <c r="Y844" i="2"/>
  <c r="Y824" i="2"/>
  <c r="Y817" i="2"/>
  <c r="Y834" i="2"/>
  <c r="Y815" i="2"/>
  <c r="Y838" i="2"/>
  <c r="Y823" i="2"/>
  <c r="Y894" i="2"/>
  <c r="Y896" i="2"/>
  <c r="Y886" i="2"/>
  <c r="Y889" i="2"/>
  <c r="Y898" i="2"/>
  <c r="Y893" i="2"/>
  <c r="Y892" i="2"/>
  <c r="Y900" i="2"/>
  <c r="Y888" i="2"/>
  <c r="Y887" i="2"/>
  <c r="Y891" i="2"/>
  <c r="Y899" i="2"/>
  <c r="Y890" i="2"/>
  <c r="Y902" i="2"/>
  <c r="Y901" i="2"/>
  <c r="Y897" i="2"/>
  <c r="Y895" i="2"/>
  <c r="Y808" i="2"/>
  <c r="Y800" i="2"/>
  <c r="Y798" i="2"/>
  <c r="Y797" i="2"/>
  <c r="Y811" i="2"/>
  <c r="Y804" i="2"/>
  <c r="Y796" i="2"/>
  <c r="Y799" i="2"/>
  <c r="Y809" i="2"/>
  <c r="Y806" i="2"/>
  <c r="Y805" i="2"/>
  <c r="Y801" i="2"/>
  <c r="Y812" i="2"/>
  <c r="Y803" i="2"/>
  <c r="Y807" i="2"/>
  <c r="Y802" i="2"/>
  <c r="X687" i="2"/>
  <c r="K105" i="12"/>
  <c r="M69" i="12"/>
  <c r="M100" i="12" s="1"/>
  <c r="N25" i="12"/>
  <c r="N8" i="12"/>
  <c r="M52" i="12"/>
  <c r="M83" i="12" s="1"/>
  <c r="N12" i="12"/>
  <c r="M56" i="12"/>
  <c r="M87" i="12" s="1"/>
  <c r="M63" i="12"/>
  <c r="M94" i="12" s="1"/>
  <c r="N19" i="12"/>
  <c r="M47" i="12"/>
  <c r="M78" i="12" s="1"/>
  <c r="N3" i="12"/>
  <c r="N9" i="12"/>
  <c r="M53" i="12"/>
  <c r="M84" i="12" s="1"/>
  <c r="M55" i="12"/>
  <c r="M86" i="12" s="1"/>
  <c r="N11" i="12"/>
  <c r="N23" i="12"/>
  <c r="M67" i="12"/>
  <c r="M98" i="12" s="1"/>
  <c r="M51" i="12"/>
  <c r="M82" i="12" s="1"/>
  <c r="N7" i="12"/>
  <c r="N26" i="12"/>
  <c r="M70" i="12"/>
  <c r="M101" i="12" s="1"/>
  <c r="O31" i="12"/>
  <c r="O38" i="12"/>
  <c r="O39" i="12" s="1"/>
  <c r="N17" i="12"/>
  <c r="M61" i="12"/>
  <c r="M92" i="12" s="1"/>
  <c r="M65" i="12"/>
  <c r="M96" i="12" s="1"/>
  <c r="N21" i="12"/>
  <c r="M66" i="12"/>
  <c r="M97" i="12" s="1"/>
  <c r="N22" i="12"/>
  <c r="M57" i="12"/>
  <c r="M88" i="12" s="1"/>
  <c r="N13" i="12"/>
  <c r="N2" i="12"/>
  <c r="M46" i="12"/>
  <c r="N24" i="12"/>
  <c r="M68" i="12"/>
  <c r="M99" i="12" s="1"/>
  <c r="M73" i="12"/>
  <c r="M104" i="12" s="1"/>
  <c r="N29" i="12"/>
  <c r="N32" i="12"/>
  <c r="N34" i="12" s="1"/>
  <c r="N35" i="12" s="1"/>
  <c r="N20" i="12"/>
  <c r="M64" i="12"/>
  <c r="M95" i="12" s="1"/>
  <c r="N4" i="12"/>
  <c r="M48" i="12"/>
  <c r="M79" i="12" s="1"/>
  <c r="M72" i="12"/>
  <c r="M103" i="12" s="1"/>
  <c r="N28" i="12"/>
  <c r="M62" i="12"/>
  <c r="M93" i="12" s="1"/>
  <c r="N18" i="12"/>
  <c r="L74" i="12"/>
  <c r="L77" i="12"/>
  <c r="Y673" i="2" s="1"/>
  <c r="M58" i="12"/>
  <c r="M89" i="12" s="1"/>
  <c r="N14" i="12"/>
  <c r="N10" i="12"/>
  <c r="M54" i="12"/>
  <c r="M85" i="12" s="1"/>
  <c r="M49" i="12"/>
  <c r="M80" i="12" s="1"/>
  <c r="N5" i="12"/>
  <c r="M50" i="12"/>
  <c r="M81" i="12" s="1"/>
  <c r="N6" i="12"/>
  <c r="N16" i="12"/>
  <c r="M60" i="12"/>
  <c r="M91" i="12" s="1"/>
  <c r="N15" i="12"/>
  <c r="M59" i="12"/>
  <c r="M90" i="12" s="1"/>
  <c r="AJ443" i="10"/>
  <c r="AI443" i="10"/>
  <c r="AI530" i="10"/>
  <c r="AJ530" i="10"/>
  <c r="AI567" i="10"/>
  <c r="AJ567" i="10"/>
  <c r="AI591" i="10"/>
  <c r="AJ591" i="10"/>
  <c r="AJ419" i="10"/>
  <c r="AI419" i="10"/>
  <c r="AJ503" i="10"/>
  <c r="AI503" i="10"/>
  <c r="AJ577" i="10"/>
  <c r="AI577" i="10"/>
  <c r="AI617" i="10"/>
  <c r="AJ617" i="10"/>
  <c r="AJ448" i="10"/>
  <c r="AI448" i="10"/>
  <c r="AJ568" i="10"/>
  <c r="AI568" i="10"/>
  <c r="AJ628" i="10"/>
  <c r="AI628" i="10"/>
  <c r="AI420" i="10"/>
  <c r="AJ420" i="10"/>
  <c r="AJ504" i="10"/>
  <c r="AI504" i="10"/>
  <c r="AI578" i="10"/>
  <c r="AJ578" i="10"/>
  <c r="AI379" i="10"/>
  <c r="AJ379" i="10"/>
  <c r="AI449" i="10"/>
  <c r="AJ449" i="10"/>
  <c r="AJ569" i="10"/>
  <c r="AI569" i="10"/>
  <c r="AJ505" i="10"/>
  <c r="AI505" i="10"/>
  <c r="AI590" i="10"/>
  <c r="AJ590" i="10"/>
  <c r="AI630" i="10"/>
  <c r="AJ630" i="10"/>
  <c r="AJ380" i="10"/>
  <c r="AI380" i="10"/>
  <c r="AJ450" i="10"/>
  <c r="AI450" i="10"/>
  <c r="AJ562" i="10"/>
  <c r="AI562" i="10"/>
  <c r="AG561" i="10"/>
  <c r="AJ561" i="10" s="1"/>
  <c r="AJ422" i="10"/>
  <c r="AI422" i="10"/>
  <c r="AJ470" i="10"/>
  <c r="AI470" i="10"/>
  <c r="AI506" i="10"/>
  <c r="AJ506" i="10"/>
  <c r="AJ592" i="10"/>
  <c r="AI592" i="10"/>
  <c r="AI4" i="10"/>
  <c r="AG3" i="10"/>
  <c r="AJ3" i="10" s="1"/>
  <c r="AJ4" i="10"/>
  <c r="AI55" i="10"/>
  <c r="AJ55" i="10"/>
  <c r="AJ134" i="10"/>
  <c r="AI134" i="10"/>
  <c r="AI35" i="10"/>
  <c r="AJ35" i="10"/>
  <c r="AI161" i="10"/>
  <c r="AJ161" i="10"/>
  <c r="AI177" i="10"/>
  <c r="AJ177" i="10"/>
  <c r="AI52" i="10"/>
  <c r="AJ52" i="10"/>
  <c r="AI38" i="10"/>
  <c r="AJ38" i="10"/>
  <c r="AI104" i="10"/>
  <c r="AJ104" i="10"/>
  <c r="AJ179" i="10"/>
  <c r="AI179" i="10"/>
  <c r="AI151" i="10"/>
  <c r="AJ151" i="10"/>
  <c r="AJ167" i="10"/>
  <c r="AI167" i="10"/>
  <c r="AI94" i="10"/>
  <c r="AJ94" i="10"/>
  <c r="AG93" i="10"/>
  <c r="AJ93" i="10" s="1"/>
  <c r="AI58" i="10"/>
  <c r="AJ58" i="10"/>
  <c r="AG57" i="10"/>
  <c r="AJ57" i="10" s="1"/>
  <c r="AE39" i="10"/>
  <c r="AF39" i="10" s="1"/>
  <c r="AF40" i="10"/>
  <c r="AI97" i="10"/>
  <c r="AJ97" i="10"/>
  <c r="AJ143" i="10"/>
  <c r="AI143" i="10"/>
  <c r="AI200" i="10"/>
  <c r="AJ200" i="10"/>
  <c r="AI274" i="10"/>
  <c r="AJ274" i="10"/>
  <c r="AG273" i="10"/>
  <c r="AJ273" i="10" s="1"/>
  <c r="AJ282" i="10"/>
  <c r="AI282" i="10"/>
  <c r="AI322" i="10"/>
  <c r="AJ322" i="10"/>
  <c r="AJ298" i="10"/>
  <c r="AI298" i="10"/>
  <c r="AI318" i="10"/>
  <c r="AJ318" i="10"/>
  <c r="AJ211" i="10"/>
  <c r="AI211" i="10"/>
  <c r="AI560" i="10"/>
  <c r="AJ560" i="10"/>
  <c r="AJ272" i="10"/>
  <c r="AI272" i="10"/>
  <c r="AI373" i="10"/>
  <c r="AJ373" i="10"/>
  <c r="AI241" i="10"/>
  <c r="AJ241" i="10"/>
  <c r="AI343" i="10"/>
  <c r="AJ343" i="10"/>
  <c r="AJ425" i="10"/>
  <c r="AI425" i="10"/>
  <c r="AI460" i="10"/>
  <c r="AJ460" i="10"/>
  <c r="AI542" i="10"/>
  <c r="AJ542" i="10"/>
  <c r="AI492" i="10"/>
  <c r="AJ492" i="10"/>
  <c r="AJ607" i="10"/>
  <c r="AI607" i="10"/>
  <c r="AJ376" i="10"/>
  <c r="AI376" i="10"/>
  <c r="AJ401" i="10"/>
  <c r="AI401" i="10"/>
  <c r="AE435" i="10"/>
  <c r="AF435" i="10" s="1"/>
  <c r="AF436" i="10"/>
  <c r="AI519" i="10"/>
  <c r="AJ519" i="10"/>
  <c r="AJ582" i="10"/>
  <c r="AI582" i="10"/>
  <c r="AJ412" i="10"/>
  <c r="AI412" i="10"/>
  <c r="AJ476" i="10"/>
  <c r="AI476" i="10"/>
  <c r="AI486" i="10"/>
  <c r="AJ486" i="10"/>
  <c r="AJ444" i="10"/>
  <c r="AI444" i="10"/>
  <c r="AE561" i="10"/>
  <c r="AF561" i="10" s="1"/>
  <c r="AF562" i="10"/>
  <c r="AJ573" i="10"/>
  <c r="AI573" i="10"/>
  <c r="AI19" i="10"/>
  <c r="AJ19" i="10"/>
  <c r="AI15" i="10"/>
  <c r="AJ15" i="10"/>
  <c r="AE21" i="10"/>
  <c r="AF21" i="10" s="1"/>
  <c r="AF22" i="10"/>
  <c r="AI122" i="10"/>
  <c r="AJ122" i="10"/>
  <c r="AI153" i="10"/>
  <c r="AJ153" i="10"/>
  <c r="AJ72" i="10"/>
  <c r="AI72" i="10"/>
  <c r="AJ45" i="10"/>
  <c r="AI45" i="10"/>
  <c r="AJ83" i="10"/>
  <c r="AI83" i="10"/>
  <c r="AI41" i="10"/>
  <c r="AJ41" i="10"/>
  <c r="AJ98" i="10"/>
  <c r="AI98" i="10"/>
  <c r="AJ144" i="10"/>
  <c r="AI144" i="10"/>
  <c r="AI223" i="10"/>
  <c r="AJ223" i="10"/>
  <c r="AI275" i="10"/>
  <c r="AJ275" i="10"/>
  <c r="AI283" i="10"/>
  <c r="AJ283" i="10"/>
  <c r="AE345" i="10"/>
  <c r="AF345" i="10" s="1"/>
  <c r="AF346" i="10"/>
  <c r="AJ231" i="10"/>
  <c r="AI231" i="10"/>
  <c r="AJ286" i="10"/>
  <c r="AI286" i="10"/>
  <c r="AJ307" i="10"/>
  <c r="AI307" i="10"/>
  <c r="AI226" i="10"/>
  <c r="AJ226" i="10"/>
  <c r="AJ265" i="10"/>
  <c r="AI265" i="10"/>
  <c r="AJ515" i="10"/>
  <c r="AI515" i="10"/>
  <c r="AI366" i="10"/>
  <c r="AJ366" i="10"/>
  <c r="AI512" i="10"/>
  <c r="AJ512" i="10"/>
  <c r="AI252" i="10"/>
  <c r="AJ252" i="10"/>
  <c r="AJ426" i="10"/>
  <c r="AI426" i="10"/>
  <c r="AI461" i="10"/>
  <c r="AJ461" i="10"/>
  <c r="AI600" i="10"/>
  <c r="AJ600" i="10"/>
  <c r="AJ430" i="10"/>
  <c r="AI430" i="10"/>
  <c r="AJ540" i="10"/>
  <c r="AI540" i="10"/>
  <c r="AJ388" i="10"/>
  <c r="AI388" i="10"/>
  <c r="AE471" i="10"/>
  <c r="AF471" i="10" s="1"/>
  <c r="AF472" i="10"/>
  <c r="AI524" i="10"/>
  <c r="AJ524" i="10"/>
  <c r="AJ583" i="10"/>
  <c r="AI583" i="10"/>
  <c r="AI413" i="10"/>
  <c r="AJ413" i="10"/>
  <c r="AI625" i="10"/>
  <c r="AJ625" i="10"/>
  <c r="AJ575" i="10"/>
  <c r="AI575" i="10"/>
  <c r="AJ123" i="10"/>
  <c r="AI123" i="10"/>
  <c r="AJ154" i="10"/>
  <c r="AI154" i="10"/>
  <c r="AI27" i="10"/>
  <c r="AJ27" i="10"/>
  <c r="AJ37" i="10"/>
  <c r="AI37" i="10"/>
  <c r="AI105" i="10"/>
  <c r="AJ105" i="10"/>
  <c r="AJ163" i="10"/>
  <c r="AI163" i="10"/>
  <c r="AI157" i="10"/>
  <c r="AJ157" i="10"/>
  <c r="AJ46" i="10"/>
  <c r="AI46" i="10"/>
  <c r="AJ115" i="10"/>
  <c r="AI115" i="10"/>
  <c r="AJ69" i="10"/>
  <c r="AI69" i="10"/>
  <c r="AI339" i="10"/>
  <c r="AJ339" i="10"/>
  <c r="AI80" i="10"/>
  <c r="AJ80" i="10"/>
  <c r="AI145" i="10"/>
  <c r="AJ145" i="10"/>
  <c r="AJ276" i="10"/>
  <c r="AI276" i="10"/>
  <c r="AI358" i="10"/>
  <c r="AJ358" i="10"/>
  <c r="AJ224" i="10"/>
  <c r="AI224" i="10"/>
  <c r="AI300" i="10"/>
  <c r="AJ300" i="10"/>
  <c r="AJ347" i="10"/>
  <c r="AI347" i="10"/>
  <c r="AJ266" i="10"/>
  <c r="AI266" i="10"/>
  <c r="AJ523" i="10"/>
  <c r="AI523" i="10"/>
  <c r="AI213" i="10"/>
  <c r="AJ213" i="10"/>
  <c r="AJ329" i="10"/>
  <c r="AI329" i="10"/>
  <c r="AJ642" i="10"/>
  <c r="AI642" i="10"/>
  <c r="AJ206" i="10"/>
  <c r="AI206" i="10"/>
  <c r="AI367" i="10"/>
  <c r="AJ367" i="10"/>
  <c r="AJ520" i="10"/>
  <c r="AI520" i="10"/>
  <c r="AJ253" i="10"/>
  <c r="AI253" i="10"/>
  <c r="AI337" i="10"/>
  <c r="AJ337" i="10"/>
  <c r="AI609" i="10"/>
  <c r="AJ609" i="10"/>
  <c r="AE453" i="10"/>
  <c r="AF453" i="10" s="1"/>
  <c r="AF454" i="10"/>
  <c r="AE489" i="10"/>
  <c r="AF489" i="10" s="1"/>
  <c r="AF490" i="10"/>
  <c r="AJ618" i="10"/>
  <c r="AI618" i="10"/>
  <c r="AI494" i="10"/>
  <c r="AJ494" i="10"/>
  <c r="AJ403" i="10"/>
  <c r="AI403" i="10"/>
  <c r="AJ552" i="10"/>
  <c r="AI552" i="10"/>
  <c r="AJ584" i="10"/>
  <c r="AI584" i="10"/>
  <c r="AJ389" i="10"/>
  <c r="AI389" i="10"/>
  <c r="AJ586" i="10"/>
  <c r="AI586" i="10"/>
  <c r="AJ24" i="10"/>
  <c r="AI24" i="10"/>
  <c r="AI124" i="10"/>
  <c r="AJ124" i="10"/>
  <c r="AJ139" i="10"/>
  <c r="AI139" i="10"/>
  <c r="AI194" i="10"/>
  <c r="AJ194" i="10"/>
  <c r="AJ108" i="10"/>
  <c r="AI108" i="10"/>
  <c r="AJ106" i="10"/>
  <c r="AI106" i="10"/>
  <c r="AI149" i="10"/>
  <c r="AJ149" i="10"/>
  <c r="AJ185" i="10"/>
  <c r="AI185" i="10"/>
  <c r="AI66" i="10"/>
  <c r="AJ66" i="10"/>
  <c r="AJ50" i="10"/>
  <c r="AI50" i="10"/>
  <c r="AJ116" i="10"/>
  <c r="AI116" i="10"/>
  <c r="AI164" i="10"/>
  <c r="AJ164" i="10"/>
  <c r="AJ81" i="10"/>
  <c r="AI81" i="10"/>
  <c r="AI277" i="10"/>
  <c r="AJ277" i="10"/>
  <c r="AI359" i="10"/>
  <c r="AJ359" i="10"/>
  <c r="AJ225" i="10"/>
  <c r="AI225" i="10"/>
  <c r="AJ301" i="10"/>
  <c r="AI301" i="10"/>
  <c r="AJ257" i="10"/>
  <c r="AI257" i="10"/>
  <c r="AJ513" i="10"/>
  <c r="AI513" i="10"/>
  <c r="AJ246" i="10"/>
  <c r="AI246" i="10"/>
  <c r="AJ254" i="10"/>
  <c r="AI254" i="10"/>
  <c r="AJ428" i="10"/>
  <c r="AI428" i="10"/>
  <c r="AI537" i="10"/>
  <c r="AJ537" i="10"/>
  <c r="AJ495" i="10"/>
  <c r="AI495" i="10"/>
  <c r="AJ404" i="10"/>
  <c r="AI404" i="10"/>
  <c r="AJ474" i="10"/>
  <c r="AI474" i="10"/>
  <c r="AJ545" i="10"/>
  <c r="AI545" i="10"/>
  <c r="AJ390" i="10"/>
  <c r="AI390" i="10"/>
  <c r="AI439" i="10"/>
  <c r="AJ439" i="10"/>
  <c r="AI587" i="10"/>
  <c r="AJ587" i="10"/>
  <c r="AI349" i="10"/>
  <c r="AJ349" i="10"/>
  <c r="AI360" i="10"/>
  <c r="AJ360" i="10"/>
  <c r="AJ517" i="10"/>
  <c r="AI517" i="10"/>
  <c r="AI234" i="10"/>
  <c r="AJ234" i="10"/>
  <c r="AJ294" i="10"/>
  <c r="AI294" i="10"/>
  <c r="AJ302" i="10"/>
  <c r="AI302" i="10"/>
  <c r="AI314" i="10"/>
  <c r="AJ314" i="10"/>
  <c r="AJ214" i="10"/>
  <c r="AI214" i="10"/>
  <c r="AJ258" i="10"/>
  <c r="AI258" i="10"/>
  <c r="AI287" i="10"/>
  <c r="AJ287" i="10"/>
  <c r="AE237" i="10"/>
  <c r="AF237" i="10" s="1"/>
  <c r="AF238" i="10"/>
  <c r="AJ331" i="10"/>
  <c r="AI331" i="10"/>
  <c r="AI514" i="10"/>
  <c r="AJ514" i="10"/>
  <c r="AI268" i="10"/>
  <c r="AJ268" i="10"/>
  <c r="AI334" i="10"/>
  <c r="AJ334" i="10"/>
  <c r="AJ521" i="10"/>
  <c r="AI521" i="10"/>
  <c r="AJ208" i="10"/>
  <c r="AI208" i="10"/>
  <c r="AJ310" i="10"/>
  <c r="AI310" i="10"/>
  <c r="AG309" i="10"/>
  <c r="AJ309" i="10" s="1"/>
  <c r="AJ369" i="10"/>
  <c r="AI369" i="10"/>
  <c r="AJ558" i="10"/>
  <c r="AI558" i="10"/>
  <c r="AE219" i="10"/>
  <c r="AF219" i="10" s="1"/>
  <c r="AF220" i="10"/>
  <c r="AJ418" i="10"/>
  <c r="AI418" i="10"/>
  <c r="AG417" i="10"/>
  <c r="AJ417" i="10" s="1"/>
  <c r="AJ429" i="10"/>
  <c r="AI429" i="10"/>
  <c r="AI464" i="10"/>
  <c r="AJ464" i="10"/>
  <c r="AI500" i="10"/>
  <c r="AJ500" i="10"/>
  <c r="AJ603" i="10"/>
  <c r="AI603" i="10"/>
  <c r="AG633" i="10"/>
  <c r="AJ633" i="10" s="1"/>
  <c r="AJ634" i="10"/>
  <c r="AI634" i="10"/>
  <c r="AI455" i="10"/>
  <c r="AJ455" i="10"/>
  <c r="AJ496" i="10"/>
  <c r="AI496" i="10"/>
  <c r="AI534" i="10"/>
  <c r="AJ534" i="10"/>
  <c r="AJ650" i="10"/>
  <c r="AI650" i="10"/>
  <c r="AI383" i="10"/>
  <c r="AJ383" i="10"/>
  <c r="AI475" i="10"/>
  <c r="AJ475" i="10"/>
  <c r="AI546" i="10"/>
  <c r="AJ546" i="10"/>
  <c r="AJ557" i="10"/>
  <c r="AI557" i="10"/>
  <c r="AJ610" i="10"/>
  <c r="AI610" i="10"/>
  <c r="AJ640" i="10"/>
  <c r="AI640" i="10"/>
  <c r="AJ391" i="10"/>
  <c r="AI391" i="10"/>
  <c r="AI405" i="10"/>
  <c r="AJ405" i="10"/>
  <c r="AJ482" i="10"/>
  <c r="AI482" i="10"/>
  <c r="AJ440" i="10"/>
  <c r="AI440" i="10"/>
  <c r="AJ488" i="10"/>
  <c r="AI488" i="10"/>
  <c r="AI588" i="10"/>
  <c r="AJ588" i="10"/>
  <c r="AJ626" i="10"/>
  <c r="AI626" i="10"/>
  <c r="AJ397" i="10"/>
  <c r="AI397" i="10"/>
  <c r="AJ451" i="10"/>
  <c r="AI451" i="10"/>
  <c r="AE525" i="10"/>
  <c r="AF525" i="10" s="1"/>
  <c r="AF526" i="10"/>
  <c r="AI526" i="10"/>
  <c r="AG525" i="10"/>
  <c r="AJ525" i="10" s="1"/>
  <c r="AJ526" i="10"/>
  <c r="AJ563" i="10"/>
  <c r="AI563" i="10"/>
  <c r="AI593" i="10"/>
  <c r="AJ593" i="10"/>
  <c r="AI638" i="10"/>
  <c r="AJ638" i="10"/>
  <c r="AJ452" i="10"/>
  <c r="AI452" i="10"/>
  <c r="AI527" i="10"/>
  <c r="AJ527" i="10"/>
  <c r="AJ564" i="10"/>
  <c r="AI564" i="10"/>
  <c r="AJ594" i="10"/>
  <c r="AI594" i="10"/>
  <c r="AI641" i="10"/>
  <c r="AJ641" i="10"/>
  <c r="AI528" i="10"/>
  <c r="AJ528" i="10"/>
  <c r="AJ589" i="10"/>
  <c r="AI589" i="10"/>
  <c r="AJ599" i="10"/>
  <c r="AI599" i="10"/>
  <c r="AJ648" i="10"/>
  <c r="AI648" i="10"/>
  <c r="AJ531" i="10"/>
  <c r="AI531" i="10"/>
  <c r="AJ565" i="10"/>
  <c r="AI565" i="10"/>
  <c r="AI595" i="10"/>
  <c r="AJ595" i="10"/>
  <c r="AJ644" i="10"/>
  <c r="AI644" i="10"/>
  <c r="AJ14" i="10"/>
  <c r="AI14" i="10"/>
  <c r="AJ16" i="10"/>
  <c r="AI16" i="10"/>
  <c r="AI192" i="10"/>
  <c r="AJ192" i="10"/>
  <c r="AJ142" i="10"/>
  <c r="AI142" i="10"/>
  <c r="AI120" i="10"/>
  <c r="AJ120" i="10"/>
  <c r="AI63" i="10"/>
  <c r="AJ63" i="10"/>
  <c r="AJ22" i="10"/>
  <c r="AI22" i="10"/>
  <c r="AG21" i="10"/>
  <c r="AJ21" i="10" s="1"/>
  <c r="AJ152" i="10"/>
  <c r="AI152" i="10"/>
  <c r="AJ86" i="10"/>
  <c r="AI86" i="10"/>
  <c r="AI44" i="10"/>
  <c r="AJ44" i="10"/>
  <c r="AE291" i="10"/>
  <c r="AF291" i="10" s="1"/>
  <c r="AF292" i="10"/>
  <c r="AJ136" i="10"/>
  <c r="AI136" i="10"/>
  <c r="AI12" i="10"/>
  <c r="AJ12" i="10"/>
  <c r="AI70" i="10"/>
  <c r="AJ70" i="10"/>
  <c r="AJ356" i="10"/>
  <c r="AI356" i="10"/>
  <c r="AI396" i="10"/>
  <c r="AJ396" i="10"/>
  <c r="AI230" i="10"/>
  <c r="AJ230" i="10"/>
  <c r="AJ285" i="10"/>
  <c r="AI285" i="10"/>
  <c r="AJ306" i="10"/>
  <c r="AI306" i="10"/>
  <c r="AJ508" i="10"/>
  <c r="AG507" i="10"/>
  <c r="AJ507" i="10" s="1"/>
  <c r="AI508" i="10"/>
  <c r="AJ635" i="10"/>
  <c r="AI635" i="10"/>
  <c r="AJ263" i="10"/>
  <c r="AI263" i="10"/>
  <c r="AI267" i="10"/>
  <c r="AJ267" i="10"/>
  <c r="AJ238" i="10"/>
  <c r="AI238" i="10"/>
  <c r="AG237" i="10"/>
  <c r="AJ237" i="10" s="1"/>
  <c r="AE201" i="10"/>
  <c r="AF201" i="10" s="1"/>
  <c r="AF202" i="10"/>
  <c r="AJ365" i="10"/>
  <c r="AI365" i="10"/>
  <c r="AI202" i="10"/>
  <c r="AJ202" i="10"/>
  <c r="AG201" i="10"/>
  <c r="AJ201" i="10" s="1"/>
  <c r="AJ251" i="10"/>
  <c r="AI251" i="10"/>
  <c r="AJ433" i="10"/>
  <c r="AI433" i="10"/>
  <c r="AJ468" i="10"/>
  <c r="AI468" i="10"/>
  <c r="AI539" i="10"/>
  <c r="AJ539" i="10"/>
  <c r="AI639" i="10"/>
  <c r="AJ639" i="10"/>
  <c r="AJ387" i="10"/>
  <c r="AI387" i="10"/>
  <c r="AI409" i="10"/>
  <c r="AJ409" i="10"/>
  <c r="AI479" i="10"/>
  <c r="AJ479" i="10"/>
  <c r="AJ550" i="10"/>
  <c r="AI550" i="10"/>
  <c r="AJ614" i="10"/>
  <c r="AI614" i="10"/>
  <c r="AJ378" i="10"/>
  <c r="AI378" i="10"/>
  <c r="AI647" i="10"/>
  <c r="AJ647" i="10"/>
  <c r="AJ637" i="10"/>
  <c r="AI637" i="10"/>
  <c r="AJ56" i="10"/>
  <c r="AI56" i="10"/>
  <c r="AI36" i="10"/>
  <c r="AJ36" i="10"/>
  <c r="AJ135" i="10"/>
  <c r="AI135" i="10"/>
  <c r="AJ178" i="10"/>
  <c r="AI178" i="10"/>
  <c r="AG183" i="10"/>
  <c r="AJ183" i="10" s="1"/>
  <c r="AJ184" i="10"/>
  <c r="AI184" i="10"/>
  <c r="AI64" i="10"/>
  <c r="AJ64" i="10"/>
  <c r="AE111" i="10"/>
  <c r="AF111" i="10" s="1"/>
  <c r="AF112" i="10"/>
  <c r="AJ95" i="10"/>
  <c r="AI95" i="10"/>
  <c r="AJ114" i="10"/>
  <c r="AI114" i="10"/>
  <c r="AJ325" i="10"/>
  <c r="AI325" i="10"/>
  <c r="AJ13" i="10"/>
  <c r="AI13" i="10"/>
  <c r="AI357" i="10"/>
  <c r="AJ357" i="10"/>
  <c r="AJ260" i="10"/>
  <c r="AI260" i="10"/>
  <c r="AJ299" i="10"/>
  <c r="AI299" i="10"/>
  <c r="AI346" i="10"/>
  <c r="AG345" i="10"/>
  <c r="AJ345" i="10" s="1"/>
  <c r="AJ346" i="10"/>
  <c r="AI328" i="10"/>
  <c r="AJ328" i="10"/>
  <c r="AG327" i="10"/>
  <c r="AJ327" i="10" s="1"/>
  <c r="AJ239" i="10"/>
  <c r="AI239" i="10"/>
  <c r="AI290" i="10"/>
  <c r="AJ290" i="10"/>
  <c r="AJ242" i="10"/>
  <c r="AI242" i="10"/>
  <c r="AI335" i="10"/>
  <c r="AJ335" i="10"/>
  <c r="AJ434" i="10"/>
  <c r="AI434" i="10"/>
  <c r="AJ469" i="10"/>
  <c r="AI469" i="10"/>
  <c r="AJ493" i="10"/>
  <c r="AI493" i="10"/>
  <c r="AJ608" i="10"/>
  <c r="AI608" i="10"/>
  <c r="AI551" i="10"/>
  <c r="AJ551" i="10"/>
  <c r="AJ621" i="10"/>
  <c r="AI621" i="10"/>
  <c r="AI385" i="10"/>
  <c r="AJ385" i="10"/>
  <c r="AJ477" i="10"/>
  <c r="AI477" i="10"/>
  <c r="AJ585" i="10"/>
  <c r="AI585" i="10"/>
  <c r="AJ437" i="10"/>
  <c r="AI437" i="10"/>
  <c r="AI445" i="10"/>
  <c r="AJ445" i="10"/>
  <c r="AJ484" i="10"/>
  <c r="AI484" i="10"/>
  <c r="AI622" i="10"/>
  <c r="AJ622" i="10"/>
  <c r="AJ18" i="10"/>
  <c r="AI18" i="10"/>
  <c r="AI76" i="10"/>
  <c r="AJ76" i="10"/>
  <c r="AG75" i="10"/>
  <c r="AJ75" i="10" s="1"/>
  <c r="AJ193" i="10"/>
  <c r="AI193" i="10"/>
  <c r="AI510" i="10"/>
  <c r="AJ510" i="10"/>
  <c r="AJ137" i="10"/>
  <c r="AI137" i="10"/>
  <c r="AJ65" i="10"/>
  <c r="AI65" i="10"/>
  <c r="AE165" i="10"/>
  <c r="AF165" i="10" s="1"/>
  <c r="AF166" i="10"/>
  <c r="AJ40" i="10"/>
  <c r="AG39" i="10"/>
  <c r="AJ39" i="10" s="1"/>
  <c r="AI40" i="10"/>
  <c r="AJ181" i="10"/>
  <c r="AI181" i="10"/>
  <c r="AE3" i="10"/>
  <c r="AF3" i="10" s="1"/>
  <c r="AF4" i="10"/>
  <c r="AI47" i="10"/>
  <c r="AJ47" i="10"/>
  <c r="AJ99" i="10"/>
  <c r="AI99" i="10"/>
  <c r="AJ324" i="10"/>
  <c r="AI324" i="10"/>
  <c r="AJ284" i="10"/>
  <c r="AI284" i="10"/>
  <c r="AJ232" i="10"/>
  <c r="AI232" i="10"/>
  <c r="AI308" i="10"/>
  <c r="AJ308" i="10"/>
  <c r="AJ516" i="10"/>
  <c r="AI516" i="10"/>
  <c r="AJ256" i="10"/>
  <c r="AI256" i="10"/>
  <c r="AG255" i="10"/>
  <c r="AJ255" i="10" s="1"/>
  <c r="AE399" i="10"/>
  <c r="AF399" i="10" s="1"/>
  <c r="AF400" i="10"/>
  <c r="AE309" i="10"/>
  <c r="AF309" i="10" s="1"/>
  <c r="AF310" i="10"/>
  <c r="AJ245" i="10"/>
  <c r="AI245" i="10"/>
  <c r="AI427" i="10"/>
  <c r="AJ427" i="10"/>
  <c r="AJ462" i="10"/>
  <c r="AI462" i="10"/>
  <c r="AJ601" i="10"/>
  <c r="AI601" i="10"/>
  <c r="AJ431" i="10"/>
  <c r="AI431" i="10"/>
  <c r="AJ645" i="10"/>
  <c r="AI645" i="10"/>
  <c r="AE543" i="10"/>
  <c r="AF543" i="10" s="1"/>
  <c r="AF544" i="10"/>
  <c r="AJ414" i="10"/>
  <c r="AI414" i="10"/>
  <c r="AJ480" i="10"/>
  <c r="AI480" i="10"/>
  <c r="AJ544" i="10"/>
  <c r="AG543" i="10"/>
  <c r="AJ543" i="10" s="1"/>
  <c r="AI544" i="10"/>
  <c r="AI438" i="10"/>
  <c r="AJ438" i="10"/>
  <c r="AJ446" i="10"/>
  <c r="AI446" i="10"/>
  <c r="AI485" i="10"/>
  <c r="AJ485" i="10"/>
  <c r="AJ623" i="10"/>
  <c r="AI623" i="10"/>
  <c r="AJ203" i="10"/>
  <c r="AI203" i="10"/>
  <c r="AJ77" i="10"/>
  <c r="AI77" i="10"/>
  <c r="AI352" i="10"/>
  <c r="AJ352" i="10"/>
  <c r="AI155" i="10"/>
  <c r="AJ155" i="10"/>
  <c r="AE57" i="10"/>
  <c r="AF57" i="10" s="1"/>
  <c r="AF58" i="10"/>
  <c r="AJ87" i="10"/>
  <c r="AI87" i="10"/>
  <c r="AJ125" i="10"/>
  <c r="AI125" i="10"/>
  <c r="AI60" i="10"/>
  <c r="AJ60" i="10"/>
  <c r="AI182" i="10"/>
  <c r="AJ182" i="10"/>
  <c r="AI5" i="10"/>
  <c r="AJ5" i="10"/>
  <c r="AI348" i="10"/>
  <c r="AJ348" i="10"/>
  <c r="AI233" i="10"/>
  <c r="AJ233" i="10"/>
  <c r="AI293" i="10"/>
  <c r="AJ293" i="10"/>
  <c r="AI313" i="10"/>
  <c r="AJ313" i="10"/>
  <c r="AI218" i="10"/>
  <c r="AJ218" i="10"/>
  <c r="AI330" i="10"/>
  <c r="AJ330" i="10"/>
  <c r="AI207" i="10"/>
  <c r="AJ207" i="10"/>
  <c r="AJ368" i="10"/>
  <c r="AI368" i="10"/>
  <c r="AJ205" i="10"/>
  <c r="AI205" i="10"/>
  <c r="AI338" i="10"/>
  <c r="AJ338" i="10"/>
  <c r="AJ463" i="10"/>
  <c r="AI463" i="10"/>
  <c r="AJ499" i="10"/>
  <c r="AI499" i="10"/>
  <c r="AI602" i="10"/>
  <c r="AJ602" i="10"/>
  <c r="AJ454" i="10"/>
  <c r="AG453" i="10"/>
  <c r="AJ453" i="10" s="1"/>
  <c r="AI454" i="10"/>
  <c r="AJ382" i="10"/>
  <c r="AG381" i="10"/>
  <c r="AJ381" i="10" s="1"/>
  <c r="AI382" i="10"/>
  <c r="AI553" i="10"/>
  <c r="AJ553" i="10"/>
  <c r="AE633" i="10"/>
  <c r="AF633" i="10" s="1"/>
  <c r="AF636" i="10"/>
  <c r="AJ402" i="10"/>
  <c r="AI402" i="10"/>
  <c r="AJ436" i="10"/>
  <c r="AI436" i="10"/>
  <c r="AG435" i="10"/>
  <c r="AJ435" i="10" s="1"/>
  <c r="AI481" i="10"/>
  <c r="AJ481" i="10"/>
  <c r="AJ447" i="10"/>
  <c r="AI447" i="10"/>
  <c r="AI624" i="10"/>
  <c r="AJ624" i="10"/>
  <c r="AI7" i="10"/>
  <c r="AJ7" i="10"/>
  <c r="AI25" i="10"/>
  <c r="AJ25" i="10"/>
  <c r="AI78" i="10"/>
  <c r="AJ78" i="10"/>
  <c r="AE129" i="10"/>
  <c r="AF129" i="10" s="1"/>
  <c r="AF130" i="10"/>
  <c r="AI140" i="10"/>
  <c r="AJ140" i="10"/>
  <c r="AI195" i="10"/>
  <c r="AJ195" i="10"/>
  <c r="AJ311" i="10"/>
  <c r="AI311" i="10"/>
  <c r="AJ48" i="10"/>
  <c r="AI48" i="10"/>
  <c r="AI88" i="10"/>
  <c r="AJ88" i="10"/>
  <c r="AJ107" i="10"/>
  <c r="AI107" i="10"/>
  <c r="AI150" i="10"/>
  <c r="AJ150" i="10"/>
  <c r="AJ186" i="10"/>
  <c r="AI186" i="10"/>
  <c r="AJ67" i="10"/>
  <c r="AI67" i="10"/>
  <c r="AJ92" i="10"/>
  <c r="AI92" i="10"/>
  <c r="AJ172" i="10"/>
  <c r="AI172" i="10"/>
  <c r="AI189" i="10"/>
  <c r="AJ189" i="10"/>
  <c r="AJ101" i="10"/>
  <c r="AI101" i="10"/>
  <c r="AI168" i="10"/>
  <c r="AJ168" i="10"/>
  <c r="AE273" i="10"/>
  <c r="AF273" i="10" s="1"/>
  <c r="AF274" i="10"/>
  <c r="AI131" i="10"/>
  <c r="AJ131" i="10"/>
  <c r="AI73" i="10"/>
  <c r="AJ73" i="10"/>
  <c r="AJ28" i="10"/>
  <c r="AI28" i="10"/>
  <c r="AJ71" i="10"/>
  <c r="AI71" i="10"/>
  <c r="AJ26" i="10"/>
  <c r="AI26" i="10"/>
  <c r="AJ82" i="10"/>
  <c r="AI82" i="10"/>
  <c r="AJ126" i="10"/>
  <c r="AI126" i="10"/>
  <c r="AJ235" i="10"/>
  <c r="AI235" i="10"/>
  <c r="AJ278" i="10"/>
  <c r="AI278" i="10"/>
  <c r="AI17" i="10"/>
  <c r="AJ17" i="10"/>
  <c r="AI323" i="10"/>
  <c r="AJ323" i="10"/>
  <c r="AJ141" i="10"/>
  <c r="AI141" i="10"/>
  <c r="AE183" i="10"/>
  <c r="AF183" i="10" s="1"/>
  <c r="AF184" i="10"/>
  <c r="AJ196" i="10"/>
  <c r="AI196" i="10"/>
  <c r="AI23" i="10"/>
  <c r="AJ23" i="10"/>
  <c r="AJ121" i="10"/>
  <c r="AI121" i="10"/>
  <c r="AI51" i="10"/>
  <c r="AJ51" i="10"/>
  <c r="AI89" i="10"/>
  <c r="AJ89" i="10"/>
  <c r="AJ187" i="10"/>
  <c r="AI187" i="10"/>
  <c r="AI556" i="10"/>
  <c r="AJ556" i="10"/>
  <c r="AJ30" i="10"/>
  <c r="AI30" i="10"/>
  <c r="AI68" i="10"/>
  <c r="AJ68" i="10"/>
  <c r="AI117" i="10"/>
  <c r="AJ117" i="10"/>
  <c r="AI173" i="10"/>
  <c r="AJ173" i="10"/>
  <c r="AJ102" i="10"/>
  <c r="AI102" i="10"/>
  <c r="AJ169" i="10"/>
  <c r="AI169" i="10"/>
  <c r="AJ79" i="10"/>
  <c r="AI79" i="10"/>
  <c r="AJ138" i="10"/>
  <c r="AI138" i="10"/>
  <c r="AI74" i="10"/>
  <c r="AJ74" i="10"/>
  <c r="AE93" i="10"/>
  <c r="AF93" i="10" s="1"/>
  <c r="AF94" i="10"/>
  <c r="AI127" i="10"/>
  <c r="AJ127" i="10"/>
  <c r="AI180" i="10"/>
  <c r="AJ180" i="10"/>
  <c r="AJ197" i="10"/>
  <c r="AI197" i="10"/>
  <c r="AJ236" i="10"/>
  <c r="AI236" i="10"/>
  <c r="AI279" i="10"/>
  <c r="AJ279" i="10"/>
  <c r="AJ292" i="10"/>
  <c r="AI292" i="10"/>
  <c r="AG291" i="10"/>
  <c r="AJ291" i="10" s="1"/>
  <c r="AJ319" i="10"/>
  <c r="AI319" i="10"/>
  <c r="AJ350" i="10"/>
  <c r="AI350" i="10"/>
  <c r="AJ361" i="10"/>
  <c r="AI361" i="10"/>
  <c r="AI227" i="10"/>
  <c r="AJ227" i="10"/>
  <c r="AE255" i="10"/>
  <c r="AF255" i="10" s="1"/>
  <c r="AF256" i="10"/>
  <c r="AI264" i="10"/>
  <c r="AJ264" i="10"/>
  <c r="AI295" i="10"/>
  <c r="AJ295" i="10"/>
  <c r="AI303" i="10"/>
  <c r="AJ303" i="10"/>
  <c r="AI315" i="10"/>
  <c r="AJ315" i="10"/>
  <c r="AI395" i="10"/>
  <c r="AJ395" i="10"/>
  <c r="AJ554" i="10"/>
  <c r="AI554" i="10"/>
  <c r="AJ215" i="10"/>
  <c r="AI215" i="10"/>
  <c r="AJ259" i="10"/>
  <c r="AI259" i="10"/>
  <c r="AE381" i="10"/>
  <c r="AF381" i="10" s="1"/>
  <c r="AF382" i="10"/>
  <c r="AJ619" i="10"/>
  <c r="AI619" i="10"/>
  <c r="AI332" i="10"/>
  <c r="AJ332" i="10"/>
  <c r="AI522" i="10"/>
  <c r="AJ522" i="10"/>
  <c r="AI243" i="10"/>
  <c r="AJ243" i="10"/>
  <c r="AJ269" i="10"/>
  <c r="AI269" i="10"/>
  <c r="AJ248" i="10"/>
  <c r="AI248" i="10"/>
  <c r="AI333" i="10"/>
  <c r="AJ333" i="10"/>
  <c r="AJ370" i="10"/>
  <c r="AI370" i="10"/>
  <c r="AJ221" i="10"/>
  <c r="AI221" i="10"/>
  <c r="AJ340" i="10"/>
  <c r="AI340" i="10"/>
  <c r="AJ398" i="10"/>
  <c r="AI398" i="10"/>
  <c r="AI421" i="10"/>
  <c r="AJ421" i="10"/>
  <c r="AI457" i="10"/>
  <c r="AJ457" i="10"/>
  <c r="AJ465" i="10"/>
  <c r="AI465" i="10"/>
  <c r="AI501" i="10"/>
  <c r="AJ501" i="10"/>
  <c r="AJ604" i="10"/>
  <c r="AI604" i="10"/>
  <c r="AI456" i="10"/>
  <c r="AJ456" i="10"/>
  <c r="AJ497" i="10"/>
  <c r="AI497" i="10"/>
  <c r="AI535" i="10"/>
  <c r="AJ535" i="10"/>
  <c r="AJ631" i="10"/>
  <c r="AI631" i="10"/>
  <c r="AJ646" i="10"/>
  <c r="AI646" i="10"/>
  <c r="AI384" i="10"/>
  <c r="AJ384" i="10"/>
  <c r="AJ547" i="10"/>
  <c r="AI547" i="10"/>
  <c r="AJ611" i="10"/>
  <c r="AI611" i="10"/>
  <c r="AI392" i="10"/>
  <c r="AJ392" i="10"/>
  <c r="AJ406" i="10"/>
  <c r="AI406" i="10"/>
  <c r="AI483" i="10"/>
  <c r="AJ483" i="10"/>
  <c r="AE597" i="10"/>
  <c r="AF597" i="10" s="1"/>
  <c r="AF598" i="10"/>
  <c r="AI636" i="10"/>
  <c r="AJ636" i="10"/>
  <c r="AJ441" i="10"/>
  <c r="AI441" i="10"/>
  <c r="AJ570" i="10"/>
  <c r="AI570" i="10"/>
  <c r="AJ627" i="10"/>
  <c r="AI627" i="10"/>
  <c r="AJ156" i="10"/>
  <c r="AI156" i="10"/>
  <c r="AI53" i="10"/>
  <c r="AJ53" i="10"/>
  <c r="AI109" i="10"/>
  <c r="AJ109" i="10"/>
  <c r="AE147" i="10"/>
  <c r="AF147" i="10" s="1"/>
  <c r="AF148" i="10"/>
  <c r="AE75" i="10"/>
  <c r="AF75" i="10" s="1"/>
  <c r="AF76" i="10"/>
  <c r="AJ33" i="10"/>
  <c r="AI33" i="10"/>
  <c r="AJ90" i="10"/>
  <c r="AI90" i="10"/>
  <c r="AJ118" i="10"/>
  <c r="AI118" i="10"/>
  <c r="AI159" i="10"/>
  <c r="AJ159" i="10"/>
  <c r="AJ188" i="10"/>
  <c r="AI188" i="10"/>
  <c r="AJ31" i="10"/>
  <c r="AI31" i="10"/>
  <c r="AJ158" i="10"/>
  <c r="AI158" i="10"/>
  <c r="AJ174" i="10"/>
  <c r="AI174" i="10"/>
  <c r="AJ132" i="10"/>
  <c r="AI132" i="10"/>
  <c r="AI59" i="10"/>
  <c r="AJ59" i="10"/>
  <c r="AJ103" i="10"/>
  <c r="AI103" i="10"/>
  <c r="AJ170" i="10"/>
  <c r="AI170" i="10"/>
  <c r="AI148" i="10"/>
  <c r="AJ148" i="10"/>
  <c r="AG147" i="10"/>
  <c r="AJ147" i="10" s="1"/>
  <c r="AI29" i="10"/>
  <c r="AJ29" i="10"/>
  <c r="AI84" i="10"/>
  <c r="AJ84" i="10"/>
  <c r="AI9" i="10"/>
  <c r="AJ9" i="10"/>
  <c r="AI42" i="10"/>
  <c r="AJ42" i="10"/>
  <c r="AJ100" i="10"/>
  <c r="AI100" i="10"/>
  <c r="AI146" i="10"/>
  <c r="AJ146" i="10"/>
  <c r="AJ220" i="10"/>
  <c r="AG219" i="10"/>
  <c r="AJ219" i="10" s="1"/>
  <c r="AI220" i="10"/>
  <c r="AJ191" i="10"/>
  <c r="AI191" i="10"/>
  <c r="AI8" i="10"/>
  <c r="AJ8" i="10"/>
  <c r="AJ128" i="10"/>
  <c r="AI128" i="10"/>
  <c r="AI198" i="10"/>
  <c r="AJ198" i="10"/>
  <c r="AI280" i="10"/>
  <c r="AJ280" i="10"/>
  <c r="AJ312" i="10"/>
  <c r="AI312" i="10"/>
  <c r="AJ320" i="10"/>
  <c r="AI320" i="10"/>
  <c r="AJ351" i="10"/>
  <c r="AI351" i="10"/>
  <c r="AJ362" i="10"/>
  <c r="AI362" i="10"/>
  <c r="AI228" i="10"/>
  <c r="AJ228" i="10"/>
  <c r="AJ296" i="10"/>
  <c r="AI296" i="10"/>
  <c r="AI304" i="10"/>
  <c r="AJ304" i="10"/>
  <c r="AJ316" i="10"/>
  <c r="AI316" i="10"/>
  <c r="AE579" i="10"/>
  <c r="AF579" i="10" s="1"/>
  <c r="AF580" i="10"/>
  <c r="AJ216" i="10"/>
  <c r="AI216" i="10"/>
  <c r="AI261" i="10"/>
  <c r="AJ261" i="10"/>
  <c r="AJ394" i="10"/>
  <c r="AI394" i="10"/>
  <c r="AI288" i="10"/>
  <c r="AJ288" i="10"/>
  <c r="AI209" i="10"/>
  <c r="AJ209" i="10"/>
  <c r="AI244" i="10"/>
  <c r="AJ244" i="10"/>
  <c r="AJ270" i="10"/>
  <c r="AI270" i="10"/>
  <c r="AJ559" i="10"/>
  <c r="AI559" i="10"/>
  <c r="AI249" i="10"/>
  <c r="AJ249" i="10"/>
  <c r="AJ344" i="10"/>
  <c r="AI344" i="10"/>
  <c r="AI371" i="10"/>
  <c r="AJ371" i="10"/>
  <c r="AI222" i="10"/>
  <c r="AJ222" i="10"/>
  <c r="AI341" i="10"/>
  <c r="AJ341" i="10"/>
  <c r="AI423" i="10"/>
  <c r="AJ423" i="10"/>
  <c r="AJ458" i="10"/>
  <c r="AI458" i="10"/>
  <c r="AJ466" i="10"/>
  <c r="AI466" i="10"/>
  <c r="AJ502" i="10"/>
  <c r="AI502" i="10"/>
  <c r="AI605" i="10"/>
  <c r="AJ605" i="10"/>
  <c r="AI490" i="10"/>
  <c r="AJ490" i="10"/>
  <c r="AG489" i="10"/>
  <c r="AJ489" i="10" s="1"/>
  <c r="AJ498" i="10"/>
  <c r="AI498" i="10"/>
  <c r="AJ536" i="10"/>
  <c r="AI536" i="10"/>
  <c r="AI374" i="10"/>
  <c r="AJ374" i="10"/>
  <c r="AI407" i="10"/>
  <c r="AJ407" i="10"/>
  <c r="AJ415" i="10"/>
  <c r="AI415" i="10"/>
  <c r="AJ509" i="10"/>
  <c r="AI509" i="10"/>
  <c r="AJ548" i="10"/>
  <c r="AI548" i="10"/>
  <c r="AJ580" i="10"/>
  <c r="AG579" i="10"/>
  <c r="AJ579" i="10" s="1"/>
  <c r="AI580" i="10"/>
  <c r="AJ612" i="10"/>
  <c r="AI612" i="10"/>
  <c r="AJ393" i="10"/>
  <c r="AI393" i="10"/>
  <c r="AI410" i="10"/>
  <c r="AJ410" i="10"/>
  <c r="AJ472" i="10"/>
  <c r="AG471" i="10"/>
  <c r="AJ471" i="10" s="1"/>
  <c r="AI472" i="10"/>
  <c r="AI442" i="10"/>
  <c r="AJ442" i="10"/>
  <c r="AI571" i="10"/>
  <c r="AJ571" i="10"/>
  <c r="AI6" i="10"/>
  <c r="AJ6" i="10"/>
  <c r="AJ54" i="10"/>
  <c r="AI54" i="10"/>
  <c r="AJ110" i="10"/>
  <c r="AI110" i="10"/>
  <c r="AI133" i="10"/>
  <c r="AJ133" i="10"/>
  <c r="AI354" i="10"/>
  <c r="AJ354" i="10"/>
  <c r="AI190" i="10"/>
  <c r="AJ190" i="10"/>
  <c r="AJ353" i="10"/>
  <c r="AI353" i="10"/>
  <c r="AJ34" i="10"/>
  <c r="AI34" i="10"/>
  <c r="AJ91" i="10"/>
  <c r="AI91" i="10"/>
  <c r="AJ119" i="10"/>
  <c r="AI119" i="10"/>
  <c r="AI160" i="10"/>
  <c r="AJ160" i="10"/>
  <c r="AI176" i="10"/>
  <c r="AJ176" i="10"/>
  <c r="AJ49" i="10"/>
  <c r="AI49" i="10"/>
  <c r="AJ32" i="10"/>
  <c r="AI32" i="10"/>
  <c r="AJ62" i="10"/>
  <c r="AI62" i="10"/>
  <c r="AI162" i="10"/>
  <c r="AJ162" i="10"/>
  <c r="AJ175" i="10"/>
  <c r="AI175" i="10"/>
  <c r="AJ61" i="10"/>
  <c r="AI61" i="10"/>
  <c r="AG111" i="10"/>
  <c r="AJ111" i="10" s="1"/>
  <c r="AI112" i="10"/>
  <c r="AJ112" i="10"/>
  <c r="AJ171" i="10"/>
  <c r="AI171" i="10"/>
  <c r="AI326" i="10"/>
  <c r="AJ326" i="10"/>
  <c r="AI85" i="10"/>
  <c r="AJ85" i="10"/>
  <c r="AJ10" i="10"/>
  <c r="AI10" i="10"/>
  <c r="AJ43" i="10"/>
  <c r="AI43" i="10"/>
  <c r="AJ113" i="10"/>
  <c r="AI113" i="10"/>
  <c r="AI166" i="10"/>
  <c r="AJ166" i="10"/>
  <c r="AG165" i="10"/>
  <c r="AJ165" i="10" s="1"/>
  <c r="AI130" i="10"/>
  <c r="AJ130" i="10"/>
  <c r="AG129" i="10"/>
  <c r="AJ129" i="10" s="1"/>
  <c r="AI11" i="10"/>
  <c r="AJ11" i="10"/>
  <c r="AJ20" i="10"/>
  <c r="AI20" i="10"/>
  <c r="AI96" i="10"/>
  <c r="AJ96" i="10"/>
  <c r="AI204" i="10"/>
  <c r="AJ204" i="10"/>
  <c r="AJ199" i="10"/>
  <c r="AI199" i="10"/>
  <c r="AI281" i="10"/>
  <c r="AJ281" i="10"/>
  <c r="AJ321" i="10"/>
  <c r="AI321" i="10"/>
  <c r="AJ355" i="10"/>
  <c r="AI355" i="10"/>
  <c r="AJ555" i="10"/>
  <c r="AI555" i="10"/>
  <c r="AI229" i="10"/>
  <c r="AJ229" i="10"/>
  <c r="AJ297" i="10"/>
  <c r="AI297" i="10"/>
  <c r="AI305" i="10"/>
  <c r="AJ305" i="10"/>
  <c r="AJ317" i="10"/>
  <c r="AI317" i="10"/>
  <c r="AI620" i="10"/>
  <c r="AJ620" i="10"/>
  <c r="AJ217" i="10"/>
  <c r="AI217" i="10"/>
  <c r="AJ262" i="10"/>
  <c r="AI262" i="10"/>
  <c r="AE327" i="10"/>
  <c r="AF327" i="10" s="1"/>
  <c r="AF328" i="10"/>
  <c r="AJ210" i="10"/>
  <c r="AI210" i="10"/>
  <c r="AI289" i="10"/>
  <c r="AJ289" i="10"/>
  <c r="AI212" i="10"/>
  <c r="AJ212" i="10"/>
  <c r="AJ271" i="10"/>
  <c r="AI271" i="10"/>
  <c r="AE363" i="10"/>
  <c r="AF363" i="10" s="1"/>
  <c r="AF364" i="10"/>
  <c r="AJ240" i="10"/>
  <c r="AI240" i="10"/>
  <c r="AJ250" i="10"/>
  <c r="AI250" i="10"/>
  <c r="AJ336" i="10"/>
  <c r="AI336" i="10"/>
  <c r="AJ364" i="10"/>
  <c r="AG363" i="10"/>
  <c r="AJ363" i="10" s="1"/>
  <c r="AI364" i="10"/>
  <c r="AI372" i="10"/>
  <c r="AJ372" i="10"/>
  <c r="AI632" i="10"/>
  <c r="AJ632" i="10"/>
  <c r="AI247" i="10"/>
  <c r="AJ247" i="10"/>
  <c r="AI342" i="10"/>
  <c r="AJ342" i="10"/>
  <c r="AI511" i="10"/>
  <c r="AJ511" i="10"/>
  <c r="AI424" i="10"/>
  <c r="AJ424" i="10"/>
  <c r="AJ432" i="10"/>
  <c r="AI432" i="10"/>
  <c r="AJ459" i="10"/>
  <c r="AI459" i="10"/>
  <c r="AI467" i="10"/>
  <c r="AJ467" i="10"/>
  <c r="AJ533" i="10"/>
  <c r="AI533" i="10"/>
  <c r="AI541" i="10"/>
  <c r="AJ541" i="10"/>
  <c r="AJ606" i="10"/>
  <c r="AI606" i="10"/>
  <c r="AI649" i="10"/>
  <c r="AJ649" i="10"/>
  <c r="AI491" i="10"/>
  <c r="AJ491" i="10"/>
  <c r="AF508" i="10"/>
  <c r="AE507" i="10"/>
  <c r="AF507" i="10" s="1"/>
  <c r="AJ538" i="10"/>
  <c r="AI538" i="10"/>
  <c r="AI375" i="10"/>
  <c r="AJ375" i="10"/>
  <c r="AI386" i="10"/>
  <c r="AJ386" i="10"/>
  <c r="AJ400" i="10"/>
  <c r="AI400" i="10"/>
  <c r="AG399" i="10"/>
  <c r="AJ399" i="10" s="1"/>
  <c r="AJ408" i="10"/>
  <c r="AI408" i="10"/>
  <c r="AI416" i="10"/>
  <c r="AJ416" i="10"/>
  <c r="AI478" i="10"/>
  <c r="AJ478" i="10"/>
  <c r="AJ518" i="10"/>
  <c r="AI518" i="10"/>
  <c r="AJ549" i="10"/>
  <c r="AI549" i="10"/>
  <c r="AI581" i="10"/>
  <c r="AJ581" i="10"/>
  <c r="AJ613" i="10"/>
  <c r="AI613" i="10"/>
  <c r="AJ377" i="10"/>
  <c r="AI377" i="10"/>
  <c r="AJ411" i="10"/>
  <c r="AI411" i="10"/>
  <c r="AI473" i="10"/>
  <c r="AJ473" i="10"/>
  <c r="AJ574" i="10"/>
  <c r="AI574" i="10"/>
  <c r="AI643" i="10"/>
  <c r="AJ643" i="10"/>
  <c r="AJ572" i="10"/>
  <c r="AI572" i="10"/>
  <c r="AI598" i="10"/>
  <c r="AG597" i="10"/>
  <c r="AJ597" i="10" s="1"/>
  <c r="AJ598" i="10"/>
  <c r="AJ629" i="10"/>
  <c r="AI629" i="10"/>
  <c r="AI487" i="10"/>
  <c r="AJ487" i="10"/>
  <c r="AI529" i="10"/>
  <c r="AJ529" i="10"/>
  <c r="AI566" i="10"/>
  <c r="AJ566" i="10"/>
  <c r="AE615" i="10"/>
  <c r="AF615" i="10" s="1"/>
  <c r="AF616" i="10"/>
  <c r="AE417" i="10"/>
  <c r="AF417" i="10" s="1"/>
  <c r="AF418" i="10"/>
  <c r="AJ532" i="10"/>
  <c r="AI532" i="10"/>
  <c r="AJ576" i="10"/>
  <c r="AI576" i="10"/>
  <c r="AJ596" i="10"/>
  <c r="AI596" i="10"/>
  <c r="AI616" i="10"/>
  <c r="AJ616" i="10"/>
  <c r="AG615" i="10"/>
  <c r="AJ615" i="10" s="1"/>
  <c r="AE615" i="2"/>
  <c r="AE309" i="2"/>
  <c r="AE201" i="2"/>
  <c r="AE3" i="2"/>
  <c r="AE453" i="2"/>
  <c r="AE345" i="2"/>
  <c r="AE507" i="2"/>
  <c r="AE129" i="2"/>
  <c r="AE111" i="2"/>
  <c r="AE489" i="2"/>
  <c r="AE273" i="2"/>
  <c r="AE633" i="2"/>
  <c r="AE93" i="2"/>
  <c r="AE417" i="2"/>
  <c r="AE327" i="2"/>
  <c r="AE165" i="2"/>
  <c r="AE39" i="2"/>
  <c r="AE525" i="2"/>
  <c r="AE399" i="2"/>
  <c r="AE291" i="2"/>
  <c r="AE237" i="2"/>
  <c r="AE561" i="2"/>
  <c r="AE579" i="2"/>
  <c r="AE363" i="2"/>
  <c r="AE435" i="2"/>
  <c r="AE381" i="2"/>
  <c r="AE255" i="2"/>
  <c r="AE183" i="2"/>
  <c r="AE75" i="2"/>
  <c r="AE57" i="2"/>
  <c r="AE219" i="2"/>
  <c r="AE543" i="2"/>
  <c r="AE147" i="2"/>
  <c r="AE21" i="2"/>
  <c r="AE597" i="2"/>
  <c r="AE471" i="2"/>
  <c r="AH570" i="2"/>
  <c r="AH198" i="2"/>
  <c r="AI198" i="2" s="1"/>
  <c r="AH452" i="2"/>
  <c r="AH602" i="2"/>
  <c r="AH305" i="2"/>
  <c r="AI305" i="2" s="1"/>
  <c r="AH340" i="2"/>
  <c r="AH205" i="2"/>
  <c r="AH4" i="2"/>
  <c r="AH517" i="2"/>
  <c r="AH544" i="2"/>
  <c r="AH272" i="2"/>
  <c r="AH444" i="2"/>
  <c r="AH628" i="2"/>
  <c r="AH493" i="2"/>
  <c r="AJ493" i="2" s="1"/>
  <c r="AH222" i="2"/>
  <c r="AH376" i="2"/>
  <c r="AH20" i="2"/>
  <c r="AH122" i="2"/>
  <c r="AJ122" i="2" s="1"/>
  <c r="AH284" i="2"/>
  <c r="AH393" i="2"/>
  <c r="AH68" i="2"/>
  <c r="AH608" i="2"/>
  <c r="AH337" i="2"/>
  <c r="AH293" i="2"/>
  <c r="AI293" i="2" s="1"/>
  <c r="AH402" i="2"/>
  <c r="AH64" i="2"/>
  <c r="AH267" i="2"/>
  <c r="AH548" i="2"/>
  <c r="AH513" i="2"/>
  <c r="AI513" i="2" s="1"/>
  <c r="AH148" i="2"/>
  <c r="AH479" i="2"/>
  <c r="AH508" i="2"/>
  <c r="AH60" i="2"/>
  <c r="AH355" i="2"/>
  <c r="AH498" i="2"/>
  <c r="AH510" i="2"/>
  <c r="AH374" i="2"/>
  <c r="AH306" i="2"/>
  <c r="AI306" i="2" s="1"/>
  <c r="AH171" i="2"/>
  <c r="AI171" i="2" s="1"/>
  <c r="AH614" i="2"/>
  <c r="AH304" i="2"/>
  <c r="AH81" i="2"/>
  <c r="AH366" i="2"/>
  <c r="AH398" i="2"/>
  <c r="AH587" i="2"/>
  <c r="AH619" i="2"/>
  <c r="AH549" i="2"/>
  <c r="AH414" i="2"/>
  <c r="AH213" i="2"/>
  <c r="AH372" i="2"/>
  <c r="AH310" i="2"/>
  <c r="AH526" i="2"/>
  <c r="AH173" i="2"/>
  <c r="AH516" i="2"/>
  <c r="AH588" i="2"/>
  <c r="AH635" i="2"/>
  <c r="AH420" i="2"/>
  <c r="AH636" i="2"/>
  <c r="AH313" i="2"/>
  <c r="AJ313" i="2" s="1"/>
  <c r="AH423" i="2"/>
  <c r="AH591" i="2"/>
  <c r="AH456" i="2"/>
  <c r="AH388" i="2"/>
  <c r="AI388" i="2" s="1"/>
  <c r="AH629" i="2"/>
  <c r="AH426" i="2"/>
  <c r="AH71" i="2"/>
  <c r="AH82" i="2"/>
  <c r="AJ82" i="2" s="1"/>
  <c r="AH607" i="2"/>
  <c r="AH527" i="2"/>
  <c r="AH323" i="2"/>
  <c r="AH343" i="2"/>
  <c r="AJ343" i="2" s="1"/>
  <c r="AH440" i="2"/>
  <c r="AH46" i="2"/>
  <c r="AH356" i="2"/>
  <c r="AJ356" i="2" s="1"/>
  <c r="AH643" i="2"/>
  <c r="AH575" i="2"/>
  <c r="AI575" i="2" s="1"/>
  <c r="AH221" i="2"/>
  <c r="AH601" i="2"/>
  <c r="AH294" i="2"/>
  <c r="AH520" i="2"/>
  <c r="AH335" i="2"/>
  <c r="AH500" i="2"/>
  <c r="AH630" i="2"/>
  <c r="AH131" i="2"/>
  <c r="AH470" i="2"/>
  <c r="AI470" i="2" s="1"/>
  <c r="AH405" i="2"/>
  <c r="AH411" i="2"/>
  <c r="AH559" i="2"/>
  <c r="AH584" i="2"/>
  <c r="AH482" i="2"/>
  <c r="AH308" i="2"/>
  <c r="AH596" i="2"/>
  <c r="AH105" i="2"/>
  <c r="AH481" i="2"/>
  <c r="AH346" i="2"/>
  <c r="AH512" i="2"/>
  <c r="AH139" i="2"/>
  <c r="AH483" i="2"/>
  <c r="AH611" i="2"/>
  <c r="AI611" i="2" s="1"/>
  <c r="AH403" i="2"/>
  <c r="AH627" i="2"/>
  <c r="AH480" i="2"/>
  <c r="AH514" i="2"/>
  <c r="AH311" i="2"/>
  <c r="AH530" i="2"/>
  <c r="AH119" i="2"/>
  <c r="AH592" i="2"/>
  <c r="AH292" i="2"/>
  <c r="AH182" i="2"/>
  <c r="AH263" i="2"/>
  <c r="AH386" i="2"/>
  <c r="AH132" i="2"/>
  <c r="AJ132" i="2" s="1"/>
  <c r="AH359" i="2"/>
  <c r="AH647" i="2"/>
  <c r="AH40" i="2"/>
  <c r="AH207" i="2"/>
  <c r="AH217" i="2"/>
  <c r="AJ217" i="2" s="1"/>
  <c r="AH478" i="2"/>
  <c r="AH490" i="2"/>
  <c r="AH286" i="2"/>
  <c r="AH645" i="2"/>
  <c r="AH360" i="2"/>
  <c r="AH457" i="2"/>
  <c r="AH242" i="2"/>
  <c r="AH534" i="2"/>
  <c r="AH397" i="2"/>
  <c r="AH250" i="2"/>
  <c r="AH465" i="2"/>
  <c r="AI465" i="2" s="1"/>
  <c r="AH9" i="2"/>
  <c r="AH569" i="2"/>
  <c r="AH89" i="2"/>
  <c r="AH266" i="2"/>
  <c r="AH280" i="2"/>
  <c r="AH429" i="2"/>
  <c r="AH580" i="2"/>
  <c r="AH589" i="2"/>
  <c r="AH88" i="2"/>
  <c r="AH275" i="2"/>
  <c r="AH283" i="2"/>
  <c r="AH609" i="2"/>
  <c r="AH394" i="2"/>
  <c r="AH503" i="2"/>
  <c r="AH610" i="2"/>
  <c r="AH578" i="2"/>
  <c r="AJ578" i="2" s="1"/>
  <c r="AH357" i="2"/>
  <c r="AH154" i="2"/>
  <c r="AH605" i="2"/>
  <c r="AH632" i="2"/>
  <c r="AI632" i="2" s="1"/>
  <c r="AH226" i="2"/>
  <c r="AH533" i="2"/>
  <c r="AH466" i="2"/>
  <c r="AI466" i="2" s="1"/>
  <c r="AH262" i="2"/>
  <c r="AH330" i="2"/>
  <c r="AH302" i="2"/>
  <c r="AH521" i="2"/>
  <c r="AI521" i="2" s="1"/>
  <c r="AH22" i="2"/>
  <c r="AH334" i="2"/>
  <c r="AH441" i="2"/>
  <c r="AH389" i="2"/>
  <c r="AH538" i="2"/>
  <c r="AH361" i="2"/>
  <c r="AH331" i="2"/>
  <c r="AH551" i="2"/>
  <c r="AJ551" i="2" s="1"/>
  <c r="AH458" i="2"/>
  <c r="AH604" i="2"/>
  <c r="AH224" i="2"/>
  <c r="AH348" i="2"/>
  <c r="AH427" i="2"/>
  <c r="AI427" i="2" s="1"/>
  <c r="AH150" i="2"/>
  <c r="AH415" i="2"/>
  <c r="AI415" i="2" s="1"/>
  <c r="AH563" i="2"/>
  <c r="AH486" i="2"/>
  <c r="AH258" i="2"/>
  <c r="AH289" i="2"/>
  <c r="AH142" i="2"/>
  <c r="AH557" i="2"/>
  <c r="AL492" i="2"/>
  <c r="AH637" i="2"/>
  <c r="AH320" i="2"/>
  <c r="AH419" i="2"/>
  <c r="AH424" i="2"/>
  <c r="AH523" i="2"/>
  <c r="AH254" i="2"/>
  <c r="AL131" i="2"/>
  <c r="AH153" i="2"/>
  <c r="AH474" i="2"/>
  <c r="AH622" i="2"/>
  <c r="AJ622" i="2" s="1"/>
  <c r="AH531" i="2"/>
  <c r="AH358" i="2"/>
  <c r="AH408" i="2"/>
  <c r="AH137" i="2"/>
  <c r="AH314" i="2"/>
  <c r="AI314" i="2" s="1"/>
  <c r="AH640" i="2"/>
  <c r="AI640" i="2" s="1"/>
  <c r="AH145" i="2"/>
  <c r="AH365" i="2"/>
  <c r="AH260" i="2"/>
  <c r="AH422" i="2"/>
  <c r="AH368" i="2"/>
  <c r="AH164" i="2"/>
  <c r="AH529" i="2"/>
  <c r="AH639" i="2"/>
  <c r="AH187" i="2"/>
  <c r="AL383" i="2"/>
  <c r="AH354" i="2"/>
  <c r="AI354" i="2" s="1"/>
  <c r="AL132" i="2"/>
  <c r="AL133" i="2"/>
  <c r="AH476" i="2"/>
  <c r="AI476" i="2" s="1"/>
  <c r="AH413" i="2"/>
  <c r="AH63" i="2"/>
  <c r="AL384" i="2"/>
  <c r="AH54" i="2"/>
  <c r="AH159" i="2"/>
  <c r="AH385" i="2"/>
  <c r="AH140" i="2"/>
  <c r="AH406" i="2"/>
  <c r="AH407" i="2"/>
  <c r="AH410" i="2"/>
  <c r="AH195" i="2"/>
  <c r="AH532" i="2"/>
  <c r="AH464" i="2"/>
  <c r="AH396" i="2"/>
  <c r="AH638" i="2"/>
  <c r="AH367" i="2"/>
  <c r="AH620" i="2"/>
  <c r="AH552" i="2"/>
  <c r="AH484" i="2"/>
  <c r="AH416" i="2"/>
  <c r="AH618" i="2"/>
  <c r="AL528" i="2"/>
  <c r="AH555" i="2"/>
  <c r="AH642" i="2"/>
  <c r="AH371" i="2"/>
  <c r="AH168" i="2"/>
  <c r="AH550" i="2"/>
  <c r="AH317" i="2"/>
  <c r="AH72" i="2"/>
  <c r="AH472" i="2"/>
  <c r="AH585" i="2"/>
  <c r="AH442" i="2"/>
  <c r="AH469" i="2"/>
  <c r="AH249" i="2"/>
  <c r="AJ249" i="2" s="1"/>
  <c r="AH576" i="2"/>
  <c r="AI576" i="2" s="1"/>
  <c r="AH577" i="2"/>
  <c r="AH377" i="2"/>
  <c r="AH298" i="2"/>
  <c r="AH230" i="2"/>
  <c r="AH475" i="2"/>
  <c r="AH540" i="2"/>
  <c r="AH495" i="2"/>
  <c r="AL311" i="2"/>
  <c r="AH239" i="2"/>
  <c r="AI239" i="2" s="1"/>
  <c r="AH511" i="2"/>
  <c r="AL294" i="2"/>
  <c r="AH114" i="2"/>
  <c r="AH560" i="2"/>
  <c r="AH156" i="2"/>
  <c r="AH412" i="2"/>
  <c r="AH90" i="2"/>
  <c r="AH38" i="2"/>
  <c r="AH370" i="2"/>
  <c r="AH23" i="2"/>
  <c r="AH199" i="2"/>
  <c r="AH12" i="2"/>
  <c r="AH5" i="2"/>
  <c r="AH184" i="2"/>
  <c r="AH322" i="2"/>
  <c r="AH431" i="2"/>
  <c r="AH539" i="2"/>
  <c r="AH648" i="2"/>
  <c r="AH6" i="2"/>
  <c r="AH190" i="2"/>
  <c r="AH325" i="2"/>
  <c r="AH432" i="2"/>
  <c r="AH541" i="2"/>
  <c r="AH649" i="2"/>
  <c r="AH191" i="2"/>
  <c r="AH326" i="2"/>
  <c r="AH436" i="2"/>
  <c r="AI436" i="2" s="1"/>
  <c r="AH542" i="2"/>
  <c r="AH13" i="2"/>
  <c r="AH192" i="2"/>
  <c r="AH328" i="2"/>
  <c r="AH437" i="2"/>
  <c r="AH546" i="2"/>
  <c r="AH246" i="2"/>
  <c r="AH178" i="2"/>
  <c r="AH110" i="2"/>
  <c r="AH43" i="2"/>
  <c r="AH245" i="2"/>
  <c r="AH177" i="2"/>
  <c r="AH109" i="2"/>
  <c r="AH42" i="2"/>
  <c r="AH650" i="2"/>
  <c r="AH583" i="2"/>
  <c r="AH515" i="2"/>
  <c r="AH447" i="2"/>
  <c r="AH379" i="2"/>
  <c r="AH312" i="2"/>
  <c r="AH244" i="2"/>
  <c r="AH176" i="2"/>
  <c r="AH108" i="2"/>
  <c r="AH41" i="2"/>
  <c r="AH621" i="2"/>
  <c r="AH553" i="2"/>
  <c r="AH485" i="2"/>
  <c r="AH418" i="2"/>
  <c r="AH350" i="2"/>
  <c r="AH282" i="2"/>
  <c r="AH214" i="2"/>
  <c r="AH146" i="2"/>
  <c r="AH79" i="2"/>
  <c r="AH11" i="2"/>
  <c r="AH603" i="2"/>
  <c r="AH535" i="2"/>
  <c r="AH467" i="2"/>
  <c r="AH400" i="2"/>
  <c r="AH332" i="2"/>
  <c r="AH264" i="2"/>
  <c r="AH196" i="2"/>
  <c r="AH128" i="2"/>
  <c r="AH61" i="2"/>
  <c r="AH181" i="2"/>
  <c r="AH319" i="2"/>
  <c r="AH428" i="2"/>
  <c r="AH537" i="2"/>
  <c r="AH644" i="2"/>
  <c r="AH106" i="2"/>
  <c r="AH430" i="2"/>
  <c r="AH566" i="2"/>
  <c r="AH339" i="2"/>
  <c r="AH574" i="2"/>
  <c r="AH161" i="2"/>
  <c r="AH454" i="2"/>
  <c r="AH29" i="2"/>
  <c r="AH208" i="2"/>
  <c r="AH336" i="2"/>
  <c r="AH445" i="2"/>
  <c r="AH554" i="2"/>
  <c r="AH30" i="2"/>
  <c r="AH209" i="2"/>
  <c r="AH338" i="2"/>
  <c r="AH446" i="2"/>
  <c r="AH31" i="2"/>
  <c r="AH215" i="2"/>
  <c r="AH448" i="2"/>
  <c r="AH556" i="2"/>
  <c r="AH37" i="2"/>
  <c r="AH216" i="2"/>
  <c r="AH342" i="2"/>
  <c r="AH449" i="2"/>
  <c r="AH558" i="2"/>
  <c r="AH238" i="2"/>
  <c r="AH170" i="2"/>
  <c r="AH102" i="2"/>
  <c r="AH34" i="2"/>
  <c r="AH236" i="2"/>
  <c r="AH169" i="2"/>
  <c r="AH101" i="2"/>
  <c r="AH33" i="2"/>
  <c r="AH506" i="2"/>
  <c r="AH439" i="2"/>
  <c r="AH303" i="2"/>
  <c r="AH235" i="2"/>
  <c r="AH100" i="2"/>
  <c r="AH32" i="2"/>
  <c r="AH612" i="2"/>
  <c r="AH545" i="2"/>
  <c r="AH477" i="2"/>
  <c r="AH409" i="2"/>
  <c r="AH341" i="2"/>
  <c r="AH274" i="2"/>
  <c r="AH206" i="2"/>
  <c r="AH138" i="2"/>
  <c r="AH70" i="2"/>
  <c r="AH594" i="2"/>
  <c r="AH459" i="2"/>
  <c r="AH391" i="2"/>
  <c r="AH256" i="2"/>
  <c r="AH188" i="2"/>
  <c r="AH120" i="2"/>
  <c r="AH52" i="2"/>
  <c r="AH200" i="2"/>
  <c r="AH158" i="2"/>
  <c r="AH48" i="2"/>
  <c r="AH232" i="2"/>
  <c r="AH351" i="2"/>
  <c r="AH567" i="2"/>
  <c r="AH233" i="2"/>
  <c r="AH352" i="2"/>
  <c r="AH461" i="2"/>
  <c r="AH568" i="2"/>
  <c r="AH55" i="2"/>
  <c r="AH234" i="2"/>
  <c r="AH353" i="2"/>
  <c r="AH462" i="2"/>
  <c r="AH571" i="2"/>
  <c r="AH56" i="2"/>
  <c r="AH241" i="2"/>
  <c r="AH463" i="2"/>
  <c r="AH572" i="2"/>
  <c r="AH229" i="2"/>
  <c r="AH94" i="2"/>
  <c r="AH26" i="2"/>
  <c r="AH228" i="2"/>
  <c r="AH160" i="2"/>
  <c r="AH92" i="2"/>
  <c r="AH25" i="2"/>
  <c r="AH634" i="2"/>
  <c r="AH362" i="2"/>
  <c r="AH295" i="2"/>
  <c r="AH227" i="2"/>
  <c r="AH91" i="2"/>
  <c r="AH24" i="2"/>
  <c r="AH536" i="2"/>
  <c r="AH468" i="2"/>
  <c r="AH401" i="2"/>
  <c r="AH333" i="2"/>
  <c r="AH265" i="2"/>
  <c r="AH197" i="2"/>
  <c r="AH130" i="2"/>
  <c r="AH62" i="2"/>
  <c r="AH586" i="2"/>
  <c r="AH518" i="2"/>
  <c r="AH450" i="2"/>
  <c r="AH383" i="2"/>
  <c r="AH315" i="2"/>
  <c r="AH247" i="2"/>
  <c r="AH179" i="2"/>
  <c r="AH112" i="2"/>
  <c r="AH44" i="2"/>
  <c r="AH225" i="2"/>
  <c r="AH347" i="2"/>
  <c r="AH455" i="2"/>
  <c r="AH564" i="2"/>
  <c r="AH524" i="2"/>
  <c r="AH97" i="2"/>
  <c r="AH268" i="2"/>
  <c r="AH593" i="2"/>
  <c r="AH98" i="2"/>
  <c r="AH270" i="2"/>
  <c r="AH378" i="2"/>
  <c r="AH487" i="2"/>
  <c r="AH99" i="2"/>
  <c r="AH271" i="2"/>
  <c r="AH380" i="2"/>
  <c r="AH488" i="2"/>
  <c r="AH598" i="2"/>
  <c r="AH382" i="2"/>
  <c r="AH491" i="2"/>
  <c r="AH599" i="2"/>
  <c r="AH212" i="2"/>
  <c r="AH144" i="2"/>
  <c r="AH77" i="2"/>
  <c r="AH211" i="2"/>
  <c r="AH143" i="2"/>
  <c r="AH76" i="2"/>
  <c r="AH8" i="2"/>
  <c r="AH617" i="2"/>
  <c r="AH278" i="2"/>
  <c r="AH210" i="2"/>
  <c r="AH74" i="2"/>
  <c r="AH7" i="2"/>
  <c r="AH519" i="2"/>
  <c r="AH451" i="2"/>
  <c r="AH384" i="2"/>
  <c r="AH316" i="2"/>
  <c r="AH248" i="2"/>
  <c r="AH180" i="2"/>
  <c r="AH113" i="2"/>
  <c r="AH45" i="2"/>
  <c r="AH501" i="2"/>
  <c r="AH162" i="2"/>
  <c r="AH95" i="2"/>
  <c r="AH27" i="2"/>
  <c r="AH373" i="2"/>
  <c r="AH590" i="2"/>
  <c r="AH47" i="2"/>
  <c r="AH116" i="2"/>
  <c r="AH390" i="2"/>
  <c r="AH499" i="2"/>
  <c r="AH492" i="2"/>
  <c r="AH641" i="2"/>
  <c r="AL491" i="2"/>
  <c r="AH433" i="2"/>
  <c r="AH123" i="2"/>
  <c r="AH285" i="2"/>
  <c r="AH124" i="2"/>
  <c r="AH287" i="2"/>
  <c r="AH395" i="2"/>
  <c r="AH504" i="2"/>
  <c r="AH613" i="2"/>
  <c r="AH204" i="2"/>
  <c r="AH136" i="2"/>
  <c r="AH203" i="2"/>
  <c r="AH135" i="2"/>
  <c r="AH67" i="2"/>
  <c r="AH473" i="2"/>
  <c r="AH269" i="2"/>
  <c r="AH202" i="2"/>
  <c r="AH134" i="2"/>
  <c r="AH66" i="2"/>
  <c r="AH646" i="2"/>
  <c r="AH443" i="2"/>
  <c r="AH375" i="2"/>
  <c r="AH307" i="2"/>
  <c r="AH240" i="2"/>
  <c r="AH172" i="2"/>
  <c r="AH104" i="2"/>
  <c r="AH36" i="2"/>
  <c r="AH425" i="2"/>
  <c r="AH86" i="2"/>
  <c r="AH18" i="2"/>
  <c r="AH279" i="2"/>
  <c r="AH387" i="2"/>
  <c r="AH496" i="2"/>
  <c r="AH344" i="2"/>
  <c r="AH296" i="2"/>
  <c r="AH404" i="2"/>
  <c r="AH141" i="2"/>
  <c r="AH297" i="2"/>
  <c r="AH623" i="2"/>
  <c r="AH300" i="2"/>
  <c r="AH624" i="2"/>
  <c r="AH149" i="2"/>
  <c r="AH301" i="2"/>
  <c r="AH626" i="2"/>
  <c r="AH127" i="2"/>
  <c r="AH194" i="2"/>
  <c r="AH126" i="2"/>
  <c r="AH59" i="2"/>
  <c r="AH329" i="2"/>
  <c r="AH261" i="2"/>
  <c r="AH193" i="2"/>
  <c r="AH125" i="2"/>
  <c r="AH58" i="2"/>
  <c r="AH502" i="2"/>
  <c r="AH434" i="2"/>
  <c r="AH299" i="2"/>
  <c r="AH231" i="2"/>
  <c r="AH163" i="2"/>
  <c r="AH96" i="2"/>
  <c r="AH28" i="2"/>
  <c r="AH349" i="2"/>
  <c r="AH281" i="2"/>
  <c r="AH78" i="2"/>
  <c r="AH10" i="2"/>
  <c r="AH133" i="2"/>
  <c r="AH509" i="2"/>
  <c r="AH600" i="2"/>
  <c r="AH277" i="2"/>
  <c r="AH251" i="2"/>
  <c r="AH364" i="2"/>
  <c r="AH581" i="2"/>
  <c r="AH73" i="2"/>
  <c r="AH582" i="2"/>
  <c r="AH80" i="2"/>
  <c r="AH259" i="2"/>
  <c r="AH369" i="2"/>
  <c r="AH85" i="2"/>
  <c r="AH17" i="2"/>
  <c r="AH220" i="2"/>
  <c r="AH152" i="2"/>
  <c r="AH84" i="2"/>
  <c r="AH16" i="2"/>
  <c r="AH625" i="2"/>
  <c r="AH218" i="2"/>
  <c r="AH151" i="2"/>
  <c r="AH83" i="2"/>
  <c r="AH15" i="2"/>
  <c r="AH595" i="2"/>
  <c r="AH528" i="2"/>
  <c r="AH460" i="2"/>
  <c r="AH392" i="2"/>
  <c r="AH324" i="2"/>
  <c r="AH257" i="2"/>
  <c r="AH189" i="2"/>
  <c r="AH121" i="2"/>
  <c r="AH53" i="2"/>
  <c r="AH103" i="2"/>
  <c r="AH35" i="2"/>
  <c r="AH65" i="2"/>
  <c r="AH276" i="2"/>
  <c r="AH174" i="2"/>
  <c r="AH565" i="2"/>
  <c r="AH175" i="2"/>
  <c r="AH497" i="2"/>
  <c r="AH107" i="2"/>
  <c r="AH573" i="2"/>
  <c r="AH547" i="2"/>
  <c r="AH166" i="2"/>
  <c r="AH167" i="2"/>
  <c r="AH421" i="2"/>
  <c r="AH51" i="2"/>
  <c r="AH253" i="2"/>
  <c r="AH186" i="2"/>
  <c r="AH118" i="2"/>
  <c r="AH50" i="2"/>
  <c r="AH252" i="2"/>
  <c r="AH185" i="2"/>
  <c r="AH117" i="2"/>
  <c r="AH49" i="2"/>
  <c r="AH562" i="2"/>
  <c r="AH494" i="2"/>
  <c r="AH290" i="2"/>
  <c r="AH223" i="2"/>
  <c r="AH155" i="2"/>
  <c r="AH87" i="2"/>
  <c r="AH19" i="2"/>
  <c r="AH69" i="2"/>
  <c r="AH157" i="2"/>
  <c r="AH522" i="2"/>
  <c r="AH631" i="2"/>
  <c r="AH318" i="2"/>
  <c r="AH606" i="2"/>
  <c r="AH505" i="2"/>
  <c r="AH616" i="2"/>
  <c r="AH243" i="2"/>
  <c r="AH288" i="2"/>
  <c r="AH14" i="2"/>
  <c r="AH115" i="2"/>
  <c r="AH321" i="2"/>
  <c r="AH438" i="2"/>
  <c r="AL221" i="2"/>
  <c r="AL349" i="2"/>
  <c r="AL347" i="2"/>
  <c r="AL150" i="2"/>
  <c r="AL239" i="2"/>
  <c r="AL348" i="2"/>
  <c r="AL185" i="2"/>
  <c r="AL401" i="2"/>
  <c r="AL77" i="2"/>
  <c r="AL113" i="2"/>
  <c r="AL581" i="2"/>
  <c r="AL563" i="2"/>
  <c r="AL599" i="2"/>
  <c r="AL636" i="2"/>
  <c r="AL529" i="2"/>
  <c r="AL509" i="2"/>
  <c r="AL421" i="2"/>
  <c r="AL96" i="2"/>
  <c r="AL546" i="2"/>
  <c r="AL257" i="2"/>
  <c r="AL204" i="2"/>
  <c r="AL332" i="2"/>
  <c r="AL59" i="2"/>
  <c r="AL474" i="2"/>
  <c r="AL438" i="2"/>
  <c r="AL350" i="2"/>
  <c r="AL222" i="2"/>
  <c r="AL312" i="2"/>
  <c r="AL455" i="2"/>
  <c r="AL168" i="2"/>
  <c r="AL42" i="2"/>
  <c r="AL6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O27" i="12" l="1"/>
  <c r="O71" i="12" s="1"/>
  <c r="O102" i="12" s="1"/>
  <c r="AB1163" i="2" s="1"/>
  <c r="AA1160" i="2"/>
  <c r="AA1157" i="2"/>
  <c r="AA1162" i="2"/>
  <c r="AA1161" i="2"/>
  <c r="AA1166" i="2"/>
  <c r="AA1159" i="2"/>
  <c r="AA1167" i="2"/>
  <c r="AA1172" i="2"/>
  <c r="AA1168" i="2"/>
  <c r="AA1156" i="2"/>
  <c r="AA1169" i="2"/>
  <c r="AA1164" i="2"/>
  <c r="AA1158" i="2"/>
  <c r="AA1170" i="2"/>
  <c r="AA1165" i="2"/>
  <c r="AA1163" i="2"/>
  <c r="Z1155" i="2"/>
  <c r="X813" i="2"/>
  <c r="X723" i="2"/>
  <c r="X849" i="2"/>
  <c r="X705" i="2"/>
  <c r="Z1152" i="2"/>
  <c r="Z1153" i="2"/>
  <c r="Z1154" i="2"/>
  <c r="Z1141" i="2"/>
  <c r="Z1140" i="2"/>
  <c r="Z1142" i="2"/>
  <c r="Z1143" i="2"/>
  <c r="Z1144" i="2"/>
  <c r="Z1149" i="2"/>
  <c r="Z1148" i="2"/>
  <c r="Z1150" i="2"/>
  <c r="Z1151" i="2"/>
  <c r="Z1138" i="2"/>
  <c r="Z1139" i="2"/>
  <c r="Z1145" i="2"/>
  <c r="Z1146" i="2"/>
  <c r="Z1147" i="2"/>
  <c r="Y1137" i="2"/>
  <c r="X759" i="2"/>
  <c r="X669" i="2"/>
  <c r="X885" i="2"/>
  <c r="X867" i="2"/>
  <c r="W795" i="2"/>
  <c r="U759" i="2"/>
  <c r="Y678" i="2"/>
  <c r="Y681" i="2"/>
  <c r="T687" i="2"/>
  <c r="W849" i="2"/>
  <c r="W669" i="2"/>
  <c r="U777" i="2"/>
  <c r="W831" i="2"/>
  <c r="T813" i="2"/>
  <c r="Y685" i="2"/>
  <c r="Y674" i="2"/>
  <c r="T867" i="2"/>
  <c r="U669" i="2"/>
  <c r="T669" i="2"/>
  <c r="W867" i="2"/>
  <c r="W759" i="2"/>
  <c r="W777" i="2"/>
  <c r="Y680" i="2"/>
  <c r="Y670" i="2"/>
  <c r="Y682" i="2"/>
  <c r="V705" i="2"/>
  <c r="V777" i="2"/>
  <c r="W723" i="2"/>
  <c r="Y672" i="2"/>
  <c r="Y677" i="2"/>
  <c r="V741" i="2"/>
  <c r="V867" i="2"/>
  <c r="T795" i="2"/>
  <c r="U849" i="2"/>
  <c r="W687" i="2"/>
  <c r="W813" i="2"/>
  <c r="Y679" i="2"/>
  <c r="Y684" i="2"/>
  <c r="U687" i="2"/>
  <c r="U741" i="2"/>
  <c r="V849" i="2"/>
  <c r="Y671" i="2"/>
  <c r="Y676" i="2"/>
  <c r="V813" i="2"/>
  <c r="W705" i="2"/>
  <c r="T723" i="2"/>
  <c r="V723" i="2"/>
  <c r="V759" i="2"/>
  <c r="V669" i="2"/>
  <c r="U867" i="2"/>
  <c r="Y675" i="2"/>
  <c r="Y683" i="2"/>
  <c r="V795" i="2"/>
  <c r="U831" i="2"/>
  <c r="T705" i="2"/>
  <c r="W741" i="2"/>
  <c r="V687" i="2"/>
  <c r="U813" i="2"/>
  <c r="U705" i="2"/>
  <c r="T849" i="2"/>
  <c r="Y686" i="2"/>
  <c r="T831" i="2"/>
  <c r="U795" i="2"/>
  <c r="U723" i="2"/>
  <c r="V831" i="2"/>
  <c r="W912" i="2"/>
  <c r="U916" i="2"/>
  <c r="U885" i="2"/>
  <c r="U918" i="2"/>
  <c r="X916" i="2"/>
  <c r="X910" i="2"/>
  <c r="X908" i="2"/>
  <c r="X914" i="2"/>
  <c r="X906" i="2"/>
  <c r="X920" i="2"/>
  <c r="X911" i="2"/>
  <c r="X915" i="2"/>
  <c r="X918" i="2"/>
  <c r="X909" i="2"/>
  <c r="X917" i="2"/>
  <c r="X919" i="2"/>
  <c r="X913" i="2"/>
  <c r="X904" i="2"/>
  <c r="X907" i="2"/>
  <c r="U905" i="2"/>
  <c r="U911" i="2"/>
  <c r="T910" i="2"/>
  <c r="U909" i="2"/>
  <c r="U910" i="2"/>
  <c r="T904" i="2"/>
  <c r="T920" i="2"/>
  <c r="V916" i="2"/>
  <c r="T911" i="2"/>
  <c r="T919" i="2"/>
  <c r="T915" i="2"/>
  <c r="T918" i="2"/>
  <c r="U917" i="2"/>
  <c r="W906" i="2"/>
  <c r="U908" i="2"/>
  <c r="T907" i="2"/>
  <c r="V911" i="2"/>
  <c r="T912" i="2"/>
  <c r="V910" i="2"/>
  <c r="V913" i="2"/>
  <c r="V909" i="2"/>
  <c r="V918" i="2"/>
  <c r="U904" i="2"/>
  <c r="T913" i="2"/>
  <c r="V905" i="2"/>
  <c r="V904" i="2"/>
  <c r="W915" i="2"/>
  <c r="V917" i="2"/>
  <c r="W914" i="2"/>
  <c r="U920" i="2"/>
  <c r="W911" i="2"/>
  <c r="T916" i="2"/>
  <c r="V920" i="2"/>
  <c r="U915" i="2"/>
  <c r="T906" i="2"/>
  <c r="T909" i="2"/>
  <c r="X905" i="2"/>
  <c r="V915" i="2"/>
  <c r="V919" i="2"/>
  <c r="T914" i="2"/>
  <c r="W885" i="2"/>
  <c r="W919" i="2"/>
  <c r="W910" i="2"/>
  <c r="V912" i="2"/>
  <c r="W904" i="2"/>
  <c r="W917" i="2"/>
  <c r="T908" i="2"/>
  <c r="W920" i="2"/>
  <c r="W909" i="2"/>
  <c r="Y913" i="2"/>
  <c r="Y906" i="2"/>
  <c r="U906" i="2"/>
  <c r="V927" i="2"/>
  <c r="V906" i="2"/>
  <c r="U936" i="2"/>
  <c r="T917" i="2"/>
  <c r="U919" i="2"/>
  <c r="T925" i="2"/>
  <c r="T885" i="2"/>
  <c r="V885" i="2"/>
  <c r="B91" i="12"/>
  <c r="B60" i="12"/>
  <c r="Z862" i="2"/>
  <c r="Z856" i="2"/>
  <c r="Z854" i="2"/>
  <c r="Z859" i="2"/>
  <c r="Z850" i="2"/>
  <c r="Z852" i="2"/>
  <c r="Z851" i="2"/>
  <c r="Z861" i="2"/>
  <c r="Z853" i="2"/>
  <c r="Z857" i="2"/>
  <c r="Z863" i="2"/>
  <c r="Z858" i="2"/>
  <c r="Z855" i="2"/>
  <c r="Z866" i="2"/>
  <c r="Z860" i="2"/>
  <c r="Z864" i="2"/>
  <c r="Z865" i="2"/>
  <c r="Z817" i="2"/>
  <c r="Z818" i="2"/>
  <c r="Z825" i="2"/>
  <c r="Z715" i="2"/>
  <c r="Z707" i="2"/>
  <c r="Z722" i="2"/>
  <c r="Z714" i="2"/>
  <c r="Z706" i="2"/>
  <c r="Z718" i="2"/>
  <c r="Z719" i="2"/>
  <c r="Z713" i="2"/>
  <c r="Z720" i="2"/>
  <c r="Z716" i="2"/>
  <c r="Z712" i="2"/>
  <c r="Z711" i="2"/>
  <c r="Z709" i="2"/>
  <c r="Z708" i="2"/>
  <c r="Z717" i="2"/>
  <c r="Z721" i="2"/>
  <c r="Z710" i="2"/>
  <c r="Z783" i="2"/>
  <c r="Z794" i="2"/>
  <c r="Z779" i="2"/>
  <c r="Z778" i="2"/>
  <c r="Z782" i="2"/>
  <c r="Z785" i="2"/>
  <c r="Z793" i="2"/>
  <c r="Z789" i="2"/>
  <c r="Z786" i="2"/>
  <c r="Z787" i="2"/>
  <c r="Z781" i="2"/>
  <c r="Z790" i="2"/>
  <c r="Z780" i="2"/>
  <c r="Z788" i="2"/>
  <c r="Z792" i="2"/>
  <c r="Z772" i="2"/>
  <c r="Z764" i="2"/>
  <c r="Z762" i="2"/>
  <c r="Z765" i="2"/>
  <c r="Z774" i="2"/>
  <c r="Z776" i="2"/>
  <c r="Z760" i="2"/>
  <c r="Z770" i="2"/>
  <c r="Z775" i="2"/>
  <c r="Z771" i="2"/>
  <c r="Z767" i="2"/>
  <c r="Z773" i="2"/>
  <c r="Z761" i="2"/>
  <c r="Z763" i="2"/>
  <c r="Z768" i="2"/>
  <c r="Z769" i="2"/>
  <c r="Y831" i="2"/>
  <c r="Y759" i="2"/>
  <c r="Y777" i="2"/>
  <c r="Y723" i="2"/>
  <c r="Z893" i="2"/>
  <c r="Z900" i="2"/>
  <c r="Z889" i="2"/>
  <c r="Z886" i="2"/>
  <c r="Z902" i="2"/>
  <c r="Z897" i="2"/>
  <c r="Z896" i="2"/>
  <c r="Z892" i="2"/>
  <c r="Z898" i="2"/>
  <c r="Z887" i="2"/>
  <c r="Z890" i="2"/>
  <c r="Z899" i="2"/>
  <c r="Z888" i="2"/>
  <c r="Z895" i="2"/>
  <c r="Z891" i="2"/>
  <c r="Z901" i="2"/>
  <c r="Z894" i="2"/>
  <c r="Z803" i="2"/>
  <c r="Z797" i="2"/>
  <c r="Z807" i="2"/>
  <c r="Z802" i="2"/>
  <c r="Z796" i="2"/>
  <c r="Z805" i="2"/>
  <c r="Z812" i="2"/>
  <c r="Z798" i="2"/>
  <c r="Z810" i="2"/>
  <c r="Z799" i="2"/>
  <c r="Z808" i="2"/>
  <c r="Z806" i="2"/>
  <c r="Z811" i="2"/>
  <c r="Z804" i="2"/>
  <c r="Z801" i="2"/>
  <c r="Z791" i="2"/>
  <c r="Z784" i="2"/>
  <c r="Z766" i="2"/>
  <c r="Z809" i="2"/>
  <c r="Z800" i="2"/>
  <c r="Z839" i="2"/>
  <c r="Z841" i="2"/>
  <c r="Z832" i="2"/>
  <c r="Z837" i="2"/>
  <c r="Z833" i="2"/>
  <c r="Z827" i="2"/>
  <c r="Z840" i="2"/>
  <c r="Z828" i="2"/>
  <c r="Z821" i="2"/>
  <c r="Z836" i="2"/>
  <c r="Z814" i="2"/>
  <c r="Z829" i="2"/>
  <c r="Z819" i="2"/>
  <c r="Z843" i="2"/>
  <c r="Z845" i="2"/>
  <c r="Z822" i="2"/>
  <c r="Z823" i="2"/>
  <c r="Z826" i="2"/>
  <c r="Z847" i="2"/>
  <c r="Z816" i="2"/>
  <c r="Z820" i="2"/>
  <c r="Z824" i="2"/>
  <c r="Z830" i="2"/>
  <c r="Z815" i="2"/>
  <c r="Z838" i="2"/>
  <c r="Z846" i="2"/>
  <c r="Z844" i="2"/>
  <c r="Z835" i="2"/>
  <c r="Y885" i="2"/>
  <c r="Y849" i="2"/>
  <c r="Z906" i="2"/>
  <c r="Z907" i="2"/>
  <c r="Z912" i="2"/>
  <c r="Z919" i="2"/>
  <c r="Z916" i="2"/>
  <c r="Z911" i="2"/>
  <c r="Z920" i="2"/>
  <c r="Z910" i="2"/>
  <c r="Z908" i="2"/>
  <c r="Z917" i="2"/>
  <c r="Z913" i="2"/>
  <c r="Z905" i="2"/>
  <c r="Z915" i="2"/>
  <c r="Z914" i="2"/>
  <c r="Z909" i="2"/>
  <c r="Z904" i="2"/>
  <c r="Z918" i="2"/>
  <c r="Z703" i="2"/>
  <c r="Z696" i="2"/>
  <c r="Z704" i="2"/>
  <c r="Z695" i="2"/>
  <c r="Z688" i="2"/>
  <c r="Z691" i="2"/>
  <c r="Z693" i="2"/>
  <c r="Z700" i="2"/>
  <c r="Z698" i="2"/>
  <c r="Z694" i="2"/>
  <c r="Z701" i="2"/>
  <c r="Z690" i="2"/>
  <c r="Z697" i="2"/>
  <c r="Z689" i="2"/>
  <c r="Z702" i="2"/>
  <c r="Z692" i="2"/>
  <c r="Z699" i="2"/>
  <c r="Z749" i="2"/>
  <c r="Z742" i="2"/>
  <c r="Z757" i="2"/>
  <c r="Z750" i="2"/>
  <c r="Z755" i="2"/>
  <c r="Z751" i="2"/>
  <c r="Z748" i="2"/>
  <c r="Z745" i="2"/>
  <c r="Z746" i="2"/>
  <c r="Z743" i="2"/>
  <c r="Z756" i="2"/>
  <c r="Z744" i="2"/>
  <c r="Z747" i="2"/>
  <c r="Z754" i="2"/>
  <c r="Z753" i="2"/>
  <c r="Z752" i="2"/>
  <c r="Z758" i="2"/>
  <c r="Y813" i="2"/>
  <c r="Z874" i="2"/>
  <c r="Z882" i="2"/>
  <c r="Z871" i="2"/>
  <c r="Z876" i="2"/>
  <c r="Z884" i="2"/>
  <c r="Z870" i="2"/>
  <c r="Z877" i="2"/>
  <c r="Z872" i="2"/>
  <c r="Z883" i="2"/>
  <c r="Z873" i="2"/>
  <c r="Z869" i="2"/>
  <c r="Z881" i="2"/>
  <c r="Z880" i="2"/>
  <c r="Z878" i="2"/>
  <c r="Z868" i="2"/>
  <c r="Z879" i="2"/>
  <c r="Z875" i="2"/>
  <c r="Z933" i="2"/>
  <c r="Z927" i="2"/>
  <c r="Z938" i="2"/>
  <c r="Z922" i="2"/>
  <c r="Z930" i="2"/>
  <c r="Z929" i="2"/>
  <c r="Z924" i="2"/>
  <c r="Z937" i="2"/>
  <c r="Z928" i="2"/>
  <c r="Z936" i="2"/>
  <c r="Z934" i="2"/>
  <c r="Z931" i="2"/>
  <c r="Z932" i="2"/>
  <c r="Z926" i="2"/>
  <c r="Z923" i="2"/>
  <c r="Z935" i="2"/>
  <c r="Z925" i="2"/>
  <c r="Y795" i="2"/>
  <c r="Y741" i="2"/>
  <c r="L105" i="12"/>
  <c r="Y867" i="2"/>
  <c r="Y687" i="2"/>
  <c r="Y705" i="2"/>
  <c r="Z735" i="2"/>
  <c r="Z731" i="2"/>
  <c r="Z730" i="2"/>
  <c r="Z728" i="2"/>
  <c r="Z740" i="2"/>
  <c r="Z739" i="2"/>
  <c r="Z734" i="2"/>
  <c r="Z737" i="2"/>
  <c r="Z729" i="2"/>
  <c r="Z738" i="2"/>
  <c r="Z736" i="2"/>
  <c r="Z725" i="2"/>
  <c r="Z727" i="2"/>
  <c r="Z732" i="2"/>
  <c r="Z724" i="2"/>
  <c r="Z726" i="2"/>
  <c r="Z733" i="2"/>
  <c r="Z834" i="2"/>
  <c r="Z842" i="2"/>
  <c r="Z848" i="2"/>
  <c r="M77" i="12"/>
  <c r="Z681" i="2" s="1"/>
  <c r="M74" i="12"/>
  <c r="N61" i="12"/>
  <c r="N92" i="12" s="1"/>
  <c r="O17" i="12"/>
  <c r="O61" i="12" s="1"/>
  <c r="O92" i="12" s="1"/>
  <c r="O12" i="12"/>
  <c r="O56" i="12" s="1"/>
  <c r="O87" i="12" s="1"/>
  <c r="N56" i="12"/>
  <c r="N87" i="12" s="1"/>
  <c r="N70" i="12"/>
  <c r="N101" i="12" s="1"/>
  <c r="O26" i="12"/>
  <c r="O70" i="12" s="1"/>
  <c r="O101" i="12" s="1"/>
  <c r="N59" i="12"/>
  <c r="N90" i="12" s="1"/>
  <c r="O15" i="12"/>
  <c r="O59" i="12" s="1"/>
  <c r="O90" i="12" s="1"/>
  <c r="O20" i="12"/>
  <c r="O64" i="12" s="1"/>
  <c r="O95" i="12" s="1"/>
  <c r="N64" i="12"/>
  <c r="N95" i="12" s="1"/>
  <c r="N46" i="12"/>
  <c r="O2" i="12"/>
  <c r="O46" i="12" s="1"/>
  <c r="O41" i="12"/>
  <c r="O3" i="12"/>
  <c r="O47" i="12" s="1"/>
  <c r="O78" i="12" s="1"/>
  <c r="N47" i="12"/>
  <c r="N78" i="12" s="1"/>
  <c r="N48" i="12"/>
  <c r="N79" i="12" s="1"/>
  <c r="O4" i="12"/>
  <c r="O48" i="12" s="1"/>
  <c r="O79" i="12" s="1"/>
  <c r="N68" i="12"/>
  <c r="N99" i="12" s="1"/>
  <c r="O24" i="12"/>
  <c r="O68" i="12" s="1"/>
  <c r="O99" i="12" s="1"/>
  <c r="N51" i="12"/>
  <c r="N82" i="12" s="1"/>
  <c r="O7" i="12"/>
  <c r="O51" i="12" s="1"/>
  <c r="O82" i="12" s="1"/>
  <c r="N62" i="12"/>
  <c r="N93" i="12" s="1"/>
  <c r="O18" i="12"/>
  <c r="O62" i="12" s="1"/>
  <c r="O93" i="12" s="1"/>
  <c r="N57" i="12"/>
  <c r="N88" i="12" s="1"/>
  <c r="O13" i="12"/>
  <c r="O57" i="12" s="1"/>
  <c r="O88" i="12" s="1"/>
  <c r="N66" i="12"/>
  <c r="N97" i="12" s="1"/>
  <c r="O22" i="12"/>
  <c r="O66" i="12" s="1"/>
  <c r="O97" i="12" s="1"/>
  <c r="O32" i="12"/>
  <c r="O34" i="12" s="1"/>
  <c r="O35" i="12" s="1"/>
  <c r="N67" i="12"/>
  <c r="N98" i="12" s="1"/>
  <c r="O23" i="12"/>
  <c r="O67" i="12" s="1"/>
  <c r="O98" i="12" s="1"/>
  <c r="O8" i="12"/>
  <c r="O52" i="12" s="1"/>
  <c r="O83" i="12" s="1"/>
  <c r="N52" i="12"/>
  <c r="N83" i="12" s="1"/>
  <c r="N60" i="12"/>
  <c r="N91" i="12" s="1"/>
  <c r="O16" i="12"/>
  <c r="O60" i="12" s="1"/>
  <c r="O91" i="12" s="1"/>
  <c r="N54" i="12"/>
  <c r="N85" i="12" s="1"/>
  <c r="O10" i="12"/>
  <c r="O54" i="12" s="1"/>
  <c r="O85" i="12" s="1"/>
  <c r="N55" i="12"/>
  <c r="N86" i="12" s="1"/>
  <c r="O11" i="12"/>
  <c r="O55" i="12" s="1"/>
  <c r="O86" i="12" s="1"/>
  <c r="N63" i="12"/>
  <c r="N94" i="12" s="1"/>
  <c r="O19" i="12"/>
  <c r="O63" i="12" s="1"/>
  <c r="O94" i="12" s="1"/>
  <c r="N69" i="12"/>
  <c r="N100" i="12" s="1"/>
  <c r="O25" i="12"/>
  <c r="O69" i="12" s="1"/>
  <c r="O100" i="12" s="1"/>
  <c r="O14" i="12"/>
  <c r="O58" i="12" s="1"/>
  <c r="O89" i="12" s="1"/>
  <c r="N58" i="12"/>
  <c r="N89" i="12" s="1"/>
  <c r="N53" i="12"/>
  <c r="N84" i="12" s="1"/>
  <c r="O9" i="12"/>
  <c r="O53" i="12" s="1"/>
  <c r="O84" i="12" s="1"/>
  <c r="N50" i="12"/>
  <c r="N81" i="12" s="1"/>
  <c r="O6" i="12"/>
  <c r="O50" i="12" s="1"/>
  <c r="O81" i="12" s="1"/>
  <c r="N72" i="12"/>
  <c r="N103" i="12" s="1"/>
  <c r="O28" i="12"/>
  <c r="O72" i="12" s="1"/>
  <c r="O103" i="12" s="1"/>
  <c r="N73" i="12"/>
  <c r="N104" i="12" s="1"/>
  <c r="O29" i="12"/>
  <c r="O73" i="12" s="1"/>
  <c r="O104" i="12" s="1"/>
  <c r="N65" i="12"/>
  <c r="N96" i="12" s="1"/>
  <c r="O21" i="12"/>
  <c r="O65" i="12" s="1"/>
  <c r="O96" i="12" s="1"/>
  <c r="N49" i="12"/>
  <c r="N80" i="12" s="1"/>
  <c r="O5" i="12"/>
  <c r="O49" i="12" s="1"/>
  <c r="O80" i="12" s="1"/>
  <c r="AI597" i="10"/>
  <c r="AI507" i="10"/>
  <c r="AI129" i="10"/>
  <c r="AI273" i="10"/>
  <c r="AI363" i="10"/>
  <c r="AI111" i="10"/>
  <c r="AI453" i="10"/>
  <c r="AI75" i="10"/>
  <c r="AI201" i="10"/>
  <c r="AI309" i="10"/>
  <c r="AI561" i="10"/>
  <c r="AI579" i="10"/>
  <c r="AI615" i="10"/>
  <c r="AI291" i="10"/>
  <c r="AI21" i="10"/>
  <c r="AI39" i="10"/>
  <c r="AI471" i="10"/>
  <c r="AI525" i="10"/>
  <c r="AI399" i="10"/>
  <c r="AI165" i="10"/>
  <c r="AI489" i="10"/>
  <c r="AI57" i="10"/>
  <c r="AI237" i="10"/>
  <c r="AI3" i="10"/>
  <c r="AI327" i="10"/>
  <c r="AI183" i="10"/>
  <c r="AI417" i="10"/>
  <c r="AI219" i="10"/>
  <c r="AI633" i="10"/>
  <c r="AI147" i="10"/>
  <c r="AI543" i="10"/>
  <c r="AI345" i="10"/>
  <c r="AI435" i="10"/>
  <c r="AI381" i="10"/>
  <c r="AI255" i="10"/>
  <c r="AI93" i="10"/>
  <c r="AI82" i="2"/>
  <c r="AL295" i="2"/>
  <c r="AI578" i="2"/>
  <c r="AJ466" i="2"/>
  <c r="AI551" i="2"/>
  <c r="AI334" i="2"/>
  <c r="AI608" i="2"/>
  <c r="AJ619" i="2"/>
  <c r="AL276" i="2"/>
  <c r="AJ9" i="2"/>
  <c r="AJ305" i="2"/>
  <c r="AI377" i="2"/>
  <c r="AI374" i="2"/>
  <c r="AI330" i="2"/>
  <c r="AJ602" i="2"/>
  <c r="AJ596" i="2"/>
  <c r="AJ142" i="2"/>
  <c r="AI267" i="2"/>
  <c r="AI398" i="2"/>
  <c r="AJ577" i="2"/>
  <c r="AI122" i="2"/>
  <c r="AI574" i="2"/>
  <c r="AI355" i="2"/>
  <c r="AI423" i="2"/>
  <c r="AI604" i="2"/>
  <c r="AJ272" i="2"/>
  <c r="AJ609" i="2"/>
  <c r="AI275" i="2"/>
  <c r="AI596" i="2"/>
  <c r="AI63" i="2"/>
  <c r="AI313" i="2"/>
  <c r="AI588" i="2"/>
  <c r="AI413" i="2"/>
  <c r="AI181" i="2"/>
  <c r="AI429" i="2"/>
  <c r="AI263" i="2"/>
  <c r="AI533" i="2"/>
  <c r="AJ500" i="2"/>
  <c r="AJ523" i="2"/>
  <c r="AI372" i="2"/>
  <c r="AJ359" i="2"/>
  <c r="AJ411" i="2"/>
  <c r="AJ520" i="2"/>
  <c r="AI46" i="2"/>
  <c r="AI89" i="2"/>
  <c r="AJ145" i="2"/>
  <c r="AI359" i="2"/>
  <c r="AJ330" i="2"/>
  <c r="AJ533" i="2"/>
  <c r="AJ89" i="2"/>
  <c r="AJ457" i="2"/>
  <c r="AI323" i="2"/>
  <c r="AI424" i="2"/>
  <c r="AJ637" i="2"/>
  <c r="AJ628" i="2"/>
  <c r="AJ12" i="2"/>
  <c r="AI308" i="2"/>
  <c r="AI475" i="2"/>
  <c r="AI619" i="2"/>
  <c r="AJ20" i="2"/>
  <c r="AJ283" i="2"/>
  <c r="AI286" i="2"/>
  <c r="AI520" i="2"/>
  <c r="AJ388" i="2"/>
  <c r="AI534" i="2"/>
  <c r="AI478" i="2"/>
  <c r="AJ611" i="2"/>
  <c r="AJ280" i="2"/>
  <c r="AI365" i="2"/>
  <c r="AI457" i="2"/>
  <c r="AI64" i="2"/>
  <c r="AI173" i="2"/>
  <c r="AI131" i="2"/>
  <c r="AI71" i="2"/>
  <c r="AI585" i="2"/>
  <c r="AJ254" i="2"/>
  <c r="AI289" i="2"/>
  <c r="AI559" i="2"/>
  <c r="AI145" i="2"/>
  <c r="AI637" i="2"/>
  <c r="AI258" i="2"/>
  <c r="AJ632" i="2"/>
  <c r="AI407" i="2"/>
  <c r="AJ153" i="2"/>
  <c r="AJ131" i="2"/>
  <c r="AJ614" i="2"/>
  <c r="AJ293" i="2"/>
  <c r="AI217" i="2"/>
  <c r="AI397" i="2"/>
  <c r="AJ549" i="2"/>
  <c r="AJ173" i="2"/>
  <c r="AJ64" i="2"/>
  <c r="AJ372" i="2"/>
  <c r="AJ419" i="2"/>
  <c r="AJ508" i="2"/>
  <c r="AI161" i="2"/>
  <c r="AI360" i="2"/>
  <c r="AI94" i="2"/>
  <c r="AI411" i="2"/>
  <c r="AI150" i="2"/>
  <c r="AJ150" i="2"/>
  <c r="AJ398" i="2"/>
  <c r="AJ71" i="2"/>
  <c r="AJ534" i="2"/>
  <c r="AI607" i="2"/>
  <c r="AI589" i="2"/>
  <c r="AI182" i="2"/>
  <c r="AI12" i="2"/>
  <c r="AJ481" i="2"/>
  <c r="AI226" i="2"/>
  <c r="AJ563" i="2"/>
  <c r="AI602" i="2"/>
  <c r="AI343" i="2"/>
  <c r="AI139" i="2"/>
  <c r="AI283" i="2"/>
  <c r="AI645" i="2"/>
  <c r="AI190" i="2"/>
  <c r="AI592" i="2"/>
  <c r="AJ607" i="2"/>
  <c r="AI452" i="2"/>
  <c r="AJ452" i="2"/>
  <c r="AJ221" i="2"/>
  <c r="AI303" i="2"/>
  <c r="AI101" i="2"/>
  <c r="AI68" i="2"/>
  <c r="AI254" i="2"/>
  <c r="AJ358" i="2"/>
  <c r="AJ304" i="2"/>
  <c r="AJ569" i="2"/>
  <c r="AI242" i="2"/>
  <c r="AJ292" i="2"/>
  <c r="AJ559" i="2"/>
  <c r="AJ289" i="2"/>
  <c r="AJ68" i="2"/>
  <c r="AJ610" i="2"/>
  <c r="AJ63" i="2"/>
  <c r="AJ483" i="2"/>
  <c r="AI629" i="2"/>
  <c r="AI610" i="2"/>
  <c r="AI140" i="2"/>
  <c r="AJ198" i="2"/>
  <c r="AJ486" i="2"/>
  <c r="AI563" i="2"/>
  <c r="AJ482" i="2"/>
  <c r="AJ440" i="2"/>
  <c r="AJ250" i="2"/>
  <c r="AJ479" i="2"/>
  <c r="AI481" i="2"/>
  <c r="AJ182" i="2"/>
  <c r="AI483" i="2"/>
  <c r="AJ294" i="2"/>
  <c r="AI530" i="2"/>
  <c r="AI302" i="2"/>
  <c r="AJ630" i="2"/>
  <c r="AJ376" i="2"/>
  <c r="AI622" i="2"/>
  <c r="AI292" i="2"/>
  <c r="AI403" i="2"/>
  <c r="AI512" i="2"/>
  <c r="AJ357" i="2"/>
  <c r="AJ429" i="2"/>
  <c r="AI250" i="2"/>
  <c r="AJ470" i="2"/>
  <c r="AI437" i="2"/>
  <c r="AJ310" i="2"/>
  <c r="AI376" i="2"/>
  <c r="AI538" i="2"/>
  <c r="AI594" i="2"/>
  <c r="AI444" i="2"/>
  <c r="AJ302" i="2"/>
  <c r="AJ207" i="2"/>
  <c r="AJ320" i="2"/>
  <c r="AI405" i="2"/>
  <c r="AI523" i="2"/>
  <c r="AI320" i="2"/>
  <c r="AJ354" i="2"/>
  <c r="AI249" i="2"/>
  <c r="AI105" i="2"/>
  <c r="AJ575" i="2"/>
  <c r="AJ306" i="2"/>
  <c r="AI557" i="2"/>
  <c r="AJ601" i="2"/>
  <c r="AI458" i="2"/>
  <c r="AI441" i="2"/>
  <c r="AJ627" i="2"/>
  <c r="AI627" i="2"/>
  <c r="AI643" i="2"/>
  <c r="AI479" i="2"/>
  <c r="AI614" i="2"/>
  <c r="AI414" i="2"/>
  <c r="AJ580" i="2"/>
  <c r="AJ643" i="2"/>
  <c r="AI647" i="2"/>
  <c r="AJ154" i="2"/>
  <c r="AJ608" i="2"/>
  <c r="AJ367" i="2"/>
  <c r="AJ512" i="2"/>
  <c r="AJ317" i="2"/>
  <c r="AI154" i="2"/>
  <c r="AJ647" i="2"/>
  <c r="AI486" i="2"/>
  <c r="AJ361" i="2"/>
  <c r="AI262" i="2"/>
  <c r="AJ426" i="2"/>
  <c r="AJ258" i="2"/>
  <c r="AJ589" i="2"/>
  <c r="AJ386" i="2"/>
  <c r="AJ334" i="2"/>
  <c r="AJ645" i="2"/>
  <c r="AI311" i="2"/>
  <c r="AJ397" i="2"/>
  <c r="AJ588" i="2"/>
  <c r="AI500" i="2"/>
  <c r="AJ415" i="2"/>
  <c r="AJ538" i="2"/>
  <c r="AI368" i="2"/>
  <c r="AI331" i="2"/>
  <c r="AI474" i="2"/>
  <c r="AI142" i="2"/>
  <c r="AI221" i="2"/>
  <c r="AJ374" i="2"/>
  <c r="AI628" i="2"/>
  <c r="AI386" i="2"/>
  <c r="AI153" i="2"/>
  <c r="AI508" i="2"/>
  <c r="AJ331" i="2"/>
  <c r="AI158" i="2"/>
  <c r="AJ88" i="2"/>
  <c r="AI609" i="2"/>
  <c r="AI132" i="2"/>
  <c r="AJ335" i="2"/>
  <c r="AI335" i="2"/>
  <c r="AJ530" i="2"/>
  <c r="AI357" i="2"/>
  <c r="AI549" i="2"/>
  <c r="AI294" i="2"/>
  <c r="AI88" i="2"/>
  <c r="AJ405" i="2"/>
  <c r="AJ403" i="2"/>
  <c r="AJ548" i="2"/>
  <c r="AI482" i="2"/>
  <c r="AJ444" i="2"/>
  <c r="AI304" i="2"/>
  <c r="AJ139" i="2"/>
  <c r="AI440" i="2"/>
  <c r="AI580" i="2"/>
  <c r="AI569" i="2"/>
  <c r="AJ242" i="2"/>
  <c r="AJ267" i="2"/>
  <c r="AI524" i="2"/>
  <c r="AI480" i="2"/>
  <c r="AJ4" i="2"/>
  <c r="AJ480" i="2"/>
  <c r="AJ532" i="2"/>
  <c r="AI20" i="2"/>
  <c r="AJ262" i="2"/>
  <c r="AI548" i="2"/>
  <c r="AI356" i="2"/>
  <c r="AJ592" i="2"/>
  <c r="AI361" i="2"/>
  <c r="AJ263" i="2"/>
  <c r="AI207" i="2"/>
  <c r="AI4" i="2"/>
  <c r="AI630" i="2"/>
  <c r="AJ521" i="2"/>
  <c r="AI298" i="2"/>
  <c r="AI449" i="2"/>
  <c r="AI373" i="2"/>
  <c r="AJ474" i="2"/>
  <c r="AJ414" i="2"/>
  <c r="AJ424" i="2"/>
  <c r="AI52" i="2"/>
  <c r="AI409" i="2"/>
  <c r="AJ81" i="2"/>
  <c r="AI639" i="2"/>
  <c r="AJ557" i="2"/>
  <c r="AI138" i="2"/>
  <c r="AI642" i="2"/>
  <c r="AJ478" i="2"/>
  <c r="AI54" i="2"/>
  <c r="AI362" i="2"/>
  <c r="AI200" i="2"/>
  <c r="AI188" i="2"/>
  <c r="AI459" i="2"/>
  <c r="AI477" i="2"/>
  <c r="AI601" i="2"/>
  <c r="AJ475" i="2"/>
  <c r="AJ464" i="2"/>
  <c r="AJ205" i="2"/>
  <c r="AJ510" i="2"/>
  <c r="AL618" i="2"/>
  <c r="AI160" i="2"/>
  <c r="AI510" i="2"/>
  <c r="AI531" i="2"/>
  <c r="AI367" i="2"/>
  <c r="AJ337" i="2"/>
  <c r="AI236" i="2"/>
  <c r="AI342" i="2"/>
  <c r="AJ540" i="2"/>
  <c r="AI310" i="2"/>
  <c r="AI442" i="2"/>
  <c r="AI164" i="2"/>
  <c r="AL494" i="2"/>
  <c r="AI284" i="2"/>
  <c r="AI340" i="2"/>
  <c r="AI187" i="2"/>
  <c r="AJ340" i="2"/>
  <c r="AJ284" i="2"/>
  <c r="AI113" i="2"/>
  <c r="AI7" i="2"/>
  <c r="AI25" i="2"/>
  <c r="AI26" i="2"/>
  <c r="AJ585" i="2"/>
  <c r="AI317" i="2"/>
  <c r="AJ642" i="2"/>
  <c r="AI195" i="2"/>
  <c r="AI337" i="2"/>
  <c r="AJ423" i="2"/>
  <c r="AI169" i="2"/>
  <c r="AI170" i="2"/>
  <c r="AI472" i="2"/>
  <c r="AI463" i="2"/>
  <c r="AI43" i="2"/>
  <c r="AI23" i="2"/>
  <c r="AI419" i="2"/>
  <c r="AI552" i="2"/>
  <c r="AI529" i="2"/>
  <c r="AJ441" i="2"/>
  <c r="AI168" i="2"/>
  <c r="AI30" i="2"/>
  <c r="AI272" i="2"/>
  <c r="AJ311" i="2"/>
  <c r="AJ436" i="2"/>
  <c r="AI511" i="2"/>
  <c r="AI495" i="2"/>
  <c r="AI577" i="2"/>
  <c r="AJ168" i="2"/>
  <c r="AI248" i="2"/>
  <c r="AI210" i="2"/>
  <c r="AI448" i="2"/>
  <c r="AI554" i="2"/>
  <c r="AI426" i="2"/>
  <c r="AJ635" i="2"/>
  <c r="AI583" i="2"/>
  <c r="AI38" i="2"/>
  <c r="AI81" i="2"/>
  <c r="AI635" i="2"/>
  <c r="AI268" i="2"/>
  <c r="AI32" i="2"/>
  <c r="AI558" i="2"/>
  <c r="AI215" i="2"/>
  <c r="AI445" i="2"/>
  <c r="AJ298" i="2"/>
  <c r="AJ555" i="2"/>
  <c r="AI137" i="2"/>
  <c r="AI205" i="2"/>
  <c r="AI555" i="2"/>
  <c r="AJ571" i="2"/>
  <c r="AI69" i="2"/>
  <c r="AI223" i="2"/>
  <c r="AI49" i="2"/>
  <c r="AI547" i="2"/>
  <c r="AI175" i="2"/>
  <c r="AI392" i="2"/>
  <c r="AI281" i="2"/>
  <c r="AI59" i="2"/>
  <c r="AI624" i="2"/>
  <c r="AI296" i="2"/>
  <c r="AI18" i="2"/>
  <c r="AI36" i="2"/>
  <c r="AI307" i="2"/>
  <c r="AI66" i="2"/>
  <c r="AI136" i="2"/>
  <c r="AI266" i="2"/>
  <c r="AI225" i="2"/>
  <c r="AI179" i="2"/>
  <c r="AI62" i="2"/>
  <c r="AI265" i="2"/>
  <c r="AI536" i="2"/>
  <c r="AI353" i="2"/>
  <c r="AI567" i="2"/>
  <c r="AI537" i="2"/>
  <c r="AI540" i="2"/>
  <c r="AI176" i="2"/>
  <c r="AI447" i="2"/>
  <c r="AI325" i="2"/>
  <c r="AI539" i="2"/>
  <c r="AI469" i="2"/>
  <c r="AJ187" i="2"/>
  <c r="AI260" i="2"/>
  <c r="AI358" i="2"/>
  <c r="AJ526" i="2"/>
  <c r="AJ640" i="2"/>
  <c r="AI565" i="2"/>
  <c r="AI369" i="2"/>
  <c r="AI349" i="2"/>
  <c r="AI126" i="2"/>
  <c r="AI287" i="2"/>
  <c r="AI77" i="2"/>
  <c r="AI599" i="2"/>
  <c r="AI271" i="2"/>
  <c r="AI247" i="2"/>
  <c r="AI428" i="2"/>
  <c r="AI532" i="2"/>
  <c r="AJ472" i="2"/>
  <c r="AI192" i="2"/>
  <c r="AJ413" i="2"/>
  <c r="AJ239" i="2"/>
  <c r="AJ531" i="2"/>
  <c r="AI484" i="2"/>
  <c r="AJ140" i="2"/>
  <c r="AI159" i="2"/>
  <c r="AJ544" i="2"/>
  <c r="AJ368" i="2"/>
  <c r="AJ639" i="2"/>
  <c r="AJ119" i="2"/>
  <c r="AI119" i="2"/>
  <c r="AJ476" i="2"/>
  <c r="AJ137" i="2"/>
  <c r="AI544" i="2"/>
  <c r="AJ420" i="2"/>
  <c r="AI288" i="2"/>
  <c r="AI87" i="2"/>
  <c r="AI107" i="2"/>
  <c r="AI582" i="2"/>
  <c r="AI231" i="2"/>
  <c r="AI194" i="2"/>
  <c r="AI425" i="2"/>
  <c r="AI135" i="2"/>
  <c r="AI492" i="2"/>
  <c r="AJ427" i="2"/>
  <c r="AJ511" i="2"/>
  <c r="AI455" i="2"/>
  <c r="AI44" i="2"/>
  <c r="AI401" i="2"/>
  <c r="AI92" i="2"/>
  <c r="AJ360" i="2"/>
  <c r="AI109" i="2"/>
  <c r="AI541" i="2"/>
  <c r="AI370" i="2"/>
  <c r="AI412" i="2"/>
  <c r="AJ629" i="2"/>
  <c r="AJ529" i="2"/>
  <c r="AI636" i="2"/>
  <c r="AI408" i="2"/>
  <c r="AJ314" i="2"/>
  <c r="AI456" i="2"/>
  <c r="AJ422" i="2"/>
  <c r="AJ365" i="2"/>
  <c r="AJ408" i="2"/>
  <c r="AJ591" i="2"/>
  <c r="AJ456" i="2"/>
  <c r="AJ552" i="2"/>
  <c r="AI115" i="2"/>
  <c r="AI243" i="2"/>
  <c r="AI318" i="2"/>
  <c r="AI252" i="2"/>
  <c r="AI253" i="2"/>
  <c r="AI324" i="2"/>
  <c r="AI595" i="2"/>
  <c r="AI151" i="2"/>
  <c r="AI16" i="2"/>
  <c r="AI299" i="2"/>
  <c r="AI125" i="2"/>
  <c r="AI297" i="2"/>
  <c r="AI279" i="2"/>
  <c r="AI240" i="2"/>
  <c r="AI646" i="2"/>
  <c r="AI203" i="2"/>
  <c r="AI504" i="2"/>
  <c r="AI280" i="2"/>
  <c r="AI197" i="2"/>
  <c r="AI468" i="2"/>
  <c r="AJ181" i="2"/>
  <c r="AI146" i="2"/>
  <c r="AI621" i="2"/>
  <c r="AI177" i="2"/>
  <c r="AI178" i="2"/>
  <c r="AI156" i="2"/>
  <c r="AJ260" i="2"/>
  <c r="AI371" i="2"/>
  <c r="AJ618" i="2"/>
  <c r="AI620" i="2"/>
  <c r="AJ54" i="2"/>
  <c r="AJ226" i="2"/>
  <c r="AJ465" i="2"/>
  <c r="AJ164" i="2"/>
  <c r="AI422" i="2"/>
  <c r="AJ636" i="2"/>
  <c r="AI591" i="2"/>
  <c r="AI420" i="2"/>
  <c r="AH561" i="2"/>
  <c r="AJ576" i="2"/>
  <c r="AI526" i="2"/>
  <c r="AJ199" i="2"/>
  <c r="AJ90" i="2"/>
  <c r="AJ105" i="2"/>
  <c r="AJ230" i="2"/>
  <c r="AJ72" i="2"/>
  <c r="AJ396" i="2"/>
  <c r="AJ213" i="2"/>
  <c r="AL385" i="2"/>
  <c r="AJ348" i="2"/>
  <c r="AI348" i="2"/>
  <c r="AI47" i="2"/>
  <c r="AI211" i="2"/>
  <c r="AI380" i="2"/>
  <c r="AI229" i="2"/>
  <c r="AI48" i="2"/>
  <c r="AJ389" i="2"/>
  <c r="AI389" i="2"/>
  <c r="AJ222" i="2"/>
  <c r="AJ416" i="2"/>
  <c r="AJ148" i="2"/>
  <c r="AJ402" i="2"/>
  <c r="AI438" i="2"/>
  <c r="AI14" i="2"/>
  <c r="AI505" i="2"/>
  <c r="AI522" i="2"/>
  <c r="AI19" i="2"/>
  <c r="AI290" i="2"/>
  <c r="AI118" i="2"/>
  <c r="AI421" i="2"/>
  <c r="AI86" i="2"/>
  <c r="AI104" i="2"/>
  <c r="AI375" i="2"/>
  <c r="AI333" i="2"/>
  <c r="AI391" i="2"/>
  <c r="AI206" i="2"/>
  <c r="AI235" i="2"/>
  <c r="AI33" i="2"/>
  <c r="AI34" i="2"/>
  <c r="AI485" i="2"/>
  <c r="AI244" i="2"/>
  <c r="AJ23" i="2"/>
  <c r="AJ40" i="2"/>
  <c r="AI40" i="2"/>
  <c r="AI584" i="2"/>
  <c r="AJ584" i="2"/>
  <c r="AI416" i="2"/>
  <c r="AJ195" i="2"/>
  <c r="AJ406" i="2"/>
  <c r="AJ46" i="2"/>
  <c r="AI402" i="2"/>
  <c r="AI72" i="2"/>
  <c r="AI396" i="2"/>
  <c r="AI157" i="2"/>
  <c r="AI494" i="2"/>
  <c r="AI186" i="2"/>
  <c r="AI387" i="2"/>
  <c r="AI95" i="2"/>
  <c r="AI378" i="2"/>
  <c r="AI593" i="2"/>
  <c r="AI572" i="2"/>
  <c r="AI234" i="2"/>
  <c r="AI102" i="2"/>
  <c r="AJ370" i="2"/>
  <c r="AJ412" i="2"/>
  <c r="AI222" i="2"/>
  <c r="AJ495" i="2"/>
  <c r="AJ469" i="2"/>
  <c r="AJ484" i="2"/>
  <c r="AI464" i="2"/>
  <c r="AI406" i="2"/>
  <c r="AJ159" i="2"/>
  <c r="AJ266" i="2"/>
  <c r="AI213" i="2"/>
  <c r="AJ574" i="2"/>
  <c r="AJ286" i="2"/>
  <c r="AJ550" i="2"/>
  <c r="AJ410" i="2"/>
  <c r="AI590" i="2"/>
  <c r="AI99" i="2"/>
  <c r="AI571" i="2"/>
  <c r="AI352" i="2"/>
  <c r="AI351" i="2"/>
  <c r="AI618" i="2"/>
  <c r="AJ156" i="2"/>
  <c r="AJ560" i="2"/>
  <c r="AI560" i="2"/>
  <c r="AI550" i="2"/>
  <c r="AI410" i="2"/>
  <c r="AI148" i="2"/>
  <c r="AI9" i="2"/>
  <c r="AI155" i="2"/>
  <c r="AG345" i="2"/>
  <c r="AI439" i="2"/>
  <c r="AI493" i="2"/>
  <c r="AI326" i="2"/>
  <c r="AI432" i="2"/>
  <c r="AJ38" i="2"/>
  <c r="AI114" i="2"/>
  <c r="AJ114" i="2"/>
  <c r="AJ346" i="2"/>
  <c r="AI346" i="2"/>
  <c r="AJ377" i="2"/>
  <c r="AJ171" i="2"/>
  <c r="AJ442" i="2"/>
  <c r="AI638" i="2"/>
  <c r="AJ407" i="2"/>
  <c r="AJ385" i="2"/>
  <c r="AJ458" i="2"/>
  <c r="AJ371" i="2"/>
  <c r="AI631" i="2"/>
  <c r="AI50" i="2"/>
  <c r="AI251" i="2"/>
  <c r="AI180" i="2"/>
  <c r="AI617" i="2"/>
  <c r="AI143" i="2"/>
  <c r="AI488" i="2"/>
  <c r="AI98" i="2"/>
  <c r="AI97" i="2"/>
  <c r="AI233" i="2"/>
  <c r="AI199" i="2"/>
  <c r="AI90" i="2"/>
  <c r="AJ308" i="2"/>
  <c r="AI230" i="2"/>
  <c r="AJ620" i="2"/>
  <c r="AJ638" i="2"/>
  <c r="AJ513" i="2"/>
  <c r="AI385" i="2"/>
  <c r="AJ60" i="2"/>
  <c r="AI60" i="2"/>
  <c r="AJ241" i="2"/>
  <c r="AI546" i="2"/>
  <c r="AJ438" i="2"/>
  <c r="AJ14" i="2"/>
  <c r="AJ505" i="2"/>
  <c r="AJ522" i="2"/>
  <c r="AJ19" i="2"/>
  <c r="AJ290" i="2"/>
  <c r="AI117" i="2"/>
  <c r="AJ118" i="2"/>
  <c r="AJ421" i="2"/>
  <c r="AJ547" i="2"/>
  <c r="AJ175" i="2"/>
  <c r="AI65" i="2"/>
  <c r="AI121" i="2"/>
  <c r="AJ392" i="2"/>
  <c r="AI218" i="2"/>
  <c r="AI84" i="2"/>
  <c r="AI85" i="2"/>
  <c r="AI80" i="2"/>
  <c r="AJ516" i="2"/>
  <c r="AI516" i="2"/>
  <c r="AH507" i="2"/>
  <c r="AJ509" i="2"/>
  <c r="AI509" i="2"/>
  <c r="AJ281" i="2"/>
  <c r="AI96" i="2"/>
  <c r="AI434" i="2"/>
  <c r="AI193" i="2"/>
  <c r="AJ59" i="2"/>
  <c r="AI626" i="2"/>
  <c r="AJ624" i="2"/>
  <c r="AI141" i="2"/>
  <c r="AJ296" i="2"/>
  <c r="AJ496" i="2"/>
  <c r="AI496" i="2"/>
  <c r="AJ86" i="2"/>
  <c r="AJ104" i="2"/>
  <c r="AJ375" i="2"/>
  <c r="AJ66" i="2"/>
  <c r="AH471" i="2"/>
  <c r="AI473" i="2"/>
  <c r="AJ136" i="2"/>
  <c r="AI395" i="2"/>
  <c r="AI123" i="2"/>
  <c r="AJ366" i="2"/>
  <c r="AI366" i="2"/>
  <c r="AJ47" i="2"/>
  <c r="AI501" i="2"/>
  <c r="AJ180" i="2"/>
  <c r="AI451" i="2"/>
  <c r="AI74" i="2"/>
  <c r="AJ617" i="2"/>
  <c r="AJ211" i="2"/>
  <c r="AJ380" i="2"/>
  <c r="AJ98" i="2"/>
  <c r="AJ97" i="2"/>
  <c r="AI347" i="2"/>
  <c r="AH345" i="2"/>
  <c r="AI112" i="2"/>
  <c r="AH111" i="2"/>
  <c r="AI383" i="2"/>
  <c r="AJ265" i="2"/>
  <c r="AJ536" i="2"/>
  <c r="AI91" i="2"/>
  <c r="AJ160" i="2"/>
  <c r="AJ161" i="2"/>
  <c r="AI55" i="2"/>
  <c r="AJ233" i="2"/>
  <c r="AI232" i="2"/>
  <c r="AG255" i="2"/>
  <c r="AJ256" i="2"/>
  <c r="AI70" i="2"/>
  <c r="AI274" i="2"/>
  <c r="AH273" i="2"/>
  <c r="AJ32" i="2"/>
  <c r="AJ439" i="2"/>
  <c r="AJ169" i="2"/>
  <c r="AJ170" i="2"/>
  <c r="AJ558" i="2"/>
  <c r="AI37" i="2"/>
  <c r="AJ215" i="2"/>
  <c r="AI338" i="2"/>
  <c r="AJ445" i="2"/>
  <c r="AI106" i="2"/>
  <c r="AI319" i="2"/>
  <c r="AI128" i="2"/>
  <c r="AH399" i="2"/>
  <c r="AI400" i="2"/>
  <c r="AI603" i="2"/>
  <c r="AJ146" i="2"/>
  <c r="AH417" i="2"/>
  <c r="AI418" i="2"/>
  <c r="AJ176" i="2"/>
  <c r="AI379" i="2"/>
  <c r="AI650" i="2"/>
  <c r="AI245" i="2"/>
  <c r="AI246" i="2"/>
  <c r="AJ246" i="2"/>
  <c r="AJ326" i="2"/>
  <c r="AJ432" i="2"/>
  <c r="AI648" i="2"/>
  <c r="AJ184" i="2"/>
  <c r="AG183" i="2"/>
  <c r="AJ117" i="2"/>
  <c r="AJ573" i="2"/>
  <c r="AJ35" i="2"/>
  <c r="AJ189" i="2"/>
  <c r="AJ460" i="2"/>
  <c r="AJ15" i="2"/>
  <c r="AJ152" i="2"/>
  <c r="AG579" i="2"/>
  <c r="AJ393" i="2"/>
  <c r="AJ133" i="2"/>
  <c r="AJ163" i="2"/>
  <c r="AJ502" i="2"/>
  <c r="AJ261" i="2"/>
  <c r="AJ301" i="2"/>
  <c r="AJ300" i="2"/>
  <c r="AI394" i="2"/>
  <c r="AJ394" i="2"/>
  <c r="AJ134" i="2"/>
  <c r="AJ67" i="2"/>
  <c r="AJ204" i="2"/>
  <c r="AJ641" i="2"/>
  <c r="AJ390" i="2"/>
  <c r="AJ27" i="2"/>
  <c r="AJ519" i="2"/>
  <c r="AJ8" i="2"/>
  <c r="AJ487" i="2"/>
  <c r="AJ564" i="2"/>
  <c r="AJ450" i="2"/>
  <c r="AJ227" i="2"/>
  <c r="AJ462" i="2"/>
  <c r="AJ232" i="2"/>
  <c r="AG21" i="2"/>
  <c r="AJ527" i="2"/>
  <c r="AG525" i="2"/>
  <c r="AJ70" i="2"/>
  <c r="AJ341" i="2"/>
  <c r="AJ545" i="2"/>
  <c r="AJ100" i="2"/>
  <c r="AJ31" i="2"/>
  <c r="AJ209" i="2"/>
  <c r="AJ336" i="2"/>
  <c r="AI566" i="2"/>
  <c r="AJ566" i="2"/>
  <c r="AI22" i="2"/>
  <c r="AJ644" i="2"/>
  <c r="AJ196" i="2"/>
  <c r="AJ400" i="2"/>
  <c r="AG399" i="2"/>
  <c r="AJ214" i="2"/>
  <c r="AG417" i="2"/>
  <c r="AJ418" i="2"/>
  <c r="AJ650" i="2"/>
  <c r="AJ245" i="2"/>
  <c r="AG327" i="2"/>
  <c r="AJ328" i="2"/>
  <c r="AJ191" i="2"/>
  <c r="AI184" i="2"/>
  <c r="AH183" i="2"/>
  <c r="AG3" i="2"/>
  <c r="AI321" i="2"/>
  <c r="AJ288" i="2"/>
  <c r="AJ606" i="2"/>
  <c r="AJ87" i="2"/>
  <c r="AJ185" i="2"/>
  <c r="AJ167" i="2"/>
  <c r="AI573" i="2"/>
  <c r="AJ565" i="2"/>
  <c r="AI35" i="2"/>
  <c r="AI189" i="2"/>
  <c r="AI460" i="2"/>
  <c r="AI15" i="2"/>
  <c r="AJ490" i="2"/>
  <c r="AG489" i="2"/>
  <c r="AI490" i="2"/>
  <c r="AI152" i="2"/>
  <c r="AJ369" i="2"/>
  <c r="AI581" i="2"/>
  <c r="AH579" i="2"/>
  <c r="AJ517" i="2"/>
  <c r="AI517" i="2"/>
  <c r="AI133" i="2"/>
  <c r="AJ349" i="2"/>
  <c r="AI163" i="2"/>
  <c r="AI502" i="2"/>
  <c r="AI261" i="2"/>
  <c r="AJ126" i="2"/>
  <c r="AI301" i="2"/>
  <c r="AI300" i="2"/>
  <c r="AJ425" i="2"/>
  <c r="AJ172" i="2"/>
  <c r="AJ443" i="2"/>
  <c r="AI134" i="2"/>
  <c r="AI67" i="2"/>
  <c r="AI204" i="2"/>
  <c r="AJ287" i="2"/>
  <c r="AI641" i="2"/>
  <c r="AI390" i="2"/>
  <c r="AI27" i="2"/>
  <c r="AJ248" i="2"/>
  <c r="AI519" i="2"/>
  <c r="AJ210" i="2"/>
  <c r="AI8" i="2"/>
  <c r="AI487" i="2"/>
  <c r="AG543" i="2"/>
  <c r="AJ225" i="2"/>
  <c r="AJ179" i="2"/>
  <c r="AI450" i="2"/>
  <c r="AJ62" i="2"/>
  <c r="AJ333" i="2"/>
  <c r="AI227" i="2"/>
  <c r="AJ634" i="2"/>
  <c r="AG633" i="2"/>
  <c r="AI228" i="2"/>
  <c r="AJ229" i="2"/>
  <c r="AI462" i="2"/>
  <c r="AJ568" i="2"/>
  <c r="AI568" i="2"/>
  <c r="AJ48" i="2"/>
  <c r="AJ158" i="2"/>
  <c r="AJ52" i="2"/>
  <c r="AI256" i="2"/>
  <c r="AH255" i="2"/>
  <c r="AJ594" i="2"/>
  <c r="AJ138" i="2"/>
  <c r="AI341" i="2"/>
  <c r="AH543" i="2"/>
  <c r="AI545" i="2"/>
  <c r="AI100" i="2"/>
  <c r="AI506" i="2"/>
  <c r="AJ236" i="2"/>
  <c r="AH237" i="2"/>
  <c r="AI238" i="2"/>
  <c r="AJ449" i="2"/>
  <c r="AI31" i="2"/>
  <c r="AI209" i="2"/>
  <c r="AI336" i="2"/>
  <c r="AI430" i="2"/>
  <c r="AJ430" i="2"/>
  <c r="AJ22" i="2"/>
  <c r="AI644" i="2"/>
  <c r="AI196" i="2"/>
  <c r="AI214" i="2"/>
  <c r="AJ485" i="2"/>
  <c r="AJ244" i="2"/>
  <c r="AJ447" i="2"/>
  <c r="AJ42" i="2"/>
  <c r="AI328" i="2"/>
  <c r="AH327" i="2"/>
  <c r="AJ542" i="2"/>
  <c r="AI191" i="2"/>
  <c r="AJ325" i="2"/>
  <c r="AJ539" i="2"/>
  <c r="AI241" i="2"/>
  <c r="AJ321" i="2"/>
  <c r="AI606" i="2"/>
  <c r="AJ157" i="2"/>
  <c r="AJ494" i="2"/>
  <c r="AI185" i="2"/>
  <c r="AJ186" i="2"/>
  <c r="AI167" i="2"/>
  <c r="AJ174" i="2"/>
  <c r="AJ103" i="2"/>
  <c r="AJ257" i="2"/>
  <c r="AJ528" i="2"/>
  <c r="AJ83" i="2"/>
  <c r="AJ625" i="2"/>
  <c r="AI220" i="2"/>
  <c r="AH219" i="2"/>
  <c r="AG363" i="2"/>
  <c r="AJ364" i="2"/>
  <c r="AJ277" i="2"/>
  <c r="AI514" i="2"/>
  <c r="AJ514" i="2"/>
  <c r="AG507" i="2"/>
  <c r="AJ10" i="2"/>
  <c r="AJ58" i="2"/>
  <c r="AG57" i="2"/>
  <c r="AJ329" i="2"/>
  <c r="AI149" i="2"/>
  <c r="AH147" i="2"/>
  <c r="AJ623" i="2"/>
  <c r="AJ387" i="2"/>
  <c r="AI172" i="2"/>
  <c r="AI443" i="2"/>
  <c r="AJ202" i="2"/>
  <c r="AG201" i="2"/>
  <c r="AJ613" i="2"/>
  <c r="AJ124" i="2"/>
  <c r="AI587" i="2"/>
  <c r="AJ587" i="2"/>
  <c r="AJ492" i="2"/>
  <c r="AJ275" i="2"/>
  <c r="AJ116" i="2"/>
  <c r="AJ45" i="2"/>
  <c r="AJ316" i="2"/>
  <c r="AJ278" i="2"/>
  <c r="AJ77" i="2"/>
  <c r="AJ599" i="2"/>
  <c r="AJ271" i="2"/>
  <c r="AJ524" i="2"/>
  <c r="AI564" i="2"/>
  <c r="AJ518" i="2"/>
  <c r="AI634" i="2"/>
  <c r="AH633" i="2"/>
  <c r="AJ228" i="2"/>
  <c r="AJ56" i="2"/>
  <c r="AJ612" i="2"/>
  <c r="AJ506" i="2"/>
  <c r="AJ556" i="2"/>
  <c r="AJ208" i="2"/>
  <c r="AI527" i="2"/>
  <c r="AJ264" i="2"/>
  <c r="AJ467" i="2"/>
  <c r="AJ11" i="2"/>
  <c r="AJ282" i="2"/>
  <c r="AJ41" i="2"/>
  <c r="AG39" i="2"/>
  <c r="AJ515" i="2"/>
  <c r="AI42" i="2"/>
  <c r="AJ43" i="2"/>
  <c r="AI542" i="2"/>
  <c r="AJ649" i="2"/>
  <c r="AJ190" i="2"/>
  <c r="AJ431" i="2"/>
  <c r="AJ5" i="2"/>
  <c r="AJ546" i="2"/>
  <c r="AJ391" i="2"/>
  <c r="AJ503" i="2"/>
  <c r="AJ115" i="2"/>
  <c r="AJ243" i="2"/>
  <c r="AJ318" i="2"/>
  <c r="AJ155" i="2"/>
  <c r="AI562" i="2"/>
  <c r="AJ252" i="2"/>
  <c r="AJ253" i="2"/>
  <c r="AH165" i="2"/>
  <c r="AI166" i="2"/>
  <c r="AJ107" i="2"/>
  <c r="AI174" i="2"/>
  <c r="AI103" i="2"/>
  <c r="AI257" i="2"/>
  <c r="AI528" i="2"/>
  <c r="AH525" i="2"/>
  <c r="AI83" i="2"/>
  <c r="AI625" i="2"/>
  <c r="AJ220" i="2"/>
  <c r="AG219" i="2"/>
  <c r="AJ582" i="2"/>
  <c r="AI277" i="2"/>
  <c r="AI10" i="2"/>
  <c r="AJ231" i="2"/>
  <c r="AI58" i="2"/>
  <c r="AH57" i="2"/>
  <c r="AI329" i="2"/>
  <c r="AJ194" i="2"/>
  <c r="AJ149" i="2"/>
  <c r="AG147" i="2"/>
  <c r="AI623" i="2"/>
  <c r="AI344" i="2"/>
  <c r="AJ279" i="2"/>
  <c r="AJ240" i="2"/>
  <c r="AI202" i="2"/>
  <c r="AH201" i="2"/>
  <c r="AJ135" i="2"/>
  <c r="AI613" i="2"/>
  <c r="AI124" i="2"/>
  <c r="AI116" i="2"/>
  <c r="AJ590" i="2"/>
  <c r="AJ95" i="2"/>
  <c r="AI45" i="2"/>
  <c r="AI316" i="2"/>
  <c r="AI278" i="2"/>
  <c r="AI76" i="2"/>
  <c r="AH75" i="2"/>
  <c r="AI144" i="2"/>
  <c r="AI491" i="2"/>
  <c r="AH489" i="2"/>
  <c r="AJ598" i="2"/>
  <c r="AG597" i="2"/>
  <c r="AJ99" i="2"/>
  <c r="AJ378" i="2"/>
  <c r="AJ593" i="2"/>
  <c r="AJ455" i="2"/>
  <c r="AJ44" i="2"/>
  <c r="AJ247" i="2"/>
  <c r="AI518" i="2"/>
  <c r="AJ130" i="2"/>
  <c r="AG129" i="2"/>
  <c r="AJ401" i="2"/>
  <c r="AJ295" i="2"/>
  <c r="AG291" i="2"/>
  <c r="AJ25" i="2"/>
  <c r="AJ26" i="2"/>
  <c r="AJ572" i="2"/>
  <c r="AI56" i="2"/>
  <c r="AJ353" i="2"/>
  <c r="AI461" i="2"/>
  <c r="AJ567" i="2"/>
  <c r="AI120" i="2"/>
  <c r="AJ206" i="2"/>
  <c r="AJ409" i="2"/>
  <c r="AI612" i="2"/>
  <c r="AJ235" i="2"/>
  <c r="AJ33" i="2"/>
  <c r="AJ34" i="2"/>
  <c r="AG237" i="2"/>
  <c r="AJ238" i="2"/>
  <c r="AJ342" i="2"/>
  <c r="AI556" i="2"/>
  <c r="AJ30" i="2"/>
  <c r="AI208" i="2"/>
  <c r="AJ604" i="2"/>
  <c r="AJ355" i="2"/>
  <c r="AJ537" i="2"/>
  <c r="AI264" i="2"/>
  <c r="AI467" i="2"/>
  <c r="AI11" i="2"/>
  <c r="AI282" i="2"/>
  <c r="AI553" i="2"/>
  <c r="AI41" i="2"/>
  <c r="AH39" i="2"/>
  <c r="AI515" i="2"/>
  <c r="AJ109" i="2"/>
  <c r="AI110" i="2"/>
  <c r="AJ192" i="2"/>
  <c r="AH435" i="2"/>
  <c r="AI649" i="2"/>
  <c r="AI431" i="2"/>
  <c r="AI5" i="2"/>
  <c r="AH3" i="2"/>
  <c r="AJ581" i="2"/>
  <c r="AG561" i="2"/>
  <c r="AJ562" i="2"/>
  <c r="AJ166" i="2"/>
  <c r="AG165" i="2"/>
  <c r="AJ497" i="2"/>
  <c r="AJ276" i="2"/>
  <c r="AJ53" i="2"/>
  <c r="AI17" i="2"/>
  <c r="AJ17" i="2"/>
  <c r="AJ259" i="2"/>
  <c r="AJ73" i="2"/>
  <c r="AH363" i="2"/>
  <c r="AI364" i="2"/>
  <c r="AJ570" i="2"/>
  <c r="AI570" i="2"/>
  <c r="AJ78" i="2"/>
  <c r="AJ28" i="2"/>
  <c r="AJ127" i="2"/>
  <c r="AJ404" i="2"/>
  <c r="AJ344" i="2"/>
  <c r="AJ269" i="2"/>
  <c r="AJ285" i="2"/>
  <c r="AJ162" i="2"/>
  <c r="AJ384" i="2"/>
  <c r="AJ7" i="2"/>
  <c r="AJ76" i="2"/>
  <c r="AG75" i="2"/>
  <c r="AJ144" i="2"/>
  <c r="AJ491" i="2"/>
  <c r="AH597" i="2"/>
  <c r="AI598" i="2"/>
  <c r="AJ270" i="2"/>
  <c r="AJ498" i="2"/>
  <c r="AI498" i="2"/>
  <c r="AJ224" i="2"/>
  <c r="AJ315" i="2"/>
  <c r="AJ586" i="2"/>
  <c r="AH129" i="2"/>
  <c r="AI130" i="2"/>
  <c r="AJ24" i="2"/>
  <c r="AI295" i="2"/>
  <c r="AH291" i="2"/>
  <c r="AJ461" i="2"/>
  <c r="AJ120" i="2"/>
  <c r="AJ216" i="2"/>
  <c r="AJ446" i="2"/>
  <c r="AJ29" i="2"/>
  <c r="AJ454" i="2"/>
  <c r="AG453" i="2"/>
  <c r="AJ339" i="2"/>
  <c r="AI339" i="2"/>
  <c r="AI224" i="2"/>
  <c r="AJ61" i="2"/>
  <c r="AJ332" i="2"/>
  <c r="AJ535" i="2"/>
  <c r="AI535" i="2"/>
  <c r="AJ79" i="2"/>
  <c r="AJ350" i="2"/>
  <c r="AJ553" i="2"/>
  <c r="AJ108" i="2"/>
  <c r="AJ312" i="2"/>
  <c r="AG309" i="2"/>
  <c r="AJ110" i="2"/>
  <c r="AJ13" i="2"/>
  <c r="AG435" i="2"/>
  <c r="AJ6" i="2"/>
  <c r="AJ322" i="2"/>
  <c r="AI503" i="2"/>
  <c r="AG615" i="2"/>
  <c r="AJ616" i="2"/>
  <c r="AJ69" i="2"/>
  <c r="AJ223" i="2"/>
  <c r="AJ49" i="2"/>
  <c r="AJ51" i="2"/>
  <c r="AI497" i="2"/>
  <c r="AI276" i="2"/>
  <c r="AI53" i="2"/>
  <c r="AJ324" i="2"/>
  <c r="AJ595" i="2"/>
  <c r="AJ151" i="2"/>
  <c r="AJ16" i="2"/>
  <c r="AI259" i="2"/>
  <c r="AI73" i="2"/>
  <c r="AI600" i="2"/>
  <c r="AJ600" i="2"/>
  <c r="AI78" i="2"/>
  <c r="AI28" i="2"/>
  <c r="AJ299" i="2"/>
  <c r="AJ125" i="2"/>
  <c r="AI127" i="2"/>
  <c r="AJ297" i="2"/>
  <c r="AI404" i="2"/>
  <c r="AJ18" i="2"/>
  <c r="AJ36" i="2"/>
  <c r="AJ307" i="2"/>
  <c r="AJ646" i="2"/>
  <c r="AI269" i="2"/>
  <c r="AJ203" i="2"/>
  <c r="AJ504" i="2"/>
  <c r="AI285" i="2"/>
  <c r="AJ373" i="2"/>
  <c r="AI162" i="2"/>
  <c r="AJ113" i="2"/>
  <c r="AI384" i="2"/>
  <c r="AJ143" i="2"/>
  <c r="AJ212" i="2"/>
  <c r="AJ488" i="2"/>
  <c r="AI270" i="2"/>
  <c r="AJ268" i="2"/>
  <c r="AI315" i="2"/>
  <c r="AI586" i="2"/>
  <c r="AJ197" i="2"/>
  <c r="AJ468" i="2"/>
  <c r="AI24" i="2"/>
  <c r="AH21" i="2"/>
  <c r="AJ362" i="2"/>
  <c r="AH93" i="2"/>
  <c r="AJ234" i="2"/>
  <c r="AJ352" i="2"/>
  <c r="AJ351" i="2"/>
  <c r="AJ200" i="2"/>
  <c r="AJ188" i="2"/>
  <c r="AJ459" i="2"/>
  <c r="AJ477" i="2"/>
  <c r="AJ303" i="2"/>
  <c r="AJ101" i="2"/>
  <c r="AI216" i="2"/>
  <c r="AJ448" i="2"/>
  <c r="AI446" i="2"/>
  <c r="AJ554" i="2"/>
  <c r="AI29" i="2"/>
  <c r="AH453" i="2"/>
  <c r="AI454" i="2"/>
  <c r="AJ428" i="2"/>
  <c r="AI61" i="2"/>
  <c r="AI332" i="2"/>
  <c r="AI79" i="2"/>
  <c r="AI350" i="2"/>
  <c r="AJ621" i="2"/>
  <c r="AI108" i="2"/>
  <c r="AI312" i="2"/>
  <c r="AH309" i="2"/>
  <c r="AJ177" i="2"/>
  <c r="AJ178" i="2"/>
  <c r="AJ437" i="2"/>
  <c r="AI13" i="2"/>
  <c r="AJ541" i="2"/>
  <c r="AI6" i="2"/>
  <c r="AI322" i="2"/>
  <c r="AH615" i="2"/>
  <c r="AI616" i="2"/>
  <c r="AJ631" i="2"/>
  <c r="AJ50" i="2"/>
  <c r="AI51" i="2"/>
  <c r="AJ65" i="2"/>
  <c r="AJ121" i="2"/>
  <c r="AJ218" i="2"/>
  <c r="AJ84" i="2"/>
  <c r="AJ85" i="2"/>
  <c r="AJ80" i="2"/>
  <c r="AJ251" i="2"/>
  <c r="AJ605" i="2"/>
  <c r="AI605" i="2"/>
  <c r="AJ96" i="2"/>
  <c r="AJ434" i="2"/>
  <c r="AJ193" i="2"/>
  <c r="AJ626" i="2"/>
  <c r="AJ141" i="2"/>
  <c r="AG471" i="2"/>
  <c r="AJ473" i="2"/>
  <c r="AJ395" i="2"/>
  <c r="AJ123" i="2"/>
  <c r="AI433" i="2"/>
  <c r="AJ433" i="2"/>
  <c r="AJ499" i="2"/>
  <c r="AI499" i="2"/>
  <c r="AI393" i="2"/>
  <c r="AJ501" i="2"/>
  <c r="AJ451" i="2"/>
  <c r="AJ74" i="2"/>
  <c r="AI212" i="2"/>
  <c r="AI382" i="2"/>
  <c r="AH381" i="2"/>
  <c r="AJ382" i="2"/>
  <c r="AJ347" i="2"/>
  <c r="AJ112" i="2"/>
  <c r="AG111" i="2"/>
  <c r="AJ383" i="2"/>
  <c r="AG381" i="2"/>
  <c r="AJ91" i="2"/>
  <c r="AJ92" i="2"/>
  <c r="AJ94" i="2"/>
  <c r="AG93" i="2"/>
  <c r="AJ463" i="2"/>
  <c r="AJ55" i="2"/>
  <c r="AJ274" i="2"/>
  <c r="AG273" i="2"/>
  <c r="AJ102" i="2"/>
  <c r="AJ37" i="2"/>
  <c r="AJ338" i="2"/>
  <c r="AJ323" i="2"/>
  <c r="AJ106" i="2"/>
  <c r="AJ319" i="2"/>
  <c r="AJ128" i="2"/>
  <c r="AJ603" i="2"/>
  <c r="AJ379" i="2"/>
  <c r="AJ583" i="2"/>
  <c r="AJ648" i="2"/>
  <c r="AL24" i="2"/>
  <c r="AL366" i="2"/>
  <c r="AL240" i="2"/>
  <c r="AL114" i="2"/>
  <c r="AL78" i="2"/>
  <c r="AL402" i="2"/>
  <c r="AL186" i="2"/>
  <c r="AL600" i="2"/>
  <c r="AL582" i="2"/>
  <c r="AL637" i="2"/>
  <c r="AL564" i="2"/>
  <c r="AL619" i="2"/>
  <c r="AL134" i="2"/>
  <c r="AL258" i="2"/>
  <c r="AL97" i="2"/>
  <c r="AL351" i="2"/>
  <c r="AL456" i="2"/>
  <c r="AL475" i="2"/>
  <c r="AL205" i="2"/>
  <c r="AL422" i="2"/>
  <c r="AL510" i="2"/>
  <c r="AL296" i="2"/>
  <c r="AL277" i="2"/>
  <c r="AL495" i="2"/>
  <c r="AL530" i="2"/>
  <c r="AL151" i="2"/>
  <c r="AL169" i="2"/>
  <c r="AL223" i="2"/>
  <c r="AL547" i="2"/>
  <c r="AL439" i="2"/>
  <c r="AL60" i="2"/>
  <c r="AL313" i="2"/>
  <c r="AL333" i="2"/>
  <c r="AL43" i="2"/>
  <c r="AL7" i="2"/>
  <c r="AB1157" i="2" l="1"/>
  <c r="AB1165" i="2"/>
  <c r="AC1165" i="2" s="1"/>
  <c r="AB1156" i="2"/>
  <c r="AC1156" i="2" s="1"/>
  <c r="AB1164" i="2"/>
  <c r="AC1164" i="2" s="1"/>
  <c r="AB1167" i="2"/>
  <c r="AC1167" i="2" s="1"/>
  <c r="AB1166" i="2"/>
  <c r="AC1166" i="2" s="1"/>
  <c r="AB1169" i="2"/>
  <c r="AC1169" i="2" s="1"/>
  <c r="AB1160" i="2"/>
  <c r="AC1160" i="2" s="1"/>
  <c r="AB1168" i="2"/>
  <c r="AC1168" i="2" s="1"/>
  <c r="AB1170" i="2"/>
  <c r="AC1170" i="2" s="1"/>
  <c r="AB1161" i="2"/>
  <c r="AC1161" i="2" s="1"/>
  <c r="AB1171" i="2"/>
  <c r="AC1171" i="2" s="1"/>
  <c r="AB1158" i="2"/>
  <c r="AB1162" i="2"/>
  <c r="AC1162" i="2" s="1"/>
  <c r="AB1172" i="2"/>
  <c r="AC1172" i="2" s="1"/>
  <c r="AB1159" i="2"/>
  <c r="AC1159" i="2" s="1"/>
  <c r="AC1157" i="2"/>
  <c r="AC1163" i="2"/>
  <c r="AA1155" i="2"/>
  <c r="AB1140" i="2"/>
  <c r="AB1141" i="2"/>
  <c r="AB1142" i="2"/>
  <c r="AB1139" i="2"/>
  <c r="AB1147" i="2"/>
  <c r="AB1148" i="2"/>
  <c r="AB1149" i="2"/>
  <c r="AB1150" i="2"/>
  <c r="AB1138" i="2"/>
  <c r="AB1143" i="2"/>
  <c r="AB1153" i="2"/>
  <c r="AB1154" i="2"/>
  <c r="AB1151" i="2"/>
  <c r="AB1144" i="2"/>
  <c r="AB1145" i="2"/>
  <c r="AB1146" i="2"/>
  <c r="AB1152" i="2"/>
  <c r="Z1137" i="2"/>
  <c r="AA1140" i="2"/>
  <c r="AA1148" i="2"/>
  <c r="AA1138" i="2"/>
  <c r="AA1146" i="2"/>
  <c r="AA1154" i="2"/>
  <c r="AA1139" i="2"/>
  <c r="AA1147" i="2"/>
  <c r="AA1141" i="2"/>
  <c r="AA1149" i="2"/>
  <c r="AA1145" i="2"/>
  <c r="AA1144" i="2"/>
  <c r="AA1152" i="2"/>
  <c r="AA1142" i="2"/>
  <c r="AA1150" i="2"/>
  <c r="AA1143" i="2"/>
  <c r="AA1151" i="2"/>
  <c r="AA1153" i="2"/>
  <c r="Y903" i="2"/>
  <c r="Y669" i="2"/>
  <c r="Z679" i="2"/>
  <c r="Z685" i="2"/>
  <c r="Z672" i="2"/>
  <c r="Z686" i="2"/>
  <c r="Z677" i="2"/>
  <c r="Z671" i="2"/>
  <c r="Z684" i="2"/>
  <c r="Z678" i="2"/>
  <c r="Z676" i="2"/>
  <c r="AB833" i="2"/>
  <c r="Z670" i="2"/>
  <c r="Z683" i="2"/>
  <c r="Z675" i="2"/>
  <c r="Z680" i="2"/>
  <c r="Z682" i="2"/>
  <c r="Z673" i="2"/>
  <c r="Z674" i="2"/>
  <c r="U926" i="2"/>
  <c r="X934" i="2"/>
  <c r="T930" i="2"/>
  <c r="U928" i="2"/>
  <c r="Y930" i="2"/>
  <c r="Y938" i="2"/>
  <c r="Y923" i="2"/>
  <c r="Y937" i="2"/>
  <c r="V938" i="2"/>
  <c r="V928" i="2"/>
  <c r="W932" i="2"/>
  <c r="T924" i="2"/>
  <c r="Y931" i="2"/>
  <c r="Y934" i="2"/>
  <c r="Y928" i="2"/>
  <c r="Y933" i="2"/>
  <c r="Y932" i="2"/>
  <c r="Y924" i="2"/>
  <c r="Y922" i="2"/>
  <c r="Y935" i="2"/>
  <c r="W924" i="2"/>
  <c r="Y936" i="2"/>
  <c r="U931" i="2"/>
  <c r="W937" i="2"/>
  <c r="T927" i="2"/>
  <c r="Y927" i="2"/>
  <c r="Y925" i="2"/>
  <c r="U935" i="2"/>
  <c r="Y926" i="2"/>
  <c r="T922" i="2"/>
  <c r="U934" i="2"/>
  <c r="Y929" i="2"/>
  <c r="U930" i="2"/>
  <c r="X927" i="2"/>
  <c r="X932" i="2"/>
  <c r="X936" i="2"/>
  <c r="T932" i="2"/>
  <c r="W923" i="2"/>
  <c r="W936" i="2"/>
  <c r="U929" i="2"/>
  <c r="U932" i="2"/>
  <c r="W938" i="2"/>
  <c r="V922" i="2"/>
  <c r="V923" i="2"/>
  <c r="W926" i="2"/>
  <c r="X923" i="2"/>
  <c r="U938" i="2"/>
  <c r="U922" i="2"/>
  <c r="V936" i="2"/>
  <c r="X926" i="2"/>
  <c r="T937" i="2"/>
  <c r="X935" i="2"/>
  <c r="X937" i="2"/>
  <c r="X925" i="2"/>
  <c r="X928" i="2"/>
  <c r="V932" i="2"/>
  <c r="W929" i="2"/>
  <c r="W925" i="2"/>
  <c r="U923" i="2"/>
  <c r="X922" i="2"/>
  <c r="X933" i="2"/>
  <c r="X929" i="2"/>
  <c r="V925" i="2"/>
  <c r="V934" i="2"/>
  <c r="T936" i="2"/>
  <c r="W933" i="2"/>
  <c r="V933" i="2"/>
  <c r="X930" i="2"/>
  <c r="X924" i="2"/>
  <c r="V926" i="2"/>
  <c r="U925" i="2"/>
  <c r="W930" i="2"/>
  <c r="W931" i="2"/>
  <c r="V930" i="2"/>
  <c r="U927" i="2"/>
  <c r="V937" i="2"/>
  <c r="T929" i="2"/>
  <c r="T923" i="2"/>
  <c r="V935" i="2"/>
  <c r="T926" i="2"/>
  <c r="W922" i="2"/>
  <c r="V924" i="2"/>
  <c r="X931" i="2"/>
  <c r="X938" i="2"/>
  <c r="W927" i="2"/>
  <c r="U924" i="2"/>
  <c r="U937" i="2"/>
  <c r="T935" i="2"/>
  <c r="W928" i="2"/>
  <c r="V931" i="2"/>
  <c r="U933" i="2"/>
  <c r="T928" i="2"/>
  <c r="T931" i="2"/>
  <c r="W903" i="2"/>
  <c r="T938" i="2"/>
  <c r="W935" i="2"/>
  <c r="T933" i="2"/>
  <c r="V929" i="2"/>
  <c r="W934" i="2"/>
  <c r="U948" i="2"/>
  <c r="V941" i="2"/>
  <c r="T934" i="2"/>
  <c r="T903" i="2"/>
  <c r="V903" i="2"/>
  <c r="X903" i="2"/>
  <c r="U903" i="2"/>
  <c r="B92" i="12"/>
  <c r="B61" i="12"/>
  <c r="Z885" i="2"/>
  <c r="AB782" i="2"/>
  <c r="AB792" i="2"/>
  <c r="AB785" i="2"/>
  <c r="AB779" i="2"/>
  <c r="AB793" i="2"/>
  <c r="AB786" i="2"/>
  <c r="AB778" i="2"/>
  <c r="AB791" i="2"/>
  <c r="AB789" i="2"/>
  <c r="AB783" i="2"/>
  <c r="AB794" i="2"/>
  <c r="AB780" i="2"/>
  <c r="AB788" i="2"/>
  <c r="AB787" i="2"/>
  <c r="AB784" i="2"/>
  <c r="Z867" i="2"/>
  <c r="AA788" i="2"/>
  <c r="AA790" i="2"/>
  <c r="AA781" i="2"/>
  <c r="AA787" i="2"/>
  <c r="AA794" i="2"/>
  <c r="AA792" i="2"/>
  <c r="AA793" i="2"/>
  <c r="AA779" i="2"/>
  <c r="AA782" i="2"/>
  <c r="AA784" i="2"/>
  <c r="AA785" i="2"/>
  <c r="AA780" i="2"/>
  <c r="AA786" i="2"/>
  <c r="AA778" i="2"/>
  <c r="AA789" i="2"/>
  <c r="AA825" i="2"/>
  <c r="AA817" i="2"/>
  <c r="AB754" i="2"/>
  <c r="AB747" i="2"/>
  <c r="AB752" i="2"/>
  <c r="AB750" i="2"/>
  <c r="AB744" i="2"/>
  <c r="AB755" i="2"/>
  <c r="AB757" i="2"/>
  <c r="AB742" i="2"/>
  <c r="AB746" i="2"/>
  <c r="AB758" i="2"/>
  <c r="AB749" i="2"/>
  <c r="AB753" i="2"/>
  <c r="AB743" i="2"/>
  <c r="AB751" i="2"/>
  <c r="AB748" i="2"/>
  <c r="AB745" i="2"/>
  <c r="Z759" i="2"/>
  <c r="AA888" i="2"/>
  <c r="AA901" i="2"/>
  <c r="AA891" i="2"/>
  <c r="AA900" i="2"/>
  <c r="AA894" i="2"/>
  <c r="AA898" i="2"/>
  <c r="AA897" i="2"/>
  <c r="AA893" i="2"/>
  <c r="AA886" i="2"/>
  <c r="AA899" i="2"/>
  <c r="AA892" i="2"/>
  <c r="AA902" i="2"/>
  <c r="AA889" i="2"/>
  <c r="AA896" i="2"/>
  <c r="AA887" i="2"/>
  <c r="AA895" i="2"/>
  <c r="AA890" i="2"/>
  <c r="AA951" i="2"/>
  <c r="AA950" i="2"/>
  <c r="AA941" i="2"/>
  <c r="AA940" i="2"/>
  <c r="AA949" i="2"/>
  <c r="AA952" i="2"/>
  <c r="AA953" i="2"/>
  <c r="AA942" i="2"/>
  <c r="AA945" i="2"/>
  <c r="AA954" i="2"/>
  <c r="AA944" i="2"/>
  <c r="AA956" i="2"/>
  <c r="AA955" i="2"/>
  <c r="AA947" i="2"/>
  <c r="AA948" i="2"/>
  <c r="AA943" i="2"/>
  <c r="AA946" i="2"/>
  <c r="AB756" i="2"/>
  <c r="AB765" i="2"/>
  <c r="AB772" i="2"/>
  <c r="AB790" i="2"/>
  <c r="AB781" i="2"/>
  <c r="AB842" i="2"/>
  <c r="AB815" i="2"/>
  <c r="AB846" i="2"/>
  <c r="AB838" i="2"/>
  <c r="AB848" i="2"/>
  <c r="AB844" i="2"/>
  <c r="AB835" i="2"/>
  <c r="AB828" i="2"/>
  <c r="AB819" i="2"/>
  <c r="AB826" i="2"/>
  <c r="AB830" i="2"/>
  <c r="AB814" i="2"/>
  <c r="AB820" i="2"/>
  <c r="AB843" i="2"/>
  <c r="AB845" i="2"/>
  <c r="AB839" i="2"/>
  <c r="AB827" i="2"/>
  <c r="AB829" i="2"/>
  <c r="AB821" i="2"/>
  <c r="AB817" i="2"/>
  <c r="AB822" i="2"/>
  <c r="AB840" i="2"/>
  <c r="AB825" i="2"/>
  <c r="AB836" i="2"/>
  <c r="AB841" i="2"/>
  <c r="AB823" i="2"/>
  <c r="AB818" i="2"/>
  <c r="AB837" i="2"/>
  <c r="AB834" i="2"/>
  <c r="AB847" i="2"/>
  <c r="AB832" i="2"/>
  <c r="AA879" i="2"/>
  <c r="AA872" i="2"/>
  <c r="AA870" i="2"/>
  <c r="AA881" i="2"/>
  <c r="AA873" i="2"/>
  <c r="AA880" i="2"/>
  <c r="AA874" i="2"/>
  <c r="AA878" i="2"/>
  <c r="AA877" i="2"/>
  <c r="AA869" i="2"/>
  <c r="AA884" i="2"/>
  <c r="AA882" i="2"/>
  <c r="AA868" i="2"/>
  <c r="AA871" i="2"/>
  <c r="AA876" i="2"/>
  <c r="AA883" i="2"/>
  <c r="AA875" i="2"/>
  <c r="AB796" i="2"/>
  <c r="AB797" i="2"/>
  <c r="AB809" i="2"/>
  <c r="AB803" i="2"/>
  <c r="AB807" i="2"/>
  <c r="AB800" i="2"/>
  <c r="AB812" i="2"/>
  <c r="AB806" i="2"/>
  <c r="AB811" i="2"/>
  <c r="AB802" i="2"/>
  <c r="AB810" i="2"/>
  <c r="AB808" i="2"/>
  <c r="AB801" i="2"/>
  <c r="AB804" i="2"/>
  <c r="AB805" i="2"/>
  <c r="AB798" i="2"/>
  <c r="AB799" i="2"/>
  <c r="AA757" i="2"/>
  <c r="AA756" i="2"/>
  <c r="AA749" i="2"/>
  <c r="AA755" i="2"/>
  <c r="AA752" i="2"/>
  <c r="AA746" i="2"/>
  <c r="AA747" i="2"/>
  <c r="AA742" i="2"/>
  <c r="AA750" i="2"/>
  <c r="AA751" i="2"/>
  <c r="AA745" i="2"/>
  <c r="AA743" i="2"/>
  <c r="AA758" i="2"/>
  <c r="AA748" i="2"/>
  <c r="AA753" i="2"/>
  <c r="AA744" i="2"/>
  <c r="AA754" i="2"/>
  <c r="AA833" i="2"/>
  <c r="AC833" i="2" s="1"/>
  <c r="AA841" i="2"/>
  <c r="Z921" i="2"/>
  <c r="AA738" i="2"/>
  <c r="AA736" i="2"/>
  <c r="AA728" i="2"/>
  <c r="AA733" i="2"/>
  <c r="AA734" i="2"/>
  <c r="AA729" i="2"/>
  <c r="AA725" i="2"/>
  <c r="AA732" i="2"/>
  <c r="AA737" i="2"/>
  <c r="AA731" i="2"/>
  <c r="AA735" i="2"/>
  <c r="AA724" i="2"/>
  <c r="AA730" i="2"/>
  <c r="AA726" i="2"/>
  <c r="AA740" i="2"/>
  <c r="AA739" i="2"/>
  <c r="Z741" i="2"/>
  <c r="AA727" i="2"/>
  <c r="AA773" i="2"/>
  <c r="AA783" i="2"/>
  <c r="AA765" i="2"/>
  <c r="AA791" i="2"/>
  <c r="AA824" i="2"/>
  <c r="AA820" i="2"/>
  <c r="AA838" i="2"/>
  <c r="AA829" i="2"/>
  <c r="AA819" i="2"/>
  <c r="AA845" i="2"/>
  <c r="AA844" i="2"/>
  <c r="AA821" i="2"/>
  <c r="AA827" i="2"/>
  <c r="AA822" i="2"/>
  <c r="AA843" i="2"/>
  <c r="AA840" i="2"/>
  <c r="AA848" i="2"/>
  <c r="AA836" i="2"/>
  <c r="AA815" i="2"/>
  <c r="AA834" i="2"/>
  <c r="AA830" i="2"/>
  <c r="AA832" i="2"/>
  <c r="AA835" i="2"/>
  <c r="AA839" i="2"/>
  <c r="AA823" i="2"/>
  <c r="AA842" i="2"/>
  <c r="AC842" i="2" s="1"/>
  <c r="AA818" i="2"/>
  <c r="AA846" i="2"/>
  <c r="AA837" i="2"/>
  <c r="AA828" i="2"/>
  <c r="AA826" i="2"/>
  <c r="AA814" i="2"/>
  <c r="AA816" i="2"/>
  <c r="AA847" i="2"/>
  <c r="AB873" i="2"/>
  <c r="AB879" i="2"/>
  <c r="AB883" i="2"/>
  <c r="AB876" i="2"/>
  <c r="AB869" i="2"/>
  <c r="AB884" i="2"/>
  <c r="AB878" i="2"/>
  <c r="AB881" i="2"/>
  <c r="AB872" i="2"/>
  <c r="AB868" i="2"/>
  <c r="AB877" i="2"/>
  <c r="AB875" i="2"/>
  <c r="AB871" i="2"/>
  <c r="AB870" i="2"/>
  <c r="AB880" i="2"/>
  <c r="AB874" i="2"/>
  <c r="AB882" i="2"/>
  <c r="AA801" i="2"/>
  <c r="AA803" i="2"/>
  <c r="AA811" i="2"/>
  <c r="AA805" i="2"/>
  <c r="AA812" i="2"/>
  <c r="AA807" i="2"/>
  <c r="AA810" i="2"/>
  <c r="AA800" i="2"/>
  <c r="AA802" i="2"/>
  <c r="AA806" i="2"/>
  <c r="AA809" i="2"/>
  <c r="AA797" i="2"/>
  <c r="AA804" i="2"/>
  <c r="AA796" i="2"/>
  <c r="AA798" i="2"/>
  <c r="AA808" i="2"/>
  <c r="AA799" i="2"/>
  <c r="Z813" i="2"/>
  <c r="Z831" i="2"/>
  <c r="Z777" i="2"/>
  <c r="Z849" i="2"/>
  <c r="AB770" i="2"/>
  <c r="AB771" i="2"/>
  <c r="AB773" i="2"/>
  <c r="AB760" i="2"/>
  <c r="AB767" i="2"/>
  <c r="AB761" i="2"/>
  <c r="AB768" i="2"/>
  <c r="AB774" i="2"/>
  <c r="AB776" i="2"/>
  <c r="AB766" i="2"/>
  <c r="AB763" i="2"/>
  <c r="AB775" i="2"/>
  <c r="AB762" i="2"/>
  <c r="AB769" i="2"/>
  <c r="AB764" i="2"/>
  <c r="Z687" i="2"/>
  <c r="AB816" i="2"/>
  <c r="AB824" i="2"/>
  <c r="AB940" i="2"/>
  <c r="AB955" i="2"/>
  <c r="AB953" i="2"/>
  <c r="AB952" i="2"/>
  <c r="AB956" i="2"/>
  <c r="AB943" i="2"/>
  <c r="AB941" i="2"/>
  <c r="AB944" i="2"/>
  <c r="AB948" i="2"/>
  <c r="AB946" i="2"/>
  <c r="AB949" i="2"/>
  <c r="AB942" i="2"/>
  <c r="AB954" i="2"/>
  <c r="AB950" i="2"/>
  <c r="AB945" i="2"/>
  <c r="AB947" i="2"/>
  <c r="AB951" i="2"/>
  <c r="AA920" i="2"/>
  <c r="AA916" i="2"/>
  <c r="AA905" i="2"/>
  <c r="AA918" i="2"/>
  <c r="AA910" i="2"/>
  <c r="AA909" i="2"/>
  <c r="AA908" i="2"/>
  <c r="AA904" i="2"/>
  <c r="AA911" i="2"/>
  <c r="AA917" i="2"/>
  <c r="AA919" i="2"/>
  <c r="AA912" i="2"/>
  <c r="AA914" i="2"/>
  <c r="AA906" i="2"/>
  <c r="AA915" i="2"/>
  <c r="AA913" i="2"/>
  <c r="AA907" i="2"/>
  <c r="AB852" i="2"/>
  <c r="AB862" i="2"/>
  <c r="AB858" i="2"/>
  <c r="AB861" i="2"/>
  <c r="AB855" i="2"/>
  <c r="AB860" i="2"/>
  <c r="AB853" i="2"/>
  <c r="AB866" i="2"/>
  <c r="AB859" i="2"/>
  <c r="AB863" i="2"/>
  <c r="AB864" i="2"/>
  <c r="AB865" i="2"/>
  <c r="AB850" i="2"/>
  <c r="AB851" i="2"/>
  <c r="AB854" i="2"/>
  <c r="AB857" i="2"/>
  <c r="AB856" i="2"/>
  <c r="AB690" i="2"/>
  <c r="AB693" i="2"/>
  <c r="AB701" i="2"/>
  <c r="AB694" i="2"/>
  <c r="AB702" i="2"/>
  <c r="AB697" i="2"/>
  <c r="AB689" i="2"/>
  <c r="AB691" i="2"/>
  <c r="AB692" i="2"/>
  <c r="AB699" i="2"/>
  <c r="AB698" i="2"/>
  <c r="AB704" i="2"/>
  <c r="AB696" i="2"/>
  <c r="AB688" i="2"/>
  <c r="AB700" i="2"/>
  <c r="AB703" i="2"/>
  <c r="AB695" i="2"/>
  <c r="AA931" i="2"/>
  <c r="AA932" i="2"/>
  <c r="AA923" i="2"/>
  <c r="AA930" i="2"/>
  <c r="AA927" i="2"/>
  <c r="AA929" i="2"/>
  <c r="AA938" i="2"/>
  <c r="AA922" i="2"/>
  <c r="AA934" i="2"/>
  <c r="AA926" i="2"/>
  <c r="AA933" i="2"/>
  <c r="AA925" i="2"/>
  <c r="AA935" i="2"/>
  <c r="AA924" i="2"/>
  <c r="AA928" i="2"/>
  <c r="AA937" i="2"/>
  <c r="AA936" i="2"/>
  <c r="Z903" i="2"/>
  <c r="Z795" i="2"/>
  <c r="Z705" i="2"/>
  <c r="AA721" i="2"/>
  <c r="AA713" i="2"/>
  <c r="AA706" i="2"/>
  <c r="AA722" i="2"/>
  <c r="AA714" i="2"/>
  <c r="AA716" i="2"/>
  <c r="AA711" i="2"/>
  <c r="AA720" i="2"/>
  <c r="AA709" i="2"/>
  <c r="AA718" i="2"/>
  <c r="AA712" i="2"/>
  <c r="AA717" i="2"/>
  <c r="AA710" i="2"/>
  <c r="AA719" i="2"/>
  <c r="AA707" i="2"/>
  <c r="AA715" i="2"/>
  <c r="AA708" i="2"/>
  <c r="M105" i="12"/>
  <c r="AB908" i="2"/>
  <c r="AB920" i="2"/>
  <c r="AB918" i="2"/>
  <c r="AB917" i="2"/>
  <c r="AB907" i="2"/>
  <c r="AB905" i="2"/>
  <c r="AB914" i="2"/>
  <c r="AB915" i="2"/>
  <c r="AB919" i="2"/>
  <c r="AB906" i="2"/>
  <c r="AB910" i="2"/>
  <c r="AB911" i="2"/>
  <c r="AB913" i="2"/>
  <c r="AB909" i="2"/>
  <c r="AB904" i="2"/>
  <c r="AB916" i="2"/>
  <c r="AB912" i="2"/>
  <c r="AB931" i="2"/>
  <c r="AB936" i="2"/>
  <c r="AB924" i="2"/>
  <c r="AB922" i="2"/>
  <c r="AB930" i="2"/>
  <c r="AB923" i="2"/>
  <c r="AB938" i="2"/>
  <c r="AB927" i="2"/>
  <c r="AB934" i="2"/>
  <c r="AB935" i="2"/>
  <c r="AB928" i="2"/>
  <c r="AB937" i="2"/>
  <c r="AB926" i="2"/>
  <c r="AB929" i="2"/>
  <c r="AB933" i="2"/>
  <c r="AB925" i="2"/>
  <c r="AB932" i="2"/>
  <c r="Z723" i="2"/>
  <c r="AB713" i="2"/>
  <c r="AB721" i="2"/>
  <c r="AB706" i="2"/>
  <c r="AB720" i="2"/>
  <c r="AB712" i="2"/>
  <c r="AB711" i="2"/>
  <c r="AB717" i="2"/>
  <c r="AB718" i="2"/>
  <c r="AB722" i="2"/>
  <c r="AB715" i="2"/>
  <c r="AB719" i="2"/>
  <c r="AB708" i="2"/>
  <c r="AB714" i="2"/>
  <c r="AB707" i="2"/>
  <c r="AB716" i="2"/>
  <c r="AB709" i="2"/>
  <c r="AB710" i="2"/>
  <c r="AB734" i="2"/>
  <c r="AB733" i="2"/>
  <c r="AC733" i="2" s="1"/>
  <c r="AB728" i="2"/>
  <c r="AB740" i="2"/>
  <c r="AB739" i="2"/>
  <c r="AB727" i="2"/>
  <c r="AB736" i="2"/>
  <c r="AB737" i="2"/>
  <c r="AB724" i="2"/>
  <c r="AB731" i="2"/>
  <c r="AB732" i="2"/>
  <c r="AB735" i="2"/>
  <c r="AB738" i="2"/>
  <c r="AB726" i="2"/>
  <c r="AB730" i="2"/>
  <c r="AB729" i="2"/>
  <c r="AB725" i="2"/>
  <c r="AA763" i="2"/>
  <c r="AA772" i="2"/>
  <c r="AA767" i="2"/>
  <c r="AA764" i="2"/>
  <c r="AA771" i="2"/>
  <c r="AA761" i="2"/>
  <c r="AA769" i="2"/>
  <c r="AA776" i="2"/>
  <c r="AA775" i="2"/>
  <c r="AA768" i="2"/>
  <c r="AA762" i="2"/>
  <c r="AA760" i="2"/>
  <c r="AA770" i="2"/>
  <c r="AA766" i="2"/>
  <c r="AA774" i="2"/>
  <c r="AA855" i="2"/>
  <c r="AA866" i="2"/>
  <c r="AA859" i="2"/>
  <c r="AA850" i="2"/>
  <c r="AA865" i="2"/>
  <c r="AA851" i="2"/>
  <c r="AA858" i="2"/>
  <c r="AA860" i="2"/>
  <c r="AA857" i="2"/>
  <c r="AA862" i="2"/>
  <c r="AA853" i="2"/>
  <c r="AA864" i="2"/>
  <c r="AA854" i="2"/>
  <c r="AA856" i="2"/>
  <c r="AA861" i="2"/>
  <c r="AA852" i="2"/>
  <c r="AA863" i="2"/>
  <c r="AA703" i="2"/>
  <c r="AA694" i="2"/>
  <c r="AA702" i="2"/>
  <c r="AA695" i="2"/>
  <c r="AA693" i="2"/>
  <c r="AA700" i="2"/>
  <c r="AA697" i="2"/>
  <c r="AA689" i="2"/>
  <c r="AA701" i="2"/>
  <c r="AA704" i="2"/>
  <c r="AA696" i="2"/>
  <c r="AA688" i="2"/>
  <c r="AA690" i="2"/>
  <c r="AA692" i="2"/>
  <c r="AA699" i="2"/>
  <c r="AA691" i="2"/>
  <c r="AA698" i="2"/>
  <c r="AB893" i="2"/>
  <c r="AB891" i="2"/>
  <c r="AB898" i="2"/>
  <c r="AB894" i="2"/>
  <c r="AB902" i="2"/>
  <c r="AB901" i="2"/>
  <c r="AB888" i="2"/>
  <c r="AB896" i="2"/>
  <c r="AB899" i="2"/>
  <c r="AB886" i="2"/>
  <c r="AB895" i="2"/>
  <c r="AB887" i="2"/>
  <c r="AB889" i="2"/>
  <c r="AB900" i="2"/>
  <c r="AB897" i="2"/>
  <c r="AB890" i="2"/>
  <c r="AB892" i="2"/>
  <c r="O42" i="12"/>
  <c r="O40" i="12" s="1"/>
  <c r="D42" i="12"/>
  <c r="D40" i="12" s="1"/>
  <c r="E42" i="12"/>
  <c r="E40" i="12" s="1"/>
  <c r="F42" i="12"/>
  <c r="F40" i="12" s="1"/>
  <c r="H42" i="12"/>
  <c r="H40" i="12" s="1"/>
  <c r="G42" i="12"/>
  <c r="G40" i="12" s="1"/>
  <c r="I42" i="12"/>
  <c r="I40" i="12" s="1"/>
  <c r="O77" i="12"/>
  <c r="AB670" i="2" s="1"/>
  <c r="O74" i="12"/>
  <c r="L42" i="12"/>
  <c r="L40" i="12" s="1"/>
  <c r="N77" i="12"/>
  <c r="AA671" i="2" s="1"/>
  <c r="N74" i="12"/>
  <c r="J42" i="12"/>
  <c r="J40" i="12" s="1"/>
  <c r="K42" i="12"/>
  <c r="K40" i="12" s="1"/>
  <c r="M42" i="12"/>
  <c r="M40" i="12" s="1"/>
  <c r="G41" i="12"/>
  <c r="H41" i="12"/>
  <c r="I41" i="12"/>
  <c r="J41" i="12"/>
  <c r="K41" i="12"/>
  <c r="L41" i="12"/>
  <c r="M41" i="12"/>
  <c r="N41" i="12"/>
  <c r="N42" i="12"/>
  <c r="N40" i="12" s="1"/>
  <c r="AJ417" i="2"/>
  <c r="AJ111" i="2"/>
  <c r="AJ561" i="2"/>
  <c r="AJ219" i="2"/>
  <c r="AJ471" i="2"/>
  <c r="AJ39" i="2"/>
  <c r="AI291" i="2"/>
  <c r="AJ507" i="2"/>
  <c r="AJ327" i="2"/>
  <c r="AJ345" i="2"/>
  <c r="AJ291" i="2"/>
  <c r="AJ543" i="2"/>
  <c r="AJ147" i="2"/>
  <c r="AI183" i="2"/>
  <c r="AJ489" i="2"/>
  <c r="AJ183" i="2"/>
  <c r="AI615" i="2"/>
  <c r="AJ75" i="2"/>
  <c r="AI129" i="2"/>
  <c r="AJ237" i="2"/>
  <c r="AJ435" i="2"/>
  <c r="AL386" i="2"/>
  <c r="AI435" i="2"/>
  <c r="AI3" i="2"/>
  <c r="AI633" i="2"/>
  <c r="AJ57" i="2"/>
  <c r="AJ93" i="2"/>
  <c r="AI453" i="2"/>
  <c r="AI597" i="2"/>
  <c r="AI219" i="2"/>
  <c r="AJ633" i="2"/>
  <c r="AI579" i="2"/>
  <c r="AI399" i="2"/>
  <c r="AJ255" i="2"/>
  <c r="AI471" i="2"/>
  <c r="AJ309" i="2"/>
  <c r="AI561" i="2"/>
  <c r="AI21" i="2"/>
  <c r="AJ21" i="2"/>
  <c r="AI111" i="2"/>
  <c r="AI507" i="2"/>
  <c r="AJ381" i="2"/>
  <c r="AI363" i="2"/>
  <c r="AI165" i="2"/>
  <c r="AI327" i="2"/>
  <c r="AI543" i="2"/>
  <c r="AI255" i="2"/>
  <c r="AJ3" i="2"/>
  <c r="AJ399" i="2"/>
  <c r="AI417" i="2"/>
  <c r="AI345" i="2"/>
  <c r="AJ615" i="2"/>
  <c r="AI39" i="2"/>
  <c r="AI57" i="2"/>
  <c r="AJ165" i="2"/>
  <c r="AI525" i="2"/>
  <c r="AJ201" i="2"/>
  <c r="AJ273" i="2"/>
  <c r="AI309" i="2"/>
  <c r="AJ453" i="2"/>
  <c r="AI75" i="2"/>
  <c r="AI201" i="2"/>
  <c r="AI237" i="2"/>
  <c r="AJ525" i="2"/>
  <c r="AJ579" i="2"/>
  <c r="AI273" i="2"/>
  <c r="AI381" i="2"/>
  <c r="AJ129" i="2"/>
  <c r="AJ597" i="2"/>
  <c r="AI147" i="2"/>
  <c r="AJ363" i="2"/>
  <c r="AI489" i="2"/>
  <c r="AI93" i="2"/>
  <c r="AL25" i="2"/>
  <c r="AL241" i="2"/>
  <c r="AL367" i="2"/>
  <c r="AL187" i="2"/>
  <c r="AL403" i="2"/>
  <c r="AL79" i="2"/>
  <c r="AL115" i="2"/>
  <c r="AL620" i="2"/>
  <c r="AL638" i="2"/>
  <c r="AL583" i="2"/>
  <c r="AL601" i="2"/>
  <c r="AL565" i="2"/>
  <c r="AL457" i="2"/>
  <c r="AL61" i="2"/>
  <c r="AL496" i="2"/>
  <c r="AL278" i="2"/>
  <c r="AL440" i="2"/>
  <c r="AL224" i="2"/>
  <c r="AL548" i="2"/>
  <c r="AL297" i="2"/>
  <c r="AL206" i="2"/>
  <c r="AL259" i="2"/>
  <c r="AL170" i="2"/>
  <c r="AL531" i="2"/>
  <c r="AL423" i="2"/>
  <c r="AL352" i="2"/>
  <c r="AL511" i="2"/>
  <c r="AL98" i="2"/>
  <c r="AL334" i="2"/>
  <c r="AL476" i="2"/>
  <c r="AL314" i="2"/>
  <c r="AL152" i="2"/>
  <c r="AL135" i="2"/>
  <c r="AL44" i="2"/>
  <c r="AL8" i="2"/>
  <c r="AB1155" i="2" l="1"/>
  <c r="AC1158" i="2"/>
  <c r="AC1155" i="2" s="1"/>
  <c r="AC717" i="2"/>
  <c r="AC738" i="2"/>
  <c r="AC827" i="2"/>
  <c r="AC789" i="2"/>
  <c r="AC890" i="2"/>
  <c r="AC874" i="2"/>
  <c r="AC888" i="2"/>
  <c r="AC737" i="2"/>
  <c r="AC892" i="2"/>
  <c r="AC727" i="2"/>
  <c r="AC1146" i="2"/>
  <c r="AC1150" i="2"/>
  <c r="AC1148" i="2"/>
  <c r="AC1145" i="2"/>
  <c r="AC1149" i="2"/>
  <c r="AA1137" i="2"/>
  <c r="AC1144" i="2"/>
  <c r="AC1151" i="2"/>
  <c r="AC1147" i="2"/>
  <c r="AC1154" i="2"/>
  <c r="AC1139" i="2"/>
  <c r="AC1138" i="2"/>
  <c r="AC1153" i="2"/>
  <c r="AC1142" i="2"/>
  <c r="AC1143" i="2"/>
  <c r="AC1141" i="2"/>
  <c r="AC1152" i="2"/>
  <c r="AB1137" i="2"/>
  <c r="AC1140" i="2"/>
  <c r="AA673" i="2"/>
  <c r="AA684" i="2"/>
  <c r="Z669" i="2"/>
  <c r="AA678" i="2"/>
  <c r="AA685" i="2"/>
  <c r="AB681" i="2"/>
  <c r="AB673" i="2"/>
  <c r="AB682" i="2"/>
  <c r="AB678" i="2"/>
  <c r="AA674" i="2"/>
  <c r="AA679" i="2"/>
  <c r="AB674" i="2"/>
  <c r="AB671" i="2"/>
  <c r="AC671" i="2" s="1"/>
  <c r="AA686" i="2"/>
  <c r="AA681" i="2"/>
  <c r="AA672" i="2"/>
  <c r="AB679" i="2"/>
  <c r="AB677" i="2"/>
  <c r="AB680" i="2"/>
  <c r="AA670" i="2"/>
  <c r="AC670" i="2" s="1"/>
  <c r="AA676" i="2"/>
  <c r="AB685" i="2"/>
  <c r="AC900" i="2"/>
  <c r="AB684" i="2"/>
  <c r="AB672" i="2"/>
  <c r="AA677" i="2"/>
  <c r="AA683" i="2"/>
  <c r="AC902" i="2"/>
  <c r="AB676" i="2"/>
  <c r="AB683" i="2"/>
  <c r="AA675" i="2"/>
  <c r="AA680" i="2"/>
  <c r="AB686" i="2"/>
  <c r="AB675" i="2"/>
  <c r="AC880" i="2"/>
  <c r="AA682" i="2"/>
  <c r="V951" i="2"/>
  <c r="W955" i="2"/>
  <c r="U955" i="2"/>
  <c r="U943" i="2"/>
  <c r="X942" i="2"/>
  <c r="T953" i="2"/>
  <c r="X947" i="2"/>
  <c r="T956" i="2"/>
  <c r="W921" i="2"/>
  <c r="W948" i="2"/>
  <c r="V956" i="2"/>
  <c r="U954" i="2"/>
  <c r="X921" i="2"/>
  <c r="V954" i="2"/>
  <c r="W944" i="2"/>
  <c r="T948" i="2"/>
  <c r="X953" i="2"/>
  <c r="X943" i="2"/>
  <c r="X954" i="2"/>
  <c r="V947" i="2"/>
  <c r="U942" i="2"/>
  <c r="T947" i="2"/>
  <c r="W949" i="2"/>
  <c r="V942" i="2"/>
  <c r="T946" i="2"/>
  <c r="T952" i="2"/>
  <c r="W947" i="2"/>
  <c r="X945" i="2"/>
  <c r="Z956" i="2"/>
  <c r="Z942" i="2"/>
  <c r="Z952" i="2"/>
  <c r="Z943" i="2"/>
  <c r="Z953" i="2"/>
  <c r="T951" i="2"/>
  <c r="Z948" i="2"/>
  <c r="Z940" i="2"/>
  <c r="Z950" i="2"/>
  <c r="Z949" i="2"/>
  <c r="Z955" i="2"/>
  <c r="Z951" i="2"/>
  <c r="Z947" i="2"/>
  <c r="Z945" i="2"/>
  <c r="Z941" i="2"/>
  <c r="W952" i="2"/>
  <c r="T942" i="2"/>
  <c r="Z946" i="2"/>
  <c r="Z944" i="2"/>
  <c r="Z954" i="2"/>
  <c r="W942" i="2"/>
  <c r="T945" i="2"/>
  <c r="U952" i="2"/>
  <c r="X950" i="2"/>
  <c r="Y950" i="2"/>
  <c r="T941" i="2"/>
  <c r="V944" i="2"/>
  <c r="T940" i="2"/>
  <c r="X951" i="2"/>
  <c r="V943" i="2"/>
  <c r="Y956" i="2"/>
  <c r="U956" i="2"/>
  <c r="Y940" i="2"/>
  <c r="T955" i="2"/>
  <c r="V949" i="2"/>
  <c r="T950" i="2"/>
  <c r="Y945" i="2"/>
  <c r="T943" i="2"/>
  <c r="X955" i="2"/>
  <c r="W953" i="2"/>
  <c r="X941" i="2"/>
  <c r="X948" i="2"/>
  <c r="U947" i="2"/>
  <c r="U940" i="2"/>
  <c r="U945" i="2"/>
  <c r="V940" i="2"/>
  <c r="T949" i="2"/>
  <c r="V945" i="2"/>
  <c r="Y948" i="2"/>
  <c r="W943" i="2"/>
  <c r="T944" i="2"/>
  <c r="W956" i="2"/>
  <c r="U941" i="2"/>
  <c r="X956" i="2"/>
  <c r="X944" i="2"/>
  <c r="Y946" i="2"/>
  <c r="Y952" i="2"/>
  <c r="Y954" i="2"/>
  <c r="U946" i="2"/>
  <c r="V950" i="2"/>
  <c r="Y947" i="2"/>
  <c r="V953" i="2"/>
  <c r="X952" i="2"/>
  <c r="W946" i="2"/>
  <c r="T954" i="2"/>
  <c r="V948" i="2"/>
  <c r="X940" i="2"/>
  <c r="Y951" i="2"/>
  <c r="Y949" i="2"/>
  <c r="Y941" i="2"/>
  <c r="Y944" i="2"/>
  <c r="W941" i="2"/>
  <c r="W951" i="2"/>
  <c r="Y942" i="2"/>
  <c r="W950" i="2"/>
  <c r="V946" i="2"/>
  <c r="U951" i="2"/>
  <c r="Y953" i="2"/>
  <c r="Y943" i="2"/>
  <c r="Y955" i="2"/>
  <c r="X949" i="2"/>
  <c r="V952" i="2"/>
  <c r="U944" i="2"/>
  <c r="U950" i="2"/>
  <c r="U949" i="2"/>
  <c r="U953" i="2"/>
  <c r="W940" i="2"/>
  <c r="X946" i="2"/>
  <c r="W945" i="2"/>
  <c r="W954" i="2"/>
  <c r="V955" i="2"/>
  <c r="T921" i="2"/>
  <c r="V921" i="2"/>
  <c r="Y921" i="2"/>
  <c r="U921" i="2"/>
  <c r="B93" i="12"/>
  <c r="AC809" i="2"/>
  <c r="B62" i="12"/>
  <c r="AC872" i="2"/>
  <c r="AC781" i="2"/>
  <c r="AC869" i="2"/>
  <c r="AC829" i="2"/>
  <c r="AC811" i="2"/>
  <c r="AC826" i="2"/>
  <c r="AC750" i="2"/>
  <c r="AC907" i="2"/>
  <c r="AC911" i="2"/>
  <c r="AC824" i="2"/>
  <c r="AC794" i="2"/>
  <c r="AC734" i="2"/>
  <c r="AC712" i="2"/>
  <c r="AC725" i="2"/>
  <c r="AC722" i="2"/>
  <c r="AC715" i="2"/>
  <c r="AC710" i="2"/>
  <c r="AC928" i="2"/>
  <c r="AC859" i="2"/>
  <c r="AC735" i="2"/>
  <c r="AC728" i="2"/>
  <c r="AC929" i="2"/>
  <c r="AC852" i="2"/>
  <c r="AC924" i="2"/>
  <c r="AC716" i="2"/>
  <c r="AC787" i="2"/>
  <c r="AC708" i="2"/>
  <c r="AC810" i="2"/>
  <c r="AC881" i="2"/>
  <c r="AC837" i="2"/>
  <c r="AC721" i="2"/>
  <c r="AC861" i="2"/>
  <c r="AC914" i="2"/>
  <c r="AC709" i="2"/>
  <c r="AC923" i="2"/>
  <c r="AC908" i="2"/>
  <c r="AC871" i="2"/>
  <c r="AC742" i="2"/>
  <c r="AC860" i="2"/>
  <c r="AC915" i="2"/>
  <c r="AC726" i="2"/>
  <c r="AC862" i="2"/>
  <c r="AC873" i="2"/>
  <c r="AC839" i="2"/>
  <c r="AC863" i="2"/>
  <c r="AC857" i="2"/>
  <c r="AC844" i="2"/>
  <c r="AC790" i="2"/>
  <c r="AC894" i="2"/>
  <c r="AC730" i="2"/>
  <c r="AC935" i="2"/>
  <c r="AC905" i="2"/>
  <c r="AC773" i="2"/>
  <c r="AC843" i="2"/>
  <c r="AC889" i="2"/>
  <c r="AC927" i="2"/>
  <c r="AC816" i="2"/>
  <c r="AC772" i="2"/>
  <c r="AC714" i="2"/>
  <c r="AC938" i="2"/>
  <c r="AC936" i="2"/>
  <c r="AC909" i="2"/>
  <c r="AC845" i="2"/>
  <c r="AC898" i="2"/>
  <c r="AC932" i="2"/>
  <c r="AC931" i="2"/>
  <c r="AC739" i="2"/>
  <c r="AC707" i="2"/>
  <c r="AC711" i="2"/>
  <c r="AC740" i="2"/>
  <c r="AC910" i="2"/>
  <c r="AC901" i="2"/>
  <c r="AC732" i="2"/>
  <c r="AC720" i="2"/>
  <c r="AC906" i="2"/>
  <c r="AC913" i="2"/>
  <c r="AC904" i="2"/>
  <c r="AC828" i="2"/>
  <c r="AC855" i="2"/>
  <c r="AC926" i="2"/>
  <c r="AC731" i="2"/>
  <c r="AC930" i="2"/>
  <c r="AC933" i="2"/>
  <c r="AC696" i="2"/>
  <c r="AC702" i="2"/>
  <c r="AC799" i="2"/>
  <c r="AC798" i="2"/>
  <c r="AC806" i="2"/>
  <c r="AC875" i="2"/>
  <c r="AC877" i="2"/>
  <c r="AC879" i="2"/>
  <c r="AC841" i="2"/>
  <c r="AC819" i="2"/>
  <c r="AC713" i="2"/>
  <c r="AC878" i="2"/>
  <c r="AC736" i="2"/>
  <c r="AC718" i="2"/>
  <c r="AC922" i="2"/>
  <c r="AC858" i="2"/>
  <c r="AA687" i="2"/>
  <c r="AA759" i="2"/>
  <c r="AC919" i="2"/>
  <c r="AC775" i="2"/>
  <c r="AC925" i="2"/>
  <c r="AC820" i="2"/>
  <c r="AC757" i="2"/>
  <c r="AC785" i="2"/>
  <c r="AC899" i="2"/>
  <c r="AC853" i="2"/>
  <c r="AB885" i="2"/>
  <c r="AA849" i="2"/>
  <c r="AC850" i="2"/>
  <c r="AC704" i="2"/>
  <c r="AC694" i="2"/>
  <c r="AB849" i="2"/>
  <c r="AC763" i="2"/>
  <c r="AC805" i="2"/>
  <c r="AC812" i="2"/>
  <c r="AC883" i="2"/>
  <c r="AC836" i="2"/>
  <c r="AA885" i="2"/>
  <c r="AC751" i="2"/>
  <c r="AC755" i="2"/>
  <c r="AC825" i="2"/>
  <c r="AC783" i="2"/>
  <c r="AC792" i="2"/>
  <c r="AB759" i="2"/>
  <c r="AA795" i="2"/>
  <c r="AC796" i="2"/>
  <c r="AC934" i="2"/>
  <c r="AC698" i="2"/>
  <c r="AC701" i="2"/>
  <c r="AC865" i="2"/>
  <c r="AC766" i="2"/>
  <c r="AC771" i="2"/>
  <c r="AA813" i="2"/>
  <c r="AC814" i="2"/>
  <c r="AA723" i="2"/>
  <c r="AC804" i="2"/>
  <c r="AC800" i="2"/>
  <c r="AC876" i="2"/>
  <c r="AB831" i="2"/>
  <c r="AC835" i="2"/>
  <c r="AC895" i="2"/>
  <c r="AC893" i="2"/>
  <c r="AC743" i="2"/>
  <c r="AC744" i="2"/>
  <c r="AC782" i="2"/>
  <c r="N105" i="12"/>
  <c r="AA705" i="2"/>
  <c r="AC937" i="2"/>
  <c r="AA921" i="2"/>
  <c r="AC699" i="2"/>
  <c r="AC693" i="2"/>
  <c r="AC864" i="2"/>
  <c r="AC912" i="2"/>
  <c r="AC918" i="2"/>
  <c r="AB939" i="2"/>
  <c r="AC776" i="2"/>
  <c r="AC770" i="2"/>
  <c r="AC801" i="2"/>
  <c r="AC807" i="2"/>
  <c r="AC847" i="2"/>
  <c r="AC840" i="2"/>
  <c r="AC887" i="2"/>
  <c r="AC897" i="2"/>
  <c r="AC753" i="2"/>
  <c r="AA777" i="2"/>
  <c r="AC791" i="2"/>
  <c r="AC760" i="2"/>
  <c r="AC719" i="2"/>
  <c r="AB705" i="2"/>
  <c r="AC695" i="2"/>
  <c r="AC692" i="2"/>
  <c r="AC690" i="2"/>
  <c r="AC774" i="2"/>
  <c r="AA831" i="2"/>
  <c r="AC832" i="2"/>
  <c r="AC808" i="2"/>
  <c r="AC803" i="2"/>
  <c r="AA867" i="2"/>
  <c r="AC868" i="2"/>
  <c r="AC834" i="2"/>
  <c r="AC822" i="2"/>
  <c r="AC848" i="2"/>
  <c r="AC765" i="2"/>
  <c r="AA939" i="2"/>
  <c r="AC896" i="2"/>
  <c r="AC749" i="2"/>
  <c r="AC752" i="2"/>
  <c r="AC784" i="2"/>
  <c r="AB777" i="2"/>
  <c r="AC778" i="2"/>
  <c r="AB723" i="2"/>
  <c r="AC886" i="2"/>
  <c r="AC703" i="2"/>
  <c r="AC691" i="2"/>
  <c r="AC856" i="2"/>
  <c r="AC917" i="2"/>
  <c r="AC916" i="2"/>
  <c r="AC764" i="2"/>
  <c r="AC768" i="2"/>
  <c r="AB867" i="2"/>
  <c r="AC882" i="2"/>
  <c r="AC817" i="2"/>
  <c r="AB813" i="2"/>
  <c r="AC838" i="2"/>
  <c r="AC756" i="2"/>
  <c r="AC758" i="2"/>
  <c r="AC747" i="2"/>
  <c r="AC786" i="2"/>
  <c r="O105" i="12"/>
  <c r="AC729" i="2"/>
  <c r="AB921" i="2"/>
  <c r="AC706" i="2"/>
  <c r="AC700" i="2"/>
  <c r="AC689" i="2"/>
  <c r="AC866" i="2"/>
  <c r="AC920" i="2"/>
  <c r="AC769" i="2"/>
  <c r="AC802" i="2"/>
  <c r="AC797" i="2"/>
  <c r="AC884" i="2"/>
  <c r="AC870" i="2"/>
  <c r="AC818" i="2"/>
  <c r="AC821" i="2"/>
  <c r="AC830" i="2"/>
  <c r="AC846" i="2"/>
  <c r="AC746" i="2"/>
  <c r="AC754" i="2"/>
  <c r="AC788" i="2"/>
  <c r="AC793" i="2"/>
  <c r="AC851" i="2"/>
  <c r="AC724" i="2"/>
  <c r="AB903" i="2"/>
  <c r="AB687" i="2"/>
  <c r="AC688" i="2"/>
  <c r="AC697" i="2"/>
  <c r="AC854" i="2"/>
  <c r="AA903" i="2"/>
  <c r="AC762" i="2"/>
  <c r="AC767" i="2"/>
  <c r="AA741" i="2"/>
  <c r="AB795" i="2"/>
  <c r="AC823" i="2"/>
  <c r="AC815" i="2"/>
  <c r="AC891" i="2"/>
  <c r="AC745" i="2"/>
  <c r="AB741" i="2"/>
  <c r="AC779" i="2"/>
  <c r="AL387" i="2"/>
  <c r="AL26" i="2"/>
  <c r="AL368" i="2"/>
  <c r="AL242" i="2"/>
  <c r="AL116" i="2"/>
  <c r="AL80" i="2"/>
  <c r="AL404" i="2"/>
  <c r="AL188" i="2"/>
  <c r="AL566" i="2"/>
  <c r="AL621" i="2"/>
  <c r="AL639" i="2"/>
  <c r="AL602" i="2"/>
  <c r="AL584" i="2"/>
  <c r="AL136" i="2"/>
  <c r="AL99" i="2"/>
  <c r="AL353" i="2"/>
  <c r="AL260" i="2"/>
  <c r="AL441" i="2"/>
  <c r="AL62" i="2"/>
  <c r="AL171" i="2"/>
  <c r="AL497" i="2"/>
  <c r="AL458" i="2"/>
  <c r="AL153" i="2"/>
  <c r="AL424" i="2"/>
  <c r="AL315" i="2"/>
  <c r="AL477" i="2"/>
  <c r="AL335" i="2"/>
  <c r="AL532" i="2"/>
  <c r="AL207" i="2"/>
  <c r="AL549" i="2"/>
  <c r="AL298" i="2"/>
  <c r="AL279" i="2"/>
  <c r="AL512" i="2"/>
  <c r="AL225" i="2"/>
  <c r="AL45" i="2"/>
  <c r="AL9" i="2"/>
  <c r="AC677" i="2" l="1"/>
  <c r="AC685" i="2"/>
  <c r="AC942" i="2"/>
  <c r="AC680" i="2"/>
  <c r="AC684" i="2"/>
  <c r="AC673" i="2"/>
  <c r="AC1137" i="2"/>
  <c r="AB669" i="2"/>
  <c r="AC943" i="2"/>
  <c r="AC949" i="2"/>
  <c r="AC952" i="2"/>
  <c r="AC675" i="2"/>
  <c r="AC951" i="2"/>
  <c r="AC945" i="2"/>
  <c r="AC946" i="2"/>
  <c r="AC676" i="2"/>
  <c r="AC674" i="2"/>
  <c r="AC683" i="2"/>
  <c r="AC679" i="2"/>
  <c r="AC672" i="2"/>
  <c r="AC678" i="2"/>
  <c r="AA669" i="2"/>
  <c r="AC950" i="2"/>
  <c r="AC940" i="2"/>
  <c r="AC956" i="2"/>
  <c r="AC954" i="2"/>
  <c r="AC955" i="2"/>
  <c r="AC941" i="2"/>
  <c r="AC947" i="2"/>
  <c r="AC686" i="2"/>
  <c r="AC944" i="2"/>
  <c r="AC682" i="2"/>
  <c r="AC681" i="2"/>
  <c r="W963" i="2"/>
  <c r="X971" i="2"/>
  <c r="U967" i="2"/>
  <c r="AA971" i="2"/>
  <c r="AA958" i="2"/>
  <c r="AB973" i="2"/>
  <c r="AB961" i="2"/>
  <c r="AA959" i="2"/>
  <c r="AA962" i="2"/>
  <c r="AB974" i="2"/>
  <c r="AB972" i="2"/>
  <c r="AA967" i="2"/>
  <c r="AA972" i="2"/>
  <c r="AB963" i="2"/>
  <c r="AB960" i="2"/>
  <c r="AA973" i="2"/>
  <c r="AA968" i="2"/>
  <c r="AB967" i="2"/>
  <c r="AB971" i="2"/>
  <c r="AB959" i="2"/>
  <c r="AA974" i="2"/>
  <c r="AA960" i="2"/>
  <c r="AB962" i="2"/>
  <c r="AA963" i="2"/>
  <c r="AA966" i="2"/>
  <c r="AB958" i="2"/>
  <c r="AB970" i="2"/>
  <c r="AB968" i="2"/>
  <c r="AA969" i="2"/>
  <c r="AA961" i="2"/>
  <c r="AB966" i="2"/>
  <c r="AB965" i="2"/>
  <c r="AA970" i="2"/>
  <c r="AA965" i="2"/>
  <c r="AA964" i="2"/>
  <c r="AB964" i="2"/>
  <c r="AB969" i="2"/>
  <c r="V961" i="2"/>
  <c r="Z958" i="2"/>
  <c r="Z963" i="2"/>
  <c r="V971" i="2"/>
  <c r="W967" i="2"/>
  <c r="U961" i="2"/>
  <c r="V970" i="2"/>
  <c r="Y963" i="2"/>
  <c r="X969" i="2"/>
  <c r="U958" i="2"/>
  <c r="T963" i="2"/>
  <c r="V966" i="2"/>
  <c r="V968" i="2"/>
  <c r="Z962" i="2"/>
  <c r="Y969" i="2"/>
  <c r="U959" i="2"/>
  <c r="Y959" i="2"/>
  <c r="Y970" i="2"/>
  <c r="X963" i="2"/>
  <c r="T960" i="2"/>
  <c r="V969" i="2"/>
  <c r="W959" i="2"/>
  <c r="V959" i="2"/>
  <c r="W972" i="2"/>
  <c r="U968" i="2"/>
  <c r="W970" i="2"/>
  <c r="Z959" i="2"/>
  <c r="Z961" i="2"/>
  <c r="U960" i="2"/>
  <c r="X962" i="2"/>
  <c r="V962" i="2"/>
  <c r="Z974" i="2"/>
  <c r="Z966" i="2"/>
  <c r="V965" i="2"/>
  <c r="V967" i="2"/>
  <c r="Z968" i="2"/>
  <c r="Z969" i="2"/>
  <c r="U973" i="2"/>
  <c r="T965" i="2"/>
  <c r="T964" i="2"/>
  <c r="V972" i="2"/>
  <c r="X960" i="2"/>
  <c r="T971" i="2"/>
  <c r="U965" i="2"/>
  <c r="W969" i="2"/>
  <c r="U966" i="2"/>
  <c r="Z960" i="2"/>
  <c r="Z971" i="2"/>
  <c r="U971" i="2"/>
  <c r="Z972" i="2"/>
  <c r="V960" i="2"/>
  <c r="T967" i="2"/>
  <c r="W961" i="2"/>
  <c r="W964" i="2"/>
  <c r="X972" i="2"/>
  <c r="W974" i="2"/>
  <c r="W971" i="2"/>
  <c r="Z970" i="2"/>
  <c r="Z964" i="2"/>
  <c r="X970" i="2"/>
  <c r="W965" i="2"/>
  <c r="X958" i="2"/>
  <c r="U964" i="2"/>
  <c r="Y960" i="2"/>
  <c r="T962" i="2"/>
  <c r="Y964" i="2"/>
  <c r="Z973" i="2"/>
  <c r="X968" i="2"/>
  <c r="V973" i="2"/>
  <c r="V963" i="2"/>
  <c r="X939" i="2"/>
  <c r="W958" i="2"/>
  <c r="V939" i="2"/>
  <c r="X973" i="2"/>
  <c r="T939" i="2"/>
  <c r="AC948" i="2"/>
  <c r="X967" i="2"/>
  <c r="T966" i="2"/>
  <c r="W966" i="2"/>
  <c r="V958" i="2"/>
  <c r="U963" i="2"/>
  <c r="U974" i="2"/>
  <c r="U939" i="2"/>
  <c r="Y939" i="2"/>
  <c r="W973" i="2"/>
  <c r="Y962" i="2"/>
  <c r="T959" i="2"/>
  <c r="Y973" i="2"/>
  <c r="X964" i="2"/>
  <c r="Y972" i="2"/>
  <c r="Z965" i="2"/>
  <c r="Y967" i="2"/>
  <c r="Y971" i="2"/>
  <c r="W962" i="2"/>
  <c r="U972" i="2"/>
  <c r="X974" i="2"/>
  <c r="W960" i="2"/>
  <c r="T958" i="2"/>
  <c r="X965" i="2"/>
  <c r="Y966" i="2"/>
  <c r="X959" i="2"/>
  <c r="T970" i="2"/>
  <c r="T961" i="2"/>
  <c r="Y965" i="2"/>
  <c r="T969" i="2"/>
  <c r="X966" i="2"/>
  <c r="W939" i="2"/>
  <c r="U962" i="2"/>
  <c r="Y961" i="2"/>
  <c r="Y982" i="2"/>
  <c r="U969" i="2"/>
  <c r="T974" i="2"/>
  <c r="T968" i="2"/>
  <c r="T983" i="2"/>
  <c r="V974" i="2"/>
  <c r="Y974" i="2"/>
  <c r="T973" i="2"/>
  <c r="Z986" i="2"/>
  <c r="U970" i="2"/>
  <c r="AC953" i="2"/>
  <c r="X961" i="2"/>
  <c r="X991" i="2"/>
  <c r="V964" i="2"/>
  <c r="U987" i="2"/>
  <c r="T972" i="2"/>
  <c r="Y958" i="2"/>
  <c r="Y968" i="2"/>
  <c r="Z967" i="2"/>
  <c r="W968" i="2"/>
  <c r="Z939" i="2"/>
  <c r="B94" i="12"/>
  <c r="B63" i="12"/>
  <c r="AC903" i="2"/>
  <c r="AC921" i="2"/>
  <c r="AC705" i="2"/>
  <c r="AC723" i="2"/>
  <c r="AC867" i="2"/>
  <c r="AC813" i="2"/>
  <c r="AC795" i="2"/>
  <c r="AC885" i="2"/>
  <c r="AC849" i="2"/>
  <c r="AC831" i="2"/>
  <c r="AC687" i="2"/>
  <c r="AL388" i="2"/>
  <c r="AL27" i="2"/>
  <c r="AL243" i="2"/>
  <c r="AL369" i="2"/>
  <c r="AL405" i="2"/>
  <c r="AL189" i="2"/>
  <c r="AL81" i="2"/>
  <c r="AL117" i="2"/>
  <c r="AL622" i="2"/>
  <c r="AL603" i="2"/>
  <c r="AL585" i="2"/>
  <c r="AL567" i="2"/>
  <c r="AL640" i="2"/>
  <c r="AL208" i="2"/>
  <c r="AL336" i="2"/>
  <c r="AL261" i="2"/>
  <c r="AL137" i="2"/>
  <c r="AL226" i="2"/>
  <c r="AL280" i="2"/>
  <c r="AL478" i="2"/>
  <c r="AL459" i="2"/>
  <c r="AL100" i="2"/>
  <c r="AL533" i="2"/>
  <c r="AL63" i="2"/>
  <c r="AL154" i="2"/>
  <c r="AL172" i="2"/>
  <c r="AL498" i="2"/>
  <c r="AL354" i="2"/>
  <c r="AL513" i="2"/>
  <c r="AL299" i="2"/>
  <c r="AL316" i="2"/>
  <c r="AL442" i="2"/>
  <c r="AL550" i="2"/>
  <c r="AL425" i="2"/>
  <c r="AL46" i="2"/>
  <c r="AL10" i="2"/>
  <c r="AC669" i="2" l="1"/>
  <c r="AC973" i="2"/>
  <c r="AC972" i="2"/>
  <c r="AC939" i="2"/>
  <c r="Y987" i="2"/>
  <c r="AC974" i="2"/>
  <c r="Y957" i="2"/>
  <c r="W991" i="2"/>
  <c r="X976" i="2"/>
  <c r="AC969" i="2"/>
  <c r="Y977" i="2"/>
  <c r="Y989" i="2"/>
  <c r="V991" i="2"/>
  <c r="X987" i="2"/>
  <c r="T986" i="2"/>
  <c r="X982" i="2"/>
  <c r="W989" i="2"/>
  <c r="AB988" i="2"/>
  <c r="AA984" i="2"/>
  <c r="AB981" i="2"/>
  <c r="AB989" i="2"/>
  <c r="AA980" i="2"/>
  <c r="AB977" i="2"/>
  <c r="Z980" i="2"/>
  <c r="X977" i="2"/>
  <c r="Z988" i="2"/>
  <c r="Y981" i="2"/>
  <c r="X990" i="2"/>
  <c r="X978" i="2"/>
  <c r="X992" i="2"/>
  <c r="AA978" i="2"/>
  <c r="AA977" i="2"/>
  <c r="AB990" i="2"/>
  <c r="AB982" i="2"/>
  <c r="AB983" i="2"/>
  <c r="AB984" i="2"/>
  <c r="AA983" i="2"/>
  <c r="U986" i="2"/>
  <c r="X979" i="2"/>
  <c r="Z978" i="2"/>
  <c r="AA982" i="2"/>
  <c r="AA985" i="2"/>
  <c r="AB978" i="2"/>
  <c r="AA990" i="2"/>
  <c r="Z991" i="2"/>
  <c r="Z987" i="2"/>
  <c r="Z992" i="2"/>
  <c r="Y978" i="2"/>
  <c r="Y985" i="2"/>
  <c r="Y992" i="2"/>
  <c r="Z977" i="2"/>
  <c r="Y976" i="2"/>
  <c r="AB992" i="2"/>
  <c r="AA976" i="2"/>
  <c r="AB980" i="2"/>
  <c r="AA979" i="2"/>
  <c r="Y984" i="2"/>
  <c r="Y983" i="2"/>
  <c r="X983" i="2"/>
  <c r="AB991" i="2"/>
  <c r="AB985" i="2"/>
  <c r="AB976" i="2"/>
  <c r="AA991" i="2"/>
  <c r="Z990" i="2"/>
  <c r="Z976" i="2"/>
  <c r="Z982" i="2"/>
  <c r="X989" i="2"/>
  <c r="T977" i="2"/>
  <c r="Z989" i="2"/>
  <c r="AB986" i="2"/>
  <c r="AA986" i="2"/>
  <c r="Z981" i="2"/>
  <c r="X986" i="2"/>
  <c r="AB979" i="2"/>
  <c r="AA992" i="2"/>
  <c r="AA981" i="2"/>
  <c r="Z984" i="2"/>
  <c r="Z983" i="2"/>
  <c r="Z979" i="2"/>
  <c r="Y988" i="2"/>
  <c r="X985" i="2"/>
  <c r="Y986" i="2"/>
  <c r="AB987" i="2"/>
  <c r="AA987" i="2"/>
  <c r="AA989" i="2"/>
  <c r="AA988" i="2"/>
  <c r="Z985" i="2"/>
  <c r="X984" i="2"/>
  <c r="Y979" i="2"/>
  <c r="V981" i="2"/>
  <c r="V986" i="2"/>
  <c r="Y990" i="2"/>
  <c r="Y991" i="2"/>
  <c r="U976" i="2"/>
  <c r="X988" i="2"/>
  <c r="U984" i="2"/>
  <c r="U985" i="2"/>
  <c r="T957" i="2"/>
  <c r="AC958" i="2"/>
  <c r="Y980" i="2"/>
  <c r="T987" i="2"/>
  <c r="W988" i="2"/>
  <c r="AC968" i="2"/>
  <c r="AC961" i="2"/>
  <c r="AC959" i="2"/>
  <c r="AC966" i="2"/>
  <c r="AC962" i="2"/>
  <c r="AA957" i="2"/>
  <c r="X957" i="2"/>
  <c r="Z957" i="2"/>
  <c r="V957" i="2"/>
  <c r="W957" i="2"/>
  <c r="AC970" i="2"/>
  <c r="U957" i="2"/>
  <c r="AC971" i="2"/>
  <c r="AC965" i="2"/>
  <c r="AC963" i="2"/>
  <c r="AC967" i="2"/>
  <c r="AC964" i="2"/>
  <c r="AC960" i="2"/>
  <c r="AB957" i="2"/>
  <c r="B95" i="12"/>
  <c r="B64" i="12"/>
  <c r="AL389" i="2"/>
  <c r="AL28" i="2"/>
  <c r="AL370" i="2"/>
  <c r="AL244" i="2"/>
  <c r="AL82" i="2"/>
  <c r="AL118" i="2"/>
  <c r="AL190" i="2"/>
  <c r="AL406" i="2"/>
  <c r="AL604" i="2"/>
  <c r="AL586" i="2"/>
  <c r="AL641" i="2"/>
  <c r="AL623" i="2"/>
  <c r="AL568" i="2"/>
  <c r="AL64" i="2"/>
  <c r="AL479" i="2"/>
  <c r="AL209" i="2"/>
  <c r="AL426" i="2"/>
  <c r="AL460" i="2"/>
  <c r="AL138" i="2"/>
  <c r="AL443" i="2"/>
  <c r="AL551" i="2"/>
  <c r="AL300" i="2"/>
  <c r="AL173" i="2"/>
  <c r="AL101" i="2"/>
  <c r="AL227" i="2"/>
  <c r="AL514" i="2"/>
  <c r="AL262" i="2"/>
  <c r="AL155" i="2"/>
  <c r="AL499" i="2"/>
  <c r="AL281" i="2"/>
  <c r="AL337" i="2"/>
  <c r="AL317" i="2"/>
  <c r="AL355" i="2"/>
  <c r="AL534" i="2"/>
  <c r="AL47" i="2"/>
  <c r="AL11" i="2"/>
  <c r="V1002" i="2" l="1"/>
  <c r="Y1002" i="2"/>
  <c r="Z998" i="2"/>
  <c r="Z1003" i="2"/>
  <c r="Z1002" i="2"/>
  <c r="AA998" i="2"/>
  <c r="Z1006" i="2"/>
  <c r="Z1008" i="2"/>
  <c r="AB1001" i="2"/>
  <c r="Y1006" i="2"/>
  <c r="Y1003" i="2"/>
  <c r="Y1010" i="2"/>
  <c r="Z1000" i="2"/>
  <c r="AB999" i="2"/>
  <c r="AA1010" i="2"/>
  <c r="Y1000" i="2"/>
  <c r="AA975" i="2"/>
  <c r="Z997" i="2"/>
  <c r="Z1007" i="2"/>
  <c r="AB1006" i="2"/>
  <c r="AA1002" i="2"/>
  <c r="Z1004" i="2"/>
  <c r="Y999" i="2"/>
  <c r="Y1004" i="2"/>
  <c r="AA1000" i="2"/>
  <c r="Z994" i="2"/>
  <c r="AB995" i="2"/>
  <c r="AB1010" i="2"/>
  <c r="AB1002" i="2"/>
  <c r="Y975" i="2"/>
  <c r="Y1007" i="2"/>
  <c r="AA1008" i="2"/>
  <c r="Y1005" i="2"/>
  <c r="Z999" i="2"/>
  <c r="Z975" i="2"/>
  <c r="Z995" i="2"/>
  <c r="AA999" i="2"/>
  <c r="AB996" i="2"/>
  <c r="AA1006" i="2"/>
  <c r="AA1004" i="2"/>
  <c r="Z1010" i="2"/>
  <c r="AA997" i="2"/>
  <c r="AB1008" i="2"/>
  <c r="AB1000" i="2"/>
  <c r="Y998" i="2"/>
  <c r="Y1001" i="2"/>
  <c r="AB975" i="2"/>
  <c r="AA1001" i="2"/>
  <c r="Z1009" i="2"/>
  <c r="AA1003" i="2"/>
  <c r="AC957" i="2"/>
  <c r="AB1004" i="2"/>
  <c r="Z1005" i="2"/>
  <c r="Y997" i="2"/>
  <c r="Z996" i="2"/>
  <c r="AB1007" i="2"/>
  <c r="Z1001" i="2"/>
  <c r="Y996" i="2"/>
  <c r="AA994" i="2"/>
  <c r="AA995" i="2"/>
  <c r="AB997" i="2"/>
  <c r="AA996" i="2"/>
  <c r="AB1003" i="2"/>
  <c r="AB1005" i="2"/>
  <c r="Y994" i="2"/>
  <c r="Y995" i="2"/>
  <c r="Y1008" i="2"/>
  <c r="AA1007" i="2"/>
  <c r="AA1009" i="2"/>
  <c r="AB998" i="2"/>
  <c r="AB1009" i="2"/>
  <c r="Y1009" i="2"/>
  <c r="AA1005" i="2"/>
  <c r="AB994" i="2"/>
  <c r="B96" i="12"/>
  <c r="B65" i="12"/>
  <c r="AL390" i="2"/>
  <c r="AL29" i="2"/>
  <c r="AL245" i="2"/>
  <c r="AL371" i="2"/>
  <c r="AL407" i="2"/>
  <c r="AL191" i="2"/>
  <c r="AL119" i="2"/>
  <c r="AL83" i="2"/>
  <c r="AL642" i="2"/>
  <c r="AL587" i="2"/>
  <c r="AL605" i="2"/>
  <c r="AL569" i="2"/>
  <c r="AL624" i="2"/>
  <c r="AL301" i="2"/>
  <c r="AL461" i="2"/>
  <c r="AL156" i="2"/>
  <c r="AL480" i="2"/>
  <c r="AL282" i="2"/>
  <c r="AL444" i="2"/>
  <c r="AL102" i="2"/>
  <c r="AL228" i="2"/>
  <c r="AL552" i="2"/>
  <c r="AL210" i="2"/>
  <c r="AL427" i="2"/>
  <c r="AL356" i="2"/>
  <c r="AL65" i="2"/>
  <c r="AL318" i="2"/>
  <c r="AL535" i="2"/>
  <c r="AL338" i="2"/>
  <c r="AL500" i="2"/>
  <c r="AL263" i="2"/>
  <c r="AL515" i="2"/>
  <c r="AL174" i="2"/>
  <c r="AL139" i="2"/>
  <c r="AL48" i="2"/>
  <c r="AL12" i="2"/>
  <c r="AA993" i="2" l="1"/>
  <c r="Z1020" i="2"/>
  <c r="AB1015" i="2"/>
  <c r="AA1021" i="2"/>
  <c r="AA1027" i="2"/>
  <c r="AA1023" i="2"/>
  <c r="AA1018" i="2"/>
  <c r="AA1025" i="2"/>
  <c r="Y993" i="2"/>
  <c r="AA1024" i="2"/>
  <c r="AB1021" i="2"/>
  <c r="Z1017" i="2"/>
  <c r="Z1023" i="2"/>
  <c r="AB1022" i="2"/>
  <c r="Z993" i="2"/>
  <c r="AA1013" i="2"/>
  <c r="Z1018" i="2"/>
  <c r="Z1027" i="2"/>
  <c r="Z1022" i="2"/>
  <c r="AB1013" i="2"/>
  <c r="Z1014" i="2"/>
  <c r="Z1028" i="2"/>
  <c r="AA1017" i="2"/>
  <c r="AB1026" i="2"/>
  <c r="AB1018" i="2"/>
  <c r="AA1014" i="2"/>
  <c r="AB1023" i="2"/>
  <c r="AB1016" i="2"/>
  <c r="AB1019" i="2"/>
  <c r="Z1025" i="2"/>
  <c r="Z1030" i="2"/>
  <c r="Z1015" i="2"/>
  <c r="Z1036" i="2"/>
  <c r="Z1013" i="2"/>
  <c r="AB1028" i="2"/>
  <c r="Z1021" i="2"/>
  <c r="AB1030" i="2"/>
  <c r="AB1017" i="2"/>
  <c r="Z1016" i="2"/>
  <c r="AB1024" i="2"/>
  <c r="AB1027" i="2"/>
  <c r="AB1014" i="2"/>
  <c r="Z1026" i="2"/>
  <c r="Z1019" i="2"/>
  <c r="AA1028" i="2"/>
  <c r="AA1026" i="2"/>
  <c r="Z1024" i="2"/>
  <c r="AA1012" i="2"/>
  <c r="AB1025" i="2"/>
  <c r="AB1020" i="2"/>
  <c r="AB993" i="2"/>
  <c r="AA1015" i="2"/>
  <c r="AB1040" i="2"/>
  <c r="AA1020" i="2"/>
  <c r="Z1012" i="2"/>
  <c r="AA1019" i="2"/>
  <c r="AA1022" i="2"/>
  <c r="AB1036" i="2"/>
  <c r="AB1012" i="2"/>
  <c r="AA1016" i="2"/>
  <c r="AA1030" i="2"/>
  <c r="B97" i="12"/>
  <c r="B66" i="12"/>
  <c r="AL391" i="2"/>
  <c r="AL30" i="2"/>
  <c r="AL372" i="2"/>
  <c r="AL246" i="2"/>
  <c r="AL120" i="2"/>
  <c r="AL192" i="2"/>
  <c r="AL84" i="2"/>
  <c r="AL408" i="2"/>
  <c r="AL625" i="2"/>
  <c r="AL570" i="2"/>
  <c r="AL588" i="2"/>
  <c r="AL606" i="2"/>
  <c r="AL643" i="2"/>
  <c r="AL481" i="2"/>
  <c r="AL319" i="2"/>
  <c r="AL103" i="2"/>
  <c r="AL140" i="2"/>
  <c r="AL264" i="2"/>
  <c r="AL516" i="2"/>
  <c r="AL211" i="2"/>
  <c r="AL462" i="2"/>
  <c r="AL501" i="2"/>
  <c r="AL357" i="2"/>
  <c r="AL553" i="2"/>
  <c r="AL66" i="2"/>
  <c r="AL428" i="2"/>
  <c r="AL302" i="2"/>
  <c r="AL339" i="2"/>
  <c r="AL175" i="2"/>
  <c r="AL229" i="2"/>
  <c r="AL445" i="2"/>
  <c r="AL283" i="2"/>
  <c r="AL536" i="2"/>
  <c r="AL157" i="2"/>
  <c r="AL49" i="2"/>
  <c r="AL13" i="2"/>
  <c r="AB1032" i="2" l="1"/>
  <c r="AB1052" i="2"/>
  <c r="AB1031" i="2"/>
  <c r="AB1046" i="2"/>
  <c r="AA1039" i="2"/>
  <c r="AA1031" i="2"/>
  <c r="AA1034" i="2"/>
  <c r="AB1038" i="2"/>
  <c r="AB1061" i="2"/>
  <c r="AA1048" i="2"/>
  <c r="AB1011" i="2"/>
  <c r="AB1041" i="2"/>
  <c r="AA1032" i="2"/>
  <c r="AB1044" i="2"/>
  <c r="AA1051" i="2"/>
  <c r="AA1038" i="2"/>
  <c r="AA1042" i="2"/>
  <c r="AA1054" i="2"/>
  <c r="AB1042" i="2"/>
  <c r="AB1035" i="2"/>
  <c r="AA1040" i="2"/>
  <c r="AA1036" i="2"/>
  <c r="AB1037" i="2"/>
  <c r="AB1034" i="2"/>
  <c r="AA1035" i="2"/>
  <c r="AB1050" i="2"/>
  <c r="AA1041" i="2"/>
  <c r="AA1058" i="2"/>
  <c r="AA1043" i="2"/>
  <c r="AA1045" i="2"/>
  <c r="AB1039" i="2"/>
  <c r="AB1033" i="2"/>
  <c r="Z1011" i="2"/>
  <c r="AA1033" i="2"/>
  <c r="AA1046" i="2"/>
  <c r="AA1037" i="2"/>
  <c r="AA1061" i="2"/>
  <c r="AA1044" i="2"/>
  <c r="AB1045" i="2"/>
  <c r="AA1011" i="2"/>
  <c r="AA1050" i="2"/>
  <c r="AB1043" i="2"/>
  <c r="B98" i="12"/>
  <c r="B67" i="12"/>
  <c r="AL392" i="2"/>
  <c r="AL31" i="2"/>
  <c r="AL247" i="2"/>
  <c r="AL373" i="2"/>
  <c r="AL409" i="2"/>
  <c r="AL85" i="2"/>
  <c r="AL193" i="2"/>
  <c r="AL121" i="2"/>
  <c r="AL571" i="2"/>
  <c r="AL644" i="2"/>
  <c r="AL607" i="2"/>
  <c r="AL589" i="2"/>
  <c r="AL626" i="2"/>
  <c r="AL158" i="2"/>
  <c r="AL284" i="2"/>
  <c r="AL176" i="2"/>
  <c r="AL429" i="2"/>
  <c r="AL554" i="2"/>
  <c r="AL502" i="2"/>
  <c r="AL482" i="2"/>
  <c r="AL517" i="2"/>
  <c r="AL265" i="2"/>
  <c r="AL104" i="2"/>
  <c r="AL446" i="2"/>
  <c r="AL340" i="2"/>
  <c r="AL67" i="2"/>
  <c r="AL463" i="2"/>
  <c r="AL303" i="2"/>
  <c r="AL141" i="2"/>
  <c r="AL320" i="2"/>
  <c r="AL537" i="2"/>
  <c r="AL230" i="2"/>
  <c r="AL358" i="2"/>
  <c r="AL212" i="2"/>
  <c r="AL50" i="2"/>
  <c r="AL14" i="2"/>
  <c r="AB1029" i="2" l="1"/>
  <c r="AA1029" i="2"/>
  <c r="AB1063" i="2"/>
  <c r="AA1062" i="2"/>
  <c r="AA1064" i="2"/>
  <c r="AB1060" i="2"/>
  <c r="AA1057" i="2"/>
  <c r="AA1056" i="2"/>
  <c r="AB1051" i="2"/>
  <c r="B99" i="12"/>
  <c r="B68" i="12"/>
  <c r="AL393" i="2"/>
  <c r="AL32" i="2"/>
  <c r="AL374" i="2"/>
  <c r="AL248" i="2"/>
  <c r="AL194" i="2"/>
  <c r="AL122" i="2"/>
  <c r="AL86" i="2"/>
  <c r="AL410" i="2"/>
  <c r="AL645" i="2"/>
  <c r="AL590" i="2"/>
  <c r="AL608" i="2"/>
  <c r="AL627" i="2"/>
  <c r="AL572" i="2"/>
  <c r="AL105" i="2"/>
  <c r="AL483" i="2"/>
  <c r="AL177" i="2"/>
  <c r="AL503" i="2"/>
  <c r="AL285" i="2"/>
  <c r="AL538" i="2"/>
  <c r="AL359" i="2"/>
  <c r="AL213" i="2"/>
  <c r="AL321" i="2"/>
  <c r="AL304" i="2"/>
  <c r="AL447" i="2"/>
  <c r="AL555" i="2"/>
  <c r="AL159" i="2"/>
  <c r="AL68" i="2"/>
  <c r="AL464" i="2"/>
  <c r="AL518" i="2"/>
  <c r="AL430" i="2"/>
  <c r="AL341" i="2"/>
  <c r="AL266" i="2"/>
  <c r="AL231" i="2"/>
  <c r="AL142" i="2"/>
  <c r="AL51" i="2"/>
  <c r="AL15" i="2"/>
  <c r="B100" i="12" l="1"/>
  <c r="B69" i="12"/>
  <c r="AL394" i="2"/>
  <c r="AL33" i="2"/>
  <c r="AL249" i="2"/>
  <c r="AL375" i="2"/>
  <c r="AL411" i="2"/>
  <c r="AL87" i="2"/>
  <c r="AL123" i="2"/>
  <c r="AL195" i="2"/>
  <c r="AL573" i="2"/>
  <c r="AL591" i="2"/>
  <c r="AL628" i="2"/>
  <c r="AL609" i="2"/>
  <c r="AL646" i="2"/>
  <c r="AL286" i="2"/>
  <c r="AL484" i="2"/>
  <c r="AL69" i="2"/>
  <c r="AL360" i="2"/>
  <c r="AL448" i="2"/>
  <c r="AL431" i="2"/>
  <c r="AL160" i="2"/>
  <c r="AL305" i="2"/>
  <c r="AL214" i="2"/>
  <c r="AL106" i="2"/>
  <c r="AL232" i="2"/>
  <c r="AL342" i="2"/>
  <c r="AL519" i="2"/>
  <c r="AL465" i="2"/>
  <c r="AL504" i="2"/>
  <c r="AL556" i="2"/>
  <c r="AL322" i="2"/>
  <c r="AL539" i="2"/>
  <c r="AL143" i="2"/>
  <c r="AL267" i="2"/>
  <c r="AL178" i="2"/>
  <c r="AL52" i="2"/>
  <c r="AL16" i="2"/>
  <c r="B101" i="12" l="1"/>
  <c r="B70" i="12"/>
  <c r="AL395" i="2"/>
  <c r="AL34" i="2"/>
  <c r="AL376" i="2"/>
  <c r="AL250" i="2"/>
  <c r="AL196" i="2"/>
  <c r="AL124" i="2"/>
  <c r="AL88" i="2"/>
  <c r="AL412" i="2"/>
  <c r="AL629" i="2"/>
  <c r="AL610" i="2"/>
  <c r="AL592" i="2"/>
  <c r="AL647" i="2"/>
  <c r="AL574" i="2"/>
  <c r="AL557" i="2"/>
  <c r="AL343" i="2"/>
  <c r="AL344" i="2"/>
  <c r="AL179" i="2"/>
  <c r="AL449" i="2"/>
  <c r="AL70" i="2"/>
  <c r="AL540" i="2"/>
  <c r="AL506" i="2"/>
  <c r="AL505" i="2"/>
  <c r="AL233" i="2"/>
  <c r="AL215" i="2"/>
  <c r="AL432" i="2"/>
  <c r="AL268" i="2"/>
  <c r="AL306" i="2"/>
  <c r="AL485" i="2"/>
  <c r="AL466" i="2"/>
  <c r="AL287" i="2"/>
  <c r="AL144" i="2"/>
  <c r="AL323" i="2"/>
  <c r="AL107" i="2"/>
  <c r="AL161" i="2"/>
  <c r="AL520" i="2"/>
  <c r="AL362" i="2"/>
  <c r="AL361" i="2"/>
  <c r="AL53" i="2"/>
  <c r="AL17" i="2"/>
  <c r="B103" i="12" l="1"/>
  <c r="B73" i="12"/>
  <c r="B72" i="12"/>
  <c r="AL396" i="2"/>
  <c r="AL35" i="2"/>
  <c r="AL251" i="2"/>
  <c r="AL377" i="2"/>
  <c r="AL413" i="2"/>
  <c r="AL89" i="2"/>
  <c r="AL125" i="2"/>
  <c r="AL197" i="2"/>
  <c r="AL648" i="2"/>
  <c r="AL593" i="2"/>
  <c r="AL611" i="2"/>
  <c r="AL630" i="2"/>
  <c r="AL575" i="2"/>
  <c r="AL308" i="2"/>
  <c r="AL307" i="2"/>
  <c r="AL542" i="2"/>
  <c r="AL541" i="2"/>
  <c r="AL108" i="2"/>
  <c r="AL269" i="2"/>
  <c r="AL216" i="2"/>
  <c r="AL71" i="2"/>
  <c r="AL521" i="2"/>
  <c r="AL288" i="2"/>
  <c r="AL558" i="2"/>
  <c r="AL234" i="2"/>
  <c r="AL450" i="2"/>
  <c r="AL324" i="2"/>
  <c r="AL467" i="2"/>
  <c r="AL146" i="2"/>
  <c r="AL145" i="2"/>
  <c r="AL180" i="2"/>
  <c r="AL162" i="2"/>
  <c r="AL434" i="2"/>
  <c r="AL433" i="2"/>
  <c r="AL486" i="2"/>
  <c r="AL54" i="2"/>
  <c r="AL18" i="2"/>
  <c r="T780" i="2" l="1"/>
  <c r="T761" i="2"/>
  <c r="T748" i="2"/>
  <c r="B104" i="12"/>
  <c r="X1134" i="2"/>
  <c r="V997" i="2"/>
  <c r="X1052" i="2"/>
  <c r="W1020" i="2"/>
  <c r="U1052" i="2"/>
  <c r="U978" i="2"/>
  <c r="X980" i="2"/>
  <c r="T1132" i="2"/>
  <c r="W1136" i="2"/>
  <c r="T1031" i="2"/>
  <c r="T1109" i="2"/>
  <c r="U1093" i="2"/>
  <c r="U1086" i="2"/>
  <c r="T1001" i="2"/>
  <c r="T1110" i="2"/>
  <c r="V1022" i="2"/>
  <c r="U1045" i="2"/>
  <c r="U1048" i="2"/>
  <c r="T1062" i="2"/>
  <c r="U1104" i="2"/>
  <c r="U1053" i="2"/>
  <c r="T1125" i="2"/>
  <c r="U1039" i="2"/>
  <c r="U1002" i="2"/>
  <c r="V1073" i="2"/>
  <c r="U1095" i="2"/>
  <c r="T1009" i="2"/>
  <c r="T990" i="2"/>
  <c r="U1014" i="2"/>
  <c r="V1092" i="2"/>
  <c r="T1002" i="2"/>
  <c r="W994" i="2"/>
  <c r="W1094" i="2"/>
  <c r="U992" i="2"/>
  <c r="U1057" i="2"/>
  <c r="T1068" i="2"/>
  <c r="V1004" i="2"/>
  <c r="V1016" i="2"/>
  <c r="T1040" i="2"/>
  <c r="T1098" i="2"/>
  <c r="V1081" i="2"/>
  <c r="W1037" i="2"/>
  <c r="W1134" i="2"/>
  <c r="V1109" i="2"/>
  <c r="T1022" i="2"/>
  <c r="V1015" i="2"/>
  <c r="U981" i="2"/>
  <c r="U1109" i="2"/>
  <c r="U983" i="2"/>
  <c r="W1108" i="2"/>
  <c r="T980" i="2"/>
  <c r="U1078" i="2"/>
  <c r="U1100" i="2"/>
  <c r="W977" i="2"/>
  <c r="U1069" i="2"/>
  <c r="V985" i="2"/>
  <c r="W978" i="2"/>
  <c r="T1082" i="2"/>
  <c r="W1061" i="2"/>
  <c r="T1033" i="2"/>
  <c r="V1115" i="2"/>
  <c r="W1008" i="2"/>
  <c r="U980" i="2"/>
  <c r="U1123" i="2"/>
  <c r="U1050" i="2"/>
  <c r="W1076" i="2"/>
  <c r="T1116" i="2"/>
  <c r="V1064" i="2"/>
  <c r="U1103" i="2"/>
  <c r="W1030" i="2"/>
  <c r="T1004" i="2"/>
  <c r="V1134" i="2"/>
  <c r="W1135" i="2"/>
  <c r="U1035" i="2"/>
  <c r="V979" i="2"/>
  <c r="V1042" i="2"/>
  <c r="V1058" i="2"/>
  <c r="V1045" i="2"/>
  <c r="W1107" i="2"/>
  <c r="W1041" i="2"/>
  <c r="W1116" i="2"/>
  <c r="V1021" i="2"/>
  <c r="U1062" i="2"/>
  <c r="T1016" i="2"/>
  <c r="W979" i="2"/>
  <c r="U1015" i="2"/>
  <c r="W1022" i="2"/>
  <c r="W983" i="2"/>
  <c r="U982" i="2"/>
  <c r="T1044" i="2"/>
  <c r="W1062" i="2"/>
  <c r="W1045" i="2"/>
  <c r="W1057" i="2"/>
  <c r="V1063" i="2"/>
  <c r="U1102" i="2"/>
  <c r="W1019" i="2"/>
  <c r="V1120" i="2"/>
  <c r="U1129" i="2"/>
  <c r="V1062" i="2"/>
  <c r="T1052" i="2"/>
  <c r="T1111" i="2"/>
  <c r="U1067" i="2"/>
  <c r="X1107" i="2"/>
  <c r="W1087" i="2"/>
  <c r="V1041" i="2"/>
  <c r="W1067" i="2"/>
  <c r="U1130" i="2"/>
  <c r="U1020" i="2"/>
  <c r="U1010" i="2"/>
  <c r="T1054" i="2"/>
  <c r="U999" i="2"/>
  <c r="U1018" i="2"/>
  <c r="T1129" i="2"/>
  <c r="W1016" i="2"/>
  <c r="T978" i="2"/>
  <c r="W984" i="2"/>
  <c r="V1118" i="2"/>
  <c r="U1106" i="2"/>
  <c r="V1093" i="2"/>
  <c r="V1074" i="2"/>
  <c r="X1057" i="2"/>
  <c r="U1055" i="2"/>
  <c r="U1003" i="2"/>
  <c r="W1112" i="2"/>
  <c r="V1114" i="2"/>
  <c r="U1126" i="2"/>
  <c r="T1133" i="2"/>
  <c r="U1012" i="2"/>
  <c r="V989" i="2"/>
  <c r="V1089" i="2"/>
  <c r="T1010" i="2"/>
  <c r="W1044" i="2"/>
  <c r="U1042" i="2"/>
  <c r="U1113" i="2"/>
  <c r="U1000" i="2"/>
  <c r="T1006" i="2"/>
  <c r="W1053" i="2"/>
  <c r="W1102" i="2"/>
  <c r="V1126" i="2"/>
  <c r="V1098" i="2"/>
  <c r="W1098" i="2"/>
  <c r="T1060" i="2"/>
  <c r="W1048" i="2"/>
  <c r="U988" i="2"/>
  <c r="V1017" i="2"/>
  <c r="W1109" i="2"/>
  <c r="V1044" i="2"/>
  <c r="W1129" i="2"/>
  <c r="V1100" i="2"/>
  <c r="V1110" i="2"/>
  <c r="T1046" i="2"/>
  <c r="W1017" i="2"/>
  <c r="U1088" i="2"/>
  <c r="V1104" i="2"/>
  <c r="V1023" i="2"/>
  <c r="T1077" i="2"/>
  <c r="W1081" i="2"/>
  <c r="V1025" i="2"/>
  <c r="T1121" i="2"/>
  <c r="W1073" i="2"/>
  <c r="V1080" i="2"/>
  <c r="T1038" i="2"/>
  <c r="U1117" i="2"/>
  <c r="W1078" i="2"/>
  <c r="U1072" i="2"/>
  <c r="W1006" i="2"/>
  <c r="W1100" i="2"/>
  <c r="V1033" i="2"/>
  <c r="W1026" i="2"/>
  <c r="W1033" i="2"/>
  <c r="V978" i="2"/>
  <c r="T1130" i="2"/>
  <c r="V1053" i="2"/>
  <c r="V1030" i="2"/>
  <c r="T1075" i="2"/>
  <c r="V992" i="2"/>
  <c r="V982" i="2"/>
  <c r="V1067" i="2"/>
  <c r="T992" i="2"/>
  <c r="W1031" i="2"/>
  <c r="V1049" i="2"/>
  <c r="V1106" i="2"/>
  <c r="W1025" i="2"/>
  <c r="W998" i="2"/>
  <c r="U1081" i="2"/>
  <c r="U1017" i="2"/>
  <c r="U1034" i="2"/>
  <c r="W1099" i="2"/>
  <c r="U1063" i="2"/>
  <c r="V1124" i="2"/>
  <c r="U1090" i="2"/>
  <c r="W1009" i="2"/>
  <c r="V1039" i="2"/>
  <c r="U1005" i="2"/>
  <c r="U1098" i="2"/>
  <c r="V1059" i="2"/>
  <c r="U1016" i="2"/>
  <c r="V1051" i="2"/>
  <c r="T981" i="2"/>
  <c r="U1022" i="2"/>
  <c r="W1106" i="2"/>
  <c r="V1048" i="2"/>
  <c r="T1017" i="2"/>
  <c r="W1010" i="2"/>
  <c r="W990" i="2"/>
  <c r="T1102" i="2"/>
  <c r="V1131" i="2"/>
  <c r="V1105" i="2"/>
  <c r="U1114" i="2"/>
  <c r="W1103" i="2"/>
  <c r="U996" i="2"/>
  <c r="W976" i="2"/>
  <c r="T1085" i="2"/>
  <c r="U1007" i="2"/>
  <c r="U1025" i="2"/>
  <c r="U1131" i="2"/>
  <c r="T984" i="2"/>
  <c r="X1082" i="2"/>
  <c r="W1111" i="2"/>
  <c r="U1043" i="2"/>
  <c r="V976" i="2"/>
  <c r="U979" i="2"/>
  <c r="V1112" i="2"/>
  <c r="U1075" i="2"/>
  <c r="W982" i="2"/>
  <c r="W1068" i="2"/>
  <c r="W1012" i="2"/>
  <c r="X1126" i="2"/>
  <c r="U1001" i="2"/>
  <c r="T1093" i="2"/>
  <c r="W1114" i="2"/>
  <c r="T1051" i="2"/>
  <c r="W1130" i="2"/>
  <c r="V1010" i="2"/>
  <c r="W1084" i="2"/>
  <c r="U1111" i="2"/>
  <c r="V1085" i="2"/>
  <c r="T996" i="2"/>
  <c r="U989" i="2"/>
  <c r="T1018" i="2"/>
  <c r="T1081" i="2"/>
  <c r="U1019" i="2"/>
  <c r="U1124" i="2"/>
  <c r="U1094" i="2"/>
  <c r="T1042" i="2"/>
  <c r="W996" i="2"/>
  <c r="W1070" i="2"/>
  <c r="U1076" i="2"/>
  <c r="W1117" i="2"/>
  <c r="U998" i="2"/>
  <c r="U1059" i="2"/>
  <c r="W1043" i="2"/>
  <c r="V1099" i="2"/>
  <c r="U1032" i="2"/>
  <c r="X1027" i="2"/>
  <c r="T1106" i="2"/>
  <c r="T1007" i="2"/>
  <c r="T1095" i="2"/>
  <c r="V1026" i="2"/>
  <c r="T985" i="2"/>
  <c r="W1003" i="2"/>
  <c r="U1108" i="2"/>
  <c r="U1107" i="2"/>
  <c r="X1095" i="2"/>
  <c r="V987" i="2"/>
  <c r="W1128" i="2"/>
  <c r="U1023" i="2"/>
  <c r="V1069" i="2"/>
  <c r="W1018" i="2"/>
  <c r="T1057" i="2"/>
  <c r="U1092" i="2"/>
  <c r="W1004" i="2"/>
  <c r="V999" i="2"/>
  <c r="T1096" i="2"/>
  <c r="W1060" i="2"/>
  <c r="T1097" i="2"/>
  <c r="V1129" i="2"/>
  <c r="T1014" i="2"/>
  <c r="U1134" i="2"/>
  <c r="T1058" i="2"/>
  <c r="W1063" i="2"/>
  <c r="U1071" i="2"/>
  <c r="U1008" i="2"/>
  <c r="T1134" i="2"/>
  <c r="T991" i="2"/>
  <c r="T976" i="2"/>
  <c r="U1041" i="2"/>
  <c r="W1080" i="2"/>
  <c r="W992" i="2"/>
  <c r="W1115" i="2"/>
  <c r="V1037" i="2"/>
  <c r="T1012" i="2"/>
  <c r="V984" i="2"/>
  <c r="T1024" i="2"/>
  <c r="W1001" i="2"/>
  <c r="T988" i="2"/>
  <c r="T1026" i="2"/>
  <c r="W1071" i="2"/>
  <c r="V995" i="2"/>
  <c r="V1020" i="2"/>
  <c r="U1133" i="2"/>
  <c r="V988" i="2"/>
  <c r="W1014" i="2"/>
  <c r="U1089" i="2"/>
  <c r="V1103" i="2"/>
  <c r="V1121" i="2"/>
  <c r="T1086" i="2"/>
  <c r="U1031" i="2"/>
  <c r="T1103" i="2"/>
  <c r="W1007" i="2"/>
  <c r="U1009" i="2"/>
  <c r="T989" i="2"/>
  <c r="V1068" i="2"/>
  <c r="V1057" i="2"/>
  <c r="V1001" i="2"/>
  <c r="T1023" i="2"/>
  <c r="U1082" i="2"/>
  <c r="W1126" i="2"/>
  <c r="U1105" i="2"/>
  <c r="W1113" i="2"/>
  <c r="T1069" i="2"/>
  <c r="W1131" i="2"/>
  <c r="V1108" i="2"/>
  <c r="V1013" i="2"/>
  <c r="V1056" i="2"/>
  <c r="W1074" i="2"/>
  <c r="W1086" i="2"/>
  <c r="U1127" i="2"/>
  <c r="T1015" i="2"/>
  <c r="U1049" i="2"/>
  <c r="W1122" i="2"/>
  <c r="W1021" i="2"/>
  <c r="V1000" i="2"/>
  <c r="V1038" i="2"/>
  <c r="T1049" i="2"/>
  <c r="U977" i="2"/>
  <c r="U1121" i="2"/>
  <c r="T1063" i="2"/>
  <c r="V1012" i="2"/>
  <c r="T998" i="2"/>
  <c r="V996" i="2"/>
  <c r="T1045" i="2"/>
  <c r="T1021" i="2"/>
  <c r="U1074" i="2"/>
  <c r="W1050" i="2"/>
  <c r="W1049" i="2"/>
  <c r="T1076" i="2"/>
  <c r="U1013" i="2"/>
  <c r="W1005" i="2"/>
  <c r="U1068" i="2"/>
  <c r="T1037" i="2"/>
  <c r="U1026" i="2"/>
  <c r="V1133" i="2"/>
  <c r="W1097" i="2"/>
  <c r="W1096" i="2"/>
  <c r="T1050" i="2"/>
  <c r="T1120" i="2"/>
  <c r="W1059" i="2"/>
  <c r="T1073" i="2"/>
  <c r="T1064" i="2"/>
  <c r="X981" i="2"/>
  <c r="V1014" i="2"/>
  <c r="W981" i="2"/>
  <c r="X1038" i="2"/>
  <c r="W995" i="2"/>
  <c r="V1032" i="2"/>
  <c r="U1136" i="2"/>
  <c r="U1070" i="2"/>
  <c r="W986" i="2"/>
  <c r="AC986" i="2" s="1"/>
  <c r="W1124" i="2"/>
  <c r="V1116" i="2"/>
  <c r="V1086" i="2"/>
  <c r="W1125" i="2"/>
  <c r="V1066" i="2"/>
  <c r="W985" i="2"/>
  <c r="T1113" i="2"/>
  <c r="V1087" i="2"/>
  <c r="V1070" i="2"/>
  <c r="V1090" i="2"/>
  <c r="V990" i="2"/>
  <c r="V1102" i="2"/>
  <c r="W1069" i="2"/>
  <c r="W1133" i="2"/>
  <c r="T1091" i="2"/>
  <c r="U1064" i="2"/>
  <c r="V1043" i="2"/>
  <c r="T1072" i="2"/>
  <c r="W987" i="2"/>
  <c r="V1009" i="2"/>
  <c r="X1025" i="2"/>
  <c r="V1111" i="2"/>
  <c r="T1080" i="2"/>
  <c r="V1117" i="2"/>
  <c r="T1003" i="2"/>
  <c r="W1046" i="2"/>
  <c r="V1082" i="2"/>
  <c r="U1080" i="2"/>
  <c r="T1053" i="2"/>
  <c r="T1124" i="2"/>
  <c r="V1024" i="2"/>
  <c r="T1041" i="2"/>
  <c r="W1127" i="2"/>
  <c r="T1008" i="2"/>
  <c r="T1028" i="2"/>
  <c r="V1123" i="2"/>
  <c r="W1089" i="2"/>
  <c r="V1075" i="2"/>
  <c r="U990" i="2"/>
  <c r="U1091" i="2"/>
  <c r="W1082" i="2"/>
  <c r="W1132" i="2"/>
  <c r="T979" i="2"/>
  <c r="W1064" i="2"/>
  <c r="V1130" i="2"/>
  <c r="T1090" i="2"/>
  <c r="V994" i="2"/>
  <c r="U1079" i="2"/>
  <c r="T1056" i="2"/>
  <c r="V1097" i="2"/>
  <c r="U995" i="2"/>
  <c r="T982" i="2"/>
  <c r="V1005" i="2"/>
  <c r="T1108" i="2"/>
  <c r="W1038" i="2"/>
  <c r="T1105" i="2"/>
  <c r="U1125" i="2"/>
  <c r="V983" i="2"/>
  <c r="U1051" i="2"/>
  <c r="U997" i="2"/>
  <c r="W1121" i="2"/>
  <c r="T1123" i="2"/>
  <c r="V980" i="2"/>
  <c r="V1006" i="2"/>
  <c r="V1091" i="2"/>
  <c r="W1118" i="2"/>
  <c r="T1030" i="2"/>
  <c r="V1046" i="2"/>
  <c r="X998" i="2"/>
  <c r="U1021" i="2"/>
  <c r="T1035" i="2"/>
  <c r="U1037" i="2"/>
  <c r="V1076" i="2"/>
  <c r="V1007" i="2"/>
  <c r="V1128" i="2"/>
  <c r="T1084" i="2"/>
  <c r="T1034" i="2"/>
  <c r="U991" i="2"/>
  <c r="V1050" i="2"/>
  <c r="T1061" i="2"/>
  <c r="V1019" i="2"/>
  <c r="V1027" i="2"/>
  <c r="T1136" i="2"/>
  <c r="V977" i="2"/>
  <c r="U1044" i="2"/>
  <c r="V1018" i="2"/>
  <c r="U1056" i="2"/>
  <c r="V1127" i="2"/>
  <c r="T1055" i="2"/>
  <c r="T1067" i="2"/>
  <c r="W1013" i="2"/>
  <c r="W1110" i="2"/>
  <c r="V1060" i="2"/>
  <c r="T997" i="2"/>
  <c r="U1024" i="2"/>
  <c r="U1085" i="2"/>
  <c r="W980" i="2"/>
  <c r="T1020" i="2"/>
  <c r="T1088" i="2"/>
  <c r="X1070" i="2"/>
  <c r="T1127" i="2"/>
  <c r="X1024" i="2"/>
  <c r="W1072" i="2"/>
  <c r="X1129" i="2"/>
  <c r="W999" i="2"/>
  <c r="U1077" i="2"/>
  <c r="U1060" i="2"/>
  <c r="X1064" i="2"/>
  <c r="T1013" i="2"/>
  <c r="W1093" i="2"/>
  <c r="V1107" i="2"/>
  <c r="X1033" i="2"/>
  <c r="T1122" i="2"/>
  <c r="X1091" i="2"/>
  <c r="X1108" i="2"/>
  <c r="X1014" i="2"/>
  <c r="X1077" i="2"/>
  <c r="W1027" i="2"/>
  <c r="U1054" i="2"/>
  <c r="X1076" i="2"/>
  <c r="U1099" i="2"/>
  <c r="X1080" i="2"/>
  <c r="X1097" i="2"/>
  <c r="U1030" i="2"/>
  <c r="W1023" i="2"/>
  <c r="U1033" i="2"/>
  <c r="T1070" i="2"/>
  <c r="V998" i="2"/>
  <c r="T1048" i="2"/>
  <c r="V1052" i="2"/>
  <c r="W1055" i="2"/>
  <c r="V1125" i="2"/>
  <c r="X1104" i="2"/>
  <c r="X1031" i="2"/>
  <c r="W1079" i="2"/>
  <c r="X1028" i="2"/>
  <c r="X1008" i="2"/>
  <c r="U1135" i="2"/>
  <c r="T1079" i="2"/>
  <c r="X1046" i="2"/>
  <c r="X1056" i="2"/>
  <c r="U1110" i="2"/>
  <c r="T1094" i="2"/>
  <c r="X1088" i="2"/>
  <c r="X1058" i="2"/>
  <c r="T1099" i="2"/>
  <c r="X1096" i="2"/>
  <c r="X1023" i="2"/>
  <c r="X1007" i="2"/>
  <c r="V1071" i="2"/>
  <c r="X1053" i="2"/>
  <c r="X1040" i="2"/>
  <c r="V1088" i="2"/>
  <c r="T1039" i="2"/>
  <c r="V1031" i="2"/>
  <c r="X1116" i="2"/>
  <c r="X1124" i="2"/>
  <c r="T1087" i="2"/>
  <c r="X1010" i="2"/>
  <c r="X1036" i="2"/>
  <c r="V1034" i="2"/>
  <c r="U1040" i="2"/>
  <c r="U1118" i="2"/>
  <c r="X1133" i="2"/>
  <c r="U1112" i="2"/>
  <c r="X1042" i="2"/>
  <c r="X1022" i="2"/>
  <c r="X1106" i="2"/>
  <c r="W1000" i="2"/>
  <c r="V1084" i="2"/>
  <c r="X1093" i="2"/>
  <c r="X995" i="2"/>
  <c r="X1131" i="2"/>
  <c r="X1017" i="2"/>
  <c r="X1074" i="2"/>
  <c r="V1040" i="2"/>
  <c r="X1001" i="2"/>
  <c r="V1132" i="2"/>
  <c r="X1118" i="2"/>
  <c r="W1035" i="2"/>
  <c r="U1084" i="2"/>
  <c r="T1104" i="2"/>
  <c r="X1090" i="2"/>
  <c r="T1118" i="2"/>
  <c r="X1035" i="2"/>
  <c r="X1012" i="2"/>
  <c r="X1102" i="2"/>
  <c r="X1034" i="2"/>
  <c r="X1005" i="2"/>
  <c r="U1116" i="2"/>
  <c r="X1026" i="2"/>
  <c r="X1055" i="2"/>
  <c r="Y1045" i="2"/>
  <c r="W1090" i="2"/>
  <c r="U1058" i="2"/>
  <c r="X1109" i="2"/>
  <c r="W1042" i="2"/>
  <c r="W1091" i="2"/>
  <c r="V1055" i="2"/>
  <c r="X1039" i="2"/>
  <c r="T1128" i="2"/>
  <c r="T1005" i="2"/>
  <c r="X1089" i="2"/>
  <c r="T1036" i="2"/>
  <c r="X1123" i="2"/>
  <c r="U1046" i="2"/>
  <c r="X1030" i="2"/>
  <c r="T1019" i="2"/>
  <c r="U1004" i="2"/>
  <c r="X1075" i="2"/>
  <c r="X1048" i="2"/>
  <c r="X1085" i="2"/>
  <c r="W1015" i="2"/>
  <c r="X1094" i="2"/>
  <c r="V1054" i="2"/>
  <c r="V1061" i="2"/>
  <c r="X1117" i="2"/>
  <c r="X1009" i="2"/>
  <c r="T1107" i="2"/>
  <c r="U1128" i="2"/>
  <c r="X1061" i="2"/>
  <c r="X1041" i="2"/>
  <c r="W1028" i="2"/>
  <c r="X1128" i="2"/>
  <c r="T999" i="2"/>
  <c r="W1075" i="2"/>
  <c r="X1115" i="2"/>
  <c r="X1018" i="2"/>
  <c r="W1034" i="2"/>
  <c r="W1088" i="2"/>
  <c r="T1092" i="2"/>
  <c r="X1079" i="2"/>
  <c r="U1073" i="2"/>
  <c r="V1122" i="2"/>
  <c r="X1003" i="2"/>
  <c r="X1043" i="2"/>
  <c r="X1062" i="2"/>
  <c r="X1071" i="2"/>
  <c r="X1044" i="2"/>
  <c r="W1051" i="2"/>
  <c r="X1060" i="2"/>
  <c r="X1120" i="2"/>
  <c r="T1112" i="2"/>
  <c r="T1074" i="2"/>
  <c r="V1095" i="2"/>
  <c r="X1063" i="2"/>
  <c r="W1123" i="2"/>
  <c r="X1103" i="2"/>
  <c r="X1081" i="2"/>
  <c r="T1100" i="2"/>
  <c r="X1127" i="2"/>
  <c r="X1122" i="2"/>
  <c r="X1100" i="2"/>
  <c r="X1069" i="2"/>
  <c r="U1132" i="2"/>
  <c r="X1072" i="2"/>
  <c r="U994" i="2"/>
  <c r="X1087" i="2"/>
  <c r="X1037" i="2"/>
  <c r="U1087" i="2"/>
  <c r="W1032" i="2"/>
  <c r="U1036" i="2"/>
  <c r="U1006" i="2"/>
  <c r="X1084" i="2"/>
  <c r="W1056" i="2"/>
  <c r="U1115" i="2"/>
  <c r="T995" i="2"/>
  <c r="X1136" i="2"/>
  <c r="W1095" i="2"/>
  <c r="W1085" i="2"/>
  <c r="X1086" i="2"/>
  <c r="T1000" i="2"/>
  <c r="T1025" i="2"/>
  <c r="X1002" i="2"/>
  <c r="V1094" i="2"/>
  <c r="W1054" i="2"/>
  <c r="V1135" i="2"/>
  <c r="X1099" i="2"/>
  <c r="T1066" i="2"/>
  <c r="T994" i="2"/>
  <c r="X1051" i="2"/>
  <c r="X1050" i="2"/>
  <c r="X1112" i="2"/>
  <c r="X1013" i="2"/>
  <c r="T1135" i="2"/>
  <c r="X1098" i="2"/>
  <c r="V1008" i="2"/>
  <c r="W1040" i="2"/>
  <c r="W1077" i="2"/>
  <c r="X1020" i="2"/>
  <c r="W1039" i="2"/>
  <c r="T1115" i="2"/>
  <c r="W1052" i="2"/>
  <c r="T1089" i="2"/>
  <c r="T1059" i="2"/>
  <c r="W1105" i="2"/>
  <c r="X1092" i="2"/>
  <c r="W1058" i="2"/>
  <c r="U1038" i="2"/>
  <c r="U1097" i="2"/>
  <c r="X1113" i="2"/>
  <c r="W997" i="2"/>
  <c r="W1104" i="2"/>
  <c r="T1078" i="2"/>
  <c r="X1049" i="2"/>
  <c r="X994" i="2"/>
  <c r="X1073" i="2"/>
  <c r="X1045" i="2"/>
  <c r="X1066" i="2"/>
  <c r="U1122" i="2"/>
  <c r="V1136" i="2"/>
  <c r="V1077" i="2"/>
  <c r="X1078" i="2"/>
  <c r="X1067" i="2"/>
  <c r="Y1019" i="2"/>
  <c r="X996" i="2"/>
  <c r="U1120" i="2"/>
  <c r="U1061" i="2"/>
  <c r="X999" i="2"/>
  <c r="X1000" i="2"/>
  <c r="X1135" i="2"/>
  <c r="X1132" i="2"/>
  <c r="W1002" i="2"/>
  <c r="T1032" i="2"/>
  <c r="V1035" i="2"/>
  <c r="X1105" i="2"/>
  <c r="T1117" i="2"/>
  <c r="U1028" i="2"/>
  <c r="X1130" i="2"/>
  <c r="X1110" i="2"/>
  <c r="W1092" i="2"/>
  <c r="U1027" i="2"/>
  <c r="X997" i="2"/>
  <c r="T1131" i="2"/>
  <c r="X1059" i="2"/>
  <c r="V1072" i="2"/>
  <c r="W1066" i="2"/>
  <c r="T1114" i="2"/>
  <c r="X1114" i="2"/>
  <c r="V1028" i="2"/>
  <c r="X1054" i="2"/>
  <c r="V1078" i="2"/>
  <c r="W1024" i="2"/>
  <c r="X1004" i="2"/>
  <c r="V1036" i="2"/>
  <c r="T1071" i="2"/>
  <c r="X1019" i="2"/>
  <c r="X1068" i="2"/>
  <c r="W1120" i="2"/>
  <c r="X1111" i="2"/>
  <c r="X1125" i="2"/>
  <c r="V1113" i="2"/>
  <c r="W1036" i="2"/>
  <c r="V1096" i="2"/>
  <c r="X1016" i="2"/>
  <c r="T1043" i="2"/>
  <c r="T1027" i="2"/>
  <c r="V1003" i="2"/>
  <c r="U1066" i="2"/>
  <c r="V1079" i="2"/>
  <c r="X1015" i="2"/>
  <c r="X1032" i="2"/>
  <c r="X1006" i="2"/>
  <c r="X1021" i="2"/>
  <c r="Y1106" i="2"/>
  <c r="Y1117" i="2"/>
  <c r="Y1072" i="2"/>
  <c r="Y1109" i="2"/>
  <c r="Y1123" i="2"/>
  <c r="Y1036" i="2"/>
  <c r="Y1059" i="2"/>
  <c r="Y1025" i="2"/>
  <c r="Y1040" i="2"/>
  <c r="Y1133" i="2"/>
  <c r="Y1051" i="2"/>
  <c r="Y1048" i="2"/>
  <c r="Y1043" i="2"/>
  <c r="Y1053" i="2"/>
  <c r="Y1128" i="2"/>
  <c r="Y1113" i="2"/>
  <c r="Y1108" i="2"/>
  <c r="Y1067" i="2"/>
  <c r="Y1024" i="2"/>
  <c r="Y1057" i="2"/>
  <c r="Y1092" i="2"/>
  <c r="Y1087" i="2"/>
  <c r="Y1134" i="2"/>
  <c r="Y1136" i="2"/>
  <c r="Y1060" i="2"/>
  <c r="Y1098" i="2"/>
  <c r="Y1111" i="2"/>
  <c r="Y1125" i="2"/>
  <c r="Y1073" i="2"/>
  <c r="Y1090" i="2"/>
  <c r="Y1127" i="2"/>
  <c r="Y1077" i="2"/>
  <c r="Y1014" i="2"/>
  <c r="X1121" i="2"/>
  <c r="Y1114" i="2"/>
  <c r="Y1130" i="2"/>
  <c r="Y1089" i="2"/>
  <c r="Y1099" i="2"/>
  <c r="Y1070" i="2"/>
  <c r="Y1110" i="2"/>
  <c r="Y1086" i="2"/>
  <c r="Y1075" i="2"/>
  <c r="Y1124" i="2"/>
  <c r="Y1030" i="2"/>
  <c r="Y1028" i="2"/>
  <c r="Y1118" i="2"/>
  <c r="Y1066" i="2"/>
  <c r="Y1071" i="2"/>
  <c r="Y1042" i="2"/>
  <c r="Y1095" i="2"/>
  <c r="Y1016" i="2"/>
  <c r="Y1063" i="2"/>
  <c r="Y1078" i="2"/>
  <c r="Y1076" i="2"/>
  <c r="Y1131" i="2"/>
  <c r="Y1061" i="2"/>
  <c r="Y1093" i="2"/>
  <c r="Y1069" i="2"/>
  <c r="Y1058" i="2"/>
  <c r="Y1039" i="2"/>
  <c r="Y1020" i="2"/>
  <c r="Y1129" i="2"/>
  <c r="Y1100" i="2"/>
  <c r="Y1041" i="2"/>
  <c r="Y1084" i="2"/>
  <c r="Y1034" i="2"/>
  <c r="Y1068" i="2"/>
  <c r="Y1049" i="2"/>
  <c r="Y1018" i="2"/>
  <c r="Y1096" i="2"/>
  <c r="Y1132" i="2"/>
  <c r="T1126" i="2"/>
  <c r="Y1104" i="2"/>
  <c r="Y1088" i="2"/>
  <c r="Y1116" i="2"/>
  <c r="Y1032" i="2"/>
  <c r="Y1050" i="2"/>
  <c r="Y1027" i="2"/>
  <c r="Y1080" i="2"/>
  <c r="Y1064" i="2"/>
  <c r="Y1135" i="2"/>
  <c r="Y1052" i="2"/>
  <c r="Y1102" i="2"/>
  <c r="Y1023" i="2"/>
  <c r="Y1033" i="2"/>
  <c r="Y1017" i="2"/>
  <c r="U1096" i="2"/>
  <c r="Y1082" i="2"/>
  <c r="Y1120" i="2"/>
  <c r="Y1031" i="2"/>
  <c r="Y1026" i="2"/>
  <c r="Y1055" i="2"/>
  <c r="Y1081" i="2"/>
  <c r="Y1021" i="2"/>
  <c r="Y1126" i="2"/>
  <c r="Y1056" i="2"/>
  <c r="Y1105" i="2"/>
  <c r="Y1054" i="2"/>
  <c r="Y1112" i="2"/>
  <c r="Y1035" i="2"/>
  <c r="Y1062" i="2"/>
  <c r="Y1091" i="2"/>
  <c r="Y1074" i="2"/>
  <c r="Y1037" i="2"/>
  <c r="Y1097" i="2"/>
  <c r="Y1085" i="2"/>
  <c r="Y1012" i="2"/>
  <c r="Y1013" i="2"/>
  <c r="Y1122" i="2"/>
  <c r="Y1046" i="2"/>
  <c r="Y1022" i="2"/>
  <c r="Y1103" i="2"/>
  <c r="Y1079" i="2"/>
  <c r="Y1038" i="2"/>
  <c r="Y1121" i="2"/>
  <c r="Y1015" i="2"/>
  <c r="Y1107" i="2"/>
  <c r="Y1044" i="2"/>
  <c r="Y1094" i="2"/>
  <c r="Z1067" i="2"/>
  <c r="Z1105" i="2"/>
  <c r="Z1128" i="2"/>
  <c r="Z1122" i="2"/>
  <c r="Z1057" i="2"/>
  <c r="Z1126" i="2"/>
  <c r="Z1080" i="2"/>
  <c r="Z1084" i="2"/>
  <c r="Z1076" i="2"/>
  <c r="Z1082" i="2"/>
  <c r="Z1111" i="2"/>
  <c r="Z1066" i="2"/>
  <c r="Z1074" i="2"/>
  <c r="Z1120" i="2"/>
  <c r="Z1094" i="2"/>
  <c r="Z1115" i="2"/>
  <c r="Z1089" i="2"/>
  <c r="Z1072" i="2"/>
  <c r="Z1087" i="2"/>
  <c r="Z1059" i="2"/>
  <c r="Z1053" i="2"/>
  <c r="Z1131" i="2"/>
  <c r="Z1042" i="2"/>
  <c r="Z1114" i="2"/>
  <c r="Z1069" i="2"/>
  <c r="Z1112" i="2"/>
  <c r="Z1070" i="2"/>
  <c r="Z1088" i="2"/>
  <c r="Z1075" i="2"/>
  <c r="Z1044" i="2"/>
  <c r="Z1040" i="2"/>
  <c r="Z1093" i="2"/>
  <c r="Z1068" i="2"/>
  <c r="Z1052" i="2"/>
  <c r="Z1123" i="2"/>
  <c r="Z1062" i="2"/>
  <c r="Z1038" i="2"/>
  <c r="Z1134" i="2"/>
  <c r="Y1115" i="2"/>
  <c r="Z1055" i="2"/>
  <c r="Z1124" i="2"/>
  <c r="Z1092" i="2"/>
  <c r="Z1043" i="2"/>
  <c r="Z1118" i="2"/>
  <c r="Z1041" i="2"/>
  <c r="Z1099" i="2"/>
  <c r="Z1063" i="2"/>
  <c r="Z1077" i="2"/>
  <c r="Z1056" i="2"/>
  <c r="Z1050" i="2"/>
  <c r="Z1086" i="2"/>
  <c r="Z1060" i="2"/>
  <c r="Z1121" i="2"/>
  <c r="Z1108" i="2"/>
  <c r="Z1117" i="2"/>
  <c r="Z1073" i="2"/>
  <c r="Z1127" i="2"/>
  <c r="Z1133" i="2"/>
  <c r="Z1109" i="2"/>
  <c r="Z1090" i="2"/>
  <c r="Z1103" i="2"/>
  <c r="Z1034" i="2"/>
  <c r="Z1048" i="2"/>
  <c r="Z1100" i="2"/>
  <c r="Z1064" i="2"/>
  <c r="Z1110" i="2"/>
  <c r="Z1102" i="2"/>
  <c r="Z1091" i="2"/>
  <c r="Z1031" i="2"/>
  <c r="Z1032" i="2"/>
  <c r="Z1079" i="2"/>
  <c r="Z1095" i="2"/>
  <c r="Z1051" i="2"/>
  <c r="Z1116" i="2"/>
  <c r="Z1037" i="2"/>
  <c r="Z1071" i="2"/>
  <c r="Z1049" i="2"/>
  <c r="Z1129" i="2"/>
  <c r="Z1130" i="2"/>
  <c r="Z1125" i="2"/>
  <c r="Z1097" i="2"/>
  <c r="Z1058" i="2"/>
  <c r="Z1039" i="2"/>
  <c r="Z1132" i="2"/>
  <c r="Z1135" i="2"/>
  <c r="Z1085" i="2"/>
  <c r="Z1033" i="2"/>
  <c r="Z1046" i="2"/>
  <c r="Z1081" i="2"/>
  <c r="Z1078" i="2"/>
  <c r="Z1136" i="2"/>
  <c r="Z1061" i="2"/>
  <c r="Z1106" i="2"/>
  <c r="Z1113" i="2"/>
  <c r="Z1054" i="2"/>
  <c r="Z1107" i="2"/>
  <c r="Z1104" i="2"/>
  <c r="Z1035" i="2"/>
  <c r="Z1045" i="2"/>
  <c r="AB1070" i="2"/>
  <c r="AA1060" i="2"/>
  <c r="AA1112" i="2"/>
  <c r="AB1069" i="2"/>
  <c r="AB1135" i="2"/>
  <c r="AB1056" i="2"/>
  <c r="AB1049" i="2"/>
  <c r="AB1112" i="2"/>
  <c r="AA1097" i="2"/>
  <c r="AA1127" i="2"/>
  <c r="AB1082" i="2"/>
  <c r="AA1130" i="2"/>
  <c r="AB1071" i="2"/>
  <c r="AB1058" i="2"/>
  <c r="AB1048" i="2"/>
  <c r="AB1109" i="2"/>
  <c r="AB1114" i="2"/>
  <c r="AB1054" i="2"/>
  <c r="AA1066" i="2"/>
  <c r="AB1089" i="2"/>
  <c r="AA1114" i="2"/>
  <c r="AA1075" i="2"/>
  <c r="AB1088" i="2"/>
  <c r="AB1059" i="2"/>
  <c r="AA1053" i="2"/>
  <c r="AA1121" i="2"/>
  <c r="AB1127" i="2"/>
  <c r="AB1117" i="2"/>
  <c r="AA1080" i="2"/>
  <c r="AA1098" i="2"/>
  <c r="AB1091" i="2"/>
  <c r="AA1095" i="2"/>
  <c r="AA1129" i="2"/>
  <c r="AB1126" i="2"/>
  <c r="AB1131" i="2"/>
  <c r="AB1098" i="2"/>
  <c r="AA1089" i="2"/>
  <c r="AB1118" i="2"/>
  <c r="AA1081" i="2"/>
  <c r="AB1110" i="2"/>
  <c r="AB1093" i="2"/>
  <c r="AA1068" i="2"/>
  <c r="AB1115" i="2"/>
  <c r="AA1055" i="2"/>
  <c r="AB1084" i="2"/>
  <c r="AB1096" i="2"/>
  <c r="AB1130" i="2"/>
  <c r="AA1124" i="2"/>
  <c r="AA1072" i="2"/>
  <c r="AA1092" i="2"/>
  <c r="AB1128" i="2"/>
  <c r="AA1063" i="2"/>
  <c r="AA1107" i="2"/>
  <c r="AB1077" i="2"/>
  <c r="AA1077" i="2"/>
  <c r="AB1074" i="2"/>
  <c r="AA1076" i="2"/>
  <c r="AA1117" i="2"/>
  <c r="AA1091" i="2"/>
  <c r="AA1116" i="2"/>
  <c r="AB1125" i="2"/>
  <c r="AA1084" i="2"/>
  <c r="AA1082" i="2"/>
  <c r="AB1107" i="2"/>
  <c r="AB1062" i="2"/>
  <c r="AB1108" i="2"/>
  <c r="AA1135" i="2"/>
  <c r="AA1128" i="2"/>
  <c r="AA1079" i="2"/>
  <c r="AB1132" i="2"/>
  <c r="AB1064" i="2"/>
  <c r="AB1121" i="2"/>
  <c r="AA1090" i="2"/>
  <c r="AA1067" i="2"/>
  <c r="AB1129" i="2"/>
  <c r="AB1100" i="2"/>
  <c r="AA1093" i="2"/>
  <c r="Z1098" i="2"/>
  <c r="AB1134" i="2"/>
  <c r="AA1094" i="2"/>
  <c r="AA1133" i="2"/>
  <c r="AA1110" i="2"/>
  <c r="AA1100" i="2"/>
  <c r="AA1111" i="2"/>
  <c r="AA1099" i="2"/>
  <c r="AA1049" i="2"/>
  <c r="AB1079" i="2"/>
  <c r="AA1115" i="2"/>
  <c r="AB1111" i="2"/>
  <c r="AA1105" i="2"/>
  <c r="AA1074" i="2"/>
  <c r="AA1131" i="2"/>
  <c r="AB1073" i="2"/>
  <c r="AB1072" i="2"/>
  <c r="AA1096" i="2"/>
  <c r="AA1059" i="2"/>
  <c r="AA1103" i="2"/>
  <c r="AB1113" i="2"/>
  <c r="AA1104" i="2"/>
  <c r="AB1068" i="2"/>
  <c r="AB1076" i="2"/>
  <c r="AB1080" i="2"/>
  <c r="AA1109" i="2"/>
  <c r="AA1085" i="2"/>
  <c r="AA1106" i="2"/>
  <c r="AA1118" i="2"/>
  <c r="AB1097" i="2"/>
  <c r="Z1096" i="2"/>
  <c r="AB1067" i="2"/>
  <c r="AA1102" i="2"/>
  <c r="AA1126" i="2"/>
  <c r="AA1132" i="2"/>
  <c r="AB1085" i="2"/>
  <c r="AB1124" i="2"/>
  <c r="AB1105" i="2"/>
  <c r="AB1099" i="2"/>
  <c r="AB1133" i="2"/>
  <c r="AB1120" i="2"/>
  <c r="AB1057" i="2"/>
  <c r="AB1092" i="2"/>
  <c r="AB1055" i="2"/>
  <c r="AA1113" i="2"/>
  <c r="AB1090" i="2"/>
  <c r="AB1075" i="2"/>
  <c r="AA1052" i="2"/>
  <c r="AB1103" i="2"/>
  <c r="AB1053" i="2"/>
  <c r="AA1088" i="2"/>
  <c r="AA1087" i="2"/>
  <c r="AA1136" i="2"/>
  <c r="AA1125" i="2"/>
  <c r="AB1078" i="2"/>
  <c r="AA1071" i="2"/>
  <c r="AB1086" i="2"/>
  <c r="AB1122" i="2"/>
  <c r="AA1108" i="2"/>
  <c r="AB1104" i="2"/>
  <c r="AB1087" i="2"/>
  <c r="AB1081" i="2"/>
  <c r="AA1134" i="2"/>
  <c r="AB1095" i="2"/>
  <c r="AA1069" i="2"/>
  <c r="AA1070" i="2"/>
  <c r="AB1094" i="2"/>
  <c r="AB1066" i="2"/>
  <c r="AA1123" i="2"/>
  <c r="AB1106" i="2"/>
  <c r="AA1120" i="2"/>
  <c r="AA1122" i="2"/>
  <c r="AA1073" i="2"/>
  <c r="AB1123" i="2"/>
  <c r="AA1086" i="2"/>
  <c r="AA1078" i="2"/>
  <c r="AB1102" i="2"/>
  <c r="AB1116" i="2"/>
  <c r="AB1136" i="2"/>
  <c r="AL398" i="2"/>
  <c r="AL397" i="2"/>
  <c r="AL36" i="2"/>
  <c r="AL378" i="2"/>
  <c r="AL252" i="2"/>
  <c r="AL126" i="2"/>
  <c r="AL90" i="2"/>
  <c r="AL198" i="2"/>
  <c r="AL414" i="2"/>
  <c r="AL594" i="2"/>
  <c r="AL631" i="2"/>
  <c r="AL632" i="2"/>
  <c r="AL649" i="2"/>
  <c r="AL650" i="2"/>
  <c r="AL576" i="2"/>
  <c r="AL612" i="2"/>
  <c r="AL218" i="2"/>
  <c r="AL217" i="2"/>
  <c r="AL182" i="2"/>
  <c r="AL181" i="2"/>
  <c r="AL487" i="2"/>
  <c r="AL488" i="2"/>
  <c r="AL326" i="2"/>
  <c r="AL325" i="2"/>
  <c r="AL451" i="2"/>
  <c r="AL452" i="2"/>
  <c r="AL290" i="2"/>
  <c r="AL289" i="2"/>
  <c r="AL270" i="2"/>
  <c r="AL236" i="2"/>
  <c r="AL235" i="2"/>
  <c r="AL522" i="2"/>
  <c r="AL110" i="2"/>
  <c r="AL109" i="2"/>
  <c r="AL560" i="2"/>
  <c r="AL559" i="2"/>
  <c r="AL164" i="2"/>
  <c r="AL163" i="2"/>
  <c r="AL468" i="2"/>
  <c r="AL72" i="2"/>
  <c r="AL55" i="2"/>
  <c r="AL56" i="2"/>
  <c r="AL19" i="2"/>
  <c r="AL20" i="2"/>
  <c r="AC979" i="2" l="1"/>
  <c r="AC982" i="2"/>
  <c r="AC989" i="2"/>
  <c r="AC1005" i="2"/>
  <c r="AC988" i="2"/>
  <c r="AC1135" i="2"/>
  <c r="U1065" i="2"/>
  <c r="AB1065" i="2"/>
  <c r="AC1070" i="2"/>
  <c r="Y1011" i="2"/>
  <c r="AC1117" i="2"/>
  <c r="AC1092" i="2"/>
  <c r="AC1035" i="2"/>
  <c r="AC1080" i="2"/>
  <c r="AC1113" i="2"/>
  <c r="AC1064" i="2"/>
  <c r="AC1018" i="2"/>
  <c r="AC1098" i="2"/>
  <c r="AC1049" i="2"/>
  <c r="AC981" i="2"/>
  <c r="W1047" i="2"/>
  <c r="AC1040" i="2"/>
  <c r="X975" i="2"/>
  <c r="AC748" i="2"/>
  <c r="AC741" i="2" s="1"/>
  <c r="T741" i="2"/>
  <c r="AC761" i="2"/>
  <c r="AC759" i="2" s="1"/>
  <c r="T759" i="2"/>
  <c r="AC780" i="2"/>
  <c r="AC777" i="2" s="1"/>
  <c r="T777" i="2"/>
  <c r="AC1059" i="2"/>
  <c r="AC1087" i="2"/>
  <c r="AC1090" i="2"/>
  <c r="AC1073" i="2"/>
  <c r="AC1133" i="2"/>
  <c r="AC1002" i="2"/>
  <c r="AC1110" i="2"/>
  <c r="AB1047" i="2"/>
  <c r="Y1119" i="2"/>
  <c r="Y1083" i="2"/>
  <c r="AC1027" i="2"/>
  <c r="W1119" i="2"/>
  <c r="U1119" i="2"/>
  <c r="X1065" i="2"/>
  <c r="U1083" i="2"/>
  <c r="AC1013" i="2"/>
  <c r="AC1127" i="2"/>
  <c r="AC1034" i="2"/>
  <c r="AC1053" i="2"/>
  <c r="V1065" i="2"/>
  <c r="AC1045" i="2"/>
  <c r="AC1024" i="2"/>
  <c r="T975" i="2"/>
  <c r="AC976" i="2"/>
  <c r="AC1014" i="2"/>
  <c r="AC1057" i="2"/>
  <c r="AC996" i="2"/>
  <c r="AC1093" i="2"/>
  <c r="T1101" i="2"/>
  <c r="AC1102" i="2"/>
  <c r="V1029" i="2"/>
  <c r="AC1060" i="2"/>
  <c r="AC1054" i="2"/>
  <c r="W1029" i="2"/>
  <c r="AC1125" i="2"/>
  <c r="AC1001" i="2"/>
  <c r="Z1065" i="2"/>
  <c r="T1065" i="2"/>
  <c r="AC1066" i="2"/>
  <c r="V993" i="2"/>
  <c r="AC1106" i="2"/>
  <c r="AC1089" i="2"/>
  <c r="AC1104" i="2"/>
  <c r="AC1108" i="2"/>
  <c r="AC1124" i="2"/>
  <c r="AC1046" i="2"/>
  <c r="AC1004" i="2"/>
  <c r="AB1119" i="2"/>
  <c r="AA1047" i="2"/>
  <c r="AC1126" i="2"/>
  <c r="AC1043" i="2"/>
  <c r="AC1032" i="2"/>
  <c r="AC1115" i="2"/>
  <c r="AC1074" i="2"/>
  <c r="AC1036" i="2"/>
  <c r="U1029" i="2"/>
  <c r="T1083" i="2"/>
  <c r="V1101" i="2"/>
  <c r="T1119" i="2"/>
  <c r="AC1120" i="2"/>
  <c r="AC1103" i="2"/>
  <c r="AC991" i="2"/>
  <c r="AC1042" i="2"/>
  <c r="V975" i="2"/>
  <c r="AC1085" i="2"/>
  <c r="AC1111" i="2"/>
  <c r="AC1022" i="2"/>
  <c r="X1029" i="2"/>
  <c r="AC1021" i="2"/>
  <c r="AC1075" i="2"/>
  <c r="AC1084" i="2"/>
  <c r="AB1083" i="2"/>
  <c r="Z1083" i="2"/>
  <c r="Y1065" i="2"/>
  <c r="AC995" i="2"/>
  <c r="AC1112" i="2"/>
  <c r="AC1107" i="2"/>
  <c r="X1047" i="2"/>
  <c r="X1101" i="2"/>
  <c r="AC1079" i="2"/>
  <c r="AC1088" i="2"/>
  <c r="AC1136" i="2"/>
  <c r="T1029" i="2"/>
  <c r="AC1030" i="2"/>
  <c r="AC1028" i="2"/>
  <c r="AC1050" i="2"/>
  <c r="AC998" i="2"/>
  <c r="AC1023" i="2"/>
  <c r="T1011" i="2"/>
  <c r="AC1012" i="2"/>
  <c r="AC1134" i="2"/>
  <c r="AC1097" i="2"/>
  <c r="AC985" i="2"/>
  <c r="W975" i="2"/>
  <c r="AC1130" i="2"/>
  <c r="AC1077" i="2"/>
  <c r="AC1052" i="2"/>
  <c r="AC1016" i="2"/>
  <c r="AC1033" i="2"/>
  <c r="AC1068" i="2"/>
  <c r="AC990" i="2"/>
  <c r="Y1101" i="2"/>
  <c r="AC1006" i="2"/>
  <c r="AC1132" i="2"/>
  <c r="AC1094" i="2"/>
  <c r="AC997" i="2"/>
  <c r="AC1123" i="2"/>
  <c r="AC1037" i="2"/>
  <c r="AC1121" i="2"/>
  <c r="U1101" i="2"/>
  <c r="AC1086" i="2"/>
  <c r="AA1101" i="2"/>
  <c r="AA1083" i="2"/>
  <c r="AA1119" i="2"/>
  <c r="AC1131" i="2"/>
  <c r="Z1047" i="2"/>
  <c r="AC1071" i="2"/>
  <c r="AC1114" i="2"/>
  <c r="X993" i="2"/>
  <c r="AC1100" i="2"/>
  <c r="X1119" i="2"/>
  <c r="X1011" i="2"/>
  <c r="V1083" i="2"/>
  <c r="AC1039" i="2"/>
  <c r="AC1099" i="2"/>
  <c r="AC1020" i="2"/>
  <c r="AC1067" i="2"/>
  <c r="AC1008" i="2"/>
  <c r="AC1072" i="2"/>
  <c r="AC1076" i="2"/>
  <c r="V1011" i="2"/>
  <c r="W1083" i="2"/>
  <c r="W1011" i="2"/>
  <c r="AC1017" i="2"/>
  <c r="AC992" i="2"/>
  <c r="AC1010" i="2"/>
  <c r="AC978" i="2"/>
  <c r="AC1116" i="2"/>
  <c r="AC980" i="2"/>
  <c r="AC1009" i="2"/>
  <c r="AC1062" i="2"/>
  <c r="AC1091" i="2"/>
  <c r="AC1109" i="2"/>
  <c r="Z1101" i="2"/>
  <c r="AA1065" i="2"/>
  <c r="Z1119" i="2"/>
  <c r="W1065" i="2"/>
  <c r="AC1025" i="2"/>
  <c r="U993" i="2"/>
  <c r="AC999" i="2"/>
  <c r="AC1128" i="2"/>
  <c r="T1047" i="2"/>
  <c r="AC1048" i="2"/>
  <c r="AC1122" i="2"/>
  <c r="AC1055" i="2"/>
  <c r="AC1056" i="2"/>
  <c r="AC1003" i="2"/>
  <c r="AC1063" i="2"/>
  <c r="AC1096" i="2"/>
  <c r="AC1095" i="2"/>
  <c r="V1047" i="2"/>
  <c r="AC1038" i="2"/>
  <c r="W1101" i="2"/>
  <c r="AC1044" i="2"/>
  <c r="AC1082" i="2"/>
  <c r="U1047" i="2"/>
  <c r="AC1031" i="2"/>
  <c r="U975" i="2"/>
  <c r="AC977" i="2"/>
  <c r="AC1058" i="2"/>
  <c r="AC1051" i="2"/>
  <c r="U1011" i="2"/>
  <c r="W993" i="2"/>
  <c r="AB1101" i="2"/>
  <c r="Z1029" i="2"/>
  <c r="Y1029" i="2"/>
  <c r="Y1047" i="2"/>
  <c r="AC1078" i="2"/>
  <c r="T993" i="2"/>
  <c r="AC994" i="2"/>
  <c r="AC1000" i="2"/>
  <c r="X1083" i="2"/>
  <c r="AC1019" i="2"/>
  <c r="AC1118" i="2"/>
  <c r="AC1061" i="2"/>
  <c r="AC1105" i="2"/>
  <c r="AC1041" i="2"/>
  <c r="AC1015" i="2"/>
  <c r="AC1069" i="2"/>
  <c r="AC1026" i="2"/>
  <c r="AC987" i="2"/>
  <c r="AC1007" i="2"/>
  <c r="AC1081" i="2"/>
  <c r="AC984" i="2"/>
  <c r="AC1129" i="2"/>
  <c r="V1119" i="2"/>
  <c r="AC983" i="2"/>
  <c r="AL38" i="2"/>
  <c r="AL37" i="2"/>
  <c r="AL254" i="2"/>
  <c r="AL253" i="2"/>
  <c r="AL379" i="2"/>
  <c r="AL380" i="2"/>
  <c r="AL416" i="2"/>
  <c r="AL415" i="2"/>
  <c r="AL199" i="2"/>
  <c r="AL200" i="2"/>
  <c r="AL92" i="2"/>
  <c r="AL91" i="2"/>
  <c r="AL128" i="2"/>
  <c r="AL127" i="2"/>
  <c r="AL613" i="2"/>
  <c r="AL614" i="2"/>
  <c r="AL578" i="2"/>
  <c r="AL577" i="2"/>
  <c r="AL596" i="2"/>
  <c r="AL595" i="2"/>
  <c r="AL73" i="2"/>
  <c r="AL74" i="2"/>
  <c r="AL470" i="2"/>
  <c r="AL469" i="2"/>
  <c r="AL524" i="2"/>
  <c r="AL523" i="2"/>
  <c r="AL272" i="2"/>
  <c r="AL271" i="2"/>
  <c r="AC993" i="2" l="1"/>
  <c r="AC975" i="2"/>
  <c r="AC1083" i="2"/>
  <c r="AC1065" i="2"/>
  <c r="AC1101" i="2"/>
  <c r="AC1029" i="2"/>
  <c r="AC1119" i="2"/>
  <c r="AC1011" i="2"/>
  <c r="AC1047" i="2"/>
  <c r="M41" i="7"/>
  <c r="O41" i="7"/>
  <c r="L41" i="7"/>
  <c r="I48" i="7"/>
  <c r="I49" i="7" s="1"/>
  <c r="K41" i="7"/>
  <c r="I41" i="7"/>
  <c r="H48" i="7"/>
  <c r="H49" i="7" s="1"/>
  <c r="O48" i="7"/>
  <c r="O49" i="7" s="1"/>
  <c r="G49" i="7"/>
  <c r="G41" i="7"/>
  <c r="M48" i="7"/>
  <c r="M49" i="7" s="1"/>
  <c r="J41" i="7"/>
  <c r="L48" i="7"/>
  <c r="L49" i="7" s="1"/>
  <c r="N41" i="7"/>
  <c r="H41" i="7"/>
  <c r="F41" i="7"/>
  <c r="K48" i="7"/>
  <c r="K49" i="7" s="1"/>
  <c r="N48" i="7"/>
  <c r="N49" i="7" s="1"/>
  <c r="D48" i="7"/>
  <c r="D49" i="7" s="1"/>
  <c r="E41" i="7"/>
  <c r="J48" i="7"/>
  <c r="J49" i="7" s="1"/>
  <c r="F48" i="7"/>
  <c r="F49" i="7" s="1"/>
  <c r="D41" i="7"/>
  <c r="D38" i="7" s="1"/>
  <c r="E48" i="7"/>
  <c r="E49" i="7" s="1"/>
  <c r="E38" i="7" l="1"/>
  <c r="D92" i="7"/>
  <c r="D133" i="7" s="1"/>
  <c r="D25" i="7"/>
  <c r="D79" i="7" s="1"/>
  <c r="D120" i="7" s="1"/>
  <c r="D35" i="7"/>
  <c r="D29" i="7"/>
  <c r="D83" i="7" s="1"/>
  <c r="D124" i="7" s="1"/>
  <c r="D34" i="7"/>
  <c r="D23" i="7"/>
  <c r="D24" i="7"/>
  <c r="E42" i="7"/>
  <c r="E44" i="7" s="1"/>
  <c r="E45" i="7" s="1"/>
  <c r="D8" i="7"/>
  <c r="D62" i="7" s="1"/>
  <c r="D103" i="7" s="1"/>
  <c r="D18" i="7"/>
  <c r="G42" i="7"/>
  <c r="G44" i="7" s="1"/>
  <c r="G45" i="7" s="1"/>
  <c r="D37" i="7"/>
  <c r="H42" i="7"/>
  <c r="H44" i="7" s="1"/>
  <c r="H45" i="7" s="1"/>
  <c r="D27" i="7"/>
  <c r="D33" i="7"/>
  <c r="D87" i="7" s="1"/>
  <c r="D128" i="7" s="1"/>
  <c r="I42" i="7"/>
  <c r="I44" i="7" s="1"/>
  <c r="I45" i="7" s="1"/>
  <c r="D36" i="7"/>
  <c r="D26" i="7"/>
  <c r="D80" i="7" s="1"/>
  <c r="D121" i="7" s="1"/>
  <c r="D3" i="7"/>
  <c r="D57" i="7" s="1"/>
  <c r="D98" i="7" s="1"/>
  <c r="D4" i="7"/>
  <c r="D58" i="7" s="1"/>
  <c r="D99" i="7" s="1"/>
  <c r="D32" i="7"/>
  <c r="D86" i="7" s="1"/>
  <c r="D127" i="7" s="1"/>
  <c r="D31" i="7"/>
  <c r="D85" i="7" s="1"/>
  <c r="D126" i="7" s="1"/>
  <c r="D10" i="7"/>
  <c r="D64" i="7" s="1"/>
  <c r="D105" i="7" s="1"/>
  <c r="D16" i="7"/>
  <c r="D70" i="7" s="1"/>
  <c r="D111" i="7" s="1"/>
  <c r="D28" i="7"/>
  <c r="D82" i="7" s="1"/>
  <c r="D123" i="7" s="1"/>
  <c r="F42" i="7"/>
  <c r="F44" i="7" s="1"/>
  <c r="F45" i="7" s="1"/>
  <c r="D21" i="7"/>
  <c r="D75" i="7" s="1"/>
  <c r="D116" i="7" s="1"/>
  <c r="D13" i="7"/>
  <c r="D67" i="7" s="1"/>
  <c r="D108" i="7" s="1"/>
  <c r="D12" i="7"/>
  <c r="D66" i="7" s="1"/>
  <c r="D107" i="7" s="1"/>
  <c r="O42" i="7"/>
  <c r="O44" i="7" s="1"/>
  <c r="O45" i="7" s="1"/>
  <c r="N42" i="7"/>
  <c r="N44" i="7" s="1"/>
  <c r="N45" i="7" s="1"/>
  <c r="D2" i="7"/>
  <c r="D56" i="7" s="1"/>
  <c r="D97" i="7" s="1"/>
  <c r="D11" i="7"/>
  <c r="D65" i="7" s="1"/>
  <c r="D106" i="7" s="1"/>
  <c r="D6" i="7"/>
  <c r="D60" i="7" s="1"/>
  <c r="D101" i="7" s="1"/>
  <c r="D30" i="7"/>
  <c r="D84" i="7" s="1"/>
  <c r="D125" i="7" s="1"/>
  <c r="D22" i="7"/>
  <c r="D76" i="7" s="1"/>
  <c r="D117" i="7" s="1"/>
  <c r="L42" i="7"/>
  <c r="L44" i="7" s="1"/>
  <c r="L45" i="7" s="1"/>
  <c r="M42" i="7"/>
  <c r="M44" i="7" s="1"/>
  <c r="M45" i="7" s="1"/>
  <c r="D39" i="7"/>
  <c r="D93" i="7" s="1"/>
  <c r="D134" i="7" s="1"/>
  <c r="D19" i="7"/>
  <c r="D73" i="7" s="1"/>
  <c r="D114" i="7" s="1"/>
  <c r="D5" i="7"/>
  <c r="D59" i="7" s="1"/>
  <c r="D100" i="7" s="1"/>
  <c r="D14" i="7"/>
  <c r="D68" i="7" s="1"/>
  <c r="D109" i="7" s="1"/>
  <c r="D9" i="7"/>
  <c r="D63" i="7" s="1"/>
  <c r="D104" i="7" s="1"/>
  <c r="D7" i="7"/>
  <c r="D61" i="7" s="1"/>
  <c r="D102" i="7" s="1"/>
  <c r="K42" i="7"/>
  <c r="K44" i="7" s="1"/>
  <c r="K45" i="7" s="1"/>
  <c r="J42" i="7"/>
  <c r="J44" i="7" s="1"/>
  <c r="J45" i="7" s="1"/>
  <c r="D15" i="7"/>
  <c r="D69" i="7" s="1"/>
  <c r="D110" i="7" s="1"/>
  <c r="D17" i="7"/>
  <c r="D71" i="7" s="1"/>
  <c r="D112" i="7" s="1"/>
  <c r="D20" i="7"/>
  <c r="D74" i="7" s="1"/>
  <c r="D115" i="7" s="1"/>
  <c r="J51" i="7"/>
  <c r="F38" i="7" l="1"/>
  <c r="E92" i="7"/>
  <c r="E133" i="7" s="1"/>
  <c r="E25" i="7"/>
  <c r="E79" i="7" s="1"/>
  <c r="E120" i="7" s="1"/>
  <c r="E29" i="7"/>
  <c r="E83" i="7" s="1"/>
  <c r="E124" i="7" s="1"/>
  <c r="D78" i="7"/>
  <c r="D119" i="7" s="1"/>
  <c r="E27" i="7"/>
  <c r="E81" i="7" s="1"/>
  <c r="E122" i="7" s="1"/>
  <c r="D81" i="7"/>
  <c r="D122" i="7" s="1"/>
  <c r="D77" i="7"/>
  <c r="D118" i="7" s="1"/>
  <c r="D88" i="7"/>
  <c r="D129" i="7" s="1"/>
  <c r="D91" i="7"/>
  <c r="D132" i="7" s="1"/>
  <c r="E35" i="7"/>
  <c r="D89" i="7"/>
  <c r="D130" i="7" s="1"/>
  <c r="D90" i="7"/>
  <c r="D131" i="7" s="1"/>
  <c r="D72" i="7"/>
  <c r="D113" i="7" s="1"/>
  <c r="E23" i="7"/>
  <c r="F23" i="7" s="1"/>
  <c r="F77" i="7" s="1"/>
  <c r="F118" i="7" s="1"/>
  <c r="E36" i="7"/>
  <c r="E90" i="7" s="1"/>
  <c r="E131" i="7" s="1"/>
  <c r="H51" i="7"/>
  <c r="E34" i="7"/>
  <c r="N51" i="7"/>
  <c r="L51" i="7"/>
  <c r="E24" i="7"/>
  <c r="N52" i="7"/>
  <c r="N50" i="7" s="1"/>
  <c r="E37" i="7"/>
  <c r="E8" i="7"/>
  <c r="E62" i="7" s="1"/>
  <c r="E103" i="7" s="1"/>
  <c r="E33" i="7"/>
  <c r="E87" i="7" s="1"/>
  <c r="E128" i="7" s="1"/>
  <c r="K51" i="7"/>
  <c r="E18" i="7"/>
  <c r="H52" i="7"/>
  <c r="H50" i="7" s="1"/>
  <c r="E21" i="7"/>
  <c r="E75" i="7" s="1"/>
  <c r="E116" i="7" s="1"/>
  <c r="E14" i="7"/>
  <c r="E68" i="7" s="1"/>
  <c r="E109" i="7" s="1"/>
  <c r="E30" i="7"/>
  <c r="E84" i="7" s="1"/>
  <c r="E125" i="7" s="1"/>
  <c r="E20" i="7"/>
  <c r="E74" i="7" s="1"/>
  <c r="E115" i="7" s="1"/>
  <c r="E5" i="7"/>
  <c r="E59" i="7" s="1"/>
  <c r="E100" i="7" s="1"/>
  <c r="E11" i="7"/>
  <c r="E65" i="7" s="1"/>
  <c r="E106" i="7" s="1"/>
  <c r="E32" i="7"/>
  <c r="E86" i="7" s="1"/>
  <c r="E127" i="7" s="1"/>
  <c r="M52" i="7"/>
  <c r="M50" i="7" s="1"/>
  <c r="E9" i="7"/>
  <c r="E63" i="7" s="1"/>
  <c r="E104" i="7" s="1"/>
  <c r="E6" i="7"/>
  <c r="E60" i="7" s="1"/>
  <c r="E101" i="7" s="1"/>
  <c r="F52" i="7"/>
  <c r="F50" i="7" s="1"/>
  <c r="K52" i="7"/>
  <c r="K50" i="7" s="1"/>
  <c r="E17" i="7"/>
  <c r="E71" i="7" s="1"/>
  <c r="E112" i="7" s="1"/>
  <c r="E19" i="7"/>
  <c r="E73" i="7" s="1"/>
  <c r="E114" i="7" s="1"/>
  <c r="E2" i="7"/>
  <c r="E56" i="7" s="1"/>
  <c r="E97" i="7" s="1"/>
  <c r="E15" i="7"/>
  <c r="E69" i="7" s="1"/>
  <c r="E110" i="7" s="1"/>
  <c r="E39" i="7"/>
  <c r="E93" i="7" s="1"/>
  <c r="E134" i="7" s="1"/>
  <c r="E28" i="7"/>
  <c r="E82" i="7" s="1"/>
  <c r="E123" i="7" s="1"/>
  <c r="G52" i="7"/>
  <c r="G50" i="7" s="1"/>
  <c r="J52" i="7"/>
  <c r="J50" i="7" s="1"/>
  <c r="O52" i="7"/>
  <c r="O50" i="7" s="1"/>
  <c r="E16" i="7"/>
  <c r="E70" i="7" s="1"/>
  <c r="E111" i="7" s="1"/>
  <c r="E4" i="7"/>
  <c r="E58" i="7" s="1"/>
  <c r="E99" i="7" s="1"/>
  <c r="I52" i="7"/>
  <c r="I50" i="7" s="1"/>
  <c r="E52" i="7"/>
  <c r="E50" i="7" s="1"/>
  <c r="D52" i="7"/>
  <c r="D50" i="7" s="1"/>
  <c r="I51" i="7"/>
  <c r="O51" i="7"/>
  <c r="L52" i="7"/>
  <c r="L50" i="7" s="1"/>
  <c r="E12" i="7"/>
  <c r="E66" i="7" s="1"/>
  <c r="E107" i="7" s="1"/>
  <c r="E10" i="7"/>
  <c r="E64" i="7" s="1"/>
  <c r="E105" i="7" s="1"/>
  <c r="E3" i="7"/>
  <c r="E57" i="7" s="1"/>
  <c r="E98" i="7" s="1"/>
  <c r="G51" i="7"/>
  <c r="M51" i="7"/>
  <c r="E7" i="7"/>
  <c r="E61" i="7" s="1"/>
  <c r="E102" i="7" s="1"/>
  <c r="E22" i="7"/>
  <c r="E76" i="7" s="1"/>
  <c r="E117" i="7" s="1"/>
  <c r="E13" i="7"/>
  <c r="E67" i="7" s="1"/>
  <c r="E108" i="7" s="1"/>
  <c r="E31" i="7"/>
  <c r="E85" i="7" s="1"/>
  <c r="E126" i="7" s="1"/>
  <c r="E26" i="7"/>
  <c r="E80" i="7" s="1"/>
  <c r="E121" i="7" s="1"/>
  <c r="F29" i="7" l="1"/>
  <c r="F83" i="7" s="1"/>
  <c r="F124" i="7" s="1"/>
  <c r="G38" i="7"/>
  <c r="F92" i="7"/>
  <c r="F133" i="7" s="1"/>
  <c r="F25" i="7"/>
  <c r="F79" i="7" s="1"/>
  <c r="F120" i="7" s="1"/>
  <c r="F36" i="7"/>
  <c r="F90" i="7" s="1"/>
  <c r="F131" i="7" s="1"/>
  <c r="F27" i="7"/>
  <c r="F81" i="7" s="1"/>
  <c r="F122" i="7" s="1"/>
  <c r="E72" i="7"/>
  <c r="E113" i="7" s="1"/>
  <c r="F24" i="7"/>
  <c r="F78" i="7" s="1"/>
  <c r="F119" i="7" s="1"/>
  <c r="E78" i="7"/>
  <c r="E119" i="7" s="1"/>
  <c r="E88" i="7"/>
  <c r="E129" i="7" s="1"/>
  <c r="F35" i="7"/>
  <c r="E89" i="7"/>
  <c r="E130" i="7" s="1"/>
  <c r="E91" i="7"/>
  <c r="E132" i="7" s="1"/>
  <c r="E77" i="7"/>
  <c r="E118" i="7" s="1"/>
  <c r="F34" i="7"/>
  <c r="F37" i="7"/>
  <c r="F18" i="7"/>
  <c r="F33" i="7"/>
  <c r="F87" i="7" s="1"/>
  <c r="F128" i="7" s="1"/>
  <c r="F8" i="7"/>
  <c r="F62" i="7" s="1"/>
  <c r="F103" i="7" s="1"/>
  <c r="F30" i="7"/>
  <c r="F84" i="7" s="1"/>
  <c r="F125" i="7" s="1"/>
  <c r="F39" i="7"/>
  <c r="F93" i="7" s="1"/>
  <c r="F134" i="7" s="1"/>
  <c r="F2" i="7"/>
  <c r="F56" i="7" s="1"/>
  <c r="F97" i="7" s="1"/>
  <c r="F6" i="7"/>
  <c r="F60" i="7" s="1"/>
  <c r="F101" i="7" s="1"/>
  <c r="F13" i="7"/>
  <c r="F67" i="7" s="1"/>
  <c r="F108" i="7" s="1"/>
  <c r="F11" i="7"/>
  <c r="F65" i="7" s="1"/>
  <c r="F106" i="7" s="1"/>
  <c r="F28" i="7"/>
  <c r="F82" i="7" s="1"/>
  <c r="F123" i="7" s="1"/>
  <c r="F12" i="7"/>
  <c r="F66" i="7" s="1"/>
  <c r="F107" i="7" s="1"/>
  <c r="F32" i="7"/>
  <c r="F86" i="7" s="1"/>
  <c r="F127" i="7" s="1"/>
  <c r="D135" i="7"/>
  <c r="D94" i="7"/>
  <c r="F14" i="7"/>
  <c r="F68" i="7" s="1"/>
  <c r="F109" i="7" s="1"/>
  <c r="F22" i="7"/>
  <c r="F76" i="7" s="1"/>
  <c r="F117" i="7" s="1"/>
  <c r="F3" i="7"/>
  <c r="F57" i="7" s="1"/>
  <c r="F98" i="7" s="1"/>
  <c r="F15" i="7"/>
  <c r="F69" i="7" s="1"/>
  <c r="F110" i="7" s="1"/>
  <c r="F19" i="7"/>
  <c r="F73" i="7" s="1"/>
  <c r="F114" i="7" s="1"/>
  <c r="F9" i="7"/>
  <c r="F63" i="7" s="1"/>
  <c r="F104" i="7" s="1"/>
  <c r="F17" i="7"/>
  <c r="F71" i="7" s="1"/>
  <c r="F112" i="7" s="1"/>
  <c r="F5" i="7"/>
  <c r="F59" i="7" s="1"/>
  <c r="F100" i="7" s="1"/>
  <c r="G23" i="7"/>
  <c r="G77" i="7" s="1"/>
  <c r="G118" i="7" s="1"/>
  <c r="F21" i="7"/>
  <c r="F75" i="7" s="1"/>
  <c r="F116" i="7" s="1"/>
  <c r="F26" i="7"/>
  <c r="F80" i="7" s="1"/>
  <c r="F121" i="7" s="1"/>
  <c r="F10" i="7"/>
  <c r="F64" i="7" s="1"/>
  <c r="F105" i="7" s="1"/>
  <c r="F4" i="7"/>
  <c r="F58" i="7" s="1"/>
  <c r="F99" i="7" s="1"/>
  <c r="F31" i="7"/>
  <c r="F85" i="7" s="1"/>
  <c r="F126" i="7" s="1"/>
  <c r="F16" i="7"/>
  <c r="F70" i="7" s="1"/>
  <c r="F111" i="7" s="1"/>
  <c r="F7" i="7"/>
  <c r="F61" i="7" s="1"/>
  <c r="F102" i="7" s="1"/>
  <c r="F20" i="7"/>
  <c r="F74" i="7" s="1"/>
  <c r="F115" i="7" s="1"/>
  <c r="G29" i="7" l="1"/>
  <c r="G83" i="7" s="1"/>
  <c r="G124" i="7" s="1"/>
  <c r="H38" i="7"/>
  <c r="G92" i="7"/>
  <c r="G133" i="7" s="1"/>
  <c r="G25" i="7"/>
  <c r="G79" i="7" s="1"/>
  <c r="G120" i="7" s="1"/>
  <c r="G27" i="7"/>
  <c r="G81" i="7" s="1"/>
  <c r="G122" i="7" s="1"/>
  <c r="G36" i="7"/>
  <c r="G90" i="7" s="1"/>
  <c r="G131" i="7" s="1"/>
  <c r="G24" i="7"/>
  <c r="G78" i="7" s="1"/>
  <c r="G119" i="7" s="1"/>
  <c r="G37" i="7"/>
  <c r="G91" i="7" s="1"/>
  <c r="G132" i="7" s="1"/>
  <c r="F91" i="7"/>
  <c r="F132" i="7" s="1"/>
  <c r="G35" i="7"/>
  <c r="F89" i="7"/>
  <c r="F130" i="7" s="1"/>
  <c r="F88" i="7"/>
  <c r="F129" i="7" s="1"/>
  <c r="G18" i="7"/>
  <c r="G72" i="7" s="1"/>
  <c r="G113" i="7" s="1"/>
  <c r="F72" i="7"/>
  <c r="F113" i="7" s="1"/>
  <c r="G34" i="7"/>
  <c r="H34" i="7" s="1"/>
  <c r="H88" i="7" s="1"/>
  <c r="H129" i="7" s="1"/>
  <c r="G8" i="7"/>
  <c r="G62" i="7" s="1"/>
  <c r="G103" i="7" s="1"/>
  <c r="G33" i="7"/>
  <c r="G87" i="7" s="1"/>
  <c r="G128" i="7" s="1"/>
  <c r="G21" i="7"/>
  <c r="G75" i="7" s="1"/>
  <c r="G116" i="7" s="1"/>
  <c r="G17" i="7"/>
  <c r="G71" i="7" s="1"/>
  <c r="G112" i="7" s="1"/>
  <c r="G14" i="7"/>
  <c r="G68" i="7" s="1"/>
  <c r="G109" i="7" s="1"/>
  <c r="G4" i="7"/>
  <c r="G58" i="7" s="1"/>
  <c r="G99" i="7" s="1"/>
  <c r="G9" i="7"/>
  <c r="G63" i="7" s="1"/>
  <c r="G104" i="7" s="1"/>
  <c r="G5" i="7"/>
  <c r="G59" i="7" s="1"/>
  <c r="G100" i="7" s="1"/>
  <c r="G22" i="7"/>
  <c r="G76" i="7" s="1"/>
  <c r="G117" i="7" s="1"/>
  <c r="G7" i="7"/>
  <c r="G61" i="7" s="1"/>
  <c r="G102" i="7" s="1"/>
  <c r="G10" i="7"/>
  <c r="G64" i="7" s="1"/>
  <c r="G105" i="7" s="1"/>
  <c r="G19" i="7"/>
  <c r="G73" i="7" s="1"/>
  <c r="G114" i="7" s="1"/>
  <c r="G32" i="7"/>
  <c r="G86" i="7" s="1"/>
  <c r="G127" i="7" s="1"/>
  <c r="G11" i="7"/>
  <c r="G65" i="7" s="1"/>
  <c r="G106" i="7" s="1"/>
  <c r="G6" i="7"/>
  <c r="G60" i="7" s="1"/>
  <c r="G101" i="7" s="1"/>
  <c r="G31" i="7"/>
  <c r="G85" i="7" s="1"/>
  <c r="G126" i="7" s="1"/>
  <c r="G28" i="7"/>
  <c r="G82" i="7" s="1"/>
  <c r="G123" i="7" s="1"/>
  <c r="G26" i="7"/>
  <c r="G80" i="7" s="1"/>
  <c r="G121" i="7" s="1"/>
  <c r="H23" i="7"/>
  <c r="H77" i="7" s="1"/>
  <c r="H118" i="7" s="1"/>
  <c r="G39" i="7"/>
  <c r="G93" i="7" s="1"/>
  <c r="G134" i="7" s="1"/>
  <c r="G3" i="7"/>
  <c r="G57" i="7" s="1"/>
  <c r="G98" i="7" s="1"/>
  <c r="G20" i="7"/>
  <c r="G74" i="7" s="1"/>
  <c r="G115" i="7" s="1"/>
  <c r="G2" i="7"/>
  <c r="G56" i="7" s="1"/>
  <c r="G97" i="7" s="1"/>
  <c r="G30" i="7"/>
  <c r="G84" i="7" s="1"/>
  <c r="G125" i="7" s="1"/>
  <c r="G16" i="7"/>
  <c r="G70" i="7" s="1"/>
  <c r="G111" i="7" s="1"/>
  <c r="G15" i="7"/>
  <c r="G69" i="7" s="1"/>
  <c r="G110" i="7" s="1"/>
  <c r="G12" i="7"/>
  <c r="G66" i="7" s="1"/>
  <c r="G107" i="7" s="1"/>
  <c r="G13" i="7"/>
  <c r="G67" i="7" s="1"/>
  <c r="G108" i="7" s="1"/>
  <c r="E135" i="7"/>
  <c r="E94" i="7"/>
  <c r="H29" i="7" l="1"/>
  <c r="H83" i="7" s="1"/>
  <c r="H124" i="7" s="1"/>
  <c r="T1177" i="2"/>
  <c r="T1184" i="2"/>
  <c r="T1188" i="2"/>
  <c r="T1187" i="2"/>
  <c r="T1176" i="2"/>
  <c r="T1180" i="2"/>
  <c r="T1186" i="2"/>
  <c r="T1190" i="2"/>
  <c r="T1178" i="2"/>
  <c r="T1182" i="2"/>
  <c r="T1179" i="2"/>
  <c r="T1183" i="2"/>
  <c r="T1174" i="2"/>
  <c r="T1189" i="2"/>
  <c r="T1175" i="2"/>
  <c r="T1181" i="2"/>
  <c r="T1185" i="2"/>
  <c r="I38" i="7"/>
  <c r="H92" i="7"/>
  <c r="H133" i="7" s="1"/>
  <c r="H25" i="7"/>
  <c r="H79" i="7" s="1"/>
  <c r="H120" i="7" s="1"/>
  <c r="H24" i="7"/>
  <c r="H78" i="7" s="1"/>
  <c r="H119" i="7" s="1"/>
  <c r="H36" i="7"/>
  <c r="H90" i="7" s="1"/>
  <c r="H131" i="7" s="1"/>
  <c r="H27" i="7"/>
  <c r="H81" i="7" s="1"/>
  <c r="H122" i="7" s="1"/>
  <c r="T653" i="2"/>
  <c r="T663" i="2"/>
  <c r="T659" i="2"/>
  <c r="T661" i="2"/>
  <c r="T667" i="2"/>
  <c r="T656" i="2"/>
  <c r="T655" i="2"/>
  <c r="T657" i="2"/>
  <c r="T664" i="2"/>
  <c r="T665" i="2"/>
  <c r="T668" i="2"/>
  <c r="T654" i="2"/>
  <c r="T658" i="2"/>
  <c r="T652" i="2"/>
  <c r="T662" i="2"/>
  <c r="T666" i="2"/>
  <c r="T660" i="2"/>
  <c r="H37" i="7"/>
  <c r="H91" i="7" s="1"/>
  <c r="H132" i="7" s="1"/>
  <c r="H35" i="7"/>
  <c r="G89" i="7"/>
  <c r="G130" i="7" s="1"/>
  <c r="T605" i="2" s="1"/>
  <c r="H18" i="7"/>
  <c r="H72" i="7" s="1"/>
  <c r="H113" i="7" s="1"/>
  <c r="G88" i="7"/>
  <c r="G129" i="7" s="1"/>
  <c r="T419" i="2"/>
  <c r="T424" i="2"/>
  <c r="T432" i="2"/>
  <c r="T426" i="2"/>
  <c r="T434" i="2"/>
  <c r="T428" i="2"/>
  <c r="T422" i="2"/>
  <c r="T430" i="2"/>
  <c r="T418" i="2"/>
  <c r="T431" i="2"/>
  <c r="T433" i="2"/>
  <c r="T421" i="2"/>
  <c r="T425" i="2"/>
  <c r="T420" i="2"/>
  <c r="T429" i="2"/>
  <c r="T427" i="2"/>
  <c r="T423" i="2"/>
  <c r="T622" i="2"/>
  <c r="T630" i="2"/>
  <c r="T623" i="2"/>
  <c r="T631" i="2"/>
  <c r="T617" i="2"/>
  <c r="T625" i="2"/>
  <c r="T619" i="2"/>
  <c r="T627" i="2"/>
  <c r="T621" i="2"/>
  <c r="T629" i="2"/>
  <c r="T620" i="2"/>
  <c r="T632" i="2"/>
  <c r="T618" i="2"/>
  <c r="T616" i="2"/>
  <c r="T628" i="2"/>
  <c r="T626" i="2"/>
  <c r="T624" i="2"/>
  <c r="T639" i="2"/>
  <c r="T647" i="2"/>
  <c r="T640" i="2"/>
  <c r="T648" i="2"/>
  <c r="T634" i="2"/>
  <c r="T642" i="2"/>
  <c r="T650" i="2"/>
  <c r="T636" i="2"/>
  <c r="T644" i="2"/>
  <c r="T638" i="2"/>
  <c r="T646" i="2"/>
  <c r="T645" i="2"/>
  <c r="T643" i="2"/>
  <c r="T641" i="2"/>
  <c r="T637" i="2"/>
  <c r="T649" i="2"/>
  <c r="T635" i="2"/>
  <c r="T509" i="2"/>
  <c r="T517" i="2"/>
  <c r="T511" i="2"/>
  <c r="T519" i="2"/>
  <c r="T513" i="2"/>
  <c r="T521" i="2"/>
  <c r="T515" i="2"/>
  <c r="T523" i="2"/>
  <c r="T516" i="2"/>
  <c r="T518" i="2"/>
  <c r="T522" i="2"/>
  <c r="T510" i="2"/>
  <c r="T514" i="2"/>
  <c r="T512" i="2"/>
  <c r="T508" i="2"/>
  <c r="T524" i="2"/>
  <c r="T520" i="2"/>
  <c r="H33" i="7"/>
  <c r="H87" i="7" s="1"/>
  <c r="H128" i="7" s="1"/>
  <c r="T475" i="2"/>
  <c r="T483" i="2"/>
  <c r="T477" i="2"/>
  <c r="T485" i="2"/>
  <c r="T479" i="2"/>
  <c r="T487" i="2"/>
  <c r="T473" i="2"/>
  <c r="T481" i="2"/>
  <c r="T482" i="2"/>
  <c r="T484" i="2"/>
  <c r="T472" i="2"/>
  <c r="T488" i="2"/>
  <c r="T476" i="2"/>
  <c r="T480" i="2"/>
  <c r="T486" i="2"/>
  <c r="T478" i="2"/>
  <c r="T474" i="2"/>
  <c r="T441" i="2"/>
  <c r="T449" i="2"/>
  <c r="T443" i="2"/>
  <c r="T451" i="2"/>
  <c r="T437" i="2"/>
  <c r="T445" i="2"/>
  <c r="T439" i="2"/>
  <c r="T447" i="2"/>
  <c r="T448" i="2"/>
  <c r="T450" i="2"/>
  <c r="T438" i="2"/>
  <c r="T442" i="2"/>
  <c r="T446" i="2"/>
  <c r="T452" i="2"/>
  <c r="T444" i="2"/>
  <c r="T440" i="2"/>
  <c r="T436" i="2"/>
  <c r="T319" i="2"/>
  <c r="T320" i="2"/>
  <c r="H8" i="7"/>
  <c r="H62" i="7" s="1"/>
  <c r="H103" i="7" s="1"/>
  <c r="H12" i="7"/>
  <c r="H66" i="7" s="1"/>
  <c r="H107" i="7" s="1"/>
  <c r="H30" i="7"/>
  <c r="H84" i="7" s="1"/>
  <c r="H125" i="7" s="1"/>
  <c r="H26" i="7"/>
  <c r="H80" i="7" s="1"/>
  <c r="H121" i="7" s="1"/>
  <c r="H6" i="7"/>
  <c r="H60" i="7" s="1"/>
  <c r="H101" i="7" s="1"/>
  <c r="H10" i="7"/>
  <c r="H64" i="7" s="1"/>
  <c r="H105" i="7" s="1"/>
  <c r="H15" i="7"/>
  <c r="H69" i="7" s="1"/>
  <c r="H110" i="7" s="1"/>
  <c r="F94" i="7"/>
  <c r="F135" i="7"/>
  <c r="H11" i="7"/>
  <c r="H65" i="7" s="1"/>
  <c r="H106" i="7" s="1"/>
  <c r="H28" i="7"/>
  <c r="H82" i="7" s="1"/>
  <c r="H123" i="7" s="1"/>
  <c r="H7" i="7"/>
  <c r="H61" i="7" s="1"/>
  <c r="H102" i="7" s="1"/>
  <c r="H17" i="7"/>
  <c r="H71" i="7" s="1"/>
  <c r="H112" i="7" s="1"/>
  <c r="T321" i="2"/>
  <c r="I34" i="7"/>
  <c r="I88" i="7" s="1"/>
  <c r="I129" i="7" s="1"/>
  <c r="H4" i="7"/>
  <c r="H58" i="7" s="1"/>
  <c r="H99" i="7" s="1"/>
  <c r="H3" i="7"/>
  <c r="H57" i="7" s="1"/>
  <c r="H98" i="7" s="1"/>
  <c r="H5" i="7"/>
  <c r="H59" i="7" s="1"/>
  <c r="H100" i="7" s="1"/>
  <c r="H20" i="7"/>
  <c r="H74" i="7" s="1"/>
  <c r="H115" i="7" s="1"/>
  <c r="H14" i="7"/>
  <c r="H68" i="7" s="1"/>
  <c r="H109" i="7" s="1"/>
  <c r="H32" i="7"/>
  <c r="H86" i="7" s="1"/>
  <c r="H127" i="7" s="1"/>
  <c r="H13" i="7"/>
  <c r="H67" i="7" s="1"/>
  <c r="H108" i="7" s="1"/>
  <c r="I23" i="7"/>
  <c r="I77" i="7" s="1"/>
  <c r="I118" i="7" s="1"/>
  <c r="H31" i="7"/>
  <c r="H85" i="7" s="1"/>
  <c r="H126" i="7" s="1"/>
  <c r="H19" i="7"/>
  <c r="H73" i="7" s="1"/>
  <c r="H114" i="7" s="1"/>
  <c r="H21" i="7"/>
  <c r="H75" i="7" s="1"/>
  <c r="H116" i="7" s="1"/>
  <c r="H2" i="7"/>
  <c r="H56" i="7" s="1"/>
  <c r="H97" i="7" s="1"/>
  <c r="H9" i="7"/>
  <c r="H63" i="7" s="1"/>
  <c r="H104" i="7" s="1"/>
  <c r="H39" i="7"/>
  <c r="H93" i="7" s="1"/>
  <c r="H134" i="7" s="1"/>
  <c r="H16" i="7"/>
  <c r="H70" i="7" s="1"/>
  <c r="H111" i="7" s="1"/>
  <c r="I29" i="7"/>
  <c r="I83" i="7" s="1"/>
  <c r="I124" i="7" s="1"/>
  <c r="H22" i="7"/>
  <c r="H76" i="7" s="1"/>
  <c r="H117" i="7" s="1"/>
  <c r="T416" i="2"/>
  <c r="I25" i="7" l="1"/>
  <c r="I79" i="7" s="1"/>
  <c r="I120" i="7" s="1"/>
  <c r="I24" i="7"/>
  <c r="I78" i="7" s="1"/>
  <c r="I119" i="7" s="1"/>
  <c r="I27" i="7"/>
  <c r="I81" i="7" s="1"/>
  <c r="I122" i="7" s="1"/>
  <c r="I36" i="7"/>
  <c r="I90" i="7" s="1"/>
  <c r="I131" i="7" s="1"/>
  <c r="T1173" i="2"/>
  <c r="U1174" i="2"/>
  <c r="U1180" i="2"/>
  <c r="U1184" i="2"/>
  <c r="U1176" i="2"/>
  <c r="U1178" i="2"/>
  <c r="U1186" i="2"/>
  <c r="U1183" i="2"/>
  <c r="U1187" i="2"/>
  <c r="U1175" i="2"/>
  <c r="U1179" i="2"/>
  <c r="U1185" i="2"/>
  <c r="U1189" i="2"/>
  <c r="U1177" i="2"/>
  <c r="U1190" i="2"/>
  <c r="U1181" i="2"/>
  <c r="U1182" i="2"/>
  <c r="U1188" i="2"/>
  <c r="J38" i="7"/>
  <c r="I92" i="7"/>
  <c r="I133" i="7" s="1"/>
  <c r="I18" i="7"/>
  <c r="I72" i="7" s="1"/>
  <c r="I113" i="7" s="1"/>
  <c r="I37" i="7"/>
  <c r="I91" i="7" s="1"/>
  <c r="I132" i="7" s="1"/>
  <c r="T651" i="2"/>
  <c r="U652" i="2"/>
  <c r="U662" i="2"/>
  <c r="U658" i="2"/>
  <c r="U660" i="2"/>
  <c r="U666" i="2"/>
  <c r="U668" i="2"/>
  <c r="U655" i="2"/>
  <c r="U656" i="2"/>
  <c r="U654" i="2"/>
  <c r="U663" i="2"/>
  <c r="U664" i="2"/>
  <c r="U653" i="2"/>
  <c r="U657" i="2"/>
  <c r="U661" i="2"/>
  <c r="U665" i="2"/>
  <c r="U659" i="2"/>
  <c r="U667" i="2"/>
  <c r="T311" i="2"/>
  <c r="T323" i="2"/>
  <c r="T324" i="2"/>
  <c r="T316" i="2"/>
  <c r="T314" i="2"/>
  <c r="T322" i="2"/>
  <c r="T313" i="2"/>
  <c r="T413" i="2"/>
  <c r="T408" i="2"/>
  <c r="T609" i="2"/>
  <c r="T602" i="2"/>
  <c r="T405" i="2"/>
  <c r="T400" i="2"/>
  <c r="T611" i="2"/>
  <c r="T608" i="2"/>
  <c r="T414" i="2"/>
  <c r="T415" i="2"/>
  <c r="T406" i="2"/>
  <c r="T599" i="2"/>
  <c r="T600" i="2"/>
  <c r="T312" i="2"/>
  <c r="T325" i="2"/>
  <c r="T412" i="2"/>
  <c r="T409" i="2"/>
  <c r="T601" i="2"/>
  <c r="T614" i="2"/>
  <c r="T318" i="2"/>
  <c r="T317" i="2"/>
  <c r="T401" i="2"/>
  <c r="T403" i="2"/>
  <c r="T603" i="2"/>
  <c r="T606" i="2"/>
  <c r="T407" i="2"/>
  <c r="T410" i="2"/>
  <c r="T612" i="2"/>
  <c r="T598" i="2"/>
  <c r="T326" i="2"/>
  <c r="T315" i="2"/>
  <c r="T411" i="2"/>
  <c r="T402" i="2"/>
  <c r="T604" i="2"/>
  <c r="T613" i="2"/>
  <c r="T310" i="2"/>
  <c r="T404" i="2"/>
  <c r="T607" i="2"/>
  <c r="T610" i="2"/>
  <c r="I35" i="7"/>
  <c r="H89" i="7"/>
  <c r="H130" i="7" s="1"/>
  <c r="U605" i="2" s="1"/>
  <c r="T43" i="2"/>
  <c r="T51" i="2"/>
  <c r="T45" i="2"/>
  <c r="T47" i="2"/>
  <c r="T50" i="2"/>
  <c r="T54" i="2"/>
  <c r="T55" i="2"/>
  <c r="T49" i="2"/>
  <c r="T48" i="2"/>
  <c r="T44" i="2"/>
  <c r="T42" i="2"/>
  <c r="T40" i="2"/>
  <c r="T52" i="2"/>
  <c r="T56" i="2"/>
  <c r="T46" i="2"/>
  <c r="T53" i="2"/>
  <c r="T41" i="2"/>
  <c r="T83" i="2"/>
  <c r="T77" i="2"/>
  <c r="T85" i="2"/>
  <c r="T84" i="2"/>
  <c r="T81" i="2"/>
  <c r="T87" i="2"/>
  <c r="T89" i="2"/>
  <c r="T79" i="2"/>
  <c r="T76" i="2"/>
  <c r="T78" i="2"/>
  <c r="T80" i="2"/>
  <c r="T88" i="2"/>
  <c r="T90" i="2"/>
  <c r="T82" i="2"/>
  <c r="T86" i="2"/>
  <c r="T92" i="2"/>
  <c r="T91" i="2"/>
  <c r="T245" i="2"/>
  <c r="T253" i="2"/>
  <c r="T239" i="2"/>
  <c r="T247" i="2"/>
  <c r="T241" i="2"/>
  <c r="T249" i="2"/>
  <c r="T243" i="2"/>
  <c r="T251" i="2"/>
  <c r="T238" i="2"/>
  <c r="T254" i="2"/>
  <c r="T242" i="2"/>
  <c r="T246" i="2"/>
  <c r="T250" i="2"/>
  <c r="T244" i="2"/>
  <c r="T240" i="2"/>
  <c r="T248" i="2"/>
  <c r="T252" i="2"/>
  <c r="T562" i="2"/>
  <c r="T570" i="2"/>
  <c r="T566" i="2"/>
  <c r="T564" i="2"/>
  <c r="T563" i="2"/>
  <c r="T568" i="2"/>
  <c r="T573" i="2"/>
  <c r="T576" i="2"/>
  <c r="T565" i="2"/>
  <c r="T571" i="2"/>
  <c r="T578" i="2"/>
  <c r="T577" i="2"/>
  <c r="T569" i="2"/>
  <c r="T572" i="2"/>
  <c r="T575" i="2"/>
  <c r="T567" i="2"/>
  <c r="T574" i="2"/>
  <c r="T458" i="2"/>
  <c r="T466" i="2"/>
  <c r="T460" i="2"/>
  <c r="T468" i="2"/>
  <c r="T454" i="2"/>
  <c r="T462" i="2"/>
  <c r="T470" i="2"/>
  <c r="T456" i="2"/>
  <c r="T464" i="2"/>
  <c r="T465" i="2"/>
  <c r="T467" i="2"/>
  <c r="T455" i="2"/>
  <c r="T459" i="2"/>
  <c r="T463" i="2"/>
  <c r="T461" i="2"/>
  <c r="T457" i="2"/>
  <c r="T469" i="2"/>
  <c r="T191" i="2"/>
  <c r="T199" i="2"/>
  <c r="T192" i="2"/>
  <c r="T193" i="2"/>
  <c r="T194" i="2"/>
  <c r="T195" i="2"/>
  <c r="T196" i="2"/>
  <c r="T197" i="2"/>
  <c r="T198" i="2"/>
  <c r="T200" i="2"/>
  <c r="T184" i="2"/>
  <c r="T188" i="2"/>
  <c r="T185" i="2"/>
  <c r="T189" i="2"/>
  <c r="T186" i="2"/>
  <c r="T190" i="2"/>
  <c r="T187" i="2"/>
  <c r="T580" i="2"/>
  <c r="T588" i="2"/>
  <c r="T596" i="2"/>
  <c r="T581" i="2"/>
  <c r="T589" i="2"/>
  <c r="T583" i="2"/>
  <c r="T591" i="2"/>
  <c r="T585" i="2"/>
  <c r="T593" i="2"/>
  <c r="T587" i="2"/>
  <c r="T595" i="2"/>
  <c r="T592" i="2"/>
  <c r="T590" i="2"/>
  <c r="T586" i="2"/>
  <c r="T584" i="2"/>
  <c r="T582" i="2"/>
  <c r="T594" i="2"/>
  <c r="T633" i="2"/>
  <c r="T615" i="2"/>
  <c r="I33" i="7"/>
  <c r="I87" i="7" s="1"/>
  <c r="I128" i="7" s="1"/>
  <c r="T94" i="2"/>
  <c r="T102" i="2"/>
  <c r="T110" i="2"/>
  <c r="T96" i="2"/>
  <c r="T104" i="2"/>
  <c r="T98" i="2"/>
  <c r="T106" i="2"/>
  <c r="T95" i="2"/>
  <c r="T105" i="2"/>
  <c r="T101" i="2"/>
  <c r="T100" i="2"/>
  <c r="T99" i="2"/>
  <c r="T108" i="2"/>
  <c r="T103" i="2"/>
  <c r="T107" i="2"/>
  <c r="T97" i="2"/>
  <c r="T109" i="2"/>
  <c r="U418" i="2"/>
  <c r="U423" i="2"/>
  <c r="U431" i="2"/>
  <c r="U425" i="2"/>
  <c r="U433" i="2"/>
  <c r="U427" i="2"/>
  <c r="U419" i="2"/>
  <c r="U420" i="2"/>
  <c r="U421" i="2"/>
  <c r="U429" i="2"/>
  <c r="U422" i="2"/>
  <c r="U424" i="2"/>
  <c r="U428" i="2"/>
  <c r="U432" i="2"/>
  <c r="U426" i="2"/>
  <c r="U434" i="2"/>
  <c r="U430" i="2"/>
  <c r="T136" i="2"/>
  <c r="T144" i="2"/>
  <c r="T130" i="2"/>
  <c r="T138" i="2"/>
  <c r="T146" i="2"/>
  <c r="T132" i="2"/>
  <c r="T140" i="2"/>
  <c r="T134" i="2"/>
  <c r="T133" i="2"/>
  <c r="T139" i="2"/>
  <c r="T135" i="2"/>
  <c r="T145" i="2"/>
  <c r="T142" i="2"/>
  <c r="T137" i="2"/>
  <c r="T141" i="2"/>
  <c r="T131" i="2"/>
  <c r="T143" i="2"/>
  <c r="T551" i="2"/>
  <c r="T559" i="2"/>
  <c r="T545" i="2"/>
  <c r="T553" i="2"/>
  <c r="T547" i="2"/>
  <c r="T555" i="2"/>
  <c r="T549" i="2"/>
  <c r="T557" i="2"/>
  <c r="T550" i="2"/>
  <c r="T552" i="2"/>
  <c r="T556" i="2"/>
  <c r="T544" i="2"/>
  <c r="T560" i="2"/>
  <c r="T548" i="2"/>
  <c r="T558" i="2"/>
  <c r="T554" i="2"/>
  <c r="T546" i="2"/>
  <c r="I8" i="7"/>
  <c r="I62" i="7" s="1"/>
  <c r="I103" i="7" s="1"/>
  <c r="T58" i="2"/>
  <c r="T66" i="2"/>
  <c r="T74" i="2"/>
  <c r="T60" i="2"/>
  <c r="T68" i="2"/>
  <c r="T62" i="2"/>
  <c r="T70" i="2"/>
  <c r="T73" i="2"/>
  <c r="T72" i="2"/>
  <c r="T59" i="2"/>
  <c r="T71" i="2"/>
  <c r="T67" i="2"/>
  <c r="T63" i="2"/>
  <c r="T65" i="2"/>
  <c r="T64" i="2"/>
  <c r="T69" i="2"/>
  <c r="T61" i="2"/>
  <c r="T262" i="2"/>
  <c r="T270" i="2"/>
  <c r="T256" i="2"/>
  <c r="T264" i="2"/>
  <c r="T272" i="2"/>
  <c r="T258" i="2"/>
  <c r="T266" i="2"/>
  <c r="T260" i="2"/>
  <c r="T268" i="2"/>
  <c r="T271" i="2"/>
  <c r="T259" i="2"/>
  <c r="T263" i="2"/>
  <c r="T267" i="2"/>
  <c r="T269" i="2"/>
  <c r="T257" i="2"/>
  <c r="T265" i="2"/>
  <c r="T261" i="2"/>
  <c r="T119" i="2"/>
  <c r="T127" i="2"/>
  <c r="T113" i="2"/>
  <c r="T121" i="2"/>
  <c r="T115" i="2"/>
  <c r="T123" i="2"/>
  <c r="T116" i="2"/>
  <c r="T112" i="2"/>
  <c r="T122" i="2"/>
  <c r="T118" i="2"/>
  <c r="T128" i="2"/>
  <c r="T117" i="2"/>
  <c r="T126" i="2"/>
  <c r="T124" i="2"/>
  <c r="T114" i="2"/>
  <c r="T125" i="2"/>
  <c r="T120" i="2"/>
  <c r="U638" i="2"/>
  <c r="U646" i="2"/>
  <c r="U639" i="2"/>
  <c r="U647" i="2"/>
  <c r="U641" i="2"/>
  <c r="U649" i="2"/>
  <c r="U635" i="2"/>
  <c r="U643" i="2"/>
  <c r="U637" i="2"/>
  <c r="U645" i="2"/>
  <c r="U640" i="2"/>
  <c r="U650" i="2"/>
  <c r="U636" i="2"/>
  <c r="U648" i="2"/>
  <c r="U644" i="2"/>
  <c r="U634" i="2"/>
  <c r="U642" i="2"/>
  <c r="T26" i="2"/>
  <c r="T34" i="2"/>
  <c r="T28" i="2"/>
  <c r="T36" i="2"/>
  <c r="T22" i="2"/>
  <c r="T30" i="2"/>
  <c r="T38" i="2"/>
  <c r="T32" i="2"/>
  <c r="T31" i="2"/>
  <c r="T27" i="2"/>
  <c r="T37" i="2"/>
  <c r="T33" i="2"/>
  <c r="T24" i="2"/>
  <c r="T29" i="2"/>
  <c r="T25" i="2"/>
  <c r="T23" i="2"/>
  <c r="T35" i="2"/>
  <c r="U474" i="2"/>
  <c r="U482" i="2"/>
  <c r="U476" i="2"/>
  <c r="U484" i="2"/>
  <c r="U478" i="2"/>
  <c r="U486" i="2"/>
  <c r="U472" i="2"/>
  <c r="U480" i="2"/>
  <c r="U488" i="2"/>
  <c r="U473" i="2"/>
  <c r="U475" i="2"/>
  <c r="U479" i="2"/>
  <c r="U483" i="2"/>
  <c r="U487" i="2"/>
  <c r="U481" i="2"/>
  <c r="U477" i="2"/>
  <c r="U485" i="2"/>
  <c r="T507" i="2"/>
  <c r="U440" i="2"/>
  <c r="U448" i="2"/>
  <c r="U442" i="2"/>
  <c r="U450" i="2"/>
  <c r="U436" i="2"/>
  <c r="U444" i="2"/>
  <c r="U452" i="2"/>
  <c r="U438" i="2"/>
  <c r="U446" i="2"/>
  <c r="U439" i="2"/>
  <c r="U441" i="2"/>
  <c r="U445" i="2"/>
  <c r="U449" i="2"/>
  <c r="U437" i="2"/>
  <c r="U451" i="2"/>
  <c r="U447" i="2"/>
  <c r="U443" i="2"/>
  <c r="T435" i="2"/>
  <c r="T471" i="2"/>
  <c r="T279" i="2"/>
  <c r="T287" i="2"/>
  <c r="T281" i="2"/>
  <c r="T289" i="2"/>
  <c r="T275" i="2"/>
  <c r="T283" i="2"/>
  <c r="T277" i="2"/>
  <c r="T285" i="2"/>
  <c r="T288" i="2"/>
  <c r="T276" i="2"/>
  <c r="T280" i="2"/>
  <c r="T284" i="2"/>
  <c r="T278" i="2"/>
  <c r="T274" i="2"/>
  <c r="T282" i="2"/>
  <c r="T290" i="2"/>
  <c r="T286" i="2"/>
  <c r="U621" i="2"/>
  <c r="U629" i="2"/>
  <c r="U622" i="2"/>
  <c r="U630" i="2"/>
  <c r="U616" i="2"/>
  <c r="U624" i="2"/>
  <c r="U632" i="2"/>
  <c r="U618" i="2"/>
  <c r="U626" i="2"/>
  <c r="U620" i="2"/>
  <c r="U628" i="2"/>
  <c r="U627" i="2"/>
  <c r="U625" i="2"/>
  <c r="U623" i="2"/>
  <c r="U619" i="2"/>
  <c r="U631" i="2"/>
  <c r="U617" i="2"/>
  <c r="T389" i="2"/>
  <c r="T397" i="2"/>
  <c r="T383" i="2"/>
  <c r="T391" i="2"/>
  <c r="T385" i="2"/>
  <c r="T393" i="2"/>
  <c r="T392" i="2"/>
  <c r="T388" i="2"/>
  <c r="T398" i="2"/>
  <c r="T382" i="2"/>
  <c r="T387" i="2"/>
  <c r="T386" i="2"/>
  <c r="T395" i="2"/>
  <c r="T384" i="2"/>
  <c r="T390" i="2"/>
  <c r="T394" i="2"/>
  <c r="T396" i="2"/>
  <c r="U508" i="2"/>
  <c r="U516" i="2"/>
  <c r="U524" i="2"/>
  <c r="U510" i="2"/>
  <c r="U518" i="2"/>
  <c r="U512" i="2"/>
  <c r="U520" i="2"/>
  <c r="U514" i="2"/>
  <c r="U522" i="2"/>
  <c r="U523" i="2"/>
  <c r="U509" i="2"/>
  <c r="U513" i="2"/>
  <c r="U517" i="2"/>
  <c r="U521" i="2"/>
  <c r="U519" i="2"/>
  <c r="U515" i="2"/>
  <c r="U511" i="2"/>
  <c r="G94" i="7"/>
  <c r="T492" i="2"/>
  <c r="T500" i="2"/>
  <c r="T494" i="2"/>
  <c r="T502" i="2"/>
  <c r="T496" i="2"/>
  <c r="T504" i="2"/>
  <c r="T490" i="2"/>
  <c r="T498" i="2"/>
  <c r="T506" i="2"/>
  <c r="T499" i="2"/>
  <c r="T501" i="2"/>
  <c r="T505" i="2"/>
  <c r="T493" i="2"/>
  <c r="T497" i="2"/>
  <c r="T503" i="2"/>
  <c r="T495" i="2"/>
  <c r="T491" i="2"/>
  <c r="T153" i="2"/>
  <c r="T161" i="2"/>
  <c r="T155" i="2"/>
  <c r="T163" i="2"/>
  <c r="T149" i="2"/>
  <c r="T157" i="2"/>
  <c r="T152" i="2"/>
  <c r="T162" i="2"/>
  <c r="T151" i="2"/>
  <c r="T150" i="2"/>
  <c r="T156" i="2"/>
  <c r="T148" i="2"/>
  <c r="T160" i="2"/>
  <c r="T158" i="2"/>
  <c r="T159" i="2"/>
  <c r="T154" i="2"/>
  <c r="T164" i="2"/>
  <c r="T364" i="2"/>
  <c r="T372" i="2"/>
  <c r="T380" i="2"/>
  <c r="T366" i="2"/>
  <c r="T374" i="2"/>
  <c r="T368" i="2"/>
  <c r="T376" i="2"/>
  <c r="T370" i="2"/>
  <c r="T378" i="2"/>
  <c r="T373" i="2"/>
  <c r="T377" i="2"/>
  <c r="T365" i="2"/>
  <c r="T369" i="2"/>
  <c r="T371" i="2"/>
  <c r="T379" i="2"/>
  <c r="T375" i="2"/>
  <c r="T367" i="2"/>
  <c r="T208" i="2"/>
  <c r="T209" i="2"/>
  <c r="T210" i="2"/>
  <c r="T211" i="2"/>
  <c r="T213" i="2"/>
  <c r="T215" i="2"/>
  <c r="T217" i="2"/>
  <c r="T203" i="2"/>
  <c r="T205" i="2"/>
  <c r="T207" i="2"/>
  <c r="T202" i="2"/>
  <c r="T204" i="2"/>
  <c r="T206" i="2"/>
  <c r="T212" i="2"/>
  <c r="T216" i="2"/>
  <c r="T214" i="2"/>
  <c r="T218" i="2"/>
  <c r="T220" i="2"/>
  <c r="T228" i="2"/>
  <c r="T236" i="2"/>
  <c r="T222" i="2"/>
  <c r="T230" i="2"/>
  <c r="T224" i="2"/>
  <c r="T232" i="2"/>
  <c r="T226" i="2"/>
  <c r="T234" i="2"/>
  <c r="T221" i="2"/>
  <c r="T225" i="2"/>
  <c r="T229" i="2"/>
  <c r="T233" i="2"/>
  <c r="T235" i="2"/>
  <c r="T223" i="2"/>
  <c r="T231" i="2"/>
  <c r="T227" i="2"/>
  <c r="T296" i="2"/>
  <c r="T304" i="2"/>
  <c r="T298" i="2"/>
  <c r="T306" i="2"/>
  <c r="T292" i="2"/>
  <c r="T300" i="2"/>
  <c r="T308" i="2"/>
  <c r="T294" i="2"/>
  <c r="T302" i="2"/>
  <c r="T305" i="2"/>
  <c r="T293" i="2"/>
  <c r="T297" i="2"/>
  <c r="T301" i="2"/>
  <c r="T303" i="2"/>
  <c r="T307" i="2"/>
  <c r="T299" i="2"/>
  <c r="T295" i="2"/>
  <c r="T166" i="2"/>
  <c r="T174" i="2"/>
  <c r="T182" i="2"/>
  <c r="T175" i="2"/>
  <c r="T176" i="2"/>
  <c r="T177" i="2"/>
  <c r="T178" i="2"/>
  <c r="T179" i="2"/>
  <c r="T180" i="2"/>
  <c r="T181" i="2"/>
  <c r="T168" i="2"/>
  <c r="T169" i="2"/>
  <c r="T171" i="2"/>
  <c r="T173" i="2"/>
  <c r="T170" i="2"/>
  <c r="T172" i="2"/>
  <c r="T167" i="2"/>
  <c r="T526" i="2"/>
  <c r="T534" i="2"/>
  <c r="T542" i="2"/>
  <c r="T528" i="2"/>
  <c r="T536" i="2"/>
  <c r="T530" i="2"/>
  <c r="T538" i="2"/>
  <c r="T532" i="2"/>
  <c r="T540" i="2"/>
  <c r="T533" i="2"/>
  <c r="T535" i="2"/>
  <c r="T539" i="2"/>
  <c r="T527" i="2"/>
  <c r="T531" i="2"/>
  <c r="T541" i="2"/>
  <c r="T537" i="2"/>
  <c r="T529" i="2"/>
  <c r="T417" i="2"/>
  <c r="J23" i="7"/>
  <c r="J77" i="7" s="1"/>
  <c r="J118" i="7" s="1"/>
  <c r="J27" i="7"/>
  <c r="J81" i="7" s="1"/>
  <c r="J122" i="7" s="1"/>
  <c r="I3" i="7"/>
  <c r="I57" i="7" s="1"/>
  <c r="I98" i="7" s="1"/>
  <c r="I4" i="7"/>
  <c r="I58" i="7" s="1"/>
  <c r="I99" i="7" s="1"/>
  <c r="I7" i="7"/>
  <c r="I61" i="7" s="1"/>
  <c r="I102" i="7" s="1"/>
  <c r="I31" i="7"/>
  <c r="I85" i="7" s="1"/>
  <c r="I126" i="7" s="1"/>
  <c r="J24" i="7"/>
  <c r="J78" i="7" s="1"/>
  <c r="J119" i="7" s="1"/>
  <c r="I20" i="7"/>
  <c r="I74" i="7" s="1"/>
  <c r="I115" i="7" s="1"/>
  <c r="I26" i="7"/>
  <c r="I80" i="7" s="1"/>
  <c r="I121" i="7" s="1"/>
  <c r="I9" i="7"/>
  <c r="I63" i="7" s="1"/>
  <c r="I104" i="7" s="1"/>
  <c r="I13" i="7"/>
  <c r="I67" i="7" s="1"/>
  <c r="I108" i="7" s="1"/>
  <c r="I17" i="7"/>
  <c r="I71" i="7" s="1"/>
  <c r="I112" i="7" s="1"/>
  <c r="U312" i="2"/>
  <c r="I28" i="7"/>
  <c r="I82" i="7" s="1"/>
  <c r="I123" i="7" s="1"/>
  <c r="I30" i="7"/>
  <c r="I84" i="7" s="1"/>
  <c r="I125" i="7" s="1"/>
  <c r="I2" i="7"/>
  <c r="I56" i="7" s="1"/>
  <c r="I97" i="7" s="1"/>
  <c r="I15" i="7"/>
  <c r="I69" i="7" s="1"/>
  <c r="I110" i="7" s="1"/>
  <c r="I6" i="7"/>
  <c r="I60" i="7" s="1"/>
  <c r="I101" i="7" s="1"/>
  <c r="I11" i="7"/>
  <c r="I65" i="7" s="1"/>
  <c r="I106" i="7" s="1"/>
  <c r="I39" i="7"/>
  <c r="I93" i="7" s="1"/>
  <c r="I134" i="7" s="1"/>
  <c r="U405" i="2"/>
  <c r="I22" i="7"/>
  <c r="I76" i="7" s="1"/>
  <c r="I117" i="7" s="1"/>
  <c r="T349" i="2"/>
  <c r="I10" i="7"/>
  <c r="I64" i="7" s="1"/>
  <c r="I105" i="7" s="1"/>
  <c r="I16" i="7"/>
  <c r="I70" i="7" s="1"/>
  <c r="I111" i="7" s="1"/>
  <c r="I21" i="7"/>
  <c r="I75" i="7" s="1"/>
  <c r="I116" i="7" s="1"/>
  <c r="J29" i="7"/>
  <c r="J83" i="7" s="1"/>
  <c r="J124" i="7" s="1"/>
  <c r="I19" i="7"/>
  <c r="I73" i="7" s="1"/>
  <c r="I114" i="7" s="1"/>
  <c r="I32" i="7"/>
  <c r="I86" i="7" s="1"/>
  <c r="I127" i="7" s="1"/>
  <c r="I14" i="7"/>
  <c r="I68" i="7" s="1"/>
  <c r="I109" i="7" s="1"/>
  <c r="I5" i="7"/>
  <c r="I59" i="7" s="1"/>
  <c r="I100" i="7" s="1"/>
  <c r="J34" i="7"/>
  <c r="J88" i="7" s="1"/>
  <c r="J129" i="7" s="1"/>
  <c r="I12" i="7"/>
  <c r="I66" i="7" s="1"/>
  <c r="I107" i="7" s="1"/>
  <c r="J25" i="7" l="1"/>
  <c r="J79" i="7" s="1"/>
  <c r="J120" i="7" s="1"/>
  <c r="J36" i="7"/>
  <c r="J90" i="7" s="1"/>
  <c r="J131" i="7" s="1"/>
  <c r="J18" i="7"/>
  <c r="J72" i="7" s="1"/>
  <c r="J113" i="7" s="1"/>
  <c r="J37" i="7"/>
  <c r="J91" i="7" s="1"/>
  <c r="J132" i="7" s="1"/>
  <c r="V1181" i="2"/>
  <c r="V1187" i="2"/>
  <c r="V1185" i="2"/>
  <c r="V1179" i="2"/>
  <c r="V1183" i="2"/>
  <c r="V1177" i="2"/>
  <c r="V1175" i="2"/>
  <c r="V1190" i="2"/>
  <c r="V1182" i="2"/>
  <c r="V1186" i="2"/>
  <c r="V1174" i="2"/>
  <c r="V1178" i="2"/>
  <c r="V1184" i="2"/>
  <c r="V1188" i="2"/>
  <c r="V1176" i="2"/>
  <c r="V1189" i="2"/>
  <c r="V1180" i="2"/>
  <c r="K38" i="7"/>
  <c r="J92" i="7"/>
  <c r="J133" i="7" s="1"/>
  <c r="U1173" i="2"/>
  <c r="U651" i="2"/>
  <c r="V659" i="2"/>
  <c r="V665" i="2"/>
  <c r="V667" i="2"/>
  <c r="V654" i="2"/>
  <c r="V655" i="2"/>
  <c r="V662" i="2"/>
  <c r="V653" i="2"/>
  <c r="V663" i="2"/>
  <c r="V652" i="2"/>
  <c r="V656" i="2"/>
  <c r="V660" i="2"/>
  <c r="V664" i="2"/>
  <c r="V658" i="2"/>
  <c r="V657" i="2"/>
  <c r="V668" i="2"/>
  <c r="V666" i="2"/>
  <c r="V661" i="2"/>
  <c r="T309" i="2"/>
  <c r="T399" i="2"/>
  <c r="T597" i="2"/>
  <c r="U416" i="2"/>
  <c r="U406" i="2"/>
  <c r="U315" i="2"/>
  <c r="U318" i="2"/>
  <c r="T360" i="2"/>
  <c r="T355" i="2"/>
  <c r="U611" i="2"/>
  <c r="U612" i="2"/>
  <c r="U403" i="2"/>
  <c r="U410" i="2"/>
  <c r="U319" i="2"/>
  <c r="U310" i="2"/>
  <c r="T354" i="2"/>
  <c r="T356" i="2"/>
  <c r="T347" i="2"/>
  <c r="U614" i="2"/>
  <c r="U603" i="2"/>
  <c r="U604" i="2"/>
  <c r="U413" i="2"/>
  <c r="U400" i="2"/>
  <c r="U311" i="2"/>
  <c r="U324" i="2"/>
  <c r="T362" i="2"/>
  <c r="T361" i="2"/>
  <c r="U602" i="2"/>
  <c r="U609" i="2"/>
  <c r="U408" i="2"/>
  <c r="U409" i="2"/>
  <c r="U325" i="2"/>
  <c r="U316" i="2"/>
  <c r="T358" i="2"/>
  <c r="T353" i="2"/>
  <c r="U606" i="2"/>
  <c r="U601" i="2"/>
  <c r="U402" i="2"/>
  <c r="U401" i="2"/>
  <c r="U321" i="2"/>
  <c r="U322" i="2"/>
  <c r="T350" i="2"/>
  <c r="T359" i="2"/>
  <c r="U608" i="2"/>
  <c r="U607" i="2"/>
  <c r="U404" i="2"/>
  <c r="U415" i="2"/>
  <c r="U317" i="2"/>
  <c r="U314" i="2"/>
  <c r="T346" i="2"/>
  <c r="T351" i="2"/>
  <c r="U610" i="2"/>
  <c r="U599" i="2"/>
  <c r="U412" i="2"/>
  <c r="U407" i="2"/>
  <c r="U313" i="2"/>
  <c r="U320" i="2"/>
  <c r="T352" i="2"/>
  <c r="T357" i="2"/>
  <c r="U598" i="2"/>
  <c r="U613" i="2"/>
  <c r="U411" i="2"/>
  <c r="U414" i="2"/>
  <c r="U323" i="2"/>
  <c r="U326" i="2"/>
  <c r="T348" i="2"/>
  <c r="U600" i="2"/>
  <c r="J35" i="7"/>
  <c r="I89" i="7"/>
  <c r="I130" i="7" s="1"/>
  <c r="V600" i="2" s="1"/>
  <c r="U295" i="2"/>
  <c r="U303" i="2"/>
  <c r="U297" i="2"/>
  <c r="U305" i="2"/>
  <c r="U299" i="2"/>
  <c r="U307" i="2"/>
  <c r="U293" i="2"/>
  <c r="U301" i="2"/>
  <c r="U296" i="2"/>
  <c r="U300" i="2"/>
  <c r="U304" i="2"/>
  <c r="U292" i="2"/>
  <c r="U308" i="2"/>
  <c r="U298" i="2"/>
  <c r="U306" i="2"/>
  <c r="U302" i="2"/>
  <c r="U294" i="2"/>
  <c r="V620" i="2"/>
  <c r="V628" i="2"/>
  <c r="V621" i="2"/>
  <c r="V629" i="2"/>
  <c r="V623" i="2"/>
  <c r="V631" i="2"/>
  <c r="V617" i="2"/>
  <c r="V625" i="2"/>
  <c r="V619" i="2"/>
  <c r="V627" i="2"/>
  <c r="V632" i="2"/>
  <c r="V618" i="2"/>
  <c r="V630" i="2"/>
  <c r="V616" i="2"/>
  <c r="V626" i="2"/>
  <c r="V624" i="2"/>
  <c r="V622" i="2"/>
  <c r="T363" i="2"/>
  <c r="T21" i="2"/>
  <c r="U417" i="2"/>
  <c r="U491" i="2"/>
  <c r="U499" i="2"/>
  <c r="U493" i="2"/>
  <c r="U501" i="2"/>
  <c r="U495" i="2"/>
  <c r="U503" i="2"/>
  <c r="U497" i="2"/>
  <c r="U505" i="2"/>
  <c r="U490" i="2"/>
  <c r="U506" i="2"/>
  <c r="U492" i="2"/>
  <c r="U496" i="2"/>
  <c r="U500" i="2"/>
  <c r="U504" i="2"/>
  <c r="U502" i="2"/>
  <c r="U498" i="2"/>
  <c r="U494" i="2"/>
  <c r="U173" i="2"/>
  <c r="U181" i="2"/>
  <c r="U167" i="2"/>
  <c r="U182" i="2"/>
  <c r="U169" i="2"/>
  <c r="U170" i="2"/>
  <c r="U171" i="2"/>
  <c r="U172" i="2"/>
  <c r="U166" i="2"/>
  <c r="U175" i="2"/>
  <c r="U177" i="2"/>
  <c r="U179" i="2"/>
  <c r="U174" i="2"/>
  <c r="U176" i="2"/>
  <c r="U178" i="2"/>
  <c r="U180" i="2"/>
  <c r="U168" i="2"/>
  <c r="U261" i="2"/>
  <c r="U269" i="2"/>
  <c r="U263" i="2"/>
  <c r="U271" i="2"/>
  <c r="U257" i="2"/>
  <c r="U265" i="2"/>
  <c r="U259" i="2"/>
  <c r="U267" i="2"/>
  <c r="U262" i="2"/>
  <c r="U266" i="2"/>
  <c r="U270" i="2"/>
  <c r="U258" i="2"/>
  <c r="U256" i="2"/>
  <c r="U264" i="2"/>
  <c r="U272" i="2"/>
  <c r="U268" i="2"/>
  <c r="U260" i="2"/>
  <c r="U550" i="2"/>
  <c r="U558" i="2"/>
  <c r="U544" i="2"/>
  <c r="U552" i="2"/>
  <c r="U560" i="2"/>
  <c r="U546" i="2"/>
  <c r="U554" i="2"/>
  <c r="U548" i="2"/>
  <c r="U556" i="2"/>
  <c r="U557" i="2"/>
  <c r="U559" i="2"/>
  <c r="U547" i="2"/>
  <c r="U551" i="2"/>
  <c r="U555" i="2"/>
  <c r="U553" i="2"/>
  <c r="U549" i="2"/>
  <c r="U545" i="2"/>
  <c r="V473" i="2"/>
  <c r="V481" i="2"/>
  <c r="V475" i="2"/>
  <c r="V483" i="2"/>
  <c r="V477" i="2"/>
  <c r="V485" i="2"/>
  <c r="V479" i="2"/>
  <c r="V487" i="2"/>
  <c r="V480" i="2"/>
  <c r="V482" i="2"/>
  <c r="V486" i="2"/>
  <c r="V474" i="2"/>
  <c r="V478" i="2"/>
  <c r="V476" i="2"/>
  <c r="V472" i="2"/>
  <c r="V488" i="2"/>
  <c r="V484" i="2"/>
  <c r="T291" i="2"/>
  <c r="T57" i="2"/>
  <c r="T543" i="2"/>
  <c r="T561" i="2"/>
  <c r="U65" i="2"/>
  <c r="U73" i="2"/>
  <c r="U59" i="2"/>
  <c r="U67" i="2"/>
  <c r="U61" i="2"/>
  <c r="U69" i="2"/>
  <c r="U58" i="2"/>
  <c r="U63" i="2"/>
  <c r="U62" i="2"/>
  <c r="U68" i="2"/>
  <c r="U72" i="2"/>
  <c r="U64" i="2"/>
  <c r="U71" i="2"/>
  <c r="U60" i="2"/>
  <c r="U74" i="2"/>
  <c r="U66" i="2"/>
  <c r="U70" i="2"/>
  <c r="T111" i="2"/>
  <c r="U371" i="2"/>
  <c r="U379" i="2"/>
  <c r="U365" i="2"/>
  <c r="U373" i="2"/>
  <c r="U367" i="2"/>
  <c r="U375" i="2"/>
  <c r="U369" i="2"/>
  <c r="U377" i="2"/>
  <c r="U364" i="2"/>
  <c r="U380" i="2"/>
  <c r="U368" i="2"/>
  <c r="U372" i="2"/>
  <c r="U376" i="2"/>
  <c r="U378" i="2"/>
  <c r="U366" i="2"/>
  <c r="U374" i="2"/>
  <c r="U370" i="2"/>
  <c r="J8" i="7"/>
  <c r="J62" i="7" s="1"/>
  <c r="J103" i="7" s="1"/>
  <c r="T237" i="2"/>
  <c r="U82" i="2"/>
  <c r="U76" i="2"/>
  <c r="U84" i="2"/>
  <c r="U78" i="2"/>
  <c r="U92" i="2"/>
  <c r="U83" i="2"/>
  <c r="U88" i="2"/>
  <c r="U77" i="2"/>
  <c r="U91" i="2"/>
  <c r="U85" i="2"/>
  <c r="U87" i="2"/>
  <c r="U90" i="2"/>
  <c r="U89" i="2"/>
  <c r="U86" i="2"/>
  <c r="U79" i="2"/>
  <c r="U80" i="2"/>
  <c r="U81" i="2"/>
  <c r="U227" i="2"/>
  <c r="U235" i="2"/>
  <c r="U221" i="2"/>
  <c r="U229" i="2"/>
  <c r="U223" i="2"/>
  <c r="U231" i="2"/>
  <c r="U225" i="2"/>
  <c r="U233" i="2"/>
  <c r="U228" i="2"/>
  <c r="U232" i="2"/>
  <c r="U220" i="2"/>
  <c r="U236" i="2"/>
  <c r="U224" i="2"/>
  <c r="U222" i="2"/>
  <c r="U230" i="2"/>
  <c r="U234" i="2"/>
  <c r="U226" i="2"/>
  <c r="T330" i="2"/>
  <c r="T338" i="2"/>
  <c r="T332" i="2"/>
  <c r="T340" i="2"/>
  <c r="T334" i="2"/>
  <c r="T342" i="2"/>
  <c r="T328" i="2"/>
  <c r="T336" i="2"/>
  <c r="T344" i="2"/>
  <c r="T339" i="2"/>
  <c r="T343" i="2"/>
  <c r="T331" i="2"/>
  <c r="T335" i="2"/>
  <c r="T337" i="2"/>
  <c r="T341" i="2"/>
  <c r="T333" i="2"/>
  <c r="T329" i="2"/>
  <c r="U190" i="2"/>
  <c r="U198" i="2"/>
  <c r="U199" i="2"/>
  <c r="U200" i="2"/>
  <c r="U184" i="2"/>
  <c r="U185" i="2"/>
  <c r="U186" i="2"/>
  <c r="U187" i="2"/>
  <c r="U188" i="2"/>
  <c r="U189" i="2"/>
  <c r="U192" i="2"/>
  <c r="U196" i="2"/>
  <c r="U193" i="2"/>
  <c r="U197" i="2"/>
  <c r="U194" i="2"/>
  <c r="U191" i="2"/>
  <c r="U195" i="2"/>
  <c r="U278" i="2"/>
  <c r="U286" i="2"/>
  <c r="U280" i="2"/>
  <c r="U288" i="2"/>
  <c r="U274" i="2"/>
  <c r="U282" i="2"/>
  <c r="U290" i="2"/>
  <c r="U276" i="2"/>
  <c r="U284" i="2"/>
  <c r="U279" i="2"/>
  <c r="U283" i="2"/>
  <c r="U287" i="2"/>
  <c r="U275" i="2"/>
  <c r="U277" i="2"/>
  <c r="U285" i="2"/>
  <c r="U281" i="2"/>
  <c r="U289" i="2"/>
  <c r="U388" i="2"/>
  <c r="U396" i="2"/>
  <c r="U382" i="2"/>
  <c r="U390" i="2"/>
  <c r="U398" i="2"/>
  <c r="U384" i="2"/>
  <c r="U392" i="2"/>
  <c r="U389" i="2"/>
  <c r="U385" i="2"/>
  <c r="U395" i="2"/>
  <c r="U394" i="2"/>
  <c r="U393" i="2"/>
  <c r="U386" i="2"/>
  <c r="U383" i="2"/>
  <c r="U387" i="2"/>
  <c r="U397" i="2"/>
  <c r="U391" i="2"/>
  <c r="U457" i="2"/>
  <c r="U465" i="2"/>
  <c r="U459" i="2"/>
  <c r="U467" i="2"/>
  <c r="U461" i="2"/>
  <c r="U469" i="2"/>
  <c r="U455" i="2"/>
  <c r="U463" i="2"/>
  <c r="U456" i="2"/>
  <c r="U458" i="2"/>
  <c r="U462" i="2"/>
  <c r="U466" i="2"/>
  <c r="U454" i="2"/>
  <c r="U470" i="2"/>
  <c r="U468" i="2"/>
  <c r="U464" i="2"/>
  <c r="U460" i="2"/>
  <c r="U101" i="2"/>
  <c r="U109" i="2"/>
  <c r="U95" i="2"/>
  <c r="U103" i="2"/>
  <c r="U97" i="2"/>
  <c r="U105" i="2"/>
  <c r="U102" i="2"/>
  <c r="U108" i="2"/>
  <c r="U107" i="2"/>
  <c r="U96" i="2"/>
  <c r="U106" i="2"/>
  <c r="U100" i="2"/>
  <c r="U98" i="2"/>
  <c r="U110" i="2"/>
  <c r="U99" i="2"/>
  <c r="U94" i="2"/>
  <c r="U104" i="2"/>
  <c r="T525" i="2"/>
  <c r="U615" i="2"/>
  <c r="U118" i="2"/>
  <c r="U126" i="2"/>
  <c r="U112" i="2"/>
  <c r="U120" i="2"/>
  <c r="U128" i="2"/>
  <c r="U114" i="2"/>
  <c r="U122" i="2"/>
  <c r="U113" i="2"/>
  <c r="U123" i="2"/>
  <c r="U119" i="2"/>
  <c r="U125" i="2"/>
  <c r="U124" i="2"/>
  <c r="U121" i="2"/>
  <c r="U116" i="2"/>
  <c r="U117" i="2"/>
  <c r="U115" i="2"/>
  <c r="U127" i="2"/>
  <c r="T129" i="2"/>
  <c r="T453" i="2"/>
  <c r="T39" i="2"/>
  <c r="U569" i="2"/>
  <c r="U565" i="2"/>
  <c r="U573" i="2"/>
  <c r="U571" i="2"/>
  <c r="U578" i="2"/>
  <c r="U564" i="2"/>
  <c r="U570" i="2"/>
  <c r="U562" i="2"/>
  <c r="U567" i="2"/>
  <c r="U574" i="2"/>
  <c r="U575" i="2"/>
  <c r="U572" i="2"/>
  <c r="U577" i="2"/>
  <c r="U568" i="2"/>
  <c r="U563" i="2"/>
  <c r="U566" i="2"/>
  <c r="U576" i="2"/>
  <c r="V439" i="2"/>
  <c r="V447" i="2"/>
  <c r="V441" i="2"/>
  <c r="V449" i="2"/>
  <c r="V443" i="2"/>
  <c r="V451" i="2"/>
  <c r="V437" i="2"/>
  <c r="V445" i="2"/>
  <c r="V446" i="2"/>
  <c r="V448" i="2"/>
  <c r="V436" i="2"/>
  <c r="V452" i="2"/>
  <c r="V440" i="2"/>
  <c r="V444" i="2"/>
  <c r="V442" i="2"/>
  <c r="V438" i="2"/>
  <c r="V450" i="2"/>
  <c r="V637" i="2"/>
  <c r="V645" i="2"/>
  <c r="V638" i="2"/>
  <c r="V646" i="2"/>
  <c r="V640" i="2"/>
  <c r="V648" i="2"/>
  <c r="V634" i="2"/>
  <c r="V642" i="2"/>
  <c r="V650" i="2"/>
  <c r="V636" i="2"/>
  <c r="V644" i="2"/>
  <c r="V635" i="2"/>
  <c r="V647" i="2"/>
  <c r="V643" i="2"/>
  <c r="V639" i="2"/>
  <c r="V641" i="2"/>
  <c r="V649" i="2"/>
  <c r="T9" i="2"/>
  <c r="T17" i="2"/>
  <c r="T11" i="2"/>
  <c r="T19" i="2"/>
  <c r="T5" i="2"/>
  <c r="T13" i="2"/>
  <c r="T14" i="2"/>
  <c r="T10" i="2"/>
  <c r="T20" i="2"/>
  <c r="T16" i="2"/>
  <c r="T15" i="2"/>
  <c r="T6" i="2"/>
  <c r="T18" i="2"/>
  <c r="T12" i="2"/>
  <c r="T8" i="2"/>
  <c r="T7" i="2"/>
  <c r="T165" i="2"/>
  <c r="T489" i="2"/>
  <c r="J33" i="7"/>
  <c r="J87" i="7" s="1"/>
  <c r="J128" i="7" s="1"/>
  <c r="T183" i="2"/>
  <c r="T201" i="2"/>
  <c r="U507" i="2"/>
  <c r="T381" i="2"/>
  <c r="T273" i="2"/>
  <c r="U471" i="2"/>
  <c r="T255" i="2"/>
  <c r="T93" i="2"/>
  <c r="U587" i="2"/>
  <c r="U595" i="2"/>
  <c r="U580" i="2"/>
  <c r="U588" i="2"/>
  <c r="U596" i="2"/>
  <c r="U582" i="2"/>
  <c r="U590" i="2"/>
  <c r="U584" i="2"/>
  <c r="U592" i="2"/>
  <c r="U586" i="2"/>
  <c r="U594" i="2"/>
  <c r="U585" i="2"/>
  <c r="U583" i="2"/>
  <c r="U581" i="2"/>
  <c r="U593" i="2"/>
  <c r="U591" i="2"/>
  <c r="U589" i="2"/>
  <c r="T579" i="2"/>
  <c r="T75" i="2"/>
  <c r="U533" i="2"/>
  <c r="U541" i="2"/>
  <c r="U527" i="2"/>
  <c r="U535" i="2"/>
  <c r="U529" i="2"/>
  <c r="U537" i="2"/>
  <c r="U531" i="2"/>
  <c r="U539" i="2"/>
  <c r="U540" i="2"/>
  <c r="U526" i="2"/>
  <c r="U542" i="2"/>
  <c r="U530" i="2"/>
  <c r="U534" i="2"/>
  <c r="U538" i="2"/>
  <c r="U536" i="2"/>
  <c r="U532" i="2"/>
  <c r="U528" i="2"/>
  <c r="U207" i="2"/>
  <c r="U218" i="2"/>
  <c r="U202" i="2"/>
  <c r="U203" i="2"/>
  <c r="U204" i="2"/>
  <c r="U205" i="2"/>
  <c r="U206" i="2"/>
  <c r="U212" i="2"/>
  <c r="U214" i="2"/>
  <c r="U216" i="2"/>
  <c r="U209" i="2"/>
  <c r="U211" i="2"/>
  <c r="U215" i="2"/>
  <c r="U208" i="2"/>
  <c r="U210" i="2"/>
  <c r="U217" i="2"/>
  <c r="U213" i="2"/>
  <c r="U42" i="2"/>
  <c r="U50" i="2"/>
  <c r="U44" i="2"/>
  <c r="U52" i="2"/>
  <c r="U46" i="2"/>
  <c r="U54" i="2"/>
  <c r="U40" i="2"/>
  <c r="U53" i="2"/>
  <c r="U56" i="2"/>
  <c r="U45" i="2"/>
  <c r="U41" i="2"/>
  <c r="U51" i="2"/>
  <c r="U49" i="2"/>
  <c r="U48" i="2"/>
  <c r="U47" i="2"/>
  <c r="U55" i="2"/>
  <c r="U43" i="2"/>
  <c r="V515" i="2"/>
  <c r="V523" i="2"/>
  <c r="V509" i="2"/>
  <c r="V517" i="2"/>
  <c r="V511" i="2"/>
  <c r="V519" i="2"/>
  <c r="V513" i="2"/>
  <c r="V521" i="2"/>
  <c r="V514" i="2"/>
  <c r="V516" i="2"/>
  <c r="V520" i="2"/>
  <c r="V508" i="2"/>
  <c r="V524" i="2"/>
  <c r="V512" i="2"/>
  <c r="V522" i="2"/>
  <c r="V518" i="2"/>
  <c r="V510" i="2"/>
  <c r="U152" i="2"/>
  <c r="U160" i="2"/>
  <c r="U154" i="2"/>
  <c r="U162" i="2"/>
  <c r="U148" i="2"/>
  <c r="U156" i="2"/>
  <c r="U164" i="2"/>
  <c r="U159" i="2"/>
  <c r="U158" i="2"/>
  <c r="U157" i="2"/>
  <c r="U153" i="2"/>
  <c r="U163" i="2"/>
  <c r="U155" i="2"/>
  <c r="U150" i="2"/>
  <c r="U149" i="2"/>
  <c r="U161" i="2"/>
  <c r="U151" i="2"/>
  <c r="U244" i="2"/>
  <c r="U252" i="2"/>
  <c r="U238" i="2"/>
  <c r="U246" i="2"/>
  <c r="U254" i="2"/>
  <c r="U240" i="2"/>
  <c r="U248" i="2"/>
  <c r="U242" i="2"/>
  <c r="U250" i="2"/>
  <c r="U245" i="2"/>
  <c r="U249" i="2"/>
  <c r="U253" i="2"/>
  <c r="U241" i="2"/>
  <c r="U243" i="2"/>
  <c r="U251" i="2"/>
  <c r="U247" i="2"/>
  <c r="U239" i="2"/>
  <c r="U135" i="2"/>
  <c r="U143" i="2"/>
  <c r="U137" i="2"/>
  <c r="U145" i="2"/>
  <c r="U131" i="2"/>
  <c r="U139" i="2"/>
  <c r="U141" i="2"/>
  <c r="U130" i="2"/>
  <c r="U140" i="2"/>
  <c r="U136" i="2"/>
  <c r="U146" i="2"/>
  <c r="U142" i="2"/>
  <c r="U144" i="2"/>
  <c r="U134" i="2"/>
  <c r="U132" i="2"/>
  <c r="U133" i="2"/>
  <c r="U138" i="2"/>
  <c r="V418" i="2"/>
  <c r="V422" i="2"/>
  <c r="V430" i="2"/>
  <c r="V424" i="2"/>
  <c r="V432" i="2"/>
  <c r="V426" i="2"/>
  <c r="V434" i="2"/>
  <c r="V428" i="2"/>
  <c r="V420" i="2"/>
  <c r="V429" i="2"/>
  <c r="V431" i="2"/>
  <c r="V423" i="2"/>
  <c r="V427" i="2"/>
  <c r="V421" i="2"/>
  <c r="V433" i="2"/>
  <c r="V419" i="2"/>
  <c r="V425" i="2"/>
  <c r="U25" i="2"/>
  <c r="U33" i="2"/>
  <c r="U27" i="2"/>
  <c r="U35" i="2"/>
  <c r="U29" i="2"/>
  <c r="U37" i="2"/>
  <c r="U22" i="2"/>
  <c r="U28" i="2"/>
  <c r="U38" i="2"/>
  <c r="U24" i="2"/>
  <c r="U34" i="2"/>
  <c r="U23" i="2"/>
  <c r="U36" i="2"/>
  <c r="U31" i="2"/>
  <c r="U30" i="2"/>
  <c r="U32" i="2"/>
  <c r="U26" i="2"/>
  <c r="T219" i="2"/>
  <c r="T147" i="2"/>
  <c r="U435" i="2"/>
  <c r="U633" i="2"/>
  <c r="K27" i="7"/>
  <c r="K81" i="7" s="1"/>
  <c r="K122" i="7" s="1"/>
  <c r="J30" i="7"/>
  <c r="J84" i="7" s="1"/>
  <c r="J125" i="7" s="1"/>
  <c r="J20" i="7"/>
  <c r="J74" i="7" s="1"/>
  <c r="J115" i="7" s="1"/>
  <c r="J5" i="7"/>
  <c r="J59" i="7" s="1"/>
  <c r="J100" i="7" s="1"/>
  <c r="K37" i="7"/>
  <c r="K91" i="7" s="1"/>
  <c r="K132" i="7" s="1"/>
  <c r="J15" i="7"/>
  <c r="J69" i="7" s="1"/>
  <c r="J110" i="7" s="1"/>
  <c r="H94" i="7"/>
  <c r="J26" i="7"/>
  <c r="J80" i="7" s="1"/>
  <c r="J121" i="7" s="1"/>
  <c r="J4" i="7"/>
  <c r="J58" i="7" s="1"/>
  <c r="J99" i="7" s="1"/>
  <c r="T4" i="2"/>
  <c r="G135" i="7"/>
  <c r="J16" i="7"/>
  <c r="J70" i="7" s="1"/>
  <c r="J111" i="7" s="1"/>
  <c r="V404" i="2"/>
  <c r="J22" i="7"/>
  <c r="J76" i="7" s="1"/>
  <c r="J117" i="7" s="1"/>
  <c r="J31" i="7"/>
  <c r="J85" i="7" s="1"/>
  <c r="J126" i="7" s="1"/>
  <c r="J11" i="7"/>
  <c r="J65" i="7" s="1"/>
  <c r="J106" i="7" s="1"/>
  <c r="J2" i="7"/>
  <c r="J56" i="7" s="1"/>
  <c r="J97" i="7" s="1"/>
  <c r="J28" i="7"/>
  <c r="J82" i="7" s="1"/>
  <c r="J123" i="7" s="1"/>
  <c r="V321" i="2"/>
  <c r="J17" i="7"/>
  <c r="J71" i="7" s="1"/>
  <c r="J112" i="7" s="1"/>
  <c r="J3" i="7"/>
  <c r="J57" i="7" s="1"/>
  <c r="J98" i="7" s="1"/>
  <c r="J32" i="7"/>
  <c r="J86" i="7" s="1"/>
  <c r="J127" i="7" s="1"/>
  <c r="J6" i="7"/>
  <c r="J60" i="7" s="1"/>
  <c r="J101" i="7" s="1"/>
  <c r="K34" i="7"/>
  <c r="K88" i="7" s="1"/>
  <c r="K129" i="7" s="1"/>
  <c r="J10" i="7"/>
  <c r="J64" i="7" s="1"/>
  <c r="J105" i="7" s="1"/>
  <c r="J12" i="7"/>
  <c r="J66" i="7" s="1"/>
  <c r="J107" i="7" s="1"/>
  <c r="J14" i="7"/>
  <c r="J68" i="7" s="1"/>
  <c r="J109" i="7" s="1"/>
  <c r="J13" i="7"/>
  <c r="J67" i="7" s="1"/>
  <c r="J108" i="7" s="1"/>
  <c r="K24" i="7"/>
  <c r="K78" i="7" s="1"/>
  <c r="K119" i="7" s="1"/>
  <c r="J7" i="7"/>
  <c r="J61" i="7" s="1"/>
  <c r="J102" i="7" s="1"/>
  <c r="K29" i="7"/>
  <c r="K83" i="7" s="1"/>
  <c r="K124" i="7" s="1"/>
  <c r="J9" i="7"/>
  <c r="J63" i="7" s="1"/>
  <c r="J104" i="7" s="1"/>
  <c r="J19" i="7"/>
  <c r="J73" i="7" s="1"/>
  <c r="J114" i="7" s="1"/>
  <c r="J21" i="7"/>
  <c r="J75" i="7" s="1"/>
  <c r="J116" i="7" s="1"/>
  <c r="K25" i="7"/>
  <c r="K79" i="7" s="1"/>
  <c r="K120" i="7" s="1"/>
  <c r="J39" i="7"/>
  <c r="J93" i="7" s="1"/>
  <c r="J134" i="7" s="1"/>
  <c r="U348" i="2"/>
  <c r="K23" i="7"/>
  <c r="K77" i="7" s="1"/>
  <c r="K118" i="7" s="1"/>
  <c r="K36" i="7" l="1"/>
  <c r="K90" i="7" s="1"/>
  <c r="K131" i="7" s="1"/>
  <c r="K18" i="7"/>
  <c r="K72" i="7" s="1"/>
  <c r="K113" i="7" s="1"/>
  <c r="W1188" i="2"/>
  <c r="W1179" i="2"/>
  <c r="W1180" i="2"/>
  <c r="W1186" i="2"/>
  <c r="W1190" i="2"/>
  <c r="W1178" i="2"/>
  <c r="W1182" i="2"/>
  <c r="W1184" i="2"/>
  <c r="W1174" i="2"/>
  <c r="W1189" i="2"/>
  <c r="W1181" i="2"/>
  <c r="W1185" i="2"/>
  <c r="W1176" i="2"/>
  <c r="W1177" i="2"/>
  <c r="W1183" i="2"/>
  <c r="W1187" i="2"/>
  <c r="W1175" i="2"/>
  <c r="V1173" i="2"/>
  <c r="L38" i="7"/>
  <c r="K92" i="7"/>
  <c r="K133" i="7" s="1"/>
  <c r="V651" i="2"/>
  <c r="W666" i="2"/>
  <c r="W653" i="2"/>
  <c r="W654" i="2"/>
  <c r="W661" i="2"/>
  <c r="W662" i="2"/>
  <c r="W652" i="2"/>
  <c r="W655" i="2"/>
  <c r="W659" i="2"/>
  <c r="W663" i="2"/>
  <c r="W657" i="2"/>
  <c r="W664" i="2"/>
  <c r="W667" i="2"/>
  <c r="W665" i="2"/>
  <c r="W660" i="2"/>
  <c r="W668" i="2"/>
  <c r="W656" i="2"/>
  <c r="W658" i="2"/>
  <c r="U309" i="2"/>
  <c r="U597" i="2"/>
  <c r="T345" i="2"/>
  <c r="V326" i="2"/>
  <c r="V323" i="2"/>
  <c r="V602" i="2"/>
  <c r="V611" i="2"/>
  <c r="V401" i="2"/>
  <c r="U399" i="2"/>
  <c r="U353" i="2"/>
  <c r="V414" i="2"/>
  <c r="U350" i="2"/>
  <c r="U351" i="2"/>
  <c r="U362" i="2"/>
  <c r="V613" i="2"/>
  <c r="V614" i="2"/>
  <c r="V415" i="2"/>
  <c r="V411" i="2"/>
  <c r="V312" i="2"/>
  <c r="V313" i="2"/>
  <c r="U347" i="2"/>
  <c r="U354" i="2"/>
  <c r="V601" i="2"/>
  <c r="V606" i="2"/>
  <c r="V405" i="2"/>
  <c r="V407" i="2"/>
  <c r="V324" i="2"/>
  <c r="V319" i="2"/>
  <c r="U361" i="2"/>
  <c r="U360" i="2"/>
  <c r="U346" i="2"/>
  <c r="V605" i="2"/>
  <c r="V598" i="2"/>
  <c r="V410" i="2"/>
  <c r="V416" i="2"/>
  <c r="V310" i="2"/>
  <c r="V320" i="2"/>
  <c r="V311" i="2"/>
  <c r="U357" i="2"/>
  <c r="U352" i="2"/>
  <c r="V607" i="2"/>
  <c r="V612" i="2"/>
  <c r="V412" i="2"/>
  <c r="V408" i="2"/>
  <c r="V314" i="2"/>
  <c r="V325" i="2"/>
  <c r="U349" i="2"/>
  <c r="U358" i="2"/>
  <c r="V610" i="2"/>
  <c r="V604" i="2"/>
  <c r="V413" i="2"/>
  <c r="V400" i="2"/>
  <c r="V322" i="2"/>
  <c r="V317" i="2"/>
  <c r="U359" i="2"/>
  <c r="U356" i="2"/>
  <c r="V609" i="2"/>
  <c r="V608" i="2"/>
  <c r="V603" i="2"/>
  <c r="V402" i="2"/>
  <c r="V406" i="2"/>
  <c r="V318" i="2"/>
  <c r="V315" i="2"/>
  <c r="U355" i="2"/>
  <c r="V599" i="2"/>
  <c r="V409" i="2"/>
  <c r="V403" i="2"/>
  <c r="V316" i="2"/>
  <c r="K35" i="7"/>
  <c r="J89" i="7"/>
  <c r="J130" i="7" s="1"/>
  <c r="W605" i="2" s="1"/>
  <c r="U525" i="2"/>
  <c r="W438" i="2"/>
  <c r="W446" i="2"/>
  <c r="W440" i="2"/>
  <c r="W448" i="2"/>
  <c r="W442" i="2"/>
  <c r="W450" i="2"/>
  <c r="W436" i="2"/>
  <c r="W444" i="2"/>
  <c r="W452" i="2"/>
  <c r="W437" i="2"/>
  <c r="W439" i="2"/>
  <c r="W443" i="2"/>
  <c r="W447" i="2"/>
  <c r="W451" i="2"/>
  <c r="W441" i="2"/>
  <c r="W449" i="2"/>
  <c r="W445" i="2"/>
  <c r="W514" i="2"/>
  <c r="W522" i="2"/>
  <c r="W508" i="2"/>
  <c r="W516" i="2"/>
  <c r="W524" i="2"/>
  <c r="W510" i="2"/>
  <c r="W518" i="2"/>
  <c r="W512" i="2"/>
  <c r="W520" i="2"/>
  <c r="W521" i="2"/>
  <c r="W523" i="2"/>
  <c r="W511" i="2"/>
  <c r="W515" i="2"/>
  <c r="W519" i="2"/>
  <c r="W517" i="2"/>
  <c r="W513" i="2"/>
  <c r="W509" i="2"/>
  <c r="V549" i="2"/>
  <c r="V557" i="2"/>
  <c r="V551" i="2"/>
  <c r="V559" i="2"/>
  <c r="V545" i="2"/>
  <c r="V553" i="2"/>
  <c r="V547" i="2"/>
  <c r="V555" i="2"/>
  <c r="V548" i="2"/>
  <c r="V550" i="2"/>
  <c r="V554" i="2"/>
  <c r="V558" i="2"/>
  <c r="V546" i="2"/>
  <c r="V556" i="2"/>
  <c r="V552" i="2"/>
  <c r="V544" i="2"/>
  <c r="V560" i="2"/>
  <c r="V277" i="2"/>
  <c r="V285" i="2"/>
  <c r="V279" i="2"/>
  <c r="V287" i="2"/>
  <c r="V281" i="2"/>
  <c r="V289" i="2"/>
  <c r="V275" i="2"/>
  <c r="V283" i="2"/>
  <c r="V286" i="2"/>
  <c r="V274" i="2"/>
  <c r="V290" i="2"/>
  <c r="V278" i="2"/>
  <c r="V282" i="2"/>
  <c r="V284" i="2"/>
  <c r="V288" i="2"/>
  <c r="V280" i="2"/>
  <c r="V276" i="2"/>
  <c r="V64" i="2"/>
  <c r="V72" i="2"/>
  <c r="V58" i="2"/>
  <c r="V66" i="2"/>
  <c r="V74" i="2"/>
  <c r="V60" i="2"/>
  <c r="V68" i="2"/>
  <c r="V70" i="2"/>
  <c r="V69" i="2"/>
  <c r="V65" i="2"/>
  <c r="V61" i="2"/>
  <c r="V59" i="2"/>
  <c r="V73" i="2"/>
  <c r="V67" i="2"/>
  <c r="V62" i="2"/>
  <c r="V71" i="2"/>
  <c r="V63" i="2"/>
  <c r="W472" i="2"/>
  <c r="W480" i="2"/>
  <c r="W488" i="2"/>
  <c r="W474" i="2"/>
  <c r="W482" i="2"/>
  <c r="W476" i="2"/>
  <c r="W484" i="2"/>
  <c r="W478" i="2"/>
  <c r="W486" i="2"/>
  <c r="W487" i="2"/>
  <c r="W473" i="2"/>
  <c r="W477" i="2"/>
  <c r="W481" i="2"/>
  <c r="W485" i="2"/>
  <c r="W483" i="2"/>
  <c r="W479" i="2"/>
  <c r="W475" i="2"/>
  <c r="V417" i="2"/>
  <c r="U237" i="2"/>
  <c r="V586" i="2"/>
  <c r="V594" i="2"/>
  <c r="V587" i="2"/>
  <c r="V595" i="2"/>
  <c r="V581" i="2"/>
  <c r="V589" i="2"/>
  <c r="V583" i="2"/>
  <c r="V591" i="2"/>
  <c r="V585" i="2"/>
  <c r="V593" i="2"/>
  <c r="V580" i="2"/>
  <c r="V592" i="2"/>
  <c r="V590" i="2"/>
  <c r="V588" i="2"/>
  <c r="V584" i="2"/>
  <c r="V596" i="2"/>
  <c r="V582" i="2"/>
  <c r="U93" i="2"/>
  <c r="U381" i="2"/>
  <c r="U183" i="2"/>
  <c r="U363" i="2"/>
  <c r="V471" i="2"/>
  <c r="V81" i="2"/>
  <c r="V83" i="2"/>
  <c r="V79" i="2"/>
  <c r="V85" i="2"/>
  <c r="V91" i="2"/>
  <c r="V77" i="2"/>
  <c r="V76" i="2"/>
  <c r="V82" i="2"/>
  <c r="V80" i="2"/>
  <c r="V84" i="2"/>
  <c r="V92" i="2"/>
  <c r="V78" i="2"/>
  <c r="V89" i="2"/>
  <c r="V86" i="2"/>
  <c r="V88" i="2"/>
  <c r="V87" i="2"/>
  <c r="V90" i="2"/>
  <c r="V294" i="2"/>
  <c r="V302" i="2"/>
  <c r="V296" i="2"/>
  <c r="V304" i="2"/>
  <c r="V298" i="2"/>
  <c r="V306" i="2"/>
  <c r="V292" i="2"/>
  <c r="V300" i="2"/>
  <c r="V308" i="2"/>
  <c r="V303" i="2"/>
  <c r="V307" i="2"/>
  <c r="V295" i="2"/>
  <c r="V299" i="2"/>
  <c r="V293" i="2"/>
  <c r="V297" i="2"/>
  <c r="V305" i="2"/>
  <c r="V301" i="2"/>
  <c r="U8" i="2"/>
  <c r="U16" i="2"/>
  <c r="U10" i="2"/>
  <c r="U18" i="2"/>
  <c r="U12" i="2"/>
  <c r="U20" i="2"/>
  <c r="U11" i="2"/>
  <c r="U7" i="2"/>
  <c r="U17" i="2"/>
  <c r="U6" i="2"/>
  <c r="U5" i="2"/>
  <c r="U15" i="2"/>
  <c r="U13" i="2"/>
  <c r="U14" i="2"/>
  <c r="U19" i="2"/>
  <c r="U9" i="2"/>
  <c r="U21" i="2"/>
  <c r="V507" i="2"/>
  <c r="U579" i="2"/>
  <c r="U165" i="2"/>
  <c r="U291" i="2"/>
  <c r="U39" i="2"/>
  <c r="W619" i="2"/>
  <c r="W627" i="2"/>
  <c r="W620" i="2"/>
  <c r="W628" i="2"/>
  <c r="W622" i="2"/>
  <c r="W630" i="2"/>
  <c r="W616" i="2"/>
  <c r="W624" i="2"/>
  <c r="W632" i="2"/>
  <c r="W618" i="2"/>
  <c r="W626" i="2"/>
  <c r="W625" i="2"/>
  <c r="W623" i="2"/>
  <c r="W621" i="2"/>
  <c r="W631" i="2"/>
  <c r="W617" i="2"/>
  <c r="W629" i="2"/>
  <c r="U129" i="2"/>
  <c r="V435" i="2"/>
  <c r="U111" i="2"/>
  <c r="V456" i="2"/>
  <c r="V464" i="2"/>
  <c r="V458" i="2"/>
  <c r="V466" i="2"/>
  <c r="V460" i="2"/>
  <c r="V468" i="2"/>
  <c r="V454" i="2"/>
  <c r="V462" i="2"/>
  <c r="V470" i="2"/>
  <c r="V463" i="2"/>
  <c r="V465" i="2"/>
  <c r="V469" i="2"/>
  <c r="V457" i="2"/>
  <c r="V461" i="2"/>
  <c r="V467" i="2"/>
  <c r="V459" i="2"/>
  <c r="V455" i="2"/>
  <c r="K33" i="7"/>
  <c r="K87" i="7" s="1"/>
  <c r="K128" i="7" s="1"/>
  <c r="U329" i="2"/>
  <c r="U337" i="2"/>
  <c r="U331" i="2"/>
  <c r="U339" i="2"/>
  <c r="U333" i="2"/>
  <c r="U341" i="2"/>
  <c r="U335" i="2"/>
  <c r="U343" i="2"/>
  <c r="U330" i="2"/>
  <c r="U334" i="2"/>
  <c r="U338" i="2"/>
  <c r="U342" i="2"/>
  <c r="U344" i="2"/>
  <c r="U332" i="2"/>
  <c r="U340" i="2"/>
  <c r="U328" i="2"/>
  <c r="U336" i="2"/>
  <c r="V189" i="2"/>
  <c r="V197" i="2"/>
  <c r="V190" i="2"/>
  <c r="V191" i="2"/>
  <c r="V192" i="2"/>
  <c r="V193" i="2"/>
  <c r="V194" i="2"/>
  <c r="V195" i="2"/>
  <c r="V196" i="2"/>
  <c r="V184" i="2"/>
  <c r="V186" i="2"/>
  <c r="V188" i="2"/>
  <c r="V185" i="2"/>
  <c r="V187" i="2"/>
  <c r="V200" i="2"/>
  <c r="V198" i="2"/>
  <c r="V199" i="2"/>
  <c r="V490" i="2"/>
  <c r="V498" i="2"/>
  <c r="V506" i="2"/>
  <c r="V492" i="2"/>
  <c r="V500" i="2"/>
  <c r="V494" i="2"/>
  <c r="V502" i="2"/>
  <c r="V496" i="2"/>
  <c r="V504" i="2"/>
  <c r="V497" i="2"/>
  <c r="V499" i="2"/>
  <c r="V503" i="2"/>
  <c r="V491" i="2"/>
  <c r="V495" i="2"/>
  <c r="V501" i="2"/>
  <c r="V493" i="2"/>
  <c r="V505" i="2"/>
  <c r="V370" i="2"/>
  <c r="V378" i="2"/>
  <c r="V364" i="2"/>
  <c r="V372" i="2"/>
  <c r="V380" i="2"/>
  <c r="V366" i="2"/>
  <c r="V374" i="2"/>
  <c r="V368" i="2"/>
  <c r="V376" i="2"/>
  <c r="V371" i="2"/>
  <c r="V375" i="2"/>
  <c r="V379" i="2"/>
  <c r="V367" i="2"/>
  <c r="V365" i="2"/>
  <c r="V373" i="2"/>
  <c r="V377" i="2"/>
  <c r="V369" i="2"/>
  <c r="W419" i="2"/>
  <c r="W420" i="2"/>
  <c r="W421" i="2"/>
  <c r="W429" i="2"/>
  <c r="W423" i="2"/>
  <c r="W431" i="2"/>
  <c r="W425" i="2"/>
  <c r="W433" i="2"/>
  <c r="W427" i="2"/>
  <c r="W418" i="2"/>
  <c r="W422" i="2"/>
  <c r="W426" i="2"/>
  <c r="W430" i="2"/>
  <c r="W434" i="2"/>
  <c r="W432" i="2"/>
  <c r="W428" i="2"/>
  <c r="W424" i="2"/>
  <c r="V568" i="2"/>
  <c r="V564" i="2"/>
  <c r="V572" i="2"/>
  <c r="V565" i="2"/>
  <c r="V577" i="2"/>
  <c r="V571" i="2"/>
  <c r="V578" i="2"/>
  <c r="V563" i="2"/>
  <c r="V569" i="2"/>
  <c r="V566" i="2"/>
  <c r="V576" i="2"/>
  <c r="V574" i="2"/>
  <c r="V562" i="2"/>
  <c r="V575" i="2"/>
  <c r="V570" i="2"/>
  <c r="V573" i="2"/>
  <c r="V567" i="2"/>
  <c r="T3" i="2"/>
  <c r="V633" i="2"/>
  <c r="U453" i="2"/>
  <c r="U219" i="2"/>
  <c r="U75" i="2"/>
  <c r="V117" i="2"/>
  <c r="V125" i="2"/>
  <c r="V119" i="2"/>
  <c r="V127" i="2"/>
  <c r="V113" i="2"/>
  <c r="V121" i="2"/>
  <c r="V120" i="2"/>
  <c r="V116" i="2"/>
  <c r="V126" i="2"/>
  <c r="V115" i="2"/>
  <c r="V114" i="2"/>
  <c r="V123" i="2"/>
  <c r="V118" i="2"/>
  <c r="V128" i="2"/>
  <c r="V124" i="2"/>
  <c r="V112" i="2"/>
  <c r="V122" i="2"/>
  <c r="U255" i="2"/>
  <c r="U489" i="2"/>
  <c r="U147" i="2"/>
  <c r="T327" i="2"/>
  <c r="V134" i="2"/>
  <c r="V142" i="2"/>
  <c r="V136" i="2"/>
  <c r="V144" i="2"/>
  <c r="V130" i="2"/>
  <c r="V138" i="2"/>
  <c r="V146" i="2"/>
  <c r="V131" i="2"/>
  <c r="V137" i="2"/>
  <c r="V133" i="2"/>
  <c r="V143" i="2"/>
  <c r="V132" i="2"/>
  <c r="V141" i="2"/>
  <c r="V139" i="2"/>
  <c r="V135" i="2"/>
  <c r="V140" i="2"/>
  <c r="V145" i="2"/>
  <c r="V206" i="2"/>
  <c r="V217" i="2"/>
  <c r="V207" i="2"/>
  <c r="V208" i="2"/>
  <c r="V209" i="2"/>
  <c r="V210" i="2"/>
  <c r="V211" i="2"/>
  <c r="V213" i="2"/>
  <c r="V215" i="2"/>
  <c r="V218" i="2"/>
  <c r="V214" i="2"/>
  <c r="V216" i="2"/>
  <c r="V205" i="2"/>
  <c r="V202" i="2"/>
  <c r="V203" i="2"/>
  <c r="V204" i="2"/>
  <c r="V212" i="2"/>
  <c r="V151" i="2"/>
  <c r="V159" i="2"/>
  <c r="V153" i="2"/>
  <c r="V161" i="2"/>
  <c r="V155" i="2"/>
  <c r="V163" i="2"/>
  <c r="V149" i="2"/>
  <c r="V148" i="2"/>
  <c r="V154" i="2"/>
  <c r="V164" i="2"/>
  <c r="V150" i="2"/>
  <c r="V160" i="2"/>
  <c r="V162" i="2"/>
  <c r="V157" i="2"/>
  <c r="V152" i="2"/>
  <c r="V158" i="2"/>
  <c r="V156" i="2"/>
  <c r="V387" i="2"/>
  <c r="V395" i="2"/>
  <c r="V389" i="2"/>
  <c r="V397" i="2"/>
  <c r="V383" i="2"/>
  <c r="V391" i="2"/>
  <c r="V385" i="2"/>
  <c r="V386" i="2"/>
  <c r="V396" i="2"/>
  <c r="V384" i="2"/>
  <c r="V390" i="2"/>
  <c r="V398" i="2"/>
  <c r="V392" i="2"/>
  <c r="V382" i="2"/>
  <c r="V394" i="2"/>
  <c r="V388" i="2"/>
  <c r="V393" i="2"/>
  <c r="V41" i="2"/>
  <c r="V49" i="2"/>
  <c r="V43" i="2"/>
  <c r="V51" i="2"/>
  <c r="V45" i="2"/>
  <c r="V53" i="2"/>
  <c r="V47" i="2"/>
  <c r="V46" i="2"/>
  <c r="V55" i="2"/>
  <c r="V42" i="2"/>
  <c r="V52" i="2"/>
  <c r="V48" i="2"/>
  <c r="V56" i="2"/>
  <c r="V40" i="2"/>
  <c r="V50" i="2"/>
  <c r="V44" i="2"/>
  <c r="V54" i="2"/>
  <c r="V260" i="2"/>
  <c r="V268" i="2"/>
  <c r="V262" i="2"/>
  <c r="V270" i="2"/>
  <c r="V256" i="2"/>
  <c r="V264" i="2"/>
  <c r="V272" i="2"/>
  <c r="V258" i="2"/>
  <c r="V266" i="2"/>
  <c r="V269" i="2"/>
  <c r="V257" i="2"/>
  <c r="V261" i="2"/>
  <c r="V265" i="2"/>
  <c r="V259" i="2"/>
  <c r="V263" i="2"/>
  <c r="V271" i="2"/>
  <c r="V267" i="2"/>
  <c r="V532" i="2"/>
  <c r="V540" i="2"/>
  <c r="V526" i="2"/>
  <c r="V534" i="2"/>
  <c r="V542" i="2"/>
  <c r="V528" i="2"/>
  <c r="V536" i="2"/>
  <c r="V530" i="2"/>
  <c r="V538" i="2"/>
  <c r="V531" i="2"/>
  <c r="V533" i="2"/>
  <c r="V537" i="2"/>
  <c r="V541" i="2"/>
  <c r="V529" i="2"/>
  <c r="V527" i="2"/>
  <c r="V539" i="2"/>
  <c r="V535" i="2"/>
  <c r="U201" i="2"/>
  <c r="K8" i="7"/>
  <c r="K62" i="7" s="1"/>
  <c r="K103" i="7" s="1"/>
  <c r="U543" i="2"/>
  <c r="U273" i="2"/>
  <c r="V226" i="2"/>
  <c r="V234" i="2"/>
  <c r="V220" i="2"/>
  <c r="V228" i="2"/>
  <c r="V236" i="2"/>
  <c r="V222" i="2"/>
  <c r="V230" i="2"/>
  <c r="V224" i="2"/>
  <c r="V232" i="2"/>
  <c r="V235" i="2"/>
  <c r="V223" i="2"/>
  <c r="V227" i="2"/>
  <c r="V231" i="2"/>
  <c r="V225" i="2"/>
  <c r="V221" i="2"/>
  <c r="V229" i="2"/>
  <c r="V233" i="2"/>
  <c r="V100" i="2"/>
  <c r="V108" i="2"/>
  <c r="V94" i="2"/>
  <c r="V102" i="2"/>
  <c r="V110" i="2"/>
  <c r="V96" i="2"/>
  <c r="V104" i="2"/>
  <c r="V99" i="2"/>
  <c r="V109" i="2"/>
  <c r="V98" i="2"/>
  <c r="V97" i="2"/>
  <c r="V103" i="2"/>
  <c r="V105" i="2"/>
  <c r="V95" i="2"/>
  <c r="V107" i="2"/>
  <c r="V106" i="2"/>
  <c r="V101" i="2"/>
  <c r="V243" i="2"/>
  <c r="V251" i="2"/>
  <c r="V245" i="2"/>
  <c r="V253" i="2"/>
  <c r="V239" i="2"/>
  <c r="V247" i="2"/>
  <c r="V241" i="2"/>
  <c r="V249" i="2"/>
  <c r="V252" i="2"/>
  <c r="V240" i="2"/>
  <c r="V244" i="2"/>
  <c r="V248" i="2"/>
  <c r="V250" i="2"/>
  <c r="V254" i="2"/>
  <c r="V238" i="2"/>
  <c r="V246" i="2"/>
  <c r="V242" i="2"/>
  <c r="V24" i="2"/>
  <c r="V32" i="2"/>
  <c r="V26" i="2"/>
  <c r="V34" i="2"/>
  <c r="V28" i="2"/>
  <c r="V36" i="2"/>
  <c r="V29" i="2"/>
  <c r="V25" i="2"/>
  <c r="V35" i="2"/>
  <c r="V31" i="2"/>
  <c r="V30" i="2"/>
  <c r="V38" i="2"/>
  <c r="V33" i="2"/>
  <c r="V22" i="2"/>
  <c r="V23" i="2"/>
  <c r="V37" i="2"/>
  <c r="V27" i="2"/>
  <c r="V168" i="2"/>
  <c r="V172" i="2"/>
  <c r="V180" i="2"/>
  <c r="V166" i="2"/>
  <c r="V173" i="2"/>
  <c r="V174" i="2"/>
  <c r="V175" i="2"/>
  <c r="V176" i="2"/>
  <c r="V177" i="2"/>
  <c r="V178" i="2"/>
  <c r="V179" i="2"/>
  <c r="V181" i="2"/>
  <c r="V167" i="2"/>
  <c r="V182" i="2"/>
  <c r="V170" i="2"/>
  <c r="V171" i="2"/>
  <c r="V169" i="2"/>
  <c r="W636" i="2"/>
  <c r="W644" i="2"/>
  <c r="W637" i="2"/>
  <c r="W645" i="2"/>
  <c r="W639" i="2"/>
  <c r="W647" i="2"/>
  <c r="W641" i="2"/>
  <c r="W649" i="2"/>
  <c r="W635" i="2"/>
  <c r="W643" i="2"/>
  <c r="W642" i="2"/>
  <c r="W640" i="2"/>
  <c r="W638" i="2"/>
  <c r="W650" i="2"/>
  <c r="W634" i="2"/>
  <c r="W646" i="2"/>
  <c r="W648" i="2"/>
  <c r="U561" i="2"/>
  <c r="U57" i="2"/>
  <c r="V615" i="2"/>
  <c r="K10" i="7"/>
  <c r="K64" i="7" s="1"/>
  <c r="K105" i="7" s="1"/>
  <c r="K9" i="7"/>
  <c r="K63" i="7" s="1"/>
  <c r="K104" i="7" s="1"/>
  <c r="L37" i="7"/>
  <c r="L91" i="7" s="1"/>
  <c r="L132" i="7" s="1"/>
  <c r="K6" i="7"/>
  <c r="K60" i="7" s="1"/>
  <c r="K101" i="7" s="1"/>
  <c r="I94" i="7"/>
  <c r="K16" i="7"/>
  <c r="K70" i="7" s="1"/>
  <c r="K111" i="7" s="1"/>
  <c r="K19" i="7"/>
  <c r="K73" i="7" s="1"/>
  <c r="K114" i="7" s="1"/>
  <c r="K7" i="7"/>
  <c r="K61" i="7" s="1"/>
  <c r="K102" i="7" s="1"/>
  <c r="K20" i="7"/>
  <c r="K74" i="7" s="1"/>
  <c r="K115" i="7" s="1"/>
  <c r="K12" i="7"/>
  <c r="K66" i="7" s="1"/>
  <c r="K107" i="7" s="1"/>
  <c r="W326" i="2"/>
  <c r="K17" i="7"/>
  <c r="K71" i="7" s="1"/>
  <c r="K112" i="7" s="1"/>
  <c r="K4" i="7"/>
  <c r="K58" i="7" s="1"/>
  <c r="K99" i="7" s="1"/>
  <c r="K15" i="7"/>
  <c r="K69" i="7" s="1"/>
  <c r="K110" i="7" s="1"/>
  <c r="L24" i="7"/>
  <c r="L78" i="7" s="1"/>
  <c r="L119" i="7" s="1"/>
  <c r="L34" i="7"/>
  <c r="L88" i="7" s="1"/>
  <c r="L129" i="7" s="1"/>
  <c r="K30" i="7"/>
  <c r="K84" i="7" s="1"/>
  <c r="K125" i="7" s="1"/>
  <c r="K22" i="7"/>
  <c r="K76" i="7" s="1"/>
  <c r="K117" i="7" s="1"/>
  <c r="W415" i="2"/>
  <c r="V351" i="2"/>
  <c r="U4" i="2"/>
  <c r="H135" i="7"/>
  <c r="K39" i="7"/>
  <c r="K93" i="7" s="1"/>
  <c r="K134" i="7" s="1"/>
  <c r="K3" i="7"/>
  <c r="K57" i="7" s="1"/>
  <c r="K98" i="7" s="1"/>
  <c r="K2" i="7"/>
  <c r="K56" i="7" s="1"/>
  <c r="K97" i="7" s="1"/>
  <c r="L25" i="7"/>
  <c r="L79" i="7" s="1"/>
  <c r="L120" i="7" s="1"/>
  <c r="K21" i="7"/>
  <c r="K75" i="7" s="1"/>
  <c r="K116" i="7" s="1"/>
  <c r="L29" i="7"/>
  <c r="L83" i="7" s="1"/>
  <c r="L124" i="7" s="1"/>
  <c r="K13" i="7"/>
  <c r="K67" i="7" s="1"/>
  <c r="K108" i="7" s="1"/>
  <c r="K14" i="7"/>
  <c r="K68" i="7" s="1"/>
  <c r="K109" i="7" s="1"/>
  <c r="K28" i="7"/>
  <c r="K82" i="7" s="1"/>
  <c r="K123" i="7" s="1"/>
  <c r="K31" i="7"/>
  <c r="K85" i="7" s="1"/>
  <c r="K126" i="7" s="1"/>
  <c r="K26" i="7"/>
  <c r="K80" i="7" s="1"/>
  <c r="K121" i="7" s="1"/>
  <c r="K5" i="7"/>
  <c r="K59" i="7" s="1"/>
  <c r="K100" i="7" s="1"/>
  <c r="K32" i="7"/>
  <c r="K86" i="7" s="1"/>
  <c r="K127" i="7" s="1"/>
  <c r="L27" i="7"/>
  <c r="L81" i="7" s="1"/>
  <c r="L122" i="7" s="1"/>
  <c r="K11" i="7"/>
  <c r="K65" i="7" s="1"/>
  <c r="K106" i="7" s="1"/>
  <c r="L23" i="7"/>
  <c r="L77" i="7" s="1"/>
  <c r="L118" i="7" s="1"/>
  <c r="L36" i="7" l="1"/>
  <c r="L90" i="7" s="1"/>
  <c r="L131" i="7" s="1"/>
  <c r="L18" i="7"/>
  <c r="L72" i="7" s="1"/>
  <c r="L113" i="7" s="1"/>
  <c r="W1173" i="2"/>
  <c r="X1186" i="2"/>
  <c r="X1183" i="2"/>
  <c r="X1174" i="2"/>
  <c r="X1187" i="2"/>
  <c r="X1178" i="2"/>
  <c r="X1179" i="2"/>
  <c r="X1185" i="2"/>
  <c r="X1189" i="2"/>
  <c r="X1177" i="2"/>
  <c r="X1181" i="2"/>
  <c r="X1188" i="2"/>
  <c r="X1180" i="2"/>
  <c r="X1175" i="2"/>
  <c r="X1184" i="2"/>
  <c r="X1190" i="2"/>
  <c r="X1176" i="2"/>
  <c r="X1182" i="2"/>
  <c r="M38" i="7"/>
  <c r="L92" i="7"/>
  <c r="L133" i="7" s="1"/>
  <c r="T1" i="2"/>
  <c r="W651" i="2"/>
  <c r="X660" i="2"/>
  <c r="X661" i="2"/>
  <c r="X668" i="2"/>
  <c r="X654" i="2"/>
  <c r="X658" i="2"/>
  <c r="X662" i="2"/>
  <c r="X656" i="2"/>
  <c r="X666" i="2"/>
  <c r="X664" i="2"/>
  <c r="X665" i="2"/>
  <c r="X667" i="2"/>
  <c r="X655" i="2"/>
  <c r="X657" i="2"/>
  <c r="X659" i="2"/>
  <c r="X663" i="2"/>
  <c r="X652" i="2"/>
  <c r="X653" i="2"/>
  <c r="U345" i="2"/>
  <c r="V597" i="2"/>
  <c r="V352" i="2"/>
  <c r="W401" i="2"/>
  <c r="W600" i="2"/>
  <c r="V357" i="2"/>
  <c r="W407" i="2"/>
  <c r="W611" i="2"/>
  <c r="W311" i="2"/>
  <c r="W318" i="2"/>
  <c r="V399" i="2"/>
  <c r="V309" i="2"/>
  <c r="V350" i="2"/>
  <c r="V349" i="2"/>
  <c r="W317" i="2"/>
  <c r="W324" i="2"/>
  <c r="W310" i="2"/>
  <c r="W408" i="2"/>
  <c r="W413" i="2"/>
  <c r="W614" i="2"/>
  <c r="W603" i="2"/>
  <c r="V362" i="2"/>
  <c r="V355" i="2"/>
  <c r="W321" i="2"/>
  <c r="W316" i="2"/>
  <c r="W409" i="2"/>
  <c r="W405" i="2"/>
  <c r="W609" i="2"/>
  <c r="W610" i="2"/>
  <c r="V346" i="2"/>
  <c r="V347" i="2"/>
  <c r="W313" i="2"/>
  <c r="W322" i="2"/>
  <c r="W406" i="2"/>
  <c r="W416" i="2"/>
  <c r="W403" i="2"/>
  <c r="W604" i="2"/>
  <c r="W601" i="2"/>
  <c r="W602" i="2"/>
  <c r="V358" i="2"/>
  <c r="V361" i="2"/>
  <c r="W325" i="2"/>
  <c r="W314" i="2"/>
  <c r="W414" i="2"/>
  <c r="W410" i="2"/>
  <c r="W606" i="2"/>
  <c r="W607" i="2"/>
  <c r="V348" i="2"/>
  <c r="V354" i="2"/>
  <c r="V353" i="2"/>
  <c r="W323" i="2"/>
  <c r="W320" i="2"/>
  <c r="W411" i="2"/>
  <c r="W412" i="2"/>
  <c r="W608" i="2"/>
  <c r="W599" i="2"/>
  <c r="V356" i="2"/>
  <c r="V359" i="2"/>
  <c r="W319" i="2"/>
  <c r="W312" i="2"/>
  <c r="W400" i="2"/>
  <c r="W404" i="2"/>
  <c r="W598" i="2"/>
  <c r="W613" i="2"/>
  <c r="V360" i="2"/>
  <c r="W315" i="2"/>
  <c r="W402" i="2"/>
  <c r="W612" i="2"/>
  <c r="L35" i="7"/>
  <c r="K89" i="7"/>
  <c r="K130" i="7" s="1"/>
  <c r="X609" i="2" s="1"/>
  <c r="V273" i="2"/>
  <c r="W225" i="2"/>
  <c r="W233" i="2"/>
  <c r="W227" i="2"/>
  <c r="W235" i="2"/>
  <c r="W221" i="2"/>
  <c r="W229" i="2"/>
  <c r="W223" i="2"/>
  <c r="W231" i="2"/>
  <c r="W226" i="2"/>
  <c r="W230" i="2"/>
  <c r="W234" i="2"/>
  <c r="W222" i="2"/>
  <c r="W224" i="2"/>
  <c r="W232" i="2"/>
  <c r="W228" i="2"/>
  <c r="W236" i="2"/>
  <c r="W220" i="2"/>
  <c r="X437" i="2"/>
  <c r="X445" i="2"/>
  <c r="X439" i="2"/>
  <c r="X447" i="2"/>
  <c r="X441" i="2"/>
  <c r="X449" i="2"/>
  <c r="X443" i="2"/>
  <c r="X451" i="2"/>
  <c r="X444" i="2"/>
  <c r="X446" i="2"/>
  <c r="X450" i="2"/>
  <c r="X438" i="2"/>
  <c r="X442" i="2"/>
  <c r="X436" i="2"/>
  <c r="X452" i="2"/>
  <c r="X448" i="2"/>
  <c r="X440" i="2"/>
  <c r="W242" i="2"/>
  <c r="W250" i="2"/>
  <c r="W244" i="2"/>
  <c r="W252" i="2"/>
  <c r="W238" i="2"/>
  <c r="W246" i="2"/>
  <c r="W254" i="2"/>
  <c r="W240" i="2"/>
  <c r="W248" i="2"/>
  <c r="W243" i="2"/>
  <c r="W247" i="2"/>
  <c r="W251" i="2"/>
  <c r="W239" i="2"/>
  <c r="W245" i="2"/>
  <c r="W253" i="2"/>
  <c r="W249" i="2"/>
  <c r="W241" i="2"/>
  <c r="X618" i="2"/>
  <c r="X626" i="2"/>
  <c r="X619" i="2"/>
  <c r="X627" i="2"/>
  <c r="X621" i="2"/>
  <c r="X629" i="2"/>
  <c r="X623" i="2"/>
  <c r="X631" i="2"/>
  <c r="X617" i="2"/>
  <c r="X625" i="2"/>
  <c r="X622" i="2"/>
  <c r="X620" i="2"/>
  <c r="X632" i="2"/>
  <c r="X630" i="2"/>
  <c r="X616" i="2"/>
  <c r="X628" i="2"/>
  <c r="X624" i="2"/>
  <c r="W188" i="2"/>
  <c r="W196" i="2"/>
  <c r="W197" i="2"/>
  <c r="W198" i="2"/>
  <c r="W199" i="2"/>
  <c r="W200" i="2"/>
  <c r="W184" i="2"/>
  <c r="W185" i="2"/>
  <c r="W186" i="2"/>
  <c r="W187" i="2"/>
  <c r="W190" i="2"/>
  <c r="W192" i="2"/>
  <c r="W194" i="2"/>
  <c r="W189" i="2"/>
  <c r="W191" i="2"/>
  <c r="W193" i="2"/>
  <c r="W195" i="2"/>
  <c r="W80" i="2"/>
  <c r="W82" i="2"/>
  <c r="W76" i="2"/>
  <c r="W86" i="2"/>
  <c r="W90" i="2"/>
  <c r="W78" i="2"/>
  <c r="W84" i="2"/>
  <c r="W92" i="2"/>
  <c r="W88" i="2"/>
  <c r="W79" i="2"/>
  <c r="W81" i="2"/>
  <c r="W83" i="2"/>
  <c r="W87" i="2"/>
  <c r="W89" i="2"/>
  <c r="W77" i="2"/>
  <c r="W91" i="2"/>
  <c r="W85" i="2"/>
  <c r="V201" i="2"/>
  <c r="V111" i="2"/>
  <c r="V579" i="2"/>
  <c r="W507" i="2"/>
  <c r="X635" i="2"/>
  <c r="X643" i="2"/>
  <c r="X636" i="2"/>
  <c r="X644" i="2"/>
  <c r="X638" i="2"/>
  <c r="X646" i="2"/>
  <c r="X640" i="2"/>
  <c r="X648" i="2"/>
  <c r="X634" i="2"/>
  <c r="X642" i="2"/>
  <c r="X650" i="2"/>
  <c r="X649" i="2"/>
  <c r="X647" i="2"/>
  <c r="X645" i="2"/>
  <c r="X641" i="2"/>
  <c r="X639" i="2"/>
  <c r="X637" i="2"/>
  <c r="V489" i="2"/>
  <c r="V183" i="2"/>
  <c r="W293" i="2"/>
  <c r="W301" i="2"/>
  <c r="W295" i="2"/>
  <c r="W303" i="2"/>
  <c r="W297" i="2"/>
  <c r="W305" i="2"/>
  <c r="W299" i="2"/>
  <c r="W307" i="2"/>
  <c r="W294" i="2"/>
  <c r="W298" i="2"/>
  <c r="W302" i="2"/>
  <c r="W306" i="2"/>
  <c r="W292" i="2"/>
  <c r="W300" i="2"/>
  <c r="W296" i="2"/>
  <c r="W304" i="2"/>
  <c r="W308" i="2"/>
  <c r="L33" i="7"/>
  <c r="L87" i="7" s="1"/>
  <c r="L128" i="7" s="1"/>
  <c r="W259" i="2"/>
  <c r="W267" i="2"/>
  <c r="W261" i="2"/>
  <c r="W269" i="2"/>
  <c r="W263" i="2"/>
  <c r="W271" i="2"/>
  <c r="W257" i="2"/>
  <c r="W265" i="2"/>
  <c r="W260" i="2"/>
  <c r="W264" i="2"/>
  <c r="W268" i="2"/>
  <c r="W256" i="2"/>
  <c r="W272" i="2"/>
  <c r="W258" i="2"/>
  <c r="W266" i="2"/>
  <c r="W262" i="2"/>
  <c r="W270" i="2"/>
  <c r="W633" i="2"/>
  <c r="V93" i="2"/>
  <c r="V129" i="2"/>
  <c r="W417" i="2"/>
  <c r="V363" i="2"/>
  <c r="V453" i="2"/>
  <c r="V543" i="2"/>
  <c r="W167" i="2"/>
  <c r="W171" i="2"/>
  <c r="W179" i="2"/>
  <c r="W168" i="2"/>
  <c r="W169" i="2"/>
  <c r="W170" i="2"/>
  <c r="W180" i="2"/>
  <c r="W181" i="2"/>
  <c r="W182" i="2"/>
  <c r="W174" i="2"/>
  <c r="W178" i="2"/>
  <c r="W175" i="2"/>
  <c r="W166" i="2"/>
  <c r="W172" i="2"/>
  <c r="W173" i="2"/>
  <c r="W176" i="2"/>
  <c r="W177" i="2"/>
  <c r="X479" i="2"/>
  <c r="X487" i="2"/>
  <c r="X473" i="2"/>
  <c r="X481" i="2"/>
  <c r="X475" i="2"/>
  <c r="X483" i="2"/>
  <c r="X477" i="2"/>
  <c r="X485" i="2"/>
  <c r="X478" i="2"/>
  <c r="X480" i="2"/>
  <c r="X484" i="2"/>
  <c r="X472" i="2"/>
  <c r="X488" i="2"/>
  <c r="X476" i="2"/>
  <c r="X486" i="2"/>
  <c r="X482" i="2"/>
  <c r="X474" i="2"/>
  <c r="W133" i="2"/>
  <c r="W141" i="2"/>
  <c r="W135" i="2"/>
  <c r="W143" i="2"/>
  <c r="W137" i="2"/>
  <c r="W145" i="2"/>
  <c r="W138" i="2"/>
  <c r="W134" i="2"/>
  <c r="W144" i="2"/>
  <c r="W140" i="2"/>
  <c r="W139" i="2"/>
  <c r="W136" i="2"/>
  <c r="W131" i="2"/>
  <c r="W146" i="2"/>
  <c r="W142" i="2"/>
  <c r="W130" i="2"/>
  <c r="W132" i="2"/>
  <c r="V219" i="2"/>
  <c r="V291" i="2"/>
  <c r="W386" i="2"/>
  <c r="W394" i="2"/>
  <c r="W388" i="2"/>
  <c r="W396" i="2"/>
  <c r="W382" i="2"/>
  <c r="W390" i="2"/>
  <c r="W398" i="2"/>
  <c r="W384" i="2"/>
  <c r="W393" i="2"/>
  <c r="W383" i="2"/>
  <c r="W392" i="2"/>
  <c r="W391" i="2"/>
  <c r="W387" i="2"/>
  <c r="W397" i="2"/>
  <c r="W395" i="2"/>
  <c r="W389" i="2"/>
  <c r="W385" i="2"/>
  <c r="W61" i="2"/>
  <c r="W63" i="2"/>
  <c r="W71" i="2"/>
  <c r="W65" i="2"/>
  <c r="W73" i="2"/>
  <c r="W59" i="2"/>
  <c r="W67" i="2"/>
  <c r="W60" i="2"/>
  <c r="W66" i="2"/>
  <c r="W62" i="2"/>
  <c r="W72" i="2"/>
  <c r="W69" i="2"/>
  <c r="W74" i="2"/>
  <c r="W58" i="2"/>
  <c r="W68" i="2"/>
  <c r="W70" i="2"/>
  <c r="W64" i="2"/>
  <c r="W276" i="2"/>
  <c r="W284" i="2"/>
  <c r="W278" i="2"/>
  <c r="W286" i="2"/>
  <c r="W280" i="2"/>
  <c r="W288" i="2"/>
  <c r="W274" i="2"/>
  <c r="W282" i="2"/>
  <c r="W290" i="2"/>
  <c r="W277" i="2"/>
  <c r="W281" i="2"/>
  <c r="W285" i="2"/>
  <c r="W289" i="2"/>
  <c r="W279" i="2"/>
  <c r="W287" i="2"/>
  <c r="W283" i="2"/>
  <c r="W275" i="2"/>
  <c r="W455" i="2"/>
  <c r="W463" i="2"/>
  <c r="W457" i="2"/>
  <c r="W465" i="2"/>
  <c r="W459" i="2"/>
  <c r="W467" i="2"/>
  <c r="W461" i="2"/>
  <c r="W469" i="2"/>
  <c r="W454" i="2"/>
  <c r="W470" i="2"/>
  <c r="W456" i="2"/>
  <c r="W460" i="2"/>
  <c r="W464" i="2"/>
  <c r="W468" i="2"/>
  <c r="W466" i="2"/>
  <c r="W462" i="2"/>
  <c r="W458" i="2"/>
  <c r="W116" i="2"/>
  <c r="W124" i="2"/>
  <c r="W118" i="2"/>
  <c r="W126" i="2"/>
  <c r="W112" i="2"/>
  <c r="W120" i="2"/>
  <c r="W128" i="2"/>
  <c r="W117" i="2"/>
  <c r="W127" i="2"/>
  <c r="W123" i="2"/>
  <c r="W122" i="2"/>
  <c r="W121" i="2"/>
  <c r="W115" i="2"/>
  <c r="W113" i="2"/>
  <c r="W125" i="2"/>
  <c r="W119" i="2"/>
  <c r="W114" i="2"/>
  <c r="U327" i="2"/>
  <c r="V75" i="2"/>
  <c r="W205" i="2"/>
  <c r="W216" i="2"/>
  <c r="W218" i="2"/>
  <c r="W202" i="2"/>
  <c r="W203" i="2"/>
  <c r="W204" i="2"/>
  <c r="W212" i="2"/>
  <c r="W214" i="2"/>
  <c r="W213" i="2"/>
  <c r="W217" i="2"/>
  <c r="W209" i="2"/>
  <c r="W206" i="2"/>
  <c r="W210" i="2"/>
  <c r="W207" i="2"/>
  <c r="W211" i="2"/>
  <c r="W208" i="2"/>
  <c r="W215" i="2"/>
  <c r="W548" i="2"/>
  <c r="W556" i="2"/>
  <c r="W550" i="2"/>
  <c r="W558" i="2"/>
  <c r="W544" i="2"/>
  <c r="W552" i="2"/>
  <c r="W546" i="2"/>
  <c r="W554" i="2"/>
  <c r="W555" i="2"/>
  <c r="W557" i="2"/>
  <c r="W545" i="2"/>
  <c r="W549" i="2"/>
  <c r="W553" i="2"/>
  <c r="W560" i="2"/>
  <c r="W551" i="2"/>
  <c r="W547" i="2"/>
  <c r="W559" i="2"/>
  <c r="W23" i="2"/>
  <c r="W31" i="2"/>
  <c r="W25" i="2"/>
  <c r="W33" i="2"/>
  <c r="W27" i="2"/>
  <c r="W35" i="2"/>
  <c r="W26" i="2"/>
  <c r="W36" i="2"/>
  <c r="W22" i="2"/>
  <c r="W32" i="2"/>
  <c r="W38" i="2"/>
  <c r="W37" i="2"/>
  <c r="W30" i="2"/>
  <c r="W28" i="2"/>
  <c r="W24" i="2"/>
  <c r="W34" i="2"/>
  <c r="W29" i="2"/>
  <c r="U3" i="2"/>
  <c r="X513" i="2"/>
  <c r="X521" i="2"/>
  <c r="X515" i="2"/>
  <c r="X523" i="2"/>
  <c r="X509" i="2"/>
  <c r="X517" i="2"/>
  <c r="X511" i="2"/>
  <c r="X519" i="2"/>
  <c r="X512" i="2"/>
  <c r="X514" i="2"/>
  <c r="X518" i="2"/>
  <c r="X522" i="2"/>
  <c r="X510" i="2"/>
  <c r="X516" i="2"/>
  <c r="X508" i="2"/>
  <c r="X524" i="2"/>
  <c r="X520" i="2"/>
  <c r="V328" i="2"/>
  <c r="V336" i="2"/>
  <c r="V344" i="2"/>
  <c r="V330" i="2"/>
  <c r="V338" i="2"/>
  <c r="V332" i="2"/>
  <c r="V340" i="2"/>
  <c r="V334" i="2"/>
  <c r="V342" i="2"/>
  <c r="V337" i="2"/>
  <c r="V341" i="2"/>
  <c r="V329" i="2"/>
  <c r="V333" i="2"/>
  <c r="V331" i="2"/>
  <c r="V339" i="2"/>
  <c r="V343" i="2"/>
  <c r="V335" i="2"/>
  <c r="X428" i="2"/>
  <c r="X418" i="2"/>
  <c r="X422" i="2"/>
  <c r="X430" i="2"/>
  <c r="X424" i="2"/>
  <c r="X432" i="2"/>
  <c r="X426" i="2"/>
  <c r="X434" i="2"/>
  <c r="X427" i="2"/>
  <c r="X420" i="2"/>
  <c r="X429" i="2"/>
  <c r="X433" i="2"/>
  <c r="X419" i="2"/>
  <c r="X421" i="2"/>
  <c r="X425" i="2"/>
  <c r="X431" i="2"/>
  <c r="X423" i="2"/>
  <c r="W40" i="2"/>
  <c r="W48" i="2"/>
  <c r="W42" i="2"/>
  <c r="W50" i="2"/>
  <c r="W44" i="2"/>
  <c r="W52" i="2"/>
  <c r="W43" i="2"/>
  <c r="W54" i="2"/>
  <c r="W49" i="2"/>
  <c r="W56" i="2"/>
  <c r="W53" i="2"/>
  <c r="W55" i="2"/>
  <c r="W51" i="2"/>
  <c r="W46" i="2"/>
  <c r="W41" i="2"/>
  <c r="W47" i="2"/>
  <c r="W45" i="2"/>
  <c r="W150" i="2"/>
  <c r="W158" i="2"/>
  <c r="W152" i="2"/>
  <c r="W160" i="2"/>
  <c r="W154" i="2"/>
  <c r="W162" i="2"/>
  <c r="W156" i="2"/>
  <c r="W155" i="2"/>
  <c r="W151" i="2"/>
  <c r="W161" i="2"/>
  <c r="W157" i="2"/>
  <c r="W159" i="2"/>
  <c r="W149" i="2"/>
  <c r="W164" i="2"/>
  <c r="W153" i="2"/>
  <c r="W148" i="2"/>
  <c r="W163" i="2"/>
  <c r="V21" i="2"/>
  <c r="V237" i="2"/>
  <c r="L8" i="7"/>
  <c r="L62" i="7" s="1"/>
  <c r="L103" i="7" s="1"/>
  <c r="V255" i="2"/>
  <c r="V39" i="2"/>
  <c r="V147" i="2"/>
  <c r="W615" i="2"/>
  <c r="V57" i="2"/>
  <c r="W435" i="2"/>
  <c r="W531" i="2"/>
  <c r="W539" i="2"/>
  <c r="W533" i="2"/>
  <c r="W541" i="2"/>
  <c r="W527" i="2"/>
  <c r="W535" i="2"/>
  <c r="W529" i="2"/>
  <c r="W537" i="2"/>
  <c r="W538" i="2"/>
  <c r="W540" i="2"/>
  <c r="W528" i="2"/>
  <c r="W532" i="2"/>
  <c r="W536" i="2"/>
  <c r="W542" i="2"/>
  <c r="W534" i="2"/>
  <c r="W530" i="2"/>
  <c r="W526" i="2"/>
  <c r="X408" i="2"/>
  <c r="W567" i="2"/>
  <c r="W563" i="2"/>
  <c r="W571" i="2"/>
  <c r="W566" i="2"/>
  <c r="W572" i="2"/>
  <c r="W576" i="2"/>
  <c r="W565" i="2"/>
  <c r="W577" i="2"/>
  <c r="W570" i="2"/>
  <c r="W562" i="2"/>
  <c r="W568" i="2"/>
  <c r="W573" i="2"/>
  <c r="W574" i="2"/>
  <c r="W575" i="2"/>
  <c r="W569" i="2"/>
  <c r="W578" i="2"/>
  <c r="W564" i="2"/>
  <c r="W497" i="2"/>
  <c r="W505" i="2"/>
  <c r="W491" i="2"/>
  <c r="W499" i="2"/>
  <c r="W493" i="2"/>
  <c r="W501" i="2"/>
  <c r="W495" i="2"/>
  <c r="W503" i="2"/>
  <c r="W504" i="2"/>
  <c r="W490" i="2"/>
  <c r="W506" i="2"/>
  <c r="W494" i="2"/>
  <c r="W498" i="2"/>
  <c r="W502" i="2"/>
  <c r="W496" i="2"/>
  <c r="W492" i="2"/>
  <c r="W500" i="2"/>
  <c r="W369" i="2"/>
  <c r="W377" i="2"/>
  <c r="W371" i="2"/>
  <c r="W379" i="2"/>
  <c r="W365" i="2"/>
  <c r="W373" i="2"/>
  <c r="W367" i="2"/>
  <c r="W375" i="2"/>
  <c r="W378" i="2"/>
  <c r="W366" i="2"/>
  <c r="W370" i="2"/>
  <c r="W374" i="2"/>
  <c r="W368" i="2"/>
  <c r="W364" i="2"/>
  <c r="W372" i="2"/>
  <c r="W380" i="2"/>
  <c r="W376" i="2"/>
  <c r="W99" i="2"/>
  <c r="W107" i="2"/>
  <c r="W101" i="2"/>
  <c r="W109" i="2"/>
  <c r="W95" i="2"/>
  <c r="W103" i="2"/>
  <c r="W106" i="2"/>
  <c r="W105" i="2"/>
  <c r="W94" i="2"/>
  <c r="W104" i="2"/>
  <c r="W100" i="2"/>
  <c r="W110" i="2"/>
  <c r="W102" i="2"/>
  <c r="W97" i="2"/>
  <c r="W108" i="2"/>
  <c r="W98" i="2"/>
  <c r="W96" i="2"/>
  <c r="V7" i="2"/>
  <c r="V15" i="2"/>
  <c r="V9" i="2"/>
  <c r="V17" i="2"/>
  <c r="V11" i="2"/>
  <c r="V19" i="2"/>
  <c r="V8" i="2"/>
  <c r="V18" i="2"/>
  <c r="V14" i="2"/>
  <c r="V13" i="2"/>
  <c r="V12" i="2"/>
  <c r="V20" i="2"/>
  <c r="V10" i="2"/>
  <c r="V5" i="2"/>
  <c r="V6" i="2"/>
  <c r="V16" i="2"/>
  <c r="V165" i="2"/>
  <c r="V525" i="2"/>
  <c r="V381" i="2"/>
  <c r="V561" i="2"/>
  <c r="W585" i="2"/>
  <c r="W593" i="2"/>
  <c r="W586" i="2"/>
  <c r="W594" i="2"/>
  <c r="W580" i="2"/>
  <c r="W588" i="2"/>
  <c r="W596" i="2"/>
  <c r="W582" i="2"/>
  <c r="W590" i="2"/>
  <c r="W584" i="2"/>
  <c r="W592" i="2"/>
  <c r="W587" i="2"/>
  <c r="W583" i="2"/>
  <c r="W595" i="2"/>
  <c r="W581" i="2"/>
  <c r="W591" i="2"/>
  <c r="W589" i="2"/>
  <c r="W471" i="2"/>
  <c r="L26" i="7"/>
  <c r="L80" i="7" s="1"/>
  <c r="L121" i="7" s="1"/>
  <c r="L2" i="7"/>
  <c r="L56" i="7" s="1"/>
  <c r="L97" i="7" s="1"/>
  <c r="L28" i="7"/>
  <c r="L82" i="7" s="1"/>
  <c r="L123" i="7" s="1"/>
  <c r="L21" i="7"/>
  <c r="L75" i="7" s="1"/>
  <c r="L116" i="7" s="1"/>
  <c r="J94" i="7"/>
  <c r="L4" i="7"/>
  <c r="L58" i="7" s="1"/>
  <c r="L99" i="7" s="1"/>
  <c r="L31" i="7"/>
  <c r="L85" i="7" s="1"/>
  <c r="L126" i="7" s="1"/>
  <c r="L39" i="7"/>
  <c r="L93" i="7" s="1"/>
  <c r="L134" i="7" s="1"/>
  <c r="L32" i="7"/>
  <c r="L86" i="7" s="1"/>
  <c r="L127" i="7" s="1"/>
  <c r="M29" i="7"/>
  <c r="M83" i="7" s="1"/>
  <c r="M124" i="7" s="1"/>
  <c r="L22" i="7"/>
  <c r="L76" i="7" s="1"/>
  <c r="L117" i="7" s="1"/>
  <c r="X401" i="2"/>
  <c r="L14" i="7"/>
  <c r="L68" i="7" s="1"/>
  <c r="L109" i="7" s="1"/>
  <c r="M23" i="7"/>
  <c r="M77" i="7" s="1"/>
  <c r="M118" i="7" s="1"/>
  <c r="L5" i="7"/>
  <c r="L59" i="7" s="1"/>
  <c r="L100" i="7" s="1"/>
  <c r="L13" i="7"/>
  <c r="L67" i="7" s="1"/>
  <c r="L108" i="7" s="1"/>
  <c r="M25" i="7"/>
  <c r="M79" i="7" s="1"/>
  <c r="M120" i="7" s="1"/>
  <c r="L3" i="7"/>
  <c r="L57" i="7" s="1"/>
  <c r="L98" i="7" s="1"/>
  <c r="M37" i="7"/>
  <c r="M91" i="7" s="1"/>
  <c r="M132" i="7" s="1"/>
  <c r="L11" i="7"/>
  <c r="L65" i="7" s="1"/>
  <c r="L106" i="7" s="1"/>
  <c r="M27" i="7"/>
  <c r="M81" i="7" s="1"/>
  <c r="M122" i="7" s="1"/>
  <c r="L30" i="7"/>
  <c r="L84" i="7" s="1"/>
  <c r="L125" i="7" s="1"/>
  <c r="M34" i="7"/>
  <c r="M88" i="7" s="1"/>
  <c r="M129" i="7" s="1"/>
  <c r="L17" i="7"/>
  <c r="L71" i="7" s="1"/>
  <c r="L112" i="7" s="1"/>
  <c r="X325" i="2"/>
  <c r="W356" i="2"/>
  <c r="L9" i="7"/>
  <c r="L63" i="7" s="1"/>
  <c r="L104" i="7" s="1"/>
  <c r="L19" i="7"/>
  <c r="L73" i="7" s="1"/>
  <c r="L114" i="7" s="1"/>
  <c r="L6" i="7"/>
  <c r="L60" i="7" s="1"/>
  <c r="L101" i="7" s="1"/>
  <c r="M36" i="7"/>
  <c r="M90" i="7" s="1"/>
  <c r="M131" i="7" s="1"/>
  <c r="L20" i="7"/>
  <c r="L74" i="7" s="1"/>
  <c r="L115" i="7" s="1"/>
  <c r="L12" i="7"/>
  <c r="L66" i="7" s="1"/>
  <c r="L107" i="7" s="1"/>
  <c r="L16" i="7"/>
  <c r="L70" i="7" s="1"/>
  <c r="L111" i="7" s="1"/>
  <c r="V4" i="2"/>
  <c r="I135" i="7"/>
  <c r="L10" i="7"/>
  <c r="L64" i="7" s="1"/>
  <c r="L105" i="7" s="1"/>
  <c r="M24" i="7"/>
  <c r="M78" i="7" s="1"/>
  <c r="M119" i="7" s="1"/>
  <c r="L15" i="7"/>
  <c r="L69" i="7" s="1"/>
  <c r="L110" i="7" s="1"/>
  <c r="L7" i="7"/>
  <c r="L61" i="7" s="1"/>
  <c r="L102" i="7" s="1"/>
  <c r="M18" i="7" l="1"/>
  <c r="M72" i="7" s="1"/>
  <c r="M113" i="7" s="1"/>
  <c r="X602" i="2"/>
  <c r="U1" i="2"/>
  <c r="Y1175" i="2"/>
  <c r="Y1181" i="2"/>
  <c r="Y1185" i="2"/>
  <c r="Y1186" i="2"/>
  <c r="Y1177" i="2"/>
  <c r="Y1178" i="2"/>
  <c r="Y1174" i="2"/>
  <c r="Y1184" i="2"/>
  <c r="Y1182" i="2"/>
  <c r="Y1188" i="2"/>
  <c r="Y1176" i="2"/>
  <c r="Y1180" i="2"/>
  <c r="Y1187" i="2"/>
  <c r="Y1179" i="2"/>
  <c r="Y1190" i="2"/>
  <c r="Y1183" i="2"/>
  <c r="Y1189" i="2"/>
  <c r="X1173" i="2"/>
  <c r="N38" i="7"/>
  <c r="M92" i="7"/>
  <c r="M133" i="7" s="1"/>
  <c r="X651" i="2"/>
  <c r="Y667" i="2"/>
  <c r="Y668" i="2"/>
  <c r="Y653" i="2"/>
  <c r="Y657" i="2"/>
  <c r="Y661" i="2"/>
  <c r="Y655" i="2"/>
  <c r="Y665" i="2"/>
  <c r="Y663" i="2"/>
  <c r="Y659" i="2"/>
  <c r="Y666" i="2"/>
  <c r="Y654" i="2"/>
  <c r="Y660" i="2"/>
  <c r="Y656" i="2"/>
  <c r="Y658" i="2"/>
  <c r="Y662" i="2"/>
  <c r="Y664" i="2"/>
  <c r="Y652" i="2"/>
  <c r="V345" i="2"/>
  <c r="X414" i="2"/>
  <c r="W359" i="2"/>
  <c r="W348" i="2"/>
  <c r="X316" i="2"/>
  <c r="X318" i="2"/>
  <c r="W309" i="2"/>
  <c r="W399" i="2"/>
  <c r="W597" i="2"/>
  <c r="X600" i="2"/>
  <c r="X317" i="2"/>
  <c r="X409" i="2"/>
  <c r="X406" i="2"/>
  <c r="W357" i="2"/>
  <c r="W362" i="2"/>
  <c r="X611" i="2"/>
  <c r="X614" i="2"/>
  <c r="X601" i="2"/>
  <c r="X324" i="2"/>
  <c r="X323" i="2"/>
  <c r="X407" i="2"/>
  <c r="X412" i="2"/>
  <c r="W353" i="2"/>
  <c r="W354" i="2"/>
  <c r="X599" i="2"/>
  <c r="X606" i="2"/>
  <c r="X320" i="2"/>
  <c r="X315" i="2"/>
  <c r="X405" i="2"/>
  <c r="X404" i="2"/>
  <c r="W349" i="2"/>
  <c r="W346" i="2"/>
  <c r="X613" i="2"/>
  <c r="X598" i="2"/>
  <c r="X312" i="2"/>
  <c r="X321" i="2"/>
  <c r="X413" i="2"/>
  <c r="X415" i="2"/>
  <c r="X402" i="2"/>
  <c r="W361" i="2"/>
  <c r="W360" i="2"/>
  <c r="X603" i="2"/>
  <c r="X612" i="2"/>
  <c r="X314" i="2"/>
  <c r="X313" i="2"/>
  <c r="X403" i="2"/>
  <c r="X411" i="2"/>
  <c r="W351" i="2"/>
  <c r="W358" i="2"/>
  <c r="W352" i="2"/>
  <c r="X605" i="2"/>
  <c r="X604" i="2"/>
  <c r="X326" i="2"/>
  <c r="X319" i="2"/>
  <c r="X416" i="2"/>
  <c r="X400" i="2"/>
  <c r="W355" i="2"/>
  <c r="W350" i="2"/>
  <c r="X607" i="2"/>
  <c r="X610" i="2"/>
  <c r="X310" i="2"/>
  <c r="X311" i="2"/>
  <c r="X410" i="2"/>
  <c r="W347" i="2"/>
  <c r="X608" i="2"/>
  <c r="X322" i="2"/>
  <c r="M35" i="7"/>
  <c r="L89" i="7"/>
  <c r="L130" i="7" s="1"/>
  <c r="Y600" i="2" s="1"/>
  <c r="W219" i="2"/>
  <c r="Y436" i="2"/>
  <c r="Y444" i="2"/>
  <c r="Y452" i="2"/>
  <c r="Y438" i="2"/>
  <c r="Y446" i="2"/>
  <c r="Y440" i="2"/>
  <c r="Y448" i="2"/>
  <c r="Y442" i="2"/>
  <c r="Y450" i="2"/>
  <c r="Y451" i="2"/>
  <c r="Y437" i="2"/>
  <c r="Y441" i="2"/>
  <c r="Y445" i="2"/>
  <c r="Y449" i="2"/>
  <c r="Y447" i="2"/>
  <c r="Y443" i="2"/>
  <c r="Y439" i="2"/>
  <c r="W93" i="2"/>
  <c r="M8" i="7"/>
  <c r="M62" i="7" s="1"/>
  <c r="M103" i="7" s="1"/>
  <c r="W21" i="2"/>
  <c r="W201" i="2"/>
  <c r="W129" i="2"/>
  <c r="X584" i="2"/>
  <c r="X592" i="2"/>
  <c r="X585" i="2"/>
  <c r="X593" i="2"/>
  <c r="X587" i="2"/>
  <c r="X595" i="2"/>
  <c r="X581" i="2"/>
  <c r="X589" i="2"/>
  <c r="X583" i="2"/>
  <c r="X591" i="2"/>
  <c r="X582" i="2"/>
  <c r="X594" i="2"/>
  <c r="X580" i="2"/>
  <c r="X590" i="2"/>
  <c r="X588" i="2"/>
  <c r="X586" i="2"/>
  <c r="X596" i="2"/>
  <c r="W291" i="2"/>
  <c r="W75" i="2"/>
  <c r="W489" i="2"/>
  <c r="X115" i="2"/>
  <c r="X123" i="2"/>
  <c r="X117" i="2"/>
  <c r="X125" i="2"/>
  <c r="X119" i="2"/>
  <c r="X127" i="2"/>
  <c r="X114" i="2"/>
  <c r="X124" i="2"/>
  <c r="X113" i="2"/>
  <c r="X112" i="2"/>
  <c r="X118" i="2"/>
  <c r="X128" i="2"/>
  <c r="X120" i="2"/>
  <c r="X122" i="2"/>
  <c r="X126" i="2"/>
  <c r="X116" i="2"/>
  <c r="X121" i="2"/>
  <c r="M33" i="7"/>
  <c r="M87" i="7" s="1"/>
  <c r="M128" i="7" s="1"/>
  <c r="W237" i="2"/>
  <c r="X435" i="2"/>
  <c r="X22" i="2"/>
  <c r="X30" i="2"/>
  <c r="X38" i="2"/>
  <c r="X24" i="2"/>
  <c r="X32" i="2"/>
  <c r="X26" i="2"/>
  <c r="X34" i="2"/>
  <c r="X23" i="2"/>
  <c r="X33" i="2"/>
  <c r="X29" i="2"/>
  <c r="X28" i="2"/>
  <c r="X27" i="2"/>
  <c r="X35" i="2"/>
  <c r="X25" i="2"/>
  <c r="X31" i="2"/>
  <c r="X36" i="2"/>
  <c r="X37" i="2"/>
  <c r="X507" i="2"/>
  <c r="Y427" i="2"/>
  <c r="Y419" i="2"/>
  <c r="Y420" i="2"/>
  <c r="Y421" i="2"/>
  <c r="Y429" i="2"/>
  <c r="Y423" i="2"/>
  <c r="Y431" i="2"/>
  <c r="Y425" i="2"/>
  <c r="Y433" i="2"/>
  <c r="Y434" i="2"/>
  <c r="Y424" i="2"/>
  <c r="Y428" i="2"/>
  <c r="Y432" i="2"/>
  <c r="Y430" i="2"/>
  <c r="Y426" i="2"/>
  <c r="Y422" i="2"/>
  <c r="Y418" i="2"/>
  <c r="X79" i="2"/>
  <c r="X87" i="2"/>
  <c r="X81" i="2"/>
  <c r="X80" i="2"/>
  <c r="X89" i="2"/>
  <c r="X85" i="2"/>
  <c r="X91" i="2"/>
  <c r="X77" i="2"/>
  <c r="X83" i="2"/>
  <c r="X86" i="2"/>
  <c r="X90" i="2"/>
  <c r="X78" i="2"/>
  <c r="X82" i="2"/>
  <c r="X76" i="2"/>
  <c r="X88" i="2"/>
  <c r="X92" i="2"/>
  <c r="X84" i="2"/>
  <c r="W561" i="2"/>
  <c r="W147" i="2"/>
  <c r="W39" i="2"/>
  <c r="X417" i="2"/>
  <c r="W273" i="2"/>
  <c r="W381" i="2"/>
  <c r="W255" i="2"/>
  <c r="W453" i="2"/>
  <c r="Y617" i="2"/>
  <c r="Y625" i="2"/>
  <c r="Y618" i="2"/>
  <c r="Y626" i="2"/>
  <c r="Y620" i="2"/>
  <c r="Y628" i="2"/>
  <c r="Y622" i="2"/>
  <c r="Y630" i="2"/>
  <c r="Y616" i="2"/>
  <c r="Y624" i="2"/>
  <c r="Y632" i="2"/>
  <c r="Y629" i="2"/>
  <c r="Y627" i="2"/>
  <c r="Y623" i="2"/>
  <c r="Y621" i="2"/>
  <c r="Y619" i="2"/>
  <c r="Y631" i="2"/>
  <c r="X566" i="2"/>
  <c r="X574" i="2"/>
  <c r="X562" i="2"/>
  <c r="X570" i="2"/>
  <c r="X573" i="2"/>
  <c r="X575" i="2"/>
  <c r="X572" i="2"/>
  <c r="X576" i="2"/>
  <c r="X564" i="2"/>
  <c r="X578" i="2"/>
  <c r="X569" i="2"/>
  <c r="X567" i="2"/>
  <c r="X571" i="2"/>
  <c r="X565" i="2"/>
  <c r="X568" i="2"/>
  <c r="X577" i="2"/>
  <c r="X563" i="2"/>
  <c r="X204" i="2"/>
  <c r="X215" i="2"/>
  <c r="X217" i="2"/>
  <c r="X205" i="2"/>
  <c r="X206" i="2"/>
  <c r="X207" i="2"/>
  <c r="X208" i="2"/>
  <c r="X209" i="2"/>
  <c r="X210" i="2"/>
  <c r="X211" i="2"/>
  <c r="X213" i="2"/>
  <c r="X216" i="2"/>
  <c r="X203" i="2"/>
  <c r="X202" i="2"/>
  <c r="X212" i="2"/>
  <c r="X218" i="2"/>
  <c r="X214" i="2"/>
  <c r="X275" i="2"/>
  <c r="X283" i="2"/>
  <c r="X277" i="2"/>
  <c r="X285" i="2"/>
  <c r="X279" i="2"/>
  <c r="X287" i="2"/>
  <c r="X281" i="2"/>
  <c r="X289" i="2"/>
  <c r="X284" i="2"/>
  <c r="X288" i="2"/>
  <c r="X276" i="2"/>
  <c r="X280" i="2"/>
  <c r="X274" i="2"/>
  <c r="X278" i="2"/>
  <c r="X286" i="2"/>
  <c r="X282" i="2"/>
  <c r="X290" i="2"/>
  <c r="X224" i="2"/>
  <c r="X232" i="2"/>
  <c r="X226" i="2"/>
  <c r="X234" i="2"/>
  <c r="X220" i="2"/>
  <c r="X228" i="2"/>
  <c r="X236" i="2"/>
  <c r="X222" i="2"/>
  <c r="X230" i="2"/>
  <c r="X233" i="2"/>
  <c r="X221" i="2"/>
  <c r="X225" i="2"/>
  <c r="X229" i="2"/>
  <c r="X231" i="2"/>
  <c r="X235" i="2"/>
  <c r="X227" i="2"/>
  <c r="X223" i="2"/>
  <c r="X187" i="2"/>
  <c r="X195" i="2"/>
  <c r="X188" i="2"/>
  <c r="X189" i="2"/>
  <c r="X190" i="2"/>
  <c r="X191" i="2"/>
  <c r="X192" i="2"/>
  <c r="X193" i="2"/>
  <c r="X194" i="2"/>
  <c r="X196" i="2"/>
  <c r="X198" i="2"/>
  <c r="X200" i="2"/>
  <c r="X197" i="2"/>
  <c r="X199" i="2"/>
  <c r="X184" i="2"/>
  <c r="X186" i="2"/>
  <c r="X185" i="2"/>
  <c r="X166" i="2"/>
  <c r="X170" i="2"/>
  <c r="X178" i="2"/>
  <c r="X171" i="2"/>
  <c r="X172" i="2"/>
  <c r="X173" i="2"/>
  <c r="X174" i="2"/>
  <c r="X175" i="2"/>
  <c r="X176" i="2"/>
  <c r="X177" i="2"/>
  <c r="X167" i="2"/>
  <c r="X168" i="2"/>
  <c r="X169" i="2"/>
  <c r="X182" i="2"/>
  <c r="X179" i="2"/>
  <c r="X180" i="2"/>
  <c r="X181" i="2"/>
  <c r="X241" i="2"/>
  <c r="X249" i="2"/>
  <c r="X243" i="2"/>
  <c r="X251" i="2"/>
  <c r="X245" i="2"/>
  <c r="X253" i="2"/>
  <c r="X239" i="2"/>
  <c r="X247" i="2"/>
  <c r="X250" i="2"/>
  <c r="X238" i="2"/>
  <c r="X254" i="2"/>
  <c r="X242" i="2"/>
  <c r="X246" i="2"/>
  <c r="X240" i="2"/>
  <c r="X244" i="2"/>
  <c r="X252" i="2"/>
  <c r="X248" i="2"/>
  <c r="X98" i="2"/>
  <c r="X106" i="2"/>
  <c r="X100" i="2"/>
  <c r="X108" i="2"/>
  <c r="X94" i="2"/>
  <c r="X102" i="2"/>
  <c r="X110" i="2"/>
  <c r="X96" i="2"/>
  <c r="X95" i="2"/>
  <c r="X101" i="2"/>
  <c r="X97" i="2"/>
  <c r="X107" i="2"/>
  <c r="X99" i="2"/>
  <c r="X109" i="2"/>
  <c r="X104" i="2"/>
  <c r="X105" i="2"/>
  <c r="X103" i="2"/>
  <c r="Y634" i="2"/>
  <c r="Y642" i="2"/>
  <c r="Y650" i="2"/>
  <c r="Y635" i="2"/>
  <c r="Y643" i="2"/>
  <c r="Y637" i="2"/>
  <c r="Y645" i="2"/>
  <c r="Y639" i="2"/>
  <c r="Y647" i="2"/>
  <c r="Y641" i="2"/>
  <c r="Y649" i="2"/>
  <c r="Y640" i="2"/>
  <c r="Y638" i="2"/>
  <c r="Y646" i="2"/>
  <c r="Y644" i="2"/>
  <c r="Y636" i="2"/>
  <c r="Y648" i="2"/>
  <c r="X368" i="2"/>
  <c r="X376" i="2"/>
  <c r="X370" i="2"/>
  <c r="X378" i="2"/>
  <c r="X364" i="2"/>
  <c r="X372" i="2"/>
  <c r="X380" i="2"/>
  <c r="X366" i="2"/>
  <c r="X374" i="2"/>
  <c r="X369" i="2"/>
  <c r="X373" i="2"/>
  <c r="X377" i="2"/>
  <c r="X365" i="2"/>
  <c r="X367" i="2"/>
  <c r="X375" i="2"/>
  <c r="X371" i="2"/>
  <c r="X379" i="2"/>
  <c r="X454" i="2"/>
  <c r="X462" i="2"/>
  <c r="X470" i="2"/>
  <c r="X456" i="2"/>
  <c r="X464" i="2"/>
  <c r="X458" i="2"/>
  <c r="X466" i="2"/>
  <c r="X460" i="2"/>
  <c r="X468" i="2"/>
  <c r="X461" i="2"/>
  <c r="X463" i="2"/>
  <c r="X467" i="2"/>
  <c r="X455" i="2"/>
  <c r="X459" i="2"/>
  <c r="X457" i="2"/>
  <c r="X469" i="2"/>
  <c r="X465" i="2"/>
  <c r="W579" i="2"/>
  <c r="W363" i="2"/>
  <c r="V327" i="2"/>
  <c r="W111" i="2"/>
  <c r="W57" i="2"/>
  <c r="Y411" i="2"/>
  <c r="Y478" i="2"/>
  <c r="Y486" i="2"/>
  <c r="Y472" i="2"/>
  <c r="Y480" i="2"/>
  <c r="Y488" i="2"/>
  <c r="Y474" i="2"/>
  <c r="Y482" i="2"/>
  <c r="Y476" i="2"/>
  <c r="Y484" i="2"/>
  <c r="Y485" i="2"/>
  <c r="Y487" i="2"/>
  <c r="Y475" i="2"/>
  <c r="Y479" i="2"/>
  <c r="Y483" i="2"/>
  <c r="Y481" i="2"/>
  <c r="Y477" i="2"/>
  <c r="Y473" i="2"/>
  <c r="W335" i="2"/>
  <c r="W343" i="2"/>
  <c r="W329" i="2"/>
  <c r="W337" i="2"/>
  <c r="W331" i="2"/>
  <c r="W339" i="2"/>
  <c r="W333" i="2"/>
  <c r="W341" i="2"/>
  <c r="W328" i="2"/>
  <c r="W344" i="2"/>
  <c r="W332" i="2"/>
  <c r="W336" i="2"/>
  <c r="W340" i="2"/>
  <c r="W334" i="2"/>
  <c r="W330" i="2"/>
  <c r="W338" i="2"/>
  <c r="W342" i="2"/>
  <c r="X547" i="2"/>
  <c r="X555" i="2"/>
  <c r="X549" i="2"/>
  <c r="X557" i="2"/>
  <c r="X551" i="2"/>
  <c r="X559" i="2"/>
  <c r="X545" i="2"/>
  <c r="X553" i="2"/>
  <c r="X546" i="2"/>
  <c r="X560" i="2"/>
  <c r="X548" i="2"/>
  <c r="X552" i="2"/>
  <c r="X556" i="2"/>
  <c r="X544" i="2"/>
  <c r="X558" i="2"/>
  <c r="X554" i="2"/>
  <c r="X550" i="2"/>
  <c r="W525" i="2"/>
  <c r="W543" i="2"/>
  <c r="X633" i="2"/>
  <c r="W183" i="2"/>
  <c r="X258" i="2"/>
  <c r="X266" i="2"/>
  <c r="X260" i="2"/>
  <c r="X268" i="2"/>
  <c r="X262" i="2"/>
  <c r="X270" i="2"/>
  <c r="X256" i="2"/>
  <c r="X264" i="2"/>
  <c r="X272" i="2"/>
  <c r="X267" i="2"/>
  <c r="X271" i="2"/>
  <c r="X259" i="2"/>
  <c r="X263" i="2"/>
  <c r="X265" i="2"/>
  <c r="X269" i="2"/>
  <c r="X261" i="2"/>
  <c r="X257" i="2"/>
  <c r="W6" i="2"/>
  <c r="W14" i="2"/>
  <c r="W8" i="2"/>
  <c r="W16" i="2"/>
  <c r="W10" i="2"/>
  <c r="W18" i="2"/>
  <c r="W5" i="2"/>
  <c r="W15" i="2"/>
  <c r="W20" i="2"/>
  <c r="W9" i="2"/>
  <c r="W19" i="2"/>
  <c r="W17" i="2"/>
  <c r="W12" i="2"/>
  <c r="W7" i="2"/>
  <c r="W13" i="2"/>
  <c r="W11" i="2"/>
  <c r="X149" i="2"/>
  <c r="X157" i="2"/>
  <c r="X151" i="2"/>
  <c r="X159" i="2"/>
  <c r="X153" i="2"/>
  <c r="X161" i="2"/>
  <c r="X163" i="2"/>
  <c r="X152" i="2"/>
  <c r="X162" i="2"/>
  <c r="X148" i="2"/>
  <c r="X158" i="2"/>
  <c r="X164" i="2"/>
  <c r="X156" i="2"/>
  <c r="X154" i="2"/>
  <c r="X160" i="2"/>
  <c r="X155" i="2"/>
  <c r="X150" i="2"/>
  <c r="X292" i="2"/>
  <c r="X300" i="2"/>
  <c r="X308" i="2"/>
  <c r="X294" i="2"/>
  <c r="X302" i="2"/>
  <c r="X296" i="2"/>
  <c r="X304" i="2"/>
  <c r="X298" i="2"/>
  <c r="X306" i="2"/>
  <c r="X301" i="2"/>
  <c r="X305" i="2"/>
  <c r="X293" i="2"/>
  <c r="X297" i="2"/>
  <c r="X299" i="2"/>
  <c r="X307" i="2"/>
  <c r="X303" i="2"/>
  <c r="X295" i="2"/>
  <c r="X385" i="2"/>
  <c r="X393" i="2"/>
  <c r="X387" i="2"/>
  <c r="X395" i="2"/>
  <c r="X389" i="2"/>
  <c r="X397" i="2"/>
  <c r="X383" i="2"/>
  <c r="X388" i="2"/>
  <c r="X398" i="2"/>
  <c r="X382" i="2"/>
  <c r="X394" i="2"/>
  <c r="X392" i="2"/>
  <c r="X386" i="2"/>
  <c r="X396" i="2"/>
  <c r="X391" i="2"/>
  <c r="X390" i="2"/>
  <c r="X384" i="2"/>
  <c r="X60" i="2"/>
  <c r="X62" i="2"/>
  <c r="X70" i="2"/>
  <c r="X64" i="2"/>
  <c r="X72" i="2"/>
  <c r="X58" i="2"/>
  <c r="X66" i="2"/>
  <c r="X74" i="2"/>
  <c r="X67" i="2"/>
  <c r="X63" i="2"/>
  <c r="X73" i="2"/>
  <c r="X69" i="2"/>
  <c r="X71" i="2"/>
  <c r="X65" i="2"/>
  <c r="X61" i="2"/>
  <c r="X68" i="2"/>
  <c r="X59" i="2"/>
  <c r="V3" i="2"/>
  <c r="X132" i="2"/>
  <c r="X140" i="2"/>
  <c r="X134" i="2"/>
  <c r="X142" i="2"/>
  <c r="X136" i="2"/>
  <c r="X144" i="2"/>
  <c r="X135" i="2"/>
  <c r="X145" i="2"/>
  <c r="X131" i="2"/>
  <c r="X141" i="2"/>
  <c r="X130" i="2"/>
  <c r="X146" i="2"/>
  <c r="X138" i="2"/>
  <c r="X133" i="2"/>
  <c r="X143" i="2"/>
  <c r="X137" i="2"/>
  <c r="X139" i="2"/>
  <c r="X530" i="2"/>
  <c r="X538" i="2"/>
  <c r="X532" i="2"/>
  <c r="X540" i="2"/>
  <c r="X526" i="2"/>
  <c r="X534" i="2"/>
  <c r="X542" i="2"/>
  <c r="X528" i="2"/>
  <c r="X536" i="2"/>
  <c r="X529" i="2"/>
  <c r="X531" i="2"/>
  <c r="X535" i="2"/>
  <c r="X539" i="2"/>
  <c r="X527" i="2"/>
  <c r="X541" i="2"/>
  <c r="X537" i="2"/>
  <c r="X533" i="2"/>
  <c r="Y512" i="2"/>
  <c r="Y520" i="2"/>
  <c r="Y514" i="2"/>
  <c r="Y522" i="2"/>
  <c r="Y508" i="2"/>
  <c r="Y516" i="2"/>
  <c r="Y524" i="2"/>
  <c r="Y510" i="2"/>
  <c r="Y518" i="2"/>
  <c r="Y519" i="2"/>
  <c r="Y521" i="2"/>
  <c r="Y509" i="2"/>
  <c r="Y513" i="2"/>
  <c r="Y517" i="2"/>
  <c r="Y511" i="2"/>
  <c r="Y523" i="2"/>
  <c r="Y515" i="2"/>
  <c r="X47" i="2"/>
  <c r="X41" i="2"/>
  <c r="X49" i="2"/>
  <c r="X43" i="2"/>
  <c r="X51" i="2"/>
  <c r="X44" i="2"/>
  <c r="X40" i="2"/>
  <c r="X50" i="2"/>
  <c r="X46" i="2"/>
  <c r="X53" i="2"/>
  <c r="X55" i="2"/>
  <c r="X45" i="2"/>
  <c r="X48" i="2"/>
  <c r="X54" i="2"/>
  <c r="X42" i="2"/>
  <c r="X56" i="2"/>
  <c r="X52" i="2"/>
  <c r="X496" i="2"/>
  <c r="X504" i="2"/>
  <c r="X490" i="2"/>
  <c r="X498" i="2"/>
  <c r="X506" i="2"/>
  <c r="X492" i="2"/>
  <c r="X500" i="2"/>
  <c r="X494" i="2"/>
  <c r="X502" i="2"/>
  <c r="X495" i="2"/>
  <c r="X497" i="2"/>
  <c r="X501" i="2"/>
  <c r="X505" i="2"/>
  <c r="X493" i="2"/>
  <c r="X491" i="2"/>
  <c r="X503" i="2"/>
  <c r="X499" i="2"/>
  <c r="X471" i="2"/>
  <c r="W165" i="2"/>
  <c r="X615" i="2"/>
  <c r="M12" i="7"/>
  <c r="M66" i="7" s="1"/>
  <c r="M107" i="7" s="1"/>
  <c r="M21" i="7"/>
  <c r="M75" i="7" s="1"/>
  <c r="M116" i="7" s="1"/>
  <c r="M2" i="7"/>
  <c r="M56" i="7" s="1"/>
  <c r="M97" i="7" s="1"/>
  <c r="M19" i="7"/>
  <c r="M73" i="7" s="1"/>
  <c r="M114" i="7" s="1"/>
  <c r="M17" i="7"/>
  <c r="M71" i="7" s="1"/>
  <c r="M112" i="7" s="1"/>
  <c r="Y312" i="2"/>
  <c r="N23" i="7"/>
  <c r="N77" i="7" s="1"/>
  <c r="N118" i="7" s="1"/>
  <c r="K94" i="7"/>
  <c r="M5" i="7"/>
  <c r="M59" i="7" s="1"/>
  <c r="M100" i="7" s="1"/>
  <c r="N34" i="7"/>
  <c r="N88" i="7" s="1"/>
  <c r="N129" i="7" s="1"/>
  <c r="M30" i="7"/>
  <c r="M84" i="7" s="1"/>
  <c r="M125" i="7" s="1"/>
  <c r="M39" i="7"/>
  <c r="M93" i="7" s="1"/>
  <c r="M134" i="7" s="1"/>
  <c r="M28" i="7"/>
  <c r="M82" i="7" s="1"/>
  <c r="M123" i="7" s="1"/>
  <c r="N37" i="7"/>
  <c r="N91" i="7" s="1"/>
  <c r="N132" i="7" s="1"/>
  <c r="M20" i="7"/>
  <c r="M74" i="7" s="1"/>
  <c r="M115" i="7" s="1"/>
  <c r="M11" i="7"/>
  <c r="M65" i="7" s="1"/>
  <c r="M106" i="7" s="1"/>
  <c r="M14" i="7"/>
  <c r="M68" i="7" s="1"/>
  <c r="M109" i="7" s="1"/>
  <c r="M22" i="7"/>
  <c r="M76" i="7" s="1"/>
  <c r="M117" i="7" s="1"/>
  <c r="Y405" i="2"/>
  <c r="M32" i="7"/>
  <c r="M86" i="7" s="1"/>
  <c r="M127" i="7" s="1"/>
  <c r="N25" i="7"/>
  <c r="N79" i="7" s="1"/>
  <c r="N120" i="7" s="1"/>
  <c r="N27" i="7"/>
  <c r="N81" i="7" s="1"/>
  <c r="N122" i="7" s="1"/>
  <c r="N24" i="7"/>
  <c r="N78" i="7" s="1"/>
  <c r="N119" i="7" s="1"/>
  <c r="N18" i="7"/>
  <c r="N72" i="7" s="1"/>
  <c r="N113" i="7" s="1"/>
  <c r="M6" i="7"/>
  <c r="M60" i="7" s="1"/>
  <c r="M101" i="7" s="1"/>
  <c r="M9" i="7"/>
  <c r="M63" i="7" s="1"/>
  <c r="M104" i="7" s="1"/>
  <c r="M3" i="7"/>
  <c r="M57" i="7" s="1"/>
  <c r="M98" i="7" s="1"/>
  <c r="M31" i="7"/>
  <c r="M85" i="7" s="1"/>
  <c r="M126" i="7" s="1"/>
  <c r="N29" i="7"/>
  <c r="N83" i="7" s="1"/>
  <c r="N124" i="7" s="1"/>
  <c r="M7" i="7"/>
  <c r="M61" i="7" s="1"/>
  <c r="M102" i="7" s="1"/>
  <c r="N36" i="7"/>
  <c r="N90" i="7" s="1"/>
  <c r="N131" i="7" s="1"/>
  <c r="M4" i="7"/>
  <c r="M58" i="7" s="1"/>
  <c r="M99" i="7" s="1"/>
  <c r="W4" i="2"/>
  <c r="J135" i="7"/>
  <c r="X357" i="2"/>
  <c r="M10" i="7"/>
  <c r="M64" i="7" s="1"/>
  <c r="M105" i="7" s="1"/>
  <c r="M15" i="7"/>
  <c r="M69" i="7" s="1"/>
  <c r="M110" i="7" s="1"/>
  <c r="M16" i="7"/>
  <c r="M70" i="7" s="1"/>
  <c r="M111" i="7" s="1"/>
  <c r="M13" i="7"/>
  <c r="M67" i="7" s="1"/>
  <c r="M108" i="7" s="1"/>
  <c r="M26" i="7"/>
  <c r="M80" i="7" s="1"/>
  <c r="M121" i="7" s="1"/>
  <c r="V1" i="2" l="1"/>
  <c r="Y1173" i="2"/>
  <c r="Z1178" i="2"/>
  <c r="Z1189" i="2"/>
  <c r="Z1182" i="2"/>
  <c r="Z1188" i="2"/>
  <c r="Z1174" i="2"/>
  <c r="Z1180" i="2"/>
  <c r="Z1184" i="2"/>
  <c r="Z1185" i="2"/>
  <c r="Z1176" i="2"/>
  <c r="Z1177" i="2"/>
  <c r="Z1183" i="2"/>
  <c r="Z1181" i="2"/>
  <c r="Z1187" i="2"/>
  <c r="Z1175" i="2"/>
  <c r="Z1179" i="2"/>
  <c r="Z1186" i="2"/>
  <c r="Z1190" i="2"/>
  <c r="O38" i="7"/>
  <c r="O92" i="7" s="1"/>
  <c r="O133" i="7" s="1"/>
  <c r="N92" i="7"/>
  <c r="N133" i="7" s="1"/>
  <c r="Y651" i="2"/>
  <c r="Z656" i="2"/>
  <c r="Z660" i="2"/>
  <c r="Z654" i="2"/>
  <c r="Z664" i="2"/>
  <c r="Z668" i="2"/>
  <c r="Z662" i="2"/>
  <c r="Z653" i="2"/>
  <c r="Z667" i="2"/>
  <c r="Z655" i="2"/>
  <c r="Z657" i="2"/>
  <c r="Z661" i="2"/>
  <c r="Z666" i="2"/>
  <c r="Z652" i="2"/>
  <c r="Z663" i="2"/>
  <c r="Z665" i="2"/>
  <c r="Z658" i="2"/>
  <c r="Z659" i="2"/>
  <c r="X399" i="2"/>
  <c r="W345" i="2"/>
  <c r="Y321" i="2"/>
  <c r="Y606" i="2"/>
  <c r="X362" i="2"/>
  <c r="Y326" i="2"/>
  <c r="Y613" i="2"/>
  <c r="X349" i="2"/>
  <c r="X597" i="2"/>
  <c r="X309" i="2"/>
  <c r="Y402" i="2"/>
  <c r="Y610" i="2"/>
  <c r="Y605" i="2"/>
  <c r="Y416" i="2"/>
  <c r="Y403" i="2"/>
  <c r="X354" i="2"/>
  <c r="X355" i="2"/>
  <c r="Y317" i="2"/>
  <c r="Y318" i="2"/>
  <c r="Y598" i="2"/>
  <c r="Y611" i="2"/>
  <c r="Y410" i="2"/>
  <c r="Y409" i="2"/>
  <c r="X346" i="2"/>
  <c r="X347" i="2"/>
  <c r="Y313" i="2"/>
  <c r="Y310" i="2"/>
  <c r="Y612" i="2"/>
  <c r="Y603" i="2"/>
  <c r="Y400" i="2"/>
  <c r="Y406" i="2"/>
  <c r="Y401" i="2"/>
  <c r="X348" i="2"/>
  <c r="X361" i="2"/>
  <c r="Y325" i="2"/>
  <c r="Y324" i="2"/>
  <c r="Y614" i="2"/>
  <c r="Y609" i="2"/>
  <c r="Y415" i="2"/>
  <c r="Y407" i="2"/>
  <c r="X360" i="2"/>
  <c r="X353" i="2"/>
  <c r="Y323" i="2"/>
  <c r="Y322" i="2"/>
  <c r="Y316" i="2"/>
  <c r="Y602" i="2"/>
  <c r="Y601" i="2"/>
  <c r="Y412" i="2"/>
  <c r="Y408" i="2"/>
  <c r="X356" i="2"/>
  <c r="X359" i="2"/>
  <c r="Y319" i="2"/>
  <c r="Y314" i="2"/>
  <c r="Y607" i="2"/>
  <c r="Y608" i="2"/>
  <c r="Y404" i="2"/>
  <c r="Y413" i="2"/>
  <c r="X350" i="2"/>
  <c r="X352" i="2"/>
  <c r="X351" i="2"/>
  <c r="Y311" i="2"/>
  <c r="Y320" i="2"/>
  <c r="Y604" i="2"/>
  <c r="Y599" i="2"/>
  <c r="Y414" i="2"/>
  <c r="X358" i="2"/>
  <c r="Y315" i="2"/>
  <c r="N35" i="7"/>
  <c r="M89" i="7"/>
  <c r="M130" i="7" s="1"/>
  <c r="Z612" i="2" s="1"/>
  <c r="W3" i="2"/>
  <c r="X579" i="2"/>
  <c r="Y435" i="2"/>
  <c r="Y46" i="2"/>
  <c r="Y40" i="2"/>
  <c r="Y48" i="2"/>
  <c r="Y42" i="2"/>
  <c r="Y50" i="2"/>
  <c r="Y41" i="2"/>
  <c r="Y51" i="2"/>
  <c r="Y47" i="2"/>
  <c r="Y54" i="2"/>
  <c r="Y52" i="2"/>
  <c r="Y56" i="2"/>
  <c r="Y45" i="2"/>
  <c r="Y43" i="2"/>
  <c r="Y44" i="2"/>
  <c r="Y49" i="2"/>
  <c r="Y53" i="2"/>
  <c r="Y55" i="2"/>
  <c r="Y78" i="2"/>
  <c r="Y86" i="2"/>
  <c r="Y80" i="2"/>
  <c r="Y87" i="2"/>
  <c r="Y88" i="2"/>
  <c r="Y79" i="2"/>
  <c r="Y90" i="2"/>
  <c r="Y84" i="2"/>
  <c r="Y92" i="2"/>
  <c r="Y77" i="2"/>
  <c r="Y91" i="2"/>
  <c r="Y85" i="2"/>
  <c r="Y76" i="2"/>
  <c r="Y81" i="2"/>
  <c r="Y83" i="2"/>
  <c r="Y82" i="2"/>
  <c r="Y89" i="2"/>
  <c r="Z443" i="2"/>
  <c r="Z451" i="2"/>
  <c r="Z437" i="2"/>
  <c r="Z445" i="2"/>
  <c r="Z439" i="2"/>
  <c r="Z447" i="2"/>
  <c r="Z441" i="2"/>
  <c r="Z449" i="2"/>
  <c r="Z442" i="2"/>
  <c r="Z444" i="2"/>
  <c r="Z448" i="2"/>
  <c r="Z436" i="2"/>
  <c r="Z452" i="2"/>
  <c r="Z440" i="2"/>
  <c r="Z450" i="2"/>
  <c r="Z446" i="2"/>
  <c r="Z438" i="2"/>
  <c r="Y169" i="2"/>
  <c r="Y177" i="2"/>
  <c r="Y178" i="2"/>
  <c r="Y179" i="2"/>
  <c r="Y180" i="2"/>
  <c r="Y181" i="2"/>
  <c r="Y182" i="2"/>
  <c r="Y168" i="2"/>
  <c r="Y166" i="2"/>
  <c r="Y170" i="2"/>
  <c r="Y172" i="2"/>
  <c r="Y174" i="2"/>
  <c r="Y176" i="2"/>
  <c r="Y171" i="2"/>
  <c r="Y173" i="2"/>
  <c r="Y175" i="2"/>
  <c r="Y167" i="2"/>
  <c r="Y495" i="2"/>
  <c r="Y503" i="2"/>
  <c r="Y497" i="2"/>
  <c r="Y505" i="2"/>
  <c r="Y491" i="2"/>
  <c r="Y499" i="2"/>
  <c r="Y493" i="2"/>
  <c r="Y501" i="2"/>
  <c r="Y502" i="2"/>
  <c r="Y504" i="2"/>
  <c r="Y492" i="2"/>
  <c r="Y496" i="2"/>
  <c r="Y500" i="2"/>
  <c r="Y506" i="2"/>
  <c r="Y498" i="2"/>
  <c r="Y494" i="2"/>
  <c r="Y490" i="2"/>
  <c r="Y186" i="2"/>
  <c r="Y194" i="2"/>
  <c r="Y184" i="2"/>
  <c r="Y185" i="2"/>
  <c r="Y195" i="2"/>
  <c r="Y196" i="2"/>
  <c r="Y197" i="2"/>
  <c r="Y198" i="2"/>
  <c r="Y199" i="2"/>
  <c r="Y200" i="2"/>
  <c r="Y187" i="2"/>
  <c r="Y191" i="2"/>
  <c r="Y188" i="2"/>
  <c r="Y192" i="2"/>
  <c r="Y189" i="2"/>
  <c r="Y190" i="2"/>
  <c r="Y193" i="2"/>
  <c r="X489" i="2"/>
  <c r="Y507" i="2"/>
  <c r="X453" i="2"/>
  <c r="X93" i="2"/>
  <c r="X273" i="2"/>
  <c r="X561" i="2"/>
  <c r="Y417" i="2"/>
  <c r="Y299" i="2"/>
  <c r="Y307" i="2"/>
  <c r="Y293" i="2"/>
  <c r="Y301" i="2"/>
  <c r="Y295" i="2"/>
  <c r="Y303" i="2"/>
  <c r="Y297" i="2"/>
  <c r="Y305" i="2"/>
  <c r="Y292" i="2"/>
  <c r="Y308" i="2"/>
  <c r="Y296" i="2"/>
  <c r="Y300" i="2"/>
  <c r="Y304" i="2"/>
  <c r="Y306" i="2"/>
  <c r="Y294" i="2"/>
  <c r="Y302" i="2"/>
  <c r="Y298" i="2"/>
  <c r="Y148" i="2"/>
  <c r="Y156" i="2"/>
  <c r="Y164" i="2"/>
  <c r="Y150" i="2"/>
  <c r="Y158" i="2"/>
  <c r="Y152" i="2"/>
  <c r="Y160" i="2"/>
  <c r="Y153" i="2"/>
  <c r="Y149" i="2"/>
  <c r="Y159" i="2"/>
  <c r="Y155" i="2"/>
  <c r="Y154" i="2"/>
  <c r="Y151" i="2"/>
  <c r="Y163" i="2"/>
  <c r="Y161" i="2"/>
  <c r="Y162" i="2"/>
  <c r="Y157" i="2"/>
  <c r="Y59" i="2"/>
  <c r="Y61" i="2"/>
  <c r="Y69" i="2"/>
  <c r="Y63" i="2"/>
  <c r="Y71" i="2"/>
  <c r="Y65" i="2"/>
  <c r="Y73" i="2"/>
  <c r="Y64" i="2"/>
  <c r="Y74" i="2"/>
  <c r="Y58" i="2"/>
  <c r="Y70" i="2"/>
  <c r="Y62" i="2"/>
  <c r="Y60" i="2"/>
  <c r="Y67" i="2"/>
  <c r="Y66" i="2"/>
  <c r="Y68" i="2"/>
  <c r="Y72" i="2"/>
  <c r="X525" i="2"/>
  <c r="X381" i="2"/>
  <c r="X183" i="2"/>
  <c r="Y240" i="2"/>
  <c r="Y248" i="2"/>
  <c r="Y242" i="2"/>
  <c r="Y250" i="2"/>
  <c r="Y244" i="2"/>
  <c r="Y252" i="2"/>
  <c r="Y238" i="2"/>
  <c r="Y246" i="2"/>
  <c r="Y254" i="2"/>
  <c r="Y241" i="2"/>
  <c r="Y245" i="2"/>
  <c r="Y249" i="2"/>
  <c r="Y253" i="2"/>
  <c r="Y239" i="2"/>
  <c r="Y247" i="2"/>
  <c r="Y243" i="2"/>
  <c r="Y251" i="2"/>
  <c r="X255" i="2"/>
  <c r="Y633" i="2"/>
  <c r="X75" i="2"/>
  <c r="Z641" i="2"/>
  <c r="Z649" i="2"/>
  <c r="Z634" i="2"/>
  <c r="Z642" i="2"/>
  <c r="Z650" i="2"/>
  <c r="Z636" i="2"/>
  <c r="Z644" i="2"/>
  <c r="Z638" i="2"/>
  <c r="Z646" i="2"/>
  <c r="Z640" i="2"/>
  <c r="Z648" i="2"/>
  <c r="Z637" i="2"/>
  <c r="Z635" i="2"/>
  <c r="Z647" i="2"/>
  <c r="Z645" i="2"/>
  <c r="Z643" i="2"/>
  <c r="Z639" i="2"/>
  <c r="Y203" i="2"/>
  <c r="Y214" i="2"/>
  <c r="Y216" i="2"/>
  <c r="Y218" i="2"/>
  <c r="Y202" i="2"/>
  <c r="Y212" i="2"/>
  <c r="Y205" i="2"/>
  <c r="Y207" i="2"/>
  <c r="Y209" i="2"/>
  <c r="Y211" i="2"/>
  <c r="Y215" i="2"/>
  <c r="Y204" i="2"/>
  <c r="Y206" i="2"/>
  <c r="Y208" i="2"/>
  <c r="Y210" i="2"/>
  <c r="Y213" i="2"/>
  <c r="Y217" i="2"/>
  <c r="Y546" i="2"/>
  <c r="Y554" i="2"/>
  <c r="Y548" i="2"/>
  <c r="Y556" i="2"/>
  <c r="Y550" i="2"/>
  <c r="Y558" i="2"/>
  <c r="Y544" i="2"/>
  <c r="Y552" i="2"/>
  <c r="Y560" i="2"/>
  <c r="Y553" i="2"/>
  <c r="Y555" i="2"/>
  <c r="Y559" i="2"/>
  <c r="Y547" i="2"/>
  <c r="Y551" i="2"/>
  <c r="Y557" i="2"/>
  <c r="Y549" i="2"/>
  <c r="Y545" i="2"/>
  <c r="X57" i="2"/>
  <c r="X291" i="2"/>
  <c r="X147" i="2"/>
  <c r="Y471" i="2"/>
  <c r="Y615" i="2"/>
  <c r="N33" i="7"/>
  <c r="N87" i="7" s="1"/>
  <c r="N128" i="7" s="1"/>
  <c r="X111" i="2"/>
  <c r="X334" i="2"/>
  <c r="X342" i="2"/>
  <c r="X328" i="2"/>
  <c r="X336" i="2"/>
  <c r="X344" i="2"/>
  <c r="X330" i="2"/>
  <c r="X338" i="2"/>
  <c r="X332" i="2"/>
  <c r="X340" i="2"/>
  <c r="X335" i="2"/>
  <c r="X339" i="2"/>
  <c r="X343" i="2"/>
  <c r="X331" i="2"/>
  <c r="X333" i="2"/>
  <c r="X341" i="2"/>
  <c r="X337" i="2"/>
  <c r="X329" i="2"/>
  <c r="Y565" i="2"/>
  <c r="Y573" i="2"/>
  <c r="Y569" i="2"/>
  <c r="Y567" i="2"/>
  <c r="Y574" i="2"/>
  <c r="Y566" i="2"/>
  <c r="Y575" i="2"/>
  <c r="Y571" i="2"/>
  <c r="Y577" i="2"/>
  <c r="Y563" i="2"/>
  <c r="Y568" i="2"/>
  <c r="Y562" i="2"/>
  <c r="Y572" i="2"/>
  <c r="Y570" i="2"/>
  <c r="Y578" i="2"/>
  <c r="Y576" i="2"/>
  <c r="Y564" i="2"/>
  <c r="Y274" i="2"/>
  <c r="Y282" i="2"/>
  <c r="Y290" i="2"/>
  <c r="Y276" i="2"/>
  <c r="Y284" i="2"/>
  <c r="Y278" i="2"/>
  <c r="Y286" i="2"/>
  <c r="Y280" i="2"/>
  <c r="Y288" i="2"/>
  <c r="Y275" i="2"/>
  <c r="Y279" i="2"/>
  <c r="Y283" i="2"/>
  <c r="Y287" i="2"/>
  <c r="Y281" i="2"/>
  <c r="Y277" i="2"/>
  <c r="Y285" i="2"/>
  <c r="Y289" i="2"/>
  <c r="Z426" i="2"/>
  <c r="Z434" i="2"/>
  <c r="Z428" i="2"/>
  <c r="Z418" i="2"/>
  <c r="Z422" i="2"/>
  <c r="Z430" i="2"/>
  <c r="Z424" i="2"/>
  <c r="Z432" i="2"/>
  <c r="Z425" i="2"/>
  <c r="Z427" i="2"/>
  <c r="Z431" i="2"/>
  <c r="Z423" i="2"/>
  <c r="Z421" i="2"/>
  <c r="Z433" i="2"/>
  <c r="Z419" i="2"/>
  <c r="Z429" i="2"/>
  <c r="Z420" i="2"/>
  <c r="X5" i="2"/>
  <c r="X13" i="2"/>
  <c r="X7" i="2"/>
  <c r="X15" i="2"/>
  <c r="X9" i="2"/>
  <c r="X17" i="2"/>
  <c r="X12" i="2"/>
  <c r="X11" i="2"/>
  <c r="X10" i="2"/>
  <c r="X6" i="2"/>
  <c r="X16" i="2"/>
  <c r="X14" i="2"/>
  <c r="X8" i="2"/>
  <c r="X19" i="2"/>
  <c r="X20" i="2"/>
  <c r="X18" i="2"/>
  <c r="X129" i="2"/>
  <c r="W327" i="2"/>
  <c r="X237" i="2"/>
  <c r="X219" i="2"/>
  <c r="X201" i="2"/>
  <c r="X21" i="2"/>
  <c r="Y583" i="2"/>
  <c r="Y591" i="2"/>
  <c r="Y584" i="2"/>
  <c r="Y592" i="2"/>
  <c r="Y586" i="2"/>
  <c r="Y594" i="2"/>
  <c r="Y580" i="2"/>
  <c r="Y588" i="2"/>
  <c r="Y596" i="2"/>
  <c r="Y582" i="2"/>
  <c r="Y590" i="2"/>
  <c r="Y589" i="2"/>
  <c r="Y587" i="2"/>
  <c r="Y585" i="2"/>
  <c r="Y595" i="2"/>
  <c r="Y581" i="2"/>
  <c r="Y593" i="2"/>
  <c r="Y461" i="2"/>
  <c r="Y469" i="2"/>
  <c r="Y455" i="2"/>
  <c r="Y463" i="2"/>
  <c r="Y457" i="2"/>
  <c r="Y465" i="2"/>
  <c r="Y459" i="2"/>
  <c r="Y467" i="2"/>
  <c r="Y468" i="2"/>
  <c r="Y454" i="2"/>
  <c r="Y470" i="2"/>
  <c r="Y458" i="2"/>
  <c r="Y462" i="2"/>
  <c r="Y466" i="2"/>
  <c r="Y456" i="2"/>
  <c r="Y464" i="2"/>
  <c r="Y460" i="2"/>
  <c r="Z477" i="2"/>
  <c r="Z485" i="2"/>
  <c r="Z479" i="2"/>
  <c r="Z487" i="2"/>
  <c r="Z473" i="2"/>
  <c r="Z481" i="2"/>
  <c r="Z475" i="2"/>
  <c r="Z483" i="2"/>
  <c r="Z476" i="2"/>
  <c r="Z478" i="2"/>
  <c r="Z482" i="2"/>
  <c r="Z486" i="2"/>
  <c r="Z474" i="2"/>
  <c r="Z472" i="2"/>
  <c r="Z488" i="2"/>
  <c r="Z484" i="2"/>
  <c r="Z480" i="2"/>
  <c r="Z616" i="2"/>
  <c r="Z624" i="2"/>
  <c r="Z632" i="2"/>
  <c r="Z617" i="2"/>
  <c r="Z625" i="2"/>
  <c r="Z619" i="2"/>
  <c r="Z627" i="2"/>
  <c r="Z621" i="2"/>
  <c r="Z629" i="2"/>
  <c r="Z623" i="2"/>
  <c r="Z631" i="2"/>
  <c r="Z622" i="2"/>
  <c r="Z620" i="2"/>
  <c r="Z618" i="2"/>
  <c r="Z628" i="2"/>
  <c r="Z626" i="2"/>
  <c r="Z630" i="2"/>
  <c r="Y29" i="2"/>
  <c r="Y37" i="2"/>
  <c r="Y23" i="2"/>
  <c r="Y31" i="2"/>
  <c r="Y25" i="2"/>
  <c r="Y33" i="2"/>
  <c r="Y30" i="2"/>
  <c r="Y36" i="2"/>
  <c r="Y35" i="2"/>
  <c r="Y24" i="2"/>
  <c r="Y34" i="2"/>
  <c r="Y32" i="2"/>
  <c r="Y27" i="2"/>
  <c r="Y22" i="2"/>
  <c r="Y26" i="2"/>
  <c r="Y38" i="2"/>
  <c r="Y28" i="2"/>
  <c r="Y384" i="2"/>
  <c r="Y392" i="2"/>
  <c r="Y386" i="2"/>
  <c r="Y394" i="2"/>
  <c r="Y388" i="2"/>
  <c r="Y396" i="2"/>
  <c r="Y382" i="2"/>
  <c r="Y390" i="2"/>
  <c r="Y389" i="2"/>
  <c r="Y385" i="2"/>
  <c r="Y395" i="2"/>
  <c r="Y391" i="2"/>
  <c r="Y397" i="2"/>
  <c r="Y383" i="2"/>
  <c r="Y398" i="2"/>
  <c r="Y393" i="2"/>
  <c r="Y387" i="2"/>
  <c r="Y529" i="2"/>
  <c r="Y537" i="2"/>
  <c r="Y531" i="2"/>
  <c r="Y539" i="2"/>
  <c r="Y533" i="2"/>
  <c r="Y541" i="2"/>
  <c r="Y527" i="2"/>
  <c r="Y535" i="2"/>
  <c r="Y536" i="2"/>
  <c r="Y538" i="2"/>
  <c r="Y526" i="2"/>
  <c r="Y542" i="2"/>
  <c r="Y530" i="2"/>
  <c r="Y534" i="2"/>
  <c r="Y532" i="2"/>
  <c r="Y528" i="2"/>
  <c r="Y540" i="2"/>
  <c r="Y257" i="2"/>
  <c r="Y265" i="2"/>
  <c r="Y259" i="2"/>
  <c r="Y267" i="2"/>
  <c r="Y261" i="2"/>
  <c r="Y269" i="2"/>
  <c r="Y263" i="2"/>
  <c r="Y271" i="2"/>
  <c r="Y258" i="2"/>
  <c r="Y262" i="2"/>
  <c r="Y266" i="2"/>
  <c r="Y270" i="2"/>
  <c r="Y272" i="2"/>
  <c r="Y260" i="2"/>
  <c r="Y268" i="2"/>
  <c r="Y264" i="2"/>
  <c r="Y256" i="2"/>
  <c r="Y97" i="2"/>
  <c r="Y105" i="2"/>
  <c r="Y99" i="2"/>
  <c r="Y107" i="2"/>
  <c r="Y101" i="2"/>
  <c r="Y109" i="2"/>
  <c r="Y103" i="2"/>
  <c r="Y102" i="2"/>
  <c r="Y98" i="2"/>
  <c r="Y108" i="2"/>
  <c r="Y104" i="2"/>
  <c r="Y96" i="2"/>
  <c r="Y94" i="2"/>
  <c r="Y106" i="2"/>
  <c r="Y110" i="2"/>
  <c r="Y100" i="2"/>
  <c r="Y95" i="2"/>
  <c r="Y367" i="2"/>
  <c r="Y375" i="2"/>
  <c r="Y369" i="2"/>
  <c r="Y377" i="2"/>
  <c r="Y371" i="2"/>
  <c r="Y379" i="2"/>
  <c r="Y365" i="2"/>
  <c r="Y373" i="2"/>
  <c r="Y376" i="2"/>
  <c r="Y364" i="2"/>
  <c r="Y380" i="2"/>
  <c r="Y368" i="2"/>
  <c r="Y372" i="2"/>
  <c r="Y374" i="2"/>
  <c r="Y378" i="2"/>
  <c r="Y370" i="2"/>
  <c r="Y366" i="2"/>
  <c r="X39" i="2"/>
  <c r="X363" i="2"/>
  <c r="Z511" i="2"/>
  <c r="Z519" i="2"/>
  <c r="Z513" i="2"/>
  <c r="Z521" i="2"/>
  <c r="Z515" i="2"/>
  <c r="Z523" i="2"/>
  <c r="Z509" i="2"/>
  <c r="Z517" i="2"/>
  <c r="Z510" i="2"/>
  <c r="Z512" i="2"/>
  <c r="Z516" i="2"/>
  <c r="Z520" i="2"/>
  <c r="Z508" i="2"/>
  <c r="Z524" i="2"/>
  <c r="Z522" i="2"/>
  <c r="Z518" i="2"/>
  <c r="Z514" i="2"/>
  <c r="Y114" i="2"/>
  <c r="Y122" i="2"/>
  <c r="Y116" i="2"/>
  <c r="Y124" i="2"/>
  <c r="Y118" i="2"/>
  <c r="Y126" i="2"/>
  <c r="Y121" i="2"/>
  <c r="Y120" i="2"/>
  <c r="Y119" i="2"/>
  <c r="Y115" i="2"/>
  <c r="Y125" i="2"/>
  <c r="Y117" i="2"/>
  <c r="Y112" i="2"/>
  <c r="Y127" i="2"/>
  <c r="Y128" i="2"/>
  <c r="Y123" i="2"/>
  <c r="Y113" i="2"/>
  <c r="Y131" i="2"/>
  <c r="Y139" i="2"/>
  <c r="Y133" i="2"/>
  <c r="Y141" i="2"/>
  <c r="Y135" i="2"/>
  <c r="Y143" i="2"/>
  <c r="Y132" i="2"/>
  <c r="Y142" i="2"/>
  <c r="Y138" i="2"/>
  <c r="Y137" i="2"/>
  <c r="Y136" i="2"/>
  <c r="Y130" i="2"/>
  <c r="Y145" i="2"/>
  <c r="Y140" i="2"/>
  <c r="Y146" i="2"/>
  <c r="Y144" i="2"/>
  <c r="Y134" i="2"/>
  <c r="Y223" i="2"/>
  <c r="Y231" i="2"/>
  <c r="Y225" i="2"/>
  <c r="Y233" i="2"/>
  <c r="Y227" i="2"/>
  <c r="Y235" i="2"/>
  <c r="Y221" i="2"/>
  <c r="Y229" i="2"/>
  <c r="Y224" i="2"/>
  <c r="Y228" i="2"/>
  <c r="Y232" i="2"/>
  <c r="Y220" i="2"/>
  <c r="Y236" i="2"/>
  <c r="Y226" i="2"/>
  <c r="Y234" i="2"/>
  <c r="Y222" i="2"/>
  <c r="Y230" i="2"/>
  <c r="X543" i="2"/>
  <c r="X165" i="2"/>
  <c r="N8" i="7"/>
  <c r="N62" i="7" s="1"/>
  <c r="N103" i="7" s="1"/>
  <c r="N10" i="7"/>
  <c r="N64" i="7" s="1"/>
  <c r="N105" i="7" s="1"/>
  <c r="Y354" i="2"/>
  <c r="N19" i="7"/>
  <c r="N73" i="7" s="1"/>
  <c r="N114" i="7" s="1"/>
  <c r="L94" i="7"/>
  <c r="N13" i="7"/>
  <c r="N67" i="7" s="1"/>
  <c r="N108" i="7" s="1"/>
  <c r="N3" i="7"/>
  <c r="N57" i="7" s="1"/>
  <c r="N98" i="7" s="1"/>
  <c r="N6" i="7"/>
  <c r="N60" i="7" s="1"/>
  <c r="N101" i="7" s="1"/>
  <c r="N11" i="7"/>
  <c r="N65" i="7" s="1"/>
  <c r="N106" i="7" s="1"/>
  <c r="O34" i="7"/>
  <c r="N2" i="7"/>
  <c r="N56" i="7" s="1"/>
  <c r="N97" i="7" s="1"/>
  <c r="N31" i="7"/>
  <c r="N85" i="7" s="1"/>
  <c r="N126" i="7" s="1"/>
  <c r="N20" i="7"/>
  <c r="N74" i="7" s="1"/>
  <c r="N115" i="7" s="1"/>
  <c r="N26" i="7"/>
  <c r="N80" i="7" s="1"/>
  <c r="N121" i="7" s="1"/>
  <c r="N4" i="7"/>
  <c r="N58" i="7" s="1"/>
  <c r="N99" i="7" s="1"/>
  <c r="N15" i="7"/>
  <c r="N69" i="7" s="1"/>
  <c r="N110" i="7" s="1"/>
  <c r="X4" i="2"/>
  <c r="K135" i="7"/>
  <c r="O36" i="7"/>
  <c r="N28" i="7"/>
  <c r="N82" i="7" s="1"/>
  <c r="N123" i="7" s="1"/>
  <c r="N5" i="7"/>
  <c r="N59" i="7" s="1"/>
  <c r="N100" i="7" s="1"/>
  <c r="N21" i="7"/>
  <c r="N75" i="7" s="1"/>
  <c r="N116" i="7" s="1"/>
  <c r="N30" i="7"/>
  <c r="N84" i="7" s="1"/>
  <c r="N125" i="7" s="1"/>
  <c r="N16" i="7"/>
  <c r="N70" i="7" s="1"/>
  <c r="N111" i="7" s="1"/>
  <c r="N9" i="7"/>
  <c r="N63" i="7" s="1"/>
  <c r="N104" i="7" s="1"/>
  <c r="O25" i="7"/>
  <c r="N22" i="7"/>
  <c r="N76" i="7" s="1"/>
  <c r="N117" i="7" s="1"/>
  <c r="Z403" i="2"/>
  <c r="O37" i="7"/>
  <c r="O29" i="7"/>
  <c r="N7" i="7"/>
  <c r="N61" i="7" s="1"/>
  <c r="N102" i="7" s="1"/>
  <c r="O24" i="7"/>
  <c r="N12" i="7"/>
  <c r="N66" i="7" s="1"/>
  <c r="N107" i="7" s="1"/>
  <c r="O23" i="7"/>
  <c r="O18" i="7"/>
  <c r="O27" i="7"/>
  <c r="N32" i="7"/>
  <c r="N86" i="7" s="1"/>
  <c r="N127" i="7" s="1"/>
  <c r="N14" i="7"/>
  <c r="N68" i="7" s="1"/>
  <c r="N109" i="7" s="1"/>
  <c r="N39" i="7"/>
  <c r="N93" i="7" s="1"/>
  <c r="N134" i="7" s="1"/>
  <c r="N17" i="7"/>
  <c r="N71" i="7" s="1"/>
  <c r="N112" i="7" s="1"/>
  <c r="Z313" i="2"/>
  <c r="W1" i="2" l="1"/>
  <c r="Z1173" i="2"/>
  <c r="AA1185" i="2"/>
  <c r="AA1189" i="2"/>
  <c r="AA1177" i="2"/>
  <c r="AA1180" i="2"/>
  <c r="AA1181" i="2"/>
  <c r="AA1187" i="2"/>
  <c r="AA1179" i="2"/>
  <c r="AA1183" i="2"/>
  <c r="AA1184" i="2"/>
  <c r="AA1175" i="2"/>
  <c r="AA1190" i="2"/>
  <c r="AA1176" i="2"/>
  <c r="AA1182" i="2"/>
  <c r="AA1186" i="2"/>
  <c r="AA1174" i="2"/>
  <c r="AA1178" i="2"/>
  <c r="AA1188" i="2"/>
  <c r="AB1184" i="2"/>
  <c r="AB1187" i="2"/>
  <c r="AB1188" i="2"/>
  <c r="AB1176" i="2"/>
  <c r="AB1180" i="2"/>
  <c r="AB1186" i="2"/>
  <c r="AB1190" i="2"/>
  <c r="AB1178" i="2"/>
  <c r="AB1182" i="2"/>
  <c r="AB1179" i="2"/>
  <c r="AB1183" i="2"/>
  <c r="AB1174" i="2"/>
  <c r="AB1189" i="2"/>
  <c r="AB1175" i="2"/>
  <c r="AB1181" i="2"/>
  <c r="AB1185" i="2"/>
  <c r="AC1185" i="2" s="1"/>
  <c r="AB1177" i="2"/>
  <c r="Z651" i="2"/>
  <c r="AA663" i="2"/>
  <c r="AA667" i="2"/>
  <c r="AA661" i="2"/>
  <c r="AA652" i="2"/>
  <c r="AA654" i="2"/>
  <c r="AA664" i="2"/>
  <c r="AA660" i="2"/>
  <c r="AA659" i="2"/>
  <c r="AA662" i="2"/>
  <c r="AA656" i="2"/>
  <c r="AA668" i="2"/>
  <c r="AA653" i="2"/>
  <c r="AA657" i="2"/>
  <c r="AA658" i="2"/>
  <c r="AA655" i="2"/>
  <c r="AA665" i="2"/>
  <c r="AA666" i="2"/>
  <c r="Y597" i="2"/>
  <c r="Y399" i="2"/>
  <c r="Z601" i="2"/>
  <c r="Z605" i="2"/>
  <c r="Y355" i="2"/>
  <c r="Z614" i="2"/>
  <c r="Y346" i="2"/>
  <c r="Z322" i="2"/>
  <c r="Z604" i="2"/>
  <c r="Z407" i="2"/>
  <c r="Z319" i="2"/>
  <c r="Z413" i="2"/>
  <c r="X345" i="2"/>
  <c r="Y309" i="2"/>
  <c r="Z603" i="2"/>
  <c r="Z610" i="2"/>
  <c r="Z416" i="2"/>
  <c r="Z412" i="2"/>
  <c r="Y351" i="2"/>
  <c r="Y360" i="2"/>
  <c r="Z314" i="2"/>
  <c r="Z311" i="2"/>
  <c r="Z602" i="2"/>
  <c r="Z406" i="2"/>
  <c r="Z404" i="2"/>
  <c r="Y347" i="2"/>
  <c r="Y352" i="2"/>
  <c r="Z312" i="2"/>
  <c r="Z325" i="2"/>
  <c r="Z609" i="2"/>
  <c r="Z608" i="2"/>
  <c r="Z401" i="2"/>
  <c r="Z410" i="2"/>
  <c r="Y359" i="2"/>
  <c r="Y358" i="2"/>
  <c r="Z324" i="2"/>
  <c r="Z317" i="2"/>
  <c r="Z600" i="2"/>
  <c r="Z414" i="2"/>
  <c r="Z402" i="2"/>
  <c r="Y357" i="2"/>
  <c r="Y356" i="2"/>
  <c r="Y350" i="2"/>
  <c r="Z320" i="2"/>
  <c r="Z323" i="2"/>
  <c r="Z606" i="2"/>
  <c r="Z607" i="2"/>
  <c r="Z415" i="2"/>
  <c r="Z408" i="2"/>
  <c r="Y361" i="2"/>
  <c r="Y348" i="2"/>
  <c r="Z310" i="2"/>
  <c r="Z316" i="2"/>
  <c r="Z315" i="2"/>
  <c r="Z611" i="2"/>
  <c r="Z598" i="2"/>
  <c r="Z405" i="2"/>
  <c r="Z409" i="2"/>
  <c r="Z400" i="2"/>
  <c r="Y353" i="2"/>
  <c r="Y362" i="2"/>
  <c r="Z326" i="2"/>
  <c r="Z321" i="2"/>
  <c r="Z599" i="2"/>
  <c r="Z613" i="2"/>
  <c r="Z411" i="2"/>
  <c r="Y349" i="2"/>
  <c r="Z318" i="2"/>
  <c r="O88" i="7"/>
  <c r="O129" i="7" s="1"/>
  <c r="O83" i="7"/>
  <c r="O124" i="7" s="1"/>
  <c r="O77" i="7"/>
  <c r="O118" i="7" s="1"/>
  <c r="O91" i="7"/>
  <c r="O132" i="7" s="1"/>
  <c r="O72" i="7"/>
  <c r="O113" i="7" s="1"/>
  <c r="O81" i="7"/>
  <c r="O122" i="7" s="1"/>
  <c r="O79" i="7"/>
  <c r="O120" i="7" s="1"/>
  <c r="AB434" i="2" s="1"/>
  <c r="O78" i="7"/>
  <c r="O119" i="7" s="1"/>
  <c r="O90" i="7"/>
  <c r="O131" i="7" s="1"/>
  <c r="O35" i="7"/>
  <c r="O89" i="7" s="1"/>
  <c r="O130" i="7" s="1"/>
  <c r="N89" i="7"/>
  <c r="N130" i="7" s="1"/>
  <c r="AA607" i="2" s="1"/>
  <c r="Y525" i="2"/>
  <c r="Z58" i="2"/>
  <c r="Z60" i="2"/>
  <c r="Z68" i="2"/>
  <c r="Z62" i="2"/>
  <c r="Z70" i="2"/>
  <c r="Z64" i="2"/>
  <c r="Z72" i="2"/>
  <c r="Z61" i="2"/>
  <c r="Z71" i="2"/>
  <c r="Z67" i="2"/>
  <c r="Z66" i="2"/>
  <c r="Z59" i="2"/>
  <c r="Z63" i="2"/>
  <c r="Z69" i="2"/>
  <c r="Z65" i="2"/>
  <c r="Z74" i="2"/>
  <c r="Z73" i="2"/>
  <c r="Y543" i="2"/>
  <c r="Y39" i="2"/>
  <c r="X3" i="2"/>
  <c r="Z168" i="2"/>
  <c r="Z176" i="2"/>
  <c r="Z169" i="2"/>
  <c r="Z170" i="2"/>
  <c r="Z171" i="2"/>
  <c r="Z172" i="2"/>
  <c r="Z173" i="2"/>
  <c r="Z174" i="2"/>
  <c r="Z175" i="2"/>
  <c r="Z167" i="2"/>
  <c r="Z178" i="2"/>
  <c r="Z180" i="2"/>
  <c r="Z182" i="2"/>
  <c r="Z166" i="2"/>
  <c r="Z177" i="2"/>
  <c r="Z179" i="2"/>
  <c r="Z181" i="2"/>
  <c r="Y129" i="2"/>
  <c r="Y111" i="2"/>
  <c r="Y255" i="2"/>
  <c r="Z633" i="2"/>
  <c r="Y57" i="2"/>
  <c r="Z564" i="2"/>
  <c r="Z572" i="2"/>
  <c r="Z568" i="2"/>
  <c r="Z567" i="2"/>
  <c r="Z573" i="2"/>
  <c r="Z574" i="2"/>
  <c r="Z565" i="2"/>
  <c r="Z576" i="2"/>
  <c r="Z570" i="2"/>
  <c r="Z578" i="2"/>
  <c r="Z562" i="2"/>
  <c r="Z571" i="2"/>
  <c r="Z577" i="2"/>
  <c r="Z566" i="2"/>
  <c r="Z569" i="2"/>
  <c r="Z575" i="2"/>
  <c r="Z563" i="2"/>
  <c r="Z281" i="2"/>
  <c r="Z289" i="2"/>
  <c r="Z275" i="2"/>
  <c r="Z283" i="2"/>
  <c r="Z277" i="2"/>
  <c r="Z285" i="2"/>
  <c r="Z279" i="2"/>
  <c r="Z287" i="2"/>
  <c r="Z282" i="2"/>
  <c r="Z286" i="2"/>
  <c r="Z274" i="2"/>
  <c r="Z290" i="2"/>
  <c r="Z278" i="2"/>
  <c r="Z280" i="2"/>
  <c r="Z288" i="2"/>
  <c r="Z284" i="2"/>
  <c r="Z276" i="2"/>
  <c r="Z256" i="2"/>
  <c r="Z264" i="2"/>
  <c r="Z272" i="2"/>
  <c r="Z258" i="2"/>
  <c r="Z266" i="2"/>
  <c r="Z260" i="2"/>
  <c r="Z268" i="2"/>
  <c r="Z262" i="2"/>
  <c r="Z270" i="2"/>
  <c r="Z265" i="2"/>
  <c r="Z269" i="2"/>
  <c r="Z257" i="2"/>
  <c r="Z261" i="2"/>
  <c r="Z259" i="2"/>
  <c r="Z267" i="2"/>
  <c r="Z271" i="2"/>
  <c r="Z263" i="2"/>
  <c r="Z545" i="2"/>
  <c r="Z553" i="2"/>
  <c r="Z547" i="2"/>
  <c r="Z555" i="2"/>
  <c r="Z549" i="2"/>
  <c r="Z557" i="2"/>
  <c r="Z551" i="2"/>
  <c r="Z559" i="2"/>
  <c r="Z544" i="2"/>
  <c r="Z546" i="2"/>
  <c r="Z560" i="2"/>
  <c r="Z550" i="2"/>
  <c r="Z554" i="2"/>
  <c r="Z558" i="2"/>
  <c r="Z556" i="2"/>
  <c r="Z552" i="2"/>
  <c r="Z548" i="2"/>
  <c r="Z113" i="2"/>
  <c r="Z121" i="2"/>
  <c r="Z115" i="2"/>
  <c r="Z123" i="2"/>
  <c r="Z117" i="2"/>
  <c r="Z125" i="2"/>
  <c r="Z128" i="2"/>
  <c r="Z127" i="2"/>
  <c r="Z116" i="2"/>
  <c r="Z126" i="2"/>
  <c r="Z112" i="2"/>
  <c r="Z122" i="2"/>
  <c r="Z114" i="2"/>
  <c r="Z124" i="2"/>
  <c r="Z119" i="2"/>
  <c r="Z118" i="2"/>
  <c r="Z120" i="2"/>
  <c r="Z507" i="2"/>
  <c r="Z471" i="2"/>
  <c r="Z417" i="2"/>
  <c r="Y183" i="2"/>
  <c r="AA510" i="2"/>
  <c r="AA518" i="2"/>
  <c r="AA512" i="2"/>
  <c r="AA520" i="2"/>
  <c r="AA514" i="2"/>
  <c r="AA522" i="2"/>
  <c r="AA508" i="2"/>
  <c r="AA516" i="2"/>
  <c r="AA524" i="2"/>
  <c r="AA517" i="2"/>
  <c r="AA519" i="2"/>
  <c r="AA523" i="2"/>
  <c r="AA511" i="2"/>
  <c r="AA515" i="2"/>
  <c r="AA521" i="2"/>
  <c r="AA513" i="2"/>
  <c r="AA509" i="2"/>
  <c r="Z155" i="2"/>
  <c r="Z163" i="2"/>
  <c r="Z149" i="2"/>
  <c r="Z157" i="2"/>
  <c r="Z151" i="2"/>
  <c r="Z159" i="2"/>
  <c r="Z150" i="2"/>
  <c r="Z160" i="2"/>
  <c r="Z156" i="2"/>
  <c r="Z162" i="2"/>
  <c r="Z161" i="2"/>
  <c r="Z153" i="2"/>
  <c r="Z148" i="2"/>
  <c r="Z158" i="2"/>
  <c r="Z164" i="2"/>
  <c r="Z154" i="2"/>
  <c r="Z152" i="2"/>
  <c r="AA410" i="2"/>
  <c r="Z494" i="2"/>
  <c r="Z502" i="2"/>
  <c r="Z496" i="2"/>
  <c r="Z504" i="2"/>
  <c r="Z490" i="2"/>
  <c r="Z498" i="2"/>
  <c r="Z506" i="2"/>
  <c r="Z492" i="2"/>
  <c r="Z500" i="2"/>
  <c r="Z493" i="2"/>
  <c r="Z495" i="2"/>
  <c r="Z499" i="2"/>
  <c r="Z503" i="2"/>
  <c r="Z491" i="2"/>
  <c r="Z505" i="2"/>
  <c r="Z501" i="2"/>
  <c r="Z497" i="2"/>
  <c r="Z298" i="2"/>
  <c r="Z306" i="2"/>
  <c r="Z292" i="2"/>
  <c r="Z300" i="2"/>
  <c r="Z308" i="2"/>
  <c r="Z294" i="2"/>
  <c r="Z302" i="2"/>
  <c r="Z296" i="2"/>
  <c r="Z304" i="2"/>
  <c r="Z299" i="2"/>
  <c r="Z303" i="2"/>
  <c r="Z307" i="2"/>
  <c r="Z295" i="2"/>
  <c r="Z293" i="2"/>
  <c r="Z301" i="2"/>
  <c r="Z297" i="2"/>
  <c r="Z305" i="2"/>
  <c r="AA640" i="2"/>
  <c r="AA648" i="2"/>
  <c r="AA641" i="2"/>
  <c r="AA649" i="2"/>
  <c r="AA635" i="2"/>
  <c r="AA643" i="2"/>
  <c r="AA637" i="2"/>
  <c r="AA645" i="2"/>
  <c r="AA639" i="2"/>
  <c r="AA647" i="2"/>
  <c r="AA644" i="2"/>
  <c r="AA642" i="2"/>
  <c r="AA636" i="2"/>
  <c r="AA634" i="2"/>
  <c r="AA650" i="2"/>
  <c r="AA646" i="2"/>
  <c r="AA638" i="2"/>
  <c r="Z77" i="2"/>
  <c r="Z85" i="2"/>
  <c r="Z79" i="2"/>
  <c r="Z87" i="2"/>
  <c r="Z81" i="2"/>
  <c r="Z86" i="2"/>
  <c r="Z89" i="2"/>
  <c r="Z78" i="2"/>
  <c r="Z91" i="2"/>
  <c r="Z82" i="2"/>
  <c r="Z84" i="2"/>
  <c r="Z92" i="2"/>
  <c r="Z88" i="2"/>
  <c r="Z83" i="2"/>
  <c r="Z90" i="2"/>
  <c r="Z80" i="2"/>
  <c r="Z76" i="2"/>
  <c r="Y12" i="2"/>
  <c r="Y20" i="2"/>
  <c r="Y6" i="2"/>
  <c r="Y14" i="2"/>
  <c r="Y8" i="2"/>
  <c r="Y16" i="2"/>
  <c r="Y19" i="2"/>
  <c r="Y18" i="2"/>
  <c r="Y7" i="2"/>
  <c r="Y17" i="2"/>
  <c r="Y13" i="2"/>
  <c r="Y11" i="2"/>
  <c r="Y9" i="2"/>
  <c r="Y15" i="2"/>
  <c r="Y5" i="2"/>
  <c r="Y10" i="2"/>
  <c r="O8" i="7"/>
  <c r="Y201" i="2"/>
  <c r="Y147" i="2"/>
  <c r="Z185" i="2"/>
  <c r="Z193" i="2"/>
  <c r="Z186" i="2"/>
  <c r="Z187" i="2"/>
  <c r="Z188" i="2"/>
  <c r="Z189" i="2"/>
  <c r="Z190" i="2"/>
  <c r="Z191" i="2"/>
  <c r="Z192" i="2"/>
  <c r="Z184" i="2"/>
  <c r="Z195" i="2"/>
  <c r="Z199" i="2"/>
  <c r="Z196" i="2"/>
  <c r="Z200" i="2"/>
  <c r="Z194" i="2"/>
  <c r="Z197" i="2"/>
  <c r="Z198" i="2"/>
  <c r="AA418" i="2"/>
  <c r="AA420" i="2"/>
  <c r="AA425" i="2"/>
  <c r="AA433" i="2"/>
  <c r="AA427" i="2"/>
  <c r="AA419" i="2"/>
  <c r="AA421" i="2"/>
  <c r="AA429" i="2"/>
  <c r="AA423" i="2"/>
  <c r="AA431" i="2"/>
  <c r="AA432" i="2"/>
  <c r="AA434" i="2"/>
  <c r="AA422" i="2"/>
  <c r="AA426" i="2"/>
  <c r="AA430" i="2"/>
  <c r="AA428" i="2"/>
  <c r="AA424" i="2"/>
  <c r="Z383" i="2"/>
  <c r="Z391" i="2"/>
  <c r="Z385" i="2"/>
  <c r="Z393" i="2"/>
  <c r="Z387" i="2"/>
  <c r="Z395" i="2"/>
  <c r="Z384" i="2"/>
  <c r="Z397" i="2"/>
  <c r="Z386" i="2"/>
  <c r="Z396" i="2"/>
  <c r="Z392" i="2"/>
  <c r="Z398" i="2"/>
  <c r="Z382" i="2"/>
  <c r="Z394" i="2"/>
  <c r="Z389" i="2"/>
  <c r="Z390" i="2"/>
  <c r="Z388" i="2"/>
  <c r="Z528" i="2"/>
  <c r="Z536" i="2"/>
  <c r="Z530" i="2"/>
  <c r="Z538" i="2"/>
  <c r="Z532" i="2"/>
  <c r="Z540" i="2"/>
  <c r="Z526" i="2"/>
  <c r="Z534" i="2"/>
  <c r="Z542" i="2"/>
  <c r="Z527" i="2"/>
  <c r="Z529" i="2"/>
  <c r="Z533" i="2"/>
  <c r="Z537" i="2"/>
  <c r="Z541" i="2"/>
  <c r="Z531" i="2"/>
  <c r="Z539" i="2"/>
  <c r="Z535" i="2"/>
  <c r="AA623" i="2"/>
  <c r="AA631" i="2"/>
  <c r="AA616" i="2"/>
  <c r="AA624" i="2"/>
  <c r="AA632" i="2"/>
  <c r="AA618" i="2"/>
  <c r="AA626" i="2"/>
  <c r="AA620" i="2"/>
  <c r="AA628" i="2"/>
  <c r="AA622" i="2"/>
  <c r="AA630" i="2"/>
  <c r="AA617" i="2"/>
  <c r="AA629" i="2"/>
  <c r="AA627" i="2"/>
  <c r="AA625" i="2"/>
  <c r="AA621" i="2"/>
  <c r="AA619" i="2"/>
  <c r="Y93" i="2"/>
  <c r="Y579" i="2"/>
  <c r="Y561" i="2"/>
  <c r="Z435" i="2"/>
  <c r="Y75" i="2"/>
  <c r="Z239" i="2"/>
  <c r="Z247" i="2"/>
  <c r="Z241" i="2"/>
  <c r="Z249" i="2"/>
  <c r="Z243" i="2"/>
  <c r="Z251" i="2"/>
  <c r="Z245" i="2"/>
  <c r="Z253" i="2"/>
  <c r="Z248" i="2"/>
  <c r="Z252" i="2"/>
  <c r="Z240" i="2"/>
  <c r="Z244" i="2"/>
  <c r="Z246" i="2"/>
  <c r="Z254" i="2"/>
  <c r="Z250" i="2"/>
  <c r="Z242" i="2"/>
  <c r="Z238" i="2"/>
  <c r="Z45" i="2"/>
  <c r="Z53" i="2"/>
  <c r="Z47" i="2"/>
  <c r="Z41" i="2"/>
  <c r="Z49" i="2"/>
  <c r="Z48" i="2"/>
  <c r="Z44" i="2"/>
  <c r="Z43" i="2"/>
  <c r="Z42" i="2"/>
  <c r="Z55" i="2"/>
  <c r="Z50" i="2"/>
  <c r="Z40" i="2"/>
  <c r="Z52" i="2"/>
  <c r="Z56" i="2"/>
  <c r="Z54" i="2"/>
  <c r="Z51" i="2"/>
  <c r="Z46" i="2"/>
  <c r="Y363" i="2"/>
  <c r="Y381" i="2"/>
  <c r="Z615" i="2"/>
  <c r="O33" i="7"/>
  <c r="Y291" i="2"/>
  <c r="Y489" i="2"/>
  <c r="Z130" i="2"/>
  <c r="Z138" i="2"/>
  <c r="Z146" i="2"/>
  <c r="Z132" i="2"/>
  <c r="Z140" i="2"/>
  <c r="Z134" i="2"/>
  <c r="Z142" i="2"/>
  <c r="Z139" i="2"/>
  <c r="Z145" i="2"/>
  <c r="Z144" i="2"/>
  <c r="Z133" i="2"/>
  <c r="Z143" i="2"/>
  <c r="Z135" i="2"/>
  <c r="Z137" i="2"/>
  <c r="Z136" i="2"/>
  <c r="Z141" i="2"/>
  <c r="Z131" i="2"/>
  <c r="AA476" i="2"/>
  <c r="AA484" i="2"/>
  <c r="AA478" i="2"/>
  <c r="AA486" i="2"/>
  <c r="AA472" i="2"/>
  <c r="AA480" i="2"/>
  <c r="AA488" i="2"/>
  <c r="AA474" i="2"/>
  <c r="AA482" i="2"/>
  <c r="AA483" i="2"/>
  <c r="AA485" i="2"/>
  <c r="AA473" i="2"/>
  <c r="AA477" i="2"/>
  <c r="AA481" i="2"/>
  <c r="AA487" i="2"/>
  <c r="AA479" i="2"/>
  <c r="AA475" i="2"/>
  <c r="AA324" i="2"/>
  <c r="Z96" i="2"/>
  <c r="Z104" i="2"/>
  <c r="Z98" i="2"/>
  <c r="Z106" i="2"/>
  <c r="Z100" i="2"/>
  <c r="Z108" i="2"/>
  <c r="Z110" i="2"/>
  <c r="Z99" i="2"/>
  <c r="Z109" i="2"/>
  <c r="Z95" i="2"/>
  <c r="Z105" i="2"/>
  <c r="Z94" i="2"/>
  <c r="Z103" i="2"/>
  <c r="Z101" i="2"/>
  <c r="Z102" i="2"/>
  <c r="Z97" i="2"/>
  <c r="Z107" i="2"/>
  <c r="AA442" i="2"/>
  <c r="AA450" i="2"/>
  <c r="AA436" i="2"/>
  <c r="AA444" i="2"/>
  <c r="AA452" i="2"/>
  <c r="AA438" i="2"/>
  <c r="AA446" i="2"/>
  <c r="AA440" i="2"/>
  <c r="AA448" i="2"/>
  <c r="AA449" i="2"/>
  <c r="AA451" i="2"/>
  <c r="AA439" i="2"/>
  <c r="AA443" i="2"/>
  <c r="AA447" i="2"/>
  <c r="AA445" i="2"/>
  <c r="AA441" i="2"/>
  <c r="AA437" i="2"/>
  <c r="Z28" i="2"/>
  <c r="Z36" i="2"/>
  <c r="Z22" i="2"/>
  <c r="Z30" i="2"/>
  <c r="Z38" i="2"/>
  <c r="Z24" i="2"/>
  <c r="Z32" i="2"/>
  <c r="Z27" i="2"/>
  <c r="Z37" i="2"/>
  <c r="Z26" i="2"/>
  <c r="Z25" i="2"/>
  <c r="Z31" i="2"/>
  <c r="Z29" i="2"/>
  <c r="Z33" i="2"/>
  <c r="Z34" i="2"/>
  <c r="Z35" i="2"/>
  <c r="Z23" i="2"/>
  <c r="Y273" i="2"/>
  <c r="X327" i="2"/>
  <c r="Z582" i="2"/>
  <c r="Z590" i="2"/>
  <c r="Z583" i="2"/>
  <c r="Z591" i="2"/>
  <c r="Z585" i="2"/>
  <c r="Z593" i="2"/>
  <c r="Z587" i="2"/>
  <c r="Z595" i="2"/>
  <c r="Z581" i="2"/>
  <c r="Z589" i="2"/>
  <c r="Z596" i="2"/>
  <c r="Z594" i="2"/>
  <c r="Z580" i="2"/>
  <c r="Z592" i="2"/>
  <c r="Z588" i="2"/>
  <c r="Z586" i="2"/>
  <c r="Z584" i="2"/>
  <c r="Y237" i="2"/>
  <c r="Y165" i="2"/>
  <c r="Y219" i="2"/>
  <c r="Z222" i="2"/>
  <c r="Z230" i="2"/>
  <c r="Z224" i="2"/>
  <c r="Z232" i="2"/>
  <c r="Z226" i="2"/>
  <c r="Z234" i="2"/>
  <c r="Z220" i="2"/>
  <c r="Z228" i="2"/>
  <c r="Z236" i="2"/>
  <c r="Z231" i="2"/>
  <c r="Z235" i="2"/>
  <c r="Z223" i="2"/>
  <c r="Z227" i="2"/>
  <c r="Z221" i="2"/>
  <c r="Z225" i="2"/>
  <c r="Z233" i="2"/>
  <c r="Z229" i="2"/>
  <c r="Z366" i="2"/>
  <c r="Z374" i="2"/>
  <c r="Z368" i="2"/>
  <c r="Z376" i="2"/>
  <c r="Z370" i="2"/>
  <c r="Z378" i="2"/>
  <c r="Z364" i="2"/>
  <c r="Z372" i="2"/>
  <c r="Z380" i="2"/>
  <c r="Z367" i="2"/>
  <c r="Z371" i="2"/>
  <c r="Z375" i="2"/>
  <c r="Z379" i="2"/>
  <c r="Z369" i="2"/>
  <c r="Z377" i="2"/>
  <c r="Z373" i="2"/>
  <c r="Z365" i="2"/>
  <c r="Z460" i="2"/>
  <c r="Z468" i="2"/>
  <c r="Z454" i="2"/>
  <c r="Z462" i="2"/>
  <c r="Z470" i="2"/>
  <c r="Z456" i="2"/>
  <c r="Z464" i="2"/>
  <c r="Z458" i="2"/>
  <c r="Z466" i="2"/>
  <c r="Z459" i="2"/>
  <c r="Z461" i="2"/>
  <c r="Z465" i="2"/>
  <c r="Z469" i="2"/>
  <c r="Z457" i="2"/>
  <c r="Z467" i="2"/>
  <c r="Z463" i="2"/>
  <c r="Z455" i="2"/>
  <c r="Z202" i="2"/>
  <c r="Z210" i="2"/>
  <c r="Z213" i="2"/>
  <c r="Z215" i="2"/>
  <c r="Z217" i="2"/>
  <c r="Z203" i="2"/>
  <c r="Z204" i="2"/>
  <c r="Z205" i="2"/>
  <c r="Z206" i="2"/>
  <c r="Z207" i="2"/>
  <c r="Z208" i="2"/>
  <c r="Z209" i="2"/>
  <c r="Z211" i="2"/>
  <c r="Z214" i="2"/>
  <c r="Z218" i="2"/>
  <c r="Z212" i="2"/>
  <c r="Z216" i="2"/>
  <c r="Y333" i="2"/>
  <c r="Y341" i="2"/>
  <c r="Y335" i="2"/>
  <c r="Y343" i="2"/>
  <c r="Y329" i="2"/>
  <c r="Y337" i="2"/>
  <c r="Y331" i="2"/>
  <c r="Y339" i="2"/>
  <c r="Y342" i="2"/>
  <c r="Y330" i="2"/>
  <c r="Y334" i="2"/>
  <c r="Y338" i="2"/>
  <c r="Y340" i="2"/>
  <c r="Y344" i="2"/>
  <c r="Y328" i="2"/>
  <c r="Y336" i="2"/>
  <c r="Y332" i="2"/>
  <c r="Y21" i="2"/>
  <c r="Y453" i="2"/>
  <c r="O17" i="7"/>
  <c r="AA310" i="2"/>
  <c r="O6" i="7"/>
  <c r="O14" i="7"/>
  <c r="O9" i="7"/>
  <c r="O21" i="7"/>
  <c r="M94" i="7"/>
  <c r="O5" i="7"/>
  <c r="O31" i="7"/>
  <c r="O11" i="7"/>
  <c r="O39" i="7"/>
  <c r="O15" i="7"/>
  <c r="O26" i="7"/>
  <c r="O3" i="7"/>
  <c r="O13" i="7"/>
  <c r="O2" i="7"/>
  <c r="O56" i="7" s="1"/>
  <c r="O97" i="7" s="1"/>
  <c r="O32" i="7"/>
  <c r="O30" i="7"/>
  <c r="Y4" i="2"/>
  <c r="L135" i="7"/>
  <c r="O7" i="7"/>
  <c r="O12" i="7"/>
  <c r="O28" i="7"/>
  <c r="Z359" i="2"/>
  <c r="O10" i="7"/>
  <c r="O4" i="7"/>
  <c r="O22" i="7"/>
  <c r="AA405" i="2"/>
  <c r="O16" i="7"/>
  <c r="O20" i="7"/>
  <c r="O19" i="7"/>
  <c r="O73" i="7" s="1"/>
  <c r="O114" i="7" s="1"/>
  <c r="AC1183" i="2" l="1"/>
  <c r="AC1178" i="2"/>
  <c r="AC1177" i="2"/>
  <c r="AC1180" i="2"/>
  <c r="AC1184" i="2"/>
  <c r="AC1175" i="2"/>
  <c r="AC1189" i="2"/>
  <c r="AC1176" i="2"/>
  <c r="AC1187" i="2"/>
  <c r="AC1188" i="2"/>
  <c r="AC1179" i="2"/>
  <c r="AC1182" i="2"/>
  <c r="AC1181" i="2"/>
  <c r="AB1173" i="2"/>
  <c r="AC1190" i="2"/>
  <c r="AC1174" i="2"/>
  <c r="AC1186" i="2"/>
  <c r="AA1173" i="2"/>
  <c r="X1" i="2"/>
  <c r="AB425" i="2"/>
  <c r="AC425" i="2" s="1"/>
  <c r="AB426" i="2"/>
  <c r="AC426" i="2" s="1"/>
  <c r="AB422" i="2"/>
  <c r="AC422" i="2" s="1"/>
  <c r="AB432" i="2"/>
  <c r="AC432" i="2" s="1"/>
  <c r="AB424" i="2"/>
  <c r="AC424" i="2" s="1"/>
  <c r="AB431" i="2"/>
  <c r="AC431" i="2" s="1"/>
  <c r="AB421" i="2"/>
  <c r="AC421" i="2" s="1"/>
  <c r="AB418" i="2"/>
  <c r="AC418" i="2" s="1"/>
  <c r="AB427" i="2"/>
  <c r="AC427" i="2" s="1"/>
  <c r="AB428" i="2"/>
  <c r="AC428" i="2" s="1"/>
  <c r="AB419" i="2"/>
  <c r="AC419" i="2" s="1"/>
  <c r="AB423" i="2"/>
  <c r="AC423" i="2" s="1"/>
  <c r="AB430" i="2"/>
  <c r="AC430" i="2" s="1"/>
  <c r="AB433" i="2"/>
  <c r="AC433" i="2" s="1"/>
  <c r="AB420" i="2"/>
  <c r="AC420" i="2" s="1"/>
  <c r="AB429" i="2"/>
  <c r="AC429" i="2" s="1"/>
  <c r="AA651" i="2"/>
  <c r="Z309" i="2"/>
  <c r="Y345" i="2"/>
  <c r="Z399" i="2"/>
  <c r="AA411" i="2"/>
  <c r="Z597" i="2"/>
  <c r="Z358" i="2"/>
  <c r="Z351" i="2"/>
  <c r="AA315" i="2"/>
  <c r="AA599" i="2"/>
  <c r="Z354" i="2"/>
  <c r="Z357" i="2"/>
  <c r="AA311" i="2"/>
  <c r="AA316" i="2"/>
  <c r="AA613" i="2"/>
  <c r="AA614" i="2"/>
  <c r="AA416" i="2"/>
  <c r="AA403" i="2"/>
  <c r="Z360" i="2"/>
  <c r="Z350" i="2"/>
  <c r="Z349" i="2"/>
  <c r="AA323" i="2"/>
  <c r="AA322" i="2"/>
  <c r="AA605" i="2"/>
  <c r="AA606" i="2"/>
  <c r="AA406" i="2"/>
  <c r="AA409" i="2"/>
  <c r="Z352" i="2"/>
  <c r="Z355" i="2"/>
  <c r="AA313" i="2"/>
  <c r="AA320" i="2"/>
  <c r="AA314" i="2"/>
  <c r="AA608" i="2"/>
  <c r="AA611" i="2"/>
  <c r="AA598" i="2"/>
  <c r="AA400" i="2"/>
  <c r="AA401" i="2"/>
  <c r="Z356" i="2"/>
  <c r="Z347" i="2"/>
  <c r="AA317" i="2"/>
  <c r="AA312" i="2"/>
  <c r="AA610" i="2"/>
  <c r="AA603" i="2"/>
  <c r="AA402" i="2"/>
  <c r="AA412" i="2"/>
  <c r="AA407" i="2"/>
  <c r="Z348" i="2"/>
  <c r="Z361" i="2"/>
  <c r="AA325" i="2"/>
  <c r="AA326" i="2"/>
  <c r="AA612" i="2"/>
  <c r="AA609" i="2"/>
  <c r="AA415" i="2"/>
  <c r="AA404" i="2"/>
  <c r="AA604" i="2"/>
  <c r="Z362" i="2"/>
  <c r="Z353" i="2"/>
  <c r="AA321" i="2"/>
  <c r="AA318" i="2"/>
  <c r="AA600" i="2"/>
  <c r="AA601" i="2"/>
  <c r="AA413" i="2"/>
  <c r="AA414" i="2"/>
  <c r="Z346" i="2"/>
  <c r="AA319" i="2"/>
  <c r="AA602" i="2"/>
  <c r="AA408" i="2"/>
  <c r="AB630" i="2"/>
  <c r="AC630" i="2" s="1"/>
  <c r="AB629" i="2"/>
  <c r="AC629" i="2" s="1"/>
  <c r="AB621" i="2"/>
  <c r="AC621" i="2" s="1"/>
  <c r="AF621" i="2" s="1"/>
  <c r="AB623" i="2"/>
  <c r="AC623" i="2" s="1"/>
  <c r="AB624" i="2"/>
  <c r="AC624" i="2" s="1"/>
  <c r="AB631" i="2"/>
  <c r="AC631" i="2" s="1"/>
  <c r="AB620" i="2"/>
  <c r="AC620" i="2" s="1"/>
  <c r="AB617" i="2"/>
  <c r="AC617" i="2" s="1"/>
  <c r="AB632" i="2"/>
  <c r="AC632" i="2" s="1"/>
  <c r="AF632" i="2" s="1"/>
  <c r="AB625" i="2"/>
  <c r="AC625" i="2" s="1"/>
  <c r="AB618" i="2"/>
  <c r="AC618" i="2" s="1"/>
  <c r="AB619" i="2"/>
  <c r="AC619" i="2" s="1"/>
  <c r="AB616" i="2"/>
  <c r="AC616" i="2" s="1"/>
  <c r="AB628" i="2"/>
  <c r="AC628" i="2" s="1"/>
  <c r="AB626" i="2"/>
  <c r="AC626" i="2" s="1"/>
  <c r="AD626" i="2" s="1"/>
  <c r="AB627" i="2"/>
  <c r="AC627" i="2" s="1"/>
  <c r="AD627" i="2" s="1"/>
  <c r="AB622" i="2"/>
  <c r="AC622" i="2" s="1"/>
  <c r="AF622" i="2" s="1"/>
  <c r="AB406" i="2"/>
  <c r="AB409" i="2"/>
  <c r="O59" i="7"/>
  <c r="O100" i="7" s="1"/>
  <c r="O67" i="7"/>
  <c r="O62" i="7"/>
  <c r="O103" i="7" s="1"/>
  <c r="O68" i="7"/>
  <c r="O109" i="7" s="1"/>
  <c r="O57" i="7"/>
  <c r="O98" i="7" s="1"/>
  <c r="O87" i="7"/>
  <c r="O128" i="7" s="1"/>
  <c r="AB569" i="2" s="1"/>
  <c r="O63" i="7"/>
  <c r="O104" i="7" s="1"/>
  <c r="O70" i="7"/>
  <c r="O111" i="7" s="1"/>
  <c r="AB262" i="2" s="1"/>
  <c r="AB413" i="2"/>
  <c r="O76" i="7"/>
  <c r="O117" i="7" s="1"/>
  <c r="AB389" i="2" s="1"/>
  <c r="O82" i="7"/>
  <c r="O123" i="7" s="1"/>
  <c r="O66" i="7"/>
  <c r="O107" i="7" s="1"/>
  <c r="O65" i="7"/>
  <c r="O106" i="7" s="1"/>
  <c r="O60" i="7"/>
  <c r="O101" i="7" s="1"/>
  <c r="O58" i="7"/>
  <c r="O99" i="7" s="1"/>
  <c r="AB43" i="2" s="1"/>
  <c r="O84" i="7"/>
  <c r="O125" i="7" s="1"/>
  <c r="O93" i="7"/>
  <c r="O134" i="7" s="1"/>
  <c r="O80" i="7"/>
  <c r="O121" i="7" s="1"/>
  <c r="AB470" i="2" s="1"/>
  <c r="O85" i="7"/>
  <c r="O126" i="7" s="1"/>
  <c r="AB322" i="2"/>
  <c r="O71" i="7"/>
  <c r="O112" i="7" s="1"/>
  <c r="AB296" i="2" s="1"/>
  <c r="O74" i="7"/>
  <c r="O115" i="7" s="1"/>
  <c r="O75" i="7"/>
  <c r="O116" i="7" s="1"/>
  <c r="O64" i="7"/>
  <c r="O61" i="7"/>
  <c r="O102" i="7" s="1"/>
  <c r="AB602" i="2"/>
  <c r="O86" i="7"/>
  <c r="O127" i="7" s="1"/>
  <c r="AB555" i="2" s="1"/>
  <c r="O69" i="7"/>
  <c r="O110" i="7" s="1"/>
  <c r="AC434" i="2"/>
  <c r="Y3" i="2"/>
  <c r="AA633" i="2"/>
  <c r="AA59" i="2"/>
  <c r="AA67" i="2"/>
  <c r="AA61" i="2"/>
  <c r="AA69" i="2"/>
  <c r="AA63" i="2"/>
  <c r="AA71" i="2"/>
  <c r="AA68" i="2"/>
  <c r="AA74" i="2"/>
  <c r="AA60" i="2"/>
  <c r="AA73" i="2"/>
  <c r="AA64" i="2"/>
  <c r="AA65" i="2"/>
  <c r="AA72" i="2"/>
  <c r="AA70" i="2"/>
  <c r="AA62" i="2"/>
  <c r="AA58" i="2"/>
  <c r="AA66" i="2"/>
  <c r="AB301" i="2"/>
  <c r="AA435" i="2"/>
  <c r="Z93" i="2"/>
  <c r="Z39" i="2"/>
  <c r="Z525" i="2"/>
  <c r="AA417" i="2"/>
  <c r="Z111" i="2"/>
  <c r="AA44" i="2"/>
  <c r="AA52" i="2"/>
  <c r="AA46" i="2"/>
  <c r="AA40" i="2"/>
  <c r="AA48" i="2"/>
  <c r="AA45" i="2"/>
  <c r="AA56" i="2"/>
  <c r="AA51" i="2"/>
  <c r="AA50" i="2"/>
  <c r="AA49" i="2"/>
  <c r="AA53" i="2"/>
  <c r="AA54" i="2"/>
  <c r="AA47" i="2"/>
  <c r="AA42" i="2"/>
  <c r="AA55" i="2"/>
  <c r="AA43" i="2"/>
  <c r="AA41" i="2"/>
  <c r="AA263" i="2"/>
  <c r="AA271" i="2"/>
  <c r="AA257" i="2"/>
  <c r="AA265" i="2"/>
  <c r="AA259" i="2"/>
  <c r="AA267" i="2"/>
  <c r="AA261" i="2"/>
  <c r="AA269" i="2"/>
  <c r="AA256" i="2"/>
  <c r="AA272" i="2"/>
  <c r="AA260" i="2"/>
  <c r="AA264" i="2"/>
  <c r="AA268" i="2"/>
  <c r="AA262" i="2"/>
  <c r="AA258" i="2"/>
  <c r="AA266" i="2"/>
  <c r="AA270" i="2"/>
  <c r="AA527" i="2"/>
  <c r="AA535" i="2"/>
  <c r="AA529" i="2"/>
  <c r="AA537" i="2"/>
  <c r="AA531" i="2"/>
  <c r="AA539" i="2"/>
  <c r="AA533" i="2"/>
  <c r="AA541" i="2"/>
  <c r="AA534" i="2"/>
  <c r="AA536" i="2"/>
  <c r="AA540" i="2"/>
  <c r="AA528" i="2"/>
  <c r="AA532" i="2"/>
  <c r="AA526" i="2"/>
  <c r="AA542" i="2"/>
  <c r="AA538" i="2"/>
  <c r="AA530" i="2"/>
  <c r="AA209" i="2"/>
  <c r="AA212" i="2"/>
  <c r="AA214" i="2"/>
  <c r="AA216" i="2"/>
  <c r="AA210" i="2"/>
  <c r="AA218" i="2"/>
  <c r="AA213" i="2"/>
  <c r="AA217" i="2"/>
  <c r="AA204" i="2"/>
  <c r="AA208" i="2"/>
  <c r="AA205" i="2"/>
  <c r="AA215" i="2"/>
  <c r="AA203" i="2"/>
  <c r="AA206" i="2"/>
  <c r="AA207" i="2"/>
  <c r="AA211" i="2"/>
  <c r="AA202" i="2"/>
  <c r="AA137" i="2"/>
  <c r="AA145" i="2"/>
  <c r="AA131" i="2"/>
  <c r="AA139" i="2"/>
  <c r="AA133" i="2"/>
  <c r="AA141" i="2"/>
  <c r="AA136" i="2"/>
  <c r="AA146" i="2"/>
  <c r="AA135" i="2"/>
  <c r="AA134" i="2"/>
  <c r="AA130" i="2"/>
  <c r="AA140" i="2"/>
  <c r="AA132" i="2"/>
  <c r="AA144" i="2"/>
  <c r="AA142" i="2"/>
  <c r="AA138" i="2"/>
  <c r="AA143" i="2"/>
  <c r="Z579" i="2"/>
  <c r="AA471" i="2"/>
  <c r="Z183" i="2"/>
  <c r="AA493" i="2"/>
  <c r="AA501" i="2"/>
  <c r="AA495" i="2"/>
  <c r="AA503" i="2"/>
  <c r="AA497" i="2"/>
  <c r="AA505" i="2"/>
  <c r="AA491" i="2"/>
  <c r="AA499" i="2"/>
  <c r="AA500" i="2"/>
  <c r="AA502" i="2"/>
  <c r="AA490" i="2"/>
  <c r="AA506" i="2"/>
  <c r="AA494" i="2"/>
  <c r="AA498" i="2"/>
  <c r="AA496" i="2"/>
  <c r="AA492" i="2"/>
  <c r="AA504" i="2"/>
  <c r="Z363" i="2"/>
  <c r="AB492" i="2"/>
  <c r="AB506" i="2"/>
  <c r="AB495" i="2"/>
  <c r="AA280" i="2"/>
  <c r="AA288" i="2"/>
  <c r="AA274" i="2"/>
  <c r="AA282" i="2"/>
  <c r="AA290" i="2"/>
  <c r="AA276" i="2"/>
  <c r="AA284" i="2"/>
  <c r="AA278" i="2"/>
  <c r="AA286" i="2"/>
  <c r="AA289" i="2"/>
  <c r="AA277" i="2"/>
  <c r="AA281" i="2"/>
  <c r="AA285" i="2"/>
  <c r="AA287" i="2"/>
  <c r="AA275" i="2"/>
  <c r="AA283" i="2"/>
  <c r="AA279" i="2"/>
  <c r="AA154" i="2"/>
  <c r="AA162" i="2"/>
  <c r="AA148" i="2"/>
  <c r="AA156" i="2"/>
  <c r="AA164" i="2"/>
  <c r="AA150" i="2"/>
  <c r="AA158" i="2"/>
  <c r="AA157" i="2"/>
  <c r="AA153" i="2"/>
  <c r="AA163" i="2"/>
  <c r="AA152" i="2"/>
  <c r="AA151" i="2"/>
  <c r="AA160" i="2"/>
  <c r="AA155" i="2"/>
  <c r="AA159" i="2"/>
  <c r="AA149" i="2"/>
  <c r="AA161" i="2"/>
  <c r="AA184" i="2"/>
  <c r="AA192" i="2"/>
  <c r="AA200" i="2"/>
  <c r="AA193" i="2"/>
  <c r="AA194" i="2"/>
  <c r="AA195" i="2"/>
  <c r="AA196" i="2"/>
  <c r="AA197" i="2"/>
  <c r="AA198" i="2"/>
  <c r="AA199" i="2"/>
  <c r="AA185" i="2"/>
  <c r="AA187" i="2"/>
  <c r="AA189" i="2"/>
  <c r="AA191" i="2"/>
  <c r="AA186" i="2"/>
  <c r="AA188" i="2"/>
  <c r="AA190" i="2"/>
  <c r="AA238" i="2"/>
  <c r="AA246" i="2"/>
  <c r="AA254" i="2"/>
  <c r="AA240" i="2"/>
  <c r="AA248" i="2"/>
  <c r="AA242" i="2"/>
  <c r="AA250" i="2"/>
  <c r="AA244" i="2"/>
  <c r="AA252" i="2"/>
  <c r="AA239" i="2"/>
  <c r="AA243" i="2"/>
  <c r="AA247" i="2"/>
  <c r="AA251" i="2"/>
  <c r="AA253" i="2"/>
  <c r="AA241" i="2"/>
  <c r="AA249" i="2"/>
  <c r="AA245" i="2"/>
  <c r="Z201" i="2"/>
  <c r="Z453" i="2"/>
  <c r="Z219" i="2"/>
  <c r="AA112" i="2"/>
  <c r="AA120" i="2"/>
  <c r="AA128" i="2"/>
  <c r="AA114" i="2"/>
  <c r="AA122" i="2"/>
  <c r="AA116" i="2"/>
  <c r="AA124" i="2"/>
  <c r="AA118" i="2"/>
  <c r="AA117" i="2"/>
  <c r="AA113" i="2"/>
  <c r="AA123" i="2"/>
  <c r="AA119" i="2"/>
  <c r="AA126" i="2"/>
  <c r="AA121" i="2"/>
  <c r="AA127" i="2"/>
  <c r="AA125" i="2"/>
  <c r="AA115" i="2"/>
  <c r="Z489" i="2"/>
  <c r="AA297" i="2"/>
  <c r="AA305" i="2"/>
  <c r="AA299" i="2"/>
  <c r="AA307" i="2"/>
  <c r="AA293" i="2"/>
  <c r="AA301" i="2"/>
  <c r="AA295" i="2"/>
  <c r="AA303" i="2"/>
  <c r="AA306" i="2"/>
  <c r="AA294" i="2"/>
  <c r="AA298" i="2"/>
  <c r="AA302" i="2"/>
  <c r="AA296" i="2"/>
  <c r="AA292" i="2"/>
  <c r="AA300" i="2"/>
  <c r="AA308" i="2"/>
  <c r="AA304" i="2"/>
  <c r="AA563" i="2"/>
  <c r="AA571" i="2"/>
  <c r="AA567" i="2"/>
  <c r="AA562" i="2"/>
  <c r="AA568" i="2"/>
  <c r="AA566" i="2"/>
  <c r="AA572" i="2"/>
  <c r="AA575" i="2"/>
  <c r="AA564" i="2"/>
  <c r="AA577" i="2"/>
  <c r="AA569" i="2"/>
  <c r="AA576" i="2"/>
  <c r="AA574" i="2"/>
  <c r="AA565" i="2"/>
  <c r="AA573" i="2"/>
  <c r="AA578" i="2"/>
  <c r="AA570" i="2"/>
  <c r="AA167" i="2"/>
  <c r="AA175" i="2"/>
  <c r="AA176" i="2"/>
  <c r="AA177" i="2"/>
  <c r="AA178" i="2"/>
  <c r="AA179" i="2"/>
  <c r="AA180" i="2"/>
  <c r="AA181" i="2"/>
  <c r="AA182" i="2"/>
  <c r="AA166" i="2"/>
  <c r="AA170" i="2"/>
  <c r="AA174" i="2"/>
  <c r="AA171" i="2"/>
  <c r="AA168" i="2"/>
  <c r="AA172" i="2"/>
  <c r="AA169" i="2"/>
  <c r="AA173" i="2"/>
  <c r="AA581" i="2"/>
  <c r="AA589" i="2"/>
  <c r="AA582" i="2"/>
  <c r="AA590" i="2"/>
  <c r="AA584" i="2"/>
  <c r="AA592" i="2"/>
  <c r="AA586" i="2"/>
  <c r="AA594" i="2"/>
  <c r="AA580" i="2"/>
  <c r="AA588" i="2"/>
  <c r="AA596" i="2"/>
  <c r="AA587" i="2"/>
  <c r="AA585" i="2"/>
  <c r="AA583" i="2"/>
  <c r="AA595" i="2"/>
  <c r="AA593" i="2"/>
  <c r="AA591" i="2"/>
  <c r="AA615" i="2"/>
  <c r="Z381" i="2"/>
  <c r="Z75" i="2"/>
  <c r="Z291" i="2"/>
  <c r="Z543" i="2"/>
  <c r="Z273" i="2"/>
  <c r="AA365" i="2"/>
  <c r="AA373" i="2"/>
  <c r="AA367" i="2"/>
  <c r="AA375" i="2"/>
  <c r="AA369" i="2"/>
  <c r="AA377" i="2"/>
  <c r="AA371" i="2"/>
  <c r="AA379" i="2"/>
  <c r="AA374" i="2"/>
  <c r="AA378" i="2"/>
  <c r="AA366" i="2"/>
  <c r="AA370" i="2"/>
  <c r="AA364" i="2"/>
  <c r="AA368" i="2"/>
  <c r="AA376" i="2"/>
  <c r="AA372" i="2"/>
  <c r="AA380" i="2"/>
  <c r="Y327" i="2"/>
  <c r="AA382" i="2"/>
  <c r="AA390" i="2"/>
  <c r="AA398" i="2"/>
  <c r="AA384" i="2"/>
  <c r="AA392" i="2"/>
  <c r="AA386" i="2"/>
  <c r="AA394" i="2"/>
  <c r="AA387" i="2"/>
  <c r="AA393" i="2"/>
  <c r="AA383" i="2"/>
  <c r="AA389" i="2"/>
  <c r="AA388" i="2"/>
  <c r="AA391" i="2"/>
  <c r="AA397" i="2"/>
  <c r="AA395" i="2"/>
  <c r="AA385" i="2"/>
  <c r="AA396" i="2"/>
  <c r="Z332" i="2"/>
  <c r="Z340" i="2"/>
  <c r="Z334" i="2"/>
  <c r="Z342" i="2"/>
  <c r="Z328" i="2"/>
  <c r="Z336" i="2"/>
  <c r="Z344" i="2"/>
  <c r="Z330" i="2"/>
  <c r="Z338" i="2"/>
  <c r="Z333" i="2"/>
  <c r="Z337" i="2"/>
  <c r="Z341" i="2"/>
  <c r="Z329" i="2"/>
  <c r="Z335" i="2"/>
  <c r="Z343" i="2"/>
  <c r="Z339" i="2"/>
  <c r="Z331" i="2"/>
  <c r="AA27" i="2"/>
  <c r="AA35" i="2"/>
  <c r="AA29" i="2"/>
  <c r="AA37" i="2"/>
  <c r="AA23" i="2"/>
  <c r="AA31" i="2"/>
  <c r="AA34" i="2"/>
  <c r="AA33" i="2"/>
  <c r="AA22" i="2"/>
  <c r="AA32" i="2"/>
  <c r="AA28" i="2"/>
  <c r="AA38" i="2"/>
  <c r="AA26" i="2"/>
  <c r="AA24" i="2"/>
  <c r="AA36" i="2"/>
  <c r="AA25" i="2"/>
  <c r="AA30" i="2"/>
  <c r="AA221" i="2"/>
  <c r="AA229" i="2"/>
  <c r="AA223" i="2"/>
  <c r="AA231" i="2"/>
  <c r="AA225" i="2"/>
  <c r="AA233" i="2"/>
  <c r="AA227" i="2"/>
  <c r="AA235" i="2"/>
  <c r="AA222" i="2"/>
  <c r="AA226" i="2"/>
  <c r="AA230" i="2"/>
  <c r="AA234" i="2"/>
  <c r="AA220" i="2"/>
  <c r="AA228" i="2"/>
  <c r="AA224" i="2"/>
  <c r="AA232" i="2"/>
  <c r="AA236" i="2"/>
  <c r="AA507" i="2"/>
  <c r="Z255" i="2"/>
  <c r="Z561" i="2"/>
  <c r="Z165" i="2"/>
  <c r="AA459" i="2"/>
  <c r="AA467" i="2"/>
  <c r="AA461" i="2"/>
  <c r="AA469" i="2"/>
  <c r="AA455" i="2"/>
  <c r="AA463" i="2"/>
  <c r="AA457" i="2"/>
  <c r="AA465" i="2"/>
  <c r="AA466" i="2"/>
  <c r="AA468" i="2"/>
  <c r="AA456" i="2"/>
  <c r="AA460" i="2"/>
  <c r="AA464" i="2"/>
  <c r="AA470" i="2"/>
  <c r="AA462" i="2"/>
  <c r="AA458" i="2"/>
  <c r="AA454" i="2"/>
  <c r="AA544" i="2"/>
  <c r="AA552" i="2"/>
  <c r="AA560" i="2"/>
  <c r="AA546" i="2"/>
  <c r="AA554" i="2"/>
  <c r="AA548" i="2"/>
  <c r="AA556" i="2"/>
  <c r="AA550" i="2"/>
  <c r="AA558" i="2"/>
  <c r="AA551" i="2"/>
  <c r="AA553" i="2"/>
  <c r="AA557" i="2"/>
  <c r="AA545" i="2"/>
  <c r="AA549" i="2"/>
  <c r="AA547" i="2"/>
  <c r="AA559" i="2"/>
  <c r="AA555" i="2"/>
  <c r="AA76" i="2"/>
  <c r="AA84" i="2"/>
  <c r="AA78" i="2"/>
  <c r="AA86" i="2"/>
  <c r="AA82" i="2"/>
  <c r="AA80" i="2"/>
  <c r="AA88" i="2"/>
  <c r="AA85" i="2"/>
  <c r="AA90" i="2"/>
  <c r="AA89" i="2"/>
  <c r="AA81" i="2"/>
  <c r="AA92" i="2"/>
  <c r="AA83" i="2"/>
  <c r="AA87" i="2"/>
  <c r="AA79" i="2"/>
  <c r="AA77" i="2"/>
  <c r="AA91" i="2"/>
  <c r="Z147" i="2"/>
  <c r="Z57" i="2"/>
  <c r="Z21" i="2"/>
  <c r="AA95" i="2"/>
  <c r="AA103" i="2"/>
  <c r="AA97" i="2"/>
  <c r="AA105" i="2"/>
  <c r="AA99" i="2"/>
  <c r="AA107" i="2"/>
  <c r="AA100" i="2"/>
  <c r="AA96" i="2"/>
  <c r="AA106" i="2"/>
  <c r="AA102" i="2"/>
  <c r="AA101" i="2"/>
  <c r="AA110" i="2"/>
  <c r="AA108" i="2"/>
  <c r="AA98" i="2"/>
  <c r="AA104" i="2"/>
  <c r="AA94" i="2"/>
  <c r="AA109" i="2"/>
  <c r="Z11" i="2"/>
  <c r="Z19" i="2"/>
  <c r="Z5" i="2"/>
  <c r="Z13" i="2"/>
  <c r="Z7" i="2"/>
  <c r="Z15" i="2"/>
  <c r="Z9" i="2"/>
  <c r="Z8" i="2"/>
  <c r="Z14" i="2"/>
  <c r="Z10" i="2"/>
  <c r="Z20" i="2"/>
  <c r="Z6" i="2"/>
  <c r="Z18" i="2"/>
  <c r="Z16" i="2"/>
  <c r="Z17" i="2"/>
  <c r="Z12" i="2"/>
  <c r="Z129" i="2"/>
  <c r="Z237" i="2"/>
  <c r="AA356" i="2"/>
  <c r="N94" i="7"/>
  <c r="Z4" i="2"/>
  <c r="M135" i="7"/>
  <c r="AC1173" i="2" l="1"/>
  <c r="Y1" i="2"/>
  <c r="AC506" i="2"/>
  <c r="AB566" i="2"/>
  <c r="AC566" i="2" s="1"/>
  <c r="AD566" i="2" s="1"/>
  <c r="AB572" i="2"/>
  <c r="AC572" i="2" s="1"/>
  <c r="AD572" i="2" s="1"/>
  <c r="AB578" i="2"/>
  <c r="AC578" i="2" s="1"/>
  <c r="AD578" i="2" s="1"/>
  <c r="AB563" i="2"/>
  <c r="AC563" i="2" s="1"/>
  <c r="AD563" i="2" s="1"/>
  <c r="AB573" i="2"/>
  <c r="AC573" i="2" s="1"/>
  <c r="AD632" i="2"/>
  <c r="AB371" i="2"/>
  <c r="AC371" i="2" s="1"/>
  <c r="AF371" i="2" s="1"/>
  <c r="AB364" i="2"/>
  <c r="AC364" i="2" s="1"/>
  <c r="AF364" i="2" s="1"/>
  <c r="AB368" i="2"/>
  <c r="AC368" i="2" s="1"/>
  <c r="AC406" i="2"/>
  <c r="AC602" i="2"/>
  <c r="AB417" i="2"/>
  <c r="AB257" i="2"/>
  <c r="AC257" i="2" s="1"/>
  <c r="AB271" i="2"/>
  <c r="AC271" i="2" s="1"/>
  <c r="AB263" i="2"/>
  <c r="AC263" i="2" s="1"/>
  <c r="AF263" i="2" s="1"/>
  <c r="AB268" i="2"/>
  <c r="AC268" i="2" s="1"/>
  <c r="AB264" i="2"/>
  <c r="AB256" i="2"/>
  <c r="AC256" i="2" s="1"/>
  <c r="AD256" i="2" s="1"/>
  <c r="AB270" i="2"/>
  <c r="AC270" i="2" s="1"/>
  <c r="AB668" i="2"/>
  <c r="AC668" i="2" s="1"/>
  <c r="AB653" i="2"/>
  <c r="AC653" i="2" s="1"/>
  <c r="AB663" i="2"/>
  <c r="AC663" i="2" s="1"/>
  <c r="AB659" i="2"/>
  <c r="AC659" i="2" s="1"/>
  <c r="AB661" i="2"/>
  <c r="AC661" i="2" s="1"/>
  <c r="AB655" i="2"/>
  <c r="AC655" i="2" s="1"/>
  <c r="AB667" i="2"/>
  <c r="AC667" i="2" s="1"/>
  <c r="AB656" i="2"/>
  <c r="AC656" i="2" s="1"/>
  <c r="AB657" i="2"/>
  <c r="AC657" i="2" s="1"/>
  <c r="AB662" i="2"/>
  <c r="AC662" i="2" s="1"/>
  <c r="AB664" i="2"/>
  <c r="AC664" i="2" s="1"/>
  <c r="AB665" i="2"/>
  <c r="AC665" i="2" s="1"/>
  <c r="AB654" i="2"/>
  <c r="AC654" i="2" s="1"/>
  <c r="AB658" i="2"/>
  <c r="AC658" i="2" s="1"/>
  <c r="AB652" i="2"/>
  <c r="AB666" i="2"/>
  <c r="AC666" i="2" s="1"/>
  <c r="AB660" i="2"/>
  <c r="AC660" i="2" s="1"/>
  <c r="AB568" i="2"/>
  <c r="AC568" i="2" s="1"/>
  <c r="AF568" i="2" s="1"/>
  <c r="AB546" i="2"/>
  <c r="AC546" i="2" s="1"/>
  <c r="AD546" i="2" s="1"/>
  <c r="AB375" i="2"/>
  <c r="AC375" i="2" s="1"/>
  <c r="AB370" i="2"/>
  <c r="AB367" i="2"/>
  <c r="AC367" i="2" s="1"/>
  <c r="AB376" i="2"/>
  <c r="AC376" i="2" s="1"/>
  <c r="AB377" i="2"/>
  <c r="AC377" i="2" s="1"/>
  <c r="AB374" i="2"/>
  <c r="AC374" i="2" s="1"/>
  <c r="AF374" i="2" s="1"/>
  <c r="AB49" i="2"/>
  <c r="AC49" i="2" s="1"/>
  <c r="AF49" i="2" s="1"/>
  <c r="AB373" i="2"/>
  <c r="AC373" i="2" s="1"/>
  <c r="AF373" i="2" s="1"/>
  <c r="AB366" i="2"/>
  <c r="AC366" i="2" s="1"/>
  <c r="AB41" i="2"/>
  <c r="AB369" i="2"/>
  <c r="AC369" i="2" s="1"/>
  <c r="AB380" i="2"/>
  <c r="AC380" i="2" s="1"/>
  <c r="AF380" i="2" s="1"/>
  <c r="AB365" i="2"/>
  <c r="AC365" i="2" s="1"/>
  <c r="AD365" i="2" s="1"/>
  <c r="AB372" i="2"/>
  <c r="AB379" i="2"/>
  <c r="AC379" i="2" s="1"/>
  <c r="AF379" i="2" s="1"/>
  <c r="AB378" i="2"/>
  <c r="AC378" i="2" s="1"/>
  <c r="AF378" i="2" s="1"/>
  <c r="AB303" i="2"/>
  <c r="AC303" i="2" s="1"/>
  <c r="AB308" i="2"/>
  <c r="AB298" i="2"/>
  <c r="AC298" i="2" s="1"/>
  <c r="AB394" i="2"/>
  <c r="AC394" i="2" s="1"/>
  <c r="AB299" i="2"/>
  <c r="AC299" i="2" s="1"/>
  <c r="AB294" i="2"/>
  <c r="AC294" i="2" s="1"/>
  <c r="AC389" i="2"/>
  <c r="AF389" i="2" s="1"/>
  <c r="AB295" i="2"/>
  <c r="AC295" i="2" s="1"/>
  <c r="AB300" i="2"/>
  <c r="AC300" i="2" s="1"/>
  <c r="AB293" i="2"/>
  <c r="AB292" i="2"/>
  <c r="AC292" i="2" s="1"/>
  <c r="AB305" i="2"/>
  <c r="AC305" i="2" s="1"/>
  <c r="AB306" i="2"/>
  <c r="AC306" i="2" s="1"/>
  <c r="AB297" i="2"/>
  <c r="AC297" i="2" s="1"/>
  <c r="AB304" i="2"/>
  <c r="AC304" i="2" s="1"/>
  <c r="AD304" i="2" s="1"/>
  <c r="AB307" i="2"/>
  <c r="AC307" i="2" s="1"/>
  <c r="AB302" i="2"/>
  <c r="AC302" i="2" s="1"/>
  <c r="AD302" i="2" s="1"/>
  <c r="AB462" i="2"/>
  <c r="AC462" i="2" s="1"/>
  <c r="AB455" i="2"/>
  <c r="AC455" i="2" s="1"/>
  <c r="AC322" i="2"/>
  <c r="AB387" i="2"/>
  <c r="AC387" i="2" s="1"/>
  <c r="AF387" i="2" s="1"/>
  <c r="AB467" i="2"/>
  <c r="AC467" i="2" s="1"/>
  <c r="AD467" i="2" s="1"/>
  <c r="AB454" i="2"/>
  <c r="AC454" i="2" s="1"/>
  <c r="AB384" i="2"/>
  <c r="AC384" i="2" s="1"/>
  <c r="AF384" i="2" s="1"/>
  <c r="AB382" i="2"/>
  <c r="AC382" i="2" s="1"/>
  <c r="AD382" i="2" s="1"/>
  <c r="AC413" i="2"/>
  <c r="AB463" i="2"/>
  <c r="AC463" i="2" s="1"/>
  <c r="AD463" i="2" s="1"/>
  <c r="AB468" i="2"/>
  <c r="AC468" i="2" s="1"/>
  <c r="AD468" i="2" s="1"/>
  <c r="AB392" i="2"/>
  <c r="AC392" i="2" s="1"/>
  <c r="AD392" i="2" s="1"/>
  <c r="AB393" i="2"/>
  <c r="AC393" i="2" s="1"/>
  <c r="AD393" i="2" s="1"/>
  <c r="AB457" i="2"/>
  <c r="AC457" i="2" s="1"/>
  <c r="AB466" i="2"/>
  <c r="AC466" i="2" s="1"/>
  <c r="AF466" i="2" s="1"/>
  <c r="AB388" i="2"/>
  <c r="AC388" i="2" s="1"/>
  <c r="AF388" i="2" s="1"/>
  <c r="AB391" i="2"/>
  <c r="AC391" i="2" s="1"/>
  <c r="AD391" i="2" s="1"/>
  <c r="AB459" i="2"/>
  <c r="AC459" i="2" s="1"/>
  <c r="AB385" i="2"/>
  <c r="AB469" i="2"/>
  <c r="AC469" i="2" s="1"/>
  <c r="AD469" i="2" s="1"/>
  <c r="AB464" i="2"/>
  <c r="AC464" i="2" s="1"/>
  <c r="AB458" i="2"/>
  <c r="AC458" i="2" s="1"/>
  <c r="AF458" i="2" s="1"/>
  <c r="AB395" i="2"/>
  <c r="AC395" i="2" s="1"/>
  <c r="AF395" i="2" s="1"/>
  <c r="AB383" i="2"/>
  <c r="AC383" i="2" s="1"/>
  <c r="AF383" i="2" s="1"/>
  <c r="AB386" i="2"/>
  <c r="AC386" i="2" s="1"/>
  <c r="AF386" i="2" s="1"/>
  <c r="AB461" i="2"/>
  <c r="AC461" i="2" s="1"/>
  <c r="AB456" i="2"/>
  <c r="AC456" i="2" s="1"/>
  <c r="AB396" i="2"/>
  <c r="AC396" i="2" s="1"/>
  <c r="AF396" i="2" s="1"/>
  <c r="AB397" i="2"/>
  <c r="AC397" i="2" s="1"/>
  <c r="AD397" i="2" s="1"/>
  <c r="AB460" i="2"/>
  <c r="AC460" i="2" s="1"/>
  <c r="AB465" i="2"/>
  <c r="AC465" i="2" s="1"/>
  <c r="AB398" i="2"/>
  <c r="AC398" i="2" s="1"/>
  <c r="AD398" i="2" s="1"/>
  <c r="AB390" i="2"/>
  <c r="AC390" i="2" s="1"/>
  <c r="AD390" i="2" s="1"/>
  <c r="AF629" i="2"/>
  <c r="AD629" i="2"/>
  <c r="AB265" i="2"/>
  <c r="AC265" i="2" s="1"/>
  <c r="AD265" i="2" s="1"/>
  <c r="AB260" i="2"/>
  <c r="AC260" i="2" s="1"/>
  <c r="AD260" i="2" s="1"/>
  <c r="AB576" i="2"/>
  <c r="AC576" i="2" s="1"/>
  <c r="AB570" i="2"/>
  <c r="AC570" i="2" s="1"/>
  <c r="AD570" i="2" s="1"/>
  <c r="AB269" i="2"/>
  <c r="AC269" i="2" s="1"/>
  <c r="AB266" i="2"/>
  <c r="AC266" i="2" s="1"/>
  <c r="AD266" i="2" s="1"/>
  <c r="AB567" i="2"/>
  <c r="AC567" i="2" s="1"/>
  <c r="AF567" i="2" s="1"/>
  <c r="AB571" i="2"/>
  <c r="AC571" i="2" s="1"/>
  <c r="AD571" i="2" s="1"/>
  <c r="AB562" i="2"/>
  <c r="AC562" i="2" s="1"/>
  <c r="AB261" i="2"/>
  <c r="AC261" i="2" s="1"/>
  <c r="AB258" i="2"/>
  <c r="AC258" i="2" s="1"/>
  <c r="AF258" i="2" s="1"/>
  <c r="AB575" i="2"/>
  <c r="AC575" i="2" s="1"/>
  <c r="AB565" i="2"/>
  <c r="AC565" i="2" s="1"/>
  <c r="AF565" i="2" s="1"/>
  <c r="O105" i="7"/>
  <c r="AB161" i="2" s="1"/>
  <c r="AC161" i="2" s="1"/>
  <c r="AF161" i="2" s="1"/>
  <c r="O108" i="7"/>
  <c r="AB259" i="2"/>
  <c r="AC259" i="2" s="1"/>
  <c r="AF259" i="2" s="1"/>
  <c r="AB272" i="2"/>
  <c r="AC272" i="2" s="1"/>
  <c r="AB577" i="2"/>
  <c r="AC577" i="2" s="1"/>
  <c r="AF577" i="2" s="1"/>
  <c r="AB574" i="2"/>
  <c r="AC574" i="2" s="1"/>
  <c r="AF574" i="2" s="1"/>
  <c r="AC409" i="2"/>
  <c r="AB267" i="2"/>
  <c r="AC267" i="2" s="1"/>
  <c r="AB564" i="2"/>
  <c r="AB182" i="2"/>
  <c r="AC182" i="2" s="1"/>
  <c r="AD182" i="2" s="1"/>
  <c r="AB174" i="2"/>
  <c r="AC174" i="2" s="1"/>
  <c r="AF174" i="2" s="1"/>
  <c r="AB167" i="2"/>
  <c r="AC167" i="2" s="1"/>
  <c r="Z345" i="2"/>
  <c r="AA347" i="2"/>
  <c r="AB312" i="2"/>
  <c r="AC312" i="2" s="1"/>
  <c r="AA362" i="2"/>
  <c r="AB500" i="2"/>
  <c r="AC500" i="2" s="1"/>
  <c r="AF500" i="2" s="1"/>
  <c r="AB315" i="2"/>
  <c r="AC315" i="2" s="1"/>
  <c r="AF315" i="2" s="1"/>
  <c r="AA348" i="2"/>
  <c r="AB604" i="2"/>
  <c r="AC604" i="2" s="1"/>
  <c r="AB603" i="2"/>
  <c r="AC603" i="2" s="1"/>
  <c r="AF628" i="2"/>
  <c r="AD628" i="2"/>
  <c r="AF631" i="2"/>
  <c r="AD631" i="2"/>
  <c r="AB549" i="2"/>
  <c r="AC549" i="2" s="1"/>
  <c r="AF549" i="2" s="1"/>
  <c r="AB591" i="2"/>
  <c r="AC591" i="2" s="1"/>
  <c r="AF591" i="2" s="1"/>
  <c r="AB592" i="2"/>
  <c r="AC592" i="2" s="1"/>
  <c r="AD592" i="2" s="1"/>
  <c r="AB594" i="2"/>
  <c r="AC594" i="2" s="1"/>
  <c r="AF594" i="2" s="1"/>
  <c r="AB585" i="2"/>
  <c r="AC585" i="2" s="1"/>
  <c r="AD585" i="2" s="1"/>
  <c r="AB590" i="2"/>
  <c r="AC590" i="2" s="1"/>
  <c r="AF590" i="2" s="1"/>
  <c r="AB583" i="2"/>
  <c r="AC583" i="2" s="1"/>
  <c r="AD583" i="2" s="1"/>
  <c r="AB580" i="2"/>
  <c r="AC580" i="2" s="1"/>
  <c r="AD580" i="2" s="1"/>
  <c r="AB593" i="2"/>
  <c r="AC593" i="2" s="1"/>
  <c r="AF593" i="2" s="1"/>
  <c r="AB586" i="2"/>
  <c r="AC586" i="2" s="1"/>
  <c r="AD586" i="2" s="1"/>
  <c r="AB588" i="2"/>
  <c r="AC588" i="2" s="1"/>
  <c r="AD588" i="2" s="1"/>
  <c r="AB587" i="2"/>
  <c r="AC587" i="2" s="1"/>
  <c r="AD587" i="2" s="1"/>
  <c r="AB596" i="2"/>
  <c r="AC596" i="2" s="1"/>
  <c r="AD596" i="2" s="1"/>
  <c r="AB595" i="2"/>
  <c r="AC595" i="2" s="1"/>
  <c r="AD595" i="2" s="1"/>
  <c r="AB581" i="2"/>
  <c r="AC581" i="2" s="1"/>
  <c r="AD581" i="2" s="1"/>
  <c r="AB584" i="2"/>
  <c r="AC584" i="2" s="1"/>
  <c r="AF584" i="2" s="1"/>
  <c r="AB589" i="2"/>
  <c r="AC589" i="2" s="1"/>
  <c r="AF589" i="2" s="1"/>
  <c r="AB582" i="2"/>
  <c r="AC582" i="2" s="1"/>
  <c r="AF582" i="2" s="1"/>
  <c r="AB114" i="2"/>
  <c r="AC114" i="2" s="1"/>
  <c r="AB112" i="2"/>
  <c r="AC112" i="2" s="1"/>
  <c r="AD112" i="2" s="1"/>
  <c r="AB125" i="2"/>
  <c r="AC125" i="2" s="1"/>
  <c r="AB119" i="2"/>
  <c r="AC119" i="2" s="1"/>
  <c r="AB124" i="2"/>
  <c r="AC124" i="2" s="1"/>
  <c r="AB117" i="2"/>
  <c r="AC117" i="2" s="1"/>
  <c r="AB127" i="2"/>
  <c r="AC127" i="2" s="1"/>
  <c r="AB120" i="2"/>
  <c r="AC120" i="2" s="1"/>
  <c r="AB113" i="2"/>
  <c r="AC113" i="2" s="1"/>
  <c r="AB126" i="2"/>
  <c r="AC126" i="2" s="1"/>
  <c r="AB121" i="2"/>
  <c r="AC121" i="2" s="1"/>
  <c r="AB128" i="2"/>
  <c r="AC128" i="2" s="1"/>
  <c r="AB122" i="2"/>
  <c r="AC122" i="2" s="1"/>
  <c r="AB115" i="2"/>
  <c r="AC115" i="2" s="1"/>
  <c r="AB118" i="2"/>
  <c r="AC118" i="2" s="1"/>
  <c r="AB123" i="2"/>
  <c r="AC123" i="2" s="1"/>
  <c r="AB116" i="2"/>
  <c r="AC116" i="2" s="1"/>
  <c r="AB130" i="2"/>
  <c r="AC130" i="2" s="1"/>
  <c r="AB141" i="2"/>
  <c r="AC141" i="2" s="1"/>
  <c r="AB138" i="2"/>
  <c r="AC138" i="2" s="1"/>
  <c r="AD138" i="2" s="1"/>
  <c r="AB137" i="2"/>
  <c r="AC137" i="2" s="1"/>
  <c r="AB144" i="2"/>
  <c r="AC144" i="2" s="1"/>
  <c r="AB146" i="2"/>
  <c r="AC146" i="2" s="1"/>
  <c r="AB139" i="2"/>
  <c r="AC139" i="2" s="1"/>
  <c r="AB132" i="2"/>
  <c r="AC132" i="2" s="1"/>
  <c r="AB134" i="2"/>
  <c r="AC134" i="2" s="1"/>
  <c r="AB140" i="2"/>
  <c r="AC140" i="2" s="1"/>
  <c r="AD140" i="2" s="1"/>
  <c r="AB135" i="2"/>
  <c r="AC135" i="2" s="1"/>
  <c r="AF135" i="2" s="1"/>
  <c r="AB143" i="2"/>
  <c r="AC143" i="2" s="1"/>
  <c r="AB145" i="2"/>
  <c r="AC145" i="2" s="1"/>
  <c r="AF145" i="2" s="1"/>
  <c r="AB131" i="2"/>
  <c r="AC131" i="2" s="1"/>
  <c r="AB136" i="2"/>
  <c r="AC136" i="2" s="1"/>
  <c r="AB142" i="2"/>
  <c r="AC142" i="2" s="1"/>
  <c r="AB133" i="2"/>
  <c r="AC133" i="2" s="1"/>
  <c r="AB181" i="2"/>
  <c r="AC181" i="2" s="1"/>
  <c r="AD181" i="2" s="1"/>
  <c r="AB173" i="2"/>
  <c r="AC173" i="2" s="1"/>
  <c r="AF173" i="2" s="1"/>
  <c r="AB166" i="2"/>
  <c r="AC166" i="2" s="1"/>
  <c r="AD166" i="2" s="1"/>
  <c r="AA351" i="2"/>
  <c r="AA354" i="2"/>
  <c r="AA399" i="2"/>
  <c r="AB416" i="2"/>
  <c r="AC416" i="2" s="1"/>
  <c r="AB404" i="2"/>
  <c r="AC404" i="2" s="1"/>
  <c r="AB316" i="2"/>
  <c r="AC316" i="2" s="1"/>
  <c r="AF316" i="2" s="1"/>
  <c r="AB313" i="2"/>
  <c r="AC313" i="2" s="1"/>
  <c r="AF313" i="2" s="1"/>
  <c r="AB613" i="2"/>
  <c r="AC613" i="2" s="1"/>
  <c r="AB606" i="2"/>
  <c r="AC606" i="2" s="1"/>
  <c r="AA597" i="2"/>
  <c r="AB177" i="2"/>
  <c r="AC177" i="2" s="1"/>
  <c r="AF177" i="2" s="1"/>
  <c r="AB172" i="2"/>
  <c r="AC172" i="2" s="1"/>
  <c r="AA359" i="2"/>
  <c r="AA346" i="2"/>
  <c r="AA309" i="2"/>
  <c r="AB403" i="2"/>
  <c r="AC403" i="2" s="1"/>
  <c r="AB411" i="2"/>
  <c r="AC411" i="2" s="1"/>
  <c r="AB401" i="2"/>
  <c r="AC401" i="2" s="1"/>
  <c r="AB325" i="2"/>
  <c r="AC325" i="2" s="1"/>
  <c r="AB318" i="2"/>
  <c r="AC318" i="2" s="1"/>
  <c r="AB614" i="2"/>
  <c r="AC614" i="2" s="1"/>
  <c r="AB608" i="2"/>
  <c r="AC608" i="2" s="1"/>
  <c r="AB180" i="2"/>
  <c r="AC180" i="2" s="1"/>
  <c r="AB171" i="2"/>
  <c r="AC171" i="2" s="1"/>
  <c r="AA355" i="2"/>
  <c r="AA360" i="2"/>
  <c r="AB415" i="2"/>
  <c r="AC415" i="2" s="1"/>
  <c r="AB408" i="2"/>
  <c r="AC408" i="2" s="1"/>
  <c r="AB320" i="2"/>
  <c r="AC320" i="2" s="1"/>
  <c r="AB326" i="2"/>
  <c r="AC326" i="2" s="1"/>
  <c r="AB321" i="2"/>
  <c r="AC321" i="2" s="1"/>
  <c r="AB599" i="2"/>
  <c r="AC599" i="2" s="1"/>
  <c r="AB607" i="2"/>
  <c r="AC607" i="2" s="1"/>
  <c r="AB176" i="2"/>
  <c r="AC176" i="2" s="1"/>
  <c r="AD176" i="2" s="1"/>
  <c r="AB170" i="2"/>
  <c r="AC170" i="2" s="1"/>
  <c r="AA353" i="2"/>
  <c r="AA352" i="2"/>
  <c r="AB405" i="2"/>
  <c r="AC405" i="2" s="1"/>
  <c r="AB407" i="2"/>
  <c r="AC407" i="2" s="1"/>
  <c r="AB314" i="2"/>
  <c r="AC314" i="2" s="1"/>
  <c r="AB317" i="2"/>
  <c r="AC317" i="2" s="1"/>
  <c r="AF317" i="2" s="1"/>
  <c r="AB609" i="2"/>
  <c r="AC609" i="2" s="1"/>
  <c r="AB610" i="2"/>
  <c r="AC610" i="2" s="1"/>
  <c r="AB600" i="2"/>
  <c r="AC600" i="2" s="1"/>
  <c r="AB179" i="2"/>
  <c r="AC179" i="2" s="1"/>
  <c r="AB169" i="2"/>
  <c r="AA349" i="2"/>
  <c r="AA358" i="2"/>
  <c r="AB410" i="2"/>
  <c r="AC410" i="2" s="1"/>
  <c r="AB400" i="2"/>
  <c r="AC400" i="2" s="1"/>
  <c r="AB319" i="2"/>
  <c r="AC319" i="2" s="1"/>
  <c r="AB310" i="2"/>
  <c r="AC310" i="2" s="1"/>
  <c r="AB611" i="2"/>
  <c r="AC611" i="2" s="1"/>
  <c r="AF611" i="2" s="1"/>
  <c r="AB605" i="2"/>
  <c r="AC605" i="2" s="1"/>
  <c r="AF605" i="2" s="1"/>
  <c r="AB175" i="2"/>
  <c r="AC175" i="2" s="1"/>
  <c r="AB168" i="2"/>
  <c r="AC168" i="2" s="1"/>
  <c r="AD168" i="2" s="1"/>
  <c r="AA361" i="2"/>
  <c r="AA350" i="2"/>
  <c r="AB414" i="2"/>
  <c r="AC414" i="2" s="1"/>
  <c r="AB412" i="2"/>
  <c r="AC412" i="2" s="1"/>
  <c r="AB324" i="2"/>
  <c r="AC324" i="2" s="1"/>
  <c r="AB323" i="2"/>
  <c r="AB612" i="2"/>
  <c r="AC612" i="2" s="1"/>
  <c r="AB601" i="2"/>
  <c r="AC601" i="2" s="1"/>
  <c r="AB178" i="2"/>
  <c r="AC178" i="2" s="1"/>
  <c r="AF178" i="2" s="1"/>
  <c r="AA357" i="2"/>
  <c r="AB402" i="2"/>
  <c r="AC402" i="2" s="1"/>
  <c r="AB311" i="2"/>
  <c r="AC311" i="2" s="1"/>
  <c r="AB598" i="2"/>
  <c r="AC598" i="2" s="1"/>
  <c r="AB87" i="2"/>
  <c r="AC87" i="2" s="1"/>
  <c r="AF87" i="2" s="1"/>
  <c r="AB86" i="2"/>
  <c r="AC86" i="2" s="1"/>
  <c r="AD86" i="2" s="1"/>
  <c r="AB79" i="2"/>
  <c r="AC79" i="2" s="1"/>
  <c r="AF79" i="2" s="1"/>
  <c r="AB84" i="2"/>
  <c r="AC84" i="2" s="1"/>
  <c r="AD84" i="2" s="1"/>
  <c r="AB89" i="2"/>
  <c r="AC89" i="2" s="1"/>
  <c r="AF89" i="2" s="1"/>
  <c r="AB78" i="2"/>
  <c r="AC78" i="2" s="1"/>
  <c r="AD78" i="2" s="1"/>
  <c r="AB83" i="2"/>
  <c r="AC83" i="2" s="1"/>
  <c r="AF83" i="2" s="1"/>
  <c r="AB80" i="2"/>
  <c r="AC80" i="2" s="1"/>
  <c r="AB88" i="2"/>
  <c r="AC88" i="2" s="1"/>
  <c r="AF88" i="2" s="1"/>
  <c r="AB92" i="2"/>
  <c r="AC92" i="2" s="1"/>
  <c r="AB77" i="2"/>
  <c r="AC77" i="2" s="1"/>
  <c r="AF77" i="2" s="1"/>
  <c r="AB85" i="2"/>
  <c r="AC85" i="2" s="1"/>
  <c r="AF85" i="2" s="1"/>
  <c r="AB91" i="2"/>
  <c r="AC91" i="2" s="1"/>
  <c r="AB81" i="2"/>
  <c r="AC81" i="2" s="1"/>
  <c r="AD81" i="2" s="1"/>
  <c r="AB76" i="2"/>
  <c r="AC76" i="2" s="1"/>
  <c r="AF76" i="2" s="1"/>
  <c r="AB90" i="2"/>
  <c r="AC90" i="2" s="1"/>
  <c r="AD90" i="2" s="1"/>
  <c r="AB82" i="2"/>
  <c r="AC82" i="2" s="1"/>
  <c r="AD82" i="2" s="1"/>
  <c r="AB102" i="2"/>
  <c r="AC102" i="2" s="1"/>
  <c r="AB103" i="2"/>
  <c r="AC103" i="2" s="1"/>
  <c r="AB107" i="2"/>
  <c r="AC107" i="2" s="1"/>
  <c r="AB110" i="2"/>
  <c r="AC110" i="2" s="1"/>
  <c r="AD110" i="2" s="1"/>
  <c r="AB109" i="2"/>
  <c r="AC109" i="2" s="1"/>
  <c r="AF109" i="2" s="1"/>
  <c r="AB94" i="2"/>
  <c r="AC94" i="2" s="1"/>
  <c r="AB96" i="2"/>
  <c r="AB108" i="2"/>
  <c r="AC108" i="2" s="1"/>
  <c r="AB104" i="2"/>
  <c r="AC104" i="2" s="1"/>
  <c r="AB105" i="2"/>
  <c r="AC105" i="2" s="1"/>
  <c r="AB98" i="2"/>
  <c r="AC98" i="2" s="1"/>
  <c r="AB100" i="2"/>
  <c r="AC100" i="2" s="1"/>
  <c r="AB106" i="2"/>
  <c r="AC106" i="2" s="1"/>
  <c r="AD106" i="2" s="1"/>
  <c r="AB95" i="2"/>
  <c r="AC95" i="2" s="1"/>
  <c r="AB101" i="2"/>
  <c r="AC101" i="2" s="1"/>
  <c r="AF101" i="2" s="1"/>
  <c r="AB97" i="2"/>
  <c r="AC97" i="2" s="1"/>
  <c r="AB99" i="2"/>
  <c r="AC99" i="2" s="1"/>
  <c r="AB349" i="2"/>
  <c r="AB356" i="2"/>
  <c r="AC356" i="2" s="1"/>
  <c r="AB357" i="2"/>
  <c r="AB360" i="2"/>
  <c r="AB355" i="2"/>
  <c r="AB351" i="2"/>
  <c r="AB362" i="2"/>
  <c r="AB352" i="2"/>
  <c r="AB359" i="2"/>
  <c r="AB350" i="2"/>
  <c r="AB353" i="2"/>
  <c r="AB358" i="2"/>
  <c r="AB361" i="2"/>
  <c r="AB354" i="2"/>
  <c r="AB347" i="2"/>
  <c r="AB348" i="2"/>
  <c r="AB346" i="2"/>
  <c r="AB188" i="2"/>
  <c r="AC188" i="2" s="1"/>
  <c r="AB196" i="2"/>
  <c r="AC196" i="2" s="1"/>
  <c r="AF196" i="2" s="1"/>
  <c r="AB191" i="2"/>
  <c r="AC191" i="2" s="1"/>
  <c r="AF191" i="2" s="1"/>
  <c r="AB189" i="2"/>
  <c r="AB198" i="2"/>
  <c r="AC198" i="2" s="1"/>
  <c r="AB199" i="2"/>
  <c r="AC199" i="2" s="1"/>
  <c r="AF199" i="2" s="1"/>
  <c r="AB190" i="2"/>
  <c r="AC190" i="2" s="1"/>
  <c r="AF190" i="2" s="1"/>
  <c r="AB200" i="2"/>
  <c r="AC200" i="2" s="1"/>
  <c r="AF200" i="2" s="1"/>
  <c r="AB193" i="2"/>
  <c r="AC193" i="2" s="1"/>
  <c r="AF193" i="2" s="1"/>
  <c r="AB194" i="2"/>
  <c r="AC194" i="2" s="1"/>
  <c r="AD194" i="2" s="1"/>
  <c r="AB184" i="2"/>
  <c r="AC184" i="2" s="1"/>
  <c r="AD184" i="2" s="1"/>
  <c r="AB195" i="2"/>
  <c r="AC195" i="2" s="1"/>
  <c r="AD195" i="2" s="1"/>
  <c r="AB185" i="2"/>
  <c r="AC185" i="2" s="1"/>
  <c r="AF185" i="2" s="1"/>
  <c r="AB197" i="2"/>
  <c r="AC197" i="2" s="1"/>
  <c r="AD197" i="2" s="1"/>
  <c r="AB187" i="2"/>
  <c r="AC187" i="2" s="1"/>
  <c r="AD187" i="2" s="1"/>
  <c r="AB186" i="2"/>
  <c r="AC186" i="2" s="1"/>
  <c r="AF186" i="2" s="1"/>
  <c r="AB192" i="2"/>
  <c r="AC192" i="2" s="1"/>
  <c r="AB74" i="2"/>
  <c r="AC74" i="2" s="1"/>
  <c r="AF74" i="2" s="1"/>
  <c r="AB63" i="2"/>
  <c r="AC63" i="2" s="1"/>
  <c r="AF63" i="2" s="1"/>
  <c r="AB60" i="2"/>
  <c r="AC60" i="2" s="1"/>
  <c r="AB73" i="2"/>
  <c r="AC73" i="2" s="1"/>
  <c r="AF73" i="2" s="1"/>
  <c r="AB68" i="2"/>
  <c r="AC68" i="2" s="1"/>
  <c r="AF68" i="2" s="1"/>
  <c r="AB69" i="2"/>
  <c r="AC69" i="2" s="1"/>
  <c r="AB62" i="2"/>
  <c r="AC62" i="2" s="1"/>
  <c r="AF62" i="2" s="1"/>
  <c r="AB61" i="2"/>
  <c r="AC61" i="2" s="1"/>
  <c r="AB70" i="2"/>
  <c r="AC70" i="2" s="1"/>
  <c r="AB71" i="2"/>
  <c r="AC71" i="2" s="1"/>
  <c r="AD71" i="2" s="1"/>
  <c r="AB66" i="2"/>
  <c r="AC66" i="2" s="1"/>
  <c r="AF66" i="2" s="1"/>
  <c r="AB59" i="2"/>
  <c r="AC59" i="2" s="1"/>
  <c r="AD59" i="2" s="1"/>
  <c r="AB72" i="2"/>
  <c r="AC72" i="2" s="1"/>
  <c r="AD72" i="2" s="1"/>
  <c r="AB58" i="2"/>
  <c r="AC58" i="2" s="1"/>
  <c r="AD58" i="2" s="1"/>
  <c r="AB65" i="2"/>
  <c r="AC65" i="2" s="1"/>
  <c r="AF65" i="2" s="1"/>
  <c r="AB67" i="2"/>
  <c r="AC67" i="2" s="1"/>
  <c r="AF67" i="2" s="1"/>
  <c r="AB64" i="2"/>
  <c r="AC64" i="2" s="1"/>
  <c r="AD64" i="2" s="1"/>
  <c r="AB536" i="2"/>
  <c r="AC536" i="2" s="1"/>
  <c r="AD536" i="2" s="1"/>
  <c r="AB535" i="2"/>
  <c r="AC535" i="2" s="1"/>
  <c r="AB530" i="2"/>
  <c r="AC530" i="2" s="1"/>
  <c r="AD530" i="2" s="1"/>
  <c r="AB539" i="2"/>
  <c r="AC539" i="2" s="1"/>
  <c r="AF539" i="2" s="1"/>
  <c r="AB538" i="2"/>
  <c r="AC538" i="2" s="1"/>
  <c r="AD538" i="2" s="1"/>
  <c r="AB537" i="2"/>
  <c r="AC537" i="2" s="1"/>
  <c r="AF537" i="2" s="1"/>
  <c r="AB532" i="2"/>
  <c r="AC532" i="2" s="1"/>
  <c r="AF532" i="2" s="1"/>
  <c r="AB533" i="2"/>
  <c r="AC533" i="2" s="1"/>
  <c r="AB526" i="2"/>
  <c r="AC526" i="2" s="1"/>
  <c r="AF526" i="2" s="1"/>
  <c r="AB540" i="2"/>
  <c r="AC540" i="2" s="1"/>
  <c r="AF540" i="2" s="1"/>
  <c r="AB529" i="2"/>
  <c r="AC529" i="2" s="1"/>
  <c r="AD529" i="2" s="1"/>
  <c r="AB528" i="2"/>
  <c r="AC528" i="2" s="1"/>
  <c r="AD528" i="2" s="1"/>
  <c r="AB534" i="2"/>
  <c r="AC534" i="2" s="1"/>
  <c r="AD534" i="2" s="1"/>
  <c r="AB541" i="2"/>
  <c r="AC541" i="2" s="1"/>
  <c r="AF541" i="2" s="1"/>
  <c r="AB531" i="2"/>
  <c r="AC531" i="2" s="1"/>
  <c r="AB542" i="2"/>
  <c r="AC542" i="2" s="1"/>
  <c r="AD542" i="2" s="1"/>
  <c r="AB527" i="2"/>
  <c r="AC527" i="2" s="1"/>
  <c r="AF527" i="2" s="1"/>
  <c r="AB241" i="2"/>
  <c r="AC241" i="2" s="1"/>
  <c r="AF241" i="2" s="1"/>
  <c r="AB242" i="2"/>
  <c r="AB249" i="2"/>
  <c r="AC249" i="2" s="1"/>
  <c r="AF249" i="2" s="1"/>
  <c r="AB240" i="2"/>
  <c r="AC240" i="2" s="1"/>
  <c r="AD240" i="2" s="1"/>
  <c r="AB247" i="2"/>
  <c r="AC247" i="2" s="1"/>
  <c r="AB243" i="2"/>
  <c r="AC243" i="2" s="1"/>
  <c r="AB248" i="2"/>
  <c r="AC248" i="2" s="1"/>
  <c r="AD248" i="2" s="1"/>
  <c r="AB251" i="2"/>
  <c r="AC251" i="2" s="1"/>
  <c r="AD251" i="2" s="1"/>
  <c r="AB252" i="2"/>
  <c r="AC252" i="2" s="1"/>
  <c r="AD252" i="2" s="1"/>
  <c r="AB254" i="2"/>
  <c r="AC254" i="2" s="1"/>
  <c r="AB245" i="2"/>
  <c r="AC245" i="2" s="1"/>
  <c r="AB246" i="2"/>
  <c r="AC246" i="2" s="1"/>
  <c r="AB244" i="2"/>
  <c r="AC244" i="2" s="1"/>
  <c r="AD244" i="2" s="1"/>
  <c r="AB253" i="2"/>
  <c r="AC253" i="2" s="1"/>
  <c r="AF253" i="2" s="1"/>
  <c r="AB250" i="2"/>
  <c r="AC250" i="2" s="1"/>
  <c r="AF250" i="2" s="1"/>
  <c r="AB239" i="2"/>
  <c r="AC239" i="2" s="1"/>
  <c r="AB238" i="2"/>
  <c r="AC238" i="2" s="1"/>
  <c r="AB277" i="2"/>
  <c r="AC277" i="2" s="1"/>
  <c r="AB290" i="2"/>
  <c r="AC290" i="2" s="1"/>
  <c r="AB285" i="2"/>
  <c r="AC285" i="2" s="1"/>
  <c r="AF285" i="2" s="1"/>
  <c r="AB286" i="2"/>
  <c r="AC286" i="2" s="1"/>
  <c r="AB279" i="2"/>
  <c r="AC279" i="2" s="1"/>
  <c r="AB280" i="2"/>
  <c r="AC280" i="2" s="1"/>
  <c r="AB278" i="2"/>
  <c r="AC278" i="2" s="1"/>
  <c r="AB287" i="2"/>
  <c r="AC287" i="2" s="1"/>
  <c r="AB284" i="2"/>
  <c r="AC284" i="2" s="1"/>
  <c r="AB283" i="2"/>
  <c r="AC283" i="2" s="1"/>
  <c r="AB281" i="2"/>
  <c r="AC281" i="2" s="1"/>
  <c r="AB288" i="2"/>
  <c r="AC288" i="2" s="1"/>
  <c r="AB289" i="2"/>
  <c r="AC289" i="2" s="1"/>
  <c r="AB276" i="2"/>
  <c r="AC276" i="2" s="1"/>
  <c r="AB275" i="2"/>
  <c r="AC275" i="2" s="1"/>
  <c r="AB274" i="2"/>
  <c r="AC274" i="2" s="1"/>
  <c r="AB282" i="2"/>
  <c r="AC282" i="2" s="1"/>
  <c r="AD282" i="2" s="1"/>
  <c r="AB30" i="2"/>
  <c r="AC30" i="2" s="1"/>
  <c r="AB37" i="2"/>
  <c r="AC37" i="2" s="1"/>
  <c r="AF37" i="2" s="1"/>
  <c r="AB38" i="2"/>
  <c r="AC38" i="2" s="1"/>
  <c r="AB27" i="2"/>
  <c r="AC27" i="2" s="1"/>
  <c r="AF27" i="2" s="1"/>
  <c r="AB33" i="2"/>
  <c r="AC33" i="2" s="1"/>
  <c r="AD33" i="2" s="1"/>
  <c r="AB24" i="2"/>
  <c r="AC24" i="2" s="1"/>
  <c r="AB31" i="2"/>
  <c r="AC31" i="2" s="1"/>
  <c r="AF31" i="2" s="1"/>
  <c r="AB22" i="2"/>
  <c r="AB26" i="2"/>
  <c r="AC26" i="2" s="1"/>
  <c r="AB23" i="2"/>
  <c r="AC23" i="2" s="1"/>
  <c r="AB32" i="2"/>
  <c r="AC32" i="2" s="1"/>
  <c r="AD32" i="2" s="1"/>
  <c r="AB34" i="2"/>
  <c r="AC34" i="2" s="1"/>
  <c r="AD34" i="2" s="1"/>
  <c r="AB29" i="2"/>
  <c r="AC29" i="2" s="1"/>
  <c r="AF29" i="2" s="1"/>
  <c r="AB28" i="2"/>
  <c r="AC28" i="2" s="1"/>
  <c r="AF28" i="2" s="1"/>
  <c r="AB25" i="2"/>
  <c r="AC25" i="2" s="1"/>
  <c r="AB36" i="2"/>
  <c r="AC36" i="2" s="1"/>
  <c r="AF36" i="2" s="1"/>
  <c r="AB35" i="2"/>
  <c r="AC35" i="2" s="1"/>
  <c r="AF35" i="2" s="1"/>
  <c r="AB232" i="2"/>
  <c r="AC232" i="2" s="1"/>
  <c r="AF232" i="2" s="1"/>
  <c r="AB235" i="2"/>
  <c r="AC235" i="2" s="1"/>
  <c r="AD235" i="2" s="1"/>
  <c r="AB226" i="2"/>
  <c r="AC226" i="2" s="1"/>
  <c r="AB231" i="2"/>
  <c r="AC231" i="2" s="1"/>
  <c r="AD231" i="2" s="1"/>
  <c r="AB220" i="2"/>
  <c r="AC220" i="2" s="1"/>
  <c r="AF220" i="2" s="1"/>
  <c r="AB234" i="2"/>
  <c r="AC234" i="2" s="1"/>
  <c r="AF234" i="2" s="1"/>
  <c r="AB223" i="2"/>
  <c r="AC223" i="2" s="1"/>
  <c r="AB228" i="2"/>
  <c r="AC228" i="2" s="1"/>
  <c r="AD228" i="2" s="1"/>
  <c r="AB229" i="2"/>
  <c r="AC229" i="2" s="1"/>
  <c r="AD229" i="2" s="1"/>
  <c r="AB227" i="2"/>
  <c r="AC227" i="2" s="1"/>
  <c r="AF227" i="2" s="1"/>
  <c r="AB236" i="2"/>
  <c r="AC236" i="2" s="1"/>
  <c r="AF236" i="2" s="1"/>
  <c r="AB233" i="2"/>
  <c r="AC233" i="2" s="1"/>
  <c r="AD233" i="2" s="1"/>
  <c r="AB224" i="2"/>
  <c r="AC224" i="2" s="1"/>
  <c r="AB222" i="2"/>
  <c r="AC222" i="2" s="1"/>
  <c r="AD222" i="2" s="1"/>
  <c r="AB221" i="2"/>
  <c r="AC221" i="2" s="1"/>
  <c r="AB230" i="2"/>
  <c r="AC230" i="2" s="1"/>
  <c r="AF230" i="2" s="1"/>
  <c r="AB225" i="2"/>
  <c r="AC225" i="2" s="1"/>
  <c r="AB556" i="2"/>
  <c r="AC556" i="2" s="1"/>
  <c r="AF556" i="2" s="1"/>
  <c r="AB547" i="2"/>
  <c r="AC547" i="2" s="1"/>
  <c r="AF547" i="2" s="1"/>
  <c r="AB499" i="2"/>
  <c r="AC499" i="2" s="1"/>
  <c r="AF499" i="2" s="1"/>
  <c r="AB498" i="2"/>
  <c r="AC498" i="2" s="1"/>
  <c r="AD498" i="2" s="1"/>
  <c r="AB50" i="2"/>
  <c r="AC50" i="2" s="1"/>
  <c r="AD50" i="2" s="1"/>
  <c r="AB55" i="2"/>
  <c r="AC55" i="2" s="1"/>
  <c r="AD55" i="2" s="1"/>
  <c r="AB441" i="2"/>
  <c r="AC441" i="2" s="1"/>
  <c r="AF441" i="2" s="1"/>
  <c r="AB440" i="2"/>
  <c r="AC440" i="2" s="1"/>
  <c r="AF440" i="2" s="1"/>
  <c r="AB444" i="2"/>
  <c r="AC444" i="2" s="1"/>
  <c r="AB449" i="2"/>
  <c r="AC449" i="2" s="1"/>
  <c r="AB439" i="2"/>
  <c r="AC439" i="2" s="1"/>
  <c r="AF439" i="2" s="1"/>
  <c r="AB447" i="2"/>
  <c r="AC447" i="2" s="1"/>
  <c r="AB442" i="2"/>
  <c r="AC442" i="2" s="1"/>
  <c r="AB443" i="2"/>
  <c r="AC443" i="2" s="1"/>
  <c r="AB446" i="2"/>
  <c r="AC446" i="2" s="1"/>
  <c r="AB448" i="2"/>
  <c r="AC448" i="2" s="1"/>
  <c r="AB451" i="2"/>
  <c r="AC451" i="2" s="1"/>
  <c r="AB450" i="2"/>
  <c r="AC450" i="2" s="1"/>
  <c r="AB452" i="2"/>
  <c r="AC452" i="2" s="1"/>
  <c r="AB437" i="2"/>
  <c r="AC437" i="2" s="1"/>
  <c r="AD437" i="2" s="1"/>
  <c r="AB438" i="2"/>
  <c r="AC438" i="2" s="1"/>
  <c r="AB445" i="2"/>
  <c r="AC445" i="2" s="1"/>
  <c r="AB436" i="2"/>
  <c r="AB552" i="2"/>
  <c r="AC552" i="2" s="1"/>
  <c r="AD552" i="2" s="1"/>
  <c r="AB553" i="2"/>
  <c r="AC553" i="2" s="1"/>
  <c r="AB503" i="2"/>
  <c r="AC503" i="2" s="1"/>
  <c r="AF503" i="2" s="1"/>
  <c r="AB490" i="2"/>
  <c r="AC490" i="2" s="1"/>
  <c r="AF490" i="2" s="1"/>
  <c r="AB48" i="2"/>
  <c r="AC48" i="2" s="1"/>
  <c r="AF48" i="2" s="1"/>
  <c r="AB52" i="2"/>
  <c r="AC52" i="2" s="1"/>
  <c r="AD52" i="2" s="1"/>
  <c r="AB545" i="2"/>
  <c r="AC545" i="2" s="1"/>
  <c r="AF545" i="2" s="1"/>
  <c r="AB505" i="2"/>
  <c r="AC505" i="2" s="1"/>
  <c r="AB504" i="2"/>
  <c r="AC504" i="2" s="1"/>
  <c r="AF504" i="2" s="1"/>
  <c r="AB54" i="2"/>
  <c r="AC54" i="2" s="1"/>
  <c r="AF54" i="2" s="1"/>
  <c r="AB42" i="2"/>
  <c r="AC42" i="2" s="1"/>
  <c r="AD42" i="2" s="1"/>
  <c r="AB647" i="2"/>
  <c r="AC647" i="2" s="1"/>
  <c r="AD647" i="2" s="1"/>
  <c r="AB638" i="2"/>
  <c r="AC638" i="2" s="1"/>
  <c r="AF638" i="2" s="1"/>
  <c r="AB640" i="2"/>
  <c r="AC640" i="2" s="1"/>
  <c r="AF640" i="2" s="1"/>
  <c r="AB646" i="2"/>
  <c r="AC646" i="2" s="1"/>
  <c r="AF646" i="2" s="1"/>
  <c r="AB648" i="2"/>
  <c r="AC648" i="2" s="1"/>
  <c r="AD648" i="2" s="1"/>
  <c r="AB637" i="2"/>
  <c r="AC637" i="2" s="1"/>
  <c r="AD637" i="2" s="1"/>
  <c r="AB634" i="2"/>
  <c r="AB649" i="2"/>
  <c r="AC649" i="2" s="1"/>
  <c r="AF649" i="2" s="1"/>
  <c r="AB642" i="2"/>
  <c r="AC642" i="2" s="1"/>
  <c r="AB635" i="2"/>
  <c r="AC635" i="2" s="1"/>
  <c r="AD635" i="2" s="1"/>
  <c r="AB650" i="2"/>
  <c r="AC650" i="2" s="1"/>
  <c r="AF650" i="2" s="1"/>
  <c r="AB643" i="2"/>
  <c r="AC643" i="2" s="1"/>
  <c r="AD643" i="2" s="1"/>
  <c r="AB636" i="2"/>
  <c r="AC636" i="2" s="1"/>
  <c r="AD636" i="2" s="1"/>
  <c r="AB641" i="2"/>
  <c r="AC641" i="2" s="1"/>
  <c r="AB639" i="2"/>
  <c r="AC639" i="2" s="1"/>
  <c r="AD639" i="2" s="1"/>
  <c r="AB644" i="2"/>
  <c r="AC644" i="2" s="1"/>
  <c r="AF644" i="2" s="1"/>
  <c r="AB645" i="2"/>
  <c r="AC645" i="2" s="1"/>
  <c r="AD645" i="2" s="1"/>
  <c r="AB548" i="2"/>
  <c r="AC548" i="2" s="1"/>
  <c r="O94" i="7"/>
  <c r="AB615" i="2"/>
  <c r="AB544" i="2"/>
  <c r="AC544" i="2" s="1"/>
  <c r="AB559" i="2"/>
  <c r="AC559" i="2" s="1"/>
  <c r="AB501" i="2"/>
  <c r="AC501" i="2" s="1"/>
  <c r="AF501" i="2" s="1"/>
  <c r="AB496" i="2"/>
  <c r="AC496" i="2" s="1"/>
  <c r="AD496" i="2" s="1"/>
  <c r="AB53" i="2"/>
  <c r="AC53" i="2" s="1"/>
  <c r="AB47" i="2"/>
  <c r="AC47" i="2" s="1"/>
  <c r="AB558" i="2"/>
  <c r="AC558" i="2" s="1"/>
  <c r="AB551" i="2"/>
  <c r="AC551" i="2" s="1"/>
  <c r="AD551" i="2" s="1"/>
  <c r="AB497" i="2"/>
  <c r="AC497" i="2" s="1"/>
  <c r="AF497" i="2" s="1"/>
  <c r="AB502" i="2"/>
  <c r="AC502" i="2" s="1"/>
  <c r="AB44" i="2"/>
  <c r="AC44" i="2" s="1"/>
  <c r="AB45" i="2"/>
  <c r="AC45" i="2" s="1"/>
  <c r="AF45" i="2" s="1"/>
  <c r="AB523" i="2"/>
  <c r="AC523" i="2" s="1"/>
  <c r="AF523" i="2" s="1"/>
  <c r="AB516" i="2"/>
  <c r="AC516" i="2" s="1"/>
  <c r="AF516" i="2" s="1"/>
  <c r="AB509" i="2"/>
  <c r="AC509" i="2" s="1"/>
  <c r="AB508" i="2"/>
  <c r="AB512" i="2"/>
  <c r="AC512" i="2" s="1"/>
  <c r="AF512" i="2" s="1"/>
  <c r="AB517" i="2"/>
  <c r="AC517" i="2" s="1"/>
  <c r="AF517" i="2" s="1"/>
  <c r="AB524" i="2"/>
  <c r="AC524" i="2" s="1"/>
  <c r="AF524" i="2" s="1"/>
  <c r="AB511" i="2"/>
  <c r="AC511" i="2" s="1"/>
  <c r="AD511" i="2" s="1"/>
  <c r="AB510" i="2"/>
  <c r="AC510" i="2" s="1"/>
  <c r="AD510" i="2" s="1"/>
  <c r="AB519" i="2"/>
  <c r="AC519" i="2" s="1"/>
  <c r="AF519" i="2" s="1"/>
  <c r="AB514" i="2"/>
  <c r="AC514" i="2" s="1"/>
  <c r="AF514" i="2" s="1"/>
  <c r="AB513" i="2"/>
  <c r="AC513" i="2" s="1"/>
  <c r="AD513" i="2" s="1"/>
  <c r="AB518" i="2"/>
  <c r="AC518" i="2" s="1"/>
  <c r="AF518" i="2" s="1"/>
  <c r="AB521" i="2"/>
  <c r="AC521" i="2" s="1"/>
  <c r="AF521" i="2" s="1"/>
  <c r="AB522" i="2"/>
  <c r="AC522" i="2" s="1"/>
  <c r="AD522" i="2" s="1"/>
  <c r="AB515" i="2"/>
  <c r="AC515" i="2" s="1"/>
  <c r="AD515" i="2" s="1"/>
  <c r="AB520" i="2"/>
  <c r="AC520" i="2" s="1"/>
  <c r="AF520" i="2" s="1"/>
  <c r="AB550" i="2"/>
  <c r="AC550" i="2" s="1"/>
  <c r="AF550" i="2" s="1"/>
  <c r="AB554" i="2"/>
  <c r="AC554" i="2" s="1"/>
  <c r="AB557" i="2"/>
  <c r="AC557" i="2" s="1"/>
  <c r="AF557" i="2" s="1"/>
  <c r="AB493" i="2"/>
  <c r="AC493" i="2" s="1"/>
  <c r="AF493" i="2" s="1"/>
  <c r="AB494" i="2"/>
  <c r="AC494" i="2" s="1"/>
  <c r="AD494" i="2" s="1"/>
  <c r="AB46" i="2"/>
  <c r="AC46" i="2" s="1"/>
  <c r="AB51" i="2"/>
  <c r="AC51" i="2" s="1"/>
  <c r="AD51" i="2" s="1"/>
  <c r="AB560" i="2"/>
  <c r="AC560" i="2" s="1"/>
  <c r="AF560" i="2" s="1"/>
  <c r="AB491" i="2"/>
  <c r="AC491" i="2" s="1"/>
  <c r="AB56" i="2"/>
  <c r="AB40" i="2"/>
  <c r="AC40" i="2" s="1"/>
  <c r="AD40" i="2" s="1"/>
  <c r="AB487" i="2"/>
  <c r="AC487" i="2" s="1"/>
  <c r="AB488" i="2"/>
  <c r="AC488" i="2" s="1"/>
  <c r="AD488" i="2" s="1"/>
  <c r="AB473" i="2"/>
  <c r="AC473" i="2" s="1"/>
  <c r="AF473" i="2" s="1"/>
  <c r="AB486" i="2"/>
  <c r="AC486" i="2" s="1"/>
  <c r="AF486" i="2" s="1"/>
  <c r="AB481" i="2"/>
  <c r="AC481" i="2" s="1"/>
  <c r="AD481" i="2" s="1"/>
  <c r="AB482" i="2"/>
  <c r="AC482" i="2" s="1"/>
  <c r="AB475" i="2"/>
  <c r="AC475" i="2" s="1"/>
  <c r="AD475" i="2" s="1"/>
  <c r="AB474" i="2"/>
  <c r="AC474" i="2" s="1"/>
  <c r="AD474" i="2" s="1"/>
  <c r="AB478" i="2"/>
  <c r="AC478" i="2" s="1"/>
  <c r="AD478" i="2" s="1"/>
  <c r="AB483" i="2"/>
  <c r="AC483" i="2" s="1"/>
  <c r="AF483" i="2" s="1"/>
  <c r="AB476" i="2"/>
  <c r="AC476" i="2" s="1"/>
  <c r="AF476" i="2" s="1"/>
  <c r="AB477" i="2"/>
  <c r="AC477" i="2" s="1"/>
  <c r="AF477" i="2" s="1"/>
  <c r="AB480" i="2"/>
  <c r="AC480" i="2" s="1"/>
  <c r="AF480" i="2" s="1"/>
  <c r="AB485" i="2"/>
  <c r="AC485" i="2" s="1"/>
  <c r="AD485" i="2" s="1"/>
  <c r="AB484" i="2"/>
  <c r="AC484" i="2" s="1"/>
  <c r="AD484" i="2" s="1"/>
  <c r="AB479" i="2"/>
  <c r="AC479" i="2" s="1"/>
  <c r="AF479" i="2" s="1"/>
  <c r="AB472" i="2"/>
  <c r="AD622" i="2"/>
  <c r="AC495" i="2"/>
  <c r="AD495" i="2" s="1"/>
  <c r="AF627" i="2"/>
  <c r="AC264" i="2"/>
  <c r="AD264" i="2" s="1"/>
  <c r="AC555" i="2"/>
  <c r="AD555" i="2" s="1"/>
  <c r="AC41" i="2"/>
  <c r="AD41" i="2" s="1"/>
  <c r="AC262" i="2"/>
  <c r="AD262" i="2" s="1"/>
  <c r="AD621" i="2"/>
  <c r="AC43" i="2"/>
  <c r="AF43" i="2" s="1"/>
  <c r="AC492" i="2"/>
  <c r="AF492" i="2" s="1"/>
  <c r="AA165" i="2"/>
  <c r="AA255" i="2"/>
  <c r="AB9" i="2"/>
  <c r="AB17" i="2"/>
  <c r="AB11" i="2"/>
  <c r="AB19" i="2"/>
  <c r="AB5" i="2"/>
  <c r="AB13" i="2"/>
  <c r="AB6" i="2"/>
  <c r="AB12" i="2"/>
  <c r="AB8" i="2"/>
  <c r="AB18" i="2"/>
  <c r="AB7" i="2"/>
  <c r="AB20" i="2"/>
  <c r="AB15" i="2"/>
  <c r="AB10" i="2"/>
  <c r="AB14" i="2"/>
  <c r="AB16" i="2"/>
  <c r="AA219" i="2"/>
  <c r="AA291" i="2"/>
  <c r="AA183" i="2"/>
  <c r="AA273" i="2"/>
  <c r="AC301" i="2"/>
  <c r="AA201" i="2"/>
  <c r="AA75" i="2"/>
  <c r="AA381" i="2"/>
  <c r="AA363" i="2"/>
  <c r="AC296" i="2"/>
  <c r="AC615" i="2"/>
  <c r="AF615" i="2" s="1"/>
  <c r="AA10" i="2"/>
  <c r="AA18" i="2"/>
  <c r="AA12" i="2"/>
  <c r="AA20" i="2"/>
  <c r="AA6" i="2"/>
  <c r="AA14" i="2"/>
  <c r="AA16" i="2"/>
  <c r="AA5" i="2"/>
  <c r="AA15" i="2"/>
  <c r="AA11" i="2"/>
  <c r="AA17" i="2"/>
  <c r="AA8" i="2"/>
  <c r="AA9" i="2"/>
  <c r="AA19" i="2"/>
  <c r="AA7" i="2"/>
  <c r="AA13" i="2"/>
  <c r="AB330" i="2"/>
  <c r="AB338" i="2"/>
  <c r="AB332" i="2"/>
  <c r="AB340" i="2"/>
  <c r="AB334" i="2"/>
  <c r="AB342" i="2"/>
  <c r="AB328" i="2"/>
  <c r="AB336" i="2"/>
  <c r="AB344" i="2"/>
  <c r="AB331" i="2"/>
  <c r="AB335" i="2"/>
  <c r="AB339" i="2"/>
  <c r="AB343" i="2"/>
  <c r="AB329" i="2"/>
  <c r="AB337" i="2"/>
  <c r="AB333" i="2"/>
  <c r="AB341" i="2"/>
  <c r="AA543" i="2"/>
  <c r="AA147" i="2"/>
  <c r="AC470" i="2"/>
  <c r="AF470" i="2" s="1"/>
  <c r="AA453" i="2"/>
  <c r="AC569" i="2"/>
  <c r="AC370" i="2"/>
  <c r="AD370" i="2" s="1"/>
  <c r="AC308" i="2"/>
  <c r="AA57" i="2"/>
  <c r="AC417" i="2"/>
  <c r="Z327" i="2"/>
  <c r="AA111" i="2"/>
  <c r="AA237" i="2"/>
  <c r="AA489" i="2"/>
  <c r="AA129" i="2"/>
  <c r="AA525" i="2"/>
  <c r="AA39" i="2"/>
  <c r="Z3" i="2"/>
  <c r="AA331" i="2"/>
  <c r="AA339" i="2"/>
  <c r="AA333" i="2"/>
  <c r="AA341" i="2"/>
  <c r="AA335" i="2"/>
  <c r="AA343" i="2"/>
  <c r="AA329" i="2"/>
  <c r="AA337" i="2"/>
  <c r="AA340" i="2"/>
  <c r="AA328" i="2"/>
  <c r="AA344" i="2"/>
  <c r="AA332" i="2"/>
  <c r="AA336" i="2"/>
  <c r="AA330" i="2"/>
  <c r="AA334" i="2"/>
  <c r="AA342" i="2"/>
  <c r="AA338" i="2"/>
  <c r="AA93" i="2"/>
  <c r="AA21" i="2"/>
  <c r="AA579" i="2"/>
  <c r="AA561" i="2"/>
  <c r="AC293" i="2"/>
  <c r="AD293" i="2" s="1"/>
  <c r="AF626" i="2"/>
  <c r="AD423" i="2"/>
  <c r="AF426" i="2"/>
  <c r="AF430" i="2"/>
  <c r="AF425" i="2"/>
  <c r="AF432" i="2"/>
  <c r="AD428" i="2"/>
  <c r="AF623" i="2"/>
  <c r="AD623" i="2"/>
  <c r="AF506" i="2"/>
  <c r="AD506" i="2"/>
  <c r="AF630" i="2"/>
  <c r="AD630" i="2"/>
  <c r="AD624" i="2"/>
  <c r="AF624" i="2"/>
  <c r="AF429" i="2"/>
  <c r="AD429" i="2"/>
  <c r="AF434" i="2"/>
  <c r="AD434" i="2"/>
  <c r="AF424" i="2"/>
  <c r="AD424" i="2"/>
  <c r="AA4" i="2"/>
  <c r="N135" i="7"/>
  <c r="AD620" i="2"/>
  <c r="AF620" i="2"/>
  <c r="AF625" i="2"/>
  <c r="AD625" i="2"/>
  <c r="AB4" i="2"/>
  <c r="Z1" i="2" l="1"/>
  <c r="AC355" i="2"/>
  <c r="AF398" i="2"/>
  <c r="AD79" i="2"/>
  <c r="AC351" i="2"/>
  <c r="AF351" i="2" s="1"/>
  <c r="AC358" i="2"/>
  <c r="AF358" i="2" s="1"/>
  <c r="AD313" i="2"/>
  <c r="AD145" i="2"/>
  <c r="AC357" i="2"/>
  <c r="AD357" i="2" s="1"/>
  <c r="AD480" i="2"/>
  <c r="AC350" i="2"/>
  <c r="AF350" i="2" s="1"/>
  <c r="AD520" i="2"/>
  <c r="AD315" i="2"/>
  <c r="AD35" i="2"/>
  <c r="AC353" i="2"/>
  <c r="AF353" i="2" s="1"/>
  <c r="AB651" i="2"/>
  <c r="AC652" i="2"/>
  <c r="AC651" i="2" s="1"/>
  <c r="AD389" i="2"/>
  <c r="AF475" i="2"/>
  <c r="AD514" i="2"/>
  <c r="AB363" i="2"/>
  <c r="AD638" i="2"/>
  <c r="AC372" i="2"/>
  <c r="AF372" i="2" s="1"/>
  <c r="AD259" i="2"/>
  <c r="AF485" i="2"/>
  <c r="AC348" i="2"/>
  <c r="AF348" i="2" s="1"/>
  <c r="AF513" i="2"/>
  <c r="AD576" i="2"/>
  <c r="AF576" i="2"/>
  <c r="AC359" i="2"/>
  <c r="AF359" i="2" s="1"/>
  <c r="AD379" i="2"/>
  <c r="AB291" i="2"/>
  <c r="AC347" i="2"/>
  <c r="AF347" i="2" s="1"/>
  <c r="AC360" i="2"/>
  <c r="AD360" i="2" s="1"/>
  <c r="AB381" i="2"/>
  <c r="AD316" i="2"/>
  <c r="AC346" i="2"/>
  <c r="AD346" i="2" s="1"/>
  <c r="AF643" i="2"/>
  <c r="AD226" i="2"/>
  <c r="AF226" i="2"/>
  <c r="AC349" i="2"/>
  <c r="AD349" i="2" s="1"/>
  <c r="AC385" i="2"/>
  <c r="AF385" i="2" s="1"/>
  <c r="AF588" i="2"/>
  <c r="AD317" i="2"/>
  <c r="AD644" i="2"/>
  <c r="AF393" i="2"/>
  <c r="AD477" i="2"/>
  <c r="AF639" i="2"/>
  <c r="AC354" i="2"/>
  <c r="AF354" i="2" s="1"/>
  <c r="AD649" i="2"/>
  <c r="AC361" i="2"/>
  <c r="AF361" i="2" s="1"/>
  <c r="AF515" i="2"/>
  <c r="AB453" i="2"/>
  <c r="AF522" i="2"/>
  <c r="AF71" i="2"/>
  <c r="AF382" i="2"/>
  <c r="AF586" i="2"/>
  <c r="AD518" i="2"/>
  <c r="AF391" i="2"/>
  <c r="AD512" i="2"/>
  <c r="AB154" i="2"/>
  <c r="AC154" i="2" s="1"/>
  <c r="AF154" i="2" s="1"/>
  <c r="AF505" i="2"/>
  <c r="AD505" i="2"/>
  <c r="AB164" i="2"/>
  <c r="AC164" i="2" s="1"/>
  <c r="AF636" i="2"/>
  <c r="AB157" i="2"/>
  <c r="AC157" i="2" s="1"/>
  <c r="AF648" i="2"/>
  <c r="AB255" i="2"/>
  <c r="AB162" i="2"/>
  <c r="AC162" i="2" s="1"/>
  <c r="AF162" i="2" s="1"/>
  <c r="AB156" i="2"/>
  <c r="AC156" i="2" s="1"/>
  <c r="AD156" i="2" s="1"/>
  <c r="AB152" i="2"/>
  <c r="AC152" i="2" s="1"/>
  <c r="AD152" i="2" s="1"/>
  <c r="AD589" i="2"/>
  <c r="AB155" i="2"/>
  <c r="AC155" i="2" s="1"/>
  <c r="AF155" i="2" s="1"/>
  <c r="AB160" i="2"/>
  <c r="AC160" i="2" s="1"/>
  <c r="AD160" i="2" s="1"/>
  <c r="AB148" i="2"/>
  <c r="AC148" i="2" s="1"/>
  <c r="AD148" i="2" s="1"/>
  <c r="AB159" i="2"/>
  <c r="AC159" i="2" s="1"/>
  <c r="AD159" i="2" s="1"/>
  <c r="AB163" i="2"/>
  <c r="AC163" i="2" s="1"/>
  <c r="AB149" i="2"/>
  <c r="AC149" i="2" s="1"/>
  <c r="AD149" i="2" s="1"/>
  <c r="O135" i="7"/>
  <c r="AF488" i="2"/>
  <c r="AF511" i="2"/>
  <c r="AD523" i="2"/>
  <c r="AB158" i="2"/>
  <c r="AC158" i="2" s="1"/>
  <c r="AF158" i="2" s="1"/>
  <c r="AB150" i="2"/>
  <c r="AC150" i="2" s="1"/>
  <c r="AF150" i="2" s="1"/>
  <c r="AB153" i="2"/>
  <c r="AC153" i="2" s="1"/>
  <c r="AF153" i="2" s="1"/>
  <c r="AF510" i="2"/>
  <c r="AB165" i="2"/>
  <c r="AB151" i="2"/>
  <c r="AC151" i="2" s="1"/>
  <c r="AB561" i="2"/>
  <c r="AF144" i="2"/>
  <c r="AD144" i="2"/>
  <c r="AF637" i="2"/>
  <c r="AB183" i="2"/>
  <c r="AC352" i="2"/>
  <c r="AC362" i="2"/>
  <c r="AF362" i="2" s="1"/>
  <c r="AD519" i="2"/>
  <c r="AD476" i="2"/>
  <c r="AF546" i="2"/>
  <c r="AF437" i="2"/>
  <c r="AF595" i="2"/>
  <c r="AD590" i="2"/>
  <c r="AD591" i="2"/>
  <c r="AD541" i="2"/>
  <c r="AB39" i="2"/>
  <c r="AC564" i="2"/>
  <c r="AF564" i="2" s="1"/>
  <c r="AC169" i="2"/>
  <c r="AC165" i="2" s="1"/>
  <c r="AF165" i="2" s="1"/>
  <c r="AD516" i="2"/>
  <c r="AF60" i="2"/>
  <c r="AD60" i="2"/>
  <c r="AD502" i="2"/>
  <c r="AF502" i="2"/>
  <c r="AD548" i="2"/>
  <c r="AF548" i="2"/>
  <c r="AD521" i="2"/>
  <c r="AB111" i="2"/>
  <c r="AB129" i="2"/>
  <c r="AB399" i="2"/>
  <c r="AD517" i="2"/>
  <c r="AC189" i="2"/>
  <c r="AF189" i="2" s="1"/>
  <c r="AA345" i="2"/>
  <c r="AB579" i="2"/>
  <c r="AC56" i="2"/>
  <c r="AC39" i="2" s="1"/>
  <c r="AF39" i="2" s="1"/>
  <c r="AC399" i="2"/>
  <c r="AF484" i="2"/>
  <c r="AD540" i="2"/>
  <c r="AD200" i="2"/>
  <c r="AF581" i="2"/>
  <c r="AB597" i="2"/>
  <c r="AF635" i="2"/>
  <c r="AB237" i="2"/>
  <c r="AC597" i="2"/>
  <c r="AF597" i="2" s="1"/>
  <c r="AB309" i="2"/>
  <c r="AC323" i="2"/>
  <c r="AC309" i="2" s="1"/>
  <c r="AF309" i="2" s="1"/>
  <c r="AB21" i="2"/>
  <c r="AB93" i="2"/>
  <c r="AD44" i="2"/>
  <c r="AF44" i="2"/>
  <c r="AF254" i="2"/>
  <c r="AD254" i="2"/>
  <c r="AF80" i="2"/>
  <c r="AD80" i="2"/>
  <c r="AF474" i="2"/>
  <c r="AF529" i="2"/>
  <c r="AB57" i="2"/>
  <c r="AB489" i="2"/>
  <c r="AB219" i="2"/>
  <c r="AD524" i="2"/>
  <c r="AB543" i="2"/>
  <c r="AC96" i="2"/>
  <c r="AF96" i="2" s="1"/>
  <c r="AC22" i="2"/>
  <c r="AD22" i="2" s="1"/>
  <c r="AD640" i="2"/>
  <c r="AB507" i="2"/>
  <c r="AC508" i="2"/>
  <c r="AB204" i="2"/>
  <c r="AC204" i="2" s="1"/>
  <c r="AD204" i="2" s="1"/>
  <c r="AB212" i="2"/>
  <c r="AC212" i="2" s="1"/>
  <c r="AF212" i="2" s="1"/>
  <c r="AB217" i="2"/>
  <c r="AC217" i="2" s="1"/>
  <c r="AD217" i="2" s="1"/>
  <c r="AB205" i="2"/>
  <c r="AC205" i="2" s="1"/>
  <c r="AF205" i="2" s="1"/>
  <c r="AB216" i="2"/>
  <c r="AC216" i="2" s="1"/>
  <c r="AD216" i="2" s="1"/>
  <c r="AB206" i="2"/>
  <c r="AC206" i="2" s="1"/>
  <c r="AF206" i="2" s="1"/>
  <c r="AB209" i="2"/>
  <c r="AC209" i="2" s="1"/>
  <c r="AF209" i="2" s="1"/>
  <c r="AB207" i="2"/>
  <c r="AC207" i="2" s="1"/>
  <c r="AB214" i="2"/>
  <c r="AC214" i="2" s="1"/>
  <c r="AD214" i="2" s="1"/>
  <c r="AB211" i="2"/>
  <c r="AC211" i="2" s="1"/>
  <c r="AF211" i="2" s="1"/>
  <c r="AB218" i="2"/>
  <c r="AC218" i="2" s="1"/>
  <c r="AD218" i="2" s="1"/>
  <c r="AB208" i="2"/>
  <c r="AC208" i="2" s="1"/>
  <c r="AF208" i="2" s="1"/>
  <c r="AB213" i="2"/>
  <c r="AC213" i="2" s="1"/>
  <c r="AB210" i="2"/>
  <c r="AC210" i="2" s="1"/>
  <c r="AF210" i="2" s="1"/>
  <c r="AB202" i="2"/>
  <c r="AB215" i="2"/>
  <c r="AC215" i="2" s="1"/>
  <c r="AD215" i="2" s="1"/>
  <c r="AB203" i="2"/>
  <c r="AC203" i="2" s="1"/>
  <c r="AF203" i="2" s="1"/>
  <c r="AC242" i="2"/>
  <c r="AF242" i="2" s="1"/>
  <c r="AB525" i="2"/>
  <c r="AC634" i="2"/>
  <c r="AB633" i="2"/>
  <c r="AB435" i="2"/>
  <c r="AC436" i="2"/>
  <c r="AD436" i="2" s="1"/>
  <c r="AD650" i="2"/>
  <c r="AB345" i="2"/>
  <c r="AB273" i="2"/>
  <c r="AD479" i="2"/>
  <c r="AB75" i="2"/>
  <c r="AC472" i="2"/>
  <c r="AD472" i="2" s="1"/>
  <c r="AB471" i="2"/>
  <c r="AF495" i="2"/>
  <c r="AF587" i="2"/>
  <c r="AD582" i="2"/>
  <c r="AF570" i="2"/>
  <c r="AF542" i="2"/>
  <c r="AF468" i="2"/>
  <c r="AF390" i="2"/>
  <c r="AF467" i="2"/>
  <c r="AF592" i="2"/>
  <c r="AD490" i="2"/>
  <c r="AF233" i="2"/>
  <c r="AF578" i="2"/>
  <c r="AD466" i="2"/>
  <c r="AD539" i="2"/>
  <c r="AD499" i="2"/>
  <c r="AD492" i="2"/>
  <c r="AD593" i="2"/>
  <c r="AF81" i="2"/>
  <c r="AF572" i="2"/>
  <c r="AD73" i="2"/>
  <c r="AF392" i="2"/>
  <c r="AD532" i="2"/>
  <c r="AF146" i="2"/>
  <c r="AD146" i="2"/>
  <c r="AF370" i="2"/>
  <c r="AF538" i="2"/>
  <c r="AD48" i="2"/>
  <c r="AD68" i="2"/>
  <c r="AD545" i="2"/>
  <c r="AD178" i="2"/>
  <c r="AD54" i="2"/>
  <c r="AF59" i="2"/>
  <c r="AF138" i="2"/>
  <c r="AD220" i="2"/>
  <c r="AF585" i="2"/>
  <c r="AD386" i="2"/>
  <c r="AF140" i="2"/>
  <c r="AD384" i="2"/>
  <c r="AF563" i="2"/>
  <c r="AF41" i="2"/>
  <c r="AF494" i="2"/>
  <c r="AD497" i="2"/>
  <c r="AD577" i="2"/>
  <c r="AF251" i="2"/>
  <c r="AD503" i="2"/>
  <c r="AF496" i="2"/>
  <c r="AD63" i="2"/>
  <c r="AD549" i="2"/>
  <c r="AD547" i="2"/>
  <c r="AD29" i="2"/>
  <c r="AD550" i="2"/>
  <c r="AD387" i="2"/>
  <c r="AF536" i="2"/>
  <c r="AD533" i="2"/>
  <c r="AF533" i="2"/>
  <c r="AD364" i="2"/>
  <c r="AD139" i="2"/>
  <c r="AF139" i="2"/>
  <c r="AD396" i="2"/>
  <c r="AD378" i="2"/>
  <c r="AD380" i="2"/>
  <c r="AD263" i="2"/>
  <c r="AD199" i="2"/>
  <c r="AD74" i="2"/>
  <c r="AF580" i="2"/>
  <c r="AF229" i="2"/>
  <c r="AD185" i="2"/>
  <c r="AF498" i="2"/>
  <c r="AF596" i="2"/>
  <c r="AF530" i="2"/>
  <c r="AD383" i="2"/>
  <c r="AD501" i="2"/>
  <c r="AD37" i="2"/>
  <c r="AF583" i="2"/>
  <c r="AD493" i="2"/>
  <c r="AD526" i="2"/>
  <c r="AF84" i="2"/>
  <c r="AF184" i="2"/>
  <c r="AF231" i="2"/>
  <c r="AF534" i="2"/>
  <c r="AD250" i="2"/>
  <c r="AD584" i="2"/>
  <c r="AD196" i="2"/>
  <c r="AD458" i="2"/>
  <c r="AC489" i="2"/>
  <c r="AF489" i="2" s="1"/>
  <c r="AF551" i="2"/>
  <c r="AF397" i="2"/>
  <c r="AF528" i="2"/>
  <c r="AF235" i="2"/>
  <c r="AF58" i="2"/>
  <c r="AD186" i="2"/>
  <c r="AC57" i="2"/>
  <c r="AF57" i="2" s="1"/>
  <c r="AF491" i="2"/>
  <c r="AD395" i="2"/>
  <c r="AF394" i="2"/>
  <c r="AD394" i="2"/>
  <c r="AD234" i="2"/>
  <c r="AC453" i="2"/>
  <c r="AF453" i="2" s="1"/>
  <c r="AF136" i="2"/>
  <c r="AD136" i="2"/>
  <c r="AD388" i="2"/>
  <c r="AD594" i="2"/>
  <c r="AF552" i="2"/>
  <c r="AC111" i="2"/>
  <c r="AF111" i="2" s="1"/>
  <c r="AD142" i="2"/>
  <c r="AF142" i="2"/>
  <c r="AD535" i="2"/>
  <c r="AF535" i="2"/>
  <c r="AD527" i="2"/>
  <c r="AF166" i="2"/>
  <c r="AF141" i="2"/>
  <c r="AD141" i="2"/>
  <c r="AD173" i="2"/>
  <c r="AF256" i="2"/>
  <c r="AD27" i="2"/>
  <c r="AD31" i="2"/>
  <c r="AD230" i="2"/>
  <c r="AD504" i="2"/>
  <c r="AD500" i="2"/>
  <c r="AD491" i="2"/>
  <c r="AD227" i="2"/>
  <c r="AC291" i="2"/>
  <c r="AF291" i="2" s="1"/>
  <c r="AD537" i="2"/>
  <c r="AC15" i="2"/>
  <c r="AF15" i="2" s="1"/>
  <c r="AC5" i="2"/>
  <c r="AF5" i="2" s="1"/>
  <c r="AF195" i="2"/>
  <c r="AC339" i="2"/>
  <c r="AD339" i="2" s="1"/>
  <c r="AC129" i="2"/>
  <c r="AF129" i="2" s="1"/>
  <c r="AC255" i="2"/>
  <c r="AF255" i="2" s="1"/>
  <c r="AC335" i="2"/>
  <c r="AD335" i="2" s="1"/>
  <c r="AC332" i="2"/>
  <c r="AF332" i="2" s="1"/>
  <c r="AC20" i="2"/>
  <c r="AC19" i="2"/>
  <c r="AF19" i="2" s="1"/>
  <c r="AD135" i="2"/>
  <c r="AC331" i="2"/>
  <c r="AD331" i="2" s="1"/>
  <c r="AC338" i="2"/>
  <c r="AD338" i="2" s="1"/>
  <c r="AC7" i="2"/>
  <c r="AF7" i="2" s="1"/>
  <c r="AC11" i="2"/>
  <c r="AD11" i="2" s="1"/>
  <c r="AC340" i="2"/>
  <c r="AD340" i="2" s="1"/>
  <c r="AC341" i="2"/>
  <c r="AF341" i="2" s="1"/>
  <c r="AC344" i="2"/>
  <c r="AF344" i="2" s="1"/>
  <c r="AC330" i="2"/>
  <c r="AD330" i="2" s="1"/>
  <c r="AF137" i="2"/>
  <c r="AD137" i="2"/>
  <c r="AC543" i="2"/>
  <c r="AF543" i="2" s="1"/>
  <c r="AF544" i="2"/>
  <c r="AD544" i="2"/>
  <c r="AC18" i="2"/>
  <c r="AD18" i="2" s="1"/>
  <c r="AC17" i="2"/>
  <c r="AD17" i="2" s="1"/>
  <c r="AD36" i="2"/>
  <c r="AC75" i="2"/>
  <c r="AF75" i="2" s="1"/>
  <c r="AC219" i="2"/>
  <c r="AF219" i="2" s="1"/>
  <c r="AC333" i="2"/>
  <c r="AC336" i="2"/>
  <c r="AF336" i="2" s="1"/>
  <c r="AC8" i="2"/>
  <c r="AD8" i="2" s="1"/>
  <c r="AC9" i="2"/>
  <c r="AF9" i="2" s="1"/>
  <c r="AC337" i="2"/>
  <c r="AD337" i="2" s="1"/>
  <c r="AB327" i="2"/>
  <c r="AC16" i="2"/>
  <c r="AD16" i="2" s="1"/>
  <c r="AC12" i="2"/>
  <c r="AF12" i="2" s="1"/>
  <c r="AC525" i="2"/>
  <c r="AF525" i="2" s="1"/>
  <c r="AB3" i="2"/>
  <c r="AA3" i="2"/>
  <c r="AD143" i="2"/>
  <c r="AF143" i="2"/>
  <c r="AC329" i="2"/>
  <c r="AD329" i="2" s="1"/>
  <c r="AC342" i="2"/>
  <c r="AF342" i="2" s="1"/>
  <c r="AC273" i="2"/>
  <c r="AF273" i="2" s="1"/>
  <c r="AC14" i="2"/>
  <c r="AF14" i="2" s="1"/>
  <c r="AC6" i="2"/>
  <c r="AD6" i="2" s="1"/>
  <c r="AF238" i="2"/>
  <c r="AA327" i="2"/>
  <c r="AC328" i="2"/>
  <c r="AD328" i="2" s="1"/>
  <c r="AC343" i="2"/>
  <c r="AF343" i="2" s="1"/>
  <c r="AC334" i="2"/>
  <c r="AD334" i="2" s="1"/>
  <c r="AC10" i="2"/>
  <c r="AD10" i="2" s="1"/>
  <c r="AC13" i="2"/>
  <c r="AF13" i="2" s="1"/>
  <c r="AC579" i="2"/>
  <c r="AF579" i="2" s="1"/>
  <c r="AF463" i="2"/>
  <c r="AF181" i="2"/>
  <c r="AF176" i="2"/>
  <c r="AF423" i="2"/>
  <c r="AF64" i="2"/>
  <c r="AF112" i="2"/>
  <c r="AD565" i="2"/>
  <c r="AF248" i="2"/>
  <c r="AF52" i="2"/>
  <c r="AF240" i="2"/>
  <c r="AF428" i="2"/>
  <c r="AD65" i="2"/>
  <c r="AF33" i="2"/>
  <c r="AD174" i="2"/>
  <c r="AF244" i="2"/>
  <c r="AF266" i="2"/>
  <c r="AD109" i="2"/>
  <c r="AD236" i="2"/>
  <c r="AF55" i="2"/>
  <c r="AD425" i="2"/>
  <c r="AF302" i="2"/>
  <c r="AF228" i="2"/>
  <c r="AD253" i="2"/>
  <c r="AF260" i="2"/>
  <c r="AF187" i="2"/>
  <c r="AD45" i="2"/>
  <c r="AF72" i="2"/>
  <c r="AD483" i="2"/>
  <c r="AF282" i="2"/>
  <c r="AF555" i="2"/>
  <c r="AF197" i="2"/>
  <c r="AD473" i="2"/>
  <c r="AD567" i="2"/>
  <c r="AD371" i="2"/>
  <c r="AD646" i="2"/>
  <c r="AF645" i="2"/>
  <c r="AF182" i="2"/>
  <c r="AF647" i="2"/>
  <c r="AD238" i="2"/>
  <c r="AD556" i="2"/>
  <c r="AD77" i="2"/>
  <c r="AD76" i="2"/>
  <c r="AD85" i="2"/>
  <c r="AF24" i="2"/>
  <c r="AF40" i="2"/>
  <c r="AF264" i="2"/>
  <c r="AF50" i="2"/>
  <c r="AF252" i="2"/>
  <c r="AD161" i="2"/>
  <c r="AF86" i="2"/>
  <c r="AF304" i="2"/>
  <c r="AF265" i="2"/>
  <c r="AD426" i="2"/>
  <c r="AD88" i="2"/>
  <c r="AF469" i="2"/>
  <c r="AD83" i="2"/>
  <c r="AD249" i="2"/>
  <c r="AD232" i="2"/>
  <c r="AF90" i="2"/>
  <c r="AD89" i="2"/>
  <c r="AD560" i="2"/>
  <c r="AD66" i="2"/>
  <c r="AD439" i="2"/>
  <c r="AD486" i="2"/>
  <c r="AF110" i="2"/>
  <c r="AF78" i="2"/>
  <c r="AD87" i="2"/>
  <c r="AD241" i="2"/>
  <c r="AD190" i="2"/>
  <c r="AD568" i="2"/>
  <c r="AD28" i="2"/>
  <c r="AD574" i="2"/>
  <c r="AD101" i="2"/>
  <c r="AF51" i="2"/>
  <c r="AF34" i="2"/>
  <c r="AD374" i="2"/>
  <c r="AF478" i="2"/>
  <c r="AF106" i="2"/>
  <c r="AF42" i="2"/>
  <c r="AF32" i="2"/>
  <c r="AD605" i="2"/>
  <c r="AF566" i="2"/>
  <c r="AF222" i="2"/>
  <c r="AF481" i="2"/>
  <c r="AD430" i="2"/>
  <c r="AF168" i="2"/>
  <c r="AD373" i="2"/>
  <c r="AF47" i="2"/>
  <c r="AD177" i="2"/>
  <c r="AD43" i="2"/>
  <c r="AD193" i="2"/>
  <c r="AD441" i="2"/>
  <c r="AF571" i="2"/>
  <c r="AD258" i="2"/>
  <c r="AD49" i="2"/>
  <c r="AF82" i="2"/>
  <c r="AD470" i="2"/>
  <c r="AD611" i="2"/>
  <c r="AD432" i="2"/>
  <c r="AD412" i="2"/>
  <c r="AD191" i="2"/>
  <c r="AD285" i="2"/>
  <c r="AF414" i="2"/>
  <c r="AF194" i="2"/>
  <c r="AD67" i="2"/>
  <c r="AD557" i="2"/>
  <c r="AD62" i="2"/>
  <c r="AF262" i="2"/>
  <c r="AD419" i="2"/>
  <c r="AD440" i="2"/>
  <c r="AF365" i="2"/>
  <c r="AF401" i="2"/>
  <c r="AD408" i="2"/>
  <c r="AF293" i="2"/>
  <c r="AF405" i="2"/>
  <c r="AD124" i="2"/>
  <c r="AF124" i="2"/>
  <c r="AF276" i="2"/>
  <c r="AD276" i="2"/>
  <c r="AF279" i="2"/>
  <c r="AD279" i="2"/>
  <c r="AF126" i="2"/>
  <c r="AD126" i="2"/>
  <c r="AF308" i="2"/>
  <c r="AD308" i="2"/>
  <c r="AF290" i="2"/>
  <c r="AD290" i="2"/>
  <c r="AD243" i="2"/>
  <c r="AF243" i="2"/>
  <c r="AD120" i="2"/>
  <c r="AF120" i="2"/>
  <c r="AD268" i="2"/>
  <c r="AF268" i="2"/>
  <c r="AF368" i="2"/>
  <c r="AD368" i="2"/>
  <c r="AF531" i="2"/>
  <c r="AD531" i="2"/>
  <c r="AF599" i="2"/>
  <c r="AD599" i="2"/>
  <c r="AF270" i="2"/>
  <c r="AD270" i="2"/>
  <c r="AD94" i="2"/>
  <c r="AF94" i="2"/>
  <c r="AD225" i="2"/>
  <c r="AF225" i="2"/>
  <c r="AD367" i="2"/>
  <c r="AF367" i="2"/>
  <c r="AF617" i="2"/>
  <c r="AD617" i="2"/>
  <c r="AD433" i="2"/>
  <c r="AF433" i="2"/>
  <c r="AF299" i="2"/>
  <c r="AD299" i="2"/>
  <c r="AD107" i="2"/>
  <c r="AF107" i="2"/>
  <c r="AD239" i="2"/>
  <c r="AF239" i="2"/>
  <c r="AF610" i="2"/>
  <c r="AD610" i="2"/>
  <c r="AF180" i="2"/>
  <c r="AD180" i="2"/>
  <c r="AD188" i="2"/>
  <c r="AF188" i="2"/>
  <c r="AF457" i="2"/>
  <c r="AD457" i="2"/>
  <c r="AD306" i="2"/>
  <c r="AF306" i="2"/>
  <c r="AF175" i="2"/>
  <c r="AD175" i="2"/>
  <c r="AF356" i="2"/>
  <c r="AD356" i="2"/>
  <c r="AF575" i="2"/>
  <c r="AD575" i="2"/>
  <c r="AD104" i="2"/>
  <c r="AF104" i="2"/>
  <c r="AD369" i="2"/>
  <c r="AF369" i="2"/>
  <c r="AF272" i="2"/>
  <c r="AD272" i="2"/>
  <c r="AF287" i="2"/>
  <c r="AD287" i="2"/>
  <c r="AD449" i="2"/>
  <c r="AF449" i="2"/>
  <c r="AD607" i="2"/>
  <c r="AF607" i="2"/>
  <c r="AF115" i="2"/>
  <c r="AD115" i="2"/>
  <c r="AD108" i="2"/>
  <c r="AF108" i="2"/>
  <c r="AF509" i="2"/>
  <c r="AD509" i="2"/>
  <c r="AD604" i="2"/>
  <c r="AF604" i="2"/>
  <c r="AD134" i="2"/>
  <c r="AF134" i="2"/>
  <c r="AD283" i="2"/>
  <c r="AF283" i="2"/>
  <c r="AF417" i="2"/>
  <c r="AD366" i="2"/>
  <c r="AF366" i="2"/>
  <c r="AD442" i="2"/>
  <c r="AF442" i="2"/>
  <c r="AD281" i="2"/>
  <c r="AF281" i="2"/>
  <c r="AD95" i="2"/>
  <c r="AF95" i="2"/>
  <c r="AD600" i="2"/>
  <c r="AF600" i="2"/>
  <c r="AD318" i="2"/>
  <c r="AF318" i="2"/>
  <c r="AD461" i="2"/>
  <c r="AF461" i="2"/>
  <c r="AF284" i="2"/>
  <c r="AD284" i="2"/>
  <c r="AD613" i="2"/>
  <c r="AF613" i="2"/>
  <c r="AD464" i="2"/>
  <c r="AF464" i="2"/>
  <c r="AF422" i="2"/>
  <c r="AD422" i="2"/>
  <c r="AD452" i="2"/>
  <c r="AF452" i="2"/>
  <c r="AD246" i="2"/>
  <c r="AF246" i="2"/>
  <c r="AF569" i="2"/>
  <c r="AD569" i="2"/>
  <c r="AD459" i="2"/>
  <c r="AF459" i="2"/>
  <c r="AD269" i="2"/>
  <c r="AF269" i="2"/>
  <c r="AF257" i="2"/>
  <c r="AD257" i="2"/>
  <c r="AD198" i="2"/>
  <c r="AF198" i="2"/>
  <c r="AF447" i="2"/>
  <c r="AD447" i="2"/>
  <c r="AD280" i="2"/>
  <c r="AF280" i="2"/>
  <c r="AF554" i="2"/>
  <c r="AD554" i="2"/>
  <c r="AD608" i="2"/>
  <c r="AF608" i="2"/>
  <c r="AD123" i="2"/>
  <c r="AF123" i="2"/>
  <c r="AF286" i="2"/>
  <c r="AD286" i="2"/>
  <c r="AF114" i="2"/>
  <c r="AD114" i="2"/>
  <c r="AF278" i="2"/>
  <c r="AD278" i="2"/>
  <c r="AF99" i="2"/>
  <c r="AD99" i="2"/>
  <c r="AD438" i="2"/>
  <c r="AF438" i="2"/>
  <c r="AD247" i="2"/>
  <c r="AF247" i="2"/>
  <c r="AF275" i="2"/>
  <c r="AD275" i="2"/>
  <c r="AF117" i="2"/>
  <c r="AD117" i="2"/>
  <c r="AD454" i="2"/>
  <c r="AF454" i="2"/>
  <c r="AD462" i="2"/>
  <c r="AF462" i="2"/>
  <c r="AD445" i="2"/>
  <c r="AF445" i="2"/>
  <c r="AF573" i="2"/>
  <c r="AD573" i="2"/>
  <c r="AD224" i="2"/>
  <c r="AF224" i="2"/>
  <c r="AD487" i="2"/>
  <c r="AF487" i="2"/>
  <c r="AF559" i="2"/>
  <c r="AD559" i="2"/>
  <c r="AD603" i="2"/>
  <c r="AF603" i="2"/>
  <c r="AF446" i="2"/>
  <c r="AD446" i="2"/>
  <c r="AD312" i="2"/>
  <c r="AF312" i="2"/>
  <c r="AF609" i="2"/>
  <c r="AD609" i="2"/>
  <c r="AD125" i="2"/>
  <c r="AF125" i="2"/>
  <c r="AF296" i="2"/>
  <c r="AD296" i="2"/>
  <c r="AD97" i="2"/>
  <c r="AF97" i="2"/>
  <c r="AD456" i="2"/>
  <c r="AF456" i="2"/>
  <c r="AF321" i="2"/>
  <c r="AD321" i="2"/>
  <c r="AD616" i="2"/>
  <c r="AF616" i="2"/>
  <c r="AD294" i="2"/>
  <c r="AF294" i="2"/>
  <c r="AF46" i="2"/>
  <c r="AD46" i="2"/>
  <c r="AD105" i="2"/>
  <c r="AF105" i="2"/>
  <c r="AF102" i="2"/>
  <c r="AD102" i="2"/>
  <c r="AF455" i="2"/>
  <c r="AD455" i="2"/>
  <c r="AF277" i="2"/>
  <c r="AD277" i="2"/>
  <c r="AF431" i="2"/>
  <c r="AD431" i="2"/>
  <c r="AF307" i="2"/>
  <c r="AD307" i="2"/>
  <c r="AD319" i="2"/>
  <c r="AF319" i="2"/>
  <c r="AF118" i="2"/>
  <c r="AD118" i="2"/>
  <c r="AD482" i="2"/>
  <c r="AF482" i="2"/>
  <c r="AF314" i="2"/>
  <c r="AD314" i="2"/>
  <c r="AD451" i="2"/>
  <c r="AF451" i="2"/>
  <c r="AD122" i="2"/>
  <c r="AF122" i="2"/>
  <c r="AF295" i="2"/>
  <c r="AD295" i="2"/>
  <c r="AF274" i="2"/>
  <c r="AD274" i="2"/>
  <c r="AD103" i="2"/>
  <c r="AF103" i="2"/>
  <c r="AD612" i="2"/>
  <c r="AF612" i="2"/>
  <c r="AD130" i="2"/>
  <c r="AF130" i="2"/>
  <c r="AD298" i="2"/>
  <c r="AF298" i="2"/>
  <c r="AD61" i="2"/>
  <c r="AF61" i="2"/>
  <c r="AF192" i="2"/>
  <c r="AD192" i="2"/>
  <c r="AD450" i="2"/>
  <c r="AF450" i="2"/>
  <c r="AF562" i="2"/>
  <c r="AD562" i="2"/>
  <c r="AD324" i="2"/>
  <c r="AF324" i="2"/>
  <c r="AF606" i="2"/>
  <c r="AD606" i="2"/>
  <c r="AD128" i="2"/>
  <c r="AF128" i="2"/>
  <c r="AF305" i="2"/>
  <c r="AD305" i="2"/>
  <c r="AF619" i="2"/>
  <c r="AD619" i="2"/>
  <c r="AF558" i="2"/>
  <c r="AD558" i="2"/>
  <c r="AD448" i="2"/>
  <c r="AF448" i="2"/>
  <c r="AD297" i="2"/>
  <c r="AF297" i="2"/>
  <c r="AF172" i="2"/>
  <c r="AD172" i="2"/>
  <c r="AF320" i="2"/>
  <c r="AD320" i="2"/>
  <c r="AD618" i="2"/>
  <c r="AF618" i="2"/>
  <c r="AF132" i="2"/>
  <c r="AD132" i="2"/>
  <c r="AD300" i="2"/>
  <c r="AF300" i="2"/>
  <c r="AD171" i="2"/>
  <c r="AF171" i="2"/>
  <c r="AD121" i="2"/>
  <c r="AF121" i="2"/>
  <c r="AF133" i="2"/>
  <c r="AD133" i="2"/>
  <c r="AF292" i="2"/>
  <c r="AD292" i="2"/>
  <c r="AD98" i="2"/>
  <c r="AF98" i="2"/>
  <c r="AF375" i="2"/>
  <c r="AD375" i="2"/>
  <c r="AF53" i="2"/>
  <c r="AD53" i="2"/>
  <c r="AF460" i="2"/>
  <c r="AD460" i="2"/>
  <c r="AD326" i="2"/>
  <c r="AF326" i="2"/>
  <c r="AF444" i="2"/>
  <c r="AD444" i="2"/>
  <c r="AD127" i="2"/>
  <c r="AF127" i="2"/>
  <c r="AD271" i="2"/>
  <c r="AF271" i="2"/>
  <c r="AF325" i="2"/>
  <c r="AD325" i="2"/>
  <c r="AF614" i="2"/>
  <c r="AD614" i="2"/>
  <c r="AF26" i="2"/>
  <c r="AD26" i="2"/>
  <c r="AF30" i="2"/>
  <c r="AD30" i="2"/>
  <c r="AF100" i="2"/>
  <c r="AD100" i="2"/>
  <c r="AF598" i="2"/>
  <c r="AD598" i="2"/>
  <c r="AF119" i="2"/>
  <c r="AD119" i="2"/>
  <c r="AD310" i="2"/>
  <c r="AF310" i="2"/>
  <c r="AD377" i="2"/>
  <c r="AF377" i="2"/>
  <c r="AF303" i="2"/>
  <c r="AD303" i="2"/>
  <c r="AD167" i="2"/>
  <c r="AF167" i="2"/>
  <c r="AD92" i="2"/>
  <c r="AF92" i="2"/>
  <c r="AD322" i="2"/>
  <c r="AF322" i="2"/>
  <c r="AD261" i="2"/>
  <c r="AF261" i="2"/>
  <c r="AD601" i="2"/>
  <c r="AF601" i="2"/>
  <c r="AF427" i="2"/>
  <c r="AD427" i="2"/>
  <c r="AD376" i="2"/>
  <c r="AF376" i="2"/>
  <c r="AD602" i="2"/>
  <c r="AF602" i="2"/>
  <c r="AD116" i="2"/>
  <c r="AF116" i="2"/>
  <c r="AF70" i="2"/>
  <c r="AD70" i="2"/>
  <c r="AF301" i="2"/>
  <c r="AD301" i="2"/>
  <c r="AD38" i="2"/>
  <c r="AF38" i="2"/>
  <c r="AF170" i="2"/>
  <c r="AD170" i="2"/>
  <c r="AF131" i="2"/>
  <c r="AD131" i="2"/>
  <c r="AF642" i="2"/>
  <c r="AD642" i="2"/>
  <c r="AD288" i="2"/>
  <c r="AF288" i="2"/>
  <c r="AF221" i="2"/>
  <c r="AD221" i="2"/>
  <c r="AC4" i="2"/>
  <c r="AA1" i="2" l="1"/>
  <c r="AD350" i="2"/>
  <c r="AF159" i="2"/>
  <c r="AD358" i="2"/>
  <c r="AD351" i="2"/>
  <c r="AF357" i="2"/>
  <c r="AC237" i="2"/>
  <c r="AF237" i="2" s="1"/>
  <c r="AD359" i="2"/>
  <c r="AD348" i="2"/>
  <c r="AD347" i="2"/>
  <c r="AD354" i="2"/>
  <c r="AD353" i="2"/>
  <c r="AD158" i="2"/>
  <c r="AF346" i="2"/>
  <c r="AD162" i="2"/>
  <c r="AD372" i="2"/>
  <c r="AD363" i="2" s="1"/>
  <c r="AC363" i="2"/>
  <c r="AF363" i="2" s="1"/>
  <c r="AD150" i="2"/>
  <c r="AF218" i="2"/>
  <c r="AF160" i="2"/>
  <c r="AC381" i="2"/>
  <c r="AF381" i="2" s="1"/>
  <c r="AF169" i="2"/>
  <c r="AD56" i="2"/>
  <c r="AD169" i="2"/>
  <c r="AF56" i="2"/>
  <c r="AD361" i="2"/>
  <c r="AF148" i="2"/>
  <c r="AF217" i="2"/>
  <c r="AF360" i="2"/>
  <c r="AD212" i="2"/>
  <c r="AD189" i="2"/>
  <c r="AD183" i="2" s="1"/>
  <c r="AD362" i="2"/>
  <c r="AF152" i="2"/>
  <c r="AC183" i="2"/>
  <c r="AF183" i="2" s="1"/>
  <c r="AC93" i="2"/>
  <c r="AF93" i="2" s="1"/>
  <c r="AD154" i="2"/>
  <c r="AD96" i="2"/>
  <c r="AD93" i="2" s="1"/>
  <c r="AF215" i="2"/>
  <c r="AF349" i="2"/>
  <c r="AC345" i="2"/>
  <c r="AF345" i="2" s="1"/>
  <c r="AD155" i="2"/>
  <c r="AD352" i="2"/>
  <c r="AD153" i="2"/>
  <c r="AD205" i="2"/>
  <c r="AF352" i="2"/>
  <c r="AF323" i="2"/>
  <c r="AD385" i="2"/>
  <c r="AD381" i="2" s="1"/>
  <c r="AF149" i="2"/>
  <c r="AC147" i="2"/>
  <c r="AF147" i="2" s="1"/>
  <c r="AD323" i="2"/>
  <c r="AF151" i="2"/>
  <c r="AD151" i="2"/>
  <c r="AC21" i="2"/>
  <c r="AF21" i="2" s="1"/>
  <c r="AF156" i="2"/>
  <c r="AD211" i="2"/>
  <c r="AD242" i="2"/>
  <c r="AD163" i="2"/>
  <c r="AF163" i="2"/>
  <c r="AD164" i="2"/>
  <c r="AF164" i="2"/>
  <c r="AB147" i="2"/>
  <c r="AD209" i="2"/>
  <c r="AD564" i="2"/>
  <c r="AD561" i="2" s="1"/>
  <c r="AC561" i="2"/>
  <c r="AF561" i="2" s="1"/>
  <c r="AD203" i="2"/>
  <c r="AF204" i="2"/>
  <c r="AF214" i="2"/>
  <c r="AF216" i="2"/>
  <c r="AC471" i="2"/>
  <c r="AF471" i="2" s="1"/>
  <c r="AF472" i="2"/>
  <c r="AF213" i="2"/>
  <c r="AD213" i="2"/>
  <c r="AD634" i="2"/>
  <c r="AC633" i="2"/>
  <c r="AF633" i="2" s="1"/>
  <c r="AF634" i="2"/>
  <c r="AD210" i="2"/>
  <c r="AD206" i="2"/>
  <c r="AD207" i="2"/>
  <c r="AF207" i="2"/>
  <c r="AD508" i="2"/>
  <c r="AD507" i="2" s="1"/>
  <c r="AC507" i="2"/>
  <c r="AF507" i="2" s="1"/>
  <c r="AF508" i="2"/>
  <c r="AD208" i="2"/>
  <c r="AC435" i="2"/>
  <c r="AF435" i="2" s="1"/>
  <c r="AF436" i="2"/>
  <c r="AC202" i="2"/>
  <c r="AB201" i="2"/>
  <c r="AD344" i="2"/>
  <c r="AF334" i="2"/>
  <c r="AF17" i="2"/>
  <c r="AD579" i="2"/>
  <c r="AF331" i="2"/>
  <c r="AF337" i="2"/>
  <c r="AF330" i="2"/>
  <c r="AF335" i="2"/>
  <c r="AD525" i="2"/>
  <c r="AF16" i="2"/>
  <c r="AF338" i="2"/>
  <c r="AF339" i="2"/>
  <c r="AD15" i="2"/>
  <c r="AD14" i="2"/>
  <c r="AF18" i="2"/>
  <c r="AF340" i="2"/>
  <c r="AF329" i="2"/>
  <c r="AD489" i="2"/>
  <c r="AD342" i="2"/>
  <c r="AF328" i="2"/>
  <c r="AF11" i="2"/>
  <c r="AD13" i="2"/>
  <c r="AD332" i="2"/>
  <c r="AC3" i="2"/>
  <c r="AF3" i="2" s="1"/>
  <c r="AC327" i="2"/>
  <c r="AF327" i="2" s="1"/>
  <c r="AD341" i="2"/>
  <c r="AD336" i="2"/>
  <c r="AD343" i="2"/>
  <c r="AD471" i="2"/>
  <c r="AD47" i="2"/>
  <c r="AD24" i="2"/>
  <c r="AF10" i="2"/>
  <c r="AF22" i="2"/>
  <c r="AD7" i="2"/>
  <c r="AD9" i="2"/>
  <c r="AD414" i="2"/>
  <c r="AF8" i="2"/>
  <c r="AD12" i="2"/>
  <c r="AF412" i="2"/>
  <c r="AF408" i="2"/>
  <c r="AF419" i="2"/>
  <c r="AD19" i="2"/>
  <c r="AD5" i="2"/>
  <c r="AF6" i="2"/>
  <c r="AD401" i="2"/>
  <c r="AD405" i="2"/>
  <c r="AF20" i="2"/>
  <c r="AD20" i="2"/>
  <c r="AD157" i="2"/>
  <c r="AF157" i="2"/>
  <c r="AD465" i="2"/>
  <c r="AD453" i="2" s="1"/>
  <c r="AF465" i="2"/>
  <c r="AD597" i="2"/>
  <c r="AF418" i="2"/>
  <c r="AD418" i="2"/>
  <c r="AF113" i="2"/>
  <c r="AD113" i="2"/>
  <c r="AD111" i="2" s="1"/>
  <c r="AD179" i="2"/>
  <c r="AF179" i="2"/>
  <c r="AD289" i="2"/>
  <c r="AD273" i="2" s="1"/>
  <c r="AF289" i="2"/>
  <c r="AD129" i="2"/>
  <c r="AD415" i="2"/>
  <c r="AF415" i="2"/>
  <c r="AD267" i="2"/>
  <c r="AD255" i="2" s="1"/>
  <c r="AF267" i="2"/>
  <c r="AD443" i="2"/>
  <c r="AD435" i="2" s="1"/>
  <c r="AF443" i="2"/>
  <c r="AD333" i="2"/>
  <c r="AF333" i="2"/>
  <c r="AF409" i="2"/>
  <c r="AD409" i="2"/>
  <c r="AF553" i="2"/>
  <c r="AD553" i="2"/>
  <c r="AD543" i="2" s="1"/>
  <c r="AD69" i="2"/>
  <c r="AD57" i="2" s="1"/>
  <c r="AF69" i="2"/>
  <c r="AF416" i="2"/>
  <c r="AD416" i="2"/>
  <c r="AD311" i="2"/>
  <c r="AF311" i="2"/>
  <c r="AD355" i="2"/>
  <c r="AF355" i="2"/>
  <c r="AF407" i="2"/>
  <c r="AD407" i="2"/>
  <c r="AD4" i="2"/>
  <c r="AF4" i="2"/>
  <c r="AD641" i="2"/>
  <c r="AF641" i="2"/>
  <c r="AF411" i="2"/>
  <c r="AD411" i="2"/>
  <c r="AD400" i="2"/>
  <c r="AF399" i="2"/>
  <c r="AF400" i="2"/>
  <c r="AD406" i="2"/>
  <c r="AF406" i="2"/>
  <c r="AD291" i="2"/>
  <c r="AD615" i="2"/>
  <c r="AD245" i="2"/>
  <c r="AF245" i="2"/>
  <c r="AF404" i="2"/>
  <c r="AD404" i="2"/>
  <c r="AF420" i="2"/>
  <c r="AD420" i="2"/>
  <c r="AD421" i="2"/>
  <c r="AF421" i="2"/>
  <c r="AF23" i="2"/>
  <c r="AD23" i="2"/>
  <c r="AD25" i="2"/>
  <c r="AF25" i="2"/>
  <c r="AD403" i="2"/>
  <c r="AF403" i="2"/>
  <c r="AF223" i="2"/>
  <c r="AD223" i="2"/>
  <c r="AD219" i="2" s="1"/>
  <c r="AF413" i="2"/>
  <c r="AD413" i="2"/>
  <c r="AF91" i="2"/>
  <c r="AD91" i="2"/>
  <c r="AD75" i="2" s="1"/>
  <c r="AD410" i="2"/>
  <c r="AF410" i="2"/>
  <c r="AF402" i="2"/>
  <c r="AD402" i="2"/>
  <c r="AB1" i="2" l="1"/>
  <c r="AC1" i="2" s="1"/>
  <c r="G1" i="8" s="1"/>
  <c r="AD237" i="2"/>
  <c r="AD165" i="2"/>
  <c r="AD309" i="2"/>
  <c r="AD39" i="2"/>
  <c r="AD345" i="2"/>
  <c r="AD147" i="2"/>
  <c r="AD633" i="2"/>
  <c r="AF202" i="2"/>
  <c r="AD202" i="2"/>
  <c r="AD201" i="2" s="1"/>
  <c r="AC201" i="2"/>
  <c r="AF201" i="2" s="1"/>
  <c r="AD327" i="2"/>
  <c r="AD21" i="2"/>
  <c r="AD399" i="2"/>
  <c r="AD3" i="2"/>
  <c r="AD417" i="2"/>
</calcChain>
</file>

<file path=xl/sharedStrings.xml><?xml version="1.0" encoding="utf-8"?>
<sst xmlns="http://schemas.openxmlformats.org/spreadsheetml/2006/main" count="9664" uniqueCount="385">
  <si>
    <t>VENDA DIRETA AL</t>
  </si>
  <si>
    <t>VENDA DIRETA - TUDO EM GRAOS</t>
  </si>
  <si>
    <t>VENDA DIRETA - MAIS NATURAL</t>
  </si>
  <si>
    <t>VENDA DIRETA - MUNDO VERDE</t>
  </si>
  <si>
    <t>VENDA DIRETA - CIA DA SAUDE</t>
  </si>
  <si>
    <t>VENDA DIRETA - ARMAZEM FIT STORE</t>
  </si>
  <si>
    <t>VENDA DIRETA - BIO MUNDO</t>
  </si>
  <si>
    <t>VANDA DIRETA - VIDA LEVE</t>
  </si>
  <si>
    <t>VENDA DIRETA - JARDIM DAS ERVAS</t>
  </si>
  <si>
    <t>VENDA DIRETA - FITLAND</t>
  </si>
  <si>
    <t>VENDA DIRETA - DIVINA TERRA</t>
  </si>
  <si>
    <t>VENDA DIRETA SC</t>
  </si>
  <si>
    <t>VENDA DIRETA PR</t>
  </si>
  <si>
    <t>VENDA DIRETA RS</t>
  </si>
  <si>
    <t>VENDA DIRETA SP INTERIOR</t>
  </si>
  <si>
    <t>VENDA DIRETA MG</t>
  </si>
  <si>
    <t>VENDA DIRETA RJ</t>
  </si>
  <si>
    <t>VENDA DIRETA ES</t>
  </si>
  <si>
    <t>VENDA DIRETA GO</t>
  </si>
  <si>
    <t>VENDA DIRETA MT</t>
  </si>
  <si>
    <t>VENDA DIRETA MS</t>
  </si>
  <si>
    <t>VENDA DIRETA DF</t>
  </si>
  <si>
    <t>VENDA DIRETA AM</t>
  </si>
  <si>
    <t>VANDA DIRETA AL</t>
  </si>
  <si>
    <t>VENDA DIRETA PA</t>
  </si>
  <si>
    <t>VENDA DIRETA RR</t>
  </si>
  <si>
    <t>VENDA DIRETA RO</t>
  </si>
  <si>
    <t>VENDA DIRETA TO</t>
  </si>
  <si>
    <t>VENDA DIRETA MA</t>
  </si>
  <si>
    <t>VENDA DIRETA BA</t>
  </si>
  <si>
    <t>VENDA DIRETA SE</t>
  </si>
  <si>
    <t>VENDA DIRETA PB</t>
  </si>
  <si>
    <t>VENDA DIRETA PE</t>
  </si>
  <si>
    <t>VENDA DIRETA PI</t>
  </si>
  <si>
    <t>VENDA DIRETA CE</t>
  </si>
  <si>
    <t>VENDA DIRETA RN</t>
  </si>
  <si>
    <t>VENDA DIRETA AP</t>
  </si>
  <si>
    <t>BODY SP CAPITAL - KABUM SUPL (NAIELY)</t>
  </si>
  <si>
    <t>BODY RS - WELLNESS (MILENA)</t>
  </si>
  <si>
    <t>BODY RS - JNIL CEREAIS</t>
  </si>
  <si>
    <t>SP - CASA HIRATA</t>
  </si>
  <si>
    <t>PR - CAPITAL</t>
  </si>
  <si>
    <t>SC - VALE DO ITAJAI</t>
  </si>
  <si>
    <t>SC - NORTE</t>
  </si>
  <si>
    <t>FOOD - SEMENTES ESPERANCA</t>
  </si>
  <si>
    <t>ZR Representante</t>
  </si>
  <si>
    <t>ZR Código Representante</t>
  </si>
  <si>
    <t>ZQ Coordenador.</t>
  </si>
  <si>
    <t>ZQ Código Coordenador</t>
  </si>
  <si>
    <t>ZS Supervisor</t>
  </si>
  <si>
    <t>ZS Código Supervisor</t>
  </si>
  <si>
    <t>ZY Gerente Regional</t>
  </si>
  <si>
    <t>ZY Código Gerente Regional</t>
  </si>
  <si>
    <t>ZP Gerente Nacional</t>
  </si>
  <si>
    <t>ZP Código Gerente Nac</t>
  </si>
  <si>
    <t>Nº Grupo</t>
  </si>
  <si>
    <t>CANAL VENDA INTERNA</t>
  </si>
  <si>
    <t>REGIONAL VENDA DIRETA SP</t>
  </si>
  <si>
    <t>REGIONAL VENDA DIRETA SUDESTE</t>
  </si>
  <si>
    <t>REGIONAL VENDA DIRETA CO + NE + NO</t>
  </si>
  <si>
    <t>REGIONAL VENDA DIRETA SUL</t>
  </si>
  <si>
    <t>Grupo Cliente</t>
  </si>
  <si>
    <t>Grupo Produto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</si>
  <si>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</si>
  <si>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</si>
  <si>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</si>
  <si>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</si>
  <si>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</si>
  <si>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</si>
  <si>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</si>
  <si>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</si>
  <si>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</si>
  <si>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</si>
  <si>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</si>
  <si>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</si>
  <si>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TOTAL META</t>
  </si>
  <si>
    <t>BALIZADOR DA META</t>
  </si>
  <si>
    <t>META ANO PROPOSTA</t>
  </si>
  <si>
    <t>FALTA VENDER</t>
  </si>
  <si>
    <t>Ação</t>
  </si>
  <si>
    <t>Zerar Meta</t>
  </si>
  <si>
    <t>BISCOITO</t>
  </si>
  <si>
    <t>CHOCOLATES</t>
  </si>
  <si>
    <t>DOCES</t>
  </si>
  <si>
    <t>DISNEY</t>
  </si>
  <si>
    <t>GRANOLA</t>
  </si>
  <si>
    <t>LANCHES</t>
  </si>
  <si>
    <t>GELEIA</t>
  </si>
  <si>
    <t>REEMBALADOS</t>
  </si>
  <si>
    <t>NATURATTA</t>
  </si>
  <si>
    <t>S GLUTEN</t>
  </si>
  <si>
    <t>SABORES DO CAMPO</t>
  </si>
  <si>
    <t>KIDS</t>
  </si>
  <si>
    <t>VICCIO</t>
  </si>
  <si>
    <t>SOULPRO</t>
  </si>
  <si>
    <t>TAMARA</t>
  </si>
  <si>
    <t>SAL</t>
  </si>
  <si>
    <t>Zerar 1o SEM</t>
  </si>
  <si>
    <t>Zerar até 3o TRI</t>
  </si>
  <si>
    <t>Ações</t>
  </si>
  <si>
    <t>Nenhuma</t>
  </si>
  <si>
    <t>Maduro</t>
  </si>
  <si>
    <t xml:space="preserve">Novos </t>
  </si>
  <si>
    <t>BALIZAMENTO</t>
  </si>
  <si>
    <t>STATUS</t>
  </si>
  <si>
    <t>ZQ Coordenador</t>
  </si>
  <si>
    <t>Em crescimento</t>
  </si>
  <si>
    <t>Canal Interno</t>
  </si>
  <si>
    <t>MAIS GRANEL</t>
  </si>
  <si>
    <t>Fitland</t>
  </si>
  <si>
    <t>Tudo em Grãos</t>
  </si>
  <si>
    <t>Divina Terra</t>
  </si>
  <si>
    <t>Cia da Saúde</t>
  </si>
  <si>
    <t>Bio Mundo</t>
  </si>
  <si>
    <t>Jardim das Ervas</t>
  </si>
  <si>
    <t>Armazém Fit Store</t>
  </si>
  <si>
    <t>Vida Leve</t>
  </si>
  <si>
    <t>Mundo Verde</t>
  </si>
  <si>
    <t>Mais Natural</t>
  </si>
  <si>
    <t>Grupo Cliente BASE</t>
  </si>
  <si>
    <t>Santa Catarina</t>
  </si>
  <si>
    <t>Rio de Janeiro</t>
  </si>
  <si>
    <t>São Paulo</t>
  </si>
  <si>
    <t>Mato Grosso</t>
  </si>
  <si>
    <t>Rio Grande do Sul</t>
  </si>
  <si>
    <t>Minas Gerais</t>
  </si>
  <si>
    <t>Amazonas</t>
  </si>
  <si>
    <t>Goiás</t>
  </si>
  <si>
    <t>Espírito Santo</t>
  </si>
  <si>
    <t>Rio Grande do Norte</t>
  </si>
  <si>
    <t>Paraná</t>
  </si>
  <si>
    <t>Pará</t>
  </si>
  <si>
    <t>Distrito Federal</t>
  </si>
  <si>
    <t>Piauí</t>
  </si>
  <si>
    <t>Bahia</t>
  </si>
  <si>
    <t>Pernambuco</t>
  </si>
  <si>
    <t>Mato Grosso do Sul</t>
  </si>
  <si>
    <t>Tocantins</t>
  </si>
  <si>
    <t>Maranhão</t>
  </si>
  <si>
    <t>Paraíba</t>
  </si>
  <si>
    <t>Sergipe</t>
  </si>
  <si>
    <t>Rondônia</t>
  </si>
  <si>
    <t>Ceará</t>
  </si>
  <si>
    <t>Roraima</t>
  </si>
  <si>
    <t>Alagoas</t>
  </si>
  <si>
    <t>Amapá</t>
  </si>
  <si>
    <t>Base Leandro</t>
  </si>
  <si>
    <t>vendas 24</t>
  </si>
  <si>
    <t>1º tri 25</t>
  </si>
  <si>
    <t>VENDIDO EM 2024</t>
  </si>
  <si>
    <t>META 1º TRI</t>
  </si>
  <si>
    <t>FALTOU 1º TRI</t>
  </si>
  <si>
    <t>% REALIZADO 1º TRI</t>
  </si>
  <si>
    <t>VENDIDO 1º TRI MAIS GRANEL</t>
  </si>
  <si>
    <r>
      <t xml:space="preserve">FATURAMENTO PROJETADO
</t>
    </r>
    <r>
      <rPr>
        <b/>
        <sz val="12"/>
        <rFont val="Calibri"/>
        <family val="2"/>
      </rPr>
      <t>ABR-DEZ</t>
    </r>
  </si>
  <si>
    <t>TOTAIS</t>
  </si>
  <si>
    <t>CÓD. ZP</t>
  </si>
  <si>
    <t>CÓD. ZS</t>
  </si>
  <si>
    <t>CÓD. ZQ</t>
  </si>
  <si>
    <t>CÓD. ZX / ZR</t>
  </si>
  <si>
    <t>UF</t>
  </si>
  <si>
    <t>PR</t>
  </si>
  <si>
    <t>SC</t>
  </si>
  <si>
    <t>RS</t>
  </si>
  <si>
    <t>SP</t>
  </si>
  <si>
    <t>RJ</t>
  </si>
  <si>
    <t>MG</t>
  </si>
  <si>
    <t>GO</t>
  </si>
  <si>
    <t>BA</t>
  </si>
  <si>
    <t>MA</t>
  </si>
  <si>
    <t>PB</t>
  </si>
  <si>
    <t>RO</t>
  </si>
  <si>
    <t>RN</t>
  </si>
  <si>
    <t>PE</t>
  </si>
  <si>
    <t>SE</t>
  </si>
  <si>
    <t>CE</t>
  </si>
  <si>
    <t>AL</t>
  </si>
  <si>
    <t>ES</t>
  </si>
  <si>
    <t>PI</t>
  </si>
  <si>
    <t>MT</t>
  </si>
  <si>
    <t>AM</t>
  </si>
  <si>
    <t>AP</t>
  </si>
  <si>
    <t>DF</t>
  </si>
  <si>
    <t>MS</t>
  </si>
  <si>
    <t>RR</t>
  </si>
  <si>
    <t>PA</t>
  </si>
  <si>
    <t>TO</t>
  </si>
  <si>
    <t>Titulo</t>
  </si>
  <si>
    <t>1000065763</t>
  </si>
  <si>
    <t>1000105896</t>
  </si>
  <si>
    <t>1000105898</t>
  </si>
  <si>
    <t>1000150135</t>
  </si>
  <si>
    <t>HELDER DA SILVA BRUNKOW</t>
  </si>
  <si>
    <t>1000105899</t>
  </si>
  <si>
    <t>1000105900</t>
  </si>
  <si>
    <t>Rótulos de Linha</t>
  </si>
  <si>
    <t>Total Geral</t>
  </si>
  <si>
    <t>Soma de TOTAL META</t>
  </si>
  <si>
    <t>NÃO</t>
  </si>
  <si>
    <t>TOTAL</t>
  </si>
  <si>
    <t>LEADS INICIO</t>
  </si>
  <si>
    <t>CURVA DE DISTRIBUIÇÃO DO FATURAMENTO NO ANO</t>
  </si>
  <si>
    <t>LEADS TOTAIS ESPERADOS</t>
  </si>
  <si>
    <t>POSITIVAÇÃO ESPERADA</t>
  </si>
  <si>
    <t>?</t>
  </si>
  <si>
    <t>TOTAL CRESCIMENTO</t>
  </si>
  <si>
    <t>CRESCIMENTO DE BASE</t>
  </si>
  <si>
    <t>CRESCIMENTO ACUMULADO DE BASE</t>
  </si>
  <si>
    <t>POSTIVIAÇÃO ESPERADA</t>
  </si>
  <si>
    <t>FATURAMENTO</t>
  </si>
  <si>
    <t>META MÊS</t>
  </si>
  <si>
    <t>TICEKT MEDIO</t>
  </si>
  <si>
    <t>CLIENTES POSITIVADOS</t>
  </si>
  <si>
    <t>META FATURAMENTO</t>
  </si>
  <si>
    <t>CHOCOLATES E COBERTURA</t>
  </si>
  <si>
    <t>GOTAS + DRAGEAS</t>
  </si>
  <si>
    <t>GRANEL</t>
  </si>
  <si>
    <t>QUEBRA QUEBRA</t>
  </si>
  <si>
    <t>POSITIVADOS</t>
  </si>
  <si>
    <t>NÃO SE APLICA NESSE MOMENTO</t>
  </si>
  <si>
    <t>POSITIVADOS TOTAIS ESPERADOS</t>
  </si>
  <si>
    <t>FATURAMENTO TOTAL ESPERADOS</t>
  </si>
  <si>
    <t>Distribuidor Meta - Direta</t>
  </si>
  <si>
    <t>Distribuidor Meta - Conveniencia</t>
  </si>
  <si>
    <t>VENDA INTERNA AP</t>
  </si>
  <si>
    <t>VENDA INTERNA RN</t>
  </si>
  <si>
    <t>VENDA INTERNA CE</t>
  </si>
  <si>
    <t>VENDA INTERNA PI</t>
  </si>
  <si>
    <t>VENDA INTERNA PE</t>
  </si>
  <si>
    <t>VENDA INTERNA PB</t>
  </si>
  <si>
    <t>VENDA INTERNA SE</t>
  </si>
  <si>
    <t>VENDA INTERNA BA</t>
  </si>
  <si>
    <t>VENDA INTERNA MA</t>
  </si>
  <si>
    <t>VENDA INTERNA TO</t>
  </si>
  <si>
    <t>VENDA INTERNA RO</t>
  </si>
  <si>
    <t>VENDA INTERNA RR</t>
  </si>
  <si>
    <t>VENDA INTERNA PA</t>
  </si>
  <si>
    <t>VENDA INTERNA AM</t>
  </si>
  <si>
    <t>VENDA INTERNA DF</t>
  </si>
  <si>
    <t>VENDA INTERNA MS</t>
  </si>
  <si>
    <t>VENDA INTERNA MT</t>
  </si>
  <si>
    <t>VENDA INTERNA GO</t>
  </si>
  <si>
    <t>VENDA INTERNA ES</t>
  </si>
  <si>
    <t>VENDA INTERNA RJ</t>
  </si>
  <si>
    <t>VENDA INTERNA MG</t>
  </si>
  <si>
    <t>VENDA INTERNA SP CAPITAL</t>
  </si>
  <si>
    <t>VENDA INTERNA SP INTERIOR</t>
  </si>
  <si>
    <t>VENDA INTERNA RS</t>
  </si>
  <si>
    <t>VENDA INTERNA PR</t>
  </si>
  <si>
    <t>VENDA INTERNA SC</t>
  </si>
  <si>
    <t>VENDA INTERNA - DIVINA TERRA</t>
  </si>
  <si>
    <t>VENDA INTERNA - FITLAND</t>
  </si>
  <si>
    <t>VENDA INTERNA - JARDIM DAS ERVAS</t>
  </si>
  <si>
    <t>VANDA INTERNA - VIDA LEVE</t>
  </si>
  <si>
    <t>VENDA INTERNA - BIO MUNDO</t>
  </si>
  <si>
    <t>VENDA INTERNA - ARMAZEM FIT STORE</t>
  </si>
  <si>
    <t>VENDA INTERNA - CIA DA SAUDE</t>
  </si>
  <si>
    <t>VENDA INTERNA - MUNDO VERDE</t>
  </si>
  <si>
    <t>VENDA INTERNA - MAIS NATURAL</t>
  </si>
  <si>
    <t>VENDA INTERNA - TUDO EM GRAOS</t>
  </si>
  <si>
    <t>VENDA INTERNA AL</t>
  </si>
  <si>
    <t>VENDA INTERNA PR - CONVENIENCIA</t>
  </si>
  <si>
    <t>VENDA INTERNA AP - CONVENIENCIA</t>
  </si>
  <si>
    <t>VENDA INTERNA RN - CONVENIENCIA</t>
  </si>
  <si>
    <t>VENDA INTERNA CE - CONVENIENCIA</t>
  </si>
  <si>
    <t>VENDA INTERNA PI - CONVENIENCIA</t>
  </si>
  <si>
    <t>VENDA INTERNA PE - CONVENIENCIA</t>
  </si>
  <si>
    <t>VENDA INTERNA SE - CONVENIENCIA</t>
  </si>
  <si>
    <t>VENDA INTERNA PB - CONVENIENCIA</t>
  </si>
  <si>
    <t>VENDA INTERNA BA - CONVENIENCIA</t>
  </si>
  <si>
    <t>VENDA INTERNA MA - CONVENIENCIA</t>
  </si>
  <si>
    <t>VENDA INTERNA TO - CONVENIENCIA</t>
  </si>
  <si>
    <t>VENDA INTERNA RO - CONVENIENCIA</t>
  </si>
  <si>
    <t>VENDA INTERNA RR - CONVENIENCIA</t>
  </si>
  <si>
    <t>VENDA INTERNA PA - CONVENIENCIA</t>
  </si>
  <si>
    <t>VENDA INTERNA AL - CONVENIENCIA</t>
  </si>
  <si>
    <t>VENDA INTERNA AM - CONVENIENCIA</t>
  </si>
  <si>
    <t>VENDA INTERNA DF - CONVENIENCIA</t>
  </si>
  <si>
    <t>VENDA INTERNA MS - CONVENIENCIA</t>
  </si>
  <si>
    <t>VENDA INTERNA MT - CONVENIENCIA</t>
  </si>
  <si>
    <t>VENDA INTERNA GO - CONVENIENCIA</t>
  </si>
  <si>
    <t>VENDA INTERNA ES - CONVENIENCIA</t>
  </si>
  <si>
    <t>VENDA INTERNA RJ - CONVENIENCIA</t>
  </si>
  <si>
    <t>VENDA INTERNA MG - CONVENIENCIA</t>
  </si>
  <si>
    <t>VENDA INTERNA SP CAPITAL - CONVENIENCIA</t>
  </si>
  <si>
    <t>VENDA INTERNA SP INTERIOR - CONVENIENCIA</t>
  </si>
  <si>
    <t>VENDA INTERNA RS - CONVENIENCIA</t>
  </si>
  <si>
    <t>VENDA INTERNA SC - CONVENIENCIA</t>
  </si>
  <si>
    <t>1000153245</t>
  </si>
  <si>
    <t>REGIONAL VENDA INTERNA - KEY ACCOUNT</t>
  </si>
  <si>
    <t>1000176426</t>
  </si>
  <si>
    <t>HEMANUELE ROSA DITZEL</t>
  </si>
  <si>
    <t>1000174119</t>
  </si>
  <si>
    <t>REGIONAL VENDA INTERNA - CONVENIENCIA</t>
  </si>
  <si>
    <t>1. TOTAL - VENDA INTERNA AP</t>
  </si>
  <si>
    <t>1. TOTAL - VENDA INTERNA RN</t>
  </si>
  <si>
    <t>1. TOTAL - VENDA INTERNA CE</t>
  </si>
  <si>
    <t>1. TOTAL - VENDA INTERNA PI</t>
  </si>
  <si>
    <t>1. TOTAL - VENDA INTERNA PE</t>
  </si>
  <si>
    <t>1. TOTAL - VENDA INTERNA PB</t>
  </si>
  <si>
    <t>1. TOTAL - VENDA INTERNA SE</t>
  </si>
  <si>
    <t>1. TOTAL - VENDA INTERNA BA</t>
  </si>
  <si>
    <t>1. TOTAL - VENDA INTERNA MA</t>
  </si>
  <si>
    <t>1. TOTAL - VENDA INTERNA TO</t>
  </si>
  <si>
    <t>1. TOTAL - VENDA INTERNA RO</t>
  </si>
  <si>
    <t>1. TOTAL - VENDA INTERNA RR</t>
  </si>
  <si>
    <t>1. TOTAL - VENDA INTERNA PA</t>
  </si>
  <si>
    <t>1. TOTAL - VENDA INTERNA AM</t>
  </si>
  <si>
    <t>1. TOTAL - VENDA INTERNA DF</t>
  </si>
  <si>
    <t>1. TOTAL - VENDA INTERNA MS</t>
  </si>
  <si>
    <t>1. TOTAL - VENDA INTERNA MT</t>
  </si>
  <si>
    <t>1. TOTAL - VENDA INTERNA GO</t>
  </si>
  <si>
    <t>1. TOTAL - VENDA INTERNA ES</t>
  </si>
  <si>
    <t>1. TOTAL - VENDA INTERNA RJ</t>
  </si>
  <si>
    <t>1. TOTAL - VENDA INTERNA MG</t>
  </si>
  <si>
    <t>1. TOTAL - VENDA INTERNA SP CAPITAL</t>
  </si>
  <si>
    <t>1. TOTAL - VENDA INTERNA SP INTERIOR</t>
  </si>
  <si>
    <t>1. TOTAL - VENDA INTERNA RS</t>
  </si>
  <si>
    <t>1. TOTAL - VENDA INTERNA PR</t>
  </si>
  <si>
    <t>1. TOTAL - VENDA INTERNA SC</t>
  </si>
  <si>
    <t>1. TOTAL - VENDA INTERNA - DIVINA TERRA</t>
  </si>
  <si>
    <t>1. TOTAL - VENDA INTERNA - FITLAND</t>
  </si>
  <si>
    <t>1. TOTAL - VENDA INTERNA - JARDIM DAS ERVAS</t>
  </si>
  <si>
    <t>1. TOTAL - VANDA INTERNA - VIDA LEVE</t>
  </si>
  <si>
    <t>1. TOTAL - VENDA INTERNA - BIO MUNDO</t>
  </si>
  <si>
    <t>1. TOTAL - VENDA INTERNA - ARMAZEM FIT STORE</t>
  </si>
  <si>
    <t>1. TOTAL - VENDA INTERNA - CIA DA SAUDE</t>
  </si>
  <si>
    <t>1. TOTAL - VENDA INTERNA - MUNDO VERDE</t>
  </si>
  <si>
    <t>1. TOTAL - VENDA INTERNA - MAIS NATURAL</t>
  </si>
  <si>
    <t>1. TOTAL - VENDA INTERNA - TUDO EM GRAOS</t>
  </si>
  <si>
    <t>1. TOTAL - VENDA INTERNA AL</t>
  </si>
  <si>
    <t>1. TOTAL - VENDA INTERNA PR - CONVENIENCIA</t>
  </si>
  <si>
    <t>1. TOTAL - VENDA INTERNA AP - CONVENIENCIA</t>
  </si>
  <si>
    <t>1. TOTAL - VENDA INTERNA RN - CONVENIENCIA</t>
  </si>
  <si>
    <t>1. TOTAL - VENDA INTERNA CE - CONVENIENCIA</t>
  </si>
  <si>
    <t>1. TOTAL - VENDA INTERNA PI - CONVENIENCIA</t>
  </si>
  <si>
    <t>1. TOTAL - VENDA INTERNA PE - CONVENIENCIA</t>
  </si>
  <si>
    <t>1. TOTAL - VENDA INTERNA SE - CONVENIENCIA</t>
  </si>
  <si>
    <t>1. TOTAL - VENDA INTERNA PB - CONVENIENCIA</t>
  </si>
  <si>
    <t>1. TOTAL - VENDA INTERNA BA - CONVENIENCIA</t>
  </si>
  <si>
    <t>1. TOTAL - VENDA INTERNA MA - CONVENIENCIA</t>
  </si>
  <si>
    <t>1. TOTAL - VENDA INTERNA TO - CONVENIENCIA</t>
  </si>
  <si>
    <t>1. TOTAL - VENDA INTERNA RO - CONVENIENCIA</t>
  </si>
  <si>
    <t>1. TOTAL - VENDA INTERNA RR - CONVENIENCIA</t>
  </si>
  <si>
    <t>1. TOTAL - VENDA INTERNA PA - CONVENIENCIA</t>
  </si>
  <si>
    <t>1. TOTAL - VENDA INTERNA AL - CONVENIENCIA</t>
  </si>
  <si>
    <t>1. TOTAL - VENDA INTERNA AM - CONVENIENCIA</t>
  </si>
  <si>
    <t>1. TOTAL - VENDA INTERNA DF - CONVENIENCIA</t>
  </si>
  <si>
    <t>1. TOTAL - VENDA INTERNA MS - CONVENIENCIA</t>
  </si>
  <si>
    <t>1. TOTAL - VENDA INTERNA MT - CONVENIENCIA</t>
  </si>
  <si>
    <t>1. TOTAL - VENDA INTERNA GO - CONVENIENCIA</t>
  </si>
  <si>
    <t>1. TOTAL - VENDA INTERNA ES - CONVENIENCIA</t>
  </si>
  <si>
    <t>1. TOTAL - VENDA INTERNA RJ - CONVENIENCIA</t>
  </si>
  <si>
    <t>1. TOTAL - VENDA INTERNA MG - CONVENIENCIA</t>
  </si>
  <si>
    <t>1. TOTAL - VENDA INTERNA SP CAPITAL - CONVENIENCIA</t>
  </si>
  <si>
    <t>1. TOTAL - VENDA INTERNA SP INTERIOR - CONVENIENCIA</t>
  </si>
  <si>
    <t>1. TOTAL - VENDA INTERNA RS - CONVENIENCIA</t>
  </si>
  <si>
    <t>1. TOTAL - VENDA INTERNA SC - CONVENIENCIA</t>
  </si>
  <si>
    <t>;</t>
  </si>
  <si>
    <t>Soma de ABR</t>
  </si>
  <si>
    <t>Soma de MAI</t>
  </si>
  <si>
    <t>Soma de JUN</t>
  </si>
  <si>
    <t>Soma de JUL</t>
  </si>
  <si>
    <t>Soma de AGO</t>
  </si>
  <si>
    <t>Soma de SET</t>
  </si>
  <si>
    <t>Soma de OUT</t>
  </si>
  <si>
    <t>Soma de NOV</t>
  </si>
  <si>
    <t>Soma de DEZ</t>
  </si>
  <si>
    <t>VENDA INTERNA AC - CONVENIENCIA</t>
  </si>
  <si>
    <t xml:space="preserve">	VENDA INTERNA AC</t>
  </si>
  <si>
    <t>AC</t>
  </si>
  <si>
    <t>1. TOTAL - VENDA INTERNA AC - CONVENIENCIA</t>
  </si>
  <si>
    <t>1. TOTAL - 	VENDA INTERNA AC</t>
  </si>
  <si>
    <t>(Tudo)</t>
  </si>
  <si>
    <t>proposto</t>
  </si>
  <si>
    <t>gap</t>
  </si>
  <si>
    <t>ações</t>
  </si>
  <si>
    <t>meta faturamento</t>
  </si>
  <si>
    <t>ticket medio</t>
  </si>
  <si>
    <t>positivações mês / vendedor</t>
  </si>
  <si>
    <t>positivação dia / vendedor</t>
  </si>
  <si>
    <t>taxa conversão</t>
  </si>
  <si>
    <t>leads abordados por dia</t>
  </si>
  <si>
    <t>Atual</t>
  </si>
  <si>
    <t>meta / vendedor /3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</si>
</sst>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_-&quot;R$&quot;\ * #,##0_-;\-&quot;R$&quot;\ * #,##0_-;_-&quot;R$&quot;\ * &quot;-&quot;??_-;_-@_-"/>
  </numFmts>
  <fonts count="17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Calibri"/>
      <family val="2"/>
    </font>
    <font>
      <b/>
      <sz val="16"/>
      <name val="Calibri"/>
      <family val="2"/>
    </font>
    <font>
      <b/>
      <sz val="20"/>
      <name val="Calibri"/>
      <family val="2"/>
    </font>
    <font>
      <sz val="11"/>
      <name val="Calibri"/>
      <family val="2"/>
      <scheme val="minor"/>
    </font>
    <font>
      <b/>
      <i/>
      <u/>
      <sz val="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</cellStyleXfs>
  <cellXfs count="97">
    <xf numFmtId="0" fontId="0" fillId="0" borderId="0" xfId="0"/>
    <xf numFmtId="0" fontId="1" fillId="0" borderId="0" xfId="0" applyFont="1"/>
    <xf numFmtId="0" fontId="1" fillId="0" borderId="1" xfId="0" applyFont="1" applyBorder="1"/>
    <xf numFmtId="1" fontId="3" fillId="0" borderId="1" xfId="1" applyNumberFormat="1" applyFont="1" applyBorder="1"/>
    <xf numFmtId="0" fontId="3" fillId="0" borderId="1" xfId="1" applyFont="1" applyBorder="1"/>
    <xf numFmtId="0" fontId="1" fillId="3" borderId="1" xfId="0" applyFont="1" applyFill="1" applyBorder="1"/>
    <xf numFmtId="0" fontId="1" fillId="0" borderId="0" xfId="0" applyFont="1" applyAlignment="1">
      <alignment vertical="center" wrapText="1"/>
    </xf>
    <xf numFmtId="9" fontId="1" fillId="0" borderId="0" xfId="2" applyFont="1" applyAlignment="1">
      <alignment horizontal="center"/>
    </xf>
    <xf numFmtId="0" fontId="1" fillId="0" borderId="0" xfId="0" applyFont="1" applyAlignment="1">
      <alignment horizontal="center"/>
    </xf>
    <xf numFmtId="1" fontId="3" fillId="0" borderId="1" xfId="1" applyNumberFormat="1" applyFont="1" applyBorder="1" applyAlignment="1">
      <alignment horizontal="center"/>
    </xf>
    <xf numFmtId="1" fontId="1" fillId="3" borderId="1" xfId="0" applyNumberFormat="1" applyFont="1" applyFill="1" applyBorder="1" applyAlignment="1">
      <alignment horizontal="center"/>
    </xf>
    <xf numFmtId="9" fontId="1" fillId="3" borderId="1" xfId="2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9" fontId="3" fillId="0" borderId="1" xfId="2" applyFont="1" applyBorder="1" applyAlignment="1">
      <alignment horizontal="center"/>
    </xf>
    <xf numFmtId="0" fontId="8" fillId="0" borderId="0" xfId="0" applyFont="1" applyAlignment="1">
      <alignment horizontal="center"/>
    </xf>
    <xf numFmtId="0" fontId="0" fillId="0" borderId="1" xfId="0" applyBorder="1"/>
    <xf numFmtId="9" fontId="3" fillId="4" borderId="1" xfId="2" applyFont="1" applyFill="1" applyBorder="1" applyAlignment="1">
      <alignment horizontal="center"/>
    </xf>
    <xf numFmtId="9" fontId="0" fillId="0" borderId="1" xfId="2" applyFont="1" applyBorder="1" applyAlignment="1">
      <alignment horizontal="center"/>
    </xf>
    <xf numFmtId="9" fontId="0" fillId="0" borderId="0" xfId="2" applyFont="1" applyBorder="1" applyAlignment="1">
      <alignment horizontal="center"/>
    </xf>
    <xf numFmtId="0" fontId="4" fillId="5" borderId="1" xfId="1" applyFont="1" applyFill="1" applyBorder="1" applyAlignment="1">
      <alignment vertical="center" wrapText="1"/>
    </xf>
    <xf numFmtId="0" fontId="4" fillId="5" borderId="1" xfId="1" applyFont="1" applyFill="1" applyBorder="1" applyAlignment="1">
      <alignment horizontal="center" vertical="center" wrapText="1"/>
    </xf>
    <xf numFmtId="9" fontId="4" fillId="5" borderId="1" xfId="2" applyFont="1" applyFill="1" applyBorder="1" applyAlignment="1">
      <alignment horizontal="center" vertical="center" wrapText="1"/>
    </xf>
    <xf numFmtId="0" fontId="4" fillId="5" borderId="1" xfId="1" applyFont="1" applyFill="1" applyBorder="1"/>
    <xf numFmtId="43" fontId="3" fillId="0" borderId="1" xfId="3" applyFont="1" applyBorder="1"/>
    <xf numFmtId="164" fontId="3" fillId="0" borderId="1" xfId="3" applyNumberFormat="1" applyFont="1" applyBorder="1" applyAlignment="1">
      <alignment horizontal="center"/>
    </xf>
    <xf numFmtId="164" fontId="1" fillId="3" borderId="1" xfId="3" applyNumberFormat="1" applyFont="1" applyFill="1" applyBorder="1" applyAlignment="1">
      <alignment horizontal="center"/>
    </xf>
    <xf numFmtId="164" fontId="3" fillId="0" borderId="1" xfId="3" applyNumberFormat="1" applyFont="1" applyBorder="1" applyAlignment="1">
      <alignment horizontal="left" indent="2"/>
    </xf>
    <xf numFmtId="164" fontId="1" fillId="0" borderId="1" xfId="3" applyNumberFormat="1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9" fontId="1" fillId="0" borderId="1" xfId="2" applyFont="1" applyFill="1" applyBorder="1" applyAlignment="1">
      <alignment horizontal="center"/>
    </xf>
    <xf numFmtId="164" fontId="9" fillId="3" borderId="1" xfId="3" applyNumberFormat="1" applyFont="1" applyFill="1" applyBorder="1" applyAlignment="1">
      <alignment horizontal="center"/>
    </xf>
    <xf numFmtId="0" fontId="4" fillId="2" borderId="3" xfId="1" applyFont="1" applyFill="1" applyBorder="1" applyAlignment="1">
      <alignment vertical="center" wrapText="1"/>
    </xf>
    <xf numFmtId="0" fontId="4" fillId="2" borderId="4" xfId="1" applyFont="1" applyFill="1" applyBorder="1" applyAlignment="1">
      <alignment vertical="center" wrapText="1"/>
    </xf>
    <xf numFmtId="44" fontId="1" fillId="0" borderId="0" xfId="4" applyFont="1" applyAlignment="1">
      <alignment horizontal="center"/>
    </xf>
    <xf numFmtId="44" fontId="9" fillId="0" borderId="0" xfId="4" applyFont="1" applyAlignment="1">
      <alignment horizontal="center"/>
    </xf>
    <xf numFmtId="44" fontId="4" fillId="5" borderId="1" xfId="4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right"/>
    </xf>
    <xf numFmtId="0" fontId="4" fillId="5" borderId="1" xfId="1" applyFont="1" applyFill="1" applyBorder="1" applyAlignment="1">
      <alignment horizontal="right"/>
    </xf>
    <xf numFmtId="0" fontId="1" fillId="0" borderId="0" xfId="0" applyFont="1" applyAlignment="1">
      <alignment horizontal="right"/>
    </xf>
    <xf numFmtId="0" fontId="1" fillId="0" borderId="1" xfId="0" applyFont="1" applyBorder="1" applyAlignment="1">
      <alignment horizontal="right"/>
    </xf>
    <xf numFmtId="0" fontId="0" fillId="0" borderId="1" xfId="0" applyBorder="1" applyAlignment="1">
      <alignment horizontal="left"/>
    </xf>
    <xf numFmtId="44" fontId="0" fillId="0" borderId="1" xfId="0" applyNumberFormat="1" applyBorder="1"/>
    <xf numFmtId="0" fontId="13" fillId="2" borderId="1" xfId="0" applyFont="1" applyFill="1" applyBorder="1"/>
    <xf numFmtId="0" fontId="4" fillId="5" borderId="1" xfId="1" applyFont="1" applyFill="1" applyBorder="1" applyAlignment="1">
      <alignment horizontal="center"/>
    </xf>
    <xf numFmtId="10" fontId="0" fillId="0" borderId="0" xfId="0" applyNumberFormat="1"/>
    <xf numFmtId="0" fontId="3" fillId="0" borderId="1" xfId="1" applyFont="1" applyBorder="1" applyAlignment="1">
      <alignment horizontal="center"/>
    </xf>
    <xf numFmtId="10" fontId="3" fillId="0" borderId="1" xfId="2" applyNumberFormat="1" applyFont="1" applyBorder="1" applyAlignment="1">
      <alignment horizontal="center"/>
    </xf>
    <xf numFmtId="10" fontId="4" fillId="0" borderId="1" xfId="2" applyNumberFormat="1" applyFont="1" applyBorder="1" applyAlignment="1">
      <alignment horizontal="center"/>
    </xf>
    <xf numFmtId="164" fontId="0" fillId="0" borderId="0" xfId="0" applyNumberFormat="1"/>
    <xf numFmtId="44" fontId="4" fillId="0" borderId="1" xfId="4" applyFont="1" applyBorder="1" applyAlignment="1">
      <alignment horizontal="center"/>
    </xf>
    <xf numFmtId="164" fontId="3" fillId="0" borderId="1" xfId="3" applyNumberFormat="1" applyFont="1" applyBorder="1"/>
    <xf numFmtId="164" fontId="4" fillId="0" borderId="1" xfId="3" applyNumberFormat="1" applyFont="1" applyBorder="1" applyAlignment="1">
      <alignment horizontal="center"/>
    </xf>
    <xf numFmtId="44" fontId="4" fillId="6" borderId="1" xfId="4" applyFont="1" applyFill="1" applyBorder="1" applyAlignment="1">
      <alignment horizontal="center"/>
    </xf>
    <xf numFmtId="10" fontId="0" fillId="0" borderId="0" xfId="2" applyNumberFormat="1" applyFont="1"/>
    <xf numFmtId="0" fontId="6" fillId="5" borderId="1" xfId="0" applyFont="1" applyFill="1" applyBorder="1" applyAlignment="1">
      <alignment horizontal="center"/>
    </xf>
    <xf numFmtId="1" fontId="4" fillId="5" borderId="1" xfId="1" applyNumberFormat="1" applyFont="1" applyFill="1" applyBorder="1" applyAlignment="1">
      <alignment horizontal="center"/>
    </xf>
    <xf numFmtId="165" fontId="3" fillId="0" borderId="1" xfId="4" applyNumberFormat="1" applyFont="1" applyBorder="1" applyAlignment="1">
      <alignment horizontal="center"/>
    </xf>
    <xf numFmtId="165" fontId="4" fillId="5" borderId="1" xfId="4" applyNumberFormat="1" applyFont="1" applyFill="1" applyBorder="1" applyAlignment="1">
      <alignment horizontal="center"/>
    </xf>
    <xf numFmtId="0" fontId="14" fillId="0" borderId="0" xfId="0" applyFont="1"/>
    <xf numFmtId="9" fontId="0" fillId="0" borderId="1" xfId="2" applyFont="1" applyFill="1" applyBorder="1"/>
    <xf numFmtId="9" fontId="4" fillId="5" borderId="1" xfId="2" applyFont="1" applyFill="1" applyBorder="1"/>
    <xf numFmtId="165" fontId="9" fillId="3" borderId="1" xfId="4" applyNumberFormat="1" applyFont="1" applyFill="1" applyBorder="1" applyAlignment="1">
      <alignment horizontal="center"/>
    </xf>
    <xf numFmtId="164" fontId="4" fillId="5" borderId="1" xfId="3" applyNumberFormat="1" applyFont="1" applyFill="1" applyBorder="1" applyAlignment="1">
      <alignment horizontal="center" vertical="center" wrapText="1"/>
    </xf>
    <xf numFmtId="0" fontId="0" fillId="0" borderId="1" xfId="0" pivotButton="1" applyBorder="1"/>
    <xf numFmtId="0" fontId="0" fillId="0" borderId="0" xfId="0" pivotButton="1"/>
    <xf numFmtId="165" fontId="0" fillId="0" borderId="0" xfId="0" applyNumberFormat="1"/>
    <xf numFmtId="1" fontId="0" fillId="0" borderId="0" xfId="0" applyNumberFormat="1" applyAlignment="1">
      <alignment horizontal="left"/>
    </xf>
    <xf numFmtId="0" fontId="15" fillId="0" borderId="0" xfId="0" applyFont="1"/>
    <xf numFmtId="0" fontId="16" fillId="0" borderId="0" xfId="0" applyFont="1"/>
    <xf numFmtId="165" fontId="0" fillId="0" borderId="1" xfId="4" applyNumberFormat="1" applyFont="1" applyBorder="1"/>
    <xf numFmtId="1" fontId="0" fillId="0" borderId="1" xfId="4" applyNumberFormat="1" applyFont="1" applyBorder="1" applyAlignment="1">
      <alignment horizontal="center"/>
    </xf>
    <xf numFmtId="1" fontId="0" fillId="0" borderId="1" xfId="3" applyNumberFormat="1" applyFont="1" applyBorder="1" applyAlignment="1">
      <alignment horizontal="center"/>
    </xf>
    <xf numFmtId="0" fontId="12" fillId="2" borderId="5" xfId="1" applyFont="1" applyFill="1" applyBorder="1" applyAlignment="1">
      <alignment horizontal="center" vertical="center" wrapText="1"/>
    </xf>
    <xf numFmtId="0" fontId="12" fillId="2" borderId="6" xfId="1" applyFont="1" applyFill="1" applyBorder="1" applyAlignment="1">
      <alignment horizontal="center" vertical="center" wrapText="1"/>
    </xf>
    <xf numFmtId="0" fontId="12" fillId="2" borderId="7" xfId="1" applyFont="1" applyFill="1" applyBorder="1" applyAlignment="1">
      <alignment horizontal="center" vertical="center" wrapText="1"/>
    </xf>
    <xf numFmtId="0" fontId="12" fillId="2" borderId="8" xfId="1" applyFont="1" applyFill="1" applyBorder="1" applyAlignment="1">
      <alignment horizontal="center" vertical="center" wrapText="1"/>
    </xf>
    <xf numFmtId="0" fontId="12" fillId="2" borderId="0" xfId="1" applyFont="1" applyFill="1" applyAlignment="1">
      <alignment horizontal="center" vertical="center" wrapText="1"/>
    </xf>
    <xf numFmtId="0" fontId="12" fillId="2" borderId="9" xfId="1" applyFont="1" applyFill="1" applyBorder="1" applyAlignment="1">
      <alignment horizontal="center" vertical="center" wrapText="1"/>
    </xf>
    <xf numFmtId="0" fontId="12" fillId="2" borderId="10" xfId="1" applyFont="1" applyFill="1" applyBorder="1" applyAlignment="1">
      <alignment horizontal="center" vertical="center" wrapText="1"/>
    </xf>
    <xf numFmtId="0" fontId="12" fillId="2" borderId="11" xfId="1" applyFont="1" applyFill="1" applyBorder="1" applyAlignment="1">
      <alignment horizontal="center" vertical="center" wrapText="1"/>
    </xf>
    <xf numFmtId="0" fontId="12" fillId="2" borderId="12" xfId="1" applyFont="1" applyFill="1" applyBorder="1" applyAlignment="1">
      <alignment horizontal="center" vertical="center" wrapText="1"/>
    </xf>
    <xf numFmtId="44" fontId="11" fillId="7" borderId="5" xfId="4" applyFont="1" applyFill="1" applyBorder="1" applyAlignment="1">
      <alignment horizontal="center" vertical="center" wrapText="1"/>
    </xf>
    <xf numFmtId="44" fontId="11" fillId="7" borderId="6" xfId="4" applyFont="1" applyFill="1" applyBorder="1" applyAlignment="1">
      <alignment horizontal="center" vertical="center" wrapText="1"/>
    </xf>
    <xf numFmtId="44" fontId="11" fillId="7" borderId="7" xfId="4" applyFont="1" applyFill="1" applyBorder="1" applyAlignment="1">
      <alignment horizontal="center" vertical="center" wrapText="1"/>
    </xf>
    <xf numFmtId="44" fontId="11" fillId="7" borderId="8" xfId="4" applyFont="1" applyFill="1" applyBorder="1" applyAlignment="1">
      <alignment horizontal="center" vertical="center" wrapText="1"/>
    </xf>
    <xf numFmtId="44" fontId="11" fillId="7" borderId="0" xfId="4" applyFont="1" applyFill="1" applyBorder="1" applyAlignment="1">
      <alignment horizontal="center" vertical="center" wrapText="1"/>
    </xf>
    <xf numFmtId="44" fontId="11" fillId="7" borderId="9" xfId="4" applyFont="1" applyFill="1" applyBorder="1" applyAlignment="1">
      <alignment horizontal="center" vertical="center" wrapText="1"/>
    </xf>
    <xf numFmtId="44" fontId="11" fillId="7" borderId="10" xfId="4" applyFont="1" applyFill="1" applyBorder="1" applyAlignment="1">
      <alignment horizontal="center" vertical="center" wrapText="1"/>
    </xf>
    <xf numFmtId="44" fontId="11" fillId="7" borderId="11" xfId="4" applyFont="1" applyFill="1" applyBorder="1" applyAlignment="1">
      <alignment horizontal="center" vertical="center" wrapText="1"/>
    </xf>
    <xf numFmtId="44" fontId="11" fillId="7" borderId="12" xfId="4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/>
    </xf>
    <xf numFmtId="0" fontId="6" fillId="5" borderId="3" xfId="0" applyFont="1" applyFill="1" applyBorder="1" applyAlignment="1">
      <alignment horizontal="center"/>
    </xf>
    <xf numFmtId="0" fontId="6" fillId="5" borderId="4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 vertical="center"/>
    </xf>
    <xf numFmtId="0" fontId="6" fillId="5" borderId="12" xfId="0" applyFont="1" applyFill="1" applyBorder="1" applyAlignment="1">
      <alignment horizontal="center" vertical="center"/>
    </xf>
    <xf numFmtId="0" fontId="4" fillId="5" borderId="2" xfId="1" applyFont="1" applyFill="1" applyBorder="1" applyAlignment="1">
      <alignment horizontal="center"/>
    </xf>
    <xf numFmtId="0" fontId="4" fillId="5" borderId="4" xfId="1" applyFont="1" applyFill="1" applyBorder="1" applyAlignment="1">
      <alignment horizontal="center"/>
    </xf>
  </cellXfs>
  <cellStyles count="5">
    <cellStyle name="Moeda" xfId="4" builtinId="4"/>
    <cellStyle name="Normal" xfId="0" builtinId="0"/>
    <cellStyle name="Normal 2" xfId="1" xr:uid="{25847F89-4ADA-4DD9-9E17-A4D71E250668}"/>
    <cellStyle name="Porcentagem" xfId="2" builtinId="5"/>
    <cellStyle name="Vírgula" xfId="3" builtinId="3"/>
  </cellStyles>
  <dxfs count="15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auto="1"/>
      </font>
    </dxf>
    <dxf>
      <font>
        <color auto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Evolução</a:t>
            </a:r>
            <a:r>
              <a:rPr lang="pt-BR" baseline="0"/>
              <a:t> do Faturamento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1.5891934843067144E-2"/>
          <c:y val="3.26397850194695E-2"/>
          <c:w val="0.96503774334525227"/>
          <c:h val="0.81663146017956578"/>
        </c:manualLayout>
      </c:layout>
      <c:lineChart>
        <c:grouping val="standard"/>
        <c:varyColors val="0"/>
        <c:ser>
          <c:idx val="0"/>
          <c:order val="0"/>
          <c:tx>
            <c:v>Faturamento Total</c:v>
          </c:tx>
          <c:spPr>
            <a:ln w="28575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75000"/>
                </a:schemeClr>
              </a:solidFill>
              <a:ln w="9525"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Faturamento!$Q$2:$AB$2</c:f>
              <c:strCache>
                <c:ptCount val="12"/>
                <c:pt idx="0">
                  <c:v> JAN </c:v>
                </c:pt>
                <c:pt idx="1">
                  <c:v> FEV </c:v>
                </c:pt>
                <c:pt idx="2">
                  <c:v> MAR </c:v>
                </c:pt>
                <c:pt idx="3">
                  <c:v> ABR </c:v>
                </c:pt>
                <c:pt idx="4">
                  <c:v> MAI </c:v>
                </c:pt>
                <c:pt idx="5">
                  <c:v> JUN </c:v>
                </c:pt>
                <c:pt idx="6">
                  <c:v> JUL </c:v>
                </c:pt>
                <c:pt idx="7">
                  <c:v> AGO </c:v>
                </c:pt>
                <c:pt idx="8">
                  <c:v> SET </c:v>
                </c:pt>
                <c:pt idx="9">
                  <c:v> OUT </c:v>
                </c:pt>
                <c:pt idx="10">
                  <c:v> NOV </c:v>
                </c:pt>
                <c:pt idx="11">
                  <c:v> DEZ </c:v>
                </c:pt>
              </c:strCache>
            </c:strRef>
          </c:cat>
          <c:val>
            <c:numRef>
              <c:f>Faturamento!$Q$1:$AB$1</c:f>
              <c:numCache>
                <c:formatCode>_-"R$"\ * #,##0_-;\-"R$"\ * #,##0_-;_-"R$"\ * "-"??_-;_-@_-</c:formatCode>
                <c:ptCount val="12"/>
                <c:pt idx="0">
                  <c:v>0</c:v>
                </c:pt>
                <c:pt idx="1">
                  <c:v>170446.27257043531</c:v>
                </c:pt>
                <c:pt idx="2">
                  <c:v>193433.642725944</c:v>
                </c:pt>
                <c:pt idx="3">
                  <c:v>169400</c:v>
                </c:pt>
                <c:pt idx="4">
                  <c:v>196200</c:v>
                </c:pt>
                <c:pt idx="5">
                  <c:v>246200</c:v>
                </c:pt>
                <c:pt idx="6">
                  <c:v>294400</c:v>
                </c:pt>
                <c:pt idx="7">
                  <c:v>362300</c:v>
                </c:pt>
                <c:pt idx="8">
                  <c:v>452400</c:v>
                </c:pt>
                <c:pt idx="9">
                  <c:v>491900</c:v>
                </c:pt>
                <c:pt idx="10">
                  <c:v>554200</c:v>
                </c:pt>
                <c:pt idx="11">
                  <c:v>390000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0A-45F3-91BB-9F90816274B0}"/>
            </c:ext>
          </c:extLst>
        </c:ser>
        <c:ser>
          <c:idx val="1"/>
          <c:order val="1"/>
          <c:tx>
            <c:v>Fat / Funcionario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val>
            <c:numRef>
              <c:f>Faturamento!#REF!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70A-45F3-91BB-9F90816274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7233647"/>
        <c:axId val="547230287"/>
      </c:lineChart>
      <c:catAx>
        <c:axId val="5472336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47230287"/>
        <c:crosses val="autoZero"/>
        <c:auto val="1"/>
        <c:lblAlgn val="ctr"/>
        <c:lblOffset val="100"/>
        <c:noMultiLvlLbl val="0"/>
      </c:catAx>
      <c:valAx>
        <c:axId val="547230287"/>
        <c:scaling>
          <c:orientation val="minMax"/>
        </c:scaling>
        <c:delete val="1"/>
        <c:axPos val="l"/>
        <c:numFmt formatCode="_-&quot;R$&quot;\ * #,##0_-;\-&quot;R$&quot;\ * #,##0_-;_-&quot;R$&quot;\ * &quot;-&quot;??_-;_-@_-" sourceLinked="1"/>
        <c:majorTickMark val="none"/>
        <c:minorTickMark val="none"/>
        <c:tickLblPos val="nextTo"/>
        <c:crossAx val="547233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51271</xdr:rowOff>
    </xdr:from>
    <xdr:to>
      <xdr:col>12</xdr:col>
      <xdr:colOff>78441</xdr:colOff>
      <xdr:row>18</xdr:row>
      <xdr:rowOff>44823</xdr:rowOff>
    </xdr:to>
    <xdr:graphicFrame macro="">
      <xdr:nvGraphicFramePr>
        <xdr:cNvPr id="2" name="Gráfico 3">
          <a:extLst>
            <a:ext uri="{FF2B5EF4-FFF2-40B4-BE49-F238E27FC236}">
              <a16:creationId xmlns:a16="http://schemas.microsoft.com/office/drawing/2014/main" id="{591F7A9A-C5B2-87B2-837D-31FBE544DD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486731</xdr:colOff>
      <xdr:row>17</xdr:row>
      <xdr:rowOff>165093</xdr:rowOff>
    </xdr:from>
    <xdr:to>
      <xdr:col>26</xdr:col>
      <xdr:colOff>569046</xdr:colOff>
      <xdr:row>21</xdr:row>
      <xdr:rowOff>132133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96DF9DF6-3F62-458E-AEFA-0AD3E89A41D5}"/>
            </a:ext>
          </a:extLst>
        </xdr:cNvPr>
        <xdr:cNvSpPr/>
      </xdr:nvSpPr>
      <xdr:spPr>
        <a:xfrm>
          <a:off x="14507531" y="3241668"/>
          <a:ext cx="1911115" cy="690940"/>
        </a:xfrm>
        <a:prstGeom prst="rect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2400"/>
            <a:t>LOHANY </a:t>
          </a:r>
        </a:p>
      </xdr:txBody>
    </xdr:sp>
    <xdr:clientData/>
  </xdr:twoCellAnchor>
  <xdr:twoCellAnchor>
    <xdr:from>
      <xdr:col>23</xdr:col>
      <xdr:colOff>427561</xdr:colOff>
      <xdr:row>11</xdr:row>
      <xdr:rowOff>155136</xdr:rowOff>
    </xdr:from>
    <xdr:to>
      <xdr:col>26</xdr:col>
      <xdr:colOff>512199</xdr:colOff>
      <xdr:row>15</xdr:row>
      <xdr:rowOff>120304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8E3B3749-C255-4E08-A0D0-186430060A1B}"/>
            </a:ext>
          </a:extLst>
        </xdr:cNvPr>
        <xdr:cNvSpPr/>
      </xdr:nvSpPr>
      <xdr:spPr>
        <a:xfrm>
          <a:off x="14448361" y="2145861"/>
          <a:ext cx="1913438" cy="689068"/>
        </a:xfrm>
        <a:prstGeom prst="rect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2400"/>
            <a:t>JULIO</a:t>
          </a:r>
        </a:p>
      </xdr:txBody>
    </xdr:sp>
    <xdr:clientData/>
  </xdr:twoCellAnchor>
  <xdr:twoCellAnchor>
    <xdr:from>
      <xdr:col>15</xdr:col>
      <xdr:colOff>145953</xdr:colOff>
      <xdr:row>9</xdr:row>
      <xdr:rowOff>0</xdr:rowOff>
    </xdr:from>
    <xdr:to>
      <xdr:col>18</xdr:col>
      <xdr:colOff>219639</xdr:colOff>
      <xdr:row>12</xdr:row>
      <xdr:rowOff>148729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7A8C844F-7105-4D62-A618-778ED27BA10D}"/>
            </a:ext>
          </a:extLst>
        </xdr:cNvPr>
        <xdr:cNvSpPr/>
      </xdr:nvSpPr>
      <xdr:spPr>
        <a:xfrm>
          <a:off x="9289953" y="1628775"/>
          <a:ext cx="1902486" cy="691654"/>
        </a:xfrm>
        <a:prstGeom prst="rect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2400"/>
            <a:t>LEANDRO</a:t>
          </a:r>
          <a:r>
            <a:rPr lang="pt-BR" sz="2400" baseline="0"/>
            <a:t> </a:t>
          </a:r>
          <a:endParaRPr lang="pt-BR" sz="2400"/>
        </a:p>
      </xdr:txBody>
    </xdr:sp>
    <xdr:clientData/>
  </xdr:twoCellAnchor>
  <xdr:twoCellAnchor>
    <xdr:from>
      <xdr:col>10</xdr:col>
      <xdr:colOff>559689</xdr:colOff>
      <xdr:row>9</xdr:row>
      <xdr:rowOff>7045</xdr:rowOff>
    </xdr:from>
    <xdr:to>
      <xdr:col>14</xdr:col>
      <xdr:colOff>28818</xdr:colOff>
      <xdr:row>12</xdr:row>
      <xdr:rowOff>161446</xdr:rowOff>
    </xdr:to>
    <xdr:sp macro="" textlink="">
      <xdr:nvSpPr>
        <xdr:cNvPr id="5" name="Retângulo 4">
          <a:extLst>
            <a:ext uri="{FF2B5EF4-FFF2-40B4-BE49-F238E27FC236}">
              <a16:creationId xmlns:a16="http://schemas.microsoft.com/office/drawing/2014/main" id="{6BF3916E-2FBE-4FDD-BCFD-56E695FAB8A5}"/>
            </a:ext>
          </a:extLst>
        </xdr:cNvPr>
        <xdr:cNvSpPr/>
      </xdr:nvSpPr>
      <xdr:spPr>
        <a:xfrm>
          <a:off x="6655689" y="1635820"/>
          <a:ext cx="1907529" cy="697326"/>
        </a:xfrm>
        <a:prstGeom prst="rect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2400"/>
            <a:t>DAIANE</a:t>
          </a:r>
          <a:r>
            <a:rPr lang="pt-BR" sz="2400" baseline="0"/>
            <a:t> </a:t>
          </a:r>
          <a:endParaRPr lang="pt-BR" sz="2400"/>
        </a:p>
      </xdr:txBody>
    </xdr:sp>
    <xdr:clientData/>
  </xdr:twoCellAnchor>
  <xdr:twoCellAnchor>
    <xdr:from>
      <xdr:col>10</xdr:col>
      <xdr:colOff>0</xdr:colOff>
      <xdr:row>20</xdr:row>
      <xdr:rowOff>67406</xdr:rowOff>
    </xdr:from>
    <xdr:to>
      <xdr:col>12</xdr:col>
      <xdr:colOff>378421</xdr:colOff>
      <xdr:row>23</xdr:row>
      <xdr:rowOff>78520</xdr:rowOff>
    </xdr:to>
    <xdr:sp macro="" textlink="">
      <xdr:nvSpPr>
        <xdr:cNvPr id="6" name="Retângulo 5">
          <a:extLst>
            <a:ext uri="{FF2B5EF4-FFF2-40B4-BE49-F238E27FC236}">
              <a16:creationId xmlns:a16="http://schemas.microsoft.com/office/drawing/2014/main" id="{58CA3146-B977-44A4-AFA8-E71D0BB47381}"/>
            </a:ext>
          </a:extLst>
        </xdr:cNvPr>
        <xdr:cNvSpPr/>
      </xdr:nvSpPr>
      <xdr:spPr>
        <a:xfrm>
          <a:off x="6096000" y="3686906"/>
          <a:ext cx="1597621" cy="554039"/>
        </a:xfrm>
        <a:prstGeom prst="rect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2400"/>
            <a:t>HELDER</a:t>
          </a:r>
          <a:r>
            <a:rPr lang="pt-BR" sz="2400" baseline="0"/>
            <a:t> </a:t>
          </a:r>
          <a:endParaRPr lang="pt-BR" sz="2400"/>
        </a:p>
      </xdr:txBody>
    </xdr:sp>
    <xdr:clientData/>
  </xdr:twoCellAnchor>
  <xdr:twoCellAnchor>
    <xdr:from>
      <xdr:col>13</xdr:col>
      <xdr:colOff>576827</xdr:colOff>
      <xdr:row>20</xdr:row>
      <xdr:rowOff>17082</xdr:rowOff>
    </xdr:from>
    <xdr:to>
      <xdr:col>16</xdr:col>
      <xdr:colOff>300724</xdr:colOff>
      <xdr:row>23</xdr:row>
      <xdr:rowOff>64665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B897F8BC-C0BB-4B49-9BD5-B10517DD5632}"/>
            </a:ext>
          </a:extLst>
        </xdr:cNvPr>
        <xdr:cNvSpPr/>
      </xdr:nvSpPr>
      <xdr:spPr>
        <a:xfrm>
          <a:off x="8501627" y="3636582"/>
          <a:ext cx="1552697" cy="590508"/>
        </a:xfrm>
        <a:prstGeom prst="rect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2400"/>
            <a:t>MANU </a:t>
          </a:r>
          <a:r>
            <a:rPr lang="pt-BR" sz="2400" baseline="0"/>
            <a:t> </a:t>
          </a:r>
          <a:endParaRPr lang="pt-BR" sz="2400"/>
        </a:p>
      </xdr:txBody>
    </xdr:sp>
    <xdr:clientData/>
  </xdr:twoCellAnchor>
  <xdr:twoCellAnchor>
    <xdr:from>
      <xdr:col>17</xdr:col>
      <xdr:colOff>371806</xdr:colOff>
      <xdr:row>19</xdr:row>
      <xdr:rowOff>149768</xdr:rowOff>
    </xdr:from>
    <xdr:to>
      <xdr:col>19</xdr:col>
      <xdr:colOff>399703</xdr:colOff>
      <xdr:row>23</xdr:row>
      <xdr:rowOff>51651</xdr:rowOff>
    </xdr:to>
    <xdr:sp macro="" textlink="">
      <xdr:nvSpPr>
        <xdr:cNvPr id="8" name="Retângulo 7">
          <a:extLst>
            <a:ext uri="{FF2B5EF4-FFF2-40B4-BE49-F238E27FC236}">
              <a16:creationId xmlns:a16="http://schemas.microsoft.com/office/drawing/2014/main" id="{2F154B8C-FF85-4D5C-AB96-1729813B1780}"/>
            </a:ext>
          </a:extLst>
        </xdr:cNvPr>
        <xdr:cNvSpPr/>
      </xdr:nvSpPr>
      <xdr:spPr>
        <a:xfrm>
          <a:off x="10735006" y="3588293"/>
          <a:ext cx="1247097" cy="625783"/>
        </a:xfrm>
        <a:prstGeom prst="rect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2400"/>
            <a:t>LARISSA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AppData\Local\Microsoft\Windows\INetCache\IE\O0IPJLJB\Venda_Interna%5b1%5d.xlsx%5d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AppData\Local\Microsoft\Windows\INetCache\IE\O0IPJLJB\Venda_Interna%5b1%5d.xlsx%5d.xlsx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ao.Giordano" refreshedDate="45819.404605324075" createdVersion="8" refreshedVersion="8" minRefreshableVersion="3" recordCount="1188" xr:uid="{527538EF-DB9C-4771-8F7D-BE4C429DACE1}">
  <cacheSource type="worksheet">
    <worksheetSource ref="A2:AC1190" sheet=".xlsx].xlsx]Faturamento" r:id="rId2"/>
  </cacheSource>
  <cacheFields count="29">
    <cacheField name="TOTAIS" numFmtId="0">
      <sharedItems count="2">
        <s v="SIM"/>
        <s v="NÃO"/>
      </sharedItems>
    </cacheField>
    <cacheField name="CÓD. ZP" numFmtId="0">
      <sharedItems/>
    </cacheField>
    <cacheField name="ZP Gerente Nacional" numFmtId="0">
      <sharedItems/>
    </cacheField>
    <cacheField name="CÓD. ZP2" numFmtId="0">
      <sharedItems/>
    </cacheField>
    <cacheField name="ZY Gerente Regional" numFmtId="0">
      <sharedItems/>
    </cacheField>
    <cacheField name="CÓD. ZS" numFmtId="0">
      <sharedItems/>
    </cacheField>
    <cacheField name="ZS Supervisor" numFmtId="0">
      <sharedItems/>
    </cacheField>
    <cacheField name="CÓD. ZQ" numFmtId="0">
      <sharedItems/>
    </cacheField>
    <cacheField name="ZQ Coordenador" numFmtId="0">
      <sharedItems/>
    </cacheField>
    <cacheField name="CÓD. ZX / ZR" numFmtId="0">
      <sharedItems/>
    </cacheField>
    <cacheField name="ZR Representante" numFmtId="0">
      <sharedItems/>
    </cacheField>
    <cacheField name="Titulo" numFmtId="0">
      <sharedItems containsMixedTypes="1" containsNumber="1" containsInteger="1" minValue="1" maxValue="1"/>
    </cacheField>
    <cacheField name="UF" numFmtId="0">
      <sharedItems count="27">
        <s v="AP"/>
        <s v="RN"/>
        <s v="CE"/>
        <s v="PI"/>
        <s v="PE"/>
        <s v="PB"/>
        <s v="SE"/>
        <s v="BA"/>
        <s v="MA"/>
        <s v="TO"/>
        <s v="RO"/>
        <s v="RR"/>
        <s v="PA"/>
        <s v="AM"/>
        <s v="DF"/>
        <s v="MS"/>
        <s v="MT"/>
        <s v="GO"/>
        <s v="ES"/>
        <s v="RJ"/>
        <s v="MG"/>
        <s v="SP"/>
        <s v="RS"/>
        <s v="PR"/>
        <s v="SC"/>
        <s v="AL"/>
        <s v="AC"/>
      </sharedItems>
    </cacheField>
    <cacheField name="Nº Grupo" numFmtId="1">
      <sharedItems containsSemiMixedTypes="0" containsString="0" containsNumber="1" containsInteger="1" minValue="1324" maxValue="1533" count="66">
        <n v="1324"/>
        <n v="1325"/>
        <n v="1326"/>
        <n v="1327"/>
        <n v="1328"/>
        <n v="1329"/>
        <n v="1330"/>
        <n v="1331"/>
        <n v="1332"/>
        <n v="1346"/>
        <n v="1347"/>
        <n v="1348"/>
        <n v="1349"/>
        <n v="1351"/>
        <n v="1352"/>
        <n v="1353"/>
        <n v="1354"/>
        <n v="1356"/>
        <n v="1357"/>
        <n v="1358"/>
        <n v="1359"/>
        <n v="1360"/>
        <n v="1361"/>
        <n v="1362"/>
        <n v="1363"/>
        <n v="1364"/>
        <n v="1425"/>
        <n v="1427"/>
        <n v="1428"/>
        <n v="1429"/>
        <n v="1430"/>
        <n v="1431"/>
        <n v="1432"/>
        <n v="1433"/>
        <n v="1438"/>
        <n v="1439"/>
        <n v="1442"/>
        <n v="1501"/>
        <n v="1502"/>
        <n v="1503"/>
        <n v="1504"/>
        <n v="1505"/>
        <n v="1507"/>
        <n v="1508"/>
        <n v="1509"/>
        <n v="1510"/>
        <n v="1511"/>
        <n v="1512"/>
        <n v="1513"/>
        <n v="1514"/>
        <n v="1515"/>
        <n v="1516"/>
        <n v="1517"/>
        <n v="1518"/>
        <n v="1519"/>
        <n v="1520"/>
        <n v="1521"/>
        <n v="1522"/>
        <n v="1523"/>
        <n v="1524"/>
        <n v="1525"/>
        <n v="1526"/>
        <n v="1528"/>
        <n v="1530"/>
        <n v="1532"/>
        <n v="1533"/>
      </sharedItems>
    </cacheField>
    <cacheField name="Grupo Cliente" numFmtId="0">
      <sharedItems count="66">
        <s v="VENDA INTERNA AP"/>
        <s v="VENDA INTERNA RN"/>
        <s v="VENDA INTERNA CE"/>
        <s v="VENDA INTERNA PI"/>
        <s v="VENDA INTERNA PE"/>
        <s v="VENDA INTERNA PB"/>
        <s v="VENDA INTERNA SE"/>
        <s v="VENDA INTERNA BA"/>
        <s v="VENDA INTERNA MA"/>
        <s v="VENDA INTERNA TO"/>
        <s v="VENDA INTERNA RO"/>
        <s v="VENDA INTERNA RR"/>
        <s v="VENDA INTERNA PA"/>
        <s v="VENDA INTERNA AM"/>
        <s v="VENDA INTERNA DF"/>
        <s v="VENDA INTERNA MS"/>
        <s v="VENDA INTERNA MT"/>
        <s v="VENDA INTERNA GO"/>
        <s v="VENDA INTERNA ES"/>
        <s v="VENDA INTERNA RJ"/>
        <s v="VENDA INTERNA MG"/>
        <s v="VENDA INTERNA SP CAPITAL"/>
        <s v="VENDA INTERNA SP INTERIOR"/>
        <s v="VENDA INTERNA RS"/>
        <s v="VENDA INTERNA PR"/>
        <s v="VENDA INTERNA SC"/>
        <s v="VENDA INTERNA - DIVINA TERRA"/>
        <s v="VENDA INTERNA - FITLAND"/>
        <s v="VENDA INTERNA - JARDIM DAS ERVAS"/>
        <s v="VANDA INTERNA - VIDA LEVE"/>
        <s v="VENDA INTERNA - BIO MUNDO"/>
        <s v="VENDA INTERNA - ARMAZEM FIT STORE"/>
        <s v="VENDA INTERNA - CIA DA SAUDE"/>
        <s v="VENDA INTERNA - MUNDO VERDE"/>
        <s v="VENDA INTERNA - MAIS NATURAL"/>
        <s v="VENDA INTERNA - TUDO EM GRAOS"/>
        <s v="VENDA INTERNA AL"/>
        <s v="VENDA INTERNA PR - CONVENIENCIA"/>
        <s v="VENDA INTERNA AP - CONVENIENCIA"/>
        <s v="VENDA INTERNA RN - CONVENIENCIA"/>
        <s v="VENDA INTERNA CE - CONVENIENCIA"/>
        <s v="VENDA INTERNA PI - CONVENIENCIA"/>
        <s v="VENDA INTERNA PE - CONVENIENCIA"/>
        <s v="VENDA INTERNA SE - CONVENIENCIA"/>
        <s v="VENDA INTERNA PB - CONVENIENCIA"/>
        <s v="VENDA INTERNA BA - CONVENIENCIA"/>
        <s v="VENDA INTERNA MA - CONVENIENCIA"/>
        <s v="VENDA INTERNA TO - CONVENIENCIA"/>
        <s v="VENDA INTERNA RO - CONVENIENCIA"/>
        <s v="VENDA INTERNA RR - CONVENIENCIA"/>
        <s v="VENDA INTERNA PA - CONVENIENCIA"/>
        <s v="VENDA INTERNA AL - CONVENIENCIA"/>
        <s v="VENDA INTERNA AM - CONVENIENCIA"/>
        <s v="VENDA INTERNA DF - CONVENIENCIA"/>
        <s v="VENDA INTERNA MS - CONVENIENCIA"/>
        <s v="VENDA INTERNA MT - CONVENIENCIA"/>
        <s v="VENDA INTERNA GO - CONVENIENCIA"/>
        <s v="VENDA INTERNA ES - CONVENIENCIA"/>
        <s v="VENDA INTERNA RJ - CONVENIENCIA"/>
        <s v="VENDA INTERNA MG - CONVENIENCIA"/>
        <s v="VENDA INTERNA SP CAPITAL - CONVENIENCIA"/>
        <s v="VENDA INTERNA SP INTERIOR - CONVENIENCIA"/>
        <s v="VENDA INTERNA RS - CONVENIENCIA"/>
        <s v="VENDA INTERNA SC - CONVENIENCIA"/>
        <s v="VENDA INTERNA AC - CONVENIENCIA"/>
        <s v="_x0009_VENDA INTERNA AC"/>
      </sharedItems>
    </cacheField>
    <cacheField name="Grupo Produto" numFmtId="0">
      <sharedItems/>
    </cacheField>
    <cacheField name="JAN" numFmtId="165">
      <sharedItems containsSemiMixedTypes="0" containsString="0" containsNumber="1" containsInteger="1" minValue="0" maxValue="0"/>
    </cacheField>
    <cacheField name="FEV" numFmtId="165">
      <sharedItems containsSemiMixedTypes="0" containsString="0" containsNumber="1" minValue="0" maxValue="41548.624474309938"/>
    </cacheField>
    <cacheField name="MAR" numFmtId="165">
      <sharedItems containsSemiMixedTypes="0" containsString="0" containsNumber="1" minValue="0" maxValue="47456.104222161186"/>
    </cacheField>
    <cacheField name="ABR" numFmtId="165">
      <sharedItems containsSemiMixedTypes="0" containsString="0" containsNumber="1" minValue="0" maxValue="29000"/>
    </cacheField>
    <cacheField name="MAI" numFmtId="165">
      <sharedItems containsSemiMixedTypes="0" containsString="0" containsNumber="1" minValue="0" maxValue="35000"/>
    </cacheField>
    <cacheField name="JUN" numFmtId="165">
      <sharedItems containsSemiMixedTypes="0" containsString="0" containsNumber="1" minValue="0" maxValue="44000"/>
    </cacheField>
    <cacheField name="JUL" numFmtId="165">
      <sharedItems containsSemiMixedTypes="0" containsString="0" containsNumber="1" minValue="0" maxValue="53000"/>
    </cacheField>
    <cacheField name="AGO" numFmtId="165">
      <sharedItems containsSemiMixedTypes="0" containsString="0" containsNumber="1" minValue="0" maxValue="66000"/>
    </cacheField>
    <cacheField name="SET" numFmtId="165">
      <sharedItems containsSemiMixedTypes="0" containsString="0" containsNumber="1" minValue="0" maxValue="83600"/>
    </cacheField>
    <cacheField name="OUT" numFmtId="165">
      <sharedItems containsSemiMixedTypes="0" containsString="0" containsNumber="1" minValue="0" maxValue="91300"/>
    </cacheField>
    <cacheField name="NOV" numFmtId="165">
      <sharedItems containsSemiMixedTypes="0" containsString="0" containsNumber="1" minValue="0" maxValue="102300"/>
    </cacheField>
    <cacheField name="DEZ" numFmtId="165">
      <sharedItems containsSemiMixedTypes="0" containsString="0" containsNumber="1" minValue="0" maxValue="69300"/>
    </cacheField>
    <cacheField name="TOTAL META" numFmtId="165">
      <sharedItems containsSemiMixedTypes="0" containsString="0" containsNumber="1" minValue="0" maxValue="573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ao.Giordano" refreshedDate="45819.404782754631" createdVersion="8" refreshedVersion="8" minRefreshableVersion="3" recordCount="1188" xr:uid="{C7D40309-668D-49C9-B69C-80C7C80A4552}">
  <cacheSource type="worksheet">
    <worksheetSource ref="A2:AM1190" sheet=".xlsx].xlsx]Faturamento" r:id="rId2"/>
  </cacheSource>
  <cacheFields count="39">
    <cacheField name="TOTAIS" numFmtId="0">
      <sharedItems count="2">
        <s v="SIM"/>
        <s v="NÃO"/>
      </sharedItems>
    </cacheField>
    <cacheField name="CÓD. ZP" numFmtId="0">
      <sharedItems/>
    </cacheField>
    <cacheField name="ZP Gerente Nacional" numFmtId="0">
      <sharedItems/>
    </cacheField>
    <cacheField name="CÓD. ZP2" numFmtId="0">
      <sharedItems/>
    </cacheField>
    <cacheField name="ZY Gerente Regional" numFmtId="0">
      <sharedItems/>
    </cacheField>
    <cacheField name="CÓD. ZS" numFmtId="0">
      <sharedItems/>
    </cacheField>
    <cacheField name="ZS Supervisor" numFmtId="0">
      <sharedItems/>
    </cacheField>
    <cacheField name="CÓD. ZQ" numFmtId="0">
      <sharedItems/>
    </cacheField>
    <cacheField name="ZQ Coordenador" numFmtId="0">
      <sharedItems/>
    </cacheField>
    <cacheField name="CÓD. ZX / ZR" numFmtId="0">
      <sharedItems/>
    </cacheField>
    <cacheField name="ZR Representante" numFmtId="0">
      <sharedItems count="4">
        <s v="HELDER DA SILVA BRUNKOW"/>
        <s v="REGIONAL VENDA INTERNA - KEY ACCOUNT"/>
        <s v="HEMANUELE ROSA DITZEL"/>
        <s v="REGIONAL VENDA INTERNA - CONVENIENCIA"/>
      </sharedItems>
    </cacheField>
    <cacheField name="Titulo" numFmtId="0">
      <sharedItems containsMixedTypes="1" containsNumber="1" containsInteger="1" minValue="1" maxValue="1"/>
    </cacheField>
    <cacheField name="UF" numFmtId="0">
      <sharedItems/>
    </cacheField>
    <cacheField name="Nº Grupo" numFmtId="1">
      <sharedItems containsSemiMixedTypes="0" containsString="0" containsNumber="1" containsInteger="1" minValue="1324" maxValue="1533"/>
    </cacheField>
    <cacheField name="Grupo Cliente" numFmtId="0">
      <sharedItems/>
    </cacheField>
    <cacheField name="Grupo Produto" numFmtId="0">
      <sharedItems/>
    </cacheField>
    <cacheField name="JAN" numFmtId="165">
      <sharedItems containsSemiMixedTypes="0" containsString="0" containsNumber="1" containsInteger="1" minValue="0" maxValue="0"/>
    </cacheField>
    <cacheField name="FEV" numFmtId="165">
      <sharedItems containsSemiMixedTypes="0" containsString="0" containsNumber="1" minValue="0" maxValue="41548.624474309938"/>
    </cacheField>
    <cacheField name="MAR" numFmtId="165">
      <sharedItems containsSemiMixedTypes="0" containsString="0" containsNumber="1" minValue="0" maxValue="47456.104222161186"/>
    </cacheField>
    <cacheField name="ABR" numFmtId="165">
      <sharedItems containsSemiMixedTypes="0" containsString="0" containsNumber="1" minValue="0" maxValue="29000"/>
    </cacheField>
    <cacheField name="MAI" numFmtId="165">
      <sharedItems containsSemiMixedTypes="0" containsString="0" containsNumber="1" minValue="0" maxValue="35000"/>
    </cacheField>
    <cacheField name="JUN" numFmtId="165">
      <sharedItems containsSemiMixedTypes="0" containsString="0" containsNumber="1" minValue="0" maxValue="44000"/>
    </cacheField>
    <cacheField name="JUL" numFmtId="165">
      <sharedItems containsSemiMixedTypes="0" containsString="0" containsNumber="1" minValue="0" maxValue="53000"/>
    </cacheField>
    <cacheField name="AGO" numFmtId="165">
      <sharedItems containsSemiMixedTypes="0" containsString="0" containsNumber="1" minValue="0" maxValue="66000"/>
    </cacheField>
    <cacheField name="SET" numFmtId="165">
      <sharedItems containsSemiMixedTypes="0" containsString="0" containsNumber="1" minValue="0" maxValue="83600"/>
    </cacheField>
    <cacheField name="OUT" numFmtId="165">
      <sharedItems containsSemiMixedTypes="0" containsString="0" containsNumber="1" minValue="0" maxValue="91300"/>
    </cacheField>
    <cacheField name="NOV" numFmtId="165">
      <sharedItems containsSemiMixedTypes="0" containsString="0" containsNumber="1" minValue="0" maxValue="102300"/>
    </cacheField>
    <cacheField name="DEZ" numFmtId="165">
      <sharedItems containsSemiMixedTypes="0" containsString="0" containsNumber="1" minValue="0" maxValue="69300"/>
    </cacheField>
    <cacheField name="TOTAL META" numFmtId="165">
      <sharedItems containsSemiMixedTypes="0" containsString="0" containsNumber="1" minValue="0" maxValue="573500"/>
    </cacheField>
    <cacheField name="FALTA VENDER" numFmtId="0">
      <sharedItems containsString="0" containsBlank="1" containsNumber="1" minValue="0" maxValue="573500"/>
    </cacheField>
    <cacheField name="VENDIDO EM 2024" numFmtId="0">
      <sharedItems containsString="0" containsBlank="1" containsNumber="1" containsInteger="1" minValue="0" maxValue="0"/>
    </cacheField>
    <cacheField name="META ANO PROPOSTA" numFmtId="9">
      <sharedItems containsBlank="1"/>
    </cacheField>
    <cacheField name="VENDIDO 1º TRI MAIS GRANEL" numFmtId="0">
      <sharedItems containsString="0" containsBlank="1" containsNumber="1" containsInteger="1" minValue="0" maxValue="0"/>
    </cacheField>
    <cacheField name="META 1º TRI" numFmtId="0">
      <sharedItems containsString="0" containsBlank="1" containsNumber="1" minValue="0" maxValue="89004.728696471124"/>
    </cacheField>
    <cacheField name="FALTOU 1º TRI" numFmtId="0">
      <sharedItems containsString="0" containsBlank="1" containsNumber="1" minValue="0" maxValue="89004.728696471124"/>
    </cacheField>
    <cacheField name="% REALIZADO 1º TRI" numFmtId="9">
      <sharedItems containsBlank="1" containsMixedTypes="1" containsNumber="1" containsInteger="1" minValue="0" maxValue="0"/>
    </cacheField>
    <cacheField name="STATUS" numFmtId="1">
      <sharedItems containsBlank="1"/>
    </cacheField>
    <cacheField name="BALIZADOR DA META" numFmtId="9">
      <sharedItems containsString="0" containsBlank="1" containsNumber="1" minValue="0" maxValue="0.25"/>
    </cacheField>
    <cacheField name="Ação" numFmtId="1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88">
  <r>
    <x v="0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n v="1"/>
    <x v="0"/>
    <x v="0"/>
    <x v="0"/>
    <s v="1. TOTAL - VENDA INTERNA AP"/>
    <n v="0"/>
    <n v="10568.294327098127"/>
    <n v="12029.078970466311"/>
    <n v="1000"/>
    <n v="1000"/>
    <n v="1000"/>
    <n v="1000"/>
    <n v="1100"/>
    <n v="1100"/>
    <n v="1100"/>
    <n v="1100"/>
    <n v="1100"/>
    <n v="950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0"/>
    <x v="0"/>
    <x v="0"/>
    <s v="BISCOITO"/>
    <n v="0"/>
    <n v="404.3886056291048"/>
    <n v="505.48575703638102"/>
    <n v="50"/>
    <n v="50"/>
    <n v="50"/>
    <n v="50"/>
    <n v="55"/>
    <n v="55"/>
    <n v="55"/>
    <n v="55"/>
    <n v="55"/>
    <n v="47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0"/>
    <x v="0"/>
    <x v="0"/>
    <s v="CHOCOLATES"/>
    <n v="0"/>
    <n v="2462.0564928909953"/>
    <n v="2872.3992417061613"/>
    <n v="50"/>
    <n v="50"/>
    <n v="50"/>
    <n v="50"/>
    <n v="55"/>
    <n v="55"/>
    <n v="55"/>
    <n v="55"/>
    <n v="55"/>
    <n v="47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0"/>
    <x v="0"/>
    <x v="0"/>
    <s v="DISNEY"/>
    <n v="0"/>
    <n v="441.5151111111112"/>
    <n v="551.89388888888902"/>
    <n v="80"/>
    <n v="80"/>
    <n v="80"/>
    <n v="80"/>
    <n v="88"/>
    <n v="88"/>
    <n v="88"/>
    <n v="88"/>
    <n v="88"/>
    <n v="76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0"/>
    <x v="0"/>
    <x v="0"/>
    <s v="DOCES"/>
    <n v="0"/>
    <n v="555.05619047619052"/>
    <n v="555.05619047619052"/>
    <n v="100"/>
    <n v="100"/>
    <n v="100"/>
    <n v="100"/>
    <n v="110"/>
    <n v="110"/>
    <n v="110"/>
    <n v="110"/>
    <n v="110"/>
    <n v="95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0"/>
    <x v="0"/>
    <x v="0"/>
    <s v="GELEIA"/>
    <n v="0"/>
    <n v="124.75666666666666"/>
    <n v="249.51333333333332"/>
    <n v="19.999999999999996"/>
    <n v="19.999999999999996"/>
    <n v="19.999999999999996"/>
    <n v="19.999999999999996"/>
    <n v="21.999999999999996"/>
    <n v="21.999999999999996"/>
    <n v="21.999999999999996"/>
    <n v="21.999999999999996"/>
    <n v="21.999999999999996"/>
    <n v="189.99999999999997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0"/>
    <x v="0"/>
    <x v="0"/>
    <s v="GRANOLA"/>
    <n v="0"/>
    <n v="315.14999999999998"/>
    <n v="420.2"/>
    <n v="20"/>
    <n v="20"/>
    <n v="20"/>
    <n v="20"/>
    <n v="22"/>
    <n v="22"/>
    <n v="22"/>
    <n v="22"/>
    <n v="22"/>
    <n v="19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0"/>
    <x v="0"/>
    <x v="0"/>
    <s v="KIDS"/>
    <n v="0"/>
    <n v="165.49714285714285"/>
    <n v="165.49714285714285"/>
    <n v="20"/>
    <n v="20"/>
    <n v="20"/>
    <n v="20"/>
    <n v="22"/>
    <n v="22"/>
    <n v="22"/>
    <n v="22"/>
    <n v="22"/>
    <n v="19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0"/>
    <x v="0"/>
    <x v="0"/>
    <s v="LANCHES"/>
    <n v="0"/>
    <n v="89.608571428571423"/>
    <n v="179.21714285714285"/>
    <n v="30"/>
    <n v="30"/>
    <n v="30"/>
    <n v="30"/>
    <n v="33"/>
    <n v="33"/>
    <n v="33"/>
    <n v="33"/>
    <n v="33"/>
    <n v="28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0"/>
    <x v="0"/>
    <x v="0"/>
    <s v="MAIS GRANEL"/>
    <n v="0"/>
    <n v="516.1430303030304"/>
    <n v="602.16686868686872"/>
    <n v="250"/>
    <n v="250"/>
    <n v="250"/>
    <n v="250"/>
    <n v="275"/>
    <n v="275"/>
    <n v="275"/>
    <n v="275"/>
    <n v="275"/>
    <n v="237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0"/>
    <x v="0"/>
    <x v="0"/>
    <s v="NATURATTA"/>
    <n v="0"/>
    <n v="627.6857142857142"/>
    <n v="627.6857142857142"/>
    <n v="50"/>
    <n v="50"/>
    <n v="50"/>
    <n v="50"/>
    <n v="55"/>
    <n v="55"/>
    <n v="55"/>
    <n v="55"/>
    <n v="55"/>
    <n v="47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0"/>
    <x v="0"/>
    <x v="0"/>
    <s v="REEMBALADOS"/>
    <n v="0"/>
    <n v="119.60088888888889"/>
    <n v="239.20177777777778"/>
    <n v="50"/>
    <n v="50"/>
    <n v="50"/>
    <n v="50"/>
    <n v="55"/>
    <n v="55"/>
    <n v="55"/>
    <n v="55"/>
    <n v="55"/>
    <n v="47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0"/>
    <x v="0"/>
    <x v="0"/>
    <s v="S GLUTEN"/>
    <n v="0"/>
    <n v="204.36930232558137"/>
    <n v="204.36930232558137"/>
    <n v="50"/>
    <n v="50"/>
    <n v="50"/>
    <n v="50"/>
    <n v="55"/>
    <n v="55"/>
    <n v="55"/>
    <n v="55"/>
    <n v="55"/>
    <n v="47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0"/>
    <x v="0"/>
    <x v="0"/>
    <s v="SABORES DO CAMPO"/>
    <n v="0"/>
    <n v="143.15866666666668"/>
    <n v="143.15866666666668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0"/>
    <x v="0"/>
    <x v="0"/>
    <s v="SAL"/>
    <n v="0"/>
    <n v="40.9"/>
    <n v="40.9"/>
    <n v="70"/>
    <n v="70"/>
    <n v="70"/>
    <n v="70"/>
    <n v="77.000000000000014"/>
    <n v="77.000000000000014"/>
    <n v="77.000000000000014"/>
    <n v="77.000000000000014"/>
    <n v="77.000000000000014"/>
    <n v="66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0"/>
    <x v="0"/>
    <x v="0"/>
    <s v="SOULPRO"/>
    <n v="0"/>
    <n v="1470.3095435684643"/>
    <n v="1470.3095435684643"/>
    <n v="49.999999999999993"/>
    <n v="49.999999999999993"/>
    <n v="49.999999999999993"/>
    <n v="49.999999999999993"/>
    <n v="54.999999999999993"/>
    <n v="54.999999999999993"/>
    <n v="54.999999999999993"/>
    <n v="54.999999999999993"/>
    <n v="54.999999999999993"/>
    <n v="474.99999999999994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0"/>
    <x v="0"/>
    <x v="0"/>
    <s v="TAMARA"/>
    <n v="0"/>
    <n v="2302.1240000000003"/>
    <n v="2616.0500000000002"/>
    <n v="80"/>
    <n v="80"/>
    <n v="80"/>
    <n v="80"/>
    <n v="88"/>
    <n v="88"/>
    <n v="88"/>
    <n v="88"/>
    <n v="88"/>
    <n v="76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0"/>
    <x v="0"/>
    <x v="0"/>
    <s v="VICCIO"/>
    <n v="0"/>
    <n v="585.97440000000006"/>
    <n v="585.97440000000006"/>
    <n v="30"/>
    <n v="30"/>
    <n v="30"/>
    <n v="30"/>
    <n v="33"/>
    <n v="33"/>
    <n v="33"/>
    <n v="33"/>
    <n v="33"/>
    <n v="285"/>
  </r>
  <r>
    <x v="0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n v="1"/>
    <x v="1"/>
    <x v="1"/>
    <x v="1"/>
    <s v="1. TOTAL - VENDA INTERNA RN"/>
    <n v="0"/>
    <n v="10568.294327098127"/>
    <n v="12029.078970466311"/>
    <n v="3000"/>
    <n v="3000"/>
    <n v="4000"/>
    <n v="5000"/>
    <n v="5500"/>
    <n v="7700"/>
    <n v="7700"/>
    <n v="8800"/>
    <n v="6600"/>
    <n v="5130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"/>
    <x v="1"/>
    <x v="1"/>
    <s v="BISCOITO"/>
    <n v="0"/>
    <n v="404.3886056291048"/>
    <n v="505.48575703638102"/>
    <n v="150"/>
    <n v="150"/>
    <n v="200"/>
    <n v="250"/>
    <n v="275"/>
    <n v="385"/>
    <n v="385"/>
    <n v="440"/>
    <n v="330"/>
    <n v="256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"/>
    <x v="1"/>
    <x v="1"/>
    <s v="CHOCOLATES"/>
    <n v="0"/>
    <n v="2462.0564928909953"/>
    <n v="2872.3992417061613"/>
    <n v="150"/>
    <n v="150"/>
    <n v="200"/>
    <n v="250"/>
    <n v="275"/>
    <n v="385"/>
    <n v="385"/>
    <n v="440"/>
    <n v="330"/>
    <n v="256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"/>
    <x v="1"/>
    <x v="1"/>
    <s v="DISNEY"/>
    <n v="0"/>
    <n v="441.5151111111112"/>
    <n v="551.89388888888902"/>
    <n v="240"/>
    <n v="240"/>
    <n v="320"/>
    <n v="400"/>
    <n v="440"/>
    <n v="616"/>
    <n v="616"/>
    <n v="704"/>
    <n v="528"/>
    <n v="4104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"/>
    <x v="1"/>
    <x v="1"/>
    <s v="DOCES"/>
    <n v="0"/>
    <n v="555.05619047619052"/>
    <n v="555.05619047619052"/>
    <n v="300"/>
    <n v="300"/>
    <n v="400"/>
    <n v="500"/>
    <n v="550"/>
    <n v="770"/>
    <n v="770"/>
    <n v="880"/>
    <n v="660"/>
    <n v="513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"/>
    <x v="1"/>
    <x v="1"/>
    <s v="GELEIA"/>
    <n v="0"/>
    <n v="124.75666666666666"/>
    <n v="249.51333333333332"/>
    <n v="59.999999999999993"/>
    <n v="59.999999999999993"/>
    <n v="79.999999999999986"/>
    <n v="99.999999999999986"/>
    <n v="109.99999999999999"/>
    <n v="153.99999999999997"/>
    <n v="153.99999999999997"/>
    <n v="175.99999999999997"/>
    <n v="131.99999999999997"/>
    <n v="1025.9999999999998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"/>
    <x v="1"/>
    <x v="1"/>
    <s v="GRANOLA"/>
    <n v="0"/>
    <n v="315.14999999999998"/>
    <n v="420.2"/>
    <n v="60"/>
    <n v="60"/>
    <n v="80"/>
    <n v="100"/>
    <n v="110"/>
    <n v="154"/>
    <n v="154"/>
    <n v="176"/>
    <n v="132"/>
    <n v="1026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"/>
    <x v="1"/>
    <x v="1"/>
    <s v="KIDS"/>
    <n v="0"/>
    <n v="165.49714285714285"/>
    <n v="165.49714285714285"/>
    <n v="60"/>
    <n v="60"/>
    <n v="80"/>
    <n v="100"/>
    <n v="110"/>
    <n v="154"/>
    <n v="154"/>
    <n v="176"/>
    <n v="132"/>
    <n v="1026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"/>
    <x v="1"/>
    <x v="1"/>
    <s v="LANCHES"/>
    <n v="0"/>
    <n v="89.608571428571423"/>
    <n v="179.21714285714285"/>
    <n v="90"/>
    <n v="90"/>
    <n v="120"/>
    <n v="150"/>
    <n v="165"/>
    <n v="231"/>
    <n v="231"/>
    <n v="264"/>
    <n v="198"/>
    <n v="1539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"/>
    <x v="1"/>
    <x v="1"/>
    <s v="MAIS GRANEL"/>
    <n v="0"/>
    <n v="516.1430303030304"/>
    <n v="602.16686868686872"/>
    <n v="750"/>
    <n v="750"/>
    <n v="1000"/>
    <n v="1250"/>
    <n v="1375"/>
    <n v="1925"/>
    <n v="1925"/>
    <n v="2200"/>
    <n v="1650"/>
    <n v="1282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"/>
    <x v="1"/>
    <x v="1"/>
    <s v="NATURATTA"/>
    <n v="0"/>
    <n v="627.6857142857142"/>
    <n v="627.6857142857142"/>
    <n v="150"/>
    <n v="150"/>
    <n v="200"/>
    <n v="250"/>
    <n v="275"/>
    <n v="385"/>
    <n v="385"/>
    <n v="440"/>
    <n v="330"/>
    <n v="256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"/>
    <x v="1"/>
    <x v="1"/>
    <s v="REEMBALADOS"/>
    <n v="0"/>
    <n v="119.60088888888889"/>
    <n v="239.20177777777778"/>
    <n v="150"/>
    <n v="150"/>
    <n v="200"/>
    <n v="250"/>
    <n v="275"/>
    <n v="385"/>
    <n v="385"/>
    <n v="440"/>
    <n v="330"/>
    <n v="256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"/>
    <x v="1"/>
    <x v="1"/>
    <s v="S GLUTEN"/>
    <n v="0"/>
    <n v="204.36930232558137"/>
    <n v="204.36930232558137"/>
    <n v="150"/>
    <n v="150"/>
    <n v="200"/>
    <n v="250"/>
    <n v="275"/>
    <n v="385"/>
    <n v="385"/>
    <n v="440"/>
    <n v="330"/>
    <n v="256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"/>
    <x v="1"/>
    <x v="1"/>
    <s v="SABORES DO CAMPO"/>
    <n v="0"/>
    <n v="143.15866666666668"/>
    <n v="143.15866666666668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"/>
    <x v="1"/>
    <x v="1"/>
    <s v="SAL"/>
    <n v="0"/>
    <n v="40.9"/>
    <n v="40.9"/>
    <n v="210.00000000000003"/>
    <n v="210.00000000000003"/>
    <n v="280"/>
    <n v="350.00000000000006"/>
    <n v="385.00000000000006"/>
    <n v="539"/>
    <n v="539"/>
    <n v="616.00000000000011"/>
    <n v="462.00000000000006"/>
    <n v="3591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"/>
    <x v="1"/>
    <x v="1"/>
    <s v="SOULPRO"/>
    <n v="0"/>
    <n v="1470.3095435684643"/>
    <n v="1470.3095435684643"/>
    <n v="150"/>
    <n v="150"/>
    <n v="199.99999999999997"/>
    <n v="249.99999999999997"/>
    <n v="275"/>
    <n v="384.99999999999994"/>
    <n v="384.99999999999994"/>
    <n v="439.99999999999994"/>
    <n v="330"/>
    <n v="256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"/>
    <x v="1"/>
    <x v="1"/>
    <s v="TAMARA"/>
    <n v="0"/>
    <n v="2302.1240000000003"/>
    <n v="2616.0500000000002"/>
    <n v="240"/>
    <n v="240"/>
    <n v="320"/>
    <n v="400"/>
    <n v="440"/>
    <n v="616"/>
    <n v="616"/>
    <n v="704"/>
    <n v="528"/>
    <n v="4104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"/>
    <x v="1"/>
    <x v="1"/>
    <s v="VICCIO"/>
    <n v="0"/>
    <n v="585.97440000000006"/>
    <n v="585.97440000000006"/>
    <n v="90"/>
    <n v="90"/>
    <n v="120"/>
    <n v="150"/>
    <n v="165"/>
    <n v="231"/>
    <n v="231"/>
    <n v="264"/>
    <n v="198"/>
    <n v="1539"/>
  </r>
  <r>
    <x v="0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n v="1"/>
    <x v="2"/>
    <x v="2"/>
    <x v="2"/>
    <s v="1. TOTAL - VENDA INTERNA CE"/>
    <n v="0"/>
    <n v="0"/>
    <n v="0"/>
    <n v="2000"/>
    <n v="3000"/>
    <n v="3000"/>
    <n v="4000"/>
    <n v="4400"/>
    <n v="5500"/>
    <n v="6600"/>
    <n v="7700"/>
    <n v="5500"/>
    <n v="4170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2"/>
    <x v="2"/>
    <x v="2"/>
    <s v="BISCOITO"/>
    <n v="0"/>
    <n v="0"/>
    <n v="0"/>
    <n v="100"/>
    <n v="150"/>
    <n v="150"/>
    <n v="200"/>
    <n v="220"/>
    <n v="275"/>
    <n v="330"/>
    <n v="385"/>
    <n v="275"/>
    <n v="208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2"/>
    <x v="2"/>
    <x v="2"/>
    <s v="CHOCOLATES"/>
    <n v="0"/>
    <n v="0"/>
    <n v="0"/>
    <n v="100"/>
    <n v="150"/>
    <n v="150"/>
    <n v="200"/>
    <n v="220"/>
    <n v="275"/>
    <n v="330"/>
    <n v="385"/>
    <n v="275"/>
    <n v="208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2"/>
    <x v="2"/>
    <x v="2"/>
    <s v="DISNEY"/>
    <n v="0"/>
    <n v="0"/>
    <n v="0"/>
    <n v="160"/>
    <n v="240"/>
    <n v="240"/>
    <n v="320"/>
    <n v="352"/>
    <n v="440"/>
    <n v="528"/>
    <n v="616"/>
    <n v="440"/>
    <n v="3336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2"/>
    <x v="2"/>
    <x v="2"/>
    <s v="DOCES"/>
    <n v="0"/>
    <n v="0"/>
    <n v="0"/>
    <n v="200"/>
    <n v="300"/>
    <n v="300"/>
    <n v="400"/>
    <n v="440"/>
    <n v="550"/>
    <n v="660"/>
    <n v="770"/>
    <n v="550"/>
    <n v="417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2"/>
    <x v="2"/>
    <x v="2"/>
    <s v="GELEIA"/>
    <n v="0"/>
    <n v="0"/>
    <n v="0"/>
    <n v="39.999999999999993"/>
    <n v="59.999999999999993"/>
    <n v="59.999999999999993"/>
    <n v="79.999999999999986"/>
    <n v="87.999999999999986"/>
    <n v="109.99999999999999"/>
    <n v="131.99999999999997"/>
    <n v="153.99999999999997"/>
    <n v="109.99999999999999"/>
    <n v="833.99999999999989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2"/>
    <x v="2"/>
    <x v="2"/>
    <s v="GRANOLA"/>
    <n v="0"/>
    <n v="0"/>
    <n v="0"/>
    <n v="40"/>
    <n v="60"/>
    <n v="60"/>
    <n v="80"/>
    <n v="88"/>
    <n v="110"/>
    <n v="132"/>
    <n v="154"/>
    <n v="110"/>
    <n v="834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2"/>
    <x v="2"/>
    <x v="2"/>
    <s v="KIDS"/>
    <n v="0"/>
    <n v="0"/>
    <n v="0"/>
    <n v="40"/>
    <n v="60"/>
    <n v="60"/>
    <n v="80"/>
    <n v="88"/>
    <n v="110"/>
    <n v="132"/>
    <n v="154"/>
    <n v="110"/>
    <n v="834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2"/>
    <x v="2"/>
    <x v="2"/>
    <s v="LANCHES"/>
    <n v="0"/>
    <n v="0"/>
    <n v="0"/>
    <n v="60"/>
    <n v="90"/>
    <n v="90"/>
    <n v="120"/>
    <n v="132"/>
    <n v="165"/>
    <n v="198"/>
    <n v="231"/>
    <n v="165"/>
    <n v="1251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2"/>
    <x v="2"/>
    <x v="2"/>
    <s v="MAIS GRANEL"/>
    <n v="0"/>
    <n v="0"/>
    <n v="0"/>
    <n v="500"/>
    <n v="750"/>
    <n v="750"/>
    <n v="1000"/>
    <n v="1100"/>
    <n v="1375"/>
    <n v="1650"/>
    <n v="1925"/>
    <n v="1375"/>
    <n v="1042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2"/>
    <x v="2"/>
    <x v="2"/>
    <s v="NATURATTA"/>
    <n v="0"/>
    <n v="0"/>
    <n v="0"/>
    <n v="100"/>
    <n v="150"/>
    <n v="150"/>
    <n v="200"/>
    <n v="220"/>
    <n v="275"/>
    <n v="330"/>
    <n v="385"/>
    <n v="275"/>
    <n v="208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2"/>
    <x v="2"/>
    <x v="2"/>
    <s v="REEMBALADOS"/>
    <n v="0"/>
    <n v="0"/>
    <n v="0"/>
    <n v="100"/>
    <n v="150"/>
    <n v="150"/>
    <n v="200"/>
    <n v="220"/>
    <n v="275"/>
    <n v="330"/>
    <n v="385"/>
    <n v="275"/>
    <n v="208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2"/>
    <x v="2"/>
    <x v="2"/>
    <s v="S GLUTEN"/>
    <n v="0"/>
    <n v="0"/>
    <n v="0"/>
    <n v="100"/>
    <n v="150"/>
    <n v="150"/>
    <n v="200"/>
    <n v="220"/>
    <n v="275"/>
    <n v="330"/>
    <n v="385"/>
    <n v="275"/>
    <n v="208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2"/>
    <x v="2"/>
    <x v="2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2"/>
    <x v="2"/>
    <x v="2"/>
    <s v="SAL"/>
    <n v="0"/>
    <n v="0"/>
    <n v="0"/>
    <n v="140"/>
    <n v="210.00000000000003"/>
    <n v="210.00000000000003"/>
    <n v="280"/>
    <n v="308.00000000000006"/>
    <n v="385.00000000000006"/>
    <n v="462.00000000000006"/>
    <n v="539"/>
    <n v="385.00000000000006"/>
    <n v="2919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2"/>
    <x v="2"/>
    <x v="2"/>
    <s v="SOULPRO"/>
    <n v="0"/>
    <n v="0"/>
    <n v="0"/>
    <n v="99.999999999999986"/>
    <n v="150"/>
    <n v="150"/>
    <n v="199.99999999999997"/>
    <n v="219.99999999999997"/>
    <n v="275"/>
    <n v="330"/>
    <n v="384.99999999999994"/>
    <n v="275"/>
    <n v="208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2"/>
    <x v="2"/>
    <x v="2"/>
    <s v="TAMARA"/>
    <n v="0"/>
    <n v="0"/>
    <n v="0"/>
    <n v="160"/>
    <n v="240"/>
    <n v="240"/>
    <n v="320"/>
    <n v="352"/>
    <n v="440"/>
    <n v="528"/>
    <n v="616"/>
    <n v="440"/>
    <n v="3336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2"/>
    <x v="2"/>
    <x v="2"/>
    <s v="VICCIO"/>
    <n v="0"/>
    <n v="0"/>
    <n v="0"/>
    <n v="60"/>
    <n v="90"/>
    <n v="90"/>
    <n v="120"/>
    <n v="132"/>
    <n v="165"/>
    <n v="198"/>
    <n v="231"/>
    <n v="165"/>
    <n v="1251"/>
  </r>
  <r>
    <x v="0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n v="1"/>
    <x v="3"/>
    <x v="3"/>
    <x v="3"/>
    <s v="1. TOTAL - VENDA INTERNA PI"/>
    <n v="0"/>
    <n v="0"/>
    <n v="0"/>
    <n v="1000"/>
    <n v="1000"/>
    <n v="2000"/>
    <n v="2000"/>
    <n v="2200"/>
    <n v="3300"/>
    <n v="3300"/>
    <n v="3300"/>
    <n v="2200"/>
    <n v="2030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3"/>
    <x v="3"/>
    <x v="3"/>
    <s v="BISCOITO"/>
    <n v="0"/>
    <n v="0"/>
    <n v="0"/>
    <n v="50"/>
    <n v="50"/>
    <n v="100"/>
    <n v="100"/>
    <n v="110"/>
    <n v="165"/>
    <n v="165"/>
    <n v="165"/>
    <n v="110"/>
    <n v="101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3"/>
    <x v="3"/>
    <x v="3"/>
    <s v="CHOCOLATES"/>
    <n v="0"/>
    <n v="0"/>
    <n v="0"/>
    <n v="50"/>
    <n v="50"/>
    <n v="100"/>
    <n v="100"/>
    <n v="110"/>
    <n v="165"/>
    <n v="165"/>
    <n v="165"/>
    <n v="110"/>
    <n v="101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3"/>
    <x v="3"/>
    <x v="3"/>
    <s v="DISNEY"/>
    <n v="0"/>
    <n v="0"/>
    <n v="0"/>
    <n v="80"/>
    <n v="80"/>
    <n v="160"/>
    <n v="160"/>
    <n v="176"/>
    <n v="264"/>
    <n v="264"/>
    <n v="264"/>
    <n v="176"/>
    <n v="1624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3"/>
    <x v="3"/>
    <x v="3"/>
    <s v="DOCES"/>
    <n v="0"/>
    <n v="0"/>
    <n v="0"/>
    <n v="100"/>
    <n v="100"/>
    <n v="200"/>
    <n v="200"/>
    <n v="220"/>
    <n v="330"/>
    <n v="330"/>
    <n v="330"/>
    <n v="220"/>
    <n v="203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3"/>
    <x v="3"/>
    <x v="3"/>
    <s v="GELEIA"/>
    <n v="0"/>
    <n v="0"/>
    <n v="0"/>
    <n v="19.999999999999996"/>
    <n v="19.999999999999996"/>
    <n v="39.999999999999993"/>
    <n v="39.999999999999993"/>
    <n v="43.999999999999993"/>
    <n v="65.999999999999986"/>
    <n v="65.999999999999986"/>
    <n v="65.999999999999986"/>
    <n v="43.999999999999993"/>
    <n v="405.99999999999994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3"/>
    <x v="3"/>
    <x v="3"/>
    <s v="GRANOLA"/>
    <n v="0"/>
    <n v="0"/>
    <n v="0"/>
    <n v="20"/>
    <n v="20"/>
    <n v="40"/>
    <n v="40"/>
    <n v="44"/>
    <n v="66"/>
    <n v="66"/>
    <n v="66"/>
    <n v="44"/>
    <n v="406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3"/>
    <x v="3"/>
    <x v="3"/>
    <s v="KIDS"/>
    <n v="0"/>
    <n v="0"/>
    <n v="0"/>
    <n v="20"/>
    <n v="20"/>
    <n v="40"/>
    <n v="40"/>
    <n v="44"/>
    <n v="66"/>
    <n v="66"/>
    <n v="66"/>
    <n v="44"/>
    <n v="406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3"/>
    <x v="3"/>
    <x v="3"/>
    <s v="LANCHES"/>
    <n v="0"/>
    <n v="0"/>
    <n v="0"/>
    <n v="30"/>
    <n v="30"/>
    <n v="60"/>
    <n v="60"/>
    <n v="66"/>
    <n v="99"/>
    <n v="99"/>
    <n v="99"/>
    <n v="66"/>
    <n v="609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3"/>
    <x v="3"/>
    <x v="3"/>
    <s v="MAIS GRANEL"/>
    <n v="0"/>
    <n v="0"/>
    <n v="0"/>
    <n v="250"/>
    <n v="250"/>
    <n v="500"/>
    <n v="500"/>
    <n v="550"/>
    <n v="825"/>
    <n v="825"/>
    <n v="825"/>
    <n v="550"/>
    <n v="507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3"/>
    <x v="3"/>
    <x v="3"/>
    <s v="NATURATTA"/>
    <n v="0"/>
    <n v="0"/>
    <n v="0"/>
    <n v="50"/>
    <n v="50"/>
    <n v="100"/>
    <n v="100"/>
    <n v="110"/>
    <n v="165"/>
    <n v="165"/>
    <n v="165"/>
    <n v="110"/>
    <n v="101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3"/>
    <x v="3"/>
    <x v="3"/>
    <s v="REEMBALADOS"/>
    <n v="0"/>
    <n v="0"/>
    <n v="0"/>
    <n v="50"/>
    <n v="50"/>
    <n v="100"/>
    <n v="100"/>
    <n v="110"/>
    <n v="165"/>
    <n v="165"/>
    <n v="165"/>
    <n v="110"/>
    <n v="101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3"/>
    <x v="3"/>
    <x v="3"/>
    <s v="S GLUTEN"/>
    <n v="0"/>
    <n v="0"/>
    <n v="0"/>
    <n v="50"/>
    <n v="50"/>
    <n v="100"/>
    <n v="100"/>
    <n v="110"/>
    <n v="165"/>
    <n v="165"/>
    <n v="165"/>
    <n v="110"/>
    <n v="101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3"/>
    <x v="3"/>
    <x v="3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3"/>
    <x v="3"/>
    <x v="3"/>
    <s v="SAL"/>
    <n v="0"/>
    <n v="0"/>
    <n v="0"/>
    <n v="70"/>
    <n v="70"/>
    <n v="140"/>
    <n v="140"/>
    <n v="154.00000000000003"/>
    <n v="231.00000000000003"/>
    <n v="231.00000000000003"/>
    <n v="231.00000000000003"/>
    <n v="154.00000000000003"/>
    <n v="1421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3"/>
    <x v="3"/>
    <x v="3"/>
    <s v="SOULPRO"/>
    <n v="0"/>
    <n v="0"/>
    <n v="0"/>
    <n v="49.999999999999993"/>
    <n v="49.999999999999993"/>
    <n v="99.999999999999986"/>
    <n v="99.999999999999986"/>
    <n v="109.99999999999999"/>
    <n v="165"/>
    <n v="165"/>
    <n v="165"/>
    <n v="109.99999999999999"/>
    <n v="101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3"/>
    <x v="3"/>
    <x v="3"/>
    <s v="TAMARA"/>
    <n v="0"/>
    <n v="0"/>
    <n v="0"/>
    <n v="80"/>
    <n v="80"/>
    <n v="160"/>
    <n v="160"/>
    <n v="176"/>
    <n v="264"/>
    <n v="264"/>
    <n v="264"/>
    <n v="176"/>
    <n v="1624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3"/>
    <x v="3"/>
    <x v="3"/>
    <s v="VICCIO"/>
    <n v="0"/>
    <n v="0"/>
    <n v="0"/>
    <n v="30"/>
    <n v="30"/>
    <n v="60"/>
    <n v="60"/>
    <n v="66"/>
    <n v="99"/>
    <n v="99"/>
    <n v="99"/>
    <n v="66"/>
    <n v="609"/>
  </r>
  <r>
    <x v="0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n v="1"/>
    <x v="4"/>
    <x v="4"/>
    <x v="4"/>
    <s v="1. TOTAL - VENDA INTERNA PE"/>
    <n v="0"/>
    <n v="0"/>
    <n v="0"/>
    <n v="2000"/>
    <n v="2000"/>
    <n v="2000"/>
    <n v="3000"/>
    <n v="3300"/>
    <n v="3300"/>
    <n v="4400"/>
    <n v="4400"/>
    <n v="3300"/>
    <n v="2770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4"/>
    <x v="4"/>
    <x v="4"/>
    <s v="BISCOITO"/>
    <n v="0"/>
    <n v="0"/>
    <n v="0"/>
    <n v="100"/>
    <n v="100"/>
    <n v="100"/>
    <n v="150"/>
    <n v="165"/>
    <n v="165"/>
    <n v="220"/>
    <n v="220"/>
    <n v="165"/>
    <n v="138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4"/>
    <x v="4"/>
    <x v="4"/>
    <s v="CHOCOLATES"/>
    <n v="0"/>
    <n v="0"/>
    <n v="0"/>
    <n v="100"/>
    <n v="100"/>
    <n v="100"/>
    <n v="150"/>
    <n v="165"/>
    <n v="165"/>
    <n v="220"/>
    <n v="220"/>
    <n v="165"/>
    <n v="138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4"/>
    <x v="4"/>
    <x v="4"/>
    <s v="DISNEY"/>
    <n v="0"/>
    <n v="0"/>
    <n v="0"/>
    <n v="160"/>
    <n v="160"/>
    <n v="160"/>
    <n v="240"/>
    <n v="264"/>
    <n v="264"/>
    <n v="352"/>
    <n v="352"/>
    <n v="264"/>
    <n v="2216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4"/>
    <x v="4"/>
    <x v="4"/>
    <s v="DOCES"/>
    <n v="0"/>
    <n v="0"/>
    <n v="0"/>
    <n v="200"/>
    <n v="200"/>
    <n v="200"/>
    <n v="300"/>
    <n v="330"/>
    <n v="330"/>
    <n v="440"/>
    <n v="440"/>
    <n v="330"/>
    <n v="277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4"/>
    <x v="4"/>
    <x v="4"/>
    <s v="GELEIA"/>
    <n v="0"/>
    <n v="0"/>
    <n v="0"/>
    <n v="39.999999999999993"/>
    <n v="39.999999999999993"/>
    <n v="39.999999999999993"/>
    <n v="59.999999999999993"/>
    <n v="65.999999999999986"/>
    <n v="65.999999999999986"/>
    <n v="87.999999999999986"/>
    <n v="87.999999999999986"/>
    <n v="65.999999999999986"/>
    <n v="553.99999999999989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4"/>
    <x v="4"/>
    <x v="4"/>
    <s v="GRANOLA"/>
    <n v="0"/>
    <n v="0"/>
    <n v="0"/>
    <n v="40"/>
    <n v="40"/>
    <n v="40"/>
    <n v="60"/>
    <n v="66"/>
    <n v="66"/>
    <n v="88"/>
    <n v="88"/>
    <n v="66"/>
    <n v="554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4"/>
    <x v="4"/>
    <x v="4"/>
    <s v="KIDS"/>
    <n v="0"/>
    <n v="0"/>
    <n v="0"/>
    <n v="40"/>
    <n v="40"/>
    <n v="40"/>
    <n v="60"/>
    <n v="66"/>
    <n v="66"/>
    <n v="88"/>
    <n v="88"/>
    <n v="66"/>
    <n v="554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4"/>
    <x v="4"/>
    <x v="4"/>
    <s v="LANCHES"/>
    <n v="0"/>
    <n v="0"/>
    <n v="0"/>
    <n v="60"/>
    <n v="60"/>
    <n v="60"/>
    <n v="90"/>
    <n v="99"/>
    <n v="99"/>
    <n v="132"/>
    <n v="132"/>
    <n v="99"/>
    <n v="831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4"/>
    <x v="4"/>
    <x v="4"/>
    <s v="MAIS GRANEL"/>
    <n v="0"/>
    <n v="0"/>
    <n v="0"/>
    <n v="500"/>
    <n v="500"/>
    <n v="500"/>
    <n v="750"/>
    <n v="825"/>
    <n v="825"/>
    <n v="1100"/>
    <n v="1100"/>
    <n v="825"/>
    <n v="692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4"/>
    <x v="4"/>
    <x v="4"/>
    <s v="NATURATTA"/>
    <n v="0"/>
    <n v="0"/>
    <n v="0"/>
    <n v="100"/>
    <n v="100"/>
    <n v="100"/>
    <n v="150"/>
    <n v="165"/>
    <n v="165"/>
    <n v="220"/>
    <n v="220"/>
    <n v="165"/>
    <n v="138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4"/>
    <x v="4"/>
    <x v="4"/>
    <s v="REEMBALADOS"/>
    <n v="0"/>
    <n v="0"/>
    <n v="0"/>
    <n v="100"/>
    <n v="100"/>
    <n v="100"/>
    <n v="150"/>
    <n v="165"/>
    <n v="165"/>
    <n v="220"/>
    <n v="220"/>
    <n v="165"/>
    <n v="138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4"/>
    <x v="4"/>
    <x v="4"/>
    <s v="S GLUTEN"/>
    <n v="0"/>
    <n v="0"/>
    <n v="0"/>
    <n v="100"/>
    <n v="100"/>
    <n v="100"/>
    <n v="150"/>
    <n v="165"/>
    <n v="165"/>
    <n v="220"/>
    <n v="220"/>
    <n v="165"/>
    <n v="138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4"/>
    <x v="4"/>
    <x v="4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4"/>
    <x v="4"/>
    <x v="4"/>
    <s v="SAL"/>
    <n v="0"/>
    <n v="0"/>
    <n v="0"/>
    <n v="140"/>
    <n v="140"/>
    <n v="140"/>
    <n v="210.00000000000003"/>
    <n v="231.00000000000003"/>
    <n v="231.00000000000003"/>
    <n v="308.00000000000006"/>
    <n v="308.00000000000006"/>
    <n v="231.00000000000003"/>
    <n v="1939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4"/>
    <x v="4"/>
    <x v="4"/>
    <s v="SOULPRO"/>
    <n v="0"/>
    <n v="0"/>
    <n v="0"/>
    <n v="99.999999999999986"/>
    <n v="99.999999999999986"/>
    <n v="99.999999999999986"/>
    <n v="150"/>
    <n v="165"/>
    <n v="165"/>
    <n v="219.99999999999997"/>
    <n v="219.99999999999997"/>
    <n v="165"/>
    <n v="138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4"/>
    <x v="4"/>
    <x v="4"/>
    <s v="TAMARA"/>
    <n v="0"/>
    <n v="0"/>
    <n v="0"/>
    <n v="160"/>
    <n v="160"/>
    <n v="160"/>
    <n v="240"/>
    <n v="264"/>
    <n v="264"/>
    <n v="352"/>
    <n v="352"/>
    <n v="264"/>
    <n v="2216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4"/>
    <x v="4"/>
    <x v="4"/>
    <s v="VICCIO"/>
    <n v="0"/>
    <n v="0"/>
    <n v="0"/>
    <n v="60"/>
    <n v="60"/>
    <n v="60"/>
    <n v="90"/>
    <n v="99"/>
    <n v="99"/>
    <n v="132"/>
    <n v="132"/>
    <n v="99"/>
    <n v="831"/>
  </r>
  <r>
    <x v="0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n v="1"/>
    <x v="5"/>
    <x v="5"/>
    <x v="5"/>
    <s v="1. TOTAL - VENDA INTERNA PB"/>
    <n v="0"/>
    <n v="0"/>
    <n v="0"/>
    <n v="1000"/>
    <n v="1000"/>
    <n v="2000"/>
    <n v="2000"/>
    <n v="2200"/>
    <n v="3300"/>
    <n v="3300"/>
    <n v="3300"/>
    <n v="2200"/>
    <n v="2030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5"/>
    <x v="5"/>
    <x v="5"/>
    <s v="BISCOITO"/>
    <n v="0"/>
    <n v="0"/>
    <n v="0"/>
    <n v="50"/>
    <n v="50"/>
    <n v="100"/>
    <n v="100"/>
    <n v="110"/>
    <n v="165"/>
    <n v="165"/>
    <n v="165"/>
    <n v="110"/>
    <n v="1015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5"/>
    <x v="5"/>
    <x v="5"/>
    <s v="CHOCOLATES"/>
    <n v="0"/>
    <n v="0"/>
    <n v="0"/>
    <n v="50"/>
    <n v="50"/>
    <n v="100"/>
    <n v="100"/>
    <n v="110"/>
    <n v="165"/>
    <n v="165"/>
    <n v="165"/>
    <n v="110"/>
    <n v="1015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5"/>
    <x v="5"/>
    <x v="5"/>
    <s v="DISNEY"/>
    <n v="0"/>
    <n v="0"/>
    <n v="0"/>
    <n v="80"/>
    <n v="80"/>
    <n v="160"/>
    <n v="160"/>
    <n v="176"/>
    <n v="264"/>
    <n v="264"/>
    <n v="264"/>
    <n v="176"/>
    <n v="1624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5"/>
    <x v="5"/>
    <x v="5"/>
    <s v="DOCES"/>
    <n v="0"/>
    <n v="0"/>
    <n v="0"/>
    <n v="100"/>
    <n v="100"/>
    <n v="200"/>
    <n v="200"/>
    <n v="220"/>
    <n v="330"/>
    <n v="330"/>
    <n v="330"/>
    <n v="220"/>
    <n v="203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5"/>
    <x v="5"/>
    <x v="5"/>
    <s v="GELEIA"/>
    <n v="0"/>
    <n v="0"/>
    <n v="0"/>
    <n v="19.999999999999996"/>
    <n v="19.999999999999996"/>
    <n v="39.999999999999993"/>
    <n v="39.999999999999993"/>
    <n v="43.999999999999993"/>
    <n v="65.999999999999986"/>
    <n v="65.999999999999986"/>
    <n v="65.999999999999986"/>
    <n v="43.999999999999993"/>
    <n v="405.99999999999994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5"/>
    <x v="5"/>
    <x v="5"/>
    <s v="GRANOLA"/>
    <n v="0"/>
    <n v="0"/>
    <n v="0"/>
    <n v="20"/>
    <n v="20"/>
    <n v="40"/>
    <n v="40"/>
    <n v="44"/>
    <n v="66"/>
    <n v="66"/>
    <n v="66"/>
    <n v="44"/>
    <n v="406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5"/>
    <x v="5"/>
    <x v="5"/>
    <s v="KIDS"/>
    <n v="0"/>
    <n v="0"/>
    <n v="0"/>
    <n v="20"/>
    <n v="20"/>
    <n v="40"/>
    <n v="40"/>
    <n v="44"/>
    <n v="66"/>
    <n v="66"/>
    <n v="66"/>
    <n v="44"/>
    <n v="406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5"/>
    <x v="5"/>
    <x v="5"/>
    <s v="LANCHES"/>
    <n v="0"/>
    <n v="0"/>
    <n v="0"/>
    <n v="30"/>
    <n v="30"/>
    <n v="60"/>
    <n v="60"/>
    <n v="66"/>
    <n v="99"/>
    <n v="99"/>
    <n v="99"/>
    <n v="66"/>
    <n v="609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5"/>
    <x v="5"/>
    <x v="5"/>
    <s v="MAIS GRANEL"/>
    <n v="0"/>
    <n v="0"/>
    <n v="0"/>
    <n v="250"/>
    <n v="250"/>
    <n v="500"/>
    <n v="500"/>
    <n v="550"/>
    <n v="825"/>
    <n v="825"/>
    <n v="825"/>
    <n v="550"/>
    <n v="5075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5"/>
    <x v="5"/>
    <x v="5"/>
    <s v="NATURATTA"/>
    <n v="0"/>
    <n v="0"/>
    <n v="0"/>
    <n v="50"/>
    <n v="50"/>
    <n v="100"/>
    <n v="100"/>
    <n v="110"/>
    <n v="165"/>
    <n v="165"/>
    <n v="165"/>
    <n v="110"/>
    <n v="1015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5"/>
    <x v="5"/>
    <x v="5"/>
    <s v="REEMBALADOS"/>
    <n v="0"/>
    <n v="0"/>
    <n v="0"/>
    <n v="50"/>
    <n v="50"/>
    <n v="100"/>
    <n v="100"/>
    <n v="110"/>
    <n v="165"/>
    <n v="165"/>
    <n v="165"/>
    <n v="110"/>
    <n v="1015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5"/>
    <x v="5"/>
    <x v="5"/>
    <s v="S GLUTEN"/>
    <n v="0"/>
    <n v="0"/>
    <n v="0"/>
    <n v="50"/>
    <n v="50"/>
    <n v="100"/>
    <n v="100"/>
    <n v="110"/>
    <n v="165"/>
    <n v="165"/>
    <n v="165"/>
    <n v="110"/>
    <n v="1015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5"/>
    <x v="5"/>
    <x v="5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5"/>
    <x v="5"/>
    <x v="5"/>
    <s v="SAL"/>
    <n v="0"/>
    <n v="0"/>
    <n v="0"/>
    <n v="70"/>
    <n v="70"/>
    <n v="140"/>
    <n v="140"/>
    <n v="154.00000000000003"/>
    <n v="231.00000000000003"/>
    <n v="231.00000000000003"/>
    <n v="231.00000000000003"/>
    <n v="154.00000000000003"/>
    <n v="1421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5"/>
    <x v="5"/>
    <x v="5"/>
    <s v="SOULPRO"/>
    <n v="0"/>
    <n v="0"/>
    <n v="0"/>
    <n v="49.999999999999993"/>
    <n v="49.999999999999993"/>
    <n v="99.999999999999986"/>
    <n v="99.999999999999986"/>
    <n v="109.99999999999999"/>
    <n v="165"/>
    <n v="165"/>
    <n v="165"/>
    <n v="109.99999999999999"/>
    <n v="1015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5"/>
    <x v="5"/>
    <x v="5"/>
    <s v="TAMARA"/>
    <n v="0"/>
    <n v="0"/>
    <n v="0"/>
    <n v="80"/>
    <n v="80"/>
    <n v="160"/>
    <n v="160"/>
    <n v="176"/>
    <n v="264"/>
    <n v="264"/>
    <n v="264"/>
    <n v="176"/>
    <n v="1624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5"/>
    <x v="5"/>
    <x v="5"/>
    <s v="VICCIO"/>
    <n v="0"/>
    <n v="0"/>
    <n v="0"/>
    <n v="30"/>
    <n v="30"/>
    <n v="60"/>
    <n v="60"/>
    <n v="66"/>
    <n v="99"/>
    <n v="99"/>
    <n v="99"/>
    <n v="66"/>
    <n v="609"/>
  </r>
  <r>
    <x v="0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n v="1"/>
    <x v="6"/>
    <x v="6"/>
    <x v="6"/>
    <s v="1. TOTAL - VENDA INTERNA SE"/>
    <n v="0"/>
    <n v="0"/>
    <n v="0"/>
    <n v="1000"/>
    <n v="1000"/>
    <n v="1000"/>
    <n v="1000"/>
    <n v="1100"/>
    <n v="2200"/>
    <n v="2200"/>
    <n v="2200"/>
    <n v="1100"/>
    <n v="1280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6"/>
    <x v="6"/>
    <x v="6"/>
    <s v="BISCOITO"/>
    <n v="0"/>
    <n v="0"/>
    <n v="0"/>
    <n v="50"/>
    <n v="50"/>
    <n v="50"/>
    <n v="50"/>
    <n v="55"/>
    <n v="110"/>
    <n v="110"/>
    <n v="110"/>
    <n v="55"/>
    <n v="64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6"/>
    <x v="6"/>
    <x v="6"/>
    <s v="CHOCOLATES"/>
    <n v="0"/>
    <n v="0"/>
    <n v="0"/>
    <n v="50"/>
    <n v="50"/>
    <n v="50"/>
    <n v="50"/>
    <n v="55"/>
    <n v="110"/>
    <n v="110"/>
    <n v="110"/>
    <n v="55"/>
    <n v="64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6"/>
    <x v="6"/>
    <x v="6"/>
    <s v="DISNEY"/>
    <n v="0"/>
    <n v="0"/>
    <n v="0"/>
    <n v="80"/>
    <n v="80"/>
    <n v="80"/>
    <n v="80"/>
    <n v="88"/>
    <n v="176"/>
    <n v="176"/>
    <n v="176"/>
    <n v="88"/>
    <n v="1024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6"/>
    <x v="6"/>
    <x v="6"/>
    <s v="DOCES"/>
    <n v="0"/>
    <n v="0"/>
    <n v="0"/>
    <n v="100"/>
    <n v="100"/>
    <n v="100"/>
    <n v="100"/>
    <n v="110"/>
    <n v="220"/>
    <n v="220"/>
    <n v="220"/>
    <n v="110"/>
    <n v="128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6"/>
    <x v="6"/>
    <x v="6"/>
    <s v="GELEIA"/>
    <n v="0"/>
    <n v="0"/>
    <n v="0"/>
    <n v="19.999999999999996"/>
    <n v="19.999999999999996"/>
    <n v="19.999999999999996"/>
    <n v="19.999999999999996"/>
    <n v="21.999999999999996"/>
    <n v="43.999999999999993"/>
    <n v="43.999999999999993"/>
    <n v="43.999999999999993"/>
    <n v="21.999999999999996"/>
    <n v="255.99999999999997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6"/>
    <x v="6"/>
    <x v="6"/>
    <s v="GRANOLA"/>
    <n v="0"/>
    <n v="0"/>
    <n v="0"/>
    <n v="20"/>
    <n v="20"/>
    <n v="20"/>
    <n v="20"/>
    <n v="22"/>
    <n v="44"/>
    <n v="44"/>
    <n v="44"/>
    <n v="22"/>
    <n v="256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6"/>
    <x v="6"/>
    <x v="6"/>
    <s v="KIDS"/>
    <n v="0"/>
    <n v="0"/>
    <n v="0"/>
    <n v="20"/>
    <n v="20"/>
    <n v="20"/>
    <n v="20"/>
    <n v="22"/>
    <n v="44"/>
    <n v="44"/>
    <n v="44"/>
    <n v="22"/>
    <n v="256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6"/>
    <x v="6"/>
    <x v="6"/>
    <s v="LANCHES"/>
    <n v="0"/>
    <n v="0"/>
    <n v="0"/>
    <n v="30"/>
    <n v="30"/>
    <n v="30"/>
    <n v="30"/>
    <n v="33"/>
    <n v="66"/>
    <n v="66"/>
    <n v="66"/>
    <n v="33"/>
    <n v="384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6"/>
    <x v="6"/>
    <x v="6"/>
    <s v="MAIS GRANEL"/>
    <n v="0"/>
    <n v="0"/>
    <n v="0"/>
    <n v="250"/>
    <n v="250"/>
    <n v="250"/>
    <n v="250"/>
    <n v="275"/>
    <n v="550"/>
    <n v="550"/>
    <n v="550"/>
    <n v="275"/>
    <n v="320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6"/>
    <x v="6"/>
    <x v="6"/>
    <s v="NATURATTA"/>
    <n v="0"/>
    <n v="0"/>
    <n v="0"/>
    <n v="50"/>
    <n v="50"/>
    <n v="50"/>
    <n v="50"/>
    <n v="55"/>
    <n v="110"/>
    <n v="110"/>
    <n v="110"/>
    <n v="55"/>
    <n v="64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6"/>
    <x v="6"/>
    <x v="6"/>
    <s v="REEMBALADOS"/>
    <n v="0"/>
    <n v="0"/>
    <n v="0"/>
    <n v="50"/>
    <n v="50"/>
    <n v="50"/>
    <n v="50"/>
    <n v="55"/>
    <n v="110"/>
    <n v="110"/>
    <n v="110"/>
    <n v="55"/>
    <n v="64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6"/>
    <x v="6"/>
    <x v="6"/>
    <s v="S GLUTEN"/>
    <n v="0"/>
    <n v="0"/>
    <n v="0"/>
    <n v="50"/>
    <n v="50"/>
    <n v="50"/>
    <n v="50"/>
    <n v="55"/>
    <n v="110"/>
    <n v="110"/>
    <n v="110"/>
    <n v="55"/>
    <n v="64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6"/>
    <x v="6"/>
    <x v="6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6"/>
    <x v="6"/>
    <x v="6"/>
    <s v="SAL"/>
    <n v="0"/>
    <n v="0"/>
    <n v="0"/>
    <n v="70"/>
    <n v="70"/>
    <n v="70"/>
    <n v="70"/>
    <n v="77.000000000000014"/>
    <n v="154.00000000000003"/>
    <n v="154.00000000000003"/>
    <n v="154.00000000000003"/>
    <n v="77.000000000000014"/>
    <n v="896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6"/>
    <x v="6"/>
    <x v="6"/>
    <s v="SOULPRO"/>
    <n v="0"/>
    <n v="0"/>
    <n v="0"/>
    <n v="49.999999999999993"/>
    <n v="49.999999999999993"/>
    <n v="49.999999999999993"/>
    <n v="49.999999999999993"/>
    <n v="54.999999999999993"/>
    <n v="109.99999999999999"/>
    <n v="109.99999999999999"/>
    <n v="109.99999999999999"/>
    <n v="54.999999999999993"/>
    <n v="639.99999999999989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6"/>
    <x v="6"/>
    <x v="6"/>
    <s v="TAMARA"/>
    <n v="0"/>
    <n v="0"/>
    <n v="0"/>
    <n v="80"/>
    <n v="80"/>
    <n v="80"/>
    <n v="80"/>
    <n v="88"/>
    <n v="176"/>
    <n v="176"/>
    <n v="176"/>
    <n v="88"/>
    <n v="1024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6"/>
    <x v="6"/>
    <x v="6"/>
    <s v="VICCIO"/>
    <n v="0"/>
    <n v="0"/>
    <n v="0"/>
    <n v="30"/>
    <n v="30"/>
    <n v="30"/>
    <n v="30"/>
    <n v="33"/>
    <n v="66"/>
    <n v="66"/>
    <n v="66"/>
    <n v="33"/>
    <n v="384"/>
  </r>
  <r>
    <x v="0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n v="1"/>
    <x v="7"/>
    <x v="7"/>
    <x v="7"/>
    <s v="1. TOTAL - VENDA INTERNA BA"/>
    <n v="0"/>
    <n v="0"/>
    <n v="0"/>
    <n v="6000"/>
    <n v="7000"/>
    <n v="9000"/>
    <n v="11000"/>
    <n v="13200"/>
    <n v="16500"/>
    <n v="18700"/>
    <n v="20900"/>
    <n v="14300"/>
    <n v="11660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7"/>
    <x v="7"/>
    <x v="7"/>
    <s v="BISCOITO"/>
    <n v="0"/>
    <n v="0"/>
    <n v="0"/>
    <n v="300"/>
    <n v="350"/>
    <n v="450"/>
    <n v="550"/>
    <n v="660"/>
    <n v="825"/>
    <n v="935"/>
    <n v="1045"/>
    <n v="715"/>
    <n v="583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7"/>
    <x v="7"/>
    <x v="7"/>
    <s v="CHOCOLATES"/>
    <n v="0"/>
    <n v="0"/>
    <n v="0"/>
    <n v="300"/>
    <n v="350"/>
    <n v="450"/>
    <n v="550"/>
    <n v="660"/>
    <n v="825"/>
    <n v="935"/>
    <n v="1045"/>
    <n v="715"/>
    <n v="583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7"/>
    <x v="7"/>
    <x v="7"/>
    <s v="DISNEY"/>
    <n v="0"/>
    <n v="0"/>
    <n v="0"/>
    <n v="480"/>
    <n v="560"/>
    <n v="720"/>
    <n v="880"/>
    <n v="1056"/>
    <n v="1320"/>
    <n v="1496"/>
    <n v="1672"/>
    <n v="1144"/>
    <n v="9328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7"/>
    <x v="7"/>
    <x v="7"/>
    <s v="DOCES"/>
    <n v="0"/>
    <n v="0"/>
    <n v="0"/>
    <n v="600"/>
    <n v="700"/>
    <n v="900"/>
    <n v="1100"/>
    <n v="1320"/>
    <n v="1650"/>
    <n v="1870"/>
    <n v="2090"/>
    <n v="1430"/>
    <n v="1166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7"/>
    <x v="7"/>
    <x v="7"/>
    <s v="GELEIA"/>
    <n v="0"/>
    <n v="0"/>
    <n v="0"/>
    <n v="119.99999999999999"/>
    <n v="139.99999999999997"/>
    <n v="179.99999999999997"/>
    <n v="219.99999999999997"/>
    <n v="263.99999999999994"/>
    <n v="329.99999999999994"/>
    <n v="373.99999999999994"/>
    <n v="417.99999999999994"/>
    <n v="285.99999999999994"/>
    <n v="2331.999999999999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7"/>
    <x v="7"/>
    <x v="7"/>
    <s v="GRANOLA"/>
    <n v="0"/>
    <n v="0"/>
    <n v="0"/>
    <n v="120"/>
    <n v="140"/>
    <n v="180"/>
    <n v="220"/>
    <n v="264"/>
    <n v="330"/>
    <n v="374"/>
    <n v="418"/>
    <n v="286"/>
    <n v="2332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7"/>
    <x v="7"/>
    <x v="7"/>
    <s v="KIDS"/>
    <n v="0"/>
    <n v="0"/>
    <n v="0"/>
    <n v="120"/>
    <n v="140"/>
    <n v="180"/>
    <n v="220"/>
    <n v="264"/>
    <n v="330"/>
    <n v="374"/>
    <n v="418"/>
    <n v="286"/>
    <n v="2332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7"/>
    <x v="7"/>
    <x v="7"/>
    <s v="LANCHES"/>
    <n v="0"/>
    <n v="0"/>
    <n v="0"/>
    <n v="180"/>
    <n v="210"/>
    <n v="270"/>
    <n v="330"/>
    <n v="396"/>
    <n v="495"/>
    <n v="561"/>
    <n v="627"/>
    <n v="429"/>
    <n v="3498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7"/>
    <x v="7"/>
    <x v="7"/>
    <s v="MAIS GRANEL"/>
    <n v="0"/>
    <n v="0"/>
    <n v="0"/>
    <n v="1500"/>
    <n v="1750"/>
    <n v="2250"/>
    <n v="2750"/>
    <n v="3300"/>
    <n v="4125"/>
    <n v="4675"/>
    <n v="5225"/>
    <n v="3575"/>
    <n v="2915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7"/>
    <x v="7"/>
    <x v="7"/>
    <s v="NATURATTA"/>
    <n v="0"/>
    <n v="0"/>
    <n v="0"/>
    <n v="300"/>
    <n v="350"/>
    <n v="450"/>
    <n v="550"/>
    <n v="660"/>
    <n v="825"/>
    <n v="935"/>
    <n v="1045"/>
    <n v="715"/>
    <n v="583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7"/>
    <x v="7"/>
    <x v="7"/>
    <s v="REEMBALADOS"/>
    <n v="0"/>
    <n v="0"/>
    <n v="0"/>
    <n v="300"/>
    <n v="350"/>
    <n v="450"/>
    <n v="550"/>
    <n v="660"/>
    <n v="825"/>
    <n v="935"/>
    <n v="1045"/>
    <n v="715"/>
    <n v="583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7"/>
    <x v="7"/>
    <x v="7"/>
    <s v="S GLUTEN"/>
    <n v="0"/>
    <n v="0"/>
    <n v="0"/>
    <n v="300"/>
    <n v="350"/>
    <n v="450"/>
    <n v="550"/>
    <n v="660"/>
    <n v="825"/>
    <n v="935"/>
    <n v="1045"/>
    <n v="715"/>
    <n v="583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7"/>
    <x v="7"/>
    <x v="7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7"/>
    <x v="7"/>
    <x v="7"/>
    <s v="SAL"/>
    <n v="0"/>
    <n v="0"/>
    <n v="0"/>
    <n v="420.00000000000006"/>
    <n v="490.00000000000006"/>
    <n v="630.00000000000011"/>
    <n v="770.00000000000011"/>
    <n v="924.00000000000011"/>
    <n v="1155"/>
    <n v="1309.0000000000002"/>
    <n v="1463.0000000000002"/>
    <n v="1001.0000000000001"/>
    <n v="8162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7"/>
    <x v="7"/>
    <x v="7"/>
    <s v="SOULPRO"/>
    <n v="0"/>
    <n v="0"/>
    <n v="0"/>
    <n v="300"/>
    <n v="349.99999999999994"/>
    <n v="449.99999999999994"/>
    <n v="550"/>
    <n v="660"/>
    <n v="824.99999999999989"/>
    <n v="934.99999999999989"/>
    <n v="1045"/>
    <n v="714.99999999999989"/>
    <n v="583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7"/>
    <x v="7"/>
    <x v="7"/>
    <s v="TAMARA"/>
    <n v="0"/>
    <n v="0"/>
    <n v="0"/>
    <n v="480"/>
    <n v="560"/>
    <n v="720"/>
    <n v="880"/>
    <n v="1056"/>
    <n v="1320"/>
    <n v="1496"/>
    <n v="1672"/>
    <n v="1144"/>
    <n v="9328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7"/>
    <x v="7"/>
    <x v="7"/>
    <s v="VICCIO"/>
    <n v="0"/>
    <n v="0"/>
    <n v="0"/>
    <n v="180"/>
    <n v="210"/>
    <n v="270"/>
    <n v="330"/>
    <n v="396"/>
    <n v="495"/>
    <n v="561"/>
    <n v="627"/>
    <n v="429"/>
    <n v="3498"/>
  </r>
  <r>
    <x v="0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n v="1"/>
    <x v="8"/>
    <x v="8"/>
    <x v="8"/>
    <s v="1. TOTAL - VENDA INTERNA MA"/>
    <n v="0"/>
    <n v="0"/>
    <n v="0"/>
    <n v="2000"/>
    <n v="2000"/>
    <n v="2000"/>
    <n v="3000"/>
    <n v="3300"/>
    <n v="4400"/>
    <n v="4400"/>
    <n v="5500"/>
    <n v="3300"/>
    <n v="2990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8"/>
    <x v="8"/>
    <x v="8"/>
    <s v="BISCOITO"/>
    <n v="0"/>
    <n v="0"/>
    <n v="0"/>
    <n v="100"/>
    <n v="100"/>
    <n v="100"/>
    <n v="150"/>
    <n v="165"/>
    <n v="220"/>
    <n v="220"/>
    <n v="275"/>
    <n v="165"/>
    <n v="149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8"/>
    <x v="8"/>
    <x v="8"/>
    <s v="CHOCOLATES"/>
    <n v="0"/>
    <n v="0"/>
    <n v="0"/>
    <n v="100"/>
    <n v="100"/>
    <n v="100"/>
    <n v="150"/>
    <n v="165"/>
    <n v="220"/>
    <n v="220"/>
    <n v="275"/>
    <n v="165"/>
    <n v="149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8"/>
    <x v="8"/>
    <x v="8"/>
    <s v="DISNEY"/>
    <n v="0"/>
    <n v="0"/>
    <n v="0"/>
    <n v="160"/>
    <n v="160"/>
    <n v="160"/>
    <n v="240"/>
    <n v="264"/>
    <n v="352"/>
    <n v="352"/>
    <n v="440"/>
    <n v="264"/>
    <n v="2392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8"/>
    <x v="8"/>
    <x v="8"/>
    <s v="DOCES"/>
    <n v="0"/>
    <n v="0"/>
    <n v="0"/>
    <n v="200"/>
    <n v="200"/>
    <n v="200"/>
    <n v="300"/>
    <n v="330"/>
    <n v="440"/>
    <n v="440"/>
    <n v="550"/>
    <n v="330"/>
    <n v="299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8"/>
    <x v="8"/>
    <x v="8"/>
    <s v="GELEIA"/>
    <n v="0"/>
    <n v="0"/>
    <n v="0"/>
    <n v="39.999999999999993"/>
    <n v="39.999999999999993"/>
    <n v="39.999999999999993"/>
    <n v="59.999999999999993"/>
    <n v="65.999999999999986"/>
    <n v="87.999999999999986"/>
    <n v="87.999999999999986"/>
    <n v="109.99999999999999"/>
    <n v="65.999999999999986"/>
    <n v="597.99999999999989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8"/>
    <x v="8"/>
    <x v="8"/>
    <s v="GRANOLA"/>
    <n v="0"/>
    <n v="0"/>
    <n v="0"/>
    <n v="40"/>
    <n v="40"/>
    <n v="40"/>
    <n v="60"/>
    <n v="66"/>
    <n v="88"/>
    <n v="88"/>
    <n v="110"/>
    <n v="66"/>
    <n v="598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8"/>
    <x v="8"/>
    <x v="8"/>
    <s v="KIDS"/>
    <n v="0"/>
    <n v="0"/>
    <n v="0"/>
    <n v="40"/>
    <n v="40"/>
    <n v="40"/>
    <n v="60"/>
    <n v="66"/>
    <n v="88"/>
    <n v="88"/>
    <n v="110"/>
    <n v="66"/>
    <n v="598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8"/>
    <x v="8"/>
    <x v="8"/>
    <s v="LANCHES"/>
    <n v="0"/>
    <n v="0"/>
    <n v="0"/>
    <n v="60"/>
    <n v="60"/>
    <n v="60"/>
    <n v="90"/>
    <n v="99"/>
    <n v="132"/>
    <n v="132"/>
    <n v="165"/>
    <n v="99"/>
    <n v="897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8"/>
    <x v="8"/>
    <x v="8"/>
    <s v="MAIS GRANEL"/>
    <n v="0"/>
    <n v="0"/>
    <n v="0"/>
    <n v="500"/>
    <n v="500"/>
    <n v="500"/>
    <n v="750"/>
    <n v="825"/>
    <n v="1100"/>
    <n v="1100"/>
    <n v="1375"/>
    <n v="825"/>
    <n v="747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8"/>
    <x v="8"/>
    <x v="8"/>
    <s v="NATURATTA"/>
    <n v="0"/>
    <n v="0"/>
    <n v="0"/>
    <n v="100"/>
    <n v="100"/>
    <n v="100"/>
    <n v="150"/>
    <n v="165"/>
    <n v="220"/>
    <n v="220"/>
    <n v="275"/>
    <n v="165"/>
    <n v="149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8"/>
    <x v="8"/>
    <x v="8"/>
    <s v="REEMBALADOS"/>
    <n v="0"/>
    <n v="0"/>
    <n v="0"/>
    <n v="100"/>
    <n v="100"/>
    <n v="100"/>
    <n v="150"/>
    <n v="165"/>
    <n v="220"/>
    <n v="220"/>
    <n v="275"/>
    <n v="165"/>
    <n v="149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8"/>
    <x v="8"/>
    <x v="8"/>
    <s v="S GLUTEN"/>
    <n v="0"/>
    <n v="0"/>
    <n v="0"/>
    <n v="100"/>
    <n v="100"/>
    <n v="100"/>
    <n v="150"/>
    <n v="165"/>
    <n v="220"/>
    <n v="220"/>
    <n v="275"/>
    <n v="165"/>
    <n v="149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8"/>
    <x v="8"/>
    <x v="8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8"/>
    <x v="8"/>
    <x v="8"/>
    <s v="SAL"/>
    <n v="0"/>
    <n v="0"/>
    <n v="0"/>
    <n v="140"/>
    <n v="140"/>
    <n v="140"/>
    <n v="210.00000000000003"/>
    <n v="231.00000000000003"/>
    <n v="308.00000000000006"/>
    <n v="308.00000000000006"/>
    <n v="385.00000000000006"/>
    <n v="231.00000000000003"/>
    <n v="2093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8"/>
    <x v="8"/>
    <x v="8"/>
    <s v="SOULPRO"/>
    <n v="0"/>
    <n v="0"/>
    <n v="0"/>
    <n v="99.999999999999986"/>
    <n v="99.999999999999986"/>
    <n v="99.999999999999986"/>
    <n v="150"/>
    <n v="165"/>
    <n v="219.99999999999997"/>
    <n v="219.99999999999997"/>
    <n v="275"/>
    <n v="165"/>
    <n v="149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8"/>
    <x v="8"/>
    <x v="8"/>
    <s v="TAMARA"/>
    <n v="0"/>
    <n v="0"/>
    <n v="0"/>
    <n v="160"/>
    <n v="160"/>
    <n v="160"/>
    <n v="240"/>
    <n v="264"/>
    <n v="352"/>
    <n v="352"/>
    <n v="440"/>
    <n v="264"/>
    <n v="2392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8"/>
    <x v="8"/>
    <x v="8"/>
    <s v="VICCIO"/>
    <n v="0"/>
    <n v="0"/>
    <n v="0"/>
    <n v="60"/>
    <n v="60"/>
    <n v="60"/>
    <n v="90"/>
    <n v="99"/>
    <n v="132"/>
    <n v="132"/>
    <n v="165"/>
    <n v="99"/>
    <n v="897"/>
  </r>
  <r>
    <x v="0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n v="1"/>
    <x v="9"/>
    <x v="9"/>
    <x v="9"/>
    <s v="1. TOTAL - VENDA INTERNA TO"/>
    <n v="0"/>
    <n v="0"/>
    <n v="0"/>
    <n v="1000"/>
    <n v="2000"/>
    <n v="2000"/>
    <n v="2000"/>
    <n v="2200"/>
    <n v="3300"/>
    <n v="3300"/>
    <n v="4400"/>
    <n v="3300"/>
    <n v="2350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9"/>
    <x v="9"/>
    <x v="9"/>
    <s v="BISCOITO"/>
    <n v="0"/>
    <n v="0"/>
    <n v="0"/>
    <n v="50"/>
    <n v="100"/>
    <n v="100"/>
    <n v="100"/>
    <n v="110"/>
    <n v="165"/>
    <n v="165"/>
    <n v="220"/>
    <n v="165"/>
    <n v="1175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9"/>
    <x v="9"/>
    <x v="9"/>
    <s v="CHOCOLATES"/>
    <n v="0"/>
    <n v="0"/>
    <n v="0"/>
    <n v="50"/>
    <n v="100"/>
    <n v="100"/>
    <n v="100"/>
    <n v="110"/>
    <n v="165"/>
    <n v="165"/>
    <n v="220"/>
    <n v="165"/>
    <n v="1175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9"/>
    <x v="9"/>
    <x v="9"/>
    <s v="DISNEY"/>
    <n v="0"/>
    <n v="0"/>
    <n v="0"/>
    <n v="80"/>
    <n v="160"/>
    <n v="160"/>
    <n v="160"/>
    <n v="176"/>
    <n v="264"/>
    <n v="264"/>
    <n v="352"/>
    <n v="264"/>
    <n v="188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9"/>
    <x v="9"/>
    <x v="9"/>
    <s v="DOCES"/>
    <n v="0"/>
    <n v="0"/>
    <n v="0"/>
    <n v="100"/>
    <n v="200"/>
    <n v="200"/>
    <n v="200"/>
    <n v="220"/>
    <n v="330"/>
    <n v="330"/>
    <n v="440"/>
    <n v="330"/>
    <n v="235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9"/>
    <x v="9"/>
    <x v="9"/>
    <s v="GELEIA"/>
    <n v="0"/>
    <n v="0"/>
    <n v="0"/>
    <n v="19.999999999999996"/>
    <n v="39.999999999999993"/>
    <n v="39.999999999999993"/>
    <n v="39.999999999999993"/>
    <n v="43.999999999999993"/>
    <n v="65.999999999999986"/>
    <n v="65.999999999999986"/>
    <n v="87.999999999999986"/>
    <n v="65.999999999999986"/>
    <n v="469.99999999999994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9"/>
    <x v="9"/>
    <x v="9"/>
    <s v="GRANOLA"/>
    <n v="0"/>
    <n v="0"/>
    <n v="0"/>
    <n v="20"/>
    <n v="40"/>
    <n v="40"/>
    <n v="40"/>
    <n v="44"/>
    <n v="66"/>
    <n v="66"/>
    <n v="88"/>
    <n v="66"/>
    <n v="47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9"/>
    <x v="9"/>
    <x v="9"/>
    <s v="KIDS"/>
    <n v="0"/>
    <n v="0"/>
    <n v="0"/>
    <n v="20"/>
    <n v="40"/>
    <n v="40"/>
    <n v="40"/>
    <n v="44"/>
    <n v="66"/>
    <n v="66"/>
    <n v="88"/>
    <n v="66"/>
    <n v="47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9"/>
    <x v="9"/>
    <x v="9"/>
    <s v="LANCHES"/>
    <n v="0"/>
    <n v="0"/>
    <n v="0"/>
    <n v="30"/>
    <n v="60"/>
    <n v="60"/>
    <n v="60"/>
    <n v="66"/>
    <n v="99"/>
    <n v="99"/>
    <n v="132"/>
    <n v="99"/>
    <n v="705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9"/>
    <x v="9"/>
    <x v="9"/>
    <s v="MAIS GRANEL"/>
    <n v="0"/>
    <n v="0"/>
    <n v="0"/>
    <n v="250"/>
    <n v="500"/>
    <n v="500"/>
    <n v="500"/>
    <n v="550"/>
    <n v="825"/>
    <n v="825"/>
    <n v="1100"/>
    <n v="825"/>
    <n v="5875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9"/>
    <x v="9"/>
    <x v="9"/>
    <s v="NATURATTA"/>
    <n v="0"/>
    <n v="0"/>
    <n v="0"/>
    <n v="50"/>
    <n v="100"/>
    <n v="100"/>
    <n v="100"/>
    <n v="110"/>
    <n v="165"/>
    <n v="165"/>
    <n v="220"/>
    <n v="165"/>
    <n v="1175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9"/>
    <x v="9"/>
    <x v="9"/>
    <s v="REEMBALADOS"/>
    <n v="0"/>
    <n v="0"/>
    <n v="0"/>
    <n v="50"/>
    <n v="100"/>
    <n v="100"/>
    <n v="100"/>
    <n v="110"/>
    <n v="165"/>
    <n v="165"/>
    <n v="220"/>
    <n v="165"/>
    <n v="1175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9"/>
    <x v="9"/>
    <x v="9"/>
    <s v="S GLUTEN"/>
    <n v="0"/>
    <n v="0"/>
    <n v="0"/>
    <n v="50"/>
    <n v="100"/>
    <n v="100"/>
    <n v="100"/>
    <n v="110"/>
    <n v="165"/>
    <n v="165"/>
    <n v="220"/>
    <n v="165"/>
    <n v="1175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9"/>
    <x v="9"/>
    <x v="9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9"/>
    <x v="9"/>
    <x v="9"/>
    <s v="SAL"/>
    <n v="0"/>
    <n v="0"/>
    <n v="0"/>
    <n v="70"/>
    <n v="140"/>
    <n v="140"/>
    <n v="140"/>
    <n v="154.00000000000003"/>
    <n v="231.00000000000003"/>
    <n v="231.00000000000003"/>
    <n v="308.00000000000006"/>
    <n v="231.00000000000003"/>
    <n v="1645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9"/>
    <x v="9"/>
    <x v="9"/>
    <s v="SOULPRO"/>
    <n v="0"/>
    <n v="0"/>
    <n v="0"/>
    <n v="49.999999999999993"/>
    <n v="99.999999999999986"/>
    <n v="99.999999999999986"/>
    <n v="99.999999999999986"/>
    <n v="109.99999999999999"/>
    <n v="165"/>
    <n v="165"/>
    <n v="219.99999999999997"/>
    <n v="165"/>
    <n v="1175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9"/>
    <x v="9"/>
    <x v="9"/>
    <s v="TAMARA"/>
    <n v="0"/>
    <n v="0"/>
    <n v="0"/>
    <n v="80"/>
    <n v="160"/>
    <n v="160"/>
    <n v="160"/>
    <n v="176"/>
    <n v="264"/>
    <n v="264"/>
    <n v="352"/>
    <n v="264"/>
    <n v="188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9"/>
    <x v="9"/>
    <x v="9"/>
    <s v="VICCIO"/>
    <n v="0"/>
    <n v="0"/>
    <n v="0"/>
    <n v="30"/>
    <n v="60"/>
    <n v="60"/>
    <n v="60"/>
    <n v="66"/>
    <n v="99"/>
    <n v="99"/>
    <n v="132"/>
    <n v="99"/>
    <n v="705"/>
  </r>
  <r>
    <x v="0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n v="1"/>
    <x v="10"/>
    <x v="10"/>
    <x v="10"/>
    <s v="1. TOTAL - VENDA INTERNA RO"/>
    <n v="0"/>
    <n v="0"/>
    <n v="0"/>
    <n v="1000"/>
    <n v="1000"/>
    <n v="2000"/>
    <n v="2000"/>
    <n v="2200"/>
    <n v="2200"/>
    <n v="3300"/>
    <n v="3300"/>
    <n v="2200"/>
    <n v="1920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0"/>
    <x v="10"/>
    <x v="10"/>
    <s v="BISCOITO"/>
    <n v="0"/>
    <n v="0"/>
    <n v="0"/>
    <n v="50"/>
    <n v="50"/>
    <n v="100"/>
    <n v="100"/>
    <n v="110"/>
    <n v="110"/>
    <n v="165"/>
    <n v="165"/>
    <n v="110"/>
    <n v="96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0"/>
    <x v="10"/>
    <x v="10"/>
    <s v="CHOCOLATES"/>
    <n v="0"/>
    <n v="0"/>
    <n v="0"/>
    <n v="50"/>
    <n v="50"/>
    <n v="100"/>
    <n v="100"/>
    <n v="110"/>
    <n v="110"/>
    <n v="165"/>
    <n v="165"/>
    <n v="110"/>
    <n v="96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0"/>
    <x v="10"/>
    <x v="10"/>
    <s v="DISNEY"/>
    <n v="0"/>
    <n v="0"/>
    <n v="0"/>
    <n v="80"/>
    <n v="80"/>
    <n v="160"/>
    <n v="160"/>
    <n v="176"/>
    <n v="176"/>
    <n v="264"/>
    <n v="264"/>
    <n v="176"/>
    <n v="1536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0"/>
    <x v="10"/>
    <x v="10"/>
    <s v="DOCES"/>
    <n v="0"/>
    <n v="0"/>
    <n v="0"/>
    <n v="100"/>
    <n v="100"/>
    <n v="200"/>
    <n v="200"/>
    <n v="220"/>
    <n v="220"/>
    <n v="330"/>
    <n v="330"/>
    <n v="220"/>
    <n v="192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0"/>
    <x v="10"/>
    <x v="10"/>
    <s v="GELEIA"/>
    <n v="0"/>
    <n v="0"/>
    <n v="0"/>
    <n v="19.999999999999996"/>
    <n v="19.999999999999996"/>
    <n v="39.999999999999993"/>
    <n v="39.999999999999993"/>
    <n v="43.999999999999993"/>
    <n v="43.999999999999993"/>
    <n v="65.999999999999986"/>
    <n v="65.999999999999986"/>
    <n v="43.999999999999993"/>
    <n v="383.99999999999994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0"/>
    <x v="10"/>
    <x v="10"/>
    <s v="GRANOLA"/>
    <n v="0"/>
    <n v="0"/>
    <n v="0"/>
    <n v="20"/>
    <n v="20"/>
    <n v="40"/>
    <n v="40"/>
    <n v="44"/>
    <n v="44"/>
    <n v="66"/>
    <n v="66"/>
    <n v="44"/>
    <n v="384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0"/>
    <x v="10"/>
    <x v="10"/>
    <s v="KIDS"/>
    <n v="0"/>
    <n v="0"/>
    <n v="0"/>
    <n v="20"/>
    <n v="20"/>
    <n v="40"/>
    <n v="40"/>
    <n v="44"/>
    <n v="44"/>
    <n v="66"/>
    <n v="66"/>
    <n v="44"/>
    <n v="384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0"/>
    <x v="10"/>
    <x v="10"/>
    <s v="LANCHES"/>
    <n v="0"/>
    <n v="0"/>
    <n v="0"/>
    <n v="30"/>
    <n v="30"/>
    <n v="60"/>
    <n v="60"/>
    <n v="66"/>
    <n v="66"/>
    <n v="99"/>
    <n v="99"/>
    <n v="66"/>
    <n v="576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0"/>
    <x v="10"/>
    <x v="10"/>
    <s v="MAIS GRANEL"/>
    <n v="0"/>
    <n v="0"/>
    <n v="0"/>
    <n v="250"/>
    <n v="250"/>
    <n v="500"/>
    <n v="500"/>
    <n v="550"/>
    <n v="550"/>
    <n v="825"/>
    <n v="825"/>
    <n v="550"/>
    <n v="480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0"/>
    <x v="10"/>
    <x v="10"/>
    <s v="NATURATTA"/>
    <n v="0"/>
    <n v="0"/>
    <n v="0"/>
    <n v="50"/>
    <n v="50"/>
    <n v="100"/>
    <n v="100"/>
    <n v="110"/>
    <n v="110"/>
    <n v="165"/>
    <n v="165"/>
    <n v="110"/>
    <n v="96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0"/>
    <x v="10"/>
    <x v="10"/>
    <s v="REEMBALADOS"/>
    <n v="0"/>
    <n v="0"/>
    <n v="0"/>
    <n v="50"/>
    <n v="50"/>
    <n v="100"/>
    <n v="100"/>
    <n v="110"/>
    <n v="110"/>
    <n v="165"/>
    <n v="165"/>
    <n v="110"/>
    <n v="96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0"/>
    <x v="10"/>
    <x v="10"/>
    <s v="S GLUTEN"/>
    <n v="0"/>
    <n v="0"/>
    <n v="0"/>
    <n v="50"/>
    <n v="50"/>
    <n v="100"/>
    <n v="100"/>
    <n v="110"/>
    <n v="110"/>
    <n v="165"/>
    <n v="165"/>
    <n v="110"/>
    <n v="96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0"/>
    <x v="10"/>
    <x v="10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0"/>
    <x v="10"/>
    <x v="10"/>
    <s v="SAL"/>
    <n v="0"/>
    <n v="0"/>
    <n v="0"/>
    <n v="70"/>
    <n v="70"/>
    <n v="140"/>
    <n v="140"/>
    <n v="154.00000000000003"/>
    <n v="154.00000000000003"/>
    <n v="231.00000000000003"/>
    <n v="231.00000000000003"/>
    <n v="154.00000000000003"/>
    <n v="1344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0"/>
    <x v="10"/>
    <x v="10"/>
    <s v="SOULPRO"/>
    <n v="0"/>
    <n v="0"/>
    <n v="0"/>
    <n v="49.999999999999993"/>
    <n v="49.999999999999993"/>
    <n v="99.999999999999986"/>
    <n v="99.999999999999986"/>
    <n v="109.99999999999999"/>
    <n v="109.99999999999999"/>
    <n v="165"/>
    <n v="165"/>
    <n v="109.99999999999999"/>
    <n v="959.99999999999989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0"/>
    <x v="10"/>
    <x v="10"/>
    <s v="TAMARA"/>
    <n v="0"/>
    <n v="0"/>
    <n v="0"/>
    <n v="80"/>
    <n v="80"/>
    <n v="160"/>
    <n v="160"/>
    <n v="176"/>
    <n v="176"/>
    <n v="264"/>
    <n v="264"/>
    <n v="176"/>
    <n v="1536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0"/>
    <x v="10"/>
    <x v="10"/>
    <s v="VICCIO"/>
    <n v="0"/>
    <n v="0"/>
    <n v="0"/>
    <n v="30"/>
    <n v="30"/>
    <n v="60"/>
    <n v="60"/>
    <n v="66"/>
    <n v="66"/>
    <n v="99"/>
    <n v="99"/>
    <n v="66"/>
    <n v="576"/>
  </r>
  <r>
    <x v="0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n v="1"/>
    <x v="11"/>
    <x v="11"/>
    <x v="11"/>
    <s v="1. TOTAL - VENDA INTERNA RR"/>
    <n v="0"/>
    <n v="0"/>
    <n v="0"/>
    <n v="1000"/>
    <n v="1000"/>
    <n v="1000"/>
    <n v="1000"/>
    <n v="1100"/>
    <n v="1100"/>
    <n v="1100"/>
    <n v="1100"/>
    <n v="1100"/>
    <n v="950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1"/>
    <x v="11"/>
    <x v="11"/>
    <s v="BISCOITO"/>
    <n v="0"/>
    <n v="0"/>
    <n v="0"/>
    <n v="50"/>
    <n v="50"/>
    <n v="50"/>
    <n v="50"/>
    <n v="55"/>
    <n v="55"/>
    <n v="55"/>
    <n v="55"/>
    <n v="55"/>
    <n v="47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1"/>
    <x v="11"/>
    <x v="11"/>
    <s v="CHOCOLATES"/>
    <n v="0"/>
    <n v="0"/>
    <n v="0"/>
    <n v="50"/>
    <n v="50"/>
    <n v="50"/>
    <n v="50"/>
    <n v="55"/>
    <n v="55"/>
    <n v="55"/>
    <n v="55"/>
    <n v="55"/>
    <n v="47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1"/>
    <x v="11"/>
    <x v="11"/>
    <s v="DISNEY"/>
    <n v="0"/>
    <n v="0"/>
    <n v="0"/>
    <n v="80"/>
    <n v="80"/>
    <n v="80"/>
    <n v="80"/>
    <n v="88"/>
    <n v="88"/>
    <n v="88"/>
    <n v="88"/>
    <n v="88"/>
    <n v="76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1"/>
    <x v="11"/>
    <x v="11"/>
    <s v="DOCES"/>
    <n v="0"/>
    <n v="0"/>
    <n v="0"/>
    <n v="100"/>
    <n v="100"/>
    <n v="100"/>
    <n v="100"/>
    <n v="110"/>
    <n v="110"/>
    <n v="110"/>
    <n v="110"/>
    <n v="110"/>
    <n v="95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1"/>
    <x v="11"/>
    <x v="11"/>
    <s v="GELEIA"/>
    <n v="0"/>
    <n v="0"/>
    <n v="0"/>
    <n v="19.999999999999996"/>
    <n v="19.999999999999996"/>
    <n v="19.999999999999996"/>
    <n v="19.999999999999996"/>
    <n v="21.999999999999996"/>
    <n v="21.999999999999996"/>
    <n v="21.999999999999996"/>
    <n v="21.999999999999996"/>
    <n v="21.999999999999996"/>
    <n v="189.99999999999997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1"/>
    <x v="11"/>
    <x v="11"/>
    <s v="GRANOLA"/>
    <n v="0"/>
    <n v="0"/>
    <n v="0"/>
    <n v="20"/>
    <n v="20"/>
    <n v="20"/>
    <n v="20"/>
    <n v="22"/>
    <n v="22"/>
    <n v="22"/>
    <n v="22"/>
    <n v="22"/>
    <n v="19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1"/>
    <x v="11"/>
    <x v="11"/>
    <s v="KIDS"/>
    <n v="0"/>
    <n v="0"/>
    <n v="0"/>
    <n v="20"/>
    <n v="20"/>
    <n v="20"/>
    <n v="20"/>
    <n v="22"/>
    <n v="22"/>
    <n v="22"/>
    <n v="22"/>
    <n v="22"/>
    <n v="19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1"/>
    <x v="11"/>
    <x v="11"/>
    <s v="LANCHES"/>
    <n v="0"/>
    <n v="0"/>
    <n v="0"/>
    <n v="30"/>
    <n v="30"/>
    <n v="30"/>
    <n v="30"/>
    <n v="33"/>
    <n v="33"/>
    <n v="33"/>
    <n v="33"/>
    <n v="33"/>
    <n v="28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1"/>
    <x v="11"/>
    <x v="11"/>
    <s v="MAIS GRANEL"/>
    <n v="0"/>
    <n v="0"/>
    <n v="0"/>
    <n v="250"/>
    <n v="250"/>
    <n v="250"/>
    <n v="250"/>
    <n v="275"/>
    <n v="275"/>
    <n v="275"/>
    <n v="275"/>
    <n v="275"/>
    <n v="237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1"/>
    <x v="11"/>
    <x v="11"/>
    <s v="NATURATTA"/>
    <n v="0"/>
    <n v="0"/>
    <n v="0"/>
    <n v="50"/>
    <n v="50"/>
    <n v="50"/>
    <n v="50"/>
    <n v="55"/>
    <n v="55"/>
    <n v="55"/>
    <n v="55"/>
    <n v="55"/>
    <n v="47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1"/>
    <x v="11"/>
    <x v="11"/>
    <s v="REEMBALADOS"/>
    <n v="0"/>
    <n v="0"/>
    <n v="0"/>
    <n v="50"/>
    <n v="50"/>
    <n v="50"/>
    <n v="50"/>
    <n v="55"/>
    <n v="55"/>
    <n v="55"/>
    <n v="55"/>
    <n v="55"/>
    <n v="47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1"/>
    <x v="11"/>
    <x v="11"/>
    <s v="S GLUTEN"/>
    <n v="0"/>
    <n v="0"/>
    <n v="0"/>
    <n v="50"/>
    <n v="50"/>
    <n v="50"/>
    <n v="50"/>
    <n v="55"/>
    <n v="55"/>
    <n v="55"/>
    <n v="55"/>
    <n v="55"/>
    <n v="47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1"/>
    <x v="11"/>
    <x v="11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1"/>
    <x v="11"/>
    <x v="11"/>
    <s v="SAL"/>
    <n v="0"/>
    <n v="0"/>
    <n v="0"/>
    <n v="70"/>
    <n v="70"/>
    <n v="70"/>
    <n v="70"/>
    <n v="77.000000000000014"/>
    <n v="77.000000000000014"/>
    <n v="77.000000000000014"/>
    <n v="77.000000000000014"/>
    <n v="77.000000000000014"/>
    <n v="66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1"/>
    <x v="11"/>
    <x v="11"/>
    <s v="SOULPRO"/>
    <n v="0"/>
    <n v="0"/>
    <n v="0"/>
    <n v="49.999999999999993"/>
    <n v="49.999999999999993"/>
    <n v="49.999999999999993"/>
    <n v="49.999999999999993"/>
    <n v="54.999999999999993"/>
    <n v="54.999999999999993"/>
    <n v="54.999999999999993"/>
    <n v="54.999999999999993"/>
    <n v="54.999999999999993"/>
    <n v="474.99999999999994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1"/>
    <x v="11"/>
    <x v="11"/>
    <s v="TAMARA"/>
    <n v="0"/>
    <n v="0"/>
    <n v="0"/>
    <n v="80"/>
    <n v="80"/>
    <n v="80"/>
    <n v="80"/>
    <n v="88"/>
    <n v="88"/>
    <n v="88"/>
    <n v="88"/>
    <n v="88"/>
    <n v="76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1"/>
    <x v="11"/>
    <x v="11"/>
    <s v="VICCIO"/>
    <n v="0"/>
    <n v="0"/>
    <n v="0"/>
    <n v="30"/>
    <n v="30"/>
    <n v="30"/>
    <n v="30"/>
    <n v="33"/>
    <n v="33"/>
    <n v="33"/>
    <n v="33"/>
    <n v="33"/>
    <n v="285"/>
  </r>
  <r>
    <x v="0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n v="1"/>
    <x v="12"/>
    <x v="12"/>
    <x v="12"/>
    <s v="1. TOTAL - VENDA INTERNA PA"/>
    <n v="0"/>
    <n v="0"/>
    <n v="0"/>
    <n v="3000"/>
    <n v="3000"/>
    <n v="4000"/>
    <n v="5000"/>
    <n v="5500"/>
    <n v="6600"/>
    <n v="7700"/>
    <n v="8800"/>
    <n v="5500"/>
    <n v="4910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12"/>
    <x v="12"/>
    <x v="12"/>
    <s v="BISCOITO"/>
    <n v="0"/>
    <n v="0"/>
    <n v="0"/>
    <n v="150"/>
    <n v="150"/>
    <n v="200"/>
    <n v="250"/>
    <n v="275"/>
    <n v="330"/>
    <n v="385"/>
    <n v="440"/>
    <n v="275"/>
    <n v="2455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12"/>
    <x v="12"/>
    <x v="12"/>
    <s v="CHOCOLATES"/>
    <n v="0"/>
    <n v="0"/>
    <n v="0"/>
    <n v="150"/>
    <n v="150"/>
    <n v="200"/>
    <n v="250"/>
    <n v="275"/>
    <n v="330"/>
    <n v="385"/>
    <n v="440"/>
    <n v="275"/>
    <n v="2455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12"/>
    <x v="12"/>
    <x v="12"/>
    <s v="DISNEY"/>
    <n v="0"/>
    <n v="0"/>
    <n v="0"/>
    <n v="240"/>
    <n v="240"/>
    <n v="320"/>
    <n v="400"/>
    <n v="440"/>
    <n v="528"/>
    <n v="616"/>
    <n v="704"/>
    <n v="440"/>
    <n v="3928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12"/>
    <x v="12"/>
    <x v="12"/>
    <s v="DOCES"/>
    <n v="0"/>
    <n v="0"/>
    <n v="0"/>
    <n v="300"/>
    <n v="300"/>
    <n v="400"/>
    <n v="500"/>
    <n v="550"/>
    <n v="660"/>
    <n v="770"/>
    <n v="880"/>
    <n v="550"/>
    <n v="491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12"/>
    <x v="12"/>
    <x v="12"/>
    <s v="GELEIA"/>
    <n v="0"/>
    <n v="0"/>
    <n v="0"/>
    <n v="59.999999999999993"/>
    <n v="59.999999999999993"/>
    <n v="79.999999999999986"/>
    <n v="99.999999999999986"/>
    <n v="109.99999999999999"/>
    <n v="131.99999999999997"/>
    <n v="153.99999999999997"/>
    <n v="175.99999999999997"/>
    <n v="109.99999999999999"/>
    <n v="981.99999999999989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12"/>
    <x v="12"/>
    <x v="12"/>
    <s v="GRANOLA"/>
    <n v="0"/>
    <n v="0"/>
    <n v="0"/>
    <n v="60"/>
    <n v="60"/>
    <n v="80"/>
    <n v="100"/>
    <n v="110"/>
    <n v="132"/>
    <n v="154"/>
    <n v="176"/>
    <n v="110"/>
    <n v="982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12"/>
    <x v="12"/>
    <x v="12"/>
    <s v="KIDS"/>
    <n v="0"/>
    <n v="0"/>
    <n v="0"/>
    <n v="60"/>
    <n v="60"/>
    <n v="80"/>
    <n v="100"/>
    <n v="110"/>
    <n v="132"/>
    <n v="154"/>
    <n v="176"/>
    <n v="110"/>
    <n v="982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12"/>
    <x v="12"/>
    <x v="12"/>
    <s v="LANCHES"/>
    <n v="0"/>
    <n v="0"/>
    <n v="0"/>
    <n v="90"/>
    <n v="90"/>
    <n v="120"/>
    <n v="150"/>
    <n v="165"/>
    <n v="198"/>
    <n v="231"/>
    <n v="264"/>
    <n v="165"/>
    <n v="1473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12"/>
    <x v="12"/>
    <x v="12"/>
    <s v="MAIS GRANEL"/>
    <n v="0"/>
    <n v="0"/>
    <n v="0"/>
    <n v="750"/>
    <n v="750"/>
    <n v="1000"/>
    <n v="1250"/>
    <n v="1375"/>
    <n v="1650"/>
    <n v="1925"/>
    <n v="2200"/>
    <n v="1375"/>
    <n v="12275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12"/>
    <x v="12"/>
    <x v="12"/>
    <s v="NATURATTA"/>
    <n v="0"/>
    <n v="0"/>
    <n v="0"/>
    <n v="150"/>
    <n v="150"/>
    <n v="200"/>
    <n v="250"/>
    <n v="275"/>
    <n v="330"/>
    <n v="385"/>
    <n v="440"/>
    <n v="275"/>
    <n v="2455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12"/>
    <x v="12"/>
    <x v="12"/>
    <s v="REEMBALADOS"/>
    <n v="0"/>
    <n v="0"/>
    <n v="0"/>
    <n v="150"/>
    <n v="150"/>
    <n v="200"/>
    <n v="250"/>
    <n v="275"/>
    <n v="330"/>
    <n v="385"/>
    <n v="440"/>
    <n v="275"/>
    <n v="2455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12"/>
    <x v="12"/>
    <x v="12"/>
    <s v="S GLUTEN"/>
    <n v="0"/>
    <n v="0"/>
    <n v="0"/>
    <n v="150"/>
    <n v="150"/>
    <n v="200"/>
    <n v="250"/>
    <n v="275"/>
    <n v="330"/>
    <n v="385"/>
    <n v="440"/>
    <n v="275"/>
    <n v="2455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12"/>
    <x v="12"/>
    <x v="12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12"/>
    <x v="12"/>
    <x v="12"/>
    <s v="SAL"/>
    <n v="0"/>
    <n v="0"/>
    <n v="0"/>
    <n v="210.00000000000003"/>
    <n v="210.00000000000003"/>
    <n v="280"/>
    <n v="350.00000000000006"/>
    <n v="385.00000000000006"/>
    <n v="462.00000000000006"/>
    <n v="539"/>
    <n v="616.00000000000011"/>
    <n v="385.00000000000006"/>
    <n v="3437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12"/>
    <x v="12"/>
    <x v="12"/>
    <s v="SOULPRO"/>
    <n v="0"/>
    <n v="0"/>
    <n v="0"/>
    <n v="150"/>
    <n v="150"/>
    <n v="199.99999999999997"/>
    <n v="249.99999999999997"/>
    <n v="275"/>
    <n v="330"/>
    <n v="384.99999999999994"/>
    <n v="439.99999999999994"/>
    <n v="275"/>
    <n v="2455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12"/>
    <x v="12"/>
    <x v="12"/>
    <s v="TAMARA"/>
    <n v="0"/>
    <n v="0"/>
    <n v="0"/>
    <n v="240"/>
    <n v="240"/>
    <n v="320"/>
    <n v="400"/>
    <n v="440"/>
    <n v="528"/>
    <n v="616"/>
    <n v="704"/>
    <n v="440"/>
    <n v="3928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12"/>
    <x v="12"/>
    <x v="12"/>
    <s v="VICCIO"/>
    <n v="0"/>
    <n v="0"/>
    <n v="0"/>
    <n v="90"/>
    <n v="90"/>
    <n v="120"/>
    <n v="150"/>
    <n v="165"/>
    <n v="198"/>
    <n v="231"/>
    <n v="264"/>
    <n v="165"/>
    <n v="1473"/>
  </r>
  <r>
    <x v="0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n v="1"/>
    <x v="13"/>
    <x v="13"/>
    <x v="13"/>
    <s v="1. TOTAL - VENDA INTERNA AM"/>
    <n v="0"/>
    <n v="0"/>
    <n v="0"/>
    <n v="1000"/>
    <n v="1000"/>
    <n v="1000"/>
    <n v="1000"/>
    <n v="1100"/>
    <n v="2200"/>
    <n v="2200"/>
    <n v="2200"/>
    <n v="1100"/>
    <n v="1280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3"/>
    <x v="13"/>
    <x v="13"/>
    <s v="BISCOITO"/>
    <n v="0"/>
    <n v="0"/>
    <n v="0"/>
    <n v="50"/>
    <n v="50"/>
    <n v="50"/>
    <n v="50"/>
    <n v="55"/>
    <n v="110"/>
    <n v="110"/>
    <n v="110"/>
    <n v="55"/>
    <n v="64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3"/>
    <x v="13"/>
    <x v="13"/>
    <s v="CHOCOLATES"/>
    <n v="0"/>
    <n v="0"/>
    <n v="0"/>
    <n v="50"/>
    <n v="50"/>
    <n v="50"/>
    <n v="50"/>
    <n v="55"/>
    <n v="110"/>
    <n v="110"/>
    <n v="110"/>
    <n v="55"/>
    <n v="64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3"/>
    <x v="13"/>
    <x v="13"/>
    <s v="DISNEY"/>
    <n v="0"/>
    <n v="0"/>
    <n v="0"/>
    <n v="80"/>
    <n v="80"/>
    <n v="80"/>
    <n v="80"/>
    <n v="88"/>
    <n v="176"/>
    <n v="176"/>
    <n v="176"/>
    <n v="88"/>
    <n v="1024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3"/>
    <x v="13"/>
    <x v="13"/>
    <s v="DOCES"/>
    <n v="0"/>
    <n v="0"/>
    <n v="0"/>
    <n v="100"/>
    <n v="100"/>
    <n v="100"/>
    <n v="100"/>
    <n v="110"/>
    <n v="220"/>
    <n v="220"/>
    <n v="220"/>
    <n v="110"/>
    <n v="128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3"/>
    <x v="13"/>
    <x v="13"/>
    <s v="GELEIA"/>
    <n v="0"/>
    <n v="0"/>
    <n v="0"/>
    <n v="19.999999999999996"/>
    <n v="19.999999999999996"/>
    <n v="19.999999999999996"/>
    <n v="19.999999999999996"/>
    <n v="21.999999999999996"/>
    <n v="43.999999999999993"/>
    <n v="43.999999999999993"/>
    <n v="43.999999999999993"/>
    <n v="21.999999999999996"/>
    <n v="255.99999999999997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3"/>
    <x v="13"/>
    <x v="13"/>
    <s v="GRANOLA"/>
    <n v="0"/>
    <n v="0"/>
    <n v="0"/>
    <n v="20"/>
    <n v="20"/>
    <n v="20"/>
    <n v="20"/>
    <n v="22"/>
    <n v="44"/>
    <n v="44"/>
    <n v="44"/>
    <n v="22"/>
    <n v="256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3"/>
    <x v="13"/>
    <x v="13"/>
    <s v="KIDS"/>
    <n v="0"/>
    <n v="0"/>
    <n v="0"/>
    <n v="20"/>
    <n v="20"/>
    <n v="20"/>
    <n v="20"/>
    <n v="22"/>
    <n v="44"/>
    <n v="44"/>
    <n v="44"/>
    <n v="22"/>
    <n v="256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3"/>
    <x v="13"/>
    <x v="13"/>
    <s v="LANCHES"/>
    <n v="0"/>
    <n v="0"/>
    <n v="0"/>
    <n v="30"/>
    <n v="30"/>
    <n v="30"/>
    <n v="30"/>
    <n v="33"/>
    <n v="66"/>
    <n v="66"/>
    <n v="66"/>
    <n v="33"/>
    <n v="384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3"/>
    <x v="13"/>
    <x v="13"/>
    <s v="MAIS GRANEL"/>
    <n v="0"/>
    <n v="0"/>
    <n v="0"/>
    <n v="250"/>
    <n v="250"/>
    <n v="250"/>
    <n v="250"/>
    <n v="275"/>
    <n v="550"/>
    <n v="550"/>
    <n v="550"/>
    <n v="275"/>
    <n v="320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3"/>
    <x v="13"/>
    <x v="13"/>
    <s v="NATURATTA"/>
    <n v="0"/>
    <n v="0"/>
    <n v="0"/>
    <n v="50"/>
    <n v="50"/>
    <n v="50"/>
    <n v="50"/>
    <n v="55"/>
    <n v="110"/>
    <n v="110"/>
    <n v="110"/>
    <n v="55"/>
    <n v="64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3"/>
    <x v="13"/>
    <x v="13"/>
    <s v="REEMBALADOS"/>
    <n v="0"/>
    <n v="0"/>
    <n v="0"/>
    <n v="50"/>
    <n v="50"/>
    <n v="50"/>
    <n v="50"/>
    <n v="55"/>
    <n v="110"/>
    <n v="110"/>
    <n v="110"/>
    <n v="55"/>
    <n v="64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3"/>
    <x v="13"/>
    <x v="13"/>
    <s v="S GLUTEN"/>
    <n v="0"/>
    <n v="0"/>
    <n v="0"/>
    <n v="50"/>
    <n v="50"/>
    <n v="50"/>
    <n v="50"/>
    <n v="55"/>
    <n v="110"/>
    <n v="110"/>
    <n v="110"/>
    <n v="55"/>
    <n v="64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3"/>
    <x v="13"/>
    <x v="13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3"/>
    <x v="13"/>
    <x v="13"/>
    <s v="SAL"/>
    <n v="0"/>
    <n v="0"/>
    <n v="0"/>
    <n v="70"/>
    <n v="70"/>
    <n v="70"/>
    <n v="70"/>
    <n v="77.000000000000014"/>
    <n v="154.00000000000003"/>
    <n v="154.00000000000003"/>
    <n v="154.00000000000003"/>
    <n v="77.000000000000014"/>
    <n v="896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3"/>
    <x v="13"/>
    <x v="13"/>
    <s v="SOULPRO"/>
    <n v="0"/>
    <n v="0"/>
    <n v="0"/>
    <n v="49.999999999999993"/>
    <n v="49.999999999999993"/>
    <n v="49.999999999999993"/>
    <n v="49.999999999999993"/>
    <n v="54.999999999999993"/>
    <n v="109.99999999999999"/>
    <n v="109.99999999999999"/>
    <n v="109.99999999999999"/>
    <n v="54.999999999999993"/>
    <n v="639.99999999999989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3"/>
    <x v="13"/>
    <x v="13"/>
    <s v="TAMARA"/>
    <n v="0"/>
    <n v="0"/>
    <n v="0"/>
    <n v="80"/>
    <n v="80"/>
    <n v="80"/>
    <n v="80"/>
    <n v="88"/>
    <n v="176"/>
    <n v="176"/>
    <n v="176"/>
    <n v="88"/>
    <n v="1024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3"/>
    <x v="13"/>
    <x v="13"/>
    <s v="VICCIO"/>
    <n v="0"/>
    <n v="0"/>
    <n v="0"/>
    <n v="30"/>
    <n v="30"/>
    <n v="30"/>
    <n v="30"/>
    <n v="33"/>
    <n v="66"/>
    <n v="66"/>
    <n v="66"/>
    <n v="33"/>
    <n v="384"/>
  </r>
  <r>
    <x v="0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n v="1"/>
    <x v="14"/>
    <x v="14"/>
    <x v="14"/>
    <s v="1. TOTAL - VENDA INTERNA DF"/>
    <n v="0"/>
    <n v="0"/>
    <n v="0"/>
    <n v="1000"/>
    <n v="1000"/>
    <n v="2000"/>
    <n v="2000"/>
    <n v="2200"/>
    <n v="3300"/>
    <n v="3300"/>
    <n v="3300"/>
    <n v="2200"/>
    <n v="2030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4"/>
    <x v="14"/>
    <x v="14"/>
    <s v="BISCOITO"/>
    <n v="0"/>
    <n v="0"/>
    <n v="0"/>
    <n v="50"/>
    <n v="50"/>
    <n v="100"/>
    <n v="100"/>
    <n v="110"/>
    <n v="165"/>
    <n v="165"/>
    <n v="165"/>
    <n v="110"/>
    <n v="101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4"/>
    <x v="14"/>
    <x v="14"/>
    <s v="CHOCOLATES"/>
    <n v="0"/>
    <n v="0"/>
    <n v="0"/>
    <n v="50"/>
    <n v="50"/>
    <n v="100"/>
    <n v="100"/>
    <n v="110"/>
    <n v="165"/>
    <n v="165"/>
    <n v="165"/>
    <n v="110"/>
    <n v="101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4"/>
    <x v="14"/>
    <x v="14"/>
    <s v="DISNEY"/>
    <n v="0"/>
    <n v="0"/>
    <n v="0"/>
    <n v="80"/>
    <n v="80"/>
    <n v="160"/>
    <n v="160"/>
    <n v="176"/>
    <n v="264"/>
    <n v="264"/>
    <n v="264"/>
    <n v="176"/>
    <n v="1624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4"/>
    <x v="14"/>
    <x v="14"/>
    <s v="DOCES"/>
    <n v="0"/>
    <n v="0"/>
    <n v="0"/>
    <n v="100"/>
    <n v="100"/>
    <n v="200"/>
    <n v="200"/>
    <n v="220"/>
    <n v="330"/>
    <n v="330"/>
    <n v="330"/>
    <n v="220"/>
    <n v="203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4"/>
    <x v="14"/>
    <x v="14"/>
    <s v="GELEIA"/>
    <n v="0"/>
    <n v="0"/>
    <n v="0"/>
    <n v="19.999999999999996"/>
    <n v="19.999999999999996"/>
    <n v="39.999999999999993"/>
    <n v="39.999999999999993"/>
    <n v="43.999999999999993"/>
    <n v="65.999999999999986"/>
    <n v="65.999999999999986"/>
    <n v="65.999999999999986"/>
    <n v="43.999999999999993"/>
    <n v="405.99999999999994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4"/>
    <x v="14"/>
    <x v="14"/>
    <s v="GRANOLA"/>
    <n v="0"/>
    <n v="0"/>
    <n v="0"/>
    <n v="20"/>
    <n v="20"/>
    <n v="40"/>
    <n v="40"/>
    <n v="44"/>
    <n v="66"/>
    <n v="66"/>
    <n v="66"/>
    <n v="44"/>
    <n v="406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4"/>
    <x v="14"/>
    <x v="14"/>
    <s v="KIDS"/>
    <n v="0"/>
    <n v="0"/>
    <n v="0"/>
    <n v="20"/>
    <n v="20"/>
    <n v="40"/>
    <n v="40"/>
    <n v="44"/>
    <n v="66"/>
    <n v="66"/>
    <n v="66"/>
    <n v="44"/>
    <n v="406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4"/>
    <x v="14"/>
    <x v="14"/>
    <s v="LANCHES"/>
    <n v="0"/>
    <n v="0"/>
    <n v="0"/>
    <n v="30"/>
    <n v="30"/>
    <n v="60"/>
    <n v="60"/>
    <n v="66"/>
    <n v="99"/>
    <n v="99"/>
    <n v="99"/>
    <n v="66"/>
    <n v="609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4"/>
    <x v="14"/>
    <x v="14"/>
    <s v="MAIS GRANEL"/>
    <n v="0"/>
    <n v="0"/>
    <n v="0"/>
    <n v="250"/>
    <n v="250"/>
    <n v="500"/>
    <n v="500"/>
    <n v="550"/>
    <n v="825"/>
    <n v="825"/>
    <n v="825"/>
    <n v="550"/>
    <n v="507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4"/>
    <x v="14"/>
    <x v="14"/>
    <s v="NATURATTA"/>
    <n v="0"/>
    <n v="0"/>
    <n v="0"/>
    <n v="50"/>
    <n v="50"/>
    <n v="100"/>
    <n v="100"/>
    <n v="110"/>
    <n v="165"/>
    <n v="165"/>
    <n v="165"/>
    <n v="110"/>
    <n v="101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4"/>
    <x v="14"/>
    <x v="14"/>
    <s v="REEMBALADOS"/>
    <n v="0"/>
    <n v="0"/>
    <n v="0"/>
    <n v="50"/>
    <n v="50"/>
    <n v="100"/>
    <n v="100"/>
    <n v="110"/>
    <n v="165"/>
    <n v="165"/>
    <n v="165"/>
    <n v="110"/>
    <n v="101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4"/>
    <x v="14"/>
    <x v="14"/>
    <s v="S GLUTEN"/>
    <n v="0"/>
    <n v="0"/>
    <n v="0"/>
    <n v="50"/>
    <n v="50"/>
    <n v="100"/>
    <n v="100"/>
    <n v="110"/>
    <n v="165"/>
    <n v="165"/>
    <n v="165"/>
    <n v="110"/>
    <n v="101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4"/>
    <x v="14"/>
    <x v="14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4"/>
    <x v="14"/>
    <x v="14"/>
    <s v="SAL"/>
    <n v="0"/>
    <n v="0"/>
    <n v="0"/>
    <n v="70"/>
    <n v="70"/>
    <n v="140"/>
    <n v="140"/>
    <n v="154.00000000000003"/>
    <n v="231.00000000000003"/>
    <n v="231.00000000000003"/>
    <n v="231.00000000000003"/>
    <n v="154.00000000000003"/>
    <n v="1421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4"/>
    <x v="14"/>
    <x v="14"/>
    <s v="SOULPRO"/>
    <n v="0"/>
    <n v="0"/>
    <n v="0"/>
    <n v="49.999999999999993"/>
    <n v="49.999999999999993"/>
    <n v="99.999999999999986"/>
    <n v="99.999999999999986"/>
    <n v="109.99999999999999"/>
    <n v="165"/>
    <n v="165"/>
    <n v="165"/>
    <n v="109.99999999999999"/>
    <n v="101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4"/>
    <x v="14"/>
    <x v="14"/>
    <s v="TAMARA"/>
    <n v="0"/>
    <n v="0"/>
    <n v="0"/>
    <n v="80"/>
    <n v="80"/>
    <n v="160"/>
    <n v="160"/>
    <n v="176"/>
    <n v="264"/>
    <n v="264"/>
    <n v="264"/>
    <n v="176"/>
    <n v="1624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4"/>
    <x v="14"/>
    <x v="14"/>
    <s v="VICCIO"/>
    <n v="0"/>
    <n v="0"/>
    <n v="0"/>
    <n v="30"/>
    <n v="30"/>
    <n v="60"/>
    <n v="60"/>
    <n v="66"/>
    <n v="99"/>
    <n v="99"/>
    <n v="99"/>
    <n v="66"/>
    <n v="609"/>
  </r>
  <r>
    <x v="0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n v="1"/>
    <x v="15"/>
    <x v="15"/>
    <x v="15"/>
    <s v="1. TOTAL - VENDA INTERNA MS"/>
    <n v="0"/>
    <n v="0"/>
    <n v="0"/>
    <n v="3000"/>
    <n v="3000"/>
    <n v="4000"/>
    <n v="5000"/>
    <n v="5500"/>
    <n v="6600"/>
    <n v="7700"/>
    <n v="8800"/>
    <n v="5500"/>
    <n v="4910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5"/>
    <x v="15"/>
    <x v="15"/>
    <s v="BISCOITO"/>
    <n v="0"/>
    <n v="0"/>
    <n v="0"/>
    <n v="150"/>
    <n v="150"/>
    <n v="200"/>
    <n v="250"/>
    <n v="275"/>
    <n v="330"/>
    <n v="385"/>
    <n v="440"/>
    <n v="275"/>
    <n v="245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5"/>
    <x v="15"/>
    <x v="15"/>
    <s v="CHOCOLATES"/>
    <n v="0"/>
    <n v="0"/>
    <n v="0"/>
    <n v="150"/>
    <n v="150"/>
    <n v="200"/>
    <n v="250"/>
    <n v="275"/>
    <n v="330"/>
    <n v="385"/>
    <n v="440"/>
    <n v="275"/>
    <n v="245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5"/>
    <x v="15"/>
    <x v="15"/>
    <s v="DISNEY"/>
    <n v="0"/>
    <n v="0"/>
    <n v="0"/>
    <n v="240"/>
    <n v="240"/>
    <n v="320"/>
    <n v="400"/>
    <n v="440"/>
    <n v="528"/>
    <n v="616"/>
    <n v="704"/>
    <n v="440"/>
    <n v="3928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5"/>
    <x v="15"/>
    <x v="15"/>
    <s v="DOCES"/>
    <n v="0"/>
    <n v="0"/>
    <n v="0"/>
    <n v="300"/>
    <n v="300"/>
    <n v="400"/>
    <n v="500"/>
    <n v="550"/>
    <n v="660"/>
    <n v="770"/>
    <n v="880"/>
    <n v="550"/>
    <n v="491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5"/>
    <x v="15"/>
    <x v="15"/>
    <s v="GELEIA"/>
    <n v="0"/>
    <n v="0"/>
    <n v="0"/>
    <n v="59.999999999999993"/>
    <n v="59.999999999999993"/>
    <n v="79.999999999999986"/>
    <n v="99.999999999999986"/>
    <n v="109.99999999999999"/>
    <n v="131.99999999999997"/>
    <n v="153.99999999999997"/>
    <n v="175.99999999999997"/>
    <n v="109.99999999999999"/>
    <n v="981.99999999999989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5"/>
    <x v="15"/>
    <x v="15"/>
    <s v="GRANOLA"/>
    <n v="0"/>
    <n v="0"/>
    <n v="0"/>
    <n v="60"/>
    <n v="60"/>
    <n v="80"/>
    <n v="100"/>
    <n v="110"/>
    <n v="132"/>
    <n v="154"/>
    <n v="176"/>
    <n v="110"/>
    <n v="982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5"/>
    <x v="15"/>
    <x v="15"/>
    <s v="KIDS"/>
    <n v="0"/>
    <n v="0"/>
    <n v="0"/>
    <n v="60"/>
    <n v="60"/>
    <n v="80"/>
    <n v="100"/>
    <n v="110"/>
    <n v="132"/>
    <n v="154"/>
    <n v="176"/>
    <n v="110"/>
    <n v="982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5"/>
    <x v="15"/>
    <x v="15"/>
    <s v="LANCHES"/>
    <n v="0"/>
    <n v="0"/>
    <n v="0"/>
    <n v="90"/>
    <n v="90"/>
    <n v="120"/>
    <n v="150"/>
    <n v="165"/>
    <n v="198"/>
    <n v="231"/>
    <n v="264"/>
    <n v="165"/>
    <n v="1473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5"/>
    <x v="15"/>
    <x v="15"/>
    <s v="MAIS GRANEL"/>
    <n v="0"/>
    <n v="0"/>
    <n v="0"/>
    <n v="750"/>
    <n v="750"/>
    <n v="1000"/>
    <n v="1250"/>
    <n v="1375"/>
    <n v="1650"/>
    <n v="1925"/>
    <n v="2200"/>
    <n v="1375"/>
    <n v="1227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5"/>
    <x v="15"/>
    <x v="15"/>
    <s v="NATURATTA"/>
    <n v="0"/>
    <n v="0"/>
    <n v="0"/>
    <n v="150"/>
    <n v="150"/>
    <n v="200"/>
    <n v="250"/>
    <n v="275"/>
    <n v="330"/>
    <n v="385"/>
    <n v="440"/>
    <n v="275"/>
    <n v="245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5"/>
    <x v="15"/>
    <x v="15"/>
    <s v="REEMBALADOS"/>
    <n v="0"/>
    <n v="0"/>
    <n v="0"/>
    <n v="150"/>
    <n v="150"/>
    <n v="200"/>
    <n v="250"/>
    <n v="275"/>
    <n v="330"/>
    <n v="385"/>
    <n v="440"/>
    <n v="275"/>
    <n v="245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5"/>
    <x v="15"/>
    <x v="15"/>
    <s v="S GLUTEN"/>
    <n v="0"/>
    <n v="0"/>
    <n v="0"/>
    <n v="150"/>
    <n v="150"/>
    <n v="200"/>
    <n v="250"/>
    <n v="275"/>
    <n v="330"/>
    <n v="385"/>
    <n v="440"/>
    <n v="275"/>
    <n v="245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5"/>
    <x v="15"/>
    <x v="15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5"/>
    <x v="15"/>
    <x v="15"/>
    <s v="SAL"/>
    <n v="0"/>
    <n v="0"/>
    <n v="0"/>
    <n v="210.00000000000003"/>
    <n v="210.00000000000003"/>
    <n v="280"/>
    <n v="350.00000000000006"/>
    <n v="385.00000000000006"/>
    <n v="462.00000000000006"/>
    <n v="539"/>
    <n v="616.00000000000011"/>
    <n v="385.00000000000006"/>
    <n v="3437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5"/>
    <x v="15"/>
    <x v="15"/>
    <s v="SOULPRO"/>
    <n v="0"/>
    <n v="0"/>
    <n v="0"/>
    <n v="150"/>
    <n v="150"/>
    <n v="199.99999999999997"/>
    <n v="249.99999999999997"/>
    <n v="275"/>
    <n v="330"/>
    <n v="384.99999999999994"/>
    <n v="439.99999999999994"/>
    <n v="275"/>
    <n v="245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5"/>
    <x v="15"/>
    <x v="15"/>
    <s v="TAMARA"/>
    <n v="0"/>
    <n v="0"/>
    <n v="0"/>
    <n v="240"/>
    <n v="240"/>
    <n v="320"/>
    <n v="400"/>
    <n v="440"/>
    <n v="528"/>
    <n v="616"/>
    <n v="704"/>
    <n v="440"/>
    <n v="3928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5"/>
    <x v="15"/>
    <x v="15"/>
    <s v="VICCIO"/>
    <n v="0"/>
    <n v="0"/>
    <n v="0"/>
    <n v="90"/>
    <n v="90"/>
    <n v="120"/>
    <n v="150"/>
    <n v="165"/>
    <n v="198"/>
    <n v="231"/>
    <n v="264"/>
    <n v="165"/>
    <n v="1473"/>
  </r>
  <r>
    <x v="0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n v="1"/>
    <x v="16"/>
    <x v="16"/>
    <x v="16"/>
    <s v="1. TOTAL - VENDA INTERNA MT"/>
    <n v="0"/>
    <n v="0"/>
    <n v="0"/>
    <n v="3000"/>
    <n v="3000"/>
    <n v="4000"/>
    <n v="5000"/>
    <n v="5500"/>
    <n v="6600"/>
    <n v="7700"/>
    <n v="8800"/>
    <n v="5500"/>
    <n v="4910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6"/>
    <x v="16"/>
    <x v="16"/>
    <s v="BISCOITO"/>
    <n v="0"/>
    <n v="0"/>
    <n v="0"/>
    <n v="150"/>
    <n v="150"/>
    <n v="200"/>
    <n v="250"/>
    <n v="275"/>
    <n v="330"/>
    <n v="385"/>
    <n v="440"/>
    <n v="275"/>
    <n v="245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6"/>
    <x v="16"/>
    <x v="16"/>
    <s v="CHOCOLATES"/>
    <n v="0"/>
    <n v="0"/>
    <n v="0"/>
    <n v="150"/>
    <n v="150"/>
    <n v="200"/>
    <n v="250"/>
    <n v="275"/>
    <n v="330"/>
    <n v="385"/>
    <n v="440"/>
    <n v="275"/>
    <n v="245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6"/>
    <x v="16"/>
    <x v="16"/>
    <s v="DISNEY"/>
    <n v="0"/>
    <n v="0"/>
    <n v="0"/>
    <n v="240"/>
    <n v="240"/>
    <n v="320"/>
    <n v="400"/>
    <n v="440"/>
    <n v="528"/>
    <n v="616"/>
    <n v="704"/>
    <n v="440"/>
    <n v="3928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6"/>
    <x v="16"/>
    <x v="16"/>
    <s v="DOCES"/>
    <n v="0"/>
    <n v="0"/>
    <n v="0"/>
    <n v="300"/>
    <n v="300"/>
    <n v="400"/>
    <n v="500"/>
    <n v="550"/>
    <n v="660"/>
    <n v="770"/>
    <n v="880"/>
    <n v="550"/>
    <n v="491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6"/>
    <x v="16"/>
    <x v="16"/>
    <s v="GELEIA"/>
    <n v="0"/>
    <n v="0"/>
    <n v="0"/>
    <n v="59.999999999999993"/>
    <n v="59.999999999999993"/>
    <n v="79.999999999999986"/>
    <n v="99.999999999999986"/>
    <n v="109.99999999999999"/>
    <n v="131.99999999999997"/>
    <n v="153.99999999999997"/>
    <n v="175.99999999999997"/>
    <n v="109.99999999999999"/>
    <n v="981.99999999999989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6"/>
    <x v="16"/>
    <x v="16"/>
    <s v="GRANOLA"/>
    <n v="0"/>
    <n v="0"/>
    <n v="0"/>
    <n v="60"/>
    <n v="60"/>
    <n v="80"/>
    <n v="100"/>
    <n v="110"/>
    <n v="132"/>
    <n v="154"/>
    <n v="176"/>
    <n v="110"/>
    <n v="982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6"/>
    <x v="16"/>
    <x v="16"/>
    <s v="KIDS"/>
    <n v="0"/>
    <n v="0"/>
    <n v="0"/>
    <n v="60"/>
    <n v="60"/>
    <n v="80"/>
    <n v="100"/>
    <n v="110"/>
    <n v="132"/>
    <n v="154"/>
    <n v="176"/>
    <n v="110"/>
    <n v="982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6"/>
    <x v="16"/>
    <x v="16"/>
    <s v="LANCHES"/>
    <n v="0"/>
    <n v="0"/>
    <n v="0"/>
    <n v="90"/>
    <n v="90"/>
    <n v="120"/>
    <n v="150"/>
    <n v="165"/>
    <n v="198"/>
    <n v="231"/>
    <n v="264"/>
    <n v="165"/>
    <n v="1473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6"/>
    <x v="16"/>
    <x v="16"/>
    <s v="MAIS GRANEL"/>
    <n v="0"/>
    <n v="0"/>
    <n v="0"/>
    <n v="750"/>
    <n v="750"/>
    <n v="1000"/>
    <n v="1250"/>
    <n v="1375"/>
    <n v="1650"/>
    <n v="1925"/>
    <n v="2200"/>
    <n v="1375"/>
    <n v="1227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6"/>
    <x v="16"/>
    <x v="16"/>
    <s v="NATURATTA"/>
    <n v="0"/>
    <n v="0"/>
    <n v="0"/>
    <n v="150"/>
    <n v="150"/>
    <n v="200"/>
    <n v="250"/>
    <n v="275"/>
    <n v="330"/>
    <n v="385"/>
    <n v="440"/>
    <n v="275"/>
    <n v="245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6"/>
    <x v="16"/>
    <x v="16"/>
    <s v="REEMBALADOS"/>
    <n v="0"/>
    <n v="0"/>
    <n v="0"/>
    <n v="150"/>
    <n v="150"/>
    <n v="200"/>
    <n v="250"/>
    <n v="275"/>
    <n v="330"/>
    <n v="385"/>
    <n v="440"/>
    <n v="275"/>
    <n v="245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6"/>
    <x v="16"/>
    <x v="16"/>
    <s v="S GLUTEN"/>
    <n v="0"/>
    <n v="0"/>
    <n v="0"/>
    <n v="150"/>
    <n v="150"/>
    <n v="200"/>
    <n v="250"/>
    <n v="275"/>
    <n v="330"/>
    <n v="385"/>
    <n v="440"/>
    <n v="275"/>
    <n v="245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6"/>
    <x v="16"/>
    <x v="16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6"/>
    <x v="16"/>
    <x v="16"/>
    <s v="SAL"/>
    <n v="0"/>
    <n v="0"/>
    <n v="0"/>
    <n v="210.00000000000003"/>
    <n v="210.00000000000003"/>
    <n v="280"/>
    <n v="350.00000000000006"/>
    <n v="385.00000000000006"/>
    <n v="462.00000000000006"/>
    <n v="539"/>
    <n v="616.00000000000011"/>
    <n v="385.00000000000006"/>
    <n v="3437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6"/>
    <x v="16"/>
    <x v="16"/>
    <s v="SOULPRO"/>
    <n v="0"/>
    <n v="0"/>
    <n v="0"/>
    <n v="150"/>
    <n v="150"/>
    <n v="199.99999999999997"/>
    <n v="249.99999999999997"/>
    <n v="275"/>
    <n v="330"/>
    <n v="384.99999999999994"/>
    <n v="439.99999999999994"/>
    <n v="275"/>
    <n v="245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6"/>
    <x v="16"/>
    <x v="16"/>
    <s v="TAMARA"/>
    <n v="0"/>
    <n v="0"/>
    <n v="0"/>
    <n v="240"/>
    <n v="240"/>
    <n v="320"/>
    <n v="400"/>
    <n v="440"/>
    <n v="528"/>
    <n v="616"/>
    <n v="704"/>
    <n v="440"/>
    <n v="3928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6"/>
    <x v="16"/>
    <x v="16"/>
    <s v="VICCIO"/>
    <n v="0"/>
    <n v="0"/>
    <n v="0"/>
    <n v="90"/>
    <n v="90"/>
    <n v="120"/>
    <n v="150"/>
    <n v="165"/>
    <n v="198"/>
    <n v="231"/>
    <n v="264"/>
    <n v="165"/>
    <n v="1473"/>
  </r>
  <r>
    <x v="0"/>
    <s v="1000065763"/>
    <s v="CANAL VENDA INTERNA"/>
    <s v="1000065763"/>
    <s v="CANAL VENDA INTERNA"/>
    <s v="1000105900"/>
    <s v="REGIONAL VENDA DIRETA CO + NE + NO"/>
    <s v="1000105900"/>
    <s v="REGIONAL VENDA DIRETA CO + NE + NO"/>
    <s v="1000176426"/>
    <s v="HEMANUELE ROSA DITZEL"/>
    <n v="1"/>
    <x v="17"/>
    <x v="17"/>
    <x v="17"/>
    <s v="1. TOTAL - VENDA INTERNA GO"/>
    <n v="0"/>
    <n v="0"/>
    <n v="0"/>
    <n v="5000"/>
    <n v="6000"/>
    <n v="7000"/>
    <n v="8000"/>
    <n v="9900"/>
    <n v="13200"/>
    <n v="14300"/>
    <n v="15400"/>
    <n v="11000"/>
    <n v="8980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76426"/>
    <s v="HEMANUELE ROSA DITZEL"/>
    <s v=""/>
    <x v="17"/>
    <x v="17"/>
    <x v="17"/>
    <s v="BISCOITO"/>
    <n v="0"/>
    <n v="0"/>
    <n v="0"/>
    <n v="250"/>
    <n v="300"/>
    <n v="350"/>
    <n v="400"/>
    <n v="495"/>
    <n v="660"/>
    <n v="715"/>
    <n v="770"/>
    <n v="550"/>
    <n v="449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76426"/>
    <s v="HEMANUELE ROSA DITZEL"/>
    <s v=""/>
    <x v="17"/>
    <x v="17"/>
    <x v="17"/>
    <s v="CHOCOLATES"/>
    <n v="0"/>
    <n v="0"/>
    <n v="0"/>
    <n v="250"/>
    <n v="300"/>
    <n v="350"/>
    <n v="400"/>
    <n v="495"/>
    <n v="660"/>
    <n v="715"/>
    <n v="770"/>
    <n v="550"/>
    <n v="449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76426"/>
    <s v="HEMANUELE ROSA DITZEL"/>
    <s v=""/>
    <x v="17"/>
    <x v="17"/>
    <x v="17"/>
    <s v="DISNEY"/>
    <n v="0"/>
    <n v="0"/>
    <n v="0"/>
    <n v="400"/>
    <n v="480"/>
    <n v="560"/>
    <n v="640"/>
    <n v="792"/>
    <n v="1056"/>
    <n v="1144"/>
    <n v="1232"/>
    <n v="880"/>
    <n v="7184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76426"/>
    <s v="HEMANUELE ROSA DITZEL"/>
    <s v=""/>
    <x v="17"/>
    <x v="17"/>
    <x v="17"/>
    <s v="DOCES"/>
    <n v="0"/>
    <n v="0"/>
    <n v="0"/>
    <n v="500"/>
    <n v="600"/>
    <n v="700"/>
    <n v="800"/>
    <n v="990"/>
    <n v="1320"/>
    <n v="1430"/>
    <n v="1540"/>
    <n v="1100"/>
    <n v="898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76426"/>
    <s v="HEMANUELE ROSA DITZEL"/>
    <s v=""/>
    <x v="17"/>
    <x v="17"/>
    <x v="17"/>
    <s v="GELEIA"/>
    <n v="0"/>
    <n v="0"/>
    <n v="0"/>
    <n v="99.999999999999986"/>
    <n v="119.99999999999999"/>
    <n v="139.99999999999997"/>
    <n v="159.99999999999997"/>
    <n v="197.99999999999997"/>
    <n v="263.99999999999994"/>
    <n v="285.99999999999994"/>
    <n v="307.99999999999994"/>
    <n v="219.99999999999997"/>
    <n v="1795.9999999999998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76426"/>
    <s v="HEMANUELE ROSA DITZEL"/>
    <s v=""/>
    <x v="17"/>
    <x v="17"/>
    <x v="17"/>
    <s v="GRANOLA"/>
    <n v="0"/>
    <n v="0"/>
    <n v="0"/>
    <n v="100"/>
    <n v="120"/>
    <n v="140"/>
    <n v="160"/>
    <n v="198"/>
    <n v="264"/>
    <n v="286"/>
    <n v="308"/>
    <n v="220"/>
    <n v="1796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76426"/>
    <s v="HEMANUELE ROSA DITZEL"/>
    <s v=""/>
    <x v="17"/>
    <x v="17"/>
    <x v="17"/>
    <s v="KIDS"/>
    <n v="0"/>
    <n v="0"/>
    <n v="0"/>
    <n v="100"/>
    <n v="120"/>
    <n v="140"/>
    <n v="160"/>
    <n v="198"/>
    <n v="264"/>
    <n v="286"/>
    <n v="308"/>
    <n v="220"/>
    <n v="1796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76426"/>
    <s v="HEMANUELE ROSA DITZEL"/>
    <s v=""/>
    <x v="17"/>
    <x v="17"/>
    <x v="17"/>
    <s v="LANCHES"/>
    <n v="0"/>
    <n v="0"/>
    <n v="0"/>
    <n v="150"/>
    <n v="180"/>
    <n v="210"/>
    <n v="240"/>
    <n v="297"/>
    <n v="396"/>
    <n v="429"/>
    <n v="462"/>
    <n v="330"/>
    <n v="2694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76426"/>
    <s v="HEMANUELE ROSA DITZEL"/>
    <s v=""/>
    <x v="17"/>
    <x v="17"/>
    <x v="17"/>
    <s v="MAIS GRANEL"/>
    <n v="0"/>
    <n v="0"/>
    <n v="0"/>
    <n v="1250"/>
    <n v="1500"/>
    <n v="1750"/>
    <n v="2000"/>
    <n v="2475"/>
    <n v="3300"/>
    <n v="3575"/>
    <n v="3850"/>
    <n v="2750"/>
    <n v="2245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76426"/>
    <s v="HEMANUELE ROSA DITZEL"/>
    <s v=""/>
    <x v="17"/>
    <x v="17"/>
    <x v="17"/>
    <s v="NATURATTA"/>
    <n v="0"/>
    <n v="0"/>
    <n v="0"/>
    <n v="250"/>
    <n v="300"/>
    <n v="350"/>
    <n v="400"/>
    <n v="495"/>
    <n v="660"/>
    <n v="715"/>
    <n v="770"/>
    <n v="550"/>
    <n v="449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76426"/>
    <s v="HEMANUELE ROSA DITZEL"/>
    <s v=""/>
    <x v="17"/>
    <x v="17"/>
    <x v="17"/>
    <s v="REEMBALADOS"/>
    <n v="0"/>
    <n v="0"/>
    <n v="0"/>
    <n v="250"/>
    <n v="300"/>
    <n v="350"/>
    <n v="400"/>
    <n v="495"/>
    <n v="660"/>
    <n v="715"/>
    <n v="770"/>
    <n v="550"/>
    <n v="449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76426"/>
    <s v="HEMANUELE ROSA DITZEL"/>
    <s v=""/>
    <x v="17"/>
    <x v="17"/>
    <x v="17"/>
    <s v="S GLUTEN"/>
    <n v="0"/>
    <n v="0"/>
    <n v="0"/>
    <n v="250"/>
    <n v="300"/>
    <n v="350"/>
    <n v="400"/>
    <n v="495"/>
    <n v="660"/>
    <n v="715"/>
    <n v="770"/>
    <n v="550"/>
    <n v="449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76426"/>
    <s v="HEMANUELE ROSA DITZEL"/>
    <s v=""/>
    <x v="17"/>
    <x v="17"/>
    <x v="17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76426"/>
    <s v="HEMANUELE ROSA DITZEL"/>
    <s v=""/>
    <x v="17"/>
    <x v="17"/>
    <x v="17"/>
    <s v="SAL"/>
    <n v="0"/>
    <n v="0"/>
    <n v="0"/>
    <n v="350.00000000000006"/>
    <n v="420.00000000000006"/>
    <n v="490.00000000000006"/>
    <n v="560"/>
    <n v="693.00000000000011"/>
    <n v="924.00000000000011"/>
    <n v="1001.0000000000001"/>
    <n v="1078"/>
    <n v="770.00000000000011"/>
    <n v="6286.0000000000009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76426"/>
    <s v="HEMANUELE ROSA DITZEL"/>
    <s v=""/>
    <x v="17"/>
    <x v="17"/>
    <x v="17"/>
    <s v="SOULPRO"/>
    <n v="0"/>
    <n v="0"/>
    <n v="0"/>
    <n v="249.99999999999997"/>
    <n v="300"/>
    <n v="349.99999999999994"/>
    <n v="399.99999999999994"/>
    <n v="494.99999999999994"/>
    <n v="660"/>
    <n v="714.99999999999989"/>
    <n v="769.99999999999989"/>
    <n v="550"/>
    <n v="449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76426"/>
    <s v="HEMANUELE ROSA DITZEL"/>
    <s v=""/>
    <x v="17"/>
    <x v="17"/>
    <x v="17"/>
    <s v="TAMARA"/>
    <n v="0"/>
    <n v="0"/>
    <n v="0"/>
    <n v="400"/>
    <n v="480"/>
    <n v="560"/>
    <n v="640"/>
    <n v="792"/>
    <n v="1056"/>
    <n v="1144"/>
    <n v="1232"/>
    <n v="880"/>
    <n v="7184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76426"/>
    <s v="HEMANUELE ROSA DITZEL"/>
    <s v=""/>
    <x v="17"/>
    <x v="17"/>
    <x v="17"/>
    <s v="VICCIO"/>
    <n v="0"/>
    <n v="0"/>
    <n v="0"/>
    <n v="150"/>
    <n v="180"/>
    <n v="210"/>
    <n v="240"/>
    <n v="297"/>
    <n v="396"/>
    <n v="429"/>
    <n v="462"/>
    <n v="330"/>
    <n v="2694"/>
  </r>
  <r>
    <x v="0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n v="1"/>
    <x v="18"/>
    <x v="18"/>
    <x v="18"/>
    <s v="1. TOTAL - VENDA INTERNA ES"/>
    <n v="0"/>
    <n v="0"/>
    <n v="0"/>
    <n v="3000"/>
    <n v="3000"/>
    <n v="4000"/>
    <n v="4000"/>
    <n v="5500"/>
    <n v="6600"/>
    <n v="6600"/>
    <n v="7700"/>
    <n v="5500"/>
    <n v="45900"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s v=""/>
    <x v="18"/>
    <x v="18"/>
    <x v="18"/>
    <s v="BISCOITO"/>
    <n v="0"/>
    <n v="0"/>
    <n v="0"/>
    <n v="150"/>
    <n v="150"/>
    <n v="200"/>
    <n v="200"/>
    <n v="275"/>
    <n v="330"/>
    <n v="330"/>
    <n v="385"/>
    <n v="275"/>
    <n v="2295"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s v=""/>
    <x v="18"/>
    <x v="18"/>
    <x v="18"/>
    <s v="CHOCOLATES"/>
    <n v="0"/>
    <n v="0"/>
    <n v="0"/>
    <n v="150"/>
    <n v="150"/>
    <n v="200"/>
    <n v="200"/>
    <n v="275"/>
    <n v="330"/>
    <n v="330"/>
    <n v="385"/>
    <n v="275"/>
    <n v="2295"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s v=""/>
    <x v="18"/>
    <x v="18"/>
    <x v="18"/>
    <s v="DISNEY"/>
    <n v="0"/>
    <n v="0"/>
    <n v="0"/>
    <n v="240"/>
    <n v="240"/>
    <n v="320"/>
    <n v="320"/>
    <n v="440"/>
    <n v="528"/>
    <n v="528"/>
    <n v="616"/>
    <n v="440"/>
    <n v="3672"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s v=""/>
    <x v="18"/>
    <x v="18"/>
    <x v="18"/>
    <s v="DOCES"/>
    <n v="0"/>
    <n v="0"/>
    <n v="0"/>
    <n v="300"/>
    <n v="300"/>
    <n v="400"/>
    <n v="400"/>
    <n v="550"/>
    <n v="660"/>
    <n v="660"/>
    <n v="770"/>
    <n v="550"/>
    <n v="4590"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s v=""/>
    <x v="18"/>
    <x v="18"/>
    <x v="18"/>
    <s v="GELEIA"/>
    <n v="0"/>
    <n v="0"/>
    <n v="0"/>
    <n v="59.999999999999993"/>
    <n v="59.999999999999993"/>
    <n v="79.999999999999986"/>
    <n v="79.999999999999986"/>
    <n v="109.99999999999999"/>
    <n v="131.99999999999997"/>
    <n v="131.99999999999997"/>
    <n v="153.99999999999997"/>
    <n v="109.99999999999999"/>
    <n v="917.99999999999989"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s v=""/>
    <x v="18"/>
    <x v="18"/>
    <x v="18"/>
    <s v="GRANOLA"/>
    <n v="0"/>
    <n v="0"/>
    <n v="0"/>
    <n v="60"/>
    <n v="60"/>
    <n v="80"/>
    <n v="80"/>
    <n v="110"/>
    <n v="132"/>
    <n v="132"/>
    <n v="154"/>
    <n v="110"/>
    <n v="918"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s v=""/>
    <x v="18"/>
    <x v="18"/>
    <x v="18"/>
    <s v="KIDS"/>
    <n v="0"/>
    <n v="0"/>
    <n v="0"/>
    <n v="60"/>
    <n v="60"/>
    <n v="80"/>
    <n v="80"/>
    <n v="110"/>
    <n v="132"/>
    <n v="132"/>
    <n v="154"/>
    <n v="110"/>
    <n v="918"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s v=""/>
    <x v="18"/>
    <x v="18"/>
    <x v="18"/>
    <s v="LANCHES"/>
    <n v="0"/>
    <n v="0"/>
    <n v="0"/>
    <n v="90"/>
    <n v="90"/>
    <n v="120"/>
    <n v="120"/>
    <n v="165"/>
    <n v="198"/>
    <n v="198"/>
    <n v="231"/>
    <n v="165"/>
    <n v="1377"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s v=""/>
    <x v="18"/>
    <x v="18"/>
    <x v="18"/>
    <s v="MAIS GRANEL"/>
    <n v="0"/>
    <n v="0"/>
    <n v="0"/>
    <n v="750"/>
    <n v="750"/>
    <n v="1000"/>
    <n v="1000"/>
    <n v="1375"/>
    <n v="1650"/>
    <n v="1650"/>
    <n v="1925"/>
    <n v="1375"/>
    <n v="11475"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s v=""/>
    <x v="18"/>
    <x v="18"/>
    <x v="18"/>
    <s v="NATURATTA"/>
    <n v="0"/>
    <n v="0"/>
    <n v="0"/>
    <n v="150"/>
    <n v="150"/>
    <n v="200"/>
    <n v="200"/>
    <n v="275"/>
    <n v="330"/>
    <n v="330"/>
    <n v="385"/>
    <n v="275"/>
    <n v="2295"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s v=""/>
    <x v="18"/>
    <x v="18"/>
    <x v="18"/>
    <s v="REEMBALADOS"/>
    <n v="0"/>
    <n v="0"/>
    <n v="0"/>
    <n v="150"/>
    <n v="150"/>
    <n v="200"/>
    <n v="200"/>
    <n v="275"/>
    <n v="330"/>
    <n v="330"/>
    <n v="385"/>
    <n v="275"/>
    <n v="2295"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s v=""/>
    <x v="18"/>
    <x v="18"/>
    <x v="18"/>
    <s v="S GLUTEN"/>
    <n v="0"/>
    <n v="0"/>
    <n v="0"/>
    <n v="150"/>
    <n v="150"/>
    <n v="200"/>
    <n v="200"/>
    <n v="275"/>
    <n v="330"/>
    <n v="330"/>
    <n v="385"/>
    <n v="275"/>
    <n v="2295"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s v=""/>
    <x v="18"/>
    <x v="18"/>
    <x v="18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s v=""/>
    <x v="18"/>
    <x v="18"/>
    <x v="18"/>
    <s v="SAL"/>
    <n v="0"/>
    <n v="0"/>
    <n v="0"/>
    <n v="210.00000000000003"/>
    <n v="210.00000000000003"/>
    <n v="280"/>
    <n v="280"/>
    <n v="385.00000000000006"/>
    <n v="462.00000000000006"/>
    <n v="462.00000000000006"/>
    <n v="539"/>
    <n v="385.00000000000006"/>
    <n v="3213"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s v=""/>
    <x v="18"/>
    <x v="18"/>
    <x v="18"/>
    <s v="SOULPRO"/>
    <n v="0"/>
    <n v="0"/>
    <n v="0"/>
    <n v="150"/>
    <n v="150"/>
    <n v="199.99999999999997"/>
    <n v="199.99999999999997"/>
    <n v="275"/>
    <n v="330"/>
    <n v="330"/>
    <n v="384.99999999999994"/>
    <n v="275"/>
    <n v="2295"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s v=""/>
    <x v="18"/>
    <x v="18"/>
    <x v="18"/>
    <s v="TAMARA"/>
    <n v="0"/>
    <n v="0"/>
    <n v="0"/>
    <n v="240"/>
    <n v="240"/>
    <n v="320"/>
    <n v="320"/>
    <n v="440"/>
    <n v="528"/>
    <n v="528"/>
    <n v="616"/>
    <n v="440"/>
    <n v="3672"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s v=""/>
    <x v="18"/>
    <x v="18"/>
    <x v="18"/>
    <s v="VICCIO"/>
    <n v="0"/>
    <n v="0"/>
    <n v="0"/>
    <n v="90"/>
    <n v="90"/>
    <n v="120"/>
    <n v="120"/>
    <n v="165"/>
    <n v="198"/>
    <n v="198"/>
    <n v="231"/>
    <n v="165"/>
    <n v="1377"/>
  </r>
  <r>
    <x v="0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n v="1"/>
    <x v="19"/>
    <x v="19"/>
    <x v="19"/>
    <s v="1. TOTAL - VENDA INTERNA RJ"/>
    <n v="0"/>
    <n v="0"/>
    <n v="0"/>
    <n v="6000"/>
    <n v="7000"/>
    <n v="9000"/>
    <n v="11000"/>
    <n v="13200"/>
    <n v="16500"/>
    <n v="17600"/>
    <n v="19800"/>
    <n v="14300"/>
    <n v="114400"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s v=""/>
    <x v="19"/>
    <x v="19"/>
    <x v="19"/>
    <s v="BISCOITO"/>
    <n v="0"/>
    <n v="0"/>
    <n v="0"/>
    <n v="300"/>
    <n v="350"/>
    <n v="450"/>
    <n v="550"/>
    <n v="660"/>
    <n v="825"/>
    <n v="880"/>
    <n v="990"/>
    <n v="715"/>
    <n v="5720"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s v=""/>
    <x v="19"/>
    <x v="19"/>
    <x v="19"/>
    <s v="CHOCOLATES"/>
    <n v="0"/>
    <n v="0"/>
    <n v="0"/>
    <n v="300"/>
    <n v="350"/>
    <n v="450"/>
    <n v="550"/>
    <n v="660"/>
    <n v="825"/>
    <n v="880"/>
    <n v="990"/>
    <n v="715"/>
    <n v="5720"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s v=""/>
    <x v="19"/>
    <x v="19"/>
    <x v="19"/>
    <s v="DISNEY"/>
    <n v="0"/>
    <n v="0"/>
    <n v="0"/>
    <n v="480"/>
    <n v="560"/>
    <n v="720"/>
    <n v="880"/>
    <n v="1056"/>
    <n v="1320"/>
    <n v="1408"/>
    <n v="1584"/>
    <n v="1144"/>
    <n v="9152"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s v=""/>
    <x v="19"/>
    <x v="19"/>
    <x v="19"/>
    <s v="DOCES"/>
    <n v="0"/>
    <n v="0"/>
    <n v="0"/>
    <n v="600"/>
    <n v="700"/>
    <n v="900"/>
    <n v="1100"/>
    <n v="1320"/>
    <n v="1650"/>
    <n v="1760"/>
    <n v="1980"/>
    <n v="1430"/>
    <n v="11440"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s v=""/>
    <x v="19"/>
    <x v="19"/>
    <x v="19"/>
    <s v="GELEIA"/>
    <n v="0"/>
    <n v="0"/>
    <n v="0"/>
    <n v="119.99999999999999"/>
    <n v="139.99999999999997"/>
    <n v="179.99999999999997"/>
    <n v="219.99999999999997"/>
    <n v="263.99999999999994"/>
    <n v="329.99999999999994"/>
    <n v="351.99999999999994"/>
    <n v="395.99999999999994"/>
    <n v="285.99999999999994"/>
    <n v="2287.9999999999995"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s v=""/>
    <x v="19"/>
    <x v="19"/>
    <x v="19"/>
    <s v="GRANOLA"/>
    <n v="0"/>
    <n v="0"/>
    <n v="0"/>
    <n v="120"/>
    <n v="140"/>
    <n v="180"/>
    <n v="220"/>
    <n v="264"/>
    <n v="330"/>
    <n v="352"/>
    <n v="396"/>
    <n v="286"/>
    <n v="2288"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s v=""/>
    <x v="19"/>
    <x v="19"/>
    <x v="19"/>
    <s v="KIDS"/>
    <n v="0"/>
    <n v="0"/>
    <n v="0"/>
    <n v="120"/>
    <n v="140"/>
    <n v="180"/>
    <n v="220"/>
    <n v="264"/>
    <n v="330"/>
    <n v="352"/>
    <n v="396"/>
    <n v="286"/>
    <n v="2288"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s v=""/>
    <x v="19"/>
    <x v="19"/>
    <x v="19"/>
    <s v="LANCHES"/>
    <n v="0"/>
    <n v="0"/>
    <n v="0"/>
    <n v="180"/>
    <n v="210"/>
    <n v="270"/>
    <n v="330"/>
    <n v="396"/>
    <n v="495"/>
    <n v="528"/>
    <n v="594"/>
    <n v="429"/>
    <n v="3432"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s v=""/>
    <x v="19"/>
    <x v="19"/>
    <x v="19"/>
    <s v="MAIS GRANEL"/>
    <n v="0"/>
    <n v="0"/>
    <n v="0"/>
    <n v="1500"/>
    <n v="1750"/>
    <n v="2250"/>
    <n v="2750"/>
    <n v="3300"/>
    <n v="4125"/>
    <n v="4400"/>
    <n v="4950"/>
    <n v="3575"/>
    <n v="28600"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s v=""/>
    <x v="19"/>
    <x v="19"/>
    <x v="19"/>
    <s v="NATURATTA"/>
    <n v="0"/>
    <n v="0"/>
    <n v="0"/>
    <n v="300"/>
    <n v="350"/>
    <n v="450"/>
    <n v="550"/>
    <n v="660"/>
    <n v="825"/>
    <n v="880"/>
    <n v="990"/>
    <n v="715"/>
    <n v="5720"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s v=""/>
    <x v="19"/>
    <x v="19"/>
    <x v="19"/>
    <s v="REEMBALADOS"/>
    <n v="0"/>
    <n v="0"/>
    <n v="0"/>
    <n v="300"/>
    <n v="350"/>
    <n v="450"/>
    <n v="550"/>
    <n v="660"/>
    <n v="825"/>
    <n v="880"/>
    <n v="990"/>
    <n v="715"/>
    <n v="5720"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s v=""/>
    <x v="19"/>
    <x v="19"/>
    <x v="19"/>
    <s v="S GLUTEN"/>
    <n v="0"/>
    <n v="0"/>
    <n v="0"/>
    <n v="300"/>
    <n v="350"/>
    <n v="450"/>
    <n v="550"/>
    <n v="660"/>
    <n v="825"/>
    <n v="880"/>
    <n v="990"/>
    <n v="715"/>
    <n v="5720"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s v=""/>
    <x v="19"/>
    <x v="19"/>
    <x v="19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s v=""/>
    <x v="19"/>
    <x v="19"/>
    <x v="19"/>
    <s v="SAL"/>
    <n v="0"/>
    <n v="0"/>
    <n v="0"/>
    <n v="420.00000000000006"/>
    <n v="490.00000000000006"/>
    <n v="630.00000000000011"/>
    <n v="770.00000000000011"/>
    <n v="924.00000000000011"/>
    <n v="1155"/>
    <n v="1232.0000000000002"/>
    <n v="1386.0000000000002"/>
    <n v="1001.0000000000001"/>
    <n v="8008"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s v=""/>
    <x v="19"/>
    <x v="19"/>
    <x v="19"/>
    <s v="SOULPRO"/>
    <n v="0"/>
    <n v="0"/>
    <n v="0"/>
    <n v="300"/>
    <n v="349.99999999999994"/>
    <n v="449.99999999999994"/>
    <n v="550"/>
    <n v="660"/>
    <n v="824.99999999999989"/>
    <n v="879.99999999999989"/>
    <n v="989.99999999999989"/>
    <n v="714.99999999999989"/>
    <n v="5720"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s v=""/>
    <x v="19"/>
    <x v="19"/>
    <x v="19"/>
    <s v="TAMARA"/>
    <n v="0"/>
    <n v="0"/>
    <n v="0"/>
    <n v="480"/>
    <n v="560"/>
    <n v="720"/>
    <n v="880"/>
    <n v="1056"/>
    <n v="1320"/>
    <n v="1408"/>
    <n v="1584"/>
    <n v="1144"/>
    <n v="9152"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s v=""/>
    <x v="19"/>
    <x v="19"/>
    <x v="19"/>
    <s v="VICCIO"/>
    <n v="0"/>
    <n v="0"/>
    <n v="0"/>
    <n v="180"/>
    <n v="210"/>
    <n v="270"/>
    <n v="330"/>
    <n v="396"/>
    <n v="495"/>
    <n v="528"/>
    <n v="594"/>
    <n v="429"/>
    <n v="3432"/>
  </r>
  <r>
    <x v="0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n v="1"/>
    <x v="20"/>
    <x v="20"/>
    <x v="20"/>
    <s v="1. TOTAL - VENDA INTERNA MG"/>
    <n v="0"/>
    <n v="0"/>
    <n v="0"/>
    <n v="7000"/>
    <n v="9000"/>
    <n v="11000"/>
    <n v="13000"/>
    <n v="16500"/>
    <n v="19800"/>
    <n v="22000"/>
    <n v="25300"/>
    <n v="16500"/>
    <n v="140100"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s v=""/>
    <x v="20"/>
    <x v="20"/>
    <x v="20"/>
    <s v="BISCOITO"/>
    <n v="0"/>
    <n v="0"/>
    <n v="0"/>
    <n v="350"/>
    <n v="450"/>
    <n v="550"/>
    <n v="650"/>
    <n v="825"/>
    <n v="990"/>
    <n v="1100"/>
    <n v="1265"/>
    <n v="825"/>
    <n v="7005"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s v=""/>
    <x v="20"/>
    <x v="20"/>
    <x v="20"/>
    <s v="CHOCOLATES"/>
    <n v="0"/>
    <n v="0"/>
    <n v="0"/>
    <n v="350"/>
    <n v="450"/>
    <n v="550"/>
    <n v="650"/>
    <n v="825"/>
    <n v="990"/>
    <n v="1100"/>
    <n v="1265"/>
    <n v="825"/>
    <n v="7005"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s v=""/>
    <x v="20"/>
    <x v="20"/>
    <x v="20"/>
    <s v="DISNEY"/>
    <n v="0"/>
    <n v="0"/>
    <n v="0"/>
    <n v="560"/>
    <n v="720"/>
    <n v="880"/>
    <n v="1040"/>
    <n v="1320"/>
    <n v="1584"/>
    <n v="1760"/>
    <n v="2024"/>
    <n v="1320"/>
    <n v="11208"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s v=""/>
    <x v="20"/>
    <x v="20"/>
    <x v="20"/>
    <s v="DOCES"/>
    <n v="0"/>
    <n v="0"/>
    <n v="0"/>
    <n v="700"/>
    <n v="900"/>
    <n v="1100"/>
    <n v="1300"/>
    <n v="1650"/>
    <n v="1980"/>
    <n v="2200"/>
    <n v="2530"/>
    <n v="1650"/>
    <n v="14010"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s v=""/>
    <x v="20"/>
    <x v="20"/>
    <x v="20"/>
    <s v="GELEIA"/>
    <n v="0"/>
    <n v="0"/>
    <n v="0"/>
    <n v="139.99999999999997"/>
    <n v="179.99999999999997"/>
    <n v="219.99999999999997"/>
    <n v="259.99999999999994"/>
    <n v="329.99999999999994"/>
    <n v="395.99999999999994"/>
    <n v="439.99999999999994"/>
    <n v="505.99999999999994"/>
    <n v="329.99999999999994"/>
    <n v="2801.9999999999995"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s v=""/>
    <x v="20"/>
    <x v="20"/>
    <x v="20"/>
    <s v="GRANOLA"/>
    <n v="0"/>
    <n v="0"/>
    <n v="0"/>
    <n v="140"/>
    <n v="180"/>
    <n v="220"/>
    <n v="260"/>
    <n v="330"/>
    <n v="396"/>
    <n v="440"/>
    <n v="506"/>
    <n v="330"/>
    <n v="2802"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s v=""/>
    <x v="20"/>
    <x v="20"/>
    <x v="20"/>
    <s v="KIDS"/>
    <n v="0"/>
    <n v="0"/>
    <n v="0"/>
    <n v="140"/>
    <n v="180"/>
    <n v="220"/>
    <n v="260"/>
    <n v="330"/>
    <n v="396"/>
    <n v="440"/>
    <n v="506"/>
    <n v="330"/>
    <n v="2802"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s v=""/>
    <x v="20"/>
    <x v="20"/>
    <x v="20"/>
    <s v="LANCHES"/>
    <n v="0"/>
    <n v="0"/>
    <n v="0"/>
    <n v="210"/>
    <n v="270"/>
    <n v="330"/>
    <n v="390"/>
    <n v="495"/>
    <n v="594"/>
    <n v="660"/>
    <n v="759"/>
    <n v="495"/>
    <n v="4203"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s v=""/>
    <x v="20"/>
    <x v="20"/>
    <x v="20"/>
    <s v="MAIS GRANEL"/>
    <n v="0"/>
    <n v="0"/>
    <n v="0"/>
    <n v="1750"/>
    <n v="2250"/>
    <n v="2750"/>
    <n v="3250"/>
    <n v="4125"/>
    <n v="4950"/>
    <n v="5500"/>
    <n v="6325"/>
    <n v="4125"/>
    <n v="35025"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s v=""/>
    <x v="20"/>
    <x v="20"/>
    <x v="20"/>
    <s v="NATURATTA"/>
    <n v="0"/>
    <n v="0"/>
    <n v="0"/>
    <n v="350"/>
    <n v="450"/>
    <n v="550"/>
    <n v="650"/>
    <n v="825"/>
    <n v="990"/>
    <n v="1100"/>
    <n v="1265"/>
    <n v="825"/>
    <n v="7005"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s v=""/>
    <x v="20"/>
    <x v="20"/>
    <x v="20"/>
    <s v="REEMBALADOS"/>
    <n v="0"/>
    <n v="0"/>
    <n v="0"/>
    <n v="350"/>
    <n v="450"/>
    <n v="550"/>
    <n v="650"/>
    <n v="825"/>
    <n v="990"/>
    <n v="1100"/>
    <n v="1265"/>
    <n v="825"/>
    <n v="7005"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s v=""/>
    <x v="20"/>
    <x v="20"/>
    <x v="20"/>
    <s v="S GLUTEN"/>
    <n v="0"/>
    <n v="0"/>
    <n v="0"/>
    <n v="350"/>
    <n v="450"/>
    <n v="550"/>
    <n v="650"/>
    <n v="825"/>
    <n v="990"/>
    <n v="1100"/>
    <n v="1265"/>
    <n v="825"/>
    <n v="7005"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s v=""/>
    <x v="20"/>
    <x v="20"/>
    <x v="20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s v=""/>
    <x v="20"/>
    <x v="20"/>
    <x v="20"/>
    <s v="SAL"/>
    <n v="0"/>
    <n v="0"/>
    <n v="0"/>
    <n v="490.00000000000006"/>
    <n v="630.00000000000011"/>
    <n v="770.00000000000011"/>
    <n v="910.00000000000011"/>
    <n v="1155"/>
    <n v="1386.0000000000002"/>
    <n v="1540.0000000000002"/>
    <n v="1771.0000000000002"/>
    <n v="1155"/>
    <n v="9807.0000000000018"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s v=""/>
    <x v="20"/>
    <x v="20"/>
    <x v="20"/>
    <s v="SOULPRO"/>
    <n v="0"/>
    <n v="0"/>
    <n v="0"/>
    <n v="349.99999999999994"/>
    <n v="449.99999999999994"/>
    <n v="550"/>
    <n v="650"/>
    <n v="824.99999999999989"/>
    <n v="989.99999999999989"/>
    <n v="1100"/>
    <n v="1265"/>
    <n v="824.99999999999989"/>
    <n v="7005"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s v=""/>
    <x v="20"/>
    <x v="20"/>
    <x v="20"/>
    <s v="TAMARA"/>
    <n v="0"/>
    <n v="0"/>
    <n v="0"/>
    <n v="560"/>
    <n v="720"/>
    <n v="880"/>
    <n v="1040"/>
    <n v="1320"/>
    <n v="1584"/>
    <n v="1760"/>
    <n v="2024"/>
    <n v="1320"/>
    <n v="11208"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s v=""/>
    <x v="20"/>
    <x v="20"/>
    <x v="20"/>
    <s v="VICCIO"/>
    <n v="0"/>
    <n v="0"/>
    <n v="0"/>
    <n v="210"/>
    <n v="270"/>
    <n v="330"/>
    <n v="390"/>
    <n v="495"/>
    <n v="594"/>
    <n v="660"/>
    <n v="759"/>
    <n v="495"/>
    <n v="4203"/>
  </r>
  <r>
    <x v="0"/>
    <s v="1000065763"/>
    <s v="CANAL VENDA INTERNA"/>
    <s v="1000065763"/>
    <s v="CANAL VENDA INTERNA"/>
    <s v="1000105898"/>
    <s v="REGIONAL VENDA DIRETA SP"/>
    <s v="1000105898"/>
    <s v="REGIONAL VENDA DIRETA SP"/>
    <s v="1000150135"/>
    <s v="HELDER DA SILVA BRUNKOW"/>
    <n v="1"/>
    <x v="21"/>
    <x v="21"/>
    <x v="21"/>
    <s v="1. TOTAL - VENDA INTERNA SP CAPITAL"/>
    <n v="0"/>
    <n v="0"/>
    <n v="0"/>
    <n v="9000"/>
    <n v="11000"/>
    <n v="14000"/>
    <n v="17000"/>
    <n v="20900"/>
    <n v="26400"/>
    <n v="28600"/>
    <n v="31900"/>
    <n v="22000"/>
    <n v="180800"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s v="HELDER DA SILVA BRUNKOW"/>
    <s v=""/>
    <x v="21"/>
    <x v="21"/>
    <x v="21"/>
    <s v="BISCOITO"/>
    <n v="0"/>
    <n v="0"/>
    <n v="0"/>
    <n v="450"/>
    <n v="550"/>
    <n v="700"/>
    <n v="850"/>
    <n v="1045"/>
    <n v="1320"/>
    <n v="1430"/>
    <n v="1595"/>
    <n v="1100"/>
    <n v="9040"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s v="HELDER DA SILVA BRUNKOW"/>
    <s v=""/>
    <x v="21"/>
    <x v="21"/>
    <x v="21"/>
    <s v="CHOCOLATES"/>
    <n v="0"/>
    <n v="0"/>
    <n v="0"/>
    <n v="450"/>
    <n v="550"/>
    <n v="700"/>
    <n v="850"/>
    <n v="1045"/>
    <n v="1320"/>
    <n v="1430"/>
    <n v="1595"/>
    <n v="1100"/>
    <n v="9040"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s v="HELDER DA SILVA BRUNKOW"/>
    <s v=""/>
    <x v="21"/>
    <x v="21"/>
    <x v="21"/>
    <s v="DISNEY"/>
    <n v="0"/>
    <n v="0"/>
    <n v="0"/>
    <n v="720"/>
    <n v="880"/>
    <n v="1120"/>
    <n v="1360"/>
    <n v="1672"/>
    <n v="2112"/>
    <n v="2288"/>
    <n v="2552"/>
    <n v="1760"/>
    <n v="14464"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s v="HELDER DA SILVA BRUNKOW"/>
    <s v=""/>
    <x v="21"/>
    <x v="21"/>
    <x v="21"/>
    <s v="DOCES"/>
    <n v="0"/>
    <n v="0"/>
    <n v="0"/>
    <n v="900"/>
    <n v="1100"/>
    <n v="1400"/>
    <n v="1700"/>
    <n v="2090"/>
    <n v="2640"/>
    <n v="2860"/>
    <n v="3190"/>
    <n v="2200"/>
    <n v="18080"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s v="HELDER DA SILVA BRUNKOW"/>
    <s v=""/>
    <x v="21"/>
    <x v="21"/>
    <x v="21"/>
    <s v="GELEIA"/>
    <n v="0"/>
    <n v="0"/>
    <n v="0"/>
    <n v="179.99999999999997"/>
    <n v="219.99999999999997"/>
    <n v="279.99999999999994"/>
    <n v="339.99999999999994"/>
    <n v="417.99999999999994"/>
    <n v="527.99999999999989"/>
    <n v="571.99999999999989"/>
    <n v="637.99999999999989"/>
    <n v="439.99999999999994"/>
    <n v="3615.9999999999995"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s v="HELDER DA SILVA BRUNKOW"/>
    <s v=""/>
    <x v="21"/>
    <x v="21"/>
    <x v="21"/>
    <s v="GRANOLA"/>
    <n v="0"/>
    <n v="0"/>
    <n v="0"/>
    <n v="180"/>
    <n v="220"/>
    <n v="280"/>
    <n v="340"/>
    <n v="418"/>
    <n v="528"/>
    <n v="572"/>
    <n v="638"/>
    <n v="440"/>
    <n v="3616"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s v="HELDER DA SILVA BRUNKOW"/>
    <s v=""/>
    <x v="21"/>
    <x v="21"/>
    <x v="21"/>
    <s v="KIDS"/>
    <n v="0"/>
    <n v="0"/>
    <n v="0"/>
    <n v="180"/>
    <n v="220"/>
    <n v="280"/>
    <n v="340"/>
    <n v="418"/>
    <n v="528"/>
    <n v="572"/>
    <n v="638"/>
    <n v="440"/>
    <n v="3616"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s v="HELDER DA SILVA BRUNKOW"/>
    <s v=""/>
    <x v="21"/>
    <x v="21"/>
    <x v="21"/>
    <s v="LANCHES"/>
    <n v="0"/>
    <n v="0"/>
    <n v="0"/>
    <n v="270"/>
    <n v="330"/>
    <n v="420"/>
    <n v="510"/>
    <n v="627"/>
    <n v="792"/>
    <n v="858"/>
    <n v="957"/>
    <n v="660"/>
    <n v="5424"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s v="HELDER DA SILVA BRUNKOW"/>
    <s v=""/>
    <x v="21"/>
    <x v="21"/>
    <x v="21"/>
    <s v="MAIS GRANEL"/>
    <n v="0"/>
    <n v="0"/>
    <n v="0"/>
    <n v="2250"/>
    <n v="2750"/>
    <n v="3500"/>
    <n v="4250"/>
    <n v="5225"/>
    <n v="6600"/>
    <n v="7150"/>
    <n v="7975"/>
    <n v="5500"/>
    <n v="45200"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s v="HELDER DA SILVA BRUNKOW"/>
    <s v=""/>
    <x v="21"/>
    <x v="21"/>
    <x v="21"/>
    <s v="NATURATTA"/>
    <n v="0"/>
    <n v="0"/>
    <n v="0"/>
    <n v="450"/>
    <n v="550"/>
    <n v="700"/>
    <n v="850"/>
    <n v="1045"/>
    <n v="1320"/>
    <n v="1430"/>
    <n v="1595"/>
    <n v="1100"/>
    <n v="9040"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s v="HELDER DA SILVA BRUNKOW"/>
    <s v=""/>
    <x v="21"/>
    <x v="21"/>
    <x v="21"/>
    <s v="REEMBALADOS"/>
    <n v="0"/>
    <n v="0"/>
    <n v="0"/>
    <n v="450"/>
    <n v="550"/>
    <n v="700"/>
    <n v="850"/>
    <n v="1045"/>
    <n v="1320"/>
    <n v="1430"/>
    <n v="1595"/>
    <n v="1100"/>
    <n v="9040"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s v="HELDER DA SILVA BRUNKOW"/>
    <s v=""/>
    <x v="21"/>
    <x v="21"/>
    <x v="21"/>
    <s v="S GLUTEN"/>
    <n v="0"/>
    <n v="0"/>
    <n v="0"/>
    <n v="450"/>
    <n v="550"/>
    <n v="700"/>
    <n v="850"/>
    <n v="1045"/>
    <n v="1320"/>
    <n v="1430"/>
    <n v="1595"/>
    <n v="1100"/>
    <n v="9040"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s v="HELDER DA SILVA BRUNKOW"/>
    <s v=""/>
    <x v="21"/>
    <x v="21"/>
    <x v="21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s v="HELDER DA SILVA BRUNKOW"/>
    <s v=""/>
    <x v="21"/>
    <x v="21"/>
    <x v="21"/>
    <s v="SAL"/>
    <n v="0"/>
    <n v="0"/>
    <n v="0"/>
    <n v="630.00000000000011"/>
    <n v="770.00000000000011"/>
    <n v="980.00000000000011"/>
    <n v="1190"/>
    <n v="1463.0000000000002"/>
    <n v="1848.0000000000002"/>
    <n v="2002.0000000000002"/>
    <n v="2233"/>
    <n v="1540.0000000000002"/>
    <n v="12656.000000000002"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s v="HELDER DA SILVA BRUNKOW"/>
    <s v=""/>
    <x v="21"/>
    <x v="21"/>
    <x v="21"/>
    <s v="SOULPRO"/>
    <n v="0"/>
    <n v="0"/>
    <n v="0"/>
    <n v="449.99999999999994"/>
    <n v="550"/>
    <n v="699.99999999999989"/>
    <n v="849.99999999999989"/>
    <n v="1045"/>
    <n v="1320"/>
    <n v="1429.9999999999998"/>
    <n v="1594.9999999999998"/>
    <n v="1100"/>
    <n v="9040"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s v="HELDER DA SILVA BRUNKOW"/>
    <s v=""/>
    <x v="21"/>
    <x v="21"/>
    <x v="21"/>
    <s v="TAMARA"/>
    <n v="0"/>
    <n v="0"/>
    <n v="0"/>
    <n v="720"/>
    <n v="880"/>
    <n v="1120"/>
    <n v="1360"/>
    <n v="1672"/>
    <n v="2112"/>
    <n v="2288"/>
    <n v="2552"/>
    <n v="1760"/>
    <n v="14464"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s v="HELDER DA SILVA BRUNKOW"/>
    <s v=""/>
    <x v="21"/>
    <x v="21"/>
    <x v="21"/>
    <s v="VICCIO"/>
    <n v="0"/>
    <n v="0"/>
    <n v="0"/>
    <n v="270"/>
    <n v="330"/>
    <n v="420"/>
    <n v="510"/>
    <n v="627"/>
    <n v="792"/>
    <n v="858"/>
    <n v="957"/>
    <n v="660"/>
    <n v="5424"/>
  </r>
  <r>
    <x v="0"/>
    <s v="1000065763"/>
    <s v="CANAL VENDA INTERNA"/>
    <s v="1000065763"/>
    <s v="CANAL VENDA INTERNA"/>
    <s v="1000105898"/>
    <s v="REGIONAL VENDA DIRETA SP"/>
    <s v="1000105898"/>
    <s v="REGIONAL VENDA DIRETA SP"/>
    <s v="1000150135"/>
    <s v="HELDER DA SILVA BRUNKOW"/>
    <n v="1"/>
    <x v="21"/>
    <x v="22"/>
    <x v="22"/>
    <s v="1. TOTAL - VENDA INTERNA SP INTERIOR"/>
    <n v="0"/>
    <n v="0"/>
    <n v="0"/>
    <n v="11000"/>
    <n v="13000"/>
    <n v="16000"/>
    <n v="19000"/>
    <n v="24200"/>
    <n v="29700"/>
    <n v="33000"/>
    <n v="37400"/>
    <n v="25300"/>
    <n v="208600"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s v="HELDER DA SILVA BRUNKOW"/>
    <s v=""/>
    <x v="21"/>
    <x v="22"/>
    <x v="22"/>
    <s v="BISCOITO"/>
    <n v="0"/>
    <n v="0"/>
    <n v="0"/>
    <n v="550"/>
    <n v="650"/>
    <n v="800"/>
    <n v="950"/>
    <n v="1210"/>
    <n v="1485"/>
    <n v="1650"/>
    <n v="1870"/>
    <n v="1265"/>
    <n v="10430"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s v="HELDER DA SILVA BRUNKOW"/>
    <s v=""/>
    <x v="21"/>
    <x v="22"/>
    <x v="22"/>
    <s v="CHOCOLATES"/>
    <n v="0"/>
    <n v="0"/>
    <n v="0"/>
    <n v="550"/>
    <n v="650"/>
    <n v="800"/>
    <n v="950"/>
    <n v="1210"/>
    <n v="1485"/>
    <n v="1650"/>
    <n v="1870"/>
    <n v="1265"/>
    <n v="10430"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s v="HELDER DA SILVA BRUNKOW"/>
    <s v=""/>
    <x v="21"/>
    <x v="22"/>
    <x v="22"/>
    <s v="DISNEY"/>
    <n v="0"/>
    <n v="0"/>
    <n v="0"/>
    <n v="880"/>
    <n v="1040"/>
    <n v="1280"/>
    <n v="1520"/>
    <n v="1936"/>
    <n v="2376"/>
    <n v="2640"/>
    <n v="2992"/>
    <n v="2024"/>
    <n v="16688"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s v="HELDER DA SILVA BRUNKOW"/>
    <s v=""/>
    <x v="21"/>
    <x v="22"/>
    <x v="22"/>
    <s v="DOCES"/>
    <n v="0"/>
    <n v="0"/>
    <n v="0"/>
    <n v="1100"/>
    <n v="1300"/>
    <n v="1600"/>
    <n v="1900"/>
    <n v="2420"/>
    <n v="2970"/>
    <n v="3300"/>
    <n v="3740"/>
    <n v="2530"/>
    <n v="20860"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s v="HELDER DA SILVA BRUNKOW"/>
    <s v=""/>
    <x v="21"/>
    <x v="22"/>
    <x v="22"/>
    <s v="GELEIA"/>
    <n v="0"/>
    <n v="0"/>
    <n v="0"/>
    <n v="219.99999999999997"/>
    <n v="259.99999999999994"/>
    <n v="319.99999999999994"/>
    <n v="379.99999999999994"/>
    <n v="483.99999999999994"/>
    <n v="593.99999999999989"/>
    <n v="659.99999999999989"/>
    <n v="747.99999999999989"/>
    <n v="505.99999999999994"/>
    <n v="4171.9999999999991"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s v="HELDER DA SILVA BRUNKOW"/>
    <s v=""/>
    <x v="21"/>
    <x v="22"/>
    <x v="22"/>
    <s v="GRANOLA"/>
    <n v="0"/>
    <n v="0"/>
    <n v="0"/>
    <n v="220"/>
    <n v="260"/>
    <n v="320"/>
    <n v="380"/>
    <n v="484"/>
    <n v="594"/>
    <n v="660"/>
    <n v="748"/>
    <n v="506"/>
    <n v="4172"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s v="HELDER DA SILVA BRUNKOW"/>
    <s v=""/>
    <x v="21"/>
    <x v="22"/>
    <x v="22"/>
    <s v="KIDS"/>
    <n v="0"/>
    <n v="0"/>
    <n v="0"/>
    <n v="220"/>
    <n v="260"/>
    <n v="320"/>
    <n v="380"/>
    <n v="484"/>
    <n v="594"/>
    <n v="660"/>
    <n v="748"/>
    <n v="506"/>
    <n v="4172"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s v="HELDER DA SILVA BRUNKOW"/>
    <s v=""/>
    <x v="21"/>
    <x v="22"/>
    <x v="22"/>
    <s v="LANCHES"/>
    <n v="0"/>
    <n v="0"/>
    <n v="0"/>
    <n v="330"/>
    <n v="390"/>
    <n v="480"/>
    <n v="570"/>
    <n v="726"/>
    <n v="891"/>
    <n v="990"/>
    <n v="1122"/>
    <n v="759"/>
    <n v="6258"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s v="HELDER DA SILVA BRUNKOW"/>
    <s v=""/>
    <x v="21"/>
    <x v="22"/>
    <x v="22"/>
    <s v="MAIS GRANEL"/>
    <n v="0"/>
    <n v="0"/>
    <n v="0"/>
    <n v="2750"/>
    <n v="3250"/>
    <n v="4000"/>
    <n v="4750"/>
    <n v="6050"/>
    <n v="7425"/>
    <n v="8250"/>
    <n v="9350"/>
    <n v="6325"/>
    <n v="52150"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s v="HELDER DA SILVA BRUNKOW"/>
    <s v=""/>
    <x v="21"/>
    <x v="22"/>
    <x v="22"/>
    <s v="NATURATTA"/>
    <n v="0"/>
    <n v="0"/>
    <n v="0"/>
    <n v="550"/>
    <n v="650"/>
    <n v="800"/>
    <n v="950"/>
    <n v="1210"/>
    <n v="1485"/>
    <n v="1650"/>
    <n v="1870"/>
    <n v="1265"/>
    <n v="10430"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s v="HELDER DA SILVA BRUNKOW"/>
    <s v=""/>
    <x v="21"/>
    <x v="22"/>
    <x v="22"/>
    <s v="REEMBALADOS"/>
    <n v="0"/>
    <n v="0"/>
    <n v="0"/>
    <n v="550"/>
    <n v="650"/>
    <n v="800"/>
    <n v="950"/>
    <n v="1210"/>
    <n v="1485"/>
    <n v="1650"/>
    <n v="1870"/>
    <n v="1265"/>
    <n v="10430"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s v="HELDER DA SILVA BRUNKOW"/>
    <s v=""/>
    <x v="21"/>
    <x v="22"/>
    <x v="22"/>
    <s v="S GLUTEN"/>
    <n v="0"/>
    <n v="0"/>
    <n v="0"/>
    <n v="550"/>
    <n v="650"/>
    <n v="800"/>
    <n v="950"/>
    <n v="1210"/>
    <n v="1485"/>
    <n v="1650"/>
    <n v="1870"/>
    <n v="1265"/>
    <n v="10430"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s v="HELDER DA SILVA BRUNKOW"/>
    <s v=""/>
    <x v="21"/>
    <x v="22"/>
    <x v="22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s v="HELDER DA SILVA BRUNKOW"/>
    <s v=""/>
    <x v="21"/>
    <x v="22"/>
    <x v="22"/>
    <s v="SAL"/>
    <n v="0"/>
    <n v="0"/>
    <n v="0"/>
    <n v="770.00000000000011"/>
    <n v="910.00000000000011"/>
    <n v="1120"/>
    <n v="1330.0000000000002"/>
    <n v="1694.0000000000002"/>
    <n v="2079"/>
    <n v="2310"/>
    <n v="2618.0000000000005"/>
    <n v="1771.0000000000002"/>
    <n v="14602"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s v="HELDER DA SILVA BRUNKOW"/>
    <s v=""/>
    <x v="21"/>
    <x v="22"/>
    <x v="22"/>
    <s v="SOULPRO"/>
    <n v="0"/>
    <n v="0"/>
    <n v="0"/>
    <n v="550"/>
    <n v="650"/>
    <n v="799.99999999999989"/>
    <n v="949.99999999999989"/>
    <n v="1210"/>
    <n v="1484.9999999999998"/>
    <n v="1649.9999999999998"/>
    <n v="1869.9999999999998"/>
    <n v="1265"/>
    <n v="10430"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s v="HELDER DA SILVA BRUNKOW"/>
    <s v=""/>
    <x v="21"/>
    <x v="22"/>
    <x v="22"/>
    <s v="TAMARA"/>
    <n v="0"/>
    <n v="0"/>
    <n v="0"/>
    <n v="880"/>
    <n v="1040"/>
    <n v="1280"/>
    <n v="1520"/>
    <n v="1936"/>
    <n v="2376"/>
    <n v="2640"/>
    <n v="2992"/>
    <n v="2024"/>
    <n v="16688"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s v="HELDER DA SILVA BRUNKOW"/>
    <s v=""/>
    <x v="21"/>
    <x v="22"/>
    <x v="22"/>
    <s v="VICCIO"/>
    <n v="0"/>
    <n v="0"/>
    <n v="0"/>
    <n v="330"/>
    <n v="390"/>
    <n v="480"/>
    <n v="570"/>
    <n v="726"/>
    <n v="891"/>
    <n v="990"/>
    <n v="1122"/>
    <n v="759"/>
    <n v="6258"/>
  </r>
  <r>
    <x v="0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n v="1"/>
    <x v="22"/>
    <x v="23"/>
    <x v="23"/>
    <s v="1. TOTAL - VENDA INTERNA RS"/>
    <n v="0"/>
    <n v="0"/>
    <n v="0"/>
    <n v="13000"/>
    <n v="16000"/>
    <n v="20000"/>
    <n v="24000"/>
    <n v="29700"/>
    <n v="37400"/>
    <n v="40700"/>
    <n v="46200"/>
    <n v="31900"/>
    <n v="258900"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s v=""/>
    <x v="22"/>
    <x v="23"/>
    <x v="23"/>
    <s v="BISCOITO"/>
    <n v="0"/>
    <n v="0"/>
    <n v="0"/>
    <n v="650"/>
    <n v="800"/>
    <n v="1000"/>
    <n v="1200"/>
    <n v="1485"/>
    <n v="1870"/>
    <n v="2035"/>
    <n v="2310"/>
    <n v="1595"/>
    <n v="12945"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s v=""/>
    <x v="22"/>
    <x v="23"/>
    <x v="23"/>
    <s v="CHOCOLATES"/>
    <n v="0"/>
    <n v="0"/>
    <n v="0"/>
    <n v="650"/>
    <n v="800"/>
    <n v="1000"/>
    <n v="1200"/>
    <n v="1485"/>
    <n v="1870"/>
    <n v="2035"/>
    <n v="2310"/>
    <n v="1595"/>
    <n v="12945"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s v=""/>
    <x v="22"/>
    <x v="23"/>
    <x v="23"/>
    <s v="DISNEY"/>
    <n v="0"/>
    <n v="0"/>
    <n v="0"/>
    <n v="1040"/>
    <n v="1280"/>
    <n v="1600"/>
    <n v="1920"/>
    <n v="2376"/>
    <n v="2992"/>
    <n v="3256"/>
    <n v="3696"/>
    <n v="2552"/>
    <n v="20712"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s v=""/>
    <x v="22"/>
    <x v="23"/>
    <x v="23"/>
    <s v="DOCES"/>
    <n v="0"/>
    <n v="0"/>
    <n v="0"/>
    <n v="1300"/>
    <n v="1600"/>
    <n v="2000"/>
    <n v="2400"/>
    <n v="2970"/>
    <n v="3740"/>
    <n v="4070"/>
    <n v="4620"/>
    <n v="3190"/>
    <n v="25890"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s v=""/>
    <x v="22"/>
    <x v="23"/>
    <x v="23"/>
    <s v="GELEIA"/>
    <n v="0"/>
    <n v="0"/>
    <n v="0"/>
    <n v="259.99999999999994"/>
    <n v="319.99999999999994"/>
    <n v="399.99999999999994"/>
    <n v="479.99999999999994"/>
    <n v="593.99999999999989"/>
    <n v="747.99999999999989"/>
    <n v="813.99999999999989"/>
    <n v="923.99999999999989"/>
    <n v="637.99999999999989"/>
    <n v="5177.9999999999991"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s v=""/>
    <x v="22"/>
    <x v="23"/>
    <x v="23"/>
    <s v="GRANOLA"/>
    <n v="0"/>
    <n v="0"/>
    <n v="0"/>
    <n v="260"/>
    <n v="320"/>
    <n v="400"/>
    <n v="480"/>
    <n v="594"/>
    <n v="748"/>
    <n v="814"/>
    <n v="924"/>
    <n v="638"/>
    <n v="5178"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s v=""/>
    <x v="22"/>
    <x v="23"/>
    <x v="23"/>
    <s v="KIDS"/>
    <n v="0"/>
    <n v="0"/>
    <n v="0"/>
    <n v="260"/>
    <n v="320"/>
    <n v="400"/>
    <n v="480"/>
    <n v="594"/>
    <n v="748"/>
    <n v="814"/>
    <n v="924"/>
    <n v="638"/>
    <n v="5178"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s v=""/>
    <x v="22"/>
    <x v="23"/>
    <x v="23"/>
    <s v="LANCHES"/>
    <n v="0"/>
    <n v="0"/>
    <n v="0"/>
    <n v="390"/>
    <n v="480"/>
    <n v="600"/>
    <n v="720"/>
    <n v="891"/>
    <n v="1122"/>
    <n v="1221"/>
    <n v="1386"/>
    <n v="957"/>
    <n v="7767"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s v=""/>
    <x v="22"/>
    <x v="23"/>
    <x v="23"/>
    <s v="MAIS GRANEL"/>
    <n v="0"/>
    <n v="0"/>
    <n v="0"/>
    <n v="3250"/>
    <n v="4000"/>
    <n v="5000"/>
    <n v="6000"/>
    <n v="7425"/>
    <n v="9350"/>
    <n v="10175"/>
    <n v="11550"/>
    <n v="7975"/>
    <n v="64725"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s v=""/>
    <x v="22"/>
    <x v="23"/>
    <x v="23"/>
    <s v="NATURATTA"/>
    <n v="0"/>
    <n v="0"/>
    <n v="0"/>
    <n v="650"/>
    <n v="800"/>
    <n v="1000"/>
    <n v="1200"/>
    <n v="1485"/>
    <n v="1870"/>
    <n v="2035"/>
    <n v="2310"/>
    <n v="1595"/>
    <n v="12945"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s v=""/>
    <x v="22"/>
    <x v="23"/>
    <x v="23"/>
    <s v="REEMBALADOS"/>
    <n v="0"/>
    <n v="0"/>
    <n v="0"/>
    <n v="650"/>
    <n v="800"/>
    <n v="1000"/>
    <n v="1200"/>
    <n v="1485"/>
    <n v="1870"/>
    <n v="2035"/>
    <n v="2310"/>
    <n v="1595"/>
    <n v="12945"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s v=""/>
    <x v="22"/>
    <x v="23"/>
    <x v="23"/>
    <s v="S GLUTEN"/>
    <n v="0"/>
    <n v="0"/>
    <n v="0"/>
    <n v="650"/>
    <n v="800"/>
    <n v="1000"/>
    <n v="1200"/>
    <n v="1485"/>
    <n v="1870"/>
    <n v="2035"/>
    <n v="2310"/>
    <n v="1595"/>
    <n v="12945"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s v=""/>
    <x v="22"/>
    <x v="23"/>
    <x v="23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s v=""/>
    <x v="22"/>
    <x v="23"/>
    <x v="23"/>
    <s v="SAL"/>
    <n v="0"/>
    <n v="0"/>
    <n v="0"/>
    <n v="910.00000000000011"/>
    <n v="1120"/>
    <n v="1400.0000000000002"/>
    <n v="1680.0000000000002"/>
    <n v="2079"/>
    <n v="2618.0000000000005"/>
    <n v="2849.0000000000005"/>
    <n v="3234.0000000000005"/>
    <n v="2233"/>
    <n v="18123"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s v=""/>
    <x v="22"/>
    <x v="23"/>
    <x v="23"/>
    <s v="SOULPRO"/>
    <n v="0"/>
    <n v="0"/>
    <n v="0"/>
    <n v="650"/>
    <n v="799.99999999999989"/>
    <n v="999.99999999999989"/>
    <n v="1200"/>
    <n v="1484.9999999999998"/>
    <n v="1869.9999999999998"/>
    <n v="2034.9999999999998"/>
    <n v="2310"/>
    <n v="1594.9999999999998"/>
    <n v="12945"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s v=""/>
    <x v="22"/>
    <x v="23"/>
    <x v="23"/>
    <s v="TAMARA"/>
    <n v="0"/>
    <n v="0"/>
    <n v="0"/>
    <n v="1040"/>
    <n v="1280"/>
    <n v="1600"/>
    <n v="1920"/>
    <n v="2376"/>
    <n v="2992"/>
    <n v="3256"/>
    <n v="3696"/>
    <n v="2552"/>
    <n v="20712"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s v=""/>
    <x v="22"/>
    <x v="23"/>
    <x v="23"/>
    <s v="VICCIO"/>
    <n v="0"/>
    <n v="0"/>
    <n v="0"/>
    <n v="390"/>
    <n v="480"/>
    <n v="600"/>
    <n v="720"/>
    <n v="891"/>
    <n v="1122"/>
    <n v="1221"/>
    <n v="1386"/>
    <n v="957"/>
    <n v="7767"/>
  </r>
  <r>
    <x v="0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n v="1"/>
    <x v="23"/>
    <x v="24"/>
    <x v="24"/>
    <s v="1. TOTAL - VENDA INTERNA PR"/>
    <n v="0"/>
    <n v="0"/>
    <n v="0"/>
    <n v="16000"/>
    <n v="20000"/>
    <n v="25000"/>
    <n v="30000"/>
    <n v="37400"/>
    <n v="47300"/>
    <n v="51700"/>
    <n v="58300"/>
    <n v="39600"/>
    <n v="325300"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s v=""/>
    <x v="23"/>
    <x v="24"/>
    <x v="24"/>
    <s v="BISCOITO"/>
    <n v="0"/>
    <n v="0"/>
    <n v="0"/>
    <n v="800"/>
    <n v="1000"/>
    <n v="1250"/>
    <n v="1500"/>
    <n v="1870"/>
    <n v="2365"/>
    <n v="2585"/>
    <n v="2915"/>
    <n v="1980"/>
    <n v="16265"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s v=""/>
    <x v="23"/>
    <x v="24"/>
    <x v="24"/>
    <s v="CHOCOLATES"/>
    <n v="0"/>
    <n v="0"/>
    <n v="0"/>
    <n v="800"/>
    <n v="1000"/>
    <n v="1250"/>
    <n v="1500"/>
    <n v="1870"/>
    <n v="2365"/>
    <n v="2585"/>
    <n v="2915"/>
    <n v="1980"/>
    <n v="16265"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s v=""/>
    <x v="23"/>
    <x v="24"/>
    <x v="24"/>
    <s v="DISNEY"/>
    <n v="0"/>
    <n v="0"/>
    <n v="0"/>
    <n v="1280"/>
    <n v="1600"/>
    <n v="2000"/>
    <n v="2400"/>
    <n v="2992"/>
    <n v="3784"/>
    <n v="4136"/>
    <n v="4664"/>
    <n v="3168"/>
    <n v="26024"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s v=""/>
    <x v="23"/>
    <x v="24"/>
    <x v="24"/>
    <s v="DOCES"/>
    <n v="0"/>
    <n v="0"/>
    <n v="0"/>
    <n v="1600"/>
    <n v="2000"/>
    <n v="2500"/>
    <n v="3000"/>
    <n v="3740"/>
    <n v="4730"/>
    <n v="5170"/>
    <n v="5830"/>
    <n v="3960"/>
    <n v="32530"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s v=""/>
    <x v="23"/>
    <x v="24"/>
    <x v="24"/>
    <s v="GELEIA"/>
    <n v="0"/>
    <n v="0"/>
    <n v="0"/>
    <n v="319.99999999999994"/>
    <n v="399.99999999999994"/>
    <n v="499.99999999999994"/>
    <n v="599.99999999999989"/>
    <n v="747.99999999999989"/>
    <n v="945.99999999999989"/>
    <n v="1033.9999999999998"/>
    <n v="1165.9999999999998"/>
    <n v="791.99999999999989"/>
    <n v="6505.9999999999991"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s v=""/>
    <x v="23"/>
    <x v="24"/>
    <x v="24"/>
    <s v="GRANOLA"/>
    <n v="0"/>
    <n v="0"/>
    <n v="0"/>
    <n v="320"/>
    <n v="400"/>
    <n v="500"/>
    <n v="600"/>
    <n v="748"/>
    <n v="946"/>
    <n v="1034"/>
    <n v="1166"/>
    <n v="792"/>
    <n v="6506"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s v=""/>
    <x v="23"/>
    <x v="24"/>
    <x v="24"/>
    <s v="KIDS"/>
    <n v="0"/>
    <n v="0"/>
    <n v="0"/>
    <n v="320"/>
    <n v="400"/>
    <n v="500"/>
    <n v="600"/>
    <n v="748"/>
    <n v="946"/>
    <n v="1034"/>
    <n v="1166"/>
    <n v="792"/>
    <n v="6506"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s v=""/>
    <x v="23"/>
    <x v="24"/>
    <x v="24"/>
    <s v="LANCHES"/>
    <n v="0"/>
    <n v="0"/>
    <n v="0"/>
    <n v="480"/>
    <n v="600"/>
    <n v="750"/>
    <n v="900"/>
    <n v="1122"/>
    <n v="1419"/>
    <n v="1551"/>
    <n v="1749"/>
    <n v="1188"/>
    <n v="9759"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s v=""/>
    <x v="23"/>
    <x v="24"/>
    <x v="24"/>
    <s v="MAIS GRANEL"/>
    <n v="0"/>
    <n v="0"/>
    <n v="0"/>
    <n v="4000"/>
    <n v="5000"/>
    <n v="6250"/>
    <n v="7500"/>
    <n v="9350"/>
    <n v="11825"/>
    <n v="12925"/>
    <n v="14575"/>
    <n v="9900"/>
    <n v="81325"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s v=""/>
    <x v="23"/>
    <x v="24"/>
    <x v="24"/>
    <s v="NATURATTA"/>
    <n v="0"/>
    <n v="0"/>
    <n v="0"/>
    <n v="800"/>
    <n v="1000"/>
    <n v="1250"/>
    <n v="1500"/>
    <n v="1870"/>
    <n v="2365"/>
    <n v="2585"/>
    <n v="2915"/>
    <n v="1980"/>
    <n v="16265"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s v=""/>
    <x v="23"/>
    <x v="24"/>
    <x v="24"/>
    <s v="REEMBALADOS"/>
    <n v="0"/>
    <n v="0"/>
    <n v="0"/>
    <n v="800"/>
    <n v="1000"/>
    <n v="1250"/>
    <n v="1500"/>
    <n v="1870"/>
    <n v="2365"/>
    <n v="2585"/>
    <n v="2915"/>
    <n v="1980"/>
    <n v="16265"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s v=""/>
    <x v="23"/>
    <x v="24"/>
    <x v="24"/>
    <s v="S GLUTEN"/>
    <n v="0"/>
    <n v="0"/>
    <n v="0"/>
    <n v="800"/>
    <n v="1000"/>
    <n v="1250"/>
    <n v="1500"/>
    <n v="1870"/>
    <n v="2365"/>
    <n v="2585"/>
    <n v="2915"/>
    <n v="1980"/>
    <n v="16265"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s v=""/>
    <x v="23"/>
    <x v="24"/>
    <x v="24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s v=""/>
    <x v="23"/>
    <x v="24"/>
    <x v="24"/>
    <s v="SAL"/>
    <n v="0"/>
    <n v="0"/>
    <n v="0"/>
    <n v="1120"/>
    <n v="1400.0000000000002"/>
    <n v="1750.0000000000002"/>
    <n v="2100"/>
    <n v="2618.0000000000005"/>
    <n v="3311.0000000000005"/>
    <n v="3619.0000000000005"/>
    <n v="4081.0000000000005"/>
    <n v="2772.0000000000005"/>
    <n v="22771"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s v=""/>
    <x v="23"/>
    <x v="24"/>
    <x v="24"/>
    <s v="SOULPRO"/>
    <n v="0"/>
    <n v="0"/>
    <n v="0"/>
    <n v="799.99999999999989"/>
    <n v="999.99999999999989"/>
    <n v="1250"/>
    <n v="1499.9999999999998"/>
    <n v="1869.9999999999998"/>
    <n v="2365"/>
    <n v="2585"/>
    <n v="2914.9999999999995"/>
    <n v="1979.9999999999998"/>
    <n v="16265"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s v=""/>
    <x v="23"/>
    <x v="24"/>
    <x v="24"/>
    <s v="TAMARA"/>
    <n v="0"/>
    <n v="0"/>
    <n v="0"/>
    <n v="1280"/>
    <n v="1600"/>
    <n v="2000"/>
    <n v="2400"/>
    <n v="2992"/>
    <n v="3784"/>
    <n v="4136"/>
    <n v="4664"/>
    <n v="3168"/>
    <n v="26024"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s v=""/>
    <x v="23"/>
    <x v="24"/>
    <x v="24"/>
    <s v="VICCIO"/>
    <n v="0"/>
    <n v="0"/>
    <n v="0"/>
    <n v="480"/>
    <n v="600"/>
    <n v="750"/>
    <n v="900"/>
    <n v="1122"/>
    <n v="1419"/>
    <n v="1551"/>
    <n v="1749"/>
    <n v="1188"/>
    <n v="9759"/>
  </r>
  <r>
    <x v="0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n v="1"/>
    <x v="24"/>
    <x v="25"/>
    <x v="25"/>
    <s v="1. TOTAL - VENDA INTERNA SC"/>
    <n v="0"/>
    <n v="33782.999152242439"/>
    <n v="37715.827769586213"/>
    <n v="29000"/>
    <n v="35000"/>
    <n v="44000"/>
    <n v="53000"/>
    <n v="66000"/>
    <n v="83600"/>
    <n v="91300"/>
    <n v="102300"/>
    <n v="69300"/>
    <n v="573500"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s v=""/>
    <x v="24"/>
    <x v="25"/>
    <x v="25"/>
    <s v="BISCOITO"/>
    <n v="0"/>
    <n v="1213.1658168873143"/>
    <n v="1415.3601197018668"/>
    <n v="1450"/>
    <n v="1750"/>
    <n v="2200"/>
    <n v="2650"/>
    <n v="3300"/>
    <n v="4180"/>
    <n v="4565"/>
    <n v="5115"/>
    <n v="3465"/>
    <n v="28675"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s v=""/>
    <x v="24"/>
    <x v="25"/>
    <x v="25"/>
    <s v="CHOCOLATES"/>
    <n v="0"/>
    <n v="6770.655355450237"/>
    <n v="7796.5122274881523"/>
    <n v="1450"/>
    <n v="1750"/>
    <n v="2200"/>
    <n v="2650"/>
    <n v="3300"/>
    <n v="4180"/>
    <n v="4565"/>
    <n v="5115"/>
    <n v="3465"/>
    <n v="28675"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s v=""/>
    <x v="24"/>
    <x v="25"/>
    <x v="25"/>
    <s v="DISNEY"/>
    <n v="0"/>
    <n v="1766.0604444444448"/>
    <n v="1986.8180000000002"/>
    <n v="2320"/>
    <n v="2800"/>
    <n v="3520"/>
    <n v="4240"/>
    <n v="5280"/>
    <n v="6688"/>
    <n v="7304"/>
    <n v="8184"/>
    <n v="5544"/>
    <n v="45880"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s v=""/>
    <x v="24"/>
    <x v="25"/>
    <x v="25"/>
    <s v="DOCES"/>
    <n v="0"/>
    <n v="2220.2247619047621"/>
    <n v="2497.7528571428575"/>
    <n v="2900"/>
    <n v="3500"/>
    <n v="4400"/>
    <n v="5300"/>
    <n v="6600"/>
    <n v="8360"/>
    <n v="9130"/>
    <n v="10230"/>
    <n v="6930"/>
    <n v="57350"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s v=""/>
    <x v="24"/>
    <x v="25"/>
    <x v="25"/>
    <s v="GELEIA"/>
    <n v="0"/>
    <n v="748.54"/>
    <n v="748.54"/>
    <n v="579.99999999999989"/>
    <n v="699.99999999999989"/>
    <n v="879.99999999999989"/>
    <n v="1059.9999999999998"/>
    <n v="1319.9999999999998"/>
    <n v="1671.9999999999998"/>
    <n v="1825.9999999999998"/>
    <n v="2045.9999999999998"/>
    <n v="1385.9999999999998"/>
    <n v="11469.999999999998"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s v=""/>
    <x v="24"/>
    <x v="25"/>
    <x v="25"/>
    <s v="GRANOLA"/>
    <n v="0"/>
    <n v="1155.55"/>
    <n v="1365.6499999999999"/>
    <n v="580"/>
    <n v="700"/>
    <n v="880"/>
    <n v="1060"/>
    <n v="1320"/>
    <n v="1672"/>
    <n v="1826"/>
    <n v="2046"/>
    <n v="1386"/>
    <n v="11470"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s v=""/>
    <x v="24"/>
    <x v="25"/>
    <x v="25"/>
    <s v="KIDS"/>
    <n v="0"/>
    <n v="330.9942857142857"/>
    <n v="413.74285714285713"/>
    <n v="580"/>
    <n v="700"/>
    <n v="880"/>
    <n v="1060"/>
    <n v="1320"/>
    <n v="1672"/>
    <n v="1826"/>
    <n v="2046"/>
    <n v="1386"/>
    <n v="11470"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s v=""/>
    <x v="24"/>
    <x v="25"/>
    <x v="25"/>
    <s v="LANCHES"/>
    <n v="0"/>
    <n v="537.65142857142848"/>
    <n v="716.86857142857139"/>
    <n v="870"/>
    <n v="1050"/>
    <n v="1320"/>
    <n v="1590"/>
    <n v="1980"/>
    <n v="2508"/>
    <n v="2739"/>
    <n v="3069"/>
    <n v="2079"/>
    <n v="17205"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s v=""/>
    <x v="24"/>
    <x v="25"/>
    <x v="25"/>
    <s v="MAIS GRANEL"/>
    <n v="0"/>
    <n v="1548.4290909090912"/>
    <n v="1806.5006060606063"/>
    <n v="7250"/>
    <n v="8750"/>
    <n v="11000"/>
    <n v="13250"/>
    <n v="16500"/>
    <n v="20900"/>
    <n v="22825"/>
    <n v="25575"/>
    <n v="17325"/>
    <n v="143375"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s v=""/>
    <x v="24"/>
    <x v="25"/>
    <x v="25"/>
    <s v="NATURATTA"/>
    <n v="0"/>
    <n v="2667.6642857142851"/>
    <n v="2981.5071428571423"/>
    <n v="1450"/>
    <n v="1750"/>
    <n v="2200"/>
    <n v="2650"/>
    <n v="3300"/>
    <n v="4180"/>
    <n v="4565"/>
    <n v="5115"/>
    <n v="3465"/>
    <n v="28675"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s v=""/>
    <x v="24"/>
    <x v="25"/>
    <x v="25"/>
    <s v="REEMBALADOS"/>
    <n v="0"/>
    <n v="717.60533333333331"/>
    <n v="717.60533333333331"/>
    <n v="1450"/>
    <n v="1750"/>
    <n v="2200"/>
    <n v="2650"/>
    <n v="3300"/>
    <n v="4180"/>
    <n v="4565"/>
    <n v="5115"/>
    <n v="3465"/>
    <n v="28675"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s v=""/>
    <x v="24"/>
    <x v="25"/>
    <x v="25"/>
    <s v="S GLUTEN"/>
    <n v="0"/>
    <n v="510.92325581395346"/>
    <n v="510.92325581395346"/>
    <n v="1450"/>
    <n v="1750"/>
    <n v="2200"/>
    <n v="2650"/>
    <n v="3300"/>
    <n v="4180"/>
    <n v="4565"/>
    <n v="5115"/>
    <n v="3465"/>
    <n v="28675"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s v=""/>
    <x v="24"/>
    <x v="25"/>
    <x v="25"/>
    <s v="SABORES DO CAMPO"/>
    <n v="0"/>
    <n v="286.31733333333335"/>
    <n v="357.8966666666667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s v=""/>
    <x v="24"/>
    <x v="25"/>
    <x v="25"/>
    <s v="SAL"/>
    <n v="0"/>
    <n v="122.69999999999999"/>
    <n v="122.69999999999999"/>
    <n v="2030.0000000000002"/>
    <n v="2450.0000000000005"/>
    <n v="3080.0000000000005"/>
    <n v="3710.0000000000005"/>
    <n v="4620"/>
    <n v="5852.0000000000009"/>
    <n v="6391.0000000000009"/>
    <n v="7161.0000000000009"/>
    <n v="4851.0000000000009"/>
    <n v="40145.000000000007"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s v=""/>
    <x v="24"/>
    <x v="25"/>
    <x v="25"/>
    <s v="SOULPRO"/>
    <n v="0"/>
    <n v="6248.8155601659728"/>
    <n v="6983.970331950205"/>
    <n v="1449.9999999999998"/>
    <n v="1749.9999999999998"/>
    <n v="2200"/>
    <n v="2650"/>
    <n v="3299.9999999999995"/>
    <n v="4180"/>
    <n v="4565"/>
    <n v="5115"/>
    <n v="3464.9999999999995"/>
    <n v="28675"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s v=""/>
    <x v="24"/>
    <x v="25"/>
    <x v="25"/>
    <s v="TAMARA"/>
    <n v="0"/>
    <n v="5179.7790000000005"/>
    <n v="5389.0630000000001"/>
    <n v="2320"/>
    <n v="2800"/>
    <n v="3520"/>
    <n v="4240"/>
    <n v="5280"/>
    <n v="6688"/>
    <n v="7304"/>
    <n v="8184"/>
    <n v="5544"/>
    <n v="45880"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s v=""/>
    <x v="24"/>
    <x v="25"/>
    <x v="25"/>
    <s v="VICCIO"/>
    <n v="0"/>
    <n v="1757.9232000000002"/>
    <n v="1904.4168000000002"/>
    <n v="870"/>
    <n v="1050"/>
    <n v="1320"/>
    <n v="1590"/>
    <n v="1980"/>
    <n v="2508"/>
    <n v="2739"/>
    <n v="3069"/>
    <n v="2079"/>
    <n v="17205"/>
  </r>
  <r>
    <x v="0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n v="1"/>
    <x v="23"/>
    <x v="26"/>
    <x v="26"/>
    <s v="1. TOTAL - VENDA INTERNA - DIVINA TERRA"/>
    <n v="0"/>
    <n v="41548.624474309938"/>
    <n v="47456.104222161186"/>
    <n v="4000"/>
    <n v="4000"/>
    <n v="5000"/>
    <n v="6000"/>
    <n v="7700"/>
    <n v="9900"/>
    <n v="9900"/>
    <n v="12100"/>
    <n v="7700"/>
    <n v="6630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3"/>
    <x v="26"/>
    <x v="26"/>
    <s v="BISCOITO"/>
    <n v="0"/>
    <n v="1567.0058468127811"/>
    <n v="1819.7487253309716"/>
    <n v="200"/>
    <n v="200"/>
    <n v="250"/>
    <n v="300"/>
    <n v="385"/>
    <n v="495"/>
    <n v="495"/>
    <n v="605"/>
    <n v="385"/>
    <n v="3315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3"/>
    <x v="26"/>
    <x v="26"/>
    <s v="CHOCOLATES"/>
    <n v="0"/>
    <n v="7180.9981042654035"/>
    <n v="8206.8549763033188"/>
    <n v="200"/>
    <n v="200"/>
    <n v="250"/>
    <n v="300"/>
    <n v="385"/>
    <n v="495"/>
    <n v="495"/>
    <n v="605"/>
    <n v="385"/>
    <n v="3315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3"/>
    <x v="26"/>
    <x v="26"/>
    <s v="DISNEY"/>
    <n v="0"/>
    <n v="2317.9543333333336"/>
    <n v="2649.0906666666669"/>
    <n v="320"/>
    <n v="320"/>
    <n v="400"/>
    <n v="480"/>
    <n v="616"/>
    <n v="792"/>
    <n v="792"/>
    <n v="968"/>
    <n v="616"/>
    <n v="5304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3"/>
    <x v="26"/>
    <x v="26"/>
    <s v="DOCES"/>
    <n v="0"/>
    <n v="2358.9888095238098"/>
    <n v="2636.5169047619052"/>
    <n v="400"/>
    <n v="400"/>
    <n v="500"/>
    <n v="600"/>
    <n v="770"/>
    <n v="990"/>
    <n v="990"/>
    <n v="1210"/>
    <n v="770"/>
    <n v="663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3"/>
    <x v="26"/>
    <x v="26"/>
    <s v="GELEIA"/>
    <n v="0"/>
    <n v="1122.81"/>
    <n v="1247.5666666666666"/>
    <n v="79.999999999999986"/>
    <n v="79.999999999999986"/>
    <n v="99.999999999999986"/>
    <n v="119.99999999999999"/>
    <n v="153.99999999999997"/>
    <n v="197.99999999999997"/>
    <n v="197.99999999999997"/>
    <n v="241.99999999999997"/>
    <n v="153.99999999999997"/>
    <n v="1325.9999999999998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3"/>
    <x v="26"/>
    <x v="26"/>
    <s v="GRANOLA"/>
    <n v="0"/>
    <n v="1680.8"/>
    <n v="1890.8999999999999"/>
    <n v="80"/>
    <n v="80"/>
    <n v="100"/>
    <n v="120"/>
    <n v="154"/>
    <n v="198"/>
    <n v="198"/>
    <n v="242"/>
    <n v="154"/>
    <n v="1326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3"/>
    <x v="26"/>
    <x v="26"/>
    <s v="KIDS"/>
    <n v="0"/>
    <n v="413.74285714285713"/>
    <n v="496.49142857142851"/>
    <n v="80"/>
    <n v="80"/>
    <n v="100"/>
    <n v="120"/>
    <n v="154"/>
    <n v="198"/>
    <n v="198"/>
    <n v="242"/>
    <n v="154"/>
    <n v="1326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3"/>
    <x v="26"/>
    <x v="26"/>
    <s v="LANCHES"/>
    <n v="0"/>
    <n v="627.26"/>
    <n v="716.86857142857139"/>
    <n v="120"/>
    <n v="120"/>
    <n v="150"/>
    <n v="180"/>
    <n v="231"/>
    <n v="297"/>
    <n v="297"/>
    <n v="363"/>
    <n v="231"/>
    <n v="1989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3"/>
    <x v="26"/>
    <x v="26"/>
    <s v="MAIS GRANEL"/>
    <n v="0"/>
    <n v="1892.5244444444447"/>
    <n v="2236.6197979797985"/>
    <n v="1000"/>
    <n v="1000"/>
    <n v="1250"/>
    <n v="1500"/>
    <n v="1925"/>
    <n v="2475"/>
    <n v="2475"/>
    <n v="3025"/>
    <n v="1925"/>
    <n v="16575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3"/>
    <x v="26"/>
    <x v="26"/>
    <s v="NATURATTA"/>
    <n v="0"/>
    <n v="2981.5071428571423"/>
    <n v="3452.2714285714283"/>
    <n v="200"/>
    <n v="200"/>
    <n v="250"/>
    <n v="300"/>
    <n v="385"/>
    <n v="495"/>
    <n v="495"/>
    <n v="605"/>
    <n v="385"/>
    <n v="3315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3"/>
    <x v="26"/>
    <x v="26"/>
    <s v="REEMBALADOS"/>
    <n v="0"/>
    <n v="956.80711111111111"/>
    <n v="1196.0088888888888"/>
    <n v="200"/>
    <n v="200"/>
    <n v="250"/>
    <n v="300"/>
    <n v="385"/>
    <n v="495"/>
    <n v="495"/>
    <n v="605"/>
    <n v="385"/>
    <n v="3315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3"/>
    <x v="26"/>
    <x v="26"/>
    <s v="S GLUTEN"/>
    <n v="0"/>
    <n v="613.10790697674406"/>
    <n v="715.29255813953478"/>
    <n v="200"/>
    <n v="200"/>
    <n v="250"/>
    <n v="300"/>
    <n v="385"/>
    <n v="495"/>
    <n v="495"/>
    <n v="605"/>
    <n v="385"/>
    <n v="3315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3"/>
    <x v="26"/>
    <x v="26"/>
    <s v="SABORES DO CAMPO"/>
    <n v="0"/>
    <n v="429.476"/>
    <n v="501.05533333333335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3"/>
    <x v="26"/>
    <x v="26"/>
    <s v="SAL"/>
    <n v="0"/>
    <n v="81.8"/>
    <n v="81.8"/>
    <n v="280"/>
    <n v="280"/>
    <n v="350.00000000000006"/>
    <n v="420.00000000000006"/>
    <n v="539"/>
    <n v="693.00000000000011"/>
    <n v="693.00000000000011"/>
    <n v="847.00000000000011"/>
    <n v="539"/>
    <n v="4641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3"/>
    <x v="26"/>
    <x v="26"/>
    <s v="SOULPRO"/>
    <n v="0"/>
    <n v="7351.5477178423216"/>
    <n v="8454.2798755186705"/>
    <n v="199.99999999999997"/>
    <n v="199.99999999999997"/>
    <n v="249.99999999999997"/>
    <n v="300"/>
    <n v="384.99999999999994"/>
    <n v="494.99999999999994"/>
    <n v="494.99999999999994"/>
    <n v="605"/>
    <n v="384.99999999999994"/>
    <n v="3314.9999999999995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3"/>
    <x v="26"/>
    <x v="26"/>
    <s v="TAMARA"/>
    <n v="0"/>
    <n v="7481.9030000000012"/>
    <n v="8371.36"/>
    <n v="320"/>
    <n v="320"/>
    <n v="400"/>
    <n v="480"/>
    <n v="616"/>
    <n v="792"/>
    <n v="792"/>
    <n v="968"/>
    <n v="616"/>
    <n v="5304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3"/>
    <x v="26"/>
    <x v="26"/>
    <s v="VICCIO"/>
    <n v="0"/>
    <n v="2490.3912"/>
    <n v="2783.3784000000005"/>
    <n v="120"/>
    <n v="120"/>
    <n v="150"/>
    <n v="180"/>
    <n v="231"/>
    <n v="297"/>
    <n v="297"/>
    <n v="363"/>
    <n v="231"/>
    <n v="1989"/>
  </r>
  <r>
    <x v="0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n v="1"/>
    <x v="24"/>
    <x v="27"/>
    <x v="27"/>
    <s v="1. TOTAL - VENDA INTERNA - FITLAND"/>
    <n v="0"/>
    <n v="10568.294327098127"/>
    <n v="12029.078970466311"/>
    <n v="5000"/>
    <n v="6000"/>
    <n v="7000"/>
    <n v="9000"/>
    <n v="11000"/>
    <n v="13200"/>
    <n v="14300"/>
    <n v="16500"/>
    <n v="11000"/>
    <n v="9300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4"/>
    <x v="27"/>
    <x v="27"/>
    <s v="BISCOITO"/>
    <n v="0"/>
    <n v="404.3886056291048"/>
    <n v="505.48575703638102"/>
    <n v="250"/>
    <n v="300"/>
    <n v="350"/>
    <n v="450"/>
    <n v="550"/>
    <n v="660"/>
    <n v="715"/>
    <n v="825"/>
    <n v="550"/>
    <n v="465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4"/>
    <x v="27"/>
    <x v="27"/>
    <s v="CHOCOLATES"/>
    <n v="0"/>
    <n v="2462.0564928909953"/>
    <n v="2872.3992417061613"/>
    <n v="250"/>
    <n v="300"/>
    <n v="350"/>
    <n v="450"/>
    <n v="550"/>
    <n v="660"/>
    <n v="715"/>
    <n v="825"/>
    <n v="550"/>
    <n v="465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4"/>
    <x v="27"/>
    <x v="27"/>
    <s v="DISNEY"/>
    <n v="0"/>
    <n v="441.5151111111112"/>
    <n v="551.89388888888902"/>
    <n v="400"/>
    <n v="480"/>
    <n v="560"/>
    <n v="720"/>
    <n v="880"/>
    <n v="1056"/>
    <n v="1144"/>
    <n v="1320"/>
    <n v="880"/>
    <n v="744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4"/>
    <x v="27"/>
    <x v="27"/>
    <s v="DOCES"/>
    <n v="0"/>
    <n v="555.05619047619052"/>
    <n v="555.05619047619052"/>
    <n v="500"/>
    <n v="600"/>
    <n v="700"/>
    <n v="900"/>
    <n v="1100"/>
    <n v="1320"/>
    <n v="1430"/>
    <n v="1650"/>
    <n v="1100"/>
    <n v="930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4"/>
    <x v="27"/>
    <x v="27"/>
    <s v="GELEIA"/>
    <n v="0"/>
    <n v="124.75666666666666"/>
    <n v="249.51333333333332"/>
    <n v="99.999999999999986"/>
    <n v="119.99999999999999"/>
    <n v="139.99999999999997"/>
    <n v="179.99999999999997"/>
    <n v="219.99999999999997"/>
    <n v="263.99999999999994"/>
    <n v="285.99999999999994"/>
    <n v="329.99999999999994"/>
    <n v="219.99999999999997"/>
    <n v="1859.9999999999998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4"/>
    <x v="27"/>
    <x v="27"/>
    <s v="GRANOLA"/>
    <n v="0"/>
    <n v="315.14999999999998"/>
    <n v="420.2"/>
    <n v="100"/>
    <n v="120"/>
    <n v="140"/>
    <n v="180"/>
    <n v="220"/>
    <n v="264"/>
    <n v="286"/>
    <n v="330"/>
    <n v="220"/>
    <n v="186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4"/>
    <x v="27"/>
    <x v="27"/>
    <s v="KIDS"/>
    <n v="0"/>
    <n v="165.49714285714285"/>
    <n v="165.49714285714285"/>
    <n v="100"/>
    <n v="120"/>
    <n v="140"/>
    <n v="180"/>
    <n v="220"/>
    <n v="264"/>
    <n v="286"/>
    <n v="330"/>
    <n v="220"/>
    <n v="186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4"/>
    <x v="27"/>
    <x v="27"/>
    <s v="LANCHES"/>
    <n v="0"/>
    <n v="89.608571428571423"/>
    <n v="179.21714285714285"/>
    <n v="150"/>
    <n v="180"/>
    <n v="210"/>
    <n v="270"/>
    <n v="330"/>
    <n v="396"/>
    <n v="429"/>
    <n v="495"/>
    <n v="330"/>
    <n v="279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4"/>
    <x v="27"/>
    <x v="27"/>
    <s v="MAIS GRANEL"/>
    <n v="0"/>
    <n v="516.1430303030304"/>
    <n v="602.16686868686872"/>
    <n v="1250"/>
    <n v="1500"/>
    <n v="1750"/>
    <n v="2250"/>
    <n v="2750"/>
    <n v="3300"/>
    <n v="3575"/>
    <n v="4125"/>
    <n v="2750"/>
    <n v="2325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4"/>
    <x v="27"/>
    <x v="27"/>
    <s v="NATURATTA"/>
    <n v="0"/>
    <n v="627.6857142857142"/>
    <n v="627.6857142857142"/>
    <n v="250"/>
    <n v="300"/>
    <n v="350"/>
    <n v="450"/>
    <n v="550"/>
    <n v="660"/>
    <n v="715"/>
    <n v="825"/>
    <n v="550"/>
    <n v="465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4"/>
    <x v="27"/>
    <x v="27"/>
    <s v="REEMBALADOS"/>
    <n v="0"/>
    <n v="119.60088888888889"/>
    <n v="239.20177777777778"/>
    <n v="250"/>
    <n v="300"/>
    <n v="350"/>
    <n v="450"/>
    <n v="550"/>
    <n v="660"/>
    <n v="715"/>
    <n v="825"/>
    <n v="550"/>
    <n v="465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4"/>
    <x v="27"/>
    <x v="27"/>
    <s v="S GLUTEN"/>
    <n v="0"/>
    <n v="204.36930232558137"/>
    <n v="204.36930232558137"/>
    <n v="250"/>
    <n v="300"/>
    <n v="350"/>
    <n v="450"/>
    <n v="550"/>
    <n v="660"/>
    <n v="715"/>
    <n v="825"/>
    <n v="550"/>
    <n v="465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4"/>
    <x v="27"/>
    <x v="27"/>
    <s v="SABORES DO CAMPO"/>
    <n v="0"/>
    <n v="143.15866666666668"/>
    <n v="143.15866666666668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4"/>
    <x v="27"/>
    <x v="27"/>
    <s v="SAL"/>
    <n v="0"/>
    <n v="40.9"/>
    <n v="40.9"/>
    <n v="350.00000000000006"/>
    <n v="420.00000000000006"/>
    <n v="490.00000000000006"/>
    <n v="630.00000000000011"/>
    <n v="770.00000000000011"/>
    <n v="924.00000000000011"/>
    <n v="1001.0000000000001"/>
    <n v="1155"/>
    <n v="770.00000000000011"/>
    <n v="6510.0000000000009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4"/>
    <x v="27"/>
    <x v="27"/>
    <s v="SOULPRO"/>
    <n v="0"/>
    <n v="1470.3095435684643"/>
    <n v="1470.3095435684643"/>
    <n v="249.99999999999997"/>
    <n v="300"/>
    <n v="349.99999999999994"/>
    <n v="449.99999999999994"/>
    <n v="550"/>
    <n v="660"/>
    <n v="714.99999999999989"/>
    <n v="824.99999999999989"/>
    <n v="550"/>
    <n v="465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4"/>
    <x v="27"/>
    <x v="27"/>
    <s v="TAMARA"/>
    <n v="0"/>
    <n v="2302.1240000000003"/>
    <n v="2616.0500000000002"/>
    <n v="400"/>
    <n v="480"/>
    <n v="560"/>
    <n v="720"/>
    <n v="880"/>
    <n v="1056"/>
    <n v="1144"/>
    <n v="1320"/>
    <n v="880"/>
    <n v="744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4"/>
    <x v="27"/>
    <x v="27"/>
    <s v="VICCIO"/>
    <n v="0"/>
    <n v="585.97440000000006"/>
    <n v="585.97440000000006"/>
    <n v="150"/>
    <n v="180"/>
    <n v="210"/>
    <n v="270"/>
    <n v="330"/>
    <n v="396"/>
    <n v="429"/>
    <n v="495"/>
    <n v="330"/>
    <n v="2790"/>
  </r>
  <r>
    <x v="0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n v="1"/>
    <x v="23"/>
    <x v="28"/>
    <x v="28"/>
    <s v="1. TOTAL - VENDA INTERNA - JARDIM DAS ERVAS"/>
    <n v="0"/>
    <n v="10568.294327098127"/>
    <n v="12029.078970466311"/>
    <n v="1000"/>
    <n v="1000"/>
    <n v="1000"/>
    <n v="1000"/>
    <n v="1100"/>
    <n v="1100"/>
    <n v="1100"/>
    <n v="2200"/>
    <n v="1100"/>
    <n v="1060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3"/>
    <x v="28"/>
    <x v="28"/>
    <s v="BISCOITO"/>
    <n v="0"/>
    <n v="404.3886056291048"/>
    <n v="505.48575703638102"/>
    <n v="50"/>
    <n v="50"/>
    <n v="50"/>
    <n v="50"/>
    <n v="55"/>
    <n v="55"/>
    <n v="55"/>
    <n v="110"/>
    <n v="55"/>
    <n v="53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3"/>
    <x v="28"/>
    <x v="28"/>
    <s v="CHOCOLATES"/>
    <n v="0"/>
    <n v="2462.0564928909953"/>
    <n v="2872.3992417061613"/>
    <n v="50"/>
    <n v="50"/>
    <n v="50"/>
    <n v="50"/>
    <n v="55"/>
    <n v="55"/>
    <n v="55"/>
    <n v="110"/>
    <n v="55"/>
    <n v="53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3"/>
    <x v="28"/>
    <x v="28"/>
    <s v="DISNEY"/>
    <n v="0"/>
    <n v="441.5151111111112"/>
    <n v="551.89388888888902"/>
    <n v="80"/>
    <n v="80"/>
    <n v="80"/>
    <n v="80"/>
    <n v="88"/>
    <n v="88"/>
    <n v="88"/>
    <n v="176"/>
    <n v="88"/>
    <n v="848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3"/>
    <x v="28"/>
    <x v="28"/>
    <s v="DOCES"/>
    <n v="0"/>
    <n v="555.05619047619052"/>
    <n v="555.05619047619052"/>
    <n v="100"/>
    <n v="100"/>
    <n v="100"/>
    <n v="100"/>
    <n v="110"/>
    <n v="110"/>
    <n v="110"/>
    <n v="220"/>
    <n v="110"/>
    <n v="106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3"/>
    <x v="28"/>
    <x v="28"/>
    <s v="GELEIA"/>
    <n v="0"/>
    <n v="124.75666666666666"/>
    <n v="249.51333333333332"/>
    <n v="19.999999999999996"/>
    <n v="19.999999999999996"/>
    <n v="19.999999999999996"/>
    <n v="19.999999999999996"/>
    <n v="21.999999999999996"/>
    <n v="21.999999999999996"/>
    <n v="21.999999999999996"/>
    <n v="43.999999999999993"/>
    <n v="21.999999999999996"/>
    <n v="211.99999999999997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3"/>
    <x v="28"/>
    <x v="28"/>
    <s v="GRANOLA"/>
    <n v="0"/>
    <n v="315.14999999999998"/>
    <n v="420.2"/>
    <n v="20"/>
    <n v="20"/>
    <n v="20"/>
    <n v="20"/>
    <n v="22"/>
    <n v="22"/>
    <n v="22"/>
    <n v="44"/>
    <n v="22"/>
    <n v="212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3"/>
    <x v="28"/>
    <x v="28"/>
    <s v="KIDS"/>
    <n v="0"/>
    <n v="165.49714285714285"/>
    <n v="165.49714285714285"/>
    <n v="20"/>
    <n v="20"/>
    <n v="20"/>
    <n v="20"/>
    <n v="22"/>
    <n v="22"/>
    <n v="22"/>
    <n v="44"/>
    <n v="22"/>
    <n v="212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3"/>
    <x v="28"/>
    <x v="28"/>
    <s v="LANCHES"/>
    <n v="0"/>
    <n v="89.608571428571423"/>
    <n v="179.21714285714285"/>
    <n v="30"/>
    <n v="30"/>
    <n v="30"/>
    <n v="30"/>
    <n v="33"/>
    <n v="33"/>
    <n v="33"/>
    <n v="66"/>
    <n v="33"/>
    <n v="318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3"/>
    <x v="28"/>
    <x v="28"/>
    <s v="MAIS GRANEL"/>
    <n v="0"/>
    <n v="516.1430303030304"/>
    <n v="602.16686868686872"/>
    <n v="250"/>
    <n v="250"/>
    <n v="250"/>
    <n v="250"/>
    <n v="275"/>
    <n v="275"/>
    <n v="275"/>
    <n v="550"/>
    <n v="275"/>
    <n v="265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3"/>
    <x v="28"/>
    <x v="28"/>
    <s v="NATURATTA"/>
    <n v="0"/>
    <n v="627.6857142857142"/>
    <n v="627.6857142857142"/>
    <n v="50"/>
    <n v="50"/>
    <n v="50"/>
    <n v="50"/>
    <n v="55"/>
    <n v="55"/>
    <n v="55"/>
    <n v="110"/>
    <n v="55"/>
    <n v="53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3"/>
    <x v="28"/>
    <x v="28"/>
    <s v="REEMBALADOS"/>
    <n v="0"/>
    <n v="119.60088888888889"/>
    <n v="239.20177777777778"/>
    <n v="50"/>
    <n v="50"/>
    <n v="50"/>
    <n v="50"/>
    <n v="55"/>
    <n v="55"/>
    <n v="55"/>
    <n v="110"/>
    <n v="55"/>
    <n v="53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3"/>
    <x v="28"/>
    <x v="28"/>
    <s v="S GLUTEN"/>
    <n v="0"/>
    <n v="204.36930232558137"/>
    <n v="204.36930232558137"/>
    <n v="50"/>
    <n v="50"/>
    <n v="50"/>
    <n v="50"/>
    <n v="55"/>
    <n v="55"/>
    <n v="55"/>
    <n v="110"/>
    <n v="55"/>
    <n v="53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3"/>
    <x v="28"/>
    <x v="28"/>
    <s v="SABORES DO CAMPO"/>
    <n v="0"/>
    <n v="143.15866666666668"/>
    <n v="143.15866666666668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3"/>
    <x v="28"/>
    <x v="28"/>
    <s v="SAL"/>
    <n v="0"/>
    <n v="40.9"/>
    <n v="40.9"/>
    <n v="70"/>
    <n v="70"/>
    <n v="70"/>
    <n v="70"/>
    <n v="77.000000000000014"/>
    <n v="77.000000000000014"/>
    <n v="77.000000000000014"/>
    <n v="154.00000000000003"/>
    <n v="77.000000000000014"/>
    <n v="742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3"/>
    <x v="28"/>
    <x v="28"/>
    <s v="SOULPRO"/>
    <n v="0"/>
    <n v="1470.3095435684643"/>
    <n v="1470.3095435684643"/>
    <n v="49.999999999999993"/>
    <n v="49.999999999999993"/>
    <n v="49.999999999999993"/>
    <n v="49.999999999999993"/>
    <n v="54.999999999999993"/>
    <n v="54.999999999999993"/>
    <n v="54.999999999999993"/>
    <n v="109.99999999999999"/>
    <n v="54.999999999999993"/>
    <n v="529.99999999999989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3"/>
    <x v="28"/>
    <x v="28"/>
    <s v="TAMARA"/>
    <n v="0"/>
    <n v="2302.1240000000003"/>
    <n v="2616.0500000000002"/>
    <n v="80"/>
    <n v="80"/>
    <n v="80"/>
    <n v="80"/>
    <n v="88"/>
    <n v="88"/>
    <n v="88"/>
    <n v="176"/>
    <n v="88"/>
    <n v="848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3"/>
    <x v="28"/>
    <x v="28"/>
    <s v="VICCIO"/>
    <n v="0"/>
    <n v="585.97440000000006"/>
    <n v="585.97440000000006"/>
    <n v="30"/>
    <n v="30"/>
    <n v="30"/>
    <n v="30"/>
    <n v="33"/>
    <n v="33"/>
    <n v="33"/>
    <n v="66"/>
    <n v="33"/>
    <n v="318"/>
  </r>
  <r>
    <x v="0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n v="1"/>
    <x v="22"/>
    <x v="29"/>
    <x v="29"/>
    <s v="1. TOTAL - VANDA INTERNA - VIDA LEVE"/>
    <n v="0"/>
    <n v="10568.294327098127"/>
    <n v="12029.078970466311"/>
    <n v="1000"/>
    <n v="1000"/>
    <n v="2000"/>
    <n v="2000"/>
    <n v="2200"/>
    <n v="3300"/>
    <n v="3300"/>
    <n v="3300"/>
    <n v="2200"/>
    <n v="2030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2"/>
    <x v="29"/>
    <x v="29"/>
    <s v="BISCOITO"/>
    <n v="0"/>
    <n v="404.3886056291048"/>
    <n v="505.48575703638102"/>
    <n v="50"/>
    <n v="50"/>
    <n v="100"/>
    <n v="100"/>
    <n v="110"/>
    <n v="165"/>
    <n v="165"/>
    <n v="165"/>
    <n v="110"/>
    <n v="1015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2"/>
    <x v="29"/>
    <x v="29"/>
    <s v="CHOCOLATES"/>
    <n v="0"/>
    <n v="2462.0564928909953"/>
    <n v="2872.3992417061613"/>
    <n v="50"/>
    <n v="50"/>
    <n v="100"/>
    <n v="100"/>
    <n v="110"/>
    <n v="165"/>
    <n v="165"/>
    <n v="165"/>
    <n v="110"/>
    <n v="1015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2"/>
    <x v="29"/>
    <x v="29"/>
    <s v="DISNEY"/>
    <n v="0"/>
    <n v="441.5151111111112"/>
    <n v="551.89388888888902"/>
    <n v="80"/>
    <n v="80"/>
    <n v="160"/>
    <n v="160"/>
    <n v="176"/>
    <n v="264"/>
    <n v="264"/>
    <n v="264"/>
    <n v="176"/>
    <n v="1624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2"/>
    <x v="29"/>
    <x v="29"/>
    <s v="DOCES"/>
    <n v="0"/>
    <n v="555.05619047619052"/>
    <n v="555.05619047619052"/>
    <n v="100"/>
    <n v="100"/>
    <n v="200"/>
    <n v="200"/>
    <n v="220"/>
    <n v="330"/>
    <n v="330"/>
    <n v="330"/>
    <n v="220"/>
    <n v="203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2"/>
    <x v="29"/>
    <x v="29"/>
    <s v="GELEIA"/>
    <n v="0"/>
    <n v="124.75666666666666"/>
    <n v="249.51333333333332"/>
    <n v="19.999999999999996"/>
    <n v="19.999999999999996"/>
    <n v="39.999999999999993"/>
    <n v="39.999999999999993"/>
    <n v="43.999999999999993"/>
    <n v="65.999999999999986"/>
    <n v="65.999999999999986"/>
    <n v="65.999999999999986"/>
    <n v="43.999999999999993"/>
    <n v="405.99999999999994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2"/>
    <x v="29"/>
    <x v="29"/>
    <s v="GRANOLA"/>
    <n v="0"/>
    <n v="315.14999999999998"/>
    <n v="420.2"/>
    <n v="20"/>
    <n v="20"/>
    <n v="40"/>
    <n v="40"/>
    <n v="44"/>
    <n v="66"/>
    <n v="66"/>
    <n v="66"/>
    <n v="44"/>
    <n v="406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2"/>
    <x v="29"/>
    <x v="29"/>
    <s v="KIDS"/>
    <n v="0"/>
    <n v="165.49714285714285"/>
    <n v="165.49714285714285"/>
    <n v="20"/>
    <n v="20"/>
    <n v="40"/>
    <n v="40"/>
    <n v="44"/>
    <n v="66"/>
    <n v="66"/>
    <n v="66"/>
    <n v="44"/>
    <n v="406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2"/>
    <x v="29"/>
    <x v="29"/>
    <s v="LANCHES"/>
    <n v="0"/>
    <n v="89.608571428571423"/>
    <n v="179.21714285714285"/>
    <n v="30"/>
    <n v="30"/>
    <n v="60"/>
    <n v="60"/>
    <n v="66"/>
    <n v="99"/>
    <n v="99"/>
    <n v="99"/>
    <n v="66"/>
    <n v="609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2"/>
    <x v="29"/>
    <x v="29"/>
    <s v="MAIS GRANEL"/>
    <n v="0"/>
    <n v="516.1430303030304"/>
    <n v="602.16686868686872"/>
    <n v="250"/>
    <n v="250"/>
    <n v="500"/>
    <n v="500"/>
    <n v="550"/>
    <n v="825"/>
    <n v="825"/>
    <n v="825"/>
    <n v="550"/>
    <n v="5075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2"/>
    <x v="29"/>
    <x v="29"/>
    <s v="NATURATTA"/>
    <n v="0"/>
    <n v="627.6857142857142"/>
    <n v="627.6857142857142"/>
    <n v="50"/>
    <n v="50"/>
    <n v="100"/>
    <n v="100"/>
    <n v="110"/>
    <n v="165"/>
    <n v="165"/>
    <n v="165"/>
    <n v="110"/>
    <n v="1015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2"/>
    <x v="29"/>
    <x v="29"/>
    <s v="REEMBALADOS"/>
    <n v="0"/>
    <n v="119.60088888888889"/>
    <n v="239.20177777777778"/>
    <n v="50"/>
    <n v="50"/>
    <n v="100"/>
    <n v="100"/>
    <n v="110"/>
    <n v="165"/>
    <n v="165"/>
    <n v="165"/>
    <n v="110"/>
    <n v="1015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2"/>
    <x v="29"/>
    <x v="29"/>
    <s v="S GLUTEN"/>
    <n v="0"/>
    <n v="204.36930232558137"/>
    <n v="204.36930232558137"/>
    <n v="50"/>
    <n v="50"/>
    <n v="100"/>
    <n v="100"/>
    <n v="110"/>
    <n v="165"/>
    <n v="165"/>
    <n v="165"/>
    <n v="110"/>
    <n v="1015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2"/>
    <x v="29"/>
    <x v="29"/>
    <s v="SABORES DO CAMPO"/>
    <n v="0"/>
    <n v="143.15866666666668"/>
    <n v="143.15866666666668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2"/>
    <x v="29"/>
    <x v="29"/>
    <s v="SAL"/>
    <n v="0"/>
    <n v="40.9"/>
    <n v="40.9"/>
    <n v="70"/>
    <n v="70"/>
    <n v="140"/>
    <n v="140"/>
    <n v="154.00000000000003"/>
    <n v="231.00000000000003"/>
    <n v="231.00000000000003"/>
    <n v="231.00000000000003"/>
    <n v="154.00000000000003"/>
    <n v="1421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2"/>
    <x v="29"/>
    <x v="29"/>
    <s v="SOULPRO"/>
    <n v="0"/>
    <n v="1470.3095435684643"/>
    <n v="1470.3095435684643"/>
    <n v="49.999999999999993"/>
    <n v="49.999999999999993"/>
    <n v="99.999999999999986"/>
    <n v="99.999999999999986"/>
    <n v="109.99999999999999"/>
    <n v="165"/>
    <n v="165"/>
    <n v="165"/>
    <n v="109.99999999999999"/>
    <n v="1015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2"/>
    <x v="29"/>
    <x v="29"/>
    <s v="TAMARA"/>
    <n v="0"/>
    <n v="2302.1240000000003"/>
    <n v="2616.0500000000002"/>
    <n v="80"/>
    <n v="80"/>
    <n v="160"/>
    <n v="160"/>
    <n v="176"/>
    <n v="264"/>
    <n v="264"/>
    <n v="264"/>
    <n v="176"/>
    <n v="1624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2"/>
    <x v="29"/>
    <x v="29"/>
    <s v="VICCIO"/>
    <n v="0"/>
    <n v="585.97440000000006"/>
    <n v="585.97440000000006"/>
    <n v="30"/>
    <n v="30"/>
    <n v="60"/>
    <n v="60"/>
    <n v="66"/>
    <n v="99"/>
    <n v="99"/>
    <n v="99"/>
    <n v="66"/>
    <n v="609"/>
  </r>
  <r>
    <x v="0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n v="1"/>
    <x v="3"/>
    <x v="30"/>
    <x v="30"/>
    <s v="1. TOTAL - VENDA INTERNA - BIO MUNDO"/>
    <n v="0"/>
    <n v="10568.294327098127"/>
    <n v="12029.078970466311"/>
    <n v="2000"/>
    <n v="2000"/>
    <n v="2000"/>
    <n v="3000"/>
    <n v="3300"/>
    <n v="4400"/>
    <n v="4400"/>
    <n v="5500"/>
    <n v="3300"/>
    <n v="2990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3"/>
    <x v="30"/>
    <x v="30"/>
    <s v="BISCOITO"/>
    <n v="0"/>
    <n v="404.3886056291048"/>
    <n v="505.48575703638102"/>
    <n v="100"/>
    <n v="100"/>
    <n v="100"/>
    <n v="150"/>
    <n v="165"/>
    <n v="220"/>
    <n v="220"/>
    <n v="275"/>
    <n v="165"/>
    <n v="1495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3"/>
    <x v="30"/>
    <x v="30"/>
    <s v="CHOCOLATES"/>
    <n v="0"/>
    <n v="2462.0564928909953"/>
    <n v="2872.3992417061613"/>
    <n v="100"/>
    <n v="100"/>
    <n v="100"/>
    <n v="150"/>
    <n v="165"/>
    <n v="220"/>
    <n v="220"/>
    <n v="275"/>
    <n v="165"/>
    <n v="1495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3"/>
    <x v="30"/>
    <x v="30"/>
    <s v="DISNEY"/>
    <n v="0"/>
    <n v="441.5151111111112"/>
    <n v="551.89388888888902"/>
    <n v="160"/>
    <n v="160"/>
    <n v="160"/>
    <n v="240"/>
    <n v="264"/>
    <n v="352"/>
    <n v="352"/>
    <n v="440"/>
    <n v="264"/>
    <n v="2392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3"/>
    <x v="30"/>
    <x v="30"/>
    <s v="DOCES"/>
    <n v="0"/>
    <n v="555.05619047619052"/>
    <n v="555.05619047619052"/>
    <n v="200"/>
    <n v="200"/>
    <n v="200"/>
    <n v="300"/>
    <n v="330"/>
    <n v="440"/>
    <n v="440"/>
    <n v="550"/>
    <n v="330"/>
    <n v="299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3"/>
    <x v="30"/>
    <x v="30"/>
    <s v="GELEIA"/>
    <n v="0"/>
    <n v="124.75666666666666"/>
    <n v="249.51333333333332"/>
    <n v="39.999999999999993"/>
    <n v="39.999999999999993"/>
    <n v="39.999999999999993"/>
    <n v="59.999999999999993"/>
    <n v="65.999999999999986"/>
    <n v="87.999999999999986"/>
    <n v="87.999999999999986"/>
    <n v="109.99999999999999"/>
    <n v="65.999999999999986"/>
    <n v="597.99999999999989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3"/>
    <x v="30"/>
    <x v="30"/>
    <s v="GRANOLA"/>
    <n v="0"/>
    <n v="315.14999999999998"/>
    <n v="420.2"/>
    <n v="40"/>
    <n v="40"/>
    <n v="40"/>
    <n v="60"/>
    <n v="66"/>
    <n v="88"/>
    <n v="88"/>
    <n v="110"/>
    <n v="66"/>
    <n v="598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3"/>
    <x v="30"/>
    <x v="30"/>
    <s v="KIDS"/>
    <n v="0"/>
    <n v="165.49714285714285"/>
    <n v="165.49714285714285"/>
    <n v="40"/>
    <n v="40"/>
    <n v="40"/>
    <n v="60"/>
    <n v="66"/>
    <n v="88"/>
    <n v="88"/>
    <n v="110"/>
    <n v="66"/>
    <n v="598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3"/>
    <x v="30"/>
    <x v="30"/>
    <s v="LANCHES"/>
    <n v="0"/>
    <n v="89.608571428571423"/>
    <n v="179.21714285714285"/>
    <n v="60"/>
    <n v="60"/>
    <n v="60"/>
    <n v="90"/>
    <n v="99"/>
    <n v="132"/>
    <n v="132"/>
    <n v="165"/>
    <n v="99"/>
    <n v="897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3"/>
    <x v="30"/>
    <x v="30"/>
    <s v="MAIS GRANEL"/>
    <n v="0"/>
    <n v="516.1430303030304"/>
    <n v="602.16686868686872"/>
    <n v="500"/>
    <n v="500"/>
    <n v="500"/>
    <n v="750"/>
    <n v="825"/>
    <n v="1100"/>
    <n v="1100"/>
    <n v="1375"/>
    <n v="825"/>
    <n v="7475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3"/>
    <x v="30"/>
    <x v="30"/>
    <s v="NATURATTA"/>
    <n v="0"/>
    <n v="627.6857142857142"/>
    <n v="627.6857142857142"/>
    <n v="100"/>
    <n v="100"/>
    <n v="100"/>
    <n v="150"/>
    <n v="165"/>
    <n v="220"/>
    <n v="220"/>
    <n v="275"/>
    <n v="165"/>
    <n v="1495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3"/>
    <x v="30"/>
    <x v="30"/>
    <s v="REEMBALADOS"/>
    <n v="0"/>
    <n v="119.60088888888889"/>
    <n v="239.20177777777778"/>
    <n v="100"/>
    <n v="100"/>
    <n v="100"/>
    <n v="150"/>
    <n v="165"/>
    <n v="220"/>
    <n v="220"/>
    <n v="275"/>
    <n v="165"/>
    <n v="1495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3"/>
    <x v="30"/>
    <x v="30"/>
    <s v="S GLUTEN"/>
    <n v="0"/>
    <n v="204.36930232558137"/>
    <n v="204.36930232558137"/>
    <n v="100"/>
    <n v="100"/>
    <n v="100"/>
    <n v="150"/>
    <n v="165"/>
    <n v="220"/>
    <n v="220"/>
    <n v="275"/>
    <n v="165"/>
    <n v="1495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3"/>
    <x v="30"/>
    <x v="30"/>
    <s v="SABORES DO CAMPO"/>
    <n v="0"/>
    <n v="143.15866666666668"/>
    <n v="143.15866666666668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3"/>
    <x v="30"/>
    <x v="30"/>
    <s v="SAL"/>
    <n v="0"/>
    <n v="40.9"/>
    <n v="40.9"/>
    <n v="140"/>
    <n v="140"/>
    <n v="140"/>
    <n v="210.00000000000003"/>
    <n v="231.00000000000003"/>
    <n v="308.00000000000006"/>
    <n v="308.00000000000006"/>
    <n v="385.00000000000006"/>
    <n v="231.00000000000003"/>
    <n v="2093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3"/>
    <x v="30"/>
    <x v="30"/>
    <s v="SOULPRO"/>
    <n v="0"/>
    <n v="1470.3095435684643"/>
    <n v="1470.3095435684643"/>
    <n v="99.999999999999986"/>
    <n v="99.999999999999986"/>
    <n v="99.999999999999986"/>
    <n v="150"/>
    <n v="165"/>
    <n v="219.99999999999997"/>
    <n v="219.99999999999997"/>
    <n v="275"/>
    <n v="165"/>
    <n v="1495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3"/>
    <x v="30"/>
    <x v="30"/>
    <s v="TAMARA"/>
    <n v="0"/>
    <n v="2302.1240000000003"/>
    <n v="2616.0500000000002"/>
    <n v="160"/>
    <n v="160"/>
    <n v="160"/>
    <n v="240"/>
    <n v="264"/>
    <n v="352"/>
    <n v="352"/>
    <n v="440"/>
    <n v="264"/>
    <n v="2392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3"/>
    <x v="30"/>
    <x v="30"/>
    <s v="VICCIO"/>
    <n v="0"/>
    <n v="585.97440000000006"/>
    <n v="585.97440000000006"/>
    <n v="60"/>
    <n v="60"/>
    <n v="60"/>
    <n v="90"/>
    <n v="99"/>
    <n v="132"/>
    <n v="132"/>
    <n v="165"/>
    <n v="99"/>
    <n v="897"/>
  </r>
  <r>
    <x v="0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n v="1"/>
    <x v="24"/>
    <x v="31"/>
    <x v="31"/>
    <s v="1. TOTAL - VENDA INTERNA - ARMAZEM FIT STORE"/>
    <n v="0"/>
    <n v="10568.294327098127"/>
    <n v="12029.078970466311"/>
    <n v="1000"/>
    <n v="1000"/>
    <n v="1000"/>
    <n v="1000"/>
    <n v="2200"/>
    <n v="2200"/>
    <n v="2200"/>
    <n v="2200"/>
    <n v="2200"/>
    <n v="1500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4"/>
    <x v="31"/>
    <x v="31"/>
    <s v="BISCOITO"/>
    <n v="0"/>
    <n v="404.3886056291048"/>
    <n v="505.48575703638102"/>
    <n v="50"/>
    <n v="50"/>
    <n v="50"/>
    <n v="50"/>
    <n v="110"/>
    <n v="110"/>
    <n v="110"/>
    <n v="110"/>
    <n v="110"/>
    <n v="75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4"/>
    <x v="31"/>
    <x v="31"/>
    <s v="CHOCOLATES"/>
    <n v="0"/>
    <n v="2462.0564928909953"/>
    <n v="2872.3992417061613"/>
    <n v="50"/>
    <n v="50"/>
    <n v="50"/>
    <n v="50"/>
    <n v="110"/>
    <n v="110"/>
    <n v="110"/>
    <n v="110"/>
    <n v="110"/>
    <n v="75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4"/>
    <x v="31"/>
    <x v="31"/>
    <s v="DISNEY"/>
    <n v="0"/>
    <n v="441.5151111111112"/>
    <n v="551.89388888888902"/>
    <n v="80"/>
    <n v="80"/>
    <n v="80"/>
    <n v="80"/>
    <n v="176"/>
    <n v="176"/>
    <n v="176"/>
    <n v="176"/>
    <n v="176"/>
    <n v="120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4"/>
    <x v="31"/>
    <x v="31"/>
    <s v="DOCES"/>
    <n v="0"/>
    <n v="555.05619047619052"/>
    <n v="555.05619047619052"/>
    <n v="100"/>
    <n v="100"/>
    <n v="100"/>
    <n v="100"/>
    <n v="220"/>
    <n v="220"/>
    <n v="220"/>
    <n v="220"/>
    <n v="220"/>
    <n v="150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4"/>
    <x v="31"/>
    <x v="31"/>
    <s v="GELEIA"/>
    <n v="0"/>
    <n v="124.75666666666666"/>
    <n v="249.51333333333332"/>
    <n v="19.999999999999996"/>
    <n v="19.999999999999996"/>
    <n v="19.999999999999996"/>
    <n v="19.999999999999996"/>
    <n v="43.999999999999993"/>
    <n v="43.999999999999993"/>
    <n v="43.999999999999993"/>
    <n v="43.999999999999993"/>
    <n v="43.999999999999993"/>
    <n v="299.99999999999994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4"/>
    <x v="31"/>
    <x v="31"/>
    <s v="GRANOLA"/>
    <n v="0"/>
    <n v="315.14999999999998"/>
    <n v="420.2"/>
    <n v="20"/>
    <n v="20"/>
    <n v="20"/>
    <n v="20"/>
    <n v="44"/>
    <n v="44"/>
    <n v="44"/>
    <n v="44"/>
    <n v="44"/>
    <n v="30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4"/>
    <x v="31"/>
    <x v="31"/>
    <s v="KIDS"/>
    <n v="0"/>
    <n v="165.49714285714285"/>
    <n v="165.49714285714285"/>
    <n v="20"/>
    <n v="20"/>
    <n v="20"/>
    <n v="20"/>
    <n v="44"/>
    <n v="44"/>
    <n v="44"/>
    <n v="44"/>
    <n v="44"/>
    <n v="30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4"/>
    <x v="31"/>
    <x v="31"/>
    <s v="LANCHES"/>
    <n v="0"/>
    <n v="89.608571428571423"/>
    <n v="179.21714285714285"/>
    <n v="30"/>
    <n v="30"/>
    <n v="30"/>
    <n v="30"/>
    <n v="66"/>
    <n v="66"/>
    <n v="66"/>
    <n v="66"/>
    <n v="66"/>
    <n v="45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4"/>
    <x v="31"/>
    <x v="31"/>
    <s v="MAIS GRANEL"/>
    <n v="0"/>
    <n v="516.1430303030304"/>
    <n v="602.16686868686872"/>
    <n v="250"/>
    <n v="250"/>
    <n v="250"/>
    <n v="250"/>
    <n v="550"/>
    <n v="550"/>
    <n v="550"/>
    <n v="550"/>
    <n v="550"/>
    <n v="375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4"/>
    <x v="31"/>
    <x v="31"/>
    <s v="NATURATTA"/>
    <n v="0"/>
    <n v="627.6857142857142"/>
    <n v="627.6857142857142"/>
    <n v="50"/>
    <n v="50"/>
    <n v="50"/>
    <n v="50"/>
    <n v="110"/>
    <n v="110"/>
    <n v="110"/>
    <n v="110"/>
    <n v="110"/>
    <n v="75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4"/>
    <x v="31"/>
    <x v="31"/>
    <s v="REEMBALADOS"/>
    <n v="0"/>
    <n v="119.60088888888889"/>
    <n v="239.20177777777778"/>
    <n v="50"/>
    <n v="50"/>
    <n v="50"/>
    <n v="50"/>
    <n v="110"/>
    <n v="110"/>
    <n v="110"/>
    <n v="110"/>
    <n v="110"/>
    <n v="75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4"/>
    <x v="31"/>
    <x v="31"/>
    <s v="S GLUTEN"/>
    <n v="0"/>
    <n v="204.36930232558137"/>
    <n v="204.36930232558137"/>
    <n v="50"/>
    <n v="50"/>
    <n v="50"/>
    <n v="50"/>
    <n v="110"/>
    <n v="110"/>
    <n v="110"/>
    <n v="110"/>
    <n v="110"/>
    <n v="75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4"/>
    <x v="31"/>
    <x v="31"/>
    <s v="SABORES DO CAMPO"/>
    <n v="0"/>
    <n v="143.15866666666668"/>
    <n v="143.15866666666668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4"/>
    <x v="31"/>
    <x v="31"/>
    <s v="SAL"/>
    <n v="0"/>
    <n v="40.9"/>
    <n v="40.9"/>
    <n v="70"/>
    <n v="70"/>
    <n v="70"/>
    <n v="70"/>
    <n v="154.00000000000003"/>
    <n v="154.00000000000003"/>
    <n v="154.00000000000003"/>
    <n v="154.00000000000003"/>
    <n v="154.00000000000003"/>
    <n v="105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4"/>
    <x v="31"/>
    <x v="31"/>
    <s v="SOULPRO"/>
    <n v="0"/>
    <n v="1470.3095435684643"/>
    <n v="1470.3095435684643"/>
    <n v="49.999999999999993"/>
    <n v="49.999999999999993"/>
    <n v="49.999999999999993"/>
    <n v="49.999999999999993"/>
    <n v="109.99999999999999"/>
    <n v="109.99999999999999"/>
    <n v="109.99999999999999"/>
    <n v="109.99999999999999"/>
    <n v="109.99999999999999"/>
    <n v="749.99999999999989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4"/>
    <x v="31"/>
    <x v="31"/>
    <s v="TAMARA"/>
    <n v="0"/>
    <n v="2302.1240000000003"/>
    <n v="2616.0500000000002"/>
    <n v="80"/>
    <n v="80"/>
    <n v="80"/>
    <n v="80"/>
    <n v="176"/>
    <n v="176"/>
    <n v="176"/>
    <n v="176"/>
    <n v="176"/>
    <n v="120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4"/>
    <x v="31"/>
    <x v="31"/>
    <s v="VICCIO"/>
    <n v="0"/>
    <n v="585.97440000000006"/>
    <n v="585.97440000000006"/>
    <n v="30"/>
    <n v="30"/>
    <n v="30"/>
    <n v="30"/>
    <n v="66"/>
    <n v="66"/>
    <n v="66"/>
    <n v="66"/>
    <n v="66"/>
    <n v="450"/>
  </r>
  <r>
    <x v="0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n v="1"/>
    <x v="24"/>
    <x v="32"/>
    <x v="32"/>
    <s v="1. TOTAL - VENDA INTERNA - CIA DA SAUDE"/>
    <n v="0"/>
    <n v="10568.294327098127"/>
    <n v="12029.078970466311"/>
    <n v="8000"/>
    <n v="9000"/>
    <n v="11000"/>
    <n v="14000"/>
    <n v="17600"/>
    <n v="22000"/>
    <n v="23100"/>
    <n v="26400"/>
    <n v="17600"/>
    <n v="14870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4"/>
    <x v="32"/>
    <x v="32"/>
    <s v="BISCOITO"/>
    <n v="0"/>
    <n v="404.3886056291048"/>
    <n v="505.48575703638102"/>
    <n v="400"/>
    <n v="450"/>
    <n v="550"/>
    <n v="700"/>
    <n v="880"/>
    <n v="1100"/>
    <n v="1155"/>
    <n v="1320"/>
    <n v="880"/>
    <n v="7435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4"/>
    <x v="32"/>
    <x v="32"/>
    <s v="CHOCOLATES"/>
    <n v="0"/>
    <n v="2462.0564928909953"/>
    <n v="2872.3992417061613"/>
    <n v="400"/>
    <n v="450"/>
    <n v="550"/>
    <n v="700"/>
    <n v="880"/>
    <n v="1100"/>
    <n v="1155"/>
    <n v="1320"/>
    <n v="880"/>
    <n v="7435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4"/>
    <x v="32"/>
    <x v="32"/>
    <s v="DISNEY"/>
    <n v="0"/>
    <n v="441.5151111111112"/>
    <n v="551.89388888888902"/>
    <n v="640"/>
    <n v="720"/>
    <n v="880"/>
    <n v="1120"/>
    <n v="1408"/>
    <n v="1760"/>
    <n v="1848"/>
    <n v="2112"/>
    <n v="1408"/>
    <n v="11896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4"/>
    <x v="32"/>
    <x v="32"/>
    <s v="DOCES"/>
    <n v="0"/>
    <n v="555.05619047619052"/>
    <n v="555.05619047619052"/>
    <n v="800"/>
    <n v="900"/>
    <n v="1100"/>
    <n v="1400"/>
    <n v="1760"/>
    <n v="2200"/>
    <n v="2310"/>
    <n v="2640"/>
    <n v="1760"/>
    <n v="1487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4"/>
    <x v="32"/>
    <x v="32"/>
    <s v="GELEIA"/>
    <n v="0"/>
    <n v="124.75666666666666"/>
    <n v="249.51333333333332"/>
    <n v="159.99999999999997"/>
    <n v="179.99999999999997"/>
    <n v="219.99999999999997"/>
    <n v="279.99999999999994"/>
    <n v="351.99999999999994"/>
    <n v="439.99999999999994"/>
    <n v="461.99999999999994"/>
    <n v="527.99999999999989"/>
    <n v="351.99999999999994"/>
    <n v="2973.9999999999995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4"/>
    <x v="32"/>
    <x v="32"/>
    <s v="GRANOLA"/>
    <n v="0"/>
    <n v="315.14999999999998"/>
    <n v="420.2"/>
    <n v="160"/>
    <n v="180"/>
    <n v="220"/>
    <n v="280"/>
    <n v="352"/>
    <n v="440"/>
    <n v="462"/>
    <n v="528"/>
    <n v="352"/>
    <n v="2974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4"/>
    <x v="32"/>
    <x v="32"/>
    <s v="KIDS"/>
    <n v="0"/>
    <n v="165.49714285714285"/>
    <n v="165.49714285714285"/>
    <n v="160"/>
    <n v="180"/>
    <n v="220"/>
    <n v="280"/>
    <n v="352"/>
    <n v="440"/>
    <n v="462"/>
    <n v="528"/>
    <n v="352"/>
    <n v="2974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4"/>
    <x v="32"/>
    <x v="32"/>
    <s v="LANCHES"/>
    <n v="0"/>
    <n v="89.608571428571423"/>
    <n v="179.21714285714285"/>
    <n v="240"/>
    <n v="270"/>
    <n v="330"/>
    <n v="420"/>
    <n v="528"/>
    <n v="660"/>
    <n v="693"/>
    <n v="792"/>
    <n v="528"/>
    <n v="4461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4"/>
    <x v="32"/>
    <x v="32"/>
    <s v="MAIS GRANEL"/>
    <n v="0"/>
    <n v="516.1430303030304"/>
    <n v="602.16686868686872"/>
    <n v="2000"/>
    <n v="2250"/>
    <n v="2750"/>
    <n v="3500"/>
    <n v="4400"/>
    <n v="5500"/>
    <n v="5775"/>
    <n v="6600"/>
    <n v="4400"/>
    <n v="37175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4"/>
    <x v="32"/>
    <x v="32"/>
    <s v="NATURATTA"/>
    <n v="0"/>
    <n v="627.6857142857142"/>
    <n v="627.6857142857142"/>
    <n v="400"/>
    <n v="450"/>
    <n v="550"/>
    <n v="700"/>
    <n v="880"/>
    <n v="1100"/>
    <n v="1155"/>
    <n v="1320"/>
    <n v="880"/>
    <n v="7435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4"/>
    <x v="32"/>
    <x v="32"/>
    <s v="REEMBALADOS"/>
    <n v="0"/>
    <n v="119.60088888888889"/>
    <n v="239.20177777777778"/>
    <n v="400"/>
    <n v="450"/>
    <n v="550"/>
    <n v="700"/>
    <n v="880"/>
    <n v="1100"/>
    <n v="1155"/>
    <n v="1320"/>
    <n v="880"/>
    <n v="7435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4"/>
    <x v="32"/>
    <x v="32"/>
    <s v="S GLUTEN"/>
    <n v="0"/>
    <n v="204.36930232558137"/>
    <n v="204.36930232558137"/>
    <n v="400"/>
    <n v="450"/>
    <n v="550"/>
    <n v="700"/>
    <n v="880"/>
    <n v="1100"/>
    <n v="1155"/>
    <n v="1320"/>
    <n v="880"/>
    <n v="7435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4"/>
    <x v="32"/>
    <x v="32"/>
    <s v="SABORES DO CAMPO"/>
    <n v="0"/>
    <n v="143.15866666666668"/>
    <n v="143.15866666666668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4"/>
    <x v="32"/>
    <x v="32"/>
    <s v="SAL"/>
    <n v="0"/>
    <n v="40.9"/>
    <n v="40.9"/>
    <n v="560"/>
    <n v="630.00000000000011"/>
    <n v="770.00000000000011"/>
    <n v="980.00000000000011"/>
    <n v="1232.0000000000002"/>
    <n v="1540.0000000000002"/>
    <n v="1617.0000000000002"/>
    <n v="1848.0000000000002"/>
    <n v="1232.0000000000002"/>
    <n v="10409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4"/>
    <x v="32"/>
    <x v="32"/>
    <s v="SOULPRO"/>
    <n v="0"/>
    <n v="1470.3095435684643"/>
    <n v="1470.3095435684643"/>
    <n v="399.99999999999994"/>
    <n v="449.99999999999994"/>
    <n v="550"/>
    <n v="699.99999999999989"/>
    <n v="879.99999999999989"/>
    <n v="1100"/>
    <n v="1155"/>
    <n v="1320"/>
    <n v="879.99999999999989"/>
    <n v="7435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4"/>
    <x v="32"/>
    <x v="32"/>
    <s v="TAMARA"/>
    <n v="0"/>
    <n v="2302.1240000000003"/>
    <n v="2616.0500000000002"/>
    <n v="640"/>
    <n v="720"/>
    <n v="880"/>
    <n v="1120"/>
    <n v="1408"/>
    <n v="1760"/>
    <n v="1848"/>
    <n v="2112"/>
    <n v="1408"/>
    <n v="11896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4"/>
    <x v="32"/>
    <x v="32"/>
    <s v="VICCIO"/>
    <n v="0"/>
    <n v="585.97440000000006"/>
    <n v="585.97440000000006"/>
    <n v="240"/>
    <n v="270"/>
    <n v="330"/>
    <n v="420"/>
    <n v="528"/>
    <n v="660"/>
    <n v="693"/>
    <n v="792"/>
    <n v="528"/>
    <n v="4461"/>
  </r>
  <r>
    <x v="0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n v="1"/>
    <x v="19"/>
    <x v="33"/>
    <x v="33"/>
    <s v="1. TOTAL - VENDA INTERNA - MUNDO VERDE"/>
    <n v="0"/>
    <n v="10568.294327098127"/>
    <n v="12029.078970466311"/>
    <n v="1000"/>
    <n v="1000"/>
    <n v="1000"/>
    <n v="1000"/>
    <n v="2200"/>
    <n v="2200"/>
    <n v="2200"/>
    <n v="2200"/>
    <n v="2200"/>
    <n v="1500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19"/>
    <x v="33"/>
    <x v="33"/>
    <s v="BISCOITO"/>
    <n v="0"/>
    <n v="404.3886056291048"/>
    <n v="505.48575703638102"/>
    <n v="50"/>
    <n v="50"/>
    <n v="50"/>
    <n v="50"/>
    <n v="110"/>
    <n v="110"/>
    <n v="110"/>
    <n v="110"/>
    <n v="110"/>
    <n v="75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19"/>
    <x v="33"/>
    <x v="33"/>
    <s v="CHOCOLATES"/>
    <n v="0"/>
    <n v="2462.0564928909953"/>
    <n v="2872.3992417061613"/>
    <n v="50"/>
    <n v="50"/>
    <n v="50"/>
    <n v="50"/>
    <n v="110"/>
    <n v="110"/>
    <n v="110"/>
    <n v="110"/>
    <n v="110"/>
    <n v="75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19"/>
    <x v="33"/>
    <x v="33"/>
    <s v="DISNEY"/>
    <n v="0"/>
    <n v="441.5151111111112"/>
    <n v="551.89388888888902"/>
    <n v="80"/>
    <n v="80"/>
    <n v="80"/>
    <n v="80"/>
    <n v="176"/>
    <n v="176"/>
    <n v="176"/>
    <n v="176"/>
    <n v="176"/>
    <n v="120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19"/>
    <x v="33"/>
    <x v="33"/>
    <s v="DOCES"/>
    <n v="0"/>
    <n v="555.05619047619052"/>
    <n v="555.05619047619052"/>
    <n v="100"/>
    <n v="100"/>
    <n v="100"/>
    <n v="100"/>
    <n v="220"/>
    <n v="220"/>
    <n v="220"/>
    <n v="220"/>
    <n v="220"/>
    <n v="150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19"/>
    <x v="33"/>
    <x v="33"/>
    <s v="GELEIA"/>
    <n v="0"/>
    <n v="124.75666666666666"/>
    <n v="249.51333333333332"/>
    <n v="19.999999999999996"/>
    <n v="19.999999999999996"/>
    <n v="19.999999999999996"/>
    <n v="19.999999999999996"/>
    <n v="43.999999999999993"/>
    <n v="43.999999999999993"/>
    <n v="43.999999999999993"/>
    <n v="43.999999999999993"/>
    <n v="43.999999999999993"/>
    <n v="299.99999999999994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19"/>
    <x v="33"/>
    <x v="33"/>
    <s v="GRANOLA"/>
    <n v="0"/>
    <n v="315.14999999999998"/>
    <n v="420.2"/>
    <n v="20"/>
    <n v="20"/>
    <n v="20"/>
    <n v="20"/>
    <n v="44"/>
    <n v="44"/>
    <n v="44"/>
    <n v="44"/>
    <n v="44"/>
    <n v="30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19"/>
    <x v="33"/>
    <x v="33"/>
    <s v="KIDS"/>
    <n v="0"/>
    <n v="165.49714285714285"/>
    <n v="165.49714285714285"/>
    <n v="20"/>
    <n v="20"/>
    <n v="20"/>
    <n v="20"/>
    <n v="44"/>
    <n v="44"/>
    <n v="44"/>
    <n v="44"/>
    <n v="44"/>
    <n v="30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19"/>
    <x v="33"/>
    <x v="33"/>
    <s v="LANCHES"/>
    <n v="0"/>
    <n v="89.608571428571423"/>
    <n v="179.21714285714285"/>
    <n v="30"/>
    <n v="30"/>
    <n v="30"/>
    <n v="30"/>
    <n v="66"/>
    <n v="66"/>
    <n v="66"/>
    <n v="66"/>
    <n v="66"/>
    <n v="45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19"/>
    <x v="33"/>
    <x v="33"/>
    <s v="MAIS GRANEL"/>
    <n v="0"/>
    <n v="516.1430303030304"/>
    <n v="602.16686868686872"/>
    <n v="250"/>
    <n v="250"/>
    <n v="250"/>
    <n v="250"/>
    <n v="550"/>
    <n v="550"/>
    <n v="550"/>
    <n v="550"/>
    <n v="550"/>
    <n v="375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19"/>
    <x v="33"/>
    <x v="33"/>
    <s v="NATURATTA"/>
    <n v="0"/>
    <n v="627.6857142857142"/>
    <n v="627.6857142857142"/>
    <n v="50"/>
    <n v="50"/>
    <n v="50"/>
    <n v="50"/>
    <n v="110"/>
    <n v="110"/>
    <n v="110"/>
    <n v="110"/>
    <n v="110"/>
    <n v="75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19"/>
    <x v="33"/>
    <x v="33"/>
    <s v="REEMBALADOS"/>
    <n v="0"/>
    <n v="119.60088888888889"/>
    <n v="239.20177777777778"/>
    <n v="50"/>
    <n v="50"/>
    <n v="50"/>
    <n v="50"/>
    <n v="110"/>
    <n v="110"/>
    <n v="110"/>
    <n v="110"/>
    <n v="110"/>
    <n v="75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19"/>
    <x v="33"/>
    <x v="33"/>
    <s v="S GLUTEN"/>
    <n v="0"/>
    <n v="204.36930232558137"/>
    <n v="204.36930232558137"/>
    <n v="50"/>
    <n v="50"/>
    <n v="50"/>
    <n v="50"/>
    <n v="110"/>
    <n v="110"/>
    <n v="110"/>
    <n v="110"/>
    <n v="110"/>
    <n v="75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19"/>
    <x v="33"/>
    <x v="33"/>
    <s v="SABORES DO CAMPO"/>
    <n v="0"/>
    <n v="143.15866666666668"/>
    <n v="143.15866666666668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19"/>
    <x v="33"/>
    <x v="33"/>
    <s v="SAL"/>
    <n v="0"/>
    <n v="40.9"/>
    <n v="40.9"/>
    <n v="70"/>
    <n v="70"/>
    <n v="70"/>
    <n v="70"/>
    <n v="154.00000000000003"/>
    <n v="154.00000000000003"/>
    <n v="154.00000000000003"/>
    <n v="154.00000000000003"/>
    <n v="154.00000000000003"/>
    <n v="105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19"/>
    <x v="33"/>
    <x v="33"/>
    <s v="SOULPRO"/>
    <n v="0"/>
    <n v="1470.3095435684643"/>
    <n v="1470.3095435684643"/>
    <n v="49.999999999999993"/>
    <n v="49.999999999999993"/>
    <n v="49.999999999999993"/>
    <n v="49.999999999999993"/>
    <n v="109.99999999999999"/>
    <n v="109.99999999999999"/>
    <n v="109.99999999999999"/>
    <n v="109.99999999999999"/>
    <n v="109.99999999999999"/>
    <n v="749.99999999999989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19"/>
    <x v="33"/>
    <x v="33"/>
    <s v="TAMARA"/>
    <n v="0"/>
    <n v="2302.1240000000003"/>
    <n v="2616.0500000000002"/>
    <n v="80"/>
    <n v="80"/>
    <n v="80"/>
    <n v="80"/>
    <n v="176"/>
    <n v="176"/>
    <n v="176"/>
    <n v="176"/>
    <n v="176"/>
    <n v="120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19"/>
    <x v="33"/>
    <x v="33"/>
    <s v="VICCIO"/>
    <n v="0"/>
    <n v="585.97440000000006"/>
    <n v="585.97440000000006"/>
    <n v="30"/>
    <n v="30"/>
    <n v="30"/>
    <n v="30"/>
    <n v="66"/>
    <n v="66"/>
    <n v="66"/>
    <n v="66"/>
    <n v="66"/>
    <n v="450"/>
  </r>
  <r>
    <x v="0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n v="1"/>
    <x v="22"/>
    <x v="34"/>
    <x v="34"/>
    <s v="1. TOTAL - VENDA INTERNA - MAIS NATURAL"/>
    <n v="0"/>
    <n v="0"/>
    <n v="0"/>
    <n v="1000"/>
    <n v="1000"/>
    <n v="1000"/>
    <n v="1000"/>
    <n v="2200"/>
    <n v="2200"/>
    <n v="2200"/>
    <n v="2200"/>
    <n v="2200"/>
    <n v="1500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2"/>
    <x v="34"/>
    <x v="34"/>
    <s v="BISCOITO"/>
    <n v="0"/>
    <n v="0"/>
    <n v="0"/>
    <n v="50"/>
    <n v="50"/>
    <n v="50"/>
    <n v="50"/>
    <n v="110"/>
    <n v="110"/>
    <n v="110"/>
    <n v="110"/>
    <n v="110"/>
    <n v="75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2"/>
    <x v="34"/>
    <x v="34"/>
    <s v="CHOCOLATES"/>
    <n v="0"/>
    <n v="0"/>
    <n v="0"/>
    <n v="50"/>
    <n v="50"/>
    <n v="50"/>
    <n v="50"/>
    <n v="110"/>
    <n v="110"/>
    <n v="110"/>
    <n v="110"/>
    <n v="110"/>
    <n v="75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2"/>
    <x v="34"/>
    <x v="34"/>
    <s v="DISNEY"/>
    <n v="0"/>
    <n v="0"/>
    <n v="0"/>
    <n v="80"/>
    <n v="80"/>
    <n v="80"/>
    <n v="80"/>
    <n v="176"/>
    <n v="176"/>
    <n v="176"/>
    <n v="176"/>
    <n v="176"/>
    <n v="120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2"/>
    <x v="34"/>
    <x v="34"/>
    <s v="DOCES"/>
    <n v="0"/>
    <n v="0"/>
    <n v="0"/>
    <n v="100"/>
    <n v="100"/>
    <n v="100"/>
    <n v="100"/>
    <n v="220"/>
    <n v="220"/>
    <n v="220"/>
    <n v="220"/>
    <n v="220"/>
    <n v="150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2"/>
    <x v="34"/>
    <x v="34"/>
    <s v="GELEIA"/>
    <n v="0"/>
    <n v="0"/>
    <n v="0"/>
    <n v="19.999999999999996"/>
    <n v="19.999999999999996"/>
    <n v="19.999999999999996"/>
    <n v="19.999999999999996"/>
    <n v="43.999999999999993"/>
    <n v="43.999999999999993"/>
    <n v="43.999999999999993"/>
    <n v="43.999999999999993"/>
    <n v="43.999999999999993"/>
    <n v="299.99999999999994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2"/>
    <x v="34"/>
    <x v="34"/>
    <s v="GRANOLA"/>
    <n v="0"/>
    <n v="0"/>
    <n v="0"/>
    <n v="20"/>
    <n v="20"/>
    <n v="20"/>
    <n v="20"/>
    <n v="44"/>
    <n v="44"/>
    <n v="44"/>
    <n v="44"/>
    <n v="44"/>
    <n v="30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2"/>
    <x v="34"/>
    <x v="34"/>
    <s v="KIDS"/>
    <n v="0"/>
    <n v="0"/>
    <n v="0"/>
    <n v="20"/>
    <n v="20"/>
    <n v="20"/>
    <n v="20"/>
    <n v="44"/>
    <n v="44"/>
    <n v="44"/>
    <n v="44"/>
    <n v="44"/>
    <n v="30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2"/>
    <x v="34"/>
    <x v="34"/>
    <s v="LANCHES"/>
    <n v="0"/>
    <n v="0"/>
    <n v="0"/>
    <n v="30"/>
    <n v="30"/>
    <n v="30"/>
    <n v="30"/>
    <n v="66"/>
    <n v="66"/>
    <n v="66"/>
    <n v="66"/>
    <n v="66"/>
    <n v="45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2"/>
    <x v="34"/>
    <x v="34"/>
    <s v="MAIS GRANEL"/>
    <n v="0"/>
    <n v="0"/>
    <n v="0"/>
    <n v="250"/>
    <n v="250"/>
    <n v="250"/>
    <n v="250"/>
    <n v="550"/>
    <n v="550"/>
    <n v="550"/>
    <n v="550"/>
    <n v="550"/>
    <n v="375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2"/>
    <x v="34"/>
    <x v="34"/>
    <s v="NATURATTA"/>
    <n v="0"/>
    <n v="0"/>
    <n v="0"/>
    <n v="50"/>
    <n v="50"/>
    <n v="50"/>
    <n v="50"/>
    <n v="110"/>
    <n v="110"/>
    <n v="110"/>
    <n v="110"/>
    <n v="110"/>
    <n v="75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2"/>
    <x v="34"/>
    <x v="34"/>
    <s v="REEMBALADOS"/>
    <n v="0"/>
    <n v="0"/>
    <n v="0"/>
    <n v="50"/>
    <n v="50"/>
    <n v="50"/>
    <n v="50"/>
    <n v="110"/>
    <n v="110"/>
    <n v="110"/>
    <n v="110"/>
    <n v="110"/>
    <n v="75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2"/>
    <x v="34"/>
    <x v="34"/>
    <s v="S GLUTEN"/>
    <n v="0"/>
    <n v="0"/>
    <n v="0"/>
    <n v="50"/>
    <n v="50"/>
    <n v="50"/>
    <n v="50"/>
    <n v="110"/>
    <n v="110"/>
    <n v="110"/>
    <n v="110"/>
    <n v="110"/>
    <n v="75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2"/>
    <x v="34"/>
    <x v="34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2"/>
    <x v="34"/>
    <x v="34"/>
    <s v="SAL"/>
    <n v="0"/>
    <n v="0"/>
    <n v="0"/>
    <n v="70"/>
    <n v="70"/>
    <n v="70"/>
    <n v="70"/>
    <n v="154.00000000000003"/>
    <n v="154.00000000000003"/>
    <n v="154.00000000000003"/>
    <n v="154.00000000000003"/>
    <n v="154.00000000000003"/>
    <n v="105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2"/>
    <x v="34"/>
    <x v="34"/>
    <s v="SOULPRO"/>
    <n v="0"/>
    <n v="0"/>
    <n v="0"/>
    <n v="49.999999999999993"/>
    <n v="49.999999999999993"/>
    <n v="49.999999999999993"/>
    <n v="49.999999999999993"/>
    <n v="109.99999999999999"/>
    <n v="109.99999999999999"/>
    <n v="109.99999999999999"/>
    <n v="109.99999999999999"/>
    <n v="109.99999999999999"/>
    <n v="749.99999999999989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2"/>
    <x v="34"/>
    <x v="34"/>
    <s v="TAMARA"/>
    <n v="0"/>
    <n v="0"/>
    <n v="0"/>
    <n v="80"/>
    <n v="80"/>
    <n v="80"/>
    <n v="80"/>
    <n v="176"/>
    <n v="176"/>
    <n v="176"/>
    <n v="176"/>
    <n v="176"/>
    <n v="120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2"/>
    <x v="34"/>
    <x v="34"/>
    <s v="VICCIO"/>
    <n v="0"/>
    <n v="0"/>
    <n v="0"/>
    <n v="30"/>
    <n v="30"/>
    <n v="30"/>
    <n v="30"/>
    <n v="66"/>
    <n v="66"/>
    <n v="66"/>
    <n v="66"/>
    <n v="66"/>
    <n v="450"/>
  </r>
  <r>
    <x v="0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n v="1"/>
    <x v="22"/>
    <x v="35"/>
    <x v="35"/>
    <s v="1. TOTAL - VENDA INTERNA - TUDO EM GRAOS"/>
    <n v="0"/>
    <n v="0"/>
    <n v="0"/>
    <n v="1000"/>
    <n v="1000"/>
    <n v="1000"/>
    <n v="1000"/>
    <n v="2200"/>
    <n v="2200"/>
    <n v="2200"/>
    <n v="2200"/>
    <n v="2200"/>
    <n v="1500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2"/>
    <x v="35"/>
    <x v="35"/>
    <s v="BISCOITO"/>
    <n v="0"/>
    <n v="0"/>
    <n v="0"/>
    <n v="50"/>
    <n v="50"/>
    <n v="50"/>
    <n v="50"/>
    <n v="110"/>
    <n v="110"/>
    <n v="110"/>
    <n v="110"/>
    <n v="110"/>
    <n v="75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2"/>
    <x v="35"/>
    <x v="35"/>
    <s v="CHOCOLATES"/>
    <n v="0"/>
    <n v="0"/>
    <n v="0"/>
    <n v="50"/>
    <n v="50"/>
    <n v="50"/>
    <n v="50"/>
    <n v="110"/>
    <n v="110"/>
    <n v="110"/>
    <n v="110"/>
    <n v="110"/>
    <n v="75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2"/>
    <x v="35"/>
    <x v="35"/>
    <s v="DISNEY"/>
    <n v="0"/>
    <n v="0"/>
    <n v="0"/>
    <n v="80"/>
    <n v="80"/>
    <n v="80"/>
    <n v="80"/>
    <n v="176"/>
    <n v="176"/>
    <n v="176"/>
    <n v="176"/>
    <n v="176"/>
    <n v="120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2"/>
    <x v="35"/>
    <x v="35"/>
    <s v="DOCES"/>
    <n v="0"/>
    <n v="0"/>
    <n v="0"/>
    <n v="100"/>
    <n v="100"/>
    <n v="100"/>
    <n v="100"/>
    <n v="220"/>
    <n v="220"/>
    <n v="220"/>
    <n v="220"/>
    <n v="220"/>
    <n v="150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2"/>
    <x v="35"/>
    <x v="35"/>
    <s v="GELEIA"/>
    <n v="0"/>
    <n v="0"/>
    <n v="0"/>
    <n v="19.999999999999996"/>
    <n v="19.999999999999996"/>
    <n v="19.999999999999996"/>
    <n v="19.999999999999996"/>
    <n v="43.999999999999993"/>
    <n v="43.999999999999993"/>
    <n v="43.999999999999993"/>
    <n v="43.999999999999993"/>
    <n v="43.999999999999993"/>
    <n v="299.99999999999994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2"/>
    <x v="35"/>
    <x v="35"/>
    <s v="GRANOLA"/>
    <n v="0"/>
    <n v="0"/>
    <n v="0"/>
    <n v="20"/>
    <n v="20"/>
    <n v="20"/>
    <n v="20"/>
    <n v="44"/>
    <n v="44"/>
    <n v="44"/>
    <n v="44"/>
    <n v="44"/>
    <n v="30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2"/>
    <x v="35"/>
    <x v="35"/>
    <s v="KIDS"/>
    <n v="0"/>
    <n v="0"/>
    <n v="0"/>
    <n v="20"/>
    <n v="20"/>
    <n v="20"/>
    <n v="20"/>
    <n v="44"/>
    <n v="44"/>
    <n v="44"/>
    <n v="44"/>
    <n v="44"/>
    <n v="30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2"/>
    <x v="35"/>
    <x v="35"/>
    <s v="LANCHES"/>
    <n v="0"/>
    <n v="0"/>
    <n v="0"/>
    <n v="30"/>
    <n v="30"/>
    <n v="30"/>
    <n v="30"/>
    <n v="66"/>
    <n v="66"/>
    <n v="66"/>
    <n v="66"/>
    <n v="66"/>
    <n v="45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2"/>
    <x v="35"/>
    <x v="35"/>
    <s v="MAIS GRANEL"/>
    <n v="0"/>
    <n v="0"/>
    <n v="0"/>
    <n v="250"/>
    <n v="250"/>
    <n v="250"/>
    <n v="250"/>
    <n v="550"/>
    <n v="550"/>
    <n v="550"/>
    <n v="550"/>
    <n v="550"/>
    <n v="375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2"/>
    <x v="35"/>
    <x v="35"/>
    <s v="NATURATTA"/>
    <n v="0"/>
    <n v="0"/>
    <n v="0"/>
    <n v="50"/>
    <n v="50"/>
    <n v="50"/>
    <n v="50"/>
    <n v="110"/>
    <n v="110"/>
    <n v="110"/>
    <n v="110"/>
    <n v="110"/>
    <n v="75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2"/>
    <x v="35"/>
    <x v="35"/>
    <s v="REEMBALADOS"/>
    <n v="0"/>
    <n v="0"/>
    <n v="0"/>
    <n v="50"/>
    <n v="50"/>
    <n v="50"/>
    <n v="50"/>
    <n v="110"/>
    <n v="110"/>
    <n v="110"/>
    <n v="110"/>
    <n v="110"/>
    <n v="75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2"/>
    <x v="35"/>
    <x v="35"/>
    <s v="S GLUTEN"/>
    <n v="0"/>
    <n v="0"/>
    <n v="0"/>
    <n v="50"/>
    <n v="50"/>
    <n v="50"/>
    <n v="50"/>
    <n v="110"/>
    <n v="110"/>
    <n v="110"/>
    <n v="110"/>
    <n v="110"/>
    <n v="75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2"/>
    <x v="35"/>
    <x v="35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2"/>
    <x v="35"/>
    <x v="35"/>
    <s v="SAL"/>
    <n v="0"/>
    <n v="0"/>
    <n v="0"/>
    <n v="70"/>
    <n v="70"/>
    <n v="70"/>
    <n v="70"/>
    <n v="154.00000000000003"/>
    <n v="154.00000000000003"/>
    <n v="154.00000000000003"/>
    <n v="154.00000000000003"/>
    <n v="154.00000000000003"/>
    <n v="105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2"/>
    <x v="35"/>
    <x v="35"/>
    <s v="SOULPRO"/>
    <n v="0"/>
    <n v="0"/>
    <n v="0"/>
    <n v="49.999999999999993"/>
    <n v="49.999999999999993"/>
    <n v="49.999999999999993"/>
    <n v="49.999999999999993"/>
    <n v="109.99999999999999"/>
    <n v="109.99999999999999"/>
    <n v="109.99999999999999"/>
    <n v="109.99999999999999"/>
    <n v="109.99999999999999"/>
    <n v="749.99999999999989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2"/>
    <x v="35"/>
    <x v="35"/>
    <s v="TAMARA"/>
    <n v="0"/>
    <n v="0"/>
    <n v="0"/>
    <n v="80"/>
    <n v="80"/>
    <n v="80"/>
    <n v="80"/>
    <n v="176"/>
    <n v="176"/>
    <n v="176"/>
    <n v="176"/>
    <n v="176"/>
    <n v="120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2"/>
    <x v="35"/>
    <x v="35"/>
    <s v="VICCIO"/>
    <n v="0"/>
    <n v="0"/>
    <n v="0"/>
    <n v="30"/>
    <n v="30"/>
    <n v="30"/>
    <n v="30"/>
    <n v="66"/>
    <n v="66"/>
    <n v="66"/>
    <n v="66"/>
    <n v="66"/>
    <n v="450"/>
  </r>
  <r>
    <x v="0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n v="1"/>
    <x v="25"/>
    <x v="36"/>
    <x v="36"/>
    <s v="1. TOTAL - VENDA INTERNA AL"/>
    <n v="0"/>
    <n v="0"/>
    <n v="0"/>
    <n v="1000"/>
    <n v="1000"/>
    <n v="2000"/>
    <n v="2000"/>
    <n v="2200"/>
    <n v="3300"/>
    <n v="3300"/>
    <n v="3300"/>
    <n v="2200"/>
    <n v="2030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25"/>
    <x v="36"/>
    <x v="36"/>
    <s v="BISCOITO"/>
    <n v="0"/>
    <n v="0"/>
    <n v="0"/>
    <n v="50"/>
    <n v="50"/>
    <n v="100"/>
    <n v="100"/>
    <n v="110"/>
    <n v="165"/>
    <n v="165"/>
    <n v="165"/>
    <n v="110"/>
    <n v="101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25"/>
    <x v="36"/>
    <x v="36"/>
    <s v="CHOCOLATES"/>
    <n v="0"/>
    <n v="0"/>
    <n v="0"/>
    <n v="50"/>
    <n v="50"/>
    <n v="100"/>
    <n v="100"/>
    <n v="110"/>
    <n v="165"/>
    <n v="165"/>
    <n v="165"/>
    <n v="110"/>
    <n v="101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25"/>
    <x v="36"/>
    <x v="36"/>
    <s v="DISNEY"/>
    <n v="0"/>
    <n v="0"/>
    <n v="0"/>
    <n v="80"/>
    <n v="80"/>
    <n v="160"/>
    <n v="160"/>
    <n v="176"/>
    <n v="264"/>
    <n v="264"/>
    <n v="264"/>
    <n v="176"/>
    <n v="1624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25"/>
    <x v="36"/>
    <x v="36"/>
    <s v="DOCES"/>
    <n v="0"/>
    <n v="0"/>
    <n v="0"/>
    <n v="100"/>
    <n v="100"/>
    <n v="200"/>
    <n v="200"/>
    <n v="220"/>
    <n v="330"/>
    <n v="330"/>
    <n v="330"/>
    <n v="220"/>
    <n v="203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25"/>
    <x v="36"/>
    <x v="36"/>
    <s v="GELEIA"/>
    <n v="0"/>
    <n v="0"/>
    <n v="0"/>
    <n v="19.999999999999996"/>
    <n v="19.999999999999996"/>
    <n v="39.999999999999993"/>
    <n v="39.999999999999993"/>
    <n v="43.999999999999993"/>
    <n v="65.999999999999986"/>
    <n v="65.999999999999986"/>
    <n v="65.999999999999986"/>
    <n v="43.999999999999993"/>
    <n v="405.99999999999994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25"/>
    <x v="36"/>
    <x v="36"/>
    <s v="GRANOLA"/>
    <n v="0"/>
    <n v="0"/>
    <n v="0"/>
    <n v="20"/>
    <n v="20"/>
    <n v="40"/>
    <n v="40"/>
    <n v="44"/>
    <n v="66"/>
    <n v="66"/>
    <n v="66"/>
    <n v="44"/>
    <n v="406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25"/>
    <x v="36"/>
    <x v="36"/>
    <s v="KIDS"/>
    <n v="0"/>
    <n v="0"/>
    <n v="0"/>
    <n v="20"/>
    <n v="20"/>
    <n v="40"/>
    <n v="40"/>
    <n v="44"/>
    <n v="66"/>
    <n v="66"/>
    <n v="66"/>
    <n v="44"/>
    <n v="406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25"/>
    <x v="36"/>
    <x v="36"/>
    <s v="LANCHES"/>
    <n v="0"/>
    <n v="0"/>
    <n v="0"/>
    <n v="30"/>
    <n v="30"/>
    <n v="60"/>
    <n v="60"/>
    <n v="66"/>
    <n v="99"/>
    <n v="99"/>
    <n v="99"/>
    <n v="66"/>
    <n v="609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25"/>
    <x v="36"/>
    <x v="36"/>
    <s v="MAIS GRANEL"/>
    <n v="0"/>
    <n v="0"/>
    <n v="0"/>
    <n v="250"/>
    <n v="250"/>
    <n v="500"/>
    <n v="500"/>
    <n v="550"/>
    <n v="825"/>
    <n v="825"/>
    <n v="825"/>
    <n v="550"/>
    <n v="507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25"/>
    <x v="36"/>
    <x v="36"/>
    <s v="NATURATTA"/>
    <n v="0"/>
    <n v="0"/>
    <n v="0"/>
    <n v="50"/>
    <n v="50"/>
    <n v="100"/>
    <n v="100"/>
    <n v="110"/>
    <n v="165"/>
    <n v="165"/>
    <n v="165"/>
    <n v="110"/>
    <n v="101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25"/>
    <x v="36"/>
    <x v="36"/>
    <s v="REEMBALADOS"/>
    <n v="0"/>
    <n v="0"/>
    <n v="0"/>
    <n v="50"/>
    <n v="50"/>
    <n v="100"/>
    <n v="100"/>
    <n v="110"/>
    <n v="165"/>
    <n v="165"/>
    <n v="165"/>
    <n v="110"/>
    <n v="101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25"/>
    <x v="36"/>
    <x v="36"/>
    <s v="S GLUTEN"/>
    <n v="0"/>
    <n v="0"/>
    <n v="0"/>
    <n v="50"/>
    <n v="50"/>
    <n v="100"/>
    <n v="100"/>
    <n v="110"/>
    <n v="165"/>
    <n v="165"/>
    <n v="165"/>
    <n v="110"/>
    <n v="101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25"/>
    <x v="36"/>
    <x v="36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25"/>
    <x v="36"/>
    <x v="36"/>
    <s v="SAL"/>
    <n v="0"/>
    <n v="0"/>
    <n v="0"/>
    <n v="70"/>
    <n v="70"/>
    <n v="140"/>
    <n v="140"/>
    <n v="154.00000000000003"/>
    <n v="231.00000000000003"/>
    <n v="231.00000000000003"/>
    <n v="231.00000000000003"/>
    <n v="154.00000000000003"/>
    <n v="1421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25"/>
    <x v="36"/>
    <x v="36"/>
    <s v="SOULPRO"/>
    <n v="0"/>
    <n v="0"/>
    <n v="0"/>
    <n v="49.999999999999993"/>
    <n v="49.999999999999993"/>
    <n v="99.999999999999986"/>
    <n v="99.999999999999986"/>
    <n v="109.99999999999999"/>
    <n v="165"/>
    <n v="165"/>
    <n v="165"/>
    <n v="109.99999999999999"/>
    <n v="101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25"/>
    <x v="36"/>
    <x v="36"/>
    <s v="TAMARA"/>
    <n v="0"/>
    <n v="0"/>
    <n v="0"/>
    <n v="80"/>
    <n v="80"/>
    <n v="160"/>
    <n v="160"/>
    <n v="176"/>
    <n v="264"/>
    <n v="264"/>
    <n v="264"/>
    <n v="176"/>
    <n v="1624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25"/>
    <x v="36"/>
    <x v="36"/>
    <s v="VICCIO"/>
    <n v="0"/>
    <n v="0"/>
    <n v="0"/>
    <n v="30"/>
    <n v="30"/>
    <n v="60"/>
    <n v="60"/>
    <n v="66"/>
    <n v="99"/>
    <n v="99"/>
    <n v="99"/>
    <n v="66"/>
    <n v="609"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n v="1"/>
    <x v="23"/>
    <x v="37"/>
    <x v="37"/>
    <s v="1. TOTAL - VENDA INTERNA PR - CONVENIENCI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3"/>
    <x v="37"/>
    <x v="37"/>
    <s v="BISCOIT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3"/>
    <x v="37"/>
    <x v="37"/>
    <s v="CHOCOLAT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3"/>
    <x v="37"/>
    <x v="37"/>
    <s v="DISNEY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3"/>
    <x v="37"/>
    <x v="37"/>
    <s v="DOC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3"/>
    <x v="37"/>
    <x v="37"/>
    <s v="GELEI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3"/>
    <x v="37"/>
    <x v="37"/>
    <s v="GRANOL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3"/>
    <x v="37"/>
    <x v="37"/>
    <s v="KID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3"/>
    <x v="37"/>
    <x v="37"/>
    <s v="LANCH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3"/>
    <x v="37"/>
    <x v="37"/>
    <s v="MAIS GRANEL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3"/>
    <x v="37"/>
    <x v="37"/>
    <s v="NATURATT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3"/>
    <x v="37"/>
    <x v="37"/>
    <s v="REEMBALADO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3"/>
    <x v="37"/>
    <x v="37"/>
    <s v="S GLUTEN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3"/>
    <x v="37"/>
    <x v="37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3"/>
    <x v="37"/>
    <x v="37"/>
    <s v="SAL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3"/>
    <x v="37"/>
    <x v="37"/>
    <s v="SOULPR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3"/>
    <x v="37"/>
    <x v="37"/>
    <s v="TAMAR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3"/>
    <x v="37"/>
    <x v="37"/>
    <s v="VICCIO"/>
    <n v="0"/>
    <n v="0"/>
    <n v="0"/>
    <n v="0"/>
    <n v="0"/>
    <n v="0"/>
    <n v="0"/>
    <n v="0"/>
    <n v="0"/>
    <n v="0"/>
    <n v="0"/>
    <n v="0"/>
    <n v="0"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n v="1"/>
    <x v="0"/>
    <x v="38"/>
    <x v="38"/>
    <s v="1. TOTAL - VENDA INTERNA AP - CONVENIENCI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0"/>
    <x v="38"/>
    <x v="38"/>
    <s v="BISCOIT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0"/>
    <x v="38"/>
    <x v="38"/>
    <s v="CHOCOLAT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0"/>
    <x v="38"/>
    <x v="38"/>
    <s v="DISNEY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0"/>
    <x v="38"/>
    <x v="38"/>
    <s v="DOC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0"/>
    <x v="38"/>
    <x v="38"/>
    <s v="GELEI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0"/>
    <x v="38"/>
    <x v="38"/>
    <s v="GRANOL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0"/>
    <x v="38"/>
    <x v="38"/>
    <s v="KID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0"/>
    <x v="38"/>
    <x v="38"/>
    <s v="LANCH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0"/>
    <x v="38"/>
    <x v="38"/>
    <s v="MAIS GRANEL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0"/>
    <x v="38"/>
    <x v="38"/>
    <s v="NATURATT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0"/>
    <x v="38"/>
    <x v="38"/>
    <s v="REEMBALADO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0"/>
    <x v="38"/>
    <x v="38"/>
    <s v="S GLUTEN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0"/>
    <x v="38"/>
    <x v="38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0"/>
    <x v="38"/>
    <x v="38"/>
    <s v="SAL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0"/>
    <x v="38"/>
    <x v="38"/>
    <s v="SOULPR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0"/>
    <x v="38"/>
    <x v="38"/>
    <s v="TAMAR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0"/>
    <x v="38"/>
    <x v="38"/>
    <s v="VICCIO"/>
    <n v="0"/>
    <n v="0"/>
    <n v="0"/>
    <n v="0"/>
    <n v="0"/>
    <n v="0"/>
    <n v="0"/>
    <n v="0"/>
    <n v="0"/>
    <n v="0"/>
    <n v="0"/>
    <n v="0"/>
    <n v="0"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n v="1"/>
    <x v="1"/>
    <x v="39"/>
    <x v="39"/>
    <s v="1. TOTAL - VENDA INTERNA RN - CONVENIENCI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"/>
    <x v="39"/>
    <x v="39"/>
    <s v="BISCOIT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"/>
    <x v="39"/>
    <x v="39"/>
    <s v="CHOCOLAT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"/>
    <x v="39"/>
    <x v="39"/>
    <s v="DISNEY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"/>
    <x v="39"/>
    <x v="39"/>
    <s v="DOC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"/>
    <x v="39"/>
    <x v="39"/>
    <s v="GELEI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"/>
    <x v="39"/>
    <x v="39"/>
    <s v="GRANOL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"/>
    <x v="39"/>
    <x v="39"/>
    <s v="KID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"/>
    <x v="39"/>
    <x v="39"/>
    <s v="LANCH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"/>
    <x v="39"/>
    <x v="39"/>
    <s v="MAIS GRANEL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"/>
    <x v="39"/>
    <x v="39"/>
    <s v="NATURATT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"/>
    <x v="39"/>
    <x v="39"/>
    <s v="REEMBALADO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"/>
    <x v="39"/>
    <x v="39"/>
    <s v="S GLUTEN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"/>
    <x v="39"/>
    <x v="39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"/>
    <x v="39"/>
    <x v="39"/>
    <s v="SAL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"/>
    <x v="39"/>
    <x v="39"/>
    <s v="SOULPR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"/>
    <x v="39"/>
    <x v="39"/>
    <s v="TAMAR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"/>
    <x v="39"/>
    <x v="39"/>
    <s v="VICCIO"/>
    <n v="0"/>
    <n v="0"/>
    <n v="0"/>
    <n v="0"/>
    <n v="0"/>
    <n v="0"/>
    <n v="0"/>
    <n v="0"/>
    <n v="0"/>
    <n v="0"/>
    <n v="0"/>
    <n v="0"/>
    <n v="0"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n v="1"/>
    <x v="2"/>
    <x v="40"/>
    <x v="40"/>
    <s v="1. TOTAL - VENDA INTERNA CE - CONVENIENCI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"/>
    <x v="40"/>
    <x v="40"/>
    <s v="BISCOIT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"/>
    <x v="40"/>
    <x v="40"/>
    <s v="CHOCOLAT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"/>
    <x v="40"/>
    <x v="40"/>
    <s v="DISNEY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"/>
    <x v="40"/>
    <x v="40"/>
    <s v="DOC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"/>
    <x v="40"/>
    <x v="40"/>
    <s v="GELEI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"/>
    <x v="40"/>
    <x v="40"/>
    <s v="GRANOL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"/>
    <x v="40"/>
    <x v="40"/>
    <s v="KID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"/>
    <x v="40"/>
    <x v="40"/>
    <s v="LANCH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"/>
    <x v="40"/>
    <x v="40"/>
    <s v="MAIS GRANEL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"/>
    <x v="40"/>
    <x v="40"/>
    <s v="NATURATT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"/>
    <x v="40"/>
    <x v="40"/>
    <s v="REEMBALADO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"/>
    <x v="40"/>
    <x v="40"/>
    <s v="S GLUTEN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"/>
    <x v="40"/>
    <x v="40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"/>
    <x v="40"/>
    <x v="40"/>
    <s v="SAL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"/>
    <x v="40"/>
    <x v="40"/>
    <s v="SOULPR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"/>
    <x v="40"/>
    <x v="40"/>
    <s v="TAMAR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"/>
    <x v="40"/>
    <x v="40"/>
    <s v="VICCIO"/>
    <n v="0"/>
    <n v="0"/>
    <n v="0"/>
    <n v="0"/>
    <n v="0"/>
    <n v="0"/>
    <n v="0"/>
    <n v="0"/>
    <n v="0"/>
    <n v="0"/>
    <n v="0"/>
    <n v="0"/>
    <n v="0"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n v="1"/>
    <x v="3"/>
    <x v="41"/>
    <x v="41"/>
    <s v="1. TOTAL - VENDA INTERNA PI - CONVENIENCI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3"/>
    <x v="41"/>
    <x v="41"/>
    <s v="BISCOIT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3"/>
    <x v="41"/>
    <x v="41"/>
    <s v="CHOCOLAT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3"/>
    <x v="41"/>
    <x v="41"/>
    <s v="DISNEY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3"/>
    <x v="41"/>
    <x v="41"/>
    <s v="DOC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3"/>
    <x v="41"/>
    <x v="41"/>
    <s v="GELEI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3"/>
    <x v="41"/>
    <x v="41"/>
    <s v="GRANOL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3"/>
    <x v="41"/>
    <x v="41"/>
    <s v="KID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3"/>
    <x v="41"/>
    <x v="41"/>
    <s v="LANCH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3"/>
    <x v="41"/>
    <x v="41"/>
    <s v="MAIS GRANEL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3"/>
    <x v="41"/>
    <x v="41"/>
    <s v="NATURATT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3"/>
    <x v="41"/>
    <x v="41"/>
    <s v="REEMBALADO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3"/>
    <x v="41"/>
    <x v="41"/>
    <s v="S GLUTEN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3"/>
    <x v="41"/>
    <x v="41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3"/>
    <x v="41"/>
    <x v="41"/>
    <s v="SAL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3"/>
    <x v="41"/>
    <x v="41"/>
    <s v="SOULPR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3"/>
    <x v="41"/>
    <x v="41"/>
    <s v="TAMAR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3"/>
    <x v="41"/>
    <x v="41"/>
    <s v="VICCIO"/>
    <n v="0"/>
    <n v="0"/>
    <n v="0"/>
    <n v="0"/>
    <n v="0"/>
    <n v="0"/>
    <n v="0"/>
    <n v="0"/>
    <n v="0"/>
    <n v="0"/>
    <n v="0"/>
    <n v="0"/>
    <n v="0"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n v="1"/>
    <x v="4"/>
    <x v="42"/>
    <x v="42"/>
    <s v="1. TOTAL - VENDA INTERNA PE - CONVENIENCI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4"/>
    <x v="42"/>
    <x v="42"/>
    <s v="BISCOIT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4"/>
    <x v="42"/>
    <x v="42"/>
    <s v="CHOCOLAT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4"/>
    <x v="42"/>
    <x v="42"/>
    <s v="DISNEY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4"/>
    <x v="42"/>
    <x v="42"/>
    <s v="DOC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4"/>
    <x v="42"/>
    <x v="42"/>
    <s v="GELEI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4"/>
    <x v="42"/>
    <x v="42"/>
    <s v="GRANOL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4"/>
    <x v="42"/>
    <x v="42"/>
    <s v="KID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4"/>
    <x v="42"/>
    <x v="42"/>
    <s v="LANCH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4"/>
    <x v="42"/>
    <x v="42"/>
    <s v="MAIS GRANEL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4"/>
    <x v="42"/>
    <x v="42"/>
    <s v="NATURATT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4"/>
    <x v="42"/>
    <x v="42"/>
    <s v="REEMBALADO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4"/>
    <x v="42"/>
    <x v="42"/>
    <s v="S GLUTEN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4"/>
    <x v="42"/>
    <x v="42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4"/>
    <x v="42"/>
    <x v="42"/>
    <s v="SAL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4"/>
    <x v="42"/>
    <x v="42"/>
    <s v="SOULPR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4"/>
    <x v="42"/>
    <x v="42"/>
    <s v="TAMAR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4"/>
    <x v="42"/>
    <x v="42"/>
    <s v="VICCIO"/>
    <n v="0"/>
    <n v="0"/>
    <n v="0"/>
    <n v="0"/>
    <n v="0"/>
    <n v="0"/>
    <n v="0"/>
    <n v="0"/>
    <n v="0"/>
    <n v="0"/>
    <n v="0"/>
    <n v="0"/>
    <n v="0"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n v="1"/>
    <x v="6"/>
    <x v="43"/>
    <x v="43"/>
    <s v="1. TOTAL - VENDA INTERNA SE - CONVENIENCI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6"/>
    <x v="43"/>
    <x v="43"/>
    <s v="BISCOIT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6"/>
    <x v="43"/>
    <x v="43"/>
    <s v="CHOCOLAT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6"/>
    <x v="43"/>
    <x v="43"/>
    <s v="DISNEY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6"/>
    <x v="43"/>
    <x v="43"/>
    <s v="DOC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6"/>
    <x v="43"/>
    <x v="43"/>
    <s v="GELEI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6"/>
    <x v="43"/>
    <x v="43"/>
    <s v="GRANOL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6"/>
    <x v="43"/>
    <x v="43"/>
    <s v="KID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6"/>
    <x v="43"/>
    <x v="43"/>
    <s v="LANCH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6"/>
    <x v="43"/>
    <x v="43"/>
    <s v="MAIS GRANEL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6"/>
    <x v="43"/>
    <x v="43"/>
    <s v="NATURATT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6"/>
    <x v="43"/>
    <x v="43"/>
    <s v="REEMBALADO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6"/>
    <x v="43"/>
    <x v="43"/>
    <s v="S GLUTEN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6"/>
    <x v="43"/>
    <x v="43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6"/>
    <x v="43"/>
    <x v="43"/>
    <s v="SAL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6"/>
    <x v="43"/>
    <x v="43"/>
    <s v="SOULPR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6"/>
    <x v="43"/>
    <x v="43"/>
    <s v="TAMAR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6"/>
    <x v="43"/>
    <x v="43"/>
    <s v="VICCIO"/>
    <n v="0"/>
    <n v="0"/>
    <n v="0"/>
    <n v="0"/>
    <n v="0"/>
    <n v="0"/>
    <n v="0"/>
    <n v="0"/>
    <n v="0"/>
    <n v="0"/>
    <n v="0"/>
    <n v="0"/>
    <n v="0"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n v="1"/>
    <x v="5"/>
    <x v="44"/>
    <x v="44"/>
    <s v="1. TOTAL - VENDA INTERNA PB - CONVENIENCI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5"/>
    <x v="44"/>
    <x v="44"/>
    <s v="BISCOIT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5"/>
    <x v="44"/>
    <x v="44"/>
    <s v="CHOCOLAT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5"/>
    <x v="44"/>
    <x v="44"/>
    <s v="DISNEY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5"/>
    <x v="44"/>
    <x v="44"/>
    <s v="DOC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5"/>
    <x v="44"/>
    <x v="44"/>
    <s v="GELEI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5"/>
    <x v="44"/>
    <x v="44"/>
    <s v="GRANOL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5"/>
    <x v="44"/>
    <x v="44"/>
    <s v="KID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5"/>
    <x v="44"/>
    <x v="44"/>
    <s v="LANCH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5"/>
    <x v="44"/>
    <x v="44"/>
    <s v="MAIS GRANEL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5"/>
    <x v="44"/>
    <x v="44"/>
    <s v="NATURATT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5"/>
    <x v="44"/>
    <x v="44"/>
    <s v="REEMBALADO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5"/>
    <x v="44"/>
    <x v="44"/>
    <s v="S GLUTEN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5"/>
    <x v="44"/>
    <x v="44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5"/>
    <x v="44"/>
    <x v="44"/>
    <s v="SAL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5"/>
    <x v="44"/>
    <x v="44"/>
    <s v="SOULPR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5"/>
    <x v="44"/>
    <x v="44"/>
    <s v="TAMAR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5"/>
    <x v="44"/>
    <x v="44"/>
    <s v="VICCIO"/>
    <n v="0"/>
    <n v="0"/>
    <n v="0"/>
    <n v="0"/>
    <n v="0"/>
    <n v="0"/>
    <n v="0"/>
    <n v="0"/>
    <n v="0"/>
    <n v="0"/>
    <n v="0"/>
    <n v="0"/>
    <n v="0"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n v="1"/>
    <x v="7"/>
    <x v="45"/>
    <x v="45"/>
    <s v="1. TOTAL - VENDA INTERNA BA - CONVENIENCI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7"/>
    <x v="45"/>
    <x v="45"/>
    <s v="BISCOIT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7"/>
    <x v="45"/>
    <x v="45"/>
    <s v="CHOCOLAT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7"/>
    <x v="45"/>
    <x v="45"/>
    <s v="DISNEY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7"/>
    <x v="45"/>
    <x v="45"/>
    <s v="DOC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7"/>
    <x v="45"/>
    <x v="45"/>
    <s v="GELEI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7"/>
    <x v="45"/>
    <x v="45"/>
    <s v="GRANOL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7"/>
    <x v="45"/>
    <x v="45"/>
    <s v="KID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7"/>
    <x v="45"/>
    <x v="45"/>
    <s v="LANCH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7"/>
    <x v="45"/>
    <x v="45"/>
    <s v="MAIS GRANEL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7"/>
    <x v="45"/>
    <x v="45"/>
    <s v="NATURATT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7"/>
    <x v="45"/>
    <x v="45"/>
    <s v="REEMBALADO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7"/>
    <x v="45"/>
    <x v="45"/>
    <s v="S GLUTEN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7"/>
    <x v="45"/>
    <x v="45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7"/>
    <x v="45"/>
    <x v="45"/>
    <s v="SAL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7"/>
    <x v="45"/>
    <x v="45"/>
    <s v="SOULPR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7"/>
    <x v="45"/>
    <x v="45"/>
    <s v="TAMAR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7"/>
    <x v="45"/>
    <x v="45"/>
    <s v="VICCIO"/>
    <n v="0"/>
    <n v="0"/>
    <n v="0"/>
    <n v="0"/>
    <n v="0"/>
    <n v="0"/>
    <n v="0"/>
    <n v="0"/>
    <n v="0"/>
    <n v="0"/>
    <n v="0"/>
    <n v="0"/>
    <n v="0"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n v="1"/>
    <x v="8"/>
    <x v="46"/>
    <x v="46"/>
    <s v="1. TOTAL - VENDA INTERNA MA - CONVENIENCI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8"/>
    <x v="46"/>
    <x v="46"/>
    <s v="BISCOIT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8"/>
    <x v="46"/>
    <x v="46"/>
    <s v="CHOCOLAT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8"/>
    <x v="46"/>
    <x v="46"/>
    <s v="DISNEY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8"/>
    <x v="46"/>
    <x v="46"/>
    <s v="DOC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8"/>
    <x v="46"/>
    <x v="46"/>
    <s v="GELEI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8"/>
    <x v="46"/>
    <x v="46"/>
    <s v="GRANOL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8"/>
    <x v="46"/>
    <x v="46"/>
    <s v="KID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8"/>
    <x v="46"/>
    <x v="46"/>
    <s v="LANCH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8"/>
    <x v="46"/>
    <x v="46"/>
    <s v="MAIS GRANEL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8"/>
    <x v="46"/>
    <x v="46"/>
    <s v="NATURATT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8"/>
    <x v="46"/>
    <x v="46"/>
    <s v="REEMBALADO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8"/>
    <x v="46"/>
    <x v="46"/>
    <s v="S GLUTEN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8"/>
    <x v="46"/>
    <x v="46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8"/>
    <x v="46"/>
    <x v="46"/>
    <s v="SAL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8"/>
    <x v="46"/>
    <x v="46"/>
    <s v="SOULPR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8"/>
    <x v="46"/>
    <x v="46"/>
    <s v="TAMAR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8"/>
    <x v="46"/>
    <x v="46"/>
    <s v="VICCIO"/>
    <n v="0"/>
    <n v="0"/>
    <n v="0"/>
    <n v="0"/>
    <n v="0"/>
    <n v="0"/>
    <n v="0"/>
    <n v="0"/>
    <n v="0"/>
    <n v="0"/>
    <n v="0"/>
    <n v="0"/>
    <n v="0"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n v="1"/>
    <x v="9"/>
    <x v="47"/>
    <x v="47"/>
    <s v="1. TOTAL - VENDA INTERNA TO - CONVENIENCI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9"/>
    <x v="47"/>
    <x v="47"/>
    <s v="BISCOIT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9"/>
    <x v="47"/>
    <x v="47"/>
    <s v="CHOCOLAT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9"/>
    <x v="47"/>
    <x v="47"/>
    <s v="DISNEY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9"/>
    <x v="47"/>
    <x v="47"/>
    <s v="DOC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9"/>
    <x v="47"/>
    <x v="47"/>
    <s v="GELEI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9"/>
    <x v="47"/>
    <x v="47"/>
    <s v="GRANOL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9"/>
    <x v="47"/>
    <x v="47"/>
    <s v="KID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9"/>
    <x v="47"/>
    <x v="47"/>
    <s v="LANCH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9"/>
    <x v="47"/>
    <x v="47"/>
    <s v="MAIS GRANEL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9"/>
    <x v="47"/>
    <x v="47"/>
    <s v="NATURATT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9"/>
    <x v="47"/>
    <x v="47"/>
    <s v="REEMBALADO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9"/>
    <x v="47"/>
    <x v="47"/>
    <s v="S GLUTEN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9"/>
    <x v="47"/>
    <x v="47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9"/>
    <x v="47"/>
    <x v="47"/>
    <s v="SAL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9"/>
    <x v="47"/>
    <x v="47"/>
    <s v="SOULPR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9"/>
    <x v="47"/>
    <x v="47"/>
    <s v="TAMAR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9"/>
    <x v="47"/>
    <x v="47"/>
    <s v="VICCIO"/>
    <n v="0"/>
    <n v="0"/>
    <n v="0"/>
    <n v="0"/>
    <n v="0"/>
    <n v="0"/>
    <n v="0"/>
    <n v="0"/>
    <n v="0"/>
    <n v="0"/>
    <n v="0"/>
    <n v="0"/>
    <n v="0"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n v="1"/>
    <x v="10"/>
    <x v="48"/>
    <x v="48"/>
    <s v="1. TOTAL - VENDA INTERNA RO - CONVENIENCI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0"/>
    <x v="48"/>
    <x v="48"/>
    <s v="BISCOIT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0"/>
    <x v="48"/>
    <x v="48"/>
    <s v="CHOCOLAT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0"/>
    <x v="48"/>
    <x v="48"/>
    <s v="DISNEY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0"/>
    <x v="48"/>
    <x v="48"/>
    <s v="DOC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0"/>
    <x v="48"/>
    <x v="48"/>
    <s v="GELEI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0"/>
    <x v="48"/>
    <x v="48"/>
    <s v="GRANOL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0"/>
    <x v="48"/>
    <x v="48"/>
    <s v="KID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0"/>
    <x v="48"/>
    <x v="48"/>
    <s v="LANCH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0"/>
    <x v="48"/>
    <x v="48"/>
    <s v="MAIS GRANEL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0"/>
    <x v="48"/>
    <x v="48"/>
    <s v="NATURATT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0"/>
    <x v="48"/>
    <x v="48"/>
    <s v="REEMBALADO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0"/>
    <x v="48"/>
    <x v="48"/>
    <s v="S GLUTEN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0"/>
    <x v="48"/>
    <x v="48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0"/>
    <x v="48"/>
    <x v="48"/>
    <s v="SAL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0"/>
    <x v="48"/>
    <x v="48"/>
    <s v="SOULPR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0"/>
    <x v="48"/>
    <x v="48"/>
    <s v="TAMAR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0"/>
    <x v="48"/>
    <x v="48"/>
    <s v="VICCIO"/>
    <n v="0"/>
    <n v="0"/>
    <n v="0"/>
    <n v="0"/>
    <n v="0"/>
    <n v="0"/>
    <n v="0"/>
    <n v="0"/>
    <n v="0"/>
    <n v="0"/>
    <n v="0"/>
    <n v="0"/>
    <n v="0"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n v="1"/>
    <x v="11"/>
    <x v="49"/>
    <x v="49"/>
    <s v="1. TOTAL - VENDA INTERNA RR - CONVENIENCI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1"/>
    <x v="49"/>
    <x v="49"/>
    <s v="BISCOIT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1"/>
    <x v="49"/>
    <x v="49"/>
    <s v="CHOCOLAT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1"/>
    <x v="49"/>
    <x v="49"/>
    <s v="DISNEY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1"/>
    <x v="49"/>
    <x v="49"/>
    <s v="DOC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1"/>
    <x v="49"/>
    <x v="49"/>
    <s v="GELEI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1"/>
    <x v="49"/>
    <x v="49"/>
    <s v="GRANOL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1"/>
    <x v="49"/>
    <x v="49"/>
    <s v="KID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1"/>
    <x v="49"/>
    <x v="49"/>
    <s v="LANCH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1"/>
    <x v="49"/>
    <x v="49"/>
    <s v="MAIS GRANEL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1"/>
    <x v="49"/>
    <x v="49"/>
    <s v="NATURATT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1"/>
    <x v="49"/>
    <x v="49"/>
    <s v="REEMBALADO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1"/>
    <x v="49"/>
    <x v="49"/>
    <s v="S GLUTEN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1"/>
    <x v="49"/>
    <x v="49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1"/>
    <x v="49"/>
    <x v="49"/>
    <s v="SAL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1"/>
    <x v="49"/>
    <x v="49"/>
    <s v="SOULPR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1"/>
    <x v="49"/>
    <x v="49"/>
    <s v="TAMAR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1"/>
    <x v="49"/>
    <x v="49"/>
    <s v="VICCIO"/>
    <n v="0"/>
    <n v="0"/>
    <n v="0"/>
    <n v="0"/>
    <n v="0"/>
    <n v="0"/>
    <n v="0"/>
    <n v="0"/>
    <n v="0"/>
    <n v="0"/>
    <n v="0"/>
    <n v="0"/>
    <n v="0"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n v="1"/>
    <x v="12"/>
    <x v="50"/>
    <x v="50"/>
    <s v="1. TOTAL - VENDA INTERNA PA - CONVENIENCI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2"/>
    <x v="50"/>
    <x v="50"/>
    <s v="BISCOIT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2"/>
    <x v="50"/>
    <x v="50"/>
    <s v="CHOCOLAT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2"/>
    <x v="50"/>
    <x v="50"/>
    <s v="DISNEY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2"/>
    <x v="50"/>
    <x v="50"/>
    <s v="DOC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2"/>
    <x v="50"/>
    <x v="50"/>
    <s v="GELEI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2"/>
    <x v="50"/>
    <x v="50"/>
    <s v="GRANOL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2"/>
    <x v="50"/>
    <x v="50"/>
    <s v="KID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2"/>
    <x v="50"/>
    <x v="50"/>
    <s v="LANCH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2"/>
    <x v="50"/>
    <x v="50"/>
    <s v="MAIS GRANEL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2"/>
    <x v="50"/>
    <x v="50"/>
    <s v="NATURATT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2"/>
    <x v="50"/>
    <x v="50"/>
    <s v="REEMBALADO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2"/>
    <x v="50"/>
    <x v="50"/>
    <s v="S GLUTEN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2"/>
    <x v="50"/>
    <x v="50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2"/>
    <x v="50"/>
    <x v="50"/>
    <s v="SAL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2"/>
    <x v="50"/>
    <x v="50"/>
    <s v="SOULPR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2"/>
    <x v="50"/>
    <x v="50"/>
    <s v="TAMAR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2"/>
    <x v="50"/>
    <x v="50"/>
    <s v="VICCIO"/>
    <n v="0"/>
    <n v="0"/>
    <n v="0"/>
    <n v="0"/>
    <n v="0"/>
    <n v="0"/>
    <n v="0"/>
    <n v="0"/>
    <n v="0"/>
    <n v="0"/>
    <n v="0"/>
    <n v="0"/>
    <n v="0"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n v="1"/>
    <x v="25"/>
    <x v="51"/>
    <x v="51"/>
    <s v="1. TOTAL - VENDA INTERNA AL - CONVENIENCI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5"/>
    <x v="51"/>
    <x v="51"/>
    <s v="BISCOIT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5"/>
    <x v="51"/>
    <x v="51"/>
    <s v="CHOCOLAT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5"/>
    <x v="51"/>
    <x v="51"/>
    <s v="DISNEY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5"/>
    <x v="51"/>
    <x v="51"/>
    <s v="DOC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5"/>
    <x v="51"/>
    <x v="51"/>
    <s v="GELEI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5"/>
    <x v="51"/>
    <x v="51"/>
    <s v="GRANOL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5"/>
    <x v="51"/>
    <x v="51"/>
    <s v="KID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5"/>
    <x v="51"/>
    <x v="51"/>
    <s v="LANCH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5"/>
    <x v="51"/>
    <x v="51"/>
    <s v="MAIS GRANEL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5"/>
    <x v="51"/>
    <x v="51"/>
    <s v="NATURATT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5"/>
    <x v="51"/>
    <x v="51"/>
    <s v="REEMBALADO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5"/>
    <x v="51"/>
    <x v="51"/>
    <s v="S GLUTEN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5"/>
    <x v="51"/>
    <x v="51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5"/>
    <x v="51"/>
    <x v="51"/>
    <s v="SAL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5"/>
    <x v="51"/>
    <x v="51"/>
    <s v="SOULPR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5"/>
    <x v="51"/>
    <x v="51"/>
    <s v="TAMAR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5"/>
    <x v="51"/>
    <x v="51"/>
    <s v="VICCIO"/>
    <n v="0"/>
    <n v="0"/>
    <n v="0"/>
    <n v="0"/>
    <n v="0"/>
    <n v="0"/>
    <n v="0"/>
    <n v="0"/>
    <n v="0"/>
    <n v="0"/>
    <n v="0"/>
    <n v="0"/>
    <n v="0"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n v="1"/>
    <x v="13"/>
    <x v="52"/>
    <x v="52"/>
    <s v="1. TOTAL - VENDA INTERNA AM - CONVENIENCI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3"/>
    <x v="52"/>
    <x v="52"/>
    <s v="BISCOIT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3"/>
    <x v="52"/>
    <x v="52"/>
    <s v="CHOCOLAT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3"/>
    <x v="52"/>
    <x v="52"/>
    <s v="DISNEY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3"/>
    <x v="52"/>
    <x v="52"/>
    <s v="DOC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3"/>
    <x v="52"/>
    <x v="52"/>
    <s v="GELEI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3"/>
    <x v="52"/>
    <x v="52"/>
    <s v="GRANOL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3"/>
    <x v="52"/>
    <x v="52"/>
    <s v="KID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3"/>
    <x v="52"/>
    <x v="52"/>
    <s v="LANCH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3"/>
    <x v="52"/>
    <x v="52"/>
    <s v="MAIS GRANEL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3"/>
    <x v="52"/>
    <x v="52"/>
    <s v="NATURATT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3"/>
    <x v="52"/>
    <x v="52"/>
    <s v="REEMBALADO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3"/>
    <x v="52"/>
    <x v="52"/>
    <s v="S GLUTEN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3"/>
    <x v="52"/>
    <x v="52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3"/>
    <x v="52"/>
    <x v="52"/>
    <s v="SAL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3"/>
    <x v="52"/>
    <x v="52"/>
    <s v="SOULPR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3"/>
    <x v="52"/>
    <x v="52"/>
    <s v="TAMAR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3"/>
    <x v="52"/>
    <x v="52"/>
    <s v="VICCIO"/>
    <n v="0"/>
    <n v="0"/>
    <n v="0"/>
    <n v="0"/>
    <n v="0"/>
    <n v="0"/>
    <n v="0"/>
    <n v="0"/>
    <n v="0"/>
    <n v="0"/>
    <n v="0"/>
    <n v="0"/>
    <n v="0"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n v="1"/>
    <x v="14"/>
    <x v="53"/>
    <x v="53"/>
    <s v="1. TOTAL - VENDA INTERNA DF - CONVENIENCI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4"/>
    <x v="53"/>
    <x v="53"/>
    <s v="BISCOIT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4"/>
    <x v="53"/>
    <x v="53"/>
    <s v="CHOCOLAT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4"/>
    <x v="53"/>
    <x v="53"/>
    <s v="DISNEY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4"/>
    <x v="53"/>
    <x v="53"/>
    <s v="DOC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4"/>
    <x v="53"/>
    <x v="53"/>
    <s v="GELEI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4"/>
    <x v="53"/>
    <x v="53"/>
    <s v="GRANOL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4"/>
    <x v="53"/>
    <x v="53"/>
    <s v="KID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4"/>
    <x v="53"/>
    <x v="53"/>
    <s v="LANCH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4"/>
    <x v="53"/>
    <x v="53"/>
    <s v="MAIS GRANEL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4"/>
    <x v="53"/>
    <x v="53"/>
    <s v="NATURATT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4"/>
    <x v="53"/>
    <x v="53"/>
    <s v="REEMBALADO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4"/>
    <x v="53"/>
    <x v="53"/>
    <s v="S GLUTEN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4"/>
    <x v="53"/>
    <x v="53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4"/>
    <x v="53"/>
    <x v="53"/>
    <s v="SAL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4"/>
    <x v="53"/>
    <x v="53"/>
    <s v="SOULPR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4"/>
    <x v="53"/>
    <x v="53"/>
    <s v="TAMAR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4"/>
    <x v="53"/>
    <x v="53"/>
    <s v="VICCIO"/>
    <n v="0"/>
    <n v="0"/>
    <n v="0"/>
    <n v="0"/>
    <n v="0"/>
    <n v="0"/>
    <n v="0"/>
    <n v="0"/>
    <n v="0"/>
    <n v="0"/>
    <n v="0"/>
    <n v="0"/>
    <n v="0"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n v="1"/>
    <x v="15"/>
    <x v="54"/>
    <x v="54"/>
    <s v="1. TOTAL - VENDA INTERNA MS - CONVENIENCI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5"/>
    <x v="54"/>
    <x v="54"/>
    <s v="BISCOIT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5"/>
    <x v="54"/>
    <x v="54"/>
    <s v="CHOCOLAT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5"/>
    <x v="54"/>
    <x v="54"/>
    <s v="DISNEY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5"/>
    <x v="54"/>
    <x v="54"/>
    <s v="DOC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5"/>
    <x v="54"/>
    <x v="54"/>
    <s v="GELEI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5"/>
    <x v="54"/>
    <x v="54"/>
    <s v="GRANOL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5"/>
    <x v="54"/>
    <x v="54"/>
    <s v="KID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5"/>
    <x v="54"/>
    <x v="54"/>
    <s v="LANCH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5"/>
    <x v="54"/>
    <x v="54"/>
    <s v="MAIS GRANEL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5"/>
    <x v="54"/>
    <x v="54"/>
    <s v="NATURATT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5"/>
    <x v="54"/>
    <x v="54"/>
    <s v="REEMBALADO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5"/>
    <x v="54"/>
    <x v="54"/>
    <s v="S GLUTEN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5"/>
    <x v="54"/>
    <x v="54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5"/>
    <x v="54"/>
    <x v="54"/>
    <s v="SAL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5"/>
    <x v="54"/>
    <x v="54"/>
    <s v="SOULPR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5"/>
    <x v="54"/>
    <x v="54"/>
    <s v="TAMAR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5"/>
    <x v="54"/>
    <x v="54"/>
    <s v="VICCIO"/>
    <n v="0"/>
    <n v="0"/>
    <n v="0"/>
    <n v="0"/>
    <n v="0"/>
    <n v="0"/>
    <n v="0"/>
    <n v="0"/>
    <n v="0"/>
    <n v="0"/>
    <n v="0"/>
    <n v="0"/>
    <n v="0"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n v="1"/>
    <x v="16"/>
    <x v="55"/>
    <x v="55"/>
    <s v="1. TOTAL - VENDA INTERNA MT - CONVENIENCI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6"/>
    <x v="55"/>
    <x v="55"/>
    <s v="BISCOIT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6"/>
    <x v="55"/>
    <x v="55"/>
    <s v="CHOCOLAT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6"/>
    <x v="55"/>
    <x v="55"/>
    <s v="DISNEY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6"/>
    <x v="55"/>
    <x v="55"/>
    <s v="DOC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6"/>
    <x v="55"/>
    <x v="55"/>
    <s v="GELEI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6"/>
    <x v="55"/>
    <x v="55"/>
    <s v="GRANOL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6"/>
    <x v="55"/>
    <x v="55"/>
    <s v="KID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6"/>
    <x v="55"/>
    <x v="55"/>
    <s v="LANCH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6"/>
    <x v="55"/>
    <x v="55"/>
    <s v="MAIS GRANEL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6"/>
    <x v="55"/>
    <x v="55"/>
    <s v="NATURATT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6"/>
    <x v="55"/>
    <x v="55"/>
    <s v="REEMBALADO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6"/>
    <x v="55"/>
    <x v="55"/>
    <s v="S GLUTEN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6"/>
    <x v="55"/>
    <x v="55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6"/>
    <x v="55"/>
    <x v="55"/>
    <s v="SAL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6"/>
    <x v="55"/>
    <x v="55"/>
    <s v="SOULPR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6"/>
    <x v="55"/>
    <x v="55"/>
    <s v="TAMAR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6"/>
    <x v="55"/>
    <x v="55"/>
    <s v="VICCIO"/>
    <n v="0"/>
    <n v="0"/>
    <n v="0"/>
    <n v="0"/>
    <n v="0"/>
    <n v="0"/>
    <n v="0"/>
    <n v="0"/>
    <n v="0"/>
    <n v="0"/>
    <n v="0"/>
    <n v="0"/>
    <n v="0"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n v="1"/>
    <x v="17"/>
    <x v="56"/>
    <x v="56"/>
    <s v="1. TOTAL - VENDA INTERNA GO - CONVENIENCI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7"/>
    <x v="56"/>
    <x v="56"/>
    <s v="BISCOIT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7"/>
    <x v="56"/>
    <x v="56"/>
    <s v="CHOCOLAT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7"/>
    <x v="56"/>
    <x v="56"/>
    <s v="DISNEY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7"/>
    <x v="56"/>
    <x v="56"/>
    <s v="DOC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7"/>
    <x v="56"/>
    <x v="56"/>
    <s v="GELEI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7"/>
    <x v="56"/>
    <x v="56"/>
    <s v="GRANOL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7"/>
    <x v="56"/>
    <x v="56"/>
    <s v="KID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7"/>
    <x v="56"/>
    <x v="56"/>
    <s v="LANCH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7"/>
    <x v="56"/>
    <x v="56"/>
    <s v="MAIS GRANEL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7"/>
    <x v="56"/>
    <x v="56"/>
    <s v="NATURATT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7"/>
    <x v="56"/>
    <x v="56"/>
    <s v="REEMBALADO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7"/>
    <x v="56"/>
    <x v="56"/>
    <s v="S GLUTEN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7"/>
    <x v="56"/>
    <x v="56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7"/>
    <x v="56"/>
    <x v="56"/>
    <s v="SAL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7"/>
    <x v="56"/>
    <x v="56"/>
    <s v="SOULPR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7"/>
    <x v="56"/>
    <x v="56"/>
    <s v="TAMAR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7"/>
    <x v="56"/>
    <x v="56"/>
    <s v="VICCIO"/>
    <n v="0"/>
    <n v="0"/>
    <n v="0"/>
    <n v="0"/>
    <n v="0"/>
    <n v="0"/>
    <n v="0"/>
    <n v="0"/>
    <n v="0"/>
    <n v="0"/>
    <n v="0"/>
    <n v="0"/>
    <n v="0"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n v="1"/>
    <x v="18"/>
    <x v="57"/>
    <x v="57"/>
    <s v="1. TOTAL - VENDA INTERNA ES - CONVENIENCI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8"/>
    <x v="57"/>
    <x v="57"/>
    <s v="BISCOIT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8"/>
    <x v="57"/>
    <x v="57"/>
    <s v="CHOCOLAT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8"/>
    <x v="57"/>
    <x v="57"/>
    <s v="DISNEY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8"/>
    <x v="57"/>
    <x v="57"/>
    <s v="DOC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8"/>
    <x v="57"/>
    <x v="57"/>
    <s v="GELEI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8"/>
    <x v="57"/>
    <x v="57"/>
    <s v="GRANOL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8"/>
    <x v="57"/>
    <x v="57"/>
    <s v="KID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8"/>
    <x v="57"/>
    <x v="57"/>
    <s v="LANCH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8"/>
    <x v="57"/>
    <x v="57"/>
    <s v="MAIS GRANEL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8"/>
    <x v="57"/>
    <x v="57"/>
    <s v="NATURATT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8"/>
    <x v="57"/>
    <x v="57"/>
    <s v="REEMBALADO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8"/>
    <x v="57"/>
    <x v="57"/>
    <s v="S GLUTEN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8"/>
    <x v="57"/>
    <x v="57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8"/>
    <x v="57"/>
    <x v="57"/>
    <s v="SAL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8"/>
    <x v="57"/>
    <x v="57"/>
    <s v="SOULPR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8"/>
    <x v="57"/>
    <x v="57"/>
    <s v="TAMAR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8"/>
    <x v="57"/>
    <x v="57"/>
    <s v="VICCIO"/>
    <n v="0"/>
    <n v="0"/>
    <n v="0"/>
    <n v="0"/>
    <n v="0"/>
    <n v="0"/>
    <n v="0"/>
    <n v="0"/>
    <n v="0"/>
    <n v="0"/>
    <n v="0"/>
    <n v="0"/>
    <n v="0"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n v="1"/>
    <x v="19"/>
    <x v="58"/>
    <x v="58"/>
    <s v="1. TOTAL - VENDA INTERNA RJ - CONVENIENCI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9"/>
    <x v="58"/>
    <x v="58"/>
    <s v="BISCOIT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9"/>
    <x v="58"/>
    <x v="58"/>
    <s v="CHOCOLAT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9"/>
    <x v="58"/>
    <x v="58"/>
    <s v="DISNEY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9"/>
    <x v="58"/>
    <x v="58"/>
    <s v="DOC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9"/>
    <x v="58"/>
    <x v="58"/>
    <s v="GELEI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9"/>
    <x v="58"/>
    <x v="58"/>
    <s v="GRANOL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9"/>
    <x v="58"/>
    <x v="58"/>
    <s v="KID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9"/>
    <x v="58"/>
    <x v="58"/>
    <s v="LANCH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9"/>
    <x v="58"/>
    <x v="58"/>
    <s v="MAIS GRANEL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9"/>
    <x v="58"/>
    <x v="58"/>
    <s v="NATURATT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9"/>
    <x v="58"/>
    <x v="58"/>
    <s v="REEMBALADO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9"/>
    <x v="58"/>
    <x v="58"/>
    <s v="S GLUTEN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9"/>
    <x v="58"/>
    <x v="58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9"/>
    <x v="58"/>
    <x v="58"/>
    <s v="SAL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9"/>
    <x v="58"/>
    <x v="58"/>
    <s v="SOULPR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9"/>
    <x v="58"/>
    <x v="58"/>
    <s v="TAMAR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9"/>
    <x v="58"/>
    <x v="58"/>
    <s v="VICCIO"/>
    <n v="0"/>
    <n v="0"/>
    <n v="0"/>
    <n v="0"/>
    <n v="0"/>
    <n v="0"/>
    <n v="0"/>
    <n v="0"/>
    <n v="0"/>
    <n v="0"/>
    <n v="0"/>
    <n v="0"/>
    <n v="0"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n v="1"/>
    <x v="20"/>
    <x v="59"/>
    <x v="59"/>
    <s v="1. TOTAL - VENDA INTERNA MG - CONVENIENCIA"/>
    <n v="0"/>
    <n v="0"/>
    <n v="0"/>
    <n v="2400"/>
    <n v="2400"/>
    <n v="3200"/>
    <n v="4000"/>
    <n v="4800"/>
    <n v="5600"/>
    <n v="6400"/>
    <n v="7200"/>
    <n v="7200"/>
    <n v="4320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0"/>
    <x v="59"/>
    <x v="59"/>
    <s v="BISCOITO"/>
    <n v="0"/>
    <n v="0"/>
    <n v="0"/>
    <n v="240"/>
    <n v="240"/>
    <n v="320"/>
    <n v="400"/>
    <n v="480"/>
    <n v="560"/>
    <n v="640"/>
    <n v="720"/>
    <n v="720"/>
    <n v="432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0"/>
    <x v="59"/>
    <x v="59"/>
    <s v="CHOCOLATES"/>
    <n v="0"/>
    <n v="0"/>
    <n v="0"/>
    <n v="600"/>
    <n v="600"/>
    <n v="800"/>
    <n v="1000"/>
    <n v="1200"/>
    <n v="1400"/>
    <n v="1600"/>
    <n v="1800"/>
    <n v="1800"/>
    <n v="1080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0"/>
    <x v="59"/>
    <x v="59"/>
    <s v="DISNEY"/>
    <n v="0"/>
    <n v="0"/>
    <n v="0"/>
    <n v="360"/>
    <n v="360"/>
    <n v="480"/>
    <n v="600"/>
    <n v="720"/>
    <n v="840"/>
    <n v="960"/>
    <n v="1080"/>
    <n v="1080"/>
    <n v="648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0"/>
    <x v="59"/>
    <x v="59"/>
    <s v="DOCES"/>
    <n v="0"/>
    <n v="0"/>
    <n v="0"/>
    <n v="48"/>
    <n v="48"/>
    <n v="64"/>
    <n v="80"/>
    <n v="96"/>
    <n v="112"/>
    <n v="128"/>
    <n v="144"/>
    <n v="144"/>
    <n v="864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0"/>
    <x v="59"/>
    <x v="59"/>
    <s v="GELEIA"/>
    <n v="0"/>
    <n v="0"/>
    <n v="0"/>
    <n v="24"/>
    <n v="24"/>
    <n v="32"/>
    <n v="40"/>
    <n v="48"/>
    <n v="56"/>
    <n v="64"/>
    <n v="72"/>
    <n v="72"/>
    <n v="432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0"/>
    <x v="59"/>
    <x v="59"/>
    <s v="GRANOLA"/>
    <n v="0"/>
    <n v="0"/>
    <n v="0"/>
    <n v="24"/>
    <n v="24"/>
    <n v="32"/>
    <n v="40"/>
    <n v="48"/>
    <n v="56"/>
    <n v="64"/>
    <n v="72"/>
    <n v="72"/>
    <n v="432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0"/>
    <x v="59"/>
    <x v="59"/>
    <s v="KIDS"/>
    <n v="0"/>
    <n v="0"/>
    <n v="0"/>
    <n v="24"/>
    <n v="24"/>
    <n v="32"/>
    <n v="40"/>
    <n v="48"/>
    <n v="56"/>
    <n v="64"/>
    <n v="72"/>
    <n v="72"/>
    <n v="432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0"/>
    <x v="59"/>
    <x v="59"/>
    <s v="LANCHES"/>
    <n v="0"/>
    <n v="0"/>
    <n v="0"/>
    <n v="144"/>
    <n v="144"/>
    <n v="192"/>
    <n v="240"/>
    <n v="288"/>
    <n v="336"/>
    <n v="384"/>
    <n v="432"/>
    <n v="432"/>
    <n v="2592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0"/>
    <x v="59"/>
    <x v="59"/>
    <s v="MAIS GRANEL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0"/>
    <x v="59"/>
    <x v="59"/>
    <s v="NATURATTA"/>
    <n v="0"/>
    <n v="0"/>
    <n v="0"/>
    <n v="240"/>
    <n v="240"/>
    <n v="320"/>
    <n v="400"/>
    <n v="480"/>
    <n v="560"/>
    <n v="640"/>
    <n v="720"/>
    <n v="720"/>
    <n v="432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0"/>
    <x v="59"/>
    <x v="59"/>
    <s v="REEMBALADOS"/>
    <n v="0"/>
    <n v="0"/>
    <n v="0"/>
    <n v="24"/>
    <n v="24"/>
    <n v="32"/>
    <n v="40"/>
    <n v="48"/>
    <n v="56"/>
    <n v="64"/>
    <n v="72"/>
    <n v="72"/>
    <n v="432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0"/>
    <x v="59"/>
    <x v="59"/>
    <s v="S GLUTEN"/>
    <n v="0"/>
    <n v="0"/>
    <n v="0"/>
    <n v="24"/>
    <n v="24"/>
    <n v="32"/>
    <n v="40"/>
    <n v="48"/>
    <n v="56"/>
    <n v="64"/>
    <n v="72"/>
    <n v="72"/>
    <n v="432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0"/>
    <x v="59"/>
    <x v="59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0"/>
    <x v="59"/>
    <x v="59"/>
    <s v="SAL"/>
    <n v="0"/>
    <n v="0"/>
    <n v="0"/>
    <n v="24"/>
    <n v="24"/>
    <n v="32"/>
    <n v="40"/>
    <n v="48"/>
    <n v="56"/>
    <n v="64"/>
    <n v="72"/>
    <n v="72"/>
    <n v="432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0"/>
    <x v="59"/>
    <x v="59"/>
    <s v="SOULPRO"/>
    <n v="0"/>
    <n v="0"/>
    <n v="0"/>
    <n v="360"/>
    <n v="360"/>
    <n v="480"/>
    <n v="600"/>
    <n v="720"/>
    <n v="840"/>
    <n v="960"/>
    <n v="1080"/>
    <n v="1080"/>
    <n v="648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0"/>
    <x v="59"/>
    <x v="59"/>
    <s v="TAMARA"/>
    <n v="0"/>
    <n v="0"/>
    <n v="0"/>
    <n v="24"/>
    <n v="24"/>
    <n v="32"/>
    <n v="40"/>
    <n v="48"/>
    <n v="56"/>
    <n v="64"/>
    <n v="72"/>
    <n v="72"/>
    <n v="432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0"/>
    <x v="59"/>
    <x v="59"/>
    <s v="VICCIO"/>
    <n v="0"/>
    <n v="0"/>
    <n v="0"/>
    <n v="240"/>
    <n v="240"/>
    <n v="320"/>
    <n v="400"/>
    <n v="480"/>
    <n v="560"/>
    <n v="640"/>
    <n v="720"/>
    <n v="720"/>
    <n v="4320"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n v="1"/>
    <x v="21"/>
    <x v="60"/>
    <x v="60"/>
    <s v="1. TOTAL - VENDA INTERNA SP CAPITAL - CONVENIENCIA"/>
    <n v="0"/>
    <n v="0"/>
    <n v="0"/>
    <n v="2400"/>
    <n v="2400"/>
    <n v="3200"/>
    <n v="4000"/>
    <n v="4800"/>
    <n v="5600"/>
    <n v="6400"/>
    <n v="7200"/>
    <n v="7200"/>
    <n v="4320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1"/>
    <x v="60"/>
    <x v="60"/>
    <s v="BISCOITO"/>
    <n v="0"/>
    <n v="0"/>
    <n v="0"/>
    <n v="240"/>
    <n v="240"/>
    <n v="320"/>
    <n v="400"/>
    <n v="480"/>
    <n v="560"/>
    <n v="640"/>
    <n v="720"/>
    <n v="720"/>
    <n v="432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1"/>
    <x v="60"/>
    <x v="60"/>
    <s v="CHOCOLATES"/>
    <n v="0"/>
    <n v="0"/>
    <n v="0"/>
    <n v="600"/>
    <n v="600"/>
    <n v="800"/>
    <n v="1000"/>
    <n v="1200"/>
    <n v="1400"/>
    <n v="1600"/>
    <n v="1800"/>
    <n v="1800"/>
    <n v="1080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1"/>
    <x v="60"/>
    <x v="60"/>
    <s v="DISNEY"/>
    <n v="0"/>
    <n v="0"/>
    <n v="0"/>
    <n v="360"/>
    <n v="360"/>
    <n v="480"/>
    <n v="600"/>
    <n v="720"/>
    <n v="840"/>
    <n v="960"/>
    <n v="1080"/>
    <n v="1080"/>
    <n v="648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1"/>
    <x v="60"/>
    <x v="60"/>
    <s v="DOCES"/>
    <n v="0"/>
    <n v="0"/>
    <n v="0"/>
    <n v="48"/>
    <n v="48"/>
    <n v="64"/>
    <n v="80"/>
    <n v="96"/>
    <n v="112"/>
    <n v="128"/>
    <n v="144"/>
    <n v="144"/>
    <n v="864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1"/>
    <x v="60"/>
    <x v="60"/>
    <s v="GELEIA"/>
    <n v="0"/>
    <n v="0"/>
    <n v="0"/>
    <n v="24"/>
    <n v="24"/>
    <n v="32"/>
    <n v="40"/>
    <n v="48"/>
    <n v="56"/>
    <n v="64"/>
    <n v="72"/>
    <n v="72"/>
    <n v="432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1"/>
    <x v="60"/>
    <x v="60"/>
    <s v="GRANOLA"/>
    <n v="0"/>
    <n v="0"/>
    <n v="0"/>
    <n v="24"/>
    <n v="24"/>
    <n v="32"/>
    <n v="40"/>
    <n v="48"/>
    <n v="56"/>
    <n v="64"/>
    <n v="72"/>
    <n v="72"/>
    <n v="432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1"/>
    <x v="60"/>
    <x v="60"/>
    <s v="KIDS"/>
    <n v="0"/>
    <n v="0"/>
    <n v="0"/>
    <n v="24"/>
    <n v="24"/>
    <n v="32"/>
    <n v="40"/>
    <n v="48"/>
    <n v="56"/>
    <n v="64"/>
    <n v="72"/>
    <n v="72"/>
    <n v="432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1"/>
    <x v="60"/>
    <x v="60"/>
    <s v="LANCHES"/>
    <n v="0"/>
    <n v="0"/>
    <n v="0"/>
    <n v="144"/>
    <n v="144"/>
    <n v="192"/>
    <n v="240"/>
    <n v="288"/>
    <n v="336"/>
    <n v="384"/>
    <n v="432"/>
    <n v="432"/>
    <n v="2592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1"/>
    <x v="60"/>
    <x v="60"/>
    <s v="MAIS GRANEL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1"/>
    <x v="60"/>
    <x v="60"/>
    <s v="NATURATTA"/>
    <n v="0"/>
    <n v="0"/>
    <n v="0"/>
    <n v="240"/>
    <n v="240"/>
    <n v="320"/>
    <n v="400"/>
    <n v="480"/>
    <n v="560"/>
    <n v="640"/>
    <n v="720"/>
    <n v="720"/>
    <n v="432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1"/>
    <x v="60"/>
    <x v="60"/>
    <s v="REEMBALADOS"/>
    <n v="0"/>
    <n v="0"/>
    <n v="0"/>
    <n v="24"/>
    <n v="24"/>
    <n v="32"/>
    <n v="40"/>
    <n v="48"/>
    <n v="56"/>
    <n v="64"/>
    <n v="72"/>
    <n v="72"/>
    <n v="432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1"/>
    <x v="60"/>
    <x v="60"/>
    <s v="S GLUTEN"/>
    <n v="0"/>
    <n v="0"/>
    <n v="0"/>
    <n v="24"/>
    <n v="24"/>
    <n v="32"/>
    <n v="40"/>
    <n v="48"/>
    <n v="56"/>
    <n v="64"/>
    <n v="72"/>
    <n v="72"/>
    <n v="432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1"/>
    <x v="60"/>
    <x v="60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1"/>
    <x v="60"/>
    <x v="60"/>
    <s v="SAL"/>
    <n v="0"/>
    <n v="0"/>
    <n v="0"/>
    <n v="24"/>
    <n v="24"/>
    <n v="32"/>
    <n v="40"/>
    <n v="48"/>
    <n v="56"/>
    <n v="64"/>
    <n v="72"/>
    <n v="72"/>
    <n v="432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1"/>
    <x v="60"/>
    <x v="60"/>
    <s v="SOULPRO"/>
    <n v="0"/>
    <n v="0"/>
    <n v="0"/>
    <n v="360"/>
    <n v="360"/>
    <n v="480"/>
    <n v="600"/>
    <n v="720"/>
    <n v="840"/>
    <n v="960"/>
    <n v="1080"/>
    <n v="1080"/>
    <n v="648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1"/>
    <x v="60"/>
    <x v="60"/>
    <s v="TAMARA"/>
    <n v="0"/>
    <n v="0"/>
    <n v="0"/>
    <n v="24"/>
    <n v="24"/>
    <n v="32"/>
    <n v="40"/>
    <n v="48"/>
    <n v="56"/>
    <n v="64"/>
    <n v="72"/>
    <n v="72"/>
    <n v="432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1"/>
    <x v="60"/>
    <x v="60"/>
    <s v="VICCIO"/>
    <n v="0"/>
    <n v="0"/>
    <n v="0"/>
    <n v="240"/>
    <n v="240"/>
    <n v="320"/>
    <n v="400"/>
    <n v="480"/>
    <n v="560"/>
    <n v="640"/>
    <n v="720"/>
    <n v="720"/>
    <n v="4320"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n v="1"/>
    <x v="21"/>
    <x v="61"/>
    <x v="61"/>
    <s v="1. TOTAL - VENDA INTERNA SP INTERIOR - CONVENIENCI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1"/>
    <x v="61"/>
    <x v="61"/>
    <s v="BISCOIT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1"/>
    <x v="61"/>
    <x v="61"/>
    <s v="CHOCOLAT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1"/>
    <x v="61"/>
    <x v="61"/>
    <s v="DISNEY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1"/>
    <x v="61"/>
    <x v="61"/>
    <s v="DOC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1"/>
    <x v="61"/>
    <x v="61"/>
    <s v="GELEI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1"/>
    <x v="61"/>
    <x v="61"/>
    <s v="GRANOL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1"/>
    <x v="61"/>
    <x v="61"/>
    <s v="KID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1"/>
    <x v="61"/>
    <x v="61"/>
    <s v="LANCH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1"/>
    <x v="61"/>
    <x v="61"/>
    <s v="MAIS GRANEL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1"/>
    <x v="61"/>
    <x v="61"/>
    <s v="NATURATT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1"/>
    <x v="61"/>
    <x v="61"/>
    <s v="REEMBALADO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1"/>
    <x v="61"/>
    <x v="61"/>
    <s v="S GLUTEN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1"/>
    <x v="61"/>
    <x v="61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1"/>
    <x v="61"/>
    <x v="61"/>
    <s v="SAL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1"/>
    <x v="61"/>
    <x v="61"/>
    <s v="SOULPR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1"/>
    <x v="61"/>
    <x v="61"/>
    <s v="TAMAR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1"/>
    <x v="61"/>
    <x v="61"/>
    <s v="VICCIO"/>
    <n v="0"/>
    <n v="0"/>
    <n v="0"/>
    <n v="0"/>
    <n v="0"/>
    <n v="0"/>
    <n v="0"/>
    <n v="0"/>
    <n v="0"/>
    <n v="0"/>
    <n v="0"/>
    <n v="0"/>
    <n v="0"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n v="1"/>
    <x v="22"/>
    <x v="62"/>
    <x v="62"/>
    <s v="1. TOTAL - VENDA INTERNA RS - CONVENIENCIA"/>
    <n v="0"/>
    <n v="0"/>
    <n v="0"/>
    <n v="3200"/>
    <n v="4000"/>
    <n v="5600"/>
    <n v="6400"/>
    <n v="8000"/>
    <n v="8800"/>
    <n v="9600"/>
    <n v="11200"/>
    <n v="12000"/>
    <n v="6880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2"/>
    <x v="62"/>
    <x v="62"/>
    <s v="BISCOITO"/>
    <n v="0"/>
    <n v="0"/>
    <n v="0"/>
    <n v="320"/>
    <n v="400"/>
    <n v="560"/>
    <n v="640"/>
    <n v="800"/>
    <n v="880"/>
    <n v="960"/>
    <n v="1120"/>
    <n v="1200"/>
    <n v="688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2"/>
    <x v="62"/>
    <x v="62"/>
    <s v="CHOCOLATES"/>
    <n v="0"/>
    <n v="0"/>
    <n v="0"/>
    <n v="800"/>
    <n v="1000"/>
    <n v="1400"/>
    <n v="1600"/>
    <n v="2000"/>
    <n v="2200"/>
    <n v="2400"/>
    <n v="2800"/>
    <n v="3000"/>
    <n v="1720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2"/>
    <x v="62"/>
    <x v="62"/>
    <s v="DISNEY"/>
    <n v="0"/>
    <n v="0"/>
    <n v="0"/>
    <n v="480"/>
    <n v="600"/>
    <n v="840"/>
    <n v="960"/>
    <n v="1200"/>
    <n v="1320"/>
    <n v="1440"/>
    <n v="1680"/>
    <n v="1800"/>
    <n v="1032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2"/>
    <x v="62"/>
    <x v="62"/>
    <s v="DOCES"/>
    <n v="0"/>
    <n v="0"/>
    <n v="0"/>
    <n v="64"/>
    <n v="80"/>
    <n v="112"/>
    <n v="128"/>
    <n v="160"/>
    <n v="176"/>
    <n v="192"/>
    <n v="224"/>
    <n v="240"/>
    <n v="1376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2"/>
    <x v="62"/>
    <x v="62"/>
    <s v="GELEIA"/>
    <n v="0"/>
    <n v="0"/>
    <n v="0"/>
    <n v="32"/>
    <n v="40"/>
    <n v="56"/>
    <n v="64"/>
    <n v="80"/>
    <n v="88"/>
    <n v="96"/>
    <n v="112"/>
    <n v="120"/>
    <n v="688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2"/>
    <x v="62"/>
    <x v="62"/>
    <s v="GRANOLA"/>
    <n v="0"/>
    <n v="0"/>
    <n v="0"/>
    <n v="32"/>
    <n v="40"/>
    <n v="56"/>
    <n v="64"/>
    <n v="80"/>
    <n v="88"/>
    <n v="96"/>
    <n v="112"/>
    <n v="120"/>
    <n v="688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2"/>
    <x v="62"/>
    <x v="62"/>
    <s v="KIDS"/>
    <n v="0"/>
    <n v="0"/>
    <n v="0"/>
    <n v="32"/>
    <n v="40"/>
    <n v="56"/>
    <n v="64"/>
    <n v="80"/>
    <n v="88"/>
    <n v="96"/>
    <n v="112"/>
    <n v="120"/>
    <n v="688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2"/>
    <x v="62"/>
    <x v="62"/>
    <s v="LANCHES"/>
    <n v="0"/>
    <n v="0"/>
    <n v="0"/>
    <n v="192"/>
    <n v="240"/>
    <n v="336"/>
    <n v="384"/>
    <n v="480"/>
    <n v="528"/>
    <n v="576"/>
    <n v="672"/>
    <n v="720"/>
    <n v="4128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2"/>
    <x v="62"/>
    <x v="62"/>
    <s v="MAIS GRANEL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2"/>
    <x v="62"/>
    <x v="62"/>
    <s v="NATURATTA"/>
    <n v="0"/>
    <n v="0"/>
    <n v="0"/>
    <n v="320"/>
    <n v="400"/>
    <n v="560"/>
    <n v="640"/>
    <n v="800"/>
    <n v="880"/>
    <n v="960"/>
    <n v="1120"/>
    <n v="1200"/>
    <n v="688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2"/>
    <x v="62"/>
    <x v="62"/>
    <s v="REEMBALADOS"/>
    <n v="0"/>
    <n v="0"/>
    <n v="0"/>
    <n v="32"/>
    <n v="40"/>
    <n v="56"/>
    <n v="64"/>
    <n v="80"/>
    <n v="88"/>
    <n v="96"/>
    <n v="112"/>
    <n v="120"/>
    <n v="688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2"/>
    <x v="62"/>
    <x v="62"/>
    <s v="S GLUTEN"/>
    <n v="0"/>
    <n v="0"/>
    <n v="0"/>
    <n v="32"/>
    <n v="40"/>
    <n v="56"/>
    <n v="64"/>
    <n v="80"/>
    <n v="88"/>
    <n v="96"/>
    <n v="112"/>
    <n v="120"/>
    <n v="688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2"/>
    <x v="62"/>
    <x v="62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2"/>
    <x v="62"/>
    <x v="62"/>
    <s v="SAL"/>
    <n v="0"/>
    <n v="0"/>
    <n v="0"/>
    <n v="32"/>
    <n v="40"/>
    <n v="56"/>
    <n v="64"/>
    <n v="80"/>
    <n v="88"/>
    <n v="96"/>
    <n v="112"/>
    <n v="120"/>
    <n v="688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2"/>
    <x v="62"/>
    <x v="62"/>
    <s v="SOULPRO"/>
    <n v="0"/>
    <n v="0"/>
    <n v="0"/>
    <n v="480"/>
    <n v="600"/>
    <n v="840"/>
    <n v="960"/>
    <n v="1200"/>
    <n v="1320"/>
    <n v="1440"/>
    <n v="1680"/>
    <n v="1800"/>
    <n v="1032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2"/>
    <x v="62"/>
    <x v="62"/>
    <s v="TAMARA"/>
    <n v="0"/>
    <n v="0"/>
    <n v="0"/>
    <n v="32"/>
    <n v="40"/>
    <n v="56"/>
    <n v="64"/>
    <n v="80"/>
    <n v="88"/>
    <n v="96"/>
    <n v="112"/>
    <n v="120"/>
    <n v="688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2"/>
    <x v="62"/>
    <x v="62"/>
    <s v="VICCIO"/>
    <n v="0"/>
    <n v="0"/>
    <n v="0"/>
    <n v="320"/>
    <n v="400"/>
    <n v="560"/>
    <n v="640"/>
    <n v="800"/>
    <n v="880"/>
    <n v="960"/>
    <n v="1120"/>
    <n v="1200"/>
    <n v="6880"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n v="1"/>
    <x v="24"/>
    <x v="63"/>
    <x v="63"/>
    <s v="1. TOTAL - VENDA INTERNA SC - CONVENIENCIA"/>
    <n v="0"/>
    <n v="0"/>
    <n v="0"/>
    <n v="2400"/>
    <n v="2400"/>
    <n v="3200"/>
    <n v="4000"/>
    <n v="4800"/>
    <n v="5600"/>
    <n v="6400"/>
    <n v="7200"/>
    <n v="7200"/>
    <n v="4320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4"/>
    <x v="63"/>
    <x v="63"/>
    <s v="BISCOITO"/>
    <n v="0"/>
    <n v="0"/>
    <n v="0"/>
    <n v="240"/>
    <n v="240"/>
    <n v="320"/>
    <n v="400"/>
    <n v="480"/>
    <n v="560"/>
    <n v="640"/>
    <n v="720"/>
    <n v="720"/>
    <n v="432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4"/>
    <x v="63"/>
    <x v="63"/>
    <s v="CHOCOLATES"/>
    <n v="0"/>
    <n v="0"/>
    <n v="0"/>
    <n v="600"/>
    <n v="600"/>
    <n v="800"/>
    <n v="1000"/>
    <n v="1200"/>
    <n v="1400"/>
    <n v="1600"/>
    <n v="1800"/>
    <n v="1800"/>
    <n v="1080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4"/>
    <x v="63"/>
    <x v="63"/>
    <s v="DISNEY"/>
    <n v="0"/>
    <n v="0"/>
    <n v="0"/>
    <n v="360"/>
    <n v="360"/>
    <n v="480"/>
    <n v="600"/>
    <n v="720"/>
    <n v="840"/>
    <n v="960"/>
    <n v="1080"/>
    <n v="1080"/>
    <n v="648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4"/>
    <x v="63"/>
    <x v="63"/>
    <s v="DOCES"/>
    <n v="0"/>
    <n v="0"/>
    <n v="0"/>
    <n v="48"/>
    <n v="48"/>
    <n v="64"/>
    <n v="80"/>
    <n v="96"/>
    <n v="112"/>
    <n v="128"/>
    <n v="144"/>
    <n v="144"/>
    <n v="864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4"/>
    <x v="63"/>
    <x v="63"/>
    <s v="GELEIA"/>
    <n v="0"/>
    <n v="0"/>
    <n v="0"/>
    <n v="24"/>
    <n v="24"/>
    <n v="32"/>
    <n v="40"/>
    <n v="48"/>
    <n v="56"/>
    <n v="64"/>
    <n v="72"/>
    <n v="72"/>
    <n v="432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4"/>
    <x v="63"/>
    <x v="63"/>
    <s v="GRANOLA"/>
    <n v="0"/>
    <n v="0"/>
    <n v="0"/>
    <n v="24"/>
    <n v="24"/>
    <n v="32"/>
    <n v="40"/>
    <n v="48"/>
    <n v="56"/>
    <n v="64"/>
    <n v="72"/>
    <n v="72"/>
    <n v="432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4"/>
    <x v="63"/>
    <x v="63"/>
    <s v="KIDS"/>
    <n v="0"/>
    <n v="0"/>
    <n v="0"/>
    <n v="24"/>
    <n v="24"/>
    <n v="32"/>
    <n v="40"/>
    <n v="48"/>
    <n v="56"/>
    <n v="64"/>
    <n v="72"/>
    <n v="72"/>
    <n v="432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4"/>
    <x v="63"/>
    <x v="63"/>
    <s v="LANCHES"/>
    <n v="0"/>
    <n v="0"/>
    <n v="0"/>
    <n v="144"/>
    <n v="144"/>
    <n v="192"/>
    <n v="240"/>
    <n v="288"/>
    <n v="336"/>
    <n v="384"/>
    <n v="432"/>
    <n v="432"/>
    <n v="2592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4"/>
    <x v="63"/>
    <x v="63"/>
    <s v="MAIS GRANEL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4"/>
    <x v="63"/>
    <x v="63"/>
    <s v="NATURATTA"/>
    <n v="0"/>
    <n v="0"/>
    <n v="0"/>
    <n v="240"/>
    <n v="240"/>
    <n v="320"/>
    <n v="400"/>
    <n v="480"/>
    <n v="560"/>
    <n v="640"/>
    <n v="720"/>
    <n v="720"/>
    <n v="432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4"/>
    <x v="63"/>
    <x v="63"/>
    <s v="REEMBALADOS"/>
    <n v="0"/>
    <n v="0"/>
    <n v="0"/>
    <n v="24"/>
    <n v="24"/>
    <n v="32"/>
    <n v="40"/>
    <n v="48"/>
    <n v="56"/>
    <n v="64"/>
    <n v="72"/>
    <n v="72"/>
    <n v="432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4"/>
    <x v="63"/>
    <x v="63"/>
    <s v="S GLUTEN"/>
    <n v="0"/>
    <n v="0"/>
    <n v="0"/>
    <n v="24"/>
    <n v="24"/>
    <n v="32"/>
    <n v="40"/>
    <n v="48"/>
    <n v="56"/>
    <n v="64"/>
    <n v="72"/>
    <n v="72"/>
    <n v="432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4"/>
    <x v="63"/>
    <x v="63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4"/>
    <x v="63"/>
    <x v="63"/>
    <s v="SAL"/>
    <n v="0"/>
    <n v="0"/>
    <n v="0"/>
    <n v="24"/>
    <n v="24"/>
    <n v="32"/>
    <n v="40"/>
    <n v="48"/>
    <n v="56"/>
    <n v="64"/>
    <n v="72"/>
    <n v="72"/>
    <n v="432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4"/>
    <x v="63"/>
    <x v="63"/>
    <s v="SOULPRO"/>
    <n v="0"/>
    <n v="0"/>
    <n v="0"/>
    <n v="360"/>
    <n v="360"/>
    <n v="480"/>
    <n v="600"/>
    <n v="720"/>
    <n v="840"/>
    <n v="960"/>
    <n v="1080"/>
    <n v="1080"/>
    <n v="648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4"/>
    <x v="63"/>
    <x v="63"/>
    <s v="TAMARA"/>
    <n v="0"/>
    <n v="0"/>
    <n v="0"/>
    <n v="24"/>
    <n v="24"/>
    <n v="32"/>
    <n v="40"/>
    <n v="48"/>
    <n v="56"/>
    <n v="64"/>
    <n v="72"/>
    <n v="72"/>
    <n v="432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4"/>
    <x v="63"/>
    <x v="63"/>
    <s v="VICCIO"/>
    <n v="0"/>
    <n v="0"/>
    <n v="0"/>
    <n v="240"/>
    <n v="240"/>
    <n v="320"/>
    <n v="400"/>
    <n v="480"/>
    <n v="560"/>
    <n v="640"/>
    <n v="720"/>
    <n v="720"/>
    <n v="4320"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n v="1"/>
    <x v="26"/>
    <x v="64"/>
    <x v="64"/>
    <s v="1. TOTAL - VENDA INTERNA AC - CONVENIENCI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6"/>
    <x v="64"/>
    <x v="64"/>
    <s v="BISCOIT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6"/>
    <x v="64"/>
    <x v="64"/>
    <s v="CHOCOLAT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6"/>
    <x v="64"/>
    <x v="64"/>
    <s v="DISNEY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6"/>
    <x v="64"/>
    <x v="64"/>
    <s v="DOC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6"/>
    <x v="64"/>
    <x v="64"/>
    <s v="GELEI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6"/>
    <x v="64"/>
    <x v="64"/>
    <s v="GRANOL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6"/>
    <x v="64"/>
    <x v="64"/>
    <s v="KID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6"/>
    <x v="64"/>
    <x v="64"/>
    <s v="LANCH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6"/>
    <x v="64"/>
    <x v="64"/>
    <s v="MAIS GRANEL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6"/>
    <x v="64"/>
    <x v="64"/>
    <s v="NATURATT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6"/>
    <x v="64"/>
    <x v="64"/>
    <s v="REEMBALADO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6"/>
    <x v="64"/>
    <x v="64"/>
    <s v="S GLUTEN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6"/>
    <x v="64"/>
    <x v="64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6"/>
    <x v="64"/>
    <x v="64"/>
    <s v="SAL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6"/>
    <x v="64"/>
    <x v="64"/>
    <s v="SOULPR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6"/>
    <x v="64"/>
    <x v="64"/>
    <s v="TAMAR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6"/>
    <x v="64"/>
    <x v="64"/>
    <s v="VICCIO"/>
    <n v="0"/>
    <n v="0"/>
    <n v="0"/>
    <n v="0"/>
    <n v="0"/>
    <n v="0"/>
    <n v="0"/>
    <n v="0"/>
    <n v="0"/>
    <n v="0"/>
    <n v="0"/>
    <n v="0"/>
    <n v="0"/>
  </r>
  <r>
    <x v="0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n v="1"/>
    <x v="26"/>
    <x v="65"/>
    <x v="65"/>
    <s v="1. TOTAL - _x0009_VENDA INTERNA AC"/>
    <n v="0"/>
    <n v="0"/>
    <n v="0"/>
    <n v="1000"/>
    <n v="1000"/>
    <n v="1000"/>
    <n v="1000"/>
    <n v="1100"/>
    <n v="1100"/>
    <n v="1100"/>
    <n v="1100"/>
    <n v="1100"/>
    <n v="950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26"/>
    <x v="65"/>
    <x v="65"/>
    <s v="BISCOITO"/>
    <n v="0"/>
    <n v="0"/>
    <n v="0"/>
    <n v="50"/>
    <n v="50"/>
    <n v="50"/>
    <n v="50"/>
    <n v="55"/>
    <n v="55"/>
    <n v="55"/>
    <n v="55"/>
    <n v="55"/>
    <n v="47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26"/>
    <x v="65"/>
    <x v="65"/>
    <s v="CHOCOLATES"/>
    <n v="0"/>
    <n v="0"/>
    <n v="0"/>
    <n v="50"/>
    <n v="50"/>
    <n v="50"/>
    <n v="50"/>
    <n v="55"/>
    <n v="55"/>
    <n v="55"/>
    <n v="55"/>
    <n v="55"/>
    <n v="47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26"/>
    <x v="65"/>
    <x v="65"/>
    <s v="DISNEY"/>
    <n v="0"/>
    <n v="0"/>
    <n v="0"/>
    <n v="80"/>
    <n v="80"/>
    <n v="80"/>
    <n v="80"/>
    <n v="88"/>
    <n v="88"/>
    <n v="88"/>
    <n v="88"/>
    <n v="88"/>
    <n v="76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26"/>
    <x v="65"/>
    <x v="65"/>
    <s v="DOCES"/>
    <n v="0"/>
    <n v="0"/>
    <n v="0"/>
    <n v="100"/>
    <n v="100"/>
    <n v="100"/>
    <n v="100"/>
    <n v="110"/>
    <n v="110"/>
    <n v="110"/>
    <n v="110"/>
    <n v="110"/>
    <n v="95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26"/>
    <x v="65"/>
    <x v="65"/>
    <s v="GELEIA"/>
    <n v="0"/>
    <n v="0"/>
    <n v="0"/>
    <n v="19.999999999999996"/>
    <n v="19.999999999999996"/>
    <n v="19.999999999999996"/>
    <n v="19.999999999999996"/>
    <n v="21.999999999999996"/>
    <n v="21.999999999999996"/>
    <n v="21.999999999999996"/>
    <n v="21.999999999999996"/>
    <n v="21.999999999999996"/>
    <n v="189.99999999999997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26"/>
    <x v="65"/>
    <x v="65"/>
    <s v="GRANOLA"/>
    <n v="0"/>
    <n v="0"/>
    <n v="0"/>
    <n v="20"/>
    <n v="20"/>
    <n v="20"/>
    <n v="20"/>
    <n v="22"/>
    <n v="22"/>
    <n v="22"/>
    <n v="22"/>
    <n v="22"/>
    <n v="19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26"/>
    <x v="65"/>
    <x v="65"/>
    <s v="KIDS"/>
    <n v="0"/>
    <n v="0"/>
    <n v="0"/>
    <n v="20"/>
    <n v="20"/>
    <n v="20"/>
    <n v="20"/>
    <n v="22"/>
    <n v="22"/>
    <n v="22"/>
    <n v="22"/>
    <n v="22"/>
    <n v="19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26"/>
    <x v="65"/>
    <x v="65"/>
    <s v="LANCHES"/>
    <n v="0"/>
    <n v="0"/>
    <n v="0"/>
    <n v="30"/>
    <n v="30"/>
    <n v="30"/>
    <n v="30"/>
    <n v="33"/>
    <n v="33"/>
    <n v="33"/>
    <n v="33"/>
    <n v="33"/>
    <n v="28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26"/>
    <x v="65"/>
    <x v="65"/>
    <s v="MAIS GRANEL"/>
    <n v="0"/>
    <n v="0"/>
    <n v="0"/>
    <n v="250"/>
    <n v="250"/>
    <n v="250"/>
    <n v="250"/>
    <n v="275"/>
    <n v="275"/>
    <n v="275"/>
    <n v="275"/>
    <n v="275"/>
    <n v="237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26"/>
    <x v="65"/>
    <x v="65"/>
    <s v="NATURATTA"/>
    <n v="0"/>
    <n v="0"/>
    <n v="0"/>
    <n v="50"/>
    <n v="50"/>
    <n v="50"/>
    <n v="50"/>
    <n v="55"/>
    <n v="55"/>
    <n v="55"/>
    <n v="55"/>
    <n v="55"/>
    <n v="47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26"/>
    <x v="65"/>
    <x v="65"/>
    <s v="REEMBALADOS"/>
    <n v="0"/>
    <n v="0"/>
    <n v="0"/>
    <n v="50"/>
    <n v="50"/>
    <n v="50"/>
    <n v="50"/>
    <n v="55"/>
    <n v="55"/>
    <n v="55"/>
    <n v="55"/>
    <n v="55"/>
    <n v="47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26"/>
    <x v="65"/>
    <x v="65"/>
    <s v="S GLUTEN"/>
    <n v="0"/>
    <n v="0"/>
    <n v="0"/>
    <n v="50"/>
    <n v="50"/>
    <n v="50"/>
    <n v="50"/>
    <n v="55"/>
    <n v="55"/>
    <n v="55"/>
    <n v="55"/>
    <n v="55"/>
    <n v="47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26"/>
    <x v="65"/>
    <x v="65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26"/>
    <x v="65"/>
    <x v="65"/>
    <s v="SAL"/>
    <n v="0"/>
    <n v="0"/>
    <n v="0"/>
    <n v="70"/>
    <n v="70"/>
    <n v="70"/>
    <n v="70"/>
    <n v="77.000000000000014"/>
    <n v="77.000000000000014"/>
    <n v="77.000000000000014"/>
    <n v="77.000000000000014"/>
    <n v="77.000000000000014"/>
    <n v="66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26"/>
    <x v="65"/>
    <x v="65"/>
    <s v="SOULPRO"/>
    <n v="0"/>
    <n v="0"/>
    <n v="0"/>
    <n v="49.999999999999993"/>
    <n v="49.999999999999993"/>
    <n v="49.999999999999993"/>
    <n v="49.999999999999993"/>
    <n v="54.999999999999993"/>
    <n v="54.999999999999993"/>
    <n v="54.999999999999993"/>
    <n v="54.999999999999993"/>
    <n v="54.999999999999993"/>
    <n v="474.99999999999994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26"/>
    <x v="65"/>
    <x v="65"/>
    <s v="TAMARA"/>
    <n v="0"/>
    <n v="0"/>
    <n v="0"/>
    <n v="80"/>
    <n v="80"/>
    <n v="80"/>
    <n v="80"/>
    <n v="88"/>
    <n v="88"/>
    <n v="88"/>
    <n v="88"/>
    <n v="88"/>
    <n v="76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26"/>
    <x v="65"/>
    <x v="65"/>
    <s v="VICCIO"/>
    <n v="0"/>
    <n v="0"/>
    <n v="0"/>
    <n v="30"/>
    <n v="30"/>
    <n v="30"/>
    <n v="30"/>
    <n v="33"/>
    <n v="33"/>
    <n v="33"/>
    <n v="33"/>
    <n v="33"/>
    <n v="28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88">
  <r>
    <x v="0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n v="1"/>
    <s v="AP"/>
    <n v="1324"/>
    <s v="VENDA INTERNA AP"/>
    <s v="1. TOTAL - VENDA INTERNA AP"/>
    <n v="0"/>
    <n v="10568.294327098127"/>
    <n v="12029.078970466311"/>
    <n v="1000"/>
    <n v="1000"/>
    <n v="1000"/>
    <n v="1000"/>
    <n v="1100"/>
    <n v="1100"/>
    <n v="1100"/>
    <n v="1100"/>
    <n v="1100"/>
    <n v="9500"/>
    <n v="9500"/>
    <n v="0"/>
    <s v=""/>
    <n v="0"/>
    <n v="22597.373297564438"/>
    <n v="22597.373297564438"/>
    <n v="0"/>
    <m/>
    <m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P"/>
    <n v="1324"/>
    <s v="VENDA INTERNA AP"/>
    <s v="BISCOITO"/>
    <n v="0"/>
    <n v="404.3886056291048"/>
    <n v="505.48575703638102"/>
    <n v="50"/>
    <n v="50"/>
    <n v="50"/>
    <n v="50"/>
    <n v="55"/>
    <n v="55"/>
    <n v="55"/>
    <n v="55"/>
    <n v="55"/>
    <n v="475"/>
    <n v="475"/>
    <n v="0"/>
    <s v=""/>
    <n v="0"/>
    <n v="909.87436266548582"/>
    <n v="909.87436266548582"/>
    <n v="0"/>
    <s v="Novos "/>
    <n v="0.2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P"/>
    <n v="1324"/>
    <s v="VENDA INTERNA AP"/>
    <s v="CHOCOLATES"/>
    <n v="0"/>
    <n v="2462.0564928909953"/>
    <n v="2872.3992417061613"/>
    <n v="50"/>
    <n v="50"/>
    <n v="50"/>
    <n v="50"/>
    <n v="55"/>
    <n v="55"/>
    <n v="55"/>
    <n v="55"/>
    <n v="55"/>
    <n v="475"/>
    <n v="475"/>
    <n v="0"/>
    <s v=""/>
    <n v="0"/>
    <n v="5334.4557345971571"/>
    <n v="5334.4557345971571"/>
    <n v="0"/>
    <s v="Novos "/>
    <n v="0.2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P"/>
    <n v="1324"/>
    <s v="VENDA INTERNA AP"/>
    <s v="DISNEY"/>
    <n v="0"/>
    <n v="441.5151111111112"/>
    <n v="551.89388888888902"/>
    <n v="80"/>
    <n v="80"/>
    <n v="80"/>
    <n v="80"/>
    <n v="88"/>
    <n v="88"/>
    <n v="88"/>
    <n v="88"/>
    <n v="88"/>
    <n v="760"/>
    <n v="760"/>
    <n v="0"/>
    <s v=""/>
    <n v="0"/>
    <n v="993.40900000000022"/>
    <n v="993.40900000000022"/>
    <n v="0"/>
    <s v="Novos "/>
    <n v="0.1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P"/>
    <n v="1324"/>
    <s v="VENDA INTERNA AP"/>
    <s v="DOCES"/>
    <n v="0"/>
    <n v="555.05619047619052"/>
    <n v="555.05619047619052"/>
    <n v="100"/>
    <n v="100"/>
    <n v="100"/>
    <n v="100"/>
    <n v="110"/>
    <n v="110"/>
    <n v="110"/>
    <n v="110"/>
    <n v="110"/>
    <n v="950"/>
    <n v="950"/>
    <n v="0"/>
    <s v=""/>
    <n v="0"/>
    <n v="1110.112380952381"/>
    <n v="1110.112380952381"/>
    <n v="0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P"/>
    <n v="1324"/>
    <s v="VENDA INTERNA AP"/>
    <s v="GELEIA"/>
    <n v="0"/>
    <n v="124.75666666666666"/>
    <n v="249.51333333333332"/>
    <n v="19.999999999999996"/>
    <n v="19.999999999999996"/>
    <n v="19.999999999999996"/>
    <n v="19.999999999999996"/>
    <n v="21.999999999999996"/>
    <n v="21.999999999999996"/>
    <n v="21.999999999999996"/>
    <n v="21.999999999999996"/>
    <n v="21.999999999999996"/>
    <n v="189.99999999999997"/>
    <n v="189.99999999999997"/>
    <n v="0"/>
    <s v=""/>
    <n v="0"/>
    <n v="374.27"/>
    <n v="374.27"/>
    <n v="0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P"/>
    <n v="1324"/>
    <s v="VENDA INTERNA AP"/>
    <s v="GRANOLA"/>
    <n v="0"/>
    <n v="315.14999999999998"/>
    <n v="420.2"/>
    <n v="20"/>
    <n v="20"/>
    <n v="20"/>
    <n v="20"/>
    <n v="22"/>
    <n v="22"/>
    <n v="22"/>
    <n v="22"/>
    <n v="22"/>
    <n v="190"/>
    <n v="190"/>
    <n v="0"/>
    <s v=""/>
    <n v="0"/>
    <n v="735.34999999999991"/>
    <n v="735.34999999999991"/>
    <n v="0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P"/>
    <n v="1324"/>
    <s v="VENDA INTERNA AP"/>
    <s v="KIDS"/>
    <n v="0"/>
    <n v="165.49714285714285"/>
    <n v="165.49714285714285"/>
    <n v="20"/>
    <n v="20"/>
    <n v="20"/>
    <n v="20"/>
    <n v="22"/>
    <n v="22"/>
    <n v="22"/>
    <n v="22"/>
    <n v="22"/>
    <n v="190"/>
    <n v="190"/>
    <n v="0"/>
    <s v=""/>
    <n v="0"/>
    <n v="330.9942857142857"/>
    <n v="330.9942857142857"/>
    <n v="0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P"/>
    <n v="1324"/>
    <s v="VENDA INTERNA AP"/>
    <s v="LANCHES"/>
    <n v="0"/>
    <n v="89.608571428571423"/>
    <n v="179.21714285714285"/>
    <n v="30"/>
    <n v="30"/>
    <n v="30"/>
    <n v="30"/>
    <n v="33"/>
    <n v="33"/>
    <n v="33"/>
    <n v="33"/>
    <n v="33"/>
    <n v="285"/>
    <n v="285"/>
    <n v="0"/>
    <s v=""/>
    <n v="0"/>
    <n v="268.8257142857143"/>
    <n v="268.8257142857143"/>
    <n v="0"/>
    <s v="Novos "/>
    <n v="0.1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P"/>
    <n v="1324"/>
    <s v="VENDA INTERNA AP"/>
    <s v="MAIS GRANEL"/>
    <n v="0"/>
    <n v="516.1430303030304"/>
    <n v="602.16686868686872"/>
    <n v="250"/>
    <n v="250"/>
    <n v="250"/>
    <n v="250"/>
    <n v="275"/>
    <n v="275"/>
    <n v="275"/>
    <n v="275"/>
    <n v="275"/>
    <n v="2375"/>
    <n v="2375"/>
    <n v="0"/>
    <s v=""/>
    <n v="0"/>
    <n v="1118.309898989899"/>
    <n v="1118.309898989899"/>
    <n v="0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P"/>
    <n v="1324"/>
    <s v="VENDA INTERNA AP"/>
    <s v="NATURATTA"/>
    <n v="0"/>
    <n v="627.6857142857142"/>
    <n v="627.6857142857142"/>
    <n v="50"/>
    <n v="50"/>
    <n v="50"/>
    <n v="50"/>
    <n v="55"/>
    <n v="55"/>
    <n v="55"/>
    <n v="55"/>
    <n v="55"/>
    <n v="475"/>
    <n v="475"/>
    <n v="0"/>
    <s v=""/>
    <n v="0"/>
    <n v="1255.3714285714284"/>
    <n v="1255.3714285714284"/>
    <n v="0"/>
    <s v="Novos "/>
    <n v="0.2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P"/>
    <n v="1324"/>
    <s v="VENDA INTERNA AP"/>
    <s v="REEMBALADOS"/>
    <n v="0"/>
    <n v="119.60088888888889"/>
    <n v="239.20177777777778"/>
    <n v="50"/>
    <n v="50"/>
    <n v="50"/>
    <n v="50"/>
    <n v="55"/>
    <n v="55"/>
    <n v="55"/>
    <n v="55"/>
    <n v="55"/>
    <n v="475"/>
    <n v="475"/>
    <n v="0"/>
    <s v=""/>
    <n v="0"/>
    <n v="358.80266666666665"/>
    <n v="358.80266666666665"/>
    <n v="0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P"/>
    <n v="1324"/>
    <s v="VENDA INTERNA AP"/>
    <s v="S GLUTEN"/>
    <n v="0"/>
    <n v="204.36930232558137"/>
    <n v="204.36930232558137"/>
    <n v="50"/>
    <n v="50"/>
    <n v="50"/>
    <n v="50"/>
    <n v="55"/>
    <n v="55"/>
    <n v="55"/>
    <n v="55"/>
    <n v="55"/>
    <n v="475"/>
    <n v="475"/>
    <n v="0"/>
    <s v=""/>
    <n v="0"/>
    <n v="408.73860465116275"/>
    <n v="408.73860465116275"/>
    <n v="0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P"/>
    <n v="1324"/>
    <s v="VENDA INTERNA AP"/>
    <s v="SABORES DO CAMPO"/>
    <n v="0"/>
    <n v="143.15866666666668"/>
    <n v="143.15866666666668"/>
    <n v="0"/>
    <n v="0"/>
    <n v="0"/>
    <n v="0"/>
    <n v="0"/>
    <n v="0"/>
    <n v="0"/>
    <n v="0"/>
    <n v="0"/>
    <n v="0"/>
    <n v="0"/>
    <n v="0"/>
    <s v=""/>
    <n v="0"/>
    <n v="286.31733333333335"/>
    <n v="286.31733333333335"/>
    <n v="0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P"/>
    <n v="1324"/>
    <s v="VENDA INTERNA AP"/>
    <s v="SAL"/>
    <n v="0"/>
    <n v="40.9"/>
    <n v="40.9"/>
    <n v="70"/>
    <n v="70"/>
    <n v="70"/>
    <n v="70"/>
    <n v="77.000000000000014"/>
    <n v="77.000000000000014"/>
    <n v="77.000000000000014"/>
    <n v="77.000000000000014"/>
    <n v="77.000000000000014"/>
    <n v="665"/>
    <n v="665"/>
    <n v="0"/>
    <s v=""/>
    <n v="0"/>
    <n v="81.8"/>
    <n v="81.8"/>
    <n v="0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P"/>
    <n v="1324"/>
    <s v="VENDA INTERNA AP"/>
    <s v="SOULPRO"/>
    <n v="0"/>
    <n v="1470.3095435684643"/>
    <n v="1470.3095435684643"/>
    <n v="49.999999999999993"/>
    <n v="49.999999999999993"/>
    <n v="49.999999999999993"/>
    <n v="49.999999999999993"/>
    <n v="54.999999999999993"/>
    <n v="54.999999999999993"/>
    <n v="54.999999999999993"/>
    <n v="54.999999999999993"/>
    <n v="54.999999999999993"/>
    <n v="474.99999999999994"/>
    <n v="474.99999999999994"/>
    <n v="0"/>
    <s v=""/>
    <n v="0"/>
    <n v="2940.6190871369286"/>
    <n v="2940.6190871369286"/>
    <n v="0"/>
    <s v="Novos "/>
    <n v="0.2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P"/>
    <n v="1324"/>
    <s v="VENDA INTERNA AP"/>
    <s v="TAMARA"/>
    <n v="0"/>
    <n v="2302.1240000000003"/>
    <n v="2616.0500000000002"/>
    <n v="80"/>
    <n v="80"/>
    <n v="80"/>
    <n v="80"/>
    <n v="88"/>
    <n v="88"/>
    <n v="88"/>
    <n v="88"/>
    <n v="88"/>
    <n v="760"/>
    <n v="760"/>
    <n v="0"/>
    <s v=""/>
    <n v="0"/>
    <n v="4918.1740000000009"/>
    <n v="4918.1740000000009"/>
    <n v="0"/>
    <s v="Novos "/>
    <n v="0.2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P"/>
    <n v="1324"/>
    <s v="VENDA INTERNA AP"/>
    <s v="VICCIO"/>
    <n v="0"/>
    <n v="585.97440000000006"/>
    <n v="585.97440000000006"/>
    <n v="30"/>
    <n v="30"/>
    <n v="30"/>
    <n v="30"/>
    <n v="33"/>
    <n v="33"/>
    <n v="33"/>
    <n v="33"/>
    <n v="33"/>
    <n v="285"/>
    <n v="285"/>
    <n v="0"/>
    <s v=""/>
    <n v="0"/>
    <n v="1171.9488000000001"/>
    <n v="1171.9488000000001"/>
    <n v="0"/>
    <s v="Novos "/>
    <n v="0.2"/>
    <m/>
  </r>
  <r>
    <x v="0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n v="1"/>
    <s v="RN"/>
    <n v="1325"/>
    <s v="VENDA INTERNA RN"/>
    <s v="1. TOTAL - VENDA INTERNA RN"/>
    <n v="0"/>
    <n v="10568.294327098127"/>
    <n v="12029.078970466311"/>
    <n v="3000"/>
    <n v="3000"/>
    <n v="4000"/>
    <n v="5000"/>
    <n v="5500"/>
    <n v="7700"/>
    <n v="7700"/>
    <n v="8800"/>
    <n v="6600"/>
    <n v="51300"/>
    <n v="51300"/>
    <n v="0"/>
    <s v=""/>
    <n v="0"/>
    <n v="22597.373297564438"/>
    <n v="22597.373297564438"/>
    <n v="0"/>
    <m/>
    <m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RN"/>
    <n v="1325"/>
    <s v="VENDA INTERNA RN"/>
    <s v="BISCOITO"/>
    <n v="0"/>
    <n v="404.3886056291048"/>
    <n v="505.48575703638102"/>
    <n v="150"/>
    <n v="150"/>
    <n v="200"/>
    <n v="250"/>
    <n v="275"/>
    <n v="385"/>
    <n v="385"/>
    <n v="440"/>
    <n v="330"/>
    <n v="2565"/>
    <n v="2565"/>
    <n v="0"/>
    <s v=""/>
    <n v="0"/>
    <n v="909.87436266548582"/>
    <n v="909.87436266548582"/>
    <n v="0"/>
    <s v="Novos "/>
    <n v="0.2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RN"/>
    <n v="1325"/>
    <s v="VENDA INTERNA RN"/>
    <s v="CHOCOLATES"/>
    <n v="0"/>
    <n v="2462.0564928909953"/>
    <n v="2872.3992417061613"/>
    <n v="150"/>
    <n v="150"/>
    <n v="200"/>
    <n v="250"/>
    <n v="275"/>
    <n v="385"/>
    <n v="385"/>
    <n v="440"/>
    <n v="330"/>
    <n v="2565"/>
    <n v="2565"/>
    <n v="0"/>
    <s v=""/>
    <n v="0"/>
    <n v="5334.4557345971571"/>
    <n v="5334.4557345971571"/>
    <n v="0"/>
    <s v="Novos "/>
    <n v="0.2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RN"/>
    <n v="1325"/>
    <s v="VENDA INTERNA RN"/>
    <s v="DISNEY"/>
    <n v="0"/>
    <n v="441.5151111111112"/>
    <n v="551.89388888888902"/>
    <n v="240"/>
    <n v="240"/>
    <n v="320"/>
    <n v="400"/>
    <n v="440"/>
    <n v="616"/>
    <n v="616"/>
    <n v="704"/>
    <n v="528"/>
    <n v="4104"/>
    <n v="4104"/>
    <n v="0"/>
    <s v=""/>
    <n v="0"/>
    <n v="993.40900000000022"/>
    <n v="993.40900000000022"/>
    <n v="0"/>
    <s v="Novos "/>
    <n v="0.1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RN"/>
    <n v="1325"/>
    <s v="VENDA INTERNA RN"/>
    <s v="DOCES"/>
    <n v="0"/>
    <n v="555.05619047619052"/>
    <n v="555.05619047619052"/>
    <n v="300"/>
    <n v="300"/>
    <n v="400"/>
    <n v="500"/>
    <n v="550"/>
    <n v="770"/>
    <n v="770"/>
    <n v="880"/>
    <n v="660"/>
    <n v="5130"/>
    <n v="5130"/>
    <n v="0"/>
    <s v=""/>
    <n v="0"/>
    <n v="1110.112380952381"/>
    <n v="1110.112380952381"/>
    <n v="0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RN"/>
    <n v="1325"/>
    <s v="VENDA INTERNA RN"/>
    <s v="GELEIA"/>
    <n v="0"/>
    <n v="124.75666666666666"/>
    <n v="249.51333333333332"/>
    <n v="59.999999999999993"/>
    <n v="59.999999999999993"/>
    <n v="79.999999999999986"/>
    <n v="99.999999999999986"/>
    <n v="109.99999999999999"/>
    <n v="153.99999999999997"/>
    <n v="153.99999999999997"/>
    <n v="175.99999999999997"/>
    <n v="131.99999999999997"/>
    <n v="1025.9999999999998"/>
    <n v="1025.9999999999998"/>
    <n v="0"/>
    <s v=""/>
    <n v="0"/>
    <n v="374.27"/>
    <n v="374.27"/>
    <n v="0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RN"/>
    <n v="1325"/>
    <s v="VENDA INTERNA RN"/>
    <s v="GRANOLA"/>
    <n v="0"/>
    <n v="315.14999999999998"/>
    <n v="420.2"/>
    <n v="60"/>
    <n v="60"/>
    <n v="80"/>
    <n v="100"/>
    <n v="110"/>
    <n v="154"/>
    <n v="154"/>
    <n v="176"/>
    <n v="132"/>
    <n v="1026"/>
    <n v="1026"/>
    <n v="0"/>
    <s v=""/>
    <n v="0"/>
    <n v="735.34999999999991"/>
    <n v="735.34999999999991"/>
    <n v="0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RN"/>
    <n v="1325"/>
    <s v="VENDA INTERNA RN"/>
    <s v="KIDS"/>
    <n v="0"/>
    <n v="165.49714285714285"/>
    <n v="165.49714285714285"/>
    <n v="60"/>
    <n v="60"/>
    <n v="80"/>
    <n v="100"/>
    <n v="110"/>
    <n v="154"/>
    <n v="154"/>
    <n v="176"/>
    <n v="132"/>
    <n v="1026"/>
    <n v="1026"/>
    <n v="0"/>
    <s v=""/>
    <n v="0"/>
    <n v="330.9942857142857"/>
    <n v="330.9942857142857"/>
    <n v="0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RN"/>
    <n v="1325"/>
    <s v="VENDA INTERNA RN"/>
    <s v="LANCHES"/>
    <n v="0"/>
    <n v="89.608571428571423"/>
    <n v="179.21714285714285"/>
    <n v="90"/>
    <n v="90"/>
    <n v="120"/>
    <n v="150"/>
    <n v="165"/>
    <n v="231"/>
    <n v="231"/>
    <n v="264"/>
    <n v="198"/>
    <n v="1539"/>
    <n v="1539"/>
    <n v="0"/>
    <s v=""/>
    <n v="0"/>
    <n v="268.8257142857143"/>
    <n v="268.8257142857143"/>
    <n v="0"/>
    <s v="Novos "/>
    <n v="0.1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RN"/>
    <n v="1325"/>
    <s v="VENDA INTERNA RN"/>
    <s v="MAIS GRANEL"/>
    <n v="0"/>
    <n v="516.1430303030304"/>
    <n v="602.16686868686872"/>
    <n v="750"/>
    <n v="750"/>
    <n v="1000"/>
    <n v="1250"/>
    <n v="1375"/>
    <n v="1925"/>
    <n v="1925"/>
    <n v="2200"/>
    <n v="1650"/>
    <n v="12825"/>
    <n v="12825"/>
    <n v="0"/>
    <s v=""/>
    <n v="0"/>
    <n v="1118.309898989899"/>
    <n v="1118.309898989899"/>
    <n v="0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RN"/>
    <n v="1325"/>
    <s v="VENDA INTERNA RN"/>
    <s v="NATURATTA"/>
    <n v="0"/>
    <n v="627.6857142857142"/>
    <n v="627.6857142857142"/>
    <n v="150"/>
    <n v="150"/>
    <n v="200"/>
    <n v="250"/>
    <n v="275"/>
    <n v="385"/>
    <n v="385"/>
    <n v="440"/>
    <n v="330"/>
    <n v="2565"/>
    <n v="2565"/>
    <n v="0"/>
    <s v=""/>
    <n v="0"/>
    <n v="1255.3714285714284"/>
    <n v="1255.3714285714284"/>
    <n v="0"/>
    <s v="Novos "/>
    <n v="0.2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RN"/>
    <n v="1325"/>
    <s v="VENDA INTERNA RN"/>
    <s v="REEMBALADOS"/>
    <n v="0"/>
    <n v="119.60088888888889"/>
    <n v="239.20177777777778"/>
    <n v="150"/>
    <n v="150"/>
    <n v="200"/>
    <n v="250"/>
    <n v="275"/>
    <n v="385"/>
    <n v="385"/>
    <n v="440"/>
    <n v="330"/>
    <n v="2565"/>
    <n v="2565"/>
    <n v="0"/>
    <s v=""/>
    <n v="0"/>
    <n v="358.80266666666665"/>
    <n v="358.80266666666665"/>
    <n v="0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RN"/>
    <n v="1325"/>
    <s v="VENDA INTERNA RN"/>
    <s v="S GLUTEN"/>
    <n v="0"/>
    <n v="204.36930232558137"/>
    <n v="204.36930232558137"/>
    <n v="150"/>
    <n v="150"/>
    <n v="200"/>
    <n v="250"/>
    <n v="275"/>
    <n v="385"/>
    <n v="385"/>
    <n v="440"/>
    <n v="330"/>
    <n v="2565"/>
    <n v="2565"/>
    <n v="0"/>
    <s v=""/>
    <n v="0"/>
    <n v="408.73860465116275"/>
    <n v="408.73860465116275"/>
    <n v="0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RN"/>
    <n v="1325"/>
    <s v="VENDA INTERNA RN"/>
    <s v="SABORES DO CAMPO"/>
    <n v="0"/>
    <n v="143.15866666666668"/>
    <n v="143.15866666666668"/>
    <n v="0"/>
    <n v="0"/>
    <n v="0"/>
    <n v="0"/>
    <n v="0"/>
    <n v="0"/>
    <n v="0"/>
    <n v="0"/>
    <n v="0"/>
    <n v="0"/>
    <n v="0"/>
    <n v="0"/>
    <s v=""/>
    <n v="0"/>
    <n v="286.31733333333335"/>
    <n v="286.31733333333335"/>
    <n v="0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RN"/>
    <n v="1325"/>
    <s v="VENDA INTERNA RN"/>
    <s v="SAL"/>
    <n v="0"/>
    <n v="40.9"/>
    <n v="40.9"/>
    <n v="210.00000000000003"/>
    <n v="210.00000000000003"/>
    <n v="280"/>
    <n v="350.00000000000006"/>
    <n v="385.00000000000006"/>
    <n v="539"/>
    <n v="539"/>
    <n v="616.00000000000011"/>
    <n v="462.00000000000006"/>
    <n v="3591"/>
    <n v="3591"/>
    <n v="0"/>
    <s v=""/>
    <n v="0"/>
    <n v="81.8"/>
    <n v="81.8"/>
    <n v="0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RN"/>
    <n v="1325"/>
    <s v="VENDA INTERNA RN"/>
    <s v="SOULPRO"/>
    <n v="0"/>
    <n v="1470.3095435684643"/>
    <n v="1470.3095435684643"/>
    <n v="150"/>
    <n v="150"/>
    <n v="199.99999999999997"/>
    <n v="249.99999999999997"/>
    <n v="275"/>
    <n v="384.99999999999994"/>
    <n v="384.99999999999994"/>
    <n v="439.99999999999994"/>
    <n v="330"/>
    <n v="2565"/>
    <n v="2565"/>
    <n v="0"/>
    <s v=""/>
    <n v="0"/>
    <n v="2940.6190871369286"/>
    <n v="2940.6190871369286"/>
    <n v="0"/>
    <s v="Novos "/>
    <n v="0.2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RN"/>
    <n v="1325"/>
    <s v="VENDA INTERNA RN"/>
    <s v="TAMARA"/>
    <n v="0"/>
    <n v="2302.1240000000003"/>
    <n v="2616.0500000000002"/>
    <n v="240"/>
    <n v="240"/>
    <n v="320"/>
    <n v="400"/>
    <n v="440"/>
    <n v="616"/>
    <n v="616"/>
    <n v="704"/>
    <n v="528"/>
    <n v="4104"/>
    <n v="4104"/>
    <n v="0"/>
    <s v=""/>
    <n v="0"/>
    <n v="4918.1740000000009"/>
    <n v="4918.1740000000009"/>
    <n v="0"/>
    <s v="Novos "/>
    <n v="0.2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RN"/>
    <n v="1325"/>
    <s v="VENDA INTERNA RN"/>
    <s v="VICCIO"/>
    <n v="0"/>
    <n v="585.97440000000006"/>
    <n v="585.97440000000006"/>
    <n v="90"/>
    <n v="90"/>
    <n v="120"/>
    <n v="150"/>
    <n v="165"/>
    <n v="231"/>
    <n v="231"/>
    <n v="264"/>
    <n v="198"/>
    <n v="1539"/>
    <n v="1539"/>
    <n v="0"/>
    <s v=""/>
    <n v="0"/>
    <n v="1171.9488000000001"/>
    <n v="1171.9488000000001"/>
    <n v="0"/>
    <s v="Novos "/>
    <n v="0.2"/>
    <m/>
  </r>
  <r>
    <x v="0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n v="1"/>
    <s v="CE"/>
    <n v="1326"/>
    <s v="VENDA INTERNA CE"/>
    <s v="1. TOTAL - VENDA INTERNA CE"/>
    <n v="0"/>
    <n v="0"/>
    <n v="0"/>
    <n v="2000"/>
    <n v="3000"/>
    <n v="3000"/>
    <n v="4000"/>
    <n v="4400"/>
    <n v="5500"/>
    <n v="6600"/>
    <n v="7700"/>
    <n v="5500"/>
    <n v="41700"/>
    <n v="41700"/>
    <n v="0"/>
    <s v=""/>
    <n v="0"/>
    <n v="0"/>
    <n v="0"/>
    <s v=""/>
    <m/>
    <m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CE"/>
    <n v="1326"/>
    <s v="VENDA INTERNA CE"/>
    <s v="BISCOITO"/>
    <n v="0"/>
    <n v="0"/>
    <n v="0"/>
    <n v="100"/>
    <n v="150"/>
    <n v="150"/>
    <n v="200"/>
    <n v="220"/>
    <n v="275"/>
    <n v="330"/>
    <n v="385"/>
    <n v="275"/>
    <n v="2085"/>
    <n v="2085"/>
    <n v="0"/>
    <s v=""/>
    <n v="0"/>
    <n v="0"/>
    <n v="0"/>
    <s v=""/>
    <s v="Novos "/>
    <n v="0.2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CE"/>
    <n v="1326"/>
    <s v="VENDA INTERNA CE"/>
    <s v="CHOCOLATES"/>
    <n v="0"/>
    <n v="0"/>
    <n v="0"/>
    <n v="100"/>
    <n v="150"/>
    <n v="150"/>
    <n v="200"/>
    <n v="220"/>
    <n v="275"/>
    <n v="330"/>
    <n v="385"/>
    <n v="275"/>
    <n v="2085"/>
    <n v="2085"/>
    <n v="0"/>
    <s v=""/>
    <n v="0"/>
    <n v="0"/>
    <n v="0"/>
    <s v=""/>
    <s v="Novos "/>
    <n v="0.2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CE"/>
    <n v="1326"/>
    <s v="VENDA INTERNA CE"/>
    <s v="DISNEY"/>
    <n v="0"/>
    <n v="0"/>
    <n v="0"/>
    <n v="160"/>
    <n v="240"/>
    <n v="240"/>
    <n v="320"/>
    <n v="352"/>
    <n v="440"/>
    <n v="528"/>
    <n v="616"/>
    <n v="440"/>
    <n v="3336"/>
    <n v="3336"/>
    <n v="0"/>
    <s v=""/>
    <n v="0"/>
    <n v="0"/>
    <n v="0"/>
    <s v=""/>
    <s v="Novos "/>
    <n v="0.1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CE"/>
    <n v="1326"/>
    <s v="VENDA INTERNA CE"/>
    <s v="DOCES"/>
    <n v="0"/>
    <n v="0"/>
    <n v="0"/>
    <n v="200"/>
    <n v="300"/>
    <n v="300"/>
    <n v="400"/>
    <n v="440"/>
    <n v="550"/>
    <n v="660"/>
    <n v="770"/>
    <n v="550"/>
    <n v="4170"/>
    <n v="417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CE"/>
    <n v="1326"/>
    <s v="VENDA INTERNA CE"/>
    <s v="GELEIA"/>
    <n v="0"/>
    <n v="0"/>
    <n v="0"/>
    <n v="39.999999999999993"/>
    <n v="59.999999999999993"/>
    <n v="59.999999999999993"/>
    <n v="79.999999999999986"/>
    <n v="87.999999999999986"/>
    <n v="109.99999999999999"/>
    <n v="131.99999999999997"/>
    <n v="153.99999999999997"/>
    <n v="109.99999999999999"/>
    <n v="833.99999999999989"/>
    <n v="833.99999999999989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CE"/>
    <n v="1326"/>
    <s v="VENDA INTERNA CE"/>
    <s v="GRANOLA"/>
    <n v="0"/>
    <n v="0"/>
    <n v="0"/>
    <n v="40"/>
    <n v="60"/>
    <n v="60"/>
    <n v="80"/>
    <n v="88"/>
    <n v="110"/>
    <n v="132"/>
    <n v="154"/>
    <n v="110"/>
    <n v="834"/>
    <n v="834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CE"/>
    <n v="1326"/>
    <s v="VENDA INTERNA CE"/>
    <s v="KIDS"/>
    <n v="0"/>
    <n v="0"/>
    <n v="0"/>
    <n v="40"/>
    <n v="60"/>
    <n v="60"/>
    <n v="80"/>
    <n v="88"/>
    <n v="110"/>
    <n v="132"/>
    <n v="154"/>
    <n v="110"/>
    <n v="834"/>
    <n v="834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CE"/>
    <n v="1326"/>
    <s v="VENDA INTERNA CE"/>
    <s v="LANCHES"/>
    <n v="0"/>
    <n v="0"/>
    <n v="0"/>
    <n v="60"/>
    <n v="90"/>
    <n v="90"/>
    <n v="120"/>
    <n v="132"/>
    <n v="165"/>
    <n v="198"/>
    <n v="231"/>
    <n v="165"/>
    <n v="1251"/>
    <n v="1251"/>
    <n v="0"/>
    <s v=""/>
    <n v="0"/>
    <n v="0"/>
    <n v="0"/>
    <s v=""/>
    <s v="Novos "/>
    <n v="0.1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CE"/>
    <n v="1326"/>
    <s v="VENDA INTERNA CE"/>
    <s v="MAIS GRANEL"/>
    <n v="0"/>
    <n v="0"/>
    <n v="0"/>
    <n v="500"/>
    <n v="750"/>
    <n v="750"/>
    <n v="1000"/>
    <n v="1100"/>
    <n v="1375"/>
    <n v="1650"/>
    <n v="1925"/>
    <n v="1375"/>
    <n v="10425"/>
    <n v="10425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CE"/>
    <n v="1326"/>
    <s v="VENDA INTERNA CE"/>
    <s v="NATURATTA"/>
    <n v="0"/>
    <n v="0"/>
    <n v="0"/>
    <n v="100"/>
    <n v="150"/>
    <n v="150"/>
    <n v="200"/>
    <n v="220"/>
    <n v="275"/>
    <n v="330"/>
    <n v="385"/>
    <n v="275"/>
    <n v="2085"/>
    <n v="2085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CE"/>
    <n v="1326"/>
    <s v="VENDA INTERNA CE"/>
    <s v="REEMBALADOS"/>
    <n v="0"/>
    <n v="0"/>
    <n v="0"/>
    <n v="100"/>
    <n v="150"/>
    <n v="150"/>
    <n v="200"/>
    <n v="220"/>
    <n v="275"/>
    <n v="330"/>
    <n v="385"/>
    <n v="275"/>
    <n v="2085"/>
    <n v="2085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CE"/>
    <n v="1326"/>
    <s v="VENDA INTERNA CE"/>
    <s v="S GLUTEN"/>
    <n v="0"/>
    <n v="0"/>
    <n v="0"/>
    <n v="100"/>
    <n v="150"/>
    <n v="150"/>
    <n v="200"/>
    <n v="220"/>
    <n v="275"/>
    <n v="330"/>
    <n v="385"/>
    <n v="275"/>
    <n v="2085"/>
    <n v="2085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CE"/>
    <n v="1326"/>
    <s v="VENDA INTERNA CE"/>
    <s v="SABORES DO CAMPO"/>
    <n v="0"/>
    <n v="0"/>
    <n v="0"/>
    <n v="0"/>
    <n v="0"/>
    <n v="0"/>
    <n v="0"/>
    <n v="0"/>
    <n v="0"/>
    <n v="0"/>
    <n v="0"/>
    <n v="0"/>
    <n v="0"/>
    <n v="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CE"/>
    <n v="1326"/>
    <s v="VENDA INTERNA CE"/>
    <s v="SAL"/>
    <n v="0"/>
    <n v="0"/>
    <n v="0"/>
    <n v="140"/>
    <n v="210.00000000000003"/>
    <n v="210.00000000000003"/>
    <n v="280"/>
    <n v="308.00000000000006"/>
    <n v="385.00000000000006"/>
    <n v="462.00000000000006"/>
    <n v="539"/>
    <n v="385.00000000000006"/>
    <n v="2919"/>
    <n v="2919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CE"/>
    <n v="1326"/>
    <s v="VENDA INTERNA CE"/>
    <s v="SOULPRO"/>
    <n v="0"/>
    <n v="0"/>
    <n v="0"/>
    <n v="99.999999999999986"/>
    <n v="150"/>
    <n v="150"/>
    <n v="199.99999999999997"/>
    <n v="219.99999999999997"/>
    <n v="275"/>
    <n v="330"/>
    <n v="384.99999999999994"/>
    <n v="275"/>
    <n v="2085"/>
    <n v="2085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CE"/>
    <n v="1326"/>
    <s v="VENDA INTERNA CE"/>
    <s v="TAMARA"/>
    <n v="0"/>
    <n v="0"/>
    <n v="0"/>
    <n v="160"/>
    <n v="240"/>
    <n v="240"/>
    <n v="320"/>
    <n v="352"/>
    <n v="440"/>
    <n v="528"/>
    <n v="616"/>
    <n v="440"/>
    <n v="3336"/>
    <n v="3336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CE"/>
    <n v="1326"/>
    <s v="VENDA INTERNA CE"/>
    <s v="VICCIO"/>
    <n v="0"/>
    <n v="0"/>
    <n v="0"/>
    <n v="60"/>
    <n v="90"/>
    <n v="90"/>
    <n v="120"/>
    <n v="132"/>
    <n v="165"/>
    <n v="198"/>
    <n v="231"/>
    <n v="165"/>
    <n v="1251"/>
    <n v="1251"/>
    <n v="0"/>
    <s v=""/>
    <n v="0"/>
    <n v="0"/>
    <n v="0"/>
    <s v=""/>
    <s v="Novos "/>
    <n v="0.2"/>
    <m/>
  </r>
  <r>
    <x v="0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n v="1"/>
    <s v="PI"/>
    <n v="1327"/>
    <s v="VENDA INTERNA PI"/>
    <s v="1. TOTAL - VENDA INTERNA PI"/>
    <n v="0"/>
    <n v="0"/>
    <n v="0"/>
    <n v="1000"/>
    <n v="1000"/>
    <n v="2000"/>
    <n v="2000"/>
    <n v="2200"/>
    <n v="3300"/>
    <n v="3300"/>
    <n v="3300"/>
    <n v="2200"/>
    <n v="20300"/>
    <n v="20300"/>
    <n v="0"/>
    <s v=""/>
    <n v="0"/>
    <n v="0"/>
    <n v="0"/>
    <s v=""/>
    <m/>
    <m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PI"/>
    <n v="1327"/>
    <s v="VENDA INTERNA PI"/>
    <s v="BISCOITO"/>
    <n v="0"/>
    <n v="0"/>
    <n v="0"/>
    <n v="50"/>
    <n v="50"/>
    <n v="100"/>
    <n v="100"/>
    <n v="110"/>
    <n v="165"/>
    <n v="165"/>
    <n v="165"/>
    <n v="110"/>
    <n v="1015"/>
    <n v="1015"/>
    <n v="0"/>
    <s v=""/>
    <n v="0"/>
    <n v="0"/>
    <n v="0"/>
    <s v=""/>
    <s v="Novos "/>
    <n v="0.2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PI"/>
    <n v="1327"/>
    <s v="VENDA INTERNA PI"/>
    <s v="CHOCOLATES"/>
    <n v="0"/>
    <n v="0"/>
    <n v="0"/>
    <n v="50"/>
    <n v="50"/>
    <n v="100"/>
    <n v="100"/>
    <n v="110"/>
    <n v="165"/>
    <n v="165"/>
    <n v="165"/>
    <n v="110"/>
    <n v="1015"/>
    <n v="1015"/>
    <n v="0"/>
    <s v=""/>
    <n v="0"/>
    <n v="0"/>
    <n v="0"/>
    <s v=""/>
    <s v="Novos "/>
    <n v="0.2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PI"/>
    <n v="1327"/>
    <s v="VENDA INTERNA PI"/>
    <s v="DISNEY"/>
    <n v="0"/>
    <n v="0"/>
    <n v="0"/>
    <n v="80"/>
    <n v="80"/>
    <n v="160"/>
    <n v="160"/>
    <n v="176"/>
    <n v="264"/>
    <n v="264"/>
    <n v="264"/>
    <n v="176"/>
    <n v="1624"/>
    <n v="1624"/>
    <n v="0"/>
    <s v=""/>
    <n v="0"/>
    <n v="0"/>
    <n v="0"/>
    <s v=""/>
    <s v="Novos "/>
    <n v="0.1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PI"/>
    <n v="1327"/>
    <s v="VENDA INTERNA PI"/>
    <s v="DOCES"/>
    <n v="0"/>
    <n v="0"/>
    <n v="0"/>
    <n v="100"/>
    <n v="100"/>
    <n v="200"/>
    <n v="200"/>
    <n v="220"/>
    <n v="330"/>
    <n v="330"/>
    <n v="330"/>
    <n v="220"/>
    <n v="2030"/>
    <n v="203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PI"/>
    <n v="1327"/>
    <s v="VENDA INTERNA PI"/>
    <s v="GELEIA"/>
    <n v="0"/>
    <n v="0"/>
    <n v="0"/>
    <n v="19.999999999999996"/>
    <n v="19.999999999999996"/>
    <n v="39.999999999999993"/>
    <n v="39.999999999999993"/>
    <n v="43.999999999999993"/>
    <n v="65.999999999999986"/>
    <n v="65.999999999999986"/>
    <n v="65.999999999999986"/>
    <n v="43.999999999999993"/>
    <n v="405.99999999999994"/>
    <n v="405.99999999999994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PI"/>
    <n v="1327"/>
    <s v="VENDA INTERNA PI"/>
    <s v="GRANOLA"/>
    <n v="0"/>
    <n v="0"/>
    <n v="0"/>
    <n v="20"/>
    <n v="20"/>
    <n v="40"/>
    <n v="40"/>
    <n v="44"/>
    <n v="66"/>
    <n v="66"/>
    <n v="66"/>
    <n v="44"/>
    <n v="406"/>
    <n v="406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PI"/>
    <n v="1327"/>
    <s v="VENDA INTERNA PI"/>
    <s v="KIDS"/>
    <n v="0"/>
    <n v="0"/>
    <n v="0"/>
    <n v="20"/>
    <n v="20"/>
    <n v="40"/>
    <n v="40"/>
    <n v="44"/>
    <n v="66"/>
    <n v="66"/>
    <n v="66"/>
    <n v="44"/>
    <n v="406"/>
    <n v="406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PI"/>
    <n v="1327"/>
    <s v="VENDA INTERNA PI"/>
    <s v="LANCHES"/>
    <n v="0"/>
    <n v="0"/>
    <n v="0"/>
    <n v="30"/>
    <n v="30"/>
    <n v="60"/>
    <n v="60"/>
    <n v="66"/>
    <n v="99"/>
    <n v="99"/>
    <n v="99"/>
    <n v="66"/>
    <n v="609"/>
    <n v="609"/>
    <n v="0"/>
    <s v=""/>
    <n v="0"/>
    <n v="0"/>
    <n v="0"/>
    <s v=""/>
    <s v="Novos "/>
    <n v="0.1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PI"/>
    <n v="1327"/>
    <s v="VENDA INTERNA PI"/>
    <s v="MAIS GRANEL"/>
    <n v="0"/>
    <n v="0"/>
    <n v="0"/>
    <n v="250"/>
    <n v="250"/>
    <n v="500"/>
    <n v="500"/>
    <n v="550"/>
    <n v="825"/>
    <n v="825"/>
    <n v="825"/>
    <n v="550"/>
    <n v="5075"/>
    <n v="5075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PI"/>
    <n v="1327"/>
    <s v="VENDA INTERNA PI"/>
    <s v="NATURATTA"/>
    <n v="0"/>
    <n v="0"/>
    <n v="0"/>
    <n v="50"/>
    <n v="50"/>
    <n v="100"/>
    <n v="100"/>
    <n v="110"/>
    <n v="165"/>
    <n v="165"/>
    <n v="165"/>
    <n v="110"/>
    <n v="1015"/>
    <n v="1015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PI"/>
    <n v="1327"/>
    <s v="VENDA INTERNA PI"/>
    <s v="REEMBALADOS"/>
    <n v="0"/>
    <n v="0"/>
    <n v="0"/>
    <n v="50"/>
    <n v="50"/>
    <n v="100"/>
    <n v="100"/>
    <n v="110"/>
    <n v="165"/>
    <n v="165"/>
    <n v="165"/>
    <n v="110"/>
    <n v="1015"/>
    <n v="1015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PI"/>
    <n v="1327"/>
    <s v="VENDA INTERNA PI"/>
    <s v="S GLUTEN"/>
    <n v="0"/>
    <n v="0"/>
    <n v="0"/>
    <n v="50"/>
    <n v="50"/>
    <n v="100"/>
    <n v="100"/>
    <n v="110"/>
    <n v="165"/>
    <n v="165"/>
    <n v="165"/>
    <n v="110"/>
    <n v="1015"/>
    <n v="1015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PI"/>
    <n v="1327"/>
    <s v="VENDA INTERNA PI"/>
    <s v="SABORES DO CAMPO"/>
    <n v="0"/>
    <n v="0"/>
    <n v="0"/>
    <n v="0"/>
    <n v="0"/>
    <n v="0"/>
    <n v="0"/>
    <n v="0"/>
    <n v="0"/>
    <n v="0"/>
    <n v="0"/>
    <n v="0"/>
    <n v="0"/>
    <n v="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PI"/>
    <n v="1327"/>
    <s v="VENDA INTERNA PI"/>
    <s v="SAL"/>
    <n v="0"/>
    <n v="0"/>
    <n v="0"/>
    <n v="70"/>
    <n v="70"/>
    <n v="140"/>
    <n v="140"/>
    <n v="154.00000000000003"/>
    <n v="231.00000000000003"/>
    <n v="231.00000000000003"/>
    <n v="231.00000000000003"/>
    <n v="154.00000000000003"/>
    <n v="1421"/>
    <n v="1421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PI"/>
    <n v="1327"/>
    <s v="VENDA INTERNA PI"/>
    <s v="SOULPRO"/>
    <n v="0"/>
    <n v="0"/>
    <n v="0"/>
    <n v="49.999999999999993"/>
    <n v="49.999999999999993"/>
    <n v="99.999999999999986"/>
    <n v="99.999999999999986"/>
    <n v="109.99999999999999"/>
    <n v="165"/>
    <n v="165"/>
    <n v="165"/>
    <n v="109.99999999999999"/>
    <n v="1015"/>
    <n v="1015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PI"/>
    <n v="1327"/>
    <s v="VENDA INTERNA PI"/>
    <s v="TAMARA"/>
    <n v="0"/>
    <n v="0"/>
    <n v="0"/>
    <n v="80"/>
    <n v="80"/>
    <n v="160"/>
    <n v="160"/>
    <n v="176"/>
    <n v="264"/>
    <n v="264"/>
    <n v="264"/>
    <n v="176"/>
    <n v="1624"/>
    <n v="1624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PI"/>
    <n v="1327"/>
    <s v="VENDA INTERNA PI"/>
    <s v="VICCIO"/>
    <n v="0"/>
    <n v="0"/>
    <n v="0"/>
    <n v="30"/>
    <n v="30"/>
    <n v="60"/>
    <n v="60"/>
    <n v="66"/>
    <n v="99"/>
    <n v="99"/>
    <n v="99"/>
    <n v="66"/>
    <n v="609"/>
    <n v="609"/>
    <n v="0"/>
    <s v=""/>
    <n v="0"/>
    <n v="0"/>
    <n v="0"/>
    <s v=""/>
    <s v="Novos "/>
    <n v="0.2"/>
    <m/>
  </r>
  <r>
    <x v="0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n v="1"/>
    <s v="PE"/>
    <n v="1328"/>
    <s v="VENDA INTERNA PE"/>
    <s v="1. TOTAL - VENDA INTERNA PE"/>
    <n v="0"/>
    <n v="0"/>
    <n v="0"/>
    <n v="2000"/>
    <n v="2000"/>
    <n v="2000"/>
    <n v="3000"/>
    <n v="3300"/>
    <n v="3300"/>
    <n v="4400"/>
    <n v="4400"/>
    <n v="3300"/>
    <n v="27700"/>
    <n v="27700"/>
    <n v="0"/>
    <s v=""/>
    <n v="0"/>
    <n v="0"/>
    <n v="0"/>
    <s v=""/>
    <m/>
    <m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PE"/>
    <n v="1328"/>
    <s v="VENDA INTERNA PE"/>
    <s v="BISCOITO"/>
    <n v="0"/>
    <n v="0"/>
    <n v="0"/>
    <n v="100"/>
    <n v="100"/>
    <n v="100"/>
    <n v="150"/>
    <n v="165"/>
    <n v="165"/>
    <n v="220"/>
    <n v="220"/>
    <n v="165"/>
    <n v="1385"/>
    <n v="1385"/>
    <n v="0"/>
    <s v=""/>
    <n v="0"/>
    <n v="0"/>
    <n v="0"/>
    <s v=""/>
    <s v="Novos "/>
    <n v="0.2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PE"/>
    <n v="1328"/>
    <s v="VENDA INTERNA PE"/>
    <s v="CHOCOLATES"/>
    <n v="0"/>
    <n v="0"/>
    <n v="0"/>
    <n v="100"/>
    <n v="100"/>
    <n v="100"/>
    <n v="150"/>
    <n v="165"/>
    <n v="165"/>
    <n v="220"/>
    <n v="220"/>
    <n v="165"/>
    <n v="1385"/>
    <n v="1385"/>
    <n v="0"/>
    <s v=""/>
    <n v="0"/>
    <n v="0"/>
    <n v="0"/>
    <s v=""/>
    <s v="Novos "/>
    <n v="0.2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PE"/>
    <n v="1328"/>
    <s v="VENDA INTERNA PE"/>
    <s v="DISNEY"/>
    <n v="0"/>
    <n v="0"/>
    <n v="0"/>
    <n v="160"/>
    <n v="160"/>
    <n v="160"/>
    <n v="240"/>
    <n v="264"/>
    <n v="264"/>
    <n v="352"/>
    <n v="352"/>
    <n v="264"/>
    <n v="2216"/>
    <n v="2216"/>
    <n v="0"/>
    <s v=""/>
    <n v="0"/>
    <n v="0"/>
    <n v="0"/>
    <s v=""/>
    <s v="Novos "/>
    <n v="0.1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PE"/>
    <n v="1328"/>
    <s v="VENDA INTERNA PE"/>
    <s v="DOCES"/>
    <n v="0"/>
    <n v="0"/>
    <n v="0"/>
    <n v="200"/>
    <n v="200"/>
    <n v="200"/>
    <n v="300"/>
    <n v="330"/>
    <n v="330"/>
    <n v="440"/>
    <n v="440"/>
    <n v="330"/>
    <n v="2770"/>
    <n v="277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PE"/>
    <n v="1328"/>
    <s v="VENDA INTERNA PE"/>
    <s v="GELEIA"/>
    <n v="0"/>
    <n v="0"/>
    <n v="0"/>
    <n v="39.999999999999993"/>
    <n v="39.999999999999993"/>
    <n v="39.999999999999993"/>
    <n v="59.999999999999993"/>
    <n v="65.999999999999986"/>
    <n v="65.999999999999986"/>
    <n v="87.999999999999986"/>
    <n v="87.999999999999986"/>
    <n v="65.999999999999986"/>
    <n v="553.99999999999989"/>
    <n v="553.99999999999989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PE"/>
    <n v="1328"/>
    <s v="VENDA INTERNA PE"/>
    <s v="GRANOLA"/>
    <n v="0"/>
    <n v="0"/>
    <n v="0"/>
    <n v="40"/>
    <n v="40"/>
    <n v="40"/>
    <n v="60"/>
    <n v="66"/>
    <n v="66"/>
    <n v="88"/>
    <n v="88"/>
    <n v="66"/>
    <n v="554"/>
    <n v="554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PE"/>
    <n v="1328"/>
    <s v="VENDA INTERNA PE"/>
    <s v="KIDS"/>
    <n v="0"/>
    <n v="0"/>
    <n v="0"/>
    <n v="40"/>
    <n v="40"/>
    <n v="40"/>
    <n v="60"/>
    <n v="66"/>
    <n v="66"/>
    <n v="88"/>
    <n v="88"/>
    <n v="66"/>
    <n v="554"/>
    <n v="554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PE"/>
    <n v="1328"/>
    <s v="VENDA INTERNA PE"/>
    <s v="LANCHES"/>
    <n v="0"/>
    <n v="0"/>
    <n v="0"/>
    <n v="60"/>
    <n v="60"/>
    <n v="60"/>
    <n v="90"/>
    <n v="99"/>
    <n v="99"/>
    <n v="132"/>
    <n v="132"/>
    <n v="99"/>
    <n v="831"/>
    <n v="831"/>
    <n v="0"/>
    <s v=""/>
    <n v="0"/>
    <n v="0"/>
    <n v="0"/>
    <s v=""/>
    <s v="Novos "/>
    <n v="0.1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PE"/>
    <n v="1328"/>
    <s v="VENDA INTERNA PE"/>
    <s v="MAIS GRANEL"/>
    <n v="0"/>
    <n v="0"/>
    <n v="0"/>
    <n v="500"/>
    <n v="500"/>
    <n v="500"/>
    <n v="750"/>
    <n v="825"/>
    <n v="825"/>
    <n v="1100"/>
    <n v="1100"/>
    <n v="825"/>
    <n v="6925"/>
    <n v="6925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PE"/>
    <n v="1328"/>
    <s v="VENDA INTERNA PE"/>
    <s v="NATURATTA"/>
    <n v="0"/>
    <n v="0"/>
    <n v="0"/>
    <n v="100"/>
    <n v="100"/>
    <n v="100"/>
    <n v="150"/>
    <n v="165"/>
    <n v="165"/>
    <n v="220"/>
    <n v="220"/>
    <n v="165"/>
    <n v="1385"/>
    <n v="1385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PE"/>
    <n v="1328"/>
    <s v="VENDA INTERNA PE"/>
    <s v="REEMBALADOS"/>
    <n v="0"/>
    <n v="0"/>
    <n v="0"/>
    <n v="100"/>
    <n v="100"/>
    <n v="100"/>
    <n v="150"/>
    <n v="165"/>
    <n v="165"/>
    <n v="220"/>
    <n v="220"/>
    <n v="165"/>
    <n v="1385"/>
    <n v="1385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PE"/>
    <n v="1328"/>
    <s v="VENDA INTERNA PE"/>
    <s v="S GLUTEN"/>
    <n v="0"/>
    <n v="0"/>
    <n v="0"/>
    <n v="100"/>
    <n v="100"/>
    <n v="100"/>
    <n v="150"/>
    <n v="165"/>
    <n v="165"/>
    <n v="220"/>
    <n v="220"/>
    <n v="165"/>
    <n v="1385"/>
    <n v="1385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PE"/>
    <n v="1328"/>
    <s v="VENDA INTERNA PE"/>
    <s v="SABORES DO CAMPO"/>
    <n v="0"/>
    <n v="0"/>
    <n v="0"/>
    <n v="0"/>
    <n v="0"/>
    <n v="0"/>
    <n v="0"/>
    <n v="0"/>
    <n v="0"/>
    <n v="0"/>
    <n v="0"/>
    <n v="0"/>
    <n v="0"/>
    <n v="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PE"/>
    <n v="1328"/>
    <s v="VENDA INTERNA PE"/>
    <s v="SAL"/>
    <n v="0"/>
    <n v="0"/>
    <n v="0"/>
    <n v="140"/>
    <n v="140"/>
    <n v="140"/>
    <n v="210.00000000000003"/>
    <n v="231.00000000000003"/>
    <n v="231.00000000000003"/>
    <n v="308.00000000000006"/>
    <n v="308.00000000000006"/>
    <n v="231.00000000000003"/>
    <n v="1939"/>
    <n v="1939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PE"/>
    <n v="1328"/>
    <s v="VENDA INTERNA PE"/>
    <s v="SOULPRO"/>
    <n v="0"/>
    <n v="0"/>
    <n v="0"/>
    <n v="99.999999999999986"/>
    <n v="99.999999999999986"/>
    <n v="99.999999999999986"/>
    <n v="150"/>
    <n v="165"/>
    <n v="165"/>
    <n v="219.99999999999997"/>
    <n v="219.99999999999997"/>
    <n v="165"/>
    <n v="1385"/>
    <n v="1385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PE"/>
    <n v="1328"/>
    <s v="VENDA INTERNA PE"/>
    <s v="TAMARA"/>
    <n v="0"/>
    <n v="0"/>
    <n v="0"/>
    <n v="160"/>
    <n v="160"/>
    <n v="160"/>
    <n v="240"/>
    <n v="264"/>
    <n v="264"/>
    <n v="352"/>
    <n v="352"/>
    <n v="264"/>
    <n v="2216"/>
    <n v="2216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PE"/>
    <n v="1328"/>
    <s v="VENDA INTERNA PE"/>
    <s v="VICCIO"/>
    <n v="0"/>
    <n v="0"/>
    <n v="0"/>
    <n v="60"/>
    <n v="60"/>
    <n v="60"/>
    <n v="90"/>
    <n v="99"/>
    <n v="99"/>
    <n v="132"/>
    <n v="132"/>
    <n v="99"/>
    <n v="831"/>
    <n v="831"/>
    <n v="0"/>
    <s v=""/>
    <n v="0"/>
    <n v="0"/>
    <n v="0"/>
    <s v=""/>
    <s v="Novos "/>
    <n v="0.2"/>
    <m/>
  </r>
  <r>
    <x v="0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n v="1"/>
    <s v="PB"/>
    <n v="1329"/>
    <s v="VENDA INTERNA PB"/>
    <s v="1. TOTAL - VENDA INTERNA PB"/>
    <n v="0"/>
    <n v="0"/>
    <n v="0"/>
    <n v="1000"/>
    <n v="1000"/>
    <n v="2000"/>
    <n v="2000"/>
    <n v="2200"/>
    <n v="3300"/>
    <n v="3300"/>
    <n v="3300"/>
    <n v="2200"/>
    <n v="20300"/>
    <n v="20300"/>
    <n v="0"/>
    <s v=""/>
    <n v="0"/>
    <n v="0"/>
    <n v="0"/>
    <s v=""/>
    <m/>
    <m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B"/>
    <n v="1329"/>
    <s v="VENDA INTERNA PB"/>
    <s v="BISCOITO"/>
    <n v="0"/>
    <n v="0"/>
    <n v="0"/>
    <n v="50"/>
    <n v="50"/>
    <n v="100"/>
    <n v="100"/>
    <n v="110"/>
    <n v="165"/>
    <n v="165"/>
    <n v="165"/>
    <n v="110"/>
    <n v="1015"/>
    <n v="1015"/>
    <n v="0"/>
    <s v=""/>
    <n v="0"/>
    <n v="0"/>
    <n v="0"/>
    <s v=""/>
    <s v="Novos "/>
    <n v="0.2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B"/>
    <n v="1329"/>
    <s v="VENDA INTERNA PB"/>
    <s v="CHOCOLATES"/>
    <n v="0"/>
    <n v="0"/>
    <n v="0"/>
    <n v="50"/>
    <n v="50"/>
    <n v="100"/>
    <n v="100"/>
    <n v="110"/>
    <n v="165"/>
    <n v="165"/>
    <n v="165"/>
    <n v="110"/>
    <n v="1015"/>
    <n v="1015"/>
    <n v="0"/>
    <s v=""/>
    <n v="0"/>
    <n v="0"/>
    <n v="0"/>
    <s v=""/>
    <s v="Novos "/>
    <n v="0.2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B"/>
    <n v="1329"/>
    <s v="VENDA INTERNA PB"/>
    <s v="DISNEY"/>
    <n v="0"/>
    <n v="0"/>
    <n v="0"/>
    <n v="80"/>
    <n v="80"/>
    <n v="160"/>
    <n v="160"/>
    <n v="176"/>
    <n v="264"/>
    <n v="264"/>
    <n v="264"/>
    <n v="176"/>
    <n v="1624"/>
    <n v="1624"/>
    <n v="0"/>
    <s v=""/>
    <n v="0"/>
    <n v="0"/>
    <n v="0"/>
    <s v=""/>
    <s v="Novos "/>
    <n v="0.1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B"/>
    <n v="1329"/>
    <s v="VENDA INTERNA PB"/>
    <s v="DOCES"/>
    <n v="0"/>
    <n v="0"/>
    <n v="0"/>
    <n v="100"/>
    <n v="100"/>
    <n v="200"/>
    <n v="200"/>
    <n v="220"/>
    <n v="330"/>
    <n v="330"/>
    <n v="330"/>
    <n v="220"/>
    <n v="2030"/>
    <n v="203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B"/>
    <n v="1329"/>
    <s v="VENDA INTERNA PB"/>
    <s v="GELEIA"/>
    <n v="0"/>
    <n v="0"/>
    <n v="0"/>
    <n v="19.999999999999996"/>
    <n v="19.999999999999996"/>
    <n v="39.999999999999993"/>
    <n v="39.999999999999993"/>
    <n v="43.999999999999993"/>
    <n v="65.999999999999986"/>
    <n v="65.999999999999986"/>
    <n v="65.999999999999986"/>
    <n v="43.999999999999993"/>
    <n v="405.99999999999994"/>
    <n v="405.99999999999994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B"/>
    <n v="1329"/>
    <s v="VENDA INTERNA PB"/>
    <s v="GRANOLA"/>
    <n v="0"/>
    <n v="0"/>
    <n v="0"/>
    <n v="20"/>
    <n v="20"/>
    <n v="40"/>
    <n v="40"/>
    <n v="44"/>
    <n v="66"/>
    <n v="66"/>
    <n v="66"/>
    <n v="44"/>
    <n v="406"/>
    <n v="406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B"/>
    <n v="1329"/>
    <s v="VENDA INTERNA PB"/>
    <s v="KIDS"/>
    <n v="0"/>
    <n v="0"/>
    <n v="0"/>
    <n v="20"/>
    <n v="20"/>
    <n v="40"/>
    <n v="40"/>
    <n v="44"/>
    <n v="66"/>
    <n v="66"/>
    <n v="66"/>
    <n v="44"/>
    <n v="406"/>
    <n v="406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B"/>
    <n v="1329"/>
    <s v="VENDA INTERNA PB"/>
    <s v="LANCHES"/>
    <n v="0"/>
    <n v="0"/>
    <n v="0"/>
    <n v="30"/>
    <n v="30"/>
    <n v="60"/>
    <n v="60"/>
    <n v="66"/>
    <n v="99"/>
    <n v="99"/>
    <n v="99"/>
    <n v="66"/>
    <n v="609"/>
    <n v="609"/>
    <n v="0"/>
    <s v=""/>
    <n v="0"/>
    <n v="0"/>
    <n v="0"/>
    <s v=""/>
    <s v="Novos "/>
    <n v="0.1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B"/>
    <n v="1329"/>
    <s v="VENDA INTERNA PB"/>
    <s v="MAIS GRANEL"/>
    <n v="0"/>
    <n v="0"/>
    <n v="0"/>
    <n v="250"/>
    <n v="250"/>
    <n v="500"/>
    <n v="500"/>
    <n v="550"/>
    <n v="825"/>
    <n v="825"/>
    <n v="825"/>
    <n v="550"/>
    <n v="5075"/>
    <n v="5075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B"/>
    <n v="1329"/>
    <s v="VENDA INTERNA PB"/>
    <s v="NATURATTA"/>
    <n v="0"/>
    <n v="0"/>
    <n v="0"/>
    <n v="50"/>
    <n v="50"/>
    <n v="100"/>
    <n v="100"/>
    <n v="110"/>
    <n v="165"/>
    <n v="165"/>
    <n v="165"/>
    <n v="110"/>
    <n v="1015"/>
    <n v="1015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B"/>
    <n v="1329"/>
    <s v="VENDA INTERNA PB"/>
    <s v="REEMBALADOS"/>
    <n v="0"/>
    <n v="0"/>
    <n v="0"/>
    <n v="50"/>
    <n v="50"/>
    <n v="100"/>
    <n v="100"/>
    <n v="110"/>
    <n v="165"/>
    <n v="165"/>
    <n v="165"/>
    <n v="110"/>
    <n v="1015"/>
    <n v="1015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B"/>
    <n v="1329"/>
    <s v="VENDA INTERNA PB"/>
    <s v="S GLUTEN"/>
    <n v="0"/>
    <n v="0"/>
    <n v="0"/>
    <n v="50"/>
    <n v="50"/>
    <n v="100"/>
    <n v="100"/>
    <n v="110"/>
    <n v="165"/>
    <n v="165"/>
    <n v="165"/>
    <n v="110"/>
    <n v="1015"/>
    <n v="1015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B"/>
    <n v="1329"/>
    <s v="VENDA INTERNA PB"/>
    <s v="SABORES DO CAMPO"/>
    <n v="0"/>
    <n v="0"/>
    <n v="0"/>
    <n v="0"/>
    <n v="0"/>
    <n v="0"/>
    <n v="0"/>
    <n v="0"/>
    <n v="0"/>
    <n v="0"/>
    <n v="0"/>
    <n v="0"/>
    <n v="0"/>
    <n v="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B"/>
    <n v="1329"/>
    <s v="VENDA INTERNA PB"/>
    <s v="SAL"/>
    <n v="0"/>
    <n v="0"/>
    <n v="0"/>
    <n v="70"/>
    <n v="70"/>
    <n v="140"/>
    <n v="140"/>
    <n v="154.00000000000003"/>
    <n v="231.00000000000003"/>
    <n v="231.00000000000003"/>
    <n v="231.00000000000003"/>
    <n v="154.00000000000003"/>
    <n v="1421"/>
    <n v="1421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B"/>
    <n v="1329"/>
    <s v="VENDA INTERNA PB"/>
    <s v="SOULPRO"/>
    <n v="0"/>
    <n v="0"/>
    <n v="0"/>
    <n v="49.999999999999993"/>
    <n v="49.999999999999993"/>
    <n v="99.999999999999986"/>
    <n v="99.999999999999986"/>
    <n v="109.99999999999999"/>
    <n v="165"/>
    <n v="165"/>
    <n v="165"/>
    <n v="109.99999999999999"/>
    <n v="1015"/>
    <n v="1015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B"/>
    <n v="1329"/>
    <s v="VENDA INTERNA PB"/>
    <s v="TAMARA"/>
    <n v="0"/>
    <n v="0"/>
    <n v="0"/>
    <n v="80"/>
    <n v="80"/>
    <n v="160"/>
    <n v="160"/>
    <n v="176"/>
    <n v="264"/>
    <n v="264"/>
    <n v="264"/>
    <n v="176"/>
    <n v="1624"/>
    <n v="1624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B"/>
    <n v="1329"/>
    <s v="VENDA INTERNA PB"/>
    <s v="VICCIO"/>
    <n v="0"/>
    <n v="0"/>
    <n v="0"/>
    <n v="30"/>
    <n v="30"/>
    <n v="60"/>
    <n v="60"/>
    <n v="66"/>
    <n v="99"/>
    <n v="99"/>
    <n v="99"/>
    <n v="66"/>
    <n v="609"/>
    <n v="609"/>
    <n v="0"/>
    <s v=""/>
    <n v="0"/>
    <n v="0"/>
    <n v="0"/>
    <s v=""/>
    <s v="Novos "/>
    <n v="0.2"/>
    <m/>
  </r>
  <r>
    <x v="0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n v="1"/>
    <s v="SE"/>
    <n v="1330"/>
    <s v="VENDA INTERNA SE"/>
    <s v="1. TOTAL - VENDA INTERNA SE"/>
    <n v="0"/>
    <n v="0"/>
    <n v="0"/>
    <n v="1000"/>
    <n v="1000"/>
    <n v="1000"/>
    <n v="1000"/>
    <n v="1100"/>
    <n v="2200"/>
    <n v="2200"/>
    <n v="2200"/>
    <n v="1100"/>
    <n v="12800"/>
    <n v="12800"/>
    <n v="0"/>
    <s v=""/>
    <n v="0"/>
    <n v="0"/>
    <n v="0"/>
    <s v=""/>
    <m/>
    <m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SE"/>
    <n v="1330"/>
    <s v="VENDA INTERNA SE"/>
    <s v="BISCOITO"/>
    <n v="0"/>
    <n v="0"/>
    <n v="0"/>
    <n v="50"/>
    <n v="50"/>
    <n v="50"/>
    <n v="50"/>
    <n v="55"/>
    <n v="110"/>
    <n v="110"/>
    <n v="110"/>
    <n v="55"/>
    <n v="640"/>
    <n v="640"/>
    <n v="0"/>
    <s v=""/>
    <n v="0"/>
    <n v="0"/>
    <n v="0"/>
    <s v=""/>
    <s v="Novos "/>
    <n v="0.2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SE"/>
    <n v="1330"/>
    <s v="VENDA INTERNA SE"/>
    <s v="CHOCOLATES"/>
    <n v="0"/>
    <n v="0"/>
    <n v="0"/>
    <n v="50"/>
    <n v="50"/>
    <n v="50"/>
    <n v="50"/>
    <n v="55"/>
    <n v="110"/>
    <n v="110"/>
    <n v="110"/>
    <n v="55"/>
    <n v="640"/>
    <n v="640"/>
    <n v="0"/>
    <s v=""/>
    <n v="0"/>
    <n v="0"/>
    <n v="0"/>
    <s v=""/>
    <s v="Novos "/>
    <n v="0.2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SE"/>
    <n v="1330"/>
    <s v="VENDA INTERNA SE"/>
    <s v="DISNEY"/>
    <n v="0"/>
    <n v="0"/>
    <n v="0"/>
    <n v="80"/>
    <n v="80"/>
    <n v="80"/>
    <n v="80"/>
    <n v="88"/>
    <n v="176"/>
    <n v="176"/>
    <n v="176"/>
    <n v="88"/>
    <n v="1024"/>
    <n v="1024"/>
    <n v="0"/>
    <s v=""/>
    <n v="0"/>
    <n v="0"/>
    <n v="0"/>
    <s v=""/>
    <s v="Novos "/>
    <n v="0.1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SE"/>
    <n v="1330"/>
    <s v="VENDA INTERNA SE"/>
    <s v="DOCES"/>
    <n v="0"/>
    <n v="0"/>
    <n v="0"/>
    <n v="100"/>
    <n v="100"/>
    <n v="100"/>
    <n v="100"/>
    <n v="110"/>
    <n v="220"/>
    <n v="220"/>
    <n v="220"/>
    <n v="110"/>
    <n v="1280"/>
    <n v="128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SE"/>
    <n v="1330"/>
    <s v="VENDA INTERNA SE"/>
    <s v="GELEIA"/>
    <n v="0"/>
    <n v="0"/>
    <n v="0"/>
    <n v="19.999999999999996"/>
    <n v="19.999999999999996"/>
    <n v="19.999999999999996"/>
    <n v="19.999999999999996"/>
    <n v="21.999999999999996"/>
    <n v="43.999999999999993"/>
    <n v="43.999999999999993"/>
    <n v="43.999999999999993"/>
    <n v="21.999999999999996"/>
    <n v="255.99999999999997"/>
    <n v="255.99999999999997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SE"/>
    <n v="1330"/>
    <s v="VENDA INTERNA SE"/>
    <s v="GRANOLA"/>
    <n v="0"/>
    <n v="0"/>
    <n v="0"/>
    <n v="20"/>
    <n v="20"/>
    <n v="20"/>
    <n v="20"/>
    <n v="22"/>
    <n v="44"/>
    <n v="44"/>
    <n v="44"/>
    <n v="22"/>
    <n v="256"/>
    <n v="256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SE"/>
    <n v="1330"/>
    <s v="VENDA INTERNA SE"/>
    <s v="KIDS"/>
    <n v="0"/>
    <n v="0"/>
    <n v="0"/>
    <n v="20"/>
    <n v="20"/>
    <n v="20"/>
    <n v="20"/>
    <n v="22"/>
    <n v="44"/>
    <n v="44"/>
    <n v="44"/>
    <n v="22"/>
    <n v="256"/>
    <n v="256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SE"/>
    <n v="1330"/>
    <s v="VENDA INTERNA SE"/>
    <s v="LANCHES"/>
    <n v="0"/>
    <n v="0"/>
    <n v="0"/>
    <n v="30"/>
    <n v="30"/>
    <n v="30"/>
    <n v="30"/>
    <n v="33"/>
    <n v="66"/>
    <n v="66"/>
    <n v="66"/>
    <n v="33"/>
    <n v="384"/>
    <n v="384"/>
    <n v="0"/>
    <s v=""/>
    <n v="0"/>
    <n v="0"/>
    <n v="0"/>
    <s v=""/>
    <s v="Novos "/>
    <n v="0.1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SE"/>
    <n v="1330"/>
    <s v="VENDA INTERNA SE"/>
    <s v="MAIS GRANEL"/>
    <n v="0"/>
    <n v="0"/>
    <n v="0"/>
    <n v="250"/>
    <n v="250"/>
    <n v="250"/>
    <n v="250"/>
    <n v="275"/>
    <n v="550"/>
    <n v="550"/>
    <n v="550"/>
    <n v="275"/>
    <n v="3200"/>
    <n v="320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SE"/>
    <n v="1330"/>
    <s v="VENDA INTERNA SE"/>
    <s v="NATURATTA"/>
    <n v="0"/>
    <n v="0"/>
    <n v="0"/>
    <n v="50"/>
    <n v="50"/>
    <n v="50"/>
    <n v="50"/>
    <n v="55"/>
    <n v="110"/>
    <n v="110"/>
    <n v="110"/>
    <n v="55"/>
    <n v="640"/>
    <n v="640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SE"/>
    <n v="1330"/>
    <s v="VENDA INTERNA SE"/>
    <s v="REEMBALADOS"/>
    <n v="0"/>
    <n v="0"/>
    <n v="0"/>
    <n v="50"/>
    <n v="50"/>
    <n v="50"/>
    <n v="50"/>
    <n v="55"/>
    <n v="110"/>
    <n v="110"/>
    <n v="110"/>
    <n v="55"/>
    <n v="640"/>
    <n v="64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SE"/>
    <n v="1330"/>
    <s v="VENDA INTERNA SE"/>
    <s v="S GLUTEN"/>
    <n v="0"/>
    <n v="0"/>
    <n v="0"/>
    <n v="50"/>
    <n v="50"/>
    <n v="50"/>
    <n v="50"/>
    <n v="55"/>
    <n v="110"/>
    <n v="110"/>
    <n v="110"/>
    <n v="55"/>
    <n v="640"/>
    <n v="64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SE"/>
    <n v="1330"/>
    <s v="VENDA INTERNA SE"/>
    <s v="SABORES DO CAMPO"/>
    <n v="0"/>
    <n v="0"/>
    <n v="0"/>
    <n v="0"/>
    <n v="0"/>
    <n v="0"/>
    <n v="0"/>
    <n v="0"/>
    <n v="0"/>
    <n v="0"/>
    <n v="0"/>
    <n v="0"/>
    <n v="0"/>
    <n v="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SE"/>
    <n v="1330"/>
    <s v="VENDA INTERNA SE"/>
    <s v="SAL"/>
    <n v="0"/>
    <n v="0"/>
    <n v="0"/>
    <n v="70"/>
    <n v="70"/>
    <n v="70"/>
    <n v="70"/>
    <n v="77.000000000000014"/>
    <n v="154.00000000000003"/>
    <n v="154.00000000000003"/>
    <n v="154.00000000000003"/>
    <n v="77.000000000000014"/>
    <n v="896"/>
    <n v="896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SE"/>
    <n v="1330"/>
    <s v="VENDA INTERNA SE"/>
    <s v="SOULPRO"/>
    <n v="0"/>
    <n v="0"/>
    <n v="0"/>
    <n v="49.999999999999993"/>
    <n v="49.999999999999993"/>
    <n v="49.999999999999993"/>
    <n v="49.999999999999993"/>
    <n v="54.999999999999993"/>
    <n v="109.99999999999999"/>
    <n v="109.99999999999999"/>
    <n v="109.99999999999999"/>
    <n v="54.999999999999993"/>
    <n v="639.99999999999989"/>
    <n v="639.99999999999989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SE"/>
    <n v="1330"/>
    <s v="VENDA INTERNA SE"/>
    <s v="TAMARA"/>
    <n v="0"/>
    <n v="0"/>
    <n v="0"/>
    <n v="80"/>
    <n v="80"/>
    <n v="80"/>
    <n v="80"/>
    <n v="88"/>
    <n v="176"/>
    <n v="176"/>
    <n v="176"/>
    <n v="88"/>
    <n v="1024"/>
    <n v="1024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SE"/>
    <n v="1330"/>
    <s v="VENDA INTERNA SE"/>
    <s v="VICCIO"/>
    <n v="0"/>
    <n v="0"/>
    <n v="0"/>
    <n v="30"/>
    <n v="30"/>
    <n v="30"/>
    <n v="30"/>
    <n v="33"/>
    <n v="66"/>
    <n v="66"/>
    <n v="66"/>
    <n v="33"/>
    <n v="384"/>
    <n v="384"/>
    <n v="0"/>
    <s v=""/>
    <n v="0"/>
    <n v="0"/>
    <n v="0"/>
    <s v=""/>
    <s v="Novos "/>
    <n v="0.2"/>
    <m/>
  </r>
  <r>
    <x v="0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n v="1"/>
    <s v="BA"/>
    <n v="1331"/>
    <s v="VENDA INTERNA BA"/>
    <s v="1. TOTAL - VENDA INTERNA BA"/>
    <n v="0"/>
    <n v="0"/>
    <n v="0"/>
    <n v="6000"/>
    <n v="7000"/>
    <n v="9000"/>
    <n v="11000"/>
    <n v="13200"/>
    <n v="16500"/>
    <n v="18700"/>
    <n v="20900"/>
    <n v="14300"/>
    <n v="116600"/>
    <n v="116600"/>
    <n v="0"/>
    <s v=""/>
    <n v="0"/>
    <n v="0"/>
    <n v="0"/>
    <s v=""/>
    <m/>
    <m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BA"/>
    <n v="1331"/>
    <s v="VENDA INTERNA BA"/>
    <s v="BISCOITO"/>
    <n v="0"/>
    <n v="0"/>
    <n v="0"/>
    <n v="300"/>
    <n v="350"/>
    <n v="450"/>
    <n v="550"/>
    <n v="660"/>
    <n v="825"/>
    <n v="935"/>
    <n v="1045"/>
    <n v="715"/>
    <n v="5830"/>
    <n v="5830"/>
    <n v="0"/>
    <s v=""/>
    <n v="0"/>
    <n v="0"/>
    <n v="0"/>
    <s v=""/>
    <s v="Novos "/>
    <n v="0.2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BA"/>
    <n v="1331"/>
    <s v="VENDA INTERNA BA"/>
    <s v="CHOCOLATES"/>
    <n v="0"/>
    <n v="0"/>
    <n v="0"/>
    <n v="300"/>
    <n v="350"/>
    <n v="450"/>
    <n v="550"/>
    <n v="660"/>
    <n v="825"/>
    <n v="935"/>
    <n v="1045"/>
    <n v="715"/>
    <n v="5830"/>
    <n v="5830"/>
    <n v="0"/>
    <s v=""/>
    <n v="0"/>
    <n v="0"/>
    <n v="0"/>
    <s v=""/>
    <s v="Novos "/>
    <n v="0.2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BA"/>
    <n v="1331"/>
    <s v="VENDA INTERNA BA"/>
    <s v="DISNEY"/>
    <n v="0"/>
    <n v="0"/>
    <n v="0"/>
    <n v="480"/>
    <n v="560"/>
    <n v="720"/>
    <n v="880"/>
    <n v="1056"/>
    <n v="1320"/>
    <n v="1496"/>
    <n v="1672"/>
    <n v="1144"/>
    <n v="9328"/>
    <n v="9328"/>
    <n v="0"/>
    <s v=""/>
    <n v="0"/>
    <n v="0"/>
    <n v="0"/>
    <s v=""/>
    <s v="Novos "/>
    <n v="0.1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BA"/>
    <n v="1331"/>
    <s v="VENDA INTERNA BA"/>
    <s v="DOCES"/>
    <n v="0"/>
    <n v="0"/>
    <n v="0"/>
    <n v="600"/>
    <n v="700"/>
    <n v="900"/>
    <n v="1100"/>
    <n v="1320"/>
    <n v="1650"/>
    <n v="1870"/>
    <n v="2090"/>
    <n v="1430"/>
    <n v="11660"/>
    <n v="1166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BA"/>
    <n v="1331"/>
    <s v="VENDA INTERNA BA"/>
    <s v="GELEIA"/>
    <n v="0"/>
    <n v="0"/>
    <n v="0"/>
    <n v="119.99999999999999"/>
    <n v="139.99999999999997"/>
    <n v="179.99999999999997"/>
    <n v="219.99999999999997"/>
    <n v="263.99999999999994"/>
    <n v="329.99999999999994"/>
    <n v="373.99999999999994"/>
    <n v="417.99999999999994"/>
    <n v="285.99999999999994"/>
    <n v="2331.9999999999995"/>
    <n v="2331.9999999999995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BA"/>
    <n v="1331"/>
    <s v="VENDA INTERNA BA"/>
    <s v="GRANOLA"/>
    <n v="0"/>
    <n v="0"/>
    <n v="0"/>
    <n v="120"/>
    <n v="140"/>
    <n v="180"/>
    <n v="220"/>
    <n v="264"/>
    <n v="330"/>
    <n v="374"/>
    <n v="418"/>
    <n v="286"/>
    <n v="2332"/>
    <n v="2332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BA"/>
    <n v="1331"/>
    <s v="VENDA INTERNA BA"/>
    <s v="KIDS"/>
    <n v="0"/>
    <n v="0"/>
    <n v="0"/>
    <n v="120"/>
    <n v="140"/>
    <n v="180"/>
    <n v="220"/>
    <n v="264"/>
    <n v="330"/>
    <n v="374"/>
    <n v="418"/>
    <n v="286"/>
    <n v="2332"/>
    <n v="2332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BA"/>
    <n v="1331"/>
    <s v="VENDA INTERNA BA"/>
    <s v="LANCHES"/>
    <n v="0"/>
    <n v="0"/>
    <n v="0"/>
    <n v="180"/>
    <n v="210"/>
    <n v="270"/>
    <n v="330"/>
    <n v="396"/>
    <n v="495"/>
    <n v="561"/>
    <n v="627"/>
    <n v="429"/>
    <n v="3498"/>
    <n v="3498"/>
    <n v="0"/>
    <s v=""/>
    <n v="0"/>
    <n v="0"/>
    <n v="0"/>
    <s v=""/>
    <s v="Novos "/>
    <n v="0.1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BA"/>
    <n v="1331"/>
    <s v="VENDA INTERNA BA"/>
    <s v="MAIS GRANEL"/>
    <n v="0"/>
    <n v="0"/>
    <n v="0"/>
    <n v="1500"/>
    <n v="1750"/>
    <n v="2250"/>
    <n v="2750"/>
    <n v="3300"/>
    <n v="4125"/>
    <n v="4675"/>
    <n v="5225"/>
    <n v="3575"/>
    <n v="29150"/>
    <n v="2915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BA"/>
    <n v="1331"/>
    <s v="VENDA INTERNA BA"/>
    <s v="NATURATTA"/>
    <n v="0"/>
    <n v="0"/>
    <n v="0"/>
    <n v="300"/>
    <n v="350"/>
    <n v="450"/>
    <n v="550"/>
    <n v="660"/>
    <n v="825"/>
    <n v="935"/>
    <n v="1045"/>
    <n v="715"/>
    <n v="5830"/>
    <n v="5830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BA"/>
    <n v="1331"/>
    <s v="VENDA INTERNA BA"/>
    <s v="REEMBALADOS"/>
    <n v="0"/>
    <n v="0"/>
    <n v="0"/>
    <n v="300"/>
    <n v="350"/>
    <n v="450"/>
    <n v="550"/>
    <n v="660"/>
    <n v="825"/>
    <n v="935"/>
    <n v="1045"/>
    <n v="715"/>
    <n v="5830"/>
    <n v="583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BA"/>
    <n v="1331"/>
    <s v="VENDA INTERNA BA"/>
    <s v="S GLUTEN"/>
    <n v="0"/>
    <n v="0"/>
    <n v="0"/>
    <n v="300"/>
    <n v="350"/>
    <n v="450"/>
    <n v="550"/>
    <n v="660"/>
    <n v="825"/>
    <n v="935"/>
    <n v="1045"/>
    <n v="715"/>
    <n v="5830"/>
    <n v="583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BA"/>
    <n v="1331"/>
    <s v="VENDA INTERNA BA"/>
    <s v="SABORES DO CAMPO"/>
    <n v="0"/>
    <n v="0"/>
    <n v="0"/>
    <n v="0"/>
    <n v="0"/>
    <n v="0"/>
    <n v="0"/>
    <n v="0"/>
    <n v="0"/>
    <n v="0"/>
    <n v="0"/>
    <n v="0"/>
    <n v="0"/>
    <n v="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BA"/>
    <n v="1331"/>
    <s v="VENDA INTERNA BA"/>
    <s v="SAL"/>
    <n v="0"/>
    <n v="0"/>
    <n v="0"/>
    <n v="420.00000000000006"/>
    <n v="490.00000000000006"/>
    <n v="630.00000000000011"/>
    <n v="770.00000000000011"/>
    <n v="924.00000000000011"/>
    <n v="1155"/>
    <n v="1309.0000000000002"/>
    <n v="1463.0000000000002"/>
    <n v="1001.0000000000001"/>
    <n v="8162"/>
    <n v="8162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BA"/>
    <n v="1331"/>
    <s v="VENDA INTERNA BA"/>
    <s v="SOULPRO"/>
    <n v="0"/>
    <n v="0"/>
    <n v="0"/>
    <n v="300"/>
    <n v="349.99999999999994"/>
    <n v="449.99999999999994"/>
    <n v="550"/>
    <n v="660"/>
    <n v="824.99999999999989"/>
    <n v="934.99999999999989"/>
    <n v="1045"/>
    <n v="714.99999999999989"/>
    <n v="5830"/>
    <n v="5830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BA"/>
    <n v="1331"/>
    <s v="VENDA INTERNA BA"/>
    <s v="TAMARA"/>
    <n v="0"/>
    <n v="0"/>
    <n v="0"/>
    <n v="480"/>
    <n v="560"/>
    <n v="720"/>
    <n v="880"/>
    <n v="1056"/>
    <n v="1320"/>
    <n v="1496"/>
    <n v="1672"/>
    <n v="1144"/>
    <n v="9328"/>
    <n v="9328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BA"/>
    <n v="1331"/>
    <s v="VENDA INTERNA BA"/>
    <s v="VICCIO"/>
    <n v="0"/>
    <n v="0"/>
    <n v="0"/>
    <n v="180"/>
    <n v="210"/>
    <n v="270"/>
    <n v="330"/>
    <n v="396"/>
    <n v="495"/>
    <n v="561"/>
    <n v="627"/>
    <n v="429"/>
    <n v="3498"/>
    <n v="3498"/>
    <n v="0"/>
    <s v=""/>
    <n v="0"/>
    <n v="0"/>
    <n v="0"/>
    <s v=""/>
    <s v="Novos "/>
    <n v="0.2"/>
    <m/>
  </r>
  <r>
    <x v="0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n v="1"/>
    <s v="MA"/>
    <n v="1332"/>
    <s v="VENDA INTERNA MA"/>
    <s v="1. TOTAL - VENDA INTERNA MA"/>
    <n v="0"/>
    <n v="0"/>
    <n v="0"/>
    <n v="2000"/>
    <n v="2000"/>
    <n v="2000"/>
    <n v="3000"/>
    <n v="3300"/>
    <n v="4400"/>
    <n v="4400"/>
    <n v="5500"/>
    <n v="3300"/>
    <n v="29900"/>
    <n v="29900"/>
    <n v="0"/>
    <s v=""/>
    <n v="0"/>
    <n v="0"/>
    <n v="0"/>
    <s v=""/>
    <m/>
    <m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MA"/>
    <n v="1332"/>
    <s v="VENDA INTERNA MA"/>
    <s v="BISCOITO"/>
    <n v="0"/>
    <n v="0"/>
    <n v="0"/>
    <n v="100"/>
    <n v="100"/>
    <n v="100"/>
    <n v="150"/>
    <n v="165"/>
    <n v="220"/>
    <n v="220"/>
    <n v="275"/>
    <n v="165"/>
    <n v="1495"/>
    <n v="1495"/>
    <n v="0"/>
    <s v=""/>
    <n v="0"/>
    <n v="0"/>
    <n v="0"/>
    <s v=""/>
    <s v="Novos "/>
    <n v="0.2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MA"/>
    <n v="1332"/>
    <s v="VENDA INTERNA MA"/>
    <s v="CHOCOLATES"/>
    <n v="0"/>
    <n v="0"/>
    <n v="0"/>
    <n v="100"/>
    <n v="100"/>
    <n v="100"/>
    <n v="150"/>
    <n v="165"/>
    <n v="220"/>
    <n v="220"/>
    <n v="275"/>
    <n v="165"/>
    <n v="1495"/>
    <n v="1495"/>
    <n v="0"/>
    <s v=""/>
    <n v="0"/>
    <n v="0"/>
    <n v="0"/>
    <s v=""/>
    <s v="Novos "/>
    <n v="0.2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MA"/>
    <n v="1332"/>
    <s v="VENDA INTERNA MA"/>
    <s v="DISNEY"/>
    <n v="0"/>
    <n v="0"/>
    <n v="0"/>
    <n v="160"/>
    <n v="160"/>
    <n v="160"/>
    <n v="240"/>
    <n v="264"/>
    <n v="352"/>
    <n v="352"/>
    <n v="440"/>
    <n v="264"/>
    <n v="2392"/>
    <n v="2392"/>
    <n v="0"/>
    <s v=""/>
    <n v="0"/>
    <n v="0"/>
    <n v="0"/>
    <s v=""/>
    <s v="Novos "/>
    <n v="0.1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MA"/>
    <n v="1332"/>
    <s v="VENDA INTERNA MA"/>
    <s v="DOCES"/>
    <n v="0"/>
    <n v="0"/>
    <n v="0"/>
    <n v="200"/>
    <n v="200"/>
    <n v="200"/>
    <n v="300"/>
    <n v="330"/>
    <n v="440"/>
    <n v="440"/>
    <n v="550"/>
    <n v="330"/>
    <n v="2990"/>
    <n v="299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MA"/>
    <n v="1332"/>
    <s v="VENDA INTERNA MA"/>
    <s v="GELEIA"/>
    <n v="0"/>
    <n v="0"/>
    <n v="0"/>
    <n v="39.999999999999993"/>
    <n v="39.999999999999993"/>
    <n v="39.999999999999993"/>
    <n v="59.999999999999993"/>
    <n v="65.999999999999986"/>
    <n v="87.999999999999986"/>
    <n v="87.999999999999986"/>
    <n v="109.99999999999999"/>
    <n v="65.999999999999986"/>
    <n v="597.99999999999989"/>
    <n v="597.99999999999989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MA"/>
    <n v="1332"/>
    <s v="VENDA INTERNA MA"/>
    <s v="GRANOLA"/>
    <n v="0"/>
    <n v="0"/>
    <n v="0"/>
    <n v="40"/>
    <n v="40"/>
    <n v="40"/>
    <n v="60"/>
    <n v="66"/>
    <n v="88"/>
    <n v="88"/>
    <n v="110"/>
    <n v="66"/>
    <n v="598"/>
    <n v="598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MA"/>
    <n v="1332"/>
    <s v="VENDA INTERNA MA"/>
    <s v="KIDS"/>
    <n v="0"/>
    <n v="0"/>
    <n v="0"/>
    <n v="40"/>
    <n v="40"/>
    <n v="40"/>
    <n v="60"/>
    <n v="66"/>
    <n v="88"/>
    <n v="88"/>
    <n v="110"/>
    <n v="66"/>
    <n v="598"/>
    <n v="598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MA"/>
    <n v="1332"/>
    <s v="VENDA INTERNA MA"/>
    <s v="LANCHES"/>
    <n v="0"/>
    <n v="0"/>
    <n v="0"/>
    <n v="60"/>
    <n v="60"/>
    <n v="60"/>
    <n v="90"/>
    <n v="99"/>
    <n v="132"/>
    <n v="132"/>
    <n v="165"/>
    <n v="99"/>
    <n v="897"/>
    <n v="897"/>
    <n v="0"/>
    <s v=""/>
    <n v="0"/>
    <n v="0"/>
    <n v="0"/>
    <s v=""/>
    <s v="Novos "/>
    <n v="0.1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MA"/>
    <n v="1332"/>
    <s v="VENDA INTERNA MA"/>
    <s v="MAIS GRANEL"/>
    <n v="0"/>
    <n v="0"/>
    <n v="0"/>
    <n v="500"/>
    <n v="500"/>
    <n v="500"/>
    <n v="750"/>
    <n v="825"/>
    <n v="1100"/>
    <n v="1100"/>
    <n v="1375"/>
    <n v="825"/>
    <n v="7475"/>
    <n v="7475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MA"/>
    <n v="1332"/>
    <s v="VENDA INTERNA MA"/>
    <s v="NATURATTA"/>
    <n v="0"/>
    <n v="0"/>
    <n v="0"/>
    <n v="100"/>
    <n v="100"/>
    <n v="100"/>
    <n v="150"/>
    <n v="165"/>
    <n v="220"/>
    <n v="220"/>
    <n v="275"/>
    <n v="165"/>
    <n v="1495"/>
    <n v="1495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MA"/>
    <n v="1332"/>
    <s v="VENDA INTERNA MA"/>
    <s v="REEMBALADOS"/>
    <n v="0"/>
    <n v="0"/>
    <n v="0"/>
    <n v="100"/>
    <n v="100"/>
    <n v="100"/>
    <n v="150"/>
    <n v="165"/>
    <n v="220"/>
    <n v="220"/>
    <n v="275"/>
    <n v="165"/>
    <n v="1495"/>
    <n v="1495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MA"/>
    <n v="1332"/>
    <s v="VENDA INTERNA MA"/>
    <s v="S GLUTEN"/>
    <n v="0"/>
    <n v="0"/>
    <n v="0"/>
    <n v="100"/>
    <n v="100"/>
    <n v="100"/>
    <n v="150"/>
    <n v="165"/>
    <n v="220"/>
    <n v="220"/>
    <n v="275"/>
    <n v="165"/>
    <n v="1495"/>
    <n v="1495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MA"/>
    <n v="1332"/>
    <s v="VENDA INTERNA MA"/>
    <s v="SABORES DO CAMPO"/>
    <n v="0"/>
    <n v="0"/>
    <n v="0"/>
    <n v="0"/>
    <n v="0"/>
    <n v="0"/>
    <n v="0"/>
    <n v="0"/>
    <n v="0"/>
    <n v="0"/>
    <n v="0"/>
    <n v="0"/>
    <n v="0"/>
    <n v="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MA"/>
    <n v="1332"/>
    <s v="VENDA INTERNA MA"/>
    <s v="SAL"/>
    <n v="0"/>
    <n v="0"/>
    <n v="0"/>
    <n v="140"/>
    <n v="140"/>
    <n v="140"/>
    <n v="210.00000000000003"/>
    <n v="231.00000000000003"/>
    <n v="308.00000000000006"/>
    <n v="308.00000000000006"/>
    <n v="385.00000000000006"/>
    <n v="231.00000000000003"/>
    <n v="2093"/>
    <n v="2093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MA"/>
    <n v="1332"/>
    <s v="VENDA INTERNA MA"/>
    <s v="SOULPRO"/>
    <n v="0"/>
    <n v="0"/>
    <n v="0"/>
    <n v="99.999999999999986"/>
    <n v="99.999999999999986"/>
    <n v="99.999999999999986"/>
    <n v="150"/>
    <n v="165"/>
    <n v="219.99999999999997"/>
    <n v="219.99999999999997"/>
    <n v="275"/>
    <n v="165"/>
    <n v="1495"/>
    <n v="1495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MA"/>
    <n v="1332"/>
    <s v="VENDA INTERNA MA"/>
    <s v="TAMARA"/>
    <n v="0"/>
    <n v="0"/>
    <n v="0"/>
    <n v="160"/>
    <n v="160"/>
    <n v="160"/>
    <n v="240"/>
    <n v="264"/>
    <n v="352"/>
    <n v="352"/>
    <n v="440"/>
    <n v="264"/>
    <n v="2392"/>
    <n v="2392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MA"/>
    <n v="1332"/>
    <s v="VENDA INTERNA MA"/>
    <s v="VICCIO"/>
    <n v="0"/>
    <n v="0"/>
    <n v="0"/>
    <n v="60"/>
    <n v="60"/>
    <n v="60"/>
    <n v="90"/>
    <n v="99"/>
    <n v="132"/>
    <n v="132"/>
    <n v="165"/>
    <n v="99"/>
    <n v="897"/>
    <n v="897"/>
    <n v="0"/>
    <s v=""/>
    <n v="0"/>
    <n v="0"/>
    <n v="0"/>
    <s v=""/>
    <s v="Novos "/>
    <n v="0.2"/>
    <m/>
  </r>
  <r>
    <x v="0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n v="1"/>
    <s v="TO"/>
    <n v="1346"/>
    <s v="VENDA INTERNA TO"/>
    <s v="1. TOTAL - VENDA INTERNA TO"/>
    <n v="0"/>
    <n v="0"/>
    <n v="0"/>
    <n v="1000"/>
    <n v="2000"/>
    <n v="2000"/>
    <n v="2000"/>
    <n v="2200"/>
    <n v="3300"/>
    <n v="3300"/>
    <n v="4400"/>
    <n v="3300"/>
    <n v="23500"/>
    <n v="23500"/>
    <n v="0"/>
    <s v=""/>
    <n v="0"/>
    <n v="0"/>
    <n v="0"/>
    <s v=""/>
    <m/>
    <m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TO"/>
    <n v="1346"/>
    <s v="VENDA INTERNA TO"/>
    <s v="BISCOITO"/>
    <n v="0"/>
    <n v="0"/>
    <n v="0"/>
    <n v="50"/>
    <n v="100"/>
    <n v="100"/>
    <n v="100"/>
    <n v="110"/>
    <n v="165"/>
    <n v="165"/>
    <n v="220"/>
    <n v="165"/>
    <n v="1175"/>
    <n v="1175"/>
    <n v="0"/>
    <s v=""/>
    <n v="0"/>
    <n v="0"/>
    <n v="0"/>
    <s v=""/>
    <s v="Novos "/>
    <n v="0.2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TO"/>
    <n v="1346"/>
    <s v="VENDA INTERNA TO"/>
    <s v="CHOCOLATES"/>
    <n v="0"/>
    <n v="0"/>
    <n v="0"/>
    <n v="50"/>
    <n v="100"/>
    <n v="100"/>
    <n v="100"/>
    <n v="110"/>
    <n v="165"/>
    <n v="165"/>
    <n v="220"/>
    <n v="165"/>
    <n v="1175"/>
    <n v="1175"/>
    <n v="0"/>
    <s v=""/>
    <n v="0"/>
    <n v="0"/>
    <n v="0"/>
    <s v=""/>
    <s v="Novos "/>
    <n v="0.2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TO"/>
    <n v="1346"/>
    <s v="VENDA INTERNA TO"/>
    <s v="DISNEY"/>
    <n v="0"/>
    <n v="0"/>
    <n v="0"/>
    <n v="80"/>
    <n v="160"/>
    <n v="160"/>
    <n v="160"/>
    <n v="176"/>
    <n v="264"/>
    <n v="264"/>
    <n v="352"/>
    <n v="264"/>
    <n v="1880"/>
    <n v="1880"/>
    <n v="0"/>
    <s v=""/>
    <n v="0"/>
    <n v="0"/>
    <n v="0"/>
    <s v=""/>
    <s v="Novos "/>
    <n v="0.1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TO"/>
    <n v="1346"/>
    <s v="VENDA INTERNA TO"/>
    <s v="DOCES"/>
    <n v="0"/>
    <n v="0"/>
    <n v="0"/>
    <n v="100"/>
    <n v="200"/>
    <n v="200"/>
    <n v="200"/>
    <n v="220"/>
    <n v="330"/>
    <n v="330"/>
    <n v="440"/>
    <n v="330"/>
    <n v="2350"/>
    <n v="235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TO"/>
    <n v="1346"/>
    <s v="VENDA INTERNA TO"/>
    <s v="GELEIA"/>
    <n v="0"/>
    <n v="0"/>
    <n v="0"/>
    <n v="19.999999999999996"/>
    <n v="39.999999999999993"/>
    <n v="39.999999999999993"/>
    <n v="39.999999999999993"/>
    <n v="43.999999999999993"/>
    <n v="65.999999999999986"/>
    <n v="65.999999999999986"/>
    <n v="87.999999999999986"/>
    <n v="65.999999999999986"/>
    <n v="469.99999999999994"/>
    <n v="469.99999999999994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TO"/>
    <n v="1346"/>
    <s v="VENDA INTERNA TO"/>
    <s v="GRANOLA"/>
    <n v="0"/>
    <n v="0"/>
    <n v="0"/>
    <n v="20"/>
    <n v="40"/>
    <n v="40"/>
    <n v="40"/>
    <n v="44"/>
    <n v="66"/>
    <n v="66"/>
    <n v="88"/>
    <n v="66"/>
    <n v="470"/>
    <n v="47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TO"/>
    <n v="1346"/>
    <s v="VENDA INTERNA TO"/>
    <s v="KIDS"/>
    <n v="0"/>
    <n v="0"/>
    <n v="0"/>
    <n v="20"/>
    <n v="40"/>
    <n v="40"/>
    <n v="40"/>
    <n v="44"/>
    <n v="66"/>
    <n v="66"/>
    <n v="88"/>
    <n v="66"/>
    <n v="470"/>
    <n v="47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TO"/>
    <n v="1346"/>
    <s v="VENDA INTERNA TO"/>
    <s v="LANCHES"/>
    <n v="0"/>
    <n v="0"/>
    <n v="0"/>
    <n v="30"/>
    <n v="60"/>
    <n v="60"/>
    <n v="60"/>
    <n v="66"/>
    <n v="99"/>
    <n v="99"/>
    <n v="132"/>
    <n v="99"/>
    <n v="705"/>
    <n v="705"/>
    <n v="0"/>
    <s v=""/>
    <n v="0"/>
    <n v="0"/>
    <n v="0"/>
    <s v=""/>
    <s v="Novos "/>
    <n v="0.1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TO"/>
    <n v="1346"/>
    <s v="VENDA INTERNA TO"/>
    <s v="MAIS GRANEL"/>
    <n v="0"/>
    <n v="0"/>
    <n v="0"/>
    <n v="250"/>
    <n v="500"/>
    <n v="500"/>
    <n v="500"/>
    <n v="550"/>
    <n v="825"/>
    <n v="825"/>
    <n v="1100"/>
    <n v="825"/>
    <n v="5875"/>
    <n v="5875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TO"/>
    <n v="1346"/>
    <s v="VENDA INTERNA TO"/>
    <s v="NATURATTA"/>
    <n v="0"/>
    <n v="0"/>
    <n v="0"/>
    <n v="50"/>
    <n v="100"/>
    <n v="100"/>
    <n v="100"/>
    <n v="110"/>
    <n v="165"/>
    <n v="165"/>
    <n v="220"/>
    <n v="165"/>
    <n v="1175"/>
    <n v="1175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TO"/>
    <n v="1346"/>
    <s v="VENDA INTERNA TO"/>
    <s v="REEMBALADOS"/>
    <n v="0"/>
    <n v="0"/>
    <n v="0"/>
    <n v="50"/>
    <n v="100"/>
    <n v="100"/>
    <n v="100"/>
    <n v="110"/>
    <n v="165"/>
    <n v="165"/>
    <n v="220"/>
    <n v="165"/>
    <n v="1175"/>
    <n v="1175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TO"/>
    <n v="1346"/>
    <s v="VENDA INTERNA TO"/>
    <s v="S GLUTEN"/>
    <n v="0"/>
    <n v="0"/>
    <n v="0"/>
    <n v="50"/>
    <n v="100"/>
    <n v="100"/>
    <n v="100"/>
    <n v="110"/>
    <n v="165"/>
    <n v="165"/>
    <n v="220"/>
    <n v="165"/>
    <n v="1175"/>
    <n v="1175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TO"/>
    <n v="1346"/>
    <s v="VENDA INTERNA TO"/>
    <s v="SABORES DO CAMPO"/>
    <n v="0"/>
    <n v="0"/>
    <n v="0"/>
    <n v="0"/>
    <n v="0"/>
    <n v="0"/>
    <n v="0"/>
    <n v="0"/>
    <n v="0"/>
    <n v="0"/>
    <n v="0"/>
    <n v="0"/>
    <n v="0"/>
    <n v="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TO"/>
    <n v="1346"/>
    <s v="VENDA INTERNA TO"/>
    <s v="SAL"/>
    <n v="0"/>
    <n v="0"/>
    <n v="0"/>
    <n v="70"/>
    <n v="140"/>
    <n v="140"/>
    <n v="140"/>
    <n v="154.00000000000003"/>
    <n v="231.00000000000003"/>
    <n v="231.00000000000003"/>
    <n v="308.00000000000006"/>
    <n v="231.00000000000003"/>
    <n v="1645"/>
    <n v="1645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TO"/>
    <n v="1346"/>
    <s v="VENDA INTERNA TO"/>
    <s v="SOULPRO"/>
    <n v="0"/>
    <n v="0"/>
    <n v="0"/>
    <n v="49.999999999999993"/>
    <n v="99.999999999999986"/>
    <n v="99.999999999999986"/>
    <n v="99.999999999999986"/>
    <n v="109.99999999999999"/>
    <n v="165"/>
    <n v="165"/>
    <n v="219.99999999999997"/>
    <n v="165"/>
    <n v="1175"/>
    <n v="1175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TO"/>
    <n v="1346"/>
    <s v="VENDA INTERNA TO"/>
    <s v="TAMARA"/>
    <n v="0"/>
    <n v="0"/>
    <n v="0"/>
    <n v="80"/>
    <n v="160"/>
    <n v="160"/>
    <n v="160"/>
    <n v="176"/>
    <n v="264"/>
    <n v="264"/>
    <n v="352"/>
    <n v="264"/>
    <n v="1880"/>
    <n v="1880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TO"/>
    <n v="1346"/>
    <s v="VENDA INTERNA TO"/>
    <s v="VICCIO"/>
    <n v="0"/>
    <n v="0"/>
    <n v="0"/>
    <n v="30"/>
    <n v="60"/>
    <n v="60"/>
    <n v="60"/>
    <n v="66"/>
    <n v="99"/>
    <n v="99"/>
    <n v="132"/>
    <n v="99"/>
    <n v="705"/>
    <n v="705"/>
    <n v="0"/>
    <s v=""/>
    <n v="0"/>
    <n v="0"/>
    <n v="0"/>
    <s v=""/>
    <s v="Novos "/>
    <n v="0.2"/>
    <m/>
  </r>
  <r>
    <x v="0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n v="1"/>
    <s v="RO"/>
    <n v="1347"/>
    <s v="VENDA INTERNA RO"/>
    <s v="1. TOTAL - VENDA INTERNA RO"/>
    <n v="0"/>
    <n v="0"/>
    <n v="0"/>
    <n v="1000"/>
    <n v="1000"/>
    <n v="2000"/>
    <n v="2000"/>
    <n v="2200"/>
    <n v="2200"/>
    <n v="3300"/>
    <n v="3300"/>
    <n v="2200"/>
    <n v="19200"/>
    <n v="19200"/>
    <n v="0"/>
    <s v=""/>
    <n v="0"/>
    <n v="0"/>
    <n v="0"/>
    <s v=""/>
    <m/>
    <m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RO"/>
    <n v="1347"/>
    <s v="VENDA INTERNA RO"/>
    <s v="BISCOITO"/>
    <n v="0"/>
    <n v="0"/>
    <n v="0"/>
    <n v="50"/>
    <n v="50"/>
    <n v="100"/>
    <n v="100"/>
    <n v="110"/>
    <n v="110"/>
    <n v="165"/>
    <n v="165"/>
    <n v="110"/>
    <n v="960"/>
    <n v="960"/>
    <n v="0"/>
    <s v=""/>
    <n v="0"/>
    <n v="0"/>
    <n v="0"/>
    <s v=""/>
    <s v="Novos "/>
    <n v="0.2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RO"/>
    <n v="1347"/>
    <s v="VENDA INTERNA RO"/>
    <s v="CHOCOLATES"/>
    <n v="0"/>
    <n v="0"/>
    <n v="0"/>
    <n v="50"/>
    <n v="50"/>
    <n v="100"/>
    <n v="100"/>
    <n v="110"/>
    <n v="110"/>
    <n v="165"/>
    <n v="165"/>
    <n v="110"/>
    <n v="960"/>
    <n v="960"/>
    <n v="0"/>
    <s v=""/>
    <n v="0"/>
    <n v="0"/>
    <n v="0"/>
    <s v=""/>
    <s v="Novos "/>
    <n v="0.2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RO"/>
    <n v="1347"/>
    <s v="VENDA INTERNA RO"/>
    <s v="DISNEY"/>
    <n v="0"/>
    <n v="0"/>
    <n v="0"/>
    <n v="80"/>
    <n v="80"/>
    <n v="160"/>
    <n v="160"/>
    <n v="176"/>
    <n v="176"/>
    <n v="264"/>
    <n v="264"/>
    <n v="176"/>
    <n v="1536"/>
    <n v="1536"/>
    <n v="0"/>
    <s v=""/>
    <n v="0"/>
    <n v="0"/>
    <n v="0"/>
    <s v=""/>
    <s v="Novos "/>
    <n v="0.1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RO"/>
    <n v="1347"/>
    <s v="VENDA INTERNA RO"/>
    <s v="DOCES"/>
    <n v="0"/>
    <n v="0"/>
    <n v="0"/>
    <n v="100"/>
    <n v="100"/>
    <n v="200"/>
    <n v="200"/>
    <n v="220"/>
    <n v="220"/>
    <n v="330"/>
    <n v="330"/>
    <n v="220"/>
    <n v="1920"/>
    <n v="192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RO"/>
    <n v="1347"/>
    <s v="VENDA INTERNA RO"/>
    <s v="GELEIA"/>
    <n v="0"/>
    <n v="0"/>
    <n v="0"/>
    <n v="19.999999999999996"/>
    <n v="19.999999999999996"/>
    <n v="39.999999999999993"/>
    <n v="39.999999999999993"/>
    <n v="43.999999999999993"/>
    <n v="43.999999999999993"/>
    <n v="65.999999999999986"/>
    <n v="65.999999999999986"/>
    <n v="43.999999999999993"/>
    <n v="383.99999999999994"/>
    <n v="383.99999999999994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RO"/>
    <n v="1347"/>
    <s v="VENDA INTERNA RO"/>
    <s v="GRANOLA"/>
    <n v="0"/>
    <n v="0"/>
    <n v="0"/>
    <n v="20"/>
    <n v="20"/>
    <n v="40"/>
    <n v="40"/>
    <n v="44"/>
    <n v="44"/>
    <n v="66"/>
    <n v="66"/>
    <n v="44"/>
    <n v="384"/>
    <n v="384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RO"/>
    <n v="1347"/>
    <s v="VENDA INTERNA RO"/>
    <s v="KIDS"/>
    <n v="0"/>
    <n v="0"/>
    <n v="0"/>
    <n v="20"/>
    <n v="20"/>
    <n v="40"/>
    <n v="40"/>
    <n v="44"/>
    <n v="44"/>
    <n v="66"/>
    <n v="66"/>
    <n v="44"/>
    <n v="384"/>
    <n v="384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RO"/>
    <n v="1347"/>
    <s v="VENDA INTERNA RO"/>
    <s v="LANCHES"/>
    <n v="0"/>
    <n v="0"/>
    <n v="0"/>
    <n v="30"/>
    <n v="30"/>
    <n v="60"/>
    <n v="60"/>
    <n v="66"/>
    <n v="66"/>
    <n v="99"/>
    <n v="99"/>
    <n v="66"/>
    <n v="576"/>
    <n v="576"/>
    <n v="0"/>
    <s v=""/>
    <n v="0"/>
    <n v="0"/>
    <n v="0"/>
    <s v=""/>
    <s v="Novos "/>
    <n v="0.1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RO"/>
    <n v="1347"/>
    <s v="VENDA INTERNA RO"/>
    <s v="MAIS GRANEL"/>
    <n v="0"/>
    <n v="0"/>
    <n v="0"/>
    <n v="250"/>
    <n v="250"/>
    <n v="500"/>
    <n v="500"/>
    <n v="550"/>
    <n v="550"/>
    <n v="825"/>
    <n v="825"/>
    <n v="550"/>
    <n v="4800"/>
    <n v="480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RO"/>
    <n v="1347"/>
    <s v="VENDA INTERNA RO"/>
    <s v="NATURATTA"/>
    <n v="0"/>
    <n v="0"/>
    <n v="0"/>
    <n v="50"/>
    <n v="50"/>
    <n v="100"/>
    <n v="100"/>
    <n v="110"/>
    <n v="110"/>
    <n v="165"/>
    <n v="165"/>
    <n v="110"/>
    <n v="960"/>
    <n v="960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RO"/>
    <n v="1347"/>
    <s v="VENDA INTERNA RO"/>
    <s v="REEMBALADOS"/>
    <n v="0"/>
    <n v="0"/>
    <n v="0"/>
    <n v="50"/>
    <n v="50"/>
    <n v="100"/>
    <n v="100"/>
    <n v="110"/>
    <n v="110"/>
    <n v="165"/>
    <n v="165"/>
    <n v="110"/>
    <n v="960"/>
    <n v="96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RO"/>
    <n v="1347"/>
    <s v="VENDA INTERNA RO"/>
    <s v="S GLUTEN"/>
    <n v="0"/>
    <n v="0"/>
    <n v="0"/>
    <n v="50"/>
    <n v="50"/>
    <n v="100"/>
    <n v="100"/>
    <n v="110"/>
    <n v="110"/>
    <n v="165"/>
    <n v="165"/>
    <n v="110"/>
    <n v="960"/>
    <n v="96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RO"/>
    <n v="1347"/>
    <s v="VENDA INTERNA RO"/>
    <s v="SABORES DO CAMPO"/>
    <n v="0"/>
    <n v="0"/>
    <n v="0"/>
    <n v="0"/>
    <n v="0"/>
    <n v="0"/>
    <n v="0"/>
    <n v="0"/>
    <n v="0"/>
    <n v="0"/>
    <n v="0"/>
    <n v="0"/>
    <n v="0"/>
    <n v="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RO"/>
    <n v="1347"/>
    <s v="VENDA INTERNA RO"/>
    <s v="SAL"/>
    <n v="0"/>
    <n v="0"/>
    <n v="0"/>
    <n v="70"/>
    <n v="70"/>
    <n v="140"/>
    <n v="140"/>
    <n v="154.00000000000003"/>
    <n v="154.00000000000003"/>
    <n v="231.00000000000003"/>
    <n v="231.00000000000003"/>
    <n v="154.00000000000003"/>
    <n v="1344"/>
    <n v="1344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RO"/>
    <n v="1347"/>
    <s v="VENDA INTERNA RO"/>
    <s v="SOULPRO"/>
    <n v="0"/>
    <n v="0"/>
    <n v="0"/>
    <n v="49.999999999999993"/>
    <n v="49.999999999999993"/>
    <n v="99.999999999999986"/>
    <n v="99.999999999999986"/>
    <n v="109.99999999999999"/>
    <n v="109.99999999999999"/>
    <n v="165"/>
    <n v="165"/>
    <n v="109.99999999999999"/>
    <n v="959.99999999999989"/>
    <n v="959.99999999999989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RO"/>
    <n v="1347"/>
    <s v="VENDA INTERNA RO"/>
    <s v="TAMARA"/>
    <n v="0"/>
    <n v="0"/>
    <n v="0"/>
    <n v="80"/>
    <n v="80"/>
    <n v="160"/>
    <n v="160"/>
    <n v="176"/>
    <n v="176"/>
    <n v="264"/>
    <n v="264"/>
    <n v="176"/>
    <n v="1536"/>
    <n v="1536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RO"/>
    <n v="1347"/>
    <s v="VENDA INTERNA RO"/>
    <s v="VICCIO"/>
    <n v="0"/>
    <n v="0"/>
    <n v="0"/>
    <n v="30"/>
    <n v="30"/>
    <n v="60"/>
    <n v="60"/>
    <n v="66"/>
    <n v="66"/>
    <n v="99"/>
    <n v="99"/>
    <n v="66"/>
    <n v="576"/>
    <n v="576"/>
    <n v="0"/>
    <s v=""/>
    <n v="0"/>
    <n v="0"/>
    <n v="0"/>
    <s v=""/>
    <s v="Novos "/>
    <n v="0.2"/>
    <m/>
  </r>
  <r>
    <x v="0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n v="1"/>
    <s v="RR"/>
    <n v="1348"/>
    <s v="VENDA INTERNA RR"/>
    <s v="1. TOTAL - VENDA INTERNA RR"/>
    <n v="0"/>
    <n v="0"/>
    <n v="0"/>
    <n v="1000"/>
    <n v="1000"/>
    <n v="1000"/>
    <n v="1000"/>
    <n v="1100"/>
    <n v="1100"/>
    <n v="1100"/>
    <n v="1100"/>
    <n v="1100"/>
    <n v="9500"/>
    <n v="9500"/>
    <n v="0"/>
    <s v=""/>
    <n v="0"/>
    <n v="0"/>
    <n v="0"/>
    <s v=""/>
    <m/>
    <m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RR"/>
    <n v="1348"/>
    <s v="VENDA INTERNA RR"/>
    <s v="BISCOITO"/>
    <n v="0"/>
    <n v="0"/>
    <n v="0"/>
    <n v="50"/>
    <n v="50"/>
    <n v="50"/>
    <n v="50"/>
    <n v="55"/>
    <n v="55"/>
    <n v="55"/>
    <n v="55"/>
    <n v="55"/>
    <n v="475"/>
    <n v="475"/>
    <n v="0"/>
    <s v=""/>
    <n v="0"/>
    <n v="0"/>
    <n v="0"/>
    <s v=""/>
    <s v="Novos "/>
    <n v="0.2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RR"/>
    <n v="1348"/>
    <s v="VENDA INTERNA RR"/>
    <s v="CHOCOLATES"/>
    <n v="0"/>
    <n v="0"/>
    <n v="0"/>
    <n v="50"/>
    <n v="50"/>
    <n v="50"/>
    <n v="50"/>
    <n v="55"/>
    <n v="55"/>
    <n v="55"/>
    <n v="55"/>
    <n v="55"/>
    <n v="475"/>
    <n v="475"/>
    <n v="0"/>
    <s v=""/>
    <n v="0"/>
    <n v="0"/>
    <n v="0"/>
    <s v=""/>
    <s v="Novos "/>
    <n v="0.2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RR"/>
    <n v="1348"/>
    <s v="VENDA INTERNA RR"/>
    <s v="DISNEY"/>
    <n v="0"/>
    <n v="0"/>
    <n v="0"/>
    <n v="80"/>
    <n v="80"/>
    <n v="80"/>
    <n v="80"/>
    <n v="88"/>
    <n v="88"/>
    <n v="88"/>
    <n v="88"/>
    <n v="88"/>
    <n v="760"/>
    <n v="760"/>
    <n v="0"/>
    <s v=""/>
    <n v="0"/>
    <n v="0"/>
    <n v="0"/>
    <s v=""/>
    <s v="Novos "/>
    <n v="0.1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RR"/>
    <n v="1348"/>
    <s v="VENDA INTERNA RR"/>
    <s v="DOCES"/>
    <n v="0"/>
    <n v="0"/>
    <n v="0"/>
    <n v="100"/>
    <n v="100"/>
    <n v="100"/>
    <n v="100"/>
    <n v="110"/>
    <n v="110"/>
    <n v="110"/>
    <n v="110"/>
    <n v="110"/>
    <n v="950"/>
    <n v="95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RR"/>
    <n v="1348"/>
    <s v="VENDA INTERNA RR"/>
    <s v="GELEIA"/>
    <n v="0"/>
    <n v="0"/>
    <n v="0"/>
    <n v="19.999999999999996"/>
    <n v="19.999999999999996"/>
    <n v="19.999999999999996"/>
    <n v="19.999999999999996"/>
    <n v="21.999999999999996"/>
    <n v="21.999999999999996"/>
    <n v="21.999999999999996"/>
    <n v="21.999999999999996"/>
    <n v="21.999999999999996"/>
    <n v="189.99999999999997"/>
    <n v="189.99999999999997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RR"/>
    <n v="1348"/>
    <s v="VENDA INTERNA RR"/>
    <s v="GRANOLA"/>
    <n v="0"/>
    <n v="0"/>
    <n v="0"/>
    <n v="20"/>
    <n v="20"/>
    <n v="20"/>
    <n v="20"/>
    <n v="22"/>
    <n v="22"/>
    <n v="22"/>
    <n v="22"/>
    <n v="22"/>
    <n v="190"/>
    <n v="19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RR"/>
    <n v="1348"/>
    <s v="VENDA INTERNA RR"/>
    <s v="KIDS"/>
    <n v="0"/>
    <n v="0"/>
    <n v="0"/>
    <n v="20"/>
    <n v="20"/>
    <n v="20"/>
    <n v="20"/>
    <n v="22"/>
    <n v="22"/>
    <n v="22"/>
    <n v="22"/>
    <n v="22"/>
    <n v="190"/>
    <n v="19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RR"/>
    <n v="1348"/>
    <s v="VENDA INTERNA RR"/>
    <s v="LANCHES"/>
    <n v="0"/>
    <n v="0"/>
    <n v="0"/>
    <n v="30"/>
    <n v="30"/>
    <n v="30"/>
    <n v="30"/>
    <n v="33"/>
    <n v="33"/>
    <n v="33"/>
    <n v="33"/>
    <n v="33"/>
    <n v="285"/>
    <n v="285"/>
    <n v="0"/>
    <s v=""/>
    <n v="0"/>
    <n v="0"/>
    <n v="0"/>
    <s v=""/>
    <s v="Novos "/>
    <n v="0.1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RR"/>
    <n v="1348"/>
    <s v="VENDA INTERNA RR"/>
    <s v="MAIS GRANEL"/>
    <n v="0"/>
    <n v="0"/>
    <n v="0"/>
    <n v="250"/>
    <n v="250"/>
    <n v="250"/>
    <n v="250"/>
    <n v="275"/>
    <n v="275"/>
    <n v="275"/>
    <n v="275"/>
    <n v="275"/>
    <n v="2375"/>
    <n v="2375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RR"/>
    <n v="1348"/>
    <s v="VENDA INTERNA RR"/>
    <s v="NATURATTA"/>
    <n v="0"/>
    <n v="0"/>
    <n v="0"/>
    <n v="50"/>
    <n v="50"/>
    <n v="50"/>
    <n v="50"/>
    <n v="55"/>
    <n v="55"/>
    <n v="55"/>
    <n v="55"/>
    <n v="55"/>
    <n v="475"/>
    <n v="475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RR"/>
    <n v="1348"/>
    <s v="VENDA INTERNA RR"/>
    <s v="REEMBALADOS"/>
    <n v="0"/>
    <n v="0"/>
    <n v="0"/>
    <n v="50"/>
    <n v="50"/>
    <n v="50"/>
    <n v="50"/>
    <n v="55"/>
    <n v="55"/>
    <n v="55"/>
    <n v="55"/>
    <n v="55"/>
    <n v="475"/>
    <n v="475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RR"/>
    <n v="1348"/>
    <s v="VENDA INTERNA RR"/>
    <s v="S GLUTEN"/>
    <n v="0"/>
    <n v="0"/>
    <n v="0"/>
    <n v="50"/>
    <n v="50"/>
    <n v="50"/>
    <n v="50"/>
    <n v="55"/>
    <n v="55"/>
    <n v="55"/>
    <n v="55"/>
    <n v="55"/>
    <n v="475"/>
    <n v="475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RR"/>
    <n v="1348"/>
    <s v="VENDA INTERNA RR"/>
    <s v="SABORES DO CAMPO"/>
    <n v="0"/>
    <n v="0"/>
    <n v="0"/>
    <n v="0"/>
    <n v="0"/>
    <n v="0"/>
    <n v="0"/>
    <n v="0"/>
    <n v="0"/>
    <n v="0"/>
    <n v="0"/>
    <n v="0"/>
    <n v="0"/>
    <n v="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RR"/>
    <n v="1348"/>
    <s v="VENDA INTERNA RR"/>
    <s v="SAL"/>
    <n v="0"/>
    <n v="0"/>
    <n v="0"/>
    <n v="70"/>
    <n v="70"/>
    <n v="70"/>
    <n v="70"/>
    <n v="77.000000000000014"/>
    <n v="77.000000000000014"/>
    <n v="77.000000000000014"/>
    <n v="77.000000000000014"/>
    <n v="77.000000000000014"/>
    <n v="665"/>
    <n v="665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RR"/>
    <n v="1348"/>
    <s v="VENDA INTERNA RR"/>
    <s v="SOULPRO"/>
    <n v="0"/>
    <n v="0"/>
    <n v="0"/>
    <n v="49.999999999999993"/>
    <n v="49.999999999999993"/>
    <n v="49.999999999999993"/>
    <n v="49.999999999999993"/>
    <n v="54.999999999999993"/>
    <n v="54.999999999999993"/>
    <n v="54.999999999999993"/>
    <n v="54.999999999999993"/>
    <n v="54.999999999999993"/>
    <n v="474.99999999999994"/>
    <n v="474.99999999999994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RR"/>
    <n v="1348"/>
    <s v="VENDA INTERNA RR"/>
    <s v="TAMARA"/>
    <n v="0"/>
    <n v="0"/>
    <n v="0"/>
    <n v="80"/>
    <n v="80"/>
    <n v="80"/>
    <n v="80"/>
    <n v="88"/>
    <n v="88"/>
    <n v="88"/>
    <n v="88"/>
    <n v="88"/>
    <n v="760"/>
    <n v="760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RR"/>
    <n v="1348"/>
    <s v="VENDA INTERNA RR"/>
    <s v="VICCIO"/>
    <n v="0"/>
    <n v="0"/>
    <n v="0"/>
    <n v="30"/>
    <n v="30"/>
    <n v="30"/>
    <n v="30"/>
    <n v="33"/>
    <n v="33"/>
    <n v="33"/>
    <n v="33"/>
    <n v="33"/>
    <n v="285"/>
    <n v="285"/>
    <n v="0"/>
    <s v=""/>
    <n v="0"/>
    <n v="0"/>
    <n v="0"/>
    <s v=""/>
    <s v="Novos "/>
    <n v="0.2"/>
    <m/>
  </r>
  <r>
    <x v="0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n v="1"/>
    <s v="PA"/>
    <n v="1349"/>
    <s v="VENDA INTERNA PA"/>
    <s v="1. TOTAL - VENDA INTERNA PA"/>
    <n v="0"/>
    <n v="0"/>
    <n v="0"/>
    <n v="3000"/>
    <n v="3000"/>
    <n v="4000"/>
    <n v="5000"/>
    <n v="5500"/>
    <n v="6600"/>
    <n v="7700"/>
    <n v="8800"/>
    <n v="5500"/>
    <n v="49100"/>
    <n v="49100"/>
    <n v="0"/>
    <s v=""/>
    <n v="0"/>
    <n v="0"/>
    <n v="0"/>
    <s v=""/>
    <m/>
    <m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A"/>
    <n v="1349"/>
    <s v="VENDA INTERNA PA"/>
    <s v="BISCOITO"/>
    <n v="0"/>
    <n v="0"/>
    <n v="0"/>
    <n v="150"/>
    <n v="150"/>
    <n v="200"/>
    <n v="250"/>
    <n v="275"/>
    <n v="330"/>
    <n v="385"/>
    <n v="440"/>
    <n v="275"/>
    <n v="2455"/>
    <n v="2455"/>
    <n v="0"/>
    <s v=""/>
    <n v="0"/>
    <n v="0"/>
    <n v="0"/>
    <s v=""/>
    <s v="Novos "/>
    <n v="0.2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A"/>
    <n v="1349"/>
    <s v="VENDA INTERNA PA"/>
    <s v="CHOCOLATES"/>
    <n v="0"/>
    <n v="0"/>
    <n v="0"/>
    <n v="150"/>
    <n v="150"/>
    <n v="200"/>
    <n v="250"/>
    <n v="275"/>
    <n v="330"/>
    <n v="385"/>
    <n v="440"/>
    <n v="275"/>
    <n v="2455"/>
    <n v="2455"/>
    <n v="0"/>
    <s v=""/>
    <n v="0"/>
    <n v="0"/>
    <n v="0"/>
    <s v=""/>
    <s v="Novos "/>
    <n v="0.2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A"/>
    <n v="1349"/>
    <s v="VENDA INTERNA PA"/>
    <s v="DISNEY"/>
    <n v="0"/>
    <n v="0"/>
    <n v="0"/>
    <n v="240"/>
    <n v="240"/>
    <n v="320"/>
    <n v="400"/>
    <n v="440"/>
    <n v="528"/>
    <n v="616"/>
    <n v="704"/>
    <n v="440"/>
    <n v="3928"/>
    <n v="3928"/>
    <n v="0"/>
    <s v=""/>
    <n v="0"/>
    <n v="0"/>
    <n v="0"/>
    <s v=""/>
    <s v="Novos "/>
    <n v="0.1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A"/>
    <n v="1349"/>
    <s v="VENDA INTERNA PA"/>
    <s v="DOCES"/>
    <n v="0"/>
    <n v="0"/>
    <n v="0"/>
    <n v="300"/>
    <n v="300"/>
    <n v="400"/>
    <n v="500"/>
    <n v="550"/>
    <n v="660"/>
    <n v="770"/>
    <n v="880"/>
    <n v="550"/>
    <n v="4910"/>
    <n v="491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A"/>
    <n v="1349"/>
    <s v="VENDA INTERNA PA"/>
    <s v="GELEIA"/>
    <n v="0"/>
    <n v="0"/>
    <n v="0"/>
    <n v="59.999999999999993"/>
    <n v="59.999999999999993"/>
    <n v="79.999999999999986"/>
    <n v="99.999999999999986"/>
    <n v="109.99999999999999"/>
    <n v="131.99999999999997"/>
    <n v="153.99999999999997"/>
    <n v="175.99999999999997"/>
    <n v="109.99999999999999"/>
    <n v="981.99999999999989"/>
    <n v="981.99999999999989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A"/>
    <n v="1349"/>
    <s v="VENDA INTERNA PA"/>
    <s v="GRANOLA"/>
    <n v="0"/>
    <n v="0"/>
    <n v="0"/>
    <n v="60"/>
    <n v="60"/>
    <n v="80"/>
    <n v="100"/>
    <n v="110"/>
    <n v="132"/>
    <n v="154"/>
    <n v="176"/>
    <n v="110"/>
    <n v="982"/>
    <n v="982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A"/>
    <n v="1349"/>
    <s v="VENDA INTERNA PA"/>
    <s v="KIDS"/>
    <n v="0"/>
    <n v="0"/>
    <n v="0"/>
    <n v="60"/>
    <n v="60"/>
    <n v="80"/>
    <n v="100"/>
    <n v="110"/>
    <n v="132"/>
    <n v="154"/>
    <n v="176"/>
    <n v="110"/>
    <n v="982"/>
    <n v="982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A"/>
    <n v="1349"/>
    <s v="VENDA INTERNA PA"/>
    <s v="LANCHES"/>
    <n v="0"/>
    <n v="0"/>
    <n v="0"/>
    <n v="90"/>
    <n v="90"/>
    <n v="120"/>
    <n v="150"/>
    <n v="165"/>
    <n v="198"/>
    <n v="231"/>
    <n v="264"/>
    <n v="165"/>
    <n v="1473"/>
    <n v="1473"/>
    <n v="0"/>
    <s v=""/>
    <n v="0"/>
    <n v="0"/>
    <n v="0"/>
    <s v=""/>
    <s v="Novos "/>
    <n v="0.1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A"/>
    <n v="1349"/>
    <s v="VENDA INTERNA PA"/>
    <s v="MAIS GRANEL"/>
    <n v="0"/>
    <n v="0"/>
    <n v="0"/>
    <n v="750"/>
    <n v="750"/>
    <n v="1000"/>
    <n v="1250"/>
    <n v="1375"/>
    <n v="1650"/>
    <n v="1925"/>
    <n v="2200"/>
    <n v="1375"/>
    <n v="12275"/>
    <n v="12275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A"/>
    <n v="1349"/>
    <s v="VENDA INTERNA PA"/>
    <s v="NATURATTA"/>
    <n v="0"/>
    <n v="0"/>
    <n v="0"/>
    <n v="150"/>
    <n v="150"/>
    <n v="200"/>
    <n v="250"/>
    <n v="275"/>
    <n v="330"/>
    <n v="385"/>
    <n v="440"/>
    <n v="275"/>
    <n v="2455"/>
    <n v="2455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A"/>
    <n v="1349"/>
    <s v="VENDA INTERNA PA"/>
    <s v="REEMBALADOS"/>
    <n v="0"/>
    <n v="0"/>
    <n v="0"/>
    <n v="150"/>
    <n v="150"/>
    <n v="200"/>
    <n v="250"/>
    <n v="275"/>
    <n v="330"/>
    <n v="385"/>
    <n v="440"/>
    <n v="275"/>
    <n v="2455"/>
    <n v="2455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A"/>
    <n v="1349"/>
    <s v="VENDA INTERNA PA"/>
    <s v="S GLUTEN"/>
    <n v="0"/>
    <n v="0"/>
    <n v="0"/>
    <n v="150"/>
    <n v="150"/>
    <n v="200"/>
    <n v="250"/>
    <n v="275"/>
    <n v="330"/>
    <n v="385"/>
    <n v="440"/>
    <n v="275"/>
    <n v="2455"/>
    <n v="2455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A"/>
    <n v="1349"/>
    <s v="VENDA INTERNA PA"/>
    <s v="SABORES DO CAMPO"/>
    <n v="0"/>
    <n v="0"/>
    <n v="0"/>
    <n v="0"/>
    <n v="0"/>
    <n v="0"/>
    <n v="0"/>
    <n v="0"/>
    <n v="0"/>
    <n v="0"/>
    <n v="0"/>
    <n v="0"/>
    <n v="0"/>
    <n v="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A"/>
    <n v="1349"/>
    <s v="VENDA INTERNA PA"/>
    <s v="SAL"/>
    <n v="0"/>
    <n v="0"/>
    <n v="0"/>
    <n v="210.00000000000003"/>
    <n v="210.00000000000003"/>
    <n v="280"/>
    <n v="350.00000000000006"/>
    <n v="385.00000000000006"/>
    <n v="462.00000000000006"/>
    <n v="539"/>
    <n v="616.00000000000011"/>
    <n v="385.00000000000006"/>
    <n v="3437"/>
    <n v="3437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A"/>
    <n v="1349"/>
    <s v="VENDA INTERNA PA"/>
    <s v="SOULPRO"/>
    <n v="0"/>
    <n v="0"/>
    <n v="0"/>
    <n v="150"/>
    <n v="150"/>
    <n v="199.99999999999997"/>
    <n v="249.99999999999997"/>
    <n v="275"/>
    <n v="330"/>
    <n v="384.99999999999994"/>
    <n v="439.99999999999994"/>
    <n v="275"/>
    <n v="2455"/>
    <n v="2455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A"/>
    <n v="1349"/>
    <s v="VENDA INTERNA PA"/>
    <s v="TAMARA"/>
    <n v="0"/>
    <n v="0"/>
    <n v="0"/>
    <n v="240"/>
    <n v="240"/>
    <n v="320"/>
    <n v="400"/>
    <n v="440"/>
    <n v="528"/>
    <n v="616"/>
    <n v="704"/>
    <n v="440"/>
    <n v="3928"/>
    <n v="3928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A"/>
    <n v="1349"/>
    <s v="VENDA INTERNA PA"/>
    <s v="VICCIO"/>
    <n v="0"/>
    <n v="0"/>
    <n v="0"/>
    <n v="90"/>
    <n v="90"/>
    <n v="120"/>
    <n v="150"/>
    <n v="165"/>
    <n v="198"/>
    <n v="231"/>
    <n v="264"/>
    <n v="165"/>
    <n v="1473"/>
    <n v="1473"/>
    <n v="0"/>
    <s v=""/>
    <n v="0"/>
    <n v="0"/>
    <n v="0"/>
    <s v=""/>
    <s v="Novos "/>
    <n v="0.2"/>
    <m/>
  </r>
  <r>
    <x v="0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n v="1"/>
    <s v="AM"/>
    <n v="1351"/>
    <s v="VENDA INTERNA AM"/>
    <s v="1. TOTAL - VENDA INTERNA AM"/>
    <n v="0"/>
    <n v="0"/>
    <n v="0"/>
    <n v="1000"/>
    <n v="1000"/>
    <n v="1000"/>
    <n v="1000"/>
    <n v="1100"/>
    <n v="2200"/>
    <n v="2200"/>
    <n v="2200"/>
    <n v="1100"/>
    <n v="12800"/>
    <n v="12800"/>
    <n v="0"/>
    <s v=""/>
    <n v="0"/>
    <n v="0"/>
    <n v="0"/>
    <s v=""/>
    <m/>
    <m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M"/>
    <n v="1351"/>
    <s v="VENDA INTERNA AM"/>
    <s v="BISCOITO"/>
    <n v="0"/>
    <n v="0"/>
    <n v="0"/>
    <n v="50"/>
    <n v="50"/>
    <n v="50"/>
    <n v="50"/>
    <n v="55"/>
    <n v="110"/>
    <n v="110"/>
    <n v="110"/>
    <n v="55"/>
    <n v="640"/>
    <n v="640"/>
    <n v="0"/>
    <s v=""/>
    <n v="0"/>
    <n v="0"/>
    <n v="0"/>
    <s v=""/>
    <s v="Novos "/>
    <n v="0.2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M"/>
    <n v="1351"/>
    <s v="VENDA INTERNA AM"/>
    <s v="CHOCOLATES"/>
    <n v="0"/>
    <n v="0"/>
    <n v="0"/>
    <n v="50"/>
    <n v="50"/>
    <n v="50"/>
    <n v="50"/>
    <n v="55"/>
    <n v="110"/>
    <n v="110"/>
    <n v="110"/>
    <n v="55"/>
    <n v="640"/>
    <n v="640"/>
    <n v="0"/>
    <s v=""/>
    <n v="0"/>
    <n v="0"/>
    <n v="0"/>
    <s v=""/>
    <s v="Novos "/>
    <n v="0.2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M"/>
    <n v="1351"/>
    <s v="VENDA INTERNA AM"/>
    <s v="DISNEY"/>
    <n v="0"/>
    <n v="0"/>
    <n v="0"/>
    <n v="80"/>
    <n v="80"/>
    <n v="80"/>
    <n v="80"/>
    <n v="88"/>
    <n v="176"/>
    <n v="176"/>
    <n v="176"/>
    <n v="88"/>
    <n v="1024"/>
    <n v="1024"/>
    <n v="0"/>
    <s v=""/>
    <n v="0"/>
    <n v="0"/>
    <n v="0"/>
    <s v=""/>
    <s v="Novos "/>
    <n v="0.1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M"/>
    <n v="1351"/>
    <s v="VENDA INTERNA AM"/>
    <s v="DOCES"/>
    <n v="0"/>
    <n v="0"/>
    <n v="0"/>
    <n v="100"/>
    <n v="100"/>
    <n v="100"/>
    <n v="100"/>
    <n v="110"/>
    <n v="220"/>
    <n v="220"/>
    <n v="220"/>
    <n v="110"/>
    <n v="1280"/>
    <n v="128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M"/>
    <n v="1351"/>
    <s v="VENDA INTERNA AM"/>
    <s v="GELEIA"/>
    <n v="0"/>
    <n v="0"/>
    <n v="0"/>
    <n v="19.999999999999996"/>
    <n v="19.999999999999996"/>
    <n v="19.999999999999996"/>
    <n v="19.999999999999996"/>
    <n v="21.999999999999996"/>
    <n v="43.999999999999993"/>
    <n v="43.999999999999993"/>
    <n v="43.999999999999993"/>
    <n v="21.999999999999996"/>
    <n v="255.99999999999997"/>
    <n v="255.99999999999997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M"/>
    <n v="1351"/>
    <s v="VENDA INTERNA AM"/>
    <s v="GRANOLA"/>
    <n v="0"/>
    <n v="0"/>
    <n v="0"/>
    <n v="20"/>
    <n v="20"/>
    <n v="20"/>
    <n v="20"/>
    <n v="22"/>
    <n v="44"/>
    <n v="44"/>
    <n v="44"/>
    <n v="22"/>
    <n v="256"/>
    <n v="256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M"/>
    <n v="1351"/>
    <s v="VENDA INTERNA AM"/>
    <s v="KIDS"/>
    <n v="0"/>
    <n v="0"/>
    <n v="0"/>
    <n v="20"/>
    <n v="20"/>
    <n v="20"/>
    <n v="20"/>
    <n v="22"/>
    <n v="44"/>
    <n v="44"/>
    <n v="44"/>
    <n v="22"/>
    <n v="256"/>
    <n v="256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M"/>
    <n v="1351"/>
    <s v="VENDA INTERNA AM"/>
    <s v="LANCHES"/>
    <n v="0"/>
    <n v="0"/>
    <n v="0"/>
    <n v="30"/>
    <n v="30"/>
    <n v="30"/>
    <n v="30"/>
    <n v="33"/>
    <n v="66"/>
    <n v="66"/>
    <n v="66"/>
    <n v="33"/>
    <n v="384"/>
    <n v="384"/>
    <n v="0"/>
    <s v=""/>
    <n v="0"/>
    <n v="0"/>
    <n v="0"/>
    <s v=""/>
    <s v="Novos "/>
    <n v="0.1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M"/>
    <n v="1351"/>
    <s v="VENDA INTERNA AM"/>
    <s v="MAIS GRANEL"/>
    <n v="0"/>
    <n v="0"/>
    <n v="0"/>
    <n v="250"/>
    <n v="250"/>
    <n v="250"/>
    <n v="250"/>
    <n v="275"/>
    <n v="550"/>
    <n v="550"/>
    <n v="550"/>
    <n v="275"/>
    <n v="3200"/>
    <n v="320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M"/>
    <n v="1351"/>
    <s v="VENDA INTERNA AM"/>
    <s v="NATURATTA"/>
    <n v="0"/>
    <n v="0"/>
    <n v="0"/>
    <n v="50"/>
    <n v="50"/>
    <n v="50"/>
    <n v="50"/>
    <n v="55"/>
    <n v="110"/>
    <n v="110"/>
    <n v="110"/>
    <n v="55"/>
    <n v="640"/>
    <n v="640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M"/>
    <n v="1351"/>
    <s v="VENDA INTERNA AM"/>
    <s v="REEMBALADOS"/>
    <n v="0"/>
    <n v="0"/>
    <n v="0"/>
    <n v="50"/>
    <n v="50"/>
    <n v="50"/>
    <n v="50"/>
    <n v="55"/>
    <n v="110"/>
    <n v="110"/>
    <n v="110"/>
    <n v="55"/>
    <n v="640"/>
    <n v="64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M"/>
    <n v="1351"/>
    <s v="VENDA INTERNA AM"/>
    <s v="S GLUTEN"/>
    <n v="0"/>
    <n v="0"/>
    <n v="0"/>
    <n v="50"/>
    <n v="50"/>
    <n v="50"/>
    <n v="50"/>
    <n v="55"/>
    <n v="110"/>
    <n v="110"/>
    <n v="110"/>
    <n v="55"/>
    <n v="640"/>
    <n v="64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M"/>
    <n v="1351"/>
    <s v="VENDA INTERNA AM"/>
    <s v="SABORES DO CAMPO"/>
    <n v="0"/>
    <n v="0"/>
    <n v="0"/>
    <n v="0"/>
    <n v="0"/>
    <n v="0"/>
    <n v="0"/>
    <n v="0"/>
    <n v="0"/>
    <n v="0"/>
    <n v="0"/>
    <n v="0"/>
    <n v="0"/>
    <n v="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M"/>
    <n v="1351"/>
    <s v="VENDA INTERNA AM"/>
    <s v="SAL"/>
    <n v="0"/>
    <n v="0"/>
    <n v="0"/>
    <n v="70"/>
    <n v="70"/>
    <n v="70"/>
    <n v="70"/>
    <n v="77.000000000000014"/>
    <n v="154.00000000000003"/>
    <n v="154.00000000000003"/>
    <n v="154.00000000000003"/>
    <n v="77.000000000000014"/>
    <n v="896"/>
    <n v="896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M"/>
    <n v="1351"/>
    <s v="VENDA INTERNA AM"/>
    <s v="SOULPRO"/>
    <n v="0"/>
    <n v="0"/>
    <n v="0"/>
    <n v="49.999999999999993"/>
    <n v="49.999999999999993"/>
    <n v="49.999999999999993"/>
    <n v="49.999999999999993"/>
    <n v="54.999999999999993"/>
    <n v="109.99999999999999"/>
    <n v="109.99999999999999"/>
    <n v="109.99999999999999"/>
    <n v="54.999999999999993"/>
    <n v="639.99999999999989"/>
    <n v="639.99999999999989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M"/>
    <n v="1351"/>
    <s v="VENDA INTERNA AM"/>
    <s v="TAMARA"/>
    <n v="0"/>
    <n v="0"/>
    <n v="0"/>
    <n v="80"/>
    <n v="80"/>
    <n v="80"/>
    <n v="80"/>
    <n v="88"/>
    <n v="176"/>
    <n v="176"/>
    <n v="176"/>
    <n v="88"/>
    <n v="1024"/>
    <n v="1024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M"/>
    <n v="1351"/>
    <s v="VENDA INTERNA AM"/>
    <s v="VICCIO"/>
    <n v="0"/>
    <n v="0"/>
    <n v="0"/>
    <n v="30"/>
    <n v="30"/>
    <n v="30"/>
    <n v="30"/>
    <n v="33"/>
    <n v="66"/>
    <n v="66"/>
    <n v="66"/>
    <n v="33"/>
    <n v="384"/>
    <n v="384"/>
    <n v="0"/>
    <s v=""/>
    <n v="0"/>
    <n v="0"/>
    <n v="0"/>
    <s v=""/>
    <s v="Novos "/>
    <n v="0.2"/>
    <m/>
  </r>
  <r>
    <x v="0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n v="1"/>
    <s v="DF"/>
    <n v="1352"/>
    <s v="VENDA INTERNA DF"/>
    <s v="1. TOTAL - VENDA INTERNA DF"/>
    <n v="0"/>
    <n v="0"/>
    <n v="0"/>
    <n v="1000"/>
    <n v="1000"/>
    <n v="2000"/>
    <n v="2000"/>
    <n v="2200"/>
    <n v="3300"/>
    <n v="3300"/>
    <n v="3300"/>
    <n v="2200"/>
    <n v="20300"/>
    <n v="20300"/>
    <n v="0"/>
    <s v=""/>
    <n v="0"/>
    <n v="0"/>
    <n v="0"/>
    <s v=""/>
    <m/>
    <m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DF"/>
    <n v="1352"/>
    <s v="VENDA INTERNA DF"/>
    <s v="BISCOITO"/>
    <n v="0"/>
    <n v="0"/>
    <n v="0"/>
    <n v="50"/>
    <n v="50"/>
    <n v="100"/>
    <n v="100"/>
    <n v="110"/>
    <n v="165"/>
    <n v="165"/>
    <n v="165"/>
    <n v="110"/>
    <n v="1015"/>
    <n v="1015"/>
    <n v="0"/>
    <s v=""/>
    <n v="0"/>
    <n v="0"/>
    <n v="0"/>
    <s v=""/>
    <s v="Novos "/>
    <n v="0.2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DF"/>
    <n v="1352"/>
    <s v="VENDA INTERNA DF"/>
    <s v="CHOCOLATES"/>
    <n v="0"/>
    <n v="0"/>
    <n v="0"/>
    <n v="50"/>
    <n v="50"/>
    <n v="100"/>
    <n v="100"/>
    <n v="110"/>
    <n v="165"/>
    <n v="165"/>
    <n v="165"/>
    <n v="110"/>
    <n v="1015"/>
    <n v="1015"/>
    <n v="0"/>
    <s v=""/>
    <n v="0"/>
    <n v="0"/>
    <n v="0"/>
    <s v=""/>
    <s v="Novos "/>
    <n v="0.2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DF"/>
    <n v="1352"/>
    <s v="VENDA INTERNA DF"/>
    <s v="DISNEY"/>
    <n v="0"/>
    <n v="0"/>
    <n v="0"/>
    <n v="80"/>
    <n v="80"/>
    <n v="160"/>
    <n v="160"/>
    <n v="176"/>
    <n v="264"/>
    <n v="264"/>
    <n v="264"/>
    <n v="176"/>
    <n v="1624"/>
    <n v="1624"/>
    <n v="0"/>
    <s v=""/>
    <n v="0"/>
    <n v="0"/>
    <n v="0"/>
    <s v=""/>
    <s v="Novos "/>
    <n v="0.1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DF"/>
    <n v="1352"/>
    <s v="VENDA INTERNA DF"/>
    <s v="DOCES"/>
    <n v="0"/>
    <n v="0"/>
    <n v="0"/>
    <n v="100"/>
    <n v="100"/>
    <n v="200"/>
    <n v="200"/>
    <n v="220"/>
    <n v="330"/>
    <n v="330"/>
    <n v="330"/>
    <n v="220"/>
    <n v="2030"/>
    <n v="203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DF"/>
    <n v="1352"/>
    <s v="VENDA INTERNA DF"/>
    <s v="GELEIA"/>
    <n v="0"/>
    <n v="0"/>
    <n v="0"/>
    <n v="19.999999999999996"/>
    <n v="19.999999999999996"/>
    <n v="39.999999999999993"/>
    <n v="39.999999999999993"/>
    <n v="43.999999999999993"/>
    <n v="65.999999999999986"/>
    <n v="65.999999999999986"/>
    <n v="65.999999999999986"/>
    <n v="43.999999999999993"/>
    <n v="405.99999999999994"/>
    <n v="405.99999999999994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DF"/>
    <n v="1352"/>
    <s v="VENDA INTERNA DF"/>
    <s v="GRANOLA"/>
    <n v="0"/>
    <n v="0"/>
    <n v="0"/>
    <n v="20"/>
    <n v="20"/>
    <n v="40"/>
    <n v="40"/>
    <n v="44"/>
    <n v="66"/>
    <n v="66"/>
    <n v="66"/>
    <n v="44"/>
    <n v="406"/>
    <n v="406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DF"/>
    <n v="1352"/>
    <s v="VENDA INTERNA DF"/>
    <s v="KIDS"/>
    <n v="0"/>
    <n v="0"/>
    <n v="0"/>
    <n v="20"/>
    <n v="20"/>
    <n v="40"/>
    <n v="40"/>
    <n v="44"/>
    <n v="66"/>
    <n v="66"/>
    <n v="66"/>
    <n v="44"/>
    <n v="406"/>
    <n v="406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DF"/>
    <n v="1352"/>
    <s v="VENDA INTERNA DF"/>
    <s v="LANCHES"/>
    <n v="0"/>
    <n v="0"/>
    <n v="0"/>
    <n v="30"/>
    <n v="30"/>
    <n v="60"/>
    <n v="60"/>
    <n v="66"/>
    <n v="99"/>
    <n v="99"/>
    <n v="99"/>
    <n v="66"/>
    <n v="609"/>
    <n v="609"/>
    <n v="0"/>
    <s v=""/>
    <n v="0"/>
    <n v="0"/>
    <n v="0"/>
    <s v=""/>
    <s v="Novos "/>
    <n v="0.1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DF"/>
    <n v="1352"/>
    <s v="VENDA INTERNA DF"/>
    <s v="MAIS GRANEL"/>
    <n v="0"/>
    <n v="0"/>
    <n v="0"/>
    <n v="250"/>
    <n v="250"/>
    <n v="500"/>
    <n v="500"/>
    <n v="550"/>
    <n v="825"/>
    <n v="825"/>
    <n v="825"/>
    <n v="550"/>
    <n v="5075"/>
    <n v="5075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DF"/>
    <n v="1352"/>
    <s v="VENDA INTERNA DF"/>
    <s v="NATURATTA"/>
    <n v="0"/>
    <n v="0"/>
    <n v="0"/>
    <n v="50"/>
    <n v="50"/>
    <n v="100"/>
    <n v="100"/>
    <n v="110"/>
    <n v="165"/>
    <n v="165"/>
    <n v="165"/>
    <n v="110"/>
    <n v="1015"/>
    <n v="1015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DF"/>
    <n v="1352"/>
    <s v="VENDA INTERNA DF"/>
    <s v="REEMBALADOS"/>
    <n v="0"/>
    <n v="0"/>
    <n v="0"/>
    <n v="50"/>
    <n v="50"/>
    <n v="100"/>
    <n v="100"/>
    <n v="110"/>
    <n v="165"/>
    <n v="165"/>
    <n v="165"/>
    <n v="110"/>
    <n v="1015"/>
    <n v="1015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DF"/>
    <n v="1352"/>
    <s v="VENDA INTERNA DF"/>
    <s v="S GLUTEN"/>
    <n v="0"/>
    <n v="0"/>
    <n v="0"/>
    <n v="50"/>
    <n v="50"/>
    <n v="100"/>
    <n v="100"/>
    <n v="110"/>
    <n v="165"/>
    <n v="165"/>
    <n v="165"/>
    <n v="110"/>
    <n v="1015"/>
    <n v="1015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DF"/>
    <n v="1352"/>
    <s v="VENDA INTERNA DF"/>
    <s v="SABORES DO CAMPO"/>
    <n v="0"/>
    <n v="0"/>
    <n v="0"/>
    <n v="0"/>
    <n v="0"/>
    <n v="0"/>
    <n v="0"/>
    <n v="0"/>
    <n v="0"/>
    <n v="0"/>
    <n v="0"/>
    <n v="0"/>
    <n v="0"/>
    <n v="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DF"/>
    <n v="1352"/>
    <s v="VENDA INTERNA DF"/>
    <s v="SAL"/>
    <n v="0"/>
    <n v="0"/>
    <n v="0"/>
    <n v="70"/>
    <n v="70"/>
    <n v="140"/>
    <n v="140"/>
    <n v="154.00000000000003"/>
    <n v="231.00000000000003"/>
    <n v="231.00000000000003"/>
    <n v="231.00000000000003"/>
    <n v="154.00000000000003"/>
    <n v="1421"/>
    <n v="1421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DF"/>
    <n v="1352"/>
    <s v="VENDA INTERNA DF"/>
    <s v="SOULPRO"/>
    <n v="0"/>
    <n v="0"/>
    <n v="0"/>
    <n v="49.999999999999993"/>
    <n v="49.999999999999993"/>
    <n v="99.999999999999986"/>
    <n v="99.999999999999986"/>
    <n v="109.99999999999999"/>
    <n v="165"/>
    <n v="165"/>
    <n v="165"/>
    <n v="109.99999999999999"/>
    <n v="1015"/>
    <n v="1015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DF"/>
    <n v="1352"/>
    <s v="VENDA INTERNA DF"/>
    <s v="TAMARA"/>
    <n v="0"/>
    <n v="0"/>
    <n v="0"/>
    <n v="80"/>
    <n v="80"/>
    <n v="160"/>
    <n v="160"/>
    <n v="176"/>
    <n v="264"/>
    <n v="264"/>
    <n v="264"/>
    <n v="176"/>
    <n v="1624"/>
    <n v="1624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DF"/>
    <n v="1352"/>
    <s v="VENDA INTERNA DF"/>
    <s v="VICCIO"/>
    <n v="0"/>
    <n v="0"/>
    <n v="0"/>
    <n v="30"/>
    <n v="30"/>
    <n v="60"/>
    <n v="60"/>
    <n v="66"/>
    <n v="99"/>
    <n v="99"/>
    <n v="99"/>
    <n v="66"/>
    <n v="609"/>
    <n v="609"/>
    <n v="0"/>
    <s v=""/>
    <n v="0"/>
    <n v="0"/>
    <n v="0"/>
    <s v=""/>
    <s v="Novos "/>
    <n v="0.2"/>
    <m/>
  </r>
  <r>
    <x v="0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n v="1"/>
    <s v="MS"/>
    <n v="1353"/>
    <s v="VENDA INTERNA MS"/>
    <s v="1. TOTAL - VENDA INTERNA MS"/>
    <n v="0"/>
    <n v="0"/>
    <n v="0"/>
    <n v="3000"/>
    <n v="3000"/>
    <n v="4000"/>
    <n v="5000"/>
    <n v="5500"/>
    <n v="6600"/>
    <n v="7700"/>
    <n v="8800"/>
    <n v="5500"/>
    <n v="49100"/>
    <n v="49100"/>
    <n v="0"/>
    <s v=""/>
    <n v="0"/>
    <n v="0"/>
    <n v="0"/>
    <s v=""/>
    <m/>
    <m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MS"/>
    <n v="1353"/>
    <s v="VENDA INTERNA MS"/>
    <s v="BISCOITO"/>
    <n v="0"/>
    <n v="0"/>
    <n v="0"/>
    <n v="150"/>
    <n v="150"/>
    <n v="200"/>
    <n v="250"/>
    <n v="275"/>
    <n v="330"/>
    <n v="385"/>
    <n v="440"/>
    <n v="275"/>
    <n v="2455"/>
    <n v="2455"/>
    <n v="0"/>
    <s v=""/>
    <n v="0"/>
    <n v="0"/>
    <n v="0"/>
    <s v=""/>
    <s v="Novos "/>
    <n v="0.2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MS"/>
    <n v="1353"/>
    <s v="VENDA INTERNA MS"/>
    <s v="CHOCOLATES"/>
    <n v="0"/>
    <n v="0"/>
    <n v="0"/>
    <n v="150"/>
    <n v="150"/>
    <n v="200"/>
    <n v="250"/>
    <n v="275"/>
    <n v="330"/>
    <n v="385"/>
    <n v="440"/>
    <n v="275"/>
    <n v="2455"/>
    <n v="2455"/>
    <n v="0"/>
    <s v=""/>
    <n v="0"/>
    <n v="0"/>
    <n v="0"/>
    <s v=""/>
    <s v="Novos "/>
    <n v="0.2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MS"/>
    <n v="1353"/>
    <s v="VENDA INTERNA MS"/>
    <s v="DISNEY"/>
    <n v="0"/>
    <n v="0"/>
    <n v="0"/>
    <n v="240"/>
    <n v="240"/>
    <n v="320"/>
    <n v="400"/>
    <n v="440"/>
    <n v="528"/>
    <n v="616"/>
    <n v="704"/>
    <n v="440"/>
    <n v="3928"/>
    <n v="3928"/>
    <n v="0"/>
    <s v=""/>
    <n v="0"/>
    <n v="0"/>
    <n v="0"/>
    <s v=""/>
    <s v="Novos "/>
    <n v="0.1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MS"/>
    <n v="1353"/>
    <s v="VENDA INTERNA MS"/>
    <s v="DOCES"/>
    <n v="0"/>
    <n v="0"/>
    <n v="0"/>
    <n v="300"/>
    <n v="300"/>
    <n v="400"/>
    <n v="500"/>
    <n v="550"/>
    <n v="660"/>
    <n v="770"/>
    <n v="880"/>
    <n v="550"/>
    <n v="4910"/>
    <n v="491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MS"/>
    <n v="1353"/>
    <s v="VENDA INTERNA MS"/>
    <s v="GELEIA"/>
    <n v="0"/>
    <n v="0"/>
    <n v="0"/>
    <n v="59.999999999999993"/>
    <n v="59.999999999999993"/>
    <n v="79.999999999999986"/>
    <n v="99.999999999999986"/>
    <n v="109.99999999999999"/>
    <n v="131.99999999999997"/>
    <n v="153.99999999999997"/>
    <n v="175.99999999999997"/>
    <n v="109.99999999999999"/>
    <n v="981.99999999999989"/>
    <n v="981.99999999999989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MS"/>
    <n v="1353"/>
    <s v="VENDA INTERNA MS"/>
    <s v="GRANOLA"/>
    <n v="0"/>
    <n v="0"/>
    <n v="0"/>
    <n v="60"/>
    <n v="60"/>
    <n v="80"/>
    <n v="100"/>
    <n v="110"/>
    <n v="132"/>
    <n v="154"/>
    <n v="176"/>
    <n v="110"/>
    <n v="982"/>
    <n v="982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MS"/>
    <n v="1353"/>
    <s v="VENDA INTERNA MS"/>
    <s v="KIDS"/>
    <n v="0"/>
    <n v="0"/>
    <n v="0"/>
    <n v="60"/>
    <n v="60"/>
    <n v="80"/>
    <n v="100"/>
    <n v="110"/>
    <n v="132"/>
    <n v="154"/>
    <n v="176"/>
    <n v="110"/>
    <n v="982"/>
    <n v="982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MS"/>
    <n v="1353"/>
    <s v="VENDA INTERNA MS"/>
    <s v="LANCHES"/>
    <n v="0"/>
    <n v="0"/>
    <n v="0"/>
    <n v="90"/>
    <n v="90"/>
    <n v="120"/>
    <n v="150"/>
    <n v="165"/>
    <n v="198"/>
    <n v="231"/>
    <n v="264"/>
    <n v="165"/>
    <n v="1473"/>
    <n v="1473"/>
    <n v="0"/>
    <s v=""/>
    <n v="0"/>
    <n v="0"/>
    <n v="0"/>
    <s v=""/>
    <s v="Novos "/>
    <n v="0.1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MS"/>
    <n v="1353"/>
    <s v="VENDA INTERNA MS"/>
    <s v="MAIS GRANEL"/>
    <n v="0"/>
    <n v="0"/>
    <n v="0"/>
    <n v="750"/>
    <n v="750"/>
    <n v="1000"/>
    <n v="1250"/>
    <n v="1375"/>
    <n v="1650"/>
    <n v="1925"/>
    <n v="2200"/>
    <n v="1375"/>
    <n v="12275"/>
    <n v="12275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MS"/>
    <n v="1353"/>
    <s v="VENDA INTERNA MS"/>
    <s v="NATURATTA"/>
    <n v="0"/>
    <n v="0"/>
    <n v="0"/>
    <n v="150"/>
    <n v="150"/>
    <n v="200"/>
    <n v="250"/>
    <n v="275"/>
    <n v="330"/>
    <n v="385"/>
    <n v="440"/>
    <n v="275"/>
    <n v="2455"/>
    <n v="2455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MS"/>
    <n v="1353"/>
    <s v="VENDA INTERNA MS"/>
    <s v="REEMBALADOS"/>
    <n v="0"/>
    <n v="0"/>
    <n v="0"/>
    <n v="150"/>
    <n v="150"/>
    <n v="200"/>
    <n v="250"/>
    <n v="275"/>
    <n v="330"/>
    <n v="385"/>
    <n v="440"/>
    <n v="275"/>
    <n v="2455"/>
    <n v="2455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MS"/>
    <n v="1353"/>
    <s v="VENDA INTERNA MS"/>
    <s v="S GLUTEN"/>
    <n v="0"/>
    <n v="0"/>
    <n v="0"/>
    <n v="150"/>
    <n v="150"/>
    <n v="200"/>
    <n v="250"/>
    <n v="275"/>
    <n v="330"/>
    <n v="385"/>
    <n v="440"/>
    <n v="275"/>
    <n v="2455"/>
    <n v="2455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MS"/>
    <n v="1353"/>
    <s v="VENDA INTERNA MS"/>
    <s v="SABORES DO CAMPO"/>
    <n v="0"/>
    <n v="0"/>
    <n v="0"/>
    <n v="0"/>
    <n v="0"/>
    <n v="0"/>
    <n v="0"/>
    <n v="0"/>
    <n v="0"/>
    <n v="0"/>
    <n v="0"/>
    <n v="0"/>
    <n v="0"/>
    <n v="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MS"/>
    <n v="1353"/>
    <s v="VENDA INTERNA MS"/>
    <s v="SAL"/>
    <n v="0"/>
    <n v="0"/>
    <n v="0"/>
    <n v="210.00000000000003"/>
    <n v="210.00000000000003"/>
    <n v="280"/>
    <n v="350.00000000000006"/>
    <n v="385.00000000000006"/>
    <n v="462.00000000000006"/>
    <n v="539"/>
    <n v="616.00000000000011"/>
    <n v="385.00000000000006"/>
    <n v="3437"/>
    <n v="3437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MS"/>
    <n v="1353"/>
    <s v="VENDA INTERNA MS"/>
    <s v="SOULPRO"/>
    <n v="0"/>
    <n v="0"/>
    <n v="0"/>
    <n v="150"/>
    <n v="150"/>
    <n v="199.99999999999997"/>
    <n v="249.99999999999997"/>
    <n v="275"/>
    <n v="330"/>
    <n v="384.99999999999994"/>
    <n v="439.99999999999994"/>
    <n v="275"/>
    <n v="2455"/>
    <n v="2455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MS"/>
    <n v="1353"/>
    <s v="VENDA INTERNA MS"/>
    <s v="TAMARA"/>
    <n v="0"/>
    <n v="0"/>
    <n v="0"/>
    <n v="240"/>
    <n v="240"/>
    <n v="320"/>
    <n v="400"/>
    <n v="440"/>
    <n v="528"/>
    <n v="616"/>
    <n v="704"/>
    <n v="440"/>
    <n v="3928"/>
    <n v="3928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MS"/>
    <n v="1353"/>
    <s v="VENDA INTERNA MS"/>
    <s v="VICCIO"/>
    <n v="0"/>
    <n v="0"/>
    <n v="0"/>
    <n v="90"/>
    <n v="90"/>
    <n v="120"/>
    <n v="150"/>
    <n v="165"/>
    <n v="198"/>
    <n v="231"/>
    <n v="264"/>
    <n v="165"/>
    <n v="1473"/>
    <n v="1473"/>
    <n v="0"/>
    <s v=""/>
    <n v="0"/>
    <n v="0"/>
    <n v="0"/>
    <s v=""/>
    <s v="Novos "/>
    <n v="0.2"/>
    <m/>
  </r>
  <r>
    <x v="0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n v="1"/>
    <s v="MT"/>
    <n v="1354"/>
    <s v="VENDA INTERNA MT"/>
    <s v="1. TOTAL - VENDA INTERNA MT"/>
    <n v="0"/>
    <n v="0"/>
    <n v="0"/>
    <n v="3000"/>
    <n v="3000"/>
    <n v="4000"/>
    <n v="5000"/>
    <n v="5500"/>
    <n v="6600"/>
    <n v="7700"/>
    <n v="8800"/>
    <n v="5500"/>
    <n v="49100"/>
    <n v="49100"/>
    <n v="0"/>
    <s v=""/>
    <n v="0"/>
    <n v="0"/>
    <n v="0"/>
    <s v=""/>
    <m/>
    <m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MT"/>
    <n v="1354"/>
    <s v="VENDA INTERNA MT"/>
    <s v="BISCOITO"/>
    <n v="0"/>
    <n v="0"/>
    <n v="0"/>
    <n v="150"/>
    <n v="150"/>
    <n v="200"/>
    <n v="250"/>
    <n v="275"/>
    <n v="330"/>
    <n v="385"/>
    <n v="440"/>
    <n v="275"/>
    <n v="2455"/>
    <n v="2455"/>
    <n v="0"/>
    <s v=""/>
    <n v="0"/>
    <n v="0"/>
    <n v="0"/>
    <s v=""/>
    <s v="Novos "/>
    <n v="0.2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MT"/>
    <n v="1354"/>
    <s v="VENDA INTERNA MT"/>
    <s v="CHOCOLATES"/>
    <n v="0"/>
    <n v="0"/>
    <n v="0"/>
    <n v="150"/>
    <n v="150"/>
    <n v="200"/>
    <n v="250"/>
    <n v="275"/>
    <n v="330"/>
    <n v="385"/>
    <n v="440"/>
    <n v="275"/>
    <n v="2455"/>
    <n v="2455"/>
    <n v="0"/>
    <s v=""/>
    <n v="0"/>
    <n v="0"/>
    <n v="0"/>
    <s v=""/>
    <s v="Novos "/>
    <n v="0.2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MT"/>
    <n v="1354"/>
    <s v="VENDA INTERNA MT"/>
    <s v="DISNEY"/>
    <n v="0"/>
    <n v="0"/>
    <n v="0"/>
    <n v="240"/>
    <n v="240"/>
    <n v="320"/>
    <n v="400"/>
    <n v="440"/>
    <n v="528"/>
    <n v="616"/>
    <n v="704"/>
    <n v="440"/>
    <n v="3928"/>
    <n v="3928"/>
    <n v="0"/>
    <s v=""/>
    <n v="0"/>
    <n v="0"/>
    <n v="0"/>
    <s v=""/>
    <s v="Novos "/>
    <n v="0.1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MT"/>
    <n v="1354"/>
    <s v="VENDA INTERNA MT"/>
    <s v="DOCES"/>
    <n v="0"/>
    <n v="0"/>
    <n v="0"/>
    <n v="300"/>
    <n v="300"/>
    <n v="400"/>
    <n v="500"/>
    <n v="550"/>
    <n v="660"/>
    <n v="770"/>
    <n v="880"/>
    <n v="550"/>
    <n v="4910"/>
    <n v="491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MT"/>
    <n v="1354"/>
    <s v="VENDA INTERNA MT"/>
    <s v="GELEIA"/>
    <n v="0"/>
    <n v="0"/>
    <n v="0"/>
    <n v="59.999999999999993"/>
    <n v="59.999999999999993"/>
    <n v="79.999999999999986"/>
    <n v="99.999999999999986"/>
    <n v="109.99999999999999"/>
    <n v="131.99999999999997"/>
    <n v="153.99999999999997"/>
    <n v="175.99999999999997"/>
    <n v="109.99999999999999"/>
    <n v="981.99999999999989"/>
    <n v="981.99999999999989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MT"/>
    <n v="1354"/>
    <s v="VENDA INTERNA MT"/>
    <s v="GRANOLA"/>
    <n v="0"/>
    <n v="0"/>
    <n v="0"/>
    <n v="60"/>
    <n v="60"/>
    <n v="80"/>
    <n v="100"/>
    <n v="110"/>
    <n v="132"/>
    <n v="154"/>
    <n v="176"/>
    <n v="110"/>
    <n v="982"/>
    <n v="982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MT"/>
    <n v="1354"/>
    <s v="VENDA INTERNA MT"/>
    <s v="KIDS"/>
    <n v="0"/>
    <n v="0"/>
    <n v="0"/>
    <n v="60"/>
    <n v="60"/>
    <n v="80"/>
    <n v="100"/>
    <n v="110"/>
    <n v="132"/>
    <n v="154"/>
    <n v="176"/>
    <n v="110"/>
    <n v="982"/>
    <n v="982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MT"/>
    <n v="1354"/>
    <s v="VENDA INTERNA MT"/>
    <s v="LANCHES"/>
    <n v="0"/>
    <n v="0"/>
    <n v="0"/>
    <n v="90"/>
    <n v="90"/>
    <n v="120"/>
    <n v="150"/>
    <n v="165"/>
    <n v="198"/>
    <n v="231"/>
    <n v="264"/>
    <n v="165"/>
    <n v="1473"/>
    <n v="1473"/>
    <n v="0"/>
    <s v=""/>
    <n v="0"/>
    <n v="0"/>
    <n v="0"/>
    <s v=""/>
    <s v="Novos "/>
    <n v="0.1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MT"/>
    <n v="1354"/>
    <s v="VENDA INTERNA MT"/>
    <s v="MAIS GRANEL"/>
    <n v="0"/>
    <n v="0"/>
    <n v="0"/>
    <n v="750"/>
    <n v="750"/>
    <n v="1000"/>
    <n v="1250"/>
    <n v="1375"/>
    <n v="1650"/>
    <n v="1925"/>
    <n v="2200"/>
    <n v="1375"/>
    <n v="12275"/>
    <n v="12275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MT"/>
    <n v="1354"/>
    <s v="VENDA INTERNA MT"/>
    <s v="NATURATTA"/>
    <n v="0"/>
    <n v="0"/>
    <n v="0"/>
    <n v="150"/>
    <n v="150"/>
    <n v="200"/>
    <n v="250"/>
    <n v="275"/>
    <n v="330"/>
    <n v="385"/>
    <n v="440"/>
    <n v="275"/>
    <n v="2455"/>
    <n v="2455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MT"/>
    <n v="1354"/>
    <s v="VENDA INTERNA MT"/>
    <s v="REEMBALADOS"/>
    <n v="0"/>
    <n v="0"/>
    <n v="0"/>
    <n v="150"/>
    <n v="150"/>
    <n v="200"/>
    <n v="250"/>
    <n v="275"/>
    <n v="330"/>
    <n v="385"/>
    <n v="440"/>
    <n v="275"/>
    <n v="2455"/>
    <n v="2455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MT"/>
    <n v="1354"/>
    <s v="VENDA INTERNA MT"/>
    <s v="S GLUTEN"/>
    <n v="0"/>
    <n v="0"/>
    <n v="0"/>
    <n v="150"/>
    <n v="150"/>
    <n v="200"/>
    <n v="250"/>
    <n v="275"/>
    <n v="330"/>
    <n v="385"/>
    <n v="440"/>
    <n v="275"/>
    <n v="2455"/>
    <n v="2455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MT"/>
    <n v="1354"/>
    <s v="VENDA INTERNA MT"/>
    <s v="SABORES DO CAMPO"/>
    <n v="0"/>
    <n v="0"/>
    <n v="0"/>
    <n v="0"/>
    <n v="0"/>
    <n v="0"/>
    <n v="0"/>
    <n v="0"/>
    <n v="0"/>
    <n v="0"/>
    <n v="0"/>
    <n v="0"/>
    <n v="0"/>
    <n v="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MT"/>
    <n v="1354"/>
    <s v="VENDA INTERNA MT"/>
    <s v="SAL"/>
    <n v="0"/>
    <n v="0"/>
    <n v="0"/>
    <n v="210.00000000000003"/>
    <n v="210.00000000000003"/>
    <n v="280"/>
    <n v="350.00000000000006"/>
    <n v="385.00000000000006"/>
    <n v="462.00000000000006"/>
    <n v="539"/>
    <n v="616.00000000000011"/>
    <n v="385.00000000000006"/>
    <n v="3437"/>
    <n v="3437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MT"/>
    <n v="1354"/>
    <s v="VENDA INTERNA MT"/>
    <s v="SOULPRO"/>
    <n v="0"/>
    <n v="0"/>
    <n v="0"/>
    <n v="150"/>
    <n v="150"/>
    <n v="199.99999999999997"/>
    <n v="249.99999999999997"/>
    <n v="275"/>
    <n v="330"/>
    <n v="384.99999999999994"/>
    <n v="439.99999999999994"/>
    <n v="275"/>
    <n v="2455"/>
    <n v="2455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MT"/>
    <n v="1354"/>
    <s v="VENDA INTERNA MT"/>
    <s v="TAMARA"/>
    <n v="0"/>
    <n v="0"/>
    <n v="0"/>
    <n v="240"/>
    <n v="240"/>
    <n v="320"/>
    <n v="400"/>
    <n v="440"/>
    <n v="528"/>
    <n v="616"/>
    <n v="704"/>
    <n v="440"/>
    <n v="3928"/>
    <n v="3928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MT"/>
    <n v="1354"/>
    <s v="VENDA INTERNA MT"/>
    <s v="VICCIO"/>
    <n v="0"/>
    <n v="0"/>
    <n v="0"/>
    <n v="90"/>
    <n v="90"/>
    <n v="120"/>
    <n v="150"/>
    <n v="165"/>
    <n v="198"/>
    <n v="231"/>
    <n v="264"/>
    <n v="165"/>
    <n v="1473"/>
    <n v="1473"/>
    <n v="0"/>
    <s v=""/>
    <n v="0"/>
    <n v="0"/>
    <n v="0"/>
    <s v=""/>
    <s v="Novos "/>
    <n v="0.2"/>
    <m/>
  </r>
  <r>
    <x v="0"/>
    <s v="1000065763"/>
    <s v="CANAL VENDA INTERNA"/>
    <s v="1000065763"/>
    <s v="CANAL VENDA INTERNA"/>
    <s v="1000105900"/>
    <s v="REGIONAL VENDA DIRETA CO + NE + NO"/>
    <s v="1000105900"/>
    <s v="REGIONAL VENDA DIRETA CO + NE + NO"/>
    <s v="1000176426"/>
    <x v="2"/>
    <n v="1"/>
    <s v="GO"/>
    <n v="1356"/>
    <s v="VENDA INTERNA GO"/>
    <s v="1. TOTAL - VENDA INTERNA GO"/>
    <n v="0"/>
    <n v="0"/>
    <n v="0"/>
    <n v="5000"/>
    <n v="6000"/>
    <n v="7000"/>
    <n v="8000"/>
    <n v="9900"/>
    <n v="13200"/>
    <n v="14300"/>
    <n v="15400"/>
    <n v="11000"/>
    <n v="89800"/>
    <n v="89800"/>
    <n v="0"/>
    <s v=""/>
    <n v="0"/>
    <n v="0"/>
    <n v="0"/>
    <s v=""/>
    <m/>
    <m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76426"/>
    <x v="2"/>
    <s v=""/>
    <s v="GO"/>
    <n v="1356"/>
    <s v="VENDA INTERNA GO"/>
    <s v="BISCOITO"/>
    <n v="0"/>
    <n v="0"/>
    <n v="0"/>
    <n v="250"/>
    <n v="300"/>
    <n v="350"/>
    <n v="400"/>
    <n v="495"/>
    <n v="660"/>
    <n v="715"/>
    <n v="770"/>
    <n v="550"/>
    <n v="4490"/>
    <n v="4490"/>
    <n v="0"/>
    <s v=""/>
    <n v="0"/>
    <n v="0"/>
    <n v="0"/>
    <s v=""/>
    <s v="Novos "/>
    <n v="0.2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76426"/>
    <x v="2"/>
    <s v=""/>
    <s v="GO"/>
    <n v="1356"/>
    <s v="VENDA INTERNA GO"/>
    <s v="CHOCOLATES"/>
    <n v="0"/>
    <n v="0"/>
    <n v="0"/>
    <n v="250"/>
    <n v="300"/>
    <n v="350"/>
    <n v="400"/>
    <n v="495"/>
    <n v="660"/>
    <n v="715"/>
    <n v="770"/>
    <n v="550"/>
    <n v="4490"/>
    <n v="4490"/>
    <n v="0"/>
    <s v=""/>
    <n v="0"/>
    <n v="0"/>
    <n v="0"/>
    <s v=""/>
    <s v="Novos "/>
    <n v="0.2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76426"/>
    <x v="2"/>
    <s v=""/>
    <s v="GO"/>
    <n v="1356"/>
    <s v="VENDA INTERNA GO"/>
    <s v="DISNEY"/>
    <n v="0"/>
    <n v="0"/>
    <n v="0"/>
    <n v="400"/>
    <n v="480"/>
    <n v="560"/>
    <n v="640"/>
    <n v="792"/>
    <n v="1056"/>
    <n v="1144"/>
    <n v="1232"/>
    <n v="880"/>
    <n v="7184"/>
    <n v="7184"/>
    <n v="0"/>
    <s v=""/>
    <n v="0"/>
    <n v="0"/>
    <n v="0"/>
    <s v=""/>
    <s v="Novos "/>
    <n v="0.1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76426"/>
    <x v="2"/>
    <s v=""/>
    <s v="GO"/>
    <n v="1356"/>
    <s v="VENDA INTERNA GO"/>
    <s v="DOCES"/>
    <n v="0"/>
    <n v="0"/>
    <n v="0"/>
    <n v="500"/>
    <n v="600"/>
    <n v="700"/>
    <n v="800"/>
    <n v="990"/>
    <n v="1320"/>
    <n v="1430"/>
    <n v="1540"/>
    <n v="1100"/>
    <n v="8980"/>
    <n v="898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76426"/>
    <x v="2"/>
    <s v=""/>
    <s v="GO"/>
    <n v="1356"/>
    <s v="VENDA INTERNA GO"/>
    <s v="GELEIA"/>
    <n v="0"/>
    <n v="0"/>
    <n v="0"/>
    <n v="99.999999999999986"/>
    <n v="119.99999999999999"/>
    <n v="139.99999999999997"/>
    <n v="159.99999999999997"/>
    <n v="197.99999999999997"/>
    <n v="263.99999999999994"/>
    <n v="285.99999999999994"/>
    <n v="307.99999999999994"/>
    <n v="219.99999999999997"/>
    <n v="1795.9999999999998"/>
    <n v="1795.9999999999998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76426"/>
    <x v="2"/>
    <s v=""/>
    <s v="GO"/>
    <n v="1356"/>
    <s v="VENDA INTERNA GO"/>
    <s v="GRANOLA"/>
    <n v="0"/>
    <n v="0"/>
    <n v="0"/>
    <n v="100"/>
    <n v="120"/>
    <n v="140"/>
    <n v="160"/>
    <n v="198"/>
    <n v="264"/>
    <n v="286"/>
    <n v="308"/>
    <n v="220"/>
    <n v="1796"/>
    <n v="1796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76426"/>
    <x v="2"/>
    <s v=""/>
    <s v="GO"/>
    <n v="1356"/>
    <s v="VENDA INTERNA GO"/>
    <s v="KIDS"/>
    <n v="0"/>
    <n v="0"/>
    <n v="0"/>
    <n v="100"/>
    <n v="120"/>
    <n v="140"/>
    <n v="160"/>
    <n v="198"/>
    <n v="264"/>
    <n v="286"/>
    <n v="308"/>
    <n v="220"/>
    <n v="1796"/>
    <n v="1796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76426"/>
    <x v="2"/>
    <s v=""/>
    <s v="GO"/>
    <n v="1356"/>
    <s v="VENDA INTERNA GO"/>
    <s v="LANCHES"/>
    <n v="0"/>
    <n v="0"/>
    <n v="0"/>
    <n v="150"/>
    <n v="180"/>
    <n v="210"/>
    <n v="240"/>
    <n v="297"/>
    <n v="396"/>
    <n v="429"/>
    <n v="462"/>
    <n v="330"/>
    <n v="2694"/>
    <n v="2694"/>
    <n v="0"/>
    <s v=""/>
    <n v="0"/>
    <n v="0"/>
    <n v="0"/>
    <s v=""/>
    <s v="Novos "/>
    <n v="0.1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76426"/>
    <x v="2"/>
    <s v=""/>
    <s v="GO"/>
    <n v="1356"/>
    <s v="VENDA INTERNA GO"/>
    <s v="MAIS GRANEL"/>
    <n v="0"/>
    <n v="0"/>
    <n v="0"/>
    <n v="1250"/>
    <n v="1500"/>
    <n v="1750"/>
    <n v="2000"/>
    <n v="2475"/>
    <n v="3300"/>
    <n v="3575"/>
    <n v="3850"/>
    <n v="2750"/>
    <n v="22450"/>
    <n v="2245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76426"/>
    <x v="2"/>
    <s v=""/>
    <s v="GO"/>
    <n v="1356"/>
    <s v="VENDA INTERNA GO"/>
    <s v="NATURATTA"/>
    <n v="0"/>
    <n v="0"/>
    <n v="0"/>
    <n v="250"/>
    <n v="300"/>
    <n v="350"/>
    <n v="400"/>
    <n v="495"/>
    <n v="660"/>
    <n v="715"/>
    <n v="770"/>
    <n v="550"/>
    <n v="4490"/>
    <n v="4490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76426"/>
    <x v="2"/>
    <s v=""/>
    <s v="GO"/>
    <n v="1356"/>
    <s v="VENDA INTERNA GO"/>
    <s v="REEMBALADOS"/>
    <n v="0"/>
    <n v="0"/>
    <n v="0"/>
    <n v="250"/>
    <n v="300"/>
    <n v="350"/>
    <n v="400"/>
    <n v="495"/>
    <n v="660"/>
    <n v="715"/>
    <n v="770"/>
    <n v="550"/>
    <n v="4490"/>
    <n v="449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76426"/>
    <x v="2"/>
    <s v=""/>
    <s v="GO"/>
    <n v="1356"/>
    <s v="VENDA INTERNA GO"/>
    <s v="S GLUTEN"/>
    <n v="0"/>
    <n v="0"/>
    <n v="0"/>
    <n v="250"/>
    <n v="300"/>
    <n v="350"/>
    <n v="400"/>
    <n v="495"/>
    <n v="660"/>
    <n v="715"/>
    <n v="770"/>
    <n v="550"/>
    <n v="4490"/>
    <n v="449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76426"/>
    <x v="2"/>
    <s v=""/>
    <s v="GO"/>
    <n v="1356"/>
    <s v="VENDA INTERNA GO"/>
    <s v="SABORES DO CAMPO"/>
    <n v="0"/>
    <n v="0"/>
    <n v="0"/>
    <n v="0"/>
    <n v="0"/>
    <n v="0"/>
    <n v="0"/>
    <n v="0"/>
    <n v="0"/>
    <n v="0"/>
    <n v="0"/>
    <n v="0"/>
    <n v="0"/>
    <n v="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76426"/>
    <x v="2"/>
    <s v=""/>
    <s v="GO"/>
    <n v="1356"/>
    <s v="VENDA INTERNA GO"/>
    <s v="SAL"/>
    <n v="0"/>
    <n v="0"/>
    <n v="0"/>
    <n v="350.00000000000006"/>
    <n v="420.00000000000006"/>
    <n v="490.00000000000006"/>
    <n v="560"/>
    <n v="693.00000000000011"/>
    <n v="924.00000000000011"/>
    <n v="1001.0000000000001"/>
    <n v="1078"/>
    <n v="770.00000000000011"/>
    <n v="6286.0000000000009"/>
    <n v="6286.0000000000009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76426"/>
    <x v="2"/>
    <s v=""/>
    <s v="GO"/>
    <n v="1356"/>
    <s v="VENDA INTERNA GO"/>
    <s v="SOULPRO"/>
    <n v="0"/>
    <n v="0"/>
    <n v="0"/>
    <n v="249.99999999999997"/>
    <n v="300"/>
    <n v="349.99999999999994"/>
    <n v="399.99999999999994"/>
    <n v="494.99999999999994"/>
    <n v="660"/>
    <n v="714.99999999999989"/>
    <n v="769.99999999999989"/>
    <n v="550"/>
    <n v="4490"/>
    <n v="4490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76426"/>
    <x v="2"/>
    <s v=""/>
    <s v="GO"/>
    <n v="1356"/>
    <s v="VENDA INTERNA GO"/>
    <s v="TAMARA"/>
    <n v="0"/>
    <n v="0"/>
    <n v="0"/>
    <n v="400"/>
    <n v="480"/>
    <n v="560"/>
    <n v="640"/>
    <n v="792"/>
    <n v="1056"/>
    <n v="1144"/>
    <n v="1232"/>
    <n v="880"/>
    <n v="7184"/>
    <n v="7184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76426"/>
    <x v="2"/>
    <s v=""/>
    <s v="GO"/>
    <n v="1356"/>
    <s v="VENDA INTERNA GO"/>
    <s v="VICCIO"/>
    <n v="0"/>
    <n v="0"/>
    <n v="0"/>
    <n v="150"/>
    <n v="180"/>
    <n v="210"/>
    <n v="240"/>
    <n v="297"/>
    <n v="396"/>
    <n v="429"/>
    <n v="462"/>
    <n v="330"/>
    <n v="2694"/>
    <n v="2694"/>
    <n v="0"/>
    <s v=""/>
    <n v="0"/>
    <n v="0"/>
    <n v="0"/>
    <s v=""/>
    <s v="Novos "/>
    <n v="0.2"/>
    <m/>
  </r>
  <r>
    <x v="0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n v="1"/>
    <s v="ES"/>
    <n v="1357"/>
    <s v="VENDA INTERNA ES"/>
    <s v="1. TOTAL - VENDA INTERNA ES"/>
    <n v="0"/>
    <n v="0"/>
    <n v="0"/>
    <n v="3000"/>
    <n v="3000"/>
    <n v="4000"/>
    <n v="4000"/>
    <n v="5500"/>
    <n v="6600"/>
    <n v="6600"/>
    <n v="7700"/>
    <n v="5500"/>
    <n v="45900"/>
    <n v="45900"/>
    <n v="0"/>
    <s v=""/>
    <n v="0"/>
    <n v="0"/>
    <n v="0"/>
    <s v=""/>
    <m/>
    <m/>
    <m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s v=""/>
    <s v="ES"/>
    <n v="1357"/>
    <s v="VENDA INTERNA ES"/>
    <s v="BISCOITO"/>
    <n v="0"/>
    <n v="0"/>
    <n v="0"/>
    <n v="150"/>
    <n v="150"/>
    <n v="200"/>
    <n v="200"/>
    <n v="275"/>
    <n v="330"/>
    <n v="330"/>
    <n v="385"/>
    <n v="275"/>
    <n v="2295"/>
    <n v="2295"/>
    <n v="0"/>
    <s v=""/>
    <n v="0"/>
    <n v="0"/>
    <n v="0"/>
    <s v=""/>
    <s v="Novos "/>
    <n v="0.2"/>
    <m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s v=""/>
    <s v="ES"/>
    <n v="1357"/>
    <s v="VENDA INTERNA ES"/>
    <s v="CHOCOLATES"/>
    <n v="0"/>
    <n v="0"/>
    <n v="0"/>
    <n v="150"/>
    <n v="150"/>
    <n v="200"/>
    <n v="200"/>
    <n v="275"/>
    <n v="330"/>
    <n v="330"/>
    <n v="385"/>
    <n v="275"/>
    <n v="2295"/>
    <n v="2295"/>
    <n v="0"/>
    <s v=""/>
    <n v="0"/>
    <n v="0"/>
    <n v="0"/>
    <s v=""/>
    <s v="Novos "/>
    <n v="0.2"/>
    <m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s v=""/>
    <s v="ES"/>
    <n v="1357"/>
    <s v="VENDA INTERNA ES"/>
    <s v="DISNEY"/>
    <n v="0"/>
    <n v="0"/>
    <n v="0"/>
    <n v="240"/>
    <n v="240"/>
    <n v="320"/>
    <n v="320"/>
    <n v="440"/>
    <n v="528"/>
    <n v="528"/>
    <n v="616"/>
    <n v="440"/>
    <n v="3672"/>
    <n v="3672"/>
    <n v="0"/>
    <s v=""/>
    <n v="0"/>
    <n v="0"/>
    <n v="0"/>
    <s v=""/>
    <s v="Novos "/>
    <n v="0.15"/>
    <m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s v=""/>
    <s v="ES"/>
    <n v="1357"/>
    <s v="VENDA INTERNA ES"/>
    <s v="DOCES"/>
    <n v="0"/>
    <n v="0"/>
    <n v="0"/>
    <n v="300"/>
    <n v="300"/>
    <n v="400"/>
    <n v="400"/>
    <n v="550"/>
    <n v="660"/>
    <n v="660"/>
    <n v="770"/>
    <n v="550"/>
    <n v="4590"/>
    <n v="459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s v=""/>
    <s v="ES"/>
    <n v="1357"/>
    <s v="VENDA INTERNA ES"/>
    <s v="GELEIA"/>
    <n v="0"/>
    <n v="0"/>
    <n v="0"/>
    <n v="59.999999999999993"/>
    <n v="59.999999999999993"/>
    <n v="79.999999999999986"/>
    <n v="79.999999999999986"/>
    <n v="109.99999999999999"/>
    <n v="131.99999999999997"/>
    <n v="131.99999999999997"/>
    <n v="153.99999999999997"/>
    <n v="109.99999999999999"/>
    <n v="917.99999999999989"/>
    <n v="917.99999999999989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s v=""/>
    <s v="ES"/>
    <n v="1357"/>
    <s v="VENDA INTERNA ES"/>
    <s v="GRANOLA"/>
    <n v="0"/>
    <n v="0"/>
    <n v="0"/>
    <n v="60"/>
    <n v="60"/>
    <n v="80"/>
    <n v="80"/>
    <n v="110"/>
    <n v="132"/>
    <n v="132"/>
    <n v="154"/>
    <n v="110"/>
    <n v="918"/>
    <n v="918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s v=""/>
    <s v="ES"/>
    <n v="1357"/>
    <s v="VENDA INTERNA ES"/>
    <s v="KIDS"/>
    <n v="0"/>
    <n v="0"/>
    <n v="0"/>
    <n v="60"/>
    <n v="60"/>
    <n v="80"/>
    <n v="80"/>
    <n v="110"/>
    <n v="132"/>
    <n v="132"/>
    <n v="154"/>
    <n v="110"/>
    <n v="918"/>
    <n v="918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s v=""/>
    <s v="ES"/>
    <n v="1357"/>
    <s v="VENDA INTERNA ES"/>
    <s v="LANCHES"/>
    <n v="0"/>
    <n v="0"/>
    <n v="0"/>
    <n v="90"/>
    <n v="90"/>
    <n v="120"/>
    <n v="120"/>
    <n v="165"/>
    <n v="198"/>
    <n v="198"/>
    <n v="231"/>
    <n v="165"/>
    <n v="1377"/>
    <n v="1377"/>
    <n v="0"/>
    <s v=""/>
    <n v="0"/>
    <n v="0"/>
    <n v="0"/>
    <s v=""/>
    <s v="Novos "/>
    <n v="0.15"/>
    <m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s v=""/>
    <s v="ES"/>
    <n v="1357"/>
    <s v="VENDA INTERNA ES"/>
    <s v="MAIS GRANEL"/>
    <n v="0"/>
    <n v="0"/>
    <n v="0"/>
    <n v="750"/>
    <n v="750"/>
    <n v="1000"/>
    <n v="1000"/>
    <n v="1375"/>
    <n v="1650"/>
    <n v="1650"/>
    <n v="1925"/>
    <n v="1375"/>
    <n v="11475"/>
    <n v="11475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s v=""/>
    <s v="ES"/>
    <n v="1357"/>
    <s v="VENDA INTERNA ES"/>
    <s v="NATURATTA"/>
    <n v="0"/>
    <n v="0"/>
    <n v="0"/>
    <n v="150"/>
    <n v="150"/>
    <n v="200"/>
    <n v="200"/>
    <n v="275"/>
    <n v="330"/>
    <n v="330"/>
    <n v="385"/>
    <n v="275"/>
    <n v="2295"/>
    <n v="2295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s v=""/>
    <s v="ES"/>
    <n v="1357"/>
    <s v="VENDA INTERNA ES"/>
    <s v="REEMBALADOS"/>
    <n v="0"/>
    <n v="0"/>
    <n v="0"/>
    <n v="150"/>
    <n v="150"/>
    <n v="200"/>
    <n v="200"/>
    <n v="275"/>
    <n v="330"/>
    <n v="330"/>
    <n v="385"/>
    <n v="275"/>
    <n v="2295"/>
    <n v="2295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s v=""/>
    <s v="ES"/>
    <n v="1357"/>
    <s v="VENDA INTERNA ES"/>
    <s v="S GLUTEN"/>
    <n v="0"/>
    <n v="0"/>
    <n v="0"/>
    <n v="150"/>
    <n v="150"/>
    <n v="200"/>
    <n v="200"/>
    <n v="275"/>
    <n v="330"/>
    <n v="330"/>
    <n v="385"/>
    <n v="275"/>
    <n v="2295"/>
    <n v="2295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s v=""/>
    <s v="ES"/>
    <n v="1357"/>
    <s v="VENDA INTERNA ES"/>
    <s v="SABORES DO CAMPO"/>
    <n v="0"/>
    <n v="0"/>
    <n v="0"/>
    <n v="0"/>
    <n v="0"/>
    <n v="0"/>
    <n v="0"/>
    <n v="0"/>
    <n v="0"/>
    <n v="0"/>
    <n v="0"/>
    <n v="0"/>
    <n v="0"/>
    <n v="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s v=""/>
    <s v="ES"/>
    <n v="1357"/>
    <s v="VENDA INTERNA ES"/>
    <s v="SAL"/>
    <n v="0"/>
    <n v="0"/>
    <n v="0"/>
    <n v="210.00000000000003"/>
    <n v="210.00000000000003"/>
    <n v="280"/>
    <n v="280"/>
    <n v="385.00000000000006"/>
    <n v="462.00000000000006"/>
    <n v="462.00000000000006"/>
    <n v="539"/>
    <n v="385.00000000000006"/>
    <n v="3213"/>
    <n v="3213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s v=""/>
    <s v="ES"/>
    <n v="1357"/>
    <s v="VENDA INTERNA ES"/>
    <s v="SOULPRO"/>
    <n v="0"/>
    <n v="0"/>
    <n v="0"/>
    <n v="150"/>
    <n v="150"/>
    <n v="199.99999999999997"/>
    <n v="199.99999999999997"/>
    <n v="275"/>
    <n v="330"/>
    <n v="330"/>
    <n v="384.99999999999994"/>
    <n v="275"/>
    <n v="2295"/>
    <n v="2295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s v=""/>
    <s v="ES"/>
    <n v="1357"/>
    <s v="VENDA INTERNA ES"/>
    <s v="TAMARA"/>
    <n v="0"/>
    <n v="0"/>
    <n v="0"/>
    <n v="240"/>
    <n v="240"/>
    <n v="320"/>
    <n v="320"/>
    <n v="440"/>
    <n v="528"/>
    <n v="528"/>
    <n v="616"/>
    <n v="440"/>
    <n v="3672"/>
    <n v="3672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s v=""/>
    <s v="ES"/>
    <n v="1357"/>
    <s v="VENDA INTERNA ES"/>
    <s v="VICCIO"/>
    <n v="0"/>
    <n v="0"/>
    <n v="0"/>
    <n v="90"/>
    <n v="90"/>
    <n v="120"/>
    <n v="120"/>
    <n v="165"/>
    <n v="198"/>
    <n v="198"/>
    <n v="231"/>
    <n v="165"/>
    <n v="1377"/>
    <n v="1377"/>
    <n v="0"/>
    <s v=""/>
    <n v="0"/>
    <n v="0"/>
    <n v="0"/>
    <s v=""/>
    <s v="Novos "/>
    <n v="0.2"/>
    <m/>
  </r>
  <r>
    <x v="0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n v="1"/>
    <s v="RJ"/>
    <n v="1358"/>
    <s v="VENDA INTERNA RJ"/>
    <s v="1. TOTAL - VENDA INTERNA RJ"/>
    <n v="0"/>
    <n v="0"/>
    <n v="0"/>
    <n v="6000"/>
    <n v="7000"/>
    <n v="9000"/>
    <n v="11000"/>
    <n v="13200"/>
    <n v="16500"/>
    <n v="17600"/>
    <n v="19800"/>
    <n v="14300"/>
    <n v="114400"/>
    <n v="114400"/>
    <n v="0"/>
    <s v=""/>
    <n v="0"/>
    <n v="0"/>
    <n v="0"/>
    <s v=""/>
    <m/>
    <m/>
    <m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s v=""/>
    <s v="RJ"/>
    <n v="1358"/>
    <s v="VENDA INTERNA RJ"/>
    <s v="BISCOITO"/>
    <n v="0"/>
    <n v="0"/>
    <n v="0"/>
    <n v="300"/>
    <n v="350"/>
    <n v="450"/>
    <n v="550"/>
    <n v="660"/>
    <n v="825"/>
    <n v="880"/>
    <n v="990"/>
    <n v="715"/>
    <n v="5720"/>
    <n v="5720"/>
    <n v="0"/>
    <s v=""/>
    <n v="0"/>
    <n v="0"/>
    <n v="0"/>
    <s v=""/>
    <s v="Novos "/>
    <n v="0.2"/>
    <m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s v=""/>
    <s v="RJ"/>
    <n v="1358"/>
    <s v="VENDA INTERNA RJ"/>
    <s v="CHOCOLATES"/>
    <n v="0"/>
    <n v="0"/>
    <n v="0"/>
    <n v="300"/>
    <n v="350"/>
    <n v="450"/>
    <n v="550"/>
    <n v="660"/>
    <n v="825"/>
    <n v="880"/>
    <n v="990"/>
    <n v="715"/>
    <n v="5720"/>
    <n v="5720"/>
    <n v="0"/>
    <s v=""/>
    <n v="0"/>
    <n v="0"/>
    <n v="0"/>
    <s v=""/>
    <s v="Novos "/>
    <n v="0.2"/>
    <m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s v=""/>
    <s v="RJ"/>
    <n v="1358"/>
    <s v="VENDA INTERNA RJ"/>
    <s v="DISNEY"/>
    <n v="0"/>
    <n v="0"/>
    <n v="0"/>
    <n v="480"/>
    <n v="560"/>
    <n v="720"/>
    <n v="880"/>
    <n v="1056"/>
    <n v="1320"/>
    <n v="1408"/>
    <n v="1584"/>
    <n v="1144"/>
    <n v="9152"/>
    <n v="9152"/>
    <n v="0"/>
    <s v=""/>
    <n v="0"/>
    <n v="0"/>
    <n v="0"/>
    <s v=""/>
    <s v="Novos "/>
    <n v="0.15"/>
    <m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s v=""/>
    <s v="RJ"/>
    <n v="1358"/>
    <s v="VENDA INTERNA RJ"/>
    <s v="DOCES"/>
    <n v="0"/>
    <n v="0"/>
    <n v="0"/>
    <n v="600"/>
    <n v="700"/>
    <n v="900"/>
    <n v="1100"/>
    <n v="1320"/>
    <n v="1650"/>
    <n v="1760"/>
    <n v="1980"/>
    <n v="1430"/>
    <n v="11440"/>
    <n v="1144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s v=""/>
    <s v="RJ"/>
    <n v="1358"/>
    <s v="VENDA INTERNA RJ"/>
    <s v="GELEIA"/>
    <n v="0"/>
    <n v="0"/>
    <n v="0"/>
    <n v="119.99999999999999"/>
    <n v="139.99999999999997"/>
    <n v="179.99999999999997"/>
    <n v="219.99999999999997"/>
    <n v="263.99999999999994"/>
    <n v="329.99999999999994"/>
    <n v="351.99999999999994"/>
    <n v="395.99999999999994"/>
    <n v="285.99999999999994"/>
    <n v="2287.9999999999995"/>
    <n v="2287.9999999999995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s v=""/>
    <s v="RJ"/>
    <n v="1358"/>
    <s v="VENDA INTERNA RJ"/>
    <s v="GRANOLA"/>
    <n v="0"/>
    <n v="0"/>
    <n v="0"/>
    <n v="120"/>
    <n v="140"/>
    <n v="180"/>
    <n v="220"/>
    <n v="264"/>
    <n v="330"/>
    <n v="352"/>
    <n v="396"/>
    <n v="286"/>
    <n v="2288"/>
    <n v="2288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s v=""/>
    <s v="RJ"/>
    <n v="1358"/>
    <s v="VENDA INTERNA RJ"/>
    <s v="KIDS"/>
    <n v="0"/>
    <n v="0"/>
    <n v="0"/>
    <n v="120"/>
    <n v="140"/>
    <n v="180"/>
    <n v="220"/>
    <n v="264"/>
    <n v="330"/>
    <n v="352"/>
    <n v="396"/>
    <n v="286"/>
    <n v="2288"/>
    <n v="2288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s v=""/>
    <s v="RJ"/>
    <n v="1358"/>
    <s v="VENDA INTERNA RJ"/>
    <s v="LANCHES"/>
    <n v="0"/>
    <n v="0"/>
    <n v="0"/>
    <n v="180"/>
    <n v="210"/>
    <n v="270"/>
    <n v="330"/>
    <n v="396"/>
    <n v="495"/>
    <n v="528"/>
    <n v="594"/>
    <n v="429"/>
    <n v="3432"/>
    <n v="3432"/>
    <n v="0"/>
    <s v=""/>
    <n v="0"/>
    <n v="0"/>
    <n v="0"/>
    <s v=""/>
    <s v="Novos "/>
    <n v="0.15"/>
    <m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s v=""/>
    <s v="RJ"/>
    <n v="1358"/>
    <s v="VENDA INTERNA RJ"/>
    <s v="MAIS GRANEL"/>
    <n v="0"/>
    <n v="0"/>
    <n v="0"/>
    <n v="1500"/>
    <n v="1750"/>
    <n v="2250"/>
    <n v="2750"/>
    <n v="3300"/>
    <n v="4125"/>
    <n v="4400"/>
    <n v="4950"/>
    <n v="3575"/>
    <n v="28600"/>
    <n v="2860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s v=""/>
    <s v="RJ"/>
    <n v="1358"/>
    <s v="VENDA INTERNA RJ"/>
    <s v="NATURATTA"/>
    <n v="0"/>
    <n v="0"/>
    <n v="0"/>
    <n v="300"/>
    <n v="350"/>
    <n v="450"/>
    <n v="550"/>
    <n v="660"/>
    <n v="825"/>
    <n v="880"/>
    <n v="990"/>
    <n v="715"/>
    <n v="5720"/>
    <n v="5720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s v=""/>
    <s v="RJ"/>
    <n v="1358"/>
    <s v="VENDA INTERNA RJ"/>
    <s v="REEMBALADOS"/>
    <n v="0"/>
    <n v="0"/>
    <n v="0"/>
    <n v="300"/>
    <n v="350"/>
    <n v="450"/>
    <n v="550"/>
    <n v="660"/>
    <n v="825"/>
    <n v="880"/>
    <n v="990"/>
    <n v="715"/>
    <n v="5720"/>
    <n v="572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s v=""/>
    <s v="RJ"/>
    <n v="1358"/>
    <s v="VENDA INTERNA RJ"/>
    <s v="S GLUTEN"/>
    <n v="0"/>
    <n v="0"/>
    <n v="0"/>
    <n v="300"/>
    <n v="350"/>
    <n v="450"/>
    <n v="550"/>
    <n v="660"/>
    <n v="825"/>
    <n v="880"/>
    <n v="990"/>
    <n v="715"/>
    <n v="5720"/>
    <n v="572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s v=""/>
    <s v="RJ"/>
    <n v="1358"/>
    <s v="VENDA INTERNA RJ"/>
    <s v="SABORES DO CAMPO"/>
    <n v="0"/>
    <n v="0"/>
    <n v="0"/>
    <n v="0"/>
    <n v="0"/>
    <n v="0"/>
    <n v="0"/>
    <n v="0"/>
    <n v="0"/>
    <n v="0"/>
    <n v="0"/>
    <n v="0"/>
    <n v="0"/>
    <n v="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s v=""/>
    <s v="RJ"/>
    <n v="1358"/>
    <s v="VENDA INTERNA RJ"/>
    <s v="SAL"/>
    <n v="0"/>
    <n v="0"/>
    <n v="0"/>
    <n v="420.00000000000006"/>
    <n v="490.00000000000006"/>
    <n v="630.00000000000011"/>
    <n v="770.00000000000011"/>
    <n v="924.00000000000011"/>
    <n v="1155"/>
    <n v="1232.0000000000002"/>
    <n v="1386.0000000000002"/>
    <n v="1001.0000000000001"/>
    <n v="8008"/>
    <n v="8008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s v=""/>
    <s v="RJ"/>
    <n v="1358"/>
    <s v="VENDA INTERNA RJ"/>
    <s v="SOULPRO"/>
    <n v="0"/>
    <n v="0"/>
    <n v="0"/>
    <n v="300"/>
    <n v="349.99999999999994"/>
    <n v="449.99999999999994"/>
    <n v="550"/>
    <n v="660"/>
    <n v="824.99999999999989"/>
    <n v="879.99999999999989"/>
    <n v="989.99999999999989"/>
    <n v="714.99999999999989"/>
    <n v="5720"/>
    <n v="5720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s v=""/>
    <s v="RJ"/>
    <n v="1358"/>
    <s v="VENDA INTERNA RJ"/>
    <s v="TAMARA"/>
    <n v="0"/>
    <n v="0"/>
    <n v="0"/>
    <n v="480"/>
    <n v="560"/>
    <n v="720"/>
    <n v="880"/>
    <n v="1056"/>
    <n v="1320"/>
    <n v="1408"/>
    <n v="1584"/>
    <n v="1144"/>
    <n v="9152"/>
    <n v="9152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s v=""/>
    <s v="RJ"/>
    <n v="1358"/>
    <s v="VENDA INTERNA RJ"/>
    <s v="VICCIO"/>
    <n v="0"/>
    <n v="0"/>
    <n v="0"/>
    <n v="180"/>
    <n v="210"/>
    <n v="270"/>
    <n v="330"/>
    <n v="396"/>
    <n v="495"/>
    <n v="528"/>
    <n v="594"/>
    <n v="429"/>
    <n v="3432"/>
    <n v="3432"/>
    <n v="0"/>
    <s v=""/>
    <n v="0"/>
    <n v="0"/>
    <n v="0"/>
    <s v=""/>
    <s v="Novos "/>
    <n v="0.2"/>
    <m/>
  </r>
  <r>
    <x v="0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n v="1"/>
    <s v="MG"/>
    <n v="1359"/>
    <s v="VENDA INTERNA MG"/>
    <s v="1. TOTAL - VENDA INTERNA MG"/>
    <n v="0"/>
    <n v="0"/>
    <n v="0"/>
    <n v="7000"/>
    <n v="9000"/>
    <n v="11000"/>
    <n v="13000"/>
    <n v="16500"/>
    <n v="19800"/>
    <n v="22000"/>
    <n v="25300"/>
    <n v="16500"/>
    <n v="140100"/>
    <n v="140100"/>
    <n v="0"/>
    <s v=""/>
    <n v="0"/>
    <n v="0"/>
    <n v="0"/>
    <s v=""/>
    <m/>
    <m/>
    <m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s v=""/>
    <s v="MG"/>
    <n v="1359"/>
    <s v="VENDA INTERNA MG"/>
    <s v="BISCOITO"/>
    <n v="0"/>
    <n v="0"/>
    <n v="0"/>
    <n v="350"/>
    <n v="450"/>
    <n v="550"/>
    <n v="650"/>
    <n v="825"/>
    <n v="990"/>
    <n v="1100"/>
    <n v="1265"/>
    <n v="825"/>
    <n v="7005"/>
    <n v="7005"/>
    <n v="0"/>
    <s v=""/>
    <n v="0"/>
    <n v="0"/>
    <n v="0"/>
    <s v=""/>
    <s v="Novos "/>
    <n v="0.2"/>
    <m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s v=""/>
    <s v="MG"/>
    <n v="1359"/>
    <s v="VENDA INTERNA MG"/>
    <s v="CHOCOLATES"/>
    <n v="0"/>
    <n v="0"/>
    <n v="0"/>
    <n v="350"/>
    <n v="450"/>
    <n v="550"/>
    <n v="650"/>
    <n v="825"/>
    <n v="990"/>
    <n v="1100"/>
    <n v="1265"/>
    <n v="825"/>
    <n v="7005"/>
    <n v="7005"/>
    <n v="0"/>
    <s v=""/>
    <n v="0"/>
    <n v="0"/>
    <n v="0"/>
    <s v=""/>
    <s v="Novos "/>
    <n v="0.2"/>
    <m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s v=""/>
    <s v="MG"/>
    <n v="1359"/>
    <s v="VENDA INTERNA MG"/>
    <s v="DISNEY"/>
    <n v="0"/>
    <n v="0"/>
    <n v="0"/>
    <n v="560"/>
    <n v="720"/>
    <n v="880"/>
    <n v="1040"/>
    <n v="1320"/>
    <n v="1584"/>
    <n v="1760"/>
    <n v="2024"/>
    <n v="1320"/>
    <n v="11208"/>
    <n v="11208"/>
    <n v="0"/>
    <s v=""/>
    <n v="0"/>
    <n v="0"/>
    <n v="0"/>
    <s v=""/>
    <s v="Novos "/>
    <n v="0.15"/>
    <m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s v=""/>
    <s v="MG"/>
    <n v="1359"/>
    <s v="VENDA INTERNA MG"/>
    <s v="DOCES"/>
    <n v="0"/>
    <n v="0"/>
    <n v="0"/>
    <n v="700"/>
    <n v="900"/>
    <n v="1100"/>
    <n v="1300"/>
    <n v="1650"/>
    <n v="1980"/>
    <n v="2200"/>
    <n v="2530"/>
    <n v="1650"/>
    <n v="14010"/>
    <n v="1401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s v=""/>
    <s v="MG"/>
    <n v="1359"/>
    <s v="VENDA INTERNA MG"/>
    <s v="GELEIA"/>
    <n v="0"/>
    <n v="0"/>
    <n v="0"/>
    <n v="139.99999999999997"/>
    <n v="179.99999999999997"/>
    <n v="219.99999999999997"/>
    <n v="259.99999999999994"/>
    <n v="329.99999999999994"/>
    <n v="395.99999999999994"/>
    <n v="439.99999999999994"/>
    <n v="505.99999999999994"/>
    <n v="329.99999999999994"/>
    <n v="2801.9999999999995"/>
    <n v="2801.9999999999995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s v=""/>
    <s v="MG"/>
    <n v="1359"/>
    <s v="VENDA INTERNA MG"/>
    <s v="GRANOLA"/>
    <n v="0"/>
    <n v="0"/>
    <n v="0"/>
    <n v="140"/>
    <n v="180"/>
    <n v="220"/>
    <n v="260"/>
    <n v="330"/>
    <n v="396"/>
    <n v="440"/>
    <n v="506"/>
    <n v="330"/>
    <n v="2802"/>
    <n v="2802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s v=""/>
    <s v="MG"/>
    <n v="1359"/>
    <s v="VENDA INTERNA MG"/>
    <s v="KIDS"/>
    <n v="0"/>
    <n v="0"/>
    <n v="0"/>
    <n v="140"/>
    <n v="180"/>
    <n v="220"/>
    <n v="260"/>
    <n v="330"/>
    <n v="396"/>
    <n v="440"/>
    <n v="506"/>
    <n v="330"/>
    <n v="2802"/>
    <n v="2802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s v=""/>
    <s v="MG"/>
    <n v="1359"/>
    <s v="VENDA INTERNA MG"/>
    <s v="LANCHES"/>
    <n v="0"/>
    <n v="0"/>
    <n v="0"/>
    <n v="210"/>
    <n v="270"/>
    <n v="330"/>
    <n v="390"/>
    <n v="495"/>
    <n v="594"/>
    <n v="660"/>
    <n v="759"/>
    <n v="495"/>
    <n v="4203"/>
    <n v="4203"/>
    <n v="0"/>
    <s v=""/>
    <n v="0"/>
    <n v="0"/>
    <n v="0"/>
    <s v=""/>
    <s v="Novos "/>
    <n v="0.15"/>
    <m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s v=""/>
    <s v="MG"/>
    <n v="1359"/>
    <s v="VENDA INTERNA MG"/>
    <s v="MAIS GRANEL"/>
    <n v="0"/>
    <n v="0"/>
    <n v="0"/>
    <n v="1750"/>
    <n v="2250"/>
    <n v="2750"/>
    <n v="3250"/>
    <n v="4125"/>
    <n v="4950"/>
    <n v="5500"/>
    <n v="6325"/>
    <n v="4125"/>
    <n v="35025"/>
    <n v="35025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s v=""/>
    <s v="MG"/>
    <n v="1359"/>
    <s v="VENDA INTERNA MG"/>
    <s v="NATURATTA"/>
    <n v="0"/>
    <n v="0"/>
    <n v="0"/>
    <n v="350"/>
    <n v="450"/>
    <n v="550"/>
    <n v="650"/>
    <n v="825"/>
    <n v="990"/>
    <n v="1100"/>
    <n v="1265"/>
    <n v="825"/>
    <n v="7005"/>
    <n v="7005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s v=""/>
    <s v="MG"/>
    <n v="1359"/>
    <s v="VENDA INTERNA MG"/>
    <s v="REEMBALADOS"/>
    <n v="0"/>
    <n v="0"/>
    <n v="0"/>
    <n v="350"/>
    <n v="450"/>
    <n v="550"/>
    <n v="650"/>
    <n v="825"/>
    <n v="990"/>
    <n v="1100"/>
    <n v="1265"/>
    <n v="825"/>
    <n v="7005"/>
    <n v="7005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s v=""/>
    <s v="MG"/>
    <n v="1359"/>
    <s v="VENDA INTERNA MG"/>
    <s v="S GLUTEN"/>
    <n v="0"/>
    <n v="0"/>
    <n v="0"/>
    <n v="350"/>
    <n v="450"/>
    <n v="550"/>
    <n v="650"/>
    <n v="825"/>
    <n v="990"/>
    <n v="1100"/>
    <n v="1265"/>
    <n v="825"/>
    <n v="7005"/>
    <n v="7005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s v=""/>
    <s v="MG"/>
    <n v="1359"/>
    <s v="VENDA INTERNA MG"/>
    <s v="SABORES DO CAMPO"/>
    <n v="0"/>
    <n v="0"/>
    <n v="0"/>
    <n v="0"/>
    <n v="0"/>
    <n v="0"/>
    <n v="0"/>
    <n v="0"/>
    <n v="0"/>
    <n v="0"/>
    <n v="0"/>
    <n v="0"/>
    <n v="0"/>
    <n v="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s v=""/>
    <s v="MG"/>
    <n v="1359"/>
    <s v="VENDA INTERNA MG"/>
    <s v="SAL"/>
    <n v="0"/>
    <n v="0"/>
    <n v="0"/>
    <n v="490.00000000000006"/>
    <n v="630.00000000000011"/>
    <n v="770.00000000000011"/>
    <n v="910.00000000000011"/>
    <n v="1155"/>
    <n v="1386.0000000000002"/>
    <n v="1540.0000000000002"/>
    <n v="1771.0000000000002"/>
    <n v="1155"/>
    <n v="9807.0000000000018"/>
    <n v="9807.0000000000018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s v=""/>
    <s v="MG"/>
    <n v="1359"/>
    <s v="VENDA INTERNA MG"/>
    <s v="SOULPRO"/>
    <n v="0"/>
    <n v="0"/>
    <n v="0"/>
    <n v="349.99999999999994"/>
    <n v="449.99999999999994"/>
    <n v="550"/>
    <n v="650"/>
    <n v="824.99999999999989"/>
    <n v="989.99999999999989"/>
    <n v="1100"/>
    <n v="1265"/>
    <n v="824.99999999999989"/>
    <n v="7005"/>
    <n v="7005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s v=""/>
    <s v="MG"/>
    <n v="1359"/>
    <s v="VENDA INTERNA MG"/>
    <s v="TAMARA"/>
    <n v="0"/>
    <n v="0"/>
    <n v="0"/>
    <n v="560"/>
    <n v="720"/>
    <n v="880"/>
    <n v="1040"/>
    <n v="1320"/>
    <n v="1584"/>
    <n v="1760"/>
    <n v="2024"/>
    <n v="1320"/>
    <n v="11208"/>
    <n v="11208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s v=""/>
    <s v="MG"/>
    <n v="1359"/>
    <s v="VENDA INTERNA MG"/>
    <s v="VICCIO"/>
    <n v="0"/>
    <n v="0"/>
    <n v="0"/>
    <n v="210"/>
    <n v="270"/>
    <n v="330"/>
    <n v="390"/>
    <n v="495"/>
    <n v="594"/>
    <n v="660"/>
    <n v="759"/>
    <n v="495"/>
    <n v="4203"/>
    <n v="4203"/>
    <n v="0"/>
    <s v=""/>
    <n v="0"/>
    <n v="0"/>
    <n v="0"/>
    <s v=""/>
    <s v="Novos "/>
    <n v="0.2"/>
    <m/>
  </r>
  <r>
    <x v="0"/>
    <s v="1000065763"/>
    <s v="CANAL VENDA INTERNA"/>
    <s v="1000065763"/>
    <s v="CANAL VENDA INTERNA"/>
    <s v="1000105898"/>
    <s v="REGIONAL VENDA DIRETA SP"/>
    <s v="1000105898"/>
    <s v="REGIONAL VENDA DIRETA SP"/>
    <s v="1000150135"/>
    <x v="0"/>
    <n v="1"/>
    <s v="SP"/>
    <n v="1360"/>
    <s v="VENDA INTERNA SP CAPITAL"/>
    <s v="1. TOTAL - VENDA INTERNA SP CAPITAL"/>
    <n v="0"/>
    <n v="0"/>
    <n v="0"/>
    <n v="9000"/>
    <n v="11000"/>
    <n v="14000"/>
    <n v="17000"/>
    <n v="20900"/>
    <n v="26400"/>
    <n v="28600"/>
    <n v="31900"/>
    <n v="22000"/>
    <n v="180800"/>
    <n v="180800"/>
    <n v="0"/>
    <s v=""/>
    <n v="0"/>
    <n v="0"/>
    <n v="0"/>
    <s v=""/>
    <m/>
    <m/>
    <m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x v="0"/>
    <s v=""/>
    <s v="SP"/>
    <n v="1360"/>
    <s v="VENDA INTERNA SP CAPITAL"/>
    <s v="BISCOITO"/>
    <n v="0"/>
    <n v="0"/>
    <n v="0"/>
    <n v="450"/>
    <n v="550"/>
    <n v="700"/>
    <n v="850"/>
    <n v="1045"/>
    <n v="1320"/>
    <n v="1430"/>
    <n v="1595"/>
    <n v="1100"/>
    <n v="9040"/>
    <n v="9040"/>
    <n v="0"/>
    <s v=""/>
    <n v="0"/>
    <n v="0"/>
    <n v="0"/>
    <s v=""/>
    <s v="Novos "/>
    <n v="0.2"/>
    <m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x v="0"/>
    <s v=""/>
    <s v="SP"/>
    <n v="1360"/>
    <s v="VENDA INTERNA SP CAPITAL"/>
    <s v="CHOCOLATES"/>
    <n v="0"/>
    <n v="0"/>
    <n v="0"/>
    <n v="450"/>
    <n v="550"/>
    <n v="700"/>
    <n v="850"/>
    <n v="1045"/>
    <n v="1320"/>
    <n v="1430"/>
    <n v="1595"/>
    <n v="1100"/>
    <n v="9040"/>
    <n v="9040"/>
    <n v="0"/>
    <s v=""/>
    <n v="0"/>
    <n v="0"/>
    <n v="0"/>
    <s v=""/>
    <s v="Novos "/>
    <n v="0.2"/>
    <m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x v="0"/>
    <s v=""/>
    <s v="SP"/>
    <n v="1360"/>
    <s v="VENDA INTERNA SP CAPITAL"/>
    <s v="DISNEY"/>
    <n v="0"/>
    <n v="0"/>
    <n v="0"/>
    <n v="720"/>
    <n v="880"/>
    <n v="1120"/>
    <n v="1360"/>
    <n v="1672"/>
    <n v="2112"/>
    <n v="2288"/>
    <n v="2552"/>
    <n v="1760"/>
    <n v="14464"/>
    <n v="14464"/>
    <n v="0"/>
    <s v=""/>
    <n v="0"/>
    <n v="0"/>
    <n v="0"/>
    <s v=""/>
    <s v="Novos "/>
    <n v="0.15"/>
    <m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x v="0"/>
    <s v=""/>
    <s v="SP"/>
    <n v="1360"/>
    <s v="VENDA INTERNA SP CAPITAL"/>
    <s v="DOCES"/>
    <n v="0"/>
    <n v="0"/>
    <n v="0"/>
    <n v="900"/>
    <n v="1100"/>
    <n v="1400"/>
    <n v="1700"/>
    <n v="2090"/>
    <n v="2640"/>
    <n v="2860"/>
    <n v="3190"/>
    <n v="2200"/>
    <n v="18080"/>
    <n v="1808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x v="0"/>
    <s v=""/>
    <s v="SP"/>
    <n v="1360"/>
    <s v="VENDA INTERNA SP CAPITAL"/>
    <s v="GELEIA"/>
    <n v="0"/>
    <n v="0"/>
    <n v="0"/>
    <n v="179.99999999999997"/>
    <n v="219.99999999999997"/>
    <n v="279.99999999999994"/>
    <n v="339.99999999999994"/>
    <n v="417.99999999999994"/>
    <n v="527.99999999999989"/>
    <n v="571.99999999999989"/>
    <n v="637.99999999999989"/>
    <n v="439.99999999999994"/>
    <n v="3615.9999999999995"/>
    <n v="3615.9999999999995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x v="0"/>
    <s v=""/>
    <s v="SP"/>
    <n v="1360"/>
    <s v="VENDA INTERNA SP CAPITAL"/>
    <s v="GRANOLA"/>
    <n v="0"/>
    <n v="0"/>
    <n v="0"/>
    <n v="180"/>
    <n v="220"/>
    <n v="280"/>
    <n v="340"/>
    <n v="418"/>
    <n v="528"/>
    <n v="572"/>
    <n v="638"/>
    <n v="440"/>
    <n v="3616"/>
    <n v="3616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x v="0"/>
    <s v=""/>
    <s v="SP"/>
    <n v="1360"/>
    <s v="VENDA INTERNA SP CAPITAL"/>
    <s v="KIDS"/>
    <n v="0"/>
    <n v="0"/>
    <n v="0"/>
    <n v="180"/>
    <n v="220"/>
    <n v="280"/>
    <n v="340"/>
    <n v="418"/>
    <n v="528"/>
    <n v="572"/>
    <n v="638"/>
    <n v="440"/>
    <n v="3616"/>
    <n v="3616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x v="0"/>
    <s v=""/>
    <s v="SP"/>
    <n v="1360"/>
    <s v="VENDA INTERNA SP CAPITAL"/>
    <s v="LANCHES"/>
    <n v="0"/>
    <n v="0"/>
    <n v="0"/>
    <n v="270"/>
    <n v="330"/>
    <n v="420"/>
    <n v="510"/>
    <n v="627"/>
    <n v="792"/>
    <n v="858"/>
    <n v="957"/>
    <n v="660"/>
    <n v="5424"/>
    <n v="5424"/>
    <n v="0"/>
    <s v=""/>
    <n v="0"/>
    <n v="0"/>
    <n v="0"/>
    <s v=""/>
    <s v="Novos "/>
    <n v="0.15"/>
    <m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x v="0"/>
    <s v=""/>
    <s v="SP"/>
    <n v="1360"/>
    <s v="VENDA INTERNA SP CAPITAL"/>
    <s v="MAIS GRANEL"/>
    <n v="0"/>
    <n v="0"/>
    <n v="0"/>
    <n v="2250"/>
    <n v="2750"/>
    <n v="3500"/>
    <n v="4250"/>
    <n v="5225"/>
    <n v="6600"/>
    <n v="7150"/>
    <n v="7975"/>
    <n v="5500"/>
    <n v="45200"/>
    <n v="4520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x v="0"/>
    <s v=""/>
    <s v="SP"/>
    <n v="1360"/>
    <s v="VENDA INTERNA SP CAPITAL"/>
    <s v="NATURATTA"/>
    <n v="0"/>
    <n v="0"/>
    <n v="0"/>
    <n v="450"/>
    <n v="550"/>
    <n v="700"/>
    <n v="850"/>
    <n v="1045"/>
    <n v="1320"/>
    <n v="1430"/>
    <n v="1595"/>
    <n v="1100"/>
    <n v="9040"/>
    <n v="9040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x v="0"/>
    <s v=""/>
    <s v="SP"/>
    <n v="1360"/>
    <s v="VENDA INTERNA SP CAPITAL"/>
    <s v="REEMBALADOS"/>
    <n v="0"/>
    <n v="0"/>
    <n v="0"/>
    <n v="450"/>
    <n v="550"/>
    <n v="700"/>
    <n v="850"/>
    <n v="1045"/>
    <n v="1320"/>
    <n v="1430"/>
    <n v="1595"/>
    <n v="1100"/>
    <n v="9040"/>
    <n v="904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x v="0"/>
    <s v=""/>
    <s v="SP"/>
    <n v="1360"/>
    <s v="VENDA INTERNA SP CAPITAL"/>
    <s v="S GLUTEN"/>
    <n v="0"/>
    <n v="0"/>
    <n v="0"/>
    <n v="450"/>
    <n v="550"/>
    <n v="700"/>
    <n v="850"/>
    <n v="1045"/>
    <n v="1320"/>
    <n v="1430"/>
    <n v="1595"/>
    <n v="1100"/>
    <n v="9040"/>
    <n v="904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x v="0"/>
    <s v=""/>
    <s v="SP"/>
    <n v="1360"/>
    <s v="VENDA INTERNA SP CAPITAL"/>
    <s v="SABORES DO CAMPO"/>
    <n v="0"/>
    <n v="0"/>
    <n v="0"/>
    <n v="0"/>
    <n v="0"/>
    <n v="0"/>
    <n v="0"/>
    <n v="0"/>
    <n v="0"/>
    <n v="0"/>
    <n v="0"/>
    <n v="0"/>
    <n v="0"/>
    <n v="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x v="0"/>
    <s v=""/>
    <s v="SP"/>
    <n v="1360"/>
    <s v="VENDA INTERNA SP CAPITAL"/>
    <s v="SAL"/>
    <n v="0"/>
    <n v="0"/>
    <n v="0"/>
    <n v="630.00000000000011"/>
    <n v="770.00000000000011"/>
    <n v="980.00000000000011"/>
    <n v="1190"/>
    <n v="1463.0000000000002"/>
    <n v="1848.0000000000002"/>
    <n v="2002.0000000000002"/>
    <n v="2233"/>
    <n v="1540.0000000000002"/>
    <n v="12656.000000000002"/>
    <n v="12656.000000000002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x v="0"/>
    <s v=""/>
    <s v="SP"/>
    <n v="1360"/>
    <s v="VENDA INTERNA SP CAPITAL"/>
    <s v="SOULPRO"/>
    <n v="0"/>
    <n v="0"/>
    <n v="0"/>
    <n v="449.99999999999994"/>
    <n v="550"/>
    <n v="699.99999999999989"/>
    <n v="849.99999999999989"/>
    <n v="1045"/>
    <n v="1320"/>
    <n v="1429.9999999999998"/>
    <n v="1594.9999999999998"/>
    <n v="1100"/>
    <n v="9040"/>
    <n v="9040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x v="0"/>
    <s v=""/>
    <s v="SP"/>
    <n v="1360"/>
    <s v="VENDA INTERNA SP CAPITAL"/>
    <s v="TAMARA"/>
    <n v="0"/>
    <n v="0"/>
    <n v="0"/>
    <n v="720"/>
    <n v="880"/>
    <n v="1120"/>
    <n v="1360"/>
    <n v="1672"/>
    <n v="2112"/>
    <n v="2288"/>
    <n v="2552"/>
    <n v="1760"/>
    <n v="14464"/>
    <n v="14464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x v="0"/>
    <s v=""/>
    <s v="SP"/>
    <n v="1360"/>
    <s v="VENDA INTERNA SP CAPITAL"/>
    <s v="VICCIO"/>
    <n v="0"/>
    <n v="0"/>
    <n v="0"/>
    <n v="270"/>
    <n v="330"/>
    <n v="420"/>
    <n v="510"/>
    <n v="627"/>
    <n v="792"/>
    <n v="858"/>
    <n v="957"/>
    <n v="660"/>
    <n v="5424"/>
    <n v="5424"/>
    <n v="0"/>
    <s v=""/>
    <n v="0"/>
    <n v="0"/>
    <n v="0"/>
    <s v=""/>
    <s v="Novos "/>
    <n v="0.2"/>
    <m/>
  </r>
  <r>
    <x v="0"/>
    <s v="1000065763"/>
    <s v="CANAL VENDA INTERNA"/>
    <s v="1000065763"/>
    <s v="CANAL VENDA INTERNA"/>
    <s v="1000105898"/>
    <s v="REGIONAL VENDA DIRETA SP"/>
    <s v="1000105898"/>
    <s v="REGIONAL VENDA DIRETA SP"/>
    <s v="1000150135"/>
    <x v="0"/>
    <n v="1"/>
    <s v="SP"/>
    <n v="1361"/>
    <s v="VENDA INTERNA SP INTERIOR"/>
    <s v="1. TOTAL - VENDA INTERNA SP INTERIOR"/>
    <n v="0"/>
    <n v="0"/>
    <n v="0"/>
    <n v="11000"/>
    <n v="13000"/>
    <n v="16000"/>
    <n v="19000"/>
    <n v="24200"/>
    <n v="29700"/>
    <n v="33000"/>
    <n v="37400"/>
    <n v="25300"/>
    <n v="208600"/>
    <n v="208600"/>
    <n v="0"/>
    <s v=""/>
    <n v="0"/>
    <n v="0"/>
    <n v="0"/>
    <s v=""/>
    <m/>
    <m/>
    <m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x v="0"/>
    <s v=""/>
    <s v="SP"/>
    <n v="1361"/>
    <s v="VENDA INTERNA SP INTERIOR"/>
    <s v="BISCOITO"/>
    <n v="0"/>
    <n v="0"/>
    <n v="0"/>
    <n v="550"/>
    <n v="650"/>
    <n v="800"/>
    <n v="950"/>
    <n v="1210"/>
    <n v="1485"/>
    <n v="1650"/>
    <n v="1870"/>
    <n v="1265"/>
    <n v="10430"/>
    <n v="10430"/>
    <n v="0"/>
    <s v=""/>
    <n v="0"/>
    <n v="0"/>
    <n v="0"/>
    <s v=""/>
    <s v="Novos "/>
    <n v="0.2"/>
    <m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x v="0"/>
    <s v=""/>
    <s v="SP"/>
    <n v="1361"/>
    <s v="VENDA INTERNA SP INTERIOR"/>
    <s v="CHOCOLATES"/>
    <n v="0"/>
    <n v="0"/>
    <n v="0"/>
    <n v="550"/>
    <n v="650"/>
    <n v="800"/>
    <n v="950"/>
    <n v="1210"/>
    <n v="1485"/>
    <n v="1650"/>
    <n v="1870"/>
    <n v="1265"/>
    <n v="10430"/>
    <n v="10430"/>
    <n v="0"/>
    <s v=""/>
    <n v="0"/>
    <n v="0"/>
    <n v="0"/>
    <s v=""/>
    <s v="Novos "/>
    <n v="0.2"/>
    <m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x v="0"/>
    <s v=""/>
    <s v="SP"/>
    <n v="1361"/>
    <s v="VENDA INTERNA SP INTERIOR"/>
    <s v="DISNEY"/>
    <n v="0"/>
    <n v="0"/>
    <n v="0"/>
    <n v="880"/>
    <n v="1040"/>
    <n v="1280"/>
    <n v="1520"/>
    <n v="1936"/>
    <n v="2376"/>
    <n v="2640"/>
    <n v="2992"/>
    <n v="2024"/>
    <n v="16688"/>
    <n v="16688"/>
    <n v="0"/>
    <s v=""/>
    <n v="0"/>
    <n v="0"/>
    <n v="0"/>
    <s v=""/>
    <s v="Novos "/>
    <n v="0.15"/>
    <m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x v="0"/>
    <s v=""/>
    <s v="SP"/>
    <n v="1361"/>
    <s v="VENDA INTERNA SP INTERIOR"/>
    <s v="DOCES"/>
    <n v="0"/>
    <n v="0"/>
    <n v="0"/>
    <n v="1100"/>
    <n v="1300"/>
    <n v="1600"/>
    <n v="1900"/>
    <n v="2420"/>
    <n v="2970"/>
    <n v="3300"/>
    <n v="3740"/>
    <n v="2530"/>
    <n v="20860"/>
    <n v="2086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x v="0"/>
    <s v=""/>
    <s v="SP"/>
    <n v="1361"/>
    <s v="VENDA INTERNA SP INTERIOR"/>
    <s v="GELEIA"/>
    <n v="0"/>
    <n v="0"/>
    <n v="0"/>
    <n v="219.99999999999997"/>
    <n v="259.99999999999994"/>
    <n v="319.99999999999994"/>
    <n v="379.99999999999994"/>
    <n v="483.99999999999994"/>
    <n v="593.99999999999989"/>
    <n v="659.99999999999989"/>
    <n v="747.99999999999989"/>
    <n v="505.99999999999994"/>
    <n v="4171.9999999999991"/>
    <n v="4171.9999999999991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x v="0"/>
    <s v=""/>
    <s v="SP"/>
    <n v="1361"/>
    <s v="VENDA INTERNA SP INTERIOR"/>
    <s v="GRANOLA"/>
    <n v="0"/>
    <n v="0"/>
    <n v="0"/>
    <n v="220"/>
    <n v="260"/>
    <n v="320"/>
    <n v="380"/>
    <n v="484"/>
    <n v="594"/>
    <n v="660"/>
    <n v="748"/>
    <n v="506"/>
    <n v="4172"/>
    <n v="4172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x v="0"/>
    <s v=""/>
    <s v="SP"/>
    <n v="1361"/>
    <s v="VENDA INTERNA SP INTERIOR"/>
    <s v="KIDS"/>
    <n v="0"/>
    <n v="0"/>
    <n v="0"/>
    <n v="220"/>
    <n v="260"/>
    <n v="320"/>
    <n v="380"/>
    <n v="484"/>
    <n v="594"/>
    <n v="660"/>
    <n v="748"/>
    <n v="506"/>
    <n v="4172"/>
    <n v="4172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x v="0"/>
    <s v=""/>
    <s v="SP"/>
    <n v="1361"/>
    <s v="VENDA INTERNA SP INTERIOR"/>
    <s v="LANCHES"/>
    <n v="0"/>
    <n v="0"/>
    <n v="0"/>
    <n v="330"/>
    <n v="390"/>
    <n v="480"/>
    <n v="570"/>
    <n v="726"/>
    <n v="891"/>
    <n v="990"/>
    <n v="1122"/>
    <n v="759"/>
    <n v="6258"/>
    <n v="6258"/>
    <n v="0"/>
    <s v=""/>
    <n v="0"/>
    <n v="0"/>
    <n v="0"/>
    <s v=""/>
    <s v="Novos "/>
    <n v="0.15"/>
    <m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x v="0"/>
    <s v=""/>
    <s v="SP"/>
    <n v="1361"/>
    <s v="VENDA INTERNA SP INTERIOR"/>
    <s v="MAIS GRANEL"/>
    <n v="0"/>
    <n v="0"/>
    <n v="0"/>
    <n v="2750"/>
    <n v="3250"/>
    <n v="4000"/>
    <n v="4750"/>
    <n v="6050"/>
    <n v="7425"/>
    <n v="8250"/>
    <n v="9350"/>
    <n v="6325"/>
    <n v="52150"/>
    <n v="5215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x v="0"/>
    <s v=""/>
    <s v="SP"/>
    <n v="1361"/>
    <s v="VENDA INTERNA SP INTERIOR"/>
    <s v="NATURATTA"/>
    <n v="0"/>
    <n v="0"/>
    <n v="0"/>
    <n v="550"/>
    <n v="650"/>
    <n v="800"/>
    <n v="950"/>
    <n v="1210"/>
    <n v="1485"/>
    <n v="1650"/>
    <n v="1870"/>
    <n v="1265"/>
    <n v="10430"/>
    <n v="10430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x v="0"/>
    <s v=""/>
    <s v="SP"/>
    <n v="1361"/>
    <s v="VENDA INTERNA SP INTERIOR"/>
    <s v="REEMBALADOS"/>
    <n v="0"/>
    <n v="0"/>
    <n v="0"/>
    <n v="550"/>
    <n v="650"/>
    <n v="800"/>
    <n v="950"/>
    <n v="1210"/>
    <n v="1485"/>
    <n v="1650"/>
    <n v="1870"/>
    <n v="1265"/>
    <n v="10430"/>
    <n v="1043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x v="0"/>
    <s v=""/>
    <s v="SP"/>
    <n v="1361"/>
    <s v="VENDA INTERNA SP INTERIOR"/>
    <s v="S GLUTEN"/>
    <n v="0"/>
    <n v="0"/>
    <n v="0"/>
    <n v="550"/>
    <n v="650"/>
    <n v="800"/>
    <n v="950"/>
    <n v="1210"/>
    <n v="1485"/>
    <n v="1650"/>
    <n v="1870"/>
    <n v="1265"/>
    <n v="10430"/>
    <n v="1043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x v="0"/>
    <s v=""/>
    <s v="SP"/>
    <n v="1361"/>
    <s v="VENDA INTERNA SP INTERIOR"/>
    <s v="SABORES DO CAMPO"/>
    <n v="0"/>
    <n v="0"/>
    <n v="0"/>
    <n v="0"/>
    <n v="0"/>
    <n v="0"/>
    <n v="0"/>
    <n v="0"/>
    <n v="0"/>
    <n v="0"/>
    <n v="0"/>
    <n v="0"/>
    <n v="0"/>
    <n v="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x v="0"/>
    <s v=""/>
    <s v="SP"/>
    <n v="1361"/>
    <s v="VENDA INTERNA SP INTERIOR"/>
    <s v="SAL"/>
    <n v="0"/>
    <n v="0"/>
    <n v="0"/>
    <n v="770.00000000000011"/>
    <n v="910.00000000000011"/>
    <n v="1120"/>
    <n v="1330.0000000000002"/>
    <n v="1694.0000000000002"/>
    <n v="2079"/>
    <n v="2310"/>
    <n v="2618.0000000000005"/>
    <n v="1771.0000000000002"/>
    <n v="14602"/>
    <n v="14602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x v="0"/>
    <s v=""/>
    <s v="SP"/>
    <n v="1361"/>
    <s v="VENDA INTERNA SP INTERIOR"/>
    <s v="SOULPRO"/>
    <n v="0"/>
    <n v="0"/>
    <n v="0"/>
    <n v="550"/>
    <n v="650"/>
    <n v="799.99999999999989"/>
    <n v="949.99999999999989"/>
    <n v="1210"/>
    <n v="1484.9999999999998"/>
    <n v="1649.9999999999998"/>
    <n v="1869.9999999999998"/>
    <n v="1265"/>
    <n v="10430"/>
    <n v="10430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x v="0"/>
    <s v=""/>
    <s v="SP"/>
    <n v="1361"/>
    <s v="VENDA INTERNA SP INTERIOR"/>
    <s v="TAMARA"/>
    <n v="0"/>
    <n v="0"/>
    <n v="0"/>
    <n v="880"/>
    <n v="1040"/>
    <n v="1280"/>
    <n v="1520"/>
    <n v="1936"/>
    <n v="2376"/>
    <n v="2640"/>
    <n v="2992"/>
    <n v="2024"/>
    <n v="16688"/>
    <n v="16688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x v="0"/>
    <s v=""/>
    <s v="SP"/>
    <n v="1361"/>
    <s v="VENDA INTERNA SP INTERIOR"/>
    <s v="VICCIO"/>
    <n v="0"/>
    <n v="0"/>
    <n v="0"/>
    <n v="330"/>
    <n v="390"/>
    <n v="480"/>
    <n v="570"/>
    <n v="726"/>
    <n v="891"/>
    <n v="990"/>
    <n v="1122"/>
    <n v="759"/>
    <n v="6258"/>
    <n v="6258"/>
    <n v="0"/>
    <s v=""/>
    <n v="0"/>
    <n v="0"/>
    <n v="0"/>
    <s v=""/>
    <s v="Novos "/>
    <n v="0.2"/>
    <m/>
  </r>
  <r>
    <x v="0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n v="1"/>
    <s v="RS"/>
    <n v="1362"/>
    <s v="VENDA INTERNA RS"/>
    <s v="1. TOTAL - VENDA INTERNA RS"/>
    <n v="0"/>
    <n v="0"/>
    <n v="0"/>
    <n v="13000"/>
    <n v="16000"/>
    <n v="20000"/>
    <n v="24000"/>
    <n v="29700"/>
    <n v="37400"/>
    <n v="40700"/>
    <n v="46200"/>
    <n v="31900"/>
    <n v="258900"/>
    <n v="258900"/>
    <n v="0"/>
    <s v=""/>
    <n v="0"/>
    <n v="0"/>
    <n v="0"/>
    <s v=""/>
    <m/>
    <m/>
    <m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s v=""/>
    <s v="RS"/>
    <n v="1362"/>
    <s v="VENDA INTERNA RS"/>
    <s v="BISCOITO"/>
    <n v="0"/>
    <n v="0"/>
    <n v="0"/>
    <n v="650"/>
    <n v="800"/>
    <n v="1000"/>
    <n v="1200"/>
    <n v="1485"/>
    <n v="1870"/>
    <n v="2035"/>
    <n v="2310"/>
    <n v="1595"/>
    <n v="12945"/>
    <n v="12945"/>
    <n v="0"/>
    <s v=""/>
    <n v="0"/>
    <n v="0"/>
    <n v="0"/>
    <s v=""/>
    <s v="Novos "/>
    <n v="0.2"/>
    <m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s v=""/>
    <s v="RS"/>
    <n v="1362"/>
    <s v="VENDA INTERNA RS"/>
    <s v="CHOCOLATES"/>
    <n v="0"/>
    <n v="0"/>
    <n v="0"/>
    <n v="650"/>
    <n v="800"/>
    <n v="1000"/>
    <n v="1200"/>
    <n v="1485"/>
    <n v="1870"/>
    <n v="2035"/>
    <n v="2310"/>
    <n v="1595"/>
    <n v="12945"/>
    <n v="12945"/>
    <n v="0"/>
    <s v=""/>
    <n v="0"/>
    <n v="0"/>
    <n v="0"/>
    <s v=""/>
    <s v="Novos "/>
    <n v="0.2"/>
    <m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s v=""/>
    <s v="RS"/>
    <n v="1362"/>
    <s v="VENDA INTERNA RS"/>
    <s v="DISNEY"/>
    <n v="0"/>
    <n v="0"/>
    <n v="0"/>
    <n v="1040"/>
    <n v="1280"/>
    <n v="1600"/>
    <n v="1920"/>
    <n v="2376"/>
    <n v="2992"/>
    <n v="3256"/>
    <n v="3696"/>
    <n v="2552"/>
    <n v="20712"/>
    <n v="20712"/>
    <n v="0"/>
    <s v=""/>
    <n v="0"/>
    <n v="0"/>
    <n v="0"/>
    <s v=""/>
    <s v="Novos "/>
    <n v="0.15"/>
    <m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s v=""/>
    <s v="RS"/>
    <n v="1362"/>
    <s v="VENDA INTERNA RS"/>
    <s v="DOCES"/>
    <n v="0"/>
    <n v="0"/>
    <n v="0"/>
    <n v="1300"/>
    <n v="1600"/>
    <n v="2000"/>
    <n v="2400"/>
    <n v="2970"/>
    <n v="3740"/>
    <n v="4070"/>
    <n v="4620"/>
    <n v="3190"/>
    <n v="25890"/>
    <n v="2589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s v=""/>
    <s v="RS"/>
    <n v="1362"/>
    <s v="VENDA INTERNA RS"/>
    <s v="GELEIA"/>
    <n v="0"/>
    <n v="0"/>
    <n v="0"/>
    <n v="259.99999999999994"/>
    <n v="319.99999999999994"/>
    <n v="399.99999999999994"/>
    <n v="479.99999999999994"/>
    <n v="593.99999999999989"/>
    <n v="747.99999999999989"/>
    <n v="813.99999999999989"/>
    <n v="923.99999999999989"/>
    <n v="637.99999999999989"/>
    <n v="5177.9999999999991"/>
    <n v="5177.9999999999991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s v=""/>
    <s v="RS"/>
    <n v="1362"/>
    <s v="VENDA INTERNA RS"/>
    <s v="GRANOLA"/>
    <n v="0"/>
    <n v="0"/>
    <n v="0"/>
    <n v="260"/>
    <n v="320"/>
    <n v="400"/>
    <n v="480"/>
    <n v="594"/>
    <n v="748"/>
    <n v="814"/>
    <n v="924"/>
    <n v="638"/>
    <n v="5178"/>
    <n v="5178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s v=""/>
    <s v="RS"/>
    <n v="1362"/>
    <s v="VENDA INTERNA RS"/>
    <s v="KIDS"/>
    <n v="0"/>
    <n v="0"/>
    <n v="0"/>
    <n v="260"/>
    <n v="320"/>
    <n v="400"/>
    <n v="480"/>
    <n v="594"/>
    <n v="748"/>
    <n v="814"/>
    <n v="924"/>
    <n v="638"/>
    <n v="5178"/>
    <n v="5178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s v=""/>
    <s v="RS"/>
    <n v="1362"/>
    <s v="VENDA INTERNA RS"/>
    <s v="LANCHES"/>
    <n v="0"/>
    <n v="0"/>
    <n v="0"/>
    <n v="390"/>
    <n v="480"/>
    <n v="600"/>
    <n v="720"/>
    <n v="891"/>
    <n v="1122"/>
    <n v="1221"/>
    <n v="1386"/>
    <n v="957"/>
    <n v="7767"/>
    <n v="7767"/>
    <n v="0"/>
    <s v=""/>
    <n v="0"/>
    <n v="0"/>
    <n v="0"/>
    <s v=""/>
    <s v="Novos "/>
    <n v="0.15"/>
    <m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s v=""/>
    <s v="RS"/>
    <n v="1362"/>
    <s v="VENDA INTERNA RS"/>
    <s v="MAIS GRANEL"/>
    <n v="0"/>
    <n v="0"/>
    <n v="0"/>
    <n v="3250"/>
    <n v="4000"/>
    <n v="5000"/>
    <n v="6000"/>
    <n v="7425"/>
    <n v="9350"/>
    <n v="10175"/>
    <n v="11550"/>
    <n v="7975"/>
    <n v="64725"/>
    <n v="64725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s v=""/>
    <s v="RS"/>
    <n v="1362"/>
    <s v="VENDA INTERNA RS"/>
    <s v="NATURATTA"/>
    <n v="0"/>
    <n v="0"/>
    <n v="0"/>
    <n v="650"/>
    <n v="800"/>
    <n v="1000"/>
    <n v="1200"/>
    <n v="1485"/>
    <n v="1870"/>
    <n v="2035"/>
    <n v="2310"/>
    <n v="1595"/>
    <n v="12945"/>
    <n v="12945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s v=""/>
    <s v="RS"/>
    <n v="1362"/>
    <s v="VENDA INTERNA RS"/>
    <s v="REEMBALADOS"/>
    <n v="0"/>
    <n v="0"/>
    <n v="0"/>
    <n v="650"/>
    <n v="800"/>
    <n v="1000"/>
    <n v="1200"/>
    <n v="1485"/>
    <n v="1870"/>
    <n v="2035"/>
    <n v="2310"/>
    <n v="1595"/>
    <n v="12945"/>
    <n v="12945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s v=""/>
    <s v="RS"/>
    <n v="1362"/>
    <s v="VENDA INTERNA RS"/>
    <s v="S GLUTEN"/>
    <n v="0"/>
    <n v="0"/>
    <n v="0"/>
    <n v="650"/>
    <n v="800"/>
    <n v="1000"/>
    <n v="1200"/>
    <n v="1485"/>
    <n v="1870"/>
    <n v="2035"/>
    <n v="2310"/>
    <n v="1595"/>
    <n v="12945"/>
    <n v="12945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s v=""/>
    <s v="RS"/>
    <n v="1362"/>
    <s v="VENDA INTERNA RS"/>
    <s v="SABORES DO CAMPO"/>
    <n v="0"/>
    <n v="0"/>
    <n v="0"/>
    <n v="0"/>
    <n v="0"/>
    <n v="0"/>
    <n v="0"/>
    <n v="0"/>
    <n v="0"/>
    <n v="0"/>
    <n v="0"/>
    <n v="0"/>
    <n v="0"/>
    <n v="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s v=""/>
    <s v="RS"/>
    <n v="1362"/>
    <s v="VENDA INTERNA RS"/>
    <s v="SAL"/>
    <n v="0"/>
    <n v="0"/>
    <n v="0"/>
    <n v="910.00000000000011"/>
    <n v="1120"/>
    <n v="1400.0000000000002"/>
    <n v="1680.0000000000002"/>
    <n v="2079"/>
    <n v="2618.0000000000005"/>
    <n v="2849.0000000000005"/>
    <n v="3234.0000000000005"/>
    <n v="2233"/>
    <n v="18123"/>
    <n v="18123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s v=""/>
    <s v="RS"/>
    <n v="1362"/>
    <s v="VENDA INTERNA RS"/>
    <s v="SOULPRO"/>
    <n v="0"/>
    <n v="0"/>
    <n v="0"/>
    <n v="650"/>
    <n v="799.99999999999989"/>
    <n v="999.99999999999989"/>
    <n v="1200"/>
    <n v="1484.9999999999998"/>
    <n v="1869.9999999999998"/>
    <n v="2034.9999999999998"/>
    <n v="2310"/>
    <n v="1594.9999999999998"/>
    <n v="12945"/>
    <n v="12945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s v=""/>
    <s v="RS"/>
    <n v="1362"/>
    <s v="VENDA INTERNA RS"/>
    <s v="TAMARA"/>
    <n v="0"/>
    <n v="0"/>
    <n v="0"/>
    <n v="1040"/>
    <n v="1280"/>
    <n v="1600"/>
    <n v="1920"/>
    <n v="2376"/>
    <n v="2992"/>
    <n v="3256"/>
    <n v="3696"/>
    <n v="2552"/>
    <n v="20712"/>
    <n v="20712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s v=""/>
    <s v="RS"/>
    <n v="1362"/>
    <s v="VENDA INTERNA RS"/>
    <s v="VICCIO"/>
    <n v="0"/>
    <n v="0"/>
    <n v="0"/>
    <n v="390"/>
    <n v="480"/>
    <n v="600"/>
    <n v="720"/>
    <n v="891"/>
    <n v="1122"/>
    <n v="1221"/>
    <n v="1386"/>
    <n v="957"/>
    <n v="7767"/>
    <n v="7767"/>
    <n v="0"/>
    <s v=""/>
    <n v="0"/>
    <n v="0"/>
    <n v="0"/>
    <s v=""/>
    <s v="Novos "/>
    <n v="0.2"/>
    <m/>
  </r>
  <r>
    <x v="0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n v="1"/>
    <s v="PR"/>
    <n v="1363"/>
    <s v="VENDA INTERNA PR"/>
    <s v="1. TOTAL - VENDA INTERNA PR"/>
    <n v="0"/>
    <n v="0"/>
    <n v="0"/>
    <n v="16000"/>
    <n v="20000"/>
    <n v="25000"/>
    <n v="30000"/>
    <n v="37400"/>
    <n v="47300"/>
    <n v="51700"/>
    <n v="58300"/>
    <n v="39600"/>
    <n v="325300"/>
    <n v="325300"/>
    <n v="0"/>
    <s v=""/>
    <n v="0"/>
    <n v="0"/>
    <n v="0"/>
    <s v=""/>
    <m/>
    <m/>
    <m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s v=""/>
    <s v="PR"/>
    <n v="1363"/>
    <s v="VENDA INTERNA PR"/>
    <s v="BISCOITO"/>
    <n v="0"/>
    <n v="0"/>
    <n v="0"/>
    <n v="800"/>
    <n v="1000"/>
    <n v="1250"/>
    <n v="1500"/>
    <n v="1870"/>
    <n v="2365"/>
    <n v="2585"/>
    <n v="2915"/>
    <n v="1980"/>
    <n v="16265"/>
    <n v="16265"/>
    <n v="0"/>
    <s v=""/>
    <n v="0"/>
    <n v="0"/>
    <n v="0"/>
    <s v=""/>
    <s v="Novos "/>
    <n v="0.2"/>
    <m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s v=""/>
    <s v="PR"/>
    <n v="1363"/>
    <s v="VENDA INTERNA PR"/>
    <s v="CHOCOLATES"/>
    <n v="0"/>
    <n v="0"/>
    <n v="0"/>
    <n v="800"/>
    <n v="1000"/>
    <n v="1250"/>
    <n v="1500"/>
    <n v="1870"/>
    <n v="2365"/>
    <n v="2585"/>
    <n v="2915"/>
    <n v="1980"/>
    <n v="16265"/>
    <n v="16265"/>
    <n v="0"/>
    <s v=""/>
    <n v="0"/>
    <n v="0"/>
    <n v="0"/>
    <s v=""/>
    <s v="Novos "/>
    <n v="0.2"/>
    <m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s v=""/>
    <s v="PR"/>
    <n v="1363"/>
    <s v="VENDA INTERNA PR"/>
    <s v="DISNEY"/>
    <n v="0"/>
    <n v="0"/>
    <n v="0"/>
    <n v="1280"/>
    <n v="1600"/>
    <n v="2000"/>
    <n v="2400"/>
    <n v="2992"/>
    <n v="3784"/>
    <n v="4136"/>
    <n v="4664"/>
    <n v="3168"/>
    <n v="26024"/>
    <n v="26024"/>
    <n v="0"/>
    <s v=""/>
    <n v="0"/>
    <n v="0"/>
    <n v="0"/>
    <s v=""/>
    <s v="Novos "/>
    <n v="0.15"/>
    <m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s v=""/>
    <s v="PR"/>
    <n v="1363"/>
    <s v="VENDA INTERNA PR"/>
    <s v="DOCES"/>
    <n v="0"/>
    <n v="0"/>
    <n v="0"/>
    <n v="1600"/>
    <n v="2000"/>
    <n v="2500"/>
    <n v="3000"/>
    <n v="3740"/>
    <n v="4730"/>
    <n v="5170"/>
    <n v="5830"/>
    <n v="3960"/>
    <n v="32530"/>
    <n v="3253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s v=""/>
    <s v="PR"/>
    <n v="1363"/>
    <s v="VENDA INTERNA PR"/>
    <s v="GELEIA"/>
    <n v="0"/>
    <n v="0"/>
    <n v="0"/>
    <n v="319.99999999999994"/>
    <n v="399.99999999999994"/>
    <n v="499.99999999999994"/>
    <n v="599.99999999999989"/>
    <n v="747.99999999999989"/>
    <n v="945.99999999999989"/>
    <n v="1033.9999999999998"/>
    <n v="1165.9999999999998"/>
    <n v="791.99999999999989"/>
    <n v="6505.9999999999991"/>
    <n v="6505.9999999999991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s v=""/>
    <s v="PR"/>
    <n v="1363"/>
    <s v="VENDA INTERNA PR"/>
    <s v="GRANOLA"/>
    <n v="0"/>
    <n v="0"/>
    <n v="0"/>
    <n v="320"/>
    <n v="400"/>
    <n v="500"/>
    <n v="600"/>
    <n v="748"/>
    <n v="946"/>
    <n v="1034"/>
    <n v="1166"/>
    <n v="792"/>
    <n v="6506"/>
    <n v="6506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s v=""/>
    <s v="PR"/>
    <n v="1363"/>
    <s v="VENDA INTERNA PR"/>
    <s v="KIDS"/>
    <n v="0"/>
    <n v="0"/>
    <n v="0"/>
    <n v="320"/>
    <n v="400"/>
    <n v="500"/>
    <n v="600"/>
    <n v="748"/>
    <n v="946"/>
    <n v="1034"/>
    <n v="1166"/>
    <n v="792"/>
    <n v="6506"/>
    <n v="6506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s v=""/>
    <s v="PR"/>
    <n v="1363"/>
    <s v="VENDA INTERNA PR"/>
    <s v="LANCHES"/>
    <n v="0"/>
    <n v="0"/>
    <n v="0"/>
    <n v="480"/>
    <n v="600"/>
    <n v="750"/>
    <n v="900"/>
    <n v="1122"/>
    <n v="1419"/>
    <n v="1551"/>
    <n v="1749"/>
    <n v="1188"/>
    <n v="9759"/>
    <n v="9759"/>
    <n v="0"/>
    <s v=""/>
    <n v="0"/>
    <n v="0"/>
    <n v="0"/>
    <s v=""/>
    <s v="Novos "/>
    <n v="0.15"/>
    <m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s v=""/>
    <s v="PR"/>
    <n v="1363"/>
    <s v="VENDA INTERNA PR"/>
    <s v="MAIS GRANEL"/>
    <n v="0"/>
    <n v="0"/>
    <n v="0"/>
    <n v="4000"/>
    <n v="5000"/>
    <n v="6250"/>
    <n v="7500"/>
    <n v="9350"/>
    <n v="11825"/>
    <n v="12925"/>
    <n v="14575"/>
    <n v="9900"/>
    <n v="81325"/>
    <n v="81325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s v=""/>
    <s v="PR"/>
    <n v="1363"/>
    <s v="VENDA INTERNA PR"/>
    <s v="NATURATTA"/>
    <n v="0"/>
    <n v="0"/>
    <n v="0"/>
    <n v="800"/>
    <n v="1000"/>
    <n v="1250"/>
    <n v="1500"/>
    <n v="1870"/>
    <n v="2365"/>
    <n v="2585"/>
    <n v="2915"/>
    <n v="1980"/>
    <n v="16265"/>
    <n v="16265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s v=""/>
    <s v="PR"/>
    <n v="1363"/>
    <s v="VENDA INTERNA PR"/>
    <s v="REEMBALADOS"/>
    <n v="0"/>
    <n v="0"/>
    <n v="0"/>
    <n v="800"/>
    <n v="1000"/>
    <n v="1250"/>
    <n v="1500"/>
    <n v="1870"/>
    <n v="2365"/>
    <n v="2585"/>
    <n v="2915"/>
    <n v="1980"/>
    <n v="16265"/>
    <n v="16265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s v=""/>
    <s v="PR"/>
    <n v="1363"/>
    <s v="VENDA INTERNA PR"/>
    <s v="S GLUTEN"/>
    <n v="0"/>
    <n v="0"/>
    <n v="0"/>
    <n v="800"/>
    <n v="1000"/>
    <n v="1250"/>
    <n v="1500"/>
    <n v="1870"/>
    <n v="2365"/>
    <n v="2585"/>
    <n v="2915"/>
    <n v="1980"/>
    <n v="16265"/>
    <n v="16265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s v=""/>
    <s v="PR"/>
    <n v="1363"/>
    <s v="VENDA INTERNA PR"/>
    <s v="SABORES DO CAMPO"/>
    <n v="0"/>
    <n v="0"/>
    <n v="0"/>
    <n v="0"/>
    <n v="0"/>
    <n v="0"/>
    <n v="0"/>
    <n v="0"/>
    <n v="0"/>
    <n v="0"/>
    <n v="0"/>
    <n v="0"/>
    <n v="0"/>
    <n v="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s v=""/>
    <s v="PR"/>
    <n v="1363"/>
    <s v="VENDA INTERNA PR"/>
    <s v="SAL"/>
    <n v="0"/>
    <n v="0"/>
    <n v="0"/>
    <n v="1120"/>
    <n v="1400.0000000000002"/>
    <n v="1750.0000000000002"/>
    <n v="2100"/>
    <n v="2618.0000000000005"/>
    <n v="3311.0000000000005"/>
    <n v="3619.0000000000005"/>
    <n v="4081.0000000000005"/>
    <n v="2772.0000000000005"/>
    <n v="22771"/>
    <n v="22771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s v=""/>
    <s v="PR"/>
    <n v="1363"/>
    <s v="VENDA INTERNA PR"/>
    <s v="SOULPRO"/>
    <n v="0"/>
    <n v="0"/>
    <n v="0"/>
    <n v="799.99999999999989"/>
    <n v="999.99999999999989"/>
    <n v="1250"/>
    <n v="1499.9999999999998"/>
    <n v="1869.9999999999998"/>
    <n v="2365"/>
    <n v="2585"/>
    <n v="2914.9999999999995"/>
    <n v="1979.9999999999998"/>
    <n v="16265"/>
    <n v="16265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s v=""/>
    <s v="PR"/>
    <n v="1363"/>
    <s v="VENDA INTERNA PR"/>
    <s v="TAMARA"/>
    <n v="0"/>
    <n v="0"/>
    <n v="0"/>
    <n v="1280"/>
    <n v="1600"/>
    <n v="2000"/>
    <n v="2400"/>
    <n v="2992"/>
    <n v="3784"/>
    <n v="4136"/>
    <n v="4664"/>
    <n v="3168"/>
    <n v="26024"/>
    <n v="26024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s v=""/>
    <s v="PR"/>
    <n v="1363"/>
    <s v="VENDA INTERNA PR"/>
    <s v="VICCIO"/>
    <n v="0"/>
    <n v="0"/>
    <n v="0"/>
    <n v="480"/>
    <n v="600"/>
    <n v="750"/>
    <n v="900"/>
    <n v="1122"/>
    <n v="1419"/>
    <n v="1551"/>
    <n v="1749"/>
    <n v="1188"/>
    <n v="9759"/>
    <n v="9759"/>
    <n v="0"/>
    <s v=""/>
    <n v="0"/>
    <n v="0"/>
    <n v="0"/>
    <s v=""/>
    <s v="Novos "/>
    <n v="0.2"/>
    <m/>
  </r>
  <r>
    <x v="0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n v="1"/>
    <s v="SC"/>
    <n v="1364"/>
    <s v="VENDA INTERNA SC"/>
    <s v="1. TOTAL - VENDA INTERNA SC"/>
    <n v="0"/>
    <n v="33782.999152242439"/>
    <n v="37715.827769586213"/>
    <n v="29000"/>
    <n v="35000"/>
    <n v="44000"/>
    <n v="53000"/>
    <n v="66000"/>
    <n v="83600"/>
    <n v="91300"/>
    <n v="102300"/>
    <n v="69300"/>
    <n v="573500"/>
    <n v="573500"/>
    <n v="0"/>
    <s v=""/>
    <n v="0"/>
    <n v="71498.826921828644"/>
    <n v="71498.826921828644"/>
    <n v="0"/>
    <m/>
    <m/>
    <m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s v=""/>
    <s v="SC"/>
    <n v="1364"/>
    <s v="VENDA INTERNA SC"/>
    <s v="BISCOITO"/>
    <n v="0"/>
    <n v="1213.1658168873143"/>
    <n v="1415.3601197018668"/>
    <n v="1450"/>
    <n v="1750"/>
    <n v="2200"/>
    <n v="2650"/>
    <n v="3300"/>
    <n v="4180"/>
    <n v="4565"/>
    <n v="5115"/>
    <n v="3465"/>
    <n v="28675"/>
    <n v="28675"/>
    <n v="0"/>
    <s v=""/>
    <n v="0"/>
    <n v="2628.5259365891811"/>
    <n v="2628.5259365891811"/>
    <n v="0"/>
    <s v="Novos "/>
    <n v="0.2"/>
    <m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s v=""/>
    <s v="SC"/>
    <n v="1364"/>
    <s v="VENDA INTERNA SC"/>
    <s v="CHOCOLATES"/>
    <n v="0"/>
    <n v="6770.655355450237"/>
    <n v="7796.5122274881523"/>
    <n v="1450"/>
    <n v="1750"/>
    <n v="2200"/>
    <n v="2650"/>
    <n v="3300"/>
    <n v="4180"/>
    <n v="4565"/>
    <n v="5115"/>
    <n v="3465"/>
    <n v="28675"/>
    <n v="28675"/>
    <n v="0"/>
    <s v=""/>
    <n v="0"/>
    <n v="14567.167582938389"/>
    <n v="14567.167582938389"/>
    <n v="0"/>
    <s v="Novos "/>
    <n v="0.2"/>
    <m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s v=""/>
    <s v="SC"/>
    <n v="1364"/>
    <s v="VENDA INTERNA SC"/>
    <s v="DISNEY"/>
    <n v="0"/>
    <n v="1766.0604444444448"/>
    <n v="1986.8180000000002"/>
    <n v="2320"/>
    <n v="2800"/>
    <n v="3520"/>
    <n v="4240"/>
    <n v="5280"/>
    <n v="6688"/>
    <n v="7304"/>
    <n v="8184"/>
    <n v="5544"/>
    <n v="45880"/>
    <n v="45880"/>
    <n v="0"/>
    <s v=""/>
    <n v="0"/>
    <n v="3752.878444444445"/>
    <n v="3752.878444444445"/>
    <n v="0"/>
    <s v="Novos "/>
    <n v="0.15"/>
    <m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s v=""/>
    <s v="SC"/>
    <n v="1364"/>
    <s v="VENDA INTERNA SC"/>
    <s v="DOCES"/>
    <n v="0"/>
    <n v="2220.2247619047621"/>
    <n v="2497.7528571428575"/>
    <n v="2900"/>
    <n v="3500"/>
    <n v="4400"/>
    <n v="5300"/>
    <n v="6600"/>
    <n v="8360"/>
    <n v="9130"/>
    <n v="10230"/>
    <n v="6930"/>
    <n v="57350"/>
    <n v="57350"/>
    <n v="0"/>
    <s v=""/>
    <n v="0"/>
    <n v="4717.9776190476196"/>
    <n v="4717.9776190476196"/>
    <n v="0"/>
    <s v="Novos "/>
    <n v="0"/>
    <m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s v=""/>
    <s v="SC"/>
    <n v="1364"/>
    <s v="VENDA INTERNA SC"/>
    <s v="GELEIA"/>
    <n v="0"/>
    <n v="748.54"/>
    <n v="748.54"/>
    <n v="579.99999999999989"/>
    <n v="699.99999999999989"/>
    <n v="879.99999999999989"/>
    <n v="1059.9999999999998"/>
    <n v="1319.9999999999998"/>
    <n v="1671.9999999999998"/>
    <n v="1825.9999999999998"/>
    <n v="2045.9999999999998"/>
    <n v="1385.9999999999998"/>
    <n v="11469.999999999998"/>
    <n v="11469.999999999998"/>
    <n v="0"/>
    <s v=""/>
    <n v="0"/>
    <n v="1497.08"/>
    <n v="1497.08"/>
    <n v="0"/>
    <s v="Novos "/>
    <n v="0"/>
    <m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s v=""/>
    <s v="SC"/>
    <n v="1364"/>
    <s v="VENDA INTERNA SC"/>
    <s v="GRANOLA"/>
    <n v="0"/>
    <n v="1155.55"/>
    <n v="1365.6499999999999"/>
    <n v="580"/>
    <n v="700"/>
    <n v="880"/>
    <n v="1060"/>
    <n v="1320"/>
    <n v="1672"/>
    <n v="1826"/>
    <n v="2046"/>
    <n v="1386"/>
    <n v="11470"/>
    <n v="11470"/>
    <n v="0"/>
    <s v=""/>
    <n v="0"/>
    <n v="2521.1999999999998"/>
    <n v="2521.1999999999998"/>
    <n v="0"/>
    <s v="Novos "/>
    <n v="0"/>
    <m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s v=""/>
    <s v="SC"/>
    <n v="1364"/>
    <s v="VENDA INTERNA SC"/>
    <s v="KIDS"/>
    <n v="0"/>
    <n v="330.9942857142857"/>
    <n v="413.74285714285713"/>
    <n v="580"/>
    <n v="700"/>
    <n v="880"/>
    <n v="1060"/>
    <n v="1320"/>
    <n v="1672"/>
    <n v="1826"/>
    <n v="2046"/>
    <n v="1386"/>
    <n v="11470"/>
    <n v="11470"/>
    <n v="0"/>
    <s v=""/>
    <n v="0"/>
    <n v="744.73714285714277"/>
    <n v="744.73714285714277"/>
    <n v="0"/>
    <s v="Novos "/>
    <n v="0"/>
    <m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s v=""/>
    <s v="SC"/>
    <n v="1364"/>
    <s v="VENDA INTERNA SC"/>
    <s v="LANCHES"/>
    <n v="0"/>
    <n v="537.65142857142848"/>
    <n v="716.86857142857139"/>
    <n v="870"/>
    <n v="1050"/>
    <n v="1320"/>
    <n v="1590"/>
    <n v="1980"/>
    <n v="2508"/>
    <n v="2739"/>
    <n v="3069"/>
    <n v="2079"/>
    <n v="17205"/>
    <n v="17205"/>
    <n v="0"/>
    <s v=""/>
    <n v="0"/>
    <n v="1254.52"/>
    <n v="1254.52"/>
    <n v="0"/>
    <s v="Novos "/>
    <n v="0.15"/>
    <m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s v=""/>
    <s v="SC"/>
    <n v="1364"/>
    <s v="VENDA INTERNA SC"/>
    <s v="MAIS GRANEL"/>
    <n v="0"/>
    <n v="1548.4290909090912"/>
    <n v="1806.5006060606063"/>
    <n v="7250"/>
    <n v="8750"/>
    <n v="11000"/>
    <n v="13250"/>
    <n v="16500"/>
    <n v="20900"/>
    <n v="22825"/>
    <n v="25575"/>
    <n v="17325"/>
    <n v="143375"/>
    <n v="143375"/>
    <n v="0"/>
    <s v=""/>
    <n v="0"/>
    <n v="3354.9296969696975"/>
    <n v="3354.9296969696975"/>
    <n v="0"/>
    <s v="Novos "/>
    <n v="0"/>
    <m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s v=""/>
    <s v="SC"/>
    <n v="1364"/>
    <s v="VENDA INTERNA SC"/>
    <s v="NATURATTA"/>
    <n v="0"/>
    <n v="2667.6642857142851"/>
    <n v="2981.5071428571423"/>
    <n v="1450"/>
    <n v="1750"/>
    <n v="2200"/>
    <n v="2650"/>
    <n v="3300"/>
    <n v="4180"/>
    <n v="4565"/>
    <n v="5115"/>
    <n v="3465"/>
    <n v="28675"/>
    <n v="28675"/>
    <n v="0"/>
    <s v=""/>
    <n v="0"/>
    <n v="5649.1714285714279"/>
    <n v="5649.1714285714279"/>
    <n v="0"/>
    <s v="Novos "/>
    <n v="0.25"/>
    <m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s v=""/>
    <s v="SC"/>
    <n v="1364"/>
    <s v="VENDA INTERNA SC"/>
    <s v="REEMBALADOS"/>
    <n v="0"/>
    <n v="717.60533333333331"/>
    <n v="717.60533333333331"/>
    <n v="1450"/>
    <n v="1750"/>
    <n v="2200"/>
    <n v="2650"/>
    <n v="3300"/>
    <n v="4180"/>
    <n v="4565"/>
    <n v="5115"/>
    <n v="3465"/>
    <n v="28675"/>
    <n v="28675"/>
    <n v="0"/>
    <s v=""/>
    <n v="0"/>
    <n v="1435.2106666666666"/>
    <n v="1435.2106666666666"/>
    <n v="0"/>
    <s v="Novos "/>
    <n v="0"/>
    <m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s v=""/>
    <s v="SC"/>
    <n v="1364"/>
    <s v="VENDA INTERNA SC"/>
    <s v="S GLUTEN"/>
    <n v="0"/>
    <n v="510.92325581395346"/>
    <n v="510.92325581395346"/>
    <n v="1450"/>
    <n v="1750"/>
    <n v="2200"/>
    <n v="2650"/>
    <n v="3300"/>
    <n v="4180"/>
    <n v="4565"/>
    <n v="5115"/>
    <n v="3465"/>
    <n v="28675"/>
    <n v="28675"/>
    <n v="0"/>
    <s v=""/>
    <n v="0"/>
    <n v="1021.8465116279069"/>
    <n v="1021.8465116279069"/>
    <n v="0"/>
    <s v="Novos "/>
    <n v="0"/>
    <m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s v=""/>
    <s v="SC"/>
    <n v="1364"/>
    <s v="VENDA INTERNA SC"/>
    <s v="SABORES DO CAMPO"/>
    <n v="0"/>
    <n v="286.31733333333335"/>
    <n v="357.8966666666667"/>
    <n v="0"/>
    <n v="0"/>
    <n v="0"/>
    <n v="0"/>
    <n v="0"/>
    <n v="0"/>
    <n v="0"/>
    <n v="0"/>
    <n v="0"/>
    <n v="0"/>
    <n v="0"/>
    <n v="0"/>
    <s v=""/>
    <n v="0"/>
    <n v="644.21400000000006"/>
    <n v="644.21400000000006"/>
    <n v="0"/>
    <s v="Novos "/>
    <n v="0"/>
    <m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s v=""/>
    <s v="SC"/>
    <n v="1364"/>
    <s v="VENDA INTERNA SC"/>
    <s v="SAL"/>
    <n v="0"/>
    <n v="122.69999999999999"/>
    <n v="122.69999999999999"/>
    <n v="2030.0000000000002"/>
    <n v="2450.0000000000005"/>
    <n v="3080.0000000000005"/>
    <n v="3710.0000000000005"/>
    <n v="4620"/>
    <n v="5852.0000000000009"/>
    <n v="6391.0000000000009"/>
    <n v="7161.0000000000009"/>
    <n v="4851.0000000000009"/>
    <n v="40145.000000000007"/>
    <n v="40145.000000000007"/>
    <n v="0"/>
    <s v=""/>
    <n v="0"/>
    <n v="245.39999999999998"/>
    <n v="245.39999999999998"/>
    <n v="0"/>
    <s v="Novos "/>
    <n v="0"/>
    <m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s v=""/>
    <s v="SC"/>
    <n v="1364"/>
    <s v="VENDA INTERNA SC"/>
    <s v="SOULPRO"/>
    <n v="0"/>
    <n v="6248.8155601659728"/>
    <n v="6983.970331950205"/>
    <n v="1449.9999999999998"/>
    <n v="1749.9999999999998"/>
    <n v="2200"/>
    <n v="2650"/>
    <n v="3299.9999999999995"/>
    <n v="4180"/>
    <n v="4565"/>
    <n v="5115"/>
    <n v="3464.9999999999995"/>
    <n v="28675"/>
    <n v="28675"/>
    <n v="0"/>
    <s v=""/>
    <n v="0"/>
    <n v="13232.785892116179"/>
    <n v="13232.785892116179"/>
    <n v="0"/>
    <s v="Novos "/>
    <n v="0.25"/>
    <m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s v=""/>
    <s v="SC"/>
    <n v="1364"/>
    <s v="VENDA INTERNA SC"/>
    <s v="TAMARA"/>
    <n v="0"/>
    <n v="5179.7790000000005"/>
    <n v="5389.0630000000001"/>
    <n v="2320"/>
    <n v="2800"/>
    <n v="3520"/>
    <n v="4240"/>
    <n v="5280"/>
    <n v="6688"/>
    <n v="7304"/>
    <n v="8184"/>
    <n v="5544"/>
    <n v="45880"/>
    <n v="45880"/>
    <n v="0"/>
    <s v=""/>
    <n v="0"/>
    <n v="10568.842000000001"/>
    <n v="10568.842000000001"/>
    <n v="0"/>
    <s v="Novos "/>
    <n v="0.25"/>
    <m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s v=""/>
    <s v="SC"/>
    <n v="1364"/>
    <s v="VENDA INTERNA SC"/>
    <s v="VICCIO"/>
    <n v="0"/>
    <n v="1757.9232000000002"/>
    <n v="1904.4168000000002"/>
    <n v="870"/>
    <n v="1050"/>
    <n v="1320"/>
    <n v="1590"/>
    <n v="1980"/>
    <n v="2508"/>
    <n v="2739"/>
    <n v="3069"/>
    <n v="2079"/>
    <n v="17205"/>
    <n v="17205"/>
    <n v="0"/>
    <s v=""/>
    <n v="0"/>
    <n v="3662.34"/>
    <n v="3662.34"/>
    <n v="0"/>
    <s v="Novos "/>
    <n v="0.2"/>
    <m/>
  </r>
  <r>
    <x v="0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n v="1"/>
    <s v="PR"/>
    <n v="1425"/>
    <s v="VENDA INTERNA - DIVINA TERRA"/>
    <s v="1. TOTAL - VENDA INTERNA - DIVINA TERRA"/>
    <n v="0"/>
    <n v="41548.624474309938"/>
    <n v="47456.104222161186"/>
    <n v="4000"/>
    <n v="4000"/>
    <n v="5000"/>
    <n v="6000"/>
    <n v="7700"/>
    <n v="9900"/>
    <n v="9900"/>
    <n v="12100"/>
    <n v="7700"/>
    <n v="66300"/>
    <n v="66300"/>
    <n v="0"/>
    <s v=""/>
    <n v="0"/>
    <n v="89004.728696471124"/>
    <n v="89004.728696471124"/>
    <n v="0"/>
    <m/>
    <m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R"/>
    <n v="1425"/>
    <s v="VENDA INTERNA - DIVINA TERRA"/>
    <s v="BISCOITO"/>
    <n v="0"/>
    <n v="1567.0058468127811"/>
    <n v="1819.7487253309716"/>
    <n v="200"/>
    <n v="200"/>
    <n v="250"/>
    <n v="300"/>
    <n v="385"/>
    <n v="495"/>
    <n v="495"/>
    <n v="605"/>
    <n v="385"/>
    <n v="3315"/>
    <n v="3315"/>
    <n v="0"/>
    <s v=""/>
    <n v="0"/>
    <n v="3386.7545721437527"/>
    <n v="3386.7545721437527"/>
    <n v="0"/>
    <s v="Novos "/>
    <n v="0.2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R"/>
    <n v="1425"/>
    <s v="VENDA INTERNA - DIVINA TERRA"/>
    <s v="CHOCOLATES"/>
    <n v="0"/>
    <n v="7180.9981042654035"/>
    <n v="8206.8549763033188"/>
    <n v="200"/>
    <n v="200"/>
    <n v="250"/>
    <n v="300"/>
    <n v="385"/>
    <n v="495"/>
    <n v="495"/>
    <n v="605"/>
    <n v="385"/>
    <n v="3315"/>
    <n v="3315"/>
    <n v="0"/>
    <s v=""/>
    <n v="0"/>
    <n v="15387.853080568722"/>
    <n v="15387.853080568722"/>
    <n v="0"/>
    <s v="Novos "/>
    <n v="0.2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R"/>
    <n v="1425"/>
    <s v="VENDA INTERNA - DIVINA TERRA"/>
    <s v="DISNEY"/>
    <n v="0"/>
    <n v="2317.9543333333336"/>
    <n v="2649.0906666666669"/>
    <n v="320"/>
    <n v="320"/>
    <n v="400"/>
    <n v="480"/>
    <n v="616"/>
    <n v="792"/>
    <n v="792"/>
    <n v="968"/>
    <n v="616"/>
    <n v="5304"/>
    <n v="5304"/>
    <n v="0"/>
    <s v=""/>
    <n v="0"/>
    <n v="4967.0450000000001"/>
    <n v="4967.0450000000001"/>
    <n v="0"/>
    <s v="Novos "/>
    <n v="0.1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R"/>
    <n v="1425"/>
    <s v="VENDA INTERNA - DIVINA TERRA"/>
    <s v="DOCES"/>
    <n v="0"/>
    <n v="2358.9888095238098"/>
    <n v="2636.5169047619052"/>
    <n v="400"/>
    <n v="400"/>
    <n v="500"/>
    <n v="600"/>
    <n v="770"/>
    <n v="990"/>
    <n v="990"/>
    <n v="1210"/>
    <n v="770"/>
    <n v="6630"/>
    <n v="6630"/>
    <n v="0"/>
    <s v=""/>
    <n v="0"/>
    <n v="4995.5057142857149"/>
    <n v="4995.5057142857149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R"/>
    <n v="1425"/>
    <s v="VENDA INTERNA - DIVINA TERRA"/>
    <s v="GELEIA"/>
    <n v="0"/>
    <n v="1122.81"/>
    <n v="1247.5666666666666"/>
    <n v="79.999999999999986"/>
    <n v="79.999999999999986"/>
    <n v="99.999999999999986"/>
    <n v="119.99999999999999"/>
    <n v="153.99999999999997"/>
    <n v="197.99999999999997"/>
    <n v="197.99999999999997"/>
    <n v="241.99999999999997"/>
    <n v="153.99999999999997"/>
    <n v="1325.9999999999998"/>
    <n v="1325.9999999999998"/>
    <n v="0"/>
    <s v=""/>
    <n v="0"/>
    <n v="2370.3766666666666"/>
    <n v="2370.3766666666666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R"/>
    <n v="1425"/>
    <s v="VENDA INTERNA - DIVINA TERRA"/>
    <s v="GRANOLA"/>
    <n v="0"/>
    <n v="1680.8"/>
    <n v="1890.8999999999999"/>
    <n v="80"/>
    <n v="80"/>
    <n v="100"/>
    <n v="120"/>
    <n v="154"/>
    <n v="198"/>
    <n v="198"/>
    <n v="242"/>
    <n v="154"/>
    <n v="1326"/>
    <n v="1326"/>
    <n v="0"/>
    <s v=""/>
    <n v="0"/>
    <n v="3571.7"/>
    <n v="3571.7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R"/>
    <n v="1425"/>
    <s v="VENDA INTERNA - DIVINA TERRA"/>
    <s v="KIDS"/>
    <n v="0"/>
    <n v="413.74285714285713"/>
    <n v="496.49142857142851"/>
    <n v="80"/>
    <n v="80"/>
    <n v="100"/>
    <n v="120"/>
    <n v="154"/>
    <n v="198"/>
    <n v="198"/>
    <n v="242"/>
    <n v="154"/>
    <n v="1326"/>
    <n v="1326"/>
    <n v="0"/>
    <s v=""/>
    <n v="0"/>
    <n v="910.23428571428565"/>
    <n v="910.23428571428565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R"/>
    <n v="1425"/>
    <s v="VENDA INTERNA - DIVINA TERRA"/>
    <s v="LANCHES"/>
    <n v="0"/>
    <n v="627.26"/>
    <n v="716.86857142857139"/>
    <n v="120"/>
    <n v="120"/>
    <n v="150"/>
    <n v="180"/>
    <n v="231"/>
    <n v="297"/>
    <n v="297"/>
    <n v="363"/>
    <n v="231"/>
    <n v="1989"/>
    <n v="1989"/>
    <n v="0"/>
    <s v=""/>
    <n v="0"/>
    <n v="1344.1285714285714"/>
    <n v="1344.1285714285714"/>
    <n v="0"/>
    <s v="Novos "/>
    <n v="0.1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R"/>
    <n v="1425"/>
    <s v="VENDA INTERNA - DIVINA TERRA"/>
    <s v="MAIS GRANEL"/>
    <n v="0"/>
    <n v="1892.5244444444447"/>
    <n v="2236.6197979797985"/>
    <n v="1000"/>
    <n v="1000"/>
    <n v="1250"/>
    <n v="1500"/>
    <n v="1925"/>
    <n v="2475"/>
    <n v="2475"/>
    <n v="3025"/>
    <n v="1925"/>
    <n v="16575"/>
    <n v="16575"/>
    <n v="0"/>
    <s v=""/>
    <n v="0"/>
    <n v="4129.1442424242432"/>
    <n v="4129.1442424242432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R"/>
    <n v="1425"/>
    <s v="VENDA INTERNA - DIVINA TERRA"/>
    <s v="NATURATTA"/>
    <n v="0"/>
    <n v="2981.5071428571423"/>
    <n v="3452.2714285714283"/>
    <n v="200"/>
    <n v="200"/>
    <n v="250"/>
    <n v="300"/>
    <n v="385"/>
    <n v="495"/>
    <n v="495"/>
    <n v="605"/>
    <n v="385"/>
    <n v="3315"/>
    <n v="3315"/>
    <n v="0"/>
    <s v=""/>
    <n v="0"/>
    <n v="6433.778571428571"/>
    <n v="6433.778571428571"/>
    <n v="0"/>
    <s v="Novos "/>
    <n v="0.2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R"/>
    <n v="1425"/>
    <s v="VENDA INTERNA - DIVINA TERRA"/>
    <s v="REEMBALADOS"/>
    <n v="0"/>
    <n v="956.80711111111111"/>
    <n v="1196.0088888888888"/>
    <n v="200"/>
    <n v="200"/>
    <n v="250"/>
    <n v="300"/>
    <n v="385"/>
    <n v="495"/>
    <n v="495"/>
    <n v="605"/>
    <n v="385"/>
    <n v="3315"/>
    <n v="3315"/>
    <n v="0"/>
    <s v=""/>
    <n v="0"/>
    <n v="2152.8159999999998"/>
    <n v="2152.8159999999998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R"/>
    <n v="1425"/>
    <s v="VENDA INTERNA - DIVINA TERRA"/>
    <s v="S GLUTEN"/>
    <n v="0"/>
    <n v="613.10790697674406"/>
    <n v="715.29255813953478"/>
    <n v="200"/>
    <n v="200"/>
    <n v="250"/>
    <n v="300"/>
    <n v="385"/>
    <n v="495"/>
    <n v="495"/>
    <n v="605"/>
    <n v="385"/>
    <n v="3315"/>
    <n v="3315"/>
    <n v="0"/>
    <s v=""/>
    <n v="0"/>
    <n v="1328.4004651162788"/>
    <n v="1328.4004651162788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R"/>
    <n v="1425"/>
    <s v="VENDA INTERNA - DIVINA TERRA"/>
    <s v="SABORES DO CAMPO"/>
    <n v="0"/>
    <n v="429.476"/>
    <n v="501.05533333333335"/>
    <n v="0"/>
    <n v="0"/>
    <n v="0"/>
    <n v="0"/>
    <n v="0"/>
    <n v="0"/>
    <n v="0"/>
    <n v="0"/>
    <n v="0"/>
    <n v="0"/>
    <n v="0"/>
    <n v="0"/>
    <s v=""/>
    <n v="0"/>
    <n v="930.53133333333335"/>
    <n v="930.53133333333335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R"/>
    <n v="1425"/>
    <s v="VENDA INTERNA - DIVINA TERRA"/>
    <s v="SAL"/>
    <n v="0"/>
    <n v="81.8"/>
    <n v="81.8"/>
    <n v="280"/>
    <n v="280"/>
    <n v="350.00000000000006"/>
    <n v="420.00000000000006"/>
    <n v="539"/>
    <n v="693.00000000000011"/>
    <n v="693.00000000000011"/>
    <n v="847.00000000000011"/>
    <n v="539"/>
    <n v="4641"/>
    <n v="4641"/>
    <n v="0"/>
    <s v=""/>
    <n v="0"/>
    <n v="163.6"/>
    <n v="163.6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R"/>
    <n v="1425"/>
    <s v="VENDA INTERNA - DIVINA TERRA"/>
    <s v="SOULPRO"/>
    <n v="0"/>
    <n v="7351.5477178423216"/>
    <n v="8454.2798755186705"/>
    <n v="199.99999999999997"/>
    <n v="199.99999999999997"/>
    <n v="249.99999999999997"/>
    <n v="300"/>
    <n v="384.99999999999994"/>
    <n v="494.99999999999994"/>
    <n v="494.99999999999994"/>
    <n v="605"/>
    <n v="384.99999999999994"/>
    <n v="3314.9999999999995"/>
    <n v="3314.9999999999995"/>
    <n v="0"/>
    <s v=""/>
    <n v="0"/>
    <n v="15805.827593360991"/>
    <n v="15805.827593360991"/>
    <n v="0"/>
    <s v="Novos "/>
    <n v="0.2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R"/>
    <n v="1425"/>
    <s v="VENDA INTERNA - DIVINA TERRA"/>
    <s v="TAMARA"/>
    <n v="0"/>
    <n v="7481.9030000000012"/>
    <n v="8371.36"/>
    <n v="320"/>
    <n v="320"/>
    <n v="400"/>
    <n v="480"/>
    <n v="616"/>
    <n v="792"/>
    <n v="792"/>
    <n v="968"/>
    <n v="616"/>
    <n v="5304"/>
    <n v="5304"/>
    <n v="0"/>
    <s v=""/>
    <n v="0"/>
    <n v="15853.263000000003"/>
    <n v="15853.263000000003"/>
    <n v="0"/>
    <s v="Novos "/>
    <n v="0.2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R"/>
    <n v="1425"/>
    <s v="VENDA INTERNA - DIVINA TERRA"/>
    <s v="VICCIO"/>
    <n v="0"/>
    <n v="2490.3912"/>
    <n v="2783.3784000000005"/>
    <n v="120"/>
    <n v="120"/>
    <n v="150"/>
    <n v="180"/>
    <n v="231"/>
    <n v="297"/>
    <n v="297"/>
    <n v="363"/>
    <n v="231"/>
    <n v="1989"/>
    <n v="1989"/>
    <n v="0"/>
    <s v=""/>
    <n v="0"/>
    <n v="5273.7696000000005"/>
    <n v="5273.7696000000005"/>
    <n v="0"/>
    <s v="Novos "/>
    <n v="0.2"/>
    <m/>
  </r>
  <r>
    <x v="0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n v="1"/>
    <s v="SC"/>
    <n v="1427"/>
    <s v="VENDA INTERNA - FITLAND"/>
    <s v="1. TOTAL - VENDA INTERNA - FITLAND"/>
    <n v="0"/>
    <n v="10568.294327098127"/>
    <n v="12029.078970466311"/>
    <n v="5000"/>
    <n v="6000"/>
    <n v="7000"/>
    <n v="9000"/>
    <n v="11000"/>
    <n v="13200"/>
    <n v="14300"/>
    <n v="16500"/>
    <n v="11000"/>
    <n v="93000"/>
    <n v="93000"/>
    <n v="0"/>
    <s v=""/>
    <n v="0"/>
    <n v="22597.373297564438"/>
    <n v="22597.373297564438"/>
    <n v="0"/>
    <m/>
    <m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SC"/>
    <n v="1427"/>
    <s v="VENDA INTERNA - FITLAND"/>
    <s v="BISCOITO"/>
    <n v="0"/>
    <n v="404.3886056291048"/>
    <n v="505.48575703638102"/>
    <n v="250"/>
    <n v="300"/>
    <n v="350"/>
    <n v="450"/>
    <n v="550"/>
    <n v="660"/>
    <n v="715"/>
    <n v="825"/>
    <n v="550"/>
    <n v="4650"/>
    <n v="4650"/>
    <n v="0"/>
    <s v=""/>
    <n v="0"/>
    <n v="909.87436266548582"/>
    <n v="909.87436266548582"/>
    <n v="0"/>
    <s v="Novos "/>
    <n v="0.2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SC"/>
    <n v="1427"/>
    <s v="VENDA INTERNA - FITLAND"/>
    <s v="CHOCOLATES"/>
    <n v="0"/>
    <n v="2462.0564928909953"/>
    <n v="2872.3992417061613"/>
    <n v="250"/>
    <n v="300"/>
    <n v="350"/>
    <n v="450"/>
    <n v="550"/>
    <n v="660"/>
    <n v="715"/>
    <n v="825"/>
    <n v="550"/>
    <n v="4650"/>
    <n v="4650"/>
    <n v="0"/>
    <s v=""/>
    <n v="0"/>
    <n v="5334.4557345971571"/>
    <n v="5334.4557345971571"/>
    <n v="0"/>
    <s v="Novos "/>
    <n v="0.2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SC"/>
    <n v="1427"/>
    <s v="VENDA INTERNA - FITLAND"/>
    <s v="DISNEY"/>
    <n v="0"/>
    <n v="441.5151111111112"/>
    <n v="551.89388888888902"/>
    <n v="400"/>
    <n v="480"/>
    <n v="560"/>
    <n v="720"/>
    <n v="880"/>
    <n v="1056"/>
    <n v="1144"/>
    <n v="1320"/>
    <n v="880"/>
    <n v="7440"/>
    <n v="7440"/>
    <n v="0"/>
    <s v=""/>
    <n v="0"/>
    <n v="993.40900000000022"/>
    <n v="993.40900000000022"/>
    <n v="0"/>
    <s v="Novos "/>
    <n v="0.1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SC"/>
    <n v="1427"/>
    <s v="VENDA INTERNA - FITLAND"/>
    <s v="DOCES"/>
    <n v="0"/>
    <n v="555.05619047619052"/>
    <n v="555.05619047619052"/>
    <n v="500"/>
    <n v="600"/>
    <n v="700"/>
    <n v="900"/>
    <n v="1100"/>
    <n v="1320"/>
    <n v="1430"/>
    <n v="1650"/>
    <n v="1100"/>
    <n v="9300"/>
    <n v="9300"/>
    <n v="0"/>
    <s v=""/>
    <n v="0"/>
    <n v="1110.112380952381"/>
    <n v="1110.112380952381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SC"/>
    <n v="1427"/>
    <s v="VENDA INTERNA - FITLAND"/>
    <s v="GELEIA"/>
    <n v="0"/>
    <n v="124.75666666666666"/>
    <n v="249.51333333333332"/>
    <n v="99.999999999999986"/>
    <n v="119.99999999999999"/>
    <n v="139.99999999999997"/>
    <n v="179.99999999999997"/>
    <n v="219.99999999999997"/>
    <n v="263.99999999999994"/>
    <n v="285.99999999999994"/>
    <n v="329.99999999999994"/>
    <n v="219.99999999999997"/>
    <n v="1859.9999999999998"/>
    <n v="1859.9999999999998"/>
    <n v="0"/>
    <s v=""/>
    <n v="0"/>
    <n v="374.27"/>
    <n v="374.27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SC"/>
    <n v="1427"/>
    <s v="VENDA INTERNA - FITLAND"/>
    <s v="GRANOLA"/>
    <n v="0"/>
    <n v="315.14999999999998"/>
    <n v="420.2"/>
    <n v="100"/>
    <n v="120"/>
    <n v="140"/>
    <n v="180"/>
    <n v="220"/>
    <n v="264"/>
    <n v="286"/>
    <n v="330"/>
    <n v="220"/>
    <n v="1860"/>
    <n v="1860"/>
    <n v="0"/>
    <s v=""/>
    <n v="0"/>
    <n v="735.34999999999991"/>
    <n v="735.34999999999991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SC"/>
    <n v="1427"/>
    <s v="VENDA INTERNA - FITLAND"/>
    <s v="KIDS"/>
    <n v="0"/>
    <n v="165.49714285714285"/>
    <n v="165.49714285714285"/>
    <n v="100"/>
    <n v="120"/>
    <n v="140"/>
    <n v="180"/>
    <n v="220"/>
    <n v="264"/>
    <n v="286"/>
    <n v="330"/>
    <n v="220"/>
    <n v="1860"/>
    <n v="1860"/>
    <n v="0"/>
    <s v=""/>
    <n v="0"/>
    <n v="330.9942857142857"/>
    <n v="330.9942857142857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SC"/>
    <n v="1427"/>
    <s v="VENDA INTERNA - FITLAND"/>
    <s v="LANCHES"/>
    <n v="0"/>
    <n v="89.608571428571423"/>
    <n v="179.21714285714285"/>
    <n v="150"/>
    <n v="180"/>
    <n v="210"/>
    <n v="270"/>
    <n v="330"/>
    <n v="396"/>
    <n v="429"/>
    <n v="495"/>
    <n v="330"/>
    <n v="2790"/>
    <n v="2790"/>
    <n v="0"/>
    <s v=""/>
    <n v="0"/>
    <n v="268.8257142857143"/>
    <n v="268.8257142857143"/>
    <n v="0"/>
    <s v="Novos "/>
    <n v="0.1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SC"/>
    <n v="1427"/>
    <s v="VENDA INTERNA - FITLAND"/>
    <s v="MAIS GRANEL"/>
    <n v="0"/>
    <n v="516.1430303030304"/>
    <n v="602.16686868686872"/>
    <n v="1250"/>
    <n v="1500"/>
    <n v="1750"/>
    <n v="2250"/>
    <n v="2750"/>
    <n v="3300"/>
    <n v="3575"/>
    <n v="4125"/>
    <n v="2750"/>
    <n v="23250"/>
    <n v="23250"/>
    <n v="0"/>
    <s v=""/>
    <n v="0"/>
    <n v="1118.309898989899"/>
    <n v="1118.309898989899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SC"/>
    <n v="1427"/>
    <s v="VENDA INTERNA - FITLAND"/>
    <s v="NATURATTA"/>
    <n v="0"/>
    <n v="627.6857142857142"/>
    <n v="627.6857142857142"/>
    <n v="250"/>
    <n v="300"/>
    <n v="350"/>
    <n v="450"/>
    <n v="550"/>
    <n v="660"/>
    <n v="715"/>
    <n v="825"/>
    <n v="550"/>
    <n v="4650"/>
    <n v="4650"/>
    <n v="0"/>
    <s v=""/>
    <n v="0"/>
    <n v="1255.3714285714284"/>
    <n v="1255.3714285714284"/>
    <n v="0"/>
    <s v="Novos "/>
    <n v="0.2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SC"/>
    <n v="1427"/>
    <s v="VENDA INTERNA - FITLAND"/>
    <s v="REEMBALADOS"/>
    <n v="0"/>
    <n v="119.60088888888889"/>
    <n v="239.20177777777778"/>
    <n v="250"/>
    <n v="300"/>
    <n v="350"/>
    <n v="450"/>
    <n v="550"/>
    <n v="660"/>
    <n v="715"/>
    <n v="825"/>
    <n v="550"/>
    <n v="4650"/>
    <n v="4650"/>
    <n v="0"/>
    <s v=""/>
    <n v="0"/>
    <n v="358.80266666666665"/>
    <n v="358.80266666666665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SC"/>
    <n v="1427"/>
    <s v="VENDA INTERNA - FITLAND"/>
    <s v="S GLUTEN"/>
    <n v="0"/>
    <n v="204.36930232558137"/>
    <n v="204.36930232558137"/>
    <n v="250"/>
    <n v="300"/>
    <n v="350"/>
    <n v="450"/>
    <n v="550"/>
    <n v="660"/>
    <n v="715"/>
    <n v="825"/>
    <n v="550"/>
    <n v="4650"/>
    <n v="4650"/>
    <n v="0"/>
    <s v=""/>
    <n v="0"/>
    <n v="408.73860465116275"/>
    <n v="408.73860465116275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SC"/>
    <n v="1427"/>
    <s v="VENDA INTERNA - FITLAND"/>
    <s v="SABORES DO CAMPO"/>
    <n v="0"/>
    <n v="143.15866666666668"/>
    <n v="143.15866666666668"/>
    <n v="0"/>
    <n v="0"/>
    <n v="0"/>
    <n v="0"/>
    <n v="0"/>
    <n v="0"/>
    <n v="0"/>
    <n v="0"/>
    <n v="0"/>
    <n v="0"/>
    <n v="0"/>
    <n v="0"/>
    <s v=""/>
    <n v="0"/>
    <n v="286.31733333333335"/>
    <n v="286.31733333333335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SC"/>
    <n v="1427"/>
    <s v="VENDA INTERNA - FITLAND"/>
    <s v="SAL"/>
    <n v="0"/>
    <n v="40.9"/>
    <n v="40.9"/>
    <n v="350.00000000000006"/>
    <n v="420.00000000000006"/>
    <n v="490.00000000000006"/>
    <n v="630.00000000000011"/>
    <n v="770.00000000000011"/>
    <n v="924.00000000000011"/>
    <n v="1001.0000000000001"/>
    <n v="1155"/>
    <n v="770.00000000000011"/>
    <n v="6510.0000000000009"/>
    <n v="6510.0000000000009"/>
    <n v="0"/>
    <s v=""/>
    <n v="0"/>
    <n v="81.8"/>
    <n v="81.8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SC"/>
    <n v="1427"/>
    <s v="VENDA INTERNA - FITLAND"/>
    <s v="SOULPRO"/>
    <n v="0"/>
    <n v="1470.3095435684643"/>
    <n v="1470.3095435684643"/>
    <n v="249.99999999999997"/>
    <n v="300"/>
    <n v="349.99999999999994"/>
    <n v="449.99999999999994"/>
    <n v="550"/>
    <n v="660"/>
    <n v="714.99999999999989"/>
    <n v="824.99999999999989"/>
    <n v="550"/>
    <n v="4650"/>
    <n v="4650"/>
    <n v="0"/>
    <s v=""/>
    <n v="0"/>
    <n v="2940.6190871369286"/>
    <n v="2940.6190871369286"/>
    <n v="0"/>
    <s v="Novos "/>
    <n v="0.2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SC"/>
    <n v="1427"/>
    <s v="VENDA INTERNA - FITLAND"/>
    <s v="TAMARA"/>
    <n v="0"/>
    <n v="2302.1240000000003"/>
    <n v="2616.0500000000002"/>
    <n v="400"/>
    <n v="480"/>
    <n v="560"/>
    <n v="720"/>
    <n v="880"/>
    <n v="1056"/>
    <n v="1144"/>
    <n v="1320"/>
    <n v="880"/>
    <n v="7440"/>
    <n v="7440"/>
    <n v="0"/>
    <s v=""/>
    <n v="0"/>
    <n v="4918.1740000000009"/>
    <n v="4918.1740000000009"/>
    <n v="0"/>
    <s v="Novos "/>
    <n v="0.2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SC"/>
    <n v="1427"/>
    <s v="VENDA INTERNA - FITLAND"/>
    <s v="VICCIO"/>
    <n v="0"/>
    <n v="585.97440000000006"/>
    <n v="585.97440000000006"/>
    <n v="150"/>
    <n v="180"/>
    <n v="210"/>
    <n v="270"/>
    <n v="330"/>
    <n v="396"/>
    <n v="429"/>
    <n v="495"/>
    <n v="330"/>
    <n v="2790"/>
    <n v="2790"/>
    <n v="0"/>
    <s v=""/>
    <n v="0"/>
    <n v="1171.9488000000001"/>
    <n v="1171.9488000000001"/>
    <n v="0"/>
    <s v="Novos "/>
    <n v="0.2"/>
    <m/>
  </r>
  <r>
    <x v="0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n v="1"/>
    <s v="PR"/>
    <n v="1428"/>
    <s v="VENDA INTERNA - JARDIM DAS ERVAS"/>
    <s v="1. TOTAL - VENDA INTERNA - JARDIM DAS ERVAS"/>
    <n v="0"/>
    <n v="10568.294327098127"/>
    <n v="12029.078970466311"/>
    <n v="1000"/>
    <n v="1000"/>
    <n v="1000"/>
    <n v="1000"/>
    <n v="1100"/>
    <n v="1100"/>
    <n v="1100"/>
    <n v="2200"/>
    <n v="1100"/>
    <n v="10600"/>
    <n v="10600"/>
    <n v="0"/>
    <s v=""/>
    <n v="0"/>
    <n v="22597.373297564438"/>
    <n v="22597.373297564438"/>
    <n v="0"/>
    <m/>
    <m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R"/>
    <n v="1428"/>
    <s v="VENDA INTERNA - JARDIM DAS ERVAS"/>
    <s v="BISCOITO"/>
    <n v="0"/>
    <n v="404.3886056291048"/>
    <n v="505.48575703638102"/>
    <n v="50"/>
    <n v="50"/>
    <n v="50"/>
    <n v="50"/>
    <n v="55"/>
    <n v="55"/>
    <n v="55"/>
    <n v="110"/>
    <n v="55"/>
    <n v="530"/>
    <n v="530"/>
    <n v="0"/>
    <s v=""/>
    <n v="0"/>
    <n v="909.87436266548582"/>
    <n v="909.87436266548582"/>
    <n v="0"/>
    <s v="Novos "/>
    <n v="0.2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R"/>
    <n v="1428"/>
    <s v="VENDA INTERNA - JARDIM DAS ERVAS"/>
    <s v="CHOCOLATES"/>
    <n v="0"/>
    <n v="2462.0564928909953"/>
    <n v="2872.3992417061613"/>
    <n v="50"/>
    <n v="50"/>
    <n v="50"/>
    <n v="50"/>
    <n v="55"/>
    <n v="55"/>
    <n v="55"/>
    <n v="110"/>
    <n v="55"/>
    <n v="530"/>
    <n v="530"/>
    <n v="0"/>
    <s v=""/>
    <n v="0"/>
    <n v="5334.4557345971571"/>
    <n v="5334.4557345971571"/>
    <n v="0"/>
    <s v="Novos "/>
    <n v="0.2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R"/>
    <n v="1428"/>
    <s v="VENDA INTERNA - JARDIM DAS ERVAS"/>
    <s v="DISNEY"/>
    <n v="0"/>
    <n v="441.5151111111112"/>
    <n v="551.89388888888902"/>
    <n v="80"/>
    <n v="80"/>
    <n v="80"/>
    <n v="80"/>
    <n v="88"/>
    <n v="88"/>
    <n v="88"/>
    <n v="176"/>
    <n v="88"/>
    <n v="848"/>
    <n v="848"/>
    <n v="0"/>
    <s v=""/>
    <n v="0"/>
    <n v="993.40900000000022"/>
    <n v="993.40900000000022"/>
    <n v="0"/>
    <s v="Novos "/>
    <n v="0.1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R"/>
    <n v="1428"/>
    <s v="VENDA INTERNA - JARDIM DAS ERVAS"/>
    <s v="DOCES"/>
    <n v="0"/>
    <n v="555.05619047619052"/>
    <n v="555.05619047619052"/>
    <n v="100"/>
    <n v="100"/>
    <n v="100"/>
    <n v="100"/>
    <n v="110"/>
    <n v="110"/>
    <n v="110"/>
    <n v="220"/>
    <n v="110"/>
    <n v="1060"/>
    <n v="1060"/>
    <n v="0"/>
    <s v=""/>
    <n v="0"/>
    <n v="1110.112380952381"/>
    <n v="1110.112380952381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R"/>
    <n v="1428"/>
    <s v="VENDA INTERNA - JARDIM DAS ERVAS"/>
    <s v="GELEIA"/>
    <n v="0"/>
    <n v="124.75666666666666"/>
    <n v="249.51333333333332"/>
    <n v="19.999999999999996"/>
    <n v="19.999999999999996"/>
    <n v="19.999999999999996"/>
    <n v="19.999999999999996"/>
    <n v="21.999999999999996"/>
    <n v="21.999999999999996"/>
    <n v="21.999999999999996"/>
    <n v="43.999999999999993"/>
    <n v="21.999999999999996"/>
    <n v="211.99999999999997"/>
    <n v="211.99999999999997"/>
    <n v="0"/>
    <s v=""/>
    <n v="0"/>
    <n v="374.27"/>
    <n v="374.27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R"/>
    <n v="1428"/>
    <s v="VENDA INTERNA - JARDIM DAS ERVAS"/>
    <s v="GRANOLA"/>
    <n v="0"/>
    <n v="315.14999999999998"/>
    <n v="420.2"/>
    <n v="20"/>
    <n v="20"/>
    <n v="20"/>
    <n v="20"/>
    <n v="22"/>
    <n v="22"/>
    <n v="22"/>
    <n v="44"/>
    <n v="22"/>
    <n v="212"/>
    <n v="212"/>
    <n v="0"/>
    <s v=""/>
    <n v="0"/>
    <n v="735.34999999999991"/>
    <n v="735.34999999999991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R"/>
    <n v="1428"/>
    <s v="VENDA INTERNA - JARDIM DAS ERVAS"/>
    <s v="KIDS"/>
    <n v="0"/>
    <n v="165.49714285714285"/>
    <n v="165.49714285714285"/>
    <n v="20"/>
    <n v="20"/>
    <n v="20"/>
    <n v="20"/>
    <n v="22"/>
    <n v="22"/>
    <n v="22"/>
    <n v="44"/>
    <n v="22"/>
    <n v="212"/>
    <n v="212"/>
    <n v="0"/>
    <s v=""/>
    <n v="0"/>
    <n v="330.9942857142857"/>
    <n v="330.9942857142857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R"/>
    <n v="1428"/>
    <s v="VENDA INTERNA - JARDIM DAS ERVAS"/>
    <s v="LANCHES"/>
    <n v="0"/>
    <n v="89.608571428571423"/>
    <n v="179.21714285714285"/>
    <n v="30"/>
    <n v="30"/>
    <n v="30"/>
    <n v="30"/>
    <n v="33"/>
    <n v="33"/>
    <n v="33"/>
    <n v="66"/>
    <n v="33"/>
    <n v="318"/>
    <n v="318"/>
    <n v="0"/>
    <s v=""/>
    <n v="0"/>
    <n v="268.8257142857143"/>
    <n v="268.8257142857143"/>
    <n v="0"/>
    <s v="Novos "/>
    <n v="0.1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R"/>
    <n v="1428"/>
    <s v="VENDA INTERNA - JARDIM DAS ERVAS"/>
    <s v="MAIS GRANEL"/>
    <n v="0"/>
    <n v="516.1430303030304"/>
    <n v="602.16686868686872"/>
    <n v="250"/>
    <n v="250"/>
    <n v="250"/>
    <n v="250"/>
    <n v="275"/>
    <n v="275"/>
    <n v="275"/>
    <n v="550"/>
    <n v="275"/>
    <n v="2650"/>
    <n v="2650"/>
    <n v="0"/>
    <s v=""/>
    <n v="0"/>
    <n v="1118.309898989899"/>
    <n v="1118.309898989899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R"/>
    <n v="1428"/>
    <s v="VENDA INTERNA - JARDIM DAS ERVAS"/>
    <s v="NATURATTA"/>
    <n v="0"/>
    <n v="627.6857142857142"/>
    <n v="627.6857142857142"/>
    <n v="50"/>
    <n v="50"/>
    <n v="50"/>
    <n v="50"/>
    <n v="55"/>
    <n v="55"/>
    <n v="55"/>
    <n v="110"/>
    <n v="55"/>
    <n v="530"/>
    <n v="530"/>
    <n v="0"/>
    <s v=""/>
    <n v="0"/>
    <n v="1255.3714285714284"/>
    <n v="1255.3714285714284"/>
    <n v="0"/>
    <s v="Novos "/>
    <n v="0.2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R"/>
    <n v="1428"/>
    <s v="VENDA INTERNA - JARDIM DAS ERVAS"/>
    <s v="REEMBALADOS"/>
    <n v="0"/>
    <n v="119.60088888888889"/>
    <n v="239.20177777777778"/>
    <n v="50"/>
    <n v="50"/>
    <n v="50"/>
    <n v="50"/>
    <n v="55"/>
    <n v="55"/>
    <n v="55"/>
    <n v="110"/>
    <n v="55"/>
    <n v="530"/>
    <n v="530"/>
    <n v="0"/>
    <s v=""/>
    <n v="0"/>
    <n v="358.80266666666665"/>
    <n v="358.80266666666665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R"/>
    <n v="1428"/>
    <s v="VENDA INTERNA - JARDIM DAS ERVAS"/>
    <s v="S GLUTEN"/>
    <n v="0"/>
    <n v="204.36930232558137"/>
    <n v="204.36930232558137"/>
    <n v="50"/>
    <n v="50"/>
    <n v="50"/>
    <n v="50"/>
    <n v="55"/>
    <n v="55"/>
    <n v="55"/>
    <n v="110"/>
    <n v="55"/>
    <n v="530"/>
    <n v="530"/>
    <n v="0"/>
    <s v=""/>
    <n v="0"/>
    <n v="408.73860465116275"/>
    <n v="408.73860465116275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R"/>
    <n v="1428"/>
    <s v="VENDA INTERNA - JARDIM DAS ERVAS"/>
    <s v="SABORES DO CAMPO"/>
    <n v="0"/>
    <n v="143.15866666666668"/>
    <n v="143.15866666666668"/>
    <n v="0"/>
    <n v="0"/>
    <n v="0"/>
    <n v="0"/>
    <n v="0"/>
    <n v="0"/>
    <n v="0"/>
    <n v="0"/>
    <n v="0"/>
    <n v="0"/>
    <n v="0"/>
    <n v="0"/>
    <s v=""/>
    <n v="0"/>
    <n v="286.31733333333335"/>
    <n v="286.31733333333335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R"/>
    <n v="1428"/>
    <s v="VENDA INTERNA - JARDIM DAS ERVAS"/>
    <s v="SAL"/>
    <n v="0"/>
    <n v="40.9"/>
    <n v="40.9"/>
    <n v="70"/>
    <n v="70"/>
    <n v="70"/>
    <n v="70"/>
    <n v="77.000000000000014"/>
    <n v="77.000000000000014"/>
    <n v="77.000000000000014"/>
    <n v="154.00000000000003"/>
    <n v="77.000000000000014"/>
    <n v="742"/>
    <n v="742"/>
    <n v="0"/>
    <s v=""/>
    <n v="0"/>
    <n v="81.8"/>
    <n v="81.8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R"/>
    <n v="1428"/>
    <s v="VENDA INTERNA - JARDIM DAS ERVAS"/>
    <s v="SOULPRO"/>
    <n v="0"/>
    <n v="1470.3095435684643"/>
    <n v="1470.3095435684643"/>
    <n v="49.999999999999993"/>
    <n v="49.999999999999993"/>
    <n v="49.999999999999993"/>
    <n v="49.999999999999993"/>
    <n v="54.999999999999993"/>
    <n v="54.999999999999993"/>
    <n v="54.999999999999993"/>
    <n v="109.99999999999999"/>
    <n v="54.999999999999993"/>
    <n v="529.99999999999989"/>
    <n v="529.99999999999989"/>
    <n v="0"/>
    <s v=""/>
    <n v="0"/>
    <n v="2940.6190871369286"/>
    <n v="2940.6190871369286"/>
    <n v="0"/>
    <s v="Novos "/>
    <n v="0.2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R"/>
    <n v="1428"/>
    <s v="VENDA INTERNA - JARDIM DAS ERVAS"/>
    <s v="TAMARA"/>
    <n v="0"/>
    <n v="2302.1240000000003"/>
    <n v="2616.0500000000002"/>
    <n v="80"/>
    <n v="80"/>
    <n v="80"/>
    <n v="80"/>
    <n v="88"/>
    <n v="88"/>
    <n v="88"/>
    <n v="176"/>
    <n v="88"/>
    <n v="848"/>
    <n v="848"/>
    <n v="0"/>
    <s v=""/>
    <n v="0"/>
    <n v="4918.1740000000009"/>
    <n v="4918.1740000000009"/>
    <n v="0"/>
    <s v="Novos "/>
    <n v="0.2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R"/>
    <n v="1428"/>
    <s v="VENDA INTERNA - JARDIM DAS ERVAS"/>
    <s v="VICCIO"/>
    <n v="0"/>
    <n v="585.97440000000006"/>
    <n v="585.97440000000006"/>
    <n v="30"/>
    <n v="30"/>
    <n v="30"/>
    <n v="30"/>
    <n v="33"/>
    <n v="33"/>
    <n v="33"/>
    <n v="66"/>
    <n v="33"/>
    <n v="318"/>
    <n v="318"/>
    <n v="0"/>
    <s v=""/>
    <n v="0"/>
    <n v="1171.9488000000001"/>
    <n v="1171.9488000000001"/>
    <n v="0"/>
    <s v="Novos "/>
    <n v="0.2"/>
    <m/>
  </r>
  <r>
    <x v="0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n v="1"/>
    <s v="RS"/>
    <n v="1429"/>
    <s v="VANDA INTERNA - VIDA LEVE"/>
    <s v="1. TOTAL - VANDA INTERNA - VIDA LEVE"/>
    <n v="0"/>
    <n v="10568.294327098127"/>
    <n v="12029.078970466311"/>
    <n v="1000"/>
    <n v="1000"/>
    <n v="2000"/>
    <n v="2000"/>
    <n v="2200"/>
    <n v="3300"/>
    <n v="3300"/>
    <n v="3300"/>
    <n v="2200"/>
    <n v="20300"/>
    <n v="20300"/>
    <n v="0"/>
    <s v=""/>
    <n v="0"/>
    <n v="22597.373297564438"/>
    <n v="22597.373297564438"/>
    <n v="0"/>
    <m/>
    <m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S"/>
    <n v="1429"/>
    <s v="VANDA INTERNA - VIDA LEVE"/>
    <s v="BISCOITO"/>
    <n v="0"/>
    <n v="404.3886056291048"/>
    <n v="505.48575703638102"/>
    <n v="50"/>
    <n v="50"/>
    <n v="100"/>
    <n v="100"/>
    <n v="110"/>
    <n v="165"/>
    <n v="165"/>
    <n v="165"/>
    <n v="110"/>
    <n v="1015"/>
    <n v="1015"/>
    <n v="0"/>
    <s v=""/>
    <n v="0"/>
    <n v="909.87436266548582"/>
    <n v="909.87436266548582"/>
    <n v="0"/>
    <s v="Novos "/>
    <n v="0.2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S"/>
    <n v="1429"/>
    <s v="VANDA INTERNA - VIDA LEVE"/>
    <s v="CHOCOLATES"/>
    <n v="0"/>
    <n v="2462.0564928909953"/>
    <n v="2872.3992417061613"/>
    <n v="50"/>
    <n v="50"/>
    <n v="100"/>
    <n v="100"/>
    <n v="110"/>
    <n v="165"/>
    <n v="165"/>
    <n v="165"/>
    <n v="110"/>
    <n v="1015"/>
    <n v="1015"/>
    <n v="0"/>
    <s v=""/>
    <n v="0"/>
    <n v="5334.4557345971571"/>
    <n v="5334.4557345971571"/>
    <n v="0"/>
    <s v="Novos "/>
    <n v="0.2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S"/>
    <n v="1429"/>
    <s v="VANDA INTERNA - VIDA LEVE"/>
    <s v="DISNEY"/>
    <n v="0"/>
    <n v="441.5151111111112"/>
    <n v="551.89388888888902"/>
    <n v="80"/>
    <n v="80"/>
    <n v="160"/>
    <n v="160"/>
    <n v="176"/>
    <n v="264"/>
    <n v="264"/>
    <n v="264"/>
    <n v="176"/>
    <n v="1624"/>
    <n v="1624"/>
    <n v="0"/>
    <s v=""/>
    <n v="0"/>
    <n v="993.40900000000022"/>
    <n v="993.40900000000022"/>
    <n v="0"/>
    <s v="Novos "/>
    <n v="0.1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S"/>
    <n v="1429"/>
    <s v="VANDA INTERNA - VIDA LEVE"/>
    <s v="DOCES"/>
    <n v="0"/>
    <n v="555.05619047619052"/>
    <n v="555.05619047619052"/>
    <n v="100"/>
    <n v="100"/>
    <n v="200"/>
    <n v="200"/>
    <n v="220"/>
    <n v="330"/>
    <n v="330"/>
    <n v="330"/>
    <n v="220"/>
    <n v="2030"/>
    <n v="2030"/>
    <n v="0"/>
    <s v=""/>
    <n v="0"/>
    <n v="1110.112380952381"/>
    <n v="1110.112380952381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S"/>
    <n v="1429"/>
    <s v="VANDA INTERNA - VIDA LEVE"/>
    <s v="GELEIA"/>
    <n v="0"/>
    <n v="124.75666666666666"/>
    <n v="249.51333333333332"/>
    <n v="19.999999999999996"/>
    <n v="19.999999999999996"/>
    <n v="39.999999999999993"/>
    <n v="39.999999999999993"/>
    <n v="43.999999999999993"/>
    <n v="65.999999999999986"/>
    <n v="65.999999999999986"/>
    <n v="65.999999999999986"/>
    <n v="43.999999999999993"/>
    <n v="405.99999999999994"/>
    <n v="405.99999999999994"/>
    <n v="0"/>
    <s v=""/>
    <n v="0"/>
    <n v="374.27"/>
    <n v="374.27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S"/>
    <n v="1429"/>
    <s v="VANDA INTERNA - VIDA LEVE"/>
    <s v="GRANOLA"/>
    <n v="0"/>
    <n v="315.14999999999998"/>
    <n v="420.2"/>
    <n v="20"/>
    <n v="20"/>
    <n v="40"/>
    <n v="40"/>
    <n v="44"/>
    <n v="66"/>
    <n v="66"/>
    <n v="66"/>
    <n v="44"/>
    <n v="406"/>
    <n v="406"/>
    <n v="0"/>
    <s v=""/>
    <n v="0"/>
    <n v="735.34999999999991"/>
    <n v="735.34999999999991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S"/>
    <n v="1429"/>
    <s v="VANDA INTERNA - VIDA LEVE"/>
    <s v="KIDS"/>
    <n v="0"/>
    <n v="165.49714285714285"/>
    <n v="165.49714285714285"/>
    <n v="20"/>
    <n v="20"/>
    <n v="40"/>
    <n v="40"/>
    <n v="44"/>
    <n v="66"/>
    <n v="66"/>
    <n v="66"/>
    <n v="44"/>
    <n v="406"/>
    <n v="406"/>
    <n v="0"/>
    <s v=""/>
    <n v="0"/>
    <n v="330.9942857142857"/>
    <n v="330.9942857142857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S"/>
    <n v="1429"/>
    <s v="VANDA INTERNA - VIDA LEVE"/>
    <s v="LANCHES"/>
    <n v="0"/>
    <n v="89.608571428571423"/>
    <n v="179.21714285714285"/>
    <n v="30"/>
    <n v="30"/>
    <n v="60"/>
    <n v="60"/>
    <n v="66"/>
    <n v="99"/>
    <n v="99"/>
    <n v="99"/>
    <n v="66"/>
    <n v="609"/>
    <n v="609"/>
    <n v="0"/>
    <s v=""/>
    <n v="0"/>
    <n v="268.8257142857143"/>
    <n v="268.8257142857143"/>
    <n v="0"/>
    <s v="Novos "/>
    <n v="0.1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S"/>
    <n v="1429"/>
    <s v="VANDA INTERNA - VIDA LEVE"/>
    <s v="MAIS GRANEL"/>
    <n v="0"/>
    <n v="516.1430303030304"/>
    <n v="602.16686868686872"/>
    <n v="250"/>
    <n v="250"/>
    <n v="500"/>
    <n v="500"/>
    <n v="550"/>
    <n v="825"/>
    <n v="825"/>
    <n v="825"/>
    <n v="550"/>
    <n v="5075"/>
    <n v="5075"/>
    <n v="0"/>
    <s v=""/>
    <n v="0"/>
    <n v="1118.309898989899"/>
    <n v="1118.309898989899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S"/>
    <n v="1429"/>
    <s v="VANDA INTERNA - VIDA LEVE"/>
    <s v="NATURATTA"/>
    <n v="0"/>
    <n v="627.6857142857142"/>
    <n v="627.6857142857142"/>
    <n v="50"/>
    <n v="50"/>
    <n v="100"/>
    <n v="100"/>
    <n v="110"/>
    <n v="165"/>
    <n v="165"/>
    <n v="165"/>
    <n v="110"/>
    <n v="1015"/>
    <n v="1015"/>
    <n v="0"/>
    <s v=""/>
    <n v="0"/>
    <n v="1255.3714285714284"/>
    <n v="1255.3714285714284"/>
    <n v="0"/>
    <s v="Novos "/>
    <n v="0.2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S"/>
    <n v="1429"/>
    <s v="VANDA INTERNA - VIDA LEVE"/>
    <s v="REEMBALADOS"/>
    <n v="0"/>
    <n v="119.60088888888889"/>
    <n v="239.20177777777778"/>
    <n v="50"/>
    <n v="50"/>
    <n v="100"/>
    <n v="100"/>
    <n v="110"/>
    <n v="165"/>
    <n v="165"/>
    <n v="165"/>
    <n v="110"/>
    <n v="1015"/>
    <n v="1015"/>
    <n v="0"/>
    <s v=""/>
    <n v="0"/>
    <n v="358.80266666666665"/>
    <n v="358.80266666666665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S"/>
    <n v="1429"/>
    <s v="VANDA INTERNA - VIDA LEVE"/>
    <s v="S GLUTEN"/>
    <n v="0"/>
    <n v="204.36930232558137"/>
    <n v="204.36930232558137"/>
    <n v="50"/>
    <n v="50"/>
    <n v="100"/>
    <n v="100"/>
    <n v="110"/>
    <n v="165"/>
    <n v="165"/>
    <n v="165"/>
    <n v="110"/>
    <n v="1015"/>
    <n v="1015"/>
    <n v="0"/>
    <s v=""/>
    <n v="0"/>
    <n v="408.73860465116275"/>
    <n v="408.73860465116275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S"/>
    <n v="1429"/>
    <s v="VANDA INTERNA - VIDA LEVE"/>
    <s v="SABORES DO CAMPO"/>
    <n v="0"/>
    <n v="143.15866666666668"/>
    <n v="143.15866666666668"/>
    <n v="0"/>
    <n v="0"/>
    <n v="0"/>
    <n v="0"/>
    <n v="0"/>
    <n v="0"/>
    <n v="0"/>
    <n v="0"/>
    <n v="0"/>
    <n v="0"/>
    <n v="0"/>
    <n v="0"/>
    <s v=""/>
    <n v="0"/>
    <n v="286.31733333333335"/>
    <n v="286.31733333333335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S"/>
    <n v="1429"/>
    <s v="VANDA INTERNA - VIDA LEVE"/>
    <s v="SAL"/>
    <n v="0"/>
    <n v="40.9"/>
    <n v="40.9"/>
    <n v="70"/>
    <n v="70"/>
    <n v="140"/>
    <n v="140"/>
    <n v="154.00000000000003"/>
    <n v="231.00000000000003"/>
    <n v="231.00000000000003"/>
    <n v="231.00000000000003"/>
    <n v="154.00000000000003"/>
    <n v="1421"/>
    <n v="1421"/>
    <n v="0"/>
    <s v=""/>
    <n v="0"/>
    <n v="81.8"/>
    <n v="81.8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S"/>
    <n v="1429"/>
    <s v="VANDA INTERNA - VIDA LEVE"/>
    <s v="SOULPRO"/>
    <n v="0"/>
    <n v="1470.3095435684643"/>
    <n v="1470.3095435684643"/>
    <n v="49.999999999999993"/>
    <n v="49.999999999999993"/>
    <n v="99.999999999999986"/>
    <n v="99.999999999999986"/>
    <n v="109.99999999999999"/>
    <n v="165"/>
    <n v="165"/>
    <n v="165"/>
    <n v="109.99999999999999"/>
    <n v="1015"/>
    <n v="1015"/>
    <n v="0"/>
    <s v=""/>
    <n v="0"/>
    <n v="2940.6190871369286"/>
    <n v="2940.6190871369286"/>
    <n v="0"/>
    <s v="Novos "/>
    <n v="0.2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S"/>
    <n v="1429"/>
    <s v="VANDA INTERNA - VIDA LEVE"/>
    <s v="TAMARA"/>
    <n v="0"/>
    <n v="2302.1240000000003"/>
    <n v="2616.0500000000002"/>
    <n v="80"/>
    <n v="80"/>
    <n v="160"/>
    <n v="160"/>
    <n v="176"/>
    <n v="264"/>
    <n v="264"/>
    <n v="264"/>
    <n v="176"/>
    <n v="1624"/>
    <n v="1624"/>
    <n v="0"/>
    <s v=""/>
    <n v="0"/>
    <n v="4918.1740000000009"/>
    <n v="4918.1740000000009"/>
    <n v="0"/>
    <s v="Novos "/>
    <n v="0.2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S"/>
    <n v="1429"/>
    <s v="VANDA INTERNA - VIDA LEVE"/>
    <s v="VICCIO"/>
    <n v="0"/>
    <n v="585.97440000000006"/>
    <n v="585.97440000000006"/>
    <n v="30"/>
    <n v="30"/>
    <n v="60"/>
    <n v="60"/>
    <n v="66"/>
    <n v="99"/>
    <n v="99"/>
    <n v="99"/>
    <n v="66"/>
    <n v="609"/>
    <n v="609"/>
    <n v="0"/>
    <s v=""/>
    <n v="0"/>
    <n v="1171.9488000000001"/>
    <n v="1171.9488000000001"/>
    <n v="0"/>
    <s v="Novos "/>
    <n v="0.2"/>
    <m/>
  </r>
  <r>
    <x v="0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n v="1"/>
    <s v="PI"/>
    <n v="1430"/>
    <s v="VENDA INTERNA - BIO MUNDO"/>
    <s v="1. TOTAL - VENDA INTERNA - BIO MUNDO"/>
    <n v="0"/>
    <n v="10568.294327098127"/>
    <n v="12029.078970466311"/>
    <n v="2000"/>
    <n v="2000"/>
    <n v="2000"/>
    <n v="3000"/>
    <n v="3300"/>
    <n v="4400"/>
    <n v="4400"/>
    <n v="5500"/>
    <n v="3300"/>
    <n v="29900"/>
    <n v="29900"/>
    <n v="0"/>
    <s v=""/>
    <n v="0"/>
    <n v="22597.373297564438"/>
    <n v="22597.373297564438"/>
    <n v="0"/>
    <m/>
    <m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I"/>
    <n v="1430"/>
    <s v="VENDA INTERNA - BIO MUNDO"/>
    <s v="BISCOITO"/>
    <n v="0"/>
    <n v="404.3886056291048"/>
    <n v="505.48575703638102"/>
    <n v="100"/>
    <n v="100"/>
    <n v="100"/>
    <n v="150"/>
    <n v="165"/>
    <n v="220"/>
    <n v="220"/>
    <n v="275"/>
    <n v="165"/>
    <n v="1495"/>
    <n v="1495"/>
    <n v="0"/>
    <s v=""/>
    <n v="0"/>
    <n v="909.87436266548582"/>
    <n v="909.87436266548582"/>
    <n v="0"/>
    <s v="Novos "/>
    <n v="0.2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I"/>
    <n v="1430"/>
    <s v="VENDA INTERNA - BIO MUNDO"/>
    <s v="CHOCOLATES"/>
    <n v="0"/>
    <n v="2462.0564928909953"/>
    <n v="2872.3992417061613"/>
    <n v="100"/>
    <n v="100"/>
    <n v="100"/>
    <n v="150"/>
    <n v="165"/>
    <n v="220"/>
    <n v="220"/>
    <n v="275"/>
    <n v="165"/>
    <n v="1495"/>
    <n v="1495"/>
    <n v="0"/>
    <s v=""/>
    <n v="0"/>
    <n v="5334.4557345971571"/>
    <n v="5334.4557345971571"/>
    <n v="0"/>
    <s v="Novos "/>
    <n v="0.2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I"/>
    <n v="1430"/>
    <s v="VENDA INTERNA - BIO MUNDO"/>
    <s v="DISNEY"/>
    <n v="0"/>
    <n v="441.5151111111112"/>
    <n v="551.89388888888902"/>
    <n v="160"/>
    <n v="160"/>
    <n v="160"/>
    <n v="240"/>
    <n v="264"/>
    <n v="352"/>
    <n v="352"/>
    <n v="440"/>
    <n v="264"/>
    <n v="2392"/>
    <n v="2392"/>
    <n v="0"/>
    <s v=""/>
    <n v="0"/>
    <n v="993.40900000000022"/>
    <n v="993.40900000000022"/>
    <n v="0"/>
    <s v="Novos "/>
    <n v="0.1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I"/>
    <n v="1430"/>
    <s v="VENDA INTERNA - BIO MUNDO"/>
    <s v="DOCES"/>
    <n v="0"/>
    <n v="555.05619047619052"/>
    <n v="555.05619047619052"/>
    <n v="200"/>
    <n v="200"/>
    <n v="200"/>
    <n v="300"/>
    <n v="330"/>
    <n v="440"/>
    <n v="440"/>
    <n v="550"/>
    <n v="330"/>
    <n v="2990"/>
    <n v="2990"/>
    <n v="0"/>
    <s v=""/>
    <n v="0"/>
    <n v="1110.112380952381"/>
    <n v="1110.112380952381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I"/>
    <n v="1430"/>
    <s v="VENDA INTERNA - BIO MUNDO"/>
    <s v="GELEIA"/>
    <n v="0"/>
    <n v="124.75666666666666"/>
    <n v="249.51333333333332"/>
    <n v="39.999999999999993"/>
    <n v="39.999999999999993"/>
    <n v="39.999999999999993"/>
    <n v="59.999999999999993"/>
    <n v="65.999999999999986"/>
    <n v="87.999999999999986"/>
    <n v="87.999999999999986"/>
    <n v="109.99999999999999"/>
    <n v="65.999999999999986"/>
    <n v="597.99999999999989"/>
    <n v="597.99999999999989"/>
    <n v="0"/>
    <s v=""/>
    <n v="0"/>
    <n v="374.27"/>
    <n v="374.27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I"/>
    <n v="1430"/>
    <s v="VENDA INTERNA - BIO MUNDO"/>
    <s v="GRANOLA"/>
    <n v="0"/>
    <n v="315.14999999999998"/>
    <n v="420.2"/>
    <n v="40"/>
    <n v="40"/>
    <n v="40"/>
    <n v="60"/>
    <n v="66"/>
    <n v="88"/>
    <n v="88"/>
    <n v="110"/>
    <n v="66"/>
    <n v="598"/>
    <n v="598"/>
    <n v="0"/>
    <s v=""/>
    <n v="0"/>
    <n v="735.34999999999991"/>
    <n v="735.34999999999991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I"/>
    <n v="1430"/>
    <s v="VENDA INTERNA - BIO MUNDO"/>
    <s v="KIDS"/>
    <n v="0"/>
    <n v="165.49714285714285"/>
    <n v="165.49714285714285"/>
    <n v="40"/>
    <n v="40"/>
    <n v="40"/>
    <n v="60"/>
    <n v="66"/>
    <n v="88"/>
    <n v="88"/>
    <n v="110"/>
    <n v="66"/>
    <n v="598"/>
    <n v="598"/>
    <n v="0"/>
    <s v=""/>
    <n v="0"/>
    <n v="330.9942857142857"/>
    <n v="330.9942857142857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I"/>
    <n v="1430"/>
    <s v="VENDA INTERNA - BIO MUNDO"/>
    <s v="LANCHES"/>
    <n v="0"/>
    <n v="89.608571428571423"/>
    <n v="179.21714285714285"/>
    <n v="60"/>
    <n v="60"/>
    <n v="60"/>
    <n v="90"/>
    <n v="99"/>
    <n v="132"/>
    <n v="132"/>
    <n v="165"/>
    <n v="99"/>
    <n v="897"/>
    <n v="897"/>
    <n v="0"/>
    <s v=""/>
    <n v="0"/>
    <n v="268.8257142857143"/>
    <n v="268.8257142857143"/>
    <n v="0"/>
    <s v="Novos "/>
    <n v="0.1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I"/>
    <n v="1430"/>
    <s v="VENDA INTERNA - BIO MUNDO"/>
    <s v="MAIS GRANEL"/>
    <n v="0"/>
    <n v="516.1430303030304"/>
    <n v="602.16686868686872"/>
    <n v="500"/>
    <n v="500"/>
    <n v="500"/>
    <n v="750"/>
    <n v="825"/>
    <n v="1100"/>
    <n v="1100"/>
    <n v="1375"/>
    <n v="825"/>
    <n v="7475"/>
    <n v="7475"/>
    <n v="0"/>
    <s v=""/>
    <n v="0"/>
    <n v="1118.309898989899"/>
    <n v="1118.309898989899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I"/>
    <n v="1430"/>
    <s v="VENDA INTERNA - BIO MUNDO"/>
    <s v="NATURATTA"/>
    <n v="0"/>
    <n v="627.6857142857142"/>
    <n v="627.6857142857142"/>
    <n v="100"/>
    <n v="100"/>
    <n v="100"/>
    <n v="150"/>
    <n v="165"/>
    <n v="220"/>
    <n v="220"/>
    <n v="275"/>
    <n v="165"/>
    <n v="1495"/>
    <n v="1495"/>
    <n v="0"/>
    <s v=""/>
    <n v="0"/>
    <n v="1255.3714285714284"/>
    <n v="1255.3714285714284"/>
    <n v="0"/>
    <s v="Novos "/>
    <n v="0.2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I"/>
    <n v="1430"/>
    <s v="VENDA INTERNA - BIO MUNDO"/>
    <s v="REEMBALADOS"/>
    <n v="0"/>
    <n v="119.60088888888889"/>
    <n v="239.20177777777778"/>
    <n v="100"/>
    <n v="100"/>
    <n v="100"/>
    <n v="150"/>
    <n v="165"/>
    <n v="220"/>
    <n v="220"/>
    <n v="275"/>
    <n v="165"/>
    <n v="1495"/>
    <n v="1495"/>
    <n v="0"/>
    <s v=""/>
    <n v="0"/>
    <n v="358.80266666666665"/>
    <n v="358.80266666666665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I"/>
    <n v="1430"/>
    <s v="VENDA INTERNA - BIO MUNDO"/>
    <s v="S GLUTEN"/>
    <n v="0"/>
    <n v="204.36930232558137"/>
    <n v="204.36930232558137"/>
    <n v="100"/>
    <n v="100"/>
    <n v="100"/>
    <n v="150"/>
    <n v="165"/>
    <n v="220"/>
    <n v="220"/>
    <n v="275"/>
    <n v="165"/>
    <n v="1495"/>
    <n v="1495"/>
    <n v="0"/>
    <s v=""/>
    <n v="0"/>
    <n v="408.73860465116275"/>
    <n v="408.73860465116275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I"/>
    <n v="1430"/>
    <s v="VENDA INTERNA - BIO MUNDO"/>
    <s v="SABORES DO CAMPO"/>
    <n v="0"/>
    <n v="143.15866666666668"/>
    <n v="143.15866666666668"/>
    <n v="0"/>
    <n v="0"/>
    <n v="0"/>
    <n v="0"/>
    <n v="0"/>
    <n v="0"/>
    <n v="0"/>
    <n v="0"/>
    <n v="0"/>
    <n v="0"/>
    <n v="0"/>
    <n v="0"/>
    <s v=""/>
    <n v="0"/>
    <n v="286.31733333333335"/>
    <n v="286.31733333333335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I"/>
    <n v="1430"/>
    <s v="VENDA INTERNA - BIO MUNDO"/>
    <s v="SAL"/>
    <n v="0"/>
    <n v="40.9"/>
    <n v="40.9"/>
    <n v="140"/>
    <n v="140"/>
    <n v="140"/>
    <n v="210.00000000000003"/>
    <n v="231.00000000000003"/>
    <n v="308.00000000000006"/>
    <n v="308.00000000000006"/>
    <n v="385.00000000000006"/>
    <n v="231.00000000000003"/>
    <n v="2093"/>
    <n v="2093"/>
    <n v="0"/>
    <s v=""/>
    <n v="0"/>
    <n v="81.8"/>
    <n v="81.8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I"/>
    <n v="1430"/>
    <s v="VENDA INTERNA - BIO MUNDO"/>
    <s v="SOULPRO"/>
    <n v="0"/>
    <n v="1470.3095435684643"/>
    <n v="1470.3095435684643"/>
    <n v="99.999999999999986"/>
    <n v="99.999999999999986"/>
    <n v="99.999999999999986"/>
    <n v="150"/>
    <n v="165"/>
    <n v="219.99999999999997"/>
    <n v="219.99999999999997"/>
    <n v="275"/>
    <n v="165"/>
    <n v="1495"/>
    <n v="1495"/>
    <n v="0"/>
    <s v=""/>
    <n v="0"/>
    <n v="2940.6190871369286"/>
    <n v="2940.6190871369286"/>
    <n v="0"/>
    <s v="Novos "/>
    <n v="0.2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I"/>
    <n v="1430"/>
    <s v="VENDA INTERNA - BIO MUNDO"/>
    <s v="TAMARA"/>
    <n v="0"/>
    <n v="2302.1240000000003"/>
    <n v="2616.0500000000002"/>
    <n v="160"/>
    <n v="160"/>
    <n v="160"/>
    <n v="240"/>
    <n v="264"/>
    <n v="352"/>
    <n v="352"/>
    <n v="440"/>
    <n v="264"/>
    <n v="2392"/>
    <n v="2392"/>
    <n v="0"/>
    <s v=""/>
    <n v="0"/>
    <n v="4918.1740000000009"/>
    <n v="4918.1740000000009"/>
    <n v="0"/>
    <s v="Novos "/>
    <n v="0.2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I"/>
    <n v="1430"/>
    <s v="VENDA INTERNA - BIO MUNDO"/>
    <s v="VICCIO"/>
    <n v="0"/>
    <n v="585.97440000000006"/>
    <n v="585.97440000000006"/>
    <n v="60"/>
    <n v="60"/>
    <n v="60"/>
    <n v="90"/>
    <n v="99"/>
    <n v="132"/>
    <n v="132"/>
    <n v="165"/>
    <n v="99"/>
    <n v="897"/>
    <n v="897"/>
    <n v="0"/>
    <s v=""/>
    <n v="0"/>
    <n v="1171.9488000000001"/>
    <n v="1171.9488000000001"/>
    <n v="0"/>
    <s v="Novos "/>
    <n v="0.2"/>
    <m/>
  </r>
  <r>
    <x v="0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n v="1"/>
    <s v="SC"/>
    <n v="1431"/>
    <s v="VENDA INTERNA - ARMAZEM FIT STORE"/>
    <s v="1. TOTAL - VENDA INTERNA - ARMAZEM FIT STORE"/>
    <n v="0"/>
    <n v="10568.294327098127"/>
    <n v="12029.078970466311"/>
    <n v="1000"/>
    <n v="1000"/>
    <n v="1000"/>
    <n v="1000"/>
    <n v="2200"/>
    <n v="2200"/>
    <n v="2200"/>
    <n v="2200"/>
    <n v="2200"/>
    <n v="15000"/>
    <n v="15000"/>
    <n v="0"/>
    <s v=""/>
    <n v="0"/>
    <n v="22597.373297564438"/>
    <n v="22597.373297564438"/>
    <n v="0"/>
    <m/>
    <m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SC"/>
    <n v="1431"/>
    <s v="VENDA INTERNA - ARMAZEM FIT STORE"/>
    <s v="BISCOITO"/>
    <n v="0"/>
    <n v="404.3886056291048"/>
    <n v="505.48575703638102"/>
    <n v="50"/>
    <n v="50"/>
    <n v="50"/>
    <n v="50"/>
    <n v="110"/>
    <n v="110"/>
    <n v="110"/>
    <n v="110"/>
    <n v="110"/>
    <n v="750"/>
    <n v="750"/>
    <n v="0"/>
    <s v=""/>
    <n v="0"/>
    <n v="909.87436266548582"/>
    <n v="909.87436266548582"/>
    <n v="0"/>
    <s v="Novos "/>
    <n v="0.2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SC"/>
    <n v="1431"/>
    <s v="VENDA INTERNA - ARMAZEM FIT STORE"/>
    <s v="CHOCOLATES"/>
    <n v="0"/>
    <n v="2462.0564928909953"/>
    <n v="2872.3992417061613"/>
    <n v="50"/>
    <n v="50"/>
    <n v="50"/>
    <n v="50"/>
    <n v="110"/>
    <n v="110"/>
    <n v="110"/>
    <n v="110"/>
    <n v="110"/>
    <n v="750"/>
    <n v="750"/>
    <n v="0"/>
    <s v=""/>
    <n v="0"/>
    <n v="5334.4557345971571"/>
    <n v="5334.4557345971571"/>
    <n v="0"/>
    <s v="Novos "/>
    <n v="0.2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SC"/>
    <n v="1431"/>
    <s v="VENDA INTERNA - ARMAZEM FIT STORE"/>
    <s v="DISNEY"/>
    <n v="0"/>
    <n v="441.5151111111112"/>
    <n v="551.89388888888902"/>
    <n v="80"/>
    <n v="80"/>
    <n v="80"/>
    <n v="80"/>
    <n v="176"/>
    <n v="176"/>
    <n v="176"/>
    <n v="176"/>
    <n v="176"/>
    <n v="1200"/>
    <n v="1200"/>
    <n v="0"/>
    <s v=""/>
    <n v="0"/>
    <n v="993.40900000000022"/>
    <n v="993.40900000000022"/>
    <n v="0"/>
    <s v="Novos "/>
    <n v="0.1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SC"/>
    <n v="1431"/>
    <s v="VENDA INTERNA - ARMAZEM FIT STORE"/>
    <s v="DOCES"/>
    <n v="0"/>
    <n v="555.05619047619052"/>
    <n v="555.05619047619052"/>
    <n v="100"/>
    <n v="100"/>
    <n v="100"/>
    <n v="100"/>
    <n v="220"/>
    <n v="220"/>
    <n v="220"/>
    <n v="220"/>
    <n v="220"/>
    <n v="1500"/>
    <n v="1500"/>
    <n v="0"/>
    <s v=""/>
    <n v="0"/>
    <n v="1110.112380952381"/>
    <n v="1110.112380952381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SC"/>
    <n v="1431"/>
    <s v="VENDA INTERNA - ARMAZEM FIT STORE"/>
    <s v="GELEIA"/>
    <n v="0"/>
    <n v="124.75666666666666"/>
    <n v="249.51333333333332"/>
    <n v="19.999999999999996"/>
    <n v="19.999999999999996"/>
    <n v="19.999999999999996"/>
    <n v="19.999999999999996"/>
    <n v="43.999999999999993"/>
    <n v="43.999999999999993"/>
    <n v="43.999999999999993"/>
    <n v="43.999999999999993"/>
    <n v="43.999999999999993"/>
    <n v="299.99999999999994"/>
    <n v="299.99999999999994"/>
    <n v="0"/>
    <s v=""/>
    <n v="0"/>
    <n v="374.27"/>
    <n v="374.27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SC"/>
    <n v="1431"/>
    <s v="VENDA INTERNA - ARMAZEM FIT STORE"/>
    <s v="GRANOLA"/>
    <n v="0"/>
    <n v="315.14999999999998"/>
    <n v="420.2"/>
    <n v="20"/>
    <n v="20"/>
    <n v="20"/>
    <n v="20"/>
    <n v="44"/>
    <n v="44"/>
    <n v="44"/>
    <n v="44"/>
    <n v="44"/>
    <n v="300"/>
    <n v="300"/>
    <n v="0"/>
    <s v=""/>
    <n v="0"/>
    <n v="735.34999999999991"/>
    <n v="735.34999999999991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SC"/>
    <n v="1431"/>
    <s v="VENDA INTERNA - ARMAZEM FIT STORE"/>
    <s v="KIDS"/>
    <n v="0"/>
    <n v="165.49714285714285"/>
    <n v="165.49714285714285"/>
    <n v="20"/>
    <n v="20"/>
    <n v="20"/>
    <n v="20"/>
    <n v="44"/>
    <n v="44"/>
    <n v="44"/>
    <n v="44"/>
    <n v="44"/>
    <n v="300"/>
    <n v="300"/>
    <n v="0"/>
    <s v=""/>
    <n v="0"/>
    <n v="330.9942857142857"/>
    <n v="330.9942857142857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SC"/>
    <n v="1431"/>
    <s v="VENDA INTERNA - ARMAZEM FIT STORE"/>
    <s v="LANCHES"/>
    <n v="0"/>
    <n v="89.608571428571423"/>
    <n v="179.21714285714285"/>
    <n v="30"/>
    <n v="30"/>
    <n v="30"/>
    <n v="30"/>
    <n v="66"/>
    <n v="66"/>
    <n v="66"/>
    <n v="66"/>
    <n v="66"/>
    <n v="450"/>
    <n v="450"/>
    <n v="0"/>
    <s v=""/>
    <n v="0"/>
    <n v="268.8257142857143"/>
    <n v="268.8257142857143"/>
    <n v="0"/>
    <s v="Novos "/>
    <n v="0.1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SC"/>
    <n v="1431"/>
    <s v="VENDA INTERNA - ARMAZEM FIT STORE"/>
    <s v="MAIS GRANEL"/>
    <n v="0"/>
    <n v="516.1430303030304"/>
    <n v="602.16686868686872"/>
    <n v="250"/>
    <n v="250"/>
    <n v="250"/>
    <n v="250"/>
    <n v="550"/>
    <n v="550"/>
    <n v="550"/>
    <n v="550"/>
    <n v="550"/>
    <n v="3750"/>
    <n v="3750"/>
    <n v="0"/>
    <s v=""/>
    <n v="0"/>
    <n v="1118.309898989899"/>
    <n v="1118.309898989899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SC"/>
    <n v="1431"/>
    <s v="VENDA INTERNA - ARMAZEM FIT STORE"/>
    <s v="NATURATTA"/>
    <n v="0"/>
    <n v="627.6857142857142"/>
    <n v="627.6857142857142"/>
    <n v="50"/>
    <n v="50"/>
    <n v="50"/>
    <n v="50"/>
    <n v="110"/>
    <n v="110"/>
    <n v="110"/>
    <n v="110"/>
    <n v="110"/>
    <n v="750"/>
    <n v="750"/>
    <n v="0"/>
    <s v=""/>
    <n v="0"/>
    <n v="1255.3714285714284"/>
    <n v="1255.3714285714284"/>
    <n v="0"/>
    <s v="Novos "/>
    <n v="0.2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SC"/>
    <n v="1431"/>
    <s v="VENDA INTERNA - ARMAZEM FIT STORE"/>
    <s v="REEMBALADOS"/>
    <n v="0"/>
    <n v="119.60088888888889"/>
    <n v="239.20177777777778"/>
    <n v="50"/>
    <n v="50"/>
    <n v="50"/>
    <n v="50"/>
    <n v="110"/>
    <n v="110"/>
    <n v="110"/>
    <n v="110"/>
    <n v="110"/>
    <n v="750"/>
    <n v="750"/>
    <n v="0"/>
    <s v=""/>
    <n v="0"/>
    <n v="358.80266666666665"/>
    <n v="358.80266666666665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SC"/>
    <n v="1431"/>
    <s v="VENDA INTERNA - ARMAZEM FIT STORE"/>
    <s v="S GLUTEN"/>
    <n v="0"/>
    <n v="204.36930232558137"/>
    <n v="204.36930232558137"/>
    <n v="50"/>
    <n v="50"/>
    <n v="50"/>
    <n v="50"/>
    <n v="110"/>
    <n v="110"/>
    <n v="110"/>
    <n v="110"/>
    <n v="110"/>
    <n v="750"/>
    <n v="750"/>
    <n v="0"/>
    <s v=""/>
    <n v="0"/>
    <n v="408.73860465116275"/>
    <n v="408.73860465116275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SC"/>
    <n v="1431"/>
    <s v="VENDA INTERNA - ARMAZEM FIT STORE"/>
    <s v="SABORES DO CAMPO"/>
    <n v="0"/>
    <n v="143.15866666666668"/>
    <n v="143.15866666666668"/>
    <n v="0"/>
    <n v="0"/>
    <n v="0"/>
    <n v="0"/>
    <n v="0"/>
    <n v="0"/>
    <n v="0"/>
    <n v="0"/>
    <n v="0"/>
    <n v="0"/>
    <n v="0"/>
    <n v="0"/>
    <s v=""/>
    <n v="0"/>
    <n v="286.31733333333335"/>
    <n v="286.31733333333335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SC"/>
    <n v="1431"/>
    <s v="VENDA INTERNA - ARMAZEM FIT STORE"/>
    <s v="SAL"/>
    <n v="0"/>
    <n v="40.9"/>
    <n v="40.9"/>
    <n v="70"/>
    <n v="70"/>
    <n v="70"/>
    <n v="70"/>
    <n v="154.00000000000003"/>
    <n v="154.00000000000003"/>
    <n v="154.00000000000003"/>
    <n v="154.00000000000003"/>
    <n v="154.00000000000003"/>
    <n v="1050"/>
    <n v="1050"/>
    <n v="0"/>
    <s v=""/>
    <n v="0"/>
    <n v="81.8"/>
    <n v="81.8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SC"/>
    <n v="1431"/>
    <s v="VENDA INTERNA - ARMAZEM FIT STORE"/>
    <s v="SOULPRO"/>
    <n v="0"/>
    <n v="1470.3095435684643"/>
    <n v="1470.3095435684643"/>
    <n v="49.999999999999993"/>
    <n v="49.999999999999993"/>
    <n v="49.999999999999993"/>
    <n v="49.999999999999993"/>
    <n v="109.99999999999999"/>
    <n v="109.99999999999999"/>
    <n v="109.99999999999999"/>
    <n v="109.99999999999999"/>
    <n v="109.99999999999999"/>
    <n v="749.99999999999989"/>
    <n v="749.99999999999989"/>
    <n v="0"/>
    <s v=""/>
    <n v="0"/>
    <n v="2940.6190871369286"/>
    <n v="2940.6190871369286"/>
    <n v="0"/>
    <s v="Novos "/>
    <n v="0.2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SC"/>
    <n v="1431"/>
    <s v="VENDA INTERNA - ARMAZEM FIT STORE"/>
    <s v="TAMARA"/>
    <n v="0"/>
    <n v="2302.1240000000003"/>
    <n v="2616.0500000000002"/>
    <n v="80"/>
    <n v="80"/>
    <n v="80"/>
    <n v="80"/>
    <n v="176"/>
    <n v="176"/>
    <n v="176"/>
    <n v="176"/>
    <n v="176"/>
    <n v="1200"/>
    <n v="1200"/>
    <n v="0"/>
    <s v=""/>
    <n v="0"/>
    <n v="4918.1740000000009"/>
    <n v="4918.1740000000009"/>
    <n v="0"/>
    <s v="Novos "/>
    <n v="0.2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SC"/>
    <n v="1431"/>
    <s v="VENDA INTERNA - ARMAZEM FIT STORE"/>
    <s v="VICCIO"/>
    <n v="0"/>
    <n v="585.97440000000006"/>
    <n v="585.97440000000006"/>
    <n v="30"/>
    <n v="30"/>
    <n v="30"/>
    <n v="30"/>
    <n v="66"/>
    <n v="66"/>
    <n v="66"/>
    <n v="66"/>
    <n v="66"/>
    <n v="450"/>
    <n v="450"/>
    <n v="0"/>
    <s v=""/>
    <n v="0"/>
    <n v="1171.9488000000001"/>
    <n v="1171.9488000000001"/>
    <n v="0"/>
    <s v="Novos "/>
    <n v="0.2"/>
    <m/>
  </r>
  <r>
    <x v="0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n v="1"/>
    <s v="SC"/>
    <n v="1432"/>
    <s v="VENDA INTERNA - CIA DA SAUDE"/>
    <s v="1. TOTAL - VENDA INTERNA - CIA DA SAUDE"/>
    <n v="0"/>
    <n v="10568.294327098127"/>
    <n v="12029.078970466311"/>
    <n v="8000"/>
    <n v="9000"/>
    <n v="11000"/>
    <n v="14000"/>
    <n v="17600"/>
    <n v="22000"/>
    <n v="23100"/>
    <n v="26400"/>
    <n v="17600"/>
    <n v="148700"/>
    <n v="148700"/>
    <n v="0"/>
    <s v=""/>
    <n v="0"/>
    <n v="22597.373297564438"/>
    <n v="22597.373297564438"/>
    <n v="0"/>
    <m/>
    <m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SC"/>
    <n v="1432"/>
    <s v="VENDA INTERNA - CIA DA SAUDE"/>
    <s v="BISCOITO"/>
    <n v="0"/>
    <n v="404.3886056291048"/>
    <n v="505.48575703638102"/>
    <n v="400"/>
    <n v="450"/>
    <n v="550"/>
    <n v="700"/>
    <n v="880"/>
    <n v="1100"/>
    <n v="1155"/>
    <n v="1320"/>
    <n v="880"/>
    <n v="7435"/>
    <n v="7435"/>
    <n v="0"/>
    <s v=""/>
    <n v="0"/>
    <n v="909.87436266548582"/>
    <n v="909.87436266548582"/>
    <n v="0"/>
    <s v="Novos "/>
    <n v="0.2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SC"/>
    <n v="1432"/>
    <s v="VENDA INTERNA - CIA DA SAUDE"/>
    <s v="CHOCOLATES"/>
    <n v="0"/>
    <n v="2462.0564928909953"/>
    <n v="2872.3992417061613"/>
    <n v="400"/>
    <n v="450"/>
    <n v="550"/>
    <n v="700"/>
    <n v="880"/>
    <n v="1100"/>
    <n v="1155"/>
    <n v="1320"/>
    <n v="880"/>
    <n v="7435"/>
    <n v="7435"/>
    <n v="0"/>
    <s v=""/>
    <n v="0"/>
    <n v="5334.4557345971571"/>
    <n v="5334.4557345971571"/>
    <n v="0"/>
    <s v="Novos "/>
    <n v="0.2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SC"/>
    <n v="1432"/>
    <s v="VENDA INTERNA - CIA DA SAUDE"/>
    <s v="DISNEY"/>
    <n v="0"/>
    <n v="441.5151111111112"/>
    <n v="551.89388888888902"/>
    <n v="640"/>
    <n v="720"/>
    <n v="880"/>
    <n v="1120"/>
    <n v="1408"/>
    <n v="1760"/>
    <n v="1848"/>
    <n v="2112"/>
    <n v="1408"/>
    <n v="11896"/>
    <n v="11896"/>
    <n v="0"/>
    <s v=""/>
    <n v="0"/>
    <n v="993.40900000000022"/>
    <n v="993.40900000000022"/>
    <n v="0"/>
    <s v="Novos "/>
    <n v="0.1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SC"/>
    <n v="1432"/>
    <s v="VENDA INTERNA - CIA DA SAUDE"/>
    <s v="DOCES"/>
    <n v="0"/>
    <n v="555.05619047619052"/>
    <n v="555.05619047619052"/>
    <n v="800"/>
    <n v="900"/>
    <n v="1100"/>
    <n v="1400"/>
    <n v="1760"/>
    <n v="2200"/>
    <n v="2310"/>
    <n v="2640"/>
    <n v="1760"/>
    <n v="14870"/>
    <n v="14870"/>
    <n v="0"/>
    <s v=""/>
    <n v="0"/>
    <n v="1110.112380952381"/>
    <n v="1110.112380952381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SC"/>
    <n v="1432"/>
    <s v="VENDA INTERNA - CIA DA SAUDE"/>
    <s v="GELEIA"/>
    <n v="0"/>
    <n v="124.75666666666666"/>
    <n v="249.51333333333332"/>
    <n v="159.99999999999997"/>
    <n v="179.99999999999997"/>
    <n v="219.99999999999997"/>
    <n v="279.99999999999994"/>
    <n v="351.99999999999994"/>
    <n v="439.99999999999994"/>
    <n v="461.99999999999994"/>
    <n v="527.99999999999989"/>
    <n v="351.99999999999994"/>
    <n v="2973.9999999999995"/>
    <n v="2973.9999999999995"/>
    <n v="0"/>
    <s v=""/>
    <n v="0"/>
    <n v="374.27"/>
    <n v="374.27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SC"/>
    <n v="1432"/>
    <s v="VENDA INTERNA - CIA DA SAUDE"/>
    <s v="GRANOLA"/>
    <n v="0"/>
    <n v="315.14999999999998"/>
    <n v="420.2"/>
    <n v="160"/>
    <n v="180"/>
    <n v="220"/>
    <n v="280"/>
    <n v="352"/>
    <n v="440"/>
    <n v="462"/>
    <n v="528"/>
    <n v="352"/>
    <n v="2974"/>
    <n v="2974"/>
    <n v="0"/>
    <s v=""/>
    <n v="0"/>
    <n v="735.34999999999991"/>
    <n v="735.34999999999991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SC"/>
    <n v="1432"/>
    <s v="VENDA INTERNA - CIA DA SAUDE"/>
    <s v="KIDS"/>
    <n v="0"/>
    <n v="165.49714285714285"/>
    <n v="165.49714285714285"/>
    <n v="160"/>
    <n v="180"/>
    <n v="220"/>
    <n v="280"/>
    <n v="352"/>
    <n v="440"/>
    <n v="462"/>
    <n v="528"/>
    <n v="352"/>
    <n v="2974"/>
    <n v="2974"/>
    <n v="0"/>
    <s v=""/>
    <n v="0"/>
    <n v="330.9942857142857"/>
    <n v="330.9942857142857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SC"/>
    <n v="1432"/>
    <s v="VENDA INTERNA - CIA DA SAUDE"/>
    <s v="LANCHES"/>
    <n v="0"/>
    <n v="89.608571428571423"/>
    <n v="179.21714285714285"/>
    <n v="240"/>
    <n v="270"/>
    <n v="330"/>
    <n v="420"/>
    <n v="528"/>
    <n v="660"/>
    <n v="693"/>
    <n v="792"/>
    <n v="528"/>
    <n v="4461"/>
    <n v="4461"/>
    <n v="0"/>
    <s v=""/>
    <n v="0"/>
    <n v="268.8257142857143"/>
    <n v="268.8257142857143"/>
    <n v="0"/>
    <s v="Novos "/>
    <n v="0.1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SC"/>
    <n v="1432"/>
    <s v="VENDA INTERNA - CIA DA SAUDE"/>
    <s v="MAIS GRANEL"/>
    <n v="0"/>
    <n v="516.1430303030304"/>
    <n v="602.16686868686872"/>
    <n v="2000"/>
    <n v="2250"/>
    <n v="2750"/>
    <n v="3500"/>
    <n v="4400"/>
    <n v="5500"/>
    <n v="5775"/>
    <n v="6600"/>
    <n v="4400"/>
    <n v="37175"/>
    <n v="37175"/>
    <n v="0"/>
    <s v=""/>
    <n v="0"/>
    <n v="1118.309898989899"/>
    <n v="1118.309898989899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SC"/>
    <n v="1432"/>
    <s v="VENDA INTERNA - CIA DA SAUDE"/>
    <s v="NATURATTA"/>
    <n v="0"/>
    <n v="627.6857142857142"/>
    <n v="627.6857142857142"/>
    <n v="400"/>
    <n v="450"/>
    <n v="550"/>
    <n v="700"/>
    <n v="880"/>
    <n v="1100"/>
    <n v="1155"/>
    <n v="1320"/>
    <n v="880"/>
    <n v="7435"/>
    <n v="7435"/>
    <n v="0"/>
    <s v=""/>
    <n v="0"/>
    <n v="1255.3714285714284"/>
    <n v="1255.3714285714284"/>
    <n v="0"/>
    <s v="Novos "/>
    <n v="0.2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SC"/>
    <n v="1432"/>
    <s v="VENDA INTERNA - CIA DA SAUDE"/>
    <s v="REEMBALADOS"/>
    <n v="0"/>
    <n v="119.60088888888889"/>
    <n v="239.20177777777778"/>
    <n v="400"/>
    <n v="450"/>
    <n v="550"/>
    <n v="700"/>
    <n v="880"/>
    <n v="1100"/>
    <n v="1155"/>
    <n v="1320"/>
    <n v="880"/>
    <n v="7435"/>
    <n v="7435"/>
    <n v="0"/>
    <s v=""/>
    <n v="0"/>
    <n v="358.80266666666665"/>
    <n v="358.80266666666665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SC"/>
    <n v="1432"/>
    <s v="VENDA INTERNA - CIA DA SAUDE"/>
    <s v="S GLUTEN"/>
    <n v="0"/>
    <n v="204.36930232558137"/>
    <n v="204.36930232558137"/>
    <n v="400"/>
    <n v="450"/>
    <n v="550"/>
    <n v="700"/>
    <n v="880"/>
    <n v="1100"/>
    <n v="1155"/>
    <n v="1320"/>
    <n v="880"/>
    <n v="7435"/>
    <n v="7435"/>
    <n v="0"/>
    <s v=""/>
    <n v="0"/>
    <n v="408.73860465116275"/>
    <n v="408.73860465116275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SC"/>
    <n v="1432"/>
    <s v="VENDA INTERNA - CIA DA SAUDE"/>
    <s v="SABORES DO CAMPO"/>
    <n v="0"/>
    <n v="143.15866666666668"/>
    <n v="143.15866666666668"/>
    <n v="0"/>
    <n v="0"/>
    <n v="0"/>
    <n v="0"/>
    <n v="0"/>
    <n v="0"/>
    <n v="0"/>
    <n v="0"/>
    <n v="0"/>
    <n v="0"/>
    <n v="0"/>
    <n v="0"/>
    <s v=""/>
    <n v="0"/>
    <n v="286.31733333333335"/>
    <n v="286.31733333333335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SC"/>
    <n v="1432"/>
    <s v="VENDA INTERNA - CIA DA SAUDE"/>
    <s v="SAL"/>
    <n v="0"/>
    <n v="40.9"/>
    <n v="40.9"/>
    <n v="560"/>
    <n v="630.00000000000011"/>
    <n v="770.00000000000011"/>
    <n v="980.00000000000011"/>
    <n v="1232.0000000000002"/>
    <n v="1540.0000000000002"/>
    <n v="1617.0000000000002"/>
    <n v="1848.0000000000002"/>
    <n v="1232.0000000000002"/>
    <n v="10409"/>
    <n v="10409"/>
    <n v="0"/>
    <s v=""/>
    <n v="0"/>
    <n v="81.8"/>
    <n v="81.8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SC"/>
    <n v="1432"/>
    <s v="VENDA INTERNA - CIA DA SAUDE"/>
    <s v="SOULPRO"/>
    <n v="0"/>
    <n v="1470.3095435684643"/>
    <n v="1470.3095435684643"/>
    <n v="399.99999999999994"/>
    <n v="449.99999999999994"/>
    <n v="550"/>
    <n v="699.99999999999989"/>
    <n v="879.99999999999989"/>
    <n v="1100"/>
    <n v="1155"/>
    <n v="1320"/>
    <n v="879.99999999999989"/>
    <n v="7435"/>
    <n v="7435"/>
    <n v="0"/>
    <s v=""/>
    <n v="0"/>
    <n v="2940.6190871369286"/>
    <n v="2940.6190871369286"/>
    <n v="0"/>
    <s v="Novos "/>
    <n v="0.2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SC"/>
    <n v="1432"/>
    <s v="VENDA INTERNA - CIA DA SAUDE"/>
    <s v="TAMARA"/>
    <n v="0"/>
    <n v="2302.1240000000003"/>
    <n v="2616.0500000000002"/>
    <n v="640"/>
    <n v="720"/>
    <n v="880"/>
    <n v="1120"/>
    <n v="1408"/>
    <n v="1760"/>
    <n v="1848"/>
    <n v="2112"/>
    <n v="1408"/>
    <n v="11896"/>
    <n v="11896"/>
    <n v="0"/>
    <s v=""/>
    <n v="0"/>
    <n v="4918.1740000000009"/>
    <n v="4918.1740000000009"/>
    <n v="0"/>
    <s v="Novos "/>
    <n v="0.2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SC"/>
    <n v="1432"/>
    <s v="VENDA INTERNA - CIA DA SAUDE"/>
    <s v="VICCIO"/>
    <n v="0"/>
    <n v="585.97440000000006"/>
    <n v="585.97440000000006"/>
    <n v="240"/>
    <n v="270"/>
    <n v="330"/>
    <n v="420"/>
    <n v="528"/>
    <n v="660"/>
    <n v="693"/>
    <n v="792"/>
    <n v="528"/>
    <n v="4461"/>
    <n v="4461"/>
    <n v="0"/>
    <s v=""/>
    <n v="0"/>
    <n v="1171.9488000000001"/>
    <n v="1171.9488000000001"/>
    <n v="0"/>
    <s v="Novos "/>
    <n v="0.2"/>
    <m/>
  </r>
  <r>
    <x v="0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n v="1"/>
    <s v="RJ"/>
    <n v="1433"/>
    <s v="VENDA INTERNA - MUNDO VERDE"/>
    <s v="1. TOTAL - VENDA INTERNA - MUNDO VERDE"/>
    <n v="0"/>
    <n v="10568.294327098127"/>
    <n v="12029.078970466311"/>
    <n v="1000"/>
    <n v="1000"/>
    <n v="1000"/>
    <n v="1000"/>
    <n v="2200"/>
    <n v="2200"/>
    <n v="2200"/>
    <n v="2200"/>
    <n v="2200"/>
    <n v="15000"/>
    <n v="15000"/>
    <n v="0"/>
    <s v=""/>
    <n v="0"/>
    <n v="22597.373297564438"/>
    <n v="22597.373297564438"/>
    <n v="0"/>
    <m/>
    <m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J"/>
    <n v="1433"/>
    <s v="VENDA INTERNA - MUNDO VERDE"/>
    <s v="BISCOITO"/>
    <n v="0"/>
    <n v="404.3886056291048"/>
    <n v="505.48575703638102"/>
    <n v="50"/>
    <n v="50"/>
    <n v="50"/>
    <n v="50"/>
    <n v="110"/>
    <n v="110"/>
    <n v="110"/>
    <n v="110"/>
    <n v="110"/>
    <n v="750"/>
    <n v="750"/>
    <n v="0"/>
    <s v=""/>
    <n v="0"/>
    <n v="909.87436266548582"/>
    <n v="909.87436266548582"/>
    <n v="0"/>
    <s v="Novos "/>
    <n v="0.2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J"/>
    <n v="1433"/>
    <s v="VENDA INTERNA - MUNDO VERDE"/>
    <s v="CHOCOLATES"/>
    <n v="0"/>
    <n v="2462.0564928909953"/>
    <n v="2872.3992417061613"/>
    <n v="50"/>
    <n v="50"/>
    <n v="50"/>
    <n v="50"/>
    <n v="110"/>
    <n v="110"/>
    <n v="110"/>
    <n v="110"/>
    <n v="110"/>
    <n v="750"/>
    <n v="750"/>
    <n v="0"/>
    <s v=""/>
    <n v="0"/>
    <n v="5334.4557345971571"/>
    <n v="5334.4557345971571"/>
    <n v="0"/>
    <s v="Novos "/>
    <n v="0.2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J"/>
    <n v="1433"/>
    <s v="VENDA INTERNA - MUNDO VERDE"/>
    <s v="DISNEY"/>
    <n v="0"/>
    <n v="441.5151111111112"/>
    <n v="551.89388888888902"/>
    <n v="80"/>
    <n v="80"/>
    <n v="80"/>
    <n v="80"/>
    <n v="176"/>
    <n v="176"/>
    <n v="176"/>
    <n v="176"/>
    <n v="176"/>
    <n v="1200"/>
    <n v="1200"/>
    <n v="0"/>
    <s v=""/>
    <n v="0"/>
    <n v="993.40900000000022"/>
    <n v="993.40900000000022"/>
    <n v="0"/>
    <s v="Novos "/>
    <n v="0.1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J"/>
    <n v="1433"/>
    <s v="VENDA INTERNA - MUNDO VERDE"/>
    <s v="DOCES"/>
    <n v="0"/>
    <n v="555.05619047619052"/>
    <n v="555.05619047619052"/>
    <n v="100"/>
    <n v="100"/>
    <n v="100"/>
    <n v="100"/>
    <n v="220"/>
    <n v="220"/>
    <n v="220"/>
    <n v="220"/>
    <n v="220"/>
    <n v="1500"/>
    <n v="1500"/>
    <n v="0"/>
    <s v=""/>
    <n v="0"/>
    <n v="1110.112380952381"/>
    <n v="1110.112380952381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J"/>
    <n v="1433"/>
    <s v="VENDA INTERNA - MUNDO VERDE"/>
    <s v="GELEIA"/>
    <n v="0"/>
    <n v="124.75666666666666"/>
    <n v="249.51333333333332"/>
    <n v="19.999999999999996"/>
    <n v="19.999999999999996"/>
    <n v="19.999999999999996"/>
    <n v="19.999999999999996"/>
    <n v="43.999999999999993"/>
    <n v="43.999999999999993"/>
    <n v="43.999999999999993"/>
    <n v="43.999999999999993"/>
    <n v="43.999999999999993"/>
    <n v="299.99999999999994"/>
    <n v="299.99999999999994"/>
    <n v="0"/>
    <s v=""/>
    <n v="0"/>
    <n v="374.27"/>
    <n v="374.27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J"/>
    <n v="1433"/>
    <s v="VENDA INTERNA - MUNDO VERDE"/>
    <s v="GRANOLA"/>
    <n v="0"/>
    <n v="315.14999999999998"/>
    <n v="420.2"/>
    <n v="20"/>
    <n v="20"/>
    <n v="20"/>
    <n v="20"/>
    <n v="44"/>
    <n v="44"/>
    <n v="44"/>
    <n v="44"/>
    <n v="44"/>
    <n v="300"/>
    <n v="300"/>
    <n v="0"/>
    <s v=""/>
    <n v="0"/>
    <n v="735.34999999999991"/>
    <n v="735.34999999999991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J"/>
    <n v="1433"/>
    <s v="VENDA INTERNA - MUNDO VERDE"/>
    <s v="KIDS"/>
    <n v="0"/>
    <n v="165.49714285714285"/>
    <n v="165.49714285714285"/>
    <n v="20"/>
    <n v="20"/>
    <n v="20"/>
    <n v="20"/>
    <n v="44"/>
    <n v="44"/>
    <n v="44"/>
    <n v="44"/>
    <n v="44"/>
    <n v="300"/>
    <n v="300"/>
    <n v="0"/>
    <s v=""/>
    <n v="0"/>
    <n v="330.9942857142857"/>
    <n v="330.9942857142857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J"/>
    <n v="1433"/>
    <s v="VENDA INTERNA - MUNDO VERDE"/>
    <s v="LANCHES"/>
    <n v="0"/>
    <n v="89.608571428571423"/>
    <n v="179.21714285714285"/>
    <n v="30"/>
    <n v="30"/>
    <n v="30"/>
    <n v="30"/>
    <n v="66"/>
    <n v="66"/>
    <n v="66"/>
    <n v="66"/>
    <n v="66"/>
    <n v="450"/>
    <n v="450"/>
    <n v="0"/>
    <s v=""/>
    <n v="0"/>
    <n v="268.8257142857143"/>
    <n v="268.8257142857143"/>
    <n v="0"/>
    <s v="Novos "/>
    <n v="0.1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J"/>
    <n v="1433"/>
    <s v="VENDA INTERNA - MUNDO VERDE"/>
    <s v="MAIS GRANEL"/>
    <n v="0"/>
    <n v="516.1430303030304"/>
    <n v="602.16686868686872"/>
    <n v="250"/>
    <n v="250"/>
    <n v="250"/>
    <n v="250"/>
    <n v="550"/>
    <n v="550"/>
    <n v="550"/>
    <n v="550"/>
    <n v="550"/>
    <n v="3750"/>
    <n v="3750"/>
    <n v="0"/>
    <s v=""/>
    <n v="0"/>
    <n v="1118.309898989899"/>
    <n v="1118.309898989899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J"/>
    <n v="1433"/>
    <s v="VENDA INTERNA - MUNDO VERDE"/>
    <s v="NATURATTA"/>
    <n v="0"/>
    <n v="627.6857142857142"/>
    <n v="627.6857142857142"/>
    <n v="50"/>
    <n v="50"/>
    <n v="50"/>
    <n v="50"/>
    <n v="110"/>
    <n v="110"/>
    <n v="110"/>
    <n v="110"/>
    <n v="110"/>
    <n v="750"/>
    <n v="750"/>
    <n v="0"/>
    <s v=""/>
    <n v="0"/>
    <n v="1255.3714285714284"/>
    <n v="1255.3714285714284"/>
    <n v="0"/>
    <s v="Novos "/>
    <n v="0.2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J"/>
    <n v="1433"/>
    <s v="VENDA INTERNA - MUNDO VERDE"/>
    <s v="REEMBALADOS"/>
    <n v="0"/>
    <n v="119.60088888888889"/>
    <n v="239.20177777777778"/>
    <n v="50"/>
    <n v="50"/>
    <n v="50"/>
    <n v="50"/>
    <n v="110"/>
    <n v="110"/>
    <n v="110"/>
    <n v="110"/>
    <n v="110"/>
    <n v="750"/>
    <n v="750"/>
    <n v="0"/>
    <s v=""/>
    <n v="0"/>
    <n v="358.80266666666665"/>
    <n v="358.80266666666665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J"/>
    <n v="1433"/>
    <s v="VENDA INTERNA - MUNDO VERDE"/>
    <s v="S GLUTEN"/>
    <n v="0"/>
    <n v="204.36930232558137"/>
    <n v="204.36930232558137"/>
    <n v="50"/>
    <n v="50"/>
    <n v="50"/>
    <n v="50"/>
    <n v="110"/>
    <n v="110"/>
    <n v="110"/>
    <n v="110"/>
    <n v="110"/>
    <n v="750"/>
    <n v="750"/>
    <n v="0"/>
    <s v=""/>
    <n v="0"/>
    <n v="408.73860465116275"/>
    <n v="408.73860465116275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J"/>
    <n v="1433"/>
    <s v="VENDA INTERNA - MUNDO VERDE"/>
    <s v="SABORES DO CAMPO"/>
    <n v="0"/>
    <n v="143.15866666666668"/>
    <n v="143.15866666666668"/>
    <n v="0"/>
    <n v="0"/>
    <n v="0"/>
    <n v="0"/>
    <n v="0"/>
    <n v="0"/>
    <n v="0"/>
    <n v="0"/>
    <n v="0"/>
    <n v="0"/>
    <n v="0"/>
    <n v="0"/>
    <s v=""/>
    <n v="0"/>
    <n v="286.31733333333335"/>
    <n v="286.31733333333335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J"/>
    <n v="1433"/>
    <s v="VENDA INTERNA - MUNDO VERDE"/>
    <s v="SAL"/>
    <n v="0"/>
    <n v="40.9"/>
    <n v="40.9"/>
    <n v="70"/>
    <n v="70"/>
    <n v="70"/>
    <n v="70"/>
    <n v="154.00000000000003"/>
    <n v="154.00000000000003"/>
    <n v="154.00000000000003"/>
    <n v="154.00000000000003"/>
    <n v="154.00000000000003"/>
    <n v="1050"/>
    <n v="1050"/>
    <n v="0"/>
    <s v=""/>
    <n v="0"/>
    <n v="81.8"/>
    <n v="81.8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J"/>
    <n v="1433"/>
    <s v="VENDA INTERNA - MUNDO VERDE"/>
    <s v="SOULPRO"/>
    <n v="0"/>
    <n v="1470.3095435684643"/>
    <n v="1470.3095435684643"/>
    <n v="49.999999999999993"/>
    <n v="49.999999999999993"/>
    <n v="49.999999999999993"/>
    <n v="49.999999999999993"/>
    <n v="109.99999999999999"/>
    <n v="109.99999999999999"/>
    <n v="109.99999999999999"/>
    <n v="109.99999999999999"/>
    <n v="109.99999999999999"/>
    <n v="749.99999999999989"/>
    <n v="749.99999999999989"/>
    <n v="0"/>
    <s v=""/>
    <n v="0"/>
    <n v="2940.6190871369286"/>
    <n v="2940.6190871369286"/>
    <n v="0"/>
    <s v="Novos "/>
    <n v="0.2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J"/>
    <n v="1433"/>
    <s v="VENDA INTERNA - MUNDO VERDE"/>
    <s v="TAMARA"/>
    <n v="0"/>
    <n v="2302.1240000000003"/>
    <n v="2616.0500000000002"/>
    <n v="80"/>
    <n v="80"/>
    <n v="80"/>
    <n v="80"/>
    <n v="176"/>
    <n v="176"/>
    <n v="176"/>
    <n v="176"/>
    <n v="176"/>
    <n v="1200"/>
    <n v="1200"/>
    <n v="0"/>
    <s v=""/>
    <n v="0"/>
    <n v="4918.1740000000009"/>
    <n v="4918.1740000000009"/>
    <n v="0"/>
    <s v="Novos "/>
    <n v="0.2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J"/>
    <n v="1433"/>
    <s v="VENDA INTERNA - MUNDO VERDE"/>
    <s v="VICCIO"/>
    <n v="0"/>
    <n v="585.97440000000006"/>
    <n v="585.97440000000006"/>
    <n v="30"/>
    <n v="30"/>
    <n v="30"/>
    <n v="30"/>
    <n v="66"/>
    <n v="66"/>
    <n v="66"/>
    <n v="66"/>
    <n v="66"/>
    <n v="450"/>
    <n v="450"/>
    <n v="0"/>
    <s v=""/>
    <n v="0"/>
    <n v="1171.9488000000001"/>
    <n v="1171.9488000000001"/>
    <n v="0"/>
    <s v="Novos "/>
    <n v="0.2"/>
    <m/>
  </r>
  <r>
    <x v="0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n v="1"/>
    <s v="RS"/>
    <n v="1438"/>
    <s v="VENDA INTERNA - MAIS NATURAL"/>
    <s v="1. TOTAL - VENDA INTERNA - MAIS NATURAL"/>
    <n v="0"/>
    <n v="0"/>
    <n v="0"/>
    <n v="1000"/>
    <n v="1000"/>
    <n v="1000"/>
    <n v="1000"/>
    <n v="2200"/>
    <n v="2200"/>
    <n v="2200"/>
    <n v="2200"/>
    <n v="2200"/>
    <n v="15000"/>
    <n v="15000"/>
    <n v="0"/>
    <s v=""/>
    <n v="0"/>
    <n v="0"/>
    <n v="0"/>
    <s v=""/>
    <m/>
    <m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S"/>
    <n v="1438"/>
    <s v="VENDA INTERNA - MAIS NATURAL"/>
    <s v="BISCOITO"/>
    <n v="0"/>
    <n v="0"/>
    <n v="0"/>
    <n v="50"/>
    <n v="50"/>
    <n v="50"/>
    <n v="50"/>
    <n v="110"/>
    <n v="110"/>
    <n v="110"/>
    <n v="110"/>
    <n v="110"/>
    <n v="750"/>
    <n v="750"/>
    <n v="0"/>
    <s v=""/>
    <n v="0"/>
    <n v="0"/>
    <n v="0"/>
    <s v=""/>
    <s v="Novos "/>
    <n v="0.2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S"/>
    <n v="1438"/>
    <s v="VENDA INTERNA - MAIS NATURAL"/>
    <s v="CHOCOLATES"/>
    <n v="0"/>
    <n v="0"/>
    <n v="0"/>
    <n v="50"/>
    <n v="50"/>
    <n v="50"/>
    <n v="50"/>
    <n v="110"/>
    <n v="110"/>
    <n v="110"/>
    <n v="110"/>
    <n v="110"/>
    <n v="750"/>
    <n v="750"/>
    <n v="0"/>
    <s v=""/>
    <n v="0"/>
    <n v="0"/>
    <n v="0"/>
    <s v=""/>
    <s v="Novos "/>
    <n v="0.2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S"/>
    <n v="1438"/>
    <s v="VENDA INTERNA - MAIS NATURAL"/>
    <s v="DISNEY"/>
    <n v="0"/>
    <n v="0"/>
    <n v="0"/>
    <n v="80"/>
    <n v="80"/>
    <n v="80"/>
    <n v="80"/>
    <n v="176"/>
    <n v="176"/>
    <n v="176"/>
    <n v="176"/>
    <n v="176"/>
    <n v="1200"/>
    <n v="1200"/>
    <n v="0"/>
    <s v=""/>
    <n v="0"/>
    <n v="0"/>
    <n v="0"/>
    <s v=""/>
    <s v="Novos "/>
    <n v="0.1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S"/>
    <n v="1438"/>
    <s v="VENDA INTERNA - MAIS NATURAL"/>
    <s v="DOCES"/>
    <n v="0"/>
    <n v="0"/>
    <n v="0"/>
    <n v="100"/>
    <n v="100"/>
    <n v="100"/>
    <n v="100"/>
    <n v="220"/>
    <n v="220"/>
    <n v="220"/>
    <n v="220"/>
    <n v="220"/>
    <n v="1500"/>
    <n v="150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S"/>
    <n v="1438"/>
    <s v="VENDA INTERNA - MAIS NATURAL"/>
    <s v="GELEIA"/>
    <n v="0"/>
    <n v="0"/>
    <n v="0"/>
    <n v="19.999999999999996"/>
    <n v="19.999999999999996"/>
    <n v="19.999999999999996"/>
    <n v="19.999999999999996"/>
    <n v="43.999999999999993"/>
    <n v="43.999999999999993"/>
    <n v="43.999999999999993"/>
    <n v="43.999999999999993"/>
    <n v="43.999999999999993"/>
    <n v="299.99999999999994"/>
    <n v="299.99999999999994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S"/>
    <n v="1438"/>
    <s v="VENDA INTERNA - MAIS NATURAL"/>
    <s v="GRANOLA"/>
    <n v="0"/>
    <n v="0"/>
    <n v="0"/>
    <n v="20"/>
    <n v="20"/>
    <n v="20"/>
    <n v="20"/>
    <n v="44"/>
    <n v="44"/>
    <n v="44"/>
    <n v="44"/>
    <n v="44"/>
    <n v="300"/>
    <n v="30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S"/>
    <n v="1438"/>
    <s v="VENDA INTERNA - MAIS NATURAL"/>
    <s v="KIDS"/>
    <n v="0"/>
    <n v="0"/>
    <n v="0"/>
    <n v="20"/>
    <n v="20"/>
    <n v="20"/>
    <n v="20"/>
    <n v="44"/>
    <n v="44"/>
    <n v="44"/>
    <n v="44"/>
    <n v="44"/>
    <n v="300"/>
    <n v="30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S"/>
    <n v="1438"/>
    <s v="VENDA INTERNA - MAIS NATURAL"/>
    <s v="LANCHES"/>
    <n v="0"/>
    <n v="0"/>
    <n v="0"/>
    <n v="30"/>
    <n v="30"/>
    <n v="30"/>
    <n v="30"/>
    <n v="66"/>
    <n v="66"/>
    <n v="66"/>
    <n v="66"/>
    <n v="66"/>
    <n v="450"/>
    <n v="450"/>
    <n v="0"/>
    <s v=""/>
    <n v="0"/>
    <n v="0"/>
    <n v="0"/>
    <s v=""/>
    <s v="Novos "/>
    <n v="0.1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S"/>
    <n v="1438"/>
    <s v="VENDA INTERNA - MAIS NATURAL"/>
    <s v="MAIS GRANEL"/>
    <n v="0"/>
    <n v="0"/>
    <n v="0"/>
    <n v="250"/>
    <n v="250"/>
    <n v="250"/>
    <n v="250"/>
    <n v="550"/>
    <n v="550"/>
    <n v="550"/>
    <n v="550"/>
    <n v="550"/>
    <n v="3750"/>
    <n v="375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S"/>
    <n v="1438"/>
    <s v="VENDA INTERNA - MAIS NATURAL"/>
    <s v="NATURATTA"/>
    <n v="0"/>
    <n v="0"/>
    <n v="0"/>
    <n v="50"/>
    <n v="50"/>
    <n v="50"/>
    <n v="50"/>
    <n v="110"/>
    <n v="110"/>
    <n v="110"/>
    <n v="110"/>
    <n v="110"/>
    <n v="750"/>
    <n v="750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S"/>
    <n v="1438"/>
    <s v="VENDA INTERNA - MAIS NATURAL"/>
    <s v="REEMBALADOS"/>
    <n v="0"/>
    <n v="0"/>
    <n v="0"/>
    <n v="50"/>
    <n v="50"/>
    <n v="50"/>
    <n v="50"/>
    <n v="110"/>
    <n v="110"/>
    <n v="110"/>
    <n v="110"/>
    <n v="110"/>
    <n v="750"/>
    <n v="75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S"/>
    <n v="1438"/>
    <s v="VENDA INTERNA - MAIS NATURAL"/>
    <s v="S GLUTEN"/>
    <n v="0"/>
    <n v="0"/>
    <n v="0"/>
    <n v="50"/>
    <n v="50"/>
    <n v="50"/>
    <n v="50"/>
    <n v="110"/>
    <n v="110"/>
    <n v="110"/>
    <n v="110"/>
    <n v="110"/>
    <n v="750"/>
    <n v="75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S"/>
    <n v="1438"/>
    <s v="VENDA INTERNA - MAIS NATURAL"/>
    <s v="SABORES DO CAMPO"/>
    <n v="0"/>
    <n v="0"/>
    <n v="0"/>
    <n v="0"/>
    <n v="0"/>
    <n v="0"/>
    <n v="0"/>
    <n v="0"/>
    <n v="0"/>
    <n v="0"/>
    <n v="0"/>
    <n v="0"/>
    <n v="0"/>
    <n v="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S"/>
    <n v="1438"/>
    <s v="VENDA INTERNA - MAIS NATURAL"/>
    <s v="SAL"/>
    <n v="0"/>
    <n v="0"/>
    <n v="0"/>
    <n v="70"/>
    <n v="70"/>
    <n v="70"/>
    <n v="70"/>
    <n v="154.00000000000003"/>
    <n v="154.00000000000003"/>
    <n v="154.00000000000003"/>
    <n v="154.00000000000003"/>
    <n v="154.00000000000003"/>
    <n v="1050"/>
    <n v="105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S"/>
    <n v="1438"/>
    <s v="VENDA INTERNA - MAIS NATURAL"/>
    <s v="SOULPRO"/>
    <n v="0"/>
    <n v="0"/>
    <n v="0"/>
    <n v="49.999999999999993"/>
    <n v="49.999999999999993"/>
    <n v="49.999999999999993"/>
    <n v="49.999999999999993"/>
    <n v="109.99999999999999"/>
    <n v="109.99999999999999"/>
    <n v="109.99999999999999"/>
    <n v="109.99999999999999"/>
    <n v="109.99999999999999"/>
    <n v="749.99999999999989"/>
    <n v="749.99999999999989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S"/>
    <n v="1438"/>
    <s v="VENDA INTERNA - MAIS NATURAL"/>
    <s v="TAMARA"/>
    <n v="0"/>
    <n v="0"/>
    <n v="0"/>
    <n v="80"/>
    <n v="80"/>
    <n v="80"/>
    <n v="80"/>
    <n v="176"/>
    <n v="176"/>
    <n v="176"/>
    <n v="176"/>
    <n v="176"/>
    <n v="1200"/>
    <n v="1200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S"/>
    <n v="1438"/>
    <s v="VENDA INTERNA - MAIS NATURAL"/>
    <s v="VICCIO"/>
    <n v="0"/>
    <n v="0"/>
    <n v="0"/>
    <n v="30"/>
    <n v="30"/>
    <n v="30"/>
    <n v="30"/>
    <n v="66"/>
    <n v="66"/>
    <n v="66"/>
    <n v="66"/>
    <n v="66"/>
    <n v="450"/>
    <n v="450"/>
    <n v="0"/>
    <s v=""/>
    <n v="0"/>
    <n v="0"/>
    <n v="0"/>
    <s v=""/>
    <s v="Novos "/>
    <n v="0.2"/>
    <m/>
  </r>
  <r>
    <x v="0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n v="1"/>
    <s v="RS"/>
    <n v="1439"/>
    <s v="VENDA INTERNA - TUDO EM GRAOS"/>
    <s v="1. TOTAL - VENDA INTERNA - TUDO EM GRAOS"/>
    <n v="0"/>
    <n v="0"/>
    <n v="0"/>
    <n v="1000"/>
    <n v="1000"/>
    <n v="1000"/>
    <n v="1000"/>
    <n v="2200"/>
    <n v="2200"/>
    <n v="2200"/>
    <n v="2200"/>
    <n v="2200"/>
    <n v="15000"/>
    <n v="15000"/>
    <n v="0"/>
    <s v=""/>
    <n v="0"/>
    <n v="0"/>
    <n v="0"/>
    <s v=""/>
    <m/>
    <m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S"/>
    <n v="1439"/>
    <s v="VENDA INTERNA - TUDO EM GRAOS"/>
    <s v="BISCOITO"/>
    <n v="0"/>
    <n v="0"/>
    <n v="0"/>
    <n v="50"/>
    <n v="50"/>
    <n v="50"/>
    <n v="50"/>
    <n v="110"/>
    <n v="110"/>
    <n v="110"/>
    <n v="110"/>
    <n v="110"/>
    <n v="750"/>
    <n v="750"/>
    <n v="0"/>
    <s v=""/>
    <n v="0"/>
    <n v="0"/>
    <n v="0"/>
    <s v=""/>
    <s v="Novos "/>
    <n v="0.2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S"/>
    <n v="1439"/>
    <s v="VENDA INTERNA - TUDO EM GRAOS"/>
    <s v="CHOCOLATES"/>
    <n v="0"/>
    <n v="0"/>
    <n v="0"/>
    <n v="50"/>
    <n v="50"/>
    <n v="50"/>
    <n v="50"/>
    <n v="110"/>
    <n v="110"/>
    <n v="110"/>
    <n v="110"/>
    <n v="110"/>
    <n v="750"/>
    <n v="750"/>
    <n v="0"/>
    <s v=""/>
    <n v="0"/>
    <n v="0"/>
    <n v="0"/>
    <s v=""/>
    <s v="Novos "/>
    <n v="0.2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S"/>
    <n v="1439"/>
    <s v="VENDA INTERNA - TUDO EM GRAOS"/>
    <s v="DISNEY"/>
    <n v="0"/>
    <n v="0"/>
    <n v="0"/>
    <n v="80"/>
    <n v="80"/>
    <n v="80"/>
    <n v="80"/>
    <n v="176"/>
    <n v="176"/>
    <n v="176"/>
    <n v="176"/>
    <n v="176"/>
    <n v="1200"/>
    <n v="1200"/>
    <n v="0"/>
    <s v=""/>
    <n v="0"/>
    <n v="0"/>
    <n v="0"/>
    <s v=""/>
    <s v="Novos "/>
    <n v="0.1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S"/>
    <n v="1439"/>
    <s v="VENDA INTERNA - TUDO EM GRAOS"/>
    <s v="DOCES"/>
    <n v="0"/>
    <n v="0"/>
    <n v="0"/>
    <n v="100"/>
    <n v="100"/>
    <n v="100"/>
    <n v="100"/>
    <n v="220"/>
    <n v="220"/>
    <n v="220"/>
    <n v="220"/>
    <n v="220"/>
    <n v="1500"/>
    <n v="150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S"/>
    <n v="1439"/>
    <s v="VENDA INTERNA - TUDO EM GRAOS"/>
    <s v="GELEIA"/>
    <n v="0"/>
    <n v="0"/>
    <n v="0"/>
    <n v="19.999999999999996"/>
    <n v="19.999999999999996"/>
    <n v="19.999999999999996"/>
    <n v="19.999999999999996"/>
    <n v="43.999999999999993"/>
    <n v="43.999999999999993"/>
    <n v="43.999999999999993"/>
    <n v="43.999999999999993"/>
    <n v="43.999999999999993"/>
    <n v="299.99999999999994"/>
    <n v="299.99999999999994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S"/>
    <n v="1439"/>
    <s v="VENDA INTERNA - TUDO EM GRAOS"/>
    <s v="GRANOLA"/>
    <n v="0"/>
    <n v="0"/>
    <n v="0"/>
    <n v="20"/>
    <n v="20"/>
    <n v="20"/>
    <n v="20"/>
    <n v="44"/>
    <n v="44"/>
    <n v="44"/>
    <n v="44"/>
    <n v="44"/>
    <n v="300"/>
    <n v="30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S"/>
    <n v="1439"/>
    <s v="VENDA INTERNA - TUDO EM GRAOS"/>
    <s v="KIDS"/>
    <n v="0"/>
    <n v="0"/>
    <n v="0"/>
    <n v="20"/>
    <n v="20"/>
    <n v="20"/>
    <n v="20"/>
    <n v="44"/>
    <n v="44"/>
    <n v="44"/>
    <n v="44"/>
    <n v="44"/>
    <n v="300"/>
    <n v="30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S"/>
    <n v="1439"/>
    <s v="VENDA INTERNA - TUDO EM GRAOS"/>
    <s v="LANCHES"/>
    <n v="0"/>
    <n v="0"/>
    <n v="0"/>
    <n v="30"/>
    <n v="30"/>
    <n v="30"/>
    <n v="30"/>
    <n v="66"/>
    <n v="66"/>
    <n v="66"/>
    <n v="66"/>
    <n v="66"/>
    <n v="450"/>
    <n v="450"/>
    <n v="0"/>
    <s v=""/>
    <n v="0"/>
    <n v="0"/>
    <n v="0"/>
    <s v=""/>
    <s v="Novos "/>
    <n v="0.1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S"/>
    <n v="1439"/>
    <s v="VENDA INTERNA - TUDO EM GRAOS"/>
    <s v="MAIS GRANEL"/>
    <n v="0"/>
    <n v="0"/>
    <n v="0"/>
    <n v="250"/>
    <n v="250"/>
    <n v="250"/>
    <n v="250"/>
    <n v="550"/>
    <n v="550"/>
    <n v="550"/>
    <n v="550"/>
    <n v="550"/>
    <n v="3750"/>
    <n v="375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S"/>
    <n v="1439"/>
    <s v="VENDA INTERNA - TUDO EM GRAOS"/>
    <s v="NATURATTA"/>
    <n v="0"/>
    <n v="0"/>
    <n v="0"/>
    <n v="50"/>
    <n v="50"/>
    <n v="50"/>
    <n v="50"/>
    <n v="110"/>
    <n v="110"/>
    <n v="110"/>
    <n v="110"/>
    <n v="110"/>
    <n v="750"/>
    <n v="750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S"/>
    <n v="1439"/>
    <s v="VENDA INTERNA - TUDO EM GRAOS"/>
    <s v="REEMBALADOS"/>
    <n v="0"/>
    <n v="0"/>
    <n v="0"/>
    <n v="50"/>
    <n v="50"/>
    <n v="50"/>
    <n v="50"/>
    <n v="110"/>
    <n v="110"/>
    <n v="110"/>
    <n v="110"/>
    <n v="110"/>
    <n v="750"/>
    <n v="75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S"/>
    <n v="1439"/>
    <s v="VENDA INTERNA - TUDO EM GRAOS"/>
    <s v="S GLUTEN"/>
    <n v="0"/>
    <n v="0"/>
    <n v="0"/>
    <n v="50"/>
    <n v="50"/>
    <n v="50"/>
    <n v="50"/>
    <n v="110"/>
    <n v="110"/>
    <n v="110"/>
    <n v="110"/>
    <n v="110"/>
    <n v="750"/>
    <n v="75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S"/>
    <n v="1439"/>
    <s v="VENDA INTERNA - TUDO EM GRAOS"/>
    <s v="SABORES DO CAMPO"/>
    <n v="0"/>
    <n v="0"/>
    <n v="0"/>
    <n v="0"/>
    <n v="0"/>
    <n v="0"/>
    <n v="0"/>
    <n v="0"/>
    <n v="0"/>
    <n v="0"/>
    <n v="0"/>
    <n v="0"/>
    <n v="0"/>
    <n v="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S"/>
    <n v="1439"/>
    <s v="VENDA INTERNA - TUDO EM GRAOS"/>
    <s v="SAL"/>
    <n v="0"/>
    <n v="0"/>
    <n v="0"/>
    <n v="70"/>
    <n v="70"/>
    <n v="70"/>
    <n v="70"/>
    <n v="154.00000000000003"/>
    <n v="154.00000000000003"/>
    <n v="154.00000000000003"/>
    <n v="154.00000000000003"/>
    <n v="154.00000000000003"/>
    <n v="1050"/>
    <n v="105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S"/>
    <n v="1439"/>
    <s v="VENDA INTERNA - TUDO EM GRAOS"/>
    <s v="SOULPRO"/>
    <n v="0"/>
    <n v="0"/>
    <n v="0"/>
    <n v="49.999999999999993"/>
    <n v="49.999999999999993"/>
    <n v="49.999999999999993"/>
    <n v="49.999999999999993"/>
    <n v="109.99999999999999"/>
    <n v="109.99999999999999"/>
    <n v="109.99999999999999"/>
    <n v="109.99999999999999"/>
    <n v="109.99999999999999"/>
    <n v="749.99999999999989"/>
    <n v="749.99999999999989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S"/>
    <n v="1439"/>
    <s v="VENDA INTERNA - TUDO EM GRAOS"/>
    <s v="TAMARA"/>
    <n v="0"/>
    <n v="0"/>
    <n v="0"/>
    <n v="80"/>
    <n v="80"/>
    <n v="80"/>
    <n v="80"/>
    <n v="176"/>
    <n v="176"/>
    <n v="176"/>
    <n v="176"/>
    <n v="176"/>
    <n v="1200"/>
    <n v="1200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S"/>
    <n v="1439"/>
    <s v="VENDA INTERNA - TUDO EM GRAOS"/>
    <s v="VICCIO"/>
    <n v="0"/>
    <n v="0"/>
    <n v="0"/>
    <n v="30"/>
    <n v="30"/>
    <n v="30"/>
    <n v="30"/>
    <n v="66"/>
    <n v="66"/>
    <n v="66"/>
    <n v="66"/>
    <n v="66"/>
    <n v="450"/>
    <n v="450"/>
    <n v="0"/>
    <s v=""/>
    <n v="0"/>
    <n v="0"/>
    <n v="0"/>
    <s v=""/>
    <s v="Novos "/>
    <n v="0.2"/>
    <m/>
  </r>
  <r>
    <x v="0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n v="1"/>
    <s v="AL"/>
    <n v="1442"/>
    <s v="VENDA INTERNA AL"/>
    <s v="1. TOTAL - VENDA INTERNA AL"/>
    <n v="0"/>
    <n v="0"/>
    <n v="0"/>
    <n v="1000"/>
    <n v="1000"/>
    <n v="2000"/>
    <n v="2000"/>
    <n v="2200"/>
    <n v="3300"/>
    <n v="3300"/>
    <n v="3300"/>
    <n v="2200"/>
    <n v="20300"/>
    <m/>
    <m/>
    <m/>
    <m/>
    <m/>
    <m/>
    <m/>
    <m/>
    <m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L"/>
    <n v="1442"/>
    <s v="VENDA INTERNA AL"/>
    <s v="BISCOITO"/>
    <n v="0"/>
    <n v="0"/>
    <n v="0"/>
    <n v="50"/>
    <n v="50"/>
    <n v="100"/>
    <n v="100"/>
    <n v="110"/>
    <n v="165"/>
    <n v="165"/>
    <n v="165"/>
    <n v="110"/>
    <n v="1015"/>
    <m/>
    <m/>
    <m/>
    <m/>
    <m/>
    <m/>
    <m/>
    <m/>
    <m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L"/>
    <n v="1442"/>
    <s v="VENDA INTERNA AL"/>
    <s v="CHOCOLATES"/>
    <n v="0"/>
    <n v="0"/>
    <n v="0"/>
    <n v="50"/>
    <n v="50"/>
    <n v="100"/>
    <n v="100"/>
    <n v="110"/>
    <n v="165"/>
    <n v="165"/>
    <n v="165"/>
    <n v="110"/>
    <n v="1015"/>
    <m/>
    <m/>
    <m/>
    <m/>
    <m/>
    <m/>
    <m/>
    <m/>
    <m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L"/>
    <n v="1442"/>
    <s v="VENDA INTERNA AL"/>
    <s v="DISNEY"/>
    <n v="0"/>
    <n v="0"/>
    <n v="0"/>
    <n v="80"/>
    <n v="80"/>
    <n v="160"/>
    <n v="160"/>
    <n v="176"/>
    <n v="264"/>
    <n v="264"/>
    <n v="264"/>
    <n v="176"/>
    <n v="1624"/>
    <m/>
    <m/>
    <m/>
    <m/>
    <m/>
    <m/>
    <m/>
    <m/>
    <m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L"/>
    <n v="1442"/>
    <s v="VENDA INTERNA AL"/>
    <s v="DOCES"/>
    <n v="0"/>
    <n v="0"/>
    <n v="0"/>
    <n v="100"/>
    <n v="100"/>
    <n v="200"/>
    <n v="200"/>
    <n v="220"/>
    <n v="330"/>
    <n v="330"/>
    <n v="330"/>
    <n v="220"/>
    <n v="2030"/>
    <m/>
    <m/>
    <m/>
    <m/>
    <m/>
    <m/>
    <m/>
    <m/>
    <m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L"/>
    <n v="1442"/>
    <s v="VENDA INTERNA AL"/>
    <s v="GELEIA"/>
    <n v="0"/>
    <n v="0"/>
    <n v="0"/>
    <n v="19.999999999999996"/>
    <n v="19.999999999999996"/>
    <n v="39.999999999999993"/>
    <n v="39.999999999999993"/>
    <n v="43.999999999999993"/>
    <n v="65.999999999999986"/>
    <n v="65.999999999999986"/>
    <n v="65.999999999999986"/>
    <n v="43.999999999999993"/>
    <n v="405.99999999999994"/>
    <m/>
    <m/>
    <m/>
    <m/>
    <m/>
    <m/>
    <m/>
    <m/>
    <m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L"/>
    <n v="1442"/>
    <s v="VENDA INTERNA AL"/>
    <s v="GRANOLA"/>
    <n v="0"/>
    <n v="0"/>
    <n v="0"/>
    <n v="20"/>
    <n v="20"/>
    <n v="40"/>
    <n v="40"/>
    <n v="44"/>
    <n v="66"/>
    <n v="66"/>
    <n v="66"/>
    <n v="44"/>
    <n v="406"/>
    <m/>
    <m/>
    <m/>
    <m/>
    <m/>
    <m/>
    <m/>
    <m/>
    <m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L"/>
    <n v="1442"/>
    <s v="VENDA INTERNA AL"/>
    <s v="KIDS"/>
    <n v="0"/>
    <n v="0"/>
    <n v="0"/>
    <n v="20"/>
    <n v="20"/>
    <n v="40"/>
    <n v="40"/>
    <n v="44"/>
    <n v="66"/>
    <n v="66"/>
    <n v="66"/>
    <n v="44"/>
    <n v="406"/>
    <m/>
    <m/>
    <m/>
    <m/>
    <m/>
    <m/>
    <m/>
    <m/>
    <m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L"/>
    <n v="1442"/>
    <s v="VENDA INTERNA AL"/>
    <s v="LANCHES"/>
    <n v="0"/>
    <n v="0"/>
    <n v="0"/>
    <n v="30"/>
    <n v="30"/>
    <n v="60"/>
    <n v="60"/>
    <n v="66"/>
    <n v="99"/>
    <n v="99"/>
    <n v="99"/>
    <n v="66"/>
    <n v="609"/>
    <m/>
    <m/>
    <m/>
    <m/>
    <m/>
    <m/>
    <m/>
    <m/>
    <m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L"/>
    <n v="1442"/>
    <s v="VENDA INTERNA AL"/>
    <s v="MAIS GRANEL"/>
    <n v="0"/>
    <n v="0"/>
    <n v="0"/>
    <n v="250"/>
    <n v="250"/>
    <n v="500"/>
    <n v="500"/>
    <n v="550"/>
    <n v="825"/>
    <n v="825"/>
    <n v="825"/>
    <n v="550"/>
    <n v="5075"/>
    <m/>
    <m/>
    <m/>
    <m/>
    <m/>
    <m/>
    <m/>
    <m/>
    <m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L"/>
    <n v="1442"/>
    <s v="VENDA INTERNA AL"/>
    <s v="NATURATTA"/>
    <n v="0"/>
    <n v="0"/>
    <n v="0"/>
    <n v="50"/>
    <n v="50"/>
    <n v="100"/>
    <n v="100"/>
    <n v="110"/>
    <n v="165"/>
    <n v="165"/>
    <n v="165"/>
    <n v="110"/>
    <n v="1015"/>
    <m/>
    <m/>
    <m/>
    <m/>
    <m/>
    <m/>
    <m/>
    <m/>
    <m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L"/>
    <n v="1442"/>
    <s v="VENDA INTERNA AL"/>
    <s v="REEMBALADOS"/>
    <n v="0"/>
    <n v="0"/>
    <n v="0"/>
    <n v="50"/>
    <n v="50"/>
    <n v="100"/>
    <n v="100"/>
    <n v="110"/>
    <n v="165"/>
    <n v="165"/>
    <n v="165"/>
    <n v="110"/>
    <n v="1015"/>
    <m/>
    <m/>
    <m/>
    <m/>
    <m/>
    <m/>
    <m/>
    <m/>
    <m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L"/>
    <n v="1442"/>
    <s v="VENDA INTERNA AL"/>
    <s v="S GLUTEN"/>
    <n v="0"/>
    <n v="0"/>
    <n v="0"/>
    <n v="50"/>
    <n v="50"/>
    <n v="100"/>
    <n v="100"/>
    <n v="110"/>
    <n v="165"/>
    <n v="165"/>
    <n v="165"/>
    <n v="110"/>
    <n v="1015"/>
    <m/>
    <m/>
    <m/>
    <m/>
    <m/>
    <m/>
    <m/>
    <m/>
    <m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L"/>
    <n v="1442"/>
    <s v="VENDA INTERNA AL"/>
    <s v="SABORES DO CAMP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L"/>
    <n v="1442"/>
    <s v="VENDA INTERNA AL"/>
    <s v="SAL"/>
    <n v="0"/>
    <n v="0"/>
    <n v="0"/>
    <n v="70"/>
    <n v="70"/>
    <n v="140"/>
    <n v="140"/>
    <n v="154.00000000000003"/>
    <n v="231.00000000000003"/>
    <n v="231.00000000000003"/>
    <n v="231.00000000000003"/>
    <n v="154.00000000000003"/>
    <n v="1421"/>
    <m/>
    <m/>
    <m/>
    <m/>
    <m/>
    <m/>
    <m/>
    <m/>
    <m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L"/>
    <n v="1442"/>
    <s v="VENDA INTERNA AL"/>
    <s v="SOULPRO"/>
    <n v="0"/>
    <n v="0"/>
    <n v="0"/>
    <n v="49.999999999999993"/>
    <n v="49.999999999999993"/>
    <n v="99.999999999999986"/>
    <n v="99.999999999999986"/>
    <n v="109.99999999999999"/>
    <n v="165"/>
    <n v="165"/>
    <n v="165"/>
    <n v="109.99999999999999"/>
    <n v="1015"/>
    <m/>
    <m/>
    <m/>
    <m/>
    <m/>
    <m/>
    <m/>
    <m/>
    <m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L"/>
    <n v="1442"/>
    <s v="VENDA INTERNA AL"/>
    <s v="TAMARA"/>
    <n v="0"/>
    <n v="0"/>
    <n v="0"/>
    <n v="80"/>
    <n v="80"/>
    <n v="160"/>
    <n v="160"/>
    <n v="176"/>
    <n v="264"/>
    <n v="264"/>
    <n v="264"/>
    <n v="176"/>
    <n v="1624"/>
    <m/>
    <m/>
    <m/>
    <m/>
    <m/>
    <m/>
    <m/>
    <m/>
    <m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L"/>
    <n v="1442"/>
    <s v="VENDA INTERNA AL"/>
    <s v="VICCIO"/>
    <n v="0"/>
    <n v="0"/>
    <n v="0"/>
    <n v="30"/>
    <n v="30"/>
    <n v="60"/>
    <n v="60"/>
    <n v="66"/>
    <n v="99"/>
    <n v="99"/>
    <n v="99"/>
    <n v="66"/>
    <n v="609"/>
    <m/>
    <m/>
    <m/>
    <m/>
    <m/>
    <m/>
    <m/>
    <m/>
    <m/>
    <m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n v="1"/>
    <s v="PR"/>
    <n v="1501"/>
    <s v="VENDA INTERNA PR - CONVENIENCIA"/>
    <s v="1. TOTAL - VENDA INTERNA PR - CONVENIENCI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R"/>
    <n v="1501"/>
    <s v="VENDA INTERNA PR - CONVENIENCIA"/>
    <s v="BISCOIT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R"/>
    <n v="1501"/>
    <s v="VENDA INTERNA PR - CONVENIENCIA"/>
    <s v="CHOCOLAT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R"/>
    <n v="1501"/>
    <s v="VENDA INTERNA PR - CONVENIENCIA"/>
    <s v="DISNEY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R"/>
    <n v="1501"/>
    <s v="VENDA INTERNA PR - CONVENIENCIA"/>
    <s v="DOC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R"/>
    <n v="1501"/>
    <s v="VENDA INTERNA PR - CONVENIENCIA"/>
    <s v="GELEI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R"/>
    <n v="1501"/>
    <s v="VENDA INTERNA PR - CONVENIENCIA"/>
    <s v="GRANOL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R"/>
    <n v="1501"/>
    <s v="VENDA INTERNA PR - CONVENIENCIA"/>
    <s v="KID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R"/>
    <n v="1501"/>
    <s v="VENDA INTERNA PR - CONVENIENCIA"/>
    <s v="LANCH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R"/>
    <n v="1501"/>
    <s v="VENDA INTERNA PR - CONVENIENCIA"/>
    <s v="MAIS GRANEL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R"/>
    <n v="1501"/>
    <s v="VENDA INTERNA PR - CONVENIENCIA"/>
    <s v="NATURATT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R"/>
    <n v="1501"/>
    <s v="VENDA INTERNA PR - CONVENIENCIA"/>
    <s v="REEMBALADO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R"/>
    <n v="1501"/>
    <s v="VENDA INTERNA PR - CONVENIENCIA"/>
    <s v="S GLUTEN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R"/>
    <n v="1501"/>
    <s v="VENDA INTERNA PR - CONVENIENCIA"/>
    <s v="SABORES DO CAMP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R"/>
    <n v="1501"/>
    <s v="VENDA INTERNA PR - CONVENIENCIA"/>
    <s v="SAL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R"/>
    <n v="1501"/>
    <s v="VENDA INTERNA PR - CONVENIENCIA"/>
    <s v="SOULPR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R"/>
    <n v="1501"/>
    <s v="VENDA INTERNA PR - CONVENIENCIA"/>
    <s v="TAMAR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R"/>
    <n v="1501"/>
    <s v="VENDA INTERNA PR - CONVENIENCIA"/>
    <s v="VICCI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n v="1"/>
    <s v="AP"/>
    <n v="1502"/>
    <s v="VENDA INTERNA AP - CONVENIENCIA"/>
    <s v="1. TOTAL - VENDA INTERNA AP - CONVENIENCI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P"/>
    <n v="1502"/>
    <s v="VENDA INTERNA AP - CONVENIENCIA"/>
    <s v="BISCOIT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P"/>
    <n v="1502"/>
    <s v="VENDA INTERNA AP - CONVENIENCIA"/>
    <s v="CHOCOLAT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P"/>
    <n v="1502"/>
    <s v="VENDA INTERNA AP - CONVENIENCIA"/>
    <s v="DISNEY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P"/>
    <n v="1502"/>
    <s v="VENDA INTERNA AP - CONVENIENCIA"/>
    <s v="DOC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P"/>
    <n v="1502"/>
    <s v="VENDA INTERNA AP - CONVENIENCIA"/>
    <s v="GELEI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P"/>
    <n v="1502"/>
    <s v="VENDA INTERNA AP - CONVENIENCIA"/>
    <s v="GRANOL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P"/>
    <n v="1502"/>
    <s v="VENDA INTERNA AP - CONVENIENCIA"/>
    <s v="KID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P"/>
    <n v="1502"/>
    <s v="VENDA INTERNA AP - CONVENIENCIA"/>
    <s v="LANCH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P"/>
    <n v="1502"/>
    <s v="VENDA INTERNA AP - CONVENIENCIA"/>
    <s v="MAIS GRANEL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P"/>
    <n v="1502"/>
    <s v="VENDA INTERNA AP - CONVENIENCIA"/>
    <s v="NATURATT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P"/>
    <n v="1502"/>
    <s v="VENDA INTERNA AP - CONVENIENCIA"/>
    <s v="REEMBALADO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P"/>
    <n v="1502"/>
    <s v="VENDA INTERNA AP - CONVENIENCIA"/>
    <s v="S GLUTEN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P"/>
    <n v="1502"/>
    <s v="VENDA INTERNA AP - CONVENIENCIA"/>
    <s v="SABORES DO CAMP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P"/>
    <n v="1502"/>
    <s v="VENDA INTERNA AP - CONVENIENCIA"/>
    <s v="SAL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P"/>
    <n v="1502"/>
    <s v="VENDA INTERNA AP - CONVENIENCIA"/>
    <s v="SOULPR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P"/>
    <n v="1502"/>
    <s v="VENDA INTERNA AP - CONVENIENCIA"/>
    <s v="TAMAR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P"/>
    <n v="1502"/>
    <s v="VENDA INTERNA AP - CONVENIENCIA"/>
    <s v="VICCI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n v="1"/>
    <s v="RN"/>
    <n v="1503"/>
    <s v="VENDA INTERNA RN - CONVENIENCIA"/>
    <s v="1. TOTAL - VENDA INTERNA RN - CONVENIENCI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N"/>
    <n v="1503"/>
    <s v="VENDA INTERNA RN - CONVENIENCIA"/>
    <s v="BISCOIT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N"/>
    <n v="1503"/>
    <s v="VENDA INTERNA RN - CONVENIENCIA"/>
    <s v="CHOCOLAT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N"/>
    <n v="1503"/>
    <s v="VENDA INTERNA RN - CONVENIENCIA"/>
    <s v="DISNEY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N"/>
    <n v="1503"/>
    <s v="VENDA INTERNA RN - CONVENIENCIA"/>
    <s v="DOC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N"/>
    <n v="1503"/>
    <s v="VENDA INTERNA RN - CONVENIENCIA"/>
    <s v="GELEI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N"/>
    <n v="1503"/>
    <s v="VENDA INTERNA RN - CONVENIENCIA"/>
    <s v="GRANOL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N"/>
    <n v="1503"/>
    <s v="VENDA INTERNA RN - CONVENIENCIA"/>
    <s v="KID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N"/>
    <n v="1503"/>
    <s v="VENDA INTERNA RN - CONVENIENCIA"/>
    <s v="LANCH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N"/>
    <n v="1503"/>
    <s v="VENDA INTERNA RN - CONVENIENCIA"/>
    <s v="MAIS GRANEL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N"/>
    <n v="1503"/>
    <s v="VENDA INTERNA RN - CONVENIENCIA"/>
    <s v="NATURATT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N"/>
    <n v="1503"/>
    <s v="VENDA INTERNA RN - CONVENIENCIA"/>
    <s v="REEMBALADO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N"/>
    <n v="1503"/>
    <s v="VENDA INTERNA RN - CONVENIENCIA"/>
    <s v="S GLUTEN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N"/>
    <n v="1503"/>
    <s v="VENDA INTERNA RN - CONVENIENCIA"/>
    <s v="SABORES DO CAMP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N"/>
    <n v="1503"/>
    <s v="VENDA INTERNA RN - CONVENIENCIA"/>
    <s v="SAL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N"/>
    <n v="1503"/>
    <s v="VENDA INTERNA RN - CONVENIENCIA"/>
    <s v="SOULPR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N"/>
    <n v="1503"/>
    <s v="VENDA INTERNA RN - CONVENIENCIA"/>
    <s v="TAMAR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N"/>
    <n v="1503"/>
    <s v="VENDA INTERNA RN - CONVENIENCIA"/>
    <s v="VICCI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n v="1"/>
    <s v="CE"/>
    <n v="1504"/>
    <s v="VENDA INTERNA CE - CONVENIENCIA"/>
    <s v="1. TOTAL - VENDA INTERNA CE - CONVENIENCI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CE"/>
    <n v="1504"/>
    <s v="VENDA INTERNA CE - CONVENIENCIA"/>
    <s v="BISCOIT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CE"/>
    <n v="1504"/>
    <s v="VENDA INTERNA CE - CONVENIENCIA"/>
    <s v="CHOCOLAT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CE"/>
    <n v="1504"/>
    <s v="VENDA INTERNA CE - CONVENIENCIA"/>
    <s v="DISNEY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CE"/>
    <n v="1504"/>
    <s v="VENDA INTERNA CE - CONVENIENCIA"/>
    <s v="DOC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CE"/>
    <n v="1504"/>
    <s v="VENDA INTERNA CE - CONVENIENCIA"/>
    <s v="GELEI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CE"/>
    <n v="1504"/>
    <s v="VENDA INTERNA CE - CONVENIENCIA"/>
    <s v="GRANOL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CE"/>
    <n v="1504"/>
    <s v="VENDA INTERNA CE - CONVENIENCIA"/>
    <s v="KID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CE"/>
    <n v="1504"/>
    <s v="VENDA INTERNA CE - CONVENIENCIA"/>
    <s v="LANCH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CE"/>
    <n v="1504"/>
    <s v="VENDA INTERNA CE - CONVENIENCIA"/>
    <s v="MAIS GRANEL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CE"/>
    <n v="1504"/>
    <s v="VENDA INTERNA CE - CONVENIENCIA"/>
    <s v="NATURATT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CE"/>
    <n v="1504"/>
    <s v="VENDA INTERNA CE - CONVENIENCIA"/>
    <s v="REEMBALADO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CE"/>
    <n v="1504"/>
    <s v="VENDA INTERNA CE - CONVENIENCIA"/>
    <s v="S GLUTEN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CE"/>
    <n v="1504"/>
    <s v="VENDA INTERNA CE - CONVENIENCIA"/>
    <s v="SABORES DO CAMP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CE"/>
    <n v="1504"/>
    <s v="VENDA INTERNA CE - CONVENIENCIA"/>
    <s v="SAL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CE"/>
    <n v="1504"/>
    <s v="VENDA INTERNA CE - CONVENIENCIA"/>
    <s v="SOULPR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CE"/>
    <n v="1504"/>
    <s v="VENDA INTERNA CE - CONVENIENCIA"/>
    <s v="TAMAR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CE"/>
    <n v="1504"/>
    <s v="VENDA INTERNA CE - CONVENIENCIA"/>
    <s v="VICCI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n v="1"/>
    <s v="PI"/>
    <n v="1505"/>
    <s v="VENDA INTERNA PI - CONVENIENCIA"/>
    <s v="1. TOTAL - VENDA INTERNA PI - CONVENIENCI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I"/>
    <n v="1505"/>
    <s v="VENDA INTERNA PI - CONVENIENCIA"/>
    <s v="BISCOIT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I"/>
    <n v="1505"/>
    <s v="VENDA INTERNA PI - CONVENIENCIA"/>
    <s v="CHOCOLAT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I"/>
    <n v="1505"/>
    <s v="VENDA INTERNA PI - CONVENIENCIA"/>
    <s v="DISNEY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I"/>
    <n v="1505"/>
    <s v="VENDA INTERNA PI - CONVENIENCIA"/>
    <s v="DOC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I"/>
    <n v="1505"/>
    <s v="VENDA INTERNA PI - CONVENIENCIA"/>
    <s v="GELEI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I"/>
    <n v="1505"/>
    <s v="VENDA INTERNA PI - CONVENIENCIA"/>
    <s v="GRANOL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I"/>
    <n v="1505"/>
    <s v="VENDA INTERNA PI - CONVENIENCIA"/>
    <s v="KID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I"/>
    <n v="1505"/>
    <s v="VENDA INTERNA PI - CONVENIENCIA"/>
    <s v="LANCH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I"/>
    <n v="1505"/>
    <s v="VENDA INTERNA PI - CONVENIENCIA"/>
    <s v="MAIS GRANEL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I"/>
    <n v="1505"/>
    <s v="VENDA INTERNA PI - CONVENIENCIA"/>
    <s v="NATURATT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I"/>
    <n v="1505"/>
    <s v="VENDA INTERNA PI - CONVENIENCIA"/>
    <s v="REEMBALADO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I"/>
    <n v="1505"/>
    <s v="VENDA INTERNA PI - CONVENIENCIA"/>
    <s v="S GLUTEN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I"/>
    <n v="1505"/>
    <s v="VENDA INTERNA PI - CONVENIENCIA"/>
    <s v="SABORES DO CAMP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I"/>
    <n v="1505"/>
    <s v="VENDA INTERNA PI - CONVENIENCIA"/>
    <s v="SAL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I"/>
    <n v="1505"/>
    <s v="VENDA INTERNA PI - CONVENIENCIA"/>
    <s v="SOULPR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I"/>
    <n v="1505"/>
    <s v="VENDA INTERNA PI - CONVENIENCIA"/>
    <s v="TAMAR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I"/>
    <n v="1505"/>
    <s v="VENDA INTERNA PI - CONVENIENCIA"/>
    <s v="VICCI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n v="1"/>
    <s v="PE"/>
    <n v="1507"/>
    <s v="VENDA INTERNA PE - CONVENIENCIA"/>
    <s v="1. TOTAL - VENDA INTERNA PE - CONVENIENCI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E"/>
    <n v="1507"/>
    <s v="VENDA INTERNA PE - CONVENIENCIA"/>
    <s v="BISCOIT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E"/>
    <n v="1507"/>
    <s v="VENDA INTERNA PE - CONVENIENCIA"/>
    <s v="CHOCOLAT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E"/>
    <n v="1507"/>
    <s v="VENDA INTERNA PE - CONVENIENCIA"/>
    <s v="DISNEY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E"/>
    <n v="1507"/>
    <s v="VENDA INTERNA PE - CONVENIENCIA"/>
    <s v="DOC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E"/>
    <n v="1507"/>
    <s v="VENDA INTERNA PE - CONVENIENCIA"/>
    <s v="GELEI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E"/>
    <n v="1507"/>
    <s v="VENDA INTERNA PE - CONVENIENCIA"/>
    <s v="GRANOL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E"/>
    <n v="1507"/>
    <s v="VENDA INTERNA PE - CONVENIENCIA"/>
    <s v="KID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E"/>
    <n v="1507"/>
    <s v="VENDA INTERNA PE - CONVENIENCIA"/>
    <s v="LANCH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E"/>
    <n v="1507"/>
    <s v="VENDA INTERNA PE - CONVENIENCIA"/>
    <s v="MAIS GRANEL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E"/>
    <n v="1507"/>
    <s v="VENDA INTERNA PE - CONVENIENCIA"/>
    <s v="NATURATT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E"/>
    <n v="1507"/>
    <s v="VENDA INTERNA PE - CONVENIENCIA"/>
    <s v="REEMBALADO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E"/>
    <n v="1507"/>
    <s v="VENDA INTERNA PE - CONVENIENCIA"/>
    <s v="S GLUTEN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E"/>
    <n v="1507"/>
    <s v="VENDA INTERNA PE - CONVENIENCIA"/>
    <s v="SABORES DO CAMP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E"/>
    <n v="1507"/>
    <s v="VENDA INTERNA PE - CONVENIENCIA"/>
    <s v="SAL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E"/>
    <n v="1507"/>
    <s v="VENDA INTERNA PE - CONVENIENCIA"/>
    <s v="SOULPR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E"/>
    <n v="1507"/>
    <s v="VENDA INTERNA PE - CONVENIENCIA"/>
    <s v="TAMAR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E"/>
    <n v="1507"/>
    <s v="VENDA INTERNA PE - CONVENIENCIA"/>
    <s v="VICCI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n v="1"/>
    <s v="SE"/>
    <n v="1508"/>
    <s v="VENDA INTERNA SE - CONVENIENCIA"/>
    <s v="1. TOTAL - VENDA INTERNA SE - CONVENIENCI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E"/>
    <n v="1508"/>
    <s v="VENDA INTERNA SE - CONVENIENCIA"/>
    <s v="BISCOIT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E"/>
    <n v="1508"/>
    <s v="VENDA INTERNA SE - CONVENIENCIA"/>
    <s v="CHOCOLAT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E"/>
    <n v="1508"/>
    <s v="VENDA INTERNA SE - CONVENIENCIA"/>
    <s v="DISNEY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E"/>
    <n v="1508"/>
    <s v="VENDA INTERNA SE - CONVENIENCIA"/>
    <s v="DOC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E"/>
    <n v="1508"/>
    <s v="VENDA INTERNA SE - CONVENIENCIA"/>
    <s v="GELEI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E"/>
    <n v="1508"/>
    <s v="VENDA INTERNA SE - CONVENIENCIA"/>
    <s v="GRANOL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E"/>
    <n v="1508"/>
    <s v="VENDA INTERNA SE - CONVENIENCIA"/>
    <s v="KID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E"/>
    <n v="1508"/>
    <s v="VENDA INTERNA SE - CONVENIENCIA"/>
    <s v="LANCH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E"/>
    <n v="1508"/>
    <s v="VENDA INTERNA SE - CONVENIENCIA"/>
    <s v="MAIS GRANEL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E"/>
    <n v="1508"/>
    <s v="VENDA INTERNA SE - CONVENIENCIA"/>
    <s v="NATURATT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E"/>
    <n v="1508"/>
    <s v="VENDA INTERNA SE - CONVENIENCIA"/>
    <s v="REEMBALADO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E"/>
    <n v="1508"/>
    <s v="VENDA INTERNA SE - CONVENIENCIA"/>
    <s v="S GLUTEN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E"/>
    <n v="1508"/>
    <s v="VENDA INTERNA SE - CONVENIENCIA"/>
    <s v="SABORES DO CAMP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E"/>
    <n v="1508"/>
    <s v="VENDA INTERNA SE - CONVENIENCIA"/>
    <s v="SAL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E"/>
    <n v="1508"/>
    <s v="VENDA INTERNA SE - CONVENIENCIA"/>
    <s v="SOULPR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E"/>
    <n v="1508"/>
    <s v="VENDA INTERNA SE - CONVENIENCIA"/>
    <s v="TAMAR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E"/>
    <n v="1508"/>
    <s v="VENDA INTERNA SE - CONVENIENCIA"/>
    <s v="VICCI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n v="1"/>
    <s v="PB"/>
    <n v="1509"/>
    <s v="VENDA INTERNA PB - CONVENIENCIA"/>
    <s v="1. TOTAL - VENDA INTERNA PB - CONVENIENCI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B"/>
    <n v="1509"/>
    <s v="VENDA INTERNA PB - CONVENIENCIA"/>
    <s v="BISCOIT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B"/>
    <n v="1509"/>
    <s v="VENDA INTERNA PB - CONVENIENCIA"/>
    <s v="CHOCOLAT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B"/>
    <n v="1509"/>
    <s v="VENDA INTERNA PB - CONVENIENCIA"/>
    <s v="DISNEY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B"/>
    <n v="1509"/>
    <s v="VENDA INTERNA PB - CONVENIENCIA"/>
    <s v="DOC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B"/>
    <n v="1509"/>
    <s v="VENDA INTERNA PB - CONVENIENCIA"/>
    <s v="GELEI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B"/>
    <n v="1509"/>
    <s v="VENDA INTERNA PB - CONVENIENCIA"/>
    <s v="GRANOL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B"/>
    <n v="1509"/>
    <s v="VENDA INTERNA PB - CONVENIENCIA"/>
    <s v="KID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B"/>
    <n v="1509"/>
    <s v="VENDA INTERNA PB - CONVENIENCIA"/>
    <s v="LANCH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B"/>
    <n v="1509"/>
    <s v="VENDA INTERNA PB - CONVENIENCIA"/>
    <s v="MAIS GRANEL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B"/>
    <n v="1509"/>
    <s v="VENDA INTERNA PB - CONVENIENCIA"/>
    <s v="NATURATT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B"/>
    <n v="1509"/>
    <s v="VENDA INTERNA PB - CONVENIENCIA"/>
    <s v="REEMBALADO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B"/>
    <n v="1509"/>
    <s v="VENDA INTERNA PB - CONVENIENCIA"/>
    <s v="S GLUTEN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B"/>
    <n v="1509"/>
    <s v="VENDA INTERNA PB - CONVENIENCIA"/>
    <s v="SABORES DO CAMP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B"/>
    <n v="1509"/>
    <s v="VENDA INTERNA PB - CONVENIENCIA"/>
    <s v="SAL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B"/>
    <n v="1509"/>
    <s v="VENDA INTERNA PB - CONVENIENCIA"/>
    <s v="SOULPR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B"/>
    <n v="1509"/>
    <s v="VENDA INTERNA PB - CONVENIENCIA"/>
    <s v="TAMAR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B"/>
    <n v="1509"/>
    <s v="VENDA INTERNA PB - CONVENIENCIA"/>
    <s v="VICCI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n v="1"/>
    <s v="BA"/>
    <n v="1510"/>
    <s v="VENDA INTERNA BA - CONVENIENCIA"/>
    <s v="1. TOTAL - VENDA INTERNA BA - CONVENIENCI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BA"/>
    <n v="1510"/>
    <s v="VENDA INTERNA BA - CONVENIENCIA"/>
    <s v="BISCOIT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BA"/>
    <n v="1510"/>
    <s v="VENDA INTERNA BA - CONVENIENCIA"/>
    <s v="CHOCOLAT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BA"/>
    <n v="1510"/>
    <s v="VENDA INTERNA BA - CONVENIENCIA"/>
    <s v="DISNEY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BA"/>
    <n v="1510"/>
    <s v="VENDA INTERNA BA - CONVENIENCIA"/>
    <s v="DOC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BA"/>
    <n v="1510"/>
    <s v="VENDA INTERNA BA - CONVENIENCIA"/>
    <s v="GELEI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BA"/>
    <n v="1510"/>
    <s v="VENDA INTERNA BA - CONVENIENCIA"/>
    <s v="GRANOL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BA"/>
    <n v="1510"/>
    <s v="VENDA INTERNA BA - CONVENIENCIA"/>
    <s v="KID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BA"/>
    <n v="1510"/>
    <s v="VENDA INTERNA BA - CONVENIENCIA"/>
    <s v="LANCH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BA"/>
    <n v="1510"/>
    <s v="VENDA INTERNA BA - CONVENIENCIA"/>
    <s v="MAIS GRANEL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BA"/>
    <n v="1510"/>
    <s v="VENDA INTERNA BA - CONVENIENCIA"/>
    <s v="NATURATT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BA"/>
    <n v="1510"/>
    <s v="VENDA INTERNA BA - CONVENIENCIA"/>
    <s v="REEMBALADO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BA"/>
    <n v="1510"/>
    <s v="VENDA INTERNA BA - CONVENIENCIA"/>
    <s v="S GLUTEN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BA"/>
    <n v="1510"/>
    <s v="VENDA INTERNA BA - CONVENIENCIA"/>
    <s v="SABORES DO CAMP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BA"/>
    <n v="1510"/>
    <s v="VENDA INTERNA BA - CONVENIENCIA"/>
    <s v="SAL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BA"/>
    <n v="1510"/>
    <s v="VENDA INTERNA BA - CONVENIENCIA"/>
    <s v="SOULPR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BA"/>
    <n v="1510"/>
    <s v="VENDA INTERNA BA - CONVENIENCIA"/>
    <s v="TAMAR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BA"/>
    <n v="1510"/>
    <s v="VENDA INTERNA BA - CONVENIENCIA"/>
    <s v="VICCI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n v="1"/>
    <s v="MA"/>
    <n v="1511"/>
    <s v="VENDA INTERNA MA - CONVENIENCIA"/>
    <s v="1. TOTAL - VENDA INTERNA MA - CONVENIENCI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A"/>
    <n v="1511"/>
    <s v="VENDA INTERNA MA - CONVENIENCIA"/>
    <s v="BISCOIT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A"/>
    <n v="1511"/>
    <s v="VENDA INTERNA MA - CONVENIENCIA"/>
    <s v="CHOCOLAT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A"/>
    <n v="1511"/>
    <s v="VENDA INTERNA MA - CONVENIENCIA"/>
    <s v="DISNEY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A"/>
    <n v="1511"/>
    <s v="VENDA INTERNA MA - CONVENIENCIA"/>
    <s v="DOC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A"/>
    <n v="1511"/>
    <s v="VENDA INTERNA MA - CONVENIENCIA"/>
    <s v="GELEI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A"/>
    <n v="1511"/>
    <s v="VENDA INTERNA MA - CONVENIENCIA"/>
    <s v="GRANOL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A"/>
    <n v="1511"/>
    <s v="VENDA INTERNA MA - CONVENIENCIA"/>
    <s v="KID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A"/>
    <n v="1511"/>
    <s v="VENDA INTERNA MA - CONVENIENCIA"/>
    <s v="LANCH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A"/>
    <n v="1511"/>
    <s v="VENDA INTERNA MA - CONVENIENCIA"/>
    <s v="MAIS GRANEL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A"/>
    <n v="1511"/>
    <s v="VENDA INTERNA MA - CONVENIENCIA"/>
    <s v="NATURATT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A"/>
    <n v="1511"/>
    <s v="VENDA INTERNA MA - CONVENIENCIA"/>
    <s v="REEMBALADO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A"/>
    <n v="1511"/>
    <s v="VENDA INTERNA MA - CONVENIENCIA"/>
    <s v="S GLUTEN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A"/>
    <n v="1511"/>
    <s v="VENDA INTERNA MA - CONVENIENCIA"/>
    <s v="SABORES DO CAMP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A"/>
    <n v="1511"/>
    <s v="VENDA INTERNA MA - CONVENIENCIA"/>
    <s v="SAL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A"/>
    <n v="1511"/>
    <s v="VENDA INTERNA MA - CONVENIENCIA"/>
    <s v="SOULPR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A"/>
    <n v="1511"/>
    <s v="VENDA INTERNA MA - CONVENIENCIA"/>
    <s v="TAMAR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A"/>
    <n v="1511"/>
    <s v="VENDA INTERNA MA - CONVENIENCIA"/>
    <s v="VICCI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n v="1"/>
    <s v="TO"/>
    <n v="1512"/>
    <s v="VENDA INTERNA TO - CONVENIENCIA"/>
    <s v="1. TOTAL - VENDA INTERNA TO - CONVENIENCI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TO"/>
    <n v="1512"/>
    <s v="VENDA INTERNA TO - CONVENIENCIA"/>
    <s v="BISCOIT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TO"/>
    <n v="1512"/>
    <s v="VENDA INTERNA TO - CONVENIENCIA"/>
    <s v="CHOCOLAT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TO"/>
    <n v="1512"/>
    <s v="VENDA INTERNA TO - CONVENIENCIA"/>
    <s v="DISNEY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TO"/>
    <n v="1512"/>
    <s v="VENDA INTERNA TO - CONVENIENCIA"/>
    <s v="DOC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TO"/>
    <n v="1512"/>
    <s v="VENDA INTERNA TO - CONVENIENCIA"/>
    <s v="GELEI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TO"/>
    <n v="1512"/>
    <s v="VENDA INTERNA TO - CONVENIENCIA"/>
    <s v="GRANOL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TO"/>
    <n v="1512"/>
    <s v="VENDA INTERNA TO - CONVENIENCIA"/>
    <s v="KID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TO"/>
    <n v="1512"/>
    <s v="VENDA INTERNA TO - CONVENIENCIA"/>
    <s v="LANCH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TO"/>
    <n v="1512"/>
    <s v="VENDA INTERNA TO - CONVENIENCIA"/>
    <s v="MAIS GRANEL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TO"/>
    <n v="1512"/>
    <s v="VENDA INTERNA TO - CONVENIENCIA"/>
    <s v="NATURATT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TO"/>
    <n v="1512"/>
    <s v="VENDA INTERNA TO - CONVENIENCIA"/>
    <s v="REEMBALADO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TO"/>
    <n v="1512"/>
    <s v="VENDA INTERNA TO - CONVENIENCIA"/>
    <s v="S GLUTEN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TO"/>
    <n v="1512"/>
    <s v="VENDA INTERNA TO - CONVENIENCIA"/>
    <s v="SABORES DO CAMP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TO"/>
    <n v="1512"/>
    <s v="VENDA INTERNA TO - CONVENIENCIA"/>
    <s v="SAL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TO"/>
    <n v="1512"/>
    <s v="VENDA INTERNA TO - CONVENIENCIA"/>
    <s v="SOULPR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TO"/>
    <n v="1512"/>
    <s v="VENDA INTERNA TO - CONVENIENCIA"/>
    <s v="TAMAR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TO"/>
    <n v="1512"/>
    <s v="VENDA INTERNA TO - CONVENIENCIA"/>
    <s v="VICCI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n v="1"/>
    <s v="RO"/>
    <n v="1513"/>
    <s v="VENDA INTERNA RO - CONVENIENCIA"/>
    <s v="1. TOTAL - VENDA INTERNA RO - CONVENIENCI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O"/>
    <n v="1513"/>
    <s v="VENDA INTERNA RO - CONVENIENCIA"/>
    <s v="BISCOIT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O"/>
    <n v="1513"/>
    <s v="VENDA INTERNA RO - CONVENIENCIA"/>
    <s v="CHOCOLAT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O"/>
    <n v="1513"/>
    <s v="VENDA INTERNA RO - CONVENIENCIA"/>
    <s v="DISNEY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O"/>
    <n v="1513"/>
    <s v="VENDA INTERNA RO - CONVENIENCIA"/>
    <s v="DOC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O"/>
    <n v="1513"/>
    <s v="VENDA INTERNA RO - CONVENIENCIA"/>
    <s v="GELEI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O"/>
    <n v="1513"/>
    <s v="VENDA INTERNA RO - CONVENIENCIA"/>
    <s v="GRANOL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O"/>
    <n v="1513"/>
    <s v="VENDA INTERNA RO - CONVENIENCIA"/>
    <s v="KID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O"/>
    <n v="1513"/>
    <s v="VENDA INTERNA RO - CONVENIENCIA"/>
    <s v="LANCH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O"/>
    <n v="1513"/>
    <s v="VENDA INTERNA RO - CONVENIENCIA"/>
    <s v="MAIS GRANEL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O"/>
    <n v="1513"/>
    <s v="VENDA INTERNA RO - CONVENIENCIA"/>
    <s v="NATURATT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O"/>
    <n v="1513"/>
    <s v="VENDA INTERNA RO - CONVENIENCIA"/>
    <s v="REEMBALADO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O"/>
    <n v="1513"/>
    <s v="VENDA INTERNA RO - CONVENIENCIA"/>
    <s v="S GLUTEN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O"/>
    <n v="1513"/>
    <s v="VENDA INTERNA RO - CONVENIENCIA"/>
    <s v="SABORES DO CAMP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O"/>
    <n v="1513"/>
    <s v="VENDA INTERNA RO - CONVENIENCIA"/>
    <s v="SAL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O"/>
    <n v="1513"/>
    <s v="VENDA INTERNA RO - CONVENIENCIA"/>
    <s v="SOULPR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O"/>
    <n v="1513"/>
    <s v="VENDA INTERNA RO - CONVENIENCIA"/>
    <s v="TAMAR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O"/>
    <n v="1513"/>
    <s v="VENDA INTERNA RO - CONVENIENCIA"/>
    <s v="VICCI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n v="1"/>
    <s v="RR"/>
    <n v="1514"/>
    <s v="VENDA INTERNA RR - CONVENIENCIA"/>
    <s v="1. TOTAL - VENDA INTERNA RR - CONVENIENCI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R"/>
    <n v="1514"/>
    <s v="VENDA INTERNA RR - CONVENIENCIA"/>
    <s v="BISCOIT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R"/>
    <n v="1514"/>
    <s v="VENDA INTERNA RR - CONVENIENCIA"/>
    <s v="CHOCOLAT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R"/>
    <n v="1514"/>
    <s v="VENDA INTERNA RR - CONVENIENCIA"/>
    <s v="DISNEY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R"/>
    <n v="1514"/>
    <s v="VENDA INTERNA RR - CONVENIENCIA"/>
    <s v="DOC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R"/>
    <n v="1514"/>
    <s v="VENDA INTERNA RR - CONVENIENCIA"/>
    <s v="GELEI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R"/>
    <n v="1514"/>
    <s v="VENDA INTERNA RR - CONVENIENCIA"/>
    <s v="GRANOL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R"/>
    <n v="1514"/>
    <s v="VENDA INTERNA RR - CONVENIENCIA"/>
    <s v="KID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R"/>
    <n v="1514"/>
    <s v="VENDA INTERNA RR - CONVENIENCIA"/>
    <s v="LANCH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R"/>
    <n v="1514"/>
    <s v="VENDA INTERNA RR - CONVENIENCIA"/>
    <s v="MAIS GRANEL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R"/>
    <n v="1514"/>
    <s v="VENDA INTERNA RR - CONVENIENCIA"/>
    <s v="NATURATT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R"/>
    <n v="1514"/>
    <s v="VENDA INTERNA RR - CONVENIENCIA"/>
    <s v="REEMBALADO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R"/>
    <n v="1514"/>
    <s v="VENDA INTERNA RR - CONVENIENCIA"/>
    <s v="S GLUTEN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R"/>
    <n v="1514"/>
    <s v="VENDA INTERNA RR - CONVENIENCIA"/>
    <s v="SABORES DO CAMP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R"/>
    <n v="1514"/>
    <s v="VENDA INTERNA RR - CONVENIENCIA"/>
    <s v="SAL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R"/>
    <n v="1514"/>
    <s v="VENDA INTERNA RR - CONVENIENCIA"/>
    <s v="SOULPR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R"/>
    <n v="1514"/>
    <s v="VENDA INTERNA RR - CONVENIENCIA"/>
    <s v="TAMAR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R"/>
    <n v="1514"/>
    <s v="VENDA INTERNA RR - CONVENIENCIA"/>
    <s v="VICCI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n v="1"/>
    <s v="PA"/>
    <n v="1515"/>
    <s v="VENDA INTERNA PA - CONVENIENCIA"/>
    <s v="1. TOTAL - VENDA INTERNA PA - CONVENIENCI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A"/>
    <n v="1515"/>
    <s v="VENDA INTERNA PA - CONVENIENCIA"/>
    <s v="BISCOIT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A"/>
    <n v="1515"/>
    <s v="VENDA INTERNA PA - CONVENIENCIA"/>
    <s v="CHOCOLAT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A"/>
    <n v="1515"/>
    <s v="VENDA INTERNA PA - CONVENIENCIA"/>
    <s v="DISNEY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A"/>
    <n v="1515"/>
    <s v="VENDA INTERNA PA - CONVENIENCIA"/>
    <s v="DOC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A"/>
    <n v="1515"/>
    <s v="VENDA INTERNA PA - CONVENIENCIA"/>
    <s v="GELEI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A"/>
    <n v="1515"/>
    <s v="VENDA INTERNA PA - CONVENIENCIA"/>
    <s v="GRANOL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A"/>
    <n v="1515"/>
    <s v="VENDA INTERNA PA - CONVENIENCIA"/>
    <s v="KID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A"/>
    <n v="1515"/>
    <s v="VENDA INTERNA PA - CONVENIENCIA"/>
    <s v="LANCH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A"/>
    <n v="1515"/>
    <s v="VENDA INTERNA PA - CONVENIENCIA"/>
    <s v="MAIS GRANEL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A"/>
    <n v="1515"/>
    <s v="VENDA INTERNA PA - CONVENIENCIA"/>
    <s v="NATURATT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A"/>
    <n v="1515"/>
    <s v="VENDA INTERNA PA - CONVENIENCIA"/>
    <s v="REEMBALADO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A"/>
    <n v="1515"/>
    <s v="VENDA INTERNA PA - CONVENIENCIA"/>
    <s v="S GLUTEN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A"/>
    <n v="1515"/>
    <s v="VENDA INTERNA PA - CONVENIENCIA"/>
    <s v="SABORES DO CAMP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A"/>
    <n v="1515"/>
    <s v="VENDA INTERNA PA - CONVENIENCIA"/>
    <s v="SAL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A"/>
    <n v="1515"/>
    <s v="VENDA INTERNA PA - CONVENIENCIA"/>
    <s v="SOULPR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A"/>
    <n v="1515"/>
    <s v="VENDA INTERNA PA - CONVENIENCIA"/>
    <s v="TAMAR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A"/>
    <n v="1515"/>
    <s v="VENDA INTERNA PA - CONVENIENCIA"/>
    <s v="VICCI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n v="1"/>
    <s v="AL"/>
    <n v="1516"/>
    <s v="VENDA INTERNA AL - CONVENIENCIA"/>
    <s v="1. TOTAL - VENDA INTERNA AL - CONVENIENCI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L"/>
    <n v="1516"/>
    <s v="VENDA INTERNA AL - CONVENIENCIA"/>
    <s v="BISCOIT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L"/>
    <n v="1516"/>
    <s v="VENDA INTERNA AL - CONVENIENCIA"/>
    <s v="CHOCOLAT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L"/>
    <n v="1516"/>
    <s v="VENDA INTERNA AL - CONVENIENCIA"/>
    <s v="DISNEY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L"/>
    <n v="1516"/>
    <s v="VENDA INTERNA AL - CONVENIENCIA"/>
    <s v="DOC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L"/>
    <n v="1516"/>
    <s v="VENDA INTERNA AL - CONVENIENCIA"/>
    <s v="GELEI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L"/>
    <n v="1516"/>
    <s v="VENDA INTERNA AL - CONVENIENCIA"/>
    <s v="GRANOL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L"/>
    <n v="1516"/>
    <s v="VENDA INTERNA AL - CONVENIENCIA"/>
    <s v="KID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L"/>
    <n v="1516"/>
    <s v="VENDA INTERNA AL - CONVENIENCIA"/>
    <s v="LANCH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L"/>
    <n v="1516"/>
    <s v="VENDA INTERNA AL - CONVENIENCIA"/>
    <s v="MAIS GRANEL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L"/>
    <n v="1516"/>
    <s v="VENDA INTERNA AL - CONVENIENCIA"/>
    <s v="NATURATT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L"/>
    <n v="1516"/>
    <s v="VENDA INTERNA AL - CONVENIENCIA"/>
    <s v="REEMBALADO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L"/>
    <n v="1516"/>
    <s v="VENDA INTERNA AL - CONVENIENCIA"/>
    <s v="S GLUTEN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L"/>
    <n v="1516"/>
    <s v="VENDA INTERNA AL - CONVENIENCIA"/>
    <s v="SABORES DO CAMP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L"/>
    <n v="1516"/>
    <s v="VENDA INTERNA AL - CONVENIENCIA"/>
    <s v="SAL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L"/>
    <n v="1516"/>
    <s v="VENDA INTERNA AL - CONVENIENCIA"/>
    <s v="SOULPR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L"/>
    <n v="1516"/>
    <s v="VENDA INTERNA AL - CONVENIENCIA"/>
    <s v="TAMAR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L"/>
    <n v="1516"/>
    <s v="VENDA INTERNA AL - CONVENIENCIA"/>
    <s v="VICCI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n v="1"/>
    <s v="AM"/>
    <n v="1517"/>
    <s v="VENDA INTERNA AM - CONVENIENCIA"/>
    <s v="1. TOTAL - VENDA INTERNA AM - CONVENIENCI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M"/>
    <n v="1517"/>
    <s v="VENDA INTERNA AM - CONVENIENCIA"/>
    <s v="BISCOIT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M"/>
    <n v="1517"/>
    <s v="VENDA INTERNA AM - CONVENIENCIA"/>
    <s v="CHOCOLAT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M"/>
    <n v="1517"/>
    <s v="VENDA INTERNA AM - CONVENIENCIA"/>
    <s v="DISNEY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M"/>
    <n v="1517"/>
    <s v="VENDA INTERNA AM - CONVENIENCIA"/>
    <s v="DOC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M"/>
    <n v="1517"/>
    <s v="VENDA INTERNA AM - CONVENIENCIA"/>
    <s v="GELEI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M"/>
    <n v="1517"/>
    <s v="VENDA INTERNA AM - CONVENIENCIA"/>
    <s v="GRANOL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M"/>
    <n v="1517"/>
    <s v="VENDA INTERNA AM - CONVENIENCIA"/>
    <s v="KID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M"/>
    <n v="1517"/>
    <s v="VENDA INTERNA AM - CONVENIENCIA"/>
    <s v="LANCH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M"/>
    <n v="1517"/>
    <s v="VENDA INTERNA AM - CONVENIENCIA"/>
    <s v="MAIS GRANEL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M"/>
    <n v="1517"/>
    <s v="VENDA INTERNA AM - CONVENIENCIA"/>
    <s v="NATURATT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M"/>
    <n v="1517"/>
    <s v="VENDA INTERNA AM - CONVENIENCIA"/>
    <s v="REEMBALADO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M"/>
    <n v="1517"/>
    <s v="VENDA INTERNA AM - CONVENIENCIA"/>
    <s v="S GLUTEN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M"/>
    <n v="1517"/>
    <s v="VENDA INTERNA AM - CONVENIENCIA"/>
    <s v="SABORES DO CAMP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M"/>
    <n v="1517"/>
    <s v="VENDA INTERNA AM - CONVENIENCIA"/>
    <s v="SAL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M"/>
    <n v="1517"/>
    <s v="VENDA INTERNA AM - CONVENIENCIA"/>
    <s v="SOULPR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M"/>
    <n v="1517"/>
    <s v="VENDA INTERNA AM - CONVENIENCIA"/>
    <s v="TAMAR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M"/>
    <n v="1517"/>
    <s v="VENDA INTERNA AM - CONVENIENCIA"/>
    <s v="VICCI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n v="1"/>
    <s v="DF"/>
    <n v="1518"/>
    <s v="VENDA INTERNA DF - CONVENIENCIA"/>
    <s v="1. TOTAL - VENDA INTERNA DF - CONVENIENCI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DF"/>
    <n v="1518"/>
    <s v="VENDA INTERNA DF - CONVENIENCIA"/>
    <s v="BISCOIT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DF"/>
    <n v="1518"/>
    <s v="VENDA INTERNA DF - CONVENIENCIA"/>
    <s v="CHOCOLAT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DF"/>
    <n v="1518"/>
    <s v="VENDA INTERNA DF - CONVENIENCIA"/>
    <s v="DISNEY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DF"/>
    <n v="1518"/>
    <s v="VENDA INTERNA DF - CONVENIENCIA"/>
    <s v="DOC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DF"/>
    <n v="1518"/>
    <s v="VENDA INTERNA DF - CONVENIENCIA"/>
    <s v="GELEI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DF"/>
    <n v="1518"/>
    <s v="VENDA INTERNA DF - CONVENIENCIA"/>
    <s v="GRANOL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DF"/>
    <n v="1518"/>
    <s v="VENDA INTERNA DF - CONVENIENCIA"/>
    <s v="KID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DF"/>
    <n v="1518"/>
    <s v="VENDA INTERNA DF - CONVENIENCIA"/>
    <s v="LANCH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DF"/>
    <n v="1518"/>
    <s v="VENDA INTERNA DF - CONVENIENCIA"/>
    <s v="MAIS GRANEL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DF"/>
    <n v="1518"/>
    <s v="VENDA INTERNA DF - CONVENIENCIA"/>
    <s v="NATURATT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DF"/>
    <n v="1518"/>
    <s v="VENDA INTERNA DF - CONVENIENCIA"/>
    <s v="REEMBALADO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DF"/>
    <n v="1518"/>
    <s v="VENDA INTERNA DF - CONVENIENCIA"/>
    <s v="S GLUTEN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DF"/>
    <n v="1518"/>
    <s v="VENDA INTERNA DF - CONVENIENCIA"/>
    <s v="SABORES DO CAMP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DF"/>
    <n v="1518"/>
    <s v="VENDA INTERNA DF - CONVENIENCIA"/>
    <s v="SAL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DF"/>
    <n v="1518"/>
    <s v="VENDA INTERNA DF - CONVENIENCIA"/>
    <s v="SOULPR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DF"/>
    <n v="1518"/>
    <s v="VENDA INTERNA DF - CONVENIENCIA"/>
    <s v="TAMAR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DF"/>
    <n v="1518"/>
    <s v="VENDA INTERNA DF - CONVENIENCIA"/>
    <s v="VICCI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n v="1"/>
    <s v="MS"/>
    <n v="1519"/>
    <s v="VENDA INTERNA MS - CONVENIENCIA"/>
    <s v="1. TOTAL - VENDA INTERNA MS - CONVENIENCI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S"/>
    <n v="1519"/>
    <s v="VENDA INTERNA MS - CONVENIENCIA"/>
    <s v="BISCOIT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S"/>
    <n v="1519"/>
    <s v="VENDA INTERNA MS - CONVENIENCIA"/>
    <s v="CHOCOLAT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S"/>
    <n v="1519"/>
    <s v="VENDA INTERNA MS - CONVENIENCIA"/>
    <s v="DISNEY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S"/>
    <n v="1519"/>
    <s v="VENDA INTERNA MS - CONVENIENCIA"/>
    <s v="DOC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S"/>
    <n v="1519"/>
    <s v="VENDA INTERNA MS - CONVENIENCIA"/>
    <s v="GELEI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S"/>
    <n v="1519"/>
    <s v="VENDA INTERNA MS - CONVENIENCIA"/>
    <s v="GRANOL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S"/>
    <n v="1519"/>
    <s v="VENDA INTERNA MS - CONVENIENCIA"/>
    <s v="KID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S"/>
    <n v="1519"/>
    <s v="VENDA INTERNA MS - CONVENIENCIA"/>
    <s v="LANCH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S"/>
    <n v="1519"/>
    <s v="VENDA INTERNA MS - CONVENIENCIA"/>
    <s v="MAIS GRANEL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S"/>
    <n v="1519"/>
    <s v="VENDA INTERNA MS - CONVENIENCIA"/>
    <s v="NATURATT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S"/>
    <n v="1519"/>
    <s v="VENDA INTERNA MS - CONVENIENCIA"/>
    <s v="REEMBALADO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S"/>
    <n v="1519"/>
    <s v="VENDA INTERNA MS - CONVENIENCIA"/>
    <s v="S GLUTEN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S"/>
    <n v="1519"/>
    <s v="VENDA INTERNA MS - CONVENIENCIA"/>
    <s v="SABORES DO CAMP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S"/>
    <n v="1519"/>
    <s v="VENDA INTERNA MS - CONVENIENCIA"/>
    <s v="SAL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S"/>
    <n v="1519"/>
    <s v="VENDA INTERNA MS - CONVENIENCIA"/>
    <s v="SOULPR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S"/>
    <n v="1519"/>
    <s v="VENDA INTERNA MS - CONVENIENCIA"/>
    <s v="TAMAR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S"/>
    <n v="1519"/>
    <s v="VENDA INTERNA MS - CONVENIENCIA"/>
    <s v="VICCI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n v="1"/>
    <s v="MT"/>
    <n v="1520"/>
    <s v="VENDA INTERNA MT - CONVENIENCIA"/>
    <s v="1. TOTAL - VENDA INTERNA MT - CONVENIENCI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T"/>
    <n v="1520"/>
    <s v="VENDA INTERNA MT - CONVENIENCIA"/>
    <s v="BISCOIT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T"/>
    <n v="1520"/>
    <s v="VENDA INTERNA MT - CONVENIENCIA"/>
    <s v="CHOCOLAT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T"/>
    <n v="1520"/>
    <s v="VENDA INTERNA MT - CONVENIENCIA"/>
    <s v="DISNEY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T"/>
    <n v="1520"/>
    <s v="VENDA INTERNA MT - CONVENIENCIA"/>
    <s v="DOC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T"/>
    <n v="1520"/>
    <s v="VENDA INTERNA MT - CONVENIENCIA"/>
    <s v="GELEI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T"/>
    <n v="1520"/>
    <s v="VENDA INTERNA MT - CONVENIENCIA"/>
    <s v="GRANOL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T"/>
    <n v="1520"/>
    <s v="VENDA INTERNA MT - CONVENIENCIA"/>
    <s v="KID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T"/>
    <n v="1520"/>
    <s v="VENDA INTERNA MT - CONVENIENCIA"/>
    <s v="LANCH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T"/>
    <n v="1520"/>
    <s v="VENDA INTERNA MT - CONVENIENCIA"/>
    <s v="MAIS GRANEL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T"/>
    <n v="1520"/>
    <s v="VENDA INTERNA MT - CONVENIENCIA"/>
    <s v="NATURATT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T"/>
    <n v="1520"/>
    <s v="VENDA INTERNA MT - CONVENIENCIA"/>
    <s v="REEMBALADO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T"/>
    <n v="1520"/>
    <s v="VENDA INTERNA MT - CONVENIENCIA"/>
    <s v="S GLUTEN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T"/>
    <n v="1520"/>
    <s v="VENDA INTERNA MT - CONVENIENCIA"/>
    <s v="SABORES DO CAMP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T"/>
    <n v="1520"/>
    <s v="VENDA INTERNA MT - CONVENIENCIA"/>
    <s v="SAL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T"/>
    <n v="1520"/>
    <s v="VENDA INTERNA MT - CONVENIENCIA"/>
    <s v="SOULPR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T"/>
    <n v="1520"/>
    <s v="VENDA INTERNA MT - CONVENIENCIA"/>
    <s v="TAMAR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T"/>
    <n v="1520"/>
    <s v="VENDA INTERNA MT - CONVENIENCIA"/>
    <s v="VICCI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n v="1"/>
    <s v="GO"/>
    <n v="1521"/>
    <s v="VENDA INTERNA GO - CONVENIENCIA"/>
    <s v="1. TOTAL - VENDA INTERNA GO - CONVENIENCI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GO"/>
    <n v="1521"/>
    <s v="VENDA INTERNA GO - CONVENIENCIA"/>
    <s v="BISCOIT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GO"/>
    <n v="1521"/>
    <s v="VENDA INTERNA GO - CONVENIENCIA"/>
    <s v="CHOCOLAT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GO"/>
    <n v="1521"/>
    <s v="VENDA INTERNA GO - CONVENIENCIA"/>
    <s v="DISNEY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GO"/>
    <n v="1521"/>
    <s v="VENDA INTERNA GO - CONVENIENCIA"/>
    <s v="DOC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GO"/>
    <n v="1521"/>
    <s v="VENDA INTERNA GO - CONVENIENCIA"/>
    <s v="GELEI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GO"/>
    <n v="1521"/>
    <s v="VENDA INTERNA GO - CONVENIENCIA"/>
    <s v="GRANOL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GO"/>
    <n v="1521"/>
    <s v="VENDA INTERNA GO - CONVENIENCIA"/>
    <s v="KID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GO"/>
    <n v="1521"/>
    <s v="VENDA INTERNA GO - CONVENIENCIA"/>
    <s v="LANCH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GO"/>
    <n v="1521"/>
    <s v="VENDA INTERNA GO - CONVENIENCIA"/>
    <s v="MAIS GRANEL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GO"/>
    <n v="1521"/>
    <s v="VENDA INTERNA GO - CONVENIENCIA"/>
    <s v="NATURATT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GO"/>
    <n v="1521"/>
    <s v="VENDA INTERNA GO - CONVENIENCIA"/>
    <s v="REEMBALADO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GO"/>
    <n v="1521"/>
    <s v="VENDA INTERNA GO - CONVENIENCIA"/>
    <s v="S GLUTEN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GO"/>
    <n v="1521"/>
    <s v="VENDA INTERNA GO - CONVENIENCIA"/>
    <s v="SABORES DO CAMP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GO"/>
    <n v="1521"/>
    <s v="VENDA INTERNA GO - CONVENIENCIA"/>
    <s v="SAL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GO"/>
    <n v="1521"/>
    <s v="VENDA INTERNA GO - CONVENIENCIA"/>
    <s v="SOULPR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GO"/>
    <n v="1521"/>
    <s v="VENDA INTERNA GO - CONVENIENCIA"/>
    <s v="TAMAR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GO"/>
    <n v="1521"/>
    <s v="VENDA INTERNA GO - CONVENIENCIA"/>
    <s v="VICCI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n v="1"/>
    <s v="ES"/>
    <n v="1522"/>
    <s v="VENDA INTERNA ES - CONVENIENCIA"/>
    <s v="1. TOTAL - VENDA INTERNA ES - CONVENIENCI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ES"/>
    <n v="1522"/>
    <s v="VENDA INTERNA ES - CONVENIENCIA"/>
    <s v="BISCOIT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ES"/>
    <n v="1522"/>
    <s v="VENDA INTERNA ES - CONVENIENCIA"/>
    <s v="CHOCOLAT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ES"/>
    <n v="1522"/>
    <s v="VENDA INTERNA ES - CONVENIENCIA"/>
    <s v="DISNEY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ES"/>
    <n v="1522"/>
    <s v="VENDA INTERNA ES - CONVENIENCIA"/>
    <s v="DOC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ES"/>
    <n v="1522"/>
    <s v="VENDA INTERNA ES - CONVENIENCIA"/>
    <s v="GELEI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ES"/>
    <n v="1522"/>
    <s v="VENDA INTERNA ES - CONVENIENCIA"/>
    <s v="GRANOL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ES"/>
    <n v="1522"/>
    <s v="VENDA INTERNA ES - CONVENIENCIA"/>
    <s v="KID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ES"/>
    <n v="1522"/>
    <s v="VENDA INTERNA ES - CONVENIENCIA"/>
    <s v="LANCH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ES"/>
    <n v="1522"/>
    <s v="VENDA INTERNA ES - CONVENIENCIA"/>
    <s v="MAIS GRANEL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ES"/>
    <n v="1522"/>
    <s v="VENDA INTERNA ES - CONVENIENCIA"/>
    <s v="NATURATT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ES"/>
    <n v="1522"/>
    <s v="VENDA INTERNA ES - CONVENIENCIA"/>
    <s v="REEMBALADO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ES"/>
    <n v="1522"/>
    <s v="VENDA INTERNA ES - CONVENIENCIA"/>
    <s v="S GLUTEN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ES"/>
    <n v="1522"/>
    <s v="VENDA INTERNA ES - CONVENIENCIA"/>
    <s v="SABORES DO CAMP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ES"/>
    <n v="1522"/>
    <s v="VENDA INTERNA ES - CONVENIENCIA"/>
    <s v="SAL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ES"/>
    <n v="1522"/>
    <s v="VENDA INTERNA ES - CONVENIENCIA"/>
    <s v="SOULPR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ES"/>
    <n v="1522"/>
    <s v="VENDA INTERNA ES - CONVENIENCIA"/>
    <s v="TAMAR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ES"/>
    <n v="1522"/>
    <s v="VENDA INTERNA ES - CONVENIENCIA"/>
    <s v="VICCI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n v="1"/>
    <s v="RJ"/>
    <n v="1523"/>
    <s v="VENDA INTERNA RJ - CONVENIENCIA"/>
    <s v="1. TOTAL - VENDA INTERNA RJ - CONVENIENCI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J"/>
    <n v="1523"/>
    <s v="VENDA INTERNA RJ - CONVENIENCIA"/>
    <s v="BISCOIT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J"/>
    <n v="1523"/>
    <s v="VENDA INTERNA RJ - CONVENIENCIA"/>
    <s v="CHOCOLAT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J"/>
    <n v="1523"/>
    <s v="VENDA INTERNA RJ - CONVENIENCIA"/>
    <s v="DISNEY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J"/>
    <n v="1523"/>
    <s v="VENDA INTERNA RJ - CONVENIENCIA"/>
    <s v="DOC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J"/>
    <n v="1523"/>
    <s v="VENDA INTERNA RJ - CONVENIENCIA"/>
    <s v="GELEI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J"/>
    <n v="1523"/>
    <s v="VENDA INTERNA RJ - CONVENIENCIA"/>
    <s v="GRANOL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J"/>
    <n v="1523"/>
    <s v="VENDA INTERNA RJ - CONVENIENCIA"/>
    <s v="KID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J"/>
    <n v="1523"/>
    <s v="VENDA INTERNA RJ - CONVENIENCIA"/>
    <s v="LANCH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J"/>
    <n v="1523"/>
    <s v="VENDA INTERNA RJ - CONVENIENCIA"/>
    <s v="MAIS GRANEL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J"/>
    <n v="1523"/>
    <s v="VENDA INTERNA RJ - CONVENIENCIA"/>
    <s v="NATURATT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J"/>
    <n v="1523"/>
    <s v="VENDA INTERNA RJ - CONVENIENCIA"/>
    <s v="REEMBALADO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J"/>
    <n v="1523"/>
    <s v="VENDA INTERNA RJ - CONVENIENCIA"/>
    <s v="S GLUTEN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J"/>
    <n v="1523"/>
    <s v="VENDA INTERNA RJ - CONVENIENCIA"/>
    <s v="SABORES DO CAMP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J"/>
    <n v="1523"/>
    <s v="VENDA INTERNA RJ - CONVENIENCIA"/>
    <s v="SAL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J"/>
    <n v="1523"/>
    <s v="VENDA INTERNA RJ - CONVENIENCIA"/>
    <s v="SOULPR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J"/>
    <n v="1523"/>
    <s v="VENDA INTERNA RJ - CONVENIENCIA"/>
    <s v="TAMAR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J"/>
    <n v="1523"/>
    <s v="VENDA INTERNA RJ - CONVENIENCIA"/>
    <s v="VICCI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n v="1"/>
    <s v="MG"/>
    <n v="1524"/>
    <s v="VENDA INTERNA MG - CONVENIENCIA"/>
    <s v="1. TOTAL - VENDA INTERNA MG - CONVENIENCIA"/>
    <n v="0"/>
    <n v="0"/>
    <n v="0"/>
    <n v="2400"/>
    <n v="2400"/>
    <n v="3200"/>
    <n v="4000"/>
    <n v="4800"/>
    <n v="5600"/>
    <n v="6400"/>
    <n v="7200"/>
    <n v="7200"/>
    <n v="4320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G"/>
    <n v="1524"/>
    <s v="VENDA INTERNA MG - CONVENIENCIA"/>
    <s v="BISCOITO"/>
    <n v="0"/>
    <n v="0"/>
    <n v="0"/>
    <n v="240"/>
    <n v="240"/>
    <n v="320"/>
    <n v="400"/>
    <n v="480"/>
    <n v="560"/>
    <n v="640"/>
    <n v="720"/>
    <n v="720"/>
    <n v="432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G"/>
    <n v="1524"/>
    <s v="VENDA INTERNA MG - CONVENIENCIA"/>
    <s v="CHOCOLATES"/>
    <n v="0"/>
    <n v="0"/>
    <n v="0"/>
    <n v="600"/>
    <n v="600"/>
    <n v="800"/>
    <n v="1000"/>
    <n v="1200"/>
    <n v="1400"/>
    <n v="1600"/>
    <n v="1800"/>
    <n v="1800"/>
    <n v="1080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G"/>
    <n v="1524"/>
    <s v="VENDA INTERNA MG - CONVENIENCIA"/>
    <s v="DISNEY"/>
    <n v="0"/>
    <n v="0"/>
    <n v="0"/>
    <n v="360"/>
    <n v="360"/>
    <n v="480"/>
    <n v="600"/>
    <n v="720"/>
    <n v="840"/>
    <n v="960"/>
    <n v="1080"/>
    <n v="1080"/>
    <n v="648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G"/>
    <n v="1524"/>
    <s v="VENDA INTERNA MG - CONVENIENCIA"/>
    <s v="DOCES"/>
    <n v="0"/>
    <n v="0"/>
    <n v="0"/>
    <n v="48"/>
    <n v="48"/>
    <n v="64"/>
    <n v="80"/>
    <n v="96"/>
    <n v="112"/>
    <n v="128"/>
    <n v="144"/>
    <n v="144"/>
    <n v="864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G"/>
    <n v="1524"/>
    <s v="VENDA INTERNA MG - CONVENIENCIA"/>
    <s v="GELEIA"/>
    <n v="0"/>
    <n v="0"/>
    <n v="0"/>
    <n v="24"/>
    <n v="24"/>
    <n v="32"/>
    <n v="40"/>
    <n v="48"/>
    <n v="56"/>
    <n v="64"/>
    <n v="72"/>
    <n v="72"/>
    <n v="432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G"/>
    <n v="1524"/>
    <s v="VENDA INTERNA MG - CONVENIENCIA"/>
    <s v="GRANOLA"/>
    <n v="0"/>
    <n v="0"/>
    <n v="0"/>
    <n v="24"/>
    <n v="24"/>
    <n v="32"/>
    <n v="40"/>
    <n v="48"/>
    <n v="56"/>
    <n v="64"/>
    <n v="72"/>
    <n v="72"/>
    <n v="432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G"/>
    <n v="1524"/>
    <s v="VENDA INTERNA MG - CONVENIENCIA"/>
    <s v="KIDS"/>
    <n v="0"/>
    <n v="0"/>
    <n v="0"/>
    <n v="24"/>
    <n v="24"/>
    <n v="32"/>
    <n v="40"/>
    <n v="48"/>
    <n v="56"/>
    <n v="64"/>
    <n v="72"/>
    <n v="72"/>
    <n v="432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G"/>
    <n v="1524"/>
    <s v="VENDA INTERNA MG - CONVENIENCIA"/>
    <s v="LANCHES"/>
    <n v="0"/>
    <n v="0"/>
    <n v="0"/>
    <n v="144"/>
    <n v="144"/>
    <n v="192"/>
    <n v="240"/>
    <n v="288"/>
    <n v="336"/>
    <n v="384"/>
    <n v="432"/>
    <n v="432"/>
    <n v="2592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G"/>
    <n v="1524"/>
    <s v="VENDA INTERNA MG - CONVENIENCIA"/>
    <s v="MAIS GRANEL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G"/>
    <n v="1524"/>
    <s v="VENDA INTERNA MG - CONVENIENCIA"/>
    <s v="NATURATTA"/>
    <n v="0"/>
    <n v="0"/>
    <n v="0"/>
    <n v="240"/>
    <n v="240"/>
    <n v="320"/>
    <n v="400"/>
    <n v="480"/>
    <n v="560"/>
    <n v="640"/>
    <n v="720"/>
    <n v="720"/>
    <n v="432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G"/>
    <n v="1524"/>
    <s v="VENDA INTERNA MG - CONVENIENCIA"/>
    <s v="REEMBALADOS"/>
    <n v="0"/>
    <n v="0"/>
    <n v="0"/>
    <n v="24"/>
    <n v="24"/>
    <n v="32"/>
    <n v="40"/>
    <n v="48"/>
    <n v="56"/>
    <n v="64"/>
    <n v="72"/>
    <n v="72"/>
    <n v="432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G"/>
    <n v="1524"/>
    <s v="VENDA INTERNA MG - CONVENIENCIA"/>
    <s v="S GLUTEN"/>
    <n v="0"/>
    <n v="0"/>
    <n v="0"/>
    <n v="24"/>
    <n v="24"/>
    <n v="32"/>
    <n v="40"/>
    <n v="48"/>
    <n v="56"/>
    <n v="64"/>
    <n v="72"/>
    <n v="72"/>
    <n v="432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G"/>
    <n v="1524"/>
    <s v="VENDA INTERNA MG - CONVENIENCIA"/>
    <s v="SABORES DO CAMP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G"/>
    <n v="1524"/>
    <s v="VENDA INTERNA MG - CONVENIENCIA"/>
    <s v="SAL"/>
    <n v="0"/>
    <n v="0"/>
    <n v="0"/>
    <n v="24"/>
    <n v="24"/>
    <n v="32"/>
    <n v="40"/>
    <n v="48"/>
    <n v="56"/>
    <n v="64"/>
    <n v="72"/>
    <n v="72"/>
    <n v="432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G"/>
    <n v="1524"/>
    <s v="VENDA INTERNA MG - CONVENIENCIA"/>
    <s v="SOULPRO"/>
    <n v="0"/>
    <n v="0"/>
    <n v="0"/>
    <n v="360"/>
    <n v="360"/>
    <n v="480"/>
    <n v="600"/>
    <n v="720"/>
    <n v="840"/>
    <n v="960"/>
    <n v="1080"/>
    <n v="1080"/>
    <n v="648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G"/>
    <n v="1524"/>
    <s v="VENDA INTERNA MG - CONVENIENCIA"/>
    <s v="TAMARA"/>
    <n v="0"/>
    <n v="0"/>
    <n v="0"/>
    <n v="24"/>
    <n v="24"/>
    <n v="32"/>
    <n v="40"/>
    <n v="48"/>
    <n v="56"/>
    <n v="64"/>
    <n v="72"/>
    <n v="72"/>
    <n v="432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G"/>
    <n v="1524"/>
    <s v="VENDA INTERNA MG - CONVENIENCIA"/>
    <s v="VICCIO"/>
    <n v="0"/>
    <n v="0"/>
    <n v="0"/>
    <n v="240"/>
    <n v="240"/>
    <n v="320"/>
    <n v="400"/>
    <n v="480"/>
    <n v="560"/>
    <n v="640"/>
    <n v="720"/>
    <n v="720"/>
    <n v="4320"/>
    <m/>
    <m/>
    <m/>
    <m/>
    <m/>
    <m/>
    <m/>
    <m/>
    <m/>
    <m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n v="1"/>
    <s v="SP"/>
    <n v="1525"/>
    <s v="VENDA INTERNA SP CAPITAL - CONVENIENCIA"/>
    <s v="1. TOTAL - VENDA INTERNA SP CAPITAL - CONVENIENCIA"/>
    <n v="0"/>
    <n v="0"/>
    <n v="0"/>
    <n v="2400"/>
    <n v="2400"/>
    <n v="3200"/>
    <n v="4000"/>
    <n v="4800"/>
    <n v="5600"/>
    <n v="6400"/>
    <n v="7200"/>
    <n v="7200"/>
    <n v="4320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P"/>
    <n v="1525"/>
    <s v="VENDA INTERNA SP CAPITAL - CONVENIENCIA"/>
    <s v="BISCOITO"/>
    <n v="0"/>
    <n v="0"/>
    <n v="0"/>
    <n v="240"/>
    <n v="240"/>
    <n v="320"/>
    <n v="400"/>
    <n v="480"/>
    <n v="560"/>
    <n v="640"/>
    <n v="720"/>
    <n v="720"/>
    <n v="432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P"/>
    <n v="1525"/>
    <s v="VENDA INTERNA SP CAPITAL - CONVENIENCIA"/>
    <s v="CHOCOLATES"/>
    <n v="0"/>
    <n v="0"/>
    <n v="0"/>
    <n v="600"/>
    <n v="600"/>
    <n v="800"/>
    <n v="1000"/>
    <n v="1200"/>
    <n v="1400"/>
    <n v="1600"/>
    <n v="1800"/>
    <n v="1800"/>
    <n v="1080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P"/>
    <n v="1525"/>
    <s v="VENDA INTERNA SP CAPITAL - CONVENIENCIA"/>
    <s v="DISNEY"/>
    <n v="0"/>
    <n v="0"/>
    <n v="0"/>
    <n v="360"/>
    <n v="360"/>
    <n v="480"/>
    <n v="600"/>
    <n v="720"/>
    <n v="840"/>
    <n v="960"/>
    <n v="1080"/>
    <n v="1080"/>
    <n v="648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P"/>
    <n v="1525"/>
    <s v="VENDA INTERNA SP CAPITAL - CONVENIENCIA"/>
    <s v="DOCES"/>
    <n v="0"/>
    <n v="0"/>
    <n v="0"/>
    <n v="48"/>
    <n v="48"/>
    <n v="64"/>
    <n v="80"/>
    <n v="96"/>
    <n v="112"/>
    <n v="128"/>
    <n v="144"/>
    <n v="144"/>
    <n v="864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P"/>
    <n v="1525"/>
    <s v="VENDA INTERNA SP CAPITAL - CONVENIENCIA"/>
    <s v="GELEIA"/>
    <n v="0"/>
    <n v="0"/>
    <n v="0"/>
    <n v="24"/>
    <n v="24"/>
    <n v="32"/>
    <n v="40"/>
    <n v="48"/>
    <n v="56"/>
    <n v="64"/>
    <n v="72"/>
    <n v="72"/>
    <n v="432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P"/>
    <n v="1525"/>
    <s v="VENDA INTERNA SP CAPITAL - CONVENIENCIA"/>
    <s v="GRANOLA"/>
    <n v="0"/>
    <n v="0"/>
    <n v="0"/>
    <n v="24"/>
    <n v="24"/>
    <n v="32"/>
    <n v="40"/>
    <n v="48"/>
    <n v="56"/>
    <n v="64"/>
    <n v="72"/>
    <n v="72"/>
    <n v="432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P"/>
    <n v="1525"/>
    <s v="VENDA INTERNA SP CAPITAL - CONVENIENCIA"/>
    <s v="KIDS"/>
    <n v="0"/>
    <n v="0"/>
    <n v="0"/>
    <n v="24"/>
    <n v="24"/>
    <n v="32"/>
    <n v="40"/>
    <n v="48"/>
    <n v="56"/>
    <n v="64"/>
    <n v="72"/>
    <n v="72"/>
    <n v="432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P"/>
    <n v="1525"/>
    <s v="VENDA INTERNA SP CAPITAL - CONVENIENCIA"/>
    <s v="LANCHES"/>
    <n v="0"/>
    <n v="0"/>
    <n v="0"/>
    <n v="144"/>
    <n v="144"/>
    <n v="192"/>
    <n v="240"/>
    <n v="288"/>
    <n v="336"/>
    <n v="384"/>
    <n v="432"/>
    <n v="432"/>
    <n v="2592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P"/>
    <n v="1525"/>
    <s v="VENDA INTERNA SP CAPITAL - CONVENIENCIA"/>
    <s v="MAIS GRANEL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P"/>
    <n v="1525"/>
    <s v="VENDA INTERNA SP CAPITAL - CONVENIENCIA"/>
    <s v="NATURATTA"/>
    <n v="0"/>
    <n v="0"/>
    <n v="0"/>
    <n v="240"/>
    <n v="240"/>
    <n v="320"/>
    <n v="400"/>
    <n v="480"/>
    <n v="560"/>
    <n v="640"/>
    <n v="720"/>
    <n v="720"/>
    <n v="432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P"/>
    <n v="1525"/>
    <s v="VENDA INTERNA SP CAPITAL - CONVENIENCIA"/>
    <s v="REEMBALADOS"/>
    <n v="0"/>
    <n v="0"/>
    <n v="0"/>
    <n v="24"/>
    <n v="24"/>
    <n v="32"/>
    <n v="40"/>
    <n v="48"/>
    <n v="56"/>
    <n v="64"/>
    <n v="72"/>
    <n v="72"/>
    <n v="432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P"/>
    <n v="1525"/>
    <s v="VENDA INTERNA SP CAPITAL - CONVENIENCIA"/>
    <s v="S GLUTEN"/>
    <n v="0"/>
    <n v="0"/>
    <n v="0"/>
    <n v="24"/>
    <n v="24"/>
    <n v="32"/>
    <n v="40"/>
    <n v="48"/>
    <n v="56"/>
    <n v="64"/>
    <n v="72"/>
    <n v="72"/>
    <n v="432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P"/>
    <n v="1525"/>
    <s v="VENDA INTERNA SP CAPITAL - CONVENIENCIA"/>
    <s v="SABORES DO CAMP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P"/>
    <n v="1525"/>
    <s v="VENDA INTERNA SP CAPITAL - CONVENIENCIA"/>
    <s v="SAL"/>
    <n v="0"/>
    <n v="0"/>
    <n v="0"/>
    <n v="24"/>
    <n v="24"/>
    <n v="32"/>
    <n v="40"/>
    <n v="48"/>
    <n v="56"/>
    <n v="64"/>
    <n v="72"/>
    <n v="72"/>
    <n v="432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P"/>
    <n v="1525"/>
    <s v="VENDA INTERNA SP CAPITAL - CONVENIENCIA"/>
    <s v="SOULPRO"/>
    <n v="0"/>
    <n v="0"/>
    <n v="0"/>
    <n v="360"/>
    <n v="360"/>
    <n v="480"/>
    <n v="600"/>
    <n v="720"/>
    <n v="840"/>
    <n v="960"/>
    <n v="1080"/>
    <n v="1080"/>
    <n v="648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P"/>
    <n v="1525"/>
    <s v="VENDA INTERNA SP CAPITAL - CONVENIENCIA"/>
    <s v="TAMARA"/>
    <n v="0"/>
    <n v="0"/>
    <n v="0"/>
    <n v="24"/>
    <n v="24"/>
    <n v="32"/>
    <n v="40"/>
    <n v="48"/>
    <n v="56"/>
    <n v="64"/>
    <n v="72"/>
    <n v="72"/>
    <n v="432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P"/>
    <n v="1525"/>
    <s v="VENDA INTERNA SP CAPITAL - CONVENIENCIA"/>
    <s v="VICCIO"/>
    <n v="0"/>
    <n v="0"/>
    <n v="0"/>
    <n v="240"/>
    <n v="240"/>
    <n v="320"/>
    <n v="400"/>
    <n v="480"/>
    <n v="560"/>
    <n v="640"/>
    <n v="720"/>
    <n v="720"/>
    <n v="4320"/>
    <m/>
    <m/>
    <m/>
    <m/>
    <m/>
    <m/>
    <m/>
    <m/>
    <m/>
    <m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n v="1"/>
    <s v="SP"/>
    <n v="1526"/>
    <s v="VENDA INTERNA SP INTERIOR - CONVENIENCIA"/>
    <s v="1. TOTAL - VENDA INTERNA SP INTERIOR - CONVENIENCI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P"/>
    <n v="1526"/>
    <s v="VENDA INTERNA SP INTERIOR - CONVENIENCIA"/>
    <s v="BISCOIT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P"/>
    <n v="1526"/>
    <s v="VENDA INTERNA SP INTERIOR - CONVENIENCIA"/>
    <s v="CHOCOLAT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P"/>
    <n v="1526"/>
    <s v="VENDA INTERNA SP INTERIOR - CONVENIENCIA"/>
    <s v="DISNEY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P"/>
    <n v="1526"/>
    <s v="VENDA INTERNA SP INTERIOR - CONVENIENCIA"/>
    <s v="DOC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P"/>
    <n v="1526"/>
    <s v="VENDA INTERNA SP INTERIOR - CONVENIENCIA"/>
    <s v="GELEI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P"/>
    <n v="1526"/>
    <s v="VENDA INTERNA SP INTERIOR - CONVENIENCIA"/>
    <s v="GRANOL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P"/>
    <n v="1526"/>
    <s v="VENDA INTERNA SP INTERIOR - CONVENIENCIA"/>
    <s v="KID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P"/>
    <n v="1526"/>
    <s v="VENDA INTERNA SP INTERIOR - CONVENIENCIA"/>
    <s v="LANCH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P"/>
    <n v="1526"/>
    <s v="VENDA INTERNA SP INTERIOR - CONVENIENCIA"/>
    <s v="MAIS GRANEL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P"/>
    <n v="1526"/>
    <s v="VENDA INTERNA SP INTERIOR - CONVENIENCIA"/>
    <s v="NATURATT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P"/>
    <n v="1526"/>
    <s v="VENDA INTERNA SP INTERIOR - CONVENIENCIA"/>
    <s v="REEMBALADO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P"/>
    <n v="1526"/>
    <s v="VENDA INTERNA SP INTERIOR - CONVENIENCIA"/>
    <s v="S GLUTEN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P"/>
    <n v="1526"/>
    <s v="VENDA INTERNA SP INTERIOR - CONVENIENCIA"/>
    <s v="SABORES DO CAMP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P"/>
    <n v="1526"/>
    <s v="VENDA INTERNA SP INTERIOR - CONVENIENCIA"/>
    <s v="SAL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P"/>
    <n v="1526"/>
    <s v="VENDA INTERNA SP INTERIOR - CONVENIENCIA"/>
    <s v="SOULPR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P"/>
    <n v="1526"/>
    <s v="VENDA INTERNA SP INTERIOR - CONVENIENCIA"/>
    <s v="TAMAR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P"/>
    <n v="1526"/>
    <s v="VENDA INTERNA SP INTERIOR - CONVENIENCIA"/>
    <s v="VICCI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n v="1"/>
    <s v="RS"/>
    <n v="1528"/>
    <s v="VENDA INTERNA RS - CONVENIENCIA"/>
    <s v="1. TOTAL - VENDA INTERNA RS - CONVENIENCIA"/>
    <n v="0"/>
    <n v="0"/>
    <n v="0"/>
    <n v="3200"/>
    <n v="4000"/>
    <n v="5600"/>
    <n v="6400"/>
    <n v="8000"/>
    <n v="8800"/>
    <n v="9600"/>
    <n v="11200"/>
    <n v="12000"/>
    <n v="6880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S"/>
    <n v="1528"/>
    <s v="VENDA INTERNA RS - CONVENIENCIA"/>
    <s v="BISCOITO"/>
    <n v="0"/>
    <n v="0"/>
    <n v="0"/>
    <n v="320"/>
    <n v="400"/>
    <n v="560"/>
    <n v="640"/>
    <n v="800"/>
    <n v="880"/>
    <n v="960"/>
    <n v="1120"/>
    <n v="1200"/>
    <n v="688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S"/>
    <n v="1528"/>
    <s v="VENDA INTERNA RS - CONVENIENCIA"/>
    <s v="CHOCOLATES"/>
    <n v="0"/>
    <n v="0"/>
    <n v="0"/>
    <n v="800"/>
    <n v="1000"/>
    <n v="1400"/>
    <n v="1600"/>
    <n v="2000"/>
    <n v="2200"/>
    <n v="2400"/>
    <n v="2800"/>
    <n v="3000"/>
    <n v="1720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S"/>
    <n v="1528"/>
    <s v="VENDA INTERNA RS - CONVENIENCIA"/>
    <s v="DISNEY"/>
    <n v="0"/>
    <n v="0"/>
    <n v="0"/>
    <n v="480"/>
    <n v="600"/>
    <n v="840"/>
    <n v="960"/>
    <n v="1200"/>
    <n v="1320"/>
    <n v="1440"/>
    <n v="1680"/>
    <n v="1800"/>
    <n v="1032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S"/>
    <n v="1528"/>
    <s v="VENDA INTERNA RS - CONVENIENCIA"/>
    <s v="DOCES"/>
    <n v="0"/>
    <n v="0"/>
    <n v="0"/>
    <n v="64"/>
    <n v="80"/>
    <n v="112"/>
    <n v="128"/>
    <n v="160"/>
    <n v="176"/>
    <n v="192"/>
    <n v="224"/>
    <n v="240"/>
    <n v="1376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S"/>
    <n v="1528"/>
    <s v="VENDA INTERNA RS - CONVENIENCIA"/>
    <s v="GELEIA"/>
    <n v="0"/>
    <n v="0"/>
    <n v="0"/>
    <n v="32"/>
    <n v="40"/>
    <n v="56"/>
    <n v="64"/>
    <n v="80"/>
    <n v="88"/>
    <n v="96"/>
    <n v="112"/>
    <n v="120"/>
    <n v="688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S"/>
    <n v="1528"/>
    <s v="VENDA INTERNA RS - CONVENIENCIA"/>
    <s v="GRANOLA"/>
    <n v="0"/>
    <n v="0"/>
    <n v="0"/>
    <n v="32"/>
    <n v="40"/>
    <n v="56"/>
    <n v="64"/>
    <n v="80"/>
    <n v="88"/>
    <n v="96"/>
    <n v="112"/>
    <n v="120"/>
    <n v="688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S"/>
    <n v="1528"/>
    <s v="VENDA INTERNA RS - CONVENIENCIA"/>
    <s v="KIDS"/>
    <n v="0"/>
    <n v="0"/>
    <n v="0"/>
    <n v="32"/>
    <n v="40"/>
    <n v="56"/>
    <n v="64"/>
    <n v="80"/>
    <n v="88"/>
    <n v="96"/>
    <n v="112"/>
    <n v="120"/>
    <n v="688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S"/>
    <n v="1528"/>
    <s v="VENDA INTERNA RS - CONVENIENCIA"/>
    <s v="LANCHES"/>
    <n v="0"/>
    <n v="0"/>
    <n v="0"/>
    <n v="192"/>
    <n v="240"/>
    <n v="336"/>
    <n v="384"/>
    <n v="480"/>
    <n v="528"/>
    <n v="576"/>
    <n v="672"/>
    <n v="720"/>
    <n v="4128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S"/>
    <n v="1528"/>
    <s v="VENDA INTERNA RS - CONVENIENCIA"/>
    <s v="MAIS GRANEL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S"/>
    <n v="1528"/>
    <s v="VENDA INTERNA RS - CONVENIENCIA"/>
    <s v="NATURATTA"/>
    <n v="0"/>
    <n v="0"/>
    <n v="0"/>
    <n v="320"/>
    <n v="400"/>
    <n v="560"/>
    <n v="640"/>
    <n v="800"/>
    <n v="880"/>
    <n v="960"/>
    <n v="1120"/>
    <n v="1200"/>
    <n v="688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S"/>
    <n v="1528"/>
    <s v="VENDA INTERNA RS - CONVENIENCIA"/>
    <s v="REEMBALADOS"/>
    <n v="0"/>
    <n v="0"/>
    <n v="0"/>
    <n v="32"/>
    <n v="40"/>
    <n v="56"/>
    <n v="64"/>
    <n v="80"/>
    <n v="88"/>
    <n v="96"/>
    <n v="112"/>
    <n v="120"/>
    <n v="688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S"/>
    <n v="1528"/>
    <s v="VENDA INTERNA RS - CONVENIENCIA"/>
    <s v="S GLUTEN"/>
    <n v="0"/>
    <n v="0"/>
    <n v="0"/>
    <n v="32"/>
    <n v="40"/>
    <n v="56"/>
    <n v="64"/>
    <n v="80"/>
    <n v="88"/>
    <n v="96"/>
    <n v="112"/>
    <n v="120"/>
    <n v="688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S"/>
    <n v="1528"/>
    <s v="VENDA INTERNA RS - CONVENIENCIA"/>
    <s v="SABORES DO CAMP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S"/>
    <n v="1528"/>
    <s v="VENDA INTERNA RS - CONVENIENCIA"/>
    <s v="SAL"/>
    <n v="0"/>
    <n v="0"/>
    <n v="0"/>
    <n v="32"/>
    <n v="40"/>
    <n v="56"/>
    <n v="64"/>
    <n v="80"/>
    <n v="88"/>
    <n v="96"/>
    <n v="112"/>
    <n v="120"/>
    <n v="688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S"/>
    <n v="1528"/>
    <s v="VENDA INTERNA RS - CONVENIENCIA"/>
    <s v="SOULPRO"/>
    <n v="0"/>
    <n v="0"/>
    <n v="0"/>
    <n v="480"/>
    <n v="600"/>
    <n v="840"/>
    <n v="960"/>
    <n v="1200"/>
    <n v="1320"/>
    <n v="1440"/>
    <n v="1680"/>
    <n v="1800"/>
    <n v="1032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S"/>
    <n v="1528"/>
    <s v="VENDA INTERNA RS - CONVENIENCIA"/>
    <s v="TAMARA"/>
    <n v="0"/>
    <n v="0"/>
    <n v="0"/>
    <n v="32"/>
    <n v="40"/>
    <n v="56"/>
    <n v="64"/>
    <n v="80"/>
    <n v="88"/>
    <n v="96"/>
    <n v="112"/>
    <n v="120"/>
    <n v="688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S"/>
    <n v="1528"/>
    <s v="VENDA INTERNA RS - CONVENIENCIA"/>
    <s v="VICCIO"/>
    <n v="0"/>
    <n v="0"/>
    <n v="0"/>
    <n v="320"/>
    <n v="400"/>
    <n v="560"/>
    <n v="640"/>
    <n v="800"/>
    <n v="880"/>
    <n v="960"/>
    <n v="1120"/>
    <n v="1200"/>
    <n v="6880"/>
    <m/>
    <m/>
    <m/>
    <m/>
    <m/>
    <m/>
    <m/>
    <m/>
    <m/>
    <m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n v="1"/>
    <s v="SC"/>
    <n v="1530"/>
    <s v="VENDA INTERNA SC - CONVENIENCIA"/>
    <s v="1. TOTAL - VENDA INTERNA SC - CONVENIENCIA"/>
    <n v="0"/>
    <n v="0"/>
    <n v="0"/>
    <n v="2400"/>
    <n v="2400"/>
    <n v="3200"/>
    <n v="4000"/>
    <n v="4800"/>
    <n v="5600"/>
    <n v="6400"/>
    <n v="7200"/>
    <n v="7200"/>
    <n v="4320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C"/>
    <n v="1530"/>
    <s v="VENDA INTERNA SC - CONVENIENCIA"/>
    <s v="BISCOITO"/>
    <n v="0"/>
    <n v="0"/>
    <n v="0"/>
    <n v="240"/>
    <n v="240"/>
    <n v="320"/>
    <n v="400"/>
    <n v="480"/>
    <n v="560"/>
    <n v="640"/>
    <n v="720"/>
    <n v="720"/>
    <n v="432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C"/>
    <n v="1530"/>
    <s v="VENDA INTERNA SC - CONVENIENCIA"/>
    <s v="CHOCOLATES"/>
    <n v="0"/>
    <n v="0"/>
    <n v="0"/>
    <n v="600"/>
    <n v="600"/>
    <n v="800"/>
    <n v="1000"/>
    <n v="1200"/>
    <n v="1400"/>
    <n v="1600"/>
    <n v="1800"/>
    <n v="1800"/>
    <n v="1080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C"/>
    <n v="1530"/>
    <s v="VENDA INTERNA SC - CONVENIENCIA"/>
    <s v="DISNEY"/>
    <n v="0"/>
    <n v="0"/>
    <n v="0"/>
    <n v="360"/>
    <n v="360"/>
    <n v="480"/>
    <n v="600"/>
    <n v="720"/>
    <n v="840"/>
    <n v="960"/>
    <n v="1080"/>
    <n v="1080"/>
    <n v="648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C"/>
    <n v="1530"/>
    <s v="VENDA INTERNA SC - CONVENIENCIA"/>
    <s v="DOCES"/>
    <n v="0"/>
    <n v="0"/>
    <n v="0"/>
    <n v="48"/>
    <n v="48"/>
    <n v="64"/>
    <n v="80"/>
    <n v="96"/>
    <n v="112"/>
    <n v="128"/>
    <n v="144"/>
    <n v="144"/>
    <n v="864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C"/>
    <n v="1530"/>
    <s v="VENDA INTERNA SC - CONVENIENCIA"/>
    <s v="GELEIA"/>
    <n v="0"/>
    <n v="0"/>
    <n v="0"/>
    <n v="24"/>
    <n v="24"/>
    <n v="32"/>
    <n v="40"/>
    <n v="48"/>
    <n v="56"/>
    <n v="64"/>
    <n v="72"/>
    <n v="72"/>
    <n v="432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C"/>
    <n v="1530"/>
    <s v="VENDA INTERNA SC - CONVENIENCIA"/>
    <s v="GRANOLA"/>
    <n v="0"/>
    <n v="0"/>
    <n v="0"/>
    <n v="24"/>
    <n v="24"/>
    <n v="32"/>
    <n v="40"/>
    <n v="48"/>
    <n v="56"/>
    <n v="64"/>
    <n v="72"/>
    <n v="72"/>
    <n v="432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C"/>
    <n v="1530"/>
    <s v="VENDA INTERNA SC - CONVENIENCIA"/>
    <s v="KIDS"/>
    <n v="0"/>
    <n v="0"/>
    <n v="0"/>
    <n v="24"/>
    <n v="24"/>
    <n v="32"/>
    <n v="40"/>
    <n v="48"/>
    <n v="56"/>
    <n v="64"/>
    <n v="72"/>
    <n v="72"/>
    <n v="432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C"/>
    <n v="1530"/>
    <s v="VENDA INTERNA SC - CONVENIENCIA"/>
    <s v="LANCHES"/>
    <n v="0"/>
    <n v="0"/>
    <n v="0"/>
    <n v="144"/>
    <n v="144"/>
    <n v="192"/>
    <n v="240"/>
    <n v="288"/>
    <n v="336"/>
    <n v="384"/>
    <n v="432"/>
    <n v="432"/>
    <n v="2592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C"/>
    <n v="1530"/>
    <s v="VENDA INTERNA SC - CONVENIENCIA"/>
    <s v="MAIS GRANEL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C"/>
    <n v="1530"/>
    <s v="VENDA INTERNA SC - CONVENIENCIA"/>
    <s v="NATURATTA"/>
    <n v="0"/>
    <n v="0"/>
    <n v="0"/>
    <n v="240"/>
    <n v="240"/>
    <n v="320"/>
    <n v="400"/>
    <n v="480"/>
    <n v="560"/>
    <n v="640"/>
    <n v="720"/>
    <n v="720"/>
    <n v="432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C"/>
    <n v="1530"/>
    <s v="VENDA INTERNA SC - CONVENIENCIA"/>
    <s v="REEMBALADOS"/>
    <n v="0"/>
    <n v="0"/>
    <n v="0"/>
    <n v="24"/>
    <n v="24"/>
    <n v="32"/>
    <n v="40"/>
    <n v="48"/>
    <n v="56"/>
    <n v="64"/>
    <n v="72"/>
    <n v="72"/>
    <n v="432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C"/>
    <n v="1530"/>
    <s v="VENDA INTERNA SC - CONVENIENCIA"/>
    <s v="S GLUTEN"/>
    <n v="0"/>
    <n v="0"/>
    <n v="0"/>
    <n v="24"/>
    <n v="24"/>
    <n v="32"/>
    <n v="40"/>
    <n v="48"/>
    <n v="56"/>
    <n v="64"/>
    <n v="72"/>
    <n v="72"/>
    <n v="432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C"/>
    <n v="1530"/>
    <s v="VENDA INTERNA SC - CONVENIENCIA"/>
    <s v="SABORES DO CAMP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C"/>
    <n v="1530"/>
    <s v="VENDA INTERNA SC - CONVENIENCIA"/>
    <s v="SAL"/>
    <n v="0"/>
    <n v="0"/>
    <n v="0"/>
    <n v="24"/>
    <n v="24"/>
    <n v="32"/>
    <n v="40"/>
    <n v="48"/>
    <n v="56"/>
    <n v="64"/>
    <n v="72"/>
    <n v="72"/>
    <n v="432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C"/>
    <n v="1530"/>
    <s v="VENDA INTERNA SC - CONVENIENCIA"/>
    <s v="SOULPRO"/>
    <n v="0"/>
    <n v="0"/>
    <n v="0"/>
    <n v="360"/>
    <n v="360"/>
    <n v="480"/>
    <n v="600"/>
    <n v="720"/>
    <n v="840"/>
    <n v="960"/>
    <n v="1080"/>
    <n v="1080"/>
    <n v="648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C"/>
    <n v="1530"/>
    <s v="VENDA INTERNA SC - CONVENIENCIA"/>
    <s v="TAMARA"/>
    <n v="0"/>
    <n v="0"/>
    <n v="0"/>
    <n v="24"/>
    <n v="24"/>
    <n v="32"/>
    <n v="40"/>
    <n v="48"/>
    <n v="56"/>
    <n v="64"/>
    <n v="72"/>
    <n v="72"/>
    <n v="432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C"/>
    <n v="1530"/>
    <s v="VENDA INTERNA SC - CONVENIENCIA"/>
    <s v="VICCIO"/>
    <n v="0"/>
    <n v="0"/>
    <n v="0"/>
    <n v="240"/>
    <n v="240"/>
    <n v="320"/>
    <n v="400"/>
    <n v="480"/>
    <n v="560"/>
    <n v="640"/>
    <n v="720"/>
    <n v="720"/>
    <n v="4320"/>
    <m/>
    <m/>
    <m/>
    <m/>
    <m/>
    <m/>
    <m/>
    <m/>
    <m/>
    <m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n v="1"/>
    <s v="AC"/>
    <n v="1532"/>
    <s v="VENDA INTERNA AC - CONVENIENCIA"/>
    <s v="1. TOTAL - VENDA INTERNA AC - CONVENIENCI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C"/>
    <n v="1532"/>
    <s v="VENDA INTERNA AC - CONVENIENCIA"/>
    <s v="BISCOIT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C"/>
    <n v="1532"/>
    <s v="VENDA INTERNA AC - CONVENIENCIA"/>
    <s v="CHOCOLAT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C"/>
    <n v="1532"/>
    <s v="VENDA INTERNA AC - CONVENIENCIA"/>
    <s v="DISNEY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C"/>
    <n v="1532"/>
    <s v="VENDA INTERNA AC - CONVENIENCIA"/>
    <s v="DOC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C"/>
    <n v="1532"/>
    <s v="VENDA INTERNA AC - CONVENIENCIA"/>
    <s v="GELEI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C"/>
    <n v="1532"/>
    <s v="VENDA INTERNA AC - CONVENIENCIA"/>
    <s v="GRANOL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C"/>
    <n v="1532"/>
    <s v="VENDA INTERNA AC - CONVENIENCIA"/>
    <s v="KID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C"/>
    <n v="1532"/>
    <s v="VENDA INTERNA AC - CONVENIENCIA"/>
    <s v="LANCH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C"/>
    <n v="1532"/>
    <s v="VENDA INTERNA AC - CONVENIENCIA"/>
    <s v="MAIS GRANEL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C"/>
    <n v="1532"/>
    <s v="VENDA INTERNA AC - CONVENIENCIA"/>
    <s v="NATURATT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C"/>
    <n v="1532"/>
    <s v="VENDA INTERNA AC - CONVENIENCIA"/>
    <s v="REEMBALADO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C"/>
    <n v="1532"/>
    <s v="VENDA INTERNA AC - CONVENIENCIA"/>
    <s v="S GLUTEN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C"/>
    <n v="1532"/>
    <s v="VENDA INTERNA AC - CONVENIENCIA"/>
    <s v="SABORES DO CAMP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C"/>
    <n v="1532"/>
    <s v="VENDA INTERNA AC - CONVENIENCIA"/>
    <s v="SAL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C"/>
    <n v="1532"/>
    <s v="VENDA INTERNA AC - CONVENIENCIA"/>
    <s v="SOULPR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C"/>
    <n v="1532"/>
    <s v="VENDA INTERNA AC - CONVENIENCIA"/>
    <s v="TAMAR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C"/>
    <n v="1532"/>
    <s v="VENDA INTERNA AC - CONVENIENCIA"/>
    <s v="VICCI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0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n v="1"/>
    <s v="AC"/>
    <n v="1533"/>
    <s v="_x0009_VENDA INTERNA AC"/>
    <s v="1. TOTAL - _x0009_VENDA INTERNA AC"/>
    <n v="0"/>
    <n v="0"/>
    <n v="0"/>
    <n v="1000"/>
    <n v="1000"/>
    <n v="1000"/>
    <n v="1000"/>
    <n v="1100"/>
    <n v="1100"/>
    <n v="1100"/>
    <n v="1100"/>
    <n v="1100"/>
    <n v="9500"/>
    <m/>
    <m/>
    <m/>
    <m/>
    <m/>
    <m/>
    <m/>
    <m/>
    <m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C"/>
    <n v="1533"/>
    <s v="_x0009_VENDA INTERNA AC"/>
    <s v="BISCOITO"/>
    <n v="0"/>
    <n v="0"/>
    <n v="0"/>
    <n v="50"/>
    <n v="50"/>
    <n v="50"/>
    <n v="50"/>
    <n v="55"/>
    <n v="55"/>
    <n v="55"/>
    <n v="55"/>
    <n v="55"/>
    <n v="475"/>
    <m/>
    <m/>
    <m/>
    <m/>
    <m/>
    <m/>
    <m/>
    <m/>
    <m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C"/>
    <n v="1533"/>
    <s v="_x0009_VENDA INTERNA AC"/>
    <s v="CHOCOLATES"/>
    <n v="0"/>
    <n v="0"/>
    <n v="0"/>
    <n v="50"/>
    <n v="50"/>
    <n v="50"/>
    <n v="50"/>
    <n v="55"/>
    <n v="55"/>
    <n v="55"/>
    <n v="55"/>
    <n v="55"/>
    <n v="475"/>
    <m/>
    <m/>
    <m/>
    <m/>
    <m/>
    <m/>
    <m/>
    <m/>
    <m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C"/>
    <n v="1533"/>
    <s v="_x0009_VENDA INTERNA AC"/>
    <s v="DISNEY"/>
    <n v="0"/>
    <n v="0"/>
    <n v="0"/>
    <n v="80"/>
    <n v="80"/>
    <n v="80"/>
    <n v="80"/>
    <n v="88"/>
    <n v="88"/>
    <n v="88"/>
    <n v="88"/>
    <n v="88"/>
    <n v="760"/>
    <m/>
    <m/>
    <m/>
    <m/>
    <m/>
    <m/>
    <m/>
    <m/>
    <m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C"/>
    <n v="1533"/>
    <s v="_x0009_VENDA INTERNA AC"/>
    <s v="DOCES"/>
    <n v="0"/>
    <n v="0"/>
    <n v="0"/>
    <n v="100"/>
    <n v="100"/>
    <n v="100"/>
    <n v="100"/>
    <n v="110"/>
    <n v="110"/>
    <n v="110"/>
    <n v="110"/>
    <n v="110"/>
    <n v="950"/>
    <m/>
    <m/>
    <m/>
    <m/>
    <m/>
    <m/>
    <m/>
    <m/>
    <m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C"/>
    <n v="1533"/>
    <s v="_x0009_VENDA INTERNA AC"/>
    <s v="GELEIA"/>
    <n v="0"/>
    <n v="0"/>
    <n v="0"/>
    <n v="19.999999999999996"/>
    <n v="19.999999999999996"/>
    <n v="19.999999999999996"/>
    <n v="19.999999999999996"/>
    <n v="21.999999999999996"/>
    <n v="21.999999999999996"/>
    <n v="21.999999999999996"/>
    <n v="21.999999999999996"/>
    <n v="21.999999999999996"/>
    <n v="189.99999999999997"/>
    <m/>
    <m/>
    <m/>
    <m/>
    <m/>
    <m/>
    <m/>
    <m/>
    <m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C"/>
    <n v="1533"/>
    <s v="_x0009_VENDA INTERNA AC"/>
    <s v="GRANOLA"/>
    <n v="0"/>
    <n v="0"/>
    <n v="0"/>
    <n v="20"/>
    <n v="20"/>
    <n v="20"/>
    <n v="20"/>
    <n v="22"/>
    <n v="22"/>
    <n v="22"/>
    <n v="22"/>
    <n v="22"/>
    <n v="190"/>
    <m/>
    <m/>
    <m/>
    <m/>
    <m/>
    <m/>
    <m/>
    <m/>
    <m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C"/>
    <n v="1533"/>
    <s v="_x0009_VENDA INTERNA AC"/>
    <s v="KIDS"/>
    <n v="0"/>
    <n v="0"/>
    <n v="0"/>
    <n v="20"/>
    <n v="20"/>
    <n v="20"/>
    <n v="20"/>
    <n v="22"/>
    <n v="22"/>
    <n v="22"/>
    <n v="22"/>
    <n v="22"/>
    <n v="190"/>
    <m/>
    <m/>
    <m/>
    <m/>
    <m/>
    <m/>
    <m/>
    <m/>
    <m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C"/>
    <n v="1533"/>
    <s v="_x0009_VENDA INTERNA AC"/>
    <s v="LANCHES"/>
    <n v="0"/>
    <n v="0"/>
    <n v="0"/>
    <n v="30"/>
    <n v="30"/>
    <n v="30"/>
    <n v="30"/>
    <n v="33"/>
    <n v="33"/>
    <n v="33"/>
    <n v="33"/>
    <n v="33"/>
    <n v="285"/>
    <m/>
    <m/>
    <m/>
    <m/>
    <m/>
    <m/>
    <m/>
    <m/>
    <m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C"/>
    <n v="1533"/>
    <s v="_x0009_VENDA INTERNA AC"/>
    <s v="MAIS GRANEL"/>
    <n v="0"/>
    <n v="0"/>
    <n v="0"/>
    <n v="250"/>
    <n v="250"/>
    <n v="250"/>
    <n v="250"/>
    <n v="275"/>
    <n v="275"/>
    <n v="275"/>
    <n v="275"/>
    <n v="275"/>
    <n v="2375"/>
    <m/>
    <m/>
    <m/>
    <m/>
    <m/>
    <m/>
    <m/>
    <m/>
    <m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C"/>
    <n v="1533"/>
    <s v="_x0009_VENDA INTERNA AC"/>
    <s v="NATURATTA"/>
    <n v="0"/>
    <n v="0"/>
    <n v="0"/>
    <n v="50"/>
    <n v="50"/>
    <n v="50"/>
    <n v="50"/>
    <n v="55"/>
    <n v="55"/>
    <n v="55"/>
    <n v="55"/>
    <n v="55"/>
    <n v="475"/>
    <m/>
    <m/>
    <m/>
    <m/>
    <m/>
    <m/>
    <m/>
    <m/>
    <m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C"/>
    <n v="1533"/>
    <s v="_x0009_VENDA INTERNA AC"/>
    <s v="REEMBALADOS"/>
    <n v="0"/>
    <n v="0"/>
    <n v="0"/>
    <n v="50"/>
    <n v="50"/>
    <n v="50"/>
    <n v="50"/>
    <n v="55"/>
    <n v="55"/>
    <n v="55"/>
    <n v="55"/>
    <n v="55"/>
    <n v="475"/>
    <m/>
    <m/>
    <m/>
    <m/>
    <m/>
    <m/>
    <m/>
    <m/>
    <m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C"/>
    <n v="1533"/>
    <s v="_x0009_VENDA INTERNA AC"/>
    <s v="S GLUTEN"/>
    <n v="0"/>
    <n v="0"/>
    <n v="0"/>
    <n v="50"/>
    <n v="50"/>
    <n v="50"/>
    <n v="50"/>
    <n v="55"/>
    <n v="55"/>
    <n v="55"/>
    <n v="55"/>
    <n v="55"/>
    <n v="475"/>
    <m/>
    <m/>
    <m/>
    <m/>
    <m/>
    <m/>
    <m/>
    <m/>
    <m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C"/>
    <n v="1533"/>
    <s v="_x0009_VENDA INTERNA AC"/>
    <s v="SABORES DO CAMP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C"/>
    <n v="1533"/>
    <s v="_x0009_VENDA INTERNA AC"/>
    <s v="SAL"/>
    <n v="0"/>
    <n v="0"/>
    <n v="0"/>
    <n v="70"/>
    <n v="70"/>
    <n v="70"/>
    <n v="70"/>
    <n v="77.000000000000014"/>
    <n v="77.000000000000014"/>
    <n v="77.000000000000014"/>
    <n v="77.000000000000014"/>
    <n v="77.000000000000014"/>
    <n v="665"/>
    <m/>
    <m/>
    <m/>
    <m/>
    <m/>
    <m/>
    <m/>
    <m/>
    <m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C"/>
    <n v="1533"/>
    <s v="_x0009_VENDA INTERNA AC"/>
    <s v="SOULPRO"/>
    <n v="0"/>
    <n v="0"/>
    <n v="0"/>
    <n v="49.999999999999993"/>
    <n v="49.999999999999993"/>
    <n v="49.999999999999993"/>
    <n v="49.999999999999993"/>
    <n v="54.999999999999993"/>
    <n v="54.999999999999993"/>
    <n v="54.999999999999993"/>
    <n v="54.999999999999993"/>
    <n v="54.999999999999993"/>
    <n v="474.99999999999994"/>
    <m/>
    <m/>
    <m/>
    <m/>
    <m/>
    <m/>
    <m/>
    <m/>
    <m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C"/>
    <n v="1533"/>
    <s v="_x0009_VENDA INTERNA AC"/>
    <s v="TAMARA"/>
    <n v="0"/>
    <n v="0"/>
    <n v="0"/>
    <n v="80"/>
    <n v="80"/>
    <n v="80"/>
    <n v="80"/>
    <n v="88"/>
    <n v="88"/>
    <n v="88"/>
    <n v="88"/>
    <n v="88"/>
    <n v="760"/>
    <m/>
    <m/>
    <m/>
    <m/>
    <m/>
    <m/>
    <m/>
    <m/>
    <m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C"/>
    <n v="1533"/>
    <s v="_x0009_VENDA INTERNA AC"/>
    <s v="VICCIO"/>
    <n v="0"/>
    <n v="0"/>
    <n v="0"/>
    <n v="30"/>
    <n v="30"/>
    <n v="30"/>
    <n v="30"/>
    <n v="33"/>
    <n v="33"/>
    <n v="33"/>
    <n v="33"/>
    <n v="33"/>
    <n v="285"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D7239A-9C1E-4CFE-BA3E-DB2AEB06C52A}" name="Tabela dinâmica3" cacheId="2" applyNumberFormats="0" applyBorderFormats="0" applyFontFormats="0" applyPatternFormats="0" applyAlignmentFormats="0" applyWidthHeightFormats="1" dataCaption="Valores" updatedVersion="8" minRefreshableVersion="3" itemPrintTitles="1" createdVersion="8" indent="0" multipleFieldFilters="0">
  <location ref="N3:X8" firstHeaderRow="0" firstDataRow="1" firstDataCol="1" rowPageCount="1" colPageCount="1"/>
  <pivotFields count="39">
    <pivotField axis="axisPage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numFmtId="1" showAll="0"/>
    <pivotField showAll="0"/>
    <pivotField multipleItemSelectionAllowed="1" showAll="0"/>
    <pivotField numFmtId="44" showAll="0"/>
    <pivotField numFmtId="44" showAll="0"/>
    <pivotField numFmtId="44" showAll="0"/>
    <pivotField dataField="1" numFmtId="44" showAll="0"/>
    <pivotField dataField="1" numFmtId="44" showAll="0"/>
    <pivotField dataField="1" numFmtId="44" showAll="0"/>
    <pivotField dataField="1" numFmtId="44" showAll="0"/>
    <pivotField dataField="1" numFmtId="44" showAll="0"/>
    <pivotField dataField="1" numFmtId="44" showAll="0"/>
    <pivotField dataField="1" numFmtId="44" showAll="0"/>
    <pivotField dataField="1" numFmtId="44" showAll="0"/>
    <pivotField dataField="1" numFmtId="44" showAll="0"/>
    <pivotField dataField="1" numFmtId="44" showAll="0"/>
    <pivotField numFmtId="164" showAll="0"/>
    <pivotField numFmtId="164" showAll="0"/>
    <pivotField showAll="0"/>
    <pivotField numFmtId="164" showAll="0"/>
    <pivotField numFmtId="164" showAll="0"/>
    <pivotField numFmtId="164" showAll="0"/>
    <pivotField showAll="0"/>
    <pivotField showAll="0"/>
    <pivotField showAll="0"/>
    <pivotField showAll="0"/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colItems>
  <pageFields count="1">
    <pageField fld="0" item="0" hier="-1"/>
  </pageFields>
  <dataFields count="10">
    <dataField name="Soma de ABR" fld="19" baseField="0" baseItem="0" numFmtId="44"/>
    <dataField name="Soma de MAI" fld="20" baseField="0" baseItem="0" numFmtId="44"/>
    <dataField name="Soma de JUN" fld="21" baseField="0" baseItem="0" numFmtId="44"/>
    <dataField name="Soma de JUL" fld="22" baseField="0" baseItem="0" numFmtId="44"/>
    <dataField name="Soma de AGO" fld="23" baseField="0" baseItem="0" numFmtId="44"/>
    <dataField name="Soma de SET" fld="24" baseField="0" baseItem="0" numFmtId="44"/>
    <dataField name="Soma de OUT" fld="25" baseField="0" baseItem="0" numFmtId="44"/>
    <dataField name="Soma de NOV" fld="26" baseField="0" baseItem="0" numFmtId="44"/>
    <dataField name="Soma de DEZ" fld="27" baseField="0" baseItem="0" numFmtId="44"/>
    <dataField name="Soma de TOTAL META" fld="28" baseField="0" baseItem="0" numFmtId="44"/>
  </dataFields>
  <formats count="11">
    <format dxfId="14">
      <pivotArea field="10" type="button" dataOnly="0" labelOnly="1" outline="0" axis="axisRow" fieldPosition="0"/>
    </format>
    <format dxfId="13">
      <pivotArea dataOnly="0" labelOnly="1" outline="0" axis="axisValues" fieldPosition="0"/>
    </format>
    <format dxfId="12">
      <pivotArea type="all" dataOnly="0" outline="0" fieldPosition="0"/>
    </format>
    <format dxfId="11">
      <pivotArea outline="0" collapsedLevelsAreSubtotals="1" fieldPosition="0"/>
    </format>
    <format dxfId="10">
      <pivotArea field="10" type="button" dataOnly="0" labelOnly="1" outline="0" axis="axisRow" fieldPosition="0"/>
    </format>
    <format dxfId="9">
      <pivotArea dataOnly="0" labelOnly="1" fieldPosition="0">
        <references count="1">
          <reference field="10" count="0"/>
        </references>
      </pivotArea>
    </format>
    <format dxfId="8">
      <pivotArea dataOnly="0" labelOnly="1" grandRow="1" outline="0" fieldPosition="0"/>
    </format>
    <format dxfId="7">
      <pivotArea dataOnly="0" labelOnly="1" outline="0" axis="axisValues" fieldPosition="0"/>
    </format>
    <format dxfId="6">
      <pivotArea dataOnly="0" labelOnly="1" outline="0" axis="axisValues" fieldPosition="0"/>
    </format>
    <format dxfId="5">
      <pivotArea field="10" type="button" dataOnly="0" labelOnly="1" outline="0" axis="axisRow" fieldPosition="0"/>
    </format>
    <format dxfId="4">
      <pivotArea dataOnly="0" labelOnly="1" outline="0" axis="axisValues" fieldPosition="0"/>
    </format>
  </formats>
  <pivotTableStyleInfo name="PivotStyleMedium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1587B5-8425-42A6-BD74-E1E3A4F596A1}" name="Tabela dinâ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23:C90" firstHeaderRow="0" firstDataRow="1" firstDataCol="1" rowPageCount="1" colPageCount="1"/>
  <pivotFields count="29">
    <pivotField axis="axisPage" multipleItemSelectionAllowe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sortType="ascending">
      <items count="28">
        <item x="26"/>
        <item x="25"/>
        <item x="13"/>
        <item x="0"/>
        <item x="7"/>
        <item x="2"/>
        <item x="14"/>
        <item x="18"/>
        <item x="17"/>
        <item x="8"/>
        <item x="20"/>
        <item x="15"/>
        <item x="16"/>
        <item x="12"/>
        <item x="5"/>
        <item x="4"/>
        <item x="3"/>
        <item x="23"/>
        <item x="19"/>
        <item x="1"/>
        <item x="10"/>
        <item x="11"/>
        <item x="22"/>
        <item x="24"/>
        <item x="6"/>
        <item x="21"/>
        <item x="9"/>
        <item t="default"/>
      </items>
    </pivotField>
    <pivotField axis="axisRow" numFmtId="1" showAll="0">
      <items count="6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t="default"/>
      </items>
    </pivotField>
    <pivotField showAll="0">
      <items count="67">
        <item x="29"/>
        <item x="31"/>
        <item x="30"/>
        <item x="32"/>
        <item x="26"/>
        <item x="27"/>
        <item x="28"/>
        <item x="34"/>
        <item x="33"/>
        <item x="35"/>
        <item x="36"/>
        <item x="51"/>
        <item x="13"/>
        <item x="52"/>
        <item x="0"/>
        <item x="38"/>
        <item x="7"/>
        <item x="45"/>
        <item x="2"/>
        <item x="40"/>
        <item x="14"/>
        <item x="53"/>
        <item x="18"/>
        <item x="57"/>
        <item x="17"/>
        <item x="56"/>
        <item x="8"/>
        <item x="46"/>
        <item x="20"/>
        <item x="59"/>
        <item x="15"/>
        <item x="54"/>
        <item x="16"/>
        <item x="55"/>
        <item x="12"/>
        <item x="50"/>
        <item x="5"/>
        <item x="44"/>
        <item x="4"/>
        <item x="42"/>
        <item x="3"/>
        <item x="41"/>
        <item x="24"/>
        <item x="37"/>
        <item x="19"/>
        <item x="58"/>
        <item x="1"/>
        <item x="39"/>
        <item x="10"/>
        <item x="48"/>
        <item x="11"/>
        <item x="49"/>
        <item x="23"/>
        <item x="62"/>
        <item x="25"/>
        <item x="63"/>
        <item x="6"/>
        <item x="43"/>
        <item x="21"/>
        <item x="60"/>
        <item x="22"/>
        <item x="61"/>
        <item x="9"/>
        <item x="47"/>
        <item x="64"/>
        <item x="65"/>
        <item t="default"/>
      </items>
    </pivotField>
    <pivotField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dataField="1" numFmtId="165" showAll="0"/>
    <pivotField dataField="1" numFmtId="165" showAll="0"/>
    <pivotField numFmtId="165" showAll="0"/>
    <pivotField numFmtId="165" showAll="0"/>
    <pivotField numFmtId="165" showAll="0"/>
    <pivotField numFmtId="165" showAll="0"/>
    <pivotField numFmtId="165" showAll="0"/>
  </pivotFields>
  <rowFields count="1">
    <field x="13"/>
  </rowFields>
  <rowItems count="6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 t="grand">
      <x/>
    </i>
  </rowItems>
  <colFields count="1">
    <field x="-2"/>
  </colFields>
  <colItems count="2">
    <i>
      <x/>
    </i>
    <i i="1">
      <x v="1"/>
    </i>
  </colItems>
  <pageFields count="1">
    <pageField fld="0" hier="-1"/>
  </pageFields>
  <dataFields count="2">
    <dataField name="Soma de JUL" fld="22" baseField="0" baseItem="0" numFmtId="165"/>
    <dataField name="Soma de AGO" fld="23" baseField="0" baseItem="0" numFmtId="165"/>
  </dataField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86A89-FB78-4A94-B2CE-1D4CBE30B149}">
  <sheetPr>
    <tabColor rgb="FFFF0000"/>
  </sheetPr>
  <dimension ref="A1:X102"/>
  <sheetViews>
    <sheetView showGridLines="0" tabSelected="1" topLeftCell="D1" zoomScale="85" zoomScaleNormal="85" workbookViewId="0">
      <selection activeCell="T97" sqref="T97"/>
    </sheetView>
  </sheetViews>
  <sheetFormatPr defaultRowHeight="20.25" customHeight="1" x14ac:dyDescent="0.3"/>
  <cols>
    <col min="1" max="1" width="17.21875" bestFit="1" customWidth="1"/>
    <col min="2" max="2" width="11.6640625" bestFit="1" customWidth="1"/>
    <col min="3" max="3" width="12.5546875" bestFit="1" customWidth="1"/>
    <col min="4" max="4" width="16.44140625" customWidth="1"/>
    <col min="5" max="12" width="10.88671875" customWidth="1"/>
    <col min="14" max="14" width="39.88671875" customWidth="1"/>
    <col min="15" max="15" width="15.33203125" customWidth="1"/>
    <col min="16" max="23" width="14.44140625" bestFit="1" customWidth="1"/>
    <col min="24" max="24" width="20.44140625" bestFit="1" customWidth="1"/>
    <col min="25" max="26" width="14.44140625" bestFit="1" customWidth="1"/>
    <col min="27" max="27" width="20.44140625" bestFit="1" customWidth="1"/>
  </cols>
  <sheetData>
    <row r="1" spans="1:24" ht="14.4" x14ac:dyDescent="0.3">
      <c r="A1" s="72" t="s">
        <v>154</v>
      </c>
      <c r="B1" s="73"/>
      <c r="C1" s="73"/>
      <c r="D1" s="73"/>
      <c r="E1" s="73"/>
      <c r="F1" s="74"/>
      <c r="G1" s="81">
        <f>Faturamento!AC1</f>
        <v>3157000</v>
      </c>
      <c r="H1" s="82"/>
      <c r="I1" s="82"/>
      <c r="J1" s="82"/>
      <c r="K1" s="82"/>
      <c r="L1" s="83"/>
      <c r="N1" s="63" t="s">
        <v>155</v>
      </c>
      <c r="O1" s="15" t="s">
        <v>198</v>
      </c>
    </row>
    <row r="2" spans="1:24" ht="20.25" customHeight="1" x14ac:dyDescent="0.3">
      <c r="A2" s="75"/>
      <c r="B2" s="76"/>
      <c r="C2" s="76"/>
      <c r="D2" s="76"/>
      <c r="E2" s="76"/>
      <c r="F2" s="77"/>
      <c r="G2" s="84"/>
      <c r="H2" s="85"/>
      <c r="I2" s="85"/>
      <c r="J2" s="85"/>
      <c r="K2" s="85"/>
      <c r="L2" s="86"/>
    </row>
    <row r="3" spans="1:24" ht="14.4" x14ac:dyDescent="0.3">
      <c r="A3" s="78"/>
      <c r="B3" s="79"/>
      <c r="C3" s="79"/>
      <c r="D3" s="79"/>
      <c r="E3" s="79"/>
      <c r="F3" s="80"/>
      <c r="G3" s="87"/>
      <c r="H3" s="88"/>
      <c r="I3" s="88"/>
      <c r="J3" s="88"/>
      <c r="K3" s="88"/>
      <c r="L3" s="89"/>
      <c r="N3" s="42" t="s">
        <v>195</v>
      </c>
      <c r="O3" s="15" t="s">
        <v>359</v>
      </c>
      <c r="P3" s="15" t="s">
        <v>360</v>
      </c>
      <c r="Q3" s="15" t="s">
        <v>361</v>
      </c>
      <c r="R3" s="15" t="s">
        <v>362</v>
      </c>
      <c r="S3" s="15" t="s">
        <v>363</v>
      </c>
      <c r="T3" s="15" t="s">
        <v>364</v>
      </c>
      <c r="U3" s="15" t="s">
        <v>365</v>
      </c>
      <c r="V3" s="15" t="s">
        <v>366</v>
      </c>
      <c r="W3" s="15" t="s">
        <v>367</v>
      </c>
      <c r="X3" s="15" t="s">
        <v>197</v>
      </c>
    </row>
    <row r="4" spans="1:24" ht="20.25" customHeight="1" x14ac:dyDescent="0.3">
      <c r="N4" s="40" t="s">
        <v>192</v>
      </c>
      <c r="O4" s="41">
        <v>66000</v>
      </c>
      <c r="P4" s="41">
        <v>75000</v>
      </c>
      <c r="Q4" s="41">
        <v>95000</v>
      </c>
      <c r="R4" s="41">
        <v>113000</v>
      </c>
      <c r="S4" s="41">
        <v>135300</v>
      </c>
      <c r="T4" s="41">
        <v>169400</v>
      </c>
      <c r="U4" s="41">
        <v>185900</v>
      </c>
      <c r="V4" s="41">
        <v>207900</v>
      </c>
      <c r="W4" s="41">
        <v>141900</v>
      </c>
      <c r="X4" s="41">
        <v>1189400</v>
      </c>
    </row>
    <row r="5" spans="1:24" ht="20.25" customHeight="1" x14ac:dyDescent="0.3">
      <c r="N5" s="40" t="s">
        <v>289</v>
      </c>
      <c r="O5" s="41">
        <v>30000</v>
      </c>
      <c r="P5" s="41">
        <v>33000</v>
      </c>
      <c r="Q5" s="41">
        <v>40000</v>
      </c>
      <c r="R5" s="41">
        <v>48000</v>
      </c>
      <c r="S5" s="41">
        <v>61600</v>
      </c>
      <c r="T5" s="41">
        <v>75900</v>
      </c>
      <c r="U5" s="41">
        <v>79200</v>
      </c>
      <c r="V5" s="41">
        <v>91300</v>
      </c>
      <c r="W5" s="41">
        <v>62700</v>
      </c>
      <c r="X5" s="41">
        <v>521700</v>
      </c>
    </row>
    <row r="6" spans="1:24" ht="20.25" customHeight="1" x14ac:dyDescent="0.3">
      <c r="N6" s="40" t="s">
        <v>291</v>
      </c>
      <c r="O6" s="41">
        <v>63000</v>
      </c>
      <c r="P6" s="41">
        <v>77000</v>
      </c>
      <c r="Q6" s="41">
        <v>96000</v>
      </c>
      <c r="R6" s="41">
        <v>115000</v>
      </c>
      <c r="S6" s="41">
        <v>143000</v>
      </c>
      <c r="T6" s="41">
        <v>181500</v>
      </c>
      <c r="U6" s="41">
        <v>198000</v>
      </c>
      <c r="V6" s="41">
        <v>222200</v>
      </c>
      <c r="W6" s="41">
        <v>151800</v>
      </c>
      <c r="X6" s="41">
        <v>1247500</v>
      </c>
    </row>
    <row r="7" spans="1:24" ht="20.25" customHeight="1" x14ac:dyDescent="0.3">
      <c r="N7" s="40" t="s">
        <v>293</v>
      </c>
      <c r="O7" s="41">
        <v>10400</v>
      </c>
      <c r="P7" s="41">
        <v>11200</v>
      </c>
      <c r="Q7" s="41">
        <v>15200</v>
      </c>
      <c r="R7" s="41">
        <v>18400</v>
      </c>
      <c r="S7" s="41">
        <v>22400</v>
      </c>
      <c r="T7" s="41">
        <v>25600</v>
      </c>
      <c r="U7" s="41">
        <v>28800</v>
      </c>
      <c r="V7" s="41">
        <v>32800</v>
      </c>
      <c r="W7" s="41">
        <v>33600</v>
      </c>
      <c r="X7" s="41">
        <v>198400</v>
      </c>
    </row>
    <row r="8" spans="1:24" ht="20.25" customHeight="1" x14ac:dyDescent="0.3">
      <c r="N8" s="40" t="s">
        <v>196</v>
      </c>
      <c r="O8" s="41">
        <v>169400</v>
      </c>
      <c r="P8" s="41">
        <v>196200</v>
      </c>
      <c r="Q8" s="41">
        <v>246200</v>
      </c>
      <c r="R8" s="41">
        <v>294400</v>
      </c>
      <c r="S8" s="41">
        <v>362300</v>
      </c>
      <c r="T8" s="41">
        <v>452400</v>
      </c>
      <c r="U8" s="41">
        <v>491900</v>
      </c>
      <c r="V8" s="41">
        <v>554200</v>
      </c>
      <c r="W8" s="41">
        <v>390000</v>
      </c>
      <c r="X8" s="41">
        <v>3157000</v>
      </c>
    </row>
    <row r="21" spans="1:3" ht="20.25" hidden="1" customHeight="1" x14ac:dyDescent="0.3">
      <c r="A21" s="64" t="s">
        <v>155</v>
      </c>
      <c r="B21" t="s">
        <v>373</v>
      </c>
    </row>
    <row r="22" spans="1:3" ht="20.25" hidden="1" customHeight="1" x14ac:dyDescent="0.3"/>
    <row r="23" spans="1:3" ht="20.25" hidden="1" customHeight="1" x14ac:dyDescent="0.3">
      <c r="A23" s="64" t="s">
        <v>195</v>
      </c>
      <c r="B23" t="s">
        <v>362</v>
      </c>
      <c r="C23" t="s">
        <v>363</v>
      </c>
    </row>
    <row r="24" spans="1:3" ht="20.25" hidden="1" customHeight="1" x14ac:dyDescent="0.3">
      <c r="A24" s="66">
        <v>1324</v>
      </c>
      <c r="B24" s="65">
        <v>2000</v>
      </c>
      <c r="C24" s="65">
        <v>2200</v>
      </c>
    </row>
    <row r="25" spans="1:3" ht="20.25" hidden="1" customHeight="1" x14ac:dyDescent="0.3">
      <c r="A25" s="66">
        <v>1325</v>
      </c>
      <c r="B25" s="65">
        <v>10000</v>
      </c>
      <c r="C25" s="65">
        <v>11000</v>
      </c>
    </row>
    <row r="26" spans="1:3" ht="20.25" hidden="1" customHeight="1" x14ac:dyDescent="0.3">
      <c r="A26" s="66">
        <v>1326</v>
      </c>
      <c r="B26" s="65">
        <v>8000</v>
      </c>
      <c r="C26" s="65">
        <v>8800</v>
      </c>
    </row>
    <row r="27" spans="1:3" ht="20.25" hidden="1" customHeight="1" x14ac:dyDescent="0.3">
      <c r="A27" s="66">
        <v>1327</v>
      </c>
      <c r="B27" s="65">
        <v>4000</v>
      </c>
      <c r="C27" s="65">
        <v>4400</v>
      </c>
    </row>
    <row r="28" spans="1:3" ht="20.25" hidden="1" customHeight="1" x14ac:dyDescent="0.3">
      <c r="A28" s="66">
        <v>1328</v>
      </c>
      <c r="B28" s="65">
        <v>6000</v>
      </c>
      <c r="C28" s="65">
        <v>6600</v>
      </c>
    </row>
    <row r="29" spans="1:3" ht="20.25" hidden="1" customHeight="1" x14ac:dyDescent="0.3">
      <c r="A29" s="66">
        <v>1329</v>
      </c>
      <c r="B29" s="65">
        <v>4000</v>
      </c>
      <c r="C29" s="65">
        <v>4400</v>
      </c>
    </row>
    <row r="30" spans="1:3" ht="20.25" hidden="1" customHeight="1" x14ac:dyDescent="0.3">
      <c r="A30" s="66">
        <v>1330</v>
      </c>
      <c r="B30" s="65">
        <v>2000</v>
      </c>
      <c r="C30" s="65">
        <v>2200</v>
      </c>
    </row>
    <row r="31" spans="1:3" ht="20.25" hidden="1" customHeight="1" x14ac:dyDescent="0.3">
      <c r="A31" s="66">
        <v>1331</v>
      </c>
      <c r="B31" s="65">
        <v>22000</v>
      </c>
      <c r="C31" s="65">
        <v>26400</v>
      </c>
    </row>
    <row r="32" spans="1:3" ht="20.25" hidden="1" customHeight="1" x14ac:dyDescent="0.3">
      <c r="A32" s="66">
        <v>1332</v>
      </c>
      <c r="B32" s="65">
        <v>6000</v>
      </c>
      <c r="C32" s="65">
        <v>6600</v>
      </c>
    </row>
    <row r="33" spans="1:19" ht="20.25" hidden="1" customHeight="1" x14ac:dyDescent="0.3">
      <c r="A33" s="66">
        <v>1346</v>
      </c>
      <c r="B33" s="65">
        <v>4000</v>
      </c>
      <c r="C33" s="65">
        <v>4400</v>
      </c>
    </row>
    <row r="34" spans="1:19" ht="20.25" hidden="1" customHeight="1" x14ac:dyDescent="0.3">
      <c r="A34" s="66">
        <v>1347</v>
      </c>
      <c r="B34" s="65">
        <v>4000</v>
      </c>
      <c r="C34" s="65">
        <v>4400</v>
      </c>
    </row>
    <row r="35" spans="1:19" ht="20.25" hidden="1" customHeight="1" x14ac:dyDescent="0.3">
      <c r="A35" s="66">
        <v>1348</v>
      </c>
      <c r="B35" s="65">
        <v>2000</v>
      </c>
      <c r="C35" s="65">
        <v>2200</v>
      </c>
    </row>
    <row r="36" spans="1:19" ht="20.25" hidden="1" customHeight="1" x14ac:dyDescent="0.3">
      <c r="A36" s="66">
        <v>1349</v>
      </c>
      <c r="B36" s="65">
        <v>10000</v>
      </c>
      <c r="C36" s="65">
        <v>11000</v>
      </c>
    </row>
    <row r="37" spans="1:19" ht="20.25" hidden="1" customHeight="1" x14ac:dyDescent="0.3">
      <c r="A37" s="66">
        <v>1351</v>
      </c>
      <c r="B37" s="65">
        <v>2000</v>
      </c>
      <c r="C37" s="65">
        <v>2200</v>
      </c>
    </row>
    <row r="38" spans="1:19" ht="20.25" hidden="1" customHeight="1" x14ac:dyDescent="0.4">
      <c r="A38" s="66">
        <v>1352</v>
      </c>
      <c r="B38" s="65">
        <v>4000</v>
      </c>
      <c r="C38" s="65">
        <v>4400</v>
      </c>
      <c r="Q38" s="68"/>
      <c r="S38" s="67"/>
    </row>
    <row r="39" spans="1:19" ht="20.25" hidden="1" customHeight="1" x14ac:dyDescent="0.35">
      <c r="A39" s="66">
        <v>1353</v>
      </c>
      <c r="B39" s="65">
        <v>10000</v>
      </c>
      <c r="C39" s="65">
        <v>11000</v>
      </c>
      <c r="Q39" s="67"/>
      <c r="R39" s="67"/>
      <c r="S39" s="67"/>
    </row>
    <row r="40" spans="1:19" ht="20.25" hidden="1" customHeight="1" x14ac:dyDescent="0.35">
      <c r="A40" s="66">
        <v>1354</v>
      </c>
      <c r="B40" s="65">
        <v>10000</v>
      </c>
      <c r="C40" s="65">
        <v>11000</v>
      </c>
      <c r="Q40" s="67"/>
      <c r="R40" s="67"/>
      <c r="S40" s="67"/>
    </row>
    <row r="41" spans="1:19" ht="20.25" hidden="1" customHeight="1" x14ac:dyDescent="0.3">
      <c r="A41" s="66">
        <v>1356</v>
      </c>
      <c r="B41" s="65">
        <v>16000</v>
      </c>
      <c r="C41" s="65">
        <v>19800</v>
      </c>
    </row>
    <row r="42" spans="1:19" ht="20.25" hidden="1" customHeight="1" x14ac:dyDescent="0.3">
      <c r="A42" s="66">
        <v>1357</v>
      </c>
      <c r="B42" s="65">
        <v>8000</v>
      </c>
      <c r="C42" s="65">
        <v>11000</v>
      </c>
    </row>
    <row r="43" spans="1:19" ht="20.25" hidden="1" customHeight="1" x14ac:dyDescent="0.3">
      <c r="A43" s="66">
        <v>1358</v>
      </c>
      <c r="B43" s="65">
        <v>22000</v>
      </c>
      <c r="C43" s="65">
        <v>26400</v>
      </c>
    </row>
    <row r="44" spans="1:19" ht="20.25" hidden="1" customHeight="1" x14ac:dyDescent="0.3">
      <c r="A44" s="66">
        <v>1359</v>
      </c>
      <c r="B44" s="65">
        <v>26000</v>
      </c>
      <c r="C44" s="65">
        <v>33000</v>
      </c>
    </row>
    <row r="45" spans="1:19" ht="20.25" hidden="1" customHeight="1" x14ac:dyDescent="0.3">
      <c r="A45" s="66">
        <v>1360</v>
      </c>
      <c r="B45" s="65">
        <v>34000</v>
      </c>
      <c r="C45" s="65">
        <v>41800</v>
      </c>
    </row>
    <row r="46" spans="1:19" ht="20.25" hidden="1" customHeight="1" x14ac:dyDescent="0.3">
      <c r="A46" s="66">
        <v>1361</v>
      </c>
      <c r="B46" s="65">
        <v>38000</v>
      </c>
      <c r="C46" s="65">
        <v>48400</v>
      </c>
    </row>
    <row r="47" spans="1:19" ht="20.25" hidden="1" customHeight="1" x14ac:dyDescent="0.3">
      <c r="A47" s="66">
        <v>1362</v>
      </c>
      <c r="B47" s="65">
        <v>48000</v>
      </c>
      <c r="C47" s="65">
        <v>59400</v>
      </c>
    </row>
    <row r="48" spans="1:19" ht="20.25" hidden="1" customHeight="1" x14ac:dyDescent="0.3">
      <c r="A48" s="66">
        <v>1363</v>
      </c>
      <c r="B48" s="65">
        <v>60000</v>
      </c>
      <c r="C48" s="65">
        <v>74800</v>
      </c>
    </row>
    <row r="49" spans="1:3" ht="20.25" hidden="1" customHeight="1" x14ac:dyDescent="0.3">
      <c r="A49" s="66">
        <v>1364</v>
      </c>
      <c r="B49" s="65">
        <v>106000</v>
      </c>
      <c r="C49" s="65">
        <v>132000</v>
      </c>
    </row>
    <row r="50" spans="1:3" ht="20.25" hidden="1" customHeight="1" x14ac:dyDescent="0.3">
      <c r="A50" s="66">
        <v>1425</v>
      </c>
      <c r="B50" s="65">
        <v>12000</v>
      </c>
      <c r="C50" s="65">
        <v>15400</v>
      </c>
    </row>
    <row r="51" spans="1:3" ht="20.25" hidden="1" customHeight="1" x14ac:dyDescent="0.3">
      <c r="A51" s="66">
        <v>1427</v>
      </c>
      <c r="B51" s="65">
        <v>18000</v>
      </c>
      <c r="C51" s="65">
        <v>22000</v>
      </c>
    </row>
    <row r="52" spans="1:3" ht="20.25" hidden="1" customHeight="1" x14ac:dyDescent="0.3">
      <c r="A52" s="66">
        <v>1428</v>
      </c>
      <c r="B52" s="65">
        <v>2000</v>
      </c>
      <c r="C52" s="65">
        <v>2200</v>
      </c>
    </row>
    <row r="53" spans="1:3" ht="20.25" hidden="1" customHeight="1" x14ac:dyDescent="0.3">
      <c r="A53" s="66">
        <v>1429</v>
      </c>
      <c r="B53" s="65">
        <v>4000</v>
      </c>
      <c r="C53" s="65">
        <v>4400</v>
      </c>
    </row>
    <row r="54" spans="1:3" ht="20.25" hidden="1" customHeight="1" x14ac:dyDescent="0.3">
      <c r="A54" s="66">
        <v>1430</v>
      </c>
      <c r="B54" s="65">
        <v>6000</v>
      </c>
      <c r="C54" s="65">
        <v>6600</v>
      </c>
    </row>
    <row r="55" spans="1:3" ht="20.25" hidden="1" customHeight="1" x14ac:dyDescent="0.3">
      <c r="A55" s="66">
        <v>1431</v>
      </c>
      <c r="B55" s="65">
        <v>2000</v>
      </c>
      <c r="C55" s="65">
        <v>4400</v>
      </c>
    </row>
    <row r="56" spans="1:3" ht="20.25" hidden="1" customHeight="1" x14ac:dyDescent="0.3">
      <c r="A56" s="66">
        <v>1432</v>
      </c>
      <c r="B56" s="65">
        <v>28000</v>
      </c>
      <c r="C56" s="65">
        <v>35200</v>
      </c>
    </row>
    <row r="57" spans="1:3" ht="20.25" hidden="1" customHeight="1" x14ac:dyDescent="0.3">
      <c r="A57" s="66">
        <v>1433</v>
      </c>
      <c r="B57" s="65">
        <v>2000</v>
      </c>
      <c r="C57" s="65">
        <v>4400</v>
      </c>
    </row>
    <row r="58" spans="1:3" ht="20.25" hidden="1" customHeight="1" x14ac:dyDescent="0.3">
      <c r="A58" s="66">
        <v>1438</v>
      </c>
      <c r="B58" s="65">
        <v>2000</v>
      </c>
      <c r="C58" s="65">
        <v>4400</v>
      </c>
    </row>
    <row r="59" spans="1:3" ht="20.25" hidden="1" customHeight="1" x14ac:dyDescent="0.3">
      <c r="A59" s="66">
        <v>1439</v>
      </c>
      <c r="B59" s="65">
        <v>2000</v>
      </c>
      <c r="C59" s="65">
        <v>4400</v>
      </c>
    </row>
    <row r="60" spans="1:3" ht="20.25" hidden="1" customHeight="1" x14ac:dyDescent="0.3">
      <c r="A60" s="66">
        <v>1442</v>
      </c>
      <c r="B60" s="65">
        <v>4000</v>
      </c>
      <c r="C60" s="65">
        <v>4400</v>
      </c>
    </row>
    <row r="61" spans="1:3" ht="20.25" hidden="1" customHeight="1" x14ac:dyDescent="0.3">
      <c r="A61" s="66">
        <v>1501</v>
      </c>
      <c r="B61" s="65">
        <v>0</v>
      </c>
      <c r="C61" s="65">
        <v>0</v>
      </c>
    </row>
    <row r="62" spans="1:3" ht="20.25" hidden="1" customHeight="1" x14ac:dyDescent="0.3">
      <c r="A62" s="66">
        <v>1502</v>
      </c>
      <c r="B62" s="65">
        <v>0</v>
      </c>
      <c r="C62" s="65">
        <v>0</v>
      </c>
    </row>
    <row r="63" spans="1:3" ht="20.25" hidden="1" customHeight="1" x14ac:dyDescent="0.3">
      <c r="A63" s="66">
        <v>1503</v>
      </c>
      <c r="B63" s="65">
        <v>0</v>
      </c>
      <c r="C63" s="65">
        <v>0</v>
      </c>
    </row>
    <row r="64" spans="1:3" ht="20.25" hidden="1" customHeight="1" x14ac:dyDescent="0.3">
      <c r="A64" s="66">
        <v>1504</v>
      </c>
      <c r="B64" s="65">
        <v>0</v>
      </c>
      <c r="C64" s="65">
        <v>0</v>
      </c>
    </row>
    <row r="65" spans="1:3" ht="20.25" hidden="1" customHeight="1" x14ac:dyDescent="0.3">
      <c r="A65" s="66">
        <v>1505</v>
      </c>
      <c r="B65" s="65">
        <v>0</v>
      </c>
      <c r="C65" s="65">
        <v>0</v>
      </c>
    </row>
    <row r="66" spans="1:3" ht="20.25" hidden="1" customHeight="1" x14ac:dyDescent="0.3">
      <c r="A66" s="66">
        <v>1507</v>
      </c>
      <c r="B66" s="65">
        <v>0</v>
      </c>
      <c r="C66" s="65">
        <v>0</v>
      </c>
    </row>
    <row r="67" spans="1:3" ht="20.25" hidden="1" customHeight="1" x14ac:dyDescent="0.3">
      <c r="A67" s="66">
        <v>1508</v>
      </c>
      <c r="B67" s="65">
        <v>0</v>
      </c>
      <c r="C67" s="65">
        <v>0</v>
      </c>
    </row>
    <row r="68" spans="1:3" ht="20.25" hidden="1" customHeight="1" x14ac:dyDescent="0.3">
      <c r="A68" s="66">
        <v>1509</v>
      </c>
      <c r="B68" s="65">
        <v>0</v>
      </c>
      <c r="C68" s="65">
        <v>0</v>
      </c>
    </row>
    <row r="69" spans="1:3" ht="20.25" hidden="1" customHeight="1" x14ac:dyDescent="0.3">
      <c r="A69" s="66">
        <v>1510</v>
      </c>
      <c r="B69" s="65">
        <v>0</v>
      </c>
      <c r="C69" s="65">
        <v>0</v>
      </c>
    </row>
    <row r="70" spans="1:3" ht="20.25" hidden="1" customHeight="1" x14ac:dyDescent="0.3">
      <c r="A70" s="66">
        <v>1511</v>
      </c>
      <c r="B70" s="65">
        <v>0</v>
      </c>
      <c r="C70" s="65">
        <v>0</v>
      </c>
    </row>
    <row r="71" spans="1:3" ht="20.25" hidden="1" customHeight="1" x14ac:dyDescent="0.3">
      <c r="A71" s="66">
        <v>1512</v>
      </c>
      <c r="B71" s="65">
        <v>0</v>
      </c>
      <c r="C71" s="65">
        <v>0</v>
      </c>
    </row>
    <row r="72" spans="1:3" ht="20.25" hidden="1" customHeight="1" x14ac:dyDescent="0.3">
      <c r="A72" s="66">
        <v>1513</v>
      </c>
      <c r="B72" s="65">
        <v>0</v>
      </c>
      <c r="C72" s="65">
        <v>0</v>
      </c>
    </row>
    <row r="73" spans="1:3" ht="20.25" hidden="1" customHeight="1" x14ac:dyDescent="0.3">
      <c r="A73" s="66">
        <v>1514</v>
      </c>
      <c r="B73" s="65">
        <v>0</v>
      </c>
      <c r="C73" s="65">
        <v>0</v>
      </c>
    </row>
    <row r="74" spans="1:3" ht="20.25" hidden="1" customHeight="1" x14ac:dyDescent="0.3">
      <c r="A74" s="66">
        <v>1515</v>
      </c>
      <c r="B74" s="65">
        <v>0</v>
      </c>
      <c r="C74" s="65">
        <v>0</v>
      </c>
    </row>
    <row r="75" spans="1:3" ht="20.25" hidden="1" customHeight="1" x14ac:dyDescent="0.3">
      <c r="A75" s="66">
        <v>1516</v>
      </c>
      <c r="B75" s="65">
        <v>0</v>
      </c>
      <c r="C75" s="65">
        <v>0</v>
      </c>
    </row>
    <row r="76" spans="1:3" ht="20.25" hidden="1" customHeight="1" x14ac:dyDescent="0.3">
      <c r="A76" s="66">
        <v>1517</v>
      </c>
      <c r="B76" s="65">
        <v>0</v>
      </c>
      <c r="C76" s="65">
        <v>0</v>
      </c>
    </row>
    <row r="77" spans="1:3" ht="20.25" hidden="1" customHeight="1" x14ac:dyDescent="0.3">
      <c r="A77" s="66">
        <v>1518</v>
      </c>
      <c r="B77" s="65">
        <v>0</v>
      </c>
      <c r="C77" s="65">
        <v>0</v>
      </c>
    </row>
    <row r="78" spans="1:3" ht="20.25" hidden="1" customHeight="1" x14ac:dyDescent="0.3">
      <c r="A78" s="66">
        <v>1519</v>
      </c>
      <c r="B78" s="65">
        <v>0</v>
      </c>
      <c r="C78" s="65">
        <v>0</v>
      </c>
    </row>
    <row r="79" spans="1:3" ht="20.25" hidden="1" customHeight="1" x14ac:dyDescent="0.3">
      <c r="A79" s="66">
        <v>1520</v>
      </c>
      <c r="B79" s="65">
        <v>0</v>
      </c>
      <c r="C79" s="65">
        <v>0</v>
      </c>
    </row>
    <row r="80" spans="1:3" ht="20.25" hidden="1" customHeight="1" x14ac:dyDescent="0.3">
      <c r="A80" s="66">
        <v>1521</v>
      </c>
      <c r="B80" s="65">
        <v>0</v>
      </c>
      <c r="C80" s="65">
        <v>0</v>
      </c>
    </row>
    <row r="81" spans="1:18" ht="20.25" hidden="1" customHeight="1" x14ac:dyDescent="0.3">
      <c r="A81" s="66">
        <v>1522</v>
      </c>
      <c r="B81" s="65">
        <v>0</v>
      </c>
      <c r="C81" s="65">
        <v>0</v>
      </c>
    </row>
    <row r="82" spans="1:18" ht="20.25" hidden="1" customHeight="1" x14ac:dyDescent="0.3">
      <c r="A82" s="66">
        <v>1523</v>
      </c>
      <c r="B82" s="65">
        <v>0</v>
      </c>
      <c r="C82" s="65">
        <v>0</v>
      </c>
    </row>
    <row r="83" spans="1:18" ht="20.25" hidden="1" customHeight="1" x14ac:dyDescent="0.3">
      <c r="A83" s="66">
        <v>1524</v>
      </c>
      <c r="B83" s="65">
        <v>8000</v>
      </c>
      <c r="C83" s="65">
        <v>9600</v>
      </c>
    </row>
    <row r="84" spans="1:18" ht="20.25" hidden="1" customHeight="1" x14ac:dyDescent="0.3">
      <c r="A84" s="66">
        <v>1525</v>
      </c>
      <c r="B84" s="65">
        <v>8000</v>
      </c>
      <c r="C84" s="65">
        <v>9600</v>
      </c>
    </row>
    <row r="85" spans="1:18" ht="20.25" hidden="1" customHeight="1" x14ac:dyDescent="0.3">
      <c r="A85" s="66">
        <v>1526</v>
      </c>
      <c r="B85" s="65">
        <v>0</v>
      </c>
      <c r="C85" s="65">
        <v>0</v>
      </c>
    </row>
    <row r="86" spans="1:18" ht="20.25" hidden="1" customHeight="1" x14ac:dyDescent="0.3">
      <c r="A86" s="66">
        <v>1528</v>
      </c>
      <c r="B86" s="65">
        <v>12800</v>
      </c>
      <c r="C86" s="65">
        <v>16000</v>
      </c>
    </row>
    <row r="87" spans="1:18" ht="20.25" hidden="1" customHeight="1" x14ac:dyDescent="0.3">
      <c r="A87" s="66">
        <v>1530</v>
      </c>
      <c r="B87" s="65">
        <v>8000</v>
      </c>
      <c r="C87" s="65">
        <v>9600</v>
      </c>
    </row>
    <row r="88" spans="1:18" ht="20.25" hidden="1" customHeight="1" x14ac:dyDescent="0.3">
      <c r="A88" s="66">
        <v>1532</v>
      </c>
      <c r="B88" s="65">
        <v>0</v>
      </c>
      <c r="C88" s="65">
        <v>0</v>
      </c>
    </row>
    <row r="89" spans="1:18" ht="20.25" hidden="1" customHeight="1" x14ac:dyDescent="0.3">
      <c r="A89" s="66">
        <v>1533</v>
      </c>
      <c r="B89" s="65">
        <v>2000</v>
      </c>
      <c r="C89" s="65">
        <v>2200</v>
      </c>
    </row>
    <row r="90" spans="1:18" ht="20.25" hidden="1" customHeight="1" x14ac:dyDescent="0.3">
      <c r="A90" s="66" t="s">
        <v>196</v>
      </c>
      <c r="B90" s="65">
        <v>588800</v>
      </c>
      <c r="C90" s="65">
        <v>724600</v>
      </c>
    </row>
    <row r="95" spans="1:18" ht="20.25" customHeight="1" x14ac:dyDescent="0.3">
      <c r="N95" s="15"/>
      <c r="O95" s="15" t="s">
        <v>383</v>
      </c>
      <c r="P95" s="15" t="s">
        <v>374</v>
      </c>
      <c r="Q95" s="15" t="s">
        <v>375</v>
      </c>
      <c r="R95" s="15" t="s">
        <v>376</v>
      </c>
    </row>
    <row r="96" spans="1:18" ht="20.25" customHeight="1" x14ac:dyDescent="0.3">
      <c r="N96" s="15" t="s">
        <v>377</v>
      </c>
      <c r="O96" s="15">
        <v>250</v>
      </c>
      <c r="P96" s="69">
        <v>450000</v>
      </c>
      <c r="Q96" s="69">
        <f>P96-O96</f>
        <v>449750</v>
      </c>
      <c r="R96" s="15"/>
    </row>
    <row r="97" spans="5:18" ht="20.25" customHeight="1" x14ac:dyDescent="0.3">
      <c r="N97" s="15" t="s">
        <v>384</v>
      </c>
      <c r="O97" s="69">
        <f>O96/2</f>
        <v>125</v>
      </c>
      <c r="P97" s="69">
        <f>P96/3</f>
        <v>150000</v>
      </c>
      <c r="Q97" s="69">
        <f t="shared" ref="Q97:Q102" si="0">P97-O97</f>
        <v>149875</v>
      </c>
      <c r="R97" s="15"/>
    </row>
    <row r="98" spans="5:18" ht="20.25" customHeight="1" x14ac:dyDescent="0.3">
      <c r="E98">
        <v>240</v>
      </c>
      <c r="N98" s="15" t="s">
        <v>378</v>
      </c>
      <c r="O98" s="15">
        <v>1200</v>
      </c>
      <c r="P98" s="69">
        <v>2000</v>
      </c>
      <c r="Q98" s="69">
        <f t="shared" si="0"/>
        <v>800</v>
      </c>
      <c r="R98" s="15"/>
    </row>
    <row r="99" spans="5:18" ht="20.25" customHeight="1" x14ac:dyDescent="0.3">
      <c r="E99">
        <v>294</v>
      </c>
      <c r="N99" s="15" t="s">
        <v>379</v>
      </c>
      <c r="O99" s="70">
        <f>O97/O98</f>
        <v>0.10416666666666667</v>
      </c>
      <c r="P99" s="70">
        <f>P97/P98</f>
        <v>75</v>
      </c>
      <c r="Q99" s="69">
        <f t="shared" si="0"/>
        <v>74.895833333333329</v>
      </c>
      <c r="R99" s="15"/>
    </row>
    <row r="100" spans="5:18" ht="20.25" customHeight="1" x14ac:dyDescent="0.3">
      <c r="E100">
        <v>150</v>
      </c>
      <c r="N100" s="15" t="s">
        <v>380</v>
      </c>
      <c r="O100" s="70">
        <f>O99/24</f>
        <v>4.340277777777778E-3</v>
      </c>
      <c r="P100" s="70">
        <f>P99/24</f>
        <v>3.125</v>
      </c>
      <c r="Q100" s="69">
        <f t="shared" si="0"/>
        <v>3.1206597222222223</v>
      </c>
      <c r="R100" s="15"/>
    </row>
    <row r="101" spans="5:18" ht="20.25" customHeight="1" x14ac:dyDescent="0.3">
      <c r="N101" s="15" t="s">
        <v>381</v>
      </c>
      <c r="O101" s="15"/>
      <c r="P101" s="17">
        <v>0.1</v>
      </c>
      <c r="Q101" s="17">
        <f t="shared" si="0"/>
        <v>0.1</v>
      </c>
      <c r="R101" s="15"/>
    </row>
    <row r="102" spans="5:18" ht="20.25" customHeight="1" x14ac:dyDescent="0.3">
      <c r="N102" s="15" t="s">
        <v>382</v>
      </c>
      <c r="O102" s="15"/>
      <c r="P102" s="71">
        <f>P100/P101</f>
        <v>31.25</v>
      </c>
      <c r="Q102" s="71">
        <f t="shared" si="0"/>
        <v>31.25</v>
      </c>
      <c r="R102" s="15"/>
    </row>
  </sheetData>
  <mergeCells count="2">
    <mergeCell ref="A1:F3"/>
    <mergeCell ref="G1:L3"/>
  </mergeCells>
  <pageMargins left="0.511811024" right="0.511811024" top="0.78740157499999996" bottom="0.78740157499999996" header="0.31496062000000002" footer="0.31496062000000002"/>
  <pageSetup paperSize="9" orientation="portrait" horizontalDpi="360" verticalDpi="360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48E1B-D038-40F5-AE80-800DA1A4364E}">
  <dimension ref="A1"/>
  <sheetViews>
    <sheetView workbookViewId="0">
      <selection activeCell="K10" sqref="K10"/>
    </sheetView>
  </sheetViews>
  <sheetFormatPr defaultRowHeight="14.4" x14ac:dyDescent="0.3"/>
  <sheetData/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699E-3AC6-47A5-A078-2BCCF2A44130}">
  <dimension ref="A1:AN1190"/>
  <sheetViews>
    <sheetView showGridLines="0" topLeftCell="L1" zoomScale="85" zoomScaleNormal="85" workbookViewId="0">
      <pane ySplit="2" topLeftCell="A3" activePane="bottomLeft" state="frozen"/>
      <selection pane="bottomLeft" activeCell="V10" sqref="V10"/>
    </sheetView>
  </sheetViews>
  <sheetFormatPr defaultColWidth="10.109375" defaultRowHeight="14.4" x14ac:dyDescent="0.3"/>
  <cols>
    <col min="1" max="1" width="10.33203125" style="1" customWidth="1"/>
    <col min="2" max="2" width="13" style="1" customWidth="1"/>
    <col min="3" max="3" width="21.109375" style="1" bestFit="1" customWidth="1"/>
    <col min="4" max="4" width="21.109375" style="1" customWidth="1"/>
    <col min="5" max="6" width="20.44140625" style="1" customWidth="1"/>
    <col min="7" max="7" width="31.44140625" style="1" bestFit="1" customWidth="1"/>
    <col min="8" max="8" width="27.109375" style="1" customWidth="1"/>
    <col min="9" max="9" width="35.88671875" style="1" customWidth="1"/>
    <col min="10" max="10" width="24.88671875" style="1" customWidth="1"/>
    <col min="11" max="11" width="23.88671875" style="1" customWidth="1"/>
    <col min="12" max="12" width="15.6640625" style="1" customWidth="1"/>
    <col min="13" max="13" width="8.33203125" style="1" customWidth="1"/>
    <col min="14" max="14" width="10.109375" style="1"/>
    <col min="15" max="15" width="31.6640625" style="1" customWidth="1"/>
    <col min="16" max="16" width="30.88671875" style="1" customWidth="1"/>
    <col min="17" max="28" width="12.6640625" style="33" customWidth="1"/>
    <col min="29" max="29" width="12.6640625" style="34" customWidth="1"/>
    <col min="30" max="30" width="17.109375" style="8" customWidth="1"/>
    <col min="31" max="31" width="20.33203125" style="8" customWidth="1"/>
    <col min="32" max="32" width="23.33203125" style="7" customWidth="1"/>
    <col min="33" max="33" width="29.44140625" style="8" customWidth="1"/>
    <col min="34" max="34" width="15" style="8" customWidth="1"/>
    <col min="35" max="35" width="16.6640625" style="8" customWidth="1"/>
    <col min="36" max="36" width="21.109375" style="8" customWidth="1"/>
    <col min="37" max="37" width="11.33203125" style="8" customWidth="1"/>
    <col min="38" max="38" width="22.33203125" style="7" customWidth="1"/>
    <col min="39" max="39" width="11.33203125" style="14" customWidth="1"/>
    <col min="41" max="16384" width="10.109375" style="1"/>
  </cols>
  <sheetData>
    <row r="1" spans="1:39" ht="15.75" customHeight="1" x14ac:dyDescent="0.3">
      <c r="K1" s="1" t="s">
        <v>358</v>
      </c>
      <c r="Q1" s="61">
        <f>SUM(Q3:Q1190)/2</f>
        <v>0</v>
      </c>
      <c r="R1" s="61">
        <f t="shared" ref="R1:AB1" si="0">SUM(R3:R1190)/2</f>
        <v>170446.27257043531</v>
      </c>
      <c r="S1" s="61">
        <f t="shared" si="0"/>
        <v>193433.642725944</v>
      </c>
      <c r="T1" s="61">
        <f t="shared" si="0"/>
        <v>169400</v>
      </c>
      <c r="U1" s="61">
        <f t="shared" si="0"/>
        <v>196200</v>
      </c>
      <c r="V1" s="61">
        <f t="shared" si="0"/>
        <v>246200</v>
      </c>
      <c r="W1" s="61">
        <f>SUM(W3:W1190)/2</f>
        <v>294400</v>
      </c>
      <c r="X1" s="61">
        <f t="shared" si="0"/>
        <v>362300</v>
      </c>
      <c r="Y1" s="61">
        <f t="shared" si="0"/>
        <v>452400</v>
      </c>
      <c r="Z1" s="61">
        <f t="shared" si="0"/>
        <v>491900</v>
      </c>
      <c r="AA1" s="61">
        <f t="shared" si="0"/>
        <v>554200</v>
      </c>
      <c r="AB1" s="61">
        <f t="shared" si="0"/>
        <v>390000</v>
      </c>
      <c r="AC1" s="61">
        <f>SUM(T1:AB1)</f>
        <v>3157000</v>
      </c>
      <c r="AD1" s="30"/>
      <c r="AE1" s="30"/>
      <c r="AF1" s="11"/>
      <c r="AG1" s="30"/>
      <c r="AH1" s="31"/>
      <c r="AI1" s="31"/>
      <c r="AJ1" s="32"/>
    </row>
    <row r="2" spans="1:39" s="6" customFormat="1" ht="24.75" customHeight="1" x14ac:dyDescent="0.3">
      <c r="A2" s="19" t="s">
        <v>155</v>
      </c>
      <c r="B2" s="19" t="s">
        <v>156</v>
      </c>
      <c r="C2" s="19" t="s">
        <v>53</v>
      </c>
      <c r="D2" s="19" t="s">
        <v>156</v>
      </c>
      <c r="E2" s="19" t="s">
        <v>51</v>
      </c>
      <c r="F2" s="19" t="s">
        <v>157</v>
      </c>
      <c r="G2" s="19" t="s">
        <v>49</v>
      </c>
      <c r="H2" s="19" t="s">
        <v>158</v>
      </c>
      <c r="I2" s="19" t="s">
        <v>105</v>
      </c>
      <c r="J2" s="19" t="s">
        <v>159</v>
      </c>
      <c r="K2" s="19" t="s">
        <v>45</v>
      </c>
      <c r="L2" s="19" t="s">
        <v>187</v>
      </c>
      <c r="M2" s="19" t="s">
        <v>160</v>
      </c>
      <c r="N2" s="19" t="s">
        <v>55</v>
      </c>
      <c r="O2" s="19" t="s">
        <v>61</v>
      </c>
      <c r="P2" s="19" t="s">
        <v>62</v>
      </c>
      <c r="Q2" s="35" t="s">
        <v>63</v>
      </c>
      <c r="R2" s="35" t="s">
        <v>64</v>
      </c>
      <c r="S2" s="35" t="s">
        <v>65</v>
      </c>
      <c r="T2" s="35" t="s">
        <v>66</v>
      </c>
      <c r="U2" s="35" t="s">
        <v>67</v>
      </c>
      <c r="V2" s="35" t="s">
        <v>68</v>
      </c>
      <c r="W2" s="35" t="s">
        <v>69</v>
      </c>
      <c r="X2" s="35" t="s">
        <v>70</v>
      </c>
      <c r="Y2" s="35" t="s">
        <v>71</v>
      </c>
      <c r="Z2" s="35" t="s">
        <v>72</v>
      </c>
      <c r="AA2" s="35" t="s">
        <v>73</v>
      </c>
      <c r="AB2" s="35" t="s">
        <v>74</v>
      </c>
      <c r="AC2" s="35" t="s">
        <v>75</v>
      </c>
      <c r="AD2" s="20" t="s">
        <v>78</v>
      </c>
      <c r="AE2" s="20" t="s">
        <v>149</v>
      </c>
      <c r="AF2" s="21" t="s">
        <v>77</v>
      </c>
      <c r="AG2" s="20" t="s">
        <v>153</v>
      </c>
      <c r="AH2" s="20" t="s">
        <v>150</v>
      </c>
      <c r="AI2" s="20" t="s">
        <v>151</v>
      </c>
      <c r="AJ2" s="20" t="s">
        <v>152</v>
      </c>
      <c r="AK2" s="20" t="s">
        <v>104</v>
      </c>
      <c r="AL2" s="21" t="s">
        <v>76</v>
      </c>
      <c r="AM2" s="20" t="s">
        <v>79</v>
      </c>
    </row>
    <row r="3" spans="1:39" x14ac:dyDescent="0.3">
      <c r="A3" s="2" t="str">
        <f t="shared" ref="A3:A49" si="1">IF(L3=1,"SIM","NÃO")</f>
        <v>SIM</v>
      </c>
      <c r="B3" s="2" t="str">
        <f>_xlfn.XLOOKUP($N3,'Base de Grupos'!$A:$A,'Base de Grupos'!$D:$D)</f>
        <v>1000065763</v>
      </c>
      <c r="C3" s="5" t="str">
        <f>_xlfn.XLOOKUP($N3,'Base de Grupos'!$A:$A,'Base de Grupos'!$E:$E)</f>
        <v>CANAL VENDA INTERNA</v>
      </c>
      <c r="D3" s="5" t="str">
        <f>_xlfn.XLOOKUP($N3,'Base de Grupos'!$A:$A,'Base de Grupos'!$F:$F)</f>
        <v>1000065763</v>
      </c>
      <c r="E3" s="2" t="str">
        <f>_xlfn.XLOOKUP($N3,'Base de Grupos'!$A:$A,'Base de Grupos'!$G:$G)</f>
        <v>CANAL VENDA INTERNA</v>
      </c>
      <c r="F3" s="2" t="str">
        <f>_xlfn.XLOOKUP($N3,'Base de Grupos'!$A:$A,'Base de Grupos'!$H:$H)</f>
        <v>1000105900</v>
      </c>
      <c r="G3" s="5" t="str">
        <f>_xlfn.XLOOKUP($N3,'Base de Grupos'!$A:$A,'Base de Grupos'!$I:$I)</f>
        <v>REGIONAL VENDA DIRETA CO + NE + NO</v>
      </c>
      <c r="H3" s="5" t="str">
        <f>_xlfn.XLOOKUP($N3,'Base de Grupos'!$A:$A,'Base de Grupos'!$J:$J)</f>
        <v>1000105900</v>
      </c>
      <c r="I3" s="2" t="str">
        <f>_xlfn.XLOOKUP($N3,'Base de Grupos'!$A:$A,'Base de Grupos'!$K:$K)</f>
        <v>REGIONAL VENDA DIRETA CO + NE + NO</v>
      </c>
      <c r="J3" s="2" t="str">
        <f>_xlfn.XLOOKUP($N3,'Base de Grupos'!$A:$A,'Base de Grupos'!$L:$L)</f>
        <v>1000150135</v>
      </c>
      <c r="K3" s="5" t="str">
        <f>_xlfn.XLOOKUP($N3,'Base de Grupos'!$A:$A,'Base de Grupos'!$M:$M)</f>
        <v>HELDER DA SILVA BRUNKOW</v>
      </c>
      <c r="L3" s="5">
        <f t="shared" ref="L3:L16" si="2">IF(N3&lt;&gt;N2,1,"")</f>
        <v>1</v>
      </c>
      <c r="M3" s="5" t="str">
        <f>_xlfn.XLOOKUP($N3,'Base de Grupos'!$A:$A,'Base de Grupos'!$C:$C)</f>
        <v>AP</v>
      </c>
      <c r="N3" s="3">
        <v>1324</v>
      </c>
      <c r="O3" s="4" t="s">
        <v>224</v>
      </c>
      <c r="P3" s="5" t="s">
        <v>294</v>
      </c>
      <c r="Q3" s="56">
        <f t="shared" ref="Q3" si="3">SUM(Q4:Q20)</f>
        <v>0</v>
      </c>
      <c r="R3" s="56">
        <f t="shared" ref="R3" si="4">SUM(R4:R20)</f>
        <v>10568.294327098127</v>
      </c>
      <c r="S3" s="56">
        <f t="shared" ref="S3" si="5">SUM(S4:S20)</f>
        <v>12029.078970466311</v>
      </c>
      <c r="T3" s="56">
        <f t="shared" ref="T3:AC3" si="6">SUM(T4:T20)</f>
        <v>1000</v>
      </c>
      <c r="U3" s="56">
        <f t="shared" si="6"/>
        <v>1000</v>
      </c>
      <c r="V3" s="56">
        <f t="shared" si="6"/>
        <v>1000</v>
      </c>
      <c r="W3" s="56">
        <f t="shared" si="6"/>
        <v>1000</v>
      </c>
      <c r="X3" s="56">
        <f t="shared" si="6"/>
        <v>1100</v>
      </c>
      <c r="Y3" s="56">
        <f t="shared" si="6"/>
        <v>1100</v>
      </c>
      <c r="Z3" s="56">
        <f t="shared" si="6"/>
        <v>1100</v>
      </c>
      <c r="AA3" s="56">
        <f t="shared" si="6"/>
        <v>1100</v>
      </c>
      <c r="AB3" s="56">
        <f t="shared" si="6"/>
        <v>1100</v>
      </c>
      <c r="AC3" s="56">
        <f t="shared" si="6"/>
        <v>9500</v>
      </c>
      <c r="AD3" s="25">
        <f>SUM(AD4:AD20)</f>
        <v>9500</v>
      </c>
      <c r="AE3" s="25">
        <f t="shared" ref="AE3:AI3" si="7">SUM(AE4:AE20)</f>
        <v>0</v>
      </c>
      <c r="AF3" s="11" t="str">
        <f t="shared" ref="AF3:AF48" si="8">IFERROR((AC3-AE3)/AE3,"")</f>
        <v/>
      </c>
      <c r="AG3" s="24">
        <f t="shared" si="7"/>
        <v>0</v>
      </c>
      <c r="AH3" s="25">
        <f t="shared" si="7"/>
        <v>22597.373297564438</v>
      </c>
      <c r="AI3" s="24">
        <f t="shared" si="7"/>
        <v>22597.373297564438</v>
      </c>
      <c r="AJ3" s="11">
        <f t="shared" ref="AJ3:AJ18" si="9">IFERROR(AG3/AH3,"")</f>
        <v>0</v>
      </c>
      <c r="AK3" s="9"/>
      <c r="AL3" s="13"/>
      <c r="AM3" s="9"/>
    </row>
    <row r="4" spans="1:39" x14ac:dyDescent="0.3">
      <c r="A4" s="2" t="str">
        <f t="shared" si="1"/>
        <v>NÃO</v>
      </c>
      <c r="B4" s="2" t="str">
        <f>_xlfn.XLOOKUP($N4,'Base de Grupos'!$A:$A,'Base de Grupos'!$D:$D)</f>
        <v>1000065763</v>
      </c>
      <c r="C4" s="5" t="str">
        <f>_xlfn.XLOOKUP($N4,'Base de Grupos'!$A:$A,'Base de Grupos'!$E:$E)</f>
        <v>CANAL VENDA INTERNA</v>
      </c>
      <c r="D4" s="5" t="str">
        <f>_xlfn.XLOOKUP($N4,'Base de Grupos'!$A:$A,'Base de Grupos'!$F:$F)</f>
        <v>1000065763</v>
      </c>
      <c r="E4" s="2" t="str">
        <f>_xlfn.XLOOKUP($N4,'Base de Grupos'!$A:$A,'Base de Grupos'!$G:$G)</f>
        <v>CANAL VENDA INTERNA</v>
      </c>
      <c r="F4" s="2" t="str">
        <f>_xlfn.XLOOKUP($N4,'Base de Grupos'!$A:$A,'Base de Grupos'!$H:$H)</f>
        <v>1000105900</v>
      </c>
      <c r="G4" s="5" t="str">
        <f>_xlfn.XLOOKUP($N4,'Base de Grupos'!$A:$A,'Base de Grupos'!$I:$I)</f>
        <v>REGIONAL VENDA DIRETA CO + NE + NO</v>
      </c>
      <c r="H4" s="5" t="str">
        <f>_xlfn.XLOOKUP($N4,'Base de Grupos'!$A:$A,'Base de Grupos'!$J:$J)</f>
        <v>1000105900</v>
      </c>
      <c r="I4" s="2" t="str">
        <f>_xlfn.XLOOKUP($N4,'Base de Grupos'!$A:$A,'Base de Grupos'!$K:$K)</f>
        <v>REGIONAL VENDA DIRETA CO + NE + NO</v>
      </c>
      <c r="J4" s="2" t="str">
        <f>_xlfn.XLOOKUP($N4,'Base de Grupos'!$A:$A,'Base de Grupos'!$L:$L)</f>
        <v>1000150135</v>
      </c>
      <c r="K4" s="5" t="str">
        <f>_xlfn.XLOOKUP($N4,'Base de Grupos'!$A:$A,'Base de Grupos'!$M:$M)</f>
        <v>HELDER DA SILVA BRUNKOW</v>
      </c>
      <c r="L4" s="5" t="str">
        <f t="shared" si="2"/>
        <v/>
      </c>
      <c r="M4" s="5" t="str">
        <f>_xlfn.XLOOKUP($N4,'Base de Grupos'!$A:$A,'Base de Grupos'!$C:$C)</f>
        <v>AP</v>
      </c>
      <c r="N4" s="3">
        <v>1324</v>
      </c>
      <c r="O4" s="4" t="s">
        <v>224</v>
      </c>
      <c r="P4" s="5" t="s">
        <v>81</v>
      </c>
      <c r="Q4" s="56">
        <v>0</v>
      </c>
      <c r="R4" s="56">
        <v>404.3886056291048</v>
      </c>
      <c r="S4" s="56">
        <v>505.48575703638102</v>
      </c>
      <c r="T4" s="56">
        <f>_xlfn.XLOOKUP($N4,'Calculo Leads'!$A$97:$A$134,'Calculo Leads'!G$97:G$134)*_xlfn.XLOOKUP($P4,'Base Grupo de Produtos'!$E$2:$E$18,'Base Grupo de Produtos'!$F$2:$F$18)</f>
        <v>50</v>
      </c>
      <c r="U4" s="56">
        <f>_xlfn.XLOOKUP($N4,'Calculo Leads'!$A$97:$A$134,'Calculo Leads'!H$97:H$134)*_xlfn.XLOOKUP($P4,'Base Grupo de Produtos'!$E$2:$E$18,'Base Grupo de Produtos'!$F$2:$F$18)</f>
        <v>50</v>
      </c>
      <c r="V4" s="56">
        <f>_xlfn.XLOOKUP($N4,'Calculo Leads'!$A$97:$A$134,'Calculo Leads'!I$97:I$134)*_xlfn.XLOOKUP($P4,'Base Grupo de Produtos'!$E$2:$E$18,'Base Grupo de Produtos'!$F$2:$F$18)</f>
        <v>50</v>
      </c>
      <c r="W4" s="56">
        <f>_xlfn.XLOOKUP($N4,'Calculo Leads'!$A$97:$A$134,'Calculo Leads'!J$97:J$134)*_xlfn.XLOOKUP($P4,'Base Grupo de Produtos'!$E$2:$E$18,'Base Grupo de Produtos'!$F$2:$F$18)</f>
        <v>50</v>
      </c>
      <c r="X4" s="56">
        <f>_xlfn.XLOOKUP($N4,'Calculo Leads'!$A$97:$A$134,'Calculo Leads'!K$97:K$134)*_xlfn.XLOOKUP($P4,'Base Grupo de Produtos'!$E$2:$E$18,'Base Grupo de Produtos'!$F$2:$F$18)</f>
        <v>55</v>
      </c>
      <c r="Y4" s="56">
        <f>_xlfn.XLOOKUP($N4,'Calculo Leads'!$A$97:$A$134,'Calculo Leads'!L$97:L$134)*_xlfn.XLOOKUP($P4,'Base Grupo de Produtos'!$E$2:$E$18,'Base Grupo de Produtos'!$F$2:$F$18)</f>
        <v>55</v>
      </c>
      <c r="Z4" s="56">
        <f>_xlfn.XLOOKUP($N4,'Calculo Leads'!$A$97:$A$134,'Calculo Leads'!M$97:M$134)*_xlfn.XLOOKUP($P4,'Base Grupo de Produtos'!$E$2:$E$18,'Base Grupo de Produtos'!$F$2:$F$18)</f>
        <v>55</v>
      </c>
      <c r="AA4" s="56">
        <f>_xlfn.XLOOKUP($N4,'Calculo Leads'!$A$97:$A$134,'Calculo Leads'!N$97:N$134)*_xlfn.XLOOKUP($P4,'Base Grupo de Produtos'!$E$2:$E$18,'Base Grupo de Produtos'!$F$2:$F$18)</f>
        <v>55</v>
      </c>
      <c r="AB4" s="56">
        <f>_xlfn.XLOOKUP($N4,'Calculo Leads'!$A$97:$A$134,'Calculo Leads'!O$97:O$134)*_xlfn.XLOOKUP($P4,'Base Grupo de Produtos'!$E$2:$E$18,'Base Grupo de Produtos'!$F$2:$F$18)</f>
        <v>55</v>
      </c>
      <c r="AC4" s="61">
        <f>SUM(T4:AB4)</f>
        <v>475</v>
      </c>
      <c r="AD4" s="27">
        <f t="shared" ref="AD4:AD20" si="10">IF(AC4=0,0,AC4-AG4)</f>
        <v>475</v>
      </c>
      <c r="AE4" s="25">
        <f>IFERROR(_xlfn.XLOOKUP(N4&amp;P4,'Historico Vendas'!G:G,'Historico Vendas'!E:E),0)</f>
        <v>0</v>
      </c>
      <c r="AF4" s="29" t="str">
        <f t="shared" si="8"/>
        <v/>
      </c>
      <c r="AG4" s="24">
        <f>IFERROR(_xlfn.XLOOKUP(N4&amp;P4,'Historico Vendas'!G:G,'Historico Vendas'!F:F),0)</f>
        <v>0</v>
      </c>
      <c r="AH4" s="25">
        <f t="shared" ref="AH4:AH20" si="11">SUM(Q4:S4)</f>
        <v>909.87436266548582</v>
      </c>
      <c r="AI4" s="24">
        <f t="shared" ref="AI4:AI20" si="12">AH4-AG4</f>
        <v>909.87436266548582</v>
      </c>
      <c r="AJ4" s="11">
        <f t="shared" si="9"/>
        <v>0</v>
      </c>
      <c r="AK4" s="9" t="s">
        <v>102</v>
      </c>
      <c r="AL4" s="13">
        <f>IFERROR(INDEX('Balizador da Meta'!$D$3:$F$23,MATCH(Faturamento!$P4,'Balizador da Meta'!$C$3:$C$23,0),MATCH(Faturamento!AK4,'Balizador da Meta'!$D$2:$F$2,0)),"")</f>
        <v>0.2</v>
      </c>
      <c r="AM4" s="9"/>
    </row>
    <row r="5" spans="1:39" x14ac:dyDescent="0.3">
      <c r="A5" s="2" t="str">
        <f t="shared" si="1"/>
        <v>NÃO</v>
      </c>
      <c r="B5" s="2" t="str">
        <f>_xlfn.XLOOKUP($N5,'Base de Grupos'!$A:$A,'Base de Grupos'!$D:$D)</f>
        <v>1000065763</v>
      </c>
      <c r="C5" s="5" t="str">
        <f>_xlfn.XLOOKUP($N5,'Base de Grupos'!$A:$A,'Base de Grupos'!$E:$E)</f>
        <v>CANAL VENDA INTERNA</v>
      </c>
      <c r="D5" s="5" t="str">
        <f>_xlfn.XLOOKUP($N5,'Base de Grupos'!$A:$A,'Base de Grupos'!$F:$F)</f>
        <v>1000065763</v>
      </c>
      <c r="E5" s="2" t="str">
        <f>_xlfn.XLOOKUP($N5,'Base de Grupos'!$A:$A,'Base de Grupos'!$G:$G)</f>
        <v>CANAL VENDA INTERNA</v>
      </c>
      <c r="F5" s="2" t="str">
        <f>_xlfn.XLOOKUP($N5,'Base de Grupos'!$A:$A,'Base de Grupos'!$H:$H)</f>
        <v>1000105900</v>
      </c>
      <c r="G5" s="5" t="str">
        <f>_xlfn.XLOOKUP($N5,'Base de Grupos'!$A:$A,'Base de Grupos'!$I:$I)</f>
        <v>REGIONAL VENDA DIRETA CO + NE + NO</v>
      </c>
      <c r="H5" s="5" t="str">
        <f>_xlfn.XLOOKUP($N5,'Base de Grupos'!$A:$A,'Base de Grupos'!$J:$J)</f>
        <v>1000105900</v>
      </c>
      <c r="I5" s="2" t="str">
        <f>_xlfn.XLOOKUP($N5,'Base de Grupos'!$A:$A,'Base de Grupos'!$K:$K)</f>
        <v>REGIONAL VENDA DIRETA CO + NE + NO</v>
      </c>
      <c r="J5" s="2" t="str">
        <f>_xlfn.XLOOKUP($N5,'Base de Grupos'!$A:$A,'Base de Grupos'!$L:$L)</f>
        <v>1000150135</v>
      </c>
      <c r="K5" s="5" t="str">
        <f>_xlfn.XLOOKUP($N5,'Base de Grupos'!$A:$A,'Base de Grupos'!$M:$M)</f>
        <v>HELDER DA SILVA BRUNKOW</v>
      </c>
      <c r="L5" s="5" t="str">
        <f t="shared" si="2"/>
        <v/>
      </c>
      <c r="M5" s="5" t="str">
        <f>_xlfn.XLOOKUP($N5,'Base de Grupos'!$A:$A,'Base de Grupos'!$C:$C)</f>
        <v>AP</v>
      </c>
      <c r="N5" s="3">
        <v>1324</v>
      </c>
      <c r="O5" s="4" t="s">
        <v>224</v>
      </c>
      <c r="P5" s="5" t="s">
        <v>82</v>
      </c>
      <c r="Q5" s="56">
        <v>0</v>
      </c>
      <c r="R5" s="56">
        <v>2462.0564928909953</v>
      </c>
      <c r="S5" s="56">
        <v>2872.3992417061613</v>
      </c>
      <c r="T5" s="56">
        <f>_xlfn.XLOOKUP($N5,'Calculo Leads'!$A$97:$A$134,'Calculo Leads'!G$97:G$134)*_xlfn.XLOOKUP($P5,'Base Grupo de Produtos'!$E$2:$E$18,'Base Grupo de Produtos'!$F$2:$F$18)</f>
        <v>50</v>
      </c>
      <c r="U5" s="56">
        <f>_xlfn.XLOOKUP($N5,'Calculo Leads'!$A$97:$A$134,'Calculo Leads'!H$97:H$134)*_xlfn.XLOOKUP($P5,'Base Grupo de Produtos'!$E$2:$E$18,'Base Grupo de Produtos'!$F$2:$F$18)</f>
        <v>50</v>
      </c>
      <c r="V5" s="56">
        <f>_xlfn.XLOOKUP($N5,'Calculo Leads'!$A$97:$A$134,'Calculo Leads'!I$97:I$134)*_xlfn.XLOOKUP($P5,'Base Grupo de Produtos'!$E$2:$E$18,'Base Grupo de Produtos'!$F$2:$F$18)</f>
        <v>50</v>
      </c>
      <c r="W5" s="56">
        <f>_xlfn.XLOOKUP($N5,'Calculo Leads'!$A$97:$A$134,'Calculo Leads'!J$97:J$134)*_xlfn.XLOOKUP($P5,'Base Grupo de Produtos'!$E$2:$E$18,'Base Grupo de Produtos'!$F$2:$F$18)</f>
        <v>50</v>
      </c>
      <c r="X5" s="56">
        <f>_xlfn.XLOOKUP($N5,'Calculo Leads'!$A$97:$A$134,'Calculo Leads'!K$97:K$134)*_xlfn.XLOOKUP($P5,'Base Grupo de Produtos'!$E$2:$E$18,'Base Grupo de Produtos'!$F$2:$F$18)</f>
        <v>55</v>
      </c>
      <c r="Y5" s="56">
        <f>_xlfn.XLOOKUP($N5,'Calculo Leads'!$A$97:$A$134,'Calculo Leads'!L$97:L$134)*_xlfn.XLOOKUP($P5,'Base Grupo de Produtos'!$E$2:$E$18,'Base Grupo de Produtos'!$F$2:$F$18)</f>
        <v>55</v>
      </c>
      <c r="Z5" s="56">
        <f>_xlfn.XLOOKUP($N5,'Calculo Leads'!$A$97:$A$134,'Calculo Leads'!M$97:M$134)*_xlfn.XLOOKUP($P5,'Base Grupo de Produtos'!$E$2:$E$18,'Base Grupo de Produtos'!$F$2:$F$18)</f>
        <v>55</v>
      </c>
      <c r="AA5" s="56">
        <f>_xlfn.XLOOKUP($N5,'Calculo Leads'!$A$97:$A$134,'Calculo Leads'!N$97:N$134)*_xlfn.XLOOKUP($P5,'Base Grupo de Produtos'!$E$2:$E$18,'Base Grupo de Produtos'!$F$2:$F$18)</f>
        <v>55</v>
      </c>
      <c r="AB5" s="56">
        <f>_xlfn.XLOOKUP($N5,'Calculo Leads'!$A$97:$A$134,'Calculo Leads'!O$97:O$134)*_xlfn.XLOOKUP($P5,'Base Grupo de Produtos'!$E$2:$E$18,'Base Grupo de Produtos'!$F$2:$F$18)</f>
        <v>55</v>
      </c>
      <c r="AC5" s="61">
        <f t="shared" ref="AC5:AC68" si="13">SUM(T5:AB5)</f>
        <v>475</v>
      </c>
      <c r="AD5" s="27">
        <f t="shared" si="10"/>
        <v>475</v>
      </c>
      <c r="AE5" s="25">
        <f>IFERROR(_xlfn.XLOOKUP(N5&amp;P5,'Historico Vendas'!G:G,'Historico Vendas'!E:E),0)</f>
        <v>0</v>
      </c>
      <c r="AF5" s="29" t="str">
        <f t="shared" si="8"/>
        <v/>
      </c>
      <c r="AG5" s="24">
        <f>IFERROR(_xlfn.XLOOKUP(N5&amp;P5,'Historico Vendas'!G:G,'Historico Vendas'!F:F),0)</f>
        <v>0</v>
      </c>
      <c r="AH5" s="25">
        <f t="shared" si="11"/>
        <v>5334.4557345971571</v>
      </c>
      <c r="AI5" s="24">
        <f t="shared" si="12"/>
        <v>5334.4557345971571</v>
      </c>
      <c r="AJ5" s="11">
        <f t="shared" si="9"/>
        <v>0</v>
      </c>
      <c r="AK5" s="9" t="s">
        <v>102</v>
      </c>
      <c r="AL5" s="13">
        <f>IFERROR(INDEX('Balizador da Meta'!$D$3:$F$23,MATCH(Faturamento!$P5,'Balizador da Meta'!$C$3:$C$23,0),MATCH(Faturamento!AK5,'Balizador da Meta'!$D$2:$F$2,0)),"")</f>
        <v>0.2</v>
      </c>
      <c r="AM5" s="9"/>
    </row>
    <row r="6" spans="1:39" x14ac:dyDescent="0.3">
      <c r="A6" s="2" t="str">
        <f t="shared" si="1"/>
        <v>NÃO</v>
      </c>
      <c r="B6" s="2" t="str">
        <f>_xlfn.XLOOKUP($N6,'Base de Grupos'!$A:$A,'Base de Grupos'!$D:$D)</f>
        <v>1000065763</v>
      </c>
      <c r="C6" s="5" t="str">
        <f>_xlfn.XLOOKUP($N6,'Base de Grupos'!$A:$A,'Base de Grupos'!$E:$E)</f>
        <v>CANAL VENDA INTERNA</v>
      </c>
      <c r="D6" s="5" t="str">
        <f>_xlfn.XLOOKUP($N6,'Base de Grupos'!$A:$A,'Base de Grupos'!$F:$F)</f>
        <v>1000065763</v>
      </c>
      <c r="E6" s="2" t="str">
        <f>_xlfn.XLOOKUP($N6,'Base de Grupos'!$A:$A,'Base de Grupos'!$G:$G)</f>
        <v>CANAL VENDA INTERNA</v>
      </c>
      <c r="F6" s="2" t="str">
        <f>_xlfn.XLOOKUP($N6,'Base de Grupos'!$A:$A,'Base de Grupos'!$H:$H)</f>
        <v>1000105900</v>
      </c>
      <c r="G6" s="5" t="str">
        <f>_xlfn.XLOOKUP($N6,'Base de Grupos'!$A:$A,'Base de Grupos'!$I:$I)</f>
        <v>REGIONAL VENDA DIRETA CO + NE + NO</v>
      </c>
      <c r="H6" s="5" t="str">
        <f>_xlfn.XLOOKUP($N6,'Base de Grupos'!$A:$A,'Base de Grupos'!$J:$J)</f>
        <v>1000105900</v>
      </c>
      <c r="I6" s="2" t="str">
        <f>_xlfn.XLOOKUP($N6,'Base de Grupos'!$A:$A,'Base de Grupos'!$K:$K)</f>
        <v>REGIONAL VENDA DIRETA CO + NE + NO</v>
      </c>
      <c r="J6" s="2" t="str">
        <f>_xlfn.XLOOKUP($N6,'Base de Grupos'!$A:$A,'Base de Grupos'!$L:$L)</f>
        <v>1000150135</v>
      </c>
      <c r="K6" s="5" t="str">
        <f>_xlfn.XLOOKUP($N6,'Base de Grupos'!$A:$A,'Base de Grupos'!$M:$M)</f>
        <v>HELDER DA SILVA BRUNKOW</v>
      </c>
      <c r="L6" s="5" t="str">
        <f t="shared" si="2"/>
        <v/>
      </c>
      <c r="M6" s="5" t="str">
        <f>_xlfn.XLOOKUP($N6,'Base de Grupos'!$A:$A,'Base de Grupos'!$C:$C)</f>
        <v>AP</v>
      </c>
      <c r="N6" s="3">
        <v>1324</v>
      </c>
      <c r="O6" s="4" t="s">
        <v>224</v>
      </c>
      <c r="P6" s="5" t="s">
        <v>84</v>
      </c>
      <c r="Q6" s="56">
        <v>0</v>
      </c>
      <c r="R6" s="56">
        <v>441.5151111111112</v>
      </c>
      <c r="S6" s="56">
        <v>551.89388888888902</v>
      </c>
      <c r="T6" s="56">
        <f>_xlfn.XLOOKUP($N6,'Calculo Leads'!$A$97:$A$134,'Calculo Leads'!G$97:G$134)*_xlfn.XLOOKUP($P6,'Base Grupo de Produtos'!$E$2:$E$18,'Base Grupo de Produtos'!$F$2:$F$18)</f>
        <v>80</v>
      </c>
      <c r="U6" s="56">
        <f>_xlfn.XLOOKUP($N6,'Calculo Leads'!$A$97:$A$134,'Calculo Leads'!H$97:H$134)*_xlfn.XLOOKUP($P6,'Base Grupo de Produtos'!$E$2:$E$18,'Base Grupo de Produtos'!$F$2:$F$18)</f>
        <v>80</v>
      </c>
      <c r="V6" s="56">
        <f>_xlfn.XLOOKUP($N6,'Calculo Leads'!$A$97:$A$134,'Calculo Leads'!I$97:I$134)*_xlfn.XLOOKUP($P6,'Base Grupo de Produtos'!$E$2:$E$18,'Base Grupo de Produtos'!$F$2:$F$18)</f>
        <v>80</v>
      </c>
      <c r="W6" s="56">
        <f>_xlfn.XLOOKUP($N6,'Calculo Leads'!$A$97:$A$134,'Calculo Leads'!J$97:J$134)*_xlfn.XLOOKUP($P6,'Base Grupo de Produtos'!$E$2:$E$18,'Base Grupo de Produtos'!$F$2:$F$18)</f>
        <v>80</v>
      </c>
      <c r="X6" s="56">
        <f>_xlfn.XLOOKUP($N6,'Calculo Leads'!$A$97:$A$134,'Calculo Leads'!K$97:K$134)*_xlfn.XLOOKUP($P6,'Base Grupo de Produtos'!$E$2:$E$18,'Base Grupo de Produtos'!$F$2:$F$18)</f>
        <v>88</v>
      </c>
      <c r="Y6" s="56">
        <f>_xlfn.XLOOKUP($N6,'Calculo Leads'!$A$97:$A$134,'Calculo Leads'!L$97:L$134)*_xlfn.XLOOKUP($P6,'Base Grupo de Produtos'!$E$2:$E$18,'Base Grupo de Produtos'!$F$2:$F$18)</f>
        <v>88</v>
      </c>
      <c r="Z6" s="56">
        <f>_xlfn.XLOOKUP($N6,'Calculo Leads'!$A$97:$A$134,'Calculo Leads'!M$97:M$134)*_xlfn.XLOOKUP($P6,'Base Grupo de Produtos'!$E$2:$E$18,'Base Grupo de Produtos'!$F$2:$F$18)</f>
        <v>88</v>
      </c>
      <c r="AA6" s="56">
        <f>_xlfn.XLOOKUP($N6,'Calculo Leads'!$A$97:$A$134,'Calculo Leads'!N$97:N$134)*_xlfn.XLOOKUP($P6,'Base Grupo de Produtos'!$E$2:$E$18,'Base Grupo de Produtos'!$F$2:$F$18)</f>
        <v>88</v>
      </c>
      <c r="AB6" s="56">
        <f>_xlfn.XLOOKUP($N6,'Calculo Leads'!$A$97:$A$134,'Calculo Leads'!O$97:O$134)*_xlfn.XLOOKUP($P6,'Base Grupo de Produtos'!$E$2:$E$18,'Base Grupo de Produtos'!$F$2:$F$18)</f>
        <v>88</v>
      </c>
      <c r="AC6" s="61">
        <f t="shared" si="13"/>
        <v>760</v>
      </c>
      <c r="AD6" s="27">
        <f t="shared" si="10"/>
        <v>760</v>
      </c>
      <c r="AE6" s="25">
        <f>IFERROR(_xlfn.XLOOKUP(N6&amp;P6,'Historico Vendas'!G:G,'Historico Vendas'!E:E),0)</f>
        <v>0</v>
      </c>
      <c r="AF6" s="29" t="str">
        <f t="shared" si="8"/>
        <v/>
      </c>
      <c r="AG6" s="24">
        <f>IFERROR(_xlfn.XLOOKUP(N6&amp;P6,'Historico Vendas'!G:G,'Historico Vendas'!F:F),0)</f>
        <v>0</v>
      </c>
      <c r="AH6" s="25">
        <f t="shared" si="11"/>
        <v>993.40900000000022</v>
      </c>
      <c r="AI6" s="24">
        <f t="shared" si="12"/>
        <v>993.40900000000022</v>
      </c>
      <c r="AJ6" s="11">
        <f t="shared" si="9"/>
        <v>0</v>
      </c>
      <c r="AK6" s="9" t="s">
        <v>102</v>
      </c>
      <c r="AL6" s="13">
        <f>IFERROR(INDEX('Balizador da Meta'!$D$3:$F$23,MATCH(Faturamento!$P6,'Balizador da Meta'!$C$3:$C$23,0),MATCH(Faturamento!AK6,'Balizador da Meta'!$D$2:$F$2,0)),"")</f>
        <v>0.15</v>
      </c>
      <c r="AM6" s="9"/>
    </row>
    <row r="7" spans="1:39" x14ac:dyDescent="0.3">
      <c r="A7" s="2" t="str">
        <f t="shared" si="1"/>
        <v>NÃO</v>
      </c>
      <c r="B7" s="2" t="str">
        <f>_xlfn.XLOOKUP($N7,'Base de Grupos'!$A:$A,'Base de Grupos'!$D:$D)</f>
        <v>1000065763</v>
      </c>
      <c r="C7" s="5" t="str">
        <f>_xlfn.XLOOKUP($N7,'Base de Grupos'!$A:$A,'Base de Grupos'!$E:$E)</f>
        <v>CANAL VENDA INTERNA</v>
      </c>
      <c r="D7" s="5" t="str">
        <f>_xlfn.XLOOKUP($N7,'Base de Grupos'!$A:$A,'Base de Grupos'!$F:$F)</f>
        <v>1000065763</v>
      </c>
      <c r="E7" s="2" t="str">
        <f>_xlfn.XLOOKUP($N7,'Base de Grupos'!$A:$A,'Base de Grupos'!$G:$G)</f>
        <v>CANAL VENDA INTERNA</v>
      </c>
      <c r="F7" s="2" t="str">
        <f>_xlfn.XLOOKUP($N7,'Base de Grupos'!$A:$A,'Base de Grupos'!$H:$H)</f>
        <v>1000105900</v>
      </c>
      <c r="G7" s="5" t="str">
        <f>_xlfn.XLOOKUP($N7,'Base de Grupos'!$A:$A,'Base de Grupos'!$I:$I)</f>
        <v>REGIONAL VENDA DIRETA CO + NE + NO</v>
      </c>
      <c r="H7" s="5" t="str">
        <f>_xlfn.XLOOKUP($N7,'Base de Grupos'!$A:$A,'Base de Grupos'!$J:$J)</f>
        <v>1000105900</v>
      </c>
      <c r="I7" s="2" t="str">
        <f>_xlfn.XLOOKUP($N7,'Base de Grupos'!$A:$A,'Base de Grupos'!$K:$K)</f>
        <v>REGIONAL VENDA DIRETA CO + NE + NO</v>
      </c>
      <c r="J7" s="2" t="str">
        <f>_xlfn.XLOOKUP($N7,'Base de Grupos'!$A:$A,'Base de Grupos'!$L:$L)</f>
        <v>1000150135</v>
      </c>
      <c r="K7" s="5" t="str">
        <f>_xlfn.XLOOKUP($N7,'Base de Grupos'!$A:$A,'Base de Grupos'!$M:$M)</f>
        <v>HELDER DA SILVA BRUNKOW</v>
      </c>
      <c r="L7" s="5" t="str">
        <f t="shared" si="2"/>
        <v/>
      </c>
      <c r="M7" s="5" t="str">
        <f>_xlfn.XLOOKUP($N7,'Base de Grupos'!$A:$A,'Base de Grupos'!$C:$C)</f>
        <v>AP</v>
      </c>
      <c r="N7" s="3">
        <v>1324</v>
      </c>
      <c r="O7" s="4" t="s">
        <v>224</v>
      </c>
      <c r="P7" s="5" t="s">
        <v>83</v>
      </c>
      <c r="Q7" s="56">
        <v>0</v>
      </c>
      <c r="R7" s="56">
        <v>555.05619047619052</v>
      </c>
      <c r="S7" s="56">
        <v>555.05619047619052</v>
      </c>
      <c r="T7" s="56">
        <f>_xlfn.XLOOKUP($N7,'Calculo Leads'!$A$97:$A$134,'Calculo Leads'!G$97:G$134)*_xlfn.XLOOKUP($P7,'Base Grupo de Produtos'!$E$2:$E$18,'Base Grupo de Produtos'!$F$2:$F$18)</f>
        <v>100</v>
      </c>
      <c r="U7" s="56">
        <f>_xlfn.XLOOKUP($N7,'Calculo Leads'!$A$97:$A$134,'Calculo Leads'!H$97:H$134)*_xlfn.XLOOKUP($P7,'Base Grupo de Produtos'!$E$2:$E$18,'Base Grupo de Produtos'!$F$2:$F$18)</f>
        <v>100</v>
      </c>
      <c r="V7" s="56">
        <f>_xlfn.XLOOKUP($N7,'Calculo Leads'!$A$97:$A$134,'Calculo Leads'!I$97:I$134)*_xlfn.XLOOKUP($P7,'Base Grupo de Produtos'!$E$2:$E$18,'Base Grupo de Produtos'!$F$2:$F$18)</f>
        <v>100</v>
      </c>
      <c r="W7" s="56">
        <f>_xlfn.XLOOKUP($N7,'Calculo Leads'!$A$97:$A$134,'Calculo Leads'!J$97:J$134)*_xlfn.XLOOKUP($P7,'Base Grupo de Produtos'!$E$2:$E$18,'Base Grupo de Produtos'!$F$2:$F$18)</f>
        <v>100</v>
      </c>
      <c r="X7" s="56">
        <f>_xlfn.XLOOKUP($N7,'Calculo Leads'!$A$97:$A$134,'Calculo Leads'!K$97:K$134)*_xlfn.XLOOKUP($P7,'Base Grupo de Produtos'!$E$2:$E$18,'Base Grupo de Produtos'!$F$2:$F$18)</f>
        <v>110</v>
      </c>
      <c r="Y7" s="56">
        <f>_xlfn.XLOOKUP($N7,'Calculo Leads'!$A$97:$A$134,'Calculo Leads'!L$97:L$134)*_xlfn.XLOOKUP($P7,'Base Grupo de Produtos'!$E$2:$E$18,'Base Grupo de Produtos'!$F$2:$F$18)</f>
        <v>110</v>
      </c>
      <c r="Z7" s="56">
        <f>_xlfn.XLOOKUP($N7,'Calculo Leads'!$A$97:$A$134,'Calculo Leads'!M$97:M$134)*_xlfn.XLOOKUP($P7,'Base Grupo de Produtos'!$E$2:$E$18,'Base Grupo de Produtos'!$F$2:$F$18)</f>
        <v>110</v>
      </c>
      <c r="AA7" s="56">
        <f>_xlfn.XLOOKUP($N7,'Calculo Leads'!$A$97:$A$134,'Calculo Leads'!N$97:N$134)*_xlfn.XLOOKUP($P7,'Base Grupo de Produtos'!$E$2:$E$18,'Base Grupo de Produtos'!$F$2:$F$18)</f>
        <v>110</v>
      </c>
      <c r="AB7" s="56">
        <f>_xlfn.XLOOKUP($N7,'Calculo Leads'!$A$97:$A$134,'Calculo Leads'!O$97:O$134)*_xlfn.XLOOKUP($P7,'Base Grupo de Produtos'!$E$2:$E$18,'Base Grupo de Produtos'!$F$2:$F$18)</f>
        <v>110</v>
      </c>
      <c r="AC7" s="61">
        <f t="shared" si="13"/>
        <v>950</v>
      </c>
      <c r="AD7" s="27">
        <f t="shared" si="10"/>
        <v>950</v>
      </c>
      <c r="AE7" s="25">
        <f>IFERROR(_xlfn.XLOOKUP(N7&amp;P7,'Historico Vendas'!G:G,'Historico Vendas'!E:E),0)</f>
        <v>0</v>
      </c>
      <c r="AF7" s="29" t="str">
        <f t="shared" si="8"/>
        <v/>
      </c>
      <c r="AG7" s="24">
        <f>IFERROR(_xlfn.XLOOKUP(N7&amp;P7,'Historico Vendas'!G:G,'Historico Vendas'!F:F),0)</f>
        <v>0</v>
      </c>
      <c r="AH7" s="25">
        <f t="shared" si="11"/>
        <v>1110.112380952381</v>
      </c>
      <c r="AI7" s="24">
        <f t="shared" si="12"/>
        <v>1110.112380952381</v>
      </c>
      <c r="AJ7" s="11">
        <f t="shared" si="9"/>
        <v>0</v>
      </c>
      <c r="AK7" s="9" t="s">
        <v>102</v>
      </c>
      <c r="AL7" s="13">
        <f>IFERROR(INDEX('Balizador da Meta'!$D$3:$F$23,MATCH(Faturamento!$P7,'Balizador da Meta'!$C$3:$C$23,0),MATCH(Faturamento!AK7,'Balizador da Meta'!$D$2:$F$2,0)),"")</f>
        <v>0</v>
      </c>
      <c r="AM7" s="9"/>
    </row>
    <row r="8" spans="1:39" x14ac:dyDescent="0.3">
      <c r="A8" s="2" t="str">
        <f t="shared" si="1"/>
        <v>NÃO</v>
      </c>
      <c r="B8" s="2" t="str">
        <f>_xlfn.XLOOKUP($N8,'Base de Grupos'!$A:$A,'Base de Grupos'!$D:$D)</f>
        <v>1000065763</v>
      </c>
      <c r="C8" s="5" t="str">
        <f>_xlfn.XLOOKUP($N8,'Base de Grupos'!$A:$A,'Base de Grupos'!$E:$E)</f>
        <v>CANAL VENDA INTERNA</v>
      </c>
      <c r="D8" s="5" t="str">
        <f>_xlfn.XLOOKUP($N8,'Base de Grupos'!$A:$A,'Base de Grupos'!$F:$F)</f>
        <v>1000065763</v>
      </c>
      <c r="E8" s="2" t="str">
        <f>_xlfn.XLOOKUP($N8,'Base de Grupos'!$A:$A,'Base de Grupos'!$G:$G)</f>
        <v>CANAL VENDA INTERNA</v>
      </c>
      <c r="F8" s="2" t="str">
        <f>_xlfn.XLOOKUP($N8,'Base de Grupos'!$A:$A,'Base de Grupos'!$H:$H)</f>
        <v>1000105900</v>
      </c>
      <c r="G8" s="5" t="str">
        <f>_xlfn.XLOOKUP($N8,'Base de Grupos'!$A:$A,'Base de Grupos'!$I:$I)</f>
        <v>REGIONAL VENDA DIRETA CO + NE + NO</v>
      </c>
      <c r="H8" s="5" t="str">
        <f>_xlfn.XLOOKUP($N8,'Base de Grupos'!$A:$A,'Base de Grupos'!$J:$J)</f>
        <v>1000105900</v>
      </c>
      <c r="I8" s="2" t="str">
        <f>_xlfn.XLOOKUP($N8,'Base de Grupos'!$A:$A,'Base de Grupos'!$K:$K)</f>
        <v>REGIONAL VENDA DIRETA CO + NE + NO</v>
      </c>
      <c r="J8" s="2" t="str">
        <f>_xlfn.XLOOKUP($N8,'Base de Grupos'!$A:$A,'Base de Grupos'!$L:$L)</f>
        <v>1000150135</v>
      </c>
      <c r="K8" s="5" t="str">
        <f>_xlfn.XLOOKUP($N8,'Base de Grupos'!$A:$A,'Base de Grupos'!$M:$M)</f>
        <v>HELDER DA SILVA BRUNKOW</v>
      </c>
      <c r="L8" s="5" t="str">
        <f t="shared" si="2"/>
        <v/>
      </c>
      <c r="M8" s="5" t="str">
        <f>_xlfn.XLOOKUP($N8,'Base de Grupos'!$A:$A,'Base de Grupos'!$C:$C)</f>
        <v>AP</v>
      </c>
      <c r="N8" s="3">
        <v>1324</v>
      </c>
      <c r="O8" s="4" t="s">
        <v>224</v>
      </c>
      <c r="P8" s="5" t="s">
        <v>87</v>
      </c>
      <c r="Q8" s="56">
        <v>0</v>
      </c>
      <c r="R8" s="56">
        <v>124.75666666666666</v>
      </c>
      <c r="S8" s="56">
        <v>249.51333333333332</v>
      </c>
      <c r="T8" s="56">
        <f>_xlfn.XLOOKUP($N8,'Calculo Leads'!$A$97:$A$134,'Calculo Leads'!G$97:G$134)*_xlfn.XLOOKUP($P8,'Base Grupo de Produtos'!$E$2:$E$18,'Base Grupo de Produtos'!$F$2:$F$18)</f>
        <v>19.999999999999996</v>
      </c>
      <c r="U8" s="56">
        <f>_xlfn.XLOOKUP($N8,'Calculo Leads'!$A$97:$A$134,'Calculo Leads'!H$97:H$134)*_xlfn.XLOOKUP($P8,'Base Grupo de Produtos'!$E$2:$E$18,'Base Grupo de Produtos'!$F$2:$F$18)</f>
        <v>19.999999999999996</v>
      </c>
      <c r="V8" s="56">
        <f>_xlfn.XLOOKUP($N8,'Calculo Leads'!$A$97:$A$134,'Calculo Leads'!I$97:I$134)*_xlfn.XLOOKUP($P8,'Base Grupo de Produtos'!$E$2:$E$18,'Base Grupo de Produtos'!$F$2:$F$18)</f>
        <v>19.999999999999996</v>
      </c>
      <c r="W8" s="56">
        <f>_xlfn.XLOOKUP($N8,'Calculo Leads'!$A$97:$A$134,'Calculo Leads'!J$97:J$134)*_xlfn.XLOOKUP($P8,'Base Grupo de Produtos'!$E$2:$E$18,'Base Grupo de Produtos'!$F$2:$F$18)</f>
        <v>19.999999999999996</v>
      </c>
      <c r="X8" s="56">
        <f>_xlfn.XLOOKUP($N8,'Calculo Leads'!$A$97:$A$134,'Calculo Leads'!K$97:K$134)*_xlfn.XLOOKUP($P8,'Base Grupo de Produtos'!$E$2:$E$18,'Base Grupo de Produtos'!$F$2:$F$18)</f>
        <v>21.999999999999996</v>
      </c>
      <c r="Y8" s="56">
        <f>_xlfn.XLOOKUP($N8,'Calculo Leads'!$A$97:$A$134,'Calculo Leads'!L$97:L$134)*_xlfn.XLOOKUP($P8,'Base Grupo de Produtos'!$E$2:$E$18,'Base Grupo de Produtos'!$F$2:$F$18)</f>
        <v>21.999999999999996</v>
      </c>
      <c r="Z8" s="56">
        <f>_xlfn.XLOOKUP($N8,'Calculo Leads'!$A$97:$A$134,'Calculo Leads'!M$97:M$134)*_xlfn.XLOOKUP($P8,'Base Grupo de Produtos'!$E$2:$E$18,'Base Grupo de Produtos'!$F$2:$F$18)</f>
        <v>21.999999999999996</v>
      </c>
      <c r="AA8" s="56">
        <f>_xlfn.XLOOKUP($N8,'Calculo Leads'!$A$97:$A$134,'Calculo Leads'!N$97:N$134)*_xlfn.XLOOKUP($P8,'Base Grupo de Produtos'!$E$2:$E$18,'Base Grupo de Produtos'!$F$2:$F$18)</f>
        <v>21.999999999999996</v>
      </c>
      <c r="AB8" s="56">
        <f>_xlfn.XLOOKUP($N8,'Calculo Leads'!$A$97:$A$134,'Calculo Leads'!O$97:O$134)*_xlfn.XLOOKUP($P8,'Base Grupo de Produtos'!$E$2:$E$18,'Base Grupo de Produtos'!$F$2:$F$18)</f>
        <v>21.999999999999996</v>
      </c>
      <c r="AC8" s="61">
        <f t="shared" si="13"/>
        <v>189.99999999999997</v>
      </c>
      <c r="AD8" s="27">
        <f t="shared" si="10"/>
        <v>189.99999999999997</v>
      </c>
      <c r="AE8" s="25">
        <f>IFERROR(_xlfn.XLOOKUP(N8&amp;P8,'Historico Vendas'!G:G,'Historico Vendas'!E:E),0)</f>
        <v>0</v>
      </c>
      <c r="AF8" s="29" t="str">
        <f t="shared" si="8"/>
        <v/>
      </c>
      <c r="AG8" s="24">
        <f>IFERROR(_xlfn.XLOOKUP(N8&amp;P8,'Historico Vendas'!G:G,'Historico Vendas'!F:F),0)</f>
        <v>0</v>
      </c>
      <c r="AH8" s="25">
        <f t="shared" si="11"/>
        <v>374.27</v>
      </c>
      <c r="AI8" s="24">
        <f t="shared" si="12"/>
        <v>374.27</v>
      </c>
      <c r="AJ8" s="11">
        <f t="shared" si="9"/>
        <v>0</v>
      </c>
      <c r="AK8" s="9" t="s">
        <v>102</v>
      </c>
      <c r="AL8" s="13">
        <f>IFERROR(INDEX('Balizador da Meta'!$D$3:$F$23,MATCH(Faturamento!$P8,'Balizador da Meta'!$C$3:$C$23,0),MATCH(Faturamento!AK8,'Balizador da Meta'!$D$2:$F$2,0)),"")</f>
        <v>0</v>
      </c>
      <c r="AM8" s="9"/>
    </row>
    <row r="9" spans="1:39" x14ac:dyDescent="0.3">
      <c r="A9" s="2" t="str">
        <f t="shared" si="1"/>
        <v>NÃO</v>
      </c>
      <c r="B9" s="2" t="str">
        <f>_xlfn.XLOOKUP($N9,'Base de Grupos'!$A:$A,'Base de Grupos'!$D:$D)</f>
        <v>1000065763</v>
      </c>
      <c r="C9" s="5" t="str">
        <f>_xlfn.XLOOKUP($N9,'Base de Grupos'!$A:$A,'Base de Grupos'!$E:$E)</f>
        <v>CANAL VENDA INTERNA</v>
      </c>
      <c r="D9" s="5" t="str">
        <f>_xlfn.XLOOKUP($N9,'Base de Grupos'!$A:$A,'Base de Grupos'!$F:$F)</f>
        <v>1000065763</v>
      </c>
      <c r="E9" s="2" t="str">
        <f>_xlfn.XLOOKUP($N9,'Base de Grupos'!$A:$A,'Base de Grupos'!$G:$G)</f>
        <v>CANAL VENDA INTERNA</v>
      </c>
      <c r="F9" s="2" t="str">
        <f>_xlfn.XLOOKUP($N9,'Base de Grupos'!$A:$A,'Base de Grupos'!$H:$H)</f>
        <v>1000105900</v>
      </c>
      <c r="G9" s="5" t="str">
        <f>_xlfn.XLOOKUP($N9,'Base de Grupos'!$A:$A,'Base de Grupos'!$I:$I)</f>
        <v>REGIONAL VENDA DIRETA CO + NE + NO</v>
      </c>
      <c r="H9" s="5" t="str">
        <f>_xlfn.XLOOKUP($N9,'Base de Grupos'!$A:$A,'Base de Grupos'!$J:$J)</f>
        <v>1000105900</v>
      </c>
      <c r="I9" s="2" t="str">
        <f>_xlfn.XLOOKUP($N9,'Base de Grupos'!$A:$A,'Base de Grupos'!$K:$K)</f>
        <v>REGIONAL VENDA DIRETA CO + NE + NO</v>
      </c>
      <c r="J9" s="2" t="str">
        <f>_xlfn.XLOOKUP($N9,'Base de Grupos'!$A:$A,'Base de Grupos'!$L:$L)</f>
        <v>1000150135</v>
      </c>
      <c r="K9" s="5" t="str">
        <f>_xlfn.XLOOKUP($N9,'Base de Grupos'!$A:$A,'Base de Grupos'!$M:$M)</f>
        <v>HELDER DA SILVA BRUNKOW</v>
      </c>
      <c r="L9" s="5" t="str">
        <f t="shared" si="2"/>
        <v/>
      </c>
      <c r="M9" s="5" t="str">
        <f>_xlfn.XLOOKUP($N9,'Base de Grupos'!$A:$A,'Base de Grupos'!$C:$C)</f>
        <v>AP</v>
      </c>
      <c r="N9" s="3">
        <v>1324</v>
      </c>
      <c r="O9" s="4" t="s">
        <v>224</v>
      </c>
      <c r="P9" s="5" t="s">
        <v>85</v>
      </c>
      <c r="Q9" s="56">
        <v>0</v>
      </c>
      <c r="R9" s="56">
        <v>315.14999999999998</v>
      </c>
      <c r="S9" s="56">
        <v>420.2</v>
      </c>
      <c r="T9" s="56">
        <f>_xlfn.XLOOKUP($N9,'Calculo Leads'!$A$97:$A$134,'Calculo Leads'!G$97:G$134)*_xlfn.XLOOKUP($P9,'Base Grupo de Produtos'!$E$2:$E$18,'Base Grupo de Produtos'!$F$2:$F$18)</f>
        <v>20</v>
      </c>
      <c r="U9" s="56">
        <f>_xlfn.XLOOKUP($N9,'Calculo Leads'!$A$97:$A$134,'Calculo Leads'!H$97:H$134)*_xlfn.XLOOKUP($P9,'Base Grupo de Produtos'!$E$2:$E$18,'Base Grupo de Produtos'!$F$2:$F$18)</f>
        <v>20</v>
      </c>
      <c r="V9" s="56">
        <f>_xlfn.XLOOKUP($N9,'Calculo Leads'!$A$97:$A$134,'Calculo Leads'!I$97:I$134)*_xlfn.XLOOKUP($P9,'Base Grupo de Produtos'!$E$2:$E$18,'Base Grupo de Produtos'!$F$2:$F$18)</f>
        <v>20</v>
      </c>
      <c r="W9" s="56">
        <f>_xlfn.XLOOKUP($N9,'Calculo Leads'!$A$97:$A$134,'Calculo Leads'!J$97:J$134)*_xlfn.XLOOKUP($P9,'Base Grupo de Produtos'!$E$2:$E$18,'Base Grupo de Produtos'!$F$2:$F$18)</f>
        <v>20</v>
      </c>
      <c r="X9" s="56">
        <f>_xlfn.XLOOKUP($N9,'Calculo Leads'!$A$97:$A$134,'Calculo Leads'!K$97:K$134)*_xlfn.XLOOKUP($P9,'Base Grupo de Produtos'!$E$2:$E$18,'Base Grupo de Produtos'!$F$2:$F$18)</f>
        <v>22</v>
      </c>
      <c r="Y9" s="56">
        <f>_xlfn.XLOOKUP($N9,'Calculo Leads'!$A$97:$A$134,'Calculo Leads'!L$97:L$134)*_xlfn.XLOOKUP($P9,'Base Grupo de Produtos'!$E$2:$E$18,'Base Grupo de Produtos'!$F$2:$F$18)</f>
        <v>22</v>
      </c>
      <c r="Z9" s="56">
        <f>_xlfn.XLOOKUP($N9,'Calculo Leads'!$A$97:$A$134,'Calculo Leads'!M$97:M$134)*_xlfn.XLOOKUP($P9,'Base Grupo de Produtos'!$E$2:$E$18,'Base Grupo de Produtos'!$F$2:$F$18)</f>
        <v>22</v>
      </c>
      <c r="AA9" s="56">
        <f>_xlfn.XLOOKUP($N9,'Calculo Leads'!$A$97:$A$134,'Calculo Leads'!N$97:N$134)*_xlfn.XLOOKUP($P9,'Base Grupo de Produtos'!$E$2:$E$18,'Base Grupo de Produtos'!$F$2:$F$18)</f>
        <v>22</v>
      </c>
      <c r="AB9" s="56">
        <f>_xlfn.XLOOKUP($N9,'Calculo Leads'!$A$97:$A$134,'Calculo Leads'!O$97:O$134)*_xlfn.XLOOKUP($P9,'Base Grupo de Produtos'!$E$2:$E$18,'Base Grupo de Produtos'!$F$2:$F$18)</f>
        <v>22</v>
      </c>
      <c r="AC9" s="61">
        <f t="shared" si="13"/>
        <v>190</v>
      </c>
      <c r="AD9" s="27">
        <f t="shared" si="10"/>
        <v>190</v>
      </c>
      <c r="AE9" s="25">
        <f>IFERROR(_xlfn.XLOOKUP(N9&amp;P9,'Historico Vendas'!G:G,'Historico Vendas'!E:E),0)</f>
        <v>0</v>
      </c>
      <c r="AF9" s="29" t="str">
        <f t="shared" si="8"/>
        <v/>
      </c>
      <c r="AG9" s="24">
        <f>IFERROR(_xlfn.XLOOKUP(N9&amp;P9,'Historico Vendas'!G:G,'Historico Vendas'!F:F),0)</f>
        <v>0</v>
      </c>
      <c r="AH9" s="25">
        <f t="shared" si="11"/>
        <v>735.34999999999991</v>
      </c>
      <c r="AI9" s="24">
        <f t="shared" si="12"/>
        <v>735.34999999999991</v>
      </c>
      <c r="AJ9" s="11">
        <f t="shared" si="9"/>
        <v>0</v>
      </c>
      <c r="AK9" s="9" t="s">
        <v>102</v>
      </c>
      <c r="AL9" s="13">
        <f>IFERROR(INDEX('Balizador da Meta'!$D$3:$F$23,MATCH(Faturamento!$P9,'Balizador da Meta'!$C$3:$C$23,0),MATCH(Faturamento!AK9,'Balizador da Meta'!$D$2:$F$2,0)),"")</f>
        <v>0</v>
      </c>
      <c r="AM9" s="9"/>
    </row>
    <row r="10" spans="1:39" x14ac:dyDescent="0.3">
      <c r="A10" s="2" t="str">
        <f t="shared" si="1"/>
        <v>NÃO</v>
      </c>
      <c r="B10" s="2" t="str">
        <f>_xlfn.XLOOKUP($N10,'Base de Grupos'!$A:$A,'Base de Grupos'!$D:$D)</f>
        <v>1000065763</v>
      </c>
      <c r="C10" s="5" t="str">
        <f>_xlfn.XLOOKUP($N10,'Base de Grupos'!$A:$A,'Base de Grupos'!$E:$E)</f>
        <v>CANAL VENDA INTERNA</v>
      </c>
      <c r="D10" s="5" t="str">
        <f>_xlfn.XLOOKUP($N10,'Base de Grupos'!$A:$A,'Base de Grupos'!$F:$F)</f>
        <v>1000065763</v>
      </c>
      <c r="E10" s="2" t="str">
        <f>_xlfn.XLOOKUP($N10,'Base de Grupos'!$A:$A,'Base de Grupos'!$G:$G)</f>
        <v>CANAL VENDA INTERNA</v>
      </c>
      <c r="F10" s="2" t="str">
        <f>_xlfn.XLOOKUP($N10,'Base de Grupos'!$A:$A,'Base de Grupos'!$H:$H)</f>
        <v>1000105900</v>
      </c>
      <c r="G10" s="5" t="str">
        <f>_xlfn.XLOOKUP($N10,'Base de Grupos'!$A:$A,'Base de Grupos'!$I:$I)</f>
        <v>REGIONAL VENDA DIRETA CO + NE + NO</v>
      </c>
      <c r="H10" s="5" t="str">
        <f>_xlfn.XLOOKUP($N10,'Base de Grupos'!$A:$A,'Base de Grupos'!$J:$J)</f>
        <v>1000105900</v>
      </c>
      <c r="I10" s="2" t="str">
        <f>_xlfn.XLOOKUP($N10,'Base de Grupos'!$A:$A,'Base de Grupos'!$K:$K)</f>
        <v>REGIONAL VENDA DIRETA CO + NE + NO</v>
      </c>
      <c r="J10" s="2" t="str">
        <f>_xlfn.XLOOKUP($N10,'Base de Grupos'!$A:$A,'Base de Grupos'!$L:$L)</f>
        <v>1000150135</v>
      </c>
      <c r="K10" s="5" t="str">
        <f>_xlfn.XLOOKUP($N10,'Base de Grupos'!$A:$A,'Base de Grupos'!$M:$M)</f>
        <v>HELDER DA SILVA BRUNKOW</v>
      </c>
      <c r="L10" s="5" t="str">
        <f t="shared" si="2"/>
        <v/>
      </c>
      <c r="M10" s="5" t="str">
        <f>_xlfn.XLOOKUP($N10,'Base de Grupos'!$A:$A,'Base de Grupos'!$C:$C)</f>
        <v>AP</v>
      </c>
      <c r="N10" s="3">
        <v>1324</v>
      </c>
      <c r="O10" s="4" t="s">
        <v>224</v>
      </c>
      <c r="P10" s="5" t="s">
        <v>92</v>
      </c>
      <c r="Q10" s="56">
        <v>0</v>
      </c>
      <c r="R10" s="56">
        <v>165.49714285714285</v>
      </c>
      <c r="S10" s="56">
        <v>165.49714285714285</v>
      </c>
      <c r="T10" s="56">
        <f>_xlfn.XLOOKUP($N10,'Calculo Leads'!$A$97:$A$134,'Calculo Leads'!G$97:G$134)*_xlfn.XLOOKUP($P10,'Base Grupo de Produtos'!$E$2:$E$18,'Base Grupo de Produtos'!$F$2:$F$18)</f>
        <v>20</v>
      </c>
      <c r="U10" s="56">
        <f>_xlfn.XLOOKUP($N10,'Calculo Leads'!$A$97:$A$134,'Calculo Leads'!H$97:H$134)*_xlfn.XLOOKUP($P10,'Base Grupo de Produtos'!$E$2:$E$18,'Base Grupo de Produtos'!$F$2:$F$18)</f>
        <v>20</v>
      </c>
      <c r="V10" s="56">
        <f>_xlfn.XLOOKUP($N10,'Calculo Leads'!$A$97:$A$134,'Calculo Leads'!I$97:I$134)*_xlfn.XLOOKUP($P10,'Base Grupo de Produtos'!$E$2:$E$18,'Base Grupo de Produtos'!$F$2:$F$18)</f>
        <v>20</v>
      </c>
      <c r="W10" s="56">
        <f>_xlfn.XLOOKUP($N10,'Calculo Leads'!$A$97:$A$134,'Calculo Leads'!J$97:J$134)*_xlfn.XLOOKUP($P10,'Base Grupo de Produtos'!$E$2:$E$18,'Base Grupo de Produtos'!$F$2:$F$18)</f>
        <v>20</v>
      </c>
      <c r="X10" s="56">
        <f>_xlfn.XLOOKUP($N10,'Calculo Leads'!$A$97:$A$134,'Calculo Leads'!K$97:K$134)*_xlfn.XLOOKUP($P10,'Base Grupo de Produtos'!$E$2:$E$18,'Base Grupo de Produtos'!$F$2:$F$18)</f>
        <v>22</v>
      </c>
      <c r="Y10" s="56">
        <f>_xlfn.XLOOKUP($N10,'Calculo Leads'!$A$97:$A$134,'Calculo Leads'!L$97:L$134)*_xlfn.XLOOKUP($P10,'Base Grupo de Produtos'!$E$2:$E$18,'Base Grupo de Produtos'!$F$2:$F$18)</f>
        <v>22</v>
      </c>
      <c r="Z10" s="56">
        <f>_xlfn.XLOOKUP($N10,'Calculo Leads'!$A$97:$A$134,'Calculo Leads'!M$97:M$134)*_xlfn.XLOOKUP($P10,'Base Grupo de Produtos'!$E$2:$E$18,'Base Grupo de Produtos'!$F$2:$F$18)</f>
        <v>22</v>
      </c>
      <c r="AA10" s="56">
        <f>_xlfn.XLOOKUP($N10,'Calculo Leads'!$A$97:$A$134,'Calculo Leads'!N$97:N$134)*_xlfn.XLOOKUP($P10,'Base Grupo de Produtos'!$E$2:$E$18,'Base Grupo de Produtos'!$F$2:$F$18)</f>
        <v>22</v>
      </c>
      <c r="AB10" s="56">
        <f>_xlfn.XLOOKUP($N10,'Calculo Leads'!$A$97:$A$134,'Calculo Leads'!O$97:O$134)*_xlfn.XLOOKUP($P10,'Base Grupo de Produtos'!$E$2:$E$18,'Base Grupo de Produtos'!$F$2:$F$18)</f>
        <v>22</v>
      </c>
      <c r="AC10" s="61">
        <f t="shared" si="13"/>
        <v>190</v>
      </c>
      <c r="AD10" s="27">
        <f t="shared" si="10"/>
        <v>190</v>
      </c>
      <c r="AE10" s="25">
        <f>IFERROR(_xlfn.XLOOKUP(N10&amp;P10,'Historico Vendas'!G:G,'Historico Vendas'!E:E),0)</f>
        <v>0</v>
      </c>
      <c r="AF10" s="29" t="str">
        <f t="shared" si="8"/>
        <v/>
      </c>
      <c r="AG10" s="24">
        <f>IFERROR(_xlfn.XLOOKUP(N10&amp;P10,'Historico Vendas'!G:G,'Historico Vendas'!F:F),0)</f>
        <v>0</v>
      </c>
      <c r="AH10" s="25">
        <f t="shared" si="11"/>
        <v>330.9942857142857</v>
      </c>
      <c r="AI10" s="24">
        <f t="shared" si="12"/>
        <v>330.9942857142857</v>
      </c>
      <c r="AJ10" s="11">
        <f t="shared" si="9"/>
        <v>0</v>
      </c>
      <c r="AK10" s="9" t="s">
        <v>102</v>
      </c>
      <c r="AL10" s="13">
        <f>IFERROR(INDEX('Balizador da Meta'!$D$3:$F$23,MATCH(Faturamento!$P10,'Balizador da Meta'!$C$3:$C$23,0),MATCH(Faturamento!AK10,'Balizador da Meta'!$D$2:$F$2,0)),"")</f>
        <v>0</v>
      </c>
      <c r="AM10" s="9"/>
    </row>
    <row r="11" spans="1:39" x14ac:dyDescent="0.3">
      <c r="A11" s="2" t="str">
        <f t="shared" si="1"/>
        <v>NÃO</v>
      </c>
      <c r="B11" s="2" t="str">
        <f>_xlfn.XLOOKUP($N11,'Base de Grupos'!$A:$A,'Base de Grupos'!$D:$D)</f>
        <v>1000065763</v>
      </c>
      <c r="C11" s="5" t="str">
        <f>_xlfn.XLOOKUP($N11,'Base de Grupos'!$A:$A,'Base de Grupos'!$E:$E)</f>
        <v>CANAL VENDA INTERNA</v>
      </c>
      <c r="D11" s="5" t="str">
        <f>_xlfn.XLOOKUP($N11,'Base de Grupos'!$A:$A,'Base de Grupos'!$F:$F)</f>
        <v>1000065763</v>
      </c>
      <c r="E11" s="2" t="str">
        <f>_xlfn.XLOOKUP($N11,'Base de Grupos'!$A:$A,'Base de Grupos'!$G:$G)</f>
        <v>CANAL VENDA INTERNA</v>
      </c>
      <c r="F11" s="2" t="str">
        <f>_xlfn.XLOOKUP($N11,'Base de Grupos'!$A:$A,'Base de Grupos'!$H:$H)</f>
        <v>1000105900</v>
      </c>
      <c r="G11" s="5" t="str">
        <f>_xlfn.XLOOKUP($N11,'Base de Grupos'!$A:$A,'Base de Grupos'!$I:$I)</f>
        <v>REGIONAL VENDA DIRETA CO + NE + NO</v>
      </c>
      <c r="H11" s="5" t="str">
        <f>_xlfn.XLOOKUP($N11,'Base de Grupos'!$A:$A,'Base de Grupos'!$J:$J)</f>
        <v>1000105900</v>
      </c>
      <c r="I11" s="2" t="str">
        <f>_xlfn.XLOOKUP($N11,'Base de Grupos'!$A:$A,'Base de Grupos'!$K:$K)</f>
        <v>REGIONAL VENDA DIRETA CO + NE + NO</v>
      </c>
      <c r="J11" s="2" t="str">
        <f>_xlfn.XLOOKUP($N11,'Base de Grupos'!$A:$A,'Base de Grupos'!$L:$L)</f>
        <v>1000150135</v>
      </c>
      <c r="K11" s="5" t="str">
        <f>_xlfn.XLOOKUP($N11,'Base de Grupos'!$A:$A,'Base de Grupos'!$M:$M)</f>
        <v>HELDER DA SILVA BRUNKOW</v>
      </c>
      <c r="L11" s="5" t="str">
        <f t="shared" si="2"/>
        <v/>
      </c>
      <c r="M11" s="5" t="str">
        <f>_xlfn.XLOOKUP($N11,'Base de Grupos'!$A:$A,'Base de Grupos'!$C:$C)</f>
        <v>AP</v>
      </c>
      <c r="N11" s="3">
        <v>1324</v>
      </c>
      <c r="O11" s="4" t="s">
        <v>224</v>
      </c>
      <c r="P11" s="5" t="s">
        <v>86</v>
      </c>
      <c r="Q11" s="56">
        <v>0</v>
      </c>
      <c r="R11" s="56">
        <v>89.608571428571423</v>
      </c>
      <c r="S11" s="56">
        <v>179.21714285714285</v>
      </c>
      <c r="T11" s="56">
        <f>_xlfn.XLOOKUP($N11,'Calculo Leads'!$A$97:$A$134,'Calculo Leads'!G$97:G$134)*_xlfn.XLOOKUP($P11,'Base Grupo de Produtos'!$E$2:$E$18,'Base Grupo de Produtos'!$F$2:$F$18)</f>
        <v>30</v>
      </c>
      <c r="U11" s="56">
        <f>_xlfn.XLOOKUP($N11,'Calculo Leads'!$A$97:$A$134,'Calculo Leads'!H$97:H$134)*_xlfn.XLOOKUP($P11,'Base Grupo de Produtos'!$E$2:$E$18,'Base Grupo de Produtos'!$F$2:$F$18)</f>
        <v>30</v>
      </c>
      <c r="V11" s="56">
        <f>_xlfn.XLOOKUP($N11,'Calculo Leads'!$A$97:$A$134,'Calculo Leads'!I$97:I$134)*_xlfn.XLOOKUP($P11,'Base Grupo de Produtos'!$E$2:$E$18,'Base Grupo de Produtos'!$F$2:$F$18)</f>
        <v>30</v>
      </c>
      <c r="W11" s="56">
        <f>_xlfn.XLOOKUP($N11,'Calculo Leads'!$A$97:$A$134,'Calculo Leads'!J$97:J$134)*_xlfn.XLOOKUP($P11,'Base Grupo de Produtos'!$E$2:$E$18,'Base Grupo de Produtos'!$F$2:$F$18)</f>
        <v>30</v>
      </c>
      <c r="X11" s="56">
        <f>_xlfn.XLOOKUP($N11,'Calculo Leads'!$A$97:$A$134,'Calculo Leads'!K$97:K$134)*_xlfn.XLOOKUP($P11,'Base Grupo de Produtos'!$E$2:$E$18,'Base Grupo de Produtos'!$F$2:$F$18)</f>
        <v>33</v>
      </c>
      <c r="Y11" s="56">
        <f>_xlfn.XLOOKUP($N11,'Calculo Leads'!$A$97:$A$134,'Calculo Leads'!L$97:L$134)*_xlfn.XLOOKUP($P11,'Base Grupo de Produtos'!$E$2:$E$18,'Base Grupo de Produtos'!$F$2:$F$18)</f>
        <v>33</v>
      </c>
      <c r="Z11" s="56">
        <f>_xlfn.XLOOKUP($N11,'Calculo Leads'!$A$97:$A$134,'Calculo Leads'!M$97:M$134)*_xlfn.XLOOKUP($P11,'Base Grupo de Produtos'!$E$2:$E$18,'Base Grupo de Produtos'!$F$2:$F$18)</f>
        <v>33</v>
      </c>
      <c r="AA11" s="56">
        <f>_xlfn.XLOOKUP($N11,'Calculo Leads'!$A$97:$A$134,'Calculo Leads'!N$97:N$134)*_xlfn.XLOOKUP($P11,'Base Grupo de Produtos'!$E$2:$E$18,'Base Grupo de Produtos'!$F$2:$F$18)</f>
        <v>33</v>
      </c>
      <c r="AB11" s="56">
        <f>_xlfn.XLOOKUP($N11,'Calculo Leads'!$A$97:$A$134,'Calculo Leads'!O$97:O$134)*_xlfn.XLOOKUP($P11,'Base Grupo de Produtos'!$E$2:$E$18,'Base Grupo de Produtos'!$F$2:$F$18)</f>
        <v>33</v>
      </c>
      <c r="AC11" s="61">
        <f t="shared" si="13"/>
        <v>285</v>
      </c>
      <c r="AD11" s="27">
        <f t="shared" si="10"/>
        <v>285</v>
      </c>
      <c r="AE11" s="25">
        <f>IFERROR(_xlfn.XLOOKUP(N11&amp;P11,'Historico Vendas'!G:G,'Historico Vendas'!E:E),0)</f>
        <v>0</v>
      </c>
      <c r="AF11" s="29" t="str">
        <f t="shared" si="8"/>
        <v/>
      </c>
      <c r="AG11" s="24">
        <f>IFERROR(_xlfn.XLOOKUP(N11&amp;P11,'Historico Vendas'!G:G,'Historico Vendas'!F:F),0)</f>
        <v>0</v>
      </c>
      <c r="AH11" s="25">
        <f t="shared" si="11"/>
        <v>268.8257142857143</v>
      </c>
      <c r="AI11" s="24">
        <f t="shared" si="12"/>
        <v>268.8257142857143</v>
      </c>
      <c r="AJ11" s="11">
        <f t="shared" si="9"/>
        <v>0</v>
      </c>
      <c r="AK11" s="9" t="s">
        <v>102</v>
      </c>
      <c r="AL11" s="13">
        <f>IFERROR(INDEX('Balizador da Meta'!$D$3:$F$23,MATCH(Faturamento!$P11,'Balizador da Meta'!$C$3:$C$23,0),MATCH(Faturamento!AK11,'Balizador da Meta'!$D$2:$F$2,0)),"")</f>
        <v>0.15</v>
      </c>
      <c r="AM11" s="9"/>
    </row>
    <row r="12" spans="1:39" x14ac:dyDescent="0.3">
      <c r="A12" s="2" t="str">
        <f t="shared" si="1"/>
        <v>NÃO</v>
      </c>
      <c r="B12" s="2" t="str">
        <f>_xlfn.XLOOKUP($N12,'Base de Grupos'!$A:$A,'Base de Grupos'!$D:$D)</f>
        <v>1000065763</v>
      </c>
      <c r="C12" s="5" t="str">
        <f>_xlfn.XLOOKUP($N12,'Base de Grupos'!$A:$A,'Base de Grupos'!$E:$E)</f>
        <v>CANAL VENDA INTERNA</v>
      </c>
      <c r="D12" s="5" t="str">
        <f>_xlfn.XLOOKUP($N12,'Base de Grupos'!$A:$A,'Base de Grupos'!$F:$F)</f>
        <v>1000065763</v>
      </c>
      <c r="E12" s="2" t="str">
        <f>_xlfn.XLOOKUP($N12,'Base de Grupos'!$A:$A,'Base de Grupos'!$G:$G)</f>
        <v>CANAL VENDA INTERNA</v>
      </c>
      <c r="F12" s="2" t="str">
        <f>_xlfn.XLOOKUP($N12,'Base de Grupos'!$A:$A,'Base de Grupos'!$H:$H)</f>
        <v>1000105900</v>
      </c>
      <c r="G12" s="5" t="str">
        <f>_xlfn.XLOOKUP($N12,'Base de Grupos'!$A:$A,'Base de Grupos'!$I:$I)</f>
        <v>REGIONAL VENDA DIRETA CO + NE + NO</v>
      </c>
      <c r="H12" s="5" t="str">
        <f>_xlfn.XLOOKUP($N12,'Base de Grupos'!$A:$A,'Base de Grupos'!$J:$J)</f>
        <v>1000105900</v>
      </c>
      <c r="I12" s="2" t="str">
        <f>_xlfn.XLOOKUP($N12,'Base de Grupos'!$A:$A,'Base de Grupos'!$K:$K)</f>
        <v>REGIONAL VENDA DIRETA CO + NE + NO</v>
      </c>
      <c r="J12" s="2" t="str">
        <f>_xlfn.XLOOKUP($N12,'Base de Grupos'!$A:$A,'Base de Grupos'!$L:$L)</f>
        <v>1000150135</v>
      </c>
      <c r="K12" s="5" t="str">
        <f>_xlfn.XLOOKUP($N12,'Base de Grupos'!$A:$A,'Base de Grupos'!$M:$M)</f>
        <v>HELDER DA SILVA BRUNKOW</v>
      </c>
      <c r="L12" s="5" t="str">
        <f t="shared" si="2"/>
        <v/>
      </c>
      <c r="M12" s="5" t="str">
        <f>_xlfn.XLOOKUP($N12,'Base de Grupos'!$A:$A,'Base de Grupos'!$C:$C)</f>
        <v>AP</v>
      </c>
      <c r="N12" s="3">
        <v>1324</v>
      </c>
      <c r="O12" s="4" t="s">
        <v>224</v>
      </c>
      <c r="P12" s="5" t="s">
        <v>108</v>
      </c>
      <c r="Q12" s="56">
        <v>0</v>
      </c>
      <c r="R12" s="56">
        <v>516.1430303030304</v>
      </c>
      <c r="S12" s="56">
        <v>602.16686868686872</v>
      </c>
      <c r="T12" s="56">
        <f>_xlfn.XLOOKUP($N12,'Calculo Leads'!$A$97:$A$134,'Calculo Leads'!G$97:G$134)*_xlfn.XLOOKUP($P12,'Base Grupo de Produtos'!$E$2:$E$18,'Base Grupo de Produtos'!$F$2:$F$18)</f>
        <v>250</v>
      </c>
      <c r="U12" s="56">
        <f>_xlfn.XLOOKUP($N12,'Calculo Leads'!$A$97:$A$134,'Calculo Leads'!H$97:H$134)*_xlfn.XLOOKUP($P12,'Base Grupo de Produtos'!$E$2:$E$18,'Base Grupo de Produtos'!$F$2:$F$18)</f>
        <v>250</v>
      </c>
      <c r="V12" s="56">
        <f>_xlfn.XLOOKUP($N12,'Calculo Leads'!$A$97:$A$134,'Calculo Leads'!I$97:I$134)*_xlfn.XLOOKUP($P12,'Base Grupo de Produtos'!$E$2:$E$18,'Base Grupo de Produtos'!$F$2:$F$18)</f>
        <v>250</v>
      </c>
      <c r="W12" s="56">
        <f>_xlfn.XLOOKUP($N12,'Calculo Leads'!$A$97:$A$134,'Calculo Leads'!J$97:J$134)*_xlfn.XLOOKUP($P12,'Base Grupo de Produtos'!$E$2:$E$18,'Base Grupo de Produtos'!$F$2:$F$18)</f>
        <v>250</v>
      </c>
      <c r="X12" s="56">
        <f>_xlfn.XLOOKUP($N12,'Calculo Leads'!$A$97:$A$134,'Calculo Leads'!K$97:K$134)*_xlfn.XLOOKUP($P12,'Base Grupo de Produtos'!$E$2:$E$18,'Base Grupo de Produtos'!$F$2:$F$18)</f>
        <v>275</v>
      </c>
      <c r="Y12" s="56">
        <f>_xlfn.XLOOKUP($N12,'Calculo Leads'!$A$97:$A$134,'Calculo Leads'!L$97:L$134)*_xlfn.XLOOKUP($P12,'Base Grupo de Produtos'!$E$2:$E$18,'Base Grupo de Produtos'!$F$2:$F$18)</f>
        <v>275</v>
      </c>
      <c r="Z12" s="56">
        <f>_xlfn.XLOOKUP($N12,'Calculo Leads'!$A$97:$A$134,'Calculo Leads'!M$97:M$134)*_xlfn.XLOOKUP($P12,'Base Grupo de Produtos'!$E$2:$E$18,'Base Grupo de Produtos'!$F$2:$F$18)</f>
        <v>275</v>
      </c>
      <c r="AA12" s="56">
        <f>_xlfn.XLOOKUP($N12,'Calculo Leads'!$A$97:$A$134,'Calculo Leads'!N$97:N$134)*_xlfn.XLOOKUP($P12,'Base Grupo de Produtos'!$E$2:$E$18,'Base Grupo de Produtos'!$F$2:$F$18)</f>
        <v>275</v>
      </c>
      <c r="AB12" s="56">
        <f>_xlfn.XLOOKUP($N12,'Calculo Leads'!$A$97:$A$134,'Calculo Leads'!O$97:O$134)*_xlfn.XLOOKUP($P12,'Base Grupo de Produtos'!$E$2:$E$18,'Base Grupo de Produtos'!$F$2:$F$18)</f>
        <v>275</v>
      </c>
      <c r="AC12" s="61">
        <f t="shared" si="13"/>
        <v>2375</v>
      </c>
      <c r="AD12" s="27">
        <f t="shared" si="10"/>
        <v>2375</v>
      </c>
      <c r="AE12" s="25">
        <f>IFERROR(_xlfn.XLOOKUP(N12&amp;P12,'Historico Vendas'!G:G,'Historico Vendas'!E:E),0)</f>
        <v>0</v>
      </c>
      <c r="AF12" s="29" t="str">
        <f t="shared" si="8"/>
        <v/>
      </c>
      <c r="AG12" s="24">
        <f>IFERROR(_xlfn.XLOOKUP(N12&amp;P12,'Historico Vendas'!G:G,'Historico Vendas'!F:F),0)</f>
        <v>0</v>
      </c>
      <c r="AH12" s="25">
        <f t="shared" si="11"/>
        <v>1118.309898989899</v>
      </c>
      <c r="AI12" s="24">
        <f t="shared" si="12"/>
        <v>1118.309898989899</v>
      </c>
      <c r="AJ12" s="11">
        <f t="shared" si="9"/>
        <v>0</v>
      </c>
      <c r="AK12" s="9" t="s">
        <v>102</v>
      </c>
      <c r="AL12" s="13">
        <f>IFERROR(INDEX('Balizador da Meta'!$D$3:$F$23,MATCH(Faturamento!$P12,'Balizador da Meta'!$C$3:$C$23,0),MATCH(Faturamento!AK12,'Balizador da Meta'!$D$2:$F$2,0)),"")</f>
        <v>0</v>
      </c>
      <c r="AM12" s="9"/>
    </row>
    <row r="13" spans="1:39" x14ac:dyDescent="0.3">
      <c r="A13" s="2" t="str">
        <f t="shared" si="1"/>
        <v>NÃO</v>
      </c>
      <c r="B13" s="2" t="str">
        <f>_xlfn.XLOOKUP($N13,'Base de Grupos'!$A:$A,'Base de Grupos'!$D:$D)</f>
        <v>1000065763</v>
      </c>
      <c r="C13" s="5" t="str">
        <f>_xlfn.XLOOKUP($N13,'Base de Grupos'!$A:$A,'Base de Grupos'!$E:$E)</f>
        <v>CANAL VENDA INTERNA</v>
      </c>
      <c r="D13" s="5" t="str">
        <f>_xlfn.XLOOKUP($N13,'Base de Grupos'!$A:$A,'Base de Grupos'!$F:$F)</f>
        <v>1000065763</v>
      </c>
      <c r="E13" s="2" t="str">
        <f>_xlfn.XLOOKUP($N13,'Base de Grupos'!$A:$A,'Base de Grupos'!$G:$G)</f>
        <v>CANAL VENDA INTERNA</v>
      </c>
      <c r="F13" s="2" t="str">
        <f>_xlfn.XLOOKUP($N13,'Base de Grupos'!$A:$A,'Base de Grupos'!$H:$H)</f>
        <v>1000105900</v>
      </c>
      <c r="G13" s="5" t="str">
        <f>_xlfn.XLOOKUP($N13,'Base de Grupos'!$A:$A,'Base de Grupos'!$I:$I)</f>
        <v>REGIONAL VENDA DIRETA CO + NE + NO</v>
      </c>
      <c r="H13" s="5" t="str">
        <f>_xlfn.XLOOKUP($N13,'Base de Grupos'!$A:$A,'Base de Grupos'!$J:$J)</f>
        <v>1000105900</v>
      </c>
      <c r="I13" s="2" t="str">
        <f>_xlfn.XLOOKUP($N13,'Base de Grupos'!$A:$A,'Base de Grupos'!$K:$K)</f>
        <v>REGIONAL VENDA DIRETA CO + NE + NO</v>
      </c>
      <c r="J13" s="2" t="str">
        <f>_xlfn.XLOOKUP($N13,'Base de Grupos'!$A:$A,'Base de Grupos'!$L:$L)</f>
        <v>1000150135</v>
      </c>
      <c r="K13" s="5" t="str">
        <f>_xlfn.XLOOKUP($N13,'Base de Grupos'!$A:$A,'Base de Grupos'!$M:$M)</f>
        <v>HELDER DA SILVA BRUNKOW</v>
      </c>
      <c r="L13" s="5" t="str">
        <f t="shared" si="2"/>
        <v/>
      </c>
      <c r="M13" s="5" t="str">
        <f>_xlfn.XLOOKUP($N13,'Base de Grupos'!$A:$A,'Base de Grupos'!$C:$C)</f>
        <v>AP</v>
      </c>
      <c r="N13" s="3">
        <v>1324</v>
      </c>
      <c r="O13" s="4" t="s">
        <v>224</v>
      </c>
      <c r="P13" s="5" t="s">
        <v>89</v>
      </c>
      <c r="Q13" s="56">
        <v>0</v>
      </c>
      <c r="R13" s="56">
        <v>627.6857142857142</v>
      </c>
      <c r="S13" s="56">
        <v>627.6857142857142</v>
      </c>
      <c r="T13" s="56">
        <f>_xlfn.XLOOKUP($N13,'Calculo Leads'!$A$97:$A$134,'Calculo Leads'!G$97:G$134)*_xlfn.XLOOKUP($P13,'Base Grupo de Produtos'!$E$2:$E$18,'Base Grupo de Produtos'!$F$2:$F$18)</f>
        <v>50</v>
      </c>
      <c r="U13" s="56">
        <f>_xlfn.XLOOKUP($N13,'Calculo Leads'!$A$97:$A$134,'Calculo Leads'!H$97:H$134)*_xlfn.XLOOKUP($P13,'Base Grupo de Produtos'!$E$2:$E$18,'Base Grupo de Produtos'!$F$2:$F$18)</f>
        <v>50</v>
      </c>
      <c r="V13" s="56">
        <f>_xlfn.XLOOKUP($N13,'Calculo Leads'!$A$97:$A$134,'Calculo Leads'!I$97:I$134)*_xlfn.XLOOKUP($P13,'Base Grupo de Produtos'!$E$2:$E$18,'Base Grupo de Produtos'!$F$2:$F$18)</f>
        <v>50</v>
      </c>
      <c r="W13" s="56">
        <f>_xlfn.XLOOKUP($N13,'Calculo Leads'!$A$97:$A$134,'Calculo Leads'!J$97:J$134)*_xlfn.XLOOKUP($P13,'Base Grupo de Produtos'!$E$2:$E$18,'Base Grupo de Produtos'!$F$2:$F$18)</f>
        <v>50</v>
      </c>
      <c r="X13" s="56">
        <f>_xlfn.XLOOKUP($N13,'Calculo Leads'!$A$97:$A$134,'Calculo Leads'!K$97:K$134)*_xlfn.XLOOKUP($P13,'Base Grupo de Produtos'!$E$2:$E$18,'Base Grupo de Produtos'!$F$2:$F$18)</f>
        <v>55</v>
      </c>
      <c r="Y13" s="56">
        <f>_xlfn.XLOOKUP($N13,'Calculo Leads'!$A$97:$A$134,'Calculo Leads'!L$97:L$134)*_xlfn.XLOOKUP($P13,'Base Grupo de Produtos'!$E$2:$E$18,'Base Grupo de Produtos'!$F$2:$F$18)</f>
        <v>55</v>
      </c>
      <c r="Z13" s="56">
        <f>_xlfn.XLOOKUP($N13,'Calculo Leads'!$A$97:$A$134,'Calculo Leads'!M$97:M$134)*_xlfn.XLOOKUP($P13,'Base Grupo de Produtos'!$E$2:$E$18,'Base Grupo de Produtos'!$F$2:$F$18)</f>
        <v>55</v>
      </c>
      <c r="AA13" s="56">
        <f>_xlfn.XLOOKUP($N13,'Calculo Leads'!$A$97:$A$134,'Calculo Leads'!N$97:N$134)*_xlfn.XLOOKUP($P13,'Base Grupo de Produtos'!$E$2:$E$18,'Base Grupo de Produtos'!$F$2:$F$18)</f>
        <v>55</v>
      </c>
      <c r="AB13" s="56">
        <f>_xlfn.XLOOKUP($N13,'Calculo Leads'!$A$97:$A$134,'Calculo Leads'!O$97:O$134)*_xlfn.XLOOKUP($P13,'Base Grupo de Produtos'!$E$2:$E$18,'Base Grupo de Produtos'!$F$2:$F$18)</f>
        <v>55</v>
      </c>
      <c r="AC13" s="61">
        <f t="shared" si="13"/>
        <v>475</v>
      </c>
      <c r="AD13" s="27">
        <f t="shared" si="10"/>
        <v>475</v>
      </c>
      <c r="AE13" s="25">
        <f>IFERROR(_xlfn.XLOOKUP(N13&amp;P13,'Historico Vendas'!G:G,'Historico Vendas'!E:E),0)</f>
        <v>0</v>
      </c>
      <c r="AF13" s="29" t="str">
        <f t="shared" si="8"/>
        <v/>
      </c>
      <c r="AG13" s="24">
        <f>IFERROR(_xlfn.XLOOKUP(N13&amp;P13,'Historico Vendas'!G:G,'Historico Vendas'!F:F),0)</f>
        <v>0</v>
      </c>
      <c r="AH13" s="25">
        <f t="shared" si="11"/>
        <v>1255.3714285714284</v>
      </c>
      <c r="AI13" s="24">
        <f t="shared" si="12"/>
        <v>1255.3714285714284</v>
      </c>
      <c r="AJ13" s="11">
        <f t="shared" si="9"/>
        <v>0</v>
      </c>
      <c r="AK13" s="9" t="s">
        <v>102</v>
      </c>
      <c r="AL13" s="13">
        <f>IFERROR(INDEX('Balizador da Meta'!$D$3:$F$23,MATCH(Faturamento!$P13,'Balizador da Meta'!$C$3:$C$23,0),MATCH(Faturamento!AK13,'Balizador da Meta'!$D$2:$F$2,0)),"")</f>
        <v>0.25</v>
      </c>
      <c r="AM13" s="9"/>
    </row>
    <row r="14" spans="1:39" x14ac:dyDescent="0.3">
      <c r="A14" s="2" t="str">
        <f t="shared" si="1"/>
        <v>NÃO</v>
      </c>
      <c r="B14" s="2" t="str">
        <f>_xlfn.XLOOKUP($N14,'Base de Grupos'!$A:$A,'Base de Grupos'!$D:$D)</f>
        <v>1000065763</v>
      </c>
      <c r="C14" s="5" t="str">
        <f>_xlfn.XLOOKUP($N14,'Base de Grupos'!$A:$A,'Base de Grupos'!$E:$E)</f>
        <v>CANAL VENDA INTERNA</v>
      </c>
      <c r="D14" s="5" t="str">
        <f>_xlfn.XLOOKUP($N14,'Base de Grupos'!$A:$A,'Base de Grupos'!$F:$F)</f>
        <v>1000065763</v>
      </c>
      <c r="E14" s="2" t="str">
        <f>_xlfn.XLOOKUP($N14,'Base de Grupos'!$A:$A,'Base de Grupos'!$G:$G)</f>
        <v>CANAL VENDA INTERNA</v>
      </c>
      <c r="F14" s="2" t="str">
        <f>_xlfn.XLOOKUP($N14,'Base de Grupos'!$A:$A,'Base de Grupos'!$H:$H)</f>
        <v>1000105900</v>
      </c>
      <c r="G14" s="5" t="str">
        <f>_xlfn.XLOOKUP($N14,'Base de Grupos'!$A:$A,'Base de Grupos'!$I:$I)</f>
        <v>REGIONAL VENDA DIRETA CO + NE + NO</v>
      </c>
      <c r="H14" s="5" t="str">
        <f>_xlfn.XLOOKUP($N14,'Base de Grupos'!$A:$A,'Base de Grupos'!$J:$J)</f>
        <v>1000105900</v>
      </c>
      <c r="I14" s="2" t="str">
        <f>_xlfn.XLOOKUP($N14,'Base de Grupos'!$A:$A,'Base de Grupos'!$K:$K)</f>
        <v>REGIONAL VENDA DIRETA CO + NE + NO</v>
      </c>
      <c r="J14" s="2" t="str">
        <f>_xlfn.XLOOKUP($N14,'Base de Grupos'!$A:$A,'Base de Grupos'!$L:$L)</f>
        <v>1000150135</v>
      </c>
      <c r="K14" s="5" t="str">
        <f>_xlfn.XLOOKUP($N14,'Base de Grupos'!$A:$A,'Base de Grupos'!$M:$M)</f>
        <v>HELDER DA SILVA BRUNKOW</v>
      </c>
      <c r="L14" s="5" t="str">
        <f t="shared" si="2"/>
        <v/>
      </c>
      <c r="M14" s="5" t="str">
        <f>_xlfn.XLOOKUP($N14,'Base de Grupos'!$A:$A,'Base de Grupos'!$C:$C)</f>
        <v>AP</v>
      </c>
      <c r="N14" s="3">
        <v>1324</v>
      </c>
      <c r="O14" s="4" t="s">
        <v>224</v>
      </c>
      <c r="P14" s="5" t="s">
        <v>88</v>
      </c>
      <c r="Q14" s="56">
        <v>0</v>
      </c>
      <c r="R14" s="56">
        <v>119.60088888888889</v>
      </c>
      <c r="S14" s="56">
        <v>239.20177777777778</v>
      </c>
      <c r="T14" s="56">
        <f>_xlfn.XLOOKUP($N14,'Calculo Leads'!$A$97:$A$134,'Calculo Leads'!G$97:G$134)*_xlfn.XLOOKUP($P14,'Base Grupo de Produtos'!$E$2:$E$18,'Base Grupo de Produtos'!$F$2:$F$18)</f>
        <v>50</v>
      </c>
      <c r="U14" s="56">
        <f>_xlfn.XLOOKUP($N14,'Calculo Leads'!$A$97:$A$134,'Calculo Leads'!H$97:H$134)*_xlfn.XLOOKUP($P14,'Base Grupo de Produtos'!$E$2:$E$18,'Base Grupo de Produtos'!$F$2:$F$18)</f>
        <v>50</v>
      </c>
      <c r="V14" s="56">
        <f>_xlfn.XLOOKUP($N14,'Calculo Leads'!$A$97:$A$134,'Calculo Leads'!I$97:I$134)*_xlfn.XLOOKUP($P14,'Base Grupo de Produtos'!$E$2:$E$18,'Base Grupo de Produtos'!$F$2:$F$18)</f>
        <v>50</v>
      </c>
      <c r="W14" s="56">
        <f>_xlfn.XLOOKUP($N14,'Calculo Leads'!$A$97:$A$134,'Calculo Leads'!J$97:J$134)*_xlfn.XLOOKUP($P14,'Base Grupo de Produtos'!$E$2:$E$18,'Base Grupo de Produtos'!$F$2:$F$18)</f>
        <v>50</v>
      </c>
      <c r="X14" s="56">
        <f>_xlfn.XLOOKUP($N14,'Calculo Leads'!$A$97:$A$134,'Calculo Leads'!K$97:K$134)*_xlfn.XLOOKUP($P14,'Base Grupo de Produtos'!$E$2:$E$18,'Base Grupo de Produtos'!$F$2:$F$18)</f>
        <v>55</v>
      </c>
      <c r="Y14" s="56">
        <f>_xlfn.XLOOKUP($N14,'Calculo Leads'!$A$97:$A$134,'Calculo Leads'!L$97:L$134)*_xlfn.XLOOKUP($P14,'Base Grupo de Produtos'!$E$2:$E$18,'Base Grupo de Produtos'!$F$2:$F$18)</f>
        <v>55</v>
      </c>
      <c r="Z14" s="56">
        <f>_xlfn.XLOOKUP($N14,'Calculo Leads'!$A$97:$A$134,'Calculo Leads'!M$97:M$134)*_xlfn.XLOOKUP($P14,'Base Grupo de Produtos'!$E$2:$E$18,'Base Grupo de Produtos'!$F$2:$F$18)</f>
        <v>55</v>
      </c>
      <c r="AA14" s="56">
        <f>_xlfn.XLOOKUP($N14,'Calculo Leads'!$A$97:$A$134,'Calculo Leads'!N$97:N$134)*_xlfn.XLOOKUP($P14,'Base Grupo de Produtos'!$E$2:$E$18,'Base Grupo de Produtos'!$F$2:$F$18)</f>
        <v>55</v>
      </c>
      <c r="AB14" s="56">
        <f>_xlfn.XLOOKUP($N14,'Calculo Leads'!$A$97:$A$134,'Calculo Leads'!O$97:O$134)*_xlfn.XLOOKUP($P14,'Base Grupo de Produtos'!$E$2:$E$18,'Base Grupo de Produtos'!$F$2:$F$18)</f>
        <v>55</v>
      </c>
      <c r="AC14" s="61">
        <f t="shared" si="13"/>
        <v>475</v>
      </c>
      <c r="AD14" s="27">
        <f t="shared" si="10"/>
        <v>475</v>
      </c>
      <c r="AE14" s="25">
        <f>IFERROR(_xlfn.XLOOKUP(N14&amp;P14,'Historico Vendas'!G:G,'Historico Vendas'!E:E),0)</f>
        <v>0</v>
      </c>
      <c r="AF14" s="29" t="str">
        <f t="shared" si="8"/>
        <v/>
      </c>
      <c r="AG14" s="24">
        <f>IFERROR(_xlfn.XLOOKUP(N14&amp;P14,'Historico Vendas'!G:G,'Historico Vendas'!F:F),0)</f>
        <v>0</v>
      </c>
      <c r="AH14" s="25">
        <f t="shared" si="11"/>
        <v>358.80266666666665</v>
      </c>
      <c r="AI14" s="24">
        <f t="shared" si="12"/>
        <v>358.80266666666665</v>
      </c>
      <c r="AJ14" s="11">
        <f t="shared" si="9"/>
        <v>0</v>
      </c>
      <c r="AK14" s="9" t="s">
        <v>102</v>
      </c>
      <c r="AL14" s="13">
        <f>IFERROR(INDEX('Balizador da Meta'!$D$3:$F$23,MATCH(Faturamento!$P14,'Balizador da Meta'!$C$3:$C$23,0),MATCH(Faturamento!AK14,'Balizador da Meta'!$D$2:$F$2,0)),"")</f>
        <v>0</v>
      </c>
      <c r="AM14" s="9"/>
    </row>
    <row r="15" spans="1:39" x14ac:dyDescent="0.3">
      <c r="A15" s="2" t="str">
        <f t="shared" si="1"/>
        <v>NÃO</v>
      </c>
      <c r="B15" s="2" t="str">
        <f>_xlfn.XLOOKUP($N15,'Base de Grupos'!$A:$A,'Base de Grupos'!$D:$D)</f>
        <v>1000065763</v>
      </c>
      <c r="C15" s="5" t="str">
        <f>_xlfn.XLOOKUP($N15,'Base de Grupos'!$A:$A,'Base de Grupos'!$E:$E)</f>
        <v>CANAL VENDA INTERNA</v>
      </c>
      <c r="D15" s="5" t="str">
        <f>_xlfn.XLOOKUP($N15,'Base de Grupos'!$A:$A,'Base de Grupos'!$F:$F)</f>
        <v>1000065763</v>
      </c>
      <c r="E15" s="2" t="str">
        <f>_xlfn.XLOOKUP($N15,'Base de Grupos'!$A:$A,'Base de Grupos'!$G:$G)</f>
        <v>CANAL VENDA INTERNA</v>
      </c>
      <c r="F15" s="2" t="str">
        <f>_xlfn.XLOOKUP($N15,'Base de Grupos'!$A:$A,'Base de Grupos'!$H:$H)</f>
        <v>1000105900</v>
      </c>
      <c r="G15" s="5" t="str">
        <f>_xlfn.XLOOKUP($N15,'Base de Grupos'!$A:$A,'Base de Grupos'!$I:$I)</f>
        <v>REGIONAL VENDA DIRETA CO + NE + NO</v>
      </c>
      <c r="H15" s="5" t="str">
        <f>_xlfn.XLOOKUP($N15,'Base de Grupos'!$A:$A,'Base de Grupos'!$J:$J)</f>
        <v>1000105900</v>
      </c>
      <c r="I15" s="2" t="str">
        <f>_xlfn.XLOOKUP($N15,'Base de Grupos'!$A:$A,'Base de Grupos'!$K:$K)</f>
        <v>REGIONAL VENDA DIRETA CO + NE + NO</v>
      </c>
      <c r="J15" s="2" t="str">
        <f>_xlfn.XLOOKUP($N15,'Base de Grupos'!$A:$A,'Base de Grupos'!$L:$L)</f>
        <v>1000150135</v>
      </c>
      <c r="K15" s="5" t="str">
        <f>_xlfn.XLOOKUP($N15,'Base de Grupos'!$A:$A,'Base de Grupos'!$M:$M)</f>
        <v>HELDER DA SILVA BRUNKOW</v>
      </c>
      <c r="L15" s="5" t="str">
        <f t="shared" si="2"/>
        <v/>
      </c>
      <c r="M15" s="5" t="str">
        <f>_xlfn.XLOOKUP($N15,'Base de Grupos'!$A:$A,'Base de Grupos'!$C:$C)</f>
        <v>AP</v>
      </c>
      <c r="N15" s="3">
        <v>1324</v>
      </c>
      <c r="O15" s="4" t="s">
        <v>224</v>
      </c>
      <c r="P15" s="5" t="s">
        <v>90</v>
      </c>
      <c r="Q15" s="56">
        <v>0</v>
      </c>
      <c r="R15" s="56">
        <v>204.36930232558137</v>
      </c>
      <c r="S15" s="56">
        <v>204.36930232558137</v>
      </c>
      <c r="T15" s="56">
        <f>_xlfn.XLOOKUP($N15,'Calculo Leads'!$A$97:$A$134,'Calculo Leads'!G$97:G$134)*_xlfn.XLOOKUP($P15,'Base Grupo de Produtos'!$E$2:$E$18,'Base Grupo de Produtos'!$F$2:$F$18)</f>
        <v>50</v>
      </c>
      <c r="U15" s="56">
        <f>_xlfn.XLOOKUP($N15,'Calculo Leads'!$A$97:$A$134,'Calculo Leads'!H$97:H$134)*_xlfn.XLOOKUP($P15,'Base Grupo de Produtos'!$E$2:$E$18,'Base Grupo de Produtos'!$F$2:$F$18)</f>
        <v>50</v>
      </c>
      <c r="V15" s="56">
        <f>_xlfn.XLOOKUP($N15,'Calculo Leads'!$A$97:$A$134,'Calculo Leads'!I$97:I$134)*_xlfn.XLOOKUP($P15,'Base Grupo de Produtos'!$E$2:$E$18,'Base Grupo de Produtos'!$F$2:$F$18)</f>
        <v>50</v>
      </c>
      <c r="W15" s="56">
        <f>_xlfn.XLOOKUP($N15,'Calculo Leads'!$A$97:$A$134,'Calculo Leads'!J$97:J$134)*_xlfn.XLOOKUP($P15,'Base Grupo de Produtos'!$E$2:$E$18,'Base Grupo de Produtos'!$F$2:$F$18)</f>
        <v>50</v>
      </c>
      <c r="X15" s="56">
        <f>_xlfn.XLOOKUP($N15,'Calculo Leads'!$A$97:$A$134,'Calculo Leads'!K$97:K$134)*_xlfn.XLOOKUP($P15,'Base Grupo de Produtos'!$E$2:$E$18,'Base Grupo de Produtos'!$F$2:$F$18)</f>
        <v>55</v>
      </c>
      <c r="Y15" s="56">
        <f>_xlfn.XLOOKUP($N15,'Calculo Leads'!$A$97:$A$134,'Calculo Leads'!L$97:L$134)*_xlfn.XLOOKUP($P15,'Base Grupo de Produtos'!$E$2:$E$18,'Base Grupo de Produtos'!$F$2:$F$18)</f>
        <v>55</v>
      </c>
      <c r="Z15" s="56">
        <f>_xlfn.XLOOKUP($N15,'Calculo Leads'!$A$97:$A$134,'Calculo Leads'!M$97:M$134)*_xlfn.XLOOKUP($P15,'Base Grupo de Produtos'!$E$2:$E$18,'Base Grupo de Produtos'!$F$2:$F$18)</f>
        <v>55</v>
      </c>
      <c r="AA15" s="56">
        <f>_xlfn.XLOOKUP($N15,'Calculo Leads'!$A$97:$A$134,'Calculo Leads'!N$97:N$134)*_xlfn.XLOOKUP($P15,'Base Grupo de Produtos'!$E$2:$E$18,'Base Grupo de Produtos'!$F$2:$F$18)</f>
        <v>55</v>
      </c>
      <c r="AB15" s="56">
        <f>_xlfn.XLOOKUP($N15,'Calculo Leads'!$A$97:$A$134,'Calculo Leads'!O$97:O$134)*_xlfn.XLOOKUP($P15,'Base Grupo de Produtos'!$E$2:$E$18,'Base Grupo de Produtos'!$F$2:$F$18)</f>
        <v>55</v>
      </c>
      <c r="AC15" s="61">
        <f t="shared" si="13"/>
        <v>475</v>
      </c>
      <c r="AD15" s="27">
        <f t="shared" si="10"/>
        <v>475</v>
      </c>
      <c r="AE15" s="25">
        <f>IFERROR(_xlfn.XLOOKUP(N15&amp;P15,'Historico Vendas'!G:G,'Historico Vendas'!E:E),0)</f>
        <v>0</v>
      </c>
      <c r="AF15" s="29" t="str">
        <f t="shared" si="8"/>
        <v/>
      </c>
      <c r="AG15" s="24">
        <f>IFERROR(_xlfn.XLOOKUP(N15&amp;P15,'Historico Vendas'!G:G,'Historico Vendas'!F:F),0)</f>
        <v>0</v>
      </c>
      <c r="AH15" s="25">
        <f t="shared" si="11"/>
        <v>408.73860465116275</v>
      </c>
      <c r="AI15" s="24">
        <f t="shared" si="12"/>
        <v>408.73860465116275</v>
      </c>
      <c r="AJ15" s="11">
        <f t="shared" si="9"/>
        <v>0</v>
      </c>
      <c r="AK15" s="9" t="s">
        <v>102</v>
      </c>
      <c r="AL15" s="13">
        <f>IFERROR(INDEX('Balizador da Meta'!$D$3:$F$23,MATCH(Faturamento!$P15,'Balizador da Meta'!$C$3:$C$23,0),MATCH(Faturamento!AK15,'Balizador da Meta'!$D$2:$F$2,0)),"")</f>
        <v>0</v>
      </c>
      <c r="AM15" s="9"/>
    </row>
    <row r="16" spans="1:39" x14ac:dyDescent="0.3">
      <c r="A16" s="2" t="str">
        <f t="shared" si="1"/>
        <v>NÃO</v>
      </c>
      <c r="B16" s="2" t="str">
        <f>_xlfn.XLOOKUP($N16,'Base de Grupos'!$A:$A,'Base de Grupos'!$D:$D)</f>
        <v>1000065763</v>
      </c>
      <c r="C16" s="5" t="str">
        <f>_xlfn.XLOOKUP($N16,'Base de Grupos'!$A:$A,'Base de Grupos'!$E:$E)</f>
        <v>CANAL VENDA INTERNA</v>
      </c>
      <c r="D16" s="5" t="str">
        <f>_xlfn.XLOOKUP($N16,'Base de Grupos'!$A:$A,'Base de Grupos'!$F:$F)</f>
        <v>1000065763</v>
      </c>
      <c r="E16" s="2" t="str">
        <f>_xlfn.XLOOKUP($N16,'Base de Grupos'!$A:$A,'Base de Grupos'!$G:$G)</f>
        <v>CANAL VENDA INTERNA</v>
      </c>
      <c r="F16" s="2" t="str">
        <f>_xlfn.XLOOKUP($N16,'Base de Grupos'!$A:$A,'Base de Grupos'!$H:$H)</f>
        <v>1000105900</v>
      </c>
      <c r="G16" s="5" t="str">
        <f>_xlfn.XLOOKUP($N16,'Base de Grupos'!$A:$A,'Base de Grupos'!$I:$I)</f>
        <v>REGIONAL VENDA DIRETA CO + NE + NO</v>
      </c>
      <c r="H16" s="5" t="str">
        <f>_xlfn.XLOOKUP($N16,'Base de Grupos'!$A:$A,'Base de Grupos'!$J:$J)</f>
        <v>1000105900</v>
      </c>
      <c r="I16" s="2" t="str">
        <f>_xlfn.XLOOKUP($N16,'Base de Grupos'!$A:$A,'Base de Grupos'!$K:$K)</f>
        <v>REGIONAL VENDA DIRETA CO + NE + NO</v>
      </c>
      <c r="J16" s="2" t="str">
        <f>_xlfn.XLOOKUP($N16,'Base de Grupos'!$A:$A,'Base de Grupos'!$L:$L)</f>
        <v>1000150135</v>
      </c>
      <c r="K16" s="5" t="str">
        <f>_xlfn.XLOOKUP($N16,'Base de Grupos'!$A:$A,'Base de Grupos'!$M:$M)</f>
        <v>HELDER DA SILVA BRUNKOW</v>
      </c>
      <c r="L16" s="5" t="str">
        <f t="shared" si="2"/>
        <v/>
      </c>
      <c r="M16" s="5" t="str">
        <f>_xlfn.XLOOKUP($N16,'Base de Grupos'!$A:$A,'Base de Grupos'!$C:$C)</f>
        <v>AP</v>
      </c>
      <c r="N16" s="3">
        <v>1324</v>
      </c>
      <c r="O16" s="4" t="s">
        <v>224</v>
      </c>
      <c r="P16" s="5" t="s">
        <v>91</v>
      </c>
      <c r="Q16" s="56">
        <v>0</v>
      </c>
      <c r="R16" s="56">
        <v>143.15866666666668</v>
      </c>
      <c r="S16" s="56">
        <v>143.15866666666668</v>
      </c>
      <c r="T16" s="56">
        <f>_xlfn.XLOOKUP($N16,'Calculo Leads'!$A$97:$A$134,'Calculo Leads'!G$97:G$134)*_xlfn.XLOOKUP($P16,'Base Grupo de Produtos'!$E$2:$E$18,'Base Grupo de Produtos'!$F$2:$F$18)</f>
        <v>0</v>
      </c>
      <c r="U16" s="56">
        <f>_xlfn.XLOOKUP($N16,'Calculo Leads'!$A$97:$A$134,'Calculo Leads'!H$97:H$134)*_xlfn.XLOOKUP($P16,'Base Grupo de Produtos'!$E$2:$E$18,'Base Grupo de Produtos'!$F$2:$F$18)</f>
        <v>0</v>
      </c>
      <c r="V16" s="56">
        <f>_xlfn.XLOOKUP($N16,'Calculo Leads'!$A$97:$A$134,'Calculo Leads'!I$97:I$134)*_xlfn.XLOOKUP($P16,'Base Grupo de Produtos'!$E$2:$E$18,'Base Grupo de Produtos'!$F$2:$F$18)</f>
        <v>0</v>
      </c>
      <c r="W16" s="56">
        <f>_xlfn.XLOOKUP($N16,'Calculo Leads'!$A$97:$A$134,'Calculo Leads'!J$97:J$134)*_xlfn.XLOOKUP($P16,'Base Grupo de Produtos'!$E$2:$E$18,'Base Grupo de Produtos'!$F$2:$F$18)</f>
        <v>0</v>
      </c>
      <c r="X16" s="56">
        <f>_xlfn.XLOOKUP($N16,'Calculo Leads'!$A$97:$A$134,'Calculo Leads'!K$97:K$134)*_xlfn.XLOOKUP($P16,'Base Grupo de Produtos'!$E$2:$E$18,'Base Grupo de Produtos'!$F$2:$F$18)</f>
        <v>0</v>
      </c>
      <c r="Y16" s="56">
        <f>_xlfn.XLOOKUP($N16,'Calculo Leads'!$A$97:$A$134,'Calculo Leads'!L$97:L$134)*_xlfn.XLOOKUP($P16,'Base Grupo de Produtos'!$E$2:$E$18,'Base Grupo de Produtos'!$F$2:$F$18)</f>
        <v>0</v>
      </c>
      <c r="Z16" s="56">
        <f>_xlfn.XLOOKUP($N16,'Calculo Leads'!$A$97:$A$134,'Calculo Leads'!M$97:M$134)*_xlfn.XLOOKUP($P16,'Base Grupo de Produtos'!$E$2:$E$18,'Base Grupo de Produtos'!$F$2:$F$18)</f>
        <v>0</v>
      </c>
      <c r="AA16" s="56">
        <f>_xlfn.XLOOKUP($N16,'Calculo Leads'!$A$97:$A$134,'Calculo Leads'!N$97:N$134)*_xlfn.XLOOKUP($P16,'Base Grupo de Produtos'!$E$2:$E$18,'Base Grupo de Produtos'!$F$2:$F$18)</f>
        <v>0</v>
      </c>
      <c r="AB16" s="56">
        <f>_xlfn.XLOOKUP($N16,'Calculo Leads'!$A$97:$A$134,'Calculo Leads'!O$97:O$134)*_xlfn.XLOOKUP($P16,'Base Grupo de Produtos'!$E$2:$E$18,'Base Grupo de Produtos'!$F$2:$F$18)</f>
        <v>0</v>
      </c>
      <c r="AC16" s="61">
        <f t="shared" si="13"/>
        <v>0</v>
      </c>
      <c r="AD16" s="27">
        <f t="shared" si="10"/>
        <v>0</v>
      </c>
      <c r="AE16" s="25">
        <f>IFERROR(_xlfn.XLOOKUP(N16&amp;P16,'Historico Vendas'!G:G,'Historico Vendas'!E:E),0)</f>
        <v>0</v>
      </c>
      <c r="AF16" s="29" t="str">
        <f t="shared" si="8"/>
        <v/>
      </c>
      <c r="AG16" s="24">
        <f>IFERROR(_xlfn.XLOOKUP(N16&amp;P16,'Historico Vendas'!G:G,'Historico Vendas'!F:F),0)</f>
        <v>0</v>
      </c>
      <c r="AH16" s="25">
        <f t="shared" si="11"/>
        <v>286.31733333333335</v>
      </c>
      <c r="AI16" s="24">
        <f t="shared" si="12"/>
        <v>286.31733333333335</v>
      </c>
      <c r="AJ16" s="11">
        <f t="shared" si="9"/>
        <v>0</v>
      </c>
      <c r="AK16" s="9" t="s">
        <v>102</v>
      </c>
      <c r="AL16" s="13">
        <f>IFERROR(INDEX('Balizador da Meta'!$D$3:$F$23,MATCH(Faturamento!$P16,'Balizador da Meta'!$C$3:$C$23,0),MATCH(Faturamento!AK16,'Balizador da Meta'!$D$2:$F$2,0)),"")</f>
        <v>0</v>
      </c>
      <c r="AM16" s="9"/>
    </row>
    <row r="17" spans="1:39" x14ac:dyDescent="0.3">
      <c r="A17" s="2" t="str">
        <f t="shared" si="1"/>
        <v>NÃO</v>
      </c>
      <c r="B17" s="2" t="str">
        <f>_xlfn.XLOOKUP($N17,'Base de Grupos'!$A:$A,'Base de Grupos'!$D:$D)</f>
        <v>1000065763</v>
      </c>
      <c r="C17" s="5" t="str">
        <f>_xlfn.XLOOKUP($N17,'Base de Grupos'!$A:$A,'Base de Grupos'!$E:$E)</f>
        <v>CANAL VENDA INTERNA</v>
      </c>
      <c r="D17" s="5" t="str">
        <f>_xlfn.XLOOKUP($N17,'Base de Grupos'!$A:$A,'Base de Grupos'!$F:$F)</f>
        <v>1000065763</v>
      </c>
      <c r="E17" s="2" t="str">
        <f>_xlfn.XLOOKUP($N17,'Base de Grupos'!$A:$A,'Base de Grupos'!$G:$G)</f>
        <v>CANAL VENDA INTERNA</v>
      </c>
      <c r="F17" s="2" t="str">
        <f>_xlfn.XLOOKUP($N17,'Base de Grupos'!$A:$A,'Base de Grupos'!$H:$H)</f>
        <v>1000105900</v>
      </c>
      <c r="G17" s="5" t="str">
        <f>_xlfn.XLOOKUP($N17,'Base de Grupos'!$A:$A,'Base de Grupos'!$I:$I)</f>
        <v>REGIONAL VENDA DIRETA CO + NE + NO</v>
      </c>
      <c r="H17" s="5" t="str">
        <f>_xlfn.XLOOKUP($N17,'Base de Grupos'!$A:$A,'Base de Grupos'!$J:$J)</f>
        <v>1000105900</v>
      </c>
      <c r="I17" s="2" t="str">
        <f>_xlfn.XLOOKUP($N17,'Base de Grupos'!$A:$A,'Base de Grupos'!$K:$K)</f>
        <v>REGIONAL VENDA DIRETA CO + NE + NO</v>
      </c>
      <c r="J17" s="2" t="str">
        <f>_xlfn.XLOOKUP($N17,'Base de Grupos'!$A:$A,'Base de Grupos'!$L:$L)</f>
        <v>1000150135</v>
      </c>
      <c r="K17" s="5" t="str">
        <f>_xlfn.XLOOKUP($N17,'Base de Grupos'!$A:$A,'Base de Grupos'!$M:$M)</f>
        <v>HELDER DA SILVA BRUNKOW</v>
      </c>
      <c r="L17" s="5" t="str">
        <f t="shared" ref="L17:L48" si="14">IF(N17&lt;&gt;N16,1,"")</f>
        <v/>
      </c>
      <c r="M17" s="5" t="str">
        <f>_xlfn.XLOOKUP($N17,'Base de Grupos'!$A:$A,'Base de Grupos'!$C:$C)</f>
        <v>AP</v>
      </c>
      <c r="N17" s="3">
        <v>1324</v>
      </c>
      <c r="O17" s="4" t="s">
        <v>224</v>
      </c>
      <c r="P17" s="5" t="s">
        <v>96</v>
      </c>
      <c r="Q17" s="56">
        <v>0</v>
      </c>
      <c r="R17" s="56">
        <v>40.9</v>
      </c>
      <c r="S17" s="56">
        <v>40.9</v>
      </c>
      <c r="T17" s="56">
        <f>_xlfn.XLOOKUP($N17,'Calculo Leads'!$A$97:$A$134,'Calculo Leads'!G$97:G$134)*_xlfn.XLOOKUP($P17,'Base Grupo de Produtos'!$E$2:$E$18,'Base Grupo de Produtos'!$F$2:$F$18)</f>
        <v>70</v>
      </c>
      <c r="U17" s="56">
        <f>_xlfn.XLOOKUP($N17,'Calculo Leads'!$A$97:$A$134,'Calculo Leads'!H$97:H$134)*_xlfn.XLOOKUP($P17,'Base Grupo de Produtos'!$E$2:$E$18,'Base Grupo de Produtos'!$F$2:$F$18)</f>
        <v>70</v>
      </c>
      <c r="V17" s="56">
        <f>_xlfn.XLOOKUP($N17,'Calculo Leads'!$A$97:$A$134,'Calculo Leads'!I$97:I$134)*_xlfn.XLOOKUP($P17,'Base Grupo de Produtos'!$E$2:$E$18,'Base Grupo de Produtos'!$F$2:$F$18)</f>
        <v>70</v>
      </c>
      <c r="W17" s="56">
        <f>_xlfn.XLOOKUP($N17,'Calculo Leads'!$A$97:$A$134,'Calculo Leads'!J$97:J$134)*_xlfn.XLOOKUP($P17,'Base Grupo de Produtos'!$E$2:$E$18,'Base Grupo de Produtos'!$F$2:$F$18)</f>
        <v>70</v>
      </c>
      <c r="X17" s="56">
        <f>_xlfn.XLOOKUP($N17,'Calculo Leads'!$A$97:$A$134,'Calculo Leads'!K$97:K$134)*_xlfn.XLOOKUP($P17,'Base Grupo de Produtos'!$E$2:$E$18,'Base Grupo de Produtos'!$F$2:$F$18)</f>
        <v>77.000000000000014</v>
      </c>
      <c r="Y17" s="56">
        <f>_xlfn.XLOOKUP($N17,'Calculo Leads'!$A$97:$A$134,'Calculo Leads'!L$97:L$134)*_xlfn.XLOOKUP($P17,'Base Grupo de Produtos'!$E$2:$E$18,'Base Grupo de Produtos'!$F$2:$F$18)</f>
        <v>77.000000000000014</v>
      </c>
      <c r="Z17" s="56">
        <f>_xlfn.XLOOKUP($N17,'Calculo Leads'!$A$97:$A$134,'Calculo Leads'!M$97:M$134)*_xlfn.XLOOKUP($P17,'Base Grupo de Produtos'!$E$2:$E$18,'Base Grupo de Produtos'!$F$2:$F$18)</f>
        <v>77.000000000000014</v>
      </c>
      <c r="AA17" s="56">
        <f>_xlfn.XLOOKUP($N17,'Calculo Leads'!$A$97:$A$134,'Calculo Leads'!N$97:N$134)*_xlfn.XLOOKUP($P17,'Base Grupo de Produtos'!$E$2:$E$18,'Base Grupo de Produtos'!$F$2:$F$18)</f>
        <v>77.000000000000014</v>
      </c>
      <c r="AB17" s="56">
        <f>_xlfn.XLOOKUP($N17,'Calculo Leads'!$A$97:$A$134,'Calculo Leads'!O$97:O$134)*_xlfn.XLOOKUP($P17,'Base Grupo de Produtos'!$E$2:$E$18,'Base Grupo de Produtos'!$F$2:$F$18)</f>
        <v>77.000000000000014</v>
      </c>
      <c r="AC17" s="61">
        <f t="shared" si="13"/>
        <v>665</v>
      </c>
      <c r="AD17" s="27">
        <f t="shared" si="10"/>
        <v>665</v>
      </c>
      <c r="AE17" s="25">
        <f>IFERROR(_xlfn.XLOOKUP(N17&amp;P17,'Historico Vendas'!G:G,'Historico Vendas'!E:E),0)</f>
        <v>0</v>
      </c>
      <c r="AF17" s="29" t="str">
        <f t="shared" si="8"/>
        <v/>
      </c>
      <c r="AG17" s="24">
        <f>IFERROR(_xlfn.XLOOKUP(N17&amp;P17,'Historico Vendas'!G:G,'Historico Vendas'!F:F),0)</f>
        <v>0</v>
      </c>
      <c r="AH17" s="25">
        <f t="shared" si="11"/>
        <v>81.8</v>
      </c>
      <c r="AI17" s="24">
        <f t="shared" si="12"/>
        <v>81.8</v>
      </c>
      <c r="AJ17" s="11">
        <f t="shared" si="9"/>
        <v>0</v>
      </c>
      <c r="AK17" s="9" t="s">
        <v>102</v>
      </c>
      <c r="AL17" s="13">
        <f>IFERROR(INDEX('Balizador da Meta'!$D$3:$F$23,MATCH(Faturamento!$P17,'Balizador da Meta'!$C$3:$C$23,0),MATCH(Faturamento!AK17,'Balizador da Meta'!$D$2:$F$2,0)),"")</f>
        <v>0</v>
      </c>
      <c r="AM17" s="9"/>
    </row>
    <row r="18" spans="1:39" x14ac:dyDescent="0.3">
      <c r="A18" s="2" t="str">
        <f t="shared" si="1"/>
        <v>NÃO</v>
      </c>
      <c r="B18" s="2" t="str">
        <f>_xlfn.XLOOKUP($N18,'Base de Grupos'!$A:$A,'Base de Grupos'!$D:$D)</f>
        <v>1000065763</v>
      </c>
      <c r="C18" s="5" t="str">
        <f>_xlfn.XLOOKUP($N18,'Base de Grupos'!$A:$A,'Base de Grupos'!$E:$E)</f>
        <v>CANAL VENDA INTERNA</v>
      </c>
      <c r="D18" s="5" t="str">
        <f>_xlfn.XLOOKUP($N18,'Base de Grupos'!$A:$A,'Base de Grupos'!$F:$F)</f>
        <v>1000065763</v>
      </c>
      <c r="E18" s="2" t="str">
        <f>_xlfn.XLOOKUP($N18,'Base de Grupos'!$A:$A,'Base de Grupos'!$G:$G)</f>
        <v>CANAL VENDA INTERNA</v>
      </c>
      <c r="F18" s="2" t="str">
        <f>_xlfn.XLOOKUP($N18,'Base de Grupos'!$A:$A,'Base de Grupos'!$H:$H)</f>
        <v>1000105900</v>
      </c>
      <c r="G18" s="5" t="str">
        <f>_xlfn.XLOOKUP($N18,'Base de Grupos'!$A:$A,'Base de Grupos'!$I:$I)</f>
        <v>REGIONAL VENDA DIRETA CO + NE + NO</v>
      </c>
      <c r="H18" s="5" t="str">
        <f>_xlfn.XLOOKUP($N18,'Base de Grupos'!$A:$A,'Base de Grupos'!$J:$J)</f>
        <v>1000105900</v>
      </c>
      <c r="I18" s="2" t="str">
        <f>_xlfn.XLOOKUP($N18,'Base de Grupos'!$A:$A,'Base de Grupos'!$K:$K)</f>
        <v>REGIONAL VENDA DIRETA CO + NE + NO</v>
      </c>
      <c r="J18" s="2" t="str">
        <f>_xlfn.XLOOKUP($N18,'Base de Grupos'!$A:$A,'Base de Grupos'!$L:$L)</f>
        <v>1000150135</v>
      </c>
      <c r="K18" s="5" t="str">
        <f>_xlfn.XLOOKUP($N18,'Base de Grupos'!$A:$A,'Base de Grupos'!$M:$M)</f>
        <v>HELDER DA SILVA BRUNKOW</v>
      </c>
      <c r="L18" s="5" t="str">
        <f t="shared" si="14"/>
        <v/>
      </c>
      <c r="M18" s="5" t="str">
        <f>_xlfn.XLOOKUP($N18,'Base de Grupos'!$A:$A,'Base de Grupos'!$C:$C)</f>
        <v>AP</v>
      </c>
      <c r="N18" s="3">
        <v>1324</v>
      </c>
      <c r="O18" s="4" t="s">
        <v>224</v>
      </c>
      <c r="P18" s="5" t="s">
        <v>94</v>
      </c>
      <c r="Q18" s="56">
        <v>0</v>
      </c>
      <c r="R18" s="56">
        <v>1470.3095435684643</v>
      </c>
      <c r="S18" s="56">
        <v>1470.3095435684643</v>
      </c>
      <c r="T18" s="56">
        <f>_xlfn.XLOOKUP($N18,'Calculo Leads'!$A$97:$A$134,'Calculo Leads'!G$97:G$134)*_xlfn.XLOOKUP($P18,'Base Grupo de Produtos'!$E$2:$E$18,'Base Grupo de Produtos'!$F$2:$F$18)</f>
        <v>49.999999999999993</v>
      </c>
      <c r="U18" s="56">
        <f>_xlfn.XLOOKUP($N18,'Calculo Leads'!$A$97:$A$134,'Calculo Leads'!H$97:H$134)*_xlfn.XLOOKUP($P18,'Base Grupo de Produtos'!$E$2:$E$18,'Base Grupo de Produtos'!$F$2:$F$18)</f>
        <v>49.999999999999993</v>
      </c>
      <c r="V18" s="56">
        <f>_xlfn.XLOOKUP($N18,'Calculo Leads'!$A$97:$A$134,'Calculo Leads'!I$97:I$134)*_xlfn.XLOOKUP($P18,'Base Grupo de Produtos'!$E$2:$E$18,'Base Grupo de Produtos'!$F$2:$F$18)</f>
        <v>49.999999999999993</v>
      </c>
      <c r="W18" s="56">
        <f>_xlfn.XLOOKUP($N18,'Calculo Leads'!$A$97:$A$134,'Calculo Leads'!J$97:J$134)*_xlfn.XLOOKUP($P18,'Base Grupo de Produtos'!$E$2:$E$18,'Base Grupo de Produtos'!$F$2:$F$18)</f>
        <v>49.999999999999993</v>
      </c>
      <c r="X18" s="56">
        <f>_xlfn.XLOOKUP($N18,'Calculo Leads'!$A$97:$A$134,'Calculo Leads'!K$97:K$134)*_xlfn.XLOOKUP($P18,'Base Grupo de Produtos'!$E$2:$E$18,'Base Grupo de Produtos'!$F$2:$F$18)</f>
        <v>54.999999999999993</v>
      </c>
      <c r="Y18" s="56">
        <f>_xlfn.XLOOKUP($N18,'Calculo Leads'!$A$97:$A$134,'Calculo Leads'!L$97:L$134)*_xlfn.XLOOKUP($P18,'Base Grupo de Produtos'!$E$2:$E$18,'Base Grupo de Produtos'!$F$2:$F$18)</f>
        <v>54.999999999999993</v>
      </c>
      <c r="Z18" s="56">
        <f>_xlfn.XLOOKUP($N18,'Calculo Leads'!$A$97:$A$134,'Calculo Leads'!M$97:M$134)*_xlfn.XLOOKUP($P18,'Base Grupo de Produtos'!$E$2:$E$18,'Base Grupo de Produtos'!$F$2:$F$18)</f>
        <v>54.999999999999993</v>
      </c>
      <c r="AA18" s="56">
        <f>_xlfn.XLOOKUP($N18,'Calculo Leads'!$A$97:$A$134,'Calculo Leads'!N$97:N$134)*_xlfn.XLOOKUP($P18,'Base Grupo de Produtos'!$E$2:$E$18,'Base Grupo de Produtos'!$F$2:$F$18)</f>
        <v>54.999999999999993</v>
      </c>
      <c r="AB18" s="56">
        <f>_xlfn.XLOOKUP($N18,'Calculo Leads'!$A$97:$A$134,'Calculo Leads'!O$97:O$134)*_xlfn.XLOOKUP($P18,'Base Grupo de Produtos'!$E$2:$E$18,'Base Grupo de Produtos'!$F$2:$F$18)</f>
        <v>54.999999999999993</v>
      </c>
      <c r="AC18" s="61">
        <f t="shared" si="13"/>
        <v>474.99999999999994</v>
      </c>
      <c r="AD18" s="27">
        <f t="shared" si="10"/>
        <v>474.99999999999994</v>
      </c>
      <c r="AE18" s="25">
        <f>IFERROR(_xlfn.XLOOKUP(N18&amp;P18,'Historico Vendas'!G:G,'Historico Vendas'!E:E),0)</f>
        <v>0</v>
      </c>
      <c r="AF18" s="29" t="str">
        <f t="shared" si="8"/>
        <v/>
      </c>
      <c r="AG18" s="24">
        <f>IFERROR(_xlfn.XLOOKUP(N18&amp;P18,'Historico Vendas'!G:G,'Historico Vendas'!F:F),0)</f>
        <v>0</v>
      </c>
      <c r="AH18" s="25">
        <f t="shared" si="11"/>
        <v>2940.6190871369286</v>
      </c>
      <c r="AI18" s="24">
        <f t="shared" si="12"/>
        <v>2940.6190871369286</v>
      </c>
      <c r="AJ18" s="11">
        <f t="shared" si="9"/>
        <v>0</v>
      </c>
      <c r="AK18" s="9" t="s">
        <v>102</v>
      </c>
      <c r="AL18" s="13">
        <f>IFERROR(INDEX('Balizador da Meta'!$D$3:$F$23,MATCH(Faturamento!$P18,'Balizador da Meta'!$C$3:$C$23,0),MATCH(Faturamento!AK18,'Balizador da Meta'!$D$2:$F$2,0)),"")</f>
        <v>0.25</v>
      </c>
      <c r="AM18" s="9"/>
    </row>
    <row r="19" spans="1:39" x14ac:dyDescent="0.3">
      <c r="A19" s="2" t="str">
        <f t="shared" si="1"/>
        <v>NÃO</v>
      </c>
      <c r="B19" s="2" t="str">
        <f>_xlfn.XLOOKUP($N19,'Base de Grupos'!$A:$A,'Base de Grupos'!$D:$D)</f>
        <v>1000065763</v>
      </c>
      <c r="C19" s="5" t="str">
        <f>_xlfn.XLOOKUP($N19,'Base de Grupos'!$A:$A,'Base de Grupos'!$E:$E)</f>
        <v>CANAL VENDA INTERNA</v>
      </c>
      <c r="D19" s="5" t="str">
        <f>_xlfn.XLOOKUP($N19,'Base de Grupos'!$A:$A,'Base de Grupos'!$F:$F)</f>
        <v>1000065763</v>
      </c>
      <c r="E19" s="2" t="str">
        <f>_xlfn.XLOOKUP($N19,'Base de Grupos'!$A:$A,'Base de Grupos'!$G:$G)</f>
        <v>CANAL VENDA INTERNA</v>
      </c>
      <c r="F19" s="2" t="str">
        <f>_xlfn.XLOOKUP($N19,'Base de Grupos'!$A:$A,'Base de Grupos'!$H:$H)</f>
        <v>1000105900</v>
      </c>
      <c r="G19" s="5" t="str">
        <f>_xlfn.XLOOKUP($N19,'Base de Grupos'!$A:$A,'Base de Grupos'!$I:$I)</f>
        <v>REGIONAL VENDA DIRETA CO + NE + NO</v>
      </c>
      <c r="H19" s="5" t="str">
        <f>_xlfn.XLOOKUP($N19,'Base de Grupos'!$A:$A,'Base de Grupos'!$J:$J)</f>
        <v>1000105900</v>
      </c>
      <c r="I19" s="2" t="str">
        <f>_xlfn.XLOOKUP($N19,'Base de Grupos'!$A:$A,'Base de Grupos'!$K:$K)</f>
        <v>REGIONAL VENDA DIRETA CO + NE + NO</v>
      </c>
      <c r="J19" s="2" t="str">
        <f>_xlfn.XLOOKUP($N19,'Base de Grupos'!$A:$A,'Base de Grupos'!$L:$L)</f>
        <v>1000150135</v>
      </c>
      <c r="K19" s="5" t="str">
        <f>_xlfn.XLOOKUP($N19,'Base de Grupos'!$A:$A,'Base de Grupos'!$M:$M)</f>
        <v>HELDER DA SILVA BRUNKOW</v>
      </c>
      <c r="L19" s="5" t="str">
        <f t="shared" si="14"/>
        <v/>
      </c>
      <c r="M19" s="5" t="str">
        <f>_xlfn.XLOOKUP($N19,'Base de Grupos'!$A:$A,'Base de Grupos'!$C:$C)</f>
        <v>AP</v>
      </c>
      <c r="N19" s="3">
        <v>1324</v>
      </c>
      <c r="O19" s="4" t="s">
        <v>224</v>
      </c>
      <c r="P19" s="5" t="s">
        <v>95</v>
      </c>
      <c r="Q19" s="56">
        <v>0</v>
      </c>
      <c r="R19" s="56">
        <v>2302.1240000000003</v>
      </c>
      <c r="S19" s="56">
        <v>2616.0500000000002</v>
      </c>
      <c r="T19" s="56">
        <f>_xlfn.XLOOKUP($N19,'Calculo Leads'!$A$97:$A$134,'Calculo Leads'!G$97:G$134)*_xlfn.XLOOKUP($P19,'Base Grupo de Produtos'!$E$2:$E$18,'Base Grupo de Produtos'!$F$2:$F$18)</f>
        <v>80</v>
      </c>
      <c r="U19" s="56">
        <f>_xlfn.XLOOKUP($N19,'Calculo Leads'!$A$97:$A$134,'Calculo Leads'!H$97:H$134)*_xlfn.XLOOKUP($P19,'Base Grupo de Produtos'!$E$2:$E$18,'Base Grupo de Produtos'!$F$2:$F$18)</f>
        <v>80</v>
      </c>
      <c r="V19" s="56">
        <f>_xlfn.XLOOKUP($N19,'Calculo Leads'!$A$97:$A$134,'Calculo Leads'!I$97:I$134)*_xlfn.XLOOKUP($P19,'Base Grupo de Produtos'!$E$2:$E$18,'Base Grupo de Produtos'!$F$2:$F$18)</f>
        <v>80</v>
      </c>
      <c r="W19" s="56">
        <f>_xlfn.XLOOKUP($N19,'Calculo Leads'!$A$97:$A$134,'Calculo Leads'!J$97:J$134)*_xlfn.XLOOKUP($P19,'Base Grupo de Produtos'!$E$2:$E$18,'Base Grupo de Produtos'!$F$2:$F$18)</f>
        <v>80</v>
      </c>
      <c r="X19" s="56">
        <f>_xlfn.XLOOKUP($N19,'Calculo Leads'!$A$97:$A$134,'Calculo Leads'!K$97:K$134)*_xlfn.XLOOKUP($P19,'Base Grupo de Produtos'!$E$2:$E$18,'Base Grupo de Produtos'!$F$2:$F$18)</f>
        <v>88</v>
      </c>
      <c r="Y19" s="56">
        <f>_xlfn.XLOOKUP($N19,'Calculo Leads'!$A$97:$A$134,'Calculo Leads'!L$97:L$134)*_xlfn.XLOOKUP($P19,'Base Grupo de Produtos'!$E$2:$E$18,'Base Grupo de Produtos'!$F$2:$F$18)</f>
        <v>88</v>
      </c>
      <c r="Z19" s="56">
        <f>_xlfn.XLOOKUP($N19,'Calculo Leads'!$A$97:$A$134,'Calculo Leads'!M$97:M$134)*_xlfn.XLOOKUP($P19,'Base Grupo de Produtos'!$E$2:$E$18,'Base Grupo de Produtos'!$F$2:$F$18)</f>
        <v>88</v>
      </c>
      <c r="AA19" s="56">
        <f>_xlfn.XLOOKUP($N19,'Calculo Leads'!$A$97:$A$134,'Calculo Leads'!N$97:N$134)*_xlfn.XLOOKUP($P19,'Base Grupo de Produtos'!$E$2:$E$18,'Base Grupo de Produtos'!$F$2:$F$18)</f>
        <v>88</v>
      </c>
      <c r="AB19" s="56">
        <f>_xlfn.XLOOKUP($N19,'Calculo Leads'!$A$97:$A$134,'Calculo Leads'!O$97:O$134)*_xlfn.XLOOKUP($P19,'Base Grupo de Produtos'!$E$2:$E$18,'Base Grupo de Produtos'!$F$2:$F$18)</f>
        <v>88</v>
      </c>
      <c r="AC19" s="61">
        <f t="shared" si="13"/>
        <v>760</v>
      </c>
      <c r="AD19" s="27">
        <f t="shared" si="10"/>
        <v>760</v>
      </c>
      <c r="AE19" s="25">
        <f>IFERROR(_xlfn.XLOOKUP(N19&amp;P19,'Historico Vendas'!G:G,'Historico Vendas'!E:E),0)</f>
        <v>0</v>
      </c>
      <c r="AF19" s="29" t="str">
        <f t="shared" si="8"/>
        <v/>
      </c>
      <c r="AG19" s="24">
        <f>IFERROR(_xlfn.XLOOKUP(N19&amp;P19,'Historico Vendas'!G:G,'Historico Vendas'!F:F),0)</f>
        <v>0</v>
      </c>
      <c r="AH19" s="25">
        <f t="shared" si="11"/>
        <v>4918.1740000000009</v>
      </c>
      <c r="AI19" s="24">
        <f t="shared" si="12"/>
        <v>4918.1740000000009</v>
      </c>
      <c r="AJ19" s="11">
        <f t="shared" ref="AJ19:AJ36" si="15">IFERROR(AG19/AH19,"")</f>
        <v>0</v>
      </c>
      <c r="AK19" s="9" t="s">
        <v>102</v>
      </c>
      <c r="AL19" s="13">
        <f>IFERROR(INDEX('Balizador da Meta'!$D$3:$F$23,MATCH(Faturamento!$P19,'Balizador da Meta'!$C$3:$C$23,0),MATCH(Faturamento!AK19,'Balizador da Meta'!$D$2:$F$2,0)),"")</f>
        <v>0.25</v>
      </c>
      <c r="AM19" s="9"/>
    </row>
    <row r="20" spans="1:39" x14ac:dyDescent="0.3">
      <c r="A20" s="2" t="str">
        <f t="shared" si="1"/>
        <v>NÃO</v>
      </c>
      <c r="B20" s="2" t="str">
        <f>_xlfn.XLOOKUP($N20,'Base de Grupos'!$A:$A,'Base de Grupos'!$D:$D)</f>
        <v>1000065763</v>
      </c>
      <c r="C20" s="5" t="str">
        <f>_xlfn.XLOOKUP($N20,'Base de Grupos'!$A:$A,'Base de Grupos'!$E:$E)</f>
        <v>CANAL VENDA INTERNA</v>
      </c>
      <c r="D20" s="5" t="str">
        <f>_xlfn.XLOOKUP($N20,'Base de Grupos'!$A:$A,'Base de Grupos'!$F:$F)</f>
        <v>1000065763</v>
      </c>
      <c r="E20" s="2" t="str">
        <f>_xlfn.XLOOKUP($N20,'Base de Grupos'!$A:$A,'Base de Grupos'!$G:$G)</f>
        <v>CANAL VENDA INTERNA</v>
      </c>
      <c r="F20" s="2" t="str">
        <f>_xlfn.XLOOKUP($N20,'Base de Grupos'!$A:$A,'Base de Grupos'!$H:$H)</f>
        <v>1000105900</v>
      </c>
      <c r="G20" s="5" t="str">
        <f>_xlfn.XLOOKUP($N20,'Base de Grupos'!$A:$A,'Base de Grupos'!$I:$I)</f>
        <v>REGIONAL VENDA DIRETA CO + NE + NO</v>
      </c>
      <c r="H20" s="5" t="str">
        <f>_xlfn.XLOOKUP($N20,'Base de Grupos'!$A:$A,'Base de Grupos'!$J:$J)</f>
        <v>1000105900</v>
      </c>
      <c r="I20" s="2" t="str">
        <f>_xlfn.XLOOKUP($N20,'Base de Grupos'!$A:$A,'Base de Grupos'!$K:$K)</f>
        <v>REGIONAL VENDA DIRETA CO + NE + NO</v>
      </c>
      <c r="J20" s="2" t="str">
        <f>_xlfn.XLOOKUP($N20,'Base de Grupos'!$A:$A,'Base de Grupos'!$L:$L)</f>
        <v>1000150135</v>
      </c>
      <c r="K20" s="5" t="str">
        <f>_xlfn.XLOOKUP($N20,'Base de Grupos'!$A:$A,'Base de Grupos'!$M:$M)</f>
        <v>HELDER DA SILVA BRUNKOW</v>
      </c>
      <c r="L20" s="5" t="str">
        <f t="shared" si="14"/>
        <v/>
      </c>
      <c r="M20" s="5" t="str">
        <f>_xlfn.XLOOKUP($N20,'Base de Grupos'!$A:$A,'Base de Grupos'!$C:$C)</f>
        <v>AP</v>
      </c>
      <c r="N20" s="3">
        <v>1324</v>
      </c>
      <c r="O20" s="4" t="s">
        <v>224</v>
      </c>
      <c r="P20" s="5" t="s">
        <v>93</v>
      </c>
      <c r="Q20" s="56">
        <v>0</v>
      </c>
      <c r="R20" s="56">
        <v>585.97440000000006</v>
      </c>
      <c r="S20" s="56">
        <v>585.97440000000006</v>
      </c>
      <c r="T20" s="56">
        <f>_xlfn.XLOOKUP($N20,'Calculo Leads'!$A$97:$A$134,'Calculo Leads'!G$97:G$134)*_xlfn.XLOOKUP($P20,'Base Grupo de Produtos'!$E$2:$E$18,'Base Grupo de Produtos'!$F$2:$F$18)</f>
        <v>30</v>
      </c>
      <c r="U20" s="56">
        <f>_xlfn.XLOOKUP($N20,'Calculo Leads'!$A$97:$A$134,'Calculo Leads'!H$97:H$134)*_xlfn.XLOOKUP($P20,'Base Grupo de Produtos'!$E$2:$E$18,'Base Grupo de Produtos'!$F$2:$F$18)</f>
        <v>30</v>
      </c>
      <c r="V20" s="56">
        <f>_xlfn.XLOOKUP($N20,'Calculo Leads'!$A$97:$A$134,'Calculo Leads'!I$97:I$134)*_xlfn.XLOOKUP($P20,'Base Grupo de Produtos'!$E$2:$E$18,'Base Grupo de Produtos'!$F$2:$F$18)</f>
        <v>30</v>
      </c>
      <c r="W20" s="56">
        <f>_xlfn.XLOOKUP($N20,'Calculo Leads'!$A$97:$A$134,'Calculo Leads'!J$97:J$134)*_xlfn.XLOOKUP($P20,'Base Grupo de Produtos'!$E$2:$E$18,'Base Grupo de Produtos'!$F$2:$F$18)</f>
        <v>30</v>
      </c>
      <c r="X20" s="56">
        <f>_xlfn.XLOOKUP($N20,'Calculo Leads'!$A$97:$A$134,'Calculo Leads'!K$97:K$134)*_xlfn.XLOOKUP($P20,'Base Grupo de Produtos'!$E$2:$E$18,'Base Grupo de Produtos'!$F$2:$F$18)</f>
        <v>33</v>
      </c>
      <c r="Y20" s="56">
        <f>_xlfn.XLOOKUP($N20,'Calculo Leads'!$A$97:$A$134,'Calculo Leads'!L$97:L$134)*_xlfn.XLOOKUP($P20,'Base Grupo de Produtos'!$E$2:$E$18,'Base Grupo de Produtos'!$F$2:$F$18)</f>
        <v>33</v>
      </c>
      <c r="Z20" s="56">
        <f>_xlfn.XLOOKUP($N20,'Calculo Leads'!$A$97:$A$134,'Calculo Leads'!M$97:M$134)*_xlfn.XLOOKUP($P20,'Base Grupo de Produtos'!$E$2:$E$18,'Base Grupo de Produtos'!$F$2:$F$18)</f>
        <v>33</v>
      </c>
      <c r="AA20" s="56">
        <f>_xlfn.XLOOKUP($N20,'Calculo Leads'!$A$97:$A$134,'Calculo Leads'!N$97:N$134)*_xlfn.XLOOKUP($P20,'Base Grupo de Produtos'!$E$2:$E$18,'Base Grupo de Produtos'!$F$2:$F$18)</f>
        <v>33</v>
      </c>
      <c r="AB20" s="56">
        <f>_xlfn.XLOOKUP($N20,'Calculo Leads'!$A$97:$A$134,'Calculo Leads'!O$97:O$134)*_xlfn.XLOOKUP($P20,'Base Grupo de Produtos'!$E$2:$E$18,'Base Grupo de Produtos'!$F$2:$F$18)</f>
        <v>33</v>
      </c>
      <c r="AC20" s="61">
        <f t="shared" si="13"/>
        <v>285</v>
      </c>
      <c r="AD20" s="27">
        <f t="shared" si="10"/>
        <v>285</v>
      </c>
      <c r="AE20" s="25">
        <f>IFERROR(_xlfn.XLOOKUP(N20&amp;P20,'Historico Vendas'!G:G,'Historico Vendas'!E:E),0)</f>
        <v>0</v>
      </c>
      <c r="AF20" s="29" t="str">
        <f t="shared" si="8"/>
        <v/>
      </c>
      <c r="AG20" s="24">
        <f>IFERROR(_xlfn.XLOOKUP(N20&amp;P20,'Historico Vendas'!G:G,'Historico Vendas'!F:F),0)</f>
        <v>0</v>
      </c>
      <c r="AH20" s="25">
        <f t="shared" si="11"/>
        <v>1171.9488000000001</v>
      </c>
      <c r="AI20" s="24">
        <f t="shared" si="12"/>
        <v>1171.9488000000001</v>
      </c>
      <c r="AJ20" s="11">
        <f t="shared" si="15"/>
        <v>0</v>
      </c>
      <c r="AK20" s="9" t="s">
        <v>102</v>
      </c>
      <c r="AL20" s="13">
        <f>IFERROR(INDEX('Balizador da Meta'!$D$3:$F$23,MATCH(Faturamento!$P20,'Balizador da Meta'!$C$3:$C$23,0),MATCH(Faturamento!AK20,'Balizador da Meta'!$D$2:$F$2,0)),"")</f>
        <v>0.2</v>
      </c>
      <c r="AM20" s="9"/>
    </row>
    <row r="21" spans="1:39" x14ac:dyDescent="0.3">
      <c r="A21" s="2" t="str">
        <f t="shared" si="1"/>
        <v>SIM</v>
      </c>
      <c r="B21" s="2" t="str">
        <f>_xlfn.XLOOKUP($N21,'Base de Grupos'!$A:$A,'Base de Grupos'!$D:$D)</f>
        <v>1000065763</v>
      </c>
      <c r="C21" s="5" t="str">
        <f>_xlfn.XLOOKUP($N21,'Base de Grupos'!$A:$A,'Base de Grupos'!$E:$E)</f>
        <v>CANAL VENDA INTERNA</v>
      </c>
      <c r="D21" s="5" t="str">
        <f>_xlfn.XLOOKUP($N21,'Base de Grupos'!$A:$A,'Base de Grupos'!$F:$F)</f>
        <v>1000065763</v>
      </c>
      <c r="E21" s="2" t="str">
        <f>_xlfn.XLOOKUP($N21,'Base de Grupos'!$A:$A,'Base de Grupos'!$G:$G)</f>
        <v>CANAL VENDA INTERNA</v>
      </c>
      <c r="F21" s="2" t="str">
        <f>_xlfn.XLOOKUP($N21,'Base de Grupos'!$A:$A,'Base de Grupos'!$H:$H)</f>
        <v>1000105900</v>
      </c>
      <c r="G21" s="5" t="str">
        <f>_xlfn.XLOOKUP($N21,'Base de Grupos'!$A:$A,'Base de Grupos'!$I:$I)</f>
        <v>REGIONAL VENDA DIRETA CO + NE + NO</v>
      </c>
      <c r="H21" s="5" t="str">
        <f>_xlfn.XLOOKUP($N21,'Base de Grupos'!$A:$A,'Base de Grupos'!$J:$J)</f>
        <v>1000105900</v>
      </c>
      <c r="I21" s="2" t="str">
        <f>_xlfn.XLOOKUP($N21,'Base de Grupos'!$A:$A,'Base de Grupos'!$K:$K)</f>
        <v>REGIONAL VENDA DIRETA CO + NE + NO</v>
      </c>
      <c r="J21" s="2" t="str">
        <f>_xlfn.XLOOKUP($N21,'Base de Grupos'!$A:$A,'Base de Grupos'!$L:$L)</f>
        <v>1000150135</v>
      </c>
      <c r="K21" s="5" t="str">
        <f>_xlfn.XLOOKUP($N21,'Base de Grupos'!$A:$A,'Base de Grupos'!$M:$M)</f>
        <v>HELDER DA SILVA BRUNKOW</v>
      </c>
      <c r="L21" s="5">
        <f t="shared" si="14"/>
        <v>1</v>
      </c>
      <c r="M21" s="5" t="str">
        <f>_xlfn.XLOOKUP($N21,'Base de Grupos'!$A:$A,'Base de Grupos'!$C:$C)</f>
        <v>RN</v>
      </c>
      <c r="N21" s="3">
        <v>1325</v>
      </c>
      <c r="O21" s="4" t="s">
        <v>225</v>
      </c>
      <c r="P21" s="5" t="s">
        <v>295</v>
      </c>
      <c r="Q21" s="56">
        <f t="shared" ref="Q21" si="16">SUM(Q22:Q38)</f>
        <v>0</v>
      </c>
      <c r="R21" s="56">
        <f t="shared" ref="R21" si="17">SUM(R22:R38)</f>
        <v>10568.294327098127</v>
      </c>
      <c r="S21" s="56">
        <f t="shared" ref="S21" si="18">SUM(S22:S38)</f>
        <v>12029.078970466311</v>
      </c>
      <c r="T21" s="56">
        <f t="shared" ref="T21" si="19">SUM(T22:T38)</f>
        <v>3000</v>
      </c>
      <c r="U21" s="56">
        <f t="shared" ref="U21" si="20">SUM(U22:U38)</f>
        <v>3000</v>
      </c>
      <c r="V21" s="56">
        <f t="shared" ref="V21" si="21">SUM(V22:V38)</f>
        <v>4000</v>
      </c>
      <c r="W21" s="56">
        <f t="shared" ref="W21" si="22">SUM(W22:W38)</f>
        <v>5000</v>
      </c>
      <c r="X21" s="56">
        <f t="shared" ref="X21" si="23">SUM(X22:X38)</f>
        <v>5500</v>
      </c>
      <c r="Y21" s="56">
        <f t="shared" ref="Y21" si="24">SUM(Y22:Y38)</f>
        <v>7700</v>
      </c>
      <c r="Z21" s="56">
        <f t="shared" ref="Z21" si="25">SUM(Z22:Z38)</f>
        <v>7700</v>
      </c>
      <c r="AA21" s="56">
        <f t="shared" ref="AA21" si="26">SUM(AA22:AA38)</f>
        <v>8800</v>
      </c>
      <c r="AB21" s="56">
        <f t="shared" ref="AB21" si="27">SUM(AB22:AB38)</f>
        <v>6600</v>
      </c>
      <c r="AC21" s="56">
        <f t="shared" ref="AC21" si="28">SUM(AC22:AC38)</f>
        <v>51300</v>
      </c>
      <c r="AD21" s="25">
        <f t="shared" ref="AD21:AD39" si="29">SUM(AD22:AD38)</f>
        <v>51300</v>
      </c>
      <c r="AE21" s="25">
        <f t="shared" ref="AE21:AI21" si="30">SUM(AE22:AE38)</f>
        <v>0</v>
      </c>
      <c r="AF21" s="11" t="str">
        <f t="shared" si="8"/>
        <v/>
      </c>
      <c r="AG21" s="24">
        <f t="shared" si="30"/>
        <v>0</v>
      </c>
      <c r="AH21" s="25">
        <f t="shared" si="30"/>
        <v>22597.373297564438</v>
      </c>
      <c r="AI21" s="24">
        <f t="shared" si="30"/>
        <v>22597.373297564438</v>
      </c>
      <c r="AJ21" s="11">
        <f t="shared" si="15"/>
        <v>0</v>
      </c>
      <c r="AK21" s="9"/>
      <c r="AL21" s="13"/>
      <c r="AM21" s="9"/>
    </row>
    <row r="22" spans="1:39" x14ac:dyDescent="0.3">
      <c r="A22" s="2" t="str">
        <f t="shared" si="1"/>
        <v>NÃO</v>
      </c>
      <c r="B22" s="2" t="str">
        <f>_xlfn.XLOOKUP($N22,'Base de Grupos'!$A:$A,'Base de Grupos'!$D:$D)</f>
        <v>1000065763</v>
      </c>
      <c r="C22" s="5" t="str">
        <f>_xlfn.XLOOKUP($N22,'Base de Grupos'!$A:$A,'Base de Grupos'!$E:$E)</f>
        <v>CANAL VENDA INTERNA</v>
      </c>
      <c r="D22" s="5" t="str">
        <f>_xlfn.XLOOKUP($N22,'Base de Grupos'!$A:$A,'Base de Grupos'!$F:$F)</f>
        <v>1000065763</v>
      </c>
      <c r="E22" s="2" t="str">
        <f>_xlfn.XLOOKUP($N22,'Base de Grupos'!$A:$A,'Base de Grupos'!$G:$G)</f>
        <v>CANAL VENDA INTERNA</v>
      </c>
      <c r="F22" s="2" t="str">
        <f>_xlfn.XLOOKUP($N22,'Base de Grupos'!$A:$A,'Base de Grupos'!$H:$H)</f>
        <v>1000105900</v>
      </c>
      <c r="G22" s="5" t="str">
        <f>_xlfn.XLOOKUP($N22,'Base de Grupos'!$A:$A,'Base de Grupos'!$I:$I)</f>
        <v>REGIONAL VENDA DIRETA CO + NE + NO</v>
      </c>
      <c r="H22" s="5" t="str">
        <f>_xlfn.XLOOKUP($N22,'Base de Grupos'!$A:$A,'Base de Grupos'!$J:$J)</f>
        <v>1000105900</v>
      </c>
      <c r="I22" s="2" t="str">
        <f>_xlfn.XLOOKUP($N22,'Base de Grupos'!$A:$A,'Base de Grupos'!$K:$K)</f>
        <v>REGIONAL VENDA DIRETA CO + NE + NO</v>
      </c>
      <c r="J22" s="2" t="str">
        <f>_xlfn.XLOOKUP($N22,'Base de Grupos'!$A:$A,'Base de Grupos'!$L:$L)</f>
        <v>1000150135</v>
      </c>
      <c r="K22" s="5" t="str">
        <f>_xlfn.XLOOKUP($N22,'Base de Grupos'!$A:$A,'Base de Grupos'!$M:$M)</f>
        <v>HELDER DA SILVA BRUNKOW</v>
      </c>
      <c r="L22" s="5" t="str">
        <f t="shared" si="14"/>
        <v/>
      </c>
      <c r="M22" s="5" t="str">
        <f>_xlfn.XLOOKUP($N22,'Base de Grupos'!$A:$A,'Base de Grupos'!$C:$C)</f>
        <v>RN</v>
      </c>
      <c r="N22" s="3">
        <v>1325</v>
      </c>
      <c r="O22" s="4" t="s">
        <v>225</v>
      </c>
      <c r="P22" s="5" t="s">
        <v>81</v>
      </c>
      <c r="Q22" s="56">
        <v>0</v>
      </c>
      <c r="R22" s="56">
        <v>404.3886056291048</v>
      </c>
      <c r="S22" s="56">
        <v>505.48575703638102</v>
      </c>
      <c r="T22" s="56">
        <f>_xlfn.XLOOKUP($N22,'Calculo Leads'!$A$97:$A$134,'Calculo Leads'!G$97:G$134)*_xlfn.XLOOKUP($P22,'Base Grupo de Produtos'!$E$2:$E$18,'Base Grupo de Produtos'!$F$2:$F$18)</f>
        <v>150</v>
      </c>
      <c r="U22" s="56">
        <f>_xlfn.XLOOKUP($N22,'Calculo Leads'!$A$97:$A$134,'Calculo Leads'!H$97:H$134)*_xlfn.XLOOKUP($P22,'Base Grupo de Produtos'!$E$2:$E$18,'Base Grupo de Produtos'!$F$2:$F$18)</f>
        <v>150</v>
      </c>
      <c r="V22" s="56">
        <f>_xlfn.XLOOKUP($N22,'Calculo Leads'!$A$97:$A$134,'Calculo Leads'!I$97:I$134)*_xlfn.XLOOKUP($P22,'Base Grupo de Produtos'!$E$2:$E$18,'Base Grupo de Produtos'!$F$2:$F$18)</f>
        <v>200</v>
      </c>
      <c r="W22" s="56">
        <f>_xlfn.XLOOKUP($N22,'Calculo Leads'!$A$97:$A$134,'Calculo Leads'!J$97:J$134)*_xlfn.XLOOKUP($P22,'Base Grupo de Produtos'!$E$2:$E$18,'Base Grupo de Produtos'!$F$2:$F$18)</f>
        <v>250</v>
      </c>
      <c r="X22" s="56">
        <f>_xlfn.XLOOKUP($N22,'Calculo Leads'!$A$97:$A$134,'Calculo Leads'!K$97:K$134)*_xlfn.XLOOKUP($P22,'Base Grupo de Produtos'!$E$2:$E$18,'Base Grupo de Produtos'!$F$2:$F$18)</f>
        <v>275</v>
      </c>
      <c r="Y22" s="56">
        <f>_xlfn.XLOOKUP($N22,'Calculo Leads'!$A$97:$A$134,'Calculo Leads'!L$97:L$134)*_xlfn.XLOOKUP($P22,'Base Grupo de Produtos'!$E$2:$E$18,'Base Grupo de Produtos'!$F$2:$F$18)</f>
        <v>385</v>
      </c>
      <c r="Z22" s="56">
        <f>_xlfn.XLOOKUP($N22,'Calculo Leads'!$A$97:$A$134,'Calculo Leads'!M$97:M$134)*_xlfn.XLOOKUP($P22,'Base Grupo de Produtos'!$E$2:$E$18,'Base Grupo de Produtos'!$F$2:$F$18)</f>
        <v>385</v>
      </c>
      <c r="AA22" s="56">
        <f>_xlfn.XLOOKUP($N22,'Calculo Leads'!$A$97:$A$134,'Calculo Leads'!N$97:N$134)*_xlfn.XLOOKUP($P22,'Base Grupo de Produtos'!$E$2:$E$18,'Base Grupo de Produtos'!$F$2:$F$18)</f>
        <v>440</v>
      </c>
      <c r="AB22" s="56">
        <f>_xlfn.XLOOKUP($N22,'Calculo Leads'!$A$97:$A$134,'Calculo Leads'!O$97:O$134)*_xlfn.XLOOKUP($P22,'Base Grupo de Produtos'!$E$2:$E$18,'Base Grupo de Produtos'!$F$2:$F$18)</f>
        <v>330</v>
      </c>
      <c r="AC22" s="61">
        <f t="shared" si="13"/>
        <v>2565</v>
      </c>
      <c r="AD22" s="27">
        <f t="shared" ref="AD22:AD38" si="31">IF(AC22=0,0,AC22-AG22)</f>
        <v>2565</v>
      </c>
      <c r="AE22" s="25">
        <f>IFERROR(_xlfn.XLOOKUP(N22&amp;P22,'Historico Vendas'!G:G,'Historico Vendas'!E:E),0)</f>
        <v>0</v>
      </c>
      <c r="AF22" s="29" t="str">
        <f t="shared" si="8"/>
        <v/>
      </c>
      <c r="AG22" s="24">
        <f>IFERROR(_xlfn.XLOOKUP(N22&amp;P22,'Historico Vendas'!G:G,'Historico Vendas'!F:F),0)</f>
        <v>0</v>
      </c>
      <c r="AH22" s="25">
        <f t="shared" ref="AH22:AH38" si="32">SUM(Q22:S22)</f>
        <v>909.87436266548582</v>
      </c>
      <c r="AI22" s="24">
        <f t="shared" ref="AI22:AI38" si="33">AH22-AG22</f>
        <v>909.87436266548582</v>
      </c>
      <c r="AJ22" s="11">
        <f t="shared" si="15"/>
        <v>0</v>
      </c>
      <c r="AK22" s="9" t="s">
        <v>102</v>
      </c>
      <c r="AL22" s="13">
        <f>IFERROR(INDEX('Balizador da Meta'!$D$3:$F$23,MATCH(Faturamento!$P22,'Balizador da Meta'!$C$3:$C$23,0),MATCH(Faturamento!AK22,'Balizador da Meta'!$D$2:$F$2,0)),"")</f>
        <v>0.2</v>
      </c>
      <c r="AM22" s="9"/>
    </row>
    <row r="23" spans="1:39" x14ac:dyDescent="0.3">
      <c r="A23" s="2" t="str">
        <f t="shared" si="1"/>
        <v>NÃO</v>
      </c>
      <c r="B23" s="2" t="str">
        <f>_xlfn.XLOOKUP($N23,'Base de Grupos'!$A:$A,'Base de Grupos'!$D:$D)</f>
        <v>1000065763</v>
      </c>
      <c r="C23" s="5" t="str">
        <f>_xlfn.XLOOKUP($N23,'Base de Grupos'!$A:$A,'Base de Grupos'!$E:$E)</f>
        <v>CANAL VENDA INTERNA</v>
      </c>
      <c r="D23" s="5" t="str">
        <f>_xlfn.XLOOKUP($N23,'Base de Grupos'!$A:$A,'Base de Grupos'!$F:$F)</f>
        <v>1000065763</v>
      </c>
      <c r="E23" s="2" t="str">
        <f>_xlfn.XLOOKUP($N23,'Base de Grupos'!$A:$A,'Base de Grupos'!$G:$G)</f>
        <v>CANAL VENDA INTERNA</v>
      </c>
      <c r="F23" s="2" t="str">
        <f>_xlfn.XLOOKUP($N23,'Base de Grupos'!$A:$A,'Base de Grupos'!$H:$H)</f>
        <v>1000105900</v>
      </c>
      <c r="G23" s="5" t="str">
        <f>_xlfn.XLOOKUP($N23,'Base de Grupos'!$A:$A,'Base de Grupos'!$I:$I)</f>
        <v>REGIONAL VENDA DIRETA CO + NE + NO</v>
      </c>
      <c r="H23" s="5" t="str">
        <f>_xlfn.XLOOKUP($N23,'Base de Grupos'!$A:$A,'Base de Grupos'!$J:$J)</f>
        <v>1000105900</v>
      </c>
      <c r="I23" s="2" t="str">
        <f>_xlfn.XLOOKUP($N23,'Base de Grupos'!$A:$A,'Base de Grupos'!$K:$K)</f>
        <v>REGIONAL VENDA DIRETA CO + NE + NO</v>
      </c>
      <c r="J23" s="2" t="str">
        <f>_xlfn.XLOOKUP($N23,'Base de Grupos'!$A:$A,'Base de Grupos'!$L:$L)</f>
        <v>1000150135</v>
      </c>
      <c r="K23" s="5" t="str">
        <f>_xlfn.XLOOKUP($N23,'Base de Grupos'!$A:$A,'Base de Grupos'!$M:$M)</f>
        <v>HELDER DA SILVA BRUNKOW</v>
      </c>
      <c r="L23" s="5" t="str">
        <f t="shared" si="14"/>
        <v/>
      </c>
      <c r="M23" s="5" t="str">
        <f>_xlfn.XLOOKUP($N23,'Base de Grupos'!$A:$A,'Base de Grupos'!$C:$C)</f>
        <v>RN</v>
      </c>
      <c r="N23" s="3">
        <v>1325</v>
      </c>
      <c r="O23" s="4" t="s">
        <v>225</v>
      </c>
      <c r="P23" s="5" t="s">
        <v>82</v>
      </c>
      <c r="Q23" s="56">
        <v>0</v>
      </c>
      <c r="R23" s="56">
        <v>2462.0564928909953</v>
      </c>
      <c r="S23" s="56">
        <v>2872.3992417061613</v>
      </c>
      <c r="T23" s="56">
        <f>_xlfn.XLOOKUP($N23,'Calculo Leads'!$A$97:$A$134,'Calculo Leads'!G$97:G$134)*_xlfn.XLOOKUP($P23,'Base Grupo de Produtos'!$E$2:$E$18,'Base Grupo de Produtos'!$F$2:$F$18)</f>
        <v>150</v>
      </c>
      <c r="U23" s="56">
        <f>_xlfn.XLOOKUP($N23,'Calculo Leads'!$A$97:$A$134,'Calculo Leads'!H$97:H$134)*_xlfn.XLOOKUP($P23,'Base Grupo de Produtos'!$E$2:$E$18,'Base Grupo de Produtos'!$F$2:$F$18)</f>
        <v>150</v>
      </c>
      <c r="V23" s="56">
        <f>_xlfn.XLOOKUP($N23,'Calculo Leads'!$A$97:$A$134,'Calculo Leads'!I$97:I$134)*_xlfn.XLOOKUP($P23,'Base Grupo de Produtos'!$E$2:$E$18,'Base Grupo de Produtos'!$F$2:$F$18)</f>
        <v>200</v>
      </c>
      <c r="W23" s="56">
        <f>_xlfn.XLOOKUP($N23,'Calculo Leads'!$A$97:$A$134,'Calculo Leads'!J$97:J$134)*_xlfn.XLOOKUP($P23,'Base Grupo de Produtos'!$E$2:$E$18,'Base Grupo de Produtos'!$F$2:$F$18)</f>
        <v>250</v>
      </c>
      <c r="X23" s="56">
        <f>_xlfn.XLOOKUP($N23,'Calculo Leads'!$A$97:$A$134,'Calculo Leads'!K$97:K$134)*_xlfn.XLOOKUP($P23,'Base Grupo de Produtos'!$E$2:$E$18,'Base Grupo de Produtos'!$F$2:$F$18)</f>
        <v>275</v>
      </c>
      <c r="Y23" s="56">
        <f>_xlfn.XLOOKUP($N23,'Calculo Leads'!$A$97:$A$134,'Calculo Leads'!L$97:L$134)*_xlfn.XLOOKUP($P23,'Base Grupo de Produtos'!$E$2:$E$18,'Base Grupo de Produtos'!$F$2:$F$18)</f>
        <v>385</v>
      </c>
      <c r="Z23" s="56">
        <f>_xlfn.XLOOKUP($N23,'Calculo Leads'!$A$97:$A$134,'Calculo Leads'!M$97:M$134)*_xlfn.XLOOKUP($P23,'Base Grupo de Produtos'!$E$2:$E$18,'Base Grupo de Produtos'!$F$2:$F$18)</f>
        <v>385</v>
      </c>
      <c r="AA23" s="56">
        <f>_xlfn.XLOOKUP($N23,'Calculo Leads'!$A$97:$A$134,'Calculo Leads'!N$97:N$134)*_xlfn.XLOOKUP($P23,'Base Grupo de Produtos'!$E$2:$E$18,'Base Grupo de Produtos'!$F$2:$F$18)</f>
        <v>440</v>
      </c>
      <c r="AB23" s="56">
        <f>_xlfn.XLOOKUP($N23,'Calculo Leads'!$A$97:$A$134,'Calculo Leads'!O$97:O$134)*_xlfn.XLOOKUP($P23,'Base Grupo de Produtos'!$E$2:$E$18,'Base Grupo de Produtos'!$F$2:$F$18)</f>
        <v>330</v>
      </c>
      <c r="AC23" s="61">
        <f t="shared" si="13"/>
        <v>2565</v>
      </c>
      <c r="AD23" s="27">
        <f t="shared" si="31"/>
        <v>2565</v>
      </c>
      <c r="AE23" s="25">
        <f>IFERROR(_xlfn.XLOOKUP(N23&amp;P23,'Historico Vendas'!G:G,'Historico Vendas'!E:E),0)</f>
        <v>0</v>
      </c>
      <c r="AF23" s="29" t="str">
        <f t="shared" si="8"/>
        <v/>
      </c>
      <c r="AG23" s="24">
        <f>IFERROR(_xlfn.XLOOKUP(N23&amp;P23,'Historico Vendas'!G:G,'Historico Vendas'!F:F),0)</f>
        <v>0</v>
      </c>
      <c r="AH23" s="25">
        <f t="shared" si="32"/>
        <v>5334.4557345971571</v>
      </c>
      <c r="AI23" s="24">
        <f t="shared" si="33"/>
        <v>5334.4557345971571</v>
      </c>
      <c r="AJ23" s="11">
        <f t="shared" si="15"/>
        <v>0</v>
      </c>
      <c r="AK23" s="9" t="s">
        <v>102</v>
      </c>
      <c r="AL23" s="13">
        <f>IFERROR(INDEX('Balizador da Meta'!$D$3:$F$23,MATCH(Faturamento!$P23,'Balizador da Meta'!$C$3:$C$23,0),MATCH(Faturamento!AK23,'Balizador da Meta'!$D$2:$F$2,0)),"")</f>
        <v>0.2</v>
      </c>
      <c r="AM23" s="9"/>
    </row>
    <row r="24" spans="1:39" x14ac:dyDescent="0.3">
      <c r="A24" s="2" t="str">
        <f t="shared" si="1"/>
        <v>NÃO</v>
      </c>
      <c r="B24" s="2" t="str">
        <f>_xlfn.XLOOKUP($N24,'Base de Grupos'!$A:$A,'Base de Grupos'!$D:$D)</f>
        <v>1000065763</v>
      </c>
      <c r="C24" s="5" t="str">
        <f>_xlfn.XLOOKUP($N24,'Base de Grupos'!$A:$A,'Base de Grupos'!$E:$E)</f>
        <v>CANAL VENDA INTERNA</v>
      </c>
      <c r="D24" s="5" t="str">
        <f>_xlfn.XLOOKUP($N24,'Base de Grupos'!$A:$A,'Base de Grupos'!$F:$F)</f>
        <v>1000065763</v>
      </c>
      <c r="E24" s="2" t="str">
        <f>_xlfn.XLOOKUP($N24,'Base de Grupos'!$A:$A,'Base de Grupos'!$G:$G)</f>
        <v>CANAL VENDA INTERNA</v>
      </c>
      <c r="F24" s="2" t="str">
        <f>_xlfn.XLOOKUP($N24,'Base de Grupos'!$A:$A,'Base de Grupos'!$H:$H)</f>
        <v>1000105900</v>
      </c>
      <c r="G24" s="5" t="str">
        <f>_xlfn.XLOOKUP($N24,'Base de Grupos'!$A:$A,'Base de Grupos'!$I:$I)</f>
        <v>REGIONAL VENDA DIRETA CO + NE + NO</v>
      </c>
      <c r="H24" s="5" t="str">
        <f>_xlfn.XLOOKUP($N24,'Base de Grupos'!$A:$A,'Base de Grupos'!$J:$J)</f>
        <v>1000105900</v>
      </c>
      <c r="I24" s="2" t="str">
        <f>_xlfn.XLOOKUP($N24,'Base de Grupos'!$A:$A,'Base de Grupos'!$K:$K)</f>
        <v>REGIONAL VENDA DIRETA CO + NE + NO</v>
      </c>
      <c r="J24" s="2" t="str">
        <f>_xlfn.XLOOKUP($N24,'Base de Grupos'!$A:$A,'Base de Grupos'!$L:$L)</f>
        <v>1000150135</v>
      </c>
      <c r="K24" s="5" t="str">
        <f>_xlfn.XLOOKUP($N24,'Base de Grupos'!$A:$A,'Base de Grupos'!$M:$M)</f>
        <v>HELDER DA SILVA BRUNKOW</v>
      </c>
      <c r="L24" s="5" t="str">
        <f t="shared" si="14"/>
        <v/>
      </c>
      <c r="M24" s="5" t="str">
        <f>_xlfn.XLOOKUP($N24,'Base de Grupos'!$A:$A,'Base de Grupos'!$C:$C)</f>
        <v>RN</v>
      </c>
      <c r="N24" s="3">
        <v>1325</v>
      </c>
      <c r="O24" s="4" t="s">
        <v>225</v>
      </c>
      <c r="P24" s="5" t="s">
        <v>84</v>
      </c>
      <c r="Q24" s="56">
        <v>0</v>
      </c>
      <c r="R24" s="56">
        <v>441.5151111111112</v>
      </c>
      <c r="S24" s="56">
        <v>551.89388888888902</v>
      </c>
      <c r="T24" s="56">
        <f>_xlfn.XLOOKUP($N24,'Calculo Leads'!$A$97:$A$134,'Calculo Leads'!G$97:G$134)*_xlfn.XLOOKUP($P24,'Base Grupo de Produtos'!$E$2:$E$18,'Base Grupo de Produtos'!$F$2:$F$18)</f>
        <v>240</v>
      </c>
      <c r="U24" s="56">
        <f>_xlfn.XLOOKUP($N24,'Calculo Leads'!$A$97:$A$134,'Calculo Leads'!H$97:H$134)*_xlfn.XLOOKUP($P24,'Base Grupo de Produtos'!$E$2:$E$18,'Base Grupo de Produtos'!$F$2:$F$18)</f>
        <v>240</v>
      </c>
      <c r="V24" s="56">
        <f>_xlfn.XLOOKUP($N24,'Calculo Leads'!$A$97:$A$134,'Calculo Leads'!I$97:I$134)*_xlfn.XLOOKUP($P24,'Base Grupo de Produtos'!$E$2:$E$18,'Base Grupo de Produtos'!$F$2:$F$18)</f>
        <v>320</v>
      </c>
      <c r="W24" s="56">
        <f>_xlfn.XLOOKUP($N24,'Calculo Leads'!$A$97:$A$134,'Calculo Leads'!J$97:J$134)*_xlfn.XLOOKUP($P24,'Base Grupo de Produtos'!$E$2:$E$18,'Base Grupo de Produtos'!$F$2:$F$18)</f>
        <v>400</v>
      </c>
      <c r="X24" s="56">
        <f>_xlfn.XLOOKUP($N24,'Calculo Leads'!$A$97:$A$134,'Calculo Leads'!K$97:K$134)*_xlfn.XLOOKUP($P24,'Base Grupo de Produtos'!$E$2:$E$18,'Base Grupo de Produtos'!$F$2:$F$18)</f>
        <v>440</v>
      </c>
      <c r="Y24" s="56">
        <f>_xlfn.XLOOKUP($N24,'Calculo Leads'!$A$97:$A$134,'Calculo Leads'!L$97:L$134)*_xlfn.XLOOKUP($P24,'Base Grupo de Produtos'!$E$2:$E$18,'Base Grupo de Produtos'!$F$2:$F$18)</f>
        <v>616</v>
      </c>
      <c r="Z24" s="56">
        <f>_xlfn.XLOOKUP($N24,'Calculo Leads'!$A$97:$A$134,'Calculo Leads'!M$97:M$134)*_xlfn.XLOOKUP($P24,'Base Grupo de Produtos'!$E$2:$E$18,'Base Grupo de Produtos'!$F$2:$F$18)</f>
        <v>616</v>
      </c>
      <c r="AA24" s="56">
        <f>_xlfn.XLOOKUP($N24,'Calculo Leads'!$A$97:$A$134,'Calculo Leads'!N$97:N$134)*_xlfn.XLOOKUP($P24,'Base Grupo de Produtos'!$E$2:$E$18,'Base Grupo de Produtos'!$F$2:$F$18)</f>
        <v>704</v>
      </c>
      <c r="AB24" s="56">
        <f>_xlfn.XLOOKUP($N24,'Calculo Leads'!$A$97:$A$134,'Calculo Leads'!O$97:O$134)*_xlfn.XLOOKUP($P24,'Base Grupo de Produtos'!$E$2:$E$18,'Base Grupo de Produtos'!$F$2:$F$18)</f>
        <v>528</v>
      </c>
      <c r="AC24" s="61">
        <f t="shared" si="13"/>
        <v>4104</v>
      </c>
      <c r="AD24" s="27">
        <f t="shared" si="31"/>
        <v>4104</v>
      </c>
      <c r="AE24" s="25">
        <f>IFERROR(_xlfn.XLOOKUP(N24&amp;P24,'Historico Vendas'!G:G,'Historico Vendas'!E:E),0)</f>
        <v>0</v>
      </c>
      <c r="AF24" s="29" t="str">
        <f t="shared" si="8"/>
        <v/>
      </c>
      <c r="AG24" s="24">
        <f>IFERROR(_xlfn.XLOOKUP(N24&amp;P24,'Historico Vendas'!G:G,'Historico Vendas'!F:F),0)</f>
        <v>0</v>
      </c>
      <c r="AH24" s="25">
        <f t="shared" si="32"/>
        <v>993.40900000000022</v>
      </c>
      <c r="AI24" s="24">
        <f t="shared" si="33"/>
        <v>993.40900000000022</v>
      </c>
      <c r="AJ24" s="11">
        <f t="shared" si="15"/>
        <v>0</v>
      </c>
      <c r="AK24" s="9" t="s">
        <v>102</v>
      </c>
      <c r="AL24" s="13">
        <f>IFERROR(INDEX('Balizador da Meta'!$D$3:$F$23,MATCH(Faturamento!$P24,'Balizador da Meta'!$C$3:$C$23,0),MATCH(Faturamento!AK24,'Balizador da Meta'!$D$2:$F$2,0)),"")</f>
        <v>0.15</v>
      </c>
      <c r="AM24" s="9"/>
    </row>
    <row r="25" spans="1:39" x14ac:dyDescent="0.3">
      <c r="A25" s="2" t="str">
        <f t="shared" si="1"/>
        <v>NÃO</v>
      </c>
      <c r="B25" s="2" t="str">
        <f>_xlfn.XLOOKUP($N25,'Base de Grupos'!$A:$A,'Base de Grupos'!$D:$D)</f>
        <v>1000065763</v>
      </c>
      <c r="C25" s="5" t="str">
        <f>_xlfn.XLOOKUP($N25,'Base de Grupos'!$A:$A,'Base de Grupos'!$E:$E)</f>
        <v>CANAL VENDA INTERNA</v>
      </c>
      <c r="D25" s="5" t="str">
        <f>_xlfn.XLOOKUP($N25,'Base de Grupos'!$A:$A,'Base de Grupos'!$F:$F)</f>
        <v>1000065763</v>
      </c>
      <c r="E25" s="2" t="str">
        <f>_xlfn.XLOOKUP($N25,'Base de Grupos'!$A:$A,'Base de Grupos'!$G:$G)</f>
        <v>CANAL VENDA INTERNA</v>
      </c>
      <c r="F25" s="2" t="str">
        <f>_xlfn.XLOOKUP($N25,'Base de Grupos'!$A:$A,'Base de Grupos'!$H:$H)</f>
        <v>1000105900</v>
      </c>
      <c r="G25" s="5" t="str">
        <f>_xlfn.XLOOKUP($N25,'Base de Grupos'!$A:$A,'Base de Grupos'!$I:$I)</f>
        <v>REGIONAL VENDA DIRETA CO + NE + NO</v>
      </c>
      <c r="H25" s="5" t="str">
        <f>_xlfn.XLOOKUP($N25,'Base de Grupos'!$A:$A,'Base de Grupos'!$J:$J)</f>
        <v>1000105900</v>
      </c>
      <c r="I25" s="2" t="str">
        <f>_xlfn.XLOOKUP($N25,'Base de Grupos'!$A:$A,'Base de Grupos'!$K:$K)</f>
        <v>REGIONAL VENDA DIRETA CO + NE + NO</v>
      </c>
      <c r="J25" s="2" t="str">
        <f>_xlfn.XLOOKUP($N25,'Base de Grupos'!$A:$A,'Base de Grupos'!$L:$L)</f>
        <v>1000150135</v>
      </c>
      <c r="K25" s="5" t="str">
        <f>_xlfn.XLOOKUP($N25,'Base de Grupos'!$A:$A,'Base de Grupos'!$M:$M)</f>
        <v>HELDER DA SILVA BRUNKOW</v>
      </c>
      <c r="L25" s="5" t="str">
        <f t="shared" si="14"/>
        <v/>
      </c>
      <c r="M25" s="5" t="str">
        <f>_xlfn.XLOOKUP($N25,'Base de Grupos'!$A:$A,'Base de Grupos'!$C:$C)</f>
        <v>RN</v>
      </c>
      <c r="N25" s="3">
        <v>1325</v>
      </c>
      <c r="O25" s="4" t="s">
        <v>225</v>
      </c>
      <c r="P25" s="5" t="s">
        <v>83</v>
      </c>
      <c r="Q25" s="56">
        <v>0</v>
      </c>
      <c r="R25" s="56">
        <v>555.05619047619052</v>
      </c>
      <c r="S25" s="56">
        <v>555.05619047619052</v>
      </c>
      <c r="T25" s="56">
        <f>_xlfn.XLOOKUP($N25,'Calculo Leads'!$A$97:$A$134,'Calculo Leads'!G$97:G$134)*_xlfn.XLOOKUP($P25,'Base Grupo de Produtos'!$E$2:$E$18,'Base Grupo de Produtos'!$F$2:$F$18)</f>
        <v>300</v>
      </c>
      <c r="U25" s="56">
        <f>_xlfn.XLOOKUP($N25,'Calculo Leads'!$A$97:$A$134,'Calculo Leads'!H$97:H$134)*_xlfn.XLOOKUP($P25,'Base Grupo de Produtos'!$E$2:$E$18,'Base Grupo de Produtos'!$F$2:$F$18)</f>
        <v>300</v>
      </c>
      <c r="V25" s="56">
        <f>_xlfn.XLOOKUP($N25,'Calculo Leads'!$A$97:$A$134,'Calculo Leads'!I$97:I$134)*_xlfn.XLOOKUP($P25,'Base Grupo de Produtos'!$E$2:$E$18,'Base Grupo de Produtos'!$F$2:$F$18)</f>
        <v>400</v>
      </c>
      <c r="W25" s="56">
        <f>_xlfn.XLOOKUP($N25,'Calculo Leads'!$A$97:$A$134,'Calculo Leads'!J$97:J$134)*_xlfn.XLOOKUP($P25,'Base Grupo de Produtos'!$E$2:$E$18,'Base Grupo de Produtos'!$F$2:$F$18)</f>
        <v>500</v>
      </c>
      <c r="X25" s="56">
        <f>_xlfn.XLOOKUP($N25,'Calculo Leads'!$A$97:$A$134,'Calculo Leads'!K$97:K$134)*_xlfn.XLOOKUP($P25,'Base Grupo de Produtos'!$E$2:$E$18,'Base Grupo de Produtos'!$F$2:$F$18)</f>
        <v>550</v>
      </c>
      <c r="Y25" s="56">
        <f>_xlfn.XLOOKUP($N25,'Calculo Leads'!$A$97:$A$134,'Calculo Leads'!L$97:L$134)*_xlfn.XLOOKUP($P25,'Base Grupo de Produtos'!$E$2:$E$18,'Base Grupo de Produtos'!$F$2:$F$18)</f>
        <v>770</v>
      </c>
      <c r="Z25" s="56">
        <f>_xlfn.XLOOKUP($N25,'Calculo Leads'!$A$97:$A$134,'Calculo Leads'!M$97:M$134)*_xlfn.XLOOKUP($P25,'Base Grupo de Produtos'!$E$2:$E$18,'Base Grupo de Produtos'!$F$2:$F$18)</f>
        <v>770</v>
      </c>
      <c r="AA25" s="56">
        <f>_xlfn.XLOOKUP($N25,'Calculo Leads'!$A$97:$A$134,'Calculo Leads'!N$97:N$134)*_xlfn.XLOOKUP($P25,'Base Grupo de Produtos'!$E$2:$E$18,'Base Grupo de Produtos'!$F$2:$F$18)</f>
        <v>880</v>
      </c>
      <c r="AB25" s="56">
        <f>_xlfn.XLOOKUP($N25,'Calculo Leads'!$A$97:$A$134,'Calculo Leads'!O$97:O$134)*_xlfn.XLOOKUP($P25,'Base Grupo de Produtos'!$E$2:$E$18,'Base Grupo de Produtos'!$F$2:$F$18)</f>
        <v>660</v>
      </c>
      <c r="AC25" s="61">
        <f t="shared" si="13"/>
        <v>5130</v>
      </c>
      <c r="AD25" s="27">
        <f t="shared" si="31"/>
        <v>5130</v>
      </c>
      <c r="AE25" s="25">
        <f>IFERROR(_xlfn.XLOOKUP(N25&amp;P25,'Historico Vendas'!G:G,'Historico Vendas'!E:E),0)</f>
        <v>0</v>
      </c>
      <c r="AF25" s="29" t="str">
        <f t="shared" si="8"/>
        <v/>
      </c>
      <c r="AG25" s="24">
        <f>IFERROR(_xlfn.XLOOKUP(N25&amp;P25,'Historico Vendas'!G:G,'Historico Vendas'!F:F),0)</f>
        <v>0</v>
      </c>
      <c r="AH25" s="25">
        <f t="shared" si="32"/>
        <v>1110.112380952381</v>
      </c>
      <c r="AI25" s="24">
        <f t="shared" si="33"/>
        <v>1110.112380952381</v>
      </c>
      <c r="AJ25" s="11">
        <f t="shared" si="15"/>
        <v>0</v>
      </c>
      <c r="AK25" s="9" t="s">
        <v>102</v>
      </c>
      <c r="AL25" s="13">
        <f>IFERROR(INDEX('Balizador da Meta'!$D$3:$F$23,MATCH(Faturamento!$P25,'Balizador da Meta'!$C$3:$C$23,0),MATCH(Faturamento!AK25,'Balizador da Meta'!$D$2:$F$2,0)),"")</f>
        <v>0</v>
      </c>
      <c r="AM25" s="9"/>
    </row>
    <row r="26" spans="1:39" x14ac:dyDescent="0.3">
      <c r="A26" s="2" t="str">
        <f t="shared" si="1"/>
        <v>NÃO</v>
      </c>
      <c r="B26" s="2" t="str">
        <f>_xlfn.XLOOKUP($N26,'Base de Grupos'!$A:$A,'Base de Grupos'!$D:$D)</f>
        <v>1000065763</v>
      </c>
      <c r="C26" s="5" t="str">
        <f>_xlfn.XLOOKUP($N26,'Base de Grupos'!$A:$A,'Base de Grupos'!$E:$E)</f>
        <v>CANAL VENDA INTERNA</v>
      </c>
      <c r="D26" s="5" t="str">
        <f>_xlfn.XLOOKUP($N26,'Base de Grupos'!$A:$A,'Base de Grupos'!$F:$F)</f>
        <v>1000065763</v>
      </c>
      <c r="E26" s="2" t="str">
        <f>_xlfn.XLOOKUP($N26,'Base de Grupos'!$A:$A,'Base de Grupos'!$G:$G)</f>
        <v>CANAL VENDA INTERNA</v>
      </c>
      <c r="F26" s="2" t="str">
        <f>_xlfn.XLOOKUP($N26,'Base de Grupos'!$A:$A,'Base de Grupos'!$H:$H)</f>
        <v>1000105900</v>
      </c>
      <c r="G26" s="5" t="str">
        <f>_xlfn.XLOOKUP($N26,'Base de Grupos'!$A:$A,'Base de Grupos'!$I:$I)</f>
        <v>REGIONAL VENDA DIRETA CO + NE + NO</v>
      </c>
      <c r="H26" s="5" t="str">
        <f>_xlfn.XLOOKUP($N26,'Base de Grupos'!$A:$A,'Base de Grupos'!$J:$J)</f>
        <v>1000105900</v>
      </c>
      <c r="I26" s="2" t="str">
        <f>_xlfn.XLOOKUP($N26,'Base de Grupos'!$A:$A,'Base de Grupos'!$K:$K)</f>
        <v>REGIONAL VENDA DIRETA CO + NE + NO</v>
      </c>
      <c r="J26" s="2" t="str">
        <f>_xlfn.XLOOKUP($N26,'Base de Grupos'!$A:$A,'Base de Grupos'!$L:$L)</f>
        <v>1000150135</v>
      </c>
      <c r="K26" s="5" t="str">
        <f>_xlfn.XLOOKUP($N26,'Base de Grupos'!$A:$A,'Base de Grupos'!$M:$M)</f>
        <v>HELDER DA SILVA BRUNKOW</v>
      </c>
      <c r="L26" s="5" t="str">
        <f t="shared" si="14"/>
        <v/>
      </c>
      <c r="M26" s="5" t="str">
        <f>_xlfn.XLOOKUP($N26,'Base de Grupos'!$A:$A,'Base de Grupos'!$C:$C)</f>
        <v>RN</v>
      </c>
      <c r="N26" s="3">
        <v>1325</v>
      </c>
      <c r="O26" s="4" t="s">
        <v>225</v>
      </c>
      <c r="P26" s="5" t="s">
        <v>87</v>
      </c>
      <c r="Q26" s="56">
        <v>0</v>
      </c>
      <c r="R26" s="56">
        <v>124.75666666666666</v>
      </c>
      <c r="S26" s="56">
        <v>249.51333333333332</v>
      </c>
      <c r="T26" s="56">
        <f>_xlfn.XLOOKUP($N26,'Calculo Leads'!$A$97:$A$134,'Calculo Leads'!G$97:G$134)*_xlfn.XLOOKUP($P26,'Base Grupo de Produtos'!$E$2:$E$18,'Base Grupo de Produtos'!$F$2:$F$18)</f>
        <v>59.999999999999993</v>
      </c>
      <c r="U26" s="56">
        <f>_xlfn.XLOOKUP($N26,'Calculo Leads'!$A$97:$A$134,'Calculo Leads'!H$97:H$134)*_xlfn.XLOOKUP($P26,'Base Grupo de Produtos'!$E$2:$E$18,'Base Grupo de Produtos'!$F$2:$F$18)</f>
        <v>59.999999999999993</v>
      </c>
      <c r="V26" s="56">
        <f>_xlfn.XLOOKUP($N26,'Calculo Leads'!$A$97:$A$134,'Calculo Leads'!I$97:I$134)*_xlfn.XLOOKUP($P26,'Base Grupo de Produtos'!$E$2:$E$18,'Base Grupo de Produtos'!$F$2:$F$18)</f>
        <v>79.999999999999986</v>
      </c>
      <c r="W26" s="56">
        <f>_xlfn.XLOOKUP($N26,'Calculo Leads'!$A$97:$A$134,'Calculo Leads'!J$97:J$134)*_xlfn.XLOOKUP($P26,'Base Grupo de Produtos'!$E$2:$E$18,'Base Grupo de Produtos'!$F$2:$F$18)</f>
        <v>99.999999999999986</v>
      </c>
      <c r="X26" s="56">
        <f>_xlfn.XLOOKUP($N26,'Calculo Leads'!$A$97:$A$134,'Calculo Leads'!K$97:K$134)*_xlfn.XLOOKUP($P26,'Base Grupo de Produtos'!$E$2:$E$18,'Base Grupo de Produtos'!$F$2:$F$18)</f>
        <v>109.99999999999999</v>
      </c>
      <c r="Y26" s="56">
        <f>_xlfn.XLOOKUP($N26,'Calculo Leads'!$A$97:$A$134,'Calculo Leads'!L$97:L$134)*_xlfn.XLOOKUP($P26,'Base Grupo de Produtos'!$E$2:$E$18,'Base Grupo de Produtos'!$F$2:$F$18)</f>
        <v>153.99999999999997</v>
      </c>
      <c r="Z26" s="56">
        <f>_xlfn.XLOOKUP($N26,'Calculo Leads'!$A$97:$A$134,'Calculo Leads'!M$97:M$134)*_xlfn.XLOOKUP($P26,'Base Grupo de Produtos'!$E$2:$E$18,'Base Grupo de Produtos'!$F$2:$F$18)</f>
        <v>153.99999999999997</v>
      </c>
      <c r="AA26" s="56">
        <f>_xlfn.XLOOKUP($N26,'Calculo Leads'!$A$97:$A$134,'Calculo Leads'!N$97:N$134)*_xlfn.XLOOKUP($P26,'Base Grupo de Produtos'!$E$2:$E$18,'Base Grupo de Produtos'!$F$2:$F$18)</f>
        <v>175.99999999999997</v>
      </c>
      <c r="AB26" s="56">
        <f>_xlfn.XLOOKUP($N26,'Calculo Leads'!$A$97:$A$134,'Calculo Leads'!O$97:O$134)*_xlfn.XLOOKUP($P26,'Base Grupo de Produtos'!$E$2:$E$18,'Base Grupo de Produtos'!$F$2:$F$18)</f>
        <v>131.99999999999997</v>
      </c>
      <c r="AC26" s="61">
        <f t="shared" si="13"/>
        <v>1025.9999999999998</v>
      </c>
      <c r="AD26" s="27">
        <f t="shared" si="31"/>
        <v>1025.9999999999998</v>
      </c>
      <c r="AE26" s="25">
        <f>IFERROR(_xlfn.XLOOKUP(N26&amp;P26,'Historico Vendas'!G:G,'Historico Vendas'!E:E),0)</f>
        <v>0</v>
      </c>
      <c r="AF26" s="29" t="str">
        <f t="shared" si="8"/>
        <v/>
      </c>
      <c r="AG26" s="24">
        <f>IFERROR(_xlfn.XLOOKUP(N26&amp;P26,'Historico Vendas'!G:G,'Historico Vendas'!F:F),0)</f>
        <v>0</v>
      </c>
      <c r="AH26" s="25">
        <f t="shared" si="32"/>
        <v>374.27</v>
      </c>
      <c r="AI26" s="24">
        <f t="shared" si="33"/>
        <v>374.27</v>
      </c>
      <c r="AJ26" s="11">
        <f t="shared" si="15"/>
        <v>0</v>
      </c>
      <c r="AK26" s="9" t="s">
        <v>102</v>
      </c>
      <c r="AL26" s="13">
        <f>IFERROR(INDEX('Balizador da Meta'!$D$3:$F$23,MATCH(Faturamento!$P26,'Balizador da Meta'!$C$3:$C$23,0),MATCH(Faturamento!AK26,'Balizador da Meta'!$D$2:$F$2,0)),"")</f>
        <v>0</v>
      </c>
      <c r="AM26" s="9"/>
    </row>
    <row r="27" spans="1:39" x14ac:dyDescent="0.3">
      <c r="A27" s="2" t="str">
        <f t="shared" si="1"/>
        <v>NÃO</v>
      </c>
      <c r="B27" s="2" t="str">
        <f>_xlfn.XLOOKUP($N27,'Base de Grupos'!$A:$A,'Base de Grupos'!$D:$D)</f>
        <v>1000065763</v>
      </c>
      <c r="C27" s="5" t="str">
        <f>_xlfn.XLOOKUP($N27,'Base de Grupos'!$A:$A,'Base de Grupos'!$E:$E)</f>
        <v>CANAL VENDA INTERNA</v>
      </c>
      <c r="D27" s="5" t="str">
        <f>_xlfn.XLOOKUP($N27,'Base de Grupos'!$A:$A,'Base de Grupos'!$F:$F)</f>
        <v>1000065763</v>
      </c>
      <c r="E27" s="2" t="str">
        <f>_xlfn.XLOOKUP($N27,'Base de Grupos'!$A:$A,'Base de Grupos'!$G:$G)</f>
        <v>CANAL VENDA INTERNA</v>
      </c>
      <c r="F27" s="2" t="str">
        <f>_xlfn.XLOOKUP($N27,'Base de Grupos'!$A:$A,'Base de Grupos'!$H:$H)</f>
        <v>1000105900</v>
      </c>
      <c r="G27" s="5" t="str">
        <f>_xlfn.XLOOKUP($N27,'Base de Grupos'!$A:$A,'Base de Grupos'!$I:$I)</f>
        <v>REGIONAL VENDA DIRETA CO + NE + NO</v>
      </c>
      <c r="H27" s="5" t="str">
        <f>_xlfn.XLOOKUP($N27,'Base de Grupos'!$A:$A,'Base de Grupos'!$J:$J)</f>
        <v>1000105900</v>
      </c>
      <c r="I27" s="2" t="str">
        <f>_xlfn.XLOOKUP($N27,'Base de Grupos'!$A:$A,'Base de Grupos'!$K:$K)</f>
        <v>REGIONAL VENDA DIRETA CO + NE + NO</v>
      </c>
      <c r="J27" s="2" t="str">
        <f>_xlfn.XLOOKUP($N27,'Base de Grupos'!$A:$A,'Base de Grupos'!$L:$L)</f>
        <v>1000150135</v>
      </c>
      <c r="K27" s="5" t="str">
        <f>_xlfn.XLOOKUP($N27,'Base de Grupos'!$A:$A,'Base de Grupos'!$M:$M)</f>
        <v>HELDER DA SILVA BRUNKOW</v>
      </c>
      <c r="L27" s="5" t="str">
        <f t="shared" si="14"/>
        <v/>
      </c>
      <c r="M27" s="5" t="str">
        <f>_xlfn.XLOOKUP($N27,'Base de Grupos'!$A:$A,'Base de Grupos'!$C:$C)</f>
        <v>RN</v>
      </c>
      <c r="N27" s="3">
        <v>1325</v>
      </c>
      <c r="O27" s="4" t="s">
        <v>225</v>
      </c>
      <c r="P27" s="5" t="s">
        <v>85</v>
      </c>
      <c r="Q27" s="56">
        <v>0</v>
      </c>
      <c r="R27" s="56">
        <v>315.14999999999998</v>
      </c>
      <c r="S27" s="56">
        <v>420.2</v>
      </c>
      <c r="T27" s="56">
        <f>_xlfn.XLOOKUP($N27,'Calculo Leads'!$A$97:$A$134,'Calculo Leads'!G$97:G$134)*_xlfn.XLOOKUP($P27,'Base Grupo de Produtos'!$E$2:$E$18,'Base Grupo de Produtos'!$F$2:$F$18)</f>
        <v>60</v>
      </c>
      <c r="U27" s="56">
        <f>_xlfn.XLOOKUP($N27,'Calculo Leads'!$A$97:$A$134,'Calculo Leads'!H$97:H$134)*_xlfn.XLOOKUP($P27,'Base Grupo de Produtos'!$E$2:$E$18,'Base Grupo de Produtos'!$F$2:$F$18)</f>
        <v>60</v>
      </c>
      <c r="V27" s="56">
        <f>_xlfn.XLOOKUP($N27,'Calculo Leads'!$A$97:$A$134,'Calculo Leads'!I$97:I$134)*_xlfn.XLOOKUP($P27,'Base Grupo de Produtos'!$E$2:$E$18,'Base Grupo de Produtos'!$F$2:$F$18)</f>
        <v>80</v>
      </c>
      <c r="W27" s="56">
        <f>_xlfn.XLOOKUP($N27,'Calculo Leads'!$A$97:$A$134,'Calculo Leads'!J$97:J$134)*_xlfn.XLOOKUP($P27,'Base Grupo de Produtos'!$E$2:$E$18,'Base Grupo de Produtos'!$F$2:$F$18)</f>
        <v>100</v>
      </c>
      <c r="X27" s="56">
        <f>_xlfn.XLOOKUP($N27,'Calculo Leads'!$A$97:$A$134,'Calculo Leads'!K$97:K$134)*_xlfn.XLOOKUP($P27,'Base Grupo de Produtos'!$E$2:$E$18,'Base Grupo de Produtos'!$F$2:$F$18)</f>
        <v>110</v>
      </c>
      <c r="Y27" s="56">
        <f>_xlfn.XLOOKUP($N27,'Calculo Leads'!$A$97:$A$134,'Calculo Leads'!L$97:L$134)*_xlfn.XLOOKUP($P27,'Base Grupo de Produtos'!$E$2:$E$18,'Base Grupo de Produtos'!$F$2:$F$18)</f>
        <v>154</v>
      </c>
      <c r="Z27" s="56">
        <f>_xlfn.XLOOKUP($N27,'Calculo Leads'!$A$97:$A$134,'Calculo Leads'!M$97:M$134)*_xlfn.XLOOKUP($P27,'Base Grupo de Produtos'!$E$2:$E$18,'Base Grupo de Produtos'!$F$2:$F$18)</f>
        <v>154</v>
      </c>
      <c r="AA27" s="56">
        <f>_xlfn.XLOOKUP($N27,'Calculo Leads'!$A$97:$A$134,'Calculo Leads'!N$97:N$134)*_xlfn.XLOOKUP($P27,'Base Grupo de Produtos'!$E$2:$E$18,'Base Grupo de Produtos'!$F$2:$F$18)</f>
        <v>176</v>
      </c>
      <c r="AB27" s="56">
        <f>_xlfn.XLOOKUP($N27,'Calculo Leads'!$A$97:$A$134,'Calculo Leads'!O$97:O$134)*_xlfn.XLOOKUP($P27,'Base Grupo de Produtos'!$E$2:$E$18,'Base Grupo de Produtos'!$F$2:$F$18)</f>
        <v>132</v>
      </c>
      <c r="AC27" s="61">
        <f t="shared" si="13"/>
        <v>1026</v>
      </c>
      <c r="AD27" s="27">
        <f t="shared" si="31"/>
        <v>1026</v>
      </c>
      <c r="AE27" s="25">
        <f>IFERROR(_xlfn.XLOOKUP(N27&amp;P27,'Historico Vendas'!G:G,'Historico Vendas'!E:E),0)</f>
        <v>0</v>
      </c>
      <c r="AF27" s="29" t="str">
        <f t="shared" si="8"/>
        <v/>
      </c>
      <c r="AG27" s="24">
        <f>IFERROR(_xlfn.XLOOKUP(N27&amp;P27,'Historico Vendas'!G:G,'Historico Vendas'!F:F),0)</f>
        <v>0</v>
      </c>
      <c r="AH27" s="25">
        <f t="shared" si="32"/>
        <v>735.34999999999991</v>
      </c>
      <c r="AI27" s="24">
        <f t="shared" si="33"/>
        <v>735.34999999999991</v>
      </c>
      <c r="AJ27" s="11">
        <f t="shared" si="15"/>
        <v>0</v>
      </c>
      <c r="AK27" s="9" t="s">
        <v>102</v>
      </c>
      <c r="AL27" s="13">
        <f>IFERROR(INDEX('Balizador da Meta'!$D$3:$F$23,MATCH(Faturamento!$P27,'Balizador da Meta'!$C$3:$C$23,0),MATCH(Faturamento!AK27,'Balizador da Meta'!$D$2:$F$2,0)),"")</f>
        <v>0</v>
      </c>
      <c r="AM27" s="9"/>
    </row>
    <row r="28" spans="1:39" x14ac:dyDescent="0.3">
      <c r="A28" s="2" t="str">
        <f t="shared" si="1"/>
        <v>NÃO</v>
      </c>
      <c r="B28" s="2" t="str">
        <f>_xlfn.XLOOKUP($N28,'Base de Grupos'!$A:$A,'Base de Grupos'!$D:$D)</f>
        <v>1000065763</v>
      </c>
      <c r="C28" s="5" t="str">
        <f>_xlfn.XLOOKUP($N28,'Base de Grupos'!$A:$A,'Base de Grupos'!$E:$E)</f>
        <v>CANAL VENDA INTERNA</v>
      </c>
      <c r="D28" s="5" t="str">
        <f>_xlfn.XLOOKUP($N28,'Base de Grupos'!$A:$A,'Base de Grupos'!$F:$F)</f>
        <v>1000065763</v>
      </c>
      <c r="E28" s="2" t="str">
        <f>_xlfn.XLOOKUP($N28,'Base de Grupos'!$A:$A,'Base de Grupos'!$G:$G)</f>
        <v>CANAL VENDA INTERNA</v>
      </c>
      <c r="F28" s="2" t="str">
        <f>_xlfn.XLOOKUP($N28,'Base de Grupos'!$A:$A,'Base de Grupos'!$H:$H)</f>
        <v>1000105900</v>
      </c>
      <c r="G28" s="5" t="str">
        <f>_xlfn.XLOOKUP($N28,'Base de Grupos'!$A:$A,'Base de Grupos'!$I:$I)</f>
        <v>REGIONAL VENDA DIRETA CO + NE + NO</v>
      </c>
      <c r="H28" s="5" t="str">
        <f>_xlfn.XLOOKUP($N28,'Base de Grupos'!$A:$A,'Base de Grupos'!$J:$J)</f>
        <v>1000105900</v>
      </c>
      <c r="I28" s="2" t="str">
        <f>_xlfn.XLOOKUP($N28,'Base de Grupos'!$A:$A,'Base de Grupos'!$K:$K)</f>
        <v>REGIONAL VENDA DIRETA CO + NE + NO</v>
      </c>
      <c r="J28" s="2" t="str">
        <f>_xlfn.XLOOKUP($N28,'Base de Grupos'!$A:$A,'Base de Grupos'!$L:$L)</f>
        <v>1000150135</v>
      </c>
      <c r="K28" s="5" t="str">
        <f>_xlfn.XLOOKUP($N28,'Base de Grupos'!$A:$A,'Base de Grupos'!$M:$M)</f>
        <v>HELDER DA SILVA BRUNKOW</v>
      </c>
      <c r="L28" s="5" t="str">
        <f t="shared" si="14"/>
        <v/>
      </c>
      <c r="M28" s="5" t="str">
        <f>_xlfn.XLOOKUP($N28,'Base de Grupos'!$A:$A,'Base de Grupos'!$C:$C)</f>
        <v>RN</v>
      </c>
      <c r="N28" s="3">
        <v>1325</v>
      </c>
      <c r="O28" s="4" t="s">
        <v>225</v>
      </c>
      <c r="P28" s="5" t="s">
        <v>92</v>
      </c>
      <c r="Q28" s="56">
        <v>0</v>
      </c>
      <c r="R28" s="56">
        <v>165.49714285714285</v>
      </c>
      <c r="S28" s="56">
        <v>165.49714285714285</v>
      </c>
      <c r="T28" s="56">
        <f>_xlfn.XLOOKUP($N28,'Calculo Leads'!$A$97:$A$134,'Calculo Leads'!G$97:G$134)*_xlfn.XLOOKUP($P28,'Base Grupo de Produtos'!$E$2:$E$18,'Base Grupo de Produtos'!$F$2:$F$18)</f>
        <v>60</v>
      </c>
      <c r="U28" s="56">
        <f>_xlfn.XLOOKUP($N28,'Calculo Leads'!$A$97:$A$134,'Calculo Leads'!H$97:H$134)*_xlfn.XLOOKUP($P28,'Base Grupo de Produtos'!$E$2:$E$18,'Base Grupo de Produtos'!$F$2:$F$18)</f>
        <v>60</v>
      </c>
      <c r="V28" s="56">
        <f>_xlfn.XLOOKUP($N28,'Calculo Leads'!$A$97:$A$134,'Calculo Leads'!I$97:I$134)*_xlfn.XLOOKUP($P28,'Base Grupo de Produtos'!$E$2:$E$18,'Base Grupo de Produtos'!$F$2:$F$18)</f>
        <v>80</v>
      </c>
      <c r="W28" s="56">
        <f>_xlfn.XLOOKUP($N28,'Calculo Leads'!$A$97:$A$134,'Calculo Leads'!J$97:J$134)*_xlfn.XLOOKUP($P28,'Base Grupo de Produtos'!$E$2:$E$18,'Base Grupo de Produtos'!$F$2:$F$18)</f>
        <v>100</v>
      </c>
      <c r="X28" s="56">
        <f>_xlfn.XLOOKUP($N28,'Calculo Leads'!$A$97:$A$134,'Calculo Leads'!K$97:K$134)*_xlfn.XLOOKUP($P28,'Base Grupo de Produtos'!$E$2:$E$18,'Base Grupo de Produtos'!$F$2:$F$18)</f>
        <v>110</v>
      </c>
      <c r="Y28" s="56">
        <f>_xlfn.XLOOKUP($N28,'Calculo Leads'!$A$97:$A$134,'Calculo Leads'!L$97:L$134)*_xlfn.XLOOKUP($P28,'Base Grupo de Produtos'!$E$2:$E$18,'Base Grupo de Produtos'!$F$2:$F$18)</f>
        <v>154</v>
      </c>
      <c r="Z28" s="56">
        <f>_xlfn.XLOOKUP($N28,'Calculo Leads'!$A$97:$A$134,'Calculo Leads'!M$97:M$134)*_xlfn.XLOOKUP($P28,'Base Grupo de Produtos'!$E$2:$E$18,'Base Grupo de Produtos'!$F$2:$F$18)</f>
        <v>154</v>
      </c>
      <c r="AA28" s="56">
        <f>_xlfn.XLOOKUP($N28,'Calculo Leads'!$A$97:$A$134,'Calculo Leads'!N$97:N$134)*_xlfn.XLOOKUP($P28,'Base Grupo de Produtos'!$E$2:$E$18,'Base Grupo de Produtos'!$F$2:$F$18)</f>
        <v>176</v>
      </c>
      <c r="AB28" s="56">
        <f>_xlfn.XLOOKUP($N28,'Calculo Leads'!$A$97:$A$134,'Calculo Leads'!O$97:O$134)*_xlfn.XLOOKUP($P28,'Base Grupo de Produtos'!$E$2:$E$18,'Base Grupo de Produtos'!$F$2:$F$18)</f>
        <v>132</v>
      </c>
      <c r="AC28" s="61">
        <f t="shared" si="13"/>
        <v>1026</v>
      </c>
      <c r="AD28" s="27">
        <f t="shared" si="31"/>
        <v>1026</v>
      </c>
      <c r="AE28" s="25">
        <f>IFERROR(_xlfn.XLOOKUP(N28&amp;P28,'Historico Vendas'!G:G,'Historico Vendas'!E:E),0)</f>
        <v>0</v>
      </c>
      <c r="AF28" s="29" t="str">
        <f t="shared" si="8"/>
        <v/>
      </c>
      <c r="AG28" s="24">
        <f>IFERROR(_xlfn.XLOOKUP(N28&amp;P28,'Historico Vendas'!G:G,'Historico Vendas'!F:F),0)</f>
        <v>0</v>
      </c>
      <c r="AH28" s="25">
        <f t="shared" si="32"/>
        <v>330.9942857142857</v>
      </c>
      <c r="AI28" s="24">
        <f t="shared" si="33"/>
        <v>330.9942857142857</v>
      </c>
      <c r="AJ28" s="11">
        <f t="shared" si="15"/>
        <v>0</v>
      </c>
      <c r="AK28" s="9" t="s">
        <v>102</v>
      </c>
      <c r="AL28" s="13">
        <f>IFERROR(INDEX('Balizador da Meta'!$D$3:$F$23,MATCH(Faturamento!$P28,'Balizador da Meta'!$C$3:$C$23,0),MATCH(Faturamento!AK28,'Balizador da Meta'!$D$2:$F$2,0)),"")</f>
        <v>0</v>
      </c>
      <c r="AM28" s="9"/>
    </row>
    <row r="29" spans="1:39" x14ac:dyDescent="0.3">
      <c r="A29" s="2" t="str">
        <f t="shared" si="1"/>
        <v>NÃO</v>
      </c>
      <c r="B29" s="2" t="str">
        <f>_xlfn.XLOOKUP($N29,'Base de Grupos'!$A:$A,'Base de Grupos'!$D:$D)</f>
        <v>1000065763</v>
      </c>
      <c r="C29" s="5" t="str">
        <f>_xlfn.XLOOKUP($N29,'Base de Grupos'!$A:$A,'Base de Grupos'!$E:$E)</f>
        <v>CANAL VENDA INTERNA</v>
      </c>
      <c r="D29" s="5" t="str">
        <f>_xlfn.XLOOKUP($N29,'Base de Grupos'!$A:$A,'Base de Grupos'!$F:$F)</f>
        <v>1000065763</v>
      </c>
      <c r="E29" s="2" t="str">
        <f>_xlfn.XLOOKUP($N29,'Base de Grupos'!$A:$A,'Base de Grupos'!$G:$G)</f>
        <v>CANAL VENDA INTERNA</v>
      </c>
      <c r="F29" s="2" t="str">
        <f>_xlfn.XLOOKUP($N29,'Base de Grupos'!$A:$A,'Base de Grupos'!$H:$H)</f>
        <v>1000105900</v>
      </c>
      <c r="G29" s="5" t="str">
        <f>_xlfn.XLOOKUP($N29,'Base de Grupos'!$A:$A,'Base de Grupos'!$I:$I)</f>
        <v>REGIONAL VENDA DIRETA CO + NE + NO</v>
      </c>
      <c r="H29" s="5" t="str">
        <f>_xlfn.XLOOKUP($N29,'Base de Grupos'!$A:$A,'Base de Grupos'!$J:$J)</f>
        <v>1000105900</v>
      </c>
      <c r="I29" s="2" t="str">
        <f>_xlfn.XLOOKUP($N29,'Base de Grupos'!$A:$A,'Base de Grupos'!$K:$K)</f>
        <v>REGIONAL VENDA DIRETA CO + NE + NO</v>
      </c>
      <c r="J29" s="2" t="str">
        <f>_xlfn.XLOOKUP($N29,'Base de Grupos'!$A:$A,'Base de Grupos'!$L:$L)</f>
        <v>1000150135</v>
      </c>
      <c r="K29" s="5" t="str">
        <f>_xlfn.XLOOKUP($N29,'Base de Grupos'!$A:$A,'Base de Grupos'!$M:$M)</f>
        <v>HELDER DA SILVA BRUNKOW</v>
      </c>
      <c r="L29" s="5" t="str">
        <f t="shared" si="14"/>
        <v/>
      </c>
      <c r="M29" s="5" t="str">
        <f>_xlfn.XLOOKUP($N29,'Base de Grupos'!$A:$A,'Base de Grupos'!$C:$C)</f>
        <v>RN</v>
      </c>
      <c r="N29" s="3">
        <v>1325</v>
      </c>
      <c r="O29" s="4" t="s">
        <v>225</v>
      </c>
      <c r="P29" s="5" t="s">
        <v>86</v>
      </c>
      <c r="Q29" s="56">
        <v>0</v>
      </c>
      <c r="R29" s="56">
        <v>89.608571428571423</v>
      </c>
      <c r="S29" s="56">
        <v>179.21714285714285</v>
      </c>
      <c r="T29" s="56">
        <f>_xlfn.XLOOKUP($N29,'Calculo Leads'!$A$97:$A$134,'Calculo Leads'!G$97:G$134)*_xlfn.XLOOKUP($P29,'Base Grupo de Produtos'!$E$2:$E$18,'Base Grupo de Produtos'!$F$2:$F$18)</f>
        <v>90</v>
      </c>
      <c r="U29" s="56">
        <f>_xlfn.XLOOKUP($N29,'Calculo Leads'!$A$97:$A$134,'Calculo Leads'!H$97:H$134)*_xlfn.XLOOKUP($P29,'Base Grupo de Produtos'!$E$2:$E$18,'Base Grupo de Produtos'!$F$2:$F$18)</f>
        <v>90</v>
      </c>
      <c r="V29" s="56">
        <f>_xlfn.XLOOKUP($N29,'Calculo Leads'!$A$97:$A$134,'Calculo Leads'!I$97:I$134)*_xlfn.XLOOKUP($P29,'Base Grupo de Produtos'!$E$2:$E$18,'Base Grupo de Produtos'!$F$2:$F$18)</f>
        <v>120</v>
      </c>
      <c r="W29" s="56">
        <f>_xlfn.XLOOKUP($N29,'Calculo Leads'!$A$97:$A$134,'Calculo Leads'!J$97:J$134)*_xlfn.XLOOKUP($P29,'Base Grupo de Produtos'!$E$2:$E$18,'Base Grupo de Produtos'!$F$2:$F$18)</f>
        <v>150</v>
      </c>
      <c r="X29" s="56">
        <f>_xlfn.XLOOKUP($N29,'Calculo Leads'!$A$97:$A$134,'Calculo Leads'!K$97:K$134)*_xlfn.XLOOKUP($P29,'Base Grupo de Produtos'!$E$2:$E$18,'Base Grupo de Produtos'!$F$2:$F$18)</f>
        <v>165</v>
      </c>
      <c r="Y29" s="56">
        <f>_xlfn.XLOOKUP($N29,'Calculo Leads'!$A$97:$A$134,'Calculo Leads'!L$97:L$134)*_xlfn.XLOOKUP($P29,'Base Grupo de Produtos'!$E$2:$E$18,'Base Grupo de Produtos'!$F$2:$F$18)</f>
        <v>231</v>
      </c>
      <c r="Z29" s="56">
        <f>_xlfn.XLOOKUP($N29,'Calculo Leads'!$A$97:$A$134,'Calculo Leads'!M$97:M$134)*_xlfn.XLOOKUP($P29,'Base Grupo de Produtos'!$E$2:$E$18,'Base Grupo de Produtos'!$F$2:$F$18)</f>
        <v>231</v>
      </c>
      <c r="AA29" s="56">
        <f>_xlfn.XLOOKUP($N29,'Calculo Leads'!$A$97:$A$134,'Calculo Leads'!N$97:N$134)*_xlfn.XLOOKUP($P29,'Base Grupo de Produtos'!$E$2:$E$18,'Base Grupo de Produtos'!$F$2:$F$18)</f>
        <v>264</v>
      </c>
      <c r="AB29" s="56">
        <f>_xlfn.XLOOKUP($N29,'Calculo Leads'!$A$97:$A$134,'Calculo Leads'!O$97:O$134)*_xlfn.XLOOKUP($P29,'Base Grupo de Produtos'!$E$2:$E$18,'Base Grupo de Produtos'!$F$2:$F$18)</f>
        <v>198</v>
      </c>
      <c r="AC29" s="61">
        <f t="shared" si="13"/>
        <v>1539</v>
      </c>
      <c r="AD29" s="27">
        <f t="shared" si="31"/>
        <v>1539</v>
      </c>
      <c r="AE29" s="25">
        <f>IFERROR(_xlfn.XLOOKUP(N29&amp;P29,'Historico Vendas'!G:G,'Historico Vendas'!E:E),0)</f>
        <v>0</v>
      </c>
      <c r="AF29" s="29" t="str">
        <f t="shared" si="8"/>
        <v/>
      </c>
      <c r="AG29" s="24">
        <f>IFERROR(_xlfn.XLOOKUP(N29&amp;P29,'Historico Vendas'!G:G,'Historico Vendas'!F:F),0)</f>
        <v>0</v>
      </c>
      <c r="AH29" s="25">
        <f t="shared" si="32"/>
        <v>268.8257142857143</v>
      </c>
      <c r="AI29" s="24">
        <f t="shared" si="33"/>
        <v>268.8257142857143</v>
      </c>
      <c r="AJ29" s="11">
        <f t="shared" si="15"/>
        <v>0</v>
      </c>
      <c r="AK29" s="9" t="s">
        <v>102</v>
      </c>
      <c r="AL29" s="13">
        <f>IFERROR(INDEX('Balizador da Meta'!$D$3:$F$23,MATCH(Faturamento!$P29,'Balizador da Meta'!$C$3:$C$23,0),MATCH(Faturamento!AK29,'Balizador da Meta'!$D$2:$F$2,0)),"")</f>
        <v>0.15</v>
      </c>
      <c r="AM29" s="9"/>
    </row>
    <row r="30" spans="1:39" x14ac:dyDescent="0.3">
      <c r="A30" s="2" t="str">
        <f t="shared" si="1"/>
        <v>NÃO</v>
      </c>
      <c r="B30" s="2" t="str">
        <f>_xlfn.XLOOKUP($N30,'Base de Grupos'!$A:$A,'Base de Grupos'!$D:$D)</f>
        <v>1000065763</v>
      </c>
      <c r="C30" s="5" t="str">
        <f>_xlfn.XLOOKUP($N30,'Base de Grupos'!$A:$A,'Base de Grupos'!$E:$E)</f>
        <v>CANAL VENDA INTERNA</v>
      </c>
      <c r="D30" s="5" t="str">
        <f>_xlfn.XLOOKUP($N30,'Base de Grupos'!$A:$A,'Base de Grupos'!$F:$F)</f>
        <v>1000065763</v>
      </c>
      <c r="E30" s="2" t="str">
        <f>_xlfn.XLOOKUP($N30,'Base de Grupos'!$A:$A,'Base de Grupos'!$G:$G)</f>
        <v>CANAL VENDA INTERNA</v>
      </c>
      <c r="F30" s="2" t="str">
        <f>_xlfn.XLOOKUP($N30,'Base de Grupos'!$A:$A,'Base de Grupos'!$H:$H)</f>
        <v>1000105900</v>
      </c>
      <c r="G30" s="5" t="str">
        <f>_xlfn.XLOOKUP($N30,'Base de Grupos'!$A:$A,'Base de Grupos'!$I:$I)</f>
        <v>REGIONAL VENDA DIRETA CO + NE + NO</v>
      </c>
      <c r="H30" s="5" t="str">
        <f>_xlfn.XLOOKUP($N30,'Base de Grupos'!$A:$A,'Base de Grupos'!$J:$J)</f>
        <v>1000105900</v>
      </c>
      <c r="I30" s="2" t="str">
        <f>_xlfn.XLOOKUP($N30,'Base de Grupos'!$A:$A,'Base de Grupos'!$K:$K)</f>
        <v>REGIONAL VENDA DIRETA CO + NE + NO</v>
      </c>
      <c r="J30" s="2" t="str">
        <f>_xlfn.XLOOKUP($N30,'Base de Grupos'!$A:$A,'Base de Grupos'!$L:$L)</f>
        <v>1000150135</v>
      </c>
      <c r="K30" s="5" t="str">
        <f>_xlfn.XLOOKUP($N30,'Base de Grupos'!$A:$A,'Base de Grupos'!$M:$M)</f>
        <v>HELDER DA SILVA BRUNKOW</v>
      </c>
      <c r="L30" s="5" t="str">
        <f t="shared" si="14"/>
        <v/>
      </c>
      <c r="M30" s="5" t="str">
        <f>_xlfn.XLOOKUP($N30,'Base de Grupos'!$A:$A,'Base de Grupos'!$C:$C)</f>
        <v>RN</v>
      </c>
      <c r="N30" s="3">
        <v>1325</v>
      </c>
      <c r="O30" s="4" t="s">
        <v>225</v>
      </c>
      <c r="P30" s="5" t="s">
        <v>108</v>
      </c>
      <c r="Q30" s="56">
        <v>0</v>
      </c>
      <c r="R30" s="56">
        <v>516.1430303030304</v>
      </c>
      <c r="S30" s="56">
        <v>602.16686868686872</v>
      </c>
      <c r="T30" s="56">
        <f>_xlfn.XLOOKUP($N30,'Calculo Leads'!$A$97:$A$134,'Calculo Leads'!G$97:G$134)*_xlfn.XLOOKUP($P30,'Base Grupo de Produtos'!$E$2:$E$18,'Base Grupo de Produtos'!$F$2:$F$18)</f>
        <v>750</v>
      </c>
      <c r="U30" s="56">
        <f>_xlfn.XLOOKUP($N30,'Calculo Leads'!$A$97:$A$134,'Calculo Leads'!H$97:H$134)*_xlfn.XLOOKUP($P30,'Base Grupo de Produtos'!$E$2:$E$18,'Base Grupo de Produtos'!$F$2:$F$18)</f>
        <v>750</v>
      </c>
      <c r="V30" s="56">
        <f>_xlfn.XLOOKUP($N30,'Calculo Leads'!$A$97:$A$134,'Calculo Leads'!I$97:I$134)*_xlfn.XLOOKUP($P30,'Base Grupo de Produtos'!$E$2:$E$18,'Base Grupo de Produtos'!$F$2:$F$18)</f>
        <v>1000</v>
      </c>
      <c r="W30" s="56">
        <f>_xlfn.XLOOKUP($N30,'Calculo Leads'!$A$97:$A$134,'Calculo Leads'!J$97:J$134)*_xlfn.XLOOKUP($P30,'Base Grupo de Produtos'!$E$2:$E$18,'Base Grupo de Produtos'!$F$2:$F$18)</f>
        <v>1250</v>
      </c>
      <c r="X30" s="56">
        <f>_xlfn.XLOOKUP($N30,'Calculo Leads'!$A$97:$A$134,'Calculo Leads'!K$97:K$134)*_xlfn.XLOOKUP($P30,'Base Grupo de Produtos'!$E$2:$E$18,'Base Grupo de Produtos'!$F$2:$F$18)</f>
        <v>1375</v>
      </c>
      <c r="Y30" s="56">
        <f>_xlfn.XLOOKUP($N30,'Calculo Leads'!$A$97:$A$134,'Calculo Leads'!L$97:L$134)*_xlfn.XLOOKUP($P30,'Base Grupo de Produtos'!$E$2:$E$18,'Base Grupo de Produtos'!$F$2:$F$18)</f>
        <v>1925</v>
      </c>
      <c r="Z30" s="56">
        <f>_xlfn.XLOOKUP($N30,'Calculo Leads'!$A$97:$A$134,'Calculo Leads'!M$97:M$134)*_xlfn.XLOOKUP($P30,'Base Grupo de Produtos'!$E$2:$E$18,'Base Grupo de Produtos'!$F$2:$F$18)</f>
        <v>1925</v>
      </c>
      <c r="AA30" s="56">
        <f>_xlfn.XLOOKUP($N30,'Calculo Leads'!$A$97:$A$134,'Calculo Leads'!N$97:N$134)*_xlfn.XLOOKUP($P30,'Base Grupo de Produtos'!$E$2:$E$18,'Base Grupo de Produtos'!$F$2:$F$18)</f>
        <v>2200</v>
      </c>
      <c r="AB30" s="56">
        <f>_xlfn.XLOOKUP($N30,'Calculo Leads'!$A$97:$A$134,'Calculo Leads'!O$97:O$134)*_xlfn.XLOOKUP($P30,'Base Grupo de Produtos'!$E$2:$E$18,'Base Grupo de Produtos'!$F$2:$F$18)</f>
        <v>1650</v>
      </c>
      <c r="AC30" s="61">
        <f t="shared" si="13"/>
        <v>12825</v>
      </c>
      <c r="AD30" s="27">
        <f t="shared" si="31"/>
        <v>12825</v>
      </c>
      <c r="AE30" s="25">
        <f>IFERROR(_xlfn.XLOOKUP(N30&amp;P30,'Historico Vendas'!G:G,'Historico Vendas'!E:E),0)</f>
        <v>0</v>
      </c>
      <c r="AF30" s="29" t="str">
        <f t="shared" si="8"/>
        <v/>
      </c>
      <c r="AG30" s="24">
        <f>IFERROR(_xlfn.XLOOKUP(N30&amp;P30,'Historico Vendas'!G:G,'Historico Vendas'!F:F),0)</f>
        <v>0</v>
      </c>
      <c r="AH30" s="25">
        <f t="shared" si="32"/>
        <v>1118.309898989899</v>
      </c>
      <c r="AI30" s="24">
        <f t="shared" si="33"/>
        <v>1118.309898989899</v>
      </c>
      <c r="AJ30" s="11">
        <f t="shared" si="15"/>
        <v>0</v>
      </c>
      <c r="AK30" s="9" t="s">
        <v>102</v>
      </c>
      <c r="AL30" s="13">
        <f>IFERROR(INDEX('Balizador da Meta'!$D$3:$F$23,MATCH(Faturamento!$P30,'Balizador da Meta'!$C$3:$C$23,0),MATCH(Faturamento!AK30,'Balizador da Meta'!$D$2:$F$2,0)),"")</f>
        <v>0</v>
      </c>
      <c r="AM30" s="9"/>
    </row>
    <row r="31" spans="1:39" x14ac:dyDescent="0.3">
      <c r="A31" s="2" t="str">
        <f t="shared" si="1"/>
        <v>NÃO</v>
      </c>
      <c r="B31" s="2" t="str">
        <f>_xlfn.XLOOKUP($N31,'Base de Grupos'!$A:$A,'Base de Grupos'!$D:$D)</f>
        <v>1000065763</v>
      </c>
      <c r="C31" s="5" t="str">
        <f>_xlfn.XLOOKUP($N31,'Base de Grupos'!$A:$A,'Base de Grupos'!$E:$E)</f>
        <v>CANAL VENDA INTERNA</v>
      </c>
      <c r="D31" s="5" t="str">
        <f>_xlfn.XLOOKUP($N31,'Base de Grupos'!$A:$A,'Base de Grupos'!$F:$F)</f>
        <v>1000065763</v>
      </c>
      <c r="E31" s="2" t="str">
        <f>_xlfn.XLOOKUP($N31,'Base de Grupos'!$A:$A,'Base de Grupos'!$G:$G)</f>
        <v>CANAL VENDA INTERNA</v>
      </c>
      <c r="F31" s="2" t="str">
        <f>_xlfn.XLOOKUP($N31,'Base de Grupos'!$A:$A,'Base de Grupos'!$H:$H)</f>
        <v>1000105900</v>
      </c>
      <c r="G31" s="5" t="str">
        <f>_xlfn.XLOOKUP($N31,'Base de Grupos'!$A:$A,'Base de Grupos'!$I:$I)</f>
        <v>REGIONAL VENDA DIRETA CO + NE + NO</v>
      </c>
      <c r="H31" s="5" t="str">
        <f>_xlfn.XLOOKUP($N31,'Base de Grupos'!$A:$A,'Base de Grupos'!$J:$J)</f>
        <v>1000105900</v>
      </c>
      <c r="I31" s="2" t="str">
        <f>_xlfn.XLOOKUP($N31,'Base de Grupos'!$A:$A,'Base de Grupos'!$K:$K)</f>
        <v>REGIONAL VENDA DIRETA CO + NE + NO</v>
      </c>
      <c r="J31" s="2" t="str">
        <f>_xlfn.XLOOKUP($N31,'Base de Grupos'!$A:$A,'Base de Grupos'!$L:$L)</f>
        <v>1000150135</v>
      </c>
      <c r="K31" s="5" t="str">
        <f>_xlfn.XLOOKUP($N31,'Base de Grupos'!$A:$A,'Base de Grupos'!$M:$M)</f>
        <v>HELDER DA SILVA BRUNKOW</v>
      </c>
      <c r="L31" s="5" t="str">
        <f t="shared" si="14"/>
        <v/>
      </c>
      <c r="M31" s="5" t="str">
        <f>_xlfn.XLOOKUP($N31,'Base de Grupos'!$A:$A,'Base de Grupos'!$C:$C)</f>
        <v>RN</v>
      </c>
      <c r="N31" s="3">
        <v>1325</v>
      </c>
      <c r="O31" s="4" t="s">
        <v>225</v>
      </c>
      <c r="P31" s="5" t="s">
        <v>89</v>
      </c>
      <c r="Q31" s="56">
        <v>0</v>
      </c>
      <c r="R31" s="56">
        <v>627.6857142857142</v>
      </c>
      <c r="S31" s="56">
        <v>627.6857142857142</v>
      </c>
      <c r="T31" s="56">
        <f>_xlfn.XLOOKUP($N31,'Calculo Leads'!$A$97:$A$134,'Calculo Leads'!G$97:G$134)*_xlfn.XLOOKUP($P31,'Base Grupo de Produtos'!$E$2:$E$18,'Base Grupo de Produtos'!$F$2:$F$18)</f>
        <v>150</v>
      </c>
      <c r="U31" s="56">
        <f>_xlfn.XLOOKUP($N31,'Calculo Leads'!$A$97:$A$134,'Calculo Leads'!H$97:H$134)*_xlfn.XLOOKUP($P31,'Base Grupo de Produtos'!$E$2:$E$18,'Base Grupo de Produtos'!$F$2:$F$18)</f>
        <v>150</v>
      </c>
      <c r="V31" s="56">
        <f>_xlfn.XLOOKUP($N31,'Calculo Leads'!$A$97:$A$134,'Calculo Leads'!I$97:I$134)*_xlfn.XLOOKUP($P31,'Base Grupo de Produtos'!$E$2:$E$18,'Base Grupo de Produtos'!$F$2:$F$18)</f>
        <v>200</v>
      </c>
      <c r="W31" s="56">
        <f>_xlfn.XLOOKUP($N31,'Calculo Leads'!$A$97:$A$134,'Calculo Leads'!J$97:J$134)*_xlfn.XLOOKUP($P31,'Base Grupo de Produtos'!$E$2:$E$18,'Base Grupo de Produtos'!$F$2:$F$18)</f>
        <v>250</v>
      </c>
      <c r="X31" s="56">
        <f>_xlfn.XLOOKUP($N31,'Calculo Leads'!$A$97:$A$134,'Calculo Leads'!K$97:K$134)*_xlfn.XLOOKUP($P31,'Base Grupo de Produtos'!$E$2:$E$18,'Base Grupo de Produtos'!$F$2:$F$18)</f>
        <v>275</v>
      </c>
      <c r="Y31" s="56">
        <f>_xlfn.XLOOKUP($N31,'Calculo Leads'!$A$97:$A$134,'Calculo Leads'!L$97:L$134)*_xlfn.XLOOKUP($P31,'Base Grupo de Produtos'!$E$2:$E$18,'Base Grupo de Produtos'!$F$2:$F$18)</f>
        <v>385</v>
      </c>
      <c r="Z31" s="56">
        <f>_xlfn.XLOOKUP($N31,'Calculo Leads'!$A$97:$A$134,'Calculo Leads'!M$97:M$134)*_xlfn.XLOOKUP($P31,'Base Grupo de Produtos'!$E$2:$E$18,'Base Grupo de Produtos'!$F$2:$F$18)</f>
        <v>385</v>
      </c>
      <c r="AA31" s="56">
        <f>_xlfn.XLOOKUP($N31,'Calculo Leads'!$A$97:$A$134,'Calculo Leads'!N$97:N$134)*_xlfn.XLOOKUP($P31,'Base Grupo de Produtos'!$E$2:$E$18,'Base Grupo de Produtos'!$F$2:$F$18)</f>
        <v>440</v>
      </c>
      <c r="AB31" s="56">
        <f>_xlfn.XLOOKUP($N31,'Calculo Leads'!$A$97:$A$134,'Calculo Leads'!O$97:O$134)*_xlfn.XLOOKUP($P31,'Base Grupo de Produtos'!$E$2:$E$18,'Base Grupo de Produtos'!$F$2:$F$18)</f>
        <v>330</v>
      </c>
      <c r="AC31" s="61">
        <f t="shared" si="13"/>
        <v>2565</v>
      </c>
      <c r="AD31" s="27">
        <f t="shared" si="31"/>
        <v>2565</v>
      </c>
      <c r="AE31" s="25">
        <f>IFERROR(_xlfn.XLOOKUP(N31&amp;P31,'Historico Vendas'!G:G,'Historico Vendas'!E:E),0)</f>
        <v>0</v>
      </c>
      <c r="AF31" s="29" t="str">
        <f t="shared" si="8"/>
        <v/>
      </c>
      <c r="AG31" s="24">
        <f>IFERROR(_xlfn.XLOOKUP(N31&amp;P31,'Historico Vendas'!G:G,'Historico Vendas'!F:F),0)</f>
        <v>0</v>
      </c>
      <c r="AH31" s="25">
        <f t="shared" si="32"/>
        <v>1255.3714285714284</v>
      </c>
      <c r="AI31" s="24">
        <f t="shared" si="33"/>
        <v>1255.3714285714284</v>
      </c>
      <c r="AJ31" s="11">
        <f t="shared" si="15"/>
        <v>0</v>
      </c>
      <c r="AK31" s="9" t="s">
        <v>102</v>
      </c>
      <c r="AL31" s="13">
        <f>IFERROR(INDEX('Balizador da Meta'!$D$3:$F$23,MATCH(Faturamento!$P31,'Balizador da Meta'!$C$3:$C$23,0),MATCH(Faturamento!AK31,'Balizador da Meta'!$D$2:$F$2,0)),"")</f>
        <v>0.25</v>
      </c>
      <c r="AM31" s="9"/>
    </row>
    <row r="32" spans="1:39" x14ac:dyDescent="0.3">
      <c r="A32" s="2" t="str">
        <f t="shared" si="1"/>
        <v>NÃO</v>
      </c>
      <c r="B32" s="2" t="str">
        <f>_xlfn.XLOOKUP($N32,'Base de Grupos'!$A:$A,'Base de Grupos'!$D:$D)</f>
        <v>1000065763</v>
      </c>
      <c r="C32" s="5" t="str">
        <f>_xlfn.XLOOKUP($N32,'Base de Grupos'!$A:$A,'Base de Grupos'!$E:$E)</f>
        <v>CANAL VENDA INTERNA</v>
      </c>
      <c r="D32" s="5" t="str">
        <f>_xlfn.XLOOKUP($N32,'Base de Grupos'!$A:$A,'Base de Grupos'!$F:$F)</f>
        <v>1000065763</v>
      </c>
      <c r="E32" s="2" t="str">
        <f>_xlfn.XLOOKUP($N32,'Base de Grupos'!$A:$A,'Base de Grupos'!$G:$G)</f>
        <v>CANAL VENDA INTERNA</v>
      </c>
      <c r="F32" s="2" t="str">
        <f>_xlfn.XLOOKUP($N32,'Base de Grupos'!$A:$A,'Base de Grupos'!$H:$H)</f>
        <v>1000105900</v>
      </c>
      <c r="G32" s="5" t="str">
        <f>_xlfn.XLOOKUP($N32,'Base de Grupos'!$A:$A,'Base de Grupos'!$I:$I)</f>
        <v>REGIONAL VENDA DIRETA CO + NE + NO</v>
      </c>
      <c r="H32" s="5" t="str">
        <f>_xlfn.XLOOKUP($N32,'Base de Grupos'!$A:$A,'Base de Grupos'!$J:$J)</f>
        <v>1000105900</v>
      </c>
      <c r="I32" s="2" t="str">
        <f>_xlfn.XLOOKUP($N32,'Base de Grupos'!$A:$A,'Base de Grupos'!$K:$K)</f>
        <v>REGIONAL VENDA DIRETA CO + NE + NO</v>
      </c>
      <c r="J32" s="2" t="str">
        <f>_xlfn.XLOOKUP($N32,'Base de Grupos'!$A:$A,'Base de Grupos'!$L:$L)</f>
        <v>1000150135</v>
      </c>
      <c r="K32" s="5" t="str">
        <f>_xlfn.XLOOKUP($N32,'Base de Grupos'!$A:$A,'Base de Grupos'!$M:$M)</f>
        <v>HELDER DA SILVA BRUNKOW</v>
      </c>
      <c r="L32" s="5" t="str">
        <f t="shared" si="14"/>
        <v/>
      </c>
      <c r="M32" s="5" t="str">
        <f>_xlfn.XLOOKUP($N32,'Base de Grupos'!$A:$A,'Base de Grupos'!$C:$C)</f>
        <v>RN</v>
      </c>
      <c r="N32" s="3">
        <v>1325</v>
      </c>
      <c r="O32" s="4" t="s">
        <v>225</v>
      </c>
      <c r="P32" s="5" t="s">
        <v>88</v>
      </c>
      <c r="Q32" s="56">
        <v>0</v>
      </c>
      <c r="R32" s="56">
        <v>119.60088888888889</v>
      </c>
      <c r="S32" s="56">
        <v>239.20177777777778</v>
      </c>
      <c r="T32" s="56">
        <f>_xlfn.XLOOKUP($N32,'Calculo Leads'!$A$97:$A$134,'Calculo Leads'!G$97:G$134)*_xlfn.XLOOKUP($P32,'Base Grupo de Produtos'!$E$2:$E$18,'Base Grupo de Produtos'!$F$2:$F$18)</f>
        <v>150</v>
      </c>
      <c r="U32" s="56">
        <f>_xlfn.XLOOKUP($N32,'Calculo Leads'!$A$97:$A$134,'Calculo Leads'!H$97:H$134)*_xlfn.XLOOKUP($P32,'Base Grupo de Produtos'!$E$2:$E$18,'Base Grupo de Produtos'!$F$2:$F$18)</f>
        <v>150</v>
      </c>
      <c r="V32" s="56">
        <f>_xlfn.XLOOKUP($N32,'Calculo Leads'!$A$97:$A$134,'Calculo Leads'!I$97:I$134)*_xlfn.XLOOKUP($P32,'Base Grupo de Produtos'!$E$2:$E$18,'Base Grupo de Produtos'!$F$2:$F$18)</f>
        <v>200</v>
      </c>
      <c r="W32" s="56">
        <f>_xlfn.XLOOKUP($N32,'Calculo Leads'!$A$97:$A$134,'Calculo Leads'!J$97:J$134)*_xlfn.XLOOKUP($P32,'Base Grupo de Produtos'!$E$2:$E$18,'Base Grupo de Produtos'!$F$2:$F$18)</f>
        <v>250</v>
      </c>
      <c r="X32" s="56">
        <f>_xlfn.XLOOKUP($N32,'Calculo Leads'!$A$97:$A$134,'Calculo Leads'!K$97:K$134)*_xlfn.XLOOKUP($P32,'Base Grupo de Produtos'!$E$2:$E$18,'Base Grupo de Produtos'!$F$2:$F$18)</f>
        <v>275</v>
      </c>
      <c r="Y32" s="56">
        <f>_xlfn.XLOOKUP($N32,'Calculo Leads'!$A$97:$A$134,'Calculo Leads'!L$97:L$134)*_xlfn.XLOOKUP($P32,'Base Grupo de Produtos'!$E$2:$E$18,'Base Grupo de Produtos'!$F$2:$F$18)</f>
        <v>385</v>
      </c>
      <c r="Z32" s="56">
        <f>_xlfn.XLOOKUP($N32,'Calculo Leads'!$A$97:$A$134,'Calculo Leads'!M$97:M$134)*_xlfn.XLOOKUP($P32,'Base Grupo de Produtos'!$E$2:$E$18,'Base Grupo de Produtos'!$F$2:$F$18)</f>
        <v>385</v>
      </c>
      <c r="AA32" s="56">
        <f>_xlfn.XLOOKUP($N32,'Calculo Leads'!$A$97:$A$134,'Calculo Leads'!N$97:N$134)*_xlfn.XLOOKUP($P32,'Base Grupo de Produtos'!$E$2:$E$18,'Base Grupo de Produtos'!$F$2:$F$18)</f>
        <v>440</v>
      </c>
      <c r="AB32" s="56">
        <f>_xlfn.XLOOKUP($N32,'Calculo Leads'!$A$97:$A$134,'Calculo Leads'!O$97:O$134)*_xlfn.XLOOKUP($P32,'Base Grupo de Produtos'!$E$2:$E$18,'Base Grupo de Produtos'!$F$2:$F$18)</f>
        <v>330</v>
      </c>
      <c r="AC32" s="61">
        <f t="shared" si="13"/>
        <v>2565</v>
      </c>
      <c r="AD32" s="27">
        <f t="shared" si="31"/>
        <v>2565</v>
      </c>
      <c r="AE32" s="25">
        <f>IFERROR(_xlfn.XLOOKUP(N32&amp;P32,'Historico Vendas'!G:G,'Historico Vendas'!E:E),0)</f>
        <v>0</v>
      </c>
      <c r="AF32" s="29" t="str">
        <f t="shared" si="8"/>
        <v/>
      </c>
      <c r="AG32" s="24">
        <f>IFERROR(_xlfn.XLOOKUP(N32&amp;P32,'Historico Vendas'!G:G,'Historico Vendas'!F:F),0)</f>
        <v>0</v>
      </c>
      <c r="AH32" s="25">
        <f t="shared" si="32"/>
        <v>358.80266666666665</v>
      </c>
      <c r="AI32" s="24">
        <f t="shared" si="33"/>
        <v>358.80266666666665</v>
      </c>
      <c r="AJ32" s="11">
        <f t="shared" si="15"/>
        <v>0</v>
      </c>
      <c r="AK32" s="9" t="s">
        <v>102</v>
      </c>
      <c r="AL32" s="13">
        <f>IFERROR(INDEX('Balizador da Meta'!$D$3:$F$23,MATCH(Faturamento!$P32,'Balizador da Meta'!$C$3:$C$23,0),MATCH(Faturamento!AK32,'Balizador da Meta'!$D$2:$F$2,0)),"")</f>
        <v>0</v>
      </c>
      <c r="AM32" s="9"/>
    </row>
    <row r="33" spans="1:39" x14ac:dyDescent="0.3">
      <c r="A33" s="2" t="str">
        <f t="shared" si="1"/>
        <v>NÃO</v>
      </c>
      <c r="B33" s="2" t="str">
        <f>_xlfn.XLOOKUP($N33,'Base de Grupos'!$A:$A,'Base de Grupos'!$D:$D)</f>
        <v>1000065763</v>
      </c>
      <c r="C33" s="5" t="str">
        <f>_xlfn.XLOOKUP($N33,'Base de Grupos'!$A:$A,'Base de Grupos'!$E:$E)</f>
        <v>CANAL VENDA INTERNA</v>
      </c>
      <c r="D33" s="5" t="str">
        <f>_xlfn.XLOOKUP($N33,'Base de Grupos'!$A:$A,'Base de Grupos'!$F:$F)</f>
        <v>1000065763</v>
      </c>
      <c r="E33" s="2" t="str">
        <f>_xlfn.XLOOKUP($N33,'Base de Grupos'!$A:$A,'Base de Grupos'!$G:$G)</f>
        <v>CANAL VENDA INTERNA</v>
      </c>
      <c r="F33" s="2" t="str">
        <f>_xlfn.XLOOKUP($N33,'Base de Grupos'!$A:$A,'Base de Grupos'!$H:$H)</f>
        <v>1000105900</v>
      </c>
      <c r="G33" s="5" t="str">
        <f>_xlfn.XLOOKUP($N33,'Base de Grupos'!$A:$A,'Base de Grupos'!$I:$I)</f>
        <v>REGIONAL VENDA DIRETA CO + NE + NO</v>
      </c>
      <c r="H33" s="5" t="str">
        <f>_xlfn.XLOOKUP($N33,'Base de Grupos'!$A:$A,'Base de Grupos'!$J:$J)</f>
        <v>1000105900</v>
      </c>
      <c r="I33" s="2" t="str">
        <f>_xlfn.XLOOKUP($N33,'Base de Grupos'!$A:$A,'Base de Grupos'!$K:$K)</f>
        <v>REGIONAL VENDA DIRETA CO + NE + NO</v>
      </c>
      <c r="J33" s="2" t="str">
        <f>_xlfn.XLOOKUP($N33,'Base de Grupos'!$A:$A,'Base de Grupos'!$L:$L)</f>
        <v>1000150135</v>
      </c>
      <c r="K33" s="5" t="str">
        <f>_xlfn.XLOOKUP($N33,'Base de Grupos'!$A:$A,'Base de Grupos'!$M:$M)</f>
        <v>HELDER DA SILVA BRUNKOW</v>
      </c>
      <c r="L33" s="5" t="str">
        <f t="shared" si="14"/>
        <v/>
      </c>
      <c r="M33" s="5" t="str">
        <f>_xlfn.XLOOKUP($N33,'Base de Grupos'!$A:$A,'Base de Grupos'!$C:$C)</f>
        <v>RN</v>
      </c>
      <c r="N33" s="3">
        <v>1325</v>
      </c>
      <c r="O33" s="4" t="s">
        <v>225</v>
      </c>
      <c r="P33" s="5" t="s">
        <v>90</v>
      </c>
      <c r="Q33" s="56">
        <v>0</v>
      </c>
      <c r="R33" s="56">
        <v>204.36930232558137</v>
      </c>
      <c r="S33" s="56">
        <v>204.36930232558137</v>
      </c>
      <c r="T33" s="56">
        <f>_xlfn.XLOOKUP($N33,'Calculo Leads'!$A$97:$A$134,'Calculo Leads'!G$97:G$134)*_xlfn.XLOOKUP($P33,'Base Grupo de Produtos'!$E$2:$E$18,'Base Grupo de Produtos'!$F$2:$F$18)</f>
        <v>150</v>
      </c>
      <c r="U33" s="56">
        <f>_xlfn.XLOOKUP($N33,'Calculo Leads'!$A$97:$A$134,'Calculo Leads'!H$97:H$134)*_xlfn.XLOOKUP($P33,'Base Grupo de Produtos'!$E$2:$E$18,'Base Grupo de Produtos'!$F$2:$F$18)</f>
        <v>150</v>
      </c>
      <c r="V33" s="56">
        <f>_xlfn.XLOOKUP($N33,'Calculo Leads'!$A$97:$A$134,'Calculo Leads'!I$97:I$134)*_xlfn.XLOOKUP($P33,'Base Grupo de Produtos'!$E$2:$E$18,'Base Grupo de Produtos'!$F$2:$F$18)</f>
        <v>200</v>
      </c>
      <c r="W33" s="56">
        <f>_xlfn.XLOOKUP($N33,'Calculo Leads'!$A$97:$A$134,'Calculo Leads'!J$97:J$134)*_xlfn.XLOOKUP($P33,'Base Grupo de Produtos'!$E$2:$E$18,'Base Grupo de Produtos'!$F$2:$F$18)</f>
        <v>250</v>
      </c>
      <c r="X33" s="56">
        <f>_xlfn.XLOOKUP($N33,'Calculo Leads'!$A$97:$A$134,'Calculo Leads'!K$97:K$134)*_xlfn.XLOOKUP($P33,'Base Grupo de Produtos'!$E$2:$E$18,'Base Grupo de Produtos'!$F$2:$F$18)</f>
        <v>275</v>
      </c>
      <c r="Y33" s="56">
        <f>_xlfn.XLOOKUP($N33,'Calculo Leads'!$A$97:$A$134,'Calculo Leads'!L$97:L$134)*_xlfn.XLOOKUP($P33,'Base Grupo de Produtos'!$E$2:$E$18,'Base Grupo de Produtos'!$F$2:$F$18)</f>
        <v>385</v>
      </c>
      <c r="Z33" s="56">
        <f>_xlfn.XLOOKUP($N33,'Calculo Leads'!$A$97:$A$134,'Calculo Leads'!M$97:M$134)*_xlfn.XLOOKUP($P33,'Base Grupo de Produtos'!$E$2:$E$18,'Base Grupo de Produtos'!$F$2:$F$18)</f>
        <v>385</v>
      </c>
      <c r="AA33" s="56">
        <f>_xlfn.XLOOKUP($N33,'Calculo Leads'!$A$97:$A$134,'Calculo Leads'!N$97:N$134)*_xlfn.XLOOKUP($P33,'Base Grupo de Produtos'!$E$2:$E$18,'Base Grupo de Produtos'!$F$2:$F$18)</f>
        <v>440</v>
      </c>
      <c r="AB33" s="56">
        <f>_xlfn.XLOOKUP($N33,'Calculo Leads'!$A$97:$A$134,'Calculo Leads'!O$97:O$134)*_xlfn.XLOOKUP($P33,'Base Grupo de Produtos'!$E$2:$E$18,'Base Grupo de Produtos'!$F$2:$F$18)</f>
        <v>330</v>
      </c>
      <c r="AC33" s="61">
        <f t="shared" si="13"/>
        <v>2565</v>
      </c>
      <c r="AD33" s="27">
        <f t="shared" si="31"/>
        <v>2565</v>
      </c>
      <c r="AE33" s="25">
        <f>IFERROR(_xlfn.XLOOKUP(N33&amp;P33,'Historico Vendas'!G:G,'Historico Vendas'!E:E),0)</f>
        <v>0</v>
      </c>
      <c r="AF33" s="29" t="str">
        <f t="shared" si="8"/>
        <v/>
      </c>
      <c r="AG33" s="24">
        <f>IFERROR(_xlfn.XLOOKUP(N33&amp;P33,'Historico Vendas'!G:G,'Historico Vendas'!F:F),0)</f>
        <v>0</v>
      </c>
      <c r="AH33" s="25">
        <f t="shared" si="32"/>
        <v>408.73860465116275</v>
      </c>
      <c r="AI33" s="24">
        <f t="shared" si="33"/>
        <v>408.73860465116275</v>
      </c>
      <c r="AJ33" s="11">
        <f t="shared" si="15"/>
        <v>0</v>
      </c>
      <c r="AK33" s="9" t="s">
        <v>102</v>
      </c>
      <c r="AL33" s="13">
        <f>IFERROR(INDEX('Balizador da Meta'!$D$3:$F$23,MATCH(Faturamento!$P33,'Balizador da Meta'!$C$3:$C$23,0),MATCH(Faturamento!AK33,'Balizador da Meta'!$D$2:$F$2,0)),"")</f>
        <v>0</v>
      </c>
      <c r="AM33" s="9"/>
    </row>
    <row r="34" spans="1:39" x14ac:dyDescent="0.3">
      <c r="A34" s="2" t="str">
        <f t="shared" si="1"/>
        <v>NÃO</v>
      </c>
      <c r="B34" s="2" t="str">
        <f>_xlfn.XLOOKUP($N34,'Base de Grupos'!$A:$A,'Base de Grupos'!$D:$D)</f>
        <v>1000065763</v>
      </c>
      <c r="C34" s="5" t="str">
        <f>_xlfn.XLOOKUP($N34,'Base de Grupos'!$A:$A,'Base de Grupos'!$E:$E)</f>
        <v>CANAL VENDA INTERNA</v>
      </c>
      <c r="D34" s="5" t="str">
        <f>_xlfn.XLOOKUP($N34,'Base de Grupos'!$A:$A,'Base de Grupos'!$F:$F)</f>
        <v>1000065763</v>
      </c>
      <c r="E34" s="2" t="str">
        <f>_xlfn.XLOOKUP($N34,'Base de Grupos'!$A:$A,'Base de Grupos'!$G:$G)</f>
        <v>CANAL VENDA INTERNA</v>
      </c>
      <c r="F34" s="2" t="str">
        <f>_xlfn.XLOOKUP($N34,'Base de Grupos'!$A:$A,'Base de Grupos'!$H:$H)</f>
        <v>1000105900</v>
      </c>
      <c r="G34" s="5" t="str">
        <f>_xlfn.XLOOKUP($N34,'Base de Grupos'!$A:$A,'Base de Grupos'!$I:$I)</f>
        <v>REGIONAL VENDA DIRETA CO + NE + NO</v>
      </c>
      <c r="H34" s="5" t="str">
        <f>_xlfn.XLOOKUP($N34,'Base de Grupos'!$A:$A,'Base de Grupos'!$J:$J)</f>
        <v>1000105900</v>
      </c>
      <c r="I34" s="2" t="str">
        <f>_xlfn.XLOOKUP($N34,'Base de Grupos'!$A:$A,'Base de Grupos'!$K:$K)</f>
        <v>REGIONAL VENDA DIRETA CO + NE + NO</v>
      </c>
      <c r="J34" s="2" t="str">
        <f>_xlfn.XLOOKUP($N34,'Base de Grupos'!$A:$A,'Base de Grupos'!$L:$L)</f>
        <v>1000150135</v>
      </c>
      <c r="K34" s="5" t="str">
        <f>_xlfn.XLOOKUP($N34,'Base de Grupos'!$A:$A,'Base de Grupos'!$M:$M)</f>
        <v>HELDER DA SILVA BRUNKOW</v>
      </c>
      <c r="L34" s="5" t="str">
        <f t="shared" si="14"/>
        <v/>
      </c>
      <c r="M34" s="5" t="str">
        <f>_xlfn.XLOOKUP($N34,'Base de Grupos'!$A:$A,'Base de Grupos'!$C:$C)</f>
        <v>RN</v>
      </c>
      <c r="N34" s="3">
        <v>1325</v>
      </c>
      <c r="O34" s="4" t="s">
        <v>225</v>
      </c>
      <c r="P34" s="5" t="s">
        <v>91</v>
      </c>
      <c r="Q34" s="56">
        <v>0</v>
      </c>
      <c r="R34" s="56">
        <v>143.15866666666668</v>
      </c>
      <c r="S34" s="56">
        <v>143.15866666666668</v>
      </c>
      <c r="T34" s="56">
        <f>_xlfn.XLOOKUP($N34,'Calculo Leads'!$A$97:$A$134,'Calculo Leads'!G$97:G$134)*_xlfn.XLOOKUP($P34,'Base Grupo de Produtos'!$E$2:$E$18,'Base Grupo de Produtos'!$F$2:$F$18)</f>
        <v>0</v>
      </c>
      <c r="U34" s="56">
        <f>_xlfn.XLOOKUP($N34,'Calculo Leads'!$A$97:$A$134,'Calculo Leads'!H$97:H$134)*_xlfn.XLOOKUP($P34,'Base Grupo de Produtos'!$E$2:$E$18,'Base Grupo de Produtos'!$F$2:$F$18)</f>
        <v>0</v>
      </c>
      <c r="V34" s="56">
        <f>_xlfn.XLOOKUP($N34,'Calculo Leads'!$A$97:$A$134,'Calculo Leads'!I$97:I$134)*_xlfn.XLOOKUP($P34,'Base Grupo de Produtos'!$E$2:$E$18,'Base Grupo de Produtos'!$F$2:$F$18)</f>
        <v>0</v>
      </c>
      <c r="W34" s="56">
        <f>_xlfn.XLOOKUP($N34,'Calculo Leads'!$A$97:$A$134,'Calculo Leads'!J$97:J$134)*_xlfn.XLOOKUP($P34,'Base Grupo de Produtos'!$E$2:$E$18,'Base Grupo de Produtos'!$F$2:$F$18)</f>
        <v>0</v>
      </c>
      <c r="X34" s="56">
        <f>_xlfn.XLOOKUP($N34,'Calculo Leads'!$A$97:$A$134,'Calculo Leads'!K$97:K$134)*_xlfn.XLOOKUP($P34,'Base Grupo de Produtos'!$E$2:$E$18,'Base Grupo de Produtos'!$F$2:$F$18)</f>
        <v>0</v>
      </c>
      <c r="Y34" s="56">
        <f>_xlfn.XLOOKUP($N34,'Calculo Leads'!$A$97:$A$134,'Calculo Leads'!L$97:L$134)*_xlfn.XLOOKUP($P34,'Base Grupo de Produtos'!$E$2:$E$18,'Base Grupo de Produtos'!$F$2:$F$18)</f>
        <v>0</v>
      </c>
      <c r="Z34" s="56">
        <f>_xlfn.XLOOKUP($N34,'Calculo Leads'!$A$97:$A$134,'Calculo Leads'!M$97:M$134)*_xlfn.XLOOKUP($P34,'Base Grupo de Produtos'!$E$2:$E$18,'Base Grupo de Produtos'!$F$2:$F$18)</f>
        <v>0</v>
      </c>
      <c r="AA34" s="56">
        <f>_xlfn.XLOOKUP($N34,'Calculo Leads'!$A$97:$A$134,'Calculo Leads'!N$97:N$134)*_xlfn.XLOOKUP($P34,'Base Grupo de Produtos'!$E$2:$E$18,'Base Grupo de Produtos'!$F$2:$F$18)</f>
        <v>0</v>
      </c>
      <c r="AB34" s="56">
        <f>_xlfn.XLOOKUP($N34,'Calculo Leads'!$A$97:$A$134,'Calculo Leads'!O$97:O$134)*_xlfn.XLOOKUP($P34,'Base Grupo de Produtos'!$E$2:$E$18,'Base Grupo de Produtos'!$F$2:$F$18)</f>
        <v>0</v>
      </c>
      <c r="AC34" s="61">
        <f t="shared" si="13"/>
        <v>0</v>
      </c>
      <c r="AD34" s="27">
        <f t="shared" si="31"/>
        <v>0</v>
      </c>
      <c r="AE34" s="25">
        <f>IFERROR(_xlfn.XLOOKUP(N34&amp;P34,'Historico Vendas'!G:G,'Historico Vendas'!E:E),0)</f>
        <v>0</v>
      </c>
      <c r="AF34" s="29" t="str">
        <f t="shared" si="8"/>
        <v/>
      </c>
      <c r="AG34" s="24">
        <f>IFERROR(_xlfn.XLOOKUP(N34&amp;P34,'Historico Vendas'!G:G,'Historico Vendas'!F:F),0)</f>
        <v>0</v>
      </c>
      <c r="AH34" s="25">
        <f t="shared" si="32"/>
        <v>286.31733333333335</v>
      </c>
      <c r="AI34" s="24">
        <f t="shared" si="33"/>
        <v>286.31733333333335</v>
      </c>
      <c r="AJ34" s="11">
        <f t="shared" si="15"/>
        <v>0</v>
      </c>
      <c r="AK34" s="9" t="s">
        <v>102</v>
      </c>
      <c r="AL34" s="13">
        <f>IFERROR(INDEX('Balizador da Meta'!$D$3:$F$23,MATCH(Faturamento!$P34,'Balizador da Meta'!$C$3:$C$23,0),MATCH(Faturamento!AK34,'Balizador da Meta'!$D$2:$F$2,0)),"")</f>
        <v>0</v>
      </c>
      <c r="AM34" s="9"/>
    </row>
    <row r="35" spans="1:39" x14ac:dyDescent="0.3">
      <c r="A35" s="2" t="str">
        <f t="shared" si="1"/>
        <v>NÃO</v>
      </c>
      <c r="B35" s="2" t="str">
        <f>_xlfn.XLOOKUP($N35,'Base de Grupos'!$A:$A,'Base de Grupos'!$D:$D)</f>
        <v>1000065763</v>
      </c>
      <c r="C35" s="5" t="str">
        <f>_xlfn.XLOOKUP($N35,'Base de Grupos'!$A:$A,'Base de Grupos'!$E:$E)</f>
        <v>CANAL VENDA INTERNA</v>
      </c>
      <c r="D35" s="5" t="str">
        <f>_xlfn.XLOOKUP($N35,'Base de Grupos'!$A:$A,'Base de Grupos'!$F:$F)</f>
        <v>1000065763</v>
      </c>
      <c r="E35" s="2" t="str">
        <f>_xlfn.XLOOKUP($N35,'Base de Grupos'!$A:$A,'Base de Grupos'!$G:$G)</f>
        <v>CANAL VENDA INTERNA</v>
      </c>
      <c r="F35" s="2" t="str">
        <f>_xlfn.XLOOKUP($N35,'Base de Grupos'!$A:$A,'Base de Grupos'!$H:$H)</f>
        <v>1000105900</v>
      </c>
      <c r="G35" s="5" t="str">
        <f>_xlfn.XLOOKUP($N35,'Base de Grupos'!$A:$A,'Base de Grupos'!$I:$I)</f>
        <v>REGIONAL VENDA DIRETA CO + NE + NO</v>
      </c>
      <c r="H35" s="5" t="str">
        <f>_xlfn.XLOOKUP($N35,'Base de Grupos'!$A:$A,'Base de Grupos'!$J:$J)</f>
        <v>1000105900</v>
      </c>
      <c r="I35" s="2" t="str">
        <f>_xlfn.XLOOKUP($N35,'Base de Grupos'!$A:$A,'Base de Grupos'!$K:$K)</f>
        <v>REGIONAL VENDA DIRETA CO + NE + NO</v>
      </c>
      <c r="J35" s="2" t="str">
        <f>_xlfn.XLOOKUP($N35,'Base de Grupos'!$A:$A,'Base de Grupos'!$L:$L)</f>
        <v>1000150135</v>
      </c>
      <c r="K35" s="5" t="str">
        <f>_xlfn.XLOOKUP($N35,'Base de Grupos'!$A:$A,'Base de Grupos'!$M:$M)</f>
        <v>HELDER DA SILVA BRUNKOW</v>
      </c>
      <c r="L35" s="5" t="str">
        <f t="shared" si="14"/>
        <v/>
      </c>
      <c r="M35" s="5" t="str">
        <f>_xlfn.XLOOKUP($N35,'Base de Grupos'!$A:$A,'Base de Grupos'!$C:$C)</f>
        <v>RN</v>
      </c>
      <c r="N35" s="3">
        <v>1325</v>
      </c>
      <c r="O35" s="4" t="s">
        <v>225</v>
      </c>
      <c r="P35" s="5" t="s">
        <v>96</v>
      </c>
      <c r="Q35" s="56">
        <v>0</v>
      </c>
      <c r="R35" s="56">
        <v>40.9</v>
      </c>
      <c r="S35" s="56">
        <v>40.9</v>
      </c>
      <c r="T35" s="56">
        <f>_xlfn.XLOOKUP($N35,'Calculo Leads'!$A$97:$A$134,'Calculo Leads'!G$97:G$134)*_xlfn.XLOOKUP($P35,'Base Grupo de Produtos'!$E$2:$E$18,'Base Grupo de Produtos'!$F$2:$F$18)</f>
        <v>210.00000000000003</v>
      </c>
      <c r="U35" s="56">
        <f>_xlfn.XLOOKUP($N35,'Calculo Leads'!$A$97:$A$134,'Calculo Leads'!H$97:H$134)*_xlfn.XLOOKUP($P35,'Base Grupo de Produtos'!$E$2:$E$18,'Base Grupo de Produtos'!$F$2:$F$18)</f>
        <v>210.00000000000003</v>
      </c>
      <c r="V35" s="56">
        <f>_xlfn.XLOOKUP($N35,'Calculo Leads'!$A$97:$A$134,'Calculo Leads'!I$97:I$134)*_xlfn.XLOOKUP($P35,'Base Grupo de Produtos'!$E$2:$E$18,'Base Grupo de Produtos'!$F$2:$F$18)</f>
        <v>280</v>
      </c>
      <c r="W35" s="56">
        <f>_xlfn.XLOOKUP($N35,'Calculo Leads'!$A$97:$A$134,'Calculo Leads'!J$97:J$134)*_xlfn.XLOOKUP($P35,'Base Grupo de Produtos'!$E$2:$E$18,'Base Grupo de Produtos'!$F$2:$F$18)</f>
        <v>350.00000000000006</v>
      </c>
      <c r="X35" s="56">
        <f>_xlfn.XLOOKUP($N35,'Calculo Leads'!$A$97:$A$134,'Calculo Leads'!K$97:K$134)*_xlfn.XLOOKUP($P35,'Base Grupo de Produtos'!$E$2:$E$18,'Base Grupo de Produtos'!$F$2:$F$18)</f>
        <v>385.00000000000006</v>
      </c>
      <c r="Y35" s="56">
        <f>_xlfn.XLOOKUP($N35,'Calculo Leads'!$A$97:$A$134,'Calculo Leads'!L$97:L$134)*_xlfn.XLOOKUP($P35,'Base Grupo de Produtos'!$E$2:$E$18,'Base Grupo de Produtos'!$F$2:$F$18)</f>
        <v>539</v>
      </c>
      <c r="Z35" s="56">
        <f>_xlfn.XLOOKUP($N35,'Calculo Leads'!$A$97:$A$134,'Calculo Leads'!M$97:M$134)*_xlfn.XLOOKUP($P35,'Base Grupo de Produtos'!$E$2:$E$18,'Base Grupo de Produtos'!$F$2:$F$18)</f>
        <v>539</v>
      </c>
      <c r="AA35" s="56">
        <f>_xlfn.XLOOKUP($N35,'Calculo Leads'!$A$97:$A$134,'Calculo Leads'!N$97:N$134)*_xlfn.XLOOKUP($P35,'Base Grupo de Produtos'!$E$2:$E$18,'Base Grupo de Produtos'!$F$2:$F$18)</f>
        <v>616.00000000000011</v>
      </c>
      <c r="AB35" s="56">
        <f>_xlfn.XLOOKUP($N35,'Calculo Leads'!$A$97:$A$134,'Calculo Leads'!O$97:O$134)*_xlfn.XLOOKUP($P35,'Base Grupo de Produtos'!$E$2:$E$18,'Base Grupo de Produtos'!$F$2:$F$18)</f>
        <v>462.00000000000006</v>
      </c>
      <c r="AC35" s="61">
        <f t="shared" si="13"/>
        <v>3591</v>
      </c>
      <c r="AD35" s="27">
        <f t="shared" si="31"/>
        <v>3591</v>
      </c>
      <c r="AE35" s="25">
        <f>IFERROR(_xlfn.XLOOKUP(N35&amp;P35,'Historico Vendas'!G:G,'Historico Vendas'!E:E),0)</f>
        <v>0</v>
      </c>
      <c r="AF35" s="29" t="str">
        <f t="shared" si="8"/>
        <v/>
      </c>
      <c r="AG35" s="24">
        <f>IFERROR(_xlfn.XLOOKUP(N35&amp;P35,'Historico Vendas'!G:G,'Historico Vendas'!F:F),0)</f>
        <v>0</v>
      </c>
      <c r="AH35" s="25">
        <f t="shared" si="32"/>
        <v>81.8</v>
      </c>
      <c r="AI35" s="24">
        <f t="shared" si="33"/>
        <v>81.8</v>
      </c>
      <c r="AJ35" s="11">
        <f t="shared" si="15"/>
        <v>0</v>
      </c>
      <c r="AK35" s="9" t="s">
        <v>102</v>
      </c>
      <c r="AL35" s="13">
        <f>IFERROR(INDEX('Balizador da Meta'!$D$3:$F$23,MATCH(Faturamento!$P35,'Balizador da Meta'!$C$3:$C$23,0),MATCH(Faturamento!AK35,'Balizador da Meta'!$D$2:$F$2,0)),"")</f>
        <v>0</v>
      </c>
      <c r="AM35" s="9"/>
    </row>
    <row r="36" spans="1:39" x14ac:dyDescent="0.3">
      <c r="A36" s="2" t="str">
        <f t="shared" si="1"/>
        <v>NÃO</v>
      </c>
      <c r="B36" s="2" t="str">
        <f>_xlfn.XLOOKUP($N36,'Base de Grupos'!$A:$A,'Base de Grupos'!$D:$D)</f>
        <v>1000065763</v>
      </c>
      <c r="C36" s="5" t="str">
        <f>_xlfn.XLOOKUP($N36,'Base de Grupos'!$A:$A,'Base de Grupos'!$E:$E)</f>
        <v>CANAL VENDA INTERNA</v>
      </c>
      <c r="D36" s="5" t="str">
        <f>_xlfn.XLOOKUP($N36,'Base de Grupos'!$A:$A,'Base de Grupos'!$F:$F)</f>
        <v>1000065763</v>
      </c>
      <c r="E36" s="2" t="str">
        <f>_xlfn.XLOOKUP($N36,'Base de Grupos'!$A:$A,'Base de Grupos'!$G:$G)</f>
        <v>CANAL VENDA INTERNA</v>
      </c>
      <c r="F36" s="2" t="str">
        <f>_xlfn.XLOOKUP($N36,'Base de Grupos'!$A:$A,'Base de Grupos'!$H:$H)</f>
        <v>1000105900</v>
      </c>
      <c r="G36" s="5" t="str">
        <f>_xlfn.XLOOKUP($N36,'Base de Grupos'!$A:$A,'Base de Grupos'!$I:$I)</f>
        <v>REGIONAL VENDA DIRETA CO + NE + NO</v>
      </c>
      <c r="H36" s="5" t="str">
        <f>_xlfn.XLOOKUP($N36,'Base de Grupos'!$A:$A,'Base de Grupos'!$J:$J)</f>
        <v>1000105900</v>
      </c>
      <c r="I36" s="2" t="str">
        <f>_xlfn.XLOOKUP($N36,'Base de Grupos'!$A:$A,'Base de Grupos'!$K:$K)</f>
        <v>REGIONAL VENDA DIRETA CO + NE + NO</v>
      </c>
      <c r="J36" s="2" t="str">
        <f>_xlfn.XLOOKUP($N36,'Base de Grupos'!$A:$A,'Base de Grupos'!$L:$L)</f>
        <v>1000150135</v>
      </c>
      <c r="K36" s="5" t="str">
        <f>_xlfn.XLOOKUP($N36,'Base de Grupos'!$A:$A,'Base de Grupos'!$M:$M)</f>
        <v>HELDER DA SILVA BRUNKOW</v>
      </c>
      <c r="L36" s="5" t="str">
        <f t="shared" si="14"/>
        <v/>
      </c>
      <c r="M36" s="5" t="str">
        <f>_xlfn.XLOOKUP($N36,'Base de Grupos'!$A:$A,'Base de Grupos'!$C:$C)</f>
        <v>RN</v>
      </c>
      <c r="N36" s="3">
        <v>1325</v>
      </c>
      <c r="O36" s="4" t="s">
        <v>225</v>
      </c>
      <c r="P36" s="5" t="s">
        <v>94</v>
      </c>
      <c r="Q36" s="56">
        <v>0</v>
      </c>
      <c r="R36" s="56">
        <v>1470.3095435684643</v>
      </c>
      <c r="S36" s="56">
        <v>1470.3095435684643</v>
      </c>
      <c r="T36" s="56">
        <f>_xlfn.XLOOKUP($N36,'Calculo Leads'!$A$97:$A$134,'Calculo Leads'!G$97:G$134)*_xlfn.XLOOKUP($P36,'Base Grupo de Produtos'!$E$2:$E$18,'Base Grupo de Produtos'!$F$2:$F$18)</f>
        <v>150</v>
      </c>
      <c r="U36" s="56">
        <f>_xlfn.XLOOKUP($N36,'Calculo Leads'!$A$97:$A$134,'Calculo Leads'!H$97:H$134)*_xlfn.XLOOKUP($P36,'Base Grupo de Produtos'!$E$2:$E$18,'Base Grupo de Produtos'!$F$2:$F$18)</f>
        <v>150</v>
      </c>
      <c r="V36" s="56">
        <f>_xlfn.XLOOKUP($N36,'Calculo Leads'!$A$97:$A$134,'Calculo Leads'!I$97:I$134)*_xlfn.XLOOKUP($P36,'Base Grupo de Produtos'!$E$2:$E$18,'Base Grupo de Produtos'!$F$2:$F$18)</f>
        <v>199.99999999999997</v>
      </c>
      <c r="W36" s="56">
        <f>_xlfn.XLOOKUP($N36,'Calculo Leads'!$A$97:$A$134,'Calculo Leads'!J$97:J$134)*_xlfn.XLOOKUP($P36,'Base Grupo de Produtos'!$E$2:$E$18,'Base Grupo de Produtos'!$F$2:$F$18)</f>
        <v>249.99999999999997</v>
      </c>
      <c r="X36" s="56">
        <f>_xlfn.XLOOKUP($N36,'Calculo Leads'!$A$97:$A$134,'Calculo Leads'!K$97:K$134)*_xlfn.XLOOKUP($P36,'Base Grupo de Produtos'!$E$2:$E$18,'Base Grupo de Produtos'!$F$2:$F$18)</f>
        <v>275</v>
      </c>
      <c r="Y36" s="56">
        <f>_xlfn.XLOOKUP($N36,'Calculo Leads'!$A$97:$A$134,'Calculo Leads'!L$97:L$134)*_xlfn.XLOOKUP($P36,'Base Grupo de Produtos'!$E$2:$E$18,'Base Grupo de Produtos'!$F$2:$F$18)</f>
        <v>384.99999999999994</v>
      </c>
      <c r="Z36" s="56">
        <f>_xlfn.XLOOKUP($N36,'Calculo Leads'!$A$97:$A$134,'Calculo Leads'!M$97:M$134)*_xlfn.XLOOKUP($P36,'Base Grupo de Produtos'!$E$2:$E$18,'Base Grupo de Produtos'!$F$2:$F$18)</f>
        <v>384.99999999999994</v>
      </c>
      <c r="AA36" s="56">
        <f>_xlfn.XLOOKUP($N36,'Calculo Leads'!$A$97:$A$134,'Calculo Leads'!N$97:N$134)*_xlfn.XLOOKUP($P36,'Base Grupo de Produtos'!$E$2:$E$18,'Base Grupo de Produtos'!$F$2:$F$18)</f>
        <v>439.99999999999994</v>
      </c>
      <c r="AB36" s="56">
        <f>_xlfn.XLOOKUP($N36,'Calculo Leads'!$A$97:$A$134,'Calculo Leads'!O$97:O$134)*_xlfn.XLOOKUP($P36,'Base Grupo de Produtos'!$E$2:$E$18,'Base Grupo de Produtos'!$F$2:$F$18)</f>
        <v>330</v>
      </c>
      <c r="AC36" s="61">
        <f t="shared" si="13"/>
        <v>2565</v>
      </c>
      <c r="AD36" s="27">
        <f t="shared" si="31"/>
        <v>2565</v>
      </c>
      <c r="AE36" s="25">
        <f>IFERROR(_xlfn.XLOOKUP(N36&amp;P36,'Historico Vendas'!G:G,'Historico Vendas'!E:E),0)</f>
        <v>0</v>
      </c>
      <c r="AF36" s="29" t="str">
        <f t="shared" si="8"/>
        <v/>
      </c>
      <c r="AG36" s="24">
        <f>IFERROR(_xlfn.XLOOKUP(N36&amp;P36,'Historico Vendas'!G:G,'Historico Vendas'!F:F),0)</f>
        <v>0</v>
      </c>
      <c r="AH36" s="25">
        <f t="shared" si="32"/>
        <v>2940.6190871369286</v>
      </c>
      <c r="AI36" s="24">
        <f t="shared" si="33"/>
        <v>2940.6190871369286</v>
      </c>
      <c r="AJ36" s="11">
        <f t="shared" si="15"/>
        <v>0</v>
      </c>
      <c r="AK36" s="9" t="s">
        <v>102</v>
      </c>
      <c r="AL36" s="13">
        <f>IFERROR(INDEX('Balizador da Meta'!$D$3:$F$23,MATCH(Faturamento!$P36,'Balizador da Meta'!$C$3:$C$23,0),MATCH(Faturamento!AK36,'Balizador da Meta'!$D$2:$F$2,0)),"")</f>
        <v>0.25</v>
      </c>
      <c r="AM36" s="9"/>
    </row>
    <row r="37" spans="1:39" x14ac:dyDescent="0.3">
      <c r="A37" s="2" t="str">
        <f t="shared" si="1"/>
        <v>NÃO</v>
      </c>
      <c r="B37" s="2" t="str">
        <f>_xlfn.XLOOKUP($N37,'Base de Grupos'!$A:$A,'Base de Grupos'!$D:$D)</f>
        <v>1000065763</v>
      </c>
      <c r="C37" s="5" t="str">
        <f>_xlfn.XLOOKUP($N37,'Base de Grupos'!$A:$A,'Base de Grupos'!$E:$E)</f>
        <v>CANAL VENDA INTERNA</v>
      </c>
      <c r="D37" s="5" t="str">
        <f>_xlfn.XLOOKUP($N37,'Base de Grupos'!$A:$A,'Base de Grupos'!$F:$F)</f>
        <v>1000065763</v>
      </c>
      <c r="E37" s="2" t="str">
        <f>_xlfn.XLOOKUP($N37,'Base de Grupos'!$A:$A,'Base de Grupos'!$G:$G)</f>
        <v>CANAL VENDA INTERNA</v>
      </c>
      <c r="F37" s="2" t="str">
        <f>_xlfn.XLOOKUP($N37,'Base de Grupos'!$A:$A,'Base de Grupos'!$H:$H)</f>
        <v>1000105900</v>
      </c>
      <c r="G37" s="5" t="str">
        <f>_xlfn.XLOOKUP($N37,'Base de Grupos'!$A:$A,'Base de Grupos'!$I:$I)</f>
        <v>REGIONAL VENDA DIRETA CO + NE + NO</v>
      </c>
      <c r="H37" s="5" t="str">
        <f>_xlfn.XLOOKUP($N37,'Base de Grupos'!$A:$A,'Base de Grupos'!$J:$J)</f>
        <v>1000105900</v>
      </c>
      <c r="I37" s="2" t="str">
        <f>_xlfn.XLOOKUP($N37,'Base de Grupos'!$A:$A,'Base de Grupos'!$K:$K)</f>
        <v>REGIONAL VENDA DIRETA CO + NE + NO</v>
      </c>
      <c r="J37" s="2" t="str">
        <f>_xlfn.XLOOKUP($N37,'Base de Grupos'!$A:$A,'Base de Grupos'!$L:$L)</f>
        <v>1000150135</v>
      </c>
      <c r="K37" s="5" t="str">
        <f>_xlfn.XLOOKUP($N37,'Base de Grupos'!$A:$A,'Base de Grupos'!$M:$M)</f>
        <v>HELDER DA SILVA BRUNKOW</v>
      </c>
      <c r="L37" s="5" t="str">
        <f t="shared" si="14"/>
        <v/>
      </c>
      <c r="M37" s="5" t="str">
        <f>_xlfn.XLOOKUP($N37,'Base de Grupos'!$A:$A,'Base de Grupos'!$C:$C)</f>
        <v>RN</v>
      </c>
      <c r="N37" s="3">
        <v>1325</v>
      </c>
      <c r="O37" s="4" t="s">
        <v>225</v>
      </c>
      <c r="P37" s="5" t="s">
        <v>95</v>
      </c>
      <c r="Q37" s="56">
        <v>0</v>
      </c>
      <c r="R37" s="56">
        <v>2302.1240000000003</v>
      </c>
      <c r="S37" s="56">
        <v>2616.0500000000002</v>
      </c>
      <c r="T37" s="56">
        <f>_xlfn.XLOOKUP($N37,'Calculo Leads'!$A$97:$A$134,'Calculo Leads'!G$97:G$134)*_xlfn.XLOOKUP($P37,'Base Grupo de Produtos'!$E$2:$E$18,'Base Grupo de Produtos'!$F$2:$F$18)</f>
        <v>240</v>
      </c>
      <c r="U37" s="56">
        <f>_xlfn.XLOOKUP($N37,'Calculo Leads'!$A$97:$A$134,'Calculo Leads'!H$97:H$134)*_xlfn.XLOOKUP($P37,'Base Grupo de Produtos'!$E$2:$E$18,'Base Grupo de Produtos'!$F$2:$F$18)</f>
        <v>240</v>
      </c>
      <c r="V37" s="56">
        <f>_xlfn.XLOOKUP($N37,'Calculo Leads'!$A$97:$A$134,'Calculo Leads'!I$97:I$134)*_xlfn.XLOOKUP($P37,'Base Grupo de Produtos'!$E$2:$E$18,'Base Grupo de Produtos'!$F$2:$F$18)</f>
        <v>320</v>
      </c>
      <c r="W37" s="56">
        <f>_xlfn.XLOOKUP($N37,'Calculo Leads'!$A$97:$A$134,'Calculo Leads'!J$97:J$134)*_xlfn.XLOOKUP($P37,'Base Grupo de Produtos'!$E$2:$E$18,'Base Grupo de Produtos'!$F$2:$F$18)</f>
        <v>400</v>
      </c>
      <c r="X37" s="56">
        <f>_xlfn.XLOOKUP($N37,'Calculo Leads'!$A$97:$A$134,'Calculo Leads'!K$97:K$134)*_xlfn.XLOOKUP($P37,'Base Grupo de Produtos'!$E$2:$E$18,'Base Grupo de Produtos'!$F$2:$F$18)</f>
        <v>440</v>
      </c>
      <c r="Y37" s="56">
        <f>_xlfn.XLOOKUP($N37,'Calculo Leads'!$A$97:$A$134,'Calculo Leads'!L$97:L$134)*_xlfn.XLOOKUP($P37,'Base Grupo de Produtos'!$E$2:$E$18,'Base Grupo de Produtos'!$F$2:$F$18)</f>
        <v>616</v>
      </c>
      <c r="Z37" s="56">
        <f>_xlfn.XLOOKUP($N37,'Calculo Leads'!$A$97:$A$134,'Calculo Leads'!M$97:M$134)*_xlfn.XLOOKUP($P37,'Base Grupo de Produtos'!$E$2:$E$18,'Base Grupo de Produtos'!$F$2:$F$18)</f>
        <v>616</v>
      </c>
      <c r="AA37" s="56">
        <f>_xlfn.XLOOKUP($N37,'Calculo Leads'!$A$97:$A$134,'Calculo Leads'!N$97:N$134)*_xlfn.XLOOKUP($P37,'Base Grupo de Produtos'!$E$2:$E$18,'Base Grupo de Produtos'!$F$2:$F$18)</f>
        <v>704</v>
      </c>
      <c r="AB37" s="56">
        <f>_xlfn.XLOOKUP($N37,'Calculo Leads'!$A$97:$A$134,'Calculo Leads'!O$97:O$134)*_xlfn.XLOOKUP($P37,'Base Grupo de Produtos'!$E$2:$E$18,'Base Grupo de Produtos'!$F$2:$F$18)</f>
        <v>528</v>
      </c>
      <c r="AC37" s="61">
        <f t="shared" si="13"/>
        <v>4104</v>
      </c>
      <c r="AD37" s="27">
        <f t="shared" si="31"/>
        <v>4104</v>
      </c>
      <c r="AE37" s="25">
        <f>IFERROR(_xlfn.XLOOKUP(N37&amp;P37,'Historico Vendas'!G:G,'Historico Vendas'!E:E),0)</f>
        <v>0</v>
      </c>
      <c r="AF37" s="29" t="str">
        <f t="shared" si="8"/>
        <v/>
      </c>
      <c r="AG37" s="24">
        <f>IFERROR(_xlfn.XLOOKUP(N37&amp;P37,'Historico Vendas'!G:G,'Historico Vendas'!F:F),0)</f>
        <v>0</v>
      </c>
      <c r="AH37" s="25">
        <f t="shared" si="32"/>
        <v>4918.1740000000009</v>
      </c>
      <c r="AI37" s="24">
        <f t="shared" si="33"/>
        <v>4918.1740000000009</v>
      </c>
      <c r="AJ37" s="11">
        <f t="shared" ref="AJ37:AJ56" si="34">IFERROR(AG37/AH37,"")</f>
        <v>0</v>
      </c>
      <c r="AK37" s="9" t="s">
        <v>102</v>
      </c>
      <c r="AL37" s="13">
        <f>IFERROR(INDEX('Balizador da Meta'!$D$3:$F$23,MATCH(Faturamento!$P37,'Balizador da Meta'!$C$3:$C$23,0),MATCH(Faturamento!AK37,'Balizador da Meta'!$D$2:$F$2,0)),"")</f>
        <v>0.25</v>
      </c>
      <c r="AM37" s="9"/>
    </row>
    <row r="38" spans="1:39" x14ac:dyDescent="0.3">
      <c r="A38" s="2" t="str">
        <f t="shared" si="1"/>
        <v>NÃO</v>
      </c>
      <c r="B38" s="2" t="str">
        <f>_xlfn.XLOOKUP($N38,'Base de Grupos'!$A:$A,'Base de Grupos'!$D:$D)</f>
        <v>1000065763</v>
      </c>
      <c r="C38" s="5" t="str">
        <f>_xlfn.XLOOKUP($N38,'Base de Grupos'!$A:$A,'Base de Grupos'!$E:$E)</f>
        <v>CANAL VENDA INTERNA</v>
      </c>
      <c r="D38" s="5" t="str">
        <f>_xlfn.XLOOKUP($N38,'Base de Grupos'!$A:$A,'Base de Grupos'!$F:$F)</f>
        <v>1000065763</v>
      </c>
      <c r="E38" s="2" t="str">
        <f>_xlfn.XLOOKUP($N38,'Base de Grupos'!$A:$A,'Base de Grupos'!$G:$G)</f>
        <v>CANAL VENDA INTERNA</v>
      </c>
      <c r="F38" s="2" t="str">
        <f>_xlfn.XLOOKUP($N38,'Base de Grupos'!$A:$A,'Base de Grupos'!$H:$H)</f>
        <v>1000105900</v>
      </c>
      <c r="G38" s="5" t="str">
        <f>_xlfn.XLOOKUP($N38,'Base de Grupos'!$A:$A,'Base de Grupos'!$I:$I)</f>
        <v>REGIONAL VENDA DIRETA CO + NE + NO</v>
      </c>
      <c r="H38" s="5" t="str">
        <f>_xlfn.XLOOKUP($N38,'Base de Grupos'!$A:$A,'Base de Grupos'!$J:$J)</f>
        <v>1000105900</v>
      </c>
      <c r="I38" s="2" t="str">
        <f>_xlfn.XLOOKUP($N38,'Base de Grupos'!$A:$A,'Base de Grupos'!$K:$K)</f>
        <v>REGIONAL VENDA DIRETA CO + NE + NO</v>
      </c>
      <c r="J38" s="2" t="str">
        <f>_xlfn.XLOOKUP($N38,'Base de Grupos'!$A:$A,'Base de Grupos'!$L:$L)</f>
        <v>1000150135</v>
      </c>
      <c r="K38" s="5" t="str">
        <f>_xlfn.XLOOKUP($N38,'Base de Grupos'!$A:$A,'Base de Grupos'!$M:$M)</f>
        <v>HELDER DA SILVA BRUNKOW</v>
      </c>
      <c r="L38" s="5" t="str">
        <f t="shared" si="14"/>
        <v/>
      </c>
      <c r="M38" s="5" t="str">
        <f>_xlfn.XLOOKUP($N38,'Base de Grupos'!$A:$A,'Base de Grupos'!$C:$C)</f>
        <v>RN</v>
      </c>
      <c r="N38" s="3">
        <v>1325</v>
      </c>
      <c r="O38" s="4" t="s">
        <v>225</v>
      </c>
      <c r="P38" s="5" t="s">
        <v>93</v>
      </c>
      <c r="Q38" s="56">
        <v>0</v>
      </c>
      <c r="R38" s="56">
        <v>585.97440000000006</v>
      </c>
      <c r="S38" s="56">
        <v>585.97440000000006</v>
      </c>
      <c r="T38" s="56">
        <f>_xlfn.XLOOKUP($N38,'Calculo Leads'!$A$97:$A$134,'Calculo Leads'!G$97:G$134)*_xlfn.XLOOKUP($P38,'Base Grupo de Produtos'!$E$2:$E$18,'Base Grupo de Produtos'!$F$2:$F$18)</f>
        <v>90</v>
      </c>
      <c r="U38" s="56">
        <f>_xlfn.XLOOKUP($N38,'Calculo Leads'!$A$97:$A$134,'Calculo Leads'!H$97:H$134)*_xlfn.XLOOKUP($P38,'Base Grupo de Produtos'!$E$2:$E$18,'Base Grupo de Produtos'!$F$2:$F$18)</f>
        <v>90</v>
      </c>
      <c r="V38" s="56">
        <f>_xlfn.XLOOKUP($N38,'Calculo Leads'!$A$97:$A$134,'Calculo Leads'!I$97:I$134)*_xlfn.XLOOKUP($P38,'Base Grupo de Produtos'!$E$2:$E$18,'Base Grupo de Produtos'!$F$2:$F$18)</f>
        <v>120</v>
      </c>
      <c r="W38" s="56">
        <f>_xlfn.XLOOKUP($N38,'Calculo Leads'!$A$97:$A$134,'Calculo Leads'!J$97:J$134)*_xlfn.XLOOKUP($P38,'Base Grupo de Produtos'!$E$2:$E$18,'Base Grupo de Produtos'!$F$2:$F$18)</f>
        <v>150</v>
      </c>
      <c r="X38" s="56">
        <f>_xlfn.XLOOKUP($N38,'Calculo Leads'!$A$97:$A$134,'Calculo Leads'!K$97:K$134)*_xlfn.XLOOKUP($P38,'Base Grupo de Produtos'!$E$2:$E$18,'Base Grupo de Produtos'!$F$2:$F$18)</f>
        <v>165</v>
      </c>
      <c r="Y38" s="56">
        <f>_xlfn.XLOOKUP($N38,'Calculo Leads'!$A$97:$A$134,'Calculo Leads'!L$97:L$134)*_xlfn.XLOOKUP($P38,'Base Grupo de Produtos'!$E$2:$E$18,'Base Grupo de Produtos'!$F$2:$F$18)</f>
        <v>231</v>
      </c>
      <c r="Z38" s="56">
        <f>_xlfn.XLOOKUP($N38,'Calculo Leads'!$A$97:$A$134,'Calculo Leads'!M$97:M$134)*_xlfn.XLOOKUP($P38,'Base Grupo de Produtos'!$E$2:$E$18,'Base Grupo de Produtos'!$F$2:$F$18)</f>
        <v>231</v>
      </c>
      <c r="AA38" s="56">
        <f>_xlfn.XLOOKUP($N38,'Calculo Leads'!$A$97:$A$134,'Calculo Leads'!N$97:N$134)*_xlfn.XLOOKUP($P38,'Base Grupo de Produtos'!$E$2:$E$18,'Base Grupo de Produtos'!$F$2:$F$18)</f>
        <v>264</v>
      </c>
      <c r="AB38" s="56">
        <f>_xlfn.XLOOKUP($N38,'Calculo Leads'!$A$97:$A$134,'Calculo Leads'!O$97:O$134)*_xlfn.XLOOKUP($P38,'Base Grupo de Produtos'!$E$2:$E$18,'Base Grupo de Produtos'!$F$2:$F$18)</f>
        <v>198</v>
      </c>
      <c r="AC38" s="61">
        <f t="shared" si="13"/>
        <v>1539</v>
      </c>
      <c r="AD38" s="27">
        <f t="shared" si="31"/>
        <v>1539</v>
      </c>
      <c r="AE38" s="25">
        <f>IFERROR(_xlfn.XLOOKUP(N38&amp;P38,'Historico Vendas'!G:G,'Historico Vendas'!E:E),0)</f>
        <v>0</v>
      </c>
      <c r="AF38" s="29" t="str">
        <f t="shared" si="8"/>
        <v/>
      </c>
      <c r="AG38" s="24">
        <f>IFERROR(_xlfn.XLOOKUP(N38&amp;P38,'Historico Vendas'!G:G,'Historico Vendas'!F:F),0)</f>
        <v>0</v>
      </c>
      <c r="AH38" s="25">
        <f t="shared" si="32"/>
        <v>1171.9488000000001</v>
      </c>
      <c r="AI38" s="24">
        <f t="shared" si="33"/>
        <v>1171.9488000000001</v>
      </c>
      <c r="AJ38" s="11">
        <f t="shared" si="34"/>
        <v>0</v>
      </c>
      <c r="AK38" s="9" t="s">
        <v>102</v>
      </c>
      <c r="AL38" s="13">
        <f>IFERROR(INDEX('Balizador da Meta'!$D$3:$F$23,MATCH(Faturamento!$P38,'Balizador da Meta'!$C$3:$C$23,0),MATCH(Faturamento!AK38,'Balizador da Meta'!$D$2:$F$2,0)),"")</f>
        <v>0.2</v>
      </c>
      <c r="AM38" s="9"/>
    </row>
    <row r="39" spans="1:39" x14ac:dyDescent="0.3">
      <c r="A39" s="2" t="str">
        <f t="shared" si="1"/>
        <v>SIM</v>
      </c>
      <c r="B39" s="2" t="str">
        <f>_xlfn.XLOOKUP($N39,'Base de Grupos'!$A:$A,'Base de Grupos'!$D:$D)</f>
        <v>1000065763</v>
      </c>
      <c r="C39" s="5" t="str">
        <f>_xlfn.XLOOKUP($N39,'Base de Grupos'!$A:$A,'Base de Grupos'!$E:$E)</f>
        <v>CANAL VENDA INTERNA</v>
      </c>
      <c r="D39" s="5" t="str">
        <f>_xlfn.XLOOKUP($N39,'Base de Grupos'!$A:$A,'Base de Grupos'!$F:$F)</f>
        <v>1000065763</v>
      </c>
      <c r="E39" s="2" t="str">
        <f>_xlfn.XLOOKUP($N39,'Base de Grupos'!$A:$A,'Base de Grupos'!$G:$G)</f>
        <v>CANAL VENDA INTERNA</v>
      </c>
      <c r="F39" s="2" t="str">
        <f>_xlfn.XLOOKUP($N39,'Base de Grupos'!$A:$A,'Base de Grupos'!$H:$H)</f>
        <v>1000105900</v>
      </c>
      <c r="G39" s="5" t="str">
        <f>_xlfn.XLOOKUP($N39,'Base de Grupos'!$A:$A,'Base de Grupos'!$I:$I)</f>
        <v>REGIONAL VENDA DIRETA CO + NE + NO</v>
      </c>
      <c r="H39" s="5" t="str">
        <f>_xlfn.XLOOKUP($N39,'Base de Grupos'!$A:$A,'Base de Grupos'!$J:$J)</f>
        <v>1000105900</v>
      </c>
      <c r="I39" s="2" t="str">
        <f>_xlfn.XLOOKUP($N39,'Base de Grupos'!$A:$A,'Base de Grupos'!$K:$K)</f>
        <v>REGIONAL VENDA DIRETA CO + NE + NO</v>
      </c>
      <c r="J39" s="2" t="str">
        <f>_xlfn.XLOOKUP($N39,'Base de Grupos'!$A:$A,'Base de Grupos'!$L:$L)</f>
        <v>1000150135</v>
      </c>
      <c r="K39" s="5" t="str">
        <f>_xlfn.XLOOKUP($N39,'Base de Grupos'!$A:$A,'Base de Grupos'!$M:$M)</f>
        <v>HELDER DA SILVA BRUNKOW</v>
      </c>
      <c r="L39" s="5">
        <f t="shared" si="14"/>
        <v>1</v>
      </c>
      <c r="M39" s="5" t="str">
        <f>_xlfn.XLOOKUP($N39,'Base de Grupos'!$A:$A,'Base de Grupos'!$C:$C)</f>
        <v>CE</v>
      </c>
      <c r="N39" s="3">
        <v>1326</v>
      </c>
      <c r="O39" s="4" t="s">
        <v>226</v>
      </c>
      <c r="P39" s="5" t="s">
        <v>296</v>
      </c>
      <c r="Q39" s="56">
        <f t="shared" ref="Q39" si="35">SUM(Q40:Q56)</f>
        <v>0</v>
      </c>
      <c r="R39" s="56">
        <f t="shared" ref="R39" si="36">SUM(R40:R56)</f>
        <v>0</v>
      </c>
      <c r="S39" s="56">
        <f t="shared" ref="S39" si="37">SUM(S40:S56)</f>
        <v>0</v>
      </c>
      <c r="T39" s="56">
        <f t="shared" ref="T39" si="38">SUM(T40:T56)</f>
        <v>2000</v>
      </c>
      <c r="U39" s="56">
        <f t="shared" ref="U39" si="39">SUM(U40:U56)</f>
        <v>3000</v>
      </c>
      <c r="V39" s="56">
        <f t="shared" ref="V39" si="40">SUM(V40:V56)</f>
        <v>3000</v>
      </c>
      <c r="W39" s="56">
        <f t="shared" ref="W39" si="41">SUM(W40:W56)</f>
        <v>4000</v>
      </c>
      <c r="X39" s="56">
        <f t="shared" ref="X39" si="42">SUM(X40:X56)</f>
        <v>4400</v>
      </c>
      <c r="Y39" s="56">
        <f t="shared" ref="Y39" si="43">SUM(Y40:Y56)</f>
        <v>5500</v>
      </c>
      <c r="Z39" s="56">
        <f t="shared" ref="Z39" si="44">SUM(Z40:Z56)</f>
        <v>6600</v>
      </c>
      <c r="AA39" s="56">
        <f t="shared" ref="AA39" si="45">SUM(AA40:AA56)</f>
        <v>7700</v>
      </c>
      <c r="AB39" s="56">
        <f t="shared" ref="AB39" si="46">SUM(AB40:AB56)</f>
        <v>5500</v>
      </c>
      <c r="AC39" s="56">
        <f t="shared" ref="AC39" si="47">SUM(AC40:AC56)</f>
        <v>41700</v>
      </c>
      <c r="AD39" s="25">
        <f t="shared" si="29"/>
        <v>41700</v>
      </c>
      <c r="AE39" s="25">
        <f t="shared" ref="AE39:AI39" si="48">SUM(AE40:AE56)</f>
        <v>0</v>
      </c>
      <c r="AF39" s="11" t="str">
        <f t="shared" si="8"/>
        <v/>
      </c>
      <c r="AG39" s="24">
        <f t="shared" si="48"/>
        <v>0</v>
      </c>
      <c r="AH39" s="25">
        <f t="shared" si="48"/>
        <v>0</v>
      </c>
      <c r="AI39" s="24">
        <f t="shared" si="48"/>
        <v>0</v>
      </c>
      <c r="AJ39" s="11" t="str">
        <f t="shared" si="34"/>
        <v/>
      </c>
      <c r="AK39" s="9"/>
      <c r="AL39" s="13"/>
      <c r="AM39" s="9"/>
    </row>
    <row r="40" spans="1:39" x14ac:dyDescent="0.3">
      <c r="A40" s="2" t="str">
        <f t="shared" si="1"/>
        <v>NÃO</v>
      </c>
      <c r="B40" s="2" t="str">
        <f>_xlfn.XLOOKUP($N40,'Base de Grupos'!$A:$A,'Base de Grupos'!$D:$D)</f>
        <v>1000065763</v>
      </c>
      <c r="C40" s="5" t="str">
        <f>_xlfn.XLOOKUP($N40,'Base de Grupos'!$A:$A,'Base de Grupos'!$E:$E)</f>
        <v>CANAL VENDA INTERNA</v>
      </c>
      <c r="D40" s="5" t="str">
        <f>_xlfn.XLOOKUP($N40,'Base de Grupos'!$A:$A,'Base de Grupos'!$F:$F)</f>
        <v>1000065763</v>
      </c>
      <c r="E40" s="2" t="str">
        <f>_xlfn.XLOOKUP($N40,'Base de Grupos'!$A:$A,'Base de Grupos'!$G:$G)</f>
        <v>CANAL VENDA INTERNA</v>
      </c>
      <c r="F40" s="2" t="str">
        <f>_xlfn.XLOOKUP($N40,'Base de Grupos'!$A:$A,'Base de Grupos'!$H:$H)</f>
        <v>1000105900</v>
      </c>
      <c r="G40" s="5" t="str">
        <f>_xlfn.XLOOKUP($N40,'Base de Grupos'!$A:$A,'Base de Grupos'!$I:$I)</f>
        <v>REGIONAL VENDA DIRETA CO + NE + NO</v>
      </c>
      <c r="H40" s="5" t="str">
        <f>_xlfn.XLOOKUP($N40,'Base de Grupos'!$A:$A,'Base de Grupos'!$J:$J)</f>
        <v>1000105900</v>
      </c>
      <c r="I40" s="2" t="str">
        <f>_xlfn.XLOOKUP($N40,'Base de Grupos'!$A:$A,'Base de Grupos'!$K:$K)</f>
        <v>REGIONAL VENDA DIRETA CO + NE + NO</v>
      </c>
      <c r="J40" s="2" t="str">
        <f>_xlfn.XLOOKUP($N40,'Base de Grupos'!$A:$A,'Base de Grupos'!$L:$L)</f>
        <v>1000150135</v>
      </c>
      <c r="K40" s="5" t="str">
        <f>_xlfn.XLOOKUP($N40,'Base de Grupos'!$A:$A,'Base de Grupos'!$M:$M)</f>
        <v>HELDER DA SILVA BRUNKOW</v>
      </c>
      <c r="L40" s="5" t="str">
        <f t="shared" si="14"/>
        <v/>
      </c>
      <c r="M40" s="5" t="str">
        <f>_xlfn.XLOOKUP($N40,'Base de Grupos'!$A:$A,'Base de Grupos'!$C:$C)</f>
        <v>CE</v>
      </c>
      <c r="N40" s="3">
        <v>1326</v>
      </c>
      <c r="O40" s="4" t="s">
        <v>226</v>
      </c>
      <c r="P40" s="5" t="s">
        <v>81</v>
      </c>
      <c r="Q40" s="56">
        <v>0</v>
      </c>
      <c r="R40" s="56">
        <v>0</v>
      </c>
      <c r="S40" s="56">
        <v>0</v>
      </c>
      <c r="T40" s="56">
        <f>_xlfn.XLOOKUP($N40,'Calculo Leads'!$A$97:$A$134,'Calculo Leads'!G$97:G$134)*_xlfn.XLOOKUP($P40,'Base Grupo de Produtos'!$E$2:$E$18,'Base Grupo de Produtos'!$F$2:$F$18)</f>
        <v>100</v>
      </c>
      <c r="U40" s="56">
        <f>_xlfn.XLOOKUP($N40,'Calculo Leads'!$A$97:$A$134,'Calculo Leads'!H$97:H$134)*_xlfn.XLOOKUP($P40,'Base Grupo de Produtos'!$E$2:$E$18,'Base Grupo de Produtos'!$F$2:$F$18)</f>
        <v>150</v>
      </c>
      <c r="V40" s="56">
        <f>_xlfn.XLOOKUP($N40,'Calculo Leads'!$A$97:$A$134,'Calculo Leads'!I$97:I$134)*_xlfn.XLOOKUP($P40,'Base Grupo de Produtos'!$E$2:$E$18,'Base Grupo de Produtos'!$F$2:$F$18)</f>
        <v>150</v>
      </c>
      <c r="W40" s="56">
        <f>_xlfn.XLOOKUP($N40,'Calculo Leads'!$A$97:$A$134,'Calculo Leads'!J$97:J$134)*_xlfn.XLOOKUP($P40,'Base Grupo de Produtos'!$E$2:$E$18,'Base Grupo de Produtos'!$F$2:$F$18)</f>
        <v>200</v>
      </c>
      <c r="X40" s="56">
        <f>_xlfn.XLOOKUP($N40,'Calculo Leads'!$A$97:$A$134,'Calculo Leads'!K$97:K$134)*_xlfn.XLOOKUP($P40,'Base Grupo de Produtos'!$E$2:$E$18,'Base Grupo de Produtos'!$F$2:$F$18)</f>
        <v>220</v>
      </c>
      <c r="Y40" s="56">
        <f>_xlfn.XLOOKUP($N40,'Calculo Leads'!$A$97:$A$134,'Calculo Leads'!L$97:L$134)*_xlfn.XLOOKUP($P40,'Base Grupo de Produtos'!$E$2:$E$18,'Base Grupo de Produtos'!$F$2:$F$18)</f>
        <v>275</v>
      </c>
      <c r="Z40" s="56">
        <f>_xlfn.XLOOKUP($N40,'Calculo Leads'!$A$97:$A$134,'Calculo Leads'!M$97:M$134)*_xlfn.XLOOKUP($P40,'Base Grupo de Produtos'!$E$2:$E$18,'Base Grupo de Produtos'!$F$2:$F$18)</f>
        <v>330</v>
      </c>
      <c r="AA40" s="56">
        <f>_xlfn.XLOOKUP($N40,'Calculo Leads'!$A$97:$A$134,'Calculo Leads'!N$97:N$134)*_xlfn.XLOOKUP($P40,'Base Grupo de Produtos'!$E$2:$E$18,'Base Grupo de Produtos'!$F$2:$F$18)</f>
        <v>385</v>
      </c>
      <c r="AB40" s="56">
        <f>_xlfn.XLOOKUP($N40,'Calculo Leads'!$A$97:$A$134,'Calculo Leads'!O$97:O$134)*_xlfn.XLOOKUP($P40,'Base Grupo de Produtos'!$E$2:$E$18,'Base Grupo de Produtos'!$F$2:$F$18)</f>
        <v>275</v>
      </c>
      <c r="AC40" s="61">
        <f t="shared" si="13"/>
        <v>2085</v>
      </c>
      <c r="AD40" s="27">
        <f t="shared" ref="AD40:AD56" si="49">IF(AC40=0,0,AC40-AG40)</f>
        <v>2085</v>
      </c>
      <c r="AE40" s="25">
        <f>IFERROR(_xlfn.XLOOKUP(N40&amp;P40,'Historico Vendas'!G:G,'Historico Vendas'!E:E),0)</f>
        <v>0</v>
      </c>
      <c r="AF40" s="29" t="str">
        <f t="shared" si="8"/>
        <v/>
      </c>
      <c r="AG40" s="24">
        <f>IFERROR(_xlfn.XLOOKUP(N40&amp;P40,'Historico Vendas'!G:G,'Historico Vendas'!F:F),0)</f>
        <v>0</v>
      </c>
      <c r="AH40" s="25">
        <f t="shared" ref="AH40:AH56" si="50">SUM(Q40:S40)</f>
        <v>0</v>
      </c>
      <c r="AI40" s="24">
        <f t="shared" ref="AI40:AI56" si="51">AH40-AG40</f>
        <v>0</v>
      </c>
      <c r="AJ40" s="11" t="str">
        <f t="shared" si="34"/>
        <v/>
      </c>
      <c r="AK40" s="9" t="s">
        <v>102</v>
      </c>
      <c r="AL40" s="13">
        <f>IFERROR(INDEX('Balizador da Meta'!$D$3:$F$23,MATCH(Faturamento!$P40,'Balizador da Meta'!$C$3:$C$23,0),MATCH(Faturamento!AK40,'Balizador da Meta'!$D$2:$F$2,0)),"")</f>
        <v>0.2</v>
      </c>
      <c r="AM40" s="9"/>
    </row>
    <row r="41" spans="1:39" x14ac:dyDescent="0.3">
      <c r="A41" s="2" t="str">
        <f t="shared" si="1"/>
        <v>NÃO</v>
      </c>
      <c r="B41" s="2" t="str">
        <f>_xlfn.XLOOKUP($N41,'Base de Grupos'!$A:$A,'Base de Grupos'!$D:$D)</f>
        <v>1000065763</v>
      </c>
      <c r="C41" s="5" t="str">
        <f>_xlfn.XLOOKUP($N41,'Base de Grupos'!$A:$A,'Base de Grupos'!$E:$E)</f>
        <v>CANAL VENDA INTERNA</v>
      </c>
      <c r="D41" s="5" t="str">
        <f>_xlfn.XLOOKUP($N41,'Base de Grupos'!$A:$A,'Base de Grupos'!$F:$F)</f>
        <v>1000065763</v>
      </c>
      <c r="E41" s="2" t="str">
        <f>_xlfn.XLOOKUP($N41,'Base de Grupos'!$A:$A,'Base de Grupos'!$G:$G)</f>
        <v>CANAL VENDA INTERNA</v>
      </c>
      <c r="F41" s="2" t="str">
        <f>_xlfn.XLOOKUP($N41,'Base de Grupos'!$A:$A,'Base de Grupos'!$H:$H)</f>
        <v>1000105900</v>
      </c>
      <c r="G41" s="5" t="str">
        <f>_xlfn.XLOOKUP($N41,'Base de Grupos'!$A:$A,'Base de Grupos'!$I:$I)</f>
        <v>REGIONAL VENDA DIRETA CO + NE + NO</v>
      </c>
      <c r="H41" s="5" t="str">
        <f>_xlfn.XLOOKUP($N41,'Base de Grupos'!$A:$A,'Base de Grupos'!$J:$J)</f>
        <v>1000105900</v>
      </c>
      <c r="I41" s="2" t="str">
        <f>_xlfn.XLOOKUP($N41,'Base de Grupos'!$A:$A,'Base de Grupos'!$K:$K)</f>
        <v>REGIONAL VENDA DIRETA CO + NE + NO</v>
      </c>
      <c r="J41" s="2" t="str">
        <f>_xlfn.XLOOKUP($N41,'Base de Grupos'!$A:$A,'Base de Grupos'!$L:$L)</f>
        <v>1000150135</v>
      </c>
      <c r="K41" s="5" t="str">
        <f>_xlfn.XLOOKUP($N41,'Base de Grupos'!$A:$A,'Base de Grupos'!$M:$M)</f>
        <v>HELDER DA SILVA BRUNKOW</v>
      </c>
      <c r="L41" s="5" t="str">
        <f t="shared" si="14"/>
        <v/>
      </c>
      <c r="M41" s="5" t="str">
        <f>_xlfn.XLOOKUP($N41,'Base de Grupos'!$A:$A,'Base de Grupos'!$C:$C)</f>
        <v>CE</v>
      </c>
      <c r="N41" s="3">
        <v>1326</v>
      </c>
      <c r="O41" s="4" t="s">
        <v>226</v>
      </c>
      <c r="P41" s="5" t="s">
        <v>82</v>
      </c>
      <c r="Q41" s="56">
        <v>0</v>
      </c>
      <c r="R41" s="56">
        <v>0</v>
      </c>
      <c r="S41" s="56">
        <v>0</v>
      </c>
      <c r="T41" s="56">
        <f>_xlfn.XLOOKUP($N41,'Calculo Leads'!$A$97:$A$134,'Calculo Leads'!G$97:G$134)*_xlfn.XLOOKUP($P41,'Base Grupo de Produtos'!$E$2:$E$18,'Base Grupo de Produtos'!$F$2:$F$18)</f>
        <v>100</v>
      </c>
      <c r="U41" s="56">
        <f>_xlfn.XLOOKUP($N41,'Calculo Leads'!$A$97:$A$134,'Calculo Leads'!H$97:H$134)*_xlfn.XLOOKUP($P41,'Base Grupo de Produtos'!$E$2:$E$18,'Base Grupo de Produtos'!$F$2:$F$18)</f>
        <v>150</v>
      </c>
      <c r="V41" s="56">
        <f>_xlfn.XLOOKUP($N41,'Calculo Leads'!$A$97:$A$134,'Calculo Leads'!I$97:I$134)*_xlfn.XLOOKUP($P41,'Base Grupo de Produtos'!$E$2:$E$18,'Base Grupo de Produtos'!$F$2:$F$18)</f>
        <v>150</v>
      </c>
      <c r="W41" s="56">
        <f>_xlfn.XLOOKUP($N41,'Calculo Leads'!$A$97:$A$134,'Calculo Leads'!J$97:J$134)*_xlfn.XLOOKUP($P41,'Base Grupo de Produtos'!$E$2:$E$18,'Base Grupo de Produtos'!$F$2:$F$18)</f>
        <v>200</v>
      </c>
      <c r="X41" s="56">
        <f>_xlfn.XLOOKUP($N41,'Calculo Leads'!$A$97:$A$134,'Calculo Leads'!K$97:K$134)*_xlfn.XLOOKUP($P41,'Base Grupo de Produtos'!$E$2:$E$18,'Base Grupo de Produtos'!$F$2:$F$18)</f>
        <v>220</v>
      </c>
      <c r="Y41" s="56">
        <f>_xlfn.XLOOKUP($N41,'Calculo Leads'!$A$97:$A$134,'Calculo Leads'!L$97:L$134)*_xlfn.XLOOKUP($P41,'Base Grupo de Produtos'!$E$2:$E$18,'Base Grupo de Produtos'!$F$2:$F$18)</f>
        <v>275</v>
      </c>
      <c r="Z41" s="56">
        <f>_xlfn.XLOOKUP($N41,'Calculo Leads'!$A$97:$A$134,'Calculo Leads'!M$97:M$134)*_xlfn.XLOOKUP($P41,'Base Grupo de Produtos'!$E$2:$E$18,'Base Grupo de Produtos'!$F$2:$F$18)</f>
        <v>330</v>
      </c>
      <c r="AA41" s="56">
        <f>_xlfn.XLOOKUP($N41,'Calculo Leads'!$A$97:$A$134,'Calculo Leads'!N$97:N$134)*_xlfn.XLOOKUP($P41,'Base Grupo de Produtos'!$E$2:$E$18,'Base Grupo de Produtos'!$F$2:$F$18)</f>
        <v>385</v>
      </c>
      <c r="AB41" s="56">
        <f>_xlfn.XLOOKUP($N41,'Calculo Leads'!$A$97:$A$134,'Calculo Leads'!O$97:O$134)*_xlfn.XLOOKUP($P41,'Base Grupo de Produtos'!$E$2:$E$18,'Base Grupo de Produtos'!$F$2:$F$18)</f>
        <v>275</v>
      </c>
      <c r="AC41" s="61">
        <f t="shared" si="13"/>
        <v>2085</v>
      </c>
      <c r="AD41" s="27">
        <f t="shared" si="49"/>
        <v>2085</v>
      </c>
      <c r="AE41" s="25">
        <f>IFERROR(_xlfn.XLOOKUP(N41&amp;P41,'Historico Vendas'!G:G,'Historico Vendas'!E:E),0)</f>
        <v>0</v>
      </c>
      <c r="AF41" s="29" t="str">
        <f t="shared" si="8"/>
        <v/>
      </c>
      <c r="AG41" s="24">
        <f>IFERROR(_xlfn.XLOOKUP(N41&amp;P41,'Historico Vendas'!G:G,'Historico Vendas'!F:F),0)</f>
        <v>0</v>
      </c>
      <c r="AH41" s="25">
        <f t="shared" si="50"/>
        <v>0</v>
      </c>
      <c r="AI41" s="24">
        <f t="shared" si="51"/>
        <v>0</v>
      </c>
      <c r="AJ41" s="11" t="str">
        <f t="shared" si="34"/>
        <v/>
      </c>
      <c r="AK41" s="9" t="s">
        <v>102</v>
      </c>
      <c r="AL41" s="13">
        <f>IFERROR(INDEX('Balizador da Meta'!$D$3:$F$23,MATCH(Faturamento!$P41,'Balizador da Meta'!$C$3:$C$23,0),MATCH(Faturamento!AK41,'Balizador da Meta'!$D$2:$F$2,0)),"")</f>
        <v>0.2</v>
      </c>
      <c r="AM41" s="9"/>
    </row>
    <row r="42" spans="1:39" x14ac:dyDescent="0.3">
      <c r="A42" s="2" t="str">
        <f t="shared" si="1"/>
        <v>NÃO</v>
      </c>
      <c r="B42" s="2" t="str">
        <f>_xlfn.XLOOKUP($N42,'Base de Grupos'!$A:$A,'Base de Grupos'!$D:$D)</f>
        <v>1000065763</v>
      </c>
      <c r="C42" s="5" t="str">
        <f>_xlfn.XLOOKUP($N42,'Base de Grupos'!$A:$A,'Base de Grupos'!$E:$E)</f>
        <v>CANAL VENDA INTERNA</v>
      </c>
      <c r="D42" s="5" t="str">
        <f>_xlfn.XLOOKUP($N42,'Base de Grupos'!$A:$A,'Base de Grupos'!$F:$F)</f>
        <v>1000065763</v>
      </c>
      <c r="E42" s="2" t="str">
        <f>_xlfn.XLOOKUP($N42,'Base de Grupos'!$A:$A,'Base de Grupos'!$G:$G)</f>
        <v>CANAL VENDA INTERNA</v>
      </c>
      <c r="F42" s="2" t="str">
        <f>_xlfn.XLOOKUP($N42,'Base de Grupos'!$A:$A,'Base de Grupos'!$H:$H)</f>
        <v>1000105900</v>
      </c>
      <c r="G42" s="5" t="str">
        <f>_xlfn.XLOOKUP($N42,'Base de Grupos'!$A:$A,'Base de Grupos'!$I:$I)</f>
        <v>REGIONAL VENDA DIRETA CO + NE + NO</v>
      </c>
      <c r="H42" s="5" t="str">
        <f>_xlfn.XLOOKUP($N42,'Base de Grupos'!$A:$A,'Base de Grupos'!$J:$J)</f>
        <v>1000105900</v>
      </c>
      <c r="I42" s="2" t="str">
        <f>_xlfn.XLOOKUP($N42,'Base de Grupos'!$A:$A,'Base de Grupos'!$K:$K)</f>
        <v>REGIONAL VENDA DIRETA CO + NE + NO</v>
      </c>
      <c r="J42" s="2" t="str">
        <f>_xlfn.XLOOKUP($N42,'Base de Grupos'!$A:$A,'Base de Grupos'!$L:$L)</f>
        <v>1000150135</v>
      </c>
      <c r="K42" s="5" t="str">
        <f>_xlfn.XLOOKUP($N42,'Base de Grupos'!$A:$A,'Base de Grupos'!$M:$M)</f>
        <v>HELDER DA SILVA BRUNKOW</v>
      </c>
      <c r="L42" s="5" t="str">
        <f t="shared" si="14"/>
        <v/>
      </c>
      <c r="M42" s="5" t="str">
        <f>_xlfn.XLOOKUP($N42,'Base de Grupos'!$A:$A,'Base de Grupos'!$C:$C)</f>
        <v>CE</v>
      </c>
      <c r="N42" s="3">
        <v>1326</v>
      </c>
      <c r="O42" s="4" t="s">
        <v>226</v>
      </c>
      <c r="P42" s="5" t="s">
        <v>84</v>
      </c>
      <c r="Q42" s="56">
        <v>0</v>
      </c>
      <c r="R42" s="56">
        <v>0</v>
      </c>
      <c r="S42" s="56">
        <v>0</v>
      </c>
      <c r="T42" s="56">
        <f>_xlfn.XLOOKUP($N42,'Calculo Leads'!$A$97:$A$134,'Calculo Leads'!G$97:G$134)*_xlfn.XLOOKUP($P42,'Base Grupo de Produtos'!$E$2:$E$18,'Base Grupo de Produtos'!$F$2:$F$18)</f>
        <v>160</v>
      </c>
      <c r="U42" s="56">
        <f>_xlfn.XLOOKUP($N42,'Calculo Leads'!$A$97:$A$134,'Calculo Leads'!H$97:H$134)*_xlfn.XLOOKUP($P42,'Base Grupo de Produtos'!$E$2:$E$18,'Base Grupo de Produtos'!$F$2:$F$18)</f>
        <v>240</v>
      </c>
      <c r="V42" s="56">
        <f>_xlfn.XLOOKUP($N42,'Calculo Leads'!$A$97:$A$134,'Calculo Leads'!I$97:I$134)*_xlfn.XLOOKUP($P42,'Base Grupo de Produtos'!$E$2:$E$18,'Base Grupo de Produtos'!$F$2:$F$18)</f>
        <v>240</v>
      </c>
      <c r="W42" s="56">
        <f>_xlfn.XLOOKUP($N42,'Calculo Leads'!$A$97:$A$134,'Calculo Leads'!J$97:J$134)*_xlfn.XLOOKUP($P42,'Base Grupo de Produtos'!$E$2:$E$18,'Base Grupo de Produtos'!$F$2:$F$18)</f>
        <v>320</v>
      </c>
      <c r="X42" s="56">
        <f>_xlfn.XLOOKUP($N42,'Calculo Leads'!$A$97:$A$134,'Calculo Leads'!K$97:K$134)*_xlfn.XLOOKUP($P42,'Base Grupo de Produtos'!$E$2:$E$18,'Base Grupo de Produtos'!$F$2:$F$18)</f>
        <v>352</v>
      </c>
      <c r="Y42" s="56">
        <f>_xlfn.XLOOKUP($N42,'Calculo Leads'!$A$97:$A$134,'Calculo Leads'!L$97:L$134)*_xlfn.XLOOKUP($P42,'Base Grupo de Produtos'!$E$2:$E$18,'Base Grupo de Produtos'!$F$2:$F$18)</f>
        <v>440</v>
      </c>
      <c r="Z42" s="56">
        <f>_xlfn.XLOOKUP($N42,'Calculo Leads'!$A$97:$A$134,'Calculo Leads'!M$97:M$134)*_xlfn.XLOOKUP($P42,'Base Grupo de Produtos'!$E$2:$E$18,'Base Grupo de Produtos'!$F$2:$F$18)</f>
        <v>528</v>
      </c>
      <c r="AA42" s="56">
        <f>_xlfn.XLOOKUP($N42,'Calculo Leads'!$A$97:$A$134,'Calculo Leads'!N$97:N$134)*_xlfn.XLOOKUP($P42,'Base Grupo de Produtos'!$E$2:$E$18,'Base Grupo de Produtos'!$F$2:$F$18)</f>
        <v>616</v>
      </c>
      <c r="AB42" s="56">
        <f>_xlfn.XLOOKUP($N42,'Calculo Leads'!$A$97:$A$134,'Calculo Leads'!O$97:O$134)*_xlfn.XLOOKUP($P42,'Base Grupo de Produtos'!$E$2:$E$18,'Base Grupo de Produtos'!$F$2:$F$18)</f>
        <v>440</v>
      </c>
      <c r="AC42" s="61">
        <f t="shared" si="13"/>
        <v>3336</v>
      </c>
      <c r="AD42" s="27">
        <f t="shared" si="49"/>
        <v>3336</v>
      </c>
      <c r="AE42" s="25">
        <f>IFERROR(_xlfn.XLOOKUP(N42&amp;P42,'Historico Vendas'!G:G,'Historico Vendas'!E:E),0)</f>
        <v>0</v>
      </c>
      <c r="AF42" s="29" t="str">
        <f t="shared" si="8"/>
        <v/>
      </c>
      <c r="AG42" s="24">
        <f>IFERROR(_xlfn.XLOOKUP(N42&amp;P42,'Historico Vendas'!G:G,'Historico Vendas'!F:F),0)</f>
        <v>0</v>
      </c>
      <c r="AH42" s="25">
        <f t="shared" si="50"/>
        <v>0</v>
      </c>
      <c r="AI42" s="24">
        <f t="shared" si="51"/>
        <v>0</v>
      </c>
      <c r="AJ42" s="11" t="str">
        <f t="shared" si="34"/>
        <v/>
      </c>
      <c r="AK42" s="9" t="s">
        <v>102</v>
      </c>
      <c r="AL42" s="13">
        <f>IFERROR(INDEX('Balizador da Meta'!$D$3:$F$23,MATCH(Faturamento!$P42,'Balizador da Meta'!$C$3:$C$23,0),MATCH(Faturamento!AK42,'Balizador da Meta'!$D$2:$F$2,0)),"")</f>
        <v>0.15</v>
      </c>
      <c r="AM42" s="9"/>
    </row>
    <row r="43" spans="1:39" x14ac:dyDescent="0.3">
      <c r="A43" s="2" t="str">
        <f t="shared" si="1"/>
        <v>NÃO</v>
      </c>
      <c r="B43" s="2" t="str">
        <f>_xlfn.XLOOKUP($N43,'Base de Grupos'!$A:$A,'Base de Grupos'!$D:$D)</f>
        <v>1000065763</v>
      </c>
      <c r="C43" s="5" t="str">
        <f>_xlfn.XLOOKUP($N43,'Base de Grupos'!$A:$A,'Base de Grupos'!$E:$E)</f>
        <v>CANAL VENDA INTERNA</v>
      </c>
      <c r="D43" s="5" t="str">
        <f>_xlfn.XLOOKUP($N43,'Base de Grupos'!$A:$A,'Base de Grupos'!$F:$F)</f>
        <v>1000065763</v>
      </c>
      <c r="E43" s="2" t="str">
        <f>_xlfn.XLOOKUP($N43,'Base de Grupos'!$A:$A,'Base de Grupos'!$G:$G)</f>
        <v>CANAL VENDA INTERNA</v>
      </c>
      <c r="F43" s="2" t="str">
        <f>_xlfn.XLOOKUP($N43,'Base de Grupos'!$A:$A,'Base de Grupos'!$H:$H)</f>
        <v>1000105900</v>
      </c>
      <c r="G43" s="5" t="str">
        <f>_xlfn.XLOOKUP($N43,'Base de Grupos'!$A:$A,'Base de Grupos'!$I:$I)</f>
        <v>REGIONAL VENDA DIRETA CO + NE + NO</v>
      </c>
      <c r="H43" s="5" t="str">
        <f>_xlfn.XLOOKUP($N43,'Base de Grupos'!$A:$A,'Base de Grupos'!$J:$J)</f>
        <v>1000105900</v>
      </c>
      <c r="I43" s="2" t="str">
        <f>_xlfn.XLOOKUP($N43,'Base de Grupos'!$A:$A,'Base de Grupos'!$K:$K)</f>
        <v>REGIONAL VENDA DIRETA CO + NE + NO</v>
      </c>
      <c r="J43" s="2" t="str">
        <f>_xlfn.XLOOKUP($N43,'Base de Grupos'!$A:$A,'Base de Grupos'!$L:$L)</f>
        <v>1000150135</v>
      </c>
      <c r="K43" s="5" t="str">
        <f>_xlfn.XLOOKUP($N43,'Base de Grupos'!$A:$A,'Base de Grupos'!$M:$M)</f>
        <v>HELDER DA SILVA BRUNKOW</v>
      </c>
      <c r="L43" s="5" t="str">
        <f t="shared" si="14"/>
        <v/>
      </c>
      <c r="M43" s="5" t="str">
        <f>_xlfn.XLOOKUP($N43,'Base de Grupos'!$A:$A,'Base de Grupos'!$C:$C)</f>
        <v>CE</v>
      </c>
      <c r="N43" s="3">
        <v>1326</v>
      </c>
      <c r="O43" s="4" t="s">
        <v>226</v>
      </c>
      <c r="P43" s="5" t="s">
        <v>83</v>
      </c>
      <c r="Q43" s="56">
        <v>0</v>
      </c>
      <c r="R43" s="56">
        <v>0</v>
      </c>
      <c r="S43" s="56">
        <v>0</v>
      </c>
      <c r="T43" s="56">
        <f>_xlfn.XLOOKUP($N43,'Calculo Leads'!$A$97:$A$134,'Calculo Leads'!G$97:G$134)*_xlfn.XLOOKUP($P43,'Base Grupo de Produtos'!$E$2:$E$18,'Base Grupo de Produtos'!$F$2:$F$18)</f>
        <v>200</v>
      </c>
      <c r="U43" s="56">
        <f>_xlfn.XLOOKUP($N43,'Calculo Leads'!$A$97:$A$134,'Calculo Leads'!H$97:H$134)*_xlfn.XLOOKUP($P43,'Base Grupo de Produtos'!$E$2:$E$18,'Base Grupo de Produtos'!$F$2:$F$18)</f>
        <v>300</v>
      </c>
      <c r="V43" s="56">
        <f>_xlfn.XLOOKUP($N43,'Calculo Leads'!$A$97:$A$134,'Calculo Leads'!I$97:I$134)*_xlfn.XLOOKUP($P43,'Base Grupo de Produtos'!$E$2:$E$18,'Base Grupo de Produtos'!$F$2:$F$18)</f>
        <v>300</v>
      </c>
      <c r="W43" s="56">
        <f>_xlfn.XLOOKUP($N43,'Calculo Leads'!$A$97:$A$134,'Calculo Leads'!J$97:J$134)*_xlfn.XLOOKUP($P43,'Base Grupo de Produtos'!$E$2:$E$18,'Base Grupo de Produtos'!$F$2:$F$18)</f>
        <v>400</v>
      </c>
      <c r="X43" s="56">
        <f>_xlfn.XLOOKUP($N43,'Calculo Leads'!$A$97:$A$134,'Calculo Leads'!K$97:K$134)*_xlfn.XLOOKUP($P43,'Base Grupo de Produtos'!$E$2:$E$18,'Base Grupo de Produtos'!$F$2:$F$18)</f>
        <v>440</v>
      </c>
      <c r="Y43" s="56">
        <f>_xlfn.XLOOKUP($N43,'Calculo Leads'!$A$97:$A$134,'Calculo Leads'!L$97:L$134)*_xlfn.XLOOKUP($P43,'Base Grupo de Produtos'!$E$2:$E$18,'Base Grupo de Produtos'!$F$2:$F$18)</f>
        <v>550</v>
      </c>
      <c r="Z43" s="56">
        <f>_xlfn.XLOOKUP($N43,'Calculo Leads'!$A$97:$A$134,'Calculo Leads'!M$97:M$134)*_xlfn.XLOOKUP($P43,'Base Grupo de Produtos'!$E$2:$E$18,'Base Grupo de Produtos'!$F$2:$F$18)</f>
        <v>660</v>
      </c>
      <c r="AA43" s="56">
        <f>_xlfn.XLOOKUP($N43,'Calculo Leads'!$A$97:$A$134,'Calculo Leads'!N$97:N$134)*_xlfn.XLOOKUP($P43,'Base Grupo de Produtos'!$E$2:$E$18,'Base Grupo de Produtos'!$F$2:$F$18)</f>
        <v>770</v>
      </c>
      <c r="AB43" s="56">
        <f>_xlfn.XLOOKUP($N43,'Calculo Leads'!$A$97:$A$134,'Calculo Leads'!O$97:O$134)*_xlfn.XLOOKUP($P43,'Base Grupo de Produtos'!$E$2:$E$18,'Base Grupo de Produtos'!$F$2:$F$18)</f>
        <v>550</v>
      </c>
      <c r="AC43" s="61">
        <f t="shared" si="13"/>
        <v>4170</v>
      </c>
      <c r="AD43" s="27">
        <f t="shared" si="49"/>
        <v>4170</v>
      </c>
      <c r="AE43" s="25">
        <f>IFERROR(_xlfn.XLOOKUP(N43&amp;P43,'Historico Vendas'!G:G,'Historico Vendas'!E:E),0)</f>
        <v>0</v>
      </c>
      <c r="AF43" s="29" t="str">
        <f t="shared" si="8"/>
        <v/>
      </c>
      <c r="AG43" s="24">
        <f>IFERROR(_xlfn.XLOOKUP(N43&amp;P43,'Historico Vendas'!G:G,'Historico Vendas'!F:F),0)</f>
        <v>0</v>
      </c>
      <c r="AH43" s="25">
        <f t="shared" si="50"/>
        <v>0</v>
      </c>
      <c r="AI43" s="24">
        <f t="shared" si="51"/>
        <v>0</v>
      </c>
      <c r="AJ43" s="11" t="str">
        <f t="shared" si="34"/>
        <v/>
      </c>
      <c r="AK43" s="9" t="s">
        <v>102</v>
      </c>
      <c r="AL43" s="13">
        <f>IFERROR(INDEX('Balizador da Meta'!$D$3:$F$23,MATCH(Faturamento!$P43,'Balizador da Meta'!$C$3:$C$23,0),MATCH(Faturamento!AK43,'Balizador da Meta'!$D$2:$F$2,0)),"")</f>
        <v>0</v>
      </c>
      <c r="AM43" s="9"/>
    </row>
    <row r="44" spans="1:39" x14ac:dyDescent="0.3">
      <c r="A44" s="2" t="str">
        <f t="shared" si="1"/>
        <v>NÃO</v>
      </c>
      <c r="B44" s="2" t="str">
        <f>_xlfn.XLOOKUP($N44,'Base de Grupos'!$A:$A,'Base de Grupos'!$D:$D)</f>
        <v>1000065763</v>
      </c>
      <c r="C44" s="5" t="str">
        <f>_xlfn.XLOOKUP($N44,'Base de Grupos'!$A:$A,'Base de Grupos'!$E:$E)</f>
        <v>CANAL VENDA INTERNA</v>
      </c>
      <c r="D44" s="5" t="str">
        <f>_xlfn.XLOOKUP($N44,'Base de Grupos'!$A:$A,'Base de Grupos'!$F:$F)</f>
        <v>1000065763</v>
      </c>
      <c r="E44" s="2" t="str">
        <f>_xlfn.XLOOKUP($N44,'Base de Grupos'!$A:$A,'Base de Grupos'!$G:$G)</f>
        <v>CANAL VENDA INTERNA</v>
      </c>
      <c r="F44" s="2" t="str">
        <f>_xlfn.XLOOKUP($N44,'Base de Grupos'!$A:$A,'Base de Grupos'!$H:$H)</f>
        <v>1000105900</v>
      </c>
      <c r="G44" s="5" t="str">
        <f>_xlfn.XLOOKUP($N44,'Base de Grupos'!$A:$A,'Base de Grupos'!$I:$I)</f>
        <v>REGIONAL VENDA DIRETA CO + NE + NO</v>
      </c>
      <c r="H44" s="5" t="str">
        <f>_xlfn.XLOOKUP($N44,'Base de Grupos'!$A:$A,'Base de Grupos'!$J:$J)</f>
        <v>1000105900</v>
      </c>
      <c r="I44" s="2" t="str">
        <f>_xlfn.XLOOKUP($N44,'Base de Grupos'!$A:$A,'Base de Grupos'!$K:$K)</f>
        <v>REGIONAL VENDA DIRETA CO + NE + NO</v>
      </c>
      <c r="J44" s="2" t="str">
        <f>_xlfn.XLOOKUP($N44,'Base de Grupos'!$A:$A,'Base de Grupos'!$L:$L)</f>
        <v>1000150135</v>
      </c>
      <c r="K44" s="5" t="str">
        <f>_xlfn.XLOOKUP($N44,'Base de Grupos'!$A:$A,'Base de Grupos'!$M:$M)</f>
        <v>HELDER DA SILVA BRUNKOW</v>
      </c>
      <c r="L44" s="5" t="str">
        <f t="shared" si="14"/>
        <v/>
      </c>
      <c r="M44" s="5" t="str">
        <f>_xlfn.XLOOKUP($N44,'Base de Grupos'!$A:$A,'Base de Grupos'!$C:$C)</f>
        <v>CE</v>
      </c>
      <c r="N44" s="3">
        <v>1326</v>
      </c>
      <c r="O44" s="4" t="s">
        <v>226</v>
      </c>
      <c r="P44" s="5" t="s">
        <v>87</v>
      </c>
      <c r="Q44" s="56">
        <v>0</v>
      </c>
      <c r="R44" s="56">
        <v>0</v>
      </c>
      <c r="S44" s="56">
        <v>0</v>
      </c>
      <c r="T44" s="56">
        <f>_xlfn.XLOOKUP($N44,'Calculo Leads'!$A$97:$A$134,'Calculo Leads'!G$97:G$134)*_xlfn.XLOOKUP($P44,'Base Grupo de Produtos'!$E$2:$E$18,'Base Grupo de Produtos'!$F$2:$F$18)</f>
        <v>39.999999999999993</v>
      </c>
      <c r="U44" s="56">
        <f>_xlfn.XLOOKUP($N44,'Calculo Leads'!$A$97:$A$134,'Calculo Leads'!H$97:H$134)*_xlfn.XLOOKUP($P44,'Base Grupo de Produtos'!$E$2:$E$18,'Base Grupo de Produtos'!$F$2:$F$18)</f>
        <v>59.999999999999993</v>
      </c>
      <c r="V44" s="56">
        <f>_xlfn.XLOOKUP($N44,'Calculo Leads'!$A$97:$A$134,'Calculo Leads'!I$97:I$134)*_xlfn.XLOOKUP($P44,'Base Grupo de Produtos'!$E$2:$E$18,'Base Grupo de Produtos'!$F$2:$F$18)</f>
        <v>59.999999999999993</v>
      </c>
      <c r="W44" s="56">
        <f>_xlfn.XLOOKUP($N44,'Calculo Leads'!$A$97:$A$134,'Calculo Leads'!J$97:J$134)*_xlfn.XLOOKUP($P44,'Base Grupo de Produtos'!$E$2:$E$18,'Base Grupo de Produtos'!$F$2:$F$18)</f>
        <v>79.999999999999986</v>
      </c>
      <c r="X44" s="56">
        <f>_xlfn.XLOOKUP($N44,'Calculo Leads'!$A$97:$A$134,'Calculo Leads'!K$97:K$134)*_xlfn.XLOOKUP($P44,'Base Grupo de Produtos'!$E$2:$E$18,'Base Grupo de Produtos'!$F$2:$F$18)</f>
        <v>87.999999999999986</v>
      </c>
      <c r="Y44" s="56">
        <f>_xlfn.XLOOKUP($N44,'Calculo Leads'!$A$97:$A$134,'Calculo Leads'!L$97:L$134)*_xlfn.XLOOKUP($P44,'Base Grupo de Produtos'!$E$2:$E$18,'Base Grupo de Produtos'!$F$2:$F$18)</f>
        <v>109.99999999999999</v>
      </c>
      <c r="Z44" s="56">
        <f>_xlfn.XLOOKUP($N44,'Calculo Leads'!$A$97:$A$134,'Calculo Leads'!M$97:M$134)*_xlfn.XLOOKUP($P44,'Base Grupo de Produtos'!$E$2:$E$18,'Base Grupo de Produtos'!$F$2:$F$18)</f>
        <v>131.99999999999997</v>
      </c>
      <c r="AA44" s="56">
        <f>_xlfn.XLOOKUP($N44,'Calculo Leads'!$A$97:$A$134,'Calculo Leads'!N$97:N$134)*_xlfn.XLOOKUP($P44,'Base Grupo de Produtos'!$E$2:$E$18,'Base Grupo de Produtos'!$F$2:$F$18)</f>
        <v>153.99999999999997</v>
      </c>
      <c r="AB44" s="56">
        <f>_xlfn.XLOOKUP($N44,'Calculo Leads'!$A$97:$A$134,'Calculo Leads'!O$97:O$134)*_xlfn.XLOOKUP($P44,'Base Grupo de Produtos'!$E$2:$E$18,'Base Grupo de Produtos'!$F$2:$F$18)</f>
        <v>109.99999999999999</v>
      </c>
      <c r="AC44" s="61">
        <f t="shared" si="13"/>
        <v>833.99999999999989</v>
      </c>
      <c r="AD44" s="27">
        <f t="shared" si="49"/>
        <v>833.99999999999989</v>
      </c>
      <c r="AE44" s="25">
        <f>IFERROR(_xlfn.XLOOKUP(N44&amp;P44,'Historico Vendas'!G:G,'Historico Vendas'!E:E),0)</f>
        <v>0</v>
      </c>
      <c r="AF44" s="29" t="str">
        <f t="shared" si="8"/>
        <v/>
      </c>
      <c r="AG44" s="24">
        <f>IFERROR(_xlfn.XLOOKUP(N44&amp;P44,'Historico Vendas'!G:G,'Historico Vendas'!F:F),0)</f>
        <v>0</v>
      </c>
      <c r="AH44" s="25">
        <f t="shared" si="50"/>
        <v>0</v>
      </c>
      <c r="AI44" s="24">
        <f t="shared" si="51"/>
        <v>0</v>
      </c>
      <c r="AJ44" s="11" t="str">
        <f t="shared" si="34"/>
        <v/>
      </c>
      <c r="AK44" s="9" t="s">
        <v>102</v>
      </c>
      <c r="AL44" s="13">
        <f>IFERROR(INDEX('Balizador da Meta'!$D$3:$F$23,MATCH(Faturamento!$P44,'Balizador da Meta'!$C$3:$C$23,0),MATCH(Faturamento!AK44,'Balizador da Meta'!$D$2:$F$2,0)),"")</f>
        <v>0</v>
      </c>
      <c r="AM44" s="9"/>
    </row>
    <row r="45" spans="1:39" x14ac:dyDescent="0.3">
      <c r="A45" s="2" t="str">
        <f t="shared" si="1"/>
        <v>NÃO</v>
      </c>
      <c r="B45" s="2" t="str">
        <f>_xlfn.XLOOKUP($N45,'Base de Grupos'!$A:$A,'Base de Grupos'!$D:$D)</f>
        <v>1000065763</v>
      </c>
      <c r="C45" s="5" t="str">
        <f>_xlfn.XLOOKUP($N45,'Base de Grupos'!$A:$A,'Base de Grupos'!$E:$E)</f>
        <v>CANAL VENDA INTERNA</v>
      </c>
      <c r="D45" s="5" t="str">
        <f>_xlfn.XLOOKUP($N45,'Base de Grupos'!$A:$A,'Base de Grupos'!$F:$F)</f>
        <v>1000065763</v>
      </c>
      <c r="E45" s="2" t="str">
        <f>_xlfn.XLOOKUP($N45,'Base de Grupos'!$A:$A,'Base de Grupos'!$G:$G)</f>
        <v>CANAL VENDA INTERNA</v>
      </c>
      <c r="F45" s="2" t="str">
        <f>_xlfn.XLOOKUP($N45,'Base de Grupos'!$A:$A,'Base de Grupos'!$H:$H)</f>
        <v>1000105900</v>
      </c>
      <c r="G45" s="5" t="str">
        <f>_xlfn.XLOOKUP($N45,'Base de Grupos'!$A:$A,'Base de Grupos'!$I:$I)</f>
        <v>REGIONAL VENDA DIRETA CO + NE + NO</v>
      </c>
      <c r="H45" s="5" t="str">
        <f>_xlfn.XLOOKUP($N45,'Base de Grupos'!$A:$A,'Base de Grupos'!$J:$J)</f>
        <v>1000105900</v>
      </c>
      <c r="I45" s="2" t="str">
        <f>_xlfn.XLOOKUP($N45,'Base de Grupos'!$A:$A,'Base de Grupos'!$K:$K)</f>
        <v>REGIONAL VENDA DIRETA CO + NE + NO</v>
      </c>
      <c r="J45" s="2" t="str">
        <f>_xlfn.XLOOKUP($N45,'Base de Grupos'!$A:$A,'Base de Grupos'!$L:$L)</f>
        <v>1000150135</v>
      </c>
      <c r="K45" s="5" t="str">
        <f>_xlfn.XLOOKUP($N45,'Base de Grupos'!$A:$A,'Base de Grupos'!$M:$M)</f>
        <v>HELDER DA SILVA BRUNKOW</v>
      </c>
      <c r="L45" s="5" t="str">
        <f t="shared" si="14"/>
        <v/>
      </c>
      <c r="M45" s="5" t="str">
        <f>_xlfn.XLOOKUP($N45,'Base de Grupos'!$A:$A,'Base de Grupos'!$C:$C)</f>
        <v>CE</v>
      </c>
      <c r="N45" s="3">
        <v>1326</v>
      </c>
      <c r="O45" s="4" t="s">
        <v>226</v>
      </c>
      <c r="P45" s="5" t="s">
        <v>85</v>
      </c>
      <c r="Q45" s="56">
        <v>0</v>
      </c>
      <c r="R45" s="56">
        <v>0</v>
      </c>
      <c r="S45" s="56">
        <v>0</v>
      </c>
      <c r="T45" s="56">
        <f>_xlfn.XLOOKUP($N45,'Calculo Leads'!$A$97:$A$134,'Calculo Leads'!G$97:G$134)*_xlfn.XLOOKUP($P45,'Base Grupo de Produtos'!$E$2:$E$18,'Base Grupo de Produtos'!$F$2:$F$18)</f>
        <v>40</v>
      </c>
      <c r="U45" s="56">
        <f>_xlfn.XLOOKUP($N45,'Calculo Leads'!$A$97:$A$134,'Calculo Leads'!H$97:H$134)*_xlfn.XLOOKUP($P45,'Base Grupo de Produtos'!$E$2:$E$18,'Base Grupo de Produtos'!$F$2:$F$18)</f>
        <v>60</v>
      </c>
      <c r="V45" s="56">
        <f>_xlfn.XLOOKUP($N45,'Calculo Leads'!$A$97:$A$134,'Calculo Leads'!I$97:I$134)*_xlfn.XLOOKUP($P45,'Base Grupo de Produtos'!$E$2:$E$18,'Base Grupo de Produtos'!$F$2:$F$18)</f>
        <v>60</v>
      </c>
      <c r="W45" s="56">
        <f>_xlfn.XLOOKUP($N45,'Calculo Leads'!$A$97:$A$134,'Calculo Leads'!J$97:J$134)*_xlfn.XLOOKUP($P45,'Base Grupo de Produtos'!$E$2:$E$18,'Base Grupo de Produtos'!$F$2:$F$18)</f>
        <v>80</v>
      </c>
      <c r="X45" s="56">
        <f>_xlfn.XLOOKUP($N45,'Calculo Leads'!$A$97:$A$134,'Calculo Leads'!K$97:K$134)*_xlfn.XLOOKUP($P45,'Base Grupo de Produtos'!$E$2:$E$18,'Base Grupo de Produtos'!$F$2:$F$18)</f>
        <v>88</v>
      </c>
      <c r="Y45" s="56">
        <f>_xlfn.XLOOKUP($N45,'Calculo Leads'!$A$97:$A$134,'Calculo Leads'!L$97:L$134)*_xlfn.XLOOKUP($P45,'Base Grupo de Produtos'!$E$2:$E$18,'Base Grupo de Produtos'!$F$2:$F$18)</f>
        <v>110</v>
      </c>
      <c r="Z45" s="56">
        <f>_xlfn.XLOOKUP($N45,'Calculo Leads'!$A$97:$A$134,'Calculo Leads'!M$97:M$134)*_xlfn.XLOOKUP($P45,'Base Grupo de Produtos'!$E$2:$E$18,'Base Grupo de Produtos'!$F$2:$F$18)</f>
        <v>132</v>
      </c>
      <c r="AA45" s="56">
        <f>_xlfn.XLOOKUP($N45,'Calculo Leads'!$A$97:$A$134,'Calculo Leads'!N$97:N$134)*_xlfn.XLOOKUP($P45,'Base Grupo de Produtos'!$E$2:$E$18,'Base Grupo de Produtos'!$F$2:$F$18)</f>
        <v>154</v>
      </c>
      <c r="AB45" s="56">
        <f>_xlfn.XLOOKUP($N45,'Calculo Leads'!$A$97:$A$134,'Calculo Leads'!O$97:O$134)*_xlfn.XLOOKUP($P45,'Base Grupo de Produtos'!$E$2:$E$18,'Base Grupo de Produtos'!$F$2:$F$18)</f>
        <v>110</v>
      </c>
      <c r="AC45" s="61">
        <f t="shared" si="13"/>
        <v>834</v>
      </c>
      <c r="AD45" s="27">
        <f t="shared" si="49"/>
        <v>834</v>
      </c>
      <c r="AE45" s="25">
        <f>IFERROR(_xlfn.XLOOKUP(N45&amp;P45,'Historico Vendas'!G:G,'Historico Vendas'!E:E),0)</f>
        <v>0</v>
      </c>
      <c r="AF45" s="29" t="str">
        <f t="shared" si="8"/>
        <v/>
      </c>
      <c r="AG45" s="24">
        <f>IFERROR(_xlfn.XLOOKUP(N45&amp;P45,'Historico Vendas'!G:G,'Historico Vendas'!F:F),0)</f>
        <v>0</v>
      </c>
      <c r="AH45" s="25">
        <f t="shared" si="50"/>
        <v>0</v>
      </c>
      <c r="AI45" s="24">
        <f t="shared" si="51"/>
        <v>0</v>
      </c>
      <c r="AJ45" s="11" t="str">
        <f t="shared" si="34"/>
        <v/>
      </c>
      <c r="AK45" s="9" t="s">
        <v>102</v>
      </c>
      <c r="AL45" s="13">
        <f>IFERROR(INDEX('Balizador da Meta'!$D$3:$F$23,MATCH(Faturamento!$P45,'Balizador da Meta'!$C$3:$C$23,0),MATCH(Faturamento!AK45,'Balizador da Meta'!$D$2:$F$2,0)),"")</f>
        <v>0</v>
      </c>
      <c r="AM45" s="9"/>
    </row>
    <row r="46" spans="1:39" x14ac:dyDescent="0.3">
      <c r="A46" s="2" t="str">
        <f t="shared" si="1"/>
        <v>NÃO</v>
      </c>
      <c r="B46" s="2" t="str">
        <f>_xlfn.XLOOKUP($N46,'Base de Grupos'!$A:$A,'Base de Grupos'!$D:$D)</f>
        <v>1000065763</v>
      </c>
      <c r="C46" s="5" t="str">
        <f>_xlfn.XLOOKUP($N46,'Base de Grupos'!$A:$A,'Base de Grupos'!$E:$E)</f>
        <v>CANAL VENDA INTERNA</v>
      </c>
      <c r="D46" s="5" t="str">
        <f>_xlfn.XLOOKUP($N46,'Base de Grupos'!$A:$A,'Base de Grupos'!$F:$F)</f>
        <v>1000065763</v>
      </c>
      <c r="E46" s="2" t="str">
        <f>_xlfn.XLOOKUP($N46,'Base de Grupos'!$A:$A,'Base de Grupos'!$G:$G)</f>
        <v>CANAL VENDA INTERNA</v>
      </c>
      <c r="F46" s="2" t="str">
        <f>_xlfn.XLOOKUP($N46,'Base de Grupos'!$A:$A,'Base de Grupos'!$H:$H)</f>
        <v>1000105900</v>
      </c>
      <c r="G46" s="5" t="str">
        <f>_xlfn.XLOOKUP($N46,'Base de Grupos'!$A:$A,'Base de Grupos'!$I:$I)</f>
        <v>REGIONAL VENDA DIRETA CO + NE + NO</v>
      </c>
      <c r="H46" s="5" t="str">
        <f>_xlfn.XLOOKUP($N46,'Base de Grupos'!$A:$A,'Base de Grupos'!$J:$J)</f>
        <v>1000105900</v>
      </c>
      <c r="I46" s="2" t="str">
        <f>_xlfn.XLOOKUP($N46,'Base de Grupos'!$A:$A,'Base de Grupos'!$K:$K)</f>
        <v>REGIONAL VENDA DIRETA CO + NE + NO</v>
      </c>
      <c r="J46" s="2" t="str">
        <f>_xlfn.XLOOKUP($N46,'Base de Grupos'!$A:$A,'Base de Grupos'!$L:$L)</f>
        <v>1000150135</v>
      </c>
      <c r="K46" s="5" t="str">
        <f>_xlfn.XLOOKUP($N46,'Base de Grupos'!$A:$A,'Base de Grupos'!$M:$M)</f>
        <v>HELDER DA SILVA BRUNKOW</v>
      </c>
      <c r="L46" s="5" t="str">
        <f t="shared" si="14"/>
        <v/>
      </c>
      <c r="M46" s="5" t="str">
        <f>_xlfn.XLOOKUP($N46,'Base de Grupos'!$A:$A,'Base de Grupos'!$C:$C)</f>
        <v>CE</v>
      </c>
      <c r="N46" s="3">
        <v>1326</v>
      </c>
      <c r="O46" s="4" t="s">
        <v>226</v>
      </c>
      <c r="P46" s="5" t="s">
        <v>92</v>
      </c>
      <c r="Q46" s="56">
        <v>0</v>
      </c>
      <c r="R46" s="56">
        <v>0</v>
      </c>
      <c r="S46" s="56">
        <v>0</v>
      </c>
      <c r="T46" s="56">
        <f>_xlfn.XLOOKUP($N46,'Calculo Leads'!$A$97:$A$134,'Calculo Leads'!G$97:G$134)*_xlfn.XLOOKUP($P46,'Base Grupo de Produtos'!$E$2:$E$18,'Base Grupo de Produtos'!$F$2:$F$18)</f>
        <v>40</v>
      </c>
      <c r="U46" s="56">
        <f>_xlfn.XLOOKUP($N46,'Calculo Leads'!$A$97:$A$134,'Calculo Leads'!H$97:H$134)*_xlfn.XLOOKUP($P46,'Base Grupo de Produtos'!$E$2:$E$18,'Base Grupo de Produtos'!$F$2:$F$18)</f>
        <v>60</v>
      </c>
      <c r="V46" s="56">
        <f>_xlfn.XLOOKUP($N46,'Calculo Leads'!$A$97:$A$134,'Calculo Leads'!I$97:I$134)*_xlfn.XLOOKUP($P46,'Base Grupo de Produtos'!$E$2:$E$18,'Base Grupo de Produtos'!$F$2:$F$18)</f>
        <v>60</v>
      </c>
      <c r="W46" s="56">
        <f>_xlfn.XLOOKUP($N46,'Calculo Leads'!$A$97:$A$134,'Calculo Leads'!J$97:J$134)*_xlfn.XLOOKUP($P46,'Base Grupo de Produtos'!$E$2:$E$18,'Base Grupo de Produtos'!$F$2:$F$18)</f>
        <v>80</v>
      </c>
      <c r="X46" s="56">
        <f>_xlfn.XLOOKUP($N46,'Calculo Leads'!$A$97:$A$134,'Calculo Leads'!K$97:K$134)*_xlfn.XLOOKUP($P46,'Base Grupo de Produtos'!$E$2:$E$18,'Base Grupo de Produtos'!$F$2:$F$18)</f>
        <v>88</v>
      </c>
      <c r="Y46" s="56">
        <f>_xlfn.XLOOKUP($N46,'Calculo Leads'!$A$97:$A$134,'Calculo Leads'!L$97:L$134)*_xlfn.XLOOKUP($P46,'Base Grupo de Produtos'!$E$2:$E$18,'Base Grupo de Produtos'!$F$2:$F$18)</f>
        <v>110</v>
      </c>
      <c r="Z46" s="56">
        <f>_xlfn.XLOOKUP($N46,'Calculo Leads'!$A$97:$A$134,'Calculo Leads'!M$97:M$134)*_xlfn.XLOOKUP($P46,'Base Grupo de Produtos'!$E$2:$E$18,'Base Grupo de Produtos'!$F$2:$F$18)</f>
        <v>132</v>
      </c>
      <c r="AA46" s="56">
        <f>_xlfn.XLOOKUP($N46,'Calculo Leads'!$A$97:$A$134,'Calculo Leads'!N$97:N$134)*_xlfn.XLOOKUP($P46,'Base Grupo de Produtos'!$E$2:$E$18,'Base Grupo de Produtos'!$F$2:$F$18)</f>
        <v>154</v>
      </c>
      <c r="AB46" s="56">
        <f>_xlfn.XLOOKUP($N46,'Calculo Leads'!$A$97:$A$134,'Calculo Leads'!O$97:O$134)*_xlfn.XLOOKUP($P46,'Base Grupo de Produtos'!$E$2:$E$18,'Base Grupo de Produtos'!$F$2:$F$18)</f>
        <v>110</v>
      </c>
      <c r="AC46" s="61">
        <f t="shared" si="13"/>
        <v>834</v>
      </c>
      <c r="AD46" s="27">
        <f t="shared" si="49"/>
        <v>834</v>
      </c>
      <c r="AE46" s="25">
        <f>IFERROR(_xlfn.XLOOKUP(N46&amp;P46,'Historico Vendas'!G:G,'Historico Vendas'!E:E),0)</f>
        <v>0</v>
      </c>
      <c r="AF46" s="29" t="str">
        <f t="shared" si="8"/>
        <v/>
      </c>
      <c r="AG46" s="24">
        <f>IFERROR(_xlfn.XLOOKUP(N46&amp;P46,'Historico Vendas'!G:G,'Historico Vendas'!F:F),0)</f>
        <v>0</v>
      </c>
      <c r="AH46" s="25">
        <f t="shared" si="50"/>
        <v>0</v>
      </c>
      <c r="AI46" s="24">
        <f t="shared" si="51"/>
        <v>0</v>
      </c>
      <c r="AJ46" s="11" t="str">
        <f t="shared" si="34"/>
        <v/>
      </c>
      <c r="AK46" s="9" t="s">
        <v>102</v>
      </c>
      <c r="AL46" s="13">
        <f>IFERROR(INDEX('Balizador da Meta'!$D$3:$F$23,MATCH(Faturamento!$P46,'Balizador da Meta'!$C$3:$C$23,0),MATCH(Faturamento!AK46,'Balizador da Meta'!$D$2:$F$2,0)),"")</f>
        <v>0</v>
      </c>
      <c r="AM46" s="9"/>
    </row>
    <row r="47" spans="1:39" x14ac:dyDescent="0.3">
      <c r="A47" s="2" t="str">
        <f t="shared" si="1"/>
        <v>NÃO</v>
      </c>
      <c r="B47" s="2" t="str">
        <f>_xlfn.XLOOKUP($N47,'Base de Grupos'!$A:$A,'Base de Grupos'!$D:$D)</f>
        <v>1000065763</v>
      </c>
      <c r="C47" s="5" t="str">
        <f>_xlfn.XLOOKUP($N47,'Base de Grupos'!$A:$A,'Base de Grupos'!$E:$E)</f>
        <v>CANAL VENDA INTERNA</v>
      </c>
      <c r="D47" s="5" t="str">
        <f>_xlfn.XLOOKUP($N47,'Base de Grupos'!$A:$A,'Base de Grupos'!$F:$F)</f>
        <v>1000065763</v>
      </c>
      <c r="E47" s="2" t="str">
        <f>_xlfn.XLOOKUP($N47,'Base de Grupos'!$A:$A,'Base de Grupos'!$G:$G)</f>
        <v>CANAL VENDA INTERNA</v>
      </c>
      <c r="F47" s="2" t="str">
        <f>_xlfn.XLOOKUP($N47,'Base de Grupos'!$A:$A,'Base de Grupos'!$H:$H)</f>
        <v>1000105900</v>
      </c>
      <c r="G47" s="5" t="str">
        <f>_xlfn.XLOOKUP($N47,'Base de Grupos'!$A:$A,'Base de Grupos'!$I:$I)</f>
        <v>REGIONAL VENDA DIRETA CO + NE + NO</v>
      </c>
      <c r="H47" s="5" t="str">
        <f>_xlfn.XLOOKUP($N47,'Base de Grupos'!$A:$A,'Base de Grupos'!$J:$J)</f>
        <v>1000105900</v>
      </c>
      <c r="I47" s="2" t="str">
        <f>_xlfn.XLOOKUP($N47,'Base de Grupos'!$A:$A,'Base de Grupos'!$K:$K)</f>
        <v>REGIONAL VENDA DIRETA CO + NE + NO</v>
      </c>
      <c r="J47" s="2" t="str">
        <f>_xlfn.XLOOKUP($N47,'Base de Grupos'!$A:$A,'Base de Grupos'!$L:$L)</f>
        <v>1000150135</v>
      </c>
      <c r="K47" s="5" t="str">
        <f>_xlfn.XLOOKUP($N47,'Base de Grupos'!$A:$A,'Base de Grupos'!$M:$M)</f>
        <v>HELDER DA SILVA BRUNKOW</v>
      </c>
      <c r="L47" s="5" t="str">
        <f t="shared" si="14"/>
        <v/>
      </c>
      <c r="M47" s="5" t="str">
        <f>_xlfn.XLOOKUP($N47,'Base de Grupos'!$A:$A,'Base de Grupos'!$C:$C)</f>
        <v>CE</v>
      </c>
      <c r="N47" s="3">
        <v>1326</v>
      </c>
      <c r="O47" s="4" t="s">
        <v>226</v>
      </c>
      <c r="P47" s="5" t="s">
        <v>86</v>
      </c>
      <c r="Q47" s="56">
        <v>0</v>
      </c>
      <c r="R47" s="56">
        <v>0</v>
      </c>
      <c r="S47" s="56">
        <v>0</v>
      </c>
      <c r="T47" s="56">
        <f>_xlfn.XLOOKUP($N47,'Calculo Leads'!$A$97:$A$134,'Calculo Leads'!G$97:G$134)*_xlfn.XLOOKUP($P47,'Base Grupo de Produtos'!$E$2:$E$18,'Base Grupo de Produtos'!$F$2:$F$18)</f>
        <v>60</v>
      </c>
      <c r="U47" s="56">
        <f>_xlfn.XLOOKUP($N47,'Calculo Leads'!$A$97:$A$134,'Calculo Leads'!H$97:H$134)*_xlfn.XLOOKUP($P47,'Base Grupo de Produtos'!$E$2:$E$18,'Base Grupo de Produtos'!$F$2:$F$18)</f>
        <v>90</v>
      </c>
      <c r="V47" s="56">
        <f>_xlfn.XLOOKUP($N47,'Calculo Leads'!$A$97:$A$134,'Calculo Leads'!I$97:I$134)*_xlfn.XLOOKUP($P47,'Base Grupo de Produtos'!$E$2:$E$18,'Base Grupo de Produtos'!$F$2:$F$18)</f>
        <v>90</v>
      </c>
      <c r="W47" s="56">
        <f>_xlfn.XLOOKUP($N47,'Calculo Leads'!$A$97:$A$134,'Calculo Leads'!J$97:J$134)*_xlfn.XLOOKUP($P47,'Base Grupo de Produtos'!$E$2:$E$18,'Base Grupo de Produtos'!$F$2:$F$18)</f>
        <v>120</v>
      </c>
      <c r="X47" s="56">
        <f>_xlfn.XLOOKUP($N47,'Calculo Leads'!$A$97:$A$134,'Calculo Leads'!K$97:K$134)*_xlfn.XLOOKUP($P47,'Base Grupo de Produtos'!$E$2:$E$18,'Base Grupo de Produtos'!$F$2:$F$18)</f>
        <v>132</v>
      </c>
      <c r="Y47" s="56">
        <f>_xlfn.XLOOKUP($N47,'Calculo Leads'!$A$97:$A$134,'Calculo Leads'!L$97:L$134)*_xlfn.XLOOKUP($P47,'Base Grupo de Produtos'!$E$2:$E$18,'Base Grupo de Produtos'!$F$2:$F$18)</f>
        <v>165</v>
      </c>
      <c r="Z47" s="56">
        <f>_xlfn.XLOOKUP($N47,'Calculo Leads'!$A$97:$A$134,'Calculo Leads'!M$97:M$134)*_xlfn.XLOOKUP($P47,'Base Grupo de Produtos'!$E$2:$E$18,'Base Grupo de Produtos'!$F$2:$F$18)</f>
        <v>198</v>
      </c>
      <c r="AA47" s="56">
        <f>_xlfn.XLOOKUP($N47,'Calculo Leads'!$A$97:$A$134,'Calculo Leads'!N$97:N$134)*_xlfn.XLOOKUP($P47,'Base Grupo de Produtos'!$E$2:$E$18,'Base Grupo de Produtos'!$F$2:$F$18)</f>
        <v>231</v>
      </c>
      <c r="AB47" s="56">
        <f>_xlfn.XLOOKUP($N47,'Calculo Leads'!$A$97:$A$134,'Calculo Leads'!O$97:O$134)*_xlfn.XLOOKUP($P47,'Base Grupo de Produtos'!$E$2:$E$18,'Base Grupo de Produtos'!$F$2:$F$18)</f>
        <v>165</v>
      </c>
      <c r="AC47" s="61">
        <f t="shared" si="13"/>
        <v>1251</v>
      </c>
      <c r="AD47" s="27">
        <f t="shared" si="49"/>
        <v>1251</v>
      </c>
      <c r="AE47" s="25">
        <f>IFERROR(_xlfn.XLOOKUP(N47&amp;P47,'Historico Vendas'!G:G,'Historico Vendas'!E:E),0)</f>
        <v>0</v>
      </c>
      <c r="AF47" s="29" t="str">
        <f t="shared" si="8"/>
        <v/>
      </c>
      <c r="AG47" s="24">
        <f>IFERROR(_xlfn.XLOOKUP(N47&amp;P47,'Historico Vendas'!G:G,'Historico Vendas'!F:F),0)</f>
        <v>0</v>
      </c>
      <c r="AH47" s="25">
        <f t="shared" si="50"/>
        <v>0</v>
      </c>
      <c r="AI47" s="24">
        <f t="shared" si="51"/>
        <v>0</v>
      </c>
      <c r="AJ47" s="11" t="str">
        <f t="shared" si="34"/>
        <v/>
      </c>
      <c r="AK47" s="9" t="s">
        <v>102</v>
      </c>
      <c r="AL47" s="13">
        <f>IFERROR(INDEX('Balizador da Meta'!$D$3:$F$23,MATCH(Faturamento!$P47,'Balizador da Meta'!$C$3:$C$23,0),MATCH(Faturamento!AK47,'Balizador da Meta'!$D$2:$F$2,0)),"")</f>
        <v>0.15</v>
      </c>
      <c r="AM47" s="9"/>
    </row>
    <row r="48" spans="1:39" x14ac:dyDescent="0.3">
      <c r="A48" s="2" t="str">
        <f t="shared" si="1"/>
        <v>NÃO</v>
      </c>
      <c r="B48" s="2" t="str">
        <f>_xlfn.XLOOKUP($N48,'Base de Grupos'!$A:$A,'Base de Grupos'!$D:$D)</f>
        <v>1000065763</v>
      </c>
      <c r="C48" s="5" t="str">
        <f>_xlfn.XLOOKUP($N48,'Base de Grupos'!$A:$A,'Base de Grupos'!$E:$E)</f>
        <v>CANAL VENDA INTERNA</v>
      </c>
      <c r="D48" s="5" t="str">
        <f>_xlfn.XLOOKUP($N48,'Base de Grupos'!$A:$A,'Base de Grupos'!$F:$F)</f>
        <v>1000065763</v>
      </c>
      <c r="E48" s="2" t="str">
        <f>_xlfn.XLOOKUP($N48,'Base de Grupos'!$A:$A,'Base de Grupos'!$G:$G)</f>
        <v>CANAL VENDA INTERNA</v>
      </c>
      <c r="F48" s="2" t="str">
        <f>_xlfn.XLOOKUP($N48,'Base de Grupos'!$A:$A,'Base de Grupos'!$H:$H)</f>
        <v>1000105900</v>
      </c>
      <c r="G48" s="5" t="str">
        <f>_xlfn.XLOOKUP($N48,'Base de Grupos'!$A:$A,'Base de Grupos'!$I:$I)</f>
        <v>REGIONAL VENDA DIRETA CO + NE + NO</v>
      </c>
      <c r="H48" s="5" t="str">
        <f>_xlfn.XLOOKUP($N48,'Base de Grupos'!$A:$A,'Base de Grupos'!$J:$J)</f>
        <v>1000105900</v>
      </c>
      <c r="I48" s="2" t="str">
        <f>_xlfn.XLOOKUP($N48,'Base de Grupos'!$A:$A,'Base de Grupos'!$K:$K)</f>
        <v>REGIONAL VENDA DIRETA CO + NE + NO</v>
      </c>
      <c r="J48" s="2" t="str">
        <f>_xlfn.XLOOKUP($N48,'Base de Grupos'!$A:$A,'Base de Grupos'!$L:$L)</f>
        <v>1000150135</v>
      </c>
      <c r="K48" s="5" t="str">
        <f>_xlfn.XLOOKUP($N48,'Base de Grupos'!$A:$A,'Base de Grupos'!$M:$M)</f>
        <v>HELDER DA SILVA BRUNKOW</v>
      </c>
      <c r="L48" s="5" t="str">
        <f t="shared" si="14"/>
        <v/>
      </c>
      <c r="M48" s="5" t="str">
        <f>_xlfn.XLOOKUP($N48,'Base de Grupos'!$A:$A,'Base de Grupos'!$C:$C)</f>
        <v>CE</v>
      </c>
      <c r="N48" s="3">
        <v>1326</v>
      </c>
      <c r="O48" s="4" t="s">
        <v>226</v>
      </c>
      <c r="P48" s="5" t="s">
        <v>108</v>
      </c>
      <c r="Q48" s="56">
        <v>0</v>
      </c>
      <c r="R48" s="56">
        <v>0</v>
      </c>
      <c r="S48" s="56">
        <v>0</v>
      </c>
      <c r="T48" s="56">
        <f>_xlfn.XLOOKUP($N48,'Calculo Leads'!$A$97:$A$134,'Calculo Leads'!G$97:G$134)*_xlfn.XLOOKUP($P48,'Base Grupo de Produtos'!$E$2:$E$18,'Base Grupo de Produtos'!$F$2:$F$18)</f>
        <v>500</v>
      </c>
      <c r="U48" s="56">
        <f>_xlfn.XLOOKUP($N48,'Calculo Leads'!$A$97:$A$134,'Calculo Leads'!H$97:H$134)*_xlfn.XLOOKUP($P48,'Base Grupo de Produtos'!$E$2:$E$18,'Base Grupo de Produtos'!$F$2:$F$18)</f>
        <v>750</v>
      </c>
      <c r="V48" s="56">
        <f>_xlfn.XLOOKUP($N48,'Calculo Leads'!$A$97:$A$134,'Calculo Leads'!I$97:I$134)*_xlfn.XLOOKUP($P48,'Base Grupo de Produtos'!$E$2:$E$18,'Base Grupo de Produtos'!$F$2:$F$18)</f>
        <v>750</v>
      </c>
      <c r="W48" s="56">
        <f>_xlfn.XLOOKUP($N48,'Calculo Leads'!$A$97:$A$134,'Calculo Leads'!J$97:J$134)*_xlfn.XLOOKUP($P48,'Base Grupo de Produtos'!$E$2:$E$18,'Base Grupo de Produtos'!$F$2:$F$18)</f>
        <v>1000</v>
      </c>
      <c r="X48" s="56">
        <f>_xlfn.XLOOKUP($N48,'Calculo Leads'!$A$97:$A$134,'Calculo Leads'!K$97:K$134)*_xlfn.XLOOKUP($P48,'Base Grupo de Produtos'!$E$2:$E$18,'Base Grupo de Produtos'!$F$2:$F$18)</f>
        <v>1100</v>
      </c>
      <c r="Y48" s="56">
        <f>_xlfn.XLOOKUP($N48,'Calculo Leads'!$A$97:$A$134,'Calculo Leads'!L$97:L$134)*_xlfn.XLOOKUP($P48,'Base Grupo de Produtos'!$E$2:$E$18,'Base Grupo de Produtos'!$F$2:$F$18)</f>
        <v>1375</v>
      </c>
      <c r="Z48" s="56">
        <f>_xlfn.XLOOKUP($N48,'Calculo Leads'!$A$97:$A$134,'Calculo Leads'!M$97:M$134)*_xlfn.XLOOKUP($P48,'Base Grupo de Produtos'!$E$2:$E$18,'Base Grupo de Produtos'!$F$2:$F$18)</f>
        <v>1650</v>
      </c>
      <c r="AA48" s="56">
        <f>_xlfn.XLOOKUP($N48,'Calculo Leads'!$A$97:$A$134,'Calculo Leads'!N$97:N$134)*_xlfn.XLOOKUP($P48,'Base Grupo de Produtos'!$E$2:$E$18,'Base Grupo de Produtos'!$F$2:$F$18)</f>
        <v>1925</v>
      </c>
      <c r="AB48" s="56">
        <f>_xlfn.XLOOKUP($N48,'Calculo Leads'!$A$97:$A$134,'Calculo Leads'!O$97:O$134)*_xlfn.XLOOKUP($P48,'Base Grupo de Produtos'!$E$2:$E$18,'Base Grupo de Produtos'!$F$2:$F$18)</f>
        <v>1375</v>
      </c>
      <c r="AC48" s="61">
        <f t="shared" si="13"/>
        <v>10425</v>
      </c>
      <c r="AD48" s="27">
        <f t="shared" si="49"/>
        <v>10425</v>
      </c>
      <c r="AE48" s="25">
        <f>IFERROR(_xlfn.XLOOKUP(N48&amp;P48,'Historico Vendas'!G:G,'Historico Vendas'!E:E),0)</f>
        <v>0</v>
      </c>
      <c r="AF48" s="29" t="str">
        <f t="shared" si="8"/>
        <v/>
      </c>
      <c r="AG48" s="24">
        <f>IFERROR(_xlfn.XLOOKUP(N48&amp;P48,'Historico Vendas'!G:G,'Historico Vendas'!F:F),0)</f>
        <v>0</v>
      </c>
      <c r="AH48" s="25">
        <f t="shared" si="50"/>
        <v>0</v>
      </c>
      <c r="AI48" s="24">
        <f t="shared" si="51"/>
        <v>0</v>
      </c>
      <c r="AJ48" s="11" t="str">
        <f t="shared" si="34"/>
        <v/>
      </c>
      <c r="AK48" s="9" t="s">
        <v>102</v>
      </c>
      <c r="AL48" s="13">
        <f>IFERROR(INDEX('Balizador da Meta'!$D$3:$F$23,MATCH(Faturamento!$P48,'Balizador da Meta'!$C$3:$C$23,0),MATCH(Faturamento!AK48,'Balizador da Meta'!$D$2:$F$2,0)),"")</f>
        <v>0</v>
      </c>
      <c r="AM48" s="9"/>
    </row>
    <row r="49" spans="1:39" x14ac:dyDescent="0.3">
      <c r="A49" s="2" t="str">
        <f t="shared" si="1"/>
        <v>NÃO</v>
      </c>
      <c r="B49" s="2" t="str">
        <f>_xlfn.XLOOKUP($N49,'Base de Grupos'!$A:$A,'Base de Grupos'!$D:$D)</f>
        <v>1000065763</v>
      </c>
      <c r="C49" s="5" t="str">
        <f>_xlfn.XLOOKUP($N49,'Base de Grupos'!$A:$A,'Base de Grupos'!$E:$E)</f>
        <v>CANAL VENDA INTERNA</v>
      </c>
      <c r="D49" s="5" t="str">
        <f>_xlfn.XLOOKUP($N49,'Base de Grupos'!$A:$A,'Base de Grupos'!$F:$F)</f>
        <v>1000065763</v>
      </c>
      <c r="E49" s="2" t="str">
        <f>_xlfn.XLOOKUP($N49,'Base de Grupos'!$A:$A,'Base de Grupos'!$G:$G)</f>
        <v>CANAL VENDA INTERNA</v>
      </c>
      <c r="F49" s="2" t="str">
        <f>_xlfn.XLOOKUP($N49,'Base de Grupos'!$A:$A,'Base de Grupos'!$H:$H)</f>
        <v>1000105900</v>
      </c>
      <c r="G49" s="5" t="str">
        <f>_xlfn.XLOOKUP($N49,'Base de Grupos'!$A:$A,'Base de Grupos'!$I:$I)</f>
        <v>REGIONAL VENDA DIRETA CO + NE + NO</v>
      </c>
      <c r="H49" s="5" t="str">
        <f>_xlfn.XLOOKUP($N49,'Base de Grupos'!$A:$A,'Base de Grupos'!$J:$J)</f>
        <v>1000105900</v>
      </c>
      <c r="I49" s="2" t="str">
        <f>_xlfn.XLOOKUP($N49,'Base de Grupos'!$A:$A,'Base de Grupos'!$K:$K)</f>
        <v>REGIONAL VENDA DIRETA CO + NE + NO</v>
      </c>
      <c r="J49" s="2" t="str">
        <f>_xlfn.XLOOKUP($N49,'Base de Grupos'!$A:$A,'Base de Grupos'!$L:$L)</f>
        <v>1000150135</v>
      </c>
      <c r="K49" s="5" t="str">
        <f>_xlfn.XLOOKUP($N49,'Base de Grupos'!$A:$A,'Base de Grupos'!$M:$M)</f>
        <v>HELDER DA SILVA BRUNKOW</v>
      </c>
      <c r="L49" s="5" t="str">
        <f t="shared" ref="L49" si="52">IF(N49&lt;&gt;N48,1,"")</f>
        <v/>
      </c>
      <c r="M49" s="5" t="str">
        <f>_xlfn.XLOOKUP($N49,'Base de Grupos'!$A:$A,'Base de Grupos'!$C:$C)</f>
        <v>CE</v>
      </c>
      <c r="N49" s="3">
        <v>1326</v>
      </c>
      <c r="O49" s="4" t="s">
        <v>226</v>
      </c>
      <c r="P49" s="5" t="s">
        <v>89</v>
      </c>
      <c r="Q49" s="56">
        <v>0</v>
      </c>
      <c r="R49" s="56">
        <v>0</v>
      </c>
      <c r="S49" s="56">
        <v>0</v>
      </c>
      <c r="T49" s="56">
        <f>_xlfn.XLOOKUP($N49,'Calculo Leads'!$A$97:$A$134,'Calculo Leads'!G$97:G$134)*_xlfn.XLOOKUP($P49,'Base Grupo de Produtos'!$E$2:$E$18,'Base Grupo de Produtos'!$F$2:$F$18)</f>
        <v>100</v>
      </c>
      <c r="U49" s="56">
        <f>_xlfn.XLOOKUP($N49,'Calculo Leads'!$A$97:$A$134,'Calculo Leads'!H$97:H$134)*_xlfn.XLOOKUP($P49,'Base Grupo de Produtos'!$E$2:$E$18,'Base Grupo de Produtos'!$F$2:$F$18)</f>
        <v>150</v>
      </c>
      <c r="V49" s="56">
        <f>_xlfn.XLOOKUP($N49,'Calculo Leads'!$A$97:$A$134,'Calculo Leads'!I$97:I$134)*_xlfn.XLOOKUP($P49,'Base Grupo de Produtos'!$E$2:$E$18,'Base Grupo de Produtos'!$F$2:$F$18)</f>
        <v>150</v>
      </c>
      <c r="W49" s="56">
        <f>_xlfn.XLOOKUP($N49,'Calculo Leads'!$A$97:$A$134,'Calculo Leads'!J$97:J$134)*_xlfn.XLOOKUP($P49,'Base Grupo de Produtos'!$E$2:$E$18,'Base Grupo de Produtos'!$F$2:$F$18)</f>
        <v>200</v>
      </c>
      <c r="X49" s="56">
        <f>_xlfn.XLOOKUP($N49,'Calculo Leads'!$A$97:$A$134,'Calculo Leads'!K$97:K$134)*_xlfn.XLOOKUP($P49,'Base Grupo de Produtos'!$E$2:$E$18,'Base Grupo de Produtos'!$F$2:$F$18)</f>
        <v>220</v>
      </c>
      <c r="Y49" s="56">
        <f>_xlfn.XLOOKUP($N49,'Calculo Leads'!$A$97:$A$134,'Calculo Leads'!L$97:L$134)*_xlfn.XLOOKUP($P49,'Base Grupo de Produtos'!$E$2:$E$18,'Base Grupo de Produtos'!$F$2:$F$18)</f>
        <v>275</v>
      </c>
      <c r="Z49" s="56">
        <f>_xlfn.XLOOKUP($N49,'Calculo Leads'!$A$97:$A$134,'Calculo Leads'!M$97:M$134)*_xlfn.XLOOKUP($P49,'Base Grupo de Produtos'!$E$2:$E$18,'Base Grupo de Produtos'!$F$2:$F$18)</f>
        <v>330</v>
      </c>
      <c r="AA49" s="56">
        <f>_xlfn.XLOOKUP($N49,'Calculo Leads'!$A$97:$A$134,'Calculo Leads'!N$97:N$134)*_xlfn.XLOOKUP($P49,'Base Grupo de Produtos'!$E$2:$E$18,'Base Grupo de Produtos'!$F$2:$F$18)</f>
        <v>385</v>
      </c>
      <c r="AB49" s="56">
        <f>_xlfn.XLOOKUP($N49,'Calculo Leads'!$A$97:$A$134,'Calculo Leads'!O$97:O$134)*_xlfn.XLOOKUP($P49,'Base Grupo de Produtos'!$E$2:$E$18,'Base Grupo de Produtos'!$F$2:$F$18)</f>
        <v>275</v>
      </c>
      <c r="AC49" s="61">
        <f t="shared" si="13"/>
        <v>2085</v>
      </c>
      <c r="AD49" s="27">
        <f t="shared" si="49"/>
        <v>2085</v>
      </c>
      <c r="AE49" s="25">
        <f>IFERROR(_xlfn.XLOOKUP(N49&amp;P49,'Historico Vendas'!G:G,'Historico Vendas'!E:E),0)</f>
        <v>0</v>
      </c>
      <c r="AF49" s="29" t="str">
        <f t="shared" ref="AF49:AF112" si="53">IFERROR((AC49-AE49)/AE49,"")</f>
        <v/>
      </c>
      <c r="AG49" s="24">
        <f>IFERROR(_xlfn.XLOOKUP(N49&amp;P49,'Historico Vendas'!G:G,'Historico Vendas'!F:F),0)</f>
        <v>0</v>
      </c>
      <c r="AH49" s="25">
        <f t="shared" si="50"/>
        <v>0</v>
      </c>
      <c r="AI49" s="24">
        <f t="shared" si="51"/>
        <v>0</v>
      </c>
      <c r="AJ49" s="11" t="str">
        <f t="shared" si="34"/>
        <v/>
      </c>
      <c r="AK49" s="9" t="s">
        <v>102</v>
      </c>
      <c r="AL49" s="13">
        <f>IFERROR(INDEX('Balizador da Meta'!$D$3:$F$23,MATCH(Faturamento!$P49,'Balizador da Meta'!$C$3:$C$23,0),MATCH(Faturamento!AK49,'Balizador da Meta'!$D$2:$F$2,0)),"")</f>
        <v>0.25</v>
      </c>
      <c r="AM49" s="9"/>
    </row>
    <row r="50" spans="1:39" x14ac:dyDescent="0.3">
      <c r="A50" s="2" t="str">
        <f t="shared" ref="A50:A113" si="54">IF(L50=1,"SIM","NÃO")</f>
        <v>NÃO</v>
      </c>
      <c r="B50" s="2" t="str">
        <f>_xlfn.XLOOKUP($N50,'Base de Grupos'!$A:$A,'Base de Grupos'!$D:$D)</f>
        <v>1000065763</v>
      </c>
      <c r="C50" s="5" t="str">
        <f>_xlfn.XLOOKUP($N50,'Base de Grupos'!$A:$A,'Base de Grupos'!$E:$E)</f>
        <v>CANAL VENDA INTERNA</v>
      </c>
      <c r="D50" s="5" t="str">
        <f>_xlfn.XLOOKUP($N50,'Base de Grupos'!$A:$A,'Base de Grupos'!$F:$F)</f>
        <v>1000065763</v>
      </c>
      <c r="E50" s="2" t="str">
        <f>_xlfn.XLOOKUP($N50,'Base de Grupos'!$A:$A,'Base de Grupos'!$G:$G)</f>
        <v>CANAL VENDA INTERNA</v>
      </c>
      <c r="F50" s="2" t="str">
        <f>_xlfn.XLOOKUP($N50,'Base de Grupos'!$A:$A,'Base de Grupos'!$H:$H)</f>
        <v>1000105900</v>
      </c>
      <c r="G50" s="5" t="str">
        <f>_xlfn.XLOOKUP($N50,'Base de Grupos'!$A:$A,'Base de Grupos'!$I:$I)</f>
        <v>REGIONAL VENDA DIRETA CO + NE + NO</v>
      </c>
      <c r="H50" s="5" t="str">
        <f>_xlfn.XLOOKUP($N50,'Base de Grupos'!$A:$A,'Base de Grupos'!$J:$J)</f>
        <v>1000105900</v>
      </c>
      <c r="I50" s="2" t="str">
        <f>_xlfn.XLOOKUP($N50,'Base de Grupos'!$A:$A,'Base de Grupos'!$K:$K)</f>
        <v>REGIONAL VENDA DIRETA CO + NE + NO</v>
      </c>
      <c r="J50" s="2" t="str">
        <f>_xlfn.XLOOKUP($N50,'Base de Grupos'!$A:$A,'Base de Grupos'!$L:$L)</f>
        <v>1000150135</v>
      </c>
      <c r="K50" s="5" t="str">
        <f>_xlfn.XLOOKUP($N50,'Base de Grupos'!$A:$A,'Base de Grupos'!$M:$M)</f>
        <v>HELDER DA SILVA BRUNKOW</v>
      </c>
      <c r="L50" s="5" t="str">
        <f t="shared" ref="L50:L113" si="55">IF(N50&lt;&gt;N49,1,"")</f>
        <v/>
      </c>
      <c r="M50" s="5" t="str">
        <f>_xlfn.XLOOKUP($N50,'Base de Grupos'!$A:$A,'Base de Grupos'!$C:$C)</f>
        <v>CE</v>
      </c>
      <c r="N50" s="3">
        <v>1326</v>
      </c>
      <c r="O50" s="4" t="s">
        <v>226</v>
      </c>
      <c r="P50" s="5" t="s">
        <v>88</v>
      </c>
      <c r="Q50" s="56">
        <v>0</v>
      </c>
      <c r="R50" s="56">
        <v>0</v>
      </c>
      <c r="S50" s="56">
        <v>0</v>
      </c>
      <c r="T50" s="56">
        <f>_xlfn.XLOOKUP($N50,'Calculo Leads'!$A$97:$A$134,'Calculo Leads'!G$97:G$134)*_xlfn.XLOOKUP($P50,'Base Grupo de Produtos'!$E$2:$E$18,'Base Grupo de Produtos'!$F$2:$F$18)</f>
        <v>100</v>
      </c>
      <c r="U50" s="56">
        <f>_xlfn.XLOOKUP($N50,'Calculo Leads'!$A$97:$A$134,'Calculo Leads'!H$97:H$134)*_xlfn.XLOOKUP($P50,'Base Grupo de Produtos'!$E$2:$E$18,'Base Grupo de Produtos'!$F$2:$F$18)</f>
        <v>150</v>
      </c>
      <c r="V50" s="56">
        <f>_xlfn.XLOOKUP($N50,'Calculo Leads'!$A$97:$A$134,'Calculo Leads'!I$97:I$134)*_xlfn.XLOOKUP($P50,'Base Grupo de Produtos'!$E$2:$E$18,'Base Grupo de Produtos'!$F$2:$F$18)</f>
        <v>150</v>
      </c>
      <c r="W50" s="56">
        <f>_xlfn.XLOOKUP($N50,'Calculo Leads'!$A$97:$A$134,'Calculo Leads'!J$97:J$134)*_xlfn.XLOOKUP($P50,'Base Grupo de Produtos'!$E$2:$E$18,'Base Grupo de Produtos'!$F$2:$F$18)</f>
        <v>200</v>
      </c>
      <c r="X50" s="56">
        <f>_xlfn.XLOOKUP($N50,'Calculo Leads'!$A$97:$A$134,'Calculo Leads'!K$97:K$134)*_xlfn.XLOOKUP($P50,'Base Grupo de Produtos'!$E$2:$E$18,'Base Grupo de Produtos'!$F$2:$F$18)</f>
        <v>220</v>
      </c>
      <c r="Y50" s="56">
        <f>_xlfn.XLOOKUP($N50,'Calculo Leads'!$A$97:$A$134,'Calculo Leads'!L$97:L$134)*_xlfn.XLOOKUP($P50,'Base Grupo de Produtos'!$E$2:$E$18,'Base Grupo de Produtos'!$F$2:$F$18)</f>
        <v>275</v>
      </c>
      <c r="Z50" s="56">
        <f>_xlfn.XLOOKUP($N50,'Calculo Leads'!$A$97:$A$134,'Calculo Leads'!M$97:M$134)*_xlfn.XLOOKUP($P50,'Base Grupo de Produtos'!$E$2:$E$18,'Base Grupo de Produtos'!$F$2:$F$18)</f>
        <v>330</v>
      </c>
      <c r="AA50" s="56">
        <f>_xlfn.XLOOKUP($N50,'Calculo Leads'!$A$97:$A$134,'Calculo Leads'!N$97:N$134)*_xlfn.XLOOKUP($P50,'Base Grupo de Produtos'!$E$2:$E$18,'Base Grupo de Produtos'!$F$2:$F$18)</f>
        <v>385</v>
      </c>
      <c r="AB50" s="56">
        <f>_xlfn.XLOOKUP($N50,'Calculo Leads'!$A$97:$A$134,'Calculo Leads'!O$97:O$134)*_xlfn.XLOOKUP($P50,'Base Grupo de Produtos'!$E$2:$E$18,'Base Grupo de Produtos'!$F$2:$F$18)</f>
        <v>275</v>
      </c>
      <c r="AC50" s="61">
        <f t="shared" si="13"/>
        <v>2085</v>
      </c>
      <c r="AD50" s="27">
        <f t="shared" si="49"/>
        <v>2085</v>
      </c>
      <c r="AE50" s="25">
        <f>IFERROR(_xlfn.XLOOKUP(N50&amp;P50,'Historico Vendas'!G:G,'Historico Vendas'!E:E),0)</f>
        <v>0</v>
      </c>
      <c r="AF50" s="29" t="str">
        <f t="shared" si="53"/>
        <v/>
      </c>
      <c r="AG50" s="24">
        <f>IFERROR(_xlfn.XLOOKUP(N50&amp;P50,'Historico Vendas'!G:G,'Historico Vendas'!F:F),0)</f>
        <v>0</v>
      </c>
      <c r="AH50" s="25">
        <f t="shared" si="50"/>
        <v>0</v>
      </c>
      <c r="AI50" s="24">
        <f t="shared" si="51"/>
        <v>0</v>
      </c>
      <c r="AJ50" s="11" t="str">
        <f t="shared" si="34"/>
        <v/>
      </c>
      <c r="AK50" s="9" t="s">
        <v>102</v>
      </c>
      <c r="AL50" s="13">
        <f>IFERROR(INDEX('Balizador da Meta'!$D$3:$F$23,MATCH(Faturamento!$P50,'Balizador da Meta'!$C$3:$C$23,0),MATCH(Faturamento!AK50,'Balizador da Meta'!$D$2:$F$2,0)),"")</f>
        <v>0</v>
      </c>
      <c r="AM50" s="9"/>
    </row>
    <row r="51" spans="1:39" x14ac:dyDescent="0.3">
      <c r="A51" s="2" t="str">
        <f t="shared" si="54"/>
        <v>NÃO</v>
      </c>
      <c r="B51" s="2" t="str">
        <f>_xlfn.XLOOKUP($N51,'Base de Grupos'!$A:$A,'Base de Grupos'!$D:$D)</f>
        <v>1000065763</v>
      </c>
      <c r="C51" s="5" t="str">
        <f>_xlfn.XLOOKUP($N51,'Base de Grupos'!$A:$A,'Base de Grupos'!$E:$E)</f>
        <v>CANAL VENDA INTERNA</v>
      </c>
      <c r="D51" s="5" t="str">
        <f>_xlfn.XLOOKUP($N51,'Base de Grupos'!$A:$A,'Base de Grupos'!$F:$F)</f>
        <v>1000065763</v>
      </c>
      <c r="E51" s="2" t="str">
        <f>_xlfn.XLOOKUP($N51,'Base de Grupos'!$A:$A,'Base de Grupos'!$G:$G)</f>
        <v>CANAL VENDA INTERNA</v>
      </c>
      <c r="F51" s="2" t="str">
        <f>_xlfn.XLOOKUP($N51,'Base de Grupos'!$A:$A,'Base de Grupos'!$H:$H)</f>
        <v>1000105900</v>
      </c>
      <c r="G51" s="5" t="str">
        <f>_xlfn.XLOOKUP($N51,'Base de Grupos'!$A:$A,'Base de Grupos'!$I:$I)</f>
        <v>REGIONAL VENDA DIRETA CO + NE + NO</v>
      </c>
      <c r="H51" s="5" t="str">
        <f>_xlfn.XLOOKUP($N51,'Base de Grupos'!$A:$A,'Base de Grupos'!$J:$J)</f>
        <v>1000105900</v>
      </c>
      <c r="I51" s="2" t="str">
        <f>_xlfn.XLOOKUP($N51,'Base de Grupos'!$A:$A,'Base de Grupos'!$K:$K)</f>
        <v>REGIONAL VENDA DIRETA CO + NE + NO</v>
      </c>
      <c r="J51" s="2" t="str">
        <f>_xlfn.XLOOKUP($N51,'Base de Grupos'!$A:$A,'Base de Grupos'!$L:$L)</f>
        <v>1000150135</v>
      </c>
      <c r="K51" s="5" t="str">
        <f>_xlfn.XLOOKUP($N51,'Base de Grupos'!$A:$A,'Base de Grupos'!$M:$M)</f>
        <v>HELDER DA SILVA BRUNKOW</v>
      </c>
      <c r="L51" s="5" t="str">
        <f t="shared" si="55"/>
        <v/>
      </c>
      <c r="M51" s="5" t="str">
        <f>_xlfn.XLOOKUP($N51,'Base de Grupos'!$A:$A,'Base de Grupos'!$C:$C)</f>
        <v>CE</v>
      </c>
      <c r="N51" s="3">
        <v>1326</v>
      </c>
      <c r="O51" s="4" t="s">
        <v>226</v>
      </c>
      <c r="P51" s="5" t="s">
        <v>90</v>
      </c>
      <c r="Q51" s="56">
        <v>0</v>
      </c>
      <c r="R51" s="56">
        <v>0</v>
      </c>
      <c r="S51" s="56">
        <v>0</v>
      </c>
      <c r="T51" s="56">
        <f>_xlfn.XLOOKUP($N51,'Calculo Leads'!$A$97:$A$134,'Calculo Leads'!G$97:G$134)*_xlfn.XLOOKUP($P51,'Base Grupo de Produtos'!$E$2:$E$18,'Base Grupo de Produtos'!$F$2:$F$18)</f>
        <v>100</v>
      </c>
      <c r="U51" s="56">
        <f>_xlfn.XLOOKUP($N51,'Calculo Leads'!$A$97:$A$134,'Calculo Leads'!H$97:H$134)*_xlfn.XLOOKUP($P51,'Base Grupo de Produtos'!$E$2:$E$18,'Base Grupo de Produtos'!$F$2:$F$18)</f>
        <v>150</v>
      </c>
      <c r="V51" s="56">
        <f>_xlfn.XLOOKUP($N51,'Calculo Leads'!$A$97:$A$134,'Calculo Leads'!I$97:I$134)*_xlfn.XLOOKUP($P51,'Base Grupo de Produtos'!$E$2:$E$18,'Base Grupo de Produtos'!$F$2:$F$18)</f>
        <v>150</v>
      </c>
      <c r="W51" s="56">
        <f>_xlfn.XLOOKUP($N51,'Calculo Leads'!$A$97:$A$134,'Calculo Leads'!J$97:J$134)*_xlfn.XLOOKUP($P51,'Base Grupo de Produtos'!$E$2:$E$18,'Base Grupo de Produtos'!$F$2:$F$18)</f>
        <v>200</v>
      </c>
      <c r="X51" s="56">
        <f>_xlfn.XLOOKUP($N51,'Calculo Leads'!$A$97:$A$134,'Calculo Leads'!K$97:K$134)*_xlfn.XLOOKUP($P51,'Base Grupo de Produtos'!$E$2:$E$18,'Base Grupo de Produtos'!$F$2:$F$18)</f>
        <v>220</v>
      </c>
      <c r="Y51" s="56">
        <f>_xlfn.XLOOKUP($N51,'Calculo Leads'!$A$97:$A$134,'Calculo Leads'!L$97:L$134)*_xlfn.XLOOKUP($P51,'Base Grupo de Produtos'!$E$2:$E$18,'Base Grupo de Produtos'!$F$2:$F$18)</f>
        <v>275</v>
      </c>
      <c r="Z51" s="56">
        <f>_xlfn.XLOOKUP($N51,'Calculo Leads'!$A$97:$A$134,'Calculo Leads'!M$97:M$134)*_xlfn.XLOOKUP($P51,'Base Grupo de Produtos'!$E$2:$E$18,'Base Grupo de Produtos'!$F$2:$F$18)</f>
        <v>330</v>
      </c>
      <c r="AA51" s="56">
        <f>_xlfn.XLOOKUP($N51,'Calculo Leads'!$A$97:$A$134,'Calculo Leads'!N$97:N$134)*_xlfn.XLOOKUP($P51,'Base Grupo de Produtos'!$E$2:$E$18,'Base Grupo de Produtos'!$F$2:$F$18)</f>
        <v>385</v>
      </c>
      <c r="AB51" s="56">
        <f>_xlfn.XLOOKUP($N51,'Calculo Leads'!$A$97:$A$134,'Calculo Leads'!O$97:O$134)*_xlfn.XLOOKUP($P51,'Base Grupo de Produtos'!$E$2:$E$18,'Base Grupo de Produtos'!$F$2:$F$18)</f>
        <v>275</v>
      </c>
      <c r="AC51" s="61">
        <f t="shared" si="13"/>
        <v>2085</v>
      </c>
      <c r="AD51" s="27">
        <f t="shared" si="49"/>
        <v>2085</v>
      </c>
      <c r="AE51" s="25">
        <f>IFERROR(_xlfn.XLOOKUP(N51&amp;P51,'Historico Vendas'!G:G,'Historico Vendas'!E:E),0)</f>
        <v>0</v>
      </c>
      <c r="AF51" s="29" t="str">
        <f t="shared" si="53"/>
        <v/>
      </c>
      <c r="AG51" s="24">
        <f>IFERROR(_xlfn.XLOOKUP(N51&amp;P51,'Historico Vendas'!G:G,'Historico Vendas'!F:F),0)</f>
        <v>0</v>
      </c>
      <c r="AH51" s="25">
        <f t="shared" si="50"/>
        <v>0</v>
      </c>
      <c r="AI51" s="24">
        <f t="shared" si="51"/>
        <v>0</v>
      </c>
      <c r="AJ51" s="11" t="str">
        <f t="shared" si="34"/>
        <v/>
      </c>
      <c r="AK51" s="9" t="s">
        <v>102</v>
      </c>
      <c r="AL51" s="13">
        <f>IFERROR(INDEX('Balizador da Meta'!$D$3:$F$23,MATCH(Faturamento!$P51,'Balizador da Meta'!$C$3:$C$23,0),MATCH(Faturamento!AK51,'Balizador da Meta'!$D$2:$F$2,0)),"")</f>
        <v>0</v>
      </c>
      <c r="AM51" s="9"/>
    </row>
    <row r="52" spans="1:39" x14ac:dyDescent="0.3">
      <c r="A52" s="2" t="str">
        <f t="shared" si="54"/>
        <v>NÃO</v>
      </c>
      <c r="B52" s="2" t="str">
        <f>_xlfn.XLOOKUP($N52,'Base de Grupos'!$A:$A,'Base de Grupos'!$D:$D)</f>
        <v>1000065763</v>
      </c>
      <c r="C52" s="5" t="str">
        <f>_xlfn.XLOOKUP($N52,'Base de Grupos'!$A:$A,'Base de Grupos'!$E:$E)</f>
        <v>CANAL VENDA INTERNA</v>
      </c>
      <c r="D52" s="5" t="str">
        <f>_xlfn.XLOOKUP($N52,'Base de Grupos'!$A:$A,'Base de Grupos'!$F:$F)</f>
        <v>1000065763</v>
      </c>
      <c r="E52" s="2" t="str">
        <f>_xlfn.XLOOKUP($N52,'Base de Grupos'!$A:$A,'Base de Grupos'!$G:$G)</f>
        <v>CANAL VENDA INTERNA</v>
      </c>
      <c r="F52" s="2" t="str">
        <f>_xlfn.XLOOKUP($N52,'Base de Grupos'!$A:$A,'Base de Grupos'!$H:$H)</f>
        <v>1000105900</v>
      </c>
      <c r="G52" s="5" t="str">
        <f>_xlfn.XLOOKUP($N52,'Base de Grupos'!$A:$A,'Base de Grupos'!$I:$I)</f>
        <v>REGIONAL VENDA DIRETA CO + NE + NO</v>
      </c>
      <c r="H52" s="5" t="str">
        <f>_xlfn.XLOOKUP($N52,'Base de Grupos'!$A:$A,'Base de Grupos'!$J:$J)</f>
        <v>1000105900</v>
      </c>
      <c r="I52" s="2" t="str">
        <f>_xlfn.XLOOKUP($N52,'Base de Grupos'!$A:$A,'Base de Grupos'!$K:$K)</f>
        <v>REGIONAL VENDA DIRETA CO + NE + NO</v>
      </c>
      <c r="J52" s="2" t="str">
        <f>_xlfn.XLOOKUP($N52,'Base de Grupos'!$A:$A,'Base de Grupos'!$L:$L)</f>
        <v>1000150135</v>
      </c>
      <c r="K52" s="5" t="str">
        <f>_xlfn.XLOOKUP($N52,'Base de Grupos'!$A:$A,'Base de Grupos'!$M:$M)</f>
        <v>HELDER DA SILVA BRUNKOW</v>
      </c>
      <c r="L52" s="5" t="str">
        <f t="shared" si="55"/>
        <v/>
      </c>
      <c r="M52" s="5" t="str">
        <f>_xlfn.XLOOKUP($N52,'Base de Grupos'!$A:$A,'Base de Grupos'!$C:$C)</f>
        <v>CE</v>
      </c>
      <c r="N52" s="3">
        <v>1326</v>
      </c>
      <c r="O52" s="4" t="s">
        <v>226</v>
      </c>
      <c r="P52" s="5" t="s">
        <v>91</v>
      </c>
      <c r="Q52" s="56">
        <v>0</v>
      </c>
      <c r="R52" s="56">
        <v>0</v>
      </c>
      <c r="S52" s="56">
        <v>0</v>
      </c>
      <c r="T52" s="56">
        <f>_xlfn.XLOOKUP($N52,'Calculo Leads'!$A$97:$A$134,'Calculo Leads'!G$97:G$134)*_xlfn.XLOOKUP($P52,'Base Grupo de Produtos'!$E$2:$E$18,'Base Grupo de Produtos'!$F$2:$F$18)</f>
        <v>0</v>
      </c>
      <c r="U52" s="56">
        <f>_xlfn.XLOOKUP($N52,'Calculo Leads'!$A$97:$A$134,'Calculo Leads'!H$97:H$134)*_xlfn.XLOOKUP($P52,'Base Grupo de Produtos'!$E$2:$E$18,'Base Grupo de Produtos'!$F$2:$F$18)</f>
        <v>0</v>
      </c>
      <c r="V52" s="56">
        <f>_xlfn.XLOOKUP($N52,'Calculo Leads'!$A$97:$A$134,'Calculo Leads'!I$97:I$134)*_xlfn.XLOOKUP($P52,'Base Grupo de Produtos'!$E$2:$E$18,'Base Grupo de Produtos'!$F$2:$F$18)</f>
        <v>0</v>
      </c>
      <c r="W52" s="56">
        <f>_xlfn.XLOOKUP($N52,'Calculo Leads'!$A$97:$A$134,'Calculo Leads'!J$97:J$134)*_xlfn.XLOOKUP($P52,'Base Grupo de Produtos'!$E$2:$E$18,'Base Grupo de Produtos'!$F$2:$F$18)</f>
        <v>0</v>
      </c>
      <c r="X52" s="56">
        <f>_xlfn.XLOOKUP($N52,'Calculo Leads'!$A$97:$A$134,'Calculo Leads'!K$97:K$134)*_xlfn.XLOOKUP($P52,'Base Grupo de Produtos'!$E$2:$E$18,'Base Grupo de Produtos'!$F$2:$F$18)</f>
        <v>0</v>
      </c>
      <c r="Y52" s="56">
        <f>_xlfn.XLOOKUP($N52,'Calculo Leads'!$A$97:$A$134,'Calculo Leads'!L$97:L$134)*_xlfn.XLOOKUP($P52,'Base Grupo de Produtos'!$E$2:$E$18,'Base Grupo de Produtos'!$F$2:$F$18)</f>
        <v>0</v>
      </c>
      <c r="Z52" s="56">
        <f>_xlfn.XLOOKUP($N52,'Calculo Leads'!$A$97:$A$134,'Calculo Leads'!M$97:M$134)*_xlfn.XLOOKUP($P52,'Base Grupo de Produtos'!$E$2:$E$18,'Base Grupo de Produtos'!$F$2:$F$18)</f>
        <v>0</v>
      </c>
      <c r="AA52" s="56">
        <f>_xlfn.XLOOKUP($N52,'Calculo Leads'!$A$97:$A$134,'Calculo Leads'!N$97:N$134)*_xlfn.XLOOKUP($P52,'Base Grupo de Produtos'!$E$2:$E$18,'Base Grupo de Produtos'!$F$2:$F$18)</f>
        <v>0</v>
      </c>
      <c r="AB52" s="56">
        <f>_xlfn.XLOOKUP($N52,'Calculo Leads'!$A$97:$A$134,'Calculo Leads'!O$97:O$134)*_xlfn.XLOOKUP($P52,'Base Grupo de Produtos'!$E$2:$E$18,'Base Grupo de Produtos'!$F$2:$F$18)</f>
        <v>0</v>
      </c>
      <c r="AC52" s="61">
        <f t="shared" si="13"/>
        <v>0</v>
      </c>
      <c r="AD52" s="27">
        <f t="shared" si="49"/>
        <v>0</v>
      </c>
      <c r="AE52" s="25">
        <f>IFERROR(_xlfn.XLOOKUP(N52&amp;P52,'Historico Vendas'!G:G,'Historico Vendas'!E:E),0)</f>
        <v>0</v>
      </c>
      <c r="AF52" s="29" t="str">
        <f t="shared" si="53"/>
        <v/>
      </c>
      <c r="AG52" s="24">
        <f>IFERROR(_xlfn.XLOOKUP(N52&amp;P52,'Historico Vendas'!G:G,'Historico Vendas'!F:F),0)</f>
        <v>0</v>
      </c>
      <c r="AH52" s="25">
        <f t="shared" si="50"/>
        <v>0</v>
      </c>
      <c r="AI52" s="24">
        <f t="shared" si="51"/>
        <v>0</v>
      </c>
      <c r="AJ52" s="11" t="str">
        <f t="shared" si="34"/>
        <v/>
      </c>
      <c r="AK52" s="9" t="s">
        <v>102</v>
      </c>
      <c r="AL52" s="13">
        <f>IFERROR(INDEX('Balizador da Meta'!$D$3:$F$23,MATCH(Faturamento!$P52,'Balizador da Meta'!$C$3:$C$23,0),MATCH(Faturamento!AK52,'Balizador da Meta'!$D$2:$F$2,0)),"")</f>
        <v>0</v>
      </c>
      <c r="AM52" s="9"/>
    </row>
    <row r="53" spans="1:39" x14ac:dyDescent="0.3">
      <c r="A53" s="2" t="str">
        <f t="shared" si="54"/>
        <v>NÃO</v>
      </c>
      <c r="B53" s="2" t="str">
        <f>_xlfn.XLOOKUP($N53,'Base de Grupos'!$A:$A,'Base de Grupos'!$D:$D)</f>
        <v>1000065763</v>
      </c>
      <c r="C53" s="5" t="str">
        <f>_xlfn.XLOOKUP($N53,'Base de Grupos'!$A:$A,'Base de Grupos'!$E:$E)</f>
        <v>CANAL VENDA INTERNA</v>
      </c>
      <c r="D53" s="5" t="str">
        <f>_xlfn.XLOOKUP($N53,'Base de Grupos'!$A:$A,'Base de Grupos'!$F:$F)</f>
        <v>1000065763</v>
      </c>
      <c r="E53" s="2" t="str">
        <f>_xlfn.XLOOKUP($N53,'Base de Grupos'!$A:$A,'Base de Grupos'!$G:$G)</f>
        <v>CANAL VENDA INTERNA</v>
      </c>
      <c r="F53" s="2" t="str">
        <f>_xlfn.XLOOKUP($N53,'Base de Grupos'!$A:$A,'Base de Grupos'!$H:$H)</f>
        <v>1000105900</v>
      </c>
      <c r="G53" s="5" t="str">
        <f>_xlfn.XLOOKUP($N53,'Base de Grupos'!$A:$A,'Base de Grupos'!$I:$I)</f>
        <v>REGIONAL VENDA DIRETA CO + NE + NO</v>
      </c>
      <c r="H53" s="5" t="str">
        <f>_xlfn.XLOOKUP($N53,'Base de Grupos'!$A:$A,'Base de Grupos'!$J:$J)</f>
        <v>1000105900</v>
      </c>
      <c r="I53" s="2" t="str">
        <f>_xlfn.XLOOKUP($N53,'Base de Grupos'!$A:$A,'Base de Grupos'!$K:$K)</f>
        <v>REGIONAL VENDA DIRETA CO + NE + NO</v>
      </c>
      <c r="J53" s="2" t="str">
        <f>_xlfn.XLOOKUP($N53,'Base de Grupos'!$A:$A,'Base de Grupos'!$L:$L)</f>
        <v>1000150135</v>
      </c>
      <c r="K53" s="5" t="str">
        <f>_xlfn.XLOOKUP($N53,'Base de Grupos'!$A:$A,'Base de Grupos'!$M:$M)</f>
        <v>HELDER DA SILVA BRUNKOW</v>
      </c>
      <c r="L53" s="5" t="str">
        <f t="shared" si="55"/>
        <v/>
      </c>
      <c r="M53" s="5" t="str">
        <f>_xlfn.XLOOKUP($N53,'Base de Grupos'!$A:$A,'Base de Grupos'!$C:$C)</f>
        <v>CE</v>
      </c>
      <c r="N53" s="3">
        <v>1326</v>
      </c>
      <c r="O53" s="4" t="s">
        <v>226</v>
      </c>
      <c r="P53" s="5" t="s">
        <v>96</v>
      </c>
      <c r="Q53" s="56">
        <v>0</v>
      </c>
      <c r="R53" s="56">
        <v>0</v>
      </c>
      <c r="S53" s="56">
        <v>0</v>
      </c>
      <c r="T53" s="56">
        <f>_xlfn.XLOOKUP($N53,'Calculo Leads'!$A$97:$A$134,'Calculo Leads'!G$97:G$134)*_xlfn.XLOOKUP($P53,'Base Grupo de Produtos'!$E$2:$E$18,'Base Grupo de Produtos'!$F$2:$F$18)</f>
        <v>140</v>
      </c>
      <c r="U53" s="56">
        <f>_xlfn.XLOOKUP($N53,'Calculo Leads'!$A$97:$A$134,'Calculo Leads'!H$97:H$134)*_xlfn.XLOOKUP($P53,'Base Grupo de Produtos'!$E$2:$E$18,'Base Grupo de Produtos'!$F$2:$F$18)</f>
        <v>210.00000000000003</v>
      </c>
      <c r="V53" s="56">
        <f>_xlfn.XLOOKUP($N53,'Calculo Leads'!$A$97:$A$134,'Calculo Leads'!I$97:I$134)*_xlfn.XLOOKUP($P53,'Base Grupo de Produtos'!$E$2:$E$18,'Base Grupo de Produtos'!$F$2:$F$18)</f>
        <v>210.00000000000003</v>
      </c>
      <c r="W53" s="56">
        <f>_xlfn.XLOOKUP($N53,'Calculo Leads'!$A$97:$A$134,'Calculo Leads'!J$97:J$134)*_xlfn.XLOOKUP($P53,'Base Grupo de Produtos'!$E$2:$E$18,'Base Grupo de Produtos'!$F$2:$F$18)</f>
        <v>280</v>
      </c>
      <c r="X53" s="56">
        <f>_xlfn.XLOOKUP($N53,'Calculo Leads'!$A$97:$A$134,'Calculo Leads'!K$97:K$134)*_xlfn.XLOOKUP($P53,'Base Grupo de Produtos'!$E$2:$E$18,'Base Grupo de Produtos'!$F$2:$F$18)</f>
        <v>308.00000000000006</v>
      </c>
      <c r="Y53" s="56">
        <f>_xlfn.XLOOKUP($N53,'Calculo Leads'!$A$97:$A$134,'Calculo Leads'!L$97:L$134)*_xlfn.XLOOKUP($P53,'Base Grupo de Produtos'!$E$2:$E$18,'Base Grupo de Produtos'!$F$2:$F$18)</f>
        <v>385.00000000000006</v>
      </c>
      <c r="Z53" s="56">
        <f>_xlfn.XLOOKUP($N53,'Calculo Leads'!$A$97:$A$134,'Calculo Leads'!M$97:M$134)*_xlfn.XLOOKUP($P53,'Base Grupo de Produtos'!$E$2:$E$18,'Base Grupo de Produtos'!$F$2:$F$18)</f>
        <v>462.00000000000006</v>
      </c>
      <c r="AA53" s="56">
        <f>_xlfn.XLOOKUP($N53,'Calculo Leads'!$A$97:$A$134,'Calculo Leads'!N$97:N$134)*_xlfn.XLOOKUP($P53,'Base Grupo de Produtos'!$E$2:$E$18,'Base Grupo de Produtos'!$F$2:$F$18)</f>
        <v>539</v>
      </c>
      <c r="AB53" s="56">
        <f>_xlfn.XLOOKUP($N53,'Calculo Leads'!$A$97:$A$134,'Calculo Leads'!O$97:O$134)*_xlfn.XLOOKUP($P53,'Base Grupo de Produtos'!$E$2:$E$18,'Base Grupo de Produtos'!$F$2:$F$18)</f>
        <v>385.00000000000006</v>
      </c>
      <c r="AC53" s="61">
        <f t="shared" si="13"/>
        <v>2919</v>
      </c>
      <c r="AD53" s="27">
        <f t="shared" si="49"/>
        <v>2919</v>
      </c>
      <c r="AE53" s="25">
        <f>IFERROR(_xlfn.XLOOKUP(N53&amp;P53,'Historico Vendas'!G:G,'Historico Vendas'!E:E),0)</f>
        <v>0</v>
      </c>
      <c r="AF53" s="29" t="str">
        <f t="shared" si="53"/>
        <v/>
      </c>
      <c r="AG53" s="24">
        <f>IFERROR(_xlfn.XLOOKUP(N53&amp;P53,'Historico Vendas'!G:G,'Historico Vendas'!F:F),0)</f>
        <v>0</v>
      </c>
      <c r="AH53" s="25">
        <f t="shared" si="50"/>
        <v>0</v>
      </c>
      <c r="AI53" s="24">
        <f t="shared" si="51"/>
        <v>0</v>
      </c>
      <c r="AJ53" s="11" t="str">
        <f t="shared" si="34"/>
        <v/>
      </c>
      <c r="AK53" s="9" t="s">
        <v>102</v>
      </c>
      <c r="AL53" s="13">
        <f>IFERROR(INDEX('Balizador da Meta'!$D$3:$F$23,MATCH(Faturamento!$P53,'Balizador da Meta'!$C$3:$C$23,0),MATCH(Faturamento!AK53,'Balizador da Meta'!$D$2:$F$2,0)),"")</f>
        <v>0</v>
      </c>
      <c r="AM53" s="9"/>
    </row>
    <row r="54" spans="1:39" x14ac:dyDescent="0.3">
      <c r="A54" s="2" t="str">
        <f t="shared" si="54"/>
        <v>NÃO</v>
      </c>
      <c r="B54" s="2" t="str">
        <f>_xlfn.XLOOKUP($N54,'Base de Grupos'!$A:$A,'Base de Grupos'!$D:$D)</f>
        <v>1000065763</v>
      </c>
      <c r="C54" s="5" t="str">
        <f>_xlfn.XLOOKUP($N54,'Base de Grupos'!$A:$A,'Base de Grupos'!$E:$E)</f>
        <v>CANAL VENDA INTERNA</v>
      </c>
      <c r="D54" s="5" t="str">
        <f>_xlfn.XLOOKUP($N54,'Base de Grupos'!$A:$A,'Base de Grupos'!$F:$F)</f>
        <v>1000065763</v>
      </c>
      <c r="E54" s="2" t="str">
        <f>_xlfn.XLOOKUP($N54,'Base de Grupos'!$A:$A,'Base de Grupos'!$G:$G)</f>
        <v>CANAL VENDA INTERNA</v>
      </c>
      <c r="F54" s="2" t="str">
        <f>_xlfn.XLOOKUP($N54,'Base de Grupos'!$A:$A,'Base de Grupos'!$H:$H)</f>
        <v>1000105900</v>
      </c>
      <c r="G54" s="5" t="str">
        <f>_xlfn.XLOOKUP($N54,'Base de Grupos'!$A:$A,'Base de Grupos'!$I:$I)</f>
        <v>REGIONAL VENDA DIRETA CO + NE + NO</v>
      </c>
      <c r="H54" s="5" t="str">
        <f>_xlfn.XLOOKUP($N54,'Base de Grupos'!$A:$A,'Base de Grupos'!$J:$J)</f>
        <v>1000105900</v>
      </c>
      <c r="I54" s="2" t="str">
        <f>_xlfn.XLOOKUP($N54,'Base de Grupos'!$A:$A,'Base de Grupos'!$K:$K)</f>
        <v>REGIONAL VENDA DIRETA CO + NE + NO</v>
      </c>
      <c r="J54" s="2" t="str">
        <f>_xlfn.XLOOKUP($N54,'Base de Grupos'!$A:$A,'Base de Grupos'!$L:$L)</f>
        <v>1000150135</v>
      </c>
      <c r="K54" s="5" t="str">
        <f>_xlfn.XLOOKUP($N54,'Base de Grupos'!$A:$A,'Base de Grupos'!$M:$M)</f>
        <v>HELDER DA SILVA BRUNKOW</v>
      </c>
      <c r="L54" s="5" t="str">
        <f t="shared" si="55"/>
        <v/>
      </c>
      <c r="M54" s="5" t="str">
        <f>_xlfn.XLOOKUP($N54,'Base de Grupos'!$A:$A,'Base de Grupos'!$C:$C)</f>
        <v>CE</v>
      </c>
      <c r="N54" s="3">
        <v>1326</v>
      </c>
      <c r="O54" s="4" t="s">
        <v>226</v>
      </c>
      <c r="P54" s="5" t="s">
        <v>94</v>
      </c>
      <c r="Q54" s="56">
        <v>0</v>
      </c>
      <c r="R54" s="56">
        <v>0</v>
      </c>
      <c r="S54" s="56">
        <v>0</v>
      </c>
      <c r="T54" s="56">
        <f>_xlfn.XLOOKUP($N54,'Calculo Leads'!$A$97:$A$134,'Calculo Leads'!G$97:G$134)*_xlfn.XLOOKUP($P54,'Base Grupo de Produtos'!$E$2:$E$18,'Base Grupo de Produtos'!$F$2:$F$18)</f>
        <v>99.999999999999986</v>
      </c>
      <c r="U54" s="56">
        <f>_xlfn.XLOOKUP($N54,'Calculo Leads'!$A$97:$A$134,'Calculo Leads'!H$97:H$134)*_xlfn.XLOOKUP($P54,'Base Grupo de Produtos'!$E$2:$E$18,'Base Grupo de Produtos'!$F$2:$F$18)</f>
        <v>150</v>
      </c>
      <c r="V54" s="56">
        <f>_xlfn.XLOOKUP($N54,'Calculo Leads'!$A$97:$A$134,'Calculo Leads'!I$97:I$134)*_xlfn.XLOOKUP($P54,'Base Grupo de Produtos'!$E$2:$E$18,'Base Grupo de Produtos'!$F$2:$F$18)</f>
        <v>150</v>
      </c>
      <c r="W54" s="56">
        <f>_xlfn.XLOOKUP($N54,'Calculo Leads'!$A$97:$A$134,'Calculo Leads'!J$97:J$134)*_xlfn.XLOOKUP($P54,'Base Grupo de Produtos'!$E$2:$E$18,'Base Grupo de Produtos'!$F$2:$F$18)</f>
        <v>199.99999999999997</v>
      </c>
      <c r="X54" s="56">
        <f>_xlfn.XLOOKUP($N54,'Calculo Leads'!$A$97:$A$134,'Calculo Leads'!K$97:K$134)*_xlfn.XLOOKUP($P54,'Base Grupo de Produtos'!$E$2:$E$18,'Base Grupo de Produtos'!$F$2:$F$18)</f>
        <v>219.99999999999997</v>
      </c>
      <c r="Y54" s="56">
        <f>_xlfn.XLOOKUP($N54,'Calculo Leads'!$A$97:$A$134,'Calculo Leads'!L$97:L$134)*_xlfn.XLOOKUP($P54,'Base Grupo de Produtos'!$E$2:$E$18,'Base Grupo de Produtos'!$F$2:$F$18)</f>
        <v>275</v>
      </c>
      <c r="Z54" s="56">
        <f>_xlfn.XLOOKUP($N54,'Calculo Leads'!$A$97:$A$134,'Calculo Leads'!M$97:M$134)*_xlfn.XLOOKUP($P54,'Base Grupo de Produtos'!$E$2:$E$18,'Base Grupo de Produtos'!$F$2:$F$18)</f>
        <v>330</v>
      </c>
      <c r="AA54" s="56">
        <f>_xlfn.XLOOKUP($N54,'Calculo Leads'!$A$97:$A$134,'Calculo Leads'!N$97:N$134)*_xlfn.XLOOKUP($P54,'Base Grupo de Produtos'!$E$2:$E$18,'Base Grupo de Produtos'!$F$2:$F$18)</f>
        <v>384.99999999999994</v>
      </c>
      <c r="AB54" s="56">
        <f>_xlfn.XLOOKUP($N54,'Calculo Leads'!$A$97:$A$134,'Calculo Leads'!O$97:O$134)*_xlfn.XLOOKUP($P54,'Base Grupo de Produtos'!$E$2:$E$18,'Base Grupo de Produtos'!$F$2:$F$18)</f>
        <v>275</v>
      </c>
      <c r="AC54" s="61">
        <f t="shared" si="13"/>
        <v>2085</v>
      </c>
      <c r="AD54" s="27">
        <f t="shared" si="49"/>
        <v>2085</v>
      </c>
      <c r="AE54" s="25">
        <f>IFERROR(_xlfn.XLOOKUP(N54&amp;P54,'Historico Vendas'!G:G,'Historico Vendas'!E:E),0)</f>
        <v>0</v>
      </c>
      <c r="AF54" s="29" t="str">
        <f t="shared" si="53"/>
        <v/>
      </c>
      <c r="AG54" s="24">
        <f>IFERROR(_xlfn.XLOOKUP(N54&amp;P54,'Historico Vendas'!G:G,'Historico Vendas'!F:F),0)</f>
        <v>0</v>
      </c>
      <c r="AH54" s="25">
        <f t="shared" si="50"/>
        <v>0</v>
      </c>
      <c r="AI54" s="24">
        <f t="shared" si="51"/>
        <v>0</v>
      </c>
      <c r="AJ54" s="11" t="str">
        <f t="shared" si="34"/>
        <v/>
      </c>
      <c r="AK54" s="9" t="s">
        <v>102</v>
      </c>
      <c r="AL54" s="13">
        <f>IFERROR(INDEX('Balizador da Meta'!$D$3:$F$23,MATCH(Faturamento!$P54,'Balizador da Meta'!$C$3:$C$23,0),MATCH(Faturamento!AK54,'Balizador da Meta'!$D$2:$F$2,0)),"")</f>
        <v>0.25</v>
      </c>
      <c r="AM54" s="9"/>
    </row>
    <row r="55" spans="1:39" x14ac:dyDescent="0.3">
      <c r="A55" s="2" t="str">
        <f t="shared" si="54"/>
        <v>NÃO</v>
      </c>
      <c r="B55" s="2" t="str">
        <f>_xlfn.XLOOKUP($N55,'Base de Grupos'!$A:$A,'Base de Grupos'!$D:$D)</f>
        <v>1000065763</v>
      </c>
      <c r="C55" s="5" t="str">
        <f>_xlfn.XLOOKUP($N55,'Base de Grupos'!$A:$A,'Base de Grupos'!$E:$E)</f>
        <v>CANAL VENDA INTERNA</v>
      </c>
      <c r="D55" s="5" t="str">
        <f>_xlfn.XLOOKUP($N55,'Base de Grupos'!$A:$A,'Base de Grupos'!$F:$F)</f>
        <v>1000065763</v>
      </c>
      <c r="E55" s="2" t="str">
        <f>_xlfn.XLOOKUP($N55,'Base de Grupos'!$A:$A,'Base de Grupos'!$G:$G)</f>
        <v>CANAL VENDA INTERNA</v>
      </c>
      <c r="F55" s="2" t="str">
        <f>_xlfn.XLOOKUP($N55,'Base de Grupos'!$A:$A,'Base de Grupos'!$H:$H)</f>
        <v>1000105900</v>
      </c>
      <c r="G55" s="5" t="str">
        <f>_xlfn.XLOOKUP($N55,'Base de Grupos'!$A:$A,'Base de Grupos'!$I:$I)</f>
        <v>REGIONAL VENDA DIRETA CO + NE + NO</v>
      </c>
      <c r="H55" s="5" t="str">
        <f>_xlfn.XLOOKUP($N55,'Base de Grupos'!$A:$A,'Base de Grupos'!$J:$J)</f>
        <v>1000105900</v>
      </c>
      <c r="I55" s="2" t="str">
        <f>_xlfn.XLOOKUP($N55,'Base de Grupos'!$A:$A,'Base de Grupos'!$K:$K)</f>
        <v>REGIONAL VENDA DIRETA CO + NE + NO</v>
      </c>
      <c r="J55" s="2" t="str">
        <f>_xlfn.XLOOKUP($N55,'Base de Grupos'!$A:$A,'Base de Grupos'!$L:$L)</f>
        <v>1000150135</v>
      </c>
      <c r="K55" s="5" t="str">
        <f>_xlfn.XLOOKUP($N55,'Base de Grupos'!$A:$A,'Base de Grupos'!$M:$M)</f>
        <v>HELDER DA SILVA BRUNKOW</v>
      </c>
      <c r="L55" s="5" t="str">
        <f t="shared" si="55"/>
        <v/>
      </c>
      <c r="M55" s="5" t="str">
        <f>_xlfn.XLOOKUP($N55,'Base de Grupos'!$A:$A,'Base de Grupos'!$C:$C)</f>
        <v>CE</v>
      </c>
      <c r="N55" s="3">
        <v>1326</v>
      </c>
      <c r="O55" s="4" t="s">
        <v>226</v>
      </c>
      <c r="P55" s="5" t="s">
        <v>95</v>
      </c>
      <c r="Q55" s="56">
        <v>0</v>
      </c>
      <c r="R55" s="56">
        <v>0</v>
      </c>
      <c r="S55" s="56">
        <v>0</v>
      </c>
      <c r="T55" s="56">
        <f>_xlfn.XLOOKUP($N55,'Calculo Leads'!$A$97:$A$134,'Calculo Leads'!G$97:G$134)*_xlfn.XLOOKUP($P55,'Base Grupo de Produtos'!$E$2:$E$18,'Base Grupo de Produtos'!$F$2:$F$18)</f>
        <v>160</v>
      </c>
      <c r="U55" s="56">
        <f>_xlfn.XLOOKUP($N55,'Calculo Leads'!$A$97:$A$134,'Calculo Leads'!H$97:H$134)*_xlfn.XLOOKUP($P55,'Base Grupo de Produtos'!$E$2:$E$18,'Base Grupo de Produtos'!$F$2:$F$18)</f>
        <v>240</v>
      </c>
      <c r="V55" s="56">
        <f>_xlfn.XLOOKUP($N55,'Calculo Leads'!$A$97:$A$134,'Calculo Leads'!I$97:I$134)*_xlfn.XLOOKUP($P55,'Base Grupo de Produtos'!$E$2:$E$18,'Base Grupo de Produtos'!$F$2:$F$18)</f>
        <v>240</v>
      </c>
      <c r="W55" s="56">
        <f>_xlfn.XLOOKUP($N55,'Calculo Leads'!$A$97:$A$134,'Calculo Leads'!J$97:J$134)*_xlfn.XLOOKUP($P55,'Base Grupo de Produtos'!$E$2:$E$18,'Base Grupo de Produtos'!$F$2:$F$18)</f>
        <v>320</v>
      </c>
      <c r="X55" s="56">
        <f>_xlfn.XLOOKUP($N55,'Calculo Leads'!$A$97:$A$134,'Calculo Leads'!K$97:K$134)*_xlfn.XLOOKUP($P55,'Base Grupo de Produtos'!$E$2:$E$18,'Base Grupo de Produtos'!$F$2:$F$18)</f>
        <v>352</v>
      </c>
      <c r="Y55" s="56">
        <f>_xlfn.XLOOKUP($N55,'Calculo Leads'!$A$97:$A$134,'Calculo Leads'!L$97:L$134)*_xlfn.XLOOKUP($P55,'Base Grupo de Produtos'!$E$2:$E$18,'Base Grupo de Produtos'!$F$2:$F$18)</f>
        <v>440</v>
      </c>
      <c r="Z55" s="56">
        <f>_xlfn.XLOOKUP($N55,'Calculo Leads'!$A$97:$A$134,'Calculo Leads'!M$97:M$134)*_xlfn.XLOOKUP($P55,'Base Grupo de Produtos'!$E$2:$E$18,'Base Grupo de Produtos'!$F$2:$F$18)</f>
        <v>528</v>
      </c>
      <c r="AA55" s="56">
        <f>_xlfn.XLOOKUP($N55,'Calculo Leads'!$A$97:$A$134,'Calculo Leads'!N$97:N$134)*_xlfn.XLOOKUP($P55,'Base Grupo de Produtos'!$E$2:$E$18,'Base Grupo de Produtos'!$F$2:$F$18)</f>
        <v>616</v>
      </c>
      <c r="AB55" s="56">
        <f>_xlfn.XLOOKUP($N55,'Calculo Leads'!$A$97:$A$134,'Calculo Leads'!O$97:O$134)*_xlfn.XLOOKUP($P55,'Base Grupo de Produtos'!$E$2:$E$18,'Base Grupo de Produtos'!$F$2:$F$18)</f>
        <v>440</v>
      </c>
      <c r="AC55" s="61">
        <f t="shared" si="13"/>
        <v>3336</v>
      </c>
      <c r="AD55" s="27">
        <f t="shared" si="49"/>
        <v>3336</v>
      </c>
      <c r="AE55" s="25">
        <f>IFERROR(_xlfn.XLOOKUP(N55&amp;P55,'Historico Vendas'!G:G,'Historico Vendas'!E:E),0)</f>
        <v>0</v>
      </c>
      <c r="AF55" s="29" t="str">
        <f t="shared" si="53"/>
        <v/>
      </c>
      <c r="AG55" s="24">
        <f>IFERROR(_xlfn.XLOOKUP(N55&amp;P55,'Historico Vendas'!G:G,'Historico Vendas'!F:F),0)</f>
        <v>0</v>
      </c>
      <c r="AH55" s="25">
        <f t="shared" si="50"/>
        <v>0</v>
      </c>
      <c r="AI55" s="24">
        <f t="shared" si="51"/>
        <v>0</v>
      </c>
      <c r="AJ55" s="11" t="str">
        <f t="shared" si="34"/>
        <v/>
      </c>
      <c r="AK55" s="9" t="s">
        <v>102</v>
      </c>
      <c r="AL55" s="13">
        <f>IFERROR(INDEX('Balizador da Meta'!$D$3:$F$23,MATCH(Faturamento!$P55,'Balizador da Meta'!$C$3:$C$23,0),MATCH(Faturamento!AK55,'Balizador da Meta'!$D$2:$F$2,0)),"")</f>
        <v>0.25</v>
      </c>
      <c r="AM55" s="9"/>
    </row>
    <row r="56" spans="1:39" x14ac:dyDescent="0.3">
      <c r="A56" s="2" t="str">
        <f t="shared" si="54"/>
        <v>NÃO</v>
      </c>
      <c r="B56" s="2" t="str">
        <f>_xlfn.XLOOKUP($N56,'Base de Grupos'!$A:$A,'Base de Grupos'!$D:$D)</f>
        <v>1000065763</v>
      </c>
      <c r="C56" s="5" t="str">
        <f>_xlfn.XLOOKUP($N56,'Base de Grupos'!$A:$A,'Base de Grupos'!$E:$E)</f>
        <v>CANAL VENDA INTERNA</v>
      </c>
      <c r="D56" s="5" t="str">
        <f>_xlfn.XLOOKUP($N56,'Base de Grupos'!$A:$A,'Base de Grupos'!$F:$F)</f>
        <v>1000065763</v>
      </c>
      <c r="E56" s="2" t="str">
        <f>_xlfn.XLOOKUP($N56,'Base de Grupos'!$A:$A,'Base de Grupos'!$G:$G)</f>
        <v>CANAL VENDA INTERNA</v>
      </c>
      <c r="F56" s="2" t="str">
        <f>_xlfn.XLOOKUP($N56,'Base de Grupos'!$A:$A,'Base de Grupos'!$H:$H)</f>
        <v>1000105900</v>
      </c>
      <c r="G56" s="5" t="str">
        <f>_xlfn.XLOOKUP($N56,'Base de Grupos'!$A:$A,'Base de Grupos'!$I:$I)</f>
        <v>REGIONAL VENDA DIRETA CO + NE + NO</v>
      </c>
      <c r="H56" s="5" t="str">
        <f>_xlfn.XLOOKUP($N56,'Base de Grupos'!$A:$A,'Base de Grupos'!$J:$J)</f>
        <v>1000105900</v>
      </c>
      <c r="I56" s="2" t="str">
        <f>_xlfn.XLOOKUP($N56,'Base de Grupos'!$A:$A,'Base de Grupos'!$K:$K)</f>
        <v>REGIONAL VENDA DIRETA CO + NE + NO</v>
      </c>
      <c r="J56" s="2" t="str">
        <f>_xlfn.XLOOKUP($N56,'Base de Grupos'!$A:$A,'Base de Grupos'!$L:$L)</f>
        <v>1000150135</v>
      </c>
      <c r="K56" s="5" t="str">
        <f>_xlfn.XLOOKUP($N56,'Base de Grupos'!$A:$A,'Base de Grupos'!$M:$M)</f>
        <v>HELDER DA SILVA BRUNKOW</v>
      </c>
      <c r="L56" s="5" t="str">
        <f t="shared" si="55"/>
        <v/>
      </c>
      <c r="M56" s="5" t="str">
        <f>_xlfn.XLOOKUP($N56,'Base de Grupos'!$A:$A,'Base de Grupos'!$C:$C)</f>
        <v>CE</v>
      </c>
      <c r="N56" s="3">
        <v>1326</v>
      </c>
      <c r="O56" s="4" t="s">
        <v>226</v>
      </c>
      <c r="P56" s="5" t="s">
        <v>93</v>
      </c>
      <c r="Q56" s="56">
        <v>0</v>
      </c>
      <c r="R56" s="56">
        <v>0</v>
      </c>
      <c r="S56" s="56">
        <v>0</v>
      </c>
      <c r="T56" s="56">
        <f>_xlfn.XLOOKUP($N56,'Calculo Leads'!$A$97:$A$134,'Calculo Leads'!G$97:G$134)*_xlfn.XLOOKUP($P56,'Base Grupo de Produtos'!$E$2:$E$18,'Base Grupo de Produtos'!$F$2:$F$18)</f>
        <v>60</v>
      </c>
      <c r="U56" s="56">
        <f>_xlfn.XLOOKUP($N56,'Calculo Leads'!$A$97:$A$134,'Calculo Leads'!H$97:H$134)*_xlfn.XLOOKUP($P56,'Base Grupo de Produtos'!$E$2:$E$18,'Base Grupo de Produtos'!$F$2:$F$18)</f>
        <v>90</v>
      </c>
      <c r="V56" s="56">
        <f>_xlfn.XLOOKUP($N56,'Calculo Leads'!$A$97:$A$134,'Calculo Leads'!I$97:I$134)*_xlfn.XLOOKUP($P56,'Base Grupo de Produtos'!$E$2:$E$18,'Base Grupo de Produtos'!$F$2:$F$18)</f>
        <v>90</v>
      </c>
      <c r="W56" s="56">
        <f>_xlfn.XLOOKUP($N56,'Calculo Leads'!$A$97:$A$134,'Calculo Leads'!J$97:J$134)*_xlfn.XLOOKUP($P56,'Base Grupo de Produtos'!$E$2:$E$18,'Base Grupo de Produtos'!$F$2:$F$18)</f>
        <v>120</v>
      </c>
      <c r="X56" s="56">
        <f>_xlfn.XLOOKUP($N56,'Calculo Leads'!$A$97:$A$134,'Calculo Leads'!K$97:K$134)*_xlfn.XLOOKUP($P56,'Base Grupo de Produtos'!$E$2:$E$18,'Base Grupo de Produtos'!$F$2:$F$18)</f>
        <v>132</v>
      </c>
      <c r="Y56" s="56">
        <f>_xlfn.XLOOKUP($N56,'Calculo Leads'!$A$97:$A$134,'Calculo Leads'!L$97:L$134)*_xlfn.XLOOKUP($P56,'Base Grupo de Produtos'!$E$2:$E$18,'Base Grupo de Produtos'!$F$2:$F$18)</f>
        <v>165</v>
      </c>
      <c r="Z56" s="56">
        <f>_xlfn.XLOOKUP($N56,'Calculo Leads'!$A$97:$A$134,'Calculo Leads'!M$97:M$134)*_xlfn.XLOOKUP($P56,'Base Grupo de Produtos'!$E$2:$E$18,'Base Grupo de Produtos'!$F$2:$F$18)</f>
        <v>198</v>
      </c>
      <c r="AA56" s="56">
        <f>_xlfn.XLOOKUP($N56,'Calculo Leads'!$A$97:$A$134,'Calculo Leads'!N$97:N$134)*_xlfn.XLOOKUP($P56,'Base Grupo de Produtos'!$E$2:$E$18,'Base Grupo de Produtos'!$F$2:$F$18)</f>
        <v>231</v>
      </c>
      <c r="AB56" s="56">
        <f>_xlfn.XLOOKUP($N56,'Calculo Leads'!$A$97:$A$134,'Calculo Leads'!O$97:O$134)*_xlfn.XLOOKUP($P56,'Base Grupo de Produtos'!$E$2:$E$18,'Base Grupo de Produtos'!$F$2:$F$18)</f>
        <v>165</v>
      </c>
      <c r="AC56" s="61">
        <f t="shared" si="13"/>
        <v>1251</v>
      </c>
      <c r="AD56" s="27">
        <f t="shared" si="49"/>
        <v>1251</v>
      </c>
      <c r="AE56" s="25">
        <f>IFERROR(_xlfn.XLOOKUP(N56&amp;P56,'Historico Vendas'!G:G,'Historico Vendas'!E:E),0)</f>
        <v>0</v>
      </c>
      <c r="AF56" s="29" t="str">
        <f t="shared" si="53"/>
        <v/>
      </c>
      <c r="AG56" s="24">
        <f>IFERROR(_xlfn.XLOOKUP(N56&amp;P56,'Historico Vendas'!G:G,'Historico Vendas'!F:F),0)</f>
        <v>0</v>
      </c>
      <c r="AH56" s="25">
        <f t="shared" si="50"/>
        <v>0</v>
      </c>
      <c r="AI56" s="24">
        <f t="shared" si="51"/>
        <v>0</v>
      </c>
      <c r="AJ56" s="11" t="str">
        <f t="shared" si="34"/>
        <v/>
      </c>
      <c r="AK56" s="9" t="s">
        <v>102</v>
      </c>
      <c r="AL56" s="13">
        <f>IFERROR(INDEX('Balizador da Meta'!$D$3:$F$23,MATCH(Faturamento!$P56,'Balizador da Meta'!$C$3:$C$23,0),MATCH(Faturamento!AK56,'Balizador da Meta'!$D$2:$F$2,0)),"")</f>
        <v>0.2</v>
      </c>
      <c r="AM56" s="9"/>
    </row>
    <row r="57" spans="1:39" x14ac:dyDescent="0.3">
      <c r="A57" s="2" t="str">
        <f t="shared" si="54"/>
        <v>SIM</v>
      </c>
      <c r="B57" s="2" t="str">
        <f>_xlfn.XLOOKUP($N57,'Base de Grupos'!$A:$A,'Base de Grupos'!$D:$D)</f>
        <v>1000065763</v>
      </c>
      <c r="C57" s="5" t="str">
        <f>_xlfn.XLOOKUP($N57,'Base de Grupos'!$A:$A,'Base de Grupos'!$E:$E)</f>
        <v>CANAL VENDA INTERNA</v>
      </c>
      <c r="D57" s="5" t="str">
        <f>_xlfn.XLOOKUP($N57,'Base de Grupos'!$A:$A,'Base de Grupos'!$F:$F)</f>
        <v>1000065763</v>
      </c>
      <c r="E57" s="2" t="str">
        <f>_xlfn.XLOOKUP($N57,'Base de Grupos'!$A:$A,'Base de Grupos'!$G:$G)</f>
        <v>CANAL VENDA INTERNA</v>
      </c>
      <c r="F57" s="2" t="str">
        <f>_xlfn.XLOOKUP($N57,'Base de Grupos'!$A:$A,'Base de Grupos'!$H:$H)</f>
        <v>1000105900</v>
      </c>
      <c r="G57" s="5" t="str">
        <f>_xlfn.XLOOKUP($N57,'Base de Grupos'!$A:$A,'Base de Grupos'!$I:$I)</f>
        <v>REGIONAL VENDA DIRETA CO + NE + NO</v>
      </c>
      <c r="H57" s="5" t="str">
        <f>_xlfn.XLOOKUP($N57,'Base de Grupos'!$A:$A,'Base de Grupos'!$J:$J)</f>
        <v>1000105900</v>
      </c>
      <c r="I57" s="2" t="str">
        <f>_xlfn.XLOOKUP($N57,'Base de Grupos'!$A:$A,'Base de Grupos'!$K:$K)</f>
        <v>REGIONAL VENDA DIRETA CO + NE + NO</v>
      </c>
      <c r="J57" s="2" t="str">
        <f>_xlfn.XLOOKUP($N57,'Base de Grupos'!$A:$A,'Base de Grupos'!$L:$L)</f>
        <v>1000150135</v>
      </c>
      <c r="K57" s="5" t="str">
        <f>_xlfn.XLOOKUP($N57,'Base de Grupos'!$A:$A,'Base de Grupos'!$M:$M)</f>
        <v>HELDER DA SILVA BRUNKOW</v>
      </c>
      <c r="L57" s="5">
        <f t="shared" si="55"/>
        <v>1</v>
      </c>
      <c r="M57" s="5" t="str">
        <f>_xlfn.XLOOKUP($N57,'Base de Grupos'!$A:$A,'Base de Grupos'!$C:$C)</f>
        <v>PI</v>
      </c>
      <c r="N57" s="3">
        <v>1327</v>
      </c>
      <c r="O57" s="4" t="s">
        <v>227</v>
      </c>
      <c r="P57" s="5" t="s">
        <v>297</v>
      </c>
      <c r="Q57" s="56">
        <f t="shared" ref="Q57" si="56">SUM(Q58:Q74)</f>
        <v>0</v>
      </c>
      <c r="R57" s="56">
        <f t="shared" ref="R57" si="57">SUM(R58:R74)</f>
        <v>0</v>
      </c>
      <c r="S57" s="56">
        <f t="shared" ref="S57" si="58">SUM(S58:S74)</f>
        <v>0</v>
      </c>
      <c r="T57" s="56">
        <f t="shared" ref="T57" si="59">SUM(T58:T74)</f>
        <v>1000</v>
      </c>
      <c r="U57" s="56">
        <f t="shared" ref="U57" si="60">SUM(U58:U74)</f>
        <v>1000</v>
      </c>
      <c r="V57" s="56">
        <f t="shared" ref="V57" si="61">SUM(V58:V74)</f>
        <v>2000</v>
      </c>
      <c r="W57" s="56">
        <f t="shared" ref="W57" si="62">SUM(W58:W74)</f>
        <v>2000</v>
      </c>
      <c r="X57" s="56">
        <f t="shared" ref="X57" si="63">SUM(X58:X74)</f>
        <v>2200</v>
      </c>
      <c r="Y57" s="56">
        <f t="shared" ref="Y57" si="64">SUM(Y58:Y74)</f>
        <v>3300</v>
      </c>
      <c r="Z57" s="56">
        <f t="shared" ref="Z57" si="65">SUM(Z58:Z74)</f>
        <v>3300</v>
      </c>
      <c r="AA57" s="56">
        <f t="shared" ref="AA57" si="66">SUM(AA58:AA74)</f>
        <v>3300</v>
      </c>
      <c r="AB57" s="56">
        <f t="shared" ref="AB57" si="67">SUM(AB58:AB74)</f>
        <v>2200</v>
      </c>
      <c r="AC57" s="56">
        <f t="shared" ref="AC57" si="68">SUM(AC58:AC74)</f>
        <v>20300</v>
      </c>
      <c r="AD57" s="26">
        <f t="shared" ref="AD57" si="69">SUM(AD58:AD74)</f>
        <v>20300</v>
      </c>
      <c r="AE57" s="25">
        <f t="shared" ref="AE57:AI57" si="70">SUM(AE58:AE74)</f>
        <v>0</v>
      </c>
      <c r="AF57" s="11" t="str">
        <f>IFERROR((AC57-AE57)/AE57,"")</f>
        <v/>
      </c>
      <c r="AG57" s="24">
        <f t="shared" si="70"/>
        <v>0</v>
      </c>
      <c r="AH57" s="25">
        <f t="shared" si="70"/>
        <v>0</v>
      </c>
      <c r="AI57" s="24">
        <f t="shared" si="70"/>
        <v>0</v>
      </c>
      <c r="AJ57" s="11" t="str">
        <f t="shared" ref="AJ57:AJ120" si="71">IFERROR(AG57/AH57,"")</f>
        <v/>
      </c>
      <c r="AK57" s="9"/>
      <c r="AL57" s="13"/>
      <c r="AM57" s="9"/>
    </row>
    <row r="58" spans="1:39" x14ac:dyDescent="0.3">
      <c r="A58" s="2" t="str">
        <f t="shared" si="54"/>
        <v>NÃO</v>
      </c>
      <c r="B58" s="2" t="str">
        <f>_xlfn.XLOOKUP($N58,'Base de Grupos'!$A:$A,'Base de Grupos'!$D:$D)</f>
        <v>1000065763</v>
      </c>
      <c r="C58" s="5" t="str">
        <f>_xlfn.XLOOKUP($N58,'Base de Grupos'!$A:$A,'Base de Grupos'!$E:$E)</f>
        <v>CANAL VENDA INTERNA</v>
      </c>
      <c r="D58" s="5" t="str">
        <f>_xlfn.XLOOKUP($N58,'Base de Grupos'!$A:$A,'Base de Grupos'!$F:$F)</f>
        <v>1000065763</v>
      </c>
      <c r="E58" s="2" t="str">
        <f>_xlfn.XLOOKUP($N58,'Base de Grupos'!$A:$A,'Base de Grupos'!$G:$G)</f>
        <v>CANAL VENDA INTERNA</v>
      </c>
      <c r="F58" s="2" t="str">
        <f>_xlfn.XLOOKUP($N58,'Base de Grupos'!$A:$A,'Base de Grupos'!$H:$H)</f>
        <v>1000105900</v>
      </c>
      <c r="G58" s="5" t="str">
        <f>_xlfn.XLOOKUP($N58,'Base de Grupos'!$A:$A,'Base de Grupos'!$I:$I)</f>
        <v>REGIONAL VENDA DIRETA CO + NE + NO</v>
      </c>
      <c r="H58" s="5" t="str">
        <f>_xlfn.XLOOKUP($N58,'Base de Grupos'!$A:$A,'Base de Grupos'!$J:$J)</f>
        <v>1000105900</v>
      </c>
      <c r="I58" s="2" t="str">
        <f>_xlfn.XLOOKUP($N58,'Base de Grupos'!$A:$A,'Base de Grupos'!$K:$K)</f>
        <v>REGIONAL VENDA DIRETA CO + NE + NO</v>
      </c>
      <c r="J58" s="2" t="str">
        <f>_xlfn.XLOOKUP($N58,'Base de Grupos'!$A:$A,'Base de Grupos'!$L:$L)</f>
        <v>1000150135</v>
      </c>
      <c r="K58" s="5" t="str">
        <f>_xlfn.XLOOKUP($N58,'Base de Grupos'!$A:$A,'Base de Grupos'!$M:$M)</f>
        <v>HELDER DA SILVA BRUNKOW</v>
      </c>
      <c r="L58" s="5" t="str">
        <f t="shared" si="55"/>
        <v/>
      </c>
      <c r="M58" s="5" t="str">
        <f>_xlfn.XLOOKUP($N58,'Base de Grupos'!$A:$A,'Base de Grupos'!$C:$C)</f>
        <v>PI</v>
      </c>
      <c r="N58" s="3">
        <v>1327</v>
      </c>
      <c r="O58" s="4" t="s">
        <v>227</v>
      </c>
      <c r="P58" s="5" t="s">
        <v>81</v>
      </c>
      <c r="Q58" s="56">
        <v>0</v>
      </c>
      <c r="R58" s="56">
        <v>0</v>
      </c>
      <c r="S58" s="56">
        <v>0</v>
      </c>
      <c r="T58" s="56">
        <f>_xlfn.XLOOKUP($N58,'Calculo Leads'!$A$97:$A$134,'Calculo Leads'!G$97:G$134)*_xlfn.XLOOKUP($P58,'Base Grupo de Produtos'!$E$2:$E$18,'Base Grupo de Produtos'!$F$2:$F$18)</f>
        <v>50</v>
      </c>
      <c r="U58" s="56">
        <f>_xlfn.XLOOKUP($N58,'Calculo Leads'!$A$97:$A$134,'Calculo Leads'!H$97:H$134)*_xlfn.XLOOKUP($P58,'Base Grupo de Produtos'!$E$2:$E$18,'Base Grupo de Produtos'!$F$2:$F$18)</f>
        <v>50</v>
      </c>
      <c r="V58" s="56">
        <f>_xlfn.XLOOKUP($N58,'Calculo Leads'!$A$97:$A$134,'Calculo Leads'!I$97:I$134)*_xlfn.XLOOKUP($P58,'Base Grupo de Produtos'!$E$2:$E$18,'Base Grupo de Produtos'!$F$2:$F$18)</f>
        <v>100</v>
      </c>
      <c r="W58" s="56">
        <f>_xlfn.XLOOKUP($N58,'Calculo Leads'!$A$97:$A$134,'Calculo Leads'!J$97:J$134)*_xlfn.XLOOKUP($P58,'Base Grupo de Produtos'!$E$2:$E$18,'Base Grupo de Produtos'!$F$2:$F$18)</f>
        <v>100</v>
      </c>
      <c r="X58" s="56">
        <f>_xlfn.XLOOKUP($N58,'Calculo Leads'!$A$97:$A$134,'Calculo Leads'!K$97:K$134)*_xlfn.XLOOKUP($P58,'Base Grupo de Produtos'!$E$2:$E$18,'Base Grupo de Produtos'!$F$2:$F$18)</f>
        <v>110</v>
      </c>
      <c r="Y58" s="56">
        <f>_xlfn.XLOOKUP($N58,'Calculo Leads'!$A$97:$A$134,'Calculo Leads'!L$97:L$134)*_xlfn.XLOOKUP($P58,'Base Grupo de Produtos'!$E$2:$E$18,'Base Grupo de Produtos'!$F$2:$F$18)</f>
        <v>165</v>
      </c>
      <c r="Z58" s="56">
        <f>_xlfn.XLOOKUP($N58,'Calculo Leads'!$A$97:$A$134,'Calculo Leads'!M$97:M$134)*_xlfn.XLOOKUP($P58,'Base Grupo de Produtos'!$E$2:$E$18,'Base Grupo de Produtos'!$F$2:$F$18)</f>
        <v>165</v>
      </c>
      <c r="AA58" s="56">
        <f>_xlfn.XLOOKUP($N58,'Calculo Leads'!$A$97:$A$134,'Calculo Leads'!N$97:N$134)*_xlfn.XLOOKUP($P58,'Base Grupo de Produtos'!$E$2:$E$18,'Base Grupo de Produtos'!$F$2:$F$18)</f>
        <v>165</v>
      </c>
      <c r="AB58" s="56">
        <f>_xlfn.XLOOKUP($N58,'Calculo Leads'!$A$97:$A$134,'Calculo Leads'!O$97:O$134)*_xlfn.XLOOKUP($P58,'Base Grupo de Produtos'!$E$2:$E$18,'Base Grupo de Produtos'!$F$2:$F$18)</f>
        <v>110</v>
      </c>
      <c r="AC58" s="61">
        <f t="shared" si="13"/>
        <v>1015</v>
      </c>
      <c r="AD58" s="27">
        <f t="shared" ref="AD58:AD74" si="72">IF(AC58=0,0,AC58-AG58)</f>
        <v>1015</v>
      </c>
      <c r="AE58" s="25">
        <f>IFERROR(_xlfn.XLOOKUP(N58&amp;P58,'Historico Vendas'!G:G,'Historico Vendas'!E:E),0)</f>
        <v>0</v>
      </c>
      <c r="AF58" s="29" t="str">
        <f t="shared" si="53"/>
        <v/>
      </c>
      <c r="AG58" s="24">
        <f>IFERROR(_xlfn.XLOOKUP(N58&amp;P58,'Historico Vendas'!G:G,'Historico Vendas'!F:F),0)</f>
        <v>0</v>
      </c>
      <c r="AH58" s="25">
        <f t="shared" ref="AH58:AH74" si="73">SUM(Q58:S58)</f>
        <v>0</v>
      </c>
      <c r="AI58" s="24">
        <f t="shared" ref="AI58:AI74" si="74">AH58-AG58</f>
        <v>0</v>
      </c>
      <c r="AJ58" s="11" t="str">
        <f t="shared" si="71"/>
        <v/>
      </c>
      <c r="AK58" s="9" t="s">
        <v>102</v>
      </c>
      <c r="AL58" s="13">
        <f>IFERROR(INDEX('Balizador da Meta'!$D$3:$F$23,MATCH(Faturamento!$P58,'Balizador da Meta'!$C$3:$C$23,0),MATCH(Faturamento!AK58,'Balizador da Meta'!$D$2:$F$2,0)),"")</f>
        <v>0.2</v>
      </c>
      <c r="AM58" s="9"/>
    </row>
    <row r="59" spans="1:39" x14ac:dyDescent="0.3">
      <c r="A59" s="2" t="str">
        <f t="shared" si="54"/>
        <v>NÃO</v>
      </c>
      <c r="B59" s="2" t="str">
        <f>_xlfn.XLOOKUP($N59,'Base de Grupos'!$A:$A,'Base de Grupos'!$D:$D)</f>
        <v>1000065763</v>
      </c>
      <c r="C59" s="5" t="str">
        <f>_xlfn.XLOOKUP($N59,'Base de Grupos'!$A:$A,'Base de Grupos'!$E:$E)</f>
        <v>CANAL VENDA INTERNA</v>
      </c>
      <c r="D59" s="5" t="str">
        <f>_xlfn.XLOOKUP($N59,'Base de Grupos'!$A:$A,'Base de Grupos'!$F:$F)</f>
        <v>1000065763</v>
      </c>
      <c r="E59" s="2" t="str">
        <f>_xlfn.XLOOKUP($N59,'Base de Grupos'!$A:$A,'Base de Grupos'!$G:$G)</f>
        <v>CANAL VENDA INTERNA</v>
      </c>
      <c r="F59" s="2" t="str">
        <f>_xlfn.XLOOKUP($N59,'Base de Grupos'!$A:$A,'Base de Grupos'!$H:$H)</f>
        <v>1000105900</v>
      </c>
      <c r="G59" s="5" t="str">
        <f>_xlfn.XLOOKUP($N59,'Base de Grupos'!$A:$A,'Base de Grupos'!$I:$I)</f>
        <v>REGIONAL VENDA DIRETA CO + NE + NO</v>
      </c>
      <c r="H59" s="5" t="str">
        <f>_xlfn.XLOOKUP($N59,'Base de Grupos'!$A:$A,'Base de Grupos'!$J:$J)</f>
        <v>1000105900</v>
      </c>
      <c r="I59" s="2" t="str">
        <f>_xlfn.XLOOKUP($N59,'Base de Grupos'!$A:$A,'Base de Grupos'!$K:$K)</f>
        <v>REGIONAL VENDA DIRETA CO + NE + NO</v>
      </c>
      <c r="J59" s="2" t="str">
        <f>_xlfn.XLOOKUP($N59,'Base de Grupos'!$A:$A,'Base de Grupos'!$L:$L)</f>
        <v>1000150135</v>
      </c>
      <c r="K59" s="5" t="str">
        <f>_xlfn.XLOOKUP($N59,'Base de Grupos'!$A:$A,'Base de Grupos'!$M:$M)</f>
        <v>HELDER DA SILVA BRUNKOW</v>
      </c>
      <c r="L59" s="5" t="str">
        <f t="shared" si="55"/>
        <v/>
      </c>
      <c r="M59" s="5" t="str">
        <f>_xlfn.XLOOKUP($N59,'Base de Grupos'!$A:$A,'Base de Grupos'!$C:$C)</f>
        <v>PI</v>
      </c>
      <c r="N59" s="3">
        <v>1327</v>
      </c>
      <c r="O59" s="4" t="s">
        <v>227</v>
      </c>
      <c r="P59" s="5" t="s">
        <v>82</v>
      </c>
      <c r="Q59" s="56">
        <v>0</v>
      </c>
      <c r="R59" s="56">
        <v>0</v>
      </c>
      <c r="S59" s="56">
        <v>0</v>
      </c>
      <c r="T59" s="56">
        <f>_xlfn.XLOOKUP($N59,'Calculo Leads'!$A$97:$A$134,'Calculo Leads'!G$97:G$134)*_xlfn.XLOOKUP($P59,'Base Grupo de Produtos'!$E$2:$E$18,'Base Grupo de Produtos'!$F$2:$F$18)</f>
        <v>50</v>
      </c>
      <c r="U59" s="56">
        <f>_xlfn.XLOOKUP($N59,'Calculo Leads'!$A$97:$A$134,'Calculo Leads'!H$97:H$134)*_xlfn.XLOOKUP($P59,'Base Grupo de Produtos'!$E$2:$E$18,'Base Grupo de Produtos'!$F$2:$F$18)</f>
        <v>50</v>
      </c>
      <c r="V59" s="56">
        <f>_xlfn.XLOOKUP($N59,'Calculo Leads'!$A$97:$A$134,'Calculo Leads'!I$97:I$134)*_xlfn.XLOOKUP($P59,'Base Grupo de Produtos'!$E$2:$E$18,'Base Grupo de Produtos'!$F$2:$F$18)</f>
        <v>100</v>
      </c>
      <c r="W59" s="56">
        <f>_xlfn.XLOOKUP($N59,'Calculo Leads'!$A$97:$A$134,'Calculo Leads'!J$97:J$134)*_xlfn.XLOOKUP($P59,'Base Grupo de Produtos'!$E$2:$E$18,'Base Grupo de Produtos'!$F$2:$F$18)</f>
        <v>100</v>
      </c>
      <c r="X59" s="56">
        <f>_xlfn.XLOOKUP($N59,'Calculo Leads'!$A$97:$A$134,'Calculo Leads'!K$97:K$134)*_xlfn.XLOOKUP($P59,'Base Grupo de Produtos'!$E$2:$E$18,'Base Grupo de Produtos'!$F$2:$F$18)</f>
        <v>110</v>
      </c>
      <c r="Y59" s="56">
        <f>_xlfn.XLOOKUP($N59,'Calculo Leads'!$A$97:$A$134,'Calculo Leads'!L$97:L$134)*_xlfn.XLOOKUP($P59,'Base Grupo de Produtos'!$E$2:$E$18,'Base Grupo de Produtos'!$F$2:$F$18)</f>
        <v>165</v>
      </c>
      <c r="Z59" s="56">
        <f>_xlfn.XLOOKUP($N59,'Calculo Leads'!$A$97:$A$134,'Calculo Leads'!M$97:M$134)*_xlfn.XLOOKUP($P59,'Base Grupo de Produtos'!$E$2:$E$18,'Base Grupo de Produtos'!$F$2:$F$18)</f>
        <v>165</v>
      </c>
      <c r="AA59" s="56">
        <f>_xlfn.XLOOKUP($N59,'Calculo Leads'!$A$97:$A$134,'Calculo Leads'!N$97:N$134)*_xlfn.XLOOKUP($P59,'Base Grupo de Produtos'!$E$2:$E$18,'Base Grupo de Produtos'!$F$2:$F$18)</f>
        <v>165</v>
      </c>
      <c r="AB59" s="56">
        <f>_xlfn.XLOOKUP($N59,'Calculo Leads'!$A$97:$A$134,'Calculo Leads'!O$97:O$134)*_xlfn.XLOOKUP($P59,'Base Grupo de Produtos'!$E$2:$E$18,'Base Grupo de Produtos'!$F$2:$F$18)</f>
        <v>110</v>
      </c>
      <c r="AC59" s="61">
        <f t="shared" si="13"/>
        <v>1015</v>
      </c>
      <c r="AD59" s="27">
        <f t="shared" si="72"/>
        <v>1015</v>
      </c>
      <c r="AE59" s="25">
        <f>IFERROR(_xlfn.XLOOKUP(N59&amp;P59,'Historico Vendas'!G:G,'Historico Vendas'!E:E),0)</f>
        <v>0</v>
      </c>
      <c r="AF59" s="29" t="str">
        <f t="shared" si="53"/>
        <v/>
      </c>
      <c r="AG59" s="24">
        <f>IFERROR(_xlfn.XLOOKUP(N59&amp;P59,'Historico Vendas'!G:G,'Historico Vendas'!F:F),0)</f>
        <v>0</v>
      </c>
      <c r="AH59" s="25">
        <f t="shared" si="73"/>
        <v>0</v>
      </c>
      <c r="AI59" s="24">
        <f t="shared" si="74"/>
        <v>0</v>
      </c>
      <c r="AJ59" s="11" t="str">
        <f t="shared" si="71"/>
        <v/>
      </c>
      <c r="AK59" s="9" t="s">
        <v>102</v>
      </c>
      <c r="AL59" s="13">
        <f>IFERROR(INDEX('Balizador da Meta'!$D$3:$F$23,MATCH(Faturamento!$P59,'Balizador da Meta'!$C$3:$C$23,0),MATCH(Faturamento!AK59,'Balizador da Meta'!$D$2:$F$2,0)),"")</f>
        <v>0.2</v>
      </c>
      <c r="AM59" s="9"/>
    </row>
    <row r="60" spans="1:39" x14ac:dyDescent="0.3">
      <c r="A60" s="2" t="str">
        <f t="shared" si="54"/>
        <v>NÃO</v>
      </c>
      <c r="B60" s="2" t="str">
        <f>_xlfn.XLOOKUP($N60,'Base de Grupos'!$A:$A,'Base de Grupos'!$D:$D)</f>
        <v>1000065763</v>
      </c>
      <c r="C60" s="5" t="str">
        <f>_xlfn.XLOOKUP($N60,'Base de Grupos'!$A:$A,'Base de Grupos'!$E:$E)</f>
        <v>CANAL VENDA INTERNA</v>
      </c>
      <c r="D60" s="5" t="str">
        <f>_xlfn.XLOOKUP($N60,'Base de Grupos'!$A:$A,'Base de Grupos'!$F:$F)</f>
        <v>1000065763</v>
      </c>
      <c r="E60" s="2" t="str">
        <f>_xlfn.XLOOKUP($N60,'Base de Grupos'!$A:$A,'Base de Grupos'!$G:$G)</f>
        <v>CANAL VENDA INTERNA</v>
      </c>
      <c r="F60" s="2" t="str">
        <f>_xlfn.XLOOKUP($N60,'Base de Grupos'!$A:$A,'Base de Grupos'!$H:$H)</f>
        <v>1000105900</v>
      </c>
      <c r="G60" s="5" t="str">
        <f>_xlfn.XLOOKUP($N60,'Base de Grupos'!$A:$A,'Base de Grupos'!$I:$I)</f>
        <v>REGIONAL VENDA DIRETA CO + NE + NO</v>
      </c>
      <c r="H60" s="5" t="str">
        <f>_xlfn.XLOOKUP($N60,'Base de Grupos'!$A:$A,'Base de Grupos'!$J:$J)</f>
        <v>1000105900</v>
      </c>
      <c r="I60" s="2" t="str">
        <f>_xlfn.XLOOKUP($N60,'Base de Grupos'!$A:$A,'Base de Grupos'!$K:$K)</f>
        <v>REGIONAL VENDA DIRETA CO + NE + NO</v>
      </c>
      <c r="J60" s="2" t="str">
        <f>_xlfn.XLOOKUP($N60,'Base de Grupos'!$A:$A,'Base de Grupos'!$L:$L)</f>
        <v>1000150135</v>
      </c>
      <c r="K60" s="5" t="str">
        <f>_xlfn.XLOOKUP($N60,'Base de Grupos'!$A:$A,'Base de Grupos'!$M:$M)</f>
        <v>HELDER DA SILVA BRUNKOW</v>
      </c>
      <c r="L60" s="5" t="str">
        <f t="shared" si="55"/>
        <v/>
      </c>
      <c r="M60" s="5" t="str">
        <f>_xlfn.XLOOKUP($N60,'Base de Grupos'!$A:$A,'Base de Grupos'!$C:$C)</f>
        <v>PI</v>
      </c>
      <c r="N60" s="3">
        <v>1327</v>
      </c>
      <c r="O60" s="4" t="s">
        <v>227</v>
      </c>
      <c r="P60" s="5" t="s">
        <v>84</v>
      </c>
      <c r="Q60" s="56">
        <v>0</v>
      </c>
      <c r="R60" s="56">
        <v>0</v>
      </c>
      <c r="S60" s="56">
        <v>0</v>
      </c>
      <c r="T60" s="56">
        <f>_xlfn.XLOOKUP($N60,'Calculo Leads'!$A$97:$A$134,'Calculo Leads'!G$97:G$134)*_xlfn.XLOOKUP($P60,'Base Grupo de Produtos'!$E$2:$E$18,'Base Grupo de Produtos'!$F$2:$F$18)</f>
        <v>80</v>
      </c>
      <c r="U60" s="56">
        <f>_xlfn.XLOOKUP($N60,'Calculo Leads'!$A$97:$A$134,'Calculo Leads'!H$97:H$134)*_xlfn.XLOOKUP($P60,'Base Grupo de Produtos'!$E$2:$E$18,'Base Grupo de Produtos'!$F$2:$F$18)</f>
        <v>80</v>
      </c>
      <c r="V60" s="56">
        <f>_xlfn.XLOOKUP($N60,'Calculo Leads'!$A$97:$A$134,'Calculo Leads'!I$97:I$134)*_xlfn.XLOOKUP($P60,'Base Grupo de Produtos'!$E$2:$E$18,'Base Grupo de Produtos'!$F$2:$F$18)</f>
        <v>160</v>
      </c>
      <c r="W60" s="56">
        <f>_xlfn.XLOOKUP($N60,'Calculo Leads'!$A$97:$A$134,'Calculo Leads'!J$97:J$134)*_xlfn.XLOOKUP($P60,'Base Grupo de Produtos'!$E$2:$E$18,'Base Grupo de Produtos'!$F$2:$F$18)</f>
        <v>160</v>
      </c>
      <c r="X60" s="56">
        <f>_xlfn.XLOOKUP($N60,'Calculo Leads'!$A$97:$A$134,'Calculo Leads'!K$97:K$134)*_xlfn.XLOOKUP($P60,'Base Grupo de Produtos'!$E$2:$E$18,'Base Grupo de Produtos'!$F$2:$F$18)</f>
        <v>176</v>
      </c>
      <c r="Y60" s="56">
        <f>_xlfn.XLOOKUP($N60,'Calculo Leads'!$A$97:$A$134,'Calculo Leads'!L$97:L$134)*_xlfn.XLOOKUP($P60,'Base Grupo de Produtos'!$E$2:$E$18,'Base Grupo de Produtos'!$F$2:$F$18)</f>
        <v>264</v>
      </c>
      <c r="Z60" s="56">
        <f>_xlfn.XLOOKUP($N60,'Calculo Leads'!$A$97:$A$134,'Calculo Leads'!M$97:M$134)*_xlfn.XLOOKUP($P60,'Base Grupo de Produtos'!$E$2:$E$18,'Base Grupo de Produtos'!$F$2:$F$18)</f>
        <v>264</v>
      </c>
      <c r="AA60" s="56">
        <f>_xlfn.XLOOKUP($N60,'Calculo Leads'!$A$97:$A$134,'Calculo Leads'!N$97:N$134)*_xlfn.XLOOKUP($P60,'Base Grupo de Produtos'!$E$2:$E$18,'Base Grupo de Produtos'!$F$2:$F$18)</f>
        <v>264</v>
      </c>
      <c r="AB60" s="56">
        <f>_xlfn.XLOOKUP($N60,'Calculo Leads'!$A$97:$A$134,'Calculo Leads'!O$97:O$134)*_xlfn.XLOOKUP($P60,'Base Grupo de Produtos'!$E$2:$E$18,'Base Grupo de Produtos'!$F$2:$F$18)</f>
        <v>176</v>
      </c>
      <c r="AC60" s="61">
        <f t="shared" si="13"/>
        <v>1624</v>
      </c>
      <c r="AD60" s="27">
        <f t="shared" si="72"/>
        <v>1624</v>
      </c>
      <c r="AE60" s="25">
        <f>IFERROR(_xlfn.XLOOKUP(N60&amp;P60,'Historico Vendas'!G:G,'Historico Vendas'!E:E),0)</f>
        <v>0</v>
      </c>
      <c r="AF60" s="29" t="str">
        <f t="shared" si="53"/>
        <v/>
      </c>
      <c r="AG60" s="24">
        <f>IFERROR(_xlfn.XLOOKUP(N60&amp;P60,'Historico Vendas'!G:G,'Historico Vendas'!F:F),0)</f>
        <v>0</v>
      </c>
      <c r="AH60" s="25">
        <f t="shared" si="73"/>
        <v>0</v>
      </c>
      <c r="AI60" s="24">
        <f t="shared" si="74"/>
        <v>0</v>
      </c>
      <c r="AJ60" s="11" t="str">
        <f t="shared" si="71"/>
        <v/>
      </c>
      <c r="AK60" s="9" t="s">
        <v>102</v>
      </c>
      <c r="AL60" s="13">
        <f>IFERROR(INDEX('Balizador da Meta'!$D$3:$F$23,MATCH(Faturamento!$P60,'Balizador da Meta'!$C$3:$C$23,0),MATCH(Faturamento!AK60,'Balizador da Meta'!$D$2:$F$2,0)),"")</f>
        <v>0.15</v>
      </c>
      <c r="AM60" s="9"/>
    </row>
    <row r="61" spans="1:39" x14ac:dyDescent="0.3">
      <c r="A61" s="2" t="str">
        <f t="shared" si="54"/>
        <v>NÃO</v>
      </c>
      <c r="B61" s="2" t="str">
        <f>_xlfn.XLOOKUP($N61,'Base de Grupos'!$A:$A,'Base de Grupos'!$D:$D)</f>
        <v>1000065763</v>
      </c>
      <c r="C61" s="5" t="str">
        <f>_xlfn.XLOOKUP($N61,'Base de Grupos'!$A:$A,'Base de Grupos'!$E:$E)</f>
        <v>CANAL VENDA INTERNA</v>
      </c>
      <c r="D61" s="5" t="str">
        <f>_xlfn.XLOOKUP($N61,'Base de Grupos'!$A:$A,'Base de Grupos'!$F:$F)</f>
        <v>1000065763</v>
      </c>
      <c r="E61" s="2" t="str">
        <f>_xlfn.XLOOKUP($N61,'Base de Grupos'!$A:$A,'Base de Grupos'!$G:$G)</f>
        <v>CANAL VENDA INTERNA</v>
      </c>
      <c r="F61" s="2" t="str">
        <f>_xlfn.XLOOKUP($N61,'Base de Grupos'!$A:$A,'Base de Grupos'!$H:$H)</f>
        <v>1000105900</v>
      </c>
      <c r="G61" s="5" t="str">
        <f>_xlfn.XLOOKUP($N61,'Base de Grupos'!$A:$A,'Base de Grupos'!$I:$I)</f>
        <v>REGIONAL VENDA DIRETA CO + NE + NO</v>
      </c>
      <c r="H61" s="5" t="str">
        <f>_xlfn.XLOOKUP($N61,'Base de Grupos'!$A:$A,'Base de Grupos'!$J:$J)</f>
        <v>1000105900</v>
      </c>
      <c r="I61" s="2" t="str">
        <f>_xlfn.XLOOKUP($N61,'Base de Grupos'!$A:$A,'Base de Grupos'!$K:$K)</f>
        <v>REGIONAL VENDA DIRETA CO + NE + NO</v>
      </c>
      <c r="J61" s="2" t="str">
        <f>_xlfn.XLOOKUP($N61,'Base de Grupos'!$A:$A,'Base de Grupos'!$L:$L)</f>
        <v>1000150135</v>
      </c>
      <c r="K61" s="5" t="str">
        <f>_xlfn.XLOOKUP($N61,'Base de Grupos'!$A:$A,'Base de Grupos'!$M:$M)</f>
        <v>HELDER DA SILVA BRUNKOW</v>
      </c>
      <c r="L61" s="5" t="str">
        <f t="shared" si="55"/>
        <v/>
      </c>
      <c r="M61" s="5" t="str">
        <f>_xlfn.XLOOKUP($N61,'Base de Grupos'!$A:$A,'Base de Grupos'!$C:$C)</f>
        <v>PI</v>
      </c>
      <c r="N61" s="3">
        <v>1327</v>
      </c>
      <c r="O61" s="4" t="s">
        <v>227</v>
      </c>
      <c r="P61" s="5" t="s">
        <v>83</v>
      </c>
      <c r="Q61" s="56">
        <v>0</v>
      </c>
      <c r="R61" s="56">
        <v>0</v>
      </c>
      <c r="S61" s="56">
        <v>0</v>
      </c>
      <c r="T61" s="56">
        <f>_xlfn.XLOOKUP($N61,'Calculo Leads'!$A$97:$A$134,'Calculo Leads'!G$97:G$134)*_xlfn.XLOOKUP($P61,'Base Grupo de Produtos'!$E$2:$E$18,'Base Grupo de Produtos'!$F$2:$F$18)</f>
        <v>100</v>
      </c>
      <c r="U61" s="56">
        <f>_xlfn.XLOOKUP($N61,'Calculo Leads'!$A$97:$A$134,'Calculo Leads'!H$97:H$134)*_xlfn.XLOOKUP($P61,'Base Grupo de Produtos'!$E$2:$E$18,'Base Grupo de Produtos'!$F$2:$F$18)</f>
        <v>100</v>
      </c>
      <c r="V61" s="56">
        <f>_xlfn.XLOOKUP($N61,'Calculo Leads'!$A$97:$A$134,'Calculo Leads'!I$97:I$134)*_xlfn.XLOOKUP($P61,'Base Grupo de Produtos'!$E$2:$E$18,'Base Grupo de Produtos'!$F$2:$F$18)</f>
        <v>200</v>
      </c>
      <c r="W61" s="56">
        <f>_xlfn.XLOOKUP($N61,'Calculo Leads'!$A$97:$A$134,'Calculo Leads'!J$97:J$134)*_xlfn.XLOOKUP($P61,'Base Grupo de Produtos'!$E$2:$E$18,'Base Grupo de Produtos'!$F$2:$F$18)</f>
        <v>200</v>
      </c>
      <c r="X61" s="56">
        <f>_xlfn.XLOOKUP($N61,'Calculo Leads'!$A$97:$A$134,'Calculo Leads'!K$97:K$134)*_xlfn.XLOOKUP($P61,'Base Grupo de Produtos'!$E$2:$E$18,'Base Grupo de Produtos'!$F$2:$F$18)</f>
        <v>220</v>
      </c>
      <c r="Y61" s="56">
        <f>_xlfn.XLOOKUP($N61,'Calculo Leads'!$A$97:$A$134,'Calculo Leads'!L$97:L$134)*_xlfn.XLOOKUP($P61,'Base Grupo de Produtos'!$E$2:$E$18,'Base Grupo de Produtos'!$F$2:$F$18)</f>
        <v>330</v>
      </c>
      <c r="Z61" s="56">
        <f>_xlfn.XLOOKUP($N61,'Calculo Leads'!$A$97:$A$134,'Calculo Leads'!M$97:M$134)*_xlfn.XLOOKUP($P61,'Base Grupo de Produtos'!$E$2:$E$18,'Base Grupo de Produtos'!$F$2:$F$18)</f>
        <v>330</v>
      </c>
      <c r="AA61" s="56">
        <f>_xlfn.XLOOKUP($N61,'Calculo Leads'!$A$97:$A$134,'Calculo Leads'!N$97:N$134)*_xlfn.XLOOKUP($P61,'Base Grupo de Produtos'!$E$2:$E$18,'Base Grupo de Produtos'!$F$2:$F$18)</f>
        <v>330</v>
      </c>
      <c r="AB61" s="56">
        <f>_xlfn.XLOOKUP($N61,'Calculo Leads'!$A$97:$A$134,'Calculo Leads'!O$97:O$134)*_xlfn.XLOOKUP($P61,'Base Grupo de Produtos'!$E$2:$E$18,'Base Grupo de Produtos'!$F$2:$F$18)</f>
        <v>220</v>
      </c>
      <c r="AC61" s="61">
        <f t="shared" si="13"/>
        <v>2030</v>
      </c>
      <c r="AD61" s="27">
        <f t="shared" si="72"/>
        <v>2030</v>
      </c>
      <c r="AE61" s="25">
        <f>IFERROR(_xlfn.XLOOKUP(N61&amp;P61,'Historico Vendas'!G:G,'Historico Vendas'!E:E),0)</f>
        <v>0</v>
      </c>
      <c r="AF61" s="29" t="str">
        <f t="shared" si="53"/>
        <v/>
      </c>
      <c r="AG61" s="24">
        <f>IFERROR(_xlfn.XLOOKUP(N61&amp;P61,'Historico Vendas'!G:G,'Historico Vendas'!F:F),0)</f>
        <v>0</v>
      </c>
      <c r="AH61" s="25">
        <f t="shared" si="73"/>
        <v>0</v>
      </c>
      <c r="AI61" s="24">
        <f t="shared" si="74"/>
        <v>0</v>
      </c>
      <c r="AJ61" s="11" t="str">
        <f t="shared" si="71"/>
        <v/>
      </c>
      <c r="AK61" s="9" t="s">
        <v>102</v>
      </c>
      <c r="AL61" s="13">
        <f>IFERROR(INDEX('Balizador da Meta'!$D$3:$F$23,MATCH(Faturamento!$P61,'Balizador da Meta'!$C$3:$C$23,0),MATCH(Faturamento!AK61,'Balizador da Meta'!$D$2:$F$2,0)),"")</f>
        <v>0</v>
      </c>
      <c r="AM61" s="9"/>
    </row>
    <row r="62" spans="1:39" x14ac:dyDescent="0.3">
      <c r="A62" s="2" t="str">
        <f t="shared" si="54"/>
        <v>NÃO</v>
      </c>
      <c r="B62" s="2" t="str">
        <f>_xlfn.XLOOKUP($N62,'Base de Grupos'!$A:$A,'Base de Grupos'!$D:$D)</f>
        <v>1000065763</v>
      </c>
      <c r="C62" s="5" t="str">
        <f>_xlfn.XLOOKUP($N62,'Base de Grupos'!$A:$A,'Base de Grupos'!$E:$E)</f>
        <v>CANAL VENDA INTERNA</v>
      </c>
      <c r="D62" s="5" t="str">
        <f>_xlfn.XLOOKUP($N62,'Base de Grupos'!$A:$A,'Base de Grupos'!$F:$F)</f>
        <v>1000065763</v>
      </c>
      <c r="E62" s="2" t="str">
        <f>_xlfn.XLOOKUP($N62,'Base de Grupos'!$A:$A,'Base de Grupos'!$G:$G)</f>
        <v>CANAL VENDA INTERNA</v>
      </c>
      <c r="F62" s="2" t="str">
        <f>_xlfn.XLOOKUP($N62,'Base de Grupos'!$A:$A,'Base de Grupos'!$H:$H)</f>
        <v>1000105900</v>
      </c>
      <c r="G62" s="5" t="str">
        <f>_xlfn.XLOOKUP($N62,'Base de Grupos'!$A:$A,'Base de Grupos'!$I:$I)</f>
        <v>REGIONAL VENDA DIRETA CO + NE + NO</v>
      </c>
      <c r="H62" s="5" t="str">
        <f>_xlfn.XLOOKUP($N62,'Base de Grupos'!$A:$A,'Base de Grupos'!$J:$J)</f>
        <v>1000105900</v>
      </c>
      <c r="I62" s="2" t="str">
        <f>_xlfn.XLOOKUP($N62,'Base de Grupos'!$A:$A,'Base de Grupos'!$K:$K)</f>
        <v>REGIONAL VENDA DIRETA CO + NE + NO</v>
      </c>
      <c r="J62" s="2" t="str">
        <f>_xlfn.XLOOKUP($N62,'Base de Grupos'!$A:$A,'Base de Grupos'!$L:$L)</f>
        <v>1000150135</v>
      </c>
      <c r="K62" s="5" t="str">
        <f>_xlfn.XLOOKUP($N62,'Base de Grupos'!$A:$A,'Base de Grupos'!$M:$M)</f>
        <v>HELDER DA SILVA BRUNKOW</v>
      </c>
      <c r="L62" s="5" t="str">
        <f t="shared" si="55"/>
        <v/>
      </c>
      <c r="M62" s="5" t="str">
        <f>_xlfn.XLOOKUP($N62,'Base de Grupos'!$A:$A,'Base de Grupos'!$C:$C)</f>
        <v>PI</v>
      </c>
      <c r="N62" s="3">
        <v>1327</v>
      </c>
      <c r="O62" s="4" t="s">
        <v>227</v>
      </c>
      <c r="P62" s="5" t="s">
        <v>87</v>
      </c>
      <c r="Q62" s="56">
        <v>0</v>
      </c>
      <c r="R62" s="56">
        <v>0</v>
      </c>
      <c r="S62" s="56">
        <v>0</v>
      </c>
      <c r="T62" s="56">
        <f>_xlfn.XLOOKUP($N62,'Calculo Leads'!$A$97:$A$134,'Calculo Leads'!G$97:G$134)*_xlfn.XLOOKUP($P62,'Base Grupo de Produtos'!$E$2:$E$18,'Base Grupo de Produtos'!$F$2:$F$18)</f>
        <v>19.999999999999996</v>
      </c>
      <c r="U62" s="56">
        <f>_xlfn.XLOOKUP($N62,'Calculo Leads'!$A$97:$A$134,'Calculo Leads'!H$97:H$134)*_xlfn.XLOOKUP($P62,'Base Grupo de Produtos'!$E$2:$E$18,'Base Grupo de Produtos'!$F$2:$F$18)</f>
        <v>19.999999999999996</v>
      </c>
      <c r="V62" s="56">
        <f>_xlfn.XLOOKUP($N62,'Calculo Leads'!$A$97:$A$134,'Calculo Leads'!I$97:I$134)*_xlfn.XLOOKUP($P62,'Base Grupo de Produtos'!$E$2:$E$18,'Base Grupo de Produtos'!$F$2:$F$18)</f>
        <v>39.999999999999993</v>
      </c>
      <c r="W62" s="56">
        <f>_xlfn.XLOOKUP($N62,'Calculo Leads'!$A$97:$A$134,'Calculo Leads'!J$97:J$134)*_xlfn.XLOOKUP($P62,'Base Grupo de Produtos'!$E$2:$E$18,'Base Grupo de Produtos'!$F$2:$F$18)</f>
        <v>39.999999999999993</v>
      </c>
      <c r="X62" s="56">
        <f>_xlfn.XLOOKUP($N62,'Calculo Leads'!$A$97:$A$134,'Calculo Leads'!K$97:K$134)*_xlfn.XLOOKUP($P62,'Base Grupo de Produtos'!$E$2:$E$18,'Base Grupo de Produtos'!$F$2:$F$18)</f>
        <v>43.999999999999993</v>
      </c>
      <c r="Y62" s="56">
        <f>_xlfn.XLOOKUP($N62,'Calculo Leads'!$A$97:$A$134,'Calculo Leads'!L$97:L$134)*_xlfn.XLOOKUP($P62,'Base Grupo de Produtos'!$E$2:$E$18,'Base Grupo de Produtos'!$F$2:$F$18)</f>
        <v>65.999999999999986</v>
      </c>
      <c r="Z62" s="56">
        <f>_xlfn.XLOOKUP($N62,'Calculo Leads'!$A$97:$A$134,'Calculo Leads'!M$97:M$134)*_xlfn.XLOOKUP($P62,'Base Grupo de Produtos'!$E$2:$E$18,'Base Grupo de Produtos'!$F$2:$F$18)</f>
        <v>65.999999999999986</v>
      </c>
      <c r="AA62" s="56">
        <f>_xlfn.XLOOKUP($N62,'Calculo Leads'!$A$97:$A$134,'Calculo Leads'!N$97:N$134)*_xlfn.XLOOKUP($P62,'Base Grupo de Produtos'!$E$2:$E$18,'Base Grupo de Produtos'!$F$2:$F$18)</f>
        <v>65.999999999999986</v>
      </c>
      <c r="AB62" s="56">
        <f>_xlfn.XLOOKUP($N62,'Calculo Leads'!$A$97:$A$134,'Calculo Leads'!O$97:O$134)*_xlfn.XLOOKUP($P62,'Base Grupo de Produtos'!$E$2:$E$18,'Base Grupo de Produtos'!$F$2:$F$18)</f>
        <v>43.999999999999993</v>
      </c>
      <c r="AC62" s="61">
        <f t="shared" si="13"/>
        <v>405.99999999999994</v>
      </c>
      <c r="AD62" s="27">
        <f t="shared" si="72"/>
        <v>405.99999999999994</v>
      </c>
      <c r="AE62" s="25">
        <f>IFERROR(_xlfn.XLOOKUP(N62&amp;P62,'Historico Vendas'!G:G,'Historico Vendas'!E:E),0)</f>
        <v>0</v>
      </c>
      <c r="AF62" s="29" t="str">
        <f t="shared" si="53"/>
        <v/>
      </c>
      <c r="AG62" s="24">
        <f>IFERROR(_xlfn.XLOOKUP(N62&amp;P62,'Historico Vendas'!G:G,'Historico Vendas'!F:F),0)</f>
        <v>0</v>
      </c>
      <c r="AH62" s="25">
        <f t="shared" si="73"/>
        <v>0</v>
      </c>
      <c r="AI62" s="24">
        <f t="shared" si="74"/>
        <v>0</v>
      </c>
      <c r="AJ62" s="11" t="str">
        <f t="shared" si="71"/>
        <v/>
      </c>
      <c r="AK62" s="9" t="s">
        <v>102</v>
      </c>
      <c r="AL62" s="13">
        <f>IFERROR(INDEX('Balizador da Meta'!$D$3:$F$23,MATCH(Faturamento!$P62,'Balizador da Meta'!$C$3:$C$23,0),MATCH(Faturamento!AK62,'Balizador da Meta'!$D$2:$F$2,0)),"")</f>
        <v>0</v>
      </c>
      <c r="AM62" s="9"/>
    </row>
    <row r="63" spans="1:39" x14ac:dyDescent="0.3">
      <c r="A63" s="2" t="str">
        <f t="shared" si="54"/>
        <v>NÃO</v>
      </c>
      <c r="B63" s="2" t="str">
        <f>_xlfn.XLOOKUP($N63,'Base de Grupos'!$A:$A,'Base de Grupos'!$D:$D)</f>
        <v>1000065763</v>
      </c>
      <c r="C63" s="5" t="str">
        <f>_xlfn.XLOOKUP($N63,'Base de Grupos'!$A:$A,'Base de Grupos'!$E:$E)</f>
        <v>CANAL VENDA INTERNA</v>
      </c>
      <c r="D63" s="5" t="str">
        <f>_xlfn.XLOOKUP($N63,'Base de Grupos'!$A:$A,'Base de Grupos'!$F:$F)</f>
        <v>1000065763</v>
      </c>
      <c r="E63" s="2" t="str">
        <f>_xlfn.XLOOKUP($N63,'Base de Grupos'!$A:$A,'Base de Grupos'!$G:$G)</f>
        <v>CANAL VENDA INTERNA</v>
      </c>
      <c r="F63" s="2" t="str">
        <f>_xlfn.XLOOKUP($N63,'Base de Grupos'!$A:$A,'Base de Grupos'!$H:$H)</f>
        <v>1000105900</v>
      </c>
      <c r="G63" s="5" t="str">
        <f>_xlfn.XLOOKUP($N63,'Base de Grupos'!$A:$A,'Base de Grupos'!$I:$I)</f>
        <v>REGIONAL VENDA DIRETA CO + NE + NO</v>
      </c>
      <c r="H63" s="5" t="str">
        <f>_xlfn.XLOOKUP($N63,'Base de Grupos'!$A:$A,'Base de Grupos'!$J:$J)</f>
        <v>1000105900</v>
      </c>
      <c r="I63" s="2" t="str">
        <f>_xlfn.XLOOKUP($N63,'Base de Grupos'!$A:$A,'Base de Grupos'!$K:$K)</f>
        <v>REGIONAL VENDA DIRETA CO + NE + NO</v>
      </c>
      <c r="J63" s="2" t="str">
        <f>_xlfn.XLOOKUP($N63,'Base de Grupos'!$A:$A,'Base de Grupos'!$L:$L)</f>
        <v>1000150135</v>
      </c>
      <c r="K63" s="5" t="str">
        <f>_xlfn.XLOOKUP($N63,'Base de Grupos'!$A:$A,'Base de Grupos'!$M:$M)</f>
        <v>HELDER DA SILVA BRUNKOW</v>
      </c>
      <c r="L63" s="5" t="str">
        <f t="shared" si="55"/>
        <v/>
      </c>
      <c r="M63" s="5" t="str">
        <f>_xlfn.XLOOKUP($N63,'Base de Grupos'!$A:$A,'Base de Grupos'!$C:$C)</f>
        <v>PI</v>
      </c>
      <c r="N63" s="3">
        <v>1327</v>
      </c>
      <c r="O63" s="4" t="s">
        <v>227</v>
      </c>
      <c r="P63" s="5" t="s">
        <v>85</v>
      </c>
      <c r="Q63" s="56">
        <v>0</v>
      </c>
      <c r="R63" s="56">
        <v>0</v>
      </c>
      <c r="S63" s="56">
        <v>0</v>
      </c>
      <c r="T63" s="56">
        <f>_xlfn.XLOOKUP($N63,'Calculo Leads'!$A$97:$A$134,'Calculo Leads'!G$97:G$134)*_xlfn.XLOOKUP($P63,'Base Grupo de Produtos'!$E$2:$E$18,'Base Grupo de Produtos'!$F$2:$F$18)</f>
        <v>20</v>
      </c>
      <c r="U63" s="56">
        <f>_xlfn.XLOOKUP($N63,'Calculo Leads'!$A$97:$A$134,'Calculo Leads'!H$97:H$134)*_xlfn.XLOOKUP($P63,'Base Grupo de Produtos'!$E$2:$E$18,'Base Grupo de Produtos'!$F$2:$F$18)</f>
        <v>20</v>
      </c>
      <c r="V63" s="56">
        <f>_xlfn.XLOOKUP($N63,'Calculo Leads'!$A$97:$A$134,'Calculo Leads'!I$97:I$134)*_xlfn.XLOOKUP($P63,'Base Grupo de Produtos'!$E$2:$E$18,'Base Grupo de Produtos'!$F$2:$F$18)</f>
        <v>40</v>
      </c>
      <c r="W63" s="56">
        <f>_xlfn.XLOOKUP($N63,'Calculo Leads'!$A$97:$A$134,'Calculo Leads'!J$97:J$134)*_xlfn.XLOOKUP($P63,'Base Grupo de Produtos'!$E$2:$E$18,'Base Grupo de Produtos'!$F$2:$F$18)</f>
        <v>40</v>
      </c>
      <c r="X63" s="56">
        <f>_xlfn.XLOOKUP($N63,'Calculo Leads'!$A$97:$A$134,'Calculo Leads'!K$97:K$134)*_xlfn.XLOOKUP($P63,'Base Grupo de Produtos'!$E$2:$E$18,'Base Grupo de Produtos'!$F$2:$F$18)</f>
        <v>44</v>
      </c>
      <c r="Y63" s="56">
        <f>_xlfn.XLOOKUP($N63,'Calculo Leads'!$A$97:$A$134,'Calculo Leads'!L$97:L$134)*_xlfn.XLOOKUP($P63,'Base Grupo de Produtos'!$E$2:$E$18,'Base Grupo de Produtos'!$F$2:$F$18)</f>
        <v>66</v>
      </c>
      <c r="Z63" s="56">
        <f>_xlfn.XLOOKUP($N63,'Calculo Leads'!$A$97:$A$134,'Calculo Leads'!M$97:M$134)*_xlfn.XLOOKUP($P63,'Base Grupo de Produtos'!$E$2:$E$18,'Base Grupo de Produtos'!$F$2:$F$18)</f>
        <v>66</v>
      </c>
      <c r="AA63" s="56">
        <f>_xlfn.XLOOKUP($N63,'Calculo Leads'!$A$97:$A$134,'Calculo Leads'!N$97:N$134)*_xlfn.XLOOKUP($P63,'Base Grupo de Produtos'!$E$2:$E$18,'Base Grupo de Produtos'!$F$2:$F$18)</f>
        <v>66</v>
      </c>
      <c r="AB63" s="56">
        <f>_xlfn.XLOOKUP($N63,'Calculo Leads'!$A$97:$A$134,'Calculo Leads'!O$97:O$134)*_xlfn.XLOOKUP($P63,'Base Grupo de Produtos'!$E$2:$E$18,'Base Grupo de Produtos'!$F$2:$F$18)</f>
        <v>44</v>
      </c>
      <c r="AC63" s="61">
        <f t="shared" si="13"/>
        <v>406</v>
      </c>
      <c r="AD63" s="27">
        <f t="shared" si="72"/>
        <v>406</v>
      </c>
      <c r="AE63" s="25">
        <f>IFERROR(_xlfn.XLOOKUP(N63&amp;P63,'Historico Vendas'!G:G,'Historico Vendas'!E:E),0)</f>
        <v>0</v>
      </c>
      <c r="AF63" s="29" t="str">
        <f t="shared" si="53"/>
        <v/>
      </c>
      <c r="AG63" s="24">
        <f>IFERROR(_xlfn.XLOOKUP(N63&amp;P63,'Historico Vendas'!G:G,'Historico Vendas'!F:F),0)</f>
        <v>0</v>
      </c>
      <c r="AH63" s="25">
        <f t="shared" si="73"/>
        <v>0</v>
      </c>
      <c r="AI63" s="24">
        <f t="shared" si="74"/>
        <v>0</v>
      </c>
      <c r="AJ63" s="11" t="str">
        <f t="shared" si="71"/>
        <v/>
      </c>
      <c r="AK63" s="9" t="s">
        <v>102</v>
      </c>
      <c r="AL63" s="13">
        <f>IFERROR(INDEX('Balizador da Meta'!$D$3:$F$23,MATCH(Faturamento!$P63,'Balizador da Meta'!$C$3:$C$23,0),MATCH(Faturamento!AK63,'Balizador da Meta'!$D$2:$F$2,0)),"")</f>
        <v>0</v>
      </c>
      <c r="AM63" s="9"/>
    </row>
    <row r="64" spans="1:39" x14ac:dyDescent="0.3">
      <c r="A64" s="2" t="str">
        <f t="shared" si="54"/>
        <v>NÃO</v>
      </c>
      <c r="B64" s="2" t="str">
        <f>_xlfn.XLOOKUP($N64,'Base de Grupos'!$A:$A,'Base de Grupos'!$D:$D)</f>
        <v>1000065763</v>
      </c>
      <c r="C64" s="5" t="str">
        <f>_xlfn.XLOOKUP($N64,'Base de Grupos'!$A:$A,'Base de Grupos'!$E:$E)</f>
        <v>CANAL VENDA INTERNA</v>
      </c>
      <c r="D64" s="5" t="str">
        <f>_xlfn.XLOOKUP($N64,'Base de Grupos'!$A:$A,'Base de Grupos'!$F:$F)</f>
        <v>1000065763</v>
      </c>
      <c r="E64" s="2" t="str">
        <f>_xlfn.XLOOKUP($N64,'Base de Grupos'!$A:$A,'Base de Grupos'!$G:$G)</f>
        <v>CANAL VENDA INTERNA</v>
      </c>
      <c r="F64" s="2" t="str">
        <f>_xlfn.XLOOKUP($N64,'Base de Grupos'!$A:$A,'Base de Grupos'!$H:$H)</f>
        <v>1000105900</v>
      </c>
      <c r="G64" s="5" t="str">
        <f>_xlfn.XLOOKUP($N64,'Base de Grupos'!$A:$A,'Base de Grupos'!$I:$I)</f>
        <v>REGIONAL VENDA DIRETA CO + NE + NO</v>
      </c>
      <c r="H64" s="5" t="str">
        <f>_xlfn.XLOOKUP($N64,'Base de Grupos'!$A:$A,'Base de Grupos'!$J:$J)</f>
        <v>1000105900</v>
      </c>
      <c r="I64" s="2" t="str">
        <f>_xlfn.XLOOKUP($N64,'Base de Grupos'!$A:$A,'Base de Grupos'!$K:$K)</f>
        <v>REGIONAL VENDA DIRETA CO + NE + NO</v>
      </c>
      <c r="J64" s="2" t="str">
        <f>_xlfn.XLOOKUP($N64,'Base de Grupos'!$A:$A,'Base de Grupos'!$L:$L)</f>
        <v>1000150135</v>
      </c>
      <c r="K64" s="5" t="str">
        <f>_xlfn.XLOOKUP($N64,'Base de Grupos'!$A:$A,'Base de Grupos'!$M:$M)</f>
        <v>HELDER DA SILVA BRUNKOW</v>
      </c>
      <c r="L64" s="5" t="str">
        <f t="shared" si="55"/>
        <v/>
      </c>
      <c r="M64" s="5" t="str">
        <f>_xlfn.XLOOKUP($N64,'Base de Grupos'!$A:$A,'Base de Grupos'!$C:$C)</f>
        <v>PI</v>
      </c>
      <c r="N64" s="3">
        <v>1327</v>
      </c>
      <c r="O64" s="4" t="s">
        <v>227</v>
      </c>
      <c r="P64" s="5" t="s">
        <v>92</v>
      </c>
      <c r="Q64" s="56">
        <v>0</v>
      </c>
      <c r="R64" s="56">
        <v>0</v>
      </c>
      <c r="S64" s="56">
        <v>0</v>
      </c>
      <c r="T64" s="56">
        <f>_xlfn.XLOOKUP($N64,'Calculo Leads'!$A$97:$A$134,'Calculo Leads'!G$97:G$134)*_xlfn.XLOOKUP($P64,'Base Grupo de Produtos'!$E$2:$E$18,'Base Grupo de Produtos'!$F$2:$F$18)</f>
        <v>20</v>
      </c>
      <c r="U64" s="56">
        <f>_xlfn.XLOOKUP($N64,'Calculo Leads'!$A$97:$A$134,'Calculo Leads'!H$97:H$134)*_xlfn.XLOOKUP($P64,'Base Grupo de Produtos'!$E$2:$E$18,'Base Grupo de Produtos'!$F$2:$F$18)</f>
        <v>20</v>
      </c>
      <c r="V64" s="56">
        <f>_xlfn.XLOOKUP($N64,'Calculo Leads'!$A$97:$A$134,'Calculo Leads'!I$97:I$134)*_xlfn.XLOOKUP($P64,'Base Grupo de Produtos'!$E$2:$E$18,'Base Grupo de Produtos'!$F$2:$F$18)</f>
        <v>40</v>
      </c>
      <c r="W64" s="56">
        <f>_xlfn.XLOOKUP($N64,'Calculo Leads'!$A$97:$A$134,'Calculo Leads'!J$97:J$134)*_xlfn.XLOOKUP($P64,'Base Grupo de Produtos'!$E$2:$E$18,'Base Grupo de Produtos'!$F$2:$F$18)</f>
        <v>40</v>
      </c>
      <c r="X64" s="56">
        <f>_xlfn.XLOOKUP($N64,'Calculo Leads'!$A$97:$A$134,'Calculo Leads'!K$97:K$134)*_xlfn.XLOOKUP($P64,'Base Grupo de Produtos'!$E$2:$E$18,'Base Grupo de Produtos'!$F$2:$F$18)</f>
        <v>44</v>
      </c>
      <c r="Y64" s="56">
        <f>_xlfn.XLOOKUP($N64,'Calculo Leads'!$A$97:$A$134,'Calculo Leads'!L$97:L$134)*_xlfn.XLOOKUP($P64,'Base Grupo de Produtos'!$E$2:$E$18,'Base Grupo de Produtos'!$F$2:$F$18)</f>
        <v>66</v>
      </c>
      <c r="Z64" s="56">
        <f>_xlfn.XLOOKUP($N64,'Calculo Leads'!$A$97:$A$134,'Calculo Leads'!M$97:M$134)*_xlfn.XLOOKUP($P64,'Base Grupo de Produtos'!$E$2:$E$18,'Base Grupo de Produtos'!$F$2:$F$18)</f>
        <v>66</v>
      </c>
      <c r="AA64" s="56">
        <f>_xlfn.XLOOKUP($N64,'Calculo Leads'!$A$97:$A$134,'Calculo Leads'!N$97:N$134)*_xlfn.XLOOKUP($P64,'Base Grupo de Produtos'!$E$2:$E$18,'Base Grupo de Produtos'!$F$2:$F$18)</f>
        <v>66</v>
      </c>
      <c r="AB64" s="56">
        <f>_xlfn.XLOOKUP($N64,'Calculo Leads'!$A$97:$A$134,'Calculo Leads'!O$97:O$134)*_xlfn.XLOOKUP($P64,'Base Grupo de Produtos'!$E$2:$E$18,'Base Grupo de Produtos'!$F$2:$F$18)</f>
        <v>44</v>
      </c>
      <c r="AC64" s="61">
        <f t="shared" si="13"/>
        <v>406</v>
      </c>
      <c r="AD64" s="27">
        <f t="shared" si="72"/>
        <v>406</v>
      </c>
      <c r="AE64" s="25">
        <f>IFERROR(_xlfn.XLOOKUP(N64&amp;P64,'Historico Vendas'!G:G,'Historico Vendas'!E:E),0)</f>
        <v>0</v>
      </c>
      <c r="AF64" s="29" t="str">
        <f t="shared" si="53"/>
        <v/>
      </c>
      <c r="AG64" s="24">
        <f>IFERROR(_xlfn.XLOOKUP(N64&amp;P64,'Historico Vendas'!G:G,'Historico Vendas'!F:F),0)</f>
        <v>0</v>
      </c>
      <c r="AH64" s="25">
        <f t="shared" si="73"/>
        <v>0</v>
      </c>
      <c r="AI64" s="24">
        <f t="shared" si="74"/>
        <v>0</v>
      </c>
      <c r="AJ64" s="11" t="str">
        <f t="shared" si="71"/>
        <v/>
      </c>
      <c r="AK64" s="9" t="s">
        <v>102</v>
      </c>
      <c r="AL64" s="13">
        <f>IFERROR(INDEX('Balizador da Meta'!$D$3:$F$23,MATCH(Faturamento!$P64,'Balizador da Meta'!$C$3:$C$23,0),MATCH(Faturamento!AK64,'Balizador da Meta'!$D$2:$F$2,0)),"")</f>
        <v>0</v>
      </c>
      <c r="AM64" s="9"/>
    </row>
    <row r="65" spans="1:39" x14ac:dyDescent="0.3">
      <c r="A65" s="2" t="str">
        <f t="shared" si="54"/>
        <v>NÃO</v>
      </c>
      <c r="B65" s="2" t="str">
        <f>_xlfn.XLOOKUP($N65,'Base de Grupos'!$A:$A,'Base de Grupos'!$D:$D)</f>
        <v>1000065763</v>
      </c>
      <c r="C65" s="5" t="str">
        <f>_xlfn.XLOOKUP($N65,'Base de Grupos'!$A:$A,'Base de Grupos'!$E:$E)</f>
        <v>CANAL VENDA INTERNA</v>
      </c>
      <c r="D65" s="5" t="str">
        <f>_xlfn.XLOOKUP($N65,'Base de Grupos'!$A:$A,'Base de Grupos'!$F:$F)</f>
        <v>1000065763</v>
      </c>
      <c r="E65" s="2" t="str">
        <f>_xlfn.XLOOKUP($N65,'Base de Grupos'!$A:$A,'Base de Grupos'!$G:$G)</f>
        <v>CANAL VENDA INTERNA</v>
      </c>
      <c r="F65" s="2" t="str">
        <f>_xlfn.XLOOKUP($N65,'Base de Grupos'!$A:$A,'Base de Grupos'!$H:$H)</f>
        <v>1000105900</v>
      </c>
      <c r="G65" s="5" t="str">
        <f>_xlfn.XLOOKUP($N65,'Base de Grupos'!$A:$A,'Base de Grupos'!$I:$I)</f>
        <v>REGIONAL VENDA DIRETA CO + NE + NO</v>
      </c>
      <c r="H65" s="5" t="str">
        <f>_xlfn.XLOOKUP($N65,'Base de Grupos'!$A:$A,'Base de Grupos'!$J:$J)</f>
        <v>1000105900</v>
      </c>
      <c r="I65" s="2" t="str">
        <f>_xlfn.XLOOKUP($N65,'Base de Grupos'!$A:$A,'Base de Grupos'!$K:$K)</f>
        <v>REGIONAL VENDA DIRETA CO + NE + NO</v>
      </c>
      <c r="J65" s="2" t="str">
        <f>_xlfn.XLOOKUP($N65,'Base de Grupos'!$A:$A,'Base de Grupos'!$L:$L)</f>
        <v>1000150135</v>
      </c>
      <c r="K65" s="5" t="str">
        <f>_xlfn.XLOOKUP($N65,'Base de Grupos'!$A:$A,'Base de Grupos'!$M:$M)</f>
        <v>HELDER DA SILVA BRUNKOW</v>
      </c>
      <c r="L65" s="5" t="str">
        <f t="shared" si="55"/>
        <v/>
      </c>
      <c r="M65" s="5" t="str">
        <f>_xlfn.XLOOKUP($N65,'Base de Grupos'!$A:$A,'Base de Grupos'!$C:$C)</f>
        <v>PI</v>
      </c>
      <c r="N65" s="3">
        <v>1327</v>
      </c>
      <c r="O65" s="4" t="s">
        <v>227</v>
      </c>
      <c r="P65" s="5" t="s">
        <v>86</v>
      </c>
      <c r="Q65" s="56">
        <v>0</v>
      </c>
      <c r="R65" s="56">
        <v>0</v>
      </c>
      <c r="S65" s="56">
        <v>0</v>
      </c>
      <c r="T65" s="56">
        <f>_xlfn.XLOOKUP($N65,'Calculo Leads'!$A$97:$A$134,'Calculo Leads'!G$97:G$134)*_xlfn.XLOOKUP($P65,'Base Grupo de Produtos'!$E$2:$E$18,'Base Grupo de Produtos'!$F$2:$F$18)</f>
        <v>30</v>
      </c>
      <c r="U65" s="56">
        <f>_xlfn.XLOOKUP($N65,'Calculo Leads'!$A$97:$A$134,'Calculo Leads'!H$97:H$134)*_xlfn.XLOOKUP($P65,'Base Grupo de Produtos'!$E$2:$E$18,'Base Grupo de Produtos'!$F$2:$F$18)</f>
        <v>30</v>
      </c>
      <c r="V65" s="56">
        <f>_xlfn.XLOOKUP($N65,'Calculo Leads'!$A$97:$A$134,'Calculo Leads'!I$97:I$134)*_xlfn.XLOOKUP($P65,'Base Grupo de Produtos'!$E$2:$E$18,'Base Grupo de Produtos'!$F$2:$F$18)</f>
        <v>60</v>
      </c>
      <c r="W65" s="56">
        <f>_xlfn.XLOOKUP($N65,'Calculo Leads'!$A$97:$A$134,'Calculo Leads'!J$97:J$134)*_xlfn.XLOOKUP($P65,'Base Grupo de Produtos'!$E$2:$E$18,'Base Grupo de Produtos'!$F$2:$F$18)</f>
        <v>60</v>
      </c>
      <c r="X65" s="56">
        <f>_xlfn.XLOOKUP($N65,'Calculo Leads'!$A$97:$A$134,'Calculo Leads'!K$97:K$134)*_xlfn.XLOOKUP($P65,'Base Grupo de Produtos'!$E$2:$E$18,'Base Grupo de Produtos'!$F$2:$F$18)</f>
        <v>66</v>
      </c>
      <c r="Y65" s="56">
        <f>_xlfn.XLOOKUP($N65,'Calculo Leads'!$A$97:$A$134,'Calculo Leads'!L$97:L$134)*_xlfn.XLOOKUP($P65,'Base Grupo de Produtos'!$E$2:$E$18,'Base Grupo de Produtos'!$F$2:$F$18)</f>
        <v>99</v>
      </c>
      <c r="Z65" s="56">
        <f>_xlfn.XLOOKUP($N65,'Calculo Leads'!$A$97:$A$134,'Calculo Leads'!M$97:M$134)*_xlfn.XLOOKUP($P65,'Base Grupo de Produtos'!$E$2:$E$18,'Base Grupo de Produtos'!$F$2:$F$18)</f>
        <v>99</v>
      </c>
      <c r="AA65" s="56">
        <f>_xlfn.XLOOKUP($N65,'Calculo Leads'!$A$97:$A$134,'Calculo Leads'!N$97:N$134)*_xlfn.XLOOKUP($P65,'Base Grupo de Produtos'!$E$2:$E$18,'Base Grupo de Produtos'!$F$2:$F$18)</f>
        <v>99</v>
      </c>
      <c r="AB65" s="56">
        <f>_xlfn.XLOOKUP($N65,'Calculo Leads'!$A$97:$A$134,'Calculo Leads'!O$97:O$134)*_xlfn.XLOOKUP($P65,'Base Grupo de Produtos'!$E$2:$E$18,'Base Grupo de Produtos'!$F$2:$F$18)</f>
        <v>66</v>
      </c>
      <c r="AC65" s="61">
        <f t="shared" si="13"/>
        <v>609</v>
      </c>
      <c r="AD65" s="27">
        <f t="shared" si="72"/>
        <v>609</v>
      </c>
      <c r="AE65" s="25">
        <f>IFERROR(_xlfn.XLOOKUP(N65&amp;P65,'Historico Vendas'!G:G,'Historico Vendas'!E:E),0)</f>
        <v>0</v>
      </c>
      <c r="AF65" s="29" t="str">
        <f t="shared" si="53"/>
        <v/>
      </c>
      <c r="AG65" s="24">
        <f>IFERROR(_xlfn.XLOOKUP(N65&amp;P65,'Historico Vendas'!G:G,'Historico Vendas'!F:F),0)</f>
        <v>0</v>
      </c>
      <c r="AH65" s="25">
        <f t="shared" si="73"/>
        <v>0</v>
      </c>
      <c r="AI65" s="24">
        <f t="shared" si="74"/>
        <v>0</v>
      </c>
      <c r="AJ65" s="11" t="str">
        <f t="shared" si="71"/>
        <v/>
      </c>
      <c r="AK65" s="9" t="s">
        <v>102</v>
      </c>
      <c r="AL65" s="13">
        <f>IFERROR(INDEX('Balizador da Meta'!$D$3:$F$23,MATCH(Faturamento!$P65,'Balizador da Meta'!$C$3:$C$23,0),MATCH(Faturamento!AK65,'Balizador da Meta'!$D$2:$F$2,0)),"")</f>
        <v>0.15</v>
      </c>
      <c r="AM65" s="9"/>
    </row>
    <row r="66" spans="1:39" x14ac:dyDescent="0.3">
      <c r="A66" s="2" t="str">
        <f t="shared" si="54"/>
        <v>NÃO</v>
      </c>
      <c r="B66" s="2" t="str">
        <f>_xlfn.XLOOKUP($N66,'Base de Grupos'!$A:$A,'Base de Grupos'!$D:$D)</f>
        <v>1000065763</v>
      </c>
      <c r="C66" s="5" t="str">
        <f>_xlfn.XLOOKUP($N66,'Base de Grupos'!$A:$A,'Base de Grupos'!$E:$E)</f>
        <v>CANAL VENDA INTERNA</v>
      </c>
      <c r="D66" s="5" t="str">
        <f>_xlfn.XLOOKUP($N66,'Base de Grupos'!$A:$A,'Base de Grupos'!$F:$F)</f>
        <v>1000065763</v>
      </c>
      <c r="E66" s="2" t="str">
        <f>_xlfn.XLOOKUP($N66,'Base de Grupos'!$A:$A,'Base de Grupos'!$G:$G)</f>
        <v>CANAL VENDA INTERNA</v>
      </c>
      <c r="F66" s="2" t="str">
        <f>_xlfn.XLOOKUP($N66,'Base de Grupos'!$A:$A,'Base de Grupos'!$H:$H)</f>
        <v>1000105900</v>
      </c>
      <c r="G66" s="5" t="str">
        <f>_xlfn.XLOOKUP($N66,'Base de Grupos'!$A:$A,'Base de Grupos'!$I:$I)</f>
        <v>REGIONAL VENDA DIRETA CO + NE + NO</v>
      </c>
      <c r="H66" s="5" t="str">
        <f>_xlfn.XLOOKUP($N66,'Base de Grupos'!$A:$A,'Base de Grupos'!$J:$J)</f>
        <v>1000105900</v>
      </c>
      <c r="I66" s="2" t="str">
        <f>_xlfn.XLOOKUP($N66,'Base de Grupos'!$A:$A,'Base de Grupos'!$K:$K)</f>
        <v>REGIONAL VENDA DIRETA CO + NE + NO</v>
      </c>
      <c r="J66" s="2" t="str">
        <f>_xlfn.XLOOKUP($N66,'Base de Grupos'!$A:$A,'Base de Grupos'!$L:$L)</f>
        <v>1000150135</v>
      </c>
      <c r="K66" s="5" t="str">
        <f>_xlfn.XLOOKUP($N66,'Base de Grupos'!$A:$A,'Base de Grupos'!$M:$M)</f>
        <v>HELDER DA SILVA BRUNKOW</v>
      </c>
      <c r="L66" s="5" t="str">
        <f t="shared" si="55"/>
        <v/>
      </c>
      <c r="M66" s="5" t="str">
        <f>_xlfn.XLOOKUP($N66,'Base de Grupos'!$A:$A,'Base de Grupos'!$C:$C)</f>
        <v>PI</v>
      </c>
      <c r="N66" s="3">
        <v>1327</v>
      </c>
      <c r="O66" s="4" t="s">
        <v>227</v>
      </c>
      <c r="P66" s="5" t="s">
        <v>108</v>
      </c>
      <c r="Q66" s="56">
        <v>0</v>
      </c>
      <c r="R66" s="56">
        <v>0</v>
      </c>
      <c r="S66" s="56">
        <v>0</v>
      </c>
      <c r="T66" s="56">
        <f>_xlfn.XLOOKUP($N66,'Calculo Leads'!$A$97:$A$134,'Calculo Leads'!G$97:G$134)*_xlfn.XLOOKUP($P66,'Base Grupo de Produtos'!$E$2:$E$18,'Base Grupo de Produtos'!$F$2:$F$18)</f>
        <v>250</v>
      </c>
      <c r="U66" s="56">
        <f>_xlfn.XLOOKUP($N66,'Calculo Leads'!$A$97:$A$134,'Calculo Leads'!H$97:H$134)*_xlfn.XLOOKUP($P66,'Base Grupo de Produtos'!$E$2:$E$18,'Base Grupo de Produtos'!$F$2:$F$18)</f>
        <v>250</v>
      </c>
      <c r="V66" s="56">
        <f>_xlfn.XLOOKUP($N66,'Calculo Leads'!$A$97:$A$134,'Calculo Leads'!I$97:I$134)*_xlfn.XLOOKUP($P66,'Base Grupo de Produtos'!$E$2:$E$18,'Base Grupo de Produtos'!$F$2:$F$18)</f>
        <v>500</v>
      </c>
      <c r="W66" s="56">
        <f>_xlfn.XLOOKUP($N66,'Calculo Leads'!$A$97:$A$134,'Calculo Leads'!J$97:J$134)*_xlfn.XLOOKUP($P66,'Base Grupo de Produtos'!$E$2:$E$18,'Base Grupo de Produtos'!$F$2:$F$18)</f>
        <v>500</v>
      </c>
      <c r="X66" s="56">
        <f>_xlfn.XLOOKUP($N66,'Calculo Leads'!$A$97:$A$134,'Calculo Leads'!K$97:K$134)*_xlfn.XLOOKUP($P66,'Base Grupo de Produtos'!$E$2:$E$18,'Base Grupo de Produtos'!$F$2:$F$18)</f>
        <v>550</v>
      </c>
      <c r="Y66" s="56">
        <f>_xlfn.XLOOKUP($N66,'Calculo Leads'!$A$97:$A$134,'Calculo Leads'!L$97:L$134)*_xlfn.XLOOKUP($P66,'Base Grupo de Produtos'!$E$2:$E$18,'Base Grupo de Produtos'!$F$2:$F$18)</f>
        <v>825</v>
      </c>
      <c r="Z66" s="56">
        <f>_xlfn.XLOOKUP($N66,'Calculo Leads'!$A$97:$A$134,'Calculo Leads'!M$97:M$134)*_xlfn.XLOOKUP($P66,'Base Grupo de Produtos'!$E$2:$E$18,'Base Grupo de Produtos'!$F$2:$F$18)</f>
        <v>825</v>
      </c>
      <c r="AA66" s="56">
        <f>_xlfn.XLOOKUP($N66,'Calculo Leads'!$A$97:$A$134,'Calculo Leads'!N$97:N$134)*_xlfn.XLOOKUP($P66,'Base Grupo de Produtos'!$E$2:$E$18,'Base Grupo de Produtos'!$F$2:$F$18)</f>
        <v>825</v>
      </c>
      <c r="AB66" s="56">
        <f>_xlfn.XLOOKUP($N66,'Calculo Leads'!$A$97:$A$134,'Calculo Leads'!O$97:O$134)*_xlfn.XLOOKUP($P66,'Base Grupo de Produtos'!$E$2:$E$18,'Base Grupo de Produtos'!$F$2:$F$18)</f>
        <v>550</v>
      </c>
      <c r="AC66" s="61">
        <f t="shared" si="13"/>
        <v>5075</v>
      </c>
      <c r="AD66" s="27">
        <f t="shared" si="72"/>
        <v>5075</v>
      </c>
      <c r="AE66" s="25">
        <f>IFERROR(_xlfn.XLOOKUP(N66&amp;P66,'Historico Vendas'!G:G,'Historico Vendas'!E:E),0)</f>
        <v>0</v>
      </c>
      <c r="AF66" s="29" t="str">
        <f>IFERROR((AC66-AE66)/AE66,"")</f>
        <v/>
      </c>
      <c r="AG66" s="24">
        <f>IFERROR(_xlfn.XLOOKUP(N66&amp;P66,'Historico Vendas'!G:G,'Historico Vendas'!F:F),0)</f>
        <v>0</v>
      </c>
      <c r="AH66" s="25">
        <f t="shared" si="73"/>
        <v>0</v>
      </c>
      <c r="AI66" s="24">
        <f t="shared" si="74"/>
        <v>0</v>
      </c>
      <c r="AJ66" s="11" t="str">
        <f t="shared" si="71"/>
        <v/>
      </c>
      <c r="AK66" s="9" t="s">
        <v>102</v>
      </c>
      <c r="AL66" s="13">
        <f>IFERROR(INDEX('Balizador da Meta'!$D$3:$F$23,MATCH(Faturamento!$P66,'Balizador da Meta'!$C$3:$C$23,0),MATCH(Faturamento!AK66,'Balizador da Meta'!$D$2:$F$2,0)),"")</f>
        <v>0</v>
      </c>
      <c r="AM66" s="9"/>
    </row>
    <row r="67" spans="1:39" x14ac:dyDescent="0.3">
      <c r="A67" s="2" t="str">
        <f t="shared" si="54"/>
        <v>NÃO</v>
      </c>
      <c r="B67" s="2" t="str">
        <f>_xlfn.XLOOKUP($N67,'Base de Grupos'!$A:$A,'Base de Grupos'!$D:$D)</f>
        <v>1000065763</v>
      </c>
      <c r="C67" s="5" t="str">
        <f>_xlfn.XLOOKUP($N67,'Base de Grupos'!$A:$A,'Base de Grupos'!$E:$E)</f>
        <v>CANAL VENDA INTERNA</v>
      </c>
      <c r="D67" s="5" t="str">
        <f>_xlfn.XLOOKUP($N67,'Base de Grupos'!$A:$A,'Base de Grupos'!$F:$F)</f>
        <v>1000065763</v>
      </c>
      <c r="E67" s="2" t="str">
        <f>_xlfn.XLOOKUP($N67,'Base de Grupos'!$A:$A,'Base de Grupos'!$G:$G)</f>
        <v>CANAL VENDA INTERNA</v>
      </c>
      <c r="F67" s="2" t="str">
        <f>_xlfn.XLOOKUP($N67,'Base de Grupos'!$A:$A,'Base de Grupos'!$H:$H)</f>
        <v>1000105900</v>
      </c>
      <c r="G67" s="5" t="str">
        <f>_xlfn.XLOOKUP($N67,'Base de Grupos'!$A:$A,'Base de Grupos'!$I:$I)</f>
        <v>REGIONAL VENDA DIRETA CO + NE + NO</v>
      </c>
      <c r="H67" s="5" t="str">
        <f>_xlfn.XLOOKUP($N67,'Base de Grupos'!$A:$A,'Base de Grupos'!$J:$J)</f>
        <v>1000105900</v>
      </c>
      <c r="I67" s="2" t="str">
        <f>_xlfn.XLOOKUP($N67,'Base de Grupos'!$A:$A,'Base de Grupos'!$K:$K)</f>
        <v>REGIONAL VENDA DIRETA CO + NE + NO</v>
      </c>
      <c r="J67" s="2" t="str">
        <f>_xlfn.XLOOKUP($N67,'Base de Grupos'!$A:$A,'Base de Grupos'!$L:$L)</f>
        <v>1000150135</v>
      </c>
      <c r="K67" s="5" t="str">
        <f>_xlfn.XLOOKUP($N67,'Base de Grupos'!$A:$A,'Base de Grupos'!$M:$M)</f>
        <v>HELDER DA SILVA BRUNKOW</v>
      </c>
      <c r="L67" s="5" t="str">
        <f t="shared" si="55"/>
        <v/>
      </c>
      <c r="M67" s="5" t="str">
        <f>_xlfn.XLOOKUP($N67,'Base de Grupos'!$A:$A,'Base de Grupos'!$C:$C)</f>
        <v>PI</v>
      </c>
      <c r="N67" s="3">
        <v>1327</v>
      </c>
      <c r="O67" s="4" t="s">
        <v>227</v>
      </c>
      <c r="P67" s="5" t="s">
        <v>89</v>
      </c>
      <c r="Q67" s="56">
        <v>0</v>
      </c>
      <c r="R67" s="56">
        <v>0</v>
      </c>
      <c r="S67" s="56">
        <v>0</v>
      </c>
      <c r="T67" s="56">
        <f>_xlfn.XLOOKUP($N67,'Calculo Leads'!$A$97:$A$134,'Calculo Leads'!G$97:G$134)*_xlfn.XLOOKUP($P67,'Base Grupo de Produtos'!$E$2:$E$18,'Base Grupo de Produtos'!$F$2:$F$18)</f>
        <v>50</v>
      </c>
      <c r="U67" s="56">
        <f>_xlfn.XLOOKUP($N67,'Calculo Leads'!$A$97:$A$134,'Calculo Leads'!H$97:H$134)*_xlfn.XLOOKUP($P67,'Base Grupo de Produtos'!$E$2:$E$18,'Base Grupo de Produtos'!$F$2:$F$18)</f>
        <v>50</v>
      </c>
      <c r="V67" s="56">
        <f>_xlfn.XLOOKUP($N67,'Calculo Leads'!$A$97:$A$134,'Calculo Leads'!I$97:I$134)*_xlfn.XLOOKUP($P67,'Base Grupo de Produtos'!$E$2:$E$18,'Base Grupo de Produtos'!$F$2:$F$18)</f>
        <v>100</v>
      </c>
      <c r="W67" s="56">
        <f>_xlfn.XLOOKUP($N67,'Calculo Leads'!$A$97:$A$134,'Calculo Leads'!J$97:J$134)*_xlfn.XLOOKUP($P67,'Base Grupo de Produtos'!$E$2:$E$18,'Base Grupo de Produtos'!$F$2:$F$18)</f>
        <v>100</v>
      </c>
      <c r="X67" s="56">
        <f>_xlfn.XLOOKUP($N67,'Calculo Leads'!$A$97:$A$134,'Calculo Leads'!K$97:K$134)*_xlfn.XLOOKUP($P67,'Base Grupo de Produtos'!$E$2:$E$18,'Base Grupo de Produtos'!$F$2:$F$18)</f>
        <v>110</v>
      </c>
      <c r="Y67" s="56">
        <f>_xlfn.XLOOKUP($N67,'Calculo Leads'!$A$97:$A$134,'Calculo Leads'!L$97:L$134)*_xlfn.XLOOKUP($P67,'Base Grupo de Produtos'!$E$2:$E$18,'Base Grupo de Produtos'!$F$2:$F$18)</f>
        <v>165</v>
      </c>
      <c r="Z67" s="56">
        <f>_xlfn.XLOOKUP($N67,'Calculo Leads'!$A$97:$A$134,'Calculo Leads'!M$97:M$134)*_xlfn.XLOOKUP($P67,'Base Grupo de Produtos'!$E$2:$E$18,'Base Grupo de Produtos'!$F$2:$F$18)</f>
        <v>165</v>
      </c>
      <c r="AA67" s="56">
        <f>_xlfn.XLOOKUP($N67,'Calculo Leads'!$A$97:$A$134,'Calculo Leads'!N$97:N$134)*_xlfn.XLOOKUP($P67,'Base Grupo de Produtos'!$E$2:$E$18,'Base Grupo de Produtos'!$F$2:$F$18)</f>
        <v>165</v>
      </c>
      <c r="AB67" s="56">
        <f>_xlfn.XLOOKUP($N67,'Calculo Leads'!$A$97:$A$134,'Calculo Leads'!O$97:O$134)*_xlfn.XLOOKUP($P67,'Base Grupo de Produtos'!$E$2:$E$18,'Base Grupo de Produtos'!$F$2:$F$18)</f>
        <v>110</v>
      </c>
      <c r="AC67" s="61">
        <f t="shared" si="13"/>
        <v>1015</v>
      </c>
      <c r="AD67" s="27">
        <f t="shared" si="72"/>
        <v>1015</v>
      </c>
      <c r="AE67" s="25">
        <f>IFERROR(_xlfn.XLOOKUP(N67&amp;P67,'Historico Vendas'!G:G,'Historico Vendas'!E:E),0)</f>
        <v>0</v>
      </c>
      <c r="AF67" s="29" t="str">
        <f t="shared" si="53"/>
        <v/>
      </c>
      <c r="AG67" s="24">
        <f>IFERROR(_xlfn.XLOOKUP(N67&amp;P67,'Historico Vendas'!G:G,'Historico Vendas'!F:F),0)</f>
        <v>0</v>
      </c>
      <c r="AH67" s="25">
        <f t="shared" si="73"/>
        <v>0</v>
      </c>
      <c r="AI67" s="24">
        <f t="shared" si="74"/>
        <v>0</v>
      </c>
      <c r="AJ67" s="11" t="str">
        <f t="shared" si="71"/>
        <v/>
      </c>
      <c r="AK67" s="9" t="s">
        <v>102</v>
      </c>
      <c r="AL67" s="13">
        <f>IFERROR(INDEX('Balizador da Meta'!$D$3:$F$23,MATCH(Faturamento!$P67,'Balizador da Meta'!$C$3:$C$23,0),MATCH(Faturamento!AK67,'Balizador da Meta'!$D$2:$F$2,0)),"")</f>
        <v>0.25</v>
      </c>
      <c r="AM67" s="9"/>
    </row>
    <row r="68" spans="1:39" x14ac:dyDescent="0.3">
      <c r="A68" s="2" t="str">
        <f t="shared" si="54"/>
        <v>NÃO</v>
      </c>
      <c r="B68" s="2" t="str">
        <f>_xlfn.XLOOKUP($N68,'Base de Grupos'!$A:$A,'Base de Grupos'!$D:$D)</f>
        <v>1000065763</v>
      </c>
      <c r="C68" s="5" t="str">
        <f>_xlfn.XLOOKUP($N68,'Base de Grupos'!$A:$A,'Base de Grupos'!$E:$E)</f>
        <v>CANAL VENDA INTERNA</v>
      </c>
      <c r="D68" s="5" t="str">
        <f>_xlfn.XLOOKUP($N68,'Base de Grupos'!$A:$A,'Base de Grupos'!$F:$F)</f>
        <v>1000065763</v>
      </c>
      <c r="E68" s="2" t="str">
        <f>_xlfn.XLOOKUP($N68,'Base de Grupos'!$A:$A,'Base de Grupos'!$G:$G)</f>
        <v>CANAL VENDA INTERNA</v>
      </c>
      <c r="F68" s="2" t="str">
        <f>_xlfn.XLOOKUP($N68,'Base de Grupos'!$A:$A,'Base de Grupos'!$H:$H)</f>
        <v>1000105900</v>
      </c>
      <c r="G68" s="5" t="str">
        <f>_xlfn.XLOOKUP($N68,'Base de Grupos'!$A:$A,'Base de Grupos'!$I:$I)</f>
        <v>REGIONAL VENDA DIRETA CO + NE + NO</v>
      </c>
      <c r="H68" s="5" t="str">
        <f>_xlfn.XLOOKUP($N68,'Base de Grupos'!$A:$A,'Base de Grupos'!$J:$J)</f>
        <v>1000105900</v>
      </c>
      <c r="I68" s="2" t="str">
        <f>_xlfn.XLOOKUP($N68,'Base de Grupos'!$A:$A,'Base de Grupos'!$K:$K)</f>
        <v>REGIONAL VENDA DIRETA CO + NE + NO</v>
      </c>
      <c r="J68" s="2" t="str">
        <f>_xlfn.XLOOKUP($N68,'Base de Grupos'!$A:$A,'Base de Grupos'!$L:$L)</f>
        <v>1000150135</v>
      </c>
      <c r="K68" s="5" t="str">
        <f>_xlfn.XLOOKUP($N68,'Base de Grupos'!$A:$A,'Base de Grupos'!$M:$M)</f>
        <v>HELDER DA SILVA BRUNKOW</v>
      </c>
      <c r="L68" s="5" t="str">
        <f t="shared" si="55"/>
        <v/>
      </c>
      <c r="M68" s="5" t="str">
        <f>_xlfn.XLOOKUP($N68,'Base de Grupos'!$A:$A,'Base de Grupos'!$C:$C)</f>
        <v>PI</v>
      </c>
      <c r="N68" s="3">
        <v>1327</v>
      </c>
      <c r="O68" s="4" t="s">
        <v>227</v>
      </c>
      <c r="P68" s="5" t="s">
        <v>88</v>
      </c>
      <c r="Q68" s="56">
        <v>0</v>
      </c>
      <c r="R68" s="56">
        <v>0</v>
      </c>
      <c r="S68" s="56">
        <v>0</v>
      </c>
      <c r="T68" s="56">
        <f>_xlfn.XLOOKUP($N68,'Calculo Leads'!$A$97:$A$134,'Calculo Leads'!G$97:G$134)*_xlfn.XLOOKUP($P68,'Base Grupo de Produtos'!$E$2:$E$18,'Base Grupo de Produtos'!$F$2:$F$18)</f>
        <v>50</v>
      </c>
      <c r="U68" s="56">
        <f>_xlfn.XLOOKUP($N68,'Calculo Leads'!$A$97:$A$134,'Calculo Leads'!H$97:H$134)*_xlfn.XLOOKUP($P68,'Base Grupo de Produtos'!$E$2:$E$18,'Base Grupo de Produtos'!$F$2:$F$18)</f>
        <v>50</v>
      </c>
      <c r="V68" s="56">
        <f>_xlfn.XLOOKUP($N68,'Calculo Leads'!$A$97:$A$134,'Calculo Leads'!I$97:I$134)*_xlfn.XLOOKUP($P68,'Base Grupo de Produtos'!$E$2:$E$18,'Base Grupo de Produtos'!$F$2:$F$18)</f>
        <v>100</v>
      </c>
      <c r="W68" s="56">
        <f>_xlfn.XLOOKUP($N68,'Calculo Leads'!$A$97:$A$134,'Calculo Leads'!J$97:J$134)*_xlfn.XLOOKUP($P68,'Base Grupo de Produtos'!$E$2:$E$18,'Base Grupo de Produtos'!$F$2:$F$18)</f>
        <v>100</v>
      </c>
      <c r="X68" s="56">
        <f>_xlfn.XLOOKUP($N68,'Calculo Leads'!$A$97:$A$134,'Calculo Leads'!K$97:K$134)*_xlfn.XLOOKUP($P68,'Base Grupo de Produtos'!$E$2:$E$18,'Base Grupo de Produtos'!$F$2:$F$18)</f>
        <v>110</v>
      </c>
      <c r="Y68" s="56">
        <f>_xlfn.XLOOKUP($N68,'Calculo Leads'!$A$97:$A$134,'Calculo Leads'!L$97:L$134)*_xlfn.XLOOKUP($P68,'Base Grupo de Produtos'!$E$2:$E$18,'Base Grupo de Produtos'!$F$2:$F$18)</f>
        <v>165</v>
      </c>
      <c r="Z68" s="56">
        <f>_xlfn.XLOOKUP($N68,'Calculo Leads'!$A$97:$A$134,'Calculo Leads'!M$97:M$134)*_xlfn.XLOOKUP($P68,'Base Grupo de Produtos'!$E$2:$E$18,'Base Grupo de Produtos'!$F$2:$F$18)</f>
        <v>165</v>
      </c>
      <c r="AA68" s="56">
        <f>_xlfn.XLOOKUP($N68,'Calculo Leads'!$A$97:$A$134,'Calculo Leads'!N$97:N$134)*_xlfn.XLOOKUP($P68,'Base Grupo de Produtos'!$E$2:$E$18,'Base Grupo de Produtos'!$F$2:$F$18)</f>
        <v>165</v>
      </c>
      <c r="AB68" s="56">
        <f>_xlfn.XLOOKUP($N68,'Calculo Leads'!$A$97:$A$134,'Calculo Leads'!O$97:O$134)*_xlfn.XLOOKUP($P68,'Base Grupo de Produtos'!$E$2:$E$18,'Base Grupo de Produtos'!$F$2:$F$18)</f>
        <v>110</v>
      </c>
      <c r="AC68" s="61">
        <f t="shared" si="13"/>
        <v>1015</v>
      </c>
      <c r="AD68" s="27">
        <f t="shared" si="72"/>
        <v>1015</v>
      </c>
      <c r="AE68" s="25">
        <f>IFERROR(_xlfn.XLOOKUP(N68&amp;P68,'Historico Vendas'!G:G,'Historico Vendas'!E:E),0)</f>
        <v>0</v>
      </c>
      <c r="AF68" s="29" t="str">
        <f t="shared" si="53"/>
        <v/>
      </c>
      <c r="AG68" s="24">
        <f>IFERROR(_xlfn.XLOOKUP(N68&amp;P68,'Historico Vendas'!G:G,'Historico Vendas'!F:F),0)</f>
        <v>0</v>
      </c>
      <c r="AH68" s="25">
        <f t="shared" si="73"/>
        <v>0</v>
      </c>
      <c r="AI68" s="24">
        <f t="shared" si="74"/>
        <v>0</v>
      </c>
      <c r="AJ68" s="11" t="str">
        <f t="shared" si="71"/>
        <v/>
      </c>
      <c r="AK68" s="9" t="s">
        <v>102</v>
      </c>
      <c r="AL68" s="13">
        <f>IFERROR(INDEX('Balizador da Meta'!$D$3:$F$23,MATCH(Faturamento!$P68,'Balizador da Meta'!$C$3:$C$23,0),MATCH(Faturamento!AK68,'Balizador da Meta'!$D$2:$F$2,0)),"")</f>
        <v>0</v>
      </c>
      <c r="AM68" s="9"/>
    </row>
    <row r="69" spans="1:39" x14ac:dyDescent="0.3">
      <c r="A69" s="2" t="str">
        <f t="shared" si="54"/>
        <v>NÃO</v>
      </c>
      <c r="B69" s="2" t="str">
        <f>_xlfn.XLOOKUP($N69,'Base de Grupos'!$A:$A,'Base de Grupos'!$D:$D)</f>
        <v>1000065763</v>
      </c>
      <c r="C69" s="5" t="str">
        <f>_xlfn.XLOOKUP($N69,'Base de Grupos'!$A:$A,'Base de Grupos'!$E:$E)</f>
        <v>CANAL VENDA INTERNA</v>
      </c>
      <c r="D69" s="5" t="str">
        <f>_xlfn.XLOOKUP($N69,'Base de Grupos'!$A:$A,'Base de Grupos'!$F:$F)</f>
        <v>1000065763</v>
      </c>
      <c r="E69" s="2" t="str">
        <f>_xlfn.XLOOKUP($N69,'Base de Grupos'!$A:$A,'Base de Grupos'!$G:$G)</f>
        <v>CANAL VENDA INTERNA</v>
      </c>
      <c r="F69" s="2" t="str">
        <f>_xlfn.XLOOKUP($N69,'Base de Grupos'!$A:$A,'Base de Grupos'!$H:$H)</f>
        <v>1000105900</v>
      </c>
      <c r="G69" s="5" t="str">
        <f>_xlfn.XLOOKUP($N69,'Base de Grupos'!$A:$A,'Base de Grupos'!$I:$I)</f>
        <v>REGIONAL VENDA DIRETA CO + NE + NO</v>
      </c>
      <c r="H69" s="5" t="str">
        <f>_xlfn.XLOOKUP($N69,'Base de Grupos'!$A:$A,'Base de Grupos'!$J:$J)</f>
        <v>1000105900</v>
      </c>
      <c r="I69" s="2" t="str">
        <f>_xlfn.XLOOKUP($N69,'Base de Grupos'!$A:$A,'Base de Grupos'!$K:$K)</f>
        <v>REGIONAL VENDA DIRETA CO + NE + NO</v>
      </c>
      <c r="J69" s="2" t="str">
        <f>_xlfn.XLOOKUP($N69,'Base de Grupos'!$A:$A,'Base de Grupos'!$L:$L)</f>
        <v>1000150135</v>
      </c>
      <c r="K69" s="5" t="str">
        <f>_xlfn.XLOOKUP($N69,'Base de Grupos'!$A:$A,'Base de Grupos'!$M:$M)</f>
        <v>HELDER DA SILVA BRUNKOW</v>
      </c>
      <c r="L69" s="5" t="str">
        <f t="shared" si="55"/>
        <v/>
      </c>
      <c r="M69" s="5" t="str">
        <f>_xlfn.XLOOKUP($N69,'Base de Grupos'!$A:$A,'Base de Grupos'!$C:$C)</f>
        <v>PI</v>
      </c>
      <c r="N69" s="3">
        <v>1327</v>
      </c>
      <c r="O69" s="4" t="s">
        <v>227</v>
      </c>
      <c r="P69" s="5" t="s">
        <v>90</v>
      </c>
      <c r="Q69" s="56">
        <v>0</v>
      </c>
      <c r="R69" s="56">
        <v>0</v>
      </c>
      <c r="S69" s="56">
        <v>0</v>
      </c>
      <c r="T69" s="56">
        <f>_xlfn.XLOOKUP($N69,'Calculo Leads'!$A$97:$A$134,'Calculo Leads'!G$97:G$134)*_xlfn.XLOOKUP($P69,'Base Grupo de Produtos'!$E$2:$E$18,'Base Grupo de Produtos'!$F$2:$F$18)</f>
        <v>50</v>
      </c>
      <c r="U69" s="56">
        <f>_xlfn.XLOOKUP($N69,'Calculo Leads'!$A$97:$A$134,'Calculo Leads'!H$97:H$134)*_xlfn.XLOOKUP($P69,'Base Grupo de Produtos'!$E$2:$E$18,'Base Grupo de Produtos'!$F$2:$F$18)</f>
        <v>50</v>
      </c>
      <c r="V69" s="56">
        <f>_xlfn.XLOOKUP($N69,'Calculo Leads'!$A$97:$A$134,'Calculo Leads'!I$97:I$134)*_xlfn.XLOOKUP($P69,'Base Grupo de Produtos'!$E$2:$E$18,'Base Grupo de Produtos'!$F$2:$F$18)</f>
        <v>100</v>
      </c>
      <c r="W69" s="56">
        <f>_xlfn.XLOOKUP($N69,'Calculo Leads'!$A$97:$A$134,'Calculo Leads'!J$97:J$134)*_xlfn.XLOOKUP($P69,'Base Grupo de Produtos'!$E$2:$E$18,'Base Grupo de Produtos'!$F$2:$F$18)</f>
        <v>100</v>
      </c>
      <c r="X69" s="56">
        <f>_xlfn.XLOOKUP($N69,'Calculo Leads'!$A$97:$A$134,'Calculo Leads'!K$97:K$134)*_xlfn.XLOOKUP($P69,'Base Grupo de Produtos'!$E$2:$E$18,'Base Grupo de Produtos'!$F$2:$F$18)</f>
        <v>110</v>
      </c>
      <c r="Y69" s="56">
        <f>_xlfn.XLOOKUP($N69,'Calculo Leads'!$A$97:$A$134,'Calculo Leads'!L$97:L$134)*_xlfn.XLOOKUP($P69,'Base Grupo de Produtos'!$E$2:$E$18,'Base Grupo de Produtos'!$F$2:$F$18)</f>
        <v>165</v>
      </c>
      <c r="Z69" s="56">
        <f>_xlfn.XLOOKUP($N69,'Calculo Leads'!$A$97:$A$134,'Calculo Leads'!M$97:M$134)*_xlfn.XLOOKUP($P69,'Base Grupo de Produtos'!$E$2:$E$18,'Base Grupo de Produtos'!$F$2:$F$18)</f>
        <v>165</v>
      </c>
      <c r="AA69" s="56">
        <f>_xlfn.XLOOKUP($N69,'Calculo Leads'!$A$97:$A$134,'Calculo Leads'!N$97:N$134)*_xlfn.XLOOKUP($P69,'Base Grupo de Produtos'!$E$2:$E$18,'Base Grupo de Produtos'!$F$2:$F$18)</f>
        <v>165</v>
      </c>
      <c r="AB69" s="56">
        <f>_xlfn.XLOOKUP($N69,'Calculo Leads'!$A$97:$A$134,'Calculo Leads'!O$97:O$134)*_xlfn.XLOOKUP($P69,'Base Grupo de Produtos'!$E$2:$E$18,'Base Grupo de Produtos'!$F$2:$F$18)</f>
        <v>110</v>
      </c>
      <c r="AC69" s="61">
        <f t="shared" ref="AC69:AC132" si="75">SUM(T69:AB69)</f>
        <v>1015</v>
      </c>
      <c r="AD69" s="27">
        <f t="shared" si="72"/>
        <v>1015</v>
      </c>
      <c r="AE69" s="25">
        <f>IFERROR(_xlfn.XLOOKUP(N69&amp;P69,'Historico Vendas'!G:G,'Historico Vendas'!E:E),0)</f>
        <v>0</v>
      </c>
      <c r="AF69" s="29" t="str">
        <f t="shared" si="53"/>
        <v/>
      </c>
      <c r="AG69" s="24">
        <f>IFERROR(_xlfn.XLOOKUP(N69&amp;P69,'Historico Vendas'!G:G,'Historico Vendas'!F:F),0)</f>
        <v>0</v>
      </c>
      <c r="AH69" s="25">
        <f t="shared" si="73"/>
        <v>0</v>
      </c>
      <c r="AI69" s="24">
        <f t="shared" si="74"/>
        <v>0</v>
      </c>
      <c r="AJ69" s="11" t="str">
        <f t="shared" si="71"/>
        <v/>
      </c>
      <c r="AK69" s="9" t="s">
        <v>102</v>
      </c>
      <c r="AL69" s="13">
        <f>IFERROR(INDEX('Balizador da Meta'!$D$3:$F$23,MATCH(Faturamento!$P69,'Balizador da Meta'!$C$3:$C$23,0),MATCH(Faturamento!AK69,'Balizador da Meta'!$D$2:$F$2,0)),"")</f>
        <v>0</v>
      </c>
      <c r="AM69" s="9"/>
    </row>
    <row r="70" spans="1:39" x14ac:dyDescent="0.3">
      <c r="A70" s="2" t="str">
        <f t="shared" si="54"/>
        <v>NÃO</v>
      </c>
      <c r="B70" s="2" t="str">
        <f>_xlfn.XLOOKUP($N70,'Base de Grupos'!$A:$A,'Base de Grupos'!$D:$D)</f>
        <v>1000065763</v>
      </c>
      <c r="C70" s="5" t="str">
        <f>_xlfn.XLOOKUP($N70,'Base de Grupos'!$A:$A,'Base de Grupos'!$E:$E)</f>
        <v>CANAL VENDA INTERNA</v>
      </c>
      <c r="D70" s="5" t="str">
        <f>_xlfn.XLOOKUP($N70,'Base de Grupos'!$A:$A,'Base de Grupos'!$F:$F)</f>
        <v>1000065763</v>
      </c>
      <c r="E70" s="2" t="str">
        <f>_xlfn.XLOOKUP($N70,'Base de Grupos'!$A:$A,'Base de Grupos'!$G:$G)</f>
        <v>CANAL VENDA INTERNA</v>
      </c>
      <c r="F70" s="2" t="str">
        <f>_xlfn.XLOOKUP($N70,'Base de Grupos'!$A:$A,'Base de Grupos'!$H:$H)</f>
        <v>1000105900</v>
      </c>
      <c r="G70" s="5" t="str">
        <f>_xlfn.XLOOKUP($N70,'Base de Grupos'!$A:$A,'Base de Grupos'!$I:$I)</f>
        <v>REGIONAL VENDA DIRETA CO + NE + NO</v>
      </c>
      <c r="H70" s="5" t="str">
        <f>_xlfn.XLOOKUP($N70,'Base de Grupos'!$A:$A,'Base de Grupos'!$J:$J)</f>
        <v>1000105900</v>
      </c>
      <c r="I70" s="2" t="str">
        <f>_xlfn.XLOOKUP($N70,'Base de Grupos'!$A:$A,'Base de Grupos'!$K:$K)</f>
        <v>REGIONAL VENDA DIRETA CO + NE + NO</v>
      </c>
      <c r="J70" s="2" t="str">
        <f>_xlfn.XLOOKUP($N70,'Base de Grupos'!$A:$A,'Base de Grupos'!$L:$L)</f>
        <v>1000150135</v>
      </c>
      <c r="K70" s="5" t="str">
        <f>_xlfn.XLOOKUP($N70,'Base de Grupos'!$A:$A,'Base de Grupos'!$M:$M)</f>
        <v>HELDER DA SILVA BRUNKOW</v>
      </c>
      <c r="L70" s="5" t="str">
        <f t="shared" si="55"/>
        <v/>
      </c>
      <c r="M70" s="5" t="str">
        <f>_xlfn.XLOOKUP($N70,'Base de Grupos'!$A:$A,'Base de Grupos'!$C:$C)</f>
        <v>PI</v>
      </c>
      <c r="N70" s="3">
        <v>1327</v>
      </c>
      <c r="O70" s="4" t="s">
        <v>227</v>
      </c>
      <c r="P70" s="5" t="s">
        <v>91</v>
      </c>
      <c r="Q70" s="56">
        <v>0</v>
      </c>
      <c r="R70" s="56">
        <v>0</v>
      </c>
      <c r="S70" s="56">
        <v>0</v>
      </c>
      <c r="T70" s="56">
        <f>_xlfn.XLOOKUP($N70,'Calculo Leads'!$A$97:$A$134,'Calculo Leads'!G$97:G$134)*_xlfn.XLOOKUP($P70,'Base Grupo de Produtos'!$E$2:$E$18,'Base Grupo de Produtos'!$F$2:$F$18)</f>
        <v>0</v>
      </c>
      <c r="U70" s="56">
        <f>_xlfn.XLOOKUP($N70,'Calculo Leads'!$A$97:$A$134,'Calculo Leads'!H$97:H$134)*_xlfn.XLOOKUP($P70,'Base Grupo de Produtos'!$E$2:$E$18,'Base Grupo de Produtos'!$F$2:$F$18)</f>
        <v>0</v>
      </c>
      <c r="V70" s="56">
        <f>_xlfn.XLOOKUP($N70,'Calculo Leads'!$A$97:$A$134,'Calculo Leads'!I$97:I$134)*_xlfn.XLOOKUP($P70,'Base Grupo de Produtos'!$E$2:$E$18,'Base Grupo de Produtos'!$F$2:$F$18)</f>
        <v>0</v>
      </c>
      <c r="W70" s="56">
        <f>_xlfn.XLOOKUP($N70,'Calculo Leads'!$A$97:$A$134,'Calculo Leads'!J$97:J$134)*_xlfn.XLOOKUP($P70,'Base Grupo de Produtos'!$E$2:$E$18,'Base Grupo de Produtos'!$F$2:$F$18)</f>
        <v>0</v>
      </c>
      <c r="X70" s="56">
        <f>_xlfn.XLOOKUP($N70,'Calculo Leads'!$A$97:$A$134,'Calculo Leads'!K$97:K$134)*_xlfn.XLOOKUP($P70,'Base Grupo de Produtos'!$E$2:$E$18,'Base Grupo de Produtos'!$F$2:$F$18)</f>
        <v>0</v>
      </c>
      <c r="Y70" s="56">
        <f>_xlfn.XLOOKUP($N70,'Calculo Leads'!$A$97:$A$134,'Calculo Leads'!L$97:L$134)*_xlfn.XLOOKUP($P70,'Base Grupo de Produtos'!$E$2:$E$18,'Base Grupo de Produtos'!$F$2:$F$18)</f>
        <v>0</v>
      </c>
      <c r="Z70" s="56">
        <f>_xlfn.XLOOKUP($N70,'Calculo Leads'!$A$97:$A$134,'Calculo Leads'!M$97:M$134)*_xlfn.XLOOKUP($P70,'Base Grupo de Produtos'!$E$2:$E$18,'Base Grupo de Produtos'!$F$2:$F$18)</f>
        <v>0</v>
      </c>
      <c r="AA70" s="56">
        <f>_xlfn.XLOOKUP($N70,'Calculo Leads'!$A$97:$A$134,'Calculo Leads'!N$97:N$134)*_xlfn.XLOOKUP($P70,'Base Grupo de Produtos'!$E$2:$E$18,'Base Grupo de Produtos'!$F$2:$F$18)</f>
        <v>0</v>
      </c>
      <c r="AB70" s="56">
        <f>_xlfn.XLOOKUP($N70,'Calculo Leads'!$A$97:$A$134,'Calculo Leads'!O$97:O$134)*_xlfn.XLOOKUP($P70,'Base Grupo de Produtos'!$E$2:$E$18,'Base Grupo de Produtos'!$F$2:$F$18)</f>
        <v>0</v>
      </c>
      <c r="AC70" s="61">
        <f t="shared" si="75"/>
        <v>0</v>
      </c>
      <c r="AD70" s="27">
        <f t="shared" si="72"/>
        <v>0</v>
      </c>
      <c r="AE70" s="25">
        <f>IFERROR(_xlfn.XLOOKUP(N70&amp;P70,'Historico Vendas'!G:G,'Historico Vendas'!E:E),0)</f>
        <v>0</v>
      </c>
      <c r="AF70" s="29" t="str">
        <f t="shared" si="53"/>
        <v/>
      </c>
      <c r="AG70" s="24">
        <f>IFERROR(_xlfn.XLOOKUP(N70&amp;P70,'Historico Vendas'!G:G,'Historico Vendas'!F:F),0)</f>
        <v>0</v>
      </c>
      <c r="AH70" s="25">
        <f t="shared" si="73"/>
        <v>0</v>
      </c>
      <c r="AI70" s="24">
        <f t="shared" si="74"/>
        <v>0</v>
      </c>
      <c r="AJ70" s="11" t="str">
        <f t="shared" si="71"/>
        <v/>
      </c>
      <c r="AK70" s="9" t="s">
        <v>102</v>
      </c>
      <c r="AL70" s="13">
        <f>IFERROR(INDEX('Balizador da Meta'!$D$3:$F$23,MATCH(Faturamento!$P70,'Balizador da Meta'!$C$3:$C$23,0),MATCH(Faturamento!AK70,'Balizador da Meta'!$D$2:$F$2,0)),"")</f>
        <v>0</v>
      </c>
      <c r="AM70" s="9"/>
    </row>
    <row r="71" spans="1:39" x14ac:dyDescent="0.3">
      <c r="A71" s="2" t="str">
        <f t="shared" si="54"/>
        <v>NÃO</v>
      </c>
      <c r="B71" s="2" t="str">
        <f>_xlfn.XLOOKUP($N71,'Base de Grupos'!$A:$A,'Base de Grupos'!$D:$D)</f>
        <v>1000065763</v>
      </c>
      <c r="C71" s="5" t="str">
        <f>_xlfn.XLOOKUP($N71,'Base de Grupos'!$A:$A,'Base de Grupos'!$E:$E)</f>
        <v>CANAL VENDA INTERNA</v>
      </c>
      <c r="D71" s="5" t="str">
        <f>_xlfn.XLOOKUP($N71,'Base de Grupos'!$A:$A,'Base de Grupos'!$F:$F)</f>
        <v>1000065763</v>
      </c>
      <c r="E71" s="2" t="str">
        <f>_xlfn.XLOOKUP($N71,'Base de Grupos'!$A:$A,'Base de Grupos'!$G:$G)</f>
        <v>CANAL VENDA INTERNA</v>
      </c>
      <c r="F71" s="2" t="str">
        <f>_xlfn.XLOOKUP($N71,'Base de Grupos'!$A:$A,'Base de Grupos'!$H:$H)</f>
        <v>1000105900</v>
      </c>
      <c r="G71" s="5" t="str">
        <f>_xlfn.XLOOKUP($N71,'Base de Grupos'!$A:$A,'Base de Grupos'!$I:$I)</f>
        <v>REGIONAL VENDA DIRETA CO + NE + NO</v>
      </c>
      <c r="H71" s="5" t="str">
        <f>_xlfn.XLOOKUP($N71,'Base de Grupos'!$A:$A,'Base de Grupos'!$J:$J)</f>
        <v>1000105900</v>
      </c>
      <c r="I71" s="2" t="str">
        <f>_xlfn.XLOOKUP($N71,'Base de Grupos'!$A:$A,'Base de Grupos'!$K:$K)</f>
        <v>REGIONAL VENDA DIRETA CO + NE + NO</v>
      </c>
      <c r="J71" s="2" t="str">
        <f>_xlfn.XLOOKUP($N71,'Base de Grupos'!$A:$A,'Base de Grupos'!$L:$L)</f>
        <v>1000150135</v>
      </c>
      <c r="K71" s="5" t="str">
        <f>_xlfn.XLOOKUP($N71,'Base de Grupos'!$A:$A,'Base de Grupos'!$M:$M)</f>
        <v>HELDER DA SILVA BRUNKOW</v>
      </c>
      <c r="L71" s="5" t="str">
        <f t="shared" si="55"/>
        <v/>
      </c>
      <c r="M71" s="5" t="str">
        <f>_xlfn.XLOOKUP($N71,'Base de Grupos'!$A:$A,'Base de Grupos'!$C:$C)</f>
        <v>PI</v>
      </c>
      <c r="N71" s="3">
        <v>1327</v>
      </c>
      <c r="O71" s="4" t="s">
        <v>227</v>
      </c>
      <c r="P71" s="5" t="s">
        <v>96</v>
      </c>
      <c r="Q71" s="56">
        <v>0</v>
      </c>
      <c r="R71" s="56">
        <v>0</v>
      </c>
      <c r="S71" s="56">
        <v>0</v>
      </c>
      <c r="T71" s="56">
        <f>_xlfn.XLOOKUP($N71,'Calculo Leads'!$A$97:$A$134,'Calculo Leads'!G$97:G$134)*_xlfn.XLOOKUP($P71,'Base Grupo de Produtos'!$E$2:$E$18,'Base Grupo de Produtos'!$F$2:$F$18)</f>
        <v>70</v>
      </c>
      <c r="U71" s="56">
        <f>_xlfn.XLOOKUP($N71,'Calculo Leads'!$A$97:$A$134,'Calculo Leads'!H$97:H$134)*_xlfn.XLOOKUP($P71,'Base Grupo de Produtos'!$E$2:$E$18,'Base Grupo de Produtos'!$F$2:$F$18)</f>
        <v>70</v>
      </c>
      <c r="V71" s="56">
        <f>_xlfn.XLOOKUP($N71,'Calculo Leads'!$A$97:$A$134,'Calculo Leads'!I$97:I$134)*_xlfn.XLOOKUP($P71,'Base Grupo de Produtos'!$E$2:$E$18,'Base Grupo de Produtos'!$F$2:$F$18)</f>
        <v>140</v>
      </c>
      <c r="W71" s="56">
        <f>_xlfn.XLOOKUP($N71,'Calculo Leads'!$A$97:$A$134,'Calculo Leads'!J$97:J$134)*_xlfn.XLOOKUP($P71,'Base Grupo de Produtos'!$E$2:$E$18,'Base Grupo de Produtos'!$F$2:$F$18)</f>
        <v>140</v>
      </c>
      <c r="X71" s="56">
        <f>_xlfn.XLOOKUP($N71,'Calculo Leads'!$A$97:$A$134,'Calculo Leads'!K$97:K$134)*_xlfn.XLOOKUP($P71,'Base Grupo de Produtos'!$E$2:$E$18,'Base Grupo de Produtos'!$F$2:$F$18)</f>
        <v>154.00000000000003</v>
      </c>
      <c r="Y71" s="56">
        <f>_xlfn.XLOOKUP($N71,'Calculo Leads'!$A$97:$A$134,'Calculo Leads'!L$97:L$134)*_xlfn.XLOOKUP($P71,'Base Grupo de Produtos'!$E$2:$E$18,'Base Grupo de Produtos'!$F$2:$F$18)</f>
        <v>231.00000000000003</v>
      </c>
      <c r="Z71" s="56">
        <f>_xlfn.XLOOKUP($N71,'Calculo Leads'!$A$97:$A$134,'Calculo Leads'!M$97:M$134)*_xlfn.XLOOKUP($P71,'Base Grupo de Produtos'!$E$2:$E$18,'Base Grupo de Produtos'!$F$2:$F$18)</f>
        <v>231.00000000000003</v>
      </c>
      <c r="AA71" s="56">
        <f>_xlfn.XLOOKUP($N71,'Calculo Leads'!$A$97:$A$134,'Calculo Leads'!N$97:N$134)*_xlfn.XLOOKUP($P71,'Base Grupo de Produtos'!$E$2:$E$18,'Base Grupo de Produtos'!$F$2:$F$18)</f>
        <v>231.00000000000003</v>
      </c>
      <c r="AB71" s="56">
        <f>_xlfn.XLOOKUP($N71,'Calculo Leads'!$A$97:$A$134,'Calculo Leads'!O$97:O$134)*_xlfn.XLOOKUP($P71,'Base Grupo de Produtos'!$E$2:$E$18,'Base Grupo de Produtos'!$F$2:$F$18)</f>
        <v>154.00000000000003</v>
      </c>
      <c r="AC71" s="61">
        <f t="shared" si="75"/>
        <v>1421</v>
      </c>
      <c r="AD71" s="27">
        <f t="shared" si="72"/>
        <v>1421</v>
      </c>
      <c r="AE71" s="25">
        <f>IFERROR(_xlfn.XLOOKUP(N71&amp;P71,'Historico Vendas'!G:G,'Historico Vendas'!E:E),0)</f>
        <v>0</v>
      </c>
      <c r="AF71" s="29" t="str">
        <f t="shared" si="53"/>
        <v/>
      </c>
      <c r="AG71" s="24">
        <f>IFERROR(_xlfn.XLOOKUP(N71&amp;P71,'Historico Vendas'!G:G,'Historico Vendas'!F:F),0)</f>
        <v>0</v>
      </c>
      <c r="AH71" s="25">
        <f t="shared" si="73"/>
        <v>0</v>
      </c>
      <c r="AI71" s="24">
        <f t="shared" si="74"/>
        <v>0</v>
      </c>
      <c r="AJ71" s="11" t="str">
        <f t="shared" si="71"/>
        <v/>
      </c>
      <c r="AK71" s="9" t="s">
        <v>102</v>
      </c>
      <c r="AL71" s="13">
        <f>IFERROR(INDEX('Balizador da Meta'!$D$3:$F$23,MATCH(Faturamento!$P71,'Balizador da Meta'!$C$3:$C$23,0),MATCH(Faturamento!AK71,'Balizador da Meta'!$D$2:$F$2,0)),"")</f>
        <v>0</v>
      </c>
      <c r="AM71" s="9"/>
    </row>
    <row r="72" spans="1:39" x14ac:dyDescent="0.3">
      <c r="A72" s="2" t="str">
        <f t="shared" si="54"/>
        <v>NÃO</v>
      </c>
      <c r="B72" s="2" t="str">
        <f>_xlfn.XLOOKUP($N72,'Base de Grupos'!$A:$A,'Base de Grupos'!$D:$D)</f>
        <v>1000065763</v>
      </c>
      <c r="C72" s="5" t="str">
        <f>_xlfn.XLOOKUP($N72,'Base de Grupos'!$A:$A,'Base de Grupos'!$E:$E)</f>
        <v>CANAL VENDA INTERNA</v>
      </c>
      <c r="D72" s="5" t="str">
        <f>_xlfn.XLOOKUP($N72,'Base de Grupos'!$A:$A,'Base de Grupos'!$F:$F)</f>
        <v>1000065763</v>
      </c>
      <c r="E72" s="2" t="str">
        <f>_xlfn.XLOOKUP($N72,'Base de Grupos'!$A:$A,'Base de Grupos'!$G:$G)</f>
        <v>CANAL VENDA INTERNA</v>
      </c>
      <c r="F72" s="2" t="str">
        <f>_xlfn.XLOOKUP($N72,'Base de Grupos'!$A:$A,'Base de Grupos'!$H:$H)</f>
        <v>1000105900</v>
      </c>
      <c r="G72" s="5" t="str">
        <f>_xlfn.XLOOKUP($N72,'Base de Grupos'!$A:$A,'Base de Grupos'!$I:$I)</f>
        <v>REGIONAL VENDA DIRETA CO + NE + NO</v>
      </c>
      <c r="H72" s="5" t="str">
        <f>_xlfn.XLOOKUP($N72,'Base de Grupos'!$A:$A,'Base de Grupos'!$J:$J)</f>
        <v>1000105900</v>
      </c>
      <c r="I72" s="2" t="str">
        <f>_xlfn.XLOOKUP($N72,'Base de Grupos'!$A:$A,'Base de Grupos'!$K:$K)</f>
        <v>REGIONAL VENDA DIRETA CO + NE + NO</v>
      </c>
      <c r="J72" s="2" t="str">
        <f>_xlfn.XLOOKUP($N72,'Base de Grupos'!$A:$A,'Base de Grupos'!$L:$L)</f>
        <v>1000150135</v>
      </c>
      <c r="K72" s="5" t="str">
        <f>_xlfn.XLOOKUP($N72,'Base de Grupos'!$A:$A,'Base de Grupos'!$M:$M)</f>
        <v>HELDER DA SILVA BRUNKOW</v>
      </c>
      <c r="L72" s="5" t="str">
        <f t="shared" si="55"/>
        <v/>
      </c>
      <c r="M72" s="5" t="str">
        <f>_xlfn.XLOOKUP($N72,'Base de Grupos'!$A:$A,'Base de Grupos'!$C:$C)</f>
        <v>PI</v>
      </c>
      <c r="N72" s="3">
        <v>1327</v>
      </c>
      <c r="O72" s="4" t="s">
        <v>227</v>
      </c>
      <c r="P72" s="5" t="s">
        <v>94</v>
      </c>
      <c r="Q72" s="56">
        <v>0</v>
      </c>
      <c r="R72" s="56">
        <v>0</v>
      </c>
      <c r="S72" s="56">
        <v>0</v>
      </c>
      <c r="T72" s="56">
        <f>_xlfn.XLOOKUP($N72,'Calculo Leads'!$A$97:$A$134,'Calculo Leads'!G$97:G$134)*_xlfn.XLOOKUP($P72,'Base Grupo de Produtos'!$E$2:$E$18,'Base Grupo de Produtos'!$F$2:$F$18)</f>
        <v>49.999999999999993</v>
      </c>
      <c r="U72" s="56">
        <f>_xlfn.XLOOKUP($N72,'Calculo Leads'!$A$97:$A$134,'Calculo Leads'!H$97:H$134)*_xlfn.XLOOKUP($P72,'Base Grupo de Produtos'!$E$2:$E$18,'Base Grupo de Produtos'!$F$2:$F$18)</f>
        <v>49.999999999999993</v>
      </c>
      <c r="V72" s="56">
        <f>_xlfn.XLOOKUP($N72,'Calculo Leads'!$A$97:$A$134,'Calculo Leads'!I$97:I$134)*_xlfn.XLOOKUP($P72,'Base Grupo de Produtos'!$E$2:$E$18,'Base Grupo de Produtos'!$F$2:$F$18)</f>
        <v>99.999999999999986</v>
      </c>
      <c r="W72" s="56">
        <f>_xlfn.XLOOKUP($N72,'Calculo Leads'!$A$97:$A$134,'Calculo Leads'!J$97:J$134)*_xlfn.XLOOKUP($P72,'Base Grupo de Produtos'!$E$2:$E$18,'Base Grupo de Produtos'!$F$2:$F$18)</f>
        <v>99.999999999999986</v>
      </c>
      <c r="X72" s="56">
        <f>_xlfn.XLOOKUP($N72,'Calculo Leads'!$A$97:$A$134,'Calculo Leads'!K$97:K$134)*_xlfn.XLOOKUP($P72,'Base Grupo de Produtos'!$E$2:$E$18,'Base Grupo de Produtos'!$F$2:$F$18)</f>
        <v>109.99999999999999</v>
      </c>
      <c r="Y72" s="56">
        <f>_xlfn.XLOOKUP($N72,'Calculo Leads'!$A$97:$A$134,'Calculo Leads'!L$97:L$134)*_xlfn.XLOOKUP($P72,'Base Grupo de Produtos'!$E$2:$E$18,'Base Grupo de Produtos'!$F$2:$F$18)</f>
        <v>165</v>
      </c>
      <c r="Z72" s="56">
        <f>_xlfn.XLOOKUP($N72,'Calculo Leads'!$A$97:$A$134,'Calculo Leads'!M$97:M$134)*_xlfn.XLOOKUP($P72,'Base Grupo de Produtos'!$E$2:$E$18,'Base Grupo de Produtos'!$F$2:$F$18)</f>
        <v>165</v>
      </c>
      <c r="AA72" s="56">
        <f>_xlfn.XLOOKUP($N72,'Calculo Leads'!$A$97:$A$134,'Calculo Leads'!N$97:N$134)*_xlfn.XLOOKUP($P72,'Base Grupo de Produtos'!$E$2:$E$18,'Base Grupo de Produtos'!$F$2:$F$18)</f>
        <v>165</v>
      </c>
      <c r="AB72" s="56">
        <f>_xlfn.XLOOKUP($N72,'Calculo Leads'!$A$97:$A$134,'Calculo Leads'!O$97:O$134)*_xlfn.XLOOKUP($P72,'Base Grupo de Produtos'!$E$2:$E$18,'Base Grupo de Produtos'!$F$2:$F$18)</f>
        <v>109.99999999999999</v>
      </c>
      <c r="AC72" s="61">
        <f t="shared" si="75"/>
        <v>1015</v>
      </c>
      <c r="AD72" s="27">
        <f t="shared" si="72"/>
        <v>1015</v>
      </c>
      <c r="AE72" s="25">
        <f>IFERROR(_xlfn.XLOOKUP(N72&amp;P72,'Historico Vendas'!G:G,'Historico Vendas'!E:E),0)</f>
        <v>0</v>
      </c>
      <c r="AF72" s="29" t="str">
        <f t="shared" si="53"/>
        <v/>
      </c>
      <c r="AG72" s="24">
        <f>IFERROR(_xlfn.XLOOKUP(N72&amp;P72,'Historico Vendas'!G:G,'Historico Vendas'!F:F),0)</f>
        <v>0</v>
      </c>
      <c r="AH72" s="25">
        <f t="shared" si="73"/>
        <v>0</v>
      </c>
      <c r="AI72" s="24">
        <f t="shared" si="74"/>
        <v>0</v>
      </c>
      <c r="AJ72" s="11" t="str">
        <f t="shared" si="71"/>
        <v/>
      </c>
      <c r="AK72" s="9" t="s">
        <v>102</v>
      </c>
      <c r="AL72" s="13">
        <f>IFERROR(INDEX('Balizador da Meta'!$D$3:$F$23,MATCH(Faturamento!$P72,'Balizador da Meta'!$C$3:$C$23,0),MATCH(Faturamento!AK72,'Balizador da Meta'!$D$2:$F$2,0)),"")</f>
        <v>0.25</v>
      </c>
      <c r="AM72" s="9"/>
    </row>
    <row r="73" spans="1:39" x14ac:dyDescent="0.3">
      <c r="A73" s="2" t="str">
        <f t="shared" si="54"/>
        <v>NÃO</v>
      </c>
      <c r="B73" s="2" t="str">
        <f>_xlfn.XLOOKUP($N73,'Base de Grupos'!$A:$A,'Base de Grupos'!$D:$D)</f>
        <v>1000065763</v>
      </c>
      <c r="C73" s="5" t="str">
        <f>_xlfn.XLOOKUP($N73,'Base de Grupos'!$A:$A,'Base de Grupos'!$E:$E)</f>
        <v>CANAL VENDA INTERNA</v>
      </c>
      <c r="D73" s="5" t="str">
        <f>_xlfn.XLOOKUP($N73,'Base de Grupos'!$A:$A,'Base de Grupos'!$F:$F)</f>
        <v>1000065763</v>
      </c>
      <c r="E73" s="2" t="str">
        <f>_xlfn.XLOOKUP($N73,'Base de Grupos'!$A:$A,'Base de Grupos'!$G:$G)</f>
        <v>CANAL VENDA INTERNA</v>
      </c>
      <c r="F73" s="2" t="str">
        <f>_xlfn.XLOOKUP($N73,'Base de Grupos'!$A:$A,'Base de Grupos'!$H:$H)</f>
        <v>1000105900</v>
      </c>
      <c r="G73" s="5" t="str">
        <f>_xlfn.XLOOKUP($N73,'Base de Grupos'!$A:$A,'Base de Grupos'!$I:$I)</f>
        <v>REGIONAL VENDA DIRETA CO + NE + NO</v>
      </c>
      <c r="H73" s="5" t="str">
        <f>_xlfn.XLOOKUP($N73,'Base de Grupos'!$A:$A,'Base de Grupos'!$J:$J)</f>
        <v>1000105900</v>
      </c>
      <c r="I73" s="2" t="str">
        <f>_xlfn.XLOOKUP($N73,'Base de Grupos'!$A:$A,'Base de Grupos'!$K:$K)</f>
        <v>REGIONAL VENDA DIRETA CO + NE + NO</v>
      </c>
      <c r="J73" s="2" t="str">
        <f>_xlfn.XLOOKUP($N73,'Base de Grupos'!$A:$A,'Base de Grupos'!$L:$L)</f>
        <v>1000150135</v>
      </c>
      <c r="K73" s="5" t="str">
        <f>_xlfn.XLOOKUP($N73,'Base de Grupos'!$A:$A,'Base de Grupos'!$M:$M)</f>
        <v>HELDER DA SILVA BRUNKOW</v>
      </c>
      <c r="L73" s="5" t="str">
        <f t="shared" si="55"/>
        <v/>
      </c>
      <c r="M73" s="5" t="str">
        <f>_xlfn.XLOOKUP($N73,'Base de Grupos'!$A:$A,'Base de Grupos'!$C:$C)</f>
        <v>PI</v>
      </c>
      <c r="N73" s="3">
        <v>1327</v>
      </c>
      <c r="O73" s="4" t="s">
        <v>227</v>
      </c>
      <c r="P73" s="5" t="s">
        <v>95</v>
      </c>
      <c r="Q73" s="56">
        <v>0</v>
      </c>
      <c r="R73" s="56">
        <v>0</v>
      </c>
      <c r="S73" s="56">
        <v>0</v>
      </c>
      <c r="T73" s="56">
        <f>_xlfn.XLOOKUP($N73,'Calculo Leads'!$A$97:$A$134,'Calculo Leads'!G$97:G$134)*_xlfn.XLOOKUP($P73,'Base Grupo de Produtos'!$E$2:$E$18,'Base Grupo de Produtos'!$F$2:$F$18)</f>
        <v>80</v>
      </c>
      <c r="U73" s="56">
        <f>_xlfn.XLOOKUP($N73,'Calculo Leads'!$A$97:$A$134,'Calculo Leads'!H$97:H$134)*_xlfn.XLOOKUP($P73,'Base Grupo de Produtos'!$E$2:$E$18,'Base Grupo de Produtos'!$F$2:$F$18)</f>
        <v>80</v>
      </c>
      <c r="V73" s="56">
        <f>_xlfn.XLOOKUP($N73,'Calculo Leads'!$A$97:$A$134,'Calculo Leads'!I$97:I$134)*_xlfn.XLOOKUP($P73,'Base Grupo de Produtos'!$E$2:$E$18,'Base Grupo de Produtos'!$F$2:$F$18)</f>
        <v>160</v>
      </c>
      <c r="W73" s="56">
        <f>_xlfn.XLOOKUP($N73,'Calculo Leads'!$A$97:$A$134,'Calculo Leads'!J$97:J$134)*_xlfn.XLOOKUP($P73,'Base Grupo de Produtos'!$E$2:$E$18,'Base Grupo de Produtos'!$F$2:$F$18)</f>
        <v>160</v>
      </c>
      <c r="X73" s="56">
        <f>_xlfn.XLOOKUP($N73,'Calculo Leads'!$A$97:$A$134,'Calculo Leads'!K$97:K$134)*_xlfn.XLOOKUP($P73,'Base Grupo de Produtos'!$E$2:$E$18,'Base Grupo de Produtos'!$F$2:$F$18)</f>
        <v>176</v>
      </c>
      <c r="Y73" s="56">
        <f>_xlfn.XLOOKUP($N73,'Calculo Leads'!$A$97:$A$134,'Calculo Leads'!L$97:L$134)*_xlfn.XLOOKUP($P73,'Base Grupo de Produtos'!$E$2:$E$18,'Base Grupo de Produtos'!$F$2:$F$18)</f>
        <v>264</v>
      </c>
      <c r="Z73" s="56">
        <f>_xlfn.XLOOKUP($N73,'Calculo Leads'!$A$97:$A$134,'Calculo Leads'!M$97:M$134)*_xlfn.XLOOKUP($P73,'Base Grupo de Produtos'!$E$2:$E$18,'Base Grupo de Produtos'!$F$2:$F$18)</f>
        <v>264</v>
      </c>
      <c r="AA73" s="56">
        <f>_xlfn.XLOOKUP($N73,'Calculo Leads'!$A$97:$A$134,'Calculo Leads'!N$97:N$134)*_xlfn.XLOOKUP($P73,'Base Grupo de Produtos'!$E$2:$E$18,'Base Grupo de Produtos'!$F$2:$F$18)</f>
        <v>264</v>
      </c>
      <c r="AB73" s="56">
        <f>_xlfn.XLOOKUP($N73,'Calculo Leads'!$A$97:$A$134,'Calculo Leads'!O$97:O$134)*_xlfn.XLOOKUP($P73,'Base Grupo de Produtos'!$E$2:$E$18,'Base Grupo de Produtos'!$F$2:$F$18)</f>
        <v>176</v>
      </c>
      <c r="AC73" s="61">
        <f t="shared" si="75"/>
        <v>1624</v>
      </c>
      <c r="AD73" s="27">
        <f t="shared" si="72"/>
        <v>1624</v>
      </c>
      <c r="AE73" s="25">
        <f>IFERROR(_xlfn.XLOOKUP(N73&amp;P73,'Historico Vendas'!G:G,'Historico Vendas'!E:E),0)</f>
        <v>0</v>
      </c>
      <c r="AF73" s="29" t="str">
        <f t="shared" si="53"/>
        <v/>
      </c>
      <c r="AG73" s="24">
        <f>IFERROR(_xlfn.XLOOKUP(N73&amp;P73,'Historico Vendas'!G:G,'Historico Vendas'!F:F),0)</f>
        <v>0</v>
      </c>
      <c r="AH73" s="25">
        <f t="shared" si="73"/>
        <v>0</v>
      </c>
      <c r="AI73" s="24">
        <f t="shared" si="74"/>
        <v>0</v>
      </c>
      <c r="AJ73" s="11" t="str">
        <f t="shared" si="71"/>
        <v/>
      </c>
      <c r="AK73" s="9" t="s">
        <v>102</v>
      </c>
      <c r="AL73" s="13">
        <f>IFERROR(INDEX('Balizador da Meta'!$D$3:$F$23,MATCH(Faturamento!$P73,'Balizador da Meta'!$C$3:$C$23,0),MATCH(Faturamento!AK73,'Balizador da Meta'!$D$2:$F$2,0)),"")</f>
        <v>0.25</v>
      </c>
      <c r="AM73" s="9"/>
    </row>
    <row r="74" spans="1:39" x14ac:dyDescent="0.3">
      <c r="A74" s="2" t="str">
        <f t="shared" si="54"/>
        <v>NÃO</v>
      </c>
      <c r="B74" s="2" t="str">
        <f>_xlfn.XLOOKUP($N74,'Base de Grupos'!$A:$A,'Base de Grupos'!$D:$D)</f>
        <v>1000065763</v>
      </c>
      <c r="C74" s="5" t="str">
        <f>_xlfn.XLOOKUP($N74,'Base de Grupos'!$A:$A,'Base de Grupos'!$E:$E)</f>
        <v>CANAL VENDA INTERNA</v>
      </c>
      <c r="D74" s="5" t="str">
        <f>_xlfn.XLOOKUP($N74,'Base de Grupos'!$A:$A,'Base de Grupos'!$F:$F)</f>
        <v>1000065763</v>
      </c>
      <c r="E74" s="2" t="str">
        <f>_xlfn.XLOOKUP($N74,'Base de Grupos'!$A:$A,'Base de Grupos'!$G:$G)</f>
        <v>CANAL VENDA INTERNA</v>
      </c>
      <c r="F74" s="2" t="str">
        <f>_xlfn.XLOOKUP($N74,'Base de Grupos'!$A:$A,'Base de Grupos'!$H:$H)</f>
        <v>1000105900</v>
      </c>
      <c r="G74" s="5" t="str">
        <f>_xlfn.XLOOKUP($N74,'Base de Grupos'!$A:$A,'Base de Grupos'!$I:$I)</f>
        <v>REGIONAL VENDA DIRETA CO + NE + NO</v>
      </c>
      <c r="H74" s="5" t="str">
        <f>_xlfn.XLOOKUP($N74,'Base de Grupos'!$A:$A,'Base de Grupos'!$J:$J)</f>
        <v>1000105900</v>
      </c>
      <c r="I74" s="2" t="str">
        <f>_xlfn.XLOOKUP($N74,'Base de Grupos'!$A:$A,'Base de Grupos'!$K:$K)</f>
        <v>REGIONAL VENDA DIRETA CO + NE + NO</v>
      </c>
      <c r="J74" s="2" t="str">
        <f>_xlfn.XLOOKUP($N74,'Base de Grupos'!$A:$A,'Base de Grupos'!$L:$L)</f>
        <v>1000150135</v>
      </c>
      <c r="K74" s="5" t="str">
        <f>_xlfn.XLOOKUP($N74,'Base de Grupos'!$A:$A,'Base de Grupos'!$M:$M)</f>
        <v>HELDER DA SILVA BRUNKOW</v>
      </c>
      <c r="L74" s="5" t="str">
        <f t="shared" si="55"/>
        <v/>
      </c>
      <c r="M74" s="5" t="str">
        <f>_xlfn.XLOOKUP($N74,'Base de Grupos'!$A:$A,'Base de Grupos'!$C:$C)</f>
        <v>PI</v>
      </c>
      <c r="N74" s="3">
        <v>1327</v>
      </c>
      <c r="O74" s="4" t="s">
        <v>227</v>
      </c>
      <c r="P74" s="5" t="s">
        <v>93</v>
      </c>
      <c r="Q74" s="56">
        <v>0</v>
      </c>
      <c r="R74" s="56">
        <v>0</v>
      </c>
      <c r="S74" s="56">
        <v>0</v>
      </c>
      <c r="T74" s="56">
        <f>_xlfn.XLOOKUP($N74,'Calculo Leads'!$A$97:$A$134,'Calculo Leads'!G$97:G$134)*_xlfn.XLOOKUP($P74,'Base Grupo de Produtos'!$E$2:$E$18,'Base Grupo de Produtos'!$F$2:$F$18)</f>
        <v>30</v>
      </c>
      <c r="U74" s="56">
        <f>_xlfn.XLOOKUP($N74,'Calculo Leads'!$A$97:$A$134,'Calculo Leads'!H$97:H$134)*_xlfn.XLOOKUP($P74,'Base Grupo de Produtos'!$E$2:$E$18,'Base Grupo de Produtos'!$F$2:$F$18)</f>
        <v>30</v>
      </c>
      <c r="V74" s="56">
        <f>_xlfn.XLOOKUP($N74,'Calculo Leads'!$A$97:$A$134,'Calculo Leads'!I$97:I$134)*_xlfn.XLOOKUP($P74,'Base Grupo de Produtos'!$E$2:$E$18,'Base Grupo de Produtos'!$F$2:$F$18)</f>
        <v>60</v>
      </c>
      <c r="W74" s="56">
        <f>_xlfn.XLOOKUP($N74,'Calculo Leads'!$A$97:$A$134,'Calculo Leads'!J$97:J$134)*_xlfn.XLOOKUP($P74,'Base Grupo de Produtos'!$E$2:$E$18,'Base Grupo de Produtos'!$F$2:$F$18)</f>
        <v>60</v>
      </c>
      <c r="X74" s="56">
        <f>_xlfn.XLOOKUP($N74,'Calculo Leads'!$A$97:$A$134,'Calculo Leads'!K$97:K$134)*_xlfn.XLOOKUP($P74,'Base Grupo de Produtos'!$E$2:$E$18,'Base Grupo de Produtos'!$F$2:$F$18)</f>
        <v>66</v>
      </c>
      <c r="Y74" s="56">
        <f>_xlfn.XLOOKUP($N74,'Calculo Leads'!$A$97:$A$134,'Calculo Leads'!L$97:L$134)*_xlfn.XLOOKUP($P74,'Base Grupo de Produtos'!$E$2:$E$18,'Base Grupo de Produtos'!$F$2:$F$18)</f>
        <v>99</v>
      </c>
      <c r="Z74" s="56">
        <f>_xlfn.XLOOKUP($N74,'Calculo Leads'!$A$97:$A$134,'Calculo Leads'!M$97:M$134)*_xlfn.XLOOKUP($P74,'Base Grupo de Produtos'!$E$2:$E$18,'Base Grupo de Produtos'!$F$2:$F$18)</f>
        <v>99</v>
      </c>
      <c r="AA74" s="56">
        <f>_xlfn.XLOOKUP($N74,'Calculo Leads'!$A$97:$A$134,'Calculo Leads'!N$97:N$134)*_xlfn.XLOOKUP($P74,'Base Grupo de Produtos'!$E$2:$E$18,'Base Grupo de Produtos'!$F$2:$F$18)</f>
        <v>99</v>
      </c>
      <c r="AB74" s="56">
        <f>_xlfn.XLOOKUP($N74,'Calculo Leads'!$A$97:$A$134,'Calculo Leads'!O$97:O$134)*_xlfn.XLOOKUP($P74,'Base Grupo de Produtos'!$E$2:$E$18,'Base Grupo de Produtos'!$F$2:$F$18)</f>
        <v>66</v>
      </c>
      <c r="AC74" s="61">
        <f t="shared" si="75"/>
        <v>609</v>
      </c>
      <c r="AD74" s="27">
        <f t="shared" si="72"/>
        <v>609</v>
      </c>
      <c r="AE74" s="25">
        <f>IFERROR(_xlfn.XLOOKUP(N74&amp;P74,'Historico Vendas'!G:G,'Historico Vendas'!E:E),0)</f>
        <v>0</v>
      </c>
      <c r="AF74" s="29" t="str">
        <f t="shared" si="53"/>
        <v/>
      </c>
      <c r="AG74" s="24">
        <f>IFERROR(_xlfn.XLOOKUP(N74&amp;P74,'Historico Vendas'!G:G,'Historico Vendas'!F:F),0)</f>
        <v>0</v>
      </c>
      <c r="AH74" s="25">
        <f t="shared" si="73"/>
        <v>0</v>
      </c>
      <c r="AI74" s="24">
        <f t="shared" si="74"/>
        <v>0</v>
      </c>
      <c r="AJ74" s="11" t="str">
        <f t="shared" si="71"/>
        <v/>
      </c>
      <c r="AK74" s="9" t="s">
        <v>102</v>
      </c>
      <c r="AL74" s="13">
        <f>IFERROR(INDEX('Balizador da Meta'!$D$3:$F$23,MATCH(Faturamento!$P74,'Balizador da Meta'!$C$3:$C$23,0),MATCH(Faturamento!AK74,'Balizador da Meta'!$D$2:$F$2,0)),"")</f>
        <v>0.2</v>
      </c>
      <c r="AM74" s="9"/>
    </row>
    <row r="75" spans="1:39" x14ac:dyDescent="0.3">
      <c r="A75" s="2" t="str">
        <f t="shared" si="54"/>
        <v>SIM</v>
      </c>
      <c r="B75" s="2" t="str">
        <f>_xlfn.XLOOKUP($N75,'Base de Grupos'!$A:$A,'Base de Grupos'!$D:$D)</f>
        <v>1000065763</v>
      </c>
      <c r="C75" s="5" t="str">
        <f>_xlfn.XLOOKUP($N75,'Base de Grupos'!$A:$A,'Base de Grupos'!$E:$E)</f>
        <v>CANAL VENDA INTERNA</v>
      </c>
      <c r="D75" s="5" t="str">
        <f>_xlfn.XLOOKUP($N75,'Base de Grupos'!$A:$A,'Base de Grupos'!$F:$F)</f>
        <v>1000065763</v>
      </c>
      <c r="E75" s="2" t="str">
        <f>_xlfn.XLOOKUP($N75,'Base de Grupos'!$A:$A,'Base de Grupos'!$G:$G)</f>
        <v>CANAL VENDA INTERNA</v>
      </c>
      <c r="F75" s="2" t="str">
        <f>_xlfn.XLOOKUP($N75,'Base de Grupos'!$A:$A,'Base de Grupos'!$H:$H)</f>
        <v>1000105900</v>
      </c>
      <c r="G75" s="5" t="str">
        <f>_xlfn.XLOOKUP($N75,'Base de Grupos'!$A:$A,'Base de Grupos'!$I:$I)</f>
        <v>REGIONAL VENDA DIRETA CO + NE + NO</v>
      </c>
      <c r="H75" s="5" t="str">
        <f>_xlfn.XLOOKUP($N75,'Base de Grupos'!$A:$A,'Base de Grupos'!$J:$J)</f>
        <v>1000105900</v>
      </c>
      <c r="I75" s="2" t="str">
        <f>_xlfn.XLOOKUP($N75,'Base de Grupos'!$A:$A,'Base de Grupos'!$K:$K)</f>
        <v>REGIONAL VENDA DIRETA CO + NE + NO</v>
      </c>
      <c r="J75" s="2" t="str">
        <f>_xlfn.XLOOKUP($N75,'Base de Grupos'!$A:$A,'Base de Grupos'!$L:$L)</f>
        <v>1000150135</v>
      </c>
      <c r="K75" s="5" t="str">
        <f>_xlfn.XLOOKUP($N75,'Base de Grupos'!$A:$A,'Base de Grupos'!$M:$M)</f>
        <v>HELDER DA SILVA BRUNKOW</v>
      </c>
      <c r="L75" s="5">
        <f t="shared" si="55"/>
        <v>1</v>
      </c>
      <c r="M75" s="5" t="str">
        <f>_xlfn.XLOOKUP($N75,'Base de Grupos'!$A:$A,'Base de Grupos'!$C:$C)</f>
        <v>PE</v>
      </c>
      <c r="N75" s="3">
        <v>1328</v>
      </c>
      <c r="O75" s="4" t="s">
        <v>228</v>
      </c>
      <c r="P75" s="5" t="s">
        <v>298</v>
      </c>
      <c r="Q75" s="56">
        <f t="shared" ref="Q75" si="76">SUM(Q76:Q92)</f>
        <v>0</v>
      </c>
      <c r="R75" s="56">
        <f t="shared" ref="R75" si="77">SUM(R76:R92)</f>
        <v>0</v>
      </c>
      <c r="S75" s="56">
        <f t="shared" ref="S75" si="78">SUM(S76:S92)</f>
        <v>0</v>
      </c>
      <c r="T75" s="56">
        <f t="shared" ref="T75" si="79">SUM(T76:T92)</f>
        <v>2000</v>
      </c>
      <c r="U75" s="56">
        <f t="shared" ref="U75" si="80">SUM(U76:U92)</f>
        <v>2000</v>
      </c>
      <c r="V75" s="56">
        <f t="shared" ref="V75" si="81">SUM(V76:V92)</f>
        <v>2000</v>
      </c>
      <c r="W75" s="56">
        <f t="shared" ref="W75" si="82">SUM(W76:W92)</f>
        <v>3000</v>
      </c>
      <c r="X75" s="56">
        <f t="shared" ref="X75" si="83">SUM(X76:X92)</f>
        <v>3300</v>
      </c>
      <c r="Y75" s="56">
        <f t="shared" ref="Y75" si="84">SUM(Y76:Y92)</f>
        <v>3300</v>
      </c>
      <c r="Z75" s="56">
        <f t="shared" ref="Z75" si="85">SUM(Z76:Z92)</f>
        <v>4400</v>
      </c>
      <c r="AA75" s="56">
        <f t="shared" ref="AA75" si="86">SUM(AA76:AA92)</f>
        <v>4400</v>
      </c>
      <c r="AB75" s="56">
        <f t="shared" ref="AB75" si="87">SUM(AB76:AB92)</f>
        <v>3300</v>
      </c>
      <c r="AC75" s="56">
        <f t="shared" ref="AC75" si="88">SUM(AC76:AC92)</f>
        <v>27700</v>
      </c>
      <c r="AD75" s="25">
        <f t="shared" ref="AD75" si="89">SUM(AD76:AD92)</f>
        <v>27700</v>
      </c>
      <c r="AE75" s="25">
        <f t="shared" ref="AE75:AI75" si="90">SUM(AE76:AE92)</f>
        <v>0</v>
      </c>
      <c r="AF75" s="11" t="str">
        <f t="shared" si="53"/>
        <v/>
      </c>
      <c r="AG75" s="24">
        <f t="shared" si="90"/>
        <v>0</v>
      </c>
      <c r="AH75" s="25">
        <f t="shared" si="90"/>
        <v>0</v>
      </c>
      <c r="AI75" s="24">
        <f t="shared" si="90"/>
        <v>0</v>
      </c>
      <c r="AJ75" s="11" t="str">
        <f t="shared" si="71"/>
        <v/>
      </c>
      <c r="AK75" s="9"/>
      <c r="AL75" s="13"/>
      <c r="AM75" s="9"/>
    </row>
    <row r="76" spans="1:39" x14ac:dyDescent="0.3">
      <c r="A76" s="2" t="str">
        <f t="shared" si="54"/>
        <v>NÃO</v>
      </c>
      <c r="B76" s="2" t="str">
        <f>_xlfn.XLOOKUP($N76,'Base de Grupos'!$A:$A,'Base de Grupos'!$D:$D)</f>
        <v>1000065763</v>
      </c>
      <c r="C76" s="5" t="str">
        <f>_xlfn.XLOOKUP($N76,'Base de Grupos'!$A:$A,'Base de Grupos'!$E:$E)</f>
        <v>CANAL VENDA INTERNA</v>
      </c>
      <c r="D76" s="5" t="str">
        <f>_xlfn.XLOOKUP($N76,'Base de Grupos'!$A:$A,'Base de Grupos'!$F:$F)</f>
        <v>1000065763</v>
      </c>
      <c r="E76" s="2" t="str">
        <f>_xlfn.XLOOKUP($N76,'Base de Grupos'!$A:$A,'Base de Grupos'!$G:$G)</f>
        <v>CANAL VENDA INTERNA</v>
      </c>
      <c r="F76" s="2" t="str">
        <f>_xlfn.XLOOKUP($N76,'Base de Grupos'!$A:$A,'Base de Grupos'!$H:$H)</f>
        <v>1000105900</v>
      </c>
      <c r="G76" s="5" t="str">
        <f>_xlfn.XLOOKUP($N76,'Base de Grupos'!$A:$A,'Base de Grupos'!$I:$I)</f>
        <v>REGIONAL VENDA DIRETA CO + NE + NO</v>
      </c>
      <c r="H76" s="5" t="str">
        <f>_xlfn.XLOOKUP($N76,'Base de Grupos'!$A:$A,'Base de Grupos'!$J:$J)</f>
        <v>1000105900</v>
      </c>
      <c r="I76" s="2" t="str">
        <f>_xlfn.XLOOKUP($N76,'Base de Grupos'!$A:$A,'Base de Grupos'!$K:$K)</f>
        <v>REGIONAL VENDA DIRETA CO + NE + NO</v>
      </c>
      <c r="J76" s="2" t="str">
        <f>_xlfn.XLOOKUP($N76,'Base de Grupos'!$A:$A,'Base de Grupos'!$L:$L)</f>
        <v>1000150135</v>
      </c>
      <c r="K76" s="5" t="str">
        <f>_xlfn.XLOOKUP($N76,'Base de Grupos'!$A:$A,'Base de Grupos'!$M:$M)</f>
        <v>HELDER DA SILVA BRUNKOW</v>
      </c>
      <c r="L76" s="5" t="str">
        <f t="shared" si="55"/>
        <v/>
      </c>
      <c r="M76" s="5" t="str">
        <f>_xlfn.XLOOKUP($N76,'Base de Grupos'!$A:$A,'Base de Grupos'!$C:$C)</f>
        <v>PE</v>
      </c>
      <c r="N76" s="3">
        <v>1328</v>
      </c>
      <c r="O76" s="4" t="s">
        <v>228</v>
      </c>
      <c r="P76" s="5" t="s">
        <v>81</v>
      </c>
      <c r="Q76" s="56">
        <v>0</v>
      </c>
      <c r="R76" s="56">
        <v>0</v>
      </c>
      <c r="S76" s="56">
        <v>0</v>
      </c>
      <c r="T76" s="56">
        <f>_xlfn.XLOOKUP($N76,'Calculo Leads'!$A$97:$A$134,'Calculo Leads'!G$97:G$134)*_xlfn.XLOOKUP($P76,'Base Grupo de Produtos'!$E$2:$E$18,'Base Grupo de Produtos'!$F$2:$F$18)</f>
        <v>100</v>
      </c>
      <c r="U76" s="56">
        <f>_xlfn.XLOOKUP($N76,'Calculo Leads'!$A$97:$A$134,'Calculo Leads'!H$97:H$134)*_xlfn.XLOOKUP($P76,'Base Grupo de Produtos'!$E$2:$E$18,'Base Grupo de Produtos'!$F$2:$F$18)</f>
        <v>100</v>
      </c>
      <c r="V76" s="56">
        <f>_xlfn.XLOOKUP($N76,'Calculo Leads'!$A$97:$A$134,'Calculo Leads'!I$97:I$134)*_xlfn.XLOOKUP($P76,'Base Grupo de Produtos'!$E$2:$E$18,'Base Grupo de Produtos'!$F$2:$F$18)</f>
        <v>100</v>
      </c>
      <c r="W76" s="56">
        <f>_xlfn.XLOOKUP($N76,'Calculo Leads'!$A$97:$A$134,'Calculo Leads'!J$97:J$134)*_xlfn.XLOOKUP($P76,'Base Grupo de Produtos'!$E$2:$E$18,'Base Grupo de Produtos'!$F$2:$F$18)</f>
        <v>150</v>
      </c>
      <c r="X76" s="56">
        <f>_xlfn.XLOOKUP($N76,'Calculo Leads'!$A$97:$A$134,'Calculo Leads'!K$97:K$134)*_xlfn.XLOOKUP($P76,'Base Grupo de Produtos'!$E$2:$E$18,'Base Grupo de Produtos'!$F$2:$F$18)</f>
        <v>165</v>
      </c>
      <c r="Y76" s="56">
        <f>_xlfn.XLOOKUP($N76,'Calculo Leads'!$A$97:$A$134,'Calculo Leads'!L$97:L$134)*_xlfn.XLOOKUP($P76,'Base Grupo de Produtos'!$E$2:$E$18,'Base Grupo de Produtos'!$F$2:$F$18)</f>
        <v>165</v>
      </c>
      <c r="Z76" s="56">
        <f>_xlfn.XLOOKUP($N76,'Calculo Leads'!$A$97:$A$134,'Calculo Leads'!M$97:M$134)*_xlfn.XLOOKUP($P76,'Base Grupo de Produtos'!$E$2:$E$18,'Base Grupo de Produtos'!$F$2:$F$18)</f>
        <v>220</v>
      </c>
      <c r="AA76" s="56">
        <f>_xlfn.XLOOKUP($N76,'Calculo Leads'!$A$97:$A$134,'Calculo Leads'!N$97:N$134)*_xlfn.XLOOKUP($P76,'Base Grupo de Produtos'!$E$2:$E$18,'Base Grupo de Produtos'!$F$2:$F$18)</f>
        <v>220</v>
      </c>
      <c r="AB76" s="56">
        <f>_xlfn.XLOOKUP($N76,'Calculo Leads'!$A$97:$A$134,'Calculo Leads'!O$97:O$134)*_xlfn.XLOOKUP($P76,'Base Grupo de Produtos'!$E$2:$E$18,'Base Grupo de Produtos'!$F$2:$F$18)</f>
        <v>165</v>
      </c>
      <c r="AC76" s="61">
        <f t="shared" si="75"/>
        <v>1385</v>
      </c>
      <c r="AD76" s="27">
        <f t="shared" ref="AD76:AD92" si="91">IF(AC76=0,0,AC76-AG76)</f>
        <v>1385</v>
      </c>
      <c r="AE76" s="25">
        <f>IFERROR(_xlfn.XLOOKUP(N76&amp;P76,'Historico Vendas'!G:G,'Historico Vendas'!E:E),0)</f>
        <v>0</v>
      </c>
      <c r="AF76" s="29" t="str">
        <f t="shared" si="53"/>
        <v/>
      </c>
      <c r="AG76" s="24">
        <f>IFERROR(_xlfn.XLOOKUP(N76&amp;P76,'Historico Vendas'!G:G,'Historico Vendas'!F:F),0)</f>
        <v>0</v>
      </c>
      <c r="AH76" s="25">
        <f t="shared" ref="AH76:AH92" si="92">SUM(Q76:S76)</f>
        <v>0</v>
      </c>
      <c r="AI76" s="24">
        <f t="shared" ref="AI76:AI92" si="93">AH76-AG76</f>
        <v>0</v>
      </c>
      <c r="AJ76" s="11" t="str">
        <f t="shared" si="71"/>
        <v/>
      </c>
      <c r="AK76" s="9" t="s">
        <v>102</v>
      </c>
      <c r="AL76" s="13">
        <f>IFERROR(INDEX('Balizador da Meta'!$D$3:$F$23,MATCH(Faturamento!$P76,'Balizador da Meta'!$C$3:$C$23,0),MATCH(Faturamento!AK76,'Balizador da Meta'!$D$2:$F$2,0)),"")</f>
        <v>0.2</v>
      </c>
      <c r="AM76" s="9"/>
    </row>
    <row r="77" spans="1:39" x14ac:dyDescent="0.3">
      <c r="A77" s="2" t="str">
        <f t="shared" si="54"/>
        <v>NÃO</v>
      </c>
      <c r="B77" s="2" t="str">
        <f>_xlfn.XLOOKUP($N77,'Base de Grupos'!$A:$A,'Base de Grupos'!$D:$D)</f>
        <v>1000065763</v>
      </c>
      <c r="C77" s="5" t="str">
        <f>_xlfn.XLOOKUP($N77,'Base de Grupos'!$A:$A,'Base de Grupos'!$E:$E)</f>
        <v>CANAL VENDA INTERNA</v>
      </c>
      <c r="D77" s="5" t="str">
        <f>_xlfn.XLOOKUP($N77,'Base de Grupos'!$A:$A,'Base de Grupos'!$F:$F)</f>
        <v>1000065763</v>
      </c>
      <c r="E77" s="2" t="str">
        <f>_xlfn.XLOOKUP($N77,'Base de Grupos'!$A:$A,'Base de Grupos'!$G:$G)</f>
        <v>CANAL VENDA INTERNA</v>
      </c>
      <c r="F77" s="2" t="str">
        <f>_xlfn.XLOOKUP($N77,'Base de Grupos'!$A:$A,'Base de Grupos'!$H:$H)</f>
        <v>1000105900</v>
      </c>
      <c r="G77" s="5" t="str">
        <f>_xlfn.XLOOKUP($N77,'Base de Grupos'!$A:$A,'Base de Grupos'!$I:$I)</f>
        <v>REGIONAL VENDA DIRETA CO + NE + NO</v>
      </c>
      <c r="H77" s="5" t="str">
        <f>_xlfn.XLOOKUP($N77,'Base de Grupos'!$A:$A,'Base de Grupos'!$J:$J)</f>
        <v>1000105900</v>
      </c>
      <c r="I77" s="2" t="str">
        <f>_xlfn.XLOOKUP($N77,'Base de Grupos'!$A:$A,'Base de Grupos'!$K:$K)</f>
        <v>REGIONAL VENDA DIRETA CO + NE + NO</v>
      </c>
      <c r="J77" s="2" t="str">
        <f>_xlfn.XLOOKUP($N77,'Base de Grupos'!$A:$A,'Base de Grupos'!$L:$L)</f>
        <v>1000150135</v>
      </c>
      <c r="K77" s="5" t="str">
        <f>_xlfn.XLOOKUP($N77,'Base de Grupos'!$A:$A,'Base de Grupos'!$M:$M)</f>
        <v>HELDER DA SILVA BRUNKOW</v>
      </c>
      <c r="L77" s="5" t="str">
        <f t="shared" si="55"/>
        <v/>
      </c>
      <c r="M77" s="5" t="str">
        <f>_xlfn.XLOOKUP($N77,'Base de Grupos'!$A:$A,'Base de Grupos'!$C:$C)</f>
        <v>PE</v>
      </c>
      <c r="N77" s="3">
        <v>1328</v>
      </c>
      <c r="O77" s="4" t="s">
        <v>228</v>
      </c>
      <c r="P77" s="5" t="s">
        <v>82</v>
      </c>
      <c r="Q77" s="56">
        <v>0</v>
      </c>
      <c r="R77" s="56">
        <v>0</v>
      </c>
      <c r="S77" s="56">
        <v>0</v>
      </c>
      <c r="T77" s="56">
        <f>_xlfn.XLOOKUP($N77,'Calculo Leads'!$A$97:$A$134,'Calculo Leads'!G$97:G$134)*_xlfn.XLOOKUP($P77,'Base Grupo de Produtos'!$E$2:$E$18,'Base Grupo de Produtos'!$F$2:$F$18)</f>
        <v>100</v>
      </c>
      <c r="U77" s="56">
        <f>_xlfn.XLOOKUP($N77,'Calculo Leads'!$A$97:$A$134,'Calculo Leads'!H$97:H$134)*_xlfn.XLOOKUP($P77,'Base Grupo de Produtos'!$E$2:$E$18,'Base Grupo de Produtos'!$F$2:$F$18)</f>
        <v>100</v>
      </c>
      <c r="V77" s="56">
        <f>_xlfn.XLOOKUP($N77,'Calculo Leads'!$A$97:$A$134,'Calculo Leads'!I$97:I$134)*_xlfn.XLOOKUP($P77,'Base Grupo de Produtos'!$E$2:$E$18,'Base Grupo de Produtos'!$F$2:$F$18)</f>
        <v>100</v>
      </c>
      <c r="W77" s="56">
        <f>_xlfn.XLOOKUP($N77,'Calculo Leads'!$A$97:$A$134,'Calculo Leads'!J$97:J$134)*_xlfn.XLOOKUP($P77,'Base Grupo de Produtos'!$E$2:$E$18,'Base Grupo de Produtos'!$F$2:$F$18)</f>
        <v>150</v>
      </c>
      <c r="X77" s="56">
        <f>_xlfn.XLOOKUP($N77,'Calculo Leads'!$A$97:$A$134,'Calculo Leads'!K$97:K$134)*_xlfn.XLOOKUP($P77,'Base Grupo de Produtos'!$E$2:$E$18,'Base Grupo de Produtos'!$F$2:$F$18)</f>
        <v>165</v>
      </c>
      <c r="Y77" s="56">
        <f>_xlfn.XLOOKUP($N77,'Calculo Leads'!$A$97:$A$134,'Calculo Leads'!L$97:L$134)*_xlfn.XLOOKUP($P77,'Base Grupo de Produtos'!$E$2:$E$18,'Base Grupo de Produtos'!$F$2:$F$18)</f>
        <v>165</v>
      </c>
      <c r="Z77" s="56">
        <f>_xlfn.XLOOKUP($N77,'Calculo Leads'!$A$97:$A$134,'Calculo Leads'!M$97:M$134)*_xlfn.XLOOKUP($P77,'Base Grupo de Produtos'!$E$2:$E$18,'Base Grupo de Produtos'!$F$2:$F$18)</f>
        <v>220</v>
      </c>
      <c r="AA77" s="56">
        <f>_xlfn.XLOOKUP($N77,'Calculo Leads'!$A$97:$A$134,'Calculo Leads'!N$97:N$134)*_xlfn.XLOOKUP($P77,'Base Grupo de Produtos'!$E$2:$E$18,'Base Grupo de Produtos'!$F$2:$F$18)</f>
        <v>220</v>
      </c>
      <c r="AB77" s="56">
        <f>_xlfn.XLOOKUP($N77,'Calculo Leads'!$A$97:$A$134,'Calculo Leads'!O$97:O$134)*_xlfn.XLOOKUP($P77,'Base Grupo de Produtos'!$E$2:$E$18,'Base Grupo de Produtos'!$F$2:$F$18)</f>
        <v>165</v>
      </c>
      <c r="AC77" s="61">
        <f t="shared" si="75"/>
        <v>1385</v>
      </c>
      <c r="AD77" s="27">
        <f t="shared" si="91"/>
        <v>1385</v>
      </c>
      <c r="AE77" s="25">
        <f>IFERROR(_xlfn.XLOOKUP(N77&amp;P77,'Historico Vendas'!G:G,'Historico Vendas'!E:E),0)</f>
        <v>0</v>
      </c>
      <c r="AF77" s="29" t="str">
        <f t="shared" si="53"/>
        <v/>
      </c>
      <c r="AG77" s="24">
        <f>IFERROR(_xlfn.XLOOKUP(N77&amp;P77,'Historico Vendas'!G:G,'Historico Vendas'!F:F),0)</f>
        <v>0</v>
      </c>
      <c r="AH77" s="25">
        <f t="shared" si="92"/>
        <v>0</v>
      </c>
      <c r="AI77" s="24">
        <f t="shared" si="93"/>
        <v>0</v>
      </c>
      <c r="AJ77" s="11" t="str">
        <f t="shared" si="71"/>
        <v/>
      </c>
      <c r="AK77" s="9" t="s">
        <v>102</v>
      </c>
      <c r="AL77" s="13">
        <f>IFERROR(INDEX('Balizador da Meta'!$D$3:$F$23,MATCH(Faturamento!$P77,'Balizador da Meta'!$C$3:$C$23,0),MATCH(Faturamento!AK77,'Balizador da Meta'!$D$2:$F$2,0)),"")</f>
        <v>0.2</v>
      </c>
      <c r="AM77" s="9"/>
    </row>
    <row r="78" spans="1:39" x14ac:dyDescent="0.3">
      <c r="A78" s="2" t="str">
        <f t="shared" si="54"/>
        <v>NÃO</v>
      </c>
      <c r="B78" s="2" t="str">
        <f>_xlfn.XLOOKUP($N78,'Base de Grupos'!$A:$A,'Base de Grupos'!$D:$D)</f>
        <v>1000065763</v>
      </c>
      <c r="C78" s="5" t="str">
        <f>_xlfn.XLOOKUP($N78,'Base de Grupos'!$A:$A,'Base de Grupos'!$E:$E)</f>
        <v>CANAL VENDA INTERNA</v>
      </c>
      <c r="D78" s="5" t="str">
        <f>_xlfn.XLOOKUP($N78,'Base de Grupos'!$A:$A,'Base de Grupos'!$F:$F)</f>
        <v>1000065763</v>
      </c>
      <c r="E78" s="2" t="str">
        <f>_xlfn.XLOOKUP($N78,'Base de Grupos'!$A:$A,'Base de Grupos'!$G:$G)</f>
        <v>CANAL VENDA INTERNA</v>
      </c>
      <c r="F78" s="2" t="str">
        <f>_xlfn.XLOOKUP($N78,'Base de Grupos'!$A:$A,'Base de Grupos'!$H:$H)</f>
        <v>1000105900</v>
      </c>
      <c r="G78" s="5" t="str">
        <f>_xlfn.XLOOKUP($N78,'Base de Grupos'!$A:$A,'Base de Grupos'!$I:$I)</f>
        <v>REGIONAL VENDA DIRETA CO + NE + NO</v>
      </c>
      <c r="H78" s="5" t="str">
        <f>_xlfn.XLOOKUP($N78,'Base de Grupos'!$A:$A,'Base de Grupos'!$J:$J)</f>
        <v>1000105900</v>
      </c>
      <c r="I78" s="2" t="str">
        <f>_xlfn.XLOOKUP($N78,'Base de Grupos'!$A:$A,'Base de Grupos'!$K:$K)</f>
        <v>REGIONAL VENDA DIRETA CO + NE + NO</v>
      </c>
      <c r="J78" s="2" t="str">
        <f>_xlfn.XLOOKUP($N78,'Base de Grupos'!$A:$A,'Base de Grupos'!$L:$L)</f>
        <v>1000150135</v>
      </c>
      <c r="K78" s="5" t="str">
        <f>_xlfn.XLOOKUP($N78,'Base de Grupos'!$A:$A,'Base de Grupos'!$M:$M)</f>
        <v>HELDER DA SILVA BRUNKOW</v>
      </c>
      <c r="L78" s="5" t="str">
        <f t="shared" si="55"/>
        <v/>
      </c>
      <c r="M78" s="5" t="str">
        <f>_xlfn.XLOOKUP($N78,'Base de Grupos'!$A:$A,'Base de Grupos'!$C:$C)</f>
        <v>PE</v>
      </c>
      <c r="N78" s="3">
        <v>1328</v>
      </c>
      <c r="O78" s="4" t="s">
        <v>228</v>
      </c>
      <c r="P78" s="5" t="s">
        <v>84</v>
      </c>
      <c r="Q78" s="56">
        <v>0</v>
      </c>
      <c r="R78" s="56">
        <v>0</v>
      </c>
      <c r="S78" s="56">
        <v>0</v>
      </c>
      <c r="T78" s="56">
        <f>_xlfn.XLOOKUP($N78,'Calculo Leads'!$A$97:$A$134,'Calculo Leads'!G$97:G$134)*_xlfn.XLOOKUP($P78,'Base Grupo de Produtos'!$E$2:$E$18,'Base Grupo de Produtos'!$F$2:$F$18)</f>
        <v>160</v>
      </c>
      <c r="U78" s="56">
        <f>_xlfn.XLOOKUP($N78,'Calculo Leads'!$A$97:$A$134,'Calculo Leads'!H$97:H$134)*_xlfn.XLOOKUP($P78,'Base Grupo de Produtos'!$E$2:$E$18,'Base Grupo de Produtos'!$F$2:$F$18)</f>
        <v>160</v>
      </c>
      <c r="V78" s="56">
        <f>_xlfn.XLOOKUP($N78,'Calculo Leads'!$A$97:$A$134,'Calculo Leads'!I$97:I$134)*_xlfn.XLOOKUP($P78,'Base Grupo de Produtos'!$E$2:$E$18,'Base Grupo de Produtos'!$F$2:$F$18)</f>
        <v>160</v>
      </c>
      <c r="W78" s="56">
        <f>_xlfn.XLOOKUP($N78,'Calculo Leads'!$A$97:$A$134,'Calculo Leads'!J$97:J$134)*_xlfn.XLOOKUP($P78,'Base Grupo de Produtos'!$E$2:$E$18,'Base Grupo de Produtos'!$F$2:$F$18)</f>
        <v>240</v>
      </c>
      <c r="X78" s="56">
        <f>_xlfn.XLOOKUP($N78,'Calculo Leads'!$A$97:$A$134,'Calculo Leads'!K$97:K$134)*_xlfn.XLOOKUP($P78,'Base Grupo de Produtos'!$E$2:$E$18,'Base Grupo de Produtos'!$F$2:$F$18)</f>
        <v>264</v>
      </c>
      <c r="Y78" s="56">
        <f>_xlfn.XLOOKUP($N78,'Calculo Leads'!$A$97:$A$134,'Calculo Leads'!L$97:L$134)*_xlfn.XLOOKUP($P78,'Base Grupo de Produtos'!$E$2:$E$18,'Base Grupo de Produtos'!$F$2:$F$18)</f>
        <v>264</v>
      </c>
      <c r="Z78" s="56">
        <f>_xlfn.XLOOKUP($N78,'Calculo Leads'!$A$97:$A$134,'Calculo Leads'!M$97:M$134)*_xlfn.XLOOKUP($P78,'Base Grupo de Produtos'!$E$2:$E$18,'Base Grupo de Produtos'!$F$2:$F$18)</f>
        <v>352</v>
      </c>
      <c r="AA78" s="56">
        <f>_xlfn.XLOOKUP($N78,'Calculo Leads'!$A$97:$A$134,'Calculo Leads'!N$97:N$134)*_xlfn.XLOOKUP($P78,'Base Grupo de Produtos'!$E$2:$E$18,'Base Grupo de Produtos'!$F$2:$F$18)</f>
        <v>352</v>
      </c>
      <c r="AB78" s="56">
        <f>_xlfn.XLOOKUP($N78,'Calculo Leads'!$A$97:$A$134,'Calculo Leads'!O$97:O$134)*_xlfn.XLOOKUP($P78,'Base Grupo de Produtos'!$E$2:$E$18,'Base Grupo de Produtos'!$F$2:$F$18)</f>
        <v>264</v>
      </c>
      <c r="AC78" s="61">
        <f t="shared" si="75"/>
        <v>2216</v>
      </c>
      <c r="AD78" s="27">
        <f t="shared" si="91"/>
        <v>2216</v>
      </c>
      <c r="AE78" s="25">
        <f>IFERROR(_xlfn.XLOOKUP(N78&amp;P78,'Historico Vendas'!G:G,'Historico Vendas'!E:E),0)</f>
        <v>0</v>
      </c>
      <c r="AF78" s="29" t="str">
        <f t="shared" si="53"/>
        <v/>
      </c>
      <c r="AG78" s="24">
        <f>IFERROR(_xlfn.XLOOKUP(N78&amp;P78,'Historico Vendas'!G:G,'Historico Vendas'!F:F),0)</f>
        <v>0</v>
      </c>
      <c r="AH78" s="25">
        <f t="shared" si="92"/>
        <v>0</v>
      </c>
      <c r="AI78" s="24">
        <f t="shared" si="93"/>
        <v>0</v>
      </c>
      <c r="AJ78" s="11" t="str">
        <f t="shared" si="71"/>
        <v/>
      </c>
      <c r="AK78" s="9" t="s">
        <v>102</v>
      </c>
      <c r="AL78" s="13">
        <f>IFERROR(INDEX('Balizador da Meta'!$D$3:$F$23,MATCH(Faturamento!$P78,'Balizador da Meta'!$C$3:$C$23,0),MATCH(Faturamento!AK78,'Balizador da Meta'!$D$2:$F$2,0)),"")</f>
        <v>0.15</v>
      </c>
      <c r="AM78" s="9"/>
    </row>
    <row r="79" spans="1:39" x14ac:dyDescent="0.3">
      <c r="A79" s="2" t="str">
        <f t="shared" si="54"/>
        <v>NÃO</v>
      </c>
      <c r="B79" s="2" t="str">
        <f>_xlfn.XLOOKUP($N79,'Base de Grupos'!$A:$A,'Base de Grupos'!$D:$D)</f>
        <v>1000065763</v>
      </c>
      <c r="C79" s="5" t="str">
        <f>_xlfn.XLOOKUP($N79,'Base de Grupos'!$A:$A,'Base de Grupos'!$E:$E)</f>
        <v>CANAL VENDA INTERNA</v>
      </c>
      <c r="D79" s="5" t="str">
        <f>_xlfn.XLOOKUP($N79,'Base de Grupos'!$A:$A,'Base de Grupos'!$F:$F)</f>
        <v>1000065763</v>
      </c>
      <c r="E79" s="2" t="str">
        <f>_xlfn.XLOOKUP($N79,'Base de Grupos'!$A:$A,'Base de Grupos'!$G:$G)</f>
        <v>CANAL VENDA INTERNA</v>
      </c>
      <c r="F79" s="2" t="str">
        <f>_xlfn.XLOOKUP($N79,'Base de Grupos'!$A:$A,'Base de Grupos'!$H:$H)</f>
        <v>1000105900</v>
      </c>
      <c r="G79" s="5" t="str">
        <f>_xlfn.XLOOKUP($N79,'Base de Grupos'!$A:$A,'Base de Grupos'!$I:$I)</f>
        <v>REGIONAL VENDA DIRETA CO + NE + NO</v>
      </c>
      <c r="H79" s="5" t="str">
        <f>_xlfn.XLOOKUP($N79,'Base de Grupos'!$A:$A,'Base de Grupos'!$J:$J)</f>
        <v>1000105900</v>
      </c>
      <c r="I79" s="2" t="str">
        <f>_xlfn.XLOOKUP($N79,'Base de Grupos'!$A:$A,'Base de Grupos'!$K:$K)</f>
        <v>REGIONAL VENDA DIRETA CO + NE + NO</v>
      </c>
      <c r="J79" s="2" t="str">
        <f>_xlfn.XLOOKUP($N79,'Base de Grupos'!$A:$A,'Base de Grupos'!$L:$L)</f>
        <v>1000150135</v>
      </c>
      <c r="K79" s="5" t="str">
        <f>_xlfn.XLOOKUP($N79,'Base de Grupos'!$A:$A,'Base de Grupos'!$M:$M)</f>
        <v>HELDER DA SILVA BRUNKOW</v>
      </c>
      <c r="L79" s="5" t="str">
        <f t="shared" si="55"/>
        <v/>
      </c>
      <c r="M79" s="5" t="str">
        <f>_xlfn.XLOOKUP($N79,'Base de Grupos'!$A:$A,'Base de Grupos'!$C:$C)</f>
        <v>PE</v>
      </c>
      <c r="N79" s="3">
        <v>1328</v>
      </c>
      <c r="O79" s="4" t="s">
        <v>228</v>
      </c>
      <c r="P79" s="5" t="s">
        <v>83</v>
      </c>
      <c r="Q79" s="56">
        <v>0</v>
      </c>
      <c r="R79" s="56">
        <v>0</v>
      </c>
      <c r="S79" s="56">
        <v>0</v>
      </c>
      <c r="T79" s="56">
        <f>_xlfn.XLOOKUP($N79,'Calculo Leads'!$A$97:$A$134,'Calculo Leads'!G$97:G$134)*_xlfn.XLOOKUP($P79,'Base Grupo de Produtos'!$E$2:$E$18,'Base Grupo de Produtos'!$F$2:$F$18)</f>
        <v>200</v>
      </c>
      <c r="U79" s="56">
        <f>_xlfn.XLOOKUP($N79,'Calculo Leads'!$A$97:$A$134,'Calculo Leads'!H$97:H$134)*_xlfn.XLOOKUP($P79,'Base Grupo de Produtos'!$E$2:$E$18,'Base Grupo de Produtos'!$F$2:$F$18)</f>
        <v>200</v>
      </c>
      <c r="V79" s="56">
        <f>_xlfn.XLOOKUP($N79,'Calculo Leads'!$A$97:$A$134,'Calculo Leads'!I$97:I$134)*_xlfn.XLOOKUP($P79,'Base Grupo de Produtos'!$E$2:$E$18,'Base Grupo de Produtos'!$F$2:$F$18)</f>
        <v>200</v>
      </c>
      <c r="W79" s="56">
        <f>_xlfn.XLOOKUP($N79,'Calculo Leads'!$A$97:$A$134,'Calculo Leads'!J$97:J$134)*_xlfn.XLOOKUP($P79,'Base Grupo de Produtos'!$E$2:$E$18,'Base Grupo de Produtos'!$F$2:$F$18)</f>
        <v>300</v>
      </c>
      <c r="X79" s="56">
        <f>_xlfn.XLOOKUP($N79,'Calculo Leads'!$A$97:$A$134,'Calculo Leads'!K$97:K$134)*_xlfn.XLOOKUP($P79,'Base Grupo de Produtos'!$E$2:$E$18,'Base Grupo de Produtos'!$F$2:$F$18)</f>
        <v>330</v>
      </c>
      <c r="Y79" s="56">
        <f>_xlfn.XLOOKUP($N79,'Calculo Leads'!$A$97:$A$134,'Calculo Leads'!L$97:L$134)*_xlfn.XLOOKUP($P79,'Base Grupo de Produtos'!$E$2:$E$18,'Base Grupo de Produtos'!$F$2:$F$18)</f>
        <v>330</v>
      </c>
      <c r="Z79" s="56">
        <f>_xlfn.XLOOKUP($N79,'Calculo Leads'!$A$97:$A$134,'Calculo Leads'!M$97:M$134)*_xlfn.XLOOKUP($P79,'Base Grupo de Produtos'!$E$2:$E$18,'Base Grupo de Produtos'!$F$2:$F$18)</f>
        <v>440</v>
      </c>
      <c r="AA79" s="56">
        <f>_xlfn.XLOOKUP($N79,'Calculo Leads'!$A$97:$A$134,'Calculo Leads'!N$97:N$134)*_xlfn.XLOOKUP($P79,'Base Grupo de Produtos'!$E$2:$E$18,'Base Grupo de Produtos'!$F$2:$F$18)</f>
        <v>440</v>
      </c>
      <c r="AB79" s="56">
        <f>_xlfn.XLOOKUP($N79,'Calculo Leads'!$A$97:$A$134,'Calculo Leads'!O$97:O$134)*_xlfn.XLOOKUP($P79,'Base Grupo de Produtos'!$E$2:$E$18,'Base Grupo de Produtos'!$F$2:$F$18)</f>
        <v>330</v>
      </c>
      <c r="AC79" s="61">
        <f t="shared" si="75"/>
        <v>2770</v>
      </c>
      <c r="AD79" s="27">
        <f t="shared" si="91"/>
        <v>2770</v>
      </c>
      <c r="AE79" s="25">
        <f>IFERROR(_xlfn.XLOOKUP(N79&amp;P79,'Historico Vendas'!G:G,'Historico Vendas'!E:E),0)</f>
        <v>0</v>
      </c>
      <c r="AF79" s="29" t="str">
        <f t="shared" si="53"/>
        <v/>
      </c>
      <c r="AG79" s="24">
        <f>IFERROR(_xlfn.XLOOKUP(N79&amp;P79,'Historico Vendas'!G:G,'Historico Vendas'!F:F),0)</f>
        <v>0</v>
      </c>
      <c r="AH79" s="25">
        <f t="shared" si="92"/>
        <v>0</v>
      </c>
      <c r="AI79" s="24">
        <f t="shared" si="93"/>
        <v>0</v>
      </c>
      <c r="AJ79" s="11" t="str">
        <f t="shared" si="71"/>
        <v/>
      </c>
      <c r="AK79" s="9" t="s">
        <v>102</v>
      </c>
      <c r="AL79" s="13">
        <f>IFERROR(INDEX('Balizador da Meta'!$D$3:$F$23,MATCH(Faturamento!$P79,'Balizador da Meta'!$C$3:$C$23,0),MATCH(Faturamento!AK79,'Balizador da Meta'!$D$2:$F$2,0)),"")</f>
        <v>0</v>
      </c>
      <c r="AM79" s="9"/>
    </row>
    <row r="80" spans="1:39" x14ac:dyDescent="0.3">
      <c r="A80" s="2" t="str">
        <f t="shared" si="54"/>
        <v>NÃO</v>
      </c>
      <c r="B80" s="2" t="str">
        <f>_xlfn.XLOOKUP($N80,'Base de Grupos'!$A:$A,'Base de Grupos'!$D:$D)</f>
        <v>1000065763</v>
      </c>
      <c r="C80" s="5" t="str">
        <f>_xlfn.XLOOKUP($N80,'Base de Grupos'!$A:$A,'Base de Grupos'!$E:$E)</f>
        <v>CANAL VENDA INTERNA</v>
      </c>
      <c r="D80" s="5" t="str">
        <f>_xlfn.XLOOKUP($N80,'Base de Grupos'!$A:$A,'Base de Grupos'!$F:$F)</f>
        <v>1000065763</v>
      </c>
      <c r="E80" s="2" t="str">
        <f>_xlfn.XLOOKUP($N80,'Base de Grupos'!$A:$A,'Base de Grupos'!$G:$G)</f>
        <v>CANAL VENDA INTERNA</v>
      </c>
      <c r="F80" s="2" t="str">
        <f>_xlfn.XLOOKUP($N80,'Base de Grupos'!$A:$A,'Base de Grupos'!$H:$H)</f>
        <v>1000105900</v>
      </c>
      <c r="G80" s="5" t="str">
        <f>_xlfn.XLOOKUP($N80,'Base de Grupos'!$A:$A,'Base de Grupos'!$I:$I)</f>
        <v>REGIONAL VENDA DIRETA CO + NE + NO</v>
      </c>
      <c r="H80" s="5" t="str">
        <f>_xlfn.XLOOKUP($N80,'Base de Grupos'!$A:$A,'Base de Grupos'!$J:$J)</f>
        <v>1000105900</v>
      </c>
      <c r="I80" s="2" t="str">
        <f>_xlfn.XLOOKUP($N80,'Base de Grupos'!$A:$A,'Base de Grupos'!$K:$K)</f>
        <v>REGIONAL VENDA DIRETA CO + NE + NO</v>
      </c>
      <c r="J80" s="2" t="str">
        <f>_xlfn.XLOOKUP($N80,'Base de Grupos'!$A:$A,'Base de Grupos'!$L:$L)</f>
        <v>1000150135</v>
      </c>
      <c r="K80" s="5" t="str">
        <f>_xlfn.XLOOKUP($N80,'Base de Grupos'!$A:$A,'Base de Grupos'!$M:$M)</f>
        <v>HELDER DA SILVA BRUNKOW</v>
      </c>
      <c r="L80" s="5" t="str">
        <f t="shared" si="55"/>
        <v/>
      </c>
      <c r="M80" s="5" t="str">
        <f>_xlfn.XLOOKUP($N80,'Base de Grupos'!$A:$A,'Base de Grupos'!$C:$C)</f>
        <v>PE</v>
      </c>
      <c r="N80" s="3">
        <v>1328</v>
      </c>
      <c r="O80" s="4" t="s">
        <v>228</v>
      </c>
      <c r="P80" s="5" t="s">
        <v>87</v>
      </c>
      <c r="Q80" s="56">
        <v>0</v>
      </c>
      <c r="R80" s="56">
        <v>0</v>
      </c>
      <c r="S80" s="56">
        <v>0</v>
      </c>
      <c r="T80" s="56">
        <f>_xlfn.XLOOKUP($N80,'Calculo Leads'!$A$97:$A$134,'Calculo Leads'!G$97:G$134)*_xlfn.XLOOKUP($P80,'Base Grupo de Produtos'!$E$2:$E$18,'Base Grupo de Produtos'!$F$2:$F$18)</f>
        <v>39.999999999999993</v>
      </c>
      <c r="U80" s="56">
        <f>_xlfn.XLOOKUP($N80,'Calculo Leads'!$A$97:$A$134,'Calculo Leads'!H$97:H$134)*_xlfn.XLOOKUP($P80,'Base Grupo de Produtos'!$E$2:$E$18,'Base Grupo de Produtos'!$F$2:$F$18)</f>
        <v>39.999999999999993</v>
      </c>
      <c r="V80" s="56">
        <f>_xlfn.XLOOKUP($N80,'Calculo Leads'!$A$97:$A$134,'Calculo Leads'!I$97:I$134)*_xlfn.XLOOKUP($P80,'Base Grupo de Produtos'!$E$2:$E$18,'Base Grupo de Produtos'!$F$2:$F$18)</f>
        <v>39.999999999999993</v>
      </c>
      <c r="W80" s="56">
        <f>_xlfn.XLOOKUP($N80,'Calculo Leads'!$A$97:$A$134,'Calculo Leads'!J$97:J$134)*_xlfn.XLOOKUP($P80,'Base Grupo de Produtos'!$E$2:$E$18,'Base Grupo de Produtos'!$F$2:$F$18)</f>
        <v>59.999999999999993</v>
      </c>
      <c r="X80" s="56">
        <f>_xlfn.XLOOKUP($N80,'Calculo Leads'!$A$97:$A$134,'Calculo Leads'!K$97:K$134)*_xlfn.XLOOKUP($P80,'Base Grupo de Produtos'!$E$2:$E$18,'Base Grupo de Produtos'!$F$2:$F$18)</f>
        <v>65.999999999999986</v>
      </c>
      <c r="Y80" s="56">
        <f>_xlfn.XLOOKUP($N80,'Calculo Leads'!$A$97:$A$134,'Calculo Leads'!L$97:L$134)*_xlfn.XLOOKUP($P80,'Base Grupo de Produtos'!$E$2:$E$18,'Base Grupo de Produtos'!$F$2:$F$18)</f>
        <v>65.999999999999986</v>
      </c>
      <c r="Z80" s="56">
        <f>_xlfn.XLOOKUP($N80,'Calculo Leads'!$A$97:$A$134,'Calculo Leads'!M$97:M$134)*_xlfn.XLOOKUP($P80,'Base Grupo de Produtos'!$E$2:$E$18,'Base Grupo de Produtos'!$F$2:$F$18)</f>
        <v>87.999999999999986</v>
      </c>
      <c r="AA80" s="56">
        <f>_xlfn.XLOOKUP($N80,'Calculo Leads'!$A$97:$A$134,'Calculo Leads'!N$97:N$134)*_xlfn.XLOOKUP($P80,'Base Grupo de Produtos'!$E$2:$E$18,'Base Grupo de Produtos'!$F$2:$F$18)</f>
        <v>87.999999999999986</v>
      </c>
      <c r="AB80" s="56">
        <f>_xlfn.XLOOKUP($N80,'Calculo Leads'!$A$97:$A$134,'Calculo Leads'!O$97:O$134)*_xlfn.XLOOKUP($P80,'Base Grupo de Produtos'!$E$2:$E$18,'Base Grupo de Produtos'!$F$2:$F$18)</f>
        <v>65.999999999999986</v>
      </c>
      <c r="AC80" s="61">
        <f t="shared" si="75"/>
        <v>553.99999999999989</v>
      </c>
      <c r="AD80" s="27">
        <f t="shared" si="91"/>
        <v>553.99999999999989</v>
      </c>
      <c r="AE80" s="25">
        <f>IFERROR(_xlfn.XLOOKUP(N80&amp;P80,'Historico Vendas'!G:G,'Historico Vendas'!E:E),0)</f>
        <v>0</v>
      </c>
      <c r="AF80" s="29" t="str">
        <f t="shared" si="53"/>
        <v/>
      </c>
      <c r="AG80" s="24">
        <f>IFERROR(_xlfn.XLOOKUP(N80&amp;P80,'Historico Vendas'!G:G,'Historico Vendas'!F:F),0)</f>
        <v>0</v>
      </c>
      <c r="AH80" s="25">
        <f t="shared" si="92"/>
        <v>0</v>
      </c>
      <c r="AI80" s="24">
        <f t="shared" si="93"/>
        <v>0</v>
      </c>
      <c r="AJ80" s="11" t="str">
        <f t="shared" si="71"/>
        <v/>
      </c>
      <c r="AK80" s="9" t="s">
        <v>102</v>
      </c>
      <c r="AL80" s="13">
        <f>IFERROR(INDEX('Balizador da Meta'!$D$3:$F$23,MATCH(Faturamento!$P80,'Balizador da Meta'!$C$3:$C$23,0),MATCH(Faturamento!AK80,'Balizador da Meta'!$D$2:$F$2,0)),"")</f>
        <v>0</v>
      </c>
      <c r="AM80" s="9"/>
    </row>
    <row r="81" spans="1:39" x14ac:dyDescent="0.3">
      <c r="A81" s="2" t="str">
        <f t="shared" si="54"/>
        <v>NÃO</v>
      </c>
      <c r="B81" s="2" t="str">
        <f>_xlfn.XLOOKUP($N81,'Base de Grupos'!$A:$A,'Base de Grupos'!$D:$D)</f>
        <v>1000065763</v>
      </c>
      <c r="C81" s="5" t="str">
        <f>_xlfn.XLOOKUP($N81,'Base de Grupos'!$A:$A,'Base de Grupos'!$E:$E)</f>
        <v>CANAL VENDA INTERNA</v>
      </c>
      <c r="D81" s="5" t="str">
        <f>_xlfn.XLOOKUP($N81,'Base de Grupos'!$A:$A,'Base de Grupos'!$F:$F)</f>
        <v>1000065763</v>
      </c>
      <c r="E81" s="2" t="str">
        <f>_xlfn.XLOOKUP($N81,'Base de Grupos'!$A:$A,'Base de Grupos'!$G:$G)</f>
        <v>CANAL VENDA INTERNA</v>
      </c>
      <c r="F81" s="2" t="str">
        <f>_xlfn.XLOOKUP($N81,'Base de Grupos'!$A:$A,'Base de Grupos'!$H:$H)</f>
        <v>1000105900</v>
      </c>
      <c r="G81" s="5" t="str">
        <f>_xlfn.XLOOKUP($N81,'Base de Grupos'!$A:$A,'Base de Grupos'!$I:$I)</f>
        <v>REGIONAL VENDA DIRETA CO + NE + NO</v>
      </c>
      <c r="H81" s="5" t="str">
        <f>_xlfn.XLOOKUP($N81,'Base de Grupos'!$A:$A,'Base de Grupos'!$J:$J)</f>
        <v>1000105900</v>
      </c>
      <c r="I81" s="2" t="str">
        <f>_xlfn.XLOOKUP($N81,'Base de Grupos'!$A:$A,'Base de Grupos'!$K:$K)</f>
        <v>REGIONAL VENDA DIRETA CO + NE + NO</v>
      </c>
      <c r="J81" s="2" t="str">
        <f>_xlfn.XLOOKUP($N81,'Base de Grupos'!$A:$A,'Base de Grupos'!$L:$L)</f>
        <v>1000150135</v>
      </c>
      <c r="K81" s="5" t="str">
        <f>_xlfn.XLOOKUP($N81,'Base de Grupos'!$A:$A,'Base de Grupos'!$M:$M)</f>
        <v>HELDER DA SILVA BRUNKOW</v>
      </c>
      <c r="L81" s="5" t="str">
        <f t="shared" si="55"/>
        <v/>
      </c>
      <c r="M81" s="5" t="str">
        <f>_xlfn.XLOOKUP($N81,'Base de Grupos'!$A:$A,'Base de Grupos'!$C:$C)</f>
        <v>PE</v>
      </c>
      <c r="N81" s="3">
        <v>1328</v>
      </c>
      <c r="O81" s="4" t="s">
        <v>228</v>
      </c>
      <c r="P81" s="5" t="s">
        <v>85</v>
      </c>
      <c r="Q81" s="56">
        <v>0</v>
      </c>
      <c r="R81" s="56">
        <v>0</v>
      </c>
      <c r="S81" s="56">
        <v>0</v>
      </c>
      <c r="T81" s="56">
        <f>_xlfn.XLOOKUP($N81,'Calculo Leads'!$A$97:$A$134,'Calculo Leads'!G$97:G$134)*_xlfn.XLOOKUP($P81,'Base Grupo de Produtos'!$E$2:$E$18,'Base Grupo de Produtos'!$F$2:$F$18)</f>
        <v>40</v>
      </c>
      <c r="U81" s="56">
        <f>_xlfn.XLOOKUP($N81,'Calculo Leads'!$A$97:$A$134,'Calculo Leads'!H$97:H$134)*_xlfn.XLOOKUP($P81,'Base Grupo de Produtos'!$E$2:$E$18,'Base Grupo de Produtos'!$F$2:$F$18)</f>
        <v>40</v>
      </c>
      <c r="V81" s="56">
        <f>_xlfn.XLOOKUP($N81,'Calculo Leads'!$A$97:$A$134,'Calculo Leads'!I$97:I$134)*_xlfn.XLOOKUP($P81,'Base Grupo de Produtos'!$E$2:$E$18,'Base Grupo de Produtos'!$F$2:$F$18)</f>
        <v>40</v>
      </c>
      <c r="W81" s="56">
        <f>_xlfn.XLOOKUP($N81,'Calculo Leads'!$A$97:$A$134,'Calculo Leads'!J$97:J$134)*_xlfn.XLOOKUP($P81,'Base Grupo de Produtos'!$E$2:$E$18,'Base Grupo de Produtos'!$F$2:$F$18)</f>
        <v>60</v>
      </c>
      <c r="X81" s="56">
        <f>_xlfn.XLOOKUP($N81,'Calculo Leads'!$A$97:$A$134,'Calculo Leads'!K$97:K$134)*_xlfn.XLOOKUP($P81,'Base Grupo de Produtos'!$E$2:$E$18,'Base Grupo de Produtos'!$F$2:$F$18)</f>
        <v>66</v>
      </c>
      <c r="Y81" s="56">
        <f>_xlfn.XLOOKUP($N81,'Calculo Leads'!$A$97:$A$134,'Calculo Leads'!L$97:L$134)*_xlfn.XLOOKUP($P81,'Base Grupo de Produtos'!$E$2:$E$18,'Base Grupo de Produtos'!$F$2:$F$18)</f>
        <v>66</v>
      </c>
      <c r="Z81" s="56">
        <f>_xlfn.XLOOKUP($N81,'Calculo Leads'!$A$97:$A$134,'Calculo Leads'!M$97:M$134)*_xlfn.XLOOKUP($P81,'Base Grupo de Produtos'!$E$2:$E$18,'Base Grupo de Produtos'!$F$2:$F$18)</f>
        <v>88</v>
      </c>
      <c r="AA81" s="56">
        <f>_xlfn.XLOOKUP($N81,'Calculo Leads'!$A$97:$A$134,'Calculo Leads'!N$97:N$134)*_xlfn.XLOOKUP($P81,'Base Grupo de Produtos'!$E$2:$E$18,'Base Grupo de Produtos'!$F$2:$F$18)</f>
        <v>88</v>
      </c>
      <c r="AB81" s="56">
        <f>_xlfn.XLOOKUP($N81,'Calculo Leads'!$A$97:$A$134,'Calculo Leads'!O$97:O$134)*_xlfn.XLOOKUP($P81,'Base Grupo de Produtos'!$E$2:$E$18,'Base Grupo de Produtos'!$F$2:$F$18)</f>
        <v>66</v>
      </c>
      <c r="AC81" s="61">
        <f t="shared" si="75"/>
        <v>554</v>
      </c>
      <c r="AD81" s="27">
        <f t="shared" si="91"/>
        <v>554</v>
      </c>
      <c r="AE81" s="25">
        <f>IFERROR(_xlfn.XLOOKUP(N81&amp;P81,'Historico Vendas'!G:G,'Historico Vendas'!E:E),0)</f>
        <v>0</v>
      </c>
      <c r="AF81" s="29" t="str">
        <f t="shared" si="53"/>
        <v/>
      </c>
      <c r="AG81" s="24">
        <f>IFERROR(_xlfn.XLOOKUP(N81&amp;P81,'Historico Vendas'!G:G,'Historico Vendas'!F:F),0)</f>
        <v>0</v>
      </c>
      <c r="AH81" s="25">
        <f t="shared" si="92"/>
        <v>0</v>
      </c>
      <c r="AI81" s="24">
        <f t="shared" si="93"/>
        <v>0</v>
      </c>
      <c r="AJ81" s="11" t="str">
        <f t="shared" si="71"/>
        <v/>
      </c>
      <c r="AK81" s="9" t="s">
        <v>102</v>
      </c>
      <c r="AL81" s="13">
        <f>IFERROR(INDEX('Balizador da Meta'!$D$3:$F$23,MATCH(Faturamento!$P81,'Balizador da Meta'!$C$3:$C$23,0),MATCH(Faturamento!AK81,'Balizador da Meta'!$D$2:$F$2,0)),"")</f>
        <v>0</v>
      </c>
      <c r="AM81" s="9"/>
    </row>
    <row r="82" spans="1:39" x14ac:dyDescent="0.3">
      <c r="A82" s="2" t="str">
        <f t="shared" si="54"/>
        <v>NÃO</v>
      </c>
      <c r="B82" s="2" t="str">
        <f>_xlfn.XLOOKUP($N82,'Base de Grupos'!$A:$A,'Base de Grupos'!$D:$D)</f>
        <v>1000065763</v>
      </c>
      <c r="C82" s="5" t="str">
        <f>_xlfn.XLOOKUP($N82,'Base de Grupos'!$A:$A,'Base de Grupos'!$E:$E)</f>
        <v>CANAL VENDA INTERNA</v>
      </c>
      <c r="D82" s="5" t="str">
        <f>_xlfn.XLOOKUP($N82,'Base de Grupos'!$A:$A,'Base de Grupos'!$F:$F)</f>
        <v>1000065763</v>
      </c>
      <c r="E82" s="2" t="str">
        <f>_xlfn.XLOOKUP($N82,'Base de Grupos'!$A:$A,'Base de Grupos'!$G:$G)</f>
        <v>CANAL VENDA INTERNA</v>
      </c>
      <c r="F82" s="2" t="str">
        <f>_xlfn.XLOOKUP($N82,'Base de Grupos'!$A:$A,'Base de Grupos'!$H:$H)</f>
        <v>1000105900</v>
      </c>
      <c r="G82" s="5" t="str">
        <f>_xlfn.XLOOKUP($N82,'Base de Grupos'!$A:$A,'Base de Grupos'!$I:$I)</f>
        <v>REGIONAL VENDA DIRETA CO + NE + NO</v>
      </c>
      <c r="H82" s="5" t="str">
        <f>_xlfn.XLOOKUP($N82,'Base de Grupos'!$A:$A,'Base de Grupos'!$J:$J)</f>
        <v>1000105900</v>
      </c>
      <c r="I82" s="2" t="str">
        <f>_xlfn.XLOOKUP($N82,'Base de Grupos'!$A:$A,'Base de Grupos'!$K:$K)</f>
        <v>REGIONAL VENDA DIRETA CO + NE + NO</v>
      </c>
      <c r="J82" s="2" t="str">
        <f>_xlfn.XLOOKUP($N82,'Base de Grupos'!$A:$A,'Base de Grupos'!$L:$L)</f>
        <v>1000150135</v>
      </c>
      <c r="K82" s="5" t="str">
        <f>_xlfn.XLOOKUP($N82,'Base de Grupos'!$A:$A,'Base de Grupos'!$M:$M)</f>
        <v>HELDER DA SILVA BRUNKOW</v>
      </c>
      <c r="L82" s="5" t="str">
        <f t="shared" si="55"/>
        <v/>
      </c>
      <c r="M82" s="5" t="str">
        <f>_xlfn.XLOOKUP($N82,'Base de Grupos'!$A:$A,'Base de Grupos'!$C:$C)</f>
        <v>PE</v>
      </c>
      <c r="N82" s="3">
        <v>1328</v>
      </c>
      <c r="O82" s="4" t="s">
        <v>228</v>
      </c>
      <c r="P82" s="5" t="s">
        <v>92</v>
      </c>
      <c r="Q82" s="56">
        <v>0</v>
      </c>
      <c r="R82" s="56">
        <v>0</v>
      </c>
      <c r="S82" s="56">
        <v>0</v>
      </c>
      <c r="T82" s="56">
        <f>_xlfn.XLOOKUP($N82,'Calculo Leads'!$A$97:$A$134,'Calculo Leads'!G$97:G$134)*_xlfn.XLOOKUP($P82,'Base Grupo de Produtos'!$E$2:$E$18,'Base Grupo de Produtos'!$F$2:$F$18)</f>
        <v>40</v>
      </c>
      <c r="U82" s="56">
        <f>_xlfn.XLOOKUP($N82,'Calculo Leads'!$A$97:$A$134,'Calculo Leads'!H$97:H$134)*_xlfn.XLOOKUP($P82,'Base Grupo de Produtos'!$E$2:$E$18,'Base Grupo de Produtos'!$F$2:$F$18)</f>
        <v>40</v>
      </c>
      <c r="V82" s="56">
        <f>_xlfn.XLOOKUP($N82,'Calculo Leads'!$A$97:$A$134,'Calculo Leads'!I$97:I$134)*_xlfn.XLOOKUP($P82,'Base Grupo de Produtos'!$E$2:$E$18,'Base Grupo de Produtos'!$F$2:$F$18)</f>
        <v>40</v>
      </c>
      <c r="W82" s="56">
        <f>_xlfn.XLOOKUP($N82,'Calculo Leads'!$A$97:$A$134,'Calculo Leads'!J$97:J$134)*_xlfn.XLOOKUP($P82,'Base Grupo de Produtos'!$E$2:$E$18,'Base Grupo de Produtos'!$F$2:$F$18)</f>
        <v>60</v>
      </c>
      <c r="X82" s="56">
        <f>_xlfn.XLOOKUP($N82,'Calculo Leads'!$A$97:$A$134,'Calculo Leads'!K$97:K$134)*_xlfn.XLOOKUP($P82,'Base Grupo de Produtos'!$E$2:$E$18,'Base Grupo de Produtos'!$F$2:$F$18)</f>
        <v>66</v>
      </c>
      <c r="Y82" s="56">
        <f>_xlfn.XLOOKUP($N82,'Calculo Leads'!$A$97:$A$134,'Calculo Leads'!L$97:L$134)*_xlfn.XLOOKUP($P82,'Base Grupo de Produtos'!$E$2:$E$18,'Base Grupo de Produtos'!$F$2:$F$18)</f>
        <v>66</v>
      </c>
      <c r="Z82" s="56">
        <f>_xlfn.XLOOKUP($N82,'Calculo Leads'!$A$97:$A$134,'Calculo Leads'!M$97:M$134)*_xlfn.XLOOKUP($P82,'Base Grupo de Produtos'!$E$2:$E$18,'Base Grupo de Produtos'!$F$2:$F$18)</f>
        <v>88</v>
      </c>
      <c r="AA82" s="56">
        <f>_xlfn.XLOOKUP($N82,'Calculo Leads'!$A$97:$A$134,'Calculo Leads'!N$97:N$134)*_xlfn.XLOOKUP($P82,'Base Grupo de Produtos'!$E$2:$E$18,'Base Grupo de Produtos'!$F$2:$F$18)</f>
        <v>88</v>
      </c>
      <c r="AB82" s="56">
        <f>_xlfn.XLOOKUP($N82,'Calculo Leads'!$A$97:$A$134,'Calculo Leads'!O$97:O$134)*_xlfn.XLOOKUP($P82,'Base Grupo de Produtos'!$E$2:$E$18,'Base Grupo de Produtos'!$F$2:$F$18)</f>
        <v>66</v>
      </c>
      <c r="AC82" s="61">
        <f t="shared" si="75"/>
        <v>554</v>
      </c>
      <c r="AD82" s="27">
        <f t="shared" si="91"/>
        <v>554</v>
      </c>
      <c r="AE82" s="25">
        <f>IFERROR(_xlfn.XLOOKUP(N82&amp;P82,'Historico Vendas'!G:G,'Historico Vendas'!E:E),0)</f>
        <v>0</v>
      </c>
      <c r="AF82" s="29" t="str">
        <f t="shared" si="53"/>
        <v/>
      </c>
      <c r="AG82" s="24">
        <f>IFERROR(_xlfn.XLOOKUP(N82&amp;P82,'Historico Vendas'!G:G,'Historico Vendas'!F:F),0)</f>
        <v>0</v>
      </c>
      <c r="AH82" s="25">
        <f t="shared" si="92"/>
        <v>0</v>
      </c>
      <c r="AI82" s="24">
        <f t="shared" si="93"/>
        <v>0</v>
      </c>
      <c r="AJ82" s="11" t="str">
        <f t="shared" si="71"/>
        <v/>
      </c>
      <c r="AK82" s="9" t="s">
        <v>102</v>
      </c>
      <c r="AL82" s="13">
        <f>IFERROR(INDEX('Balizador da Meta'!$D$3:$F$23,MATCH(Faturamento!$P82,'Balizador da Meta'!$C$3:$C$23,0),MATCH(Faturamento!AK82,'Balizador da Meta'!$D$2:$F$2,0)),"")</f>
        <v>0</v>
      </c>
      <c r="AM82" s="9"/>
    </row>
    <row r="83" spans="1:39" x14ac:dyDescent="0.3">
      <c r="A83" s="2" t="str">
        <f t="shared" si="54"/>
        <v>NÃO</v>
      </c>
      <c r="B83" s="2" t="str">
        <f>_xlfn.XLOOKUP($N83,'Base de Grupos'!$A:$A,'Base de Grupos'!$D:$D)</f>
        <v>1000065763</v>
      </c>
      <c r="C83" s="5" t="str">
        <f>_xlfn.XLOOKUP($N83,'Base de Grupos'!$A:$A,'Base de Grupos'!$E:$E)</f>
        <v>CANAL VENDA INTERNA</v>
      </c>
      <c r="D83" s="5" t="str">
        <f>_xlfn.XLOOKUP($N83,'Base de Grupos'!$A:$A,'Base de Grupos'!$F:$F)</f>
        <v>1000065763</v>
      </c>
      <c r="E83" s="2" t="str">
        <f>_xlfn.XLOOKUP($N83,'Base de Grupos'!$A:$A,'Base de Grupos'!$G:$G)</f>
        <v>CANAL VENDA INTERNA</v>
      </c>
      <c r="F83" s="2" t="str">
        <f>_xlfn.XLOOKUP($N83,'Base de Grupos'!$A:$A,'Base de Grupos'!$H:$H)</f>
        <v>1000105900</v>
      </c>
      <c r="G83" s="5" t="str">
        <f>_xlfn.XLOOKUP($N83,'Base de Grupos'!$A:$A,'Base de Grupos'!$I:$I)</f>
        <v>REGIONAL VENDA DIRETA CO + NE + NO</v>
      </c>
      <c r="H83" s="5" t="str">
        <f>_xlfn.XLOOKUP($N83,'Base de Grupos'!$A:$A,'Base de Grupos'!$J:$J)</f>
        <v>1000105900</v>
      </c>
      <c r="I83" s="2" t="str">
        <f>_xlfn.XLOOKUP($N83,'Base de Grupos'!$A:$A,'Base de Grupos'!$K:$K)</f>
        <v>REGIONAL VENDA DIRETA CO + NE + NO</v>
      </c>
      <c r="J83" s="2" t="str">
        <f>_xlfn.XLOOKUP($N83,'Base de Grupos'!$A:$A,'Base de Grupos'!$L:$L)</f>
        <v>1000150135</v>
      </c>
      <c r="K83" s="5" t="str">
        <f>_xlfn.XLOOKUP($N83,'Base de Grupos'!$A:$A,'Base de Grupos'!$M:$M)</f>
        <v>HELDER DA SILVA BRUNKOW</v>
      </c>
      <c r="L83" s="5" t="str">
        <f t="shared" si="55"/>
        <v/>
      </c>
      <c r="M83" s="5" t="str">
        <f>_xlfn.XLOOKUP($N83,'Base de Grupos'!$A:$A,'Base de Grupos'!$C:$C)</f>
        <v>PE</v>
      </c>
      <c r="N83" s="3">
        <v>1328</v>
      </c>
      <c r="O83" s="4" t="s">
        <v>228</v>
      </c>
      <c r="P83" s="5" t="s">
        <v>86</v>
      </c>
      <c r="Q83" s="56">
        <v>0</v>
      </c>
      <c r="R83" s="56">
        <v>0</v>
      </c>
      <c r="S83" s="56">
        <v>0</v>
      </c>
      <c r="T83" s="56">
        <f>_xlfn.XLOOKUP($N83,'Calculo Leads'!$A$97:$A$134,'Calculo Leads'!G$97:G$134)*_xlfn.XLOOKUP($P83,'Base Grupo de Produtos'!$E$2:$E$18,'Base Grupo de Produtos'!$F$2:$F$18)</f>
        <v>60</v>
      </c>
      <c r="U83" s="56">
        <f>_xlfn.XLOOKUP($N83,'Calculo Leads'!$A$97:$A$134,'Calculo Leads'!H$97:H$134)*_xlfn.XLOOKUP($P83,'Base Grupo de Produtos'!$E$2:$E$18,'Base Grupo de Produtos'!$F$2:$F$18)</f>
        <v>60</v>
      </c>
      <c r="V83" s="56">
        <f>_xlfn.XLOOKUP($N83,'Calculo Leads'!$A$97:$A$134,'Calculo Leads'!I$97:I$134)*_xlfn.XLOOKUP($P83,'Base Grupo de Produtos'!$E$2:$E$18,'Base Grupo de Produtos'!$F$2:$F$18)</f>
        <v>60</v>
      </c>
      <c r="W83" s="56">
        <f>_xlfn.XLOOKUP($N83,'Calculo Leads'!$A$97:$A$134,'Calculo Leads'!J$97:J$134)*_xlfn.XLOOKUP($P83,'Base Grupo de Produtos'!$E$2:$E$18,'Base Grupo de Produtos'!$F$2:$F$18)</f>
        <v>90</v>
      </c>
      <c r="X83" s="56">
        <f>_xlfn.XLOOKUP($N83,'Calculo Leads'!$A$97:$A$134,'Calculo Leads'!K$97:K$134)*_xlfn.XLOOKUP($P83,'Base Grupo de Produtos'!$E$2:$E$18,'Base Grupo de Produtos'!$F$2:$F$18)</f>
        <v>99</v>
      </c>
      <c r="Y83" s="56">
        <f>_xlfn.XLOOKUP($N83,'Calculo Leads'!$A$97:$A$134,'Calculo Leads'!L$97:L$134)*_xlfn.XLOOKUP($P83,'Base Grupo de Produtos'!$E$2:$E$18,'Base Grupo de Produtos'!$F$2:$F$18)</f>
        <v>99</v>
      </c>
      <c r="Z83" s="56">
        <f>_xlfn.XLOOKUP($N83,'Calculo Leads'!$A$97:$A$134,'Calculo Leads'!M$97:M$134)*_xlfn.XLOOKUP($P83,'Base Grupo de Produtos'!$E$2:$E$18,'Base Grupo de Produtos'!$F$2:$F$18)</f>
        <v>132</v>
      </c>
      <c r="AA83" s="56">
        <f>_xlfn.XLOOKUP($N83,'Calculo Leads'!$A$97:$A$134,'Calculo Leads'!N$97:N$134)*_xlfn.XLOOKUP($P83,'Base Grupo de Produtos'!$E$2:$E$18,'Base Grupo de Produtos'!$F$2:$F$18)</f>
        <v>132</v>
      </c>
      <c r="AB83" s="56">
        <f>_xlfn.XLOOKUP($N83,'Calculo Leads'!$A$97:$A$134,'Calculo Leads'!O$97:O$134)*_xlfn.XLOOKUP($P83,'Base Grupo de Produtos'!$E$2:$E$18,'Base Grupo de Produtos'!$F$2:$F$18)</f>
        <v>99</v>
      </c>
      <c r="AC83" s="61">
        <f t="shared" si="75"/>
        <v>831</v>
      </c>
      <c r="AD83" s="27">
        <f t="shared" si="91"/>
        <v>831</v>
      </c>
      <c r="AE83" s="25">
        <f>IFERROR(_xlfn.XLOOKUP(N83&amp;P83,'Historico Vendas'!G:G,'Historico Vendas'!E:E),0)</f>
        <v>0</v>
      </c>
      <c r="AF83" s="29" t="str">
        <f t="shared" si="53"/>
        <v/>
      </c>
      <c r="AG83" s="24">
        <f>IFERROR(_xlfn.XLOOKUP(N83&amp;P83,'Historico Vendas'!G:G,'Historico Vendas'!F:F),0)</f>
        <v>0</v>
      </c>
      <c r="AH83" s="25">
        <f t="shared" si="92"/>
        <v>0</v>
      </c>
      <c r="AI83" s="24">
        <f t="shared" si="93"/>
        <v>0</v>
      </c>
      <c r="AJ83" s="11" t="str">
        <f t="shared" si="71"/>
        <v/>
      </c>
      <c r="AK83" s="9" t="s">
        <v>102</v>
      </c>
      <c r="AL83" s="13">
        <f>IFERROR(INDEX('Balizador da Meta'!$D$3:$F$23,MATCH(Faturamento!$P83,'Balizador da Meta'!$C$3:$C$23,0),MATCH(Faturamento!AK83,'Balizador da Meta'!$D$2:$F$2,0)),"")</f>
        <v>0.15</v>
      </c>
      <c r="AM83" s="9"/>
    </row>
    <row r="84" spans="1:39" x14ac:dyDescent="0.3">
      <c r="A84" s="2" t="str">
        <f t="shared" si="54"/>
        <v>NÃO</v>
      </c>
      <c r="B84" s="2" t="str">
        <f>_xlfn.XLOOKUP($N84,'Base de Grupos'!$A:$A,'Base de Grupos'!$D:$D)</f>
        <v>1000065763</v>
      </c>
      <c r="C84" s="5" t="str">
        <f>_xlfn.XLOOKUP($N84,'Base de Grupos'!$A:$A,'Base de Grupos'!$E:$E)</f>
        <v>CANAL VENDA INTERNA</v>
      </c>
      <c r="D84" s="5" t="str">
        <f>_xlfn.XLOOKUP($N84,'Base de Grupos'!$A:$A,'Base de Grupos'!$F:$F)</f>
        <v>1000065763</v>
      </c>
      <c r="E84" s="2" t="str">
        <f>_xlfn.XLOOKUP($N84,'Base de Grupos'!$A:$A,'Base de Grupos'!$G:$G)</f>
        <v>CANAL VENDA INTERNA</v>
      </c>
      <c r="F84" s="2" t="str">
        <f>_xlfn.XLOOKUP($N84,'Base de Grupos'!$A:$A,'Base de Grupos'!$H:$H)</f>
        <v>1000105900</v>
      </c>
      <c r="G84" s="5" t="str">
        <f>_xlfn.XLOOKUP($N84,'Base de Grupos'!$A:$A,'Base de Grupos'!$I:$I)</f>
        <v>REGIONAL VENDA DIRETA CO + NE + NO</v>
      </c>
      <c r="H84" s="5" t="str">
        <f>_xlfn.XLOOKUP($N84,'Base de Grupos'!$A:$A,'Base de Grupos'!$J:$J)</f>
        <v>1000105900</v>
      </c>
      <c r="I84" s="2" t="str">
        <f>_xlfn.XLOOKUP($N84,'Base de Grupos'!$A:$A,'Base de Grupos'!$K:$K)</f>
        <v>REGIONAL VENDA DIRETA CO + NE + NO</v>
      </c>
      <c r="J84" s="2" t="str">
        <f>_xlfn.XLOOKUP($N84,'Base de Grupos'!$A:$A,'Base de Grupos'!$L:$L)</f>
        <v>1000150135</v>
      </c>
      <c r="K84" s="5" t="str">
        <f>_xlfn.XLOOKUP($N84,'Base de Grupos'!$A:$A,'Base de Grupos'!$M:$M)</f>
        <v>HELDER DA SILVA BRUNKOW</v>
      </c>
      <c r="L84" s="5" t="str">
        <f t="shared" si="55"/>
        <v/>
      </c>
      <c r="M84" s="5" t="str">
        <f>_xlfn.XLOOKUP($N84,'Base de Grupos'!$A:$A,'Base de Grupos'!$C:$C)</f>
        <v>PE</v>
      </c>
      <c r="N84" s="3">
        <v>1328</v>
      </c>
      <c r="O84" s="4" t="s">
        <v>228</v>
      </c>
      <c r="P84" s="5" t="s">
        <v>108</v>
      </c>
      <c r="Q84" s="56">
        <v>0</v>
      </c>
      <c r="R84" s="56">
        <v>0</v>
      </c>
      <c r="S84" s="56">
        <v>0</v>
      </c>
      <c r="T84" s="56">
        <f>_xlfn.XLOOKUP($N84,'Calculo Leads'!$A$97:$A$134,'Calculo Leads'!G$97:G$134)*_xlfn.XLOOKUP($P84,'Base Grupo de Produtos'!$E$2:$E$18,'Base Grupo de Produtos'!$F$2:$F$18)</f>
        <v>500</v>
      </c>
      <c r="U84" s="56">
        <f>_xlfn.XLOOKUP($N84,'Calculo Leads'!$A$97:$A$134,'Calculo Leads'!H$97:H$134)*_xlfn.XLOOKUP($P84,'Base Grupo de Produtos'!$E$2:$E$18,'Base Grupo de Produtos'!$F$2:$F$18)</f>
        <v>500</v>
      </c>
      <c r="V84" s="56">
        <f>_xlfn.XLOOKUP($N84,'Calculo Leads'!$A$97:$A$134,'Calculo Leads'!I$97:I$134)*_xlfn.XLOOKUP($P84,'Base Grupo de Produtos'!$E$2:$E$18,'Base Grupo de Produtos'!$F$2:$F$18)</f>
        <v>500</v>
      </c>
      <c r="W84" s="56">
        <f>_xlfn.XLOOKUP($N84,'Calculo Leads'!$A$97:$A$134,'Calculo Leads'!J$97:J$134)*_xlfn.XLOOKUP($P84,'Base Grupo de Produtos'!$E$2:$E$18,'Base Grupo de Produtos'!$F$2:$F$18)</f>
        <v>750</v>
      </c>
      <c r="X84" s="56">
        <f>_xlfn.XLOOKUP($N84,'Calculo Leads'!$A$97:$A$134,'Calculo Leads'!K$97:K$134)*_xlfn.XLOOKUP($P84,'Base Grupo de Produtos'!$E$2:$E$18,'Base Grupo de Produtos'!$F$2:$F$18)</f>
        <v>825</v>
      </c>
      <c r="Y84" s="56">
        <f>_xlfn.XLOOKUP($N84,'Calculo Leads'!$A$97:$A$134,'Calculo Leads'!L$97:L$134)*_xlfn.XLOOKUP($P84,'Base Grupo de Produtos'!$E$2:$E$18,'Base Grupo de Produtos'!$F$2:$F$18)</f>
        <v>825</v>
      </c>
      <c r="Z84" s="56">
        <f>_xlfn.XLOOKUP($N84,'Calculo Leads'!$A$97:$A$134,'Calculo Leads'!M$97:M$134)*_xlfn.XLOOKUP($P84,'Base Grupo de Produtos'!$E$2:$E$18,'Base Grupo de Produtos'!$F$2:$F$18)</f>
        <v>1100</v>
      </c>
      <c r="AA84" s="56">
        <f>_xlfn.XLOOKUP($N84,'Calculo Leads'!$A$97:$A$134,'Calculo Leads'!N$97:N$134)*_xlfn.XLOOKUP($P84,'Base Grupo de Produtos'!$E$2:$E$18,'Base Grupo de Produtos'!$F$2:$F$18)</f>
        <v>1100</v>
      </c>
      <c r="AB84" s="56">
        <f>_xlfn.XLOOKUP($N84,'Calculo Leads'!$A$97:$A$134,'Calculo Leads'!O$97:O$134)*_xlfn.XLOOKUP($P84,'Base Grupo de Produtos'!$E$2:$E$18,'Base Grupo de Produtos'!$F$2:$F$18)</f>
        <v>825</v>
      </c>
      <c r="AC84" s="61">
        <f t="shared" si="75"/>
        <v>6925</v>
      </c>
      <c r="AD84" s="27">
        <f t="shared" si="91"/>
        <v>6925</v>
      </c>
      <c r="AE84" s="25">
        <f>IFERROR(_xlfn.XLOOKUP(N84&amp;P84,'Historico Vendas'!G:G,'Historico Vendas'!E:E),0)</f>
        <v>0</v>
      </c>
      <c r="AF84" s="29" t="str">
        <f t="shared" si="53"/>
        <v/>
      </c>
      <c r="AG84" s="24">
        <f>IFERROR(_xlfn.XLOOKUP(N84&amp;P84,'Historico Vendas'!G:G,'Historico Vendas'!F:F),0)</f>
        <v>0</v>
      </c>
      <c r="AH84" s="25">
        <f t="shared" si="92"/>
        <v>0</v>
      </c>
      <c r="AI84" s="24">
        <f t="shared" si="93"/>
        <v>0</v>
      </c>
      <c r="AJ84" s="11" t="str">
        <f t="shared" si="71"/>
        <v/>
      </c>
      <c r="AK84" s="9" t="s">
        <v>102</v>
      </c>
      <c r="AL84" s="13">
        <f>IFERROR(INDEX('Balizador da Meta'!$D$3:$F$23,MATCH(Faturamento!$P84,'Balizador da Meta'!$C$3:$C$23,0),MATCH(Faturamento!AK84,'Balizador da Meta'!$D$2:$F$2,0)),"")</f>
        <v>0</v>
      </c>
      <c r="AM84" s="9"/>
    </row>
    <row r="85" spans="1:39" x14ac:dyDescent="0.3">
      <c r="A85" s="2" t="str">
        <f t="shared" si="54"/>
        <v>NÃO</v>
      </c>
      <c r="B85" s="2" t="str">
        <f>_xlfn.XLOOKUP($N85,'Base de Grupos'!$A:$A,'Base de Grupos'!$D:$D)</f>
        <v>1000065763</v>
      </c>
      <c r="C85" s="5" t="str">
        <f>_xlfn.XLOOKUP($N85,'Base de Grupos'!$A:$A,'Base de Grupos'!$E:$E)</f>
        <v>CANAL VENDA INTERNA</v>
      </c>
      <c r="D85" s="5" t="str">
        <f>_xlfn.XLOOKUP($N85,'Base de Grupos'!$A:$A,'Base de Grupos'!$F:$F)</f>
        <v>1000065763</v>
      </c>
      <c r="E85" s="2" t="str">
        <f>_xlfn.XLOOKUP($N85,'Base de Grupos'!$A:$A,'Base de Grupos'!$G:$G)</f>
        <v>CANAL VENDA INTERNA</v>
      </c>
      <c r="F85" s="2" t="str">
        <f>_xlfn.XLOOKUP($N85,'Base de Grupos'!$A:$A,'Base de Grupos'!$H:$H)</f>
        <v>1000105900</v>
      </c>
      <c r="G85" s="5" t="str">
        <f>_xlfn.XLOOKUP($N85,'Base de Grupos'!$A:$A,'Base de Grupos'!$I:$I)</f>
        <v>REGIONAL VENDA DIRETA CO + NE + NO</v>
      </c>
      <c r="H85" s="5" t="str">
        <f>_xlfn.XLOOKUP($N85,'Base de Grupos'!$A:$A,'Base de Grupos'!$J:$J)</f>
        <v>1000105900</v>
      </c>
      <c r="I85" s="2" t="str">
        <f>_xlfn.XLOOKUP($N85,'Base de Grupos'!$A:$A,'Base de Grupos'!$K:$K)</f>
        <v>REGIONAL VENDA DIRETA CO + NE + NO</v>
      </c>
      <c r="J85" s="2" t="str">
        <f>_xlfn.XLOOKUP($N85,'Base de Grupos'!$A:$A,'Base de Grupos'!$L:$L)</f>
        <v>1000150135</v>
      </c>
      <c r="K85" s="5" t="str">
        <f>_xlfn.XLOOKUP($N85,'Base de Grupos'!$A:$A,'Base de Grupos'!$M:$M)</f>
        <v>HELDER DA SILVA BRUNKOW</v>
      </c>
      <c r="L85" s="5" t="str">
        <f t="shared" si="55"/>
        <v/>
      </c>
      <c r="M85" s="5" t="str">
        <f>_xlfn.XLOOKUP($N85,'Base de Grupos'!$A:$A,'Base de Grupos'!$C:$C)</f>
        <v>PE</v>
      </c>
      <c r="N85" s="3">
        <v>1328</v>
      </c>
      <c r="O85" s="4" t="s">
        <v>228</v>
      </c>
      <c r="P85" s="5" t="s">
        <v>89</v>
      </c>
      <c r="Q85" s="56">
        <v>0</v>
      </c>
      <c r="R85" s="56">
        <v>0</v>
      </c>
      <c r="S85" s="56">
        <v>0</v>
      </c>
      <c r="T85" s="56">
        <f>_xlfn.XLOOKUP($N85,'Calculo Leads'!$A$97:$A$134,'Calculo Leads'!G$97:G$134)*_xlfn.XLOOKUP($P85,'Base Grupo de Produtos'!$E$2:$E$18,'Base Grupo de Produtos'!$F$2:$F$18)</f>
        <v>100</v>
      </c>
      <c r="U85" s="56">
        <f>_xlfn.XLOOKUP($N85,'Calculo Leads'!$A$97:$A$134,'Calculo Leads'!H$97:H$134)*_xlfn.XLOOKUP($P85,'Base Grupo de Produtos'!$E$2:$E$18,'Base Grupo de Produtos'!$F$2:$F$18)</f>
        <v>100</v>
      </c>
      <c r="V85" s="56">
        <f>_xlfn.XLOOKUP($N85,'Calculo Leads'!$A$97:$A$134,'Calculo Leads'!I$97:I$134)*_xlfn.XLOOKUP($P85,'Base Grupo de Produtos'!$E$2:$E$18,'Base Grupo de Produtos'!$F$2:$F$18)</f>
        <v>100</v>
      </c>
      <c r="W85" s="56">
        <f>_xlfn.XLOOKUP($N85,'Calculo Leads'!$A$97:$A$134,'Calculo Leads'!J$97:J$134)*_xlfn.XLOOKUP($P85,'Base Grupo de Produtos'!$E$2:$E$18,'Base Grupo de Produtos'!$F$2:$F$18)</f>
        <v>150</v>
      </c>
      <c r="X85" s="56">
        <f>_xlfn.XLOOKUP($N85,'Calculo Leads'!$A$97:$A$134,'Calculo Leads'!K$97:K$134)*_xlfn.XLOOKUP($P85,'Base Grupo de Produtos'!$E$2:$E$18,'Base Grupo de Produtos'!$F$2:$F$18)</f>
        <v>165</v>
      </c>
      <c r="Y85" s="56">
        <f>_xlfn.XLOOKUP($N85,'Calculo Leads'!$A$97:$A$134,'Calculo Leads'!L$97:L$134)*_xlfn.XLOOKUP($P85,'Base Grupo de Produtos'!$E$2:$E$18,'Base Grupo de Produtos'!$F$2:$F$18)</f>
        <v>165</v>
      </c>
      <c r="Z85" s="56">
        <f>_xlfn.XLOOKUP($N85,'Calculo Leads'!$A$97:$A$134,'Calculo Leads'!M$97:M$134)*_xlfn.XLOOKUP($P85,'Base Grupo de Produtos'!$E$2:$E$18,'Base Grupo de Produtos'!$F$2:$F$18)</f>
        <v>220</v>
      </c>
      <c r="AA85" s="56">
        <f>_xlfn.XLOOKUP($N85,'Calculo Leads'!$A$97:$A$134,'Calculo Leads'!N$97:N$134)*_xlfn.XLOOKUP($P85,'Base Grupo de Produtos'!$E$2:$E$18,'Base Grupo de Produtos'!$F$2:$F$18)</f>
        <v>220</v>
      </c>
      <c r="AB85" s="56">
        <f>_xlfn.XLOOKUP($N85,'Calculo Leads'!$A$97:$A$134,'Calculo Leads'!O$97:O$134)*_xlfn.XLOOKUP($P85,'Base Grupo de Produtos'!$E$2:$E$18,'Base Grupo de Produtos'!$F$2:$F$18)</f>
        <v>165</v>
      </c>
      <c r="AC85" s="61">
        <f t="shared" si="75"/>
        <v>1385</v>
      </c>
      <c r="AD85" s="27">
        <f t="shared" si="91"/>
        <v>1385</v>
      </c>
      <c r="AE85" s="25">
        <f>IFERROR(_xlfn.XLOOKUP(N85&amp;P85,'Historico Vendas'!G:G,'Historico Vendas'!E:E),0)</f>
        <v>0</v>
      </c>
      <c r="AF85" s="29" t="str">
        <f t="shared" si="53"/>
        <v/>
      </c>
      <c r="AG85" s="24">
        <f>IFERROR(_xlfn.XLOOKUP(N85&amp;P85,'Historico Vendas'!G:G,'Historico Vendas'!F:F),0)</f>
        <v>0</v>
      </c>
      <c r="AH85" s="25">
        <f t="shared" si="92"/>
        <v>0</v>
      </c>
      <c r="AI85" s="24">
        <f t="shared" si="93"/>
        <v>0</v>
      </c>
      <c r="AJ85" s="11" t="str">
        <f t="shared" si="71"/>
        <v/>
      </c>
      <c r="AK85" s="9" t="s">
        <v>102</v>
      </c>
      <c r="AL85" s="13">
        <f>IFERROR(INDEX('Balizador da Meta'!$D$3:$F$23,MATCH(Faturamento!$P85,'Balizador da Meta'!$C$3:$C$23,0),MATCH(Faturamento!AK85,'Balizador da Meta'!$D$2:$F$2,0)),"")</f>
        <v>0.25</v>
      </c>
      <c r="AM85" s="9"/>
    </row>
    <row r="86" spans="1:39" x14ac:dyDescent="0.3">
      <c r="A86" s="2" t="str">
        <f t="shared" si="54"/>
        <v>NÃO</v>
      </c>
      <c r="B86" s="2" t="str">
        <f>_xlfn.XLOOKUP($N86,'Base de Grupos'!$A:$A,'Base de Grupos'!$D:$D)</f>
        <v>1000065763</v>
      </c>
      <c r="C86" s="5" t="str">
        <f>_xlfn.XLOOKUP($N86,'Base de Grupos'!$A:$A,'Base de Grupos'!$E:$E)</f>
        <v>CANAL VENDA INTERNA</v>
      </c>
      <c r="D86" s="5" t="str">
        <f>_xlfn.XLOOKUP($N86,'Base de Grupos'!$A:$A,'Base de Grupos'!$F:$F)</f>
        <v>1000065763</v>
      </c>
      <c r="E86" s="2" t="str">
        <f>_xlfn.XLOOKUP($N86,'Base de Grupos'!$A:$A,'Base de Grupos'!$G:$G)</f>
        <v>CANAL VENDA INTERNA</v>
      </c>
      <c r="F86" s="2" t="str">
        <f>_xlfn.XLOOKUP($N86,'Base de Grupos'!$A:$A,'Base de Grupos'!$H:$H)</f>
        <v>1000105900</v>
      </c>
      <c r="G86" s="5" t="str">
        <f>_xlfn.XLOOKUP($N86,'Base de Grupos'!$A:$A,'Base de Grupos'!$I:$I)</f>
        <v>REGIONAL VENDA DIRETA CO + NE + NO</v>
      </c>
      <c r="H86" s="5" t="str">
        <f>_xlfn.XLOOKUP($N86,'Base de Grupos'!$A:$A,'Base de Grupos'!$J:$J)</f>
        <v>1000105900</v>
      </c>
      <c r="I86" s="2" t="str">
        <f>_xlfn.XLOOKUP($N86,'Base de Grupos'!$A:$A,'Base de Grupos'!$K:$K)</f>
        <v>REGIONAL VENDA DIRETA CO + NE + NO</v>
      </c>
      <c r="J86" s="2" t="str">
        <f>_xlfn.XLOOKUP($N86,'Base de Grupos'!$A:$A,'Base de Grupos'!$L:$L)</f>
        <v>1000150135</v>
      </c>
      <c r="K86" s="5" t="str">
        <f>_xlfn.XLOOKUP($N86,'Base de Grupos'!$A:$A,'Base de Grupos'!$M:$M)</f>
        <v>HELDER DA SILVA BRUNKOW</v>
      </c>
      <c r="L86" s="5" t="str">
        <f t="shared" si="55"/>
        <v/>
      </c>
      <c r="M86" s="5" t="str">
        <f>_xlfn.XLOOKUP($N86,'Base de Grupos'!$A:$A,'Base de Grupos'!$C:$C)</f>
        <v>PE</v>
      </c>
      <c r="N86" s="3">
        <v>1328</v>
      </c>
      <c r="O86" s="4" t="s">
        <v>228</v>
      </c>
      <c r="P86" s="5" t="s">
        <v>88</v>
      </c>
      <c r="Q86" s="56">
        <v>0</v>
      </c>
      <c r="R86" s="56">
        <v>0</v>
      </c>
      <c r="S86" s="56">
        <v>0</v>
      </c>
      <c r="T86" s="56">
        <f>_xlfn.XLOOKUP($N86,'Calculo Leads'!$A$97:$A$134,'Calculo Leads'!G$97:G$134)*_xlfn.XLOOKUP($P86,'Base Grupo de Produtos'!$E$2:$E$18,'Base Grupo de Produtos'!$F$2:$F$18)</f>
        <v>100</v>
      </c>
      <c r="U86" s="56">
        <f>_xlfn.XLOOKUP($N86,'Calculo Leads'!$A$97:$A$134,'Calculo Leads'!H$97:H$134)*_xlfn.XLOOKUP($P86,'Base Grupo de Produtos'!$E$2:$E$18,'Base Grupo de Produtos'!$F$2:$F$18)</f>
        <v>100</v>
      </c>
      <c r="V86" s="56">
        <f>_xlfn.XLOOKUP($N86,'Calculo Leads'!$A$97:$A$134,'Calculo Leads'!I$97:I$134)*_xlfn.XLOOKUP($P86,'Base Grupo de Produtos'!$E$2:$E$18,'Base Grupo de Produtos'!$F$2:$F$18)</f>
        <v>100</v>
      </c>
      <c r="W86" s="56">
        <f>_xlfn.XLOOKUP($N86,'Calculo Leads'!$A$97:$A$134,'Calculo Leads'!J$97:J$134)*_xlfn.XLOOKUP($P86,'Base Grupo de Produtos'!$E$2:$E$18,'Base Grupo de Produtos'!$F$2:$F$18)</f>
        <v>150</v>
      </c>
      <c r="X86" s="56">
        <f>_xlfn.XLOOKUP($N86,'Calculo Leads'!$A$97:$A$134,'Calculo Leads'!K$97:K$134)*_xlfn.XLOOKUP($P86,'Base Grupo de Produtos'!$E$2:$E$18,'Base Grupo de Produtos'!$F$2:$F$18)</f>
        <v>165</v>
      </c>
      <c r="Y86" s="56">
        <f>_xlfn.XLOOKUP($N86,'Calculo Leads'!$A$97:$A$134,'Calculo Leads'!L$97:L$134)*_xlfn.XLOOKUP($P86,'Base Grupo de Produtos'!$E$2:$E$18,'Base Grupo de Produtos'!$F$2:$F$18)</f>
        <v>165</v>
      </c>
      <c r="Z86" s="56">
        <f>_xlfn.XLOOKUP($N86,'Calculo Leads'!$A$97:$A$134,'Calculo Leads'!M$97:M$134)*_xlfn.XLOOKUP($P86,'Base Grupo de Produtos'!$E$2:$E$18,'Base Grupo de Produtos'!$F$2:$F$18)</f>
        <v>220</v>
      </c>
      <c r="AA86" s="56">
        <f>_xlfn.XLOOKUP($N86,'Calculo Leads'!$A$97:$A$134,'Calculo Leads'!N$97:N$134)*_xlfn.XLOOKUP($P86,'Base Grupo de Produtos'!$E$2:$E$18,'Base Grupo de Produtos'!$F$2:$F$18)</f>
        <v>220</v>
      </c>
      <c r="AB86" s="56">
        <f>_xlfn.XLOOKUP($N86,'Calculo Leads'!$A$97:$A$134,'Calculo Leads'!O$97:O$134)*_xlfn.XLOOKUP($P86,'Base Grupo de Produtos'!$E$2:$E$18,'Base Grupo de Produtos'!$F$2:$F$18)</f>
        <v>165</v>
      </c>
      <c r="AC86" s="61">
        <f t="shared" si="75"/>
        <v>1385</v>
      </c>
      <c r="AD86" s="27">
        <f t="shared" si="91"/>
        <v>1385</v>
      </c>
      <c r="AE86" s="25">
        <f>IFERROR(_xlfn.XLOOKUP(N86&amp;P86,'Historico Vendas'!G:G,'Historico Vendas'!E:E),0)</f>
        <v>0</v>
      </c>
      <c r="AF86" s="29" t="str">
        <f t="shared" si="53"/>
        <v/>
      </c>
      <c r="AG86" s="24">
        <f>IFERROR(_xlfn.XLOOKUP(N86&amp;P86,'Historico Vendas'!G:G,'Historico Vendas'!F:F),0)</f>
        <v>0</v>
      </c>
      <c r="AH86" s="25">
        <f t="shared" si="92"/>
        <v>0</v>
      </c>
      <c r="AI86" s="24">
        <f t="shared" si="93"/>
        <v>0</v>
      </c>
      <c r="AJ86" s="11" t="str">
        <f t="shared" si="71"/>
        <v/>
      </c>
      <c r="AK86" s="9" t="s">
        <v>102</v>
      </c>
      <c r="AL86" s="13">
        <f>IFERROR(INDEX('Balizador da Meta'!$D$3:$F$23,MATCH(Faturamento!$P86,'Balizador da Meta'!$C$3:$C$23,0),MATCH(Faturamento!AK86,'Balizador da Meta'!$D$2:$F$2,0)),"")</f>
        <v>0</v>
      </c>
      <c r="AM86" s="9"/>
    </row>
    <row r="87" spans="1:39" x14ac:dyDescent="0.3">
      <c r="A87" s="2" t="str">
        <f t="shared" si="54"/>
        <v>NÃO</v>
      </c>
      <c r="B87" s="2" t="str">
        <f>_xlfn.XLOOKUP($N87,'Base de Grupos'!$A:$A,'Base de Grupos'!$D:$D)</f>
        <v>1000065763</v>
      </c>
      <c r="C87" s="5" t="str">
        <f>_xlfn.XLOOKUP($N87,'Base de Grupos'!$A:$A,'Base de Grupos'!$E:$E)</f>
        <v>CANAL VENDA INTERNA</v>
      </c>
      <c r="D87" s="5" t="str">
        <f>_xlfn.XLOOKUP($N87,'Base de Grupos'!$A:$A,'Base de Grupos'!$F:$F)</f>
        <v>1000065763</v>
      </c>
      <c r="E87" s="2" t="str">
        <f>_xlfn.XLOOKUP($N87,'Base de Grupos'!$A:$A,'Base de Grupos'!$G:$G)</f>
        <v>CANAL VENDA INTERNA</v>
      </c>
      <c r="F87" s="2" t="str">
        <f>_xlfn.XLOOKUP($N87,'Base de Grupos'!$A:$A,'Base de Grupos'!$H:$H)</f>
        <v>1000105900</v>
      </c>
      <c r="G87" s="5" t="str">
        <f>_xlfn.XLOOKUP($N87,'Base de Grupos'!$A:$A,'Base de Grupos'!$I:$I)</f>
        <v>REGIONAL VENDA DIRETA CO + NE + NO</v>
      </c>
      <c r="H87" s="5" t="str">
        <f>_xlfn.XLOOKUP($N87,'Base de Grupos'!$A:$A,'Base de Grupos'!$J:$J)</f>
        <v>1000105900</v>
      </c>
      <c r="I87" s="2" t="str">
        <f>_xlfn.XLOOKUP($N87,'Base de Grupos'!$A:$A,'Base de Grupos'!$K:$K)</f>
        <v>REGIONAL VENDA DIRETA CO + NE + NO</v>
      </c>
      <c r="J87" s="2" t="str">
        <f>_xlfn.XLOOKUP($N87,'Base de Grupos'!$A:$A,'Base de Grupos'!$L:$L)</f>
        <v>1000150135</v>
      </c>
      <c r="K87" s="5" t="str">
        <f>_xlfn.XLOOKUP($N87,'Base de Grupos'!$A:$A,'Base de Grupos'!$M:$M)</f>
        <v>HELDER DA SILVA BRUNKOW</v>
      </c>
      <c r="L87" s="5" t="str">
        <f t="shared" si="55"/>
        <v/>
      </c>
      <c r="M87" s="5" t="str">
        <f>_xlfn.XLOOKUP($N87,'Base de Grupos'!$A:$A,'Base de Grupos'!$C:$C)</f>
        <v>PE</v>
      </c>
      <c r="N87" s="3">
        <v>1328</v>
      </c>
      <c r="O87" s="4" t="s">
        <v>228</v>
      </c>
      <c r="P87" s="5" t="s">
        <v>90</v>
      </c>
      <c r="Q87" s="56">
        <v>0</v>
      </c>
      <c r="R87" s="56">
        <v>0</v>
      </c>
      <c r="S87" s="56">
        <v>0</v>
      </c>
      <c r="T87" s="56">
        <f>_xlfn.XLOOKUP($N87,'Calculo Leads'!$A$97:$A$134,'Calculo Leads'!G$97:G$134)*_xlfn.XLOOKUP($P87,'Base Grupo de Produtos'!$E$2:$E$18,'Base Grupo de Produtos'!$F$2:$F$18)</f>
        <v>100</v>
      </c>
      <c r="U87" s="56">
        <f>_xlfn.XLOOKUP($N87,'Calculo Leads'!$A$97:$A$134,'Calculo Leads'!H$97:H$134)*_xlfn.XLOOKUP($P87,'Base Grupo de Produtos'!$E$2:$E$18,'Base Grupo de Produtos'!$F$2:$F$18)</f>
        <v>100</v>
      </c>
      <c r="V87" s="56">
        <f>_xlfn.XLOOKUP($N87,'Calculo Leads'!$A$97:$A$134,'Calculo Leads'!I$97:I$134)*_xlfn.XLOOKUP($P87,'Base Grupo de Produtos'!$E$2:$E$18,'Base Grupo de Produtos'!$F$2:$F$18)</f>
        <v>100</v>
      </c>
      <c r="W87" s="56">
        <f>_xlfn.XLOOKUP($N87,'Calculo Leads'!$A$97:$A$134,'Calculo Leads'!J$97:J$134)*_xlfn.XLOOKUP($P87,'Base Grupo de Produtos'!$E$2:$E$18,'Base Grupo de Produtos'!$F$2:$F$18)</f>
        <v>150</v>
      </c>
      <c r="X87" s="56">
        <f>_xlfn.XLOOKUP($N87,'Calculo Leads'!$A$97:$A$134,'Calculo Leads'!K$97:K$134)*_xlfn.XLOOKUP($P87,'Base Grupo de Produtos'!$E$2:$E$18,'Base Grupo de Produtos'!$F$2:$F$18)</f>
        <v>165</v>
      </c>
      <c r="Y87" s="56">
        <f>_xlfn.XLOOKUP($N87,'Calculo Leads'!$A$97:$A$134,'Calculo Leads'!L$97:L$134)*_xlfn.XLOOKUP($P87,'Base Grupo de Produtos'!$E$2:$E$18,'Base Grupo de Produtos'!$F$2:$F$18)</f>
        <v>165</v>
      </c>
      <c r="Z87" s="56">
        <f>_xlfn.XLOOKUP($N87,'Calculo Leads'!$A$97:$A$134,'Calculo Leads'!M$97:M$134)*_xlfn.XLOOKUP($P87,'Base Grupo de Produtos'!$E$2:$E$18,'Base Grupo de Produtos'!$F$2:$F$18)</f>
        <v>220</v>
      </c>
      <c r="AA87" s="56">
        <f>_xlfn.XLOOKUP($N87,'Calculo Leads'!$A$97:$A$134,'Calculo Leads'!N$97:N$134)*_xlfn.XLOOKUP($P87,'Base Grupo de Produtos'!$E$2:$E$18,'Base Grupo de Produtos'!$F$2:$F$18)</f>
        <v>220</v>
      </c>
      <c r="AB87" s="56">
        <f>_xlfn.XLOOKUP($N87,'Calculo Leads'!$A$97:$A$134,'Calculo Leads'!O$97:O$134)*_xlfn.XLOOKUP($P87,'Base Grupo de Produtos'!$E$2:$E$18,'Base Grupo de Produtos'!$F$2:$F$18)</f>
        <v>165</v>
      </c>
      <c r="AC87" s="61">
        <f t="shared" si="75"/>
        <v>1385</v>
      </c>
      <c r="AD87" s="27">
        <f t="shared" si="91"/>
        <v>1385</v>
      </c>
      <c r="AE87" s="25">
        <f>IFERROR(_xlfn.XLOOKUP(N87&amp;P87,'Historico Vendas'!G:G,'Historico Vendas'!E:E),0)</f>
        <v>0</v>
      </c>
      <c r="AF87" s="29" t="str">
        <f t="shared" si="53"/>
        <v/>
      </c>
      <c r="AG87" s="24">
        <f>IFERROR(_xlfn.XLOOKUP(N87&amp;P87,'Historico Vendas'!G:G,'Historico Vendas'!F:F),0)</f>
        <v>0</v>
      </c>
      <c r="AH87" s="25">
        <f t="shared" si="92"/>
        <v>0</v>
      </c>
      <c r="AI87" s="24">
        <f t="shared" si="93"/>
        <v>0</v>
      </c>
      <c r="AJ87" s="11" t="str">
        <f t="shared" si="71"/>
        <v/>
      </c>
      <c r="AK87" s="9" t="s">
        <v>102</v>
      </c>
      <c r="AL87" s="13">
        <f>IFERROR(INDEX('Balizador da Meta'!$D$3:$F$23,MATCH(Faturamento!$P87,'Balizador da Meta'!$C$3:$C$23,0),MATCH(Faturamento!AK87,'Balizador da Meta'!$D$2:$F$2,0)),"")</f>
        <v>0</v>
      </c>
      <c r="AM87" s="9"/>
    </row>
    <row r="88" spans="1:39" x14ac:dyDescent="0.3">
      <c r="A88" s="2" t="str">
        <f t="shared" si="54"/>
        <v>NÃO</v>
      </c>
      <c r="B88" s="2" t="str">
        <f>_xlfn.XLOOKUP($N88,'Base de Grupos'!$A:$A,'Base de Grupos'!$D:$D)</f>
        <v>1000065763</v>
      </c>
      <c r="C88" s="5" t="str">
        <f>_xlfn.XLOOKUP($N88,'Base de Grupos'!$A:$A,'Base de Grupos'!$E:$E)</f>
        <v>CANAL VENDA INTERNA</v>
      </c>
      <c r="D88" s="5" t="str">
        <f>_xlfn.XLOOKUP($N88,'Base de Grupos'!$A:$A,'Base de Grupos'!$F:$F)</f>
        <v>1000065763</v>
      </c>
      <c r="E88" s="2" t="str">
        <f>_xlfn.XLOOKUP($N88,'Base de Grupos'!$A:$A,'Base de Grupos'!$G:$G)</f>
        <v>CANAL VENDA INTERNA</v>
      </c>
      <c r="F88" s="2" t="str">
        <f>_xlfn.XLOOKUP($N88,'Base de Grupos'!$A:$A,'Base de Grupos'!$H:$H)</f>
        <v>1000105900</v>
      </c>
      <c r="G88" s="5" t="str">
        <f>_xlfn.XLOOKUP($N88,'Base de Grupos'!$A:$A,'Base de Grupos'!$I:$I)</f>
        <v>REGIONAL VENDA DIRETA CO + NE + NO</v>
      </c>
      <c r="H88" s="5" t="str">
        <f>_xlfn.XLOOKUP($N88,'Base de Grupos'!$A:$A,'Base de Grupos'!$J:$J)</f>
        <v>1000105900</v>
      </c>
      <c r="I88" s="2" t="str">
        <f>_xlfn.XLOOKUP($N88,'Base de Grupos'!$A:$A,'Base de Grupos'!$K:$K)</f>
        <v>REGIONAL VENDA DIRETA CO + NE + NO</v>
      </c>
      <c r="J88" s="2" t="str">
        <f>_xlfn.XLOOKUP($N88,'Base de Grupos'!$A:$A,'Base de Grupos'!$L:$L)</f>
        <v>1000150135</v>
      </c>
      <c r="K88" s="5" t="str">
        <f>_xlfn.XLOOKUP($N88,'Base de Grupos'!$A:$A,'Base de Grupos'!$M:$M)</f>
        <v>HELDER DA SILVA BRUNKOW</v>
      </c>
      <c r="L88" s="5" t="str">
        <f t="shared" si="55"/>
        <v/>
      </c>
      <c r="M88" s="5" t="str">
        <f>_xlfn.XLOOKUP($N88,'Base de Grupos'!$A:$A,'Base de Grupos'!$C:$C)</f>
        <v>PE</v>
      </c>
      <c r="N88" s="3">
        <v>1328</v>
      </c>
      <c r="O88" s="4" t="s">
        <v>228</v>
      </c>
      <c r="P88" s="5" t="s">
        <v>91</v>
      </c>
      <c r="Q88" s="56">
        <v>0</v>
      </c>
      <c r="R88" s="56">
        <v>0</v>
      </c>
      <c r="S88" s="56">
        <v>0</v>
      </c>
      <c r="T88" s="56">
        <f>_xlfn.XLOOKUP($N88,'Calculo Leads'!$A$97:$A$134,'Calculo Leads'!G$97:G$134)*_xlfn.XLOOKUP($P88,'Base Grupo de Produtos'!$E$2:$E$18,'Base Grupo de Produtos'!$F$2:$F$18)</f>
        <v>0</v>
      </c>
      <c r="U88" s="56">
        <f>_xlfn.XLOOKUP($N88,'Calculo Leads'!$A$97:$A$134,'Calculo Leads'!H$97:H$134)*_xlfn.XLOOKUP($P88,'Base Grupo de Produtos'!$E$2:$E$18,'Base Grupo de Produtos'!$F$2:$F$18)</f>
        <v>0</v>
      </c>
      <c r="V88" s="56">
        <f>_xlfn.XLOOKUP($N88,'Calculo Leads'!$A$97:$A$134,'Calculo Leads'!I$97:I$134)*_xlfn.XLOOKUP($P88,'Base Grupo de Produtos'!$E$2:$E$18,'Base Grupo de Produtos'!$F$2:$F$18)</f>
        <v>0</v>
      </c>
      <c r="W88" s="56">
        <f>_xlfn.XLOOKUP($N88,'Calculo Leads'!$A$97:$A$134,'Calculo Leads'!J$97:J$134)*_xlfn.XLOOKUP($P88,'Base Grupo de Produtos'!$E$2:$E$18,'Base Grupo de Produtos'!$F$2:$F$18)</f>
        <v>0</v>
      </c>
      <c r="X88" s="56">
        <f>_xlfn.XLOOKUP($N88,'Calculo Leads'!$A$97:$A$134,'Calculo Leads'!K$97:K$134)*_xlfn.XLOOKUP($P88,'Base Grupo de Produtos'!$E$2:$E$18,'Base Grupo de Produtos'!$F$2:$F$18)</f>
        <v>0</v>
      </c>
      <c r="Y88" s="56">
        <f>_xlfn.XLOOKUP($N88,'Calculo Leads'!$A$97:$A$134,'Calculo Leads'!L$97:L$134)*_xlfn.XLOOKUP($P88,'Base Grupo de Produtos'!$E$2:$E$18,'Base Grupo de Produtos'!$F$2:$F$18)</f>
        <v>0</v>
      </c>
      <c r="Z88" s="56">
        <f>_xlfn.XLOOKUP($N88,'Calculo Leads'!$A$97:$A$134,'Calculo Leads'!M$97:M$134)*_xlfn.XLOOKUP($P88,'Base Grupo de Produtos'!$E$2:$E$18,'Base Grupo de Produtos'!$F$2:$F$18)</f>
        <v>0</v>
      </c>
      <c r="AA88" s="56">
        <f>_xlfn.XLOOKUP($N88,'Calculo Leads'!$A$97:$A$134,'Calculo Leads'!N$97:N$134)*_xlfn.XLOOKUP($P88,'Base Grupo de Produtos'!$E$2:$E$18,'Base Grupo de Produtos'!$F$2:$F$18)</f>
        <v>0</v>
      </c>
      <c r="AB88" s="56">
        <f>_xlfn.XLOOKUP($N88,'Calculo Leads'!$A$97:$A$134,'Calculo Leads'!O$97:O$134)*_xlfn.XLOOKUP($P88,'Base Grupo de Produtos'!$E$2:$E$18,'Base Grupo de Produtos'!$F$2:$F$18)</f>
        <v>0</v>
      </c>
      <c r="AC88" s="61">
        <f t="shared" si="75"/>
        <v>0</v>
      </c>
      <c r="AD88" s="27">
        <f t="shared" si="91"/>
        <v>0</v>
      </c>
      <c r="AE88" s="25">
        <f>IFERROR(_xlfn.XLOOKUP(N88&amp;P88,'Historico Vendas'!G:G,'Historico Vendas'!E:E),0)</f>
        <v>0</v>
      </c>
      <c r="AF88" s="29" t="str">
        <f t="shared" si="53"/>
        <v/>
      </c>
      <c r="AG88" s="24">
        <f>IFERROR(_xlfn.XLOOKUP(N88&amp;P88,'Historico Vendas'!G:G,'Historico Vendas'!F:F),0)</f>
        <v>0</v>
      </c>
      <c r="AH88" s="25">
        <f t="shared" si="92"/>
        <v>0</v>
      </c>
      <c r="AI88" s="24">
        <f t="shared" si="93"/>
        <v>0</v>
      </c>
      <c r="AJ88" s="11" t="str">
        <f t="shared" si="71"/>
        <v/>
      </c>
      <c r="AK88" s="9" t="s">
        <v>102</v>
      </c>
      <c r="AL88" s="13">
        <f>IFERROR(INDEX('Balizador da Meta'!$D$3:$F$23,MATCH(Faturamento!$P88,'Balizador da Meta'!$C$3:$C$23,0),MATCH(Faturamento!AK88,'Balizador da Meta'!$D$2:$F$2,0)),"")</f>
        <v>0</v>
      </c>
      <c r="AM88" s="9"/>
    </row>
    <row r="89" spans="1:39" x14ac:dyDescent="0.3">
      <c r="A89" s="2" t="str">
        <f t="shared" si="54"/>
        <v>NÃO</v>
      </c>
      <c r="B89" s="2" t="str">
        <f>_xlfn.XLOOKUP($N89,'Base de Grupos'!$A:$A,'Base de Grupos'!$D:$D)</f>
        <v>1000065763</v>
      </c>
      <c r="C89" s="5" t="str">
        <f>_xlfn.XLOOKUP($N89,'Base de Grupos'!$A:$A,'Base de Grupos'!$E:$E)</f>
        <v>CANAL VENDA INTERNA</v>
      </c>
      <c r="D89" s="5" t="str">
        <f>_xlfn.XLOOKUP($N89,'Base de Grupos'!$A:$A,'Base de Grupos'!$F:$F)</f>
        <v>1000065763</v>
      </c>
      <c r="E89" s="2" t="str">
        <f>_xlfn.XLOOKUP($N89,'Base de Grupos'!$A:$A,'Base de Grupos'!$G:$G)</f>
        <v>CANAL VENDA INTERNA</v>
      </c>
      <c r="F89" s="2" t="str">
        <f>_xlfn.XLOOKUP($N89,'Base de Grupos'!$A:$A,'Base de Grupos'!$H:$H)</f>
        <v>1000105900</v>
      </c>
      <c r="G89" s="5" t="str">
        <f>_xlfn.XLOOKUP($N89,'Base de Grupos'!$A:$A,'Base de Grupos'!$I:$I)</f>
        <v>REGIONAL VENDA DIRETA CO + NE + NO</v>
      </c>
      <c r="H89" s="5" t="str">
        <f>_xlfn.XLOOKUP($N89,'Base de Grupos'!$A:$A,'Base de Grupos'!$J:$J)</f>
        <v>1000105900</v>
      </c>
      <c r="I89" s="2" t="str">
        <f>_xlfn.XLOOKUP($N89,'Base de Grupos'!$A:$A,'Base de Grupos'!$K:$K)</f>
        <v>REGIONAL VENDA DIRETA CO + NE + NO</v>
      </c>
      <c r="J89" s="2" t="str">
        <f>_xlfn.XLOOKUP($N89,'Base de Grupos'!$A:$A,'Base de Grupos'!$L:$L)</f>
        <v>1000150135</v>
      </c>
      <c r="K89" s="5" t="str">
        <f>_xlfn.XLOOKUP($N89,'Base de Grupos'!$A:$A,'Base de Grupos'!$M:$M)</f>
        <v>HELDER DA SILVA BRUNKOW</v>
      </c>
      <c r="L89" s="5" t="str">
        <f t="shared" si="55"/>
        <v/>
      </c>
      <c r="M89" s="5" t="str">
        <f>_xlfn.XLOOKUP($N89,'Base de Grupos'!$A:$A,'Base de Grupos'!$C:$C)</f>
        <v>PE</v>
      </c>
      <c r="N89" s="3">
        <v>1328</v>
      </c>
      <c r="O89" s="4" t="s">
        <v>228</v>
      </c>
      <c r="P89" s="5" t="s">
        <v>96</v>
      </c>
      <c r="Q89" s="56">
        <v>0</v>
      </c>
      <c r="R89" s="56">
        <v>0</v>
      </c>
      <c r="S89" s="56">
        <v>0</v>
      </c>
      <c r="T89" s="56">
        <f>_xlfn.XLOOKUP($N89,'Calculo Leads'!$A$97:$A$134,'Calculo Leads'!G$97:G$134)*_xlfn.XLOOKUP($P89,'Base Grupo de Produtos'!$E$2:$E$18,'Base Grupo de Produtos'!$F$2:$F$18)</f>
        <v>140</v>
      </c>
      <c r="U89" s="56">
        <f>_xlfn.XLOOKUP($N89,'Calculo Leads'!$A$97:$A$134,'Calculo Leads'!H$97:H$134)*_xlfn.XLOOKUP($P89,'Base Grupo de Produtos'!$E$2:$E$18,'Base Grupo de Produtos'!$F$2:$F$18)</f>
        <v>140</v>
      </c>
      <c r="V89" s="56">
        <f>_xlfn.XLOOKUP($N89,'Calculo Leads'!$A$97:$A$134,'Calculo Leads'!I$97:I$134)*_xlfn.XLOOKUP($P89,'Base Grupo de Produtos'!$E$2:$E$18,'Base Grupo de Produtos'!$F$2:$F$18)</f>
        <v>140</v>
      </c>
      <c r="W89" s="56">
        <f>_xlfn.XLOOKUP($N89,'Calculo Leads'!$A$97:$A$134,'Calculo Leads'!J$97:J$134)*_xlfn.XLOOKUP($P89,'Base Grupo de Produtos'!$E$2:$E$18,'Base Grupo de Produtos'!$F$2:$F$18)</f>
        <v>210.00000000000003</v>
      </c>
      <c r="X89" s="56">
        <f>_xlfn.XLOOKUP($N89,'Calculo Leads'!$A$97:$A$134,'Calculo Leads'!K$97:K$134)*_xlfn.XLOOKUP($P89,'Base Grupo de Produtos'!$E$2:$E$18,'Base Grupo de Produtos'!$F$2:$F$18)</f>
        <v>231.00000000000003</v>
      </c>
      <c r="Y89" s="56">
        <f>_xlfn.XLOOKUP($N89,'Calculo Leads'!$A$97:$A$134,'Calculo Leads'!L$97:L$134)*_xlfn.XLOOKUP($P89,'Base Grupo de Produtos'!$E$2:$E$18,'Base Grupo de Produtos'!$F$2:$F$18)</f>
        <v>231.00000000000003</v>
      </c>
      <c r="Z89" s="56">
        <f>_xlfn.XLOOKUP($N89,'Calculo Leads'!$A$97:$A$134,'Calculo Leads'!M$97:M$134)*_xlfn.XLOOKUP($P89,'Base Grupo de Produtos'!$E$2:$E$18,'Base Grupo de Produtos'!$F$2:$F$18)</f>
        <v>308.00000000000006</v>
      </c>
      <c r="AA89" s="56">
        <f>_xlfn.XLOOKUP($N89,'Calculo Leads'!$A$97:$A$134,'Calculo Leads'!N$97:N$134)*_xlfn.XLOOKUP($P89,'Base Grupo de Produtos'!$E$2:$E$18,'Base Grupo de Produtos'!$F$2:$F$18)</f>
        <v>308.00000000000006</v>
      </c>
      <c r="AB89" s="56">
        <f>_xlfn.XLOOKUP($N89,'Calculo Leads'!$A$97:$A$134,'Calculo Leads'!O$97:O$134)*_xlfn.XLOOKUP($P89,'Base Grupo de Produtos'!$E$2:$E$18,'Base Grupo de Produtos'!$F$2:$F$18)</f>
        <v>231.00000000000003</v>
      </c>
      <c r="AC89" s="61">
        <f t="shared" si="75"/>
        <v>1939</v>
      </c>
      <c r="AD89" s="27">
        <f t="shared" si="91"/>
        <v>1939</v>
      </c>
      <c r="AE89" s="25">
        <f>IFERROR(_xlfn.XLOOKUP(N89&amp;P89,'Historico Vendas'!G:G,'Historico Vendas'!E:E),0)</f>
        <v>0</v>
      </c>
      <c r="AF89" s="29" t="str">
        <f t="shared" si="53"/>
        <v/>
      </c>
      <c r="AG89" s="24">
        <f>IFERROR(_xlfn.XLOOKUP(N89&amp;P89,'Historico Vendas'!G:G,'Historico Vendas'!F:F),0)</f>
        <v>0</v>
      </c>
      <c r="AH89" s="25">
        <f t="shared" si="92"/>
        <v>0</v>
      </c>
      <c r="AI89" s="24">
        <f t="shared" si="93"/>
        <v>0</v>
      </c>
      <c r="AJ89" s="11" t="str">
        <f t="shared" si="71"/>
        <v/>
      </c>
      <c r="AK89" s="9" t="s">
        <v>102</v>
      </c>
      <c r="AL89" s="13">
        <f>IFERROR(INDEX('Balizador da Meta'!$D$3:$F$23,MATCH(Faturamento!$P89,'Balizador da Meta'!$C$3:$C$23,0),MATCH(Faturamento!AK89,'Balizador da Meta'!$D$2:$F$2,0)),"")</f>
        <v>0</v>
      </c>
      <c r="AM89" s="9"/>
    </row>
    <row r="90" spans="1:39" x14ac:dyDescent="0.3">
      <c r="A90" s="2" t="str">
        <f t="shared" si="54"/>
        <v>NÃO</v>
      </c>
      <c r="B90" s="2" t="str">
        <f>_xlfn.XLOOKUP($N90,'Base de Grupos'!$A:$A,'Base de Grupos'!$D:$D)</f>
        <v>1000065763</v>
      </c>
      <c r="C90" s="5" t="str">
        <f>_xlfn.XLOOKUP($N90,'Base de Grupos'!$A:$A,'Base de Grupos'!$E:$E)</f>
        <v>CANAL VENDA INTERNA</v>
      </c>
      <c r="D90" s="5" t="str">
        <f>_xlfn.XLOOKUP($N90,'Base de Grupos'!$A:$A,'Base de Grupos'!$F:$F)</f>
        <v>1000065763</v>
      </c>
      <c r="E90" s="2" t="str">
        <f>_xlfn.XLOOKUP($N90,'Base de Grupos'!$A:$A,'Base de Grupos'!$G:$G)</f>
        <v>CANAL VENDA INTERNA</v>
      </c>
      <c r="F90" s="2" t="str">
        <f>_xlfn.XLOOKUP($N90,'Base de Grupos'!$A:$A,'Base de Grupos'!$H:$H)</f>
        <v>1000105900</v>
      </c>
      <c r="G90" s="5" t="str">
        <f>_xlfn.XLOOKUP($N90,'Base de Grupos'!$A:$A,'Base de Grupos'!$I:$I)</f>
        <v>REGIONAL VENDA DIRETA CO + NE + NO</v>
      </c>
      <c r="H90" s="5" t="str">
        <f>_xlfn.XLOOKUP($N90,'Base de Grupos'!$A:$A,'Base de Grupos'!$J:$J)</f>
        <v>1000105900</v>
      </c>
      <c r="I90" s="2" t="str">
        <f>_xlfn.XLOOKUP($N90,'Base de Grupos'!$A:$A,'Base de Grupos'!$K:$K)</f>
        <v>REGIONAL VENDA DIRETA CO + NE + NO</v>
      </c>
      <c r="J90" s="2" t="str">
        <f>_xlfn.XLOOKUP($N90,'Base de Grupos'!$A:$A,'Base de Grupos'!$L:$L)</f>
        <v>1000150135</v>
      </c>
      <c r="K90" s="5" t="str">
        <f>_xlfn.XLOOKUP($N90,'Base de Grupos'!$A:$A,'Base de Grupos'!$M:$M)</f>
        <v>HELDER DA SILVA BRUNKOW</v>
      </c>
      <c r="L90" s="5" t="str">
        <f t="shared" si="55"/>
        <v/>
      </c>
      <c r="M90" s="5" t="str">
        <f>_xlfn.XLOOKUP($N90,'Base de Grupos'!$A:$A,'Base de Grupos'!$C:$C)</f>
        <v>PE</v>
      </c>
      <c r="N90" s="3">
        <v>1328</v>
      </c>
      <c r="O90" s="4" t="s">
        <v>228</v>
      </c>
      <c r="P90" s="5" t="s">
        <v>94</v>
      </c>
      <c r="Q90" s="56">
        <v>0</v>
      </c>
      <c r="R90" s="56">
        <v>0</v>
      </c>
      <c r="S90" s="56">
        <v>0</v>
      </c>
      <c r="T90" s="56">
        <f>_xlfn.XLOOKUP($N90,'Calculo Leads'!$A$97:$A$134,'Calculo Leads'!G$97:G$134)*_xlfn.XLOOKUP($P90,'Base Grupo de Produtos'!$E$2:$E$18,'Base Grupo de Produtos'!$F$2:$F$18)</f>
        <v>99.999999999999986</v>
      </c>
      <c r="U90" s="56">
        <f>_xlfn.XLOOKUP($N90,'Calculo Leads'!$A$97:$A$134,'Calculo Leads'!H$97:H$134)*_xlfn.XLOOKUP($P90,'Base Grupo de Produtos'!$E$2:$E$18,'Base Grupo de Produtos'!$F$2:$F$18)</f>
        <v>99.999999999999986</v>
      </c>
      <c r="V90" s="56">
        <f>_xlfn.XLOOKUP($N90,'Calculo Leads'!$A$97:$A$134,'Calculo Leads'!I$97:I$134)*_xlfn.XLOOKUP($P90,'Base Grupo de Produtos'!$E$2:$E$18,'Base Grupo de Produtos'!$F$2:$F$18)</f>
        <v>99.999999999999986</v>
      </c>
      <c r="W90" s="56">
        <f>_xlfn.XLOOKUP($N90,'Calculo Leads'!$A$97:$A$134,'Calculo Leads'!J$97:J$134)*_xlfn.XLOOKUP($P90,'Base Grupo de Produtos'!$E$2:$E$18,'Base Grupo de Produtos'!$F$2:$F$18)</f>
        <v>150</v>
      </c>
      <c r="X90" s="56">
        <f>_xlfn.XLOOKUP($N90,'Calculo Leads'!$A$97:$A$134,'Calculo Leads'!K$97:K$134)*_xlfn.XLOOKUP($P90,'Base Grupo de Produtos'!$E$2:$E$18,'Base Grupo de Produtos'!$F$2:$F$18)</f>
        <v>165</v>
      </c>
      <c r="Y90" s="56">
        <f>_xlfn.XLOOKUP($N90,'Calculo Leads'!$A$97:$A$134,'Calculo Leads'!L$97:L$134)*_xlfn.XLOOKUP($P90,'Base Grupo de Produtos'!$E$2:$E$18,'Base Grupo de Produtos'!$F$2:$F$18)</f>
        <v>165</v>
      </c>
      <c r="Z90" s="56">
        <f>_xlfn.XLOOKUP($N90,'Calculo Leads'!$A$97:$A$134,'Calculo Leads'!M$97:M$134)*_xlfn.XLOOKUP($P90,'Base Grupo de Produtos'!$E$2:$E$18,'Base Grupo de Produtos'!$F$2:$F$18)</f>
        <v>219.99999999999997</v>
      </c>
      <c r="AA90" s="56">
        <f>_xlfn.XLOOKUP($N90,'Calculo Leads'!$A$97:$A$134,'Calculo Leads'!N$97:N$134)*_xlfn.XLOOKUP($P90,'Base Grupo de Produtos'!$E$2:$E$18,'Base Grupo de Produtos'!$F$2:$F$18)</f>
        <v>219.99999999999997</v>
      </c>
      <c r="AB90" s="56">
        <f>_xlfn.XLOOKUP($N90,'Calculo Leads'!$A$97:$A$134,'Calculo Leads'!O$97:O$134)*_xlfn.XLOOKUP($P90,'Base Grupo de Produtos'!$E$2:$E$18,'Base Grupo de Produtos'!$F$2:$F$18)</f>
        <v>165</v>
      </c>
      <c r="AC90" s="61">
        <f t="shared" si="75"/>
        <v>1385</v>
      </c>
      <c r="AD90" s="27">
        <f t="shared" si="91"/>
        <v>1385</v>
      </c>
      <c r="AE90" s="25">
        <f>IFERROR(_xlfn.XLOOKUP(N90&amp;P90,'Historico Vendas'!G:G,'Historico Vendas'!E:E),0)</f>
        <v>0</v>
      </c>
      <c r="AF90" s="29" t="str">
        <f t="shared" si="53"/>
        <v/>
      </c>
      <c r="AG90" s="24">
        <f>IFERROR(_xlfn.XLOOKUP(N90&amp;P90,'Historico Vendas'!G:G,'Historico Vendas'!F:F),0)</f>
        <v>0</v>
      </c>
      <c r="AH90" s="25">
        <f t="shared" si="92"/>
        <v>0</v>
      </c>
      <c r="AI90" s="24">
        <f t="shared" si="93"/>
        <v>0</v>
      </c>
      <c r="AJ90" s="11" t="str">
        <f t="shared" si="71"/>
        <v/>
      </c>
      <c r="AK90" s="9" t="s">
        <v>102</v>
      </c>
      <c r="AL90" s="13">
        <f>IFERROR(INDEX('Balizador da Meta'!$D$3:$F$23,MATCH(Faturamento!$P90,'Balizador da Meta'!$C$3:$C$23,0),MATCH(Faturamento!AK90,'Balizador da Meta'!$D$2:$F$2,0)),"")</f>
        <v>0.25</v>
      </c>
      <c r="AM90" s="9"/>
    </row>
    <row r="91" spans="1:39" x14ac:dyDescent="0.3">
      <c r="A91" s="2" t="str">
        <f t="shared" si="54"/>
        <v>NÃO</v>
      </c>
      <c r="B91" s="2" t="str">
        <f>_xlfn.XLOOKUP($N91,'Base de Grupos'!$A:$A,'Base de Grupos'!$D:$D)</f>
        <v>1000065763</v>
      </c>
      <c r="C91" s="5" t="str">
        <f>_xlfn.XLOOKUP($N91,'Base de Grupos'!$A:$A,'Base de Grupos'!$E:$E)</f>
        <v>CANAL VENDA INTERNA</v>
      </c>
      <c r="D91" s="5" t="str">
        <f>_xlfn.XLOOKUP($N91,'Base de Grupos'!$A:$A,'Base de Grupos'!$F:$F)</f>
        <v>1000065763</v>
      </c>
      <c r="E91" s="2" t="str">
        <f>_xlfn.XLOOKUP($N91,'Base de Grupos'!$A:$A,'Base de Grupos'!$G:$G)</f>
        <v>CANAL VENDA INTERNA</v>
      </c>
      <c r="F91" s="2" t="str">
        <f>_xlfn.XLOOKUP($N91,'Base de Grupos'!$A:$A,'Base de Grupos'!$H:$H)</f>
        <v>1000105900</v>
      </c>
      <c r="G91" s="5" t="str">
        <f>_xlfn.XLOOKUP($N91,'Base de Grupos'!$A:$A,'Base de Grupos'!$I:$I)</f>
        <v>REGIONAL VENDA DIRETA CO + NE + NO</v>
      </c>
      <c r="H91" s="5" t="str">
        <f>_xlfn.XLOOKUP($N91,'Base de Grupos'!$A:$A,'Base de Grupos'!$J:$J)</f>
        <v>1000105900</v>
      </c>
      <c r="I91" s="2" t="str">
        <f>_xlfn.XLOOKUP($N91,'Base de Grupos'!$A:$A,'Base de Grupos'!$K:$K)</f>
        <v>REGIONAL VENDA DIRETA CO + NE + NO</v>
      </c>
      <c r="J91" s="2" t="str">
        <f>_xlfn.XLOOKUP($N91,'Base de Grupos'!$A:$A,'Base de Grupos'!$L:$L)</f>
        <v>1000150135</v>
      </c>
      <c r="K91" s="5" t="str">
        <f>_xlfn.XLOOKUP($N91,'Base de Grupos'!$A:$A,'Base de Grupos'!$M:$M)</f>
        <v>HELDER DA SILVA BRUNKOW</v>
      </c>
      <c r="L91" s="5" t="str">
        <f t="shared" si="55"/>
        <v/>
      </c>
      <c r="M91" s="5" t="str">
        <f>_xlfn.XLOOKUP($N91,'Base de Grupos'!$A:$A,'Base de Grupos'!$C:$C)</f>
        <v>PE</v>
      </c>
      <c r="N91" s="3">
        <v>1328</v>
      </c>
      <c r="O91" s="4" t="s">
        <v>228</v>
      </c>
      <c r="P91" s="5" t="s">
        <v>95</v>
      </c>
      <c r="Q91" s="56">
        <v>0</v>
      </c>
      <c r="R91" s="56">
        <v>0</v>
      </c>
      <c r="S91" s="56">
        <v>0</v>
      </c>
      <c r="T91" s="56">
        <f>_xlfn.XLOOKUP($N91,'Calculo Leads'!$A$97:$A$134,'Calculo Leads'!G$97:G$134)*_xlfn.XLOOKUP($P91,'Base Grupo de Produtos'!$E$2:$E$18,'Base Grupo de Produtos'!$F$2:$F$18)</f>
        <v>160</v>
      </c>
      <c r="U91" s="56">
        <f>_xlfn.XLOOKUP($N91,'Calculo Leads'!$A$97:$A$134,'Calculo Leads'!H$97:H$134)*_xlfn.XLOOKUP($P91,'Base Grupo de Produtos'!$E$2:$E$18,'Base Grupo de Produtos'!$F$2:$F$18)</f>
        <v>160</v>
      </c>
      <c r="V91" s="56">
        <f>_xlfn.XLOOKUP($N91,'Calculo Leads'!$A$97:$A$134,'Calculo Leads'!I$97:I$134)*_xlfn.XLOOKUP($P91,'Base Grupo de Produtos'!$E$2:$E$18,'Base Grupo de Produtos'!$F$2:$F$18)</f>
        <v>160</v>
      </c>
      <c r="W91" s="56">
        <f>_xlfn.XLOOKUP($N91,'Calculo Leads'!$A$97:$A$134,'Calculo Leads'!J$97:J$134)*_xlfn.XLOOKUP($P91,'Base Grupo de Produtos'!$E$2:$E$18,'Base Grupo de Produtos'!$F$2:$F$18)</f>
        <v>240</v>
      </c>
      <c r="X91" s="56">
        <f>_xlfn.XLOOKUP($N91,'Calculo Leads'!$A$97:$A$134,'Calculo Leads'!K$97:K$134)*_xlfn.XLOOKUP($P91,'Base Grupo de Produtos'!$E$2:$E$18,'Base Grupo de Produtos'!$F$2:$F$18)</f>
        <v>264</v>
      </c>
      <c r="Y91" s="56">
        <f>_xlfn.XLOOKUP($N91,'Calculo Leads'!$A$97:$A$134,'Calculo Leads'!L$97:L$134)*_xlfn.XLOOKUP($P91,'Base Grupo de Produtos'!$E$2:$E$18,'Base Grupo de Produtos'!$F$2:$F$18)</f>
        <v>264</v>
      </c>
      <c r="Z91" s="56">
        <f>_xlfn.XLOOKUP($N91,'Calculo Leads'!$A$97:$A$134,'Calculo Leads'!M$97:M$134)*_xlfn.XLOOKUP($P91,'Base Grupo de Produtos'!$E$2:$E$18,'Base Grupo de Produtos'!$F$2:$F$18)</f>
        <v>352</v>
      </c>
      <c r="AA91" s="56">
        <f>_xlfn.XLOOKUP($N91,'Calculo Leads'!$A$97:$A$134,'Calculo Leads'!N$97:N$134)*_xlfn.XLOOKUP($P91,'Base Grupo de Produtos'!$E$2:$E$18,'Base Grupo de Produtos'!$F$2:$F$18)</f>
        <v>352</v>
      </c>
      <c r="AB91" s="56">
        <f>_xlfn.XLOOKUP($N91,'Calculo Leads'!$A$97:$A$134,'Calculo Leads'!O$97:O$134)*_xlfn.XLOOKUP($P91,'Base Grupo de Produtos'!$E$2:$E$18,'Base Grupo de Produtos'!$F$2:$F$18)</f>
        <v>264</v>
      </c>
      <c r="AC91" s="61">
        <f t="shared" si="75"/>
        <v>2216</v>
      </c>
      <c r="AD91" s="27">
        <f t="shared" si="91"/>
        <v>2216</v>
      </c>
      <c r="AE91" s="25">
        <f>IFERROR(_xlfn.XLOOKUP(N91&amp;P91,'Historico Vendas'!G:G,'Historico Vendas'!E:E),0)</f>
        <v>0</v>
      </c>
      <c r="AF91" s="29" t="str">
        <f t="shared" si="53"/>
        <v/>
      </c>
      <c r="AG91" s="24">
        <f>IFERROR(_xlfn.XLOOKUP(N91&amp;P91,'Historico Vendas'!G:G,'Historico Vendas'!F:F),0)</f>
        <v>0</v>
      </c>
      <c r="AH91" s="25">
        <f t="shared" si="92"/>
        <v>0</v>
      </c>
      <c r="AI91" s="24">
        <f t="shared" si="93"/>
        <v>0</v>
      </c>
      <c r="AJ91" s="11" t="str">
        <f t="shared" si="71"/>
        <v/>
      </c>
      <c r="AK91" s="9" t="s">
        <v>102</v>
      </c>
      <c r="AL91" s="13">
        <f>IFERROR(INDEX('Balizador da Meta'!$D$3:$F$23,MATCH(Faturamento!$P91,'Balizador da Meta'!$C$3:$C$23,0),MATCH(Faturamento!AK91,'Balizador da Meta'!$D$2:$F$2,0)),"")</f>
        <v>0.25</v>
      </c>
      <c r="AM91" s="9"/>
    </row>
    <row r="92" spans="1:39" x14ac:dyDescent="0.3">
      <c r="A92" s="2" t="str">
        <f t="shared" si="54"/>
        <v>NÃO</v>
      </c>
      <c r="B92" s="2" t="str">
        <f>_xlfn.XLOOKUP($N92,'Base de Grupos'!$A:$A,'Base de Grupos'!$D:$D)</f>
        <v>1000065763</v>
      </c>
      <c r="C92" s="5" t="str">
        <f>_xlfn.XLOOKUP($N92,'Base de Grupos'!$A:$A,'Base de Grupos'!$E:$E)</f>
        <v>CANAL VENDA INTERNA</v>
      </c>
      <c r="D92" s="5" t="str">
        <f>_xlfn.XLOOKUP($N92,'Base de Grupos'!$A:$A,'Base de Grupos'!$F:$F)</f>
        <v>1000065763</v>
      </c>
      <c r="E92" s="2" t="str">
        <f>_xlfn.XLOOKUP($N92,'Base de Grupos'!$A:$A,'Base de Grupos'!$G:$G)</f>
        <v>CANAL VENDA INTERNA</v>
      </c>
      <c r="F92" s="2" t="str">
        <f>_xlfn.XLOOKUP($N92,'Base de Grupos'!$A:$A,'Base de Grupos'!$H:$H)</f>
        <v>1000105900</v>
      </c>
      <c r="G92" s="5" t="str">
        <f>_xlfn.XLOOKUP($N92,'Base de Grupos'!$A:$A,'Base de Grupos'!$I:$I)</f>
        <v>REGIONAL VENDA DIRETA CO + NE + NO</v>
      </c>
      <c r="H92" s="5" t="str">
        <f>_xlfn.XLOOKUP($N92,'Base de Grupos'!$A:$A,'Base de Grupos'!$J:$J)</f>
        <v>1000105900</v>
      </c>
      <c r="I92" s="2" t="str">
        <f>_xlfn.XLOOKUP($N92,'Base de Grupos'!$A:$A,'Base de Grupos'!$K:$K)</f>
        <v>REGIONAL VENDA DIRETA CO + NE + NO</v>
      </c>
      <c r="J92" s="2" t="str">
        <f>_xlfn.XLOOKUP($N92,'Base de Grupos'!$A:$A,'Base de Grupos'!$L:$L)</f>
        <v>1000150135</v>
      </c>
      <c r="K92" s="5" t="str">
        <f>_xlfn.XLOOKUP($N92,'Base de Grupos'!$A:$A,'Base de Grupos'!$M:$M)</f>
        <v>HELDER DA SILVA BRUNKOW</v>
      </c>
      <c r="L92" s="5" t="str">
        <f t="shared" si="55"/>
        <v/>
      </c>
      <c r="M92" s="5" t="str">
        <f>_xlfn.XLOOKUP($N92,'Base de Grupos'!$A:$A,'Base de Grupos'!$C:$C)</f>
        <v>PE</v>
      </c>
      <c r="N92" s="3">
        <v>1328</v>
      </c>
      <c r="O92" s="4" t="s">
        <v>228</v>
      </c>
      <c r="P92" s="5" t="s">
        <v>93</v>
      </c>
      <c r="Q92" s="56">
        <v>0</v>
      </c>
      <c r="R92" s="56">
        <v>0</v>
      </c>
      <c r="S92" s="56">
        <v>0</v>
      </c>
      <c r="T92" s="56">
        <f>_xlfn.XLOOKUP($N92,'Calculo Leads'!$A$97:$A$134,'Calculo Leads'!G$97:G$134)*_xlfn.XLOOKUP($P92,'Base Grupo de Produtos'!$E$2:$E$18,'Base Grupo de Produtos'!$F$2:$F$18)</f>
        <v>60</v>
      </c>
      <c r="U92" s="56">
        <f>_xlfn.XLOOKUP($N92,'Calculo Leads'!$A$97:$A$134,'Calculo Leads'!H$97:H$134)*_xlfn.XLOOKUP($P92,'Base Grupo de Produtos'!$E$2:$E$18,'Base Grupo de Produtos'!$F$2:$F$18)</f>
        <v>60</v>
      </c>
      <c r="V92" s="56">
        <f>_xlfn.XLOOKUP($N92,'Calculo Leads'!$A$97:$A$134,'Calculo Leads'!I$97:I$134)*_xlfn.XLOOKUP($P92,'Base Grupo de Produtos'!$E$2:$E$18,'Base Grupo de Produtos'!$F$2:$F$18)</f>
        <v>60</v>
      </c>
      <c r="W92" s="56">
        <f>_xlfn.XLOOKUP($N92,'Calculo Leads'!$A$97:$A$134,'Calculo Leads'!J$97:J$134)*_xlfn.XLOOKUP($P92,'Base Grupo de Produtos'!$E$2:$E$18,'Base Grupo de Produtos'!$F$2:$F$18)</f>
        <v>90</v>
      </c>
      <c r="X92" s="56">
        <f>_xlfn.XLOOKUP($N92,'Calculo Leads'!$A$97:$A$134,'Calculo Leads'!K$97:K$134)*_xlfn.XLOOKUP($P92,'Base Grupo de Produtos'!$E$2:$E$18,'Base Grupo de Produtos'!$F$2:$F$18)</f>
        <v>99</v>
      </c>
      <c r="Y92" s="56">
        <f>_xlfn.XLOOKUP($N92,'Calculo Leads'!$A$97:$A$134,'Calculo Leads'!L$97:L$134)*_xlfn.XLOOKUP($P92,'Base Grupo de Produtos'!$E$2:$E$18,'Base Grupo de Produtos'!$F$2:$F$18)</f>
        <v>99</v>
      </c>
      <c r="Z92" s="56">
        <f>_xlfn.XLOOKUP($N92,'Calculo Leads'!$A$97:$A$134,'Calculo Leads'!M$97:M$134)*_xlfn.XLOOKUP($P92,'Base Grupo de Produtos'!$E$2:$E$18,'Base Grupo de Produtos'!$F$2:$F$18)</f>
        <v>132</v>
      </c>
      <c r="AA92" s="56">
        <f>_xlfn.XLOOKUP($N92,'Calculo Leads'!$A$97:$A$134,'Calculo Leads'!N$97:N$134)*_xlfn.XLOOKUP($P92,'Base Grupo de Produtos'!$E$2:$E$18,'Base Grupo de Produtos'!$F$2:$F$18)</f>
        <v>132</v>
      </c>
      <c r="AB92" s="56">
        <f>_xlfn.XLOOKUP($N92,'Calculo Leads'!$A$97:$A$134,'Calculo Leads'!O$97:O$134)*_xlfn.XLOOKUP($P92,'Base Grupo de Produtos'!$E$2:$E$18,'Base Grupo de Produtos'!$F$2:$F$18)</f>
        <v>99</v>
      </c>
      <c r="AC92" s="61">
        <f t="shared" si="75"/>
        <v>831</v>
      </c>
      <c r="AD92" s="27">
        <f t="shared" si="91"/>
        <v>831</v>
      </c>
      <c r="AE92" s="25">
        <f>IFERROR(_xlfn.XLOOKUP(N92&amp;P92,'Historico Vendas'!G:G,'Historico Vendas'!E:E),0)</f>
        <v>0</v>
      </c>
      <c r="AF92" s="29" t="str">
        <f t="shared" si="53"/>
        <v/>
      </c>
      <c r="AG92" s="24">
        <f>IFERROR(_xlfn.XLOOKUP(N92&amp;P92,'Historico Vendas'!G:G,'Historico Vendas'!F:F),0)</f>
        <v>0</v>
      </c>
      <c r="AH92" s="25">
        <f t="shared" si="92"/>
        <v>0</v>
      </c>
      <c r="AI92" s="24">
        <f t="shared" si="93"/>
        <v>0</v>
      </c>
      <c r="AJ92" s="11" t="str">
        <f t="shared" si="71"/>
        <v/>
      </c>
      <c r="AK92" s="9" t="s">
        <v>102</v>
      </c>
      <c r="AL92" s="13">
        <f>IFERROR(INDEX('Balizador da Meta'!$D$3:$F$23,MATCH(Faturamento!$P92,'Balizador da Meta'!$C$3:$C$23,0),MATCH(Faturamento!AK92,'Balizador da Meta'!$D$2:$F$2,0)),"")</f>
        <v>0.2</v>
      </c>
      <c r="AM92" s="9"/>
    </row>
    <row r="93" spans="1:39" x14ac:dyDescent="0.3">
      <c r="A93" s="2" t="str">
        <f t="shared" si="54"/>
        <v>SIM</v>
      </c>
      <c r="B93" s="2" t="str">
        <f>_xlfn.XLOOKUP($N93,'Base de Grupos'!$A:$A,'Base de Grupos'!$D:$D)</f>
        <v>1000065763</v>
      </c>
      <c r="C93" s="5" t="str">
        <f>_xlfn.XLOOKUP($N93,'Base de Grupos'!$A:$A,'Base de Grupos'!$E:$E)</f>
        <v>CANAL VENDA INTERNA</v>
      </c>
      <c r="D93" s="5" t="str">
        <f>_xlfn.XLOOKUP($N93,'Base de Grupos'!$A:$A,'Base de Grupos'!$F:$F)</f>
        <v>1000065763</v>
      </c>
      <c r="E93" s="2" t="str">
        <f>_xlfn.XLOOKUP($N93,'Base de Grupos'!$A:$A,'Base de Grupos'!$G:$G)</f>
        <v>CANAL VENDA INTERNA</v>
      </c>
      <c r="F93" s="2" t="str">
        <f>_xlfn.XLOOKUP($N93,'Base de Grupos'!$A:$A,'Base de Grupos'!$H:$H)</f>
        <v>1000153245</v>
      </c>
      <c r="G93" s="5" t="str">
        <f>_xlfn.XLOOKUP($N93,'Base de Grupos'!$A:$A,'Base de Grupos'!$I:$I)</f>
        <v>REGIONAL VENDA INTERNA - KEY ACCOUNT</v>
      </c>
      <c r="H93" s="5" t="str">
        <f>_xlfn.XLOOKUP($N93,'Base de Grupos'!$A:$A,'Base de Grupos'!$J:$J)</f>
        <v>1000153245</v>
      </c>
      <c r="I93" s="2" t="str">
        <f>_xlfn.XLOOKUP($N93,'Base de Grupos'!$A:$A,'Base de Grupos'!$K:$K)</f>
        <v>REGIONAL VENDA INTERNA - KEY ACCOUNT</v>
      </c>
      <c r="J93" s="2" t="str">
        <f>_xlfn.XLOOKUP($N93,'Base de Grupos'!$A:$A,'Base de Grupos'!$L:$L)</f>
        <v>1000153245</v>
      </c>
      <c r="K93" s="5" t="str">
        <f>_xlfn.XLOOKUP($N93,'Base de Grupos'!$A:$A,'Base de Grupos'!$M:$M)</f>
        <v>REGIONAL VENDA INTERNA - KEY ACCOUNT</v>
      </c>
      <c r="L93" s="5">
        <f t="shared" si="55"/>
        <v>1</v>
      </c>
      <c r="M93" s="5" t="str">
        <f>_xlfn.XLOOKUP($N93,'Base de Grupos'!$A:$A,'Base de Grupos'!$C:$C)</f>
        <v>PB</v>
      </c>
      <c r="N93" s="3">
        <v>1329</v>
      </c>
      <c r="O93" s="4" t="s">
        <v>229</v>
      </c>
      <c r="P93" s="5" t="s">
        <v>299</v>
      </c>
      <c r="Q93" s="56">
        <f t="shared" ref="Q93" si="94">SUM(Q94:Q110)</f>
        <v>0</v>
      </c>
      <c r="R93" s="56">
        <f t="shared" ref="R93" si="95">SUM(R94:R110)</f>
        <v>0</v>
      </c>
      <c r="S93" s="56">
        <f t="shared" ref="S93" si="96">SUM(S94:S110)</f>
        <v>0</v>
      </c>
      <c r="T93" s="56">
        <f t="shared" ref="T93" si="97">SUM(T94:T110)</f>
        <v>1000</v>
      </c>
      <c r="U93" s="56">
        <f t="shared" ref="U93" si="98">SUM(U94:U110)</f>
        <v>1000</v>
      </c>
      <c r="V93" s="56">
        <f t="shared" ref="V93" si="99">SUM(V94:V110)</f>
        <v>2000</v>
      </c>
      <c r="W93" s="56">
        <f t="shared" ref="W93" si="100">SUM(W94:W110)</f>
        <v>2000</v>
      </c>
      <c r="X93" s="56">
        <f t="shared" ref="X93" si="101">SUM(X94:X110)</f>
        <v>2200</v>
      </c>
      <c r="Y93" s="56">
        <f t="shared" ref="Y93" si="102">SUM(Y94:Y110)</f>
        <v>3300</v>
      </c>
      <c r="Z93" s="56">
        <f t="shared" ref="Z93" si="103">SUM(Z94:Z110)</f>
        <v>3300</v>
      </c>
      <c r="AA93" s="56">
        <f t="shared" ref="AA93" si="104">SUM(AA94:AA110)</f>
        <v>3300</v>
      </c>
      <c r="AB93" s="56">
        <f t="shared" ref="AB93" si="105">SUM(AB94:AB110)</f>
        <v>2200</v>
      </c>
      <c r="AC93" s="56">
        <f t="shared" ref="AC93" si="106">SUM(AC94:AC110)</f>
        <v>20300</v>
      </c>
      <c r="AD93" s="25">
        <f t="shared" ref="AD93" si="107">SUM(AD94:AD110)</f>
        <v>20300</v>
      </c>
      <c r="AE93" s="25">
        <f t="shared" ref="AE93:AI93" si="108">SUM(AE94:AE110)</f>
        <v>0</v>
      </c>
      <c r="AF93" s="11" t="str">
        <f t="shared" si="53"/>
        <v/>
      </c>
      <c r="AG93" s="24">
        <f t="shared" si="108"/>
        <v>0</v>
      </c>
      <c r="AH93" s="25">
        <f t="shared" si="108"/>
        <v>0</v>
      </c>
      <c r="AI93" s="24">
        <f t="shared" si="108"/>
        <v>0</v>
      </c>
      <c r="AJ93" s="11" t="str">
        <f t="shared" si="71"/>
        <v/>
      </c>
      <c r="AK93" s="9"/>
      <c r="AL93" s="13"/>
      <c r="AM93" s="9"/>
    </row>
    <row r="94" spans="1:39" x14ac:dyDescent="0.3">
      <c r="A94" s="2" t="str">
        <f t="shared" si="54"/>
        <v>NÃO</v>
      </c>
      <c r="B94" s="2" t="str">
        <f>_xlfn.XLOOKUP($N94,'Base de Grupos'!$A:$A,'Base de Grupos'!$D:$D)</f>
        <v>1000065763</v>
      </c>
      <c r="C94" s="5" t="str">
        <f>_xlfn.XLOOKUP($N94,'Base de Grupos'!$A:$A,'Base de Grupos'!$E:$E)</f>
        <v>CANAL VENDA INTERNA</v>
      </c>
      <c r="D94" s="5" t="str">
        <f>_xlfn.XLOOKUP($N94,'Base de Grupos'!$A:$A,'Base de Grupos'!$F:$F)</f>
        <v>1000065763</v>
      </c>
      <c r="E94" s="2" t="str">
        <f>_xlfn.XLOOKUP($N94,'Base de Grupos'!$A:$A,'Base de Grupos'!$G:$G)</f>
        <v>CANAL VENDA INTERNA</v>
      </c>
      <c r="F94" s="2" t="str">
        <f>_xlfn.XLOOKUP($N94,'Base de Grupos'!$A:$A,'Base de Grupos'!$H:$H)</f>
        <v>1000153245</v>
      </c>
      <c r="G94" s="5" t="str">
        <f>_xlfn.XLOOKUP($N94,'Base de Grupos'!$A:$A,'Base de Grupos'!$I:$I)</f>
        <v>REGIONAL VENDA INTERNA - KEY ACCOUNT</v>
      </c>
      <c r="H94" s="5" t="str">
        <f>_xlfn.XLOOKUP($N94,'Base de Grupos'!$A:$A,'Base de Grupos'!$J:$J)</f>
        <v>1000153245</v>
      </c>
      <c r="I94" s="2" t="str">
        <f>_xlfn.XLOOKUP($N94,'Base de Grupos'!$A:$A,'Base de Grupos'!$K:$K)</f>
        <v>REGIONAL VENDA INTERNA - KEY ACCOUNT</v>
      </c>
      <c r="J94" s="2" t="str">
        <f>_xlfn.XLOOKUP($N94,'Base de Grupos'!$A:$A,'Base de Grupos'!$L:$L)</f>
        <v>1000153245</v>
      </c>
      <c r="K94" s="5" t="str">
        <f>_xlfn.XLOOKUP($N94,'Base de Grupos'!$A:$A,'Base de Grupos'!$M:$M)</f>
        <v>REGIONAL VENDA INTERNA - KEY ACCOUNT</v>
      </c>
      <c r="L94" s="5" t="str">
        <f t="shared" si="55"/>
        <v/>
      </c>
      <c r="M94" s="5" t="str">
        <f>_xlfn.XLOOKUP($N94,'Base de Grupos'!$A:$A,'Base de Grupos'!$C:$C)</f>
        <v>PB</v>
      </c>
      <c r="N94" s="3">
        <v>1329</v>
      </c>
      <c r="O94" s="4" t="s">
        <v>229</v>
      </c>
      <c r="P94" s="5" t="s">
        <v>81</v>
      </c>
      <c r="Q94" s="56">
        <v>0</v>
      </c>
      <c r="R94" s="56">
        <v>0</v>
      </c>
      <c r="S94" s="56">
        <v>0</v>
      </c>
      <c r="T94" s="56">
        <f>_xlfn.XLOOKUP($N94,'Calculo Leads'!$A$97:$A$134,'Calculo Leads'!G$97:G$134)*_xlfn.XLOOKUP($P94,'Base Grupo de Produtos'!$E$2:$E$18,'Base Grupo de Produtos'!$F$2:$F$18)</f>
        <v>50</v>
      </c>
      <c r="U94" s="56">
        <f>_xlfn.XLOOKUP($N94,'Calculo Leads'!$A$97:$A$134,'Calculo Leads'!H$97:H$134)*_xlfn.XLOOKUP($P94,'Base Grupo de Produtos'!$E$2:$E$18,'Base Grupo de Produtos'!$F$2:$F$18)</f>
        <v>50</v>
      </c>
      <c r="V94" s="56">
        <f>_xlfn.XLOOKUP($N94,'Calculo Leads'!$A$97:$A$134,'Calculo Leads'!I$97:I$134)*_xlfn.XLOOKUP($P94,'Base Grupo de Produtos'!$E$2:$E$18,'Base Grupo de Produtos'!$F$2:$F$18)</f>
        <v>100</v>
      </c>
      <c r="W94" s="56">
        <f>_xlfn.XLOOKUP($N94,'Calculo Leads'!$A$97:$A$134,'Calculo Leads'!J$97:J$134)*_xlfn.XLOOKUP($P94,'Base Grupo de Produtos'!$E$2:$E$18,'Base Grupo de Produtos'!$F$2:$F$18)</f>
        <v>100</v>
      </c>
      <c r="X94" s="56">
        <f>_xlfn.XLOOKUP($N94,'Calculo Leads'!$A$97:$A$134,'Calculo Leads'!K$97:K$134)*_xlfn.XLOOKUP($P94,'Base Grupo de Produtos'!$E$2:$E$18,'Base Grupo de Produtos'!$F$2:$F$18)</f>
        <v>110</v>
      </c>
      <c r="Y94" s="56">
        <f>_xlfn.XLOOKUP($N94,'Calculo Leads'!$A$97:$A$134,'Calculo Leads'!L$97:L$134)*_xlfn.XLOOKUP($P94,'Base Grupo de Produtos'!$E$2:$E$18,'Base Grupo de Produtos'!$F$2:$F$18)</f>
        <v>165</v>
      </c>
      <c r="Z94" s="56">
        <f>_xlfn.XLOOKUP($N94,'Calculo Leads'!$A$97:$A$134,'Calculo Leads'!M$97:M$134)*_xlfn.XLOOKUP($P94,'Base Grupo de Produtos'!$E$2:$E$18,'Base Grupo de Produtos'!$F$2:$F$18)</f>
        <v>165</v>
      </c>
      <c r="AA94" s="56">
        <f>_xlfn.XLOOKUP($N94,'Calculo Leads'!$A$97:$A$134,'Calculo Leads'!N$97:N$134)*_xlfn.XLOOKUP($P94,'Base Grupo de Produtos'!$E$2:$E$18,'Base Grupo de Produtos'!$F$2:$F$18)</f>
        <v>165</v>
      </c>
      <c r="AB94" s="56">
        <f>_xlfn.XLOOKUP($N94,'Calculo Leads'!$A$97:$A$134,'Calculo Leads'!O$97:O$134)*_xlfn.XLOOKUP($P94,'Base Grupo de Produtos'!$E$2:$E$18,'Base Grupo de Produtos'!$F$2:$F$18)</f>
        <v>110</v>
      </c>
      <c r="AC94" s="61">
        <f t="shared" si="75"/>
        <v>1015</v>
      </c>
      <c r="AD94" s="27">
        <f t="shared" ref="AD94:AD110" si="109">IF(AC94=0,0,AC94-AG94)</f>
        <v>1015</v>
      </c>
      <c r="AE94" s="25">
        <f>IFERROR(_xlfn.XLOOKUP(N94&amp;P94,'Historico Vendas'!G:G,'Historico Vendas'!E:E),0)</f>
        <v>0</v>
      </c>
      <c r="AF94" s="29" t="str">
        <f t="shared" si="53"/>
        <v/>
      </c>
      <c r="AG94" s="24">
        <f>IFERROR(_xlfn.XLOOKUP(N94&amp;P94,'Historico Vendas'!G:G,'Historico Vendas'!F:F),0)</f>
        <v>0</v>
      </c>
      <c r="AH94" s="25">
        <f t="shared" ref="AH94:AH110" si="110">SUM(Q94:S94)</f>
        <v>0</v>
      </c>
      <c r="AI94" s="24">
        <f t="shared" ref="AI94:AI110" si="111">AH94-AG94</f>
        <v>0</v>
      </c>
      <c r="AJ94" s="11" t="str">
        <f t="shared" si="71"/>
        <v/>
      </c>
      <c r="AK94" s="9" t="s">
        <v>102</v>
      </c>
      <c r="AL94" s="13">
        <f>IFERROR(INDEX('Balizador da Meta'!$D$3:$F$23,MATCH(Faturamento!$P94,'Balizador da Meta'!$C$3:$C$23,0),MATCH(Faturamento!AK94,'Balizador da Meta'!$D$2:$F$2,0)),"")</f>
        <v>0.2</v>
      </c>
      <c r="AM94" s="9"/>
    </row>
    <row r="95" spans="1:39" x14ac:dyDescent="0.3">
      <c r="A95" s="2" t="str">
        <f t="shared" si="54"/>
        <v>NÃO</v>
      </c>
      <c r="B95" s="2" t="str">
        <f>_xlfn.XLOOKUP($N95,'Base de Grupos'!$A:$A,'Base de Grupos'!$D:$D)</f>
        <v>1000065763</v>
      </c>
      <c r="C95" s="5" t="str">
        <f>_xlfn.XLOOKUP($N95,'Base de Grupos'!$A:$A,'Base de Grupos'!$E:$E)</f>
        <v>CANAL VENDA INTERNA</v>
      </c>
      <c r="D95" s="5" t="str">
        <f>_xlfn.XLOOKUP($N95,'Base de Grupos'!$A:$A,'Base de Grupos'!$F:$F)</f>
        <v>1000065763</v>
      </c>
      <c r="E95" s="2" t="str">
        <f>_xlfn.XLOOKUP($N95,'Base de Grupos'!$A:$A,'Base de Grupos'!$G:$G)</f>
        <v>CANAL VENDA INTERNA</v>
      </c>
      <c r="F95" s="2" t="str">
        <f>_xlfn.XLOOKUP($N95,'Base de Grupos'!$A:$A,'Base de Grupos'!$H:$H)</f>
        <v>1000153245</v>
      </c>
      <c r="G95" s="5" t="str">
        <f>_xlfn.XLOOKUP($N95,'Base de Grupos'!$A:$A,'Base de Grupos'!$I:$I)</f>
        <v>REGIONAL VENDA INTERNA - KEY ACCOUNT</v>
      </c>
      <c r="H95" s="5" t="str">
        <f>_xlfn.XLOOKUP($N95,'Base de Grupos'!$A:$A,'Base de Grupos'!$J:$J)</f>
        <v>1000153245</v>
      </c>
      <c r="I95" s="2" t="str">
        <f>_xlfn.XLOOKUP($N95,'Base de Grupos'!$A:$A,'Base de Grupos'!$K:$K)</f>
        <v>REGIONAL VENDA INTERNA - KEY ACCOUNT</v>
      </c>
      <c r="J95" s="2" t="str">
        <f>_xlfn.XLOOKUP($N95,'Base de Grupos'!$A:$A,'Base de Grupos'!$L:$L)</f>
        <v>1000153245</v>
      </c>
      <c r="K95" s="5" t="str">
        <f>_xlfn.XLOOKUP($N95,'Base de Grupos'!$A:$A,'Base de Grupos'!$M:$M)</f>
        <v>REGIONAL VENDA INTERNA - KEY ACCOUNT</v>
      </c>
      <c r="L95" s="5" t="str">
        <f t="shared" si="55"/>
        <v/>
      </c>
      <c r="M95" s="5" t="str">
        <f>_xlfn.XLOOKUP($N95,'Base de Grupos'!$A:$A,'Base de Grupos'!$C:$C)</f>
        <v>PB</v>
      </c>
      <c r="N95" s="3">
        <v>1329</v>
      </c>
      <c r="O95" s="4" t="s">
        <v>229</v>
      </c>
      <c r="P95" s="5" t="s">
        <v>82</v>
      </c>
      <c r="Q95" s="56">
        <v>0</v>
      </c>
      <c r="R95" s="56">
        <v>0</v>
      </c>
      <c r="S95" s="56">
        <v>0</v>
      </c>
      <c r="T95" s="56">
        <f>_xlfn.XLOOKUP($N95,'Calculo Leads'!$A$97:$A$134,'Calculo Leads'!G$97:G$134)*_xlfn.XLOOKUP($P95,'Base Grupo de Produtos'!$E$2:$E$18,'Base Grupo de Produtos'!$F$2:$F$18)</f>
        <v>50</v>
      </c>
      <c r="U95" s="56">
        <f>_xlfn.XLOOKUP($N95,'Calculo Leads'!$A$97:$A$134,'Calculo Leads'!H$97:H$134)*_xlfn.XLOOKUP($P95,'Base Grupo de Produtos'!$E$2:$E$18,'Base Grupo de Produtos'!$F$2:$F$18)</f>
        <v>50</v>
      </c>
      <c r="V95" s="56">
        <f>_xlfn.XLOOKUP($N95,'Calculo Leads'!$A$97:$A$134,'Calculo Leads'!I$97:I$134)*_xlfn.XLOOKUP($P95,'Base Grupo de Produtos'!$E$2:$E$18,'Base Grupo de Produtos'!$F$2:$F$18)</f>
        <v>100</v>
      </c>
      <c r="W95" s="56">
        <f>_xlfn.XLOOKUP($N95,'Calculo Leads'!$A$97:$A$134,'Calculo Leads'!J$97:J$134)*_xlfn.XLOOKUP($P95,'Base Grupo de Produtos'!$E$2:$E$18,'Base Grupo de Produtos'!$F$2:$F$18)</f>
        <v>100</v>
      </c>
      <c r="X95" s="56">
        <f>_xlfn.XLOOKUP($N95,'Calculo Leads'!$A$97:$A$134,'Calculo Leads'!K$97:K$134)*_xlfn.XLOOKUP($P95,'Base Grupo de Produtos'!$E$2:$E$18,'Base Grupo de Produtos'!$F$2:$F$18)</f>
        <v>110</v>
      </c>
      <c r="Y95" s="56">
        <f>_xlfn.XLOOKUP($N95,'Calculo Leads'!$A$97:$A$134,'Calculo Leads'!L$97:L$134)*_xlfn.XLOOKUP($P95,'Base Grupo de Produtos'!$E$2:$E$18,'Base Grupo de Produtos'!$F$2:$F$18)</f>
        <v>165</v>
      </c>
      <c r="Z95" s="56">
        <f>_xlfn.XLOOKUP($N95,'Calculo Leads'!$A$97:$A$134,'Calculo Leads'!M$97:M$134)*_xlfn.XLOOKUP($P95,'Base Grupo de Produtos'!$E$2:$E$18,'Base Grupo de Produtos'!$F$2:$F$18)</f>
        <v>165</v>
      </c>
      <c r="AA95" s="56">
        <f>_xlfn.XLOOKUP($N95,'Calculo Leads'!$A$97:$A$134,'Calculo Leads'!N$97:N$134)*_xlfn.XLOOKUP($P95,'Base Grupo de Produtos'!$E$2:$E$18,'Base Grupo de Produtos'!$F$2:$F$18)</f>
        <v>165</v>
      </c>
      <c r="AB95" s="56">
        <f>_xlfn.XLOOKUP($N95,'Calculo Leads'!$A$97:$A$134,'Calculo Leads'!O$97:O$134)*_xlfn.XLOOKUP($P95,'Base Grupo de Produtos'!$E$2:$E$18,'Base Grupo de Produtos'!$F$2:$F$18)</f>
        <v>110</v>
      </c>
      <c r="AC95" s="61">
        <f t="shared" si="75"/>
        <v>1015</v>
      </c>
      <c r="AD95" s="27">
        <f t="shared" si="109"/>
        <v>1015</v>
      </c>
      <c r="AE95" s="25">
        <f>IFERROR(_xlfn.XLOOKUP(N95&amp;P95,'Historico Vendas'!G:G,'Historico Vendas'!E:E),0)</f>
        <v>0</v>
      </c>
      <c r="AF95" s="29" t="str">
        <f t="shared" si="53"/>
        <v/>
      </c>
      <c r="AG95" s="24">
        <f>IFERROR(_xlfn.XLOOKUP(N95&amp;P95,'Historico Vendas'!G:G,'Historico Vendas'!F:F),0)</f>
        <v>0</v>
      </c>
      <c r="AH95" s="25">
        <f t="shared" si="110"/>
        <v>0</v>
      </c>
      <c r="AI95" s="24">
        <f t="shared" si="111"/>
        <v>0</v>
      </c>
      <c r="AJ95" s="11" t="str">
        <f t="shared" si="71"/>
        <v/>
      </c>
      <c r="AK95" s="9" t="s">
        <v>102</v>
      </c>
      <c r="AL95" s="13">
        <f>IFERROR(INDEX('Balizador da Meta'!$D$3:$F$23,MATCH(Faturamento!$P95,'Balizador da Meta'!$C$3:$C$23,0),MATCH(Faturamento!AK95,'Balizador da Meta'!$D$2:$F$2,0)),"")</f>
        <v>0.2</v>
      </c>
      <c r="AM95" s="9"/>
    </row>
    <row r="96" spans="1:39" x14ac:dyDescent="0.3">
      <c r="A96" s="2" t="str">
        <f t="shared" si="54"/>
        <v>NÃO</v>
      </c>
      <c r="B96" s="2" t="str">
        <f>_xlfn.XLOOKUP($N96,'Base de Grupos'!$A:$A,'Base de Grupos'!$D:$D)</f>
        <v>1000065763</v>
      </c>
      <c r="C96" s="5" t="str">
        <f>_xlfn.XLOOKUP($N96,'Base de Grupos'!$A:$A,'Base de Grupos'!$E:$E)</f>
        <v>CANAL VENDA INTERNA</v>
      </c>
      <c r="D96" s="5" t="str">
        <f>_xlfn.XLOOKUP($N96,'Base de Grupos'!$A:$A,'Base de Grupos'!$F:$F)</f>
        <v>1000065763</v>
      </c>
      <c r="E96" s="2" t="str">
        <f>_xlfn.XLOOKUP($N96,'Base de Grupos'!$A:$A,'Base de Grupos'!$G:$G)</f>
        <v>CANAL VENDA INTERNA</v>
      </c>
      <c r="F96" s="2" t="str">
        <f>_xlfn.XLOOKUP($N96,'Base de Grupos'!$A:$A,'Base de Grupos'!$H:$H)</f>
        <v>1000153245</v>
      </c>
      <c r="G96" s="5" t="str">
        <f>_xlfn.XLOOKUP($N96,'Base de Grupos'!$A:$A,'Base de Grupos'!$I:$I)</f>
        <v>REGIONAL VENDA INTERNA - KEY ACCOUNT</v>
      </c>
      <c r="H96" s="5" t="str">
        <f>_xlfn.XLOOKUP($N96,'Base de Grupos'!$A:$A,'Base de Grupos'!$J:$J)</f>
        <v>1000153245</v>
      </c>
      <c r="I96" s="2" t="str">
        <f>_xlfn.XLOOKUP($N96,'Base de Grupos'!$A:$A,'Base de Grupos'!$K:$K)</f>
        <v>REGIONAL VENDA INTERNA - KEY ACCOUNT</v>
      </c>
      <c r="J96" s="2" t="str">
        <f>_xlfn.XLOOKUP($N96,'Base de Grupos'!$A:$A,'Base de Grupos'!$L:$L)</f>
        <v>1000153245</v>
      </c>
      <c r="K96" s="5" t="str">
        <f>_xlfn.XLOOKUP($N96,'Base de Grupos'!$A:$A,'Base de Grupos'!$M:$M)</f>
        <v>REGIONAL VENDA INTERNA - KEY ACCOUNT</v>
      </c>
      <c r="L96" s="5" t="str">
        <f t="shared" si="55"/>
        <v/>
      </c>
      <c r="M96" s="5" t="str">
        <f>_xlfn.XLOOKUP($N96,'Base de Grupos'!$A:$A,'Base de Grupos'!$C:$C)</f>
        <v>PB</v>
      </c>
      <c r="N96" s="3">
        <v>1329</v>
      </c>
      <c r="O96" s="4" t="s">
        <v>229</v>
      </c>
      <c r="P96" s="5" t="s">
        <v>84</v>
      </c>
      <c r="Q96" s="56">
        <v>0</v>
      </c>
      <c r="R96" s="56">
        <v>0</v>
      </c>
      <c r="S96" s="56">
        <v>0</v>
      </c>
      <c r="T96" s="56">
        <f>_xlfn.XLOOKUP($N96,'Calculo Leads'!$A$97:$A$134,'Calculo Leads'!G$97:G$134)*_xlfn.XLOOKUP($P96,'Base Grupo de Produtos'!$E$2:$E$18,'Base Grupo de Produtos'!$F$2:$F$18)</f>
        <v>80</v>
      </c>
      <c r="U96" s="56">
        <f>_xlfn.XLOOKUP($N96,'Calculo Leads'!$A$97:$A$134,'Calculo Leads'!H$97:H$134)*_xlfn.XLOOKUP($P96,'Base Grupo de Produtos'!$E$2:$E$18,'Base Grupo de Produtos'!$F$2:$F$18)</f>
        <v>80</v>
      </c>
      <c r="V96" s="56">
        <f>_xlfn.XLOOKUP($N96,'Calculo Leads'!$A$97:$A$134,'Calculo Leads'!I$97:I$134)*_xlfn.XLOOKUP($P96,'Base Grupo de Produtos'!$E$2:$E$18,'Base Grupo de Produtos'!$F$2:$F$18)</f>
        <v>160</v>
      </c>
      <c r="W96" s="56">
        <f>_xlfn.XLOOKUP($N96,'Calculo Leads'!$A$97:$A$134,'Calculo Leads'!J$97:J$134)*_xlfn.XLOOKUP($P96,'Base Grupo de Produtos'!$E$2:$E$18,'Base Grupo de Produtos'!$F$2:$F$18)</f>
        <v>160</v>
      </c>
      <c r="X96" s="56">
        <f>_xlfn.XLOOKUP($N96,'Calculo Leads'!$A$97:$A$134,'Calculo Leads'!K$97:K$134)*_xlfn.XLOOKUP($P96,'Base Grupo de Produtos'!$E$2:$E$18,'Base Grupo de Produtos'!$F$2:$F$18)</f>
        <v>176</v>
      </c>
      <c r="Y96" s="56">
        <f>_xlfn.XLOOKUP($N96,'Calculo Leads'!$A$97:$A$134,'Calculo Leads'!L$97:L$134)*_xlfn.XLOOKUP($P96,'Base Grupo de Produtos'!$E$2:$E$18,'Base Grupo de Produtos'!$F$2:$F$18)</f>
        <v>264</v>
      </c>
      <c r="Z96" s="56">
        <f>_xlfn.XLOOKUP($N96,'Calculo Leads'!$A$97:$A$134,'Calculo Leads'!M$97:M$134)*_xlfn.XLOOKUP($P96,'Base Grupo de Produtos'!$E$2:$E$18,'Base Grupo de Produtos'!$F$2:$F$18)</f>
        <v>264</v>
      </c>
      <c r="AA96" s="56">
        <f>_xlfn.XLOOKUP($N96,'Calculo Leads'!$A$97:$A$134,'Calculo Leads'!N$97:N$134)*_xlfn.XLOOKUP($P96,'Base Grupo de Produtos'!$E$2:$E$18,'Base Grupo de Produtos'!$F$2:$F$18)</f>
        <v>264</v>
      </c>
      <c r="AB96" s="56">
        <f>_xlfn.XLOOKUP($N96,'Calculo Leads'!$A$97:$A$134,'Calculo Leads'!O$97:O$134)*_xlfn.XLOOKUP($P96,'Base Grupo de Produtos'!$E$2:$E$18,'Base Grupo de Produtos'!$F$2:$F$18)</f>
        <v>176</v>
      </c>
      <c r="AC96" s="61">
        <f t="shared" si="75"/>
        <v>1624</v>
      </c>
      <c r="AD96" s="27">
        <f t="shared" si="109"/>
        <v>1624</v>
      </c>
      <c r="AE96" s="25">
        <f>IFERROR(_xlfn.XLOOKUP(N96&amp;P96,'Historico Vendas'!G:G,'Historico Vendas'!E:E),0)</f>
        <v>0</v>
      </c>
      <c r="AF96" s="29" t="str">
        <f t="shared" si="53"/>
        <v/>
      </c>
      <c r="AG96" s="24">
        <f>IFERROR(_xlfn.XLOOKUP(N96&amp;P96,'Historico Vendas'!G:G,'Historico Vendas'!F:F),0)</f>
        <v>0</v>
      </c>
      <c r="AH96" s="25">
        <f t="shared" si="110"/>
        <v>0</v>
      </c>
      <c r="AI96" s="24">
        <f t="shared" si="111"/>
        <v>0</v>
      </c>
      <c r="AJ96" s="11" t="str">
        <f t="shared" si="71"/>
        <v/>
      </c>
      <c r="AK96" s="9" t="s">
        <v>102</v>
      </c>
      <c r="AL96" s="13">
        <f>IFERROR(INDEX('Balizador da Meta'!$D$3:$F$23,MATCH(Faturamento!$P96,'Balizador da Meta'!$C$3:$C$23,0),MATCH(Faturamento!AK96,'Balizador da Meta'!$D$2:$F$2,0)),"")</f>
        <v>0.15</v>
      </c>
      <c r="AM96" s="9"/>
    </row>
    <row r="97" spans="1:39" x14ac:dyDescent="0.3">
      <c r="A97" s="2" t="str">
        <f t="shared" si="54"/>
        <v>NÃO</v>
      </c>
      <c r="B97" s="2" t="str">
        <f>_xlfn.XLOOKUP($N97,'Base de Grupos'!$A:$A,'Base de Grupos'!$D:$D)</f>
        <v>1000065763</v>
      </c>
      <c r="C97" s="5" t="str">
        <f>_xlfn.XLOOKUP($N97,'Base de Grupos'!$A:$A,'Base de Grupos'!$E:$E)</f>
        <v>CANAL VENDA INTERNA</v>
      </c>
      <c r="D97" s="5" t="str">
        <f>_xlfn.XLOOKUP($N97,'Base de Grupos'!$A:$A,'Base de Grupos'!$F:$F)</f>
        <v>1000065763</v>
      </c>
      <c r="E97" s="2" t="str">
        <f>_xlfn.XLOOKUP($N97,'Base de Grupos'!$A:$A,'Base de Grupos'!$G:$G)</f>
        <v>CANAL VENDA INTERNA</v>
      </c>
      <c r="F97" s="2" t="str">
        <f>_xlfn.XLOOKUP($N97,'Base de Grupos'!$A:$A,'Base de Grupos'!$H:$H)</f>
        <v>1000153245</v>
      </c>
      <c r="G97" s="5" t="str">
        <f>_xlfn.XLOOKUP($N97,'Base de Grupos'!$A:$A,'Base de Grupos'!$I:$I)</f>
        <v>REGIONAL VENDA INTERNA - KEY ACCOUNT</v>
      </c>
      <c r="H97" s="5" t="str">
        <f>_xlfn.XLOOKUP($N97,'Base de Grupos'!$A:$A,'Base de Grupos'!$J:$J)</f>
        <v>1000153245</v>
      </c>
      <c r="I97" s="2" t="str">
        <f>_xlfn.XLOOKUP($N97,'Base de Grupos'!$A:$A,'Base de Grupos'!$K:$K)</f>
        <v>REGIONAL VENDA INTERNA - KEY ACCOUNT</v>
      </c>
      <c r="J97" s="2" t="str">
        <f>_xlfn.XLOOKUP($N97,'Base de Grupos'!$A:$A,'Base de Grupos'!$L:$L)</f>
        <v>1000153245</v>
      </c>
      <c r="K97" s="5" t="str">
        <f>_xlfn.XLOOKUP($N97,'Base de Grupos'!$A:$A,'Base de Grupos'!$M:$M)</f>
        <v>REGIONAL VENDA INTERNA - KEY ACCOUNT</v>
      </c>
      <c r="L97" s="5" t="str">
        <f t="shared" si="55"/>
        <v/>
      </c>
      <c r="M97" s="5" t="str">
        <f>_xlfn.XLOOKUP($N97,'Base de Grupos'!$A:$A,'Base de Grupos'!$C:$C)</f>
        <v>PB</v>
      </c>
      <c r="N97" s="3">
        <v>1329</v>
      </c>
      <c r="O97" s="4" t="s">
        <v>229</v>
      </c>
      <c r="P97" s="5" t="s">
        <v>83</v>
      </c>
      <c r="Q97" s="56">
        <v>0</v>
      </c>
      <c r="R97" s="56">
        <v>0</v>
      </c>
      <c r="S97" s="56">
        <v>0</v>
      </c>
      <c r="T97" s="56">
        <f>_xlfn.XLOOKUP($N97,'Calculo Leads'!$A$97:$A$134,'Calculo Leads'!G$97:G$134)*_xlfn.XLOOKUP($P97,'Base Grupo de Produtos'!$E$2:$E$18,'Base Grupo de Produtos'!$F$2:$F$18)</f>
        <v>100</v>
      </c>
      <c r="U97" s="56">
        <f>_xlfn.XLOOKUP($N97,'Calculo Leads'!$A$97:$A$134,'Calculo Leads'!H$97:H$134)*_xlfn.XLOOKUP($P97,'Base Grupo de Produtos'!$E$2:$E$18,'Base Grupo de Produtos'!$F$2:$F$18)</f>
        <v>100</v>
      </c>
      <c r="V97" s="56">
        <f>_xlfn.XLOOKUP($N97,'Calculo Leads'!$A$97:$A$134,'Calculo Leads'!I$97:I$134)*_xlfn.XLOOKUP($P97,'Base Grupo de Produtos'!$E$2:$E$18,'Base Grupo de Produtos'!$F$2:$F$18)</f>
        <v>200</v>
      </c>
      <c r="W97" s="56">
        <f>_xlfn.XLOOKUP($N97,'Calculo Leads'!$A$97:$A$134,'Calculo Leads'!J$97:J$134)*_xlfn.XLOOKUP($P97,'Base Grupo de Produtos'!$E$2:$E$18,'Base Grupo de Produtos'!$F$2:$F$18)</f>
        <v>200</v>
      </c>
      <c r="X97" s="56">
        <f>_xlfn.XLOOKUP($N97,'Calculo Leads'!$A$97:$A$134,'Calculo Leads'!K$97:K$134)*_xlfn.XLOOKUP($P97,'Base Grupo de Produtos'!$E$2:$E$18,'Base Grupo de Produtos'!$F$2:$F$18)</f>
        <v>220</v>
      </c>
      <c r="Y97" s="56">
        <f>_xlfn.XLOOKUP($N97,'Calculo Leads'!$A$97:$A$134,'Calculo Leads'!L$97:L$134)*_xlfn.XLOOKUP($P97,'Base Grupo de Produtos'!$E$2:$E$18,'Base Grupo de Produtos'!$F$2:$F$18)</f>
        <v>330</v>
      </c>
      <c r="Z97" s="56">
        <f>_xlfn.XLOOKUP($N97,'Calculo Leads'!$A$97:$A$134,'Calculo Leads'!M$97:M$134)*_xlfn.XLOOKUP($P97,'Base Grupo de Produtos'!$E$2:$E$18,'Base Grupo de Produtos'!$F$2:$F$18)</f>
        <v>330</v>
      </c>
      <c r="AA97" s="56">
        <f>_xlfn.XLOOKUP($N97,'Calculo Leads'!$A$97:$A$134,'Calculo Leads'!N$97:N$134)*_xlfn.XLOOKUP($P97,'Base Grupo de Produtos'!$E$2:$E$18,'Base Grupo de Produtos'!$F$2:$F$18)</f>
        <v>330</v>
      </c>
      <c r="AB97" s="56">
        <f>_xlfn.XLOOKUP($N97,'Calculo Leads'!$A$97:$A$134,'Calculo Leads'!O$97:O$134)*_xlfn.XLOOKUP($P97,'Base Grupo de Produtos'!$E$2:$E$18,'Base Grupo de Produtos'!$F$2:$F$18)</f>
        <v>220</v>
      </c>
      <c r="AC97" s="61">
        <f t="shared" si="75"/>
        <v>2030</v>
      </c>
      <c r="AD97" s="27">
        <f t="shared" si="109"/>
        <v>2030</v>
      </c>
      <c r="AE97" s="25">
        <f>IFERROR(_xlfn.XLOOKUP(N97&amp;P97,'Historico Vendas'!G:G,'Historico Vendas'!E:E),0)</f>
        <v>0</v>
      </c>
      <c r="AF97" s="29" t="str">
        <f t="shared" si="53"/>
        <v/>
      </c>
      <c r="AG97" s="24">
        <f>IFERROR(_xlfn.XLOOKUP(N97&amp;P97,'Historico Vendas'!G:G,'Historico Vendas'!F:F),0)</f>
        <v>0</v>
      </c>
      <c r="AH97" s="25">
        <f t="shared" si="110"/>
        <v>0</v>
      </c>
      <c r="AI97" s="24">
        <f t="shared" si="111"/>
        <v>0</v>
      </c>
      <c r="AJ97" s="11" t="str">
        <f t="shared" si="71"/>
        <v/>
      </c>
      <c r="AK97" s="9" t="s">
        <v>102</v>
      </c>
      <c r="AL97" s="13">
        <f>IFERROR(INDEX('Balizador da Meta'!$D$3:$F$23,MATCH(Faturamento!$P97,'Balizador da Meta'!$C$3:$C$23,0),MATCH(Faturamento!AK97,'Balizador da Meta'!$D$2:$F$2,0)),"")</f>
        <v>0</v>
      </c>
      <c r="AM97" s="9"/>
    </row>
    <row r="98" spans="1:39" x14ac:dyDescent="0.3">
      <c r="A98" s="2" t="str">
        <f t="shared" si="54"/>
        <v>NÃO</v>
      </c>
      <c r="B98" s="2" t="str">
        <f>_xlfn.XLOOKUP($N98,'Base de Grupos'!$A:$A,'Base de Grupos'!$D:$D)</f>
        <v>1000065763</v>
      </c>
      <c r="C98" s="5" t="str">
        <f>_xlfn.XLOOKUP($N98,'Base de Grupos'!$A:$A,'Base de Grupos'!$E:$E)</f>
        <v>CANAL VENDA INTERNA</v>
      </c>
      <c r="D98" s="5" t="str">
        <f>_xlfn.XLOOKUP($N98,'Base de Grupos'!$A:$A,'Base de Grupos'!$F:$F)</f>
        <v>1000065763</v>
      </c>
      <c r="E98" s="2" t="str">
        <f>_xlfn.XLOOKUP($N98,'Base de Grupos'!$A:$A,'Base de Grupos'!$G:$G)</f>
        <v>CANAL VENDA INTERNA</v>
      </c>
      <c r="F98" s="2" t="str">
        <f>_xlfn.XLOOKUP($N98,'Base de Grupos'!$A:$A,'Base de Grupos'!$H:$H)</f>
        <v>1000153245</v>
      </c>
      <c r="G98" s="5" t="str">
        <f>_xlfn.XLOOKUP($N98,'Base de Grupos'!$A:$A,'Base de Grupos'!$I:$I)</f>
        <v>REGIONAL VENDA INTERNA - KEY ACCOUNT</v>
      </c>
      <c r="H98" s="5" t="str">
        <f>_xlfn.XLOOKUP($N98,'Base de Grupos'!$A:$A,'Base de Grupos'!$J:$J)</f>
        <v>1000153245</v>
      </c>
      <c r="I98" s="2" t="str">
        <f>_xlfn.XLOOKUP($N98,'Base de Grupos'!$A:$A,'Base de Grupos'!$K:$K)</f>
        <v>REGIONAL VENDA INTERNA - KEY ACCOUNT</v>
      </c>
      <c r="J98" s="2" t="str">
        <f>_xlfn.XLOOKUP($N98,'Base de Grupos'!$A:$A,'Base de Grupos'!$L:$L)</f>
        <v>1000153245</v>
      </c>
      <c r="K98" s="5" t="str">
        <f>_xlfn.XLOOKUP($N98,'Base de Grupos'!$A:$A,'Base de Grupos'!$M:$M)</f>
        <v>REGIONAL VENDA INTERNA - KEY ACCOUNT</v>
      </c>
      <c r="L98" s="5" t="str">
        <f t="shared" si="55"/>
        <v/>
      </c>
      <c r="M98" s="5" t="str">
        <f>_xlfn.XLOOKUP($N98,'Base de Grupos'!$A:$A,'Base de Grupos'!$C:$C)</f>
        <v>PB</v>
      </c>
      <c r="N98" s="3">
        <v>1329</v>
      </c>
      <c r="O98" s="4" t="s">
        <v>229</v>
      </c>
      <c r="P98" s="5" t="s">
        <v>87</v>
      </c>
      <c r="Q98" s="56">
        <v>0</v>
      </c>
      <c r="R98" s="56">
        <v>0</v>
      </c>
      <c r="S98" s="56">
        <v>0</v>
      </c>
      <c r="T98" s="56">
        <f>_xlfn.XLOOKUP($N98,'Calculo Leads'!$A$97:$A$134,'Calculo Leads'!G$97:G$134)*_xlfn.XLOOKUP($P98,'Base Grupo de Produtos'!$E$2:$E$18,'Base Grupo de Produtos'!$F$2:$F$18)</f>
        <v>19.999999999999996</v>
      </c>
      <c r="U98" s="56">
        <f>_xlfn.XLOOKUP($N98,'Calculo Leads'!$A$97:$A$134,'Calculo Leads'!H$97:H$134)*_xlfn.XLOOKUP($P98,'Base Grupo de Produtos'!$E$2:$E$18,'Base Grupo de Produtos'!$F$2:$F$18)</f>
        <v>19.999999999999996</v>
      </c>
      <c r="V98" s="56">
        <f>_xlfn.XLOOKUP($N98,'Calculo Leads'!$A$97:$A$134,'Calculo Leads'!I$97:I$134)*_xlfn.XLOOKUP($P98,'Base Grupo de Produtos'!$E$2:$E$18,'Base Grupo de Produtos'!$F$2:$F$18)</f>
        <v>39.999999999999993</v>
      </c>
      <c r="W98" s="56">
        <f>_xlfn.XLOOKUP($N98,'Calculo Leads'!$A$97:$A$134,'Calculo Leads'!J$97:J$134)*_xlfn.XLOOKUP($P98,'Base Grupo de Produtos'!$E$2:$E$18,'Base Grupo de Produtos'!$F$2:$F$18)</f>
        <v>39.999999999999993</v>
      </c>
      <c r="X98" s="56">
        <f>_xlfn.XLOOKUP($N98,'Calculo Leads'!$A$97:$A$134,'Calculo Leads'!K$97:K$134)*_xlfn.XLOOKUP($P98,'Base Grupo de Produtos'!$E$2:$E$18,'Base Grupo de Produtos'!$F$2:$F$18)</f>
        <v>43.999999999999993</v>
      </c>
      <c r="Y98" s="56">
        <f>_xlfn.XLOOKUP($N98,'Calculo Leads'!$A$97:$A$134,'Calculo Leads'!L$97:L$134)*_xlfn.XLOOKUP($P98,'Base Grupo de Produtos'!$E$2:$E$18,'Base Grupo de Produtos'!$F$2:$F$18)</f>
        <v>65.999999999999986</v>
      </c>
      <c r="Z98" s="56">
        <f>_xlfn.XLOOKUP($N98,'Calculo Leads'!$A$97:$A$134,'Calculo Leads'!M$97:M$134)*_xlfn.XLOOKUP($P98,'Base Grupo de Produtos'!$E$2:$E$18,'Base Grupo de Produtos'!$F$2:$F$18)</f>
        <v>65.999999999999986</v>
      </c>
      <c r="AA98" s="56">
        <f>_xlfn.XLOOKUP($N98,'Calculo Leads'!$A$97:$A$134,'Calculo Leads'!N$97:N$134)*_xlfn.XLOOKUP($P98,'Base Grupo de Produtos'!$E$2:$E$18,'Base Grupo de Produtos'!$F$2:$F$18)</f>
        <v>65.999999999999986</v>
      </c>
      <c r="AB98" s="56">
        <f>_xlfn.XLOOKUP($N98,'Calculo Leads'!$A$97:$A$134,'Calculo Leads'!O$97:O$134)*_xlfn.XLOOKUP($P98,'Base Grupo de Produtos'!$E$2:$E$18,'Base Grupo de Produtos'!$F$2:$F$18)</f>
        <v>43.999999999999993</v>
      </c>
      <c r="AC98" s="61">
        <f t="shared" si="75"/>
        <v>405.99999999999994</v>
      </c>
      <c r="AD98" s="27">
        <f t="shared" si="109"/>
        <v>405.99999999999994</v>
      </c>
      <c r="AE98" s="25">
        <f>IFERROR(_xlfn.XLOOKUP(N98&amp;P98,'Historico Vendas'!G:G,'Historico Vendas'!E:E),0)</f>
        <v>0</v>
      </c>
      <c r="AF98" s="29" t="str">
        <f t="shared" si="53"/>
        <v/>
      </c>
      <c r="AG98" s="24">
        <f>IFERROR(_xlfn.XLOOKUP(N98&amp;P98,'Historico Vendas'!G:G,'Historico Vendas'!F:F),0)</f>
        <v>0</v>
      </c>
      <c r="AH98" s="25">
        <f t="shared" si="110"/>
        <v>0</v>
      </c>
      <c r="AI98" s="24">
        <f t="shared" si="111"/>
        <v>0</v>
      </c>
      <c r="AJ98" s="11" t="str">
        <f t="shared" si="71"/>
        <v/>
      </c>
      <c r="AK98" s="9" t="s">
        <v>102</v>
      </c>
      <c r="AL98" s="13">
        <f>IFERROR(INDEX('Balizador da Meta'!$D$3:$F$23,MATCH(Faturamento!$P98,'Balizador da Meta'!$C$3:$C$23,0),MATCH(Faturamento!AK98,'Balizador da Meta'!$D$2:$F$2,0)),"")</f>
        <v>0</v>
      </c>
      <c r="AM98" s="9"/>
    </row>
    <row r="99" spans="1:39" x14ac:dyDescent="0.3">
      <c r="A99" s="2" t="str">
        <f t="shared" si="54"/>
        <v>NÃO</v>
      </c>
      <c r="B99" s="2" t="str">
        <f>_xlfn.XLOOKUP($N99,'Base de Grupos'!$A:$A,'Base de Grupos'!$D:$D)</f>
        <v>1000065763</v>
      </c>
      <c r="C99" s="5" t="str">
        <f>_xlfn.XLOOKUP($N99,'Base de Grupos'!$A:$A,'Base de Grupos'!$E:$E)</f>
        <v>CANAL VENDA INTERNA</v>
      </c>
      <c r="D99" s="5" t="str">
        <f>_xlfn.XLOOKUP($N99,'Base de Grupos'!$A:$A,'Base de Grupos'!$F:$F)</f>
        <v>1000065763</v>
      </c>
      <c r="E99" s="2" t="str">
        <f>_xlfn.XLOOKUP($N99,'Base de Grupos'!$A:$A,'Base de Grupos'!$G:$G)</f>
        <v>CANAL VENDA INTERNA</v>
      </c>
      <c r="F99" s="2" t="str">
        <f>_xlfn.XLOOKUP($N99,'Base de Grupos'!$A:$A,'Base de Grupos'!$H:$H)</f>
        <v>1000153245</v>
      </c>
      <c r="G99" s="5" t="str">
        <f>_xlfn.XLOOKUP($N99,'Base de Grupos'!$A:$A,'Base de Grupos'!$I:$I)</f>
        <v>REGIONAL VENDA INTERNA - KEY ACCOUNT</v>
      </c>
      <c r="H99" s="5" t="str">
        <f>_xlfn.XLOOKUP($N99,'Base de Grupos'!$A:$A,'Base de Grupos'!$J:$J)</f>
        <v>1000153245</v>
      </c>
      <c r="I99" s="2" t="str">
        <f>_xlfn.XLOOKUP($N99,'Base de Grupos'!$A:$A,'Base de Grupos'!$K:$K)</f>
        <v>REGIONAL VENDA INTERNA - KEY ACCOUNT</v>
      </c>
      <c r="J99" s="2" t="str">
        <f>_xlfn.XLOOKUP($N99,'Base de Grupos'!$A:$A,'Base de Grupos'!$L:$L)</f>
        <v>1000153245</v>
      </c>
      <c r="K99" s="5" t="str">
        <f>_xlfn.XLOOKUP($N99,'Base de Grupos'!$A:$A,'Base de Grupos'!$M:$M)</f>
        <v>REGIONAL VENDA INTERNA - KEY ACCOUNT</v>
      </c>
      <c r="L99" s="5" t="str">
        <f t="shared" si="55"/>
        <v/>
      </c>
      <c r="M99" s="5" t="str">
        <f>_xlfn.XLOOKUP($N99,'Base de Grupos'!$A:$A,'Base de Grupos'!$C:$C)</f>
        <v>PB</v>
      </c>
      <c r="N99" s="3">
        <v>1329</v>
      </c>
      <c r="O99" s="4" t="s">
        <v>229</v>
      </c>
      <c r="P99" s="5" t="s">
        <v>85</v>
      </c>
      <c r="Q99" s="56">
        <v>0</v>
      </c>
      <c r="R99" s="56">
        <v>0</v>
      </c>
      <c r="S99" s="56">
        <v>0</v>
      </c>
      <c r="T99" s="56">
        <f>_xlfn.XLOOKUP($N99,'Calculo Leads'!$A$97:$A$134,'Calculo Leads'!G$97:G$134)*_xlfn.XLOOKUP($P99,'Base Grupo de Produtos'!$E$2:$E$18,'Base Grupo de Produtos'!$F$2:$F$18)</f>
        <v>20</v>
      </c>
      <c r="U99" s="56">
        <f>_xlfn.XLOOKUP($N99,'Calculo Leads'!$A$97:$A$134,'Calculo Leads'!H$97:H$134)*_xlfn.XLOOKUP($P99,'Base Grupo de Produtos'!$E$2:$E$18,'Base Grupo de Produtos'!$F$2:$F$18)</f>
        <v>20</v>
      </c>
      <c r="V99" s="56">
        <f>_xlfn.XLOOKUP($N99,'Calculo Leads'!$A$97:$A$134,'Calculo Leads'!I$97:I$134)*_xlfn.XLOOKUP($P99,'Base Grupo de Produtos'!$E$2:$E$18,'Base Grupo de Produtos'!$F$2:$F$18)</f>
        <v>40</v>
      </c>
      <c r="W99" s="56">
        <f>_xlfn.XLOOKUP($N99,'Calculo Leads'!$A$97:$A$134,'Calculo Leads'!J$97:J$134)*_xlfn.XLOOKUP($P99,'Base Grupo de Produtos'!$E$2:$E$18,'Base Grupo de Produtos'!$F$2:$F$18)</f>
        <v>40</v>
      </c>
      <c r="X99" s="56">
        <f>_xlfn.XLOOKUP($N99,'Calculo Leads'!$A$97:$A$134,'Calculo Leads'!K$97:K$134)*_xlfn.XLOOKUP($P99,'Base Grupo de Produtos'!$E$2:$E$18,'Base Grupo de Produtos'!$F$2:$F$18)</f>
        <v>44</v>
      </c>
      <c r="Y99" s="56">
        <f>_xlfn.XLOOKUP($N99,'Calculo Leads'!$A$97:$A$134,'Calculo Leads'!L$97:L$134)*_xlfn.XLOOKUP($P99,'Base Grupo de Produtos'!$E$2:$E$18,'Base Grupo de Produtos'!$F$2:$F$18)</f>
        <v>66</v>
      </c>
      <c r="Z99" s="56">
        <f>_xlfn.XLOOKUP($N99,'Calculo Leads'!$A$97:$A$134,'Calculo Leads'!M$97:M$134)*_xlfn.XLOOKUP($P99,'Base Grupo de Produtos'!$E$2:$E$18,'Base Grupo de Produtos'!$F$2:$F$18)</f>
        <v>66</v>
      </c>
      <c r="AA99" s="56">
        <f>_xlfn.XLOOKUP($N99,'Calculo Leads'!$A$97:$A$134,'Calculo Leads'!N$97:N$134)*_xlfn.XLOOKUP($P99,'Base Grupo de Produtos'!$E$2:$E$18,'Base Grupo de Produtos'!$F$2:$F$18)</f>
        <v>66</v>
      </c>
      <c r="AB99" s="56">
        <f>_xlfn.XLOOKUP($N99,'Calculo Leads'!$A$97:$A$134,'Calculo Leads'!O$97:O$134)*_xlfn.XLOOKUP($P99,'Base Grupo de Produtos'!$E$2:$E$18,'Base Grupo de Produtos'!$F$2:$F$18)</f>
        <v>44</v>
      </c>
      <c r="AC99" s="61">
        <f t="shared" si="75"/>
        <v>406</v>
      </c>
      <c r="AD99" s="27">
        <f t="shared" si="109"/>
        <v>406</v>
      </c>
      <c r="AE99" s="25">
        <f>IFERROR(_xlfn.XLOOKUP(N99&amp;P99,'Historico Vendas'!G:G,'Historico Vendas'!E:E),0)</f>
        <v>0</v>
      </c>
      <c r="AF99" s="29" t="str">
        <f t="shared" si="53"/>
        <v/>
      </c>
      <c r="AG99" s="24">
        <f>IFERROR(_xlfn.XLOOKUP(N99&amp;P99,'Historico Vendas'!G:G,'Historico Vendas'!F:F),0)</f>
        <v>0</v>
      </c>
      <c r="AH99" s="25">
        <f t="shared" si="110"/>
        <v>0</v>
      </c>
      <c r="AI99" s="24">
        <f t="shared" si="111"/>
        <v>0</v>
      </c>
      <c r="AJ99" s="11" t="str">
        <f t="shared" si="71"/>
        <v/>
      </c>
      <c r="AK99" s="9" t="s">
        <v>102</v>
      </c>
      <c r="AL99" s="13">
        <f>IFERROR(INDEX('Balizador da Meta'!$D$3:$F$23,MATCH(Faturamento!$P99,'Balizador da Meta'!$C$3:$C$23,0),MATCH(Faturamento!AK99,'Balizador da Meta'!$D$2:$F$2,0)),"")</f>
        <v>0</v>
      </c>
      <c r="AM99" s="9"/>
    </row>
    <row r="100" spans="1:39" x14ac:dyDescent="0.3">
      <c r="A100" s="2" t="str">
        <f t="shared" si="54"/>
        <v>NÃO</v>
      </c>
      <c r="B100" s="2" t="str">
        <f>_xlfn.XLOOKUP($N100,'Base de Grupos'!$A:$A,'Base de Grupos'!$D:$D)</f>
        <v>1000065763</v>
      </c>
      <c r="C100" s="5" t="str">
        <f>_xlfn.XLOOKUP($N100,'Base de Grupos'!$A:$A,'Base de Grupos'!$E:$E)</f>
        <v>CANAL VENDA INTERNA</v>
      </c>
      <c r="D100" s="5" t="str">
        <f>_xlfn.XLOOKUP($N100,'Base de Grupos'!$A:$A,'Base de Grupos'!$F:$F)</f>
        <v>1000065763</v>
      </c>
      <c r="E100" s="2" t="str">
        <f>_xlfn.XLOOKUP($N100,'Base de Grupos'!$A:$A,'Base de Grupos'!$G:$G)</f>
        <v>CANAL VENDA INTERNA</v>
      </c>
      <c r="F100" s="2" t="str">
        <f>_xlfn.XLOOKUP($N100,'Base de Grupos'!$A:$A,'Base de Grupos'!$H:$H)</f>
        <v>1000153245</v>
      </c>
      <c r="G100" s="5" t="str">
        <f>_xlfn.XLOOKUP($N100,'Base de Grupos'!$A:$A,'Base de Grupos'!$I:$I)</f>
        <v>REGIONAL VENDA INTERNA - KEY ACCOUNT</v>
      </c>
      <c r="H100" s="5" t="str">
        <f>_xlfn.XLOOKUP($N100,'Base de Grupos'!$A:$A,'Base de Grupos'!$J:$J)</f>
        <v>1000153245</v>
      </c>
      <c r="I100" s="2" t="str">
        <f>_xlfn.XLOOKUP($N100,'Base de Grupos'!$A:$A,'Base de Grupos'!$K:$K)</f>
        <v>REGIONAL VENDA INTERNA - KEY ACCOUNT</v>
      </c>
      <c r="J100" s="2" t="str">
        <f>_xlfn.XLOOKUP($N100,'Base de Grupos'!$A:$A,'Base de Grupos'!$L:$L)</f>
        <v>1000153245</v>
      </c>
      <c r="K100" s="5" t="str">
        <f>_xlfn.XLOOKUP($N100,'Base de Grupos'!$A:$A,'Base de Grupos'!$M:$M)</f>
        <v>REGIONAL VENDA INTERNA - KEY ACCOUNT</v>
      </c>
      <c r="L100" s="5" t="str">
        <f t="shared" si="55"/>
        <v/>
      </c>
      <c r="M100" s="5" t="str">
        <f>_xlfn.XLOOKUP($N100,'Base de Grupos'!$A:$A,'Base de Grupos'!$C:$C)</f>
        <v>PB</v>
      </c>
      <c r="N100" s="3">
        <v>1329</v>
      </c>
      <c r="O100" s="4" t="s">
        <v>229</v>
      </c>
      <c r="P100" s="5" t="s">
        <v>92</v>
      </c>
      <c r="Q100" s="56">
        <v>0</v>
      </c>
      <c r="R100" s="56">
        <v>0</v>
      </c>
      <c r="S100" s="56">
        <v>0</v>
      </c>
      <c r="T100" s="56">
        <f>_xlfn.XLOOKUP($N100,'Calculo Leads'!$A$97:$A$134,'Calculo Leads'!G$97:G$134)*_xlfn.XLOOKUP($P100,'Base Grupo de Produtos'!$E$2:$E$18,'Base Grupo de Produtos'!$F$2:$F$18)</f>
        <v>20</v>
      </c>
      <c r="U100" s="56">
        <f>_xlfn.XLOOKUP($N100,'Calculo Leads'!$A$97:$A$134,'Calculo Leads'!H$97:H$134)*_xlfn.XLOOKUP($P100,'Base Grupo de Produtos'!$E$2:$E$18,'Base Grupo de Produtos'!$F$2:$F$18)</f>
        <v>20</v>
      </c>
      <c r="V100" s="56">
        <f>_xlfn.XLOOKUP($N100,'Calculo Leads'!$A$97:$A$134,'Calculo Leads'!I$97:I$134)*_xlfn.XLOOKUP($P100,'Base Grupo de Produtos'!$E$2:$E$18,'Base Grupo de Produtos'!$F$2:$F$18)</f>
        <v>40</v>
      </c>
      <c r="W100" s="56">
        <f>_xlfn.XLOOKUP($N100,'Calculo Leads'!$A$97:$A$134,'Calculo Leads'!J$97:J$134)*_xlfn.XLOOKUP($P100,'Base Grupo de Produtos'!$E$2:$E$18,'Base Grupo de Produtos'!$F$2:$F$18)</f>
        <v>40</v>
      </c>
      <c r="X100" s="56">
        <f>_xlfn.XLOOKUP($N100,'Calculo Leads'!$A$97:$A$134,'Calculo Leads'!K$97:K$134)*_xlfn.XLOOKUP($P100,'Base Grupo de Produtos'!$E$2:$E$18,'Base Grupo de Produtos'!$F$2:$F$18)</f>
        <v>44</v>
      </c>
      <c r="Y100" s="56">
        <f>_xlfn.XLOOKUP($N100,'Calculo Leads'!$A$97:$A$134,'Calculo Leads'!L$97:L$134)*_xlfn.XLOOKUP($P100,'Base Grupo de Produtos'!$E$2:$E$18,'Base Grupo de Produtos'!$F$2:$F$18)</f>
        <v>66</v>
      </c>
      <c r="Z100" s="56">
        <f>_xlfn.XLOOKUP($N100,'Calculo Leads'!$A$97:$A$134,'Calculo Leads'!M$97:M$134)*_xlfn.XLOOKUP($P100,'Base Grupo de Produtos'!$E$2:$E$18,'Base Grupo de Produtos'!$F$2:$F$18)</f>
        <v>66</v>
      </c>
      <c r="AA100" s="56">
        <f>_xlfn.XLOOKUP($N100,'Calculo Leads'!$A$97:$A$134,'Calculo Leads'!N$97:N$134)*_xlfn.XLOOKUP($P100,'Base Grupo de Produtos'!$E$2:$E$18,'Base Grupo de Produtos'!$F$2:$F$18)</f>
        <v>66</v>
      </c>
      <c r="AB100" s="56">
        <f>_xlfn.XLOOKUP($N100,'Calculo Leads'!$A$97:$A$134,'Calculo Leads'!O$97:O$134)*_xlfn.XLOOKUP($P100,'Base Grupo de Produtos'!$E$2:$E$18,'Base Grupo de Produtos'!$F$2:$F$18)</f>
        <v>44</v>
      </c>
      <c r="AC100" s="61">
        <f t="shared" si="75"/>
        <v>406</v>
      </c>
      <c r="AD100" s="27">
        <f t="shared" si="109"/>
        <v>406</v>
      </c>
      <c r="AE100" s="25">
        <f>IFERROR(_xlfn.XLOOKUP(N100&amp;P100,'Historico Vendas'!G:G,'Historico Vendas'!E:E),0)</f>
        <v>0</v>
      </c>
      <c r="AF100" s="29" t="str">
        <f t="shared" si="53"/>
        <v/>
      </c>
      <c r="AG100" s="24">
        <f>IFERROR(_xlfn.XLOOKUP(N100&amp;P100,'Historico Vendas'!G:G,'Historico Vendas'!F:F),0)</f>
        <v>0</v>
      </c>
      <c r="AH100" s="25">
        <f t="shared" si="110"/>
        <v>0</v>
      </c>
      <c r="AI100" s="24">
        <f t="shared" si="111"/>
        <v>0</v>
      </c>
      <c r="AJ100" s="11" t="str">
        <f t="shared" si="71"/>
        <v/>
      </c>
      <c r="AK100" s="9" t="s">
        <v>102</v>
      </c>
      <c r="AL100" s="13">
        <f>IFERROR(INDEX('Balizador da Meta'!$D$3:$F$23,MATCH(Faturamento!$P100,'Balizador da Meta'!$C$3:$C$23,0),MATCH(Faturamento!AK100,'Balizador da Meta'!$D$2:$F$2,0)),"")</f>
        <v>0</v>
      </c>
      <c r="AM100" s="9"/>
    </row>
    <row r="101" spans="1:39" x14ac:dyDescent="0.3">
      <c r="A101" s="2" t="str">
        <f t="shared" si="54"/>
        <v>NÃO</v>
      </c>
      <c r="B101" s="2" t="str">
        <f>_xlfn.XLOOKUP($N101,'Base de Grupos'!$A:$A,'Base de Grupos'!$D:$D)</f>
        <v>1000065763</v>
      </c>
      <c r="C101" s="5" t="str">
        <f>_xlfn.XLOOKUP($N101,'Base de Grupos'!$A:$A,'Base de Grupos'!$E:$E)</f>
        <v>CANAL VENDA INTERNA</v>
      </c>
      <c r="D101" s="5" t="str">
        <f>_xlfn.XLOOKUP($N101,'Base de Grupos'!$A:$A,'Base de Grupos'!$F:$F)</f>
        <v>1000065763</v>
      </c>
      <c r="E101" s="2" t="str">
        <f>_xlfn.XLOOKUP($N101,'Base de Grupos'!$A:$A,'Base de Grupos'!$G:$G)</f>
        <v>CANAL VENDA INTERNA</v>
      </c>
      <c r="F101" s="2" t="str">
        <f>_xlfn.XLOOKUP($N101,'Base de Grupos'!$A:$A,'Base de Grupos'!$H:$H)</f>
        <v>1000153245</v>
      </c>
      <c r="G101" s="5" t="str">
        <f>_xlfn.XLOOKUP($N101,'Base de Grupos'!$A:$A,'Base de Grupos'!$I:$I)</f>
        <v>REGIONAL VENDA INTERNA - KEY ACCOUNT</v>
      </c>
      <c r="H101" s="5" t="str">
        <f>_xlfn.XLOOKUP($N101,'Base de Grupos'!$A:$A,'Base de Grupos'!$J:$J)</f>
        <v>1000153245</v>
      </c>
      <c r="I101" s="2" t="str">
        <f>_xlfn.XLOOKUP($N101,'Base de Grupos'!$A:$A,'Base de Grupos'!$K:$K)</f>
        <v>REGIONAL VENDA INTERNA - KEY ACCOUNT</v>
      </c>
      <c r="J101" s="2" t="str">
        <f>_xlfn.XLOOKUP($N101,'Base de Grupos'!$A:$A,'Base de Grupos'!$L:$L)</f>
        <v>1000153245</v>
      </c>
      <c r="K101" s="5" t="str">
        <f>_xlfn.XLOOKUP($N101,'Base de Grupos'!$A:$A,'Base de Grupos'!$M:$M)</f>
        <v>REGIONAL VENDA INTERNA - KEY ACCOUNT</v>
      </c>
      <c r="L101" s="5" t="str">
        <f t="shared" si="55"/>
        <v/>
      </c>
      <c r="M101" s="5" t="str">
        <f>_xlfn.XLOOKUP($N101,'Base de Grupos'!$A:$A,'Base de Grupos'!$C:$C)</f>
        <v>PB</v>
      </c>
      <c r="N101" s="3">
        <v>1329</v>
      </c>
      <c r="O101" s="4" t="s">
        <v>229</v>
      </c>
      <c r="P101" s="5" t="s">
        <v>86</v>
      </c>
      <c r="Q101" s="56">
        <v>0</v>
      </c>
      <c r="R101" s="56">
        <v>0</v>
      </c>
      <c r="S101" s="56">
        <v>0</v>
      </c>
      <c r="T101" s="56">
        <f>_xlfn.XLOOKUP($N101,'Calculo Leads'!$A$97:$A$134,'Calculo Leads'!G$97:G$134)*_xlfn.XLOOKUP($P101,'Base Grupo de Produtos'!$E$2:$E$18,'Base Grupo de Produtos'!$F$2:$F$18)</f>
        <v>30</v>
      </c>
      <c r="U101" s="56">
        <f>_xlfn.XLOOKUP($N101,'Calculo Leads'!$A$97:$A$134,'Calculo Leads'!H$97:H$134)*_xlfn.XLOOKUP($P101,'Base Grupo de Produtos'!$E$2:$E$18,'Base Grupo de Produtos'!$F$2:$F$18)</f>
        <v>30</v>
      </c>
      <c r="V101" s="56">
        <f>_xlfn.XLOOKUP($N101,'Calculo Leads'!$A$97:$A$134,'Calculo Leads'!I$97:I$134)*_xlfn.XLOOKUP($P101,'Base Grupo de Produtos'!$E$2:$E$18,'Base Grupo de Produtos'!$F$2:$F$18)</f>
        <v>60</v>
      </c>
      <c r="W101" s="56">
        <f>_xlfn.XLOOKUP($N101,'Calculo Leads'!$A$97:$A$134,'Calculo Leads'!J$97:J$134)*_xlfn.XLOOKUP($P101,'Base Grupo de Produtos'!$E$2:$E$18,'Base Grupo de Produtos'!$F$2:$F$18)</f>
        <v>60</v>
      </c>
      <c r="X101" s="56">
        <f>_xlfn.XLOOKUP($N101,'Calculo Leads'!$A$97:$A$134,'Calculo Leads'!K$97:K$134)*_xlfn.XLOOKUP($P101,'Base Grupo de Produtos'!$E$2:$E$18,'Base Grupo de Produtos'!$F$2:$F$18)</f>
        <v>66</v>
      </c>
      <c r="Y101" s="56">
        <f>_xlfn.XLOOKUP($N101,'Calculo Leads'!$A$97:$A$134,'Calculo Leads'!L$97:L$134)*_xlfn.XLOOKUP($P101,'Base Grupo de Produtos'!$E$2:$E$18,'Base Grupo de Produtos'!$F$2:$F$18)</f>
        <v>99</v>
      </c>
      <c r="Z101" s="56">
        <f>_xlfn.XLOOKUP($N101,'Calculo Leads'!$A$97:$A$134,'Calculo Leads'!M$97:M$134)*_xlfn.XLOOKUP($P101,'Base Grupo de Produtos'!$E$2:$E$18,'Base Grupo de Produtos'!$F$2:$F$18)</f>
        <v>99</v>
      </c>
      <c r="AA101" s="56">
        <f>_xlfn.XLOOKUP($N101,'Calculo Leads'!$A$97:$A$134,'Calculo Leads'!N$97:N$134)*_xlfn.XLOOKUP($P101,'Base Grupo de Produtos'!$E$2:$E$18,'Base Grupo de Produtos'!$F$2:$F$18)</f>
        <v>99</v>
      </c>
      <c r="AB101" s="56">
        <f>_xlfn.XLOOKUP($N101,'Calculo Leads'!$A$97:$A$134,'Calculo Leads'!O$97:O$134)*_xlfn.XLOOKUP($P101,'Base Grupo de Produtos'!$E$2:$E$18,'Base Grupo de Produtos'!$F$2:$F$18)</f>
        <v>66</v>
      </c>
      <c r="AC101" s="61">
        <f t="shared" si="75"/>
        <v>609</v>
      </c>
      <c r="AD101" s="27">
        <f t="shared" si="109"/>
        <v>609</v>
      </c>
      <c r="AE101" s="25">
        <f>IFERROR(_xlfn.XLOOKUP(N101&amp;P101,'Historico Vendas'!G:G,'Historico Vendas'!E:E),0)</f>
        <v>0</v>
      </c>
      <c r="AF101" s="29" t="str">
        <f t="shared" si="53"/>
        <v/>
      </c>
      <c r="AG101" s="24">
        <f>IFERROR(_xlfn.XLOOKUP(N101&amp;P101,'Historico Vendas'!G:G,'Historico Vendas'!F:F),0)</f>
        <v>0</v>
      </c>
      <c r="AH101" s="25">
        <f t="shared" si="110"/>
        <v>0</v>
      </c>
      <c r="AI101" s="24">
        <f t="shared" si="111"/>
        <v>0</v>
      </c>
      <c r="AJ101" s="11" t="str">
        <f t="shared" si="71"/>
        <v/>
      </c>
      <c r="AK101" s="9" t="s">
        <v>102</v>
      </c>
      <c r="AL101" s="13">
        <f>IFERROR(INDEX('Balizador da Meta'!$D$3:$F$23,MATCH(Faturamento!$P101,'Balizador da Meta'!$C$3:$C$23,0),MATCH(Faturamento!AK101,'Balizador da Meta'!$D$2:$F$2,0)),"")</f>
        <v>0.15</v>
      </c>
      <c r="AM101" s="9"/>
    </row>
    <row r="102" spans="1:39" x14ac:dyDescent="0.3">
      <c r="A102" s="2" t="str">
        <f t="shared" si="54"/>
        <v>NÃO</v>
      </c>
      <c r="B102" s="2" t="str">
        <f>_xlfn.XLOOKUP($N102,'Base de Grupos'!$A:$A,'Base de Grupos'!$D:$D)</f>
        <v>1000065763</v>
      </c>
      <c r="C102" s="5" t="str">
        <f>_xlfn.XLOOKUP($N102,'Base de Grupos'!$A:$A,'Base de Grupos'!$E:$E)</f>
        <v>CANAL VENDA INTERNA</v>
      </c>
      <c r="D102" s="5" t="str">
        <f>_xlfn.XLOOKUP($N102,'Base de Grupos'!$A:$A,'Base de Grupos'!$F:$F)</f>
        <v>1000065763</v>
      </c>
      <c r="E102" s="2" t="str">
        <f>_xlfn.XLOOKUP($N102,'Base de Grupos'!$A:$A,'Base de Grupos'!$G:$G)</f>
        <v>CANAL VENDA INTERNA</v>
      </c>
      <c r="F102" s="2" t="str">
        <f>_xlfn.XLOOKUP($N102,'Base de Grupos'!$A:$A,'Base de Grupos'!$H:$H)</f>
        <v>1000153245</v>
      </c>
      <c r="G102" s="5" t="str">
        <f>_xlfn.XLOOKUP($N102,'Base de Grupos'!$A:$A,'Base de Grupos'!$I:$I)</f>
        <v>REGIONAL VENDA INTERNA - KEY ACCOUNT</v>
      </c>
      <c r="H102" s="5" t="str">
        <f>_xlfn.XLOOKUP($N102,'Base de Grupos'!$A:$A,'Base de Grupos'!$J:$J)</f>
        <v>1000153245</v>
      </c>
      <c r="I102" s="2" t="str">
        <f>_xlfn.XLOOKUP($N102,'Base de Grupos'!$A:$A,'Base de Grupos'!$K:$K)</f>
        <v>REGIONAL VENDA INTERNA - KEY ACCOUNT</v>
      </c>
      <c r="J102" s="2" t="str">
        <f>_xlfn.XLOOKUP($N102,'Base de Grupos'!$A:$A,'Base de Grupos'!$L:$L)</f>
        <v>1000153245</v>
      </c>
      <c r="K102" s="5" t="str">
        <f>_xlfn.XLOOKUP($N102,'Base de Grupos'!$A:$A,'Base de Grupos'!$M:$M)</f>
        <v>REGIONAL VENDA INTERNA - KEY ACCOUNT</v>
      </c>
      <c r="L102" s="5" t="str">
        <f t="shared" si="55"/>
        <v/>
      </c>
      <c r="M102" s="5" t="str">
        <f>_xlfn.XLOOKUP($N102,'Base de Grupos'!$A:$A,'Base de Grupos'!$C:$C)</f>
        <v>PB</v>
      </c>
      <c r="N102" s="3">
        <v>1329</v>
      </c>
      <c r="O102" s="4" t="s">
        <v>229</v>
      </c>
      <c r="P102" s="5" t="s">
        <v>108</v>
      </c>
      <c r="Q102" s="56">
        <v>0</v>
      </c>
      <c r="R102" s="56">
        <v>0</v>
      </c>
      <c r="S102" s="56">
        <v>0</v>
      </c>
      <c r="T102" s="56">
        <f>_xlfn.XLOOKUP($N102,'Calculo Leads'!$A$97:$A$134,'Calculo Leads'!G$97:G$134)*_xlfn.XLOOKUP($P102,'Base Grupo de Produtos'!$E$2:$E$18,'Base Grupo de Produtos'!$F$2:$F$18)</f>
        <v>250</v>
      </c>
      <c r="U102" s="56">
        <f>_xlfn.XLOOKUP($N102,'Calculo Leads'!$A$97:$A$134,'Calculo Leads'!H$97:H$134)*_xlfn.XLOOKUP($P102,'Base Grupo de Produtos'!$E$2:$E$18,'Base Grupo de Produtos'!$F$2:$F$18)</f>
        <v>250</v>
      </c>
      <c r="V102" s="56">
        <f>_xlfn.XLOOKUP($N102,'Calculo Leads'!$A$97:$A$134,'Calculo Leads'!I$97:I$134)*_xlfn.XLOOKUP($P102,'Base Grupo de Produtos'!$E$2:$E$18,'Base Grupo de Produtos'!$F$2:$F$18)</f>
        <v>500</v>
      </c>
      <c r="W102" s="56">
        <f>_xlfn.XLOOKUP($N102,'Calculo Leads'!$A$97:$A$134,'Calculo Leads'!J$97:J$134)*_xlfn.XLOOKUP($P102,'Base Grupo de Produtos'!$E$2:$E$18,'Base Grupo de Produtos'!$F$2:$F$18)</f>
        <v>500</v>
      </c>
      <c r="X102" s="56">
        <f>_xlfn.XLOOKUP($N102,'Calculo Leads'!$A$97:$A$134,'Calculo Leads'!K$97:K$134)*_xlfn.XLOOKUP($P102,'Base Grupo de Produtos'!$E$2:$E$18,'Base Grupo de Produtos'!$F$2:$F$18)</f>
        <v>550</v>
      </c>
      <c r="Y102" s="56">
        <f>_xlfn.XLOOKUP($N102,'Calculo Leads'!$A$97:$A$134,'Calculo Leads'!L$97:L$134)*_xlfn.XLOOKUP($P102,'Base Grupo de Produtos'!$E$2:$E$18,'Base Grupo de Produtos'!$F$2:$F$18)</f>
        <v>825</v>
      </c>
      <c r="Z102" s="56">
        <f>_xlfn.XLOOKUP($N102,'Calculo Leads'!$A$97:$A$134,'Calculo Leads'!M$97:M$134)*_xlfn.XLOOKUP($P102,'Base Grupo de Produtos'!$E$2:$E$18,'Base Grupo de Produtos'!$F$2:$F$18)</f>
        <v>825</v>
      </c>
      <c r="AA102" s="56">
        <f>_xlfn.XLOOKUP($N102,'Calculo Leads'!$A$97:$A$134,'Calculo Leads'!N$97:N$134)*_xlfn.XLOOKUP($P102,'Base Grupo de Produtos'!$E$2:$E$18,'Base Grupo de Produtos'!$F$2:$F$18)</f>
        <v>825</v>
      </c>
      <c r="AB102" s="56">
        <f>_xlfn.XLOOKUP($N102,'Calculo Leads'!$A$97:$A$134,'Calculo Leads'!O$97:O$134)*_xlfn.XLOOKUP($P102,'Base Grupo de Produtos'!$E$2:$E$18,'Base Grupo de Produtos'!$F$2:$F$18)</f>
        <v>550</v>
      </c>
      <c r="AC102" s="61">
        <f t="shared" si="75"/>
        <v>5075</v>
      </c>
      <c r="AD102" s="27">
        <f t="shared" si="109"/>
        <v>5075</v>
      </c>
      <c r="AE102" s="25">
        <f>IFERROR(_xlfn.XLOOKUP(N102&amp;P102,'Historico Vendas'!G:G,'Historico Vendas'!E:E),0)</f>
        <v>0</v>
      </c>
      <c r="AF102" s="29" t="str">
        <f t="shared" si="53"/>
        <v/>
      </c>
      <c r="AG102" s="24">
        <f>IFERROR(_xlfn.XLOOKUP(N102&amp;P102,'Historico Vendas'!G:G,'Historico Vendas'!F:F),0)</f>
        <v>0</v>
      </c>
      <c r="AH102" s="25">
        <f t="shared" si="110"/>
        <v>0</v>
      </c>
      <c r="AI102" s="24">
        <f t="shared" si="111"/>
        <v>0</v>
      </c>
      <c r="AJ102" s="11" t="str">
        <f t="shared" si="71"/>
        <v/>
      </c>
      <c r="AK102" s="9" t="s">
        <v>102</v>
      </c>
      <c r="AL102" s="13">
        <f>IFERROR(INDEX('Balizador da Meta'!$D$3:$F$23,MATCH(Faturamento!$P102,'Balizador da Meta'!$C$3:$C$23,0),MATCH(Faturamento!AK102,'Balizador da Meta'!$D$2:$F$2,0)),"")</f>
        <v>0</v>
      </c>
      <c r="AM102" s="9"/>
    </row>
    <row r="103" spans="1:39" x14ac:dyDescent="0.3">
      <c r="A103" s="2" t="str">
        <f t="shared" si="54"/>
        <v>NÃO</v>
      </c>
      <c r="B103" s="2" t="str">
        <f>_xlfn.XLOOKUP($N103,'Base de Grupos'!$A:$A,'Base de Grupos'!$D:$D)</f>
        <v>1000065763</v>
      </c>
      <c r="C103" s="5" t="str">
        <f>_xlfn.XLOOKUP($N103,'Base de Grupos'!$A:$A,'Base de Grupos'!$E:$E)</f>
        <v>CANAL VENDA INTERNA</v>
      </c>
      <c r="D103" s="5" t="str">
        <f>_xlfn.XLOOKUP($N103,'Base de Grupos'!$A:$A,'Base de Grupos'!$F:$F)</f>
        <v>1000065763</v>
      </c>
      <c r="E103" s="2" t="str">
        <f>_xlfn.XLOOKUP($N103,'Base de Grupos'!$A:$A,'Base de Grupos'!$G:$G)</f>
        <v>CANAL VENDA INTERNA</v>
      </c>
      <c r="F103" s="2" t="str">
        <f>_xlfn.XLOOKUP($N103,'Base de Grupos'!$A:$A,'Base de Grupos'!$H:$H)</f>
        <v>1000153245</v>
      </c>
      <c r="G103" s="5" t="str">
        <f>_xlfn.XLOOKUP($N103,'Base de Grupos'!$A:$A,'Base de Grupos'!$I:$I)</f>
        <v>REGIONAL VENDA INTERNA - KEY ACCOUNT</v>
      </c>
      <c r="H103" s="5" t="str">
        <f>_xlfn.XLOOKUP($N103,'Base de Grupos'!$A:$A,'Base de Grupos'!$J:$J)</f>
        <v>1000153245</v>
      </c>
      <c r="I103" s="2" t="str">
        <f>_xlfn.XLOOKUP($N103,'Base de Grupos'!$A:$A,'Base de Grupos'!$K:$K)</f>
        <v>REGIONAL VENDA INTERNA - KEY ACCOUNT</v>
      </c>
      <c r="J103" s="2" t="str">
        <f>_xlfn.XLOOKUP($N103,'Base de Grupos'!$A:$A,'Base de Grupos'!$L:$L)</f>
        <v>1000153245</v>
      </c>
      <c r="K103" s="5" t="str">
        <f>_xlfn.XLOOKUP($N103,'Base de Grupos'!$A:$A,'Base de Grupos'!$M:$M)</f>
        <v>REGIONAL VENDA INTERNA - KEY ACCOUNT</v>
      </c>
      <c r="L103" s="5" t="str">
        <f t="shared" si="55"/>
        <v/>
      </c>
      <c r="M103" s="5" t="str">
        <f>_xlfn.XLOOKUP($N103,'Base de Grupos'!$A:$A,'Base de Grupos'!$C:$C)</f>
        <v>PB</v>
      </c>
      <c r="N103" s="3">
        <v>1329</v>
      </c>
      <c r="O103" s="4" t="s">
        <v>229</v>
      </c>
      <c r="P103" s="5" t="s">
        <v>89</v>
      </c>
      <c r="Q103" s="56">
        <v>0</v>
      </c>
      <c r="R103" s="56">
        <v>0</v>
      </c>
      <c r="S103" s="56">
        <v>0</v>
      </c>
      <c r="T103" s="56">
        <f>_xlfn.XLOOKUP($N103,'Calculo Leads'!$A$97:$A$134,'Calculo Leads'!G$97:G$134)*_xlfn.XLOOKUP($P103,'Base Grupo de Produtos'!$E$2:$E$18,'Base Grupo de Produtos'!$F$2:$F$18)</f>
        <v>50</v>
      </c>
      <c r="U103" s="56">
        <f>_xlfn.XLOOKUP($N103,'Calculo Leads'!$A$97:$A$134,'Calculo Leads'!H$97:H$134)*_xlfn.XLOOKUP($P103,'Base Grupo de Produtos'!$E$2:$E$18,'Base Grupo de Produtos'!$F$2:$F$18)</f>
        <v>50</v>
      </c>
      <c r="V103" s="56">
        <f>_xlfn.XLOOKUP($N103,'Calculo Leads'!$A$97:$A$134,'Calculo Leads'!I$97:I$134)*_xlfn.XLOOKUP($P103,'Base Grupo de Produtos'!$E$2:$E$18,'Base Grupo de Produtos'!$F$2:$F$18)</f>
        <v>100</v>
      </c>
      <c r="W103" s="56">
        <f>_xlfn.XLOOKUP($N103,'Calculo Leads'!$A$97:$A$134,'Calculo Leads'!J$97:J$134)*_xlfn.XLOOKUP($P103,'Base Grupo de Produtos'!$E$2:$E$18,'Base Grupo de Produtos'!$F$2:$F$18)</f>
        <v>100</v>
      </c>
      <c r="X103" s="56">
        <f>_xlfn.XLOOKUP($N103,'Calculo Leads'!$A$97:$A$134,'Calculo Leads'!K$97:K$134)*_xlfn.XLOOKUP($P103,'Base Grupo de Produtos'!$E$2:$E$18,'Base Grupo de Produtos'!$F$2:$F$18)</f>
        <v>110</v>
      </c>
      <c r="Y103" s="56">
        <f>_xlfn.XLOOKUP($N103,'Calculo Leads'!$A$97:$A$134,'Calculo Leads'!L$97:L$134)*_xlfn.XLOOKUP($P103,'Base Grupo de Produtos'!$E$2:$E$18,'Base Grupo de Produtos'!$F$2:$F$18)</f>
        <v>165</v>
      </c>
      <c r="Z103" s="56">
        <f>_xlfn.XLOOKUP($N103,'Calculo Leads'!$A$97:$A$134,'Calculo Leads'!M$97:M$134)*_xlfn.XLOOKUP($P103,'Base Grupo de Produtos'!$E$2:$E$18,'Base Grupo de Produtos'!$F$2:$F$18)</f>
        <v>165</v>
      </c>
      <c r="AA103" s="56">
        <f>_xlfn.XLOOKUP($N103,'Calculo Leads'!$A$97:$A$134,'Calculo Leads'!N$97:N$134)*_xlfn.XLOOKUP($P103,'Base Grupo de Produtos'!$E$2:$E$18,'Base Grupo de Produtos'!$F$2:$F$18)</f>
        <v>165</v>
      </c>
      <c r="AB103" s="56">
        <f>_xlfn.XLOOKUP($N103,'Calculo Leads'!$A$97:$A$134,'Calculo Leads'!O$97:O$134)*_xlfn.XLOOKUP($P103,'Base Grupo de Produtos'!$E$2:$E$18,'Base Grupo de Produtos'!$F$2:$F$18)</f>
        <v>110</v>
      </c>
      <c r="AC103" s="61">
        <f t="shared" si="75"/>
        <v>1015</v>
      </c>
      <c r="AD103" s="27">
        <f t="shared" si="109"/>
        <v>1015</v>
      </c>
      <c r="AE103" s="25">
        <f>IFERROR(_xlfn.XLOOKUP(N103&amp;P103,'Historico Vendas'!G:G,'Historico Vendas'!E:E),0)</f>
        <v>0</v>
      </c>
      <c r="AF103" s="29" t="str">
        <f t="shared" si="53"/>
        <v/>
      </c>
      <c r="AG103" s="24">
        <f>IFERROR(_xlfn.XLOOKUP(N103&amp;P103,'Historico Vendas'!G:G,'Historico Vendas'!F:F),0)</f>
        <v>0</v>
      </c>
      <c r="AH103" s="25">
        <f t="shared" si="110"/>
        <v>0</v>
      </c>
      <c r="AI103" s="24">
        <f t="shared" si="111"/>
        <v>0</v>
      </c>
      <c r="AJ103" s="11" t="str">
        <f t="shared" si="71"/>
        <v/>
      </c>
      <c r="AK103" s="9" t="s">
        <v>102</v>
      </c>
      <c r="AL103" s="13">
        <f>IFERROR(INDEX('Balizador da Meta'!$D$3:$F$23,MATCH(Faturamento!$P103,'Balizador da Meta'!$C$3:$C$23,0),MATCH(Faturamento!AK103,'Balizador da Meta'!$D$2:$F$2,0)),"")</f>
        <v>0.25</v>
      </c>
      <c r="AM103" s="9"/>
    </row>
    <row r="104" spans="1:39" x14ac:dyDescent="0.3">
      <c r="A104" s="2" t="str">
        <f t="shared" si="54"/>
        <v>NÃO</v>
      </c>
      <c r="B104" s="2" t="str">
        <f>_xlfn.XLOOKUP($N104,'Base de Grupos'!$A:$A,'Base de Grupos'!$D:$D)</f>
        <v>1000065763</v>
      </c>
      <c r="C104" s="5" t="str">
        <f>_xlfn.XLOOKUP($N104,'Base de Grupos'!$A:$A,'Base de Grupos'!$E:$E)</f>
        <v>CANAL VENDA INTERNA</v>
      </c>
      <c r="D104" s="5" t="str">
        <f>_xlfn.XLOOKUP($N104,'Base de Grupos'!$A:$A,'Base de Grupos'!$F:$F)</f>
        <v>1000065763</v>
      </c>
      <c r="E104" s="2" t="str">
        <f>_xlfn.XLOOKUP($N104,'Base de Grupos'!$A:$A,'Base de Grupos'!$G:$G)</f>
        <v>CANAL VENDA INTERNA</v>
      </c>
      <c r="F104" s="2" t="str">
        <f>_xlfn.XLOOKUP($N104,'Base de Grupos'!$A:$A,'Base de Grupos'!$H:$H)</f>
        <v>1000153245</v>
      </c>
      <c r="G104" s="5" t="str">
        <f>_xlfn.XLOOKUP($N104,'Base de Grupos'!$A:$A,'Base de Grupos'!$I:$I)</f>
        <v>REGIONAL VENDA INTERNA - KEY ACCOUNT</v>
      </c>
      <c r="H104" s="5" t="str">
        <f>_xlfn.XLOOKUP($N104,'Base de Grupos'!$A:$A,'Base de Grupos'!$J:$J)</f>
        <v>1000153245</v>
      </c>
      <c r="I104" s="2" t="str">
        <f>_xlfn.XLOOKUP($N104,'Base de Grupos'!$A:$A,'Base de Grupos'!$K:$K)</f>
        <v>REGIONAL VENDA INTERNA - KEY ACCOUNT</v>
      </c>
      <c r="J104" s="2" t="str">
        <f>_xlfn.XLOOKUP($N104,'Base de Grupos'!$A:$A,'Base de Grupos'!$L:$L)</f>
        <v>1000153245</v>
      </c>
      <c r="K104" s="5" t="str">
        <f>_xlfn.XLOOKUP($N104,'Base de Grupos'!$A:$A,'Base de Grupos'!$M:$M)</f>
        <v>REGIONAL VENDA INTERNA - KEY ACCOUNT</v>
      </c>
      <c r="L104" s="5" t="str">
        <f t="shared" si="55"/>
        <v/>
      </c>
      <c r="M104" s="5" t="str">
        <f>_xlfn.XLOOKUP($N104,'Base de Grupos'!$A:$A,'Base de Grupos'!$C:$C)</f>
        <v>PB</v>
      </c>
      <c r="N104" s="3">
        <v>1329</v>
      </c>
      <c r="O104" s="4" t="s">
        <v>229</v>
      </c>
      <c r="P104" s="5" t="s">
        <v>88</v>
      </c>
      <c r="Q104" s="56">
        <v>0</v>
      </c>
      <c r="R104" s="56">
        <v>0</v>
      </c>
      <c r="S104" s="56">
        <v>0</v>
      </c>
      <c r="T104" s="56">
        <f>_xlfn.XLOOKUP($N104,'Calculo Leads'!$A$97:$A$134,'Calculo Leads'!G$97:G$134)*_xlfn.XLOOKUP($P104,'Base Grupo de Produtos'!$E$2:$E$18,'Base Grupo de Produtos'!$F$2:$F$18)</f>
        <v>50</v>
      </c>
      <c r="U104" s="56">
        <f>_xlfn.XLOOKUP($N104,'Calculo Leads'!$A$97:$A$134,'Calculo Leads'!H$97:H$134)*_xlfn.XLOOKUP($P104,'Base Grupo de Produtos'!$E$2:$E$18,'Base Grupo de Produtos'!$F$2:$F$18)</f>
        <v>50</v>
      </c>
      <c r="V104" s="56">
        <f>_xlfn.XLOOKUP($N104,'Calculo Leads'!$A$97:$A$134,'Calculo Leads'!I$97:I$134)*_xlfn.XLOOKUP($P104,'Base Grupo de Produtos'!$E$2:$E$18,'Base Grupo de Produtos'!$F$2:$F$18)</f>
        <v>100</v>
      </c>
      <c r="W104" s="56">
        <f>_xlfn.XLOOKUP($N104,'Calculo Leads'!$A$97:$A$134,'Calculo Leads'!J$97:J$134)*_xlfn.XLOOKUP($P104,'Base Grupo de Produtos'!$E$2:$E$18,'Base Grupo de Produtos'!$F$2:$F$18)</f>
        <v>100</v>
      </c>
      <c r="X104" s="56">
        <f>_xlfn.XLOOKUP($N104,'Calculo Leads'!$A$97:$A$134,'Calculo Leads'!K$97:K$134)*_xlfn.XLOOKUP($P104,'Base Grupo de Produtos'!$E$2:$E$18,'Base Grupo de Produtos'!$F$2:$F$18)</f>
        <v>110</v>
      </c>
      <c r="Y104" s="56">
        <f>_xlfn.XLOOKUP($N104,'Calculo Leads'!$A$97:$A$134,'Calculo Leads'!L$97:L$134)*_xlfn.XLOOKUP($P104,'Base Grupo de Produtos'!$E$2:$E$18,'Base Grupo de Produtos'!$F$2:$F$18)</f>
        <v>165</v>
      </c>
      <c r="Z104" s="56">
        <f>_xlfn.XLOOKUP($N104,'Calculo Leads'!$A$97:$A$134,'Calculo Leads'!M$97:M$134)*_xlfn.XLOOKUP($P104,'Base Grupo de Produtos'!$E$2:$E$18,'Base Grupo de Produtos'!$F$2:$F$18)</f>
        <v>165</v>
      </c>
      <c r="AA104" s="56">
        <f>_xlfn.XLOOKUP($N104,'Calculo Leads'!$A$97:$A$134,'Calculo Leads'!N$97:N$134)*_xlfn.XLOOKUP($P104,'Base Grupo de Produtos'!$E$2:$E$18,'Base Grupo de Produtos'!$F$2:$F$18)</f>
        <v>165</v>
      </c>
      <c r="AB104" s="56">
        <f>_xlfn.XLOOKUP($N104,'Calculo Leads'!$A$97:$A$134,'Calculo Leads'!O$97:O$134)*_xlfn.XLOOKUP($P104,'Base Grupo de Produtos'!$E$2:$E$18,'Base Grupo de Produtos'!$F$2:$F$18)</f>
        <v>110</v>
      </c>
      <c r="AC104" s="61">
        <f t="shared" si="75"/>
        <v>1015</v>
      </c>
      <c r="AD104" s="27">
        <f t="shared" si="109"/>
        <v>1015</v>
      </c>
      <c r="AE104" s="25">
        <f>IFERROR(_xlfn.XLOOKUP(N104&amp;P104,'Historico Vendas'!G:G,'Historico Vendas'!E:E),0)</f>
        <v>0</v>
      </c>
      <c r="AF104" s="29" t="str">
        <f t="shared" si="53"/>
        <v/>
      </c>
      <c r="AG104" s="24">
        <f>IFERROR(_xlfn.XLOOKUP(N104&amp;P104,'Historico Vendas'!G:G,'Historico Vendas'!F:F),0)</f>
        <v>0</v>
      </c>
      <c r="AH104" s="25">
        <f t="shared" si="110"/>
        <v>0</v>
      </c>
      <c r="AI104" s="24">
        <f t="shared" si="111"/>
        <v>0</v>
      </c>
      <c r="AJ104" s="11" t="str">
        <f t="shared" si="71"/>
        <v/>
      </c>
      <c r="AK104" s="9" t="s">
        <v>102</v>
      </c>
      <c r="AL104" s="13">
        <f>IFERROR(INDEX('Balizador da Meta'!$D$3:$F$23,MATCH(Faturamento!$P104,'Balizador da Meta'!$C$3:$C$23,0),MATCH(Faturamento!AK104,'Balizador da Meta'!$D$2:$F$2,0)),"")</f>
        <v>0</v>
      </c>
      <c r="AM104" s="9"/>
    </row>
    <row r="105" spans="1:39" x14ac:dyDescent="0.3">
      <c r="A105" s="2" t="str">
        <f t="shared" si="54"/>
        <v>NÃO</v>
      </c>
      <c r="B105" s="2" t="str">
        <f>_xlfn.XLOOKUP($N105,'Base de Grupos'!$A:$A,'Base de Grupos'!$D:$D)</f>
        <v>1000065763</v>
      </c>
      <c r="C105" s="5" t="str">
        <f>_xlfn.XLOOKUP($N105,'Base de Grupos'!$A:$A,'Base de Grupos'!$E:$E)</f>
        <v>CANAL VENDA INTERNA</v>
      </c>
      <c r="D105" s="5" t="str">
        <f>_xlfn.XLOOKUP($N105,'Base de Grupos'!$A:$A,'Base de Grupos'!$F:$F)</f>
        <v>1000065763</v>
      </c>
      <c r="E105" s="2" t="str">
        <f>_xlfn.XLOOKUP($N105,'Base de Grupos'!$A:$A,'Base de Grupos'!$G:$G)</f>
        <v>CANAL VENDA INTERNA</v>
      </c>
      <c r="F105" s="2" t="str">
        <f>_xlfn.XLOOKUP($N105,'Base de Grupos'!$A:$A,'Base de Grupos'!$H:$H)</f>
        <v>1000153245</v>
      </c>
      <c r="G105" s="5" t="str">
        <f>_xlfn.XLOOKUP($N105,'Base de Grupos'!$A:$A,'Base de Grupos'!$I:$I)</f>
        <v>REGIONAL VENDA INTERNA - KEY ACCOUNT</v>
      </c>
      <c r="H105" s="5" t="str">
        <f>_xlfn.XLOOKUP($N105,'Base de Grupos'!$A:$A,'Base de Grupos'!$J:$J)</f>
        <v>1000153245</v>
      </c>
      <c r="I105" s="2" t="str">
        <f>_xlfn.XLOOKUP($N105,'Base de Grupos'!$A:$A,'Base de Grupos'!$K:$K)</f>
        <v>REGIONAL VENDA INTERNA - KEY ACCOUNT</v>
      </c>
      <c r="J105" s="2" t="str">
        <f>_xlfn.XLOOKUP($N105,'Base de Grupos'!$A:$A,'Base de Grupos'!$L:$L)</f>
        <v>1000153245</v>
      </c>
      <c r="K105" s="5" t="str">
        <f>_xlfn.XLOOKUP($N105,'Base de Grupos'!$A:$A,'Base de Grupos'!$M:$M)</f>
        <v>REGIONAL VENDA INTERNA - KEY ACCOUNT</v>
      </c>
      <c r="L105" s="5" t="str">
        <f t="shared" si="55"/>
        <v/>
      </c>
      <c r="M105" s="5" t="str">
        <f>_xlfn.XLOOKUP($N105,'Base de Grupos'!$A:$A,'Base de Grupos'!$C:$C)</f>
        <v>PB</v>
      </c>
      <c r="N105" s="3">
        <v>1329</v>
      </c>
      <c r="O105" s="4" t="s">
        <v>229</v>
      </c>
      <c r="P105" s="5" t="s">
        <v>90</v>
      </c>
      <c r="Q105" s="56">
        <v>0</v>
      </c>
      <c r="R105" s="56">
        <v>0</v>
      </c>
      <c r="S105" s="56">
        <v>0</v>
      </c>
      <c r="T105" s="56">
        <f>_xlfn.XLOOKUP($N105,'Calculo Leads'!$A$97:$A$134,'Calculo Leads'!G$97:G$134)*_xlfn.XLOOKUP($P105,'Base Grupo de Produtos'!$E$2:$E$18,'Base Grupo de Produtos'!$F$2:$F$18)</f>
        <v>50</v>
      </c>
      <c r="U105" s="56">
        <f>_xlfn.XLOOKUP($N105,'Calculo Leads'!$A$97:$A$134,'Calculo Leads'!H$97:H$134)*_xlfn.XLOOKUP($P105,'Base Grupo de Produtos'!$E$2:$E$18,'Base Grupo de Produtos'!$F$2:$F$18)</f>
        <v>50</v>
      </c>
      <c r="V105" s="56">
        <f>_xlfn.XLOOKUP($N105,'Calculo Leads'!$A$97:$A$134,'Calculo Leads'!I$97:I$134)*_xlfn.XLOOKUP($P105,'Base Grupo de Produtos'!$E$2:$E$18,'Base Grupo de Produtos'!$F$2:$F$18)</f>
        <v>100</v>
      </c>
      <c r="W105" s="56">
        <f>_xlfn.XLOOKUP($N105,'Calculo Leads'!$A$97:$A$134,'Calculo Leads'!J$97:J$134)*_xlfn.XLOOKUP($P105,'Base Grupo de Produtos'!$E$2:$E$18,'Base Grupo de Produtos'!$F$2:$F$18)</f>
        <v>100</v>
      </c>
      <c r="X105" s="56">
        <f>_xlfn.XLOOKUP($N105,'Calculo Leads'!$A$97:$A$134,'Calculo Leads'!K$97:K$134)*_xlfn.XLOOKUP($P105,'Base Grupo de Produtos'!$E$2:$E$18,'Base Grupo de Produtos'!$F$2:$F$18)</f>
        <v>110</v>
      </c>
      <c r="Y105" s="56">
        <f>_xlfn.XLOOKUP($N105,'Calculo Leads'!$A$97:$A$134,'Calculo Leads'!L$97:L$134)*_xlfn.XLOOKUP($P105,'Base Grupo de Produtos'!$E$2:$E$18,'Base Grupo de Produtos'!$F$2:$F$18)</f>
        <v>165</v>
      </c>
      <c r="Z105" s="56">
        <f>_xlfn.XLOOKUP($N105,'Calculo Leads'!$A$97:$A$134,'Calculo Leads'!M$97:M$134)*_xlfn.XLOOKUP($P105,'Base Grupo de Produtos'!$E$2:$E$18,'Base Grupo de Produtos'!$F$2:$F$18)</f>
        <v>165</v>
      </c>
      <c r="AA105" s="56">
        <f>_xlfn.XLOOKUP($N105,'Calculo Leads'!$A$97:$A$134,'Calculo Leads'!N$97:N$134)*_xlfn.XLOOKUP($P105,'Base Grupo de Produtos'!$E$2:$E$18,'Base Grupo de Produtos'!$F$2:$F$18)</f>
        <v>165</v>
      </c>
      <c r="AB105" s="56">
        <f>_xlfn.XLOOKUP($N105,'Calculo Leads'!$A$97:$A$134,'Calculo Leads'!O$97:O$134)*_xlfn.XLOOKUP($P105,'Base Grupo de Produtos'!$E$2:$E$18,'Base Grupo de Produtos'!$F$2:$F$18)</f>
        <v>110</v>
      </c>
      <c r="AC105" s="61">
        <f t="shared" si="75"/>
        <v>1015</v>
      </c>
      <c r="AD105" s="27">
        <f t="shared" si="109"/>
        <v>1015</v>
      </c>
      <c r="AE105" s="25">
        <f>IFERROR(_xlfn.XLOOKUP(N105&amp;P105,'Historico Vendas'!G:G,'Historico Vendas'!E:E),0)</f>
        <v>0</v>
      </c>
      <c r="AF105" s="29" t="str">
        <f t="shared" si="53"/>
        <v/>
      </c>
      <c r="AG105" s="24">
        <f>IFERROR(_xlfn.XLOOKUP(N105&amp;P105,'Historico Vendas'!G:G,'Historico Vendas'!F:F),0)</f>
        <v>0</v>
      </c>
      <c r="AH105" s="25">
        <f t="shared" si="110"/>
        <v>0</v>
      </c>
      <c r="AI105" s="24">
        <f t="shared" si="111"/>
        <v>0</v>
      </c>
      <c r="AJ105" s="11" t="str">
        <f t="shared" si="71"/>
        <v/>
      </c>
      <c r="AK105" s="9" t="s">
        <v>102</v>
      </c>
      <c r="AL105" s="13">
        <f>IFERROR(INDEX('Balizador da Meta'!$D$3:$F$23,MATCH(Faturamento!$P105,'Balizador da Meta'!$C$3:$C$23,0),MATCH(Faturamento!AK105,'Balizador da Meta'!$D$2:$F$2,0)),"")</f>
        <v>0</v>
      </c>
      <c r="AM105" s="9"/>
    </row>
    <row r="106" spans="1:39" x14ac:dyDescent="0.3">
      <c r="A106" s="2" t="str">
        <f t="shared" si="54"/>
        <v>NÃO</v>
      </c>
      <c r="B106" s="2" t="str">
        <f>_xlfn.XLOOKUP($N106,'Base de Grupos'!$A:$A,'Base de Grupos'!$D:$D)</f>
        <v>1000065763</v>
      </c>
      <c r="C106" s="5" t="str">
        <f>_xlfn.XLOOKUP($N106,'Base de Grupos'!$A:$A,'Base de Grupos'!$E:$E)</f>
        <v>CANAL VENDA INTERNA</v>
      </c>
      <c r="D106" s="5" t="str">
        <f>_xlfn.XLOOKUP($N106,'Base de Grupos'!$A:$A,'Base de Grupos'!$F:$F)</f>
        <v>1000065763</v>
      </c>
      <c r="E106" s="2" t="str">
        <f>_xlfn.XLOOKUP($N106,'Base de Grupos'!$A:$A,'Base de Grupos'!$G:$G)</f>
        <v>CANAL VENDA INTERNA</v>
      </c>
      <c r="F106" s="2" t="str">
        <f>_xlfn.XLOOKUP($N106,'Base de Grupos'!$A:$A,'Base de Grupos'!$H:$H)</f>
        <v>1000153245</v>
      </c>
      <c r="G106" s="5" t="str">
        <f>_xlfn.XLOOKUP($N106,'Base de Grupos'!$A:$A,'Base de Grupos'!$I:$I)</f>
        <v>REGIONAL VENDA INTERNA - KEY ACCOUNT</v>
      </c>
      <c r="H106" s="5" t="str">
        <f>_xlfn.XLOOKUP($N106,'Base de Grupos'!$A:$A,'Base de Grupos'!$J:$J)</f>
        <v>1000153245</v>
      </c>
      <c r="I106" s="2" t="str">
        <f>_xlfn.XLOOKUP($N106,'Base de Grupos'!$A:$A,'Base de Grupos'!$K:$K)</f>
        <v>REGIONAL VENDA INTERNA - KEY ACCOUNT</v>
      </c>
      <c r="J106" s="2" t="str">
        <f>_xlfn.XLOOKUP($N106,'Base de Grupos'!$A:$A,'Base de Grupos'!$L:$L)</f>
        <v>1000153245</v>
      </c>
      <c r="K106" s="5" t="str">
        <f>_xlfn.XLOOKUP($N106,'Base de Grupos'!$A:$A,'Base de Grupos'!$M:$M)</f>
        <v>REGIONAL VENDA INTERNA - KEY ACCOUNT</v>
      </c>
      <c r="L106" s="5" t="str">
        <f t="shared" si="55"/>
        <v/>
      </c>
      <c r="M106" s="5" t="str">
        <f>_xlfn.XLOOKUP($N106,'Base de Grupos'!$A:$A,'Base de Grupos'!$C:$C)</f>
        <v>PB</v>
      </c>
      <c r="N106" s="3">
        <v>1329</v>
      </c>
      <c r="O106" s="4" t="s">
        <v>229</v>
      </c>
      <c r="P106" s="5" t="s">
        <v>91</v>
      </c>
      <c r="Q106" s="56">
        <v>0</v>
      </c>
      <c r="R106" s="56">
        <v>0</v>
      </c>
      <c r="S106" s="56">
        <v>0</v>
      </c>
      <c r="T106" s="56">
        <f>_xlfn.XLOOKUP($N106,'Calculo Leads'!$A$97:$A$134,'Calculo Leads'!G$97:G$134)*_xlfn.XLOOKUP($P106,'Base Grupo de Produtos'!$E$2:$E$18,'Base Grupo de Produtos'!$F$2:$F$18)</f>
        <v>0</v>
      </c>
      <c r="U106" s="56">
        <f>_xlfn.XLOOKUP($N106,'Calculo Leads'!$A$97:$A$134,'Calculo Leads'!H$97:H$134)*_xlfn.XLOOKUP($P106,'Base Grupo de Produtos'!$E$2:$E$18,'Base Grupo de Produtos'!$F$2:$F$18)</f>
        <v>0</v>
      </c>
      <c r="V106" s="56">
        <f>_xlfn.XLOOKUP($N106,'Calculo Leads'!$A$97:$A$134,'Calculo Leads'!I$97:I$134)*_xlfn.XLOOKUP($P106,'Base Grupo de Produtos'!$E$2:$E$18,'Base Grupo de Produtos'!$F$2:$F$18)</f>
        <v>0</v>
      </c>
      <c r="W106" s="56">
        <f>_xlfn.XLOOKUP($N106,'Calculo Leads'!$A$97:$A$134,'Calculo Leads'!J$97:J$134)*_xlfn.XLOOKUP($P106,'Base Grupo de Produtos'!$E$2:$E$18,'Base Grupo de Produtos'!$F$2:$F$18)</f>
        <v>0</v>
      </c>
      <c r="X106" s="56">
        <f>_xlfn.XLOOKUP($N106,'Calculo Leads'!$A$97:$A$134,'Calculo Leads'!K$97:K$134)*_xlfn.XLOOKUP($P106,'Base Grupo de Produtos'!$E$2:$E$18,'Base Grupo de Produtos'!$F$2:$F$18)</f>
        <v>0</v>
      </c>
      <c r="Y106" s="56">
        <f>_xlfn.XLOOKUP($N106,'Calculo Leads'!$A$97:$A$134,'Calculo Leads'!L$97:L$134)*_xlfn.XLOOKUP($P106,'Base Grupo de Produtos'!$E$2:$E$18,'Base Grupo de Produtos'!$F$2:$F$18)</f>
        <v>0</v>
      </c>
      <c r="Z106" s="56">
        <f>_xlfn.XLOOKUP($N106,'Calculo Leads'!$A$97:$A$134,'Calculo Leads'!M$97:M$134)*_xlfn.XLOOKUP($P106,'Base Grupo de Produtos'!$E$2:$E$18,'Base Grupo de Produtos'!$F$2:$F$18)</f>
        <v>0</v>
      </c>
      <c r="AA106" s="56">
        <f>_xlfn.XLOOKUP($N106,'Calculo Leads'!$A$97:$A$134,'Calculo Leads'!N$97:N$134)*_xlfn.XLOOKUP($P106,'Base Grupo de Produtos'!$E$2:$E$18,'Base Grupo de Produtos'!$F$2:$F$18)</f>
        <v>0</v>
      </c>
      <c r="AB106" s="56">
        <f>_xlfn.XLOOKUP($N106,'Calculo Leads'!$A$97:$A$134,'Calculo Leads'!O$97:O$134)*_xlfn.XLOOKUP($P106,'Base Grupo de Produtos'!$E$2:$E$18,'Base Grupo de Produtos'!$F$2:$F$18)</f>
        <v>0</v>
      </c>
      <c r="AC106" s="61">
        <f t="shared" si="75"/>
        <v>0</v>
      </c>
      <c r="AD106" s="27">
        <f t="shared" si="109"/>
        <v>0</v>
      </c>
      <c r="AE106" s="25">
        <f>IFERROR(_xlfn.XLOOKUP(N106&amp;P106,'Historico Vendas'!G:G,'Historico Vendas'!E:E),0)</f>
        <v>0</v>
      </c>
      <c r="AF106" s="29" t="str">
        <f t="shared" si="53"/>
        <v/>
      </c>
      <c r="AG106" s="24">
        <f>IFERROR(_xlfn.XLOOKUP(N106&amp;P106,'Historico Vendas'!G:G,'Historico Vendas'!F:F),0)</f>
        <v>0</v>
      </c>
      <c r="AH106" s="25">
        <f t="shared" si="110"/>
        <v>0</v>
      </c>
      <c r="AI106" s="24">
        <f t="shared" si="111"/>
        <v>0</v>
      </c>
      <c r="AJ106" s="11" t="str">
        <f t="shared" si="71"/>
        <v/>
      </c>
      <c r="AK106" s="9" t="s">
        <v>102</v>
      </c>
      <c r="AL106" s="13">
        <f>IFERROR(INDEX('Balizador da Meta'!$D$3:$F$23,MATCH(Faturamento!$P106,'Balizador da Meta'!$C$3:$C$23,0),MATCH(Faturamento!AK106,'Balizador da Meta'!$D$2:$F$2,0)),"")</f>
        <v>0</v>
      </c>
      <c r="AM106" s="9"/>
    </row>
    <row r="107" spans="1:39" x14ac:dyDescent="0.3">
      <c r="A107" s="2" t="str">
        <f t="shared" si="54"/>
        <v>NÃO</v>
      </c>
      <c r="B107" s="2" t="str">
        <f>_xlfn.XLOOKUP($N107,'Base de Grupos'!$A:$A,'Base de Grupos'!$D:$D)</f>
        <v>1000065763</v>
      </c>
      <c r="C107" s="5" t="str">
        <f>_xlfn.XLOOKUP($N107,'Base de Grupos'!$A:$A,'Base de Grupos'!$E:$E)</f>
        <v>CANAL VENDA INTERNA</v>
      </c>
      <c r="D107" s="5" t="str">
        <f>_xlfn.XLOOKUP($N107,'Base de Grupos'!$A:$A,'Base de Grupos'!$F:$F)</f>
        <v>1000065763</v>
      </c>
      <c r="E107" s="2" t="str">
        <f>_xlfn.XLOOKUP($N107,'Base de Grupos'!$A:$A,'Base de Grupos'!$G:$G)</f>
        <v>CANAL VENDA INTERNA</v>
      </c>
      <c r="F107" s="2" t="str">
        <f>_xlfn.XLOOKUP($N107,'Base de Grupos'!$A:$A,'Base de Grupos'!$H:$H)</f>
        <v>1000153245</v>
      </c>
      <c r="G107" s="5" t="str">
        <f>_xlfn.XLOOKUP($N107,'Base de Grupos'!$A:$A,'Base de Grupos'!$I:$I)</f>
        <v>REGIONAL VENDA INTERNA - KEY ACCOUNT</v>
      </c>
      <c r="H107" s="5" t="str">
        <f>_xlfn.XLOOKUP($N107,'Base de Grupos'!$A:$A,'Base de Grupos'!$J:$J)</f>
        <v>1000153245</v>
      </c>
      <c r="I107" s="2" t="str">
        <f>_xlfn.XLOOKUP($N107,'Base de Grupos'!$A:$A,'Base de Grupos'!$K:$K)</f>
        <v>REGIONAL VENDA INTERNA - KEY ACCOUNT</v>
      </c>
      <c r="J107" s="2" t="str">
        <f>_xlfn.XLOOKUP($N107,'Base de Grupos'!$A:$A,'Base de Grupos'!$L:$L)</f>
        <v>1000153245</v>
      </c>
      <c r="K107" s="5" t="str">
        <f>_xlfn.XLOOKUP($N107,'Base de Grupos'!$A:$A,'Base de Grupos'!$M:$M)</f>
        <v>REGIONAL VENDA INTERNA - KEY ACCOUNT</v>
      </c>
      <c r="L107" s="5" t="str">
        <f t="shared" si="55"/>
        <v/>
      </c>
      <c r="M107" s="5" t="str">
        <f>_xlfn.XLOOKUP($N107,'Base de Grupos'!$A:$A,'Base de Grupos'!$C:$C)</f>
        <v>PB</v>
      </c>
      <c r="N107" s="3">
        <v>1329</v>
      </c>
      <c r="O107" s="4" t="s">
        <v>229</v>
      </c>
      <c r="P107" s="5" t="s">
        <v>96</v>
      </c>
      <c r="Q107" s="56">
        <v>0</v>
      </c>
      <c r="R107" s="56">
        <v>0</v>
      </c>
      <c r="S107" s="56">
        <v>0</v>
      </c>
      <c r="T107" s="56">
        <f>_xlfn.XLOOKUP($N107,'Calculo Leads'!$A$97:$A$134,'Calculo Leads'!G$97:G$134)*_xlfn.XLOOKUP($P107,'Base Grupo de Produtos'!$E$2:$E$18,'Base Grupo de Produtos'!$F$2:$F$18)</f>
        <v>70</v>
      </c>
      <c r="U107" s="56">
        <f>_xlfn.XLOOKUP($N107,'Calculo Leads'!$A$97:$A$134,'Calculo Leads'!H$97:H$134)*_xlfn.XLOOKUP($P107,'Base Grupo de Produtos'!$E$2:$E$18,'Base Grupo de Produtos'!$F$2:$F$18)</f>
        <v>70</v>
      </c>
      <c r="V107" s="56">
        <f>_xlfn.XLOOKUP($N107,'Calculo Leads'!$A$97:$A$134,'Calculo Leads'!I$97:I$134)*_xlfn.XLOOKUP($P107,'Base Grupo de Produtos'!$E$2:$E$18,'Base Grupo de Produtos'!$F$2:$F$18)</f>
        <v>140</v>
      </c>
      <c r="W107" s="56">
        <f>_xlfn.XLOOKUP($N107,'Calculo Leads'!$A$97:$A$134,'Calculo Leads'!J$97:J$134)*_xlfn.XLOOKUP($P107,'Base Grupo de Produtos'!$E$2:$E$18,'Base Grupo de Produtos'!$F$2:$F$18)</f>
        <v>140</v>
      </c>
      <c r="X107" s="56">
        <f>_xlfn.XLOOKUP($N107,'Calculo Leads'!$A$97:$A$134,'Calculo Leads'!K$97:K$134)*_xlfn.XLOOKUP($P107,'Base Grupo de Produtos'!$E$2:$E$18,'Base Grupo de Produtos'!$F$2:$F$18)</f>
        <v>154.00000000000003</v>
      </c>
      <c r="Y107" s="56">
        <f>_xlfn.XLOOKUP($N107,'Calculo Leads'!$A$97:$A$134,'Calculo Leads'!L$97:L$134)*_xlfn.XLOOKUP($P107,'Base Grupo de Produtos'!$E$2:$E$18,'Base Grupo de Produtos'!$F$2:$F$18)</f>
        <v>231.00000000000003</v>
      </c>
      <c r="Z107" s="56">
        <f>_xlfn.XLOOKUP($N107,'Calculo Leads'!$A$97:$A$134,'Calculo Leads'!M$97:M$134)*_xlfn.XLOOKUP($P107,'Base Grupo de Produtos'!$E$2:$E$18,'Base Grupo de Produtos'!$F$2:$F$18)</f>
        <v>231.00000000000003</v>
      </c>
      <c r="AA107" s="56">
        <f>_xlfn.XLOOKUP($N107,'Calculo Leads'!$A$97:$A$134,'Calculo Leads'!N$97:N$134)*_xlfn.XLOOKUP($P107,'Base Grupo de Produtos'!$E$2:$E$18,'Base Grupo de Produtos'!$F$2:$F$18)</f>
        <v>231.00000000000003</v>
      </c>
      <c r="AB107" s="56">
        <f>_xlfn.XLOOKUP($N107,'Calculo Leads'!$A$97:$A$134,'Calculo Leads'!O$97:O$134)*_xlfn.XLOOKUP($P107,'Base Grupo de Produtos'!$E$2:$E$18,'Base Grupo de Produtos'!$F$2:$F$18)</f>
        <v>154.00000000000003</v>
      </c>
      <c r="AC107" s="61">
        <f t="shared" si="75"/>
        <v>1421</v>
      </c>
      <c r="AD107" s="27">
        <f t="shared" si="109"/>
        <v>1421</v>
      </c>
      <c r="AE107" s="25">
        <f>IFERROR(_xlfn.XLOOKUP(N107&amp;P107,'Historico Vendas'!G:G,'Historico Vendas'!E:E),0)</f>
        <v>0</v>
      </c>
      <c r="AF107" s="29" t="str">
        <f t="shared" si="53"/>
        <v/>
      </c>
      <c r="AG107" s="24">
        <f>IFERROR(_xlfn.XLOOKUP(N107&amp;P107,'Historico Vendas'!G:G,'Historico Vendas'!F:F),0)</f>
        <v>0</v>
      </c>
      <c r="AH107" s="25">
        <f t="shared" si="110"/>
        <v>0</v>
      </c>
      <c r="AI107" s="24">
        <f t="shared" si="111"/>
        <v>0</v>
      </c>
      <c r="AJ107" s="11" t="str">
        <f t="shared" si="71"/>
        <v/>
      </c>
      <c r="AK107" s="9" t="s">
        <v>102</v>
      </c>
      <c r="AL107" s="13">
        <f>IFERROR(INDEX('Balizador da Meta'!$D$3:$F$23,MATCH(Faturamento!$P107,'Balizador da Meta'!$C$3:$C$23,0),MATCH(Faturamento!AK107,'Balizador da Meta'!$D$2:$F$2,0)),"")</f>
        <v>0</v>
      </c>
      <c r="AM107" s="9"/>
    </row>
    <row r="108" spans="1:39" x14ac:dyDescent="0.3">
      <c r="A108" s="2" t="str">
        <f t="shared" si="54"/>
        <v>NÃO</v>
      </c>
      <c r="B108" s="2" t="str">
        <f>_xlfn.XLOOKUP($N108,'Base de Grupos'!$A:$A,'Base de Grupos'!$D:$D)</f>
        <v>1000065763</v>
      </c>
      <c r="C108" s="5" t="str">
        <f>_xlfn.XLOOKUP($N108,'Base de Grupos'!$A:$A,'Base de Grupos'!$E:$E)</f>
        <v>CANAL VENDA INTERNA</v>
      </c>
      <c r="D108" s="5" t="str">
        <f>_xlfn.XLOOKUP($N108,'Base de Grupos'!$A:$A,'Base de Grupos'!$F:$F)</f>
        <v>1000065763</v>
      </c>
      <c r="E108" s="2" t="str">
        <f>_xlfn.XLOOKUP($N108,'Base de Grupos'!$A:$A,'Base de Grupos'!$G:$G)</f>
        <v>CANAL VENDA INTERNA</v>
      </c>
      <c r="F108" s="2" t="str">
        <f>_xlfn.XLOOKUP($N108,'Base de Grupos'!$A:$A,'Base de Grupos'!$H:$H)</f>
        <v>1000153245</v>
      </c>
      <c r="G108" s="5" t="str">
        <f>_xlfn.XLOOKUP($N108,'Base de Grupos'!$A:$A,'Base de Grupos'!$I:$I)</f>
        <v>REGIONAL VENDA INTERNA - KEY ACCOUNT</v>
      </c>
      <c r="H108" s="5" t="str">
        <f>_xlfn.XLOOKUP($N108,'Base de Grupos'!$A:$A,'Base de Grupos'!$J:$J)</f>
        <v>1000153245</v>
      </c>
      <c r="I108" s="2" t="str">
        <f>_xlfn.XLOOKUP($N108,'Base de Grupos'!$A:$A,'Base de Grupos'!$K:$K)</f>
        <v>REGIONAL VENDA INTERNA - KEY ACCOUNT</v>
      </c>
      <c r="J108" s="2" t="str">
        <f>_xlfn.XLOOKUP($N108,'Base de Grupos'!$A:$A,'Base de Grupos'!$L:$L)</f>
        <v>1000153245</v>
      </c>
      <c r="K108" s="5" t="str">
        <f>_xlfn.XLOOKUP($N108,'Base de Grupos'!$A:$A,'Base de Grupos'!$M:$M)</f>
        <v>REGIONAL VENDA INTERNA - KEY ACCOUNT</v>
      </c>
      <c r="L108" s="5" t="str">
        <f t="shared" si="55"/>
        <v/>
      </c>
      <c r="M108" s="5" t="str">
        <f>_xlfn.XLOOKUP($N108,'Base de Grupos'!$A:$A,'Base de Grupos'!$C:$C)</f>
        <v>PB</v>
      </c>
      <c r="N108" s="3">
        <v>1329</v>
      </c>
      <c r="O108" s="4" t="s">
        <v>229</v>
      </c>
      <c r="P108" s="5" t="s">
        <v>94</v>
      </c>
      <c r="Q108" s="56">
        <v>0</v>
      </c>
      <c r="R108" s="56">
        <v>0</v>
      </c>
      <c r="S108" s="56">
        <v>0</v>
      </c>
      <c r="T108" s="56">
        <f>_xlfn.XLOOKUP($N108,'Calculo Leads'!$A$97:$A$134,'Calculo Leads'!G$97:G$134)*_xlfn.XLOOKUP($P108,'Base Grupo de Produtos'!$E$2:$E$18,'Base Grupo de Produtos'!$F$2:$F$18)</f>
        <v>49.999999999999993</v>
      </c>
      <c r="U108" s="56">
        <f>_xlfn.XLOOKUP($N108,'Calculo Leads'!$A$97:$A$134,'Calculo Leads'!H$97:H$134)*_xlfn.XLOOKUP($P108,'Base Grupo de Produtos'!$E$2:$E$18,'Base Grupo de Produtos'!$F$2:$F$18)</f>
        <v>49.999999999999993</v>
      </c>
      <c r="V108" s="56">
        <f>_xlfn.XLOOKUP($N108,'Calculo Leads'!$A$97:$A$134,'Calculo Leads'!I$97:I$134)*_xlfn.XLOOKUP($P108,'Base Grupo de Produtos'!$E$2:$E$18,'Base Grupo de Produtos'!$F$2:$F$18)</f>
        <v>99.999999999999986</v>
      </c>
      <c r="W108" s="56">
        <f>_xlfn.XLOOKUP($N108,'Calculo Leads'!$A$97:$A$134,'Calculo Leads'!J$97:J$134)*_xlfn.XLOOKUP($P108,'Base Grupo de Produtos'!$E$2:$E$18,'Base Grupo de Produtos'!$F$2:$F$18)</f>
        <v>99.999999999999986</v>
      </c>
      <c r="X108" s="56">
        <f>_xlfn.XLOOKUP($N108,'Calculo Leads'!$A$97:$A$134,'Calculo Leads'!K$97:K$134)*_xlfn.XLOOKUP($P108,'Base Grupo de Produtos'!$E$2:$E$18,'Base Grupo de Produtos'!$F$2:$F$18)</f>
        <v>109.99999999999999</v>
      </c>
      <c r="Y108" s="56">
        <f>_xlfn.XLOOKUP($N108,'Calculo Leads'!$A$97:$A$134,'Calculo Leads'!L$97:L$134)*_xlfn.XLOOKUP($P108,'Base Grupo de Produtos'!$E$2:$E$18,'Base Grupo de Produtos'!$F$2:$F$18)</f>
        <v>165</v>
      </c>
      <c r="Z108" s="56">
        <f>_xlfn.XLOOKUP($N108,'Calculo Leads'!$A$97:$A$134,'Calculo Leads'!M$97:M$134)*_xlfn.XLOOKUP($P108,'Base Grupo de Produtos'!$E$2:$E$18,'Base Grupo de Produtos'!$F$2:$F$18)</f>
        <v>165</v>
      </c>
      <c r="AA108" s="56">
        <f>_xlfn.XLOOKUP($N108,'Calculo Leads'!$A$97:$A$134,'Calculo Leads'!N$97:N$134)*_xlfn.XLOOKUP($P108,'Base Grupo de Produtos'!$E$2:$E$18,'Base Grupo de Produtos'!$F$2:$F$18)</f>
        <v>165</v>
      </c>
      <c r="AB108" s="56">
        <f>_xlfn.XLOOKUP($N108,'Calculo Leads'!$A$97:$A$134,'Calculo Leads'!O$97:O$134)*_xlfn.XLOOKUP($P108,'Base Grupo de Produtos'!$E$2:$E$18,'Base Grupo de Produtos'!$F$2:$F$18)</f>
        <v>109.99999999999999</v>
      </c>
      <c r="AC108" s="61">
        <f t="shared" si="75"/>
        <v>1015</v>
      </c>
      <c r="AD108" s="27">
        <f t="shared" si="109"/>
        <v>1015</v>
      </c>
      <c r="AE108" s="25">
        <f>IFERROR(_xlfn.XLOOKUP(N108&amp;P108,'Historico Vendas'!G:G,'Historico Vendas'!E:E),0)</f>
        <v>0</v>
      </c>
      <c r="AF108" s="29" t="str">
        <f t="shared" si="53"/>
        <v/>
      </c>
      <c r="AG108" s="24">
        <f>IFERROR(_xlfn.XLOOKUP(N108&amp;P108,'Historico Vendas'!G:G,'Historico Vendas'!F:F),0)</f>
        <v>0</v>
      </c>
      <c r="AH108" s="25">
        <f t="shared" si="110"/>
        <v>0</v>
      </c>
      <c r="AI108" s="24">
        <f t="shared" si="111"/>
        <v>0</v>
      </c>
      <c r="AJ108" s="11" t="str">
        <f t="shared" si="71"/>
        <v/>
      </c>
      <c r="AK108" s="9" t="s">
        <v>102</v>
      </c>
      <c r="AL108" s="13">
        <f>IFERROR(INDEX('Balizador da Meta'!$D$3:$F$23,MATCH(Faturamento!$P108,'Balizador da Meta'!$C$3:$C$23,0),MATCH(Faturamento!AK108,'Balizador da Meta'!$D$2:$F$2,0)),"")</f>
        <v>0.25</v>
      </c>
      <c r="AM108" s="9"/>
    </row>
    <row r="109" spans="1:39" x14ac:dyDescent="0.3">
      <c r="A109" s="2" t="str">
        <f t="shared" si="54"/>
        <v>NÃO</v>
      </c>
      <c r="B109" s="2" t="str">
        <f>_xlfn.XLOOKUP($N109,'Base de Grupos'!$A:$A,'Base de Grupos'!$D:$D)</f>
        <v>1000065763</v>
      </c>
      <c r="C109" s="5" t="str">
        <f>_xlfn.XLOOKUP($N109,'Base de Grupos'!$A:$A,'Base de Grupos'!$E:$E)</f>
        <v>CANAL VENDA INTERNA</v>
      </c>
      <c r="D109" s="5" t="str">
        <f>_xlfn.XLOOKUP($N109,'Base de Grupos'!$A:$A,'Base de Grupos'!$F:$F)</f>
        <v>1000065763</v>
      </c>
      <c r="E109" s="2" t="str">
        <f>_xlfn.XLOOKUP($N109,'Base de Grupos'!$A:$A,'Base de Grupos'!$G:$G)</f>
        <v>CANAL VENDA INTERNA</v>
      </c>
      <c r="F109" s="2" t="str">
        <f>_xlfn.XLOOKUP($N109,'Base de Grupos'!$A:$A,'Base de Grupos'!$H:$H)</f>
        <v>1000153245</v>
      </c>
      <c r="G109" s="5" t="str">
        <f>_xlfn.XLOOKUP($N109,'Base de Grupos'!$A:$A,'Base de Grupos'!$I:$I)</f>
        <v>REGIONAL VENDA INTERNA - KEY ACCOUNT</v>
      </c>
      <c r="H109" s="5" t="str">
        <f>_xlfn.XLOOKUP($N109,'Base de Grupos'!$A:$A,'Base de Grupos'!$J:$J)</f>
        <v>1000153245</v>
      </c>
      <c r="I109" s="2" t="str">
        <f>_xlfn.XLOOKUP($N109,'Base de Grupos'!$A:$A,'Base de Grupos'!$K:$K)</f>
        <v>REGIONAL VENDA INTERNA - KEY ACCOUNT</v>
      </c>
      <c r="J109" s="2" t="str">
        <f>_xlfn.XLOOKUP($N109,'Base de Grupos'!$A:$A,'Base de Grupos'!$L:$L)</f>
        <v>1000153245</v>
      </c>
      <c r="K109" s="5" t="str">
        <f>_xlfn.XLOOKUP($N109,'Base de Grupos'!$A:$A,'Base de Grupos'!$M:$M)</f>
        <v>REGIONAL VENDA INTERNA - KEY ACCOUNT</v>
      </c>
      <c r="L109" s="5" t="str">
        <f t="shared" si="55"/>
        <v/>
      </c>
      <c r="M109" s="5" t="str">
        <f>_xlfn.XLOOKUP($N109,'Base de Grupos'!$A:$A,'Base de Grupos'!$C:$C)</f>
        <v>PB</v>
      </c>
      <c r="N109" s="3">
        <v>1329</v>
      </c>
      <c r="O109" s="4" t="s">
        <v>229</v>
      </c>
      <c r="P109" s="5" t="s">
        <v>95</v>
      </c>
      <c r="Q109" s="56">
        <v>0</v>
      </c>
      <c r="R109" s="56">
        <v>0</v>
      </c>
      <c r="S109" s="56">
        <v>0</v>
      </c>
      <c r="T109" s="56">
        <f>_xlfn.XLOOKUP($N109,'Calculo Leads'!$A$97:$A$134,'Calculo Leads'!G$97:G$134)*_xlfn.XLOOKUP($P109,'Base Grupo de Produtos'!$E$2:$E$18,'Base Grupo de Produtos'!$F$2:$F$18)</f>
        <v>80</v>
      </c>
      <c r="U109" s="56">
        <f>_xlfn.XLOOKUP($N109,'Calculo Leads'!$A$97:$A$134,'Calculo Leads'!H$97:H$134)*_xlfn.XLOOKUP($P109,'Base Grupo de Produtos'!$E$2:$E$18,'Base Grupo de Produtos'!$F$2:$F$18)</f>
        <v>80</v>
      </c>
      <c r="V109" s="56">
        <f>_xlfn.XLOOKUP($N109,'Calculo Leads'!$A$97:$A$134,'Calculo Leads'!I$97:I$134)*_xlfn.XLOOKUP($P109,'Base Grupo de Produtos'!$E$2:$E$18,'Base Grupo de Produtos'!$F$2:$F$18)</f>
        <v>160</v>
      </c>
      <c r="W109" s="56">
        <f>_xlfn.XLOOKUP($N109,'Calculo Leads'!$A$97:$A$134,'Calculo Leads'!J$97:J$134)*_xlfn.XLOOKUP($P109,'Base Grupo de Produtos'!$E$2:$E$18,'Base Grupo de Produtos'!$F$2:$F$18)</f>
        <v>160</v>
      </c>
      <c r="X109" s="56">
        <f>_xlfn.XLOOKUP($N109,'Calculo Leads'!$A$97:$A$134,'Calculo Leads'!K$97:K$134)*_xlfn.XLOOKUP($P109,'Base Grupo de Produtos'!$E$2:$E$18,'Base Grupo de Produtos'!$F$2:$F$18)</f>
        <v>176</v>
      </c>
      <c r="Y109" s="56">
        <f>_xlfn.XLOOKUP($N109,'Calculo Leads'!$A$97:$A$134,'Calculo Leads'!L$97:L$134)*_xlfn.XLOOKUP($P109,'Base Grupo de Produtos'!$E$2:$E$18,'Base Grupo de Produtos'!$F$2:$F$18)</f>
        <v>264</v>
      </c>
      <c r="Z109" s="56">
        <f>_xlfn.XLOOKUP($N109,'Calculo Leads'!$A$97:$A$134,'Calculo Leads'!M$97:M$134)*_xlfn.XLOOKUP($P109,'Base Grupo de Produtos'!$E$2:$E$18,'Base Grupo de Produtos'!$F$2:$F$18)</f>
        <v>264</v>
      </c>
      <c r="AA109" s="56">
        <f>_xlfn.XLOOKUP($N109,'Calculo Leads'!$A$97:$A$134,'Calculo Leads'!N$97:N$134)*_xlfn.XLOOKUP($P109,'Base Grupo de Produtos'!$E$2:$E$18,'Base Grupo de Produtos'!$F$2:$F$18)</f>
        <v>264</v>
      </c>
      <c r="AB109" s="56">
        <f>_xlfn.XLOOKUP($N109,'Calculo Leads'!$A$97:$A$134,'Calculo Leads'!O$97:O$134)*_xlfn.XLOOKUP($P109,'Base Grupo de Produtos'!$E$2:$E$18,'Base Grupo de Produtos'!$F$2:$F$18)</f>
        <v>176</v>
      </c>
      <c r="AC109" s="61">
        <f t="shared" si="75"/>
        <v>1624</v>
      </c>
      <c r="AD109" s="27">
        <f t="shared" si="109"/>
        <v>1624</v>
      </c>
      <c r="AE109" s="25">
        <f>IFERROR(_xlfn.XLOOKUP(N109&amp;P109,'Historico Vendas'!G:G,'Historico Vendas'!E:E),0)</f>
        <v>0</v>
      </c>
      <c r="AF109" s="29" t="str">
        <f t="shared" si="53"/>
        <v/>
      </c>
      <c r="AG109" s="24">
        <f>IFERROR(_xlfn.XLOOKUP(N109&amp;P109,'Historico Vendas'!G:G,'Historico Vendas'!F:F),0)</f>
        <v>0</v>
      </c>
      <c r="AH109" s="25">
        <f t="shared" si="110"/>
        <v>0</v>
      </c>
      <c r="AI109" s="24">
        <f t="shared" si="111"/>
        <v>0</v>
      </c>
      <c r="AJ109" s="11" t="str">
        <f t="shared" si="71"/>
        <v/>
      </c>
      <c r="AK109" s="9" t="s">
        <v>102</v>
      </c>
      <c r="AL109" s="13">
        <f>IFERROR(INDEX('Balizador da Meta'!$D$3:$F$23,MATCH(Faturamento!$P109,'Balizador da Meta'!$C$3:$C$23,0),MATCH(Faturamento!AK109,'Balizador da Meta'!$D$2:$F$2,0)),"")</f>
        <v>0.25</v>
      </c>
      <c r="AM109" s="9"/>
    </row>
    <row r="110" spans="1:39" x14ac:dyDescent="0.3">
      <c r="A110" s="2" t="str">
        <f t="shared" si="54"/>
        <v>NÃO</v>
      </c>
      <c r="B110" s="2" t="str">
        <f>_xlfn.XLOOKUP($N110,'Base de Grupos'!$A:$A,'Base de Grupos'!$D:$D)</f>
        <v>1000065763</v>
      </c>
      <c r="C110" s="5" t="str">
        <f>_xlfn.XLOOKUP($N110,'Base de Grupos'!$A:$A,'Base de Grupos'!$E:$E)</f>
        <v>CANAL VENDA INTERNA</v>
      </c>
      <c r="D110" s="5" t="str">
        <f>_xlfn.XLOOKUP($N110,'Base de Grupos'!$A:$A,'Base de Grupos'!$F:$F)</f>
        <v>1000065763</v>
      </c>
      <c r="E110" s="2" t="str">
        <f>_xlfn.XLOOKUP($N110,'Base de Grupos'!$A:$A,'Base de Grupos'!$G:$G)</f>
        <v>CANAL VENDA INTERNA</v>
      </c>
      <c r="F110" s="2" t="str">
        <f>_xlfn.XLOOKUP($N110,'Base de Grupos'!$A:$A,'Base de Grupos'!$H:$H)</f>
        <v>1000153245</v>
      </c>
      <c r="G110" s="5" t="str">
        <f>_xlfn.XLOOKUP($N110,'Base de Grupos'!$A:$A,'Base de Grupos'!$I:$I)</f>
        <v>REGIONAL VENDA INTERNA - KEY ACCOUNT</v>
      </c>
      <c r="H110" s="5" t="str">
        <f>_xlfn.XLOOKUP($N110,'Base de Grupos'!$A:$A,'Base de Grupos'!$J:$J)</f>
        <v>1000153245</v>
      </c>
      <c r="I110" s="2" t="str">
        <f>_xlfn.XLOOKUP($N110,'Base de Grupos'!$A:$A,'Base de Grupos'!$K:$K)</f>
        <v>REGIONAL VENDA INTERNA - KEY ACCOUNT</v>
      </c>
      <c r="J110" s="2" t="str">
        <f>_xlfn.XLOOKUP($N110,'Base de Grupos'!$A:$A,'Base de Grupos'!$L:$L)</f>
        <v>1000153245</v>
      </c>
      <c r="K110" s="5" t="str">
        <f>_xlfn.XLOOKUP($N110,'Base de Grupos'!$A:$A,'Base de Grupos'!$M:$M)</f>
        <v>REGIONAL VENDA INTERNA - KEY ACCOUNT</v>
      </c>
      <c r="L110" s="5" t="str">
        <f t="shared" si="55"/>
        <v/>
      </c>
      <c r="M110" s="5" t="str">
        <f>_xlfn.XLOOKUP($N110,'Base de Grupos'!$A:$A,'Base de Grupos'!$C:$C)</f>
        <v>PB</v>
      </c>
      <c r="N110" s="3">
        <v>1329</v>
      </c>
      <c r="O110" s="4" t="s">
        <v>229</v>
      </c>
      <c r="P110" s="5" t="s">
        <v>93</v>
      </c>
      <c r="Q110" s="56">
        <v>0</v>
      </c>
      <c r="R110" s="56">
        <v>0</v>
      </c>
      <c r="S110" s="56">
        <v>0</v>
      </c>
      <c r="T110" s="56">
        <f>_xlfn.XLOOKUP($N110,'Calculo Leads'!$A$97:$A$134,'Calculo Leads'!G$97:G$134)*_xlfn.XLOOKUP($P110,'Base Grupo de Produtos'!$E$2:$E$18,'Base Grupo de Produtos'!$F$2:$F$18)</f>
        <v>30</v>
      </c>
      <c r="U110" s="56">
        <f>_xlfn.XLOOKUP($N110,'Calculo Leads'!$A$97:$A$134,'Calculo Leads'!H$97:H$134)*_xlfn.XLOOKUP($P110,'Base Grupo de Produtos'!$E$2:$E$18,'Base Grupo de Produtos'!$F$2:$F$18)</f>
        <v>30</v>
      </c>
      <c r="V110" s="56">
        <f>_xlfn.XLOOKUP($N110,'Calculo Leads'!$A$97:$A$134,'Calculo Leads'!I$97:I$134)*_xlfn.XLOOKUP($P110,'Base Grupo de Produtos'!$E$2:$E$18,'Base Grupo de Produtos'!$F$2:$F$18)</f>
        <v>60</v>
      </c>
      <c r="W110" s="56">
        <f>_xlfn.XLOOKUP($N110,'Calculo Leads'!$A$97:$A$134,'Calculo Leads'!J$97:J$134)*_xlfn.XLOOKUP($P110,'Base Grupo de Produtos'!$E$2:$E$18,'Base Grupo de Produtos'!$F$2:$F$18)</f>
        <v>60</v>
      </c>
      <c r="X110" s="56">
        <f>_xlfn.XLOOKUP($N110,'Calculo Leads'!$A$97:$A$134,'Calculo Leads'!K$97:K$134)*_xlfn.XLOOKUP($P110,'Base Grupo de Produtos'!$E$2:$E$18,'Base Grupo de Produtos'!$F$2:$F$18)</f>
        <v>66</v>
      </c>
      <c r="Y110" s="56">
        <f>_xlfn.XLOOKUP($N110,'Calculo Leads'!$A$97:$A$134,'Calculo Leads'!L$97:L$134)*_xlfn.XLOOKUP($P110,'Base Grupo de Produtos'!$E$2:$E$18,'Base Grupo de Produtos'!$F$2:$F$18)</f>
        <v>99</v>
      </c>
      <c r="Z110" s="56">
        <f>_xlfn.XLOOKUP($N110,'Calculo Leads'!$A$97:$A$134,'Calculo Leads'!M$97:M$134)*_xlfn.XLOOKUP($P110,'Base Grupo de Produtos'!$E$2:$E$18,'Base Grupo de Produtos'!$F$2:$F$18)</f>
        <v>99</v>
      </c>
      <c r="AA110" s="56">
        <f>_xlfn.XLOOKUP($N110,'Calculo Leads'!$A$97:$A$134,'Calculo Leads'!N$97:N$134)*_xlfn.XLOOKUP($P110,'Base Grupo de Produtos'!$E$2:$E$18,'Base Grupo de Produtos'!$F$2:$F$18)</f>
        <v>99</v>
      </c>
      <c r="AB110" s="56">
        <f>_xlfn.XLOOKUP($N110,'Calculo Leads'!$A$97:$A$134,'Calculo Leads'!O$97:O$134)*_xlfn.XLOOKUP($P110,'Base Grupo de Produtos'!$E$2:$E$18,'Base Grupo de Produtos'!$F$2:$F$18)</f>
        <v>66</v>
      </c>
      <c r="AC110" s="61">
        <f t="shared" si="75"/>
        <v>609</v>
      </c>
      <c r="AD110" s="27">
        <f t="shared" si="109"/>
        <v>609</v>
      </c>
      <c r="AE110" s="25">
        <f>IFERROR(_xlfn.XLOOKUP(N110&amp;P110,'Historico Vendas'!G:G,'Historico Vendas'!E:E),0)</f>
        <v>0</v>
      </c>
      <c r="AF110" s="29" t="str">
        <f t="shared" si="53"/>
        <v/>
      </c>
      <c r="AG110" s="24">
        <f>IFERROR(_xlfn.XLOOKUP(N110&amp;P110,'Historico Vendas'!G:G,'Historico Vendas'!F:F),0)</f>
        <v>0</v>
      </c>
      <c r="AH110" s="25">
        <f t="shared" si="110"/>
        <v>0</v>
      </c>
      <c r="AI110" s="24">
        <f t="shared" si="111"/>
        <v>0</v>
      </c>
      <c r="AJ110" s="11" t="str">
        <f t="shared" si="71"/>
        <v/>
      </c>
      <c r="AK110" s="9" t="s">
        <v>102</v>
      </c>
      <c r="AL110" s="13">
        <f>IFERROR(INDEX('Balizador da Meta'!$D$3:$F$23,MATCH(Faturamento!$P110,'Balizador da Meta'!$C$3:$C$23,0),MATCH(Faturamento!AK110,'Balizador da Meta'!$D$2:$F$2,0)),"")</f>
        <v>0.2</v>
      </c>
      <c r="AM110" s="9"/>
    </row>
    <row r="111" spans="1:39" x14ac:dyDescent="0.3">
      <c r="A111" s="2" t="str">
        <f t="shared" si="54"/>
        <v>SIM</v>
      </c>
      <c r="B111" s="2" t="str">
        <f>_xlfn.XLOOKUP($N111,'Base de Grupos'!$A:$A,'Base de Grupos'!$D:$D)</f>
        <v>1000065763</v>
      </c>
      <c r="C111" s="5" t="str">
        <f>_xlfn.XLOOKUP($N111,'Base de Grupos'!$A:$A,'Base de Grupos'!$E:$E)</f>
        <v>CANAL VENDA INTERNA</v>
      </c>
      <c r="D111" s="5" t="str">
        <f>_xlfn.XLOOKUP($N111,'Base de Grupos'!$A:$A,'Base de Grupos'!$F:$F)</f>
        <v>1000065763</v>
      </c>
      <c r="E111" s="2" t="str">
        <f>_xlfn.XLOOKUP($N111,'Base de Grupos'!$A:$A,'Base de Grupos'!$G:$G)</f>
        <v>CANAL VENDA INTERNA</v>
      </c>
      <c r="F111" s="2" t="str">
        <f>_xlfn.XLOOKUP($N111,'Base de Grupos'!$A:$A,'Base de Grupos'!$H:$H)</f>
        <v>1000105900</v>
      </c>
      <c r="G111" s="5" t="str">
        <f>_xlfn.XLOOKUP($N111,'Base de Grupos'!$A:$A,'Base de Grupos'!$I:$I)</f>
        <v>REGIONAL VENDA DIRETA CO + NE + NO</v>
      </c>
      <c r="H111" s="5" t="str">
        <f>_xlfn.XLOOKUP($N111,'Base de Grupos'!$A:$A,'Base de Grupos'!$J:$J)</f>
        <v>1000105900</v>
      </c>
      <c r="I111" s="2" t="str">
        <f>_xlfn.XLOOKUP($N111,'Base de Grupos'!$A:$A,'Base de Grupos'!$K:$K)</f>
        <v>REGIONAL VENDA DIRETA CO + NE + NO</v>
      </c>
      <c r="J111" s="2" t="str">
        <f>_xlfn.XLOOKUP($N111,'Base de Grupos'!$A:$A,'Base de Grupos'!$L:$L)</f>
        <v>1000150135</v>
      </c>
      <c r="K111" s="5" t="str">
        <f>_xlfn.XLOOKUP($N111,'Base de Grupos'!$A:$A,'Base de Grupos'!$M:$M)</f>
        <v>HELDER DA SILVA BRUNKOW</v>
      </c>
      <c r="L111" s="5">
        <f t="shared" si="55"/>
        <v>1</v>
      </c>
      <c r="M111" s="5" t="str">
        <f>_xlfn.XLOOKUP($N111,'Base de Grupos'!$A:$A,'Base de Grupos'!$C:$C)</f>
        <v>SE</v>
      </c>
      <c r="N111" s="3">
        <v>1330</v>
      </c>
      <c r="O111" s="4" t="s">
        <v>230</v>
      </c>
      <c r="P111" s="5" t="s">
        <v>300</v>
      </c>
      <c r="Q111" s="56">
        <f t="shared" ref="Q111" si="112">SUM(Q112:Q128)</f>
        <v>0</v>
      </c>
      <c r="R111" s="56">
        <f t="shared" ref="R111" si="113">SUM(R112:R128)</f>
        <v>0</v>
      </c>
      <c r="S111" s="56">
        <f t="shared" ref="S111" si="114">SUM(S112:S128)</f>
        <v>0</v>
      </c>
      <c r="T111" s="56">
        <f t="shared" ref="T111" si="115">SUM(T112:T128)</f>
        <v>1000</v>
      </c>
      <c r="U111" s="56">
        <f t="shared" ref="U111" si="116">SUM(U112:U128)</f>
        <v>1000</v>
      </c>
      <c r="V111" s="56">
        <f t="shared" ref="V111" si="117">SUM(V112:V128)</f>
        <v>1000</v>
      </c>
      <c r="W111" s="56">
        <f t="shared" ref="W111" si="118">SUM(W112:W128)</f>
        <v>1000</v>
      </c>
      <c r="X111" s="56">
        <f t="shared" ref="X111" si="119">SUM(X112:X128)</f>
        <v>1100</v>
      </c>
      <c r="Y111" s="56">
        <f t="shared" ref="Y111" si="120">SUM(Y112:Y128)</f>
        <v>2200</v>
      </c>
      <c r="Z111" s="56">
        <f t="shared" ref="Z111" si="121">SUM(Z112:Z128)</f>
        <v>2200</v>
      </c>
      <c r="AA111" s="56">
        <f t="shared" ref="AA111" si="122">SUM(AA112:AA128)</f>
        <v>2200</v>
      </c>
      <c r="AB111" s="56">
        <f t="shared" ref="AB111" si="123">SUM(AB112:AB128)</f>
        <v>1100</v>
      </c>
      <c r="AC111" s="56">
        <f t="shared" ref="AC111" si="124">SUM(AC112:AC128)</f>
        <v>12800</v>
      </c>
      <c r="AD111" s="25">
        <f t="shared" ref="AD111" si="125">SUM(AD112:AD128)</f>
        <v>12800</v>
      </c>
      <c r="AE111" s="25">
        <f t="shared" ref="AE111:AI111" si="126">SUM(AE112:AE128)</f>
        <v>0</v>
      </c>
      <c r="AF111" s="11" t="str">
        <f t="shared" si="53"/>
        <v/>
      </c>
      <c r="AG111" s="24">
        <f t="shared" si="126"/>
        <v>0</v>
      </c>
      <c r="AH111" s="25">
        <f t="shared" si="126"/>
        <v>0</v>
      </c>
      <c r="AI111" s="24">
        <f t="shared" si="126"/>
        <v>0</v>
      </c>
      <c r="AJ111" s="11" t="str">
        <f t="shared" si="71"/>
        <v/>
      </c>
      <c r="AK111" s="9"/>
      <c r="AL111" s="13"/>
      <c r="AM111" s="9"/>
    </row>
    <row r="112" spans="1:39" x14ac:dyDescent="0.3">
      <c r="A112" s="2" t="str">
        <f t="shared" si="54"/>
        <v>NÃO</v>
      </c>
      <c r="B112" s="2" t="str">
        <f>_xlfn.XLOOKUP($N112,'Base de Grupos'!$A:$A,'Base de Grupos'!$D:$D)</f>
        <v>1000065763</v>
      </c>
      <c r="C112" s="5" t="str">
        <f>_xlfn.XLOOKUP($N112,'Base de Grupos'!$A:$A,'Base de Grupos'!$E:$E)</f>
        <v>CANAL VENDA INTERNA</v>
      </c>
      <c r="D112" s="5" t="str">
        <f>_xlfn.XLOOKUP($N112,'Base de Grupos'!$A:$A,'Base de Grupos'!$F:$F)</f>
        <v>1000065763</v>
      </c>
      <c r="E112" s="2" t="str">
        <f>_xlfn.XLOOKUP($N112,'Base de Grupos'!$A:$A,'Base de Grupos'!$G:$G)</f>
        <v>CANAL VENDA INTERNA</v>
      </c>
      <c r="F112" s="2" t="str">
        <f>_xlfn.XLOOKUP($N112,'Base de Grupos'!$A:$A,'Base de Grupos'!$H:$H)</f>
        <v>1000105900</v>
      </c>
      <c r="G112" s="5" t="str">
        <f>_xlfn.XLOOKUP($N112,'Base de Grupos'!$A:$A,'Base de Grupos'!$I:$I)</f>
        <v>REGIONAL VENDA DIRETA CO + NE + NO</v>
      </c>
      <c r="H112" s="5" t="str">
        <f>_xlfn.XLOOKUP($N112,'Base de Grupos'!$A:$A,'Base de Grupos'!$J:$J)</f>
        <v>1000105900</v>
      </c>
      <c r="I112" s="2" t="str">
        <f>_xlfn.XLOOKUP($N112,'Base de Grupos'!$A:$A,'Base de Grupos'!$K:$K)</f>
        <v>REGIONAL VENDA DIRETA CO + NE + NO</v>
      </c>
      <c r="J112" s="2" t="str">
        <f>_xlfn.XLOOKUP($N112,'Base de Grupos'!$A:$A,'Base de Grupos'!$L:$L)</f>
        <v>1000150135</v>
      </c>
      <c r="K112" s="5" t="str">
        <f>_xlfn.XLOOKUP($N112,'Base de Grupos'!$A:$A,'Base de Grupos'!$M:$M)</f>
        <v>HELDER DA SILVA BRUNKOW</v>
      </c>
      <c r="L112" s="5" t="str">
        <f t="shared" si="55"/>
        <v/>
      </c>
      <c r="M112" s="5" t="str">
        <f>_xlfn.XLOOKUP($N112,'Base de Grupos'!$A:$A,'Base de Grupos'!$C:$C)</f>
        <v>SE</v>
      </c>
      <c r="N112" s="3">
        <v>1330</v>
      </c>
      <c r="O112" s="4" t="s">
        <v>230</v>
      </c>
      <c r="P112" s="5" t="s">
        <v>81</v>
      </c>
      <c r="Q112" s="56">
        <v>0</v>
      </c>
      <c r="R112" s="56">
        <v>0</v>
      </c>
      <c r="S112" s="56">
        <v>0</v>
      </c>
      <c r="T112" s="56">
        <f>_xlfn.XLOOKUP($N112,'Calculo Leads'!$A$97:$A$134,'Calculo Leads'!G$97:G$134)*_xlfn.XLOOKUP($P112,'Base Grupo de Produtos'!$E$2:$E$18,'Base Grupo de Produtos'!$F$2:$F$18)</f>
        <v>50</v>
      </c>
      <c r="U112" s="56">
        <f>_xlfn.XLOOKUP($N112,'Calculo Leads'!$A$97:$A$134,'Calculo Leads'!H$97:H$134)*_xlfn.XLOOKUP($P112,'Base Grupo de Produtos'!$E$2:$E$18,'Base Grupo de Produtos'!$F$2:$F$18)</f>
        <v>50</v>
      </c>
      <c r="V112" s="56">
        <f>_xlfn.XLOOKUP($N112,'Calculo Leads'!$A$97:$A$134,'Calculo Leads'!I$97:I$134)*_xlfn.XLOOKUP($P112,'Base Grupo de Produtos'!$E$2:$E$18,'Base Grupo de Produtos'!$F$2:$F$18)</f>
        <v>50</v>
      </c>
      <c r="W112" s="56">
        <f>_xlfn.XLOOKUP($N112,'Calculo Leads'!$A$97:$A$134,'Calculo Leads'!J$97:J$134)*_xlfn.XLOOKUP($P112,'Base Grupo de Produtos'!$E$2:$E$18,'Base Grupo de Produtos'!$F$2:$F$18)</f>
        <v>50</v>
      </c>
      <c r="X112" s="56">
        <f>_xlfn.XLOOKUP($N112,'Calculo Leads'!$A$97:$A$134,'Calculo Leads'!K$97:K$134)*_xlfn.XLOOKUP($P112,'Base Grupo de Produtos'!$E$2:$E$18,'Base Grupo de Produtos'!$F$2:$F$18)</f>
        <v>55</v>
      </c>
      <c r="Y112" s="56">
        <f>_xlfn.XLOOKUP($N112,'Calculo Leads'!$A$97:$A$134,'Calculo Leads'!L$97:L$134)*_xlfn.XLOOKUP($P112,'Base Grupo de Produtos'!$E$2:$E$18,'Base Grupo de Produtos'!$F$2:$F$18)</f>
        <v>110</v>
      </c>
      <c r="Z112" s="56">
        <f>_xlfn.XLOOKUP($N112,'Calculo Leads'!$A$97:$A$134,'Calculo Leads'!M$97:M$134)*_xlfn.XLOOKUP($P112,'Base Grupo de Produtos'!$E$2:$E$18,'Base Grupo de Produtos'!$F$2:$F$18)</f>
        <v>110</v>
      </c>
      <c r="AA112" s="56">
        <f>_xlfn.XLOOKUP($N112,'Calculo Leads'!$A$97:$A$134,'Calculo Leads'!N$97:N$134)*_xlfn.XLOOKUP($P112,'Base Grupo de Produtos'!$E$2:$E$18,'Base Grupo de Produtos'!$F$2:$F$18)</f>
        <v>110</v>
      </c>
      <c r="AB112" s="56">
        <f>_xlfn.XLOOKUP($N112,'Calculo Leads'!$A$97:$A$134,'Calculo Leads'!O$97:O$134)*_xlfn.XLOOKUP($P112,'Base Grupo de Produtos'!$E$2:$E$18,'Base Grupo de Produtos'!$F$2:$F$18)</f>
        <v>55</v>
      </c>
      <c r="AC112" s="61">
        <f t="shared" si="75"/>
        <v>640</v>
      </c>
      <c r="AD112" s="27">
        <f t="shared" ref="AD112:AD128" si="127">IF(AC112=0,0,AC112-AG112)</f>
        <v>640</v>
      </c>
      <c r="AE112" s="25">
        <f>IFERROR(_xlfn.XLOOKUP(N112&amp;P112,'Historico Vendas'!G:G,'Historico Vendas'!E:E),0)</f>
        <v>0</v>
      </c>
      <c r="AF112" s="29" t="str">
        <f t="shared" si="53"/>
        <v/>
      </c>
      <c r="AG112" s="24">
        <f>IFERROR(_xlfn.XLOOKUP(N112&amp;P112,'Historico Vendas'!G:G,'Historico Vendas'!F:F),0)</f>
        <v>0</v>
      </c>
      <c r="AH112" s="25">
        <f t="shared" ref="AH112:AH128" si="128">SUM(Q112:S112)</f>
        <v>0</v>
      </c>
      <c r="AI112" s="24">
        <f t="shared" ref="AI112:AI128" si="129">AH112-AG112</f>
        <v>0</v>
      </c>
      <c r="AJ112" s="11" t="str">
        <f t="shared" si="71"/>
        <v/>
      </c>
      <c r="AK112" s="9" t="s">
        <v>102</v>
      </c>
      <c r="AL112" s="13">
        <f>IFERROR(INDEX('Balizador da Meta'!$D$3:$F$23,MATCH(Faturamento!$P112,'Balizador da Meta'!$C$3:$C$23,0),MATCH(Faturamento!AK112,'Balizador da Meta'!$D$2:$F$2,0)),"")</f>
        <v>0.2</v>
      </c>
      <c r="AM112" s="9"/>
    </row>
    <row r="113" spans="1:39" x14ac:dyDescent="0.3">
      <c r="A113" s="2" t="str">
        <f t="shared" si="54"/>
        <v>NÃO</v>
      </c>
      <c r="B113" s="2" t="str">
        <f>_xlfn.XLOOKUP($N113,'Base de Grupos'!$A:$A,'Base de Grupos'!$D:$D)</f>
        <v>1000065763</v>
      </c>
      <c r="C113" s="5" t="str">
        <f>_xlfn.XLOOKUP($N113,'Base de Grupos'!$A:$A,'Base de Grupos'!$E:$E)</f>
        <v>CANAL VENDA INTERNA</v>
      </c>
      <c r="D113" s="5" t="str">
        <f>_xlfn.XLOOKUP($N113,'Base de Grupos'!$A:$A,'Base de Grupos'!$F:$F)</f>
        <v>1000065763</v>
      </c>
      <c r="E113" s="2" t="str">
        <f>_xlfn.XLOOKUP($N113,'Base de Grupos'!$A:$A,'Base de Grupos'!$G:$G)</f>
        <v>CANAL VENDA INTERNA</v>
      </c>
      <c r="F113" s="2" t="str">
        <f>_xlfn.XLOOKUP($N113,'Base de Grupos'!$A:$A,'Base de Grupos'!$H:$H)</f>
        <v>1000105900</v>
      </c>
      <c r="G113" s="5" t="str">
        <f>_xlfn.XLOOKUP($N113,'Base de Grupos'!$A:$A,'Base de Grupos'!$I:$I)</f>
        <v>REGIONAL VENDA DIRETA CO + NE + NO</v>
      </c>
      <c r="H113" s="5" t="str">
        <f>_xlfn.XLOOKUP($N113,'Base de Grupos'!$A:$A,'Base de Grupos'!$J:$J)</f>
        <v>1000105900</v>
      </c>
      <c r="I113" s="2" t="str">
        <f>_xlfn.XLOOKUP($N113,'Base de Grupos'!$A:$A,'Base de Grupos'!$K:$K)</f>
        <v>REGIONAL VENDA DIRETA CO + NE + NO</v>
      </c>
      <c r="J113" s="2" t="str">
        <f>_xlfn.XLOOKUP($N113,'Base de Grupos'!$A:$A,'Base de Grupos'!$L:$L)</f>
        <v>1000150135</v>
      </c>
      <c r="K113" s="5" t="str">
        <f>_xlfn.XLOOKUP($N113,'Base de Grupos'!$A:$A,'Base de Grupos'!$M:$M)</f>
        <v>HELDER DA SILVA BRUNKOW</v>
      </c>
      <c r="L113" s="5" t="str">
        <f t="shared" si="55"/>
        <v/>
      </c>
      <c r="M113" s="5" t="str">
        <f>_xlfn.XLOOKUP($N113,'Base de Grupos'!$A:$A,'Base de Grupos'!$C:$C)</f>
        <v>SE</v>
      </c>
      <c r="N113" s="3">
        <v>1330</v>
      </c>
      <c r="O113" s="4" t="s">
        <v>230</v>
      </c>
      <c r="P113" s="5" t="s">
        <v>82</v>
      </c>
      <c r="Q113" s="56">
        <v>0</v>
      </c>
      <c r="R113" s="56">
        <v>0</v>
      </c>
      <c r="S113" s="56">
        <v>0</v>
      </c>
      <c r="T113" s="56">
        <f>_xlfn.XLOOKUP($N113,'Calculo Leads'!$A$97:$A$134,'Calculo Leads'!G$97:G$134)*_xlfn.XLOOKUP($P113,'Base Grupo de Produtos'!$E$2:$E$18,'Base Grupo de Produtos'!$F$2:$F$18)</f>
        <v>50</v>
      </c>
      <c r="U113" s="56">
        <f>_xlfn.XLOOKUP($N113,'Calculo Leads'!$A$97:$A$134,'Calculo Leads'!H$97:H$134)*_xlfn.XLOOKUP($P113,'Base Grupo de Produtos'!$E$2:$E$18,'Base Grupo de Produtos'!$F$2:$F$18)</f>
        <v>50</v>
      </c>
      <c r="V113" s="56">
        <f>_xlfn.XLOOKUP($N113,'Calculo Leads'!$A$97:$A$134,'Calculo Leads'!I$97:I$134)*_xlfn.XLOOKUP($P113,'Base Grupo de Produtos'!$E$2:$E$18,'Base Grupo de Produtos'!$F$2:$F$18)</f>
        <v>50</v>
      </c>
      <c r="W113" s="56">
        <f>_xlfn.XLOOKUP($N113,'Calculo Leads'!$A$97:$A$134,'Calculo Leads'!J$97:J$134)*_xlfn.XLOOKUP($P113,'Base Grupo de Produtos'!$E$2:$E$18,'Base Grupo de Produtos'!$F$2:$F$18)</f>
        <v>50</v>
      </c>
      <c r="X113" s="56">
        <f>_xlfn.XLOOKUP($N113,'Calculo Leads'!$A$97:$A$134,'Calculo Leads'!K$97:K$134)*_xlfn.XLOOKUP($P113,'Base Grupo de Produtos'!$E$2:$E$18,'Base Grupo de Produtos'!$F$2:$F$18)</f>
        <v>55</v>
      </c>
      <c r="Y113" s="56">
        <f>_xlfn.XLOOKUP($N113,'Calculo Leads'!$A$97:$A$134,'Calculo Leads'!L$97:L$134)*_xlfn.XLOOKUP($P113,'Base Grupo de Produtos'!$E$2:$E$18,'Base Grupo de Produtos'!$F$2:$F$18)</f>
        <v>110</v>
      </c>
      <c r="Z113" s="56">
        <f>_xlfn.XLOOKUP($N113,'Calculo Leads'!$A$97:$A$134,'Calculo Leads'!M$97:M$134)*_xlfn.XLOOKUP($P113,'Base Grupo de Produtos'!$E$2:$E$18,'Base Grupo de Produtos'!$F$2:$F$18)</f>
        <v>110</v>
      </c>
      <c r="AA113" s="56">
        <f>_xlfn.XLOOKUP($N113,'Calculo Leads'!$A$97:$A$134,'Calculo Leads'!N$97:N$134)*_xlfn.XLOOKUP($P113,'Base Grupo de Produtos'!$E$2:$E$18,'Base Grupo de Produtos'!$F$2:$F$18)</f>
        <v>110</v>
      </c>
      <c r="AB113" s="56">
        <f>_xlfn.XLOOKUP($N113,'Calculo Leads'!$A$97:$A$134,'Calculo Leads'!O$97:O$134)*_xlfn.XLOOKUP($P113,'Base Grupo de Produtos'!$E$2:$E$18,'Base Grupo de Produtos'!$F$2:$F$18)</f>
        <v>55</v>
      </c>
      <c r="AC113" s="61">
        <f t="shared" si="75"/>
        <v>640</v>
      </c>
      <c r="AD113" s="27">
        <f t="shared" si="127"/>
        <v>640</v>
      </c>
      <c r="AE113" s="25">
        <f>IFERROR(_xlfn.XLOOKUP(N113&amp;P113,'Historico Vendas'!G:G,'Historico Vendas'!E:E),0)</f>
        <v>0</v>
      </c>
      <c r="AF113" s="29" t="str">
        <f t="shared" ref="AF113:AF176" si="130">IFERROR((AC113-AE113)/AE113,"")</f>
        <v/>
      </c>
      <c r="AG113" s="24">
        <f>IFERROR(_xlfn.XLOOKUP(N113&amp;P113,'Historico Vendas'!G:G,'Historico Vendas'!F:F),0)</f>
        <v>0</v>
      </c>
      <c r="AH113" s="25">
        <f t="shared" si="128"/>
        <v>0</v>
      </c>
      <c r="AI113" s="24">
        <f t="shared" si="129"/>
        <v>0</v>
      </c>
      <c r="AJ113" s="11" t="str">
        <f t="shared" si="71"/>
        <v/>
      </c>
      <c r="AK113" s="9" t="s">
        <v>102</v>
      </c>
      <c r="AL113" s="13">
        <f>IFERROR(INDEX('Balizador da Meta'!$D$3:$F$23,MATCH(Faturamento!$P113,'Balizador da Meta'!$C$3:$C$23,0),MATCH(Faturamento!AK113,'Balizador da Meta'!$D$2:$F$2,0)),"")</f>
        <v>0.2</v>
      </c>
      <c r="AM113" s="9"/>
    </row>
    <row r="114" spans="1:39" x14ac:dyDescent="0.3">
      <c r="A114" s="2" t="str">
        <f t="shared" ref="A114:A177" si="131">IF(L114=1,"SIM","NÃO")</f>
        <v>NÃO</v>
      </c>
      <c r="B114" s="2" t="str">
        <f>_xlfn.XLOOKUP($N114,'Base de Grupos'!$A:$A,'Base de Grupos'!$D:$D)</f>
        <v>1000065763</v>
      </c>
      <c r="C114" s="5" t="str">
        <f>_xlfn.XLOOKUP($N114,'Base de Grupos'!$A:$A,'Base de Grupos'!$E:$E)</f>
        <v>CANAL VENDA INTERNA</v>
      </c>
      <c r="D114" s="5" t="str">
        <f>_xlfn.XLOOKUP($N114,'Base de Grupos'!$A:$A,'Base de Grupos'!$F:$F)</f>
        <v>1000065763</v>
      </c>
      <c r="E114" s="2" t="str">
        <f>_xlfn.XLOOKUP($N114,'Base de Grupos'!$A:$A,'Base de Grupos'!$G:$G)</f>
        <v>CANAL VENDA INTERNA</v>
      </c>
      <c r="F114" s="2" t="str">
        <f>_xlfn.XLOOKUP($N114,'Base de Grupos'!$A:$A,'Base de Grupos'!$H:$H)</f>
        <v>1000105900</v>
      </c>
      <c r="G114" s="5" t="str">
        <f>_xlfn.XLOOKUP($N114,'Base de Grupos'!$A:$A,'Base de Grupos'!$I:$I)</f>
        <v>REGIONAL VENDA DIRETA CO + NE + NO</v>
      </c>
      <c r="H114" s="5" t="str">
        <f>_xlfn.XLOOKUP($N114,'Base de Grupos'!$A:$A,'Base de Grupos'!$J:$J)</f>
        <v>1000105900</v>
      </c>
      <c r="I114" s="2" t="str">
        <f>_xlfn.XLOOKUP($N114,'Base de Grupos'!$A:$A,'Base de Grupos'!$K:$K)</f>
        <v>REGIONAL VENDA DIRETA CO + NE + NO</v>
      </c>
      <c r="J114" s="2" t="str">
        <f>_xlfn.XLOOKUP($N114,'Base de Grupos'!$A:$A,'Base de Grupos'!$L:$L)</f>
        <v>1000150135</v>
      </c>
      <c r="K114" s="5" t="str">
        <f>_xlfn.XLOOKUP($N114,'Base de Grupos'!$A:$A,'Base de Grupos'!$M:$M)</f>
        <v>HELDER DA SILVA BRUNKOW</v>
      </c>
      <c r="L114" s="5" t="str">
        <f t="shared" ref="L114:L177" si="132">IF(N114&lt;&gt;N113,1,"")</f>
        <v/>
      </c>
      <c r="M114" s="5" t="str">
        <f>_xlfn.XLOOKUP($N114,'Base de Grupos'!$A:$A,'Base de Grupos'!$C:$C)</f>
        <v>SE</v>
      </c>
      <c r="N114" s="3">
        <v>1330</v>
      </c>
      <c r="O114" s="4" t="s">
        <v>230</v>
      </c>
      <c r="P114" s="5" t="s">
        <v>84</v>
      </c>
      <c r="Q114" s="56">
        <v>0</v>
      </c>
      <c r="R114" s="56">
        <v>0</v>
      </c>
      <c r="S114" s="56">
        <v>0</v>
      </c>
      <c r="T114" s="56">
        <f>_xlfn.XLOOKUP($N114,'Calculo Leads'!$A$97:$A$134,'Calculo Leads'!G$97:G$134)*_xlfn.XLOOKUP($P114,'Base Grupo de Produtos'!$E$2:$E$18,'Base Grupo de Produtos'!$F$2:$F$18)</f>
        <v>80</v>
      </c>
      <c r="U114" s="56">
        <f>_xlfn.XLOOKUP($N114,'Calculo Leads'!$A$97:$A$134,'Calculo Leads'!H$97:H$134)*_xlfn.XLOOKUP($P114,'Base Grupo de Produtos'!$E$2:$E$18,'Base Grupo de Produtos'!$F$2:$F$18)</f>
        <v>80</v>
      </c>
      <c r="V114" s="56">
        <f>_xlfn.XLOOKUP($N114,'Calculo Leads'!$A$97:$A$134,'Calculo Leads'!I$97:I$134)*_xlfn.XLOOKUP($P114,'Base Grupo de Produtos'!$E$2:$E$18,'Base Grupo de Produtos'!$F$2:$F$18)</f>
        <v>80</v>
      </c>
      <c r="W114" s="56">
        <f>_xlfn.XLOOKUP($N114,'Calculo Leads'!$A$97:$A$134,'Calculo Leads'!J$97:J$134)*_xlfn.XLOOKUP($P114,'Base Grupo de Produtos'!$E$2:$E$18,'Base Grupo de Produtos'!$F$2:$F$18)</f>
        <v>80</v>
      </c>
      <c r="X114" s="56">
        <f>_xlfn.XLOOKUP($N114,'Calculo Leads'!$A$97:$A$134,'Calculo Leads'!K$97:K$134)*_xlfn.XLOOKUP($P114,'Base Grupo de Produtos'!$E$2:$E$18,'Base Grupo de Produtos'!$F$2:$F$18)</f>
        <v>88</v>
      </c>
      <c r="Y114" s="56">
        <f>_xlfn.XLOOKUP($N114,'Calculo Leads'!$A$97:$A$134,'Calculo Leads'!L$97:L$134)*_xlfn.XLOOKUP($P114,'Base Grupo de Produtos'!$E$2:$E$18,'Base Grupo de Produtos'!$F$2:$F$18)</f>
        <v>176</v>
      </c>
      <c r="Z114" s="56">
        <f>_xlfn.XLOOKUP($N114,'Calculo Leads'!$A$97:$A$134,'Calculo Leads'!M$97:M$134)*_xlfn.XLOOKUP($P114,'Base Grupo de Produtos'!$E$2:$E$18,'Base Grupo de Produtos'!$F$2:$F$18)</f>
        <v>176</v>
      </c>
      <c r="AA114" s="56">
        <f>_xlfn.XLOOKUP($N114,'Calculo Leads'!$A$97:$A$134,'Calculo Leads'!N$97:N$134)*_xlfn.XLOOKUP($P114,'Base Grupo de Produtos'!$E$2:$E$18,'Base Grupo de Produtos'!$F$2:$F$18)</f>
        <v>176</v>
      </c>
      <c r="AB114" s="56">
        <f>_xlfn.XLOOKUP($N114,'Calculo Leads'!$A$97:$A$134,'Calculo Leads'!O$97:O$134)*_xlfn.XLOOKUP($P114,'Base Grupo de Produtos'!$E$2:$E$18,'Base Grupo de Produtos'!$F$2:$F$18)</f>
        <v>88</v>
      </c>
      <c r="AC114" s="61">
        <f t="shared" si="75"/>
        <v>1024</v>
      </c>
      <c r="AD114" s="27">
        <f t="shared" si="127"/>
        <v>1024</v>
      </c>
      <c r="AE114" s="25">
        <f>IFERROR(_xlfn.XLOOKUP(N114&amp;P114,'Historico Vendas'!G:G,'Historico Vendas'!E:E),0)</f>
        <v>0</v>
      </c>
      <c r="AF114" s="29" t="str">
        <f t="shared" si="130"/>
        <v/>
      </c>
      <c r="AG114" s="24">
        <f>IFERROR(_xlfn.XLOOKUP(N114&amp;P114,'Historico Vendas'!G:G,'Historico Vendas'!F:F),0)</f>
        <v>0</v>
      </c>
      <c r="AH114" s="25">
        <f t="shared" si="128"/>
        <v>0</v>
      </c>
      <c r="AI114" s="24">
        <f t="shared" si="129"/>
        <v>0</v>
      </c>
      <c r="AJ114" s="11" t="str">
        <f t="shared" si="71"/>
        <v/>
      </c>
      <c r="AK114" s="9" t="s">
        <v>102</v>
      </c>
      <c r="AL114" s="13">
        <f>IFERROR(INDEX('Balizador da Meta'!$D$3:$F$23,MATCH(Faturamento!$P114,'Balizador da Meta'!$C$3:$C$23,0),MATCH(Faturamento!AK114,'Balizador da Meta'!$D$2:$F$2,0)),"")</f>
        <v>0.15</v>
      </c>
      <c r="AM114" s="9"/>
    </row>
    <row r="115" spans="1:39" x14ac:dyDescent="0.3">
      <c r="A115" s="2" t="str">
        <f t="shared" si="131"/>
        <v>NÃO</v>
      </c>
      <c r="B115" s="2" t="str">
        <f>_xlfn.XLOOKUP($N115,'Base de Grupos'!$A:$A,'Base de Grupos'!$D:$D)</f>
        <v>1000065763</v>
      </c>
      <c r="C115" s="5" t="str">
        <f>_xlfn.XLOOKUP($N115,'Base de Grupos'!$A:$A,'Base de Grupos'!$E:$E)</f>
        <v>CANAL VENDA INTERNA</v>
      </c>
      <c r="D115" s="5" t="str">
        <f>_xlfn.XLOOKUP($N115,'Base de Grupos'!$A:$A,'Base de Grupos'!$F:$F)</f>
        <v>1000065763</v>
      </c>
      <c r="E115" s="2" t="str">
        <f>_xlfn.XLOOKUP($N115,'Base de Grupos'!$A:$A,'Base de Grupos'!$G:$G)</f>
        <v>CANAL VENDA INTERNA</v>
      </c>
      <c r="F115" s="2" t="str">
        <f>_xlfn.XLOOKUP($N115,'Base de Grupos'!$A:$A,'Base de Grupos'!$H:$H)</f>
        <v>1000105900</v>
      </c>
      <c r="G115" s="5" t="str">
        <f>_xlfn.XLOOKUP($N115,'Base de Grupos'!$A:$A,'Base de Grupos'!$I:$I)</f>
        <v>REGIONAL VENDA DIRETA CO + NE + NO</v>
      </c>
      <c r="H115" s="5" t="str">
        <f>_xlfn.XLOOKUP($N115,'Base de Grupos'!$A:$A,'Base de Grupos'!$J:$J)</f>
        <v>1000105900</v>
      </c>
      <c r="I115" s="2" t="str">
        <f>_xlfn.XLOOKUP($N115,'Base de Grupos'!$A:$A,'Base de Grupos'!$K:$K)</f>
        <v>REGIONAL VENDA DIRETA CO + NE + NO</v>
      </c>
      <c r="J115" s="2" t="str">
        <f>_xlfn.XLOOKUP($N115,'Base de Grupos'!$A:$A,'Base de Grupos'!$L:$L)</f>
        <v>1000150135</v>
      </c>
      <c r="K115" s="5" t="str">
        <f>_xlfn.XLOOKUP($N115,'Base de Grupos'!$A:$A,'Base de Grupos'!$M:$M)</f>
        <v>HELDER DA SILVA BRUNKOW</v>
      </c>
      <c r="L115" s="5" t="str">
        <f t="shared" si="132"/>
        <v/>
      </c>
      <c r="M115" s="5" t="str">
        <f>_xlfn.XLOOKUP($N115,'Base de Grupos'!$A:$A,'Base de Grupos'!$C:$C)</f>
        <v>SE</v>
      </c>
      <c r="N115" s="3">
        <v>1330</v>
      </c>
      <c r="O115" s="4" t="s">
        <v>230</v>
      </c>
      <c r="P115" s="5" t="s">
        <v>83</v>
      </c>
      <c r="Q115" s="56">
        <v>0</v>
      </c>
      <c r="R115" s="56">
        <v>0</v>
      </c>
      <c r="S115" s="56">
        <v>0</v>
      </c>
      <c r="T115" s="56">
        <f>_xlfn.XLOOKUP($N115,'Calculo Leads'!$A$97:$A$134,'Calculo Leads'!G$97:G$134)*_xlfn.XLOOKUP($P115,'Base Grupo de Produtos'!$E$2:$E$18,'Base Grupo de Produtos'!$F$2:$F$18)</f>
        <v>100</v>
      </c>
      <c r="U115" s="56">
        <f>_xlfn.XLOOKUP($N115,'Calculo Leads'!$A$97:$A$134,'Calculo Leads'!H$97:H$134)*_xlfn.XLOOKUP($P115,'Base Grupo de Produtos'!$E$2:$E$18,'Base Grupo de Produtos'!$F$2:$F$18)</f>
        <v>100</v>
      </c>
      <c r="V115" s="56">
        <f>_xlfn.XLOOKUP($N115,'Calculo Leads'!$A$97:$A$134,'Calculo Leads'!I$97:I$134)*_xlfn.XLOOKUP($P115,'Base Grupo de Produtos'!$E$2:$E$18,'Base Grupo de Produtos'!$F$2:$F$18)</f>
        <v>100</v>
      </c>
      <c r="W115" s="56">
        <f>_xlfn.XLOOKUP($N115,'Calculo Leads'!$A$97:$A$134,'Calculo Leads'!J$97:J$134)*_xlfn.XLOOKUP($P115,'Base Grupo de Produtos'!$E$2:$E$18,'Base Grupo de Produtos'!$F$2:$F$18)</f>
        <v>100</v>
      </c>
      <c r="X115" s="56">
        <f>_xlfn.XLOOKUP($N115,'Calculo Leads'!$A$97:$A$134,'Calculo Leads'!K$97:K$134)*_xlfn.XLOOKUP($P115,'Base Grupo de Produtos'!$E$2:$E$18,'Base Grupo de Produtos'!$F$2:$F$18)</f>
        <v>110</v>
      </c>
      <c r="Y115" s="56">
        <f>_xlfn.XLOOKUP($N115,'Calculo Leads'!$A$97:$A$134,'Calculo Leads'!L$97:L$134)*_xlfn.XLOOKUP($P115,'Base Grupo de Produtos'!$E$2:$E$18,'Base Grupo de Produtos'!$F$2:$F$18)</f>
        <v>220</v>
      </c>
      <c r="Z115" s="56">
        <f>_xlfn.XLOOKUP($N115,'Calculo Leads'!$A$97:$A$134,'Calculo Leads'!M$97:M$134)*_xlfn.XLOOKUP($P115,'Base Grupo de Produtos'!$E$2:$E$18,'Base Grupo de Produtos'!$F$2:$F$18)</f>
        <v>220</v>
      </c>
      <c r="AA115" s="56">
        <f>_xlfn.XLOOKUP($N115,'Calculo Leads'!$A$97:$A$134,'Calculo Leads'!N$97:N$134)*_xlfn.XLOOKUP($P115,'Base Grupo de Produtos'!$E$2:$E$18,'Base Grupo de Produtos'!$F$2:$F$18)</f>
        <v>220</v>
      </c>
      <c r="AB115" s="56">
        <f>_xlfn.XLOOKUP($N115,'Calculo Leads'!$A$97:$A$134,'Calculo Leads'!O$97:O$134)*_xlfn.XLOOKUP($P115,'Base Grupo de Produtos'!$E$2:$E$18,'Base Grupo de Produtos'!$F$2:$F$18)</f>
        <v>110</v>
      </c>
      <c r="AC115" s="61">
        <f t="shared" si="75"/>
        <v>1280</v>
      </c>
      <c r="AD115" s="27">
        <f t="shared" si="127"/>
        <v>1280</v>
      </c>
      <c r="AE115" s="25">
        <f>IFERROR(_xlfn.XLOOKUP(N115&amp;P115,'Historico Vendas'!G:G,'Historico Vendas'!E:E),0)</f>
        <v>0</v>
      </c>
      <c r="AF115" s="29" t="str">
        <f t="shared" si="130"/>
        <v/>
      </c>
      <c r="AG115" s="24">
        <f>IFERROR(_xlfn.XLOOKUP(N115&amp;P115,'Historico Vendas'!G:G,'Historico Vendas'!F:F),0)</f>
        <v>0</v>
      </c>
      <c r="AH115" s="25">
        <f t="shared" si="128"/>
        <v>0</v>
      </c>
      <c r="AI115" s="24">
        <f t="shared" si="129"/>
        <v>0</v>
      </c>
      <c r="AJ115" s="11" t="str">
        <f t="shared" si="71"/>
        <v/>
      </c>
      <c r="AK115" s="9" t="s">
        <v>102</v>
      </c>
      <c r="AL115" s="13">
        <f>IFERROR(INDEX('Balizador da Meta'!$D$3:$F$23,MATCH(Faturamento!$P115,'Balizador da Meta'!$C$3:$C$23,0),MATCH(Faturamento!AK115,'Balizador da Meta'!$D$2:$F$2,0)),"")</f>
        <v>0</v>
      </c>
      <c r="AM115" s="9"/>
    </row>
    <row r="116" spans="1:39" x14ac:dyDescent="0.3">
      <c r="A116" s="2" t="str">
        <f t="shared" si="131"/>
        <v>NÃO</v>
      </c>
      <c r="B116" s="2" t="str">
        <f>_xlfn.XLOOKUP($N116,'Base de Grupos'!$A:$A,'Base de Grupos'!$D:$D)</f>
        <v>1000065763</v>
      </c>
      <c r="C116" s="5" t="str">
        <f>_xlfn.XLOOKUP($N116,'Base de Grupos'!$A:$A,'Base de Grupos'!$E:$E)</f>
        <v>CANAL VENDA INTERNA</v>
      </c>
      <c r="D116" s="5" t="str">
        <f>_xlfn.XLOOKUP($N116,'Base de Grupos'!$A:$A,'Base de Grupos'!$F:$F)</f>
        <v>1000065763</v>
      </c>
      <c r="E116" s="2" t="str">
        <f>_xlfn.XLOOKUP($N116,'Base de Grupos'!$A:$A,'Base de Grupos'!$G:$G)</f>
        <v>CANAL VENDA INTERNA</v>
      </c>
      <c r="F116" s="2" t="str">
        <f>_xlfn.XLOOKUP($N116,'Base de Grupos'!$A:$A,'Base de Grupos'!$H:$H)</f>
        <v>1000105900</v>
      </c>
      <c r="G116" s="5" t="str">
        <f>_xlfn.XLOOKUP($N116,'Base de Grupos'!$A:$A,'Base de Grupos'!$I:$I)</f>
        <v>REGIONAL VENDA DIRETA CO + NE + NO</v>
      </c>
      <c r="H116" s="5" t="str">
        <f>_xlfn.XLOOKUP($N116,'Base de Grupos'!$A:$A,'Base de Grupos'!$J:$J)</f>
        <v>1000105900</v>
      </c>
      <c r="I116" s="2" t="str">
        <f>_xlfn.XLOOKUP($N116,'Base de Grupos'!$A:$A,'Base de Grupos'!$K:$K)</f>
        <v>REGIONAL VENDA DIRETA CO + NE + NO</v>
      </c>
      <c r="J116" s="2" t="str">
        <f>_xlfn.XLOOKUP($N116,'Base de Grupos'!$A:$A,'Base de Grupos'!$L:$L)</f>
        <v>1000150135</v>
      </c>
      <c r="K116" s="5" t="str">
        <f>_xlfn.XLOOKUP($N116,'Base de Grupos'!$A:$A,'Base de Grupos'!$M:$M)</f>
        <v>HELDER DA SILVA BRUNKOW</v>
      </c>
      <c r="L116" s="5" t="str">
        <f t="shared" si="132"/>
        <v/>
      </c>
      <c r="M116" s="5" t="str">
        <f>_xlfn.XLOOKUP($N116,'Base de Grupos'!$A:$A,'Base de Grupos'!$C:$C)</f>
        <v>SE</v>
      </c>
      <c r="N116" s="3">
        <v>1330</v>
      </c>
      <c r="O116" s="4" t="s">
        <v>230</v>
      </c>
      <c r="P116" s="5" t="s">
        <v>87</v>
      </c>
      <c r="Q116" s="56">
        <v>0</v>
      </c>
      <c r="R116" s="56">
        <v>0</v>
      </c>
      <c r="S116" s="56">
        <v>0</v>
      </c>
      <c r="T116" s="56">
        <f>_xlfn.XLOOKUP($N116,'Calculo Leads'!$A$97:$A$134,'Calculo Leads'!G$97:G$134)*_xlfn.XLOOKUP($P116,'Base Grupo de Produtos'!$E$2:$E$18,'Base Grupo de Produtos'!$F$2:$F$18)</f>
        <v>19.999999999999996</v>
      </c>
      <c r="U116" s="56">
        <f>_xlfn.XLOOKUP($N116,'Calculo Leads'!$A$97:$A$134,'Calculo Leads'!H$97:H$134)*_xlfn.XLOOKUP($P116,'Base Grupo de Produtos'!$E$2:$E$18,'Base Grupo de Produtos'!$F$2:$F$18)</f>
        <v>19.999999999999996</v>
      </c>
      <c r="V116" s="56">
        <f>_xlfn.XLOOKUP($N116,'Calculo Leads'!$A$97:$A$134,'Calculo Leads'!I$97:I$134)*_xlfn.XLOOKUP($P116,'Base Grupo de Produtos'!$E$2:$E$18,'Base Grupo de Produtos'!$F$2:$F$18)</f>
        <v>19.999999999999996</v>
      </c>
      <c r="W116" s="56">
        <f>_xlfn.XLOOKUP($N116,'Calculo Leads'!$A$97:$A$134,'Calculo Leads'!J$97:J$134)*_xlfn.XLOOKUP($P116,'Base Grupo de Produtos'!$E$2:$E$18,'Base Grupo de Produtos'!$F$2:$F$18)</f>
        <v>19.999999999999996</v>
      </c>
      <c r="X116" s="56">
        <f>_xlfn.XLOOKUP($N116,'Calculo Leads'!$A$97:$A$134,'Calculo Leads'!K$97:K$134)*_xlfn.XLOOKUP($P116,'Base Grupo de Produtos'!$E$2:$E$18,'Base Grupo de Produtos'!$F$2:$F$18)</f>
        <v>21.999999999999996</v>
      </c>
      <c r="Y116" s="56">
        <f>_xlfn.XLOOKUP($N116,'Calculo Leads'!$A$97:$A$134,'Calculo Leads'!L$97:L$134)*_xlfn.XLOOKUP($P116,'Base Grupo de Produtos'!$E$2:$E$18,'Base Grupo de Produtos'!$F$2:$F$18)</f>
        <v>43.999999999999993</v>
      </c>
      <c r="Z116" s="56">
        <f>_xlfn.XLOOKUP($N116,'Calculo Leads'!$A$97:$A$134,'Calculo Leads'!M$97:M$134)*_xlfn.XLOOKUP($P116,'Base Grupo de Produtos'!$E$2:$E$18,'Base Grupo de Produtos'!$F$2:$F$18)</f>
        <v>43.999999999999993</v>
      </c>
      <c r="AA116" s="56">
        <f>_xlfn.XLOOKUP($N116,'Calculo Leads'!$A$97:$A$134,'Calculo Leads'!N$97:N$134)*_xlfn.XLOOKUP($P116,'Base Grupo de Produtos'!$E$2:$E$18,'Base Grupo de Produtos'!$F$2:$F$18)</f>
        <v>43.999999999999993</v>
      </c>
      <c r="AB116" s="56">
        <f>_xlfn.XLOOKUP($N116,'Calculo Leads'!$A$97:$A$134,'Calculo Leads'!O$97:O$134)*_xlfn.XLOOKUP($P116,'Base Grupo de Produtos'!$E$2:$E$18,'Base Grupo de Produtos'!$F$2:$F$18)</f>
        <v>21.999999999999996</v>
      </c>
      <c r="AC116" s="61">
        <f t="shared" si="75"/>
        <v>255.99999999999997</v>
      </c>
      <c r="AD116" s="27">
        <f t="shared" si="127"/>
        <v>255.99999999999997</v>
      </c>
      <c r="AE116" s="25">
        <f>IFERROR(_xlfn.XLOOKUP(N116&amp;P116,'Historico Vendas'!G:G,'Historico Vendas'!E:E),0)</f>
        <v>0</v>
      </c>
      <c r="AF116" s="29" t="str">
        <f t="shared" si="130"/>
        <v/>
      </c>
      <c r="AG116" s="24">
        <f>IFERROR(_xlfn.XLOOKUP(N116&amp;P116,'Historico Vendas'!G:G,'Historico Vendas'!F:F),0)</f>
        <v>0</v>
      </c>
      <c r="AH116" s="25">
        <f t="shared" si="128"/>
        <v>0</v>
      </c>
      <c r="AI116" s="24">
        <f t="shared" si="129"/>
        <v>0</v>
      </c>
      <c r="AJ116" s="11" t="str">
        <f t="shared" si="71"/>
        <v/>
      </c>
      <c r="AK116" s="9" t="s">
        <v>102</v>
      </c>
      <c r="AL116" s="13">
        <f>IFERROR(INDEX('Balizador da Meta'!$D$3:$F$23,MATCH(Faturamento!$P116,'Balizador da Meta'!$C$3:$C$23,0),MATCH(Faturamento!AK116,'Balizador da Meta'!$D$2:$F$2,0)),"")</f>
        <v>0</v>
      </c>
      <c r="AM116" s="9"/>
    </row>
    <row r="117" spans="1:39" x14ac:dyDescent="0.3">
      <c r="A117" s="2" t="str">
        <f t="shared" si="131"/>
        <v>NÃO</v>
      </c>
      <c r="B117" s="2" t="str">
        <f>_xlfn.XLOOKUP($N117,'Base de Grupos'!$A:$A,'Base de Grupos'!$D:$D)</f>
        <v>1000065763</v>
      </c>
      <c r="C117" s="5" t="str">
        <f>_xlfn.XLOOKUP($N117,'Base de Grupos'!$A:$A,'Base de Grupos'!$E:$E)</f>
        <v>CANAL VENDA INTERNA</v>
      </c>
      <c r="D117" s="5" t="str">
        <f>_xlfn.XLOOKUP($N117,'Base de Grupos'!$A:$A,'Base de Grupos'!$F:$F)</f>
        <v>1000065763</v>
      </c>
      <c r="E117" s="2" t="str">
        <f>_xlfn.XLOOKUP($N117,'Base de Grupos'!$A:$A,'Base de Grupos'!$G:$G)</f>
        <v>CANAL VENDA INTERNA</v>
      </c>
      <c r="F117" s="2" t="str">
        <f>_xlfn.XLOOKUP($N117,'Base de Grupos'!$A:$A,'Base de Grupos'!$H:$H)</f>
        <v>1000105900</v>
      </c>
      <c r="G117" s="5" t="str">
        <f>_xlfn.XLOOKUP($N117,'Base de Grupos'!$A:$A,'Base de Grupos'!$I:$I)</f>
        <v>REGIONAL VENDA DIRETA CO + NE + NO</v>
      </c>
      <c r="H117" s="5" t="str">
        <f>_xlfn.XLOOKUP($N117,'Base de Grupos'!$A:$A,'Base de Grupos'!$J:$J)</f>
        <v>1000105900</v>
      </c>
      <c r="I117" s="2" t="str">
        <f>_xlfn.XLOOKUP($N117,'Base de Grupos'!$A:$A,'Base de Grupos'!$K:$K)</f>
        <v>REGIONAL VENDA DIRETA CO + NE + NO</v>
      </c>
      <c r="J117" s="2" t="str">
        <f>_xlfn.XLOOKUP($N117,'Base de Grupos'!$A:$A,'Base de Grupos'!$L:$L)</f>
        <v>1000150135</v>
      </c>
      <c r="K117" s="5" t="str">
        <f>_xlfn.XLOOKUP($N117,'Base de Grupos'!$A:$A,'Base de Grupos'!$M:$M)</f>
        <v>HELDER DA SILVA BRUNKOW</v>
      </c>
      <c r="L117" s="5" t="str">
        <f t="shared" si="132"/>
        <v/>
      </c>
      <c r="M117" s="5" t="str">
        <f>_xlfn.XLOOKUP($N117,'Base de Grupos'!$A:$A,'Base de Grupos'!$C:$C)</f>
        <v>SE</v>
      </c>
      <c r="N117" s="3">
        <v>1330</v>
      </c>
      <c r="O117" s="4" t="s">
        <v>230</v>
      </c>
      <c r="P117" s="5" t="s">
        <v>85</v>
      </c>
      <c r="Q117" s="56">
        <v>0</v>
      </c>
      <c r="R117" s="56">
        <v>0</v>
      </c>
      <c r="S117" s="56">
        <v>0</v>
      </c>
      <c r="T117" s="56">
        <f>_xlfn.XLOOKUP($N117,'Calculo Leads'!$A$97:$A$134,'Calculo Leads'!G$97:G$134)*_xlfn.XLOOKUP($P117,'Base Grupo de Produtos'!$E$2:$E$18,'Base Grupo de Produtos'!$F$2:$F$18)</f>
        <v>20</v>
      </c>
      <c r="U117" s="56">
        <f>_xlfn.XLOOKUP($N117,'Calculo Leads'!$A$97:$A$134,'Calculo Leads'!H$97:H$134)*_xlfn.XLOOKUP($P117,'Base Grupo de Produtos'!$E$2:$E$18,'Base Grupo de Produtos'!$F$2:$F$18)</f>
        <v>20</v>
      </c>
      <c r="V117" s="56">
        <f>_xlfn.XLOOKUP($N117,'Calculo Leads'!$A$97:$A$134,'Calculo Leads'!I$97:I$134)*_xlfn.XLOOKUP($P117,'Base Grupo de Produtos'!$E$2:$E$18,'Base Grupo de Produtos'!$F$2:$F$18)</f>
        <v>20</v>
      </c>
      <c r="W117" s="56">
        <f>_xlfn.XLOOKUP($N117,'Calculo Leads'!$A$97:$A$134,'Calculo Leads'!J$97:J$134)*_xlfn.XLOOKUP($P117,'Base Grupo de Produtos'!$E$2:$E$18,'Base Grupo de Produtos'!$F$2:$F$18)</f>
        <v>20</v>
      </c>
      <c r="X117" s="56">
        <f>_xlfn.XLOOKUP($N117,'Calculo Leads'!$A$97:$A$134,'Calculo Leads'!K$97:K$134)*_xlfn.XLOOKUP($P117,'Base Grupo de Produtos'!$E$2:$E$18,'Base Grupo de Produtos'!$F$2:$F$18)</f>
        <v>22</v>
      </c>
      <c r="Y117" s="56">
        <f>_xlfn.XLOOKUP($N117,'Calculo Leads'!$A$97:$A$134,'Calculo Leads'!L$97:L$134)*_xlfn.XLOOKUP($P117,'Base Grupo de Produtos'!$E$2:$E$18,'Base Grupo de Produtos'!$F$2:$F$18)</f>
        <v>44</v>
      </c>
      <c r="Z117" s="56">
        <f>_xlfn.XLOOKUP($N117,'Calculo Leads'!$A$97:$A$134,'Calculo Leads'!M$97:M$134)*_xlfn.XLOOKUP($P117,'Base Grupo de Produtos'!$E$2:$E$18,'Base Grupo de Produtos'!$F$2:$F$18)</f>
        <v>44</v>
      </c>
      <c r="AA117" s="56">
        <f>_xlfn.XLOOKUP($N117,'Calculo Leads'!$A$97:$A$134,'Calculo Leads'!N$97:N$134)*_xlfn.XLOOKUP($P117,'Base Grupo de Produtos'!$E$2:$E$18,'Base Grupo de Produtos'!$F$2:$F$18)</f>
        <v>44</v>
      </c>
      <c r="AB117" s="56">
        <f>_xlfn.XLOOKUP($N117,'Calculo Leads'!$A$97:$A$134,'Calculo Leads'!O$97:O$134)*_xlfn.XLOOKUP($P117,'Base Grupo de Produtos'!$E$2:$E$18,'Base Grupo de Produtos'!$F$2:$F$18)</f>
        <v>22</v>
      </c>
      <c r="AC117" s="61">
        <f t="shared" si="75"/>
        <v>256</v>
      </c>
      <c r="AD117" s="27">
        <f t="shared" si="127"/>
        <v>256</v>
      </c>
      <c r="AE117" s="25">
        <f>IFERROR(_xlfn.XLOOKUP(N117&amp;P117,'Historico Vendas'!G:G,'Historico Vendas'!E:E),0)</f>
        <v>0</v>
      </c>
      <c r="AF117" s="29" t="str">
        <f t="shared" si="130"/>
        <v/>
      </c>
      <c r="AG117" s="24">
        <f>IFERROR(_xlfn.XLOOKUP(N117&amp;P117,'Historico Vendas'!G:G,'Historico Vendas'!F:F),0)</f>
        <v>0</v>
      </c>
      <c r="AH117" s="25">
        <f t="shared" si="128"/>
        <v>0</v>
      </c>
      <c r="AI117" s="24">
        <f t="shared" si="129"/>
        <v>0</v>
      </c>
      <c r="AJ117" s="11" t="str">
        <f t="shared" si="71"/>
        <v/>
      </c>
      <c r="AK117" s="9" t="s">
        <v>102</v>
      </c>
      <c r="AL117" s="13">
        <f>IFERROR(INDEX('Balizador da Meta'!$D$3:$F$23,MATCH(Faturamento!$P117,'Balizador da Meta'!$C$3:$C$23,0),MATCH(Faturamento!AK117,'Balizador da Meta'!$D$2:$F$2,0)),"")</f>
        <v>0</v>
      </c>
      <c r="AM117" s="9"/>
    </row>
    <row r="118" spans="1:39" x14ac:dyDescent="0.3">
      <c r="A118" s="2" t="str">
        <f t="shared" si="131"/>
        <v>NÃO</v>
      </c>
      <c r="B118" s="2" t="str">
        <f>_xlfn.XLOOKUP($N118,'Base de Grupos'!$A:$A,'Base de Grupos'!$D:$D)</f>
        <v>1000065763</v>
      </c>
      <c r="C118" s="5" t="str">
        <f>_xlfn.XLOOKUP($N118,'Base de Grupos'!$A:$A,'Base de Grupos'!$E:$E)</f>
        <v>CANAL VENDA INTERNA</v>
      </c>
      <c r="D118" s="5" t="str">
        <f>_xlfn.XLOOKUP($N118,'Base de Grupos'!$A:$A,'Base de Grupos'!$F:$F)</f>
        <v>1000065763</v>
      </c>
      <c r="E118" s="2" t="str">
        <f>_xlfn.XLOOKUP($N118,'Base de Grupos'!$A:$A,'Base de Grupos'!$G:$G)</f>
        <v>CANAL VENDA INTERNA</v>
      </c>
      <c r="F118" s="2" t="str">
        <f>_xlfn.XLOOKUP($N118,'Base de Grupos'!$A:$A,'Base de Grupos'!$H:$H)</f>
        <v>1000105900</v>
      </c>
      <c r="G118" s="5" t="str">
        <f>_xlfn.XLOOKUP($N118,'Base de Grupos'!$A:$A,'Base de Grupos'!$I:$I)</f>
        <v>REGIONAL VENDA DIRETA CO + NE + NO</v>
      </c>
      <c r="H118" s="5" t="str">
        <f>_xlfn.XLOOKUP($N118,'Base de Grupos'!$A:$A,'Base de Grupos'!$J:$J)</f>
        <v>1000105900</v>
      </c>
      <c r="I118" s="2" t="str">
        <f>_xlfn.XLOOKUP($N118,'Base de Grupos'!$A:$A,'Base de Grupos'!$K:$K)</f>
        <v>REGIONAL VENDA DIRETA CO + NE + NO</v>
      </c>
      <c r="J118" s="2" t="str">
        <f>_xlfn.XLOOKUP($N118,'Base de Grupos'!$A:$A,'Base de Grupos'!$L:$L)</f>
        <v>1000150135</v>
      </c>
      <c r="K118" s="5" t="str">
        <f>_xlfn.XLOOKUP($N118,'Base de Grupos'!$A:$A,'Base de Grupos'!$M:$M)</f>
        <v>HELDER DA SILVA BRUNKOW</v>
      </c>
      <c r="L118" s="5" t="str">
        <f t="shared" si="132"/>
        <v/>
      </c>
      <c r="M118" s="5" t="str">
        <f>_xlfn.XLOOKUP($N118,'Base de Grupos'!$A:$A,'Base de Grupos'!$C:$C)</f>
        <v>SE</v>
      </c>
      <c r="N118" s="3">
        <v>1330</v>
      </c>
      <c r="O118" s="4" t="s">
        <v>230</v>
      </c>
      <c r="P118" s="5" t="s">
        <v>92</v>
      </c>
      <c r="Q118" s="56">
        <v>0</v>
      </c>
      <c r="R118" s="56">
        <v>0</v>
      </c>
      <c r="S118" s="56">
        <v>0</v>
      </c>
      <c r="T118" s="56">
        <f>_xlfn.XLOOKUP($N118,'Calculo Leads'!$A$97:$A$134,'Calculo Leads'!G$97:G$134)*_xlfn.XLOOKUP($P118,'Base Grupo de Produtos'!$E$2:$E$18,'Base Grupo de Produtos'!$F$2:$F$18)</f>
        <v>20</v>
      </c>
      <c r="U118" s="56">
        <f>_xlfn.XLOOKUP($N118,'Calculo Leads'!$A$97:$A$134,'Calculo Leads'!H$97:H$134)*_xlfn.XLOOKUP($P118,'Base Grupo de Produtos'!$E$2:$E$18,'Base Grupo de Produtos'!$F$2:$F$18)</f>
        <v>20</v>
      </c>
      <c r="V118" s="56">
        <f>_xlfn.XLOOKUP($N118,'Calculo Leads'!$A$97:$A$134,'Calculo Leads'!I$97:I$134)*_xlfn.XLOOKUP($P118,'Base Grupo de Produtos'!$E$2:$E$18,'Base Grupo de Produtos'!$F$2:$F$18)</f>
        <v>20</v>
      </c>
      <c r="W118" s="56">
        <f>_xlfn.XLOOKUP($N118,'Calculo Leads'!$A$97:$A$134,'Calculo Leads'!J$97:J$134)*_xlfn.XLOOKUP($P118,'Base Grupo de Produtos'!$E$2:$E$18,'Base Grupo de Produtos'!$F$2:$F$18)</f>
        <v>20</v>
      </c>
      <c r="X118" s="56">
        <f>_xlfn.XLOOKUP($N118,'Calculo Leads'!$A$97:$A$134,'Calculo Leads'!K$97:K$134)*_xlfn.XLOOKUP($P118,'Base Grupo de Produtos'!$E$2:$E$18,'Base Grupo de Produtos'!$F$2:$F$18)</f>
        <v>22</v>
      </c>
      <c r="Y118" s="56">
        <f>_xlfn.XLOOKUP($N118,'Calculo Leads'!$A$97:$A$134,'Calculo Leads'!L$97:L$134)*_xlfn.XLOOKUP($P118,'Base Grupo de Produtos'!$E$2:$E$18,'Base Grupo de Produtos'!$F$2:$F$18)</f>
        <v>44</v>
      </c>
      <c r="Z118" s="56">
        <f>_xlfn.XLOOKUP($N118,'Calculo Leads'!$A$97:$A$134,'Calculo Leads'!M$97:M$134)*_xlfn.XLOOKUP($P118,'Base Grupo de Produtos'!$E$2:$E$18,'Base Grupo de Produtos'!$F$2:$F$18)</f>
        <v>44</v>
      </c>
      <c r="AA118" s="56">
        <f>_xlfn.XLOOKUP($N118,'Calculo Leads'!$A$97:$A$134,'Calculo Leads'!N$97:N$134)*_xlfn.XLOOKUP($P118,'Base Grupo de Produtos'!$E$2:$E$18,'Base Grupo de Produtos'!$F$2:$F$18)</f>
        <v>44</v>
      </c>
      <c r="AB118" s="56">
        <f>_xlfn.XLOOKUP($N118,'Calculo Leads'!$A$97:$A$134,'Calculo Leads'!O$97:O$134)*_xlfn.XLOOKUP($P118,'Base Grupo de Produtos'!$E$2:$E$18,'Base Grupo de Produtos'!$F$2:$F$18)</f>
        <v>22</v>
      </c>
      <c r="AC118" s="61">
        <f t="shared" si="75"/>
        <v>256</v>
      </c>
      <c r="AD118" s="27">
        <f t="shared" si="127"/>
        <v>256</v>
      </c>
      <c r="AE118" s="25">
        <f>IFERROR(_xlfn.XLOOKUP(N118&amp;P118,'Historico Vendas'!G:G,'Historico Vendas'!E:E),0)</f>
        <v>0</v>
      </c>
      <c r="AF118" s="29" t="str">
        <f t="shared" si="130"/>
        <v/>
      </c>
      <c r="AG118" s="24">
        <f>IFERROR(_xlfn.XLOOKUP(N118&amp;P118,'Historico Vendas'!G:G,'Historico Vendas'!F:F),0)</f>
        <v>0</v>
      </c>
      <c r="AH118" s="25">
        <f t="shared" si="128"/>
        <v>0</v>
      </c>
      <c r="AI118" s="24">
        <f t="shared" si="129"/>
        <v>0</v>
      </c>
      <c r="AJ118" s="11" t="str">
        <f t="shared" si="71"/>
        <v/>
      </c>
      <c r="AK118" s="9" t="s">
        <v>102</v>
      </c>
      <c r="AL118" s="13">
        <f>IFERROR(INDEX('Balizador da Meta'!$D$3:$F$23,MATCH(Faturamento!$P118,'Balizador da Meta'!$C$3:$C$23,0),MATCH(Faturamento!AK118,'Balizador da Meta'!$D$2:$F$2,0)),"")</f>
        <v>0</v>
      </c>
      <c r="AM118" s="9"/>
    </row>
    <row r="119" spans="1:39" x14ac:dyDescent="0.3">
      <c r="A119" s="2" t="str">
        <f t="shared" si="131"/>
        <v>NÃO</v>
      </c>
      <c r="B119" s="2" t="str">
        <f>_xlfn.XLOOKUP($N119,'Base de Grupos'!$A:$A,'Base de Grupos'!$D:$D)</f>
        <v>1000065763</v>
      </c>
      <c r="C119" s="5" t="str">
        <f>_xlfn.XLOOKUP($N119,'Base de Grupos'!$A:$A,'Base de Grupos'!$E:$E)</f>
        <v>CANAL VENDA INTERNA</v>
      </c>
      <c r="D119" s="5" t="str">
        <f>_xlfn.XLOOKUP($N119,'Base de Grupos'!$A:$A,'Base de Grupos'!$F:$F)</f>
        <v>1000065763</v>
      </c>
      <c r="E119" s="2" t="str">
        <f>_xlfn.XLOOKUP($N119,'Base de Grupos'!$A:$A,'Base de Grupos'!$G:$G)</f>
        <v>CANAL VENDA INTERNA</v>
      </c>
      <c r="F119" s="2" t="str">
        <f>_xlfn.XLOOKUP($N119,'Base de Grupos'!$A:$A,'Base de Grupos'!$H:$H)</f>
        <v>1000105900</v>
      </c>
      <c r="G119" s="5" t="str">
        <f>_xlfn.XLOOKUP($N119,'Base de Grupos'!$A:$A,'Base de Grupos'!$I:$I)</f>
        <v>REGIONAL VENDA DIRETA CO + NE + NO</v>
      </c>
      <c r="H119" s="5" t="str">
        <f>_xlfn.XLOOKUP($N119,'Base de Grupos'!$A:$A,'Base de Grupos'!$J:$J)</f>
        <v>1000105900</v>
      </c>
      <c r="I119" s="2" t="str">
        <f>_xlfn.XLOOKUP($N119,'Base de Grupos'!$A:$A,'Base de Grupos'!$K:$K)</f>
        <v>REGIONAL VENDA DIRETA CO + NE + NO</v>
      </c>
      <c r="J119" s="2" t="str">
        <f>_xlfn.XLOOKUP($N119,'Base de Grupos'!$A:$A,'Base de Grupos'!$L:$L)</f>
        <v>1000150135</v>
      </c>
      <c r="K119" s="5" t="str">
        <f>_xlfn.XLOOKUP($N119,'Base de Grupos'!$A:$A,'Base de Grupos'!$M:$M)</f>
        <v>HELDER DA SILVA BRUNKOW</v>
      </c>
      <c r="L119" s="5" t="str">
        <f t="shared" si="132"/>
        <v/>
      </c>
      <c r="M119" s="5" t="str">
        <f>_xlfn.XLOOKUP($N119,'Base de Grupos'!$A:$A,'Base de Grupos'!$C:$C)</f>
        <v>SE</v>
      </c>
      <c r="N119" s="3">
        <v>1330</v>
      </c>
      <c r="O119" s="4" t="s">
        <v>230</v>
      </c>
      <c r="P119" s="5" t="s">
        <v>86</v>
      </c>
      <c r="Q119" s="56">
        <v>0</v>
      </c>
      <c r="R119" s="56">
        <v>0</v>
      </c>
      <c r="S119" s="56">
        <v>0</v>
      </c>
      <c r="T119" s="56">
        <f>_xlfn.XLOOKUP($N119,'Calculo Leads'!$A$97:$A$134,'Calculo Leads'!G$97:G$134)*_xlfn.XLOOKUP($P119,'Base Grupo de Produtos'!$E$2:$E$18,'Base Grupo de Produtos'!$F$2:$F$18)</f>
        <v>30</v>
      </c>
      <c r="U119" s="56">
        <f>_xlfn.XLOOKUP($N119,'Calculo Leads'!$A$97:$A$134,'Calculo Leads'!H$97:H$134)*_xlfn.XLOOKUP($P119,'Base Grupo de Produtos'!$E$2:$E$18,'Base Grupo de Produtos'!$F$2:$F$18)</f>
        <v>30</v>
      </c>
      <c r="V119" s="56">
        <f>_xlfn.XLOOKUP($N119,'Calculo Leads'!$A$97:$A$134,'Calculo Leads'!I$97:I$134)*_xlfn.XLOOKUP($P119,'Base Grupo de Produtos'!$E$2:$E$18,'Base Grupo de Produtos'!$F$2:$F$18)</f>
        <v>30</v>
      </c>
      <c r="W119" s="56">
        <f>_xlfn.XLOOKUP($N119,'Calculo Leads'!$A$97:$A$134,'Calculo Leads'!J$97:J$134)*_xlfn.XLOOKUP($P119,'Base Grupo de Produtos'!$E$2:$E$18,'Base Grupo de Produtos'!$F$2:$F$18)</f>
        <v>30</v>
      </c>
      <c r="X119" s="56">
        <f>_xlfn.XLOOKUP($N119,'Calculo Leads'!$A$97:$A$134,'Calculo Leads'!K$97:K$134)*_xlfn.XLOOKUP($P119,'Base Grupo de Produtos'!$E$2:$E$18,'Base Grupo de Produtos'!$F$2:$F$18)</f>
        <v>33</v>
      </c>
      <c r="Y119" s="56">
        <f>_xlfn.XLOOKUP($N119,'Calculo Leads'!$A$97:$A$134,'Calculo Leads'!L$97:L$134)*_xlfn.XLOOKUP($P119,'Base Grupo de Produtos'!$E$2:$E$18,'Base Grupo de Produtos'!$F$2:$F$18)</f>
        <v>66</v>
      </c>
      <c r="Z119" s="56">
        <f>_xlfn.XLOOKUP($N119,'Calculo Leads'!$A$97:$A$134,'Calculo Leads'!M$97:M$134)*_xlfn.XLOOKUP($P119,'Base Grupo de Produtos'!$E$2:$E$18,'Base Grupo de Produtos'!$F$2:$F$18)</f>
        <v>66</v>
      </c>
      <c r="AA119" s="56">
        <f>_xlfn.XLOOKUP($N119,'Calculo Leads'!$A$97:$A$134,'Calculo Leads'!N$97:N$134)*_xlfn.XLOOKUP($P119,'Base Grupo de Produtos'!$E$2:$E$18,'Base Grupo de Produtos'!$F$2:$F$18)</f>
        <v>66</v>
      </c>
      <c r="AB119" s="56">
        <f>_xlfn.XLOOKUP($N119,'Calculo Leads'!$A$97:$A$134,'Calculo Leads'!O$97:O$134)*_xlfn.XLOOKUP($P119,'Base Grupo de Produtos'!$E$2:$E$18,'Base Grupo de Produtos'!$F$2:$F$18)</f>
        <v>33</v>
      </c>
      <c r="AC119" s="61">
        <f t="shared" si="75"/>
        <v>384</v>
      </c>
      <c r="AD119" s="27">
        <f t="shared" si="127"/>
        <v>384</v>
      </c>
      <c r="AE119" s="25">
        <f>IFERROR(_xlfn.XLOOKUP(N119&amp;P119,'Historico Vendas'!G:G,'Historico Vendas'!E:E),0)</f>
        <v>0</v>
      </c>
      <c r="AF119" s="29" t="str">
        <f t="shared" si="130"/>
        <v/>
      </c>
      <c r="AG119" s="24">
        <f>IFERROR(_xlfn.XLOOKUP(N119&amp;P119,'Historico Vendas'!G:G,'Historico Vendas'!F:F),0)</f>
        <v>0</v>
      </c>
      <c r="AH119" s="25">
        <f t="shared" si="128"/>
        <v>0</v>
      </c>
      <c r="AI119" s="24">
        <f t="shared" si="129"/>
        <v>0</v>
      </c>
      <c r="AJ119" s="11" t="str">
        <f t="shared" si="71"/>
        <v/>
      </c>
      <c r="AK119" s="9" t="s">
        <v>102</v>
      </c>
      <c r="AL119" s="13">
        <f>IFERROR(INDEX('Balizador da Meta'!$D$3:$F$23,MATCH(Faturamento!$P119,'Balizador da Meta'!$C$3:$C$23,0),MATCH(Faturamento!AK119,'Balizador da Meta'!$D$2:$F$2,0)),"")</f>
        <v>0.15</v>
      </c>
      <c r="AM119" s="9"/>
    </row>
    <row r="120" spans="1:39" x14ac:dyDescent="0.3">
      <c r="A120" s="2" t="str">
        <f t="shared" si="131"/>
        <v>NÃO</v>
      </c>
      <c r="B120" s="2" t="str">
        <f>_xlfn.XLOOKUP($N120,'Base de Grupos'!$A:$A,'Base de Grupos'!$D:$D)</f>
        <v>1000065763</v>
      </c>
      <c r="C120" s="5" t="str">
        <f>_xlfn.XLOOKUP($N120,'Base de Grupos'!$A:$A,'Base de Grupos'!$E:$E)</f>
        <v>CANAL VENDA INTERNA</v>
      </c>
      <c r="D120" s="5" t="str">
        <f>_xlfn.XLOOKUP($N120,'Base de Grupos'!$A:$A,'Base de Grupos'!$F:$F)</f>
        <v>1000065763</v>
      </c>
      <c r="E120" s="2" t="str">
        <f>_xlfn.XLOOKUP($N120,'Base de Grupos'!$A:$A,'Base de Grupos'!$G:$G)</f>
        <v>CANAL VENDA INTERNA</v>
      </c>
      <c r="F120" s="2" t="str">
        <f>_xlfn.XLOOKUP($N120,'Base de Grupos'!$A:$A,'Base de Grupos'!$H:$H)</f>
        <v>1000105900</v>
      </c>
      <c r="G120" s="5" t="str">
        <f>_xlfn.XLOOKUP($N120,'Base de Grupos'!$A:$A,'Base de Grupos'!$I:$I)</f>
        <v>REGIONAL VENDA DIRETA CO + NE + NO</v>
      </c>
      <c r="H120" s="5" t="str">
        <f>_xlfn.XLOOKUP($N120,'Base de Grupos'!$A:$A,'Base de Grupos'!$J:$J)</f>
        <v>1000105900</v>
      </c>
      <c r="I120" s="2" t="str">
        <f>_xlfn.XLOOKUP($N120,'Base de Grupos'!$A:$A,'Base de Grupos'!$K:$K)</f>
        <v>REGIONAL VENDA DIRETA CO + NE + NO</v>
      </c>
      <c r="J120" s="2" t="str">
        <f>_xlfn.XLOOKUP($N120,'Base de Grupos'!$A:$A,'Base de Grupos'!$L:$L)</f>
        <v>1000150135</v>
      </c>
      <c r="K120" s="5" t="str">
        <f>_xlfn.XLOOKUP($N120,'Base de Grupos'!$A:$A,'Base de Grupos'!$M:$M)</f>
        <v>HELDER DA SILVA BRUNKOW</v>
      </c>
      <c r="L120" s="5" t="str">
        <f t="shared" si="132"/>
        <v/>
      </c>
      <c r="M120" s="5" t="str">
        <f>_xlfn.XLOOKUP($N120,'Base de Grupos'!$A:$A,'Base de Grupos'!$C:$C)</f>
        <v>SE</v>
      </c>
      <c r="N120" s="3">
        <v>1330</v>
      </c>
      <c r="O120" s="4" t="s">
        <v>230</v>
      </c>
      <c r="P120" s="5" t="s">
        <v>108</v>
      </c>
      <c r="Q120" s="56">
        <v>0</v>
      </c>
      <c r="R120" s="56">
        <v>0</v>
      </c>
      <c r="S120" s="56">
        <v>0</v>
      </c>
      <c r="T120" s="56">
        <f>_xlfn.XLOOKUP($N120,'Calculo Leads'!$A$97:$A$134,'Calculo Leads'!G$97:G$134)*_xlfn.XLOOKUP($P120,'Base Grupo de Produtos'!$E$2:$E$18,'Base Grupo de Produtos'!$F$2:$F$18)</f>
        <v>250</v>
      </c>
      <c r="U120" s="56">
        <f>_xlfn.XLOOKUP($N120,'Calculo Leads'!$A$97:$A$134,'Calculo Leads'!H$97:H$134)*_xlfn.XLOOKUP($P120,'Base Grupo de Produtos'!$E$2:$E$18,'Base Grupo de Produtos'!$F$2:$F$18)</f>
        <v>250</v>
      </c>
      <c r="V120" s="56">
        <f>_xlfn.XLOOKUP($N120,'Calculo Leads'!$A$97:$A$134,'Calculo Leads'!I$97:I$134)*_xlfn.XLOOKUP($P120,'Base Grupo de Produtos'!$E$2:$E$18,'Base Grupo de Produtos'!$F$2:$F$18)</f>
        <v>250</v>
      </c>
      <c r="W120" s="56">
        <f>_xlfn.XLOOKUP($N120,'Calculo Leads'!$A$97:$A$134,'Calculo Leads'!J$97:J$134)*_xlfn.XLOOKUP($P120,'Base Grupo de Produtos'!$E$2:$E$18,'Base Grupo de Produtos'!$F$2:$F$18)</f>
        <v>250</v>
      </c>
      <c r="X120" s="56">
        <f>_xlfn.XLOOKUP($N120,'Calculo Leads'!$A$97:$A$134,'Calculo Leads'!K$97:K$134)*_xlfn.XLOOKUP($P120,'Base Grupo de Produtos'!$E$2:$E$18,'Base Grupo de Produtos'!$F$2:$F$18)</f>
        <v>275</v>
      </c>
      <c r="Y120" s="56">
        <f>_xlfn.XLOOKUP($N120,'Calculo Leads'!$A$97:$A$134,'Calculo Leads'!L$97:L$134)*_xlfn.XLOOKUP($P120,'Base Grupo de Produtos'!$E$2:$E$18,'Base Grupo de Produtos'!$F$2:$F$18)</f>
        <v>550</v>
      </c>
      <c r="Z120" s="56">
        <f>_xlfn.XLOOKUP($N120,'Calculo Leads'!$A$97:$A$134,'Calculo Leads'!M$97:M$134)*_xlfn.XLOOKUP($P120,'Base Grupo de Produtos'!$E$2:$E$18,'Base Grupo de Produtos'!$F$2:$F$18)</f>
        <v>550</v>
      </c>
      <c r="AA120" s="56">
        <f>_xlfn.XLOOKUP($N120,'Calculo Leads'!$A$97:$A$134,'Calculo Leads'!N$97:N$134)*_xlfn.XLOOKUP($P120,'Base Grupo de Produtos'!$E$2:$E$18,'Base Grupo de Produtos'!$F$2:$F$18)</f>
        <v>550</v>
      </c>
      <c r="AB120" s="56">
        <f>_xlfn.XLOOKUP($N120,'Calculo Leads'!$A$97:$A$134,'Calculo Leads'!O$97:O$134)*_xlfn.XLOOKUP($P120,'Base Grupo de Produtos'!$E$2:$E$18,'Base Grupo de Produtos'!$F$2:$F$18)</f>
        <v>275</v>
      </c>
      <c r="AC120" s="61">
        <f t="shared" si="75"/>
        <v>3200</v>
      </c>
      <c r="AD120" s="27">
        <f t="shared" si="127"/>
        <v>3200</v>
      </c>
      <c r="AE120" s="25">
        <f>IFERROR(_xlfn.XLOOKUP(N120&amp;P120,'Historico Vendas'!G:G,'Historico Vendas'!E:E),0)</f>
        <v>0</v>
      </c>
      <c r="AF120" s="29" t="str">
        <f t="shared" si="130"/>
        <v/>
      </c>
      <c r="AG120" s="24">
        <f>IFERROR(_xlfn.XLOOKUP(N120&amp;P120,'Historico Vendas'!G:G,'Historico Vendas'!F:F),0)</f>
        <v>0</v>
      </c>
      <c r="AH120" s="25">
        <f t="shared" si="128"/>
        <v>0</v>
      </c>
      <c r="AI120" s="24">
        <f t="shared" si="129"/>
        <v>0</v>
      </c>
      <c r="AJ120" s="11" t="str">
        <f t="shared" si="71"/>
        <v/>
      </c>
      <c r="AK120" s="9" t="s">
        <v>102</v>
      </c>
      <c r="AL120" s="13">
        <f>IFERROR(INDEX('Balizador da Meta'!$D$3:$F$23,MATCH(Faturamento!$P120,'Balizador da Meta'!$C$3:$C$23,0),MATCH(Faturamento!AK120,'Balizador da Meta'!$D$2:$F$2,0)),"")</f>
        <v>0</v>
      </c>
      <c r="AM120" s="9"/>
    </row>
    <row r="121" spans="1:39" x14ac:dyDescent="0.3">
      <c r="A121" s="2" t="str">
        <f t="shared" si="131"/>
        <v>NÃO</v>
      </c>
      <c r="B121" s="2" t="str">
        <f>_xlfn.XLOOKUP($N121,'Base de Grupos'!$A:$A,'Base de Grupos'!$D:$D)</f>
        <v>1000065763</v>
      </c>
      <c r="C121" s="5" t="str">
        <f>_xlfn.XLOOKUP($N121,'Base de Grupos'!$A:$A,'Base de Grupos'!$E:$E)</f>
        <v>CANAL VENDA INTERNA</v>
      </c>
      <c r="D121" s="5" t="str">
        <f>_xlfn.XLOOKUP($N121,'Base de Grupos'!$A:$A,'Base de Grupos'!$F:$F)</f>
        <v>1000065763</v>
      </c>
      <c r="E121" s="2" t="str">
        <f>_xlfn.XLOOKUP($N121,'Base de Grupos'!$A:$A,'Base de Grupos'!$G:$G)</f>
        <v>CANAL VENDA INTERNA</v>
      </c>
      <c r="F121" s="2" t="str">
        <f>_xlfn.XLOOKUP($N121,'Base de Grupos'!$A:$A,'Base de Grupos'!$H:$H)</f>
        <v>1000105900</v>
      </c>
      <c r="G121" s="5" t="str">
        <f>_xlfn.XLOOKUP($N121,'Base de Grupos'!$A:$A,'Base de Grupos'!$I:$I)</f>
        <v>REGIONAL VENDA DIRETA CO + NE + NO</v>
      </c>
      <c r="H121" s="5" t="str">
        <f>_xlfn.XLOOKUP($N121,'Base de Grupos'!$A:$A,'Base de Grupos'!$J:$J)</f>
        <v>1000105900</v>
      </c>
      <c r="I121" s="2" t="str">
        <f>_xlfn.XLOOKUP($N121,'Base de Grupos'!$A:$A,'Base de Grupos'!$K:$K)</f>
        <v>REGIONAL VENDA DIRETA CO + NE + NO</v>
      </c>
      <c r="J121" s="2" t="str">
        <f>_xlfn.XLOOKUP($N121,'Base de Grupos'!$A:$A,'Base de Grupos'!$L:$L)</f>
        <v>1000150135</v>
      </c>
      <c r="K121" s="5" t="str">
        <f>_xlfn.XLOOKUP($N121,'Base de Grupos'!$A:$A,'Base de Grupos'!$M:$M)</f>
        <v>HELDER DA SILVA BRUNKOW</v>
      </c>
      <c r="L121" s="5" t="str">
        <f t="shared" si="132"/>
        <v/>
      </c>
      <c r="M121" s="5" t="str">
        <f>_xlfn.XLOOKUP($N121,'Base de Grupos'!$A:$A,'Base de Grupos'!$C:$C)</f>
        <v>SE</v>
      </c>
      <c r="N121" s="3">
        <v>1330</v>
      </c>
      <c r="O121" s="4" t="s">
        <v>230</v>
      </c>
      <c r="P121" s="5" t="s">
        <v>89</v>
      </c>
      <c r="Q121" s="56">
        <v>0</v>
      </c>
      <c r="R121" s="56">
        <v>0</v>
      </c>
      <c r="S121" s="56">
        <v>0</v>
      </c>
      <c r="T121" s="56">
        <f>_xlfn.XLOOKUP($N121,'Calculo Leads'!$A$97:$A$134,'Calculo Leads'!G$97:G$134)*_xlfn.XLOOKUP($P121,'Base Grupo de Produtos'!$E$2:$E$18,'Base Grupo de Produtos'!$F$2:$F$18)</f>
        <v>50</v>
      </c>
      <c r="U121" s="56">
        <f>_xlfn.XLOOKUP($N121,'Calculo Leads'!$A$97:$A$134,'Calculo Leads'!H$97:H$134)*_xlfn.XLOOKUP($P121,'Base Grupo de Produtos'!$E$2:$E$18,'Base Grupo de Produtos'!$F$2:$F$18)</f>
        <v>50</v>
      </c>
      <c r="V121" s="56">
        <f>_xlfn.XLOOKUP($N121,'Calculo Leads'!$A$97:$A$134,'Calculo Leads'!I$97:I$134)*_xlfn.XLOOKUP($P121,'Base Grupo de Produtos'!$E$2:$E$18,'Base Grupo de Produtos'!$F$2:$F$18)</f>
        <v>50</v>
      </c>
      <c r="W121" s="56">
        <f>_xlfn.XLOOKUP($N121,'Calculo Leads'!$A$97:$A$134,'Calculo Leads'!J$97:J$134)*_xlfn.XLOOKUP($P121,'Base Grupo de Produtos'!$E$2:$E$18,'Base Grupo de Produtos'!$F$2:$F$18)</f>
        <v>50</v>
      </c>
      <c r="X121" s="56">
        <f>_xlfn.XLOOKUP($N121,'Calculo Leads'!$A$97:$A$134,'Calculo Leads'!K$97:K$134)*_xlfn.XLOOKUP($P121,'Base Grupo de Produtos'!$E$2:$E$18,'Base Grupo de Produtos'!$F$2:$F$18)</f>
        <v>55</v>
      </c>
      <c r="Y121" s="56">
        <f>_xlfn.XLOOKUP($N121,'Calculo Leads'!$A$97:$A$134,'Calculo Leads'!L$97:L$134)*_xlfn.XLOOKUP($P121,'Base Grupo de Produtos'!$E$2:$E$18,'Base Grupo de Produtos'!$F$2:$F$18)</f>
        <v>110</v>
      </c>
      <c r="Z121" s="56">
        <f>_xlfn.XLOOKUP($N121,'Calculo Leads'!$A$97:$A$134,'Calculo Leads'!M$97:M$134)*_xlfn.XLOOKUP($P121,'Base Grupo de Produtos'!$E$2:$E$18,'Base Grupo de Produtos'!$F$2:$F$18)</f>
        <v>110</v>
      </c>
      <c r="AA121" s="56">
        <f>_xlfn.XLOOKUP($N121,'Calculo Leads'!$A$97:$A$134,'Calculo Leads'!N$97:N$134)*_xlfn.XLOOKUP($P121,'Base Grupo de Produtos'!$E$2:$E$18,'Base Grupo de Produtos'!$F$2:$F$18)</f>
        <v>110</v>
      </c>
      <c r="AB121" s="56">
        <f>_xlfn.XLOOKUP($N121,'Calculo Leads'!$A$97:$A$134,'Calculo Leads'!O$97:O$134)*_xlfn.XLOOKUP($P121,'Base Grupo de Produtos'!$E$2:$E$18,'Base Grupo de Produtos'!$F$2:$F$18)</f>
        <v>55</v>
      </c>
      <c r="AC121" s="61">
        <f t="shared" si="75"/>
        <v>640</v>
      </c>
      <c r="AD121" s="27">
        <f t="shared" si="127"/>
        <v>640</v>
      </c>
      <c r="AE121" s="25">
        <f>IFERROR(_xlfn.XLOOKUP(N121&amp;P121,'Historico Vendas'!G:G,'Historico Vendas'!E:E),0)</f>
        <v>0</v>
      </c>
      <c r="AF121" s="29" t="str">
        <f t="shared" si="130"/>
        <v/>
      </c>
      <c r="AG121" s="24">
        <f>IFERROR(_xlfn.XLOOKUP(N121&amp;P121,'Historico Vendas'!G:G,'Historico Vendas'!F:F),0)</f>
        <v>0</v>
      </c>
      <c r="AH121" s="25">
        <f t="shared" si="128"/>
        <v>0</v>
      </c>
      <c r="AI121" s="24">
        <f t="shared" si="129"/>
        <v>0</v>
      </c>
      <c r="AJ121" s="11" t="str">
        <f t="shared" ref="AJ121:AJ184" si="133">IFERROR(AG121/AH121,"")</f>
        <v/>
      </c>
      <c r="AK121" s="9" t="s">
        <v>102</v>
      </c>
      <c r="AL121" s="13">
        <f>IFERROR(INDEX('Balizador da Meta'!$D$3:$F$23,MATCH(Faturamento!$P121,'Balizador da Meta'!$C$3:$C$23,0),MATCH(Faturamento!AK121,'Balizador da Meta'!$D$2:$F$2,0)),"")</f>
        <v>0.25</v>
      </c>
      <c r="AM121" s="9"/>
    </row>
    <row r="122" spans="1:39" x14ac:dyDescent="0.3">
      <c r="A122" s="2" t="str">
        <f t="shared" si="131"/>
        <v>NÃO</v>
      </c>
      <c r="B122" s="2" t="str">
        <f>_xlfn.XLOOKUP($N122,'Base de Grupos'!$A:$A,'Base de Grupos'!$D:$D)</f>
        <v>1000065763</v>
      </c>
      <c r="C122" s="5" t="str">
        <f>_xlfn.XLOOKUP($N122,'Base de Grupos'!$A:$A,'Base de Grupos'!$E:$E)</f>
        <v>CANAL VENDA INTERNA</v>
      </c>
      <c r="D122" s="5" t="str">
        <f>_xlfn.XLOOKUP($N122,'Base de Grupos'!$A:$A,'Base de Grupos'!$F:$F)</f>
        <v>1000065763</v>
      </c>
      <c r="E122" s="2" t="str">
        <f>_xlfn.XLOOKUP($N122,'Base de Grupos'!$A:$A,'Base de Grupos'!$G:$G)</f>
        <v>CANAL VENDA INTERNA</v>
      </c>
      <c r="F122" s="2" t="str">
        <f>_xlfn.XLOOKUP($N122,'Base de Grupos'!$A:$A,'Base de Grupos'!$H:$H)</f>
        <v>1000105900</v>
      </c>
      <c r="G122" s="5" t="str">
        <f>_xlfn.XLOOKUP($N122,'Base de Grupos'!$A:$A,'Base de Grupos'!$I:$I)</f>
        <v>REGIONAL VENDA DIRETA CO + NE + NO</v>
      </c>
      <c r="H122" s="5" t="str">
        <f>_xlfn.XLOOKUP($N122,'Base de Grupos'!$A:$A,'Base de Grupos'!$J:$J)</f>
        <v>1000105900</v>
      </c>
      <c r="I122" s="2" t="str">
        <f>_xlfn.XLOOKUP($N122,'Base de Grupos'!$A:$A,'Base de Grupos'!$K:$K)</f>
        <v>REGIONAL VENDA DIRETA CO + NE + NO</v>
      </c>
      <c r="J122" s="2" t="str">
        <f>_xlfn.XLOOKUP($N122,'Base de Grupos'!$A:$A,'Base de Grupos'!$L:$L)</f>
        <v>1000150135</v>
      </c>
      <c r="K122" s="5" t="str">
        <f>_xlfn.XLOOKUP($N122,'Base de Grupos'!$A:$A,'Base de Grupos'!$M:$M)</f>
        <v>HELDER DA SILVA BRUNKOW</v>
      </c>
      <c r="L122" s="5" t="str">
        <f t="shared" si="132"/>
        <v/>
      </c>
      <c r="M122" s="5" t="str">
        <f>_xlfn.XLOOKUP($N122,'Base de Grupos'!$A:$A,'Base de Grupos'!$C:$C)</f>
        <v>SE</v>
      </c>
      <c r="N122" s="3">
        <v>1330</v>
      </c>
      <c r="O122" s="4" t="s">
        <v>230</v>
      </c>
      <c r="P122" s="5" t="s">
        <v>88</v>
      </c>
      <c r="Q122" s="56">
        <v>0</v>
      </c>
      <c r="R122" s="56">
        <v>0</v>
      </c>
      <c r="S122" s="56">
        <v>0</v>
      </c>
      <c r="T122" s="56">
        <f>_xlfn.XLOOKUP($N122,'Calculo Leads'!$A$97:$A$134,'Calculo Leads'!G$97:G$134)*_xlfn.XLOOKUP($P122,'Base Grupo de Produtos'!$E$2:$E$18,'Base Grupo de Produtos'!$F$2:$F$18)</f>
        <v>50</v>
      </c>
      <c r="U122" s="56">
        <f>_xlfn.XLOOKUP($N122,'Calculo Leads'!$A$97:$A$134,'Calculo Leads'!H$97:H$134)*_xlfn.XLOOKUP($P122,'Base Grupo de Produtos'!$E$2:$E$18,'Base Grupo de Produtos'!$F$2:$F$18)</f>
        <v>50</v>
      </c>
      <c r="V122" s="56">
        <f>_xlfn.XLOOKUP($N122,'Calculo Leads'!$A$97:$A$134,'Calculo Leads'!I$97:I$134)*_xlfn.XLOOKUP($P122,'Base Grupo de Produtos'!$E$2:$E$18,'Base Grupo de Produtos'!$F$2:$F$18)</f>
        <v>50</v>
      </c>
      <c r="W122" s="56">
        <f>_xlfn.XLOOKUP($N122,'Calculo Leads'!$A$97:$A$134,'Calculo Leads'!J$97:J$134)*_xlfn.XLOOKUP($P122,'Base Grupo de Produtos'!$E$2:$E$18,'Base Grupo de Produtos'!$F$2:$F$18)</f>
        <v>50</v>
      </c>
      <c r="X122" s="56">
        <f>_xlfn.XLOOKUP($N122,'Calculo Leads'!$A$97:$A$134,'Calculo Leads'!K$97:K$134)*_xlfn.XLOOKUP($P122,'Base Grupo de Produtos'!$E$2:$E$18,'Base Grupo de Produtos'!$F$2:$F$18)</f>
        <v>55</v>
      </c>
      <c r="Y122" s="56">
        <f>_xlfn.XLOOKUP($N122,'Calculo Leads'!$A$97:$A$134,'Calculo Leads'!L$97:L$134)*_xlfn.XLOOKUP($P122,'Base Grupo de Produtos'!$E$2:$E$18,'Base Grupo de Produtos'!$F$2:$F$18)</f>
        <v>110</v>
      </c>
      <c r="Z122" s="56">
        <f>_xlfn.XLOOKUP($N122,'Calculo Leads'!$A$97:$A$134,'Calculo Leads'!M$97:M$134)*_xlfn.XLOOKUP($P122,'Base Grupo de Produtos'!$E$2:$E$18,'Base Grupo de Produtos'!$F$2:$F$18)</f>
        <v>110</v>
      </c>
      <c r="AA122" s="56">
        <f>_xlfn.XLOOKUP($N122,'Calculo Leads'!$A$97:$A$134,'Calculo Leads'!N$97:N$134)*_xlfn.XLOOKUP($P122,'Base Grupo de Produtos'!$E$2:$E$18,'Base Grupo de Produtos'!$F$2:$F$18)</f>
        <v>110</v>
      </c>
      <c r="AB122" s="56">
        <f>_xlfn.XLOOKUP($N122,'Calculo Leads'!$A$97:$A$134,'Calculo Leads'!O$97:O$134)*_xlfn.XLOOKUP($P122,'Base Grupo de Produtos'!$E$2:$E$18,'Base Grupo de Produtos'!$F$2:$F$18)</f>
        <v>55</v>
      </c>
      <c r="AC122" s="61">
        <f t="shared" si="75"/>
        <v>640</v>
      </c>
      <c r="AD122" s="27">
        <f t="shared" si="127"/>
        <v>640</v>
      </c>
      <c r="AE122" s="25">
        <f>IFERROR(_xlfn.XLOOKUP(N122&amp;P122,'Historico Vendas'!G:G,'Historico Vendas'!E:E),0)</f>
        <v>0</v>
      </c>
      <c r="AF122" s="29" t="str">
        <f t="shared" si="130"/>
        <v/>
      </c>
      <c r="AG122" s="24">
        <f>IFERROR(_xlfn.XLOOKUP(N122&amp;P122,'Historico Vendas'!G:G,'Historico Vendas'!F:F),0)</f>
        <v>0</v>
      </c>
      <c r="AH122" s="25">
        <f t="shared" si="128"/>
        <v>0</v>
      </c>
      <c r="AI122" s="24">
        <f t="shared" si="129"/>
        <v>0</v>
      </c>
      <c r="AJ122" s="11" t="str">
        <f t="shared" si="133"/>
        <v/>
      </c>
      <c r="AK122" s="9" t="s">
        <v>102</v>
      </c>
      <c r="AL122" s="13">
        <f>IFERROR(INDEX('Balizador da Meta'!$D$3:$F$23,MATCH(Faturamento!$P122,'Balizador da Meta'!$C$3:$C$23,0),MATCH(Faturamento!AK122,'Balizador da Meta'!$D$2:$F$2,0)),"")</f>
        <v>0</v>
      </c>
      <c r="AM122" s="9"/>
    </row>
    <row r="123" spans="1:39" x14ac:dyDescent="0.3">
      <c r="A123" s="2" t="str">
        <f t="shared" si="131"/>
        <v>NÃO</v>
      </c>
      <c r="B123" s="2" t="str">
        <f>_xlfn.XLOOKUP($N123,'Base de Grupos'!$A:$A,'Base de Grupos'!$D:$D)</f>
        <v>1000065763</v>
      </c>
      <c r="C123" s="5" t="str">
        <f>_xlfn.XLOOKUP($N123,'Base de Grupos'!$A:$A,'Base de Grupos'!$E:$E)</f>
        <v>CANAL VENDA INTERNA</v>
      </c>
      <c r="D123" s="5" t="str">
        <f>_xlfn.XLOOKUP($N123,'Base de Grupos'!$A:$A,'Base de Grupos'!$F:$F)</f>
        <v>1000065763</v>
      </c>
      <c r="E123" s="2" t="str">
        <f>_xlfn.XLOOKUP($N123,'Base de Grupos'!$A:$A,'Base de Grupos'!$G:$G)</f>
        <v>CANAL VENDA INTERNA</v>
      </c>
      <c r="F123" s="2" t="str">
        <f>_xlfn.XLOOKUP($N123,'Base de Grupos'!$A:$A,'Base de Grupos'!$H:$H)</f>
        <v>1000105900</v>
      </c>
      <c r="G123" s="5" t="str">
        <f>_xlfn.XLOOKUP($N123,'Base de Grupos'!$A:$A,'Base de Grupos'!$I:$I)</f>
        <v>REGIONAL VENDA DIRETA CO + NE + NO</v>
      </c>
      <c r="H123" s="5" t="str">
        <f>_xlfn.XLOOKUP($N123,'Base de Grupos'!$A:$A,'Base de Grupos'!$J:$J)</f>
        <v>1000105900</v>
      </c>
      <c r="I123" s="2" t="str">
        <f>_xlfn.XLOOKUP($N123,'Base de Grupos'!$A:$A,'Base de Grupos'!$K:$K)</f>
        <v>REGIONAL VENDA DIRETA CO + NE + NO</v>
      </c>
      <c r="J123" s="2" t="str">
        <f>_xlfn.XLOOKUP($N123,'Base de Grupos'!$A:$A,'Base de Grupos'!$L:$L)</f>
        <v>1000150135</v>
      </c>
      <c r="K123" s="5" t="str">
        <f>_xlfn.XLOOKUP($N123,'Base de Grupos'!$A:$A,'Base de Grupos'!$M:$M)</f>
        <v>HELDER DA SILVA BRUNKOW</v>
      </c>
      <c r="L123" s="5" t="str">
        <f t="shared" si="132"/>
        <v/>
      </c>
      <c r="M123" s="5" t="str">
        <f>_xlfn.XLOOKUP($N123,'Base de Grupos'!$A:$A,'Base de Grupos'!$C:$C)</f>
        <v>SE</v>
      </c>
      <c r="N123" s="3">
        <v>1330</v>
      </c>
      <c r="O123" s="4" t="s">
        <v>230</v>
      </c>
      <c r="P123" s="5" t="s">
        <v>90</v>
      </c>
      <c r="Q123" s="56">
        <v>0</v>
      </c>
      <c r="R123" s="56">
        <v>0</v>
      </c>
      <c r="S123" s="56">
        <v>0</v>
      </c>
      <c r="T123" s="56">
        <f>_xlfn.XLOOKUP($N123,'Calculo Leads'!$A$97:$A$134,'Calculo Leads'!G$97:G$134)*_xlfn.XLOOKUP($P123,'Base Grupo de Produtos'!$E$2:$E$18,'Base Grupo de Produtos'!$F$2:$F$18)</f>
        <v>50</v>
      </c>
      <c r="U123" s="56">
        <f>_xlfn.XLOOKUP($N123,'Calculo Leads'!$A$97:$A$134,'Calculo Leads'!H$97:H$134)*_xlfn.XLOOKUP($P123,'Base Grupo de Produtos'!$E$2:$E$18,'Base Grupo de Produtos'!$F$2:$F$18)</f>
        <v>50</v>
      </c>
      <c r="V123" s="56">
        <f>_xlfn.XLOOKUP($N123,'Calculo Leads'!$A$97:$A$134,'Calculo Leads'!I$97:I$134)*_xlfn.XLOOKUP($P123,'Base Grupo de Produtos'!$E$2:$E$18,'Base Grupo de Produtos'!$F$2:$F$18)</f>
        <v>50</v>
      </c>
      <c r="W123" s="56">
        <f>_xlfn.XLOOKUP($N123,'Calculo Leads'!$A$97:$A$134,'Calculo Leads'!J$97:J$134)*_xlfn.XLOOKUP($P123,'Base Grupo de Produtos'!$E$2:$E$18,'Base Grupo de Produtos'!$F$2:$F$18)</f>
        <v>50</v>
      </c>
      <c r="X123" s="56">
        <f>_xlfn.XLOOKUP($N123,'Calculo Leads'!$A$97:$A$134,'Calculo Leads'!K$97:K$134)*_xlfn.XLOOKUP($P123,'Base Grupo de Produtos'!$E$2:$E$18,'Base Grupo de Produtos'!$F$2:$F$18)</f>
        <v>55</v>
      </c>
      <c r="Y123" s="56">
        <f>_xlfn.XLOOKUP($N123,'Calculo Leads'!$A$97:$A$134,'Calculo Leads'!L$97:L$134)*_xlfn.XLOOKUP($P123,'Base Grupo de Produtos'!$E$2:$E$18,'Base Grupo de Produtos'!$F$2:$F$18)</f>
        <v>110</v>
      </c>
      <c r="Z123" s="56">
        <f>_xlfn.XLOOKUP($N123,'Calculo Leads'!$A$97:$A$134,'Calculo Leads'!M$97:M$134)*_xlfn.XLOOKUP($P123,'Base Grupo de Produtos'!$E$2:$E$18,'Base Grupo de Produtos'!$F$2:$F$18)</f>
        <v>110</v>
      </c>
      <c r="AA123" s="56">
        <f>_xlfn.XLOOKUP($N123,'Calculo Leads'!$A$97:$A$134,'Calculo Leads'!N$97:N$134)*_xlfn.XLOOKUP($P123,'Base Grupo de Produtos'!$E$2:$E$18,'Base Grupo de Produtos'!$F$2:$F$18)</f>
        <v>110</v>
      </c>
      <c r="AB123" s="56">
        <f>_xlfn.XLOOKUP($N123,'Calculo Leads'!$A$97:$A$134,'Calculo Leads'!O$97:O$134)*_xlfn.XLOOKUP($P123,'Base Grupo de Produtos'!$E$2:$E$18,'Base Grupo de Produtos'!$F$2:$F$18)</f>
        <v>55</v>
      </c>
      <c r="AC123" s="61">
        <f t="shared" si="75"/>
        <v>640</v>
      </c>
      <c r="AD123" s="27">
        <f t="shared" si="127"/>
        <v>640</v>
      </c>
      <c r="AE123" s="25">
        <f>IFERROR(_xlfn.XLOOKUP(N123&amp;P123,'Historico Vendas'!G:G,'Historico Vendas'!E:E),0)</f>
        <v>0</v>
      </c>
      <c r="AF123" s="29" t="str">
        <f t="shared" si="130"/>
        <v/>
      </c>
      <c r="AG123" s="24">
        <f>IFERROR(_xlfn.XLOOKUP(N123&amp;P123,'Historico Vendas'!G:G,'Historico Vendas'!F:F),0)</f>
        <v>0</v>
      </c>
      <c r="AH123" s="25">
        <f t="shared" si="128"/>
        <v>0</v>
      </c>
      <c r="AI123" s="24">
        <f t="shared" si="129"/>
        <v>0</v>
      </c>
      <c r="AJ123" s="11" t="str">
        <f t="shared" si="133"/>
        <v/>
      </c>
      <c r="AK123" s="9" t="s">
        <v>102</v>
      </c>
      <c r="AL123" s="13">
        <f>IFERROR(INDEX('Balizador da Meta'!$D$3:$F$23,MATCH(Faturamento!$P123,'Balizador da Meta'!$C$3:$C$23,0),MATCH(Faturamento!AK123,'Balizador da Meta'!$D$2:$F$2,0)),"")</f>
        <v>0</v>
      </c>
      <c r="AM123" s="9"/>
    </row>
    <row r="124" spans="1:39" x14ac:dyDescent="0.3">
      <c r="A124" s="2" t="str">
        <f t="shared" si="131"/>
        <v>NÃO</v>
      </c>
      <c r="B124" s="2" t="str">
        <f>_xlfn.XLOOKUP($N124,'Base de Grupos'!$A:$A,'Base de Grupos'!$D:$D)</f>
        <v>1000065763</v>
      </c>
      <c r="C124" s="5" t="str">
        <f>_xlfn.XLOOKUP($N124,'Base de Grupos'!$A:$A,'Base de Grupos'!$E:$E)</f>
        <v>CANAL VENDA INTERNA</v>
      </c>
      <c r="D124" s="5" t="str">
        <f>_xlfn.XLOOKUP($N124,'Base de Grupos'!$A:$A,'Base de Grupos'!$F:$F)</f>
        <v>1000065763</v>
      </c>
      <c r="E124" s="2" t="str">
        <f>_xlfn.XLOOKUP($N124,'Base de Grupos'!$A:$A,'Base de Grupos'!$G:$G)</f>
        <v>CANAL VENDA INTERNA</v>
      </c>
      <c r="F124" s="2" t="str">
        <f>_xlfn.XLOOKUP($N124,'Base de Grupos'!$A:$A,'Base de Grupos'!$H:$H)</f>
        <v>1000105900</v>
      </c>
      <c r="G124" s="5" t="str">
        <f>_xlfn.XLOOKUP($N124,'Base de Grupos'!$A:$A,'Base de Grupos'!$I:$I)</f>
        <v>REGIONAL VENDA DIRETA CO + NE + NO</v>
      </c>
      <c r="H124" s="5" t="str">
        <f>_xlfn.XLOOKUP($N124,'Base de Grupos'!$A:$A,'Base de Grupos'!$J:$J)</f>
        <v>1000105900</v>
      </c>
      <c r="I124" s="2" t="str">
        <f>_xlfn.XLOOKUP($N124,'Base de Grupos'!$A:$A,'Base de Grupos'!$K:$K)</f>
        <v>REGIONAL VENDA DIRETA CO + NE + NO</v>
      </c>
      <c r="J124" s="2" t="str">
        <f>_xlfn.XLOOKUP($N124,'Base de Grupos'!$A:$A,'Base de Grupos'!$L:$L)</f>
        <v>1000150135</v>
      </c>
      <c r="K124" s="5" t="str">
        <f>_xlfn.XLOOKUP($N124,'Base de Grupos'!$A:$A,'Base de Grupos'!$M:$M)</f>
        <v>HELDER DA SILVA BRUNKOW</v>
      </c>
      <c r="L124" s="5" t="str">
        <f t="shared" si="132"/>
        <v/>
      </c>
      <c r="M124" s="5" t="str">
        <f>_xlfn.XLOOKUP($N124,'Base de Grupos'!$A:$A,'Base de Grupos'!$C:$C)</f>
        <v>SE</v>
      </c>
      <c r="N124" s="3">
        <v>1330</v>
      </c>
      <c r="O124" s="4" t="s">
        <v>230</v>
      </c>
      <c r="P124" s="5" t="s">
        <v>91</v>
      </c>
      <c r="Q124" s="56">
        <v>0</v>
      </c>
      <c r="R124" s="56">
        <v>0</v>
      </c>
      <c r="S124" s="56">
        <v>0</v>
      </c>
      <c r="T124" s="56">
        <f>_xlfn.XLOOKUP($N124,'Calculo Leads'!$A$97:$A$134,'Calculo Leads'!G$97:G$134)*_xlfn.XLOOKUP($P124,'Base Grupo de Produtos'!$E$2:$E$18,'Base Grupo de Produtos'!$F$2:$F$18)</f>
        <v>0</v>
      </c>
      <c r="U124" s="56">
        <f>_xlfn.XLOOKUP($N124,'Calculo Leads'!$A$97:$A$134,'Calculo Leads'!H$97:H$134)*_xlfn.XLOOKUP($P124,'Base Grupo de Produtos'!$E$2:$E$18,'Base Grupo de Produtos'!$F$2:$F$18)</f>
        <v>0</v>
      </c>
      <c r="V124" s="56">
        <f>_xlfn.XLOOKUP($N124,'Calculo Leads'!$A$97:$A$134,'Calculo Leads'!I$97:I$134)*_xlfn.XLOOKUP($P124,'Base Grupo de Produtos'!$E$2:$E$18,'Base Grupo de Produtos'!$F$2:$F$18)</f>
        <v>0</v>
      </c>
      <c r="W124" s="56">
        <f>_xlfn.XLOOKUP($N124,'Calculo Leads'!$A$97:$A$134,'Calculo Leads'!J$97:J$134)*_xlfn.XLOOKUP($P124,'Base Grupo de Produtos'!$E$2:$E$18,'Base Grupo de Produtos'!$F$2:$F$18)</f>
        <v>0</v>
      </c>
      <c r="X124" s="56">
        <f>_xlfn.XLOOKUP($N124,'Calculo Leads'!$A$97:$A$134,'Calculo Leads'!K$97:K$134)*_xlfn.XLOOKUP($P124,'Base Grupo de Produtos'!$E$2:$E$18,'Base Grupo de Produtos'!$F$2:$F$18)</f>
        <v>0</v>
      </c>
      <c r="Y124" s="56">
        <f>_xlfn.XLOOKUP($N124,'Calculo Leads'!$A$97:$A$134,'Calculo Leads'!L$97:L$134)*_xlfn.XLOOKUP($P124,'Base Grupo de Produtos'!$E$2:$E$18,'Base Grupo de Produtos'!$F$2:$F$18)</f>
        <v>0</v>
      </c>
      <c r="Z124" s="56">
        <f>_xlfn.XLOOKUP($N124,'Calculo Leads'!$A$97:$A$134,'Calculo Leads'!M$97:M$134)*_xlfn.XLOOKUP($P124,'Base Grupo de Produtos'!$E$2:$E$18,'Base Grupo de Produtos'!$F$2:$F$18)</f>
        <v>0</v>
      </c>
      <c r="AA124" s="56">
        <f>_xlfn.XLOOKUP($N124,'Calculo Leads'!$A$97:$A$134,'Calculo Leads'!N$97:N$134)*_xlfn.XLOOKUP($P124,'Base Grupo de Produtos'!$E$2:$E$18,'Base Grupo de Produtos'!$F$2:$F$18)</f>
        <v>0</v>
      </c>
      <c r="AB124" s="56">
        <f>_xlfn.XLOOKUP($N124,'Calculo Leads'!$A$97:$A$134,'Calculo Leads'!O$97:O$134)*_xlfn.XLOOKUP($P124,'Base Grupo de Produtos'!$E$2:$E$18,'Base Grupo de Produtos'!$F$2:$F$18)</f>
        <v>0</v>
      </c>
      <c r="AC124" s="61">
        <f t="shared" si="75"/>
        <v>0</v>
      </c>
      <c r="AD124" s="27">
        <f t="shared" si="127"/>
        <v>0</v>
      </c>
      <c r="AE124" s="25">
        <f>IFERROR(_xlfn.XLOOKUP(N124&amp;P124,'Historico Vendas'!G:G,'Historico Vendas'!E:E),0)</f>
        <v>0</v>
      </c>
      <c r="AF124" s="29" t="str">
        <f t="shared" si="130"/>
        <v/>
      </c>
      <c r="AG124" s="24">
        <f>IFERROR(_xlfn.XLOOKUP(N124&amp;P124,'Historico Vendas'!G:G,'Historico Vendas'!F:F),0)</f>
        <v>0</v>
      </c>
      <c r="AH124" s="25">
        <f t="shared" si="128"/>
        <v>0</v>
      </c>
      <c r="AI124" s="24">
        <f t="shared" si="129"/>
        <v>0</v>
      </c>
      <c r="AJ124" s="11" t="str">
        <f t="shared" si="133"/>
        <v/>
      </c>
      <c r="AK124" s="9" t="s">
        <v>102</v>
      </c>
      <c r="AL124" s="13">
        <f>IFERROR(INDEX('Balizador da Meta'!$D$3:$F$23,MATCH(Faturamento!$P124,'Balizador da Meta'!$C$3:$C$23,0),MATCH(Faturamento!AK124,'Balizador da Meta'!$D$2:$F$2,0)),"")</f>
        <v>0</v>
      </c>
      <c r="AM124" s="9"/>
    </row>
    <row r="125" spans="1:39" x14ac:dyDescent="0.3">
      <c r="A125" s="2" t="str">
        <f t="shared" si="131"/>
        <v>NÃO</v>
      </c>
      <c r="B125" s="2" t="str">
        <f>_xlfn.XLOOKUP($N125,'Base de Grupos'!$A:$A,'Base de Grupos'!$D:$D)</f>
        <v>1000065763</v>
      </c>
      <c r="C125" s="5" t="str">
        <f>_xlfn.XLOOKUP($N125,'Base de Grupos'!$A:$A,'Base de Grupos'!$E:$E)</f>
        <v>CANAL VENDA INTERNA</v>
      </c>
      <c r="D125" s="5" t="str">
        <f>_xlfn.XLOOKUP($N125,'Base de Grupos'!$A:$A,'Base de Grupos'!$F:$F)</f>
        <v>1000065763</v>
      </c>
      <c r="E125" s="2" t="str">
        <f>_xlfn.XLOOKUP($N125,'Base de Grupos'!$A:$A,'Base de Grupos'!$G:$G)</f>
        <v>CANAL VENDA INTERNA</v>
      </c>
      <c r="F125" s="2" t="str">
        <f>_xlfn.XLOOKUP($N125,'Base de Grupos'!$A:$A,'Base de Grupos'!$H:$H)</f>
        <v>1000105900</v>
      </c>
      <c r="G125" s="5" t="str">
        <f>_xlfn.XLOOKUP($N125,'Base de Grupos'!$A:$A,'Base de Grupos'!$I:$I)</f>
        <v>REGIONAL VENDA DIRETA CO + NE + NO</v>
      </c>
      <c r="H125" s="5" t="str">
        <f>_xlfn.XLOOKUP($N125,'Base de Grupos'!$A:$A,'Base de Grupos'!$J:$J)</f>
        <v>1000105900</v>
      </c>
      <c r="I125" s="2" t="str">
        <f>_xlfn.XLOOKUP($N125,'Base de Grupos'!$A:$A,'Base de Grupos'!$K:$K)</f>
        <v>REGIONAL VENDA DIRETA CO + NE + NO</v>
      </c>
      <c r="J125" s="2" t="str">
        <f>_xlfn.XLOOKUP($N125,'Base de Grupos'!$A:$A,'Base de Grupos'!$L:$L)</f>
        <v>1000150135</v>
      </c>
      <c r="K125" s="5" t="str">
        <f>_xlfn.XLOOKUP($N125,'Base de Grupos'!$A:$A,'Base de Grupos'!$M:$M)</f>
        <v>HELDER DA SILVA BRUNKOW</v>
      </c>
      <c r="L125" s="5" t="str">
        <f t="shared" si="132"/>
        <v/>
      </c>
      <c r="M125" s="5" t="str">
        <f>_xlfn.XLOOKUP($N125,'Base de Grupos'!$A:$A,'Base de Grupos'!$C:$C)</f>
        <v>SE</v>
      </c>
      <c r="N125" s="3">
        <v>1330</v>
      </c>
      <c r="O125" s="4" t="s">
        <v>230</v>
      </c>
      <c r="P125" s="5" t="s">
        <v>96</v>
      </c>
      <c r="Q125" s="56">
        <v>0</v>
      </c>
      <c r="R125" s="56">
        <v>0</v>
      </c>
      <c r="S125" s="56">
        <v>0</v>
      </c>
      <c r="T125" s="56">
        <f>_xlfn.XLOOKUP($N125,'Calculo Leads'!$A$97:$A$134,'Calculo Leads'!G$97:G$134)*_xlfn.XLOOKUP($P125,'Base Grupo de Produtos'!$E$2:$E$18,'Base Grupo de Produtos'!$F$2:$F$18)</f>
        <v>70</v>
      </c>
      <c r="U125" s="56">
        <f>_xlfn.XLOOKUP($N125,'Calculo Leads'!$A$97:$A$134,'Calculo Leads'!H$97:H$134)*_xlfn.XLOOKUP($P125,'Base Grupo de Produtos'!$E$2:$E$18,'Base Grupo de Produtos'!$F$2:$F$18)</f>
        <v>70</v>
      </c>
      <c r="V125" s="56">
        <f>_xlfn.XLOOKUP($N125,'Calculo Leads'!$A$97:$A$134,'Calculo Leads'!I$97:I$134)*_xlfn.XLOOKUP($P125,'Base Grupo de Produtos'!$E$2:$E$18,'Base Grupo de Produtos'!$F$2:$F$18)</f>
        <v>70</v>
      </c>
      <c r="W125" s="56">
        <f>_xlfn.XLOOKUP($N125,'Calculo Leads'!$A$97:$A$134,'Calculo Leads'!J$97:J$134)*_xlfn.XLOOKUP($P125,'Base Grupo de Produtos'!$E$2:$E$18,'Base Grupo de Produtos'!$F$2:$F$18)</f>
        <v>70</v>
      </c>
      <c r="X125" s="56">
        <f>_xlfn.XLOOKUP($N125,'Calculo Leads'!$A$97:$A$134,'Calculo Leads'!K$97:K$134)*_xlfn.XLOOKUP($P125,'Base Grupo de Produtos'!$E$2:$E$18,'Base Grupo de Produtos'!$F$2:$F$18)</f>
        <v>77.000000000000014</v>
      </c>
      <c r="Y125" s="56">
        <f>_xlfn.XLOOKUP($N125,'Calculo Leads'!$A$97:$A$134,'Calculo Leads'!L$97:L$134)*_xlfn.XLOOKUP($P125,'Base Grupo de Produtos'!$E$2:$E$18,'Base Grupo de Produtos'!$F$2:$F$18)</f>
        <v>154.00000000000003</v>
      </c>
      <c r="Z125" s="56">
        <f>_xlfn.XLOOKUP($N125,'Calculo Leads'!$A$97:$A$134,'Calculo Leads'!M$97:M$134)*_xlfn.XLOOKUP($P125,'Base Grupo de Produtos'!$E$2:$E$18,'Base Grupo de Produtos'!$F$2:$F$18)</f>
        <v>154.00000000000003</v>
      </c>
      <c r="AA125" s="56">
        <f>_xlfn.XLOOKUP($N125,'Calculo Leads'!$A$97:$A$134,'Calculo Leads'!N$97:N$134)*_xlfn.XLOOKUP($P125,'Base Grupo de Produtos'!$E$2:$E$18,'Base Grupo de Produtos'!$F$2:$F$18)</f>
        <v>154.00000000000003</v>
      </c>
      <c r="AB125" s="56">
        <f>_xlfn.XLOOKUP($N125,'Calculo Leads'!$A$97:$A$134,'Calculo Leads'!O$97:O$134)*_xlfn.XLOOKUP($P125,'Base Grupo de Produtos'!$E$2:$E$18,'Base Grupo de Produtos'!$F$2:$F$18)</f>
        <v>77.000000000000014</v>
      </c>
      <c r="AC125" s="61">
        <f t="shared" si="75"/>
        <v>896</v>
      </c>
      <c r="AD125" s="27">
        <f t="shared" si="127"/>
        <v>896</v>
      </c>
      <c r="AE125" s="25">
        <f>IFERROR(_xlfn.XLOOKUP(N125&amp;P125,'Historico Vendas'!G:G,'Historico Vendas'!E:E),0)</f>
        <v>0</v>
      </c>
      <c r="AF125" s="29" t="str">
        <f t="shared" si="130"/>
        <v/>
      </c>
      <c r="AG125" s="24">
        <f>IFERROR(_xlfn.XLOOKUP(N125&amp;P125,'Historico Vendas'!G:G,'Historico Vendas'!F:F),0)</f>
        <v>0</v>
      </c>
      <c r="AH125" s="25">
        <f t="shared" si="128"/>
        <v>0</v>
      </c>
      <c r="AI125" s="24">
        <f t="shared" si="129"/>
        <v>0</v>
      </c>
      <c r="AJ125" s="11" t="str">
        <f t="shared" si="133"/>
        <v/>
      </c>
      <c r="AK125" s="9" t="s">
        <v>102</v>
      </c>
      <c r="AL125" s="13">
        <f>IFERROR(INDEX('Balizador da Meta'!$D$3:$F$23,MATCH(Faturamento!$P125,'Balizador da Meta'!$C$3:$C$23,0),MATCH(Faturamento!AK125,'Balizador da Meta'!$D$2:$F$2,0)),"")</f>
        <v>0</v>
      </c>
      <c r="AM125" s="9"/>
    </row>
    <row r="126" spans="1:39" x14ac:dyDescent="0.3">
      <c r="A126" s="2" t="str">
        <f t="shared" si="131"/>
        <v>NÃO</v>
      </c>
      <c r="B126" s="2" t="str">
        <f>_xlfn.XLOOKUP($N126,'Base de Grupos'!$A:$A,'Base de Grupos'!$D:$D)</f>
        <v>1000065763</v>
      </c>
      <c r="C126" s="5" t="str">
        <f>_xlfn.XLOOKUP($N126,'Base de Grupos'!$A:$A,'Base de Grupos'!$E:$E)</f>
        <v>CANAL VENDA INTERNA</v>
      </c>
      <c r="D126" s="5" t="str">
        <f>_xlfn.XLOOKUP($N126,'Base de Grupos'!$A:$A,'Base de Grupos'!$F:$F)</f>
        <v>1000065763</v>
      </c>
      <c r="E126" s="2" t="str">
        <f>_xlfn.XLOOKUP($N126,'Base de Grupos'!$A:$A,'Base de Grupos'!$G:$G)</f>
        <v>CANAL VENDA INTERNA</v>
      </c>
      <c r="F126" s="2" t="str">
        <f>_xlfn.XLOOKUP($N126,'Base de Grupos'!$A:$A,'Base de Grupos'!$H:$H)</f>
        <v>1000105900</v>
      </c>
      <c r="G126" s="5" t="str">
        <f>_xlfn.XLOOKUP($N126,'Base de Grupos'!$A:$A,'Base de Grupos'!$I:$I)</f>
        <v>REGIONAL VENDA DIRETA CO + NE + NO</v>
      </c>
      <c r="H126" s="5" t="str">
        <f>_xlfn.XLOOKUP($N126,'Base de Grupos'!$A:$A,'Base de Grupos'!$J:$J)</f>
        <v>1000105900</v>
      </c>
      <c r="I126" s="2" t="str">
        <f>_xlfn.XLOOKUP($N126,'Base de Grupos'!$A:$A,'Base de Grupos'!$K:$K)</f>
        <v>REGIONAL VENDA DIRETA CO + NE + NO</v>
      </c>
      <c r="J126" s="2" t="str">
        <f>_xlfn.XLOOKUP($N126,'Base de Grupos'!$A:$A,'Base de Grupos'!$L:$L)</f>
        <v>1000150135</v>
      </c>
      <c r="K126" s="5" t="str">
        <f>_xlfn.XLOOKUP($N126,'Base de Grupos'!$A:$A,'Base de Grupos'!$M:$M)</f>
        <v>HELDER DA SILVA BRUNKOW</v>
      </c>
      <c r="L126" s="5" t="str">
        <f t="shared" si="132"/>
        <v/>
      </c>
      <c r="M126" s="5" t="str">
        <f>_xlfn.XLOOKUP($N126,'Base de Grupos'!$A:$A,'Base de Grupos'!$C:$C)</f>
        <v>SE</v>
      </c>
      <c r="N126" s="3">
        <v>1330</v>
      </c>
      <c r="O126" s="4" t="s">
        <v>230</v>
      </c>
      <c r="P126" s="5" t="s">
        <v>94</v>
      </c>
      <c r="Q126" s="56">
        <v>0</v>
      </c>
      <c r="R126" s="56">
        <v>0</v>
      </c>
      <c r="S126" s="56">
        <v>0</v>
      </c>
      <c r="T126" s="56">
        <f>_xlfn.XLOOKUP($N126,'Calculo Leads'!$A$97:$A$134,'Calculo Leads'!G$97:G$134)*_xlfn.XLOOKUP($P126,'Base Grupo de Produtos'!$E$2:$E$18,'Base Grupo de Produtos'!$F$2:$F$18)</f>
        <v>49.999999999999993</v>
      </c>
      <c r="U126" s="56">
        <f>_xlfn.XLOOKUP($N126,'Calculo Leads'!$A$97:$A$134,'Calculo Leads'!H$97:H$134)*_xlfn.XLOOKUP($P126,'Base Grupo de Produtos'!$E$2:$E$18,'Base Grupo de Produtos'!$F$2:$F$18)</f>
        <v>49.999999999999993</v>
      </c>
      <c r="V126" s="56">
        <f>_xlfn.XLOOKUP($N126,'Calculo Leads'!$A$97:$A$134,'Calculo Leads'!I$97:I$134)*_xlfn.XLOOKUP($P126,'Base Grupo de Produtos'!$E$2:$E$18,'Base Grupo de Produtos'!$F$2:$F$18)</f>
        <v>49.999999999999993</v>
      </c>
      <c r="W126" s="56">
        <f>_xlfn.XLOOKUP($N126,'Calculo Leads'!$A$97:$A$134,'Calculo Leads'!J$97:J$134)*_xlfn.XLOOKUP($P126,'Base Grupo de Produtos'!$E$2:$E$18,'Base Grupo de Produtos'!$F$2:$F$18)</f>
        <v>49.999999999999993</v>
      </c>
      <c r="X126" s="56">
        <f>_xlfn.XLOOKUP($N126,'Calculo Leads'!$A$97:$A$134,'Calculo Leads'!K$97:K$134)*_xlfn.XLOOKUP($P126,'Base Grupo de Produtos'!$E$2:$E$18,'Base Grupo de Produtos'!$F$2:$F$18)</f>
        <v>54.999999999999993</v>
      </c>
      <c r="Y126" s="56">
        <f>_xlfn.XLOOKUP($N126,'Calculo Leads'!$A$97:$A$134,'Calculo Leads'!L$97:L$134)*_xlfn.XLOOKUP($P126,'Base Grupo de Produtos'!$E$2:$E$18,'Base Grupo de Produtos'!$F$2:$F$18)</f>
        <v>109.99999999999999</v>
      </c>
      <c r="Z126" s="56">
        <f>_xlfn.XLOOKUP($N126,'Calculo Leads'!$A$97:$A$134,'Calculo Leads'!M$97:M$134)*_xlfn.XLOOKUP($P126,'Base Grupo de Produtos'!$E$2:$E$18,'Base Grupo de Produtos'!$F$2:$F$18)</f>
        <v>109.99999999999999</v>
      </c>
      <c r="AA126" s="56">
        <f>_xlfn.XLOOKUP($N126,'Calculo Leads'!$A$97:$A$134,'Calculo Leads'!N$97:N$134)*_xlfn.XLOOKUP($P126,'Base Grupo de Produtos'!$E$2:$E$18,'Base Grupo de Produtos'!$F$2:$F$18)</f>
        <v>109.99999999999999</v>
      </c>
      <c r="AB126" s="56">
        <f>_xlfn.XLOOKUP($N126,'Calculo Leads'!$A$97:$A$134,'Calculo Leads'!O$97:O$134)*_xlfn.XLOOKUP($P126,'Base Grupo de Produtos'!$E$2:$E$18,'Base Grupo de Produtos'!$F$2:$F$18)</f>
        <v>54.999999999999993</v>
      </c>
      <c r="AC126" s="61">
        <f t="shared" si="75"/>
        <v>639.99999999999989</v>
      </c>
      <c r="AD126" s="27">
        <f t="shared" si="127"/>
        <v>639.99999999999989</v>
      </c>
      <c r="AE126" s="25">
        <f>IFERROR(_xlfn.XLOOKUP(N126&amp;P126,'Historico Vendas'!G:G,'Historico Vendas'!E:E),0)</f>
        <v>0</v>
      </c>
      <c r="AF126" s="29" t="str">
        <f t="shared" si="130"/>
        <v/>
      </c>
      <c r="AG126" s="24">
        <f>IFERROR(_xlfn.XLOOKUP(N126&amp;P126,'Historico Vendas'!G:G,'Historico Vendas'!F:F),0)</f>
        <v>0</v>
      </c>
      <c r="AH126" s="25">
        <f t="shared" si="128"/>
        <v>0</v>
      </c>
      <c r="AI126" s="24">
        <f t="shared" si="129"/>
        <v>0</v>
      </c>
      <c r="AJ126" s="11" t="str">
        <f t="shared" si="133"/>
        <v/>
      </c>
      <c r="AK126" s="9" t="s">
        <v>102</v>
      </c>
      <c r="AL126" s="13">
        <f>IFERROR(INDEX('Balizador da Meta'!$D$3:$F$23,MATCH(Faturamento!$P126,'Balizador da Meta'!$C$3:$C$23,0),MATCH(Faturamento!AK126,'Balizador da Meta'!$D$2:$F$2,0)),"")</f>
        <v>0.25</v>
      </c>
      <c r="AM126" s="9"/>
    </row>
    <row r="127" spans="1:39" x14ac:dyDescent="0.3">
      <c r="A127" s="2" t="str">
        <f t="shared" si="131"/>
        <v>NÃO</v>
      </c>
      <c r="B127" s="2" t="str">
        <f>_xlfn.XLOOKUP($N127,'Base de Grupos'!$A:$A,'Base de Grupos'!$D:$D)</f>
        <v>1000065763</v>
      </c>
      <c r="C127" s="5" t="str">
        <f>_xlfn.XLOOKUP($N127,'Base de Grupos'!$A:$A,'Base de Grupos'!$E:$E)</f>
        <v>CANAL VENDA INTERNA</v>
      </c>
      <c r="D127" s="5" t="str">
        <f>_xlfn.XLOOKUP($N127,'Base de Grupos'!$A:$A,'Base de Grupos'!$F:$F)</f>
        <v>1000065763</v>
      </c>
      <c r="E127" s="2" t="str">
        <f>_xlfn.XLOOKUP($N127,'Base de Grupos'!$A:$A,'Base de Grupos'!$G:$G)</f>
        <v>CANAL VENDA INTERNA</v>
      </c>
      <c r="F127" s="2" t="str">
        <f>_xlfn.XLOOKUP($N127,'Base de Grupos'!$A:$A,'Base de Grupos'!$H:$H)</f>
        <v>1000105900</v>
      </c>
      <c r="G127" s="5" t="str">
        <f>_xlfn.XLOOKUP($N127,'Base de Grupos'!$A:$A,'Base de Grupos'!$I:$I)</f>
        <v>REGIONAL VENDA DIRETA CO + NE + NO</v>
      </c>
      <c r="H127" s="5" t="str">
        <f>_xlfn.XLOOKUP($N127,'Base de Grupos'!$A:$A,'Base de Grupos'!$J:$J)</f>
        <v>1000105900</v>
      </c>
      <c r="I127" s="2" t="str">
        <f>_xlfn.XLOOKUP($N127,'Base de Grupos'!$A:$A,'Base de Grupos'!$K:$K)</f>
        <v>REGIONAL VENDA DIRETA CO + NE + NO</v>
      </c>
      <c r="J127" s="2" t="str">
        <f>_xlfn.XLOOKUP($N127,'Base de Grupos'!$A:$A,'Base de Grupos'!$L:$L)</f>
        <v>1000150135</v>
      </c>
      <c r="K127" s="5" t="str">
        <f>_xlfn.XLOOKUP($N127,'Base de Grupos'!$A:$A,'Base de Grupos'!$M:$M)</f>
        <v>HELDER DA SILVA BRUNKOW</v>
      </c>
      <c r="L127" s="5" t="str">
        <f t="shared" si="132"/>
        <v/>
      </c>
      <c r="M127" s="5" t="str">
        <f>_xlfn.XLOOKUP($N127,'Base de Grupos'!$A:$A,'Base de Grupos'!$C:$C)</f>
        <v>SE</v>
      </c>
      <c r="N127" s="3">
        <v>1330</v>
      </c>
      <c r="O127" s="4" t="s">
        <v>230</v>
      </c>
      <c r="P127" s="5" t="s">
        <v>95</v>
      </c>
      <c r="Q127" s="56">
        <v>0</v>
      </c>
      <c r="R127" s="56">
        <v>0</v>
      </c>
      <c r="S127" s="56">
        <v>0</v>
      </c>
      <c r="T127" s="56">
        <f>_xlfn.XLOOKUP($N127,'Calculo Leads'!$A$97:$A$134,'Calculo Leads'!G$97:G$134)*_xlfn.XLOOKUP($P127,'Base Grupo de Produtos'!$E$2:$E$18,'Base Grupo de Produtos'!$F$2:$F$18)</f>
        <v>80</v>
      </c>
      <c r="U127" s="56">
        <f>_xlfn.XLOOKUP($N127,'Calculo Leads'!$A$97:$A$134,'Calculo Leads'!H$97:H$134)*_xlfn.XLOOKUP($P127,'Base Grupo de Produtos'!$E$2:$E$18,'Base Grupo de Produtos'!$F$2:$F$18)</f>
        <v>80</v>
      </c>
      <c r="V127" s="56">
        <f>_xlfn.XLOOKUP($N127,'Calculo Leads'!$A$97:$A$134,'Calculo Leads'!I$97:I$134)*_xlfn.XLOOKUP($P127,'Base Grupo de Produtos'!$E$2:$E$18,'Base Grupo de Produtos'!$F$2:$F$18)</f>
        <v>80</v>
      </c>
      <c r="W127" s="56">
        <f>_xlfn.XLOOKUP($N127,'Calculo Leads'!$A$97:$A$134,'Calculo Leads'!J$97:J$134)*_xlfn.XLOOKUP($P127,'Base Grupo de Produtos'!$E$2:$E$18,'Base Grupo de Produtos'!$F$2:$F$18)</f>
        <v>80</v>
      </c>
      <c r="X127" s="56">
        <f>_xlfn.XLOOKUP($N127,'Calculo Leads'!$A$97:$A$134,'Calculo Leads'!K$97:K$134)*_xlfn.XLOOKUP($P127,'Base Grupo de Produtos'!$E$2:$E$18,'Base Grupo de Produtos'!$F$2:$F$18)</f>
        <v>88</v>
      </c>
      <c r="Y127" s="56">
        <f>_xlfn.XLOOKUP($N127,'Calculo Leads'!$A$97:$A$134,'Calculo Leads'!L$97:L$134)*_xlfn.XLOOKUP($P127,'Base Grupo de Produtos'!$E$2:$E$18,'Base Grupo de Produtos'!$F$2:$F$18)</f>
        <v>176</v>
      </c>
      <c r="Z127" s="56">
        <f>_xlfn.XLOOKUP($N127,'Calculo Leads'!$A$97:$A$134,'Calculo Leads'!M$97:M$134)*_xlfn.XLOOKUP($P127,'Base Grupo de Produtos'!$E$2:$E$18,'Base Grupo de Produtos'!$F$2:$F$18)</f>
        <v>176</v>
      </c>
      <c r="AA127" s="56">
        <f>_xlfn.XLOOKUP($N127,'Calculo Leads'!$A$97:$A$134,'Calculo Leads'!N$97:N$134)*_xlfn.XLOOKUP($P127,'Base Grupo de Produtos'!$E$2:$E$18,'Base Grupo de Produtos'!$F$2:$F$18)</f>
        <v>176</v>
      </c>
      <c r="AB127" s="56">
        <f>_xlfn.XLOOKUP($N127,'Calculo Leads'!$A$97:$A$134,'Calculo Leads'!O$97:O$134)*_xlfn.XLOOKUP($P127,'Base Grupo de Produtos'!$E$2:$E$18,'Base Grupo de Produtos'!$F$2:$F$18)</f>
        <v>88</v>
      </c>
      <c r="AC127" s="61">
        <f t="shared" si="75"/>
        <v>1024</v>
      </c>
      <c r="AD127" s="27">
        <f t="shared" si="127"/>
        <v>1024</v>
      </c>
      <c r="AE127" s="25">
        <f>IFERROR(_xlfn.XLOOKUP(N127&amp;P127,'Historico Vendas'!G:G,'Historico Vendas'!E:E),0)</f>
        <v>0</v>
      </c>
      <c r="AF127" s="29" t="str">
        <f t="shared" si="130"/>
        <v/>
      </c>
      <c r="AG127" s="24">
        <f>IFERROR(_xlfn.XLOOKUP(N127&amp;P127,'Historico Vendas'!G:G,'Historico Vendas'!F:F),0)</f>
        <v>0</v>
      </c>
      <c r="AH127" s="25">
        <f t="shared" si="128"/>
        <v>0</v>
      </c>
      <c r="AI127" s="24">
        <f t="shared" si="129"/>
        <v>0</v>
      </c>
      <c r="AJ127" s="11" t="str">
        <f t="shared" si="133"/>
        <v/>
      </c>
      <c r="AK127" s="9" t="s">
        <v>102</v>
      </c>
      <c r="AL127" s="13">
        <f>IFERROR(INDEX('Balizador da Meta'!$D$3:$F$23,MATCH(Faturamento!$P127,'Balizador da Meta'!$C$3:$C$23,0),MATCH(Faturamento!AK127,'Balizador da Meta'!$D$2:$F$2,0)),"")</f>
        <v>0.25</v>
      </c>
      <c r="AM127" s="9"/>
    </row>
    <row r="128" spans="1:39" x14ac:dyDescent="0.3">
      <c r="A128" s="2" t="str">
        <f t="shared" si="131"/>
        <v>NÃO</v>
      </c>
      <c r="B128" s="2" t="str">
        <f>_xlfn.XLOOKUP($N128,'Base de Grupos'!$A:$A,'Base de Grupos'!$D:$D)</f>
        <v>1000065763</v>
      </c>
      <c r="C128" s="5" t="str">
        <f>_xlfn.XLOOKUP($N128,'Base de Grupos'!$A:$A,'Base de Grupos'!$E:$E)</f>
        <v>CANAL VENDA INTERNA</v>
      </c>
      <c r="D128" s="5" t="str">
        <f>_xlfn.XLOOKUP($N128,'Base de Grupos'!$A:$A,'Base de Grupos'!$F:$F)</f>
        <v>1000065763</v>
      </c>
      <c r="E128" s="2" t="str">
        <f>_xlfn.XLOOKUP($N128,'Base de Grupos'!$A:$A,'Base de Grupos'!$G:$G)</f>
        <v>CANAL VENDA INTERNA</v>
      </c>
      <c r="F128" s="2" t="str">
        <f>_xlfn.XLOOKUP($N128,'Base de Grupos'!$A:$A,'Base de Grupos'!$H:$H)</f>
        <v>1000105900</v>
      </c>
      <c r="G128" s="5" t="str">
        <f>_xlfn.XLOOKUP($N128,'Base de Grupos'!$A:$A,'Base de Grupos'!$I:$I)</f>
        <v>REGIONAL VENDA DIRETA CO + NE + NO</v>
      </c>
      <c r="H128" s="5" t="str">
        <f>_xlfn.XLOOKUP($N128,'Base de Grupos'!$A:$A,'Base de Grupos'!$J:$J)</f>
        <v>1000105900</v>
      </c>
      <c r="I128" s="2" t="str">
        <f>_xlfn.XLOOKUP($N128,'Base de Grupos'!$A:$A,'Base de Grupos'!$K:$K)</f>
        <v>REGIONAL VENDA DIRETA CO + NE + NO</v>
      </c>
      <c r="J128" s="2" t="str">
        <f>_xlfn.XLOOKUP($N128,'Base de Grupos'!$A:$A,'Base de Grupos'!$L:$L)</f>
        <v>1000150135</v>
      </c>
      <c r="K128" s="5" t="str">
        <f>_xlfn.XLOOKUP($N128,'Base de Grupos'!$A:$A,'Base de Grupos'!$M:$M)</f>
        <v>HELDER DA SILVA BRUNKOW</v>
      </c>
      <c r="L128" s="5" t="str">
        <f t="shared" si="132"/>
        <v/>
      </c>
      <c r="M128" s="5" t="str">
        <f>_xlfn.XLOOKUP($N128,'Base de Grupos'!$A:$A,'Base de Grupos'!$C:$C)</f>
        <v>SE</v>
      </c>
      <c r="N128" s="3">
        <v>1330</v>
      </c>
      <c r="O128" s="4" t="s">
        <v>230</v>
      </c>
      <c r="P128" s="5" t="s">
        <v>93</v>
      </c>
      <c r="Q128" s="56">
        <v>0</v>
      </c>
      <c r="R128" s="56">
        <v>0</v>
      </c>
      <c r="S128" s="56">
        <v>0</v>
      </c>
      <c r="T128" s="56">
        <f>_xlfn.XLOOKUP($N128,'Calculo Leads'!$A$97:$A$134,'Calculo Leads'!G$97:G$134)*_xlfn.XLOOKUP($P128,'Base Grupo de Produtos'!$E$2:$E$18,'Base Grupo de Produtos'!$F$2:$F$18)</f>
        <v>30</v>
      </c>
      <c r="U128" s="56">
        <f>_xlfn.XLOOKUP($N128,'Calculo Leads'!$A$97:$A$134,'Calculo Leads'!H$97:H$134)*_xlfn.XLOOKUP($P128,'Base Grupo de Produtos'!$E$2:$E$18,'Base Grupo de Produtos'!$F$2:$F$18)</f>
        <v>30</v>
      </c>
      <c r="V128" s="56">
        <f>_xlfn.XLOOKUP($N128,'Calculo Leads'!$A$97:$A$134,'Calculo Leads'!I$97:I$134)*_xlfn.XLOOKUP($P128,'Base Grupo de Produtos'!$E$2:$E$18,'Base Grupo de Produtos'!$F$2:$F$18)</f>
        <v>30</v>
      </c>
      <c r="W128" s="56">
        <f>_xlfn.XLOOKUP($N128,'Calculo Leads'!$A$97:$A$134,'Calculo Leads'!J$97:J$134)*_xlfn.XLOOKUP($P128,'Base Grupo de Produtos'!$E$2:$E$18,'Base Grupo de Produtos'!$F$2:$F$18)</f>
        <v>30</v>
      </c>
      <c r="X128" s="56">
        <f>_xlfn.XLOOKUP($N128,'Calculo Leads'!$A$97:$A$134,'Calculo Leads'!K$97:K$134)*_xlfn.XLOOKUP($P128,'Base Grupo de Produtos'!$E$2:$E$18,'Base Grupo de Produtos'!$F$2:$F$18)</f>
        <v>33</v>
      </c>
      <c r="Y128" s="56">
        <f>_xlfn.XLOOKUP($N128,'Calculo Leads'!$A$97:$A$134,'Calculo Leads'!L$97:L$134)*_xlfn.XLOOKUP($P128,'Base Grupo de Produtos'!$E$2:$E$18,'Base Grupo de Produtos'!$F$2:$F$18)</f>
        <v>66</v>
      </c>
      <c r="Z128" s="56">
        <f>_xlfn.XLOOKUP($N128,'Calculo Leads'!$A$97:$A$134,'Calculo Leads'!M$97:M$134)*_xlfn.XLOOKUP($P128,'Base Grupo de Produtos'!$E$2:$E$18,'Base Grupo de Produtos'!$F$2:$F$18)</f>
        <v>66</v>
      </c>
      <c r="AA128" s="56">
        <f>_xlfn.XLOOKUP($N128,'Calculo Leads'!$A$97:$A$134,'Calculo Leads'!N$97:N$134)*_xlfn.XLOOKUP($P128,'Base Grupo de Produtos'!$E$2:$E$18,'Base Grupo de Produtos'!$F$2:$F$18)</f>
        <v>66</v>
      </c>
      <c r="AB128" s="56">
        <f>_xlfn.XLOOKUP($N128,'Calculo Leads'!$A$97:$A$134,'Calculo Leads'!O$97:O$134)*_xlfn.XLOOKUP($P128,'Base Grupo de Produtos'!$E$2:$E$18,'Base Grupo de Produtos'!$F$2:$F$18)</f>
        <v>33</v>
      </c>
      <c r="AC128" s="61">
        <f t="shared" si="75"/>
        <v>384</v>
      </c>
      <c r="AD128" s="27">
        <f t="shared" si="127"/>
        <v>384</v>
      </c>
      <c r="AE128" s="25">
        <f>IFERROR(_xlfn.XLOOKUP(N128&amp;P128,'Historico Vendas'!G:G,'Historico Vendas'!E:E),0)</f>
        <v>0</v>
      </c>
      <c r="AF128" s="29" t="str">
        <f t="shared" si="130"/>
        <v/>
      </c>
      <c r="AG128" s="24">
        <f>IFERROR(_xlfn.XLOOKUP(N128&amp;P128,'Historico Vendas'!G:G,'Historico Vendas'!F:F),0)</f>
        <v>0</v>
      </c>
      <c r="AH128" s="25">
        <f t="shared" si="128"/>
        <v>0</v>
      </c>
      <c r="AI128" s="24">
        <f t="shared" si="129"/>
        <v>0</v>
      </c>
      <c r="AJ128" s="11" t="str">
        <f t="shared" si="133"/>
        <v/>
      </c>
      <c r="AK128" s="9" t="s">
        <v>102</v>
      </c>
      <c r="AL128" s="13">
        <f>IFERROR(INDEX('Balizador da Meta'!$D$3:$F$23,MATCH(Faturamento!$P128,'Balizador da Meta'!$C$3:$C$23,0),MATCH(Faturamento!AK128,'Balizador da Meta'!$D$2:$F$2,0)),"")</f>
        <v>0.2</v>
      </c>
      <c r="AM128" s="9"/>
    </row>
    <row r="129" spans="1:39" x14ac:dyDescent="0.3">
      <c r="A129" s="2" t="str">
        <f t="shared" si="131"/>
        <v>SIM</v>
      </c>
      <c r="B129" s="2" t="str">
        <f>_xlfn.XLOOKUP($N129,'Base de Grupos'!$A:$A,'Base de Grupos'!$D:$D)</f>
        <v>1000065763</v>
      </c>
      <c r="C129" s="5" t="str">
        <f>_xlfn.XLOOKUP($N129,'Base de Grupos'!$A:$A,'Base de Grupos'!$E:$E)</f>
        <v>CANAL VENDA INTERNA</v>
      </c>
      <c r="D129" s="5" t="str">
        <f>_xlfn.XLOOKUP($N129,'Base de Grupos'!$A:$A,'Base de Grupos'!$F:$F)</f>
        <v>1000065763</v>
      </c>
      <c r="E129" s="2" t="str">
        <f>_xlfn.XLOOKUP($N129,'Base de Grupos'!$A:$A,'Base de Grupos'!$G:$G)</f>
        <v>CANAL VENDA INTERNA</v>
      </c>
      <c r="F129" s="2" t="str">
        <f>_xlfn.XLOOKUP($N129,'Base de Grupos'!$A:$A,'Base de Grupos'!$H:$H)</f>
        <v>1000105900</v>
      </c>
      <c r="G129" s="5" t="str">
        <f>_xlfn.XLOOKUP($N129,'Base de Grupos'!$A:$A,'Base de Grupos'!$I:$I)</f>
        <v>REGIONAL VENDA DIRETA CO + NE + NO</v>
      </c>
      <c r="H129" s="5" t="str">
        <f>_xlfn.XLOOKUP($N129,'Base de Grupos'!$A:$A,'Base de Grupos'!$J:$J)</f>
        <v>1000105900</v>
      </c>
      <c r="I129" s="2" t="str">
        <f>_xlfn.XLOOKUP($N129,'Base de Grupos'!$A:$A,'Base de Grupos'!$K:$K)</f>
        <v>REGIONAL VENDA DIRETA CO + NE + NO</v>
      </c>
      <c r="J129" s="2" t="str">
        <f>_xlfn.XLOOKUP($N129,'Base de Grupos'!$A:$A,'Base de Grupos'!$L:$L)</f>
        <v>1000150135</v>
      </c>
      <c r="K129" s="5" t="str">
        <f>_xlfn.XLOOKUP($N129,'Base de Grupos'!$A:$A,'Base de Grupos'!$M:$M)</f>
        <v>HELDER DA SILVA BRUNKOW</v>
      </c>
      <c r="L129" s="5">
        <f t="shared" si="132"/>
        <v>1</v>
      </c>
      <c r="M129" s="5" t="str">
        <f>_xlfn.XLOOKUP($N129,'Base de Grupos'!$A:$A,'Base de Grupos'!$C:$C)</f>
        <v>BA</v>
      </c>
      <c r="N129" s="3">
        <v>1331</v>
      </c>
      <c r="O129" s="4" t="s">
        <v>231</v>
      </c>
      <c r="P129" s="5" t="s">
        <v>301</v>
      </c>
      <c r="Q129" s="56">
        <f t="shared" ref="Q129" si="134">SUM(Q130:Q146)</f>
        <v>0</v>
      </c>
      <c r="R129" s="56">
        <f t="shared" ref="R129" si="135">SUM(R130:R146)</f>
        <v>0</v>
      </c>
      <c r="S129" s="56">
        <f t="shared" ref="S129" si="136">SUM(S130:S146)</f>
        <v>0</v>
      </c>
      <c r="T129" s="56">
        <f t="shared" ref="T129" si="137">SUM(T130:T146)</f>
        <v>6000</v>
      </c>
      <c r="U129" s="56">
        <f t="shared" ref="U129" si="138">SUM(U130:U146)</f>
        <v>7000</v>
      </c>
      <c r="V129" s="56">
        <f t="shared" ref="V129" si="139">SUM(V130:V146)</f>
        <v>9000</v>
      </c>
      <c r="W129" s="56">
        <f t="shared" ref="W129" si="140">SUM(W130:W146)</f>
        <v>11000</v>
      </c>
      <c r="X129" s="56">
        <f t="shared" ref="X129" si="141">SUM(X130:X146)</f>
        <v>13200</v>
      </c>
      <c r="Y129" s="56">
        <f t="shared" ref="Y129" si="142">SUM(Y130:Y146)</f>
        <v>16500</v>
      </c>
      <c r="Z129" s="56">
        <f t="shared" ref="Z129" si="143">SUM(Z130:Z146)</f>
        <v>18700</v>
      </c>
      <c r="AA129" s="56">
        <f t="shared" ref="AA129" si="144">SUM(AA130:AA146)</f>
        <v>20900</v>
      </c>
      <c r="AB129" s="56">
        <f t="shared" ref="AB129" si="145">SUM(AB130:AB146)</f>
        <v>14300</v>
      </c>
      <c r="AC129" s="56">
        <f t="shared" ref="AC129" si="146">SUM(AC130:AC146)</f>
        <v>116600</v>
      </c>
      <c r="AD129" s="25">
        <f t="shared" ref="AD129" si="147">SUM(AD130:AD146)</f>
        <v>116600</v>
      </c>
      <c r="AE129" s="25">
        <f t="shared" ref="AE129:AI129" si="148">SUM(AE130:AE146)</f>
        <v>0</v>
      </c>
      <c r="AF129" s="11" t="str">
        <f t="shared" si="130"/>
        <v/>
      </c>
      <c r="AG129" s="24">
        <f t="shared" si="148"/>
        <v>0</v>
      </c>
      <c r="AH129" s="25">
        <f t="shared" si="148"/>
        <v>0</v>
      </c>
      <c r="AI129" s="24">
        <f t="shared" si="148"/>
        <v>0</v>
      </c>
      <c r="AJ129" s="11" t="str">
        <f t="shared" si="133"/>
        <v/>
      </c>
      <c r="AK129" s="9"/>
      <c r="AL129" s="13"/>
      <c r="AM129" s="9"/>
    </row>
    <row r="130" spans="1:39" x14ac:dyDescent="0.3">
      <c r="A130" s="2" t="str">
        <f t="shared" si="131"/>
        <v>NÃO</v>
      </c>
      <c r="B130" s="2" t="str">
        <f>_xlfn.XLOOKUP($N130,'Base de Grupos'!$A:$A,'Base de Grupos'!$D:$D)</f>
        <v>1000065763</v>
      </c>
      <c r="C130" s="5" t="str">
        <f>_xlfn.XLOOKUP($N130,'Base de Grupos'!$A:$A,'Base de Grupos'!$E:$E)</f>
        <v>CANAL VENDA INTERNA</v>
      </c>
      <c r="D130" s="5" t="str">
        <f>_xlfn.XLOOKUP($N130,'Base de Grupos'!$A:$A,'Base de Grupos'!$F:$F)</f>
        <v>1000065763</v>
      </c>
      <c r="E130" s="2" t="str">
        <f>_xlfn.XLOOKUP($N130,'Base de Grupos'!$A:$A,'Base de Grupos'!$G:$G)</f>
        <v>CANAL VENDA INTERNA</v>
      </c>
      <c r="F130" s="2" t="str">
        <f>_xlfn.XLOOKUP($N130,'Base de Grupos'!$A:$A,'Base de Grupos'!$H:$H)</f>
        <v>1000105900</v>
      </c>
      <c r="G130" s="5" t="str">
        <f>_xlfn.XLOOKUP($N130,'Base de Grupos'!$A:$A,'Base de Grupos'!$I:$I)</f>
        <v>REGIONAL VENDA DIRETA CO + NE + NO</v>
      </c>
      <c r="H130" s="5" t="str">
        <f>_xlfn.XLOOKUP($N130,'Base de Grupos'!$A:$A,'Base de Grupos'!$J:$J)</f>
        <v>1000105900</v>
      </c>
      <c r="I130" s="2" t="str">
        <f>_xlfn.XLOOKUP($N130,'Base de Grupos'!$A:$A,'Base de Grupos'!$K:$K)</f>
        <v>REGIONAL VENDA DIRETA CO + NE + NO</v>
      </c>
      <c r="J130" s="2" t="str">
        <f>_xlfn.XLOOKUP($N130,'Base de Grupos'!$A:$A,'Base de Grupos'!$L:$L)</f>
        <v>1000150135</v>
      </c>
      <c r="K130" s="5" t="str">
        <f>_xlfn.XLOOKUP($N130,'Base de Grupos'!$A:$A,'Base de Grupos'!$M:$M)</f>
        <v>HELDER DA SILVA BRUNKOW</v>
      </c>
      <c r="L130" s="5" t="str">
        <f t="shared" si="132"/>
        <v/>
      </c>
      <c r="M130" s="5" t="str">
        <f>_xlfn.XLOOKUP($N130,'Base de Grupos'!$A:$A,'Base de Grupos'!$C:$C)</f>
        <v>BA</v>
      </c>
      <c r="N130" s="3">
        <v>1331</v>
      </c>
      <c r="O130" s="4" t="s">
        <v>231</v>
      </c>
      <c r="P130" s="5" t="s">
        <v>81</v>
      </c>
      <c r="Q130" s="56">
        <v>0</v>
      </c>
      <c r="R130" s="56">
        <v>0</v>
      </c>
      <c r="S130" s="56">
        <v>0</v>
      </c>
      <c r="T130" s="56">
        <f>_xlfn.XLOOKUP($N130,'Calculo Leads'!$A$97:$A$134,'Calculo Leads'!G$97:G$134)*_xlfn.XLOOKUP($P130,'Base Grupo de Produtos'!$E$2:$E$18,'Base Grupo de Produtos'!$F$2:$F$18)</f>
        <v>300</v>
      </c>
      <c r="U130" s="56">
        <f>_xlfn.XLOOKUP($N130,'Calculo Leads'!$A$97:$A$134,'Calculo Leads'!H$97:H$134)*_xlfn.XLOOKUP($P130,'Base Grupo de Produtos'!$E$2:$E$18,'Base Grupo de Produtos'!$F$2:$F$18)</f>
        <v>350</v>
      </c>
      <c r="V130" s="56">
        <f>_xlfn.XLOOKUP($N130,'Calculo Leads'!$A$97:$A$134,'Calculo Leads'!I$97:I$134)*_xlfn.XLOOKUP($P130,'Base Grupo de Produtos'!$E$2:$E$18,'Base Grupo de Produtos'!$F$2:$F$18)</f>
        <v>450</v>
      </c>
      <c r="W130" s="56">
        <f>_xlfn.XLOOKUP($N130,'Calculo Leads'!$A$97:$A$134,'Calculo Leads'!J$97:J$134)*_xlfn.XLOOKUP($P130,'Base Grupo de Produtos'!$E$2:$E$18,'Base Grupo de Produtos'!$F$2:$F$18)</f>
        <v>550</v>
      </c>
      <c r="X130" s="56">
        <f>_xlfn.XLOOKUP($N130,'Calculo Leads'!$A$97:$A$134,'Calculo Leads'!K$97:K$134)*_xlfn.XLOOKUP($P130,'Base Grupo de Produtos'!$E$2:$E$18,'Base Grupo de Produtos'!$F$2:$F$18)</f>
        <v>660</v>
      </c>
      <c r="Y130" s="56">
        <f>_xlfn.XLOOKUP($N130,'Calculo Leads'!$A$97:$A$134,'Calculo Leads'!L$97:L$134)*_xlfn.XLOOKUP($P130,'Base Grupo de Produtos'!$E$2:$E$18,'Base Grupo de Produtos'!$F$2:$F$18)</f>
        <v>825</v>
      </c>
      <c r="Z130" s="56">
        <f>_xlfn.XLOOKUP($N130,'Calculo Leads'!$A$97:$A$134,'Calculo Leads'!M$97:M$134)*_xlfn.XLOOKUP($P130,'Base Grupo de Produtos'!$E$2:$E$18,'Base Grupo de Produtos'!$F$2:$F$18)</f>
        <v>935</v>
      </c>
      <c r="AA130" s="56">
        <f>_xlfn.XLOOKUP($N130,'Calculo Leads'!$A$97:$A$134,'Calculo Leads'!N$97:N$134)*_xlfn.XLOOKUP($P130,'Base Grupo de Produtos'!$E$2:$E$18,'Base Grupo de Produtos'!$F$2:$F$18)</f>
        <v>1045</v>
      </c>
      <c r="AB130" s="56">
        <f>_xlfn.XLOOKUP($N130,'Calculo Leads'!$A$97:$A$134,'Calculo Leads'!O$97:O$134)*_xlfn.XLOOKUP($P130,'Base Grupo de Produtos'!$E$2:$E$18,'Base Grupo de Produtos'!$F$2:$F$18)</f>
        <v>715</v>
      </c>
      <c r="AC130" s="61">
        <f t="shared" si="75"/>
        <v>5830</v>
      </c>
      <c r="AD130" s="27">
        <f t="shared" ref="AD130:AD137" si="149">IF(AC130=0,0,AC130-AG130)</f>
        <v>5830</v>
      </c>
      <c r="AE130" s="25">
        <f>IFERROR(_xlfn.XLOOKUP(N130&amp;P130,'Historico Vendas'!G:G,'Historico Vendas'!E:E),0)</f>
        <v>0</v>
      </c>
      <c r="AF130" s="29" t="str">
        <f t="shared" si="130"/>
        <v/>
      </c>
      <c r="AG130" s="24">
        <f>IFERROR(_xlfn.XLOOKUP(N130&amp;P130,'Historico Vendas'!G:G,'Historico Vendas'!F:F),0)</f>
        <v>0</v>
      </c>
      <c r="AH130" s="25">
        <f t="shared" ref="AH130:AH146" si="150">SUM(Q130:S130)</f>
        <v>0</v>
      </c>
      <c r="AI130" s="24">
        <f t="shared" ref="AI130:AI146" si="151">AH130-AG130</f>
        <v>0</v>
      </c>
      <c r="AJ130" s="11" t="str">
        <f t="shared" si="133"/>
        <v/>
      </c>
      <c r="AK130" s="9" t="s">
        <v>102</v>
      </c>
      <c r="AL130" s="13">
        <f>IFERROR(INDEX('Balizador da Meta'!$D$3:$F$23,MATCH(Faturamento!$P130,'Balizador da Meta'!$C$3:$C$23,0),MATCH(Faturamento!AK130,'Balizador da Meta'!$D$2:$F$2,0)),"")</f>
        <v>0.2</v>
      </c>
      <c r="AM130" s="9"/>
    </row>
    <row r="131" spans="1:39" x14ac:dyDescent="0.3">
      <c r="A131" s="2" t="str">
        <f t="shared" si="131"/>
        <v>NÃO</v>
      </c>
      <c r="B131" s="2" t="str">
        <f>_xlfn.XLOOKUP($N131,'Base de Grupos'!$A:$A,'Base de Grupos'!$D:$D)</f>
        <v>1000065763</v>
      </c>
      <c r="C131" s="5" t="str">
        <f>_xlfn.XLOOKUP($N131,'Base de Grupos'!$A:$A,'Base de Grupos'!$E:$E)</f>
        <v>CANAL VENDA INTERNA</v>
      </c>
      <c r="D131" s="5" t="str">
        <f>_xlfn.XLOOKUP($N131,'Base de Grupos'!$A:$A,'Base de Grupos'!$F:$F)</f>
        <v>1000065763</v>
      </c>
      <c r="E131" s="2" t="str">
        <f>_xlfn.XLOOKUP($N131,'Base de Grupos'!$A:$A,'Base de Grupos'!$G:$G)</f>
        <v>CANAL VENDA INTERNA</v>
      </c>
      <c r="F131" s="2" t="str">
        <f>_xlfn.XLOOKUP($N131,'Base de Grupos'!$A:$A,'Base de Grupos'!$H:$H)</f>
        <v>1000105900</v>
      </c>
      <c r="G131" s="5" t="str">
        <f>_xlfn.XLOOKUP($N131,'Base de Grupos'!$A:$A,'Base de Grupos'!$I:$I)</f>
        <v>REGIONAL VENDA DIRETA CO + NE + NO</v>
      </c>
      <c r="H131" s="5" t="str">
        <f>_xlfn.XLOOKUP($N131,'Base de Grupos'!$A:$A,'Base de Grupos'!$J:$J)</f>
        <v>1000105900</v>
      </c>
      <c r="I131" s="2" t="str">
        <f>_xlfn.XLOOKUP($N131,'Base de Grupos'!$A:$A,'Base de Grupos'!$K:$K)</f>
        <v>REGIONAL VENDA DIRETA CO + NE + NO</v>
      </c>
      <c r="J131" s="2" t="str">
        <f>_xlfn.XLOOKUP($N131,'Base de Grupos'!$A:$A,'Base de Grupos'!$L:$L)</f>
        <v>1000150135</v>
      </c>
      <c r="K131" s="5" t="str">
        <f>_xlfn.XLOOKUP($N131,'Base de Grupos'!$A:$A,'Base de Grupos'!$M:$M)</f>
        <v>HELDER DA SILVA BRUNKOW</v>
      </c>
      <c r="L131" s="5" t="str">
        <f t="shared" si="132"/>
        <v/>
      </c>
      <c r="M131" s="5" t="str">
        <f>_xlfn.XLOOKUP($N131,'Base de Grupos'!$A:$A,'Base de Grupos'!$C:$C)</f>
        <v>BA</v>
      </c>
      <c r="N131" s="3">
        <v>1331</v>
      </c>
      <c r="O131" s="4" t="s">
        <v>231</v>
      </c>
      <c r="P131" s="5" t="s">
        <v>82</v>
      </c>
      <c r="Q131" s="56">
        <v>0</v>
      </c>
      <c r="R131" s="56">
        <v>0</v>
      </c>
      <c r="S131" s="56">
        <v>0</v>
      </c>
      <c r="T131" s="56">
        <f>_xlfn.XLOOKUP($N131,'Calculo Leads'!$A$97:$A$134,'Calculo Leads'!G$97:G$134)*_xlfn.XLOOKUP($P131,'Base Grupo de Produtos'!$E$2:$E$18,'Base Grupo de Produtos'!$F$2:$F$18)</f>
        <v>300</v>
      </c>
      <c r="U131" s="56">
        <f>_xlfn.XLOOKUP($N131,'Calculo Leads'!$A$97:$A$134,'Calculo Leads'!H$97:H$134)*_xlfn.XLOOKUP($P131,'Base Grupo de Produtos'!$E$2:$E$18,'Base Grupo de Produtos'!$F$2:$F$18)</f>
        <v>350</v>
      </c>
      <c r="V131" s="56">
        <f>_xlfn.XLOOKUP($N131,'Calculo Leads'!$A$97:$A$134,'Calculo Leads'!I$97:I$134)*_xlfn.XLOOKUP($P131,'Base Grupo de Produtos'!$E$2:$E$18,'Base Grupo de Produtos'!$F$2:$F$18)</f>
        <v>450</v>
      </c>
      <c r="W131" s="56">
        <f>_xlfn.XLOOKUP($N131,'Calculo Leads'!$A$97:$A$134,'Calculo Leads'!J$97:J$134)*_xlfn.XLOOKUP($P131,'Base Grupo de Produtos'!$E$2:$E$18,'Base Grupo de Produtos'!$F$2:$F$18)</f>
        <v>550</v>
      </c>
      <c r="X131" s="56">
        <f>_xlfn.XLOOKUP($N131,'Calculo Leads'!$A$97:$A$134,'Calculo Leads'!K$97:K$134)*_xlfn.XLOOKUP($P131,'Base Grupo de Produtos'!$E$2:$E$18,'Base Grupo de Produtos'!$F$2:$F$18)</f>
        <v>660</v>
      </c>
      <c r="Y131" s="56">
        <f>_xlfn.XLOOKUP($N131,'Calculo Leads'!$A$97:$A$134,'Calculo Leads'!L$97:L$134)*_xlfn.XLOOKUP($P131,'Base Grupo de Produtos'!$E$2:$E$18,'Base Grupo de Produtos'!$F$2:$F$18)</f>
        <v>825</v>
      </c>
      <c r="Z131" s="56">
        <f>_xlfn.XLOOKUP($N131,'Calculo Leads'!$A$97:$A$134,'Calculo Leads'!M$97:M$134)*_xlfn.XLOOKUP($P131,'Base Grupo de Produtos'!$E$2:$E$18,'Base Grupo de Produtos'!$F$2:$F$18)</f>
        <v>935</v>
      </c>
      <c r="AA131" s="56">
        <f>_xlfn.XLOOKUP($N131,'Calculo Leads'!$A$97:$A$134,'Calculo Leads'!N$97:N$134)*_xlfn.XLOOKUP($P131,'Base Grupo de Produtos'!$E$2:$E$18,'Base Grupo de Produtos'!$F$2:$F$18)</f>
        <v>1045</v>
      </c>
      <c r="AB131" s="56">
        <f>_xlfn.XLOOKUP($N131,'Calculo Leads'!$A$97:$A$134,'Calculo Leads'!O$97:O$134)*_xlfn.XLOOKUP($P131,'Base Grupo de Produtos'!$E$2:$E$18,'Base Grupo de Produtos'!$F$2:$F$18)</f>
        <v>715</v>
      </c>
      <c r="AC131" s="61">
        <f t="shared" si="75"/>
        <v>5830</v>
      </c>
      <c r="AD131" s="27">
        <f t="shared" si="149"/>
        <v>5830</v>
      </c>
      <c r="AE131" s="25">
        <f>IFERROR(_xlfn.XLOOKUP(N131&amp;P131,'Historico Vendas'!G:G,'Historico Vendas'!E:E),0)</f>
        <v>0</v>
      </c>
      <c r="AF131" s="29" t="str">
        <f t="shared" si="130"/>
        <v/>
      </c>
      <c r="AG131" s="24">
        <f>IFERROR(_xlfn.XLOOKUP(N131&amp;P131,'Historico Vendas'!G:G,'Historico Vendas'!F:F),0)</f>
        <v>0</v>
      </c>
      <c r="AH131" s="25">
        <f t="shared" si="150"/>
        <v>0</v>
      </c>
      <c r="AI131" s="24">
        <f t="shared" si="151"/>
        <v>0</v>
      </c>
      <c r="AJ131" s="11" t="str">
        <f t="shared" si="133"/>
        <v/>
      </c>
      <c r="AK131" s="9" t="s">
        <v>102</v>
      </c>
      <c r="AL131" s="13">
        <f>IFERROR(INDEX('Balizador da Meta'!$D$3:$F$23,MATCH(Faturamento!$P131,'Balizador da Meta'!$C$3:$C$23,0),MATCH(Faturamento!AK131,'Balizador da Meta'!$D$2:$F$2,0)),"")</f>
        <v>0.2</v>
      </c>
      <c r="AM131" s="9"/>
    </row>
    <row r="132" spans="1:39" x14ac:dyDescent="0.3">
      <c r="A132" s="2" t="str">
        <f t="shared" si="131"/>
        <v>NÃO</v>
      </c>
      <c r="B132" s="2" t="str">
        <f>_xlfn.XLOOKUP($N132,'Base de Grupos'!$A:$A,'Base de Grupos'!$D:$D)</f>
        <v>1000065763</v>
      </c>
      <c r="C132" s="5" t="str">
        <f>_xlfn.XLOOKUP($N132,'Base de Grupos'!$A:$A,'Base de Grupos'!$E:$E)</f>
        <v>CANAL VENDA INTERNA</v>
      </c>
      <c r="D132" s="5" t="str">
        <f>_xlfn.XLOOKUP($N132,'Base de Grupos'!$A:$A,'Base de Grupos'!$F:$F)</f>
        <v>1000065763</v>
      </c>
      <c r="E132" s="2" t="str">
        <f>_xlfn.XLOOKUP($N132,'Base de Grupos'!$A:$A,'Base de Grupos'!$G:$G)</f>
        <v>CANAL VENDA INTERNA</v>
      </c>
      <c r="F132" s="2" t="str">
        <f>_xlfn.XLOOKUP($N132,'Base de Grupos'!$A:$A,'Base de Grupos'!$H:$H)</f>
        <v>1000105900</v>
      </c>
      <c r="G132" s="5" t="str">
        <f>_xlfn.XLOOKUP($N132,'Base de Grupos'!$A:$A,'Base de Grupos'!$I:$I)</f>
        <v>REGIONAL VENDA DIRETA CO + NE + NO</v>
      </c>
      <c r="H132" s="5" t="str">
        <f>_xlfn.XLOOKUP($N132,'Base de Grupos'!$A:$A,'Base de Grupos'!$J:$J)</f>
        <v>1000105900</v>
      </c>
      <c r="I132" s="2" t="str">
        <f>_xlfn.XLOOKUP($N132,'Base de Grupos'!$A:$A,'Base de Grupos'!$K:$K)</f>
        <v>REGIONAL VENDA DIRETA CO + NE + NO</v>
      </c>
      <c r="J132" s="2" t="str">
        <f>_xlfn.XLOOKUP($N132,'Base de Grupos'!$A:$A,'Base de Grupos'!$L:$L)</f>
        <v>1000150135</v>
      </c>
      <c r="K132" s="5" t="str">
        <f>_xlfn.XLOOKUP($N132,'Base de Grupos'!$A:$A,'Base de Grupos'!$M:$M)</f>
        <v>HELDER DA SILVA BRUNKOW</v>
      </c>
      <c r="L132" s="5" t="str">
        <f t="shared" si="132"/>
        <v/>
      </c>
      <c r="M132" s="5" t="str">
        <f>_xlfn.XLOOKUP($N132,'Base de Grupos'!$A:$A,'Base de Grupos'!$C:$C)</f>
        <v>BA</v>
      </c>
      <c r="N132" s="3">
        <v>1331</v>
      </c>
      <c r="O132" s="4" t="s">
        <v>231</v>
      </c>
      <c r="P132" s="5" t="s">
        <v>84</v>
      </c>
      <c r="Q132" s="56">
        <v>0</v>
      </c>
      <c r="R132" s="56">
        <v>0</v>
      </c>
      <c r="S132" s="56">
        <v>0</v>
      </c>
      <c r="T132" s="56">
        <f>_xlfn.XLOOKUP($N132,'Calculo Leads'!$A$97:$A$134,'Calculo Leads'!G$97:G$134)*_xlfn.XLOOKUP($P132,'Base Grupo de Produtos'!$E$2:$E$18,'Base Grupo de Produtos'!$F$2:$F$18)</f>
        <v>480</v>
      </c>
      <c r="U132" s="56">
        <f>_xlfn.XLOOKUP($N132,'Calculo Leads'!$A$97:$A$134,'Calculo Leads'!H$97:H$134)*_xlfn.XLOOKUP($P132,'Base Grupo de Produtos'!$E$2:$E$18,'Base Grupo de Produtos'!$F$2:$F$18)</f>
        <v>560</v>
      </c>
      <c r="V132" s="56">
        <f>_xlfn.XLOOKUP($N132,'Calculo Leads'!$A$97:$A$134,'Calculo Leads'!I$97:I$134)*_xlfn.XLOOKUP($P132,'Base Grupo de Produtos'!$E$2:$E$18,'Base Grupo de Produtos'!$F$2:$F$18)</f>
        <v>720</v>
      </c>
      <c r="W132" s="56">
        <f>_xlfn.XLOOKUP($N132,'Calculo Leads'!$A$97:$A$134,'Calculo Leads'!J$97:J$134)*_xlfn.XLOOKUP($P132,'Base Grupo de Produtos'!$E$2:$E$18,'Base Grupo de Produtos'!$F$2:$F$18)</f>
        <v>880</v>
      </c>
      <c r="X132" s="56">
        <f>_xlfn.XLOOKUP($N132,'Calculo Leads'!$A$97:$A$134,'Calculo Leads'!K$97:K$134)*_xlfn.XLOOKUP($P132,'Base Grupo de Produtos'!$E$2:$E$18,'Base Grupo de Produtos'!$F$2:$F$18)</f>
        <v>1056</v>
      </c>
      <c r="Y132" s="56">
        <f>_xlfn.XLOOKUP($N132,'Calculo Leads'!$A$97:$A$134,'Calculo Leads'!L$97:L$134)*_xlfn.XLOOKUP($P132,'Base Grupo de Produtos'!$E$2:$E$18,'Base Grupo de Produtos'!$F$2:$F$18)</f>
        <v>1320</v>
      </c>
      <c r="Z132" s="56">
        <f>_xlfn.XLOOKUP($N132,'Calculo Leads'!$A$97:$A$134,'Calculo Leads'!M$97:M$134)*_xlfn.XLOOKUP($P132,'Base Grupo de Produtos'!$E$2:$E$18,'Base Grupo de Produtos'!$F$2:$F$18)</f>
        <v>1496</v>
      </c>
      <c r="AA132" s="56">
        <f>_xlfn.XLOOKUP($N132,'Calculo Leads'!$A$97:$A$134,'Calculo Leads'!N$97:N$134)*_xlfn.XLOOKUP($P132,'Base Grupo de Produtos'!$E$2:$E$18,'Base Grupo de Produtos'!$F$2:$F$18)</f>
        <v>1672</v>
      </c>
      <c r="AB132" s="56">
        <f>_xlfn.XLOOKUP($N132,'Calculo Leads'!$A$97:$A$134,'Calculo Leads'!O$97:O$134)*_xlfn.XLOOKUP($P132,'Base Grupo de Produtos'!$E$2:$E$18,'Base Grupo de Produtos'!$F$2:$F$18)</f>
        <v>1144</v>
      </c>
      <c r="AC132" s="61">
        <f t="shared" si="75"/>
        <v>9328</v>
      </c>
      <c r="AD132" s="27">
        <f t="shared" si="149"/>
        <v>9328</v>
      </c>
      <c r="AE132" s="25">
        <f>IFERROR(_xlfn.XLOOKUP(N132&amp;P132,'Historico Vendas'!G:G,'Historico Vendas'!E:E),0)</f>
        <v>0</v>
      </c>
      <c r="AF132" s="29" t="str">
        <f t="shared" si="130"/>
        <v/>
      </c>
      <c r="AG132" s="24">
        <f>IFERROR(_xlfn.XLOOKUP(N132&amp;P132,'Historico Vendas'!G:G,'Historico Vendas'!F:F),0)</f>
        <v>0</v>
      </c>
      <c r="AH132" s="25">
        <f t="shared" si="150"/>
        <v>0</v>
      </c>
      <c r="AI132" s="24">
        <f t="shared" si="151"/>
        <v>0</v>
      </c>
      <c r="AJ132" s="11" t="str">
        <f t="shared" si="133"/>
        <v/>
      </c>
      <c r="AK132" s="9" t="s">
        <v>102</v>
      </c>
      <c r="AL132" s="13">
        <f>IFERROR(INDEX('Balizador da Meta'!$D$3:$F$23,MATCH(Faturamento!$P132,'Balizador da Meta'!$C$3:$C$23,0),MATCH(Faturamento!AK132,'Balizador da Meta'!$D$2:$F$2,0)),"")</f>
        <v>0.15</v>
      </c>
      <c r="AM132" s="9"/>
    </row>
    <row r="133" spans="1:39" x14ac:dyDescent="0.3">
      <c r="A133" s="2" t="str">
        <f t="shared" si="131"/>
        <v>NÃO</v>
      </c>
      <c r="B133" s="2" t="str">
        <f>_xlfn.XLOOKUP($N133,'Base de Grupos'!$A:$A,'Base de Grupos'!$D:$D)</f>
        <v>1000065763</v>
      </c>
      <c r="C133" s="5" t="str">
        <f>_xlfn.XLOOKUP($N133,'Base de Grupos'!$A:$A,'Base de Grupos'!$E:$E)</f>
        <v>CANAL VENDA INTERNA</v>
      </c>
      <c r="D133" s="5" t="str">
        <f>_xlfn.XLOOKUP($N133,'Base de Grupos'!$A:$A,'Base de Grupos'!$F:$F)</f>
        <v>1000065763</v>
      </c>
      <c r="E133" s="2" t="str">
        <f>_xlfn.XLOOKUP($N133,'Base de Grupos'!$A:$A,'Base de Grupos'!$G:$G)</f>
        <v>CANAL VENDA INTERNA</v>
      </c>
      <c r="F133" s="2" t="str">
        <f>_xlfn.XLOOKUP($N133,'Base de Grupos'!$A:$A,'Base de Grupos'!$H:$H)</f>
        <v>1000105900</v>
      </c>
      <c r="G133" s="5" t="str">
        <f>_xlfn.XLOOKUP($N133,'Base de Grupos'!$A:$A,'Base de Grupos'!$I:$I)</f>
        <v>REGIONAL VENDA DIRETA CO + NE + NO</v>
      </c>
      <c r="H133" s="5" t="str">
        <f>_xlfn.XLOOKUP($N133,'Base de Grupos'!$A:$A,'Base de Grupos'!$J:$J)</f>
        <v>1000105900</v>
      </c>
      <c r="I133" s="2" t="str">
        <f>_xlfn.XLOOKUP($N133,'Base de Grupos'!$A:$A,'Base de Grupos'!$K:$K)</f>
        <v>REGIONAL VENDA DIRETA CO + NE + NO</v>
      </c>
      <c r="J133" s="2" t="str">
        <f>_xlfn.XLOOKUP($N133,'Base de Grupos'!$A:$A,'Base de Grupos'!$L:$L)</f>
        <v>1000150135</v>
      </c>
      <c r="K133" s="5" t="str">
        <f>_xlfn.XLOOKUP($N133,'Base de Grupos'!$A:$A,'Base de Grupos'!$M:$M)</f>
        <v>HELDER DA SILVA BRUNKOW</v>
      </c>
      <c r="L133" s="5" t="str">
        <f t="shared" si="132"/>
        <v/>
      </c>
      <c r="M133" s="5" t="str">
        <f>_xlfn.XLOOKUP($N133,'Base de Grupos'!$A:$A,'Base de Grupos'!$C:$C)</f>
        <v>BA</v>
      </c>
      <c r="N133" s="3">
        <v>1331</v>
      </c>
      <c r="O133" s="4" t="s">
        <v>231</v>
      </c>
      <c r="P133" s="5" t="s">
        <v>83</v>
      </c>
      <c r="Q133" s="56">
        <v>0</v>
      </c>
      <c r="R133" s="56">
        <v>0</v>
      </c>
      <c r="S133" s="56">
        <v>0</v>
      </c>
      <c r="T133" s="56">
        <f>_xlfn.XLOOKUP($N133,'Calculo Leads'!$A$97:$A$134,'Calculo Leads'!G$97:G$134)*_xlfn.XLOOKUP($P133,'Base Grupo de Produtos'!$E$2:$E$18,'Base Grupo de Produtos'!$F$2:$F$18)</f>
        <v>600</v>
      </c>
      <c r="U133" s="56">
        <f>_xlfn.XLOOKUP($N133,'Calculo Leads'!$A$97:$A$134,'Calculo Leads'!H$97:H$134)*_xlfn.XLOOKUP($P133,'Base Grupo de Produtos'!$E$2:$E$18,'Base Grupo de Produtos'!$F$2:$F$18)</f>
        <v>700</v>
      </c>
      <c r="V133" s="56">
        <f>_xlfn.XLOOKUP($N133,'Calculo Leads'!$A$97:$A$134,'Calculo Leads'!I$97:I$134)*_xlfn.XLOOKUP($P133,'Base Grupo de Produtos'!$E$2:$E$18,'Base Grupo de Produtos'!$F$2:$F$18)</f>
        <v>900</v>
      </c>
      <c r="W133" s="56">
        <f>_xlfn.XLOOKUP($N133,'Calculo Leads'!$A$97:$A$134,'Calculo Leads'!J$97:J$134)*_xlfn.XLOOKUP($P133,'Base Grupo de Produtos'!$E$2:$E$18,'Base Grupo de Produtos'!$F$2:$F$18)</f>
        <v>1100</v>
      </c>
      <c r="X133" s="56">
        <f>_xlfn.XLOOKUP($N133,'Calculo Leads'!$A$97:$A$134,'Calculo Leads'!K$97:K$134)*_xlfn.XLOOKUP($P133,'Base Grupo de Produtos'!$E$2:$E$18,'Base Grupo de Produtos'!$F$2:$F$18)</f>
        <v>1320</v>
      </c>
      <c r="Y133" s="56">
        <f>_xlfn.XLOOKUP($N133,'Calculo Leads'!$A$97:$A$134,'Calculo Leads'!L$97:L$134)*_xlfn.XLOOKUP($P133,'Base Grupo de Produtos'!$E$2:$E$18,'Base Grupo de Produtos'!$F$2:$F$18)</f>
        <v>1650</v>
      </c>
      <c r="Z133" s="56">
        <f>_xlfn.XLOOKUP($N133,'Calculo Leads'!$A$97:$A$134,'Calculo Leads'!M$97:M$134)*_xlfn.XLOOKUP($P133,'Base Grupo de Produtos'!$E$2:$E$18,'Base Grupo de Produtos'!$F$2:$F$18)</f>
        <v>1870</v>
      </c>
      <c r="AA133" s="56">
        <f>_xlfn.XLOOKUP($N133,'Calculo Leads'!$A$97:$A$134,'Calculo Leads'!N$97:N$134)*_xlfn.XLOOKUP($P133,'Base Grupo de Produtos'!$E$2:$E$18,'Base Grupo de Produtos'!$F$2:$F$18)</f>
        <v>2090</v>
      </c>
      <c r="AB133" s="56">
        <f>_xlfn.XLOOKUP($N133,'Calculo Leads'!$A$97:$A$134,'Calculo Leads'!O$97:O$134)*_xlfn.XLOOKUP($P133,'Base Grupo de Produtos'!$E$2:$E$18,'Base Grupo de Produtos'!$F$2:$F$18)</f>
        <v>1430</v>
      </c>
      <c r="AC133" s="61">
        <f t="shared" ref="AC133:AC196" si="152">SUM(T133:AB133)</f>
        <v>11660</v>
      </c>
      <c r="AD133" s="27">
        <f t="shared" si="149"/>
        <v>11660</v>
      </c>
      <c r="AE133" s="25">
        <f>IFERROR(_xlfn.XLOOKUP(N133&amp;P133,'Historico Vendas'!G:G,'Historico Vendas'!E:E),0)</f>
        <v>0</v>
      </c>
      <c r="AF133" s="29" t="str">
        <f t="shared" si="130"/>
        <v/>
      </c>
      <c r="AG133" s="24">
        <f>IFERROR(_xlfn.XLOOKUP(N133&amp;P133,'Historico Vendas'!G:G,'Historico Vendas'!F:F),0)</f>
        <v>0</v>
      </c>
      <c r="AH133" s="25">
        <f t="shared" si="150"/>
        <v>0</v>
      </c>
      <c r="AI133" s="24">
        <f t="shared" si="151"/>
        <v>0</v>
      </c>
      <c r="AJ133" s="11" t="str">
        <f t="shared" si="133"/>
        <v/>
      </c>
      <c r="AK133" s="9" t="s">
        <v>102</v>
      </c>
      <c r="AL133" s="13">
        <f>IFERROR(INDEX('Balizador da Meta'!$D$3:$F$23,MATCH(Faturamento!$P133,'Balizador da Meta'!$C$3:$C$23,0),MATCH(Faturamento!AK133,'Balizador da Meta'!$D$2:$F$2,0)),"")</f>
        <v>0</v>
      </c>
      <c r="AM133" s="9"/>
    </row>
    <row r="134" spans="1:39" x14ac:dyDescent="0.3">
      <c r="A134" s="2" t="str">
        <f t="shared" si="131"/>
        <v>NÃO</v>
      </c>
      <c r="B134" s="2" t="str">
        <f>_xlfn.XLOOKUP($N134,'Base de Grupos'!$A:$A,'Base de Grupos'!$D:$D)</f>
        <v>1000065763</v>
      </c>
      <c r="C134" s="5" t="str">
        <f>_xlfn.XLOOKUP($N134,'Base de Grupos'!$A:$A,'Base de Grupos'!$E:$E)</f>
        <v>CANAL VENDA INTERNA</v>
      </c>
      <c r="D134" s="5" t="str">
        <f>_xlfn.XLOOKUP($N134,'Base de Grupos'!$A:$A,'Base de Grupos'!$F:$F)</f>
        <v>1000065763</v>
      </c>
      <c r="E134" s="2" t="str">
        <f>_xlfn.XLOOKUP($N134,'Base de Grupos'!$A:$A,'Base de Grupos'!$G:$G)</f>
        <v>CANAL VENDA INTERNA</v>
      </c>
      <c r="F134" s="2" t="str">
        <f>_xlfn.XLOOKUP($N134,'Base de Grupos'!$A:$A,'Base de Grupos'!$H:$H)</f>
        <v>1000105900</v>
      </c>
      <c r="G134" s="5" t="str">
        <f>_xlfn.XLOOKUP($N134,'Base de Grupos'!$A:$A,'Base de Grupos'!$I:$I)</f>
        <v>REGIONAL VENDA DIRETA CO + NE + NO</v>
      </c>
      <c r="H134" s="5" t="str">
        <f>_xlfn.XLOOKUP($N134,'Base de Grupos'!$A:$A,'Base de Grupos'!$J:$J)</f>
        <v>1000105900</v>
      </c>
      <c r="I134" s="2" t="str">
        <f>_xlfn.XLOOKUP($N134,'Base de Grupos'!$A:$A,'Base de Grupos'!$K:$K)</f>
        <v>REGIONAL VENDA DIRETA CO + NE + NO</v>
      </c>
      <c r="J134" s="2" t="str">
        <f>_xlfn.XLOOKUP($N134,'Base de Grupos'!$A:$A,'Base de Grupos'!$L:$L)</f>
        <v>1000150135</v>
      </c>
      <c r="K134" s="5" t="str">
        <f>_xlfn.XLOOKUP($N134,'Base de Grupos'!$A:$A,'Base de Grupos'!$M:$M)</f>
        <v>HELDER DA SILVA BRUNKOW</v>
      </c>
      <c r="L134" s="5" t="str">
        <f t="shared" si="132"/>
        <v/>
      </c>
      <c r="M134" s="5" t="str">
        <f>_xlfn.XLOOKUP($N134,'Base de Grupos'!$A:$A,'Base de Grupos'!$C:$C)</f>
        <v>BA</v>
      </c>
      <c r="N134" s="3">
        <v>1331</v>
      </c>
      <c r="O134" s="4" t="s">
        <v>231</v>
      </c>
      <c r="P134" s="5" t="s">
        <v>87</v>
      </c>
      <c r="Q134" s="56">
        <v>0</v>
      </c>
      <c r="R134" s="56">
        <v>0</v>
      </c>
      <c r="S134" s="56">
        <v>0</v>
      </c>
      <c r="T134" s="56">
        <f>_xlfn.XLOOKUP($N134,'Calculo Leads'!$A$97:$A$134,'Calculo Leads'!G$97:G$134)*_xlfn.XLOOKUP($P134,'Base Grupo de Produtos'!$E$2:$E$18,'Base Grupo de Produtos'!$F$2:$F$18)</f>
        <v>119.99999999999999</v>
      </c>
      <c r="U134" s="56">
        <f>_xlfn.XLOOKUP($N134,'Calculo Leads'!$A$97:$A$134,'Calculo Leads'!H$97:H$134)*_xlfn.XLOOKUP($P134,'Base Grupo de Produtos'!$E$2:$E$18,'Base Grupo de Produtos'!$F$2:$F$18)</f>
        <v>139.99999999999997</v>
      </c>
      <c r="V134" s="56">
        <f>_xlfn.XLOOKUP($N134,'Calculo Leads'!$A$97:$A$134,'Calculo Leads'!I$97:I$134)*_xlfn.XLOOKUP($P134,'Base Grupo de Produtos'!$E$2:$E$18,'Base Grupo de Produtos'!$F$2:$F$18)</f>
        <v>179.99999999999997</v>
      </c>
      <c r="W134" s="56">
        <f>_xlfn.XLOOKUP($N134,'Calculo Leads'!$A$97:$A$134,'Calculo Leads'!J$97:J$134)*_xlfn.XLOOKUP($P134,'Base Grupo de Produtos'!$E$2:$E$18,'Base Grupo de Produtos'!$F$2:$F$18)</f>
        <v>219.99999999999997</v>
      </c>
      <c r="X134" s="56">
        <f>_xlfn.XLOOKUP($N134,'Calculo Leads'!$A$97:$A$134,'Calculo Leads'!K$97:K$134)*_xlfn.XLOOKUP($P134,'Base Grupo de Produtos'!$E$2:$E$18,'Base Grupo de Produtos'!$F$2:$F$18)</f>
        <v>263.99999999999994</v>
      </c>
      <c r="Y134" s="56">
        <f>_xlfn.XLOOKUP($N134,'Calculo Leads'!$A$97:$A$134,'Calculo Leads'!L$97:L$134)*_xlfn.XLOOKUP($P134,'Base Grupo de Produtos'!$E$2:$E$18,'Base Grupo de Produtos'!$F$2:$F$18)</f>
        <v>329.99999999999994</v>
      </c>
      <c r="Z134" s="56">
        <f>_xlfn.XLOOKUP($N134,'Calculo Leads'!$A$97:$A$134,'Calculo Leads'!M$97:M$134)*_xlfn.XLOOKUP($P134,'Base Grupo de Produtos'!$E$2:$E$18,'Base Grupo de Produtos'!$F$2:$F$18)</f>
        <v>373.99999999999994</v>
      </c>
      <c r="AA134" s="56">
        <f>_xlfn.XLOOKUP($N134,'Calculo Leads'!$A$97:$A$134,'Calculo Leads'!N$97:N$134)*_xlfn.XLOOKUP($P134,'Base Grupo de Produtos'!$E$2:$E$18,'Base Grupo de Produtos'!$F$2:$F$18)</f>
        <v>417.99999999999994</v>
      </c>
      <c r="AB134" s="56">
        <f>_xlfn.XLOOKUP($N134,'Calculo Leads'!$A$97:$A$134,'Calculo Leads'!O$97:O$134)*_xlfn.XLOOKUP($P134,'Base Grupo de Produtos'!$E$2:$E$18,'Base Grupo de Produtos'!$F$2:$F$18)</f>
        <v>285.99999999999994</v>
      </c>
      <c r="AC134" s="61">
        <f t="shared" si="152"/>
        <v>2331.9999999999995</v>
      </c>
      <c r="AD134" s="27">
        <f t="shared" si="149"/>
        <v>2331.9999999999995</v>
      </c>
      <c r="AE134" s="25">
        <f>IFERROR(_xlfn.XLOOKUP(N134&amp;P134,'Historico Vendas'!G:G,'Historico Vendas'!E:E),0)</f>
        <v>0</v>
      </c>
      <c r="AF134" s="29" t="str">
        <f t="shared" si="130"/>
        <v/>
      </c>
      <c r="AG134" s="24">
        <f>IFERROR(_xlfn.XLOOKUP(N134&amp;P134,'Historico Vendas'!G:G,'Historico Vendas'!F:F),0)</f>
        <v>0</v>
      </c>
      <c r="AH134" s="25">
        <f t="shared" si="150"/>
        <v>0</v>
      </c>
      <c r="AI134" s="24">
        <f t="shared" si="151"/>
        <v>0</v>
      </c>
      <c r="AJ134" s="11" t="str">
        <f t="shared" si="133"/>
        <v/>
      </c>
      <c r="AK134" s="9" t="s">
        <v>102</v>
      </c>
      <c r="AL134" s="13">
        <f>IFERROR(INDEX('Balizador da Meta'!$D$3:$F$23,MATCH(Faturamento!$P134,'Balizador da Meta'!$C$3:$C$23,0),MATCH(Faturamento!AK134,'Balizador da Meta'!$D$2:$F$2,0)),"")</f>
        <v>0</v>
      </c>
      <c r="AM134" s="9"/>
    </row>
    <row r="135" spans="1:39" x14ac:dyDescent="0.3">
      <c r="A135" s="2" t="str">
        <f t="shared" si="131"/>
        <v>NÃO</v>
      </c>
      <c r="B135" s="2" t="str">
        <f>_xlfn.XLOOKUP($N135,'Base de Grupos'!$A:$A,'Base de Grupos'!$D:$D)</f>
        <v>1000065763</v>
      </c>
      <c r="C135" s="5" t="str">
        <f>_xlfn.XLOOKUP($N135,'Base de Grupos'!$A:$A,'Base de Grupos'!$E:$E)</f>
        <v>CANAL VENDA INTERNA</v>
      </c>
      <c r="D135" s="5" t="str">
        <f>_xlfn.XLOOKUP($N135,'Base de Grupos'!$A:$A,'Base de Grupos'!$F:$F)</f>
        <v>1000065763</v>
      </c>
      <c r="E135" s="2" t="str">
        <f>_xlfn.XLOOKUP($N135,'Base de Grupos'!$A:$A,'Base de Grupos'!$G:$G)</f>
        <v>CANAL VENDA INTERNA</v>
      </c>
      <c r="F135" s="2" t="str">
        <f>_xlfn.XLOOKUP($N135,'Base de Grupos'!$A:$A,'Base de Grupos'!$H:$H)</f>
        <v>1000105900</v>
      </c>
      <c r="G135" s="5" t="str">
        <f>_xlfn.XLOOKUP($N135,'Base de Grupos'!$A:$A,'Base de Grupos'!$I:$I)</f>
        <v>REGIONAL VENDA DIRETA CO + NE + NO</v>
      </c>
      <c r="H135" s="5" t="str">
        <f>_xlfn.XLOOKUP($N135,'Base de Grupos'!$A:$A,'Base de Grupos'!$J:$J)</f>
        <v>1000105900</v>
      </c>
      <c r="I135" s="2" t="str">
        <f>_xlfn.XLOOKUP($N135,'Base de Grupos'!$A:$A,'Base de Grupos'!$K:$K)</f>
        <v>REGIONAL VENDA DIRETA CO + NE + NO</v>
      </c>
      <c r="J135" s="2" t="str">
        <f>_xlfn.XLOOKUP($N135,'Base de Grupos'!$A:$A,'Base de Grupos'!$L:$L)</f>
        <v>1000150135</v>
      </c>
      <c r="K135" s="5" t="str">
        <f>_xlfn.XLOOKUP($N135,'Base de Grupos'!$A:$A,'Base de Grupos'!$M:$M)</f>
        <v>HELDER DA SILVA BRUNKOW</v>
      </c>
      <c r="L135" s="5" t="str">
        <f t="shared" si="132"/>
        <v/>
      </c>
      <c r="M135" s="5" t="str">
        <f>_xlfn.XLOOKUP($N135,'Base de Grupos'!$A:$A,'Base de Grupos'!$C:$C)</f>
        <v>BA</v>
      </c>
      <c r="N135" s="3">
        <v>1331</v>
      </c>
      <c r="O135" s="4" t="s">
        <v>231</v>
      </c>
      <c r="P135" s="5" t="s">
        <v>85</v>
      </c>
      <c r="Q135" s="56">
        <v>0</v>
      </c>
      <c r="R135" s="56">
        <v>0</v>
      </c>
      <c r="S135" s="56">
        <v>0</v>
      </c>
      <c r="T135" s="56">
        <f>_xlfn.XLOOKUP($N135,'Calculo Leads'!$A$97:$A$134,'Calculo Leads'!G$97:G$134)*_xlfn.XLOOKUP($P135,'Base Grupo de Produtos'!$E$2:$E$18,'Base Grupo de Produtos'!$F$2:$F$18)</f>
        <v>120</v>
      </c>
      <c r="U135" s="56">
        <f>_xlfn.XLOOKUP($N135,'Calculo Leads'!$A$97:$A$134,'Calculo Leads'!H$97:H$134)*_xlfn.XLOOKUP($P135,'Base Grupo de Produtos'!$E$2:$E$18,'Base Grupo de Produtos'!$F$2:$F$18)</f>
        <v>140</v>
      </c>
      <c r="V135" s="56">
        <f>_xlfn.XLOOKUP($N135,'Calculo Leads'!$A$97:$A$134,'Calculo Leads'!I$97:I$134)*_xlfn.XLOOKUP($P135,'Base Grupo de Produtos'!$E$2:$E$18,'Base Grupo de Produtos'!$F$2:$F$18)</f>
        <v>180</v>
      </c>
      <c r="W135" s="56">
        <f>_xlfn.XLOOKUP($N135,'Calculo Leads'!$A$97:$A$134,'Calculo Leads'!J$97:J$134)*_xlfn.XLOOKUP($P135,'Base Grupo de Produtos'!$E$2:$E$18,'Base Grupo de Produtos'!$F$2:$F$18)</f>
        <v>220</v>
      </c>
      <c r="X135" s="56">
        <f>_xlfn.XLOOKUP($N135,'Calculo Leads'!$A$97:$A$134,'Calculo Leads'!K$97:K$134)*_xlfn.XLOOKUP($P135,'Base Grupo de Produtos'!$E$2:$E$18,'Base Grupo de Produtos'!$F$2:$F$18)</f>
        <v>264</v>
      </c>
      <c r="Y135" s="56">
        <f>_xlfn.XLOOKUP($N135,'Calculo Leads'!$A$97:$A$134,'Calculo Leads'!L$97:L$134)*_xlfn.XLOOKUP($P135,'Base Grupo de Produtos'!$E$2:$E$18,'Base Grupo de Produtos'!$F$2:$F$18)</f>
        <v>330</v>
      </c>
      <c r="Z135" s="56">
        <f>_xlfn.XLOOKUP($N135,'Calculo Leads'!$A$97:$A$134,'Calculo Leads'!M$97:M$134)*_xlfn.XLOOKUP($P135,'Base Grupo de Produtos'!$E$2:$E$18,'Base Grupo de Produtos'!$F$2:$F$18)</f>
        <v>374</v>
      </c>
      <c r="AA135" s="56">
        <f>_xlfn.XLOOKUP($N135,'Calculo Leads'!$A$97:$A$134,'Calculo Leads'!N$97:N$134)*_xlfn.XLOOKUP($P135,'Base Grupo de Produtos'!$E$2:$E$18,'Base Grupo de Produtos'!$F$2:$F$18)</f>
        <v>418</v>
      </c>
      <c r="AB135" s="56">
        <f>_xlfn.XLOOKUP($N135,'Calculo Leads'!$A$97:$A$134,'Calculo Leads'!O$97:O$134)*_xlfn.XLOOKUP($P135,'Base Grupo de Produtos'!$E$2:$E$18,'Base Grupo de Produtos'!$F$2:$F$18)</f>
        <v>286</v>
      </c>
      <c r="AC135" s="61">
        <f t="shared" si="152"/>
        <v>2332</v>
      </c>
      <c r="AD135" s="27">
        <f t="shared" si="149"/>
        <v>2332</v>
      </c>
      <c r="AE135" s="25">
        <f>IFERROR(_xlfn.XLOOKUP(N135&amp;P135,'Historico Vendas'!G:G,'Historico Vendas'!E:E),0)</f>
        <v>0</v>
      </c>
      <c r="AF135" s="29" t="str">
        <f t="shared" si="130"/>
        <v/>
      </c>
      <c r="AG135" s="24">
        <f>IFERROR(_xlfn.XLOOKUP(N135&amp;P135,'Historico Vendas'!G:G,'Historico Vendas'!F:F),0)</f>
        <v>0</v>
      </c>
      <c r="AH135" s="25">
        <f t="shared" si="150"/>
        <v>0</v>
      </c>
      <c r="AI135" s="24">
        <f t="shared" si="151"/>
        <v>0</v>
      </c>
      <c r="AJ135" s="11" t="str">
        <f t="shared" si="133"/>
        <v/>
      </c>
      <c r="AK135" s="9" t="s">
        <v>102</v>
      </c>
      <c r="AL135" s="13">
        <f>IFERROR(INDEX('Balizador da Meta'!$D$3:$F$23,MATCH(Faturamento!$P135,'Balizador da Meta'!$C$3:$C$23,0),MATCH(Faturamento!AK135,'Balizador da Meta'!$D$2:$F$2,0)),"")</f>
        <v>0</v>
      </c>
      <c r="AM135" s="9"/>
    </row>
    <row r="136" spans="1:39" x14ac:dyDescent="0.3">
      <c r="A136" s="2" t="str">
        <f t="shared" si="131"/>
        <v>NÃO</v>
      </c>
      <c r="B136" s="2" t="str">
        <f>_xlfn.XLOOKUP($N136,'Base de Grupos'!$A:$A,'Base de Grupos'!$D:$D)</f>
        <v>1000065763</v>
      </c>
      <c r="C136" s="5" t="str">
        <f>_xlfn.XLOOKUP($N136,'Base de Grupos'!$A:$A,'Base de Grupos'!$E:$E)</f>
        <v>CANAL VENDA INTERNA</v>
      </c>
      <c r="D136" s="5" t="str">
        <f>_xlfn.XLOOKUP($N136,'Base de Grupos'!$A:$A,'Base de Grupos'!$F:$F)</f>
        <v>1000065763</v>
      </c>
      <c r="E136" s="2" t="str">
        <f>_xlfn.XLOOKUP($N136,'Base de Grupos'!$A:$A,'Base de Grupos'!$G:$G)</f>
        <v>CANAL VENDA INTERNA</v>
      </c>
      <c r="F136" s="2" t="str">
        <f>_xlfn.XLOOKUP($N136,'Base de Grupos'!$A:$A,'Base de Grupos'!$H:$H)</f>
        <v>1000105900</v>
      </c>
      <c r="G136" s="5" t="str">
        <f>_xlfn.XLOOKUP($N136,'Base de Grupos'!$A:$A,'Base de Grupos'!$I:$I)</f>
        <v>REGIONAL VENDA DIRETA CO + NE + NO</v>
      </c>
      <c r="H136" s="5" t="str">
        <f>_xlfn.XLOOKUP($N136,'Base de Grupos'!$A:$A,'Base de Grupos'!$J:$J)</f>
        <v>1000105900</v>
      </c>
      <c r="I136" s="2" t="str">
        <f>_xlfn.XLOOKUP($N136,'Base de Grupos'!$A:$A,'Base de Grupos'!$K:$K)</f>
        <v>REGIONAL VENDA DIRETA CO + NE + NO</v>
      </c>
      <c r="J136" s="2" t="str">
        <f>_xlfn.XLOOKUP($N136,'Base de Grupos'!$A:$A,'Base de Grupos'!$L:$L)</f>
        <v>1000150135</v>
      </c>
      <c r="K136" s="5" t="str">
        <f>_xlfn.XLOOKUP($N136,'Base de Grupos'!$A:$A,'Base de Grupos'!$M:$M)</f>
        <v>HELDER DA SILVA BRUNKOW</v>
      </c>
      <c r="L136" s="5" t="str">
        <f t="shared" si="132"/>
        <v/>
      </c>
      <c r="M136" s="5" t="str">
        <f>_xlfn.XLOOKUP($N136,'Base de Grupos'!$A:$A,'Base de Grupos'!$C:$C)</f>
        <v>BA</v>
      </c>
      <c r="N136" s="3">
        <v>1331</v>
      </c>
      <c r="O136" s="4" t="s">
        <v>231</v>
      </c>
      <c r="P136" s="5" t="s">
        <v>92</v>
      </c>
      <c r="Q136" s="56">
        <v>0</v>
      </c>
      <c r="R136" s="56">
        <v>0</v>
      </c>
      <c r="S136" s="56">
        <v>0</v>
      </c>
      <c r="T136" s="56">
        <f>_xlfn.XLOOKUP($N136,'Calculo Leads'!$A$97:$A$134,'Calculo Leads'!G$97:G$134)*_xlfn.XLOOKUP($P136,'Base Grupo de Produtos'!$E$2:$E$18,'Base Grupo de Produtos'!$F$2:$F$18)</f>
        <v>120</v>
      </c>
      <c r="U136" s="56">
        <f>_xlfn.XLOOKUP($N136,'Calculo Leads'!$A$97:$A$134,'Calculo Leads'!H$97:H$134)*_xlfn.XLOOKUP($P136,'Base Grupo de Produtos'!$E$2:$E$18,'Base Grupo de Produtos'!$F$2:$F$18)</f>
        <v>140</v>
      </c>
      <c r="V136" s="56">
        <f>_xlfn.XLOOKUP($N136,'Calculo Leads'!$A$97:$A$134,'Calculo Leads'!I$97:I$134)*_xlfn.XLOOKUP($P136,'Base Grupo de Produtos'!$E$2:$E$18,'Base Grupo de Produtos'!$F$2:$F$18)</f>
        <v>180</v>
      </c>
      <c r="W136" s="56">
        <f>_xlfn.XLOOKUP($N136,'Calculo Leads'!$A$97:$A$134,'Calculo Leads'!J$97:J$134)*_xlfn.XLOOKUP($P136,'Base Grupo de Produtos'!$E$2:$E$18,'Base Grupo de Produtos'!$F$2:$F$18)</f>
        <v>220</v>
      </c>
      <c r="X136" s="56">
        <f>_xlfn.XLOOKUP($N136,'Calculo Leads'!$A$97:$A$134,'Calculo Leads'!K$97:K$134)*_xlfn.XLOOKUP($P136,'Base Grupo de Produtos'!$E$2:$E$18,'Base Grupo de Produtos'!$F$2:$F$18)</f>
        <v>264</v>
      </c>
      <c r="Y136" s="56">
        <f>_xlfn.XLOOKUP($N136,'Calculo Leads'!$A$97:$A$134,'Calculo Leads'!L$97:L$134)*_xlfn.XLOOKUP($P136,'Base Grupo de Produtos'!$E$2:$E$18,'Base Grupo de Produtos'!$F$2:$F$18)</f>
        <v>330</v>
      </c>
      <c r="Z136" s="56">
        <f>_xlfn.XLOOKUP($N136,'Calculo Leads'!$A$97:$A$134,'Calculo Leads'!M$97:M$134)*_xlfn.XLOOKUP($P136,'Base Grupo de Produtos'!$E$2:$E$18,'Base Grupo de Produtos'!$F$2:$F$18)</f>
        <v>374</v>
      </c>
      <c r="AA136" s="56">
        <f>_xlfn.XLOOKUP($N136,'Calculo Leads'!$A$97:$A$134,'Calculo Leads'!N$97:N$134)*_xlfn.XLOOKUP($P136,'Base Grupo de Produtos'!$E$2:$E$18,'Base Grupo de Produtos'!$F$2:$F$18)</f>
        <v>418</v>
      </c>
      <c r="AB136" s="56">
        <f>_xlfn.XLOOKUP($N136,'Calculo Leads'!$A$97:$A$134,'Calculo Leads'!O$97:O$134)*_xlfn.XLOOKUP($P136,'Base Grupo de Produtos'!$E$2:$E$18,'Base Grupo de Produtos'!$F$2:$F$18)</f>
        <v>286</v>
      </c>
      <c r="AC136" s="61">
        <f t="shared" si="152"/>
        <v>2332</v>
      </c>
      <c r="AD136" s="27">
        <f t="shared" si="149"/>
        <v>2332</v>
      </c>
      <c r="AE136" s="25">
        <f>IFERROR(_xlfn.XLOOKUP(N136&amp;P136,'Historico Vendas'!G:G,'Historico Vendas'!E:E),0)</f>
        <v>0</v>
      </c>
      <c r="AF136" s="29" t="str">
        <f t="shared" si="130"/>
        <v/>
      </c>
      <c r="AG136" s="24">
        <f>IFERROR(_xlfn.XLOOKUP(N136&amp;P136,'Historico Vendas'!G:G,'Historico Vendas'!F:F),0)</f>
        <v>0</v>
      </c>
      <c r="AH136" s="25">
        <f t="shared" si="150"/>
        <v>0</v>
      </c>
      <c r="AI136" s="24">
        <f t="shared" si="151"/>
        <v>0</v>
      </c>
      <c r="AJ136" s="11" t="str">
        <f t="shared" si="133"/>
        <v/>
      </c>
      <c r="AK136" s="9" t="s">
        <v>102</v>
      </c>
      <c r="AL136" s="13">
        <f>IFERROR(INDEX('Balizador da Meta'!$D$3:$F$23,MATCH(Faturamento!$P136,'Balizador da Meta'!$C$3:$C$23,0),MATCH(Faturamento!AK136,'Balizador da Meta'!$D$2:$F$2,0)),"")</f>
        <v>0</v>
      </c>
      <c r="AM136" s="9"/>
    </row>
    <row r="137" spans="1:39" x14ac:dyDescent="0.3">
      <c r="A137" s="2" t="str">
        <f t="shared" si="131"/>
        <v>NÃO</v>
      </c>
      <c r="B137" s="2" t="str">
        <f>_xlfn.XLOOKUP($N137,'Base de Grupos'!$A:$A,'Base de Grupos'!$D:$D)</f>
        <v>1000065763</v>
      </c>
      <c r="C137" s="5" t="str">
        <f>_xlfn.XLOOKUP($N137,'Base de Grupos'!$A:$A,'Base de Grupos'!$E:$E)</f>
        <v>CANAL VENDA INTERNA</v>
      </c>
      <c r="D137" s="5" t="str">
        <f>_xlfn.XLOOKUP($N137,'Base de Grupos'!$A:$A,'Base de Grupos'!$F:$F)</f>
        <v>1000065763</v>
      </c>
      <c r="E137" s="2" t="str">
        <f>_xlfn.XLOOKUP($N137,'Base de Grupos'!$A:$A,'Base de Grupos'!$G:$G)</f>
        <v>CANAL VENDA INTERNA</v>
      </c>
      <c r="F137" s="2" t="str">
        <f>_xlfn.XLOOKUP($N137,'Base de Grupos'!$A:$A,'Base de Grupos'!$H:$H)</f>
        <v>1000105900</v>
      </c>
      <c r="G137" s="5" t="str">
        <f>_xlfn.XLOOKUP($N137,'Base de Grupos'!$A:$A,'Base de Grupos'!$I:$I)</f>
        <v>REGIONAL VENDA DIRETA CO + NE + NO</v>
      </c>
      <c r="H137" s="5" t="str">
        <f>_xlfn.XLOOKUP($N137,'Base de Grupos'!$A:$A,'Base de Grupos'!$J:$J)</f>
        <v>1000105900</v>
      </c>
      <c r="I137" s="2" t="str">
        <f>_xlfn.XLOOKUP($N137,'Base de Grupos'!$A:$A,'Base de Grupos'!$K:$K)</f>
        <v>REGIONAL VENDA DIRETA CO + NE + NO</v>
      </c>
      <c r="J137" s="2" t="str">
        <f>_xlfn.XLOOKUP($N137,'Base de Grupos'!$A:$A,'Base de Grupos'!$L:$L)</f>
        <v>1000150135</v>
      </c>
      <c r="K137" s="5" t="str">
        <f>_xlfn.XLOOKUP($N137,'Base de Grupos'!$A:$A,'Base de Grupos'!$M:$M)</f>
        <v>HELDER DA SILVA BRUNKOW</v>
      </c>
      <c r="L137" s="5" t="str">
        <f t="shared" si="132"/>
        <v/>
      </c>
      <c r="M137" s="5" t="str">
        <f>_xlfn.XLOOKUP($N137,'Base de Grupos'!$A:$A,'Base de Grupos'!$C:$C)</f>
        <v>BA</v>
      </c>
      <c r="N137" s="3">
        <v>1331</v>
      </c>
      <c r="O137" s="4" t="s">
        <v>231</v>
      </c>
      <c r="P137" s="5" t="s">
        <v>86</v>
      </c>
      <c r="Q137" s="56">
        <v>0</v>
      </c>
      <c r="R137" s="56">
        <v>0</v>
      </c>
      <c r="S137" s="56">
        <v>0</v>
      </c>
      <c r="T137" s="56">
        <f>_xlfn.XLOOKUP($N137,'Calculo Leads'!$A$97:$A$134,'Calculo Leads'!G$97:G$134)*_xlfn.XLOOKUP($P137,'Base Grupo de Produtos'!$E$2:$E$18,'Base Grupo de Produtos'!$F$2:$F$18)</f>
        <v>180</v>
      </c>
      <c r="U137" s="56">
        <f>_xlfn.XLOOKUP($N137,'Calculo Leads'!$A$97:$A$134,'Calculo Leads'!H$97:H$134)*_xlfn.XLOOKUP($P137,'Base Grupo de Produtos'!$E$2:$E$18,'Base Grupo de Produtos'!$F$2:$F$18)</f>
        <v>210</v>
      </c>
      <c r="V137" s="56">
        <f>_xlfn.XLOOKUP($N137,'Calculo Leads'!$A$97:$A$134,'Calculo Leads'!I$97:I$134)*_xlfn.XLOOKUP($P137,'Base Grupo de Produtos'!$E$2:$E$18,'Base Grupo de Produtos'!$F$2:$F$18)</f>
        <v>270</v>
      </c>
      <c r="W137" s="56">
        <f>_xlfn.XLOOKUP($N137,'Calculo Leads'!$A$97:$A$134,'Calculo Leads'!J$97:J$134)*_xlfn.XLOOKUP($P137,'Base Grupo de Produtos'!$E$2:$E$18,'Base Grupo de Produtos'!$F$2:$F$18)</f>
        <v>330</v>
      </c>
      <c r="X137" s="56">
        <f>_xlfn.XLOOKUP($N137,'Calculo Leads'!$A$97:$A$134,'Calculo Leads'!K$97:K$134)*_xlfn.XLOOKUP($P137,'Base Grupo de Produtos'!$E$2:$E$18,'Base Grupo de Produtos'!$F$2:$F$18)</f>
        <v>396</v>
      </c>
      <c r="Y137" s="56">
        <f>_xlfn.XLOOKUP($N137,'Calculo Leads'!$A$97:$A$134,'Calculo Leads'!L$97:L$134)*_xlfn.XLOOKUP($P137,'Base Grupo de Produtos'!$E$2:$E$18,'Base Grupo de Produtos'!$F$2:$F$18)</f>
        <v>495</v>
      </c>
      <c r="Z137" s="56">
        <f>_xlfn.XLOOKUP($N137,'Calculo Leads'!$A$97:$A$134,'Calculo Leads'!M$97:M$134)*_xlfn.XLOOKUP($P137,'Base Grupo de Produtos'!$E$2:$E$18,'Base Grupo de Produtos'!$F$2:$F$18)</f>
        <v>561</v>
      </c>
      <c r="AA137" s="56">
        <f>_xlfn.XLOOKUP($N137,'Calculo Leads'!$A$97:$A$134,'Calculo Leads'!N$97:N$134)*_xlfn.XLOOKUP($P137,'Base Grupo de Produtos'!$E$2:$E$18,'Base Grupo de Produtos'!$F$2:$F$18)</f>
        <v>627</v>
      </c>
      <c r="AB137" s="56">
        <f>_xlfn.XLOOKUP($N137,'Calculo Leads'!$A$97:$A$134,'Calculo Leads'!O$97:O$134)*_xlfn.XLOOKUP($P137,'Base Grupo de Produtos'!$E$2:$E$18,'Base Grupo de Produtos'!$F$2:$F$18)</f>
        <v>429</v>
      </c>
      <c r="AC137" s="61">
        <f t="shared" si="152"/>
        <v>3498</v>
      </c>
      <c r="AD137" s="27">
        <f t="shared" si="149"/>
        <v>3498</v>
      </c>
      <c r="AE137" s="25">
        <f>IFERROR(_xlfn.XLOOKUP(N137&amp;P137,'Historico Vendas'!G:G,'Historico Vendas'!E:E),0)</f>
        <v>0</v>
      </c>
      <c r="AF137" s="29" t="str">
        <f t="shared" si="130"/>
        <v/>
      </c>
      <c r="AG137" s="24">
        <f>IFERROR(_xlfn.XLOOKUP(N137&amp;P137,'Historico Vendas'!G:G,'Historico Vendas'!F:F),0)</f>
        <v>0</v>
      </c>
      <c r="AH137" s="25">
        <f t="shared" si="150"/>
        <v>0</v>
      </c>
      <c r="AI137" s="24">
        <f t="shared" si="151"/>
        <v>0</v>
      </c>
      <c r="AJ137" s="11" t="str">
        <f t="shared" si="133"/>
        <v/>
      </c>
      <c r="AK137" s="9" t="s">
        <v>102</v>
      </c>
      <c r="AL137" s="13">
        <f>IFERROR(INDEX('Balizador da Meta'!$D$3:$F$23,MATCH(Faturamento!$P137,'Balizador da Meta'!$C$3:$C$23,0),MATCH(Faturamento!AK137,'Balizador da Meta'!$D$2:$F$2,0)),"")</f>
        <v>0.15</v>
      </c>
      <c r="AM137" s="9"/>
    </row>
    <row r="138" spans="1:39" x14ac:dyDescent="0.3">
      <c r="A138" s="2" t="str">
        <f t="shared" si="131"/>
        <v>NÃO</v>
      </c>
      <c r="B138" s="2" t="str">
        <f>_xlfn.XLOOKUP($N138,'Base de Grupos'!$A:$A,'Base de Grupos'!$D:$D)</f>
        <v>1000065763</v>
      </c>
      <c r="C138" s="5" t="str">
        <f>_xlfn.XLOOKUP($N138,'Base de Grupos'!$A:$A,'Base de Grupos'!$E:$E)</f>
        <v>CANAL VENDA INTERNA</v>
      </c>
      <c r="D138" s="5" t="str">
        <f>_xlfn.XLOOKUP($N138,'Base de Grupos'!$A:$A,'Base de Grupos'!$F:$F)</f>
        <v>1000065763</v>
      </c>
      <c r="E138" s="2" t="str">
        <f>_xlfn.XLOOKUP($N138,'Base de Grupos'!$A:$A,'Base de Grupos'!$G:$G)</f>
        <v>CANAL VENDA INTERNA</v>
      </c>
      <c r="F138" s="2" t="str">
        <f>_xlfn.XLOOKUP($N138,'Base de Grupos'!$A:$A,'Base de Grupos'!$H:$H)</f>
        <v>1000105900</v>
      </c>
      <c r="G138" s="5" t="str">
        <f>_xlfn.XLOOKUP($N138,'Base de Grupos'!$A:$A,'Base de Grupos'!$I:$I)</f>
        <v>REGIONAL VENDA DIRETA CO + NE + NO</v>
      </c>
      <c r="H138" s="5" t="str">
        <f>_xlfn.XLOOKUP($N138,'Base de Grupos'!$A:$A,'Base de Grupos'!$J:$J)</f>
        <v>1000105900</v>
      </c>
      <c r="I138" s="2" t="str">
        <f>_xlfn.XLOOKUP($N138,'Base de Grupos'!$A:$A,'Base de Grupos'!$K:$K)</f>
        <v>REGIONAL VENDA DIRETA CO + NE + NO</v>
      </c>
      <c r="J138" s="2" t="str">
        <f>_xlfn.XLOOKUP($N138,'Base de Grupos'!$A:$A,'Base de Grupos'!$L:$L)</f>
        <v>1000150135</v>
      </c>
      <c r="K138" s="5" t="str">
        <f>_xlfn.XLOOKUP($N138,'Base de Grupos'!$A:$A,'Base de Grupos'!$M:$M)</f>
        <v>HELDER DA SILVA BRUNKOW</v>
      </c>
      <c r="L138" s="5" t="str">
        <f t="shared" si="132"/>
        <v/>
      </c>
      <c r="M138" s="5" t="str">
        <f>_xlfn.XLOOKUP($N138,'Base de Grupos'!$A:$A,'Base de Grupos'!$C:$C)</f>
        <v>BA</v>
      </c>
      <c r="N138" s="3">
        <v>1331</v>
      </c>
      <c r="O138" s="4" t="s">
        <v>231</v>
      </c>
      <c r="P138" s="5" t="s">
        <v>108</v>
      </c>
      <c r="Q138" s="56">
        <v>0</v>
      </c>
      <c r="R138" s="56">
        <v>0</v>
      </c>
      <c r="S138" s="56">
        <v>0</v>
      </c>
      <c r="T138" s="56">
        <f>_xlfn.XLOOKUP($N138,'Calculo Leads'!$A$97:$A$134,'Calculo Leads'!G$97:G$134)*_xlfn.XLOOKUP($P138,'Base Grupo de Produtos'!$E$2:$E$18,'Base Grupo de Produtos'!$F$2:$F$18)</f>
        <v>1500</v>
      </c>
      <c r="U138" s="56">
        <f>_xlfn.XLOOKUP($N138,'Calculo Leads'!$A$97:$A$134,'Calculo Leads'!H$97:H$134)*_xlfn.XLOOKUP($P138,'Base Grupo de Produtos'!$E$2:$E$18,'Base Grupo de Produtos'!$F$2:$F$18)</f>
        <v>1750</v>
      </c>
      <c r="V138" s="56">
        <f>_xlfn.XLOOKUP($N138,'Calculo Leads'!$A$97:$A$134,'Calculo Leads'!I$97:I$134)*_xlfn.XLOOKUP($P138,'Base Grupo de Produtos'!$E$2:$E$18,'Base Grupo de Produtos'!$F$2:$F$18)</f>
        <v>2250</v>
      </c>
      <c r="W138" s="56">
        <f>_xlfn.XLOOKUP($N138,'Calculo Leads'!$A$97:$A$134,'Calculo Leads'!J$97:J$134)*_xlfn.XLOOKUP($P138,'Base Grupo de Produtos'!$E$2:$E$18,'Base Grupo de Produtos'!$F$2:$F$18)</f>
        <v>2750</v>
      </c>
      <c r="X138" s="56">
        <f>_xlfn.XLOOKUP($N138,'Calculo Leads'!$A$97:$A$134,'Calculo Leads'!K$97:K$134)*_xlfn.XLOOKUP($P138,'Base Grupo de Produtos'!$E$2:$E$18,'Base Grupo de Produtos'!$F$2:$F$18)</f>
        <v>3300</v>
      </c>
      <c r="Y138" s="56">
        <f>_xlfn.XLOOKUP($N138,'Calculo Leads'!$A$97:$A$134,'Calculo Leads'!L$97:L$134)*_xlfn.XLOOKUP($P138,'Base Grupo de Produtos'!$E$2:$E$18,'Base Grupo de Produtos'!$F$2:$F$18)</f>
        <v>4125</v>
      </c>
      <c r="Z138" s="56">
        <f>_xlfn.XLOOKUP($N138,'Calculo Leads'!$A$97:$A$134,'Calculo Leads'!M$97:M$134)*_xlfn.XLOOKUP($P138,'Base Grupo de Produtos'!$E$2:$E$18,'Base Grupo de Produtos'!$F$2:$F$18)</f>
        <v>4675</v>
      </c>
      <c r="AA138" s="56">
        <f>_xlfn.XLOOKUP($N138,'Calculo Leads'!$A$97:$A$134,'Calculo Leads'!N$97:N$134)*_xlfn.XLOOKUP($P138,'Base Grupo de Produtos'!$E$2:$E$18,'Base Grupo de Produtos'!$F$2:$F$18)</f>
        <v>5225</v>
      </c>
      <c r="AB138" s="56">
        <f>_xlfn.XLOOKUP($N138,'Calculo Leads'!$A$97:$A$134,'Calculo Leads'!O$97:O$134)*_xlfn.XLOOKUP($P138,'Base Grupo de Produtos'!$E$2:$E$18,'Base Grupo de Produtos'!$F$2:$F$18)</f>
        <v>3575</v>
      </c>
      <c r="AC138" s="61">
        <f t="shared" si="152"/>
        <v>29150</v>
      </c>
      <c r="AD138" s="27">
        <f>IF(AC138=0,0,AC138-AG138)</f>
        <v>29150</v>
      </c>
      <c r="AE138" s="25">
        <f>IFERROR(_xlfn.XLOOKUP(N138&amp;P138,'Historico Vendas'!G:G,'Historico Vendas'!E:E),0)</f>
        <v>0</v>
      </c>
      <c r="AF138" s="29" t="str">
        <f t="shared" si="130"/>
        <v/>
      </c>
      <c r="AG138" s="24">
        <f>IFERROR(_xlfn.XLOOKUP(N138&amp;P138,'Historico Vendas'!G:G,'Historico Vendas'!F:F),0)</f>
        <v>0</v>
      </c>
      <c r="AH138" s="25">
        <f t="shared" si="150"/>
        <v>0</v>
      </c>
      <c r="AI138" s="24">
        <f t="shared" si="151"/>
        <v>0</v>
      </c>
      <c r="AJ138" s="11" t="str">
        <f t="shared" si="133"/>
        <v/>
      </c>
      <c r="AK138" s="9" t="s">
        <v>102</v>
      </c>
      <c r="AL138" s="13">
        <f>IFERROR(INDEX('Balizador da Meta'!$D$3:$F$23,MATCH(Faturamento!$P138,'Balizador da Meta'!$C$3:$C$23,0),MATCH(Faturamento!AK138,'Balizador da Meta'!$D$2:$F$2,0)),"")</f>
        <v>0</v>
      </c>
      <c r="AM138" s="9"/>
    </row>
    <row r="139" spans="1:39" x14ac:dyDescent="0.3">
      <c r="A139" s="2" t="str">
        <f t="shared" si="131"/>
        <v>NÃO</v>
      </c>
      <c r="B139" s="2" t="str">
        <f>_xlfn.XLOOKUP($N139,'Base de Grupos'!$A:$A,'Base de Grupos'!$D:$D)</f>
        <v>1000065763</v>
      </c>
      <c r="C139" s="5" t="str">
        <f>_xlfn.XLOOKUP($N139,'Base de Grupos'!$A:$A,'Base de Grupos'!$E:$E)</f>
        <v>CANAL VENDA INTERNA</v>
      </c>
      <c r="D139" s="5" t="str">
        <f>_xlfn.XLOOKUP($N139,'Base de Grupos'!$A:$A,'Base de Grupos'!$F:$F)</f>
        <v>1000065763</v>
      </c>
      <c r="E139" s="2" t="str">
        <f>_xlfn.XLOOKUP($N139,'Base de Grupos'!$A:$A,'Base de Grupos'!$G:$G)</f>
        <v>CANAL VENDA INTERNA</v>
      </c>
      <c r="F139" s="2" t="str">
        <f>_xlfn.XLOOKUP($N139,'Base de Grupos'!$A:$A,'Base de Grupos'!$H:$H)</f>
        <v>1000105900</v>
      </c>
      <c r="G139" s="5" t="str">
        <f>_xlfn.XLOOKUP($N139,'Base de Grupos'!$A:$A,'Base de Grupos'!$I:$I)</f>
        <v>REGIONAL VENDA DIRETA CO + NE + NO</v>
      </c>
      <c r="H139" s="5" t="str">
        <f>_xlfn.XLOOKUP($N139,'Base de Grupos'!$A:$A,'Base de Grupos'!$J:$J)</f>
        <v>1000105900</v>
      </c>
      <c r="I139" s="2" t="str">
        <f>_xlfn.XLOOKUP($N139,'Base de Grupos'!$A:$A,'Base de Grupos'!$K:$K)</f>
        <v>REGIONAL VENDA DIRETA CO + NE + NO</v>
      </c>
      <c r="J139" s="2" t="str">
        <f>_xlfn.XLOOKUP($N139,'Base de Grupos'!$A:$A,'Base de Grupos'!$L:$L)</f>
        <v>1000150135</v>
      </c>
      <c r="K139" s="5" t="str">
        <f>_xlfn.XLOOKUP($N139,'Base de Grupos'!$A:$A,'Base de Grupos'!$M:$M)</f>
        <v>HELDER DA SILVA BRUNKOW</v>
      </c>
      <c r="L139" s="5" t="str">
        <f t="shared" si="132"/>
        <v/>
      </c>
      <c r="M139" s="5" t="str">
        <f>_xlfn.XLOOKUP($N139,'Base de Grupos'!$A:$A,'Base de Grupos'!$C:$C)</f>
        <v>BA</v>
      </c>
      <c r="N139" s="3">
        <v>1331</v>
      </c>
      <c r="O139" s="4" t="s">
        <v>231</v>
      </c>
      <c r="P139" s="5" t="s">
        <v>89</v>
      </c>
      <c r="Q139" s="56">
        <v>0</v>
      </c>
      <c r="R139" s="56">
        <v>0</v>
      </c>
      <c r="S139" s="56">
        <v>0</v>
      </c>
      <c r="T139" s="56">
        <f>_xlfn.XLOOKUP($N139,'Calculo Leads'!$A$97:$A$134,'Calculo Leads'!G$97:G$134)*_xlfn.XLOOKUP($P139,'Base Grupo de Produtos'!$E$2:$E$18,'Base Grupo de Produtos'!$F$2:$F$18)</f>
        <v>300</v>
      </c>
      <c r="U139" s="56">
        <f>_xlfn.XLOOKUP($N139,'Calculo Leads'!$A$97:$A$134,'Calculo Leads'!H$97:H$134)*_xlfn.XLOOKUP($P139,'Base Grupo de Produtos'!$E$2:$E$18,'Base Grupo de Produtos'!$F$2:$F$18)</f>
        <v>350</v>
      </c>
      <c r="V139" s="56">
        <f>_xlfn.XLOOKUP($N139,'Calculo Leads'!$A$97:$A$134,'Calculo Leads'!I$97:I$134)*_xlfn.XLOOKUP($P139,'Base Grupo de Produtos'!$E$2:$E$18,'Base Grupo de Produtos'!$F$2:$F$18)</f>
        <v>450</v>
      </c>
      <c r="W139" s="56">
        <f>_xlfn.XLOOKUP($N139,'Calculo Leads'!$A$97:$A$134,'Calculo Leads'!J$97:J$134)*_xlfn.XLOOKUP($P139,'Base Grupo de Produtos'!$E$2:$E$18,'Base Grupo de Produtos'!$F$2:$F$18)</f>
        <v>550</v>
      </c>
      <c r="X139" s="56">
        <f>_xlfn.XLOOKUP($N139,'Calculo Leads'!$A$97:$A$134,'Calculo Leads'!K$97:K$134)*_xlfn.XLOOKUP($P139,'Base Grupo de Produtos'!$E$2:$E$18,'Base Grupo de Produtos'!$F$2:$F$18)</f>
        <v>660</v>
      </c>
      <c r="Y139" s="56">
        <f>_xlfn.XLOOKUP($N139,'Calculo Leads'!$A$97:$A$134,'Calculo Leads'!L$97:L$134)*_xlfn.XLOOKUP($P139,'Base Grupo de Produtos'!$E$2:$E$18,'Base Grupo de Produtos'!$F$2:$F$18)</f>
        <v>825</v>
      </c>
      <c r="Z139" s="56">
        <f>_xlfn.XLOOKUP($N139,'Calculo Leads'!$A$97:$A$134,'Calculo Leads'!M$97:M$134)*_xlfn.XLOOKUP($P139,'Base Grupo de Produtos'!$E$2:$E$18,'Base Grupo de Produtos'!$F$2:$F$18)</f>
        <v>935</v>
      </c>
      <c r="AA139" s="56">
        <f>_xlfn.XLOOKUP($N139,'Calculo Leads'!$A$97:$A$134,'Calculo Leads'!N$97:N$134)*_xlfn.XLOOKUP($P139,'Base Grupo de Produtos'!$E$2:$E$18,'Base Grupo de Produtos'!$F$2:$F$18)</f>
        <v>1045</v>
      </c>
      <c r="AB139" s="56">
        <f>_xlfn.XLOOKUP($N139,'Calculo Leads'!$A$97:$A$134,'Calculo Leads'!O$97:O$134)*_xlfn.XLOOKUP($P139,'Base Grupo de Produtos'!$E$2:$E$18,'Base Grupo de Produtos'!$F$2:$F$18)</f>
        <v>715</v>
      </c>
      <c r="AC139" s="61">
        <f t="shared" si="152"/>
        <v>5830</v>
      </c>
      <c r="AD139" s="27">
        <f t="shared" ref="AD139:AD146" si="153">IF(AC139=0,0,AC139-AG139)</f>
        <v>5830</v>
      </c>
      <c r="AE139" s="25">
        <f>IFERROR(_xlfn.XLOOKUP(N139&amp;P139,'Historico Vendas'!G:G,'Historico Vendas'!E:E),0)</f>
        <v>0</v>
      </c>
      <c r="AF139" s="29" t="str">
        <f t="shared" si="130"/>
        <v/>
      </c>
      <c r="AG139" s="24">
        <f>IFERROR(_xlfn.XLOOKUP(N139&amp;P139,'Historico Vendas'!G:G,'Historico Vendas'!F:F),0)</f>
        <v>0</v>
      </c>
      <c r="AH139" s="25">
        <f t="shared" si="150"/>
        <v>0</v>
      </c>
      <c r="AI139" s="24">
        <f t="shared" si="151"/>
        <v>0</v>
      </c>
      <c r="AJ139" s="11" t="str">
        <f t="shared" si="133"/>
        <v/>
      </c>
      <c r="AK139" s="9" t="s">
        <v>102</v>
      </c>
      <c r="AL139" s="13">
        <f>IFERROR(INDEX('Balizador da Meta'!$D$3:$F$23,MATCH(Faturamento!$P139,'Balizador da Meta'!$C$3:$C$23,0),MATCH(Faturamento!AK139,'Balizador da Meta'!$D$2:$F$2,0)),"")</f>
        <v>0.25</v>
      </c>
      <c r="AM139" s="9"/>
    </row>
    <row r="140" spans="1:39" x14ac:dyDescent="0.3">
      <c r="A140" s="2" t="str">
        <f t="shared" si="131"/>
        <v>NÃO</v>
      </c>
      <c r="B140" s="2" t="str">
        <f>_xlfn.XLOOKUP($N140,'Base de Grupos'!$A:$A,'Base de Grupos'!$D:$D)</f>
        <v>1000065763</v>
      </c>
      <c r="C140" s="5" t="str">
        <f>_xlfn.XLOOKUP($N140,'Base de Grupos'!$A:$A,'Base de Grupos'!$E:$E)</f>
        <v>CANAL VENDA INTERNA</v>
      </c>
      <c r="D140" s="5" t="str">
        <f>_xlfn.XLOOKUP($N140,'Base de Grupos'!$A:$A,'Base de Grupos'!$F:$F)</f>
        <v>1000065763</v>
      </c>
      <c r="E140" s="2" t="str">
        <f>_xlfn.XLOOKUP($N140,'Base de Grupos'!$A:$A,'Base de Grupos'!$G:$G)</f>
        <v>CANAL VENDA INTERNA</v>
      </c>
      <c r="F140" s="2" t="str">
        <f>_xlfn.XLOOKUP($N140,'Base de Grupos'!$A:$A,'Base de Grupos'!$H:$H)</f>
        <v>1000105900</v>
      </c>
      <c r="G140" s="5" t="str">
        <f>_xlfn.XLOOKUP($N140,'Base de Grupos'!$A:$A,'Base de Grupos'!$I:$I)</f>
        <v>REGIONAL VENDA DIRETA CO + NE + NO</v>
      </c>
      <c r="H140" s="5" t="str">
        <f>_xlfn.XLOOKUP($N140,'Base de Grupos'!$A:$A,'Base de Grupos'!$J:$J)</f>
        <v>1000105900</v>
      </c>
      <c r="I140" s="2" t="str">
        <f>_xlfn.XLOOKUP($N140,'Base de Grupos'!$A:$A,'Base de Grupos'!$K:$K)</f>
        <v>REGIONAL VENDA DIRETA CO + NE + NO</v>
      </c>
      <c r="J140" s="2" t="str">
        <f>_xlfn.XLOOKUP($N140,'Base de Grupos'!$A:$A,'Base de Grupos'!$L:$L)</f>
        <v>1000150135</v>
      </c>
      <c r="K140" s="5" t="str">
        <f>_xlfn.XLOOKUP($N140,'Base de Grupos'!$A:$A,'Base de Grupos'!$M:$M)</f>
        <v>HELDER DA SILVA BRUNKOW</v>
      </c>
      <c r="L140" s="5" t="str">
        <f t="shared" si="132"/>
        <v/>
      </c>
      <c r="M140" s="5" t="str">
        <f>_xlfn.XLOOKUP($N140,'Base de Grupos'!$A:$A,'Base de Grupos'!$C:$C)</f>
        <v>BA</v>
      </c>
      <c r="N140" s="3">
        <v>1331</v>
      </c>
      <c r="O140" s="4" t="s">
        <v>231</v>
      </c>
      <c r="P140" s="5" t="s">
        <v>88</v>
      </c>
      <c r="Q140" s="56">
        <v>0</v>
      </c>
      <c r="R140" s="56">
        <v>0</v>
      </c>
      <c r="S140" s="56">
        <v>0</v>
      </c>
      <c r="T140" s="56">
        <f>_xlfn.XLOOKUP($N140,'Calculo Leads'!$A$97:$A$134,'Calculo Leads'!G$97:G$134)*_xlfn.XLOOKUP($P140,'Base Grupo de Produtos'!$E$2:$E$18,'Base Grupo de Produtos'!$F$2:$F$18)</f>
        <v>300</v>
      </c>
      <c r="U140" s="56">
        <f>_xlfn.XLOOKUP($N140,'Calculo Leads'!$A$97:$A$134,'Calculo Leads'!H$97:H$134)*_xlfn.XLOOKUP($P140,'Base Grupo de Produtos'!$E$2:$E$18,'Base Grupo de Produtos'!$F$2:$F$18)</f>
        <v>350</v>
      </c>
      <c r="V140" s="56">
        <f>_xlfn.XLOOKUP($N140,'Calculo Leads'!$A$97:$A$134,'Calculo Leads'!I$97:I$134)*_xlfn.XLOOKUP($P140,'Base Grupo de Produtos'!$E$2:$E$18,'Base Grupo de Produtos'!$F$2:$F$18)</f>
        <v>450</v>
      </c>
      <c r="W140" s="56">
        <f>_xlfn.XLOOKUP($N140,'Calculo Leads'!$A$97:$A$134,'Calculo Leads'!J$97:J$134)*_xlfn.XLOOKUP($P140,'Base Grupo de Produtos'!$E$2:$E$18,'Base Grupo de Produtos'!$F$2:$F$18)</f>
        <v>550</v>
      </c>
      <c r="X140" s="56">
        <f>_xlfn.XLOOKUP($N140,'Calculo Leads'!$A$97:$A$134,'Calculo Leads'!K$97:K$134)*_xlfn.XLOOKUP($P140,'Base Grupo de Produtos'!$E$2:$E$18,'Base Grupo de Produtos'!$F$2:$F$18)</f>
        <v>660</v>
      </c>
      <c r="Y140" s="56">
        <f>_xlfn.XLOOKUP($N140,'Calculo Leads'!$A$97:$A$134,'Calculo Leads'!L$97:L$134)*_xlfn.XLOOKUP($P140,'Base Grupo de Produtos'!$E$2:$E$18,'Base Grupo de Produtos'!$F$2:$F$18)</f>
        <v>825</v>
      </c>
      <c r="Z140" s="56">
        <f>_xlfn.XLOOKUP($N140,'Calculo Leads'!$A$97:$A$134,'Calculo Leads'!M$97:M$134)*_xlfn.XLOOKUP($P140,'Base Grupo de Produtos'!$E$2:$E$18,'Base Grupo de Produtos'!$F$2:$F$18)</f>
        <v>935</v>
      </c>
      <c r="AA140" s="56">
        <f>_xlfn.XLOOKUP($N140,'Calculo Leads'!$A$97:$A$134,'Calculo Leads'!N$97:N$134)*_xlfn.XLOOKUP($P140,'Base Grupo de Produtos'!$E$2:$E$18,'Base Grupo de Produtos'!$F$2:$F$18)</f>
        <v>1045</v>
      </c>
      <c r="AB140" s="56">
        <f>_xlfn.XLOOKUP($N140,'Calculo Leads'!$A$97:$A$134,'Calculo Leads'!O$97:O$134)*_xlfn.XLOOKUP($P140,'Base Grupo de Produtos'!$E$2:$E$18,'Base Grupo de Produtos'!$F$2:$F$18)</f>
        <v>715</v>
      </c>
      <c r="AC140" s="61">
        <f t="shared" si="152"/>
        <v>5830</v>
      </c>
      <c r="AD140" s="27">
        <f t="shared" si="153"/>
        <v>5830</v>
      </c>
      <c r="AE140" s="25">
        <f>IFERROR(_xlfn.XLOOKUP(N140&amp;P140,'Historico Vendas'!G:G,'Historico Vendas'!E:E),0)</f>
        <v>0</v>
      </c>
      <c r="AF140" s="29" t="str">
        <f t="shared" si="130"/>
        <v/>
      </c>
      <c r="AG140" s="24">
        <f>IFERROR(_xlfn.XLOOKUP(N140&amp;P140,'Historico Vendas'!G:G,'Historico Vendas'!F:F),0)</f>
        <v>0</v>
      </c>
      <c r="AH140" s="25">
        <f t="shared" si="150"/>
        <v>0</v>
      </c>
      <c r="AI140" s="24">
        <f t="shared" si="151"/>
        <v>0</v>
      </c>
      <c r="AJ140" s="11" t="str">
        <f t="shared" si="133"/>
        <v/>
      </c>
      <c r="AK140" s="9" t="s">
        <v>102</v>
      </c>
      <c r="AL140" s="13">
        <f>IFERROR(INDEX('Balizador da Meta'!$D$3:$F$23,MATCH(Faturamento!$P140,'Balizador da Meta'!$C$3:$C$23,0),MATCH(Faturamento!AK140,'Balizador da Meta'!$D$2:$F$2,0)),"")</f>
        <v>0</v>
      </c>
      <c r="AM140" s="9"/>
    </row>
    <row r="141" spans="1:39" x14ac:dyDescent="0.3">
      <c r="A141" s="2" t="str">
        <f t="shared" si="131"/>
        <v>NÃO</v>
      </c>
      <c r="B141" s="2" t="str">
        <f>_xlfn.XLOOKUP($N141,'Base de Grupos'!$A:$A,'Base de Grupos'!$D:$D)</f>
        <v>1000065763</v>
      </c>
      <c r="C141" s="5" t="str">
        <f>_xlfn.XLOOKUP($N141,'Base de Grupos'!$A:$A,'Base de Grupos'!$E:$E)</f>
        <v>CANAL VENDA INTERNA</v>
      </c>
      <c r="D141" s="5" t="str">
        <f>_xlfn.XLOOKUP($N141,'Base de Grupos'!$A:$A,'Base de Grupos'!$F:$F)</f>
        <v>1000065763</v>
      </c>
      <c r="E141" s="2" t="str">
        <f>_xlfn.XLOOKUP($N141,'Base de Grupos'!$A:$A,'Base de Grupos'!$G:$G)</f>
        <v>CANAL VENDA INTERNA</v>
      </c>
      <c r="F141" s="2" t="str">
        <f>_xlfn.XLOOKUP($N141,'Base de Grupos'!$A:$A,'Base de Grupos'!$H:$H)</f>
        <v>1000105900</v>
      </c>
      <c r="G141" s="5" t="str">
        <f>_xlfn.XLOOKUP($N141,'Base de Grupos'!$A:$A,'Base de Grupos'!$I:$I)</f>
        <v>REGIONAL VENDA DIRETA CO + NE + NO</v>
      </c>
      <c r="H141" s="5" t="str">
        <f>_xlfn.XLOOKUP($N141,'Base de Grupos'!$A:$A,'Base de Grupos'!$J:$J)</f>
        <v>1000105900</v>
      </c>
      <c r="I141" s="2" t="str">
        <f>_xlfn.XLOOKUP($N141,'Base de Grupos'!$A:$A,'Base de Grupos'!$K:$K)</f>
        <v>REGIONAL VENDA DIRETA CO + NE + NO</v>
      </c>
      <c r="J141" s="2" t="str">
        <f>_xlfn.XLOOKUP($N141,'Base de Grupos'!$A:$A,'Base de Grupos'!$L:$L)</f>
        <v>1000150135</v>
      </c>
      <c r="K141" s="5" t="str">
        <f>_xlfn.XLOOKUP($N141,'Base de Grupos'!$A:$A,'Base de Grupos'!$M:$M)</f>
        <v>HELDER DA SILVA BRUNKOW</v>
      </c>
      <c r="L141" s="5" t="str">
        <f t="shared" si="132"/>
        <v/>
      </c>
      <c r="M141" s="5" t="str">
        <f>_xlfn.XLOOKUP($N141,'Base de Grupos'!$A:$A,'Base de Grupos'!$C:$C)</f>
        <v>BA</v>
      </c>
      <c r="N141" s="3">
        <v>1331</v>
      </c>
      <c r="O141" s="4" t="s">
        <v>231</v>
      </c>
      <c r="P141" s="5" t="s">
        <v>90</v>
      </c>
      <c r="Q141" s="56">
        <v>0</v>
      </c>
      <c r="R141" s="56">
        <v>0</v>
      </c>
      <c r="S141" s="56">
        <v>0</v>
      </c>
      <c r="T141" s="56">
        <f>_xlfn.XLOOKUP($N141,'Calculo Leads'!$A$97:$A$134,'Calculo Leads'!G$97:G$134)*_xlfn.XLOOKUP($P141,'Base Grupo de Produtos'!$E$2:$E$18,'Base Grupo de Produtos'!$F$2:$F$18)</f>
        <v>300</v>
      </c>
      <c r="U141" s="56">
        <f>_xlfn.XLOOKUP($N141,'Calculo Leads'!$A$97:$A$134,'Calculo Leads'!H$97:H$134)*_xlfn.XLOOKUP($P141,'Base Grupo de Produtos'!$E$2:$E$18,'Base Grupo de Produtos'!$F$2:$F$18)</f>
        <v>350</v>
      </c>
      <c r="V141" s="56">
        <f>_xlfn.XLOOKUP($N141,'Calculo Leads'!$A$97:$A$134,'Calculo Leads'!I$97:I$134)*_xlfn.XLOOKUP($P141,'Base Grupo de Produtos'!$E$2:$E$18,'Base Grupo de Produtos'!$F$2:$F$18)</f>
        <v>450</v>
      </c>
      <c r="W141" s="56">
        <f>_xlfn.XLOOKUP($N141,'Calculo Leads'!$A$97:$A$134,'Calculo Leads'!J$97:J$134)*_xlfn.XLOOKUP($P141,'Base Grupo de Produtos'!$E$2:$E$18,'Base Grupo de Produtos'!$F$2:$F$18)</f>
        <v>550</v>
      </c>
      <c r="X141" s="56">
        <f>_xlfn.XLOOKUP($N141,'Calculo Leads'!$A$97:$A$134,'Calculo Leads'!K$97:K$134)*_xlfn.XLOOKUP($P141,'Base Grupo de Produtos'!$E$2:$E$18,'Base Grupo de Produtos'!$F$2:$F$18)</f>
        <v>660</v>
      </c>
      <c r="Y141" s="56">
        <f>_xlfn.XLOOKUP($N141,'Calculo Leads'!$A$97:$A$134,'Calculo Leads'!L$97:L$134)*_xlfn.XLOOKUP($P141,'Base Grupo de Produtos'!$E$2:$E$18,'Base Grupo de Produtos'!$F$2:$F$18)</f>
        <v>825</v>
      </c>
      <c r="Z141" s="56">
        <f>_xlfn.XLOOKUP($N141,'Calculo Leads'!$A$97:$A$134,'Calculo Leads'!M$97:M$134)*_xlfn.XLOOKUP($P141,'Base Grupo de Produtos'!$E$2:$E$18,'Base Grupo de Produtos'!$F$2:$F$18)</f>
        <v>935</v>
      </c>
      <c r="AA141" s="56">
        <f>_xlfn.XLOOKUP($N141,'Calculo Leads'!$A$97:$A$134,'Calculo Leads'!N$97:N$134)*_xlfn.XLOOKUP($P141,'Base Grupo de Produtos'!$E$2:$E$18,'Base Grupo de Produtos'!$F$2:$F$18)</f>
        <v>1045</v>
      </c>
      <c r="AB141" s="56">
        <f>_xlfn.XLOOKUP($N141,'Calculo Leads'!$A$97:$A$134,'Calculo Leads'!O$97:O$134)*_xlfn.XLOOKUP($P141,'Base Grupo de Produtos'!$E$2:$E$18,'Base Grupo de Produtos'!$F$2:$F$18)</f>
        <v>715</v>
      </c>
      <c r="AC141" s="61">
        <f t="shared" si="152"/>
        <v>5830</v>
      </c>
      <c r="AD141" s="27">
        <f t="shared" si="153"/>
        <v>5830</v>
      </c>
      <c r="AE141" s="25">
        <f>IFERROR(_xlfn.XLOOKUP(N141&amp;P141,'Historico Vendas'!G:G,'Historico Vendas'!E:E),0)</f>
        <v>0</v>
      </c>
      <c r="AF141" s="29" t="str">
        <f t="shared" si="130"/>
        <v/>
      </c>
      <c r="AG141" s="24">
        <f>IFERROR(_xlfn.XLOOKUP(N141&amp;P141,'Historico Vendas'!G:G,'Historico Vendas'!F:F),0)</f>
        <v>0</v>
      </c>
      <c r="AH141" s="25">
        <f t="shared" si="150"/>
        <v>0</v>
      </c>
      <c r="AI141" s="24">
        <f t="shared" si="151"/>
        <v>0</v>
      </c>
      <c r="AJ141" s="11" t="str">
        <f t="shared" si="133"/>
        <v/>
      </c>
      <c r="AK141" s="9" t="s">
        <v>102</v>
      </c>
      <c r="AL141" s="13">
        <f>IFERROR(INDEX('Balizador da Meta'!$D$3:$F$23,MATCH(Faturamento!$P141,'Balizador da Meta'!$C$3:$C$23,0),MATCH(Faturamento!AK141,'Balizador da Meta'!$D$2:$F$2,0)),"")</f>
        <v>0</v>
      </c>
      <c r="AM141" s="9"/>
    </row>
    <row r="142" spans="1:39" x14ac:dyDescent="0.3">
      <c r="A142" s="2" t="str">
        <f t="shared" si="131"/>
        <v>NÃO</v>
      </c>
      <c r="B142" s="2" t="str">
        <f>_xlfn.XLOOKUP($N142,'Base de Grupos'!$A:$A,'Base de Grupos'!$D:$D)</f>
        <v>1000065763</v>
      </c>
      <c r="C142" s="5" t="str">
        <f>_xlfn.XLOOKUP($N142,'Base de Grupos'!$A:$A,'Base de Grupos'!$E:$E)</f>
        <v>CANAL VENDA INTERNA</v>
      </c>
      <c r="D142" s="5" t="str">
        <f>_xlfn.XLOOKUP($N142,'Base de Grupos'!$A:$A,'Base de Grupos'!$F:$F)</f>
        <v>1000065763</v>
      </c>
      <c r="E142" s="2" t="str">
        <f>_xlfn.XLOOKUP($N142,'Base de Grupos'!$A:$A,'Base de Grupos'!$G:$G)</f>
        <v>CANAL VENDA INTERNA</v>
      </c>
      <c r="F142" s="2" t="str">
        <f>_xlfn.XLOOKUP($N142,'Base de Grupos'!$A:$A,'Base de Grupos'!$H:$H)</f>
        <v>1000105900</v>
      </c>
      <c r="G142" s="5" t="str">
        <f>_xlfn.XLOOKUP($N142,'Base de Grupos'!$A:$A,'Base de Grupos'!$I:$I)</f>
        <v>REGIONAL VENDA DIRETA CO + NE + NO</v>
      </c>
      <c r="H142" s="5" t="str">
        <f>_xlfn.XLOOKUP($N142,'Base de Grupos'!$A:$A,'Base de Grupos'!$J:$J)</f>
        <v>1000105900</v>
      </c>
      <c r="I142" s="2" t="str">
        <f>_xlfn.XLOOKUP($N142,'Base de Grupos'!$A:$A,'Base de Grupos'!$K:$K)</f>
        <v>REGIONAL VENDA DIRETA CO + NE + NO</v>
      </c>
      <c r="J142" s="2" t="str">
        <f>_xlfn.XLOOKUP($N142,'Base de Grupos'!$A:$A,'Base de Grupos'!$L:$L)</f>
        <v>1000150135</v>
      </c>
      <c r="K142" s="5" t="str">
        <f>_xlfn.XLOOKUP($N142,'Base de Grupos'!$A:$A,'Base de Grupos'!$M:$M)</f>
        <v>HELDER DA SILVA BRUNKOW</v>
      </c>
      <c r="L142" s="5" t="str">
        <f t="shared" si="132"/>
        <v/>
      </c>
      <c r="M142" s="5" t="str">
        <f>_xlfn.XLOOKUP($N142,'Base de Grupos'!$A:$A,'Base de Grupos'!$C:$C)</f>
        <v>BA</v>
      </c>
      <c r="N142" s="3">
        <v>1331</v>
      </c>
      <c r="O142" s="4" t="s">
        <v>231</v>
      </c>
      <c r="P142" s="5" t="s">
        <v>91</v>
      </c>
      <c r="Q142" s="56">
        <v>0</v>
      </c>
      <c r="R142" s="56">
        <v>0</v>
      </c>
      <c r="S142" s="56">
        <v>0</v>
      </c>
      <c r="T142" s="56">
        <f>_xlfn.XLOOKUP($N142,'Calculo Leads'!$A$97:$A$134,'Calculo Leads'!G$97:G$134)*_xlfn.XLOOKUP($P142,'Base Grupo de Produtos'!$E$2:$E$18,'Base Grupo de Produtos'!$F$2:$F$18)</f>
        <v>0</v>
      </c>
      <c r="U142" s="56">
        <f>_xlfn.XLOOKUP($N142,'Calculo Leads'!$A$97:$A$134,'Calculo Leads'!H$97:H$134)*_xlfn.XLOOKUP($P142,'Base Grupo de Produtos'!$E$2:$E$18,'Base Grupo de Produtos'!$F$2:$F$18)</f>
        <v>0</v>
      </c>
      <c r="V142" s="56">
        <f>_xlfn.XLOOKUP($N142,'Calculo Leads'!$A$97:$A$134,'Calculo Leads'!I$97:I$134)*_xlfn.XLOOKUP($P142,'Base Grupo de Produtos'!$E$2:$E$18,'Base Grupo de Produtos'!$F$2:$F$18)</f>
        <v>0</v>
      </c>
      <c r="W142" s="56">
        <f>_xlfn.XLOOKUP($N142,'Calculo Leads'!$A$97:$A$134,'Calculo Leads'!J$97:J$134)*_xlfn.XLOOKUP($P142,'Base Grupo de Produtos'!$E$2:$E$18,'Base Grupo de Produtos'!$F$2:$F$18)</f>
        <v>0</v>
      </c>
      <c r="X142" s="56">
        <f>_xlfn.XLOOKUP($N142,'Calculo Leads'!$A$97:$A$134,'Calculo Leads'!K$97:K$134)*_xlfn.XLOOKUP($P142,'Base Grupo de Produtos'!$E$2:$E$18,'Base Grupo de Produtos'!$F$2:$F$18)</f>
        <v>0</v>
      </c>
      <c r="Y142" s="56">
        <f>_xlfn.XLOOKUP($N142,'Calculo Leads'!$A$97:$A$134,'Calculo Leads'!L$97:L$134)*_xlfn.XLOOKUP($P142,'Base Grupo de Produtos'!$E$2:$E$18,'Base Grupo de Produtos'!$F$2:$F$18)</f>
        <v>0</v>
      </c>
      <c r="Z142" s="56">
        <f>_xlfn.XLOOKUP($N142,'Calculo Leads'!$A$97:$A$134,'Calculo Leads'!M$97:M$134)*_xlfn.XLOOKUP($P142,'Base Grupo de Produtos'!$E$2:$E$18,'Base Grupo de Produtos'!$F$2:$F$18)</f>
        <v>0</v>
      </c>
      <c r="AA142" s="56">
        <f>_xlfn.XLOOKUP($N142,'Calculo Leads'!$A$97:$A$134,'Calculo Leads'!N$97:N$134)*_xlfn.XLOOKUP($P142,'Base Grupo de Produtos'!$E$2:$E$18,'Base Grupo de Produtos'!$F$2:$F$18)</f>
        <v>0</v>
      </c>
      <c r="AB142" s="56">
        <f>_xlfn.XLOOKUP($N142,'Calculo Leads'!$A$97:$A$134,'Calculo Leads'!O$97:O$134)*_xlfn.XLOOKUP($P142,'Base Grupo de Produtos'!$E$2:$E$18,'Base Grupo de Produtos'!$F$2:$F$18)</f>
        <v>0</v>
      </c>
      <c r="AC142" s="61">
        <f t="shared" si="152"/>
        <v>0</v>
      </c>
      <c r="AD142" s="27">
        <f t="shared" si="153"/>
        <v>0</v>
      </c>
      <c r="AE142" s="25">
        <f>IFERROR(_xlfn.XLOOKUP(N142&amp;P142,'Historico Vendas'!G:G,'Historico Vendas'!E:E),0)</f>
        <v>0</v>
      </c>
      <c r="AF142" s="29" t="str">
        <f t="shared" si="130"/>
        <v/>
      </c>
      <c r="AG142" s="24">
        <f>IFERROR(_xlfn.XLOOKUP(N142&amp;P142,'Historico Vendas'!G:G,'Historico Vendas'!F:F),0)</f>
        <v>0</v>
      </c>
      <c r="AH142" s="25">
        <f t="shared" si="150"/>
        <v>0</v>
      </c>
      <c r="AI142" s="24">
        <f t="shared" si="151"/>
        <v>0</v>
      </c>
      <c r="AJ142" s="11" t="str">
        <f t="shared" si="133"/>
        <v/>
      </c>
      <c r="AK142" s="9" t="s">
        <v>102</v>
      </c>
      <c r="AL142" s="13">
        <f>IFERROR(INDEX('Balizador da Meta'!$D$3:$F$23,MATCH(Faturamento!$P142,'Balizador da Meta'!$C$3:$C$23,0),MATCH(Faturamento!AK142,'Balizador da Meta'!$D$2:$F$2,0)),"")</f>
        <v>0</v>
      </c>
      <c r="AM142" s="9"/>
    </row>
    <row r="143" spans="1:39" x14ac:dyDescent="0.3">
      <c r="A143" s="2" t="str">
        <f t="shared" si="131"/>
        <v>NÃO</v>
      </c>
      <c r="B143" s="2" t="str">
        <f>_xlfn.XLOOKUP($N143,'Base de Grupos'!$A:$A,'Base de Grupos'!$D:$D)</f>
        <v>1000065763</v>
      </c>
      <c r="C143" s="5" t="str">
        <f>_xlfn.XLOOKUP($N143,'Base de Grupos'!$A:$A,'Base de Grupos'!$E:$E)</f>
        <v>CANAL VENDA INTERNA</v>
      </c>
      <c r="D143" s="5" t="str">
        <f>_xlfn.XLOOKUP($N143,'Base de Grupos'!$A:$A,'Base de Grupos'!$F:$F)</f>
        <v>1000065763</v>
      </c>
      <c r="E143" s="2" t="str">
        <f>_xlfn.XLOOKUP($N143,'Base de Grupos'!$A:$A,'Base de Grupos'!$G:$G)</f>
        <v>CANAL VENDA INTERNA</v>
      </c>
      <c r="F143" s="2" t="str">
        <f>_xlfn.XLOOKUP($N143,'Base de Grupos'!$A:$A,'Base de Grupos'!$H:$H)</f>
        <v>1000105900</v>
      </c>
      <c r="G143" s="5" t="str">
        <f>_xlfn.XLOOKUP($N143,'Base de Grupos'!$A:$A,'Base de Grupos'!$I:$I)</f>
        <v>REGIONAL VENDA DIRETA CO + NE + NO</v>
      </c>
      <c r="H143" s="5" t="str">
        <f>_xlfn.XLOOKUP($N143,'Base de Grupos'!$A:$A,'Base de Grupos'!$J:$J)</f>
        <v>1000105900</v>
      </c>
      <c r="I143" s="2" t="str">
        <f>_xlfn.XLOOKUP($N143,'Base de Grupos'!$A:$A,'Base de Grupos'!$K:$K)</f>
        <v>REGIONAL VENDA DIRETA CO + NE + NO</v>
      </c>
      <c r="J143" s="2" t="str">
        <f>_xlfn.XLOOKUP($N143,'Base de Grupos'!$A:$A,'Base de Grupos'!$L:$L)</f>
        <v>1000150135</v>
      </c>
      <c r="K143" s="5" t="str">
        <f>_xlfn.XLOOKUP($N143,'Base de Grupos'!$A:$A,'Base de Grupos'!$M:$M)</f>
        <v>HELDER DA SILVA BRUNKOW</v>
      </c>
      <c r="L143" s="5" t="str">
        <f t="shared" si="132"/>
        <v/>
      </c>
      <c r="M143" s="5" t="str">
        <f>_xlfn.XLOOKUP($N143,'Base de Grupos'!$A:$A,'Base de Grupos'!$C:$C)</f>
        <v>BA</v>
      </c>
      <c r="N143" s="3">
        <v>1331</v>
      </c>
      <c r="O143" s="4" t="s">
        <v>231</v>
      </c>
      <c r="P143" s="5" t="s">
        <v>96</v>
      </c>
      <c r="Q143" s="56">
        <v>0</v>
      </c>
      <c r="R143" s="56">
        <v>0</v>
      </c>
      <c r="S143" s="56">
        <v>0</v>
      </c>
      <c r="T143" s="56">
        <f>_xlfn.XLOOKUP($N143,'Calculo Leads'!$A$97:$A$134,'Calculo Leads'!G$97:G$134)*_xlfn.XLOOKUP($P143,'Base Grupo de Produtos'!$E$2:$E$18,'Base Grupo de Produtos'!$F$2:$F$18)</f>
        <v>420.00000000000006</v>
      </c>
      <c r="U143" s="56">
        <f>_xlfn.XLOOKUP($N143,'Calculo Leads'!$A$97:$A$134,'Calculo Leads'!H$97:H$134)*_xlfn.XLOOKUP($P143,'Base Grupo de Produtos'!$E$2:$E$18,'Base Grupo de Produtos'!$F$2:$F$18)</f>
        <v>490.00000000000006</v>
      </c>
      <c r="V143" s="56">
        <f>_xlfn.XLOOKUP($N143,'Calculo Leads'!$A$97:$A$134,'Calculo Leads'!I$97:I$134)*_xlfn.XLOOKUP($P143,'Base Grupo de Produtos'!$E$2:$E$18,'Base Grupo de Produtos'!$F$2:$F$18)</f>
        <v>630.00000000000011</v>
      </c>
      <c r="W143" s="56">
        <f>_xlfn.XLOOKUP($N143,'Calculo Leads'!$A$97:$A$134,'Calculo Leads'!J$97:J$134)*_xlfn.XLOOKUP($P143,'Base Grupo de Produtos'!$E$2:$E$18,'Base Grupo de Produtos'!$F$2:$F$18)</f>
        <v>770.00000000000011</v>
      </c>
      <c r="X143" s="56">
        <f>_xlfn.XLOOKUP($N143,'Calculo Leads'!$A$97:$A$134,'Calculo Leads'!K$97:K$134)*_xlfn.XLOOKUP($P143,'Base Grupo de Produtos'!$E$2:$E$18,'Base Grupo de Produtos'!$F$2:$F$18)</f>
        <v>924.00000000000011</v>
      </c>
      <c r="Y143" s="56">
        <f>_xlfn.XLOOKUP($N143,'Calculo Leads'!$A$97:$A$134,'Calculo Leads'!L$97:L$134)*_xlfn.XLOOKUP($P143,'Base Grupo de Produtos'!$E$2:$E$18,'Base Grupo de Produtos'!$F$2:$F$18)</f>
        <v>1155</v>
      </c>
      <c r="Z143" s="56">
        <f>_xlfn.XLOOKUP($N143,'Calculo Leads'!$A$97:$A$134,'Calculo Leads'!M$97:M$134)*_xlfn.XLOOKUP($P143,'Base Grupo de Produtos'!$E$2:$E$18,'Base Grupo de Produtos'!$F$2:$F$18)</f>
        <v>1309.0000000000002</v>
      </c>
      <c r="AA143" s="56">
        <f>_xlfn.XLOOKUP($N143,'Calculo Leads'!$A$97:$A$134,'Calculo Leads'!N$97:N$134)*_xlfn.XLOOKUP($P143,'Base Grupo de Produtos'!$E$2:$E$18,'Base Grupo de Produtos'!$F$2:$F$18)</f>
        <v>1463.0000000000002</v>
      </c>
      <c r="AB143" s="56">
        <f>_xlfn.XLOOKUP($N143,'Calculo Leads'!$A$97:$A$134,'Calculo Leads'!O$97:O$134)*_xlfn.XLOOKUP($P143,'Base Grupo de Produtos'!$E$2:$E$18,'Base Grupo de Produtos'!$F$2:$F$18)</f>
        <v>1001.0000000000001</v>
      </c>
      <c r="AC143" s="61">
        <f t="shared" si="152"/>
        <v>8162</v>
      </c>
      <c r="AD143" s="27">
        <f t="shared" si="153"/>
        <v>8162</v>
      </c>
      <c r="AE143" s="25">
        <f>IFERROR(_xlfn.XLOOKUP(N143&amp;P143,'Historico Vendas'!G:G,'Historico Vendas'!E:E),0)</f>
        <v>0</v>
      </c>
      <c r="AF143" s="29" t="str">
        <f t="shared" si="130"/>
        <v/>
      </c>
      <c r="AG143" s="24">
        <f>IFERROR(_xlfn.XLOOKUP(N143&amp;P143,'Historico Vendas'!G:G,'Historico Vendas'!F:F),0)</f>
        <v>0</v>
      </c>
      <c r="AH143" s="25">
        <f t="shared" si="150"/>
        <v>0</v>
      </c>
      <c r="AI143" s="24">
        <f t="shared" si="151"/>
        <v>0</v>
      </c>
      <c r="AJ143" s="11" t="str">
        <f t="shared" si="133"/>
        <v/>
      </c>
      <c r="AK143" s="9" t="s">
        <v>102</v>
      </c>
      <c r="AL143" s="13">
        <f>IFERROR(INDEX('Balizador da Meta'!$D$3:$F$23,MATCH(Faturamento!$P143,'Balizador da Meta'!$C$3:$C$23,0),MATCH(Faturamento!AK143,'Balizador da Meta'!$D$2:$F$2,0)),"")</f>
        <v>0</v>
      </c>
      <c r="AM143" s="9"/>
    </row>
    <row r="144" spans="1:39" x14ac:dyDescent="0.3">
      <c r="A144" s="2" t="str">
        <f t="shared" si="131"/>
        <v>NÃO</v>
      </c>
      <c r="B144" s="2" t="str">
        <f>_xlfn.XLOOKUP($N144,'Base de Grupos'!$A:$A,'Base de Grupos'!$D:$D)</f>
        <v>1000065763</v>
      </c>
      <c r="C144" s="5" t="str">
        <f>_xlfn.XLOOKUP($N144,'Base de Grupos'!$A:$A,'Base de Grupos'!$E:$E)</f>
        <v>CANAL VENDA INTERNA</v>
      </c>
      <c r="D144" s="5" t="str">
        <f>_xlfn.XLOOKUP($N144,'Base de Grupos'!$A:$A,'Base de Grupos'!$F:$F)</f>
        <v>1000065763</v>
      </c>
      <c r="E144" s="2" t="str">
        <f>_xlfn.XLOOKUP($N144,'Base de Grupos'!$A:$A,'Base de Grupos'!$G:$G)</f>
        <v>CANAL VENDA INTERNA</v>
      </c>
      <c r="F144" s="2" t="str">
        <f>_xlfn.XLOOKUP($N144,'Base de Grupos'!$A:$A,'Base de Grupos'!$H:$H)</f>
        <v>1000105900</v>
      </c>
      <c r="G144" s="5" t="str">
        <f>_xlfn.XLOOKUP($N144,'Base de Grupos'!$A:$A,'Base de Grupos'!$I:$I)</f>
        <v>REGIONAL VENDA DIRETA CO + NE + NO</v>
      </c>
      <c r="H144" s="5" t="str">
        <f>_xlfn.XLOOKUP($N144,'Base de Grupos'!$A:$A,'Base de Grupos'!$J:$J)</f>
        <v>1000105900</v>
      </c>
      <c r="I144" s="2" t="str">
        <f>_xlfn.XLOOKUP($N144,'Base de Grupos'!$A:$A,'Base de Grupos'!$K:$K)</f>
        <v>REGIONAL VENDA DIRETA CO + NE + NO</v>
      </c>
      <c r="J144" s="2" t="str">
        <f>_xlfn.XLOOKUP($N144,'Base de Grupos'!$A:$A,'Base de Grupos'!$L:$L)</f>
        <v>1000150135</v>
      </c>
      <c r="K144" s="5" t="str">
        <f>_xlfn.XLOOKUP($N144,'Base de Grupos'!$A:$A,'Base de Grupos'!$M:$M)</f>
        <v>HELDER DA SILVA BRUNKOW</v>
      </c>
      <c r="L144" s="5" t="str">
        <f t="shared" si="132"/>
        <v/>
      </c>
      <c r="M144" s="5" t="str">
        <f>_xlfn.XLOOKUP($N144,'Base de Grupos'!$A:$A,'Base de Grupos'!$C:$C)</f>
        <v>BA</v>
      </c>
      <c r="N144" s="3">
        <v>1331</v>
      </c>
      <c r="O144" s="4" t="s">
        <v>231</v>
      </c>
      <c r="P144" s="5" t="s">
        <v>94</v>
      </c>
      <c r="Q144" s="56">
        <v>0</v>
      </c>
      <c r="R144" s="56">
        <v>0</v>
      </c>
      <c r="S144" s="56">
        <v>0</v>
      </c>
      <c r="T144" s="56">
        <f>_xlfn.XLOOKUP($N144,'Calculo Leads'!$A$97:$A$134,'Calculo Leads'!G$97:G$134)*_xlfn.XLOOKUP($P144,'Base Grupo de Produtos'!$E$2:$E$18,'Base Grupo de Produtos'!$F$2:$F$18)</f>
        <v>300</v>
      </c>
      <c r="U144" s="56">
        <f>_xlfn.XLOOKUP($N144,'Calculo Leads'!$A$97:$A$134,'Calculo Leads'!H$97:H$134)*_xlfn.XLOOKUP($P144,'Base Grupo de Produtos'!$E$2:$E$18,'Base Grupo de Produtos'!$F$2:$F$18)</f>
        <v>349.99999999999994</v>
      </c>
      <c r="V144" s="56">
        <f>_xlfn.XLOOKUP($N144,'Calculo Leads'!$A$97:$A$134,'Calculo Leads'!I$97:I$134)*_xlfn.XLOOKUP($P144,'Base Grupo de Produtos'!$E$2:$E$18,'Base Grupo de Produtos'!$F$2:$F$18)</f>
        <v>449.99999999999994</v>
      </c>
      <c r="W144" s="56">
        <f>_xlfn.XLOOKUP($N144,'Calculo Leads'!$A$97:$A$134,'Calculo Leads'!J$97:J$134)*_xlfn.XLOOKUP($P144,'Base Grupo de Produtos'!$E$2:$E$18,'Base Grupo de Produtos'!$F$2:$F$18)</f>
        <v>550</v>
      </c>
      <c r="X144" s="56">
        <f>_xlfn.XLOOKUP($N144,'Calculo Leads'!$A$97:$A$134,'Calculo Leads'!K$97:K$134)*_xlfn.XLOOKUP($P144,'Base Grupo de Produtos'!$E$2:$E$18,'Base Grupo de Produtos'!$F$2:$F$18)</f>
        <v>660</v>
      </c>
      <c r="Y144" s="56">
        <f>_xlfn.XLOOKUP($N144,'Calculo Leads'!$A$97:$A$134,'Calculo Leads'!L$97:L$134)*_xlfn.XLOOKUP($P144,'Base Grupo de Produtos'!$E$2:$E$18,'Base Grupo de Produtos'!$F$2:$F$18)</f>
        <v>824.99999999999989</v>
      </c>
      <c r="Z144" s="56">
        <f>_xlfn.XLOOKUP($N144,'Calculo Leads'!$A$97:$A$134,'Calculo Leads'!M$97:M$134)*_xlfn.XLOOKUP($P144,'Base Grupo de Produtos'!$E$2:$E$18,'Base Grupo de Produtos'!$F$2:$F$18)</f>
        <v>934.99999999999989</v>
      </c>
      <c r="AA144" s="56">
        <f>_xlfn.XLOOKUP($N144,'Calculo Leads'!$A$97:$A$134,'Calculo Leads'!N$97:N$134)*_xlfn.XLOOKUP($P144,'Base Grupo de Produtos'!$E$2:$E$18,'Base Grupo de Produtos'!$F$2:$F$18)</f>
        <v>1045</v>
      </c>
      <c r="AB144" s="56">
        <f>_xlfn.XLOOKUP($N144,'Calculo Leads'!$A$97:$A$134,'Calculo Leads'!O$97:O$134)*_xlfn.XLOOKUP($P144,'Base Grupo de Produtos'!$E$2:$E$18,'Base Grupo de Produtos'!$F$2:$F$18)</f>
        <v>714.99999999999989</v>
      </c>
      <c r="AC144" s="61">
        <f t="shared" si="152"/>
        <v>5830</v>
      </c>
      <c r="AD144" s="27">
        <f t="shared" si="153"/>
        <v>5830</v>
      </c>
      <c r="AE144" s="25">
        <f>IFERROR(_xlfn.XLOOKUP(N144&amp;P144,'Historico Vendas'!G:G,'Historico Vendas'!E:E),0)</f>
        <v>0</v>
      </c>
      <c r="AF144" s="29" t="str">
        <f t="shared" si="130"/>
        <v/>
      </c>
      <c r="AG144" s="24">
        <f>IFERROR(_xlfn.XLOOKUP(N144&amp;P144,'Historico Vendas'!G:G,'Historico Vendas'!F:F),0)</f>
        <v>0</v>
      </c>
      <c r="AH144" s="25">
        <f t="shared" si="150"/>
        <v>0</v>
      </c>
      <c r="AI144" s="24">
        <f t="shared" si="151"/>
        <v>0</v>
      </c>
      <c r="AJ144" s="11" t="str">
        <f t="shared" si="133"/>
        <v/>
      </c>
      <c r="AK144" s="9" t="s">
        <v>102</v>
      </c>
      <c r="AL144" s="13">
        <f>IFERROR(INDEX('Balizador da Meta'!$D$3:$F$23,MATCH(Faturamento!$P144,'Balizador da Meta'!$C$3:$C$23,0),MATCH(Faturamento!AK144,'Balizador da Meta'!$D$2:$F$2,0)),"")</f>
        <v>0.25</v>
      </c>
      <c r="AM144" s="9"/>
    </row>
    <row r="145" spans="1:39" x14ac:dyDescent="0.3">
      <c r="A145" s="2" t="str">
        <f t="shared" si="131"/>
        <v>NÃO</v>
      </c>
      <c r="B145" s="2" t="str">
        <f>_xlfn.XLOOKUP($N145,'Base de Grupos'!$A:$A,'Base de Grupos'!$D:$D)</f>
        <v>1000065763</v>
      </c>
      <c r="C145" s="5" t="str">
        <f>_xlfn.XLOOKUP($N145,'Base de Grupos'!$A:$A,'Base de Grupos'!$E:$E)</f>
        <v>CANAL VENDA INTERNA</v>
      </c>
      <c r="D145" s="5" t="str">
        <f>_xlfn.XLOOKUP($N145,'Base de Grupos'!$A:$A,'Base de Grupos'!$F:$F)</f>
        <v>1000065763</v>
      </c>
      <c r="E145" s="2" t="str">
        <f>_xlfn.XLOOKUP($N145,'Base de Grupos'!$A:$A,'Base de Grupos'!$G:$G)</f>
        <v>CANAL VENDA INTERNA</v>
      </c>
      <c r="F145" s="2" t="str">
        <f>_xlfn.XLOOKUP($N145,'Base de Grupos'!$A:$A,'Base de Grupos'!$H:$H)</f>
        <v>1000105900</v>
      </c>
      <c r="G145" s="5" t="str">
        <f>_xlfn.XLOOKUP($N145,'Base de Grupos'!$A:$A,'Base de Grupos'!$I:$I)</f>
        <v>REGIONAL VENDA DIRETA CO + NE + NO</v>
      </c>
      <c r="H145" s="5" t="str">
        <f>_xlfn.XLOOKUP($N145,'Base de Grupos'!$A:$A,'Base de Grupos'!$J:$J)</f>
        <v>1000105900</v>
      </c>
      <c r="I145" s="2" t="str">
        <f>_xlfn.XLOOKUP($N145,'Base de Grupos'!$A:$A,'Base de Grupos'!$K:$K)</f>
        <v>REGIONAL VENDA DIRETA CO + NE + NO</v>
      </c>
      <c r="J145" s="2" t="str">
        <f>_xlfn.XLOOKUP($N145,'Base de Grupos'!$A:$A,'Base de Grupos'!$L:$L)</f>
        <v>1000150135</v>
      </c>
      <c r="K145" s="5" t="str">
        <f>_xlfn.XLOOKUP($N145,'Base de Grupos'!$A:$A,'Base de Grupos'!$M:$M)</f>
        <v>HELDER DA SILVA BRUNKOW</v>
      </c>
      <c r="L145" s="5" t="str">
        <f t="shared" si="132"/>
        <v/>
      </c>
      <c r="M145" s="5" t="str">
        <f>_xlfn.XLOOKUP($N145,'Base de Grupos'!$A:$A,'Base de Grupos'!$C:$C)</f>
        <v>BA</v>
      </c>
      <c r="N145" s="3">
        <v>1331</v>
      </c>
      <c r="O145" s="4" t="s">
        <v>231</v>
      </c>
      <c r="P145" s="5" t="s">
        <v>95</v>
      </c>
      <c r="Q145" s="56">
        <v>0</v>
      </c>
      <c r="R145" s="56">
        <v>0</v>
      </c>
      <c r="S145" s="56">
        <v>0</v>
      </c>
      <c r="T145" s="56">
        <f>_xlfn.XLOOKUP($N145,'Calculo Leads'!$A$97:$A$134,'Calculo Leads'!G$97:G$134)*_xlfn.XLOOKUP($P145,'Base Grupo de Produtos'!$E$2:$E$18,'Base Grupo de Produtos'!$F$2:$F$18)</f>
        <v>480</v>
      </c>
      <c r="U145" s="56">
        <f>_xlfn.XLOOKUP($N145,'Calculo Leads'!$A$97:$A$134,'Calculo Leads'!H$97:H$134)*_xlfn.XLOOKUP($P145,'Base Grupo de Produtos'!$E$2:$E$18,'Base Grupo de Produtos'!$F$2:$F$18)</f>
        <v>560</v>
      </c>
      <c r="V145" s="56">
        <f>_xlfn.XLOOKUP($N145,'Calculo Leads'!$A$97:$A$134,'Calculo Leads'!I$97:I$134)*_xlfn.XLOOKUP($P145,'Base Grupo de Produtos'!$E$2:$E$18,'Base Grupo de Produtos'!$F$2:$F$18)</f>
        <v>720</v>
      </c>
      <c r="W145" s="56">
        <f>_xlfn.XLOOKUP($N145,'Calculo Leads'!$A$97:$A$134,'Calculo Leads'!J$97:J$134)*_xlfn.XLOOKUP($P145,'Base Grupo de Produtos'!$E$2:$E$18,'Base Grupo de Produtos'!$F$2:$F$18)</f>
        <v>880</v>
      </c>
      <c r="X145" s="56">
        <f>_xlfn.XLOOKUP($N145,'Calculo Leads'!$A$97:$A$134,'Calculo Leads'!K$97:K$134)*_xlfn.XLOOKUP($P145,'Base Grupo de Produtos'!$E$2:$E$18,'Base Grupo de Produtos'!$F$2:$F$18)</f>
        <v>1056</v>
      </c>
      <c r="Y145" s="56">
        <f>_xlfn.XLOOKUP($N145,'Calculo Leads'!$A$97:$A$134,'Calculo Leads'!L$97:L$134)*_xlfn.XLOOKUP($P145,'Base Grupo de Produtos'!$E$2:$E$18,'Base Grupo de Produtos'!$F$2:$F$18)</f>
        <v>1320</v>
      </c>
      <c r="Z145" s="56">
        <f>_xlfn.XLOOKUP($N145,'Calculo Leads'!$A$97:$A$134,'Calculo Leads'!M$97:M$134)*_xlfn.XLOOKUP($P145,'Base Grupo de Produtos'!$E$2:$E$18,'Base Grupo de Produtos'!$F$2:$F$18)</f>
        <v>1496</v>
      </c>
      <c r="AA145" s="56">
        <f>_xlfn.XLOOKUP($N145,'Calculo Leads'!$A$97:$A$134,'Calculo Leads'!N$97:N$134)*_xlfn.XLOOKUP($P145,'Base Grupo de Produtos'!$E$2:$E$18,'Base Grupo de Produtos'!$F$2:$F$18)</f>
        <v>1672</v>
      </c>
      <c r="AB145" s="56">
        <f>_xlfn.XLOOKUP($N145,'Calculo Leads'!$A$97:$A$134,'Calculo Leads'!O$97:O$134)*_xlfn.XLOOKUP($P145,'Base Grupo de Produtos'!$E$2:$E$18,'Base Grupo de Produtos'!$F$2:$F$18)</f>
        <v>1144</v>
      </c>
      <c r="AC145" s="61">
        <f t="shared" si="152"/>
        <v>9328</v>
      </c>
      <c r="AD145" s="27">
        <f t="shared" si="153"/>
        <v>9328</v>
      </c>
      <c r="AE145" s="25">
        <f>IFERROR(_xlfn.XLOOKUP(N145&amp;P145,'Historico Vendas'!G:G,'Historico Vendas'!E:E),0)</f>
        <v>0</v>
      </c>
      <c r="AF145" s="29" t="str">
        <f t="shared" si="130"/>
        <v/>
      </c>
      <c r="AG145" s="24">
        <f>IFERROR(_xlfn.XLOOKUP(N145&amp;P145,'Historico Vendas'!G:G,'Historico Vendas'!F:F),0)</f>
        <v>0</v>
      </c>
      <c r="AH145" s="25">
        <f t="shared" si="150"/>
        <v>0</v>
      </c>
      <c r="AI145" s="24">
        <f t="shared" si="151"/>
        <v>0</v>
      </c>
      <c r="AJ145" s="11" t="str">
        <f t="shared" si="133"/>
        <v/>
      </c>
      <c r="AK145" s="9" t="s">
        <v>102</v>
      </c>
      <c r="AL145" s="13">
        <f>IFERROR(INDEX('Balizador da Meta'!$D$3:$F$23,MATCH(Faturamento!$P145,'Balizador da Meta'!$C$3:$C$23,0),MATCH(Faturamento!AK145,'Balizador da Meta'!$D$2:$F$2,0)),"")</f>
        <v>0.25</v>
      </c>
      <c r="AM145" s="9"/>
    </row>
    <row r="146" spans="1:39" x14ac:dyDescent="0.3">
      <c r="A146" s="2" t="str">
        <f t="shared" si="131"/>
        <v>NÃO</v>
      </c>
      <c r="B146" s="2" t="str">
        <f>_xlfn.XLOOKUP($N146,'Base de Grupos'!$A:$A,'Base de Grupos'!$D:$D)</f>
        <v>1000065763</v>
      </c>
      <c r="C146" s="5" t="str">
        <f>_xlfn.XLOOKUP($N146,'Base de Grupos'!$A:$A,'Base de Grupos'!$E:$E)</f>
        <v>CANAL VENDA INTERNA</v>
      </c>
      <c r="D146" s="5" t="str">
        <f>_xlfn.XLOOKUP($N146,'Base de Grupos'!$A:$A,'Base de Grupos'!$F:$F)</f>
        <v>1000065763</v>
      </c>
      <c r="E146" s="2" t="str">
        <f>_xlfn.XLOOKUP($N146,'Base de Grupos'!$A:$A,'Base de Grupos'!$G:$G)</f>
        <v>CANAL VENDA INTERNA</v>
      </c>
      <c r="F146" s="2" t="str">
        <f>_xlfn.XLOOKUP($N146,'Base de Grupos'!$A:$A,'Base de Grupos'!$H:$H)</f>
        <v>1000105900</v>
      </c>
      <c r="G146" s="5" t="str">
        <f>_xlfn.XLOOKUP($N146,'Base de Grupos'!$A:$A,'Base de Grupos'!$I:$I)</f>
        <v>REGIONAL VENDA DIRETA CO + NE + NO</v>
      </c>
      <c r="H146" s="5" t="str">
        <f>_xlfn.XLOOKUP($N146,'Base de Grupos'!$A:$A,'Base de Grupos'!$J:$J)</f>
        <v>1000105900</v>
      </c>
      <c r="I146" s="2" t="str">
        <f>_xlfn.XLOOKUP($N146,'Base de Grupos'!$A:$A,'Base de Grupos'!$K:$K)</f>
        <v>REGIONAL VENDA DIRETA CO + NE + NO</v>
      </c>
      <c r="J146" s="2" t="str">
        <f>_xlfn.XLOOKUP($N146,'Base de Grupos'!$A:$A,'Base de Grupos'!$L:$L)</f>
        <v>1000150135</v>
      </c>
      <c r="K146" s="5" t="str">
        <f>_xlfn.XLOOKUP($N146,'Base de Grupos'!$A:$A,'Base de Grupos'!$M:$M)</f>
        <v>HELDER DA SILVA BRUNKOW</v>
      </c>
      <c r="L146" s="5" t="str">
        <f t="shared" si="132"/>
        <v/>
      </c>
      <c r="M146" s="5" t="str">
        <f>_xlfn.XLOOKUP($N146,'Base de Grupos'!$A:$A,'Base de Grupos'!$C:$C)</f>
        <v>BA</v>
      </c>
      <c r="N146" s="3">
        <v>1331</v>
      </c>
      <c r="O146" s="4" t="s">
        <v>231</v>
      </c>
      <c r="P146" s="5" t="s">
        <v>93</v>
      </c>
      <c r="Q146" s="56">
        <v>0</v>
      </c>
      <c r="R146" s="56">
        <v>0</v>
      </c>
      <c r="S146" s="56">
        <v>0</v>
      </c>
      <c r="T146" s="56">
        <f>_xlfn.XLOOKUP($N146,'Calculo Leads'!$A$97:$A$134,'Calculo Leads'!G$97:G$134)*_xlfn.XLOOKUP($P146,'Base Grupo de Produtos'!$E$2:$E$18,'Base Grupo de Produtos'!$F$2:$F$18)</f>
        <v>180</v>
      </c>
      <c r="U146" s="56">
        <f>_xlfn.XLOOKUP($N146,'Calculo Leads'!$A$97:$A$134,'Calculo Leads'!H$97:H$134)*_xlfn.XLOOKUP($P146,'Base Grupo de Produtos'!$E$2:$E$18,'Base Grupo de Produtos'!$F$2:$F$18)</f>
        <v>210</v>
      </c>
      <c r="V146" s="56">
        <f>_xlfn.XLOOKUP($N146,'Calculo Leads'!$A$97:$A$134,'Calculo Leads'!I$97:I$134)*_xlfn.XLOOKUP($P146,'Base Grupo de Produtos'!$E$2:$E$18,'Base Grupo de Produtos'!$F$2:$F$18)</f>
        <v>270</v>
      </c>
      <c r="W146" s="56">
        <f>_xlfn.XLOOKUP($N146,'Calculo Leads'!$A$97:$A$134,'Calculo Leads'!J$97:J$134)*_xlfn.XLOOKUP($P146,'Base Grupo de Produtos'!$E$2:$E$18,'Base Grupo de Produtos'!$F$2:$F$18)</f>
        <v>330</v>
      </c>
      <c r="X146" s="56">
        <f>_xlfn.XLOOKUP($N146,'Calculo Leads'!$A$97:$A$134,'Calculo Leads'!K$97:K$134)*_xlfn.XLOOKUP($P146,'Base Grupo de Produtos'!$E$2:$E$18,'Base Grupo de Produtos'!$F$2:$F$18)</f>
        <v>396</v>
      </c>
      <c r="Y146" s="56">
        <f>_xlfn.XLOOKUP($N146,'Calculo Leads'!$A$97:$A$134,'Calculo Leads'!L$97:L$134)*_xlfn.XLOOKUP($P146,'Base Grupo de Produtos'!$E$2:$E$18,'Base Grupo de Produtos'!$F$2:$F$18)</f>
        <v>495</v>
      </c>
      <c r="Z146" s="56">
        <f>_xlfn.XLOOKUP($N146,'Calculo Leads'!$A$97:$A$134,'Calculo Leads'!M$97:M$134)*_xlfn.XLOOKUP($P146,'Base Grupo de Produtos'!$E$2:$E$18,'Base Grupo de Produtos'!$F$2:$F$18)</f>
        <v>561</v>
      </c>
      <c r="AA146" s="56">
        <f>_xlfn.XLOOKUP($N146,'Calculo Leads'!$A$97:$A$134,'Calculo Leads'!N$97:N$134)*_xlfn.XLOOKUP($P146,'Base Grupo de Produtos'!$E$2:$E$18,'Base Grupo de Produtos'!$F$2:$F$18)</f>
        <v>627</v>
      </c>
      <c r="AB146" s="56">
        <f>_xlfn.XLOOKUP($N146,'Calculo Leads'!$A$97:$A$134,'Calculo Leads'!O$97:O$134)*_xlfn.XLOOKUP($P146,'Base Grupo de Produtos'!$E$2:$E$18,'Base Grupo de Produtos'!$F$2:$F$18)</f>
        <v>429</v>
      </c>
      <c r="AC146" s="61">
        <f t="shared" si="152"/>
        <v>3498</v>
      </c>
      <c r="AD146" s="27">
        <f t="shared" si="153"/>
        <v>3498</v>
      </c>
      <c r="AE146" s="25">
        <f>IFERROR(_xlfn.XLOOKUP(N146&amp;P146,'Historico Vendas'!G:G,'Historico Vendas'!E:E),0)</f>
        <v>0</v>
      </c>
      <c r="AF146" s="29" t="str">
        <f t="shared" si="130"/>
        <v/>
      </c>
      <c r="AG146" s="24">
        <f>IFERROR(_xlfn.XLOOKUP(N146&amp;P146,'Historico Vendas'!G:G,'Historico Vendas'!F:F),0)</f>
        <v>0</v>
      </c>
      <c r="AH146" s="25">
        <f t="shared" si="150"/>
        <v>0</v>
      </c>
      <c r="AI146" s="24">
        <f t="shared" si="151"/>
        <v>0</v>
      </c>
      <c r="AJ146" s="11" t="str">
        <f t="shared" si="133"/>
        <v/>
      </c>
      <c r="AK146" s="9" t="s">
        <v>102</v>
      </c>
      <c r="AL146" s="13">
        <f>IFERROR(INDEX('Balizador da Meta'!$D$3:$F$23,MATCH(Faturamento!$P146,'Balizador da Meta'!$C$3:$C$23,0),MATCH(Faturamento!AK146,'Balizador da Meta'!$D$2:$F$2,0)),"")</f>
        <v>0.2</v>
      </c>
      <c r="AM146" s="9"/>
    </row>
    <row r="147" spans="1:39" x14ac:dyDescent="0.3">
      <c r="A147" s="2" t="str">
        <f t="shared" si="131"/>
        <v>SIM</v>
      </c>
      <c r="B147" s="2" t="str">
        <f>_xlfn.XLOOKUP($N147,'Base de Grupos'!$A:$A,'Base de Grupos'!$D:$D)</f>
        <v>1000065763</v>
      </c>
      <c r="C147" s="5" t="str">
        <f>_xlfn.XLOOKUP($N147,'Base de Grupos'!$A:$A,'Base de Grupos'!$E:$E)</f>
        <v>CANAL VENDA INTERNA</v>
      </c>
      <c r="D147" s="5" t="str">
        <f>_xlfn.XLOOKUP($N147,'Base de Grupos'!$A:$A,'Base de Grupos'!$F:$F)</f>
        <v>1000065763</v>
      </c>
      <c r="E147" s="2" t="str">
        <f>_xlfn.XLOOKUP($N147,'Base de Grupos'!$A:$A,'Base de Grupos'!$G:$G)</f>
        <v>CANAL VENDA INTERNA</v>
      </c>
      <c r="F147" s="2" t="str">
        <f>_xlfn.XLOOKUP($N147,'Base de Grupos'!$A:$A,'Base de Grupos'!$H:$H)</f>
        <v>1000105900</v>
      </c>
      <c r="G147" s="5" t="str">
        <f>_xlfn.XLOOKUP($N147,'Base de Grupos'!$A:$A,'Base de Grupos'!$I:$I)</f>
        <v>REGIONAL VENDA DIRETA CO + NE + NO</v>
      </c>
      <c r="H147" s="5" t="str">
        <f>_xlfn.XLOOKUP($N147,'Base de Grupos'!$A:$A,'Base de Grupos'!$J:$J)</f>
        <v>1000105900</v>
      </c>
      <c r="I147" s="2" t="str">
        <f>_xlfn.XLOOKUP($N147,'Base de Grupos'!$A:$A,'Base de Grupos'!$K:$K)</f>
        <v>REGIONAL VENDA DIRETA CO + NE + NO</v>
      </c>
      <c r="J147" s="2" t="str">
        <f>_xlfn.XLOOKUP($N147,'Base de Grupos'!$A:$A,'Base de Grupos'!$L:$L)</f>
        <v>1000150135</v>
      </c>
      <c r="K147" s="5" t="str">
        <f>_xlfn.XLOOKUP($N147,'Base de Grupos'!$A:$A,'Base de Grupos'!$M:$M)</f>
        <v>HELDER DA SILVA BRUNKOW</v>
      </c>
      <c r="L147" s="5">
        <f t="shared" si="132"/>
        <v>1</v>
      </c>
      <c r="M147" s="5" t="str">
        <f>_xlfn.XLOOKUP($N147,'Base de Grupos'!$A:$A,'Base de Grupos'!$C:$C)</f>
        <v>MA</v>
      </c>
      <c r="N147" s="3">
        <v>1332</v>
      </c>
      <c r="O147" s="4" t="s">
        <v>232</v>
      </c>
      <c r="P147" s="5" t="s">
        <v>302</v>
      </c>
      <c r="Q147" s="56">
        <f t="shared" ref="Q147" si="154">SUM(Q148:Q164)</f>
        <v>0</v>
      </c>
      <c r="R147" s="56">
        <f t="shared" ref="R147" si="155">SUM(R148:R164)</f>
        <v>0</v>
      </c>
      <c r="S147" s="56">
        <f t="shared" ref="S147" si="156">SUM(S148:S164)</f>
        <v>0</v>
      </c>
      <c r="T147" s="56">
        <f t="shared" ref="T147" si="157">SUM(T148:T164)</f>
        <v>2000</v>
      </c>
      <c r="U147" s="56">
        <f t="shared" ref="U147" si="158">SUM(U148:U164)</f>
        <v>2000</v>
      </c>
      <c r="V147" s="56">
        <f t="shared" ref="V147" si="159">SUM(V148:V164)</f>
        <v>2000</v>
      </c>
      <c r="W147" s="56">
        <f t="shared" ref="W147" si="160">SUM(W148:W164)</f>
        <v>3000</v>
      </c>
      <c r="X147" s="56">
        <f t="shared" ref="X147" si="161">SUM(X148:X164)</f>
        <v>3300</v>
      </c>
      <c r="Y147" s="56">
        <f t="shared" ref="Y147" si="162">SUM(Y148:Y164)</f>
        <v>4400</v>
      </c>
      <c r="Z147" s="56">
        <f t="shared" ref="Z147" si="163">SUM(Z148:Z164)</f>
        <v>4400</v>
      </c>
      <c r="AA147" s="56">
        <f t="shared" ref="AA147" si="164">SUM(AA148:AA164)</f>
        <v>5500</v>
      </c>
      <c r="AB147" s="56">
        <f t="shared" ref="AB147" si="165">SUM(AB148:AB164)</f>
        <v>3300</v>
      </c>
      <c r="AC147" s="56">
        <f t="shared" ref="AC147" si="166">SUM(AC148:AC164)</f>
        <v>29900</v>
      </c>
      <c r="AD147" s="25">
        <f t="shared" ref="AD147" si="167">SUM(AD148:AD164)</f>
        <v>29900</v>
      </c>
      <c r="AE147" s="25">
        <f t="shared" ref="AE147:AI147" si="168">SUM(AE148:AE164)</f>
        <v>0</v>
      </c>
      <c r="AF147" s="11" t="str">
        <f t="shared" si="130"/>
        <v/>
      </c>
      <c r="AG147" s="24">
        <f t="shared" si="168"/>
        <v>0</v>
      </c>
      <c r="AH147" s="25">
        <f t="shared" si="168"/>
        <v>0</v>
      </c>
      <c r="AI147" s="24">
        <f t="shared" si="168"/>
        <v>0</v>
      </c>
      <c r="AJ147" s="11" t="str">
        <f t="shared" si="133"/>
        <v/>
      </c>
      <c r="AK147" s="9"/>
      <c r="AL147" s="13"/>
      <c r="AM147" s="9"/>
    </row>
    <row r="148" spans="1:39" x14ac:dyDescent="0.3">
      <c r="A148" s="2" t="str">
        <f t="shared" si="131"/>
        <v>NÃO</v>
      </c>
      <c r="B148" s="2" t="str">
        <f>_xlfn.XLOOKUP($N148,'Base de Grupos'!$A:$A,'Base de Grupos'!$D:$D)</f>
        <v>1000065763</v>
      </c>
      <c r="C148" s="5" t="str">
        <f>_xlfn.XLOOKUP($N148,'Base de Grupos'!$A:$A,'Base de Grupos'!$E:$E)</f>
        <v>CANAL VENDA INTERNA</v>
      </c>
      <c r="D148" s="5" t="str">
        <f>_xlfn.XLOOKUP($N148,'Base de Grupos'!$A:$A,'Base de Grupos'!$F:$F)</f>
        <v>1000065763</v>
      </c>
      <c r="E148" s="2" t="str">
        <f>_xlfn.XLOOKUP($N148,'Base de Grupos'!$A:$A,'Base de Grupos'!$G:$G)</f>
        <v>CANAL VENDA INTERNA</v>
      </c>
      <c r="F148" s="2" t="str">
        <f>_xlfn.XLOOKUP($N148,'Base de Grupos'!$A:$A,'Base de Grupos'!$H:$H)</f>
        <v>1000105900</v>
      </c>
      <c r="G148" s="5" t="str">
        <f>_xlfn.XLOOKUP($N148,'Base de Grupos'!$A:$A,'Base de Grupos'!$I:$I)</f>
        <v>REGIONAL VENDA DIRETA CO + NE + NO</v>
      </c>
      <c r="H148" s="5" t="str">
        <f>_xlfn.XLOOKUP($N148,'Base de Grupos'!$A:$A,'Base de Grupos'!$J:$J)</f>
        <v>1000105900</v>
      </c>
      <c r="I148" s="2" t="str">
        <f>_xlfn.XLOOKUP($N148,'Base de Grupos'!$A:$A,'Base de Grupos'!$K:$K)</f>
        <v>REGIONAL VENDA DIRETA CO + NE + NO</v>
      </c>
      <c r="J148" s="2" t="str">
        <f>_xlfn.XLOOKUP($N148,'Base de Grupos'!$A:$A,'Base de Grupos'!$L:$L)</f>
        <v>1000150135</v>
      </c>
      <c r="K148" s="5" t="str">
        <f>_xlfn.XLOOKUP($N148,'Base de Grupos'!$A:$A,'Base de Grupos'!$M:$M)</f>
        <v>HELDER DA SILVA BRUNKOW</v>
      </c>
      <c r="L148" s="5" t="str">
        <f t="shared" si="132"/>
        <v/>
      </c>
      <c r="M148" s="5" t="str">
        <f>_xlfn.XLOOKUP($N148,'Base de Grupos'!$A:$A,'Base de Grupos'!$C:$C)</f>
        <v>MA</v>
      </c>
      <c r="N148" s="3">
        <v>1332</v>
      </c>
      <c r="O148" s="4" t="s">
        <v>232</v>
      </c>
      <c r="P148" s="5" t="s">
        <v>81</v>
      </c>
      <c r="Q148" s="56">
        <v>0</v>
      </c>
      <c r="R148" s="56">
        <v>0</v>
      </c>
      <c r="S148" s="56">
        <v>0</v>
      </c>
      <c r="T148" s="56">
        <f>_xlfn.XLOOKUP($N148,'Calculo Leads'!$A$97:$A$134,'Calculo Leads'!G$97:G$134)*_xlfn.XLOOKUP($P148,'Base Grupo de Produtos'!$E$2:$E$18,'Base Grupo de Produtos'!$F$2:$F$18)</f>
        <v>100</v>
      </c>
      <c r="U148" s="56">
        <f>_xlfn.XLOOKUP($N148,'Calculo Leads'!$A$97:$A$134,'Calculo Leads'!H$97:H$134)*_xlfn.XLOOKUP($P148,'Base Grupo de Produtos'!$E$2:$E$18,'Base Grupo de Produtos'!$F$2:$F$18)</f>
        <v>100</v>
      </c>
      <c r="V148" s="56">
        <f>_xlfn.XLOOKUP($N148,'Calculo Leads'!$A$97:$A$134,'Calculo Leads'!I$97:I$134)*_xlfn.XLOOKUP($P148,'Base Grupo de Produtos'!$E$2:$E$18,'Base Grupo de Produtos'!$F$2:$F$18)</f>
        <v>100</v>
      </c>
      <c r="W148" s="56">
        <f>_xlfn.XLOOKUP($N148,'Calculo Leads'!$A$97:$A$134,'Calculo Leads'!J$97:J$134)*_xlfn.XLOOKUP($P148,'Base Grupo de Produtos'!$E$2:$E$18,'Base Grupo de Produtos'!$F$2:$F$18)</f>
        <v>150</v>
      </c>
      <c r="X148" s="56">
        <f>_xlfn.XLOOKUP($N148,'Calculo Leads'!$A$97:$A$134,'Calculo Leads'!K$97:K$134)*_xlfn.XLOOKUP($P148,'Base Grupo de Produtos'!$E$2:$E$18,'Base Grupo de Produtos'!$F$2:$F$18)</f>
        <v>165</v>
      </c>
      <c r="Y148" s="56">
        <f>_xlfn.XLOOKUP($N148,'Calculo Leads'!$A$97:$A$134,'Calculo Leads'!L$97:L$134)*_xlfn.XLOOKUP($P148,'Base Grupo de Produtos'!$E$2:$E$18,'Base Grupo de Produtos'!$F$2:$F$18)</f>
        <v>220</v>
      </c>
      <c r="Z148" s="56">
        <f>_xlfn.XLOOKUP($N148,'Calculo Leads'!$A$97:$A$134,'Calculo Leads'!M$97:M$134)*_xlfn.XLOOKUP($P148,'Base Grupo de Produtos'!$E$2:$E$18,'Base Grupo de Produtos'!$F$2:$F$18)</f>
        <v>220</v>
      </c>
      <c r="AA148" s="56">
        <f>_xlfn.XLOOKUP($N148,'Calculo Leads'!$A$97:$A$134,'Calculo Leads'!N$97:N$134)*_xlfn.XLOOKUP($P148,'Base Grupo de Produtos'!$E$2:$E$18,'Base Grupo de Produtos'!$F$2:$F$18)</f>
        <v>275</v>
      </c>
      <c r="AB148" s="56">
        <f>_xlfn.XLOOKUP($N148,'Calculo Leads'!$A$97:$A$134,'Calculo Leads'!O$97:O$134)*_xlfn.XLOOKUP($P148,'Base Grupo de Produtos'!$E$2:$E$18,'Base Grupo de Produtos'!$F$2:$F$18)</f>
        <v>165</v>
      </c>
      <c r="AC148" s="61">
        <f t="shared" si="152"/>
        <v>1495</v>
      </c>
      <c r="AD148" s="27">
        <f t="shared" ref="AD148:AD164" si="169">IF(AC148=0,0,AC148-AG148)</f>
        <v>1495</v>
      </c>
      <c r="AE148" s="25">
        <f>IFERROR(_xlfn.XLOOKUP(N148&amp;P148,'Historico Vendas'!G:G,'Historico Vendas'!E:E),0)</f>
        <v>0</v>
      </c>
      <c r="AF148" s="29" t="str">
        <f t="shared" si="130"/>
        <v/>
      </c>
      <c r="AG148" s="24">
        <f>IFERROR(_xlfn.XLOOKUP(N148&amp;P148,'Historico Vendas'!G:G,'Historico Vendas'!F:F),0)</f>
        <v>0</v>
      </c>
      <c r="AH148" s="25">
        <f t="shared" ref="AH148:AH164" si="170">SUM(Q148:S148)</f>
        <v>0</v>
      </c>
      <c r="AI148" s="24">
        <f t="shared" ref="AI148:AI164" si="171">AH148-AG148</f>
        <v>0</v>
      </c>
      <c r="AJ148" s="11" t="str">
        <f t="shared" si="133"/>
        <v/>
      </c>
      <c r="AK148" s="9" t="s">
        <v>102</v>
      </c>
      <c r="AL148" s="13">
        <f>IFERROR(INDEX('Balizador da Meta'!$D$3:$F$23,MATCH(Faturamento!$P148,'Balizador da Meta'!$C$3:$C$23,0),MATCH(Faturamento!AK148,'Balizador da Meta'!$D$2:$F$2,0)),"")</f>
        <v>0.2</v>
      </c>
      <c r="AM148" s="9"/>
    </row>
    <row r="149" spans="1:39" x14ac:dyDescent="0.3">
      <c r="A149" s="2" t="str">
        <f t="shared" si="131"/>
        <v>NÃO</v>
      </c>
      <c r="B149" s="2" t="str">
        <f>_xlfn.XLOOKUP($N149,'Base de Grupos'!$A:$A,'Base de Grupos'!$D:$D)</f>
        <v>1000065763</v>
      </c>
      <c r="C149" s="5" t="str">
        <f>_xlfn.XLOOKUP($N149,'Base de Grupos'!$A:$A,'Base de Grupos'!$E:$E)</f>
        <v>CANAL VENDA INTERNA</v>
      </c>
      <c r="D149" s="5" t="str">
        <f>_xlfn.XLOOKUP($N149,'Base de Grupos'!$A:$A,'Base de Grupos'!$F:$F)</f>
        <v>1000065763</v>
      </c>
      <c r="E149" s="2" t="str">
        <f>_xlfn.XLOOKUP($N149,'Base de Grupos'!$A:$A,'Base de Grupos'!$G:$G)</f>
        <v>CANAL VENDA INTERNA</v>
      </c>
      <c r="F149" s="2" t="str">
        <f>_xlfn.XLOOKUP($N149,'Base de Grupos'!$A:$A,'Base de Grupos'!$H:$H)</f>
        <v>1000105900</v>
      </c>
      <c r="G149" s="5" t="str">
        <f>_xlfn.XLOOKUP($N149,'Base de Grupos'!$A:$A,'Base de Grupos'!$I:$I)</f>
        <v>REGIONAL VENDA DIRETA CO + NE + NO</v>
      </c>
      <c r="H149" s="5" t="str">
        <f>_xlfn.XLOOKUP($N149,'Base de Grupos'!$A:$A,'Base de Grupos'!$J:$J)</f>
        <v>1000105900</v>
      </c>
      <c r="I149" s="2" t="str">
        <f>_xlfn.XLOOKUP($N149,'Base de Grupos'!$A:$A,'Base de Grupos'!$K:$K)</f>
        <v>REGIONAL VENDA DIRETA CO + NE + NO</v>
      </c>
      <c r="J149" s="2" t="str">
        <f>_xlfn.XLOOKUP($N149,'Base de Grupos'!$A:$A,'Base de Grupos'!$L:$L)</f>
        <v>1000150135</v>
      </c>
      <c r="K149" s="5" t="str">
        <f>_xlfn.XLOOKUP($N149,'Base de Grupos'!$A:$A,'Base de Grupos'!$M:$M)</f>
        <v>HELDER DA SILVA BRUNKOW</v>
      </c>
      <c r="L149" s="5" t="str">
        <f t="shared" si="132"/>
        <v/>
      </c>
      <c r="M149" s="5" t="str">
        <f>_xlfn.XLOOKUP($N149,'Base de Grupos'!$A:$A,'Base de Grupos'!$C:$C)</f>
        <v>MA</v>
      </c>
      <c r="N149" s="3">
        <v>1332</v>
      </c>
      <c r="O149" s="4" t="s">
        <v>232</v>
      </c>
      <c r="P149" s="5" t="s">
        <v>82</v>
      </c>
      <c r="Q149" s="56">
        <v>0</v>
      </c>
      <c r="R149" s="56">
        <v>0</v>
      </c>
      <c r="S149" s="56">
        <v>0</v>
      </c>
      <c r="T149" s="56">
        <f>_xlfn.XLOOKUP($N149,'Calculo Leads'!$A$97:$A$134,'Calculo Leads'!G$97:G$134)*_xlfn.XLOOKUP($P149,'Base Grupo de Produtos'!$E$2:$E$18,'Base Grupo de Produtos'!$F$2:$F$18)</f>
        <v>100</v>
      </c>
      <c r="U149" s="56">
        <f>_xlfn.XLOOKUP($N149,'Calculo Leads'!$A$97:$A$134,'Calculo Leads'!H$97:H$134)*_xlfn.XLOOKUP($P149,'Base Grupo de Produtos'!$E$2:$E$18,'Base Grupo de Produtos'!$F$2:$F$18)</f>
        <v>100</v>
      </c>
      <c r="V149" s="56">
        <f>_xlfn.XLOOKUP($N149,'Calculo Leads'!$A$97:$A$134,'Calculo Leads'!I$97:I$134)*_xlfn.XLOOKUP($P149,'Base Grupo de Produtos'!$E$2:$E$18,'Base Grupo de Produtos'!$F$2:$F$18)</f>
        <v>100</v>
      </c>
      <c r="W149" s="56">
        <f>_xlfn.XLOOKUP($N149,'Calculo Leads'!$A$97:$A$134,'Calculo Leads'!J$97:J$134)*_xlfn.XLOOKUP($P149,'Base Grupo de Produtos'!$E$2:$E$18,'Base Grupo de Produtos'!$F$2:$F$18)</f>
        <v>150</v>
      </c>
      <c r="X149" s="56">
        <f>_xlfn.XLOOKUP($N149,'Calculo Leads'!$A$97:$A$134,'Calculo Leads'!K$97:K$134)*_xlfn.XLOOKUP($P149,'Base Grupo de Produtos'!$E$2:$E$18,'Base Grupo de Produtos'!$F$2:$F$18)</f>
        <v>165</v>
      </c>
      <c r="Y149" s="56">
        <f>_xlfn.XLOOKUP($N149,'Calculo Leads'!$A$97:$A$134,'Calculo Leads'!L$97:L$134)*_xlfn.XLOOKUP($P149,'Base Grupo de Produtos'!$E$2:$E$18,'Base Grupo de Produtos'!$F$2:$F$18)</f>
        <v>220</v>
      </c>
      <c r="Z149" s="56">
        <f>_xlfn.XLOOKUP($N149,'Calculo Leads'!$A$97:$A$134,'Calculo Leads'!M$97:M$134)*_xlfn.XLOOKUP($P149,'Base Grupo de Produtos'!$E$2:$E$18,'Base Grupo de Produtos'!$F$2:$F$18)</f>
        <v>220</v>
      </c>
      <c r="AA149" s="56">
        <f>_xlfn.XLOOKUP($N149,'Calculo Leads'!$A$97:$A$134,'Calculo Leads'!N$97:N$134)*_xlfn.XLOOKUP($P149,'Base Grupo de Produtos'!$E$2:$E$18,'Base Grupo de Produtos'!$F$2:$F$18)</f>
        <v>275</v>
      </c>
      <c r="AB149" s="56">
        <f>_xlfn.XLOOKUP($N149,'Calculo Leads'!$A$97:$A$134,'Calculo Leads'!O$97:O$134)*_xlfn.XLOOKUP($P149,'Base Grupo de Produtos'!$E$2:$E$18,'Base Grupo de Produtos'!$F$2:$F$18)</f>
        <v>165</v>
      </c>
      <c r="AC149" s="61">
        <f t="shared" si="152"/>
        <v>1495</v>
      </c>
      <c r="AD149" s="27">
        <f t="shared" si="169"/>
        <v>1495</v>
      </c>
      <c r="AE149" s="25">
        <f>IFERROR(_xlfn.XLOOKUP(N149&amp;P149,'Historico Vendas'!G:G,'Historico Vendas'!E:E),0)</f>
        <v>0</v>
      </c>
      <c r="AF149" s="29" t="str">
        <f t="shared" si="130"/>
        <v/>
      </c>
      <c r="AG149" s="24">
        <f>IFERROR(_xlfn.XLOOKUP(N149&amp;P149,'Historico Vendas'!G:G,'Historico Vendas'!F:F),0)</f>
        <v>0</v>
      </c>
      <c r="AH149" s="25">
        <f t="shared" si="170"/>
        <v>0</v>
      </c>
      <c r="AI149" s="24">
        <f t="shared" si="171"/>
        <v>0</v>
      </c>
      <c r="AJ149" s="11" t="str">
        <f t="shared" si="133"/>
        <v/>
      </c>
      <c r="AK149" s="9" t="s">
        <v>102</v>
      </c>
      <c r="AL149" s="13">
        <f>IFERROR(INDEX('Balizador da Meta'!$D$3:$F$23,MATCH(Faturamento!$P149,'Balizador da Meta'!$C$3:$C$23,0),MATCH(Faturamento!AK149,'Balizador da Meta'!$D$2:$F$2,0)),"")</f>
        <v>0.2</v>
      </c>
      <c r="AM149" s="9"/>
    </row>
    <row r="150" spans="1:39" x14ac:dyDescent="0.3">
      <c r="A150" s="2" t="str">
        <f t="shared" si="131"/>
        <v>NÃO</v>
      </c>
      <c r="B150" s="2" t="str">
        <f>_xlfn.XLOOKUP($N150,'Base de Grupos'!$A:$A,'Base de Grupos'!$D:$D)</f>
        <v>1000065763</v>
      </c>
      <c r="C150" s="5" t="str">
        <f>_xlfn.XLOOKUP($N150,'Base de Grupos'!$A:$A,'Base de Grupos'!$E:$E)</f>
        <v>CANAL VENDA INTERNA</v>
      </c>
      <c r="D150" s="5" t="str">
        <f>_xlfn.XLOOKUP($N150,'Base de Grupos'!$A:$A,'Base de Grupos'!$F:$F)</f>
        <v>1000065763</v>
      </c>
      <c r="E150" s="2" t="str">
        <f>_xlfn.XLOOKUP($N150,'Base de Grupos'!$A:$A,'Base de Grupos'!$G:$G)</f>
        <v>CANAL VENDA INTERNA</v>
      </c>
      <c r="F150" s="2" t="str">
        <f>_xlfn.XLOOKUP($N150,'Base de Grupos'!$A:$A,'Base de Grupos'!$H:$H)</f>
        <v>1000105900</v>
      </c>
      <c r="G150" s="5" t="str">
        <f>_xlfn.XLOOKUP($N150,'Base de Grupos'!$A:$A,'Base de Grupos'!$I:$I)</f>
        <v>REGIONAL VENDA DIRETA CO + NE + NO</v>
      </c>
      <c r="H150" s="5" t="str">
        <f>_xlfn.XLOOKUP($N150,'Base de Grupos'!$A:$A,'Base de Grupos'!$J:$J)</f>
        <v>1000105900</v>
      </c>
      <c r="I150" s="2" t="str">
        <f>_xlfn.XLOOKUP($N150,'Base de Grupos'!$A:$A,'Base de Grupos'!$K:$K)</f>
        <v>REGIONAL VENDA DIRETA CO + NE + NO</v>
      </c>
      <c r="J150" s="2" t="str">
        <f>_xlfn.XLOOKUP($N150,'Base de Grupos'!$A:$A,'Base de Grupos'!$L:$L)</f>
        <v>1000150135</v>
      </c>
      <c r="K150" s="5" t="str">
        <f>_xlfn.XLOOKUP($N150,'Base de Grupos'!$A:$A,'Base de Grupos'!$M:$M)</f>
        <v>HELDER DA SILVA BRUNKOW</v>
      </c>
      <c r="L150" s="5" t="str">
        <f t="shared" si="132"/>
        <v/>
      </c>
      <c r="M150" s="5" t="str">
        <f>_xlfn.XLOOKUP($N150,'Base de Grupos'!$A:$A,'Base de Grupos'!$C:$C)</f>
        <v>MA</v>
      </c>
      <c r="N150" s="3">
        <v>1332</v>
      </c>
      <c r="O150" s="4" t="s">
        <v>232</v>
      </c>
      <c r="P150" s="5" t="s">
        <v>84</v>
      </c>
      <c r="Q150" s="56">
        <v>0</v>
      </c>
      <c r="R150" s="56">
        <v>0</v>
      </c>
      <c r="S150" s="56">
        <v>0</v>
      </c>
      <c r="T150" s="56">
        <f>_xlfn.XLOOKUP($N150,'Calculo Leads'!$A$97:$A$134,'Calculo Leads'!G$97:G$134)*_xlfn.XLOOKUP($P150,'Base Grupo de Produtos'!$E$2:$E$18,'Base Grupo de Produtos'!$F$2:$F$18)</f>
        <v>160</v>
      </c>
      <c r="U150" s="56">
        <f>_xlfn.XLOOKUP($N150,'Calculo Leads'!$A$97:$A$134,'Calculo Leads'!H$97:H$134)*_xlfn.XLOOKUP($P150,'Base Grupo de Produtos'!$E$2:$E$18,'Base Grupo de Produtos'!$F$2:$F$18)</f>
        <v>160</v>
      </c>
      <c r="V150" s="56">
        <f>_xlfn.XLOOKUP($N150,'Calculo Leads'!$A$97:$A$134,'Calculo Leads'!I$97:I$134)*_xlfn.XLOOKUP($P150,'Base Grupo de Produtos'!$E$2:$E$18,'Base Grupo de Produtos'!$F$2:$F$18)</f>
        <v>160</v>
      </c>
      <c r="W150" s="56">
        <f>_xlfn.XLOOKUP($N150,'Calculo Leads'!$A$97:$A$134,'Calculo Leads'!J$97:J$134)*_xlfn.XLOOKUP($P150,'Base Grupo de Produtos'!$E$2:$E$18,'Base Grupo de Produtos'!$F$2:$F$18)</f>
        <v>240</v>
      </c>
      <c r="X150" s="56">
        <f>_xlfn.XLOOKUP($N150,'Calculo Leads'!$A$97:$A$134,'Calculo Leads'!K$97:K$134)*_xlfn.XLOOKUP($P150,'Base Grupo de Produtos'!$E$2:$E$18,'Base Grupo de Produtos'!$F$2:$F$18)</f>
        <v>264</v>
      </c>
      <c r="Y150" s="56">
        <f>_xlfn.XLOOKUP($N150,'Calculo Leads'!$A$97:$A$134,'Calculo Leads'!L$97:L$134)*_xlfn.XLOOKUP($P150,'Base Grupo de Produtos'!$E$2:$E$18,'Base Grupo de Produtos'!$F$2:$F$18)</f>
        <v>352</v>
      </c>
      <c r="Z150" s="56">
        <f>_xlfn.XLOOKUP($N150,'Calculo Leads'!$A$97:$A$134,'Calculo Leads'!M$97:M$134)*_xlfn.XLOOKUP($P150,'Base Grupo de Produtos'!$E$2:$E$18,'Base Grupo de Produtos'!$F$2:$F$18)</f>
        <v>352</v>
      </c>
      <c r="AA150" s="56">
        <f>_xlfn.XLOOKUP($N150,'Calculo Leads'!$A$97:$A$134,'Calculo Leads'!N$97:N$134)*_xlfn.XLOOKUP($P150,'Base Grupo de Produtos'!$E$2:$E$18,'Base Grupo de Produtos'!$F$2:$F$18)</f>
        <v>440</v>
      </c>
      <c r="AB150" s="56">
        <f>_xlfn.XLOOKUP($N150,'Calculo Leads'!$A$97:$A$134,'Calculo Leads'!O$97:O$134)*_xlfn.XLOOKUP($P150,'Base Grupo de Produtos'!$E$2:$E$18,'Base Grupo de Produtos'!$F$2:$F$18)</f>
        <v>264</v>
      </c>
      <c r="AC150" s="61">
        <f t="shared" si="152"/>
        <v>2392</v>
      </c>
      <c r="AD150" s="27">
        <f t="shared" si="169"/>
        <v>2392</v>
      </c>
      <c r="AE150" s="25">
        <f>IFERROR(_xlfn.XLOOKUP(N150&amp;P150,'Historico Vendas'!G:G,'Historico Vendas'!E:E),0)</f>
        <v>0</v>
      </c>
      <c r="AF150" s="29" t="str">
        <f t="shared" si="130"/>
        <v/>
      </c>
      <c r="AG150" s="24">
        <f>IFERROR(_xlfn.XLOOKUP(N150&amp;P150,'Historico Vendas'!G:G,'Historico Vendas'!F:F),0)</f>
        <v>0</v>
      </c>
      <c r="AH150" s="25">
        <f t="shared" si="170"/>
        <v>0</v>
      </c>
      <c r="AI150" s="24">
        <f t="shared" si="171"/>
        <v>0</v>
      </c>
      <c r="AJ150" s="11" t="str">
        <f t="shared" si="133"/>
        <v/>
      </c>
      <c r="AK150" s="9" t="s">
        <v>102</v>
      </c>
      <c r="AL150" s="13">
        <f>IFERROR(INDEX('Balizador da Meta'!$D$3:$F$23,MATCH(Faturamento!$P150,'Balizador da Meta'!$C$3:$C$23,0),MATCH(Faturamento!AK150,'Balizador da Meta'!$D$2:$F$2,0)),"")</f>
        <v>0.15</v>
      </c>
      <c r="AM150" s="9"/>
    </row>
    <row r="151" spans="1:39" x14ac:dyDescent="0.3">
      <c r="A151" s="2" t="str">
        <f t="shared" si="131"/>
        <v>NÃO</v>
      </c>
      <c r="B151" s="2" t="str">
        <f>_xlfn.XLOOKUP($N151,'Base de Grupos'!$A:$A,'Base de Grupos'!$D:$D)</f>
        <v>1000065763</v>
      </c>
      <c r="C151" s="5" t="str">
        <f>_xlfn.XLOOKUP($N151,'Base de Grupos'!$A:$A,'Base de Grupos'!$E:$E)</f>
        <v>CANAL VENDA INTERNA</v>
      </c>
      <c r="D151" s="5" t="str">
        <f>_xlfn.XLOOKUP($N151,'Base de Grupos'!$A:$A,'Base de Grupos'!$F:$F)</f>
        <v>1000065763</v>
      </c>
      <c r="E151" s="2" t="str">
        <f>_xlfn.XLOOKUP($N151,'Base de Grupos'!$A:$A,'Base de Grupos'!$G:$G)</f>
        <v>CANAL VENDA INTERNA</v>
      </c>
      <c r="F151" s="2" t="str">
        <f>_xlfn.XLOOKUP($N151,'Base de Grupos'!$A:$A,'Base de Grupos'!$H:$H)</f>
        <v>1000105900</v>
      </c>
      <c r="G151" s="5" t="str">
        <f>_xlfn.XLOOKUP($N151,'Base de Grupos'!$A:$A,'Base de Grupos'!$I:$I)</f>
        <v>REGIONAL VENDA DIRETA CO + NE + NO</v>
      </c>
      <c r="H151" s="5" t="str">
        <f>_xlfn.XLOOKUP($N151,'Base de Grupos'!$A:$A,'Base de Grupos'!$J:$J)</f>
        <v>1000105900</v>
      </c>
      <c r="I151" s="2" t="str">
        <f>_xlfn.XLOOKUP($N151,'Base de Grupos'!$A:$A,'Base de Grupos'!$K:$K)</f>
        <v>REGIONAL VENDA DIRETA CO + NE + NO</v>
      </c>
      <c r="J151" s="2" t="str">
        <f>_xlfn.XLOOKUP($N151,'Base de Grupos'!$A:$A,'Base de Grupos'!$L:$L)</f>
        <v>1000150135</v>
      </c>
      <c r="K151" s="5" t="str">
        <f>_xlfn.XLOOKUP($N151,'Base de Grupos'!$A:$A,'Base de Grupos'!$M:$M)</f>
        <v>HELDER DA SILVA BRUNKOW</v>
      </c>
      <c r="L151" s="5" t="str">
        <f t="shared" si="132"/>
        <v/>
      </c>
      <c r="M151" s="5" t="str">
        <f>_xlfn.XLOOKUP($N151,'Base de Grupos'!$A:$A,'Base de Grupos'!$C:$C)</f>
        <v>MA</v>
      </c>
      <c r="N151" s="3">
        <v>1332</v>
      </c>
      <c r="O151" s="4" t="s">
        <v>232</v>
      </c>
      <c r="P151" s="5" t="s">
        <v>83</v>
      </c>
      <c r="Q151" s="56">
        <v>0</v>
      </c>
      <c r="R151" s="56">
        <v>0</v>
      </c>
      <c r="S151" s="56">
        <v>0</v>
      </c>
      <c r="T151" s="56">
        <f>_xlfn.XLOOKUP($N151,'Calculo Leads'!$A$97:$A$134,'Calculo Leads'!G$97:G$134)*_xlfn.XLOOKUP($P151,'Base Grupo de Produtos'!$E$2:$E$18,'Base Grupo de Produtos'!$F$2:$F$18)</f>
        <v>200</v>
      </c>
      <c r="U151" s="56">
        <f>_xlfn.XLOOKUP($N151,'Calculo Leads'!$A$97:$A$134,'Calculo Leads'!H$97:H$134)*_xlfn.XLOOKUP($P151,'Base Grupo de Produtos'!$E$2:$E$18,'Base Grupo de Produtos'!$F$2:$F$18)</f>
        <v>200</v>
      </c>
      <c r="V151" s="56">
        <f>_xlfn.XLOOKUP($N151,'Calculo Leads'!$A$97:$A$134,'Calculo Leads'!I$97:I$134)*_xlfn.XLOOKUP($P151,'Base Grupo de Produtos'!$E$2:$E$18,'Base Grupo de Produtos'!$F$2:$F$18)</f>
        <v>200</v>
      </c>
      <c r="W151" s="56">
        <f>_xlfn.XLOOKUP($N151,'Calculo Leads'!$A$97:$A$134,'Calculo Leads'!J$97:J$134)*_xlfn.XLOOKUP($P151,'Base Grupo de Produtos'!$E$2:$E$18,'Base Grupo de Produtos'!$F$2:$F$18)</f>
        <v>300</v>
      </c>
      <c r="X151" s="56">
        <f>_xlfn.XLOOKUP($N151,'Calculo Leads'!$A$97:$A$134,'Calculo Leads'!K$97:K$134)*_xlfn.XLOOKUP($P151,'Base Grupo de Produtos'!$E$2:$E$18,'Base Grupo de Produtos'!$F$2:$F$18)</f>
        <v>330</v>
      </c>
      <c r="Y151" s="56">
        <f>_xlfn.XLOOKUP($N151,'Calculo Leads'!$A$97:$A$134,'Calculo Leads'!L$97:L$134)*_xlfn.XLOOKUP($P151,'Base Grupo de Produtos'!$E$2:$E$18,'Base Grupo de Produtos'!$F$2:$F$18)</f>
        <v>440</v>
      </c>
      <c r="Z151" s="56">
        <f>_xlfn.XLOOKUP($N151,'Calculo Leads'!$A$97:$A$134,'Calculo Leads'!M$97:M$134)*_xlfn.XLOOKUP($P151,'Base Grupo de Produtos'!$E$2:$E$18,'Base Grupo de Produtos'!$F$2:$F$18)</f>
        <v>440</v>
      </c>
      <c r="AA151" s="56">
        <f>_xlfn.XLOOKUP($N151,'Calculo Leads'!$A$97:$A$134,'Calculo Leads'!N$97:N$134)*_xlfn.XLOOKUP($P151,'Base Grupo de Produtos'!$E$2:$E$18,'Base Grupo de Produtos'!$F$2:$F$18)</f>
        <v>550</v>
      </c>
      <c r="AB151" s="56">
        <f>_xlfn.XLOOKUP($N151,'Calculo Leads'!$A$97:$A$134,'Calculo Leads'!O$97:O$134)*_xlfn.XLOOKUP($P151,'Base Grupo de Produtos'!$E$2:$E$18,'Base Grupo de Produtos'!$F$2:$F$18)</f>
        <v>330</v>
      </c>
      <c r="AC151" s="61">
        <f t="shared" si="152"/>
        <v>2990</v>
      </c>
      <c r="AD151" s="27">
        <f t="shared" si="169"/>
        <v>2990</v>
      </c>
      <c r="AE151" s="25">
        <f>IFERROR(_xlfn.XLOOKUP(N151&amp;P151,'Historico Vendas'!G:G,'Historico Vendas'!E:E),0)</f>
        <v>0</v>
      </c>
      <c r="AF151" s="29" t="str">
        <f t="shared" si="130"/>
        <v/>
      </c>
      <c r="AG151" s="24">
        <f>IFERROR(_xlfn.XLOOKUP(N151&amp;P151,'Historico Vendas'!G:G,'Historico Vendas'!F:F),0)</f>
        <v>0</v>
      </c>
      <c r="AH151" s="25">
        <f t="shared" si="170"/>
        <v>0</v>
      </c>
      <c r="AI151" s="24">
        <f t="shared" si="171"/>
        <v>0</v>
      </c>
      <c r="AJ151" s="11" t="str">
        <f t="shared" si="133"/>
        <v/>
      </c>
      <c r="AK151" s="9" t="s">
        <v>102</v>
      </c>
      <c r="AL151" s="13">
        <f>IFERROR(INDEX('Balizador da Meta'!$D$3:$F$23,MATCH(Faturamento!$P151,'Balizador da Meta'!$C$3:$C$23,0),MATCH(Faturamento!AK151,'Balizador da Meta'!$D$2:$F$2,0)),"")</f>
        <v>0</v>
      </c>
      <c r="AM151" s="9"/>
    </row>
    <row r="152" spans="1:39" x14ac:dyDescent="0.3">
      <c r="A152" s="2" t="str">
        <f t="shared" si="131"/>
        <v>NÃO</v>
      </c>
      <c r="B152" s="2" t="str">
        <f>_xlfn.XLOOKUP($N152,'Base de Grupos'!$A:$A,'Base de Grupos'!$D:$D)</f>
        <v>1000065763</v>
      </c>
      <c r="C152" s="5" t="str">
        <f>_xlfn.XLOOKUP($N152,'Base de Grupos'!$A:$A,'Base de Grupos'!$E:$E)</f>
        <v>CANAL VENDA INTERNA</v>
      </c>
      <c r="D152" s="5" t="str">
        <f>_xlfn.XLOOKUP($N152,'Base de Grupos'!$A:$A,'Base de Grupos'!$F:$F)</f>
        <v>1000065763</v>
      </c>
      <c r="E152" s="2" t="str">
        <f>_xlfn.XLOOKUP($N152,'Base de Grupos'!$A:$A,'Base de Grupos'!$G:$G)</f>
        <v>CANAL VENDA INTERNA</v>
      </c>
      <c r="F152" s="2" t="str">
        <f>_xlfn.XLOOKUP($N152,'Base de Grupos'!$A:$A,'Base de Grupos'!$H:$H)</f>
        <v>1000105900</v>
      </c>
      <c r="G152" s="5" t="str">
        <f>_xlfn.XLOOKUP($N152,'Base de Grupos'!$A:$A,'Base de Grupos'!$I:$I)</f>
        <v>REGIONAL VENDA DIRETA CO + NE + NO</v>
      </c>
      <c r="H152" s="5" t="str">
        <f>_xlfn.XLOOKUP($N152,'Base de Grupos'!$A:$A,'Base de Grupos'!$J:$J)</f>
        <v>1000105900</v>
      </c>
      <c r="I152" s="2" t="str">
        <f>_xlfn.XLOOKUP($N152,'Base de Grupos'!$A:$A,'Base de Grupos'!$K:$K)</f>
        <v>REGIONAL VENDA DIRETA CO + NE + NO</v>
      </c>
      <c r="J152" s="2" t="str">
        <f>_xlfn.XLOOKUP($N152,'Base de Grupos'!$A:$A,'Base de Grupos'!$L:$L)</f>
        <v>1000150135</v>
      </c>
      <c r="K152" s="5" t="str">
        <f>_xlfn.XLOOKUP($N152,'Base de Grupos'!$A:$A,'Base de Grupos'!$M:$M)</f>
        <v>HELDER DA SILVA BRUNKOW</v>
      </c>
      <c r="L152" s="5" t="str">
        <f t="shared" si="132"/>
        <v/>
      </c>
      <c r="M152" s="5" t="str">
        <f>_xlfn.XLOOKUP($N152,'Base de Grupos'!$A:$A,'Base de Grupos'!$C:$C)</f>
        <v>MA</v>
      </c>
      <c r="N152" s="3">
        <v>1332</v>
      </c>
      <c r="O152" s="4" t="s">
        <v>232</v>
      </c>
      <c r="P152" s="5" t="s">
        <v>87</v>
      </c>
      <c r="Q152" s="56">
        <v>0</v>
      </c>
      <c r="R152" s="56">
        <v>0</v>
      </c>
      <c r="S152" s="56">
        <v>0</v>
      </c>
      <c r="T152" s="56">
        <f>_xlfn.XLOOKUP($N152,'Calculo Leads'!$A$97:$A$134,'Calculo Leads'!G$97:G$134)*_xlfn.XLOOKUP($P152,'Base Grupo de Produtos'!$E$2:$E$18,'Base Grupo de Produtos'!$F$2:$F$18)</f>
        <v>39.999999999999993</v>
      </c>
      <c r="U152" s="56">
        <f>_xlfn.XLOOKUP($N152,'Calculo Leads'!$A$97:$A$134,'Calculo Leads'!H$97:H$134)*_xlfn.XLOOKUP($P152,'Base Grupo de Produtos'!$E$2:$E$18,'Base Grupo de Produtos'!$F$2:$F$18)</f>
        <v>39.999999999999993</v>
      </c>
      <c r="V152" s="56">
        <f>_xlfn.XLOOKUP($N152,'Calculo Leads'!$A$97:$A$134,'Calculo Leads'!I$97:I$134)*_xlfn.XLOOKUP($P152,'Base Grupo de Produtos'!$E$2:$E$18,'Base Grupo de Produtos'!$F$2:$F$18)</f>
        <v>39.999999999999993</v>
      </c>
      <c r="W152" s="56">
        <f>_xlfn.XLOOKUP($N152,'Calculo Leads'!$A$97:$A$134,'Calculo Leads'!J$97:J$134)*_xlfn.XLOOKUP($P152,'Base Grupo de Produtos'!$E$2:$E$18,'Base Grupo de Produtos'!$F$2:$F$18)</f>
        <v>59.999999999999993</v>
      </c>
      <c r="X152" s="56">
        <f>_xlfn.XLOOKUP($N152,'Calculo Leads'!$A$97:$A$134,'Calculo Leads'!K$97:K$134)*_xlfn.XLOOKUP($P152,'Base Grupo de Produtos'!$E$2:$E$18,'Base Grupo de Produtos'!$F$2:$F$18)</f>
        <v>65.999999999999986</v>
      </c>
      <c r="Y152" s="56">
        <f>_xlfn.XLOOKUP($N152,'Calculo Leads'!$A$97:$A$134,'Calculo Leads'!L$97:L$134)*_xlfn.XLOOKUP($P152,'Base Grupo de Produtos'!$E$2:$E$18,'Base Grupo de Produtos'!$F$2:$F$18)</f>
        <v>87.999999999999986</v>
      </c>
      <c r="Z152" s="56">
        <f>_xlfn.XLOOKUP($N152,'Calculo Leads'!$A$97:$A$134,'Calculo Leads'!M$97:M$134)*_xlfn.XLOOKUP($P152,'Base Grupo de Produtos'!$E$2:$E$18,'Base Grupo de Produtos'!$F$2:$F$18)</f>
        <v>87.999999999999986</v>
      </c>
      <c r="AA152" s="56">
        <f>_xlfn.XLOOKUP($N152,'Calculo Leads'!$A$97:$A$134,'Calculo Leads'!N$97:N$134)*_xlfn.XLOOKUP($P152,'Base Grupo de Produtos'!$E$2:$E$18,'Base Grupo de Produtos'!$F$2:$F$18)</f>
        <v>109.99999999999999</v>
      </c>
      <c r="AB152" s="56">
        <f>_xlfn.XLOOKUP($N152,'Calculo Leads'!$A$97:$A$134,'Calculo Leads'!O$97:O$134)*_xlfn.XLOOKUP($P152,'Base Grupo de Produtos'!$E$2:$E$18,'Base Grupo de Produtos'!$F$2:$F$18)</f>
        <v>65.999999999999986</v>
      </c>
      <c r="AC152" s="61">
        <f t="shared" si="152"/>
        <v>597.99999999999989</v>
      </c>
      <c r="AD152" s="27">
        <f t="shared" si="169"/>
        <v>597.99999999999989</v>
      </c>
      <c r="AE152" s="25">
        <f>IFERROR(_xlfn.XLOOKUP(N152&amp;P152,'Historico Vendas'!G:G,'Historico Vendas'!E:E),0)</f>
        <v>0</v>
      </c>
      <c r="AF152" s="29" t="str">
        <f t="shared" si="130"/>
        <v/>
      </c>
      <c r="AG152" s="24">
        <f>IFERROR(_xlfn.XLOOKUP(N152&amp;P152,'Historico Vendas'!G:G,'Historico Vendas'!F:F),0)</f>
        <v>0</v>
      </c>
      <c r="AH152" s="25">
        <f t="shared" si="170"/>
        <v>0</v>
      </c>
      <c r="AI152" s="24">
        <f t="shared" si="171"/>
        <v>0</v>
      </c>
      <c r="AJ152" s="11" t="str">
        <f t="shared" si="133"/>
        <v/>
      </c>
      <c r="AK152" s="9" t="s">
        <v>102</v>
      </c>
      <c r="AL152" s="13">
        <f>IFERROR(INDEX('Balizador da Meta'!$D$3:$F$23,MATCH(Faturamento!$P152,'Balizador da Meta'!$C$3:$C$23,0),MATCH(Faturamento!AK152,'Balizador da Meta'!$D$2:$F$2,0)),"")</f>
        <v>0</v>
      </c>
      <c r="AM152" s="9"/>
    </row>
    <row r="153" spans="1:39" x14ac:dyDescent="0.3">
      <c r="A153" s="2" t="str">
        <f t="shared" si="131"/>
        <v>NÃO</v>
      </c>
      <c r="B153" s="2" t="str">
        <f>_xlfn.XLOOKUP($N153,'Base de Grupos'!$A:$A,'Base de Grupos'!$D:$D)</f>
        <v>1000065763</v>
      </c>
      <c r="C153" s="5" t="str">
        <f>_xlfn.XLOOKUP($N153,'Base de Grupos'!$A:$A,'Base de Grupos'!$E:$E)</f>
        <v>CANAL VENDA INTERNA</v>
      </c>
      <c r="D153" s="5" t="str">
        <f>_xlfn.XLOOKUP($N153,'Base de Grupos'!$A:$A,'Base de Grupos'!$F:$F)</f>
        <v>1000065763</v>
      </c>
      <c r="E153" s="2" t="str">
        <f>_xlfn.XLOOKUP($N153,'Base de Grupos'!$A:$A,'Base de Grupos'!$G:$G)</f>
        <v>CANAL VENDA INTERNA</v>
      </c>
      <c r="F153" s="2" t="str">
        <f>_xlfn.XLOOKUP($N153,'Base de Grupos'!$A:$A,'Base de Grupos'!$H:$H)</f>
        <v>1000105900</v>
      </c>
      <c r="G153" s="5" t="str">
        <f>_xlfn.XLOOKUP($N153,'Base de Grupos'!$A:$A,'Base de Grupos'!$I:$I)</f>
        <v>REGIONAL VENDA DIRETA CO + NE + NO</v>
      </c>
      <c r="H153" s="5" t="str">
        <f>_xlfn.XLOOKUP($N153,'Base de Grupos'!$A:$A,'Base de Grupos'!$J:$J)</f>
        <v>1000105900</v>
      </c>
      <c r="I153" s="2" t="str">
        <f>_xlfn.XLOOKUP($N153,'Base de Grupos'!$A:$A,'Base de Grupos'!$K:$K)</f>
        <v>REGIONAL VENDA DIRETA CO + NE + NO</v>
      </c>
      <c r="J153" s="2" t="str">
        <f>_xlfn.XLOOKUP($N153,'Base de Grupos'!$A:$A,'Base de Grupos'!$L:$L)</f>
        <v>1000150135</v>
      </c>
      <c r="K153" s="5" t="str">
        <f>_xlfn.XLOOKUP($N153,'Base de Grupos'!$A:$A,'Base de Grupos'!$M:$M)</f>
        <v>HELDER DA SILVA BRUNKOW</v>
      </c>
      <c r="L153" s="5" t="str">
        <f t="shared" si="132"/>
        <v/>
      </c>
      <c r="M153" s="5" t="str">
        <f>_xlfn.XLOOKUP($N153,'Base de Grupos'!$A:$A,'Base de Grupos'!$C:$C)</f>
        <v>MA</v>
      </c>
      <c r="N153" s="3">
        <v>1332</v>
      </c>
      <c r="O153" s="4" t="s">
        <v>232</v>
      </c>
      <c r="P153" s="5" t="s">
        <v>85</v>
      </c>
      <c r="Q153" s="56">
        <v>0</v>
      </c>
      <c r="R153" s="56">
        <v>0</v>
      </c>
      <c r="S153" s="56">
        <v>0</v>
      </c>
      <c r="T153" s="56">
        <f>_xlfn.XLOOKUP($N153,'Calculo Leads'!$A$97:$A$134,'Calculo Leads'!G$97:G$134)*_xlfn.XLOOKUP($P153,'Base Grupo de Produtos'!$E$2:$E$18,'Base Grupo de Produtos'!$F$2:$F$18)</f>
        <v>40</v>
      </c>
      <c r="U153" s="56">
        <f>_xlfn.XLOOKUP($N153,'Calculo Leads'!$A$97:$A$134,'Calculo Leads'!H$97:H$134)*_xlfn.XLOOKUP($P153,'Base Grupo de Produtos'!$E$2:$E$18,'Base Grupo de Produtos'!$F$2:$F$18)</f>
        <v>40</v>
      </c>
      <c r="V153" s="56">
        <f>_xlfn.XLOOKUP($N153,'Calculo Leads'!$A$97:$A$134,'Calculo Leads'!I$97:I$134)*_xlfn.XLOOKUP($P153,'Base Grupo de Produtos'!$E$2:$E$18,'Base Grupo de Produtos'!$F$2:$F$18)</f>
        <v>40</v>
      </c>
      <c r="W153" s="56">
        <f>_xlfn.XLOOKUP($N153,'Calculo Leads'!$A$97:$A$134,'Calculo Leads'!J$97:J$134)*_xlfn.XLOOKUP($P153,'Base Grupo de Produtos'!$E$2:$E$18,'Base Grupo de Produtos'!$F$2:$F$18)</f>
        <v>60</v>
      </c>
      <c r="X153" s="56">
        <f>_xlfn.XLOOKUP($N153,'Calculo Leads'!$A$97:$A$134,'Calculo Leads'!K$97:K$134)*_xlfn.XLOOKUP($P153,'Base Grupo de Produtos'!$E$2:$E$18,'Base Grupo de Produtos'!$F$2:$F$18)</f>
        <v>66</v>
      </c>
      <c r="Y153" s="56">
        <f>_xlfn.XLOOKUP($N153,'Calculo Leads'!$A$97:$A$134,'Calculo Leads'!L$97:L$134)*_xlfn.XLOOKUP($P153,'Base Grupo de Produtos'!$E$2:$E$18,'Base Grupo de Produtos'!$F$2:$F$18)</f>
        <v>88</v>
      </c>
      <c r="Z153" s="56">
        <f>_xlfn.XLOOKUP($N153,'Calculo Leads'!$A$97:$A$134,'Calculo Leads'!M$97:M$134)*_xlfn.XLOOKUP($P153,'Base Grupo de Produtos'!$E$2:$E$18,'Base Grupo de Produtos'!$F$2:$F$18)</f>
        <v>88</v>
      </c>
      <c r="AA153" s="56">
        <f>_xlfn.XLOOKUP($N153,'Calculo Leads'!$A$97:$A$134,'Calculo Leads'!N$97:N$134)*_xlfn.XLOOKUP($P153,'Base Grupo de Produtos'!$E$2:$E$18,'Base Grupo de Produtos'!$F$2:$F$18)</f>
        <v>110</v>
      </c>
      <c r="AB153" s="56">
        <f>_xlfn.XLOOKUP($N153,'Calculo Leads'!$A$97:$A$134,'Calculo Leads'!O$97:O$134)*_xlfn.XLOOKUP($P153,'Base Grupo de Produtos'!$E$2:$E$18,'Base Grupo de Produtos'!$F$2:$F$18)</f>
        <v>66</v>
      </c>
      <c r="AC153" s="61">
        <f t="shared" si="152"/>
        <v>598</v>
      </c>
      <c r="AD153" s="27">
        <f t="shared" si="169"/>
        <v>598</v>
      </c>
      <c r="AE153" s="25">
        <f>IFERROR(_xlfn.XLOOKUP(N153&amp;P153,'Historico Vendas'!G:G,'Historico Vendas'!E:E),0)</f>
        <v>0</v>
      </c>
      <c r="AF153" s="29" t="str">
        <f t="shared" si="130"/>
        <v/>
      </c>
      <c r="AG153" s="24">
        <f>IFERROR(_xlfn.XLOOKUP(N153&amp;P153,'Historico Vendas'!G:G,'Historico Vendas'!F:F),0)</f>
        <v>0</v>
      </c>
      <c r="AH153" s="25">
        <f t="shared" si="170"/>
        <v>0</v>
      </c>
      <c r="AI153" s="24">
        <f t="shared" si="171"/>
        <v>0</v>
      </c>
      <c r="AJ153" s="11" t="str">
        <f t="shared" si="133"/>
        <v/>
      </c>
      <c r="AK153" s="9" t="s">
        <v>102</v>
      </c>
      <c r="AL153" s="13">
        <f>IFERROR(INDEX('Balizador da Meta'!$D$3:$F$23,MATCH(Faturamento!$P153,'Balizador da Meta'!$C$3:$C$23,0),MATCH(Faturamento!AK153,'Balizador da Meta'!$D$2:$F$2,0)),"")</f>
        <v>0</v>
      </c>
      <c r="AM153" s="9"/>
    </row>
    <row r="154" spans="1:39" x14ac:dyDescent="0.3">
      <c r="A154" s="2" t="str">
        <f t="shared" si="131"/>
        <v>NÃO</v>
      </c>
      <c r="B154" s="2" t="str">
        <f>_xlfn.XLOOKUP($N154,'Base de Grupos'!$A:$A,'Base de Grupos'!$D:$D)</f>
        <v>1000065763</v>
      </c>
      <c r="C154" s="5" t="str">
        <f>_xlfn.XLOOKUP($N154,'Base de Grupos'!$A:$A,'Base de Grupos'!$E:$E)</f>
        <v>CANAL VENDA INTERNA</v>
      </c>
      <c r="D154" s="5" t="str">
        <f>_xlfn.XLOOKUP($N154,'Base de Grupos'!$A:$A,'Base de Grupos'!$F:$F)</f>
        <v>1000065763</v>
      </c>
      <c r="E154" s="2" t="str">
        <f>_xlfn.XLOOKUP($N154,'Base de Grupos'!$A:$A,'Base de Grupos'!$G:$G)</f>
        <v>CANAL VENDA INTERNA</v>
      </c>
      <c r="F154" s="2" t="str">
        <f>_xlfn.XLOOKUP($N154,'Base de Grupos'!$A:$A,'Base de Grupos'!$H:$H)</f>
        <v>1000105900</v>
      </c>
      <c r="G154" s="5" t="str">
        <f>_xlfn.XLOOKUP($N154,'Base de Grupos'!$A:$A,'Base de Grupos'!$I:$I)</f>
        <v>REGIONAL VENDA DIRETA CO + NE + NO</v>
      </c>
      <c r="H154" s="5" t="str">
        <f>_xlfn.XLOOKUP($N154,'Base de Grupos'!$A:$A,'Base de Grupos'!$J:$J)</f>
        <v>1000105900</v>
      </c>
      <c r="I154" s="2" t="str">
        <f>_xlfn.XLOOKUP($N154,'Base de Grupos'!$A:$A,'Base de Grupos'!$K:$K)</f>
        <v>REGIONAL VENDA DIRETA CO + NE + NO</v>
      </c>
      <c r="J154" s="2" t="str">
        <f>_xlfn.XLOOKUP($N154,'Base de Grupos'!$A:$A,'Base de Grupos'!$L:$L)</f>
        <v>1000150135</v>
      </c>
      <c r="K154" s="5" t="str">
        <f>_xlfn.XLOOKUP($N154,'Base de Grupos'!$A:$A,'Base de Grupos'!$M:$M)</f>
        <v>HELDER DA SILVA BRUNKOW</v>
      </c>
      <c r="L154" s="5" t="str">
        <f t="shared" si="132"/>
        <v/>
      </c>
      <c r="M154" s="5" t="str">
        <f>_xlfn.XLOOKUP($N154,'Base de Grupos'!$A:$A,'Base de Grupos'!$C:$C)</f>
        <v>MA</v>
      </c>
      <c r="N154" s="3">
        <v>1332</v>
      </c>
      <c r="O154" s="4" t="s">
        <v>232</v>
      </c>
      <c r="P154" s="5" t="s">
        <v>92</v>
      </c>
      <c r="Q154" s="56">
        <v>0</v>
      </c>
      <c r="R154" s="56">
        <v>0</v>
      </c>
      <c r="S154" s="56">
        <v>0</v>
      </c>
      <c r="T154" s="56">
        <f>_xlfn.XLOOKUP($N154,'Calculo Leads'!$A$97:$A$134,'Calculo Leads'!G$97:G$134)*_xlfn.XLOOKUP($P154,'Base Grupo de Produtos'!$E$2:$E$18,'Base Grupo de Produtos'!$F$2:$F$18)</f>
        <v>40</v>
      </c>
      <c r="U154" s="56">
        <f>_xlfn.XLOOKUP($N154,'Calculo Leads'!$A$97:$A$134,'Calculo Leads'!H$97:H$134)*_xlfn.XLOOKUP($P154,'Base Grupo de Produtos'!$E$2:$E$18,'Base Grupo de Produtos'!$F$2:$F$18)</f>
        <v>40</v>
      </c>
      <c r="V154" s="56">
        <f>_xlfn.XLOOKUP($N154,'Calculo Leads'!$A$97:$A$134,'Calculo Leads'!I$97:I$134)*_xlfn.XLOOKUP($P154,'Base Grupo de Produtos'!$E$2:$E$18,'Base Grupo de Produtos'!$F$2:$F$18)</f>
        <v>40</v>
      </c>
      <c r="W154" s="56">
        <f>_xlfn.XLOOKUP($N154,'Calculo Leads'!$A$97:$A$134,'Calculo Leads'!J$97:J$134)*_xlfn.XLOOKUP($P154,'Base Grupo de Produtos'!$E$2:$E$18,'Base Grupo de Produtos'!$F$2:$F$18)</f>
        <v>60</v>
      </c>
      <c r="X154" s="56">
        <f>_xlfn.XLOOKUP($N154,'Calculo Leads'!$A$97:$A$134,'Calculo Leads'!K$97:K$134)*_xlfn.XLOOKUP($P154,'Base Grupo de Produtos'!$E$2:$E$18,'Base Grupo de Produtos'!$F$2:$F$18)</f>
        <v>66</v>
      </c>
      <c r="Y154" s="56">
        <f>_xlfn.XLOOKUP($N154,'Calculo Leads'!$A$97:$A$134,'Calculo Leads'!L$97:L$134)*_xlfn.XLOOKUP($P154,'Base Grupo de Produtos'!$E$2:$E$18,'Base Grupo de Produtos'!$F$2:$F$18)</f>
        <v>88</v>
      </c>
      <c r="Z154" s="56">
        <f>_xlfn.XLOOKUP($N154,'Calculo Leads'!$A$97:$A$134,'Calculo Leads'!M$97:M$134)*_xlfn.XLOOKUP($P154,'Base Grupo de Produtos'!$E$2:$E$18,'Base Grupo de Produtos'!$F$2:$F$18)</f>
        <v>88</v>
      </c>
      <c r="AA154" s="56">
        <f>_xlfn.XLOOKUP($N154,'Calculo Leads'!$A$97:$A$134,'Calculo Leads'!N$97:N$134)*_xlfn.XLOOKUP($P154,'Base Grupo de Produtos'!$E$2:$E$18,'Base Grupo de Produtos'!$F$2:$F$18)</f>
        <v>110</v>
      </c>
      <c r="AB154" s="56">
        <f>_xlfn.XLOOKUP($N154,'Calculo Leads'!$A$97:$A$134,'Calculo Leads'!O$97:O$134)*_xlfn.XLOOKUP($P154,'Base Grupo de Produtos'!$E$2:$E$18,'Base Grupo de Produtos'!$F$2:$F$18)</f>
        <v>66</v>
      </c>
      <c r="AC154" s="61">
        <f t="shared" si="152"/>
        <v>598</v>
      </c>
      <c r="AD154" s="27">
        <f t="shared" si="169"/>
        <v>598</v>
      </c>
      <c r="AE154" s="25">
        <f>IFERROR(_xlfn.XLOOKUP(N154&amp;P154,'Historico Vendas'!G:G,'Historico Vendas'!E:E),0)</f>
        <v>0</v>
      </c>
      <c r="AF154" s="29" t="str">
        <f t="shared" si="130"/>
        <v/>
      </c>
      <c r="AG154" s="24">
        <f>IFERROR(_xlfn.XLOOKUP(N154&amp;P154,'Historico Vendas'!G:G,'Historico Vendas'!F:F),0)</f>
        <v>0</v>
      </c>
      <c r="AH154" s="25">
        <f t="shared" si="170"/>
        <v>0</v>
      </c>
      <c r="AI154" s="24">
        <f t="shared" si="171"/>
        <v>0</v>
      </c>
      <c r="AJ154" s="11" t="str">
        <f t="shared" si="133"/>
        <v/>
      </c>
      <c r="AK154" s="9" t="s">
        <v>102</v>
      </c>
      <c r="AL154" s="13">
        <f>IFERROR(INDEX('Balizador da Meta'!$D$3:$F$23,MATCH(Faturamento!$P154,'Balizador da Meta'!$C$3:$C$23,0),MATCH(Faturamento!AK154,'Balizador da Meta'!$D$2:$F$2,0)),"")</f>
        <v>0</v>
      </c>
      <c r="AM154" s="9"/>
    </row>
    <row r="155" spans="1:39" x14ac:dyDescent="0.3">
      <c r="A155" s="2" t="str">
        <f t="shared" si="131"/>
        <v>NÃO</v>
      </c>
      <c r="B155" s="2" t="str">
        <f>_xlfn.XLOOKUP($N155,'Base de Grupos'!$A:$A,'Base de Grupos'!$D:$D)</f>
        <v>1000065763</v>
      </c>
      <c r="C155" s="5" t="str">
        <f>_xlfn.XLOOKUP($N155,'Base de Grupos'!$A:$A,'Base de Grupos'!$E:$E)</f>
        <v>CANAL VENDA INTERNA</v>
      </c>
      <c r="D155" s="5" t="str">
        <f>_xlfn.XLOOKUP($N155,'Base de Grupos'!$A:$A,'Base de Grupos'!$F:$F)</f>
        <v>1000065763</v>
      </c>
      <c r="E155" s="2" t="str">
        <f>_xlfn.XLOOKUP($N155,'Base de Grupos'!$A:$A,'Base de Grupos'!$G:$G)</f>
        <v>CANAL VENDA INTERNA</v>
      </c>
      <c r="F155" s="2" t="str">
        <f>_xlfn.XLOOKUP($N155,'Base de Grupos'!$A:$A,'Base de Grupos'!$H:$H)</f>
        <v>1000105900</v>
      </c>
      <c r="G155" s="5" t="str">
        <f>_xlfn.XLOOKUP($N155,'Base de Grupos'!$A:$A,'Base de Grupos'!$I:$I)</f>
        <v>REGIONAL VENDA DIRETA CO + NE + NO</v>
      </c>
      <c r="H155" s="5" t="str">
        <f>_xlfn.XLOOKUP($N155,'Base de Grupos'!$A:$A,'Base de Grupos'!$J:$J)</f>
        <v>1000105900</v>
      </c>
      <c r="I155" s="2" t="str">
        <f>_xlfn.XLOOKUP($N155,'Base de Grupos'!$A:$A,'Base de Grupos'!$K:$K)</f>
        <v>REGIONAL VENDA DIRETA CO + NE + NO</v>
      </c>
      <c r="J155" s="2" t="str">
        <f>_xlfn.XLOOKUP($N155,'Base de Grupos'!$A:$A,'Base de Grupos'!$L:$L)</f>
        <v>1000150135</v>
      </c>
      <c r="K155" s="5" t="str">
        <f>_xlfn.XLOOKUP($N155,'Base de Grupos'!$A:$A,'Base de Grupos'!$M:$M)</f>
        <v>HELDER DA SILVA BRUNKOW</v>
      </c>
      <c r="L155" s="5" t="str">
        <f t="shared" si="132"/>
        <v/>
      </c>
      <c r="M155" s="5" t="str">
        <f>_xlfn.XLOOKUP($N155,'Base de Grupos'!$A:$A,'Base de Grupos'!$C:$C)</f>
        <v>MA</v>
      </c>
      <c r="N155" s="3">
        <v>1332</v>
      </c>
      <c r="O155" s="4" t="s">
        <v>232</v>
      </c>
      <c r="P155" s="5" t="s">
        <v>86</v>
      </c>
      <c r="Q155" s="56">
        <v>0</v>
      </c>
      <c r="R155" s="56">
        <v>0</v>
      </c>
      <c r="S155" s="56">
        <v>0</v>
      </c>
      <c r="T155" s="56">
        <f>_xlfn.XLOOKUP($N155,'Calculo Leads'!$A$97:$A$134,'Calculo Leads'!G$97:G$134)*_xlfn.XLOOKUP($P155,'Base Grupo de Produtos'!$E$2:$E$18,'Base Grupo de Produtos'!$F$2:$F$18)</f>
        <v>60</v>
      </c>
      <c r="U155" s="56">
        <f>_xlfn.XLOOKUP($N155,'Calculo Leads'!$A$97:$A$134,'Calculo Leads'!H$97:H$134)*_xlfn.XLOOKUP($P155,'Base Grupo de Produtos'!$E$2:$E$18,'Base Grupo de Produtos'!$F$2:$F$18)</f>
        <v>60</v>
      </c>
      <c r="V155" s="56">
        <f>_xlfn.XLOOKUP($N155,'Calculo Leads'!$A$97:$A$134,'Calculo Leads'!I$97:I$134)*_xlfn.XLOOKUP($P155,'Base Grupo de Produtos'!$E$2:$E$18,'Base Grupo de Produtos'!$F$2:$F$18)</f>
        <v>60</v>
      </c>
      <c r="W155" s="56">
        <f>_xlfn.XLOOKUP($N155,'Calculo Leads'!$A$97:$A$134,'Calculo Leads'!J$97:J$134)*_xlfn.XLOOKUP($P155,'Base Grupo de Produtos'!$E$2:$E$18,'Base Grupo de Produtos'!$F$2:$F$18)</f>
        <v>90</v>
      </c>
      <c r="X155" s="56">
        <f>_xlfn.XLOOKUP($N155,'Calculo Leads'!$A$97:$A$134,'Calculo Leads'!K$97:K$134)*_xlfn.XLOOKUP($P155,'Base Grupo de Produtos'!$E$2:$E$18,'Base Grupo de Produtos'!$F$2:$F$18)</f>
        <v>99</v>
      </c>
      <c r="Y155" s="56">
        <f>_xlfn.XLOOKUP($N155,'Calculo Leads'!$A$97:$A$134,'Calculo Leads'!L$97:L$134)*_xlfn.XLOOKUP($P155,'Base Grupo de Produtos'!$E$2:$E$18,'Base Grupo de Produtos'!$F$2:$F$18)</f>
        <v>132</v>
      </c>
      <c r="Z155" s="56">
        <f>_xlfn.XLOOKUP($N155,'Calculo Leads'!$A$97:$A$134,'Calculo Leads'!M$97:M$134)*_xlfn.XLOOKUP($P155,'Base Grupo de Produtos'!$E$2:$E$18,'Base Grupo de Produtos'!$F$2:$F$18)</f>
        <v>132</v>
      </c>
      <c r="AA155" s="56">
        <f>_xlfn.XLOOKUP($N155,'Calculo Leads'!$A$97:$A$134,'Calculo Leads'!N$97:N$134)*_xlfn.XLOOKUP($P155,'Base Grupo de Produtos'!$E$2:$E$18,'Base Grupo de Produtos'!$F$2:$F$18)</f>
        <v>165</v>
      </c>
      <c r="AB155" s="56">
        <f>_xlfn.XLOOKUP($N155,'Calculo Leads'!$A$97:$A$134,'Calculo Leads'!O$97:O$134)*_xlfn.XLOOKUP($P155,'Base Grupo de Produtos'!$E$2:$E$18,'Base Grupo de Produtos'!$F$2:$F$18)</f>
        <v>99</v>
      </c>
      <c r="AC155" s="61">
        <f t="shared" si="152"/>
        <v>897</v>
      </c>
      <c r="AD155" s="27">
        <f t="shared" si="169"/>
        <v>897</v>
      </c>
      <c r="AE155" s="25">
        <f>IFERROR(_xlfn.XLOOKUP(N155&amp;P155,'Historico Vendas'!G:G,'Historico Vendas'!E:E),0)</f>
        <v>0</v>
      </c>
      <c r="AF155" s="29" t="str">
        <f t="shared" si="130"/>
        <v/>
      </c>
      <c r="AG155" s="24">
        <f>IFERROR(_xlfn.XLOOKUP(N155&amp;P155,'Historico Vendas'!G:G,'Historico Vendas'!F:F),0)</f>
        <v>0</v>
      </c>
      <c r="AH155" s="25">
        <f t="shared" si="170"/>
        <v>0</v>
      </c>
      <c r="AI155" s="24">
        <f t="shared" si="171"/>
        <v>0</v>
      </c>
      <c r="AJ155" s="11" t="str">
        <f t="shared" si="133"/>
        <v/>
      </c>
      <c r="AK155" s="9" t="s">
        <v>102</v>
      </c>
      <c r="AL155" s="13">
        <f>IFERROR(INDEX('Balizador da Meta'!$D$3:$F$23,MATCH(Faturamento!$P155,'Balizador da Meta'!$C$3:$C$23,0),MATCH(Faturamento!AK155,'Balizador da Meta'!$D$2:$F$2,0)),"")</f>
        <v>0.15</v>
      </c>
      <c r="AM155" s="9"/>
    </row>
    <row r="156" spans="1:39" x14ac:dyDescent="0.3">
      <c r="A156" s="2" t="str">
        <f t="shared" si="131"/>
        <v>NÃO</v>
      </c>
      <c r="B156" s="2" t="str">
        <f>_xlfn.XLOOKUP($N156,'Base de Grupos'!$A:$A,'Base de Grupos'!$D:$D)</f>
        <v>1000065763</v>
      </c>
      <c r="C156" s="5" t="str">
        <f>_xlfn.XLOOKUP($N156,'Base de Grupos'!$A:$A,'Base de Grupos'!$E:$E)</f>
        <v>CANAL VENDA INTERNA</v>
      </c>
      <c r="D156" s="5" t="str">
        <f>_xlfn.XLOOKUP($N156,'Base de Grupos'!$A:$A,'Base de Grupos'!$F:$F)</f>
        <v>1000065763</v>
      </c>
      <c r="E156" s="2" t="str">
        <f>_xlfn.XLOOKUP($N156,'Base de Grupos'!$A:$A,'Base de Grupos'!$G:$G)</f>
        <v>CANAL VENDA INTERNA</v>
      </c>
      <c r="F156" s="2" t="str">
        <f>_xlfn.XLOOKUP($N156,'Base de Grupos'!$A:$A,'Base de Grupos'!$H:$H)</f>
        <v>1000105900</v>
      </c>
      <c r="G156" s="5" t="str">
        <f>_xlfn.XLOOKUP($N156,'Base de Grupos'!$A:$A,'Base de Grupos'!$I:$I)</f>
        <v>REGIONAL VENDA DIRETA CO + NE + NO</v>
      </c>
      <c r="H156" s="5" t="str">
        <f>_xlfn.XLOOKUP($N156,'Base de Grupos'!$A:$A,'Base de Grupos'!$J:$J)</f>
        <v>1000105900</v>
      </c>
      <c r="I156" s="2" t="str">
        <f>_xlfn.XLOOKUP($N156,'Base de Grupos'!$A:$A,'Base de Grupos'!$K:$K)</f>
        <v>REGIONAL VENDA DIRETA CO + NE + NO</v>
      </c>
      <c r="J156" s="2" t="str">
        <f>_xlfn.XLOOKUP($N156,'Base de Grupos'!$A:$A,'Base de Grupos'!$L:$L)</f>
        <v>1000150135</v>
      </c>
      <c r="K156" s="5" t="str">
        <f>_xlfn.XLOOKUP($N156,'Base de Grupos'!$A:$A,'Base de Grupos'!$M:$M)</f>
        <v>HELDER DA SILVA BRUNKOW</v>
      </c>
      <c r="L156" s="5" t="str">
        <f t="shared" si="132"/>
        <v/>
      </c>
      <c r="M156" s="5" t="str">
        <f>_xlfn.XLOOKUP($N156,'Base de Grupos'!$A:$A,'Base de Grupos'!$C:$C)</f>
        <v>MA</v>
      </c>
      <c r="N156" s="3">
        <v>1332</v>
      </c>
      <c r="O156" s="4" t="s">
        <v>232</v>
      </c>
      <c r="P156" s="5" t="s">
        <v>108</v>
      </c>
      <c r="Q156" s="56">
        <v>0</v>
      </c>
      <c r="R156" s="56">
        <v>0</v>
      </c>
      <c r="S156" s="56">
        <v>0</v>
      </c>
      <c r="T156" s="56">
        <f>_xlfn.XLOOKUP($N156,'Calculo Leads'!$A$97:$A$134,'Calculo Leads'!G$97:G$134)*_xlfn.XLOOKUP($P156,'Base Grupo de Produtos'!$E$2:$E$18,'Base Grupo de Produtos'!$F$2:$F$18)</f>
        <v>500</v>
      </c>
      <c r="U156" s="56">
        <f>_xlfn.XLOOKUP($N156,'Calculo Leads'!$A$97:$A$134,'Calculo Leads'!H$97:H$134)*_xlfn.XLOOKUP($P156,'Base Grupo de Produtos'!$E$2:$E$18,'Base Grupo de Produtos'!$F$2:$F$18)</f>
        <v>500</v>
      </c>
      <c r="V156" s="56">
        <f>_xlfn.XLOOKUP($N156,'Calculo Leads'!$A$97:$A$134,'Calculo Leads'!I$97:I$134)*_xlfn.XLOOKUP($P156,'Base Grupo de Produtos'!$E$2:$E$18,'Base Grupo de Produtos'!$F$2:$F$18)</f>
        <v>500</v>
      </c>
      <c r="W156" s="56">
        <f>_xlfn.XLOOKUP($N156,'Calculo Leads'!$A$97:$A$134,'Calculo Leads'!J$97:J$134)*_xlfn.XLOOKUP($P156,'Base Grupo de Produtos'!$E$2:$E$18,'Base Grupo de Produtos'!$F$2:$F$18)</f>
        <v>750</v>
      </c>
      <c r="X156" s="56">
        <f>_xlfn.XLOOKUP($N156,'Calculo Leads'!$A$97:$A$134,'Calculo Leads'!K$97:K$134)*_xlfn.XLOOKUP($P156,'Base Grupo de Produtos'!$E$2:$E$18,'Base Grupo de Produtos'!$F$2:$F$18)</f>
        <v>825</v>
      </c>
      <c r="Y156" s="56">
        <f>_xlfn.XLOOKUP($N156,'Calculo Leads'!$A$97:$A$134,'Calculo Leads'!L$97:L$134)*_xlfn.XLOOKUP($P156,'Base Grupo de Produtos'!$E$2:$E$18,'Base Grupo de Produtos'!$F$2:$F$18)</f>
        <v>1100</v>
      </c>
      <c r="Z156" s="56">
        <f>_xlfn.XLOOKUP($N156,'Calculo Leads'!$A$97:$A$134,'Calculo Leads'!M$97:M$134)*_xlfn.XLOOKUP($P156,'Base Grupo de Produtos'!$E$2:$E$18,'Base Grupo de Produtos'!$F$2:$F$18)</f>
        <v>1100</v>
      </c>
      <c r="AA156" s="56">
        <f>_xlfn.XLOOKUP($N156,'Calculo Leads'!$A$97:$A$134,'Calculo Leads'!N$97:N$134)*_xlfn.XLOOKUP($P156,'Base Grupo de Produtos'!$E$2:$E$18,'Base Grupo de Produtos'!$F$2:$F$18)</f>
        <v>1375</v>
      </c>
      <c r="AB156" s="56">
        <f>_xlfn.XLOOKUP($N156,'Calculo Leads'!$A$97:$A$134,'Calculo Leads'!O$97:O$134)*_xlfn.XLOOKUP($P156,'Base Grupo de Produtos'!$E$2:$E$18,'Base Grupo de Produtos'!$F$2:$F$18)</f>
        <v>825</v>
      </c>
      <c r="AC156" s="61">
        <f t="shared" si="152"/>
        <v>7475</v>
      </c>
      <c r="AD156" s="27">
        <f t="shared" si="169"/>
        <v>7475</v>
      </c>
      <c r="AE156" s="25">
        <f>IFERROR(_xlfn.XLOOKUP(N156&amp;P156,'Historico Vendas'!G:G,'Historico Vendas'!E:E),0)</f>
        <v>0</v>
      </c>
      <c r="AF156" s="29" t="str">
        <f t="shared" si="130"/>
        <v/>
      </c>
      <c r="AG156" s="24">
        <f>IFERROR(_xlfn.XLOOKUP(N156&amp;P156,'Historico Vendas'!G:G,'Historico Vendas'!F:F),0)</f>
        <v>0</v>
      </c>
      <c r="AH156" s="25">
        <f t="shared" si="170"/>
        <v>0</v>
      </c>
      <c r="AI156" s="24">
        <f t="shared" si="171"/>
        <v>0</v>
      </c>
      <c r="AJ156" s="11" t="str">
        <f t="shared" si="133"/>
        <v/>
      </c>
      <c r="AK156" s="9" t="s">
        <v>102</v>
      </c>
      <c r="AL156" s="13">
        <f>IFERROR(INDEX('Balizador da Meta'!$D$3:$F$23,MATCH(Faturamento!$P156,'Balizador da Meta'!$C$3:$C$23,0),MATCH(Faturamento!AK156,'Balizador da Meta'!$D$2:$F$2,0)),"")</f>
        <v>0</v>
      </c>
      <c r="AM156" s="9"/>
    </row>
    <row r="157" spans="1:39" x14ac:dyDescent="0.3">
      <c r="A157" s="2" t="str">
        <f t="shared" si="131"/>
        <v>NÃO</v>
      </c>
      <c r="B157" s="2" t="str">
        <f>_xlfn.XLOOKUP($N157,'Base de Grupos'!$A:$A,'Base de Grupos'!$D:$D)</f>
        <v>1000065763</v>
      </c>
      <c r="C157" s="5" t="str">
        <f>_xlfn.XLOOKUP($N157,'Base de Grupos'!$A:$A,'Base de Grupos'!$E:$E)</f>
        <v>CANAL VENDA INTERNA</v>
      </c>
      <c r="D157" s="5" t="str">
        <f>_xlfn.XLOOKUP($N157,'Base de Grupos'!$A:$A,'Base de Grupos'!$F:$F)</f>
        <v>1000065763</v>
      </c>
      <c r="E157" s="2" t="str">
        <f>_xlfn.XLOOKUP($N157,'Base de Grupos'!$A:$A,'Base de Grupos'!$G:$G)</f>
        <v>CANAL VENDA INTERNA</v>
      </c>
      <c r="F157" s="2" t="str">
        <f>_xlfn.XLOOKUP($N157,'Base de Grupos'!$A:$A,'Base de Grupos'!$H:$H)</f>
        <v>1000105900</v>
      </c>
      <c r="G157" s="5" t="str">
        <f>_xlfn.XLOOKUP($N157,'Base de Grupos'!$A:$A,'Base de Grupos'!$I:$I)</f>
        <v>REGIONAL VENDA DIRETA CO + NE + NO</v>
      </c>
      <c r="H157" s="5" t="str">
        <f>_xlfn.XLOOKUP($N157,'Base de Grupos'!$A:$A,'Base de Grupos'!$J:$J)</f>
        <v>1000105900</v>
      </c>
      <c r="I157" s="2" t="str">
        <f>_xlfn.XLOOKUP($N157,'Base de Grupos'!$A:$A,'Base de Grupos'!$K:$K)</f>
        <v>REGIONAL VENDA DIRETA CO + NE + NO</v>
      </c>
      <c r="J157" s="2" t="str">
        <f>_xlfn.XLOOKUP($N157,'Base de Grupos'!$A:$A,'Base de Grupos'!$L:$L)</f>
        <v>1000150135</v>
      </c>
      <c r="K157" s="5" t="str">
        <f>_xlfn.XLOOKUP($N157,'Base de Grupos'!$A:$A,'Base de Grupos'!$M:$M)</f>
        <v>HELDER DA SILVA BRUNKOW</v>
      </c>
      <c r="L157" s="5" t="str">
        <f t="shared" si="132"/>
        <v/>
      </c>
      <c r="M157" s="5" t="str">
        <f>_xlfn.XLOOKUP($N157,'Base de Grupos'!$A:$A,'Base de Grupos'!$C:$C)</f>
        <v>MA</v>
      </c>
      <c r="N157" s="3">
        <v>1332</v>
      </c>
      <c r="O157" s="4" t="s">
        <v>232</v>
      </c>
      <c r="P157" s="5" t="s">
        <v>89</v>
      </c>
      <c r="Q157" s="56">
        <v>0</v>
      </c>
      <c r="R157" s="56">
        <v>0</v>
      </c>
      <c r="S157" s="56">
        <v>0</v>
      </c>
      <c r="T157" s="56">
        <f>_xlfn.XLOOKUP($N157,'Calculo Leads'!$A$97:$A$134,'Calculo Leads'!G$97:G$134)*_xlfn.XLOOKUP($P157,'Base Grupo de Produtos'!$E$2:$E$18,'Base Grupo de Produtos'!$F$2:$F$18)</f>
        <v>100</v>
      </c>
      <c r="U157" s="56">
        <f>_xlfn.XLOOKUP($N157,'Calculo Leads'!$A$97:$A$134,'Calculo Leads'!H$97:H$134)*_xlfn.XLOOKUP($P157,'Base Grupo de Produtos'!$E$2:$E$18,'Base Grupo de Produtos'!$F$2:$F$18)</f>
        <v>100</v>
      </c>
      <c r="V157" s="56">
        <f>_xlfn.XLOOKUP($N157,'Calculo Leads'!$A$97:$A$134,'Calculo Leads'!I$97:I$134)*_xlfn.XLOOKUP($P157,'Base Grupo de Produtos'!$E$2:$E$18,'Base Grupo de Produtos'!$F$2:$F$18)</f>
        <v>100</v>
      </c>
      <c r="W157" s="56">
        <f>_xlfn.XLOOKUP($N157,'Calculo Leads'!$A$97:$A$134,'Calculo Leads'!J$97:J$134)*_xlfn.XLOOKUP($P157,'Base Grupo de Produtos'!$E$2:$E$18,'Base Grupo de Produtos'!$F$2:$F$18)</f>
        <v>150</v>
      </c>
      <c r="X157" s="56">
        <f>_xlfn.XLOOKUP($N157,'Calculo Leads'!$A$97:$A$134,'Calculo Leads'!K$97:K$134)*_xlfn.XLOOKUP($P157,'Base Grupo de Produtos'!$E$2:$E$18,'Base Grupo de Produtos'!$F$2:$F$18)</f>
        <v>165</v>
      </c>
      <c r="Y157" s="56">
        <f>_xlfn.XLOOKUP($N157,'Calculo Leads'!$A$97:$A$134,'Calculo Leads'!L$97:L$134)*_xlfn.XLOOKUP($P157,'Base Grupo de Produtos'!$E$2:$E$18,'Base Grupo de Produtos'!$F$2:$F$18)</f>
        <v>220</v>
      </c>
      <c r="Z157" s="56">
        <f>_xlfn.XLOOKUP($N157,'Calculo Leads'!$A$97:$A$134,'Calculo Leads'!M$97:M$134)*_xlfn.XLOOKUP($P157,'Base Grupo de Produtos'!$E$2:$E$18,'Base Grupo de Produtos'!$F$2:$F$18)</f>
        <v>220</v>
      </c>
      <c r="AA157" s="56">
        <f>_xlfn.XLOOKUP($N157,'Calculo Leads'!$A$97:$A$134,'Calculo Leads'!N$97:N$134)*_xlfn.XLOOKUP($P157,'Base Grupo de Produtos'!$E$2:$E$18,'Base Grupo de Produtos'!$F$2:$F$18)</f>
        <v>275</v>
      </c>
      <c r="AB157" s="56">
        <f>_xlfn.XLOOKUP($N157,'Calculo Leads'!$A$97:$A$134,'Calculo Leads'!O$97:O$134)*_xlfn.XLOOKUP($P157,'Base Grupo de Produtos'!$E$2:$E$18,'Base Grupo de Produtos'!$F$2:$F$18)</f>
        <v>165</v>
      </c>
      <c r="AC157" s="61">
        <f t="shared" si="152"/>
        <v>1495</v>
      </c>
      <c r="AD157" s="27">
        <f t="shared" si="169"/>
        <v>1495</v>
      </c>
      <c r="AE157" s="25">
        <f>IFERROR(_xlfn.XLOOKUP(N157&amp;P157,'Historico Vendas'!G:G,'Historico Vendas'!E:E),0)</f>
        <v>0</v>
      </c>
      <c r="AF157" s="29" t="str">
        <f t="shared" si="130"/>
        <v/>
      </c>
      <c r="AG157" s="24">
        <f>IFERROR(_xlfn.XLOOKUP(N157&amp;P157,'Historico Vendas'!G:G,'Historico Vendas'!F:F),0)</f>
        <v>0</v>
      </c>
      <c r="AH157" s="25">
        <f t="shared" si="170"/>
        <v>0</v>
      </c>
      <c r="AI157" s="24">
        <f t="shared" si="171"/>
        <v>0</v>
      </c>
      <c r="AJ157" s="11" t="str">
        <f t="shared" si="133"/>
        <v/>
      </c>
      <c r="AK157" s="9" t="s">
        <v>102</v>
      </c>
      <c r="AL157" s="13">
        <f>IFERROR(INDEX('Balizador da Meta'!$D$3:$F$23,MATCH(Faturamento!$P157,'Balizador da Meta'!$C$3:$C$23,0),MATCH(Faturamento!AK157,'Balizador da Meta'!$D$2:$F$2,0)),"")</f>
        <v>0.25</v>
      </c>
      <c r="AM157" s="9"/>
    </row>
    <row r="158" spans="1:39" x14ac:dyDescent="0.3">
      <c r="A158" s="2" t="str">
        <f t="shared" si="131"/>
        <v>NÃO</v>
      </c>
      <c r="B158" s="2" t="str">
        <f>_xlfn.XLOOKUP($N158,'Base de Grupos'!$A:$A,'Base de Grupos'!$D:$D)</f>
        <v>1000065763</v>
      </c>
      <c r="C158" s="5" t="str">
        <f>_xlfn.XLOOKUP($N158,'Base de Grupos'!$A:$A,'Base de Grupos'!$E:$E)</f>
        <v>CANAL VENDA INTERNA</v>
      </c>
      <c r="D158" s="5" t="str">
        <f>_xlfn.XLOOKUP($N158,'Base de Grupos'!$A:$A,'Base de Grupos'!$F:$F)</f>
        <v>1000065763</v>
      </c>
      <c r="E158" s="2" t="str">
        <f>_xlfn.XLOOKUP($N158,'Base de Grupos'!$A:$A,'Base de Grupos'!$G:$G)</f>
        <v>CANAL VENDA INTERNA</v>
      </c>
      <c r="F158" s="2" t="str">
        <f>_xlfn.XLOOKUP($N158,'Base de Grupos'!$A:$A,'Base de Grupos'!$H:$H)</f>
        <v>1000105900</v>
      </c>
      <c r="G158" s="5" t="str">
        <f>_xlfn.XLOOKUP($N158,'Base de Grupos'!$A:$A,'Base de Grupos'!$I:$I)</f>
        <v>REGIONAL VENDA DIRETA CO + NE + NO</v>
      </c>
      <c r="H158" s="5" t="str">
        <f>_xlfn.XLOOKUP($N158,'Base de Grupos'!$A:$A,'Base de Grupos'!$J:$J)</f>
        <v>1000105900</v>
      </c>
      <c r="I158" s="2" t="str">
        <f>_xlfn.XLOOKUP($N158,'Base de Grupos'!$A:$A,'Base de Grupos'!$K:$K)</f>
        <v>REGIONAL VENDA DIRETA CO + NE + NO</v>
      </c>
      <c r="J158" s="2" t="str">
        <f>_xlfn.XLOOKUP($N158,'Base de Grupos'!$A:$A,'Base de Grupos'!$L:$L)</f>
        <v>1000150135</v>
      </c>
      <c r="K158" s="5" t="str">
        <f>_xlfn.XLOOKUP($N158,'Base de Grupos'!$A:$A,'Base de Grupos'!$M:$M)</f>
        <v>HELDER DA SILVA BRUNKOW</v>
      </c>
      <c r="L158" s="5" t="str">
        <f t="shared" si="132"/>
        <v/>
      </c>
      <c r="M158" s="5" t="str">
        <f>_xlfn.XLOOKUP($N158,'Base de Grupos'!$A:$A,'Base de Grupos'!$C:$C)</f>
        <v>MA</v>
      </c>
      <c r="N158" s="3">
        <v>1332</v>
      </c>
      <c r="O158" s="4" t="s">
        <v>232</v>
      </c>
      <c r="P158" s="5" t="s">
        <v>88</v>
      </c>
      <c r="Q158" s="56">
        <v>0</v>
      </c>
      <c r="R158" s="56">
        <v>0</v>
      </c>
      <c r="S158" s="56">
        <v>0</v>
      </c>
      <c r="T158" s="56">
        <f>_xlfn.XLOOKUP($N158,'Calculo Leads'!$A$97:$A$134,'Calculo Leads'!G$97:G$134)*_xlfn.XLOOKUP($P158,'Base Grupo de Produtos'!$E$2:$E$18,'Base Grupo de Produtos'!$F$2:$F$18)</f>
        <v>100</v>
      </c>
      <c r="U158" s="56">
        <f>_xlfn.XLOOKUP($N158,'Calculo Leads'!$A$97:$A$134,'Calculo Leads'!H$97:H$134)*_xlfn.XLOOKUP($P158,'Base Grupo de Produtos'!$E$2:$E$18,'Base Grupo de Produtos'!$F$2:$F$18)</f>
        <v>100</v>
      </c>
      <c r="V158" s="56">
        <f>_xlfn.XLOOKUP($N158,'Calculo Leads'!$A$97:$A$134,'Calculo Leads'!I$97:I$134)*_xlfn.XLOOKUP($P158,'Base Grupo de Produtos'!$E$2:$E$18,'Base Grupo de Produtos'!$F$2:$F$18)</f>
        <v>100</v>
      </c>
      <c r="W158" s="56">
        <f>_xlfn.XLOOKUP($N158,'Calculo Leads'!$A$97:$A$134,'Calculo Leads'!J$97:J$134)*_xlfn.XLOOKUP($P158,'Base Grupo de Produtos'!$E$2:$E$18,'Base Grupo de Produtos'!$F$2:$F$18)</f>
        <v>150</v>
      </c>
      <c r="X158" s="56">
        <f>_xlfn.XLOOKUP($N158,'Calculo Leads'!$A$97:$A$134,'Calculo Leads'!K$97:K$134)*_xlfn.XLOOKUP($P158,'Base Grupo de Produtos'!$E$2:$E$18,'Base Grupo de Produtos'!$F$2:$F$18)</f>
        <v>165</v>
      </c>
      <c r="Y158" s="56">
        <f>_xlfn.XLOOKUP($N158,'Calculo Leads'!$A$97:$A$134,'Calculo Leads'!L$97:L$134)*_xlfn.XLOOKUP($P158,'Base Grupo de Produtos'!$E$2:$E$18,'Base Grupo de Produtos'!$F$2:$F$18)</f>
        <v>220</v>
      </c>
      <c r="Z158" s="56">
        <f>_xlfn.XLOOKUP($N158,'Calculo Leads'!$A$97:$A$134,'Calculo Leads'!M$97:M$134)*_xlfn.XLOOKUP($P158,'Base Grupo de Produtos'!$E$2:$E$18,'Base Grupo de Produtos'!$F$2:$F$18)</f>
        <v>220</v>
      </c>
      <c r="AA158" s="56">
        <f>_xlfn.XLOOKUP($N158,'Calculo Leads'!$A$97:$A$134,'Calculo Leads'!N$97:N$134)*_xlfn.XLOOKUP($P158,'Base Grupo de Produtos'!$E$2:$E$18,'Base Grupo de Produtos'!$F$2:$F$18)</f>
        <v>275</v>
      </c>
      <c r="AB158" s="56">
        <f>_xlfn.XLOOKUP($N158,'Calculo Leads'!$A$97:$A$134,'Calculo Leads'!O$97:O$134)*_xlfn.XLOOKUP($P158,'Base Grupo de Produtos'!$E$2:$E$18,'Base Grupo de Produtos'!$F$2:$F$18)</f>
        <v>165</v>
      </c>
      <c r="AC158" s="61">
        <f t="shared" si="152"/>
        <v>1495</v>
      </c>
      <c r="AD158" s="27">
        <f t="shared" si="169"/>
        <v>1495</v>
      </c>
      <c r="AE158" s="25">
        <f>IFERROR(_xlfn.XLOOKUP(N158&amp;P158,'Historico Vendas'!G:G,'Historico Vendas'!E:E),0)</f>
        <v>0</v>
      </c>
      <c r="AF158" s="29" t="str">
        <f t="shared" si="130"/>
        <v/>
      </c>
      <c r="AG158" s="24">
        <f>IFERROR(_xlfn.XLOOKUP(N158&amp;P158,'Historico Vendas'!G:G,'Historico Vendas'!F:F),0)</f>
        <v>0</v>
      </c>
      <c r="AH158" s="25">
        <f t="shared" si="170"/>
        <v>0</v>
      </c>
      <c r="AI158" s="24">
        <f t="shared" si="171"/>
        <v>0</v>
      </c>
      <c r="AJ158" s="11" t="str">
        <f t="shared" si="133"/>
        <v/>
      </c>
      <c r="AK158" s="9" t="s">
        <v>102</v>
      </c>
      <c r="AL158" s="13">
        <f>IFERROR(INDEX('Balizador da Meta'!$D$3:$F$23,MATCH(Faturamento!$P158,'Balizador da Meta'!$C$3:$C$23,0),MATCH(Faturamento!AK158,'Balizador da Meta'!$D$2:$F$2,0)),"")</f>
        <v>0</v>
      </c>
      <c r="AM158" s="9"/>
    </row>
    <row r="159" spans="1:39" x14ac:dyDescent="0.3">
      <c r="A159" s="2" t="str">
        <f t="shared" si="131"/>
        <v>NÃO</v>
      </c>
      <c r="B159" s="2" t="str">
        <f>_xlfn.XLOOKUP($N159,'Base de Grupos'!$A:$A,'Base de Grupos'!$D:$D)</f>
        <v>1000065763</v>
      </c>
      <c r="C159" s="5" t="str">
        <f>_xlfn.XLOOKUP($N159,'Base de Grupos'!$A:$A,'Base de Grupos'!$E:$E)</f>
        <v>CANAL VENDA INTERNA</v>
      </c>
      <c r="D159" s="5" t="str">
        <f>_xlfn.XLOOKUP($N159,'Base de Grupos'!$A:$A,'Base de Grupos'!$F:$F)</f>
        <v>1000065763</v>
      </c>
      <c r="E159" s="2" t="str">
        <f>_xlfn.XLOOKUP($N159,'Base de Grupos'!$A:$A,'Base de Grupos'!$G:$G)</f>
        <v>CANAL VENDA INTERNA</v>
      </c>
      <c r="F159" s="2" t="str">
        <f>_xlfn.XLOOKUP($N159,'Base de Grupos'!$A:$A,'Base de Grupos'!$H:$H)</f>
        <v>1000105900</v>
      </c>
      <c r="G159" s="5" t="str">
        <f>_xlfn.XLOOKUP($N159,'Base de Grupos'!$A:$A,'Base de Grupos'!$I:$I)</f>
        <v>REGIONAL VENDA DIRETA CO + NE + NO</v>
      </c>
      <c r="H159" s="5" t="str">
        <f>_xlfn.XLOOKUP($N159,'Base de Grupos'!$A:$A,'Base de Grupos'!$J:$J)</f>
        <v>1000105900</v>
      </c>
      <c r="I159" s="2" t="str">
        <f>_xlfn.XLOOKUP($N159,'Base de Grupos'!$A:$A,'Base de Grupos'!$K:$K)</f>
        <v>REGIONAL VENDA DIRETA CO + NE + NO</v>
      </c>
      <c r="J159" s="2" t="str">
        <f>_xlfn.XLOOKUP($N159,'Base de Grupos'!$A:$A,'Base de Grupos'!$L:$L)</f>
        <v>1000150135</v>
      </c>
      <c r="K159" s="5" t="str">
        <f>_xlfn.XLOOKUP($N159,'Base de Grupos'!$A:$A,'Base de Grupos'!$M:$M)</f>
        <v>HELDER DA SILVA BRUNKOW</v>
      </c>
      <c r="L159" s="5" t="str">
        <f t="shared" si="132"/>
        <v/>
      </c>
      <c r="M159" s="5" t="str">
        <f>_xlfn.XLOOKUP($N159,'Base de Grupos'!$A:$A,'Base de Grupos'!$C:$C)</f>
        <v>MA</v>
      </c>
      <c r="N159" s="3">
        <v>1332</v>
      </c>
      <c r="O159" s="4" t="s">
        <v>232</v>
      </c>
      <c r="P159" s="5" t="s">
        <v>90</v>
      </c>
      <c r="Q159" s="56">
        <v>0</v>
      </c>
      <c r="R159" s="56">
        <v>0</v>
      </c>
      <c r="S159" s="56">
        <v>0</v>
      </c>
      <c r="T159" s="56">
        <f>_xlfn.XLOOKUP($N159,'Calculo Leads'!$A$97:$A$134,'Calculo Leads'!G$97:G$134)*_xlfn.XLOOKUP($P159,'Base Grupo de Produtos'!$E$2:$E$18,'Base Grupo de Produtos'!$F$2:$F$18)</f>
        <v>100</v>
      </c>
      <c r="U159" s="56">
        <f>_xlfn.XLOOKUP($N159,'Calculo Leads'!$A$97:$A$134,'Calculo Leads'!H$97:H$134)*_xlfn.XLOOKUP($P159,'Base Grupo de Produtos'!$E$2:$E$18,'Base Grupo de Produtos'!$F$2:$F$18)</f>
        <v>100</v>
      </c>
      <c r="V159" s="56">
        <f>_xlfn.XLOOKUP($N159,'Calculo Leads'!$A$97:$A$134,'Calculo Leads'!I$97:I$134)*_xlfn.XLOOKUP($P159,'Base Grupo de Produtos'!$E$2:$E$18,'Base Grupo de Produtos'!$F$2:$F$18)</f>
        <v>100</v>
      </c>
      <c r="W159" s="56">
        <f>_xlfn.XLOOKUP($N159,'Calculo Leads'!$A$97:$A$134,'Calculo Leads'!J$97:J$134)*_xlfn.XLOOKUP($P159,'Base Grupo de Produtos'!$E$2:$E$18,'Base Grupo de Produtos'!$F$2:$F$18)</f>
        <v>150</v>
      </c>
      <c r="X159" s="56">
        <f>_xlfn.XLOOKUP($N159,'Calculo Leads'!$A$97:$A$134,'Calculo Leads'!K$97:K$134)*_xlfn.XLOOKUP($P159,'Base Grupo de Produtos'!$E$2:$E$18,'Base Grupo de Produtos'!$F$2:$F$18)</f>
        <v>165</v>
      </c>
      <c r="Y159" s="56">
        <f>_xlfn.XLOOKUP($N159,'Calculo Leads'!$A$97:$A$134,'Calculo Leads'!L$97:L$134)*_xlfn.XLOOKUP($P159,'Base Grupo de Produtos'!$E$2:$E$18,'Base Grupo de Produtos'!$F$2:$F$18)</f>
        <v>220</v>
      </c>
      <c r="Z159" s="56">
        <f>_xlfn.XLOOKUP($N159,'Calculo Leads'!$A$97:$A$134,'Calculo Leads'!M$97:M$134)*_xlfn.XLOOKUP($P159,'Base Grupo de Produtos'!$E$2:$E$18,'Base Grupo de Produtos'!$F$2:$F$18)</f>
        <v>220</v>
      </c>
      <c r="AA159" s="56">
        <f>_xlfn.XLOOKUP($N159,'Calculo Leads'!$A$97:$A$134,'Calculo Leads'!N$97:N$134)*_xlfn.XLOOKUP($P159,'Base Grupo de Produtos'!$E$2:$E$18,'Base Grupo de Produtos'!$F$2:$F$18)</f>
        <v>275</v>
      </c>
      <c r="AB159" s="56">
        <f>_xlfn.XLOOKUP($N159,'Calculo Leads'!$A$97:$A$134,'Calculo Leads'!O$97:O$134)*_xlfn.XLOOKUP($P159,'Base Grupo de Produtos'!$E$2:$E$18,'Base Grupo de Produtos'!$F$2:$F$18)</f>
        <v>165</v>
      </c>
      <c r="AC159" s="61">
        <f t="shared" si="152"/>
        <v>1495</v>
      </c>
      <c r="AD159" s="27">
        <f t="shared" si="169"/>
        <v>1495</v>
      </c>
      <c r="AE159" s="25">
        <f>IFERROR(_xlfn.XLOOKUP(N159&amp;P159,'Historico Vendas'!G:G,'Historico Vendas'!E:E),0)</f>
        <v>0</v>
      </c>
      <c r="AF159" s="29" t="str">
        <f t="shared" si="130"/>
        <v/>
      </c>
      <c r="AG159" s="24">
        <f>IFERROR(_xlfn.XLOOKUP(N159&amp;P159,'Historico Vendas'!G:G,'Historico Vendas'!F:F),0)</f>
        <v>0</v>
      </c>
      <c r="AH159" s="25">
        <f t="shared" si="170"/>
        <v>0</v>
      </c>
      <c r="AI159" s="24">
        <f t="shared" si="171"/>
        <v>0</v>
      </c>
      <c r="AJ159" s="11" t="str">
        <f t="shared" si="133"/>
        <v/>
      </c>
      <c r="AK159" s="9" t="s">
        <v>102</v>
      </c>
      <c r="AL159" s="13">
        <f>IFERROR(INDEX('Balizador da Meta'!$D$3:$F$23,MATCH(Faturamento!$P159,'Balizador da Meta'!$C$3:$C$23,0),MATCH(Faturamento!AK159,'Balizador da Meta'!$D$2:$F$2,0)),"")</f>
        <v>0</v>
      </c>
      <c r="AM159" s="9"/>
    </row>
    <row r="160" spans="1:39" x14ac:dyDescent="0.3">
      <c r="A160" s="2" t="str">
        <f t="shared" si="131"/>
        <v>NÃO</v>
      </c>
      <c r="B160" s="2" t="str">
        <f>_xlfn.XLOOKUP($N160,'Base de Grupos'!$A:$A,'Base de Grupos'!$D:$D)</f>
        <v>1000065763</v>
      </c>
      <c r="C160" s="5" t="str">
        <f>_xlfn.XLOOKUP($N160,'Base de Grupos'!$A:$A,'Base de Grupos'!$E:$E)</f>
        <v>CANAL VENDA INTERNA</v>
      </c>
      <c r="D160" s="5" t="str">
        <f>_xlfn.XLOOKUP($N160,'Base de Grupos'!$A:$A,'Base de Grupos'!$F:$F)</f>
        <v>1000065763</v>
      </c>
      <c r="E160" s="2" t="str">
        <f>_xlfn.XLOOKUP($N160,'Base de Grupos'!$A:$A,'Base de Grupos'!$G:$G)</f>
        <v>CANAL VENDA INTERNA</v>
      </c>
      <c r="F160" s="2" t="str">
        <f>_xlfn.XLOOKUP($N160,'Base de Grupos'!$A:$A,'Base de Grupos'!$H:$H)</f>
        <v>1000105900</v>
      </c>
      <c r="G160" s="5" t="str">
        <f>_xlfn.XLOOKUP($N160,'Base de Grupos'!$A:$A,'Base de Grupos'!$I:$I)</f>
        <v>REGIONAL VENDA DIRETA CO + NE + NO</v>
      </c>
      <c r="H160" s="5" t="str">
        <f>_xlfn.XLOOKUP($N160,'Base de Grupos'!$A:$A,'Base de Grupos'!$J:$J)</f>
        <v>1000105900</v>
      </c>
      <c r="I160" s="2" t="str">
        <f>_xlfn.XLOOKUP($N160,'Base de Grupos'!$A:$A,'Base de Grupos'!$K:$K)</f>
        <v>REGIONAL VENDA DIRETA CO + NE + NO</v>
      </c>
      <c r="J160" s="2" t="str">
        <f>_xlfn.XLOOKUP($N160,'Base de Grupos'!$A:$A,'Base de Grupos'!$L:$L)</f>
        <v>1000150135</v>
      </c>
      <c r="K160" s="5" t="str">
        <f>_xlfn.XLOOKUP($N160,'Base de Grupos'!$A:$A,'Base de Grupos'!$M:$M)</f>
        <v>HELDER DA SILVA BRUNKOW</v>
      </c>
      <c r="L160" s="5" t="str">
        <f t="shared" si="132"/>
        <v/>
      </c>
      <c r="M160" s="5" t="str">
        <f>_xlfn.XLOOKUP($N160,'Base de Grupos'!$A:$A,'Base de Grupos'!$C:$C)</f>
        <v>MA</v>
      </c>
      <c r="N160" s="3">
        <v>1332</v>
      </c>
      <c r="O160" s="4" t="s">
        <v>232</v>
      </c>
      <c r="P160" s="5" t="s">
        <v>91</v>
      </c>
      <c r="Q160" s="56">
        <v>0</v>
      </c>
      <c r="R160" s="56">
        <v>0</v>
      </c>
      <c r="S160" s="56">
        <v>0</v>
      </c>
      <c r="T160" s="56">
        <f>_xlfn.XLOOKUP($N160,'Calculo Leads'!$A$97:$A$134,'Calculo Leads'!G$97:G$134)*_xlfn.XLOOKUP($P160,'Base Grupo de Produtos'!$E$2:$E$18,'Base Grupo de Produtos'!$F$2:$F$18)</f>
        <v>0</v>
      </c>
      <c r="U160" s="56">
        <f>_xlfn.XLOOKUP($N160,'Calculo Leads'!$A$97:$A$134,'Calculo Leads'!H$97:H$134)*_xlfn.XLOOKUP($P160,'Base Grupo de Produtos'!$E$2:$E$18,'Base Grupo de Produtos'!$F$2:$F$18)</f>
        <v>0</v>
      </c>
      <c r="V160" s="56">
        <f>_xlfn.XLOOKUP($N160,'Calculo Leads'!$A$97:$A$134,'Calculo Leads'!I$97:I$134)*_xlfn.XLOOKUP($P160,'Base Grupo de Produtos'!$E$2:$E$18,'Base Grupo de Produtos'!$F$2:$F$18)</f>
        <v>0</v>
      </c>
      <c r="W160" s="56">
        <f>_xlfn.XLOOKUP($N160,'Calculo Leads'!$A$97:$A$134,'Calculo Leads'!J$97:J$134)*_xlfn.XLOOKUP($P160,'Base Grupo de Produtos'!$E$2:$E$18,'Base Grupo de Produtos'!$F$2:$F$18)</f>
        <v>0</v>
      </c>
      <c r="X160" s="56">
        <f>_xlfn.XLOOKUP($N160,'Calculo Leads'!$A$97:$A$134,'Calculo Leads'!K$97:K$134)*_xlfn.XLOOKUP($P160,'Base Grupo de Produtos'!$E$2:$E$18,'Base Grupo de Produtos'!$F$2:$F$18)</f>
        <v>0</v>
      </c>
      <c r="Y160" s="56">
        <f>_xlfn.XLOOKUP($N160,'Calculo Leads'!$A$97:$A$134,'Calculo Leads'!L$97:L$134)*_xlfn.XLOOKUP($P160,'Base Grupo de Produtos'!$E$2:$E$18,'Base Grupo de Produtos'!$F$2:$F$18)</f>
        <v>0</v>
      </c>
      <c r="Z160" s="56">
        <f>_xlfn.XLOOKUP($N160,'Calculo Leads'!$A$97:$A$134,'Calculo Leads'!M$97:M$134)*_xlfn.XLOOKUP($P160,'Base Grupo de Produtos'!$E$2:$E$18,'Base Grupo de Produtos'!$F$2:$F$18)</f>
        <v>0</v>
      </c>
      <c r="AA160" s="56">
        <f>_xlfn.XLOOKUP($N160,'Calculo Leads'!$A$97:$A$134,'Calculo Leads'!N$97:N$134)*_xlfn.XLOOKUP($P160,'Base Grupo de Produtos'!$E$2:$E$18,'Base Grupo de Produtos'!$F$2:$F$18)</f>
        <v>0</v>
      </c>
      <c r="AB160" s="56">
        <f>_xlfn.XLOOKUP($N160,'Calculo Leads'!$A$97:$A$134,'Calculo Leads'!O$97:O$134)*_xlfn.XLOOKUP($P160,'Base Grupo de Produtos'!$E$2:$E$18,'Base Grupo de Produtos'!$F$2:$F$18)</f>
        <v>0</v>
      </c>
      <c r="AC160" s="61">
        <f t="shared" si="152"/>
        <v>0</v>
      </c>
      <c r="AD160" s="27">
        <f t="shared" si="169"/>
        <v>0</v>
      </c>
      <c r="AE160" s="25">
        <f>IFERROR(_xlfn.XLOOKUP(N160&amp;P160,'Historico Vendas'!G:G,'Historico Vendas'!E:E),0)</f>
        <v>0</v>
      </c>
      <c r="AF160" s="29" t="str">
        <f t="shared" si="130"/>
        <v/>
      </c>
      <c r="AG160" s="24">
        <f>IFERROR(_xlfn.XLOOKUP(N160&amp;P160,'Historico Vendas'!G:G,'Historico Vendas'!F:F),0)</f>
        <v>0</v>
      </c>
      <c r="AH160" s="25">
        <f t="shared" si="170"/>
        <v>0</v>
      </c>
      <c r="AI160" s="24">
        <f t="shared" si="171"/>
        <v>0</v>
      </c>
      <c r="AJ160" s="11" t="str">
        <f t="shared" si="133"/>
        <v/>
      </c>
      <c r="AK160" s="9" t="s">
        <v>102</v>
      </c>
      <c r="AL160" s="13">
        <f>IFERROR(INDEX('Balizador da Meta'!$D$3:$F$23,MATCH(Faturamento!$P160,'Balizador da Meta'!$C$3:$C$23,0),MATCH(Faturamento!AK160,'Balizador da Meta'!$D$2:$F$2,0)),"")</f>
        <v>0</v>
      </c>
      <c r="AM160" s="9"/>
    </row>
    <row r="161" spans="1:39" x14ac:dyDescent="0.3">
      <c r="A161" s="2" t="str">
        <f t="shared" si="131"/>
        <v>NÃO</v>
      </c>
      <c r="B161" s="2" t="str">
        <f>_xlfn.XLOOKUP($N161,'Base de Grupos'!$A:$A,'Base de Grupos'!$D:$D)</f>
        <v>1000065763</v>
      </c>
      <c r="C161" s="5" t="str">
        <f>_xlfn.XLOOKUP($N161,'Base de Grupos'!$A:$A,'Base de Grupos'!$E:$E)</f>
        <v>CANAL VENDA INTERNA</v>
      </c>
      <c r="D161" s="5" t="str">
        <f>_xlfn.XLOOKUP($N161,'Base de Grupos'!$A:$A,'Base de Grupos'!$F:$F)</f>
        <v>1000065763</v>
      </c>
      <c r="E161" s="2" t="str">
        <f>_xlfn.XLOOKUP($N161,'Base de Grupos'!$A:$A,'Base de Grupos'!$G:$G)</f>
        <v>CANAL VENDA INTERNA</v>
      </c>
      <c r="F161" s="2" t="str">
        <f>_xlfn.XLOOKUP($N161,'Base de Grupos'!$A:$A,'Base de Grupos'!$H:$H)</f>
        <v>1000105900</v>
      </c>
      <c r="G161" s="5" t="str">
        <f>_xlfn.XLOOKUP($N161,'Base de Grupos'!$A:$A,'Base de Grupos'!$I:$I)</f>
        <v>REGIONAL VENDA DIRETA CO + NE + NO</v>
      </c>
      <c r="H161" s="5" t="str">
        <f>_xlfn.XLOOKUP($N161,'Base de Grupos'!$A:$A,'Base de Grupos'!$J:$J)</f>
        <v>1000105900</v>
      </c>
      <c r="I161" s="2" t="str">
        <f>_xlfn.XLOOKUP($N161,'Base de Grupos'!$A:$A,'Base de Grupos'!$K:$K)</f>
        <v>REGIONAL VENDA DIRETA CO + NE + NO</v>
      </c>
      <c r="J161" s="2" t="str">
        <f>_xlfn.XLOOKUP($N161,'Base de Grupos'!$A:$A,'Base de Grupos'!$L:$L)</f>
        <v>1000150135</v>
      </c>
      <c r="K161" s="5" t="str">
        <f>_xlfn.XLOOKUP($N161,'Base de Grupos'!$A:$A,'Base de Grupos'!$M:$M)</f>
        <v>HELDER DA SILVA BRUNKOW</v>
      </c>
      <c r="L161" s="5" t="str">
        <f t="shared" si="132"/>
        <v/>
      </c>
      <c r="M161" s="5" t="str">
        <f>_xlfn.XLOOKUP($N161,'Base de Grupos'!$A:$A,'Base de Grupos'!$C:$C)</f>
        <v>MA</v>
      </c>
      <c r="N161" s="3">
        <v>1332</v>
      </c>
      <c r="O161" s="4" t="s">
        <v>232</v>
      </c>
      <c r="P161" s="5" t="s">
        <v>96</v>
      </c>
      <c r="Q161" s="56">
        <v>0</v>
      </c>
      <c r="R161" s="56">
        <v>0</v>
      </c>
      <c r="S161" s="56">
        <v>0</v>
      </c>
      <c r="T161" s="56">
        <f>_xlfn.XLOOKUP($N161,'Calculo Leads'!$A$97:$A$134,'Calculo Leads'!G$97:G$134)*_xlfn.XLOOKUP($P161,'Base Grupo de Produtos'!$E$2:$E$18,'Base Grupo de Produtos'!$F$2:$F$18)</f>
        <v>140</v>
      </c>
      <c r="U161" s="56">
        <f>_xlfn.XLOOKUP($N161,'Calculo Leads'!$A$97:$A$134,'Calculo Leads'!H$97:H$134)*_xlfn.XLOOKUP($P161,'Base Grupo de Produtos'!$E$2:$E$18,'Base Grupo de Produtos'!$F$2:$F$18)</f>
        <v>140</v>
      </c>
      <c r="V161" s="56">
        <f>_xlfn.XLOOKUP($N161,'Calculo Leads'!$A$97:$A$134,'Calculo Leads'!I$97:I$134)*_xlfn.XLOOKUP($P161,'Base Grupo de Produtos'!$E$2:$E$18,'Base Grupo de Produtos'!$F$2:$F$18)</f>
        <v>140</v>
      </c>
      <c r="W161" s="56">
        <f>_xlfn.XLOOKUP($N161,'Calculo Leads'!$A$97:$A$134,'Calculo Leads'!J$97:J$134)*_xlfn.XLOOKUP($P161,'Base Grupo de Produtos'!$E$2:$E$18,'Base Grupo de Produtos'!$F$2:$F$18)</f>
        <v>210.00000000000003</v>
      </c>
      <c r="X161" s="56">
        <f>_xlfn.XLOOKUP($N161,'Calculo Leads'!$A$97:$A$134,'Calculo Leads'!K$97:K$134)*_xlfn.XLOOKUP($P161,'Base Grupo de Produtos'!$E$2:$E$18,'Base Grupo de Produtos'!$F$2:$F$18)</f>
        <v>231.00000000000003</v>
      </c>
      <c r="Y161" s="56">
        <f>_xlfn.XLOOKUP($N161,'Calculo Leads'!$A$97:$A$134,'Calculo Leads'!L$97:L$134)*_xlfn.XLOOKUP($P161,'Base Grupo de Produtos'!$E$2:$E$18,'Base Grupo de Produtos'!$F$2:$F$18)</f>
        <v>308.00000000000006</v>
      </c>
      <c r="Z161" s="56">
        <f>_xlfn.XLOOKUP($N161,'Calculo Leads'!$A$97:$A$134,'Calculo Leads'!M$97:M$134)*_xlfn.XLOOKUP($P161,'Base Grupo de Produtos'!$E$2:$E$18,'Base Grupo de Produtos'!$F$2:$F$18)</f>
        <v>308.00000000000006</v>
      </c>
      <c r="AA161" s="56">
        <f>_xlfn.XLOOKUP($N161,'Calculo Leads'!$A$97:$A$134,'Calculo Leads'!N$97:N$134)*_xlfn.XLOOKUP($P161,'Base Grupo de Produtos'!$E$2:$E$18,'Base Grupo de Produtos'!$F$2:$F$18)</f>
        <v>385.00000000000006</v>
      </c>
      <c r="AB161" s="56">
        <f>_xlfn.XLOOKUP($N161,'Calculo Leads'!$A$97:$A$134,'Calculo Leads'!O$97:O$134)*_xlfn.XLOOKUP($P161,'Base Grupo de Produtos'!$E$2:$E$18,'Base Grupo de Produtos'!$F$2:$F$18)</f>
        <v>231.00000000000003</v>
      </c>
      <c r="AC161" s="61">
        <f t="shared" si="152"/>
        <v>2093</v>
      </c>
      <c r="AD161" s="27">
        <f t="shared" si="169"/>
        <v>2093</v>
      </c>
      <c r="AE161" s="25">
        <f>IFERROR(_xlfn.XLOOKUP(N161&amp;P161,'Historico Vendas'!G:G,'Historico Vendas'!E:E),0)</f>
        <v>0</v>
      </c>
      <c r="AF161" s="29" t="str">
        <f t="shared" si="130"/>
        <v/>
      </c>
      <c r="AG161" s="24">
        <f>IFERROR(_xlfn.XLOOKUP(N161&amp;P161,'Historico Vendas'!G:G,'Historico Vendas'!F:F),0)</f>
        <v>0</v>
      </c>
      <c r="AH161" s="25">
        <f t="shared" si="170"/>
        <v>0</v>
      </c>
      <c r="AI161" s="24">
        <f t="shared" si="171"/>
        <v>0</v>
      </c>
      <c r="AJ161" s="11" t="str">
        <f t="shared" si="133"/>
        <v/>
      </c>
      <c r="AK161" s="9" t="s">
        <v>102</v>
      </c>
      <c r="AL161" s="13">
        <f>IFERROR(INDEX('Balizador da Meta'!$D$3:$F$23,MATCH(Faturamento!$P161,'Balizador da Meta'!$C$3:$C$23,0),MATCH(Faturamento!AK161,'Balizador da Meta'!$D$2:$F$2,0)),"")</f>
        <v>0</v>
      </c>
      <c r="AM161" s="9"/>
    </row>
    <row r="162" spans="1:39" x14ac:dyDescent="0.3">
      <c r="A162" s="2" t="str">
        <f t="shared" si="131"/>
        <v>NÃO</v>
      </c>
      <c r="B162" s="2" t="str">
        <f>_xlfn.XLOOKUP($N162,'Base de Grupos'!$A:$A,'Base de Grupos'!$D:$D)</f>
        <v>1000065763</v>
      </c>
      <c r="C162" s="5" t="str">
        <f>_xlfn.XLOOKUP($N162,'Base de Grupos'!$A:$A,'Base de Grupos'!$E:$E)</f>
        <v>CANAL VENDA INTERNA</v>
      </c>
      <c r="D162" s="5" t="str">
        <f>_xlfn.XLOOKUP($N162,'Base de Grupos'!$A:$A,'Base de Grupos'!$F:$F)</f>
        <v>1000065763</v>
      </c>
      <c r="E162" s="2" t="str">
        <f>_xlfn.XLOOKUP($N162,'Base de Grupos'!$A:$A,'Base de Grupos'!$G:$G)</f>
        <v>CANAL VENDA INTERNA</v>
      </c>
      <c r="F162" s="2" t="str">
        <f>_xlfn.XLOOKUP($N162,'Base de Grupos'!$A:$A,'Base de Grupos'!$H:$H)</f>
        <v>1000105900</v>
      </c>
      <c r="G162" s="5" t="str">
        <f>_xlfn.XLOOKUP($N162,'Base de Grupos'!$A:$A,'Base de Grupos'!$I:$I)</f>
        <v>REGIONAL VENDA DIRETA CO + NE + NO</v>
      </c>
      <c r="H162" s="5" t="str">
        <f>_xlfn.XLOOKUP($N162,'Base de Grupos'!$A:$A,'Base de Grupos'!$J:$J)</f>
        <v>1000105900</v>
      </c>
      <c r="I162" s="2" t="str">
        <f>_xlfn.XLOOKUP($N162,'Base de Grupos'!$A:$A,'Base de Grupos'!$K:$K)</f>
        <v>REGIONAL VENDA DIRETA CO + NE + NO</v>
      </c>
      <c r="J162" s="2" t="str">
        <f>_xlfn.XLOOKUP($N162,'Base de Grupos'!$A:$A,'Base de Grupos'!$L:$L)</f>
        <v>1000150135</v>
      </c>
      <c r="K162" s="5" t="str">
        <f>_xlfn.XLOOKUP($N162,'Base de Grupos'!$A:$A,'Base de Grupos'!$M:$M)</f>
        <v>HELDER DA SILVA BRUNKOW</v>
      </c>
      <c r="L162" s="5" t="str">
        <f t="shared" si="132"/>
        <v/>
      </c>
      <c r="M162" s="5" t="str">
        <f>_xlfn.XLOOKUP($N162,'Base de Grupos'!$A:$A,'Base de Grupos'!$C:$C)</f>
        <v>MA</v>
      </c>
      <c r="N162" s="3">
        <v>1332</v>
      </c>
      <c r="O162" s="4" t="s">
        <v>232</v>
      </c>
      <c r="P162" s="5" t="s">
        <v>94</v>
      </c>
      <c r="Q162" s="56">
        <v>0</v>
      </c>
      <c r="R162" s="56">
        <v>0</v>
      </c>
      <c r="S162" s="56">
        <v>0</v>
      </c>
      <c r="T162" s="56">
        <f>_xlfn.XLOOKUP($N162,'Calculo Leads'!$A$97:$A$134,'Calculo Leads'!G$97:G$134)*_xlfn.XLOOKUP($P162,'Base Grupo de Produtos'!$E$2:$E$18,'Base Grupo de Produtos'!$F$2:$F$18)</f>
        <v>99.999999999999986</v>
      </c>
      <c r="U162" s="56">
        <f>_xlfn.XLOOKUP($N162,'Calculo Leads'!$A$97:$A$134,'Calculo Leads'!H$97:H$134)*_xlfn.XLOOKUP($P162,'Base Grupo de Produtos'!$E$2:$E$18,'Base Grupo de Produtos'!$F$2:$F$18)</f>
        <v>99.999999999999986</v>
      </c>
      <c r="V162" s="56">
        <f>_xlfn.XLOOKUP($N162,'Calculo Leads'!$A$97:$A$134,'Calculo Leads'!I$97:I$134)*_xlfn.XLOOKUP($P162,'Base Grupo de Produtos'!$E$2:$E$18,'Base Grupo de Produtos'!$F$2:$F$18)</f>
        <v>99.999999999999986</v>
      </c>
      <c r="W162" s="56">
        <f>_xlfn.XLOOKUP($N162,'Calculo Leads'!$A$97:$A$134,'Calculo Leads'!J$97:J$134)*_xlfn.XLOOKUP($P162,'Base Grupo de Produtos'!$E$2:$E$18,'Base Grupo de Produtos'!$F$2:$F$18)</f>
        <v>150</v>
      </c>
      <c r="X162" s="56">
        <f>_xlfn.XLOOKUP($N162,'Calculo Leads'!$A$97:$A$134,'Calculo Leads'!K$97:K$134)*_xlfn.XLOOKUP($P162,'Base Grupo de Produtos'!$E$2:$E$18,'Base Grupo de Produtos'!$F$2:$F$18)</f>
        <v>165</v>
      </c>
      <c r="Y162" s="56">
        <f>_xlfn.XLOOKUP($N162,'Calculo Leads'!$A$97:$A$134,'Calculo Leads'!L$97:L$134)*_xlfn.XLOOKUP($P162,'Base Grupo de Produtos'!$E$2:$E$18,'Base Grupo de Produtos'!$F$2:$F$18)</f>
        <v>219.99999999999997</v>
      </c>
      <c r="Z162" s="56">
        <f>_xlfn.XLOOKUP($N162,'Calculo Leads'!$A$97:$A$134,'Calculo Leads'!M$97:M$134)*_xlfn.XLOOKUP($P162,'Base Grupo de Produtos'!$E$2:$E$18,'Base Grupo de Produtos'!$F$2:$F$18)</f>
        <v>219.99999999999997</v>
      </c>
      <c r="AA162" s="56">
        <f>_xlfn.XLOOKUP($N162,'Calculo Leads'!$A$97:$A$134,'Calculo Leads'!N$97:N$134)*_xlfn.XLOOKUP($P162,'Base Grupo de Produtos'!$E$2:$E$18,'Base Grupo de Produtos'!$F$2:$F$18)</f>
        <v>275</v>
      </c>
      <c r="AB162" s="56">
        <f>_xlfn.XLOOKUP($N162,'Calculo Leads'!$A$97:$A$134,'Calculo Leads'!O$97:O$134)*_xlfn.XLOOKUP($P162,'Base Grupo de Produtos'!$E$2:$E$18,'Base Grupo de Produtos'!$F$2:$F$18)</f>
        <v>165</v>
      </c>
      <c r="AC162" s="61">
        <f t="shared" si="152"/>
        <v>1495</v>
      </c>
      <c r="AD162" s="27">
        <f t="shared" si="169"/>
        <v>1495</v>
      </c>
      <c r="AE162" s="25">
        <f>IFERROR(_xlfn.XLOOKUP(N162&amp;P162,'Historico Vendas'!G:G,'Historico Vendas'!E:E),0)</f>
        <v>0</v>
      </c>
      <c r="AF162" s="29" t="str">
        <f t="shared" si="130"/>
        <v/>
      </c>
      <c r="AG162" s="24">
        <f>IFERROR(_xlfn.XLOOKUP(N162&amp;P162,'Historico Vendas'!G:G,'Historico Vendas'!F:F),0)</f>
        <v>0</v>
      </c>
      <c r="AH162" s="25">
        <f t="shared" si="170"/>
        <v>0</v>
      </c>
      <c r="AI162" s="24">
        <f t="shared" si="171"/>
        <v>0</v>
      </c>
      <c r="AJ162" s="11" t="str">
        <f t="shared" si="133"/>
        <v/>
      </c>
      <c r="AK162" s="9" t="s">
        <v>102</v>
      </c>
      <c r="AL162" s="13">
        <f>IFERROR(INDEX('Balizador da Meta'!$D$3:$F$23,MATCH(Faturamento!$P162,'Balizador da Meta'!$C$3:$C$23,0),MATCH(Faturamento!AK162,'Balizador da Meta'!$D$2:$F$2,0)),"")</f>
        <v>0.25</v>
      </c>
      <c r="AM162" s="9"/>
    </row>
    <row r="163" spans="1:39" x14ac:dyDescent="0.3">
      <c r="A163" s="2" t="str">
        <f t="shared" si="131"/>
        <v>NÃO</v>
      </c>
      <c r="B163" s="2" t="str">
        <f>_xlfn.XLOOKUP($N163,'Base de Grupos'!$A:$A,'Base de Grupos'!$D:$D)</f>
        <v>1000065763</v>
      </c>
      <c r="C163" s="5" t="str">
        <f>_xlfn.XLOOKUP($N163,'Base de Grupos'!$A:$A,'Base de Grupos'!$E:$E)</f>
        <v>CANAL VENDA INTERNA</v>
      </c>
      <c r="D163" s="5" t="str">
        <f>_xlfn.XLOOKUP($N163,'Base de Grupos'!$A:$A,'Base de Grupos'!$F:$F)</f>
        <v>1000065763</v>
      </c>
      <c r="E163" s="2" t="str">
        <f>_xlfn.XLOOKUP($N163,'Base de Grupos'!$A:$A,'Base de Grupos'!$G:$G)</f>
        <v>CANAL VENDA INTERNA</v>
      </c>
      <c r="F163" s="2" t="str">
        <f>_xlfn.XLOOKUP($N163,'Base de Grupos'!$A:$A,'Base de Grupos'!$H:$H)</f>
        <v>1000105900</v>
      </c>
      <c r="G163" s="5" t="str">
        <f>_xlfn.XLOOKUP($N163,'Base de Grupos'!$A:$A,'Base de Grupos'!$I:$I)</f>
        <v>REGIONAL VENDA DIRETA CO + NE + NO</v>
      </c>
      <c r="H163" s="5" t="str">
        <f>_xlfn.XLOOKUP($N163,'Base de Grupos'!$A:$A,'Base de Grupos'!$J:$J)</f>
        <v>1000105900</v>
      </c>
      <c r="I163" s="2" t="str">
        <f>_xlfn.XLOOKUP($N163,'Base de Grupos'!$A:$A,'Base de Grupos'!$K:$K)</f>
        <v>REGIONAL VENDA DIRETA CO + NE + NO</v>
      </c>
      <c r="J163" s="2" t="str">
        <f>_xlfn.XLOOKUP($N163,'Base de Grupos'!$A:$A,'Base de Grupos'!$L:$L)</f>
        <v>1000150135</v>
      </c>
      <c r="K163" s="5" t="str">
        <f>_xlfn.XLOOKUP($N163,'Base de Grupos'!$A:$A,'Base de Grupos'!$M:$M)</f>
        <v>HELDER DA SILVA BRUNKOW</v>
      </c>
      <c r="L163" s="5" t="str">
        <f t="shared" si="132"/>
        <v/>
      </c>
      <c r="M163" s="5" t="str">
        <f>_xlfn.XLOOKUP($N163,'Base de Grupos'!$A:$A,'Base de Grupos'!$C:$C)</f>
        <v>MA</v>
      </c>
      <c r="N163" s="3">
        <v>1332</v>
      </c>
      <c r="O163" s="4" t="s">
        <v>232</v>
      </c>
      <c r="P163" s="5" t="s">
        <v>95</v>
      </c>
      <c r="Q163" s="56">
        <v>0</v>
      </c>
      <c r="R163" s="56">
        <v>0</v>
      </c>
      <c r="S163" s="56">
        <v>0</v>
      </c>
      <c r="T163" s="56">
        <f>_xlfn.XLOOKUP($N163,'Calculo Leads'!$A$97:$A$134,'Calculo Leads'!G$97:G$134)*_xlfn.XLOOKUP($P163,'Base Grupo de Produtos'!$E$2:$E$18,'Base Grupo de Produtos'!$F$2:$F$18)</f>
        <v>160</v>
      </c>
      <c r="U163" s="56">
        <f>_xlfn.XLOOKUP($N163,'Calculo Leads'!$A$97:$A$134,'Calculo Leads'!H$97:H$134)*_xlfn.XLOOKUP($P163,'Base Grupo de Produtos'!$E$2:$E$18,'Base Grupo de Produtos'!$F$2:$F$18)</f>
        <v>160</v>
      </c>
      <c r="V163" s="56">
        <f>_xlfn.XLOOKUP($N163,'Calculo Leads'!$A$97:$A$134,'Calculo Leads'!I$97:I$134)*_xlfn.XLOOKUP($P163,'Base Grupo de Produtos'!$E$2:$E$18,'Base Grupo de Produtos'!$F$2:$F$18)</f>
        <v>160</v>
      </c>
      <c r="W163" s="56">
        <f>_xlfn.XLOOKUP($N163,'Calculo Leads'!$A$97:$A$134,'Calculo Leads'!J$97:J$134)*_xlfn.XLOOKUP($P163,'Base Grupo de Produtos'!$E$2:$E$18,'Base Grupo de Produtos'!$F$2:$F$18)</f>
        <v>240</v>
      </c>
      <c r="X163" s="56">
        <f>_xlfn.XLOOKUP($N163,'Calculo Leads'!$A$97:$A$134,'Calculo Leads'!K$97:K$134)*_xlfn.XLOOKUP($P163,'Base Grupo de Produtos'!$E$2:$E$18,'Base Grupo de Produtos'!$F$2:$F$18)</f>
        <v>264</v>
      </c>
      <c r="Y163" s="56">
        <f>_xlfn.XLOOKUP($N163,'Calculo Leads'!$A$97:$A$134,'Calculo Leads'!L$97:L$134)*_xlfn.XLOOKUP($P163,'Base Grupo de Produtos'!$E$2:$E$18,'Base Grupo de Produtos'!$F$2:$F$18)</f>
        <v>352</v>
      </c>
      <c r="Z163" s="56">
        <f>_xlfn.XLOOKUP($N163,'Calculo Leads'!$A$97:$A$134,'Calculo Leads'!M$97:M$134)*_xlfn.XLOOKUP($P163,'Base Grupo de Produtos'!$E$2:$E$18,'Base Grupo de Produtos'!$F$2:$F$18)</f>
        <v>352</v>
      </c>
      <c r="AA163" s="56">
        <f>_xlfn.XLOOKUP($N163,'Calculo Leads'!$A$97:$A$134,'Calculo Leads'!N$97:N$134)*_xlfn.XLOOKUP($P163,'Base Grupo de Produtos'!$E$2:$E$18,'Base Grupo de Produtos'!$F$2:$F$18)</f>
        <v>440</v>
      </c>
      <c r="AB163" s="56">
        <f>_xlfn.XLOOKUP($N163,'Calculo Leads'!$A$97:$A$134,'Calculo Leads'!O$97:O$134)*_xlfn.XLOOKUP($P163,'Base Grupo de Produtos'!$E$2:$E$18,'Base Grupo de Produtos'!$F$2:$F$18)</f>
        <v>264</v>
      </c>
      <c r="AC163" s="61">
        <f t="shared" si="152"/>
        <v>2392</v>
      </c>
      <c r="AD163" s="27">
        <f t="shared" si="169"/>
        <v>2392</v>
      </c>
      <c r="AE163" s="25">
        <f>IFERROR(_xlfn.XLOOKUP(N163&amp;P163,'Historico Vendas'!G:G,'Historico Vendas'!E:E),0)</f>
        <v>0</v>
      </c>
      <c r="AF163" s="29" t="str">
        <f t="shared" si="130"/>
        <v/>
      </c>
      <c r="AG163" s="24">
        <f>IFERROR(_xlfn.XLOOKUP(N163&amp;P163,'Historico Vendas'!G:G,'Historico Vendas'!F:F),0)</f>
        <v>0</v>
      </c>
      <c r="AH163" s="25">
        <f t="shared" si="170"/>
        <v>0</v>
      </c>
      <c r="AI163" s="24">
        <f t="shared" si="171"/>
        <v>0</v>
      </c>
      <c r="AJ163" s="11" t="str">
        <f t="shared" si="133"/>
        <v/>
      </c>
      <c r="AK163" s="9" t="s">
        <v>102</v>
      </c>
      <c r="AL163" s="13">
        <f>IFERROR(INDEX('Balizador da Meta'!$D$3:$F$23,MATCH(Faturamento!$P163,'Balizador da Meta'!$C$3:$C$23,0),MATCH(Faturamento!AK163,'Balizador da Meta'!$D$2:$F$2,0)),"")</f>
        <v>0.25</v>
      </c>
      <c r="AM163" s="9"/>
    </row>
    <row r="164" spans="1:39" x14ac:dyDescent="0.3">
      <c r="A164" s="2" t="str">
        <f t="shared" si="131"/>
        <v>NÃO</v>
      </c>
      <c r="B164" s="2" t="str">
        <f>_xlfn.XLOOKUP($N164,'Base de Grupos'!$A:$A,'Base de Grupos'!$D:$D)</f>
        <v>1000065763</v>
      </c>
      <c r="C164" s="5" t="str">
        <f>_xlfn.XLOOKUP($N164,'Base de Grupos'!$A:$A,'Base de Grupos'!$E:$E)</f>
        <v>CANAL VENDA INTERNA</v>
      </c>
      <c r="D164" s="5" t="str">
        <f>_xlfn.XLOOKUP($N164,'Base de Grupos'!$A:$A,'Base de Grupos'!$F:$F)</f>
        <v>1000065763</v>
      </c>
      <c r="E164" s="2" t="str">
        <f>_xlfn.XLOOKUP($N164,'Base de Grupos'!$A:$A,'Base de Grupos'!$G:$G)</f>
        <v>CANAL VENDA INTERNA</v>
      </c>
      <c r="F164" s="2" t="str">
        <f>_xlfn.XLOOKUP($N164,'Base de Grupos'!$A:$A,'Base de Grupos'!$H:$H)</f>
        <v>1000105900</v>
      </c>
      <c r="G164" s="5" t="str">
        <f>_xlfn.XLOOKUP($N164,'Base de Grupos'!$A:$A,'Base de Grupos'!$I:$I)</f>
        <v>REGIONAL VENDA DIRETA CO + NE + NO</v>
      </c>
      <c r="H164" s="5" t="str">
        <f>_xlfn.XLOOKUP($N164,'Base de Grupos'!$A:$A,'Base de Grupos'!$J:$J)</f>
        <v>1000105900</v>
      </c>
      <c r="I164" s="2" t="str">
        <f>_xlfn.XLOOKUP($N164,'Base de Grupos'!$A:$A,'Base de Grupos'!$K:$K)</f>
        <v>REGIONAL VENDA DIRETA CO + NE + NO</v>
      </c>
      <c r="J164" s="2" t="str">
        <f>_xlfn.XLOOKUP($N164,'Base de Grupos'!$A:$A,'Base de Grupos'!$L:$L)</f>
        <v>1000150135</v>
      </c>
      <c r="K164" s="5" t="str">
        <f>_xlfn.XLOOKUP($N164,'Base de Grupos'!$A:$A,'Base de Grupos'!$M:$M)</f>
        <v>HELDER DA SILVA BRUNKOW</v>
      </c>
      <c r="L164" s="5" t="str">
        <f t="shared" si="132"/>
        <v/>
      </c>
      <c r="M164" s="5" t="str">
        <f>_xlfn.XLOOKUP($N164,'Base de Grupos'!$A:$A,'Base de Grupos'!$C:$C)</f>
        <v>MA</v>
      </c>
      <c r="N164" s="3">
        <v>1332</v>
      </c>
      <c r="O164" s="4" t="s">
        <v>232</v>
      </c>
      <c r="P164" s="5" t="s">
        <v>93</v>
      </c>
      <c r="Q164" s="56">
        <v>0</v>
      </c>
      <c r="R164" s="56">
        <v>0</v>
      </c>
      <c r="S164" s="56">
        <v>0</v>
      </c>
      <c r="T164" s="56">
        <f>_xlfn.XLOOKUP($N164,'Calculo Leads'!$A$97:$A$134,'Calculo Leads'!G$97:G$134)*_xlfn.XLOOKUP($P164,'Base Grupo de Produtos'!$E$2:$E$18,'Base Grupo de Produtos'!$F$2:$F$18)</f>
        <v>60</v>
      </c>
      <c r="U164" s="56">
        <f>_xlfn.XLOOKUP($N164,'Calculo Leads'!$A$97:$A$134,'Calculo Leads'!H$97:H$134)*_xlfn.XLOOKUP($P164,'Base Grupo de Produtos'!$E$2:$E$18,'Base Grupo de Produtos'!$F$2:$F$18)</f>
        <v>60</v>
      </c>
      <c r="V164" s="56">
        <f>_xlfn.XLOOKUP($N164,'Calculo Leads'!$A$97:$A$134,'Calculo Leads'!I$97:I$134)*_xlfn.XLOOKUP($P164,'Base Grupo de Produtos'!$E$2:$E$18,'Base Grupo de Produtos'!$F$2:$F$18)</f>
        <v>60</v>
      </c>
      <c r="W164" s="56">
        <f>_xlfn.XLOOKUP($N164,'Calculo Leads'!$A$97:$A$134,'Calculo Leads'!J$97:J$134)*_xlfn.XLOOKUP($P164,'Base Grupo de Produtos'!$E$2:$E$18,'Base Grupo de Produtos'!$F$2:$F$18)</f>
        <v>90</v>
      </c>
      <c r="X164" s="56">
        <f>_xlfn.XLOOKUP($N164,'Calculo Leads'!$A$97:$A$134,'Calculo Leads'!K$97:K$134)*_xlfn.XLOOKUP($P164,'Base Grupo de Produtos'!$E$2:$E$18,'Base Grupo de Produtos'!$F$2:$F$18)</f>
        <v>99</v>
      </c>
      <c r="Y164" s="56">
        <f>_xlfn.XLOOKUP($N164,'Calculo Leads'!$A$97:$A$134,'Calculo Leads'!L$97:L$134)*_xlfn.XLOOKUP($P164,'Base Grupo de Produtos'!$E$2:$E$18,'Base Grupo de Produtos'!$F$2:$F$18)</f>
        <v>132</v>
      </c>
      <c r="Z164" s="56">
        <f>_xlfn.XLOOKUP($N164,'Calculo Leads'!$A$97:$A$134,'Calculo Leads'!M$97:M$134)*_xlfn.XLOOKUP($P164,'Base Grupo de Produtos'!$E$2:$E$18,'Base Grupo de Produtos'!$F$2:$F$18)</f>
        <v>132</v>
      </c>
      <c r="AA164" s="56">
        <f>_xlfn.XLOOKUP($N164,'Calculo Leads'!$A$97:$A$134,'Calculo Leads'!N$97:N$134)*_xlfn.XLOOKUP($P164,'Base Grupo de Produtos'!$E$2:$E$18,'Base Grupo de Produtos'!$F$2:$F$18)</f>
        <v>165</v>
      </c>
      <c r="AB164" s="56">
        <f>_xlfn.XLOOKUP($N164,'Calculo Leads'!$A$97:$A$134,'Calculo Leads'!O$97:O$134)*_xlfn.XLOOKUP($P164,'Base Grupo de Produtos'!$E$2:$E$18,'Base Grupo de Produtos'!$F$2:$F$18)</f>
        <v>99</v>
      </c>
      <c r="AC164" s="61">
        <f t="shared" si="152"/>
        <v>897</v>
      </c>
      <c r="AD164" s="27">
        <f t="shared" si="169"/>
        <v>897</v>
      </c>
      <c r="AE164" s="25">
        <f>IFERROR(_xlfn.XLOOKUP(N164&amp;P164,'Historico Vendas'!G:G,'Historico Vendas'!E:E),0)</f>
        <v>0</v>
      </c>
      <c r="AF164" s="29" t="str">
        <f t="shared" si="130"/>
        <v/>
      </c>
      <c r="AG164" s="24">
        <f>IFERROR(_xlfn.XLOOKUP(N164&amp;P164,'Historico Vendas'!G:G,'Historico Vendas'!F:F),0)</f>
        <v>0</v>
      </c>
      <c r="AH164" s="25">
        <f t="shared" si="170"/>
        <v>0</v>
      </c>
      <c r="AI164" s="24">
        <f t="shared" si="171"/>
        <v>0</v>
      </c>
      <c r="AJ164" s="11" t="str">
        <f t="shared" si="133"/>
        <v/>
      </c>
      <c r="AK164" s="9" t="s">
        <v>102</v>
      </c>
      <c r="AL164" s="13">
        <f>IFERROR(INDEX('Balizador da Meta'!$D$3:$F$23,MATCH(Faturamento!$P164,'Balizador da Meta'!$C$3:$C$23,0),MATCH(Faturamento!AK164,'Balizador da Meta'!$D$2:$F$2,0)),"")</f>
        <v>0.2</v>
      </c>
      <c r="AM164" s="9"/>
    </row>
    <row r="165" spans="1:39" x14ac:dyDescent="0.3">
      <c r="A165" s="2" t="str">
        <f t="shared" si="131"/>
        <v>SIM</v>
      </c>
      <c r="B165" s="2" t="str">
        <f>_xlfn.XLOOKUP($N165,'Base de Grupos'!$A:$A,'Base de Grupos'!$D:$D)</f>
        <v>1000065763</v>
      </c>
      <c r="C165" s="5" t="str">
        <f>_xlfn.XLOOKUP($N165,'Base de Grupos'!$A:$A,'Base de Grupos'!$E:$E)</f>
        <v>CANAL VENDA INTERNA</v>
      </c>
      <c r="D165" s="5" t="str">
        <f>_xlfn.XLOOKUP($N165,'Base de Grupos'!$A:$A,'Base de Grupos'!$F:$F)</f>
        <v>1000065763</v>
      </c>
      <c r="E165" s="2" t="str">
        <f>_xlfn.XLOOKUP($N165,'Base de Grupos'!$A:$A,'Base de Grupos'!$G:$G)</f>
        <v>CANAL VENDA INTERNA</v>
      </c>
      <c r="F165" s="2" t="str">
        <f>_xlfn.XLOOKUP($N165,'Base de Grupos'!$A:$A,'Base de Grupos'!$H:$H)</f>
        <v>1000153245</v>
      </c>
      <c r="G165" s="5" t="str">
        <f>_xlfn.XLOOKUP($N165,'Base de Grupos'!$A:$A,'Base de Grupos'!$I:$I)</f>
        <v>REGIONAL VENDA INTERNA - KEY ACCOUNT</v>
      </c>
      <c r="H165" s="5" t="str">
        <f>_xlfn.XLOOKUP($N165,'Base de Grupos'!$A:$A,'Base de Grupos'!$J:$J)</f>
        <v>1000153245</v>
      </c>
      <c r="I165" s="2" t="str">
        <f>_xlfn.XLOOKUP($N165,'Base de Grupos'!$A:$A,'Base de Grupos'!$K:$K)</f>
        <v>REGIONAL VENDA INTERNA - KEY ACCOUNT</v>
      </c>
      <c r="J165" s="2" t="str">
        <f>_xlfn.XLOOKUP($N165,'Base de Grupos'!$A:$A,'Base de Grupos'!$L:$L)</f>
        <v>1000153245</v>
      </c>
      <c r="K165" s="5" t="str">
        <f>_xlfn.XLOOKUP($N165,'Base de Grupos'!$A:$A,'Base de Grupos'!$M:$M)</f>
        <v>REGIONAL VENDA INTERNA - KEY ACCOUNT</v>
      </c>
      <c r="L165" s="5">
        <f t="shared" si="132"/>
        <v>1</v>
      </c>
      <c r="M165" s="5" t="str">
        <f>_xlfn.XLOOKUP($N165,'Base de Grupos'!$A:$A,'Base de Grupos'!$C:$C)</f>
        <v>TO</v>
      </c>
      <c r="N165" s="3">
        <v>1346</v>
      </c>
      <c r="O165" s="4" t="s">
        <v>233</v>
      </c>
      <c r="P165" s="5" t="s">
        <v>303</v>
      </c>
      <c r="Q165" s="56">
        <f t="shared" ref="Q165" si="172">SUM(Q166:Q182)</f>
        <v>0</v>
      </c>
      <c r="R165" s="56">
        <f t="shared" ref="R165" si="173">SUM(R166:R182)</f>
        <v>0</v>
      </c>
      <c r="S165" s="56">
        <f t="shared" ref="S165" si="174">SUM(S166:S182)</f>
        <v>0</v>
      </c>
      <c r="T165" s="56">
        <f t="shared" ref="T165" si="175">SUM(T166:T182)</f>
        <v>1000</v>
      </c>
      <c r="U165" s="56">
        <f t="shared" ref="U165" si="176">SUM(U166:U182)</f>
        <v>2000</v>
      </c>
      <c r="V165" s="56">
        <f t="shared" ref="V165" si="177">SUM(V166:V182)</f>
        <v>2000</v>
      </c>
      <c r="W165" s="56">
        <f t="shared" ref="W165" si="178">SUM(W166:W182)</f>
        <v>2000</v>
      </c>
      <c r="X165" s="56">
        <f t="shared" ref="X165" si="179">SUM(X166:X182)</f>
        <v>2200</v>
      </c>
      <c r="Y165" s="56">
        <f t="shared" ref="Y165" si="180">SUM(Y166:Y182)</f>
        <v>3300</v>
      </c>
      <c r="Z165" s="56">
        <f t="shared" ref="Z165" si="181">SUM(Z166:Z182)</f>
        <v>3300</v>
      </c>
      <c r="AA165" s="56">
        <f t="shared" ref="AA165" si="182">SUM(AA166:AA182)</f>
        <v>4400</v>
      </c>
      <c r="AB165" s="56">
        <f t="shared" ref="AB165" si="183">SUM(AB166:AB182)</f>
        <v>3300</v>
      </c>
      <c r="AC165" s="56">
        <f t="shared" ref="AC165" si="184">SUM(AC166:AC182)</f>
        <v>23500</v>
      </c>
      <c r="AD165" s="25">
        <f t="shared" ref="AD165" si="185">SUM(AD166:AD182)</f>
        <v>23500</v>
      </c>
      <c r="AE165" s="25">
        <f t="shared" ref="AE165:AI165" si="186">SUM(AE166:AE182)</f>
        <v>0</v>
      </c>
      <c r="AF165" s="11" t="str">
        <f t="shared" si="130"/>
        <v/>
      </c>
      <c r="AG165" s="24">
        <f t="shared" si="186"/>
        <v>0</v>
      </c>
      <c r="AH165" s="25">
        <f t="shared" si="186"/>
        <v>0</v>
      </c>
      <c r="AI165" s="24">
        <f t="shared" si="186"/>
        <v>0</v>
      </c>
      <c r="AJ165" s="11" t="str">
        <f t="shared" si="133"/>
        <v/>
      </c>
      <c r="AK165" s="9"/>
      <c r="AL165" s="13"/>
      <c r="AM165" s="9"/>
    </row>
    <row r="166" spans="1:39" x14ac:dyDescent="0.3">
      <c r="A166" s="2" t="str">
        <f t="shared" si="131"/>
        <v>NÃO</v>
      </c>
      <c r="B166" s="2" t="str">
        <f>_xlfn.XLOOKUP($N166,'Base de Grupos'!$A:$A,'Base de Grupos'!$D:$D)</f>
        <v>1000065763</v>
      </c>
      <c r="C166" s="5" t="str">
        <f>_xlfn.XLOOKUP($N166,'Base de Grupos'!$A:$A,'Base de Grupos'!$E:$E)</f>
        <v>CANAL VENDA INTERNA</v>
      </c>
      <c r="D166" s="5" t="str">
        <f>_xlfn.XLOOKUP($N166,'Base de Grupos'!$A:$A,'Base de Grupos'!$F:$F)</f>
        <v>1000065763</v>
      </c>
      <c r="E166" s="2" t="str">
        <f>_xlfn.XLOOKUP($N166,'Base de Grupos'!$A:$A,'Base de Grupos'!$G:$G)</f>
        <v>CANAL VENDA INTERNA</v>
      </c>
      <c r="F166" s="2" t="str">
        <f>_xlfn.XLOOKUP($N166,'Base de Grupos'!$A:$A,'Base de Grupos'!$H:$H)</f>
        <v>1000153245</v>
      </c>
      <c r="G166" s="5" t="str">
        <f>_xlfn.XLOOKUP($N166,'Base de Grupos'!$A:$A,'Base de Grupos'!$I:$I)</f>
        <v>REGIONAL VENDA INTERNA - KEY ACCOUNT</v>
      </c>
      <c r="H166" s="5" t="str">
        <f>_xlfn.XLOOKUP($N166,'Base de Grupos'!$A:$A,'Base de Grupos'!$J:$J)</f>
        <v>1000153245</v>
      </c>
      <c r="I166" s="2" t="str">
        <f>_xlfn.XLOOKUP($N166,'Base de Grupos'!$A:$A,'Base de Grupos'!$K:$K)</f>
        <v>REGIONAL VENDA INTERNA - KEY ACCOUNT</v>
      </c>
      <c r="J166" s="2" t="str">
        <f>_xlfn.XLOOKUP($N166,'Base de Grupos'!$A:$A,'Base de Grupos'!$L:$L)</f>
        <v>1000153245</v>
      </c>
      <c r="K166" s="5" t="str">
        <f>_xlfn.XLOOKUP($N166,'Base de Grupos'!$A:$A,'Base de Grupos'!$M:$M)</f>
        <v>REGIONAL VENDA INTERNA - KEY ACCOUNT</v>
      </c>
      <c r="L166" s="5" t="str">
        <f t="shared" si="132"/>
        <v/>
      </c>
      <c r="M166" s="5" t="str">
        <f>_xlfn.XLOOKUP($N166,'Base de Grupos'!$A:$A,'Base de Grupos'!$C:$C)</f>
        <v>TO</v>
      </c>
      <c r="N166" s="3">
        <v>1346</v>
      </c>
      <c r="O166" s="4" t="s">
        <v>233</v>
      </c>
      <c r="P166" s="5" t="s">
        <v>81</v>
      </c>
      <c r="Q166" s="56">
        <v>0</v>
      </c>
      <c r="R166" s="56">
        <v>0</v>
      </c>
      <c r="S166" s="56">
        <v>0</v>
      </c>
      <c r="T166" s="56">
        <f>_xlfn.XLOOKUP($N166,'Calculo Leads'!$A$97:$A$134,'Calculo Leads'!G$97:G$134)*_xlfn.XLOOKUP($P166,'Base Grupo de Produtos'!$E$2:$E$18,'Base Grupo de Produtos'!$F$2:$F$18)</f>
        <v>50</v>
      </c>
      <c r="U166" s="56">
        <f>_xlfn.XLOOKUP($N166,'Calculo Leads'!$A$97:$A$134,'Calculo Leads'!H$97:H$134)*_xlfn.XLOOKUP($P166,'Base Grupo de Produtos'!$E$2:$E$18,'Base Grupo de Produtos'!$F$2:$F$18)</f>
        <v>100</v>
      </c>
      <c r="V166" s="56">
        <f>_xlfn.XLOOKUP($N166,'Calculo Leads'!$A$97:$A$134,'Calculo Leads'!I$97:I$134)*_xlfn.XLOOKUP($P166,'Base Grupo de Produtos'!$E$2:$E$18,'Base Grupo de Produtos'!$F$2:$F$18)</f>
        <v>100</v>
      </c>
      <c r="W166" s="56">
        <f>_xlfn.XLOOKUP($N166,'Calculo Leads'!$A$97:$A$134,'Calculo Leads'!J$97:J$134)*_xlfn.XLOOKUP($P166,'Base Grupo de Produtos'!$E$2:$E$18,'Base Grupo de Produtos'!$F$2:$F$18)</f>
        <v>100</v>
      </c>
      <c r="X166" s="56">
        <f>_xlfn.XLOOKUP($N166,'Calculo Leads'!$A$97:$A$134,'Calculo Leads'!K$97:K$134)*_xlfn.XLOOKUP($P166,'Base Grupo de Produtos'!$E$2:$E$18,'Base Grupo de Produtos'!$F$2:$F$18)</f>
        <v>110</v>
      </c>
      <c r="Y166" s="56">
        <f>_xlfn.XLOOKUP($N166,'Calculo Leads'!$A$97:$A$134,'Calculo Leads'!L$97:L$134)*_xlfn.XLOOKUP($P166,'Base Grupo de Produtos'!$E$2:$E$18,'Base Grupo de Produtos'!$F$2:$F$18)</f>
        <v>165</v>
      </c>
      <c r="Z166" s="56">
        <f>_xlfn.XLOOKUP($N166,'Calculo Leads'!$A$97:$A$134,'Calculo Leads'!M$97:M$134)*_xlfn.XLOOKUP($P166,'Base Grupo de Produtos'!$E$2:$E$18,'Base Grupo de Produtos'!$F$2:$F$18)</f>
        <v>165</v>
      </c>
      <c r="AA166" s="56">
        <f>_xlfn.XLOOKUP($N166,'Calculo Leads'!$A$97:$A$134,'Calculo Leads'!N$97:N$134)*_xlfn.XLOOKUP($P166,'Base Grupo de Produtos'!$E$2:$E$18,'Base Grupo de Produtos'!$F$2:$F$18)</f>
        <v>220</v>
      </c>
      <c r="AB166" s="56">
        <f>_xlfn.XLOOKUP($N166,'Calculo Leads'!$A$97:$A$134,'Calculo Leads'!O$97:O$134)*_xlfn.XLOOKUP($P166,'Base Grupo de Produtos'!$E$2:$E$18,'Base Grupo de Produtos'!$F$2:$F$18)</f>
        <v>165</v>
      </c>
      <c r="AC166" s="61">
        <f t="shared" si="152"/>
        <v>1175</v>
      </c>
      <c r="AD166" s="27">
        <f t="shared" ref="AD166:AD182" si="187">IF(AC166=0,0,AC166-AG166)</f>
        <v>1175</v>
      </c>
      <c r="AE166" s="25">
        <f>IFERROR(_xlfn.XLOOKUP(N166&amp;P166,'Historico Vendas'!G:G,'Historico Vendas'!E:E),0)</f>
        <v>0</v>
      </c>
      <c r="AF166" s="29" t="str">
        <f t="shared" si="130"/>
        <v/>
      </c>
      <c r="AG166" s="24">
        <f>IFERROR(_xlfn.XLOOKUP(N166&amp;P166,'Historico Vendas'!G:G,'Historico Vendas'!F:F),0)</f>
        <v>0</v>
      </c>
      <c r="AH166" s="25">
        <f t="shared" ref="AH166:AH182" si="188">SUM(Q166:S166)</f>
        <v>0</v>
      </c>
      <c r="AI166" s="24">
        <f t="shared" ref="AI166:AI182" si="189">AH166-AG166</f>
        <v>0</v>
      </c>
      <c r="AJ166" s="11" t="str">
        <f t="shared" si="133"/>
        <v/>
      </c>
      <c r="AK166" s="9" t="s">
        <v>102</v>
      </c>
      <c r="AL166" s="13">
        <f>IFERROR(INDEX('Balizador da Meta'!$D$3:$F$23,MATCH(Faturamento!$P166,'Balizador da Meta'!$C$3:$C$23,0),MATCH(Faturamento!AK166,'Balizador da Meta'!$D$2:$F$2,0)),"")</f>
        <v>0.2</v>
      </c>
      <c r="AM166" s="9"/>
    </row>
    <row r="167" spans="1:39" x14ac:dyDescent="0.3">
      <c r="A167" s="2" t="str">
        <f t="shared" si="131"/>
        <v>NÃO</v>
      </c>
      <c r="B167" s="2" t="str">
        <f>_xlfn.XLOOKUP($N167,'Base de Grupos'!$A:$A,'Base de Grupos'!$D:$D)</f>
        <v>1000065763</v>
      </c>
      <c r="C167" s="5" t="str">
        <f>_xlfn.XLOOKUP($N167,'Base de Grupos'!$A:$A,'Base de Grupos'!$E:$E)</f>
        <v>CANAL VENDA INTERNA</v>
      </c>
      <c r="D167" s="5" t="str">
        <f>_xlfn.XLOOKUP($N167,'Base de Grupos'!$A:$A,'Base de Grupos'!$F:$F)</f>
        <v>1000065763</v>
      </c>
      <c r="E167" s="2" t="str">
        <f>_xlfn.XLOOKUP($N167,'Base de Grupos'!$A:$A,'Base de Grupos'!$G:$G)</f>
        <v>CANAL VENDA INTERNA</v>
      </c>
      <c r="F167" s="2" t="str">
        <f>_xlfn.XLOOKUP($N167,'Base de Grupos'!$A:$A,'Base de Grupos'!$H:$H)</f>
        <v>1000153245</v>
      </c>
      <c r="G167" s="5" t="str">
        <f>_xlfn.XLOOKUP($N167,'Base de Grupos'!$A:$A,'Base de Grupos'!$I:$I)</f>
        <v>REGIONAL VENDA INTERNA - KEY ACCOUNT</v>
      </c>
      <c r="H167" s="5" t="str">
        <f>_xlfn.XLOOKUP($N167,'Base de Grupos'!$A:$A,'Base de Grupos'!$J:$J)</f>
        <v>1000153245</v>
      </c>
      <c r="I167" s="2" t="str">
        <f>_xlfn.XLOOKUP($N167,'Base de Grupos'!$A:$A,'Base de Grupos'!$K:$K)</f>
        <v>REGIONAL VENDA INTERNA - KEY ACCOUNT</v>
      </c>
      <c r="J167" s="2" t="str">
        <f>_xlfn.XLOOKUP($N167,'Base de Grupos'!$A:$A,'Base de Grupos'!$L:$L)</f>
        <v>1000153245</v>
      </c>
      <c r="K167" s="5" t="str">
        <f>_xlfn.XLOOKUP($N167,'Base de Grupos'!$A:$A,'Base de Grupos'!$M:$M)</f>
        <v>REGIONAL VENDA INTERNA - KEY ACCOUNT</v>
      </c>
      <c r="L167" s="5" t="str">
        <f t="shared" si="132"/>
        <v/>
      </c>
      <c r="M167" s="5" t="str">
        <f>_xlfn.XLOOKUP($N167,'Base de Grupos'!$A:$A,'Base de Grupos'!$C:$C)</f>
        <v>TO</v>
      </c>
      <c r="N167" s="3">
        <v>1346</v>
      </c>
      <c r="O167" s="4" t="s">
        <v>233</v>
      </c>
      <c r="P167" s="5" t="s">
        <v>82</v>
      </c>
      <c r="Q167" s="56">
        <v>0</v>
      </c>
      <c r="R167" s="56">
        <v>0</v>
      </c>
      <c r="S167" s="56">
        <v>0</v>
      </c>
      <c r="T167" s="56">
        <f>_xlfn.XLOOKUP($N167,'Calculo Leads'!$A$97:$A$134,'Calculo Leads'!G$97:G$134)*_xlfn.XLOOKUP($P167,'Base Grupo de Produtos'!$E$2:$E$18,'Base Grupo de Produtos'!$F$2:$F$18)</f>
        <v>50</v>
      </c>
      <c r="U167" s="56">
        <f>_xlfn.XLOOKUP($N167,'Calculo Leads'!$A$97:$A$134,'Calculo Leads'!H$97:H$134)*_xlfn.XLOOKUP($P167,'Base Grupo de Produtos'!$E$2:$E$18,'Base Grupo de Produtos'!$F$2:$F$18)</f>
        <v>100</v>
      </c>
      <c r="V167" s="56">
        <f>_xlfn.XLOOKUP($N167,'Calculo Leads'!$A$97:$A$134,'Calculo Leads'!I$97:I$134)*_xlfn.XLOOKUP($P167,'Base Grupo de Produtos'!$E$2:$E$18,'Base Grupo de Produtos'!$F$2:$F$18)</f>
        <v>100</v>
      </c>
      <c r="W167" s="56">
        <f>_xlfn.XLOOKUP($N167,'Calculo Leads'!$A$97:$A$134,'Calculo Leads'!J$97:J$134)*_xlfn.XLOOKUP($P167,'Base Grupo de Produtos'!$E$2:$E$18,'Base Grupo de Produtos'!$F$2:$F$18)</f>
        <v>100</v>
      </c>
      <c r="X167" s="56">
        <f>_xlfn.XLOOKUP($N167,'Calculo Leads'!$A$97:$A$134,'Calculo Leads'!K$97:K$134)*_xlfn.XLOOKUP($P167,'Base Grupo de Produtos'!$E$2:$E$18,'Base Grupo de Produtos'!$F$2:$F$18)</f>
        <v>110</v>
      </c>
      <c r="Y167" s="56">
        <f>_xlfn.XLOOKUP($N167,'Calculo Leads'!$A$97:$A$134,'Calculo Leads'!L$97:L$134)*_xlfn.XLOOKUP($P167,'Base Grupo de Produtos'!$E$2:$E$18,'Base Grupo de Produtos'!$F$2:$F$18)</f>
        <v>165</v>
      </c>
      <c r="Z167" s="56">
        <f>_xlfn.XLOOKUP($N167,'Calculo Leads'!$A$97:$A$134,'Calculo Leads'!M$97:M$134)*_xlfn.XLOOKUP($P167,'Base Grupo de Produtos'!$E$2:$E$18,'Base Grupo de Produtos'!$F$2:$F$18)</f>
        <v>165</v>
      </c>
      <c r="AA167" s="56">
        <f>_xlfn.XLOOKUP($N167,'Calculo Leads'!$A$97:$A$134,'Calculo Leads'!N$97:N$134)*_xlfn.XLOOKUP($P167,'Base Grupo de Produtos'!$E$2:$E$18,'Base Grupo de Produtos'!$F$2:$F$18)</f>
        <v>220</v>
      </c>
      <c r="AB167" s="56">
        <f>_xlfn.XLOOKUP($N167,'Calculo Leads'!$A$97:$A$134,'Calculo Leads'!O$97:O$134)*_xlfn.XLOOKUP($P167,'Base Grupo de Produtos'!$E$2:$E$18,'Base Grupo de Produtos'!$F$2:$F$18)</f>
        <v>165</v>
      </c>
      <c r="AC167" s="61">
        <f t="shared" si="152"/>
        <v>1175</v>
      </c>
      <c r="AD167" s="27">
        <f t="shared" si="187"/>
        <v>1175</v>
      </c>
      <c r="AE167" s="25">
        <f>IFERROR(_xlfn.XLOOKUP(N167&amp;P167,'Historico Vendas'!G:G,'Historico Vendas'!E:E),0)</f>
        <v>0</v>
      </c>
      <c r="AF167" s="29" t="str">
        <f t="shared" si="130"/>
        <v/>
      </c>
      <c r="AG167" s="24">
        <f>IFERROR(_xlfn.XLOOKUP(N167&amp;P167,'Historico Vendas'!G:G,'Historico Vendas'!F:F),0)</f>
        <v>0</v>
      </c>
      <c r="AH167" s="25">
        <f t="shared" si="188"/>
        <v>0</v>
      </c>
      <c r="AI167" s="24">
        <f t="shared" si="189"/>
        <v>0</v>
      </c>
      <c r="AJ167" s="11" t="str">
        <f t="shared" si="133"/>
        <v/>
      </c>
      <c r="AK167" s="9" t="s">
        <v>102</v>
      </c>
      <c r="AL167" s="13">
        <f>IFERROR(INDEX('Balizador da Meta'!$D$3:$F$23,MATCH(Faturamento!$P167,'Balizador da Meta'!$C$3:$C$23,0),MATCH(Faturamento!AK167,'Balizador da Meta'!$D$2:$F$2,0)),"")</f>
        <v>0.2</v>
      </c>
      <c r="AM167" s="9"/>
    </row>
    <row r="168" spans="1:39" x14ac:dyDescent="0.3">
      <c r="A168" s="2" t="str">
        <f t="shared" si="131"/>
        <v>NÃO</v>
      </c>
      <c r="B168" s="2" t="str">
        <f>_xlfn.XLOOKUP($N168,'Base de Grupos'!$A:$A,'Base de Grupos'!$D:$D)</f>
        <v>1000065763</v>
      </c>
      <c r="C168" s="5" t="str">
        <f>_xlfn.XLOOKUP($N168,'Base de Grupos'!$A:$A,'Base de Grupos'!$E:$E)</f>
        <v>CANAL VENDA INTERNA</v>
      </c>
      <c r="D168" s="5" t="str">
        <f>_xlfn.XLOOKUP($N168,'Base de Grupos'!$A:$A,'Base de Grupos'!$F:$F)</f>
        <v>1000065763</v>
      </c>
      <c r="E168" s="2" t="str">
        <f>_xlfn.XLOOKUP($N168,'Base de Grupos'!$A:$A,'Base de Grupos'!$G:$G)</f>
        <v>CANAL VENDA INTERNA</v>
      </c>
      <c r="F168" s="2" t="str">
        <f>_xlfn.XLOOKUP($N168,'Base de Grupos'!$A:$A,'Base de Grupos'!$H:$H)</f>
        <v>1000153245</v>
      </c>
      <c r="G168" s="5" t="str">
        <f>_xlfn.XLOOKUP($N168,'Base de Grupos'!$A:$A,'Base de Grupos'!$I:$I)</f>
        <v>REGIONAL VENDA INTERNA - KEY ACCOUNT</v>
      </c>
      <c r="H168" s="5" t="str">
        <f>_xlfn.XLOOKUP($N168,'Base de Grupos'!$A:$A,'Base de Grupos'!$J:$J)</f>
        <v>1000153245</v>
      </c>
      <c r="I168" s="2" t="str">
        <f>_xlfn.XLOOKUP($N168,'Base de Grupos'!$A:$A,'Base de Grupos'!$K:$K)</f>
        <v>REGIONAL VENDA INTERNA - KEY ACCOUNT</v>
      </c>
      <c r="J168" s="2" t="str">
        <f>_xlfn.XLOOKUP($N168,'Base de Grupos'!$A:$A,'Base de Grupos'!$L:$L)</f>
        <v>1000153245</v>
      </c>
      <c r="K168" s="5" t="str">
        <f>_xlfn.XLOOKUP($N168,'Base de Grupos'!$A:$A,'Base de Grupos'!$M:$M)</f>
        <v>REGIONAL VENDA INTERNA - KEY ACCOUNT</v>
      </c>
      <c r="L168" s="5" t="str">
        <f t="shared" si="132"/>
        <v/>
      </c>
      <c r="M168" s="5" t="str">
        <f>_xlfn.XLOOKUP($N168,'Base de Grupos'!$A:$A,'Base de Grupos'!$C:$C)</f>
        <v>TO</v>
      </c>
      <c r="N168" s="3">
        <v>1346</v>
      </c>
      <c r="O168" s="4" t="s">
        <v>233</v>
      </c>
      <c r="P168" s="5" t="s">
        <v>84</v>
      </c>
      <c r="Q168" s="56">
        <v>0</v>
      </c>
      <c r="R168" s="56">
        <v>0</v>
      </c>
      <c r="S168" s="56">
        <v>0</v>
      </c>
      <c r="T168" s="56">
        <f>_xlfn.XLOOKUP($N168,'Calculo Leads'!$A$97:$A$134,'Calculo Leads'!G$97:G$134)*_xlfn.XLOOKUP($P168,'Base Grupo de Produtos'!$E$2:$E$18,'Base Grupo de Produtos'!$F$2:$F$18)</f>
        <v>80</v>
      </c>
      <c r="U168" s="56">
        <f>_xlfn.XLOOKUP($N168,'Calculo Leads'!$A$97:$A$134,'Calculo Leads'!H$97:H$134)*_xlfn.XLOOKUP($P168,'Base Grupo de Produtos'!$E$2:$E$18,'Base Grupo de Produtos'!$F$2:$F$18)</f>
        <v>160</v>
      </c>
      <c r="V168" s="56">
        <f>_xlfn.XLOOKUP($N168,'Calculo Leads'!$A$97:$A$134,'Calculo Leads'!I$97:I$134)*_xlfn.XLOOKUP($P168,'Base Grupo de Produtos'!$E$2:$E$18,'Base Grupo de Produtos'!$F$2:$F$18)</f>
        <v>160</v>
      </c>
      <c r="W168" s="56">
        <f>_xlfn.XLOOKUP($N168,'Calculo Leads'!$A$97:$A$134,'Calculo Leads'!J$97:J$134)*_xlfn.XLOOKUP($P168,'Base Grupo de Produtos'!$E$2:$E$18,'Base Grupo de Produtos'!$F$2:$F$18)</f>
        <v>160</v>
      </c>
      <c r="X168" s="56">
        <f>_xlfn.XLOOKUP($N168,'Calculo Leads'!$A$97:$A$134,'Calculo Leads'!K$97:K$134)*_xlfn.XLOOKUP($P168,'Base Grupo de Produtos'!$E$2:$E$18,'Base Grupo de Produtos'!$F$2:$F$18)</f>
        <v>176</v>
      </c>
      <c r="Y168" s="56">
        <f>_xlfn.XLOOKUP($N168,'Calculo Leads'!$A$97:$A$134,'Calculo Leads'!L$97:L$134)*_xlfn.XLOOKUP($P168,'Base Grupo de Produtos'!$E$2:$E$18,'Base Grupo de Produtos'!$F$2:$F$18)</f>
        <v>264</v>
      </c>
      <c r="Z168" s="56">
        <f>_xlfn.XLOOKUP($N168,'Calculo Leads'!$A$97:$A$134,'Calculo Leads'!M$97:M$134)*_xlfn.XLOOKUP($P168,'Base Grupo de Produtos'!$E$2:$E$18,'Base Grupo de Produtos'!$F$2:$F$18)</f>
        <v>264</v>
      </c>
      <c r="AA168" s="56">
        <f>_xlfn.XLOOKUP($N168,'Calculo Leads'!$A$97:$A$134,'Calculo Leads'!N$97:N$134)*_xlfn.XLOOKUP($P168,'Base Grupo de Produtos'!$E$2:$E$18,'Base Grupo de Produtos'!$F$2:$F$18)</f>
        <v>352</v>
      </c>
      <c r="AB168" s="56">
        <f>_xlfn.XLOOKUP($N168,'Calculo Leads'!$A$97:$A$134,'Calculo Leads'!O$97:O$134)*_xlfn.XLOOKUP($P168,'Base Grupo de Produtos'!$E$2:$E$18,'Base Grupo de Produtos'!$F$2:$F$18)</f>
        <v>264</v>
      </c>
      <c r="AC168" s="61">
        <f t="shared" si="152"/>
        <v>1880</v>
      </c>
      <c r="AD168" s="27">
        <f t="shared" si="187"/>
        <v>1880</v>
      </c>
      <c r="AE168" s="25">
        <f>IFERROR(_xlfn.XLOOKUP(N168&amp;P168,'Historico Vendas'!G:G,'Historico Vendas'!E:E),0)</f>
        <v>0</v>
      </c>
      <c r="AF168" s="29" t="str">
        <f t="shared" si="130"/>
        <v/>
      </c>
      <c r="AG168" s="24">
        <f>IFERROR(_xlfn.XLOOKUP(N168&amp;P168,'Historico Vendas'!G:G,'Historico Vendas'!F:F),0)</f>
        <v>0</v>
      </c>
      <c r="AH168" s="25">
        <f t="shared" si="188"/>
        <v>0</v>
      </c>
      <c r="AI168" s="24">
        <f t="shared" si="189"/>
        <v>0</v>
      </c>
      <c r="AJ168" s="11" t="str">
        <f t="shared" si="133"/>
        <v/>
      </c>
      <c r="AK168" s="9" t="s">
        <v>102</v>
      </c>
      <c r="AL168" s="13">
        <f>IFERROR(INDEX('Balizador da Meta'!$D$3:$F$23,MATCH(Faturamento!$P168,'Balizador da Meta'!$C$3:$C$23,0),MATCH(Faturamento!AK168,'Balizador da Meta'!$D$2:$F$2,0)),"")</f>
        <v>0.15</v>
      </c>
      <c r="AM168" s="9"/>
    </row>
    <row r="169" spans="1:39" x14ac:dyDescent="0.3">
      <c r="A169" s="2" t="str">
        <f t="shared" si="131"/>
        <v>NÃO</v>
      </c>
      <c r="B169" s="2" t="str">
        <f>_xlfn.XLOOKUP($N169,'Base de Grupos'!$A:$A,'Base de Grupos'!$D:$D)</f>
        <v>1000065763</v>
      </c>
      <c r="C169" s="5" t="str">
        <f>_xlfn.XLOOKUP($N169,'Base de Grupos'!$A:$A,'Base de Grupos'!$E:$E)</f>
        <v>CANAL VENDA INTERNA</v>
      </c>
      <c r="D169" s="5" t="str">
        <f>_xlfn.XLOOKUP($N169,'Base de Grupos'!$A:$A,'Base de Grupos'!$F:$F)</f>
        <v>1000065763</v>
      </c>
      <c r="E169" s="2" t="str">
        <f>_xlfn.XLOOKUP($N169,'Base de Grupos'!$A:$A,'Base de Grupos'!$G:$G)</f>
        <v>CANAL VENDA INTERNA</v>
      </c>
      <c r="F169" s="2" t="str">
        <f>_xlfn.XLOOKUP($N169,'Base de Grupos'!$A:$A,'Base de Grupos'!$H:$H)</f>
        <v>1000153245</v>
      </c>
      <c r="G169" s="5" t="str">
        <f>_xlfn.XLOOKUP($N169,'Base de Grupos'!$A:$A,'Base de Grupos'!$I:$I)</f>
        <v>REGIONAL VENDA INTERNA - KEY ACCOUNT</v>
      </c>
      <c r="H169" s="5" t="str">
        <f>_xlfn.XLOOKUP($N169,'Base de Grupos'!$A:$A,'Base de Grupos'!$J:$J)</f>
        <v>1000153245</v>
      </c>
      <c r="I169" s="2" t="str">
        <f>_xlfn.XLOOKUP($N169,'Base de Grupos'!$A:$A,'Base de Grupos'!$K:$K)</f>
        <v>REGIONAL VENDA INTERNA - KEY ACCOUNT</v>
      </c>
      <c r="J169" s="2" t="str">
        <f>_xlfn.XLOOKUP($N169,'Base de Grupos'!$A:$A,'Base de Grupos'!$L:$L)</f>
        <v>1000153245</v>
      </c>
      <c r="K169" s="5" t="str">
        <f>_xlfn.XLOOKUP($N169,'Base de Grupos'!$A:$A,'Base de Grupos'!$M:$M)</f>
        <v>REGIONAL VENDA INTERNA - KEY ACCOUNT</v>
      </c>
      <c r="L169" s="5" t="str">
        <f t="shared" si="132"/>
        <v/>
      </c>
      <c r="M169" s="5" t="str">
        <f>_xlfn.XLOOKUP($N169,'Base de Grupos'!$A:$A,'Base de Grupos'!$C:$C)</f>
        <v>TO</v>
      </c>
      <c r="N169" s="3">
        <v>1346</v>
      </c>
      <c r="O169" s="4" t="s">
        <v>233</v>
      </c>
      <c r="P169" s="5" t="s">
        <v>83</v>
      </c>
      <c r="Q169" s="56">
        <v>0</v>
      </c>
      <c r="R169" s="56">
        <v>0</v>
      </c>
      <c r="S169" s="56">
        <v>0</v>
      </c>
      <c r="T169" s="56">
        <f>_xlfn.XLOOKUP($N169,'Calculo Leads'!$A$97:$A$134,'Calculo Leads'!G$97:G$134)*_xlfn.XLOOKUP($P169,'Base Grupo de Produtos'!$E$2:$E$18,'Base Grupo de Produtos'!$F$2:$F$18)</f>
        <v>100</v>
      </c>
      <c r="U169" s="56">
        <f>_xlfn.XLOOKUP($N169,'Calculo Leads'!$A$97:$A$134,'Calculo Leads'!H$97:H$134)*_xlfn.XLOOKUP($P169,'Base Grupo de Produtos'!$E$2:$E$18,'Base Grupo de Produtos'!$F$2:$F$18)</f>
        <v>200</v>
      </c>
      <c r="V169" s="56">
        <f>_xlfn.XLOOKUP($N169,'Calculo Leads'!$A$97:$A$134,'Calculo Leads'!I$97:I$134)*_xlfn.XLOOKUP($P169,'Base Grupo de Produtos'!$E$2:$E$18,'Base Grupo de Produtos'!$F$2:$F$18)</f>
        <v>200</v>
      </c>
      <c r="W169" s="56">
        <f>_xlfn.XLOOKUP($N169,'Calculo Leads'!$A$97:$A$134,'Calculo Leads'!J$97:J$134)*_xlfn.XLOOKUP($P169,'Base Grupo de Produtos'!$E$2:$E$18,'Base Grupo de Produtos'!$F$2:$F$18)</f>
        <v>200</v>
      </c>
      <c r="X169" s="56">
        <f>_xlfn.XLOOKUP($N169,'Calculo Leads'!$A$97:$A$134,'Calculo Leads'!K$97:K$134)*_xlfn.XLOOKUP($P169,'Base Grupo de Produtos'!$E$2:$E$18,'Base Grupo de Produtos'!$F$2:$F$18)</f>
        <v>220</v>
      </c>
      <c r="Y169" s="56">
        <f>_xlfn.XLOOKUP($N169,'Calculo Leads'!$A$97:$A$134,'Calculo Leads'!L$97:L$134)*_xlfn.XLOOKUP($P169,'Base Grupo de Produtos'!$E$2:$E$18,'Base Grupo de Produtos'!$F$2:$F$18)</f>
        <v>330</v>
      </c>
      <c r="Z169" s="56">
        <f>_xlfn.XLOOKUP($N169,'Calculo Leads'!$A$97:$A$134,'Calculo Leads'!M$97:M$134)*_xlfn.XLOOKUP($P169,'Base Grupo de Produtos'!$E$2:$E$18,'Base Grupo de Produtos'!$F$2:$F$18)</f>
        <v>330</v>
      </c>
      <c r="AA169" s="56">
        <f>_xlfn.XLOOKUP($N169,'Calculo Leads'!$A$97:$A$134,'Calculo Leads'!N$97:N$134)*_xlfn.XLOOKUP($P169,'Base Grupo de Produtos'!$E$2:$E$18,'Base Grupo de Produtos'!$F$2:$F$18)</f>
        <v>440</v>
      </c>
      <c r="AB169" s="56">
        <f>_xlfn.XLOOKUP($N169,'Calculo Leads'!$A$97:$A$134,'Calculo Leads'!O$97:O$134)*_xlfn.XLOOKUP($P169,'Base Grupo de Produtos'!$E$2:$E$18,'Base Grupo de Produtos'!$F$2:$F$18)</f>
        <v>330</v>
      </c>
      <c r="AC169" s="61">
        <f t="shared" si="152"/>
        <v>2350</v>
      </c>
      <c r="AD169" s="27">
        <f t="shared" si="187"/>
        <v>2350</v>
      </c>
      <c r="AE169" s="25">
        <f>IFERROR(_xlfn.XLOOKUP(N169&amp;P169,'Historico Vendas'!G:G,'Historico Vendas'!E:E),0)</f>
        <v>0</v>
      </c>
      <c r="AF169" s="29" t="str">
        <f t="shared" si="130"/>
        <v/>
      </c>
      <c r="AG169" s="24">
        <f>IFERROR(_xlfn.XLOOKUP(N169&amp;P169,'Historico Vendas'!G:G,'Historico Vendas'!F:F),0)</f>
        <v>0</v>
      </c>
      <c r="AH169" s="25">
        <f t="shared" si="188"/>
        <v>0</v>
      </c>
      <c r="AI169" s="24">
        <f t="shared" si="189"/>
        <v>0</v>
      </c>
      <c r="AJ169" s="11" t="str">
        <f t="shared" si="133"/>
        <v/>
      </c>
      <c r="AK169" s="9" t="s">
        <v>102</v>
      </c>
      <c r="AL169" s="13">
        <f>IFERROR(INDEX('Balizador da Meta'!$D$3:$F$23,MATCH(Faturamento!$P169,'Balizador da Meta'!$C$3:$C$23,0),MATCH(Faturamento!AK169,'Balizador da Meta'!$D$2:$F$2,0)),"")</f>
        <v>0</v>
      </c>
      <c r="AM169" s="9"/>
    </row>
    <row r="170" spans="1:39" x14ac:dyDescent="0.3">
      <c r="A170" s="2" t="str">
        <f t="shared" si="131"/>
        <v>NÃO</v>
      </c>
      <c r="B170" s="2" t="str">
        <f>_xlfn.XLOOKUP($N170,'Base de Grupos'!$A:$A,'Base de Grupos'!$D:$D)</f>
        <v>1000065763</v>
      </c>
      <c r="C170" s="5" t="str">
        <f>_xlfn.XLOOKUP($N170,'Base de Grupos'!$A:$A,'Base de Grupos'!$E:$E)</f>
        <v>CANAL VENDA INTERNA</v>
      </c>
      <c r="D170" s="5" t="str">
        <f>_xlfn.XLOOKUP($N170,'Base de Grupos'!$A:$A,'Base de Grupos'!$F:$F)</f>
        <v>1000065763</v>
      </c>
      <c r="E170" s="2" t="str">
        <f>_xlfn.XLOOKUP($N170,'Base de Grupos'!$A:$A,'Base de Grupos'!$G:$G)</f>
        <v>CANAL VENDA INTERNA</v>
      </c>
      <c r="F170" s="2" t="str">
        <f>_xlfn.XLOOKUP($N170,'Base de Grupos'!$A:$A,'Base de Grupos'!$H:$H)</f>
        <v>1000153245</v>
      </c>
      <c r="G170" s="5" t="str">
        <f>_xlfn.XLOOKUP($N170,'Base de Grupos'!$A:$A,'Base de Grupos'!$I:$I)</f>
        <v>REGIONAL VENDA INTERNA - KEY ACCOUNT</v>
      </c>
      <c r="H170" s="5" t="str">
        <f>_xlfn.XLOOKUP($N170,'Base de Grupos'!$A:$A,'Base de Grupos'!$J:$J)</f>
        <v>1000153245</v>
      </c>
      <c r="I170" s="2" t="str">
        <f>_xlfn.XLOOKUP($N170,'Base de Grupos'!$A:$A,'Base de Grupos'!$K:$K)</f>
        <v>REGIONAL VENDA INTERNA - KEY ACCOUNT</v>
      </c>
      <c r="J170" s="2" t="str">
        <f>_xlfn.XLOOKUP($N170,'Base de Grupos'!$A:$A,'Base de Grupos'!$L:$L)</f>
        <v>1000153245</v>
      </c>
      <c r="K170" s="5" t="str">
        <f>_xlfn.XLOOKUP($N170,'Base de Grupos'!$A:$A,'Base de Grupos'!$M:$M)</f>
        <v>REGIONAL VENDA INTERNA - KEY ACCOUNT</v>
      </c>
      <c r="L170" s="5" t="str">
        <f t="shared" si="132"/>
        <v/>
      </c>
      <c r="M170" s="5" t="str">
        <f>_xlfn.XLOOKUP($N170,'Base de Grupos'!$A:$A,'Base de Grupos'!$C:$C)</f>
        <v>TO</v>
      </c>
      <c r="N170" s="3">
        <v>1346</v>
      </c>
      <c r="O170" s="4" t="s">
        <v>233</v>
      </c>
      <c r="P170" s="5" t="s">
        <v>87</v>
      </c>
      <c r="Q170" s="56">
        <v>0</v>
      </c>
      <c r="R170" s="56">
        <v>0</v>
      </c>
      <c r="S170" s="56">
        <v>0</v>
      </c>
      <c r="T170" s="56">
        <f>_xlfn.XLOOKUP($N170,'Calculo Leads'!$A$97:$A$134,'Calculo Leads'!G$97:G$134)*_xlfn.XLOOKUP($P170,'Base Grupo de Produtos'!$E$2:$E$18,'Base Grupo de Produtos'!$F$2:$F$18)</f>
        <v>19.999999999999996</v>
      </c>
      <c r="U170" s="56">
        <f>_xlfn.XLOOKUP($N170,'Calculo Leads'!$A$97:$A$134,'Calculo Leads'!H$97:H$134)*_xlfn.XLOOKUP($P170,'Base Grupo de Produtos'!$E$2:$E$18,'Base Grupo de Produtos'!$F$2:$F$18)</f>
        <v>39.999999999999993</v>
      </c>
      <c r="V170" s="56">
        <f>_xlfn.XLOOKUP($N170,'Calculo Leads'!$A$97:$A$134,'Calculo Leads'!I$97:I$134)*_xlfn.XLOOKUP($P170,'Base Grupo de Produtos'!$E$2:$E$18,'Base Grupo de Produtos'!$F$2:$F$18)</f>
        <v>39.999999999999993</v>
      </c>
      <c r="W170" s="56">
        <f>_xlfn.XLOOKUP($N170,'Calculo Leads'!$A$97:$A$134,'Calculo Leads'!J$97:J$134)*_xlfn.XLOOKUP($P170,'Base Grupo de Produtos'!$E$2:$E$18,'Base Grupo de Produtos'!$F$2:$F$18)</f>
        <v>39.999999999999993</v>
      </c>
      <c r="X170" s="56">
        <f>_xlfn.XLOOKUP($N170,'Calculo Leads'!$A$97:$A$134,'Calculo Leads'!K$97:K$134)*_xlfn.XLOOKUP($P170,'Base Grupo de Produtos'!$E$2:$E$18,'Base Grupo de Produtos'!$F$2:$F$18)</f>
        <v>43.999999999999993</v>
      </c>
      <c r="Y170" s="56">
        <f>_xlfn.XLOOKUP($N170,'Calculo Leads'!$A$97:$A$134,'Calculo Leads'!L$97:L$134)*_xlfn.XLOOKUP($P170,'Base Grupo de Produtos'!$E$2:$E$18,'Base Grupo de Produtos'!$F$2:$F$18)</f>
        <v>65.999999999999986</v>
      </c>
      <c r="Z170" s="56">
        <f>_xlfn.XLOOKUP($N170,'Calculo Leads'!$A$97:$A$134,'Calculo Leads'!M$97:M$134)*_xlfn.XLOOKUP($P170,'Base Grupo de Produtos'!$E$2:$E$18,'Base Grupo de Produtos'!$F$2:$F$18)</f>
        <v>65.999999999999986</v>
      </c>
      <c r="AA170" s="56">
        <f>_xlfn.XLOOKUP($N170,'Calculo Leads'!$A$97:$A$134,'Calculo Leads'!N$97:N$134)*_xlfn.XLOOKUP($P170,'Base Grupo de Produtos'!$E$2:$E$18,'Base Grupo de Produtos'!$F$2:$F$18)</f>
        <v>87.999999999999986</v>
      </c>
      <c r="AB170" s="56">
        <f>_xlfn.XLOOKUP($N170,'Calculo Leads'!$A$97:$A$134,'Calculo Leads'!O$97:O$134)*_xlfn.XLOOKUP($P170,'Base Grupo de Produtos'!$E$2:$E$18,'Base Grupo de Produtos'!$F$2:$F$18)</f>
        <v>65.999999999999986</v>
      </c>
      <c r="AC170" s="61">
        <f t="shared" si="152"/>
        <v>469.99999999999994</v>
      </c>
      <c r="AD170" s="27">
        <f t="shared" si="187"/>
        <v>469.99999999999994</v>
      </c>
      <c r="AE170" s="25">
        <f>IFERROR(_xlfn.XLOOKUP(N170&amp;P170,'Historico Vendas'!G:G,'Historico Vendas'!E:E),0)</f>
        <v>0</v>
      </c>
      <c r="AF170" s="29" t="str">
        <f t="shared" si="130"/>
        <v/>
      </c>
      <c r="AG170" s="24">
        <f>IFERROR(_xlfn.XLOOKUP(N170&amp;P170,'Historico Vendas'!G:G,'Historico Vendas'!F:F),0)</f>
        <v>0</v>
      </c>
      <c r="AH170" s="25">
        <f t="shared" si="188"/>
        <v>0</v>
      </c>
      <c r="AI170" s="24">
        <f t="shared" si="189"/>
        <v>0</v>
      </c>
      <c r="AJ170" s="11" t="str">
        <f t="shared" si="133"/>
        <v/>
      </c>
      <c r="AK170" s="9" t="s">
        <v>102</v>
      </c>
      <c r="AL170" s="13">
        <f>IFERROR(INDEX('Balizador da Meta'!$D$3:$F$23,MATCH(Faturamento!$P170,'Balizador da Meta'!$C$3:$C$23,0),MATCH(Faturamento!AK170,'Balizador da Meta'!$D$2:$F$2,0)),"")</f>
        <v>0</v>
      </c>
      <c r="AM170" s="9"/>
    </row>
    <row r="171" spans="1:39" x14ac:dyDescent="0.3">
      <c r="A171" s="2" t="str">
        <f t="shared" si="131"/>
        <v>NÃO</v>
      </c>
      <c r="B171" s="2" t="str">
        <f>_xlfn.XLOOKUP($N171,'Base de Grupos'!$A:$A,'Base de Grupos'!$D:$D)</f>
        <v>1000065763</v>
      </c>
      <c r="C171" s="5" t="str">
        <f>_xlfn.XLOOKUP($N171,'Base de Grupos'!$A:$A,'Base de Grupos'!$E:$E)</f>
        <v>CANAL VENDA INTERNA</v>
      </c>
      <c r="D171" s="5" t="str">
        <f>_xlfn.XLOOKUP($N171,'Base de Grupos'!$A:$A,'Base de Grupos'!$F:$F)</f>
        <v>1000065763</v>
      </c>
      <c r="E171" s="2" t="str">
        <f>_xlfn.XLOOKUP($N171,'Base de Grupos'!$A:$A,'Base de Grupos'!$G:$G)</f>
        <v>CANAL VENDA INTERNA</v>
      </c>
      <c r="F171" s="2" t="str">
        <f>_xlfn.XLOOKUP($N171,'Base de Grupos'!$A:$A,'Base de Grupos'!$H:$H)</f>
        <v>1000153245</v>
      </c>
      <c r="G171" s="5" t="str">
        <f>_xlfn.XLOOKUP($N171,'Base de Grupos'!$A:$A,'Base de Grupos'!$I:$I)</f>
        <v>REGIONAL VENDA INTERNA - KEY ACCOUNT</v>
      </c>
      <c r="H171" s="5" t="str">
        <f>_xlfn.XLOOKUP($N171,'Base de Grupos'!$A:$A,'Base de Grupos'!$J:$J)</f>
        <v>1000153245</v>
      </c>
      <c r="I171" s="2" t="str">
        <f>_xlfn.XLOOKUP($N171,'Base de Grupos'!$A:$A,'Base de Grupos'!$K:$K)</f>
        <v>REGIONAL VENDA INTERNA - KEY ACCOUNT</v>
      </c>
      <c r="J171" s="2" t="str">
        <f>_xlfn.XLOOKUP($N171,'Base de Grupos'!$A:$A,'Base de Grupos'!$L:$L)</f>
        <v>1000153245</v>
      </c>
      <c r="K171" s="5" t="str">
        <f>_xlfn.XLOOKUP($N171,'Base de Grupos'!$A:$A,'Base de Grupos'!$M:$M)</f>
        <v>REGIONAL VENDA INTERNA - KEY ACCOUNT</v>
      </c>
      <c r="L171" s="5" t="str">
        <f t="shared" si="132"/>
        <v/>
      </c>
      <c r="M171" s="5" t="str">
        <f>_xlfn.XLOOKUP($N171,'Base de Grupos'!$A:$A,'Base de Grupos'!$C:$C)</f>
        <v>TO</v>
      </c>
      <c r="N171" s="3">
        <v>1346</v>
      </c>
      <c r="O171" s="4" t="s">
        <v>233</v>
      </c>
      <c r="P171" s="5" t="s">
        <v>85</v>
      </c>
      <c r="Q171" s="56">
        <v>0</v>
      </c>
      <c r="R171" s="56">
        <v>0</v>
      </c>
      <c r="S171" s="56">
        <v>0</v>
      </c>
      <c r="T171" s="56">
        <f>_xlfn.XLOOKUP($N171,'Calculo Leads'!$A$97:$A$134,'Calculo Leads'!G$97:G$134)*_xlfn.XLOOKUP($P171,'Base Grupo de Produtos'!$E$2:$E$18,'Base Grupo de Produtos'!$F$2:$F$18)</f>
        <v>20</v>
      </c>
      <c r="U171" s="56">
        <f>_xlfn.XLOOKUP($N171,'Calculo Leads'!$A$97:$A$134,'Calculo Leads'!H$97:H$134)*_xlfn.XLOOKUP($P171,'Base Grupo de Produtos'!$E$2:$E$18,'Base Grupo de Produtos'!$F$2:$F$18)</f>
        <v>40</v>
      </c>
      <c r="V171" s="56">
        <f>_xlfn.XLOOKUP($N171,'Calculo Leads'!$A$97:$A$134,'Calculo Leads'!I$97:I$134)*_xlfn.XLOOKUP($P171,'Base Grupo de Produtos'!$E$2:$E$18,'Base Grupo de Produtos'!$F$2:$F$18)</f>
        <v>40</v>
      </c>
      <c r="W171" s="56">
        <f>_xlfn.XLOOKUP($N171,'Calculo Leads'!$A$97:$A$134,'Calculo Leads'!J$97:J$134)*_xlfn.XLOOKUP($P171,'Base Grupo de Produtos'!$E$2:$E$18,'Base Grupo de Produtos'!$F$2:$F$18)</f>
        <v>40</v>
      </c>
      <c r="X171" s="56">
        <f>_xlfn.XLOOKUP($N171,'Calculo Leads'!$A$97:$A$134,'Calculo Leads'!K$97:K$134)*_xlfn.XLOOKUP($P171,'Base Grupo de Produtos'!$E$2:$E$18,'Base Grupo de Produtos'!$F$2:$F$18)</f>
        <v>44</v>
      </c>
      <c r="Y171" s="56">
        <f>_xlfn.XLOOKUP($N171,'Calculo Leads'!$A$97:$A$134,'Calculo Leads'!L$97:L$134)*_xlfn.XLOOKUP($P171,'Base Grupo de Produtos'!$E$2:$E$18,'Base Grupo de Produtos'!$F$2:$F$18)</f>
        <v>66</v>
      </c>
      <c r="Z171" s="56">
        <f>_xlfn.XLOOKUP($N171,'Calculo Leads'!$A$97:$A$134,'Calculo Leads'!M$97:M$134)*_xlfn.XLOOKUP($P171,'Base Grupo de Produtos'!$E$2:$E$18,'Base Grupo de Produtos'!$F$2:$F$18)</f>
        <v>66</v>
      </c>
      <c r="AA171" s="56">
        <f>_xlfn.XLOOKUP($N171,'Calculo Leads'!$A$97:$A$134,'Calculo Leads'!N$97:N$134)*_xlfn.XLOOKUP($P171,'Base Grupo de Produtos'!$E$2:$E$18,'Base Grupo de Produtos'!$F$2:$F$18)</f>
        <v>88</v>
      </c>
      <c r="AB171" s="56">
        <f>_xlfn.XLOOKUP($N171,'Calculo Leads'!$A$97:$A$134,'Calculo Leads'!O$97:O$134)*_xlfn.XLOOKUP($P171,'Base Grupo de Produtos'!$E$2:$E$18,'Base Grupo de Produtos'!$F$2:$F$18)</f>
        <v>66</v>
      </c>
      <c r="AC171" s="61">
        <f t="shared" si="152"/>
        <v>470</v>
      </c>
      <c r="AD171" s="27">
        <f t="shared" si="187"/>
        <v>470</v>
      </c>
      <c r="AE171" s="25">
        <f>IFERROR(_xlfn.XLOOKUP(N171&amp;P171,'Historico Vendas'!G:G,'Historico Vendas'!E:E),0)</f>
        <v>0</v>
      </c>
      <c r="AF171" s="29" t="str">
        <f t="shared" si="130"/>
        <v/>
      </c>
      <c r="AG171" s="24">
        <f>IFERROR(_xlfn.XLOOKUP(N171&amp;P171,'Historico Vendas'!G:G,'Historico Vendas'!F:F),0)</f>
        <v>0</v>
      </c>
      <c r="AH171" s="25">
        <f t="shared" si="188"/>
        <v>0</v>
      </c>
      <c r="AI171" s="24">
        <f t="shared" si="189"/>
        <v>0</v>
      </c>
      <c r="AJ171" s="11" t="str">
        <f t="shared" si="133"/>
        <v/>
      </c>
      <c r="AK171" s="9" t="s">
        <v>102</v>
      </c>
      <c r="AL171" s="13">
        <f>IFERROR(INDEX('Balizador da Meta'!$D$3:$F$23,MATCH(Faturamento!$P171,'Balizador da Meta'!$C$3:$C$23,0),MATCH(Faturamento!AK171,'Balizador da Meta'!$D$2:$F$2,0)),"")</f>
        <v>0</v>
      </c>
      <c r="AM171" s="9"/>
    </row>
    <row r="172" spans="1:39" x14ac:dyDescent="0.3">
      <c r="A172" s="2" t="str">
        <f t="shared" si="131"/>
        <v>NÃO</v>
      </c>
      <c r="B172" s="2" t="str">
        <f>_xlfn.XLOOKUP($N172,'Base de Grupos'!$A:$A,'Base de Grupos'!$D:$D)</f>
        <v>1000065763</v>
      </c>
      <c r="C172" s="5" t="str">
        <f>_xlfn.XLOOKUP($N172,'Base de Grupos'!$A:$A,'Base de Grupos'!$E:$E)</f>
        <v>CANAL VENDA INTERNA</v>
      </c>
      <c r="D172" s="5" t="str">
        <f>_xlfn.XLOOKUP($N172,'Base de Grupos'!$A:$A,'Base de Grupos'!$F:$F)</f>
        <v>1000065763</v>
      </c>
      <c r="E172" s="2" t="str">
        <f>_xlfn.XLOOKUP($N172,'Base de Grupos'!$A:$A,'Base de Grupos'!$G:$G)</f>
        <v>CANAL VENDA INTERNA</v>
      </c>
      <c r="F172" s="2" t="str">
        <f>_xlfn.XLOOKUP($N172,'Base de Grupos'!$A:$A,'Base de Grupos'!$H:$H)</f>
        <v>1000153245</v>
      </c>
      <c r="G172" s="5" t="str">
        <f>_xlfn.XLOOKUP($N172,'Base de Grupos'!$A:$A,'Base de Grupos'!$I:$I)</f>
        <v>REGIONAL VENDA INTERNA - KEY ACCOUNT</v>
      </c>
      <c r="H172" s="5" t="str">
        <f>_xlfn.XLOOKUP($N172,'Base de Grupos'!$A:$A,'Base de Grupos'!$J:$J)</f>
        <v>1000153245</v>
      </c>
      <c r="I172" s="2" t="str">
        <f>_xlfn.XLOOKUP($N172,'Base de Grupos'!$A:$A,'Base de Grupos'!$K:$K)</f>
        <v>REGIONAL VENDA INTERNA - KEY ACCOUNT</v>
      </c>
      <c r="J172" s="2" t="str">
        <f>_xlfn.XLOOKUP($N172,'Base de Grupos'!$A:$A,'Base de Grupos'!$L:$L)</f>
        <v>1000153245</v>
      </c>
      <c r="K172" s="5" t="str">
        <f>_xlfn.XLOOKUP($N172,'Base de Grupos'!$A:$A,'Base de Grupos'!$M:$M)</f>
        <v>REGIONAL VENDA INTERNA - KEY ACCOUNT</v>
      </c>
      <c r="L172" s="5" t="str">
        <f t="shared" si="132"/>
        <v/>
      </c>
      <c r="M172" s="5" t="str">
        <f>_xlfn.XLOOKUP($N172,'Base de Grupos'!$A:$A,'Base de Grupos'!$C:$C)</f>
        <v>TO</v>
      </c>
      <c r="N172" s="3">
        <v>1346</v>
      </c>
      <c r="O172" s="4" t="s">
        <v>233</v>
      </c>
      <c r="P172" s="5" t="s">
        <v>92</v>
      </c>
      <c r="Q172" s="56">
        <v>0</v>
      </c>
      <c r="R172" s="56">
        <v>0</v>
      </c>
      <c r="S172" s="56">
        <v>0</v>
      </c>
      <c r="T172" s="56">
        <f>_xlfn.XLOOKUP($N172,'Calculo Leads'!$A$97:$A$134,'Calculo Leads'!G$97:G$134)*_xlfn.XLOOKUP($P172,'Base Grupo de Produtos'!$E$2:$E$18,'Base Grupo de Produtos'!$F$2:$F$18)</f>
        <v>20</v>
      </c>
      <c r="U172" s="56">
        <f>_xlfn.XLOOKUP($N172,'Calculo Leads'!$A$97:$A$134,'Calculo Leads'!H$97:H$134)*_xlfn.XLOOKUP($P172,'Base Grupo de Produtos'!$E$2:$E$18,'Base Grupo de Produtos'!$F$2:$F$18)</f>
        <v>40</v>
      </c>
      <c r="V172" s="56">
        <f>_xlfn.XLOOKUP($N172,'Calculo Leads'!$A$97:$A$134,'Calculo Leads'!I$97:I$134)*_xlfn.XLOOKUP($P172,'Base Grupo de Produtos'!$E$2:$E$18,'Base Grupo de Produtos'!$F$2:$F$18)</f>
        <v>40</v>
      </c>
      <c r="W172" s="56">
        <f>_xlfn.XLOOKUP($N172,'Calculo Leads'!$A$97:$A$134,'Calculo Leads'!J$97:J$134)*_xlfn.XLOOKUP($P172,'Base Grupo de Produtos'!$E$2:$E$18,'Base Grupo de Produtos'!$F$2:$F$18)</f>
        <v>40</v>
      </c>
      <c r="X172" s="56">
        <f>_xlfn.XLOOKUP($N172,'Calculo Leads'!$A$97:$A$134,'Calculo Leads'!K$97:K$134)*_xlfn.XLOOKUP($P172,'Base Grupo de Produtos'!$E$2:$E$18,'Base Grupo de Produtos'!$F$2:$F$18)</f>
        <v>44</v>
      </c>
      <c r="Y172" s="56">
        <f>_xlfn.XLOOKUP($N172,'Calculo Leads'!$A$97:$A$134,'Calculo Leads'!L$97:L$134)*_xlfn.XLOOKUP($P172,'Base Grupo de Produtos'!$E$2:$E$18,'Base Grupo de Produtos'!$F$2:$F$18)</f>
        <v>66</v>
      </c>
      <c r="Z172" s="56">
        <f>_xlfn.XLOOKUP($N172,'Calculo Leads'!$A$97:$A$134,'Calculo Leads'!M$97:M$134)*_xlfn.XLOOKUP($P172,'Base Grupo de Produtos'!$E$2:$E$18,'Base Grupo de Produtos'!$F$2:$F$18)</f>
        <v>66</v>
      </c>
      <c r="AA172" s="56">
        <f>_xlfn.XLOOKUP($N172,'Calculo Leads'!$A$97:$A$134,'Calculo Leads'!N$97:N$134)*_xlfn.XLOOKUP($P172,'Base Grupo de Produtos'!$E$2:$E$18,'Base Grupo de Produtos'!$F$2:$F$18)</f>
        <v>88</v>
      </c>
      <c r="AB172" s="56">
        <f>_xlfn.XLOOKUP($N172,'Calculo Leads'!$A$97:$A$134,'Calculo Leads'!O$97:O$134)*_xlfn.XLOOKUP($P172,'Base Grupo de Produtos'!$E$2:$E$18,'Base Grupo de Produtos'!$F$2:$F$18)</f>
        <v>66</v>
      </c>
      <c r="AC172" s="61">
        <f t="shared" si="152"/>
        <v>470</v>
      </c>
      <c r="AD172" s="27">
        <f t="shared" si="187"/>
        <v>470</v>
      </c>
      <c r="AE172" s="25">
        <f>IFERROR(_xlfn.XLOOKUP(N172&amp;P172,'Historico Vendas'!G:G,'Historico Vendas'!E:E),0)</f>
        <v>0</v>
      </c>
      <c r="AF172" s="29" t="str">
        <f t="shared" si="130"/>
        <v/>
      </c>
      <c r="AG172" s="24">
        <f>IFERROR(_xlfn.XLOOKUP(N172&amp;P172,'Historico Vendas'!G:G,'Historico Vendas'!F:F),0)</f>
        <v>0</v>
      </c>
      <c r="AH172" s="25">
        <f t="shared" si="188"/>
        <v>0</v>
      </c>
      <c r="AI172" s="24">
        <f t="shared" si="189"/>
        <v>0</v>
      </c>
      <c r="AJ172" s="11" t="str">
        <f t="shared" si="133"/>
        <v/>
      </c>
      <c r="AK172" s="9" t="s">
        <v>102</v>
      </c>
      <c r="AL172" s="13">
        <f>IFERROR(INDEX('Balizador da Meta'!$D$3:$F$23,MATCH(Faturamento!$P172,'Balizador da Meta'!$C$3:$C$23,0),MATCH(Faturamento!AK172,'Balizador da Meta'!$D$2:$F$2,0)),"")</f>
        <v>0</v>
      </c>
      <c r="AM172" s="9"/>
    </row>
    <row r="173" spans="1:39" x14ac:dyDescent="0.3">
      <c r="A173" s="2" t="str">
        <f t="shared" si="131"/>
        <v>NÃO</v>
      </c>
      <c r="B173" s="2" t="str">
        <f>_xlfn.XLOOKUP($N173,'Base de Grupos'!$A:$A,'Base de Grupos'!$D:$D)</f>
        <v>1000065763</v>
      </c>
      <c r="C173" s="5" t="str">
        <f>_xlfn.XLOOKUP($N173,'Base de Grupos'!$A:$A,'Base de Grupos'!$E:$E)</f>
        <v>CANAL VENDA INTERNA</v>
      </c>
      <c r="D173" s="5" t="str">
        <f>_xlfn.XLOOKUP($N173,'Base de Grupos'!$A:$A,'Base de Grupos'!$F:$F)</f>
        <v>1000065763</v>
      </c>
      <c r="E173" s="2" t="str">
        <f>_xlfn.XLOOKUP($N173,'Base de Grupos'!$A:$A,'Base de Grupos'!$G:$G)</f>
        <v>CANAL VENDA INTERNA</v>
      </c>
      <c r="F173" s="2" t="str">
        <f>_xlfn.XLOOKUP($N173,'Base de Grupos'!$A:$A,'Base de Grupos'!$H:$H)</f>
        <v>1000153245</v>
      </c>
      <c r="G173" s="5" t="str">
        <f>_xlfn.XLOOKUP($N173,'Base de Grupos'!$A:$A,'Base de Grupos'!$I:$I)</f>
        <v>REGIONAL VENDA INTERNA - KEY ACCOUNT</v>
      </c>
      <c r="H173" s="5" t="str">
        <f>_xlfn.XLOOKUP($N173,'Base de Grupos'!$A:$A,'Base de Grupos'!$J:$J)</f>
        <v>1000153245</v>
      </c>
      <c r="I173" s="2" t="str">
        <f>_xlfn.XLOOKUP($N173,'Base de Grupos'!$A:$A,'Base de Grupos'!$K:$K)</f>
        <v>REGIONAL VENDA INTERNA - KEY ACCOUNT</v>
      </c>
      <c r="J173" s="2" t="str">
        <f>_xlfn.XLOOKUP($N173,'Base de Grupos'!$A:$A,'Base de Grupos'!$L:$L)</f>
        <v>1000153245</v>
      </c>
      <c r="K173" s="5" t="str">
        <f>_xlfn.XLOOKUP($N173,'Base de Grupos'!$A:$A,'Base de Grupos'!$M:$M)</f>
        <v>REGIONAL VENDA INTERNA - KEY ACCOUNT</v>
      </c>
      <c r="L173" s="5" t="str">
        <f t="shared" si="132"/>
        <v/>
      </c>
      <c r="M173" s="5" t="str">
        <f>_xlfn.XLOOKUP($N173,'Base de Grupos'!$A:$A,'Base de Grupos'!$C:$C)</f>
        <v>TO</v>
      </c>
      <c r="N173" s="3">
        <v>1346</v>
      </c>
      <c r="O173" s="4" t="s">
        <v>233</v>
      </c>
      <c r="P173" s="5" t="s">
        <v>86</v>
      </c>
      <c r="Q173" s="56">
        <v>0</v>
      </c>
      <c r="R173" s="56">
        <v>0</v>
      </c>
      <c r="S173" s="56">
        <v>0</v>
      </c>
      <c r="T173" s="56">
        <f>_xlfn.XLOOKUP($N173,'Calculo Leads'!$A$97:$A$134,'Calculo Leads'!G$97:G$134)*_xlfn.XLOOKUP($P173,'Base Grupo de Produtos'!$E$2:$E$18,'Base Grupo de Produtos'!$F$2:$F$18)</f>
        <v>30</v>
      </c>
      <c r="U173" s="56">
        <f>_xlfn.XLOOKUP($N173,'Calculo Leads'!$A$97:$A$134,'Calculo Leads'!H$97:H$134)*_xlfn.XLOOKUP($P173,'Base Grupo de Produtos'!$E$2:$E$18,'Base Grupo de Produtos'!$F$2:$F$18)</f>
        <v>60</v>
      </c>
      <c r="V173" s="56">
        <f>_xlfn.XLOOKUP($N173,'Calculo Leads'!$A$97:$A$134,'Calculo Leads'!I$97:I$134)*_xlfn.XLOOKUP($P173,'Base Grupo de Produtos'!$E$2:$E$18,'Base Grupo de Produtos'!$F$2:$F$18)</f>
        <v>60</v>
      </c>
      <c r="W173" s="56">
        <f>_xlfn.XLOOKUP($N173,'Calculo Leads'!$A$97:$A$134,'Calculo Leads'!J$97:J$134)*_xlfn.XLOOKUP($P173,'Base Grupo de Produtos'!$E$2:$E$18,'Base Grupo de Produtos'!$F$2:$F$18)</f>
        <v>60</v>
      </c>
      <c r="X173" s="56">
        <f>_xlfn.XLOOKUP($N173,'Calculo Leads'!$A$97:$A$134,'Calculo Leads'!K$97:K$134)*_xlfn.XLOOKUP($P173,'Base Grupo de Produtos'!$E$2:$E$18,'Base Grupo de Produtos'!$F$2:$F$18)</f>
        <v>66</v>
      </c>
      <c r="Y173" s="56">
        <f>_xlfn.XLOOKUP($N173,'Calculo Leads'!$A$97:$A$134,'Calculo Leads'!L$97:L$134)*_xlfn.XLOOKUP($P173,'Base Grupo de Produtos'!$E$2:$E$18,'Base Grupo de Produtos'!$F$2:$F$18)</f>
        <v>99</v>
      </c>
      <c r="Z173" s="56">
        <f>_xlfn.XLOOKUP($N173,'Calculo Leads'!$A$97:$A$134,'Calculo Leads'!M$97:M$134)*_xlfn.XLOOKUP($P173,'Base Grupo de Produtos'!$E$2:$E$18,'Base Grupo de Produtos'!$F$2:$F$18)</f>
        <v>99</v>
      </c>
      <c r="AA173" s="56">
        <f>_xlfn.XLOOKUP($N173,'Calculo Leads'!$A$97:$A$134,'Calculo Leads'!N$97:N$134)*_xlfn.XLOOKUP($P173,'Base Grupo de Produtos'!$E$2:$E$18,'Base Grupo de Produtos'!$F$2:$F$18)</f>
        <v>132</v>
      </c>
      <c r="AB173" s="56">
        <f>_xlfn.XLOOKUP($N173,'Calculo Leads'!$A$97:$A$134,'Calculo Leads'!O$97:O$134)*_xlfn.XLOOKUP($P173,'Base Grupo de Produtos'!$E$2:$E$18,'Base Grupo de Produtos'!$F$2:$F$18)</f>
        <v>99</v>
      </c>
      <c r="AC173" s="61">
        <f t="shared" si="152"/>
        <v>705</v>
      </c>
      <c r="AD173" s="27">
        <f t="shared" si="187"/>
        <v>705</v>
      </c>
      <c r="AE173" s="25">
        <f>IFERROR(_xlfn.XLOOKUP(N173&amp;P173,'Historico Vendas'!G:G,'Historico Vendas'!E:E),0)</f>
        <v>0</v>
      </c>
      <c r="AF173" s="29" t="str">
        <f t="shared" si="130"/>
        <v/>
      </c>
      <c r="AG173" s="24">
        <f>IFERROR(_xlfn.XLOOKUP(N173&amp;P173,'Historico Vendas'!G:G,'Historico Vendas'!F:F),0)</f>
        <v>0</v>
      </c>
      <c r="AH173" s="25">
        <f t="shared" si="188"/>
        <v>0</v>
      </c>
      <c r="AI173" s="24">
        <f t="shared" si="189"/>
        <v>0</v>
      </c>
      <c r="AJ173" s="11" t="str">
        <f t="shared" si="133"/>
        <v/>
      </c>
      <c r="AK173" s="9" t="s">
        <v>102</v>
      </c>
      <c r="AL173" s="13">
        <f>IFERROR(INDEX('Balizador da Meta'!$D$3:$F$23,MATCH(Faturamento!$P173,'Balizador da Meta'!$C$3:$C$23,0),MATCH(Faturamento!AK173,'Balizador da Meta'!$D$2:$F$2,0)),"")</f>
        <v>0.15</v>
      </c>
      <c r="AM173" s="9"/>
    </row>
    <row r="174" spans="1:39" x14ac:dyDescent="0.3">
      <c r="A174" s="2" t="str">
        <f t="shared" si="131"/>
        <v>NÃO</v>
      </c>
      <c r="B174" s="2" t="str">
        <f>_xlfn.XLOOKUP($N174,'Base de Grupos'!$A:$A,'Base de Grupos'!$D:$D)</f>
        <v>1000065763</v>
      </c>
      <c r="C174" s="5" t="str">
        <f>_xlfn.XLOOKUP($N174,'Base de Grupos'!$A:$A,'Base de Grupos'!$E:$E)</f>
        <v>CANAL VENDA INTERNA</v>
      </c>
      <c r="D174" s="5" t="str">
        <f>_xlfn.XLOOKUP($N174,'Base de Grupos'!$A:$A,'Base de Grupos'!$F:$F)</f>
        <v>1000065763</v>
      </c>
      <c r="E174" s="2" t="str">
        <f>_xlfn.XLOOKUP($N174,'Base de Grupos'!$A:$A,'Base de Grupos'!$G:$G)</f>
        <v>CANAL VENDA INTERNA</v>
      </c>
      <c r="F174" s="2" t="str">
        <f>_xlfn.XLOOKUP($N174,'Base de Grupos'!$A:$A,'Base de Grupos'!$H:$H)</f>
        <v>1000153245</v>
      </c>
      <c r="G174" s="5" t="str">
        <f>_xlfn.XLOOKUP($N174,'Base de Grupos'!$A:$A,'Base de Grupos'!$I:$I)</f>
        <v>REGIONAL VENDA INTERNA - KEY ACCOUNT</v>
      </c>
      <c r="H174" s="5" t="str">
        <f>_xlfn.XLOOKUP($N174,'Base de Grupos'!$A:$A,'Base de Grupos'!$J:$J)</f>
        <v>1000153245</v>
      </c>
      <c r="I174" s="2" t="str">
        <f>_xlfn.XLOOKUP($N174,'Base de Grupos'!$A:$A,'Base de Grupos'!$K:$K)</f>
        <v>REGIONAL VENDA INTERNA - KEY ACCOUNT</v>
      </c>
      <c r="J174" s="2" t="str">
        <f>_xlfn.XLOOKUP($N174,'Base de Grupos'!$A:$A,'Base de Grupos'!$L:$L)</f>
        <v>1000153245</v>
      </c>
      <c r="K174" s="5" t="str">
        <f>_xlfn.XLOOKUP($N174,'Base de Grupos'!$A:$A,'Base de Grupos'!$M:$M)</f>
        <v>REGIONAL VENDA INTERNA - KEY ACCOUNT</v>
      </c>
      <c r="L174" s="5" t="str">
        <f t="shared" si="132"/>
        <v/>
      </c>
      <c r="M174" s="5" t="str">
        <f>_xlfn.XLOOKUP($N174,'Base de Grupos'!$A:$A,'Base de Grupos'!$C:$C)</f>
        <v>TO</v>
      </c>
      <c r="N174" s="3">
        <v>1346</v>
      </c>
      <c r="O174" s="4" t="s">
        <v>233</v>
      </c>
      <c r="P174" s="5" t="s">
        <v>108</v>
      </c>
      <c r="Q174" s="56">
        <v>0</v>
      </c>
      <c r="R174" s="56">
        <v>0</v>
      </c>
      <c r="S174" s="56">
        <v>0</v>
      </c>
      <c r="T174" s="56">
        <f>_xlfn.XLOOKUP($N174,'Calculo Leads'!$A$97:$A$134,'Calculo Leads'!G$97:G$134)*_xlfn.XLOOKUP($P174,'Base Grupo de Produtos'!$E$2:$E$18,'Base Grupo de Produtos'!$F$2:$F$18)</f>
        <v>250</v>
      </c>
      <c r="U174" s="56">
        <f>_xlfn.XLOOKUP($N174,'Calculo Leads'!$A$97:$A$134,'Calculo Leads'!H$97:H$134)*_xlfn.XLOOKUP($P174,'Base Grupo de Produtos'!$E$2:$E$18,'Base Grupo de Produtos'!$F$2:$F$18)</f>
        <v>500</v>
      </c>
      <c r="V174" s="56">
        <f>_xlfn.XLOOKUP($N174,'Calculo Leads'!$A$97:$A$134,'Calculo Leads'!I$97:I$134)*_xlfn.XLOOKUP($P174,'Base Grupo de Produtos'!$E$2:$E$18,'Base Grupo de Produtos'!$F$2:$F$18)</f>
        <v>500</v>
      </c>
      <c r="W174" s="56">
        <f>_xlfn.XLOOKUP($N174,'Calculo Leads'!$A$97:$A$134,'Calculo Leads'!J$97:J$134)*_xlfn.XLOOKUP($P174,'Base Grupo de Produtos'!$E$2:$E$18,'Base Grupo de Produtos'!$F$2:$F$18)</f>
        <v>500</v>
      </c>
      <c r="X174" s="56">
        <f>_xlfn.XLOOKUP($N174,'Calculo Leads'!$A$97:$A$134,'Calculo Leads'!K$97:K$134)*_xlfn.XLOOKUP($P174,'Base Grupo de Produtos'!$E$2:$E$18,'Base Grupo de Produtos'!$F$2:$F$18)</f>
        <v>550</v>
      </c>
      <c r="Y174" s="56">
        <f>_xlfn.XLOOKUP($N174,'Calculo Leads'!$A$97:$A$134,'Calculo Leads'!L$97:L$134)*_xlfn.XLOOKUP($P174,'Base Grupo de Produtos'!$E$2:$E$18,'Base Grupo de Produtos'!$F$2:$F$18)</f>
        <v>825</v>
      </c>
      <c r="Z174" s="56">
        <f>_xlfn.XLOOKUP($N174,'Calculo Leads'!$A$97:$A$134,'Calculo Leads'!M$97:M$134)*_xlfn.XLOOKUP($P174,'Base Grupo de Produtos'!$E$2:$E$18,'Base Grupo de Produtos'!$F$2:$F$18)</f>
        <v>825</v>
      </c>
      <c r="AA174" s="56">
        <f>_xlfn.XLOOKUP($N174,'Calculo Leads'!$A$97:$A$134,'Calculo Leads'!N$97:N$134)*_xlfn.XLOOKUP($P174,'Base Grupo de Produtos'!$E$2:$E$18,'Base Grupo de Produtos'!$F$2:$F$18)</f>
        <v>1100</v>
      </c>
      <c r="AB174" s="56">
        <f>_xlfn.XLOOKUP($N174,'Calculo Leads'!$A$97:$A$134,'Calculo Leads'!O$97:O$134)*_xlfn.XLOOKUP($P174,'Base Grupo de Produtos'!$E$2:$E$18,'Base Grupo de Produtos'!$F$2:$F$18)</f>
        <v>825</v>
      </c>
      <c r="AC174" s="61">
        <f t="shared" si="152"/>
        <v>5875</v>
      </c>
      <c r="AD174" s="27">
        <f>IF(AC174=0,0,AC174-AG174)</f>
        <v>5875</v>
      </c>
      <c r="AE174" s="25">
        <f>IFERROR(_xlfn.XLOOKUP(N174&amp;P174,'Historico Vendas'!G:G,'Historico Vendas'!E:E),0)</f>
        <v>0</v>
      </c>
      <c r="AF174" s="29" t="str">
        <f t="shared" si="130"/>
        <v/>
      </c>
      <c r="AG174" s="24">
        <f>IFERROR(_xlfn.XLOOKUP(N174&amp;P174,'Historico Vendas'!G:G,'Historico Vendas'!F:F),0)</f>
        <v>0</v>
      </c>
      <c r="AH174" s="25">
        <f t="shared" si="188"/>
        <v>0</v>
      </c>
      <c r="AI174" s="24">
        <f t="shared" si="189"/>
        <v>0</v>
      </c>
      <c r="AJ174" s="11" t="str">
        <f t="shared" si="133"/>
        <v/>
      </c>
      <c r="AK174" s="9" t="s">
        <v>102</v>
      </c>
      <c r="AL174" s="13">
        <f>IFERROR(INDEX('Balizador da Meta'!$D$3:$F$23,MATCH(Faturamento!$P174,'Balizador da Meta'!$C$3:$C$23,0),MATCH(Faturamento!AK174,'Balizador da Meta'!$D$2:$F$2,0)),"")</f>
        <v>0</v>
      </c>
      <c r="AM174" s="9"/>
    </row>
    <row r="175" spans="1:39" x14ac:dyDescent="0.3">
      <c r="A175" s="2" t="str">
        <f t="shared" si="131"/>
        <v>NÃO</v>
      </c>
      <c r="B175" s="2" t="str">
        <f>_xlfn.XLOOKUP($N175,'Base de Grupos'!$A:$A,'Base de Grupos'!$D:$D)</f>
        <v>1000065763</v>
      </c>
      <c r="C175" s="5" t="str">
        <f>_xlfn.XLOOKUP($N175,'Base de Grupos'!$A:$A,'Base de Grupos'!$E:$E)</f>
        <v>CANAL VENDA INTERNA</v>
      </c>
      <c r="D175" s="5" t="str">
        <f>_xlfn.XLOOKUP($N175,'Base de Grupos'!$A:$A,'Base de Grupos'!$F:$F)</f>
        <v>1000065763</v>
      </c>
      <c r="E175" s="2" t="str">
        <f>_xlfn.XLOOKUP($N175,'Base de Grupos'!$A:$A,'Base de Grupos'!$G:$G)</f>
        <v>CANAL VENDA INTERNA</v>
      </c>
      <c r="F175" s="2" t="str">
        <f>_xlfn.XLOOKUP($N175,'Base de Grupos'!$A:$A,'Base de Grupos'!$H:$H)</f>
        <v>1000153245</v>
      </c>
      <c r="G175" s="5" t="str">
        <f>_xlfn.XLOOKUP($N175,'Base de Grupos'!$A:$A,'Base de Grupos'!$I:$I)</f>
        <v>REGIONAL VENDA INTERNA - KEY ACCOUNT</v>
      </c>
      <c r="H175" s="5" t="str">
        <f>_xlfn.XLOOKUP($N175,'Base de Grupos'!$A:$A,'Base de Grupos'!$J:$J)</f>
        <v>1000153245</v>
      </c>
      <c r="I175" s="2" t="str">
        <f>_xlfn.XLOOKUP($N175,'Base de Grupos'!$A:$A,'Base de Grupos'!$K:$K)</f>
        <v>REGIONAL VENDA INTERNA - KEY ACCOUNT</v>
      </c>
      <c r="J175" s="2" t="str">
        <f>_xlfn.XLOOKUP($N175,'Base de Grupos'!$A:$A,'Base de Grupos'!$L:$L)</f>
        <v>1000153245</v>
      </c>
      <c r="K175" s="5" t="str">
        <f>_xlfn.XLOOKUP($N175,'Base de Grupos'!$A:$A,'Base de Grupos'!$M:$M)</f>
        <v>REGIONAL VENDA INTERNA - KEY ACCOUNT</v>
      </c>
      <c r="L175" s="5" t="str">
        <f t="shared" si="132"/>
        <v/>
      </c>
      <c r="M175" s="5" t="str">
        <f>_xlfn.XLOOKUP($N175,'Base de Grupos'!$A:$A,'Base de Grupos'!$C:$C)</f>
        <v>TO</v>
      </c>
      <c r="N175" s="3">
        <v>1346</v>
      </c>
      <c r="O175" s="4" t="s">
        <v>233</v>
      </c>
      <c r="P175" s="5" t="s">
        <v>89</v>
      </c>
      <c r="Q175" s="56">
        <v>0</v>
      </c>
      <c r="R175" s="56">
        <v>0</v>
      </c>
      <c r="S175" s="56">
        <v>0</v>
      </c>
      <c r="T175" s="56">
        <f>_xlfn.XLOOKUP($N175,'Calculo Leads'!$A$97:$A$134,'Calculo Leads'!G$97:G$134)*_xlfn.XLOOKUP($P175,'Base Grupo de Produtos'!$E$2:$E$18,'Base Grupo de Produtos'!$F$2:$F$18)</f>
        <v>50</v>
      </c>
      <c r="U175" s="56">
        <f>_xlfn.XLOOKUP($N175,'Calculo Leads'!$A$97:$A$134,'Calculo Leads'!H$97:H$134)*_xlfn.XLOOKUP($P175,'Base Grupo de Produtos'!$E$2:$E$18,'Base Grupo de Produtos'!$F$2:$F$18)</f>
        <v>100</v>
      </c>
      <c r="V175" s="56">
        <f>_xlfn.XLOOKUP($N175,'Calculo Leads'!$A$97:$A$134,'Calculo Leads'!I$97:I$134)*_xlfn.XLOOKUP($P175,'Base Grupo de Produtos'!$E$2:$E$18,'Base Grupo de Produtos'!$F$2:$F$18)</f>
        <v>100</v>
      </c>
      <c r="W175" s="56">
        <f>_xlfn.XLOOKUP($N175,'Calculo Leads'!$A$97:$A$134,'Calculo Leads'!J$97:J$134)*_xlfn.XLOOKUP($P175,'Base Grupo de Produtos'!$E$2:$E$18,'Base Grupo de Produtos'!$F$2:$F$18)</f>
        <v>100</v>
      </c>
      <c r="X175" s="56">
        <f>_xlfn.XLOOKUP($N175,'Calculo Leads'!$A$97:$A$134,'Calculo Leads'!K$97:K$134)*_xlfn.XLOOKUP($P175,'Base Grupo de Produtos'!$E$2:$E$18,'Base Grupo de Produtos'!$F$2:$F$18)</f>
        <v>110</v>
      </c>
      <c r="Y175" s="56">
        <f>_xlfn.XLOOKUP($N175,'Calculo Leads'!$A$97:$A$134,'Calculo Leads'!L$97:L$134)*_xlfn.XLOOKUP($P175,'Base Grupo de Produtos'!$E$2:$E$18,'Base Grupo de Produtos'!$F$2:$F$18)</f>
        <v>165</v>
      </c>
      <c r="Z175" s="56">
        <f>_xlfn.XLOOKUP($N175,'Calculo Leads'!$A$97:$A$134,'Calculo Leads'!M$97:M$134)*_xlfn.XLOOKUP($P175,'Base Grupo de Produtos'!$E$2:$E$18,'Base Grupo de Produtos'!$F$2:$F$18)</f>
        <v>165</v>
      </c>
      <c r="AA175" s="56">
        <f>_xlfn.XLOOKUP($N175,'Calculo Leads'!$A$97:$A$134,'Calculo Leads'!N$97:N$134)*_xlfn.XLOOKUP($P175,'Base Grupo de Produtos'!$E$2:$E$18,'Base Grupo de Produtos'!$F$2:$F$18)</f>
        <v>220</v>
      </c>
      <c r="AB175" s="56">
        <f>_xlfn.XLOOKUP($N175,'Calculo Leads'!$A$97:$A$134,'Calculo Leads'!O$97:O$134)*_xlfn.XLOOKUP($P175,'Base Grupo de Produtos'!$E$2:$E$18,'Base Grupo de Produtos'!$F$2:$F$18)</f>
        <v>165</v>
      </c>
      <c r="AC175" s="61">
        <f t="shared" si="152"/>
        <v>1175</v>
      </c>
      <c r="AD175" s="27">
        <f t="shared" si="187"/>
        <v>1175</v>
      </c>
      <c r="AE175" s="25">
        <f>IFERROR(_xlfn.XLOOKUP(N175&amp;P175,'Historico Vendas'!G:G,'Historico Vendas'!E:E),0)</f>
        <v>0</v>
      </c>
      <c r="AF175" s="29" t="str">
        <f t="shared" si="130"/>
        <v/>
      </c>
      <c r="AG175" s="24">
        <f>IFERROR(_xlfn.XLOOKUP(N175&amp;P175,'Historico Vendas'!G:G,'Historico Vendas'!F:F),0)</f>
        <v>0</v>
      </c>
      <c r="AH175" s="25">
        <f t="shared" si="188"/>
        <v>0</v>
      </c>
      <c r="AI175" s="24">
        <f t="shared" si="189"/>
        <v>0</v>
      </c>
      <c r="AJ175" s="11" t="str">
        <f t="shared" si="133"/>
        <v/>
      </c>
      <c r="AK175" s="9" t="s">
        <v>102</v>
      </c>
      <c r="AL175" s="13">
        <f>IFERROR(INDEX('Balizador da Meta'!$D$3:$F$23,MATCH(Faturamento!$P175,'Balizador da Meta'!$C$3:$C$23,0),MATCH(Faturamento!AK175,'Balizador da Meta'!$D$2:$F$2,0)),"")</f>
        <v>0.25</v>
      </c>
      <c r="AM175" s="9"/>
    </row>
    <row r="176" spans="1:39" x14ac:dyDescent="0.3">
      <c r="A176" s="2" t="str">
        <f t="shared" si="131"/>
        <v>NÃO</v>
      </c>
      <c r="B176" s="2" t="str">
        <f>_xlfn.XLOOKUP($N176,'Base de Grupos'!$A:$A,'Base de Grupos'!$D:$D)</f>
        <v>1000065763</v>
      </c>
      <c r="C176" s="5" t="str">
        <f>_xlfn.XLOOKUP($N176,'Base de Grupos'!$A:$A,'Base de Grupos'!$E:$E)</f>
        <v>CANAL VENDA INTERNA</v>
      </c>
      <c r="D176" s="5" t="str">
        <f>_xlfn.XLOOKUP($N176,'Base de Grupos'!$A:$A,'Base de Grupos'!$F:$F)</f>
        <v>1000065763</v>
      </c>
      <c r="E176" s="2" t="str">
        <f>_xlfn.XLOOKUP($N176,'Base de Grupos'!$A:$A,'Base de Grupos'!$G:$G)</f>
        <v>CANAL VENDA INTERNA</v>
      </c>
      <c r="F176" s="2" t="str">
        <f>_xlfn.XLOOKUP($N176,'Base de Grupos'!$A:$A,'Base de Grupos'!$H:$H)</f>
        <v>1000153245</v>
      </c>
      <c r="G176" s="5" t="str">
        <f>_xlfn.XLOOKUP($N176,'Base de Grupos'!$A:$A,'Base de Grupos'!$I:$I)</f>
        <v>REGIONAL VENDA INTERNA - KEY ACCOUNT</v>
      </c>
      <c r="H176" s="5" t="str">
        <f>_xlfn.XLOOKUP($N176,'Base de Grupos'!$A:$A,'Base de Grupos'!$J:$J)</f>
        <v>1000153245</v>
      </c>
      <c r="I176" s="2" t="str">
        <f>_xlfn.XLOOKUP($N176,'Base de Grupos'!$A:$A,'Base de Grupos'!$K:$K)</f>
        <v>REGIONAL VENDA INTERNA - KEY ACCOUNT</v>
      </c>
      <c r="J176" s="2" t="str">
        <f>_xlfn.XLOOKUP($N176,'Base de Grupos'!$A:$A,'Base de Grupos'!$L:$L)</f>
        <v>1000153245</v>
      </c>
      <c r="K176" s="5" t="str">
        <f>_xlfn.XLOOKUP($N176,'Base de Grupos'!$A:$A,'Base de Grupos'!$M:$M)</f>
        <v>REGIONAL VENDA INTERNA - KEY ACCOUNT</v>
      </c>
      <c r="L176" s="5" t="str">
        <f t="shared" si="132"/>
        <v/>
      </c>
      <c r="M176" s="5" t="str">
        <f>_xlfn.XLOOKUP($N176,'Base de Grupos'!$A:$A,'Base de Grupos'!$C:$C)</f>
        <v>TO</v>
      </c>
      <c r="N176" s="3">
        <v>1346</v>
      </c>
      <c r="O176" s="4" t="s">
        <v>233</v>
      </c>
      <c r="P176" s="5" t="s">
        <v>88</v>
      </c>
      <c r="Q176" s="56">
        <v>0</v>
      </c>
      <c r="R176" s="56">
        <v>0</v>
      </c>
      <c r="S176" s="56">
        <v>0</v>
      </c>
      <c r="T176" s="56">
        <f>_xlfn.XLOOKUP($N176,'Calculo Leads'!$A$97:$A$134,'Calculo Leads'!G$97:G$134)*_xlfn.XLOOKUP($P176,'Base Grupo de Produtos'!$E$2:$E$18,'Base Grupo de Produtos'!$F$2:$F$18)</f>
        <v>50</v>
      </c>
      <c r="U176" s="56">
        <f>_xlfn.XLOOKUP($N176,'Calculo Leads'!$A$97:$A$134,'Calculo Leads'!H$97:H$134)*_xlfn.XLOOKUP($P176,'Base Grupo de Produtos'!$E$2:$E$18,'Base Grupo de Produtos'!$F$2:$F$18)</f>
        <v>100</v>
      </c>
      <c r="V176" s="56">
        <f>_xlfn.XLOOKUP($N176,'Calculo Leads'!$A$97:$A$134,'Calculo Leads'!I$97:I$134)*_xlfn.XLOOKUP($P176,'Base Grupo de Produtos'!$E$2:$E$18,'Base Grupo de Produtos'!$F$2:$F$18)</f>
        <v>100</v>
      </c>
      <c r="W176" s="56">
        <f>_xlfn.XLOOKUP($N176,'Calculo Leads'!$A$97:$A$134,'Calculo Leads'!J$97:J$134)*_xlfn.XLOOKUP($P176,'Base Grupo de Produtos'!$E$2:$E$18,'Base Grupo de Produtos'!$F$2:$F$18)</f>
        <v>100</v>
      </c>
      <c r="X176" s="56">
        <f>_xlfn.XLOOKUP($N176,'Calculo Leads'!$A$97:$A$134,'Calculo Leads'!K$97:K$134)*_xlfn.XLOOKUP($P176,'Base Grupo de Produtos'!$E$2:$E$18,'Base Grupo de Produtos'!$F$2:$F$18)</f>
        <v>110</v>
      </c>
      <c r="Y176" s="56">
        <f>_xlfn.XLOOKUP($N176,'Calculo Leads'!$A$97:$A$134,'Calculo Leads'!L$97:L$134)*_xlfn.XLOOKUP($P176,'Base Grupo de Produtos'!$E$2:$E$18,'Base Grupo de Produtos'!$F$2:$F$18)</f>
        <v>165</v>
      </c>
      <c r="Z176" s="56">
        <f>_xlfn.XLOOKUP($N176,'Calculo Leads'!$A$97:$A$134,'Calculo Leads'!M$97:M$134)*_xlfn.XLOOKUP($P176,'Base Grupo de Produtos'!$E$2:$E$18,'Base Grupo de Produtos'!$F$2:$F$18)</f>
        <v>165</v>
      </c>
      <c r="AA176" s="56">
        <f>_xlfn.XLOOKUP($N176,'Calculo Leads'!$A$97:$A$134,'Calculo Leads'!N$97:N$134)*_xlfn.XLOOKUP($P176,'Base Grupo de Produtos'!$E$2:$E$18,'Base Grupo de Produtos'!$F$2:$F$18)</f>
        <v>220</v>
      </c>
      <c r="AB176" s="56">
        <f>_xlfn.XLOOKUP($N176,'Calculo Leads'!$A$97:$A$134,'Calculo Leads'!O$97:O$134)*_xlfn.XLOOKUP($P176,'Base Grupo de Produtos'!$E$2:$E$18,'Base Grupo de Produtos'!$F$2:$F$18)</f>
        <v>165</v>
      </c>
      <c r="AC176" s="61">
        <f t="shared" si="152"/>
        <v>1175</v>
      </c>
      <c r="AD176" s="27">
        <f t="shared" si="187"/>
        <v>1175</v>
      </c>
      <c r="AE176" s="25">
        <f>IFERROR(_xlfn.XLOOKUP(N176&amp;P176,'Historico Vendas'!G:G,'Historico Vendas'!E:E),0)</f>
        <v>0</v>
      </c>
      <c r="AF176" s="29" t="str">
        <f t="shared" si="130"/>
        <v/>
      </c>
      <c r="AG176" s="24">
        <f>IFERROR(_xlfn.XLOOKUP(N176&amp;P176,'Historico Vendas'!G:G,'Historico Vendas'!F:F),0)</f>
        <v>0</v>
      </c>
      <c r="AH176" s="25">
        <f t="shared" si="188"/>
        <v>0</v>
      </c>
      <c r="AI176" s="24">
        <f t="shared" si="189"/>
        <v>0</v>
      </c>
      <c r="AJ176" s="11" t="str">
        <f t="shared" si="133"/>
        <v/>
      </c>
      <c r="AK176" s="9" t="s">
        <v>102</v>
      </c>
      <c r="AL176" s="13">
        <f>IFERROR(INDEX('Balizador da Meta'!$D$3:$F$23,MATCH(Faturamento!$P176,'Balizador da Meta'!$C$3:$C$23,0),MATCH(Faturamento!AK176,'Balizador da Meta'!$D$2:$F$2,0)),"")</f>
        <v>0</v>
      </c>
      <c r="AM176" s="9"/>
    </row>
    <row r="177" spans="1:39" x14ac:dyDescent="0.3">
      <c r="A177" s="2" t="str">
        <f t="shared" si="131"/>
        <v>NÃO</v>
      </c>
      <c r="B177" s="2" t="str">
        <f>_xlfn.XLOOKUP($N177,'Base de Grupos'!$A:$A,'Base de Grupos'!$D:$D)</f>
        <v>1000065763</v>
      </c>
      <c r="C177" s="5" t="str">
        <f>_xlfn.XLOOKUP($N177,'Base de Grupos'!$A:$A,'Base de Grupos'!$E:$E)</f>
        <v>CANAL VENDA INTERNA</v>
      </c>
      <c r="D177" s="5" t="str">
        <f>_xlfn.XLOOKUP($N177,'Base de Grupos'!$A:$A,'Base de Grupos'!$F:$F)</f>
        <v>1000065763</v>
      </c>
      <c r="E177" s="2" t="str">
        <f>_xlfn.XLOOKUP($N177,'Base de Grupos'!$A:$A,'Base de Grupos'!$G:$G)</f>
        <v>CANAL VENDA INTERNA</v>
      </c>
      <c r="F177" s="2" t="str">
        <f>_xlfn.XLOOKUP($N177,'Base de Grupos'!$A:$A,'Base de Grupos'!$H:$H)</f>
        <v>1000153245</v>
      </c>
      <c r="G177" s="5" t="str">
        <f>_xlfn.XLOOKUP($N177,'Base de Grupos'!$A:$A,'Base de Grupos'!$I:$I)</f>
        <v>REGIONAL VENDA INTERNA - KEY ACCOUNT</v>
      </c>
      <c r="H177" s="5" t="str">
        <f>_xlfn.XLOOKUP($N177,'Base de Grupos'!$A:$A,'Base de Grupos'!$J:$J)</f>
        <v>1000153245</v>
      </c>
      <c r="I177" s="2" t="str">
        <f>_xlfn.XLOOKUP($N177,'Base de Grupos'!$A:$A,'Base de Grupos'!$K:$K)</f>
        <v>REGIONAL VENDA INTERNA - KEY ACCOUNT</v>
      </c>
      <c r="J177" s="2" t="str">
        <f>_xlfn.XLOOKUP($N177,'Base de Grupos'!$A:$A,'Base de Grupos'!$L:$L)</f>
        <v>1000153245</v>
      </c>
      <c r="K177" s="5" t="str">
        <f>_xlfn.XLOOKUP($N177,'Base de Grupos'!$A:$A,'Base de Grupos'!$M:$M)</f>
        <v>REGIONAL VENDA INTERNA - KEY ACCOUNT</v>
      </c>
      <c r="L177" s="5" t="str">
        <f t="shared" si="132"/>
        <v/>
      </c>
      <c r="M177" s="5" t="str">
        <f>_xlfn.XLOOKUP($N177,'Base de Grupos'!$A:$A,'Base de Grupos'!$C:$C)</f>
        <v>TO</v>
      </c>
      <c r="N177" s="3">
        <v>1346</v>
      </c>
      <c r="O177" s="4" t="s">
        <v>233</v>
      </c>
      <c r="P177" s="5" t="s">
        <v>90</v>
      </c>
      <c r="Q177" s="56">
        <v>0</v>
      </c>
      <c r="R177" s="56">
        <v>0</v>
      </c>
      <c r="S177" s="56">
        <v>0</v>
      </c>
      <c r="T177" s="56">
        <f>_xlfn.XLOOKUP($N177,'Calculo Leads'!$A$97:$A$134,'Calculo Leads'!G$97:G$134)*_xlfn.XLOOKUP($P177,'Base Grupo de Produtos'!$E$2:$E$18,'Base Grupo de Produtos'!$F$2:$F$18)</f>
        <v>50</v>
      </c>
      <c r="U177" s="56">
        <f>_xlfn.XLOOKUP($N177,'Calculo Leads'!$A$97:$A$134,'Calculo Leads'!H$97:H$134)*_xlfn.XLOOKUP($P177,'Base Grupo de Produtos'!$E$2:$E$18,'Base Grupo de Produtos'!$F$2:$F$18)</f>
        <v>100</v>
      </c>
      <c r="V177" s="56">
        <f>_xlfn.XLOOKUP($N177,'Calculo Leads'!$A$97:$A$134,'Calculo Leads'!I$97:I$134)*_xlfn.XLOOKUP($P177,'Base Grupo de Produtos'!$E$2:$E$18,'Base Grupo de Produtos'!$F$2:$F$18)</f>
        <v>100</v>
      </c>
      <c r="W177" s="56">
        <f>_xlfn.XLOOKUP($N177,'Calculo Leads'!$A$97:$A$134,'Calculo Leads'!J$97:J$134)*_xlfn.XLOOKUP($P177,'Base Grupo de Produtos'!$E$2:$E$18,'Base Grupo de Produtos'!$F$2:$F$18)</f>
        <v>100</v>
      </c>
      <c r="X177" s="56">
        <f>_xlfn.XLOOKUP($N177,'Calculo Leads'!$A$97:$A$134,'Calculo Leads'!K$97:K$134)*_xlfn.XLOOKUP($P177,'Base Grupo de Produtos'!$E$2:$E$18,'Base Grupo de Produtos'!$F$2:$F$18)</f>
        <v>110</v>
      </c>
      <c r="Y177" s="56">
        <f>_xlfn.XLOOKUP($N177,'Calculo Leads'!$A$97:$A$134,'Calculo Leads'!L$97:L$134)*_xlfn.XLOOKUP($P177,'Base Grupo de Produtos'!$E$2:$E$18,'Base Grupo de Produtos'!$F$2:$F$18)</f>
        <v>165</v>
      </c>
      <c r="Z177" s="56">
        <f>_xlfn.XLOOKUP($N177,'Calculo Leads'!$A$97:$A$134,'Calculo Leads'!M$97:M$134)*_xlfn.XLOOKUP($P177,'Base Grupo de Produtos'!$E$2:$E$18,'Base Grupo de Produtos'!$F$2:$F$18)</f>
        <v>165</v>
      </c>
      <c r="AA177" s="56">
        <f>_xlfn.XLOOKUP($N177,'Calculo Leads'!$A$97:$A$134,'Calculo Leads'!N$97:N$134)*_xlfn.XLOOKUP($P177,'Base Grupo de Produtos'!$E$2:$E$18,'Base Grupo de Produtos'!$F$2:$F$18)</f>
        <v>220</v>
      </c>
      <c r="AB177" s="56">
        <f>_xlfn.XLOOKUP($N177,'Calculo Leads'!$A$97:$A$134,'Calculo Leads'!O$97:O$134)*_xlfn.XLOOKUP($P177,'Base Grupo de Produtos'!$E$2:$E$18,'Base Grupo de Produtos'!$F$2:$F$18)</f>
        <v>165</v>
      </c>
      <c r="AC177" s="61">
        <f t="shared" si="152"/>
        <v>1175</v>
      </c>
      <c r="AD177" s="27">
        <f t="shared" si="187"/>
        <v>1175</v>
      </c>
      <c r="AE177" s="25">
        <f>IFERROR(_xlfn.XLOOKUP(N177&amp;P177,'Historico Vendas'!G:G,'Historico Vendas'!E:E),0)</f>
        <v>0</v>
      </c>
      <c r="AF177" s="29" t="str">
        <f t="shared" ref="AF177:AF240" si="190">IFERROR((AC177-AE177)/AE177,"")</f>
        <v/>
      </c>
      <c r="AG177" s="24">
        <f>IFERROR(_xlfn.XLOOKUP(N177&amp;P177,'Historico Vendas'!G:G,'Historico Vendas'!F:F),0)</f>
        <v>0</v>
      </c>
      <c r="AH177" s="25">
        <f t="shared" si="188"/>
        <v>0</v>
      </c>
      <c r="AI177" s="24">
        <f t="shared" si="189"/>
        <v>0</v>
      </c>
      <c r="AJ177" s="11" t="str">
        <f t="shared" si="133"/>
        <v/>
      </c>
      <c r="AK177" s="9" t="s">
        <v>102</v>
      </c>
      <c r="AL177" s="13">
        <f>IFERROR(INDEX('Balizador da Meta'!$D$3:$F$23,MATCH(Faturamento!$P177,'Balizador da Meta'!$C$3:$C$23,0),MATCH(Faturamento!AK177,'Balizador da Meta'!$D$2:$F$2,0)),"")</f>
        <v>0</v>
      </c>
      <c r="AM177" s="9"/>
    </row>
    <row r="178" spans="1:39" x14ac:dyDescent="0.3">
      <c r="A178" s="2" t="str">
        <f t="shared" ref="A178:A241" si="191">IF(L178=1,"SIM","NÃO")</f>
        <v>NÃO</v>
      </c>
      <c r="B178" s="2" t="str">
        <f>_xlfn.XLOOKUP($N178,'Base de Grupos'!$A:$A,'Base de Grupos'!$D:$D)</f>
        <v>1000065763</v>
      </c>
      <c r="C178" s="5" t="str">
        <f>_xlfn.XLOOKUP($N178,'Base de Grupos'!$A:$A,'Base de Grupos'!$E:$E)</f>
        <v>CANAL VENDA INTERNA</v>
      </c>
      <c r="D178" s="5" t="str">
        <f>_xlfn.XLOOKUP($N178,'Base de Grupos'!$A:$A,'Base de Grupos'!$F:$F)</f>
        <v>1000065763</v>
      </c>
      <c r="E178" s="2" t="str">
        <f>_xlfn.XLOOKUP($N178,'Base de Grupos'!$A:$A,'Base de Grupos'!$G:$G)</f>
        <v>CANAL VENDA INTERNA</v>
      </c>
      <c r="F178" s="2" t="str">
        <f>_xlfn.XLOOKUP($N178,'Base de Grupos'!$A:$A,'Base de Grupos'!$H:$H)</f>
        <v>1000153245</v>
      </c>
      <c r="G178" s="5" t="str">
        <f>_xlfn.XLOOKUP($N178,'Base de Grupos'!$A:$A,'Base de Grupos'!$I:$I)</f>
        <v>REGIONAL VENDA INTERNA - KEY ACCOUNT</v>
      </c>
      <c r="H178" s="5" t="str">
        <f>_xlfn.XLOOKUP($N178,'Base de Grupos'!$A:$A,'Base de Grupos'!$J:$J)</f>
        <v>1000153245</v>
      </c>
      <c r="I178" s="2" t="str">
        <f>_xlfn.XLOOKUP($N178,'Base de Grupos'!$A:$A,'Base de Grupos'!$K:$K)</f>
        <v>REGIONAL VENDA INTERNA - KEY ACCOUNT</v>
      </c>
      <c r="J178" s="2" t="str">
        <f>_xlfn.XLOOKUP($N178,'Base de Grupos'!$A:$A,'Base de Grupos'!$L:$L)</f>
        <v>1000153245</v>
      </c>
      <c r="K178" s="5" t="str">
        <f>_xlfn.XLOOKUP($N178,'Base de Grupos'!$A:$A,'Base de Grupos'!$M:$M)</f>
        <v>REGIONAL VENDA INTERNA - KEY ACCOUNT</v>
      </c>
      <c r="L178" s="5" t="str">
        <f t="shared" ref="L178:L241" si="192">IF(N178&lt;&gt;N177,1,"")</f>
        <v/>
      </c>
      <c r="M178" s="5" t="str">
        <f>_xlfn.XLOOKUP($N178,'Base de Grupos'!$A:$A,'Base de Grupos'!$C:$C)</f>
        <v>TO</v>
      </c>
      <c r="N178" s="3">
        <v>1346</v>
      </c>
      <c r="O178" s="4" t="s">
        <v>233</v>
      </c>
      <c r="P178" s="5" t="s">
        <v>91</v>
      </c>
      <c r="Q178" s="56">
        <v>0</v>
      </c>
      <c r="R178" s="56">
        <v>0</v>
      </c>
      <c r="S178" s="56">
        <v>0</v>
      </c>
      <c r="T178" s="56">
        <f>_xlfn.XLOOKUP($N178,'Calculo Leads'!$A$97:$A$134,'Calculo Leads'!G$97:G$134)*_xlfn.XLOOKUP($P178,'Base Grupo de Produtos'!$E$2:$E$18,'Base Grupo de Produtos'!$F$2:$F$18)</f>
        <v>0</v>
      </c>
      <c r="U178" s="56">
        <f>_xlfn.XLOOKUP($N178,'Calculo Leads'!$A$97:$A$134,'Calculo Leads'!H$97:H$134)*_xlfn.XLOOKUP($P178,'Base Grupo de Produtos'!$E$2:$E$18,'Base Grupo de Produtos'!$F$2:$F$18)</f>
        <v>0</v>
      </c>
      <c r="V178" s="56">
        <f>_xlfn.XLOOKUP($N178,'Calculo Leads'!$A$97:$A$134,'Calculo Leads'!I$97:I$134)*_xlfn.XLOOKUP($P178,'Base Grupo de Produtos'!$E$2:$E$18,'Base Grupo de Produtos'!$F$2:$F$18)</f>
        <v>0</v>
      </c>
      <c r="W178" s="56">
        <f>_xlfn.XLOOKUP($N178,'Calculo Leads'!$A$97:$A$134,'Calculo Leads'!J$97:J$134)*_xlfn.XLOOKUP($P178,'Base Grupo de Produtos'!$E$2:$E$18,'Base Grupo de Produtos'!$F$2:$F$18)</f>
        <v>0</v>
      </c>
      <c r="X178" s="56">
        <f>_xlfn.XLOOKUP($N178,'Calculo Leads'!$A$97:$A$134,'Calculo Leads'!K$97:K$134)*_xlfn.XLOOKUP($P178,'Base Grupo de Produtos'!$E$2:$E$18,'Base Grupo de Produtos'!$F$2:$F$18)</f>
        <v>0</v>
      </c>
      <c r="Y178" s="56">
        <f>_xlfn.XLOOKUP($N178,'Calculo Leads'!$A$97:$A$134,'Calculo Leads'!L$97:L$134)*_xlfn.XLOOKUP($P178,'Base Grupo de Produtos'!$E$2:$E$18,'Base Grupo de Produtos'!$F$2:$F$18)</f>
        <v>0</v>
      </c>
      <c r="Z178" s="56">
        <f>_xlfn.XLOOKUP($N178,'Calculo Leads'!$A$97:$A$134,'Calculo Leads'!M$97:M$134)*_xlfn.XLOOKUP($P178,'Base Grupo de Produtos'!$E$2:$E$18,'Base Grupo de Produtos'!$F$2:$F$18)</f>
        <v>0</v>
      </c>
      <c r="AA178" s="56">
        <f>_xlfn.XLOOKUP($N178,'Calculo Leads'!$A$97:$A$134,'Calculo Leads'!N$97:N$134)*_xlfn.XLOOKUP($P178,'Base Grupo de Produtos'!$E$2:$E$18,'Base Grupo de Produtos'!$F$2:$F$18)</f>
        <v>0</v>
      </c>
      <c r="AB178" s="56">
        <f>_xlfn.XLOOKUP($N178,'Calculo Leads'!$A$97:$A$134,'Calculo Leads'!O$97:O$134)*_xlfn.XLOOKUP($P178,'Base Grupo de Produtos'!$E$2:$E$18,'Base Grupo de Produtos'!$F$2:$F$18)</f>
        <v>0</v>
      </c>
      <c r="AC178" s="61">
        <f t="shared" si="152"/>
        <v>0</v>
      </c>
      <c r="AD178" s="27">
        <f t="shared" si="187"/>
        <v>0</v>
      </c>
      <c r="AE178" s="25">
        <f>IFERROR(_xlfn.XLOOKUP(N178&amp;P178,'Historico Vendas'!G:G,'Historico Vendas'!E:E),0)</f>
        <v>0</v>
      </c>
      <c r="AF178" s="29" t="str">
        <f t="shared" si="190"/>
        <v/>
      </c>
      <c r="AG178" s="24">
        <f>IFERROR(_xlfn.XLOOKUP(N178&amp;P178,'Historico Vendas'!G:G,'Historico Vendas'!F:F),0)</f>
        <v>0</v>
      </c>
      <c r="AH178" s="25">
        <f t="shared" si="188"/>
        <v>0</v>
      </c>
      <c r="AI178" s="24">
        <f t="shared" si="189"/>
        <v>0</v>
      </c>
      <c r="AJ178" s="11" t="str">
        <f t="shared" si="133"/>
        <v/>
      </c>
      <c r="AK178" s="9" t="s">
        <v>102</v>
      </c>
      <c r="AL178" s="13">
        <f>IFERROR(INDEX('Balizador da Meta'!$D$3:$F$23,MATCH(Faturamento!$P178,'Balizador da Meta'!$C$3:$C$23,0),MATCH(Faturamento!AK178,'Balizador da Meta'!$D$2:$F$2,0)),"")</f>
        <v>0</v>
      </c>
      <c r="AM178" s="9"/>
    </row>
    <row r="179" spans="1:39" x14ac:dyDescent="0.3">
      <c r="A179" s="2" t="str">
        <f t="shared" si="191"/>
        <v>NÃO</v>
      </c>
      <c r="B179" s="2" t="str">
        <f>_xlfn.XLOOKUP($N179,'Base de Grupos'!$A:$A,'Base de Grupos'!$D:$D)</f>
        <v>1000065763</v>
      </c>
      <c r="C179" s="5" t="str">
        <f>_xlfn.XLOOKUP($N179,'Base de Grupos'!$A:$A,'Base de Grupos'!$E:$E)</f>
        <v>CANAL VENDA INTERNA</v>
      </c>
      <c r="D179" s="5" t="str">
        <f>_xlfn.XLOOKUP($N179,'Base de Grupos'!$A:$A,'Base de Grupos'!$F:$F)</f>
        <v>1000065763</v>
      </c>
      <c r="E179" s="2" t="str">
        <f>_xlfn.XLOOKUP($N179,'Base de Grupos'!$A:$A,'Base de Grupos'!$G:$G)</f>
        <v>CANAL VENDA INTERNA</v>
      </c>
      <c r="F179" s="2" t="str">
        <f>_xlfn.XLOOKUP($N179,'Base de Grupos'!$A:$A,'Base de Grupos'!$H:$H)</f>
        <v>1000153245</v>
      </c>
      <c r="G179" s="5" t="str">
        <f>_xlfn.XLOOKUP($N179,'Base de Grupos'!$A:$A,'Base de Grupos'!$I:$I)</f>
        <v>REGIONAL VENDA INTERNA - KEY ACCOUNT</v>
      </c>
      <c r="H179" s="5" t="str">
        <f>_xlfn.XLOOKUP($N179,'Base de Grupos'!$A:$A,'Base de Grupos'!$J:$J)</f>
        <v>1000153245</v>
      </c>
      <c r="I179" s="2" t="str">
        <f>_xlfn.XLOOKUP($N179,'Base de Grupos'!$A:$A,'Base de Grupos'!$K:$K)</f>
        <v>REGIONAL VENDA INTERNA - KEY ACCOUNT</v>
      </c>
      <c r="J179" s="2" t="str">
        <f>_xlfn.XLOOKUP($N179,'Base de Grupos'!$A:$A,'Base de Grupos'!$L:$L)</f>
        <v>1000153245</v>
      </c>
      <c r="K179" s="5" t="str">
        <f>_xlfn.XLOOKUP($N179,'Base de Grupos'!$A:$A,'Base de Grupos'!$M:$M)</f>
        <v>REGIONAL VENDA INTERNA - KEY ACCOUNT</v>
      </c>
      <c r="L179" s="5" t="str">
        <f t="shared" si="192"/>
        <v/>
      </c>
      <c r="M179" s="5" t="str">
        <f>_xlfn.XLOOKUP($N179,'Base de Grupos'!$A:$A,'Base de Grupos'!$C:$C)</f>
        <v>TO</v>
      </c>
      <c r="N179" s="3">
        <v>1346</v>
      </c>
      <c r="O179" s="4" t="s">
        <v>233</v>
      </c>
      <c r="P179" s="5" t="s">
        <v>96</v>
      </c>
      <c r="Q179" s="56">
        <v>0</v>
      </c>
      <c r="R179" s="56">
        <v>0</v>
      </c>
      <c r="S179" s="56">
        <v>0</v>
      </c>
      <c r="T179" s="56">
        <f>_xlfn.XLOOKUP($N179,'Calculo Leads'!$A$97:$A$134,'Calculo Leads'!G$97:G$134)*_xlfn.XLOOKUP($P179,'Base Grupo de Produtos'!$E$2:$E$18,'Base Grupo de Produtos'!$F$2:$F$18)</f>
        <v>70</v>
      </c>
      <c r="U179" s="56">
        <f>_xlfn.XLOOKUP($N179,'Calculo Leads'!$A$97:$A$134,'Calculo Leads'!H$97:H$134)*_xlfn.XLOOKUP($P179,'Base Grupo de Produtos'!$E$2:$E$18,'Base Grupo de Produtos'!$F$2:$F$18)</f>
        <v>140</v>
      </c>
      <c r="V179" s="56">
        <f>_xlfn.XLOOKUP($N179,'Calculo Leads'!$A$97:$A$134,'Calculo Leads'!I$97:I$134)*_xlfn.XLOOKUP($P179,'Base Grupo de Produtos'!$E$2:$E$18,'Base Grupo de Produtos'!$F$2:$F$18)</f>
        <v>140</v>
      </c>
      <c r="W179" s="56">
        <f>_xlfn.XLOOKUP($N179,'Calculo Leads'!$A$97:$A$134,'Calculo Leads'!J$97:J$134)*_xlfn.XLOOKUP($P179,'Base Grupo de Produtos'!$E$2:$E$18,'Base Grupo de Produtos'!$F$2:$F$18)</f>
        <v>140</v>
      </c>
      <c r="X179" s="56">
        <f>_xlfn.XLOOKUP($N179,'Calculo Leads'!$A$97:$A$134,'Calculo Leads'!K$97:K$134)*_xlfn.XLOOKUP($P179,'Base Grupo de Produtos'!$E$2:$E$18,'Base Grupo de Produtos'!$F$2:$F$18)</f>
        <v>154.00000000000003</v>
      </c>
      <c r="Y179" s="56">
        <f>_xlfn.XLOOKUP($N179,'Calculo Leads'!$A$97:$A$134,'Calculo Leads'!L$97:L$134)*_xlfn.XLOOKUP($P179,'Base Grupo de Produtos'!$E$2:$E$18,'Base Grupo de Produtos'!$F$2:$F$18)</f>
        <v>231.00000000000003</v>
      </c>
      <c r="Z179" s="56">
        <f>_xlfn.XLOOKUP($N179,'Calculo Leads'!$A$97:$A$134,'Calculo Leads'!M$97:M$134)*_xlfn.XLOOKUP($P179,'Base Grupo de Produtos'!$E$2:$E$18,'Base Grupo de Produtos'!$F$2:$F$18)</f>
        <v>231.00000000000003</v>
      </c>
      <c r="AA179" s="56">
        <f>_xlfn.XLOOKUP($N179,'Calculo Leads'!$A$97:$A$134,'Calculo Leads'!N$97:N$134)*_xlfn.XLOOKUP($P179,'Base Grupo de Produtos'!$E$2:$E$18,'Base Grupo de Produtos'!$F$2:$F$18)</f>
        <v>308.00000000000006</v>
      </c>
      <c r="AB179" s="56">
        <f>_xlfn.XLOOKUP($N179,'Calculo Leads'!$A$97:$A$134,'Calculo Leads'!O$97:O$134)*_xlfn.XLOOKUP($P179,'Base Grupo de Produtos'!$E$2:$E$18,'Base Grupo de Produtos'!$F$2:$F$18)</f>
        <v>231.00000000000003</v>
      </c>
      <c r="AC179" s="61">
        <f t="shared" si="152"/>
        <v>1645</v>
      </c>
      <c r="AD179" s="27">
        <f t="shared" si="187"/>
        <v>1645</v>
      </c>
      <c r="AE179" s="25">
        <f>IFERROR(_xlfn.XLOOKUP(N179&amp;P179,'Historico Vendas'!G:G,'Historico Vendas'!E:E),0)</f>
        <v>0</v>
      </c>
      <c r="AF179" s="29" t="str">
        <f t="shared" si="190"/>
        <v/>
      </c>
      <c r="AG179" s="24">
        <f>IFERROR(_xlfn.XLOOKUP(N179&amp;P179,'Historico Vendas'!G:G,'Historico Vendas'!F:F),0)</f>
        <v>0</v>
      </c>
      <c r="AH179" s="25">
        <f t="shared" si="188"/>
        <v>0</v>
      </c>
      <c r="AI179" s="24">
        <f t="shared" si="189"/>
        <v>0</v>
      </c>
      <c r="AJ179" s="11" t="str">
        <f t="shared" si="133"/>
        <v/>
      </c>
      <c r="AK179" s="9" t="s">
        <v>102</v>
      </c>
      <c r="AL179" s="13">
        <f>IFERROR(INDEX('Balizador da Meta'!$D$3:$F$23,MATCH(Faturamento!$P179,'Balizador da Meta'!$C$3:$C$23,0),MATCH(Faturamento!AK179,'Balizador da Meta'!$D$2:$F$2,0)),"")</f>
        <v>0</v>
      </c>
      <c r="AM179" s="9"/>
    </row>
    <row r="180" spans="1:39" x14ac:dyDescent="0.3">
      <c r="A180" s="2" t="str">
        <f t="shared" si="191"/>
        <v>NÃO</v>
      </c>
      <c r="B180" s="2" t="str">
        <f>_xlfn.XLOOKUP($N180,'Base de Grupos'!$A:$A,'Base de Grupos'!$D:$D)</f>
        <v>1000065763</v>
      </c>
      <c r="C180" s="5" t="str">
        <f>_xlfn.XLOOKUP($N180,'Base de Grupos'!$A:$A,'Base de Grupos'!$E:$E)</f>
        <v>CANAL VENDA INTERNA</v>
      </c>
      <c r="D180" s="5" t="str">
        <f>_xlfn.XLOOKUP($N180,'Base de Grupos'!$A:$A,'Base de Grupos'!$F:$F)</f>
        <v>1000065763</v>
      </c>
      <c r="E180" s="2" t="str">
        <f>_xlfn.XLOOKUP($N180,'Base de Grupos'!$A:$A,'Base de Grupos'!$G:$G)</f>
        <v>CANAL VENDA INTERNA</v>
      </c>
      <c r="F180" s="2" t="str">
        <f>_xlfn.XLOOKUP($N180,'Base de Grupos'!$A:$A,'Base de Grupos'!$H:$H)</f>
        <v>1000153245</v>
      </c>
      <c r="G180" s="5" t="str">
        <f>_xlfn.XLOOKUP($N180,'Base de Grupos'!$A:$A,'Base de Grupos'!$I:$I)</f>
        <v>REGIONAL VENDA INTERNA - KEY ACCOUNT</v>
      </c>
      <c r="H180" s="5" t="str">
        <f>_xlfn.XLOOKUP($N180,'Base de Grupos'!$A:$A,'Base de Grupos'!$J:$J)</f>
        <v>1000153245</v>
      </c>
      <c r="I180" s="2" t="str">
        <f>_xlfn.XLOOKUP($N180,'Base de Grupos'!$A:$A,'Base de Grupos'!$K:$K)</f>
        <v>REGIONAL VENDA INTERNA - KEY ACCOUNT</v>
      </c>
      <c r="J180" s="2" t="str">
        <f>_xlfn.XLOOKUP($N180,'Base de Grupos'!$A:$A,'Base de Grupos'!$L:$L)</f>
        <v>1000153245</v>
      </c>
      <c r="K180" s="5" t="str">
        <f>_xlfn.XLOOKUP($N180,'Base de Grupos'!$A:$A,'Base de Grupos'!$M:$M)</f>
        <v>REGIONAL VENDA INTERNA - KEY ACCOUNT</v>
      </c>
      <c r="L180" s="5" t="str">
        <f t="shared" si="192"/>
        <v/>
      </c>
      <c r="M180" s="5" t="str">
        <f>_xlfn.XLOOKUP($N180,'Base de Grupos'!$A:$A,'Base de Grupos'!$C:$C)</f>
        <v>TO</v>
      </c>
      <c r="N180" s="3">
        <v>1346</v>
      </c>
      <c r="O180" s="4" t="s">
        <v>233</v>
      </c>
      <c r="P180" s="5" t="s">
        <v>94</v>
      </c>
      <c r="Q180" s="56">
        <v>0</v>
      </c>
      <c r="R180" s="56">
        <v>0</v>
      </c>
      <c r="S180" s="56">
        <v>0</v>
      </c>
      <c r="T180" s="56">
        <f>_xlfn.XLOOKUP($N180,'Calculo Leads'!$A$97:$A$134,'Calculo Leads'!G$97:G$134)*_xlfn.XLOOKUP($P180,'Base Grupo de Produtos'!$E$2:$E$18,'Base Grupo de Produtos'!$F$2:$F$18)</f>
        <v>49.999999999999993</v>
      </c>
      <c r="U180" s="56">
        <f>_xlfn.XLOOKUP($N180,'Calculo Leads'!$A$97:$A$134,'Calculo Leads'!H$97:H$134)*_xlfn.XLOOKUP($P180,'Base Grupo de Produtos'!$E$2:$E$18,'Base Grupo de Produtos'!$F$2:$F$18)</f>
        <v>99.999999999999986</v>
      </c>
      <c r="V180" s="56">
        <f>_xlfn.XLOOKUP($N180,'Calculo Leads'!$A$97:$A$134,'Calculo Leads'!I$97:I$134)*_xlfn.XLOOKUP($P180,'Base Grupo de Produtos'!$E$2:$E$18,'Base Grupo de Produtos'!$F$2:$F$18)</f>
        <v>99.999999999999986</v>
      </c>
      <c r="W180" s="56">
        <f>_xlfn.XLOOKUP($N180,'Calculo Leads'!$A$97:$A$134,'Calculo Leads'!J$97:J$134)*_xlfn.XLOOKUP($P180,'Base Grupo de Produtos'!$E$2:$E$18,'Base Grupo de Produtos'!$F$2:$F$18)</f>
        <v>99.999999999999986</v>
      </c>
      <c r="X180" s="56">
        <f>_xlfn.XLOOKUP($N180,'Calculo Leads'!$A$97:$A$134,'Calculo Leads'!K$97:K$134)*_xlfn.XLOOKUP($P180,'Base Grupo de Produtos'!$E$2:$E$18,'Base Grupo de Produtos'!$F$2:$F$18)</f>
        <v>109.99999999999999</v>
      </c>
      <c r="Y180" s="56">
        <f>_xlfn.XLOOKUP($N180,'Calculo Leads'!$A$97:$A$134,'Calculo Leads'!L$97:L$134)*_xlfn.XLOOKUP($P180,'Base Grupo de Produtos'!$E$2:$E$18,'Base Grupo de Produtos'!$F$2:$F$18)</f>
        <v>165</v>
      </c>
      <c r="Z180" s="56">
        <f>_xlfn.XLOOKUP($N180,'Calculo Leads'!$A$97:$A$134,'Calculo Leads'!M$97:M$134)*_xlfn.XLOOKUP($P180,'Base Grupo de Produtos'!$E$2:$E$18,'Base Grupo de Produtos'!$F$2:$F$18)</f>
        <v>165</v>
      </c>
      <c r="AA180" s="56">
        <f>_xlfn.XLOOKUP($N180,'Calculo Leads'!$A$97:$A$134,'Calculo Leads'!N$97:N$134)*_xlfn.XLOOKUP($P180,'Base Grupo de Produtos'!$E$2:$E$18,'Base Grupo de Produtos'!$F$2:$F$18)</f>
        <v>219.99999999999997</v>
      </c>
      <c r="AB180" s="56">
        <f>_xlfn.XLOOKUP($N180,'Calculo Leads'!$A$97:$A$134,'Calculo Leads'!O$97:O$134)*_xlfn.XLOOKUP($P180,'Base Grupo de Produtos'!$E$2:$E$18,'Base Grupo de Produtos'!$F$2:$F$18)</f>
        <v>165</v>
      </c>
      <c r="AC180" s="61">
        <f t="shared" si="152"/>
        <v>1175</v>
      </c>
      <c r="AD180" s="27">
        <f t="shared" si="187"/>
        <v>1175</v>
      </c>
      <c r="AE180" s="25">
        <f>IFERROR(_xlfn.XLOOKUP(N180&amp;P180,'Historico Vendas'!G:G,'Historico Vendas'!E:E),0)</f>
        <v>0</v>
      </c>
      <c r="AF180" s="29" t="str">
        <f t="shared" si="190"/>
        <v/>
      </c>
      <c r="AG180" s="24">
        <f>IFERROR(_xlfn.XLOOKUP(N180&amp;P180,'Historico Vendas'!G:G,'Historico Vendas'!F:F),0)</f>
        <v>0</v>
      </c>
      <c r="AH180" s="25">
        <f t="shared" si="188"/>
        <v>0</v>
      </c>
      <c r="AI180" s="24">
        <f t="shared" si="189"/>
        <v>0</v>
      </c>
      <c r="AJ180" s="11" t="str">
        <f t="shared" si="133"/>
        <v/>
      </c>
      <c r="AK180" s="9" t="s">
        <v>102</v>
      </c>
      <c r="AL180" s="13">
        <f>IFERROR(INDEX('Balizador da Meta'!$D$3:$F$23,MATCH(Faturamento!$P180,'Balizador da Meta'!$C$3:$C$23,0),MATCH(Faturamento!AK180,'Balizador da Meta'!$D$2:$F$2,0)),"")</f>
        <v>0.25</v>
      </c>
      <c r="AM180" s="9"/>
    </row>
    <row r="181" spans="1:39" x14ac:dyDescent="0.3">
      <c r="A181" s="2" t="str">
        <f t="shared" si="191"/>
        <v>NÃO</v>
      </c>
      <c r="B181" s="2" t="str">
        <f>_xlfn.XLOOKUP($N181,'Base de Grupos'!$A:$A,'Base de Grupos'!$D:$D)</f>
        <v>1000065763</v>
      </c>
      <c r="C181" s="5" t="str">
        <f>_xlfn.XLOOKUP($N181,'Base de Grupos'!$A:$A,'Base de Grupos'!$E:$E)</f>
        <v>CANAL VENDA INTERNA</v>
      </c>
      <c r="D181" s="5" t="str">
        <f>_xlfn.XLOOKUP($N181,'Base de Grupos'!$A:$A,'Base de Grupos'!$F:$F)</f>
        <v>1000065763</v>
      </c>
      <c r="E181" s="2" t="str">
        <f>_xlfn.XLOOKUP($N181,'Base de Grupos'!$A:$A,'Base de Grupos'!$G:$G)</f>
        <v>CANAL VENDA INTERNA</v>
      </c>
      <c r="F181" s="2" t="str">
        <f>_xlfn.XLOOKUP($N181,'Base de Grupos'!$A:$A,'Base de Grupos'!$H:$H)</f>
        <v>1000153245</v>
      </c>
      <c r="G181" s="5" t="str">
        <f>_xlfn.XLOOKUP($N181,'Base de Grupos'!$A:$A,'Base de Grupos'!$I:$I)</f>
        <v>REGIONAL VENDA INTERNA - KEY ACCOUNT</v>
      </c>
      <c r="H181" s="5" t="str">
        <f>_xlfn.XLOOKUP($N181,'Base de Grupos'!$A:$A,'Base de Grupos'!$J:$J)</f>
        <v>1000153245</v>
      </c>
      <c r="I181" s="2" t="str">
        <f>_xlfn.XLOOKUP($N181,'Base de Grupos'!$A:$A,'Base de Grupos'!$K:$K)</f>
        <v>REGIONAL VENDA INTERNA - KEY ACCOUNT</v>
      </c>
      <c r="J181" s="2" t="str">
        <f>_xlfn.XLOOKUP($N181,'Base de Grupos'!$A:$A,'Base de Grupos'!$L:$L)</f>
        <v>1000153245</v>
      </c>
      <c r="K181" s="5" t="str">
        <f>_xlfn.XLOOKUP($N181,'Base de Grupos'!$A:$A,'Base de Grupos'!$M:$M)</f>
        <v>REGIONAL VENDA INTERNA - KEY ACCOUNT</v>
      </c>
      <c r="L181" s="5" t="str">
        <f t="shared" si="192"/>
        <v/>
      </c>
      <c r="M181" s="5" t="str">
        <f>_xlfn.XLOOKUP($N181,'Base de Grupos'!$A:$A,'Base de Grupos'!$C:$C)</f>
        <v>TO</v>
      </c>
      <c r="N181" s="3">
        <v>1346</v>
      </c>
      <c r="O181" s="4" t="s">
        <v>233</v>
      </c>
      <c r="P181" s="5" t="s">
        <v>95</v>
      </c>
      <c r="Q181" s="56">
        <v>0</v>
      </c>
      <c r="R181" s="56">
        <v>0</v>
      </c>
      <c r="S181" s="56">
        <v>0</v>
      </c>
      <c r="T181" s="56">
        <f>_xlfn.XLOOKUP($N181,'Calculo Leads'!$A$97:$A$134,'Calculo Leads'!G$97:G$134)*_xlfn.XLOOKUP($P181,'Base Grupo de Produtos'!$E$2:$E$18,'Base Grupo de Produtos'!$F$2:$F$18)</f>
        <v>80</v>
      </c>
      <c r="U181" s="56">
        <f>_xlfn.XLOOKUP($N181,'Calculo Leads'!$A$97:$A$134,'Calculo Leads'!H$97:H$134)*_xlfn.XLOOKUP($P181,'Base Grupo de Produtos'!$E$2:$E$18,'Base Grupo de Produtos'!$F$2:$F$18)</f>
        <v>160</v>
      </c>
      <c r="V181" s="56">
        <f>_xlfn.XLOOKUP($N181,'Calculo Leads'!$A$97:$A$134,'Calculo Leads'!I$97:I$134)*_xlfn.XLOOKUP($P181,'Base Grupo de Produtos'!$E$2:$E$18,'Base Grupo de Produtos'!$F$2:$F$18)</f>
        <v>160</v>
      </c>
      <c r="W181" s="56">
        <f>_xlfn.XLOOKUP($N181,'Calculo Leads'!$A$97:$A$134,'Calculo Leads'!J$97:J$134)*_xlfn.XLOOKUP($P181,'Base Grupo de Produtos'!$E$2:$E$18,'Base Grupo de Produtos'!$F$2:$F$18)</f>
        <v>160</v>
      </c>
      <c r="X181" s="56">
        <f>_xlfn.XLOOKUP($N181,'Calculo Leads'!$A$97:$A$134,'Calculo Leads'!K$97:K$134)*_xlfn.XLOOKUP($P181,'Base Grupo de Produtos'!$E$2:$E$18,'Base Grupo de Produtos'!$F$2:$F$18)</f>
        <v>176</v>
      </c>
      <c r="Y181" s="56">
        <f>_xlfn.XLOOKUP($N181,'Calculo Leads'!$A$97:$A$134,'Calculo Leads'!L$97:L$134)*_xlfn.XLOOKUP($P181,'Base Grupo de Produtos'!$E$2:$E$18,'Base Grupo de Produtos'!$F$2:$F$18)</f>
        <v>264</v>
      </c>
      <c r="Z181" s="56">
        <f>_xlfn.XLOOKUP($N181,'Calculo Leads'!$A$97:$A$134,'Calculo Leads'!M$97:M$134)*_xlfn.XLOOKUP($P181,'Base Grupo de Produtos'!$E$2:$E$18,'Base Grupo de Produtos'!$F$2:$F$18)</f>
        <v>264</v>
      </c>
      <c r="AA181" s="56">
        <f>_xlfn.XLOOKUP($N181,'Calculo Leads'!$A$97:$A$134,'Calculo Leads'!N$97:N$134)*_xlfn.XLOOKUP($P181,'Base Grupo de Produtos'!$E$2:$E$18,'Base Grupo de Produtos'!$F$2:$F$18)</f>
        <v>352</v>
      </c>
      <c r="AB181" s="56">
        <f>_xlfn.XLOOKUP($N181,'Calculo Leads'!$A$97:$A$134,'Calculo Leads'!O$97:O$134)*_xlfn.XLOOKUP($P181,'Base Grupo de Produtos'!$E$2:$E$18,'Base Grupo de Produtos'!$F$2:$F$18)</f>
        <v>264</v>
      </c>
      <c r="AC181" s="61">
        <f t="shared" si="152"/>
        <v>1880</v>
      </c>
      <c r="AD181" s="27">
        <f t="shared" si="187"/>
        <v>1880</v>
      </c>
      <c r="AE181" s="25">
        <f>IFERROR(_xlfn.XLOOKUP(N181&amp;P181,'Historico Vendas'!G:G,'Historico Vendas'!E:E),0)</f>
        <v>0</v>
      </c>
      <c r="AF181" s="29" t="str">
        <f t="shared" si="190"/>
        <v/>
      </c>
      <c r="AG181" s="24">
        <f>IFERROR(_xlfn.XLOOKUP(N181&amp;P181,'Historico Vendas'!G:G,'Historico Vendas'!F:F),0)</f>
        <v>0</v>
      </c>
      <c r="AH181" s="25">
        <f t="shared" si="188"/>
        <v>0</v>
      </c>
      <c r="AI181" s="24">
        <f t="shared" si="189"/>
        <v>0</v>
      </c>
      <c r="AJ181" s="11" t="str">
        <f t="shared" si="133"/>
        <v/>
      </c>
      <c r="AK181" s="9" t="s">
        <v>102</v>
      </c>
      <c r="AL181" s="13">
        <f>IFERROR(INDEX('Balizador da Meta'!$D$3:$F$23,MATCH(Faturamento!$P181,'Balizador da Meta'!$C$3:$C$23,0),MATCH(Faturamento!AK181,'Balizador da Meta'!$D$2:$F$2,0)),"")</f>
        <v>0.25</v>
      </c>
      <c r="AM181" s="9"/>
    </row>
    <row r="182" spans="1:39" x14ac:dyDescent="0.3">
      <c r="A182" s="2" t="str">
        <f t="shared" si="191"/>
        <v>NÃO</v>
      </c>
      <c r="B182" s="2" t="str">
        <f>_xlfn.XLOOKUP($N182,'Base de Grupos'!$A:$A,'Base de Grupos'!$D:$D)</f>
        <v>1000065763</v>
      </c>
      <c r="C182" s="5" t="str">
        <f>_xlfn.XLOOKUP($N182,'Base de Grupos'!$A:$A,'Base de Grupos'!$E:$E)</f>
        <v>CANAL VENDA INTERNA</v>
      </c>
      <c r="D182" s="5" t="str">
        <f>_xlfn.XLOOKUP($N182,'Base de Grupos'!$A:$A,'Base de Grupos'!$F:$F)</f>
        <v>1000065763</v>
      </c>
      <c r="E182" s="2" t="str">
        <f>_xlfn.XLOOKUP($N182,'Base de Grupos'!$A:$A,'Base de Grupos'!$G:$G)</f>
        <v>CANAL VENDA INTERNA</v>
      </c>
      <c r="F182" s="2" t="str">
        <f>_xlfn.XLOOKUP($N182,'Base de Grupos'!$A:$A,'Base de Grupos'!$H:$H)</f>
        <v>1000153245</v>
      </c>
      <c r="G182" s="5" t="str">
        <f>_xlfn.XLOOKUP($N182,'Base de Grupos'!$A:$A,'Base de Grupos'!$I:$I)</f>
        <v>REGIONAL VENDA INTERNA - KEY ACCOUNT</v>
      </c>
      <c r="H182" s="5" t="str">
        <f>_xlfn.XLOOKUP($N182,'Base de Grupos'!$A:$A,'Base de Grupos'!$J:$J)</f>
        <v>1000153245</v>
      </c>
      <c r="I182" s="2" t="str">
        <f>_xlfn.XLOOKUP($N182,'Base de Grupos'!$A:$A,'Base de Grupos'!$K:$K)</f>
        <v>REGIONAL VENDA INTERNA - KEY ACCOUNT</v>
      </c>
      <c r="J182" s="2" t="str">
        <f>_xlfn.XLOOKUP($N182,'Base de Grupos'!$A:$A,'Base de Grupos'!$L:$L)</f>
        <v>1000153245</v>
      </c>
      <c r="K182" s="5" t="str">
        <f>_xlfn.XLOOKUP($N182,'Base de Grupos'!$A:$A,'Base de Grupos'!$M:$M)</f>
        <v>REGIONAL VENDA INTERNA - KEY ACCOUNT</v>
      </c>
      <c r="L182" s="5" t="str">
        <f t="shared" si="192"/>
        <v/>
      </c>
      <c r="M182" s="5" t="str">
        <f>_xlfn.XLOOKUP($N182,'Base de Grupos'!$A:$A,'Base de Grupos'!$C:$C)</f>
        <v>TO</v>
      </c>
      <c r="N182" s="3">
        <v>1346</v>
      </c>
      <c r="O182" s="4" t="s">
        <v>233</v>
      </c>
      <c r="P182" s="5" t="s">
        <v>93</v>
      </c>
      <c r="Q182" s="56">
        <v>0</v>
      </c>
      <c r="R182" s="56">
        <v>0</v>
      </c>
      <c r="S182" s="56">
        <v>0</v>
      </c>
      <c r="T182" s="56">
        <f>_xlfn.XLOOKUP($N182,'Calculo Leads'!$A$97:$A$134,'Calculo Leads'!G$97:G$134)*_xlfn.XLOOKUP($P182,'Base Grupo de Produtos'!$E$2:$E$18,'Base Grupo de Produtos'!$F$2:$F$18)</f>
        <v>30</v>
      </c>
      <c r="U182" s="56">
        <f>_xlfn.XLOOKUP($N182,'Calculo Leads'!$A$97:$A$134,'Calculo Leads'!H$97:H$134)*_xlfn.XLOOKUP($P182,'Base Grupo de Produtos'!$E$2:$E$18,'Base Grupo de Produtos'!$F$2:$F$18)</f>
        <v>60</v>
      </c>
      <c r="V182" s="56">
        <f>_xlfn.XLOOKUP($N182,'Calculo Leads'!$A$97:$A$134,'Calculo Leads'!I$97:I$134)*_xlfn.XLOOKUP($P182,'Base Grupo de Produtos'!$E$2:$E$18,'Base Grupo de Produtos'!$F$2:$F$18)</f>
        <v>60</v>
      </c>
      <c r="W182" s="56">
        <f>_xlfn.XLOOKUP($N182,'Calculo Leads'!$A$97:$A$134,'Calculo Leads'!J$97:J$134)*_xlfn.XLOOKUP($P182,'Base Grupo de Produtos'!$E$2:$E$18,'Base Grupo de Produtos'!$F$2:$F$18)</f>
        <v>60</v>
      </c>
      <c r="X182" s="56">
        <f>_xlfn.XLOOKUP($N182,'Calculo Leads'!$A$97:$A$134,'Calculo Leads'!K$97:K$134)*_xlfn.XLOOKUP($P182,'Base Grupo de Produtos'!$E$2:$E$18,'Base Grupo de Produtos'!$F$2:$F$18)</f>
        <v>66</v>
      </c>
      <c r="Y182" s="56">
        <f>_xlfn.XLOOKUP($N182,'Calculo Leads'!$A$97:$A$134,'Calculo Leads'!L$97:L$134)*_xlfn.XLOOKUP($P182,'Base Grupo de Produtos'!$E$2:$E$18,'Base Grupo de Produtos'!$F$2:$F$18)</f>
        <v>99</v>
      </c>
      <c r="Z182" s="56">
        <f>_xlfn.XLOOKUP($N182,'Calculo Leads'!$A$97:$A$134,'Calculo Leads'!M$97:M$134)*_xlfn.XLOOKUP($P182,'Base Grupo de Produtos'!$E$2:$E$18,'Base Grupo de Produtos'!$F$2:$F$18)</f>
        <v>99</v>
      </c>
      <c r="AA182" s="56">
        <f>_xlfn.XLOOKUP($N182,'Calculo Leads'!$A$97:$A$134,'Calculo Leads'!N$97:N$134)*_xlfn.XLOOKUP($P182,'Base Grupo de Produtos'!$E$2:$E$18,'Base Grupo de Produtos'!$F$2:$F$18)</f>
        <v>132</v>
      </c>
      <c r="AB182" s="56">
        <f>_xlfn.XLOOKUP($N182,'Calculo Leads'!$A$97:$A$134,'Calculo Leads'!O$97:O$134)*_xlfn.XLOOKUP($P182,'Base Grupo de Produtos'!$E$2:$E$18,'Base Grupo de Produtos'!$F$2:$F$18)</f>
        <v>99</v>
      </c>
      <c r="AC182" s="61">
        <f t="shared" si="152"/>
        <v>705</v>
      </c>
      <c r="AD182" s="27">
        <f t="shared" si="187"/>
        <v>705</v>
      </c>
      <c r="AE182" s="25">
        <f>IFERROR(_xlfn.XLOOKUP(N182&amp;P182,'Historico Vendas'!G:G,'Historico Vendas'!E:E),0)</f>
        <v>0</v>
      </c>
      <c r="AF182" s="29" t="str">
        <f t="shared" si="190"/>
        <v/>
      </c>
      <c r="AG182" s="24">
        <f>IFERROR(_xlfn.XLOOKUP(N182&amp;P182,'Historico Vendas'!G:G,'Historico Vendas'!F:F),0)</f>
        <v>0</v>
      </c>
      <c r="AH182" s="25">
        <f t="shared" si="188"/>
        <v>0</v>
      </c>
      <c r="AI182" s="24">
        <f t="shared" si="189"/>
        <v>0</v>
      </c>
      <c r="AJ182" s="11" t="str">
        <f t="shared" si="133"/>
        <v/>
      </c>
      <c r="AK182" s="9" t="s">
        <v>102</v>
      </c>
      <c r="AL182" s="13">
        <f>IFERROR(INDEX('Balizador da Meta'!$D$3:$F$23,MATCH(Faturamento!$P182,'Balizador da Meta'!$C$3:$C$23,0),MATCH(Faturamento!AK182,'Balizador da Meta'!$D$2:$F$2,0)),"")</f>
        <v>0.2</v>
      </c>
      <c r="AM182" s="9"/>
    </row>
    <row r="183" spans="1:39" x14ac:dyDescent="0.3">
      <c r="A183" s="2" t="str">
        <f t="shared" si="191"/>
        <v>SIM</v>
      </c>
      <c r="B183" s="2" t="str">
        <f>_xlfn.XLOOKUP($N183,'Base de Grupos'!$A:$A,'Base de Grupos'!$D:$D)</f>
        <v>1000065763</v>
      </c>
      <c r="C183" s="5" t="str">
        <f>_xlfn.XLOOKUP($N183,'Base de Grupos'!$A:$A,'Base de Grupos'!$E:$E)</f>
        <v>CANAL VENDA INTERNA</v>
      </c>
      <c r="D183" s="5" t="str">
        <f>_xlfn.XLOOKUP($N183,'Base de Grupos'!$A:$A,'Base de Grupos'!$F:$F)</f>
        <v>1000065763</v>
      </c>
      <c r="E183" s="2" t="str">
        <f>_xlfn.XLOOKUP($N183,'Base de Grupos'!$A:$A,'Base de Grupos'!$G:$G)</f>
        <v>CANAL VENDA INTERNA</v>
      </c>
      <c r="F183" s="2" t="str">
        <f>_xlfn.XLOOKUP($N183,'Base de Grupos'!$A:$A,'Base de Grupos'!$H:$H)</f>
        <v>1000105900</v>
      </c>
      <c r="G183" s="5" t="str">
        <f>_xlfn.XLOOKUP($N183,'Base de Grupos'!$A:$A,'Base de Grupos'!$I:$I)</f>
        <v>REGIONAL VENDA DIRETA CO + NE + NO</v>
      </c>
      <c r="H183" s="5" t="str">
        <f>_xlfn.XLOOKUP($N183,'Base de Grupos'!$A:$A,'Base de Grupos'!$J:$J)</f>
        <v>1000105900</v>
      </c>
      <c r="I183" s="2" t="str">
        <f>_xlfn.XLOOKUP($N183,'Base de Grupos'!$A:$A,'Base de Grupos'!$K:$K)</f>
        <v>REGIONAL VENDA DIRETA CO + NE + NO</v>
      </c>
      <c r="J183" s="2" t="str">
        <f>_xlfn.XLOOKUP($N183,'Base de Grupos'!$A:$A,'Base de Grupos'!$L:$L)</f>
        <v>1000150135</v>
      </c>
      <c r="K183" s="5" t="str">
        <f>_xlfn.XLOOKUP($N183,'Base de Grupos'!$A:$A,'Base de Grupos'!$M:$M)</f>
        <v>HELDER DA SILVA BRUNKOW</v>
      </c>
      <c r="L183" s="5">
        <f t="shared" si="192"/>
        <v>1</v>
      </c>
      <c r="M183" s="5" t="str">
        <f>_xlfn.XLOOKUP($N183,'Base de Grupos'!$A:$A,'Base de Grupos'!$C:$C)</f>
        <v>RO</v>
      </c>
      <c r="N183" s="3">
        <v>1347</v>
      </c>
      <c r="O183" s="4" t="s">
        <v>234</v>
      </c>
      <c r="P183" s="5" t="s">
        <v>304</v>
      </c>
      <c r="Q183" s="56">
        <f t="shared" ref="Q183" si="193">SUM(Q184:Q200)</f>
        <v>0</v>
      </c>
      <c r="R183" s="56">
        <f t="shared" ref="R183" si="194">SUM(R184:R200)</f>
        <v>0</v>
      </c>
      <c r="S183" s="56">
        <f t="shared" ref="S183" si="195">SUM(S184:S200)</f>
        <v>0</v>
      </c>
      <c r="T183" s="56">
        <f t="shared" ref="T183" si="196">SUM(T184:T200)</f>
        <v>1000</v>
      </c>
      <c r="U183" s="56">
        <f t="shared" ref="U183" si="197">SUM(U184:U200)</f>
        <v>1000</v>
      </c>
      <c r="V183" s="56">
        <f t="shared" ref="V183" si="198">SUM(V184:V200)</f>
        <v>2000</v>
      </c>
      <c r="W183" s="56">
        <f t="shared" ref="W183" si="199">SUM(W184:W200)</f>
        <v>2000</v>
      </c>
      <c r="X183" s="56">
        <f t="shared" ref="X183" si="200">SUM(X184:X200)</f>
        <v>2200</v>
      </c>
      <c r="Y183" s="56">
        <f t="shared" ref="Y183" si="201">SUM(Y184:Y200)</f>
        <v>2200</v>
      </c>
      <c r="Z183" s="56">
        <f t="shared" ref="Z183" si="202">SUM(Z184:Z200)</f>
        <v>3300</v>
      </c>
      <c r="AA183" s="56">
        <f t="shared" ref="AA183" si="203">SUM(AA184:AA200)</f>
        <v>3300</v>
      </c>
      <c r="AB183" s="56">
        <f t="shared" ref="AB183" si="204">SUM(AB184:AB200)</f>
        <v>2200</v>
      </c>
      <c r="AC183" s="56">
        <f t="shared" ref="AC183" si="205">SUM(AC184:AC200)</f>
        <v>19200</v>
      </c>
      <c r="AD183" s="25">
        <f t="shared" ref="AD183" si="206">SUM(AD184:AD200)</f>
        <v>19200</v>
      </c>
      <c r="AE183" s="25">
        <f t="shared" ref="AE183:AI183" si="207">SUM(AE184:AE200)</f>
        <v>0</v>
      </c>
      <c r="AF183" s="11" t="str">
        <f t="shared" si="190"/>
        <v/>
      </c>
      <c r="AG183" s="24">
        <f t="shared" si="207"/>
        <v>0</v>
      </c>
      <c r="AH183" s="25">
        <f t="shared" si="207"/>
        <v>0</v>
      </c>
      <c r="AI183" s="24">
        <f t="shared" si="207"/>
        <v>0</v>
      </c>
      <c r="AJ183" s="11" t="str">
        <f t="shared" si="133"/>
        <v/>
      </c>
      <c r="AK183" s="9"/>
      <c r="AL183" s="13"/>
      <c r="AM183" s="9"/>
    </row>
    <row r="184" spans="1:39" x14ac:dyDescent="0.3">
      <c r="A184" s="2" t="str">
        <f t="shared" si="191"/>
        <v>NÃO</v>
      </c>
      <c r="B184" s="2" t="str">
        <f>_xlfn.XLOOKUP($N184,'Base de Grupos'!$A:$A,'Base de Grupos'!$D:$D)</f>
        <v>1000065763</v>
      </c>
      <c r="C184" s="5" t="str">
        <f>_xlfn.XLOOKUP($N184,'Base de Grupos'!$A:$A,'Base de Grupos'!$E:$E)</f>
        <v>CANAL VENDA INTERNA</v>
      </c>
      <c r="D184" s="5" t="str">
        <f>_xlfn.XLOOKUP($N184,'Base de Grupos'!$A:$A,'Base de Grupos'!$F:$F)</f>
        <v>1000065763</v>
      </c>
      <c r="E184" s="2" t="str">
        <f>_xlfn.XLOOKUP($N184,'Base de Grupos'!$A:$A,'Base de Grupos'!$G:$G)</f>
        <v>CANAL VENDA INTERNA</v>
      </c>
      <c r="F184" s="2" t="str">
        <f>_xlfn.XLOOKUP($N184,'Base de Grupos'!$A:$A,'Base de Grupos'!$H:$H)</f>
        <v>1000105900</v>
      </c>
      <c r="G184" s="5" t="str">
        <f>_xlfn.XLOOKUP($N184,'Base de Grupos'!$A:$A,'Base de Grupos'!$I:$I)</f>
        <v>REGIONAL VENDA DIRETA CO + NE + NO</v>
      </c>
      <c r="H184" s="5" t="str">
        <f>_xlfn.XLOOKUP($N184,'Base de Grupos'!$A:$A,'Base de Grupos'!$J:$J)</f>
        <v>1000105900</v>
      </c>
      <c r="I184" s="2" t="str">
        <f>_xlfn.XLOOKUP($N184,'Base de Grupos'!$A:$A,'Base de Grupos'!$K:$K)</f>
        <v>REGIONAL VENDA DIRETA CO + NE + NO</v>
      </c>
      <c r="J184" s="2" t="str">
        <f>_xlfn.XLOOKUP($N184,'Base de Grupos'!$A:$A,'Base de Grupos'!$L:$L)</f>
        <v>1000150135</v>
      </c>
      <c r="K184" s="5" t="str">
        <f>_xlfn.XLOOKUP($N184,'Base de Grupos'!$A:$A,'Base de Grupos'!$M:$M)</f>
        <v>HELDER DA SILVA BRUNKOW</v>
      </c>
      <c r="L184" s="5" t="str">
        <f t="shared" si="192"/>
        <v/>
      </c>
      <c r="M184" s="5" t="str">
        <f>_xlfn.XLOOKUP($N184,'Base de Grupos'!$A:$A,'Base de Grupos'!$C:$C)</f>
        <v>RO</v>
      </c>
      <c r="N184" s="3">
        <v>1347</v>
      </c>
      <c r="O184" s="4" t="s">
        <v>234</v>
      </c>
      <c r="P184" s="5" t="s">
        <v>81</v>
      </c>
      <c r="Q184" s="56">
        <v>0</v>
      </c>
      <c r="R184" s="56">
        <v>0</v>
      </c>
      <c r="S184" s="56">
        <v>0</v>
      </c>
      <c r="T184" s="56">
        <f>_xlfn.XLOOKUP($N184,'Calculo Leads'!$A$97:$A$134,'Calculo Leads'!G$97:G$134)*_xlfn.XLOOKUP($P184,'Base Grupo de Produtos'!$E$2:$E$18,'Base Grupo de Produtos'!$F$2:$F$18)</f>
        <v>50</v>
      </c>
      <c r="U184" s="56">
        <f>_xlfn.XLOOKUP($N184,'Calculo Leads'!$A$97:$A$134,'Calculo Leads'!H$97:H$134)*_xlfn.XLOOKUP($P184,'Base Grupo de Produtos'!$E$2:$E$18,'Base Grupo de Produtos'!$F$2:$F$18)</f>
        <v>50</v>
      </c>
      <c r="V184" s="56">
        <f>_xlfn.XLOOKUP($N184,'Calculo Leads'!$A$97:$A$134,'Calculo Leads'!I$97:I$134)*_xlfn.XLOOKUP($P184,'Base Grupo de Produtos'!$E$2:$E$18,'Base Grupo de Produtos'!$F$2:$F$18)</f>
        <v>100</v>
      </c>
      <c r="W184" s="56">
        <f>_xlfn.XLOOKUP($N184,'Calculo Leads'!$A$97:$A$134,'Calculo Leads'!J$97:J$134)*_xlfn.XLOOKUP($P184,'Base Grupo de Produtos'!$E$2:$E$18,'Base Grupo de Produtos'!$F$2:$F$18)</f>
        <v>100</v>
      </c>
      <c r="X184" s="56">
        <f>_xlfn.XLOOKUP($N184,'Calculo Leads'!$A$97:$A$134,'Calculo Leads'!K$97:K$134)*_xlfn.XLOOKUP($P184,'Base Grupo de Produtos'!$E$2:$E$18,'Base Grupo de Produtos'!$F$2:$F$18)</f>
        <v>110</v>
      </c>
      <c r="Y184" s="56">
        <f>_xlfn.XLOOKUP($N184,'Calculo Leads'!$A$97:$A$134,'Calculo Leads'!L$97:L$134)*_xlfn.XLOOKUP($P184,'Base Grupo de Produtos'!$E$2:$E$18,'Base Grupo de Produtos'!$F$2:$F$18)</f>
        <v>110</v>
      </c>
      <c r="Z184" s="56">
        <f>_xlfn.XLOOKUP($N184,'Calculo Leads'!$A$97:$A$134,'Calculo Leads'!M$97:M$134)*_xlfn.XLOOKUP($P184,'Base Grupo de Produtos'!$E$2:$E$18,'Base Grupo de Produtos'!$F$2:$F$18)</f>
        <v>165</v>
      </c>
      <c r="AA184" s="56">
        <f>_xlfn.XLOOKUP($N184,'Calculo Leads'!$A$97:$A$134,'Calculo Leads'!N$97:N$134)*_xlfn.XLOOKUP($P184,'Base Grupo de Produtos'!$E$2:$E$18,'Base Grupo de Produtos'!$F$2:$F$18)</f>
        <v>165</v>
      </c>
      <c r="AB184" s="56">
        <f>_xlfn.XLOOKUP($N184,'Calculo Leads'!$A$97:$A$134,'Calculo Leads'!O$97:O$134)*_xlfn.XLOOKUP($P184,'Base Grupo de Produtos'!$E$2:$E$18,'Base Grupo de Produtos'!$F$2:$F$18)</f>
        <v>110</v>
      </c>
      <c r="AC184" s="61">
        <f t="shared" si="152"/>
        <v>960</v>
      </c>
      <c r="AD184" s="27">
        <f t="shared" ref="AD184:AD200" si="208">IF(AC184=0,0,AC184-AG184)</f>
        <v>960</v>
      </c>
      <c r="AE184" s="25">
        <f>IFERROR(_xlfn.XLOOKUP(N184&amp;P184,'Historico Vendas'!G:G,'Historico Vendas'!E:E),0)</f>
        <v>0</v>
      </c>
      <c r="AF184" s="29" t="str">
        <f t="shared" si="190"/>
        <v/>
      </c>
      <c r="AG184" s="24">
        <f>IFERROR(_xlfn.XLOOKUP(N184&amp;P184,'Historico Vendas'!G:G,'Historico Vendas'!F:F),0)</f>
        <v>0</v>
      </c>
      <c r="AH184" s="25">
        <f t="shared" ref="AH184:AH200" si="209">SUM(Q184:S184)</f>
        <v>0</v>
      </c>
      <c r="AI184" s="24">
        <f t="shared" ref="AI184:AI200" si="210">AH184-AG184</f>
        <v>0</v>
      </c>
      <c r="AJ184" s="11" t="str">
        <f t="shared" si="133"/>
        <v/>
      </c>
      <c r="AK184" s="9" t="s">
        <v>102</v>
      </c>
      <c r="AL184" s="13">
        <f>IFERROR(INDEX('Balizador da Meta'!$D$3:$F$23,MATCH(Faturamento!$P184,'Balizador da Meta'!$C$3:$C$23,0),MATCH(Faturamento!AK184,'Balizador da Meta'!$D$2:$F$2,0)),"")</f>
        <v>0.2</v>
      </c>
      <c r="AM184" s="9"/>
    </row>
    <row r="185" spans="1:39" x14ac:dyDescent="0.3">
      <c r="A185" s="2" t="str">
        <f t="shared" si="191"/>
        <v>NÃO</v>
      </c>
      <c r="B185" s="2" t="str">
        <f>_xlfn.XLOOKUP($N185,'Base de Grupos'!$A:$A,'Base de Grupos'!$D:$D)</f>
        <v>1000065763</v>
      </c>
      <c r="C185" s="5" t="str">
        <f>_xlfn.XLOOKUP($N185,'Base de Grupos'!$A:$A,'Base de Grupos'!$E:$E)</f>
        <v>CANAL VENDA INTERNA</v>
      </c>
      <c r="D185" s="5" t="str">
        <f>_xlfn.XLOOKUP($N185,'Base de Grupos'!$A:$A,'Base de Grupos'!$F:$F)</f>
        <v>1000065763</v>
      </c>
      <c r="E185" s="2" t="str">
        <f>_xlfn.XLOOKUP($N185,'Base de Grupos'!$A:$A,'Base de Grupos'!$G:$G)</f>
        <v>CANAL VENDA INTERNA</v>
      </c>
      <c r="F185" s="2" t="str">
        <f>_xlfn.XLOOKUP($N185,'Base de Grupos'!$A:$A,'Base de Grupos'!$H:$H)</f>
        <v>1000105900</v>
      </c>
      <c r="G185" s="5" t="str">
        <f>_xlfn.XLOOKUP($N185,'Base de Grupos'!$A:$A,'Base de Grupos'!$I:$I)</f>
        <v>REGIONAL VENDA DIRETA CO + NE + NO</v>
      </c>
      <c r="H185" s="5" t="str">
        <f>_xlfn.XLOOKUP($N185,'Base de Grupos'!$A:$A,'Base de Grupos'!$J:$J)</f>
        <v>1000105900</v>
      </c>
      <c r="I185" s="2" t="str">
        <f>_xlfn.XLOOKUP($N185,'Base de Grupos'!$A:$A,'Base de Grupos'!$K:$K)</f>
        <v>REGIONAL VENDA DIRETA CO + NE + NO</v>
      </c>
      <c r="J185" s="2" t="str">
        <f>_xlfn.XLOOKUP($N185,'Base de Grupos'!$A:$A,'Base de Grupos'!$L:$L)</f>
        <v>1000150135</v>
      </c>
      <c r="K185" s="5" t="str">
        <f>_xlfn.XLOOKUP($N185,'Base de Grupos'!$A:$A,'Base de Grupos'!$M:$M)</f>
        <v>HELDER DA SILVA BRUNKOW</v>
      </c>
      <c r="L185" s="5" t="str">
        <f t="shared" si="192"/>
        <v/>
      </c>
      <c r="M185" s="5" t="str">
        <f>_xlfn.XLOOKUP($N185,'Base de Grupos'!$A:$A,'Base de Grupos'!$C:$C)</f>
        <v>RO</v>
      </c>
      <c r="N185" s="3">
        <v>1347</v>
      </c>
      <c r="O185" s="4" t="s">
        <v>234</v>
      </c>
      <c r="P185" s="5" t="s">
        <v>82</v>
      </c>
      <c r="Q185" s="56">
        <v>0</v>
      </c>
      <c r="R185" s="56">
        <v>0</v>
      </c>
      <c r="S185" s="56">
        <v>0</v>
      </c>
      <c r="T185" s="56">
        <f>_xlfn.XLOOKUP($N185,'Calculo Leads'!$A$97:$A$134,'Calculo Leads'!G$97:G$134)*_xlfn.XLOOKUP($P185,'Base Grupo de Produtos'!$E$2:$E$18,'Base Grupo de Produtos'!$F$2:$F$18)</f>
        <v>50</v>
      </c>
      <c r="U185" s="56">
        <f>_xlfn.XLOOKUP($N185,'Calculo Leads'!$A$97:$A$134,'Calculo Leads'!H$97:H$134)*_xlfn.XLOOKUP($P185,'Base Grupo de Produtos'!$E$2:$E$18,'Base Grupo de Produtos'!$F$2:$F$18)</f>
        <v>50</v>
      </c>
      <c r="V185" s="56">
        <f>_xlfn.XLOOKUP($N185,'Calculo Leads'!$A$97:$A$134,'Calculo Leads'!I$97:I$134)*_xlfn.XLOOKUP($P185,'Base Grupo de Produtos'!$E$2:$E$18,'Base Grupo de Produtos'!$F$2:$F$18)</f>
        <v>100</v>
      </c>
      <c r="W185" s="56">
        <f>_xlfn.XLOOKUP($N185,'Calculo Leads'!$A$97:$A$134,'Calculo Leads'!J$97:J$134)*_xlfn.XLOOKUP($P185,'Base Grupo de Produtos'!$E$2:$E$18,'Base Grupo de Produtos'!$F$2:$F$18)</f>
        <v>100</v>
      </c>
      <c r="X185" s="56">
        <f>_xlfn.XLOOKUP($N185,'Calculo Leads'!$A$97:$A$134,'Calculo Leads'!K$97:K$134)*_xlfn.XLOOKUP($P185,'Base Grupo de Produtos'!$E$2:$E$18,'Base Grupo de Produtos'!$F$2:$F$18)</f>
        <v>110</v>
      </c>
      <c r="Y185" s="56">
        <f>_xlfn.XLOOKUP($N185,'Calculo Leads'!$A$97:$A$134,'Calculo Leads'!L$97:L$134)*_xlfn.XLOOKUP($P185,'Base Grupo de Produtos'!$E$2:$E$18,'Base Grupo de Produtos'!$F$2:$F$18)</f>
        <v>110</v>
      </c>
      <c r="Z185" s="56">
        <f>_xlfn.XLOOKUP($N185,'Calculo Leads'!$A$97:$A$134,'Calculo Leads'!M$97:M$134)*_xlfn.XLOOKUP($P185,'Base Grupo de Produtos'!$E$2:$E$18,'Base Grupo de Produtos'!$F$2:$F$18)</f>
        <v>165</v>
      </c>
      <c r="AA185" s="56">
        <f>_xlfn.XLOOKUP($N185,'Calculo Leads'!$A$97:$A$134,'Calculo Leads'!N$97:N$134)*_xlfn.XLOOKUP($P185,'Base Grupo de Produtos'!$E$2:$E$18,'Base Grupo de Produtos'!$F$2:$F$18)</f>
        <v>165</v>
      </c>
      <c r="AB185" s="56">
        <f>_xlfn.XLOOKUP($N185,'Calculo Leads'!$A$97:$A$134,'Calculo Leads'!O$97:O$134)*_xlfn.XLOOKUP($P185,'Base Grupo de Produtos'!$E$2:$E$18,'Base Grupo de Produtos'!$F$2:$F$18)</f>
        <v>110</v>
      </c>
      <c r="AC185" s="61">
        <f t="shared" si="152"/>
        <v>960</v>
      </c>
      <c r="AD185" s="27">
        <f t="shared" si="208"/>
        <v>960</v>
      </c>
      <c r="AE185" s="25">
        <f>IFERROR(_xlfn.XLOOKUP(N185&amp;P185,'Historico Vendas'!G:G,'Historico Vendas'!E:E),0)</f>
        <v>0</v>
      </c>
      <c r="AF185" s="29" t="str">
        <f t="shared" si="190"/>
        <v/>
      </c>
      <c r="AG185" s="24">
        <f>IFERROR(_xlfn.XLOOKUP(N185&amp;P185,'Historico Vendas'!G:G,'Historico Vendas'!F:F),0)</f>
        <v>0</v>
      </c>
      <c r="AH185" s="25">
        <f t="shared" si="209"/>
        <v>0</v>
      </c>
      <c r="AI185" s="24">
        <f t="shared" si="210"/>
        <v>0</v>
      </c>
      <c r="AJ185" s="11" t="str">
        <f t="shared" ref="AJ185:AJ248" si="211">IFERROR(AG185/AH185,"")</f>
        <v/>
      </c>
      <c r="AK185" s="9" t="s">
        <v>102</v>
      </c>
      <c r="AL185" s="13">
        <f>IFERROR(INDEX('Balizador da Meta'!$D$3:$F$23,MATCH(Faturamento!$P185,'Balizador da Meta'!$C$3:$C$23,0),MATCH(Faturamento!AK185,'Balizador da Meta'!$D$2:$F$2,0)),"")</f>
        <v>0.2</v>
      </c>
      <c r="AM185" s="9"/>
    </row>
    <row r="186" spans="1:39" x14ac:dyDescent="0.3">
      <c r="A186" s="2" t="str">
        <f t="shared" si="191"/>
        <v>NÃO</v>
      </c>
      <c r="B186" s="2" t="str">
        <f>_xlfn.XLOOKUP($N186,'Base de Grupos'!$A:$A,'Base de Grupos'!$D:$D)</f>
        <v>1000065763</v>
      </c>
      <c r="C186" s="5" t="str">
        <f>_xlfn.XLOOKUP($N186,'Base de Grupos'!$A:$A,'Base de Grupos'!$E:$E)</f>
        <v>CANAL VENDA INTERNA</v>
      </c>
      <c r="D186" s="5" t="str">
        <f>_xlfn.XLOOKUP($N186,'Base de Grupos'!$A:$A,'Base de Grupos'!$F:$F)</f>
        <v>1000065763</v>
      </c>
      <c r="E186" s="2" t="str">
        <f>_xlfn.XLOOKUP($N186,'Base de Grupos'!$A:$A,'Base de Grupos'!$G:$G)</f>
        <v>CANAL VENDA INTERNA</v>
      </c>
      <c r="F186" s="2" t="str">
        <f>_xlfn.XLOOKUP($N186,'Base de Grupos'!$A:$A,'Base de Grupos'!$H:$H)</f>
        <v>1000105900</v>
      </c>
      <c r="G186" s="5" t="str">
        <f>_xlfn.XLOOKUP($N186,'Base de Grupos'!$A:$A,'Base de Grupos'!$I:$I)</f>
        <v>REGIONAL VENDA DIRETA CO + NE + NO</v>
      </c>
      <c r="H186" s="5" t="str">
        <f>_xlfn.XLOOKUP($N186,'Base de Grupos'!$A:$A,'Base de Grupos'!$J:$J)</f>
        <v>1000105900</v>
      </c>
      <c r="I186" s="2" t="str">
        <f>_xlfn.XLOOKUP($N186,'Base de Grupos'!$A:$A,'Base de Grupos'!$K:$K)</f>
        <v>REGIONAL VENDA DIRETA CO + NE + NO</v>
      </c>
      <c r="J186" s="2" t="str">
        <f>_xlfn.XLOOKUP($N186,'Base de Grupos'!$A:$A,'Base de Grupos'!$L:$L)</f>
        <v>1000150135</v>
      </c>
      <c r="K186" s="5" t="str">
        <f>_xlfn.XLOOKUP($N186,'Base de Grupos'!$A:$A,'Base de Grupos'!$M:$M)</f>
        <v>HELDER DA SILVA BRUNKOW</v>
      </c>
      <c r="L186" s="5" t="str">
        <f t="shared" si="192"/>
        <v/>
      </c>
      <c r="M186" s="5" t="str">
        <f>_xlfn.XLOOKUP($N186,'Base de Grupos'!$A:$A,'Base de Grupos'!$C:$C)</f>
        <v>RO</v>
      </c>
      <c r="N186" s="3">
        <v>1347</v>
      </c>
      <c r="O186" s="4" t="s">
        <v>234</v>
      </c>
      <c r="P186" s="5" t="s">
        <v>84</v>
      </c>
      <c r="Q186" s="56">
        <v>0</v>
      </c>
      <c r="R186" s="56">
        <v>0</v>
      </c>
      <c r="S186" s="56">
        <v>0</v>
      </c>
      <c r="T186" s="56">
        <f>_xlfn.XLOOKUP($N186,'Calculo Leads'!$A$97:$A$134,'Calculo Leads'!G$97:G$134)*_xlfn.XLOOKUP($P186,'Base Grupo de Produtos'!$E$2:$E$18,'Base Grupo de Produtos'!$F$2:$F$18)</f>
        <v>80</v>
      </c>
      <c r="U186" s="56">
        <f>_xlfn.XLOOKUP($N186,'Calculo Leads'!$A$97:$A$134,'Calculo Leads'!H$97:H$134)*_xlfn.XLOOKUP($P186,'Base Grupo de Produtos'!$E$2:$E$18,'Base Grupo de Produtos'!$F$2:$F$18)</f>
        <v>80</v>
      </c>
      <c r="V186" s="56">
        <f>_xlfn.XLOOKUP($N186,'Calculo Leads'!$A$97:$A$134,'Calculo Leads'!I$97:I$134)*_xlfn.XLOOKUP($P186,'Base Grupo de Produtos'!$E$2:$E$18,'Base Grupo de Produtos'!$F$2:$F$18)</f>
        <v>160</v>
      </c>
      <c r="W186" s="56">
        <f>_xlfn.XLOOKUP($N186,'Calculo Leads'!$A$97:$A$134,'Calculo Leads'!J$97:J$134)*_xlfn.XLOOKUP($P186,'Base Grupo de Produtos'!$E$2:$E$18,'Base Grupo de Produtos'!$F$2:$F$18)</f>
        <v>160</v>
      </c>
      <c r="X186" s="56">
        <f>_xlfn.XLOOKUP($N186,'Calculo Leads'!$A$97:$A$134,'Calculo Leads'!K$97:K$134)*_xlfn.XLOOKUP($P186,'Base Grupo de Produtos'!$E$2:$E$18,'Base Grupo de Produtos'!$F$2:$F$18)</f>
        <v>176</v>
      </c>
      <c r="Y186" s="56">
        <f>_xlfn.XLOOKUP($N186,'Calculo Leads'!$A$97:$A$134,'Calculo Leads'!L$97:L$134)*_xlfn.XLOOKUP($P186,'Base Grupo de Produtos'!$E$2:$E$18,'Base Grupo de Produtos'!$F$2:$F$18)</f>
        <v>176</v>
      </c>
      <c r="Z186" s="56">
        <f>_xlfn.XLOOKUP($N186,'Calculo Leads'!$A$97:$A$134,'Calculo Leads'!M$97:M$134)*_xlfn.XLOOKUP($P186,'Base Grupo de Produtos'!$E$2:$E$18,'Base Grupo de Produtos'!$F$2:$F$18)</f>
        <v>264</v>
      </c>
      <c r="AA186" s="56">
        <f>_xlfn.XLOOKUP($N186,'Calculo Leads'!$A$97:$A$134,'Calculo Leads'!N$97:N$134)*_xlfn.XLOOKUP($P186,'Base Grupo de Produtos'!$E$2:$E$18,'Base Grupo de Produtos'!$F$2:$F$18)</f>
        <v>264</v>
      </c>
      <c r="AB186" s="56">
        <f>_xlfn.XLOOKUP($N186,'Calculo Leads'!$A$97:$A$134,'Calculo Leads'!O$97:O$134)*_xlfn.XLOOKUP($P186,'Base Grupo de Produtos'!$E$2:$E$18,'Base Grupo de Produtos'!$F$2:$F$18)</f>
        <v>176</v>
      </c>
      <c r="AC186" s="61">
        <f t="shared" si="152"/>
        <v>1536</v>
      </c>
      <c r="AD186" s="27">
        <f t="shared" si="208"/>
        <v>1536</v>
      </c>
      <c r="AE186" s="25">
        <f>IFERROR(_xlfn.XLOOKUP(N186&amp;P186,'Historico Vendas'!G:G,'Historico Vendas'!E:E),0)</f>
        <v>0</v>
      </c>
      <c r="AF186" s="29" t="str">
        <f t="shared" si="190"/>
        <v/>
      </c>
      <c r="AG186" s="24">
        <f>IFERROR(_xlfn.XLOOKUP(N186&amp;P186,'Historico Vendas'!G:G,'Historico Vendas'!F:F),0)</f>
        <v>0</v>
      </c>
      <c r="AH186" s="25">
        <f t="shared" si="209"/>
        <v>0</v>
      </c>
      <c r="AI186" s="24">
        <f t="shared" si="210"/>
        <v>0</v>
      </c>
      <c r="AJ186" s="11" t="str">
        <f t="shared" si="211"/>
        <v/>
      </c>
      <c r="AK186" s="9" t="s">
        <v>102</v>
      </c>
      <c r="AL186" s="13">
        <f>IFERROR(INDEX('Balizador da Meta'!$D$3:$F$23,MATCH(Faturamento!$P186,'Balizador da Meta'!$C$3:$C$23,0),MATCH(Faturamento!AK186,'Balizador da Meta'!$D$2:$F$2,0)),"")</f>
        <v>0.15</v>
      </c>
      <c r="AM186" s="9"/>
    </row>
    <row r="187" spans="1:39" x14ac:dyDescent="0.3">
      <c r="A187" s="2" t="str">
        <f t="shared" si="191"/>
        <v>NÃO</v>
      </c>
      <c r="B187" s="2" t="str">
        <f>_xlfn.XLOOKUP($N187,'Base de Grupos'!$A:$A,'Base de Grupos'!$D:$D)</f>
        <v>1000065763</v>
      </c>
      <c r="C187" s="5" t="str">
        <f>_xlfn.XLOOKUP($N187,'Base de Grupos'!$A:$A,'Base de Grupos'!$E:$E)</f>
        <v>CANAL VENDA INTERNA</v>
      </c>
      <c r="D187" s="5" t="str">
        <f>_xlfn.XLOOKUP($N187,'Base de Grupos'!$A:$A,'Base de Grupos'!$F:$F)</f>
        <v>1000065763</v>
      </c>
      <c r="E187" s="2" t="str">
        <f>_xlfn.XLOOKUP($N187,'Base de Grupos'!$A:$A,'Base de Grupos'!$G:$G)</f>
        <v>CANAL VENDA INTERNA</v>
      </c>
      <c r="F187" s="2" t="str">
        <f>_xlfn.XLOOKUP($N187,'Base de Grupos'!$A:$A,'Base de Grupos'!$H:$H)</f>
        <v>1000105900</v>
      </c>
      <c r="G187" s="5" t="str">
        <f>_xlfn.XLOOKUP($N187,'Base de Grupos'!$A:$A,'Base de Grupos'!$I:$I)</f>
        <v>REGIONAL VENDA DIRETA CO + NE + NO</v>
      </c>
      <c r="H187" s="5" t="str">
        <f>_xlfn.XLOOKUP($N187,'Base de Grupos'!$A:$A,'Base de Grupos'!$J:$J)</f>
        <v>1000105900</v>
      </c>
      <c r="I187" s="2" t="str">
        <f>_xlfn.XLOOKUP($N187,'Base de Grupos'!$A:$A,'Base de Grupos'!$K:$K)</f>
        <v>REGIONAL VENDA DIRETA CO + NE + NO</v>
      </c>
      <c r="J187" s="2" t="str">
        <f>_xlfn.XLOOKUP($N187,'Base de Grupos'!$A:$A,'Base de Grupos'!$L:$L)</f>
        <v>1000150135</v>
      </c>
      <c r="K187" s="5" t="str">
        <f>_xlfn.XLOOKUP($N187,'Base de Grupos'!$A:$A,'Base de Grupos'!$M:$M)</f>
        <v>HELDER DA SILVA BRUNKOW</v>
      </c>
      <c r="L187" s="5" t="str">
        <f t="shared" si="192"/>
        <v/>
      </c>
      <c r="M187" s="5" t="str">
        <f>_xlfn.XLOOKUP($N187,'Base de Grupos'!$A:$A,'Base de Grupos'!$C:$C)</f>
        <v>RO</v>
      </c>
      <c r="N187" s="3">
        <v>1347</v>
      </c>
      <c r="O187" s="4" t="s">
        <v>234</v>
      </c>
      <c r="P187" s="5" t="s">
        <v>83</v>
      </c>
      <c r="Q187" s="56">
        <v>0</v>
      </c>
      <c r="R187" s="56">
        <v>0</v>
      </c>
      <c r="S187" s="56">
        <v>0</v>
      </c>
      <c r="T187" s="56">
        <f>_xlfn.XLOOKUP($N187,'Calculo Leads'!$A$97:$A$134,'Calculo Leads'!G$97:G$134)*_xlfn.XLOOKUP($P187,'Base Grupo de Produtos'!$E$2:$E$18,'Base Grupo de Produtos'!$F$2:$F$18)</f>
        <v>100</v>
      </c>
      <c r="U187" s="56">
        <f>_xlfn.XLOOKUP($N187,'Calculo Leads'!$A$97:$A$134,'Calculo Leads'!H$97:H$134)*_xlfn.XLOOKUP($P187,'Base Grupo de Produtos'!$E$2:$E$18,'Base Grupo de Produtos'!$F$2:$F$18)</f>
        <v>100</v>
      </c>
      <c r="V187" s="56">
        <f>_xlfn.XLOOKUP($N187,'Calculo Leads'!$A$97:$A$134,'Calculo Leads'!I$97:I$134)*_xlfn.XLOOKUP($P187,'Base Grupo de Produtos'!$E$2:$E$18,'Base Grupo de Produtos'!$F$2:$F$18)</f>
        <v>200</v>
      </c>
      <c r="W187" s="56">
        <f>_xlfn.XLOOKUP($N187,'Calculo Leads'!$A$97:$A$134,'Calculo Leads'!J$97:J$134)*_xlfn.XLOOKUP($P187,'Base Grupo de Produtos'!$E$2:$E$18,'Base Grupo de Produtos'!$F$2:$F$18)</f>
        <v>200</v>
      </c>
      <c r="X187" s="56">
        <f>_xlfn.XLOOKUP($N187,'Calculo Leads'!$A$97:$A$134,'Calculo Leads'!K$97:K$134)*_xlfn.XLOOKUP($P187,'Base Grupo de Produtos'!$E$2:$E$18,'Base Grupo de Produtos'!$F$2:$F$18)</f>
        <v>220</v>
      </c>
      <c r="Y187" s="56">
        <f>_xlfn.XLOOKUP($N187,'Calculo Leads'!$A$97:$A$134,'Calculo Leads'!L$97:L$134)*_xlfn.XLOOKUP($P187,'Base Grupo de Produtos'!$E$2:$E$18,'Base Grupo de Produtos'!$F$2:$F$18)</f>
        <v>220</v>
      </c>
      <c r="Z187" s="56">
        <f>_xlfn.XLOOKUP($N187,'Calculo Leads'!$A$97:$A$134,'Calculo Leads'!M$97:M$134)*_xlfn.XLOOKUP($P187,'Base Grupo de Produtos'!$E$2:$E$18,'Base Grupo de Produtos'!$F$2:$F$18)</f>
        <v>330</v>
      </c>
      <c r="AA187" s="56">
        <f>_xlfn.XLOOKUP($N187,'Calculo Leads'!$A$97:$A$134,'Calculo Leads'!N$97:N$134)*_xlfn.XLOOKUP($P187,'Base Grupo de Produtos'!$E$2:$E$18,'Base Grupo de Produtos'!$F$2:$F$18)</f>
        <v>330</v>
      </c>
      <c r="AB187" s="56">
        <f>_xlfn.XLOOKUP($N187,'Calculo Leads'!$A$97:$A$134,'Calculo Leads'!O$97:O$134)*_xlfn.XLOOKUP($P187,'Base Grupo de Produtos'!$E$2:$E$18,'Base Grupo de Produtos'!$F$2:$F$18)</f>
        <v>220</v>
      </c>
      <c r="AC187" s="61">
        <f t="shared" si="152"/>
        <v>1920</v>
      </c>
      <c r="AD187" s="27">
        <f t="shared" si="208"/>
        <v>1920</v>
      </c>
      <c r="AE187" s="25">
        <f>IFERROR(_xlfn.XLOOKUP(N187&amp;P187,'Historico Vendas'!G:G,'Historico Vendas'!E:E),0)</f>
        <v>0</v>
      </c>
      <c r="AF187" s="29" t="str">
        <f t="shared" si="190"/>
        <v/>
      </c>
      <c r="AG187" s="24">
        <f>IFERROR(_xlfn.XLOOKUP(N187&amp;P187,'Historico Vendas'!G:G,'Historico Vendas'!F:F),0)</f>
        <v>0</v>
      </c>
      <c r="AH187" s="25">
        <f t="shared" si="209"/>
        <v>0</v>
      </c>
      <c r="AI187" s="24">
        <f t="shared" si="210"/>
        <v>0</v>
      </c>
      <c r="AJ187" s="11" t="str">
        <f t="shared" si="211"/>
        <v/>
      </c>
      <c r="AK187" s="9" t="s">
        <v>102</v>
      </c>
      <c r="AL187" s="13">
        <f>IFERROR(INDEX('Balizador da Meta'!$D$3:$F$23,MATCH(Faturamento!$P187,'Balizador da Meta'!$C$3:$C$23,0),MATCH(Faturamento!AK187,'Balizador da Meta'!$D$2:$F$2,0)),"")</f>
        <v>0</v>
      </c>
      <c r="AM187" s="9"/>
    </row>
    <row r="188" spans="1:39" x14ac:dyDescent="0.3">
      <c r="A188" s="2" t="str">
        <f t="shared" si="191"/>
        <v>NÃO</v>
      </c>
      <c r="B188" s="2" t="str">
        <f>_xlfn.XLOOKUP($N188,'Base de Grupos'!$A:$A,'Base de Grupos'!$D:$D)</f>
        <v>1000065763</v>
      </c>
      <c r="C188" s="5" t="str">
        <f>_xlfn.XLOOKUP($N188,'Base de Grupos'!$A:$A,'Base de Grupos'!$E:$E)</f>
        <v>CANAL VENDA INTERNA</v>
      </c>
      <c r="D188" s="5" t="str">
        <f>_xlfn.XLOOKUP($N188,'Base de Grupos'!$A:$A,'Base de Grupos'!$F:$F)</f>
        <v>1000065763</v>
      </c>
      <c r="E188" s="2" t="str">
        <f>_xlfn.XLOOKUP($N188,'Base de Grupos'!$A:$A,'Base de Grupos'!$G:$G)</f>
        <v>CANAL VENDA INTERNA</v>
      </c>
      <c r="F188" s="2" t="str">
        <f>_xlfn.XLOOKUP($N188,'Base de Grupos'!$A:$A,'Base de Grupos'!$H:$H)</f>
        <v>1000105900</v>
      </c>
      <c r="G188" s="5" t="str">
        <f>_xlfn.XLOOKUP($N188,'Base de Grupos'!$A:$A,'Base de Grupos'!$I:$I)</f>
        <v>REGIONAL VENDA DIRETA CO + NE + NO</v>
      </c>
      <c r="H188" s="5" t="str">
        <f>_xlfn.XLOOKUP($N188,'Base de Grupos'!$A:$A,'Base de Grupos'!$J:$J)</f>
        <v>1000105900</v>
      </c>
      <c r="I188" s="2" t="str">
        <f>_xlfn.XLOOKUP($N188,'Base de Grupos'!$A:$A,'Base de Grupos'!$K:$K)</f>
        <v>REGIONAL VENDA DIRETA CO + NE + NO</v>
      </c>
      <c r="J188" s="2" t="str">
        <f>_xlfn.XLOOKUP($N188,'Base de Grupos'!$A:$A,'Base de Grupos'!$L:$L)</f>
        <v>1000150135</v>
      </c>
      <c r="K188" s="5" t="str">
        <f>_xlfn.XLOOKUP($N188,'Base de Grupos'!$A:$A,'Base de Grupos'!$M:$M)</f>
        <v>HELDER DA SILVA BRUNKOW</v>
      </c>
      <c r="L188" s="5" t="str">
        <f t="shared" si="192"/>
        <v/>
      </c>
      <c r="M188" s="5" t="str">
        <f>_xlfn.XLOOKUP($N188,'Base de Grupos'!$A:$A,'Base de Grupos'!$C:$C)</f>
        <v>RO</v>
      </c>
      <c r="N188" s="3">
        <v>1347</v>
      </c>
      <c r="O188" s="4" t="s">
        <v>234</v>
      </c>
      <c r="P188" s="5" t="s">
        <v>87</v>
      </c>
      <c r="Q188" s="56">
        <v>0</v>
      </c>
      <c r="R188" s="56">
        <v>0</v>
      </c>
      <c r="S188" s="56">
        <v>0</v>
      </c>
      <c r="T188" s="56">
        <f>_xlfn.XLOOKUP($N188,'Calculo Leads'!$A$97:$A$134,'Calculo Leads'!G$97:G$134)*_xlfn.XLOOKUP($P188,'Base Grupo de Produtos'!$E$2:$E$18,'Base Grupo de Produtos'!$F$2:$F$18)</f>
        <v>19.999999999999996</v>
      </c>
      <c r="U188" s="56">
        <f>_xlfn.XLOOKUP($N188,'Calculo Leads'!$A$97:$A$134,'Calculo Leads'!H$97:H$134)*_xlfn.XLOOKUP($P188,'Base Grupo de Produtos'!$E$2:$E$18,'Base Grupo de Produtos'!$F$2:$F$18)</f>
        <v>19.999999999999996</v>
      </c>
      <c r="V188" s="56">
        <f>_xlfn.XLOOKUP($N188,'Calculo Leads'!$A$97:$A$134,'Calculo Leads'!I$97:I$134)*_xlfn.XLOOKUP($P188,'Base Grupo de Produtos'!$E$2:$E$18,'Base Grupo de Produtos'!$F$2:$F$18)</f>
        <v>39.999999999999993</v>
      </c>
      <c r="W188" s="56">
        <f>_xlfn.XLOOKUP($N188,'Calculo Leads'!$A$97:$A$134,'Calculo Leads'!J$97:J$134)*_xlfn.XLOOKUP($P188,'Base Grupo de Produtos'!$E$2:$E$18,'Base Grupo de Produtos'!$F$2:$F$18)</f>
        <v>39.999999999999993</v>
      </c>
      <c r="X188" s="56">
        <f>_xlfn.XLOOKUP($N188,'Calculo Leads'!$A$97:$A$134,'Calculo Leads'!K$97:K$134)*_xlfn.XLOOKUP($P188,'Base Grupo de Produtos'!$E$2:$E$18,'Base Grupo de Produtos'!$F$2:$F$18)</f>
        <v>43.999999999999993</v>
      </c>
      <c r="Y188" s="56">
        <f>_xlfn.XLOOKUP($N188,'Calculo Leads'!$A$97:$A$134,'Calculo Leads'!L$97:L$134)*_xlfn.XLOOKUP($P188,'Base Grupo de Produtos'!$E$2:$E$18,'Base Grupo de Produtos'!$F$2:$F$18)</f>
        <v>43.999999999999993</v>
      </c>
      <c r="Z188" s="56">
        <f>_xlfn.XLOOKUP($N188,'Calculo Leads'!$A$97:$A$134,'Calculo Leads'!M$97:M$134)*_xlfn.XLOOKUP($P188,'Base Grupo de Produtos'!$E$2:$E$18,'Base Grupo de Produtos'!$F$2:$F$18)</f>
        <v>65.999999999999986</v>
      </c>
      <c r="AA188" s="56">
        <f>_xlfn.XLOOKUP($N188,'Calculo Leads'!$A$97:$A$134,'Calculo Leads'!N$97:N$134)*_xlfn.XLOOKUP($P188,'Base Grupo de Produtos'!$E$2:$E$18,'Base Grupo de Produtos'!$F$2:$F$18)</f>
        <v>65.999999999999986</v>
      </c>
      <c r="AB188" s="56">
        <f>_xlfn.XLOOKUP($N188,'Calculo Leads'!$A$97:$A$134,'Calculo Leads'!O$97:O$134)*_xlfn.XLOOKUP($P188,'Base Grupo de Produtos'!$E$2:$E$18,'Base Grupo de Produtos'!$F$2:$F$18)</f>
        <v>43.999999999999993</v>
      </c>
      <c r="AC188" s="61">
        <f t="shared" si="152"/>
        <v>383.99999999999994</v>
      </c>
      <c r="AD188" s="27">
        <f t="shared" si="208"/>
        <v>383.99999999999994</v>
      </c>
      <c r="AE188" s="25">
        <f>IFERROR(_xlfn.XLOOKUP(N188&amp;P188,'Historico Vendas'!G:G,'Historico Vendas'!E:E),0)</f>
        <v>0</v>
      </c>
      <c r="AF188" s="29" t="str">
        <f t="shared" si="190"/>
        <v/>
      </c>
      <c r="AG188" s="24">
        <f>IFERROR(_xlfn.XLOOKUP(N188&amp;P188,'Historico Vendas'!G:G,'Historico Vendas'!F:F),0)</f>
        <v>0</v>
      </c>
      <c r="AH188" s="25">
        <f t="shared" si="209"/>
        <v>0</v>
      </c>
      <c r="AI188" s="24">
        <f t="shared" si="210"/>
        <v>0</v>
      </c>
      <c r="AJ188" s="11" t="str">
        <f t="shared" si="211"/>
        <v/>
      </c>
      <c r="AK188" s="9" t="s">
        <v>102</v>
      </c>
      <c r="AL188" s="13">
        <f>IFERROR(INDEX('Balizador da Meta'!$D$3:$F$23,MATCH(Faturamento!$P188,'Balizador da Meta'!$C$3:$C$23,0),MATCH(Faturamento!AK188,'Balizador da Meta'!$D$2:$F$2,0)),"")</f>
        <v>0</v>
      </c>
      <c r="AM188" s="9"/>
    </row>
    <row r="189" spans="1:39" x14ac:dyDescent="0.3">
      <c r="A189" s="2" t="str">
        <f t="shared" si="191"/>
        <v>NÃO</v>
      </c>
      <c r="B189" s="2" t="str">
        <f>_xlfn.XLOOKUP($N189,'Base de Grupos'!$A:$A,'Base de Grupos'!$D:$D)</f>
        <v>1000065763</v>
      </c>
      <c r="C189" s="5" t="str">
        <f>_xlfn.XLOOKUP($N189,'Base de Grupos'!$A:$A,'Base de Grupos'!$E:$E)</f>
        <v>CANAL VENDA INTERNA</v>
      </c>
      <c r="D189" s="5" t="str">
        <f>_xlfn.XLOOKUP($N189,'Base de Grupos'!$A:$A,'Base de Grupos'!$F:$F)</f>
        <v>1000065763</v>
      </c>
      <c r="E189" s="2" t="str">
        <f>_xlfn.XLOOKUP($N189,'Base de Grupos'!$A:$A,'Base de Grupos'!$G:$G)</f>
        <v>CANAL VENDA INTERNA</v>
      </c>
      <c r="F189" s="2" t="str">
        <f>_xlfn.XLOOKUP($N189,'Base de Grupos'!$A:$A,'Base de Grupos'!$H:$H)</f>
        <v>1000105900</v>
      </c>
      <c r="G189" s="5" t="str">
        <f>_xlfn.XLOOKUP($N189,'Base de Grupos'!$A:$A,'Base de Grupos'!$I:$I)</f>
        <v>REGIONAL VENDA DIRETA CO + NE + NO</v>
      </c>
      <c r="H189" s="5" t="str">
        <f>_xlfn.XLOOKUP($N189,'Base de Grupos'!$A:$A,'Base de Grupos'!$J:$J)</f>
        <v>1000105900</v>
      </c>
      <c r="I189" s="2" t="str">
        <f>_xlfn.XLOOKUP($N189,'Base de Grupos'!$A:$A,'Base de Grupos'!$K:$K)</f>
        <v>REGIONAL VENDA DIRETA CO + NE + NO</v>
      </c>
      <c r="J189" s="2" t="str">
        <f>_xlfn.XLOOKUP($N189,'Base de Grupos'!$A:$A,'Base de Grupos'!$L:$L)</f>
        <v>1000150135</v>
      </c>
      <c r="K189" s="5" t="str">
        <f>_xlfn.XLOOKUP($N189,'Base de Grupos'!$A:$A,'Base de Grupos'!$M:$M)</f>
        <v>HELDER DA SILVA BRUNKOW</v>
      </c>
      <c r="L189" s="5" t="str">
        <f t="shared" si="192"/>
        <v/>
      </c>
      <c r="M189" s="5" t="str">
        <f>_xlfn.XLOOKUP($N189,'Base de Grupos'!$A:$A,'Base de Grupos'!$C:$C)</f>
        <v>RO</v>
      </c>
      <c r="N189" s="3">
        <v>1347</v>
      </c>
      <c r="O189" s="4" t="s">
        <v>234</v>
      </c>
      <c r="P189" s="5" t="s">
        <v>85</v>
      </c>
      <c r="Q189" s="56">
        <v>0</v>
      </c>
      <c r="R189" s="56">
        <v>0</v>
      </c>
      <c r="S189" s="56">
        <v>0</v>
      </c>
      <c r="T189" s="56">
        <f>_xlfn.XLOOKUP($N189,'Calculo Leads'!$A$97:$A$134,'Calculo Leads'!G$97:G$134)*_xlfn.XLOOKUP($P189,'Base Grupo de Produtos'!$E$2:$E$18,'Base Grupo de Produtos'!$F$2:$F$18)</f>
        <v>20</v>
      </c>
      <c r="U189" s="56">
        <f>_xlfn.XLOOKUP($N189,'Calculo Leads'!$A$97:$A$134,'Calculo Leads'!H$97:H$134)*_xlfn.XLOOKUP($P189,'Base Grupo de Produtos'!$E$2:$E$18,'Base Grupo de Produtos'!$F$2:$F$18)</f>
        <v>20</v>
      </c>
      <c r="V189" s="56">
        <f>_xlfn.XLOOKUP($N189,'Calculo Leads'!$A$97:$A$134,'Calculo Leads'!I$97:I$134)*_xlfn.XLOOKUP($P189,'Base Grupo de Produtos'!$E$2:$E$18,'Base Grupo de Produtos'!$F$2:$F$18)</f>
        <v>40</v>
      </c>
      <c r="W189" s="56">
        <f>_xlfn.XLOOKUP($N189,'Calculo Leads'!$A$97:$A$134,'Calculo Leads'!J$97:J$134)*_xlfn.XLOOKUP($P189,'Base Grupo de Produtos'!$E$2:$E$18,'Base Grupo de Produtos'!$F$2:$F$18)</f>
        <v>40</v>
      </c>
      <c r="X189" s="56">
        <f>_xlfn.XLOOKUP($N189,'Calculo Leads'!$A$97:$A$134,'Calculo Leads'!K$97:K$134)*_xlfn.XLOOKUP($P189,'Base Grupo de Produtos'!$E$2:$E$18,'Base Grupo de Produtos'!$F$2:$F$18)</f>
        <v>44</v>
      </c>
      <c r="Y189" s="56">
        <f>_xlfn.XLOOKUP($N189,'Calculo Leads'!$A$97:$A$134,'Calculo Leads'!L$97:L$134)*_xlfn.XLOOKUP($P189,'Base Grupo de Produtos'!$E$2:$E$18,'Base Grupo de Produtos'!$F$2:$F$18)</f>
        <v>44</v>
      </c>
      <c r="Z189" s="56">
        <f>_xlfn.XLOOKUP($N189,'Calculo Leads'!$A$97:$A$134,'Calculo Leads'!M$97:M$134)*_xlfn.XLOOKUP($P189,'Base Grupo de Produtos'!$E$2:$E$18,'Base Grupo de Produtos'!$F$2:$F$18)</f>
        <v>66</v>
      </c>
      <c r="AA189" s="56">
        <f>_xlfn.XLOOKUP($N189,'Calculo Leads'!$A$97:$A$134,'Calculo Leads'!N$97:N$134)*_xlfn.XLOOKUP($P189,'Base Grupo de Produtos'!$E$2:$E$18,'Base Grupo de Produtos'!$F$2:$F$18)</f>
        <v>66</v>
      </c>
      <c r="AB189" s="56">
        <f>_xlfn.XLOOKUP($N189,'Calculo Leads'!$A$97:$A$134,'Calculo Leads'!O$97:O$134)*_xlfn.XLOOKUP($P189,'Base Grupo de Produtos'!$E$2:$E$18,'Base Grupo de Produtos'!$F$2:$F$18)</f>
        <v>44</v>
      </c>
      <c r="AC189" s="61">
        <f t="shared" si="152"/>
        <v>384</v>
      </c>
      <c r="AD189" s="27">
        <f t="shared" si="208"/>
        <v>384</v>
      </c>
      <c r="AE189" s="25">
        <f>IFERROR(_xlfn.XLOOKUP(N189&amp;P189,'Historico Vendas'!G:G,'Historico Vendas'!E:E),0)</f>
        <v>0</v>
      </c>
      <c r="AF189" s="29" t="str">
        <f t="shared" si="190"/>
        <v/>
      </c>
      <c r="AG189" s="24">
        <f>IFERROR(_xlfn.XLOOKUP(N189&amp;P189,'Historico Vendas'!G:G,'Historico Vendas'!F:F),0)</f>
        <v>0</v>
      </c>
      <c r="AH189" s="25">
        <f t="shared" si="209"/>
        <v>0</v>
      </c>
      <c r="AI189" s="24">
        <f t="shared" si="210"/>
        <v>0</v>
      </c>
      <c r="AJ189" s="11" t="str">
        <f t="shared" si="211"/>
        <v/>
      </c>
      <c r="AK189" s="9" t="s">
        <v>102</v>
      </c>
      <c r="AL189" s="13">
        <f>IFERROR(INDEX('Balizador da Meta'!$D$3:$F$23,MATCH(Faturamento!$P189,'Balizador da Meta'!$C$3:$C$23,0),MATCH(Faturamento!AK189,'Balizador da Meta'!$D$2:$F$2,0)),"")</f>
        <v>0</v>
      </c>
      <c r="AM189" s="9"/>
    </row>
    <row r="190" spans="1:39" x14ac:dyDescent="0.3">
      <c r="A190" s="2" t="str">
        <f t="shared" si="191"/>
        <v>NÃO</v>
      </c>
      <c r="B190" s="2" t="str">
        <f>_xlfn.XLOOKUP($N190,'Base de Grupos'!$A:$A,'Base de Grupos'!$D:$D)</f>
        <v>1000065763</v>
      </c>
      <c r="C190" s="5" t="str">
        <f>_xlfn.XLOOKUP($N190,'Base de Grupos'!$A:$A,'Base de Grupos'!$E:$E)</f>
        <v>CANAL VENDA INTERNA</v>
      </c>
      <c r="D190" s="5" t="str">
        <f>_xlfn.XLOOKUP($N190,'Base de Grupos'!$A:$A,'Base de Grupos'!$F:$F)</f>
        <v>1000065763</v>
      </c>
      <c r="E190" s="2" t="str">
        <f>_xlfn.XLOOKUP($N190,'Base de Grupos'!$A:$A,'Base de Grupos'!$G:$G)</f>
        <v>CANAL VENDA INTERNA</v>
      </c>
      <c r="F190" s="2" t="str">
        <f>_xlfn.XLOOKUP($N190,'Base de Grupos'!$A:$A,'Base de Grupos'!$H:$H)</f>
        <v>1000105900</v>
      </c>
      <c r="G190" s="5" t="str">
        <f>_xlfn.XLOOKUP($N190,'Base de Grupos'!$A:$A,'Base de Grupos'!$I:$I)</f>
        <v>REGIONAL VENDA DIRETA CO + NE + NO</v>
      </c>
      <c r="H190" s="5" t="str">
        <f>_xlfn.XLOOKUP($N190,'Base de Grupos'!$A:$A,'Base de Grupos'!$J:$J)</f>
        <v>1000105900</v>
      </c>
      <c r="I190" s="2" t="str">
        <f>_xlfn.XLOOKUP($N190,'Base de Grupos'!$A:$A,'Base de Grupos'!$K:$K)</f>
        <v>REGIONAL VENDA DIRETA CO + NE + NO</v>
      </c>
      <c r="J190" s="2" t="str">
        <f>_xlfn.XLOOKUP($N190,'Base de Grupos'!$A:$A,'Base de Grupos'!$L:$L)</f>
        <v>1000150135</v>
      </c>
      <c r="K190" s="5" t="str">
        <f>_xlfn.XLOOKUP($N190,'Base de Grupos'!$A:$A,'Base de Grupos'!$M:$M)</f>
        <v>HELDER DA SILVA BRUNKOW</v>
      </c>
      <c r="L190" s="5" t="str">
        <f t="shared" si="192"/>
        <v/>
      </c>
      <c r="M190" s="5" t="str">
        <f>_xlfn.XLOOKUP($N190,'Base de Grupos'!$A:$A,'Base de Grupos'!$C:$C)</f>
        <v>RO</v>
      </c>
      <c r="N190" s="3">
        <v>1347</v>
      </c>
      <c r="O190" s="4" t="s">
        <v>234</v>
      </c>
      <c r="P190" s="5" t="s">
        <v>92</v>
      </c>
      <c r="Q190" s="56">
        <v>0</v>
      </c>
      <c r="R190" s="56">
        <v>0</v>
      </c>
      <c r="S190" s="56">
        <v>0</v>
      </c>
      <c r="T190" s="56">
        <f>_xlfn.XLOOKUP($N190,'Calculo Leads'!$A$97:$A$134,'Calculo Leads'!G$97:G$134)*_xlfn.XLOOKUP($P190,'Base Grupo de Produtos'!$E$2:$E$18,'Base Grupo de Produtos'!$F$2:$F$18)</f>
        <v>20</v>
      </c>
      <c r="U190" s="56">
        <f>_xlfn.XLOOKUP($N190,'Calculo Leads'!$A$97:$A$134,'Calculo Leads'!H$97:H$134)*_xlfn.XLOOKUP($P190,'Base Grupo de Produtos'!$E$2:$E$18,'Base Grupo de Produtos'!$F$2:$F$18)</f>
        <v>20</v>
      </c>
      <c r="V190" s="56">
        <f>_xlfn.XLOOKUP($N190,'Calculo Leads'!$A$97:$A$134,'Calculo Leads'!I$97:I$134)*_xlfn.XLOOKUP($P190,'Base Grupo de Produtos'!$E$2:$E$18,'Base Grupo de Produtos'!$F$2:$F$18)</f>
        <v>40</v>
      </c>
      <c r="W190" s="56">
        <f>_xlfn.XLOOKUP($N190,'Calculo Leads'!$A$97:$A$134,'Calculo Leads'!J$97:J$134)*_xlfn.XLOOKUP($P190,'Base Grupo de Produtos'!$E$2:$E$18,'Base Grupo de Produtos'!$F$2:$F$18)</f>
        <v>40</v>
      </c>
      <c r="X190" s="56">
        <f>_xlfn.XLOOKUP($N190,'Calculo Leads'!$A$97:$A$134,'Calculo Leads'!K$97:K$134)*_xlfn.XLOOKUP($P190,'Base Grupo de Produtos'!$E$2:$E$18,'Base Grupo de Produtos'!$F$2:$F$18)</f>
        <v>44</v>
      </c>
      <c r="Y190" s="56">
        <f>_xlfn.XLOOKUP($N190,'Calculo Leads'!$A$97:$A$134,'Calculo Leads'!L$97:L$134)*_xlfn.XLOOKUP($P190,'Base Grupo de Produtos'!$E$2:$E$18,'Base Grupo de Produtos'!$F$2:$F$18)</f>
        <v>44</v>
      </c>
      <c r="Z190" s="56">
        <f>_xlfn.XLOOKUP($N190,'Calculo Leads'!$A$97:$A$134,'Calculo Leads'!M$97:M$134)*_xlfn.XLOOKUP($P190,'Base Grupo de Produtos'!$E$2:$E$18,'Base Grupo de Produtos'!$F$2:$F$18)</f>
        <v>66</v>
      </c>
      <c r="AA190" s="56">
        <f>_xlfn.XLOOKUP($N190,'Calculo Leads'!$A$97:$A$134,'Calculo Leads'!N$97:N$134)*_xlfn.XLOOKUP($P190,'Base Grupo de Produtos'!$E$2:$E$18,'Base Grupo de Produtos'!$F$2:$F$18)</f>
        <v>66</v>
      </c>
      <c r="AB190" s="56">
        <f>_xlfn.XLOOKUP($N190,'Calculo Leads'!$A$97:$A$134,'Calculo Leads'!O$97:O$134)*_xlfn.XLOOKUP($P190,'Base Grupo de Produtos'!$E$2:$E$18,'Base Grupo de Produtos'!$F$2:$F$18)</f>
        <v>44</v>
      </c>
      <c r="AC190" s="61">
        <f t="shared" si="152"/>
        <v>384</v>
      </c>
      <c r="AD190" s="27">
        <f t="shared" si="208"/>
        <v>384</v>
      </c>
      <c r="AE190" s="25">
        <f>IFERROR(_xlfn.XLOOKUP(N190&amp;P190,'Historico Vendas'!G:G,'Historico Vendas'!E:E),0)</f>
        <v>0</v>
      </c>
      <c r="AF190" s="29" t="str">
        <f t="shared" si="190"/>
        <v/>
      </c>
      <c r="AG190" s="24">
        <f>IFERROR(_xlfn.XLOOKUP(N190&amp;P190,'Historico Vendas'!G:G,'Historico Vendas'!F:F),0)</f>
        <v>0</v>
      </c>
      <c r="AH190" s="25">
        <f t="shared" si="209"/>
        <v>0</v>
      </c>
      <c r="AI190" s="24">
        <f t="shared" si="210"/>
        <v>0</v>
      </c>
      <c r="AJ190" s="11" t="str">
        <f t="shared" si="211"/>
        <v/>
      </c>
      <c r="AK190" s="9" t="s">
        <v>102</v>
      </c>
      <c r="AL190" s="13">
        <f>IFERROR(INDEX('Balizador da Meta'!$D$3:$F$23,MATCH(Faturamento!$P190,'Balizador da Meta'!$C$3:$C$23,0),MATCH(Faturamento!AK190,'Balizador da Meta'!$D$2:$F$2,0)),"")</f>
        <v>0</v>
      </c>
      <c r="AM190" s="9"/>
    </row>
    <row r="191" spans="1:39" x14ac:dyDescent="0.3">
      <c r="A191" s="2" t="str">
        <f t="shared" si="191"/>
        <v>NÃO</v>
      </c>
      <c r="B191" s="2" t="str">
        <f>_xlfn.XLOOKUP($N191,'Base de Grupos'!$A:$A,'Base de Grupos'!$D:$D)</f>
        <v>1000065763</v>
      </c>
      <c r="C191" s="5" t="str">
        <f>_xlfn.XLOOKUP($N191,'Base de Grupos'!$A:$A,'Base de Grupos'!$E:$E)</f>
        <v>CANAL VENDA INTERNA</v>
      </c>
      <c r="D191" s="5" t="str">
        <f>_xlfn.XLOOKUP($N191,'Base de Grupos'!$A:$A,'Base de Grupos'!$F:$F)</f>
        <v>1000065763</v>
      </c>
      <c r="E191" s="2" t="str">
        <f>_xlfn.XLOOKUP($N191,'Base de Grupos'!$A:$A,'Base de Grupos'!$G:$G)</f>
        <v>CANAL VENDA INTERNA</v>
      </c>
      <c r="F191" s="2" t="str">
        <f>_xlfn.XLOOKUP($N191,'Base de Grupos'!$A:$A,'Base de Grupos'!$H:$H)</f>
        <v>1000105900</v>
      </c>
      <c r="G191" s="5" t="str">
        <f>_xlfn.XLOOKUP($N191,'Base de Grupos'!$A:$A,'Base de Grupos'!$I:$I)</f>
        <v>REGIONAL VENDA DIRETA CO + NE + NO</v>
      </c>
      <c r="H191" s="5" t="str">
        <f>_xlfn.XLOOKUP($N191,'Base de Grupos'!$A:$A,'Base de Grupos'!$J:$J)</f>
        <v>1000105900</v>
      </c>
      <c r="I191" s="2" t="str">
        <f>_xlfn.XLOOKUP($N191,'Base de Grupos'!$A:$A,'Base de Grupos'!$K:$K)</f>
        <v>REGIONAL VENDA DIRETA CO + NE + NO</v>
      </c>
      <c r="J191" s="2" t="str">
        <f>_xlfn.XLOOKUP($N191,'Base de Grupos'!$A:$A,'Base de Grupos'!$L:$L)</f>
        <v>1000150135</v>
      </c>
      <c r="K191" s="5" t="str">
        <f>_xlfn.XLOOKUP($N191,'Base de Grupos'!$A:$A,'Base de Grupos'!$M:$M)</f>
        <v>HELDER DA SILVA BRUNKOW</v>
      </c>
      <c r="L191" s="5" t="str">
        <f t="shared" si="192"/>
        <v/>
      </c>
      <c r="M191" s="5" t="str">
        <f>_xlfn.XLOOKUP($N191,'Base de Grupos'!$A:$A,'Base de Grupos'!$C:$C)</f>
        <v>RO</v>
      </c>
      <c r="N191" s="3">
        <v>1347</v>
      </c>
      <c r="O191" s="4" t="s">
        <v>234</v>
      </c>
      <c r="P191" s="5" t="s">
        <v>86</v>
      </c>
      <c r="Q191" s="56">
        <v>0</v>
      </c>
      <c r="R191" s="56">
        <v>0</v>
      </c>
      <c r="S191" s="56">
        <v>0</v>
      </c>
      <c r="T191" s="56">
        <f>_xlfn.XLOOKUP($N191,'Calculo Leads'!$A$97:$A$134,'Calculo Leads'!G$97:G$134)*_xlfn.XLOOKUP($P191,'Base Grupo de Produtos'!$E$2:$E$18,'Base Grupo de Produtos'!$F$2:$F$18)</f>
        <v>30</v>
      </c>
      <c r="U191" s="56">
        <f>_xlfn.XLOOKUP($N191,'Calculo Leads'!$A$97:$A$134,'Calculo Leads'!H$97:H$134)*_xlfn.XLOOKUP($P191,'Base Grupo de Produtos'!$E$2:$E$18,'Base Grupo de Produtos'!$F$2:$F$18)</f>
        <v>30</v>
      </c>
      <c r="V191" s="56">
        <f>_xlfn.XLOOKUP($N191,'Calculo Leads'!$A$97:$A$134,'Calculo Leads'!I$97:I$134)*_xlfn.XLOOKUP($P191,'Base Grupo de Produtos'!$E$2:$E$18,'Base Grupo de Produtos'!$F$2:$F$18)</f>
        <v>60</v>
      </c>
      <c r="W191" s="56">
        <f>_xlfn.XLOOKUP($N191,'Calculo Leads'!$A$97:$A$134,'Calculo Leads'!J$97:J$134)*_xlfn.XLOOKUP($P191,'Base Grupo de Produtos'!$E$2:$E$18,'Base Grupo de Produtos'!$F$2:$F$18)</f>
        <v>60</v>
      </c>
      <c r="X191" s="56">
        <f>_xlfn.XLOOKUP($N191,'Calculo Leads'!$A$97:$A$134,'Calculo Leads'!K$97:K$134)*_xlfn.XLOOKUP($P191,'Base Grupo de Produtos'!$E$2:$E$18,'Base Grupo de Produtos'!$F$2:$F$18)</f>
        <v>66</v>
      </c>
      <c r="Y191" s="56">
        <f>_xlfn.XLOOKUP($N191,'Calculo Leads'!$A$97:$A$134,'Calculo Leads'!L$97:L$134)*_xlfn.XLOOKUP($P191,'Base Grupo de Produtos'!$E$2:$E$18,'Base Grupo de Produtos'!$F$2:$F$18)</f>
        <v>66</v>
      </c>
      <c r="Z191" s="56">
        <f>_xlfn.XLOOKUP($N191,'Calculo Leads'!$A$97:$A$134,'Calculo Leads'!M$97:M$134)*_xlfn.XLOOKUP($P191,'Base Grupo de Produtos'!$E$2:$E$18,'Base Grupo de Produtos'!$F$2:$F$18)</f>
        <v>99</v>
      </c>
      <c r="AA191" s="56">
        <f>_xlfn.XLOOKUP($N191,'Calculo Leads'!$A$97:$A$134,'Calculo Leads'!N$97:N$134)*_xlfn.XLOOKUP($P191,'Base Grupo de Produtos'!$E$2:$E$18,'Base Grupo de Produtos'!$F$2:$F$18)</f>
        <v>99</v>
      </c>
      <c r="AB191" s="56">
        <f>_xlfn.XLOOKUP($N191,'Calculo Leads'!$A$97:$A$134,'Calculo Leads'!O$97:O$134)*_xlfn.XLOOKUP($P191,'Base Grupo de Produtos'!$E$2:$E$18,'Base Grupo de Produtos'!$F$2:$F$18)</f>
        <v>66</v>
      </c>
      <c r="AC191" s="61">
        <f t="shared" si="152"/>
        <v>576</v>
      </c>
      <c r="AD191" s="27">
        <f t="shared" si="208"/>
        <v>576</v>
      </c>
      <c r="AE191" s="25">
        <f>IFERROR(_xlfn.XLOOKUP(N191&amp;P191,'Historico Vendas'!G:G,'Historico Vendas'!E:E),0)</f>
        <v>0</v>
      </c>
      <c r="AF191" s="29" t="str">
        <f t="shared" si="190"/>
        <v/>
      </c>
      <c r="AG191" s="24">
        <f>IFERROR(_xlfn.XLOOKUP(N191&amp;P191,'Historico Vendas'!G:G,'Historico Vendas'!F:F),0)</f>
        <v>0</v>
      </c>
      <c r="AH191" s="25">
        <f t="shared" si="209"/>
        <v>0</v>
      </c>
      <c r="AI191" s="24">
        <f t="shared" si="210"/>
        <v>0</v>
      </c>
      <c r="AJ191" s="11" t="str">
        <f t="shared" si="211"/>
        <v/>
      </c>
      <c r="AK191" s="9" t="s">
        <v>102</v>
      </c>
      <c r="AL191" s="13">
        <f>IFERROR(INDEX('Balizador da Meta'!$D$3:$F$23,MATCH(Faturamento!$P191,'Balizador da Meta'!$C$3:$C$23,0),MATCH(Faturamento!AK191,'Balizador da Meta'!$D$2:$F$2,0)),"")</f>
        <v>0.15</v>
      </c>
      <c r="AM191" s="9"/>
    </row>
    <row r="192" spans="1:39" x14ac:dyDescent="0.3">
      <c r="A192" s="2" t="str">
        <f t="shared" si="191"/>
        <v>NÃO</v>
      </c>
      <c r="B192" s="2" t="str">
        <f>_xlfn.XLOOKUP($N192,'Base de Grupos'!$A:$A,'Base de Grupos'!$D:$D)</f>
        <v>1000065763</v>
      </c>
      <c r="C192" s="5" t="str">
        <f>_xlfn.XLOOKUP($N192,'Base de Grupos'!$A:$A,'Base de Grupos'!$E:$E)</f>
        <v>CANAL VENDA INTERNA</v>
      </c>
      <c r="D192" s="5" t="str">
        <f>_xlfn.XLOOKUP($N192,'Base de Grupos'!$A:$A,'Base de Grupos'!$F:$F)</f>
        <v>1000065763</v>
      </c>
      <c r="E192" s="2" t="str">
        <f>_xlfn.XLOOKUP($N192,'Base de Grupos'!$A:$A,'Base de Grupos'!$G:$G)</f>
        <v>CANAL VENDA INTERNA</v>
      </c>
      <c r="F192" s="2" t="str">
        <f>_xlfn.XLOOKUP($N192,'Base de Grupos'!$A:$A,'Base de Grupos'!$H:$H)</f>
        <v>1000105900</v>
      </c>
      <c r="G192" s="5" t="str">
        <f>_xlfn.XLOOKUP($N192,'Base de Grupos'!$A:$A,'Base de Grupos'!$I:$I)</f>
        <v>REGIONAL VENDA DIRETA CO + NE + NO</v>
      </c>
      <c r="H192" s="5" t="str">
        <f>_xlfn.XLOOKUP($N192,'Base de Grupos'!$A:$A,'Base de Grupos'!$J:$J)</f>
        <v>1000105900</v>
      </c>
      <c r="I192" s="2" t="str">
        <f>_xlfn.XLOOKUP($N192,'Base de Grupos'!$A:$A,'Base de Grupos'!$K:$K)</f>
        <v>REGIONAL VENDA DIRETA CO + NE + NO</v>
      </c>
      <c r="J192" s="2" t="str">
        <f>_xlfn.XLOOKUP($N192,'Base de Grupos'!$A:$A,'Base de Grupos'!$L:$L)</f>
        <v>1000150135</v>
      </c>
      <c r="K192" s="5" t="str">
        <f>_xlfn.XLOOKUP($N192,'Base de Grupos'!$A:$A,'Base de Grupos'!$M:$M)</f>
        <v>HELDER DA SILVA BRUNKOW</v>
      </c>
      <c r="L192" s="5" t="str">
        <f t="shared" si="192"/>
        <v/>
      </c>
      <c r="M192" s="5" t="str">
        <f>_xlfn.XLOOKUP($N192,'Base de Grupos'!$A:$A,'Base de Grupos'!$C:$C)</f>
        <v>RO</v>
      </c>
      <c r="N192" s="3">
        <v>1347</v>
      </c>
      <c r="O192" s="4" t="s">
        <v>234</v>
      </c>
      <c r="P192" s="5" t="s">
        <v>108</v>
      </c>
      <c r="Q192" s="56">
        <v>0</v>
      </c>
      <c r="R192" s="56">
        <v>0</v>
      </c>
      <c r="S192" s="56">
        <v>0</v>
      </c>
      <c r="T192" s="56">
        <f>_xlfn.XLOOKUP($N192,'Calculo Leads'!$A$97:$A$134,'Calculo Leads'!G$97:G$134)*_xlfn.XLOOKUP($P192,'Base Grupo de Produtos'!$E$2:$E$18,'Base Grupo de Produtos'!$F$2:$F$18)</f>
        <v>250</v>
      </c>
      <c r="U192" s="56">
        <f>_xlfn.XLOOKUP($N192,'Calculo Leads'!$A$97:$A$134,'Calculo Leads'!H$97:H$134)*_xlfn.XLOOKUP($P192,'Base Grupo de Produtos'!$E$2:$E$18,'Base Grupo de Produtos'!$F$2:$F$18)</f>
        <v>250</v>
      </c>
      <c r="V192" s="56">
        <f>_xlfn.XLOOKUP($N192,'Calculo Leads'!$A$97:$A$134,'Calculo Leads'!I$97:I$134)*_xlfn.XLOOKUP($P192,'Base Grupo de Produtos'!$E$2:$E$18,'Base Grupo de Produtos'!$F$2:$F$18)</f>
        <v>500</v>
      </c>
      <c r="W192" s="56">
        <f>_xlfn.XLOOKUP($N192,'Calculo Leads'!$A$97:$A$134,'Calculo Leads'!J$97:J$134)*_xlfn.XLOOKUP($P192,'Base Grupo de Produtos'!$E$2:$E$18,'Base Grupo de Produtos'!$F$2:$F$18)</f>
        <v>500</v>
      </c>
      <c r="X192" s="56">
        <f>_xlfn.XLOOKUP($N192,'Calculo Leads'!$A$97:$A$134,'Calculo Leads'!K$97:K$134)*_xlfn.XLOOKUP($P192,'Base Grupo de Produtos'!$E$2:$E$18,'Base Grupo de Produtos'!$F$2:$F$18)</f>
        <v>550</v>
      </c>
      <c r="Y192" s="56">
        <f>_xlfn.XLOOKUP($N192,'Calculo Leads'!$A$97:$A$134,'Calculo Leads'!L$97:L$134)*_xlfn.XLOOKUP($P192,'Base Grupo de Produtos'!$E$2:$E$18,'Base Grupo de Produtos'!$F$2:$F$18)</f>
        <v>550</v>
      </c>
      <c r="Z192" s="56">
        <f>_xlfn.XLOOKUP($N192,'Calculo Leads'!$A$97:$A$134,'Calculo Leads'!M$97:M$134)*_xlfn.XLOOKUP($P192,'Base Grupo de Produtos'!$E$2:$E$18,'Base Grupo de Produtos'!$F$2:$F$18)</f>
        <v>825</v>
      </c>
      <c r="AA192" s="56">
        <f>_xlfn.XLOOKUP($N192,'Calculo Leads'!$A$97:$A$134,'Calculo Leads'!N$97:N$134)*_xlfn.XLOOKUP($P192,'Base Grupo de Produtos'!$E$2:$E$18,'Base Grupo de Produtos'!$F$2:$F$18)</f>
        <v>825</v>
      </c>
      <c r="AB192" s="56">
        <f>_xlfn.XLOOKUP($N192,'Calculo Leads'!$A$97:$A$134,'Calculo Leads'!O$97:O$134)*_xlfn.XLOOKUP($P192,'Base Grupo de Produtos'!$E$2:$E$18,'Base Grupo de Produtos'!$F$2:$F$18)</f>
        <v>550</v>
      </c>
      <c r="AC192" s="61">
        <f t="shared" si="152"/>
        <v>4800</v>
      </c>
      <c r="AD192" s="27">
        <f t="shared" si="208"/>
        <v>4800</v>
      </c>
      <c r="AE192" s="25">
        <f>IFERROR(_xlfn.XLOOKUP(N192&amp;P192,'Historico Vendas'!G:G,'Historico Vendas'!E:E),0)</f>
        <v>0</v>
      </c>
      <c r="AF192" s="29" t="str">
        <f t="shared" si="190"/>
        <v/>
      </c>
      <c r="AG192" s="24">
        <f>IFERROR(_xlfn.XLOOKUP(N192&amp;P192,'Historico Vendas'!G:G,'Historico Vendas'!F:F),0)</f>
        <v>0</v>
      </c>
      <c r="AH192" s="25">
        <f t="shared" si="209"/>
        <v>0</v>
      </c>
      <c r="AI192" s="24">
        <f t="shared" si="210"/>
        <v>0</v>
      </c>
      <c r="AJ192" s="11" t="str">
        <f t="shared" si="211"/>
        <v/>
      </c>
      <c r="AK192" s="9" t="s">
        <v>102</v>
      </c>
      <c r="AL192" s="13">
        <f>IFERROR(INDEX('Balizador da Meta'!$D$3:$F$23,MATCH(Faturamento!$P192,'Balizador da Meta'!$C$3:$C$23,0),MATCH(Faturamento!AK192,'Balizador da Meta'!$D$2:$F$2,0)),"")</f>
        <v>0</v>
      </c>
      <c r="AM192" s="9"/>
    </row>
    <row r="193" spans="1:39" x14ac:dyDescent="0.3">
      <c r="A193" s="2" t="str">
        <f t="shared" si="191"/>
        <v>NÃO</v>
      </c>
      <c r="B193" s="2" t="str">
        <f>_xlfn.XLOOKUP($N193,'Base de Grupos'!$A:$A,'Base de Grupos'!$D:$D)</f>
        <v>1000065763</v>
      </c>
      <c r="C193" s="5" t="str">
        <f>_xlfn.XLOOKUP($N193,'Base de Grupos'!$A:$A,'Base de Grupos'!$E:$E)</f>
        <v>CANAL VENDA INTERNA</v>
      </c>
      <c r="D193" s="5" t="str">
        <f>_xlfn.XLOOKUP($N193,'Base de Grupos'!$A:$A,'Base de Grupos'!$F:$F)</f>
        <v>1000065763</v>
      </c>
      <c r="E193" s="2" t="str">
        <f>_xlfn.XLOOKUP($N193,'Base de Grupos'!$A:$A,'Base de Grupos'!$G:$G)</f>
        <v>CANAL VENDA INTERNA</v>
      </c>
      <c r="F193" s="2" t="str">
        <f>_xlfn.XLOOKUP($N193,'Base de Grupos'!$A:$A,'Base de Grupos'!$H:$H)</f>
        <v>1000105900</v>
      </c>
      <c r="G193" s="5" t="str">
        <f>_xlfn.XLOOKUP($N193,'Base de Grupos'!$A:$A,'Base de Grupos'!$I:$I)</f>
        <v>REGIONAL VENDA DIRETA CO + NE + NO</v>
      </c>
      <c r="H193" s="5" t="str">
        <f>_xlfn.XLOOKUP($N193,'Base de Grupos'!$A:$A,'Base de Grupos'!$J:$J)</f>
        <v>1000105900</v>
      </c>
      <c r="I193" s="2" t="str">
        <f>_xlfn.XLOOKUP($N193,'Base de Grupos'!$A:$A,'Base de Grupos'!$K:$K)</f>
        <v>REGIONAL VENDA DIRETA CO + NE + NO</v>
      </c>
      <c r="J193" s="2" t="str">
        <f>_xlfn.XLOOKUP($N193,'Base de Grupos'!$A:$A,'Base de Grupos'!$L:$L)</f>
        <v>1000150135</v>
      </c>
      <c r="K193" s="5" t="str">
        <f>_xlfn.XLOOKUP($N193,'Base de Grupos'!$A:$A,'Base de Grupos'!$M:$M)</f>
        <v>HELDER DA SILVA BRUNKOW</v>
      </c>
      <c r="L193" s="5" t="str">
        <f t="shared" si="192"/>
        <v/>
      </c>
      <c r="M193" s="5" t="str">
        <f>_xlfn.XLOOKUP($N193,'Base de Grupos'!$A:$A,'Base de Grupos'!$C:$C)</f>
        <v>RO</v>
      </c>
      <c r="N193" s="3">
        <v>1347</v>
      </c>
      <c r="O193" s="4" t="s">
        <v>234</v>
      </c>
      <c r="P193" s="5" t="s">
        <v>89</v>
      </c>
      <c r="Q193" s="56">
        <v>0</v>
      </c>
      <c r="R193" s="56">
        <v>0</v>
      </c>
      <c r="S193" s="56">
        <v>0</v>
      </c>
      <c r="T193" s="56">
        <f>_xlfn.XLOOKUP($N193,'Calculo Leads'!$A$97:$A$134,'Calculo Leads'!G$97:G$134)*_xlfn.XLOOKUP($P193,'Base Grupo de Produtos'!$E$2:$E$18,'Base Grupo de Produtos'!$F$2:$F$18)</f>
        <v>50</v>
      </c>
      <c r="U193" s="56">
        <f>_xlfn.XLOOKUP($N193,'Calculo Leads'!$A$97:$A$134,'Calculo Leads'!H$97:H$134)*_xlfn.XLOOKUP($P193,'Base Grupo de Produtos'!$E$2:$E$18,'Base Grupo de Produtos'!$F$2:$F$18)</f>
        <v>50</v>
      </c>
      <c r="V193" s="56">
        <f>_xlfn.XLOOKUP($N193,'Calculo Leads'!$A$97:$A$134,'Calculo Leads'!I$97:I$134)*_xlfn.XLOOKUP($P193,'Base Grupo de Produtos'!$E$2:$E$18,'Base Grupo de Produtos'!$F$2:$F$18)</f>
        <v>100</v>
      </c>
      <c r="W193" s="56">
        <f>_xlfn.XLOOKUP($N193,'Calculo Leads'!$A$97:$A$134,'Calculo Leads'!J$97:J$134)*_xlfn.XLOOKUP($P193,'Base Grupo de Produtos'!$E$2:$E$18,'Base Grupo de Produtos'!$F$2:$F$18)</f>
        <v>100</v>
      </c>
      <c r="X193" s="56">
        <f>_xlfn.XLOOKUP($N193,'Calculo Leads'!$A$97:$A$134,'Calculo Leads'!K$97:K$134)*_xlfn.XLOOKUP($P193,'Base Grupo de Produtos'!$E$2:$E$18,'Base Grupo de Produtos'!$F$2:$F$18)</f>
        <v>110</v>
      </c>
      <c r="Y193" s="56">
        <f>_xlfn.XLOOKUP($N193,'Calculo Leads'!$A$97:$A$134,'Calculo Leads'!L$97:L$134)*_xlfn.XLOOKUP($P193,'Base Grupo de Produtos'!$E$2:$E$18,'Base Grupo de Produtos'!$F$2:$F$18)</f>
        <v>110</v>
      </c>
      <c r="Z193" s="56">
        <f>_xlfn.XLOOKUP($N193,'Calculo Leads'!$A$97:$A$134,'Calculo Leads'!M$97:M$134)*_xlfn.XLOOKUP($P193,'Base Grupo de Produtos'!$E$2:$E$18,'Base Grupo de Produtos'!$F$2:$F$18)</f>
        <v>165</v>
      </c>
      <c r="AA193" s="56">
        <f>_xlfn.XLOOKUP($N193,'Calculo Leads'!$A$97:$A$134,'Calculo Leads'!N$97:N$134)*_xlfn.XLOOKUP($P193,'Base Grupo de Produtos'!$E$2:$E$18,'Base Grupo de Produtos'!$F$2:$F$18)</f>
        <v>165</v>
      </c>
      <c r="AB193" s="56">
        <f>_xlfn.XLOOKUP($N193,'Calculo Leads'!$A$97:$A$134,'Calculo Leads'!O$97:O$134)*_xlfn.XLOOKUP($P193,'Base Grupo de Produtos'!$E$2:$E$18,'Base Grupo de Produtos'!$F$2:$F$18)</f>
        <v>110</v>
      </c>
      <c r="AC193" s="61">
        <f t="shared" si="152"/>
        <v>960</v>
      </c>
      <c r="AD193" s="27">
        <f t="shared" si="208"/>
        <v>960</v>
      </c>
      <c r="AE193" s="25">
        <f>IFERROR(_xlfn.XLOOKUP(N193&amp;P193,'Historico Vendas'!G:G,'Historico Vendas'!E:E),0)</f>
        <v>0</v>
      </c>
      <c r="AF193" s="29" t="str">
        <f t="shared" si="190"/>
        <v/>
      </c>
      <c r="AG193" s="24">
        <f>IFERROR(_xlfn.XLOOKUP(N193&amp;P193,'Historico Vendas'!G:G,'Historico Vendas'!F:F),0)</f>
        <v>0</v>
      </c>
      <c r="AH193" s="25">
        <f t="shared" si="209"/>
        <v>0</v>
      </c>
      <c r="AI193" s="24">
        <f t="shared" si="210"/>
        <v>0</v>
      </c>
      <c r="AJ193" s="11" t="str">
        <f t="shared" si="211"/>
        <v/>
      </c>
      <c r="AK193" s="9" t="s">
        <v>102</v>
      </c>
      <c r="AL193" s="13">
        <f>IFERROR(INDEX('Balizador da Meta'!$D$3:$F$23,MATCH(Faturamento!$P193,'Balizador da Meta'!$C$3:$C$23,0),MATCH(Faturamento!AK193,'Balizador da Meta'!$D$2:$F$2,0)),"")</f>
        <v>0.25</v>
      </c>
      <c r="AM193" s="9"/>
    </row>
    <row r="194" spans="1:39" x14ac:dyDescent="0.3">
      <c r="A194" s="2" t="str">
        <f t="shared" si="191"/>
        <v>NÃO</v>
      </c>
      <c r="B194" s="2" t="str">
        <f>_xlfn.XLOOKUP($N194,'Base de Grupos'!$A:$A,'Base de Grupos'!$D:$D)</f>
        <v>1000065763</v>
      </c>
      <c r="C194" s="5" t="str">
        <f>_xlfn.XLOOKUP($N194,'Base de Grupos'!$A:$A,'Base de Grupos'!$E:$E)</f>
        <v>CANAL VENDA INTERNA</v>
      </c>
      <c r="D194" s="5" t="str">
        <f>_xlfn.XLOOKUP($N194,'Base de Grupos'!$A:$A,'Base de Grupos'!$F:$F)</f>
        <v>1000065763</v>
      </c>
      <c r="E194" s="2" t="str">
        <f>_xlfn.XLOOKUP($N194,'Base de Grupos'!$A:$A,'Base de Grupos'!$G:$G)</f>
        <v>CANAL VENDA INTERNA</v>
      </c>
      <c r="F194" s="2" t="str">
        <f>_xlfn.XLOOKUP($N194,'Base de Grupos'!$A:$A,'Base de Grupos'!$H:$H)</f>
        <v>1000105900</v>
      </c>
      <c r="G194" s="5" t="str">
        <f>_xlfn.XLOOKUP($N194,'Base de Grupos'!$A:$A,'Base de Grupos'!$I:$I)</f>
        <v>REGIONAL VENDA DIRETA CO + NE + NO</v>
      </c>
      <c r="H194" s="5" t="str">
        <f>_xlfn.XLOOKUP($N194,'Base de Grupos'!$A:$A,'Base de Grupos'!$J:$J)</f>
        <v>1000105900</v>
      </c>
      <c r="I194" s="2" t="str">
        <f>_xlfn.XLOOKUP($N194,'Base de Grupos'!$A:$A,'Base de Grupos'!$K:$K)</f>
        <v>REGIONAL VENDA DIRETA CO + NE + NO</v>
      </c>
      <c r="J194" s="2" t="str">
        <f>_xlfn.XLOOKUP($N194,'Base de Grupos'!$A:$A,'Base de Grupos'!$L:$L)</f>
        <v>1000150135</v>
      </c>
      <c r="K194" s="5" t="str">
        <f>_xlfn.XLOOKUP($N194,'Base de Grupos'!$A:$A,'Base de Grupos'!$M:$M)</f>
        <v>HELDER DA SILVA BRUNKOW</v>
      </c>
      <c r="L194" s="5" t="str">
        <f t="shared" si="192"/>
        <v/>
      </c>
      <c r="M194" s="5" t="str">
        <f>_xlfn.XLOOKUP($N194,'Base de Grupos'!$A:$A,'Base de Grupos'!$C:$C)</f>
        <v>RO</v>
      </c>
      <c r="N194" s="3">
        <v>1347</v>
      </c>
      <c r="O194" s="4" t="s">
        <v>234</v>
      </c>
      <c r="P194" s="5" t="s">
        <v>88</v>
      </c>
      <c r="Q194" s="56">
        <v>0</v>
      </c>
      <c r="R194" s="56">
        <v>0</v>
      </c>
      <c r="S194" s="56">
        <v>0</v>
      </c>
      <c r="T194" s="56">
        <f>_xlfn.XLOOKUP($N194,'Calculo Leads'!$A$97:$A$134,'Calculo Leads'!G$97:G$134)*_xlfn.XLOOKUP($P194,'Base Grupo de Produtos'!$E$2:$E$18,'Base Grupo de Produtos'!$F$2:$F$18)</f>
        <v>50</v>
      </c>
      <c r="U194" s="56">
        <f>_xlfn.XLOOKUP($N194,'Calculo Leads'!$A$97:$A$134,'Calculo Leads'!H$97:H$134)*_xlfn.XLOOKUP($P194,'Base Grupo de Produtos'!$E$2:$E$18,'Base Grupo de Produtos'!$F$2:$F$18)</f>
        <v>50</v>
      </c>
      <c r="V194" s="56">
        <f>_xlfn.XLOOKUP($N194,'Calculo Leads'!$A$97:$A$134,'Calculo Leads'!I$97:I$134)*_xlfn.XLOOKUP($P194,'Base Grupo de Produtos'!$E$2:$E$18,'Base Grupo de Produtos'!$F$2:$F$18)</f>
        <v>100</v>
      </c>
      <c r="W194" s="56">
        <f>_xlfn.XLOOKUP($N194,'Calculo Leads'!$A$97:$A$134,'Calculo Leads'!J$97:J$134)*_xlfn.XLOOKUP($P194,'Base Grupo de Produtos'!$E$2:$E$18,'Base Grupo de Produtos'!$F$2:$F$18)</f>
        <v>100</v>
      </c>
      <c r="X194" s="56">
        <f>_xlfn.XLOOKUP($N194,'Calculo Leads'!$A$97:$A$134,'Calculo Leads'!K$97:K$134)*_xlfn.XLOOKUP($P194,'Base Grupo de Produtos'!$E$2:$E$18,'Base Grupo de Produtos'!$F$2:$F$18)</f>
        <v>110</v>
      </c>
      <c r="Y194" s="56">
        <f>_xlfn.XLOOKUP($N194,'Calculo Leads'!$A$97:$A$134,'Calculo Leads'!L$97:L$134)*_xlfn.XLOOKUP($P194,'Base Grupo de Produtos'!$E$2:$E$18,'Base Grupo de Produtos'!$F$2:$F$18)</f>
        <v>110</v>
      </c>
      <c r="Z194" s="56">
        <f>_xlfn.XLOOKUP($N194,'Calculo Leads'!$A$97:$A$134,'Calculo Leads'!M$97:M$134)*_xlfn.XLOOKUP($P194,'Base Grupo de Produtos'!$E$2:$E$18,'Base Grupo de Produtos'!$F$2:$F$18)</f>
        <v>165</v>
      </c>
      <c r="AA194" s="56">
        <f>_xlfn.XLOOKUP($N194,'Calculo Leads'!$A$97:$A$134,'Calculo Leads'!N$97:N$134)*_xlfn.XLOOKUP($P194,'Base Grupo de Produtos'!$E$2:$E$18,'Base Grupo de Produtos'!$F$2:$F$18)</f>
        <v>165</v>
      </c>
      <c r="AB194" s="56">
        <f>_xlfn.XLOOKUP($N194,'Calculo Leads'!$A$97:$A$134,'Calculo Leads'!O$97:O$134)*_xlfn.XLOOKUP($P194,'Base Grupo de Produtos'!$E$2:$E$18,'Base Grupo de Produtos'!$F$2:$F$18)</f>
        <v>110</v>
      </c>
      <c r="AC194" s="61">
        <f t="shared" si="152"/>
        <v>960</v>
      </c>
      <c r="AD194" s="27">
        <f t="shared" si="208"/>
        <v>960</v>
      </c>
      <c r="AE194" s="25">
        <f>IFERROR(_xlfn.XLOOKUP(N194&amp;P194,'Historico Vendas'!G:G,'Historico Vendas'!E:E),0)</f>
        <v>0</v>
      </c>
      <c r="AF194" s="29" t="str">
        <f t="shared" si="190"/>
        <v/>
      </c>
      <c r="AG194" s="24">
        <f>IFERROR(_xlfn.XLOOKUP(N194&amp;P194,'Historico Vendas'!G:G,'Historico Vendas'!F:F),0)</f>
        <v>0</v>
      </c>
      <c r="AH194" s="25">
        <f t="shared" si="209"/>
        <v>0</v>
      </c>
      <c r="AI194" s="24">
        <f t="shared" si="210"/>
        <v>0</v>
      </c>
      <c r="AJ194" s="11" t="str">
        <f t="shared" si="211"/>
        <v/>
      </c>
      <c r="AK194" s="9" t="s">
        <v>102</v>
      </c>
      <c r="AL194" s="13">
        <f>IFERROR(INDEX('Balizador da Meta'!$D$3:$F$23,MATCH(Faturamento!$P194,'Balizador da Meta'!$C$3:$C$23,0),MATCH(Faturamento!AK194,'Balizador da Meta'!$D$2:$F$2,0)),"")</f>
        <v>0</v>
      </c>
      <c r="AM194" s="9"/>
    </row>
    <row r="195" spans="1:39" x14ac:dyDescent="0.3">
      <c r="A195" s="2" t="str">
        <f t="shared" si="191"/>
        <v>NÃO</v>
      </c>
      <c r="B195" s="2" t="str">
        <f>_xlfn.XLOOKUP($N195,'Base de Grupos'!$A:$A,'Base de Grupos'!$D:$D)</f>
        <v>1000065763</v>
      </c>
      <c r="C195" s="5" t="str">
        <f>_xlfn.XLOOKUP($N195,'Base de Grupos'!$A:$A,'Base de Grupos'!$E:$E)</f>
        <v>CANAL VENDA INTERNA</v>
      </c>
      <c r="D195" s="5" t="str">
        <f>_xlfn.XLOOKUP($N195,'Base de Grupos'!$A:$A,'Base de Grupos'!$F:$F)</f>
        <v>1000065763</v>
      </c>
      <c r="E195" s="2" t="str">
        <f>_xlfn.XLOOKUP($N195,'Base de Grupos'!$A:$A,'Base de Grupos'!$G:$G)</f>
        <v>CANAL VENDA INTERNA</v>
      </c>
      <c r="F195" s="2" t="str">
        <f>_xlfn.XLOOKUP($N195,'Base de Grupos'!$A:$A,'Base de Grupos'!$H:$H)</f>
        <v>1000105900</v>
      </c>
      <c r="G195" s="5" t="str">
        <f>_xlfn.XLOOKUP($N195,'Base de Grupos'!$A:$A,'Base de Grupos'!$I:$I)</f>
        <v>REGIONAL VENDA DIRETA CO + NE + NO</v>
      </c>
      <c r="H195" s="5" t="str">
        <f>_xlfn.XLOOKUP($N195,'Base de Grupos'!$A:$A,'Base de Grupos'!$J:$J)</f>
        <v>1000105900</v>
      </c>
      <c r="I195" s="2" t="str">
        <f>_xlfn.XLOOKUP($N195,'Base de Grupos'!$A:$A,'Base de Grupos'!$K:$K)</f>
        <v>REGIONAL VENDA DIRETA CO + NE + NO</v>
      </c>
      <c r="J195" s="2" t="str">
        <f>_xlfn.XLOOKUP($N195,'Base de Grupos'!$A:$A,'Base de Grupos'!$L:$L)</f>
        <v>1000150135</v>
      </c>
      <c r="K195" s="5" t="str">
        <f>_xlfn.XLOOKUP($N195,'Base de Grupos'!$A:$A,'Base de Grupos'!$M:$M)</f>
        <v>HELDER DA SILVA BRUNKOW</v>
      </c>
      <c r="L195" s="5" t="str">
        <f t="shared" si="192"/>
        <v/>
      </c>
      <c r="M195" s="5" t="str">
        <f>_xlfn.XLOOKUP($N195,'Base de Grupos'!$A:$A,'Base de Grupos'!$C:$C)</f>
        <v>RO</v>
      </c>
      <c r="N195" s="3">
        <v>1347</v>
      </c>
      <c r="O195" s="4" t="s">
        <v>234</v>
      </c>
      <c r="P195" s="5" t="s">
        <v>90</v>
      </c>
      <c r="Q195" s="56">
        <v>0</v>
      </c>
      <c r="R195" s="56">
        <v>0</v>
      </c>
      <c r="S195" s="56">
        <v>0</v>
      </c>
      <c r="T195" s="56">
        <f>_xlfn.XLOOKUP($N195,'Calculo Leads'!$A$97:$A$134,'Calculo Leads'!G$97:G$134)*_xlfn.XLOOKUP($P195,'Base Grupo de Produtos'!$E$2:$E$18,'Base Grupo de Produtos'!$F$2:$F$18)</f>
        <v>50</v>
      </c>
      <c r="U195" s="56">
        <f>_xlfn.XLOOKUP($N195,'Calculo Leads'!$A$97:$A$134,'Calculo Leads'!H$97:H$134)*_xlfn.XLOOKUP($P195,'Base Grupo de Produtos'!$E$2:$E$18,'Base Grupo de Produtos'!$F$2:$F$18)</f>
        <v>50</v>
      </c>
      <c r="V195" s="56">
        <f>_xlfn.XLOOKUP($N195,'Calculo Leads'!$A$97:$A$134,'Calculo Leads'!I$97:I$134)*_xlfn.XLOOKUP($P195,'Base Grupo de Produtos'!$E$2:$E$18,'Base Grupo de Produtos'!$F$2:$F$18)</f>
        <v>100</v>
      </c>
      <c r="W195" s="56">
        <f>_xlfn.XLOOKUP($N195,'Calculo Leads'!$A$97:$A$134,'Calculo Leads'!J$97:J$134)*_xlfn.XLOOKUP($P195,'Base Grupo de Produtos'!$E$2:$E$18,'Base Grupo de Produtos'!$F$2:$F$18)</f>
        <v>100</v>
      </c>
      <c r="X195" s="56">
        <f>_xlfn.XLOOKUP($N195,'Calculo Leads'!$A$97:$A$134,'Calculo Leads'!K$97:K$134)*_xlfn.XLOOKUP($P195,'Base Grupo de Produtos'!$E$2:$E$18,'Base Grupo de Produtos'!$F$2:$F$18)</f>
        <v>110</v>
      </c>
      <c r="Y195" s="56">
        <f>_xlfn.XLOOKUP($N195,'Calculo Leads'!$A$97:$A$134,'Calculo Leads'!L$97:L$134)*_xlfn.XLOOKUP($P195,'Base Grupo de Produtos'!$E$2:$E$18,'Base Grupo de Produtos'!$F$2:$F$18)</f>
        <v>110</v>
      </c>
      <c r="Z195" s="56">
        <f>_xlfn.XLOOKUP($N195,'Calculo Leads'!$A$97:$A$134,'Calculo Leads'!M$97:M$134)*_xlfn.XLOOKUP($P195,'Base Grupo de Produtos'!$E$2:$E$18,'Base Grupo de Produtos'!$F$2:$F$18)</f>
        <v>165</v>
      </c>
      <c r="AA195" s="56">
        <f>_xlfn.XLOOKUP($N195,'Calculo Leads'!$A$97:$A$134,'Calculo Leads'!N$97:N$134)*_xlfn.XLOOKUP($P195,'Base Grupo de Produtos'!$E$2:$E$18,'Base Grupo de Produtos'!$F$2:$F$18)</f>
        <v>165</v>
      </c>
      <c r="AB195" s="56">
        <f>_xlfn.XLOOKUP($N195,'Calculo Leads'!$A$97:$A$134,'Calculo Leads'!O$97:O$134)*_xlfn.XLOOKUP($P195,'Base Grupo de Produtos'!$E$2:$E$18,'Base Grupo de Produtos'!$F$2:$F$18)</f>
        <v>110</v>
      </c>
      <c r="AC195" s="61">
        <f t="shared" si="152"/>
        <v>960</v>
      </c>
      <c r="AD195" s="27">
        <f t="shared" si="208"/>
        <v>960</v>
      </c>
      <c r="AE195" s="25">
        <f>IFERROR(_xlfn.XLOOKUP(N195&amp;P195,'Historico Vendas'!G:G,'Historico Vendas'!E:E),0)</f>
        <v>0</v>
      </c>
      <c r="AF195" s="29" t="str">
        <f t="shared" si="190"/>
        <v/>
      </c>
      <c r="AG195" s="24">
        <f>IFERROR(_xlfn.XLOOKUP(N195&amp;P195,'Historico Vendas'!G:G,'Historico Vendas'!F:F),0)</f>
        <v>0</v>
      </c>
      <c r="AH195" s="25">
        <f t="shared" si="209"/>
        <v>0</v>
      </c>
      <c r="AI195" s="24">
        <f t="shared" si="210"/>
        <v>0</v>
      </c>
      <c r="AJ195" s="11" t="str">
        <f t="shared" si="211"/>
        <v/>
      </c>
      <c r="AK195" s="9" t="s">
        <v>102</v>
      </c>
      <c r="AL195" s="13">
        <f>IFERROR(INDEX('Balizador da Meta'!$D$3:$F$23,MATCH(Faturamento!$P195,'Balizador da Meta'!$C$3:$C$23,0),MATCH(Faturamento!AK195,'Balizador da Meta'!$D$2:$F$2,0)),"")</f>
        <v>0</v>
      </c>
      <c r="AM195" s="9"/>
    </row>
    <row r="196" spans="1:39" x14ac:dyDescent="0.3">
      <c r="A196" s="2" t="str">
        <f t="shared" si="191"/>
        <v>NÃO</v>
      </c>
      <c r="B196" s="2" t="str">
        <f>_xlfn.XLOOKUP($N196,'Base de Grupos'!$A:$A,'Base de Grupos'!$D:$D)</f>
        <v>1000065763</v>
      </c>
      <c r="C196" s="5" t="str">
        <f>_xlfn.XLOOKUP($N196,'Base de Grupos'!$A:$A,'Base de Grupos'!$E:$E)</f>
        <v>CANAL VENDA INTERNA</v>
      </c>
      <c r="D196" s="5" t="str">
        <f>_xlfn.XLOOKUP($N196,'Base de Grupos'!$A:$A,'Base de Grupos'!$F:$F)</f>
        <v>1000065763</v>
      </c>
      <c r="E196" s="2" t="str">
        <f>_xlfn.XLOOKUP($N196,'Base de Grupos'!$A:$A,'Base de Grupos'!$G:$G)</f>
        <v>CANAL VENDA INTERNA</v>
      </c>
      <c r="F196" s="2" t="str">
        <f>_xlfn.XLOOKUP($N196,'Base de Grupos'!$A:$A,'Base de Grupos'!$H:$H)</f>
        <v>1000105900</v>
      </c>
      <c r="G196" s="5" t="str">
        <f>_xlfn.XLOOKUP($N196,'Base de Grupos'!$A:$A,'Base de Grupos'!$I:$I)</f>
        <v>REGIONAL VENDA DIRETA CO + NE + NO</v>
      </c>
      <c r="H196" s="5" t="str">
        <f>_xlfn.XLOOKUP($N196,'Base de Grupos'!$A:$A,'Base de Grupos'!$J:$J)</f>
        <v>1000105900</v>
      </c>
      <c r="I196" s="2" t="str">
        <f>_xlfn.XLOOKUP($N196,'Base de Grupos'!$A:$A,'Base de Grupos'!$K:$K)</f>
        <v>REGIONAL VENDA DIRETA CO + NE + NO</v>
      </c>
      <c r="J196" s="2" t="str">
        <f>_xlfn.XLOOKUP($N196,'Base de Grupos'!$A:$A,'Base de Grupos'!$L:$L)</f>
        <v>1000150135</v>
      </c>
      <c r="K196" s="5" t="str">
        <f>_xlfn.XLOOKUP($N196,'Base de Grupos'!$A:$A,'Base de Grupos'!$M:$M)</f>
        <v>HELDER DA SILVA BRUNKOW</v>
      </c>
      <c r="L196" s="5" t="str">
        <f t="shared" si="192"/>
        <v/>
      </c>
      <c r="M196" s="5" t="str">
        <f>_xlfn.XLOOKUP($N196,'Base de Grupos'!$A:$A,'Base de Grupos'!$C:$C)</f>
        <v>RO</v>
      </c>
      <c r="N196" s="3">
        <v>1347</v>
      </c>
      <c r="O196" s="4" t="s">
        <v>234</v>
      </c>
      <c r="P196" s="5" t="s">
        <v>91</v>
      </c>
      <c r="Q196" s="56">
        <v>0</v>
      </c>
      <c r="R196" s="56">
        <v>0</v>
      </c>
      <c r="S196" s="56">
        <v>0</v>
      </c>
      <c r="T196" s="56">
        <f>_xlfn.XLOOKUP($N196,'Calculo Leads'!$A$97:$A$134,'Calculo Leads'!G$97:G$134)*_xlfn.XLOOKUP($P196,'Base Grupo de Produtos'!$E$2:$E$18,'Base Grupo de Produtos'!$F$2:$F$18)</f>
        <v>0</v>
      </c>
      <c r="U196" s="56">
        <f>_xlfn.XLOOKUP($N196,'Calculo Leads'!$A$97:$A$134,'Calculo Leads'!H$97:H$134)*_xlfn.XLOOKUP($P196,'Base Grupo de Produtos'!$E$2:$E$18,'Base Grupo de Produtos'!$F$2:$F$18)</f>
        <v>0</v>
      </c>
      <c r="V196" s="56">
        <f>_xlfn.XLOOKUP($N196,'Calculo Leads'!$A$97:$A$134,'Calculo Leads'!I$97:I$134)*_xlfn.XLOOKUP($P196,'Base Grupo de Produtos'!$E$2:$E$18,'Base Grupo de Produtos'!$F$2:$F$18)</f>
        <v>0</v>
      </c>
      <c r="W196" s="56">
        <f>_xlfn.XLOOKUP($N196,'Calculo Leads'!$A$97:$A$134,'Calculo Leads'!J$97:J$134)*_xlfn.XLOOKUP($P196,'Base Grupo de Produtos'!$E$2:$E$18,'Base Grupo de Produtos'!$F$2:$F$18)</f>
        <v>0</v>
      </c>
      <c r="X196" s="56">
        <f>_xlfn.XLOOKUP($N196,'Calculo Leads'!$A$97:$A$134,'Calculo Leads'!K$97:K$134)*_xlfn.XLOOKUP($P196,'Base Grupo de Produtos'!$E$2:$E$18,'Base Grupo de Produtos'!$F$2:$F$18)</f>
        <v>0</v>
      </c>
      <c r="Y196" s="56">
        <f>_xlfn.XLOOKUP($N196,'Calculo Leads'!$A$97:$A$134,'Calculo Leads'!L$97:L$134)*_xlfn.XLOOKUP($P196,'Base Grupo de Produtos'!$E$2:$E$18,'Base Grupo de Produtos'!$F$2:$F$18)</f>
        <v>0</v>
      </c>
      <c r="Z196" s="56">
        <f>_xlfn.XLOOKUP($N196,'Calculo Leads'!$A$97:$A$134,'Calculo Leads'!M$97:M$134)*_xlfn.XLOOKUP($P196,'Base Grupo de Produtos'!$E$2:$E$18,'Base Grupo de Produtos'!$F$2:$F$18)</f>
        <v>0</v>
      </c>
      <c r="AA196" s="56">
        <f>_xlfn.XLOOKUP($N196,'Calculo Leads'!$A$97:$A$134,'Calculo Leads'!N$97:N$134)*_xlfn.XLOOKUP($P196,'Base Grupo de Produtos'!$E$2:$E$18,'Base Grupo de Produtos'!$F$2:$F$18)</f>
        <v>0</v>
      </c>
      <c r="AB196" s="56">
        <f>_xlfn.XLOOKUP($N196,'Calculo Leads'!$A$97:$A$134,'Calculo Leads'!O$97:O$134)*_xlfn.XLOOKUP($P196,'Base Grupo de Produtos'!$E$2:$E$18,'Base Grupo de Produtos'!$F$2:$F$18)</f>
        <v>0</v>
      </c>
      <c r="AC196" s="61">
        <f t="shared" si="152"/>
        <v>0</v>
      </c>
      <c r="AD196" s="27">
        <f t="shared" si="208"/>
        <v>0</v>
      </c>
      <c r="AE196" s="25">
        <f>IFERROR(_xlfn.XLOOKUP(N196&amp;P196,'Historico Vendas'!G:G,'Historico Vendas'!E:E),0)</f>
        <v>0</v>
      </c>
      <c r="AF196" s="29" t="str">
        <f t="shared" si="190"/>
        <v/>
      </c>
      <c r="AG196" s="24">
        <f>IFERROR(_xlfn.XLOOKUP(N196&amp;P196,'Historico Vendas'!G:G,'Historico Vendas'!F:F),0)</f>
        <v>0</v>
      </c>
      <c r="AH196" s="25">
        <f t="shared" si="209"/>
        <v>0</v>
      </c>
      <c r="AI196" s="24">
        <f t="shared" si="210"/>
        <v>0</v>
      </c>
      <c r="AJ196" s="11" t="str">
        <f t="shared" si="211"/>
        <v/>
      </c>
      <c r="AK196" s="9" t="s">
        <v>102</v>
      </c>
      <c r="AL196" s="13">
        <f>IFERROR(INDEX('Balizador da Meta'!$D$3:$F$23,MATCH(Faturamento!$P196,'Balizador da Meta'!$C$3:$C$23,0),MATCH(Faturamento!AK196,'Balizador da Meta'!$D$2:$F$2,0)),"")</f>
        <v>0</v>
      </c>
      <c r="AM196" s="9"/>
    </row>
    <row r="197" spans="1:39" x14ac:dyDescent="0.3">
      <c r="A197" s="2" t="str">
        <f t="shared" si="191"/>
        <v>NÃO</v>
      </c>
      <c r="B197" s="2" t="str">
        <f>_xlfn.XLOOKUP($N197,'Base de Grupos'!$A:$A,'Base de Grupos'!$D:$D)</f>
        <v>1000065763</v>
      </c>
      <c r="C197" s="5" t="str">
        <f>_xlfn.XLOOKUP($N197,'Base de Grupos'!$A:$A,'Base de Grupos'!$E:$E)</f>
        <v>CANAL VENDA INTERNA</v>
      </c>
      <c r="D197" s="5" t="str">
        <f>_xlfn.XLOOKUP($N197,'Base de Grupos'!$A:$A,'Base de Grupos'!$F:$F)</f>
        <v>1000065763</v>
      </c>
      <c r="E197" s="2" t="str">
        <f>_xlfn.XLOOKUP($N197,'Base de Grupos'!$A:$A,'Base de Grupos'!$G:$G)</f>
        <v>CANAL VENDA INTERNA</v>
      </c>
      <c r="F197" s="2" t="str">
        <f>_xlfn.XLOOKUP($N197,'Base de Grupos'!$A:$A,'Base de Grupos'!$H:$H)</f>
        <v>1000105900</v>
      </c>
      <c r="G197" s="5" t="str">
        <f>_xlfn.XLOOKUP($N197,'Base de Grupos'!$A:$A,'Base de Grupos'!$I:$I)</f>
        <v>REGIONAL VENDA DIRETA CO + NE + NO</v>
      </c>
      <c r="H197" s="5" t="str">
        <f>_xlfn.XLOOKUP($N197,'Base de Grupos'!$A:$A,'Base de Grupos'!$J:$J)</f>
        <v>1000105900</v>
      </c>
      <c r="I197" s="2" t="str">
        <f>_xlfn.XLOOKUP($N197,'Base de Grupos'!$A:$A,'Base de Grupos'!$K:$K)</f>
        <v>REGIONAL VENDA DIRETA CO + NE + NO</v>
      </c>
      <c r="J197" s="2" t="str">
        <f>_xlfn.XLOOKUP($N197,'Base de Grupos'!$A:$A,'Base de Grupos'!$L:$L)</f>
        <v>1000150135</v>
      </c>
      <c r="K197" s="5" t="str">
        <f>_xlfn.XLOOKUP($N197,'Base de Grupos'!$A:$A,'Base de Grupos'!$M:$M)</f>
        <v>HELDER DA SILVA BRUNKOW</v>
      </c>
      <c r="L197" s="5" t="str">
        <f t="shared" si="192"/>
        <v/>
      </c>
      <c r="M197" s="5" t="str">
        <f>_xlfn.XLOOKUP($N197,'Base de Grupos'!$A:$A,'Base de Grupos'!$C:$C)</f>
        <v>RO</v>
      </c>
      <c r="N197" s="3">
        <v>1347</v>
      </c>
      <c r="O197" s="4" t="s">
        <v>234</v>
      </c>
      <c r="P197" s="5" t="s">
        <v>96</v>
      </c>
      <c r="Q197" s="56">
        <v>0</v>
      </c>
      <c r="R197" s="56">
        <v>0</v>
      </c>
      <c r="S197" s="56">
        <v>0</v>
      </c>
      <c r="T197" s="56">
        <f>_xlfn.XLOOKUP($N197,'Calculo Leads'!$A$97:$A$134,'Calculo Leads'!G$97:G$134)*_xlfn.XLOOKUP($P197,'Base Grupo de Produtos'!$E$2:$E$18,'Base Grupo de Produtos'!$F$2:$F$18)</f>
        <v>70</v>
      </c>
      <c r="U197" s="56">
        <f>_xlfn.XLOOKUP($N197,'Calculo Leads'!$A$97:$A$134,'Calculo Leads'!H$97:H$134)*_xlfn.XLOOKUP($P197,'Base Grupo de Produtos'!$E$2:$E$18,'Base Grupo de Produtos'!$F$2:$F$18)</f>
        <v>70</v>
      </c>
      <c r="V197" s="56">
        <f>_xlfn.XLOOKUP($N197,'Calculo Leads'!$A$97:$A$134,'Calculo Leads'!I$97:I$134)*_xlfn.XLOOKUP($P197,'Base Grupo de Produtos'!$E$2:$E$18,'Base Grupo de Produtos'!$F$2:$F$18)</f>
        <v>140</v>
      </c>
      <c r="W197" s="56">
        <f>_xlfn.XLOOKUP($N197,'Calculo Leads'!$A$97:$A$134,'Calculo Leads'!J$97:J$134)*_xlfn.XLOOKUP($P197,'Base Grupo de Produtos'!$E$2:$E$18,'Base Grupo de Produtos'!$F$2:$F$18)</f>
        <v>140</v>
      </c>
      <c r="X197" s="56">
        <f>_xlfn.XLOOKUP($N197,'Calculo Leads'!$A$97:$A$134,'Calculo Leads'!K$97:K$134)*_xlfn.XLOOKUP($P197,'Base Grupo de Produtos'!$E$2:$E$18,'Base Grupo de Produtos'!$F$2:$F$18)</f>
        <v>154.00000000000003</v>
      </c>
      <c r="Y197" s="56">
        <f>_xlfn.XLOOKUP($N197,'Calculo Leads'!$A$97:$A$134,'Calculo Leads'!L$97:L$134)*_xlfn.XLOOKUP($P197,'Base Grupo de Produtos'!$E$2:$E$18,'Base Grupo de Produtos'!$F$2:$F$18)</f>
        <v>154.00000000000003</v>
      </c>
      <c r="Z197" s="56">
        <f>_xlfn.XLOOKUP($N197,'Calculo Leads'!$A$97:$A$134,'Calculo Leads'!M$97:M$134)*_xlfn.XLOOKUP($P197,'Base Grupo de Produtos'!$E$2:$E$18,'Base Grupo de Produtos'!$F$2:$F$18)</f>
        <v>231.00000000000003</v>
      </c>
      <c r="AA197" s="56">
        <f>_xlfn.XLOOKUP($N197,'Calculo Leads'!$A$97:$A$134,'Calculo Leads'!N$97:N$134)*_xlfn.XLOOKUP($P197,'Base Grupo de Produtos'!$E$2:$E$18,'Base Grupo de Produtos'!$F$2:$F$18)</f>
        <v>231.00000000000003</v>
      </c>
      <c r="AB197" s="56">
        <f>_xlfn.XLOOKUP($N197,'Calculo Leads'!$A$97:$A$134,'Calculo Leads'!O$97:O$134)*_xlfn.XLOOKUP($P197,'Base Grupo de Produtos'!$E$2:$E$18,'Base Grupo de Produtos'!$F$2:$F$18)</f>
        <v>154.00000000000003</v>
      </c>
      <c r="AC197" s="61">
        <f t="shared" ref="AC197:AC260" si="212">SUM(T197:AB197)</f>
        <v>1344</v>
      </c>
      <c r="AD197" s="27">
        <f t="shared" si="208"/>
        <v>1344</v>
      </c>
      <c r="AE197" s="25">
        <f>IFERROR(_xlfn.XLOOKUP(N197&amp;P197,'Historico Vendas'!G:G,'Historico Vendas'!E:E),0)</f>
        <v>0</v>
      </c>
      <c r="AF197" s="29" t="str">
        <f t="shared" si="190"/>
        <v/>
      </c>
      <c r="AG197" s="24">
        <f>IFERROR(_xlfn.XLOOKUP(N197&amp;P197,'Historico Vendas'!G:G,'Historico Vendas'!F:F),0)</f>
        <v>0</v>
      </c>
      <c r="AH197" s="25">
        <f t="shared" si="209"/>
        <v>0</v>
      </c>
      <c r="AI197" s="24">
        <f t="shared" si="210"/>
        <v>0</v>
      </c>
      <c r="AJ197" s="11" t="str">
        <f t="shared" si="211"/>
        <v/>
      </c>
      <c r="AK197" s="9" t="s">
        <v>102</v>
      </c>
      <c r="AL197" s="13">
        <f>IFERROR(INDEX('Balizador da Meta'!$D$3:$F$23,MATCH(Faturamento!$P197,'Balizador da Meta'!$C$3:$C$23,0),MATCH(Faturamento!AK197,'Balizador da Meta'!$D$2:$F$2,0)),"")</f>
        <v>0</v>
      </c>
      <c r="AM197" s="9"/>
    </row>
    <row r="198" spans="1:39" x14ac:dyDescent="0.3">
      <c r="A198" s="2" t="str">
        <f t="shared" si="191"/>
        <v>NÃO</v>
      </c>
      <c r="B198" s="2" t="str">
        <f>_xlfn.XLOOKUP($N198,'Base de Grupos'!$A:$A,'Base de Grupos'!$D:$D)</f>
        <v>1000065763</v>
      </c>
      <c r="C198" s="5" t="str">
        <f>_xlfn.XLOOKUP($N198,'Base de Grupos'!$A:$A,'Base de Grupos'!$E:$E)</f>
        <v>CANAL VENDA INTERNA</v>
      </c>
      <c r="D198" s="5" t="str">
        <f>_xlfn.XLOOKUP($N198,'Base de Grupos'!$A:$A,'Base de Grupos'!$F:$F)</f>
        <v>1000065763</v>
      </c>
      <c r="E198" s="2" t="str">
        <f>_xlfn.XLOOKUP($N198,'Base de Grupos'!$A:$A,'Base de Grupos'!$G:$G)</f>
        <v>CANAL VENDA INTERNA</v>
      </c>
      <c r="F198" s="2" t="str">
        <f>_xlfn.XLOOKUP($N198,'Base de Grupos'!$A:$A,'Base de Grupos'!$H:$H)</f>
        <v>1000105900</v>
      </c>
      <c r="G198" s="5" t="str">
        <f>_xlfn.XLOOKUP($N198,'Base de Grupos'!$A:$A,'Base de Grupos'!$I:$I)</f>
        <v>REGIONAL VENDA DIRETA CO + NE + NO</v>
      </c>
      <c r="H198" s="5" t="str">
        <f>_xlfn.XLOOKUP($N198,'Base de Grupos'!$A:$A,'Base de Grupos'!$J:$J)</f>
        <v>1000105900</v>
      </c>
      <c r="I198" s="2" t="str">
        <f>_xlfn.XLOOKUP($N198,'Base de Grupos'!$A:$A,'Base de Grupos'!$K:$K)</f>
        <v>REGIONAL VENDA DIRETA CO + NE + NO</v>
      </c>
      <c r="J198" s="2" t="str">
        <f>_xlfn.XLOOKUP($N198,'Base de Grupos'!$A:$A,'Base de Grupos'!$L:$L)</f>
        <v>1000150135</v>
      </c>
      <c r="K198" s="5" t="str">
        <f>_xlfn.XLOOKUP($N198,'Base de Grupos'!$A:$A,'Base de Grupos'!$M:$M)</f>
        <v>HELDER DA SILVA BRUNKOW</v>
      </c>
      <c r="L198" s="5" t="str">
        <f t="shared" si="192"/>
        <v/>
      </c>
      <c r="M198" s="5" t="str">
        <f>_xlfn.XLOOKUP($N198,'Base de Grupos'!$A:$A,'Base de Grupos'!$C:$C)</f>
        <v>RO</v>
      </c>
      <c r="N198" s="3">
        <v>1347</v>
      </c>
      <c r="O198" s="4" t="s">
        <v>234</v>
      </c>
      <c r="P198" s="5" t="s">
        <v>94</v>
      </c>
      <c r="Q198" s="56">
        <v>0</v>
      </c>
      <c r="R198" s="56">
        <v>0</v>
      </c>
      <c r="S198" s="56">
        <v>0</v>
      </c>
      <c r="T198" s="56">
        <f>_xlfn.XLOOKUP($N198,'Calculo Leads'!$A$97:$A$134,'Calculo Leads'!G$97:G$134)*_xlfn.XLOOKUP($P198,'Base Grupo de Produtos'!$E$2:$E$18,'Base Grupo de Produtos'!$F$2:$F$18)</f>
        <v>49.999999999999993</v>
      </c>
      <c r="U198" s="56">
        <f>_xlfn.XLOOKUP($N198,'Calculo Leads'!$A$97:$A$134,'Calculo Leads'!H$97:H$134)*_xlfn.XLOOKUP($P198,'Base Grupo de Produtos'!$E$2:$E$18,'Base Grupo de Produtos'!$F$2:$F$18)</f>
        <v>49.999999999999993</v>
      </c>
      <c r="V198" s="56">
        <f>_xlfn.XLOOKUP($N198,'Calculo Leads'!$A$97:$A$134,'Calculo Leads'!I$97:I$134)*_xlfn.XLOOKUP($P198,'Base Grupo de Produtos'!$E$2:$E$18,'Base Grupo de Produtos'!$F$2:$F$18)</f>
        <v>99.999999999999986</v>
      </c>
      <c r="W198" s="56">
        <f>_xlfn.XLOOKUP($N198,'Calculo Leads'!$A$97:$A$134,'Calculo Leads'!J$97:J$134)*_xlfn.XLOOKUP($P198,'Base Grupo de Produtos'!$E$2:$E$18,'Base Grupo de Produtos'!$F$2:$F$18)</f>
        <v>99.999999999999986</v>
      </c>
      <c r="X198" s="56">
        <f>_xlfn.XLOOKUP($N198,'Calculo Leads'!$A$97:$A$134,'Calculo Leads'!K$97:K$134)*_xlfn.XLOOKUP($P198,'Base Grupo de Produtos'!$E$2:$E$18,'Base Grupo de Produtos'!$F$2:$F$18)</f>
        <v>109.99999999999999</v>
      </c>
      <c r="Y198" s="56">
        <f>_xlfn.XLOOKUP($N198,'Calculo Leads'!$A$97:$A$134,'Calculo Leads'!L$97:L$134)*_xlfn.XLOOKUP($P198,'Base Grupo de Produtos'!$E$2:$E$18,'Base Grupo de Produtos'!$F$2:$F$18)</f>
        <v>109.99999999999999</v>
      </c>
      <c r="Z198" s="56">
        <f>_xlfn.XLOOKUP($N198,'Calculo Leads'!$A$97:$A$134,'Calculo Leads'!M$97:M$134)*_xlfn.XLOOKUP($P198,'Base Grupo de Produtos'!$E$2:$E$18,'Base Grupo de Produtos'!$F$2:$F$18)</f>
        <v>165</v>
      </c>
      <c r="AA198" s="56">
        <f>_xlfn.XLOOKUP($N198,'Calculo Leads'!$A$97:$A$134,'Calculo Leads'!N$97:N$134)*_xlfn.XLOOKUP($P198,'Base Grupo de Produtos'!$E$2:$E$18,'Base Grupo de Produtos'!$F$2:$F$18)</f>
        <v>165</v>
      </c>
      <c r="AB198" s="56">
        <f>_xlfn.XLOOKUP($N198,'Calculo Leads'!$A$97:$A$134,'Calculo Leads'!O$97:O$134)*_xlfn.XLOOKUP($P198,'Base Grupo de Produtos'!$E$2:$E$18,'Base Grupo de Produtos'!$F$2:$F$18)</f>
        <v>109.99999999999999</v>
      </c>
      <c r="AC198" s="61">
        <f t="shared" si="212"/>
        <v>959.99999999999989</v>
      </c>
      <c r="AD198" s="27">
        <f t="shared" si="208"/>
        <v>959.99999999999989</v>
      </c>
      <c r="AE198" s="25">
        <f>IFERROR(_xlfn.XLOOKUP(N198&amp;P198,'Historico Vendas'!G:G,'Historico Vendas'!E:E),0)</f>
        <v>0</v>
      </c>
      <c r="AF198" s="29" t="str">
        <f t="shared" si="190"/>
        <v/>
      </c>
      <c r="AG198" s="24">
        <f>IFERROR(_xlfn.XLOOKUP(N198&amp;P198,'Historico Vendas'!G:G,'Historico Vendas'!F:F),0)</f>
        <v>0</v>
      </c>
      <c r="AH198" s="25">
        <f t="shared" si="209"/>
        <v>0</v>
      </c>
      <c r="AI198" s="24">
        <f t="shared" si="210"/>
        <v>0</v>
      </c>
      <c r="AJ198" s="11" t="str">
        <f t="shared" si="211"/>
        <v/>
      </c>
      <c r="AK198" s="9" t="s">
        <v>102</v>
      </c>
      <c r="AL198" s="13">
        <f>IFERROR(INDEX('Balizador da Meta'!$D$3:$F$23,MATCH(Faturamento!$P198,'Balizador da Meta'!$C$3:$C$23,0),MATCH(Faturamento!AK198,'Balizador da Meta'!$D$2:$F$2,0)),"")</f>
        <v>0.25</v>
      </c>
      <c r="AM198" s="9"/>
    </row>
    <row r="199" spans="1:39" x14ac:dyDescent="0.3">
      <c r="A199" s="2" t="str">
        <f t="shared" si="191"/>
        <v>NÃO</v>
      </c>
      <c r="B199" s="2" t="str">
        <f>_xlfn.XLOOKUP($N199,'Base de Grupos'!$A:$A,'Base de Grupos'!$D:$D)</f>
        <v>1000065763</v>
      </c>
      <c r="C199" s="5" t="str">
        <f>_xlfn.XLOOKUP($N199,'Base de Grupos'!$A:$A,'Base de Grupos'!$E:$E)</f>
        <v>CANAL VENDA INTERNA</v>
      </c>
      <c r="D199" s="5" t="str">
        <f>_xlfn.XLOOKUP($N199,'Base de Grupos'!$A:$A,'Base de Grupos'!$F:$F)</f>
        <v>1000065763</v>
      </c>
      <c r="E199" s="2" t="str">
        <f>_xlfn.XLOOKUP($N199,'Base de Grupos'!$A:$A,'Base de Grupos'!$G:$G)</f>
        <v>CANAL VENDA INTERNA</v>
      </c>
      <c r="F199" s="2" t="str">
        <f>_xlfn.XLOOKUP($N199,'Base de Grupos'!$A:$A,'Base de Grupos'!$H:$H)</f>
        <v>1000105900</v>
      </c>
      <c r="G199" s="5" t="str">
        <f>_xlfn.XLOOKUP($N199,'Base de Grupos'!$A:$A,'Base de Grupos'!$I:$I)</f>
        <v>REGIONAL VENDA DIRETA CO + NE + NO</v>
      </c>
      <c r="H199" s="5" t="str">
        <f>_xlfn.XLOOKUP($N199,'Base de Grupos'!$A:$A,'Base de Grupos'!$J:$J)</f>
        <v>1000105900</v>
      </c>
      <c r="I199" s="2" t="str">
        <f>_xlfn.XLOOKUP($N199,'Base de Grupos'!$A:$A,'Base de Grupos'!$K:$K)</f>
        <v>REGIONAL VENDA DIRETA CO + NE + NO</v>
      </c>
      <c r="J199" s="2" t="str">
        <f>_xlfn.XLOOKUP($N199,'Base de Grupos'!$A:$A,'Base de Grupos'!$L:$L)</f>
        <v>1000150135</v>
      </c>
      <c r="K199" s="5" t="str">
        <f>_xlfn.XLOOKUP($N199,'Base de Grupos'!$A:$A,'Base de Grupos'!$M:$M)</f>
        <v>HELDER DA SILVA BRUNKOW</v>
      </c>
      <c r="L199" s="5" t="str">
        <f t="shared" si="192"/>
        <v/>
      </c>
      <c r="M199" s="5" t="str">
        <f>_xlfn.XLOOKUP($N199,'Base de Grupos'!$A:$A,'Base de Grupos'!$C:$C)</f>
        <v>RO</v>
      </c>
      <c r="N199" s="3">
        <v>1347</v>
      </c>
      <c r="O199" s="4" t="s">
        <v>234</v>
      </c>
      <c r="P199" s="5" t="s">
        <v>95</v>
      </c>
      <c r="Q199" s="56">
        <v>0</v>
      </c>
      <c r="R199" s="56">
        <v>0</v>
      </c>
      <c r="S199" s="56">
        <v>0</v>
      </c>
      <c r="T199" s="56">
        <f>_xlfn.XLOOKUP($N199,'Calculo Leads'!$A$97:$A$134,'Calculo Leads'!G$97:G$134)*_xlfn.XLOOKUP($P199,'Base Grupo de Produtos'!$E$2:$E$18,'Base Grupo de Produtos'!$F$2:$F$18)</f>
        <v>80</v>
      </c>
      <c r="U199" s="56">
        <f>_xlfn.XLOOKUP($N199,'Calculo Leads'!$A$97:$A$134,'Calculo Leads'!H$97:H$134)*_xlfn.XLOOKUP($P199,'Base Grupo de Produtos'!$E$2:$E$18,'Base Grupo de Produtos'!$F$2:$F$18)</f>
        <v>80</v>
      </c>
      <c r="V199" s="56">
        <f>_xlfn.XLOOKUP($N199,'Calculo Leads'!$A$97:$A$134,'Calculo Leads'!I$97:I$134)*_xlfn.XLOOKUP($P199,'Base Grupo de Produtos'!$E$2:$E$18,'Base Grupo de Produtos'!$F$2:$F$18)</f>
        <v>160</v>
      </c>
      <c r="W199" s="56">
        <f>_xlfn.XLOOKUP($N199,'Calculo Leads'!$A$97:$A$134,'Calculo Leads'!J$97:J$134)*_xlfn.XLOOKUP($P199,'Base Grupo de Produtos'!$E$2:$E$18,'Base Grupo de Produtos'!$F$2:$F$18)</f>
        <v>160</v>
      </c>
      <c r="X199" s="56">
        <f>_xlfn.XLOOKUP($N199,'Calculo Leads'!$A$97:$A$134,'Calculo Leads'!K$97:K$134)*_xlfn.XLOOKUP($P199,'Base Grupo de Produtos'!$E$2:$E$18,'Base Grupo de Produtos'!$F$2:$F$18)</f>
        <v>176</v>
      </c>
      <c r="Y199" s="56">
        <f>_xlfn.XLOOKUP($N199,'Calculo Leads'!$A$97:$A$134,'Calculo Leads'!L$97:L$134)*_xlfn.XLOOKUP($P199,'Base Grupo de Produtos'!$E$2:$E$18,'Base Grupo de Produtos'!$F$2:$F$18)</f>
        <v>176</v>
      </c>
      <c r="Z199" s="56">
        <f>_xlfn.XLOOKUP($N199,'Calculo Leads'!$A$97:$A$134,'Calculo Leads'!M$97:M$134)*_xlfn.XLOOKUP($P199,'Base Grupo de Produtos'!$E$2:$E$18,'Base Grupo de Produtos'!$F$2:$F$18)</f>
        <v>264</v>
      </c>
      <c r="AA199" s="56">
        <f>_xlfn.XLOOKUP($N199,'Calculo Leads'!$A$97:$A$134,'Calculo Leads'!N$97:N$134)*_xlfn.XLOOKUP($P199,'Base Grupo de Produtos'!$E$2:$E$18,'Base Grupo de Produtos'!$F$2:$F$18)</f>
        <v>264</v>
      </c>
      <c r="AB199" s="56">
        <f>_xlfn.XLOOKUP($N199,'Calculo Leads'!$A$97:$A$134,'Calculo Leads'!O$97:O$134)*_xlfn.XLOOKUP($P199,'Base Grupo de Produtos'!$E$2:$E$18,'Base Grupo de Produtos'!$F$2:$F$18)</f>
        <v>176</v>
      </c>
      <c r="AC199" s="61">
        <f t="shared" si="212"/>
        <v>1536</v>
      </c>
      <c r="AD199" s="27">
        <f t="shared" si="208"/>
        <v>1536</v>
      </c>
      <c r="AE199" s="25">
        <f>IFERROR(_xlfn.XLOOKUP(N199&amp;P199,'Historico Vendas'!G:G,'Historico Vendas'!E:E),0)</f>
        <v>0</v>
      </c>
      <c r="AF199" s="29" t="str">
        <f t="shared" si="190"/>
        <v/>
      </c>
      <c r="AG199" s="24">
        <f>IFERROR(_xlfn.XLOOKUP(N199&amp;P199,'Historico Vendas'!G:G,'Historico Vendas'!F:F),0)</f>
        <v>0</v>
      </c>
      <c r="AH199" s="25">
        <f t="shared" si="209"/>
        <v>0</v>
      </c>
      <c r="AI199" s="24">
        <f t="shared" si="210"/>
        <v>0</v>
      </c>
      <c r="AJ199" s="11" t="str">
        <f t="shared" si="211"/>
        <v/>
      </c>
      <c r="AK199" s="9" t="s">
        <v>102</v>
      </c>
      <c r="AL199" s="13">
        <f>IFERROR(INDEX('Balizador da Meta'!$D$3:$F$23,MATCH(Faturamento!$P199,'Balizador da Meta'!$C$3:$C$23,0),MATCH(Faturamento!AK199,'Balizador da Meta'!$D$2:$F$2,0)),"")</f>
        <v>0.25</v>
      </c>
      <c r="AM199" s="9"/>
    </row>
    <row r="200" spans="1:39" x14ac:dyDescent="0.3">
      <c r="A200" s="2" t="str">
        <f t="shared" si="191"/>
        <v>NÃO</v>
      </c>
      <c r="B200" s="2" t="str">
        <f>_xlfn.XLOOKUP($N200,'Base de Grupos'!$A:$A,'Base de Grupos'!$D:$D)</f>
        <v>1000065763</v>
      </c>
      <c r="C200" s="5" t="str">
        <f>_xlfn.XLOOKUP($N200,'Base de Grupos'!$A:$A,'Base de Grupos'!$E:$E)</f>
        <v>CANAL VENDA INTERNA</v>
      </c>
      <c r="D200" s="5" t="str">
        <f>_xlfn.XLOOKUP($N200,'Base de Grupos'!$A:$A,'Base de Grupos'!$F:$F)</f>
        <v>1000065763</v>
      </c>
      <c r="E200" s="2" t="str">
        <f>_xlfn.XLOOKUP($N200,'Base de Grupos'!$A:$A,'Base de Grupos'!$G:$G)</f>
        <v>CANAL VENDA INTERNA</v>
      </c>
      <c r="F200" s="2" t="str">
        <f>_xlfn.XLOOKUP($N200,'Base de Grupos'!$A:$A,'Base de Grupos'!$H:$H)</f>
        <v>1000105900</v>
      </c>
      <c r="G200" s="5" t="str">
        <f>_xlfn.XLOOKUP($N200,'Base de Grupos'!$A:$A,'Base de Grupos'!$I:$I)</f>
        <v>REGIONAL VENDA DIRETA CO + NE + NO</v>
      </c>
      <c r="H200" s="5" t="str">
        <f>_xlfn.XLOOKUP($N200,'Base de Grupos'!$A:$A,'Base de Grupos'!$J:$J)</f>
        <v>1000105900</v>
      </c>
      <c r="I200" s="2" t="str">
        <f>_xlfn.XLOOKUP($N200,'Base de Grupos'!$A:$A,'Base de Grupos'!$K:$K)</f>
        <v>REGIONAL VENDA DIRETA CO + NE + NO</v>
      </c>
      <c r="J200" s="2" t="str">
        <f>_xlfn.XLOOKUP($N200,'Base de Grupos'!$A:$A,'Base de Grupos'!$L:$L)</f>
        <v>1000150135</v>
      </c>
      <c r="K200" s="5" t="str">
        <f>_xlfn.XLOOKUP($N200,'Base de Grupos'!$A:$A,'Base de Grupos'!$M:$M)</f>
        <v>HELDER DA SILVA BRUNKOW</v>
      </c>
      <c r="L200" s="5" t="str">
        <f t="shared" si="192"/>
        <v/>
      </c>
      <c r="M200" s="5" t="str">
        <f>_xlfn.XLOOKUP($N200,'Base de Grupos'!$A:$A,'Base de Grupos'!$C:$C)</f>
        <v>RO</v>
      </c>
      <c r="N200" s="3">
        <v>1347</v>
      </c>
      <c r="O200" s="4" t="s">
        <v>234</v>
      </c>
      <c r="P200" s="5" t="s">
        <v>93</v>
      </c>
      <c r="Q200" s="56">
        <v>0</v>
      </c>
      <c r="R200" s="56">
        <v>0</v>
      </c>
      <c r="S200" s="56">
        <v>0</v>
      </c>
      <c r="T200" s="56">
        <f>_xlfn.XLOOKUP($N200,'Calculo Leads'!$A$97:$A$134,'Calculo Leads'!G$97:G$134)*_xlfn.XLOOKUP($P200,'Base Grupo de Produtos'!$E$2:$E$18,'Base Grupo de Produtos'!$F$2:$F$18)</f>
        <v>30</v>
      </c>
      <c r="U200" s="56">
        <f>_xlfn.XLOOKUP($N200,'Calculo Leads'!$A$97:$A$134,'Calculo Leads'!H$97:H$134)*_xlfn.XLOOKUP($P200,'Base Grupo de Produtos'!$E$2:$E$18,'Base Grupo de Produtos'!$F$2:$F$18)</f>
        <v>30</v>
      </c>
      <c r="V200" s="56">
        <f>_xlfn.XLOOKUP($N200,'Calculo Leads'!$A$97:$A$134,'Calculo Leads'!I$97:I$134)*_xlfn.XLOOKUP($P200,'Base Grupo de Produtos'!$E$2:$E$18,'Base Grupo de Produtos'!$F$2:$F$18)</f>
        <v>60</v>
      </c>
      <c r="W200" s="56">
        <f>_xlfn.XLOOKUP($N200,'Calculo Leads'!$A$97:$A$134,'Calculo Leads'!J$97:J$134)*_xlfn.XLOOKUP($P200,'Base Grupo de Produtos'!$E$2:$E$18,'Base Grupo de Produtos'!$F$2:$F$18)</f>
        <v>60</v>
      </c>
      <c r="X200" s="56">
        <f>_xlfn.XLOOKUP($N200,'Calculo Leads'!$A$97:$A$134,'Calculo Leads'!K$97:K$134)*_xlfn.XLOOKUP($P200,'Base Grupo de Produtos'!$E$2:$E$18,'Base Grupo de Produtos'!$F$2:$F$18)</f>
        <v>66</v>
      </c>
      <c r="Y200" s="56">
        <f>_xlfn.XLOOKUP($N200,'Calculo Leads'!$A$97:$A$134,'Calculo Leads'!L$97:L$134)*_xlfn.XLOOKUP($P200,'Base Grupo de Produtos'!$E$2:$E$18,'Base Grupo de Produtos'!$F$2:$F$18)</f>
        <v>66</v>
      </c>
      <c r="Z200" s="56">
        <f>_xlfn.XLOOKUP($N200,'Calculo Leads'!$A$97:$A$134,'Calculo Leads'!M$97:M$134)*_xlfn.XLOOKUP($P200,'Base Grupo de Produtos'!$E$2:$E$18,'Base Grupo de Produtos'!$F$2:$F$18)</f>
        <v>99</v>
      </c>
      <c r="AA200" s="56">
        <f>_xlfn.XLOOKUP($N200,'Calculo Leads'!$A$97:$A$134,'Calculo Leads'!N$97:N$134)*_xlfn.XLOOKUP($P200,'Base Grupo de Produtos'!$E$2:$E$18,'Base Grupo de Produtos'!$F$2:$F$18)</f>
        <v>99</v>
      </c>
      <c r="AB200" s="56">
        <f>_xlfn.XLOOKUP($N200,'Calculo Leads'!$A$97:$A$134,'Calculo Leads'!O$97:O$134)*_xlfn.XLOOKUP($P200,'Base Grupo de Produtos'!$E$2:$E$18,'Base Grupo de Produtos'!$F$2:$F$18)</f>
        <v>66</v>
      </c>
      <c r="AC200" s="61">
        <f t="shared" si="212"/>
        <v>576</v>
      </c>
      <c r="AD200" s="27">
        <f t="shared" si="208"/>
        <v>576</v>
      </c>
      <c r="AE200" s="25">
        <f>IFERROR(_xlfn.XLOOKUP(N200&amp;P200,'Historico Vendas'!G:G,'Historico Vendas'!E:E),0)</f>
        <v>0</v>
      </c>
      <c r="AF200" s="29" t="str">
        <f t="shared" si="190"/>
        <v/>
      </c>
      <c r="AG200" s="24">
        <f>IFERROR(_xlfn.XLOOKUP(N200&amp;P200,'Historico Vendas'!G:G,'Historico Vendas'!F:F),0)</f>
        <v>0</v>
      </c>
      <c r="AH200" s="25">
        <f t="shared" si="209"/>
        <v>0</v>
      </c>
      <c r="AI200" s="24">
        <f t="shared" si="210"/>
        <v>0</v>
      </c>
      <c r="AJ200" s="11" t="str">
        <f t="shared" si="211"/>
        <v/>
      </c>
      <c r="AK200" s="9" t="s">
        <v>102</v>
      </c>
      <c r="AL200" s="13">
        <f>IFERROR(INDEX('Balizador da Meta'!$D$3:$F$23,MATCH(Faturamento!$P200,'Balizador da Meta'!$C$3:$C$23,0),MATCH(Faturamento!AK200,'Balizador da Meta'!$D$2:$F$2,0)),"")</f>
        <v>0.2</v>
      </c>
      <c r="AM200" s="9"/>
    </row>
    <row r="201" spans="1:39" x14ac:dyDescent="0.3">
      <c r="A201" s="2" t="str">
        <f t="shared" si="191"/>
        <v>SIM</v>
      </c>
      <c r="B201" s="2" t="str">
        <f>_xlfn.XLOOKUP($N201,'Base de Grupos'!$A:$A,'Base de Grupos'!$D:$D)</f>
        <v>1000065763</v>
      </c>
      <c r="C201" s="5" t="str">
        <f>_xlfn.XLOOKUP($N201,'Base de Grupos'!$A:$A,'Base de Grupos'!$E:$E)</f>
        <v>CANAL VENDA INTERNA</v>
      </c>
      <c r="D201" s="5" t="str">
        <f>_xlfn.XLOOKUP($N201,'Base de Grupos'!$A:$A,'Base de Grupos'!$F:$F)</f>
        <v>1000065763</v>
      </c>
      <c r="E201" s="2" t="str">
        <f>_xlfn.XLOOKUP($N201,'Base de Grupos'!$A:$A,'Base de Grupos'!$G:$G)</f>
        <v>CANAL VENDA INTERNA</v>
      </c>
      <c r="F201" s="2" t="str">
        <f>_xlfn.XLOOKUP($N201,'Base de Grupos'!$A:$A,'Base de Grupos'!$H:$H)</f>
        <v>1000105900</v>
      </c>
      <c r="G201" s="5" t="str">
        <f>_xlfn.XLOOKUP($N201,'Base de Grupos'!$A:$A,'Base de Grupos'!$I:$I)</f>
        <v>REGIONAL VENDA DIRETA CO + NE + NO</v>
      </c>
      <c r="H201" s="5" t="str">
        <f>_xlfn.XLOOKUP($N201,'Base de Grupos'!$A:$A,'Base de Grupos'!$J:$J)</f>
        <v>1000105900</v>
      </c>
      <c r="I201" s="2" t="str">
        <f>_xlfn.XLOOKUP($N201,'Base de Grupos'!$A:$A,'Base de Grupos'!$K:$K)</f>
        <v>REGIONAL VENDA DIRETA CO + NE + NO</v>
      </c>
      <c r="J201" s="2" t="str">
        <f>_xlfn.XLOOKUP($N201,'Base de Grupos'!$A:$A,'Base de Grupos'!$L:$L)</f>
        <v>1000150135</v>
      </c>
      <c r="K201" s="5" t="str">
        <f>_xlfn.XLOOKUP($N201,'Base de Grupos'!$A:$A,'Base de Grupos'!$M:$M)</f>
        <v>HELDER DA SILVA BRUNKOW</v>
      </c>
      <c r="L201" s="5">
        <f t="shared" si="192"/>
        <v>1</v>
      </c>
      <c r="M201" s="5" t="str">
        <f>_xlfn.XLOOKUP($N201,'Base de Grupos'!$A:$A,'Base de Grupos'!$C:$C)</f>
        <v>RR</v>
      </c>
      <c r="N201" s="3">
        <v>1348</v>
      </c>
      <c r="O201" s="4" t="s">
        <v>235</v>
      </c>
      <c r="P201" s="5" t="s">
        <v>305</v>
      </c>
      <c r="Q201" s="56">
        <f t="shared" ref="Q201" si="213">SUM(Q202:Q218)</f>
        <v>0</v>
      </c>
      <c r="R201" s="56">
        <f t="shared" ref="R201" si="214">SUM(R202:R218)</f>
        <v>0</v>
      </c>
      <c r="S201" s="56">
        <f t="shared" ref="S201" si="215">SUM(S202:S218)</f>
        <v>0</v>
      </c>
      <c r="T201" s="56">
        <f t="shared" ref="T201" si="216">SUM(T202:T218)</f>
        <v>1000</v>
      </c>
      <c r="U201" s="56">
        <f t="shared" ref="U201" si="217">SUM(U202:U218)</f>
        <v>1000</v>
      </c>
      <c r="V201" s="56">
        <f t="shared" ref="V201" si="218">SUM(V202:V218)</f>
        <v>1000</v>
      </c>
      <c r="W201" s="56">
        <f t="shared" ref="W201" si="219">SUM(W202:W218)</f>
        <v>1000</v>
      </c>
      <c r="X201" s="56">
        <f t="shared" ref="X201" si="220">SUM(X202:X218)</f>
        <v>1100</v>
      </c>
      <c r="Y201" s="56">
        <f t="shared" ref="Y201" si="221">SUM(Y202:Y218)</f>
        <v>1100</v>
      </c>
      <c r="Z201" s="56">
        <f t="shared" ref="Z201" si="222">SUM(Z202:Z218)</f>
        <v>1100</v>
      </c>
      <c r="AA201" s="56">
        <f t="shared" ref="AA201" si="223">SUM(AA202:AA218)</f>
        <v>1100</v>
      </c>
      <c r="AB201" s="56">
        <f t="shared" ref="AB201" si="224">SUM(AB202:AB218)</f>
        <v>1100</v>
      </c>
      <c r="AC201" s="56">
        <f t="shared" ref="AC201" si="225">SUM(AC202:AC218)</f>
        <v>9500</v>
      </c>
      <c r="AD201" s="25">
        <f t="shared" ref="AD201" si="226">SUM(AD202:AD218)</f>
        <v>9500</v>
      </c>
      <c r="AE201" s="25">
        <f t="shared" ref="AE201:AI201" si="227">SUM(AE202:AE218)</f>
        <v>0</v>
      </c>
      <c r="AF201" s="11" t="str">
        <f t="shared" si="190"/>
        <v/>
      </c>
      <c r="AG201" s="24">
        <f t="shared" si="227"/>
        <v>0</v>
      </c>
      <c r="AH201" s="25">
        <f t="shared" si="227"/>
        <v>0</v>
      </c>
      <c r="AI201" s="24">
        <f t="shared" si="227"/>
        <v>0</v>
      </c>
      <c r="AJ201" s="11" t="str">
        <f t="shared" si="211"/>
        <v/>
      </c>
      <c r="AK201" s="9"/>
      <c r="AL201" s="13"/>
      <c r="AM201" s="9"/>
    </row>
    <row r="202" spans="1:39" x14ac:dyDescent="0.3">
      <c r="A202" s="2" t="str">
        <f t="shared" si="191"/>
        <v>NÃO</v>
      </c>
      <c r="B202" s="2" t="str">
        <f>_xlfn.XLOOKUP($N202,'Base de Grupos'!$A:$A,'Base de Grupos'!$D:$D)</f>
        <v>1000065763</v>
      </c>
      <c r="C202" s="5" t="str">
        <f>_xlfn.XLOOKUP($N202,'Base de Grupos'!$A:$A,'Base de Grupos'!$E:$E)</f>
        <v>CANAL VENDA INTERNA</v>
      </c>
      <c r="D202" s="5" t="str">
        <f>_xlfn.XLOOKUP($N202,'Base de Grupos'!$A:$A,'Base de Grupos'!$F:$F)</f>
        <v>1000065763</v>
      </c>
      <c r="E202" s="2" t="str">
        <f>_xlfn.XLOOKUP($N202,'Base de Grupos'!$A:$A,'Base de Grupos'!$G:$G)</f>
        <v>CANAL VENDA INTERNA</v>
      </c>
      <c r="F202" s="2" t="str">
        <f>_xlfn.XLOOKUP($N202,'Base de Grupos'!$A:$A,'Base de Grupos'!$H:$H)</f>
        <v>1000105900</v>
      </c>
      <c r="G202" s="5" t="str">
        <f>_xlfn.XLOOKUP($N202,'Base de Grupos'!$A:$A,'Base de Grupos'!$I:$I)</f>
        <v>REGIONAL VENDA DIRETA CO + NE + NO</v>
      </c>
      <c r="H202" s="5" t="str">
        <f>_xlfn.XLOOKUP($N202,'Base de Grupos'!$A:$A,'Base de Grupos'!$J:$J)</f>
        <v>1000105900</v>
      </c>
      <c r="I202" s="2" t="str">
        <f>_xlfn.XLOOKUP($N202,'Base de Grupos'!$A:$A,'Base de Grupos'!$K:$K)</f>
        <v>REGIONAL VENDA DIRETA CO + NE + NO</v>
      </c>
      <c r="J202" s="2" t="str">
        <f>_xlfn.XLOOKUP($N202,'Base de Grupos'!$A:$A,'Base de Grupos'!$L:$L)</f>
        <v>1000150135</v>
      </c>
      <c r="K202" s="5" t="str">
        <f>_xlfn.XLOOKUP($N202,'Base de Grupos'!$A:$A,'Base de Grupos'!$M:$M)</f>
        <v>HELDER DA SILVA BRUNKOW</v>
      </c>
      <c r="L202" s="5" t="str">
        <f t="shared" si="192"/>
        <v/>
      </c>
      <c r="M202" s="5" t="str">
        <f>_xlfn.XLOOKUP($N202,'Base de Grupos'!$A:$A,'Base de Grupos'!$C:$C)</f>
        <v>RR</v>
      </c>
      <c r="N202" s="3">
        <v>1348</v>
      </c>
      <c r="O202" s="4" t="s">
        <v>235</v>
      </c>
      <c r="P202" s="5" t="s">
        <v>81</v>
      </c>
      <c r="Q202" s="56">
        <v>0</v>
      </c>
      <c r="R202" s="56">
        <v>0</v>
      </c>
      <c r="S202" s="56">
        <v>0</v>
      </c>
      <c r="T202" s="56">
        <f>_xlfn.XLOOKUP($N202,'Calculo Leads'!$A$97:$A$134,'Calculo Leads'!G$97:G$134)*_xlfn.XLOOKUP($P202,'Base Grupo de Produtos'!$E$2:$E$18,'Base Grupo de Produtos'!$F$2:$F$18)</f>
        <v>50</v>
      </c>
      <c r="U202" s="56">
        <f>_xlfn.XLOOKUP($N202,'Calculo Leads'!$A$97:$A$134,'Calculo Leads'!H$97:H$134)*_xlfn.XLOOKUP($P202,'Base Grupo de Produtos'!$E$2:$E$18,'Base Grupo de Produtos'!$F$2:$F$18)</f>
        <v>50</v>
      </c>
      <c r="V202" s="56">
        <f>_xlfn.XLOOKUP($N202,'Calculo Leads'!$A$97:$A$134,'Calculo Leads'!I$97:I$134)*_xlfn.XLOOKUP($P202,'Base Grupo de Produtos'!$E$2:$E$18,'Base Grupo de Produtos'!$F$2:$F$18)</f>
        <v>50</v>
      </c>
      <c r="W202" s="56">
        <f>_xlfn.XLOOKUP($N202,'Calculo Leads'!$A$97:$A$134,'Calculo Leads'!J$97:J$134)*_xlfn.XLOOKUP($P202,'Base Grupo de Produtos'!$E$2:$E$18,'Base Grupo de Produtos'!$F$2:$F$18)</f>
        <v>50</v>
      </c>
      <c r="X202" s="56">
        <f>_xlfn.XLOOKUP($N202,'Calculo Leads'!$A$97:$A$134,'Calculo Leads'!K$97:K$134)*_xlfn.XLOOKUP($P202,'Base Grupo de Produtos'!$E$2:$E$18,'Base Grupo de Produtos'!$F$2:$F$18)</f>
        <v>55</v>
      </c>
      <c r="Y202" s="56">
        <f>_xlfn.XLOOKUP($N202,'Calculo Leads'!$A$97:$A$134,'Calculo Leads'!L$97:L$134)*_xlfn.XLOOKUP($P202,'Base Grupo de Produtos'!$E$2:$E$18,'Base Grupo de Produtos'!$F$2:$F$18)</f>
        <v>55</v>
      </c>
      <c r="Z202" s="56">
        <f>_xlfn.XLOOKUP($N202,'Calculo Leads'!$A$97:$A$134,'Calculo Leads'!M$97:M$134)*_xlfn.XLOOKUP($P202,'Base Grupo de Produtos'!$E$2:$E$18,'Base Grupo de Produtos'!$F$2:$F$18)</f>
        <v>55</v>
      </c>
      <c r="AA202" s="56">
        <f>_xlfn.XLOOKUP($N202,'Calculo Leads'!$A$97:$A$134,'Calculo Leads'!N$97:N$134)*_xlfn.XLOOKUP($P202,'Base Grupo de Produtos'!$E$2:$E$18,'Base Grupo de Produtos'!$F$2:$F$18)</f>
        <v>55</v>
      </c>
      <c r="AB202" s="56">
        <f>_xlfn.XLOOKUP($N202,'Calculo Leads'!$A$97:$A$134,'Calculo Leads'!O$97:O$134)*_xlfn.XLOOKUP($P202,'Base Grupo de Produtos'!$E$2:$E$18,'Base Grupo de Produtos'!$F$2:$F$18)</f>
        <v>55</v>
      </c>
      <c r="AC202" s="61">
        <f t="shared" si="212"/>
        <v>475</v>
      </c>
      <c r="AD202" s="27">
        <f t="shared" ref="AD202:AD218" si="228">IF(AC202=0,0,AC202-AG202)</f>
        <v>475</v>
      </c>
      <c r="AE202" s="25">
        <f>IFERROR(_xlfn.XLOOKUP(N202&amp;P202,'Historico Vendas'!G:G,'Historico Vendas'!E:E),0)</f>
        <v>0</v>
      </c>
      <c r="AF202" s="29" t="str">
        <f t="shared" si="190"/>
        <v/>
      </c>
      <c r="AG202" s="24">
        <f>IFERROR(_xlfn.XLOOKUP(N202&amp;P202,'Historico Vendas'!G:G,'Historico Vendas'!F:F),0)</f>
        <v>0</v>
      </c>
      <c r="AH202" s="25">
        <f t="shared" ref="AH202:AH218" si="229">SUM(Q202:S202)</f>
        <v>0</v>
      </c>
      <c r="AI202" s="24">
        <f t="shared" ref="AI202:AI218" si="230">AH202-AG202</f>
        <v>0</v>
      </c>
      <c r="AJ202" s="11" t="str">
        <f t="shared" si="211"/>
        <v/>
      </c>
      <c r="AK202" s="9" t="s">
        <v>102</v>
      </c>
      <c r="AL202" s="13">
        <f>IFERROR(INDEX('Balizador da Meta'!$D$3:$F$23,MATCH(Faturamento!$P202,'Balizador da Meta'!$C$3:$C$23,0),MATCH(Faturamento!AK202,'Balizador da Meta'!$D$2:$F$2,0)),"")</f>
        <v>0.2</v>
      </c>
      <c r="AM202" s="9"/>
    </row>
    <row r="203" spans="1:39" x14ac:dyDescent="0.3">
      <c r="A203" s="2" t="str">
        <f t="shared" si="191"/>
        <v>NÃO</v>
      </c>
      <c r="B203" s="2" t="str">
        <f>_xlfn.XLOOKUP($N203,'Base de Grupos'!$A:$A,'Base de Grupos'!$D:$D)</f>
        <v>1000065763</v>
      </c>
      <c r="C203" s="5" t="str">
        <f>_xlfn.XLOOKUP($N203,'Base de Grupos'!$A:$A,'Base de Grupos'!$E:$E)</f>
        <v>CANAL VENDA INTERNA</v>
      </c>
      <c r="D203" s="5" t="str">
        <f>_xlfn.XLOOKUP($N203,'Base de Grupos'!$A:$A,'Base de Grupos'!$F:$F)</f>
        <v>1000065763</v>
      </c>
      <c r="E203" s="2" t="str">
        <f>_xlfn.XLOOKUP($N203,'Base de Grupos'!$A:$A,'Base de Grupos'!$G:$G)</f>
        <v>CANAL VENDA INTERNA</v>
      </c>
      <c r="F203" s="2" t="str">
        <f>_xlfn.XLOOKUP($N203,'Base de Grupos'!$A:$A,'Base de Grupos'!$H:$H)</f>
        <v>1000105900</v>
      </c>
      <c r="G203" s="5" t="str">
        <f>_xlfn.XLOOKUP($N203,'Base de Grupos'!$A:$A,'Base de Grupos'!$I:$I)</f>
        <v>REGIONAL VENDA DIRETA CO + NE + NO</v>
      </c>
      <c r="H203" s="5" t="str">
        <f>_xlfn.XLOOKUP($N203,'Base de Grupos'!$A:$A,'Base de Grupos'!$J:$J)</f>
        <v>1000105900</v>
      </c>
      <c r="I203" s="2" t="str">
        <f>_xlfn.XLOOKUP($N203,'Base de Grupos'!$A:$A,'Base de Grupos'!$K:$K)</f>
        <v>REGIONAL VENDA DIRETA CO + NE + NO</v>
      </c>
      <c r="J203" s="2" t="str">
        <f>_xlfn.XLOOKUP($N203,'Base de Grupos'!$A:$A,'Base de Grupos'!$L:$L)</f>
        <v>1000150135</v>
      </c>
      <c r="K203" s="5" t="str">
        <f>_xlfn.XLOOKUP($N203,'Base de Grupos'!$A:$A,'Base de Grupos'!$M:$M)</f>
        <v>HELDER DA SILVA BRUNKOW</v>
      </c>
      <c r="L203" s="5" t="str">
        <f t="shared" si="192"/>
        <v/>
      </c>
      <c r="M203" s="5" t="str">
        <f>_xlfn.XLOOKUP($N203,'Base de Grupos'!$A:$A,'Base de Grupos'!$C:$C)</f>
        <v>RR</v>
      </c>
      <c r="N203" s="3">
        <v>1348</v>
      </c>
      <c r="O203" s="4" t="s">
        <v>235</v>
      </c>
      <c r="P203" s="5" t="s">
        <v>82</v>
      </c>
      <c r="Q203" s="56">
        <v>0</v>
      </c>
      <c r="R203" s="56">
        <v>0</v>
      </c>
      <c r="S203" s="56">
        <v>0</v>
      </c>
      <c r="T203" s="56">
        <f>_xlfn.XLOOKUP($N203,'Calculo Leads'!$A$97:$A$134,'Calculo Leads'!G$97:G$134)*_xlfn.XLOOKUP($P203,'Base Grupo de Produtos'!$E$2:$E$18,'Base Grupo de Produtos'!$F$2:$F$18)</f>
        <v>50</v>
      </c>
      <c r="U203" s="56">
        <f>_xlfn.XLOOKUP($N203,'Calculo Leads'!$A$97:$A$134,'Calculo Leads'!H$97:H$134)*_xlfn.XLOOKUP($P203,'Base Grupo de Produtos'!$E$2:$E$18,'Base Grupo de Produtos'!$F$2:$F$18)</f>
        <v>50</v>
      </c>
      <c r="V203" s="56">
        <f>_xlfn.XLOOKUP($N203,'Calculo Leads'!$A$97:$A$134,'Calculo Leads'!I$97:I$134)*_xlfn.XLOOKUP($P203,'Base Grupo de Produtos'!$E$2:$E$18,'Base Grupo de Produtos'!$F$2:$F$18)</f>
        <v>50</v>
      </c>
      <c r="W203" s="56">
        <f>_xlfn.XLOOKUP($N203,'Calculo Leads'!$A$97:$A$134,'Calculo Leads'!J$97:J$134)*_xlfn.XLOOKUP($P203,'Base Grupo de Produtos'!$E$2:$E$18,'Base Grupo de Produtos'!$F$2:$F$18)</f>
        <v>50</v>
      </c>
      <c r="X203" s="56">
        <f>_xlfn.XLOOKUP($N203,'Calculo Leads'!$A$97:$A$134,'Calculo Leads'!K$97:K$134)*_xlfn.XLOOKUP($P203,'Base Grupo de Produtos'!$E$2:$E$18,'Base Grupo de Produtos'!$F$2:$F$18)</f>
        <v>55</v>
      </c>
      <c r="Y203" s="56">
        <f>_xlfn.XLOOKUP($N203,'Calculo Leads'!$A$97:$A$134,'Calculo Leads'!L$97:L$134)*_xlfn.XLOOKUP($P203,'Base Grupo de Produtos'!$E$2:$E$18,'Base Grupo de Produtos'!$F$2:$F$18)</f>
        <v>55</v>
      </c>
      <c r="Z203" s="56">
        <f>_xlfn.XLOOKUP($N203,'Calculo Leads'!$A$97:$A$134,'Calculo Leads'!M$97:M$134)*_xlfn.XLOOKUP($P203,'Base Grupo de Produtos'!$E$2:$E$18,'Base Grupo de Produtos'!$F$2:$F$18)</f>
        <v>55</v>
      </c>
      <c r="AA203" s="56">
        <f>_xlfn.XLOOKUP($N203,'Calculo Leads'!$A$97:$A$134,'Calculo Leads'!N$97:N$134)*_xlfn.XLOOKUP($P203,'Base Grupo de Produtos'!$E$2:$E$18,'Base Grupo de Produtos'!$F$2:$F$18)</f>
        <v>55</v>
      </c>
      <c r="AB203" s="56">
        <f>_xlfn.XLOOKUP($N203,'Calculo Leads'!$A$97:$A$134,'Calculo Leads'!O$97:O$134)*_xlfn.XLOOKUP($P203,'Base Grupo de Produtos'!$E$2:$E$18,'Base Grupo de Produtos'!$F$2:$F$18)</f>
        <v>55</v>
      </c>
      <c r="AC203" s="61">
        <f t="shared" si="212"/>
        <v>475</v>
      </c>
      <c r="AD203" s="27">
        <f t="shared" si="228"/>
        <v>475</v>
      </c>
      <c r="AE203" s="25">
        <f>IFERROR(_xlfn.XLOOKUP(N203&amp;P203,'Historico Vendas'!G:G,'Historico Vendas'!E:E),0)</f>
        <v>0</v>
      </c>
      <c r="AF203" s="29" t="str">
        <f t="shared" si="190"/>
        <v/>
      </c>
      <c r="AG203" s="24">
        <f>IFERROR(_xlfn.XLOOKUP(N203&amp;P203,'Historico Vendas'!G:G,'Historico Vendas'!F:F),0)</f>
        <v>0</v>
      </c>
      <c r="AH203" s="25">
        <f t="shared" si="229"/>
        <v>0</v>
      </c>
      <c r="AI203" s="24">
        <f t="shared" si="230"/>
        <v>0</v>
      </c>
      <c r="AJ203" s="11" t="str">
        <f t="shared" si="211"/>
        <v/>
      </c>
      <c r="AK203" s="9" t="s">
        <v>102</v>
      </c>
      <c r="AL203" s="13">
        <f>IFERROR(INDEX('Balizador da Meta'!$D$3:$F$23,MATCH(Faturamento!$P203,'Balizador da Meta'!$C$3:$C$23,0),MATCH(Faturamento!AK203,'Balizador da Meta'!$D$2:$F$2,0)),"")</f>
        <v>0.2</v>
      </c>
      <c r="AM203" s="9"/>
    </row>
    <row r="204" spans="1:39" x14ac:dyDescent="0.3">
      <c r="A204" s="2" t="str">
        <f t="shared" si="191"/>
        <v>NÃO</v>
      </c>
      <c r="B204" s="2" t="str">
        <f>_xlfn.XLOOKUP($N204,'Base de Grupos'!$A:$A,'Base de Grupos'!$D:$D)</f>
        <v>1000065763</v>
      </c>
      <c r="C204" s="5" t="str">
        <f>_xlfn.XLOOKUP($N204,'Base de Grupos'!$A:$A,'Base de Grupos'!$E:$E)</f>
        <v>CANAL VENDA INTERNA</v>
      </c>
      <c r="D204" s="5" t="str">
        <f>_xlfn.XLOOKUP($N204,'Base de Grupos'!$A:$A,'Base de Grupos'!$F:$F)</f>
        <v>1000065763</v>
      </c>
      <c r="E204" s="2" t="str">
        <f>_xlfn.XLOOKUP($N204,'Base de Grupos'!$A:$A,'Base de Grupos'!$G:$G)</f>
        <v>CANAL VENDA INTERNA</v>
      </c>
      <c r="F204" s="2" t="str">
        <f>_xlfn.XLOOKUP($N204,'Base de Grupos'!$A:$A,'Base de Grupos'!$H:$H)</f>
        <v>1000105900</v>
      </c>
      <c r="G204" s="5" t="str">
        <f>_xlfn.XLOOKUP($N204,'Base de Grupos'!$A:$A,'Base de Grupos'!$I:$I)</f>
        <v>REGIONAL VENDA DIRETA CO + NE + NO</v>
      </c>
      <c r="H204" s="5" t="str">
        <f>_xlfn.XLOOKUP($N204,'Base de Grupos'!$A:$A,'Base de Grupos'!$J:$J)</f>
        <v>1000105900</v>
      </c>
      <c r="I204" s="2" t="str">
        <f>_xlfn.XLOOKUP($N204,'Base de Grupos'!$A:$A,'Base de Grupos'!$K:$K)</f>
        <v>REGIONAL VENDA DIRETA CO + NE + NO</v>
      </c>
      <c r="J204" s="2" t="str">
        <f>_xlfn.XLOOKUP($N204,'Base de Grupos'!$A:$A,'Base de Grupos'!$L:$L)</f>
        <v>1000150135</v>
      </c>
      <c r="K204" s="5" t="str">
        <f>_xlfn.XLOOKUP($N204,'Base de Grupos'!$A:$A,'Base de Grupos'!$M:$M)</f>
        <v>HELDER DA SILVA BRUNKOW</v>
      </c>
      <c r="L204" s="5" t="str">
        <f t="shared" si="192"/>
        <v/>
      </c>
      <c r="M204" s="5" t="str">
        <f>_xlfn.XLOOKUP($N204,'Base de Grupos'!$A:$A,'Base de Grupos'!$C:$C)</f>
        <v>RR</v>
      </c>
      <c r="N204" s="3">
        <v>1348</v>
      </c>
      <c r="O204" s="4" t="s">
        <v>235</v>
      </c>
      <c r="P204" s="5" t="s">
        <v>84</v>
      </c>
      <c r="Q204" s="56">
        <v>0</v>
      </c>
      <c r="R204" s="56">
        <v>0</v>
      </c>
      <c r="S204" s="56">
        <v>0</v>
      </c>
      <c r="T204" s="56">
        <f>_xlfn.XLOOKUP($N204,'Calculo Leads'!$A$97:$A$134,'Calculo Leads'!G$97:G$134)*_xlfn.XLOOKUP($P204,'Base Grupo de Produtos'!$E$2:$E$18,'Base Grupo de Produtos'!$F$2:$F$18)</f>
        <v>80</v>
      </c>
      <c r="U204" s="56">
        <f>_xlfn.XLOOKUP($N204,'Calculo Leads'!$A$97:$A$134,'Calculo Leads'!H$97:H$134)*_xlfn.XLOOKUP($P204,'Base Grupo de Produtos'!$E$2:$E$18,'Base Grupo de Produtos'!$F$2:$F$18)</f>
        <v>80</v>
      </c>
      <c r="V204" s="56">
        <f>_xlfn.XLOOKUP($N204,'Calculo Leads'!$A$97:$A$134,'Calculo Leads'!I$97:I$134)*_xlfn.XLOOKUP($P204,'Base Grupo de Produtos'!$E$2:$E$18,'Base Grupo de Produtos'!$F$2:$F$18)</f>
        <v>80</v>
      </c>
      <c r="W204" s="56">
        <f>_xlfn.XLOOKUP($N204,'Calculo Leads'!$A$97:$A$134,'Calculo Leads'!J$97:J$134)*_xlfn.XLOOKUP($P204,'Base Grupo de Produtos'!$E$2:$E$18,'Base Grupo de Produtos'!$F$2:$F$18)</f>
        <v>80</v>
      </c>
      <c r="X204" s="56">
        <f>_xlfn.XLOOKUP($N204,'Calculo Leads'!$A$97:$A$134,'Calculo Leads'!K$97:K$134)*_xlfn.XLOOKUP($P204,'Base Grupo de Produtos'!$E$2:$E$18,'Base Grupo de Produtos'!$F$2:$F$18)</f>
        <v>88</v>
      </c>
      <c r="Y204" s="56">
        <f>_xlfn.XLOOKUP($N204,'Calculo Leads'!$A$97:$A$134,'Calculo Leads'!L$97:L$134)*_xlfn.XLOOKUP($P204,'Base Grupo de Produtos'!$E$2:$E$18,'Base Grupo de Produtos'!$F$2:$F$18)</f>
        <v>88</v>
      </c>
      <c r="Z204" s="56">
        <f>_xlfn.XLOOKUP($N204,'Calculo Leads'!$A$97:$A$134,'Calculo Leads'!M$97:M$134)*_xlfn.XLOOKUP($P204,'Base Grupo de Produtos'!$E$2:$E$18,'Base Grupo de Produtos'!$F$2:$F$18)</f>
        <v>88</v>
      </c>
      <c r="AA204" s="56">
        <f>_xlfn.XLOOKUP($N204,'Calculo Leads'!$A$97:$A$134,'Calculo Leads'!N$97:N$134)*_xlfn.XLOOKUP($P204,'Base Grupo de Produtos'!$E$2:$E$18,'Base Grupo de Produtos'!$F$2:$F$18)</f>
        <v>88</v>
      </c>
      <c r="AB204" s="56">
        <f>_xlfn.XLOOKUP($N204,'Calculo Leads'!$A$97:$A$134,'Calculo Leads'!O$97:O$134)*_xlfn.XLOOKUP($P204,'Base Grupo de Produtos'!$E$2:$E$18,'Base Grupo de Produtos'!$F$2:$F$18)</f>
        <v>88</v>
      </c>
      <c r="AC204" s="61">
        <f t="shared" si="212"/>
        <v>760</v>
      </c>
      <c r="AD204" s="27">
        <f t="shared" si="228"/>
        <v>760</v>
      </c>
      <c r="AE204" s="25">
        <f>IFERROR(_xlfn.XLOOKUP(N204&amp;P204,'Historico Vendas'!G:G,'Historico Vendas'!E:E),0)</f>
        <v>0</v>
      </c>
      <c r="AF204" s="29" t="str">
        <f t="shared" si="190"/>
        <v/>
      </c>
      <c r="AG204" s="24">
        <f>IFERROR(_xlfn.XLOOKUP(N204&amp;P204,'Historico Vendas'!G:G,'Historico Vendas'!F:F),0)</f>
        <v>0</v>
      </c>
      <c r="AH204" s="25">
        <f t="shared" si="229"/>
        <v>0</v>
      </c>
      <c r="AI204" s="24">
        <f t="shared" si="230"/>
        <v>0</v>
      </c>
      <c r="AJ204" s="11" t="str">
        <f t="shared" si="211"/>
        <v/>
      </c>
      <c r="AK204" s="9" t="s">
        <v>102</v>
      </c>
      <c r="AL204" s="13">
        <f>IFERROR(INDEX('Balizador da Meta'!$D$3:$F$23,MATCH(Faturamento!$P204,'Balizador da Meta'!$C$3:$C$23,0),MATCH(Faturamento!AK204,'Balizador da Meta'!$D$2:$F$2,0)),"")</f>
        <v>0.15</v>
      </c>
      <c r="AM204" s="9"/>
    </row>
    <row r="205" spans="1:39" x14ac:dyDescent="0.3">
      <c r="A205" s="2" t="str">
        <f t="shared" si="191"/>
        <v>NÃO</v>
      </c>
      <c r="B205" s="2" t="str">
        <f>_xlfn.XLOOKUP($N205,'Base de Grupos'!$A:$A,'Base de Grupos'!$D:$D)</f>
        <v>1000065763</v>
      </c>
      <c r="C205" s="5" t="str">
        <f>_xlfn.XLOOKUP($N205,'Base de Grupos'!$A:$A,'Base de Grupos'!$E:$E)</f>
        <v>CANAL VENDA INTERNA</v>
      </c>
      <c r="D205" s="5" t="str">
        <f>_xlfn.XLOOKUP($N205,'Base de Grupos'!$A:$A,'Base de Grupos'!$F:$F)</f>
        <v>1000065763</v>
      </c>
      <c r="E205" s="2" t="str">
        <f>_xlfn.XLOOKUP($N205,'Base de Grupos'!$A:$A,'Base de Grupos'!$G:$G)</f>
        <v>CANAL VENDA INTERNA</v>
      </c>
      <c r="F205" s="2" t="str">
        <f>_xlfn.XLOOKUP($N205,'Base de Grupos'!$A:$A,'Base de Grupos'!$H:$H)</f>
        <v>1000105900</v>
      </c>
      <c r="G205" s="5" t="str">
        <f>_xlfn.XLOOKUP($N205,'Base de Grupos'!$A:$A,'Base de Grupos'!$I:$I)</f>
        <v>REGIONAL VENDA DIRETA CO + NE + NO</v>
      </c>
      <c r="H205" s="5" t="str">
        <f>_xlfn.XLOOKUP($N205,'Base de Grupos'!$A:$A,'Base de Grupos'!$J:$J)</f>
        <v>1000105900</v>
      </c>
      <c r="I205" s="2" t="str">
        <f>_xlfn.XLOOKUP($N205,'Base de Grupos'!$A:$A,'Base de Grupos'!$K:$K)</f>
        <v>REGIONAL VENDA DIRETA CO + NE + NO</v>
      </c>
      <c r="J205" s="2" t="str">
        <f>_xlfn.XLOOKUP($N205,'Base de Grupos'!$A:$A,'Base de Grupos'!$L:$L)</f>
        <v>1000150135</v>
      </c>
      <c r="K205" s="5" t="str">
        <f>_xlfn.XLOOKUP($N205,'Base de Grupos'!$A:$A,'Base de Grupos'!$M:$M)</f>
        <v>HELDER DA SILVA BRUNKOW</v>
      </c>
      <c r="L205" s="5" t="str">
        <f t="shared" si="192"/>
        <v/>
      </c>
      <c r="M205" s="5" t="str">
        <f>_xlfn.XLOOKUP($N205,'Base de Grupos'!$A:$A,'Base de Grupos'!$C:$C)</f>
        <v>RR</v>
      </c>
      <c r="N205" s="3">
        <v>1348</v>
      </c>
      <c r="O205" s="4" t="s">
        <v>235</v>
      </c>
      <c r="P205" s="5" t="s">
        <v>83</v>
      </c>
      <c r="Q205" s="56">
        <v>0</v>
      </c>
      <c r="R205" s="56">
        <v>0</v>
      </c>
      <c r="S205" s="56">
        <v>0</v>
      </c>
      <c r="T205" s="56">
        <f>_xlfn.XLOOKUP($N205,'Calculo Leads'!$A$97:$A$134,'Calculo Leads'!G$97:G$134)*_xlfn.XLOOKUP($P205,'Base Grupo de Produtos'!$E$2:$E$18,'Base Grupo de Produtos'!$F$2:$F$18)</f>
        <v>100</v>
      </c>
      <c r="U205" s="56">
        <f>_xlfn.XLOOKUP($N205,'Calculo Leads'!$A$97:$A$134,'Calculo Leads'!H$97:H$134)*_xlfn.XLOOKUP($P205,'Base Grupo de Produtos'!$E$2:$E$18,'Base Grupo de Produtos'!$F$2:$F$18)</f>
        <v>100</v>
      </c>
      <c r="V205" s="56">
        <f>_xlfn.XLOOKUP($N205,'Calculo Leads'!$A$97:$A$134,'Calculo Leads'!I$97:I$134)*_xlfn.XLOOKUP($P205,'Base Grupo de Produtos'!$E$2:$E$18,'Base Grupo de Produtos'!$F$2:$F$18)</f>
        <v>100</v>
      </c>
      <c r="W205" s="56">
        <f>_xlfn.XLOOKUP($N205,'Calculo Leads'!$A$97:$A$134,'Calculo Leads'!J$97:J$134)*_xlfn.XLOOKUP($P205,'Base Grupo de Produtos'!$E$2:$E$18,'Base Grupo de Produtos'!$F$2:$F$18)</f>
        <v>100</v>
      </c>
      <c r="X205" s="56">
        <f>_xlfn.XLOOKUP($N205,'Calculo Leads'!$A$97:$A$134,'Calculo Leads'!K$97:K$134)*_xlfn.XLOOKUP($P205,'Base Grupo de Produtos'!$E$2:$E$18,'Base Grupo de Produtos'!$F$2:$F$18)</f>
        <v>110</v>
      </c>
      <c r="Y205" s="56">
        <f>_xlfn.XLOOKUP($N205,'Calculo Leads'!$A$97:$A$134,'Calculo Leads'!L$97:L$134)*_xlfn.XLOOKUP($P205,'Base Grupo de Produtos'!$E$2:$E$18,'Base Grupo de Produtos'!$F$2:$F$18)</f>
        <v>110</v>
      </c>
      <c r="Z205" s="56">
        <f>_xlfn.XLOOKUP($N205,'Calculo Leads'!$A$97:$A$134,'Calculo Leads'!M$97:M$134)*_xlfn.XLOOKUP($P205,'Base Grupo de Produtos'!$E$2:$E$18,'Base Grupo de Produtos'!$F$2:$F$18)</f>
        <v>110</v>
      </c>
      <c r="AA205" s="56">
        <f>_xlfn.XLOOKUP($N205,'Calculo Leads'!$A$97:$A$134,'Calculo Leads'!N$97:N$134)*_xlfn.XLOOKUP($P205,'Base Grupo de Produtos'!$E$2:$E$18,'Base Grupo de Produtos'!$F$2:$F$18)</f>
        <v>110</v>
      </c>
      <c r="AB205" s="56">
        <f>_xlfn.XLOOKUP($N205,'Calculo Leads'!$A$97:$A$134,'Calculo Leads'!O$97:O$134)*_xlfn.XLOOKUP($P205,'Base Grupo de Produtos'!$E$2:$E$18,'Base Grupo de Produtos'!$F$2:$F$18)</f>
        <v>110</v>
      </c>
      <c r="AC205" s="61">
        <f t="shared" si="212"/>
        <v>950</v>
      </c>
      <c r="AD205" s="27">
        <f t="shared" si="228"/>
        <v>950</v>
      </c>
      <c r="AE205" s="25">
        <f>IFERROR(_xlfn.XLOOKUP(N205&amp;P205,'Historico Vendas'!G:G,'Historico Vendas'!E:E),0)</f>
        <v>0</v>
      </c>
      <c r="AF205" s="29" t="str">
        <f t="shared" si="190"/>
        <v/>
      </c>
      <c r="AG205" s="24">
        <f>IFERROR(_xlfn.XLOOKUP(N205&amp;P205,'Historico Vendas'!G:G,'Historico Vendas'!F:F),0)</f>
        <v>0</v>
      </c>
      <c r="AH205" s="25">
        <f t="shared" si="229"/>
        <v>0</v>
      </c>
      <c r="AI205" s="24">
        <f t="shared" si="230"/>
        <v>0</v>
      </c>
      <c r="AJ205" s="11" t="str">
        <f t="shared" si="211"/>
        <v/>
      </c>
      <c r="AK205" s="9" t="s">
        <v>102</v>
      </c>
      <c r="AL205" s="13">
        <f>IFERROR(INDEX('Balizador da Meta'!$D$3:$F$23,MATCH(Faturamento!$P205,'Balizador da Meta'!$C$3:$C$23,0),MATCH(Faturamento!AK205,'Balizador da Meta'!$D$2:$F$2,0)),"")</f>
        <v>0</v>
      </c>
      <c r="AM205" s="9"/>
    </row>
    <row r="206" spans="1:39" x14ac:dyDescent="0.3">
      <c r="A206" s="2" t="str">
        <f t="shared" si="191"/>
        <v>NÃO</v>
      </c>
      <c r="B206" s="2" t="str">
        <f>_xlfn.XLOOKUP($N206,'Base de Grupos'!$A:$A,'Base de Grupos'!$D:$D)</f>
        <v>1000065763</v>
      </c>
      <c r="C206" s="5" t="str">
        <f>_xlfn.XLOOKUP($N206,'Base de Grupos'!$A:$A,'Base de Grupos'!$E:$E)</f>
        <v>CANAL VENDA INTERNA</v>
      </c>
      <c r="D206" s="5" t="str">
        <f>_xlfn.XLOOKUP($N206,'Base de Grupos'!$A:$A,'Base de Grupos'!$F:$F)</f>
        <v>1000065763</v>
      </c>
      <c r="E206" s="2" t="str">
        <f>_xlfn.XLOOKUP($N206,'Base de Grupos'!$A:$A,'Base de Grupos'!$G:$G)</f>
        <v>CANAL VENDA INTERNA</v>
      </c>
      <c r="F206" s="2" t="str">
        <f>_xlfn.XLOOKUP($N206,'Base de Grupos'!$A:$A,'Base de Grupos'!$H:$H)</f>
        <v>1000105900</v>
      </c>
      <c r="G206" s="5" t="str">
        <f>_xlfn.XLOOKUP($N206,'Base de Grupos'!$A:$A,'Base de Grupos'!$I:$I)</f>
        <v>REGIONAL VENDA DIRETA CO + NE + NO</v>
      </c>
      <c r="H206" s="5" t="str">
        <f>_xlfn.XLOOKUP($N206,'Base de Grupos'!$A:$A,'Base de Grupos'!$J:$J)</f>
        <v>1000105900</v>
      </c>
      <c r="I206" s="2" t="str">
        <f>_xlfn.XLOOKUP($N206,'Base de Grupos'!$A:$A,'Base de Grupos'!$K:$K)</f>
        <v>REGIONAL VENDA DIRETA CO + NE + NO</v>
      </c>
      <c r="J206" s="2" t="str">
        <f>_xlfn.XLOOKUP($N206,'Base de Grupos'!$A:$A,'Base de Grupos'!$L:$L)</f>
        <v>1000150135</v>
      </c>
      <c r="K206" s="5" t="str">
        <f>_xlfn.XLOOKUP($N206,'Base de Grupos'!$A:$A,'Base de Grupos'!$M:$M)</f>
        <v>HELDER DA SILVA BRUNKOW</v>
      </c>
      <c r="L206" s="5" t="str">
        <f t="shared" si="192"/>
        <v/>
      </c>
      <c r="M206" s="5" t="str">
        <f>_xlfn.XLOOKUP($N206,'Base de Grupos'!$A:$A,'Base de Grupos'!$C:$C)</f>
        <v>RR</v>
      </c>
      <c r="N206" s="3">
        <v>1348</v>
      </c>
      <c r="O206" s="4" t="s">
        <v>235</v>
      </c>
      <c r="P206" s="5" t="s">
        <v>87</v>
      </c>
      <c r="Q206" s="56">
        <v>0</v>
      </c>
      <c r="R206" s="56">
        <v>0</v>
      </c>
      <c r="S206" s="56">
        <v>0</v>
      </c>
      <c r="T206" s="56">
        <f>_xlfn.XLOOKUP($N206,'Calculo Leads'!$A$97:$A$134,'Calculo Leads'!G$97:G$134)*_xlfn.XLOOKUP($P206,'Base Grupo de Produtos'!$E$2:$E$18,'Base Grupo de Produtos'!$F$2:$F$18)</f>
        <v>19.999999999999996</v>
      </c>
      <c r="U206" s="56">
        <f>_xlfn.XLOOKUP($N206,'Calculo Leads'!$A$97:$A$134,'Calculo Leads'!H$97:H$134)*_xlfn.XLOOKUP($P206,'Base Grupo de Produtos'!$E$2:$E$18,'Base Grupo de Produtos'!$F$2:$F$18)</f>
        <v>19.999999999999996</v>
      </c>
      <c r="V206" s="56">
        <f>_xlfn.XLOOKUP($N206,'Calculo Leads'!$A$97:$A$134,'Calculo Leads'!I$97:I$134)*_xlfn.XLOOKUP($P206,'Base Grupo de Produtos'!$E$2:$E$18,'Base Grupo de Produtos'!$F$2:$F$18)</f>
        <v>19.999999999999996</v>
      </c>
      <c r="W206" s="56">
        <f>_xlfn.XLOOKUP($N206,'Calculo Leads'!$A$97:$A$134,'Calculo Leads'!J$97:J$134)*_xlfn.XLOOKUP($P206,'Base Grupo de Produtos'!$E$2:$E$18,'Base Grupo de Produtos'!$F$2:$F$18)</f>
        <v>19.999999999999996</v>
      </c>
      <c r="X206" s="56">
        <f>_xlfn.XLOOKUP($N206,'Calculo Leads'!$A$97:$A$134,'Calculo Leads'!K$97:K$134)*_xlfn.XLOOKUP($P206,'Base Grupo de Produtos'!$E$2:$E$18,'Base Grupo de Produtos'!$F$2:$F$18)</f>
        <v>21.999999999999996</v>
      </c>
      <c r="Y206" s="56">
        <f>_xlfn.XLOOKUP($N206,'Calculo Leads'!$A$97:$A$134,'Calculo Leads'!L$97:L$134)*_xlfn.XLOOKUP($P206,'Base Grupo de Produtos'!$E$2:$E$18,'Base Grupo de Produtos'!$F$2:$F$18)</f>
        <v>21.999999999999996</v>
      </c>
      <c r="Z206" s="56">
        <f>_xlfn.XLOOKUP($N206,'Calculo Leads'!$A$97:$A$134,'Calculo Leads'!M$97:M$134)*_xlfn.XLOOKUP($P206,'Base Grupo de Produtos'!$E$2:$E$18,'Base Grupo de Produtos'!$F$2:$F$18)</f>
        <v>21.999999999999996</v>
      </c>
      <c r="AA206" s="56">
        <f>_xlfn.XLOOKUP($N206,'Calculo Leads'!$A$97:$A$134,'Calculo Leads'!N$97:N$134)*_xlfn.XLOOKUP($P206,'Base Grupo de Produtos'!$E$2:$E$18,'Base Grupo de Produtos'!$F$2:$F$18)</f>
        <v>21.999999999999996</v>
      </c>
      <c r="AB206" s="56">
        <f>_xlfn.XLOOKUP($N206,'Calculo Leads'!$A$97:$A$134,'Calculo Leads'!O$97:O$134)*_xlfn.XLOOKUP($P206,'Base Grupo de Produtos'!$E$2:$E$18,'Base Grupo de Produtos'!$F$2:$F$18)</f>
        <v>21.999999999999996</v>
      </c>
      <c r="AC206" s="61">
        <f t="shared" si="212"/>
        <v>189.99999999999997</v>
      </c>
      <c r="AD206" s="27">
        <f t="shared" si="228"/>
        <v>189.99999999999997</v>
      </c>
      <c r="AE206" s="25">
        <f>IFERROR(_xlfn.XLOOKUP(N206&amp;P206,'Historico Vendas'!G:G,'Historico Vendas'!E:E),0)</f>
        <v>0</v>
      </c>
      <c r="AF206" s="29" t="str">
        <f t="shared" si="190"/>
        <v/>
      </c>
      <c r="AG206" s="24">
        <f>IFERROR(_xlfn.XLOOKUP(N206&amp;P206,'Historico Vendas'!G:G,'Historico Vendas'!F:F),0)</f>
        <v>0</v>
      </c>
      <c r="AH206" s="25">
        <f t="shared" si="229"/>
        <v>0</v>
      </c>
      <c r="AI206" s="24">
        <f t="shared" si="230"/>
        <v>0</v>
      </c>
      <c r="AJ206" s="11" t="str">
        <f t="shared" si="211"/>
        <v/>
      </c>
      <c r="AK206" s="9" t="s">
        <v>102</v>
      </c>
      <c r="AL206" s="13">
        <f>IFERROR(INDEX('Balizador da Meta'!$D$3:$F$23,MATCH(Faturamento!$P206,'Balizador da Meta'!$C$3:$C$23,0),MATCH(Faturamento!AK206,'Balizador da Meta'!$D$2:$F$2,0)),"")</f>
        <v>0</v>
      </c>
      <c r="AM206" s="9"/>
    </row>
    <row r="207" spans="1:39" x14ac:dyDescent="0.3">
      <c r="A207" s="2" t="str">
        <f t="shared" si="191"/>
        <v>NÃO</v>
      </c>
      <c r="B207" s="2" t="str">
        <f>_xlfn.XLOOKUP($N207,'Base de Grupos'!$A:$A,'Base de Grupos'!$D:$D)</f>
        <v>1000065763</v>
      </c>
      <c r="C207" s="5" t="str">
        <f>_xlfn.XLOOKUP($N207,'Base de Grupos'!$A:$A,'Base de Grupos'!$E:$E)</f>
        <v>CANAL VENDA INTERNA</v>
      </c>
      <c r="D207" s="5" t="str">
        <f>_xlfn.XLOOKUP($N207,'Base de Grupos'!$A:$A,'Base de Grupos'!$F:$F)</f>
        <v>1000065763</v>
      </c>
      <c r="E207" s="2" t="str">
        <f>_xlfn.XLOOKUP($N207,'Base de Grupos'!$A:$A,'Base de Grupos'!$G:$G)</f>
        <v>CANAL VENDA INTERNA</v>
      </c>
      <c r="F207" s="2" t="str">
        <f>_xlfn.XLOOKUP($N207,'Base de Grupos'!$A:$A,'Base de Grupos'!$H:$H)</f>
        <v>1000105900</v>
      </c>
      <c r="G207" s="5" t="str">
        <f>_xlfn.XLOOKUP($N207,'Base de Grupos'!$A:$A,'Base de Grupos'!$I:$I)</f>
        <v>REGIONAL VENDA DIRETA CO + NE + NO</v>
      </c>
      <c r="H207" s="5" t="str">
        <f>_xlfn.XLOOKUP($N207,'Base de Grupos'!$A:$A,'Base de Grupos'!$J:$J)</f>
        <v>1000105900</v>
      </c>
      <c r="I207" s="2" t="str">
        <f>_xlfn.XLOOKUP($N207,'Base de Grupos'!$A:$A,'Base de Grupos'!$K:$K)</f>
        <v>REGIONAL VENDA DIRETA CO + NE + NO</v>
      </c>
      <c r="J207" s="2" t="str">
        <f>_xlfn.XLOOKUP($N207,'Base de Grupos'!$A:$A,'Base de Grupos'!$L:$L)</f>
        <v>1000150135</v>
      </c>
      <c r="K207" s="5" t="str">
        <f>_xlfn.XLOOKUP($N207,'Base de Grupos'!$A:$A,'Base de Grupos'!$M:$M)</f>
        <v>HELDER DA SILVA BRUNKOW</v>
      </c>
      <c r="L207" s="5" t="str">
        <f t="shared" si="192"/>
        <v/>
      </c>
      <c r="M207" s="5" t="str">
        <f>_xlfn.XLOOKUP($N207,'Base de Grupos'!$A:$A,'Base de Grupos'!$C:$C)</f>
        <v>RR</v>
      </c>
      <c r="N207" s="3">
        <v>1348</v>
      </c>
      <c r="O207" s="4" t="s">
        <v>235</v>
      </c>
      <c r="P207" s="5" t="s">
        <v>85</v>
      </c>
      <c r="Q207" s="56">
        <v>0</v>
      </c>
      <c r="R207" s="56">
        <v>0</v>
      </c>
      <c r="S207" s="56">
        <v>0</v>
      </c>
      <c r="T207" s="56">
        <f>_xlfn.XLOOKUP($N207,'Calculo Leads'!$A$97:$A$134,'Calculo Leads'!G$97:G$134)*_xlfn.XLOOKUP($P207,'Base Grupo de Produtos'!$E$2:$E$18,'Base Grupo de Produtos'!$F$2:$F$18)</f>
        <v>20</v>
      </c>
      <c r="U207" s="56">
        <f>_xlfn.XLOOKUP($N207,'Calculo Leads'!$A$97:$A$134,'Calculo Leads'!H$97:H$134)*_xlfn.XLOOKUP($P207,'Base Grupo de Produtos'!$E$2:$E$18,'Base Grupo de Produtos'!$F$2:$F$18)</f>
        <v>20</v>
      </c>
      <c r="V207" s="56">
        <f>_xlfn.XLOOKUP($N207,'Calculo Leads'!$A$97:$A$134,'Calculo Leads'!I$97:I$134)*_xlfn.XLOOKUP($P207,'Base Grupo de Produtos'!$E$2:$E$18,'Base Grupo de Produtos'!$F$2:$F$18)</f>
        <v>20</v>
      </c>
      <c r="W207" s="56">
        <f>_xlfn.XLOOKUP($N207,'Calculo Leads'!$A$97:$A$134,'Calculo Leads'!J$97:J$134)*_xlfn.XLOOKUP($P207,'Base Grupo de Produtos'!$E$2:$E$18,'Base Grupo de Produtos'!$F$2:$F$18)</f>
        <v>20</v>
      </c>
      <c r="X207" s="56">
        <f>_xlfn.XLOOKUP($N207,'Calculo Leads'!$A$97:$A$134,'Calculo Leads'!K$97:K$134)*_xlfn.XLOOKUP($P207,'Base Grupo de Produtos'!$E$2:$E$18,'Base Grupo de Produtos'!$F$2:$F$18)</f>
        <v>22</v>
      </c>
      <c r="Y207" s="56">
        <f>_xlfn.XLOOKUP($N207,'Calculo Leads'!$A$97:$A$134,'Calculo Leads'!L$97:L$134)*_xlfn.XLOOKUP($P207,'Base Grupo de Produtos'!$E$2:$E$18,'Base Grupo de Produtos'!$F$2:$F$18)</f>
        <v>22</v>
      </c>
      <c r="Z207" s="56">
        <f>_xlfn.XLOOKUP($N207,'Calculo Leads'!$A$97:$A$134,'Calculo Leads'!M$97:M$134)*_xlfn.XLOOKUP($P207,'Base Grupo de Produtos'!$E$2:$E$18,'Base Grupo de Produtos'!$F$2:$F$18)</f>
        <v>22</v>
      </c>
      <c r="AA207" s="56">
        <f>_xlfn.XLOOKUP($N207,'Calculo Leads'!$A$97:$A$134,'Calculo Leads'!N$97:N$134)*_xlfn.XLOOKUP($P207,'Base Grupo de Produtos'!$E$2:$E$18,'Base Grupo de Produtos'!$F$2:$F$18)</f>
        <v>22</v>
      </c>
      <c r="AB207" s="56">
        <f>_xlfn.XLOOKUP($N207,'Calculo Leads'!$A$97:$A$134,'Calculo Leads'!O$97:O$134)*_xlfn.XLOOKUP($P207,'Base Grupo de Produtos'!$E$2:$E$18,'Base Grupo de Produtos'!$F$2:$F$18)</f>
        <v>22</v>
      </c>
      <c r="AC207" s="61">
        <f t="shared" si="212"/>
        <v>190</v>
      </c>
      <c r="AD207" s="27">
        <f t="shared" si="228"/>
        <v>190</v>
      </c>
      <c r="AE207" s="25">
        <f>IFERROR(_xlfn.XLOOKUP(N207&amp;P207,'Historico Vendas'!G:G,'Historico Vendas'!E:E),0)</f>
        <v>0</v>
      </c>
      <c r="AF207" s="29" t="str">
        <f t="shared" si="190"/>
        <v/>
      </c>
      <c r="AG207" s="24">
        <f>IFERROR(_xlfn.XLOOKUP(N207&amp;P207,'Historico Vendas'!G:G,'Historico Vendas'!F:F),0)</f>
        <v>0</v>
      </c>
      <c r="AH207" s="25">
        <f t="shared" si="229"/>
        <v>0</v>
      </c>
      <c r="AI207" s="24">
        <f t="shared" si="230"/>
        <v>0</v>
      </c>
      <c r="AJ207" s="11" t="str">
        <f t="shared" si="211"/>
        <v/>
      </c>
      <c r="AK207" s="9" t="s">
        <v>102</v>
      </c>
      <c r="AL207" s="13">
        <f>IFERROR(INDEX('Balizador da Meta'!$D$3:$F$23,MATCH(Faturamento!$P207,'Balizador da Meta'!$C$3:$C$23,0),MATCH(Faturamento!AK207,'Balizador da Meta'!$D$2:$F$2,0)),"")</f>
        <v>0</v>
      </c>
      <c r="AM207" s="9"/>
    </row>
    <row r="208" spans="1:39" x14ac:dyDescent="0.3">
      <c r="A208" s="2" t="str">
        <f t="shared" si="191"/>
        <v>NÃO</v>
      </c>
      <c r="B208" s="2" t="str">
        <f>_xlfn.XLOOKUP($N208,'Base de Grupos'!$A:$A,'Base de Grupos'!$D:$D)</f>
        <v>1000065763</v>
      </c>
      <c r="C208" s="5" t="str">
        <f>_xlfn.XLOOKUP($N208,'Base de Grupos'!$A:$A,'Base de Grupos'!$E:$E)</f>
        <v>CANAL VENDA INTERNA</v>
      </c>
      <c r="D208" s="5" t="str">
        <f>_xlfn.XLOOKUP($N208,'Base de Grupos'!$A:$A,'Base de Grupos'!$F:$F)</f>
        <v>1000065763</v>
      </c>
      <c r="E208" s="2" t="str">
        <f>_xlfn.XLOOKUP($N208,'Base de Grupos'!$A:$A,'Base de Grupos'!$G:$G)</f>
        <v>CANAL VENDA INTERNA</v>
      </c>
      <c r="F208" s="2" t="str">
        <f>_xlfn.XLOOKUP($N208,'Base de Grupos'!$A:$A,'Base de Grupos'!$H:$H)</f>
        <v>1000105900</v>
      </c>
      <c r="G208" s="5" t="str">
        <f>_xlfn.XLOOKUP($N208,'Base de Grupos'!$A:$A,'Base de Grupos'!$I:$I)</f>
        <v>REGIONAL VENDA DIRETA CO + NE + NO</v>
      </c>
      <c r="H208" s="5" t="str">
        <f>_xlfn.XLOOKUP($N208,'Base de Grupos'!$A:$A,'Base de Grupos'!$J:$J)</f>
        <v>1000105900</v>
      </c>
      <c r="I208" s="2" t="str">
        <f>_xlfn.XLOOKUP($N208,'Base de Grupos'!$A:$A,'Base de Grupos'!$K:$K)</f>
        <v>REGIONAL VENDA DIRETA CO + NE + NO</v>
      </c>
      <c r="J208" s="2" t="str">
        <f>_xlfn.XLOOKUP($N208,'Base de Grupos'!$A:$A,'Base de Grupos'!$L:$L)</f>
        <v>1000150135</v>
      </c>
      <c r="K208" s="5" t="str">
        <f>_xlfn.XLOOKUP($N208,'Base de Grupos'!$A:$A,'Base de Grupos'!$M:$M)</f>
        <v>HELDER DA SILVA BRUNKOW</v>
      </c>
      <c r="L208" s="5" t="str">
        <f t="shared" si="192"/>
        <v/>
      </c>
      <c r="M208" s="5" t="str">
        <f>_xlfn.XLOOKUP($N208,'Base de Grupos'!$A:$A,'Base de Grupos'!$C:$C)</f>
        <v>RR</v>
      </c>
      <c r="N208" s="3">
        <v>1348</v>
      </c>
      <c r="O208" s="4" t="s">
        <v>235</v>
      </c>
      <c r="P208" s="5" t="s">
        <v>92</v>
      </c>
      <c r="Q208" s="56">
        <v>0</v>
      </c>
      <c r="R208" s="56">
        <v>0</v>
      </c>
      <c r="S208" s="56">
        <v>0</v>
      </c>
      <c r="T208" s="56">
        <f>_xlfn.XLOOKUP($N208,'Calculo Leads'!$A$97:$A$134,'Calculo Leads'!G$97:G$134)*_xlfn.XLOOKUP($P208,'Base Grupo de Produtos'!$E$2:$E$18,'Base Grupo de Produtos'!$F$2:$F$18)</f>
        <v>20</v>
      </c>
      <c r="U208" s="56">
        <f>_xlfn.XLOOKUP($N208,'Calculo Leads'!$A$97:$A$134,'Calculo Leads'!H$97:H$134)*_xlfn.XLOOKUP($P208,'Base Grupo de Produtos'!$E$2:$E$18,'Base Grupo de Produtos'!$F$2:$F$18)</f>
        <v>20</v>
      </c>
      <c r="V208" s="56">
        <f>_xlfn.XLOOKUP($N208,'Calculo Leads'!$A$97:$A$134,'Calculo Leads'!I$97:I$134)*_xlfn.XLOOKUP($P208,'Base Grupo de Produtos'!$E$2:$E$18,'Base Grupo de Produtos'!$F$2:$F$18)</f>
        <v>20</v>
      </c>
      <c r="W208" s="56">
        <f>_xlfn.XLOOKUP($N208,'Calculo Leads'!$A$97:$A$134,'Calculo Leads'!J$97:J$134)*_xlfn.XLOOKUP($P208,'Base Grupo de Produtos'!$E$2:$E$18,'Base Grupo de Produtos'!$F$2:$F$18)</f>
        <v>20</v>
      </c>
      <c r="X208" s="56">
        <f>_xlfn.XLOOKUP($N208,'Calculo Leads'!$A$97:$A$134,'Calculo Leads'!K$97:K$134)*_xlfn.XLOOKUP($P208,'Base Grupo de Produtos'!$E$2:$E$18,'Base Grupo de Produtos'!$F$2:$F$18)</f>
        <v>22</v>
      </c>
      <c r="Y208" s="56">
        <f>_xlfn.XLOOKUP($N208,'Calculo Leads'!$A$97:$A$134,'Calculo Leads'!L$97:L$134)*_xlfn.XLOOKUP($P208,'Base Grupo de Produtos'!$E$2:$E$18,'Base Grupo de Produtos'!$F$2:$F$18)</f>
        <v>22</v>
      </c>
      <c r="Z208" s="56">
        <f>_xlfn.XLOOKUP($N208,'Calculo Leads'!$A$97:$A$134,'Calculo Leads'!M$97:M$134)*_xlfn.XLOOKUP($P208,'Base Grupo de Produtos'!$E$2:$E$18,'Base Grupo de Produtos'!$F$2:$F$18)</f>
        <v>22</v>
      </c>
      <c r="AA208" s="56">
        <f>_xlfn.XLOOKUP($N208,'Calculo Leads'!$A$97:$A$134,'Calculo Leads'!N$97:N$134)*_xlfn.XLOOKUP($P208,'Base Grupo de Produtos'!$E$2:$E$18,'Base Grupo de Produtos'!$F$2:$F$18)</f>
        <v>22</v>
      </c>
      <c r="AB208" s="56">
        <f>_xlfn.XLOOKUP($N208,'Calculo Leads'!$A$97:$A$134,'Calculo Leads'!O$97:O$134)*_xlfn.XLOOKUP($P208,'Base Grupo de Produtos'!$E$2:$E$18,'Base Grupo de Produtos'!$F$2:$F$18)</f>
        <v>22</v>
      </c>
      <c r="AC208" s="61">
        <f t="shared" si="212"/>
        <v>190</v>
      </c>
      <c r="AD208" s="27">
        <f t="shared" si="228"/>
        <v>190</v>
      </c>
      <c r="AE208" s="25">
        <f>IFERROR(_xlfn.XLOOKUP(N208&amp;P208,'Historico Vendas'!G:G,'Historico Vendas'!E:E),0)</f>
        <v>0</v>
      </c>
      <c r="AF208" s="29" t="str">
        <f t="shared" si="190"/>
        <v/>
      </c>
      <c r="AG208" s="24">
        <f>IFERROR(_xlfn.XLOOKUP(N208&amp;P208,'Historico Vendas'!G:G,'Historico Vendas'!F:F),0)</f>
        <v>0</v>
      </c>
      <c r="AH208" s="25">
        <f t="shared" si="229"/>
        <v>0</v>
      </c>
      <c r="AI208" s="24">
        <f t="shared" si="230"/>
        <v>0</v>
      </c>
      <c r="AJ208" s="11" t="str">
        <f t="shared" si="211"/>
        <v/>
      </c>
      <c r="AK208" s="9" t="s">
        <v>102</v>
      </c>
      <c r="AL208" s="13">
        <f>IFERROR(INDEX('Balizador da Meta'!$D$3:$F$23,MATCH(Faturamento!$P208,'Balizador da Meta'!$C$3:$C$23,0),MATCH(Faturamento!AK208,'Balizador da Meta'!$D$2:$F$2,0)),"")</f>
        <v>0</v>
      </c>
      <c r="AM208" s="9"/>
    </row>
    <row r="209" spans="1:39" x14ac:dyDescent="0.3">
      <c r="A209" s="2" t="str">
        <f t="shared" si="191"/>
        <v>NÃO</v>
      </c>
      <c r="B209" s="2" t="str">
        <f>_xlfn.XLOOKUP($N209,'Base de Grupos'!$A:$A,'Base de Grupos'!$D:$D)</f>
        <v>1000065763</v>
      </c>
      <c r="C209" s="5" t="str">
        <f>_xlfn.XLOOKUP($N209,'Base de Grupos'!$A:$A,'Base de Grupos'!$E:$E)</f>
        <v>CANAL VENDA INTERNA</v>
      </c>
      <c r="D209" s="5" t="str">
        <f>_xlfn.XLOOKUP($N209,'Base de Grupos'!$A:$A,'Base de Grupos'!$F:$F)</f>
        <v>1000065763</v>
      </c>
      <c r="E209" s="2" t="str">
        <f>_xlfn.XLOOKUP($N209,'Base de Grupos'!$A:$A,'Base de Grupos'!$G:$G)</f>
        <v>CANAL VENDA INTERNA</v>
      </c>
      <c r="F209" s="2" t="str">
        <f>_xlfn.XLOOKUP($N209,'Base de Grupos'!$A:$A,'Base de Grupos'!$H:$H)</f>
        <v>1000105900</v>
      </c>
      <c r="G209" s="5" t="str">
        <f>_xlfn.XLOOKUP($N209,'Base de Grupos'!$A:$A,'Base de Grupos'!$I:$I)</f>
        <v>REGIONAL VENDA DIRETA CO + NE + NO</v>
      </c>
      <c r="H209" s="5" t="str">
        <f>_xlfn.XLOOKUP($N209,'Base de Grupos'!$A:$A,'Base de Grupos'!$J:$J)</f>
        <v>1000105900</v>
      </c>
      <c r="I209" s="2" t="str">
        <f>_xlfn.XLOOKUP($N209,'Base de Grupos'!$A:$A,'Base de Grupos'!$K:$K)</f>
        <v>REGIONAL VENDA DIRETA CO + NE + NO</v>
      </c>
      <c r="J209" s="2" t="str">
        <f>_xlfn.XLOOKUP($N209,'Base de Grupos'!$A:$A,'Base de Grupos'!$L:$L)</f>
        <v>1000150135</v>
      </c>
      <c r="K209" s="5" t="str">
        <f>_xlfn.XLOOKUP($N209,'Base de Grupos'!$A:$A,'Base de Grupos'!$M:$M)</f>
        <v>HELDER DA SILVA BRUNKOW</v>
      </c>
      <c r="L209" s="5" t="str">
        <f t="shared" si="192"/>
        <v/>
      </c>
      <c r="M209" s="5" t="str">
        <f>_xlfn.XLOOKUP($N209,'Base de Grupos'!$A:$A,'Base de Grupos'!$C:$C)</f>
        <v>RR</v>
      </c>
      <c r="N209" s="3">
        <v>1348</v>
      </c>
      <c r="O209" s="4" t="s">
        <v>235</v>
      </c>
      <c r="P209" s="5" t="s">
        <v>86</v>
      </c>
      <c r="Q209" s="56">
        <v>0</v>
      </c>
      <c r="R209" s="56">
        <v>0</v>
      </c>
      <c r="S209" s="56">
        <v>0</v>
      </c>
      <c r="T209" s="56">
        <f>_xlfn.XLOOKUP($N209,'Calculo Leads'!$A$97:$A$134,'Calculo Leads'!G$97:G$134)*_xlfn.XLOOKUP($P209,'Base Grupo de Produtos'!$E$2:$E$18,'Base Grupo de Produtos'!$F$2:$F$18)</f>
        <v>30</v>
      </c>
      <c r="U209" s="56">
        <f>_xlfn.XLOOKUP($N209,'Calculo Leads'!$A$97:$A$134,'Calculo Leads'!H$97:H$134)*_xlfn.XLOOKUP($P209,'Base Grupo de Produtos'!$E$2:$E$18,'Base Grupo de Produtos'!$F$2:$F$18)</f>
        <v>30</v>
      </c>
      <c r="V209" s="56">
        <f>_xlfn.XLOOKUP($N209,'Calculo Leads'!$A$97:$A$134,'Calculo Leads'!I$97:I$134)*_xlfn.XLOOKUP($P209,'Base Grupo de Produtos'!$E$2:$E$18,'Base Grupo de Produtos'!$F$2:$F$18)</f>
        <v>30</v>
      </c>
      <c r="W209" s="56">
        <f>_xlfn.XLOOKUP($N209,'Calculo Leads'!$A$97:$A$134,'Calculo Leads'!J$97:J$134)*_xlfn.XLOOKUP($P209,'Base Grupo de Produtos'!$E$2:$E$18,'Base Grupo de Produtos'!$F$2:$F$18)</f>
        <v>30</v>
      </c>
      <c r="X209" s="56">
        <f>_xlfn.XLOOKUP($N209,'Calculo Leads'!$A$97:$A$134,'Calculo Leads'!K$97:K$134)*_xlfn.XLOOKUP($P209,'Base Grupo de Produtos'!$E$2:$E$18,'Base Grupo de Produtos'!$F$2:$F$18)</f>
        <v>33</v>
      </c>
      <c r="Y209" s="56">
        <f>_xlfn.XLOOKUP($N209,'Calculo Leads'!$A$97:$A$134,'Calculo Leads'!L$97:L$134)*_xlfn.XLOOKUP($P209,'Base Grupo de Produtos'!$E$2:$E$18,'Base Grupo de Produtos'!$F$2:$F$18)</f>
        <v>33</v>
      </c>
      <c r="Z209" s="56">
        <f>_xlfn.XLOOKUP($N209,'Calculo Leads'!$A$97:$A$134,'Calculo Leads'!M$97:M$134)*_xlfn.XLOOKUP($P209,'Base Grupo de Produtos'!$E$2:$E$18,'Base Grupo de Produtos'!$F$2:$F$18)</f>
        <v>33</v>
      </c>
      <c r="AA209" s="56">
        <f>_xlfn.XLOOKUP($N209,'Calculo Leads'!$A$97:$A$134,'Calculo Leads'!N$97:N$134)*_xlfn.XLOOKUP($P209,'Base Grupo de Produtos'!$E$2:$E$18,'Base Grupo de Produtos'!$F$2:$F$18)</f>
        <v>33</v>
      </c>
      <c r="AB209" s="56">
        <f>_xlfn.XLOOKUP($N209,'Calculo Leads'!$A$97:$A$134,'Calculo Leads'!O$97:O$134)*_xlfn.XLOOKUP($P209,'Base Grupo de Produtos'!$E$2:$E$18,'Base Grupo de Produtos'!$F$2:$F$18)</f>
        <v>33</v>
      </c>
      <c r="AC209" s="61">
        <f t="shared" si="212"/>
        <v>285</v>
      </c>
      <c r="AD209" s="27">
        <f t="shared" si="228"/>
        <v>285</v>
      </c>
      <c r="AE209" s="25">
        <f>IFERROR(_xlfn.XLOOKUP(N209&amp;P209,'Historico Vendas'!G:G,'Historico Vendas'!E:E),0)</f>
        <v>0</v>
      </c>
      <c r="AF209" s="29" t="str">
        <f t="shared" si="190"/>
        <v/>
      </c>
      <c r="AG209" s="24">
        <f>IFERROR(_xlfn.XLOOKUP(N209&amp;P209,'Historico Vendas'!G:G,'Historico Vendas'!F:F),0)</f>
        <v>0</v>
      </c>
      <c r="AH209" s="25">
        <f t="shared" si="229"/>
        <v>0</v>
      </c>
      <c r="AI209" s="24">
        <f t="shared" si="230"/>
        <v>0</v>
      </c>
      <c r="AJ209" s="11" t="str">
        <f t="shared" si="211"/>
        <v/>
      </c>
      <c r="AK209" s="9" t="s">
        <v>102</v>
      </c>
      <c r="AL209" s="13">
        <f>IFERROR(INDEX('Balizador da Meta'!$D$3:$F$23,MATCH(Faturamento!$P209,'Balizador da Meta'!$C$3:$C$23,0),MATCH(Faturamento!AK209,'Balizador da Meta'!$D$2:$F$2,0)),"")</f>
        <v>0.15</v>
      </c>
      <c r="AM209" s="9"/>
    </row>
    <row r="210" spans="1:39" x14ac:dyDescent="0.3">
      <c r="A210" s="2" t="str">
        <f t="shared" si="191"/>
        <v>NÃO</v>
      </c>
      <c r="B210" s="2" t="str">
        <f>_xlfn.XLOOKUP($N210,'Base de Grupos'!$A:$A,'Base de Grupos'!$D:$D)</f>
        <v>1000065763</v>
      </c>
      <c r="C210" s="5" t="str">
        <f>_xlfn.XLOOKUP($N210,'Base de Grupos'!$A:$A,'Base de Grupos'!$E:$E)</f>
        <v>CANAL VENDA INTERNA</v>
      </c>
      <c r="D210" s="5" t="str">
        <f>_xlfn.XLOOKUP($N210,'Base de Grupos'!$A:$A,'Base de Grupos'!$F:$F)</f>
        <v>1000065763</v>
      </c>
      <c r="E210" s="2" t="str">
        <f>_xlfn.XLOOKUP($N210,'Base de Grupos'!$A:$A,'Base de Grupos'!$G:$G)</f>
        <v>CANAL VENDA INTERNA</v>
      </c>
      <c r="F210" s="2" t="str">
        <f>_xlfn.XLOOKUP($N210,'Base de Grupos'!$A:$A,'Base de Grupos'!$H:$H)</f>
        <v>1000105900</v>
      </c>
      <c r="G210" s="5" t="str">
        <f>_xlfn.XLOOKUP($N210,'Base de Grupos'!$A:$A,'Base de Grupos'!$I:$I)</f>
        <v>REGIONAL VENDA DIRETA CO + NE + NO</v>
      </c>
      <c r="H210" s="5" t="str">
        <f>_xlfn.XLOOKUP($N210,'Base de Grupos'!$A:$A,'Base de Grupos'!$J:$J)</f>
        <v>1000105900</v>
      </c>
      <c r="I210" s="2" t="str">
        <f>_xlfn.XLOOKUP($N210,'Base de Grupos'!$A:$A,'Base de Grupos'!$K:$K)</f>
        <v>REGIONAL VENDA DIRETA CO + NE + NO</v>
      </c>
      <c r="J210" s="2" t="str">
        <f>_xlfn.XLOOKUP($N210,'Base de Grupos'!$A:$A,'Base de Grupos'!$L:$L)</f>
        <v>1000150135</v>
      </c>
      <c r="K210" s="5" t="str">
        <f>_xlfn.XLOOKUP($N210,'Base de Grupos'!$A:$A,'Base de Grupos'!$M:$M)</f>
        <v>HELDER DA SILVA BRUNKOW</v>
      </c>
      <c r="L210" s="5" t="str">
        <f t="shared" si="192"/>
        <v/>
      </c>
      <c r="M210" s="5" t="str">
        <f>_xlfn.XLOOKUP($N210,'Base de Grupos'!$A:$A,'Base de Grupos'!$C:$C)</f>
        <v>RR</v>
      </c>
      <c r="N210" s="3">
        <v>1348</v>
      </c>
      <c r="O210" s="4" t="s">
        <v>235</v>
      </c>
      <c r="P210" s="5" t="s">
        <v>108</v>
      </c>
      <c r="Q210" s="56">
        <v>0</v>
      </c>
      <c r="R210" s="56">
        <v>0</v>
      </c>
      <c r="S210" s="56">
        <v>0</v>
      </c>
      <c r="T210" s="56">
        <f>_xlfn.XLOOKUP($N210,'Calculo Leads'!$A$97:$A$134,'Calculo Leads'!G$97:G$134)*_xlfn.XLOOKUP($P210,'Base Grupo de Produtos'!$E$2:$E$18,'Base Grupo de Produtos'!$F$2:$F$18)</f>
        <v>250</v>
      </c>
      <c r="U210" s="56">
        <f>_xlfn.XLOOKUP($N210,'Calculo Leads'!$A$97:$A$134,'Calculo Leads'!H$97:H$134)*_xlfn.XLOOKUP($P210,'Base Grupo de Produtos'!$E$2:$E$18,'Base Grupo de Produtos'!$F$2:$F$18)</f>
        <v>250</v>
      </c>
      <c r="V210" s="56">
        <f>_xlfn.XLOOKUP($N210,'Calculo Leads'!$A$97:$A$134,'Calculo Leads'!I$97:I$134)*_xlfn.XLOOKUP($P210,'Base Grupo de Produtos'!$E$2:$E$18,'Base Grupo de Produtos'!$F$2:$F$18)</f>
        <v>250</v>
      </c>
      <c r="W210" s="56">
        <f>_xlfn.XLOOKUP($N210,'Calculo Leads'!$A$97:$A$134,'Calculo Leads'!J$97:J$134)*_xlfn.XLOOKUP($P210,'Base Grupo de Produtos'!$E$2:$E$18,'Base Grupo de Produtos'!$F$2:$F$18)</f>
        <v>250</v>
      </c>
      <c r="X210" s="56">
        <f>_xlfn.XLOOKUP($N210,'Calculo Leads'!$A$97:$A$134,'Calculo Leads'!K$97:K$134)*_xlfn.XLOOKUP($P210,'Base Grupo de Produtos'!$E$2:$E$18,'Base Grupo de Produtos'!$F$2:$F$18)</f>
        <v>275</v>
      </c>
      <c r="Y210" s="56">
        <f>_xlfn.XLOOKUP($N210,'Calculo Leads'!$A$97:$A$134,'Calculo Leads'!L$97:L$134)*_xlfn.XLOOKUP($P210,'Base Grupo de Produtos'!$E$2:$E$18,'Base Grupo de Produtos'!$F$2:$F$18)</f>
        <v>275</v>
      </c>
      <c r="Z210" s="56">
        <f>_xlfn.XLOOKUP($N210,'Calculo Leads'!$A$97:$A$134,'Calculo Leads'!M$97:M$134)*_xlfn.XLOOKUP($P210,'Base Grupo de Produtos'!$E$2:$E$18,'Base Grupo de Produtos'!$F$2:$F$18)</f>
        <v>275</v>
      </c>
      <c r="AA210" s="56">
        <f>_xlfn.XLOOKUP($N210,'Calculo Leads'!$A$97:$A$134,'Calculo Leads'!N$97:N$134)*_xlfn.XLOOKUP($P210,'Base Grupo de Produtos'!$E$2:$E$18,'Base Grupo de Produtos'!$F$2:$F$18)</f>
        <v>275</v>
      </c>
      <c r="AB210" s="56">
        <f>_xlfn.XLOOKUP($N210,'Calculo Leads'!$A$97:$A$134,'Calculo Leads'!O$97:O$134)*_xlfn.XLOOKUP($P210,'Base Grupo de Produtos'!$E$2:$E$18,'Base Grupo de Produtos'!$F$2:$F$18)</f>
        <v>275</v>
      </c>
      <c r="AC210" s="61">
        <f t="shared" si="212"/>
        <v>2375</v>
      </c>
      <c r="AD210" s="27">
        <f t="shared" si="228"/>
        <v>2375</v>
      </c>
      <c r="AE210" s="25">
        <f>IFERROR(_xlfn.XLOOKUP(N210&amp;P210,'Historico Vendas'!G:G,'Historico Vendas'!E:E),0)</f>
        <v>0</v>
      </c>
      <c r="AF210" s="29" t="str">
        <f t="shared" si="190"/>
        <v/>
      </c>
      <c r="AG210" s="24">
        <f>IFERROR(_xlfn.XLOOKUP(N210&amp;P210,'Historico Vendas'!G:G,'Historico Vendas'!F:F),0)</f>
        <v>0</v>
      </c>
      <c r="AH210" s="25">
        <f t="shared" si="229"/>
        <v>0</v>
      </c>
      <c r="AI210" s="24">
        <f t="shared" si="230"/>
        <v>0</v>
      </c>
      <c r="AJ210" s="11" t="str">
        <f t="shared" si="211"/>
        <v/>
      </c>
      <c r="AK210" s="9" t="s">
        <v>102</v>
      </c>
      <c r="AL210" s="13">
        <f>IFERROR(INDEX('Balizador da Meta'!$D$3:$F$23,MATCH(Faturamento!$P210,'Balizador da Meta'!$C$3:$C$23,0),MATCH(Faturamento!AK210,'Balizador da Meta'!$D$2:$F$2,0)),"")</f>
        <v>0</v>
      </c>
      <c r="AM210" s="9"/>
    </row>
    <row r="211" spans="1:39" x14ac:dyDescent="0.3">
      <c r="A211" s="2" t="str">
        <f t="shared" si="191"/>
        <v>NÃO</v>
      </c>
      <c r="B211" s="2" t="str">
        <f>_xlfn.XLOOKUP($N211,'Base de Grupos'!$A:$A,'Base de Grupos'!$D:$D)</f>
        <v>1000065763</v>
      </c>
      <c r="C211" s="5" t="str">
        <f>_xlfn.XLOOKUP($N211,'Base de Grupos'!$A:$A,'Base de Grupos'!$E:$E)</f>
        <v>CANAL VENDA INTERNA</v>
      </c>
      <c r="D211" s="5" t="str">
        <f>_xlfn.XLOOKUP($N211,'Base de Grupos'!$A:$A,'Base de Grupos'!$F:$F)</f>
        <v>1000065763</v>
      </c>
      <c r="E211" s="2" t="str">
        <f>_xlfn.XLOOKUP($N211,'Base de Grupos'!$A:$A,'Base de Grupos'!$G:$G)</f>
        <v>CANAL VENDA INTERNA</v>
      </c>
      <c r="F211" s="2" t="str">
        <f>_xlfn.XLOOKUP($N211,'Base de Grupos'!$A:$A,'Base de Grupos'!$H:$H)</f>
        <v>1000105900</v>
      </c>
      <c r="G211" s="5" t="str">
        <f>_xlfn.XLOOKUP($N211,'Base de Grupos'!$A:$A,'Base de Grupos'!$I:$I)</f>
        <v>REGIONAL VENDA DIRETA CO + NE + NO</v>
      </c>
      <c r="H211" s="5" t="str">
        <f>_xlfn.XLOOKUP($N211,'Base de Grupos'!$A:$A,'Base de Grupos'!$J:$J)</f>
        <v>1000105900</v>
      </c>
      <c r="I211" s="2" t="str">
        <f>_xlfn.XLOOKUP($N211,'Base de Grupos'!$A:$A,'Base de Grupos'!$K:$K)</f>
        <v>REGIONAL VENDA DIRETA CO + NE + NO</v>
      </c>
      <c r="J211" s="2" t="str">
        <f>_xlfn.XLOOKUP($N211,'Base de Grupos'!$A:$A,'Base de Grupos'!$L:$L)</f>
        <v>1000150135</v>
      </c>
      <c r="K211" s="5" t="str">
        <f>_xlfn.XLOOKUP($N211,'Base de Grupos'!$A:$A,'Base de Grupos'!$M:$M)</f>
        <v>HELDER DA SILVA BRUNKOW</v>
      </c>
      <c r="L211" s="5" t="str">
        <f t="shared" si="192"/>
        <v/>
      </c>
      <c r="M211" s="5" t="str">
        <f>_xlfn.XLOOKUP($N211,'Base de Grupos'!$A:$A,'Base de Grupos'!$C:$C)</f>
        <v>RR</v>
      </c>
      <c r="N211" s="3">
        <v>1348</v>
      </c>
      <c r="O211" s="4" t="s">
        <v>235</v>
      </c>
      <c r="P211" s="5" t="s">
        <v>89</v>
      </c>
      <c r="Q211" s="56">
        <v>0</v>
      </c>
      <c r="R211" s="56">
        <v>0</v>
      </c>
      <c r="S211" s="56">
        <v>0</v>
      </c>
      <c r="T211" s="56">
        <f>_xlfn.XLOOKUP($N211,'Calculo Leads'!$A$97:$A$134,'Calculo Leads'!G$97:G$134)*_xlfn.XLOOKUP($P211,'Base Grupo de Produtos'!$E$2:$E$18,'Base Grupo de Produtos'!$F$2:$F$18)</f>
        <v>50</v>
      </c>
      <c r="U211" s="56">
        <f>_xlfn.XLOOKUP($N211,'Calculo Leads'!$A$97:$A$134,'Calculo Leads'!H$97:H$134)*_xlfn.XLOOKUP($P211,'Base Grupo de Produtos'!$E$2:$E$18,'Base Grupo de Produtos'!$F$2:$F$18)</f>
        <v>50</v>
      </c>
      <c r="V211" s="56">
        <f>_xlfn.XLOOKUP($N211,'Calculo Leads'!$A$97:$A$134,'Calculo Leads'!I$97:I$134)*_xlfn.XLOOKUP($P211,'Base Grupo de Produtos'!$E$2:$E$18,'Base Grupo de Produtos'!$F$2:$F$18)</f>
        <v>50</v>
      </c>
      <c r="W211" s="56">
        <f>_xlfn.XLOOKUP($N211,'Calculo Leads'!$A$97:$A$134,'Calculo Leads'!J$97:J$134)*_xlfn.XLOOKUP($P211,'Base Grupo de Produtos'!$E$2:$E$18,'Base Grupo de Produtos'!$F$2:$F$18)</f>
        <v>50</v>
      </c>
      <c r="X211" s="56">
        <f>_xlfn.XLOOKUP($N211,'Calculo Leads'!$A$97:$A$134,'Calculo Leads'!K$97:K$134)*_xlfn.XLOOKUP($P211,'Base Grupo de Produtos'!$E$2:$E$18,'Base Grupo de Produtos'!$F$2:$F$18)</f>
        <v>55</v>
      </c>
      <c r="Y211" s="56">
        <f>_xlfn.XLOOKUP($N211,'Calculo Leads'!$A$97:$A$134,'Calculo Leads'!L$97:L$134)*_xlfn.XLOOKUP($P211,'Base Grupo de Produtos'!$E$2:$E$18,'Base Grupo de Produtos'!$F$2:$F$18)</f>
        <v>55</v>
      </c>
      <c r="Z211" s="56">
        <f>_xlfn.XLOOKUP($N211,'Calculo Leads'!$A$97:$A$134,'Calculo Leads'!M$97:M$134)*_xlfn.XLOOKUP($P211,'Base Grupo de Produtos'!$E$2:$E$18,'Base Grupo de Produtos'!$F$2:$F$18)</f>
        <v>55</v>
      </c>
      <c r="AA211" s="56">
        <f>_xlfn.XLOOKUP($N211,'Calculo Leads'!$A$97:$A$134,'Calculo Leads'!N$97:N$134)*_xlfn.XLOOKUP($P211,'Base Grupo de Produtos'!$E$2:$E$18,'Base Grupo de Produtos'!$F$2:$F$18)</f>
        <v>55</v>
      </c>
      <c r="AB211" s="56">
        <f>_xlfn.XLOOKUP($N211,'Calculo Leads'!$A$97:$A$134,'Calculo Leads'!O$97:O$134)*_xlfn.XLOOKUP($P211,'Base Grupo de Produtos'!$E$2:$E$18,'Base Grupo de Produtos'!$F$2:$F$18)</f>
        <v>55</v>
      </c>
      <c r="AC211" s="61">
        <f t="shared" si="212"/>
        <v>475</v>
      </c>
      <c r="AD211" s="27">
        <f t="shared" si="228"/>
        <v>475</v>
      </c>
      <c r="AE211" s="25">
        <f>IFERROR(_xlfn.XLOOKUP(N211&amp;P211,'Historico Vendas'!G:G,'Historico Vendas'!E:E),0)</f>
        <v>0</v>
      </c>
      <c r="AF211" s="29" t="str">
        <f t="shared" si="190"/>
        <v/>
      </c>
      <c r="AG211" s="24">
        <f>IFERROR(_xlfn.XLOOKUP(N211&amp;P211,'Historico Vendas'!G:G,'Historico Vendas'!F:F),0)</f>
        <v>0</v>
      </c>
      <c r="AH211" s="25">
        <f t="shared" si="229"/>
        <v>0</v>
      </c>
      <c r="AI211" s="24">
        <f t="shared" si="230"/>
        <v>0</v>
      </c>
      <c r="AJ211" s="11" t="str">
        <f t="shared" si="211"/>
        <v/>
      </c>
      <c r="AK211" s="9" t="s">
        <v>102</v>
      </c>
      <c r="AL211" s="13">
        <f>IFERROR(INDEX('Balizador da Meta'!$D$3:$F$23,MATCH(Faturamento!$P211,'Balizador da Meta'!$C$3:$C$23,0),MATCH(Faturamento!AK211,'Balizador da Meta'!$D$2:$F$2,0)),"")</f>
        <v>0.25</v>
      </c>
      <c r="AM211" s="9"/>
    </row>
    <row r="212" spans="1:39" x14ac:dyDescent="0.3">
      <c r="A212" s="2" t="str">
        <f t="shared" si="191"/>
        <v>NÃO</v>
      </c>
      <c r="B212" s="2" t="str">
        <f>_xlfn.XLOOKUP($N212,'Base de Grupos'!$A:$A,'Base de Grupos'!$D:$D)</f>
        <v>1000065763</v>
      </c>
      <c r="C212" s="5" t="str">
        <f>_xlfn.XLOOKUP($N212,'Base de Grupos'!$A:$A,'Base de Grupos'!$E:$E)</f>
        <v>CANAL VENDA INTERNA</v>
      </c>
      <c r="D212" s="5" t="str">
        <f>_xlfn.XLOOKUP($N212,'Base de Grupos'!$A:$A,'Base de Grupos'!$F:$F)</f>
        <v>1000065763</v>
      </c>
      <c r="E212" s="2" t="str">
        <f>_xlfn.XLOOKUP($N212,'Base de Grupos'!$A:$A,'Base de Grupos'!$G:$G)</f>
        <v>CANAL VENDA INTERNA</v>
      </c>
      <c r="F212" s="2" t="str">
        <f>_xlfn.XLOOKUP($N212,'Base de Grupos'!$A:$A,'Base de Grupos'!$H:$H)</f>
        <v>1000105900</v>
      </c>
      <c r="G212" s="5" t="str">
        <f>_xlfn.XLOOKUP($N212,'Base de Grupos'!$A:$A,'Base de Grupos'!$I:$I)</f>
        <v>REGIONAL VENDA DIRETA CO + NE + NO</v>
      </c>
      <c r="H212" s="5" t="str">
        <f>_xlfn.XLOOKUP($N212,'Base de Grupos'!$A:$A,'Base de Grupos'!$J:$J)</f>
        <v>1000105900</v>
      </c>
      <c r="I212" s="2" t="str">
        <f>_xlfn.XLOOKUP($N212,'Base de Grupos'!$A:$A,'Base de Grupos'!$K:$K)</f>
        <v>REGIONAL VENDA DIRETA CO + NE + NO</v>
      </c>
      <c r="J212" s="2" t="str">
        <f>_xlfn.XLOOKUP($N212,'Base de Grupos'!$A:$A,'Base de Grupos'!$L:$L)</f>
        <v>1000150135</v>
      </c>
      <c r="K212" s="5" t="str">
        <f>_xlfn.XLOOKUP($N212,'Base de Grupos'!$A:$A,'Base de Grupos'!$M:$M)</f>
        <v>HELDER DA SILVA BRUNKOW</v>
      </c>
      <c r="L212" s="5" t="str">
        <f t="shared" si="192"/>
        <v/>
      </c>
      <c r="M212" s="5" t="str">
        <f>_xlfn.XLOOKUP($N212,'Base de Grupos'!$A:$A,'Base de Grupos'!$C:$C)</f>
        <v>RR</v>
      </c>
      <c r="N212" s="3">
        <v>1348</v>
      </c>
      <c r="O212" s="4" t="s">
        <v>235</v>
      </c>
      <c r="P212" s="5" t="s">
        <v>88</v>
      </c>
      <c r="Q212" s="56">
        <v>0</v>
      </c>
      <c r="R212" s="56">
        <v>0</v>
      </c>
      <c r="S212" s="56">
        <v>0</v>
      </c>
      <c r="T212" s="56">
        <f>_xlfn.XLOOKUP($N212,'Calculo Leads'!$A$97:$A$134,'Calculo Leads'!G$97:G$134)*_xlfn.XLOOKUP($P212,'Base Grupo de Produtos'!$E$2:$E$18,'Base Grupo de Produtos'!$F$2:$F$18)</f>
        <v>50</v>
      </c>
      <c r="U212" s="56">
        <f>_xlfn.XLOOKUP($N212,'Calculo Leads'!$A$97:$A$134,'Calculo Leads'!H$97:H$134)*_xlfn.XLOOKUP($P212,'Base Grupo de Produtos'!$E$2:$E$18,'Base Grupo de Produtos'!$F$2:$F$18)</f>
        <v>50</v>
      </c>
      <c r="V212" s="56">
        <f>_xlfn.XLOOKUP($N212,'Calculo Leads'!$A$97:$A$134,'Calculo Leads'!I$97:I$134)*_xlfn.XLOOKUP($P212,'Base Grupo de Produtos'!$E$2:$E$18,'Base Grupo de Produtos'!$F$2:$F$18)</f>
        <v>50</v>
      </c>
      <c r="W212" s="56">
        <f>_xlfn.XLOOKUP($N212,'Calculo Leads'!$A$97:$A$134,'Calculo Leads'!J$97:J$134)*_xlfn.XLOOKUP($P212,'Base Grupo de Produtos'!$E$2:$E$18,'Base Grupo de Produtos'!$F$2:$F$18)</f>
        <v>50</v>
      </c>
      <c r="X212" s="56">
        <f>_xlfn.XLOOKUP($N212,'Calculo Leads'!$A$97:$A$134,'Calculo Leads'!K$97:K$134)*_xlfn.XLOOKUP($P212,'Base Grupo de Produtos'!$E$2:$E$18,'Base Grupo de Produtos'!$F$2:$F$18)</f>
        <v>55</v>
      </c>
      <c r="Y212" s="56">
        <f>_xlfn.XLOOKUP($N212,'Calculo Leads'!$A$97:$A$134,'Calculo Leads'!L$97:L$134)*_xlfn.XLOOKUP($P212,'Base Grupo de Produtos'!$E$2:$E$18,'Base Grupo de Produtos'!$F$2:$F$18)</f>
        <v>55</v>
      </c>
      <c r="Z212" s="56">
        <f>_xlfn.XLOOKUP($N212,'Calculo Leads'!$A$97:$A$134,'Calculo Leads'!M$97:M$134)*_xlfn.XLOOKUP($P212,'Base Grupo de Produtos'!$E$2:$E$18,'Base Grupo de Produtos'!$F$2:$F$18)</f>
        <v>55</v>
      </c>
      <c r="AA212" s="56">
        <f>_xlfn.XLOOKUP($N212,'Calculo Leads'!$A$97:$A$134,'Calculo Leads'!N$97:N$134)*_xlfn.XLOOKUP($P212,'Base Grupo de Produtos'!$E$2:$E$18,'Base Grupo de Produtos'!$F$2:$F$18)</f>
        <v>55</v>
      </c>
      <c r="AB212" s="56">
        <f>_xlfn.XLOOKUP($N212,'Calculo Leads'!$A$97:$A$134,'Calculo Leads'!O$97:O$134)*_xlfn.XLOOKUP($P212,'Base Grupo de Produtos'!$E$2:$E$18,'Base Grupo de Produtos'!$F$2:$F$18)</f>
        <v>55</v>
      </c>
      <c r="AC212" s="61">
        <f t="shared" si="212"/>
        <v>475</v>
      </c>
      <c r="AD212" s="27">
        <f t="shared" si="228"/>
        <v>475</v>
      </c>
      <c r="AE212" s="25">
        <f>IFERROR(_xlfn.XLOOKUP(N212&amp;P212,'Historico Vendas'!G:G,'Historico Vendas'!E:E),0)</f>
        <v>0</v>
      </c>
      <c r="AF212" s="29" t="str">
        <f t="shared" si="190"/>
        <v/>
      </c>
      <c r="AG212" s="24">
        <f>IFERROR(_xlfn.XLOOKUP(N212&amp;P212,'Historico Vendas'!G:G,'Historico Vendas'!F:F),0)</f>
        <v>0</v>
      </c>
      <c r="AH212" s="25">
        <f t="shared" si="229"/>
        <v>0</v>
      </c>
      <c r="AI212" s="24">
        <f t="shared" si="230"/>
        <v>0</v>
      </c>
      <c r="AJ212" s="11" t="str">
        <f t="shared" si="211"/>
        <v/>
      </c>
      <c r="AK212" s="9" t="s">
        <v>102</v>
      </c>
      <c r="AL212" s="13">
        <f>IFERROR(INDEX('Balizador da Meta'!$D$3:$F$23,MATCH(Faturamento!$P212,'Balizador da Meta'!$C$3:$C$23,0),MATCH(Faturamento!AK212,'Balizador da Meta'!$D$2:$F$2,0)),"")</f>
        <v>0</v>
      </c>
      <c r="AM212" s="9"/>
    </row>
    <row r="213" spans="1:39" x14ac:dyDescent="0.3">
      <c r="A213" s="2" t="str">
        <f t="shared" si="191"/>
        <v>NÃO</v>
      </c>
      <c r="B213" s="2" t="str">
        <f>_xlfn.XLOOKUP($N213,'Base de Grupos'!$A:$A,'Base de Grupos'!$D:$D)</f>
        <v>1000065763</v>
      </c>
      <c r="C213" s="5" t="str">
        <f>_xlfn.XLOOKUP($N213,'Base de Grupos'!$A:$A,'Base de Grupos'!$E:$E)</f>
        <v>CANAL VENDA INTERNA</v>
      </c>
      <c r="D213" s="5" t="str">
        <f>_xlfn.XLOOKUP($N213,'Base de Grupos'!$A:$A,'Base de Grupos'!$F:$F)</f>
        <v>1000065763</v>
      </c>
      <c r="E213" s="2" t="str">
        <f>_xlfn.XLOOKUP($N213,'Base de Grupos'!$A:$A,'Base de Grupos'!$G:$G)</f>
        <v>CANAL VENDA INTERNA</v>
      </c>
      <c r="F213" s="2" t="str">
        <f>_xlfn.XLOOKUP($N213,'Base de Grupos'!$A:$A,'Base de Grupos'!$H:$H)</f>
        <v>1000105900</v>
      </c>
      <c r="G213" s="5" t="str">
        <f>_xlfn.XLOOKUP($N213,'Base de Grupos'!$A:$A,'Base de Grupos'!$I:$I)</f>
        <v>REGIONAL VENDA DIRETA CO + NE + NO</v>
      </c>
      <c r="H213" s="5" t="str">
        <f>_xlfn.XLOOKUP($N213,'Base de Grupos'!$A:$A,'Base de Grupos'!$J:$J)</f>
        <v>1000105900</v>
      </c>
      <c r="I213" s="2" t="str">
        <f>_xlfn.XLOOKUP($N213,'Base de Grupos'!$A:$A,'Base de Grupos'!$K:$K)</f>
        <v>REGIONAL VENDA DIRETA CO + NE + NO</v>
      </c>
      <c r="J213" s="2" t="str">
        <f>_xlfn.XLOOKUP($N213,'Base de Grupos'!$A:$A,'Base de Grupos'!$L:$L)</f>
        <v>1000150135</v>
      </c>
      <c r="K213" s="5" t="str">
        <f>_xlfn.XLOOKUP($N213,'Base de Grupos'!$A:$A,'Base de Grupos'!$M:$M)</f>
        <v>HELDER DA SILVA BRUNKOW</v>
      </c>
      <c r="L213" s="5" t="str">
        <f t="shared" si="192"/>
        <v/>
      </c>
      <c r="M213" s="5" t="str">
        <f>_xlfn.XLOOKUP($N213,'Base de Grupos'!$A:$A,'Base de Grupos'!$C:$C)</f>
        <v>RR</v>
      </c>
      <c r="N213" s="3">
        <v>1348</v>
      </c>
      <c r="O213" s="4" t="s">
        <v>235</v>
      </c>
      <c r="P213" s="5" t="s">
        <v>90</v>
      </c>
      <c r="Q213" s="56">
        <v>0</v>
      </c>
      <c r="R213" s="56">
        <v>0</v>
      </c>
      <c r="S213" s="56">
        <v>0</v>
      </c>
      <c r="T213" s="56">
        <f>_xlfn.XLOOKUP($N213,'Calculo Leads'!$A$97:$A$134,'Calculo Leads'!G$97:G$134)*_xlfn.XLOOKUP($P213,'Base Grupo de Produtos'!$E$2:$E$18,'Base Grupo de Produtos'!$F$2:$F$18)</f>
        <v>50</v>
      </c>
      <c r="U213" s="56">
        <f>_xlfn.XLOOKUP($N213,'Calculo Leads'!$A$97:$A$134,'Calculo Leads'!H$97:H$134)*_xlfn.XLOOKUP($P213,'Base Grupo de Produtos'!$E$2:$E$18,'Base Grupo de Produtos'!$F$2:$F$18)</f>
        <v>50</v>
      </c>
      <c r="V213" s="56">
        <f>_xlfn.XLOOKUP($N213,'Calculo Leads'!$A$97:$A$134,'Calculo Leads'!I$97:I$134)*_xlfn.XLOOKUP($P213,'Base Grupo de Produtos'!$E$2:$E$18,'Base Grupo de Produtos'!$F$2:$F$18)</f>
        <v>50</v>
      </c>
      <c r="W213" s="56">
        <f>_xlfn.XLOOKUP($N213,'Calculo Leads'!$A$97:$A$134,'Calculo Leads'!J$97:J$134)*_xlfn.XLOOKUP($P213,'Base Grupo de Produtos'!$E$2:$E$18,'Base Grupo de Produtos'!$F$2:$F$18)</f>
        <v>50</v>
      </c>
      <c r="X213" s="56">
        <f>_xlfn.XLOOKUP($N213,'Calculo Leads'!$A$97:$A$134,'Calculo Leads'!K$97:K$134)*_xlfn.XLOOKUP($P213,'Base Grupo de Produtos'!$E$2:$E$18,'Base Grupo de Produtos'!$F$2:$F$18)</f>
        <v>55</v>
      </c>
      <c r="Y213" s="56">
        <f>_xlfn.XLOOKUP($N213,'Calculo Leads'!$A$97:$A$134,'Calculo Leads'!L$97:L$134)*_xlfn.XLOOKUP($P213,'Base Grupo de Produtos'!$E$2:$E$18,'Base Grupo de Produtos'!$F$2:$F$18)</f>
        <v>55</v>
      </c>
      <c r="Z213" s="56">
        <f>_xlfn.XLOOKUP($N213,'Calculo Leads'!$A$97:$A$134,'Calculo Leads'!M$97:M$134)*_xlfn.XLOOKUP($P213,'Base Grupo de Produtos'!$E$2:$E$18,'Base Grupo de Produtos'!$F$2:$F$18)</f>
        <v>55</v>
      </c>
      <c r="AA213" s="56">
        <f>_xlfn.XLOOKUP($N213,'Calculo Leads'!$A$97:$A$134,'Calculo Leads'!N$97:N$134)*_xlfn.XLOOKUP($P213,'Base Grupo de Produtos'!$E$2:$E$18,'Base Grupo de Produtos'!$F$2:$F$18)</f>
        <v>55</v>
      </c>
      <c r="AB213" s="56">
        <f>_xlfn.XLOOKUP($N213,'Calculo Leads'!$A$97:$A$134,'Calculo Leads'!O$97:O$134)*_xlfn.XLOOKUP($P213,'Base Grupo de Produtos'!$E$2:$E$18,'Base Grupo de Produtos'!$F$2:$F$18)</f>
        <v>55</v>
      </c>
      <c r="AC213" s="61">
        <f t="shared" si="212"/>
        <v>475</v>
      </c>
      <c r="AD213" s="27">
        <f t="shared" si="228"/>
        <v>475</v>
      </c>
      <c r="AE213" s="25">
        <f>IFERROR(_xlfn.XLOOKUP(N213&amp;P213,'Historico Vendas'!G:G,'Historico Vendas'!E:E),0)</f>
        <v>0</v>
      </c>
      <c r="AF213" s="29" t="str">
        <f t="shared" si="190"/>
        <v/>
      </c>
      <c r="AG213" s="24">
        <f>IFERROR(_xlfn.XLOOKUP(N213&amp;P213,'Historico Vendas'!G:G,'Historico Vendas'!F:F),0)</f>
        <v>0</v>
      </c>
      <c r="AH213" s="25">
        <f t="shared" si="229"/>
        <v>0</v>
      </c>
      <c r="AI213" s="24">
        <f t="shared" si="230"/>
        <v>0</v>
      </c>
      <c r="AJ213" s="11" t="str">
        <f t="shared" si="211"/>
        <v/>
      </c>
      <c r="AK213" s="9" t="s">
        <v>102</v>
      </c>
      <c r="AL213" s="13">
        <f>IFERROR(INDEX('Balizador da Meta'!$D$3:$F$23,MATCH(Faturamento!$P213,'Balizador da Meta'!$C$3:$C$23,0),MATCH(Faturamento!AK213,'Balizador da Meta'!$D$2:$F$2,0)),"")</f>
        <v>0</v>
      </c>
      <c r="AM213" s="9"/>
    </row>
    <row r="214" spans="1:39" x14ac:dyDescent="0.3">
      <c r="A214" s="2" t="str">
        <f t="shared" si="191"/>
        <v>NÃO</v>
      </c>
      <c r="B214" s="2" t="str">
        <f>_xlfn.XLOOKUP($N214,'Base de Grupos'!$A:$A,'Base de Grupos'!$D:$D)</f>
        <v>1000065763</v>
      </c>
      <c r="C214" s="5" t="str">
        <f>_xlfn.XLOOKUP($N214,'Base de Grupos'!$A:$A,'Base de Grupos'!$E:$E)</f>
        <v>CANAL VENDA INTERNA</v>
      </c>
      <c r="D214" s="5" t="str">
        <f>_xlfn.XLOOKUP($N214,'Base de Grupos'!$A:$A,'Base de Grupos'!$F:$F)</f>
        <v>1000065763</v>
      </c>
      <c r="E214" s="2" t="str">
        <f>_xlfn.XLOOKUP($N214,'Base de Grupos'!$A:$A,'Base de Grupos'!$G:$G)</f>
        <v>CANAL VENDA INTERNA</v>
      </c>
      <c r="F214" s="2" t="str">
        <f>_xlfn.XLOOKUP($N214,'Base de Grupos'!$A:$A,'Base de Grupos'!$H:$H)</f>
        <v>1000105900</v>
      </c>
      <c r="G214" s="5" t="str">
        <f>_xlfn.XLOOKUP($N214,'Base de Grupos'!$A:$A,'Base de Grupos'!$I:$I)</f>
        <v>REGIONAL VENDA DIRETA CO + NE + NO</v>
      </c>
      <c r="H214" s="5" t="str">
        <f>_xlfn.XLOOKUP($N214,'Base de Grupos'!$A:$A,'Base de Grupos'!$J:$J)</f>
        <v>1000105900</v>
      </c>
      <c r="I214" s="2" t="str">
        <f>_xlfn.XLOOKUP($N214,'Base de Grupos'!$A:$A,'Base de Grupos'!$K:$K)</f>
        <v>REGIONAL VENDA DIRETA CO + NE + NO</v>
      </c>
      <c r="J214" s="2" t="str">
        <f>_xlfn.XLOOKUP($N214,'Base de Grupos'!$A:$A,'Base de Grupos'!$L:$L)</f>
        <v>1000150135</v>
      </c>
      <c r="K214" s="5" t="str">
        <f>_xlfn.XLOOKUP($N214,'Base de Grupos'!$A:$A,'Base de Grupos'!$M:$M)</f>
        <v>HELDER DA SILVA BRUNKOW</v>
      </c>
      <c r="L214" s="5" t="str">
        <f t="shared" si="192"/>
        <v/>
      </c>
      <c r="M214" s="5" t="str">
        <f>_xlfn.XLOOKUP($N214,'Base de Grupos'!$A:$A,'Base de Grupos'!$C:$C)</f>
        <v>RR</v>
      </c>
      <c r="N214" s="3">
        <v>1348</v>
      </c>
      <c r="O214" s="4" t="s">
        <v>235</v>
      </c>
      <c r="P214" s="5" t="s">
        <v>91</v>
      </c>
      <c r="Q214" s="56">
        <v>0</v>
      </c>
      <c r="R214" s="56">
        <v>0</v>
      </c>
      <c r="S214" s="56">
        <v>0</v>
      </c>
      <c r="T214" s="56">
        <f>_xlfn.XLOOKUP($N214,'Calculo Leads'!$A$97:$A$134,'Calculo Leads'!G$97:G$134)*_xlfn.XLOOKUP($P214,'Base Grupo de Produtos'!$E$2:$E$18,'Base Grupo de Produtos'!$F$2:$F$18)</f>
        <v>0</v>
      </c>
      <c r="U214" s="56">
        <f>_xlfn.XLOOKUP($N214,'Calculo Leads'!$A$97:$A$134,'Calculo Leads'!H$97:H$134)*_xlfn.XLOOKUP($P214,'Base Grupo de Produtos'!$E$2:$E$18,'Base Grupo de Produtos'!$F$2:$F$18)</f>
        <v>0</v>
      </c>
      <c r="V214" s="56">
        <f>_xlfn.XLOOKUP($N214,'Calculo Leads'!$A$97:$A$134,'Calculo Leads'!I$97:I$134)*_xlfn.XLOOKUP($P214,'Base Grupo de Produtos'!$E$2:$E$18,'Base Grupo de Produtos'!$F$2:$F$18)</f>
        <v>0</v>
      </c>
      <c r="W214" s="56">
        <f>_xlfn.XLOOKUP($N214,'Calculo Leads'!$A$97:$A$134,'Calculo Leads'!J$97:J$134)*_xlfn.XLOOKUP($P214,'Base Grupo de Produtos'!$E$2:$E$18,'Base Grupo de Produtos'!$F$2:$F$18)</f>
        <v>0</v>
      </c>
      <c r="X214" s="56">
        <f>_xlfn.XLOOKUP($N214,'Calculo Leads'!$A$97:$A$134,'Calculo Leads'!K$97:K$134)*_xlfn.XLOOKUP($P214,'Base Grupo de Produtos'!$E$2:$E$18,'Base Grupo de Produtos'!$F$2:$F$18)</f>
        <v>0</v>
      </c>
      <c r="Y214" s="56">
        <f>_xlfn.XLOOKUP($N214,'Calculo Leads'!$A$97:$A$134,'Calculo Leads'!L$97:L$134)*_xlfn.XLOOKUP($P214,'Base Grupo de Produtos'!$E$2:$E$18,'Base Grupo de Produtos'!$F$2:$F$18)</f>
        <v>0</v>
      </c>
      <c r="Z214" s="56">
        <f>_xlfn.XLOOKUP($N214,'Calculo Leads'!$A$97:$A$134,'Calculo Leads'!M$97:M$134)*_xlfn.XLOOKUP($P214,'Base Grupo de Produtos'!$E$2:$E$18,'Base Grupo de Produtos'!$F$2:$F$18)</f>
        <v>0</v>
      </c>
      <c r="AA214" s="56">
        <f>_xlfn.XLOOKUP($N214,'Calculo Leads'!$A$97:$A$134,'Calculo Leads'!N$97:N$134)*_xlfn.XLOOKUP($P214,'Base Grupo de Produtos'!$E$2:$E$18,'Base Grupo de Produtos'!$F$2:$F$18)</f>
        <v>0</v>
      </c>
      <c r="AB214" s="56">
        <f>_xlfn.XLOOKUP($N214,'Calculo Leads'!$A$97:$A$134,'Calculo Leads'!O$97:O$134)*_xlfn.XLOOKUP($P214,'Base Grupo de Produtos'!$E$2:$E$18,'Base Grupo de Produtos'!$F$2:$F$18)</f>
        <v>0</v>
      </c>
      <c r="AC214" s="61">
        <f t="shared" si="212"/>
        <v>0</v>
      </c>
      <c r="AD214" s="27">
        <f t="shared" si="228"/>
        <v>0</v>
      </c>
      <c r="AE214" s="25">
        <f>IFERROR(_xlfn.XLOOKUP(N214&amp;P214,'Historico Vendas'!G:G,'Historico Vendas'!E:E),0)</f>
        <v>0</v>
      </c>
      <c r="AF214" s="29" t="str">
        <f t="shared" si="190"/>
        <v/>
      </c>
      <c r="AG214" s="24">
        <f>IFERROR(_xlfn.XLOOKUP(N214&amp;P214,'Historico Vendas'!G:G,'Historico Vendas'!F:F),0)</f>
        <v>0</v>
      </c>
      <c r="AH214" s="25">
        <f t="shared" si="229"/>
        <v>0</v>
      </c>
      <c r="AI214" s="24">
        <f t="shared" si="230"/>
        <v>0</v>
      </c>
      <c r="AJ214" s="11" t="str">
        <f t="shared" si="211"/>
        <v/>
      </c>
      <c r="AK214" s="9" t="s">
        <v>102</v>
      </c>
      <c r="AL214" s="13">
        <f>IFERROR(INDEX('Balizador da Meta'!$D$3:$F$23,MATCH(Faturamento!$P214,'Balizador da Meta'!$C$3:$C$23,0),MATCH(Faturamento!AK214,'Balizador da Meta'!$D$2:$F$2,0)),"")</f>
        <v>0</v>
      </c>
      <c r="AM214" s="9"/>
    </row>
    <row r="215" spans="1:39" x14ac:dyDescent="0.3">
      <c r="A215" s="2" t="str">
        <f t="shared" si="191"/>
        <v>NÃO</v>
      </c>
      <c r="B215" s="2" t="str">
        <f>_xlfn.XLOOKUP($N215,'Base de Grupos'!$A:$A,'Base de Grupos'!$D:$D)</f>
        <v>1000065763</v>
      </c>
      <c r="C215" s="5" t="str">
        <f>_xlfn.XLOOKUP($N215,'Base de Grupos'!$A:$A,'Base de Grupos'!$E:$E)</f>
        <v>CANAL VENDA INTERNA</v>
      </c>
      <c r="D215" s="5" t="str">
        <f>_xlfn.XLOOKUP($N215,'Base de Grupos'!$A:$A,'Base de Grupos'!$F:$F)</f>
        <v>1000065763</v>
      </c>
      <c r="E215" s="2" t="str">
        <f>_xlfn.XLOOKUP($N215,'Base de Grupos'!$A:$A,'Base de Grupos'!$G:$G)</f>
        <v>CANAL VENDA INTERNA</v>
      </c>
      <c r="F215" s="2" t="str">
        <f>_xlfn.XLOOKUP($N215,'Base de Grupos'!$A:$A,'Base de Grupos'!$H:$H)</f>
        <v>1000105900</v>
      </c>
      <c r="G215" s="5" t="str">
        <f>_xlfn.XLOOKUP($N215,'Base de Grupos'!$A:$A,'Base de Grupos'!$I:$I)</f>
        <v>REGIONAL VENDA DIRETA CO + NE + NO</v>
      </c>
      <c r="H215" s="5" t="str">
        <f>_xlfn.XLOOKUP($N215,'Base de Grupos'!$A:$A,'Base de Grupos'!$J:$J)</f>
        <v>1000105900</v>
      </c>
      <c r="I215" s="2" t="str">
        <f>_xlfn.XLOOKUP($N215,'Base de Grupos'!$A:$A,'Base de Grupos'!$K:$K)</f>
        <v>REGIONAL VENDA DIRETA CO + NE + NO</v>
      </c>
      <c r="J215" s="2" t="str">
        <f>_xlfn.XLOOKUP($N215,'Base de Grupos'!$A:$A,'Base de Grupos'!$L:$L)</f>
        <v>1000150135</v>
      </c>
      <c r="K215" s="5" t="str">
        <f>_xlfn.XLOOKUP($N215,'Base de Grupos'!$A:$A,'Base de Grupos'!$M:$M)</f>
        <v>HELDER DA SILVA BRUNKOW</v>
      </c>
      <c r="L215" s="5" t="str">
        <f t="shared" si="192"/>
        <v/>
      </c>
      <c r="M215" s="5" t="str">
        <f>_xlfn.XLOOKUP($N215,'Base de Grupos'!$A:$A,'Base de Grupos'!$C:$C)</f>
        <v>RR</v>
      </c>
      <c r="N215" s="3">
        <v>1348</v>
      </c>
      <c r="O215" s="4" t="s">
        <v>235</v>
      </c>
      <c r="P215" s="5" t="s">
        <v>96</v>
      </c>
      <c r="Q215" s="56">
        <v>0</v>
      </c>
      <c r="R215" s="56">
        <v>0</v>
      </c>
      <c r="S215" s="56">
        <v>0</v>
      </c>
      <c r="T215" s="56">
        <f>_xlfn.XLOOKUP($N215,'Calculo Leads'!$A$97:$A$134,'Calculo Leads'!G$97:G$134)*_xlfn.XLOOKUP($P215,'Base Grupo de Produtos'!$E$2:$E$18,'Base Grupo de Produtos'!$F$2:$F$18)</f>
        <v>70</v>
      </c>
      <c r="U215" s="56">
        <f>_xlfn.XLOOKUP($N215,'Calculo Leads'!$A$97:$A$134,'Calculo Leads'!H$97:H$134)*_xlfn.XLOOKUP($P215,'Base Grupo de Produtos'!$E$2:$E$18,'Base Grupo de Produtos'!$F$2:$F$18)</f>
        <v>70</v>
      </c>
      <c r="V215" s="56">
        <f>_xlfn.XLOOKUP($N215,'Calculo Leads'!$A$97:$A$134,'Calculo Leads'!I$97:I$134)*_xlfn.XLOOKUP($P215,'Base Grupo de Produtos'!$E$2:$E$18,'Base Grupo de Produtos'!$F$2:$F$18)</f>
        <v>70</v>
      </c>
      <c r="W215" s="56">
        <f>_xlfn.XLOOKUP($N215,'Calculo Leads'!$A$97:$A$134,'Calculo Leads'!J$97:J$134)*_xlfn.XLOOKUP($P215,'Base Grupo de Produtos'!$E$2:$E$18,'Base Grupo de Produtos'!$F$2:$F$18)</f>
        <v>70</v>
      </c>
      <c r="X215" s="56">
        <f>_xlfn.XLOOKUP($N215,'Calculo Leads'!$A$97:$A$134,'Calculo Leads'!K$97:K$134)*_xlfn.XLOOKUP($P215,'Base Grupo de Produtos'!$E$2:$E$18,'Base Grupo de Produtos'!$F$2:$F$18)</f>
        <v>77.000000000000014</v>
      </c>
      <c r="Y215" s="56">
        <f>_xlfn.XLOOKUP($N215,'Calculo Leads'!$A$97:$A$134,'Calculo Leads'!L$97:L$134)*_xlfn.XLOOKUP($P215,'Base Grupo de Produtos'!$E$2:$E$18,'Base Grupo de Produtos'!$F$2:$F$18)</f>
        <v>77.000000000000014</v>
      </c>
      <c r="Z215" s="56">
        <f>_xlfn.XLOOKUP($N215,'Calculo Leads'!$A$97:$A$134,'Calculo Leads'!M$97:M$134)*_xlfn.XLOOKUP($P215,'Base Grupo de Produtos'!$E$2:$E$18,'Base Grupo de Produtos'!$F$2:$F$18)</f>
        <v>77.000000000000014</v>
      </c>
      <c r="AA215" s="56">
        <f>_xlfn.XLOOKUP($N215,'Calculo Leads'!$A$97:$A$134,'Calculo Leads'!N$97:N$134)*_xlfn.XLOOKUP($P215,'Base Grupo de Produtos'!$E$2:$E$18,'Base Grupo de Produtos'!$F$2:$F$18)</f>
        <v>77.000000000000014</v>
      </c>
      <c r="AB215" s="56">
        <f>_xlfn.XLOOKUP($N215,'Calculo Leads'!$A$97:$A$134,'Calculo Leads'!O$97:O$134)*_xlfn.XLOOKUP($P215,'Base Grupo de Produtos'!$E$2:$E$18,'Base Grupo de Produtos'!$F$2:$F$18)</f>
        <v>77.000000000000014</v>
      </c>
      <c r="AC215" s="61">
        <f t="shared" si="212"/>
        <v>665</v>
      </c>
      <c r="AD215" s="27">
        <f t="shared" si="228"/>
        <v>665</v>
      </c>
      <c r="AE215" s="25">
        <f>IFERROR(_xlfn.XLOOKUP(N215&amp;P215,'Historico Vendas'!G:G,'Historico Vendas'!E:E),0)</f>
        <v>0</v>
      </c>
      <c r="AF215" s="29" t="str">
        <f t="shared" si="190"/>
        <v/>
      </c>
      <c r="AG215" s="24">
        <f>IFERROR(_xlfn.XLOOKUP(N215&amp;P215,'Historico Vendas'!G:G,'Historico Vendas'!F:F),0)</f>
        <v>0</v>
      </c>
      <c r="AH215" s="25">
        <f t="shared" si="229"/>
        <v>0</v>
      </c>
      <c r="AI215" s="24">
        <f t="shared" si="230"/>
        <v>0</v>
      </c>
      <c r="AJ215" s="11" t="str">
        <f t="shared" si="211"/>
        <v/>
      </c>
      <c r="AK215" s="9" t="s">
        <v>102</v>
      </c>
      <c r="AL215" s="13">
        <f>IFERROR(INDEX('Balizador da Meta'!$D$3:$F$23,MATCH(Faturamento!$P215,'Balizador da Meta'!$C$3:$C$23,0),MATCH(Faturamento!AK215,'Balizador da Meta'!$D$2:$F$2,0)),"")</f>
        <v>0</v>
      </c>
      <c r="AM215" s="9"/>
    </row>
    <row r="216" spans="1:39" x14ac:dyDescent="0.3">
      <c r="A216" s="2" t="str">
        <f t="shared" si="191"/>
        <v>NÃO</v>
      </c>
      <c r="B216" s="2" t="str">
        <f>_xlfn.XLOOKUP($N216,'Base de Grupos'!$A:$A,'Base de Grupos'!$D:$D)</f>
        <v>1000065763</v>
      </c>
      <c r="C216" s="5" t="str">
        <f>_xlfn.XLOOKUP($N216,'Base de Grupos'!$A:$A,'Base de Grupos'!$E:$E)</f>
        <v>CANAL VENDA INTERNA</v>
      </c>
      <c r="D216" s="5" t="str">
        <f>_xlfn.XLOOKUP($N216,'Base de Grupos'!$A:$A,'Base de Grupos'!$F:$F)</f>
        <v>1000065763</v>
      </c>
      <c r="E216" s="2" t="str">
        <f>_xlfn.XLOOKUP($N216,'Base de Grupos'!$A:$A,'Base de Grupos'!$G:$G)</f>
        <v>CANAL VENDA INTERNA</v>
      </c>
      <c r="F216" s="2" t="str">
        <f>_xlfn.XLOOKUP($N216,'Base de Grupos'!$A:$A,'Base de Grupos'!$H:$H)</f>
        <v>1000105900</v>
      </c>
      <c r="G216" s="5" t="str">
        <f>_xlfn.XLOOKUP($N216,'Base de Grupos'!$A:$A,'Base de Grupos'!$I:$I)</f>
        <v>REGIONAL VENDA DIRETA CO + NE + NO</v>
      </c>
      <c r="H216" s="5" t="str">
        <f>_xlfn.XLOOKUP($N216,'Base de Grupos'!$A:$A,'Base de Grupos'!$J:$J)</f>
        <v>1000105900</v>
      </c>
      <c r="I216" s="2" t="str">
        <f>_xlfn.XLOOKUP($N216,'Base de Grupos'!$A:$A,'Base de Grupos'!$K:$K)</f>
        <v>REGIONAL VENDA DIRETA CO + NE + NO</v>
      </c>
      <c r="J216" s="2" t="str">
        <f>_xlfn.XLOOKUP($N216,'Base de Grupos'!$A:$A,'Base de Grupos'!$L:$L)</f>
        <v>1000150135</v>
      </c>
      <c r="K216" s="5" t="str">
        <f>_xlfn.XLOOKUP($N216,'Base de Grupos'!$A:$A,'Base de Grupos'!$M:$M)</f>
        <v>HELDER DA SILVA BRUNKOW</v>
      </c>
      <c r="L216" s="5" t="str">
        <f t="shared" si="192"/>
        <v/>
      </c>
      <c r="M216" s="5" t="str">
        <f>_xlfn.XLOOKUP($N216,'Base de Grupos'!$A:$A,'Base de Grupos'!$C:$C)</f>
        <v>RR</v>
      </c>
      <c r="N216" s="3">
        <v>1348</v>
      </c>
      <c r="O216" s="4" t="s">
        <v>235</v>
      </c>
      <c r="P216" s="5" t="s">
        <v>94</v>
      </c>
      <c r="Q216" s="56">
        <v>0</v>
      </c>
      <c r="R216" s="56">
        <v>0</v>
      </c>
      <c r="S216" s="56">
        <v>0</v>
      </c>
      <c r="T216" s="56">
        <f>_xlfn.XLOOKUP($N216,'Calculo Leads'!$A$97:$A$134,'Calculo Leads'!G$97:G$134)*_xlfn.XLOOKUP($P216,'Base Grupo de Produtos'!$E$2:$E$18,'Base Grupo de Produtos'!$F$2:$F$18)</f>
        <v>49.999999999999993</v>
      </c>
      <c r="U216" s="56">
        <f>_xlfn.XLOOKUP($N216,'Calculo Leads'!$A$97:$A$134,'Calculo Leads'!H$97:H$134)*_xlfn.XLOOKUP($P216,'Base Grupo de Produtos'!$E$2:$E$18,'Base Grupo de Produtos'!$F$2:$F$18)</f>
        <v>49.999999999999993</v>
      </c>
      <c r="V216" s="56">
        <f>_xlfn.XLOOKUP($N216,'Calculo Leads'!$A$97:$A$134,'Calculo Leads'!I$97:I$134)*_xlfn.XLOOKUP($P216,'Base Grupo de Produtos'!$E$2:$E$18,'Base Grupo de Produtos'!$F$2:$F$18)</f>
        <v>49.999999999999993</v>
      </c>
      <c r="W216" s="56">
        <f>_xlfn.XLOOKUP($N216,'Calculo Leads'!$A$97:$A$134,'Calculo Leads'!J$97:J$134)*_xlfn.XLOOKUP($P216,'Base Grupo de Produtos'!$E$2:$E$18,'Base Grupo de Produtos'!$F$2:$F$18)</f>
        <v>49.999999999999993</v>
      </c>
      <c r="X216" s="56">
        <f>_xlfn.XLOOKUP($N216,'Calculo Leads'!$A$97:$A$134,'Calculo Leads'!K$97:K$134)*_xlfn.XLOOKUP($P216,'Base Grupo de Produtos'!$E$2:$E$18,'Base Grupo de Produtos'!$F$2:$F$18)</f>
        <v>54.999999999999993</v>
      </c>
      <c r="Y216" s="56">
        <f>_xlfn.XLOOKUP($N216,'Calculo Leads'!$A$97:$A$134,'Calculo Leads'!L$97:L$134)*_xlfn.XLOOKUP($P216,'Base Grupo de Produtos'!$E$2:$E$18,'Base Grupo de Produtos'!$F$2:$F$18)</f>
        <v>54.999999999999993</v>
      </c>
      <c r="Z216" s="56">
        <f>_xlfn.XLOOKUP($N216,'Calculo Leads'!$A$97:$A$134,'Calculo Leads'!M$97:M$134)*_xlfn.XLOOKUP($P216,'Base Grupo de Produtos'!$E$2:$E$18,'Base Grupo de Produtos'!$F$2:$F$18)</f>
        <v>54.999999999999993</v>
      </c>
      <c r="AA216" s="56">
        <f>_xlfn.XLOOKUP($N216,'Calculo Leads'!$A$97:$A$134,'Calculo Leads'!N$97:N$134)*_xlfn.XLOOKUP($P216,'Base Grupo de Produtos'!$E$2:$E$18,'Base Grupo de Produtos'!$F$2:$F$18)</f>
        <v>54.999999999999993</v>
      </c>
      <c r="AB216" s="56">
        <f>_xlfn.XLOOKUP($N216,'Calculo Leads'!$A$97:$A$134,'Calculo Leads'!O$97:O$134)*_xlfn.XLOOKUP($P216,'Base Grupo de Produtos'!$E$2:$E$18,'Base Grupo de Produtos'!$F$2:$F$18)</f>
        <v>54.999999999999993</v>
      </c>
      <c r="AC216" s="61">
        <f t="shared" si="212"/>
        <v>474.99999999999994</v>
      </c>
      <c r="AD216" s="27">
        <f t="shared" si="228"/>
        <v>474.99999999999994</v>
      </c>
      <c r="AE216" s="25">
        <f>IFERROR(_xlfn.XLOOKUP(N216&amp;P216,'Historico Vendas'!G:G,'Historico Vendas'!E:E),0)</f>
        <v>0</v>
      </c>
      <c r="AF216" s="29" t="str">
        <f t="shared" si="190"/>
        <v/>
      </c>
      <c r="AG216" s="24">
        <f>IFERROR(_xlfn.XLOOKUP(N216&amp;P216,'Historico Vendas'!G:G,'Historico Vendas'!F:F),0)</f>
        <v>0</v>
      </c>
      <c r="AH216" s="25">
        <f t="shared" si="229"/>
        <v>0</v>
      </c>
      <c r="AI216" s="24">
        <f t="shared" si="230"/>
        <v>0</v>
      </c>
      <c r="AJ216" s="11" t="str">
        <f t="shared" si="211"/>
        <v/>
      </c>
      <c r="AK216" s="9" t="s">
        <v>102</v>
      </c>
      <c r="AL216" s="13">
        <f>IFERROR(INDEX('Balizador da Meta'!$D$3:$F$23,MATCH(Faturamento!$P216,'Balizador da Meta'!$C$3:$C$23,0),MATCH(Faturamento!AK216,'Balizador da Meta'!$D$2:$F$2,0)),"")</f>
        <v>0.25</v>
      </c>
      <c r="AM216" s="9"/>
    </row>
    <row r="217" spans="1:39" x14ac:dyDescent="0.3">
      <c r="A217" s="2" t="str">
        <f t="shared" si="191"/>
        <v>NÃO</v>
      </c>
      <c r="B217" s="2" t="str">
        <f>_xlfn.XLOOKUP($N217,'Base de Grupos'!$A:$A,'Base de Grupos'!$D:$D)</f>
        <v>1000065763</v>
      </c>
      <c r="C217" s="5" t="str">
        <f>_xlfn.XLOOKUP($N217,'Base de Grupos'!$A:$A,'Base de Grupos'!$E:$E)</f>
        <v>CANAL VENDA INTERNA</v>
      </c>
      <c r="D217" s="5" t="str">
        <f>_xlfn.XLOOKUP($N217,'Base de Grupos'!$A:$A,'Base de Grupos'!$F:$F)</f>
        <v>1000065763</v>
      </c>
      <c r="E217" s="2" t="str">
        <f>_xlfn.XLOOKUP($N217,'Base de Grupos'!$A:$A,'Base de Grupos'!$G:$G)</f>
        <v>CANAL VENDA INTERNA</v>
      </c>
      <c r="F217" s="2" t="str">
        <f>_xlfn.XLOOKUP($N217,'Base de Grupos'!$A:$A,'Base de Grupos'!$H:$H)</f>
        <v>1000105900</v>
      </c>
      <c r="G217" s="5" t="str">
        <f>_xlfn.XLOOKUP($N217,'Base de Grupos'!$A:$A,'Base de Grupos'!$I:$I)</f>
        <v>REGIONAL VENDA DIRETA CO + NE + NO</v>
      </c>
      <c r="H217" s="5" t="str">
        <f>_xlfn.XLOOKUP($N217,'Base de Grupos'!$A:$A,'Base de Grupos'!$J:$J)</f>
        <v>1000105900</v>
      </c>
      <c r="I217" s="2" t="str">
        <f>_xlfn.XLOOKUP($N217,'Base de Grupos'!$A:$A,'Base de Grupos'!$K:$K)</f>
        <v>REGIONAL VENDA DIRETA CO + NE + NO</v>
      </c>
      <c r="J217" s="2" t="str">
        <f>_xlfn.XLOOKUP($N217,'Base de Grupos'!$A:$A,'Base de Grupos'!$L:$L)</f>
        <v>1000150135</v>
      </c>
      <c r="K217" s="5" t="str">
        <f>_xlfn.XLOOKUP($N217,'Base de Grupos'!$A:$A,'Base de Grupos'!$M:$M)</f>
        <v>HELDER DA SILVA BRUNKOW</v>
      </c>
      <c r="L217" s="5" t="str">
        <f t="shared" si="192"/>
        <v/>
      </c>
      <c r="M217" s="5" t="str">
        <f>_xlfn.XLOOKUP($N217,'Base de Grupos'!$A:$A,'Base de Grupos'!$C:$C)</f>
        <v>RR</v>
      </c>
      <c r="N217" s="3">
        <v>1348</v>
      </c>
      <c r="O217" s="4" t="s">
        <v>235</v>
      </c>
      <c r="P217" s="5" t="s">
        <v>95</v>
      </c>
      <c r="Q217" s="56">
        <v>0</v>
      </c>
      <c r="R217" s="56">
        <v>0</v>
      </c>
      <c r="S217" s="56">
        <v>0</v>
      </c>
      <c r="T217" s="56">
        <f>_xlfn.XLOOKUP($N217,'Calculo Leads'!$A$97:$A$134,'Calculo Leads'!G$97:G$134)*_xlfn.XLOOKUP($P217,'Base Grupo de Produtos'!$E$2:$E$18,'Base Grupo de Produtos'!$F$2:$F$18)</f>
        <v>80</v>
      </c>
      <c r="U217" s="56">
        <f>_xlfn.XLOOKUP($N217,'Calculo Leads'!$A$97:$A$134,'Calculo Leads'!H$97:H$134)*_xlfn.XLOOKUP($P217,'Base Grupo de Produtos'!$E$2:$E$18,'Base Grupo de Produtos'!$F$2:$F$18)</f>
        <v>80</v>
      </c>
      <c r="V217" s="56">
        <f>_xlfn.XLOOKUP($N217,'Calculo Leads'!$A$97:$A$134,'Calculo Leads'!I$97:I$134)*_xlfn.XLOOKUP($P217,'Base Grupo de Produtos'!$E$2:$E$18,'Base Grupo de Produtos'!$F$2:$F$18)</f>
        <v>80</v>
      </c>
      <c r="W217" s="56">
        <f>_xlfn.XLOOKUP($N217,'Calculo Leads'!$A$97:$A$134,'Calculo Leads'!J$97:J$134)*_xlfn.XLOOKUP($P217,'Base Grupo de Produtos'!$E$2:$E$18,'Base Grupo de Produtos'!$F$2:$F$18)</f>
        <v>80</v>
      </c>
      <c r="X217" s="56">
        <f>_xlfn.XLOOKUP($N217,'Calculo Leads'!$A$97:$A$134,'Calculo Leads'!K$97:K$134)*_xlfn.XLOOKUP($P217,'Base Grupo de Produtos'!$E$2:$E$18,'Base Grupo de Produtos'!$F$2:$F$18)</f>
        <v>88</v>
      </c>
      <c r="Y217" s="56">
        <f>_xlfn.XLOOKUP($N217,'Calculo Leads'!$A$97:$A$134,'Calculo Leads'!L$97:L$134)*_xlfn.XLOOKUP($P217,'Base Grupo de Produtos'!$E$2:$E$18,'Base Grupo de Produtos'!$F$2:$F$18)</f>
        <v>88</v>
      </c>
      <c r="Z217" s="56">
        <f>_xlfn.XLOOKUP($N217,'Calculo Leads'!$A$97:$A$134,'Calculo Leads'!M$97:M$134)*_xlfn.XLOOKUP($P217,'Base Grupo de Produtos'!$E$2:$E$18,'Base Grupo de Produtos'!$F$2:$F$18)</f>
        <v>88</v>
      </c>
      <c r="AA217" s="56">
        <f>_xlfn.XLOOKUP($N217,'Calculo Leads'!$A$97:$A$134,'Calculo Leads'!N$97:N$134)*_xlfn.XLOOKUP($P217,'Base Grupo de Produtos'!$E$2:$E$18,'Base Grupo de Produtos'!$F$2:$F$18)</f>
        <v>88</v>
      </c>
      <c r="AB217" s="56">
        <f>_xlfn.XLOOKUP($N217,'Calculo Leads'!$A$97:$A$134,'Calculo Leads'!O$97:O$134)*_xlfn.XLOOKUP($P217,'Base Grupo de Produtos'!$E$2:$E$18,'Base Grupo de Produtos'!$F$2:$F$18)</f>
        <v>88</v>
      </c>
      <c r="AC217" s="61">
        <f t="shared" si="212"/>
        <v>760</v>
      </c>
      <c r="AD217" s="27">
        <f t="shared" si="228"/>
        <v>760</v>
      </c>
      <c r="AE217" s="25">
        <f>IFERROR(_xlfn.XLOOKUP(N217&amp;P217,'Historico Vendas'!G:G,'Historico Vendas'!E:E),0)</f>
        <v>0</v>
      </c>
      <c r="AF217" s="29" t="str">
        <f t="shared" si="190"/>
        <v/>
      </c>
      <c r="AG217" s="24">
        <f>IFERROR(_xlfn.XLOOKUP(N217&amp;P217,'Historico Vendas'!G:G,'Historico Vendas'!F:F),0)</f>
        <v>0</v>
      </c>
      <c r="AH217" s="25">
        <f t="shared" si="229"/>
        <v>0</v>
      </c>
      <c r="AI217" s="24">
        <f t="shared" si="230"/>
        <v>0</v>
      </c>
      <c r="AJ217" s="11" t="str">
        <f t="shared" si="211"/>
        <v/>
      </c>
      <c r="AK217" s="9" t="s">
        <v>102</v>
      </c>
      <c r="AL217" s="13">
        <f>IFERROR(INDEX('Balizador da Meta'!$D$3:$F$23,MATCH(Faturamento!$P217,'Balizador da Meta'!$C$3:$C$23,0),MATCH(Faturamento!AK217,'Balizador da Meta'!$D$2:$F$2,0)),"")</f>
        <v>0.25</v>
      </c>
      <c r="AM217" s="9"/>
    </row>
    <row r="218" spans="1:39" x14ac:dyDescent="0.3">
      <c r="A218" s="2" t="str">
        <f t="shared" si="191"/>
        <v>NÃO</v>
      </c>
      <c r="B218" s="2" t="str">
        <f>_xlfn.XLOOKUP($N218,'Base de Grupos'!$A:$A,'Base de Grupos'!$D:$D)</f>
        <v>1000065763</v>
      </c>
      <c r="C218" s="5" t="str">
        <f>_xlfn.XLOOKUP($N218,'Base de Grupos'!$A:$A,'Base de Grupos'!$E:$E)</f>
        <v>CANAL VENDA INTERNA</v>
      </c>
      <c r="D218" s="5" t="str">
        <f>_xlfn.XLOOKUP($N218,'Base de Grupos'!$A:$A,'Base de Grupos'!$F:$F)</f>
        <v>1000065763</v>
      </c>
      <c r="E218" s="2" t="str">
        <f>_xlfn.XLOOKUP($N218,'Base de Grupos'!$A:$A,'Base de Grupos'!$G:$G)</f>
        <v>CANAL VENDA INTERNA</v>
      </c>
      <c r="F218" s="2" t="str">
        <f>_xlfn.XLOOKUP($N218,'Base de Grupos'!$A:$A,'Base de Grupos'!$H:$H)</f>
        <v>1000105900</v>
      </c>
      <c r="G218" s="5" t="str">
        <f>_xlfn.XLOOKUP($N218,'Base de Grupos'!$A:$A,'Base de Grupos'!$I:$I)</f>
        <v>REGIONAL VENDA DIRETA CO + NE + NO</v>
      </c>
      <c r="H218" s="5" t="str">
        <f>_xlfn.XLOOKUP($N218,'Base de Grupos'!$A:$A,'Base de Grupos'!$J:$J)</f>
        <v>1000105900</v>
      </c>
      <c r="I218" s="2" t="str">
        <f>_xlfn.XLOOKUP($N218,'Base de Grupos'!$A:$A,'Base de Grupos'!$K:$K)</f>
        <v>REGIONAL VENDA DIRETA CO + NE + NO</v>
      </c>
      <c r="J218" s="2" t="str">
        <f>_xlfn.XLOOKUP($N218,'Base de Grupos'!$A:$A,'Base de Grupos'!$L:$L)</f>
        <v>1000150135</v>
      </c>
      <c r="K218" s="5" t="str">
        <f>_xlfn.XLOOKUP($N218,'Base de Grupos'!$A:$A,'Base de Grupos'!$M:$M)</f>
        <v>HELDER DA SILVA BRUNKOW</v>
      </c>
      <c r="L218" s="5" t="str">
        <f t="shared" si="192"/>
        <v/>
      </c>
      <c r="M218" s="5" t="str">
        <f>_xlfn.XLOOKUP($N218,'Base de Grupos'!$A:$A,'Base de Grupos'!$C:$C)</f>
        <v>RR</v>
      </c>
      <c r="N218" s="3">
        <v>1348</v>
      </c>
      <c r="O218" s="4" t="s">
        <v>235</v>
      </c>
      <c r="P218" s="5" t="s">
        <v>93</v>
      </c>
      <c r="Q218" s="56">
        <v>0</v>
      </c>
      <c r="R218" s="56">
        <v>0</v>
      </c>
      <c r="S218" s="56">
        <v>0</v>
      </c>
      <c r="T218" s="56">
        <f>_xlfn.XLOOKUP($N218,'Calculo Leads'!$A$97:$A$134,'Calculo Leads'!G$97:G$134)*_xlfn.XLOOKUP($P218,'Base Grupo de Produtos'!$E$2:$E$18,'Base Grupo de Produtos'!$F$2:$F$18)</f>
        <v>30</v>
      </c>
      <c r="U218" s="56">
        <f>_xlfn.XLOOKUP($N218,'Calculo Leads'!$A$97:$A$134,'Calculo Leads'!H$97:H$134)*_xlfn.XLOOKUP($P218,'Base Grupo de Produtos'!$E$2:$E$18,'Base Grupo de Produtos'!$F$2:$F$18)</f>
        <v>30</v>
      </c>
      <c r="V218" s="56">
        <f>_xlfn.XLOOKUP($N218,'Calculo Leads'!$A$97:$A$134,'Calculo Leads'!I$97:I$134)*_xlfn.XLOOKUP($P218,'Base Grupo de Produtos'!$E$2:$E$18,'Base Grupo de Produtos'!$F$2:$F$18)</f>
        <v>30</v>
      </c>
      <c r="W218" s="56">
        <f>_xlfn.XLOOKUP($N218,'Calculo Leads'!$A$97:$A$134,'Calculo Leads'!J$97:J$134)*_xlfn.XLOOKUP($P218,'Base Grupo de Produtos'!$E$2:$E$18,'Base Grupo de Produtos'!$F$2:$F$18)</f>
        <v>30</v>
      </c>
      <c r="X218" s="56">
        <f>_xlfn.XLOOKUP($N218,'Calculo Leads'!$A$97:$A$134,'Calculo Leads'!K$97:K$134)*_xlfn.XLOOKUP($P218,'Base Grupo de Produtos'!$E$2:$E$18,'Base Grupo de Produtos'!$F$2:$F$18)</f>
        <v>33</v>
      </c>
      <c r="Y218" s="56">
        <f>_xlfn.XLOOKUP($N218,'Calculo Leads'!$A$97:$A$134,'Calculo Leads'!L$97:L$134)*_xlfn.XLOOKUP($P218,'Base Grupo de Produtos'!$E$2:$E$18,'Base Grupo de Produtos'!$F$2:$F$18)</f>
        <v>33</v>
      </c>
      <c r="Z218" s="56">
        <f>_xlfn.XLOOKUP($N218,'Calculo Leads'!$A$97:$A$134,'Calculo Leads'!M$97:M$134)*_xlfn.XLOOKUP($P218,'Base Grupo de Produtos'!$E$2:$E$18,'Base Grupo de Produtos'!$F$2:$F$18)</f>
        <v>33</v>
      </c>
      <c r="AA218" s="56">
        <f>_xlfn.XLOOKUP($N218,'Calculo Leads'!$A$97:$A$134,'Calculo Leads'!N$97:N$134)*_xlfn.XLOOKUP($P218,'Base Grupo de Produtos'!$E$2:$E$18,'Base Grupo de Produtos'!$F$2:$F$18)</f>
        <v>33</v>
      </c>
      <c r="AB218" s="56">
        <f>_xlfn.XLOOKUP($N218,'Calculo Leads'!$A$97:$A$134,'Calculo Leads'!O$97:O$134)*_xlfn.XLOOKUP($P218,'Base Grupo de Produtos'!$E$2:$E$18,'Base Grupo de Produtos'!$F$2:$F$18)</f>
        <v>33</v>
      </c>
      <c r="AC218" s="61">
        <f t="shared" si="212"/>
        <v>285</v>
      </c>
      <c r="AD218" s="27">
        <f t="shared" si="228"/>
        <v>285</v>
      </c>
      <c r="AE218" s="25">
        <f>IFERROR(_xlfn.XLOOKUP(N218&amp;P218,'Historico Vendas'!G:G,'Historico Vendas'!E:E),0)</f>
        <v>0</v>
      </c>
      <c r="AF218" s="29" t="str">
        <f t="shared" si="190"/>
        <v/>
      </c>
      <c r="AG218" s="24">
        <f>IFERROR(_xlfn.XLOOKUP(N218&amp;P218,'Historico Vendas'!G:G,'Historico Vendas'!F:F),0)</f>
        <v>0</v>
      </c>
      <c r="AH218" s="25">
        <f t="shared" si="229"/>
        <v>0</v>
      </c>
      <c r="AI218" s="24">
        <f t="shared" si="230"/>
        <v>0</v>
      </c>
      <c r="AJ218" s="11" t="str">
        <f t="shared" si="211"/>
        <v/>
      </c>
      <c r="AK218" s="9" t="s">
        <v>102</v>
      </c>
      <c r="AL218" s="13">
        <f>IFERROR(INDEX('Balizador da Meta'!$D$3:$F$23,MATCH(Faturamento!$P218,'Balizador da Meta'!$C$3:$C$23,0),MATCH(Faturamento!AK218,'Balizador da Meta'!$D$2:$F$2,0)),"")</f>
        <v>0.2</v>
      </c>
      <c r="AM218" s="9"/>
    </row>
    <row r="219" spans="1:39" x14ac:dyDescent="0.3">
      <c r="A219" s="2" t="str">
        <f t="shared" si="191"/>
        <v>SIM</v>
      </c>
      <c r="B219" s="2" t="str">
        <f>_xlfn.XLOOKUP($N219,'Base de Grupos'!$A:$A,'Base de Grupos'!$D:$D)</f>
        <v>1000065763</v>
      </c>
      <c r="C219" s="5" t="str">
        <f>_xlfn.XLOOKUP($N219,'Base de Grupos'!$A:$A,'Base de Grupos'!$E:$E)</f>
        <v>CANAL VENDA INTERNA</v>
      </c>
      <c r="D219" s="5" t="str">
        <f>_xlfn.XLOOKUP($N219,'Base de Grupos'!$A:$A,'Base de Grupos'!$F:$F)</f>
        <v>1000065763</v>
      </c>
      <c r="E219" s="2" t="str">
        <f>_xlfn.XLOOKUP($N219,'Base de Grupos'!$A:$A,'Base de Grupos'!$G:$G)</f>
        <v>CANAL VENDA INTERNA</v>
      </c>
      <c r="F219" s="2" t="str">
        <f>_xlfn.XLOOKUP($N219,'Base de Grupos'!$A:$A,'Base de Grupos'!$H:$H)</f>
        <v>1000153245</v>
      </c>
      <c r="G219" s="5" t="str">
        <f>_xlfn.XLOOKUP($N219,'Base de Grupos'!$A:$A,'Base de Grupos'!$I:$I)</f>
        <v>REGIONAL VENDA INTERNA - KEY ACCOUNT</v>
      </c>
      <c r="H219" s="5" t="str">
        <f>_xlfn.XLOOKUP($N219,'Base de Grupos'!$A:$A,'Base de Grupos'!$J:$J)</f>
        <v>1000153245</v>
      </c>
      <c r="I219" s="2" t="str">
        <f>_xlfn.XLOOKUP($N219,'Base de Grupos'!$A:$A,'Base de Grupos'!$K:$K)</f>
        <v>REGIONAL VENDA INTERNA - KEY ACCOUNT</v>
      </c>
      <c r="J219" s="2" t="str">
        <f>_xlfn.XLOOKUP($N219,'Base de Grupos'!$A:$A,'Base de Grupos'!$L:$L)</f>
        <v>1000153245</v>
      </c>
      <c r="K219" s="5" t="str">
        <f>_xlfn.XLOOKUP($N219,'Base de Grupos'!$A:$A,'Base de Grupos'!$M:$M)</f>
        <v>REGIONAL VENDA INTERNA - KEY ACCOUNT</v>
      </c>
      <c r="L219" s="5">
        <f t="shared" si="192"/>
        <v>1</v>
      </c>
      <c r="M219" s="5" t="str">
        <f>_xlfn.XLOOKUP($N219,'Base de Grupos'!$A:$A,'Base de Grupos'!$C:$C)</f>
        <v>PA</v>
      </c>
      <c r="N219" s="3">
        <v>1349</v>
      </c>
      <c r="O219" s="4" t="s">
        <v>236</v>
      </c>
      <c r="P219" s="5" t="s">
        <v>306</v>
      </c>
      <c r="Q219" s="56">
        <f t="shared" ref="Q219" si="231">SUM(Q220:Q236)</f>
        <v>0</v>
      </c>
      <c r="R219" s="56">
        <f t="shared" ref="R219" si="232">SUM(R220:R236)</f>
        <v>0</v>
      </c>
      <c r="S219" s="56">
        <f t="shared" ref="S219" si="233">SUM(S220:S236)</f>
        <v>0</v>
      </c>
      <c r="T219" s="56">
        <f t="shared" ref="T219" si="234">SUM(T220:T236)</f>
        <v>3000</v>
      </c>
      <c r="U219" s="56">
        <f t="shared" ref="U219" si="235">SUM(U220:U236)</f>
        <v>3000</v>
      </c>
      <c r="V219" s="56">
        <f t="shared" ref="V219" si="236">SUM(V220:V236)</f>
        <v>4000</v>
      </c>
      <c r="W219" s="56">
        <f t="shared" ref="W219" si="237">SUM(W220:W236)</f>
        <v>5000</v>
      </c>
      <c r="X219" s="56">
        <f t="shared" ref="X219" si="238">SUM(X220:X236)</f>
        <v>5500</v>
      </c>
      <c r="Y219" s="56">
        <f t="shared" ref="Y219" si="239">SUM(Y220:Y236)</f>
        <v>6600</v>
      </c>
      <c r="Z219" s="56">
        <f t="shared" ref="Z219" si="240">SUM(Z220:Z236)</f>
        <v>7700</v>
      </c>
      <c r="AA219" s="56">
        <f t="shared" ref="AA219" si="241">SUM(AA220:AA236)</f>
        <v>8800</v>
      </c>
      <c r="AB219" s="56">
        <f t="shared" ref="AB219" si="242">SUM(AB220:AB236)</f>
        <v>5500</v>
      </c>
      <c r="AC219" s="56">
        <f t="shared" ref="AC219" si="243">SUM(AC220:AC236)</f>
        <v>49100</v>
      </c>
      <c r="AD219" s="25">
        <f t="shared" ref="AD219" si="244">SUM(AD220:AD236)</f>
        <v>49100</v>
      </c>
      <c r="AE219" s="25">
        <f t="shared" ref="AE219:AI219" si="245">SUM(AE220:AE236)</f>
        <v>0</v>
      </c>
      <c r="AF219" s="11" t="str">
        <f t="shared" si="190"/>
        <v/>
      </c>
      <c r="AG219" s="24">
        <f t="shared" si="245"/>
        <v>0</v>
      </c>
      <c r="AH219" s="25">
        <f t="shared" si="245"/>
        <v>0</v>
      </c>
      <c r="AI219" s="24">
        <f t="shared" si="245"/>
        <v>0</v>
      </c>
      <c r="AJ219" s="11" t="str">
        <f t="shared" si="211"/>
        <v/>
      </c>
      <c r="AK219" s="9"/>
      <c r="AL219" s="13"/>
      <c r="AM219" s="9"/>
    </row>
    <row r="220" spans="1:39" x14ac:dyDescent="0.3">
      <c r="A220" s="2" t="str">
        <f t="shared" si="191"/>
        <v>NÃO</v>
      </c>
      <c r="B220" s="2" t="str">
        <f>_xlfn.XLOOKUP($N220,'Base de Grupos'!$A:$A,'Base de Grupos'!$D:$D)</f>
        <v>1000065763</v>
      </c>
      <c r="C220" s="5" t="str">
        <f>_xlfn.XLOOKUP($N220,'Base de Grupos'!$A:$A,'Base de Grupos'!$E:$E)</f>
        <v>CANAL VENDA INTERNA</v>
      </c>
      <c r="D220" s="5" t="str">
        <f>_xlfn.XLOOKUP($N220,'Base de Grupos'!$A:$A,'Base de Grupos'!$F:$F)</f>
        <v>1000065763</v>
      </c>
      <c r="E220" s="2" t="str">
        <f>_xlfn.XLOOKUP($N220,'Base de Grupos'!$A:$A,'Base de Grupos'!$G:$G)</f>
        <v>CANAL VENDA INTERNA</v>
      </c>
      <c r="F220" s="2" t="str">
        <f>_xlfn.XLOOKUP($N220,'Base de Grupos'!$A:$A,'Base de Grupos'!$H:$H)</f>
        <v>1000153245</v>
      </c>
      <c r="G220" s="5" t="str">
        <f>_xlfn.XLOOKUP($N220,'Base de Grupos'!$A:$A,'Base de Grupos'!$I:$I)</f>
        <v>REGIONAL VENDA INTERNA - KEY ACCOUNT</v>
      </c>
      <c r="H220" s="5" t="str">
        <f>_xlfn.XLOOKUP($N220,'Base de Grupos'!$A:$A,'Base de Grupos'!$J:$J)</f>
        <v>1000153245</v>
      </c>
      <c r="I220" s="2" t="str">
        <f>_xlfn.XLOOKUP($N220,'Base de Grupos'!$A:$A,'Base de Grupos'!$K:$K)</f>
        <v>REGIONAL VENDA INTERNA - KEY ACCOUNT</v>
      </c>
      <c r="J220" s="2" t="str">
        <f>_xlfn.XLOOKUP($N220,'Base de Grupos'!$A:$A,'Base de Grupos'!$L:$L)</f>
        <v>1000153245</v>
      </c>
      <c r="K220" s="5" t="str">
        <f>_xlfn.XLOOKUP($N220,'Base de Grupos'!$A:$A,'Base de Grupos'!$M:$M)</f>
        <v>REGIONAL VENDA INTERNA - KEY ACCOUNT</v>
      </c>
      <c r="L220" s="5" t="str">
        <f t="shared" si="192"/>
        <v/>
      </c>
      <c r="M220" s="5" t="str">
        <f>_xlfn.XLOOKUP($N220,'Base de Grupos'!$A:$A,'Base de Grupos'!$C:$C)</f>
        <v>PA</v>
      </c>
      <c r="N220" s="3">
        <v>1349</v>
      </c>
      <c r="O220" s="4" t="s">
        <v>236</v>
      </c>
      <c r="P220" s="5" t="s">
        <v>81</v>
      </c>
      <c r="Q220" s="56">
        <v>0</v>
      </c>
      <c r="R220" s="56">
        <v>0</v>
      </c>
      <c r="S220" s="56">
        <v>0</v>
      </c>
      <c r="T220" s="56">
        <f>_xlfn.XLOOKUP($N220,'Calculo Leads'!$A$97:$A$134,'Calculo Leads'!G$97:G$134)*_xlfn.XLOOKUP($P220,'Base Grupo de Produtos'!$E$2:$E$18,'Base Grupo de Produtos'!$F$2:$F$18)</f>
        <v>150</v>
      </c>
      <c r="U220" s="56">
        <f>_xlfn.XLOOKUP($N220,'Calculo Leads'!$A$97:$A$134,'Calculo Leads'!H$97:H$134)*_xlfn.XLOOKUP($P220,'Base Grupo de Produtos'!$E$2:$E$18,'Base Grupo de Produtos'!$F$2:$F$18)</f>
        <v>150</v>
      </c>
      <c r="V220" s="56">
        <f>_xlfn.XLOOKUP($N220,'Calculo Leads'!$A$97:$A$134,'Calculo Leads'!I$97:I$134)*_xlfn.XLOOKUP($P220,'Base Grupo de Produtos'!$E$2:$E$18,'Base Grupo de Produtos'!$F$2:$F$18)</f>
        <v>200</v>
      </c>
      <c r="W220" s="56">
        <f>_xlfn.XLOOKUP($N220,'Calculo Leads'!$A$97:$A$134,'Calculo Leads'!J$97:J$134)*_xlfn.XLOOKUP($P220,'Base Grupo de Produtos'!$E$2:$E$18,'Base Grupo de Produtos'!$F$2:$F$18)</f>
        <v>250</v>
      </c>
      <c r="X220" s="56">
        <f>_xlfn.XLOOKUP($N220,'Calculo Leads'!$A$97:$A$134,'Calculo Leads'!K$97:K$134)*_xlfn.XLOOKUP($P220,'Base Grupo de Produtos'!$E$2:$E$18,'Base Grupo de Produtos'!$F$2:$F$18)</f>
        <v>275</v>
      </c>
      <c r="Y220" s="56">
        <f>_xlfn.XLOOKUP($N220,'Calculo Leads'!$A$97:$A$134,'Calculo Leads'!L$97:L$134)*_xlfn.XLOOKUP($P220,'Base Grupo de Produtos'!$E$2:$E$18,'Base Grupo de Produtos'!$F$2:$F$18)</f>
        <v>330</v>
      </c>
      <c r="Z220" s="56">
        <f>_xlfn.XLOOKUP($N220,'Calculo Leads'!$A$97:$A$134,'Calculo Leads'!M$97:M$134)*_xlfn.XLOOKUP($P220,'Base Grupo de Produtos'!$E$2:$E$18,'Base Grupo de Produtos'!$F$2:$F$18)</f>
        <v>385</v>
      </c>
      <c r="AA220" s="56">
        <f>_xlfn.XLOOKUP($N220,'Calculo Leads'!$A$97:$A$134,'Calculo Leads'!N$97:N$134)*_xlfn.XLOOKUP($P220,'Base Grupo de Produtos'!$E$2:$E$18,'Base Grupo de Produtos'!$F$2:$F$18)</f>
        <v>440</v>
      </c>
      <c r="AB220" s="56">
        <f>_xlfn.XLOOKUP($N220,'Calculo Leads'!$A$97:$A$134,'Calculo Leads'!O$97:O$134)*_xlfn.XLOOKUP($P220,'Base Grupo de Produtos'!$E$2:$E$18,'Base Grupo de Produtos'!$F$2:$F$18)</f>
        <v>275</v>
      </c>
      <c r="AC220" s="61">
        <f t="shared" si="212"/>
        <v>2455</v>
      </c>
      <c r="AD220" s="27">
        <f t="shared" ref="AD220:AD236" si="246">IF(AC220=0,0,AC220-AG220)</f>
        <v>2455</v>
      </c>
      <c r="AE220" s="25">
        <f>IFERROR(_xlfn.XLOOKUP(N220&amp;P220,'Historico Vendas'!G:G,'Historico Vendas'!E:E),0)</f>
        <v>0</v>
      </c>
      <c r="AF220" s="29" t="str">
        <f t="shared" si="190"/>
        <v/>
      </c>
      <c r="AG220" s="24">
        <f>IFERROR(_xlfn.XLOOKUP(N220&amp;P220,'Historico Vendas'!G:G,'Historico Vendas'!F:F),0)</f>
        <v>0</v>
      </c>
      <c r="AH220" s="25">
        <f t="shared" ref="AH220:AH236" si="247">SUM(Q220:S220)</f>
        <v>0</v>
      </c>
      <c r="AI220" s="24">
        <f t="shared" ref="AI220:AI236" si="248">AH220-AG220</f>
        <v>0</v>
      </c>
      <c r="AJ220" s="11" t="str">
        <f t="shared" si="211"/>
        <v/>
      </c>
      <c r="AK220" s="9" t="s">
        <v>102</v>
      </c>
      <c r="AL220" s="13">
        <f>IFERROR(INDEX('Balizador da Meta'!$D$3:$F$23,MATCH(Faturamento!$P220,'Balizador da Meta'!$C$3:$C$23,0),MATCH(Faturamento!AK220,'Balizador da Meta'!$D$2:$F$2,0)),"")</f>
        <v>0.2</v>
      </c>
      <c r="AM220" s="9"/>
    </row>
    <row r="221" spans="1:39" x14ac:dyDescent="0.3">
      <c r="A221" s="2" t="str">
        <f t="shared" si="191"/>
        <v>NÃO</v>
      </c>
      <c r="B221" s="2" t="str">
        <f>_xlfn.XLOOKUP($N221,'Base de Grupos'!$A:$A,'Base de Grupos'!$D:$D)</f>
        <v>1000065763</v>
      </c>
      <c r="C221" s="5" t="str">
        <f>_xlfn.XLOOKUP($N221,'Base de Grupos'!$A:$A,'Base de Grupos'!$E:$E)</f>
        <v>CANAL VENDA INTERNA</v>
      </c>
      <c r="D221" s="5" t="str">
        <f>_xlfn.XLOOKUP($N221,'Base de Grupos'!$A:$A,'Base de Grupos'!$F:$F)</f>
        <v>1000065763</v>
      </c>
      <c r="E221" s="2" t="str">
        <f>_xlfn.XLOOKUP($N221,'Base de Grupos'!$A:$A,'Base de Grupos'!$G:$G)</f>
        <v>CANAL VENDA INTERNA</v>
      </c>
      <c r="F221" s="2" t="str">
        <f>_xlfn.XLOOKUP($N221,'Base de Grupos'!$A:$A,'Base de Grupos'!$H:$H)</f>
        <v>1000153245</v>
      </c>
      <c r="G221" s="5" t="str">
        <f>_xlfn.XLOOKUP($N221,'Base de Grupos'!$A:$A,'Base de Grupos'!$I:$I)</f>
        <v>REGIONAL VENDA INTERNA - KEY ACCOUNT</v>
      </c>
      <c r="H221" s="5" t="str">
        <f>_xlfn.XLOOKUP($N221,'Base de Grupos'!$A:$A,'Base de Grupos'!$J:$J)</f>
        <v>1000153245</v>
      </c>
      <c r="I221" s="2" t="str">
        <f>_xlfn.XLOOKUP($N221,'Base de Grupos'!$A:$A,'Base de Grupos'!$K:$K)</f>
        <v>REGIONAL VENDA INTERNA - KEY ACCOUNT</v>
      </c>
      <c r="J221" s="2" t="str">
        <f>_xlfn.XLOOKUP($N221,'Base de Grupos'!$A:$A,'Base de Grupos'!$L:$L)</f>
        <v>1000153245</v>
      </c>
      <c r="K221" s="5" t="str">
        <f>_xlfn.XLOOKUP($N221,'Base de Grupos'!$A:$A,'Base de Grupos'!$M:$M)</f>
        <v>REGIONAL VENDA INTERNA - KEY ACCOUNT</v>
      </c>
      <c r="L221" s="5" t="str">
        <f t="shared" si="192"/>
        <v/>
      </c>
      <c r="M221" s="5" t="str">
        <f>_xlfn.XLOOKUP($N221,'Base de Grupos'!$A:$A,'Base de Grupos'!$C:$C)</f>
        <v>PA</v>
      </c>
      <c r="N221" s="3">
        <v>1349</v>
      </c>
      <c r="O221" s="4" t="s">
        <v>236</v>
      </c>
      <c r="P221" s="5" t="s">
        <v>82</v>
      </c>
      <c r="Q221" s="56">
        <v>0</v>
      </c>
      <c r="R221" s="56">
        <v>0</v>
      </c>
      <c r="S221" s="56">
        <v>0</v>
      </c>
      <c r="T221" s="56">
        <f>_xlfn.XLOOKUP($N221,'Calculo Leads'!$A$97:$A$134,'Calculo Leads'!G$97:G$134)*_xlfn.XLOOKUP($P221,'Base Grupo de Produtos'!$E$2:$E$18,'Base Grupo de Produtos'!$F$2:$F$18)</f>
        <v>150</v>
      </c>
      <c r="U221" s="56">
        <f>_xlfn.XLOOKUP($N221,'Calculo Leads'!$A$97:$A$134,'Calculo Leads'!H$97:H$134)*_xlfn.XLOOKUP($P221,'Base Grupo de Produtos'!$E$2:$E$18,'Base Grupo de Produtos'!$F$2:$F$18)</f>
        <v>150</v>
      </c>
      <c r="V221" s="56">
        <f>_xlfn.XLOOKUP($N221,'Calculo Leads'!$A$97:$A$134,'Calculo Leads'!I$97:I$134)*_xlfn.XLOOKUP($P221,'Base Grupo de Produtos'!$E$2:$E$18,'Base Grupo de Produtos'!$F$2:$F$18)</f>
        <v>200</v>
      </c>
      <c r="W221" s="56">
        <f>_xlfn.XLOOKUP($N221,'Calculo Leads'!$A$97:$A$134,'Calculo Leads'!J$97:J$134)*_xlfn.XLOOKUP($P221,'Base Grupo de Produtos'!$E$2:$E$18,'Base Grupo de Produtos'!$F$2:$F$18)</f>
        <v>250</v>
      </c>
      <c r="X221" s="56">
        <f>_xlfn.XLOOKUP($N221,'Calculo Leads'!$A$97:$A$134,'Calculo Leads'!K$97:K$134)*_xlfn.XLOOKUP($P221,'Base Grupo de Produtos'!$E$2:$E$18,'Base Grupo de Produtos'!$F$2:$F$18)</f>
        <v>275</v>
      </c>
      <c r="Y221" s="56">
        <f>_xlfn.XLOOKUP($N221,'Calculo Leads'!$A$97:$A$134,'Calculo Leads'!L$97:L$134)*_xlfn.XLOOKUP($P221,'Base Grupo de Produtos'!$E$2:$E$18,'Base Grupo de Produtos'!$F$2:$F$18)</f>
        <v>330</v>
      </c>
      <c r="Z221" s="56">
        <f>_xlfn.XLOOKUP($N221,'Calculo Leads'!$A$97:$A$134,'Calculo Leads'!M$97:M$134)*_xlfn.XLOOKUP($P221,'Base Grupo de Produtos'!$E$2:$E$18,'Base Grupo de Produtos'!$F$2:$F$18)</f>
        <v>385</v>
      </c>
      <c r="AA221" s="56">
        <f>_xlfn.XLOOKUP($N221,'Calculo Leads'!$A$97:$A$134,'Calculo Leads'!N$97:N$134)*_xlfn.XLOOKUP($P221,'Base Grupo de Produtos'!$E$2:$E$18,'Base Grupo de Produtos'!$F$2:$F$18)</f>
        <v>440</v>
      </c>
      <c r="AB221" s="56">
        <f>_xlfn.XLOOKUP($N221,'Calculo Leads'!$A$97:$A$134,'Calculo Leads'!O$97:O$134)*_xlfn.XLOOKUP($P221,'Base Grupo de Produtos'!$E$2:$E$18,'Base Grupo de Produtos'!$F$2:$F$18)</f>
        <v>275</v>
      </c>
      <c r="AC221" s="61">
        <f t="shared" si="212"/>
        <v>2455</v>
      </c>
      <c r="AD221" s="27">
        <f t="shared" si="246"/>
        <v>2455</v>
      </c>
      <c r="AE221" s="25">
        <f>IFERROR(_xlfn.XLOOKUP(N221&amp;P221,'Historico Vendas'!G:G,'Historico Vendas'!E:E),0)</f>
        <v>0</v>
      </c>
      <c r="AF221" s="29" t="str">
        <f t="shared" si="190"/>
        <v/>
      </c>
      <c r="AG221" s="24">
        <f>IFERROR(_xlfn.XLOOKUP(N221&amp;P221,'Historico Vendas'!G:G,'Historico Vendas'!F:F),0)</f>
        <v>0</v>
      </c>
      <c r="AH221" s="25">
        <f t="shared" si="247"/>
        <v>0</v>
      </c>
      <c r="AI221" s="24">
        <f t="shared" si="248"/>
        <v>0</v>
      </c>
      <c r="AJ221" s="11" t="str">
        <f t="shared" si="211"/>
        <v/>
      </c>
      <c r="AK221" s="9" t="s">
        <v>102</v>
      </c>
      <c r="AL221" s="13">
        <f>IFERROR(INDEX('Balizador da Meta'!$D$3:$F$23,MATCH(Faturamento!$P221,'Balizador da Meta'!$C$3:$C$23,0),MATCH(Faturamento!AK221,'Balizador da Meta'!$D$2:$F$2,0)),"")</f>
        <v>0.2</v>
      </c>
      <c r="AM221" s="9"/>
    </row>
    <row r="222" spans="1:39" x14ac:dyDescent="0.3">
      <c r="A222" s="2" t="str">
        <f t="shared" si="191"/>
        <v>NÃO</v>
      </c>
      <c r="B222" s="2" t="str">
        <f>_xlfn.XLOOKUP($N222,'Base de Grupos'!$A:$A,'Base de Grupos'!$D:$D)</f>
        <v>1000065763</v>
      </c>
      <c r="C222" s="5" t="str">
        <f>_xlfn.XLOOKUP($N222,'Base de Grupos'!$A:$A,'Base de Grupos'!$E:$E)</f>
        <v>CANAL VENDA INTERNA</v>
      </c>
      <c r="D222" s="5" t="str">
        <f>_xlfn.XLOOKUP($N222,'Base de Grupos'!$A:$A,'Base de Grupos'!$F:$F)</f>
        <v>1000065763</v>
      </c>
      <c r="E222" s="2" t="str">
        <f>_xlfn.XLOOKUP($N222,'Base de Grupos'!$A:$A,'Base de Grupos'!$G:$G)</f>
        <v>CANAL VENDA INTERNA</v>
      </c>
      <c r="F222" s="2" t="str">
        <f>_xlfn.XLOOKUP($N222,'Base de Grupos'!$A:$A,'Base de Grupos'!$H:$H)</f>
        <v>1000153245</v>
      </c>
      <c r="G222" s="5" t="str">
        <f>_xlfn.XLOOKUP($N222,'Base de Grupos'!$A:$A,'Base de Grupos'!$I:$I)</f>
        <v>REGIONAL VENDA INTERNA - KEY ACCOUNT</v>
      </c>
      <c r="H222" s="5" t="str">
        <f>_xlfn.XLOOKUP($N222,'Base de Grupos'!$A:$A,'Base de Grupos'!$J:$J)</f>
        <v>1000153245</v>
      </c>
      <c r="I222" s="2" t="str">
        <f>_xlfn.XLOOKUP($N222,'Base de Grupos'!$A:$A,'Base de Grupos'!$K:$K)</f>
        <v>REGIONAL VENDA INTERNA - KEY ACCOUNT</v>
      </c>
      <c r="J222" s="2" t="str">
        <f>_xlfn.XLOOKUP($N222,'Base de Grupos'!$A:$A,'Base de Grupos'!$L:$L)</f>
        <v>1000153245</v>
      </c>
      <c r="K222" s="5" t="str">
        <f>_xlfn.XLOOKUP($N222,'Base de Grupos'!$A:$A,'Base de Grupos'!$M:$M)</f>
        <v>REGIONAL VENDA INTERNA - KEY ACCOUNT</v>
      </c>
      <c r="L222" s="5" t="str">
        <f t="shared" si="192"/>
        <v/>
      </c>
      <c r="M222" s="5" t="str">
        <f>_xlfn.XLOOKUP($N222,'Base de Grupos'!$A:$A,'Base de Grupos'!$C:$C)</f>
        <v>PA</v>
      </c>
      <c r="N222" s="3">
        <v>1349</v>
      </c>
      <c r="O222" s="4" t="s">
        <v>236</v>
      </c>
      <c r="P222" s="5" t="s">
        <v>84</v>
      </c>
      <c r="Q222" s="56">
        <v>0</v>
      </c>
      <c r="R222" s="56">
        <v>0</v>
      </c>
      <c r="S222" s="56">
        <v>0</v>
      </c>
      <c r="T222" s="56">
        <f>_xlfn.XLOOKUP($N222,'Calculo Leads'!$A$97:$A$134,'Calculo Leads'!G$97:G$134)*_xlfn.XLOOKUP($P222,'Base Grupo de Produtos'!$E$2:$E$18,'Base Grupo de Produtos'!$F$2:$F$18)</f>
        <v>240</v>
      </c>
      <c r="U222" s="56">
        <f>_xlfn.XLOOKUP($N222,'Calculo Leads'!$A$97:$A$134,'Calculo Leads'!H$97:H$134)*_xlfn.XLOOKUP($P222,'Base Grupo de Produtos'!$E$2:$E$18,'Base Grupo de Produtos'!$F$2:$F$18)</f>
        <v>240</v>
      </c>
      <c r="V222" s="56">
        <f>_xlfn.XLOOKUP($N222,'Calculo Leads'!$A$97:$A$134,'Calculo Leads'!I$97:I$134)*_xlfn.XLOOKUP($P222,'Base Grupo de Produtos'!$E$2:$E$18,'Base Grupo de Produtos'!$F$2:$F$18)</f>
        <v>320</v>
      </c>
      <c r="W222" s="56">
        <f>_xlfn.XLOOKUP($N222,'Calculo Leads'!$A$97:$A$134,'Calculo Leads'!J$97:J$134)*_xlfn.XLOOKUP($P222,'Base Grupo de Produtos'!$E$2:$E$18,'Base Grupo de Produtos'!$F$2:$F$18)</f>
        <v>400</v>
      </c>
      <c r="X222" s="56">
        <f>_xlfn.XLOOKUP($N222,'Calculo Leads'!$A$97:$A$134,'Calculo Leads'!K$97:K$134)*_xlfn.XLOOKUP($P222,'Base Grupo de Produtos'!$E$2:$E$18,'Base Grupo de Produtos'!$F$2:$F$18)</f>
        <v>440</v>
      </c>
      <c r="Y222" s="56">
        <f>_xlfn.XLOOKUP($N222,'Calculo Leads'!$A$97:$A$134,'Calculo Leads'!L$97:L$134)*_xlfn.XLOOKUP($P222,'Base Grupo de Produtos'!$E$2:$E$18,'Base Grupo de Produtos'!$F$2:$F$18)</f>
        <v>528</v>
      </c>
      <c r="Z222" s="56">
        <f>_xlfn.XLOOKUP($N222,'Calculo Leads'!$A$97:$A$134,'Calculo Leads'!M$97:M$134)*_xlfn.XLOOKUP($P222,'Base Grupo de Produtos'!$E$2:$E$18,'Base Grupo de Produtos'!$F$2:$F$18)</f>
        <v>616</v>
      </c>
      <c r="AA222" s="56">
        <f>_xlfn.XLOOKUP($N222,'Calculo Leads'!$A$97:$A$134,'Calculo Leads'!N$97:N$134)*_xlfn.XLOOKUP($P222,'Base Grupo de Produtos'!$E$2:$E$18,'Base Grupo de Produtos'!$F$2:$F$18)</f>
        <v>704</v>
      </c>
      <c r="AB222" s="56">
        <f>_xlfn.XLOOKUP($N222,'Calculo Leads'!$A$97:$A$134,'Calculo Leads'!O$97:O$134)*_xlfn.XLOOKUP($P222,'Base Grupo de Produtos'!$E$2:$E$18,'Base Grupo de Produtos'!$F$2:$F$18)</f>
        <v>440</v>
      </c>
      <c r="AC222" s="61">
        <f t="shared" si="212"/>
        <v>3928</v>
      </c>
      <c r="AD222" s="27">
        <f t="shared" si="246"/>
        <v>3928</v>
      </c>
      <c r="AE222" s="25">
        <f>IFERROR(_xlfn.XLOOKUP(N222&amp;P222,'Historico Vendas'!G:G,'Historico Vendas'!E:E),0)</f>
        <v>0</v>
      </c>
      <c r="AF222" s="29" t="str">
        <f t="shared" si="190"/>
        <v/>
      </c>
      <c r="AG222" s="24">
        <f>IFERROR(_xlfn.XLOOKUP(N222&amp;P222,'Historico Vendas'!G:G,'Historico Vendas'!F:F),0)</f>
        <v>0</v>
      </c>
      <c r="AH222" s="25">
        <f t="shared" si="247"/>
        <v>0</v>
      </c>
      <c r="AI222" s="24">
        <f t="shared" si="248"/>
        <v>0</v>
      </c>
      <c r="AJ222" s="11" t="str">
        <f t="shared" si="211"/>
        <v/>
      </c>
      <c r="AK222" s="9" t="s">
        <v>102</v>
      </c>
      <c r="AL222" s="13">
        <f>IFERROR(INDEX('Balizador da Meta'!$D$3:$F$23,MATCH(Faturamento!$P222,'Balizador da Meta'!$C$3:$C$23,0),MATCH(Faturamento!AK222,'Balizador da Meta'!$D$2:$F$2,0)),"")</f>
        <v>0.15</v>
      </c>
      <c r="AM222" s="9"/>
    </row>
    <row r="223" spans="1:39" x14ac:dyDescent="0.3">
      <c r="A223" s="2" t="str">
        <f t="shared" si="191"/>
        <v>NÃO</v>
      </c>
      <c r="B223" s="2" t="str">
        <f>_xlfn.XLOOKUP($N223,'Base de Grupos'!$A:$A,'Base de Grupos'!$D:$D)</f>
        <v>1000065763</v>
      </c>
      <c r="C223" s="5" t="str">
        <f>_xlfn.XLOOKUP($N223,'Base de Grupos'!$A:$A,'Base de Grupos'!$E:$E)</f>
        <v>CANAL VENDA INTERNA</v>
      </c>
      <c r="D223" s="5" t="str">
        <f>_xlfn.XLOOKUP($N223,'Base de Grupos'!$A:$A,'Base de Grupos'!$F:$F)</f>
        <v>1000065763</v>
      </c>
      <c r="E223" s="2" t="str">
        <f>_xlfn.XLOOKUP($N223,'Base de Grupos'!$A:$A,'Base de Grupos'!$G:$G)</f>
        <v>CANAL VENDA INTERNA</v>
      </c>
      <c r="F223" s="2" t="str">
        <f>_xlfn.XLOOKUP($N223,'Base de Grupos'!$A:$A,'Base de Grupos'!$H:$H)</f>
        <v>1000153245</v>
      </c>
      <c r="G223" s="5" t="str">
        <f>_xlfn.XLOOKUP($N223,'Base de Grupos'!$A:$A,'Base de Grupos'!$I:$I)</f>
        <v>REGIONAL VENDA INTERNA - KEY ACCOUNT</v>
      </c>
      <c r="H223" s="5" t="str">
        <f>_xlfn.XLOOKUP($N223,'Base de Grupos'!$A:$A,'Base de Grupos'!$J:$J)</f>
        <v>1000153245</v>
      </c>
      <c r="I223" s="2" t="str">
        <f>_xlfn.XLOOKUP($N223,'Base de Grupos'!$A:$A,'Base de Grupos'!$K:$K)</f>
        <v>REGIONAL VENDA INTERNA - KEY ACCOUNT</v>
      </c>
      <c r="J223" s="2" t="str">
        <f>_xlfn.XLOOKUP($N223,'Base de Grupos'!$A:$A,'Base de Grupos'!$L:$L)</f>
        <v>1000153245</v>
      </c>
      <c r="K223" s="5" t="str">
        <f>_xlfn.XLOOKUP($N223,'Base de Grupos'!$A:$A,'Base de Grupos'!$M:$M)</f>
        <v>REGIONAL VENDA INTERNA - KEY ACCOUNT</v>
      </c>
      <c r="L223" s="5" t="str">
        <f t="shared" si="192"/>
        <v/>
      </c>
      <c r="M223" s="5" t="str">
        <f>_xlfn.XLOOKUP($N223,'Base de Grupos'!$A:$A,'Base de Grupos'!$C:$C)</f>
        <v>PA</v>
      </c>
      <c r="N223" s="3">
        <v>1349</v>
      </c>
      <c r="O223" s="4" t="s">
        <v>236</v>
      </c>
      <c r="P223" s="5" t="s">
        <v>83</v>
      </c>
      <c r="Q223" s="56">
        <v>0</v>
      </c>
      <c r="R223" s="56">
        <v>0</v>
      </c>
      <c r="S223" s="56">
        <v>0</v>
      </c>
      <c r="T223" s="56">
        <f>_xlfn.XLOOKUP($N223,'Calculo Leads'!$A$97:$A$134,'Calculo Leads'!G$97:G$134)*_xlfn.XLOOKUP($P223,'Base Grupo de Produtos'!$E$2:$E$18,'Base Grupo de Produtos'!$F$2:$F$18)</f>
        <v>300</v>
      </c>
      <c r="U223" s="56">
        <f>_xlfn.XLOOKUP($N223,'Calculo Leads'!$A$97:$A$134,'Calculo Leads'!H$97:H$134)*_xlfn.XLOOKUP($P223,'Base Grupo de Produtos'!$E$2:$E$18,'Base Grupo de Produtos'!$F$2:$F$18)</f>
        <v>300</v>
      </c>
      <c r="V223" s="56">
        <f>_xlfn.XLOOKUP($N223,'Calculo Leads'!$A$97:$A$134,'Calculo Leads'!I$97:I$134)*_xlfn.XLOOKUP($P223,'Base Grupo de Produtos'!$E$2:$E$18,'Base Grupo de Produtos'!$F$2:$F$18)</f>
        <v>400</v>
      </c>
      <c r="W223" s="56">
        <f>_xlfn.XLOOKUP($N223,'Calculo Leads'!$A$97:$A$134,'Calculo Leads'!J$97:J$134)*_xlfn.XLOOKUP($P223,'Base Grupo de Produtos'!$E$2:$E$18,'Base Grupo de Produtos'!$F$2:$F$18)</f>
        <v>500</v>
      </c>
      <c r="X223" s="56">
        <f>_xlfn.XLOOKUP($N223,'Calculo Leads'!$A$97:$A$134,'Calculo Leads'!K$97:K$134)*_xlfn.XLOOKUP($P223,'Base Grupo de Produtos'!$E$2:$E$18,'Base Grupo de Produtos'!$F$2:$F$18)</f>
        <v>550</v>
      </c>
      <c r="Y223" s="56">
        <f>_xlfn.XLOOKUP($N223,'Calculo Leads'!$A$97:$A$134,'Calculo Leads'!L$97:L$134)*_xlfn.XLOOKUP($P223,'Base Grupo de Produtos'!$E$2:$E$18,'Base Grupo de Produtos'!$F$2:$F$18)</f>
        <v>660</v>
      </c>
      <c r="Z223" s="56">
        <f>_xlfn.XLOOKUP($N223,'Calculo Leads'!$A$97:$A$134,'Calculo Leads'!M$97:M$134)*_xlfn.XLOOKUP($P223,'Base Grupo de Produtos'!$E$2:$E$18,'Base Grupo de Produtos'!$F$2:$F$18)</f>
        <v>770</v>
      </c>
      <c r="AA223" s="56">
        <f>_xlfn.XLOOKUP($N223,'Calculo Leads'!$A$97:$A$134,'Calculo Leads'!N$97:N$134)*_xlfn.XLOOKUP($P223,'Base Grupo de Produtos'!$E$2:$E$18,'Base Grupo de Produtos'!$F$2:$F$18)</f>
        <v>880</v>
      </c>
      <c r="AB223" s="56">
        <f>_xlfn.XLOOKUP($N223,'Calculo Leads'!$A$97:$A$134,'Calculo Leads'!O$97:O$134)*_xlfn.XLOOKUP($P223,'Base Grupo de Produtos'!$E$2:$E$18,'Base Grupo de Produtos'!$F$2:$F$18)</f>
        <v>550</v>
      </c>
      <c r="AC223" s="61">
        <f t="shared" si="212"/>
        <v>4910</v>
      </c>
      <c r="AD223" s="27">
        <f t="shared" si="246"/>
        <v>4910</v>
      </c>
      <c r="AE223" s="25">
        <f>IFERROR(_xlfn.XLOOKUP(N223&amp;P223,'Historico Vendas'!G:G,'Historico Vendas'!E:E),0)</f>
        <v>0</v>
      </c>
      <c r="AF223" s="29" t="str">
        <f t="shared" si="190"/>
        <v/>
      </c>
      <c r="AG223" s="24">
        <f>IFERROR(_xlfn.XLOOKUP(N223&amp;P223,'Historico Vendas'!G:G,'Historico Vendas'!F:F),0)</f>
        <v>0</v>
      </c>
      <c r="AH223" s="25">
        <f t="shared" si="247"/>
        <v>0</v>
      </c>
      <c r="AI223" s="24">
        <f t="shared" si="248"/>
        <v>0</v>
      </c>
      <c r="AJ223" s="11" t="str">
        <f t="shared" si="211"/>
        <v/>
      </c>
      <c r="AK223" s="9" t="s">
        <v>102</v>
      </c>
      <c r="AL223" s="13">
        <f>IFERROR(INDEX('Balizador da Meta'!$D$3:$F$23,MATCH(Faturamento!$P223,'Balizador da Meta'!$C$3:$C$23,0),MATCH(Faturamento!AK223,'Balizador da Meta'!$D$2:$F$2,0)),"")</f>
        <v>0</v>
      </c>
      <c r="AM223" s="9"/>
    </row>
    <row r="224" spans="1:39" x14ac:dyDescent="0.3">
      <c r="A224" s="2" t="str">
        <f t="shared" si="191"/>
        <v>NÃO</v>
      </c>
      <c r="B224" s="2" t="str">
        <f>_xlfn.XLOOKUP($N224,'Base de Grupos'!$A:$A,'Base de Grupos'!$D:$D)</f>
        <v>1000065763</v>
      </c>
      <c r="C224" s="5" t="str">
        <f>_xlfn.XLOOKUP($N224,'Base de Grupos'!$A:$A,'Base de Grupos'!$E:$E)</f>
        <v>CANAL VENDA INTERNA</v>
      </c>
      <c r="D224" s="5" t="str">
        <f>_xlfn.XLOOKUP($N224,'Base de Grupos'!$A:$A,'Base de Grupos'!$F:$F)</f>
        <v>1000065763</v>
      </c>
      <c r="E224" s="2" t="str">
        <f>_xlfn.XLOOKUP($N224,'Base de Grupos'!$A:$A,'Base de Grupos'!$G:$G)</f>
        <v>CANAL VENDA INTERNA</v>
      </c>
      <c r="F224" s="2" t="str">
        <f>_xlfn.XLOOKUP($N224,'Base de Grupos'!$A:$A,'Base de Grupos'!$H:$H)</f>
        <v>1000153245</v>
      </c>
      <c r="G224" s="5" t="str">
        <f>_xlfn.XLOOKUP($N224,'Base de Grupos'!$A:$A,'Base de Grupos'!$I:$I)</f>
        <v>REGIONAL VENDA INTERNA - KEY ACCOUNT</v>
      </c>
      <c r="H224" s="5" t="str">
        <f>_xlfn.XLOOKUP($N224,'Base de Grupos'!$A:$A,'Base de Grupos'!$J:$J)</f>
        <v>1000153245</v>
      </c>
      <c r="I224" s="2" t="str">
        <f>_xlfn.XLOOKUP($N224,'Base de Grupos'!$A:$A,'Base de Grupos'!$K:$K)</f>
        <v>REGIONAL VENDA INTERNA - KEY ACCOUNT</v>
      </c>
      <c r="J224" s="2" t="str">
        <f>_xlfn.XLOOKUP($N224,'Base de Grupos'!$A:$A,'Base de Grupos'!$L:$L)</f>
        <v>1000153245</v>
      </c>
      <c r="K224" s="5" t="str">
        <f>_xlfn.XLOOKUP($N224,'Base de Grupos'!$A:$A,'Base de Grupos'!$M:$M)</f>
        <v>REGIONAL VENDA INTERNA - KEY ACCOUNT</v>
      </c>
      <c r="L224" s="5" t="str">
        <f t="shared" si="192"/>
        <v/>
      </c>
      <c r="M224" s="5" t="str">
        <f>_xlfn.XLOOKUP($N224,'Base de Grupos'!$A:$A,'Base de Grupos'!$C:$C)</f>
        <v>PA</v>
      </c>
      <c r="N224" s="3">
        <v>1349</v>
      </c>
      <c r="O224" s="4" t="s">
        <v>236</v>
      </c>
      <c r="P224" s="5" t="s">
        <v>87</v>
      </c>
      <c r="Q224" s="56">
        <v>0</v>
      </c>
      <c r="R224" s="56">
        <v>0</v>
      </c>
      <c r="S224" s="56">
        <v>0</v>
      </c>
      <c r="T224" s="56">
        <f>_xlfn.XLOOKUP($N224,'Calculo Leads'!$A$97:$A$134,'Calculo Leads'!G$97:G$134)*_xlfn.XLOOKUP($P224,'Base Grupo de Produtos'!$E$2:$E$18,'Base Grupo de Produtos'!$F$2:$F$18)</f>
        <v>59.999999999999993</v>
      </c>
      <c r="U224" s="56">
        <f>_xlfn.XLOOKUP($N224,'Calculo Leads'!$A$97:$A$134,'Calculo Leads'!H$97:H$134)*_xlfn.XLOOKUP($P224,'Base Grupo de Produtos'!$E$2:$E$18,'Base Grupo de Produtos'!$F$2:$F$18)</f>
        <v>59.999999999999993</v>
      </c>
      <c r="V224" s="56">
        <f>_xlfn.XLOOKUP($N224,'Calculo Leads'!$A$97:$A$134,'Calculo Leads'!I$97:I$134)*_xlfn.XLOOKUP($P224,'Base Grupo de Produtos'!$E$2:$E$18,'Base Grupo de Produtos'!$F$2:$F$18)</f>
        <v>79.999999999999986</v>
      </c>
      <c r="W224" s="56">
        <f>_xlfn.XLOOKUP($N224,'Calculo Leads'!$A$97:$A$134,'Calculo Leads'!J$97:J$134)*_xlfn.XLOOKUP($P224,'Base Grupo de Produtos'!$E$2:$E$18,'Base Grupo de Produtos'!$F$2:$F$18)</f>
        <v>99.999999999999986</v>
      </c>
      <c r="X224" s="56">
        <f>_xlfn.XLOOKUP($N224,'Calculo Leads'!$A$97:$A$134,'Calculo Leads'!K$97:K$134)*_xlfn.XLOOKUP($P224,'Base Grupo de Produtos'!$E$2:$E$18,'Base Grupo de Produtos'!$F$2:$F$18)</f>
        <v>109.99999999999999</v>
      </c>
      <c r="Y224" s="56">
        <f>_xlfn.XLOOKUP($N224,'Calculo Leads'!$A$97:$A$134,'Calculo Leads'!L$97:L$134)*_xlfn.XLOOKUP($P224,'Base Grupo de Produtos'!$E$2:$E$18,'Base Grupo de Produtos'!$F$2:$F$18)</f>
        <v>131.99999999999997</v>
      </c>
      <c r="Z224" s="56">
        <f>_xlfn.XLOOKUP($N224,'Calculo Leads'!$A$97:$A$134,'Calculo Leads'!M$97:M$134)*_xlfn.XLOOKUP($P224,'Base Grupo de Produtos'!$E$2:$E$18,'Base Grupo de Produtos'!$F$2:$F$18)</f>
        <v>153.99999999999997</v>
      </c>
      <c r="AA224" s="56">
        <f>_xlfn.XLOOKUP($N224,'Calculo Leads'!$A$97:$A$134,'Calculo Leads'!N$97:N$134)*_xlfn.XLOOKUP($P224,'Base Grupo de Produtos'!$E$2:$E$18,'Base Grupo de Produtos'!$F$2:$F$18)</f>
        <v>175.99999999999997</v>
      </c>
      <c r="AB224" s="56">
        <f>_xlfn.XLOOKUP($N224,'Calculo Leads'!$A$97:$A$134,'Calculo Leads'!O$97:O$134)*_xlfn.XLOOKUP($P224,'Base Grupo de Produtos'!$E$2:$E$18,'Base Grupo de Produtos'!$F$2:$F$18)</f>
        <v>109.99999999999999</v>
      </c>
      <c r="AC224" s="61">
        <f t="shared" si="212"/>
        <v>981.99999999999989</v>
      </c>
      <c r="AD224" s="27">
        <f t="shared" si="246"/>
        <v>981.99999999999989</v>
      </c>
      <c r="AE224" s="25">
        <f>IFERROR(_xlfn.XLOOKUP(N224&amp;P224,'Historico Vendas'!G:G,'Historico Vendas'!E:E),0)</f>
        <v>0</v>
      </c>
      <c r="AF224" s="29" t="str">
        <f t="shared" si="190"/>
        <v/>
      </c>
      <c r="AG224" s="24">
        <f>IFERROR(_xlfn.XLOOKUP(N224&amp;P224,'Historico Vendas'!G:G,'Historico Vendas'!F:F),0)</f>
        <v>0</v>
      </c>
      <c r="AH224" s="25">
        <f t="shared" si="247"/>
        <v>0</v>
      </c>
      <c r="AI224" s="24">
        <f t="shared" si="248"/>
        <v>0</v>
      </c>
      <c r="AJ224" s="11" t="str">
        <f t="shared" si="211"/>
        <v/>
      </c>
      <c r="AK224" s="9" t="s">
        <v>102</v>
      </c>
      <c r="AL224" s="13">
        <f>IFERROR(INDEX('Balizador da Meta'!$D$3:$F$23,MATCH(Faturamento!$P224,'Balizador da Meta'!$C$3:$C$23,0),MATCH(Faturamento!AK224,'Balizador da Meta'!$D$2:$F$2,0)),"")</f>
        <v>0</v>
      </c>
      <c r="AM224" s="9"/>
    </row>
    <row r="225" spans="1:39" x14ac:dyDescent="0.3">
      <c r="A225" s="2" t="str">
        <f t="shared" si="191"/>
        <v>NÃO</v>
      </c>
      <c r="B225" s="2" t="str">
        <f>_xlfn.XLOOKUP($N225,'Base de Grupos'!$A:$A,'Base de Grupos'!$D:$D)</f>
        <v>1000065763</v>
      </c>
      <c r="C225" s="5" t="str">
        <f>_xlfn.XLOOKUP($N225,'Base de Grupos'!$A:$A,'Base de Grupos'!$E:$E)</f>
        <v>CANAL VENDA INTERNA</v>
      </c>
      <c r="D225" s="5" t="str">
        <f>_xlfn.XLOOKUP($N225,'Base de Grupos'!$A:$A,'Base de Grupos'!$F:$F)</f>
        <v>1000065763</v>
      </c>
      <c r="E225" s="2" t="str">
        <f>_xlfn.XLOOKUP($N225,'Base de Grupos'!$A:$A,'Base de Grupos'!$G:$G)</f>
        <v>CANAL VENDA INTERNA</v>
      </c>
      <c r="F225" s="2" t="str">
        <f>_xlfn.XLOOKUP($N225,'Base de Grupos'!$A:$A,'Base de Grupos'!$H:$H)</f>
        <v>1000153245</v>
      </c>
      <c r="G225" s="5" t="str">
        <f>_xlfn.XLOOKUP($N225,'Base de Grupos'!$A:$A,'Base de Grupos'!$I:$I)</f>
        <v>REGIONAL VENDA INTERNA - KEY ACCOUNT</v>
      </c>
      <c r="H225" s="5" t="str">
        <f>_xlfn.XLOOKUP($N225,'Base de Grupos'!$A:$A,'Base de Grupos'!$J:$J)</f>
        <v>1000153245</v>
      </c>
      <c r="I225" s="2" t="str">
        <f>_xlfn.XLOOKUP($N225,'Base de Grupos'!$A:$A,'Base de Grupos'!$K:$K)</f>
        <v>REGIONAL VENDA INTERNA - KEY ACCOUNT</v>
      </c>
      <c r="J225" s="2" t="str">
        <f>_xlfn.XLOOKUP($N225,'Base de Grupos'!$A:$A,'Base de Grupos'!$L:$L)</f>
        <v>1000153245</v>
      </c>
      <c r="K225" s="5" t="str">
        <f>_xlfn.XLOOKUP($N225,'Base de Grupos'!$A:$A,'Base de Grupos'!$M:$M)</f>
        <v>REGIONAL VENDA INTERNA - KEY ACCOUNT</v>
      </c>
      <c r="L225" s="5" t="str">
        <f t="shared" si="192"/>
        <v/>
      </c>
      <c r="M225" s="5" t="str">
        <f>_xlfn.XLOOKUP($N225,'Base de Grupos'!$A:$A,'Base de Grupos'!$C:$C)</f>
        <v>PA</v>
      </c>
      <c r="N225" s="3">
        <v>1349</v>
      </c>
      <c r="O225" s="4" t="s">
        <v>236</v>
      </c>
      <c r="P225" s="5" t="s">
        <v>85</v>
      </c>
      <c r="Q225" s="56">
        <v>0</v>
      </c>
      <c r="R225" s="56">
        <v>0</v>
      </c>
      <c r="S225" s="56">
        <v>0</v>
      </c>
      <c r="T225" s="56">
        <f>_xlfn.XLOOKUP($N225,'Calculo Leads'!$A$97:$A$134,'Calculo Leads'!G$97:G$134)*_xlfn.XLOOKUP($P225,'Base Grupo de Produtos'!$E$2:$E$18,'Base Grupo de Produtos'!$F$2:$F$18)</f>
        <v>60</v>
      </c>
      <c r="U225" s="56">
        <f>_xlfn.XLOOKUP($N225,'Calculo Leads'!$A$97:$A$134,'Calculo Leads'!H$97:H$134)*_xlfn.XLOOKUP($P225,'Base Grupo de Produtos'!$E$2:$E$18,'Base Grupo de Produtos'!$F$2:$F$18)</f>
        <v>60</v>
      </c>
      <c r="V225" s="56">
        <f>_xlfn.XLOOKUP($N225,'Calculo Leads'!$A$97:$A$134,'Calculo Leads'!I$97:I$134)*_xlfn.XLOOKUP($P225,'Base Grupo de Produtos'!$E$2:$E$18,'Base Grupo de Produtos'!$F$2:$F$18)</f>
        <v>80</v>
      </c>
      <c r="W225" s="56">
        <f>_xlfn.XLOOKUP($N225,'Calculo Leads'!$A$97:$A$134,'Calculo Leads'!J$97:J$134)*_xlfn.XLOOKUP($P225,'Base Grupo de Produtos'!$E$2:$E$18,'Base Grupo de Produtos'!$F$2:$F$18)</f>
        <v>100</v>
      </c>
      <c r="X225" s="56">
        <f>_xlfn.XLOOKUP($N225,'Calculo Leads'!$A$97:$A$134,'Calculo Leads'!K$97:K$134)*_xlfn.XLOOKUP($P225,'Base Grupo de Produtos'!$E$2:$E$18,'Base Grupo de Produtos'!$F$2:$F$18)</f>
        <v>110</v>
      </c>
      <c r="Y225" s="56">
        <f>_xlfn.XLOOKUP($N225,'Calculo Leads'!$A$97:$A$134,'Calculo Leads'!L$97:L$134)*_xlfn.XLOOKUP($P225,'Base Grupo de Produtos'!$E$2:$E$18,'Base Grupo de Produtos'!$F$2:$F$18)</f>
        <v>132</v>
      </c>
      <c r="Z225" s="56">
        <f>_xlfn.XLOOKUP($N225,'Calculo Leads'!$A$97:$A$134,'Calculo Leads'!M$97:M$134)*_xlfn.XLOOKUP($P225,'Base Grupo de Produtos'!$E$2:$E$18,'Base Grupo de Produtos'!$F$2:$F$18)</f>
        <v>154</v>
      </c>
      <c r="AA225" s="56">
        <f>_xlfn.XLOOKUP($N225,'Calculo Leads'!$A$97:$A$134,'Calculo Leads'!N$97:N$134)*_xlfn.XLOOKUP($P225,'Base Grupo de Produtos'!$E$2:$E$18,'Base Grupo de Produtos'!$F$2:$F$18)</f>
        <v>176</v>
      </c>
      <c r="AB225" s="56">
        <f>_xlfn.XLOOKUP($N225,'Calculo Leads'!$A$97:$A$134,'Calculo Leads'!O$97:O$134)*_xlfn.XLOOKUP($P225,'Base Grupo de Produtos'!$E$2:$E$18,'Base Grupo de Produtos'!$F$2:$F$18)</f>
        <v>110</v>
      </c>
      <c r="AC225" s="61">
        <f t="shared" si="212"/>
        <v>982</v>
      </c>
      <c r="AD225" s="27">
        <f t="shared" si="246"/>
        <v>982</v>
      </c>
      <c r="AE225" s="25">
        <f>IFERROR(_xlfn.XLOOKUP(N225&amp;P225,'Historico Vendas'!G:G,'Historico Vendas'!E:E),0)</f>
        <v>0</v>
      </c>
      <c r="AF225" s="29" t="str">
        <f t="shared" si="190"/>
        <v/>
      </c>
      <c r="AG225" s="24">
        <f>IFERROR(_xlfn.XLOOKUP(N225&amp;P225,'Historico Vendas'!G:G,'Historico Vendas'!F:F),0)</f>
        <v>0</v>
      </c>
      <c r="AH225" s="25">
        <f t="shared" si="247"/>
        <v>0</v>
      </c>
      <c r="AI225" s="24">
        <f t="shared" si="248"/>
        <v>0</v>
      </c>
      <c r="AJ225" s="11" t="str">
        <f t="shared" si="211"/>
        <v/>
      </c>
      <c r="AK225" s="9" t="s">
        <v>102</v>
      </c>
      <c r="AL225" s="13">
        <f>IFERROR(INDEX('Balizador da Meta'!$D$3:$F$23,MATCH(Faturamento!$P225,'Balizador da Meta'!$C$3:$C$23,0),MATCH(Faturamento!AK225,'Balizador da Meta'!$D$2:$F$2,0)),"")</f>
        <v>0</v>
      </c>
      <c r="AM225" s="9"/>
    </row>
    <row r="226" spans="1:39" x14ac:dyDescent="0.3">
      <c r="A226" s="2" t="str">
        <f t="shared" si="191"/>
        <v>NÃO</v>
      </c>
      <c r="B226" s="2" t="str">
        <f>_xlfn.XLOOKUP($N226,'Base de Grupos'!$A:$A,'Base de Grupos'!$D:$D)</f>
        <v>1000065763</v>
      </c>
      <c r="C226" s="5" t="str">
        <f>_xlfn.XLOOKUP($N226,'Base de Grupos'!$A:$A,'Base de Grupos'!$E:$E)</f>
        <v>CANAL VENDA INTERNA</v>
      </c>
      <c r="D226" s="5" t="str">
        <f>_xlfn.XLOOKUP($N226,'Base de Grupos'!$A:$A,'Base de Grupos'!$F:$F)</f>
        <v>1000065763</v>
      </c>
      <c r="E226" s="2" t="str">
        <f>_xlfn.XLOOKUP($N226,'Base de Grupos'!$A:$A,'Base de Grupos'!$G:$G)</f>
        <v>CANAL VENDA INTERNA</v>
      </c>
      <c r="F226" s="2" t="str">
        <f>_xlfn.XLOOKUP($N226,'Base de Grupos'!$A:$A,'Base de Grupos'!$H:$H)</f>
        <v>1000153245</v>
      </c>
      <c r="G226" s="5" t="str">
        <f>_xlfn.XLOOKUP($N226,'Base de Grupos'!$A:$A,'Base de Grupos'!$I:$I)</f>
        <v>REGIONAL VENDA INTERNA - KEY ACCOUNT</v>
      </c>
      <c r="H226" s="5" t="str">
        <f>_xlfn.XLOOKUP($N226,'Base de Grupos'!$A:$A,'Base de Grupos'!$J:$J)</f>
        <v>1000153245</v>
      </c>
      <c r="I226" s="2" t="str">
        <f>_xlfn.XLOOKUP($N226,'Base de Grupos'!$A:$A,'Base de Grupos'!$K:$K)</f>
        <v>REGIONAL VENDA INTERNA - KEY ACCOUNT</v>
      </c>
      <c r="J226" s="2" t="str">
        <f>_xlfn.XLOOKUP($N226,'Base de Grupos'!$A:$A,'Base de Grupos'!$L:$L)</f>
        <v>1000153245</v>
      </c>
      <c r="K226" s="5" t="str">
        <f>_xlfn.XLOOKUP($N226,'Base de Grupos'!$A:$A,'Base de Grupos'!$M:$M)</f>
        <v>REGIONAL VENDA INTERNA - KEY ACCOUNT</v>
      </c>
      <c r="L226" s="5" t="str">
        <f t="shared" si="192"/>
        <v/>
      </c>
      <c r="M226" s="5" t="str">
        <f>_xlfn.XLOOKUP($N226,'Base de Grupos'!$A:$A,'Base de Grupos'!$C:$C)</f>
        <v>PA</v>
      </c>
      <c r="N226" s="3">
        <v>1349</v>
      </c>
      <c r="O226" s="4" t="s">
        <v>236</v>
      </c>
      <c r="P226" s="5" t="s">
        <v>92</v>
      </c>
      <c r="Q226" s="56">
        <v>0</v>
      </c>
      <c r="R226" s="56">
        <v>0</v>
      </c>
      <c r="S226" s="56">
        <v>0</v>
      </c>
      <c r="T226" s="56">
        <f>_xlfn.XLOOKUP($N226,'Calculo Leads'!$A$97:$A$134,'Calculo Leads'!G$97:G$134)*_xlfn.XLOOKUP($P226,'Base Grupo de Produtos'!$E$2:$E$18,'Base Grupo de Produtos'!$F$2:$F$18)</f>
        <v>60</v>
      </c>
      <c r="U226" s="56">
        <f>_xlfn.XLOOKUP($N226,'Calculo Leads'!$A$97:$A$134,'Calculo Leads'!H$97:H$134)*_xlfn.XLOOKUP($P226,'Base Grupo de Produtos'!$E$2:$E$18,'Base Grupo de Produtos'!$F$2:$F$18)</f>
        <v>60</v>
      </c>
      <c r="V226" s="56">
        <f>_xlfn.XLOOKUP($N226,'Calculo Leads'!$A$97:$A$134,'Calculo Leads'!I$97:I$134)*_xlfn.XLOOKUP($P226,'Base Grupo de Produtos'!$E$2:$E$18,'Base Grupo de Produtos'!$F$2:$F$18)</f>
        <v>80</v>
      </c>
      <c r="W226" s="56">
        <f>_xlfn.XLOOKUP($N226,'Calculo Leads'!$A$97:$A$134,'Calculo Leads'!J$97:J$134)*_xlfn.XLOOKUP($P226,'Base Grupo de Produtos'!$E$2:$E$18,'Base Grupo de Produtos'!$F$2:$F$18)</f>
        <v>100</v>
      </c>
      <c r="X226" s="56">
        <f>_xlfn.XLOOKUP($N226,'Calculo Leads'!$A$97:$A$134,'Calculo Leads'!K$97:K$134)*_xlfn.XLOOKUP($P226,'Base Grupo de Produtos'!$E$2:$E$18,'Base Grupo de Produtos'!$F$2:$F$18)</f>
        <v>110</v>
      </c>
      <c r="Y226" s="56">
        <f>_xlfn.XLOOKUP($N226,'Calculo Leads'!$A$97:$A$134,'Calculo Leads'!L$97:L$134)*_xlfn.XLOOKUP($P226,'Base Grupo de Produtos'!$E$2:$E$18,'Base Grupo de Produtos'!$F$2:$F$18)</f>
        <v>132</v>
      </c>
      <c r="Z226" s="56">
        <f>_xlfn.XLOOKUP($N226,'Calculo Leads'!$A$97:$A$134,'Calculo Leads'!M$97:M$134)*_xlfn.XLOOKUP($P226,'Base Grupo de Produtos'!$E$2:$E$18,'Base Grupo de Produtos'!$F$2:$F$18)</f>
        <v>154</v>
      </c>
      <c r="AA226" s="56">
        <f>_xlfn.XLOOKUP($N226,'Calculo Leads'!$A$97:$A$134,'Calculo Leads'!N$97:N$134)*_xlfn.XLOOKUP($P226,'Base Grupo de Produtos'!$E$2:$E$18,'Base Grupo de Produtos'!$F$2:$F$18)</f>
        <v>176</v>
      </c>
      <c r="AB226" s="56">
        <f>_xlfn.XLOOKUP($N226,'Calculo Leads'!$A$97:$A$134,'Calculo Leads'!O$97:O$134)*_xlfn.XLOOKUP($P226,'Base Grupo de Produtos'!$E$2:$E$18,'Base Grupo de Produtos'!$F$2:$F$18)</f>
        <v>110</v>
      </c>
      <c r="AC226" s="61">
        <f t="shared" si="212"/>
        <v>982</v>
      </c>
      <c r="AD226" s="27">
        <f t="shared" si="246"/>
        <v>982</v>
      </c>
      <c r="AE226" s="25">
        <f>IFERROR(_xlfn.XLOOKUP(N226&amp;P226,'Historico Vendas'!G:G,'Historico Vendas'!E:E),0)</f>
        <v>0</v>
      </c>
      <c r="AF226" s="29" t="str">
        <f t="shared" si="190"/>
        <v/>
      </c>
      <c r="AG226" s="24">
        <f>IFERROR(_xlfn.XLOOKUP(N226&amp;P226,'Historico Vendas'!G:G,'Historico Vendas'!F:F),0)</f>
        <v>0</v>
      </c>
      <c r="AH226" s="25">
        <f t="shared" si="247"/>
        <v>0</v>
      </c>
      <c r="AI226" s="24">
        <f t="shared" si="248"/>
        <v>0</v>
      </c>
      <c r="AJ226" s="11" t="str">
        <f t="shared" si="211"/>
        <v/>
      </c>
      <c r="AK226" s="9" t="s">
        <v>102</v>
      </c>
      <c r="AL226" s="13">
        <f>IFERROR(INDEX('Balizador da Meta'!$D$3:$F$23,MATCH(Faturamento!$P226,'Balizador da Meta'!$C$3:$C$23,0),MATCH(Faturamento!AK226,'Balizador da Meta'!$D$2:$F$2,0)),"")</f>
        <v>0</v>
      </c>
      <c r="AM226" s="9"/>
    </row>
    <row r="227" spans="1:39" x14ac:dyDescent="0.3">
      <c r="A227" s="2" t="str">
        <f t="shared" si="191"/>
        <v>NÃO</v>
      </c>
      <c r="B227" s="2" t="str">
        <f>_xlfn.XLOOKUP($N227,'Base de Grupos'!$A:$A,'Base de Grupos'!$D:$D)</f>
        <v>1000065763</v>
      </c>
      <c r="C227" s="5" t="str">
        <f>_xlfn.XLOOKUP($N227,'Base de Grupos'!$A:$A,'Base de Grupos'!$E:$E)</f>
        <v>CANAL VENDA INTERNA</v>
      </c>
      <c r="D227" s="5" t="str">
        <f>_xlfn.XLOOKUP($N227,'Base de Grupos'!$A:$A,'Base de Grupos'!$F:$F)</f>
        <v>1000065763</v>
      </c>
      <c r="E227" s="2" t="str">
        <f>_xlfn.XLOOKUP($N227,'Base de Grupos'!$A:$A,'Base de Grupos'!$G:$G)</f>
        <v>CANAL VENDA INTERNA</v>
      </c>
      <c r="F227" s="2" t="str">
        <f>_xlfn.XLOOKUP($N227,'Base de Grupos'!$A:$A,'Base de Grupos'!$H:$H)</f>
        <v>1000153245</v>
      </c>
      <c r="G227" s="5" t="str">
        <f>_xlfn.XLOOKUP($N227,'Base de Grupos'!$A:$A,'Base de Grupos'!$I:$I)</f>
        <v>REGIONAL VENDA INTERNA - KEY ACCOUNT</v>
      </c>
      <c r="H227" s="5" t="str">
        <f>_xlfn.XLOOKUP($N227,'Base de Grupos'!$A:$A,'Base de Grupos'!$J:$J)</f>
        <v>1000153245</v>
      </c>
      <c r="I227" s="2" t="str">
        <f>_xlfn.XLOOKUP($N227,'Base de Grupos'!$A:$A,'Base de Grupos'!$K:$K)</f>
        <v>REGIONAL VENDA INTERNA - KEY ACCOUNT</v>
      </c>
      <c r="J227" s="2" t="str">
        <f>_xlfn.XLOOKUP($N227,'Base de Grupos'!$A:$A,'Base de Grupos'!$L:$L)</f>
        <v>1000153245</v>
      </c>
      <c r="K227" s="5" t="str">
        <f>_xlfn.XLOOKUP($N227,'Base de Grupos'!$A:$A,'Base de Grupos'!$M:$M)</f>
        <v>REGIONAL VENDA INTERNA - KEY ACCOUNT</v>
      </c>
      <c r="L227" s="5" t="str">
        <f t="shared" si="192"/>
        <v/>
      </c>
      <c r="M227" s="5" t="str">
        <f>_xlfn.XLOOKUP($N227,'Base de Grupos'!$A:$A,'Base de Grupos'!$C:$C)</f>
        <v>PA</v>
      </c>
      <c r="N227" s="3">
        <v>1349</v>
      </c>
      <c r="O227" s="4" t="s">
        <v>236</v>
      </c>
      <c r="P227" s="5" t="s">
        <v>86</v>
      </c>
      <c r="Q227" s="56">
        <v>0</v>
      </c>
      <c r="R227" s="56">
        <v>0</v>
      </c>
      <c r="S227" s="56">
        <v>0</v>
      </c>
      <c r="T227" s="56">
        <f>_xlfn.XLOOKUP($N227,'Calculo Leads'!$A$97:$A$134,'Calculo Leads'!G$97:G$134)*_xlfn.XLOOKUP($P227,'Base Grupo de Produtos'!$E$2:$E$18,'Base Grupo de Produtos'!$F$2:$F$18)</f>
        <v>90</v>
      </c>
      <c r="U227" s="56">
        <f>_xlfn.XLOOKUP($N227,'Calculo Leads'!$A$97:$A$134,'Calculo Leads'!H$97:H$134)*_xlfn.XLOOKUP($P227,'Base Grupo de Produtos'!$E$2:$E$18,'Base Grupo de Produtos'!$F$2:$F$18)</f>
        <v>90</v>
      </c>
      <c r="V227" s="56">
        <f>_xlfn.XLOOKUP($N227,'Calculo Leads'!$A$97:$A$134,'Calculo Leads'!I$97:I$134)*_xlfn.XLOOKUP($P227,'Base Grupo de Produtos'!$E$2:$E$18,'Base Grupo de Produtos'!$F$2:$F$18)</f>
        <v>120</v>
      </c>
      <c r="W227" s="56">
        <f>_xlfn.XLOOKUP($N227,'Calculo Leads'!$A$97:$A$134,'Calculo Leads'!J$97:J$134)*_xlfn.XLOOKUP($P227,'Base Grupo de Produtos'!$E$2:$E$18,'Base Grupo de Produtos'!$F$2:$F$18)</f>
        <v>150</v>
      </c>
      <c r="X227" s="56">
        <f>_xlfn.XLOOKUP($N227,'Calculo Leads'!$A$97:$A$134,'Calculo Leads'!K$97:K$134)*_xlfn.XLOOKUP($P227,'Base Grupo de Produtos'!$E$2:$E$18,'Base Grupo de Produtos'!$F$2:$F$18)</f>
        <v>165</v>
      </c>
      <c r="Y227" s="56">
        <f>_xlfn.XLOOKUP($N227,'Calculo Leads'!$A$97:$A$134,'Calculo Leads'!L$97:L$134)*_xlfn.XLOOKUP($P227,'Base Grupo de Produtos'!$E$2:$E$18,'Base Grupo de Produtos'!$F$2:$F$18)</f>
        <v>198</v>
      </c>
      <c r="Z227" s="56">
        <f>_xlfn.XLOOKUP($N227,'Calculo Leads'!$A$97:$A$134,'Calculo Leads'!M$97:M$134)*_xlfn.XLOOKUP($P227,'Base Grupo de Produtos'!$E$2:$E$18,'Base Grupo de Produtos'!$F$2:$F$18)</f>
        <v>231</v>
      </c>
      <c r="AA227" s="56">
        <f>_xlfn.XLOOKUP($N227,'Calculo Leads'!$A$97:$A$134,'Calculo Leads'!N$97:N$134)*_xlfn.XLOOKUP($P227,'Base Grupo de Produtos'!$E$2:$E$18,'Base Grupo de Produtos'!$F$2:$F$18)</f>
        <v>264</v>
      </c>
      <c r="AB227" s="56">
        <f>_xlfn.XLOOKUP($N227,'Calculo Leads'!$A$97:$A$134,'Calculo Leads'!O$97:O$134)*_xlfn.XLOOKUP($P227,'Base Grupo de Produtos'!$E$2:$E$18,'Base Grupo de Produtos'!$F$2:$F$18)</f>
        <v>165</v>
      </c>
      <c r="AC227" s="61">
        <f t="shared" si="212"/>
        <v>1473</v>
      </c>
      <c r="AD227" s="27">
        <f t="shared" si="246"/>
        <v>1473</v>
      </c>
      <c r="AE227" s="25">
        <f>IFERROR(_xlfn.XLOOKUP(N227&amp;P227,'Historico Vendas'!G:G,'Historico Vendas'!E:E),0)</f>
        <v>0</v>
      </c>
      <c r="AF227" s="29" t="str">
        <f t="shared" si="190"/>
        <v/>
      </c>
      <c r="AG227" s="24">
        <f>IFERROR(_xlfn.XLOOKUP(N227&amp;P227,'Historico Vendas'!G:G,'Historico Vendas'!F:F),0)</f>
        <v>0</v>
      </c>
      <c r="AH227" s="25">
        <f t="shared" si="247"/>
        <v>0</v>
      </c>
      <c r="AI227" s="24">
        <f t="shared" si="248"/>
        <v>0</v>
      </c>
      <c r="AJ227" s="11" t="str">
        <f t="shared" si="211"/>
        <v/>
      </c>
      <c r="AK227" s="9" t="s">
        <v>102</v>
      </c>
      <c r="AL227" s="13">
        <f>IFERROR(INDEX('Balizador da Meta'!$D$3:$F$23,MATCH(Faturamento!$P227,'Balizador da Meta'!$C$3:$C$23,0),MATCH(Faturamento!AK227,'Balizador da Meta'!$D$2:$F$2,0)),"")</f>
        <v>0.15</v>
      </c>
      <c r="AM227" s="9"/>
    </row>
    <row r="228" spans="1:39" x14ac:dyDescent="0.3">
      <c r="A228" s="2" t="str">
        <f t="shared" si="191"/>
        <v>NÃO</v>
      </c>
      <c r="B228" s="2" t="str">
        <f>_xlfn.XLOOKUP($N228,'Base de Grupos'!$A:$A,'Base de Grupos'!$D:$D)</f>
        <v>1000065763</v>
      </c>
      <c r="C228" s="5" t="str">
        <f>_xlfn.XLOOKUP($N228,'Base de Grupos'!$A:$A,'Base de Grupos'!$E:$E)</f>
        <v>CANAL VENDA INTERNA</v>
      </c>
      <c r="D228" s="5" t="str">
        <f>_xlfn.XLOOKUP($N228,'Base de Grupos'!$A:$A,'Base de Grupos'!$F:$F)</f>
        <v>1000065763</v>
      </c>
      <c r="E228" s="2" t="str">
        <f>_xlfn.XLOOKUP($N228,'Base de Grupos'!$A:$A,'Base de Grupos'!$G:$G)</f>
        <v>CANAL VENDA INTERNA</v>
      </c>
      <c r="F228" s="2" t="str">
        <f>_xlfn.XLOOKUP($N228,'Base de Grupos'!$A:$A,'Base de Grupos'!$H:$H)</f>
        <v>1000153245</v>
      </c>
      <c r="G228" s="5" t="str">
        <f>_xlfn.XLOOKUP($N228,'Base de Grupos'!$A:$A,'Base de Grupos'!$I:$I)</f>
        <v>REGIONAL VENDA INTERNA - KEY ACCOUNT</v>
      </c>
      <c r="H228" s="5" t="str">
        <f>_xlfn.XLOOKUP($N228,'Base de Grupos'!$A:$A,'Base de Grupos'!$J:$J)</f>
        <v>1000153245</v>
      </c>
      <c r="I228" s="2" t="str">
        <f>_xlfn.XLOOKUP($N228,'Base de Grupos'!$A:$A,'Base de Grupos'!$K:$K)</f>
        <v>REGIONAL VENDA INTERNA - KEY ACCOUNT</v>
      </c>
      <c r="J228" s="2" t="str">
        <f>_xlfn.XLOOKUP($N228,'Base de Grupos'!$A:$A,'Base de Grupos'!$L:$L)</f>
        <v>1000153245</v>
      </c>
      <c r="K228" s="5" t="str">
        <f>_xlfn.XLOOKUP($N228,'Base de Grupos'!$A:$A,'Base de Grupos'!$M:$M)</f>
        <v>REGIONAL VENDA INTERNA - KEY ACCOUNT</v>
      </c>
      <c r="L228" s="5" t="str">
        <f t="shared" si="192"/>
        <v/>
      </c>
      <c r="M228" s="5" t="str">
        <f>_xlfn.XLOOKUP($N228,'Base de Grupos'!$A:$A,'Base de Grupos'!$C:$C)</f>
        <v>PA</v>
      </c>
      <c r="N228" s="3">
        <v>1349</v>
      </c>
      <c r="O228" s="4" t="s">
        <v>236</v>
      </c>
      <c r="P228" s="5" t="s">
        <v>108</v>
      </c>
      <c r="Q228" s="56">
        <v>0</v>
      </c>
      <c r="R228" s="56">
        <v>0</v>
      </c>
      <c r="S228" s="56">
        <v>0</v>
      </c>
      <c r="T228" s="56">
        <f>_xlfn.XLOOKUP($N228,'Calculo Leads'!$A$97:$A$134,'Calculo Leads'!G$97:G$134)*_xlfn.XLOOKUP($P228,'Base Grupo de Produtos'!$E$2:$E$18,'Base Grupo de Produtos'!$F$2:$F$18)</f>
        <v>750</v>
      </c>
      <c r="U228" s="56">
        <f>_xlfn.XLOOKUP($N228,'Calculo Leads'!$A$97:$A$134,'Calculo Leads'!H$97:H$134)*_xlfn.XLOOKUP($P228,'Base Grupo de Produtos'!$E$2:$E$18,'Base Grupo de Produtos'!$F$2:$F$18)</f>
        <v>750</v>
      </c>
      <c r="V228" s="56">
        <f>_xlfn.XLOOKUP($N228,'Calculo Leads'!$A$97:$A$134,'Calculo Leads'!I$97:I$134)*_xlfn.XLOOKUP($P228,'Base Grupo de Produtos'!$E$2:$E$18,'Base Grupo de Produtos'!$F$2:$F$18)</f>
        <v>1000</v>
      </c>
      <c r="W228" s="56">
        <f>_xlfn.XLOOKUP($N228,'Calculo Leads'!$A$97:$A$134,'Calculo Leads'!J$97:J$134)*_xlfn.XLOOKUP($P228,'Base Grupo de Produtos'!$E$2:$E$18,'Base Grupo de Produtos'!$F$2:$F$18)</f>
        <v>1250</v>
      </c>
      <c r="X228" s="56">
        <f>_xlfn.XLOOKUP($N228,'Calculo Leads'!$A$97:$A$134,'Calculo Leads'!K$97:K$134)*_xlfn.XLOOKUP($P228,'Base Grupo de Produtos'!$E$2:$E$18,'Base Grupo de Produtos'!$F$2:$F$18)</f>
        <v>1375</v>
      </c>
      <c r="Y228" s="56">
        <f>_xlfn.XLOOKUP($N228,'Calculo Leads'!$A$97:$A$134,'Calculo Leads'!L$97:L$134)*_xlfn.XLOOKUP($P228,'Base Grupo de Produtos'!$E$2:$E$18,'Base Grupo de Produtos'!$F$2:$F$18)</f>
        <v>1650</v>
      </c>
      <c r="Z228" s="56">
        <f>_xlfn.XLOOKUP($N228,'Calculo Leads'!$A$97:$A$134,'Calculo Leads'!M$97:M$134)*_xlfn.XLOOKUP($P228,'Base Grupo de Produtos'!$E$2:$E$18,'Base Grupo de Produtos'!$F$2:$F$18)</f>
        <v>1925</v>
      </c>
      <c r="AA228" s="56">
        <f>_xlfn.XLOOKUP($N228,'Calculo Leads'!$A$97:$A$134,'Calculo Leads'!N$97:N$134)*_xlfn.XLOOKUP($P228,'Base Grupo de Produtos'!$E$2:$E$18,'Base Grupo de Produtos'!$F$2:$F$18)</f>
        <v>2200</v>
      </c>
      <c r="AB228" s="56">
        <f>_xlfn.XLOOKUP($N228,'Calculo Leads'!$A$97:$A$134,'Calculo Leads'!O$97:O$134)*_xlfn.XLOOKUP($P228,'Base Grupo de Produtos'!$E$2:$E$18,'Base Grupo de Produtos'!$F$2:$F$18)</f>
        <v>1375</v>
      </c>
      <c r="AC228" s="61">
        <f t="shared" si="212"/>
        <v>12275</v>
      </c>
      <c r="AD228" s="27">
        <f t="shared" si="246"/>
        <v>12275</v>
      </c>
      <c r="AE228" s="25">
        <f>IFERROR(_xlfn.XLOOKUP(N228&amp;P228,'Historico Vendas'!G:G,'Historico Vendas'!E:E),0)</f>
        <v>0</v>
      </c>
      <c r="AF228" s="29" t="str">
        <f t="shared" si="190"/>
        <v/>
      </c>
      <c r="AG228" s="24">
        <f>IFERROR(_xlfn.XLOOKUP(N228&amp;P228,'Historico Vendas'!G:G,'Historico Vendas'!F:F),0)</f>
        <v>0</v>
      </c>
      <c r="AH228" s="25">
        <f t="shared" si="247"/>
        <v>0</v>
      </c>
      <c r="AI228" s="24">
        <f t="shared" si="248"/>
        <v>0</v>
      </c>
      <c r="AJ228" s="11" t="str">
        <f t="shared" si="211"/>
        <v/>
      </c>
      <c r="AK228" s="9" t="s">
        <v>102</v>
      </c>
      <c r="AL228" s="13">
        <f>IFERROR(INDEX('Balizador da Meta'!$D$3:$F$23,MATCH(Faturamento!$P228,'Balizador da Meta'!$C$3:$C$23,0),MATCH(Faturamento!AK228,'Balizador da Meta'!$D$2:$F$2,0)),"")</f>
        <v>0</v>
      </c>
      <c r="AM228" s="9"/>
    </row>
    <row r="229" spans="1:39" x14ac:dyDescent="0.3">
      <c r="A229" s="2" t="str">
        <f t="shared" si="191"/>
        <v>NÃO</v>
      </c>
      <c r="B229" s="2" t="str">
        <f>_xlfn.XLOOKUP($N229,'Base de Grupos'!$A:$A,'Base de Grupos'!$D:$D)</f>
        <v>1000065763</v>
      </c>
      <c r="C229" s="5" t="str">
        <f>_xlfn.XLOOKUP($N229,'Base de Grupos'!$A:$A,'Base de Grupos'!$E:$E)</f>
        <v>CANAL VENDA INTERNA</v>
      </c>
      <c r="D229" s="5" t="str">
        <f>_xlfn.XLOOKUP($N229,'Base de Grupos'!$A:$A,'Base de Grupos'!$F:$F)</f>
        <v>1000065763</v>
      </c>
      <c r="E229" s="2" t="str">
        <f>_xlfn.XLOOKUP($N229,'Base de Grupos'!$A:$A,'Base de Grupos'!$G:$G)</f>
        <v>CANAL VENDA INTERNA</v>
      </c>
      <c r="F229" s="2" t="str">
        <f>_xlfn.XLOOKUP($N229,'Base de Grupos'!$A:$A,'Base de Grupos'!$H:$H)</f>
        <v>1000153245</v>
      </c>
      <c r="G229" s="5" t="str">
        <f>_xlfn.XLOOKUP($N229,'Base de Grupos'!$A:$A,'Base de Grupos'!$I:$I)</f>
        <v>REGIONAL VENDA INTERNA - KEY ACCOUNT</v>
      </c>
      <c r="H229" s="5" t="str">
        <f>_xlfn.XLOOKUP($N229,'Base de Grupos'!$A:$A,'Base de Grupos'!$J:$J)</f>
        <v>1000153245</v>
      </c>
      <c r="I229" s="2" t="str">
        <f>_xlfn.XLOOKUP($N229,'Base de Grupos'!$A:$A,'Base de Grupos'!$K:$K)</f>
        <v>REGIONAL VENDA INTERNA - KEY ACCOUNT</v>
      </c>
      <c r="J229" s="2" t="str">
        <f>_xlfn.XLOOKUP($N229,'Base de Grupos'!$A:$A,'Base de Grupos'!$L:$L)</f>
        <v>1000153245</v>
      </c>
      <c r="K229" s="5" t="str">
        <f>_xlfn.XLOOKUP($N229,'Base de Grupos'!$A:$A,'Base de Grupos'!$M:$M)</f>
        <v>REGIONAL VENDA INTERNA - KEY ACCOUNT</v>
      </c>
      <c r="L229" s="5" t="str">
        <f t="shared" si="192"/>
        <v/>
      </c>
      <c r="M229" s="5" t="str">
        <f>_xlfn.XLOOKUP($N229,'Base de Grupos'!$A:$A,'Base de Grupos'!$C:$C)</f>
        <v>PA</v>
      </c>
      <c r="N229" s="3">
        <v>1349</v>
      </c>
      <c r="O229" s="4" t="s">
        <v>236</v>
      </c>
      <c r="P229" s="5" t="s">
        <v>89</v>
      </c>
      <c r="Q229" s="56">
        <v>0</v>
      </c>
      <c r="R229" s="56">
        <v>0</v>
      </c>
      <c r="S229" s="56">
        <v>0</v>
      </c>
      <c r="T229" s="56">
        <f>_xlfn.XLOOKUP($N229,'Calculo Leads'!$A$97:$A$134,'Calculo Leads'!G$97:G$134)*_xlfn.XLOOKUP($P229,'Base Grupo de Produtos'!$E$2:$E$18,'Base Grupo de Produtos'!$F$2:$F$18)</f>
        <v>150</v>
      </c>
      <c r="U229" s="56">
        <f>_xlfn.XLOOKUP($N229,'Calculo Leads'!$A$97:$A$134,'Calculo Leads'!H$97:H$134)*_xlfn.XLOOKUP($P229,'Base Grupo de Produtos'!$E$2:$E$18,'Base Grupo de Produtos'!$F$2:$F$18)</f>
        <v>150</v>
      </c>
      <c r="V229" s="56">
        <f>_xlfn.XLOOKUP($N229,'Calculo Leads'!$A$97:$A$134,'Calculo Leads'!I$97:I$134)*_xlfn.XLOOKUP($P229,'Base Grupo de Produtos'!$E$2:$E$18,'Base Grupo de Produtos'!$F$2:$F$18)</f>
        <v>200</v>
      </c>
      <c r="W229" s="56">
        <f>_xlfn.XLOOKUP($N229,'Calculo Leads'!$A$97:$A$134,'Calculo Leads'!J$97:J$134)*_xlfn.XLOOKUP($P229,'Base Grupo de Produtos'!$E$2:$E$18,'Base Grupo de Produtos'!$F$2:$F$18)</f>
        <v>250</v>
      </c>
      <c r="X229" s="56">
        <f>_xlfn.XLOOKUP($N229,'Calculo Leads'!$A$97:$A$134,'Calculo Leads'!K$97:K$134)*_xlfn.XLOOKUP($P229,'Base Grupo de Produtos'!$E$2:$E$18,'Base Grupo de Produtos'!$F$2:$F$18)</f>
        <v>275</v>
      </c>
      <c r="Y229" s="56">
        <f>_xlfn.XLOOKUP($N229,'Calculo Leads'!$A$97:$A$134,'Calculo Leads'!L$97:L$134)*_xlfn.XLOOKUP($P229,'Base Grupo de Produtos'!$E$2:$E$18,'Base Grupo de Produtos'!$F$2:$F$18)</f>
        <v>330</v>
      </c>
      <c r="Z229" s="56">
        <f>_xlfn.XLOOKUP($N229,'Calculo Leads'!$A$97:$A$134,'Calculo Leads'!M$97:M$134)*_xlfn.XLOOKUP($P229,'Base Grupo de Produtos'!$E$2:$E$18,'Base Grupo de Produtos'!$F$2:$F$18)</f>
        <v>385</v>
      </c>
      <c r="AA229" s="56">
        <f>_xlfn.XLOOKUP($N229,'Calculo Leads'!$A$97:$A$134,'Calculo Leads'!N$97:N$134)*_xlfn.XLOOKUP($P229,'Base Grupo de Produtos'!$E$2:$E$18,'Base Grupo de Produtos'!$F$2:$F$18)</f>
        <v>440</v>
      </c>
      <c r="AB229" s="56">
        <f>_xlfn.XLOOKUP($N229,'Calculo Leads'!$A$97:$A$134,'Calculo Leads'!O$97:O$134)*_xlfn.XLOOKUP($P229,'Base Grupo de Produtos'!$E$2:$E$18,'Base Grupo de Produtos'!$F$2:$F$18)</f>
        <v>275</v>
      </c>
      <c r="AC229" s="61">
        <f t="shared" si="212"/>
        <v>2455</v>
      </c>
      <c r="AD229" s="27">
        <f t="shared" si="246"/>
        <v>2455</v>
      </c>
      <c r="AE229" s="25">
        <f>IFERROR(_xlfn.XLOOKUP(N229&amp;P229,'Historico Vendas'!G:G,'Historico Vendas'!E:E),0)</f>
        <v>0</v>
      </c>
      <c r="AF229" s="29" t="str">
        <f t="shared" si="190"/>
        <v/>
      </c>
      <c r="AG229" s="24">
        <f>IFERROR(_xlfn.XLOOKUP(N229&amp;P229,'Historico Vendas'!G:G,'Historico Vendas'!F:F),0)</f>
        <v>0</v>
      </c>
      <c r="AH229" s="25">
        <f t="shared" si="247"/>
        <v>0</v>
      </c>
      <c r="AI229" s="24">
        <f t="shared" si="248"/>
        <v>0</v>
      </c>
      <c r="AJ229" s="11" t="str">
        <f t="shared" si="211"/>
        <v/>
      </c>
      <c r="AK229" s="9" t="s">
        <v>102</v>
      </c>
      <c r="AL229" s="13">
        <f>IFERROR(INDEX('Balizador da Meta'!$D$3:$F$23,MATCH(Faturamento!$P229,'Balizador da Meta'!$C$3:$C$23,0),MATCH(Faturamento!AK229,'Balizador da Meta'!$D$2:$F$2,0)),"")</f>
        <v>0.25</v>
      </c>
      <c r="AM229" s="9"/>
    </row>
    <row r="230" spans="1:39" x14ac:dyDescent="0.3">
      <c r="A230" s="2" t="str">
        <f t="shared" si="191"/>
        <v>NÃO</v>
      </c>
      <c r="B230" s="2" t="str">
        <f>_xlfn.XLOOKUP($N230,'Base de Grupos'!$A:$A,'Base de Grupos'!$D:$D)</f>
        <v>1000065763</v>
      </c>
      <c r="C230" s="5" t="str">
        <f>_xlfn.XLOOKUP($N230,'Base de Grupos'!$A:$A,'Base de Grupos'!$E:$E)</f>
        <v>CANAL VENDA INTERNA</v>
      </c>
      <c r="D230" s="5" t="str">
        <f>_xlfn.XLOOKUP($N230,'Base de Grupos'!$A:$A,'Base de Grupos'!$F:$F)</f>
        <v>1000065763</v>
      </c>
      <c r="E230" s="2" t="str">
        <f>_xlfn.XLOOKUP($N230,'Base de Grupos'!$A:$A,'Base de Grupos'!$G:$G)</f>
        <v>CANAL VENDA INTERNA</v>
      </c>
      <c r="F230" s="2" t="str">
        <f>_xlfn.XLOOKUP($N230,'Base de Grupos'!$A:$A,'Base de Grupos'!$H:$H)</f>
        <v>1000153245</v>
      </c>
      <c r="G230" s="5" t="str">
        <f>_xlfn.XLOOKUP($N230,'Base de Grupos'!$A:$A,'Base de Grupos'!$I:$I)</f>
        <v>REGIONAL VENDA INTERNA - KEY ACCOUNT</v>
      </c>
      <c r="H230" s="5" t="str">
        <f>_xlfn.XLOOKUP($N230,'Base de Grupos'!$A:$A,'Base de Grupos'!$J:$J)</f>
        <v>1000153245</v>
      </c>
      <c r="I230" s="2" t="str">
        <f>_xlfn.XLOOKUP($N230,'Base de Grupos'!$A:$A,'Base de Grupos'!$K:$K)</f>
        <v>REGIONAL VENDA INTERNA - KEY ACCOUNT</v>
      </c>
      <c r="J230" s="2" t="str">
        <f>_xlfn.XLOOKUP($N230,'Base de Grupos'!$A:$A,'Base de Grupos'!$L:$L)</f>
        <v>1000153245</v>
      </c>
      <c r="K230" s="5" t="str">
        <f>_xlfn.XLOOKUP($N230,'Base de Grupos'!$A:$A,'Base de Grupos'!$M:$M)</f>
        <v>REGIONAL VENDA INTERNA - KEY ACCOUNT</v>
      </c>
      <c r="L230" s="5" t="str">
        <f t="shared" si="192"/>
        <v/>
      </c>
      <c r="M230" s="5" t="str">
        <f>_xlfn.XLOOKUP($N230,'Base de Grupos'!$A:$A,'Base de Grupos'!$C:$C)</f>
        <v>PA</v>
      </c>
      <c r="N230" s="3">
        <v>1349</v>
      </c>
      <c r="O230" s="4" t="s">
        <v>236</v>
      </c>
      <c r="P230" s="5" t="s">
        <v>88</v>
      </c>
      <c r="Q230" s="56">
        <v>0</v>
      </c>
      <c r="R230" s="56">
        <v>0</v>
      </c>
      <c r="S230" s="56">
        <v>0</v>
      </c>
      <c r="T230" s="56">
        <f>_xlfn.XLOOKUP($N230,'Calculo Leads'!$A$97:$A$134,'Calculo Leads'!G$97:G$134)*_xlfn.XLOOKUP($P230,'Base Grupo de Produtos'!$E$2:$E$18,'Base Grupo de Produtos'!$F$2:$F$18)</f>
        <v>150</v>
      </c>
      <c r="U230" s="56">
        <f>_xlfn.XLOOKUP($N230,'Calculo Leads'!$A$97:$A$134,'Calculo Leads'!H$97:H$134)*_xlfn.XLOOKUP($P230,'Base Grupo de Produtos'!$E$2:$E$18,'Base Grupo de Produtos'!$F$2:$F$18)</f>
        <v>150</v>
      </c>
      <c r="V230" s="56">
        <f>_xlfn.XLOOKUP($N230,'Calculo Leads'!$A$97:$A$134,'Calculo Leads'!I$97:I$134)*_xlfn.XLOOKUP($P230,'Base Grupo de Produtos'!$E$2:$E$18,'Base Grupo de Produtos'!$F$2:$F$18)</f>
        <v>200</v>
      </c>
      <c r="W230" s="56">
        <f>_xlfn.XLOOKUP($N230,'Calculo Leads'!$A$97:$A$134,'Calculo Leads'!J$97:J$134)*_xlfn.XLOOKUP($P230,'Base Grupo de Produtos'!$E$2:$E$18,'Base Grupo de Produtos'!$F$2:$F$18)</f>
        <v>250</v>
      </c>
      <c r="X230" s="56">
        <f>_xlfn.XLOOKUP($N230,'Calculo Leads'!$A$97:$A$134,'Calculo Leads'!K$97:K$134)*_xlfn.XLOOKUP($P230,'Base Grupo de Produtos'!$E$2:$E$18,'Base Grupo de Produtos'!$F$2:$F$18)</f>
        <v>275</v>
      </c>
      <c r="Y230" s="56">
        <f>_xlfn.XLOOKUP($N230,'Calculo Leads'!$A$97:$A$134,'Calculo Leads'!L$97:L$134)*_xlfn.XLOOKUP($P230,'Base Grupo de Produtos'!$E$2:$E$18,'Base Grupo de Produtos'!$F$2:$F$18)</f>
        <v>330</v>
      </c>
      <c r="Z230" s="56">
        <f>_xlfn.XLOOKUP($N230,'Calculo Leads'!$A$97:$A$134,'Calculo Leads'!M$97:M$134)*_xlfn.XLOOKUP($P230,'Base Grupo de Produtos'!$E$2:$E$18,'Base Grupo de Produtos'!$F$2:$F$18)</f>
        <v>385</v>
      </c>
      <c r="AA230" s="56">
        <f>_xlfn.XLOOKUP($N230,'Calculo Leads'!$A$97:$A$134,'Calculo Leads'!N$97:N$134)*_xlfn.XLOOKUP($P230,'Base Grupo de Produtos'!$E$2:$E$18,'Base Grupo de Produtos'!$F$2:$F$18)</f>
        <v>440</v>
      </c>
      <c r="AB230" s="56">
        <f>_xlfn.XLOOKUP($N230,'Calculo Leads'!$A$97:$A$134,'Calculo Leads'!O$97:O$134)*_xlfn.XLOOKUP($P230,'Base Grupo de Produtos'!$E$2:$E$18,'Base Grupo de Produtos'!$F$2:$F$18)</f>
        <v>275</v>
      </c>
      <c r="AC230" s="61">
        <f t="shared" si="212"/>
        <v>2455</v>
      </c>
      <c r="AD230" s="27">
        <f t="shared" si="246"/>
        <v>2455</v>
      </c>
      <c r="AE230" s="25">
        <f>IFERROR(_xlfn.XLOOKUP(N230&amp;P230,'Historico Vendas'!G:G,'Historico Vendas'!E:E),0)</f>
        <v>0</v>
      </c>
      <c r="AF230" s="29" t="str">
        <f t="shared" si="190"/>
        <v/>
      </c>
      <c r="AG230" s="24">
        <f>IFERROR(_xlfn.XLOOKUP(N230&amp;P230,'Historico Vendas'!G:G,'Historico Vendas'!F:F),0)</f>
        <v>0</v>
      </c>
      <c r="AH230" s="25">
        <f t="shared" si="247"/>
        <v>0</v>
      </c>
      <c r="AI230" s="24">
        <f t="shared" si="248"/>
        <v>0</v>
      </c>
      <c r="AJ230" s="11" t="str">
        <f t="shared" si="211"/>
        <v/>
      </c>
      <c r="AK230" s="9" t="s">
        <v>102</v>
      </c>
      <c r="AL230" s="13">
        <f>IFERROR(INDEX('Balizador da Meta'!$D$3:$F$23,MATCH(Faturamento!$P230,'Balizador da Meta'!$C$3:$C$23,0),MATCH(Faturamento!AK230,'Balizador da Meta'!$D$2:$F$2,0)),"")</f>
        <v>0</v>
      </c>
      <c r="AM230" s="9"/>
    </row>
    <row r="231" spans="1:39" x14ac:dyDescent="0.3">
      <c r="A231" s="2" t="str">
        <f t="shared" si="191"/>
        <v>NÃO</v>
      </c>
      <c r="B231" s="2" t="str">
        <f>_xlfn.XLOOKUP($N231,'Base de Grupos'!$A:$A,'Base de Grupos'!$D:$D)</f>
        <v>1000065763</v>
      </c>
      <c r="C231" s="5" t="str">
        <f>_xlfn.XLOOKUP($N231,'Base de Grupos'!$A:$A,'Base de Grupos'!$E:$E)</f>
        <v>CANAL VENDA INTERNA</v>
      </c>
      <c r="D231" s="5" t="str">
        <f>_xlfn.XLOOKUP($N231,'Base de Grupos'!$A:$A,'Base de Grupos'!$F:$F)</f>
        <v>1000065763</v>
      </c>
      <c r="E231" s="2" t="str">
        <f>_xlfn.XLOOKUP($N231,'Base de Grupos'!$A:$A,'Base de Grupos'!$G:$G)</f>
        <v>CANAL VENDA INTERNA</v>
      </c>
      <c r="F231" s="2" t="str">
        <f>_xlfn.XLOOKUP($N231,'Base de Grupos'!$A:$A,'Base de Grupos'!$H:$H)</f>
        <v>1000153245</v>
      </c>
      <c r="G231" s="5" t="str">
        <f>_xlfn.XLOOKUP($N231,'Base de Grupos'!$A:$A,'Base de Grupos'!$I:$I)</f>
        <v>REGIONAL VENDA INTERNA - KEY ACCOUNT</v>
      </c>
      <c r="H231" s="5" t="str">
        <f>_xlfn.XLOOKUP($N231,'Base de Grupos'!$A:$A,'Base de Grupos'!$J:$J)</f>
        <v>1000153245</v>
      </c>
      <c r="I231" s="2" t="str">
        <f>_xlfn.XLOOKUP($N231,'Base de Grupos'!$A:$A,'Base de Grupos'!$K:$K)</f>
        <v>REGIONAL VENDA INTERNA - KEY ACCOUNT</v>
      </c>
      <c r="J231" s="2" t="str">
        <f>_xlfn.XLOOKUP($N231,'Base de Grupos'!$A:$A,'Base de Grupos'!$L:$L)</f>
        <v>1000153245</v>
      </c>
      <c r="K231" s="5" t="str">
        <f>_xlfn.XLOOKUP($N231,'Base de Grupos'!$A:$A,'Base de Grupos'!$M:$M)</f>
        <v>REGIONAL VENDA INTERNA - KEY ACCOUNT</v>
      </c>
      <c r="L231" s="5" t="str">
        <f t="shared" si="192"/>
        <v/>
      </c>
      <c r="M231" s="5" t="str">
        <f>_xlfn.XLOOKUP($N231,'Base de Grupos'!$A:$A,'Base de Grupos'!$C:$C)</f>
        <v>PA</v>
      </c>
      <c r="N231" s="3">
        <v>1349</v>
      </c>
      <c r="O231" s="4" t="s">
        <v>236</v>
      </c>
      <c r="P231" s="5" t="s">
        <v>90</v>
      </c>
      <c r="Q231" s="56">
        <v>0</v>
      </c>
      <c r="R231" s="56">
        <v>0</v>
      </c>
      <c r="S231" s="56">
        <v>0</v>
      </c>
      <c r="T231" s="56">
        <f>_xlfn.XLOOKUP($N231,'Calculo Leads'!$A$97:$A$134,'Calculo Leads'!G$97:G$134)*_xlfn.XLOOKUP($P231,'Base Grupo de Produtos'!$E$2:$E$18,'Base Grupo de Produtos'!$F$2:$F$18)</f>
        <v>150</v>
      </c>
      <c r="U231" s="56">
        <f>_xlfn.XLOOKUP($N231,'Calculo Leads'!$A$97:$A$134,'Calculo Leads'!H$97:H$134)*_xlfn.XLOOKUP($P231,'Base Grupo de Produtos'!$E$2:$E$18,'Base Grupo de Produtos'!$F$2:$F$18)</f>
        <v>150</v>
      </c>
      <c r="V231" s="56">
        <f>_xlfn.XLOOKUP($N231,'Calculo Leads'!$A$97:$A$134,'Calculo Leads'!I$97:I$134)*_xlfn.XLOOKUP($P231,'Base Grupo de Produtos'!$E$2:$E$18,'Base Grupo de Produtos'!$F$2:$F$18)</f>
        <v>200</v>
      </c>
      <c r="W231" s="56">
        <f>_xlfn.XLOOKUP($N231,'Calculo Leads'!$A$97:$A$134,'Calculo Leads'!J$97:J$134)*_xlfn.XLOOKUP($P231,'Base Grupo de Produtos'!$E$2:$E$18,'Base Grupo de Produtos'!$F$2:$F$18)</f>
        <v>250</v>
      </c>
      <c r="X231" s="56">
        <f>_xlfn.XLOOKUP($N231,'Calculo Leads'!$A$97:$A$134,'Calculo Leads'!K$97:K$134)*_xlfn.XLOOKUP($P231,'Base Grupo de Produtos'!$E$2:$E$18,'Base Grupo de Produtos'!$F$2:$F$18)</f>
        <v>275</v>
      </c>
      <c r="Y231" s="56">
        <f>_xlfn.XLOOKUP($N231,'Calculo Leads'!$A$97:$A$134,'Calculo Leads'!L$97:L$134)*_xlfn.XLOOKUP($P231,'Base Grupo de Produtos'!$E$2:$E$18,'Base Grupo de Produtos'!$F$2:$F$18)</f>
        <v>330</v>
      </c>
      <c r="Z231" s="56">
        <f>_xlfn.XLOOKUP($N231,'Calculo Leads'!$A$97:$A$134,'Calculo Leads'!M$97:M$134)*_xlfn.XLOOKUP($P231,'Base Grupo de Produtos'!$E$2:$E$18,'Base Grupo de Produtos'!$F$2:$F$18)</f>
        <v>385</v>
      </c>
      <c r="AA231" s="56">
        <f>_xlfn.XLOOKUP($N231,'Calculo Leads'!$A$97:$A$134,'Calculo Leads'!N$97:N$134)*_xlfn.XLOOKUP($P231,'Base Grupo de Produtos'!$E$2:$E$18,'Base Grupo de Produtos'!$F$2:$F$18)</f>
        <v>440</v>
      </c>
      <c r="AB231" s="56">
        <f>_xlfn.XLOOKUP($N231,'Calculo Leads'!$A$97:$A$134,'Calculo Leads'!O$97:O$134)*_xlfn.XLOOKUP($P231,'Base Grupo de Produtos'!$E$2:$E$18,'Base Grupo de Produtos'!$F$2:$F$18)</f>
        <v>275</v>
      </c>
      <c r="AC231" s="61">
        <f t="shared" si="212"/>
        <v>2455</v>
      </c>
      <c r="AD231" s="27">
        <f t="shared" si="246"/>
        <v>2455</v>
      </c>
      <c r="AE231" s="25">
        <f>IFERROR(_xlfn.XLOOKUP(N231&amp;P231,'Historico Vendas'!G:G,'Historico Vendas'!E:E),0)</f>
        <v>0</v>
      </c>
      <c r="AF231" s="29" t="str">
        <f t="shared" si="190"/>
        <v/>
      </c>
      <c r="AG231" s="24">
        <f>IFERROR(_xlfn.XLOOKUP(N231&amp;P231,'Historico Vendas'!G:G,'Historico Vendas'!F:F),0)</f>
        <v>0</v>
      </c>
      <c r="AH231" s="25">
        <f t="shared" si="247"/>
        <v>0</v>
      </c>
      <c r="AI231" s="24">
        <f t="shared" si="248"/>
        <v>0</v>
      </c>
      <c r="AJ231" s="11" t="str">
        <f t="shared" si="211"/>
        <v/>
      </c>
      <c r="AK231" s="9" t="s">
        <v>102</v>
      </c>
      <c r="AL231" s="13">
        <f>IFERROR(INDEX('Balizador da Meta'!$D$3:$F$23,MATCH(Faturamento!$P231,'Balizador da Meta'!$C$3:$C$23,0),MATCH(Faturamento!AK231,'Balizador da Meta'!$D$2:$F$2,0)),"")</f>
        <v>0</v>
      </c>
      <c r="AM231" s="9"/>
    </row>
    <row r="232" spans="1:39" x14ac:dyDescent="0.3">
      <c r="A232" s="2" t="str">
        <f t="shared" si="191"/>
        <v>NÃO</v>
      </c>
      <c r="B232" s="2" t="str">
        <f>_xlfn.XLOOKUP($N232,'Base de Grupos'!$A:$A,'Base de Grupos'!$D:$D)</f>
        <v>1000065763</v>
      </c>
      <c r="C232" s="5" t="str">
        <f>_xlfn.XLOOKUP($N232,'Base de Grupos'!$A:$A,'Base de Grupos'!$E:$E)</f>
        <v>CANAL VENDA INTERNA</v>
      </c>
      <c r="D232" s="5" t="str">
        <f>_xlfn.XLOOKUP($N232,'Base de Grupos'!$A:$A,'Base de Grupos'!$F:$F)</f>
        <v>1000065763</v>
      </c>
      <c r="E232" s="2" t="str">
        <f>_xlfn.XLOOKUP($N232,'Base de Grupos'!$A:$A,'Base de Grupos'!$G:$G)</f>
        <v>CANAL VENDA INTERNA</v>
      </c>
      <c r="F232" s="2" t="str">
        <f>_xlfn.XLOOKUP($N232,'Base de Grupos'!$A:$A,'Base de Grupos'!$H:$H)</f>
        <v>1000153245</v>
      </c>
      <c r="G232" s="5" t="str">
        <f>_xlfn.XLOOKUP($N232,'Base de Grupos'!$A:$A,'Base de Grupos'!$I:$I)</f>
        <v>REGIONAL VENDA INTERNA - KEY ACCOUNT</v>
      </c>
      <c r="H232" s="5" t="str">
        <f>_xlfn.XLOOKUP($N232,'Base de Grupos'!$A:$A,'Base de Grupos'!$J:$J)</f>
        <v>1000153245</v>
      </c>
      <c r="I232" s="2" t="str">
        <f>_xlfn.XLOOKUP($N232,'Base de Grupos'!$A:$A,'Base de Grupos'!$K:$K)</f>
        <v>REGIONAL VENDA INTERNA - KEY ACCOUNT</v>
      </c>
      <c r="J232" s="2" t="str">
        <f>_xlfn.XLOOKUP($N232,'Base de Grupos'!$A:$A,'Base de Grupos'!$L:$L)</f>
        <v>1000153245</v>
      </c>
      <c r="K232" s="5" t="str">
        <f>_xlfn.XLOOKUP($N232,'Base de Grupos'!$A:$A,'Base de Grupos'!$M:$M)</f>
        <v>REGIONAL VENDA INTERNA - KEY ACCOUNT</v>
      </c>
      <c r="L232" s="5" t="str">
        <f t="shared" si="192"/>
        <v/>
      </c>
      <c r="M232" s="5" t="str">
        <f>_xlfn.XLOOKUP($N232,'Base de Grupos'!$A:$A,'Base de Grupos'!$C:$C)</f>
        <v>PA</v>
      </c>
      <c r="N232" s="3">
        <v>1349</v>
      </c>
      <c r="O232" s="4" t="s">
        <v>236</v>
      </c>
      <c r="P232" s="5" t="s">
        <v>91</v>
      </c>
      <c r="Q232" s="56">
        <v>0</v>
      </c>
      <c r="R232" s="56">
        <v>0</v>
      </c>
      <c r="S232" s="56">
        <v>0</v>
      </c>
      <c r="T232" s="56">
        <f>_xlfn.XLOOKUP($N232,'Calculo Leads'!$A$97:$A$134,'Calculo Leads'!G$97:G$134)*_xlfn.XLOOKUP($P232,'Base Grupo de Produtos'!$E$2:$E$18,'Base Grupo de Produtos'!$F$2:$F$18)</f>
        <v>0</v>
      </c>
      <c r="U232" s="56">
        <f>_xlfn.XLOOKUP($N232,'Calculo Leads'!$A$97:$A$134,'Calculo Leads'!H$97:H$134)*_xlfn.XLOOKUP($P232,'Base Grupo de Produtos'!$E$2:$E$18,'Base Grupo de Produtos'!$F$2:$F$18)</f>
        <v>0</v>
      </c>
      <c r="V232" s="56">
        <f>_xlfn.XLOOKUP($N232,'Calculo Leads'!$A$97:$A$134,'Calculo Leads'!I$97:I$134)*_xlfn.XLOOKUP($P232,'Base Grupo de Produtos'!$E$2:$E$18,'Base Grupo de Produtos'!$F$2:$F$18)</f>
        <v>0</v>
      </c>
      <c r="W232" s="56">
        <f>_xlfn.XLOOKUP($N232,'Calculo Leads'!$A$97:$A$134,'Calculo Leads'!J$97:J$134)*_xlfn.XLOOKUP($P232,'Base Grupo de Produtos'!$E$2:$E$18,'Base Grupo de Produtos'!$F$2:$F$18)</f>
        <v>0</v>
      </c>
      <c r="X232" s="56">
        <f>_xlfn.XLOOKUP($N232,'Calculo Leads'!$A$97:$A$134,'Calculo Leads'!K$97:K$134)*_xlfn.XLOOKUP($P232,'Base Grupo de Produtos'!$E$2:$E$18,'Base Grupo de Produtos'!$F$2:$F$18)</f>
        <v>0</v>
      </c>
      <c r="Y232" s="56">
        <f>_xlfn.XLOOKUP($N232,'Calculo Leads'!$A$97:$A$134,'Calculo Leads'!L$97:L$134)*_xlfn.XLOOKUP($P232,'Base Grupo de Produtos'!$E$2:$E$18,'Base Grupo de Produtos'!$F$2:$F$18)</f>
        <v>0</v>
      </c>
      <c r="Z232" s="56">
        <f>_xlfn.XLOOKUP($N232,'Calculo Leads'!$A$97:$A$134,'Calculo Leads'!M$97:M$134)*_xlfn.XLOOKUP($P232,'Base Grupo de Produtos'!$E$2:$E$18,'Base Grupo de Produtos'!$F$2:$F$18)</f>
        <v>0</v>
      </c>
      <c r="AA232" s="56">
        <f>_xlfn.XLOOKUP($N232,'Calculo Leads'!$A$97:$A$134,'Calculo Leads'!N$97:N$134)*_xlfn.XLOOKUP($P232,'Base Grupo de Produtos'!$E$2:$E$18,'Base Grupo de Produtos'!$F$2:$F$18)</f>
        <v>0</v>
      </c>
      <c r="AB232" s="56">
        <f>_xlfn.XLOOKUP($N232,'Calculo Leads'!$A$97:$A$134,'Calculo Leads'!O$97:O$134)*_xlfn.XLOOKUP($P232,'Base Grupo de Produtos'!$E$2:$E$18,'Base Grupo de Produtos'!$F$2:$F$18)</f>
        <v>0</v>
      </c>
      <c r="AC232" s="61">
        <f t="shared" si="212"/>
        <v>0</v>
      </c>
      <c r="AD232" s="27">
        <f t="shared" si="246"/>
        <v>0</v>
      </c>
      <c r="AE232" s="25">
        <f>IFERROR(_xlfn.XLOOKUP(N232&amp;P232,'Historico Vendas'!G:G,'Historico Vendas'!E:E),0)</f>
        <v>0</v>
      </c>
      <c r="AF232" s="29" t="str">
        <f t="shared" si="190"/>
        <v/>
      </c>
      <c r="AG232" s="24">
        <f>IFERROR(_xlfn.XLOOKUP(N232&amp;P232,'Historico Vendas'!G:G,'Historico Vendas'!F:F),0)</f>
        <v>0</v>
      </c>
      <c r="AH232" s="25">
        <f t="shared" si="247"/>
        <v>0</v>
      </c>
      <c r="AI232" s="24">
        <f t="shared" si="248"/>
        <v>0</v>
      </c>
      <c r="AJ232" s="11" t="str">
        <f t="shared" si="211"/>
        <v/>
      </c>
      <c r="AK232" s="9" t="s">
        <v>102</v>
      </c>
      <c r="AL232" s="13">
        <f>IFERROR(INDEX('Balizador da Meta'!$D$3:$F$23,MATCH(Faturamento!$P232,'Balizador da Meta'!$C$3:$C$23,0),MATCH(Faturamento!AK232,'Balizador da Meta'!$D$2:$F$2,0)),"")</f>
        <v>0</v>
      </c>
      <c r="AM232" s="9"/>
    </row>
    <row r="233" spans="1:39" x14ac:dyDescent="0.3">
      <c r="A233" s="2" t="str">
        <f t="shared" si="191"/>
        <v>NÃO</v>
      </c>
      <c r="B233" s="2" t="str">
        <f>_xlfn.XLOOKUP($N233,'Base de Grupos'!$A:$A,'Base de Grupos'!$D:$D)</f>
        <v>1000065763</v>
      </c>
      <c r="C233" s="5" t="str">
        <f>_xlfn.XLOOKUP($N233,'Base de Grupos'!$A:$A,'Base de Grupos'!$E:$E)</f>
        <v>CANAL VENDA INTERNA</v>
      </c>
      <c r="D233" s="5" t="str">
        <f>_xlfn.XLOOKUP($N233,'Base de Grupos'!$A:$A,'Base de Grupos'!$F:$F)</f>
        <v>1000065763</v>
      </c>
      <c r="E233" s="2" t="str">
        <f>_xlfn.XLOOKUP($N233,'Base de Grupos'!$A:$A,'Base de Grupos'!$G:$G)</f>
        <v>CANAL VENDA INTERNA</v>
      </c>
      <c r="F233" s="2" t="str">
        <f>_xlfn.XLOOKUP($N233,'Base de Grupos'!$A:$A,'Base de Grupos'!$H:$H)</f>
        <v>1000153245</v>
      </c>
      <c r="G233" s="5" t="str">
        <f>_xlfn.XLOOKUP($N233,'Base de Grupos'!$A:$A,'Base de Grupos'!$I:$I)</f>
        <v>REGIONAL VENDA INTERNA - KEY ACCOUNT</v>
      </c>
      <c r="H233" s="5" t="str">
        <f>_xlfn.XLOOKUP($N233,'Base de Grupos'!$A:$A,'Base de Grupos'!$J:$J)</f>
        <v>1000153245</v>
      </c>
      <c r="I233" s="2" t="str">
        <f>_xlfn.XLOOKUP($N233,'Base de Grupos'!$A:$A,'Base de Grupos'!$K:$K)</f>
        <v>REGIONAL VENDA INTERNA - KEY ACCOUNT</v>
      </c>
      <c r="J233" s="2" t="str">
        <f>_xlfn.XLOOKUP($N233,'Base de Grupos'!$A:$A,'Base de Grupos'!$L:$L)</f>
        <v>1000153245</v>
      </c>
      <c r="K233" s="5" t="str">
        <f>_xlfn.XLOOKUP($N233,'Base de Grupos'!$A:$A,'Base de Grupos'!$M:$M)</f>
        <v>REGIONAL VENDA INTERNA - KEY ACCOUNT</v>
      </c>
      <c r="L233" s="5" t="str">
        <f t="shared" si="192"/>
        <v/>
      </c>
      <c r="M233" s="5" t="str">
        <f>_xlfn.XLOOKUP($N233,'Base de Grupos'!$A:$A,'Base de Grupos'!$C:$C)</f>
        <v>PA</v>
      </c>
      <c r="N233" s="3">
        <v>1349</v>
      </c>
      <c r="O233" s="4" t="s">
        <v>236</v>
      </c>
      <c r="P233" s="5" t="s">
        <v>96</v>
      </c>
      <c r="Q233" s="56">
        <v>0</v>
      </c>
      <c r="R233" s="56">
        <v>0</v>
      </c>
      <c r="S233" s="56">
        <v>0</v>
      </c>
      <c r="T233" s="56">
        <f>_xlfn.XLOOKUP($N233,'Calculo Leads'!$A$97:$A$134,'Calculo Leads'!G$97:G$134)*_xlfn.XLOOKUP($P233,'Base Grupo de Produtos'!$E$2:$E$18,'Base Grupo de Produtos'!$F$2:$F$18)</f>
        <v>210.00000000000003</v>
      </c>
      <c r="U233" s="56">
        <f>_xlfn.XLOOKUP($N233,'Calculo Leads'!$A$97:$A$134,'Calculo Leads'!H$97:H$134)*_xlfn.XLOOKUP($P233,'Base Grupo de Produtos'!$E$2:$E$18,'Base Grupo de Produtos'!$F$2:$F$18)</f>
        <v>210.00000000000003</v>
      </c>
      <c r="V233" s="56">
        <f>_xlfn.XLOOKUP($N233,'Calculo Leads'!$A$97:$A$134,'Calculo Leads'!I$97:I$134)*_xlfn.XLOOKUP($P233,'Base Grupo de Produtos'!$E$2:$E$18,'Base Grupo de Produtos'!$F$2:$F$18)</f>
        <v>280</v>
      </c>
      <c r="W233" s="56">
        <f>_xlfn.XLOOKUP($N233,'Calculo Leads'!$A$97:$A$134,'Calculo Leads'!J$97:J$134)*_xlfn.XLOOKUP($P233,'Base Grupo de Produtos'!$E$2:$E$18,'Base Grupo de Produtos'!$F$2:$F$18)</f>
        <v>350.00000000000006</v>
      </c>
      <c r="X233" s="56">
        <f>_xlfn.XLOOKUP($N233,'Calculo Leads'!$A$97:$A$134,'Calculo Leads'!K$97:K$134)*_xlfn.XLOOKUP($P233,'Base Grupo de Produtos'!$E$2:$E$18,'Base Grupo de Produtos'!$F$2:$F$18)</f>
        <v>385.00000000000006</v>
      </c>
      <c r="Y233" s="56">
        <f>_xlfn.XLOOKUP($N233,'Calculo Leads'!$A$97:$A$134,'Calculo Leads'!L$97:L$134)*_xlfn.XLOOKUP($P233,'Base Grupo de Produtos'!$E$2:$E$18,'Base Grupo de Produtos'!$F$2:$F$18)</f>
        <v>462.00000000000006</v>
      </c>
      <c r="Z233" s="56">
        <f>_xlfn.XLOOKUP($N233,'Calculo Leads'!$A$97:$A$134,'Calculo Leads'!M$97:M$134)*_xlfn.XLOOKUP($P233,'Base Grupo de Produtos'!$E$2:$E$18,'Base Grupo de Produtos'!$F$2:$F$18)</f>
        <v>539</v>
      </c>
      <c r="AA233" s="56">
        <f>_xlfn.XLOOKUP($N233,'Calculo Leads'!$A$97:$A$134,'Calculo Leads'!N$97:N$134)*_xlfn.XLOOKUP($P233,'Base Grupo de Produtos'!$E$2:$E$18,'Base Grupo de Produtos'!$F$2:$F$18)</f>
        <v>616.00000000000011</v>
      </c>
      <c r="AB233" s="56">
        <f>_xlfn.XLOOKUP($N233,'Calculo Leads'!$A$97:$A$134,'Calculo Leads'!O$97:O$134)*_xlfn.XLOOKUP($P233,'Base Grupo de Produtos'!$E$2:$E$18,'Base Grupo de Produtos'!$F$2:$F$18)</f>
        <v>385.00000000000006</v>
      </c>
      <c r="AC233" s="61">
        <f t="shared" si="212"/>
        <v>3437</v>
      </c>
      <c r="AD233" s="27">
        <f t="shared" si="246"/>
        <v>3437</v>
      </c>
      <c r="AE233" s="25">
        <f>IFERROR(_xlfn.XLOOKUP(N233&amp;P233,'Historico Vendas'!G:G,'Historico Vendas'!E:E),0)</f>
        <v>0</v>
      </c>
      <c r="AF233" s="29" t="str">
        <f t="shared" si="190"/>
        <v/>
      </c>
      <c r="AG233" s="24">
        <f>IFERROR(_xlfn.XLOOKUP(N233&amp;P233,'Historico Vendas'!G:G,'Historico Vendas'!F:F),0)</f>
        <v>0</v>
      </c>
      <c r="AH233" s="25">
        <f t="shared" si="247"/>
        <v>0</v>
      </c>
      <c r="AI233" s="24">
        <f t="shared" si="248"/>
        <v>0</v>
      </c>
      <c r="AJ233" s="11" t="str">
        <f t="shared" si="211"/>
        <v/>
      </c>
      <c r="AK233" s="9" t="s">
        <v>102</v>
      </c>
      <c r="AL233" s="13">
        <f>IFERROR(INDEX('Balizador da Meta'!$D$3:$F$23,MATCH(Faturamento!$P233,'Balizador da Meta'!$C$3:$C$23,0),MATCH(Faturamento!AK233,'Balizador da Meta'!$D$2:$F$2,0)),"")</f>
        <v>0</v>
      </c>
      <c r="AM233" s="9"/>
    </row>
    <row r="234" spans="1:39" x14ac:dyDescent="0.3">
      <c r="A234" s="2" t="str">
        <f t="shared" si="191"/>
        <v>NÃO</v>
      </c>
      <c r="B234" s="2" t="str">
        <f>_xlfn.XLOOKUP($N234,'Base de Grupos'!$A:$A,'Base de Grupos'!$D:$D)</f>
        <v>1000065763</v>
      </c>
      <c r="C234" s="5" t="str">
        <f>_xlfn.XLOOKUP($N234,'Base de Grupos'!$A:$A,'Base de Grupos'!$E:$E)</f>
        <v>CANAL VENDA INTERNA</v>
      </c>
      <c r="D234" s="5" t="str">
        <f>_xlfn.XLOOKUP($N234,'Base de Grupos'!$A:$A,'Base de Grupos'!$F:$F)</f>
        <v>1000065763</v>
      </c>
      <c r="E234" s="2" t="str">
        <f>_xlfn.XLOOKUP($N234,'Base de Grupos'!$A:$A,'Base de Grupos'!$G:$G)</f>
        <v>CANAL VENDA INTERNA</v>
      </c>
      <c r="F234" s="2" t="str">
        <f>_xlfn.XLOOKUP($N234,'Base de Grupos'!$A:$A,'Base de Grupos'!$H:$H)</f>
        <v>1000153245</v>
      </c>
      <c r="G234" s="5" t="str">
        <f>_xlfn.XLOOKUP($N234,'Base de Grupos'!$A:$A,'Base de Grupos'!$I:$I)</f>
        <v>REGIONAL VENDA INTERNA - KEY ACCOUNT</v>
      </c>
      <c r="H234" s="5" t="str">
        <f>_xlfn.XLOOKUP($N234,'Base de Grupos'!$A:$A,'Base de Grupos'!$J:$J)</f>
        <v>1000153245</v>
      </c>
      <c r="I234" s="2" t="str">
        <f>_xlfn.XLOOKUP($N234,'Base de Grupos'!$A:$A,'Base de Grupos'!$K:$K)</f>
        <v>REGIONAL VENDA INTERNA - KEY ACCOUNT</v>
      </c>
      <c r="J234" s="2" t="str">
        <f>_xlfn.XLOOKUP($N234,'Base de Grupos'!$A:$A,'Base de Grupos'!$L:$L)</f>
        <v>1000153245</v>
      </c>
      <c r="K234" s="5" t="str">
        <f>_xlfn.XLOOKUP($N234,'Base de Grupos'!$A:$A,'Base de Grupos'!$M:$M)</f>
        <v>REGIONAL VENDA INTERNA - KEY ACCOUNT</v>
      </c>
      <c r="L234" s="5" t="str">
        <f t="shared" si="192"/>
        <v/>
      </c>
      <c r="M234" s="5" t="str">
        <f>_xlfn.XLOOKUP($N234,'Base de Grupos'!$A:$A,'Base de Grupos'!$C:$C)</f>
        <v>PA</v>
      </c>
      <c r="N234" s="3">
        <v>1349</v>
      </c>
      <c r="O234" s="4" t="s">
        <v>236</v>
      </c>
      <c r="P234" s="5" t="s">
        <v>94</v>
      </c>
      <c r="Q234" s="56">
        <v>0</v>
      </c>
      <c r="R234" s="56">
        <v>0</v>
      </c>
      <c r="S234" s="56">
        <v>0</v>
      </c>
      <c r="T234" s="56">
        <f>_xlfn.XLOOKUP($N234,'Calculo Leads'!$A$97:$A$134,'Calculo Leads'!G$97:G$134)*_xlfn.XLOOKUP($P234,'Base Grupo de Produtos'!$E$2:$E$18,'Base Grupo de Produtos'!$F$2:$F$18)</f>
        <v>150</v>
      </c>
      <c r="U234" s="56">
        <f>_xlfn.XLOOKUP($N234,'Calculo Leads'!$A$97:$A$134,'Calculo Leads'!H$97:H$134)*_xlfn.XLOOKUP($P234,'Base Grupo de Produtos'!$E$2:$E$18,'Base Grupo de Produtos'!$F$2:$F$18)</f>
        <v>150</v>
      </c>
      <c r="V234" s="56">
        <f>_xlfn.XLOOKUP($N234,'Calculo Leads'!$A$97:$A$134,'Calculo Leads'!I$97:I$134)*_xlfn.XLOOKUP($P234,'Base Grupo de Produtos'!$E$2:$E$18,'Base Grupo de Produtos'!$F$2:$F$18)</f>
        <v>199.99999999999997</v>
      </c>
      <c r="W234" s="56">
        <f>_xlfn.XLOOKUP($N234,'Calculo Leads'!$A$97:$A$134,'Calculo Leads'!J$97:J$134)*_xlfn.XLOOKUP($P234,'Base Grupo de Produtos'!$E$2:$E$18,'Base Grupo de Produtos'!$F$2:$F$18)</f>
        <v>249.99999999999997</v>
      </c>
      <c r="X234" s="56">
        <f>_xlfn.XLOOKUP($N234,'Calculo Leads'!$A$97:$A$134,'Calculo Leads'!K$97:K$134)*_xlfn.XLOOKUP($P234,'Base Grupo de Produtos'!$E$2:$E$18,'Base Grupo de Produtos'!$F$2:$F$18)</f>
        <v>275</v>
      </c>
      <c r="Y234" s="56">
        <f>_xlfn.XLOOKUP($N234,'Calculo Leads'!$A$97:$A$134,'Calculo Leads'!L$97:L$134)*_xlfn.XLOOKUP($P234,'Base Grupo de Produtos'!$E$2:$E$18,'Base Grupo de Produtos'!$F$2:$F$18)</f>
        <v>330</v>
      </c>
      <c r="Z234" s="56">
        <f>_xlfn.XLOOKUP($N234,'Calculo Leads'!$A$97:$A$134,'Calculo Leads'!M$97:M$134)*_xlfn.XLOOKUP($P234,'Base Grupo de Produtos'!$E$2:$E$18,'Base Grupo de Produtos'!$F$2:$F$18)</f>
        <v>384.99999999999994</v>
      </c>
      <c r="AA234" s="56">
        <f>_xlfn.XLOOKUP($N234,'Calculo Leads'!$A$97:$A$134,'Calculo Leads'!N$97:N$134)*_xlfn.XLOOKUP($P234,'Base Grupo de Produtos'!$E$2:$E$18,'Base Grupo de Produtos'!$F$2:$F$18)</f>
        <v>439.99999999999994</v>
      </c>
      <c r="AB234" s="56">
        <f>_xlfn.XLOOKUP($N234,'Calculo Leads'!$A$97:$A$134,'Calculo Leads'!O$97:O$134)*_xlfn.XLOOKUP($P234,'Base Grupo de Produtos'!$E$2:$E$18,'Base Grupo de Produtos'!$F$2:$F$18)</f>
        <v>275</v>
      </c>
      <c r="AC234" s="61">
        <f t="shared" si="212"/>
        <v>2455</v>
      </c>
      <c r="AD234" s="27">
        <f t="shared" si="246"/>
        <v>2455</v>
      </c>
      <c r="AE234" s="25">
        <f>IFERROR(_xlfn.XLOOKUP(N234&amp;P234,'Historico Vendas'!G:G,'Historico Vendas'!E:E),0)</f>
        <v>0</v>
      </c>
      <c r="AF234" s="29" t="str">
        <f t="shared" si="190"/>
        <v/>
      </c>
      <c r="AG234" s="24">
        <f>IFERROR(_xlfn.XLOOKUP(N234&amp;P234,'Historico Vendas'!G:G,'Historico Vendas'!F:F),0)</f>
        <v>0</v>
      </c>
      <c r="AH234" s="25">
        <f t="shared" si="247"/>
        <v>0</v>
      </c>
      <c r="AI234" s="24">
        <f t="shared" si="248"/>
        <v>0</v>
      </c>
      <c r="AJ234" s="11" t="str">
        <f t="shared" si="211"/>
        <v/>
      </c>
      <c r="AK234" s="9" t="s">
        <v>102</v>
      </c>
      <c r="AL234" s="13">
        <f>IFERROR(INDEX('Balizador da Meta'!$D$3:$F$23,MATCH(Faturamento!$P234,'Balizador da Meta'!$C$3:$C$23,0),MATCH(Faturamento!AK234,'Balizador da Meta'!$D$2:$F$2,0)),"")</f>
        <v>0.25</v>
      </c>
      <c r="AM234" s="9"/>
    </row>
    <row r="235" spans="1:39" x14ac:dyDescent="0.3">
      <c r="A235" s="2" t="str">
        <f t="shared" si="191"/>
        <v>NÃO</v>
      </c>
      <c r="B235" s="2" t="str">
        <f>_xlfn.XLOOKUP($N235,'Base de Grupos'!$A:$A,'Base de Grupos'!$D:$D)</f>
        <v>1000065763</v>
      </c>
      <c r="C235" s="5" t="str">
        <f>_xlfn.XLOOKUP($N235,'Base de Grupos'!$A:$A,'Base de Grupos'!$E:$E)</f>
        <v>CANAL VENDA INTERNA</v>
      </c>
      <c r="D235" s="5" t="str">
        <f>_xlfn.XLOOKUP($N235,'Base de Grupos'!$A:$A,'Base de Grupos'!$F:$F)</f>
        <v>1000065763</v>
      </c>
      <c r="E235" s="2" t="str">
        <f>_xlfn.XLOOKUP($N235,'Base de Grupos'!$A:$A,'Base de Grupos'!$G:$G)</f>
        <v>CANAL VENDA INTERNA</v>
      </c>
      <c r="F235" s="2" t="str">
        <f>_xlfn.XLOOKUP($N235,'Base de Grupos'!$A:$A,'Base de Grupos'!$H:$H)</f>
        <v>1000153245</v>
      </c>
      <c r="G235" s="5" t="str">
        <f>_xlfn.XLOOKUP($N235,'Base de Grupos'!$A:$A,'Base de Grupos'!$I:$I)</f>
        <v>REGIONAL VENDA INTERNA - KEY ACCOUNT</v>
      </c>
      <c r="H235" s="5" t="str">
        <f>_xlfn.XLOOKUP($N235,'Base de Grupos'!$A:$A,'Base de Grupos'!$J:$J)</f>
        <v>1000153245</v>
      </c>
      <c r="I235" s="2" t="str">
        <f>_xlfn.XLOOKUP($N235,'Base de Grupos'!$A:$A,'Base de Grupos'!$K:$K)</f>
        <v>REGIONAL VENDA INTERNA - KEY ACCOUNT</v>
      </c>
      <c r="J235" s="2" t="str">
        <f>_xlfn.XLOOKUP($N235,'Base de Grupos'!$A:$A,'Base de Grupos'!$L:$L)</f>
        <v>1000153245</v>
      </c>
      <c r="K235" s="5" t="str">
        <f>_xlfn.XLOOKUP($N235,'Base de Grupos'!$A:$A,'Base de Grupos'!$M:$M)</f>
        <v>REGIONAL VENDA INTERNA - KEY ACCOUNT</v>
      </c>
      <c r="L235" s="5" t="str">
        <f t="shared" si="192"/>
        <v/>
      </c>
      <c r="M235" s="5" t="str">
        <f>_xlfn.XLOOKUP($N235,'Base de Grupos'!$A:$A,'Base de Grupos'!$C:$C)</f>
        <v>PA</v>
      </c>
      <c r="N235" s="3">
        <v>1349</v>
      </c>
      <c r="O235" s="4" t="s">
        <v>236</v>
      </c>
      <c r="P235" s="5" t="s">
        <v>95</v>
      </c>
      <c r="Q235" s="56">
        <v>0</v>
      </c>
      <c r="R235" s="56">
        <v>0</v>
      </c>
      <c r="S235" s="56">
        <v>0</v>
      </c>
      <c r="T235" s="56">
        <f>_xlfn.XLOOKUP($N235,'Calculo Leads'!$A$97:$A$134,'Calculo Leads'!G$97:G$134)*_xlfn.XLOOKUP($P235,'Base Grupo de Produtos'!$E$2:$E$18,'Base Grupo de Produtos'!$F$2:$F$18)</f>
        <v>240</v>
      </c>
      <c r="U235" s="56">
        <f>_xlfn.XLOOKUP($N235,'Calculo Leads'!$A$97:$A$134,'Calculo Leads'!H$97:H$134)*_xlfn.XLOOKUP($P235,'Base Grupo de Produtos'!$E$2:$E$18,'Base Grupo de Produtos'!$F$2:$F$18)</f>
        <v>240</v>
      </c>
      <c r="V235" s="56">
        <f>_xlfn.XLOOKUP($N235,'Calculo Leads'!$A$97:$A$134,'Calculo Leads'!I$97:I$134)*_xlfn.XLOOKUP($P235,'Base Grupo de Produtos'!$E$2:$E$18,'Base Grupo de Produtos'!$F$2:$F$18)</f>
        <v>320</v>
      </c>
      <c r="W235" s="56">
        <f>_xlfn.XLOOKUP($N235,'Calculo Leads'!$A$97:$A$134,'Calculo Leads'!J$97:J$134)*_xlfn.XLOOKUP($P235,'Base Grupo de Produtos'!$E$2:$E$18,'Base Grupo de Produtos'!$F$2:$F$18)</f>
        <v>400</v>
      </c>
      <c r="X235" s="56">
        <f>_xlfn.XLOOKUP($N235,'Calculo Leads'!$A$97:$A$134,'Calculo Leads'!K$97:K$134)*_xlfn.XLOOKUP($P235,'Base Grupo de Produtos'!$E$2:$E$18,'Base Grupo de Produtos'!$F$2:$F$18)</f>
        <v>440</v>
      </c>
      <c r="Y235" s="56">
        <f>_xlfn.XLOOKUP($N235,'Calculo Leads'!$A$97:$A$134,'Calculo Leads'!L$97:L$134)*_xlfn.XLOOKUP($P235,'Base Grupo de Produtos'!$E$2:$E$18,'Base Grupo de Produtos'!$F$2:$F$18)</f>
        <v>528</v>
      </c>
      <c r="Z235" s="56">
        <f>_xlfn.XLOOKUP($N235,'Calculo Leads'!$A$97:$A$134,'Calculo Leads'!M$97:M$134)*_xlfn.XLOOKUP($P235,'Base Grupo de Produtos'!$E$2:$E$18,'Base Grupo de Produtos'!$F$2:$F$18)</f>
        <v>616</v>
      </c>
      <c r="AA235" s="56">
        <f>_xlfn.XLOOKUP($N235,'Calculo Leads'!$A$97:$A$134,'Calculo Leads'!N$97:N$134)*_xlfn.XLOOKUP($P235,'Base Grupo de Produtos'!$E$2:$E$18,'Base Grupo de Produtos'!$F$2:$F$18)</f>
        <v>704</v>
      </c>
      <c r="AB235" s="56">
        <f>_xlfn.XLOOKUP($N235,'Calculo Leads'!$A$97:$A$134,'Calculo Leads'!O$97:O$134)*_xlfn.XLOOKUP($P235,'Base Grupo de Produtos'!$E$2:$E$18,'Base Grupo de Produtos'!$F$2:$F$18)</f>
        <v>440</v>
      </c>
      <c r="AC235" s="61">
        <f t="shared" si="212"/>
        <v>3928</v>
      </c>
      <c r="AD235" s="27">
        <f t="shared" si="246"/>
        <v>3928</v>
      </c>
      <c r="AE235" s="25">
        <f>IFERROR(_xlfn.XLOOKUP(N235&amp;P235,'Historico Vendas'!G:G,'Historico Vendas'!E:E),0)</f>
        <v>0</v>
      </c>
      <c r="AF235" s="29" t="str">
        <f t="shared" si="190"/>
        <v/>
      </c>
      <c r="AG235" s="24">
        <f>IFERROR(_xlfn.XLOOKUP(N235&amp;P235,'Historico Vendas'!G:G,'Historico Vendas'!F:F),0)</f>
        <v>0</v>
      </c>
      <c r="AH235" s="25">
        <f t="shared" si="247"/>
        <v>0</v>
      </c>
      <c r="AI235" s="24">
        <f t="shared" si="248"/>
        <v>0</v>
      </c>
      <c r="AJ235" s="11" t="str">
        <f t="shared" si="211"/>
        <v/>
      </c>
      <c r="AK235" s="9" t="s">
        <v>102</v>
      </c>
      <c r="AL235" s="13">
        <f>IFERROR(INDEX('Balizador da Meta'!$D$3:$F$23,MATCH(Faturamento!$P235,'Balizador da Meta'!$C$3:$C$23,0),MATCH(Faturamento!AK235,'Balizador da Meta'!$D$2:$F$2,0)),"")</f>
        <v>0.25</v>
      </c>
      <c r="AM235" s="9"/>
    </row>
    <row r="236" spans="1:39" x14ac:dyDescent="0.3">
      <c r="A236" s="2" t="str">
        <f t="shared" si="191"/>
        <v>NÃO</v>
      </c>
      <c r="B236" s="2" t="str">
        <f>_xlfn.XLOOKUP($N236,'Base de Grupos'!$A:$A,'Base de Grupos'!$D:$D)</f>
        <v>1000065763</v>
      </c>
      <c r="C236" s="5" t="str">
        <f>_xlfn.XLOOKUP($N236,'Base de Grupos'!$A:$A,'Base de Grupos'!$E:$E)</f>
        <v>CANAL VENDA INTERNA</v>
      </c>
      <c r="D236" s="5" t="str">
        <f>_xlfn.XLOOKUP($N236,'Base de Grupos'!$A:$A,'Base de Grupos'!$F:$F)</f>
        <v>1000065763</v>
      </c>
      <c r="E236" s="2" t="str">
        <f>_xlfn.XLOOKUP($N236,'Base de Grupos'!$A:$A,'Base de Grupos'!$G:$G)</f>
        <v>CANAL VENDA INTERNA</v>
      </c>
      <c r="F236" s="2" t="str">
        <f>_xlfn.XLOOKUP($N236,'Base de Grupos'!$A:$A,'Base de Grupos'!$H:$H)</f>
        <v>1000153245</v>
      </c>
      <c r="G236" s="5" t="str">
        <f>_xlfn.XLOOKUP($N236,'Base de Grupos'!$A:$A,'Base de Grupos'!$I:$I)</f>
        <v>REGIONAL VENDA INTERNA - KEY ACCOUNT</v>
      </c>
      <c r="H236" s="5" t="str">
        <f>_xlfn.XLOOKUP($N236,'Base de Grupos'!$A:$A,'Base de Grupos'!$J:$J)</f>
        <v>1000153245</v>
      </c>
      <c r="I236" s="2" t="str">
        <f>_xlfn.XLOOKUP($N236,'Base de Grupos'!$A:$A,'Base de Grupos'!$K:$K)</f>
        <v>REGIONAL VENDA INTERNA - KEY ACCOUNT</v>
      </c>
      <c r="J236" s="2" t="str">
        <f>_xlfn.XLOOKUP($N236,'Base de Grupos'!$A:$A,'Base de Grupos'!$L:$L)</f>
        <v>1000153245</v>
      </c>
      <c r="K236" s="5" t="str">
        <f>_xlfn.XLOOKUP($N236,'Base de Grupos'!$A:$A,'Base de Grupos'!$M:$M)</f>
        <v>REGIONAL VENDA INTERNA - KEY ACCOUNT</v>
      </c>
      <c r="L236" s="5" t="str">
        <f t="shared" si="192"/>
        <v/>
      </c>
      <c r="M236" s="5" t="str">
        <f>_xlfn.XLOOKUP($N236,'Base de Grupos'!$A:$A,'Base de Grupos'!$C:$C)</f>
        <v>PA</v>
      </c>
      <c r="N236" s="3">
        <v>1349</v>
      </c>
      <c r="O236" s="4" t="s">
        <v>236</v>
      </c>
      <c r="P236" s="5" t="s">
        <v>93</v>
      </c>
      <c r="Q236" s="56">
        <v>0</v>
      </c>
      <c r="R236" s="56">
        <v>0</v>
      </c>
      <c r="S236" s="56">
        <v>0</v>
      </c>
      <c r="T236" s="56">
        <f>_xlfn.XLOOKUP($N236,'Calculo Leads'!$A$97:$A$134,'Calculo Leads'!G$97:G$134)*_xlfn.XLOOKUP($P236,'Base Grupo de Produtos'!$E$2:$E$18,'Base Grupo de Produtos'!$F$2:$F$18)</f>
        <v>90</v>
      </c>
      <c r="U236" s="56">
        <f>_xlfn.XLOOKUP($N236,'Calculo Leads'!$A$97:$A$134,'Calculo Leads'!H$97:H$134)*_xlfn.XLOOKUP($P236,'Base Grupo de Produtos'!$E$2:$E$18,'Base Grupo de Produtos'!$F$2:$F$18)</f>
        <v>90</v>
      </c>
      <c r="V236" s="56">
        <f>_xlfn.XLOOKUP($N236,'Calculo Leads'!$A$97:$A$134,'Calculo Leads'!I$97:I$134)*_xlfn.XLOOKUP($P236,'Base Grupo de Produtos'!$E$2:$E$18,'Base Grupo de Produtos'!$F$2:$F$18)</f>
        <v>120</v>
      </c>
      <c r="W236" s="56">
        <f>_xlfn.XLOOKUP($N236,'Calculo Leads'!$A$97:$A$134,'Calculo Leads'!J$97:J$134)*_xlfn.XLOOKUP($P236,'Base Grupo de Produtos'!$E$2:$E$18,'Base Grupo de Produtos'!$F$2:$F$18)</f>
        <v>150</v>
      </c>
      <c r="X236" s="56">
        <f>_xlfn.XLOOKUP($N236,'Calculo Leads'!$A$97:$A$134,'Calculo Leads'!K$97:K$134)*_xlfn.XLOOKUP($P236,'Base Grupo de Produtos'!$E$2:$E$18,'Base Grupo de Produtos'!$F$2:$F$18)</f>
        <v>165</v>
      </c>
      <c r="Y236" s="56">
        <f>_xlfn.XLOOKUP($N236,'Calculo Leads'!$A$97:$A$134,'Calculo Leads'!L$97:L$134)*_xlfn.XLOOKUP($P236,'Base Grupo de Produtos'!$E$2:$E$18,'Base Grupo de Produtos'!$F$2:$F$18)</f>
        <v>198</v>
      </c>
      <c r="Z236" s="56">
        <f>_xlfn.XLOOKUP($N236,'Calculo Leads'!$A$97:$A$134,'Calculo Leads'!M$97:M$134)*_xlfn.XLOOKUP($P236,'Base Grupo de Produtos'!$E$2:$E$18,'Base Grupo de Produtos'!$F$2:$F$18)</f>
        <v>231</v>
      </c>
      <c r="AA236" s="56">
        <f>_xlfn.XLOOKUP($N236,'Calculo Leads'!$A$97:$A$134,'Calculo Leads'!N$97:N$134)*_xlfn.XLOOKUP($P236,'Base Grupo de Produtos'!$E$2:$E$18,'Base Grupo de Produtos'!$F$2:$F$18)</f>
        <v>264</v>
      </c>
      <c r="AB236" s="56">
        <f>_xlfn.XLOOKUP($N236,'Calculo Leads'!$A$97:$A$134,'Calculo Leads'!O$97:O$134)*_xlfn.XLOOKUP($P236,'Base Grupo de Produtos'!$E$2:$E$18,'Base Grupo de Produtos'!$F$2:$F$18)</f>
        <v>165</v>
      </c>
      <c r="AC236" s="61">
        <f t="shared" si="212"/>
        <v>1473</v>
      </c>
      <c r="AD236" s="27">
        <f t="shared" si="246"/>
        <v>1473</v>
      </c>
      <c r="AE236" s="25">
        <f>IFERROR(_xlfn.XLOOKUP(N236&amp;P236,'Historico Vendas'!G:G,'Historico Vendas'!E:E),0)</f>
        <v>0</v>
      </c>
      <c r="AF236" s="29" t="str">
        <f t="shared" si="190"/>
        <v/>
      </c>
      <c r="AG236" s="24">
        <f>IFERROR(_xlfn.XLOOKUP(N236&amp;P236,'Historico Vendas'!G:G,'Historico Vendas'!F:F),0)</f>
        <v>0</v>
      </c>
      <c r="AH236" s="25">
        <f t="shared" si="247"/>
        <v>0</v>
      </c>
      <c r="AI236" s="24">
        <f t="shared" si="248"/>
        <v>0</v>
      </c>
      <c r="AJ236" s="11" t="str">
        <f t="shared" si="211"/>
        <v/>
      </c>
      <c r="AK236" s="9" t="s">
        <v>102</v>
      </c>
      <c r="AL236" s="13">
        <f>IFERROR(INDEX('Balizador da Meta'!$D$3:$F$23,MATCH(Faturamento!$P236,'Balizador da Meta'!$C$3:$C$23,0),MATCH(Faturamento!AK236,'Balizador da Meta'!$D$2:$F$2,0)),"")</f>
        <v>0.2</v>
      </c>
      <c r="AM236" s="9"/>
    </row>
    <row r="237" spans="1:39" x14ac:dyDescent="0.3">
      <c r="A237" s="2" t="str">
        <f t="shared" si="191"/>
        <v>SIM</v>
      </c>
      <c r="B237" s="2" t="str">
        <f>_xlfn.XLOOKUP($N237,'Base de Grupos'!$A:$A,'Base de Grupos'!$D:$D)</f>
        <v>1000065763</v>
      </c>
      <c r="C237" s="5" t="str">
        <f>_xlfn.XLOOKUP($N237,'Base de Grupos'!$A:$A,'Base de Grupos'!$E:$E)</f>
        <v>CANAL VENDA INTERNA</v>
      </c>
      <c r="D237" s="5" t="str">
        <f>_xlfn.XLOOKUP($N237,'Base de Grupos'!$A:$A,'Base de Grupos'!$F:$F)</f>
        <v>1000065763</v>
      </c>
      <c r="E237" s="2" t="str">
        <f>_xlfn.XLOOKUP($N237,'Base de Grupos'!$A:$A,'Base de Grupos'!$G:$G)</f>
        <v>CANAL VENDA INTERNA</v>
      </c>
      <c r="F237" s="2" t="str">
        <f>_xlfn.XLOOKUP($N237,'Base de Grupos'!$A:$A,'Base de Grupos'!$H:$H)</f>
        <v>1000105900</v>
      </c>
      <c r="G237" s="5" t="str">
        <f>_xlfn.XLOOKUP($N237,'Base de Grupos'!$A:$A,'Base de Grupos'!$I:$I)</f>
        <v>REGIONAL VENDA DIRETA CO + NE + NO</v>
      </c>
      <c r="H237" s="5" t="str">
        <f>_xlfn.XLOOKUP($N237,'Base de Grupos'!$A:$A,'Base de Grupos'!$J:$J)</f>
        <v>1000105900</v>
      </c>
      <c r="I237" s="2" t="str">
        <f>_xlfn.XLOOKUP($N237,'Base de Grupos'!$A:$A,'Base de Grupos'!$K:$K)</f>
        <v>REGIONAL VENDA DIRETA CO + NE + NO</v>
      </c>
      <c r="J237" s="2" t="str">
        <f>_xlfn.XLOOKUP($N237,'Base de Grupos'!$A:$A,'Base de Grupos'!$L:$L)</f>
        <v>1000150135</v>
      </c>
      <c r="K237" s="5" t="str">
        <f>_xlfn.XLOOKUP($N237,'Base de Grupos'!$A:$A,'Base de Grupos'!$M:$M)</f>
        <v>HELDER DA SILVA BRUNKOW</v>
      </c>
      <c r="L237" s="5">
        <f t="shared" si="192"/>
        <v>1</v>
      </c>
      <c r="M237" s="5" t="str">
        <f>_xlfn.XLOOKUP($N237,'Base de Grupos'!$A:$A,'Base de Grupos'!$C:$C)</f>
        <v>AM</v>
      </c>
      <c r="N237" s="3">
        <v>1351</v>
      </c>
      <c r="O237" s="4" t="s">
        <v>237</v>
      </c>
      <c r="P237" s="5" t="s">
        <v>307</v>
      </c>
      <c r="Q237" s="56">
        <f t="shared" ref="Q237" si="249">SUM(Q238:Q254)</f>
        <v>0</v>
      </c>
      <c r="R237" s="56">
        <f t="shared" ref="R237" si="250">SUM(R238:R254)</f>
        <v>0</v>
      </c>
      <c r="S237" s="56">
        <f t="shared" ref="S237" si="251">SUM(S238:S254)</f>
        <v>0</v>
      </c>
      <c r="T237" s="56">
        <f t="shared" ref="T237" si="252">SUM(T238:T254)</f>
        <v>1000</v>
      </c>
      <c r="U237" s="56">
        <f t="shared" ref="U237" si="253">SUM(U238:U254)</f>
        <v>1000</v>
      </c>
      <c r="V237" s="56">
        <f t="shared" ref="V237" si="254">SUM(V238:V254)</f>
        <v>1000</v>
      </c>
      <c r="W237" s="56">
        <f t="shared" ref="W237" si="255">SUM(W238:W254)</f>
        <v>1000</v>
      </c>
      <c r="X237" s="56">
        <f t="shared" ref="X237" si="256">SUM(X238:X254)</f>
        <v>1100</v>
      </c>
      <c r="Y237" s="56">
        <f t="shared" ref="Y237" si="257">SUM(Y238:Y254)</f>
        <v>2200</v>
      </c>
      <c r="Z237" s="56">
        <f t="shared" ref="Z237" si="258">SUM(Z238:Z254)</f>
        <v>2200</v>
      </c>
      <c r="AA237" s="56">
        <f t="shared" ref="AA237" si="259">SUM(AA238:AA254)</f>
        <v>2200</v>
      </c>
      <c r="AB237" s="56">
        <f t="shared" ref="AB237" si="260">SUM(AB238:AB254)</f>
        <v>1100</v>
      </c>
      <c r="AC237" s="56">
        <f t="shared" ref="AC237" si="261">SUM(AC238:AC254)</f>
        <v>12800</v>
      </c>
      <c r="AD237" s="25">
        <f t="shared" ref="AD237" si="262">SUM(AD238:AD254)</f>
        <v>12800</v>
      </c>
      <c r="AE237" s="25">
        <f t="shared" ref="AE237:AI237" si="263">SUM(AE238:AE254)</f>
        <v>0</v>
      </c>
      <c r="AF237" s="11" t="str">
        <f t="shared" si="190"/>
        <v/>
      </c>
      <c r="AG237" s="24">
        <f t="shared" si="263"/>
        <v>0</v>
      </c>
      <c r="AH237" s="25">
        <f t="shared" si="263"/>
        <v>0</v>
      </c>
      <c r="AI237" s="24">
        <f t="shared" si="263"/>
        <v>0</v>
      </c>
      <c r="AJ237" s="11" t="str">
        <f t="shared" si="211"/>
        <v/>
      </c>
      <c r="AK237" s="9"/>
      <c r="AL237" s="13"/>
      <c r="AM237" s="9"/>
    </row>
    <row r="238" spans="1:39" x14ac:dyDescent="0.3">
      <c r="A238" s="2" t="str">
        <f t="shared" si="191"/>
        <v>NÃO</v>
      </c>
      <c r="B238" s="2" t="str">
        <f>_xlfn.XLOOKUP($N238,'Base de Grupos'!$A:$A,'Base de Grupos'!$D:$D)</f>
        <v>1000065763</v>
      </c>
      <c r="C238" s="5" t="str">
        <f>_xlfn.XLOOKUP($N238,'Base de Grupos'!$A:$A,'Base de Grupos'!$E:$E)</f>
        <v>CANAL VENDA INTERNA</v>
      </c>
      <c r="D238" s="5" t="str">
        <f>_xlfn.XLOOKUP($N238,'Base de Grupos'!$A:$A,'Base de Grupos'!$F:$F)</f>
        <v>1000065763</v>
      </c>
      <c r="E238" s="2" t="str">
        <f>_xlfn.XLOOKUP($N238,'Base de Grupos'!$A:$A,'Base de Grupos'!$G:$G)</f>
        <v>CANAL VENDA INTERNA</v>
      </c>
      <c r="F238" s="2" t="str">
        <f>_xlfn.XLOOKUP($N238,'Base de Grupos'!$A:$A,'Base de Grupos'!$H:$H)</f>
        <v>1000105900</v>
      </c>
      <c r="G238" s="5" t="str">
        <f>_xlfn.XLOOKUP($N238,'Base de Grupos'!$A:$A,'Base de Grupos'!$I:$I)</f>
        <v>REGIONAL VENDA DIRETA CO + NE + NO</v>
      </c>
      <c r="H238" s="5" t="str">
        <f>_xlfn.XLOOKUP($N238,'Base de Grupos'!$A:$A,'Base de Grupos'!$J:$J)</f>
        <v>1000105900</v>
      </c>
      <c r="I238" s="2" t="str">
        <f>_xlfn.XLOOKUP($N238,'Base de Grupos'!$A:$A,'Base de Grupos'!$K:$K)</f>
        <v>REGIONAL VENDA DIRETA CO + NE + NO</v>
      </c>
      <c r="J238" s="2" t="str">
        <f>_xlfn.XLOOKUP($N238,'Base de Grupos'!$A:$A,'Base de Grupos'!$L:$L)</f>
        <v>1000150135</v>
      </c>
      <c r="K238" s="5" t="str">
        <f>_xlfn.XLOOKUP($N238,'Base de Grupos'!$A:$A,'Base de Grupos'!$M:$M)</f>
        <v>HELDER DA SILVA BRUNKOW</v>
      </c>
      <c r="L238" s="5" t="str">
        <f t="shared" si="192"/>
        <v/>
      </c>
      <c r="M238" s="5" t="str">
        <f>_xlfn.XLOOKUP($N238,'Base de Grupos'!$A:$A,'Base de Grupos'!$C:$C)</f>
        <v>AM</v>
      </c>
      <c r="N238" s="3">
        <v>1351</v>
      </c>
      <c r="O238" s="4" t="s">
        <v>237</v>
      </c>
      <c r="P238" s="5" t="s">
        <v>81</v>
      </c>
      <c r="Q238" s="56">
        <v>0</v>
      </c>
      <c r="R238" s="56">
        <v>0</v>
      </c>
      <c r="S238" s="56">
        <v>0</v>
      </c>
      <c r="T238" s="56">
        <f>_xlfn.XLOOKUP($N238,'Calculo Leads'!$A$97:$A$134,'Calculo Leads'!G$97:G$134)*_xlfn.XLOOKUP($P238,'Base Grupo de Produtos'!$E$2:$E$18,'Base Grupo de Produtos'!$F$2:$F$18)</f>
        <v>50</v>
      </c>
      <c r="U238" s="56">
        <f>_xlfn.XLOOKUP($N238,'Calculo Leads'!$A$97:$A$134,'Calculo Leads'!H$97:H$134)*_xlfn.XLOOKUP($P238,'Base Grupo de Produtos'!$E$2:$E$18,'Base Grupo de Produtos'!$F$2:$F$18)</f>
        <v>50</v>
      </c>
      <c r="V238" s="56">
        <f>_xlfn.XLOOKUP($N238,'Calculo Leads'!$A$97:$A$134,'Calculo Leads'!I$97:I$134)*_xlfn.XLOOKUP($P238,'Base Grupo de Produtos'!$E$2:$E$18,'Base Grupo de Produtos'!$F$2:$F$18)</f>
        <v>50</v>
      </c>
      <c r="W238" s="56">
        <f>_xlfn.XLOOKUP($N238,'Calculo Leads'!$A$97:$A$134,'Calculo Leads'!J$97:J$134)*_xlfn.XLOOKUP($P238,'Base Grupo de Produtos'!$E$2:$E$18,'Base Grupo de Produtos'!$F$2:$F$18)</f>
        <v>50</v>
      </c>
      <c r="X238" s="56">
        <f>_xlfn.XLOOKUP($N238,'Calculo Leads'!$A$97:$A$134,'Calculo Leads'!K$97:K$134)*_xlfn.XLOOKUP($P238,'Base Grupo de Produtos'!$E$2:$E$18,'Base Grupo de Produtos'!$F$2:$F$18)</f>
        <v>55</v>
      </c>
      <c r="Y238" s="56">
        <f>_xlfn.XLOOKUP($N238,'Calculo Leads'!$A$97:$A$134,'Calculo Leads'!L$97:L$134)*_xlfn.XLOOKUP($P238,'Base Grupo de Produtos'!$E$2:$E$18,'Base Grupo de Produtos'!$F$2:$F$18)</f>
        <v>110</v>
      </c>
      <c r="Z238" s="56">
        <f>_xlfn.XLOOKUP($N238,'Calculo Leads'!$A$97:$A$134,'Calculo Leads'!M$97:M$134)*_xlfn.XLOOKUP($P238,'Base Grupo de Produtos'!$E$2:$E$18,'Base Grupo de Produtos'!$F$2:$F$18)</f>
        <v>110</v>
      </c>
      <c r="AA238" s="56">
        <f>_xlfn.XLOOKUP($N238,'Calculo Leads'!$A$97:$A$134,'Calculo Leads'!N$97:N$134)*_xlfn.XLOOKUP($P238,'Base Grupo de Produtos'!$E$2:$E$18,'Base Grupo de Produtos'!$F$2:$F$18)</f>
        <v>110</v>
      </c>
      <c r="AB238" s="56">
        <f>_xlfn.XLOOKUP($N238,'Calculo Leads'!$A$97:$A$134,'Calculo Leads'!O$97:O$134)*_xlfn.XLOOKUP($P238,'Base Grupo de Produtos'!$E$2:$E$18,'Base Grupo de Produtos'!$F$2:$F$18)</f>
        <v>55</v>
      </c>
      <c r="AC238" s="61">
        <f t="shared" si="212"/>
        <v>640</v>
      </c>
      <c r="AD238" s="27">
        <f t="shared" ref="AD238:AD254" si="264">IF(AC238=0,0,AC238-AG238)</f>
        <v>640</v>
      </c>
      <c r="AE238" s="25">
        <f>IFERROR(_xlfn.XLOOKUP(N238&amp;P238,'Historico Vendas'!G:G,'Historico Vendas'!E:E),0)</f>
        <v>0</v>
      </c>
      <c r="AF238" s="29" t="str">
        <f t="shared" si="190"/>
        <v/>
      </c>
      <c r="AG238" s="24">
        <f>IFERROR(_xlfn.XLOOKUP(N238&amp;P238,'Historico Vendas'!G:G,'Historico Vendas'!F:F),0)</f>
        <v>0</v>
      </c>
      <c r="AH238" s="25">
        <f t="shared" ref="AH238:AH254" si="265">SUM(Q238:S238)</f>
        <v>0</v>
      </c>
      <c r="AI238" s="24">
        <f t="shared" ref="AI238:AI254" si="266">AH238-AG238</f>
        <v>0</v>
      </c>
      <c r="AJ238" s="11" t="str">
        <f t="shared" si="211"/>
        <v/>
      </c>
      <c r="AK238" s="9" t="s">
        <v>102</v>
      </c>
      <c r="AL238" s="13">
        <f>IFERROR(INDEX('Balizador da Meta'!$D$3:$F$23,MATCH(Faturamento!$P238,'Balizador da Meta'!$C$3:$C$23,0),MATCH(Faturamento!AK238,'Balizador da Meta'!$D$2:$F$2,0)),"")</f>
        <v>0.2</v>
      </c>
      <c r="AM238" s="9"/>
    </row>
    <row r="239" spans="1:39" x14ac:dyDescent="0.3">
      <c r="A239" s="2" t="str">
        <f t="shared" si="191"/>
        <v>NÃO</v>
      </c>
      <c r="B239" s="2" t="str">
        <f>_xlfn.XLOOKUP($N239,'Base de Grupos'!$A:$A,'Base de Grupos'!$D:$D)</f>
        <v>1000065763</v>
      </c>
      <c r="C239" s="5" t="str">
        <f>_xlfn.XLOOKUP($N239,'Base de Grupos'!$A:$A,'Base de Grupos'!$E:$E)</f>
        <v>CANAL VENDA INTERNA</v>
      </c>
      <c r="D239" s="5" t="str">
        <f>_xlfn.XLOOKUP($N239,'Base de Grupos'!$A:$A,'Base de Grupos'!$F:$F)</f>
        <v>1000065763</v>
      </c>
      <c r="E239" s="2" t="str">
        <f>_xlfn.XLOOKUP($N239,'Base de Grupos'!$A:$A,'Base de Grupos'!$G:$G)</f>
        <v>CANAL VENDA INTERNA</v>
      </c>
      <c r="F239" s="2" t="str">
        <f>_xlfn.XLOOKUP($N239,'Base de Grupos'!$A:$A,'Base de Grupos'!$H:$H)</f>
        <v>1000105900</v>
      </c>
      <c r="G239" s="5" t="str">
        <f>_xlfn.XLOOKUP($N239,'Base de Grupos'!$A:$A,'Base de Grupos'!$I:$I)</f>
        <v>REGIONAL VENDA DIRETA CO + NE + NO</v>
      </c>
      <c r="H239" s="5" t="str">
        <f>_xlfn.XLOOKUP($N239,'Base de Grupos'!$A:$A,'Base de Grupos'!$J:$J)</f>
        <v>1000105900</v>
      </c>
      <c r="I239" s="2" t="str">
        <f>_xlfn.XLOOKUP($N239,'Base de Grupos'!$A:$A,'Base de Grupos'!$K:$K)</f>
        <v>REGIONAL VENDA DIRETA CO + NE + NO</v>
      </c>
      <c r="J239" s="2" t="str">
        <f>_xlfn.XLOOKUP($N239,'Base de Grupos'!$A:$A,'Base de Grupos'!$L:$L)</f>
        <v>1000150135</v>
      </c>
      <c r="K239" s="5" t="str">
        <f>_xlfn.XLOOKUP($N239,'Base de Grupos'!$A:$A,'Base de Grupos'!$M:$M)</f>
        <v>HELDER DA SILVA BRUNKOW</v>
      </c>
      <c r="L239" s="5" t="str">
        <f t="shared" si="192"/>
        <v/>
      </c>
      <c r="M239" s="5" t="str">
        <f>_xlfn.XLOOKUP($N239,'Base de Grupos'!$A:$A,'Base de Grupos'!$C:$C)</f>
        <v>AM</v>
      </c>
      <c r="N239" s="3">
        <v>1351</v>
      </c>
      <c r="O239" s="4" t="s">
        <v>237</v>
      </c>
      <c r="P239" s="5" t="s">
        <v>82</v>
      </c>
      <c r="Q239" s="56">
        <v>0</v>
      </c>
      <c r="R239" s="56">
        <v>0</v>
      </c>
      <c r="S239" s="56">
        <v>0</v>
      </c>
      <c r="T239" s="56">
        <f>_xlfn.XLOOKUP($N239,'Calculo Leads'!$A$97:$A$134,'Calculo Leads'!G$97:G$134)*_xlfn.XLOOKUP($P239,'Base Grupo de Produtos'!$E$2:$E$18,'Base Grupo de Produtos'!$F$2:$F$18)</f>
        <v>50</v>
      </c>
      <c r="U239" s="56">
        <f>_xlfn.XLOOKUP($N239,'Calculo Leads'!$A$97:$A$134,'Calculo Leads'!H$97:H$134)*_xlfn.XLOOKUP($P239,'Base Grupo de Produtos'!$E$2:$E$18,'Base Grupo de Produtos'!$F$2:$F$18)</f>
        <v>50</v>
      </c>
      <c r="V239" s="56">
        <f>_xlfn.XLOOKUP($N239,'Calculo Leads'!$A$97:$A$134,'Calculo Leads'!I$97:I$134)*_xlfn.XLOOKUP($P239,'Base Grupo de Produtos'!$E$2:$E$18,'Base Grupo de Produtos'!$F$2:$F$18)</f>
        <v>50</v>
      </c>
      <c r="W239" s="56">
        <f>_xlfn.XLOOKUP($N239,'Calculo Leads'!$A$97:$A$134,'Calculo Leads'!J$97:J$134)*_xlfn.XLOOKUP($P239,'Base Grupo de Produtos'!$E$2:$E$18,'Base Grupo de Produtos'!$F$2:$F$18)</f>
        <v>50</v>
      </c>
      <c r="X239" s="56">
        <f>_xlfn.XLOOKUP($N239,'Calculo Leads'!$A$97:$A$134,'Calculo Leads'!K$97:K$134)*_xlfn.XLOOKUP($P239,'Base Grupo de Produtos'!$E$2:$E$18,'Base Grupo de Produtos'!$F$2:$F$18)</f>
        <v>55</v>
      </c>
      <c r="Y239" s="56">
        <f>_xlfn.XLOOKUP($N239,'Calculo Leads'!$A$97:$A$134,'Calculo Leads'!L$97:L$134)*_xlfn.XLOOKUP($P239,'Base Grupo de Produtos'!$E$2:$E$18,'Base Grupo de Produtos'!$F$2:$F$18)</f>
        <v>110</v>
      </c>
      <c r="Z239" s="56">
        <f>_xlfn.XLOOKUP($N239,'Calculo Leads'!$A$97:$A$134,'Calculo Leads'!M$97:M$134)*_xlfn.XLOOKUP($P239,'Base Grupo de Produtos'!$E$2:$E$18,'Base Grupo de Produtos'!$F$2:$F$18)</f>
        <v>110</v>
      </c>
      <c r="AA239" s="56">
        <f>_xlfn.XLOOKUP($N239,'Calculo Leads'!$A$97:$A$134,'Calculo Leads'!N$97:N$134)*_xlfn.XLOOKUP($P239,'Base Grupo de Produtos'!$E$2:$E$18,'Base Grupo de Produtos'!$F$2:$F$18)</f>
        <v>110</v>
      </c>
      <c r="AB239" s="56">
        <f>_xlfn.XLOOKUP($N239,'Calculo Leads'!$A$97:$A$134,'Calculo Leads'!O$97:O$134)*_xlfn.XLOOKUP($P239,'Base Grupo de Produtos'!$E$2:$E$18,'Base Grupo de Produtos'!$F$2:$F$18)</f>
        <v>55</v>
      </c>
      <c r="AC239" s="61">
        <f t="shared" si="212"/>
        <v>640</v>
      </c>
      <c r="AD239" s="27">
        <f t="shared" si="264"/>
        <v>640</v>
      </c>
      <c r="AE239" s="25">
        <f>IFERROR(_xlfn.XLOOKUP(N239&amp;P239,'Historico Vendas'!G:G,'Historico Vendas'!E:E),0)</f>
        <v>0</v>
      </c>
      <c r="AF239" s="29" t="str">
        <f t="shared" si="190"/>
        <v/>
      </c>
      <c r="AG239" s="24">
        <f>IFERROR(_xlfn.XLOOKUP(N239&amp;P239,'Historico Vendas'!G:G,'Historico Vendas'!F:F),0)</f>
        <v>0</v>
      </c>
      <c r="AH239" s="25">
        <f t="shared" si="265"/>
        <v>0</v>
      </c>
      <c r="AI239" s="24">
        <f t="shared" si="266"/>
        <v>0</v>
      </c>
      <c r="AJ239" s="11" t="str">
        <f t="shared" si="211"/>
        <v/>
      </c>
      <c r="AK239" s="9" t="s">
        <v>102</v>
      </c>
      <c r="AL239" s="13">
        <f>IFERROR(INDEX('Balizador da Meta'!$D$3:$F$23,MATCH(Faturamento!$P239,'Balizador da Meta'!$C$3:$C$23,0),MATCH(Faturamento!AK239,'Balizador da Meta'!$D$2:$F$2,0)),"")</f>
        <v>0.2</v>
      </c>
      <c r="AM239" s="9"/>
    </row>
    <row r="240" spans="1:39" x14ac:dyDescent="0.3">
      <c r="A240" s="2" t="str">
        <f t="shared" si="191"/>
        <v>NÃO</v>
      </c>
      <c r="B240" s="2" t="str">
        <f>_xlfn.XLOOKUP($N240,'Base de Grupos'!$A:$A,'Base de Grupos'!$D:$D)</f>
        <v>1000065763</v>
      </c>
      <c r="C240" s="5" t="str">
        <f>_xlfn.XLOOKUP($N240,'Base de Grupos'!$A:$A,'Base de Grupos'!$E:$E)</f>
        <v>CANAL VENDA INTERNA</v>
      </c>
      <c r="D240" s="5" t="str">
        <f>_xlfn.XLOOKUP($N240,'Base de Grupos'!$A:$A,'Base de Grupos'!$F:$F)</f>
        <v>1000065763</v>
      </c>
      <c r="E240" s="2" t="str">
        <f>_xlfn.XLOOKUP($N240,'Base de Grupos'!$A:$A,'Base de Grupos'!$G:$G)</f>
        <v>CANAL VENDA INTERNA</v>
      </c>
      <c r="F240" s="2" t="str">
        <f>_xlfn.XLOOKUP($N240,'Base de Grupos'!$A:$A,'Base de Grupos'!$H:$H)</f>
        <v>1000105900</v>
      </c>
      <c r="G240" s="5" t="str">
        <f>_xlfn.XLOOKUP($N240,'Base de Grupos'!$A:$A,'Base de Grupos'!$I:$I)</f>
        <v>REGIONAL VENDA DIRETA CO + NE + NO</v>
      </c>
      <c r="H240" s="5" t="str">
        <f>_xlfn.XLOOKUP($N240,'Base de Grupos'!$A:$A,'Base de Grupos'!$J:$J)</f>
        <v>1000105900</v>
      </c>
      <c r="I240" s="2" t="str">
        <f>_xlfn.XLOOKUP($N240,'Base de Grupos'!$A:$A,'Base de Grupos'!$K:$K)</f>
        <v>REGIONAL VENDA DIRETA CO + NE + NO</v>
      </c>
      <c r="J240" s="2" t="str">
        <f>_xlfn.XLOOKUP($N240,'Base de Grupos'!$A:$A,'Base de Grupos'!$L:$L)</f>
        <v>1000150135</v>
      </c>
      <c r="K240" s="5" t="str">
        <f>_xlfn.XLOOKUP($N240,'Base de Grupos'!$A:$A,'Base de Grupos'!$M:$M)</f>
        <v>HELDER DA SILVA BRUNKOW</v>
      </c>
      <c r="L240" s="5" t="str">
        <f t="shared" si="192"/>
        <v/>
      </c>
      <c r="M240" s="5" t="str">
        <f>_xlfn.XLOOKUP($N240,'Base de Grupos'!$A:$A,'Base de Grupos'!$C:$C)</f>
        <v>AM</v>
      </c>
      <c r="N240" s="3">
        <v>1351</v>
      </c>
      <c r="O240" s="4" t="s">
        <v>237</v>
      </c>
      <c r="P240" s="5" t="s">
        <v>84</v>
      </c>
      <c r="Q240" s="56">
        <v>0</v>
      </c>
      <c r="R240" s="56">
        <v>0</v>
      </c>
      <c r="S240" s="56">
        <v>0</v>
      </c>
      <c r="T240" s="56">
        <f>_xlfn.XLOOKUP($N240,'Calculo Leads'!$A$97:$A$134,'Calculo Leads'!G$97:G$134)*_xlfn.XLOOKUP($P240,'Base Grupo de Produtos'!$E$2:$E$18,'Base Grupo de Produtos'!$F$2:$F$18)</f>
        <v>80</v>
      </c>
      <c r="U240" s="56">
        <f>_xlfn.XLOOKUP($N240,'Calculo Leads'!$A$97:$A$134,'Calculo Leads'!H$97:H$134)*_xlfn.XLOOKUP($P240,'Base Grupo de Produtos'!$E$2:$E$18,'Base Grupo de Produtos'!$F$2:$F$18)</f>
        <v>80</v>
      </c>
      <c r="V240" s="56">
        <f>_xlfn.XLOOKUP($N240,'Calculo Leads'!$A$97:$A$134,'Calculo Leads'!I$97:I$134)*_xlfn.XLOOKUP($P240,'Base Grupo de Produtos'!$E$2:$E$18,'Base Grupo de Produtos'!$F$2:$F$18)</f>
        <v>80</v>
      </c>
      <c r="W240" s="56">
        <f>_xlfn.XLOOKUP($N240,'Calculo Leads'!$A$97:$A$134,'Calculo Leads'!J$97:J$134)*_xlfn.XLOOKUP($P240,'Base Grupo de Produtos'!$E$2:$E$18,'Base Grupo de Produtos'!$F$2:$F$18)</f>
        <v>80</v>
      </c>
      <c r="X240" s="56">
        <f>_xlfn.XLOOKUP($N240,'Calculo Leads'!$A$97:$A$134,'Calculo Leads'!K$97:K$134)*_xlfn.XLOOKUP($P240,'Base Grupo de Produtos'!$E$2:$E$18,'Base Grupo de Produtos'!$F$2:$F$18)</f>
        <v>88</v>
      </c>
      <c r="Y240" s="56">
        <f>_xlfn.XLOOKUP($N240,'Calculo Leads'!$A$97:$A$134,'Calculo Leads'!L$97:L$134)*_xlfn.XLOOKUP($P240,'Base Grupo de Produtos'!$E$2:$E$18,'Base Grupo de Produtos'!$F$2:$F$18)</f>
        <v>176</v>
      </c>
      <c r="Z240" s="56">
        <f>_xlfn.XLOOKUP($N240,'Calculo Leads'!$A$97:$A$134,'Calculo Leads'!M$97:M$134)*_xlfn.XLOOKUP($P240,'Base Grupo de Produtos'!$E$2:$E$18,'Base Grupo de Produtos'!$F$2:$F$18)</f>
        <v>176</v>
      </c>
      <c r="AA240" s="56">
        <f>_xlfn.XLOOKUP($N240,'Calculo Leads'!$A$97:$A$134,'Calculo Leads'!N$97:N$134)*_xlfn.XLOOKUP($P240,'Base Grupo de Produtos'!$E$2:$E$18,'Base Grupo de Produtos'!$F$2:$F$18)</f>
        <v>176</v>
      </c>
      <c r="AB240" s="56">
        <f>_xlfn.XLOOKUP($N240,'Calculo Leads'!$A$97:$A$134,'Calculo Leads'!O$97:O$134)*_xlfn.XLOOKUP($P240,'Base Grupo de Produtos'!$E$2:$E$18,'Base Grupo de Produtos'!$F$2:$F$18)</f>
        <v>88</v>
      </c>
      <c r="AC240" s="61">
        <f t="shared" si="212"/>
        <v>1024</v>
      </c>
      <c r="AD240" s="27">
        <f t="shared" si="264"/>
        <v>1024</v>
      </c>
      <c r="AE240" s="25">
        <f>IFERROR(_xlfn.XLOOKUP(N240&amp;P240,'Historico Vendas'!G:G,'Historico Vendas'!E:E),0)</f>
        <v>0</v>
      </c>
      <c r="AF240" s="29" t="str">
        <f t="shared" si="190"/>
        <v/>
      </c>
      <c r="AG240" s="24">
        <f>IFERROR(_xlfn.XLOOKUP(N240&amp;P240,'Historico Vendas'!G:G,'Historico Vendas'!F:F),0)</f>
        <v>0</v>
      </c>
      <c r="AH240" s="25">
        <f t="shared" si="265"/>
        <v>0</v>
      </c>
      <c r="AI240" s="24">
        <f t="shared" si="266"/>
        <v>0</v>
      </c>
      <c r="AJ240" s="11" t="str">
        <f t="shared" si="211"/>
        <v/>
      </c>
      <c r="AK240" s="9" t="s">
        <v>102</v>
      </c>
      <c r="AL240" s="13">
        <f>IFERROR(INDEX('Balizador da Meta'!$D$3:$F$23,MATCH(Faturamento!$P240,'Balizador da Meta'!$C$3:$C$23,0),MATCH(Faturamento!AK240,'Balizador da Meta'!$D$2:$F$2,0)),"")</f>
        <v>0.15</v>
      </c>
      <c r="AM240" s="9"/>
    </row>
    <row r="241" spans="1:39" x14ac:dyDescent="0.3">
      <c r="A241" s="2" t="str">
        <f t="shared" si="191"/>
        <v>NÃO</v>
      </c>
      <c r="B241" s="2" t="str">
        <f>_xlfn.XLOOKUP($N241,'Base de Grupos'!$A:$A,'Base de Grupos'!$D:$D)</f>
        <v>1000065763</v>
      </c>
      <c r="C241" s="5" t="str">
        <f>_xlfn.XLOOKUP($N241,'Base de Grupos'!$A:$A,'Base de Grupos'!$E:$E)</f>
        <v>CANAL VENDA INTERNA</v>
      </c>
      <c r="D241" s="5" t="str">
        <f>_xlfn.XLOOKUP($N241,'Base de Grupos'!$A:$A,'Base de Grupos'!$F:$F)</f>
        <v>1000065763</v>
      </c>
      <c r="E241" s="2" t="str">
        <f>_xlfn.XLOOKUP($N241,'Base de Grupos'!$A:$A,'Base de Grupos'!$G:$G)</f>
        <v>CANAL VENDA INTERNA</v>
      </c>
      <c r="F241" s="2" t="str">
        <f>_xlfn.XLOOKUP($N241,'Base de Grupos'!$A:$A,'Base de Grupos'!$H:$H)</f>
        <v>1000105900</v>
      </c>
      <c r="G241" s="5" t="str">
        <f>_xlfn.XLOOKUP($N241,'Base de Grupos'!$A:$A,'Base de Grupos'!$I:$I)</f>
        <v>REGIONAL VENDA DIRETA CO + NE + NO</v>
      </c>
      <c r="H241" s="5" t="str">
        <f>_xlfn.XLOOKUP($N241,'Base de Grupos'!$A:$A,'Base de Grupos'!$J:$J)</f>
        <v>1000105900</v>
      </c>
      <c r="I241" s="2" t="str">
        <f>_xlfn.XLOOKUP($N241,'Base de Grupos'!$A:$A,'Base de Grupos'!$K:$K)</f>
        <v>REGIONAL VENDA DIRETA CO + NE + NO</v>
      </c>
      <c r="J241" s="2" t="str">
        <f>_xlfn.XLOOKUP($N241,'Base de Grupos'!$A:$A,'Base de Grupos'!$L:$L)</f>
        <v>1000150135</v>
      </c>
      <c r="K241" s="5" t="str">
        <f>_xlfn.XLOOKUP($N241,'Base de Grupos'!$A:$A,'Base de Grupos'!$M:$M)</f>
        <v>HELDER DA SILVA BRUNKOW</v>
      </c>
      <c r="L241" s="5" t="str">
        <f t="shared" si="192"/>
        <v/>
      </c>
      <c r="M241" s="5" t="str">
        <f>_xlfn.XLOOKUP($N241,'Base de Grupos'!$A:$A,'Base de Grupos'!$C:$C)</f>
        <v>AM</v>
      </c>
      <c r="N241" s="3">
        <v>1351</v>
      </c>
      <c r="O241" s="4" t="s">
        <v>237</v>
      </c>
      <c r="P241" s="5" t="s">
        <v>83</v>
      </c>
      <c r="Q241" s="56">
        <v>0</v>
      </c>
      <c r="R241" s="56">
        <v>0</v>
      </c>
      <c r="S241" s="56">
        <v>0</v>
      </c>
      <c r="T241" s="56">
        <f>_xlfn.XLOOKUP($N241,'Calculo Leads'!$A$97:$A$134,'Calculo Leads'!G$97:G$134)*_xlfn.XLOOKUP($P241,'Base Grupo de Produtos'!$E$2:$E$18,'Base Grupo de Produtos'!$F$2:$F$18)</f>
        <v>100</v>
      </c>
      <c r="U241" s="56">
        <f>_xlfn.XLOOKUP($N241,'Calculo Leads'!$A$97:$A$134,'Calculo Leads'!H$97:H$134)*_xlfn.XLOOKUP($P241,'Base Grupo de Produtos'!$E$2:$E$18,'Base Grupo de Produtos'!$F$2:$F$18)</f>
        <v>100</v>
      </c>
      <c r="V241" s="56">
        <f>_xlfn.XLOOKUP($N241,'Calculo Leads'!$A$97:$A$134,'Calculo Leads'!I$97:I$134)*_xlfn.XLOOKUP($P241,'Base Grupo de Produtos'!$E$2:$E$18,'Base Grupo de Produtos'!$F$2:$F$18)</f>
        <v>100</v>
      </c>
      <c r="W241" s="56">
        <f>_xlfn.XLOOKUP($N241,'Calculo Leads'!$A$97:$A$134,'Calculo Leads'!J$97:J$134)*_xlfn.XLOOKUP($P241,'Base Grupo de Produtos'!$E$2:$E$18,'Base Grupo de Produtos'!$F$2:$F$18)</f>
        <v>100</v>
      </c>
      <c r="X241" s="56">
        <f>_xlfn.XLOOKUP($N241,'Calculo Leads'!$A$97:$A$134,'Calculo Leads'!K$97:K$134)*_xlfn.XLOOKUP($P241,'Base Grupo de Produtos'!$E$2:$E$18,'Base Grupo de Produtos'!$F$2:$F$18)</f>
        <v>110</v>
      </c>
      <c r="Y241" s="56">
        <f>_xlfn.XLOOKUP($N241,'Calculo Leads'!$A$97:$A$134,'Calculo Leads'!L$97:L$134)*_xlfn.XLOOKUP($P241,'Base Grupo de Produtos'!$E$2:$E$18,'Base Grupo de Produtos'!$F$2:$F$18)</f>
        <v>220</v>
      </c>
      <c r="Z241" s="56">
        <f>_xlfn.XLOOKUP($N241,'Calculo Leads'!$A$97:$A$134,'Calculo Leads'!M$97:M$134)*_xlfn.XLOOKUP($P241,'Base Grupo de Produtos'!$E$2:$E$18,'Base Grupo de Produtos'!$F$2:$F$18)</f>
        <v>220</v>
      </c>
      <c r="AA241" s="56">
        <f>_xlfn.XLOOKUP($N241,'Calculo Leads'!$A$97:$A$134,'Calculo Leads'!N$97:N$134)*_xlfn.XLOOKUP($P241,'Base Grupo de Produtos'!$E$2:$E$18,'Base Grupo de Produtos'!$F$2:$F$18)</f>
        <v>220</v>
      </c>
      <c r="AB241" s="56">
        <f>_xlfn.XLOOKUP($N241,'Calculo Leads'!$A$97:$A$134,'Calculo Leads'!O$97:O$134)*_xlfn.XLOOKUP($P241,'Base Grupo de Produtos'!$E$2:$E$18,'Base Grupo de Produtos'!$F$2:$F$18)</f>
        <v>110</v>
      </c>
      <c r="AC241" s="61">
        <f t="shared" si="212"/>
        <v>1280</v>
      </c>
      <c r="AD241" s="27">
        <f t="shared" si="264"/>
        <v>1280</v>
      </c>
      <c r="AE241" s="25">
        <f>IFERROR(_xlfn.XLOOKUP(N241&amp;P241,'Historico Vendas'!G:G,'Historico Vendas'!E:E),0)</f>
        <v>0</v>
      </c>
      <c r="AF241" s="29" t="str">
        <f t="shared" ref="AF241:AF304" si="267">IFERROR((AC241-AE241)/AE241,"")</f>
        <v/>
      </c>
      <c r="AG241" s="24">
        <f>IFERROR(_xlfn.XLOOKUP(N241&amp;P241,'Historico Vendas'!G:G,'Historico Vendas'!F:F),0)</f>
        <v>0</v>
      </c>
      <c r="AH241" s="25">
        <f t="shared" si="265"/>
        <v>0</v>
      </c>
      <c r="AI241" s="24">
        <f t="shared" si="266"/>
        <v>0</v>
      </c>
      <c r="AJ241" s="11" t="str">
        <f t="shared" si="211"/>
        <v/>
      </c>
      <c r="AK241" s="9" t="s">
        <v>102</v>
      </c>
      <c r="AL241" s="13">
        <f>IFERROR(INDEX('Balizador da Meta'!$D$3:$F$23,MATCH(Faturamento!$P241,'Balizador da Meta'!$C$3:$C$23,0),MATCH(Faturamento!AK241,'Balizador da Meta'!$D$2:$F$2,0)),"")</f>
        <v>0</v>
      </c>
      <c r="AM241" s="9"/>
    </row>
    <row r="242" spans="1:39" x14ac:dyDescent="0.3">
      <c r="A242" s="2" t="str">
        <f t="shared" ref="A242:A305" si="268">IF(L242=1,"SIM","NÃO")</f>
        <v>NÃO</v>
      </c>
      <c r="B242" s="2" t="str">
        <f>_xlfn.XLOOKUP($N242,'Base de Grupos'!$A:$A,'Base de Grupos'!$D:$D)</f>
        <v>1000065763</v>
      </c>
      <c r="C242" s="5" t="str">
        <f>_xlfn.XLOOKUP($N242,'Base de Grupos'!$A:$A,'Base de Grupos'!$E:$E)</f>
        <v>CANAL VENDA INTERNA</v>
      </c>
      <c r="D242" s="5" t="str">
        <f>_xlfn.XLOOKUP($N242,'Base de Grupos'!$A:$A,'Base de Grupos'!$F:$F)</f>
        <v>1000065763</v>
      </c>
      <c r="E242" s="2" t="str">
        <f>_xlfn.XLOOKUP($N242,'Base de Grupos'!$A:$A,'Base de Grupos'!$G:$G)</f>
        <v>CANAL VENDA INTERNA</v>
      </c>
      <c r="F242" s="2" t="str">
        <f>_xlfn.XLOOKUP($N242,'Base de Grupos'!$A:$A,'Base de Grupos'!$H:$H)</f>
        <v>1000105900</v>
      </c>
      <c r="G242" s="5" t="str">
        <f>_xlfn.XLOOKUP($N242,'Base de Grupos'!$A:$A,'Base de Grupos'!$I:$I)</f>
        <v>REGIONAL VENDA DIRETA CO + NE + NO</v>
      </c>
      <c r="H242" s="5" t="str">
        <f>_xlfn.XLOOKUP($N242,'Base de Grupos'!$A:$A,'Base de Grupos'!$J:$J)</f>
        <v>1000105900</v>
      </c>
      <c r="I242" s="2" t="str">
        <f>_xlfn.XLOOKUP($N242,'Base de Grupos'!$A:$A,'Base de Grupos'!$K:$K)</f>
        <v>REGIONAL VENDA DIRETA CO + NE + NO</v>
      </c>
      <c r="J242" s="2" t="str">
        <f>_xlfn.XLOOKUP($N242,'Base de Grupos'!$A:$A,'Base de Grupos'!$L:$L)</f>
        <v>1000150135</v>
      </c>
      <c r="K242" s="5" t="str">
        <f>_xlfn.XLOOKUP($N242,'Base de Grupos'!$A:$A,'Base de Grupos'!$M:$M)</f>
        <v>HELDER DA SILVA BRUNKOW</v>
      </c>
      <c r="L242" s="5" t="str">
        <f t="shared" ref="L242:L305" si="269">IF(N242&lt;&gt;N241,1,"")</f>
        <v/>
      </c>
      <c r="M242" s="5" t="str">
        <f>_xlfn.XLOOKUP($N242,'Base de Grupos'!$A:$A,'Base de Grupos'!$C:$C)</f>
        <v>AM</v>
      </c>
      <c r="N242" s="3">
        <v>1351</v>
      </c>
      <c r="O242" s="4" t="s">
        <v>237</v>
      </c>
      <c r="P242" s="5" t="s">
        <v>87</v>
      </c>
      <c r="Q242" s="56">
        <v>0</v>
      </c>
      <c r="R242" s="56">
        <v>0</v>
      </c>
      <c r="S242" s="56">
        <v>0</v>
      </c>
      <c r="T242" s="56">
        <f>_xlfn.XLOOKUP($N242,'Calculo Leads'!$A$97:$A$134,'Calculo Leads'!G$97:G$134)*_xlfn.XLOOKUP($P242,'Base Grupo de Produtos'!$E$2:$E$18,'Base Grupo de Produtos'!$F$2:$F$18)</f>
        <v>19.999999999999996</v>
      </c>
      <c r="U242" s="56">
        <f>_xlfn.XLOOKUP($N242,'Calculo Leads'!$A$97:$A$134,'Calculo Leads'!H$97:H$134)*_xlfn.XLOOKUP($P242,'Base Grupo de Produtos'!$E$2:$E$18,'Base Grupo de Produtos'!$F$2:$F$18)</f>
        <v>19.999999999999996</v>
      </c>
      <c r="V242" s="56">
        <f>_xlfn.XLOOKUP($N242,'Calculo Leads'!$A$97:$A$134,'Calculo Leads'!I$97:I$134)*_xlfn.XLOOKUP($P242,'Base Grupo de Produtos'!$E$2:$E$18,'Base Grupo de Produtos'!$F$2:$F$18)</f>
        <v>19.999999999999996</v>
      </c>
      <c r="W242" s="56">
        <f>_xlfn.XLOOKUP($N242,'Calculo Leads'!$A$97:$A$134,'Calculo Leads'!J$97:J$134)*_xlfn.XLOOKUP($P242,'Base Grupo de Produtos'!$E$2:$E$18,'Base Grupo de Produtos'!$F$2:$F$18)</f>
        <v>19.999999999999996</v>
      </c>
      <c r="X242" s="56">
        <f>_xlfn.XLOOKUP($N242,'Calculo Leads'!$A$97:$A$134,'Calculo Leads'!K$97:K$134)*_xlfn.XLOOKUP($P242,'Base Grupo de Produtos'!$E$2:$E$18,'Base Grupo de Produtos'!$F$2:$F$18)</f>
        <v>21.999999999999996</v>
      </c>
      <c r="Y242" s="56">
        <f>_xlfn.XLOOKUP($N242,'Calculo Leads'!$A$97:$A$134,'Calculo Leads'!L$97:L$134)*_xlfn.XLOOKUP($P242,'Base Grupo de Produtos'!$E$2:$E$18,'Base Grupo de Produtos'!$F$2:$F$18)</f>
        <v>43.999999999999993</v>
      </c>
      <c r="Z242" s="56">
        <f>_xlfn.XLOOKUP($N242,'Calculo Leads'!$A$97:$A$134,'Calculo Leads'!M$97:M$134)*_xlfn.XLOOKUP($P242,'Base Grupo de Produtos'!$E$2:$E$18,'Base Grupo de Produtos'!$F$2:$F$18)</f>
        <v>43.999999999999993</v>
      </c>
      <c r="AA242" s="56">
        <f>_xlfn.XLOOKUP($N242,'Calculo Leads'!$A$97:$A$134,'Calculo Leads'!N$97:N$134)*_xlfn.XLOOKUP($P242,'Base Grupo de Produtos'!$E$2:$E$18,'Base Grupo de Produtos'!$F$2:$F$18)</f>
        <v>43.999999999999993</v>
      </c>
      <c r="AB242" s="56">
        <f>_xlfn.XLOOKUP($N242,'Calculo Leads'!$A$97:$A$134,'Calculo Leads'!O$97:O$134)*_xlfn.XLOOKUP($P242,'Base Grupo de Produtos'!$E$2:$E$18,'Base Grupo de Produtos'!$F$2:$F$18)</f>
        <v>21.999999999999996</v>
      </c>
      <c r="AC242" s="61">
        <f t="shared" si="212"/>
        <v>255.99999999999997</v>
      </c>
      <c r="AD242" s="27">
        <f t="shared" si="264"/>
        <v>255.99999999999997</v>
      </c>
      <c r="AE242" s="25">
        <f>IFERROR(_xlfn.XLOOKUP(N242&amp;P242,'Historico Vendas'!G:G,'Historico Vendas'!E:E),0)</f>
        <v>0</v>
      </c>
      <c r="AF242" s="29" t="str">
        <f t="shared" si="267"/>
        <v/>
      </c>
      <c r="AG242" s="24">
        <f>IFERROR(_xlfn.XLOOKUP(N242&amp;P242,'Historico Vendas'!G:G,'Historico Vendas'!F:F),0)</f>
        <v>0</v>
      </c>
      <c r="AH242" s="25">
        <f t="shared" si="265"/>
        <v>0</v>
      </c>
      <c r="AI242" s="24">
        <f t="shared" si="266"/>
        <v>0</v>
      </c>
      <c r="AJ242" s="11" t="str">
        <f t="shared" si="211"/>
        <v/>
      </c>
      <c r="AK242" s="9" t="s">
        <v>102</v>
      </c>
      <c r="AL242" s="13">
        <f>IFERROR(INDEX('Balizador da Meta'!$D$3:$F$23,MATCH(Faturamento!$P242,'Balizador da Meta'!$C$3:$C$23,0),MATCH(Faturamento!AK242,'Balizador da Meta'!$D$2:$F$2,0)),"")</f>
        <v>0</v>
      </c>
      <c r="AM242" s="9"/>
    </row>
    <row r="243" spans="1:39" x14ac:dyDescent="0.3">
      <c r="A243" s="2" t="str">
        <f t="shared" si="268"/>
        <v>NÃO</v>
      </c>
      <c r="B243" s="2" t="str">
        <f>_xlfn.XLOOKUP($N243,'Base de Grupos'!$A:$A,'Base de Grupos'!$D:$D)</f>
        <v>1000065763</v>
      </c>
      <c r="C243" s="5" t="str">
        <f>_xlfn.XLOOKUP($N243,'Base de Grupos'!$A:$A,'Base de Grupos'!$E:$E)</f>
        <v>CANAL VENDA INTERNA</v>
      </c>
      <c r="D243" s="5" t="str">
        <f>_xlfn.XLOOKUP($N243,'Base de Grupos'!$A:$A,'Base de Grupos'!$F:$F)</f>
        <v>1000065763</v>
      </c>
      <c r="E243" s="2" t="str">
        <f>_xlfn.XLOOKUP($N243,'Base de Grupos'!$A:$A,'Base de Grupos'!$G:$G)</f>
        <v>CANAL VENDA INTERNA</v>
      </c>
      <c r="F243" s="2" t="str">
        <f>_xlfn.XLOOKUP($N243,'Base de Grupos'!$A:$A,'Base de Grupos'!$H:$H)</f>
        <v>1000105900</v>
      </c>
      <c r="G243" s="5" t="str">
        <f>_xlfn.XLOOKUP($N243,'Base de Grupos'!$A:$A,'Base de Grupos'!$I:$I)</f>
        <v>REGIONAL VENDA DIRETA CO + NE + NO</v>
      </c>
      <c r="H243" s="5" t="str">
        <f>_xlfn.XLOOKUP($N243,'Base de Grupos'!$A:$A,'Base de Grupos'!$J:$J)</f>
        <v>1000105900</v>
      </c>
      <c r="I243" s="2" t="str">
        <f>_xlfn.XLOOKUP($N243,'Base de Grupos'!$A:$A,'Base de Grupos'!$K:$K)</f>
        <v>REGIONAL VENDA DIRETA CO + NE + NO</v>
      </c>
      <c r="J243" s="2" t="str">
        <f>_xlfn.XLOOKUP($N243,'Base de Grupos'!$A:$A,'Base de Grupos'!$L:$L)</f>
        <v>1000150135</v>
      </c>
      <c r="K243" s="5" t="str">
        <f>_xlfn.XLOOKUP($N243,'Base de Grupos'!$A:$A,'Base de Grupos'!$M:$M)</f>
        <v>HELDER DA SILVA BRUNKOW</v>
      </c>
      <c r="L243" s="5" t="str">
        <f t="shared" si="269"/>
        <v/>
      </c>
      <c r="M243" s="5" t="str">
        <f>_xlfn.XLOOKUP($N243,'Base de Grupos'!$A:$A,'Base de Grupos'!$C:$C)</f>
        <v>AM</v>
      </c>
      <c r="N243" s="3">
        <v>1351</v>
      </c>
      <c r="O243" s="4" t="s">
        <v>237</v>
      </c>
      <c r="P243" s="5" t="s">
        <v>85</v>
      </c>
      <c r="Q243" s="56">
        <v>0</v>
      </c>
      <c r="R243" s="56">
        <v>0</v>
      </c>
      <c r="S243" s="56">
        <v>0</v>
      </c>
      <c r="T243" s="56">
        <f>_xlfn.XLOOKUP($N243,'Calculo Leads'!$A$97:$A$134,'Calculo Leads'!G$97:G$134)*_xlfn.XLOOKUP($P243,'Base Grupo de Produtos'!$E$2:$E$18,'Base Grupo de Produtos'!$F$2:$F$18)</f>
        <v>20</v>
      </c>
      <c r="U243" s="56">
        <f>_xlfn.XLOOKUP($N243,'Calculo Leads'!$A$97:$A$134,'Calculo Leads'!H$97:H$134)*_xlfn.XLOOKUP($P243,'Base Grupo de Produtos'!$E$2:$E$18,'Base Grupo de Produtos'!$F$2:$F$18)</f>
        <v>20</v>
      </c>
      <c r="V243" s="56">
        <f>_xlfn.XLOOKUP($N243,'Calculo Leads'!$A$97:$A$134,'Calculo Leads'!I$97:I$134)*_xlfn.XLOOKUP($P243,'Base Grupo de Produtos'!$E$2:$E$18,'Base Grupo de Produtos'!$F$2:$F$18)</f>
        <v>20</v>
      </c>
      <c r="W243" s="56">
        <f>_xlfn.XLOOKUP($N243,'Calculo Leads'!$A$97:$A$134,'Calculo Leads'!J$97:J$134)*_xlfn.XLOOKUP($P243,'Base Grupo de Produtos'!$E$2:$E$18,'Base Grupo de Produtos'!$F$2:$F$18)</f>
        <v>20</v>
      </c>
      <c r="X243" s="56">
        <f>_xlfn.XLOOKUP($N243,'Calculo Leads'!$A$97:$A$134,'Calculo Leads'!K$97:K$134)*_xlfn.XLOOKUP($P243,'Base Grupo de Produtos'!$E$2:$E$18,'Base Grupo de Produtos'!$F$2:$F$18)</f>
        <v>22</v>
      </c>
      <c r="Y243" s="56">
        <f>_xlfn.XLOOKUP($N243,'Calculo Leads'!$A$97:$A$134,'Calculo Leads'!L$97:L$134)*_xlfn.XLOOKUP($P243,'Base Grupo de Produtos'!$E$2:$E$18,'Base Grupo de Produtos'!$F$2:$F$18)</f>
        <v>44</v>
      </c>
      <c r="Z243" s="56">
        <f>_xlfn.XLOOKUP($N243,'Calculo Leads'!$A$97:$A$134,'Calculo Leads'!M$97:M$134)*_xlfn.XLOOKUP($P243,'Base Grupo de Produtos'!$E$2:$E$18,'Base Grupo de Produtos'!$F$2:$F$18)</f>
        <v>44</v>
      </c>
      <c r="AA243" s="56">
        <f>_xlfn.XLOOKUP($N243,'Calculo Leads'!$A$97:$A$134,'Calculo Leads'!N$97:N$134)*_xlfn.XLOOKUP($P243,'Base Grupo de Produtos'!$E$2:$E$18,'Base Grupo de Produtos'!$F$2:$F$18)</f>
        <v>44</v>
      </c>
      <c r="AB243" s="56">
        <f>_xlfn.XLOOKUP($N243,'Calculo Leads'!$A$97:$A$134,'Calculo Leads'!O$97:O$134)*_xlfn.XLOOKUP($P243,'Base Grupo de Produtos'!$E$2:$E$18,'Base Grupo de Produtos'!$F$2:$F$18)</f>
        <v>22</v>
      </c>
      <c r="AC243" s="61">
        <f t="shared" si="212"/>
        <v>256</v>
      </c>
      <c r="AD243" s="27">
        <f t="shared" si="264"/>
        <v>256</v>
      </c>
      <c r="AE243" s="25">
        <f>IFERROR(_xlfn.XLOOKUP(N243&amp;P243,'Historico Vendas'!G:G,'Historico Vendas'!E:E),0)</f>
        <v>0</v>
      </c>
      <c r="AF243" s="29" t="str">
        <f t="shared" si="267"/>
        <v/>
      </c>
      <c r="AG243" s="24">
        <f>IFERROR(_xlfn.XLOOKUP(N243&amp;P243,'Historico Vendas'!G:G,'Historico Vendas'!F:F),0)</f>
        <v>0</v>
      </c>
      <c r="AH243" s="25">
        <f t="shared" si="265"/>
        <v>0</v>
      </c>
      <c r="AI243" s="24">
        <f t="shared" si="266"/>
        <v>0</v>
      </c>
      <c r="AJ243" s="11" t="str">
        <f t="shared" si="211"/>
        <v/>
      </c>
      <c r="AK243" s="9" t="s">
        <v>102</v>
      </c>
      <c r="AL243" s="13">
        <f>IFERROR(INDEX('Balizador da Meta'!$D$3:$F$23,MATCH(Faturamento!$P243,'Balizador da Meta'!$C$3:$C$23,0),MATCH(Faturamento!AK243,'Balizador da Meta'!$D$2:$F$2,0)),"")</f>
        <v>0</v>
      </c>
      <c r="AM243" s="9"/>
    </row>
    <row r="244" spans="1:39" x14ac:dyDescent="0.3">
      <c r="A244" s="2" t="str">
        <f t="shared" si="268"/>
        <v>NÃO</v>
      </c>
      <c r="B244" s="2" t="str">
        <f>_xlfn.XLOOKUP($N244,'Base de Grupos'!$A:$A,'Base de Grupos'!$D:$D)</f>
        <v>1000065763</v>
      </c>
      <c r="C244" s="5" t="str">
        <f>_xlfn.XLOOKUP($N244,'Base de Grupos'!$A:$A,'Base de Grupos'!$E:$E)</f>
        <v>CANAL VENDA INTERNA</v>
      </c>
      <c r="D244" s="5" t="str">
        <f>_xlfn.XLOOKUP($N244,'Base de Grupos'!$A:$A,'Base de Grupos'!$F:$F)</f>
        <v>1000065763</v>
      </c>
      <c r="E244" s="2" t="str">
        <f>_xlfn.XLOOKUP($N244,'Base de Grupos'!$A:$A,'Base de Grupos'!$G:$G)</f>
        <v>CANAL VENDA INTERNA</v>
      </c>
      <c r="F244" s="2" t="str">
        <f>_xlfn.XLOOKUP($N244,'Base de Grupos'!$A:$A,'Base de Grupos'!$H:$H)</f>
        <v>1000105900</v>
      </c>
      <c r="G244" s="5" t="str">
        <f>_xlfn.XLOOKUP($N244,'Base de Grupos'!$A:$A,'Base de Grupos'!$I:$I)</f>
        <v>REGIONAL VENDA DIRETA CO + NE + NO</v>
      </c>
      <c r="H244" s="5" t="str">
        <f>_xlfn.XLOOKUP($N244,'Base de Grupos'!$A:$A,'Base de Grupos'!$J:$J)</f>
        <v>1000105900</v>
      </c>
      <c r="I244" s="2" t="str">
        <f>_xlfn.XLOOKUP($N244,'Base de Grupos'!$A:$A,'Base de Grupos'!$K:$K)</f>
        <v>REGIONAL VENDA DIRETA CO + NE + NO</v>
      </c>
      <c r="J244" s="2" t="str">
        <f>_xlfn.XLOOKUP($N244,'Base de Grupos'!$A:$A,'Base de Grupos'!$L:$L)</f>
        <v>1000150135</v>
      </c>
      <c r="K244" s="5" t="str">
        <f>_xlfn.XLOOKUP($N244,'Base de Grupos'!$A:$A,'Base de Grupos'!$M:$M)</f>
        <v>HELDER DA SILVA BRUNKOW</v>
      </c>
      <c r="L244" s="5" t="str">
        <f t="shared" si="269"/>
        <v/>
      </c>
      <c r="M244" s="5" t="str">
        <f>_xlfn.XLOOKUP($N244,'Base de Grupos'!$A:$A,'Base de Grupos'!$C:$C)</f>
        <v>AM</v>
      </c>
      <c r="N244" s="3">
        <v>1351</v>
      </c>
      <c r="O244" s="4" t="s">
        <v>237</v>
      </c>
      <c r="P244" s="5" t="s">
        <v>92</v>
      </c>
      <c r="Q244" s="56">
        <v>0</v>
      </c>
      <c r="R244" s="56">
        <v>0</v>
      </c>
      <c r="S244" s="56">
        <v>0</v>
      </c>
      <c r="T244" s="56">
        <f>_xlfn.XLOOKUP($N244,'Calculo Leads'!$A$97:$A$134,'Calculo Leads'!G$97:G$134)*_xlfn.XLOOKUP($P244,'Base Grupo de Produtos'!$E$2:$E$18,'Base Grupo de Produtos'!$F$2:$F$18)</f>
        <v>20</v>
      </c>
      <c r="U244" s="56">
        <f>_xlfn.XLOOKUP($N244,'Calculo Leads'!$A$97:$A$134,'Calculo Leads'!H$97:H$134)*_xlfn.XLOOKUP($P244,'Base Grupo de Produtos'!$E$2:$E$18,'Base Grupo de Produtos'!$F$2:$F$18)</f>
        <v>20</v>
      </c>
      <c r="V244" s="56">
        <f>_xlfn.XLOOKUP($N244,'Calculo Leads'!$A$97:$A$134,'Calculo Leads'!I$97:I$134)*_xlfn.XLOOKUP($P244,'Base Grupo de Produtos'!$E$2:$E$18,'Base Grupo de Produtos'!$F$2:$F$18)</f>
        <v>20</v>
      </c>
      <c r="W244" s="56">
        <f>_xlfn.XLOOKUP($N244,'Calculo Leads'!$A$97:$A$134,'Calculo Leads'!J$97:J$134)*_xlfn.XLOOKUP($P244,'Base Grupo de Produtos'!$E$2:$E$18,'Base Grupo de Produtos'!$F$2:$F$18)</f>
        <v>20</v>
      </c>
      <c r="X244" s="56">
        <f>_xlfn.XLOOKUP($N244,'Calculo Leads'!$A$97:$A$134,'Calculo Leads'!K$97:K$134)*_xlfn.XLOOKUP($P244,'Base Grupo de Produtos'!$E$2:$E$18,'Base Grupo de Produtos'!$F$2:$F$18)</f>
        <v>22</v>
      </c>
      <c r="Y244" s="56">
        <f>_xlfn.XLOOKUP($N244,'Calculo Leads'!$A$97:$A$134,'Calculo Leads'!L$97:L$134)*_xlfn.XLOOKUP($P244,'Base Grupo de Produtos'!$E$2:$E$18,'Base Grupo de Produtos'!$F$2:$F$18)</f>
        <v>44</v>
      </c>
      <c r="Z244" s="56">
        <f>_xlfn.XLOOKUP($N244,'Calculo Leads'!$A$97:$A$134,'Calculo Leads'!M$97:M$134)*_xlfn.XLOOKUP($P244,'Base Grupo de Produtos'!$E$2:$E$18,'Base Grupo de Produtos'!$F$2:$F$18)</f>
        <v>44</v>
      </c>
      <c r="AA244" s="56">
        <f>_xlfn.XLOOKUP($N244,'Calculo Leads'!$A$97:$A$134,'Calculo Leads'!N$97:N$134)*_xlfn.XLOOKUP($P244,'Base Grupo de Produtos'!$E$2:$E$18,'Base Grupo de Produtos'!$F$2:$F$18)</f>
        <v>44</v>
      </c>
      <c r="AB244" s="56">
        <f>_xlfn.XLOOKUP($N244,'Calculo Leads'!$A$97:$A$134,'Calculo Leads'!O$97:O$134)*_xlfn.XLOOKUP($P244,'Base Grupo de Produtos'!$E$2:$E$18,'Base Grupo de Produtos'!$F$2:$F$18)</f>
        <v>22</v>
      </c>
      <c r="AC244" s="61">
        <f t="shared" si="212"/>
        <v>256</v>
      </c>
      <c r="AD244" s="27">
        <f t="shared" si="264"/>
        <v>256</v>
      </c>
      <c r="AE244" s="25">
        <f>IFERROR(_xlfn.XLOOKUP(N244&amp;P244,'Historico Vendas'!G:G,'Historico Vendas'!E:E),0)</f>
        <v>0</v>
      </c>
      <c r="AF244" s="29" t="str">
        <f t="shared" si="267"/>
        <v/>
      </c>
      <c r="AG244" s="24">
        <f>IFERROR(_xlfn.XLOOKUP(N244&amp;P244,'Historico Vendas'!G:G,'Historico Vendas'!F:F),0)</f>
        <v>0</v>
      </c>
      <c r="AH244" s="25">
        <f t="shared" si="265"/>
        <v>0</v>
      </c>
      <c r="AI244" s="24">
        <f t="shared" si="266"/>
        <v>0</v>
      </c>
      <c r="AJ244" s="11" t="str">
        <f t="shared" si="211"/>
        <v/>
      </c>
      <c r="AK244" s="9" t="s">
        <v>102</v>
      </c>
      <c r="AL244" s="13">
        <f>IFERROR(INDEX('Balizador da Meta'!$D$3:$F$23,MATCH(Faturamento!$P244,'Balizador da Meta'!$C$3:$C$23,0),MATCH(Faturamento!AK244,'Balizador da Meta'!$D$2:$F$2,0)),"")</f>
        <v>0</v>
      </c>
      <c r="AM244" s="9"/>
    </row>
    <row r="245" spans="1:39" x14ac:dyDescent="0.3">
      <c r="A245" s="2" t="str">
        <f t="shared" si="268"/>
        <v>NÃO</v>
      </c>
      <c r="B245" s="2" t="str">
        <f>_xlfn.XLOOKUP($N245,'Base de Grupos'!$A:$A,'Base de Grupos'!$D:$D)</f>
        <v>1000065763</v>
      </c>
      <c r="C245" s="5" t="str">
        <f>_xlfn.XLOOKUP($N245,'Base de Grupos'!$A:$A,'Base de Grupos'!$E:$E)</f>
        <v>CANAL VENDA INTERNA</v>
      </c>
      <c r="D245" s="5" t="str">
        <f>_xlfn.XLOOKUP($N245,'Base de Grupos'!$A:$A,'Base de Grupos'!$F:$F)</f>
        <v>1000065763</v>
      </c>
      <c r="E245" s="2" t="str">
        <f>_xlfn.XLOOKUP($N245,'Base de Grupos'!$A:$A,'Base de Grupos'!$G:$G)</f>
        <v>CANAL VENDA INTERNA</v>
      </c>
      <c r="F245" s="2" t="str">
        <f>_xlfn.XLOOKUP($N245,'Base de Grupos'!$A:$A,'Base de Grupos'!$H:$H)</f>
        <v>1000105900</v>
      </c>
      <c r="G245" s="5" t="str">
        <f>_xlfn.XLOOKUP($N245,'Base de Grupos'!$A:$A,'Base de Grupos'!$I:$I)</f>
        <v>REGIONAL VENDA DIRETA CO + NE + NO</v>
      </c>
      <c r="H245" s="5" t="str">
        <f>_xlfn.XLOOKUP($N245,'Base de Grupos'!$A:$A,'Base de Grupos'!$J:$J)</f>
        <v>1000105900</v>
      </c>
      <c r="I245" s="2" t="str">
        <f>_xlfn.XLOOKUP($N245,'Base de Grupos'!$A:$A,'Base de Grupos'!$K:$K)</f>
        <v>REGIONAL VENDA DIRETA CO + NE + NO</v>
      </c>
      <c r="J245" s="2" t="str">
        <f>_xlfn.XLOOKUP($N245,'Base de Grupos'!$A:$A,'Base de Grupos'!$L:$L)</f>
        <v>1000150135</v>
      </c>
      <c r="K245" s="5" t="str">
        <f>_xlfn.XLOOKUP($N245,'Base de Grupos'!$A:$A,'Base de Grupos'!$M:$M)</f>
        <v>HELDER DA SILVA BRUNKOW</v>
      </c>
      <c r="L245" s="5" t="str">
        <f t="shared" si="269"/>
        <v/>
      </c>
      <c r="M245" s="5" t="str">
        <f>_xlfn.XLOOKUP($N245,'Base de Grupos'!$A:$A,'Base de Grupos'!$C:$C)</f>
        <v>AM</v>
      </c>
      <c r="N245" s="3">
        <v>1351</v>
      </c>
      <c r="O245" s="4" t="s">
        <v>237</v>
      </c>
      <c r="P245" s="5" t="s">
        <v>86</v>
      </c>
      <c r="Q245" s="56">
        <v>0</v>
      </c>
      <c r="R245" s="56">
        <v>0</v>
      </c>
      <c r="S245" s="56">
        <v>0</v>
      </c>
      <c r="T245" s="56">
        <f>_xlfn.XLOOKUP($N245,'Calculo Leads'!$A$97:$A$134,'Calculo Leads'!G$97:G$134)*_xlfn.XLOOKUP($P245,'Base Grupo de Produtos'!$E$2:$E$18,'Base Grupo de Produtos'!$F$2:$F$18)</f>
        <v>30</v>
      </c>
      <c r="U245" s="56">
        <f>_xlfn.XLOOKUP($N245,'Calculo Leads'!$A$97:$A$134,'Calculo Leads'!H$97:H$134)*_xlfn.XLOOKUP($P245,'Base Grupo de Produtos'!$E$2:$E$18,'Base Grupo de Produtos'!$F$2:$F$18)</f>
        <v>30</v>
      </c>
      <c r="V245" s="56">
        <f>_xlfn.XLOOKUP($N245,'Calculo Leads'!$A$97:$A$134,'Calculo Leads'!I$97:I$134)*_xlfn.XLOOKUP($P245,'Base Grupo de Produtos'!$E$2:$E$18,'Base Grupo de Produtos'!$F$2:$F$18)</f>
        <v>30</v>
      </c>
      <c r="W245" s="56">
        <f>_xlfn.XLOOKUP($N245,'Calculo Leads'!$A$97:$A$134,'Calculo Leads'!J$97:J$134)*_xlfn.XLOOKUP($P245,'Base Grupo de Produtos'!$E$2:$E$18,'Base Grupo de Produtos'!$F$2:$F$18)</f>
        <v>30</v>
      </c>
      <c r="X245" s="56">
        <f>_xlfn.XLOOKUP($N245,'Calculo Leads'!$A$97:$A$134,'Calculo Leads'!K$97:K$134)*_xlfn.XLOOKUP($P245,'Base Grupo de Produtos'!$E$2:$E$18,'Base Grupo de Produtos'!$F$2:$F$18)</f>
        <v>33</v>
      </c>
      <c r="Y245" s="56">
        <f>_xlfn.XLOOKUP($N245,'Calculo Leads'!$A$97:$A$134,'Calculo Leads'!L$97:L$134)*_xlfn.XLOOKUP($P245,'Base Grupo de Produtos'!$E$2:$E$18,'Base Grupo de Produtos'!$F$2:$F$18)</f>
        <v>66</v>
      </c>
      <c r="Z245" s="56">
        <f>_xlfn.XLOOKUP($N245,'Calculo Leads'!$A$97:$A$134,'Calculo Leads'!M$97:M$134)*_xlfn.XLOOKUP($P245,'Base Grupo de Produtos'!$E$2:$E$18,'Base Grupo de Produtos'!$F$2:$F$18)</f>
        <v>66</v>
      </c>
      <c r="AA245" s="56">
        <f>_xlfn.XLOOKUP($N245,'Calculo Leads'!$A$97:$A$134,'Calculo Leads'!N$97:N$134)*_xlfn.XLOOKUP($P245,'Base Grupo de Produtos'!$E$2:$E$18,'Base Grupo de Produtos'!$F$2:$F$18)</f>
        <v>66</v>
      </c>
      <c r="AB245" s="56">
        <f>_xlfn.XLOOKUP($N245,'Calculo Leads'!$A$97:$A$134,'Calculo Leads'!O$97:O$134)*_xlfn.XLOOKUP($P245,'Base Grupo de Produtos'!$E$2:$E$18,'Base Grupo de Produtos'!$F$2:$F$18)</f>
        <v>33</v>
      </c>
      <c r="AC245" s="61">
        <f t="shared" si="212"/>
        <v>384</v>
      </c>
      <c r="AD245" s="27">
        <f t="shared" si="264"/>
        <v>384</v>
      </c>
      <c r="AE245" s="25">
        <f>IFERROR(_xlfn.XLOOKUP(N245&amp;P245,'Historico Vendas'!G:G,'Historico Vendas'!E:E),0)</f>
        <v>0</v>
      </c>
      <c r="AF245" s="29" t="str">
        <f t="shared" si="267"/>
        <v/>
      </c>
      <c r="AG245" s="24">
        <f>IFERROR(_xlfn.XLOOKUP(N245&amp;P245,'Historico Vendas'!G:G,'Historico Vendas'!F:F),0)</f>
        <v>0</v>
      </c>
      <c r="AH245" s="25">
        <f t="shared" si="265"/>
        <v>0</v>
      </c>
      <c r="AI245" s="24">
        <f t="shared" si="266"/>
        <v>0</v>
      </c>
      <c r="AJ245" s="11" t="str">
        <f t="shared" si="211"/>
        <v/>
      </c>
      <c r="AK245" s="9" t="s">
        <v>102</v>
      </c>
      <c r="AL245" s="13">
        <f>IFERROR(INDEX('Balizador da Meta'!$D$3:$F$23,MATCH(Faturamento!$P245,'Balizador da Meta'!$C$3:$C$23,0),MATCH(Faturamento!AK245,'Balizador da Meta'!$D$2:$F$2,0)),"")</f>
        <v>0.15</v>
      </c>
      <c r="AM245" s="9"/>
    </row>
    <row r="246" spans="1:39" x14ac:dyDescent="0.3">
      <c r="A246" s="2" t="str">
        <f t="shared" si="268"/>
        <v>NÃO</v>
      </c>
      <c r="B246" s="2" t="str">
        <f>_xlfn.XLOOKUP($N246,'Base de Grupos'!$A:$A,'Base de Grupos'!$D:$D)</f>
        <v>1000065763</v>
      </c>
      <c r="C246" s="5" t="str">
        <f>_xlfn.XLOOKUP($N246,'Base de Grupos'!$A:$A,'Base de Grupos'!$E:$E)</f>
        <v>CANAL VENDA INTERNA</v>
      </c>
      <c r="D246" s="5" t="str">
        <f>_xlfn.XLOOKUP($N246,'Base de Grupos'!$A:$A,'Base de Grupos'!$F:$F)</f>
        <v>1000065763</v>
      </c>
      <c r="E246" s="2" t="str">
        <f>_xlfn.XLOOKUP($N246,'Base de Grupos'!$A:$A,'Base de Grupos'!$G:$G)</f>
        <v>CANAL VENDA INTERNA</v>
      </c>
      <c r="F246" s="2" t="str">
        <f>_xlfn.XLOOKUP($N246,'Base de Grupos'!$A:$A,'Base de Grupos'!$H:$H)</f>
        <v>1000105900</v>
      </c>
      <c r="G246" s="5" t="str">
        <f>_xlfn.XLOOKUP($N246,'Base de Grupos'!$A:$A,'Base de Grupos'!$I:$I)</f>
        <v>REGIONAL VENDA DIRETA CO + NE + NO</v>
      </c>
      <c r="H246" s="5" t="str">
        <f>_xlfn.XLOOKUP($N246,'Base de Grupos'!$A:$A,'Base de Grupos'!$J:$J)</f>
        <v>1000105900</v>
      </c>
      <c r="I246" s="2" t="str">
        <f>_xlfn.XLOOKUP($N246,'Base de Grupos'!$A:$A,'Base de Grupos'!$K:$K)</f>
        <v>REGIONAL VENDA DIRETA CO + NE + NO</v>
      </c>
      <c r="J246" s="2" t="str">
        <f>_xlfn.XLOOKUP($N246,'Base de Grupos'!$A:$A,'Base de Grupos'!$L:$L)</f>
        <v>1000150135</v>
      </c>
      <c r="K246" s="5" t="str">
        <f>_xlfn.XLOOKUP($N246,'Base de Grupos'!$A:$A,'Base de Grupos'!$M:$M)</f>
        <v>HELDER DA SILVA BRUNKOW</v>
      </c>
      <c r="L246" s="5" t="str">
        <f t="shared" si="269"/>
        <v/>
      </c>
      <c r="M246" s="5" t="str">
        <f>_xlfn.XLOOKUP($N246,'Base de Grupos'!$A:$A,'Base de Grupos'!$C:$C)</f>
        <v>AM</v>
      </c>
      <c r="N246" s="3">
        <v>1351</v>
      </c>
      <c r="O246" s="4" t="s">
        <v>237</v>
      </c>
      <c r="P246" s="5" t="s">
        <v>108</v>
      </c>
      <c r="Q246" s="56">
        <v>0</v>
      </c>
      <c r="R246" s="56">
        <v>0</v>
      </c>
      <c r="S246" s="56">
        <v>0</v>
      </c>
      <c r="T246" s="56">
        <f>_xlfn.XLOOKUP($N246,'Calculo Leads'!$A$97:$A$134,'Calculo Leads'!G$97:G$134)*_xlfn.XLOOKUP($P246,'Base Grupo de Produtos'!$E$2:$E$18,'Base Grupo de Produtos'!$F$2:$F$18)</f>
        <v>250</v>
      </c>
      <c r="U246" s="56">
        <f>_xlfn.XLOOKUP($N246,'Calculo Leads'!$A$97:$A$134,'Calculo Leads'!H$97:H$134)*_xlfn.XLOOKUP($P246,'Base Grupo de Produtos'!$E$2:$E$18,'Base Grupo de Produtos'!$F$2:$F$18)</f>
        <v>250</v>
      </c>
      <c r="V246" s="56">
        <f>_xlfn.XLOOKUP($N246,'Calculo Leads'!$A$97:$A$134,'Calculo Leads'!I$97:I$134)*_xlfn.XLOOKUP($P246,'Base Grupo de Produtos'!$E$2:$E$18,'Base Grupo de Produtos'!$F$2:$F$18)</f>
        <v>250</v>
      </c>
      <c r="W246" s="56">
        <f>_xlfn.XLOOKUP($N246,'Calculo Leads'!$A$97:$A$134,'Calculo Leads'!J$97:J$134)*_xlfn.XLOOKUP($P246,'Base Grupo de Produtos'!$E$2:$E$18,'Base Grupo de Produtos'!$F$2:$F$18)</f>
        <v>250</v>
      </c>
      <c r="X246" s="56">
        <f>_xlfn.XLOOKUP($N246,'Calculo Leads'!$A$97:$A$134,'Calculo Leads'!K$97:K$134)*_xlfn.XLOOKUP($P246,'Base Grupo de Produtos'!$E$2:$E$18,'Base Grupo de Produtos'!$F$2:$F$18)</f>
        <v>275</v>
      </c>
      <c r="Y246" s="56">
        <f>_xlfn.XLOOKUP($N246,'Calculo Leads'!$A$97:$A$134,'Calculo Leads'!L$97:L$134)*_xlfn.XLOOKUP($P246,'Base Grupo de Produtos'!$E$2:$E$18,'Base Grupo de Produtos'!$F$2:$F$18)</f>
        <v>550</v>
      </c>
      <c r="Z246" s="56">
        <f>_xlfn.XLOOKUP($N246,'Calculo Leads'!$A$97:$A$134,'Calculo Leads'!M$97:M$134)*_xlfn.XLOOKUP($P246,'Base Grupo de Produtos'!$E$2:$E$18,'Base Grupo de Produtos'!$F$2:$F$18)</f>
        <v>550</v>
      </c>
      <c r="AA246" s="56">
        <f>_xlfn.XLOOKUP($N246,'Calculo Leads'!$A$97:$A$134,'Calculo Leads'!N$97:N$134)*_xlfn.XLOOKUP($P246,'Base Grupo de Produtos'!$E$2:$E$18,'Base Grupo de Produtos'!$F$2:$F$18)</f>
        <v>550</v>
      </c>
      <c r="AB246" s="56">
        <f>_xlfn.XLOOKUP($N246,'Calculo Leads'!$A$97:$A$134,'Calculo Leads'!O$97:O$134)*_xlfn.XLOOKUP($P246,'Base Grupo de Produtos'!$E$2:$E$18,'Base Grupo de Produtos'!$F$2:$F$18)</f>
        <v>275</v>
      </c>
      <c r="AC246" s="61">
        <f t="shared" si="212"/>
        <v>3200</v>
      </c>
      <c r="AD246" s="27">
        <f t="shared" si="264"/>
        <v>3200</v>
      </c>
      <c r="AE246" s="25">
        <f>IFERROR(_xlfn.XLOOKUP(N246&amp;P246,'Historico Vendas'!G:G,'Historico Vendas'!E:E),0)</f>
        <v>0</v>
      </c>
      <c r="AF246" s="29" t="str">
        <f t="shared" si="267"/>
        <v/>
      </c>
      <c r="AG246" s="24">
        <f>IFERROR(_xlfn.XLOOKUP(N246&amp;P246,'Historico Vendas'!G:G,'Historico Vendas'!F:F),0)</f>
        <v>0</v>
      </c>
      <c r="AH246" s="25">
        <f t="shared" si="265"/>
        <v>0</v>
      </c>
      <c r="AI246" s="24">
        <f t="shared" si="266"/>
        <v>0</v>
      </c>
      <c r="AJ246" s="11" t="str">
        <f t="shared" si="211"/>
        <v/>
      </c>
      <c r="AK246" s="9" t="s">
        <v>102</v>
      </c>
      <c r="AL246" s="13">
        <f>IFERROR(INDEX('Balizador da Meta'!$D$3:$F$23,MATCH(Faturamento!$P246,'Balizador da Meta'!$C$3:$C$23,0),MATCH(Faturamento!AK246,'Balizador da Meta'!$D$2:$F$2,0)),"")</f>
        <v>0</v>
      </c>
      <c r="AM246" s="9"/>
    </row>
    <row r="247" spans="1:39" x14ac:dyDescent="0.3">
      <c r="A247" s="2" t="str">
        <f t="shared" si="268"/>
        <v>NÃO</v>
      </c>
      <c r="B247" s="2" t="str">
        <f>_xlfn.XLOOKUP($N247,'Base de Grupos'!$A:$A,'Base de Grupos'!$D:$D)</f>
        <v>1000065763</v>
      </c>
      <c r="C247" s="5" t="str">
        <f>_xlfn.XLOOKUP($N247,'Base de Grupos'!$A:$A,'Base de Grupos'!$E:$E)</f>
        <v>CANAL VENDA INTERNA</v>
      </c>
      <c r="D247" s="5" t="str">
        <f>_xlfn.XLOOKUP($N247,'Base de Grupos'!$A:$A,'Base de Grupos'!$F:$F)</f>
        <v>1000065763</v>
      </c>
      <c r="E247" s="2" t="str">
        <f>_xlfn.XLOOKUP($N247,'Base de Grupos'!$A:$A,'Base de Grupos'!$G:$G)</f>
        <v>CANAL VENDA INTERNA</v>
      </c>
      <c r="F247" s="2" t="str">
        <f>_xlfn.XLOOKUP($N247,'Base de Grupos'!$A:$A,'Base de Grupos'!$H:$H)</f>
        <v>1000105900</v>
      </c>
      <c r="G247" s="5" t="str">
        <f>_xlfn.XLOOKUP($N247,'Base de Grupos'!$A:$A,'Base de Grupos'!$I:$I)</f>
        <v>REGIONAL VENDA DIRETA CO + NE + NO</v>
      </c>
      <c r="H247" s="5" t="str">
        <f>_xlfn.XLOOKUP($N247,'Base de Grupos'!$A:$A,'Base de Grupos'!$J:$J)</f>
        <v>1000105900</v>
      </c>
      <c r="I247" s="2" t="str">
        <f>_xlfn.XLOOKUP($N247,'Base de Grupos'!$A:$A,'Base de Grupos'!$K:$K)</f>
        <v>REGIONAL VENDA DIRETA CO + NE + NO</v>
      </c>
      <c r="J247" s="2" t="str">
        <f>_xlfn.XLOOKUP($N247,'Base de Grupos'!$A:$A,'Base de Grupos'!$L:$L)</f>
        <v>1000150135</v>
      </c>
      <c r="K247" s="5" t="str">
        <f>_xlfn.XLOOKUP($N247,'Base de Grupos'!$A:$A,'Base de Grupos'!$M:$M)</f>
        <v>HELDER DA SILVA BRUNKOW</v>
      </c>
      <c r="L247" s="5" t="str">
        <f t="shared" si="269"/>
        <v/>
      </c>
      <c r="M247" s="5" t="str">
        <f>_xlfn.XLOOKUP($N247,'Base de Grupos'!$A:$A,'Base de Grupos'!$C:$C)</f>
        <v>AM</v>
      </c>
      <c r="N247" s="3">
        <v>1351</v>
      </c>
      <c r="O247" s="4" t="s">
        <v>237</v>
      </c>
      <c r="P247" s="5" t="s">
        <v>89</v>
      </c>
      <c r="Q247" s="56">
        <v>0</v>
      </c>
      <c r="R247" s="56">
        <v>0</v>
      </c>
      <c r="S247" s="56">
        <v>0</v>
      </c>
      <c r="T247" s="56">
        <f>_xlfn.XLOOKUP($N247,'Calculo Leads'!$A$97:$A$134,'Calculo Leads'!G$97:G$134)*_xlfn.XLOOKUP($P247,'Base Grupo de Produtos'!$E$2:$E$18,'Base Grupo de Produtos'!$F$2:$F$18)</f>
        <v>50</v>
      </c>
      <c r="U247" s="56">
        <f>_xlfn.XLOOKUP($N247,'Calculo Leads'!$A$97:$A$134,'Calculo Leads'!H$97:H$134)*_xlfn.XLOOKUP($P247,'Base Grupo de Produtos'!$E$2:$E$18,'Base Grupo de Produtos'!$F$2:$F$18)</f>
        <v>50</v>
      </c>
      <c r="V247" s="56">
        <f>_xlfn.XLOOKUP($N247,'Calculo Leads'!$A$97:$A$134,'Calculo Leads'!I$97:I$134)*_xlfn.XLOOKUP($P247,'Base Grupo de Produtos'!$E$2:$E$18,'Base Grupo de Produtos'!$F$2:$F$18)</f>
        <v>50</v>
      </c>
      <c r="W247" s="56">
        <f>_xlfn.XLOOKUP($N247,'Calculo Leads'!$A$97:$A$134,'Calculo Leads'!J$97:J$134)*_xlfn.XLOOKUP($P247,'Base Grupo de Produtos'!$E$2:$E$18,'Base Grupo de Produtos'!$F$2:$F$18)</f>
        <v>50</v>
      </c>
      <c r="X247" s="56">
        <f>_xlfn.XLOOKUP($N247,'Calculo Leads'!$A$97:$A$134,'Calculo Leads'!K$97:K$134)*_xlfn.XLOOKUP($P247,'Base Grupo de Produtos'!$E$2:$E$18,'Base Grupo de Produtos'!$F$2:$F$18)</f>
        <v>55</v>
      </c>
      <c r="Y247" s="56">
        <f>_xlfn.XLOOKUP($N247,'Calculo Leads'!$A$97:$A$134,'Calculo Leads'!L$97:L$134)*_xlfn.XLOOKUP($P247,'Base Grupo de Produtos'!$E$2:$E$18,'Base Grupo de Produtos'!$F$2:$F$18)</f>
        <v>110</v>
      </c>
      <c r="Z247" s="56">
        <f>_xlfn.XLOOKUP($N247,'Calculo Leads'!$A$97:$A$134,'Calculo Leads'!M$97:M$134)*_xlfn.XLOOKUP($P247,'Base Grupo de Produtos'!$E$2:$E$18,'Base Grupo de Produtos'!$F$2:$F$18)</f>
        <v>110</v>
      </c>
      <c r="AA247" s="56">
        <f>_xlfn.XLOOKUP($N247,'Calculo Leads'!$A$97:$A$134,'Calculo Leads'!N$97:N$134)*_xlfn.XLOOKUP($P247,'Base Grupo de Produtos'!$E$2:$E$18,'Base Grupo de Produtos'!$F$2:$F$18)</f>
        <v>110</v>
      </c>
      <c r="AB247" s="56">
        <f>_xlfn.XLOOKUP($N247,'Calculo Leads'!$A$97:$A$134,'Calculo Leads'!O$97:O$134)*_xlfn.XLOOKUP($P247,'Base Grupo de Produtos'!$E$2:$E$18,'Base Grupo de Produtos'!$F$2:$F$18)</f>
        <v>55</v>
      </c>
      <c r="AC247" s="61">
        <f t="shared" si="212"/>
        <v>640</v>
      </c>
      <c r="AD247" s="27">
        <f t="shared" si="264"/>
        <v>640</v>
      </c>
      <c r="AE247" s="25">
        <f>IFERROR(_xlfn.XLOOKUP(N247&amp;P247,'Historico Vendas'!G:G,'Historico Vendas'!E:E),0)</f>
        <v>0</v>
      </c>
      <c r="AF247" s="29" t="str">
        <f t="shared" si="267"/>
        <v/>
      </c>
      <c r="AG247" s="24">
        <f>IFERROR(_xlfn.XLOOKUP(N247&amp;P247,'Historico Vendas'!G:G,'Historico Vendas'!F:F),0)</f>
        <v>0</v>
      </c>
      <c r="AH247" s="25">
        <f t="shared" si="265"/>
        <v>0</v>
      </c>
      <c r="AI247" s="24">
        <f t="shared" si="266"/>
        <v>0</v>
      </c>
      <c r="AJ247" s="11" t="str">
        <f t="shared" si="211"/>
        <v/>
      </c>
      <c r="AK247" s="9" t="s">
        <v>102</v>
      </c>
      <c r="AL247" s="13">
        <f>IFERROR(INDEX('Balizador da Meta'!$D$3:$F$23,MATCH(Faturamento!$P247,'Balizador da Meta'!$C$3:$C$23,0),MATCH(Faturamento!AK247,'Balizador da Meta'!$D$2:$F$2,0)),"")</f>
        <v>0.25</v>
      </c>
      <c r="AM247" s="9"/>
    </row>
    <row r="248" spans="1:39" x14ac:dyDescent="0.3">
      <c r="A248" s="2" t="str">
        <f t="shared" si="268"/>
        <v>NÃO</v>
      </c>
      <c r="B248" s="2" t="str">
        <f>_xlfn.XLOOKUP($N248,'Base de Grupos'!$A:$A,'Base de Grupos'!$D:$D)</f>
        <v>1000065763</v>
      </c>
      <c r="C248" s="5" t="str">
        <f>_xlfn.XLOOKUP($N248,'Base de Grupos'!$A:$A,'Base de Grupos'!$E:$E)</f>
        <v>CANAL VENDA INTERNA</v>
      </c>
      <c r="D248" s="5" t="str">
        <f>_xlfn.XLOOKUP($N248,'Base de Grupos'!$A:$A,'Base de Grupos'!$F:$F)</f>
        <v>1000065763</v>
      </c>
      <c r="E248" s="2" t="str">
        <f>_xlfn.XLOOKUP($N248,'Base de Grupos'!$A:$A,'Base de Grupos'!$G:$G)</f>
        <v>CANAL VENDA INTERNA</v>
      </c>
      <c r="F248" s="2" t="str">
        <f>_xlfn.XLOOKUP($N248,'Base de Grupos'!$A:$A,'Base de Grupos'!$H:$H)</f>
        <v>1000105900</v>
      </c>
      <c r="G248" s="5" t="str">
        <f>_xlfn.XLOOKUP($N248,'Base de Grupos'!$A:$A,'Base de Grupos'!$I:$I)</f>
        <v>REGIONAL VENDA DIRETA CO + NE + NO</v>
      </c>
      <c r="H248" s="5" t="str">
        <f>_xlfn.XLOOKUP($N248,'Base de Grupos'!$A:$A,'Base de Grupos'!$J:$J)</f>
        <v>1000105900</v>
      </c>
      <c r="I248" s="2" t="str">
        <f>_xlfn.XLOOKUP($N248,'Base de Grupos'!$A:$A,'Base de Grupos'!$K:$K)</f>
        <v>REGIONAL VENDA DIRETA CO + NE + NO</v>
      </c>
      <c r="J248" s="2" t="str">
        <f>_xlfn.XLOOKUP($N248,'Base de Grupos'!$A:$A,'Base de Grupos'!$L:$L)</f>
        <v>1000150135</v>
      </c>
      <c r="K248" s="5" t="str">
        <f>_xlfn.XLOOKUP($N248,'Base de Grupos'!$A:$A,'Base de Grupos'!$M:$M)</f>
        <v>HELDER DA SILVA BRUNKOW</v>
      </c>
      <c r="L248" s="5" t="str">
        <f t="shared" si="269"/>
        <v/>
      </c>
      <c r="M248" s="5" t="str">
        <f>_xlfn.XLOOKUP($N248,'Base de Grupos'!$A:$A,'Base de Grupos'!$C:$C)</f>
        <v>AM</v>
      </c>
      <c r="N248" s="3">
        <v>1351</v>
      </c>
      <c r="O248" s="4" t="s">
        <v>237</v>
      </c>
      <c r="P248" s="5" t="s">
        <v>88</v>
      </c>
      <c r="Q248" s="56">
        <v>0</v>
      </c>
      <c r="R248" s="56">
        <v>0</v>
      </c>
      <c r="S248" s="56">
        <v>0</v>
      </c>
      <c r="T248" s="56">
        <f>_xlfn.XLOOKUP($N248,'Calculo Leads'!$A$97:$A$134,'Calculo Leads'!G$97:G$134)*_xlfn.XLOOKUP($P248,'Base Grupo de Produtos'!$E$2:$E$18,'Base Grupo de Produtos'!$F$2:$F$18)</f>
        <v>50</v>
      </c>
      <c r="U248" s="56">
        <f>_xlfn.XLOOKUP($N248,'Calculo Leads'!$A$97:$A$134,'Calculo Leads'!H$97:H$134)*_xlfn.XLOOKUP($P248,'Base Grupo de Produtos'!$E$2:$E$18,'Base Grupo de Produtos'!$F$2:$F$18)</f>
        <v>50</v>
      </c>
      <c r="V248" s="56">
        <f>_xlfn.XLOOKUP($N248,'Calculo Leads'!$A$97:$A$134,'Calculo Leads'!I$97:I$134)*_xlfn.XLOOKUP($P248,'Base Grupo de Produtos'!$E$2:$E$18,'Base Grupo de Produtos'!$F$2:$F$18)</f>
        <v>50</v>
      </c>
      <c r="W248" s="56">
        <f>_xlfn.XLOOKUP($N248,'Calculo Leads'!$A$97:$A$134,'Calculo Leads'!J$97:J$134)*_xlfn.XLOOKUP($P248,'Base Grupo de Produtos'!$E$2:$E$18,'Base Grupo de Produtos'!$F$2:$F$18)</f>
        <v>50</v>
      </c>
      <c r="X248" s="56">
        <f>_xlfn.XLOOKUP($N248,'Calculo Leads'!$A$97:$A$134,'Calculo Leads'!K$97:K$134)*_xlfn.XLOOKUP($P248,'Base Grupo de Produtos'!$E$2:$E$18,'Base Grupo de Produtos'!$F$2:$F$18)</f>
        <v>55</v>
      </c>
      <c r="Y248" s="56">
        <f>_xlfn.XLOOKUP($N248,'Calculo Leads'!$A$97:$A$134,'Calculo Leads'!L$97:L$134)*_xlfn.XLOOKUP($P248,'Base Grupo de Produtos'!$E$2:$E$18,'Base Grupo de Produtos'!$F$2:$F$18)</f>
        <v>110</v>
      </c>
      <c r="Z248" s="56">
        <f>_xlfn.XLOOKUP($N248,'Calculo Leads'!$A$97:$A$134,'Calculo Leads'!M$97:M$134)*_xlfn.XLOOKUP($P248,'Base Grupo de Produtos'!$E$2:$E$18,'Base Grupo de Produtos'!$F$2:$F$18)</f>
        <v>110</v>
      </c>
      <c r="AA248" s="56">
        <f>_xlfn.XLOOKUP($N248,'Calculo Leads'!$A$97:$A$134,'Calculo Leads'!N$97:N$134)*_xlfn.XLOOKUP($P248,'Base Grupo de Produtos'!$E$2:$E$18,'Base Grupo de Produtos'!$F$2:$F$18)</f>
        <v>110</v>
      </c>
      <c r="AB248" s="56">
        <f>_xlfn.XLOOKUP($N248,'Calculo Leads'!$A$97:$A$134,'Calculo Leads'!O$97:O$134)*_xlfn.XLOOKUP($P248,'Base Grupo de Produtos'!$E$2:$E$18,'Base Grupo de Produtos'!$F$2:$F$18)</f>
        <v>55</v>
      </c>
      <c r="AC248" s="61">
        <f t="shared" si="212"/>
        <v>640</v>
      </c>
      <c r="AD248" s="27">
        <f t="shared" si="264"/>
        <v>640</v>
      </c>
      <c r="AE248" s="25">
        <f>IFERROR(_xlfn.XLOOKUP(N248&amp;P248,'Historico Vendas'!G:G,'Historico Vendas'!E:E),0)</f>
        <v>0</v>
      </c>
      <c r="AF248" s="29" t="str">
        <f t="shared" si="267"/>
        <v/>
      </c>
      <c r="AG248" s="24">
        <f>IFERROR(_xlfn.XLOOKUP(N248&amp;P248,'Historico Vendas'!G:G,'Historico Vendas'!F:F),0)</f>
        <v>0</v>
      </c>
      <c r="AH248" s="25">
        <f t="shared" si="265"/>
        <v>0</v>
      </c>
      <c r="AI248" s="24">
        <f t="shared" si="266"/>
        <v>0</v>
      </c>
      <c r="AJ248" s="11" t="str">
        <f t="shared" si="211"/>
        <v/>
      </c>
      <c r="AK248" s="9" t="s">
        <v>102</v>
      </c>
      <c r="AL248" s="13">
        <f>IFERROR(INDEX('Balizador da Meta'!$D$3:$F$23,MATCH(Faturamento!$P248,'Balizador da Meta'!$C$3:$C$23,0),MATCH(Faturamento!AK248,'Balizador da Meta'!$D$2:$F$2,0)),"")</f>
        <v>0</v>
      </c>
      <c r="AM248" s="9"/>
    </row>
    <row r="249" spans="1:39" x14ac:dyDescent="0.3">
      <c r="A249" s="2" t="str">
        <f t="shared" si="268"/>
        <v>NÃO</v>
      </c>
      <c r="B249" s="2" t="str">
        <f>_xlfn.XLOOKUP($N249,'Base de Grupos'!$A:$A,'Base de Grupos'!$D:$D)</f>
        <v>1000065763</v>
      </c>
      <c r="C249" s="5" t="str">
        <f>_xlfn.XLOOKUP($N249,'Base de Grupos'!$A:$A,'Base de Grupos'!$E:$E)</f>
        <v>CANAL VENDA INTERNA</v>
      </c>
      <c r="D249" s="5" t="str">
        <f>_xlfn.XLOOKUP($N249,'Base de Grupos'!$A:$A,'Base de Grupos'!$F:$F)</f>
        <v>1000065763</v>
      </c>
      <c r="E249" s="2" t="str">
        <f>_xlfn.XLOOKUP($N249,'Base de Grupos'!$A:$A,'Base de Grupos'!$G:$G)</f>
        <v>CANAL VENDA INTERNA</v>
      </c>
      <c r="F249" s="2" t="str">
        <f>_xlfn.XLOOKUP($N249,'Base de Grupos'!$A:$A,'Base de Grupos'!$H:$H)</f>
        <v>1000105900</v>
      </c>
      <c r="G249" s="5" t="str">
        <f>_xlfn.XLOOKUP($N249,'Base de Grupos'!$A:$A,'Base de Grupos'!$I:$I)</f>
        <v>REGIONAL VENDA DIRETA CO + NE + NO</v>
      </c>
      <c r="H249" s="5" t="str">
        <f>_xlfn.XLOOKUP($N249,'Base de Grupos'!$A:$A,'Base de Grupos'!$J:$J)</f>
        <v>1000105900</v>
      </c>
      <c r="I249" s="2" t="str">
        <f>_xlfn.XLOOKUP($N249,'Base de Grupos'!$A:$A,'Base de Grupos'!$K:$K)</f>
        <v>REGIONAL VENDA DIRETA CO + NE + NO</v>
      </c>
      <c r="J249" s="2" t="str">
        <f>_xlfn.XLOOKUP($N249,'Base de Grupos'!$A:$A,'Base de Grupos'!$L:$L)</f>
        <v>1000150135</v>
      </c>
      <c r="K249" s="5" t="str">
        <f>_xlfn.XLOOKUP($N249,'Base de Grupos'!$A:$A,'Base de Grupos'!$M:$M)</f>
        <v>HELDER DA SILVA BRUNKOW</v>
      </c>
      <c r="L249" s="5" t="str">
        <f t="shared" si="269"/>
        <v/>
      </c>
      <c r="M249" s="5" t="str">
        <f>_xlfn.XLOOKUP($N249,'Base de Grupos'!$A:$A,'Base de Grupos'!$C:$C)</f>
        <v>AM</v>
      </c>
      <c r="N249" s="3">
        <v>1351</v>
      </c>
      <c r="O249" s="4" t="s">
        <v>237</v>
      </c>
      <c r="P249" s="5" t="s">
        <v>90</v>
      </c>
      <c r="Q249" s="56">
        <v>0</v>
      </c>
      <c r="R249" s="56">
        <v>0</v>
      </c>
      <c r="S249" s="56">
        <v>0</v>
      </c>
      <c r="T249" s="56">
        <f>_xlfn.XLOOKUP($N249,'Calculo Leads'!$A$97:$A$134,'Calculo Leads'!G$97:G$134)*_xlfn.XLOOKUP($P249,'Base Grupo de Produtos'!$E$2:$E$18,'Base Grupo de Produtos'!$F$2:$F$18)</f>
        <v>50</v>
      </c>
      <c r="U249" s="56">
        <f>_xlfn.XLOOKUP($N249,'Calculo Leads'!$A$97:$A$134,'Calculo Leads'!H$97:H$134)*_xlfn.XLOOKUP($P249,'Base Grupo de Produtos'!$E$2:$E$18,'Base Grupo de Produtos'!$F$2:$F$18)</f>
        <v>50</v>
      </c>
      <c r="V249" s="56">
        <f>_xlfn.XLOOKUP($N249,'Calculo Leads'!$A$97:$A$134,'Calculo Leads'!I$97:I$134)*_xlfn.XLOOKUP($P249,'Base Grupo de Produtos'!$E$2:$E$18,'Base Grupo de Produtos'!$F$2:$F$18)</f>
        <v>50</v>
      </c>
      <c r="W249" s="56">
        <f>_xlfn.XLOOKUP($N249,'Calculo Leads'!$A$97:$A$134,'Calculo Leads'!J$97:J$134)*_xlfn.XLOOKUP($P249,'Base Grupo de Produtos'!$E$2:$E$18,'Base Grupo de Produtos'!$F$2:$F$18)</f>
        <v>50</v>
      </c>
      <c r="X249" s="56">
        <f>_xlfn.XLOOKUP($N249,'Calculo Leads'!$A$97:$A$134,'Calculo Leads'!K$97:K$134)*_xlfn.XLOOKUP($P249,'Base Grupo de Produtos'!$E$2:$E$18,'Base Grupo de Produtos'!$F$2:$F$18)</f>
        <v>55</v>
      </c>
      <c r="Y249" s="56">
        <f>_xlfn.XLOOKUP($N249,'Calculo Leads'!$A$97:$A$134,'Calculo Leads'!L$97:L$134)*_xlfn.XLOOKUP($P249,'Base Grupo de Produtos'!$E$2:$E$18,'Base Grupo de Produtos'!$F$2:$F$18)</f>
        <v>110</v>
      </c>
      <c r="Z249" s="56">
        <f>_xlfn.XLOOKUP($N249,'Calculo Leads'!$A$97:$A$134,'Calculo Leads'!M$97:M$134)*_xlfn.XLOOKUP($P249,'Base Grupo de Produtos'!$E$2:$E$18,'Base Grupo de Produtos'!$F$2:$F$18)</f>
        <v>110</v>
      </c>
      <c r="AA249" s="56">
        <f>_xlfn.XLOOKUP($N249,'Calculo Leads'!$A$97:$A$134,'Calculo Leads'!N$97:N$134)*_xlfn.XLOOKUP($P249,'Base Grupo de Produtos'!$E$2:$E$18,'Base Grupo de Produtos'!$F$2:$F$18)</f>
        <v>110</v>
      </c>
      <c r="AB249" s="56">
        <f>_xlfn.XLOOKUP($N249,'Calculo Leads'!$A$97:$A$134,'Calculo Leads'!O$97:O$134)*_xlfn.XLOOKUP($P249,'Base Grupo de Produtos'!$E$2:$E$18,'Base Grupo de Produtos'!$F$2:$F$18)</f>
        <v>55</v>
      </c>
      <c r="AC249" s="61">
        <f t="shared" si="212"/>
        <v>640</v>
      </c>
      <c r="AD249" s="27">
        <f t="shared" si="264"/>
        <v>640</v>
      </c>
      <c r="AE249" s="25">
        <f>IFERROR(_xlfn.XLOOKUP(N249&amp;P249,'Historico Vendas'!G:G,'Historico Vendas'!E:E),0)</f>
        <v>0</v>
      </c>
      <c r="AF249" s="29" t="str">
        <f t="shared" si="267"/>
        <v/>
      </c>
      <c r="AG249" s="24">
        <f>IFERROR(_xlfn.XLOOKUP(N249&amp;P249,'Historico Vendas'!G:G,'Historico Vendas'!F:F),0)</f>
        <v>0</v>
      </c>
      <c r="AH249" s="25">
        <f t="shared" si="265"/>
        <v>0</v>
      </c>
      <c r="AI249" s="24">
        <f t="shared" si="266"/>
        <v>0</v>
      </c>
      <c r="AJ249" s="11" t="str">
        <f t="shared" ref="AJ249:AJ312" si="270">IFERROR(AG249/AH249,"")</f>
        <v/>
      </c>
      <c r="AK249" s="9" t="s">
        <v>102</v>
      </c>
      <c r="AL249" s="13">
        <f>IFERROR(INDEX('Balizador da Meta'!$D$3:$F$23,MATCH(Faturamento!$P249,'Balizador da Meta'!$C$3:$C$23,0),MATCH(Faturamento!AK249,'Balizador da Meta'!$D$2:$F$2,0)),"")</f>
        <v>0</v>
      </c>
      <c r="AM249" s="9"/>
    </row>
    <row r="250" spans="1:39" x14ac:dyDescent="0.3">
      <c r="A250" s="2" t="str">
        <f t="shared" si="268"/>
        <v>NÃO</v>
      </c>
      <c r="B250" s="2" t="str">
        <f>_xlfn.XLOOKUP($N250,'Base de Grupos'!$A:$A,'Base de Grupos'!$D:$D)</f>
        <v>1000065763</v>
      </c>
      <c r="C250" s="5" t="str">
        <f>_xlfn.XLOOKUP($N250,'Base de Grupos'!$A:$A,'Base de Grupos'!$E:$E)</f>
        <v>CANAL VENDA INTERNA</v>
      </c>
      <c r="D250" s="5" t="str">
        <f>_xlfn.XLOOKUP($N250,'Base de Grupos'!$A:$A,'Base de Grupos'!$F:$F)</f>
        <v>1000065763</v>
      </c>
      <c r="E250" s="2" t="str">
        <f>_xlfn.XLOOKUP($N250,'Base de Grupos'!$A:$A,'Base de Grupos'!$G:$G)</f>
        <v>CANAL VENDA INTERNA</v>
      </c>
      <c r="F250" s="2" t="str">
        <f>_xlfn.XLOOKUP($N250,'Base de Grupos'!$A:$A,'Base de Grupos'!$H:$H)</f>
        <v>1000105900</v>
      </c>
      <c r="G250" s="5" t="str">
        <f>_xlfn.XLOOKUP($N250,'Base de Grupos'!$A:$A,'Base de Grupos'!$I:$I)</f>
        <v>REGIONAL VENDA DIRETA CO + NE + NO</v>
      </c>
      <c r="H250" s="5" t="str">
        <f>_xlfn.XLOOKUP($N250,'Base de Grupos'!$A:$A,'Base de Grupos'!$J:$J)</f>
        <v>1000105900</v>
      </c>
      <c r="I250" s="2" t="str">
        <f>_xlfn.XLOOKUP($N250,'Base de Grupos'!$A:$A,'Base de Grupos'!$K:$K)</f>
        <v>REGIONAL VENDA DIRETA CO + NE + NO</v>
      </c>
      <c r="J250" s="2" t="str">
        <f>_xlfn.XLOOKUP($N250,'Base de Grupos'!$A:$A,'Base de Grupos'!$L:$L)</f>
        <v>1000150135</v>
      </c>
      <c r="K250" s="5" t="str">
        <f>_xlfn.XLOOKUP($N250,'Base de Grupos'!$A:$A,'Base de Grupos'!$M:$M)</f>
        <v>HELDER DA SILVA BRUNKOW</v>
      </c>
      <c r="L250" s="5" t="str">
        <f t="shared" si="269"/>
        <v/>
      </c>
      <c r="M250" s="5" t="str">
        <f>_xlfn.XLOOKUP($N250,'Base de Grupos'!$A:$A,'Base de Grupos'!$C:$C)</f>
        <v>AM</v>
      </c>
      <c r="N250" s="3">
        <v>1351</v>
      </c>
      <c r="O250" s="4" t="s">
        <v>237</v>
      </c>
      <c r="P250" s="5" t="s">
        <v>91</v>
      </c>
      <c r="Q250" s="56">
        <v>0</v>
      </c>
      <c r="R250" s="56">
        <v>0</v>
      </c>
      <c r="S250" s="56">
        <v>0</v>
      </c>
      <c r="T250" s="56">
        <f>_xlfn.XLOOKUP($N250,'Calculo Leads'!$A$97:$A$134,'Calculo Leads'!G$97:G$134)*_xlfn.XLOOKUP($P250,'Base Grupo de Produtos'!$E$2:$E$18,'Base Grupo de Produtos'!$F$2:$F$18)</f>
        <v>0</v>
      </c>
      <c r="U250" s="56">
        <f>_xlfn.XLOOKUP($N250,'Calculo Leads'!$A$97:$A$134,'Calculo Leads'!H$97:H$134)*_xlfn.XLOOKUP($P250,'Base Grupo de Produtos'!$E$2:$E$18,'Base Grupo de Produtos'!$F$2:$F$18)</f>
        <v>0</v>
      </c>
      <c r="V250" s="56">
        <f>_xlfn.XLOOKUP($N250,'Calculo Leads'!$A$97:$A$134,'Calculo Leads'!I$97:I$134)*_xlfn.XLOOKUP($P250,'Base Grupo de Produtos'!$E$2:$E$18,'Base Grupo de Produtos'!$F$2:$F$18)</f>
        <v>0</v>
      </c>
      <c r="W250" s="56">
        <f>_xlfn.XLOOKUP($N250,'Calculo Leads'!$A$97:$A$134,'Calculo Leads'!J$97:J$134)*_xlfn.XLOOKUP($P250,'Base Grupo de Produtos'!$E$2:$E$18,'Base Grupo de Produtos'!$F$2:$F$18)</f>
        <v>0</v>
      </c>
      <c r="X250" s="56">
        <f>_xlfn.XLOOKUP($N250,'Calculo Leads'!$A$97:$A$134,'Calculo Leads'!K$97:K$134)*_xlfn.XLOOKUP($P250,'Base Grupo de Produtos'!$E$2:$E$18,'Base Grupo de Produtos'!$F$2:$F$18)</f>
        <v>0</v>
      </c>
      <c r="Y250" s="56">
        <f>_xlfn.XLOOKUP($N250,'Calculo Leads'!$A$97:$A$134,'Calculo Leads'!L$97:L$134)*_xlfn.XLOOKUP($P250,'Base Grupo de Produtos'!$E$2:$E$18,'Base Grupo de Produtos'!$F$2:$F$18)</f>
        <v>0</v>
      </c>
      <c r="Z250" s="56">
        <f>_xlfn.XLOOKUP($N250,'Calculo Leads'!$A$97:$A$134,'Calculo Leads'!M$97:M$134)*_xlfn.XLOOKUP($P250,'Base Grupo de Produtos'!$E$2:$E$18,'Base Grupo de Produtos'!$F$2:$F$18)</f>
        <v>0</v>
      </c>
      <c r="AA250" s="56">
        <f>_xlfn.XLOOKUP($N250,'Calculo Leads'!$A$97:$A$134,'Calculo Leads'!N$97:N$134)*_xlfn.XLOOKUP($P250,'Base Grupo de Produtos'!$E$2:$E$18,'Base Grupo de Produtos'!$F$2:$F$18)</f>
        <v>0</v>
      </c>
      <c r="AB250" s="56">
        <f>_xlfn.XLOOKUP($N250,'Calculo Leads'!$A$97:$A$134,'Calculo Leads'!O$97:O$134)*_xlfn.XLOOKUP($P250,'Base Grupo de Produtos'!$E$2:$E$18,'Base Grupo de Produtos'!$F$2:$F$18)</f>
        <v>0</v>
      </c>
      <c r="AC250" s="61">
        <f t="shared" si="212"/>
        <v>0</v>
      </c>
      <c r="AD250" s="27">
        <f t="shared" si="264"/>
        <v>0</v>
      </c>
      <c r="AE250" s="25">
        <f>IFERROR(_xlfn.XLOOKUP(N250&amp;P250,'Historico Vendas'!G:G,'Historico Vendas'!E:E),0)</f>
        <v>0</v>
      </c>
      <c r="AF250" s="29" t="str">
        <f t="shared" si="267"/>
        <v/>
      </c>
      <c r="AG250" s="24">
        <f>IFERROR(_xlfn.XLOOKUP(N250&amp;P250,'Historico Vendas'!G:G,'Historico Vendas'!F:F),0)</f>
        <v>0</v>
      </c>
      <c r="AH250" s="25">
        <f t="shared" si="265"/>
        <v>0</v>
      </c>
      <c r="AI250" s="24">
        <f t="shared" si="266"/>
        <v>0</v>
      </c>
      <c r="AJ250" s="11" t="str">
        <f t="shared" si="270"/>
        <v/>
      </c>
      <c r="AK250" s="9" t="s">
        <v>102</v>
      </c>
      <c r="AL250" s="13">
        <f>IFERROR(INDEX('Balizador da Meta'!$D$3:$F$23,MATCH(Faturamento!$P250,'Balizador da Meta'!$C$3:$C$23,0),MATCH(Faturamento!AK250,'Balizador da Meta'!$D$2:$F$2,0)),"")</f>
        <v>0</v>
      </c>
      <c r="AM250" s="9"/>
    </row>
    <row r="251" spans="1:39" x14ac:dyDescent="0.3">
      <c r="A251" s="2" t="str">
        <f t="shared" si="268"/>
        <v>NÃO</v>
      </c>
      <c r="B251" s="2" t="str">
        <f>_xlfn.XLOOKUP($N251,'Base de Grupos'!$A:$A,'Base de Grupos'!$D:$D)</f>
        <v>1000065763</v>
      </c>
      <c r="C251" s="5" t="str">
        <f>_xlfn.XLOOKUP($N251,'Base de Grupos'!$A:$A,'Base de Grupos'!$E:$E)</f>
        <v>CANAL VENDA INTERNA</v>
      </c>
      <c r="D251" s="5" t="str">
        <f>_xlfn.XLOOKUP($N251,'Base de Grupos'!$A:$A,'Base de Grupos'!$F:$F)</f>
        <v>1000065763</v>
      </c>
      <c r="E251" s="2" t="str">
        <f>_xlfn.XLOOKUP($N251,'Base de Grupos'!$A:$A,'Base de Grupos'!$G:$G)</f>
        <v>CANAL VENDA INTERNA</v>
      </c>
      <c r="F251" s="2" t="str">
        <f>_xlfn.XLOOKUP($N251,'Base de Grupos'!$A:$A,'Base de Grupos'!$H:$H)</f>
        <v>1000105900</v>
      </c>
      <c r="G251" s="5" t="str">
        <f>_xlfn.XLOOKUP($N251,'Base de Grupos'!$A:$A,'Base de Grupos'!$I:$I)</f>
        <v>REGIONAL VENDA DIRETA CO + NE + NO</v>
      </c>
      <c r="H251" s="5" t="str">
        <f>_xlfn.XLOOKUP($N251,'Base de Grupos'!$A:$A,'Base de Grupos'!$J:$J)</f>
        <v>1000105900</v>
      </c>
      <c r="I251" s="2" t="str">
        <f>_xlfn.XLOOKUP($N251,'Base de Grupos'!$A:$A,'Base de Grupos'!$K:$K)</f>
        <v>REGIONAL VENDA DIRETA CO + NE + NO</v>
      </c>
      <c r="J251" s="2" t="str">
        <f>_xlfn.XLOOKUP($N251,'Base de Grupos'!$A:$A,'Base de Grupos'!$L:$L)</f>
        <v>1000150135</v>
      </c>
      <c r="K251" s="5" t="str">
        <f>_xlfn.XLOOKUP($N251,'Base de Grupos'!$A:$A,'Base de Grupos'!$M:$M)</f>
        <v>HELDER DA SILVA BRUNKOW</v>
      </c>
      <c r="L251" s="5" t="str">
        <f t="shared" si="269"/>
        <v/>
      </c>
      <c r="M251" s="5" t="str">
        <f>_xlfn.XLOOKUP($N251,'Base de Grupos'!$A:$A,'Base de Grupos'!$C:$C)</f>
        <v>AM</v>
      </c>
      <c r="N251" s="3">
        <v>1351</v>
      </c>
      <c r="O251" s="4" t="s">
        <v>237</v>
      </c>
      <c r="P251" s="5" t="s">
        <v>96</v>
      </c>
      <c r="Q251" s="56">
        <v>0</v>
      </c>
      <c r="R251" s="56">
        <v>0</v>
      </c>
      <c r="S251" s="56">
        <v>0</v>
      </c>
      <c r="T251" s="56">
        <f>_xlfn.XLOOKUP($N251,'Calculo Leads'!$A$97:$A$134,'Calculo Leads'!G$97:G$134)*_xlfn.XLOOKUP($P251,'Base Grupo de Produtos'!$E$2:$E$18,'Base Grupo de Produtos'!$F$2:$F$18)</f>
        <v>70</v>
      </c>
      <c r="U251" s="56">
        <f>_xlfn.XLOOKUP($N251,'Calculo Leads'!$A$97:$A$134,'Calculo Leads'!H$97:H$134)*_xlfn.XLOOKUP($P251,'Base Grupo de Produtos'!$E$2:$E$18,'Base Grupo de Produtos'!$F$2:$F$18)</f>
        <v>70</v>
      </c>
      <c r="V251" s="56">
        <f>_xlfn.XLOOKUP($N251,'Calculo Leads'!$A$97:$A$134,'Calculo Leads'!I$97:I$134)*_xlfn.XLOOKUP($P251,'Base Grupo de Produtos'!$E$2:$E$18,'Base Grupo de Produtos'!$F$2:$F$18)</f>
        <v>70</v>
      </c>
      <c r="W251" s="56">
        <f>_xlfn.XLOOKUP($N251,'Calculo Leads'!$A$97:$A$134,'Calculo Leads'!J$97:J$134)*_xlfn.XLOOKUP($P251,'Base Grupo de Produtos'!$E$2:$E$18,'Base Grupo de Produtos'!$F$2:$F$18)</f>
        <v>70</v>
      </c>
      <c r="X251" s="56">
        <f>_xlfn.XLOOKUP($N251,'Calculo Leads'!$A$97:$A$134,'Calculo Leads'!K$97:K$134)*_xlfn.XLOOKUP($P251,'Base Grupo de Produtos'!$E$2:$E$18,'Base Grupo de Produtos'!$F$2:$F$18)</f>
        <v>77.000000000000014</v>
      </c>
      <c r="Y251" s="56">
        <f>_xlfn.XLOOKUP($N251,'Calculo Leads'!$A$97:$A$134,'Calculo Leads'!L$97:L$134)*_xlfn.XLOOKUP($P251,'Base Grupo de Produtos'!$E$2:$E$18,'Base Grupo de Produtos'!$F$2:$F$18)</f>
        <v>154.00000000000003</v>
      </c>
      <c r="Z251" s="56">
        <f>_xlfn.XLOOKUP($N251,'Calculo Leads'!$A$97:$A$134,'Calculo Leads'!M$97:M$134)*_xlfn.XLOOKUP($P251,'Base Grupo de Produtos'!$E$2:$E$18,'Base Grupo de Produtos'!$F$2:$F$18)</f>
        <v>154.00000000000003</v>
      </c>
      <c r="AA251" s="56">
        <f>_xlfn.XLOOKUP($N251,'Calculo Leads'!$A$97:$A$134,'Calculo Leads'!N$97:N$134)*_xlfn.XLOOKUP($P251,'Base Grupo de Produtos'!$E$2:$E$18,'Base Grupo de Produtos'!$F$2:$F$18)</f>
        <v>154.00000000000003</v>
      </c>
      <c r="AB251" s="56">
        <f>_xlfn.XLOOKUP($N251,'Calculo Leads'!$A$97:$A$134,'Calculo Leads'!O$97:O$134)*_xlfn.XLOOKUP($P251,'Base Grupo de Produtos'!$E$2:$E$18,'Base Grupo de Produtos'!$F$2:$F$18)</f>
        <v>77.000000000000014</v>
      </c>
      <c r="AC251" s="61">
        <f t="shared" si="212"/>
        <v>896</v>
      </c>
      <c r="AD251" s="27">
        <f t="shared" si="264"/>
        <v>896</v>
      </c>
      <c r="AE251" s="25">
        <f>IFERROR(_xlfn.XLOOKUP(N251&amp;P251,'Historico Vendas'!G:G,'Historico Vendas'!E:E),0)</f>
        <v>0</v>
      </c>
      <c r="AF251" s="29" t="str">
        <f t="shared" si="267"/>
        <v/>
      </c>
      <c r="AG251" s="24">
        <f>IFERROR(_xlfn.XLOOKUP(N251&amp;P251,'Historico Vendas'!G:G,'Historico Vendas'!F:F),0)</f>
        <v>0</v>
      </c>
      <c r="AH251" s="25">
        <f t="shared" si="265"/>
        <v>0</v>
      </c>
      <c r="AI251" s="24">
        <f t="shared" si="266"/>
        <v>0</v>
      </c>
      <c r="AJ251" s="11" t="str">
        <f t="shared" si="270"/>
        <v/>
      </c>
      <c r="AK251" s="9" t="s">
        <v>102</v>
      </c>
      <c r="AL251" s="13">
        <f>IFERROR(INDEX('Balizador da Meta'!$D$3:$F$23,MATCH(Faturamento!$P251,'Balizador da Meta'!$C$3:$C$23,0),MATCH(Faturamento!AK251,'Balizador da Meta'!$D$2:$F$2,0)),"")</f>
        <v>0</v>
      </c>
      <c r="AM251" s="9"/>
    </row>
    <row r="252" spans="1:39" x14ac:dyDescent="0.3">
      <c r="A252" s="2" t="str">
        <f t="shared" si="268"/>
        <v>NÃO</v>
      </c>
      <c r="B252" s="2" t="str">
        <f>_xlfn.XLOOKUP($N252,'Base de Grupos'!$A:$A,'Base de Grupos'!$D:$D)</f>
        <v>1000065763</v>
      </c>
      <c r="C252" s="5" t="str">
        <f>_xlfn.XLOOKUP($N252,'Base de Grupos'!$A:$A,'Base de Grupos'!$E:$E)</f>
        <v>CANAL VENDA INTERNA</v>
      </c>
      <c r="D252" s="5" t="str">
        <f>_xlfn.XLOOKUP($N252,'Base de Grupos'!$A:$A,'Base de Grupos'!$F:$F)</f>
        <v>1000065763</v>
      </c>
      <c r="E252" s="2" t="str">
        <f>_xlfn.XLOOKUP($N252,'Base de Grupos'!$A:$A,'Base de Grupos'!$G:$G)</f>
        <v>CANAL VENDA INTERNA</v>
      </c>
      <c r="F252" s="2" t="str">
        <f>_xlfn.XLOOKUP($N252,'Base de Grupos'!$A:$A,'Base de Grupos'!$H:$H)</f>
        <v>1000105900</v>
      </c>
      <c r="G252" s="5" t="str">
        <f>_xlfn.XLOOKUP($N252,'Base de Grupos'!$A:$A,'Base de Grupos'!$I:$I)</f>
        <v>REGIONAL VENDA DIRETA CO + NE + NO</v>
      </c>
      <c r="H252" s="5" t="str">
        <f>_xlfn.XLOOKUP($N252,'Base de Grupos'!$A:$A,'Base de Grupos'!$J:$J)</f>
        <v>1000105900</v>
      </c>
      <c r="I252" s="2" t="str">
        <f>_xlfn.XLOOKUP($N252,'Base de Grupos'!$A:$A,'Base de Grupos'!$K:$K)</f>
        <v>REGIONAL VENDA DIRETA CO + NE + NO</v>
      </c>
      <c r="J252" s="2" t="str">
        <f>_xlfn.XLOOKUP($N252,'Base de Grupos'!$A:$A,'Base de Grupos'!$L:$L)</f>
        <v>1000150135</v>
      </c>
      <c r="K252" s="5" t="str">
        <f>_xlfn.XLOOKUP($N252,'Base de Grupos'!$A:$A,'Base de Grupos'!$M:$M)</f>
        <v>HELDER DA SILVA BRUNKOW</v>
      </c>
      <c r="L252" s="5" t="str">
        <f t="shared" si="269"/>
        <v/>
      </c>
      <c r="M252" s="5" t="str">
        <f>_xlfn.XLOOKUP($N252,'Base de Grupos'!$A:$A,'Base de Grupos'!$C:$C)</f>
        <v>AM</v>
      </c>
      <c r="N252" s="3">
        <v>1351</v>
      </c>
      <c r="O252" s="4" t="s">
        <v>237</v>
      </c>
      <c r="P252" s="5" t="s">
        <v>94</v>
      </c>
      <c r="Q252" s="56">
        <v>0</v>
      </c>
      <c r="R252" s="56">
        <v>0</v>
      </c>
      <c r="S252" s="56">
        <v>0</v>
      </c>
      <c r="T252" s="56">
        <f>_xlfn.XLOOKUP($N252,'Calculo Leads'!$A$97:$A$134,'Calculo Leads'!G$97:G$134)*_xlfn.XLOOKUP($P252,'Base Grupo de Produtos'!$E$2:$E$18,'Base Grupo de Produtos'!$F$2:$F$18)</f>
        <v>49.999999999999993</v>
      </c>
      <c r="U252" s="56">
        <f>_xlfn.XLOOKUP($N252,'Calculo Leads'!$A$97:$A$134,'Calculo Leads'!H$97:H$134)*_xlfn.XLOOKUP($P252,'Base Grupo de Produtos'!$E$2:$E$18,'Base Grupo de Produtos'!$F$2:$F$18)</f>
        <v>49.999999999999993</v>
      </c>
      <c r="V252" s="56">
        <f>_xlfn.XLOOKUP($N252,'Calculo Leads'!$A$97:$A$134,'Calculo Leads'!I$97:I$134)*_xlfn.XLOOKUP($P252,'Base Grupo de Produtos'!$E$2:$E$18,'Base Grupo de Produtos'!$F$2:$F$18)</f>
        <v>49.999999999999993</v>
      </c>
      <c r="W252" s="56">
        <f>_xlfn.XLOOKUP($N252,'Calculo Leads'!$A$97:$A$134,'Calculo Leads'!J$97:J$134)*_xlfn.XLOOKUP($P252,'Base Grupo de Produtos'!$E$2:$E$18,'Base Grupo de Produtos'!$F$2:$F$18)</f>
        <v>49.999999999999993</v>
      </c>
      <c r="X252" s="56">
        <f>_xlfn.XLOOKUP($N252,'Calculo Leads'!$A$97:$A$134,'Calculo Leads'!K$97:K$134)*_xlfn.XLOOKUP($P252,'Base Grupo de Produtos'!$E$2:$E$18,'Base Grupo de Produtos'!$F$2:$F$18)</f>
        <v>54.999999999999993</v>
      </c>
      <c r="Y252" s="56">
        <f>_xlfn.XLOOKUP($N252,'Calculo Leads'!$A$97:$A$134,'Calculo Leads'!L$97:L$134)*_xlfn.XLOOKUP($P252,'Base Grupo de Produtos'!$E$2:$E$18,'Base Grupo de Produtos'!$F$2:$F$18)</f>
        <v>109.99999999999999</v>
      </c>
      <c r="Z252" s="56">
        <f>_xlfn.XLOOKUP($N252,'Calculo Leads'!$A$97:$A$134,'Calculo Leads'!M$97:M$134)*_xlfn.XLOOKUP($P252,'Base Grupo de Produtos'!$E$2:$E$18,'Base Grupo de Produtos'!$F$2:$F$18)</f>
        <v>109.99999999999999</v>
      </c>
      <c r="AA252" s="56">
        <f>_xlfn.XLOOKUP($N252,'Calculo Leads'!$A$97:$A$134,'Calculo Leads'!N$97:N$134)*_xlfn.XLOOKUP($P252,'Base Grupo de Produtos'!$E$2:$E$18,'Base Grupo de Produtos'!$F$2:$F$18)</f>
        <v>109.99999999999999</v>
      </c>
      <c r="AB252" s="56">
        <f>_xlfn.XLOOKUP($N252,'Calculo Leads'!$A$97:$A$134,'Calculo Leads'!O$97:O$134)*_xlfn.XLOOKUP($P252,'Base Grupo de Produtos'!$E$2:$E$18,'Base Grupo de Produtos'!$F$2:$F$18)</f>
        <v>54.999999999999993</v>
      </c>
      <c r="AC252" s="61">
        <f t="shared" si="212"/>
        <v>639.99999999999989</v>
      </c>
      <c r="AD252" s="27">
        <f t="shared" si="264"/>
        <v>639.99999999999989</v>
      </c>
      <c r="AE252" s="25">
        <f>IFERROR(_xlfn.XLOOKUP(N252&amp;P252,'Historico Vendas'!G:G,'Historico Vendas'!E:E),0)</f>
        <v>0</v>
      </c>
      <c r="AF252" s="29" t="str">
        <f t="shared" si="267"/>
        <v/>
      </c>
      <c r="AG252" s="24">
        <f>IFERROR(_xlfn.XLOOKUP(N252&amp;P252,'Historico Vendas'!G:G,'Historico Vendas'!F:F),0)</f>
        <v>0</v>
      </c>
      <c r="AH252" s="25">
        <f t="shared" si="265"/>
        <v>0</v>
      </c>
      <c r="AI252" s="24">
        <f t="shared" si="266"/>
        <v>0</v>
      </c>
      <c r="AJ252" s="11" t="str">
        <f t="shared" si="270"/>
        <v/>
      </c>
      <c r="AK252" s="9" t="s">
        <v>102</v>
      </c>
      <c r="AL252" s="13">
        <f>IFERROR(INDEX('Balizador da Meta'!$D$3:$F$23,MATCH(Faturamento!$P252,'Balizador da Meta'!$C$3:$C$23,0),MATCH(Faturamento!AK252,'Balizador da Meta'!$D$2:$F$2,0)),"")</f>
        <v>0.25</v>
      </c>
      <c r="AM252" s="9"/>
    </row>
    <row r="253" spans="1:39" x14ac:dyDescent="0.3">
      <c r="A253" s="2" t="str">
        <f t="shared" si="268"/>
        <v>NÃO</v>
      </c>
      <c r="B253" s="2" t="str">
        <f>_xlfn.XLOOKUP($N253,'Base de Grupos'!$A:$A,'Base de Grupos'!$D:$D)</f>
        <v>1000065763</v>
      </c>
      <c r="C253" s="5" t="str">
        <f>_xlfn.XLOOKUP($N253,'Base de Grupos'!$A:$A,'Base de Grupos'!$E:$E)</f>
        <v>CANAL VENDA INTERNA</v>
      </c>
      <c r="D253" s="5" t="str">
        <f>_xlfn.XLOOKUP($N253,'Base de Grupos'!$A:$A,'Base de Grupos'!$F:$F)</f>
        <v>1000065763</v>
      </c>
      <c r="E253" s="2" t="str">
        <f>_xlfn.XLOOKUP($N253,'Base de Grupos'!$A:$A,'Base de Grupos'!$G:$G)</f>
        <v>CANAL VENDA INTERNA</v>
      </c>
      <c r="F253" s="2" t="str">
        <f>_xlfn.XLOOKUP($N253,'Base de Grupos'!$A:$A,'Base de Grupos'!$H:$H)</f>
        <v>1000105900</v>
      </c>
      <c r="G253" s="5" t="str">
        <f>_xlfn.XLOOKUP($N253,'Base de Grupos'!$A:$A,'Base de Grupos'!$I:$I)</f>
        <v>REGIONAL VENDA DIRETA CO + NE + NO</v>
      </c>
      <c r="H253" s="5" t="str">
        <f>_xlfn.XLOOKUP($N253,'Base de Grupos'!$A:$A,'Base de Grupos'!$J:$J)</f>
        <v>1000105900</v>
      </c>
      <c r="I253" s="2" t="str">
        <f>_xlfn.XLOOKUP($N253,'Base de Grupos'!$A:$A,'Base de Grupos'!$K:$K)</f>
        <v>REGIONAL VENDA DIRETA CO + NE + NO</v>
      </c>
      <c r="J253" s="2" t="str">
        <f>_xlfn.XLOOKUP($N253,'Base de Grupos'!$A:$A,'Base de Grupos'!$L:$L)</f>
        <v>1000150135</v>
      </c>
      <c r="K253" s="5" t="str">
        <f>_xlfn.XLOOKUP($N253,'Base de Grupos'!$A:$A,'Base de Grupos'!$M:$M)</f>
        <v>HELDER DA SILVA BRUNKOW</v>
      </c>
      <c r="L253" s="5" t="str">
        <f t="shared" si="269"/>
        <v/>
      </c>
      <c r="M253" s="5" t="str">
        <f>_xlfn.XLOOKUP($N253,'Base de Grupos'!$A:$A,'Base de Grupos'!$C:$C)</f>
        <v>AM</v>
      </c>
      <c r="N253" s="3">
        <v>1351</v>
      </c>
      <c r="O253" s="4" t="s">
        <v>237</v>
      </c>
      <c r="P253" s="5" t="s">
        <v>95</v>
      </c>
      <c r="Q253" s="56">
        <v>0</v>
      </c>
      <c r="R253" s="56">
        <v>0</v>
      </c>
      <c r="S253" s="56">
        <v>0</v>
      </c>
      <c r="T253" s="56">
        <f>_xlfn.XLOOKUP($N253,'Calculo Leads'!$A$97:$A$134,'Calculo Leads'!G$97:G$134)*_xlfn.XLOOKUP($P253,'Base Grupo de Produtos'!$E$2:$E$18,'Base Grupo de Produtos'!$F$2:$F$18)</f>
        <v>80</v>
      </c>
      <c r="U253" s="56">
        <f>_xlfn.XLOOKUP($N253,'Calculo Leads'!$A$97:$A$134,'Calculo Leads'!H$97:H$134)*_xlfn.XLOOKUP($P253,'Base Grupo de Produtos'!$E$2:$E$18,'Base Grupo de Produtos'!$F$2:$F$18)</f>
        <v>80</v>
      </c>
      <c r="V253" s="56">
        <f>_xlfn.XLOOKUP($N253,'Calculo Leads'!$A$97:$A$134,'Calculo Leads'!I$97:I$134)*_xlfn.XLOOKUP($P253,'Base Grupo de Produtos'!$E$2:$E$18,'Base Grupo de Produtos'!$F$2:$F$18)</f>
        <v>80</v>
      </c>
      <c r="W253" s="56">
        <f>_xlfn.XLOOKUP($N253,'Calculo Leads'!$A$97:$A$134,'Calculo Leads'!J$97:J$134)*_xlfn.XLOOKUP($P253,'Base Grupo de Produtos'!$E$2:$E$18,'Base Grupo de Produtos'!$F$2:$F$18)</f>
        <v>80</v>
      </c>
      <c r="X253" s="56">
        <f>_xlfn.XLOOKUP($N253,'Calculo Leads'!$A$97:$A$134,'Calculo Leads'!K$97:K$134)*_xlfn.XLOOKUP($P253,'Base Grupo de Produtos'!$E$2:$E$18,'Base Grupo de Produtos'!$F$2:$F$18)</f>
        <v>88</v>
      </c>
      <c r="Y253" s="56">
        <f>_xlfn.XLOOKUP($N253,'Calculo Leads'!$A$97:$A$134,'Calculo Leads'!L$97:L$134)*_xlfn.XLOOKUP($P253,'Base Grupo de Produtos'!$E$2:$E$18,'Base Grupo de Produtos'!$F$2:$F$18)</f>
        <v>176</v>
      </c>
      <c r="Z253" s="56">
        <f>_xlfn.XLOOKUP($N253,'Calculo Leads'!$A$97:$A$134,'Calculo Leads'!M$97:M$134)*_xlfn.XLOOKUP($P253,'Base Grupo de Produtos'!$E$2:$E$18,'Base Grupo de Produtos'!$F$2:$F$18)</f>
        <v>176</v>
      </c>
      <c r="AA253" s="56">
        <f>_xlfn.XLOOKUP($N253,'Calculo Leads'!$A$97:$A$134,'Calculo Leads'!N$97:N$134)*_xlfn.XLOOKUP($P253,'Base Grupo de Produtos'!$E$2:$E$18,'Base Grupo de Produtos'!$F$2:$F$18)</f>
        <v>176</v>
      </c>
      <c r="AB253" s="56">
        <f>_xlfn.XLOOKUP($N253,'Calculo Leads'!$A$97:$A$134,'Calculo Leads'!O$97:O$134)*_xlfn.XLOOKUP($P253,'Base Grupo de Produtos'!$E$2:$E$18,'Base Grupo de Produtos'!$F$2:$F$18)</f>
        <v>88</v>
      </c>
      <c r="AC253" s="61">
        <f t="shared" si="212"/>
        <v>1024</v>
      </c>
      <c r="AD253" s="27">
        <f t="shared" si="264"/>
        <v>1024</v>
      </c>
      <c r="AE253" s="25">
        <f>IFERROR(_xlfn.XLOOKUP(N253&amp;P253,'Historico Vendas'!G:G,'Historico Vendas'!E:E),0)</f>
        <v>0</v>
      </c>
      <c r="AF253" s="29" t="str">
        <f t="shared" si="267"/>
        <v/>
      </c>
      <c r="AG253" s="24">
        <f>IFERROR(_xlfn.XLOOKUP(N253&amp;P253,'Historico Vendas'!G:G,'Historico Vendas'!F:F),0)</f>
        <v>0</v>
      </c>
      <c r="AH253" s="25">
        <f t="shared" si="265"/>
        <v>0</v>
      </c>
      <c r="AI253" s="24">
        <f t="shared" si="266"/>
        <v>0</v>
      </c>
      <c r="AJ253" s="11" t="str">
        <f t="shared" si="270"/>
        <v/>
      </c>
      <c r="AK253" s="9" t="s">
        <v>102</v>
      </c>
      <c r="AL253" s="13">
        <f>IFERROR(INDEX('Balizador da Meta'!$D$3:$F$23,MATCH(Faturamento!$P253,'Balizador da Meta'!$C$3:$C$23,0),MATCH(Faturamento!AK253,'Balizador da Meta'!$D$2:$F$2,0)),"")</f>
        <v>0.25</v>
      </c>
      <c r="AM253" s="9"/>
    </row>
    <row r="254" spans="1:39" x14ac:dyDescent="0.3">
      <c r="A254" s="2" t="str">
        <f t="shared" si="268"/>
        <v>NÃO</v>
      </c>
      <c r="B254" s="2" t="str">
        <f>_xlfn.XLOOKUP($N254,'Base de Grupos'!$A:$A,'Base de Grupos'!$D:$D)</f>
        <v>1000065763</v>
      </c>
      <c r="C254" s="5" t="str">
        <f>_xlfn.XLOOKUP($N254,'Base de Grupos'!$A:$A,'Base de Grupos'!$E:$E)</f>
        <v>CANAL VENDA INTERNA</v>
      </c>
      <c r="D254" s="5" t="str">
        <f>_xlfn.XLOOKUP($N254,'Base de Grupos'!$A:$A,'Base de Grupos'!$F:$F)</f>
        <v>1000065763</v>
      </c>
      <c r="E254" s="2" t="str">
        <f>_xlfn.XLOOKUP($N254,'Base de Grupos'!$A:$A,'Base de Grupos'!$G:$G)</f>
        <v>CANAL VENDA INTERNA</v>
      </c>
      <c r="F254" s="2" t="str">
        <f>_xlfn.XLOOKUP($N254,'Base de Grupos'!$A:$A,'Base de Grupos'!$H:$H)</f>
        <v>1000105900</v>
      </c>
      <c r="G254" s="5" t="str">
        <f>_xlfn.XLOOKUP($N254,'Base de Grupos'!$A:$A,'Base de Grupos'!$I:$I)</f>
        <v>REGIONAL VENDA DIRETA CO + NE + NO</v>
      </c>
      <c r="H254" s="5" t="str">
        <f>_xlfn.XLOOKUP($N254,'Base de Grupos'!$A:$A,'Base de Grupos'!$J:$J)</f>
        <v>1000105900</v>
      </c>
      <c r="I254" s="2" t="str">
        <f>_xlfn.XLOOKUP($N254,'Base de Grupos'!$A:$A,'Base de Grupos'!$K:$K)</f>
        <v>REGIONAL VENDA DIRETA CO + NE + NO</v>
      </c>
      <c r="J254" s="2" t="str">
        <f>_xlfn.XLOOKUP($N254,'Base de Grupos'!$A:$A,'Base de Grupos'!$L:$L)</f>
        <v>1000150135</v>
      </c>
      <c r="K254" s="5" t="str">
        <f>_xlfn.XLOOKUP($N254,'Base de Grupos'!$A:$A,'Base de Grupos'!$M:$M)</f>
        <v>HELDER DA SILVA BRUNKOW</v>
      </c>
      <c r="L254" s="5" t="str">
        <f t="shared" si="269"/>
        <v/>
      </c>
      <c r="M254" s="5" t="str">
        <f>_xlfn.XLOOKUP($N254,'Base de Grupos'!$A:$A,'Base de Grupos'!$C:$C)</f>
        <v>AM</v>
      </c>
      <c r="N254" s="3">
        <v>1351</v>
      </c>
      <c r="O254" s="4" t="s">
        <v>237</v>
      </c>
      <c r="P254" s="5" t="s">
        <v>93</v>
      </c>
      <c r="Q254" s="56">
        <v>0</v>
      </c>
      <c r="R254" s="56">
        <v>0</v>
      </c>
      <c r="S254" s="56">
        <v>0</v>
      </c>
      <c r="T254" s="56">
        <f>_xlfn.XLOOKUP($N254,'Calculo Leads'!$A$97:$A$134,'Calculo Leads'!G$97:G$134)*_xlfn.XLOOKUP($P254,'Base Grupo de Produtos'!$E$2:$E$18,'Base Grupo de Produtos'!$F$2:$F$18)</f>
        <v>30</v>
      </c>
      <c r="U254" s="56">
        <f>_xlfn.XLOOKUP($N254,'Calculo Leads'!$A$97:$A$134,'Calculo Leads'!H$97:H$134)*_xlfn.XLOOKUP($P254,'Base Grupo de Produtos'!$E$2:$E$18,'Base Grupo de Produtos'!$F$2:$F$18)</f>
        <v>30</v>
      </c>
      <c r="V254" s="56">
        <f>_xlfn.XLOOKUP($N254,'Calculo Leads'!$A$97:$A$134,'Calculo Leads'!I$97:I$134)*_xlfn.XLOOKUP($P254,'Base Grupo de Produtos'!$E$2:$E$18,'Base Grupo de Produtos'!$F$2:$F$18)</f>
        <v>30</v>
      </c>
      <c r="W254" s="56">
        <f>_xlfn.XLOOKUP($N254,'Calculo Leads'!$A$97:$A$134,'Calculo Leads'!J$97:J$134)*_xlfn.XLOOKUP($P254,'Base Grupo de Produtos'!$E$2:$E$18,'Base Grupo de Produtos'!$F$2:$F$18)</f>
        <v>30</v>
      </c>
      <c r="X254" s="56">
        <f>_xlfn.XLOOKUP($N254,'Calculo Leads'!$A$97:$A$134,'Calculo Leads'!K$97:K$134)*_xlfn.XLOOKUP($P254,'Base Grupo de Produtos'!$E$2:$E$18,'Base Grupo de Produtos'!$F$2:$F$18)</f>
        <v>33</v>
      </c>
      <c r="Y254" s="56">
        <f>_xlfn.XLOOKUP($N254,'Calculo Leads'!$A$97:$A$134,'Calculo Leads'!L$97:L$134)*_xlfn.XLOOKUP($P254,'Base Grupo de Produtos'!$E$2:$E$18,'Base Grupo de Produtos'!$F$2:$F$18)</f>
        <v>66</v>
      </c>
      <c r="Z254" s="56">
        <f>_xlfn.XLOOKUP($N254,'Calculo Leads'!$A$97:$A$134,'Calculo Leads'!M$97:M$134)*_xlfn.XLOOKUP($P254,'Base Grupo de Produtos'!$E$2:$E$18,'Base Grupo de Produtos'!$F$2:$F$18)</f>
        <v>66</v>
      </c>
      <c r="AA254" s="56">
        <f>_xlfn.XLOOKUP($N254,'Calculo Leads'!$A$97:$A$134,'Calculo Leads'!N$97:N$134)*_xlfn.XLOOKUP($P254,'Base Grupo de Produtos'!$E$2:$E$18,'Base Grupo de Produtos'!$F$2:$F$18)</f>
        <v>66</v>
      </c>
      <c r="AB254" s="56">
        <f>_xlfn.XLOOKUP($N254,'Calculo Leads'!$A$97:$A$134,'Calculo Leads'!O$97:O$134)*_xlfn.XLOOKUP($P254,'Base Grupo de Produtos'!$E$2:$E$18,'Base Grupo de Produtos'!$F$2:$F$18)</f>
        <v>33</v>
      </c>
      <c r="AC254" s="61">
        <f t="shared" si="212"/>
        <v>384</v>
      </c>
      <c r="AD254" s="27">
        <f t="shared" si="264"/>
        <v>384</v>
      </c>
      <c r="AE254" s="25">
        <f>IFERROR(_xlfn.XLOOKUP(N254&amp;P254,'Historico Vendas'!G:G,'Historico Vendas'!E:E),0)</f>
        <v>0</v>
      </c>
      <c r="AF254" s="29" t="str">
        <f t="shared" si="267"/>
        <v/>
      </c>
      <c r="AG254" s="24">
        <f>IFERROR(_xlfn.XLOOKUP(N254&amp;P254,'Historico Vendas'!G:G,'Historico Vendas'!F:F),0)</f>
        <v>0</v>
      </c>
      <c r="AH254" s="25">
        <f t="shared" si="265"/>
        <v>0</v>
      </c>
      <c r="AI254" s="24">
        <f t="shared" si="266"/>
        <v>0</v>
      </c>
      <c r="AJ254" s="11" t="str">
        <f t="shared" si="270"/>
        <v/>
      </c>
      <c r="AK254" s="9" t="s">
        <v>102</v>
      </c>
      <c r="AL254" s="13">
        <f>IFERROR(INDEX('Balizador da Meta'!$D$3:$F$23,MATCH(Faturamento!$P254,'Balizador da Meta'!$C$3:$C$23,0),MATCH(Faturamento!AK254,'Balizador da Meta'!$D$2:$F$2,0)),"")</f>
        <v>0.2</v>
      </c>
      <c r="AM254" s="9"/>
    </row>
    <row r="255" spans="1:39" x14ac:dyDescent="0.3">
      <c r="A255" s="2" t="str">
        <f t="shared" si="268"/>
        <v>SIM</v>
      </c>
      <c r="B255" s="2" t="str">
        <f>_xlfn.XLOOKUP($N255,'Base de Grupos'!$A:$A,'Base de Grupos'!$D:$D)</f>
        <v>1000065763</v>
      </c>
      <c r="C255" s="5" t="str">
        <f>_xlfn.XLOOKUP($N255,'Base de Grupos'!$A:$A,'Base de Grupos'!$E:$E)</f>
        <v>CANAL VENDA INTERNA</v>
      </c>
      <c r="D255" s="5" t="str">
        <f>_xlfn.XLOOKUP($N255,'Base de Grupos'!$A:$A,'Base de Grupos'!$F:$F)</f>
        <v>1000065763</v>
      </c>
      <c r="E255" s="2" t="str">
        <f>_xlfn.XLOOKUP($N255,'Base de Grupos'!$A:$A,'Base de Grupos'!$G:$G)</f>
        <v>CANAL VENDA INTERNA</v>
      </c>
      <c r="F255" s="2" t="str">
        <f>_xlfn.XLOOKUP($N255,'Base de Grupos'!$A:$A,'Base de Grupos'!$H:$H)</f>
        <v>1000105900</v>
      </c>
      <c r="G255" s="5" t="str">
        <f>_xlfn.XLOOKUP($N255,'Base de Grupos'!$A:$A,'Base de Grupos'!$I:$I)</f>
        <v>REGIONAL VENDA DIRETA CO + NE + NO</v>
      </c>
      <c r="H255" s="5" t="str">
        <f>_xlfn.XLOOKUP($N255,'Base de Grupos'!$A:$A,'Base de Grupos'!$J:$J)</f>
        <v>1000105900</v>
      </c>
      <c r="I255" s="2" t="str">
        <f>_xlfn.XLOOKUP($N255,'Base de Grupos'!$A:$A,'Base de Grupos'!$K:$K)</f>
        <v>REGIONAL VENDA DIRETA CO + NE + NO</v>
      </c>
      <c r="J255" s="2" t="str">
        <f>_xlfn.XLOOKUP($N255,'Base de Grupos'!$A:$A,'Base de Grupos'!$L:$L)</f>
        <v>1000150135</v>
      </c>
      <c r="K255" s="5" t="str">
        <f>_xlfn.XLOOKUP($N255,'Base de Grupos'!$A:$A,'Base de Grupos'!$M:$M)</f>
        <v>HELDER DA SILVA BRUNKOW</v>
      </c>
      <c r="L255" s="5">
        <f t="shared" si="269"/>
        <v>1</v>
      </c>
      <c r="M255" s="5" t="str">
        <f>_xlfn.XLOOKUP($N255,'Base de Grupos'!$A:$A,'Base de Grupos'!$C:$C)</f>
        <v>DF</v>
      </c>
      <c r="N255" s="3">
        <v>1352</v>
      </c>
      <c r="O255" s="4" t="s">
        <v>238</v>
      </c>
      <c r="P255" s="5" t="s">
        <v>308</v>
      </c>
      <c r="Q255" s="56">
        <f t="shared" ref="Q255" si="271">SUM(Q256:Q272)</f>
        <v>0</v>
      </c>
      <c r="R255" s="56">
        <f t="shared" ref="R255" si="272">SUM(R256:R272)</f>
        <v>0</v>
      </c>
      <c r="S255" s="56">
        <f t="shared" ref="S255" si="273">SUM(S256:S272)</f>
        <v>0</v>
      </c>
      <c r="T255" s="56">
        <f t="shared" ref="T255" si="274">SUM(T256:T272)</f>
        <v>1000</v>
      </c>
      <c r="U255" s="56">
        <f t="shared" ref="U255" si="275">SUM(U256:U272)</f>
        <v>1000</v>
      </c>
      <c r="V255" s="56">
        <f t="shared" ref="V255" si="276">SUM(V256:V272)</f>
        <v>2000</v>
      </c>
      <c r="W255" s="56">
        <f t="shared" ref="W255" si="277">SUM(W256:W272)</f>
        <v>2000</v>
      </c>
      <c r="X255" s="56">
        <f t="shared" ref="X255" si="278">SUM(X256:X272)</f>
        <v>2200</v>
      </c>
      <c r="Y255" s="56">
        <f t="shared" ref="Y255" si="279">SUM(Y256:Y272)</f>
        <v>3300</v>
      </c>
      <c r="Z255" s="56">
        <f t="shared" ref="Z255" si="280">SUM(Z256:Z272)</f>
        <v>3300</v>
      </c>
      <c r="AA255" s="56">
        <f t="shared" ref="AA255" si="281">SUM(AA256:AA272)</f>
        <v>3300</v>
      </c>
      <c r="AB255" s="56">
        <f t="shared" ref="AB255" si="282">SUM(AB256:AB272)</f>
        <v>2200</v>
      </c>
      <c r="AC255" s="56">
        <f t="shared" ref="AC255" si="283">SUM(AC256:AC272)</f>
        <v>20300</v>
      </c>
      <c r="AD255" s="25">
        <f t="shared" ref="AD255" si="284">SUM(AD256:AD272)</f>
        <v>20300</v>
      </c>
      <c r="AE255" s="25">
        <f t="shared" ref="AE255:AI255" si="285">SUM(AE256:AE272)</f>
        <v>0</v>
      </c>
      <c r="AF255" s="11" t="str">
        <f t="shared" si="267"/>
        <v/>
      </c>
      <c r="AG255" s="24">
        <f t="shared" si="285"/>
        <v>0</v>
      </c>
      <c r="AH255" s="25">
        <f t="shared" si="285"/>
        <v>0</v>
      </c>
      <c r="AI255" s="24">
        <f t="shared" si="285"/>
        <v>0</v>
      </c>
      <c r="AJ255" s="11" t="str">
        <f t="shared" si="270"/>
        <v/>
      </c>
      <c r="AK255" s="9"/>
      <c r="AL255" s="13"/>
      <c r="AM255" s="9"/>
    </row>
    <row r="256" spans="1:39" x14ac:dyDescent="0.3">
      <c r="A256" s="2" t="str">
        <f t="shared" si="268"/>
        <v>NÃO</v>
      </c>
      <c r="B256" s="2" t="str">
        <f>_xlfn.XLOOKUP($N256,'Base de Grupos'!$A:$A,'Base de Grupos'!$D:$D)</f>
        <v>1000065763</v>
      </c>
      <c r="C256" s="5" t="str">
        <f>_xlfn.XLOOKUP($N256,'Base de Grupos'!$A:$A,'Base de Grupos'!$E:$E)</f>
        <v>CANAL VENDA INTERNA</v>
      </c>
      <c r="D256" s="5" t="str">
        <f>_xlfn.XLOOKUP($N256,'Base de Grupos'!$A:$A,'Base de Grupos'!$F:$F)</f>
        <v>1000065763</v>
      </c>
      <c r="E256" s="2" t="str">
        <f>_xlfn.XLOOKUP($N256,'Base de Grupos'!$A:$A,'Base de Grupos'!$G:$G)</f>
        <v>CANAL VENDA INTERNA</v>
      </c>
      <c r="F256" s="2" t="str">
        <f>_xlfn.XLOOKUP($N256,'Base de Grupos'!$A:$A,'Base de Grupos'!$H:$H)</f>
        <v>1000105900</v>
      </c>
      <c r="G256" s="5" t="str">
        <f>_xlfn.XLOOKUP($N256,'Base de Grupos'!$A:$A,'Base de Grupos'!$I:$I)</f>
        <v>REGIONAL VENDA DIRETA CO + NE + NO</v>
      </c>
      <c r="H256" s="5" t="str">
        <f>_xlfn.XLOOKUP($N256,'Base de Grupos'!$A:$A,'Base de Grupos'!$J:$J)</f>
        <v>1000105900</v>
      </c>
      <c r="I256" s="2" t="str">
        <f>_xlfn.XLOOKUP($N256,'Base de Grupos'!$A:$A,'Base de Grupos'!$K:$K)</f>
        <v>REGIONAL VENDA DIRETA CO + NE + NO</v>
      </c>
      <c r="J256" s="2" t="str">
        <f>_xlfn.XLOOKUP($N256,'Base de Grupos'!$A:$A,'Base de Grupos'!$L:$L)</f>
        <v>1000150135</v>
      </c>
      <c r="K256" s="5" t="str">
        <f>_xlfn.XLOOKUP($N256,'Base de Grupos'!$A:$A,'Base de Grupos'!$M:$M)</f>
        <v>HELDER DA SILVA BRUNKOW</v>
      </c>
      <c r="L256" s="5" t="str">
        <f t="shared" si="269"/>
        <v/>
      </c>
      <c r="M256" s="5" t="str">
        <f>_xlfn.XLOOKUP($N256,'Base de Grupos'!$A:$A,'Base de Grupos'!$C:$C)</f>
        <v>DF</v>
      </c>
      <c r="N256" s="3">
        <v>1352</v>
      </c>
      <c r="O256" s="4" t="s">
        <v>238</v>
      </c>
      <c r="P256" s="5" t="s">
        <v>81</v>
      </c>
      <c r="Q256" s="56">
        <v>0</v>
      </c>
      <c r="R256" s="56">
        <v>0</v>
      </c>
      <c r="S256" s="56">
        <v>0</v>
      </c>
      <c r="T256" s="56">
        <f>_xlfn.XLOOKUP($N256,'Calculo Leads'!$A$97:$A$134,'Calculo Leads'!G$97:G$134)*_xlfn.XLOOKUP($P256,'Base Grupo de Produtos'!$E$2:$E$18,'Base Grupo de Produtos'!$F$2:$F$18)</f>
        <v>50</v>
      </c>
      <c r="U256" s="56">
        <f>_xlfn.XLOOKUP($N256,'Calculo Leads'!$A$97:$A$134,'Calculo Leads'!H$97:H$134)*_xlfn.XLOOKUP($P256,'Base Grupo de Produtos'!$E$2:$E$18,'Base Grupo de Produtos'!$F$2:$F$18)</f>
        <v>50</v>
      </c>
      <c r="V256" s="56">
        <f>_xlfn.XLOOKUP($N256,'Calculo Leads'!$A$97:$A$134,'Calculo Leads'!I$97:I$134)*_xlfn.XLOOKUP($P256,'Base Grupo de Produtos'!$E$2:$E$18,'Base Grupo de Produtos'!$F$2:$F$18)</f>
        <v>100</v>
      </c>
      <c r="W256" s="56">
        <f>_xlfn.XLOOKUP($N256,'Calculo Leads'!$A$97:$A$134,'Calculo Leads'!J$97:J$134)*_xlfn.XLOOKUP($P256,'Base Grupo de Produtos'!$E$2:$E$18,'Base Grupo de Produtos'!$F$2:$F$18)</f>
        <v>100</v>
      </c>
      <c r="X256" s="56">
        <f>_xlfn.XLOOKUP($N256,'Calculo Leads'!$A$97:$A$134,'Calculo Leads'!K$97:K$134)*_xlfn.XLOOKUP($P256,'Base Grupo de Produtos'!$E$2:$E$18,'Base Grupo de Produtos'!$F$2:$F$18)</f>
        <v>110</v>
      </c>
      <c r="Y256" s="56">
        <f>_xlfn.XLOOKUP($N256,'Calculo Leads'!$A$97:$A$134,'Calculo Leads'!L$97:L$134)*_xlfn.XLOOKUP($P256,'Base Grupo de Produtos'!$E$2:$E$18,'Base Grupo de Produtos'!$F$2:$F$18)</f>
        <v>165</v>
      </c>
      <c r="Z256" s="56">
        <f>_xlfn.XLOOKUP($N256,'Calculo Leads'!$A$97:$A$134,'Calculo Leads'!M$97:M$134)*_xlfn.XLOOKUP($P256,'Base Grupo de Produtos'!$E$2:$E$18,'Base Grupo de Produtos'!$F$2:$F$18)</f>
        <v>165</v>
      </c>
      <c r="AA256" s="56">
        <f>_xlfn.XLOOKUP($N256,'Calculo Leads'!$A$97:$A$134,'Calculo Leads'!N$97:N$134)*_xlfn.XLOOKUP($P256,'Base Grupo de Produtos'!$E$2:$E$18,'Base Grupo de Produtos'!$F$2:$F$18)</f>
        <v>165</v>
      </c>
      <c r="AB256" s="56">
        <f>_xlfn.XLOOKUP($N256,'Calculo Leads'!$A$97:$A$134,'Calculo Leads'!O$97:O$134)*_xlfn.XLOOKUP($P256,'Base Grupo de Produtos'!$E$2:$E$18,'Base Grupo de Produtos'!$F$2:$F$18)</f>
        <v>110</v>
      </c>
      <c r="AC256" s="61">
        <f t="shared" si="212"/>
        <v>1015</v>
      </c>
      <c r="AD256" s="27">
        <f t="shared" ref="AD256:AD272" si="286">IF(AC256=0,0,AC256-AG256)</f>
        <v>1015</v>
      </c>
      <c r="AE256" s="25">
        <f>IFERROR(_xlfn.XLOOKUP(N256&amp;P256,'Historico Vendas'!G:G,'Historico Vendas'!E:E),0)</f>
        <v>0</v>
      </c>
      <c r="AF256" s="29" t="str">
        <f t="shared" si="267"/>
        <v/>
      </c>
      <c r="AG256" s="24">
        <f>IFERROR(_xlfn.XLOOKUP(N256&amp;P256,'Historico Vendas'!G:G,'Historico Vendas'!F:F),0)</f>
        <v>0</v>
      </c>
      <c r="AH256" s="25">
        <f t="shared" ref="AH256:AH272" si="287">SUM(Q256:S256)</f>
        <v>0</v>
      </c>
      <c r="AI256" s="24">
        <f t="shared" ref="AI256:AI272" si="288">AH256-AG256</f>
        <v>0</v>
      </c>
      <c r="AJ256" s="11" t="str">
        <f t="shared" si="270"/>
        <v/>
      </c>
      <c r="AK256" s="9" t="s">
        <v>102</v>
      </c>
      <c r="AL256" s="13">
        <f>IFERROR(INDEX('Balizador da Meta'!$D$3:$F$23,MATCH(Faturamento!$P256,'Balizador da Meta'!$C$3:$C$23,0),MATCH(Faturamento!AK256,'Balizador da Meta'!$D$2:$F$2,0)),"")</f>
        <v>0.2</v>
      </c>
      <c r="AM256" s="9"/>
    </row>
    <row r="257" spans="1:39" x14ac:dyDescent="0.3">
      <c r="A257" s="2" t="str">
        <f t="shared" si="268"/>
        <v>NÃO</v>
      </c>
      <c r="B257" s="2" t="str">
        <f>_xlfn.XLOOKUP($N257,'Base de Grupos'!$A:$A,'Base de Grupos'!$D:$D)</f>
        <v>1000065763</v>
      </c>
      <c r="C257" s="5" t="str">
        <f>_xlfn.XLOOKUP($N257,'Base de Grupos'!$A:$A,'Base de Grupos'!$E:$E)</f>
        <v>CANAL VENDA INTERNA</v>
      </c>
      <c r="D257" s="5" t="str">
        <f>_xlfn.XLOOKUP($N257,'Base de Grupos'!$A:$A,'Base de Grupos'!$F:$F)</f>
        <v>1000065763</v>
      </c>
      <c r="E257" s="2" t="str">
        <f>_xlfn.XLOOKUP($N257,'Base de Grupos'!$A:$A,'Base de Grupos'!$G:$G)</f>
        <v>CANAL VENDA INTERNA</v>
      </c>
      <c r="F257" s="2" t="str">
        <f>_xlfn.XLOOKUP($N257,'Base de Grupos'!$A:$A,'Base de Grupos'!$H:$H)</f>
        <v>1000105900</v>
      </c>
      <c r="G257" s="5" t="str">
        <f>_xlfn.XLOOKUP($N257,'Base de Grupos'!$A:$A,'Base de Grupos'!$I:$I)</f>
        <v>REGIONAL VENDA DIRETA CO + NE + NO</v>
      </c>
      <c r="H257" s="5" t="str">
        <f>_xlfn.XLOOKUP($N257,'Base de Grupos'!$A:$A,'Base de Grupos'!$J:$J)</f>
        <v>1000105900</v>
      </c>
      <c r="I257" s="2" t="str">
        <f>_xlfn.XLOOKUP($N257,'Base de Grupos'!$A:$A,'Base de Grupos'!$K:$K)</f>
        <v>REGIONAL VENDA DIRETA CO + NE + NO</v>
      </c>
      <c r="J257" s="2" t="str">
        <f>_xlfn.XLOOKUP($N257,'Base de Grupos'!$A:$A,'Base de Grupos'!$L:$L)</f>
        <v>1000150135</v>
      </c>
      <c r="K257" s="5" t="str">
        <f>_xlfn.XLOOKUP($N257,'Base de Grupos'!$A:$A,'Base de Grupos'!$M:$M)</f>
        <v>HELDER DA SILVA BRUNKOW</v>
      </c>
      <c r="L257" s="5" t="str">
        <f t="shared" si="269"/>
        <v/>
      </c>
      <c r="M257" s="5" t="str">
        <f>_xlfn.XLOOKUP($N257,'Base de Grupos'!$A:$A,'Base de Grupos'!$C:$C)</f>
        <v>DF</v>
      </c>
      <c r="N257" s="3">
        <v>1352</v>
      </c>
      <c r="O257" s="4" t="s">
        <v>238</v>
      </c>
      <c r="P257" s="5" t="s">
        <v>82</v>
      </c>
      <c r="Q257" s="56">
        <v>0</v>
      </c>
      <c r="R257" s="56">
        <v>0</v>
      </c>
      <c r="S257" s="56">
        <v>0</v>
      </c>
      <c r="T257" s="56">
        <f>_xlfn.XLOOKUP($N257,'Calculo Leads'!$A$97:$A$134,'Calculo Leads'!G$97:G$134)*_xlfn.XLOOKUP($P257,'Base Grupo de Produtos'!$E$2:$E$18,'Base Grupo de Produtos'!$F$2:$F$18)</f>
        <v>50</v>
      </c>
      <c r="U257" s="56">
        <f>_xlfn.XLOOKUP($N257,'Calculo Leads'!$A$97:$A$134,'Calculo Leads'!H$97:H$134)*_xlfn.XLOOKUP($P257,'Base Grupo de Produtos'!$E$2:$E$18,'Base Grupo de Produtos'!$F$2:$F$18)</f>
        <v>50</v>
      </c>
      <c r="V257" s="56">
        <f>_xlfn.XLOOKUP($N257,'Calculo Leads'!$A$97:$A$134,'Calculo Leads'!I$97:I$134)*_xlfn.XLOOKUP($P257,'Base Grupo de Produtos'!$E$2:$E$18,'Base Grupo de Produtos'!$F$2:$F$18)</f>
        <v>100</v>
      </c>
      <c r="W257" s="56">
        <f>_xlfn.XLOOKUP($N257,'Calculo Leads'!$A$97:$A$134,'Calculo Leads'!J$97:J$134)*_xlfn.XLOOKUP($P257,'Base Grupo de Produtos'!$E$2:$E$18,'Base Grupo de Produtos'!$F$2:$F$18)</f>
        <v>100</v>
      </c>
      <c r="X257" s="56">
        <f>_xlfn.XLOOKUP($N257,'Calculo Leads'!$A$97:$A$134,'Calculo Leads'!K$97:K$134)*_xlfn.XLOOKUP($P257,'Base Grupo de Produtos'!$E$2:$E$18,'Base Grupo de Produtos'!$F$2:$F$18)</f>
        <v>110</v>
      </c>
      <c r="Y257" s="56">
        <f>_xlfn.XLOOKUP($N257,'Calculo Leads'!$A$97:$A$134,'Calculo Leads'!L$97:L$134)*_xlfn.XLOOKUP($P257,'Base Grupo de Produtos'!$E$2:$E$18,'Base Grupo de Produtos'!$F$2:$F$18)</f>
        <v>165</v>
      </c>
      <c r="Z257" s="56">
        <f>_xlfn.XLOOKUP($N257,'Calculo Leads'!$A$97:$A$134,'Calculo Leads'!M$97:M$134)*_xlfn.XLOOKUP($P257,'Base Grupo de Produtos'!$E$2:$E$18,'Base Grupo de Produtos'!$F$2:$F$18)</f>
        <v>165</v>
      </c>
      <c r="AA257" s="56">
        <f>_xlfn.XLOOKUP($N257,'Calculo Leads'!$A$97:$A$134,'Calculo Leads'!N$97:N$134)*_xlfn.XLOOKUP($P257,'Base Grupo de Produtos'!$E$2:$E$18,'Base Grupo de Produtos'!$F$2:$F$18)</f>
        <v>165</v>
      </c>
      <c r="AB257" s="56">
        <f>_xlfn.XLOOKUP($N257,'Calculo Leads'!$A$97:$A$134,'Calculo Leads'!O$97:O$134)*_xlfn.XLOOKUP($P257,'Base Grupo de Produtos'!$E$2:$E$18,'Base Grupo de Produtos'!$F$2:$F$18)</f>
        <v>110</v>
      </c>
      <c r="AC257" s="61">
        <f t="shared" si="212"/>
        <v>1015</v>
      </c>
      <c r="AD257" s="27">
        <f t="shared" si="286"/>
        <v>1015</v>
      </c>
      <c r="AE257" s="25">
        <f>IFERROR(_xlfn.XLOOKUP(N257&amp;P257,'Historico Vendas'!G:G,'Historico Vendas'!E:E),0)</f>
        <v>0</v>
      </c>
      <c r="AF257" s="29" t="str">
        <f t="shared" si="267"/>
        <v/>
      </c>
      <c r="AG257" s="24">
        <f>IFERROR(_xlfn.XLOOKUP(N257&amp;P257,'Historico Vendas'!G:G,'Historico Vendas'!F:F),0)</f>
        <v>0</v>
      </c>
      <c r="AH257" s="25">
        <f t="shared" si="287"/>
        <v>0</v>
      </c>
      <c r="AI257" s="24">
        <f t="shared" si="288"/>
        <v>0</v>
      </c>
      <c r="AJ257" s="11" t="str">
        <f t="shared" si="270"/>
        <v/>
      </c>
      <c r="AK257" s="9" t="s">
        <v>102</v>
      </c>
      <c r="AL257" s="13">
        <f>IFERROR(INDEX('Balizador da Meta'!$D$3:$F$23,MATCH(Faturamento!$P257,'Balizador da Meta'!$C$3:$C$23,0),MATCH(Faturamento!AK257,'Balizador da Meta'!$D$2:$F$2,0)),"")</f>
        <v>0.2</v>
      </c>
      <c r="AM257" s="9"/>
    </row>
    <row r="258" spans="1:39" x14ac:dyDescent="0.3">
      <c r="A258" s="2" t="str">
        <f t="shared" si="268"/>
        <v>NÃO</v>
      </c>
      <c r="B258" s="2" t="str">
        <f>_xlfn.XLOOKUP($N258,'Base de Grupos'!$A:$A,'Base de Grupos'!$D:$D)</f>
        <v>1000065763</v>
      </c>
      <c r="C258" s="5" t="str">
        <f>_xlfn.XLOOKUP($N258,'Base de Grupos'!$A:$A,'Base de Grupos'!$E:$E)</f>
        <v>CANAL VENDA INTERNA</v>
      </c>
      <c r="D258" s="5" t="str">
        <f>_xlfn.XLOOKUP($N258,'Base de Grupos'!$A:$A,'Base de Grupos'!$F:$F)</f>
        <v>1000065763</v>
      </c>
      <c r="E258" s="2" t="str">
        <f>_xlfn.XLOOKUP($N258,'Base de Grupos'!$A:$A,'Base de Grupos'!$G:$G)</f>
        <v>CANAL VENDA INTERNA</v>
      </c>
      <c r="F258" s="2" t="str">
        <f>_xlfn.XLOOKUP($N258,'Base de Grupos'!$A:$A,'Base de Grupos'!$H:$H)</f>
        <v>1000105900</v>
      </c>
      <c r="G258" s="5" t="str">
        <f>_xlfn.XLOOKUP($N258,'Base de Grupos'!$A:$A,'Base de Grupos'!$I:$I)</f>
        <v>REGIONAL VENDA DIRETA CO + NE + NO</v>
      </c>
      <c r="H258" s="5" t="str">
        <f>_xlfn.XLOOKUP($N258,'Base de Grupos'!$A:$A,'Base de Grupos'!$J:$J)</f>
        <v>1000105900</v>
      </c>
      <c r="I258" s="2" t="str">
        <f>_xlfn.XLOOKUP($N258,'Base de Grupos'!$A:$A,'Base de Grupos'!$K:$K)</f>
        <v>REGIONAL VENDA DIRETA CO + NE + NO</v>
      </c>
      <c r="J258" s="2" t="str">
        <f>_xlfn.XLOOKUP($N258,'Base de Grupos'!$A:$A,'Base de Grupos'!$L:$L)</f>
        <v>1000150135</v>
      </c>
      <c r="K258" s="5" t="str">
        <f>_xlfn.XLOOKUP($N258,'Base de Grupos'!$A:$A,'Base de Grupos'!$M:$M)</f>
        <v>HELDER DA SILVA BRUNKOW</v>
      </c>
      <c r="L258" s="5" t="str">
        <f t="shared" si="269"/>
        <v/>
      </c>
      <c r="M258" s="5" t="str">
        <f>_xlfn.XLOOKUP($N258,'Base de Grupos'!$A:$A,'Base de Grupos'!$C:$C)</f>
        <v>DF</v>
      </c>
      <c r="N258" s="3">
        <v>1352</v>
      </c>
      <c r="O258" s="4" t="s">
        <v>238</v>
      </c>
      <c r="P258" s="5" t="s">
        <v>84</v>
      </c>
      <c r="Q258" s="56">
        <v>0</v>
      </c>
      <c r="R258" s="56">
        <v>0</v>
      </c>
      <c r="S258" s="56">
        <v>0</v>
      </c>
      <c r="T258" s="56">
        <f>_xlfn.XLOOKUP($N258,'Calculo Leads'!$A$97:$A$134,'Calculo Leads'!G$97:G$134)*_xlfn.XLOOKUP($P258,'Base Grupo de Produtos'!$E$2:$E$18,'Base Grupo de Produtos'!$F$2:$F$18)</f>
        <v>80</v>
      </c>
      <c r="U258" s="56">
        <f>_xlfn.XLOOKUP($N258,'Calculo Leads'!$A$97:$A$134,'Calculo Leads'!H$97:H$134)*_xlfn.XLOOKUP($P258,'Base Grupo de Produtos'!$E$2:$E$18,'Base Grupo de Produtos'!$F$2:$F$18)</f>
        <v>80</v>
      </c>
      <c r="V258" s="56">
        <f>_xlfn.XLOOKUP($N258,'Calculo Leads'!$A$97:$A$134,'Calculo Leads'!I$97:I$134)*_xlfn.XLOOKUP($P258,'Base Grupo de Produtos'!$E$2:$E$18,'Base Grupo de Produtos'!$F$2:$F$18)</f>
        <v>160</v>
      </c>
      <c r="W258" s="56">
        <f>_xlfn.XLOOKUP($N258,'Calculo Leads'!$A$97:$A$134,'Calculo Leads'!J$97:J$134)*_xlfn.XLOOKUP($P258,'Base Grupo de Produtos'!$E$2:$E$18,'Base Grupo de Produtos'!$F$2:$F$18)</f>
        <v>160</v>
      </c>
      <c r="X258" s="56">
        <f>_xlfn.XLOOKUP($N258,'Calculo Leads'!$A$97:$A$134,'Calculo Leads'!K$97:K$134)*_xlfn.XLOOKUP($P258,'Base Grupo de Produtos'!$E$2:$E$18,'Base Grupo de Produtos'!$F$2:$F$18)</f>
        <v>176</v>
      </c>
      <c r="Y258" s="56">
        <f>_xlfn.XLOOKUP($N258,'Calculo Leads'!$A$97:$A$134,'Calculo Leads'!L$97:L$134)*_xlfn.XLOOKUP($P258,'Base Grupo de Produtos'!$E$2:$E$18,'Base Grupo de Produtos'!$F$2:$F$18)</f>
        <v>264</v>
      </c>
      <c r="Z258" s="56">
        <f>_xlfn.XLOOKUP($N258,'Calculo Leads'!$A$97:$A$134,'Calculo Leads'!M$97:M$134)*_xlfn.XLOOKUP($P258,'Base Grupo de Produtos'!$E$2:$E$18,'Base Grupo de Produtos'!$F$2:$F$18)</f>
        <v>264</v>
      </c>
      <c r="AA258" s="56">
        <f>_xlfn.XLOOKUP($N258,'Calculo Leads'!$A$97:$A$134,'Calculo Leads'!N$97:N$134)*_xlfn.XLOOKUP($P258,'Base Grupo de Produtos'!$E$2:$E$18,'Base Grupo de Produtos'!$F$2:$F$18)</f>
        <v>264</v>
      </c>
      <c r="AB258" s="56">
        <f>_xlfn.XLOOKUP($N258,'Calculo Leads'!$A$97:$A$134,'Calculo Leads'!O$97:O$134)*_xlfn.XLOOKUP($P258,'Base Grupo de Produtos'!$E$2:$E$18,'Base Grupo de Produtos'!$F$2:$F$18)</f>
        <v>176</v>
      </c>
      <c r="AC258" s="61">
        <f t="shared" si="212"/>
        <v>1624</v>
      </c>
      <c r="AD258" s="27">
        <f t="shared" si="286"/>
        <v>1624</v>
      </c>
      <c r="AE258" s="25">
        <f>IFERROR(_xlfn.XLOOKUP(N258&amp;P258,'Historico Vendas'!G:G,'Historico Vendas'!E:E),0)</f>
        <v>0</v>
      </c>
      <c r="AF258" s="29" t="str">
        <f t="shared" si="267"/>
        <v/>
      </c>
      <c r="AG258" s="24">
        <f>IFERROR(_xlfn.XLOOKUP(N258&amp;P258,'Historico Vendas'!G:G,'Historico Vendas'!F:F),0)</f>
        <v>0</v>
      </c>
      <c r="AH258" s="25">
        <f t="shared" si="287"/>
        <v>0</v>
      </c>
      <c r="AI258" s="24">
        <f t="shared" si="288"/>
        <v>0</v>
      </c>
      <c r="AJ258" s="11" t="str">
        <f t="shared" si="270"/>
        <v/>
      </c>
      <c r="AK258" s="9" t="s">
        <v>102</v>
      </c>
      <c r="AL258" s="13">
        <f>IFERROR(INDEX('Balizador da Meta'!$D$3:$F$23,MATCH(Faturamento!$P258,'Balizador da Meta'!$C$3:$C$23,0),MATCH(Faturamento!AK258,'Balizador da Meta'!$D$2:$F$2,0)),"")</f>
        <v>0.15</v>
      </c>
      <c r="AM258" s="9"/>
    </row>
    <row r="259" spans="1:39" x14ac:dyDescent="0.3">
      <c r="A259" s="2" t="str">
        <f t="shared" si="268"/>
        <v>NÃO</v>
      </c>
      <c r="B259" s="2" t="str">
        <f>_xlfn.XLOOKUP($N259,'Base de Grupos'!$A:$A,'Base de Grupos'!$D:$D)</f>
        <v>1000065763</v>
      </c>
      <c r="C259" s="5" t="str">
        <f>_xlfn.XLOOKUP($N259,'Base de Grupos'!$A:$A,'Base de Grupos'!$E:$E)</f>
        <v>CANAL VENDA INTERNA</v>
      </c>
      <c r="D259" s="5" t="str">
        <f>_xlfn.XLOOKUP($N259,'Base de Grupos'!$A:$A,'Base de Grupos'!$F:$F)</f>
        <v>1000065763</v>
      </c>
      <c r="E259" s="2" t="str">
        <f>_xlfn.XLOOKUP($N259,'Base de Grupos'!$A:$A,'Base de Grupos'!$G:$G)</f>
        <v>CANAL VENDA INTERNA</v>
      </c>
      <c r="F259" s="2" t="str">
        <f>_xlfn.XLOOKUP($N259,'Base de Grupos'!$A:$A,'Base de Grupos'!$H:$H)</f>
        <v>1000105900</v>
      </c>
      <c r="G259" s="5" t="str">
        <f>_xlfn.XLOOKUP($N259,'Base de Grupos'!$A:$A,'Base de Grupos'!$I:$I)</f>
        <v>REGIONAL VENDA DIRETA CO + NE + NO</v>
      </c>
      <c r="H259" s="5" t="str">
        <f>_xlfn.XLOOKUP($N259,'Base de Grupos'!$A:$A,'Base de Grupos'!$J:$J)</f>
        <v>1000105900</v>
      </c>
      <c r="I259" s="2" t="str">
        <f>_xlfn.XLOOKUP($N259,'Base de Grupos'!$A:$A,'Base de Grupos'!$K:$K)</f>
        <v>REGIONAL VENDA DIRETA CO + NE + NO</v>
      </c>
      <c r="J259" s="2" t="str">
        <f>_xlfn.XLOOKUP($N259,'Base de Grupos'!$A:$A,'Base de Grupos'!$L:$L)</f>
        <v>1000150135</v>
      </c>
      <c r="K259" s="5" t="str">
        <f>_xlfn.XLOOKUP($N259,'Base de Grupos'!$A:$A,'Base de Grupos'!$M:$M)</f>
        <v>HELDER DA SILVA BRUNKOW</v>
      </c>
      <c r="L259" s="5" t="str">
        <f t="shared" si="269"/>
        <v/>
      </c>
      <c r="M259" s="5" t="str">
        <f>_xlfn.XLOOKUP($N259,'Base de Grupos'!$A:$A,'Base de Grupos'!$C:$C)</f>
        <v>DF</v>
      </c>
      <c r="N259" s="3">
        <v>1352</v>
      </c>
      <c r="O259" s="4" t="s">
        <v>238</v>
      </c>
      <c r="P259" s="5" t="s">
        <v>83</v>
      </c>
      <c r="Q259" s="56">
        <v>0</v>
      </c>
      <c r="R259" s="56">
        <v>0</v>
      </c>
      <c r="S259" s="56">
        <v>0</v>
      </c>
      <c r="T259" s="56">
        <f>_xlfn.XLOOKUP($N259,'Calculo Leads'!$A$97:$A$134,'Calculo Leads'!G$97:G$134)*_xlfn.XLOOKUP($P259,'Base Grupo de Produtos'!$E$2:$E$18,'Base Grupo de Produtos'!$F$2:$F$18)</f>
        <v>100</v>
      </c>
      <c r="U259" s="56">
        <f>_xlfn.XLOOKUP($N259,'Calculo Leads'!$A$97:$A$134,'Calculo Leads'!H$97:H$134)*_xlfn.XLOOKUP($P259,'Base Grupo de Produtos'!$E$2:$E$18,'Base Grupo de Produtos'!$F$2:$F$18)</f>
        <v>100</v>
      </c>
      <c r="V259" s="56">
        <f>_xlfn.XLOOKUP($N259,'Calculo Leads'!$A$97:$A$134,'Calculo Leads'!I$97:I$134)*_xlfn.XLOOKUP($P259,'Base Grupo de Produtos'!$E$2:$E$18,'Base Grupo de Produtos'!$F$2:$F$18)</f>
        <v>200</v>
      </c>
      <c r="W259" s="56">
        <f>_xlfn.XLOOKUP($N259,'Calculo Leads'!$A$97:$A$134,'Calculo Leads'!J$97:J$134)*_xlfn.XLOOKUP($P259,'Base Grupo de Produtos'!$E$2:$E$18,'Base Grupo de Produtos'!$F$2:$F$18)</f>
        <v>200</v>
      </c>
      <c r="X259" s="56">
        <f>_xlfn.XLOOKUP($N259,'Calculo Leads'!$A$97:$A$134,'Calculo Leads'!K$97:K$134)*_xlfn.XLOOKUP($P259,'Base Grupo de Produtos'!$E$2:$E$18,'Base Grupo de Produtos'!$F$2:$F$18)</f>
        <v>220</v>
      </c>
      <c r="Y259" s="56">
        <f>_xlfn.XLOOKUP($N259,'Calculo Leads'!$A$97:$A$134,'Calculo Leads'!L$97:L$134)*_xlfn.XLOOKUP($P259,'Base Grupo de Produtos'!$E$2:$E$18,'Base Grupo de Produtos'!$F$2:$F$18)</f>
        <v>330</v>
      </c>
      <c r="Z259" s="56">
        <f>_xlfn.XLOOKUP($N259,'Calculo Leads'!$A$97:$A$134,'Calculo Leads'!M$97:M$134)*_xlfn.XLOOKUP($P259,'Base Grupo de Produtos'!$E$2:$E$18,'Base Grupo de Produtos'!$F$2:$F$18)</f>
        <v>330</v>
      </c>
      <c r="AA259" s="56">
        <f>_xlfn.XLOOKUP($N259,'Calculo Leads'!$A$97:$A$134,'Calculo Leads'!N$97:N$134)*_xlfn.XLOOKUP($P259,'Base Grupo de Produtos'!$E$2:$E$18,'Base Grupo de Produtos'!$F$2:$F$18)</f>
        <v>330</v>
      </c>
      <c r="AB259" s="56">
        <f>_xlfn.XLOOKUP($N259,'Calculo Leads'!$A$97:$A$134,'Calculo Leads'!O$97:O$134)*_xlfn.XLOOKUP($P259,'Base Grupo de Produtos'!$E$2:$E$18,'Base Grupo de Produtos'!$F$2:$F$18)</f>
        <v>220</v>
      </c>
      <c r="AC259" s="61">
        <f t="shared" si="212"/>
        <v>2030</v>
      </c>
      <c r="AD259" s="27">
        <f t="shared" si="286"/>
        <v>2030</v>
      </c>
      <c r="AE259" s="25">
        <f>IFERROR(_xlfn.XLOOKUP(N259&amp;P259,'Historico Vendas'!G:G,'Historico Vendas'!E:E),0)</f>
        <v>0</v>
      </c>
      <c r="AF259" s="29" t="str">
        <f t="shared" si="267"/>
        <v/>
      </c>
      <c r="AG259" s="24">
        <f>IFERROR(_xlfn.XLOOKUP(N259&amp;P259,'Historico Vendas'!G:G,'Historico Vendas'!F:F),0)</f>
        <v>0</v>
      </c>
      <c r="AH259" s="25">
        <f t="shared" si="287"/>
        <v>0</v>
      </c>
      <c r="AI259" s="24">
        <f t="shared" si="288"/>
        <v>0</v>
      </c>
      <c r="AJ259" s="11" t="str">
        <f t="shared" si="270"/>
        <v/>
      </c>
      <c r="AK259" s="9" t="s">
        <v>102</v>
      </c>
      <c r="AL259" s="13">
        <f>IFERROR(INDEX('Balizador da Meta'!$D$3:$F$23,MATCH(Faturamento!$P259,'Balizador da Meta'!$C$3:$C$23,0),MATCH(Faturamento!AK259,'Balizador da Meta'!$D$2:$F$2,0)),"")</f>
        <v>0</v>
      </c>
      <c r="AM259" s="9"/>
    </row>
    <row r="260" spans="1:39" x14ac:dyDescent="0.3">
      <c r="A260" s="2" t="str">
        <f t="shared" si="268"/>
        <v>NÃO</v>
      </c>
      <c r="B260" s="2" t="str">
        <f>_xlfn.XLOOKUP($N260,'Base de Grupos'!$A:$A,'Base de Grupos'!$D:$D)</f>
        <v>1000065763</v>
      </c>
      <c r="C260" s="5" t="str">
        <f>_xlfn.XLOOKUP($N260,'Base de Grupos'!$A:$A,'Base de Grupos'!$E:$E)</f>
        <v>CANAL VENDA INTERNA</v>
      </c>
      <c r="D260" s="5" t="str">
        <f>_xlfn.XLOOKUP($N260,'Base de Grupos'!$A:$A,'Base de Grupos'!$F:$F)</f>
        <v>1000065763</v>
      </c>
      <c r="E260" s="2" t="str">
        <f>_xlfn.XLOOKUP($N260,'Base de Grupos'!$A:$A,'Base de Grupos'!$G:$G)</f>
        <v>CANAL VENDA INTERNA</v>
      </c>
      <c r="F260" s="2" t="str">
        <f>_xlfn.XLOOKUP($N260,'Base de Grupos'!$A:$A,'Base de Grupos'!$H:$H)</f>
        <v>1000105900</v>
      </c>
      <c r="G260" s="5" t="str">
        <f>_xlfn.XLOOKUP($N260,'Base de Grupos'!$A:$A,'Base de Grupos'!$I:$I)</f>
        <v>REGIONAL VENDA DIRETA CO + NE + NO</v>
      </c>
      <c r="H260" s="5" t="str">
        <f>_xlfn.XLOOKUP($N260,'Base de Grupos'!$A:$A,'Base de Grupos'!$J:$J)</f>
        <v>1000105900</v>
      </c>
      <c r="I260" s="2" t="str">
        <f>_xlfn.XLOOKUP($N260,'Base de Grupos'!$A:$A,'Base de Grupos'!$K:$K)</f>
        <v>REGIONAL VENDA DIRETA CO + NE + NO</v>
      </c>
      <c r="J260" s="2" t="str">
        <f>_xlfn.XLOOKUP($N260,'Base de Grupos'!$A:$A,'Base de Grupos'!$L:$L)</f>
        <v>1000150135</v>
      </c>
      <c r="K260" s="5" t="str">
        <f>_xlfn.XLOOKUP($N260,'Base de Grupos'!$A:$A,'Base de Grupos'!$M:$M)</f>
        <v>HELDER DA SILVA BRUNKOW</v>
      </c>
      <c r="L260" s="5" t="str">
        <f t="shared" si="269"/>
        <v/>
      </c>
      <c r="M260" s="5" t="str">
        <f>_xlfn.XLOOKUP($N260,'Base de Grupos'!$A:$A,'Base de Grupos'!$C:$C)</f>
        <v>DF</v>
      </c>
      <c r="N260" s="3">
        <v>1352</v>
      </c>
      <c r="O260" s="4" t="s">
        <v>238</v>
      </c>
      <c r="P260" s="5" t="s">
        <v>87</v>
      </c>
      <c r="Q260" s="56">
        <v>0</v>
      </c>
      <c r="R260" s="56">
        <v>0</v>
      </c>
      <c r="S260" s="56">
        <v>0</v>
      </c>
      <c r="T260" s="56">
        <f>_xlfn.XLOOKUP($N260,'Calculo Leads'!$A$97:$A$134,'Calculo Leads'!G$97:G$134)*_xlfn.XLOOKUP($P260,'Base Grupo de Produtos'!$E$2:$E$18,'Base Grupo de Produtos'!$F$2:$F$18)</f>
        <v>19.999999999999996</v>
      </c>
      <c r="U260" s="56">
        <f>_xlfn.XLOOKUP($N260,'Calculo Leads'!$A$97:$A$134,'Calculo Leads'!H$97:H$134)*_xlfn.XLOOKUP($P260,'Base Grupo de Produtos'!$E$2:$E$18,'Base Grupo de Produtos'!$F$2:$F$18)</f>
        <v>19.999999999999996</v>
      </c>
      <c r="V260" s="56">
        <f>_xlfn.XLOOKUP($N260,'Calculo Leads'!$A$97:$A$134,'Calculo Leads'!I$97:I$134)*_xlfn.XLOOKUP($P260,'Base Grupo de Produtos'!$E$2:$E$18,'Base Grupo de Produtos'!$F$2:$F$18)</f>
        <v>39.999999999999993</v>
      </c>
      <c r="W260" s="56">
        <f>_xlfn.XLOOKUP($N260,'Calculo Leads'!$A$97:$A$134,'Calculo Leads'!J$97:J$134)*_xlfn.XLOOKUP($P260,'Base Grupo de Produtos'!$E$2:$E$18,'Base Grupo de Produtos'!$F$2:$F$18)</f>
        <v>39.999999999999993</v>
      </c>
      <c r="X260" s="56">
        <f>_xlfn.XLOOKUP($N260,'Calculo Leads'!$A$97:$A$134,'Calculo Leads'!K$97:K$134)*_xlfn.XLOOKUP($P260,'Base Grupo de Produtos'!$E$2:$E$18,'Base Grupo de Produtos'!$F$2:$F$18)</f>
        <v>43.999999999999993</v>
      </c>
      <c r="Y260" s="56">
        <f>_xlfn.XLOOKUP($N260,'Calculo Leads'!$A$97:$A$134,'Calculo Leads'!L$97:L$134)*_xlfn.XLOOKUP($P260,'Base Grupo de Produtos'!$E$2:$E$18,'Base Grupo de Produtos'!$F$2:$F$18)</f>
        <v>65.999999999999986</v>
      </c>
      <c r="Z260" s="56">
        <f>_xlfn.XLOOKUP($N260,'Calculo Leads'!$A$97:$A$134,'Calculo Leads'!M$97:M$134)*_xlfn.XLOOKUP($P260,'Base Grupo de Produtos'!$E$2:$E$18,'Base Grupo de Produtos'!$F$2:$F$18)</f>
        <v>65.999999999999986</v>
      </c>
      <c r="AA260" s="56">
        <f>_xlfn.XLOOKUP($N260,'Calculo Leads'!$A$97:$A$134,'Calculo Leads'!N$97:N$134)*_xlfn.XLOOKUP($P260,'Base Grupo de Produtos'!$E$2:$E$18,'Base Grupo de Produtos'!$F$2:$F$18)</f>
        <v>65.999999999999986</v>
      </c>
      <c r="AB260" s="56">
        <f>_xlfn.XLOOKUP($N260,'Calculo Leads'!$A$97:$A$134,'Calculo Leads'!O$97:O$134)*_xlfn.XLOOKUP($P260,'Base Grupo de Produtos'!$E$2:$E$18,'Base Grupo de Produtos'!$F$2:$F$18)</f>
        <v>43.999999999999993</v>
      </c>
      <c r="AC260" s="61">
        <f t="shared" si="212"/>
        <v>405.99999999999994</v>
      </c>
      <c r="AD260" s="27">
        <f t="shared" si="286"/>
        <v>405.99999999999994</v>
      </c>
      <c r="AE260" s="25">
        <f>IFERROR(_xlfn.XLOOKUP(N260&amp;P260,'Historico Vendas'!G:G,'Historico Vendas'!E:E),0)</f>
        <v>0</v>
      </c>
      <c r="AF260" s="29" t="str">
        <f t="shared" si="267"/>
        <v/>
      </c>
      <c r="AG260" s="24">
        <f>IFERROR(_xlfn.XLOOKUP(N260&amp;P260,'Historico Vendas'!G:G,'Historico Vendas'!F:F),0)</f>
        <v>0</v>
      </c>
      <c r="AH260" s="25">
        <f t="shared" si="287"/>
        <v>0</v>
      </c>
      <c r="AI260" s="24">
        <f t="shared" si="288"/>
        <v>0</v>
      </c>
      <c r="AJ260" s="11" t="str">
        <f t="shared" si="270"/>
        <v/>
      </c>
      <c r="AK260" s="9" t="s">
        <v>102</v>
      </c>
      <c r="AL260" s="13">
        <f>IFERROR(INDEX('Balizador da Meta'!$D$3:$F$23,MATCH(Faturamento!$P260,'Balizador da Meta'!$C$3:$C$23,0),MATCH(Faturamento!AK260,'Balizador da Meta'!$D$2:$F$2,0)),"")</f>
        <v>0</v>
      </c>
      <c r="AM260" s="9"/>
    </row>
    <row r="261" spans="1:39" x14ac:dyDescent="0.3">
      <c r="A261" s="2" t="str">
        <f t="shared" si="268"/>
        <v>NÃO</v>
      </c>
      <c r="B261" s="2" t="str">
        <f>_xlfn.XLOOKUP($N261,'Base de Grupos'!$A:$A,'Base de Grupos'!$D:$D)</f>
        <v>1000065763</v>
      </c>
      <c r="C261" s="5" t="str">
        <f>_xlfn.XLOOKUP($N261,'Base de Grupos'!$A:$A,'Base de Grupos'!$E:$E)</f>
        <v>CANAL VENDA INTERNA</v>
      </c>
      <c r="D261" s="5" t="str">
        <f>_xlfn.XLOOKUP($N261,'Base de Grupos'!$A:$A,'Base de Grupos'!$F:$F)</f>
        <v>1000065763</v>
      </c>
      <c r="E261" s="2" t="str">
        <f>_xlfn.XLOOKUP($N261,'Base de Grupos'!$A:$A,'Base de Grupos'!$G:$G)</f>
        <v>CANAL VENDA INTERNA</v>
      </c>
      <c r="F261" s="2" t="str">
        <f>_xlfn.XLOOKUP($N261,'Base de Grupos'!$A:$A,'Base de Grupos'!$H:$H)</f>
        <v>1000105900</v>
      </c>
      <c r="G261" s="5" t="str">
        <f>_xlfn.XLOOKUP($N261,'Base de Grupos'!$A:$A,'Base de Grupos'!$I:$I)</f>
        <v>REGIONAL VENDA DIRETA CO + NE + NO</v>
      </c>
      <c r="H261" s="5" t="str">
        <f>_xlfn.XLOOKUP($N261,'Base de Grupos'!$A:$A,'Base de Grupos'!$J:$J)</f>
        <v>1000105900</v>
      </c>
      <c r="I261" s="2" t="str">
        <f>_xlfn.XLOOKUP($N261,'Base de Grupos'!$A:$A,'Base de Grupos'!$K:$K)</f>
        <v>REGIONAL VENDA DIRETA CO + NE + NO</v>
      </c>
      <c r="J261" s="2" t="str">
        <f>_xlfn.XLOOKUP($N261,'Base de Grupos'!$A:$A,'Base de Grupos'!$L:$L)</f>
        <v>1000150135</v>
      </c>
      <c r="K261" s="5" t="str">
        <f>_xlfn.XLOOKUP($N261,'Base de Grupos'!$A:$A,'Base de Grupos'!$M:$M)</f>
        <v>HELDER DA SILVA BRUNKOW</v>
      </c>
      <c r="L261" s="5" t="str">
        <f t="shared" si="269"/>
        <v/>
      </c>
      <c r="M261" s="5" t="str">
        <f>_xlfn.XLOOKUP($N261,'Base de Grupos'!$A:$A,'Base de Grupos'!$C:$C)</f>
        <v>DF</v>
      </c>
      <c r="N261" s="3">
        <v>1352</v>
      </c>
      <c r="O261" s="4" t="s">
        <v>238</v>
      </c>
      <c r="P261" s="5" t="s">
        <v>85</v>
      </c>
      <c r="Q261" s="56">
        <v>0</v>
      </c>
      <c r="R261" s="56">
        <v>0</v>
      </c>
      <c r="S261" s="56">
        <v>0</v>
      </c>
      <c r="T261" s="56">
        <f>_xlfn.XLOOKUP($N261,'Calculo Leads'!$A$97:$A$134,'Calculo Leads'!G$97:G$134)*_xlfn.XLOOKUP($P261,'Base Grupo de Produtos'!$E$2:$E$18,'Base Grupo de Produtos'!$F$2:$F$18)</f>
        <v>20</v>
      </c>
      <c r="U261" s="56">
        <f>_xlfn.XLOOKUP($N261,'Calculo Leads'!$A$97:$A$134,'Calculo Leads'!H$97:H$134)*_xlfn.XLOOKUP($P261,'Base Grupo de Produtos'!$E$2:$E$18,'Base Grupo de Produtos'!$F$2:$F$18)</f>
        <v>20</v>
      </c>
      <c r="V261" s="56">
        <f>_xlfn.XLOOKUP($N261,'Calculo Leads'!$A$97:$A$134,'Calculo Leads'!I$97:I$134)*_xlfn.XLOOKUP($P261,'Base Grupo de Produtos'!$E$2:$E$18,'Base Grupo de Produtos'!$F$2:$F$18)</f>
        <v>40</v>
      </c>
      <c r="W261" s="56">
        <f>_xlfn.XLOOKUP($N261,'Calculo Leads'!$A$97:$A$134,'Calculo Leads'!J$97:J$134)*_xlfn.XLOOKUP($P261,'Base Grupo de Produtos'!$E$2:$E$18,'Base Grupo de Produtos'!$F$2:$F$18)</f>
        <v>40</v>
      </c>
      <c r="X261" s="56">
        <f>_xlfn.XLOOKUP($N261,'Calculo Leads'!$A$97:$A$134,'Calculo Leads'!K$97:K$134)*_xlfn.XLOOKUP($P261,'Base Grupo de Produtos'!$E$2:$E$18,'Base Grupo de Produtos'!$F$2:$F$18)</f>
        <v>44</v>
      </c>
      <c r="Y261" s="56">
        <f>_xlfn.XLOOKUP($N261,'Calculo Leads'!$A$97:$A$134,'Calculo Leads'!L$97:L$134)*_xlfn.XLOOKUP($P261,'Base Grupo de Produtos'!$E$2:$E$18,'Base Grupo de Produtos'!$F$2:$F$18)</f>
        <v>66</v>
      </c>
      <c r="Z261" s="56">
        <f>_xlfn.XLOOKUP($N261,'Calculo Leads'!$A$97:$A$134,'Calculo Leads'!M$97:M$134)*_xlfn.XLOOKUP($P261,'Base Grupo de Produtos'!$E$2:$E$18,'Base Grupo de Produtos'!$F$2:$F$18)</f>
        <v>66</v>
      </c>
      <c r="AA261" s="56">
        <f>_xlfn.XLOOKUP($N261,'Calculo Leads'!$A$97:$A$134,'Calculo Leads'!N$97:N$134)*_xlfn.XLOOKUP($P261,'Base Grupo de Produtos'!$E$2:$E$18,'Base Grupo de Produtos'!$F$2:$F$18)</f>
        <v>66</v>
      </c>
      <c r="AB261" s="56">
        <f>_xlfn.XLOOKUP($N261,'Calculo Leads'!$A$97:$A$134,'Calculo Leads'!O$97:O$134)*_xlfn.XLOOKUP($P261,'Base Grupo de Produtos'!$E$2:$E$18,'Base Grupo de Produtos'!$F$2:$F$18)</f>
        <v>44</v>
      </c>
      <c r="AC261" s="61">
        <f t="shared" ref="AC261:AC324" si="289">SUM(T261:AB261)</f>
        <v>406</v>
      </c>
      <c r="AD261" s="27">
        <f t="shared" si="286"/>
        <v>406</v>
      </c>
      <c r="AE261" s="25">
        <f>IFERROR(_xlfn.XLOOKUP(N261&amp;P261,'Historico Vendas'!G:G,'Historico Vendas'!E:E),0)</f>
        <v>0</v>
      </c>
      <c r="AF261" s="29" t="str">
        <f t="shared" si="267"/>
        <v/>
      </c>
      <c r="AG261" s="24">
        <f>IFERROR(_xlfn.XLOOKUP(N261&amp;P261,'Historico Vendas'!G:G,'Historico Vendas'!F:F),0)</f>
        <v>0</v>
      </c>
      <c r="AH261" s="25">
        <f t="shared" si="287"/>
        <v>0</v>
      </c>
      <c r="AI261" s="24">
        <f t="shared" si="288"/>
        <v>0</v>
      </c>
      <c r="AJ261" s="11" t="str">
        <f t="shared" si="270"/>
        <v/>
      </c>
      <c r="AK261" s="9" t="s">
        <v>102</v>
      </c>
      <c r="AL261" s="13">
        <f>IFERROR(INDEX('Balizador da Meta'!$D$3:$F$23,MATCH(Faturamento!$P261,'Balizador da Meta'!$C$3:$C$23,0),MATCH(Faturamento!AK261,'Balizador da Meta'!$D$2:$F$2,0)),"")</f>
        <v>0</v>
      </c>
      <c r="AM261" s="9"/>
    </row>
    <row r="262" spans="1:39" x14ac:dyDescent="0.3">
      <c r="A262" s="2" t="str">
        <f t="shared" si="268"/>
        <v>NÃO</v>
      </c>
      <c r="B262" s="2" t="str">
        <f>_xlfn.XLOOKUP($N262,'Base de Grupos'!$A:$A,'Base de Grupos'!$D:$D)</f>
        <v>1000065763</v>
      </c>
      <c r="C262" s="5" t="str">
        <f>_xlfn.XLOOKUP($N262,'Base de Grupos'!$A:$A,'Base de Grupos'!$E:$E)</f>
        <v>CANAL VENDA INTERNA</v>
      </c>
      <c r="D262" s="5" t="str">
        <f>_xlfn.XLOOKUP($N262,'Base de Grupos'!$A:$A,'Base de Grupos'!$F:$F)</f>
        <v>1000065763</v>
      </c>
      <c r="E262" s="2" t="str">
        <f>_xlfn.XLOOKUP($N262,'Base de Grupos'!$A:$A,'Base de Grupos'!$G:$G)</f>
        <v>CANAL VENDA INTERNA</v>
      </c>
      <c r="F262" s="2" t="str">
        <f>_xlfn.XLOOKUP($N262,'Base de Grupos'!$A:$A,'Base de Grupos'!$H:$H)</f>
        <v>1000105900</v>
      </c>
      <c r="G262" s="5" t="str">
        <f>_xlfn.XLOOKUP($N262,'Base de Grupos'!$A:$A,'Base de Grupos'!$I:$I)</f>
        <v>REGIONAL VENDA DIRETA CO + NE + NO</v>
      </c>
      <c r="H262" s="5" t="str">
        <f>_xlfn.XLOOKUP($N262,'Base de Grupos'!$A:$A,'Base de Grupos'!$J:$J)</f>
        <v>1000105900</v>
      </c>
      <c r="I262" s="2" t="str">
        <f>_xlfn.XLOOKUP($N262,'Base de Grupos'!$A:$A,'Base de Grupos'!$K:$K)</f>
        <v>REGIONAL VENDA DIRETA CO + NE + NO</v>
      </c>
      <c r="J262" s="2" t="str">
        <f>_xlfn.XLOOKUP($N262,'Base de Grupos'!$A:$A,'Base de Grupos'!$L:$L)</f>
        <v>1000150135</v>
      </c>
      <c r="K262" s="5" t="str">
        <f>_xlfn.XLOOKUP($N262,'Base de Grupos'!$A:$A,'Base de Grupos'!$M:$M)</f>
        <v>HELDER DA SILVA BRUNKOW</v>
      </c>
      <c r="L262" s="5" t="str">
        <f t="shared" si="269"/>
        <v/>
      </c>
      <c r="M262" s="5" t="str">
        <f>_xlfn.XLOOKUP($N262,'Base de Grupos'!$A:$A,'Base de Grupos'!$C:$C)</f>
        <v>DF</v>
      </c>
      <c r="N262" s="3">
        <v>1352</v>
      </c>
      <c r="O262" s="4" t="s">
        <v>238</v>
      </c>
      <c r="P262" s="5" t="s">
        <v>92</v>
      </c>
      <c r="Q262" s="56">
        <v>0</v>
      </c>
      <c r="R262" s="56">
        <v>0</v>
      </c>
      <c r="S262" s="56">
        <v>0</v>
      </c>
      <c r="T262" s="56">
        <f>_xlfn.XLOOKUP($N262,'Calculo Leads'!$A$97:$A$134,'Calculo Leads'!G$97:G$134)*_xlfn.XLOOKUP($P262,'Base Grupo de Produtos'!$E$2:$E$18,'Base Grupo de Produtos'!$F$2:$F$18)</f>
        <v>20</v>
      </c>
      <c r="U262" s="56">
        <f>_xlfn.XLOOKUP($N262,'Calculo Leads'!$A$97:$A$134,'Calculo Leads'!H$97:H$134)*_xlfn.XLOOKUP($P262,'Base Grupo de Produtos'!$E$2:$E$18,'Base Grupo de Produtos'!$F$2:$F$18)</f>
        <v>20</v>
      </c>
      <c r="V262" s="56">
        <f>_xlfn.XLOOKUP($N262,'Calculo Leads'!$A$97:$A$134,'Calculo Leads'!I$97:I$134)*_xlfn.XLOOKUP($P262,'Base Grupo de Produtos'!$E$2:$E$18,'Base Grupo de Produtos'!$F$2:$F$18)</f>
        <v>40</v>
      </c>
      <c r="W262" s="56">
        <f>_xlfn.XLOOKUP($N262,'Calculo Leads'!$A$97:$A$134,'Calculo Leads'!J$97:J$134)*_xlfn.XLOOKUP($P262,'Base Grupo de Produtos'!$E$2:$E$18,'Base Grupo de Produtos'!$F$2:$F$18)</f>
        <v>40</v>
      </c>
      <c r="X262" s="56">
        <f>_xlfn.XLOOKUP($N262,'Calculo Leads'!$A$97:$A$134,'Calculo Leads'!K$97:K$134)*_xlfn.XLOOKUP($P262,'Base Grupo de Produtos'!$E$2:$E$18,'Base Grupo de Produtos'!$F$2:$F$18)</f>
        <v>44</v>
      </c>
      <c r="Y262" s="56">
        <f>_xlfn.XLOOKUP($N262,'Calculo Leads'!$A$97:$A$134,'Calculo Leads'!L$97:L$134)*_xlfn.XLOOKUP($P262,'Base Grupo de Produtos'!$E$2:$E$18,'Base Grupo de Produtos'!$F$2:$F$18)</f>
        <v>66</v>
      </c>
      <c r="Z262" s="56">
        <f>_xlfn.XLOOKUP($N262,'Calculo Leads'!$A$97:$A$134,'Calculo Leads'!M$97:M$134)*_xlfn.XLOOKUP($P262,'Base Grupo de Produtos'!$E$2:$E$18,'Base Grupo de Produtos'!$F$2:$F$18)</f>
        <v>66</v>
      </c>
      <c r="AA262" s="56">
        <f>_xlfn.XLOOKUP($N262,'Calculo Leads'!$A$97:$A$134,'Calculo Leads'!N$97:N$134)*_xlfn.XLOOKUP($P262,'Base Grupo de Produtos'!$E$2:$E$18,'Base Grupo de Produtos'!$F$2:$F$18)</f>
        <v>66</v>
      </c>
      <c r="AB262" s="56">
        <f>_xlfn.XLOOKUP($N262,'Calculo Leads'!$A$97:$A$134,'Calculo Leads'!O$97:O$134)*_xlfn.XLOOKUP($P262,'Base Grupo de Produtos'!$E$2:$E$18,'Base Grupo de Produtos'!$F$2:$F$18)</f>
        <v>44</v>
      </c>
      <c r="AC262" s="61">
        <f t="shared" si="289"/>
        <v>406</v>
      </c>
      <c r="AD262" s="27">
        <f t="shared" si="286"/>
        <v>406</v>
      </c>
      <c r="AE262" s="25">
        <f>IFERROR(_xlfn.XLOOKUP(N262&amp;P262,'Historico Vendas'!G:G,'Historico Vendas'!E:E),0)</f>
        <v>0</v>
      </c>
      <c r="AF262" s="29" t="str">
        <f t="shared" si="267"/>
        <v/>
      </c>
      <c r="AG262" s="24">
        <f>IFERROR(_xlfn.XLOOKUP(N262&amp;P262,'Historico Vendas'!G:G,'Historico Vendas'!F:F),0)</f>
        <v>0</v>
      </c>
      <c r="AH262" s="25">
        <f t="shared" si="287"/>
        <v>0</v>
      </c>
      <c r="AI262" s="24">
        <f t="shared" si="288"/>
        <v>0</v>
      </c>
      <c r="AJ262" s="11" t="str">
        <f t="shared" si="270"/>
        <v/>
      </c>
      <c r="AK262" s="9" t="s">
        <v>102</v>
      </c>
      <c r="AL262" s="13">
        <f>IFERROR(INDEX('Balizador da Meta'!$D$3:$F$23,MATCH(Faturamento!$P262,'Balizador da Meta'!$C$3:$C$23,0),MATCH(Faturamento!AK262,'Balizador da Meta'!$D$2:$F$2,0)),"")</f>
        <v>0</v>
      </c>
      <c r="AM262" s="9"/>
    </row>
    <row r="263" spans="1:39" x14ac:dyDescent="0.3">
      <c r="A263" s="2" t="str">
        <f t="shared" si="268"/>
        <v>NÃO</v>
      </c>
      <c r="B263" s="2" t="str">
        <f>_xlfn.XLOOKUP($N263,'Base de Grupos'!$A:$A,'Base de Grupos'!$D:$D)</f>
        <v>1000065763</v>
      </c>
      <c r="C263" s="5" t="str">
        <f>_xlfn.XLOOKUP($N263,'Base de Grupos'!$A:$A,'Base de Grupos'!$E:$E)</f>
        <v>CANAL VENDA INTERNA</v>
      </c>
      <c r="D263" s="5" t="str">
        <f>_xlfn.XLOOKUP($N263,'Base de Grupos'!$A:$A,'Base de Grupos'!$F:$F)</f>
        <v>1000065763</v>
      </c>
      <c r="E263" s="2" t="str">
        <f>_xlfn.XLOOKUP($N263,'Base de Grupos'!$A:$A,'Base de Grupos'!$G:$G)</f>
        <v>CANAL VENDA INTERNA</v>
      </c>
      <c r="F263" s="2" t="str">
        <f>_xlfn.XLOOKUP($N263,'Base de Grupos'!$A:$A,'Base de Grupos'!$H:$H)</f>
        <v>1000105900</v>
      </c>
      <c r="G263" s="5" t="str">
        <f>_xlfn.XLOOKUP($N263,'Base de Grupos'!$A:$A,'Base de Grupos'!$I:$I)</f>
        <v>REGIONAL VENDA DIRETA CO + NE + NO</v>
      </c>
      <c r="H263" s="5" t="str">
        <f>_xlfn.XLOOKUP($N263,'Base de Grupos'!$A:$A,'Base de Grupos'!$J:$J)</f>
        <v>1000105900</v>
      </c>
      <c r="I263" s="2" t="str">
        <f>_xlfn.XLOOKUP($N263,'Base de Grupos'!$A:$A,'Base de Grupos'!$K:$K)</f>
        <v>REGIONAL VENDA DIRETA CO + NE + NO</v>
      </c>
      <c r="J263" s="2" t="str">
        <f>_xlfn.XLOOKUP($N263,'Base de Grupos'!$A:$A,'Base de Grupos'!$L:$L)</f>
        <v>1000150135</v>
      </c>
      <c r="K263" s="5" t="str">
        <f>_xlfn.XLOOKUP($N263,'Base de Grupos'!$A:$A,'Base de Grupos'!$M:$M)</f>
        <v>HELDER DA SILVA BRUNKOW</v>
      </c>
      <c r="L263" s="5" t="str">
        <f t="shared" si="269"/>
        <v/>
      </c>
      <c r="M263" s="5" t="str">
        <f>_xlfn.XLOOKUP($N263,'Base de Grupos'!$A:$A,'Base de Grupos'!$C:$C)</f>
        <v>DF</v>
      </c>
      <c r="N263" s="3">
        <v>1352</v>
      </c>
      <c r="O263" s="4" t="s">
        <v>238</v>
      </c>
      <c r="P263" s="5" t="s">
        <v>86</v>
      </c>
      <c r="Q263" s="56">
        <v>0</v>
      </c>
      <c r="R263" s="56">
        <v>0</v>
      </c>
      <c r="S263" s="56">
        <v>0</v>
      </c>
      <c r="T263" s="56">
        <f>_xlfn.XLOOKUP($N263,'Calculo Leads'!$A$97:$A$134,'Calculo Leads'!G$97:G$134)*_xlfn.XLOOKUP($P263,'Base Grupo de Produtos'!$E$2:$E$18,'Base Grupo de Produtos'!$F$2:$F$18)</f>
        <v>30</v>
      </c>
      <c r="U263" s="56">
        <f>_xlfn.XLOOKUP($N263,'Calculo Leads'!$A$97:$A$134,'Calculo Leads'!H$97:H$134)*_xlfn.XLOOKUP($P263,'Base Grupo de Produtos'!$E$2:$E$18,'Base Grupo de Produtos'!$F$2:$F$18)</f>
        <v>30</v>
      </c>
      <c r="V263" s="56">
        <f>_xlfn.XLOOKUP($N263,'Calculo Leads'!$A$97:$A$134,'Calculo Leads'!I$97:I$134)*_xlfn.XLOOKUP($P263,'Base Grupo de Produtos'!$E$2:$E$18,'Base Grupo de Produtos'!$F$2:$F$18)</f>
        <v>60</v>
      </c>
      <c r="W263" s="56">
        <f>_xlfn.XLOOKUP($N263,'Calculo Leads'!$A$97:$A$134,'Calculo Leads'!J$97:J$134)*_xlfn.XLOOKUP($P263,'Base Grupo de Produtos'!$E$2:$E$18,'Base Grupo de Produtos'!$F$2:$F$18)</f>
        <v>60</v>
      </c>
      <c r="X263" s="56">
        <f>_xlfn.XLOOKUP($N263,'Calculo Leads'!$A$97:$A$134,'Calculo Leads'!K$97:K$134)*_xlfn.XLOOKUP($P263,'Base Grupo de Produtos'!$E$2:$E$18,'Base Grupo de Produtos'!$F$2:$F$18)</f>
        <v>66</v>
      </c>
      <c r="Y263" s="56">
        <f>_xlfn.XLOOKUP($N263,'Calculo Leads'!$A$97:$A$134,'Calculo Leads'!L$97:L$134)*_xlfn.XLOOKUP($P263,'Base Grupo de Produtos'!$E$2:$E$18,'Base Grupo de Produtos'!$F$2:$F$18)</f>
        <v>99</v>
      </c>
      <c r="Z263" s="56">
        <f>_xlfn.XLOOKUP($N263,'Calculo Leads'!$A$97:$A$134,'Calculo Leads'!M$97:M$134)*_xlfn.XLOOKUP($P263,'Base Grupo de Produtos'!$E$2:$E$18,'Base Grupo de Produtos'!$F$2:$F$18)</f>
        <v>99</v>
      </c>
      <c r="AA263" s="56">
        <f>_xlfn.XLOOKUP($N263,'Calculo Leads'!$A$97:$A$134,'Calculo Leads'!N$97:N$134)*_xlfn.XLOOKUP($P263,'Base Grupo de Produtos'!$E$2:$E$18,'Base Grupo de Produtos'!$F$2:$F$18)</f>
        <v>99</v>
      </c>
      <c r="AB263" s="56">
        <f>_xlfn.XLOOKUP($N263,'Calculo Leads'!$A$97:$A$134,'Calculo Leads'!O$97:O$134)*_xlfn.XLOOKUP($P263,'Base Grupo de Produtos'!$E$2:$E$18,'Base Grupo de Produtos'!$F$2:$F$18)</f>
        <v>66</v>
      </c>
      <c r="AC263" s="61">
        <f t="shared" si="289"/>
        <v>609</v>
      </c>
      <c r="AD263" s="27">
        <f t="shared" si="286"/>
        <v>609</v>
      </c>
      <c r="AE263" s="25">
        <f>IFERROR(_xlfn.XLOOKUP(N263&amp;P263,'Historico Vendas'!G:G,'Historico Vendas'!E:E),0)</f>
        <v>0</v>
      </c>
      <c r="AF263" s="29" t="str">
        <f t="shared" si="267"/>
        <v/>
      </c>
      <c r="AG263" s="24">
        <f>IFERROR(_xlfn.XLOOKUP(N263&amp;P263,'Historico Vendas'!G:G,'Historico Vendas'!F:F),0)</f>
        <v>0</v>
      </c>
      <c r="AH263" s="25">
        <f t="shared" si="287"/>
        <v>0</v>
      </c>
      <c r="AI263" s="24">
        <f t="shared" si="288"/>
        <v>0</v>
      </c>
      <c r="AJ263" s="11" t="str">
        <f t="shared" si="270"/>
        <v/>
      </c>
      <c r="AK263" s="9" t="s">
        <v>102</v>
      </c>
      <c r="AL263" s="13">
        <f>IFERROR(INDEX('Balizador da Meta'!$D$3:$F$23,MATCH(Faturamento!$P263,'Balizador da Meta'!$C$3:$C$23,0),MATCH(Faturamento!AK263,'Balizador da Meta'!$D$2:$F$2,0)),"")</f>
        <v>0.15</v>
      </c>
      <c r="AM263" s="9"/>
    </row>
    <row r="264" spans="1:39" x14ac:dyDescent="0.3">
      <c r="A264" s="2" t="str">
        <f t="shared" si="268"/>
        <v>NÃO</v>
      </c>
      <c r="B264" s="2" t="str">
        <f>_xlfn.XLOOKUP($N264,'Base de Grupos'!$A:$A,'Base de Grupos'!$D:$D)</f>
        <v>1000065763</v>
      </c>
      <c r="C264" s="5" t="str">
        <f>_xlfn.XLOOKUP($N264,'Base de Grupos'!$A:$A,'Base de Grupos'!$E:$E)</f>
        <v>CANAL VENDA INTERNA</v>
      </c>
      <c r="D264" s="5" t="str">
        <f>_xlfn.XLOOKUP($N264,'Base de Grupos'!$A:$A,'Base de Grupos'!$F:$F)</f>
        <v>1000065763</v>
      </c>
      <c r="E264" s="2" t="str">
        <f>_xlfn.XLOOKUP($N264,'Base de Grupos'!$A:$A,'Base de Grupos'!$G:$G)</f>
        <v>CANAL VENDA INTERNA</v>
      </c>
      <c r="F264" s="2" t="str">
        <f>_xlfn.XLOOKUP($N264,'Base de Grupos'!$A:$A,'Base de Grupos'!$H:$H)</f>
        <v>1000105900</v>
      </c>
      <c r="G264" s="5" t="str">
        <f>_xlfn.XLOOKUP($N264,'Base de Grupos'!$A:$A,'Base de Grupos'!$I:$I)</f>
        <v>REGIONAL VENDA DIRETA CO + NE + NO</v>
      </c>
      <c r="H264" s="5" t="str">
        <f>_xlfn.XLOOKUP($N264,'Base de Grupos'!$A:$A,'Base de Grupos'!$J:$J)</f>
        <v>1000105900</v>
      </c>
      <c r="I264" s="2" t="str">
        <f>_xlfn.XLOOKUP($N264,'Base de Grupos'!$A:$A,'Base de Grupos'!$K:$K)</f>
        <v>REGIONAL VENDA DIRETA CO + NE + NO</v>
      </c>
      <c r="J264" s="2" t="str">
        <f>_xlfn.XLOOKUP($N264,'Base de Grupos'!$A:$A,'Base de Grupos'!$L:$L)</f>
        <v>1000150135</v>
      </c>
      <c r="K264" s="5" t="str">
        <f>_xlfn.XLOOKUP($N264,'Base de Grupos'!$A:$A,'Base de Grupos'!$M:$M)</f>
        <v>HELDER DA SILVA BRUNKOW</v>
      </c>
      <c r="L264" s="5" t="str">
        <f t="shared" si="269"/>
        <v/>
      </c>
      <c r="M264" s="5" t="str">
        <f>_xlfn.XLOOKUP($N264,'Base de Grupos'!$A:$A,'Base de Grupos'!$C:$C)</f>
        <v>DF</v>
      </c>
      <c r="N264" s="3">
        <v>1352</v>
      </c>
      <c r="O264" s="4" t="s">
        <v>238</v>
      </c>
      <c r="P264" s="5" t="s">
        <v>108</v>
      </c>
      <c r="Q264" s="56">
        <v>0</v>
      </c>
      <c r="R264" s="56">
        <v>0</v>
      </c>
      <c r="S264" s="56">
        <v>0</v>
      </c>
      <c r="T264" s="56">
        <f>_xlfn.XLOOKUP($N264,'Calculo Leads'!$A$97:$A$134,'Calculo Leads'!G$97:G$134)*_xlfn.XLOOKUP($P264,'Base Grupo de Produtos'!$E$2:$E$18,'Base Grupo de Produtos'!$F$2:$F$18)</f>
        <v>250</v>
      </c>
      <c r="U264" s="56">
        <f>_xlfn.XLOOKUP($N264,'Calculo Leads'!$A$97:$A$134,'Calculo Leads'!H$97:H$134)*_xlfn.XLOOKUP($P264,'Base Grupo de Produtos'!$E$2:$E$18,'Base Grupo de Produtos'!$F$2:$F$18)</f>
        <v>250</v>
      </c>
      <c r="V264" s="56">
        <f>_xlfn.XLOOKUP($N264,'Calculo Leads'!$A$97:$A$134,'Calculo Leads'!I$97:I$134)*_xlfn.XLOOKUP($P264,'Base Grupo de Produtos'!$E$2:$E$18,'Base Grupo de Produtos'!$F$2:$F$18)</f>
        <v>500</v>
      </c>
      <c r="W264" s="56">
        <f>_xlfn.XLOOKUP($N264,'Calculo Leads'!$A$97:$A$134,'Calculo Leads'!J$97:J$134)*_xlfn.XLOOKUP($P264,'Base Grupo de Produtos'!$E$2:$E$18,'Base Grupo de Produtos'!$F$2:$F$18)</f>
        <v>500</v>
      </c>
      <c r="X264" s="56">
        <f>_xlfn.XLOOKUP($N264,'Calculo Leads'!$A$97:$A$134,'Calculo Leads'!K$97:K$134)*_xlfn.XLOOKUP($P264,'Base Grupo de Produtos'!$E$2:$E$18,'Base Grupo de Produtos'!$F$2:$F$18)</f>
        <v>550</v>
      </c>
      <c r="Y264" s="56">
        <f>_xlfn.XLOOKUP($N264,'Calculo Leads'!$A$97:$A$134,'Calculo Leads'!L$97:L$134)*_xlfn.XLOOKUP($P264,'Base Grupo de Produtos'!$E$2:$E$18,'Base Grupo de Produtos'!$F$2:$F$18)</f>
        <v>825</v>
      </c>
      <c r="Z264" s="56">
        <f>_xlfn.XLOOKUP($N264,'Calculo Leads'!$A$97:$A$134,'Calculo Leads'!M$97:M$134)*_xlfn.XLOOKUP($P264,'Base Grupo de Produtos'!$E$2:$E$18,'Base Grupo de Produtos'!$F$2:$F$18)</f>
        <v>825</v>
      </c>
      <c r="AA264" s="56">
        <f>_xlfn.XLOOKUP($N264,'Calculo Leads'!$A$97:$A$134,'Calculo Leads'!N$97:N$134)*_xlfn.XLOOKUP($P264,'Base Grupo de Produtos'!$E$2:$E$18,'Base Grupo de Produtos'!$F$2:$F$18)</f>
        <v>825</v>
      </c>
      <c r="AB264" s="56">
        <f>_xlfn.XLOOKUP($N264,'Calculo Leads'!$A$97:$A$134,'Calculo Leads'!O$97:O$134)*_xlfn.XLOOKUP($P264,'Base Grupo de Produtos'!$E$2:$E$18,'Base Grupo de Produtos'!$F$2:$F$18)</f>
        <v>550</v>
      </c>
      <c r="AC264" s="61">
        <f t="shared" si="289"/>
        <v>5075</v>
      </c>
      <c r="AD264" s="27">
        <f t="shared" si="286"/>
        <v>5075</v>
      </c>
      <c r="AE264" s="25">
        <f>IFERROR(_xlfn.XLOOKUP(N264&amp;P264,'Historico Vendas'!G:G,'Historico Vendas'!E:E),0)</f>
        <v>0</v>
      </c>
      <c r="AF264" s="29" t="str">
        <f t="shared" si="267"/>
        <v/>
      </c>
      <c r="AG264" s="24">
        <f>IFERROR(_xlfn.XLOOKUP(N264&amp;P264,'Historico Vendas'!G:G,'Historico Vendas'!F:F),0)</f>
        <v>0</v>
      </c>
      <c r="AH264" s="25">
        <f t="shared" si="287"/>
        <v>0</v>
      </c>
      <c r="AI264" s="24">
        <f t="shared" si="288"/>
        <v>0</v>
      </c>
      <c r="AJ264" s="11" t="str">
        <f t="shared" si="270"/>
        <v/>
      </c>
      <c r="AK264" s="9" t="s">
        <v>102</v>
      </c>
      <c r="AL264" s="13">
        <f>IFERROR(INDEX('Balizador da Meta'!$D$3:$F$23,MATCH(Faturamento!$P264,'Balizador da Meta'!$C$3:$C$23,0),MATCH(Faturamento!AK264,'Balizador da Meta'!$D$2:$F$2,0)),"")</f>
        <v>0</v>
      </c>
      <c r="AM264" s="9"/>
    </row>
    <row r="265" spans="1:39" x14ac:dyDescent="0.3">
      <c r="A265" s="2" t="str">
        <f t="shared" si="268"/>
        <v>NÃO</v>
      </c>
      <c r="B265" s="2" t="str">
        <f>_xlfn.XLOOKUP($N265,'Base de Grupos'!$A:$A,'Base de Grupos'!$D:$D)</f>
        <v>1000065763</v>
      </c>
      <c r="C265" s="5" t="str">
        <f>_xlfn.XLOOKUP($N265,'Base de Grupos'!$A:$A,'Base de Grupos'!$E:$E)</f>
        <v>CANAL VENDA INTERNA</v>
      </c>
      <c r="D265" s="5" t="str">
        <f>_xlfn.XLOOKUP($N265,'Base de Grupos'!$A:$A,'Base de Grupos'!$F:$F)</f>
        <v>1000065763</v>
      </c>
      <c r="E265" s="2" t="str">
        <f>_xlfn.XLOOKUP($N265,'Base de Grupos'!$A:$A,'Base de Grupos'!$G:$G)</f>
        <v>CANAL VENDA INTERNA</v>
      </c>
      <c r="F265" s="2" t="str">
        <f>_xlfn.XLOOKUP($N265,'Base de Grupos'!$A:$A,'Base de Grupos'!$H:$H)</f>
        <v>1000105900</v>
      </c>
      <c r="G265" s="5" t="str">
        <f>_xlfn.XLOOKUP($N265,'Base de Grupos'!$A:$A,'Base de Grupos'!$I:$I)</f>
        <v>REGIONAL VENDA DIRETA CO + NE + NO</v>
      </c>
      <c r="H265" s="5" t="str">
        <f>_xlfn.XLOOKUP($N265,'Base de Grupos'!$A:$A,'Base de Grupos'!$J:$J)</f>
        <v>1000105900</v>
      </c>
      <c r="I265" s="2" t="str">
        <f>_xlfn.XLOOKUP($N265,'Base de Grupos'!$A:$A,'Base de Grupos'!$K:$K)</f>
        <v>REGIONAL VENDA DIRETA CO + NE + NO</v>
      </c>
      <c r="J265" s="2" t="str">
        <f>_xlfn.XLOOKUP($N265,'Base de Grupos'!$A:$A,'Base de Grupos'!$L:$L)</f>
        <v>1000150135</v>
      </c>
      <c r="K265" s="5" t="str">
        <f>_xlfn.XLOOKUP($N265,'Base de Grupos'!$A:$A,'Base de Grupos'!$M:$M)</f>
        <v>HELDER DA SILVA BRUNKOW</v>
      </c>
      <c r="L265" s="5" t="str">
        <f t="shared" si="269"/>
        <v/>
      </c>
      <c r="M265" s="5" t="str">
        <f>_xlfn.XLOOKUP($N265,'Base de Grupos'!$A:$A,'Base de Grupos'!$C:$C)</f>
        <v>DF</v>
      </c>
      <c r="N265" s="3">
        <v>1352</v>
      </c>
      <c r="O265" s="4" t="s">
        <v>238</v>
      </c>
      <c r="P265" s="5" t="s">
        <v>89</v>
      </c>
      <c r="Q265" s="56">
        <v>0</v>
      </c>
      <c r="R265" s="56">
        <v>0</v>
      </c>
      <c r="S265" s="56">
        <v>0</v>
      </c>
      <c r="T265" s="56">
        <f>_xlfn.XLOOKUP($N265,'Calculo Leads'!$A$97:$A$134,'Calculo Leads'!G$97:G$134)*_xlfn.XLOOKUP($P265,'Base Grupo de Produtos'!$E$2:$E$18,'Base Grupo de Produtos'!$F$2:$F$18)</f>
        <v>50</v>
      </c>
      <c r="U265" s="56">
        <f>_xlfn.XLOOKUP($N265,'Calculo Leads'!$A$97:$A$134,'Calculo Leads'!H$97:H$134)*_xlfn.XLOOKUP($P265,'Base Grupo de Produtos'!$E$2:$E$18,'Base Grupo de Produtos'!$F$2:$F$18)</f>
        <v>50</v>
      </c>
      <c r="V265" s="56">
        <f>_xlfn.XLOOKUP($N265,'Calculo Leads'!$A$97:$A$134,'Calculo Leads'!I$97:I$134)*_xlfn.XLOOKUP($P265,'Base Grupo de Produtos'!$E$2:$E$18,'Base Grupo de Produtos'!$F$2:$F$18)</f>
        <v>100</v>
      </c>
      <c r="W265" s="56">
        <f>_xlfn.XLOOKUP($N265,'Calculo Leads'!$A$97:$A$134,'Calculo Leads'!J$97:J$134)*_xlfn.XLOOKUP($P265,'Base Grupo de Produtos'!$E$2:$E$18,'Base Grupo de Produtos'!$F$2:$F$18)</f>
        <v>100</v>
      </c>
      <c r="X265" s="56">
        <f>_xlfn.XLOOKUP($N265,'Calculo Leads'!$A$97:$A$134,'Calculo Leads'!K$97:K$134)*_xlfn.XLOOKUP($P265,'Base Grupo de Produtos'!$E$2:$E$18,'Base Grupo de Produtos'!$F$2:$F$18)</f>
        <v>110</v>
      </c>
      <c r="Y265" s="56">
        <f>_xlfn.XLOOKUP($N265,'Calculo Leads'!$A$97:$A$134,'Calculo Leads'!L$97:L$134)*_xlfn.XLOOKUP($P265,'Base Grupo de Produtos'!$E$2:$E$18,'Base Grupo de Produtos'!$F$2:$F$18)</f>
        <v>165</v>
      </c>
      <c r="Z265" s="56">
        <f>_xlfn.XLOOKUP($N265,'Calculo Leads'!$A$97:$A$134,'Calculo Leads'!M$97:M$134)*_xlfn.XLOOKUP($P265,'Base Grupo de Produtos'!$E$2:$E$18,'Base Grupo de Produtos'!$F$2:$F$18)</f>
        <v>165</v>
      </c>
      <c r="AA265" s="56">
        <f>_xlfn.XLOOKUP($N265,'Calculo Leads'!$A$97:$A$134,'Calculo Leads'!N$97:N$134)*_xlfn.XLOOKUP($P265,'Base Grupo de Produtos'!$E$2:$E$18,'Base Grupo de Produtos'!$F$2:$F$18)</f>
        <v>165</v>
      </c>
      <c r="AB265" s="56">
        <f>_xlfn.XLOOKUP($N265,'Calculo Leads'!$A$97:$A$134,'Calculo Leads'!O$97:O$134)*_xlfn.XLOOKUP($P265,'Base Grupo de Produtos'!$E$2:$E$18,'Base Grupo de Produtos'!$F$2:$F$18)</f>
        <v>110</v>
      </c>
      <c r="AC265" s="61">
        <f t="shared" si="289"/>
        <v>1015</v>
      </c>
      <c r="AD265" s="27">
        <f t="shared" si="286"/>
        <v>1015</v>
      </c>
      <c r="AE265" s="25">
        <f>IFERROR(_xlfn.XLOOKUP(N265&amp;P265,'Historico Vendas'!G:G,'Historico Vendas'!E:E),0)</f>
        <v>0</v>
      </c>
      <c r="AF265" s="29" t="str">
        <f t="shared" si="267"/>
        <v/>
      </c>
      <c r="AG265" s="24">
        <f>IFERROR(_xlfn.XLOOKUP(N265&amp;P265,'Historico Vendas'!G:G,'Historico Vendas'!F:F),0)</f>
        <v>0</v>
      </c>
      <c r="AH265" s="25">
        <f t="shared" si="287"/>
        <v>0</v>
      </c>
      <c r="AI265" s="24">
        <f t="shared" si="288"/>
        <v>0</v>
      </c>
      <c r="AJ265" s="11" t="str">
        <f t="shared" si="270"/>
        <v/>
      </c>
      <c r="AK265" s="9" t="s">
        <v>102</v>
      </c>
      <c r="AL265" s="13">
        <f>IFERROR(INDEX('Balizador da Meta'!$D$3:$F$23,MATCH(Faturamento!$P265,'Balizador da Meta'!$C$3:$C$23,0),MATCH(Faturamento!AK265,'Balizador da Meta'!$D$2:$F$2,0)),"")</f>
        <v>0.25</v>
      </c>
      <c r="AM265" s="9"/>
    </row>
    <row r="266" spans="1:39" x14ac:dyDescent="0.3">
      <c r="A266" s="2" t="str">
        <f t="shared" si="268"/>
        <v>NÃO</v>
      </c>
      <c r="B266" s="2" t="str">
        <f>_xlfn.XLOOKUP($N266,'Base de Grupos'!$A:$A,'Base de Grupos'!$D:$D)</f>
        <v>1000065763</v>
      </c>
      <c r="C266" s="5" t="str">
        <f>_xlfn.XLOOKUP($N266,'Base de Grupos'!$A:$A,'Base de Grupos'!$E:$E)</f>
        <v>CANAL VENDA INTERNA</v>
      </c>
      <c r="D266" s="5" t="str">
        <f>_xlfn.XLOOKUP($N266,'Base de Grupos'!$A:$A,'Base de Grupos'!$F:$F)</f>
        <v>1000065763</v>
      </c>
      <c r="E266" s="2" t="str">
        <f>_xlfn.XLOOKUP($N266,'Base de Grupos'!$A:$A,'Base de Grupos'!$G:$G)</f>
        <v>CANAL VENDA INTERNA</v>
      </c>
      <c r="F266" s="2" t="str">
        <f>_xlfn.XLOOKUP($N266,'Base de Grupos'!$A:$A,'Base de Grupos'!$H:$H)</f>
        <v>1000105900</v>
      </c>
      <c r="G266" s="5" t="str">
        <f>_xlfn.XLOOKUP($N266,'Base de Grupos'!$A:$A,'Base de Grupos'!$I:$I)</f>
        <v>REGIONAL VENDA DIRETA CO + NE + NO</v>
      </c>
      <c r="H266" s="5" t="str">
        <f>_xlfn.XLOOKUP($N266,'Base de Grupos'!$A:$A,'Base de Grupos'!$J:$J)</f>
        <v>1000105900</v>
      </c>
      <c r="I266" s="2" t="str">
        <f>_xlfn.XLOOKUP($N266,'Base de Grupos'!$A:$A,'Base de Grupos'!$K:$K)</f>
        <v>REGIONAL VENDA DIRETA CO + NE + NO</v>
      </c>
      <c r="J266" s="2" t="str">
        <f>_xlfn.XLOOKUP($N266,'Base de Grupos'!$A:$A,'Base de Grupos'!$L:$L)</f>
        <v>1000150135</v>
      </c>
      <c r="K266" s="5" t="str">
        <f>_xlfn.XLOOKUP($N266,'Base de Grupos'!$A:$A,'Base de Grupos'!$M:$M)</f>
        <v>HELDER DA SILVA BRUNKOW</v>
      </c>
      <c r="L266" s="5" t="str">
        <f t="shared" si="269"/>
        <v/>
      </c>
      <c r="M266" s="5" t="str">
        <f>_xlfn.XLOOKUP($N266,'Base de Grupos'!$A:$A,'Base de Grupos'!$C:$C)</f>
        <v>DF</v>
      </c>
      <c r="N266" s="3">
        <v>1352</v>
      </c>
      <c r="O266" s="4" t="s">
        <v>238</v>
      </c>
      <c r="P266" s="5" t="s">
        <v>88</v>
      </c>
      <c r="Q266" s="56">
        <v>0</v>
      </c>
      <c r="R266" s="56">
        <v>0</v>
      </c>
      <c r="S266" s="56">
        <v>0</v>
      </c>
      <c r="T266" s="56">
        <f>_xlfn.XLOOKUP($N266,'Calculo Leads'!$A$97:$A$134,'Calculo Leads'!G$97:G$134)*_xlfn.XLOOKUP($P266,'Base Grupo de Produtos'!$E$2:$E$18,'Base Grupo de Produtos'!$F$2:$F$18)</f>
        <v>50</v>
      </c>
      <c r="U266" s="56">
        <f>_xlfn.XLOOKUP($N266,'Calculo Leads'!$A$97:$A$134,'Calculo Leads'!H$97:H$134)*_xlfn.XLOOKUP($P266,'Base Grupo de Produtos'!$E$2:$E$18,'Base Grupo de Produtos'!$F$2:$F$18)</f>
        <v>50</v>
      </c>
      <c r="V266" s="56">
        <f>_xlfn.XLOOKUP($N266,'Calculo Leads'!$A$97:$A$134,'Calculo Leads'!I$97:I$134)*_xlfn.XLOOKUP($P266,'Base Grupo de Produtos'!$E$2:$E$18,'Base Grupo de Produtos'!$F$2:$F$18)</f>
        <v>100</v>
      </c>
      <c r="W266" s="56">
        <f>_xlfn.XLOOKUP($N266,'Calculo Leads'!$A$97:$A$134,'Calculo Leads'!J$97:J$134)*_xlfn.XLOOKUP($P266,'Base Grupo de Produtos'!$E$2:$E$18,'Base Grupo de Produtos'!$F$2:$F$18)</f>
        <v>100</v>
      </c>
      <c r="X266" s="56">
        <f>_xlfn.XLOOKUP($N266,'Calculo Leads'!$A$97:$A$134,'Calculo Leads'!K$97:K$134)*_xlfn.XLOOKUP($P266,'Base Grupo de Produtos'!$E$2:$E$18,'Base Grupo de Produtos'!$F$2:$F$18)</f>
        <v>110</v>
      </c>
      <c r="Y266" s="56">
        <f>_xlfn.XLOOKUP($N266,'Calculo Leads'!$A$97:$A$134,'Calculo Leads'!L$97:L$134)*_xlfn.XLOOKUP($P266,'Base Grupo de Produtos'!$E$2:$E$18,'Base Grupo de Produtos'!$F$2:$F$18)</f>
        <v>165</v>
      </c>
      <c r="Z266" s="56">
        <f>_xlfn.XLOOKUP($N266,'Calculo Leads'!$A$97:$A$134,'Calculo Leads'!M$97:M$134)*_xlfn.XLOOKUP($P266,'Base Grupo de Produtos'!$E$2:$E$18,'Base Grupo de Produtos'!$F$2:$F$18)</f>
        <v>165</v>
      </c>
      <c r="AA266" s="56">
        <f>_xlfn.XLOOKUP($N266,'Calculo Leads'!$A$97:$A$134,'Calculo Leads'!N$97:N$134)*_xlfn.XLOOKUP($P266,'Base Grupo de Produtos'!$E$2:$E$18,'Base Grupo de Produtos'!$F$2:$F$18)</f>
        <v>165</v>
      </c>
      <c r="AB266" s="56">
        <f>_xlfn.XLOOKUP($N266,'Calculo Leads'!$A$97:$A$134,'Calculo Leads'!O$97:O$134)*_xlfn.XLOOKUP($P266,'Base Grupo de Produtos'!$E$2:$E$18,'Base Grupo de Produtos'!$F$2:$F$18)</f>
        <v>110</v>
      </c>
      <c r="AC266" s="61">
        <f t="shared" si="289"/>
        <v>1015</v>
      </c>
      <c r="AD266" s="27">
        <f t="shared" si="286"/>
        <v>1015</v>
      </c>
      <c r="AE266" s="25">
        <f>IFERROR(_xlfn.XLOOKUP(N266&amp;P266,'Historico Vendas'!G:G,'Historico Vendas'!E:E),0)</f>
        <v>0</v>
      </c>
      <c r="AF266" s="29" t="str">
        <f t="shared" si="267"/>
        <v/>
      </c>
      <c r="AG266" s="24">
        <f>IFERROR(_xlfn.XLOOKUP(N266&amp;P266,'Historico Vendas'!G:G,'Historico Vendas'!F:F),0)</f>
        <v>0</v>
      </c>
      <c r="AH266" s="25">
        <f t="shared" si="287"/>
        <v>0</v>
      </c>
      <c r="AI266" s="24">
        <f t="shared" si="288"/>
        <v>0</v>
      </c>
      <c r="AJ266" s="11" t="str">
        <f t="shared" si="270"/>
        <v/>
      </c>
      <c r="AK266" s="9" t="s">
        <v>102</v>
      </c>
      <c r="AL266" s="13">
        <f>IFERROR(INDEX('Balizador da Meta'!$D$3:$F$23,MATCH(Faturamento!$P266,'Balizador da Meta'!$C$3:$C$23,0),MATCH(Faturamento!AK266,'Balizador da Meta'!$D$2:$F$2,0)),"")</f>
        <v>0</v>
      </c>
      <c r="AM266" s="9"/>
    </row>
    <row r="267" spans="1:39" x14ac:dyDescent="0.3">
      <c r="A267" s="2" t="str">
        <f t="shared" si="268"/>
        <v>NÃO</v>
      </c>
      <c r="B267" s="2" t="str">
        <f>_xlfn.XLOOKUP($N267,'Base de Grupos'!$A:$A,'Base de Grupos'!$D:$D)</f>
        <v>1000065763</v>
      </c>
      <c r="C267" s="5" t="str">
        <f>_xlfn.XLOOKUP($N267,'Base de Grupos'!$A:$A,'Base de Grupos'!$E:$E)</f>
        <v>CANAL VENDA INTERNA</v>
      </c>
      <c r="D267" s="5" t="str">
        <f>_xlfn.XLOOKUP($N267,'Base de Grupos'!$A:$A,'Base de Grupos'!$F:$F)</f>
        <v>1000065763</v>
      </c>
      <c r="E267" s="2" t="str">
        <f>_xlfn.XLOOKUP($N267,'Base de Grupos'!$A:$A,'Base de Grupos'!$G:$G)</f>
        <v>CANAL VENDA INTERNA</v>
      </c>
      <c r="F267" s="2" t="str">
        <f>_xlfn.XLOOKUP($N267,'Base de Grupos'!$A:$A,'Base de Grupos'!$H:$H)</f>
        <v>1000105900</v>
      </c>
      <c r="G267" s="5" t="str">
        <f>_xlfn.XLOOKUP($N267,'Base de Grupos'!$A:$A,'Base de Grupos'!$I:$I)</f>
        <v>REGIONAL VENDA DIRETA CO + NE + NO</v>
      </c>
      <c r="H267" s="5" t="str">
        <f>_xlfn.XLOOKUP($N267,'Base de Grupos'!$A:$A,'Base de Grupos'!$J:$J)</f>
        <v>1000105900</v>
      </c>
      <c r="I267" s="2" t="str">
        <f>_xlfn.XLOOKUP($N267,'Base de Grupos'!$A:$A,'Base de Grupos'!$K:$K)</f>
        <v>REGIONAL VENDA DIRETA CO + NE + NO</v>
      </c>
      <c r="J267" s="2" t="str">
        <f>_xlfn.XLOOKUP($N267,'Base de Grupos'!$A:$A,'Base de Grupos'!$L:$L)</f>
        <v>1000150135</v>
      </c>
      <c r="K267" s="5" t="str">
        <f>_xlfn.XLOOKUP($N267,'Base de Grupos'!$A:$A,'Base de Grupos'!$M:$M)</f>
        <v>HELDER DA SILVA BRUNKOW</v>
      </c>
      <c r="L267" s="5" t="str">
        <f t="shared" si="269"/>
        <v/>
      </c>
      <c r="M267" s="5" t="str">
        <f>_xlfn.XLOOKUP($N267,'Base de Grupos'!$A:$A,'Base de Grupos'!$C:$C)</f>
        <v>DF</v>
      </c>
      <c r="N267" s="3">
        <v>1352</v>
      </c>
      <c r="O267" s="4" t="s">
        <v>238</v>
      </c>
      <c r="P267" s="5" t="s">
        <v>90</v>
      </c>
      <c r="Q267" s="56">
        <v>0</v>
      </c>
      <c r="R267" s="56">
        <v>0</v>
      </c>
      <c r="S267" s="56">
        <v>0</v>
      </c>
      <c r="T267" s="56">
        <f>_xlfn.XLOOKUP($N267,'Calculo Leads'!$A$97:$A$134,'Calculo Leads'!G$97:G$134)*_xlfn.XLOOKUP($P267,'Base Grupo de Produtos'!$E$2:$E$18,'Base Grupo de Produtos'!$F$2:$F$18)</f>
        <v>50</v>
      </c>
      <c r="U267" s="56">
        <f>_xlfn.XLOOKUP($N267,'Calculo Leads'!$A$97:$A$134,'Calculo Leads'!H$97:H$134)*_xlfn.XLOOKUP($P267,'Base Grupo de Produtos'!$E$2:$E$18,'Base Grupo de Produtos'!$F$2:$F$18)</f>
        <v>50</v>
      </c>
      <c r="V267" s="56">
        <f>_xlfn.XLOOKUP($N267,'Calculo Leads'!$A$97:$A$134,'Calculo Leads'!I$97:I$134)*_xlfn.XLOOKUP($P267,'Base Grupo de Produtos'!$E$2:$E$18,'Base Grupo de Produtos'!$F$2:$F$18)</f>
        <v>100</v>
      </c>
      <c r="W267" s="56">
        <f>_xlfn.XLOOKUP($N267,'Calculo Leads'!$A$97:$A$134,'Calculo Leads'!J$97:J$134)*_xlfn.XLOOKUP($P267,'Base Grupo de Produtos'!$E$2:$E$18,'Base Grupo de Produtos'!$F$2:$F$18)</f>
        <v>100</v>
      </c>
      <c r="X267" s="56">
        <f>_xlfn.XLOOKUP($N267,'Calculo Leads'!$A$97:$A$134,'Calculo Leads'!K$97:K$134)*_xlfn.XLOOKUP($P267,'Base Grupo de Produtos'!$E$2:$E$18,'Base Grupo de Produtos'!$F$2:$F$18)</f>
        <v>110</v>
      </c>
      <c r="Y267" s="56">
        <f>_xlfn.XLOOKUP($N267,'Calculo Leads'!$A$97:$A$134,'Calculo Leads'!L$97:L$134)*_xlfn.XLOOKUP($P267,'Base Grupo de Produtos'!$E$2:$E$18,'Base Grupo de Produtos'!$F$2:$F$18)</f>
        <v>165</v>
      </c>
      <c r="Z267" s="56">
        <f>_xlfn.XLOOKUP($N267,'Calculo Leads'!$A$97:$A$134,'Calculo Leads'!M$97:M$134)*_xlfn.XLOOKUP($P267,'Base Grupo de Produtos'!$E$2:$E$18,'Base Grupo de Produtos'!$F$2:$F$18)</f>
        <v>165</v>
      </c>
      <c r="AA267" s="56">
        <f>_xlfn.XLOOKUP($N267,'Calculo Leads'!$A$97:$A$134,'Calculo Leads'!N$97:N$134)*_xlfn.XLOOKUP($P267,'Base Grupo de Produtos'!$E$2:$E$18,'Base Grupo de Produtos'!$F$2:$F$18)</f>
        <v>165</v>
      </c>
      <c r="AB267" s="56">
        <f>_xlfn.XLOOKUP($N267,'Calculo Leads'!$A$97:$A$134,'Calculo Leads'!O$97:O$134)*_xlfn.XLOOKUP($P267,'Base Grupo de Produtos'!$E$2:$E$18,'Base Grupo de Produtos'!$F$2:$F$18)</f>
        <v>110</v>
      </c>
      <c r="AC267" s="61">
        <f t="shared" si="289"/>
        <v>1015</v>
      </c>
      <c r="AD267" s="27">
        <f t="shared" si="286"/>
        <v>1015</v>
      </c>
      <c r="AE267" s="25">
        <f>IFERROR(_xlfn.XLOOKUP(N267&amp;P267,'Historico Vendas'!G:G,'Historico Vendas'!E:E),0)</f>
        <v>0</v>
      </c>
      <c r="AF267" s="29" t="str">
        <f t="shared" si="267"/>
        <v/>
      </c>
      <c r="AG267" s="24">
        <f>IFERROR(_xlfn.XLOOKUP(N267&amp;P267,'Historico Vendas'!G:G,'Historico Vendas'!F:F),0)</f>
        <v>0</v>
      </c>
      <c r="AH267" s="25">
        <f t="shared" si="287"/>
        <v>0</v>
      </c>
      <c r="AI267" s="24">
        <f t="shared" si="288"/>
        <v>0</v>
      </c>
      <c r="AJ267" s="11" t="str">
        <f t="shared" si="270"/>
        <v/>
      </c>
      <c r="AK267" s="9" t="s">
        <v>102</v>
      </c>
      <c r="AL267" s="13">
        <f>IFERROR(INDEX('Balizador da Meta'!$D$3:$F$23,MATCH(Faturamento!$P267,'Balizador da Meta'!$C$3:$C$23,0),MATCH(Faturamento!AK267,'Balizador da Meta'!$D$2:$F$2,0)),"")</f>
        <v>0</v>
      </c>
      <c r="AM267" s="9"/>
    </row>
    <row r="268" spans="1:39" x14ac:dyDescent="0.3">
      <c r="A268" s="2" t="str">
        <f t="shared" si="268"/>
        <v>NÃO</v>
      </c>
      <c r="B268" s="2" t="str">
        <f>_xlfn.XLOOKUP($N268,'Base de Grupos'!$A:$A,'Base de Grupos'!$D:$D)</f>
        <v>1000065763</v>
      </c>
      <c r="C268" s="5" t="str">
        <f>_xlfn.XLOOKUP($N268,'Base de Grupos'!$A:$A,'Base de Grupos'!$E:$E)</f>
        <v>CANAL VENDA INTERNA</v>
      </c>
      <c r="D268" s="5" t="str">
        <f>_xlfn.XLOOKUP($N268,'Base de Grupos'!$A:$A,'Base de Grupos'!$F:$F)</f>
        <v>1000065763</v>
      </c>
      <c r="E268" s="2" t="str">
        <f>_xlfn.XLOOKUP($N268,'Base de Grupos'!$A:$A,'Base de Grupos'!$G:$G)</f>
        <v>CANAL VENDA INTERNA</v>
      </c>
      <c r="F268" s="2" t="str">
        <f>_xlfn.XLOOKUP($N268,'Base de Grupos'!$A:$A,'Base de Grupos'!$H:$H)</f>
        <v>1000105900</v>
      </c>
      <c r="G268" s="5" t="str">
        <f>_xlfn.XLOOKUP($N268,'Base de Grupos'!$A:$A,'Base de Grupos'!$I:$I)</f>
        <v>REGIONAL VENDA DIRETA CO + NE + NO</v>
      </c>
      <c r="H268" s="5" t="str">
        <f>_xlfn.XLOOKUP($N268,'Base de Grupos'!$A:$A,'Base de Grupos'!$J:$J)</f>
        <v>1000105900</v>
      </c>
      <c r="I268" s="2" t="str">
        <f>_xlfn.XLOOKUP($N268,'Base de Grupos'!$A:$A,'Base de Grupos'!$K:$K)</f>
        <v>REGIONAL VENDA DIRETA CO + NE + NO</v>
      </c>
      <c r="J268" s="2" t="str">
        <f>_xlfn.XLOOKUP($N268,'Base de Grupos'!$A:$A,'Base de Grupos'!$L:$L)</f>
        <v>1000150135</v>
      </c>
      <c r="K268" s="5" t="str">
        <f>_xlfn.XLOOKUP($N268,'Base de Grupos'!$A:$A,'Base de Grupos'!$M:$M)</f>
        <v>HELDER DA SILVA BRUNKOW</v>
      </c>
      <c r="L268" s="5" t="str">
        <f t="shared" si="269"/>
        <v/>
      </c>
      <c r="M268" s="5" t="str">
        <f>_xlfn.XLOOKUP($N268,'Base de Grupos'!$A:$A,'Base de Grupos'!$C:$C)</f>
        <v>DF</v>
      </c>
      <c r="N268" s="3">
        <v>1352</v>
      </c>
      <c r="O268" s="4" t="s">
        <v>238</v>
      </c>
      <c r="P268" s="5" t="s">
        <v>91</v>
      </c>
      <c r="Q268" s="56">
        <v>0</v>
      </c>
      <c r="R268" s="56">
        <v>0</v>
      </c>
      <c r="S268" s="56">
        <v>0</v>
      </c>
      <c r="T268" s="56">
        <f>_xlfn.XLOOKUP($N268,'Calculo Leads'!$A$97:$A$134,'Calculo Leads'!G$97:G$134)*_xlfn.XLOOKUP($P268,'Base Grupo de Produtos'!$E$2:$E$18,'Base Grupo de Produtos'!$F$2:$F$18)</f>
        <v>0</v>
      </c>
      <c r="U268" s="56">
        <f>_xlfn.XLOOKUP($N268,'Calculo Leads'!$A$97:$A$134,'Calculo Leads'!H$97:H$134)*_xlfn.XLOOKUP($P268,'Base Grupo de Produtos'!$E$2:$E$18,'Base Grupo de Produtos'!$F$2:$F$18)</f>
        <v>0</v>
      </c>
      <c r="V268" s="56">
        <f>_xlfn.XLOOKUP($N268,'Calculo Leads'!$A$97:$A$134,'Calculo Leads'!I$97:I$134)*_xlfn.XLOOKUP($P268,'Base Grupo de Produtos'!$E$2:$E$18,'Base Grupo de Produtos'!$F$2:$F$18)</f>
        <v>0</v>
      </c>
      <c r="W268" s="56">
        <f>_xlfn.XLOOKUP($N268,'Calculo Leads'!$A$97:$A$134,'Calculo Leads'!J$97:J$134)*_xlfn.XLOOKUP($P268,'Base Grupo de Produtos'!$E$2:$E$18,'Base Grupo de Produtos'!$F$2:$F$18)</f>
        <v>0</v>
      </c>
      <c r="X268" s="56">
        <f>_xlfn.XLOOKUP($N268,'Calculo Leads'!$A$97:$A$134,'Calculo Leads'!K$97:K$134)*_xlfn.XLOOKUP($P268,'Base Grupo de Produtos'!$E$2:$E$18,'Base Grupo de Produtos'!$F$2:$F$18)</f>
        <v>0</v>
      </c>
      <c r="Y268" s="56">
        <f>_xlfn.XLOOKUP($N268,'Calculo Leads'!$A$97:$A$134,'Calculo Leads'!L$97:L$134)*_xlfn.XLOOKUP($P268,'Base Grupo de Produtos'!$E$2:$E$18,'Base Grupo de Produtos'!$F$2:$F$18)</f>
        <v>0</v>
      </c>
      <c r="Z268" s="56">
        <f>_xlfn.XLOOKUP($N268,'Calculo Leads'!$A$97:$A$134,'Calculo Leads'!M$97:M$134)*_xlfn.XLOOKUP($P268,'Base Grupo de Produtos'!$E$2:$E$18,'Base Grupo de Produtos'!$F$2:$F$18)</f>
        <v>0</v>
      </c>
      <c r="AA268" s="56">
        <f>_xlfn.XLOOKUP($N268,'Calculo Leads'!$A$97:$A$134,'Calculo Leads'!N$97:N$134)*_xlfn.XLOOKUP($P268,'Base Grupo de Produtos'!$E$2:$E$18,'Base Grupo de Produtos'!$F$2:$F$18)</f>
        <v>0</v>
      </c>
      <c r="AB268" s="56">
        <f>_xlfn.XLOOKUP($N268,'Calculo Leads'!$A$97:$A$134,'Calculo Leads'!O$97:O$134)*_xlfn.XLOOKUP($P268,'Base Grupo de Produtos'!$E$2:$E$18,'Base Grupo de Produtos'!$F$2:$F$18)</f>
        <v>0</v>
      </c>
      <c r="AC268" s="61">
        <f t="shared" si="289"/>
        <v>0</v>
      </c>
      <c r="AD268" s="27">
        <f t="shared" si="286"/>
        <v>0</v>
      </c>
      <c r="AE268" s="25">
        <f>IFERROR(_xlfn.XLOOKUP(N268&amp;P268,'Historico Vendas'!G:G,'Historico Vendas'!E:E),0)</f>
        <v>0</v>
      </c>
      <c r="AF268" s="29" t="str">
        <f t="shared" si="267"/>
        <v/>
      </c>
      <c r="AG268" s="24">
        <f>IFERROR(_xlfn.XLOOKUP(N268&amp;P268,'Historico Vendas'!G:G,'Historico Vendas'!F:F),0)</f>
        <v>0</v>
      </c>
      <c r="AH268" s="25">
        <f t="shared" si="287"/>
        <v>0</v>
      </c>
      <c r="AI268" s="24">
        <f t="shared" si="288"/>
        <v>0</v>
      </c>
      <c r="AJ268" s="11" t="str">
        <f t="shared" si="270"/>
        <v/>
      </c>
      <c r="AK268" s="9" t="s">
        <v>102</v>
      </c>
      <c r="AL268" s="13">
        <f>IFERROR(INDEX('Balizador da Meta'!$D$3:$F$23,MATCH(Faturamento!$P268,'Balizador da Meta'!$C$3:$C$23,0),MATCH(Faturamento!AK268,'Balizador da Meta'!$D$2:$F$2,0)),"")</f>
        <v>0</v>
      </c>
      <c r="AM268" s="9"/>
    </row>
    <row r="269" spans="1:39" x14ac:dyDescent="0.3">
      <c r="A269" s="2" t="str">
        <f t="shared" si="268"/>
        <v>NÃO</v>
      </c>
      <c r="B269" s="2" t="str">
        <f>_xlfn.XLOOKUP($N269,'Base de Grupos'!$A:$A,'Base de Grupos'!$D:$D)</f>
        <v>1000065763</v>
      </c>
      <c r="C269" s="5" t="str">
        <f>_xlfn.XLOOKUP($N269,'Base de Grupos'!$A:$A,'Base de Grupos'!$E:$E)</f>
        <v>CANAL VENDA INTERNA</v>
      </c>
      <c r="D269" s="5" t="str">
        <f>_xlfn.XLOOKUP($N269,'Base de Grupos'!$A:$A,'Base de Grupos'!$F:$F)</f>
        <v>1000065763</v>
      </c>
      <c r="E269" s="2" t="str">
        <f>_xlfn.XLOOKUP($N269,'Base de Grupos'!$A:$A,'Base de Grupos'!$G:$G)</f>
        <v>CANAL VENDA INTERNA</v>
      </c>
      <c r="F269" s="2" t="str">
        <f>_xlfn.XLOOKUP($N269,'Base de Grupos'!$A:$A,'Base de Grupos'!$H:$H)</f>
        <v>1000105900</v>
      </c>
      <c r="G269" s="5" t="str">
        <f>_xlfn.XLOOKUP($N269,'Base de Grupos'!$A:$A,'Base de Grupos'!$I:$I)</f>
        <v>REGIONAL VENDA DIRETA CO + NE + NO</v>
      </c>
      <c r="H269" s="5" t="str">
        <f>_xlfn.XLOOKUP($N269,'Base de Grupos'!$A:$A,'Base de Grupos'!$J:$J)</f>
        <v>1000105900</v>
      </c>
      <c r="I269" s="2" t="str">
        <f>_xlfn.XLOOKUP($N269,'Base de Grupos'!$A:$A,'Base de Grupos'!$K:$K)</f>
        <v>REGIONAL VENDA DIRETA CO + NE + NO</v>
      </c>
      <c r="J269" s="2" t="str">
        <f>_xlfn.XLOOKUP($N269,'Base de Grupos'!$A:$A,'Base de Grupos'!$L:$L)</f>
        <v>1000150135</v>
      </c>
      <c r="K269" s="5" t="str">
        <f>_xlfn.XLOOKUP($N269,'Base de Grupos'!$A:$A,'Base de Grupos'!$M:$M)</f>
        <v>HELDER DA SILVA BRUNKOW</v>
      </c>
      <c r="L269" s="5" t="str">
        <f t="shared" si="269"/>
        <v/>
      </c>
      <c r="M269" s="5" t="str">
        <f>_xlfn.XLOOKUP($N269,'Base de Grupos'!$A:$A,'Base de Grupos'!$C:$C)</f>
        <v>DF</v>
      </c>
      <c r="N269" s="3">
        <v>1352</v>
      </c>
      <c r="O269" s="4" t="s">
        <v>238</v>
      </c>
      <c r="P269" s="5" t="s">
        <v>96</v>
      </c>
      <c r="Q269" s="56">
        <v>0</v>
      </c>
      <c r="R269" s="56">
        <v>0</v>
      </c>
      <c r="S269" s="56">
        <v>0</v>
      </c>
      <c r="T269" s="56">
        <f>_xlfn.XLOOKUP($N269,'Calculo Leads'!$A$97:$A$134,'Calculo Leads'!G$97:G$134)*_xlfn.XLOOKUP($P269,'Base Grupo de Produtos'!$E$2:$E$18,'Base Grupo de Produtos'!$F$2:$F$18)</f>
        <v>70</v>
      </c>
      <c r="U269" s="56">
        <f>_xlfn.XLOOKUP($N269,'Calculo Leads'!$A$97:$A$134,'Calculo Leads'!H$97:H$134)*_xlfn.XLOOKUP($P269,'Base Grupo de Produtos'!$E$2:$E$18,'Base Grupo de Produtos'!$F$2:$F$18)</f>
        <v>70</v>
      </c>
      <c r="V269" s="56">
        <f>_xlfn.XLOOKUP($N269,'Calculo Leads'!$A$97:$A$134,'Calculo Leads'!I$97:I$134)*_xlfn.XLOOKUP($P269,'Base Grupo de Produtos'!$E$2:$E$18,'Base Grupo de Produtos'!$F$2:$F$18)</f>
        <v>140</v>
      </c>
      <c r="W269" s="56">
        <f>_xlfn.XLOOKUP($N269,'Calculo Leads'!$A$97:$A$134,'Calculo Leads'!J$97:J$134)*_xlfn.XLOOKUP($P269,'Base Grupo de Produtos'!$E$2:$E$18,'Base Grupo de Produtos'!$F$2:$F$18)</f>
        <v>140</v>
      </c>
      <c r="X269" s="56">
        <f>_xlfn.XLOOKUP($N269,'Calculo Leads'!$A$97:$A$134,'Calculo Leads'!K$97:K$134)*_xlfn.XLOOKUP($P269,'Base Grupo de Produtos'!$E$2:$E$18,'Base Grupo de Produtos'!$F$2:$F$18)</f>
        <v>154.00000000000003</v>
      </c>
      <c r="Y269" s="56">
        <f>_xlfn.XLOOKUP($N269,'Calculo Leads'!$A$97:$A$134,'Calculo Leads'!L$97:L$134)*_xlfn.XLOOKUP($P269,'Base Grupo de Produtos'!$E$2:$E$18,'Base Grupo de Produtos'!$F$2:$F$18)</f>
        <v>231.00000000000003</v>
      </c>
      <c r="Z269" s="56">
        <f>_xlfn.XLOOKUP($N269,'Calculo Leads'!$A$97:$A$134,'Calculo Leads'!M$97:M$134)*_xlfn.XLOOKUP($P269,'Base Grupo de Produtos'!$E$2:$E$18,'Base Grupo de Produtos'!$F$2:$F$18)</f>
        <v>231.00000000000003</v>
      </c>
      <c r="AA269" s="56">
        <f>_xlfn.XLOOKUP($N269,'Calculo Leads'!$A$97:$A$134,'Calculo Leads'!N$97:N$134)*_xlfn.XLOOKUP($P269,'Base Grupo de Produtos'!$E$2:$E$18,'Base Grupo de Produtos'!$F$2:$F$18)</f>
        <v>231.00000000000003</v>
      </c>
      <c r="AB269" s="56">
        <f>_xlfn.XLOOKUP($N269,'Calculo Leads'!$A$97:$A$134,'Calculo Leads'!O$97:O$134)*_xlfn.XLOOKUP($P269,'Base Grupo de Produtos'!$E$2:$E$18,'Base Grupo de Produtos'!$F$2:$F$18)</f>
        <v>154.00000000000003</v>
      </c>
      <c r="AC269" s="61">
        <f t="shared" si="289"/>
        <v>1421</v>
      </c>
      <c r="AD269" s="27">
        <f t="shared" si="286"/>
        <v>1421</v>
      </c>
      <c r="AE269" s="25">
        <f>IFERROR(_xlfn.XLOOKUP(N269&amp;P269,'Historico Vendas'!G:G,'Historico Vendas'!E:E),0)</f>
        <v>0</v>
      </c>
      <c r="AF269" s="29" t="str">
        <f t="shared" si="267"/>
        <v/>
      </c>
      <c r="AG269" s="24">
        <f>IFERROR(_xlfn.XLOOKUP(N269&amp;P269,'Historico Vendas'!G:G,'Historico Vendas'!F:F),0)</f>
        <v>0</v>
      </c>
      <c r="AH269" s="25">
        <f t="shared" si="287"/>
        <v>0</v>
      </c>
      <c r="AI269" s="24">
        <f t="shared" si="288"/>
        <v>0</v>
      </c>
      <c r="AJ269" s="11" t="str">
        <f t="shared" si="270"/>
        <v/>
      </c>
      <c r="AK269" s="9" t="s">
        <v>102</v>
      </c>
      <c r="AL269" s="13">
        <f>IFERROR(INDEX('Balizador da Meta'!$D$3:$F$23,MATCH(Faturamento!$P269,'Balizador da Meta'!$C$3:$C$23,0),MATCH(Faturamento!AK269,'Balizador da Meta'!$D$2:$F$2,0)),"")</f>
        <v>0</v>
      </c>
      <c r="AM269" s="9"/>
    </row>
    <row r="270" spans="1:39" x14ac:dyDescent="0.3">
      <c r="A270" s="2" t="str">
        <f t="shared" si="268"/>
        <v>NÃO</v>
      </c>
      <c r="B270" s="2" t="str">
        <f>_xlfn.XLOOKUP($N270,'Base de Grupos'!$A:$A,'Base de Grupos'!$D:$D)</f>
        <v>1000065763</v>
      </c>
      <c r="C270" s="5" t="str">
        <f>_xlfn.XLOOKUP($N270,'Base de Grupos'!$A:$A,'Base de Grupos'!$E:$E)</f>
        <v>CANAL VENDA INTERNA</v>
      </c>
      <c r="D270" s="5" t="str">
        <f>_xlfn.XLOOKUP($N270,'Base de Grupos'!$A:$A,'Base de Grupos'!$F:$F)</f>
        <v>1000065763</v>
      </c>
      <c r="E270" s="2" t="str">
        <f>_xlfn.XLOOKUP($N270,'Base de Grupos'!$A:$A,'Base de Grupos'!$G:$G)</f>
        <v>CANAL VENDA INTERNA</v>
      </c>
      <c r="F270" s="2" t="str">
        <f>_xlfn.XLOOKUP($N270,'Base de Grupos'!$A:$A,'Base de Grupos'!$H:$H)</f>
        <v>1000105900</v>
      </c>
      <c r="G270" s="5" t="str">
        <f>_xlfn.XLOOKUP($N270,'Base de Grupos'!$A:$A,'Base de Grupos'!$I:$I)</f>
        <v>REGIONAL VENDA DIRETA CO + NE + NO</v>
      </c>
      <c r="H270" s="5" t="str">
        <f>_xlfn.XLOOKUP($N270,'Base de Grupos'!$A:$A,'Base de Grupos'!$J:$J)</f>
        <v>1000105900</v>
      </c>
      <c r="I270" s="2" t="str">
        <f>_xlfn.XLOOKUP($N270,'Base de Grupos'!$A:$A,'Base de Grupos'!$K:$K)</f>
        <v>REGIONAL VENDA DIRETA CO + NE + NO</v>
      </c>
      <c r="J270" s="2" t="str">
        <f>_xlfn.XLOOKUP($N270,'Base de Grupos'!$A:$A,'Base de Grupos'!$L:$L)</f>
        <v>1000150135</v>
      </c>
      <c r="K270" s="5" t="str">
        <f>_xlfn.XLOOKUP($N270,'Base de Grupos'!$A:$A,'Base de Grupos'!$M:$M)</f>
        <v>HELDER DA SILVA BRUNKOW</v>
      </c>
      <c r="L270" s="5" t="str">
        <f t="shared" si="269"/>
        <v/>
      </c>
      <c r="M270" s="5" t="str">
        <f>_xlfn.XLOOKUP($N270,'Base de Grupos'!$A:$A,'Base de Grupos'!$C:$C)</f>
        <v>DF</v>
      </c>
      <c r="N270" s="3">
        <v>1352</v>
      </c>
      <c r="O270" s="4" t="s">
        <v>238</v>
      </c>
      <c r="P270" s="5" t="s">
        <v>94</v>
      </c>
      <c r="Q270" s="56">
        <v>0</v>
      </c>
      <c r="R270" s="56">
        <v>0</v>
      </c>
      <c r="S270" s="56">
        <v>0</v>
      </c>
      <c r="T270" s="56">
        <f>_xlfn.XLOOKUP($N270,'Calculo Leads'!$A$97:$A$134,'Calculo Leads'!G$97:G$134)*_xlfn.XLOOKUP($P270,'Base Grupo de Produtos'!$E$2:$E$18,'Base Grupo de Produtos'!$F$2:$F$18)</f>
        <v>49.999999999999993</v>
      </c>
      <c r="U270" s="56">
        <f>_xlfn.XLOOKUP($N270,'Calculo Leads'!$A$97:$A$134,'Calculo Leads'!H$97:H$134)*_xlfn.XLOOKUP($P270,'Base Grupo de Produtos'!$E$2:$E$18,'Base Grupo de Produtos'!$F$2:$F$18)</f>
        <v>49.999999999999993</v>
      </c>
      <c r="V270" s="56">
        <f>_xlfn.XLOOKUP($N270,'Calculo Leads'!$A$97:$A$134,'Calculo Leads'!I$97:I$134)*_xlfn.XLOOKUP($P270,'Base Grupo de Produtos'!$E$2:$E$18,'Base Grupo de Produtos'!$F$2:$F$18)</f>
        <v>99.999999999999986</v>
      </c>
      <c r="W270" s="56">
        <f>_xlfn.XLOOKUP($N270,'Calculo Leads'!$A$97:$A$134,'Calculo Leads'!J$97:J$134)*_xlfn.XLOOKUP($P270,'Base Grupo de Produtos'!$E$2:$E$18,'Base Grupo de Produtos'!$F$2:$F$18)</f>
        <v>99.999999999999986</v>
      </c>
      <c r="X270" s="56">
        <f>_xlfn.XLOOKUP($N270,'Calculo Leads'!$A$97:$A$134,'Calculo Leads'!K$97:K$134)*_xlfn.XLOOKUP($P270,'Base Grupo de Produtos'!$E$2:$E$18,'Base Grupo de Produtos'!$F$2:$F$18)</f>
        <v>109.99999999999999</v>
      </c>
      <c r="Y270" s="56">
        <f>_xlfn.XLOOKUP($N270,'Calculo Leads'!$A$97:$A$134,'Calculo Leads'!L$97:L$134)*_xlfn.XLOOKUP($P270,'Base Grupo de Produtos'!$E$2:$E$18,'Base Grupo de Produtos'!$F$2:$F$18)</f>
        <v>165</v>
      </c>
      <c r="Z270" s="56">
        <f>_xlfn.XLOOKUP($N270,'Calculo Leads'!$A$97:$A$134,'Calculo Leads'!M$97:M$134)*_xlfn.XLOOKUP($P270,'Base Grupo de Produtos'!$E$2:$E$18,'Base Grupo de Produtos'!$F$2:$F$18)</f>
        <v>165</v>
      </c>
      <c r="AA270" s="56">
        <f>_xlfn.XLOOKUP($N270,'Calculo Leads'!$A$97:$A$134,'Calculo Leads'!N$97:N$134)*_xlfn.XLOOKUP($P270,'Base Grupo de Produtos'!$E$2:$E$18,'Base Grupo de Produtos'!$F$2:$F$18)</f>
        <v>165</v>
      </c>
      <c r="AB270" s="56">
        <f>_xlfn.XLOOKUP($N270,'Calculo Leads'!$A$97:$A$134,'Calculo Leads'!O$97:O$134)*_xlfn.XLOOKUP($P270,'Base Grupo de Produtos'!$E$2:$E$18,'Base Grupo de Produtos'!$F$2:$F$18)</f>
        <v>109.99999999999999</v>
      </c>
      <c r="AC270" s="61">
        <f t="shared" si="289"/>
        <v>1015</v>
      </c>
      <c r="AD270" s="27">
        <f t="shared" si="286"/>
        <v>1015</v>
      </c>
      <c r="AE270" s="25">
        <f>IFERROR(_xlfn.XLOOKUP(N270&amp;P270,'Historico Vendas'!G:G,'Historico Vendas'!E:E),0)</f>
        <v>0</v>
      </c>
      <c r="AF270" s="29" t="str">
        <f t="shared" si="267"/>
        <v/>
      </c>
      <c r="AG270" s="24">
        <f>IFERROR(_xlfn.XLOOKUP(N270&amp;P270,'Historico Vendas'!G:G,'Historico Vendas'!F:F),0)</f>
        <v>0</v>
      </c>
      <c r="AH270" s="25">
        <f t="shared" si="287"/>
        <v>0</v>
      </c>
      <c r="AI270" s="24">
        <f t="shared" si="288"/>
        <v>0</v>
      </c>
      <c r="AJ270" s="11" t="str">
        <f t="shared" si="270"/>
        <v/>
      </c>
      <c r="AK270" s="9" t="s">
        <v>102</v>
      </c>
      <c r="AL270" s="13">
        <f>IFERROR(INDEX('Balizador da Meta'!$D$3:$F$23,MATCH(Faturamento!$P270,'Balizador da Meta'!$C$3:$C$23,0),MATCH(Faturamento!AK270,'Balizador da Meta'!$D$2:$F$2,0)),"")</f>
        <v>0.25</v>
      </c>
      <c r="AM270" s="9"/>
    </row>
    <row r="271" spans="1:39" x14ac:dyDescent="0.3">
      <c r="A271" s="2" t="str">
        <f t="shared" si="268"/>
        <v>NÃO</v>
      </c>
      <c r="B271" s="2" t="str">
        <f>_xlfn.XLOOKUP($N271,'Base de Grupos'!$A:$A,'Base de Grupos'!$D:$D)</f>
        <v>1000065763</v>
      </c>
      <c r="C271" s="5" t="str">
        <f>_xlfn.XLOOKUP($N271,'Base de Grupos'!$A:$A,'Base de Grupos'!$E:$E)</f>
        <v>CANAL VENDA INTERNA</v>
      </c>
      <c r="D271" s="5" t="str">
        <f>_xlfn.XLOOKUP($N271,'Base de Grupos'!$A:$A,'Base de Grupos'!$F:$F)</f>
        <v>1000065763</v>
      </c>
      <c r="E271" s="2" t="str">
        <f>_xlfn.XLOOKUP($N271,'Base de Grupos'!$A:$A,'Base de Grupos'!$G:$G)</f>
        <v>CANAL VENDA INTERNA</v>
      </c>
      <c r="F271" s="2" t="str">
        <f>_xlfn.XLOOKUP($N271,'Base de Grupos'!$A:$A,'Base de Grupos'!$H:$H)</f>
        <v>1000105900</v>
      </c>
      <c r="G271" s="5" t="str">
        <f>_xlfn.XLOOKUP($N271,'Base de Grupos'!$A:$A,'Base de Grupos'!$I:$I)</f>
        <v>REGIONAL VENDA DIRETA CO + NE + NO</v>
      </c>
      <c r="H271" s="5" t="str">
        <f>_xlfn.XLOOKUP($N271,'Base de Grupos'!$A:$A,'Base de Grupos'!$J:$J)</f>
        <v>1000105900</v>
      </c>
      <c r="I271" s="2" t="str">
        <f>_xlfn.XLOOKUP($N271,'Base de Grupos'!$A:$A,'Base de Grupos'!$K:$K)</f>
        <v>REGIONAL VENDA DIRETA CO + NE + NO</v>
      </c>
      <c r="J271" s="2" t="str">
        <f>_xlfn.XLOOKUP($N271,'Base de Grupos'!$A:$A,'Base de Grupos'!$L:$L)</f>
        <v>1000150135</v>
      </c>
      <c r="K271" s="5" t="str">
        <f>_xlfn.XLOOKUP($N271,'Base de Grupos'!$A:$A,'Base de Grupos'!$M:$M)</f>
        <v>HELDER DA SILVA BRUNKOW</v>
      </c>
      <c r="L271" s="5" t="str">
        <f t="shared" si="269"/>
        <v/>
      </c>
      <c r="M271" s="5" t="str">
        <f>_xlfn.XLOOKUP($N271,'Base de Grupos'!$A:$A,'Base de Grupos'!$C:$C)</f>
        <v>DF</v>
      </c>
      <c r="N271" s="3">
        <v>1352</v>
      </c>
      <c r="O271" s="4" t="s">
        <v>238</v>
      </c>
      <c r="P271" s="5" t="s">
        <v>95</v>
      </c>
      <c r="Q271" s="56">
        <v>0</v>
      </c>
      <c r="R271" s="56">
        <v>0</v>
      </c>
      <c r="S271" s="56">
        <v>0</v>
      </c>
      <c r="T271" s="56">
        <f>_xlfn.XLOOKUP($N271,'Calculo Leads'!$A$97:$A$134,'Calculo Leads'!G$97:G$134)*_xlfn.XLOOKUP($P271,'Base Grupo de Produtos'!$E$2:$E$18,'Base Grupo de Produtos'!$F$2:$F$18)</f>
        <v>80</v>
      </c>
      <c r="U271" s="56">
        <f>_xlfn.XLOOKUP($N271,'Calculo Leads'!$A$97:$A$134,'Calculo Leads'!H$97:H$134)*_xlfn.XLOOKUP($P271,'Base Grupo de Produtos'!$E$2:$E$18,'Base Grupo de Produtos'!$F$2:$F$18)</f>
        <v>80</v>
      </c>
      <c r="V271" s="56">
        <f>_xlfn.XLOOKUP($N271,'Calculo Leads'!$A$97:$A$134,'Calculo Leads'!I$97:I$134)*_xlfn.XLOOKUP($P271,'Base Grupo de Produtos'!$E$2:$E$18,'Base Grupo de Produtos'!$F$2:$F$18)</f>
        <v>160</v>
      </c>
      <c r="W271" s="56">
        <f>_xlfn.XLOOKUP($N271,'Calculo Leads'!$A$97:$A$134,'Calculo Leads'!J$97:J$134)*_xlfn.XLOOKUP($P271,'Base Grupo de Produtos'!$E$2:$E$18,'Base Grupo de Produtos'!$F$2:$F$18)</f>
        <v>160</v>
      </c>
      <c r="X271" s="56">
        <f>_xlfn.XLOOKUP($N271,'Calculo Leads'!$A$97:$A$134,'Calculo Leads'!K$97:K$134)*_xlfn.XLOOKUP($P271,'Base Grupo de Produtos'!$E$2:$E$18,'Base Grupo de Produtos'!$F$2:$F$18)</f>
        <v>176</v>
      </c>
      <c r="Y271" s="56">
        <f>_xlfn.XLOOKUP($N271,'Calculo Leads'!$A$97:$A$134,'Calculo Leads'!L$97:L$134)*_xlfn.XLOOKUP($P271,'Base Grupo de Produtos'!$E$2:$E$18,'Base Grupo de Produtos'!$F$2:$F$18)</f>
        <v>264</v>
      </c>
      <c r="Z271" s="56">
        <f>_xlfn.XLOOKUP($N271,'Calculo Leads'!$A$97:$A$134,'Calculo Leads'!M$97:M$134)*_xlfn.XLOOKUP($P271,'Base Grupo de Produtos'!$E$2:$E$18,'Base Grupo de Produtos'!$F$2:$F$18)</f>
        <v>264</v>
      </c>
      <c r="AA271" s="56">
        <f>_xlfn.XLOOKUP($N271,'Calculo Leads'!$A$97:$A$134,'Calculo Leads'!N$97:N$134)*_xlfn.XLOOKUP($P271,'Base Grupo de Produtos'!$E$2:$E$18,'Base Grupo de Produtos'!$F$2:$F$18)</f>
        <v>264</v>
      </c>
      <c r="AB271" s="56">
        <f>_xlfn.XLOOKUP($N271,'Calculo Leads'!$A$97:$A$134,'Calculo Leads'!O$97:O$134)*_xlfn.XLOOKUP($P271,'Base Grupo de Produtos'!$E$2:$E$18,'Base Grupo de Produtos'!$F$2:$F$18)</f>
        <v>176</v>
      </c>
      <c r="AC271" s="61">
        <f t="shared" si="289"/>
        <v>1624</v>
      </c>
      <c r="AD271" s="27">
        <f t="shared" si="286"/>
        <v>1624</v>
      </c>
      <c r="AE271" s="25">
        <f>IFERROR(_xlfn.XLOOKUP(N271&amp;P271,'Historico Vendas'!G:G,'Historico Vendas'!E:E),0)</f>
        <v>0</v>
      </c>
      <c r="AF271" s="29" t="str">
        <f t="shared" si="267"/>
        <v/>
      </c>
      <c r="AG271" s="24">
        <f>IFERROR(_xlfn.XLOOKUP(N271&amp;P271,'Historico Vendas'!G:G,'Historico Vendas'!F:F),0)</f>
        <v>0</v>
      </c>
      <c r="AH271" s="25">
        <f t="shared" si="287"/>
        <v>0</v>
      </c>
      <c r="AI271" s="24">
        <f t="shared" si="288"/>
        <v>0</v>
      </c>
      <c r="AJ271" s="11" t="str">
        <f t="shared" si="270"/>
        <v/>
      </c>
      <c r="AK271" s="9" t="s">
        <v>102</v>
      </c>
      <c r="AL271" s="13">
        <f>IFERROR(INDEX('Balizador da Meta'!$D$3:$F$23,MATCH(Faturamento!$P271,'Balizador da Meta'!$C$3:$C$23,0),MATCH(Faturamento!AK271,'Balizador da Meta'!$D$2:$F$2,0)),"")</f>
        <v>0.25</v>
      </c>
      <c r="AM271" s="9"/>
    </row>
    <row r="272" spans="1:39" x14ac:dyDescent="0.3">
      <c r="A272" s="2" t="str">
        <f t="shared" si="268"/>
        <v>NÃO</v>
      </c>
      <c r="B272" s="2" t="str">
        <f>_xlfn.XLOOKUP($N272,'Base de Grupos'!$A:$A,'Base de Grupos'!$D:$D)</f>
        <v>1000065763</v>
      </c>
      <c r="C272" s="5" t="str">
        <f>_xlfn.XLOOKUP($N272,'Base de Grupos'!$A:$A,'Base de Grupos'!$E:$E)</f>
        <v>CANAL VENDA INTERNA</v>
      </c>
      <c r="D272" s="5" t="str">
        <f>_xlfn.XLOOKUP($N272,'Base de Grupos'!$A:$A,'Base de Grupos'!$F:$F)</f>
        <v>1000065763</v>
      </c>
      <c r="E272" s="2" t="str">
        <f>_xlfn.XLOOKUP($N272,'Base de Grupos'!$A:$A,'Base de Grupos'!$G:$G)</f>
        <v>CANAL VENDA INTERNA</v>
      </c>
      <c r="F272" s="2" t="str">
        <f>_xlfn.XLOOKUP($N272,'Base de Grupos'!$A:$A,'Base de Grupos'!$H:$H)</f>
        <v>1000105900</v>
      </c>
      <c r="G272" s="5" t="str">
        <f>_xlfn.XLOOKUP($N272,'Base de Grupos'!$A:$A,'Base de Grupos'!$I:$I)</f>
        <v>REGIONAL VENDA DIRETA CO + NE + NO</v>
      </c>
      <c r="H272" s="5" t="str">
        <f>_xlfn.XLOOKUP($N272,'Base de Grupos'!$A:$A,'Base de Grupos'!$J:$J)</f>
        <v>1000105900</v>
      </c>
      <c r="I272" s="2" t="str">
        <f>_xlfn.XLOOKUP($N272,'Base de Grupos'!$A:$A,'Base de Grupos'!$K:$K)</f>
        <v>REGIONAL VENDA DIRETA CO + NE + NO</v>
      </c>
      <c r="J272" s="2" t="str">
        <f>_xlfn.XLOOKUP($N272,'Base de Grupos'!$A:$A,'Base de Grupos'!$L:$L)</f>
        <v>1000150135</v>
      </c>
      <c r="K272" s="5" t="str">
        <f>_xlfn.XLOOKUP($N272,'Base de Grupos'!$A:$A,'Base de Grupos'!$M:$M)</f>
        <v>HELDER DA SILVA BRUNKOW</v>
      </c>
      <c r="L272" s="5" t="str">
        <f t="shared" si="269"/>
        <v/>
      </c>
      <c r="M272" s="5" t="str">
        <f>_xlfn.XLOOKUP($N272,'Base de Grupos'!$A:$A,'Base de Grupos'!$C:$C)</f>
        <v>DF</v>
      </c>
      <c r="N272" s="3">
        <v>1352</v>
      </c>
      <c r="O272" s="4" t="s">
        <v>238</v>
      </c>
      <c r="P272" s="5" t="s">
        <v>93</v>
      </c>
      <c r="Q272" s="56">
        <v>0</v>
      </c>
      <c r="R272" s="56">
        <v>0</v>
      </c>
      <c r="S272" s="56">
        <v>0</v>
      </c>
      <c r="T272" s="56">
        <f>_xlfn.XLOOKUP($N272,'Calculo Leads'!$A$97:$A$134,'Calculo Leads'!G$97:G$134)*_xlfn.XLOOKUP($P272,'Base Grupo de Produtos'!$E$2:$E$18,'Base Grupo de Produtos'!$F$2:$F$18)</f>
        <v>30</v>
      </c>
      <c r="U272" s="56">
        <f>_xlfn.XLOOKUP($N272,'Calculo Leads'!$A$97:$A$134,'Calculo Leads'!H$97:H$134)*_xlfn.XLOOKUP($P272,'Base Grupo de Produtos'!$E$2:$E$18,'Base Grupo de Produtos'!$F$2:$F$18)</f>
        <v>30</v>
      </c>
      <c r="V272" s="56">
        <f>_xlfn.XLOOKUP($N272,'Calculo Leads'!$A$97:$A$134,'Calculo Leads'!I$97:I$134)*_xlfn.XLOOKUP($P272,'Base Grupo de Produtos'!$E$2:$E$18,'Base Grupo de Produtos'!$F$2:$F$18)</f>
        <v>60</v>
      </c>
      <c r="W272" s="56">
        <f>_xlfn.XLOOKUP($N272,'Calculo Leads'!$A$97:$A$134,'Calculo Leads'!J$97:J$134)*_xlfn.XLOOKUP($P272,'Base Grupo de Produtos'!$E$2:$E$18,'Base Grupo de Produtos'!$F$2:$F$18)</f>
        <v>60</v>
      </c>
      <c r="X272" s="56">
        <f>_xlfn.XLOOKUP($N272,'Calculo Leads'!$A$97:$A$134,'Calculo Leads'!K$97:K$134)*_xlfn.XLOOKUP($P272,'Base Grupo de Produtos'!$E$2:$E$18,'Base Grupo de Produtos'!$F$2:$F$18)</f>
        <v>66</v>
      </c>
      <c r="Y272" s="56">
        <f>_xlfn.XLOOKUP($N272,'Calculo Leads'!$A$97:$A$134,'Calculo Leads'!L$97:L$134)*_xlfn.XLOOKUP($P272,'Base Grupo de Produtos'!$E$2:$E$18,'Base Grupo de Produtos'!$F$2:$F$18)</f>
        <v>99</v>
      </c>
      <c r="Z272" s="56">
        <f>_xlfn.XLOOKUP($N272,'Calculo Leads'!$A$97:$A$134,'Calculo Leads'!M$97:M$134)*_xlfn.XLOOKUP($P272,'Base Grupo de Produtos'!$E$2:$E$18,'Base Grupo de Produtos'!$F$2:$F$18)</f>
        <v>99</v>
      </c>
      <c r="AA272" s="56">
        <f>_xlfn.XLOOKUP($N272,'Calculo Leads'!$A$97:$A$134,'Calculo Leads'!N$97:N$134)*_xlfn.XLOOKUP($P272,'Base Grupo de Produtos'!$E$2:$E$18,'Base Grupo de Produtos'!$F$2:$F$18)</f>
        <v>99</v>
      </c>
      <c r="AB272" s="56">
        <f>_xlfn.XLOOKUP($N272,'Calculo Leads'!$A$97:$A$134,'Calculo Leads'!O$97:O$134)*_xlfn.XLOOKUP($P272,'Base Grupo de Produtos'!$E$2:$E$18,'Base Grupo de Produtos'!$F$2:$F$18)</f>
        <v>66</v>
      </c>
      <c r="AC272" s="61">
        <f t="shared" si="289"/>
        <v>609</v>
      </c>
      <c r="AD272" s="27">
        <f t="shared" si="286"/>
        <v>609</v>
      </c>
      <c r="AE272" s="25">
        <f>IFERROR(_xlfn.XLOOKUP(N272&amp;P272,'Historico Vendas'!G:G,'Historico Vendas'!E:E),0)</f>
        <v>0</v>
      </c>
      <c r="AF272" s="29" t="str">
        <f t="shared" si="267"/>
        <v/>
      </c>
      <c r="AG272" s="24">
        <f>IFERROR(_xlfn.XLOOKUP(N272&amp;P272,'Historico Vendas'!G:G,'Historico Vendas'!F:F),0)</f>
        <v>0</v>
      </c>
      <c r="AH272" s="25">
        <f t="shared" si="287"/>
        <v>0</v>
      </c>
      <c r="AI272" s="24">
        <f t="shared" si="288"/>
        <v>0</v>
      </c>
      <c r="AJ272" s="11" t="str">
        <f t="shared" si="270"/>
        <v/>
      </c>
      <c r="AK272" s="9" t="s">
        <v>102</v>
      </c>
      <c r="AL272" s="13">
        <f>IFERROR(INDEX('Balizador da Meta'!$D$3:$F$23,MATCH(Faturamento!$P272,'Balizador da Meta'!$C$3:$C$23,0),MATCH(Faturamento!AK272,'Balizador da Meta'!$D$2:$F$2,0)),"")</f>
        <v>0.2</v>
      </c>
      <c r="AM272" s="9"/>
    </row>
    <row r="273" spans="1:39" x14ac:dyDescent="0.3">
      <c r="A273" s="2" t="str">
        <f t="shared" si="268"/>
        <v>SIM</v>
      </c>
      <c r="B273" s="2" t="str">
        <f>_xlfn.XLOOKUP($N273,'Base de Grupos'!$A:$A,'Base de Grupos'!$D:$D)</f>
        <v>1000065763</v>
      </c>
      <c r="C273" s="5" t="str">
        <f>_xlfn.XLOOKUP($N273,'Base de Grupos'!$A:$A,'Base de Grupos'!$E:$E)</f>
        <v>CANAL VENDA INTERNA</v>
      </c>
      <c r="D273" s="5" t="str">
        <f>_xlfn.XLOOKUP($N273,'Base de Grupos'!$A:$A,'Base de Grupos'!$F:$F)</f>
        <v>1000065763</v>
      </c>
      <c r="E273" s="2" t="str">
        <f>_xlfn.XLOOKUP($N273,'Base de Grupos'!$A:$A,'Base de Grupos'!$G:$G)</f>
        <v>CANAL VENDA INTERNA</v>
      </c>
      <c r="F273" s="2" t="str">
        <f>_xlfn.XLOOKUP($N273,'Base de Grupos'!$A:$A,'Base de Grupos'!$H:$H)</f>
        <v>1000105900</v>
      </c>
      <c r="G273" s="5" t="str">
        <f>_xlfn.XLOOKUP($N273,'Base de Grupos'!$A:$A,'Base de Grupos'!$I:$I)</f>
        <v>REGIONAL VENDA DIRETA CO + NE + NO</v>
      </c>
      <c r="H273" s="5" t="str">
        <f>_xlfn.XLOOKUP($N273,'Base de Grupos'!$A:$A,'Base de Grupos'!$J:$J)</f>
        <v>1000105900</v>
      </c>
      <c r="I273" s="2" t="str">
        <f>_xlfn.XLOOKUP($N273,'Base de Grupos'!$A:$A,'Base de Grupos'!$K:$K)</f>
        <v>REGIONAL VENDA DIRETA CO + NE + NO</v>
      </c>
      <c r="J273" s="2" t="str">
        <f>_xlfn.XLOOKUP($N273,'Base de Grupos'!$A:$A,'Base de Grupos'!$L:$L)</f>
        <v>1000150135</v>
      </c>
      <c r="K273" s="5" t="str">
        <f>_xlfn.XLOOKUP($N273,'Base de Grupos'!$A:$A,'Base de Grupos'!$M:$M)</f>
        <v>HELDER DA SILVA BRUNKOW</v>
      </c>
      <c r="L273" s="5">
        <f t="shared" si="269"/>
        <v>1</v>
      </c>
      <c r="M273" s="5" t="str">
        <f>_xlfn.XLOOKUP($N273,'Base de Grupos'!$A:$A,'Base de Grupos'!$C:$C)</f>
        <v>MS</v>
      </c>
      <c r="N273" s="3">
        <v>1353</v>
      </c>
      <c r="O273" s="4" t="s">
        <v>239</v>
      </c>
      <c r="P273" s="5" t="s">
        <v>309</v>
      </c>
      <c r="Q273" s="56">
        <f t="shared" ref="Q273" si="290">SUM(Q274:Q290)</f>
        <v>0</v>
      </c>
      <c r="R273" s="56">
        <f t="shared" ref="R273" si="291">SUM(R274:R290)</f>
        <v>0</v>
      </c>
      <c r="S273" s="56">
        <f t="shared" ref="S273" si="292">SUM(S274:S290)</f>
        <v>0</v>
      </c>
      <c r="T273" s="56">
        <f t="shared" ref="T273" si="293">SUM(T274:T290)</f>
        <v>3000</v>
      </c>
      <c r="U273" s="56">
        <f t="shared" ref="U273" si="294">SUM(U274:U290)</f>
        <v>3000</v>
      </c>
      <c r="V273" s="56">
        <f t="shared" ref="V273" si="295">SUM(V274:V290)</f>
        <v>4000</v>
      </c>
      <c r="W273" s="56">
        <f t="shared" ref="W273" si="296">SUM(W274:W290)</f>
        <v>5000</v>
      </c>
      <c r="X273" s="56">
        <f t="shared" ref="X273" si="297">SUM(X274:X290)</f>
        <v>5500</v>
      </c>
      <c r="Y273" s="56">
        <f t="shared" ref="Y273" si="298">SUM(Y274:Y290)</f>
        <v>6600</v>
      </c>
      <c r="Z273" s="56">
        <f t="shared" ref="Z273" si="299">SUM(Z274:Z290)</f>
        <v>7700</v>
      </c>
      <c r="AA273" s="56">
        <f t="shared" ref="AA273" si="300">SUM(AA274:AA290)</f>
        <v>8800</v>
      </c>
      <c r="AB273" s="56">
        <f t="shared" ref="AB273" si="301">SUM(AB274:AB290)</f>
        <v>5500</v>
      </c>
      <c r="AC273" s="56">
        <f t="shared" ref="AC273" si="302">SUM(AC274:AC290)</f>
        <v>49100</v>
      </c>
      <c r="AD273" s="25">
        <f t="shared" ref="AD273" si="303">SUM(AD274:AD290)</f>
        <v>49100</v>
      </c>
      <c r="AE273" s="25">
        <f t="shared" ref="AE273:AI273" si="304">SUM(AE274:AE290)</f>
        <v>0</v>
      </c>
      <c r="AF273" s="11" t="str">
        <f t="shared" si="267"/>
        <v/>
      </c>
      <c r="AG273" s="24">
        <f t="shared" si="304"/>
        <v>0</v>
      </c>
      <c r="AH273" s="25">
        <f t="shared" si="304"/>
        <v>0</v>
      </c>
      <c r="AI273" s="24">
        <f t="shared" si="304"/>
        <v>0</v>
      </c>
      <c r="AJ273" s="11" t="str">
        <f t="shared" si="270"/>
        <v/>
      </c>
      <c r="AK273" s="9"/>
      <c r="AL273" s="13"/>
      <c r="AM273" s="9"/>
    </row>
    <row r="274" spans="1:39" x14ac:dyDescent="0.3">
      <c r="A274" s="2" t="str">
        <f t="shared" si="268"/>
        <v>NÃO</v>
      </c>
      <c r="B274" s="2" t="str">
        <f>_xlfn.XLOOKUP($N274,'Base de Grupos'!$A:$A,'Base de Grupos'!$D:$D)</f>
        <v>1000065763</v>
      </c>
      <c r="C274" s="5" t="str">
        <f>_xlfn.XLOOKUP($N274,'Base de Grupos'!$A:$A,'Base de Grupos'!$E:$E)</f>
        <v>CANAL VENDA INTERNA</v>
      </c>
      <c r="D274" s="5" t="str">
        <f>_xlfn.XLOOKUP($N274,'Base de Grupos'!$A:$A,'Base de Grupos'!$F:$F)</f>
        <v>1000065763</v>
      </c>
      <c r="E274" s="2" t="str">
        <f>_xlfn.XLOOKUP($N274,'Base de Grupos'!$A:$A,'Base de Grupos'!$G:$G)</f>
        <v>CANAL VENDA INTERNA</v>
      </c>
      <c r="F274" s="2" t="str">
        <f>_xlfn.XLOOKUP($N274,'Base de Grupos'!$A:$A,'Base de Grupos'!$H:$H)</f>
        <v>1000105900</v>
      </c>
      <c r="G274" s="5" t="str">
        <f>_xlfn.XLOOKUP($N274,'Base de Grupos'!$A:$A,'Base de Grupos'!$I:$I)</f>
        <v>REGIONAL VENDA DIRETA CO + NE + NO</v>
      </c>
      <c r="H274" s="5" t="str">
        <f>_xlfn.XLOOKUP($N274,'Base de Grupos'!$A:$A,'Base de Grupos'!$J:$J)</f>
        <v>1000105900</v>
      </c>
      <c r="I274" s="2" t="str">
        <f>_xlfn.XLOOKUP($N274,'Base de Grupos'!$A:$A,'Base de Grupos'!$K:$K)</f>
        <v>REGIONAL VENDA DIRETA CO + NE + NO</v>
      </c>
      <c r="J274" s="2" t="str">
        <f>_xlfn.XLOOKUP($N274,'Base de Grupos'!$A:$A,'Base de Grupos'!$L:$L)</f>
        <v>1000150135</v>
      </c>
      <c r="K274" s="5" t="str">
        <f>_xlfn.XLOOKUP($N274,'Base de Grupos'!$A:$A,'Base de Grupos'!$M:$M)</f>
        <v>HELDER DA SILVA BRUNKOW</v>
      </c>
      <c r="L274" s="5" t="str">
        <f t="shared" si="269"/>
        <v/>
      </c>
      <c r="M274" s="5" t="str">
        <f>_xlfn.XLOOKUP($N274,'Base de Grupos'!$A:$A,'Base de Grupos'!$C:$C)</f>
        <v>MS</v>
      </c>
      <c r="N274" s="3">
        <v>1353</v>
      </c>
      <c r="O274" s="4" t="s">
        <v>239</v>
      </c>
      <c r="P274" s="5" t="s">
        <v>81</v>
      </c>
      <c r="Q274" s="56">
        <v>0</v>
      </c>
      <c r="R274" s="56">
        <v>0</v>
      </c>
      <c r="S274" s="56">
        <v>0</v>
      </c>
      <c r="T274" s="56">
        <f>_xlfn.XLOOKUP($N274,'Calculo Leads'!$A$97:$A$134,'Calculo Leads'!G$97:G$134)*_xlfn.XLOOKUP($P274,'Base Grupo de Produtos'!$E$2:$E$18,'Base Grupo de Produtos'!$F$2:$F$18)</f>
        <v>150</v>
      </c>
      <c r="U274" s="56">
        <f>_xlfn.XLOOKUP($N274,'Calculo Leads'!$A$97:$A$134,'Calculo Leads'!H$97:H$134)*_xlfn.XLOOKUP($P274,'Base Grupo de Produtos'!$E$2:$E$18,'Base Grupo de Produtos'!$F$2:$F$18)</f>
        <v>150</v>
      </c>
      <c r="V274" s="56">
        <f>_xlfn.XLOOKUP($N274,'Calculo Leads'!$A$97:$A$134,'Calculo Leads'!I$97:I$134)*_xlfn.XLOOKUP($P274,'Base Grupo de Produtos'!$E$2:$E$18,'Base Grupo de Produtos'!$F$2:$F$18)</f>
        <v>200</v>
      </c>
      <c r="W274" s="56">
        <f>_xlfn.XLOOKUP($N274,'Calculo Leads'!$A$97:$A$134,'Calculo Leads'!J$97:J$134)*_xlfn.XLOOKUP($P274,'Base Grupo de Produtos'!$E$2:$E$18,'Base Grupo de Produtos'!$F$2:$F$18)</f>
        <v>250</v>
      </c>
      <c r="X274" s="56">
        <f>_xlfn.XLOOKUP($N274,'Calculo Leads'!$A$97:$A$134,'Calculo Leads'!K$97:K$134)*_xlfn.XLOOKUP($P274,'Base Grupo de Produtos'!$E$2:$E$18,'Base Grupo de Produtos'!$F$2:$F$18)</f>
        <v>275</v>
      </c>
      <c r="Y274" s="56">
        <f>_xlfn.XLOOKUP($N274,'Calculo Leads'!$A$97:$A$134,'Calculo Leads'!L$97:L$134)*_xlfn.XLOOKUP($P274,'Base Grupo de Produtos'!$E$2:$E$18,'Base Grupo de Produtos'!$F$2:$F$18)</f>
        <v>330</v>
      </c>
      <c r="Z274" s="56">
        <f>_xlfn.XLOOKUP($N274,'Calculo Leads'!$A$97:$A$134,'Calculo Leads'!M$97:M$134)*_xlfn.XLOOKUP($P274,'Base Grupo de Produtos'!$E$2:$E$18,'Base Grupo de Produtos'!$F$2:$F$18)</f>
        <v>385</v>
      </c>
      <c r="AA274" s="56">
        <f>_xlfn.XLOOKUP($N274,'Calculo Leads'!$A$97:$A$134,'Calculo Leads'!N$97:N$134)*_xlfn.XLOOKUP($P274,'Base Grupo de Produtos'!$E$2:$E$18,'Base Grupo de Produtos'!$F$2:$F$18)</f>
        <v>440</v>
      </c>
      <c r="AB274" s="56">
        <f>_xlfn.XLOOKUP($N274,'Calculo Leads'!$A$97:$A$134,'Calculo Leads'!O$97:O$134)*_xlfn.XLOOKUP($P274,'Base Grupo de Produtos'!$E$2:$E$18,'Base Grupo de Produtos'!$F$2:$F$18)</f>
        <v>275</v>
      </c>
      <c r="AC274" s="61">
        <f t="shared" si="289"/>
        <v>2455</v>
      </c>
      <c r="AD274" s="27">
        <f t="shared" ref="AD274:AD290" si="305">IF(AC274=0,0,AC274-AG274)</f>
        <v>2455</v>
      </c>
      <c r="AE274" s="25">
        <f>IFERROR(_xlfn.XLOOKUP(N274&amp;P274,'Historico Vendas'!G:G,'Historico Vendas'!E:E),0)</f>
        <v>0</v>
      </c>
      <c r="AF274" s="29" t="str">
        <f t="shared" si="267"/>
        <v/>
      </c>
      <c r="AG274" s="24">
        <f>IFERROR(_xlfn.XLOOKUP(N274&amp;P274,'Historico Vendas'!G:G,'Historico Vendas'!F:F),0)</f>
        <v>0</v>
      </c>
      <c r="AH274" s="25">
        <f t="shared" ref="AH274:AH290" si="306">SUM(Q274:S274)</f>
        <v>0</v>
      </c>
      <c r="AI274" s="24">
        <f t="shared" ref="AI274:AI290" si="307">AH274-AG274</f>
        <v>0</v>
      </c>
      <c r="AJ274" s="11" t="str">
        <f t="shared" si="270"/>
        <v/>
      </c>
      <c r="AK274" s="9" t="s">
        <v>102</v>
      </c>
      <c r="AL274" s="13">
        <f>IFERROR(INDEX('Balizador da Meta'!$D$3:$F$23,MATCH(Faturamento!$P274,'Balizador da Meta'!$C$3:$C$23,0),MATCH(Faturamento!AK274,'Balizador da Meta'!$D$2:$F$2,0)),"")</f>
        <v>0.2</v>
      </c>
      <c r="AM274" s="9"/>
    </row>
    <row r="275" spans="1:39" x14ac:dyDescent="0.3">
      <c r="A275" s="2" t="str">
        <f t="shared" si="268"/>
        <v>NÃO</v>
      </c>
      <c r="B275" s="2" t="str">
        <f>_xlfn.XLOOKUP($N275,'Base de Grupos'!$A:$A,'Base de Grupos'!$D:$D)</f>
        <v>1000065763</v>
      </c>
      <c r="C275" s="5" t="str">
        <f>_xlfn.XLOOKUP($N275,'Base de Grupos'!$A:$A,'Base de Grupos'!$E:$E)</f>
        <v>CANAL VENDA INTERNA</v>
      </c>
      <c r="D275" s="5" t="str">
        <f>_xlfn.XLOOKUP($N275,'Base de Grupos'!$A:$A,'Base de Grupos'!$F:$F)</f>
        <v>1000065763</v>
      </c>
      <c r="E275" s="2" t="str">
        <f>_xlfn.XLOOKUP($N275,'Base de Grupos'!$A:$A,'Base de Grupos'!$G:$G)</f>
        <v>CANAL VENDA INTERNA</v>
      </c>
      <c r="F275" s="2" t="str">
        <f>_xlfn.XLOOKUP($N275,'Base de Grupos'!$A:$A,'Base de Grupos'!$H:$H)</f>
        <v>1000105900</v>
      </c>
      <c r="G275" s="5" t="str">
        <f>_xlfn.XLOOKUP($N275,'Base de Grupos'!$A:$A,'Base de Grupos'!$I:$I)</f>
        <v>REGIONAL VENDA DIRETA CO + NE + NO</v>
      </c>
      <c r="H275" s="5" t="str">
        <f>_xlfn.XLOOKUP($N275,'Base de Grupos'!$A:$A,'Base de Grupos'!$J:$J)</f>
        <v>1000105900</v>
      </c>
      <c r="I275" s="2" t="str">
        <f>_xlfn.XLOOKUP($N275,'Base de Grupos'!$A:$A,'Base de Grupos'!$K:$K)</f>
        <v>REGIONAL VENDA DIRETA CO + NE + NO</v>
      </c>
      <c r="J275" s="2" t="str">
        <f>_xlfn.XLOOKUP($N275,'Base de Grupos'!$A:$A,'Base de Grupos'!$L:$L)</f>
        <v>1000150135</v>
      </c>
      <c r="K275" s="5" t="str">
        <f>_xlfn.XLOOKUP($N275,'Base de Grupos'!$A:$A,'Base de Grupos'!$M:$M)</f>
        <v>HELDER DA SILVA BRUNKOW</v>
      </c>
      <c r="L275" s="5" t="str">
        <f t="shared" si="269"/>
        <v/>
      </c>
      <c r="M275" s="5" t="str">
        <f>_xlfn.XLOOKUP($N275,'Base de Grupos'!$A:$A,'Base de Grupos'!$C:$C)</f>
        <v>MS</v>
      </c>
      <c r="N275" s="3">
        <v>1353</v>
      </c>
      <c r="O275" s="4" t="s">
        <v>239</v>
      </c>
      <c r="P275" s="5" t="s">
        <v>82</v>
      </c>
      <c r="Q275" s="56">
        <v>0</v>
      </c>
      <c r="R275" s="56">
        <v>0</v>
      </c>
      <c r="S275" s="56">
        <v>0</v>
      </c>
      <c r="T275" s="56">
        <f>_xlfn.XLOOKUP($N275,'Calculo Leads'!$A$97:$A$134,'Calculo Leads'!G$97:G$134)*_xlfn.XLOOKUP($P275,'Base Grupo de Produtos'!$E$2:$E$18,'Base Grupo de Produtos'!$F$2:$F$18)</f>
        <v>150</v>
      </c>
      <c r="U275" s="56">
        <f>_xlfn.XLOOKUP($N275,'Calculo Leads'!$A$97:$A$134,'Calculo Leads'!H$97:H$134)*_xlfn.XLOOKUP($P275,'Base Grupo de Produtos'!$E$2:$E$18,'Base Grupo de Produtos'!$F$2:$F$18)</f>
        <v>150</v>
      </c>
      <c r="V275" s="56">
        <f>_xlfn.XLOOKUP($N275,'Calculo Leads'!$A$97:$A$134,'Calculo Leads'!I$97:I$134)*_xlfn.XLOOKUP($P275,'Base Grupo de Produtos'!$E$2:$E$18,'Base Grupo de Produtos'!$F$2:$F$18)</f>
        <v>200</v>
      </c>
      <c r="W275" s="56">
        <f>_xlfn.XLOOKUP($N275,'Calculo Leads'!$A$97:$A$134,'Calculo Leads'!J$97:J$134)*_xlfn.XLOOKUP($P275,'Base Grupo de Produtos'!$E$2:$E$18,'Base Grupo de Produtos'!$F$2:$F$18)</f>
        <v>250</v>
      </c>
      <c r="X275" s="56">
        <f>_xlfn.XLOOKUP($N275,'Calculo Leads'!$A$97:$A$134,'Calculo Leads'!K$97:K$134)*_xlfn.XLOOKUP($P275,'Base Grupo de Produtos'!$E$2:$E$18,'Base Grupo de Produtos'!$F$2:$F$18)</f>
        <v>275</v>
      </c>
      <c r="Y275" s="56">
        <f>_xlfn.XLOOKUP($N275,'Calculo Leads'!$A$97:$A$134,'Calculo Leads'!L$97:L$134)*_xlfn.XLOOKUP($P275,'Base Grupo de Produtos'!$E$2:$E$18,'Base Grupo de Produtos'!$F$2:$F$18)</f>
        <v>330</v>
      </c>
      <c r="Z275" s="56">
        <f>_xlfn.XLOOKUP($N275,'Calculo Leads'!$A$97:$A$134,'Calculo Leads'!M$97:M$134)*_xlfn.XLOOKUP($P275,'Base Grupo de Produtos'!$E$2:$E$18,'Base Grupo de Produtos'!$F$2:$F$18)</f>
        <v>385</v>
      </c>
      <c r="AA275" s="56">
        <f>_xlfn.XLOOKUP($N275,'Calculo Leads'!$A$97:$A$134,'Calculo Leads'!N$97:N$134)*_xlfn.XLOOKUP($P275,'Base Grupo de Produtos'!$E$2:$E$18,'Base Grupo de Produtos'!$F$2:$F$18)</f>
        <v>440</v>
      </c>
      <c r="AB275" s="56">
        <f>_xlfn.XLOOKUP($N275,'Calculo Leads'!$A$97:$A$134,'Calculo Leads'!O$97:O$134)*_xlfn.XLOOKUP($P275,'Base Grupo de Produtos'!$E$2:$E$18,'Base Grupo de Produtos'!$F$2:$F$18)</f>
        <v>275</v>
      </c>
      <c r="AC275" s="61">
        <f t="shared" si="289"/>
        <v>2455</v>
      </c>
      <c r="AD275" s="27">
        <f t="shared" si="305"/>
        <v>2455</v>
      </c>
      <c r="AE275" s="25">
        <f>IFERROR(_xlfn.XLOOKUP(N275&amp;P275,'Historico Vendas'!G:G,'Historico Vendas'!E:E),0)</f>
        <v>0</v>
      </c>
      <c r="AF275" s="29" t="str">
        <f t="shared" si="267"/>
        <v/>
      </c>
      <c r="AG275" s="24">
        <f>IFERROR(_xlfn.XLOOKUP(N275&amp;P275,'Historico Vendas'!G:G,'Historico Vendas'!F:F),0)</f>
        <v>0</v>
      </c>
      <c r="AH275" s="25">
        <f t="shared" si="306"/>
        <v>0</v>
      </c>
      <c r="AI275" s="24">
        <f t="shared" si="307"/>
        <v>0</v>
      </c>
      <c r="AJ275" s="11" t="str">
        <f t="shared" si="270"/>
        <v/>
      </c>
      <c r="AK275" s="9" t="s">
        <v>102</v>
      </c>
      <c r="AL275" s="13">
        <f>IFERROR(INDEX('Balizador da Meta'!$D$3:$F$23,MATCH(Faturamento!$P275,'Balizador da Meta'!$C$3:$C$23,0),MATCH(Faturamento!AK275,'Balizador da Meta'!$D$2:$F$2,0)),"")</f>
        <v>0.2</v>
      </c>
      <c r="AM275" s="9"/>
    </row>
    <row r="276" spans="1:39" x14ac:dyDescent="0.3">
      <c r="A276" s="2" t="str">
        <f t="shared" si="268"/>
        <v>NÃO</v>
      </c>
      <c r="B276" s="2" t="str">
        <f>_xlfn.XLOOKUP($N276,'Base de Grupos'!$A:$A,'Base de Grupos'!$D:$D)</f>
        <v>1000065763</v>
      </c>
      <c r="C276" s="5" t="str">
        <f>_xlfn.XLOOKUP($N276,'Base de Grupos'!$A:$A,'Base de Grupos'!$E:$E)</f>
        <v>CANAL VENDA INTERNA</v>
      </c>
      <c r="D276" s="5" t="str">
        <f>_xlfn.XLOOKUP($N276,'Base de Grupos'!$A:$A,'Base de Grupos'!$F:$F)</f>
        <v>1000065763</v>
      </c>
      <c r="E276" s="2" t="str">
        <f>_xlfn.XLOOKUP($N276,'Base de Grupos'!$A:$A,'Base de Grupos'!$G:$G)</f>
        <v>CANAL VENDA INTERNA</v>
      </c>
      <c r="F276" s="2" t="str">
        <f>_xlfn.XLOOKUP($N276,'Base de Grupos'!$A:$A,'Base de Grupos'!$H:$H)</f>
        <v>1000105900</v>
      </c>
      <c r="G276" s="5" t="str">
        <f>_xlfn.XLOOKUP($N276,'Base de Grupos'!$A:$A,'Base de Grupos'!$I:$I)</f>
        <v>REGIONAL VENDA DIRETA CO + NE + NO</v>
      </c>
      <c r="H276" s="5" t="str">
        <f>_xlfn.XLOOKUP($N276,'Base de Grupos'!$A:$A,'Base de Grupos'!$J:$J)</f>
        <v>1000105900</v>
      </c>
      <c r="I276" s="2" t="str">
        <f>_xlfn.XLOOKUP($N276,'Base de Grupos'!$A:$A,'Base de Grupos'!$K:$K)</f>
        <v>REGIONAL VENDA DIRETA CO + NE + NO</v>
      </c>
      <c r="J276" s="2" t="str">
        <f>_xlfn.XLOOKUP($N276,'Base de Grupos'!$A:$A,'Base de Grupos'!$L:$L)</f>
        <v>1000150135</v>
      </c>
      <c r="K276" s="5" t="str">
        <f>_xlfn.XLOOKUP($N276,'Base de Grupos'!$A:$A,'Base de Grupos'!$M:$M)</f>
        <v>HELDER DA SILVA BRUNKOW</v>
      </c>
      <c r="L276" s="5" t="str">
        <f t="shared" si="269"/>
        <v/>
      </c>
      <c r="M276" s="5" t="str">
        <f>_xlfn.XLOOKUP($N276,'Base de Grupos'!$A:$A,'Base de Grupos'!$C:$C)</f>
        <v>MS</v>
      </c>
      <c r="N276" s="3">
        <v>1353</v>
      </c>
      <c r="O276" s="4" t="s">
        <v>239</v>
      </c>
      <c r="P276" s="5" t="s">
        <v>84</v>
      </c>
      <c r="Q276" s="56">
        <v>0</v>
      </c>
      <c r="R276" s="56">
        <v>0</v>
      </c>
      <c r="S276" s="56">
        <v>0</v>
      </c>
      <c r="T276" s="56">
        <f>_xlfn.XLOOKUP($N276,'Calculo Leads'!$A$97:$A$134,'Calculo Leads'!G$97:G$134)*_xlfn.XLOOKUP($P276,'Base Grupo de Produtos'!$E$2:$E$18,'Base Grupo de Produtos'!$F$2:$F$18)</f>
        <v>240</v>
      </c>
      <c r="U276" s="56">
        <f>_xlfn.XLOOKUP($N276,'Calculo Leads'!$A$97:$A$134,'Calculo Leads'!H$97:H$134)*_xlfn.XLOOKUP($P276,'Base Grupo de Produtos'!$E$2:$E$18,'Base Grupo de Produtos'!$F$2:$F$18)</f>
        <v>240</v>
      </c>
      <c r="V276" s="56">
        <f>_xlfn.XLOOKUP($N276,'Calculo Leads'!$A$97:$A$134,'Calculo Leads'!I$97:I$134)*_xlfn.XLOOKUP($P276,'Base Grupo de Produtos'!$E$2:$E$18,'Base Grupo de Produtos'!$F$2:$F$18)</f>
        <v>320</v>
      </c>
      <c r="W276" s="56">
        <f>_xlfn.XLOOKUP($N276,'Calculo Leads'!$A$97:$A$134,'Calculo Leads'!J$97:J$134)*_xlfn.XLOOKUP($P276,'Base Grupo de Produtos'!$E$2:$E$18,'Base Grupo de Produtos'!$F$2:$F$18)</f>
        <v>400</v>
      </c>
      <c r="X276" s="56">
        <f>_xlfn.XLOOKUP($N276,'Calculo Leads'!$A$97:$A$134,'Calculo Leads'!K$97:K$134)*_xlfn.XLOOKUP($P276,'Base Grupo de Produtos'!$E$2:$E$18,'Base Grupo de Produtos'!$F$2:$F$18)</f>
        <v>440</v>
      </c>
      <c r="Y276" s="56">
        <f>_xlfn.XLOOKUP($N276,'Calculo Leads'!$A$97:$A$134,'Calculo Leads'!L$97:L$134)*_xlfn.XLOOKUP($P276,'Base Grupo de Produtos'!$E$2:$E$18,'Base Grupo de Produtos'!$F$2:$F$18)</f>
        <v>528</v>
      </c>
      <c r="Z276" s="56">
        <f>_xlfn.XLOOKUP($N276,'Calculo Leads'!$A$97:$A$134,'Calculo Leads'!M$97:M$134)*_xlfn.XLOOKUP($P276,'Base Grupo de Produtos'!$E$2:$E$18,'Base Grupo de Produtos'!$F$2:$F$18)</f>
        <v>616</v>
      </c>
      <c r="AA276" s="56">
        <f>_xlfn.XLOOKUP($N276,'Calculo Leads'!$A$97:$A$134,'Calculo Leads'!N$97:N$134)*_xlfn.XLOOKUP($P276,'Base Grupo de Produtos'!$E$2:$E$18,'Base Grupo de Produtos'!$F$2:$F$18)</f>
        <v>704</v>
      </c>
      <c r="AB276" s="56">
        <f>_xlfn.XLOOKUP($N276,'Calculo Leads'!$A$97:$A$134,'Calculo Leads'!O$97:O$134)*_xlfn.XLOOKUP($P276,'Base Grupo de Produtos'!$E$2:$E$18,'Base Grupo de Produtos'!$F$2:$F$18)</f>
        <v>440</v>
      </c>
      <c r="AC276" s="61">
        <f t="shared" si="289"/>
        <v>3928</v>
      </c>
      <c r="AD276" s="27">
        <f t="shared" si="305"/>
        <v>3928</v>
      </c>
      <c r="AE276" s="25">
        <f>IFERROR(_xlfn.XLOOKUP(N276&amp;P276,'Historico Vendas'!G:G,'Historico Vendas'!E:E),0)</f>
        <v>0</v>
      </c>
      <c r="AF276" s="29" t="str">
        <f t="shared" si="267"/>
        <v/>
      </c>
      <c r="AG276" s="24">
        <f>IFERROR(_xlfn.XLOOKUP(N276&amp;P276,'Historico Vendas'!G:G,'Historico Vendas'!F:F),0)</f>
        <v>0</v>
      </c>
      <c r="AH276" s="25">
        <f t="shared" si="306"/>
        <v>0</v>
      </c>
      <c r="AI276" s="24">
        <f t="shared" si="307"/>
        <v>0</v>
      </c>
      <c r="AJ276" s="11" t="str">
        <f t="shared" si="270"/>
        <v/>
      </c>
      <c r="AK276" s="9" t="s">
        <v>102</v>
      </c>
      <c r="AL276" s="13">
        <f>IFERROR(INDEX('Balizador da Meta'!$D$3:$F$23,MATCH(Faturamento!$P276,'Balizador da Meta'!$C$3:$C$23,0),MATCH(Faturamento!AK276,'Balizador da Meta'!$D$2:$F$2,0)),"")</f>
        <v>0.15</v>
      </c>
      <c r="AM276" s="9"/>
    </row>
    <row r="277" spans="1:39" x14ac:dyDescent="0.3">
      <c r="A277" s="2" t="str">
        <f t="shared" si="268"/>
        <v>NÃO</v>
      </c>
      <c r="B277" s="2" t="str">
        <f>_xlfn.XLOOKUP($N277,'Base de Grupos'!$A:$A,'Base de Grupos'!$D:$D)</f>
        <v>1000065763</v>
      </c>
      <c r="C277" s="5" t="str">
        <f>_xlfn.XLOOKUP($N277,'Base de Grupos'!$A:$A,'Base de Grupos'!$E:$E)</f>
        <v>CANAL VENDA INTERNA</v>
      </c>
      <c r="D277" s="5" t="str">
        <f>_xlfn.XLOOKUP($N277,'Base de Grupos'!$A:$A,'Base de Grupos'!$F:$F)</f>
        <v>1000065763</v>
      </c>
      <c r="E277" s="2" t="str">
        <f>_xlfn.XLOOKUP($N277,'Base de Grupos'!$A:$A,'Base de Grupos'!$G:$G)</f>
        <v>CANAL VENDA INTERNA</v>
      </c>
      <c r="F277" s="2" t="str">
        <f>_xlfn.XLOOKUP($N277,'Base de Grupos'!$A:$A,'Base de Grupos'!$H:$H)</f>
        <v>1000105900</v>
      </c>
      <c r="G277" s="5" t="str">
        <f>_xlfn.XLOOKUP($N277,'Base de Grupos'!$A:$A,'Base de Grupos'!$I:$I)</f>
        <v>REGIONAL VENDA DIRETA CO + NE + NO</v>
      </c>
      <c r="H277" s="5" t="str">
        <f>_xlfn.XLOOKUP($N277,'Base de Grupos'!$A:$A,'Base de Grupos'!$J:$J)</f>
        <v>1000105900</v>
      </c>
      <c r="I277" s="2" t="str">
        <f>_xlfn.XLOOKUP($N277,'Base de Grupos'!$A:$A,'Base de Grupos'!$K:$K)</f>
        <v>REGIONAL VENDA DIRETA CO + NE + NO</v>
      </c>
      <c r="J277" s="2" t="str">
        <f>_xlfn.XLOOKUP($N277,'Base de Grupos'!$A:$A,'Base de Grupos'!$L:$L)</f>
        <v>1000150135</v>
      </c>
      <c r="K277" s="5" t="str">
        <f>_xlfn.XLOOKUP($N277,'Base de Grupos'!$A:$A,'Base de Grupos'!$M:$M)</f>
        <v>HELDER DA SILVA BRUNKOW</v>
      </c>
      <c r="L277" s="5" t="str">
        <f t="shared" si="269"/>
        <v/>
      </c>
      <c r="M277" s="5" t="str">
        <f>_xlfn.XLOOKUP($N277,'Base de Grupos'!$A:$A,'Base de Grupos'!$C:$C)</f>
        <v>MS</v>
      </c>
      <c r="N277" s="3">
        <v>1353</v>
      </c>
      <c r="O277" s="4" t="s">
        <v>239</v>
      </c>
      <c r="P277" s="5" t="s">
        <v>83</v>
      </c>
      <c r="Q277" s="56">
        <v>0</v>
      </c>
      <c r="R277" s="56">
        <v>0</v>
      </c>
      <c r="S277" s="56">
        <v>0</v>
      </c>
      <c r="T277" s="56">
        <f>_xlfn.XLOOKUP($N277,'Calculo Leads'!$A$97:$A$134,'Calculo Leads'!G$97:G$134)*_xlfn.XLOOKUP($P277,'Base Grupo de Produtos'!$E$2:$E$18,'Base Grupo de Produtos'!$F$2:$F$18)</f>
        <v>300</v>
      </c>
      <c r="U277" s="56">
        <f>_xlfn.XLOOKUP($N277,'Calculo Leads'!$A$97:$A$134,'Calculo Leads'!H$97:H$134)*_xlfn.XLOOKUP($P277,'Base Grupo de Produtos'!$E$2:$E$18,'Base Grupo de Produtos'!$F$2:$F$18)</f>
        <v>300</v>
      </c>
      <c r="V277" s="56">
        <f>_xlfn.XLOOKUP($N277,'Calculo Leads'!$A$97:$A$134,'Calculo Leads'!I$97:I$134)*_xlfn.XLOOKUP($P277,'Base Grupo de Produtos'!$E$2:$E$18,'Base Grupo de Produtos'!$F$2:$F$18)</f>
        <v>400</v>
      </c>
      <c r="W277" s="56">
        <f>_xlfn.XLOOKUP($N277,'Calculo Leads'!$A$97:$A$134,'Calculo Leads'!J$97:J$134)*_xlfn.XLOOKUP($P277,'Base Grupo de Produtos'!$E$2:$E$18,'Base Grupo de Produtos'!$F$2:$F$18)</f>
        <v>500</v>
      </c>
      <c r="X277" s="56">
        <f>_xlfn.XLOOKUP($N277,'Calculo Leads'!$A$97:$A$134,'Calculo Leads'!K$97:K$134)*_xlfn.XLOOKUP($P277,'Base Grupo de Produtos'!$E$2:$E$18,'Base Grupo de Produtos'!$F$2:$F$18)</f>
        <v>550</v>
      </c>
      <c r="Y277" s="56">
        <f>_xlfn.XLOOKUP($N277,'Calculo Leads'!$A$97:$A$134,'Calculo Leads'!L$97:L$134)*_xlfn.XLOOKUP($P277,'Base Grupo de Produtos'!$E$2:$E$18,'Base Grupo de Produtos'!$F$2:$F$18)</f>
        <v>660</v>
      </c>
      <c r="Z277" s="56">
        <f>_xlfn.XLOOKUP($N277,'Calculo Leads'!$A$97:$A$134,'Calculo Leads'!M$97:M$134)*_xlfn.XLOOKUP($P277,'Base Grupo de Produtos'!$E$2:$E$18,'Base Grupo de Produtos'!$F$2:$F$18)</f>
        <v>770</v>
      </c>
      <c r="AA277" s="56">
        <f>_xlfn.XLOOKUP($N277,'Calculo Leads'!$A$97:$A$134,'Calculo Leads'!N$97:N$134)*_xlfn.XLOOKUP($P277,'Base Grupo de Produtos'!$E$2:$E$18,'Base Grupo de Produtos'!$F$2:$F$18)</f>
        <v>880</v>
      </c>
      <c r="AB277" s="56">
        <f>_xlfn.XLOOKUP($N277,'Calculo Leads'!$A$97:$A$134,'Calculo Leads'!O$97:O$134)*_xlfn.XLOOKUP($P277,'Base Grupo de Produtos'!$E$2:$E$18,'Base Grupo de Produtos'!$F$2:$F$18)</f>
        <v>550</v>
      </c>
      <c r="AC277" s="61">
        <f t="shared" si="289"/>
        <v>4910</v>
      </c>
      <c r="AD277" s="27">
        <f t="shared" si="305"/>
        <v>4910</v>
      </c>
      <c r="AE277" s="25">
        <f>IFERROR(_xlfn.XLOOKUP(N277&amp;P277,'Historico Vendas'!G:G,'Historico Vendas'!E:E),0)</f>
        <v>0</v>
      </c>
      <c r="AF277" s="29" t="str">
        <f t="shared" si="267"/>
        <v/>
      </c>
      <c r="AG277" s="24">
        <f>IFERROR(_xlfn.XLOOKUP(N277&amp;P277,'Historico Vendas'!G:G,'Historico Vendas'!F:F),0)</f>
        <v>0</v>
      </c>
      <c r="AH277" s="25">
        <f t="shared" si="306"/>
        <v>0</v>
      </c>
      <c r="AI277" s="24">
        <f t="shared" si="307"/>
        <v>0</v>
      </c>
      <c r="AJ277" s="11" t="str">
        <f t="shared" si="270"/>
        <v/>
      </c>
      <c r="AK277" s="9" t="s">
        <v>102</v>
      </c>
      <c r="AL277" s="13">
        <f>IFERROR(INDEX('Balizador da Meta'!$D$3:$F$23,MATCH(Faturamento!$P277,'Balizador da Meta'!$C$3:$C$23,0),MATCH(Faturamento!AK277,'Balizador da Meta'!$D$2:$F$2,0)),"")</f>
        <v>0</v>
      </c>
      <c r="AM277" s="9"/>
    </row>
    <row r="278" spans="1:39" x14ac:dyDescent="0.3">
      <c r="A278" s="2" t="str">
        <f t="shared" si="268"/>
        <v>NÃO</v>
      </c>
      <c r="B278" s="2" t="str">
        <f>_xlfn.XLOOKUP($N278,'Base de Grupos'!$A:$A,'Base de Grupos'!$D:$D)</f>
        <v>1000065763</v>
      </c>
      <c r="C278" s="5" t="str">
        <f>_xlfn.XLOOKUP($N278,'Base de Grupos'!$A:$A,'Base de Grupos'!$E:$E)</f>
        <v>CANAL VENDA INTERNA</v>
      </c>
      <c r="D278" s="5" t="str">
        <f>_xlfn.XLOOKUP($N278,'Base de Grupos'!$A:$A,'Base de Grupos'!$F:$F)</f>
        <v>1000065763</v>
      </c>
      <c r="E278" s="2" t="str">
        <f>_xlfn.XLOOKUP($N278,'Base de Grupos'!$A:$A,'Base de Grupos'!$G:$G)</f>
        <v>CANAL VENDA INTERNA</v>
      </c>
      <c r="F278" s="2" t="str">
        <f>_xlfn.XLOOKUP($N278,'Base de Grupos'!$A:$A,'Base de Grupos'!$H:$H)</f>
        <v>1000105900</v>
      </c>
      <c r="G278" s="5" t="str">
        <f>_xlfn.XLOOKUP($N278,'Base de Grupos'!$A:$A,'Base de Grupos'!$I:$I)</f>
        <v>REGIONAL VENDA DIRETA CO + NE + NO</v>
      </c>
      <c r="H278" s="5" t="str">
        <f>_xlfn.XLOOKUP($N278,'Base de Grupos'!$A:$A,'Base de Grupos'!$J:$J)</f>
        <v>1000105900</v>
      </c>
      <c r="I278" s="2" t="str">
        <f>_xlfn.XLOOKUP($N278,'Base de Grupos'!$A:$A,'Base de Grupos'!$K:$K)</f>
        <v>REGIONAL VENDA DIRETA CO + NE + NO</v>
      </c>
      <c r="J278" s="2" t="str">
        <f>_xlfn.XLOOKUP($N278,'Base de Grupos'!$A:$A,'Base de Grupos'!$L:$L)</f>
        <v>1000150135</v>
      </c>
      <c r="K278" s="5" t="str">
        <f>_xlfn.XLOOKUP($N278,'Base de Grupos'!$A:$A,'Base de Grupos'!$M:$M)</f>
        <v>HELDER DA SILVA BRUNKOW</v>
      </c>
      <c r="L278" s="5" t="str">
        <f t="shared" si="269"/>
        <v/>
      </c>
      <c r="M278" s="5" t="str">
        <f>_xlfn.XLOOKUP($N278,'Base de Grupos'!$A:$A,'Base de Grupos'!$C:$C)</f>
        <v>MS</v>
      </c>
      <c r="N278" s="3">
        <v>1353</v>
      </c>
      <c r="O278" s="4" t="s">
        <v>239</v>
      </c>
      <c r="P278" s="5" t="s">
        <v>87</v>
      </c>
      <c r="Q278" s="56">
        <v>0</v>
      </c>
      <c r="R278" s="56">
        <v>0</v>
      </c>
      <c r="S278" s="56">
        <v>0</v>
      </c>
      <c r="T278" s="56">
        <f>_xlfn.XLOOKUP($N278,'Calculo Leads'!$A$97:$A$134,'Calculo Leads'!G$97:G$134)*_xlfn.XLOOKUP($P278,'Base Grupo de Produtos'!$E$2:$E$18,'Base Grupo de Produtos'!$F$2:$F$18)</f>
        <v>59.999999999999993</v>
      </c>
      <c r="U278" s="56">
        <f>_xlfn.XLOOKUP($N278,'Calculo Leads'!$A$97:$A$134,'Calculo Leads'!H$97:H$134)*_xlfn.XLOOKUP($P278,'Base Grupo de Produtos'!$E$2:$E$18,'Base Grupo de Produtos'!$F$2:$F$18)</f>
        <v>59.999999999999993</v>
      </c>
      <c r="V278" s="56">
        <f>_xlfn.XLOOKUP($N278,'Calculo Leads'!$A$97:$A$134,'Calculo Leads'!I$97:I$134)*_xlfn.XLOOKUP($P278,'Base Grupo de Produtos'!$E$2:$E$18,'Base Grupo de Produtos'!$F$2:$F$18)</f>
        <v>79.999999999999986</v>
      </c>
      <c r="W278" s="56">
        <f>_xlfn.XLOOKUP($N278,'Calculo Leads'!$A$97:$A$134,'Calculo Leads'!J$97:J$134)*_xlfn.XLOOKUP($P278,'Base Grupo de Produtos'!$E$2:$E$18,'Base Grupo de Produtos'!$F$2:$F$18)</f>
        <v>99.999999999999986</v>
      </c>
      <c r="X278" s="56">
        <f>_xlfn.XLOOKUP($N278,'Calculo Leads'!$A$97:$A$134,'Calculo Leads'!K$97:K$134)*_xlfn.XLOOKUP($P278,'Base Grupo de Produtos'!$E$2:$E$18,'Base Grupo de Produtos'!$F$2:$F$18)</f>
        <v>109.99999999999999</v>
      </c>
      <c r="Y278" s="56">
        <f>_xlfn.XLOOKUP($N278,'Calculo Leads'!$A$97:$A$134,'Calculo Leads'!L$97:L$134)*_xlfn.XLOOKUP($P278,'Base Grupo de Produtos'!$E$2:$E$18,'Base Grupo de Produtos'!$F$2:$F$18)</f>
        <v>131.99999999999997</v>
      </c>
      <c r="Z278" s="56">
        <f>_xlfn.XLOOKUP($N278,'Calculo Leads'!$A$97:$A$134,'Calculo Leads'!M$97:M$134)*_xlfn.XLOOKUP($P278,'Base Grupo de Produtos'!$E$2:$E$18,'Base Grupo de Produtos'!$F$2:$F$18)</f>
        <v>153.99999999999997</v>
      </c>
      <c r="AA278" s="56">
        <f>_xlfn.XLOOKUP($N278,'Calculo Leads'!$A$97:$A$134,'Calculo Leads'!N$97:N$134)*_xlfn.XLOOKUP($P278,'Base Grupo de Produtos'!$E$2:$E$18,'Base Grupo de Produtos'!$F$2:$F$18)</f>
        <v>175.99999999999997</v>
      </c>
      <c r="AB278" s="56">
        <f>_xlfn.XLOOKUP($N278,'Calculo Leads'!$A$97:$A$134,'Calculo Leads'!O$97:O$134)*_xlfn.XLOOKUP($P278,'Base Grupo de Produtos'!$E$2:$E$18,'Base Grupo de Produtos'!$F$2:$F$18)</f>
        <v>109.99999999999999</v>
      </c>
      <c r="AC278" s="61">
        <f t="shared" si="289"/>
        <v>981.99999999999989</v>
      </c>
      <c r="AD278" s="27">
        <f t="shared" si="305"/>
        <v>981.99999999999989</v>
      </c>
      <c r="AE278" s="25">
        <f>IFERROR(_xlfn.XLOOKUP(N278&amp;P278,'Historico Vendas'!G:G,'Historico Vendas'!E:E),0)</f>
        <v>0</v>
      </c>
      <c r="AF278" s="29" t="str">
        <f t="shared" si="267"/>
        <v/>
      </c>
      <c r="AG278" s="24">
        <f>IFERROR(_xlfn.XLOOKUP(N278&amp;P278,'Historico Vendas'!G:G,'Historico Vendas'!F:F),0)</f>
        <v>0</v>
      </c>
      <c r="AH278" s="25">
        <f t="shared" si="306"/>
        <v>0</v>
      </c>
      <c r="AI278" s="24">
        <f t="shared" si="307"/>
        <v>0</v>
      </c>
      <c r="AJ278" s="11" t="str">
        <f t="shared" si="270"/>
        <v/>
      </c>
      <c r="AK278" s="9" t="s">
        <v>102</v>
      </c>
      <c r="AL278" s="13">
        <f>IFERROR(INDEX('Balizador da Meta'!$D$3:$F$23,MATCH(Faturamento!$P278,'Balizador da Meta'!$C$3:$C$23,0),MATCH(Faturamento!AK278,'Balizador da Meta'!$D$2:$F$2,0)),"")</f>
        <v>0</v>
      </c>
      <c r="AM278" s="9"/>
    </row>
    <row r="279" spans="1:39" x14ac:dyDescent="0.3">
      <c r="A279" s="2" t="str">
        <f t="shared" si="268"/>
        <v>NÃO</v>
      </c>
      <c r="B279" s="2" t="str">
        <f>_xlfn.XLOOKUP($N279,'Base de Grupos'!$A:$A,'Base de Grupos'!$D:$D)</f>
        <v>1000065763</v>
      </c>
      <c r="C279" s="5" t="str">
        <f>_xlfn.XLOOKUP($N279,'Base de Grupos'!$A:$A,'Base de Grupos'!$E:$E)</f>
        <v>CANAL VENDA INTERNA</v>
      </c>
      <c r="D279" s="5" t="str">
        <f>_xlfn.XLOOKUP($N279,'Base de Grupos'!$A:$A,'Base de Grupos'!$F:$F)</f>
        <v>1000065763</v>
      </c>
      <c r="E279" s="2" t="str">
        <f>_xlfn.XLOOKUP($N279,'Base de Grupos'!$A:$A,'Base de Grupos'!$G:$G)</f>
        <v>CANAL VENDA INTERNA</v>
      </c>
      <c r="F279" s="2" t="str">
        <f>_xlfn.XLOOKUP($N279,'Base de Grupos'!$A:$A,'Base de Grupos'!$H:$H)</f>
        <v>1000105900</v>
      </c>
      <c r="G279" s="5" t="str">
        <f>_xlfn.XLOOKUP($N279,'Base de Grupos'!$A:$A,'Base de Grupos'!$I:$I)</f>
        <v>REGIONAL VENDA DIRETA CO + NE + NO</v>
      </c>
      <c r="H279" s="5" t="str">
        <f>_xlfn.XLOOKUP($N279,'Base de Grupos'!$A:$A,'Base de Grupos'!$J:$J)</f>
        <v>1000105900</v>
      </c>
      <c r="I279" s="2" t="str">
        <f>_xlfn.XLOOKUP($N279,'Base de Grupos'!$A:$A,'Base de Grupos'!$K:$K)</f>
        <v>REGIONAL VENDA DIRETA CO + NE + NO</v>
      </c>
      <c r="J279" s="2" t="str">
        <f>_xlfn.XLOOKUP($N279,'Base de Grupos'!$A:$A,'Base de Grupos'!$L:$L)</f>
        <v>1000150135</v>
      </c>
      <c r="K279" s="5" t="str">
        <f>_xlfn.XLOOKUP($N279,'Base de Grupos'!$A:$A,'Base de Grupos'!$M:$M)</f>
        <v>HELDER DA SILVA BRUNKOW</v>
      </c>
      <c r="L279" s="5" t="str">
        <f t="shared" si="269"/>
        <v/>
      </c>
      <c r="M279" s="5" t="str">
        <f>_xlfn.XLOOKUP($N279,'Base de Grupos'!$A:$A,'Base de Grupos'!$C:$C)</f>
        <v>MS</v>
      </c>
      <c r="N279" s="3">
        <v>1353</v>
      </c>
      <c r="O279" s="4" t="s">
        <v>239</v>
      </c>
      <c r="P279" s="5" t="s">
        <v>85</v>
      </c>
      <c r="Q279" s="56">
        <v>0</v>
      </c>
      <c r="R279" s="56">
        <v>0</v>
      </c>
      <c r="S279" s="56">
        <v>0</v>
      </c>
      <c r="T279" s="56">
        <f>_xlfn.XLOOKUP($N279,'Calculo Leads'!$A$97:$A$134,'Calculo Leads'!G$97:G$134)*_xlfn.XLOOKUP($P279,'Base Grupo de Produtos'!$E$2:$E$18,'Base Grupo de Produtos'!$F$2:$F$18)</f>
        <v>60</v>
      </c>
      <c r="U279" s="56">
        <f>_xlfn.XLOOKUP($N279,'Calculo Leads'!$A$97:$A$134,'Calculo Leads'!H$97:H$134)*_xlfn.XLOOKUP($P279,'Base Grupo de Produtos'!$E$2:$E$18,'Base Grupo de Produtos'!$F$2:$F$18)</f>
        <v>60</v>
      </c>
      <c r="V279" s="56">
        <f>_xlfn.XLOOKUP($N279,'Calculo Leads'!$A$97:$A$134,'Calculo Leads'!I$97:I$134)*_xlfn.XLOOKUP($P279,'Base Grupo de Produtos'!$E$2:$E$18,'Base Grupo de Produtos'!$F$2:$F$18)</f>
        <v>80</v>
      </c>
      <c r="W279" s="56">
        <f>_xlfn.XLOOKUP($N279,'Calculo Leads'!$A$97:$A$134,'Calculo Leads'!J$97:J$134)*_xlfn.XLOOKUP($P279,'Base Grupo de Produtos'!$E$2:$E$18,'Base Grupo de Produtos'!$F$2:$F$18)</f>
        <v>100</v>
      </c>
      <c r="X279" s="56">
        <f>_xlfn.XLOOKUP($N279,'Calculo Leads'!$A$97:$A$134,'Calculo Leads'!K$97:K$134)*_xlfn.XLOOKUP($P279,'Base Grupo de Produtos'!$E$2:$E$18,'Base Grupo de Produtos'!$F$2:$F$18)</f>
        <v>110</v>
      </c>
      <c r="Y279" s="56">
        <f>_xlfn.XLOOKUP($N279,'Calculo Leads'!$A$97:$A$134,'Calculo Leads'!L$97:L$134)*_xlfn.XLOOKUP($P279,'Base Grupo de Produtos'!$E$2:$E$18,'Base Grupo de Produtos'!$F$2:$F$18)</f>
        <v>132</v>
      </c>
      <c r="Z279" s="56">
        <f>_xlfn.XLOOKUP($N279,'Calculo Leads'!$A$97:$A$134,'Calculo Leads'!M$97:M$134)*_xlfn.XLOOKUP($P279,'Base Grupo de Produtos'!$E$2:$E$18,'Base Grupo de Produtos'!$F$2:$F$18)</f>
        <v>154</v>
      </c>
      <c r="AA279" s="56">
        <f>_xlfn.XLOOKUP($N279,'Calculo Leads'!$A$97:$A$134,'Calculo Leads'!N$97:N$134)*_xlfn.XLOOKUP($P279,'Base Grupo de Produtos'!$E$2:$E$18,'Base Grupo de Produtos'!$F$2:$F$18)</f>
        <v>176</v>
      </c>
      <c r="AB279" s="56">
        <f>_xlfn.XLOOKUP($N279,'Calculo Leads'!$A$97:$A$134,'Calculo Leads'!O$97:O$134)*_xlfn.XLOOKUP($P279,'Base Grupo de Produtos'!$E$2:$E$18,'Base Grupo de Produtos'!$F$2:$F$18)</f>
        <v>110</v>
      </c>
      <c r="AC279" s="61">
        <f t="shared" si="289"/>
        <v>982</v>
      </c>
      <c r="AD279" s="27">
        <f t="shared" si="305"/>
        <v>982</v>
      </c>
      <c r="AE279" s="25">
        <f>IFERROR(_xlfn.XLOOKUP(N279&amp;P279,'Historico Vendas'!G:G,'Historico Vendas'!E:E),0)</f>
        <v>0</v>
      </c>
      <c r="AF279" s="29" t="str">
        <f t="shared" si="267"/>
        <v/>
      </c>
      <c r="AG279" s="24">
        <f>IFERROR(_xlfn.XLOOKUP(N279&amp;P279,'Historico Vendas'!G:G,'Historico Vendas'!F:F),0)</f>
        <v>0</v>
      </c>
      <c r="AH279" s="25">
        <f t="shared" si="306"/>
        <v>0</v>
      </c>
      <c r="AI279" s="24">
        <f t="shared" si="307"/>
        <v>0</v>
      </c>
      <c r="AJ279" s="11" t="str">
        <f t="shared" si="270"/>
        <v/>
      </c>
      <c r="AK279" s="9" t="s">
        <v>102</v>
      </c>
      <c r="AL279" s="13">
        <f>IFERROR(INDEX('Balizador da Meta'!$D$3:$F$23,MATCH(Faturamento!$P279,'Balizador da Meta'!$C$3:$C$23,0),MATCH(Faturamento!AK279,'Balizador da Meta'!$D$2:$F$2,0)),"")</f>
        <v>0</v>
      </c>
      <c r="AM279" s="9"/>
    </row>
    <row r="280" spans="1:39" x14ac:dyDescent="0.3">
      <c r="A280" s="2" t="str">
        <f t="shared" si="268"/>
        <v>NÃO</v>
      </c>
      <c r="B280" s="2" t="str">
        <f>_xlfn.XLOOKUP($N280,'Base de Grupos'!$A:$A,'Base de Grupos'!$D:$D)</f>
        <v>1000065763</v>
      </c>
      <c r="C280" s="5" t="str">
        <f>_xlfn.XLOOKUP($N280,'Base de Grupos'!$A:$A,'Base de Grupos'!$E:$E)</f>
        <v>CANAL VENDA INTERNA</v>
      </c>
      <c r="D280" s="5" t="str">
        <f>_xlfn.XLOOKUP($N280,'Base de Grupos'!$A:$A,'Base de Grupos'!$F:$F)</f>
        <v>1000065763</v>
      </c>
      <c r="E280" s="2" t="str">
        <f>_xlfn.XLOOKUP($N280,'Base de Grupos'!$A:$A,'Base de Grupos'!$G:$G)</f>
        <v>CANAL VENDA INTERNA</v>
      </c>
      <c r="F280" s="2" t="str">
        <f>_xlfn.XLOOKUP($N280,'Base de Grupos'!$A:$A,'Base de Grupos'!$H:$H)</f>
        <v>1000105900</v>
      </c>
      <c r="G280" s="5" t="str">
        <f>_xlfn.XLOOKUP($N280,'Base de Grupos'!$A:$A,'Base de Grupos'!$I:$I)</f>
        <v>REGIONAL VENDA DIRETA CO + NE + NO</v>
      </c>
      <c r="H280" s="5" t="str">
        <f>_xlfn.XLOOKUP($N280,'Base de Grupos'!$A:$A,'Base de Grupos'!$J:$J)</f>
        <v>1000105900</v>
      </c>
      <c r="I280" s="2" t="str">
        <f>_xlfn.XLOOKUP($N280,'Base de Grupos'!$A:$A,'Base de Grupos'!$K:$K)</f>
        <v>REGIONAL VENDA DIRETA CO + NE + NO</v>
      </c>
      <c r="J280" s="2" t="str">
        <f>_xlfn.XLOOKUP($N280,'Base de Grupos'!$A:$A,'Base de Grupos'!$L:$L)</f>
        <v>1000150135</v>
      </c>
      <c r="K280" s="5" t="str">
        <f>_xlfn.XLOOKUP($N280,'Base de Grupos'!$A:$A,'Base de Grupos'!$M:$M)</f>
        <v>HELDER DA SILVA BRUNKOW</v>
      </c>
      <c r="L280" s="5" t="str">
        <f t="shared" si="269"/>
        <v/>
      </c>
      <c r="M280" s="5" t="str">
        <f>_xlfn.XLOOKUP($N280,'Base de Grupos'!$A:$A,'Base de Grupos'!$C:$C)</f>
        <v>MS</v>
      </c>
      <c r="N280" s="3">
        <v>1353</v>
      </c>
      <c r="O280" s="4" t="s">
        <v>239</v>
      </c>
      <c r="P280" s="5" t="s">
        <v>92</v>
      </c>
      <c r="Q280" s="56">
        <v>0</v>
      </c>
      <c r="R280" s="56">
        <v>0</v>
      </c>
      <c r="S280" s="56">
        <v>0</v>
      </c>
      <c r="T280" s="56">
        <f>_xlfn.XLOOKUP($N280,'Calculo Leads'!$A$97:$A$134,'Calculo Leads'!G$97:G$134)*_xlfn.XLOOKUP($P280,'Base Grupo de Produtos'!$E$2:$E$18,'Base Grupo de Produtos'!$F$2:$F$18)</f>
        <v>60</v>
      </c>
      <c r="U280" s="56">
        <f>_xlfn.XLOOKUP($N280,'Calculo Leads'!$A$97:$A$134,'Calculo Leads'!H$97:H$134)*_xlfn.XLOOKUP($P280,'Base Grupo de Produtos'!$E$2:$E$18,'Base Grupo de Produtos'!$F$2:$F$18)</f>
        <v>60</v>
      </c>
      <c r="V280" s="56">
        <f>_xlfn.XLOOKUP($N280,'Calculo Leads'!$A$97:$A$134,'Calculo Leads'!I$97:I$134)*_xlfn.XLOOKUP($P280,'Base Grupo de Produtos'!$E$2:$E$18,'Base Grupo de Produtos'!$F$2:$F$18)</f>
        <v>80</v>
      </c>
      <c r="W280" s="56">
        <f>_xlfn.XLOOKUP($N280,'Calculo Leads'!$A$97:$A$134,'Calculo Leads'!J$97:J$134)*_xlfn.XLOOKUP($P280,'Base Grupo de Produtos'!$E$2:$E$18,'Base Grupo de Produtos'!$F$2:$F$18)</f>
        <v>100</v>
      </c>
      <c r="X280" s="56">
        <f>_xlfn.XLOOKUP($N280,'Calculo Leads'!$A$97:$A$134,'Calculo Leads'!K$97:K$134)*_xlfn.XLOOKUP($P280,'Base Grupo de Produtos'!$E$2:$E$18,'Base Grupo de Produtos'!$F$2:$F$18)</f>
        <v>110</v>
      </c>
      <c r="Y280" s="56">
        <f>_xlfn.XLOOKUP($N280,'Calculo Leads'!$A$97:$A$134,'Calculo Leads'!L$97:L$134)*_xlfn.XLOOKUP($P280,'Base Grupo de Produtos'!$E$2:$E$18,'Base Grupo de Produtos'!$F$2:$F$18)</f>
        <v>132</v>
      </c>
      <c r="Z280" s="56">
        <f>_xlfn.XLOOKUP($N280,'Calculo Leads'!$A$97:$A$134,'Calculo Leads'!M$97:M$134)*_xlfn.XLOOKUP($P280,'Base Grupo de Produtos'!$E$2:$E$18,'Base Grupo de Produtos'!$F$2:$F$18)</f>
        <v>154</v>
      </c>
      <c r="AA280" s="56">
        <f>_xlfn.XLOOKUP($N280,'Calculo Leads'!$A$97:$A$134,'Calculo Leads'!N$97:N$134)*_xlfn.XLOOKUP($P280,'Base Grupo de Produtos'!$E$2:$E$18,'Base Grupo de Produtos'!$F$2:$F$18)</f>
        <v>176</v>
      </c>
      <c r="AB280" s="56">
        <f>_xlfn.XLOOKUP($N280,'Calculo Leads'!$A$97:$A$134,'Calculo Leads'!O$97:O$134)*_xlfn.XLOOKUP($P280,'Base Grupo de Produtos'!$E$2:$E$18,'Base Grupo de Produtos'!$F$2:$F$18)</f>
        <v>110</v>
      </c>
      <c r="AC280" s="61">
        <f t="shared" si="289"/>
        <v>982</v>
      </c>
      <c r="AD280" s="27">
        <f t="shared" si="305"/>
        <v>982</v>
      </c>
      <c r="AE280" s="25">
        <f>IFERROR(_xlfn.XLOOKUP(N280&amp;P280,'Historico Vendas'!G:G,'Historico Vendas'!E:E),0)</f>
        <v>0</v>
      </c>
      <c r="AF280" s="29" t="str">
        <f t="shared" si="267"/>
        <v/>
      </c>
      <c r="AG280" s="24">
        <f>IFERROR(_xlfn.XLOOKUP(N280&amp;P280,'Historico Vendas'!G:G,'Historico Vendas'!F:F),0)</f>
        <v>0</v>
      </c>
      <c r="AH280" s="25">
        <f t="shared" si="306"/>
        <v>0</v>
      </c>
      <c r="AI280" s="24">
        <f t="shared" si="307"/>
        <v>0</v>
      </c>
      <c r="AJ280" s="11" t="str">
        <f t="shared" si="270"/>
        <v/>
      </c>
      <c r="AK280" s="9" t="s">
        <v>102</v>
      </c>
      <c r="AL280" s="13">
        <f>IFERROR(INDEX('Balizador da Meta'!$D$3:$F$23,MATCH(Faturamento!$P280,'Balizador da Meta'!$C$3:$C$23,0),MATCH(Faturamento!AK280,'Balizador da Meta'!$D$2:$F$2,0)),"")</f>
        <v>0</v>
      </c>
      <c r="AM280" s="9"/>
    </row>
    <row r="281" spans="1:39" x14ac:dyDescent="0.3">
      <c r="A281" s="2" t="str">
        <f t="shared" si="268"/>
        <v>NÃO</v>
      </c>
      <c r="B281" s="2" t="str">
        <f>_xlfn.XLOOKUP($N281,'Base de Grupos'!$A:$A,'Base de Grupos'!$D:$D)</f>
        <v>1000065763</v>
      </c>
      <c r="C281" s="5" t="str">
        <f>_xlfn.XLOOKUP($N281,'Base de Grupos'!$A:$A,'Base de Grupos'!$E:$E)</f>
        <v>CANAL VENDA INTERNA</v>
      </c>
      <c r="D281" s="5" t="str">
        <f>_xlfn.XLOOKUP($N281,'Base de Grupos'!$A:$A,'Base de Grupos'!$F:$F)</f>
        <v>1000065763</v>
      </c>
      <c r="E281" s="2" t="str">
        <f>_xlfn.XLOOKUP($N281,'Base de Grupos'!$A:$A,'Base de Grupos'!$G:$G)</f>
        <v>CANAL VENDA INTERNA</v>
      </c>
      <c r="F281" s="2" t="str">
        <f>_xlfn.XLOOKUP($N281,'Base de Grupos'!$A:$A,'Base de Grupos'!$H:$H)</f>
        <v>1000105900</v>
      </c>
      <c r="G281" s="5" t="str">
        <f>_xlfn.XLOOKUP($N281,'Base de Grupos'!$A:$A,'Base de Grupos'!$I:$I)</f>
        <v>REGIONAL VENDA DIRETA CO + NE + NO</v>
      </c>
      <c r="H281" s="5" t="str">
        <f>_xlfn.XLOOKUP($N281,'Base de Grupos'!$A:$A,'Base de Grupos'!$J:$J)</f>
        <v>1000105900</v>
      </c>
      <c r="I281" s="2" t="str">
        <f>_xlfn.XLOOKUP($N281,'Base de Grupos'!$A:$A,'Base de Grupos'!$K:$K)</f>
        <v>REGIONAL VENDA DIRETA CO + NE + NO</v>
      </c>
      <c r="J281" s="2" t="str">
        <f>_xlfn.XLOOKUP($N281,'Base de Grupos'!$A:$A,'Base de Grupos'!$L:$L)</f>
        <v>1000150135</v>
      </c>
      <c r="K281" s="5" t="str">
        <f>_xlfn.XLOOKUP($N281,'Base de Grupos'!$A:$A,'Base de Grupos'!$M:$M)</f>
        <v>HELDER DA SILVA BRUNKOW</v>
      </c>
      <c r="L281" s="5" t="str">
        <f t="shared" si="269"/>
        <v/>
      </c>
      <c r="M281" s="5" t="str">
        <f>_xlfn.XLOOKUP($N281,'Base de Grupos'!$A:$A,'Base de Grupos'!$C:$C)</f>
        <v>MS</v>
      </c>
      <c r="N281" s="3">
        <v>1353</v>
      </c>
      <c r="O281" s="4" t="s">
        <v>239</v>
      </c>
      <c r="P281" s="5" t="s">
        <v>86</v>
      </c>
      <c r="Q281" s="56">
        <v>0</v>
      </c>
      <c r="R281" s="56">
        <v>0</v>
      </c>
      <c r="S281" s="56">
        <v>0</v>
      </c>
      <c r="T281" s="56">
        <f>_xlfn.XLOOKUP($N281,'Calculo Leads'!$A$97:$A$134,'Calculo Leads'!G$97:G$134)*_xlfn.XLOOKUP($P281,'Base Grupo de Produtos'!$E$2:$E$18,'Base Grupo de Produtos'!$F$2:$F$18)</f>
        <v>90</v>
      </c>
      <c r="U281" s="56">
        <f>_xlfn.XLOOKUP($N281,'Calculo Leads'!$A$97:$A$134,'Calculo Leads'!H$97:H$134)*_xlfn.XLOOKUP($P281,'Base Grupo de Produtos'!$E$2:$E$18,'Base Grupo de Produtos'!$F$2:$F$18)</f>
        <v>90</v>
      </c>
      <c r="V281" s="56">
        <f>_xlfn.XLOOKUP($N281,'Calculo Leads'!$A$97:$A$134,'Calculo Leads'!I$97:I$134)*_xlfn.XLOOKUP($P281,'Base Grupo de Produtos'!$E$2:$E$18,'Base Grupo de Produtos'!$F$2:$F$18)</f>
        <v>120</v>
      </c>
      <c r="W281" s="56">
        <f>_xlfn.XLOOKUP($N281,'Calculo Leads'!$A$97:$A$134,'Calculo Leads'!J$97:J$134)*_xlfn.XLOOKUP($P281,'Base Grupo de Produtos'!$E$2:$E$18,'Base Grupo de Produtos'!$F$2:$F$18)</f>
        <v>150</v>
      </c>
      <c r="X281" s="56">
        <f>_xlfn.XLOOKUP($N281,'Calculo Leads'!$A$97:$A$134,'Calculo Leads'!K$97:K$134)*_xlfn.XLOOKUP($P281,'Base Grupo de Produtos'!$E$2:$E$18,'Base Grupo de Produtos'!$F$2:$F$18)</f>
        <v>165</v>
      </c>
      <c r="Y281" s="56">
        <f>_xlfn.XLOOKUP($N281,'Calculo Leads'!$A$97:$A$134,'Calculo Leads'!L$97:L$134)*_xlfn.XLOOKUP($P281,'Base Grupo de Produtos'!$E$2:$E$18,'Base Grupo de Produtos'!$F$2:$F$18)</f>
        <v>198</v>
      </c>
      <c r="Z281" s="56">
        <f>_xlfn.XLOOKUP($N281,'Calculo Leads'!$A$97:$A$134,'Calculo Leads'!M$97:M$134)*_xlfn.XLOOKUP($P281,'Base Grupo de Produtos'!$E$2:$E$18,'Base Grupo de Produtos'!$F$2:$F$18)</f>
        <v>231</v>
      </c>
      <c r="AA281" s="56">
        <f>_xlfn.XLOOKUP($N281,'Calculo Leads'!$A$97:$A$134,'Calculo Leads'!N$97:N$134)*_xlfn.XLOOKUP($P281,'Base Grupo de Produtos'!$E$2:$E$18,'Base Grupo de Produtos'!$F$2:$F$18)</f>
        <v>264</v>
      </c>
      <c r="AB281" s="56">
        <f>_xlfn.XLOOKUP($N281,'Calculo Leads'!$A$97:$A$134,'Calculo Leads'!O$97:O$134)*_xlfn.XLOOKUP($P281,'Base Grupo de Produtos'!$E$2:$E$18,'Base Grupo de Produtos'!$F$2:$F$18)</f>
        <v>165</v>
      </c>
      <c r="AC281" s="61">
        <f t="shared" si="289"/>
        <v>1473</v>
      </c>
      <c r="AD281" s="27">
        <f t="shared" si="305"/>
        <v>1473</v>
      </c>
      <c r="AE281" s="25">
        <f>IFERROR(_xlfn.XLOOKUP(N281&amp;P281,'Historico Vendas'!G:G,'Historico Vendas'!E:E),0)</f>
        <v>0</v>
      </c>
      <c r="AF281" s="29" t="str">
        <f t="shared" si="267"/>
        <v/>
      </c>
      <c r="AG281" s="24">
        <f>IFERROR(_xlfn.XLOOKUP(N281&amp;P281,'Historico Vendas'!G:G,'Historico Vendas'!F:F),0)</f>
        <v>0</v>
      </c>
      <c r="AH281" s="25">
        <f t="shared" si="306"/>
        <v>0</v>
      </c>
      <c r="AI281" s="24">
        <f t="shared" si="307"/>
        <v>0</v>
      </c>
      <c r="AJ281" s="11" t="str">
        <f t="shared" si="270"/>
        <v/>
      </c>
      <c r="AK281" s="9" t="s">
        <v>102</v>
      </c>
      <c r="AL281" s="13">
        <f>IFERROR(INDEX('Balizador da Meta'!$D$3:$F$23,MATCH(Faturamento!$P281,'Balizador da Meta'!$C$3:$C$23,0),MATCH(Faturamento!AK281,'Balizador da Meta'!$D$2:$F$2,0)),"")</f>
        <v>0.15</v>
      </c>
      <c r="AM281" s="9"/>
    </row>
    <row r="282" spans="1:39" x14ac:dyDescent="0.3">
      <c r="A282" s="2" t="str">
        <f t="shared" si="268"/>
        <v>NÃO</v>
      </c>
      <c r="B282" s="2" t="str">
        <f>_xlfn.XLOOKUP($N282,'Base de Grupos'!$A:$A,'Base de Grupos'!$D:$D)</f>
        <v>1000065763</v>
      </c>
      <c r="C282" s="5" t="str">
        <f>_xlfn.XLOOKUP($N282,'Base de Grupos'!$A:$A,'Base de Grupos'!$E:$E)</f>
        <v>CANAL VENDA INTERNA</v>
      </c>
      <c r="D282" s="5" t="str">
        <f>_xlfn.XLOOKUP($N282,'Base de Grupos'!$A:$A,'Base de Grupos'!$F:$F)</f>
        <v>1000065763</v>
      </c>
      <c r="E282" s="2" t="str">
        <f>_xlfn.XLOOKUP($N282,'Base de Grupos'!$A:$A,'Base de Grupos'!$G:$G)</f>
        <v>CANAL VENDA INTERNA</v>
      </c>
      <c r="F282" s="2" t="str">
        <f>_xlfn.XLOOKUP($N282,'Base de Grupos'!$A:$A,'Base de Grupos'!$H:$H)</f>
        <v>1000105900</v>
      </c>
      <c r="G282" s="5" t="str">
        <f>_xlfn.XLOOKUP($N282,'Base de Grupos'!$A:$A,'Base de Grupos'!$I:$I)</f>
        <v>REGIONAL VENDA DIRETA CO + NE + NO</v>
      </c>
      <c r="H282" s="5" t="str">
        <f>_xlfn.XLOOKUP($N282,'Base de Grupos'!$A:$A,'Base de Grupos'!$J:$J)</f>
        <v>1000105900</v>
      </c>
      <c r="I282" s="2" t="str">
        <f>_xlfn.XLOOKUP($N282,'Base de Grupos'!$A:$A,'Base de Grupos'!$K:$K)</f>
        <v>REGIONAL VENDA DIRETA CO + NE + NO</v>
      </c>
      <c r="J282" s="2" t="str">
        <f>_xlfn.XLOOKUP($N282,'Base de Grupos'!$A:$A,'Base de Grupos'!$L:$L)</f>
        <v>1000150135</v>
      </c>
      <c r="K282" s="5" t="str">
        <f>_xlfn.XLOOKUP($N282,'Base de Grupos'!$A:$A,'Base de Grupos'!$M:$M)</f>
        <v>HELDER DA SILVA BRUNKOW</v>
      </c>
      <c r="L282" s="5" t="str">
        <f t="shared" si="269"/>
        <v/>
      </c>
      <c r="M282" s="5" t="str">
        <f>_xlfn.XLOOKUP($N282,'Base de Grupos'!$A:$A,'Base de Grupos'!$C:$C)</f>
        <v>MS</v>
      </c>
      <c r="N282" s="3">
        <v>1353</v>
      </c>
      <c r="O282" s="4" t="s">
        <v>239</v>
      </c>
      <c r="P282" s="5" t="s">
        <v>108</v>
      </c>
      <c r="Q282" s="56">
        <v>0</v>
      </c>
      <c r="R282" s="56">
        <v>0</v>
      </c>
      <c r="S282" s="56">
        <v>0</v>
      </c>
      <c r="T282" s="56">
        <f>_xlfn.XLOOKUP($N282,'Calculo Leads'!$A$97:$A$134,'Calculo Leads'!G$97:G$134)*_xlfn.XLOOKUP($P282,'Base Grupo de Produtos'!$E$2:$E$18,'Base Grupo de Produtos'!$F$2:$F$18)</f>
        <v>750</v>
      </c>
      <c r="U282" s="56">
        <f>_xlfn.XLOOKUP($N282,'Calculo Leads'!$A$97:$A$134,'Calculo Leads'!H$97:H$134)*_xlfn.XLOOKUP($P282,'Base Grupo de Produtos'!$E$2:$E$18,'Base Grupo de Produtos'!$F$2:$F$18)</f>
        <v>750</v>
      </c>
      <c r="V282" s="56">
        <f>_xlfn.XLOOKUP($N282,'Calculo Leads'!$A$97:$A$134,'Calculo Leads'!I$97:I$134)*_xlfn.XLOOKUP($P282,'Base Grupo de Produtos'!$E$2:$E$18,'Base Grupo de Produtos'!$F$2:$F$18)</f>
        <v>1000</v>
      </c>
      <c r="W282" s="56">
        <f>_xlfn.XLOOKUP($N282,'Calculo Leads'!$A$97:$A$134,'Calculo Leads'!J$97:J$134)*_xlfn.XLOOKUP($P282,'Base Grupo de Produtos'!$E$2:$E$18,'Base Grupo de Produtos'!$F$2:$F$18)</f>
        <v>1250</v>
      </c>
      <c r="X282" s="56">
        <f>_xlfn.XLOOKUP($N282,'Calculo Leads'!$A$97:$A$134,'Calculo Leads'!K$97:K$134)*_xlfn.XLOOKUP($P282,'Base Grupo de Produtos'!$E$2:$E$18,'Base Grupo de Produtos'!$F$2:$F$18)</f>
        <v>1375</v>
      </c>
      <c r="Y282" s="56">
        <f>_xlfn.XLOOKUP($N282,'Calculo Leads'!$A$97:$A$134,'Calculo Leads'!L$97:L$134)*_xlfn.XLOOKUP($P282,'Base Grupo de Produtos'!$E$2:$E$18,'Base Grupo de Produtos'!$F$2:$F$18)</f>
        <v>1650</v>
      </c>
      <c r="Z282" s="56">
        <f>_xlfn.XLOOKUP($N282,'Calculo Leads'!$A$97:$A$134,'Calculo Leads'!M$97:M$134)*_xlfn.XLOOKUP($P282,'Base Grupo de Produtos'!$E$2:$E$18,'Base Grupo de Produtos'!$F$2:$F$18)</f>
        <v>1925</v>
      </c>
      <c r="AA282" s="56">
        <f>_xlfn.XLOOKUP($N282,'Calculo Leads'!$A$97:$A$134,'Calculo Leads'!N$97:N$134)*_xlfn.XLOOKUP($P282,'Base Grupo de Produtos'!$E$2:$E$18,'Base Grupo de Produtos'!$F$2:$F$18)</f>
        <v>2200</v>
      </c>
      <c r="AB282" s="56">
        <f>_xlfn.XLOOKUP($N282,'Calculo Leads'!$A$97:$A$134,'Calculo Leads'!O$97:O$134)*_xlfn.XLOOKUP($P282,'Base Grupo de Produtos'!$E$2:$E$18,'Base Grupo de Produtos'!$F$2:$F$18)</f>
        <v>1375</v>
      </c>
      <c r="AC282" s="61">
        <f t="shared" si="289"/>
        <v>12275</v>
      </c>
      <c r="AD282" s="27">
        <f t="shared" si="305"/>
        <v>12275</v>
      </c>
      <c r="AE282" s="25">
        <f>IFERROR(_xlfn.XLOOKUP(N282&amp;P282,'Historico Vendas'!G:G,'Historico Vendas'!E:E),0)</f>
        <v>0</v>
      </c>
      <c r="AF282" s="29" t="str">
        <f t="shared" si="267"/>
        <v/>
      </c>
      <c r="AG282" s="24">
        <f>IFERROR(_xlfn.XLOOKUP(N282&amp;P282,'Historico Vendas'!G:G,'Historico Vendas'!F:F),0)</f>
        <v>0</v>
      </c>
      <c r="AH282" s="25">
        <f t="shared" si="306"/>
        <v>0</v>
      </c>
      <c r="AI282" s="24">
        <f t="shared" si="307"/>
        <v>0</v>
      </c>
      <c r="AJ282" s="11" t="str">
        <f t="shared" si="270"/>
        <v/>
      </c>
      <c r="AK282" s="9" t="s">
        <v>102</v>
      </c>
      <c r="AL282" s="13">
        <f>IFERROR(INDEX('Balizador da Meta'!$D$3:$F$23,MATCH(Faturamento!$P282,'Balizador da Meta'!$C$3:$C$23,0),MATCH(Faturamento!AK282,'Balizador da Meta'!$D$2:$F$2,0)),"")</f>
        <v>0</v>
      </c>
      <c r="AM282" s="9"/>
    </row>
    <row r="283" spans="1:39" x14ac:dyDescent="0.3">
      <c r="A283" s="2" t="str">
        <f t="shared" si="268"/>
        <v>NÃO</v>
      </c>
      <c r="B283" s="2" t="str">
        <f>_xlfn.XLOOKUP($N283,'Base de Grupos'!$A:$A,'Base de Grupos'!$D:$D)</f>
        <v>1000065763</v>
      </c>
      <c r="C283" s="5" t="str">
        <f>_xlfn.XLOOKUP($N283,'Base de Grupos'!$A:$A,'Base de Grupos'!$E:$E)</f>
        <v>CANAL VENDA INTERNA</v>
      </c>
      <c r="D283" s="5" t="str">
        <f>_xlfn.XLOOKUP($N283,'Base de Grupos'!$A:$A,'Base de Grupos'!$F:$F)</f>
        <v>1000065763</v>
      </c>
      <c r="E283" s="2" t="str">
        <f>_xlfn.XLOOKUP($N283,'Base de Grupos'!$A:$A,'Base de Grupos'!$G:$G)</f>
        <v>CANAL VENDA INTERNA</v>
      </c>
      <c r="F283" s="2" t="str">
        <f>_xlfn.XLOOKUP($N283,'Base de Grupos'!$A:$A,'Base de Grupos'!$H:$H)</f>
        <v>1000105900</v>
      </c>
      <c r="G283" s="5" t="str">
        <f>_xlfn.XLOOKUP($N283,'Base de Grupos'!$A:$A,'Base de Grupos'!$I:$I)</f>
        <v>REGIONAL VENDA DIRETA CO + NE + NO</v>
      </c>
      <c r="H283" s="5" t="str">
        <f>_xlfn.XLOOKUP($N283,'Base de Grupos'!$A:$A,'Base de Grupos'!$J:$J)</f>
        <v>1000105900</v>
      </c>
      <c r="I283" s="2" t="str">
        <f>_xlfn.XLOOKUP($N283,'Base de Grupos'!$A:$A,'Base de Grupos'!$K:$K)</f>
        <v>REGIONAL VENDA DIRETA CO + NE + NO</v>
      </c>
      <c r="J283" s="2" t="str">
        <f>_xlfn.XLOOKUP($N283,'Base de Grupos'!$A:$A,'Base de Grupos'!$L:$L)</f>
        <v>1000150135</v>
      </c>
      <c r="K283" s="5" t="str">
        <f>_xlfn.XLOOKUP($N283,'Base de Grupos'!$A:$A,'Base de Grupos'!$M:$M)</f>
        <v>HELDER DA SILVA BRUNKOW</v>
      </c>
      <c r="L283" s="5" t="str">
        <f t="shared" si="269"/>
        <v/>
      </c>
      <c r="M283" s="5" t="str">
        <f>_xlfn.XLOOKUP($N283,'Base de Grupos'!$A:$A,'Base de Grupos'!$C:$C)</f>
        <v>MS</v>
      </c>
      <c r="N283" s="3">
        <v>1353</v>
      </c>
      <c r="O283" s="4" t="s">
        <v>239</v>
      </c>
      <c r="P283" s="5" t="s">
        <v>89</v>
      </c>
      <c r="Q283" s="56">
        <v>0</v>
      </c>
      <c r="R283" s="56">
        <v>0</v>
      </c>
      <c r="S283" s="56">
        <v>0</v>
      </c>
      <c r="T283" s="56">
        <f>_xlfn.XLOOKUP($N283,'Calculo Leads'!$A$97:$A$134,'Calculo Leads'!G$97:G$134)*_xlfn.XLOOKUP($P283,'Base Grupo de Produtos'!$E$2:$E$18,'Base Grupo de Produtos'!$F$2:$F$18)</f>
        <v>150</v>
      </c>
      <c r="U283" s="56">
        <f>_xlfn.XLOOKUP($N283,'Calculo Leads'!$A$97:$A$134,'Calculo Leads'!H$97:H$134)*_xlfn.XLOOKUP($P283,'Base Grupo de Produtos'!$E$2:$E$18,'Base Grupo de Produtos'!$F$2:$F$18)</f>
        <v>150</v>
      </c>
      <c r="V283" s="56">
        <f>_xlfn.XLOOKUP($N283,'Calculo Leads'!$A$97:$A$134,'Calculo Leads'!I$97:I$134)*_xlfn.XLOOKUP($P283,'Base Grupo de Produtos'!$E$2:$E$18,'Base Grupo de Produtos'!$F$2:$F$18)</f>
        <v>200</v>
      </c>
      <c r="W283" s="56">
        <f>_xlfn.XLOOKUP($N283,'Calculo Leads'!$A$97:$A$134,'Calculo Leads'!J$97:J$134)*_xlfn.XLOOKUP($P283,'Base Grupo de Produtos'!$E$2:$E$18,'Base Grupo de Produtos'!$F$2:$F$18)</f>
        <v>250</v>
      </c>
      <c r="X283" s="56">
        <f>_xlfn.XLOOKUP($N283,'Calculo Leads'!$A$97:$A$134,'Calculo Leads'!K$97:K$134)*_xlfn.XLOOKUP($P283,'Base Grupo de Produtos'!$E$2:$E$18,'Base Grupo de Produtos'!$F$2:$F$18)</f>
        <v>275</v>
      </c>
      <c r="Y283" s="56">
        <f>_xlfn.XLOOKUP($N283,'Calculo Leads'!$A$97:$A$134,'Calculo Leads'!L$97:L$134)*_xlfn.XLOOKUP($P283,'Base Grupo de Produtos'!$E$2:$E$18,'Base Grupo de Produtos'!$F$2:$F$18)</f>
        <v>330</v>
      </c>
      <c r="Z283" s="56">
        <f>_xlfn.XLOOKUP($N283,'Calculo Leads'!$A$97:$A$134,'Calculo Leads'!M$97:M$134)*_xlfn.XLOOKUP($P283,'Base Grupo de Produtos'!$E$2:$E$18,'Base Grupo de Produtos'!$F$2:$F$18)</f>
        <v>385</v>
      </c>
      <c r="AA283" s="56">
        <f>_xlfn.XLOOKUP($N283,'Calculo Leads'!$A$97:$A$134,'Calculo Leads'!N$97:N$134)*_xlfn.XLOOKUP($P283,'Base Grupo de Produtos'!$E$2:$E$18,'Base Grupo de Produtos'!$F$2:$F$18)</f>
        <v>440</v>
      </c>
      <c r="AB283" s="56">
        <f>_xlfn.XLOOKUP($N283,'Calculo Leads'!$A$97:$A$134,'Calculo Leads'!O$97:O$134)*_xlfn.XLOOKUP($P283,'Base Grupo de Produtos'!$E$2:$E$18,'Base Grupo de Produtos'!$F$2:$F$18)</f>
        <v>275</v>
      </c>
      <c r="AC283" s="61">
        <f t="shared" si="289"/>
        <v>2455</v>
      </c>
      <c r="AD283" s="27">
        <f t="shared" si="305"/>
        <v>2455</v>
      </c>
      <c r="AE283" s="25">
        <f>IFERROR(_xlfn.XLOOKUP(N283&amp;P283,'Historico Vendas'!G:G,'Historico Vendas'!E:E),0)</f>
        <v>0</v>
      </c>
      <c r="AF283" s="29" t="str">
        <f t="shared" si="267"/>
        <v/>
      </c>
      <c r="AG283" s="24">
        <f>IFERROR(_xlfn.XLOOKUP(N283&amp;P283,'Historico Vendas'!G:G,'Historico Vendas'!F:F),0)</f>
        <v>0</v>
      </c>
      <c r="AH283" s="25">
        <f t="shared" si="306"/>
        <v>0</v>
      </c>
      <c r="AI283" s="24">
        <f t="shared" si="307"/>
        <v>0</v>
      </c>
      <c r="AJ283" s="11" t="str">
        <f t="shared" si="270"/>
        <v/>
      </c>
      <c r="AK283" s="9" t="s">
        <v>102</v>
      </c>
      <c r="AL283" s="13">
        <f>IFERROR(INDEX('Balizador da Meta'!$D$3:$F$23,MATCH(Faturamento!$P283,'Balizador da Meta'!$C$3:$C$23,0),MATCH(Faturamento!AK283,'Balizador da Meta'!$D$2:$F$2,0)),"")</f>
        <v>0.25</v>
      </c>
      <c r="AM283" s="9"/>
    </row>
    <row r="284" spans="1:39" x14ac:dyDescent="0.3">
      <c r="A284" s="2" t="str">
        <f t="shared" si="268"/>
        <v>NÃO</v>
      </c>
      <c r="B284" s="2" t="str">
        <f>_xlfn.XLOOKUP($N284,'Base de Grupos'!$A:$A,'Base de Grupos'!$D:$D)</f>
        <v>1000065763</v>
      </c>
      <c r="C284" s="5" t="str">
        <f>_xlfn.XLOOKUP($N284,'Base de Grupos'!$A:$A,'Base de Grupos'!$E:$E)</f>
        <v>CANAL VENDA INTERNA</v>
      </c>
      <c r="D284" s="5" t="str">
        <f>_xlfn.XLOOKUP($N284,'Base de Grupos'!$A:$A,'Base de Grupos'!$F:$F)</f>
        <v>1000065763</v>
      </c>
      <c r="E284" s="2" t="str">
        <f>_xlfn.XLOOKUP($N284,'Base de Grupos'!$A:$A,'Base de Grupos'!$G:$G)</f>
        <v>CANAL VENDA INTERNA</v>
      </c>
      <c r="F284" s="2" t="str">
        <f>_xlfn.XLOOKUP($N284,'Base de Grupos'!$A:$A,'Base de Grupos'!$H:$H)</f>
        <v>1000105900</v>
      </c>
      <c r="G284" s="5" t="str">
        <f>_xlfn.XLOOKUP($N284,'Base de Grupos'!$A:$A,'Base de Grupos'!$I:$I)</f>
        <v>REGIONAL VENDA DIRETA CO + NE + NO</v>
      </c>
      <c r="H284" s="5" t="str">
        <f>_xlfn.XLOOKUP($N284,'Base de Grupos'!$A:$A,'Base de Grupos'!$J:$J)</f>
        <v>1000105900</v>
      </c>
      <c r="I284" s="2" t="str">
        <f>_xlfn.XLOOKUP($N284,'Base de Grupos'!$A:$A,'Base de Grupos'!$K:$K)</f>
        <v>REGIONAL VENDA DIRETA CO + NE + NO</v>
      </c>
      <c r="J284" s="2" t="str">
        <f>_xlfn.XLOOKUP($N284,'Base de Grupos'!$A:$A,'Base de Grupos'!$L:$L)</f>
        <v>1000150135</v>
      </c>
      <c r="K284" s="5" t="str">
        <f>_xlfn.XLOOKUP($N284,'Base de Grupos'!$A:$A,'Base de Grupos'!$M:$M)</f>
        <v>HELDER DA SILVA BRUNKOW</v>
      </c>
      <c r="L284" s="5" t="str">
        <f t="shared" si="269"/>
        <v/>
      </c>
      <c r="M284" s="5" t="str">
        <f>_xlfn.XLOOKUP($N284,'Base de Grupos'!$A:$A,'Base de Grupos'!$C:$C)</f>
        <v>MS</v>
      </c>
      <c r="N284" s="3">
        <v>1353</v>
      </c>
      <c r="O284" s="4" t="s">
        <v>239</v>
      </c>
      <c r="P284" s="5" t="s">
        <v>88</v>
      </c>
      <c r="Q284" s="56">
        <v>0</v>
      </c>
      <c r="R284" s="56">
        <v>0</v>
      </c>
      <c r="S284" s="56">
        <v>0</v>
      </c>
      <c r="T284" s="56">
        <f>_xlfn.XLOOKUP($N284,'Calculo Leads'!$A$97:$A$134,'Calculo Leads'!G$97:G$134)*_xlfn.XLOOKUP($P284,'Base Grupo de Produtos'!$E$2:$E$18,'Base Grupo de Produtos'!$F$2:$F$18)</f>
        <v>150</v>
      </c>
      <c r="U284" s="56">
        <f>_xlfn.XLOOKUP($N284,'Calculo Leads'!$A$97:$A$134,'Calculo Leads'!H$97:H$134)*_xlfn.XLOOKUP($P284,'Base Grupo de Produtos'!$E$2:$E$18,'Base Grupo de Produtos'!$F$2:$F$18)</f>
        <v>150</v>
      </c>
      <c r="V284" s="56">
        <f>_xlfn.XLOOKUP($N284,'Calculo Leads'!$A$97:$A$134,'Calculo Leads'!I$97:I$134)*_xlfn.XLOOKUP($P284,'Base Grupo de Produtos'!$E$2:$E$18,'Base Grupo de Produtos'!$F$2:$F$18)</f>
        <v>200</v>
      </c>
      <c r="W284" s="56">
        <f>_xlfn.XLOOKUP($N284,'Calculo Leads'!$A$97:$A$134,'Calculo Leads'!J$97:J$134)*_xlfn.XLOOKUP($P284,'Base Grupo de Produtos'!$E$2:$E$18,'Base Grupo de Produtos'!$F$2:$F$18)</f>
        <v>250</v>
      </c>
      <c r="X284" s="56">
        <f>_xlfn.XLOOKUP($N284,'Calculo Leads'!$A$97:$A$134,'Calculo Leads'!K$97:K$134)*_xlfn.XLOOKUP($P284,'Base Grupo de Produtos'!$E$2:$E$18,'Base Grupo de Produtos'!$F$2:$F$18)</f>
        <v>275</v>
      </c>
      <c r="Y284" s="56">
        <f>_xlfn.XLOOKUP($N284,'Calculo Leads'!$A$97:$A$134,'Calculo Leads'!L$97:L$134)*_xlfn.XLOOKUP($P284,'Base Grupo de Produtos'!$E$2:$E$18,'Base Grupo de Produtos'!$F$2:$F$18)</f>
        <v>330</v>
      </c>
      <c r="Z284" s="56">
        <f>_xlfn.XLOOKUP($N284,'Calculo Leads'!$A$97:$A$134,'Calculo Leads'!M$97:M$134)*_xlfn.XLOOKUP($P284,'Base Grupo de Produtos'!$E$2:$E$18,'Base Grupo de Produtos'!$F$2:$F$18)</f>
        <v>385</v>
      </c>
      <c r="AA284" s="56">
        <f>_xlfn.XLOOKUP($N284,'Calculo Leads'!$A$97:$A$134,'Calculo Leads'!N$97:N$134)*_xlfn.XLOOKUP($P284,'Base Grupo de Produtos'!$E$2:$E$18,'Base Grupo de Produtos'!$F$2:$F$18)</f>
        <v>440</v>
      </c>
      <c r="AB284" s="56">
        <f>_xlfn.XLOOKUP($N284,'Calculo Leads'!$A$97:$A$134,'Calculo Leads'!O$97:O$134)*_xlfn.XLOOKUP($P284,'Base Grupo de Produtos'!$E$2:$E$18,'Base Grupo de Produtos'!$F$2:$F$18)</f>
        <v>275</v>
      </c>
      <c r="AC284" s="61">
        <f t="shared" si="289"/>
        <v>2455</v>
      </c>
      <c r="AD284" s="27">
        <f t="shared" si="305"/>
        <v>2455</v>
      </c>
      <c r="AE284" s="25">
        <f>IFERROR(_xlfn.XLOOKUP(N284&amp;P284,'Historico Vendas'!G:G,'Historico Vendas'!E:E),0)</f>
        <v>0</v>
      </c>
      <c r="AF284" s="29" t="str">
        <f t="shared" si="267"/>
        <v/>
      </c>
      <c r="AG284" s="24">
        <f>IFERROR(_xlfn.XLOOKUP(N284&amp;P284,'Historico Vendas'!G:G,'Historico Vendas'!F:F),0)</f>
        <v>0</v>
      </c>
      <c r="AH284" s="25">
        <f t="shared" si="306"/>
        <v>0</v>
      </c>
      <c r="AI284" s="24">
        <f t="shared" si="307"/>
        <v>0</v>
      </c>
      <c r="AJ284" s="11" t="str">
        <f t="shared" si="270"/>
        <v/>
      </c>
      <c r="AK284" s="9" t="s">
        <v>102</v>
      </c>
      <c r="AL284" s="13">
        <f>IFERROR(INDEX('Balizador da Meta'!$D$3:$F$23,MATCH(Faturamento!$P284,'Balizador da Meta'!$C$3:$C$23,0),MATCH(Faturamento!AK284,'Balizador da Meta'!$D$2:$F$2,0)),"")</f>
        <v>0</v>
      </c>
      <c r="AM284" s="9"/>
    </row>
    <row r="285" spans="1:39" x14ac:dyDescent="0.3">
      <c r="A285" s="2" t="str">
        <f t="shared" si="268"/>
        <v>NÃO</v>
      </c>
      <c r="B285" s="2" t="str">
        <f>_xlfn.XLOOKUP($N285,'Base de Grupos'!$A:$A,'Base de Grupos'!$D:$D)</f>
        <v>1000065763</v>
      </c>
      <c r="C285" s="5" t="str">
        <f>_xlfn.XLOOKUP($N285,'Base de Grupos'!$A:$A,'Base de Grupos'!$E:$E)</f>
        <v>CANAL VENDA INTERNA</v>
      </c>
      <c r="D285" s="5" t="str">
        <f>_xlfn.XLOOKUP($N285,'Base de Grupos'!$A:$A,'Base de Grupos'!$F:$F)</f>
        <v>1000065763</v>
      </c>
      <c r="E285" s="2" t="str">
        <f>_xlfn.XLOOKUP($N285,'Base de Grupos'!$A:$A,'Base de Grupos'!$G:$G)</f>
        <v>CANAL VENDA INTERNA</v>
      </c>
      <c r="F285" s="2" t="str">
        <f>_xlfn.XLOOKUP($N285,'Base de Grupos'!$A:$A,'Base de Grupos'!$H:$H)</f>
        <v>1000105900</v>
      </c>
      <c r="G285" s="5" t="str">
        <f>_xlfn.XLOOKUP($N285,'Base de Grupos'!$A:$A,'Base de Grupos'!$I:$I)</f>
        <v>REGIONAL VENDA DIRETA CO + NE + NO</v>
      </c>
      <c r="H285" s="5" t="str">
        <f>_xlfn.XLOOKUP($N285,'Base de Grupos'!$A:$A,'Base de Grupos'!$J:$J)</f>
        <v>1000105900</v>
      </c>
      <c r="I285" s="2" t="str">
        <f>_xlfn.XLOOKUP($N285,'Base de Grupos'!$A:$A,'Base de Grupos'!$K:$K)</f>
        <v>REGIONAL VENDA DIRETA CO + NE + NO</v>
      </c>
      <c r="J285" s="2" t="str">
        <f>_xlfn.XLOOKUP($N285,'Base de Grupos'!$A:$A,'Base de Grupos'!$L:$L)</f>
        <v>1000150135</v>
      </c>
      <c r="K285" s="5" t="str">
        <f>_xlfn.XLOOKUP($N285,'Base de Grupos'!$A:$A,'Base de Grupos'!$M:$M)</f>
        <v>HELDER DA SILVA BRUNKOW</v>
      </c>
      <c r="L285" s="5" t="str">
        <f t="shared" si="269"/>
        <v/>
      </c>
      <c r="M285" s="5" t="str">
        <f>_xlfn.XLOOKUP($N285,'Base de Grupos'!$A:$A,'Base de Grupos'!$C:$C)</f>
        <v>MS</v>
      </c>
      <c r="N285" s="3">
        <v>1353</v>
      </c>
      <c r="O285" s="4" t="s">
        <v>239</v>
      </c>
      <c r="P285" s="5" t="s">
        <v>90</v>
      </c>
      <c r="Q285" s="56">
        <v>0</v>
      </c>
      <c r="R285" s="56">
        <v>0</v>
      </c>
      <c r="S285" s="56">
        <v>0</v>
      </c>
      <c r="T285" s="56">
        <f>_xlfn.XLOOKUP($N285,'Calculo Leads'!$A$97:$A$134,'Calculo Leads'!G$97:G$134)*_xlfn.XLOOKUP($P285,'Base Grupo de Produtos'!$E$2:$E$18,'Base Grupo de Produtos'!$F$2:$F$18)</f>
        <v>150</v>
      </c>
      <c r="U285" s="56">
        <f>_xlfn.XLOOKUP($N285,'Calculo Leads'!$A$97:$A$134,'Calculo Leads'!H$97:H$134)*_xlfn.XLOOKUP($P285,'Base Grupo de Produtos'!$E$2:$E$18,'Base Grupo de Produtos'!$F$2:$F$18)</f>
        <v>150</v>
      </c>
      <c r="V285" s="56">
        <f>_xlfn.XLOOKUP($N285,'Calculo Leads'!$A$97:$A$134,'Calculo Leads'!I$97:I$134)*_xlfn.XLOOKUP($P285,'Base Grupo de Produtos'!$E$2:$E$18,'Base Grupo de Produtos'!$F$2:$F$18)</f>
        <v>200</v>
      </c>
      <c r="W285" s="56">
        <f>_xlfn.XLOOKUP($N285,'Calculo Leads'!$A$97:$A$134,'Calculo Leads'!J$97:J$134)*_xlfn.XLOOKUP($P285,'Base Grupo de Produtos'!$E$2:$E$18,'Base Grupo de Produtos'!$F$2:$F$18)</f>
        <v>250</v>
      </c>
      <c r="X285" s="56">
        <f>_xlfn.XLOOKUP($N285,'Calculo Leads'!$A$97:$A$134,'Calculo Leads'!K$97:K$134)*_xlfn.XLOOKUP($P285,'Base Grupo de Produtos'!$E$2:$E$18,'Base Grupo de Produtos'!$F$2:$F$18)</f>
        <v>275</v>
      </c>
      <c r="Y285" s="56">
        <f>_xlfn.XLOOKUP($N285,'Calculo Leads'!$A$97:$A$134,'Calculo Leads'!L$97:L$134)*_xlfn.XLOOKUP($P285,'Base Grupo de Produtos'!$E$2:$E$18,'Base Grupo de Produtos'!$F$2:$F$18)</f>
        <v>330</v>
      </c>
      <c r="Z285" s="56">
        <f>_xlfn.XLOOKUP($N285,'Calculo Leads'!$A$97:$A$134,'Calculo Leads'!M$97:M$134)*_xlfn.XLOOKUP($P285,'Base Grupo de Produtos'!$E$2:$E$18,'Base Grupo de Produtos'!$F$2:$F$18)</f>
        <v>385</v>
      </c>
      <c r="AA285" s="56">
        <f>_xlfn.XLOOKUP($N285,'Calculo Leads'!$A$97:$A$134,'Calculo Leads'!N$97:N$134)*_xlfn.XLOOKUP($P285,'Base Grupo de Produtos'!$E$2:$E$18,'Base Grupo de Produtos'!$F$2:$F$18)</f>
        <v>440</v>
      </c>
      <c r="AB285" s="56">
        <f>_xlfn.XLOOKUP($N285,'Calculo Leads'!$A$97:$A$134,'Calculo Leads'!O$97:O$134)*_xlfn.XLOOKUP($P285,'Base Grupo de Produtos'!$E$2:$E$18,'Base Grupo de Produtos'!$F$2:$F$18)</f>
        <v>275</v>
      </c>
      <c r="AC285" s="61">
        <f t="shared" si="289"/>
        <v>2455</v>
      </c>
      <c r="AD285" s="27">
        <f t="shared" si="305"/>
        <v>2455</v>
      </c>
      <c r="AE285" s="25">
        <f>IFERROR(_xlfn.XLOOKUP(N285&amp;P285,'Historico Vendas'!G:G,'Historico Vendas'!E:E),0)</f>
        <v>0</v>
      </c>
      <c r="AF285" s="29" t="str">
        <f t="shared" si="267"/>
        <v/>
      </c>
      <c r="AG285" s="24">
        <f>IFERROR(_xlfn.XLOOKUP(N285&amp;P285,'Historico Vendas'!G:G,'Historico Vendas'!F:F),0)</f>
        <v>0</v>
      </c>
      <c r="AH285" s="25">
        <f t="shared" si="306"/>
        <v>0</v>
      </c>
      <c r="AI285" s="24">
        <f t="shared" si="307"/>
        <v>0</v>
      </c>
      <c r="AJ285" s="11" t="str">
        <f t="shared" si="270"/>
        <v/>
      </c>
      <c r="AK285" s="9" t="s">
        <v>102</v>
      </c>
      <c r="AL285" s="13">
        <f>IFERROR(INDEX('Balizador da Meta'!$D$3:$F$23,MATCH(Faturamento!$P285,'Balizador da Meta'!$C$3:$C$23,0),MATCH(Faturamento!AK285,'Balizador da Meta'!$D$2:$F$2,0)),"")</f>
        <v>0</v>
      </c>
      <c r="AM285" s="9"/>
    </row>
    <row r="286" spans="1:39" x14ac:dyDescent="0.3">
      <c r="A286" s="2" t="str">
        <f t="shared" si="268"/>
        <v>NÃO</v>
      </c>
      <c r="B286" s="2" t="str">
        <f>_xlfn.XLOOKUP($N286,'Base de Grupos'!$A:$A,'Base de Grupos'!$D:$D)</f>
        <v>1000065763</v>
      </c>
      <c r="C286" s="5" t="str">
        <f>_xlfn.XLOOKUP($N286,'Base de Grupos'!$A:$A,'Base de Grupos'!$E:$E)</f>
        <v>CANAL VENDA INTERNA</v>
      </c>
      <c r="D286" s="5" t="str">
        <f>_xlfn.XLOOKUP($N286,'Base de Grupos'!$A:$A,'Base de Grupos'!$F:$F)</f>
        <v>1000065763</v>
      </c>
      <c r="E286" s="2" t="str">
        <f>_xlfn.XLOOKUP($N286,'Base de Grupos'!$A:$A,'Base de Grupos'!$G:$G)</f>
        <v>CANAL VENDA INTERNA</v>
      </c>
      <c r="F286" s="2" t="str">
        <f>_xlfn.XLOOKUP($N286,'Base de Grupos'!$A:$A,'Base de Grupos'!$H:$H)</f>
        <v>1000105900</v>
      </c>
      <c r="G286" s="5" t="str">
        <f>_xlfn.XLOOKUP($N286,'Base de Grupos'!$A:$A,'Base de Grupos'!$I:$I)</f>
        <v>REGIONAL VENDA DIRETA CO + NE + NO</v>
      </c>
      <c r="H286" s="5" t="str">
        <f>_xlfn.XLOOKUP($N286,'Base de Grupos'!$A:$A,'Base de Grupos'!$J:$J)</f>
        <v>1000105900</v>
      </c>
      <c r="I286" s="2" t="str">
        <f>_xlfn.XLOOKUP($N286,'Base de Grupos'!$A:$A,'Base de Grupos'!$K:$K)</f>
        <v>REGIONAL VENDA DIRETA CO + NE + NO</v>
      </c>
      <c r="J286" s="2" t="str">
        <f>_xlfn.XLOOKUP($N286,'Base de Grupos'!$A:$A,'Base de Grupos'!$L:$L)</f>
        <v>1000150135</v>
      </c>
      <c r="K286" s="5" t="str">
        <f>_xlfn.XLOOKUP($N286,'Base de Grupos'!$A:$A,'Base de Grupos'!$M:$M)</f>
        <v>HELDER DA SILVA BRUNKOW</v>
      </c>
      <c r="L286" s="5" t="str">
        <f t="shared" si="269"/>
        <v/>
      </c>
      <c r="M286" s="5" t="str">
        <f>_xlfn.XLOOKUP($N286,'Base de Grupos'!$A:$A,'Base de Grupos'!$C:$C)</f>
        <v>MS</v>
      </c>
      <c r="N286" s="3">
        <v>1353</v>
      </c>
      <c r="O286" s="4" t="s">
        <v>239</v>
      </c>
      <c r="P286" s="5" t="s">
        <v>91</v>
      </c>
      <c r="Q286" s="56">
        <v>0</v>
      </c>
      <c r="R286" s="56">
        <v>0</v>
      </c>
      <c r="S286" s="56">
        <v>0</v>
      </c>
      <c r="T286" s="56">
        <f>_xlfn.XLOOKUP($N286,'Calculo Leads'!$A$97:$A$134,'Calculo Leads'!G$97:G$134)*_xlfn.XLOOKUP($P286,'Base Grupo de Produtos'!$E$2:$E$18,'Base Grupo de Produtos'!$F$2:$F$18)</f>
        <v>0</v>
      </c>
      <c r="U286" s="56">
        <f>_xlfn.XLOOKUP($N286,'Calculo Leads'!$A$97:$A$134,'Calculo Leads'!H$97:H$134)*_xlfn.XLOOKUP($P286,'Base Grupo de Produtos'!$E$2:$E$18,'Base Grupo de Produtos'!$F$2:$F$18)</f>
        <v>0</v>
      </c>
      <c r="V286" s="56">
        <f>_xlfn.XLOOKUP($N286,'Calculo Leads'!$A$97:$A$134,'Calculo Leads'!I$97:I$134)*_xlfn.XLOOKUP($P286,'Base Grupo de Produtos'!$E$2:$E$18,'Base Grupo de Produtos'!$F$2:$F$18)</f>
        <v>0</v>
      </c>
      <c r="W286" s="56">
        <f>_xlfn.XLOOKUP($N286,'Calculo Leads'!$A$97:$A$134,'Calculo Leads'!J$97:J$134)*_xlfn.XLOOKUP($P286,'Base Grupo de Produtos'!$E$2:$E$18,'Base Grupo de Produtos'!$F$2:$F$18)</f>
        <v>0</v>
      </c>
      <c r="X286" s="56">
        <f>_xlfn.XLOOKUP($N286,'Calculo Leads'!$A$97:$A$134,'Calculo Leads'!K$97:K$134)*_xlfn.XLOOKUP($P286,'Base Grupo de Produtos'!$E$2:$E$18,'Base Grupo de Produtos'!$F$2:$F$18)</f>
        <v>0</v>
      </c>
      <c r="Y286" s="56">
        <f>_xlfn.XLOOKUP($N286,'Calculo Leads'!$A$97:$A$134,'Calculo Leads'!L$97:L$134)*_xlfn.XLOOKUP($P286,'Base Grupo de Produtos'!$E$2:$E$18,'Base Grupo de Produtos'!$F$2:$F$18)</f>
        <v>0</v>
      </c>
      <c r="Z286" s="56">
        <f>_xlfn.XLOOKUP($N286,'Calculo Leads'!$A$97:$A$134,'Calculo Leads'!M$97:M$134)*_xlfn.XLOOKUP($P286,'Base Grupo de Produtos'!$E$2:$E$18,'Base Grupo de Produtos'!$F$2:$F$18)</f>
        <v>0</v>
      </c>
      <c r="AA286" s="56">
        <f>_xlfn.XLOOKUP($N286,'Calculo Leads'!$A$97:$A$134,'Calculo Leads'!N$97:N$134)*_xlfn.XLOOKUP($P286,'Base Grupo de Produtos'!$E$2:$E$18,'Base Grupo de Produtos'!$F$2:$F$18)</f>
        <v>0</v>
      </c>
      <c r="AB286" s="56">
        <f>_xlfn.XLOOKUP($N286,'Calculo Leads'!$A$97:$A$134,'Calculo Leads'!O$97:O$134)*_xlfn.XLOOKUP($P286,'Base Grupo de Produtos'!$E$2:$E$18,'Base Grupo de Produtos'!$F$2:$F$18)</f>
        <v>0</v>
      </c>
      <c r="AC286" s="61">
        <f t="shared" si="289"/>
        <v>0</v>
      </c>
      <c r="AD286" s="27">
        <f t="shared" si="305"/>
        <v>0</v>
      </c>
      <c r="AE286" s="25">
        <f>IFERROR(_xlfn.XLOOKUP(N286&amp;P286,'Historico Vendas'!G:G,'Historico Vendas'!E:E),0)</f>
        <v>0</v>
      </c>
      <c r="AF286" s="29" t="str">
        <f t="shared" si="267"/>
        <v/>
      </c>
      <c r="AG286" s="24">
        <f>IFERROR(_xlfn.XLOOKUP(N286&amp;P286,'Historico Vendas'!G:G,'Historico Vendas'!F:F),0)</f>
        <v>0</v>
      </c>
      <c r="AH286" s="25">
        <f t="shared" si="306"/>
        <v>0</v>
      </c>
      <c r="AI286" s="24">
        <f t="shared" si="307"/>
        <v>0</v>
      </c>
      <c r="AJ286" s="11" t="str">
        <f t="shared" si="270"/>
        <v/>
      </c>
      <c r="AK286" s="9" t="s">
        <v>102</v>
      </c>
      <c r="AL286" s="13">
        <f>IFERROR(INDEX('Balizador da Meta'!$D$3:$F$23,MATCH(Faturamento!$P286,'Balizador da Meta'!$C$3:$C$23,0),MATCH(Faturamento!AK286,'Balizador da Meta'!$D$2:$F$2,0)),"")</f>
        <v>0</v>
      </c>
      <c r="AM286" s="9"/>
    </row>
    <row r="287" spans="1:39" x14ac:dyDescent="0.3">
      <c r="A287" s="2" t="str">
        <f t="shared" si="268"/>
        <v>NÃO</v>
      </c>
      <c r="B287" s="2" t="str">
        <f>_xlfn.XLOOKUP($N287,'Base de Grupos'!$A:$A,'Base de Grupos'!$D:$D)</f>
        <v>1000065763</v>
      </c>
      <c r="C287" s="5" t="str">
        <f>_xlfn.XLOOKUP($N287,'Base de Grupos'!$A:$A,'Base de Grupos'!$E:$E)</f>
        <v>CANAL VENDA INTERNA</v>
      </c>
      <c r="D287" s="5" t="str">
        <f>_xlfn.XLOOKUP($N287,'Base de Grupos'!$A:$A,'Base de Grupos'!$F:$F)</f>
        <v>1000065763</v>
      </c>
      <c r="E287" s="2" t="str">
        <f>_xlfn.XLOOKUP($N287,'Base de Grupos'!$A:$A,'Base de Grupos'!$G:$G)</f>
        <v>CANAL VENDA INTERNA</v>
      </c>
      <c r="F287" s="2" t="str">
        <f>_xlfn.XLOOKUP($N287,'Base de Grupos'!$A:$A,'Base de Grupos'!$H:$H)</f>
        <v>1000105900</v>
      </c>
      <c r="G287" s="5" t="str">
        <f>_xlfn.XLOOKUP($N287,'Base de Grupos'!$A:$A,'Base de Grupos'!$I:$I)</f>
        <v>REGIONAL VENDA DIRETA CO + NE + NO</v>
      </c>
      <c r="H287" s="5" t="str">
        <f>_xlfn.XLOOKUP($N287,'Base de Grupos'!$A:$A,'Base de Grupos'!$J:$J)</f>
        <v>1000105900</v>
      </c>
      <c r="I287" s="2" t="str">
        <f>_xlfn.XLOOKUP($N287,'Base de Grupos'!$A:$A,'Base de Grupos'!$K:$K)</f>
        <v>REGIONAL VENDA DIRETA CO + NE + NO</v>
      </c>
      <c r="J287" s="2" t="str">
        <f>_xlfn.XLOOKUP($N287,'Base de Grupos'!$A:$A,'Base de Grupos'!$L:$L)</f>
        <v>1000150135</v>
      </c>
      <c r="K287" s="5" t="str">
        <f>_xlfn.XLOOKUP($N287,'Base de Grupos'!$A:$A,'Base de Grupos'!$M:$M)</f>
        <v>HELDER DA SILVA BRUNKOW</v>
      </c>
      <c r="L287" s="5" t="str">
        <f t="shared" si="269"/>
        <v/>
      </c>
      <c r="M287" s="5" t="str">
        <f>_xlfn.XLOOKUP($N287,'Base de Grupos'!$A:$A,'Base de Grupos'!$C:$C)</f>
        <v>MS</v>
      </c>
      <c r="N287" s="3">
        <v>1353</v>
      </c>
      <c r="O287" s="4" t="s">
        <v>239</v>
      </c>
      <c r="P287" s="5" t="s">
        <v>96</v>
      </c>
      <c r="Q287" s="56">
        <v>0</v>
      </c>
      <c r="R287" s="56">
        <v>0</v>
      </c>
      <c r="S287" s="56">
        <v>0</v>
      </c>
      <c r="T287" s="56">
        <f>_xlfn.XLOOKUP($N287,'Calculo Leads'!$A$97:$A$134,'Calculo Leads'!G$97:G$134)*_xlfn.XLOOKUP($P287,'Base Grupo de Produtos'!$E$2:$E$18,'Base Grupo de Produtos'!$F$2:$F$18)</f>
        <v>210.00000000000003</v>
      </c>
      <c r="U287" s="56">
        <f>_xlfn.XLOOKUP($N287,'Calculo Leads'!$A$97:$A$134,'Calculo Leads'!H$97:H$134)*_xlfn.XLOOKUP($P287,'Base Grupo de Produtos'!$E$2:$E$18,'Base Grupo de Produtos'!$F$2:$F$18)</f>
        <v>210.00000000000003</v>
      </c>
      <c r="V287" s="56">
        <f>_xlfn.XLOOKUP($N287,'Calculo Leads'!$A$97:$A$134,'Calculo Leads'!I$97:I$134)*_xlfn.XLOOKUP($P287,'Base Grupo de Produtos'!$E$2:$E$18,'Base Grupo de Produtos'!$F$2:$F$18)</f>
        <v>280</v>
      </c>
      <c r="W287" s="56">
        <f>_xlfn.XLOOKUP($N287,'Calculo Leads'!$A$97:$A$134,'Calculo Leads'!J$97:J$134)*_xlfn.XLOOKUP($P287,'Base Grupo de Produtos'!$E$2:$E$18,'Base Grupo de Produtos'!$F$2:$F$18)</f>
        <v>350.00000000000006</v>
      </c>
      <c r="X287" s="56">
        <f>_xlfn.XLOOKUP($N287,'Calculo Leads'!$A$97:$A$134,'Calculo Leads'!K$97:K$134)*_xlfn.XLOOKUP($P287,'Base Grupo de Produtos'!$E$2:$E$18,'Base Grupo de Produtos'!$F$2:$F$18)</f>
        <v>385.00000000000006</v>
      </c>
      <c r="Y287" s="56">
        <f>_xlfn.XLOOKUP($N287,'Calculo Leads'!$A$97:$A$134,'Calculo Leads'!L$97:L$134)*_xlfn.XLOOKUP($P287,'Base Grupo de Produtos'!$E$2:$E$18,'Base Grupo de Produtos'!$F$2:$F$18)</f>
        <v>462.00000000000006</v>
      </c>
      <c r="Z287" s="56">
        <f>_xlfn.XLOOKUP($N287,'Calculo Leads'!$A$97:$A$134,'Calculo Leads'!M$97:M$134)*_xlfn.XLOOKUP($P287,'Base Grupo de Produtos'!$E$2:$E$18,'Base Grupo de Produtos'!$F$2:$F$18)</f>
        <v>539</v>
      </c>
      <c r="AA287" s="56">
        <f>_xlfn.XLOOKUP($N287,'Calculo Leads'!$A$97:$A$134,'Calculo Leads'!N$97:N$134)*_xlfn.XLOOKUP($P287,'Base Grupo de Produtos'!$E$2:$E$18,'Base Grupo de Produtos'!$F$2:$F$18)</f>
        <v>616.00000000000011</v>
      </c>
      <c r="AB287" s="56">
        <f>_xlfn.XLOOKUP($N287,'Calculo Leads'!$A$97:$A$134,'Calculo Leads'!O$97:O$134)*_xlfn.XLOOKUP($P287,'Base Grupo de Produtos'!$E$2:$E$18,'Base Grupo de Produtos'!$F$2:$F$18)</f>
        <v>385.00000000000006</v>
      </c>
      <c r="AC287" s="61">
        <f t="shared" si="289"/>
        <v>3437</v>
      </c>
      <c r="AD287" s="27">
        <f t="shared" si="305"/>
        <v>3437</v>
      </c>
      <c r="AE287" s="25">
        <f>IFERROR(_xlfn.XLOOKUP(N287&amp;P287,'Historico Vendas'!G:G,'Historico Vendas'!E:E),0)</f>
        <v>0</v>
      </c>
      <c r="AF287" s="29" t="str">
        <f t="shared" si="267"/>
        <v/>
      </c>
      <c r="AG287" s="24">
        <f>IFERROR(_xlfn.XLOOKUP(N287&amp;P287,'Historico Vendas'!G:G,'Historico Vendas'!F:F),0)</f>
        <v>0</v>
      </c>
      <c r="AH287" s="25">
        <f t="shared" si="306"/>
        <v>0</v>
      </c>
      <c r="AI287" s="24">
        <f t="shared" si="307"/>
        <v>0</v>
      </c>
      <c r="AJ287" s="11" t="str">
        <f t="shared" si="270"/>
        <v/>
      </c>
      <c r="AK287" s="9" t="s">
        <v>102</v>
      </c>
      <c r="AL287" s="13">
        <f>IFERROR(INDEX('Balizador da Meta'!$D$3:$F$23,MATCH(Faturamento!$P287,'Balizador da Meta'!$C$3:$C$23,0),MATCH(Faturamento!AK287,'Balizador da Meta'!$D$2:$F$2,0)),"")</f>
        <v>0</v>
      </c>
      <c r="AM287" s="9"/>
    </row>
    <row r="288" spans="1:39" x14ac:dyDescent="0.3">
      <c r="A288" s="2" t="str">
        <f t="shared" si="268"/>
        <v>NÃO</v>
      </c>
      <c r="B288" s="2" t="str">
        <f>_xlfn.XLOOKUP($N288,'Base de Grupos'!$A:$A,'Base de Grupos'!$D:$D)</f>
        <v>1000065763</v>
      </c>
      <c r="C288" s="5" t="str">
        <f>_xlfn.XLOOKUP($N288,'Base de Grupos'!$A:$A,'Base de Grupos'!$E:$E)</f>
        <v>CANAL VENDA INTERNA</v>
      </c>
      <c r="D288" s="5" t="str">
        <f>_xlfn.XLOOKUP($N288,'Base de Grupos'!$A:$A,'Base de Grupos'!$F:$F)</f>
        <v>1000065763</v>
      </c>
      <c r="E288" s="2" t="str">
        <f>_xlfn.XLOOKUP($N288,'Base de Grupos'!$A:$A,'Base de Grupos'!$G:$G)</f>
        <v>CANAL VENDA INTERNA</v>
      </c>
      <c r="F288" s="2" t="str">
        <f>_xlfn.XLOOKUP($N288,'Base de Grupos'!$A:$A,'Base de Grupos'!$H:$H)</f>
        <v>1000105900</v>
      </c>
      <c r="G288" s="5" t="str">
        <f>_xlfn.XLOOKUP($N288,'Base de Grupos'!$A:$A,'Base de Grupos'!$I:$I)</f>
        <v>REGIONAL VENDA DIRETA CO + NE + NO</v>
      </c>
      <c r="H288" s="5" t="str">
        <f>_xlfn.XLOOKUP($N288,'Base de Grupos'!$A:$A,'Base de Grupos'!$J:$J)</f>
        <v>1000105900</v>
      </c>
      <c r="I288" s="2" t="str">
        <f>_xlfn.XLOOKUP($N288,'Base de Grupos'!$A:$A,'Base de Grupos'!$K:$K)</f>
        <v>REGIONAL VENDA DIRETA CO + NE + NO</v>
      </c>
      <c r="J288" s="2" t="str">
        <f>_xlfn.XLOOKUP($N288,'Base de Grupos'!$A:$A,'Base de Grupos'!$L:$L)</f>
        <v>1000150135</v>
      </c>
      <c r="K288" s="5" t="str">
        <f>_xlfn.XLOOKUP($N288,'Base de Grupos'!$A:$A,'Base de Grupos'!$M:$M)</f>
        <v>HELDER DA SILVA BRUNKOW</v>
      </c>
      <c r="L288" s="5" t="str">
        <f t="shared" si="269"/>
        <v/>
      </c>
      <c r="M288" s="5" t="str">
        <f>_xlfn.XLOOKUP($N288,'Base de Grupos'!$A:$A,'Base de Grupos'!$C:$C)</f>
        <v>MS</v>
      </c>
      <c r="N288" s="3">
        <v>1353</v>
      </c>
      <c r="O288" s="4" t="s">
        <v>239</v>
      </c>
      <c r="P288" s="5" t="s">
        <v>94</v>
      </c>
      <c r="Q288" s="56">
        <v>0</v>
      </c>
      <c r="R288" s="56">
        <v>0</v>
      </c>
      <c r="S288" s="56">
        <v>0</v>
      </c>
      <c r="T288" s="56">
        <f>_xlfn.XLOOKUP($N288,'Calculo Leads'!$A$97:$A$134,'Calculo Leads'!G$97:G$134)*_xlfn.XLOOKUP($P288,'Base Grupo de Produtos'!$E$2:$E$18,'Base Grupo de Produtos'!$F$2:$F$18)</f>
        <v>150</v>
      </c>
      <c r="U288" s="56">
        <f>_xlfn.XLOOKUP($N288,'Calculo Leads'!$A$97:$A$134,'Calculo Leads'!H$97:H$134)*_xlfn.XLOOKUP($P288,'Base Grupo de Produtos'!$E$2:$E$18,'Base Grupo de Produtos'!$F$2:$F$18)</f>
        <v>150</v>
      </c>
      <c r="V288" s="56">
        <f>_xlfn.XLOOKUP($N288,'Calculo Leads'!$A$97:$A$134,'Calculo Leads'!I$97:I$134)*_xlfn.XLOOKUP($P288,'Base Grupo de Produtos'!$E$2:$E$18,'Base Grupo de Produtos'!$F$2:$F$18)</f>
        <v>199.99999999999997</v>
      </c>
      <c r="W288" s="56">
        <f>_xlfn.XLOOKUP($N288,'Calculo Leads'!$A$97:$A$134,'Calculo Leads'!J$97:J$134)*_xlfn.XLOOKUP($P288,'Base Grupo de Produtos'!$E$2:$E$18,'Base Grupo de Produtos'!$F$2:$F$18)</f>
        <v>249.99999999999997</v>
      </c>
      <c r="X288" s="56">
        <f>_xlfn.XLOOKUP($N288,'Calculo Leads'!$A$97:$A$134,'Calculo Leads'!K$97:K$134)*_xlfn.XLOOKUP($P288,'Base Grupo de Produtos'!$E$2:$E$18,'Base Grupo de Produtos'!$F$2:$F$18)</f>
        <v>275</v>
      </c>
      <c r="Y288" s="56">
        <f>_xlfn.XLOOKUP($N288,'Calculo Leads'!$A$97:$A$134,'Calculo Leads'!L$97:L$134)*_xlfn.XLOOKUP($P288,'Base Grupo de Produtos'!$E$2:$E$18,'Base Grupo de Produtos'!$F$2:$F$18)</f>
        <v>330</v>
      </c>
      <c r="Z288" s="56">
        <f>_xlfn.XLOOKUP($N288,'Calculo Leads'!$A$97:$A$134,'Calculo Leads'!M$97:M$134)*_xlfn.XLOOKUP($P288,'Base Grupo de Produtos'!$E$2:$E$18,'Base Grupo de Produtos'!$F$2:$F$18)</f>
        <v>384.99999999999994</v>
      </c>
      <c r="AA288" s="56">
        <f>_xlfn.XLOOKUP($N288,'Calculo Leads'!$A$97:$A$134,'Calculo Leads'!N$97:N$134)*_xlfn.XLOOKUP($P288,'Base Grupo de Produtos'!$E$2:$E$18,'Base Grupo de Produtos'!$F$2:$F$18)</f>
        <v>439.99999999999994</v>
      </c>
      <c r="AB288" s="56">
        <f>_xlfn.XLOOKUP($N288,'Calculo Leads'!$A$97:$A$134,'Calculo Leads'!O$97:O$134)*_xlfn.XLOOKUP($P288,'Base Grupo de Produtos'!$E$2:$E$18,'Base Grupo de Produtos'!$F$2:$F$18)</f>
        <v>275</v>
      </c>
      <c r="AC288" s="61">
        <f t="shared" si="289"/>
        <v>2455</v>
      </c>
      <c r="AD288" s="27">
        <f t="shared" si="305"/>
        <v>2455</v>
      </c>
      <c r="AE288" s="25">
        <f>IFERROR(_xlfn.XLOOKUP(N288&amp;P288,'Historico Vendas'!G:G,'Historico Vendas'!E:E),0)</f>
        <v>0</v>
      </c>
      <c r="AF288" s="29" t="str">
        <f t="shared" si="267"/>
        <v/>
      </c>
      <c r="AG288" s="24">
        <f>IFERROR(_xlfn.XLOOKUP(N288&amp;P288,'Historico Vendas'!G:G,'Historico Vendas'!F:F),0)</f>
        <v>0</v>
      </c>
      <c r="AH288" s="25">
        <f t="shared" si="306"/>
        <v>0</v>
      </c>
      <c r="AI288" s="24">
        <f t="shared" si="307"/>
        <v>0</v>
      </c>
      <c r="AJ288" s="11" t="str">
        <f t="shared" si="270"/>
        <v/>
      </c>
      <c r="AK288" s="9" t="s">
        <v>102</v>
      </c>
      <c r="AL288" s="13">
        <f>IFERROR(INDEX('Balizador da Meta'!$D$3:$F$23,MATCH(Faturamento!$P288,'Balizador da Meta'!$C$3:$C$23,0),MATCH(Faturamento!AK288,'Balizador da Meta'!$D$2:$F$2,0)),"")</f>
        <v>0.25</v>
      </c>
      <c r="AM288" s="9"/>
    </row>
    <row r="289" spans="1:39" x14ac:dyDescent="0.3">
      <c r="A289" s="2" t="str">
        <f t="shared" si="268"/>
        <v>NÃO</v>
      </c>
      <c r="B289" s="2" t="str">
        <f>_xlfn.XLOOKUP($N289,'Base de Grupos'!$A:$A,'Base de Grupos'!$D:$D)</f>
        <v>1000065763</v>
      </c>
      <c r="C289" s="5" t="str">
        <f>_xlfn.XLOOKUP($N289,'Base de Grupos'!$A:$A,'Base de Grupos'!$E:$E)</f>
        <v>CANAL VENDA INTERNA</v>
      </c>
      <c r="D289" s="5" t="str">
        <f>_xlfn.XLOOKUP($N289,'Base de Grupos'!$A:$A,'Base de Grupos'!$F:$F)</f>
        <v>1000065763</v>
      </c>
      <c r="E289" s="2" t="str">
        <f>_xlfn.XLOOKUP($N289,'Base de Grupos'!$A:$A,'Base de Grupos'!$G:$G)</f>
        <v>CANAL VENDA INTERNA</v>
      </c>
      <c r="F289" s="2" t="str">
        <f>_xlfn.XLOOKUP($N289,'Base de Grupos'!$A:$A,'Base de Grupos'!$H:$H)</f>
        <v>1000105900</v>
      </c>
      <c r="G289" s="5" t="str">
        <f>_xlfn.XLOOKUP($N289,'Base de Grupos'!$A:$A,'Base de Grupos'!$I:$I)</f>
        <v>REGIONAL VENDA DIRETA CO + NE + NO</v>
      </c>
      <c r="H289" s="5" t="str">
        <f>_xlfn.XLOOKUP($N289,'Base de Grupos'!$A:$A,'Base de Grupos'!$J:$J)</f>
        <v>1000105900</v>
      </c>
      <c r="I289" s="2" t="str">
        <f>_xlfn.XLOOKUP($N289,'Base de Grupos'!$A:$A,'Base de Grupos'!$K:$K)</f>
        <v>REGIONAL VENDA DIRETA CO + NE + NO</v>
      </c>
      <c r="J289" s="2" t="str">
        <f>_xlfn.XLOOKUP($N289,'Base de Grupos'!$A:$A,'Base de Grupos'!$L:$L)</f>
        <v>1000150135</v>
      </c>
      <c r="K289" s="5" t="str">
        <f>_xlfn.XLOOKUP($N289,'Base de Grupos'!$A:$A,'Base de Grupos'!$M:$M)</f>
        <v>HELDER DA SILVA BRUNKOW</v>
      </c>
      <c r="L289" s="5" t="str">
        <f t="shared" si="269"/>
        <v/>
      </c>
      <c r="M289" s="5" t="str">
        <f>_xlfn.XLOOKUP($N289,'Base de Grupos'!$A:$A,'Base de Grupos'!$C:$C)</f>
        <v>MS</v>
      </c>
      <c r="N289" s="3">
        <v>1353</v>
      </c>
      <c r="O289" s="4" t="s">
        <v>239</v>
      </c>
      <c r="P289" s="5" t="s">
        <v>95</v>
      </c>
      <c r="Q289" s="56">
        <v>0</v>
      </c>
      <c r="R289" s="56">
        <v>0</v>
      </c>
      <c r="S289" s="56">
        <v>0</v>
      </c>
      <c r="T289" s="56">
        <f>_xlfn.XLOOKUP($N289,'Calculo Leads'!$A$97:$A$134,'Calculo Leads'!G$97:G$134)*_xlfn.XLOOKUP($P289,'Base Grupo de Produtos'!$E$2:$E$18,'Base Grupo de Produtos'!$F$2:$F$18)</f>
        <v>240</v>
      </c>
      <c r="U289" s="56">
        <f>_xlfn.XLOOKUP($N289,'Calculo Leads'!$A$97:$A$134,'Calculo Leads'!H$97:H$134)*_xlfn.XLOOKUP($P289,'Base Grupo de Produtos'!$E$2:$E$18,'Base Grupo de Produtos'!$F$2:$F$18)</f>
        <v>240</v>
      </c>
      <c r="V289" s="56">
        <f>_xlfn.XLOOKUP($N289,'Calculo Leads'!$A$97:$A$134,'Calculo Leads'!I$97:I$134)*_xlfn.XLOOKUP($P289,'Base Grupo de Produtos'!$E$2:$E$18,'Base Grupo de Produtos'!$F$2:$F$18)</f>
        <v>320</v>
      </c>
      <c r="W289" s="56">
        <f>_xlfn.XLOOKUP($N289,'Calculo Leads'!$A$97:$A$134,'Calculo Leads'!J$97:J$134)*_xlfn.XLOOKUP($P289,'Base Grupo de Produtos'!$E$2:$E$18,'Base Grupo de Produtos'!$F$2:$F$18)</f>
        <v>400</v>
      </c>
      <c r="X289" s="56">
        <f>_xlfn.XLOOKUP($N289,'Calculo Leads'!$A$97:$A$134,'Calculo Leads'!K$97:K$134)*_xlfn.XLOOKUP($P289,'Base Grupo de Produtos'!$E$2:$E$18,'Base Grupo de Produtos'!$F$2:$F$18)</f>
        <v>440</v>
      </c>
      <c r="Y289" s="56">
        <f>_xlfn.XLOOKUP($N289,'Calculo Leads'!$A$97:$A$134,'Calculo Leads'!L$97:L$134)*_xlfn.XLOOKUP($P289,'Base Grupo de Produtos'!$E$2:$E$18,'Base Grupo de Produtos'!$F$2:$F$18)</f>
        <v>528</v>
      </c>
      <c r="Z289" s="56">
        <f>_xlfn.XLOOKUP($N289,'Calculo Leads'!$A$97:$A$134,'Calculo Leads'!M$97:M$134)*_xlfn.XLOOKUP($P289,'Base Grupo de Produtos'!$E$2:$E$18,'Base Grupo de Produtos'!$F$2:$F$18)</f>
        <v>616</v>
      </c>
      <c r="AA289" s="56">
        <f>_xlfn.XLOOKUP($N289,'Calculo Leads'!$A$97:$A$134,'Calculo Leads'!N$97:N$134)*_xlfn.XLOOKUP($P289,'Base Grupo de Produtos'!$E$2:$E$18,'Base Grupo de Produtos'!$F$2:$F$18)</f>
        <v>704</v>
      </c>
      <c r="AB289" s="56">
        <f>_xlfn.XLOOKUP($N289,'Calculo Leads'!$A$97:$A$134,'Calculo Leads'!O$97:O$134)*_xlfn.XLOOKUP($P289,'Base Grupo de Produtos'!$E$2:$E$18,'Base Grupo de Produtos'!$F$2:$F$18)</f>
        <v>440</v>
      </c>
      <c r="AC289" s="61">
        <f t="shared" si="289"/>
        <v>3928</v>
      </c>
      <c r="AD289" s="27">
        <f t="shared" si="305"/>
        <v>3928</v>
      </c>
      <c r="AE289" s="25">
        <f>IFERROR(_xlfn.XLOOKUP(N289&amp;P289,'Historico Vendas'!G:G,'Historico Vendas'!E:E),0)</f>
        <v>0</v>
      </c>
      <c r="AF289" s="29" t="str">
        <f t="shared" si="267"/>
        <v/>
      </c>
      <c r="AG289" s="24">
        <f>IFERROR(_xlfn.XLOOKUP(N289&amp;P289,'Historico Vendas'!G:G,'Historico Vendas'!F:F),0)</f>
        <v>0</v>
      </c>
      <c r="AH289" s="25">
        <f t="shared" si="306"/>
        <v>0</v>
      </c>
      <c r="AI289" s="24">
        <f t="shared" si="307"/>
        <v>0</v>
      </c>
      <c r="AJ289" s="11" t="str">
        <f t="shared" si="270"/>
        <v/>
      </c>
      <c r="AK289" s="9" t="s">
        <v>102</v>
      </c>
      <c r="AL289" s="13">
        <f>IFERROR(INDEX('Balizador da Meta'!$D$3:$F$23,MATCH(Faturamento!$P289,'Balizador da Meta'!$C$3:$C$23,0),MATCH(Faturamento!AK289,'Balizador da Meta'!$D$2:$F$2,0)),"")</f>
        <v>0.25</v>
      </c>
      <c r="AM289" s="9"/>
    </row>
    <row r="290" spans="1:39" x14ac:dyDescent="0.3">
      <c r="A290" s="2" t="str">
        <f t="shared" si="268"/>
        <v>NÃO</v>
      </c>
      <c r="B290" s="2" t="str">
        <f>_xlfn.XLOOKUP($N290,'Base de Grupos'!$A:$A,'Base de Grupos'!$D:$D)</f>
        <v>1000065763</v>
      </c>
      <c r="C290" s="5" t="str">
        <f>_xlfn.XLOOKUP($N290,'Base de Grupos'!$A:$A,'Base de Grupos'!$E:$E)</f>
        <v>CANAL VENDA INTERNA</v>
      </c>
      <c r="D290" s="5" t="str">
        <f>_xlfn.XLOOKUP($N290,'Base de Grupos'!$A:$A,'Base de Grupos'!$F:$F)</f>
        <v>1000065763</v>
      </c>
      <c r="E290" s="2" t="str">
        <f>_xlfn.XLOOKUP($N290,'Base de Grupos'!$A:$A,'Base de Grupos'!$G:$G)</f>
        <v>CANAL VENDA INTERNA</v>
      </c>
      <c r="F290" s="2" t="str">
        <f>_xlfn.XLOOKUP($N290,'Base de Grupos'!$A:$A,'Base de Grupos'!$H:$H)</f>
        <v>1000105900</v>
      </c>
      <c r="G290" s="5" t="str">
        <f>_xlfn.XLOOKUP($N290,'Base de Grupos'!$A:$A,'Base de Grupos'!$I:$I)</f>
        <v>REGIONAL VENDA DIRETA CO + NE + NO</v>
      </c>
      <c r="H290" s="5" t="str">
        <f>_xlfn.XLOOKUP($N290,'Base de Grupos'!$A:$A,'Base de Grupos'!$J:$J)</f>
        <v>1000105900</v>
      </c>
      <c r="I290" s="2" t="str">
        <f>_xlfn.XLOOKUP($N290,'Base de Grupos'!$A:$A,'Base de Grupos'!$K:$K)</f>
        <v>REGIONAL VENDA DIRETA CO + NE + NO</v>
      </c>
      <c r="J290" s="2" t="str">
        <f>_xlfn.XLOOKUP($N290,'Base de Grupos'!$A:$A,'Base de Grupos'!$L:$L)</f>
        <v>1000150135</v>
      </c>
      <c r="K290" s="5" t="str">
        <f>_xlfn.XLOOKUP($N290,'Base de Grupos'!$A:$A,'Base de Grupos'!$M:$M)</f>
        <v>HELDER DA SILVA BRUNKOW</v>
      </c>
      <c r="L290" s="5" t="str">
        <f t="shared" si="269"/>
        <v/>
      </c>
      <c r="M290" s="5" t="str">
        <f>_xlfn.XLOOKUP($N290,'Base de Grupos'!$A:$A,'Base de Grupos'!$C:$C)</f>
        <v>MS</v>
      </c>
      <c r="N290" s="3">
        <v>1353</v>
      </c>
      <c r="O290" s="4" t="s">
        <v>239</v>
      </c>
      <c r="P290" s="5" t="s">
        <v>93</v>
      </c>
      <c r="Q290" s="56">
        <v>0</v>
      </c>
      <c r="R290" s="56">
        <v>0</v>
      </c>
      <c r="S290" s="56">
        <v>0</v>
      </c>
      <c r="T290" s="56">
        <f>_xlfn.XLOOKUP($N290,'Calculo Leads'!$A$97:$A$134,'Calculo Leads'!G$97:G$134)*_xlfn.XLOOKUP($P290,'Base Grupo de Produtos'!$E$2:$E$18,'Base Grupo de Produtos'!$F$2:$F$18)</f>
        <v>90</v>
      </c>
      <c r="U290" s="56">
        <f>_xlfn.XLOOKUP($N290,'Calculo Leads'!$A$97:$A$134,'Calculo Leads'!H$97:H$134)*_xlfn.XLOOKUP($P290,'Base Grupo de Produtos'!$E$2:$E$18,'Base Grupo de Produtos'!$F$2:$F$18)</f>
        <v>90</v>
      </c>
      <c r="V290" s="56">
        <f>_xlfn.XLOOKUP($N290,'Calculo Leads'!$A$97:$A$134,'Calculo Leads'!I$97:I$134)*_xlfn.XLOOKUP($P290,'Base Grupo de Produtos'!$E$2:$E$18,'Base Grupo de Produtos'!$F$2:$F$18)</f>
        <v>120</v>
      </c>
      <c r="W290" s="56">
        <f>_xlfn.XLOOKUP($N290,'Calculo Leads'!$A$97:$A$134,'Calculo Leads'!J$97:J$134)*_xlfn.XLOOKUP($P290,'Base Grupo de Produtos'!$E$2:$E$18,'Base Grupo de Produtos'!$F$2:$F$18)</f>
        <v>150</v>
      </c>
      <c r="X290" s="56">
        <f>_xlfn.XLOOKUP($N290,'Calculo Leads'!$A$97:$A$134,'Calculo Leads'!K$97:K$134)*_xlfn.XLOOKUP($P290,'Base Grupo de Produtos'!$E$2:$E$18,'Base Grupo de Produtos'!$F$2:$F$18)</f>
        <v>165</v>
      </c>
      <c r="Y290" s="56">
        <f>_xlfn.XLOOKUP($N290,'Calculo Leads'!$A$97:$A$134,'Calculo Leads'!L$97:L$134)*_xlfn.XLOOKUP($P290,'Base Grupo de Produtos'!$E$2:$E$18,'Base Grupo de Produtos'!$F$2:$F$18)</f>
        <v>198</v>
      </c>
      <c r="Z290" s="56">
        <f>_xlfn.XLOOKUP($N290,'Calculo Leads'!$A$97:$A$134,'Calculo Leads'!M$97:M$134)*_xlfn.XLOOKUP($P290,'Base Grupo de Produtos'!$E$2:$E$18,'Base Grupo de Produtos'!$F$2:$F$18)</f>
        <v>231</v>
      </c>
      <c r="AA290" s="56">
        <f>_xlfn.XLOOKUP($N290,'Calculo Leads'!$A$97:$A$134,'Calculo Leads'!N$97:N$134)*_xlfn.XLOOKUP($P290,'Base Grupo de Produtos'!$E$2:$E$18,'Base Grupo de Produtos'!$F$2:$F$18)</f>
        <v>264</v>
      </c>
      <c r="AB290" s="56">
        <f>_xlfn.XLOOKUP($N290,'Calculo Leads'!$A$97:$A$134,'Calculo Leads'!O$97:O$134)*_xlfn.XLOOKUP($P290,'Base Grupo de Produtos'!$E$2:$E$18,'Base Grupo de Produtos'!$F$2:$F$18)</f>
        <v>165</v>
      </c>
      <c r="AC290" s="61">
        <f t="shared" si="289"/>
        <v>1473</v>
      </c>
      <c r="AD290" s="27">
        <f t="shared" si="305"/>
        <v>1473</v>
      </c>
      <c r="AE290" s="25">
        <f>IFERROR(_xlfn.XLOOKUP(N290&amp;P290,'Historico Vendas'!G:G,'Historico Vendas'!E:E),0)</f>
        <v>0</v>
      </c>
      <c r="AF290" s="29" t="str">
        <f t="shared" si="267"/>
        <v/>
      </c>
      <c r="AG290" s="24">
        <f>IFERROR(_xlfn.XLOOKUP(N290&amp;P290,'Historico Vendas'!G:G,'Historico Vendas'!F:F),0)</f>
        <v>0</v>
      </c>
      <c r="AH290" s="25">
        <f t="shared" si="306"/>
        <v>0</v>
      </c>
      <c r="AI290" s="24">
        <f t="shared" si="307"/>
        <v>0</v>
      </c>
      <c r="AJ290" s="11" t="str">
        <f t="shared" si="270"/>
        <v/>
      </c>
      <c r="AK290" s="9" t="s">
        <v>102</v>
      </c>
      <c r="AL290" s="13">
        <f>IFERROR(INDEX('Balizador da Meta'!$D$3:$F$23,MATCH(Faturamento!$P290,'Balizador da Meta'!$C$3:$C$23,0),MATCH(Faturamento!AK290,'Balizador da Meta'!$D$2:$F$2,0)),"")</f>
        <v>0.2</v>
      </c>
      <c r="AM290" s="9"/>
    </row>
    <row r="291" spans="1:39" x14ac:dyDescent="0.3">
      <c r="A291" s="2" t="str">
        <f t="shared" si="268"/>
        <v>SIM</v>
      </c>
      <c r="B291" s="2" t="str">
        <f>_xlfn.XLOOKUP($N291,'Base de Grupos'!$A:$A,'Base de Grupos'!$D:$D)</f>
        <v>1000065763</v>
      </c>
      <c r="C291" s="5" t="str">
        <f>_xlfn.XLOOKUP($N291,'Base de Grupos'!$A:$A,'Base de Grupos'!$E:$E)</f>
        <v>CANAL VENDA INTERNA</v>
      </c>
      <c r="D291" s="5" t="str">
        <f>_xlfn.XLOOKUP($N291,'Base de Grupos'!$A:$A,'Base de Grupos'!$F:$F)</f>
        <v>1000065763</v>
      </c>
      <c r="E291" s="2" t="str">
        <f>_xlfn.XLOOKUP($N291,'Base de Grupos'!$A:$A,'Base de Grupos'!$G:$G)</f>
        <v>CANAL VENDA INTERNA</v>
      </c>
      <c r="F291" s="2" t="str">
        <f>_xlfn.XLOOKUP($N291,'Base de Grupos'!$A:$A,'Base de Grupos'!$H:$H)</f>
        <v>1000105900</v>
      </c>
      <c r="G291" s="5" t="str">
        <f>_xlfn.XLOOKUP($N291,'Base de Grupos'!$A:$A,'Base de Grupos'!$I:$I)</f>
        <v>REGIONAL VENDA DIRETA CO + NE + NO</v>
      </c>
      <c r="H291" s="5" t="str">
        <f>_xlfn.XLOOKUP($N291,'Base de Grupos'!$A:$A,'Base de Grupos'!$J:$J)</f>
        <v>1000105900</v>
      </c>
      <c r="I291" s="2" t="str">
        <f>_xlfn.XLOOKUP($N291,'Base de Grupos'!$A:$A,'Base de Grupos'!$K:$K)</f>
        <v>REGIONAL VENDA DIRETA CO + NE + NO</v>
      </c>
      <c r="J291" s="2" t="str">
        <f>_xlfn.XLOOKUP($N291,'Base de Grupos'!$A:$A,'Base de Grupos'!$L:$L)</f>
        <v>1000150135</v>
      </c>
      <c r="K291" s="5" t="str">
        <f>_xlfn.XLOOKUP($N291,'Base de Grupos'!$A:$A,'Base de Grupos'!$M:$M)</f>
        <v>HELDER DA SILVA BRUNKOW</v>
      </c>
      <c r="L291" s="5">
        <f t="shared" si="269"/>
        <v>1</v>
      </c>
      <c r="M291" s="5" t="str">
        <f>_xlfn.XLOOKUP($N291,'Base de Grupos'!$A:$A,'Base de Grupos'!$C:$C)</f>
        <v>MT</v>
      </c>
      <c r="N291" s="3">
        <v>1354</v>
      </c>
      <c r="O291" s="4" t="s">
        <v>240</v>
      </c>
      <c r="P291" s="5" t="s">
        <v>310</v>
      </c>
      <c r="Q291" s="56">
        <f t="shared" ref="Q291" si="308">SUM(Q292:Q308)</f>
        <v>0</v>
      </c>
      <c r="R291" s="56">
        <f t="shared" ref="R291" si="309">SUM(R292:R308)</f>
        <v>0</v>
      </c>
      <c r="S291" s="56">
        <f t="shared" ref="S291" si="310">SUM(S292:S308)</f>
        <v>0</v>
      </c>
      <c r="T291" s="56">
        <f t="shared" ref="T291" si="311">SUM(T292:T308)</f>
        <v>3000</v>
      </c>
      <c r="U291" s="56">
        <f t="shared" ref="U291" si="312">SUM(U292:U308)</f>
        <v>3000</v>
      </c>
      <c r="V291" s="56">
        <f t="shared" ref="V291" si="313">SUM(V292:V308)</f>
        <v>4000</v>
      </c>
      <c r="W291" s="56">
        <f t="shared" ref="W291" si="314">SUM(W292:W308)</f>
        <v>5000</v>
      </c>
      <c r="X291" s="56">
        <f t="shared" ref="X291" si="315">SUM(X292:X308)</f>
        <v>5500</v>
      </c>
      <c r="Y291" s="56">
        <f t="shared" ref="Y291" si="316">SUM(Y292:Y308)</f>
        <v>6600</v>
      </c>
      <c r="Z291" s="56">
        <f t="shared" ref="Z291" si="317">SUM(Z292:Z308)</f>
        <v>7700</v>
      </c>
      <c r="AA291" s="56">
        <f t="shared" ref="AA291" si="318">SUM(AA292:AA308)</f>
        <v>8800</v>
      </c>
      <c r="AB291" s="56">
        <f t="shared" ref="AB291" si="319">SUM(AB292:AB308)</f>
        <v>5500</v>
      </c>
      <c r="AC291" s="56">
        <f t="shared" ref="AC291" si="320">SUM(AC292:AC308)</f>
        <v>49100</v>
      </c>
      <c r="AD291" s="25">
        <f t="shared" ref="AD291" si="321">SUM(AD292:AD308)</f>
        <v>49100</v>
      </c>
      <c r="AE291" s="25">
        <f t="shared" ref="AE291:AI291" si="322">SUM(AE292:AE308)</f>
        <v>0</v>
      </c>
      <c r="AF291" s="11" t="str">
        <f t="shared" si="267"/>
        <v/>
      </c>
      <c r="AG291" s="24">
        <f t="shared" si="322"/>
        <v>0</v>
      </c>
      <c r="AH291" s="25">
        <f t="shared" si="322"/>
        <v>0</v>
      </c>
      <c r="AI291" s="24">
        <f t="shared" si="322"/>
        <v>0</v>
      </c>
      <c r="AJ291" s="11" t="str">
        <f t="shared" si="270"/>
        <v/>
      </c>
      <c r="AK291" s="9"/>
      <c r="AL291" s="13"/>
      <c r="AM291" s="9"/>
    </row>
    <row r="292" spans="1:39" x14ac:dyDescent="0.3">
      <c r="A292" s="2" t="str">
        <f t="shared" si="268"/>
        <v>NÃO</v>
      </c>
      <c r="B292" s="2" t="str">
        <f>_xlfn.XLOOKUP($N292,'Base de Grupos'!$A:$A,'Base de Grupos'!$D:$D)</f>
        <v>1000065763</v>
      </c>
      <c r="C292" s="5" t="str">
        <f>_xlfn.XLOOKUP($N292,'Base de Grupos'!$A:$A,'Base de Grupos'!$E:$E)</f>
        <v>CANAL VENDA INTERNA</v>
      </c>
      <c r="D292" s="5" t="str">
        <f>_xlfn.XLOOKUP($N292,'Base de Grupos'!$A:$A,'Base de Grupos'!$F:$F)</f>
        <v>1000065763</v>
      </c>
      <c r="E292" s="2" t="str">
        <f>_xlfn.XLOOKUP($N292,'Base de Grupos'!$A:$A,'Base de Grupos'!$G:$G)</f>
        <v>CANAL VENDA INTERNA</v>
      </c>
      <c r="F292" s="2" t="str">
        <f>_xlfn.XLOOKUP($N292,'Base de Grupos'!$A:$A,'Base de Grupos'!$H:$H)</f>
        <v>1000105900</v>
      </c>
      <c r="G292" s="5" t="str">
        <f>_xlfn.XLOOKUP($N292,'Base de Grupos'!$A:$A,'Base de Grupos'!$I:$I)</f>
        <v>REGIONAL VENDA DIRETA CO + NE + NO</v>
      </c>
      <c r="H292" s="5" t="str">
        <f>_xlfn.XLOOKUP($N292,'Base de Grupos'!$A:$A,'Base de Grupos'!$J:$J)</f>
        <v>1000105900</v>
      </c>
      <c r="I292" s="2" t="str">
        <f>_xlfn.XLOOKUP($N292,'Base de Grupos'!$A:$A,'Base de Grupos'!$K:$K)</f>
        <v>REGIONAL VENDA DIRETA CO + NE + NO</v>
      </c>
      <c r="J292" s="2" t="str">
        <f>_xlfn.XLOOKUP($N292,'Base de Grupos'!$A:$A,'Base de Grupos'!$L:$L)</f>
        <v>1000150135</v>
      </c>
      <c r="K292" s="5" t="str">
        <f>_xlfn.XLOOKUP($N292,'Base de Grupos'!$A:$A,'Base de Grupos'!$M:$M)</f>
        <v>HELDER DA SILVA BRUNKOW</v>
      </c>
      <c r="L292" s="5" t="str">
        <f t="shared" si="269"/>
        <v/>
      </c>
      <c r="M292" s="5" t="str">
        <f>_xlfn.XLOOKUP($N292,'Base de Grupos'!$A:$A,'Base de Grupos'!$C:$C)</f>
        <v>MT</v>
      </c>
      <c r="N292" s="3">
        <v>1354</v>
      </c>
      <c r="O292" s="4" t="s">
        <v>240</v>
      </c>
      <c r="P292" s="5" t="s">
        <v>81</v>
      </c>
      <c r="Q292" s="56">
        <v>0</v>
      </c>
      <c r="R292" s="56">
        <v>0</v>
      </c>
      <c r="S292" s="56">
        <v>0</v>
      </c>
      <c r="T292" s="56">
        <f>_xlfn.XLOOKUP($N292,'Calculo Leads'!$A$97:$A$134,'Calculo Leads'!G$97:G$134)*_xlfn.XLOOKUP($P292,'Base Grupo de Produtos'!$E$2:$E$18,'Base Grupo de Produtos'!$F$2:$F$18)</f>
        <v>150</v>
      </c>
      <c r="U292" s="56">
        <f>_xlfn.XLOOKUP($N292,'Calculo Leads'!$A$97:$A$134,'Calculo Leads'!H$97:H$134)*_xlfn.XLOOKUP($P292,'Base Grupo de Produtos'!$E$2:$E$18,'Base Grupo de Produtos'!$F$2:$F$18)</f>
        <v>150</v>
      </c>
      <c r="V292" s="56">
        <f>_xlfn.XLOOKUP($N292,'Calculo Leads'!$A$97:$A$134,'Calculo Leads'!I$97:I$134)*_xlfn.XLOOKUP($P292,'Base Grupo de Produtos'!$E$2:$E$18,'Base Grupo de Produtos'!$F$2:$F$18)</f>
        <v>200</v>
      </c>
      <c r="W292" s="56">
        <f>_xlfn.XLOOKUP($N292,'Calculo Leads'!$A$97:$A$134,'Calculo Leads'!J$97:J$134)*_xlfn.XLOOKUP($P292,'Base Grupo de Produtos'!$E$2:$E$18,'Base Grupo de Produtos'!$F$2:$F$18)</f>
        <v>250</v>
      </c>
      <c r="X292" s="56">
        <f>_xlfn.XLOOKUP($N292,'Calculo Leads'!$A$97:$A$134,'Calculo Leads'!K$97:K$134)*_xlfn.XLOOKUP($P292,'Base Grupo de Produtos'!$E$2:$E$18,'Base Grupo de Produtos'!$F$2:$F$18)</f>
        <v>275</v>
      </c>
      <c r="Y292" s="56">
        <f>_xlfn.XLOOKUP($N292,'Calculo Leads'!$A$97:$A$134,'Calculo Leads'!L$97:L$134)*_xlfn.XLOOKUP($P292,'Base Grupo de Produtos'!$E$2:$E$18,'Base Grupo de Produtos'!$F$2:$F$18)</f>
        <v>330</v>
      </c>
      <c r="Z292" s="56">
        <f>_xlfn.XLOOKUP($N292,'Calculo Leads'!$A$97:$A$134,'Calculo Leads'!M$97:M$134)*_xlfn.XLOOKUP($P292,'Base Grupo de Produtos'!$E$2:$E$18,'Base Grupo de Produtos'!$F$2:$F$18)</f>
        <v>385</v>
      </c>
      <c r="AA292" s="56">
        <f>_xlfn.XLOOKUP($N292,'Calculo Leads'!$A$97:$A$134,'Calculo Leads'!N$97:N$134)*_xlfn.XLOOKUP($P292,'Base Grupo de Produtos'!$E$2:$E$18,'Base Grupo de Produtos'!$F$2:$F$18)</f>
        <v>440</v>
      </c>
      <c r="AB292" s="56">
        <f>_xlfn.XLOOKUP($N292,'Calculo Leads'!$A$97:$A$134,'Calculo Leads'!O$97:O$134)*_xlfn.XLOOKUP($P292,'Base Grupo de Produtos'!$E$2:$E$18,'Base Grupo de Produtos'!$F$2:$F$18)</f>
        <v>275</v>
      </c>
      <c r="AC292" s="61">
        <f t="shared" si="289"/>
        <v>2455</v>
      </c>
      <c r="AD292" s="27">
        <f t="shared" ref="AD292:AD308" si="323">IF(AC292=0,0,AC292-AG292)</f>
        <v>2455</v>
      </c>
      <c r="AE292" s="25">
        <f>IFERROR(_xlfn.XLOOKUP(N292&amp;P292,'Historico Vendas'!G:G,'Historico Vendas'!E:E),0)</f>
        <v>0</v>
      </c>
      <c r="AF292" s="29" t="str">
        <f t="shared" si="267"/>
        <v/>
      </c>
      <c r="AG292" s="24">
        <f>IFERROR(_xlfn.XLOOKUP(N292&amp;P292,'Historico Vendas'!G:G,'Historico Vendas'!F:F),0)</f>
        <v>0</v>
      </c>
      <c r="AH292" s="25">
        <f t="shared" ref="AH292:AH308" si="324">SUM(Q292:S292)</f>
        <v>0</v>
      </c>
      <c r="AI292" s="24">
        <f t="shared" ref="AI292:AI308" si="325">AH292-AG292</f>
        <v>0</v>
      </c>
      <c r="AJ292" s="11" t="str">
        <f t="shared" si="270"/>
        <v/>
      </c>
      <c r="AK292" s="9" t="s">
        <v>102</v>
      </c>
      <c r="AL292" s="13">
        <f>IFERROR(INDEX('Balizador da Meta'!$D$3:$F$23,MATCH(Faturamento!$P292,'Balizador da Meta'!$C$3:$C$23,0),MATCH(Faturamento!AK292,'Balizador da Meta'!$D$2:$F$2,0)),"")</f>
        <v>0.2</v>
      </c>
      <c r="AM292" s="9"/>
    </row>
    <row r="293" spans="1:39" x14ac:dyDescent="0.3">
      <c r="A293" s="2" t="str">
        <f t="shared" si="268"/>
        <v>NÃO</v>
      </c>
      <c r="B293" s="2" t="str">
        <f>_xlfn.XLOOKUP($N293,'Base de Grupos'!$A:$A,'Base de Grupos'!$D:$D)</f>
        <v>1000065763</v>
      </c>
      <c r="C293" s="5" t="str">
        <f>_xlfn.XLOOKUP($N293,'Base de Grupos'!$A:$A,'Base de Grupos'!$E:$E)</f>
        <v>CANAL VENDA INTERNA</v>
      </c>
      <c r="D293" s="5" t="str">
        <f>_xlfn.XLOOKUP($N293,'Base de Grupos'!$A:$A,'Base de Grupos'!$F:$F)</f>
        <v>1000065763</v>
      </c>
      <c r="E293" s="2" t="str">
        <f>_xlfn.XLOOKUP($N293,'Base de Grupos'!$A:$A,'Base de Grupos'!$G:$G)</f>
        <v>CANAL VENDA INTERNA</v>
      </c>
      <c r="F293" s="2" t="str">
        <f>_xlfn.XLOOKUP($N293,'Base de Grupos'!$A:$A,'Base de Grupos'!$H:$H)</f>
        <v>1000105900</v>
      </c>
      <c r="G293" s="5" t="str">
        <f>_xlfn.XLOOKUP($N293,'Base de Grupos'!$A:$A,'Base de Grupos'!$I:$I)</f>
        <v>REGIONAL VENDA DIRETA CO + NE + NO</v>
      </c>
      <c r="H293" s="5" t="str">
        <f>_xlfn.XLOOKUP($N293,'Base de Grupos'!$A:$A,'Base de Grupos'!$J:$J)</f>
        <v>1000105900</v>
      </c>
      <c r="I293" s="2" t="str">
        <f>_xlfn.XLOOKUP($N293,'Base de Grupos'!$A:$A,'Base de Grupos'!$K:$K)</f>
        <v>REGIONAL VENDA DIRETA CO + NE + NO</v>
      </c>
      <c r="J293" s="2" t="str">
        <f>_xlfn.XLOOKUP($N293,'Base de Grupos'!$A:$A,'Base de Grupos'!$L:$L)</f>
        <v>1000150135</v>
      </c>
      <c r="K293" s="5" t="str">
        <f>_xlfn.XLOOKUP($N293,'Base de Grupos'!$A:$A,'Base de Grupos'!$M:$M)</f>
        <v>HELDER DA SILVA BRUNKOW</v>
      </c>
      <c r="L293" s="5" t="str">
        <f t="shared" si="269"/>
        <v/>
      </c>
      <c r="M293" s="5" t="str">
        <f>_xlfn.XLOOKUP($N293,'Base de Grupos'!$A:$A,'Base de Grupos'!$C:$C)</f>
        <v>MT</v>
      </c>
      <c r="N293" s="3">
        <v>1354</v>
      </c>
      <c r="O293" s="4" t="s">
        <v>240</v>
      </c>
      <c r="P293" s="5" t="s">
        <v>82</v>
      </c>
      <c r="Q293" s="56">
        <v>0</v>
      </c>
      <c r="R293" s="56">
        <v>0</v>
      </c>
      <c r="S293" s="56">
        <v>0</v>
      </c>
      <c r="T293" s="56">
        <f>_xlfn.XLOOKUP($N293,'Calculo Leads'!$A$97:$A$134,'Calculo Leads'!G$97:G$134)*_xlfn.XLOOKUP($P293,'Base Grupo de Produtos'!$E$2:$E$18,'Base Grupo de Produtos'!$F$2:$F$18)</f>
        <v>150</v>
      </c>
      <c r="U293" s="56">
        <f>_xlfn.XLOOKUP($N293,'Calculo Leads'!$A$97:$A$134,'Calculo Leads'!H$97:H$134)*_xlfn.XLOOKUP($P293,'Base Grupo de Produtos'!$E$2:$E$18,'Base Grupo de Produtos'!$F$2:$F$18)</f>
        <v>150</v>
      </c>
      <c r="V293" s="56">
        <f>_xlfn.XLOOKUP($N293,'Calculo Leads'!$A$97:$A$134,'Calculo Leads'!I$97:I$134)*_xlfn.XLOOKUP($P293,'Base Grupo de Produtos'!$E$2:$E$18,'Base Grupo de Produtos'!$F$2:$F$18)</f>
        <v>200</v>
      </c>
      <c r="W293" s="56">
        <f>_xlfn.XLOOKUP($N293,'Calculo Leads'!$A$97:$A$134,'Calculo Leads'!J$97:J$134)*_xlfn.XLOOKUP($P293,'Base Grupo de Produtos'!$E$2:$E$18,'Base Grupo de Produtos'!$F$2:$F$18)</f>
        <v>250</v>
      </c>
      <c r="X293" s="56">
        <f>_xlfn.XLOOKUP($N293,'Calculo Leads'!$A$97:$A$134,'Calculo Leads'!K$97:K$134)*_xlfn.XLOOKUP($P293,'Base Grupo de Produtos'!$E$2:$E$18,'Base Grupo de Produtos'!$F$2:$F$18)</f>
        <v>275</v>
      </c>
      <c r="Y293" s="56">
        <f>_xlfn.XLOOKUP($N293,'Calculo Leads'!$A$97:$A$134,'Calculo Leads'!L$97:L$134)*_xlfn.XLOOKUP($P293,'Base Grupo de Produtos'!$E$2:$E$18,'Base Grupo de Produtos'!$F$2:$F$18)</f>
        <v>330</v>
      </c>
      <c r="Z293" s="56">
        <f>_xlfn.XLOOKUP($N293,'Calculo Leads'!$A$97:$A$134,'Calculo Leads'!M$97:M$134)*_xlfn.XLOOKUP($P293,'Base Grupo de Produtos'!$E$2:$E$18,'Base Grupo de Produtos'!$F$2:$F$18)</f>
        <v>385</v>
      </c>
      <c r="AA293" s="56">
        <f>_xlfn.XLOOKUP($N293,'Calculo Leads'!$A$97:$A$134,'Calculo Leads'!N$97:N$134)*_xlfn.XLOOKUP($P293,'Base Grupo de Produtos'!$E$2:$E$18,'Base Grupo de Produtos'!$F$2:$F$18)</f>
        <v>440</v>
      </c>
      <c r="AB293" s="56">
        <f>_xlfn.XLOOKUP($N293,'Calculo Leads'!$A$97:$A$134,'Calculo Leads'!O$97:O$134)*_xlfn.XLOOKUP($P293,'Base Grupo de Produtos'!$E$2:$E$18,'Base Grupo de Produtos'!$F$2:$F$18)</f>
        <v>275</v>
      </c>
      <c r="AC293" s="61">
        <f t="shared" si="289"/>
        <v>2455</v>
      </c>
      <c r="AD293" s="27">
        <f t="shared" si="323"/>
        <v>2455</v>
      </c>
      <c r="AE293" s="25">
        <f>IFERROR(_xlfn.XLOOKUP(N293&amp;P293,'Historico Vendas'!G:G,'Historico Vendas'!E:E),0)</f>
        <v>0</v>
      </c>
      <c r="AF293" s="29" t="str">
        <f t="shared" si="267"/>
        <v/>
      </c>
      <c r="AG293" s="24">
        <f>IFERROR(_xlfn.XLOOKUP(N293&amp;P293,'Historico Vendas'!G:G,'Historico Vendas'!F:F),0)</f>
        <v>0</v>
      </c>
      <c r="AH293" s="25">
        <f t="shared" si="324"/>
        <v>0</v>
      </c>
      <c r="AI293" s="24">
        <f t="shared" si="325"/>
        <v>0</v>
      </c>
      <c r="AJ293" s="11" t="str">
        <f t="shared" si="270"/>
        <v/>
      </c>
      <c r="AK293" s="9" t="s">
        <v>102</v>
      </c>
      <c r="AL293" s="13">
        <f>IFERROR(INDEX('Balizador da Meta'!$D$3:$F$23,MATCH(Faturamento!$P293,'Balizador da Meta'!$C$3:$C$23,0),MATCH(Faturamento!AK293,'Balizador da Meta'!$D$2:$F$2,0)),"")</f>
        <v>0.2</v>
      </c>
      <c r="AM293" s="9"/>
    </row>
    <row r="294" spans="1:39" x14ac:dyDescent="0.3">
      <c r="A294" s="2" t="str">
        <f t="shared" si="268"/>
        <v>NÃO</v>
      </c>
      <c r="B294" s="2" t="str">
        <f>_xlfn.XLOOKUP($N294,'Base de Grupos'!$A:$A,'Base de Grupos'!$D:$D)</f>
        <v>1000065763</v>
      </c>
      <c r="C294" s="5" t="str">
        <f>_xlfn.XLOOKUP($N294,'Base de Grupos'!$A:$A,'Base de Grupos'!$E:$E)</f>
        <v>CANAL VENDA INTERNA</v>
      </c>
      <c r="D294" s="5" t="str">
        <f>_xlfn.XLOOKUP($N294,'Base de Grupos'!$A:$A,'Base de Grupos'!$F:$F)</f>
        <v>1000065763</v>
      </c>
      <c r="E294" s="2" t="str">
        <f>_xlfn.XLOOKUP($N294,'Base de Grupos'!$A:$A,'Base de Grupos'!$G:$G)</f>
        <v>CANAL VENDA INTERNA</v>
      </c>
      <c r="F294" s="2" t="str">
        <f>_xlfn.XLOOKUP($N294,'Base de Grupos'!$A:$A,'Base de Grupos'!$H:$H)</f>
        <v>1000105900</v>
      </c>
      <c r="G294" s="5" t="str">
        <f>_xlfn.XLOOKUP($N294,'Base de Grupos'!$A:$A,'Base de Grupos'!$I:$I)</f>
        <v>REGIONAL VENDA DIRETA CO + NE + NO</v>
      </c>
      <c r="H294" s="5" t="str">
        <f>_xlfn.XLOOKUP($N294,'Base de Grupos'!$A:$A,'Base de Grupos'!$J:$J)</f>
        <v>1000105900</v>
      </c>
      <c r="I294" s="2" t="str">
        <f>_xlfn.XLOOKUP($N294,'Base de Grupos'!$A:$A,'Base de Grupos'!$K:$K)</f>
        <v>REGIONAL VENDA DIRETA CO + NE + NO</v>
      </c>
      <c r="J294" s="2" t="str">
        <f>_xlfn.XLOOKUP($N294,'Base de Grupos'!$A:$A,'Base de Grupos'!$L:$L)</f>
        <v>1000150135</v>
      </c>
      <c r="K294" s="5" t="str">
        <f>_xlfn.XLOOKUP($N294,'Base de Grupos'!$A:$A,'Base de Grupos'!$M:$M)</f>
        <v>HELDER DA SILVA BRUNKOW</v>
      </c>
      <c r="L294" s="5" t="str">
        <f t="shared" si="269"/>
        <v/>
      </c>
      <c r="M294" s="5" t="str">
        <f>_xlfn.XLOOKUP($N294,'Base de Grupos'!$A:$A,'Base de Grupos'!$C:$C)</f>
        <v>MT</v>
      </c>
      <c r="N294" s="3">
        <v>1354</v>
      </c>
      <c r="O294" s="4" t="s">
        <v>240</v>
      </c>
      <c r="P294" s="5" t="s">
        <v>84</v>
      </c>
      <c r="Q294" s="56">
        <v>0</v>
      </c>
      <c r="R294" s="56">
        <v>0</v>
      </c>
      <c r="S294" s="56">
        <v>0</v>
      </c>
      <c r="T294" s="56">
        <f>_xlfn.XLOOKUP($N294,'Calculo Leads'!$A$97:$A$134,'Calculo Leads'!G$97:G$134)*_xlfn.XLOOKUP($P294,'Base Grupo de Produtos'!$E$2:$E$18,'Base Grupo de Produtos'!$F$2:$F$18)</f>
        <v>240</v>
      </c>
      <c r="U294" s="56">
        <f>_xlfn.XLOOKUP($N294,'Calculo Leads'!$A$97:$A$134,'Calculo Leads'!H$97:H$134)*_xlfn.XLOOKUP($P294,'Base Grupo de Produtos'!$E$2:$E$18,'Base Grupo de Produtos'!$F$2:$F$18)</f>
        <v>240</v>
      </c>
      <c r="V294" s="56">
        <f>_xlfn.XLOOKUP($N294,'Calculo Leads'!$A$97:$A$134,'Calculo Leads'!I$97:I$134)*_xlfn.XLOOKUP($P294,'Base Grupo de Produtos'!$E$2:$E$18,'Base Grupo de Produtos'!$F$2:$F$18)</f>
        <v>320</v>
      </c>
      <c r="W294" s="56">
        <f>_xlfn.XLOOKUP($N294,'Calculo Leads'!$A$97:$A$134,'Calculo Leads'!J$97:J$134)*_xlfn.XLOOKUP($P294,'Base Grupo de Produtos'!$E$2:$E$18,'Base Grupo de Produtos'!$F$2:$F$18)</f>
        <v>400</v>
      </c>
      <c r="X294" s="56">
        <f>_xlfn.XLOOKUP($N294,'Calculo Leads'!$A$97:$A$134,'Calculo Leads'!K$97:K$134)*_xlfn.XLOOKUP($P294,'Base Grupo de Produtos'!$E$2:$E$18,'Base Grupo de Produtos'!$F$2:$F$18)</f>
        <v>440</v>
      </c>
      <c r="Y294" s="56">
        <f>_xlfn.XLOOKUP($N294,'Calculo Leads'!$A$97:$A$134,'Calculo Leads'!L$97:L$134)*_xlfn.XLOOKUP($P294,'Base Grupo de Produtos'!$E$2:$E$18,'Base Grupo de Produtos'!$F$2:$F$18)</f>
        <v>528</v>
      </c>
      <c r="Z294" s="56">
        <f>_xlfn.XLOOKUP($N294,'Calculo Leads'!$A$97:$A$134,'Calculo Leads'!M$97:M$134)*_xlfn.XLOOKUP($P294,'Base Grupo de Produtos'!$E$2:$E$18,'Base Grupo de Produtos'!$F$2:$F$18)</f>
        <v>616</v>
      </c>
      <c r="AA294" s="56">
        <f>_xlfn.XLOOKUP($N294,'Calculo Leads'!$A$97:$A$134,'Calculo Leads'!N$97:N$134)*_xlfn.XLOOKUP($P294,'Base Grupo de Produtos'!$E$2:$E$18,'Base Grupo de Produtos'!$F$2:$F$18)</f>
        <v>704</v>
      </c>
      <c r="AB294" s="56">
        <f>_xlfn.XLOOKUP($N294,'Calculo Leads'!$A$97:$A$134,'Calculo Leads'!O$97:O$134)*_xlfn.XLOOKUP($P294,'Base Grupo de Produtos'!$E$2:$E$18,'Base Grupo de Produtos'!$F$2:$F$18)</f>
        <v>440</v>
      </c>
      <c r="AC294" s="61">
        <f t="shared" si="289"/>
        <v>3928</v>
      </c>
      <c r="AD294" s="27">
        <f t="shared" si="323"/>
        <v>3928</v>
      </c>
      <c r="AE294" s="25">
        <f>IFERROR(_xlfn.XLOOKUP(N294&amp;P294,'Historico Vendas'!G:G,'Historico Vendas'!E:E),0)</f>
        <v>0</v>
      </c>
      <c r="AF294" s="29" t="str">
        <f t="shared" si="267"/>
        <v/>
      </c>
      <c r="AG294" s="24">
        <f>IFERROR(_xlfn.XLOOKUP(N294&amp;P294,'Historico Vendas'!G:G,'Historico Vendas'!F:F),0)</f>
        <v>0</v>
      </c>
      <c r="AH294" s="25">
        <f t="shared" si="324"/>
        <v>0</v>
      </c>
      <c r="AI294" s="24">
        <f t="shared" si="325"/>
        <v>0</v>
      </c>
      <c r="AJ294" s="11" t="str">
        <f t="shared" si="270"/>
        <v/>
      </c>
      <c r="AK294" s="9" t="s">
        <v>102</v>
      </c>
      <c r="AL294" s="13">
        <f>IFERROR(INDEX('Balizador da Meta'!$D$3:$F$23,MATCH(Faturamento!$P294,'Balizador da Meta'!$C$3:$C$23,0),MATCH(Faturamento!AK294,'Balizador da Meta'!$D$2:$F$2,0)),"")</f>
        <v>0.15</v>
      </c>
      <c r="AM294" s="9"/>
    </row>
    <row r="295" spans="1:39" x14ac:dyDescent="0.3">
      <c r="A295" s="2" t="str">
        <f t="shared" si="268"/>
        <v>NÃO</v>
      </c>
      <c r="B295" s="2" t="str">
        <f>_xlfn.XLOOKUP($N295,'Base de Grupos'!$A:$A,'Base de Grupos'!$D:$D)</f>
        <v>1000065763</v>
      </c>
      <c r="C295" s="5" t="str">
        <f>_xlfn.XLOOKUP($N295,'Base de Grupos'!$A:$A,'Base de Grupos'!$E:$E)</f>
        <v>CANAL VENDA INTERNA</v>
      </c>
      <c r="D295" s="5" t="str">
        <f>_xlfn.XLOOKUP($N295,'Base de Grupos'!$A:$A,'Base de Grupos'!$F:$F)</f>
        <v>1000065763</v>
      </c>
      <c r="E295" s="2" t="str">
        <f>_xlfn.XLOOKUP($N295,'Base de Grupos'!$A:$A,'Base de Grupos'!$G:$G)</f>
        <v>CANAL VENDA INTERNA</v>
      </c>
      <c r="F295" s="2" t="str">
        <f>_xlfn.XLOOKUP($N295,'Base de Grupos'!$A:$A,'Base de Grupos'!$H:$H)</f>
        <v>1000105900</v>
      </c>
      <c r="G295" s="5" t="str">
        <f>_xlfn.XLOOKUP($N295,'Base de Grupos'!$A:$A,'Base de Grupos'!$I:$I)</f>
        <v>REGIONAL VENDA DIRETA CO + NE + NO</v>
      </c>
      <c r="H295" s="5" t="str">
        <f>_xlfn.XLOOKUP($N295,'Base de Grupos'!$A:$A,'Base de Grupos'!$J:$J)</f>
        <v>1000105900</v>
      </c>
      <c r="I295" s="2" t="str">
        <f>_xlfn.XLOOKUP($N295,'Base de Grupos'!$A:$A,'Base de Grupos'!$K:$K)</f>
        <v>REGIONAL VENDA DIRETA CO + NE + NO</v>
      </c>
      <c r="J295" s="2" t="str">
        <f>_xlfn.XLOOKUP($N295,'Base de Grupos'!$A:$A,'Base de Grupos'!$L:$L)</f>
        <v>1000150135</v>
      </c>
      <c r="K295" s="5" t="str">
        <f>_xlfn.XLOOKUP($N295,'Base de Grupos'!$A:$A,'Base de Grupos'!$M:$M)</f>
        <v>HELDER DA SILVA BRUNKOW</v>
      </c>
      <c r="L295" s="5" t="str">
        <f t="shared" si="269"/>
        <v/>
      </c>
      <c r="M295" s="5" t="str">
        <f>_xlfn.XLOOKUP($N295,'Base de Grupos'!$A:$A,'Base de Grupos'!$C:$C)</f>
        <v>MT</v>
      </c>
      <c r="N295" s="3">
        <v>1354</v>
      </c>
      <c r="O295" s="4" t="s">
        <v>240</v>
      </c>
      <c r="P295" s="5" t="s">
        <v>83</v>
      </c>
      <c r="Q295" s="56">
        <v>0</v>
      </c>
      <c r="R295" s="56">
        <v>0</v>
      </c>
      <c r="S295" s="56">
        <v>0</v>
      </c>
      <c r="T295" s="56">
        <f>_xlfn.XLOOKUP($N295,'Calculo Leads'!$A$97:$A$134,'Calculo Leads'!G$97:G$134)*_xlfn.XLOOKUP($P295,'Base Grupo de Produtos'!$E$2:$E$18,'Base Grupo de Produtos'!$F$2:$F$18)</f>
        <v>300</v>
      </c>
      <c r="U295" s="56">
        <f>_xlfn.XLOOKUP($N295,'Calculo Leads'!$A$97:$A$134,'Calculo Leads'!H$97:H$134)*_xlfn.XLOOKUP($P295,'Base Grupo de Produtos'!$E$2:$E$18,'Base Grupo de Produtos'!$F$2:$F$18)</f>
        <v>300</v>
      </c>
      <c r="V295" s="56">
        <f>_xlfn.XLOOKUP($N295,'Calculo Leads'!$A$97:$A$134,'Calculo Leads'!I$97:I$134)*_xlfn.XLOOKUP($P295,'Base Grupo de Produtos'!$E$2:$E$18,'Base Grupo de Produtos'!$F$2:$F$18)</f>
        <v>400</v>
      </c>
      <c r="W295" s="56">
        <f>_xlfn.XLOOKUP($N295,'Calculo Leads'!$A$97:$A$134,'Calculo Leads'!J$97:J$134)*_xlfn.XLOOKUP($P295,'Base Grupo de Produtos'!$E$2:$E$18,'Base Grupo de Produtos'!$F$2:$F$18)</f>
        <v>500</v>
      </c>
      <c r="X295" s="56">
        <f>_xlfn.XLOOKUP($N295,'Calculo Leads'!$A$97:$A$134,'Calculo Leads'!K$97:K$134)*_xlfn.XLOOKUP($P295,'Base Grupo de Produtos'!$E$2:$E$18,'Base Grupo de Produtos'!$F$2:$F$18)</f>
        <v>550</v>
      </c>
      <c r="Y295" s="56">
        <f>_xlfn.XLOOKUP($N295,'Calculo Leads'!$A$97:$A$134,'Calculo Leads'!L$97:L$134)*_xlfn.XLOOKUP($P295,'Base Grupo de Produtos'!$E$2:$E$18,'Base Grupo de Produtos'!$F$2:$F$18)</f>
        <v>660</v>
      </c>
      <c r="Z295" s="56">
        <f>_xlfn.XLOOKUP($N295,'Calculo Leads'!$A$97:$A$134,'Calculo Leads'!M$97:M$134)*_xlfn.XLOOKUP($P295,'Base Grupo de Produtos'!$E$2:$E$18,'Base Grupo de Produtos'!$F$2:$F$18)</f>
        <v>770</v>
      </c>
      <c r="AA295" s="56">
        <f>_xlfn.XLOOKUP($N295,'Calculo Leads'!$A$97:$A$134,'Calculo Leads'!N$97:N$134)*_xlfn.XLOOKUP($P295,'Base Grupo de Produtos'!$E$2:$E$18,'Base Grupo de Produtos'!$F$2:$F$18)</f>
        <v>880</v>
      </c>
      <c r="AB295" s="56">
        <f>_xlfn.XLOOKUP($N295,'Calculo Leads'!$A$97:$A$134,'Calculo Leads'!O$97:O$134)*_xlfn.XLOOKUP($P295,'Base Grupo de Produtos'!$E$2:$E$18,'Base Grupo de Produtos'!$F$2:$F$18)</f>
        <v>550</v>
      </c>
      <c r="AC295" s="61">
        <f t="shared" si="289"/>
        <v>4910</v>
      </c>
      <c r="AD295" s="27">
        <f t="shared" si="323"/>
        <v>4910</v>
      </c>
      <c r="AE295" s="25">
        <f>IFERROR(_xlfn.XLOOKUP(N295&amp;P295,'Historico Vendas'!G:G,'Historico Vendas'!E:E),0)</f>
        <v>0</v>
      </c>
      <c r="AF295" s="29" t="str">
        <f t="shared" si="267"/>
        <v/>
      </c>
      <c r="AG295" s="24">
        <f>IFERROR(_xlfn.XLOOKUP(N295&amp;P295,'Historico Vendas'!G:G,'Historico Vendas'!F:F),0)</f>
        <v>0</v>
      </c>
      <c r="AH295" s="25">
        <f t="shared" si="324"/>
        <v>0</v>
      </c>
      <c r="AI295" s="24">
        <f t="shared" si="325"/>
        <v>0</v>
      </c>
      <c r="AJ295" s="11" t="str">
        <f t="shared" si="270"/>
        <v/>
      </c>
      <c r="AK295" s="9" t="s">
        <v>102</v>
      </c>
      <c r="AL295" s="13">
        <f>IFERROR(INDEX('Balizador da Meta'!$D$3:$F$23,MATCH(Faturamento!$P295,'Balizador da Meta'!$C$3:$C$23,0),MATCH(Faturamento!AK295,'Balizador da Meta'!$D$2:$F$2,0)),"")</f>
        <v>0</v>
      </c>
      <c r="AM295" s="9"/>
    </row>
    <row r="296" spans="1:39" x14ac:dyDescent="0.3">
      <c r="A296" s="2" t="str">
        <f t="shared" si="268"/>
        <v>NÃO</v>
      </c>
      <c r="B296" s="2" t="str">
        <f>_xlfn.XLOOKUP($N296,'Base de Grupos'!$A:$A,'Base de Grupos'!$D:$D)</f>
        <v>1000065763</v>
      </c>
      <c r="C296" s="5" t="str">
        <f>_xlfn.XLOOKUP($N296,'Base de Grupos'!$A:$A,'Base de Grupos'!$E:$E)</f>
        <v>CANAL VENDA INTERNA</v>
      </c>
      <c r="D296" s="5" t="str">
        <f>_xlfn.XLOOKUP($N296,'Base de Grupos'!$A:$A,'Base de Grupos'!$F:$F)</f>
        <v>1000065763</v>
      </c>
      <c r="E296" s="2" t="str">
        <f>_xlfn.XLOOKUP($N296,'Base de Grupos'!$A:$A,'Base de Grupos'!$G:$G)</f>
        <v>CANAL VENDA INTERNA</v>
      </c>
      <c r="F296" s="2" t="str">
        <f>_xlfn.XLOOKUP($N296,'Base de Grupos'!$A:$A,'Base de Grupos'!$H:$H)</f>
        <v>1000105900</v>
      </c>
      <c r="G296" s="5" t="str">
        <f>_xlfn.XLOOKUP($N296,'Base de Grupos'!$A:$A,'Base de Grupos'!$I:$I)</f>
        <v>REGIONAL VENDA DIRETA CO + NE + NO</v>
      </c>
      <c r="H296" s="5" t="str">
        <f>_xlfn.XLOOKUP($N296,'Base de Grupos'!$A:$A,'Base de Grupos'!$J:$J)</f>
        <v>1000105900</v>
      </c>
      <c r="I296" s="2" t="str">
        <f>_xlfn.XLOOKUP($N296,'Base de Grupos'!$A:$A,'Base de Grupos'!$K:$K)</f>
        <v>REGIONAL VENDA DIRETA CO + NE + NO</v>
      </c>
      <c r="J296" s="2" t="str">
        <f>_xlfn.XLOOKUP($N296,'Base de Grupos'!$A:$A,'Base de Grupos'!$L:$L)</f>
        <v>1000150135</v>
      </c>
      <c r="K296" s="5" t="str">
        <f>_xlfn.XLOOKUP($N296,'Base de Grupos'!$A:$A,'Base de Grupos'!$M:$M)</f>
        <v>HELDER DA SILVA BRUNKOW</v>
      </c>
      <c r="L296" s="5" t="str">
        <f t="shared" si="269"/>
        <v/>
      </c>
      <c r="M296" s="5" t="str">
        <f>_xlfn.XLOOKUP($N296,'Base de Grupos'!$A:$A,'Base de Grupos'!$C:$C)</f>
        <v>MT</v>
      </c>
      <c r="N296" s="3">
        <v>1354</v>
      </c>
      <c r="O296" s="4" t="s">
        <v>240</v>
      </c>
      <c r="P296" s="5" t="s">
        <v>87</v>
      </c>
      <c r="Q296" s="56">
        <v>0</v>
      </c>
      <c r="R296" s="56">
        <v>0</v>
      </c>
      <c r="S296" s="56">
        <v>0</v>
      </c>
      <c r="T296" s="56">
        <f>_xlfn.XLOOKUP($N296,'Calculo Leads'!$A$97:$A$134,'Calculo Leads'!G$97:G$134)*_xlfn.XLOOKUP($P296,'Base Grupo de Produtos'!$E$2:$E$18,'Base Grupo de Produtos'!$F$2:$F$18)</f>
        <v>59.999999999999993</v>
      </c>
      <c r="U296" s="56">
        <f>_xlfn.XLOOKUP($N296,'Calculo Leads'!$A$97:$A$134,'Calculo Leads'!H$97:H$134)*_xlfn.XLOOKUP($P296,'Base Grupo de Produtos'!$E$2:$E$18,'Base Grupo de Produtos'!$F$2:$F$18)</f>
        <v>59.999999999999993</v>
      </c>
      <c r="V296" s="56">
        <f>_xlfn.XLOOKUP($N296,'Calculo Leads'!$A$97:$A$134,'Calculo Leads'!I$97:I$134)*_xlfn.XLOOKUP($P296,'Base Grupo de Produtos'!$E$2:$E$18,'Base Grupo de Produtos'!$F$2:$F$18)</f>
        <v>79.999999999999986</v>
      </c>
      <c r="W296" s="56">
        <f>_xlfn.XLOOKUP($N296,'Calculo Leads'!$A$97:$A$134,'Calculo Leads'!J$97:J$134)*_xlfn.XLOOKUP($P296,'Base Grupo de Produtos'!$E$2:$E$18,'Base Grupo de Produtos'!$F$2:$F$18)</f>
        <v>99.999999999999986</v>
      </c>
      <c r="X296" s="56">
        <f>_xlfn.XLOOKUP($N296,'Calculo Leads'!$A$97:$A$134,'Calculo Leads'!K$97:K$134)*_xlfn.XLOOKUP($P296,'Base Grupo de Produtos'!$E$2:$E$18,'Base Grupo de Produtos'!$F$2:$F$18)</f>
        <v>109.99999999999999</v>
      </c>
      <c r="Y296" s="56">
        <f>_xlfn.XLOOKUP($N296,'Calculo Leads'!$A$97:$A$134,'Calculo Leads'!L$97:L$134)*_xlfn.XLOOKUP($P296,'Base Grupo de Produtos'!$E$2:$E$18,'Base Grupo de Produtos'!$F$2:$F$18)</f>
        <v>131.99999999999997</v>
      </c>
      <c r="Z296" s="56">
        <f>_xlfn.XLOOKUP($N296,'Calculo Leads'!$A$97:$A$134,'Calculo Leads'!M$97:M$134)*_xlfn.XLOOKUP($P296,'Base Grupo de Produtos'!$E$2:$E$18,'Base Grupo de Produtos'!$F$2:$F$18)</f>
        <v>153.99999999999997</v>
      </c>
      <c r="AA296" s="56">
        <f>_xlfn.XLOOKUP($N296,'Calculo Leads'!$A$97:$A$134,'Calculo Leads'!N$97:N$134)*_xlfn.XLOOKUP($P296,'Base Grupo de Produtos'!$E$2:$E$18,'Base Grupo de Produtos'!$F$2:$F$18)</f>
        <v>175.99999999999997</v>
      </c>
      <c r="AB296" s="56">
        <f>_xlfn.XLOOKUP($N296,'Calculo Leads'!$A$97:$A$134,'Calculo Leads'!O$97:O$134)*_xlfn.XLOOKUP($P296,'Base Grupo de Produtos'!$E$2:$E$18,'Base Grupo de Produtos'!$F$2:$F$18)</f>
        <v>109.99999999999999</v>
      </c>
      <c r="AC296" s="61">
        <f t="shared" si="289"/>
        <v>981.99999999999989</v>
      </c>
      <c r="AD296" s="27">
        <f t="shared" si="323"/>
        <v>981.99999999999989</v>
      </c>
      <c r="AE296" s="25">
        <f>IFERROR(_xlfn.XLOOKUP(N296&amp;P296,'Historico Vendas'!G:G,'Historico Vendas'!E:E),0)</f>
        <v>0</v>
      </c>
      <c r="AF296" s="29" t="str">
        <f t="shared" si="267"/>
        <v/>
      </c>
      <c r="AG296" s="24">
        <f>IFERROR(_xlfn.XLOOKUP(N296&amp;P296,'Historico Vendas'!G:G,'Historico Vendas'!F:F),0)</f>
        <v>0</v>
      </c>
      <c r="AH296" s="25">
        <f t="shared" si="324"/>
        <v>0</v>
      </c>
      <c r="AI296" s="24">
        <f t="shared" si="325"/>
        <v>0</v>
      </c>
      <c r="AJ296" s="11" t="str">
        <f t="shared" si="270"/>
        <v/>
      </c>
      <c r="AK296" s="9" t="s">
        <v>102</v>
      </c>
      <c r="AL296" s="13">
        <f>IFERROR(INDEX('Balizador da Meta'!$D$3:$F$23,MATCH(Faturamento!$P296,'Balizador da Meta'!$C$3:$C$23,0),MATCH(Faturamento!AK296,'Balizador da Meta'!$D$2:$F$2,0)),"")</f>
        <v>0</v>
      </c>
      <c r="AM296" s="9"/>
    </row>
    <row r="297" spans="1:39" x14ac:dyDescent="0.3">
      <c r="A297" s="2" t="str">
        <f t="shared" si="268"/>
        <v>NÃO</v>
      </c>
      <c r="B297" s="2" t="str">
        <f>_xlfn.XLOOKUP($N297,'Base de Grupos'!$A:$A,'Base de Grupos'!$D:$D)</f>
        <v>1000065763</v>
      </c>
      <c r="C297" s="5" t="str">
        <f>_xlfn.XLOOKUP($N297,'Base de Grupos'!$A:$A,'Base de Grupos'!$E:$E)</f>
        <v>CANAL VENDA INTERNA</v>
      </c>
      <c r="D297" s="5" t="str">
        <f>_xlfn.XLOOKUP($N297,'Base de Grupos'!$A:$A,'Base de Grupos'!$F:$F)</f>
        <v>1000065763</v>
      </c>
      <c r="E297" s="2" t="str">
        <f>_xlfn.XLOOKUP($N297,'Base de Grupos'!$A:$A,'Base de Grupos'!$G:$G)</f>
        <v>CANAL VENDA INTERNA</v>
      </c>
      <c r="F297" s="2" t="str">
        <f>_xlfn.XLOOKUP($N297,'Base de Grupos'!$A:$A,'Base de Grupos'!$H:$H)</f>
        <v>1000105900</v>
      </c>
      <c r="G297" s="5" t="str">
        <f>_xlfn.XLOOKUP($N297,'Base de Grupos'!$A:$A,'Base de Grupos'!$I:$I)</f>
        <v>REGIONAL VENDA DIRETA CO + NE + NO</v>
      </c>
      <c r="H297" s="5" t="str">
        <f>_xlfn.XLOOKUP($N297,'Base de Grupos'!$A:$A,'Base de Grupos'!$J:$J)</f>
        <v>1000105900</v>
      </c>
      <c r="I297" s="2" t="str">
        <f>_xlfn.XLOOKUP($N297,'Base de Grupos'!$A:$A,'Base de Grupos'!$K:$K)</f>
        <v>REGIONAL VENDA DIRETA CO + NE + NO</v>
      </c>
      <c r="J297" s="2" t="str">
        <f>_xlfn.XLOOKUP($N297,'Base de Grupos'!$A:$A,'Base de Grupos'!$L:$L)</f>
        <v>1000150135</v>
      </c>
      <c r="K297" s="5" t="str">
        <f>_xlfn.XLOOKUP($N297,'Base de Grupos'!$A:$A,'Base de Grupos'!$M:$M)</f>
        <v>HELDER DA SILVA BRUNKOW</v>
      </c>
      <c r="L297" s="5" t="str">
        <f t="shared" si="269"/>
        <v/>
      </c>
      <c r="M297" s="5" t="str">
        <f>_xlfn.XLOOKUP($N297,'Base de Grupos'!$A:$A,'Base de Grupos'!$C:$C)</f>
        <v>MT</v>
      </c>
      <c r="N297" s="3">
        <v>1354</v>
      </c>
      <c r="O297" s="4" t="s">
        <v>240</v>
      </c>
      <c r="P297" s="5" t="s">
        <v>85</v>
      </c>
      <c r="Q297" s="56">
        <v>0</v>
      </c>
      <c r="R297" s="56">
        <v>0</v>
      </c>
      <c r="S297" s="56">
        <v>0</v>
      </c>
      <c r="T297" s="56">
        <f>_xlfn.XLOOKUP($N297,'Calculo Leads'!$A$97:$A$134,'Calculo Leads'!G$97:G$134)*_xlfn.XLOOKUP($P297,'Base Grupo de Produtos'!$E$2:$E$18,'Base Grupo de Produtos'!$F$2:$F$18)</f>
        <v>60</v>
      </c>
      <c r="U297" s="56">
        <f>_xlfn.XLOOKUP($N297,'Calculo Leads'!$A$97:$A$134,'Calculo Leads'!H$97:H$134)*_xlfn.XLOOKUP($P297,'Base Grupo de Produtos'!$E$2:$E$18,'Base Grupo de Produtos'!$F$2:$F$18)</f>
        <v>60</v>
      </c>
      <c r="V297" s="56">
        <f>_xlfn.XLOOKUP($N297,'Calculo Leads'!$A$97:$A$134,'Calculo Leads'!I$97:I$134)*_xlfn.XLOOKUP($P297,'Base Grupo de Produtos'!$E$2:$E$18,'Base Grupo de Produtos'!$F$2:$F$18)</f>
        <v>80</v>
      </c>
      <c r="W297" s="56">
        <f>_xlfn.XLOOKUP($N297,'Calculo Leads'!$A$97:$A$134,'Calculo Leads'!J$97:J$134)*_xlfn.XLOOKUP($P297,'Base Grupo de Produtos'!$E$2:$E$18,'Base Grupo de Produtos'!$F$2:$F$18)</f>
        <v>100</v>
      </c>
      <c r="X297" s="56">
        <f>_xlfn.XLOOKUP($N297,'Calculo Leads'!$A$97:$A$134,'Calculo Leads'!K$97:K$134)*_xlfn.XLOOKUP($P297,'Base Grupo de Produtos'!$E$2:$E$18,'Base Grupo de Produtos'!$F$2:$F$18)</f>
        <v>110</v>
      </c>
      <c r="Y297" s="56">
        <f>_xlfn.XLOOKUP($N297,'Calculo Leads'!$A$97:$A$134,'Calculo Leads'!L$97:L$134)*_xlfn.XLOOKUP($P297,'Base Grupo de Produtos'!$E$2:$E$18,'Base Grupo de Produtos'!$F$2:$F$18)</f>
        <v>132</v>
      </c>
      <c r="Z297" s="56">
        <f>_xlfn.XLOOKUP($N297,'Calculo Leads'!$A$97:$A$134,'Calculo Leads'!M$97:M$134)*_xlfn.XLOOKUP($P297,'Base Grupo de Produtos'!$E$2:$E$18,'Base Grupo de Produtos'!$F$2:$F$18)</f>
        <v>154</v>
      </c>
      <c r="AA297" s="56">
        <f>_xlfn.XLOOKUP($N297,'Calculo Leads'!$A$97:$A$134,'Calculo Leads'!N$97:N$134)*_xlfn.XLOOKUP($P297,'Base Grupo de Produtos'!$E$2:$E$18,'Base Grupo de Produtos'!$F$2:$F$18)</f>
        <v>176</v>
      </c>
      <c r="AB297" s="56">
        <f>_xlfn.XLOOKUP($N297,'Calculo Leads'!$A$97:$A$134,'Calculo Leads'!O$97:O$134)*_xlfn.XLOOKUP($P297,'Base Grupo de Produtos'!$E$2:$E$18,'Base Grupo de Produtos'!$F$2:$F$18)</f>
        <v>110</v>
      </c>
      <c r="AC297" s="61">
        <f t="shared" si="289"/>
        <v>982</v>
      </c>
      <c r="AD297" s="27">
        <f t="shared" si="323"/>
        <v>982</v>
      </c>
      <c r="AE297" s="25">
        <f>IFERROR(_xlfn.XLOOKUP(N297&amp;P297,'Historico Vendas'!G:G,'Historico Vendas'!E:E),0)</f>
        <v>0</v>
      </c>
      <c r="AF297" s="29" t="str">
        <f t="shared" si="267"/>
        <v/>
      </c>
      <c r="AG297" s="24">
        <f>IFERROR(_xlfn.XLOOKUP(N297&amp;P297,'Historico Vendas'!G:G,'Historico Vendas'!F:F),0)</f>
        <v>0</v>
      </c>
      <c r="AH297" s="25">
        <f t="shared" si="324"/>
        <v>0</v>
      </c>
      <c r="AI297" s="24">
        <f t="shared" si="325"/>
        <v>0</v>
      </c>
      <c r="AJ297" s="11" t="str">
        <f t="shared" si="270"/>
        <v/>
      </c>
      <c r="AK297" s="9" t="s">
        <v>102</v>
      </c>
      <c r="AL297" s="13">
        <f>IFERROR(INDEX('Balizador da Meta'!$D$3:$F$23,MATCH(Faturamento!$P297,'Balizador da Meta'!$C$3:$C$23,0),MATCH(Faturamento!AK297,'Balizador da Meta'!$D$2:$F$2,0)),"")</f>
        <v>0</v>
      </c>
      <c r="AM297" s="9"/>
    </row>
    <row r="298" spans="1:39" x14ac:dyDescent="0.3">
      <c r="A298" s="2" t="str">
        <f t="shared" si="268"/>
        <v>NÃO</v>
      </c>
      <c r="B298" s="2" t="str">
        <f>_xlfn.XLOOKUP($N298,'Base de Grupos'!$A:$A,'Base de Grupos'!$D:$D)</f>
        <v>1000065763</v>
      </c>
      <c r="C298" s="5" t="str">
        <f>_xlfn.XLOOKUP($N298,'Base de Grupos'!$A:$A,'Base de Grupos'!$E:$E)</f>
        <v>CANAL VENDA INTERNA</v>
      </c>
      <c r="D298" s="5" t="str">
        <f>_xlfn.XLOOKUP($N298,'Base de Grupos'!$A:$A,'Base de Grupos'!$F:$F)</f>
        <v>1000065763</v>
      </c>
      <c r="E298" s="2" t="str">
        <f>_xlfn.XLOOKUP($N298,'Base de Grupos'!$A:$A,'Base de Grupos'!$G:$G)</f>
        <v>CANAL VENDA INTERNA</v>
      </c>
      <c r="F298" s="2" t="str">
        <f>_xlfn.XLOOKUP($N298,'Base de Grupos'!$A:$A,'Base de Grupos'!$H:$H)</f>
        <v>1000105900</v>
      </c>
      <c r="G298" s="5" t="str">
        <f>_xlfn.XLOOKUP($N298,'Base de Grupos'!$A:$A,'Base de Grupos'!$I:$I)</f>
        <v>REGIONAL VENDA DIRETA CO + NE + NO</v>
      </c>
      <c r="H298" s="5" t="str">
        <f>_xlfn.XLOOKUP($N298,'Base de Grupos'!$A:$A,'Base de Grupos'!$J:$J)</f>
        <v>1000105900</v>
      </c>
      <c r="I298" s="2" t="str">
        <f>_xlfn.XLOOKUP($N298,'Base de Grupos'!$A:$A,'Base de Grupos'!$K:$K)</f>
        <v>REGIONAL VENDA DIRETA CO + NE + NO</v>
      </c>
      <c r="J298" s="2" t="str">
        <f>_xlfn.XLOOKUP($N298,'Base de Grupos'!$A:$A,'Base de Grupos'!$L:$L)</f>
        <v>1000150135</v>
      </c>
      <c r="K298" s="5" t="str">
        <f>_xlfn.XLOOKUP($N298,'Base de Grupos'!$A:$A,'Base de Grupos'!$M:$M)</f>
        <v>HELDER DA SILVA BRUNKOW</v>
      </c>
      <c r="L298" s="5" t="str">
        <f t="shared" si="269"/>
        <v/>
      </c>
      <c r="M298" s="5" t="str">
        <f>_xlfn.XLOOKUP($N298,'Base de Grupos'!$A:$A,'Base de Grupos'!$C:$C)</f>
        <v>MT</v>
      </c>
      <c r="N298" s="3">
        <v>1354</v>
      </c>
      <c r="O298" s="4" t="s">
        <v>240</v>
      </c>
      <c r="P298" s="5" t="s">
        <v>92</v>
      </c>
      <c r="Q298" s="56">
        <v>0</v>
      </c>
      <c r="R298" s="56">
        <v>0</v>
      </c>
      <c r="S298" s="56">
        <v>0</v>
      </c>
      <c r="T298" s="56">
        <f>_xlfn.XLOOKUP($N298,'Calculo Leads'!$A$97:$A$134,'Calculo Leads'!G$97:G$134)*_xlfn.XLOOKUP($P298,'Base Grupo de Produtos'!$E$2:$E$18,'Base Grupo de Produtos'!$F$2:$F$18)</f>
        <v>60</v>
      </c>
      <c r="U298" s="56">
        <f>_xlfn.XLOOKUP($N298,'Calculo Leads'!$A$97:$A$134,'Calculo Leads'!H$97:H$134)*_xlfn.XLOOKUP($P298,'Base Grupo de Produtos'!$E$2:$E$18,'Base Grupo de Produtos'!$F$2:$F$18)</f>
        <v>60</v>
      </c>
      <c r="V298" s="56">
        <f>_xlfn.XLOOKUP($N298,'Calculo Leads'!$A$97:$A$134,'Calculo Leads'!I$97:I$134)*_xlfn.XLOOKUP($P298,'Base Grupo de Produtos'!$E$2:$E$18,'Base Grupo de Produtos'!$F$2:$F$18)</f>
        <v>80</v>
      </c>
      <c r="W298" s="56">
        <f>_xlfn.XLOOKUP($N298,'Calculo Leads'!$A$97:$A$134,'Calculo Leads'!J$97:J$134)*_xlfn.XLOOKUP($P298,'Base Grupo de Produtos'!$E$2:$E$18,'Base Grupo de Produtos'!$F$2:$F$18)</f>
        <v>100</v>
      </c>
      <c r="X298" s="56">
        <f>_xlfn.XLOOKUP($N298,'Calculo Leads'!$A$97:$A$134,'Calculo Leads'!K$97:K$134)*_xlfn.XLOOKUP($P298,'Base Grupo de Produtos'!$E$2:$E$18,'Base Grupo de Produtos'!$F$2:$F$18)</f>
        <v>110</v>
      </c>
      <c r="Y298" s="56">
        <f>_xlfn.XLOOKUP($N298,'Calculo Leads'!$A$97:$A$134,'Calculo Leads'!L$97:L$134)*_xlfn.XLOOKUP($P298,'Base Grupo de Produtos'!$E$2:$E$18,'Base Grupo de Produtos'!$F$2:$F$18)</f>
        <v>132</v>
      </c>
      <c r="Z298" s="56">
        <f>_xlfn.XLOOKUP($N298,'Calculo Leads'!$A$97:$A$134,'Calculo Leads'!M$97:M$134)*_xlfn.XLOOKUP($P298,'Base Grupo de Produtos'!$E$2:$E$18,'Base Grupo de Produtos'!$F$2:$F$18)</f>
        <v>154</v>
      </c>
      <c r="AA298" s="56">
        <f>_xlfn.XLOOKUP($N298,'Calculo Leads'!$A$97:$A$134,'Calculo Leads'!N$97:N$134)*_xlfn.XLOOKUP($P298,'Base Grupo de Produtos'!$E$2:$E$18,'Base Grupo de Produtos'!$F$2:$F$18)</f>
        <v>176</v>
      </c>
      <c r="AB298" s="56">
        <f>_xlfn.XLOOKUP($N298,'Calculo Leads'!$A$97:$A$134,'Calculo Leads'!O$97:O$134)*_xlfn.XLOOKUP($P298,'Base Grupo de Produtos'!$E$2:$E$18,'Base Grupo de Produtos'!$F$2:$F$18)</f>
        <v>110</v>
      </c>
      <c r="AC298" s="61">
        <f t="shared" si="289"/>
        <v>982</v>
      </c>
      <c r="AD298" s="27">
        <f t="shared" si="323"/>
        <v>982</v>
      </c>
      <c r="AE298" s="25">
        <f>IFERROR(_xlfn.XLOOKUP(N298&amp;P298,'Historico Vendas'!G:G,'Historico Vendas'!E:E),0)</f>
        <v>0</v>
      </c>
      <c r="AF298" s="29" t="str">
        <f t="shared" si="267"/>
        <v/>
      </c>
      <c r="AG298" s="24">
        <f>IFERROR(_xlfn.XLOOKUP(N298&amp;P298,'Historico Vendas'!G:G,'Historico Vendas'!F:F),0)</f>
        <v>0</v>
      </c>
      <c r="AH298" s="25">
        <f t="shared" si="324"/>
        <v>0</v>
      </c>
      <c r="AI298" s="24">
        <f t="shared" si="325"/>
        <v>0</v>
      </c>
      <c r="AJ298" s="11" t="str">
        <f t="shared" si="270"/>
        <v/>
      </c>
      <c r="AK298" s="9" t="s">
        <v>102</v>
      </c>
      <c r="AL298" s="13">
        <f>IFERROR(INDEX('Balizador da Meta'!$D$3:$F$23,MATCH(Faturamento!$P298,'Balizador da Meta'!$C$3:$C$23,0),MATCH(Faturamento!AK298,'Balizador da Meta'!$D$2:$F$2,0)),"")</f>
        <v>0</v>
      </c>
      <c r="AM298" s="9"/>
    </row>
    <row r="299" spans="1:39" x14ac:dyDescent="0.3">
      <c r="A299" s="2" t="str">
        <f t="shared" si="268"/>
        <v>NÃO</v>
      </c>
      <c r="B299" s="2" t="str">
        <f>_xlfn.XLOOKUP($N299,'Base de Grupos'!$A:$A,'Base de Grupos'!$D:$D)</f>
        <v>1000065763</v>
      </c>
      <c r="C299" s="5" t="str">
        <f>_xlfn.XLOOKUP($N299,'Base de Grupos'!$A:$A,'Base de Grupos'!$E:$E)</f>
        <v>CANAL VENDA INTERNA</v>
      </c>
      <c r="D299" s="5" t="str">
        <f>_xlfn.XLOOKUP($N299,'Base de Grupos'!$A:$A,'Base de Grupos'!$F:$F)</f>
        <v>1000065763</v>
      </c>
      <c r="E299" s="2" t="str">
        <f>_xlfn.XLOOKUP($N299,'Base de Grupos'!$A:$A,'Base de Grupos'!$G:$G)</f>
        <v>CANAL VENDA INTERNA</v>
      </c>
      <c r="F299" s="2" t="str">
        <f>_xlfn.XLOOKUP($N299,'Base de Grupos'!$A:$A,'Base de Grupos'!$H:$H)</f>
        <v>1000105900</v>
      </c>
      <c r="G299" s="5" t="str">
        <f>_xlfn.XLOOKUP($N299,'Base de Grupos'!$A:$A,'Base de Grupos'!$I:$I)</f>
        <v>REGIONAL VENDA DIRETA CO + NE + NO</v>
      </c>
      <c r="H299" s="5" t="str">
        <f>_xlfn.XLOOKUP($N299,'Base de Grupos'!$A:$A,'Base de Grupos'!$J:$J)</f>
        <v>1000105900</v>
      </c>
      <c r="I299" s="2" t="str">
        <f>_xlfn.XLOOKUP($N299,'Base de Grupos'!$A:$A,'Base de Grupos'!$K:$K)</f>
        <v>REGIONAL VENDA DIRETA CO + NE + NO</v>
      </c>
      <c r="J299" s="2" t="str">
        <f>_xlfn.XLOOKUP($N299,'Base de Grupos'!$A:$A,'Base de Grupos'!$L:$L)</f>
        <v>1000150135</v>
      </c>
      <c r="K299" s="5" t="str">
        <f>_xlfn.XLOOKUP($N299,'Base de Grupos'!$A:$A,'Base de Grupos'!$M:$M)</f>
        <v>HELDER DA SILVA BRUNKOW</v>
      </c>
      <c r="L299" s="5" t="str">
        <f t="shared" si="269"/>
        <v/>
      </c>
      <c r="M299" s="5" t="str">
        <f>_xlfn.XLOOKUP($N299,'Base de Grupos'!$A:$A,'Base de Grupos'!$C:$C)</f>
        <v>MT</v>
      </c>
      <c r="N299" s="3">
        <v>1354</v>
      </c>
      <c r="O299" s="4" t="s">
        <v>240</v>
      </c>
      <c r="P299" s="5" t="s">
        <v>86</v>
      </c>
      <c r="Q299" s="56">
        <v>0</v>
      </c>
      <c r="R299" s="56">
        <v>0</v>
      </c>
      <c r="S299" s="56">
        <v>0</v>
      </c>
      <c r="T299" s="56">
        <f>_xlfn.XLOOKUP($N299,'Calculo Leads'!$A$97:$A$134,'Calculo Leads'!G$97:G$134)*_xlfn.XLOOKUP($P299,'Base Grupo de Produtos'!$E$2:$E$18,'Base Grupo de Produtos'!$F$2:$F$18)</f>
        <v>90</v>
      </c>
      <c r="U299" s="56">
        <f>_xlfn.XLOOKUP($N299,'Calculo Leads'!$A$97:$A$134,'Calculo Leads'!H$97:H$134)*_xlfn.XLOOKUP($P299,'Base Grupo de Produtos'!$E$2:$E$18,'Base Grupo de Produtos'!$F$2:$F$18)</f>
        <v>90</v>
      </c>
      <c r="V299" s="56">
        <f>_xlfn.XLOOKUP($N299,'Calculo Leads'!$A$97:$A$134,'Calculo Leads'!I$97:I$134)*_xlfn.XLOOKUP($P299,'Base Grupo de Produtos'!$E$2:$E$18,'Base Grupo de Produtos'!$F$2:$F$18)</f>
        <v>120</v>
      </c>
      <c r="W299" s="56">
        <f>_xlfn.XLOOKUP($N299,'Calculo Leads'!$A$97:$A$134,'Calculo Leads'!J$97:J$134)*_xlfn.XLOOKUP($P299,'Base Grupo de Produtos'!$E$2:$E$18,'Base Grupo de Produtos'!$F$2:$F$18)</f>
        <v>150</v>
      </c>
      <c r="X299" s="56">
        <f>_xlfn.XLOOKUP($N299,'Calculo Leads'!$A$97:$A$134,'Calculo Leads'!K$97:K$134)*_xlfn.XLOOKUP($P299,'Base Grupo de Produtos'!$E$2:$E$18,'Base Grupo de Produtos'!$F$2:$F$18)</f>
        <v>165</v>
      </c>
      <c r="Y299" s="56">
        <f>_xlfn.XLOOKUP($N299,'Calculo Leads'!$A$97:$A$134,'Calculo Leads'!L$97:L$134)*_xlfn.XLOOKUP($P299,'Base Grupo de Produtos'!$E$2:$E$18,'Base Grupo de Produtos'!$F$2:$F$18)</f>
        <v>198</v>
      </c>
      <c r="Z299" s="56">
        <f>_xlfn.XLOOKUP($N299,'Calculo Leads'!$A$97:$A$134,'Calculo Leads'!M$97:M$134)*_xlfn.XLOOKUP($P299,'Base Grupo de Produtos'!$E$2:$E$18,'Base Grupo de Produtos'!$F$2:$F$18)</f>
        <v>231</v>
      </c>
      <c r="AA299" s="56">
        <f>_xlfn.XLOOKUP($N299,'Calculo Leads'!$A$97:$A$134,'Calculo Leads'!N$97:N$134)*_xlfn.XLOOKUP($P299,'Base Grupo de Produtos'!$E$2:$E$18,'Base Grupo de Produtos'!$F$2:$F$18)</f>
        <v>264</v>
      </c>
      <c r="AB299" s="56">
        <f>_xlfn.XLOOKUP($N299,'Calculo Leads'!$A$97:$A$134,'Calculo Leads'!O$97:O$134)*_xlfn.XLOOKUP($P299,'Base Grupo de Produtos'!$E$2:$E$18,'Base Grupo de Produtos'!$F$2:$F$18)</f>
        <v>165</v>
      </c>
      <c r="AC299" s="61">
        <f t="shared" si="289"/>
        <v>1473</v>
      </c>
      <c r="AD299" s="27">
        <f t="shared" si="323"/>
        <v>1473</v>
      </c>
      <c r="AE299" s="25">
        <f>IFERROR(_xlfn.XLOOKUP(N299&amp;P299,'Historico Vendas'!G:G,'Historico Vendas'!E:E),0)</f>
        <v>0</v>
      </c>
      <c r="AF299" s="29" t="str">
        <f t="shared" si="267"/>
        <v/>
      </c>
      <c r="AG299" s="24">
        <f>IFERROR(_xlfn.XLOOKUP(N299&amp;P299,'Historico Vendas'!G:G,'Historico Vendas'!F:F),0)</f>
        <v>0</v>
      </c>
      <c r="AH299" s="25">
        <f t="shared" si="324"/>
        <v>0</v>
      </c>
      <c r="AI299" s="24">
        <f t="shared" si="325"/>
        <v>0</v>
      </c>
      <c r="AJ299" s="11" t="str">
        <f t="shared" si="270"/>
        <v/>
      </c>
      <c r="AK299" s="9" t="s">
        <v>102</v>
      </c>
      <c r="AL299" s="13">
        <f>IFERROR(INDEX('Balizador da Meta'!$D$3:$F$23,MATCH(Faturamento!$P299,'Balizador da Meta'!$C$3:$C$23,0),MATCH(Faturamento!AK299,'Balizador da Meta'!$D$2:$F$2,0)),"")</f>
        <v>0.15</v>
      </c>
      <c r="AM299" s="9"/>
    </row>
    <row r="300" spans="1:39" x14ac:dyDescent="0.3">
      <c r="A300" s="2" t="str">
        <f t="shared" si="268"/>
        <v>NÃO</v>
      </c>
      <c r="B300" s="2" t="str">
        <f>_xlfn.XLOOKUP($N300,'Base de Grupos'!$A:$A,'Base de Grupos'!$D:$D)</f>
        <v>1000065763</v>
      </c>
      <c r="C300" s="5" t="str">
        <f>_xlfn.XLOOKUP($N300,'Base de Grupos'!$A:$A,'Base de Grupos'!$E:$E)</f>
        <v>CANAL VENDA INTERNA</v>
      </c>
      <c r="D300" s="5" t="str">
        <f>_xlfn.XLOOKUP($N300,'Base de Grupos'!$A:$A,'Base de Grupos'!$F:$F)</f>
        <v>1000065763</v>
      </c>
      <c r="E300" s="2" t="str">
        <f>_xlfn.XLOOKUP($N300,'Base de Grupos'!$A:$A,'Base de Grupos'!$G:$G)</f>
        <v>CANAL VENDA INTERNA</v>
      </c>
      <c r="F300" s="2" t="str">
        <f>_xlfn.XLOOKUP($N300,'Base de Grupos'!$A:$A,'Base de Grupos'!$H:$H)</f>
        <v>1000105900</v>
      </c>
      <c r="G300" s="5" t="str">
        <f>_xlfn.XLOOKUP($N300,'Base de Grupos'!$A:$A,'Base de Grupos'!$I:$I)</f>
        <v>REGIONAL VENDA DIRETA CO + NE + NO</v>
      </c>
      <c r="H300" s="5" t="str">
        <f>_xlfn.XLOOKUP($N300,'Base de Grupos'!$A:$A,'Base de Grupos'!$J:$J)</f>
        <v>1000105900</v>
      </c>
      <c r="I300" s="2" t="str">
        <f>_xlfn.XLOOKUP($N300,'Base de Grupos'!$A:$A,'Base de Grupos'!$K:$K)</f>
        <v>REGIONAL VENDA DIRETA CO + NE + NO</v>
      </c>
      <c r="J300" s="2" t="str">
        <f>_xlfn.XLOOKUP($N300,'Base de Grupos'!$A:$A,'Base de Grupos'!$L:$L)</f>
        <v>1000150135</v>
      </c>
      <c r="K300" s="5" t="str">
        <f>_xlfn.XLOOKUP($N300,'Base de Grupos'!$A:$A,'Base de Grupos'!$M:$M)</f>
        <v>HELDER DA SILVA BRUNKOW</v>
      </c>
      <c r="L300" s="5" t="str">
        <f t="shared" si="269"/>
        <v/>
      </c>
      <c r="M300" s="5" t="str">
        <f>_xlfn.XLOOKUP($N300,'Base de Grupos'!$A:$A,'Base de Grupos'!$C:$C)</f>
        <v>MT</v>
      </c>
      <c r="N300" s="3">
        <v>1354</v>
      </c>
      <c r="O300" s="4" t="s">
        <v>240</v>
      </c>
      <c r="P300" s="5" t="s">
        <v>108</v>
      </c>
      <c r="Q300" s="56">
        <v>0</v>
      </c>
      <c r="R300" s="56">
        <v>0</v>
      </c>
      <c r="S300" s="56">
        <v>0</v>
      </c>
      <c r="T300" s="56">
        <f>_xlfn.XLOOKUP($N300,'Calculo Leads'!$A$97:$A$134,'Calculo Leads'!G$97:G$134)*_xlfn.XLOOKUP($P300,'Base Grupo de Produtos'!$E$2:$E$18,'Base Grupo de Produtos'!$F$2:$F$18)</f>
        <v>750</v>
      </c>
      <c r="U300" s="56">
        <f>_xlfn.XLOOKUP($N300,'Calculo Leads'!$A$97:$A$134,'Calculo Leads'!H$97:H$134)*_xlfn.XLOOKUP($P300,'Base Grupo de Produtos'!$E$2:$E$18,'Base Grupo de Produtos'!$F$2:$F$18)</f>
        <v>750</v>
      </c>
      <c r="V300" s="56">
        <f>_xlfn.XLOOKUP($N300,'Calculo Leads'!$A$97:$A$134,'Calculo Leads'!I$97:I$134)*_xlfn.XLOOKUP($P300,'Base Grupo de Produtos'!$E$2:$E$18,'Base Grupo de Produtos'!$F$2:$F$18)</f>
        <v>1000</v>
      </c>
      <c r="W300" s="56">
        <f>_xlfn.XLOOKUP($N300,'Calculo Leads'!$A$97:$A$134,'Calculo Leads'!J$97:J$134)*_xlfn.XLOOKUP($P300,'Base Grupo de Produtos'!$E$2:$E$18,'Base Grupo de Produtos'!$F$2:$F$18)</f>
        <v>1250</v>
      </c>
      <c r="X300" s="56">
        <f>_xlfn.XLOOKUP($N300,'Calculo Leads'!$A$97:$A$134,'Calculo Leads'!K$97:K$134)*_xlfn.XLOOKUP($P300,'Base Grupo de Produtos'!$E$2:$E$18,'Base Grupo de Produtos'!$F$2:$F$18)</f>
        <v>1375</v>
      </c>
      <c r="Y300" s="56">
        <f>_xlfn.XLOOKUP($N300,'Calculo Leads'!$A$97:$A$134,'Calculo Leads'!L$97:L$134)*_xlfn.XLOOKUP($P300,'Base Grupo de Produtos'!$E$2:$E$18,'Base Grupo de Produtos'!$F$2:$F$18)</f>
        <v>1650</v>
      </c>
      <c r="Z300" s="56">
        <f>_xlfn.XLOOKUP($N300,'Calculo Leads'!$A$97:$A$134,'Calculo Leads'!M$97:M$134)*_xlfn.XLOOKUP($P300,'Base Grupo de Produtos'!$E$2:$E$18,'Base Grupo de Produtos'!$F$2:$F$18)</f>
        <v>1925</v>
      </c>
      <c r="AA300" s="56">
        <f>_xlfn.XLOOKUP($N300,'Calculo Leads'!$A$97:$A$134,'Calculo Leads'!N$97:N$134)*_xlfn.XLOOKUP($P300,'Base Grupo de Produtos'!$E$2:$E$18,'Base Grupo de Produtos'!$F$2:$F$18)</f>
        <v>2200</v>
      </c>
      <c r="AB300" s="56">
        <f>_xlfn.XLOOKUP($N300,'Calculo Leads'!$A$97:$A$134,'Calculo Leads'!O$97:O$134)*_xlfn.XLOOKUP($P300,'Base Grupo de Produtos'!$E$2:$E$18,'Base Grupo de Produtos'!$F$2:$F$18)</f>
        <v>1375</v>
      </c>
      <c r="AC300" s="61">
        <f t="shared" si="289"/>
        <v>12275</v>
      </c>
      <c r="AD300" s="27">
        <f t="shared" si="323"/>
        <v>12275</v>
      </c>
      <c r="AE300" s="25">
        <f>IFERROR(_xlfn.XLOOKUP(N300&amp;P300,'Historico Vendas'!G:G,'Historico Vendas'!E:E),0)</f>
        <v>0</v>
      </c>
      <c r="AF300" s="29" t="str">
        <f t="shared" si="267"/>
        <v/>
      </c>
      <c r="AG300" s="24">
        <f>IFERROR(_xlfn.XLOOKUP(N300&amp;P300,'Historico Vendas'!G:G,'Historico Vendas'!F:F),0)</f>
        <v>0</v>
      </c>
      <c r="AH300" s="25">
        <f t="shared" si="324"/>
        <v>0</v>
      </c>
      <c r="AI300" s="24">
        <f t="shared" si="325"/>
        <v>0</v>
      </c>
      <c r="AJ300" s="11" t="str">
        <f t="shared" si="270"/>
        <v/>
      </c>
      <c r="AK300" s="9" t="s">
        <v>102</v>
      </c>
      <c r="AL300" s="13">
        <f>IFERROR(INDEX('Balizador da Meta'!$D$3:$F$23,MATCH(Faturamento!$P300,'Balizador da Meta'!$C$3:$C$23,0),MATCH(Faturamento!AK300,'Balizador da Meta'!$D$2:$F$2,0)),"")</f>
        <v>0</v>
      </c>
      <c r="AM300" s="9"/>
    </row>
    <row r="301" spans="1:39" x14ac:dyDescent="0.3">
      <c r="A301" s="2" t="str">
        <f t="shared" si="268"/>
        <v>NÃO</v>
      </c>
      <c r="B301" s="2" t="str">
        <f>_xlfn.XLOOKUP($N301,'Base de Grupos'!$A:$A,'Base de Grupos'!$D:$D)</f>
        <v>1000065763</v>
      </c>
      <c r="C301" s="5" t="str">
        <f>_xlfn.XLOOKUP($N301,'Base de Grupos'!$A:$A,'Base de Grupos'!$E:$E)</f>
        <v>CANAL VENDA INTERNA</v>
      </c>
      <c r="D301" s="5" t="str">
        <f>_xlfn.XLOOKUP($N301,'Base de Grupos'!$A:$A,'Base de Grupos'!$F:$F)</f>
        <v>1000065763</v>
      </c>
      <c r="E301" s="2" t="str">
        <f>_xlfn.XLOOKUP($N301,'Base de Grupos'!$A:$A,'Base de Grupos'!$G:$G)</f>
        <v>CANAL VENDA INTERNA</v>
      </c>
      <c r="F301" s="2" t="str">
        <f>_xlfn.XLOOKUP($N301,'Base de Grupos'!$A:$A,'Base de Grupos'!$H:$H)</f>
        <v>1000105900</v>
      </c>
      <c r="G301" s="5" t="str">
        <f>_xlfn.XLOOKUP($N301,'Base de Grupos'!$A:$A,'Base de Grupos'!$I:$I)</f>
        <v>REGIONAL VENDA DIRETA CO + NE + NO</v>
      </c>
      <c r="H301" s="5" t="str">
        <f>_xlfn.XLOOKUP($N301,'Base de Grupos'!$A:$A,'Base de Grupos'!$J:$J)</f>
        <v>1000105900</v>
      </c>
      <c r="I301" s="2" t="str">
        <f>_xlfn.XLOOKUP($N301,'Base de Grupos'!$A:$A,'Base de Grupos'!$K:$K)</f>
        <v>REGIONAL VENDA DIRETA CO + NE + NO</v>
      </c>
      <c r="J301" s="2" t="str">
        <f>_xlfn.XLOOKUP($N301,'Base de Grupos'!$A:$A,'Base de Grupos'!$L:$L)</f>
        <v>1000150135</v>
      </c>
      <c r="K301" s="5" t="str">
        <f>_xlfn.XLOOKUP($N301,'Base de Grupos'!$A:$A,'Base de Grupos'!$M:$M)</f>
        <v>HELDER DA SILVA BRUNKOW</v>
      </c>
      <c r="L301" s="5" t="str">
        <f t="shared" si="269"/>
        <v/>
      </c>
      <c r="M301" s="5" t="str">
        <f>_xlfn.XLOOKUP($N301,'Base de Grupos'!$A:$A,'Base de Grupos'!$C:$C)</f>
        <v>MT</v>
      </c>
      <c r="N301" s="3">
        <v>1354</v>
      </c>
      <c r="O301" s="4" t="s">
        <v>240</v>
      </c>
      <c r="P301" s="5" t="s">
        <v>89</v>
      </c>
      <c r="Q301" s="56">
        <v>0</v>
      </c>
      <c r="R301" s="56">
        <v>0</v>
      </c>
      <c r="S301" s="56">
        <v>0</v>
      </c>
      <c r="T301" s="56">
        <f>_xlfn.XLOOKUP($N301,'Calculo Leads'!$A$97:$A$134,'Calculo Leads'!G$97:G$134)*_xlfn.XLOOKUP($P301,'Base Grupo de Produtos'!$E$2:$E$18,'Base Grupo de Produtos'!$F$2:$F$18)</f>
        <v>150</v>
      </c>
      <c r="U301" s="56">
        <f>_xlfn.XLOOKUP($N301,'Calculo Leads'!$A$97:$A$134,'Calculo Leads'!H$97:H$134)*_xlfn.XLOOKUP($P301,'Base Grupo de Produtos'!$E$2:$E$18,'Base Grupo de Produtos'!$F$2:$F$18)</f>
        <v>150</v>
      </c>
      <c r="V301" s="56">
        <f>_xlfn.XLOOKUP($N301,'Calculo Leads'!$A$97:$A$134,'Calculo Leads'!I$97:I$134)*_xlfn.XLOOKUP($P301,'Base Grupo de Produtos'!$E$2:$E$18,'Base Grupo de Produtos'!$F$2:$F$18)</f>
        <v>200</v>
      </c>
      <c r="W301" s="56">
        <f>_xlfn.XLOOKUP($N301,'Calculo Leads'!$A$97:$A$134,'Calculo Leads'!J$97:J$134)*_xlfn.XLOOKUP($P301,'Base Grupo de Produtos'!$E$2:$E$18,'Base Grupo de Produtos'!$F$2:$F$18)</f>
        <v>250</v>
      </c>
      <c r="X301" s="56">
        <f>_xlfn.XLOOKUP($N301,'Calculo Leads'!$A$97:$A$134,'Calculo Leads'!K$97:K$134)*_xlfn.XLOOKUP($P301,'Base Grupo de Produtos'!$E$2:$E$18,'Base Grupo de Produtos'!$F$2:$F$18)</f>
        <v>275</v>
      </c>
      <c r="Y301" s="56">
        <f>_xlfn.XLOOKUP($N301,'Calculo Leads'!$A$97:$A$134,'Calculo Leads'!L$97:L$134)*_xlfn.XLOOKUP($P301,'Base Grupo de Produtos'!$E$2:$E$18,'Base Grupo de Produtos'!$F$2:$F$18)</f>
        <v>330</v>
      </c>
      <c r="Z301" s="56">
        <f>_xlfn.XLOOKUP($N301,'Calculo Leads'!$A$97:$A$134,'Calculo Leads'!M$97:M$134)*_xlfn.XLOOKUP($P301,'Base Grupo de Produtos'!$E$2:$E$18,'Base Grupo de Produtos'!$F$2:$F$18)</f>
        <v>385</v>
      </c>
      <c r="AA301" s="56">
        <f>_xlfn.XLOOKUP($N301,'Calculo Leads'!$A$97:$A$134,'Calculo Leads'!N$97:N$134)*_xlfn.XLOOKUP($P301,'Base Grupo de Produtos'!$E$2:$E$18,'Base Grupo de Produtos'!$F$2:$F$18)</f>
        <v>440</v>
      </c>
      <c r="AB301" s="56">
        <f>_xlfn.XLOOKUP($N301,'Calculo Leads'!$A$97:$A$134,'Calculo Leads'!O$97:O$134)*_xlfn.XLOOKUP($P301,'Base Grupo de Produtos'!$E$2:$E$18,'Base Grupo de Produtos'!$F$2:$F$18)</f>
        <v>275</v>
      </c>
      <c r="AC301" s="61">
        <f t="shared" si="289"/>
        <v>2455</v>
      </c>
      <c r="AD301" s="27">
        <f t="shared" si="323"/>
        <v>2455</v>
      </c>
      <c r="AE301" s="25">
        <f>IFERROR(_xlfn.XLOOKUP(N301&amp;P301,'Historico Vendas'!G:G,'Historico Vendas'!E:E),0)</f>
        <v>0</v>
      </c>
      <c r="AF301" s="29" t="str">
        <f t="shared" si="267"/>
        <v/>
      </c>
      <c r="AG301" s="24">
        <f>IFERROR(_xlfn.XLOOKUP(N301&amp;P301,'Historico Vendas'!G:G,'Historico Vendas'!F:F),0)</f>
        <v>0</v>
      </c>
      <c r="AH301" s="25">
        <f t="shared" si="324"/>
        <v>0</v>
      </c>
      <c r="AI301" s="24">
        <f t="shared" si="325"/>
        <v>0</v>
      </c>
      <c r="AJ301" s="11" t="str">
        <f t="shared" si="270"/>
        <v/>
      </c>
      <c r="AK301" s="9" t="s">
        <v>102</v>
      </c>
      <c r="AL301" s="13">
        <f>IFERROR(INDEX('Balizador da Meta'!$D$3:$F$23,MATCH(Faturamento!$P301,'Balizador da Meta'!$C$3:$C$23,0),MATCH(Faturamento!AK301,'Balizador da Meta'!$D$2:$F$2,0)),"")</f>
        <v>0.25</v>
      </c>
      <c r="AM301" s="9"/>
    </row>
    <row r="302" spans="1:39" x14ac:dyDescent="0.3">
      <c r="A302" s="2" t="str">
        <f t="shared" si="268"/>
        <v>NÃO</v>
      </c>
      <c r="B302" s="2" t="str">
        <f>_xlfn.XLOOKUP($N302,'Base de Grupos'!$A:$A,'Base de Grupos'!$D:$D)</f>
        <v>1000065763</v>
      </c>
      <c r="C302" s="5" t="str">
        <f>_xlfn.XLOOKUP($N302,'Base de Grupos'!$A:$A,'Base de Grupos'!$E:$E)</f>
        <v>CANAL VENDA INTERNA</v>
      </c>
      <c r="D302" s="5" t="str">
        <f>_xlfn.XLOOKUP($N302,'Base de Grupos'!$A:$A,'Base de Grupos'!$F:$F)</f>
        <v>1000065763</v>
      </c>
      <c r="E302" s="2" t="str">
        <f>_xlfn.XLOOKUP($N302,'Base de Grupos'!$A:$A,'Base de Grupos'!$G:$G)</f>
        <v>CANAL VENDA INTERNA</v>
      </c>
      <c r="F302" s="2" t="str">
        <f>_xlfn.XLOOKUP($N302,'Base de Grupos'!$A:$A,'Base de Grupos'!$H:$H)</f>
        <v>1000105900</v>
      </c>
      <c r="G302" s="5" t="str">
        <f>_xlfn.XLOOKUP($N302,'Base de Grupos'!$A:$A,'Base de Grupos'!$I:$I)</f>
        <v>REGIONAL VENDA DIRETA CO + NE + NO</v>
      </c>
      <c r="H302" s="5" t="str">
        <f>_xlfn.XLOOKUP($N302,'Base de Grupos'!$A:$A,'Base de Grupos'!$J:$J)</f>
        <v>1000105900</v>
      </c>
      <c r="I302" s="2" t="str">
        <f>_xlfn.XLOOKUP($N302,'Base de Grupos'!$A:$A,'Base de Grupos'!$K:$K)</f>
        <v>REGIONAL VENDA DIRETA CO + NE + NO</v>
      </c>
      <c r="J302" s="2" t="str">
        <f>_xlfn.XLOOKUP($N302,'Base de Grupos'!$A:$A,'Base de Grupos'!$L:$L)</f>
        <v>1000150135</v>
      </c>
      <c r="K302" s="5" t="str">
        <f>_xlfn.XLOOKUP($N302,'Base de Grupos'!$A:$A,'Base de Grupos'!$M:$M)</f>
        <v>HELDER DA SILVA BRUNKOW</v>
      </c>
      <c r="L302" s="5" t="str">
        <f t="shared" si="269"/>
        <v/>
      </c>
      <c r="M302" s="5" t="str">
        <f>_xlfn.XLOOKUP($N302,'Base de Grupos'!$A:$A,'Base de Grupos'!$C:$C)</f>
        <v>MT</v>
      </c>
      <c r="N302" s="3">
        <v>1354</v>
      </c>
      <c r="O302" s="4" t="s">
        <v>240</v>
      </c>
      <c r="P302" s="5" t="s">
        <v>88</v>
      </c>
      <c r="Q302" s="56">
        <v>0</v>
      </c>
      <c r="R302" s="56">
        <v>0</v>
      </c>
      <c r="S302" s="56">
        <v>0</v>
      </c>
      <c r="T302" s="56">
        <f>_xlfn.XLOOKUP($N302,'Calculo Leads'!$A$97:$A$134,'Calculo Leads'!G$97:G$134)*_xlfn.XLOOKUP($P302,'Base Grupo de Produtos'!$E$2:$E$18,'Base Grupo de Produtos'!$F$2:$F$18)</f>
        <v>150</v>
      </c>
      <c r="U302" s="56">
        <f>_xlfn.XLOOKUP($N302,'Calculo Leads'!$A$97:$A$134,'Calculo Leads'!H$97:H$134)*_xlfn.XLOOKUP($P302,'Base Grupo de Produtos'!$E$2:$E$18,'Base Grupo de Produtos'!$F$2:$F$18)</f>
        <v>150</v>
      </c>
      <c r="V302" s="56">
        <f>_xlfn.XLOOKUP($N302,'Calculo Leads'!$A$97:$A$134,'Calculo Leads'!I$97:I$134)*_xlfn.XLOOKUP($P302,'Base Grupo de Produtos'!$E$2:$E$18,'Base Grupo de Produtos'!$F$2:$F$18)</f>
        <v>200</v>
      </c>
      <c r="W302" s="56">
        <f>_xlfn.XLOOKUP($N302,'Calculo Leads'!$A$97:$A$134,'Calculo Leads'!J$97:J$134)*_xlfn.XLOOKUP($P302,'Base Grupo de Produtos'!$E$2:$E$18,'Base Grupo de Produtos'!$F$2:$F$18)</f>
        <v>250</v>
      </c>
      <c r="X302" s="56">
        <f>_xlfn.XLOOKUP($N302,'Calculo Leads'!$A$97:$A$134,'Calculo Leads'!K$97:K$134)*_xlfn.XLOOKUP($P302,'Base Grupo de Produtos'!$E$2:$E$18,'Base Grupo de Produtos'!$F$2:$F$18)</f>
        <v>275</v>
      </c>
      <c r="Y302" s="56">
        <f>_xlfn.XLOOKUP($N302,'Calculo Leads'!$A$97:$A$134,'Calculo Leads'!L$97:L$134)*_xlfn.XLOOKUP($P302,'Base Grupo de Produtos'!$E$2:$E$18,'Base Grupo de Produtos'!$F$2:$F$18)</f>
        <v>330</v>
      </c>
      <c r="Z302" s="56">
        <f>_xlfn.XLOOKUP($N302,'Calculo Leads'!$A$97:$A$134,'Calculo Leads'!M$97:M$134)*_xlfn.XLOOKUP($P302,'Base Grupo de Produtos'!$E$2:$E$18,'Base Grupo de Produtos'!$F$2:$F$18)</f>
        <v>385</v>
      </c>
      <c r="AA302" s="56">
        <f>_xlfn.XLOOKUP($N302,'Calculo Leads'!$A$97:$A$134,'Calculo Leads'!N$97:N$134)*_xlfn.XLOOKUP($P302,'Base Grupo de Produtos'!$E$2:$E$18,'Base Grupo de Produtos'!$F$2:$F$18)</f>
        <v>440</v>
      </c>
      <c r="AB302" s="56">
        <f>_xlfn.XLOOKUP($N302,'Calculo Leads'!$A$97:$A$134,'Calculo Leads'!O$97:O$134)*_xlfn.XLOOKUP($P302,'Base Grupo de Produtos'!$E$2:$E$18,'Base Grupo de Produtos'!$F$2:$F$18)</f>
        <v>275</v>
      </c>
      <c r="AC302" s="61">
        <f t="shared" si="289"/>
        <v>2455</v>
      </c>
      <c r="AD302" s="27">
        <f t="shared" si="323"/>
        <v>2455</v>
      </c>
      <c r="AE302" s="25">
        <f>IFERROR(_xlfn.XLOOKUP(N302&amp;P302,'Historico Vendas'!G:G,'Historico Vendas'!E:E),0)</f>
        <v>0</v>
      </c>
      <c r="AF302" s="29" t="str">
        <f t="shared" si="267"/>
        <v/>
      </c>
      <c r="AG302" s="24">
        <f>IFERROR(_xlfn.XLOOKUP(N302&amp;P302,'Historico Vendas'!G:G,'Historico Vendas'!F:F),0)</f>
        <v>0</v>
      </c>
      <c r="AH302" s="25">
        <f t="shared" si="324"/>
        <v>0</v>
      </c>
      <c r="AI302" s="24">
        <f t="shared" si="325"/>
        <v>0</v>
      </c>
      <c r="AJ302" s="11" t="str">
        <f t="shared" si="270"/>
        <v/>
      </c>
      <c r="AK302" s="9" t="s">
        <v>102</v>
      </c>
      <c r="AL302" s="13">
        <f>IFERROR(INDEX('Balizador da Meta'!$D$3:$F$23,MATCH(Faturamento!$P302,'Balizador da Meta'!$C$3:$C$23,0),MATCH(Faturamento!AK302,'Balizador da Meta'!$D$2:$F$2,0)),"")</f>
        <v>0</v>
      </c>
      <c r="AM302" s="9"/>
    </row>
    <row r="303" spans="1:39" x14ac:dyDescent="0.3">
      <c r="A303" s="2" t="str">
        <f t="shared" si="268"/>
        <v>NÃO</v>
      </c>
      <c r="B303" s="2" t="str">
        <f>_xlfn.XLOOKUP($N303,'Base de Grupos'!$A:$A,'Base de Grupos'!$D:$D)</f>
        <v>1000065763</v>
      </c>
      <c r="C303" s="5" t="str">
        <f>_xlfn.XLOOKUP($N303,'Base de Grupos'!$A:$A,'Base de Grupos'!$E:$E)</f>
        <v>CANAL VENDA INTERNA</v>
      </c>
      <c r="D303" s="5" t="str">
        <f>_xlfn.XLOOKUP($N303,'Base de Grupos'!$A:$A,'Base de Grupos'!$F:$F)</f>
        <v>1000065763</v>
      </c>
      <c r="E303" s="2" t="str">
        <f>_xlfn.XLOOKUP($N303,'Base de Grupos'!$A:$A,'Base de Grupos'!$G:$G)</f>
        <v>CANAL VENDA INTERNA</v>
      </c>
      <c r="F303" s="2" t="str">
        <f>_xlfn.XLOOKUP($N303,'Base de Grupos'!$A:$A,'Base de Grupos'!$H:$H)</f>
        <v>1000105900</v>
      </c>
      <c r="G303" s="5" t="str">
        <f>_xlfn.XLOOKUP($N303,'Base de Grupos'!$A:$A,'Base de Grupos'!$I:$I)</f>
        <v>REGIONAL VENDA DIRETA CO + NE + NO</v>
      </c>
      <c r="H303" s="5" t="str">
        <f>_xlfn.XLOOKUP($N303,'Base de Grupos'!$A:$A,'Base de Grupos'!$J:$J)</f>
        <v>1000105900</v>
      </c>
      <c r="I303" s="2" t="str">
        <f>_xlfn.XLOOKUP($N303,'Base de Grupos'!$A:$A,'Base de Grupos'!$K:$K)</f>
        <v>REGIONAL VENDA DIRETA CO + NE + NO</v>
      </c>
      <c r="J303" s="2" t="str">
        <f>_xlfn.XLOOKUP($N303,'Base de Grupos'!$A:$A,'Base de Grupos'!$L:$L)</f>
        <v>1000150135</v>
      </c>
      <c r="K303" s="5" t="str">
        <f>_xlfn.XLOOKUP($N303,'Base de Grupos'!$A:$A,'Base de Grupos'!$M:$M)</f>
        <v>HELDER DA SILVA BRUNKOW</v>
      </c>
      <c r="L303" s="5" t="str">
        <f t="shared" si="269"/>
        <v/>
      </c>
      <c r="M303" s="5" t="str">
        <f>_xlfn.XLOOKUP($N303,'Base de Grupos'!$A:$A,'Base de Grupos'!$C:$C)</f>
        <v>MT</v>
      </c>
      <c r="N303" s="3">
        <v>1354</v>
      </c>
      <c r="O303" s="4" t="s">
        <v>240</v>
      </c>
      <c r="P303" s="5" t="s">
        <v>90</v>
      </c>
      <c r="Q303" s="56">
        <v>0</v>
      </c>
      <c r="R303" s="56">
        <v>0</v>
      </c>
      <c r="S303" s="56">
        <v>0</v>
      </c>
      <c r="T303" s="56">
        <f>_xlfn.XLOOKUP($N303,'Calculo Leads'!$A$97:$A$134,'Calculo Leads'!G$97:G$134)*_xlfn.XLOOKUP($P303,'Base Grupo de Produtos'!$E$2:$E$18,'Base Grupo de Produtos'!$F$2:$F$18)</f>
        <v>150</v>
      </c>
      <c r="U303" s="56">
        <f>_xlfn.XLOOKUP($N303,'Calculo Leads'!$A$97:$A$134,'Calculo Leads'!H$97:H$134)*_xlfn.XLOOKUP($P303,'Base Grupo de Produtos'!$E$2:$E$18,'Base Grupo de Produtos'!$F$2:$F$18)</f>
        <v>150</v>
      </c>
      <c r="V303" s="56">
        <f>_xlfn.XLOOKUP($N303,'Calculo Leads'!$A$97:$A$134,'Calculo Leads'!I$97:I$134)*_xlfn.XLOOKUP($P303,'Base Grupo de Produtos'!$E$2:$E$18,'Base Grupo de Produtos'!$F$2:$F$18)</f>
        <v>200</v>
      </c>
      <c r="W303" s="56">
        <f>_xlfn.XLOOKUP($N303,'Calculo Leads'!$A$97:$A$134,'Calculo Leads'!J$97:J$134)*_xlfn.XLOOKUP($P303,'Base Grupo de Produtos'!$E$2:$E$18,'Base Grupo de Produtos'!$F$2:$F$18)</f>
        <v>250</v>
      </c>
      <c r="X303" s="56">
        <f>_xlfn.XLOOKUP($N303,'Calculo Leads'!$A$97:$A$134,'Calculo Leads'!K$97:K$134)*_xlfn.XLOOKUP($P303,'Base Grupo de Produtos'!$E$2:$E$18,'Base Grupo de Produtos'!$F$2:$F$18)</f>
        <v>275</v>
      </c>
      <c r="Y303" s="56">
        <f>_xlfn.XLOOKUP($N303,'Calculo Leads'!$A$97:$A$134,'Calculo Leads'!L$97:L$134)*_xlfn.XLOOKUP($P303,'Base Grupo de Produtos'!$E$2:$E$18,'Base Grupo de Produtos'!$F$2:$F$18)</f>
        <v>330</v>
      </c>
      <c r="Z303" s="56">
        <f>_xlfn.XLOOKUP($N303,'Calculo Leads'!$A$97:$A$134,'Calculo Leads'!M$97:M$134)*_xlfn.XLOOKUP($P303,'Base Grupo de Produtos'!$E$2:$E$18,'Base Grupo de Produtos'!$F$2:$F$18)</f>
        <v>385</v>
      </c>
      <c r="AA303" s="56">
        <f>_xlfn.XLOOKUP($N303,'Calculo Leads'!$A$97:$A$134,'Calculo Leads'!N$97:N$134)*_xlfn.XLOOKUP($P303,'Base Grupo de Produtos'!$E$2:$E$18,'Base Grupo de Produtos'!$F$2:$F$18)</f>
        <v>440</v>
      </c>
      <c r="AB303" s="56">
        <f>_xlfn.XLOOKUP($N303,'Calculo Leads'!$A$97:$A$134,'Calculo Leads'!O$97:O$134)*_xlfn.XLOOKUP($P303,'Base Grupo de Produtos'!$E$2:$E$18,'Base Grupo de Produtos'!$F$2:$F$18)</f>
        <v>275</v>
      </c>
      <c r="AC303" s="61">
        <f t="shared" si="289"/>
        <v>2455</v>
      </c>
      <c r="AD303" s="27">
        <f t="shared" si="323"/>
        <v>2455</v>
      </c>
      <c r="AE303" s="25">
        <f>IFERROR(_xlfn.XLOOKUP(N303&amp;P303,'Historico Vendas'!G:G,'Historico Vendas'!E:E),0)</f>
        <v>0</v>
      </c>
      <c r="AF303" s="29" t="str">
        <f t="shared" si="267"/>
        <v/>
      </c>
      <c r="AG303" s="24">
        <f>IFERROR(_xlfn.XLOOKUP(N303&amp;P303,'Historico Vendas'!G:G,'Historico Vendas'!F:F),0)</f>
        <v>0</v>
      </c>
      <c r="AH303" s="25">
        <f t="shared" si="324"/>
        <v>0</v>
      </c>
      <c r="AI303" s="24">
        <f t="shared" si="325"/>
        <v>0</v>
      </c>
      <c r="AJ303" s="11" t="str">
        <f t="shared" si="270"/>
        <v/>
      </c>
      <c r="AK303" s="9" t="s">
        <v>102</v>
      </c>
      <c r="AL303" s="13">
        <f>IFERROR(INDEX('Balizador da Meta'!$D$3:$F$23,MATCH(Faturamento!$P303,'Balizador da Meta'!$C$3:$C$23,0),MATCH(Faturamento!AK303,'Balizador da Meta'!$D$2:$F$2,0)),"")</f>
        <v>0</v>
      </c>
      <c r="AM303" s="9"/>
    </row>
    <row r="304" spans="1:39" x14ac:dyDescent="0.3">
      <c r="A304" s="2" t="str">
        <f t="shared" si="268"/>
        <v>NÃO</v>
      </c>
      <c r="B304" s="2" t="str">
        <f>_xlfn.XLOOKUP($N304,'Base de Grupos'!$A:$A,'Base de Grupos'!$D:$D)</f>
        <v>1000065763</v>
      </c>
      <c r="C304" s="5" t="str">
        <f>_xlfn.XLOOKUP($N304,'Base de Grupos'!$A:$A,'Base de Grupos'!$E:$E)</f>
        <v>CANAL VENDA INTERNA</v>
      </c>
      <c r="D304" s="5" t="str">
        <f>_xlfn.XLOOKUP($N304,'Base de Grupos'!$A:$A,'Base de Grupos'!$F:$F)</f>
        <v>1000065763</v>
      </c>
      <c r="E304" s="2" t="str">
        <f>_xlfn.XLOOKUP($N304,'Base de Grupos'!$A:$A,'Base de Grupos'!$G:$G)</f>
        <v>CANAL VENDA INTERNA</v>
      </c>
      <c r="F304" s="2" t="str">
        <f>_xlfn.XLOOKUP($N304,'Base de Grupos'!$A:$A,'Base de Grupos'!$H:$H)</f>
        <v>1000105900</v>
      </c>
      <c r="G304" s="5" t="str">
        <f>_xlfn.XLOOKUP($N304,'Base de Grupos'!$A:$A,'Base de Grupos'!$I:$I)</f>
        <v>REGIONAL VENDA DIRETA CO + NE + NO</v>
      </c>
      <c r="H304" s="5" t="str">
        <f>_xlfn.XLOOKUP($N304,'Base de Grupos'!$A:$A,'Base de Grupos'!$J:$J)</f>
        <v>1000105900</v>
      </c>
      <c r="I304" s="2" t="str">
        <f>_xlfn.XLOOKUP($N304,'Base de Grupos'!$A:$A,'Base de Grupos'!$K:$K)</f>
        <v>REGIONAL VENDA DIRETA CO + NE + NO</v>
      </c>
      <c r="J304" s="2" t="str">
        <f>_xlfn.XLOOKUP($N304,'Base de Grupos'!$A:$A,'Base de Grupos'!$L:$L)</f>
        <v>1000150135</v>
      </c>
      <c r="K304" s="5" t="str">
        <f>_xlfn.XLOOKUP($N304,'Base de Grupos'!$A:$A,'Base de Grupos'!$M:$M)</f>
        <v>HELDER DA SILVA BRUNKOW</v>
      </c>
      <c r="L304" s="5" t="str">
        <f t="shared" si="269"/>
        <v/>
      </c>
      <c r="M304" s="5" t="str">
        <f>_xlfn.XLOOKUP($N304,'Base de Grupos'!$A:$A,'Base de Grupos'!$C:$C)</f>
        <v>MT</v>
      </c>
      <c r="N304" s="3">
        <v>1354</v>
      </c>
      <c r="O304" s="4" t="s">
        <v>240</v>
      </c>
      <c r="P304" s="5" t="s">
        <v>91</v>
      </c>
      <c r="Q304" s="56">
        <v>0</v>
      </c>
      <c r="R304" s="56">
        <v>0</v>
      </c>
      <c r="S304" s="56">
        <v>0</v>
      </c>
      <c r="T304" s="56">
        <f>_xlfn.XLOOKUP($N304,'Calculo Leads'!$A$97:$A$134,'Calculo Leads'!G$97:G$134)*_xlfn.XLOOKUP($P304,'Base Grupo de Produtos'!$E$2:$E$18,'Base Grupo de Produtos'!$F$2:$F$18)</f>
        <v>0</v>
      </c>
      <c r="U304" s="56">
        <f>_xlfn.XLOOKUP($N304,'Calculo Leads'!$A$97:$A$134,'Calculo Leads'!H$97:H$134)*_xlfn.XLOOKUP($P304,'Base Grupo de Produtos'!$E$2:$E$18,'Base Grupo de Produtos'!$F$2:$F$18)</f>
        <v>0</v>
      </c>
      <c r="V304" s="56">
        <f>_xlfn.XLOOKUP($N304,'Calculo Leads'!$A$97:$A$134,'Calculo Leads'!I$97:I$134)*_xlfn.XLOOKUP($P304,'Base Grupo de Produtos'!$E$2:$E$18,'Base Grupo de Produtos'!$F$2:$F$18)</f>
        <v>0</v>
      </c>
      <c r="W304" s="56">
        <f>_xlfn.XLOOKUP($N304,'Calculo Leads'!$A$97:$A$134,'Calculo Leads'!J$97:J$134)*_xlfn.XLOOKUP($P304,'Base Grupo de Produtos'!$E$2:$E$18,'Base Grupo de Produtos'!$F$2:$F$18)</f>
        <v>0</v>
      </c>
      <c r="X304" s="56">
        <f>_xlfn.XLOOKUP($N304,'Calculo Leads'!$A$97:$A$134,'Calculo Leads'!K$97:K$134)*_xlfn.XLOOKUP($P304,'Base Grupo de Produtos'!$E$2:$E$18,'Base Grupo de Produtos'!$F$2:$F$18)</f>
        <v>0</v>
      </c>
      <c r="Y304" s="56">
        <f>_xlfn.XLOOKUP($N304,'Calculo Leads'!$A$97:$A$134,'Calculo Leads'!L$97:L$134)*_xlfn.XLOOKUP($P304,'Base Grupo de Produtos'!$E$2:$E$18,'Base Grupo de Produtos'!$F$2:$F$18)</f>
        <v>0</v>
      </c>
      <c r="Z304" s="56">
        <f>_xlfn.XLOOKUP($N304,'Calculo Leads'!$A$97:$A$134,'Calculo Leads'!M$97:M$134)*_xlfn.XLOOKUP($P304,'Base Grupo de Produtos'!$E$2:$E$18,'Base Grupo de Produtos'!$F$2:$F$18)</f>
        <v>0</v>
      </c>
      <c r="AA304" s="56">
        <f>_xlfn.XLOOKUP($N304,'Calculo Leads'!$A$97:$A$134,'Calculo Leads'!N$97:N$134)*_xlfn.XLOOKUP($P304,'Base Grupo de Produtos'!$E$2:$E$18,'Base Grupo de Produtos'!$F$2:$F$18)</f>
        <v>0</v>
      </c>
      <c r="AB304" s="56">
        <f>_xlfn.XLOOKUP($N304,'Calculo Leads'!$A$97:$A$134,'Calculo Leads'!O$97:O$134)*_xlfn.XLOOKUP($P304,'Base Grupo de Produtos'!$E$2:$E$18,'Base Grupo de Produtos'!$F$2:$F$18)</f>
        <v>0</v>
      </c>
      <c r="AC304" s="61">
        <f t="shared" si="289"/>
        <v>0</v>
      </c>
      <c r="AD304" s="27">
        <f t="shared" si="323"/>
        <v>0</v>
      </c>
      <c r="AE304" s="25">
        <f>IFERROR(_xlfn.XLOOKUP(N304&amp;P304,'Historico Vendas'!G:G,'Historico Vendas'!E:E),0)</f>
        <v>0</v>
      </c>
      <c r="AF304" s="29" t="str">
        <f t="shared" si="267"/>
        <v/>
      </c>
      <c r="AG304" s="24">
        <f>IFERROR(_xlfn.XLOOKUP(N304&amp;P304,'Historico Vendas'!G:G,'Historico Vendas'!F:F),0)</f>
        <v>0</v>
      </c>
      <c r="AH304" s="25">
        <f t="shared" si="324"/>
        <v>0</v>
      </c>
      <c r="AI304" s="24">
        <f t="shared" si="325"/>
        <v>0</v>
      </c>
      <c r="AJ304" s="11" t="str">
        <f t="shared" si="270"/>
        <v/>
      </c>
      <c r="AK304" s="9" t="s">
        <v>102</v>
      </c>
      <c r="AL304" s="13">
        <f>IFERROR(INDEX('Balizador da Meta'!$D$3:$F$23,MATCH(Faturamento!$P304,'Balizador da Meta'!$C$3:$C$23,0),MATCH(Faturamento!AK304,'Balizador da Meta'!$D$2:$F$2,0)),"")</f>
        <v>0</v>
      </c>
      <c r="AM304" s="9"/>
    </row>
    <row r="305" spans="1:39" x14ac:dyDescent="0.3">
      <c r="A305" s="2" t="str">
        <f t="shared" si="268"/>
        <v>NÃO</v>
      </c>
      <c r="B305" s="2" t="str">
        <f>_xlfn.XLOOKUP($N305,'Base de Grupos'!$A:$A,'Base de Grupos'!$D:$D)</f>
        <v>1000065763</v>
      </c>
      <c r="C305" s="5" t="str">
        <f>_xlfn.XLOOKUP($N305,'Base de Grupos'!$A:$A,'Base de Grupos'!$E:$E)</f>
        <v>CANAL VENDA INTERNA</v>
      </c>
      <c r="D305" s="5" t="str">
        <f>_xlfn.XLOOKUP($N305,'Base de Grupos'!$A:$A,'Base de Grupos'!$F:$F)</f>
        <v>1000065763</v>
      </c>
      <c r="E305" s="2" t="str">
        <f>_xlfn.XLOOKUP($N305,'Base de Grupos'!$A:$A,'Base de Grupos'!$G:$G)</f>
        <v>CANAL VENDA INTERNA</v>
      </c>
      <c r="F305" s="2" t="str">
        <f>_xlfn.XLOOKUP($N305,'Base de Grupos'!$A:$A,'Base de Grupos'!$H:$H)</f>
        <v>1000105900</v>
      </c>
      <c r="G305" s="5" t="str">
        <f>_xlfn.XLOOKUP($N305,'Base de Grupos'!$A:$A,'Base de Grupos'!$I:$I)</f>
        <v>REGIONAL VENDA DIRETA CO + NE + NO</v>
      </c>
      <c r="H305" s="5" t="str">
        <f>_xlfn.XLOOKUP($N305,'Base de Grupos'!$A:$A,'Base de Grupos'!$J:$J)</f>
        <v>1000105900</v>
      </c>
      <c r="I305" s="2" t="str">
        <f>_xlfn.XLOOKUP($N305,'Base de Grupos'!$A:$A,'Base de Grupos'!$K:$K)</f>
        <v>REGIONAL VENDA DIRETA CO + NE + NO</v>
      </c>
      <c r="J305" s="2" t="str">
        <f>_xlfn.XLOOKUP($N305,'Base de Grupos'!$A:$A,'Base de Grupos'!$L:$L)</f>
        <v>1000150135</v>
      </c>
      <c r="K305" s="5" t="str">
        <f>_xlfn.XLOOKUP($N305,'Base de Grupos'!$A:$A,'Base de Grupos'!$M:$M)</f>
        <v>HELDER DA SILVA BRUNKOW</v>
      </c>
      <c r="L305" s="5" t="str">
        <f t="shared" si="269"/>
        <v/>
      </c>
      <c r="M305" s="5" t="str">
        <f>_xlfn.XLOOKUP($N305,'Base de Grupos'!$A:$A,'Base de Grupos'!$C:$C)</f>
        <v>MT</v>
      </c>
      <c r="N305" s="3">
        <v>1354</v>
      </c>
      <c r="O305" s="4" t="s">
        <v>240</v>
      </c>
      <c r="P305" s="5" t="s">
        <v>96</v>
      </c>
      <c r="Q305" s="56">
        <v>0</v>
      </c>
      <c r="R305" s="56">
        <v>0</v>
      </c>
      <c r="S305" s="56">
        <v>0</v>
      </c>
      <c r="T305" s="56">
        <f>_xlfn.XLOOKUP($N305,'Calculo Leads'!$A$97:$A$134,'Calculo Leads'!G$97:G$134)*_xlfn.XLOOKUP($P305,'Base Grupo de Produtos'!$E$2:$E$18,'Base Grupo de Produtos'!$F$2:$F$18)</f>
        <v>210.00000000000003</v>
      </c>
      <c r="U305" s="56">
        <f>_xlfn.XLOOKUP($N305,'Calculo Leads'!$A$97:$A$134,'Calculo Leads'!H$97:H$134)*_xlfn.XLOOKUP($P305,'Base Grupo de Produtos'!$E$2:$E$18,'Base Grupo de Produtos'!$F$2:$F$18)</f>
        <v>210.00000000000003</v>
      </c>
      <c r="V305" s="56">
        <f>_xlfn.XLOOKUP($N305,'Calculo Leads'!$A$97:$A$134,'Calculo Leads'!I$97:I$134)*_xlfn.XLOOKUP($P305,'Base Grupo de Produtos'!$E$2:$E$18,'Base Grupo de Produtos'!$F$2:$F$18)</f>
        <v>280</v>
      </c>
      <c r="W305" s="56">
        <f>_xlfn.XLOOKUP($N305,'Calculo Leads'!$A$97:$A$134,'Calculo Leads'!J$97:J$134)*_xlfn.XLOOKUP($P305,'Base Grupo de Produtos'!$E$2:$E$18,'Base Grupo de Produtos'!$F$2:$F$18)</f>
        <v>350.00000000000006</v>
      </c>
      <c r="X305" s="56">
        <f>_xlfn.XLOOKUP($N305,'Calculo Leads'!$A$97:$A$134,'Calculo Leads'!K$97:K$134)*_xlfn.XLOOKUP($P305,'Base Grupo de Produtos'!$E$2:$E$18,'Base Grupo de Produtos'!$F$2:$F$18)</f>
        <v>385.00000000000006</v>
      </c>
      <c r="Y305" s="56">
        <f>_xlfn.XLOOKUP($N305,'Calculo Leads'!$A$97:$A$134,'Calculo Leads'!L$97:L$134)*_xlfn.XLOOKUP($P305,'Base Grupo de Produtos'!$E$2:$E$18,'Base Grupo de Produtos'!$F$2:$F$18)</f>
        <v>462.00000000000006</v>
      </c>
      <c r="Z305" s="56">
        <f>_xlfn.XLOOKUP($N305,'Calculo Leads'!$A$97:$A$134,'Calculo Leads'!M$97:M$134)*_xlfn.XLOOKUP($P305,'Base Grupo de Produtos'!$E$2:$E$18,'Base Grupo de Produtos'!$F$2:$F$18)</f>
        <v>539</v>
      </c>
      <c r="AA305" s="56">
        <f>_xlfn.XLOOKUP($N305,'Calculo Leads'!$A$97:$A$134,'Calculo Leads'!N$97:N$134)*_xlfn.XLOOKUP($P305,'Base Grupo de Produtos'!$E$2:$E$18,'Base Grupo de Produtos'!$F$2:$F$18)</f>
        <v>616.00000000000011</v>
      </c>
      <c r="AB305" s="56">
        <f>_xlfn.XLOOKUP($N305,'Calculo Leads'!$A$97:$A$134,'Calculo Leads'!O$97:O$134)*_xlfn.XLOOKUP($P305,'Base Grupo de Produtos'!$E$2:$E$18,'Base Grupo de Produtos'!$F$2:$F$18)</f>
        <v>385.00000000000006</v>
      </c>
      <c r="AC305" s="61">
        <f t="shared" si="289"/>
        <v>3437</v>
      </c>
      <c r="AD305" s="27">
        <f t="shared" si="323"/>
        <v>3437</v>
      </c>
      <c r="AE305" s="25">
        <f>IFERROR(_xlfn.XLOOKUP(N305&amp;P305,'Historico Vendas'!G:G,'Historico Vendas'!E:E),0)</f>
        <v>0</v>
      </c>
      <c r="AF305" s="29" t="str">
        <f t="shared" ref="AF305:AF368" si="326">IFERROR((AC305-AE305)/AE305,"")</f>
        <v/>
      </c>
      <c r="AG305" s="24">
        <f>IFERROR(_xlfn.XLOOKUP(N305&amp;P305,'Historico Vendas'!G:G,'Historico Vendas'!F:F),0)</f>
        <v>0</v>
      </c>
      <c r="AH305" s="25">
        <f t="shared" si="324"/>
        <v>0</v>
      </c>
      <c r="AI305" s="24">
        <f t="shared" si="325"/>
        <v>0</v>
      </c>
      <c r="AJ305" s="11" t="str">
        <f t="shared" si="270"/>
        <v/>
      </c>
      <c r="AK305" s="9" t="s">
        <v>102</v>
      </c>
      <c r="AL305" s="13">
        <f>IFERROR(INDEX('Balizador da Meta'!$D$3:$F$23,MATCH(Faturamento!$P305,'Balizador da Meta'!$C$3:$C$23,0),MATCH(Faturamento!AK305,'Balizador da Meta'!$D$2:$F$2,0)),"")</f>
        <v>0</v>
      </c>
      <c r="AM305" s="9"/>
    </row>
    <row r="306" spans="1:39" x14ac:dyDescent="0.3">
      <c r="A306" s="2" t="str">
        <f t="shared" ref="A306:A369" si="327">IF(L306=1,"SIM","NÃO")</f>
        <v>NÃO</v>
      </c>
      <c r="B306" s="2" t="str">
        <f>_xlfn.XLOOKUP($N306,'Base de Grupos'!$A:$A,'Base de Grupos'!$D:$D)</f>
        <v>1000065763</v>
      </c>
      <c r="C306" s="5" t="str">
        <f>_xlfn.XLOOKUP($N306,'Base de Grupos'!$A:$A,'Base de Grupos'!$E:$E)</f>
        <v>CANAL VENDA INTERNA</v>
      </c>
      <c r="D306" s="5" t="str">
        <f>_xlfn.XLOOKUP($N306,'Base de Grupos'!$A:$A,'Base de Grupos'!$F:$F)</f>
        <v>1000065763</v>
      </c>
      <c r="E306" s="2" t="str">
        <f>_xlfn.XLOOKUP($N306,'Base de Grupos'!$A:$A,'Base de Grupos'!$G:$G)</f>
        <v>CANAL VENDA INTERNA</v>
      </c>
      <c r="F306" s="2" t="str">
        <f>_xlfn.XLOOKUP($N306,'Base de Grupos'!$A:$A,'Base de Grupos'!$H:$H)</f>
        <v>1000105900</v>
      </c>
      <c r="G306" s="5" t="str">
        <f>_xlfn.XLOOKUP($N306,'Base de Grupos'!$A:$A,'Base de Grupos'!$I:$I)</f>
        <v>REGIONAL VENDA DIRETA CO + NE + NO</v>
      </c>
      <c r="H306" s="5" t="str">
        <f>_xlfn.XLOOKUP($N306,'Base de Grupos'!$A:$A,'Base de Grupos'!$J:$J)</f>
        <v>1000105900</v>
      </c>
      <c r="I306" s="2" t="str">
        <f>_xlfn.XLOOKUP($N306,'Base de Grupos'!$A:$A,'Base de Grupos'!$K:$K)</f>
        <v>REGIONAL VENDA DIRETA CO + NE + NO</v>
      </c>
      <c r="J306" s="2" t="str">
        <f>_xlfn.XLOOKUP($N306,'Base de Grupos'!$A:$A,'Base de Grupos'!$L:$L)</f>
        <v>1000150135</v>
      </c>
      <c r="K306" s="5" t="str">
        <f>_xlfn.XLOOKUP($N306,'Base de Grupos'!$A:$A,'Base de Grupos'!$M:$M)</f>
        <v>HELDER DA SILVA BRUNKOW</v>
      </c>
      <c r="L306" s="5" t="str">
        <f t="shared" ref="L306:L369" si="328">IF(N306&lt;&gt;N305,1,"")</f>
        <v/>
      </c>
      <c r="M306" s="5" t="str">
        <f>_xlfn.XLOOKUP($N306,'Base de Grupos'!$A:$A,'Base de Grupos'!$C:$C)</f>
        <v>MT</v>
      </c>
      <c r="N306" s="3">
        <v>1354</v>
      </c>
      <c r="O306" s="4" t="s">
        <v>240</v>
      </c>
      <c r="P306" s="5" t="s">
        <v>94</v>
      </c>
      <c r="Q306" s="56">
        <v>0</v>
      </c>
      <c r="R306" s="56">
        <v>0</v>
      </c>
      <c r="S306" s="56">
        <v>0</v>
      </c>
      <c r="T306" s="56">
        <f>_xlfn.XLOOKUP($N306,'Calculo Leads'!$A$97:$A$134,'Calculo Leads'!G$97:G$134)*_xlfn.XLOOKUP($P306,'Base Grupo de Produtos'!$E$2:$E$18,'Base Grupo de Produtos'!$F$2:$F$18)</f>
        <v>150</v>
      </c>
      <c r="U306" s="56">
        <f>_xlfn.XLOOKUP($N306,'Calculo Leads'!$A$97:$A$134,'Calculo Leads'!H$97:H$134)*_xlfn.XLOOKUP($P306,'Base Grupo de Produtos'!$E$2:$E$18,'Base Grupo de Produtos'!$F$2:$F$18)</f>
        <v>150</v>
      </c>
      <c r="V306" s="56">
        <f>_xlfn.XLOOKUP($N306,'Calculo Leads'!$A$97:$A$134,'Calculo Leads'!I$97:I$134)*_xlfn.XLOOKUP($P306,'Base Grupo de Produtos'!$E$2:$E$18,'Base Grupo de Produtos'!$F$2:$F$18)</f>
        <v>199.99999999999997</v>
      </c>
      <c r="W306" s="56">
        <f>_xlfn.XLOOKUP($N306,'Calculo Leads'!$A$97:$A$134,'Calculo Leads'!J$97:J$134)*_xlfn.XLOOKUP($P306,'Base Grupo de Produtos'!$E$2:$E$18,'Base Grupo de Produtos'!$F$2:$F$18)</f>
        <v>249.99999999999997</v>
      </c>
      <c r="X306" s="56">
        <f>_xlfn.XLOOKUP($N306,'Calculo Leads'!$A$97:$A$134,'Calculo Leads'!K$97:K$134)*_xlfn.XLOOKUP($P306,'Base Grupo de Produtos'!$E$2:$E$18,'Base Grupo de Produtos'!$F$2:$F$18)</f>
        <v>275</v>
      </c>
      <c r="Y306" s="56">
        <f>_xlfn.XLOOKUP($N306,'Calculo Leads'!$A$97:$A$134,'Calculo Leads'!L$97:L$134)*_xlfn.XLOOKUP($P306,'Base Grupo de Produtos'!$E$2:$E$18,'Base Grupo de Produtos'!$F$2:$F$18)</f>
        <v>330</v>
      </c>
      <c r="Z306" s="56">
        <f>_xlfn.XLOOKUP($N306,'Calculo Leads'!$A$97:$A$134,'Calculo Leads'!M$97:M$134)*_xlfn.XLOOKUP($P306,'Base Grupo de Produtos'!$E$2:$E$18,'Base Grupo de Produtos'!$F$2:$F$18)</f>
        <v>384.99999999999994</v>
      </c>
      <c r="AA306" s="56">
        <f>_xlfn.XLOOKUP($N306,'Calculo Leads'!$A$97:$A$134,'Calculo Leads'!N$97:N$134)*_xlfn.XLOOKUP($P306,'Base Grupo de Produtos'!$E$2:$E$18,'Base Grupo de Produtos'!$F$2:$F$18)</f>
        <v>439.99999999999994</v>
      </c>
      <c r="AB306" s="56">
        <f>_xlfn.XLOOKUP($N306,'Calculo Leads'!$A$97:$A$134,'Calculo Leads'!O$97:O$134)*_xlfn.XLOOKUP($P306,'Base Grupo de Produtos'!$E$2:$E$18,'Base Grupo de Produtos'!$F$2:$F$18)</f>
        <v>275</v>
      </c>
      <c r="AC306" s="61">
        <f t="shared" si="289"/>
        <v>2455</v>
      </c>
      <c r="AD306" s="27">
        <f t="shared" si="323"/>
        <v>2455</v>
      </c>
      <c r="AE306" s="25">
        <f>IFERROR(_xlfn.XLOOKUP(N306&amp;P306,'Historico Vendas'!G:G,'Historico Vendas'!E:E),0)</f>
        <v>0</v>
      </c>
      <c r="AF306" s="29" t="str">
        <f t="shared" si="326"/>
        <v/>
      </c>
      <c r="AG306" s="24">
        <f>IFERROR(_xlfn.XLOOKUP(N306&amp;P306,'Historico Vendas'!G:G,'Historico Vendas'!F:F),0)</f>
        <v>0</v>
      </c>
      <c r="AH306" s="25">
        <f t="shared" si="324"/>
        <v>0</v>
      </c>
      <c r="AI306" s="24">
        <f t="shared" si="325"/>
        <v>0</v>
      </c>
      <c r="AJ306" s="11" t="str">
        <f t="shared" si="270"/>
        <v/>
      </c>
      <c r="AK306" s="9" t="s">
        <v>102</v>
      </c>
      <c r="AL306" s="13">
        <f>IFERROR(INDEX('Balizador da Meta'!$D$3:$F$23,MATCH(Faturamento!$P306,'Balizador da Meta'!$C$3:$C$23,0),MATCH(Faturamento!AK306,'Balizador da Meta'!$D$2:$F$2,0)),"")</f>
        <v>0.25</v>
      </c>
      <c r="AM306" s="9"/>
    </row>
    <row r="307" spans="1:39" x14ac:dyDescent="0.3">
      <c r="A307" s="2" t="str">
        <f t="shared" si="327"/>
        <v>NÃO</v>
      </c>
      <c r="B307" s="2" t="str">
        <f>_xlfn.XLOOKUP($N307,'Base de Grupos'!$A:$A,'Base de Grupos'!$D:$D)</f>
        <v>1000065763</v>
      </c>
      <c r="C307" s="5" t="str">
        <f>_xlfn.XLOOKUP($N307,'Base de Grupos'!$A:$A,'Base de Grupos'!$E:$E)</f>
        <v>CANAL VENDA INTERNA</v>
      </c>
      <c r="D307" s="5" t="str">
        <f>_xlfn.XLOOKUP($N307,'Base de Grupos'!$A:$A,'Base de Grupos'!$F:$F)</f>
        <v>1000065763</v>
      </c>
      <c r="E307" s="2" t="str">
        <f>_xlfn.XLOOKUP($N307,'Base de Grupos'!$A:$A,'Base de Grupos'!$G:$G)</f>
        <v>CANAL VENDA INTERNA</v>
      </c>
      <c r="F307" s="2" t="str">
        <f>_xlfn.XLOOKUP($N307,'Base de Grupos'!$A:$A,'Base de Grupos'!$H:$H)</f>
        <v>1000105900</v>
      </c>
      <c r="G307" s="5" t="str">
        <f>_xlfn.XLOOKUP($N307,'Base de Grupos'!$A:$A,'Base de Grupos'!$I:$I)</f>
        <v>REGIONAL VENDA DIRETA CO + NE + NO</v>
      </c>
      <c r="H307" s="5" t="str">
        <f>_xlfn.XLOOKUP($N307,'Base de Grupos'!$A:$A,'Base de Grupos'!$J:$J)</f>
        <v>1000105900</v>
      </c>
      <c r="I307" s="2" t="str">
        <f>_xlfn.XLOOKUP($N307,'Base de Grupos'!$A:$A,'Base de Grupos'!$K:$K)</f>
        <v>REGIONAL VENDA DIRETA CO + NE + NO</v>
      </c>
      <c r="J307" s="2" t="str">
        <f>_xlfn.XLOOKUP($N307,'Base de Grupos'!$A:$A,'Base de Grupos'!$L:$L)</f>
        <v>1000150135</v>
      </c>
      <c r="K307" s="5" t="str">
        <f>_xlfn.XLOOKUP($N307,'Base de Grupos'!$A:$A,'Base de Grupos'!$M:$M)</f>
        <v>HELDER DA SILVA BRUNKOW</v>
      </c>
      <c r="L307" s="5" t="str">
        <f t="shared" si="328"/>
        <v/>
      </c>
      <c r="M307" s="5" t="str">
        <f>_xlfn.XLOOKUP($N307,'Base de Grupos'!$A:$A,'Base de Grupos'!$C:$C)</f>
        <v>MT</v>
      </c>
      <c r="N307" s="3">
        <v>1354</v>
      </c>
      <c r="O307" s="4" t="s">
        <v>240</v>
      </c>
      <c r="P307" s="5" t="s">
        <v>95</v>
      </c>
      <c r="Q307" s="56">
        <v>0</v>
      </c>
      <c r="R307" s="56">
        <v>0</v>
      </c>
      <c r="S307" s="56">
        <v>0</v>
      </c>
      <c r="T307" s="56">
        <f>_xlfn.XLOOKUP($N307,'Calculo Leads'!$A$97:$A$134,'Calculo Leads'!G$97:G$134)*_xlfn.XLOOKUP($P307,'Base Grupo de Produtos'!$E$2:$E$18,'Base Grupo de Produtos'!$F$2:$F$18)</f>
        <v>240</v>
      </c>
      <c r="U307" s="56">
        <f>_xlfn.XLOOKUP($N307,'Calculo Leads'!$A$97:$A$134,'Calculo Leads'!H$97:H$134)*_xlfn.XLOOKUP($P307,'Base Grupo de Produtos'!$E$2:$E$18,'Base Grupo de Produtos'!$F$2:$F$18)</f>
        <v>240</v>
      </c>
      <c r="V307" s="56">
        <f>_xlfn.XLOOKUP($N307,'Calculo Leads'!$A$97:$A$134,'Calculo Leads'!I$97:I$134)*_xlfn.XLOOKUP($P307,'Base Grupo de Produtos'!$E$2:$E$18,'Base Grupo de Produtos'!$F$2:$F$18)</f>
        <v>320</v>
      </c>
      <c r="W307" s="56">
        <f>_xlfn.XLOOKUP($N307,'Calculo Leads'!$A$97:$A$134,'Calculo Leads'!J$97:J$134)*_xlfn.XLOOKUP($P307,'Base Grupo de Produtos'!$E$2:$E$18,'Base Grupo de Produtos'!$F$2:$F$18)</f>
        <v>400</v>
      </c>
      <c r="X307" s="56">
        <f>_xlfn.XLOOKUP($N307,'Calculo Leads'!$A$97:$A$134,'Calculo Leads'!K$97:K$134)*_xlfn.XLOOKUP($P307,'Base Grupo de Produtos'!$E$2:$E$18,'Base Grupo de Produtos'!$F$2:$F$18)</f>
        <v>440</v>
      </c>
      <c r="Y307" s="56">
        <f>_xlfn.XLOOKUP($N307,'Calculo Leads'!$A$97:$A$134,'Calculo Leads'!L$97:L$134)*_xlfn.XLOOKUP($P307,'Base Grupo de Produtos'!$E$2:$E$18,'Base Grupo de Produtos'!$F$2:$F$18)</f>
        <v>528</v>
      </c>
      <c r="Z307" s="56">
        <f>_xlfn.XLOOKUP($N307,'Calculo Leads'!$A$97:$A$134,'Calculo Leads'!M$97:M$134)*_xlfn.XLOOKUP($P307,'Base Grupo de Produtos'!$E$2:$E$18,'Base Grupo de Produtos'!$F$2:$F$18)</f>
        <v>616</v>
      </c>
      <c r="AA307" s="56">
        <f>_xlfn.XLOOKUP($N307,'Calculo Leads'!$A$97:$A$134,'Calculo Leads'!N$97:N$134)*_xlfn.XLOOKUP($P307,'Base Grupo de Produtos'!$E$2:$E$18,'Base Grupo de Produtos'!$F$2:$F$18)</f>
        <v>704</v>
      </c>
      <c r="AB307" s="56">
        <f>_xlfn.XLOOKUP($N307,'Calculo Leads'!$A$97:$A$134,'Calculo Leads'!O$97:O$134)*_xlfn.XLOOKUP($P307,'Base Grupo de Produtos'!$E$2:$E$18,'Base Grupo de Produtos'!$F$2:$F$18)</f>
        <v>440</v>
      </c>
      <c r="AC307" s="61">
        <f t="shared" si="289"/>
        <v>3928</v>
      </c>
      <c r="AD307" s="27">
        <f t="shared" si="323"/>
        <v>3928</v>
      </c>
      <c r="AE307" s="25">
        <f>IFERROR(_xlfn.XLOOKUP(N307&amp;P307,'Historico Vendas'!G:G,'Historico Vendas'!E:E),0)</f>
        <v>0</v>
      </c>
      <c r="AF307" s="29" t="str">
        <f t="shared" si="326"/>
        <v/>
      </c>
      <c r="AG307" s="24">
        <f>IFERROR(_xlfn.XLOOKUP(N307&amp;P307,'Historico Vendas'!G:G,'Historico Vendas'!F:F),0)</f>
        <v>0</v>
      </c>
      <c r="AH307" s="25">
        <f t="shared" si="324"/>
        <v>0</v>
      </c>
      <c r="AI307" s="24">
        <f t="shared" si="325"/>
        <v>0</v>
      </c>
      <c r="AJ307" s="11" t="str">
        <f t="shared" si="270"/>
        <v/>
      </c>
      <c r="AK307" s="9" t="s">
        <v>102</v>
      </c>
      <c r="AL307" s="13">
        <f>IFERROR(INDEX('Balizador da Meta'!$D$3:$F$23,MATCH(Faturamento!$P307,'Balizador da Meta'!$C$3:$C$23,0),MATCH(Faturamento!AK307,'Balizador da Meta'!$D$2:$F$2,0)),"")</f>
        <v>0.25</v>
      </c>
      <c r="AM307" s="9"/>
    </row>
    <row r="308" spans="1:39" x14ac:dyDescent="0.3">
      <c r="A308" s="2" t="str">
        <f t="shared" si="327"/>
        <v>NÃO</v>
      </c>
      <c r="B308" s="2" t="str">
        <f>_xlfn.XLOOKUP($N308,'Base de Grupos'!$A:$A,'Base de Grupos'!$D:$D)</f>
        <v>1000065763</v>
      </c>
      <c r="C308" s="5" t="str">
        <f>_xlfn.XLOOKUP($N308,'Base de Grupos'!$A:$A,'Base de Grupos'!$E:$E)</f>
        <v>CANAL VENDA INTERNA</v>
      </c>
      <c r="D308" s="5" t="str">
        <f>_xlfn.XLOOKUP($N308,'Base de Grupos'!$A:$A,'Base de Grupos'!$F:$F)</f>
        <v>1000065763</v>
      </c>
      <c r="E308" s="2" t="str">
        <f>_xlfn.XLOOKUP($N308,'Base de Grupos'!$A:$A,'Base de Grupos'!$G:$G)</f>
        <v>CANAL VENDA INTERNA</v>
      </c>
      <c r="F308" s="2" t="str">
        <f>_xlfn.XLOOKUP($N308,'Base de Grupos'!$A:$A,'Base de Grupos'!$H:$H)</f>
        <v>1000105900</v>
      </c>
      <c r="G308" s="5" t="str">
        <f>_xlfn.XLOOKUP($N308,'Base de Grupos'!$A:$A,'Base de Grupos'!$I:$I)</f>
        <v>REGIONAL VENDA DIRETA CO + NE + NO</v>
      </c>
      <c r="H308" s="5" t="str">
        <f>_xlfn.XLOOKUP($N308,'Base de Grupos'!$A:$A,'Base de Grupos'!$J:$J)</f>
        <v>1000105900</v>
      </c>
      <c r="I308" s="2" t="str">
        <f>_xlfn.XLOOKUP($N308,'Base de Grupos'!$A:$A,'Base de Grupos'!$K:$K)</f>
        <v>REGIONAL VENDA DIRETA CO + NE + NO</v>
      </c>
      <c r="J308" s="2" t="str">
        <f>_xlfn.XLOOKUP($N308,'Base de Grupos'!$A:$A,'Base de Grupos'!$L:$L)</f>
        <v>1000150135</v>
      </c>
      <c r="K308" s="5" t="str">
        <f>_xlfn.XLOOKUP($N308,'Base de Grupos'!$A:$A,'Base de Grupos'!$M:$M)</f>
        <v>HELDER DA SILVA BRUNKOW</v>
      </c>
      <c r="L308" s="5" t="str">
        <f t="shared" si="328"/>
        <v/>
      </c>
      <c r="M308" s="5" t="str">
        <f>_xlfn.XLOOKUP($N308,'Base de Grupos'!$A:$A,'Base de Grupos'!$C:$C)</f>
        <v>MT</v>
      </c>
      <c r="N308" s="3">
        <v>1354</v>
      </c>
      <c r="O308" s="4" t="s">
        <v>240</v>
      </c>
      <c r="P308" s="5" t="s">
        <v>93</v>
      </c>
      <c r="Q308" s="56">
        <v>0</v>
      </c>
      <c r="R308" s="56">
        <v>0</v>
      </c>
      <c r="S308" s="56">
        <v>0</v>
      </c>
      <c r="T308" s="56">
        <f>_xlfn.XLOOKUP($N308,'Calculo Leads'!$A$97:$A$134,'Calculo Leads'!G$97:G$134)*_xlfn.XLOOKUP($P308,'Base Grupo de Produtos'!$E$2:$E$18,'Base Grupo de Produtos'!$F$2:$F$18)</f>
        <v>90</v>
      </c>
      <c r="U308" s="56">
        <f>_xlfn.XLOOKUP($N308,'Calculo Leads'!$A$97:$A$134,'Calculo Leads'!H$97:H$134)*_xlfn.XLOOKUP($P308,'Base Grupo de Produtos'!$E$2:$E$18,'Base Grupo de Produtos'!$F$2:$F$18)</f>
        <v>90</v>
      </c>
      <c r="V308" s="56">
        <f>_xlfn.XLOOKUP($N308,'Calculo Leads'!$A$97:$A$134,'Calculo Leads'!I$97:I$134)*_xlfn.XLOOKUP($P308,'Base Grupo de Produtos'!$E$2:$E$18,'Base Grupo de Produtos'!$F$2:$F$18)</f>
        <v>120</v>
      </c>
      <c r="W308" s="56">
        <f>_xlfn.XLOOKUP($N308,'Calculo Leads'!$A$97:$A$134,'Calculo Leads'!J$97:J$134)*_xlfn.XLOOKUP($P308,'Base Grupo de Produtos'!$E$2:$E$18,'Base Grupo de Produtos'!$F$2:$F$18)</f>
        <v>150</v>
      </c>
      <c r="X308" s="56">
        <f>_xlfn.XLOOKUP($N308,'Calculo Leads'!$A$97:$A$134,'Calculo Leads'!K$97:K$134)*_xlfn.XLOOKUP($P308,'Base Grupo de Produtos'!$E$2:$E$18,'Base Grupo de Produtos'!$F$2:$F$18)</f>
        <v>165</v>
      </c>
      <c r="Y308" s="56">
        <f>_xlfn.XLOOKUP($N308,'Calculo Leads'!$A$97:$A$134,'Calculo Leads'!L$97:L$134)*_xlfn.XLOOKUP($P308,'Base Grupo de Produtos'!$E$2:$E$18,'Base Grupo de Produtos'!$F$2:$F$18)</f>
        <v>198</v>
      </c>
      <c r="Z308" s="56">
        <f>_xlfn.XLOOKUP($N308,'Calculo Leads'!$A$97:$A$134,'Calculo Leads'!M$97:M$134)*_xlfn.XLOOKUP($P308,'Base Grupo de Produtos'!$E$2:$E$18,'Base Grupo de Produtos'!$F$2:$F$18)</f>
        <v>231</v>
      </c>
      <c r="AA308" s="56">
        <f>_xlfn.XLOOKUP($N308,'Calculo Leads'!$A$97:$A$134,'Calculo Leads'!N$97:N$134)*_xlfn.XLOOKUP($P308,'Base Grupo de Produtos'!$E$2:$E$18,'Base Grupo de Produtos'!$F$2:$F$18)</f>
        <v>264</v>
      </c>
      <c r="AB308" s="56">
        <f>_xlfn.XLOOKUP($N308,'Calculo Leads'!$A$97:$A$134,'Calculo Leads'!O$97:O$134)*_xlfn.XLOOKUP($P308,'Base Grupo de Produtos'!$E$2:$E$18,'Base Grupo de Produtos'!$F$2:$F$18)</f>
        <v>165</v>
      </c>
      <c r="AC308" s="61">
        <f t="shared" si="289"/>
        <v>1473</v>
      </c>
      <c r="AD308" s="27">
        <f t="shared" si="323"/>
        <v>1473</v>
      </c>
      <c r="AE308" s="25">
        <f>IFERROR(_xlfn.XLOOKUP(N308&amp;P308,'Historico Vendas'!G:G,'Historico Vendas'!E:E),0)</f>
        <v>0</v>
      </c>
      <c r="AF308" s="29" t="str">
        <f t="shared" si="326"/>
        <v/>
      </c>
      <c r="AG308" s="24">
        <f>IFERROR(_xlfn.XLOOKUP(N308&amp;P308,'Historico Vendas'!G:G,'Historico Vendas'!F:F),0)</f>
        <v>0</v>
      </c>
      <c r="AH308" s="25">
        <f t="shared" si="324"/>
        <v>0</v>
      </c>
      <c r="AI308" s="24">
        <f t="shared" si="325"/>
        <v>0</v>
      </c>
      <c r="AJ308" s="11" t="str">
        <f t="shared" si="270"/>
        <v/>
      </c>
      <c r="AK308" s="9" t="s">
        <v>102</v>
      </c>
      <c r="AL308" s="13">
        <f>IFERROR(INDEX('Balizador da Meta'!$D$3:$F$23,MATCH(Faturamento!$P308,'Balizador da Meta'!$C$3:$C$23,0),MATCH(Faturamento!AK308,'Balizador da Meta'!$D$2:$F$2,0)),"")</f>
        <v>0.2</v>
      </c>
      <c r="AM308" s="9"/>
    </row>
    <row r="309" spans="1:39" x14ac:dyDescent="0.3">
      <c r="A309" s="2" t="str">
        <f t="shared" si="327"/>
        <v>SIM</v>
      </c>
      <c r="B309" s="2" t="str">
        <f>_xlfn.XLOOKUP($N309,'Base de Grupos'!$A:$A,'Base de Grupos'!$D:$D)</f>
        <v>1000065763</v>
      </c>
      <c r="C309" s="5" t="str">
        <f>_xlfn.XLOOKUP($N309,'Base de Grupos'!$A:$A,'Base de Grupos'!$E:$E)</f>
        <v>CANAL VENDA INTERNA</v>
      </c>
      <c r="D309" s="5" t="str">
        <f>_xlfn.XLOOKUP($N309,'Base de Grupos'!$A:$A,'Base de Grupos'!$F:$F)</f>
        <v>1000065763</v>
      </c>
      <c r="E309" s="2" t="str">
        <f>_xlfn.XLOOKUP($N309,'Base de Grupos'!$A:$A,'Base de Grupos'!$G:$G)</f>
        <v>CANAL VENDA INTERNA</v>
      </c>
      <c r="F309" s="2" t="str">
        <f>_xlfn.XLOOKUP($N309,'Base de Grupos'!$A:$A,'Base de Grupos'!$H:$H)</f>
        <v>1000105900</v>
      </c>
      <c r="G309" s="5" t="str">
        <f>_xlfn.XLOOKUP($N309,'Base de Grupos'!$A:$A,'Base de Grupos'!$I:$I)</f>
        <v>REGIONAL VENDA DIRETA CO + NE + NO</v>
      </c>
      <c r="H309" s="5" t="str">
        <f>_xlfn.XLOOKUP($N309,'Base de Grupos'!$A:$A,'Base de Grupos'!$J:$J)</f>
        <v>1000105900</v>
      </c>
      <c r="I309" s="2" t="str">
        <f>_xlfn.XLOOKUP($N309,'Base de Grupos'!$A:$A,'Base de Grupos'!$K:$K)</f>
        <v>REGIONAL VENDA DIRETA CO + NE + NO</v>
      </c>
      <c r="J309" s="2" t="str">
        <f>_xlfn.XLOOKUP($N309,'Base de Grupos'!$A:$A,'Base de Grupos'!$L:$L)</f>
        <v>1000176426</v>
      </c>
      <c r="K309" s="5" t="str">
        <f>_xlfn.XLOOKUP($N309,'Base de Grupos'!$A:$A,'Base de Grupos'!$M:$M)</f>
        <v>HEMANUELE ROSA DITZEL</v>
      </c>
      <c r="L309" s="5">
        <f t="shared" si="328"/>
        <v>1</v>
      </c>
      <c r="M309" s="5" t="str">
        <f>_xlfn.XLOOKUP($N309,'Base de Grupos'!$A:$A,'Base de Grupos'!$C:$C)</f>
        <v>GO</v>
      </c>
      <c r="N309" s="3">
        <v>1356</v>
      </c>
      <c r="O309" s="4" t="s">
        <v>241</v>
      </c>
      <c r="P309" s="5" t="s">
        <v>311</v>
      </c>
      <c r="Q309" s="56">
        <f t="shared" ref="Q309" si="329">SUM(Q310:Q326)</f>
        <v>0</v>
      </c>
      <c r="R309" s="56">
        <f t="shared" ref="R309" si="330">SUM(R310:R326)</f>
        <v>0</v>
      </c>
      <c r="S309" s="56">
        <f t="shared" ref="S309" si="331">SUM(S310:S326)</f>
        <v>0</v>
      </c>
      <c r="T309" s="56">
        <f t="shared" ref="T309" si="332">SUM(T310:T326)</f>
        <v>5000</v>
      </c>
      <c r="U309" s="56">
        <f t="shared" ref="U309" si="333">SUM(U310:U326)</f>
        <v>6000</v>
      </c>
      <c r="V309" s="56">
        <f t="shared" ref="V309" si="334">SUM(V310:V326)</f>
        <v>7000</v>
      </c>
      <c r="W309" s="56">
        <f t="shared" ref="W309" si="335">SUM(W310:W326)</f>
        <v>8000</v>
      </c>
      <c r="X309" s="56">
        <f t="shared" ref="X309" si="336">SUM(X310:X326)</f>
        <v>9900</v>
      </c>
      <c r="Y309" s="56">
        <f t="shared" ref="Y309" si="337">SUM(Y310:Y326)</f>
        <v>13200</v>
      </c>
      <c r="Z309" s="56">
        <f t="shared" ref="Z309" si="338">SUM(Z310:Z326)</f>
        <v>14300</v>
      </c>
      <c r="AA309" s="56">
        <f t="shared" ref="AA309" si="339">SUM(AA310:AA326)</f>
        <v>15400</v>
      </c>
      <c r="AB309" s="56">
        <f t="shared" ref="AB309" si="340">SUM(AB310:AB326)</f>
        <v>11000</v>
      </c>
      <c r="AC309" s="56">
        <f t="shared" ref="AC309" si="341">SUM(AC310:AC326)</f>
        <v>89800</v>
      </c>
      <c r="AD309" s="25">
        <f t="shared" ref="AD309" si="342">SUM(AD310:AD326)</f>
        <v>89800</v>
      </c>
      <c r="AE309" s="25">
        <f t="shared" ref="AE309:AI309" si="343">SUM(AE310:AE326)</f>
        <v>0</v>
      </c>
      <c r="AF309" s="11" t="str">
        <f t="shared" si="326"/>
        <v/>
      </c>
      <c r="AG309" s="24">
        <f t="shared" si="343"/>
        <v>0</v>
      </c>
      <c r="AH309" s="25">
        <f t="shared" si="343"/>
        <v>0</v>
      </c>
      <c r="AI309" s="24">
        <f t="shared" si="343"/>
        <v>0</v>
      </c>
      <c r="AJ309" s="11" t="str">
        <f t="shared" si="270"/>
        <v/>
      </c>
      <c r="AK309" s="9"/>
      <c r="AL309" s="13"/>
      <c r="AM309" s="9"/>
    </row>
    <row r="310" spans="1:39" x14ac:dyDescent="0.3">
      <c r="A310" s="2" t="str">
        <f t="shared" si="327"/>
        <v>NÃO</v>
      </c>
      <c r="B310" s="2" t="str">
        <f>_xlfn.XLOOKUP($N310,'Base de Grupos'!$A:$A,'Base de Grupos'!$D:$D)</f>
        <v>1000065763</v>
      </c>
      <c r="C310" s="5" t="str">
        <f>_xlfn.XLOOKUP($N310,'Base de Grupos'!$A:$A,'Base de Grupos'!$E:$E)</f>
        <v>CANAL VENDA INTERNA</v>
      </c>
      <c r="D310" s="5" t="str">
        <f>_xlfn.XLOOKUP($N310,'Base de Grupos'!$A:$A,'Base de Grupos'!$F:$F)</f>
        <v>1000065763</v>
      </c>
      <c r="E310" s="2" t="str">
        <f>_xlfn.XLOOKUP($N310,'Base de Grupos'!$A:$A,'Base de Grupos'!$G:$G)</f>
        <v>CANAL VENDA INTERNA</v>
      </c>
      <c r="F310" s="2" t="str">
        <f>_xlfn.XLOOKUP($N310,'Base de Grupos'!$A:$A,'Base de Grupos'!$H:$H)</f>
        <v>1000105900</v>
      </c>
      <c r="G310" s="5" t="str">
        <f>_xlfn.XLOOKUP($N310,'Base de Grupos'!$A:$A,'Base de Grupos'!$I:$I)</f>
        <v>REGIONAL VENDA DIRETA CO + NE + NO</v>
      </c>
      <c r="H310" s="5" t="str">
        <f>_xlfn.XLOOKUP($N310,'Base de Grupos'!$A:$A,'Base de Grupos'!$J:$J)</f>
        <v>1000105900</v>
      </c>
      <c r="I310" s="2" t="str">
        <f>_xlfn.XLOOKUP($N310,'Base de Grupos'!$A:$A,'Base de Grupos'!$K:$K)</f>
        <v>REGIONAL VENDA DIRETA CO + NE + NO</v>
      </c>
      <c r="J310" s="2" t="str">
        <f>_xlfn.XLOOKUP($N310,'Base de Grupos'!$A:$A,'Base de Grupos'!$L:$L)</f>
        <v>1000176426</v>
      </c>
      <c r="K310" s="5" t="str">
        <f>_xlfn.XLOOKUP($N310,'Base de Grupos'!$A:$A,'Base de Grupos'!$M:$M)</f>
        <v>HEMANUELE ROSA DITZEL</v>
      </c>
      <c r="L310" s="5" t="str">
        <f t="shared" si="328"/>
        <v/>
      </c>
      <c r="M310" s="5" t="str">
        <f>_xlfn.XLOOKUP($N310,'Base de Grupos'!$A:$A,'Base de Grupos'!$C:$C)</f>
        <v>GO</v>
      </c>
      <c r="N310" s="3">
        <v>1356</v>
      </c>
      <c r="O310" s="4" t="s">
        <v>241</v>
      </c>
      <c r="P310" s="5" t="s">
        <v>81</v>
      </c>
      <c r="Q310" s="56">
        <v>0</v>
      </c>
      <c r="R310" s="56">
        <v>0</v>
      </c>
      <c r="S310" s="56">
        <v>0</v>
      </c>
      <c r="T310" s="56">
        <f>_xlfn.XLOOKUP($N310,'Calculo Leads'!$A$97:$A$134,'Calculo Leads'!G$97:G$134)*_xlfn.XLOOKUP($P310,'Base Grupo de Produtos'!$E$2:$E$18,'Base Grupo de Produtos'!$F$2:$F$18)</f>
        <v>250</v>
      </c>
      <c r="U310" s="56">
        <f>_xlfn.XLOOKUP($N310,'Calculo Leads'!$A$97:$A$134,'Calculo Leads'!H$97:H$134)*_xlfn.XLOOKUP($P310,'Base Grupo de Produtos'!$E$2:$E$18,'Base Grupo de Produtos'!$F$2:$F$18)</f>
        <v>300</v>
      </c>
      <c r="V310" s="56">
        <f>_xlfn.XLOOKUP($N310,'Calculo Leads'!$A$97:$A$134,'Calculo Leads'!I$97:I$134)*_xlfn.XLOOKUP($P310,'Base Grupo de Produtos'!$E$2:$E$18,'Base Grupo de Produtos'!$F$2:$F$18)</f>
        <v>350</v>
      </c>
      <c r="W310" s="56">
        <f>_xlfn.XLOOKUP($N310,'Calculo Leads'!$A$97:$A$134,'Calculo Leads'!J$97:J$134)*_xlfn.XLOOKUP($P310,'Base Grupo de Produtos'!$E$2:$E$18,'Base Grupo de Produtos'!$F$2:$F$18)</f>
        <v>400</v>
      </c>
      <c r="X310" s="56">
        <f>_xlfn.XLOOKUP($N310,'Calculo Leads'!$A$97:$A$134,'Calculo Leads'!K$97:K$134)*_xlfn.XLOOKUP($P310,'Base Grupo de Produtos'!$E$2:$E$18,'Base Grupo de Produtos'!$F$2:$F$18)</f>
        <v>495</v>
      </c>
      <c r="Y310" s="56">
        <f>_xlfn.XLOOKUP($N310,'Calculo Leads'!$A$97:$A$134,'Calculo Leads'!L$97:L$134)*_xlfn.XLOOKUP($P310,'Base Grupo de Produtos'!$E$2:$E$18,'Base Grupo de Produtos'!$F$2:$F$18)</f>
        <v>660</v>
      </c>
      <c r="Z310" s="56">
        <f>_xlfn.XLOOKUP($N310,'Calculo Leads'!$A$97:$A$134,'Calculo Leads'!M$97:M$134)*_xlfn.XLOOKUP($P310,'Base Grupo de Produtos'!$E$2:$E$18,'Base Grupo de Produtos'!$F$2:$F$18)</f>
        <v>715</v>
      </c>
      <c r="AA310" s="56">
        <f>_xlfn.XLOOKUP($N310,'Calculo Leads'!$A$97:$A$134,'Calculo Leads'!N$97:N$134)*_xlfn.XLOOKUP($P310,'Base Grupo de Produtos'!$E$2:$E$18,'Base Grupo de Produtos'!$F$2:$F$18)</f>
        <v>770</v>
      </c>
      <c r="AB310" s="56">
        <f>_xlfn.XLOOKUP($N310,'Calculo Leads'!$A$97:$A$134,'Calculo Leads'!O$97:O$134)*_xlfn.XLOOKUP($P310,'Base Grupo de Produtos'!$E$2:$E$18,'Base Grupo de Produtos'!$F$2:$F$18)</f>
        <v>550</v>
      </c>
      <c r="AC310" s="61">
        <f t="shared" si="289"/>
        <v>4490</v>
      </c>
      <c r="AD310" s="27">
        <f t="shared" ref="AD310:AD326" si="344">IF(AC310=0,0,AC310-AG310)</f>
        <v>4490</v>
      </c>
      <c r="AE310" s="25">
        <f>IFERROR(_xlfn.XLOOKUP(N310&amp;P310,'Historico Vendas'!G:G,'Historico Vendas'!E:E),0)</f>
        <v>0</v>
      </c>
      <c r="AF310" s="29" t="str">
        <f t="shared" si="326"/>
        <v/>
      </c>
      <c r="AG310" s="24">
        <f>IFERROR(_xlfn.XLOOKUP(N310&amp;P310,'Historico Vendas'!G:G,'Historico Vendas'!F:F),0)</f>
        <v>0</v>
      </c>
      <c r="AH310" s="25">
        <f t="shared" ref="AH310:AH326" si="345">SUM(Q310:S310)</f>
        <v>0</v>
      </c>
      <c r="AI310" s="24">
        <f t="shared" ref="AI310:AI326" si="346">AH310-AG310</f>
        <v>0</v>
      </c>
      <c r="AJ310" s="11" t="str">
        <f t="shared" si="270"/>
        <v/>
      </c>
      <c r="AK310" s="9" t="s">
        <v>102</v>
      </c>
      <c r="AL310" s="13">
        <f>IFERROR(INDEX('Balizador da Meta'!$D$3:$F$23,MATCH(Faturamento!$P310,'Balizador da Meta'!$C$3:$C$23,0),MATCH(Faturamento!AK310,'Balizador da Meta'!$D$2:$F$2,0)),"")</f>
        <v>0.2</v>
      </c>
      <c r="AM310" s="9"/>
    </row>
    <row r="311" spans="1:39" x14ac:dyDescent="0.3">
      <c r="A311" s="2" t="str">
        <f t="shared" si="327"/>
        <v>NÃO</v>
      </c>
      <c r="B311" s="2" t="str">
        <f>_xlfn.XLOOKUP($N311,'Base de Grupos'!$A:$A,'Base de Grupos'!$D:$D)</f>
        <v>1000065763</v>
      </c>
      <c r="C311" s="5" t="str">
        <f>_xlfn.XLOOKUP($N311,'Base de Grupos'!$A:$A,'Base de Grupos'!$E:$E)</f>
        <v>CANAL VENDA INTERNA</v>
      </c>
      <c r="D311" s="5" t="str">
        <f>_xlfn.XLOOKUP($N311,'Base de Grupos'!$A:$A,'Base de Grupos'!$F:$F)</f>
        <v>1000065763</v>
      </c>
      <c r="E311" s="2" t="str">
        <f>_xlfn.XLOOKUP($N311,'Base de Grupos'!$A:$A,'Base de Grupos'!$G:$G)</f>
        <v>CANAL VENDA INTERNA</v>
      </c>
      <c r="F311" s="2" t="str">
        <f>_xlfn.XLOOKUP($N311,'Base de Grupos'!$A:$A,'Base de Grupos'!$H:$H)</f>
        <v>1000105900</v>
      </c>
      <c r="G311" s="5" t="str">
        <f>_xlfn.XLOOKUP($N311,'Base de Grupos'!$A:$A,'Base de Grupos'!$I:$I)</f>
        <v>REGIONAL VENDA DIRETA CO + NE + NO</v>
      </c>
      <c r="H311" s="5" t="str">
        <f>_xlfn.XLOOKUP($N311,'Base de Grupos'!$A:$A,'Base de Grupos'!$J:$J)</f>
        <v>1000105900</v>
      </c>
      <c r="I311" s="2" t="str">
        <f>_xlfn.XLOOKUP($N311,'Base de Grupos'!$A:$A,'Base de Grupos'!$K:$K)</f>
        <v>REGIONAL VENDA DIRETA CO + NE + NO</v>
      </c>
      <c r="J311" s="2" t="str">
        <f>_xlfn.XLOOKUP($N311,'Base de Grupos'!$A:$A,'Base de Grupos'!$L:$L)</f>
        <v>1000176426</v>
      </c>
      <c r="K311" s="5" t="str">
        <f>_xlfn.XLOOKUP($N311,'Base de Grupos'!$A:$A,'Base de Grupos'!$M:$M)</f>
        <v>HEMANUELE ROSA DITZEL</v>
      </c>
      <c r="L311" s="5" t="str">
        <f t="shared" si="328"/>
        <v/>
      </c>
      <c r="M311" s="5" t="str">
        <f>_xlfn.XLOOKUP($N311,'Base de Grupos'!$A:$A,'Base de Grupos'!$C:$C)</f>
        <v>GO</v>
      </c>
      <c r="N311" s="3">
        <v>1356</v>
      </c>
      <c r="O311" s="4" t="s">
        <v>241</v>
      </c>
      <c r="P311" s="5" t="s">
        <v>82</v>
      </c>
      <c r="Q311" s="56">
        <v>0</v>
      </c>
      <c r="R311" s="56">
        <v>0</v>
      </c>
      <c r="S311" s="56">
        <v>0</v>
      </c>
      <c r="T311" s="56">
        <f>_xlfn.XLOOKUP($N311,'Calculo Leads'!$A$97:$A$134,'Calculo Leads'!G$97:G$134)*_xlfn.XLOOKUP($P311,'Base Grupo de Produtos'!$E$2:$E$18,'Base Grupo de Produtos'!$F$2:$F$18)</f>
        <v>250</v>
      </c>
      <c r="U311" s="56">
        <f>_xlfn.XLOOKUP($N311,'Calculo Leads'!$A$97:$A$134,'Calculo Leads'!H$97:H$134)*_xlfn.XLOOKUP($P311,'Base Grupo de Produtos'!$E$2:$E$18,'Base Grupo de Produtos'!$F$2:$F$18)</f>
        <v>300</v>
      </c>
      <c r="V311" s="56">
        <f>_xlfn.XLOOKUP($N311,'Calculo Leads'!$A$97:$A$134,'Calculo Leads'!I$97:I$134)*_xlfn.XLOOKUP($P311,'Base Grupo de Produtos'!$E$2:$E$18,'Base Grupo de Produtos'!$F$2:$F$18)</f>
        <v>350</v>
      </c>
      <c r="W311" s="56">
        <f>_xlfn.XLOOKUP($N311,'Calculo Leads'!$A$97:$A$134,'Calculo Leads'!J$97:J$134)*_xlfn.XLOOKUP($P311,'Base Grupo de Produtos'!$E$2:$E$18,'Base Grupo de Produtos'!$F$2:$F$18)</f>
        <v>400</v>
      </c>
      <c r="X311" s="56">
        <f>_xlfn.XLOOKUP($N311,'Calculo Leads'!$A$97:$A$134,'Calculo Leads'!K$97:K$134)*_xlfn.XLOOKUP($P311,'Base Grupo de Produtos'!$E$2:$E$18,'Base Grupo de Produtos'!$F$2:$F$18)</f>
        <v>495</v>
      </c>
      <c r="Y311" s="56">
        <f>_xlfn.XLOOKUP($N311,'Calculo Leads'!$A$97:$A$134,'Calculo Leads'!L$97:L$134)*_xlfn.XLOOKUP($P311,'Base Grupo de Produtos'!$E$2:$E$18,'Base Grupo de Produtos'!$F$2:$F$18)</f>
        <v>660</v>
      </c>
      <c r="Z311" s="56">
        <f>_xlfn.XLOOKUP($N311,'Calculo Leads'!$A$97:$A$134,'Calculo Leads'!M$97:M$134)*_xlfn.XLOOKUP($P311,'Base Grupo de Produtos'!$E$2:$E$18,'Base Grupo de Produtos'!$F$2:$F$18)</f>
        <v>715</v>
      </c>
      <c r="AA311" s="56">
        <f>_xlfn.XLOOKUP($N311,'Calculo Leads'!$A$97:$A$134,'Calculo Leads'!N$97:N$134)*_xlfn.XLOOKUP($P311,'Base Grupo de Produtos'!$E$2:$E$18,'Base Grupo de Produtos'!$F$2:$F$18)</f>
        <v>770</v>
      </c>
      <c r="AB311" s="56">
        <f>_xlfn.XLOOKUP($N311,'Calculo Leads'!$A$97:$A$134,'Calculo Leads'!O$97:O$134)*_xlfn.XLOOKUP($P311,'Base Grupo de Produtos'!$E$2:$E$18,'Base Grupo de Produtos'!$F$2:$F$18)</f>
        <v>550</v>
      </c>
      <c r="AC311" s="61">
        <f t="shared" si="289"/>
        <v>4490</v>
      </c>
      <c r="AD311" s="27">
        <f t="shared" si="344"/>
        <v>4490</v>
      </c>
      <c r="AE311" s="25">
        <f>IFERROR(_xlfn.XLOOKUP(N311&amp;P311,'Historico Vendas'!G:G,'Historico Vendas'!E:E),0)</f>
        <v>0</v>
      </c>
      <c r="AF311" s="29" t="str">
        <f t="shared" si="326"/>
        <v/>
      </c>
      <c r="AG311" s="24">
        <f>IFERROR(_xlfn.XLOOKUP(N311&amp;P311,'Historico Vendas'!G:G,'Historico Vendas'!F:F),0)</f>
        <v>0</v>
      </c>
      <c r="AH311" s="25">
        <f t="shared" si="345"/>
        <v>0</v>
      </c>
      <c r="AI311" s="24">
        <f t="shared" si="346"/>
        <v>0</v>
      </c>
      <c r="AJ311" s="11" t="str">
        <f t="shared" si="270"/>
        <v/>
      </c>
      <c r="AK311" s="9" t="s">
        <v>102</v>
      </c>
      <c r="AL311" s="13">
        <f>IFERROR(INDEX('Balizador da Meta'!$D$3:$F$23,MATCH(Faturamento!$P311,'Balizador da Meta'!$C$3:$C$23,0),MATCH(Faturamento!AK311,'Balizador da Meta'!$D$2:$F$2,0)),"")</f>
        <v>0.2</v>
      </c>
      <c r="AM311" s="9"/>
    </row>
    <row r="312" spans="1:39" x14ac:dyDescent="0.3">
      <c r="A312" s="2" t="str">
        <f t="shared" si="327"/>
        <v>NÃO</v>
      </c>
      <c r="B312" s="2" t="str">
        <f>_xlfn.XLOOKUP($N312,'Base de Grupos'!$A:$A,'Base de Grupos'!$D:$D)</f>
        <v>1000065763</v>
      </c>
      <c r="C312" s="5" t="str">
        <f>_xlfn.XLOOKUP($N312,'Base de Grupos'!$A:$A,'Base de Grupos'!$E:$E)</f>
        <v>CANAL VENDA INTERNA</v>
      </c>
      <c r="D312" s="5" t="str">
        <f>_xlfn.XLOOKUP($N312,'Base de Grupos'!$A:$A,'Base de Grupos'!$F:$F)</f>
        <v>1000065763</v>
      </c>
      <c r="E312" s="2" t="str">
        <f>_xlfn.XLOOKUP($N312,'Base de Grupos'!$A:$A,'Base de Grupos'!$G:$G)</f>
        <v>CANAL VENDA INTERNA</v>
      </c>
      <c r="F312" s="2" t="str">
        <f>_xlfn.XLOOKUP($N312,'Base de Grupos'!$A:$A,'Base de Grupos'!$H:$H)</f>
        <v>1000105900</v>
      </c>
      <c r="G312" s="5" t="str">
        <f>_xlfn.XLOOKUP($N312,'Base de Grupos'!$A:$A,'Base de Grupos'!$I:$I)</f>
        <v>REGIONAL VENDA DIRETA CO + NE + NO</v>
      </c>
      <c r="H312" s="5" t="str">
        <f>_xlfn.XLOOKUP($N312,'Base de Grupos'!$A:$A,'Base de Grupos'!$J:$J)</f>
        <v>1000105900</v>
      </c>
      <c r="I312" s="2" t="str">
        <f>_xlfn.XLOOKUP($N312,'Base de Grupos'!$A:$A,'Base de Grupos'!$K:$K)</f>
        <v>REGIONAL VENDA DIRETA CO + NE + NO</v>
      </c>
      <c r="J312" s="2" t="str">
        <f>_xlfn.XLOOKUP($N312,'Base de Grupos'!$A:$A,'Base de Grupos'!$L:$L)</f>
        <v>1000176426</v>
      </c>
      <c r="K312" s="5" t="str">
        <f>_xlfn.XLOOKUP($N312,'Base de Grupos'!$A:$A,'Base de Grupos'!$M:$M)</f>
        <v>HEMANUELE ROSA DITZEL</v>
      </c>
      <c r="L312" s="5" t="str">
        <f t="shared" si="328"/>
        <v/>
      </c>
      <c r="M312" s="5" t="str">
        <f>_xlfn.XLOOKUP($N312,'Base de Grupos'!$A:$A,'Base de Grupos'!$C:$C)</f>
        <v>GO</v>
      </c>
      <c r="N312" s="3">
        <v>1356</v>
      </c>
      <c r="O312" s="4" t="s">
        <v>241</v>
      </c>
      <c r="P312" s="5" t="s">
        <v>84</v>
      </c>
      <c r="Q312" s="56">
        <v>0</v>
      </c>
      <c r="R312" s="56">
        <v>0</v>
      </c>
      <c r="S312" s="56">
        <v>0</v>
      </c>
      <c r="T312" s="56">
        <f>_xlfn.XLOOKUP($N312,'Calculo Leads'!$A$97:$A$134,'Calculo Leads'!G$97:G$134)*_xlfn.XLOOKUP($P312,'Base Grupo de Produtos'!$E$2:$E$18,'Base Grupo de Produtos'!$F$2:$F$18)</f>
        <v>400</v>
      </c>
      <c r="U312" s="56">
        <f>_xlfn.XLOOKUP($N312,'Calculo Leads'!$A$97:$A$134,'Calculo Leads'!H$97:H$134)*_xlfn.XLOOKUP($P312,'Base Grupo de Produtos'!$E$2:$E$18,'Base Grupo de Produtos'!$F$2:$F$18)</f>
        <v>480</v>
      </c>
      <c r="V312" s="56">
        <f>_xlfn.XLOOKUP($N312,'Calculo Leads'!$A$97:$A$134,'Calculo Leads'!I$97:I$134)*_xlfn.XLOOKUP($P312,'Base Grupo de Produtos'!$E$2:$E$18,'Base Grupo de Produtos'!$F$2:$F$18)</f>
        <v>560</v>
      </c>
      <c r="W312" s="56">
        <f>_xlfn.XLOOKUP($N312,'Calculo Leads'!$A$97:$A$134,'Calculo Leads'!J$97:J$134)*_xlfn.XLOOKUP($P312,'Base Grupo de Produtos'!$E$2:$E$18,'Base Grupo de Produtos'!$F$2:$F$18)</f>
        <v>640</v>
      </c>
      <c r="X312" s="56">
        <f>_xlfn.XLOOKUP($N312,'Calculo Leads'!$A$97:$A$134,'Calculo Leads'!K$97:K$134)*_xlfn.XLOOKUP($P312,'Base Grupo de Produtos'!$E$2:$E$18,'Base Grupo de Produtos'!$F$2:$F$18)</f>
        <v>792</v>
      </c>
      <c r="Y312" s="56">
        <f>_xlfn.XLOOKUP($N312,'Calculo Leads'!$A$97:$A$134,'Calculo Leads'!L$97:L$134)*_xlfn.XLOOKUP($P312,'Base Grupo de Produtos'!$E$2:$E$18,'Base Grupo de Produtos'!$F$2:$F$18)</f>
        <v>1056</v>
      </c>
      <c r="Z312" s="56">
        <f>_xlfn.XLOOKUP($N312,'Calculo Leads'!$A$97:$A$134,'Calculo Leads'!M$97:M$134)*_xlfn.XLOOKUP($P312,'Base Grupo de Produtos'!$E$2:$E$18,'Base Grupo de Produtos'!$F$2:$F$18)</f>
        <v>1144</v>
      </c>
      <c r="AA312" s="56">
        <f>_xlfn.XLOOKUP($N312,'Calculo Leads'!$A$97:$A$134,'Calculo Leads'!N$97:N$134)*_xlfn.XLOOKUP($P312,'Base Grupo de Produtos'!$E$2:$E$18,'Base Grupo de Produtos'!$F$2:$F$18)</f>
        <v>1232</v>
      </c>
      <c r="AB312" s="56">
        <f>_xlfn.XLOOKUP($N312,'Calculo Leads'!$A$97:$A$134,'Calculo Leads'!O$97:O$134)*_xlfn.XLOOKUP($P312,'Base Grupo de Produtos'!$E$2:$E$18,'Base Grupo de Produtos'!$F$2:$F$18)</f>
        <v>880</v>
      </c>
      <c r="AC312" s="61">
        <f t="shared" si="289"/>
        <v>7184</v>
      </c>
      <c r="AD312" s="27">
        <f t="shared" si="344"/>
        <v>7184</v>
      </c>
      <c r="AE312" s="25">
        <f>IFERROR(_xlfn.XLOOKUP(N312&amp;P312,'Historico Vendas'!G:G,'Historico Vendas'!E:E),0)</f>
        <v>0</v>
      </c>
      <c r="AF312" s="29" t="str">
        <f t="shared" si="326"/>
        <v/>
      </c>
      <c r="AG312" s="24">
        <f>IFERROR(_xlfn.XLOOKUP(N312&amp;P312,'Historico Vendas'!G:G,'Historico Vendas'!F:F),0)</f>
        <v>0</v>
      </c>
      <c r="AH312" s="25">
        <f t="shared" si="345"/>
        <v>0</v>
      </c>
      <c r="AI312" s="24">
        <f t="shared" si="346"/>
        <v>0</v>
      </c>
      <c r="AJ312" s="11" t="str">
        <f t="shared" si="270"/>
        <v/>
      </c>
      <c r="AK312" s="9" t="s">
        <v>102</v>
      </c>
      <c r="AL312" s="13">
        <f>IFERROR(INDEX('Balizador da Meta'!$D$3:$F$23,MATCH(Faturamento!$P312,'Balizador da Meta'!$C$3:$C$23,0),MATCH(Faturamento!AK312,'Balizador da Meta'!$D$2:$F$2,0)),"")</f>
        <v>0.15</v>
      </c>
      <c r="AM312" s="9"/>
    </row>
    <row r="313" spans="1:39" x14ac:dyDescent="0.3">
      <c r="A313" s="2" t="str">
        <f t="shared" si="327"/>
        <v>NÃO</v>
      </c>
      <c r="B313" s="2" t="str">
        <f>_xlfn.XLOOKUP($N313,'Base de Grupos'!$A:$A,'Base de Grupos'!$D:$D)</f>
        <v>1000065763</v>
      </c>
      <c r="C313" s="5" t="str">
        <f>_xlfn.XLOOKUP($N313,'Base de Grupos'!$A:$A,'Base de Grupos'!$E:$E)</f>
        <v>CANAL VENDA INTERNA</v>
      </c>
      <c r="D313" s="5" t="str">
        <f>_xlfn.XLOOKUP($N313,'Base de Grupos'!$A:$A,'Base de Grupos'!$F:$F)</f>
        <v>1000065763</v>
      </c>
      <c r="E313" s="2" t="str">
        <f>_xlfn.XLOOKUP($N313,'Base de Grupos'!$A:$A,'Base de Grupos'!$G:$G)</f>
        <v>CANAL VENDA INTERNA</v>
      </c>
      <c r="F313" s="2" t="str">
        <f>_xlfn.XLOOKUP($N313,'Base de Grupos'!$A:$A,'Base de Grupos'!$H:$H)</f>
        <v>1000105900</v>
      </c>
      <c r="G313" s="5" t="str">
        <f>_xlfn.XLOOKUP($N313,'Base de Grupos'!$A:$A,'Base de Grupos'!$I:$I)</f>
        <v>REGIONAL VENDA DIRETA CO + NE + NO</v>
      </c>
      <c r="H313" s="5" t="str">
        <f>_xlfn.XLOOKUP($N313,'Base de Grupos'!$A:$A,'Base de Grupos'!$J:$J)</f>
        <v>1000105900</v>
      </c>
      <c r="I313" s="2" t="str">
        <f>_xlfn.XLOOKUP($N313,'Base de Grupos'!$A:$A,'Base de Grupos'!$K:$K)</f>
        <v>REGIONAL VENDA DIRETA CO + NE + NO</v>
      </c>
      <c r="J313" s="2" t="str">
        <f>_xlfn.XLOOKUP($N313,'Base de Grupos'!$A:$A,'Base de Grupos'!$L:$L)</f>
        <v>1000176426</v>
      </c>
      <c r="K313" s="5" t="str">
        <f>_xlfn.XLOOKUP($N313,'Base de Grupos'!$A:$A,'Base de Grupos'!$M:$M)</f>
        <v>HEMANUELE ROSA DITZEL</v>
      </c>
      <c r="L313" s="5" t="str">
        <f t="shared" si="328"/>
        <v/>
      </c>
      <c r="M313" s="5" t="str">
        <f>_xlfn.XLOOKUP($N313,'Base de Grupos'!$A:$A,'Base de Grupos'!$C:$C)</f>
        <v>GO</v>
      </c>
      <c r="N313" s="3">
        <v>1356</v>
      </c>
      <c r="O313" s="4" t="s">
        <v>241</v>
      </c>
      <c r="P313" s="5" t="s">
        <v>83</v>
      </c>
      <c r="Q313" s="56">
        <v>0</v>
      </c>
      <c r="R313" s="56">
        <v>0</v>
      </c>
      <c r="S313" s="56">
        <v>0</v>
      </c>
      <c r="T313" s="56">
        <f>_xlfn.XLOOKUP($N313,'Calculo Leads'!$A$97:$A$134,'Calculo Leads'!G$97:G$134)*_xlfn.XLOOKUP($P313,'Base Grupo de Produtos'!$E$2:$E$18,'Base Grupo de Produtos'!$F$2:$F$18)</f>
        <v>500</v>
      </c>
      <c r="U313" s="56">
        <f>_xlfn.XLOOKUP($N313,'Calculo Leads'!$A$97:$A$134,'Calculo Leads'!H$97:H$134)*_xlfn.XLOOKUP($P313,'Base Grupo de Produtos'!$E$2:$E$18,'Base Grupo de Produtos'!$F$2:$F$18)</f>
        <v>600</v>
      </c>
      <c r="V313" s="56">
        <f>_xlfn.XLOOKUP($N313,'Calculo Leads'!$A$97:$A$134,'Calculo Leads'!I$97:I$134)*_xlfn.XLOOKUP($P313,'Base Grupo de Produtos'!$E$2:$E$18,'Base Grupo de Produtos'!$F$2:$F$18)</f>
        <v>700</v>
      </c>
      <c r="W313" s="56">
        <f>_xlfn.XLOOKUP($N313,'Calculo Leads'!$A$97:$A$134,'Calculo Leads'!J$97:J$134)*_xlfn.XLOOKUP($P313,'Base Grupo de Produtos'!$E$2:$E$18,'Base Grupo de Produtos'!$F$2:$F$18)</f>
        <v>800</v>
      </c>
      <c r="X313" s="56">
        <f>_xlfn.XLOOKUP($N313,'Calculo Leads'!$A$97:$A$134,'Calculo Leads'!K$97:K$134)*_xlfn.XLOOKUP($P313,'Base Grupo de Produtos'!$E$2:$E$18,'Base Grupo de Produtos'!$F$2:$F$18)</f>
        <v>990</v>
      </c>
      <c r="Y313" s="56">
        <f>_xlfn.XLOOKUP($N313,'Calculo Leads'!$A$97:$A$134,'Calculo Leads'!L$97:L$134)*_xlfn.XLOOKUP($P313,'Base Grupo de Produtos'!$E$2:$E$18,'Base Grupo de Produtos'!$F$2:$F$18)</f>
        <v>1320</v>
      </c>
      <c r="Z313" s="56">
        <f>_xlfn.XLOOKUP($N313,'Calculo Leads'!$A$97:$A$134,'Calculo Leads'!M$97:M$134)*_xlfn.XLOOKUP($P313,'Base Grupo de Produtos'!$E$2:$E$18,'Base Grupo de Produtos'!$F$2:$F$18)</f>
        <v>1430</v>
      </c>
      <c r="AA313" s="56">
        <f>_xlfn.XLOOKUP($N313,'Calculo Leads'!$A$97:$A$134,'Calculo Leads'!N$97:N$134)*_xlfn.XLOOKUP($P313,'Base Grupo de Produtos'!$E$2:$E$18,'Base Grupo de Produtos'!$F$2:$F$18)</f>
        <v>1540</v>
      </c>
      <c r="AB313" s="56">
        <f>_xlfn.XLOOKUP($N313,'Calculo Leads'!$A$97:$A$134,'Calculo Leads'!O$97:O$134)*_xlfn.XLOOKUP($P313,'Base Grupo de Produtos'!$E$2:$E$18,'Base Grupo de Produtos'!$F$2:$F$18)</f>
        <v>1100</v>
      </c>
      <c r="AC313" s="61">
        <f t="shared" si="289"/>
        <v>8980</v>
      </c>
      <c r="AD313" s="27">
        <f t="shared" si="344"/>
        <v>8980</v>
      </c>
      <c r="AE313" s="25">
        <f>IFERROR(_xlfn.XLOOKUP(N313&amp;P313,'Historico Vendas'!G:G,'Historico Vendas'!E:E),0)</f>
        <v>0</v>
      </c>
      <c r="AF313" s="29" t="str">
        <f t="shared" si="326"/>
        <v/>
      </c>
      <c r="AG313" s="24">
        <f>IFERROR(_xlfn.XLOOKUP(N313&amp;P313,'Historico Vendas'!G:G,'Historico Vendas'!F:F),0)</f>
        <v>0</v>
      </c>
      <c r="AH313" s="25">
        <f t="shared" si="345"/>
        <v>0</v>
      </c>
      <c r="AI313" s="24">
        <f t="shared" si="346"/>
        <v>0</v>
      </c>
      <c r="AJ313" s="11" t="str">
        <f t="shared" ref="AJ313:AJ376" si="347">IFERROR(AG313/AH313,"")</f>
        <v/>
      </c>
      <c r="AK313" s="9" t="s">
        <v>102</v>
      </c>
      <c r="AL313" s="13">
        <f>IFERROR(INDEX('Balizador da Meta'!$D$3:$F$23,MATCH(Faturamento!$P313,'Balizador da Meta'!$C$3:$C$23,0),MATCH(Faturamento!AK313,'Balizador da Meta'!$D$2:$F$2,0)),"")</f>
        <v>0</v>
      </c>
      <c r="AM313" s="9"/>
    </row>
    <row r="314" spans="1:39" x14ac:dyDescent="0.3">
      <c r="A314" s="2" t="str">
        <f t="shared" si="327"/>
        <v>NÃO</v>
      </c>
      <c r="B314" s="2" t="str">
        <f>_xlfn.XLOOKUP($N314,'Base de Grupos'!$A:$A,'Base de Grupos'!$D:$D)</f>
        <v>1000065763</v>
      </c>
      <c r="C314" s="5" t="str">
        <f>_xlfn.XLOOKUP($N314,'Base de Grupos'!$A:$A,'Base de Grupos'!$E:$E)</f>
        <v>CANAL VENDA INTERNA</v>
      </c>
      <c r="D314" s="5" t="str">
        <f>_xlfn.XLOOKUP($N314,'Base de Grupos'!$A:$A,'Base de Grupos'!$F:$F)</f>
        <v>1000065763</v>
      </c>
      <c r="E314" s="2" t="str">
        <f>_xlfn.XLOOKUP($N314,'Base de Grupos'!$A:$A,'Base de Grupos'!$G:$G)</f>
        <v>CANAL VENDA INTERNA</v>
      </c>
      <c r="F314" s="2" t="str">
        <f>_xlfn.XLOOKUP($N314,'Base de Grupos'!$A:$A,'Base de Grupos'!$H:$H)</f>
        <v>1000105900</v>
      </c>
      <c r="G314" s="5" t="str">
        <f>_xlfn.XLOOKUP($N314,'Base de Grupos'!$A:$A,'Base de Grupos'!$I:$I)</f>
        <v>REGIONAL VENDA DIRETA CO + NE + NO</v>
      </c>
      <c r="H314" s="5" t="str">
        <f>_xlfn.XLOOKUP($N314,'Base de Grupos'!$A:$A,'Base de Grupos'!$J:$J)</f>
        <v>1000105900</v>
      </c>
      <c r="I314" s="2" t="str">
        <f>_xlfn.XLOOKUP($N314,'Base de Grupos'!$A:$A,'Base de Grupos'!$K:$K)</f>
        <v>REGIONAL VENDA DIRETA CO + NE + NO</v>
      </c>
      <c r="J314" s="2" t="str">
        <f>_xlfn.XLOOKUP($N314,'Base de Grupos'!$A:$A,'Base de Grupos'!$L:$L)</f>
        <v>1000176426</v>
      </c>
      <c r="K314" s="5" t="str">
        <f>_xlfn.XLOOKUP($N314,'Base de Grupos'!$A:$A,'Base de Grupos'!$M:$M)</f>
        <v>HEMANUELE ROSA DITZEL</v>
      </c>
      <c r="L314" s="5" t="str">
        <f t="shared" si="328"/>
        <v/>
      </c>
      <c r="M314" s="5" t="str">
        <f>_xlfn.XLOOKUP($N314,'Base de Grupos'!$A:$A,'Base de Grupos'!$C:$C)</f>
        <v>GO</v>
      </c>
      <c r="N314" s="3">
        <v>1356</v>
      </c>
      <c r="O314" s="4" t="s">
        <v>241</v>
      </c>
      <c r="P314" s="5" t="s">
        <v>87</v>
      </c>
      <c r="Q314" s="56">
        <v>0</v>
      </c>
      <c r="R314" s="56">
        <v>0</v>
      </c>
      <c r="S314" s="56">
        <v>0</v>
      </c>
      <c r="T314" s="56">
        <f>_xlfn.XLOOKUP($N314,'Calculo Leads'!$A$97:$A$134,'Calculo Leads'!G$97:G$134)*_xlfn.XLOOKUP($P314,'Base Grupo de Produtos'!$E$2:$E$18,'Base Grupo de Produtos'!$F$2:$F$18)</f>
        <v>99.999999999999986</v>
      </c>
      <c r="U314" s="56">
        <f>_xlfn.XLOOKUP($N314,'Calculo Leads'!$A$97:$A$134,'Calculo Leads'!H$97:H$134)*_xlfn.XLOOKUP($P314,'Base Grupo de Produtos'!$E$2:$E$18,'Base Grupo de Produtos'!$F$2:$F$18)</f>
        <v>119.99999999999999</v>
      </c>
      <c r="V314" s="56">
        <f>_xlfn.XLOOKUP($N314,'Calculo Leads'!$A$97:$A$134,'Calculo Leads'!I$97:I$134)*_xlfn.XLOOKUP($P314,'Base Grupo de Produtos'!$E$2:$E$18,'Base Grupo de Produtos'!$F$2:$F$18)</f>
        <v>139.99999999999997</v>
      </c>
      <c r="W314" s="56">
        <f>_xlfn.XLOOKUP($N314,'Calculo Leads'!$A$97:$A$134,'Calculo Leads'!J$97:J$134)*_xlfn.XLOOKUP($P314,'Base Grupo de Produtos'!$E$2:$E$18,'Base Grupo de Produtos'!$F$2:$F$18)</f>
        <v>159.99999999999997</v>
      </c>
      <c r="X314" s="56">
        <f>_xlfn.XLOOKUP($N314,'Calculo Leads'!$A$97:$A$134,'Calculo Leads'!K$97:K$134)*_xlfn.XLOOKUP($P314,'Base Grupo de Produtos'!$E$2:$E$18,'Base Grupo de Produtos'!$F$2:$F$18)</f>
        <v>197.99999999999997</v>
      </c>
      <c r="Y314" s="56">
        <f>_xlfn.XLOOKUP($N314,'Calculo Leads'!$A$97:$A$134,'Calculo Leads'!L$97:L$134)*_xlfn.XLOOKUP($P314,'Base Grupo de Produtos'!$E$2:$E$18,'Base Grupo de Produtos'!$F$2:$F$18)</f>
        <v>263.99999999999994</v>
      </c>
      <c r="Z314" s="56">
        <f>_xlfn.XLOOKUP($N314,'Calculo Leads'!$A$97:$A$134,'Calculo Leads'!M$97:M$134)*_xlfn.XLOOKUP($P314,'Base Grupo de Produtos'!$E$2:$E$18,'Base Grupo de Produtos'!$F$2:$F$18)</f>
        <v>285.99999999999994</v>
      </c>
      <c r="AA314" s="56">
        <f>_xlfn.XLOOKUP($N314,'Calculo Leads'!$A$97:$A$134,'Calculo Leads'!N$97:N$134)*_xlfn.XLOOKUP($P314,'Base Grupo de Produtos'!$E$2:$E$18,'Base Grupo de Produtos'!$F$2:$F$18)</f>
        <v>307.99999999999994</v>
      </c>
      <c r="AB314" s="56">
        <f>_xlfn.XLOOKUP($N314,'Calculo Leads'!$A$97:$A$134,'Calculo Leads'!O$97:O$134)*_xlfn.XLOOKUP($P314,'Base Grupo de Produtos'!$E$2:$E$18,'Base Grupo de Produtos'!$F$2:$F$18)</f>
        <v>219.99999999999997</v>
      </c>
      <c r="AC314" s="61">
        <f t="shared" si="289"/>
        <v>1795.9999999999998</v>
      </c>
      <c r="AD314" s="27">
        <f t="shared" si="344"/>
        <v>1795.9999999999998</v>
      </c>
      <c r="AE314" s="25">
        <f>IFERROR(_xlfn.XLOOKUP(N314&amp;P314,'Historico Vendas'!G:G,'Historico Vendas'!E:E),0)</f>
        <v>0</v>
      </c>
      <c r="AF314" s="29" t="str">
        <f t="shared" si="326"/>
        <v/>
      </c>
      <c r="AG314" s="24">
        <f>IFERROR(_xlfn.XLOOKUP(N314&amp;P314,'Historico Vendas'!G:G,'Historico Vendas'!F:F),0)</f>
        <v>0</v>
      </c>
      <c r="AH314" s="25">
        <f t="shared" si="345"/>
        <v>0</v>
      </c>
      <c r="AI314" s="24">
        <f t="shared" si="346"/>
        <v>0</v>
      </c>
      <c r="AJ314" s="11" t="str">
        <f t="shared" si="347"/>
        <v/>
      </c>
      <c r="AK314" s="9" t="s">
        <v>102</v>
      </c>
      <c r="AL314" s="13">
        <f>IFERROR(INDEX('Balizador da Meta'!$D$3:$F$23,MATCH(Faturamento!$P314,'Balizador da Meta'!$C$3:$C$23,0),MATCH(Faturamento!AK314,'Balizador da Meta'!$D$2:$F$2,0)),"")</f>
        <v>0</v>
      </c>
      <c r="AM314" s="9"/>
    </row>
    <row r="315" spans="1:39" x14ac:dyDescent="0.3">
      <c r="A315" s="2" t="str">
        <f t="shared" si="327"/>
        <v>NÃO</v>
      </c>
      <c r="B315" s="2" t="str">
        <f>_xlfn.XLOOKUP($N315,'Base de Grupos'!$A:$A,'Base de Grupos'!$D:$D)</f>
        <v>1000065763</v>
      </c>
      <c r="C315" s="5" t="str">
        <f>_xlfn.XLOOKUP($N315,'Base de Grupos'!$A:$A,'Base de Grupos'!$E:$E)</f>
        <v>CANAL VENDA INTERNA</v>
      </c>
      <c r="D315" s="5" t="str">
        <f>_xlfn.XLOOKUP($N315,'Base de Grupos'!$A:$A,'Base de Grupos'!$F:$F)</f>
        <v>1000065763</v>
      </c>
      <c r="E315" s="2" t="str">
        <f>_xlfn.XLOOKUP($N315,'Base de Grupos'!$A:$A,'Base de Grupos'!$G:$G)</f>
        <v>CANAL VENDA INTERNA</v>
      </c>
      <c r="F315" s="2" t="str">
        <f>_xlfn.XLOOKUP($N315,'Base de Grupos'!$A:$A,'Base de Grupos'!$H:$H)</f>
        <v>1000105900</v>
      </c>
      <c r="G315" s="5" t="str">
        <f>_xlfn.XLOOKUP($N315,'Base de Grupos'!$A:$A,'Base de Grupos'!$I:$I)</f>
        <v>REGIONAL VENDA DIRETA CO + NE + NO</v>
      </c>
      <c r="H315" s="5" t="str">
        <f>_xlfn.XLOOKUP($N315,'Base de Grupos'!$A:$A,'Base de Grupos'!$J:$J)</f>
        <v>1000105900</v>
      </c>
      <c r="I315" s="2" t="str">
        <f>_xlfn.XLOOKUP($N315,'Base de Grupos'!$A:$A,'Base de Grupos'!$K:$K)</f>
        <v>REGIONAL VENDA DIRETA CO + NE + NO</v>
      </c>
      <c r="J315" s="2" t="str">
        <f>_xlfn.XLOOKUP($N315,'Base de Grupos'!$A:$A,'Base de Grupos'!$L:$L)</f>
        <v>1000176426</v>
      </c>
      <c r="K315" s="5" t="str">
        <f>_xlfn.XLOOKUP($N315,'Base de Grupos'!$A:$A,'Base de Grupos'!$M:$M)</f>
        <v>HEMANUELE ROSA DITZEL</v>
      </c>
      <c r="L315" s="5" t="str">
        <f t="shared" si="328"/>
        <v/>
      </c>
      <c r="M315" s="5" t="str">
        <f>_xlfn.XLOOKUP($N315,'Base de Grupos'!$A:$A,'Base de Grupos'!$C:$C)</f>
        <v>GO</v>
      </c>
      <c r="N315" s="3">
        <v>1356</v>
      </c>
      <c r="O315" s="4" t="s">
        <v>241</v>
      </c>
      <c r="P315" s="5" t="s">
        <v>85</v>
      </c>
      <c r="Q315" s="56">
        <v>0</v>
      </c>
      <c r="R315" s="56">
        <v>0</v>
      </c>
      <c r="S315" s="56">
        <v>0</v>
      </c>
      <c r="T315" s="56">
        <f>_xlfn.XLOOKUP($N315,'Calculo Leads'!$A$97:$A$134,'Calculo Leads'!G$97:G$134)*_xlfn.XLOOKUP($P315,'Base Grupo de Produtos'!$E$2:$E$18,'Base Grupo de Produtos'!$F$2:$F$18)</f>
        <v>100</v>
      </c>
      <c r="U315" s="56">
        <f>_xlfn.XLOOKUP($N315,'Calculo Leads'!$A$97:$A$134,'Calculo Leads'!H$97:H$134)*_xlfn.XLOOKUP($P315,'Base Grupo de Produtos'!$E$2:$E$18,'Base Grupo de Produtos'!$F$2:$F$18)</f>
        <v>120</v>
      </c>
      <c r="V315" s="56">
        <f>_xlfn.XLOOKUP($N315,'Calculo Leads'!$A$97:$A$134,'Calculo Leads'!I$97:I$134)*_xlfn.XLOOKUP($P315,'Base Grupo de Produtos'!$E$2:$E$18,'Base Grupo de Produtos'!$F$2:$F$18)</f>
        <v>140</v>
      </c>
      <c r="W315" s="56">
        <f>_xlfn.XLOOKUP($N315,'Calculo Leads'!$A$97:$A$134,'Calculo Leads'!J$97:J$134)*_xlfn.XLOOKUP($P315,'Base Grupo de Produtos'!$E$2:$E$18,'Base Grupo de Produtos'!$F$2:$F$18)</f>
        <v>160</v>
      </c>
      <c r="X315" s="56">
        <f>_xlfn.XLOOKUP($N315,'Calculo Leads'!$A$97:$A$134,'Calculo Leads'!K$97:K$134)*_xlfn.XLOOKUP($P315,'Base Grupo de Produtos'!$E$2:$E$18,'Base Grupo de Produtos'!$F$2:$F$18)</f>
        <v>198</v>
      </c>
      <c r="Y315" s="56">
        <f>_xlfn.XLOOKUP($N315,'Calculo Leads'!$A$97:$A$134,'Calculo Leads'!L$97:L$134)*_xlfn.XLOOKUP($P315,'Base Grupo de Produtos'!$E$2:$E$18,'Base Grupo de Produtos'!$F$2:$F$18)</f>
        <v>264</v>
      </c>
      <c r="Z315" s="56">
        <f>_xlfn.XLOOKUP($N315,'Calculo Leads'!$A$97:$A$134,'Calculo Leads'!M$97:M$134)*_xlfn.XLOOKUP($P315,'Base Grupo de Produtos'!$E$2:$E$18,'Base Grupo de Produtos'!$F$2:$F$18)</f>
        <v>286</v>
      </c>
      <c r="AA315" s="56">
        <f>_xlfn.XLOOKUP($N315,'Calculo Leads'!$A$97:$A$134,'Calculo Leads'!N$97:N$134)*_xlfn.XLOOKUP($P315,'Base Grupo de Produtos'!$E$2:$E$18,'Base Grupo de Produtos'!$F$2:$F$18)</f>
        <v>308</v>
      </c>
      <c r="AB315" s="56">
        <f>_xlfn.XLOOKUP($N315,'Calculo Leads'!$A$97:$A$134,'Calculo Leads'!O$97:O$134)*_xlfn.XLOOKUP($P315,'Base Grupo de Produtos'!$E$2:$E$18,'Base Grupo de Produtos'!$F$2:$F$18)</f>
        <v>220</v>
      </c>
      <c r="AC315" s="61">
        <f t="shared" si="289"/>
        <v>1796</v>
      </c>
      <c r="AD315" s="27">
        <f t="shared" si="344"/>
        <v>1796</v>
      </c>
      <c r="AE315" s="25">
        <f>IFERROR(_xlfn.XLOOKUP(N315&amp;P315,'Historico Vendas'!G:G,'Historico Vendas'!E:E),0)</f>
        <v>0</v>
      </c>
      <c r="AF315" s="29" t="str">
        <f t="shared" si="326"/>
        <v/>
      </c>
      <c r="AG315" s="24">
        <f>IFERROR(_xlfn.XLOOKUP(N315&amp;P315,'Historico Vendas'!G:G,'Historico Vendas'!F:F),0)</f>
        <v>0</v>
      </c>
      <c r="AH315" s="25">
        <f t="shared" si="345"/>
        <v>0</v>
      </c>
      <c r="AI315" s="24">
        <f t="shared" si="346"/>
        <v>0</v>
      </c>
      <c r="AJ315" s="11" t="str">
        <f t="shared" si="347"/>
        <v/>
      </c>
      <c r="AK315" s="9" t="s">
        <v>102</v>
      </c>
      <c r="AL315" s="13">
        <f>IFERROR(INDEX('Balizador da Meta'!$D$3:$F$23,MATCH(Faturamento!$P315,'Balizador da Meta'!$C$3:$C$23,0),MATCH(Faturamento!AK315,'Balizador da Meta'!$D$2:$F$2,0)),"")</f>
        <v>0</v>
      </c>
      <c r="AM315" s="9"/>
    </row>
    <row r="316" spans="1:39" x14ac:dyDescent="0.3">
      <c r="A316" s="2" t="str">
        <f t="shared" si="327"/>
        <v>NÃO</v>
      </c>
      <c r="B316" s="2" t="str">
        <f>_xlfn.XLOOKUP($N316,'Base de Grupos'!$A:$A,'Base de Grupos'!$D:$D)</f>
        <v>1000065763</v>
      </c>
      <c r="C316" s="5" t="str">
        <f>_xlfn.XLOOKUP($N316,'Base de Grupos'!$A:$A,'Base de Grupos'!$E:$E)</f>
        <v>CANAL VENDA INTERNA</v>
      </c>
      <c r="D316" s="5" t="str">
        <f>_xlfn.XLOOKUP($N316,'Base de Grupos'!$A:$A,'Base de Grupos'!$F:$F)</f>
        <v>1000065763</v>
      </c>
      <c r="E316" s="2" t="str">
        <f>_xlfn.XLOOKUP($N316,'Base de Grupos'!$A:$A,'Base de Grupos'!$G:$G)</f>
        <v>CANAL VENDA INTERNA</v>
      </c>
      <c r="F316" s="2" t="str">
        <f>_xlfn.XLOOKUP($N316,'Base de Grupos'!$A:$A,'Base de Grupos'!$H:$H)</f>
        <v>1000105900</v>
      </c>
      <c r="G316" s="5" t="str">
        <f>_xlfn.XLOOKUP($N316,'Base de Grupos'!$A:$A,'Base de Grupos'!$I:$I)</f>
        <v>REGIONAL VENDA DIRETA CO + NE + NO</v>
      </c>
      <c r="H316" s="5" t="str">
        <f>_xlfn.XLOOKUP($N316,'Base de Grupos'!$A:$A,'Base de Grupos'!$J:$J)</f>
        <v>1000105900</v>
      </c>
      <c r="I316" s="2" t="str">
        <f>_xlfn.XLOOKUP($N316,'Base de Grupos'!$A:$A,'Base de Grupos'!$K:$K)</f>
        <v>REGIONAL VENDA DIRETA CO + NE + NO</v>
      </c>
      <c r="J316" s="2" t="str">
        <f>_xlfn.XLOOKUP($N316,'Base de Grupos'!$A:$A,'Base de Grupos'!$L:$L)</f>
        <v>1000176426</v>
      </c>
      <c r="K316" s="5" t="str">
        <f>_xlfn.XLOOKUP($N316,'Base de Grupos'!$A:$A,'Base de Grupos'!$M:$M)</f>
        <v>HEMANUELE ROSA DITZEL</v>
      </c>
      <c r="L316" s="5" t="str">
        <f t="shared" si="328"/>
        <v/>
      </c>
      <c r="M316" s="5" t="str">
        <f>_xlfn.XLOOKUP($N316,'Base de Grupos'!$A:$A,'Base de Grupos'!$C:$C)</f>
        <v>GO</v>
      </c>
      <c r="N316" s="3">
        <v>1356</v>
      </c>
      <c r="O316" s="4" t="s">
        <v>241</v>
      </c>
      <c r="P316" s="5" t="s">
        <v>92</v>
      </c>
      <c r="Q316" s="56">
        <v>0</v>
      </c>
      <c r="R316" s="56">
        <v>0</v>
      </c>
      <c r="S316" s="56">
        <v>0</v>
      </c>
      <c r="T316" s="56">
        <f>_xlfn.XLOOKUP($N316,'Calculo Leads'!$A$97:$A$134,'Calculo Leads'!G$97:G$134)*_xlfn.XLOOKUP($P316,'Base Grupo de Produtos'!$E$2:$E$18,'Base Grupo de Produtos'!$F$2:$F$18)</f>
        <v>100</v>
      </c>
      <c r="U316" s="56">
        <f>_xlfn.XLOOKUP($N316,'Calculo Leads'!$A$97:$A$134,'Calculo Leads'!H$97:H$134)*_xlfn.XLOOKUP($P316,'Base Grupo de Produtos'!$E$2:$E$18,'Base Grupo de Produtos'!$F$2:$F$18)</f>
        <v>120</v>
      </c>
      <c r="V316" s="56">
        <f>_xlfn.XLOOKUP($N316,'Calculo Leads'!$A$97:$A$134,'Calculo Leads'!I$97:I$134)*_xlfn.XLOOKUP($P316,'Base Grupo de Produtos'!$E$2:$E$18,'Base Grupo de Produtos'!$F$2:$F$18)</f>
        <v>140</v>
      </c>
      <c r="W316" s="56">
        <f>_xlfn.XLOOKUP($N316,'Calculo Leads'!$A$97:$A$134,'Calculo Leads'!J$97:J$134)*_xlfn.XLOOKUP($P316,'Base Grupo de Produtos'!$E$2:$E$18,'Base Grupo de Produtos'!$F$2:$F$18)</f>
        <v>160</v>
      </c>
      <c r="X316" s="56">
        <f>_xlfn.XLOOKUP($N316,'Calculo Leads'!$A$97:$A$134,'Calculo Leads'!K$97:K$134)*_xlfn.XLOOKUP($P316,'Base Grupo de Produtos'!$E$2:$E$18,'Base Grupo de Produtos'!$F$2:$F$18)</f>
        <v>198</v>
      </c>
      <c r="Y316" s="56">
        <f>_xlfn.XLOOKUP($N316,'Calculo Leads'!$A$97:$A$134,'Calculo Leads'!L$97:L$134)*_xlfn.XLOOKUP($P316,'Base Grupo de Produtos'!$E$2:$E$18,'Base Grupo de Produtos'!$F$2:$F$18)</f>
        <v>264</v>
      </c>
      <c r="Z316" s="56">
        <f>_xlfn.XLOOKUP($N316,'Calculo Leads'!$A$97:$A$134,'Calculo Leads'!M$97:M$134)*_xlfn.XLOOKUP($P316,'Base Grupo de Produtos'!$E$2:$E$18,'Base Grupo de Produtos'!$F$2:$F$18)</f>
        <v>286</v>
      </c>
      <c r="AA316" s="56">
        <f>_xlfn.XLOOKUP($N316,'Calculo Leads'!$A$97:$A$134,'Calculo Leads'!N$97:N$134)*_xlfn.XLOOKUP($P316,'Base Grupo de Produtos'!$E$2:$E$18,'Base Grupo de Produtos'!$F$2:$F$18)</f>
        <v>308</v>
      </c>
      <c r="AB316" s="56">
        <f>_xlfn.XLOOKUP($N316,'Calculo Leads'!$A$97:$A$134,'Calculo Leads'!O$97:O$134)*_xlfn.XLOOKUP($P316,'Base Grupo de Produtos'!$E$2:$E$18,'Base Grupo de Produtos'!$F$2:$F$18)</f>
        <v>220</v>
      </c>
      <c r="AC316" s="61">
        <f t="shared" si="289"/>
        <v>1796</v>
      </c>
      <c r="AD316" s="27">
        <f t="shared" si="344"/>
        <v>1796</v>
      </c>
      <c r="AE316" s="25">
        <f>IFERROR(_xlfn.XLOOKUP(N316&amp;P316,'Historico Vendas'!G:G,'Historico Vendas'!E:E),0)</f>
        <v>0</v>
      </c>
      <c r="AF316" s="29" t="str">
        <f t="shared" si="326"/>
        <v/>
      </c>
      <c r="AG316" s="24">
        <f>IFERROR(_xlfn.XLOOKUP(N316&amp;P316,'Historico Vendas'!G:G,'Historico Vendas'!F:F),0)</f>
        <v>0</v>
      </c>
      <c r="AH316" s="25">
        <f t="shared" si="345"/>
        <v>0</v>
      </c>
      <c r="AI316" s="24">
        <f t="shared" si="346"/>
        <v>0</v>
      </c>
      <c r="AJ316" s="11" t="str">
        <f t="shared" si="347"/>
        <v/>
      </c>
      <c r="AK316" s="9" t="s">
        <v>102</v>
      </c>
      <c r="AL316" s="13">
        <f>IFERROR(INDEX('Balizador da Meta'!$D$3:$F$23,MATCH(Faturamento!$P316,'Balizador da Meta'!$C$3:$C$23,0),MATCH(Faturamento!AK316,'Balizador da Meta'!$D$2:$F$2,0)),"")</f>
        <v>0</v>
      </c>
      <c r="AM316" s="9"/>
    </row>
    <row r="317" spans="1:39" x14ac:dyDescent="0.3">
      <c r="A317" s="2" t="str">
        <f t="shared" si="327"/>
        <v>NÃO</v>
      </c>
      <c r="B317" s="2" t="str">
        <f>_xlfn.XLOOKUP($N317,'Base de Grupos'!$A:$A,'Base de Grupos'!$D:$D)</f>
        <v>1000065763</v>
      </c>
      <c r="C317" s="5" t="str">
        <f>_xlfn.XLOOKUP($N317,'Base de Grupos'!$A:$A,'Base de Grupos'!$E:$E)</f>
        <v>CANAL VENDA INTERNA</v>
      </c>
      <c r="D317" s="5" t="str">
        <f>_xlfn.XLOOKUP($N317,'Base de Grupos'!$A:$A,'Base de Grupos'!$F:$F)</f>
        <v>1000065763</v>
      </c>
      <c r="E317" s="2" t="str">
        <f>_xlfn.XLOOKUP($N317,'Base de Grupos'!$A:$A,'Base de Grupos'!$G:$G)</f>
        <v>CANAL VENDA INTERNA</v>
      </c>
      <c r="F317" s="2" t="str">
        <f>_xlfn.XLOOKUP($N317,'Base de Grupos'!$A:$A,'Base de Grupos'!$H:$H)</f>
        <v>1000105900</v>
      </c>
      <c r="G317" s="5" t="str">
        <f>_xlfn.XLOOKUP($N317,'Base de Grupos'!$A:$A,'Base de Grupos'!$I:$I)</f>
        <v>REGIONAL VENDA DIRETA CO + NE + NO</v>
      </c>
      <c r="H317" s="5" t="str">
        <f>_xlfn.XLOOKUP($N317,'Base de Grupos'!$A:$A,'Base de Grupos'!$J:$J)</f>
        <v>1000105900</v>
      </c>
      <c r="I317" s="2" t="str">
        <f>_xlfn.XLOOKUP($N317,'Base de Grupos'!$A:$A,'Base de Grupos'!$K:$K)</f>
        <v>REGIONAL VENDA DIRETA CO + NE + NO</v>
      </c>
      <c r="J317" s="2" t="str">
        <f>_xlfn.XLOOKUP($N317,'Base de Grupos'!$A:$A,'Base de Grupos'!$L:$L)</f>
        <v>1000176426</v>
      </c>
      <c r="K317" s="5" t="str">
        <f>_xlfn.XLOOKUP($N317,'Base de Grupos'!$A:$A,'Base de Grupos'!$M:$M)</f>
        <v>HEMANUELE ROSA DITZEL</v>
      </c>
      <c r="L317" s="5" t="str">
        <f t="shared" si="328"/>
        <v/>
      </c>
      <c r="M317" s="5" t="str">
        <f>_xlfn.XLOOKUP($N317,'Base de Grupos'!$A:$A,'Base de Grupos'!$C:$C)</f>
        <v>GO</v>
      </c>
      <c r="N317" s="3">
        <v>1356</v>
      </c>
      <c r="O317" s="4" t="s">
        <v>241</v>
      </c>
      <c r="P317" s="5" t="s">
        <v>86</v>
      </c>
      <c r="Q317" s="56">
        <v>0</v>
      </c>
      <c r="R317" s="56">
        <v>0</v>
      </c>
      <c r="S317" s="56">
        <v>0</v>
      </c>
      <c r="T317" s="56">
        <f>_xlfn.XLOOKUP($N317,'Calculo Leads'!$A$97:$A$134,'Calculo Leads'!G$97:G$134)*_xlfn.XLOOKUP($P317,'Base Grupo de Produtos'!$E$2:$E$18,'Base Grupo de Produtos'!$F$2:$F$18)</f>
        <v>150</v>
      </c>
      <c r="U317" s="56">
        <f>_xlfn.XLOOKUP($N317,'Calculo Leads'!$A$97:$A$134,'Calculo Leads'!H$97:H$134)*_xlfn.XLOOKUP($P317,'Base Grupo de Produtos'!$E$2:$E$18,'Base Grupo de Produtos'!$F$2:$F$18)</f>
        <v>180</v>
      </c>
      <c r="V317" s="56">
        <f>_xlfn.XLOOKUP($N317,'Calculo Leads'!$A$97:$A$134,'Calculo Leads'!I$97:I$134)*_xlfn.XLOOKUP($P317,'Base Grupo de Produtos'!$E$2:$E$18,'Base Grupo de Produtos'!$F$2:$F$18)</f>
        <v>210</v>
      </c>
      <c r="W317" s="56">
        <f>_xlfn.XLOOKUP($N317,'Calculo Leads'!$A$97:$A$134,'Calculo Leads'!J$97:J$134)*_xlfn.XLOOKUP($P317,'Base Grupo de Produtos'!$E$2:$E$18,'Base Grupo de Produtos'!$F$2:$F$18)</f>
        <v>240</v>
      </c>
      <c r="X317" s="56">
        <f>_xlfn.XLOOKUP($N317,'Calculo Leads'!$A$97:$A$134,'Calculo Leads'!K$97:K$134)*_xlfn.XLOOKUP($P317,'Base Grupo de Produtos'!$E$2:$E$18,'Base Grupo de Produtos'!$F$2:$F$18)</f>
        <v>297</v>
      </c>
      <c r="Y317" s="56">
        <f>_xlfn.XLOOKUP($N317,'Calculo Leads'!$A$97:$A$134,'Calculo Leads'!L$97:L$134)*_xlfn.XLOOKUP($P317,'Base Grupo de Produtos'!$E$2:$E$18,'Base Grupo de Produtos'!$F$2:$F$18)</f>
        <v>396</v>
      </c>
      <c r="Z317" s="56">
        <f>_xlfn.XLOOKUP($N317,'Calculo Leads'!$A$97:$A$134,'Calculo Leads'!M$97:M$134)*_xlfn.XLOOKUP($P317,'Base Grupo de Produtos'!$E$2:$E$18,'Base Grupo de Produtos'!$F$2:$F$18)</f>
        <v>429</v>
      </c>
      <c r="AA317" s="56">
        <f>_xlfn.XLOOKUP($N317,'Calculo Leads'!$A$97:$A$134,'Calculo Leads'!N$97:N$134)*_xlfn.XLOOKUP($P317,'Base Grupo de Produtos'!$E$2:$E$18,'Base Grupo de Produtos'!$F$2:$F$18)</f>
        <v>462</v>
      </c>
      <c r="AB317" s="56">
        <f>_xlfn.XLOOKUP($N317,'Calculo Leads'!$A$97:$A$134,'Calculo Leads'!O$97:O$134)*_xlfn.XLOOKUP($P317,'Base Grupo de Produtos'!$E$2:$E$18,'Base Grupo de Produtos'!$F$2:$F$18)</f>
        <v>330</v>
      </c>
      <c r="AC317" s="61">
        <f t="shared" si="289"/>
        <v>2694</v>
      </c>
      <c r="AD317" s="27">
        <f t="shared" si="344"/>
        <v>2694</v>
      </c>
      <c r="AE317" s="25">
        <f>IFERROR(_xlfn.XLOOKUP(N317&amp;P317,'Historico Vendas'!G:G,'Historico Vendas'!E:E),0)</f>
        <v>0</v>
      </c>
      <c r="AF317" s="29" t="str">
        <f t="shared" si="326"/>
        <v/>
      </c>
      <c r="AG317" s="24">
        <f>IFERROR(_xlfn.XLOOKUP(N317&amp;P317,'Historico Vendas'!G:G,'Historico Vendas'!F:F),0)</f>
        <v>0</v>
      </c>
      <c r="AH317" s="25">
        <f t="shared" si="345"/>
        <v>0</v>
      </c>
      <c r="AI317" s="24">
        <f t="shared" si="346"/>
        <v>0</v>
      </c>
      <c r="AJ317" s="11" t="str">
        <f t="shared" si="347"/>
        <v/>
      </c>
      <c r="AK317" s="9" t="s">
        <v>102</v>
      </c>
      <c r="AL317" s="13">
        <f>IFERROR(INDEX('Balizador da Meta'!$D$3:$F$23,MATCH(Faturamento!$P317,'Balizador da Meta'!$C$3:$C$23,0),MATCH(Faturamento!AK317,'Balizador da Meta'!$D$2:$F$2,0)),"")</f>
        <v>0.15</v>
      </c>
      <c r="AM317" s="9"/>
    </row>
    <row r="318" spans="1:39" x14ac:dyDescent="0.3">
      <c r="A318" s="2" t="str">
        <f t="shared" si="327"/>
        <v>NÃO</v>
      </c>
      <c r="B318" s="2" t="str">
        <f>_xlfn.XLOOKUP($N318,'Base de Grupos'!$A:$A,'Base de Grupos'!$D:$D)</f>
        <v>1000065763</v>
      </c>
      <c r="C318" s="5" t="str">
        <f>_xlfn.XLOOKUP($N318,'Base de Grupos'!$A:$A,'Base de Grupos'!$E:$E)</f>
        <v>CANAL VENDA INTERNA</v>
      </c>
      <c r="D318" s="5" t="str">
        <f>_xlfn.XLOOKUP($N318,'Base de Grupos'!$A:$A,'Base de Grupos'!$F:$F)</f>
        <v>1000065763</v>
      </c>
      <c r="E318" s="2" t="str">
        <f>_xlfn.XLOOKUP($N318,'Base de Grupos'!$A:$A,'Base de Grupos'!$G:$G)</f>
        <v>CANAL VENDA INTERNA</v>
      </c>
      <c r="F318" s="2" t="str">
        <f>_xlfn.XLOOKUP($N318,'Base de Grupos'!$A:$A,'Base de Grupos'!$H:$H)</f>
        <v>1000105900</v>
      </c>
      <c r="G318" s="5" t="str">
        <f>_xlfn.XLOOKUP($N318,'Base de Grupos'!$A:$A,'Base de Grupos'!$I:$I)</f>
        <v>REGIONAL VENDA DIRETA CO + NE + NO</v>
      </c>
      <c r="H318" s="5" t="str">
        <f>_xlfn.XLOOKUP($N318,'Base de Grupos'!$A:$A,'Base de Grupos'!$J:$J)</f>
        <v>1000105900</v>
      </c>
      <c r="I318" s="2" t="str">
        <f>_xlfn.XLOOKUP($N318,'Base de Grupos'!$A:$A,'Base de Grupos'!$K:$K)</f>
        <v>REGIONAL VENDA DIRETA CO + NE + NO</v>
      </c>
      <c r="J318" s="2" t="str">
        <f>_xlfn.XLOOKUP($N318,'Base de Grupos'!$A:$A,'Base de Grupos'!$L:$L)</f>
        <v>1000176426</v>
      </c>
      <c r="K318" s="5" t="str">
        <f>_xlfn.XLOOKUP($N318,'Base de Grupos'!$A:$A,'Base de Grupos'!$M:$M)</f>
        <v>HEMANUELE ROSA DITZEL</v>
      </c>
      <c r="L318" s="5" t="str">
        <f t="shared" si="328"/>
        <v/>
      </c>
      <c r="M318" s="5" t="str">
        <f>_xlfn.XLOOKUP($N318,'Base de Grupos'!$A:$A,'Base de Grupos'!$C:$C)</f>
        <v>GO</v>
      </c>
      <c r="N318" s="3">
        <v>1356</v>
      </c>
      <c r="O318" s="4" t="s">
        <v>241</v>
      </c>
      <c r="P318" s="5" t="s">
        <v>108</v>
      </c>
      <c r="Q318" s="56">
        <v>0</v>
      </c>
      <c r="R318" s="56">
        <v>0</v>
      </c>
      <c r="S318" s="56">
        <v>0</v>
      </c>
      <c r="T318" s="56">
        <f>_xlfn.XLOOKUP($N318,'Calculo Leads'!$A$97:$A$134,'Calculo Leads'!G$97:G$134)*_xlfn.XLOOKUP($P318,'Base Grupo de Produtos'!$E$2:$E$18,'Base Grupo de Produtos'!$F$2:$F$18)</f>
        <v>1250</v>
      </c>
      <c r="U318" s="56">
        <f>_xlfn.XLOOKUP($N318,'Calculo Leads'!$A$97:$A$134,'Calculo Leads'!H$97:H$134)*_xlfn.XLOOKUP($P318,'Base Grupo de Produtos'!$E$2:$E$18,'Base Grupo de Produtos'!$F$2:$F$18)</f>
        <v>1500</v>
      </c>
      <c r="V318" s="56">
        <f>_xlfn.XLOOKUP($N318,'Calculo Leads'!$A$97:$A$134,'Calculo Leads'!I$97:I$134)*_xlfn.XLOOKUP($P318,'Base Grupo de Produtos'!$E$2:$E$18,'Base Grupo de Produtos'!$F$2:$F$18)</f>
        <v>1750</v>
      </c>
      <c r="W318" s="56">
        <f>_xlfn.XLOOKUP($N318,'Calculo Leads'!$A$97:$A$134,'Calculo Leads'!J$97:J$134)*_xlfn.XLOOKUP($P318,'Base Grupo de Produtos'!$E$2:$E$18,'Base Grupo de Produtos'!$F$2:$F$18)</f>
        <v>2000</v>
      </c>
      <c r="X318" s="56">
        <f>_xlfn.XLOOKUP($N318,'Calculo Leads'!$A$97:$A$134,'Calculo Leads'!K$97:K$134)*_xlfn.XLOOKUP($P318,'Base Grupo de Produtos'!$E$2:$E$18,'Base Grupo de Produtos'!$F$2:$F$18)</f>
        <v>2475</v>
      </c>
      <c r="Y318" s="56">
        <f>_xlfn.XLOOKUP($N318,'Calculo Leads'!$A$97:$A$134,'Calculo Leads'!L$97:L$134)*_xlfn.XLOOKUP($P318,'Base Grupo de Produtos'!$E$2:$E$18,'Base Grupo de Produtos'!$F$2:$F$18)</f>
        <v>3300</v>
      </c>
      <c r="Z318" s="56">
        <f>_xlfn.XLOOKUP($N318,'Calculo Leads'!$A$97:$A$134,'Calculo Leads'!M$97:M$134)*_xlfn.XLOOKUP($P318,'Base Grupo de Produtos'!$E$2:$E$18,'Base Grupo de Produtos'!$F$2:$F$18)</f>
        <v>3575</v>
      </c>
      <c r="AA318" s="56">
        <f>_xlfn.XLOOKUP($N318,'Calculo Leads'!$A$97:$A$134,'Calculo Leads'!N$97:N$134)*_xlfn.XLOOKUP($P318,'Base Grupo de Produtos'!$E$2:$E$18,'Base Grupo de Produtos'!$F$2:$F$18)</f>
        <v>3850</v>
      </c>
      <c r="AB318" s="56">
        <f>_xlfn.XLOOKUP($N318,'Calculo Leads'!$A$97:$A$134,'Calculo Leads'!O$97:O$134)*_xlfn.XLOOKUP($P318,'Base Grupo de Produtos'!$E$2:$E$18,'Base Grupo de Produtos'!$F$2:$F$18)</f>
        <v>2750</v>
      </c>
      <c r="AC318" s="61">
        <f t="shared" si="289"/>
        <v>22450</v>
      </c>
      <c r="AD318" s="27">
        <f t="shared" si="344"/>
        <v>22450</v>
      </c>
      <c r="AE318" s="25">
        <f>IFERROR(_xlfn.XLOOKUP(N318&amp;P318,'Historico Vendas'!G:G,'Historico Vendas'!E:E),0)</f>
        <v>0</v>
      </c>
      <c r="AF318" s="29" t="str">
        <f t="shared" si="326"/>
        <v/>
      </c>
      <c r="AG318" s="24">
        <f>IFERROR(_xlfn.XLOOKUP(N318&amp;P318,'Historico Vendas'!G:G,'Historico Vendas'!F:F),0)</f>
        <v>0</v>
      </c>
      <c r="AH318" s="25">
        <f t="shared" si="345"/>
        <v>0</v>
      </c>
      <c r="AI318" s="24">
        <f t="shared" si="346"/>
        <v>0</v>
      </c>
      <c r="AJ318" s="11" t="str">
        <f t="shared" si="347"/>
        <v/>
      </c>
      <c r="AK318" s="9" t="s">
        <v>102</v>
      </c>
      <c r="AL318" s="13">
        <f>IFERROR(INDEX('Balizador da Meta'!$D$3:$F$23,MATCH(Faturamento!$P318,'Balizador da Meta'!$C$3:$C$23,0),MATCH(Faturamento!AK318,'Balizador da Meta'!$D$2:$F$2,0)),"")</f>
        <v>0</v>
      </c>
      <c r="AM318" s="9"/>
    </row>
    <row r="319" spans="1:39" x14ac:dyDescent="0.3">
      <c r="A319" s="2" t="str">
        <f t="shared" si="327"/>
        <v>NÃO</v>
      </c>
      <c r="B319" s="2" t="str">
        <f>_xlfn.XLOOKUP($N319,'Base de Grupos'!$A:$A,'Base de Grupos'!$D:$D)</f>
        <v>1000065763</v>
      </c>
      <c r="C319" s="5" t="str">
        <f>_xlfn.XLOOKUP($N319,'Base de Grupos'!$A:$A,'Base de Grupos'!$E:$E)</f>
        <v>CANAL VENDA INTERNA</v>
      </c>
      <c r="D319" s="5" t="str">
        <f>_xlfn.XLOOKUP($N319,'Base de Grupos'!$A:$A,'Base de Grupos'!$F:$F)</f>
        <v>1000065763</v>
      </c>
      <c r="E319" s="2" t="str">
        <f>_xlfn.XLOOKUP($N319,'Base de Grupos'!$A:$A,'Base de Grupos'!$G:$G)</f>
        <v>CANAL VENDA INTERNA</v>
      </c>
      <c r="F319" s="2" t="str">
        <f>_xlfn.XLOOKUP($N319,'Base de Grupos'!$A:$A,'Base de Grupos'!$H:$H)</f>
        <v>1000105900</v>
      </c>
      <c r="G319" s="5" t="str">
        <f>_xlfn.XLOOKUP($N319,'Base de Grupos'!$A:$A,'Base de Grupos'!$I:$I)</f>
        <v>REGIONAL VENDA DIRETA CO + NE + NO</v>
      </c>
      <c r="H319" s="5" t="str">
        <f>_xlfn.XLOOKUP($N319,'Base de Grupos'!$A:$A,'Base de Grupos'!$J:$J)</f>
        <v>1000105900</v>
      </c>
      <c r="I319" s="2" t="str">
        <f>_xlfn.XLOOKUP($N319,'Base de Grupos'!$A:$A,'Base de Grupos'!$K:$K)</f>
        <v>REGIONAL VENDA DIRETA CO + NE + NO</v>
      </c>
      <c r="J319" s="2" t="str">
        <f>_xlfn.XLOOKUP($N319,'Base de Grupos'!$A:$A,'Base de Grupos'!$L:$L)</f>
        <v>1000176426</v>
      </c>
      <c r="K319" s="5" t="str">
        <f>_xlfn.XLOOKUP($N319,'Base de Grupos'!$A:$A,'Base de Grupos'!$M:$M)</f>
        <v>HEMANUELE ROSA DITZEL</v>
      </c>
      <c r="L319" s="5" t="str">
        <f t="shared" si="328"/>
        <v/>
      </c>
      <c r="M319" s="5" t="str">
        <f>_xlfn.XLOOKUP($N319,'Base de Grupos'!$A:$A,'Base de Grupos'!$C:$C)</f>
        <v>GO</v>
      </c>
      <c r="N319" s="3">
        <v>1356</v>
      </c>
      <c r="O319" s="4" t="s">
        <v>241</v>
      </c>
      <c r="P319" s="5" t="s">
        <v>89</v>
      </c>
      <c r="Q319" s="56">
        <v>0</v>
      </c>
      <c r="R319" s="56">
        <v>0</v>
      </c>
      <c r="S319" s="56">
        <v>0</v>
      </c>
      <c r="T319" s="56">
        <f>_xlfn.XLOOKUP($N319,'Calculo Leads'!$A$97:$A$134,'Calculo Leads'!G$97:G$134)*_xlfn.XLOOKUP($P319,'Base Grupo de Produtos'!$E$2:$E$18,'Base Grupo de Produtos'!$F$2:$F$18)</f>
        <v>250</v>
      </c>
      <c r="U319" s="56">
        <f>_xlfn.XLOOKUP($N319,'Calculo Leads'!$A$97:$A$134,'Calculo Leads'!H$97:H$134)*_xlfn.XLOOKUP($P319,'Base Grupo de Produtos'!$E$2:$E$18,'Base Grupo de Produtos'!$F$2:$F$18)</f>
        <v>300</v>
      </c>
      <c r="V319" s="56">
        <f>_xlfn.XLOOKUP($N319,'Calculo Leads'!$A$97:$A$134,'Calculo Leads'!I$97:I$134)*_xlfn.XLOOKUP($P319,'Base Grupo de Produtos'!$E$2:$E$18,'Base Grupo de Produtos'!$F$2:$F$18)</f>
        <v>350</v>
      </c>
      <c r="W319" s="56">
        <f>_xlfn.XLOOKUP($N319,'Calculo Leads'!$A$97:$A$134,'Calculo Leads'!J$97:J$134)*_xlfn.XLOOKUP($P319,'Base Grupo de Produtos'!$E$2:$E$18,'Base Grupo de Produtos'!$F$2:$F$18)</f>
        <v>400</v>
      </c>
      <c r="X319" s="56">
        <f>_xlfn.XLOOKUP($N319,'Calculo Leads'!$A$97:$A$134,'Calculo Leads'!K$97:K$134)*_xlfn.XLOOKUP($P319,'Base Grupo de Produtos'!$E$2:$E$18,'Base Grupo de Produtos'!$F$2:$F$18)</f>
        <v>495</v>
      </c>
      <c r="Y319" s="56">
        <f>_xlfn.XLOOKUP($N319,'Calculo Leads'!$A$97:$A$134,'Calculo Leads'!L$97:L$134)*_xlfn.XLOOKUP($P319,'Base Grupo de Produtos'!$E$2:$E$18,'Base Grupo de Produtos'!$F$2:$F$18)</f>
        <v>660</v>
      </c>
      <c r="Z319" s="56">
        <f>_xlfn.XLOOKUP($N319,'Calculo Leads'!$A$97:$A$134,'Calculo Leads'!M$97:M$134)*_xlfn.XLOOKUP($P319,'Base Grupo de Produtos'!$E$2:$E$18,'Base Grupo de Produtos'!$F$2:$F$18)</f>
        <v>715</v>
      </c>
      <c r="AA319" s="56">
        <f>_xlfn.XLOOKUP($N319,'Calculo Leads'!$A$97:$A$134,'Calculo Leads'!N$97:N$134)*_xlfn.XLOOKUP($P319,'Base Grupo de Produtos'!$E$2:$E$18,'Base Grupo de Produtos'!$F$2:$F$18)</f>
        <v>770</v>
      </c>
      <c r="AB319" s="56">
        <f>_xlfn.XLOOKUP($N319,'Calculo Leads'!$A$97:$A$134,'Calculo Leads'!O$97:O$134)*_xlfn.XLOOKUP($P319,'Base Grupo de Produtos'!$E$2:$E$18,'Base Grupo de Produtos'!$F$2:$F$18)</f>
        <v>550</v>
      </c>
      <c r="AC319" s="61">
        <f t="shared" si="289"/>
        <v>4490</v>
      </c>
      <c r="AD319" s="27">
        <f t="shared" si="344"/>
        <v>4490</v>
      </c>
      <c r="AE319" s="25">
        <f>IFERROR(_xlfn.XLOOKUP(N319&amp;P319,'Historico Vendas'!G:G,'Historico Vendas'!E:E),0)</f>
        <v>0</v>
      </c>
      <c r="AF319" s="29" t="str">
        <f t="shared" si="326"/>
        <v/>
      </c>
      <c r="AG319" s="24">
        <f>IFERROR(_xlfn.XLOOKUP(N319&amp;P319,'Historico Vendas'!G:G,'Historico Vendas'!F:F),0)</f>
        <v>0</v>
      </c>
      <c r="AH319" s="25">
        <f t="shared" si="345"/>
        <v>0</v>
      </c>
      <c r="AI319" s="24">
        <f t="shared" si="346"/>
        <v>0</v>
      </c>
      <c r="AJ319" s="11" t="str">
        <f t="shared" si="347"/>
        <v/>
      </c>
      <c r="AK319" s="9" t="s">
        <v>102</v>
      </c>
      <c r="AL319" s="13">
        <f>IFERROR(INDEX('Balizador da Meta'!$D$3:$F$23,MATCH(Faturamento!$P319,'Balizador da Meta'!$C$3:$C$23,0),MATCH(Faturamento!AK319,'Balizador da Meta'!$D$2:$F$2,0)),"")</f>
        <v>0.25</v>
      </c>
      <c r="AM319" s="9"/>
    </row>
    <row r="320" spans="1:39" x14ac:dyDescent="0.3">
      <c r="A320" s="2" t="str">
        <f t="shared" si="327"/>
        <v>NÃO</v>
      </c>
      <c r="B320" s="2" t="str">
        <f>_xlfn.XLOOKUP($N320,'Base de Grupos'!$A:$A,'Base de Grupos'!$D:$D)</f>
        <v>1000065763</v>
      </c>
      <c r="C320" s="5" t="str">
        <f>_xlfn.XLOOKUP($N320,'Base de Grupos'!$A:$A,'Base de Grupos'!$E:$E)</f>
        <v>CANAL VENDA INTERNA</v>
      </c>
      <c r="D320" s="5" t="str">
        <f>_xlfn.XLOOKUP($N320,'Base de Grupos'!$A:$A,'Base de Grupos'!$F:$F)</f>
        <v>1000065763</v>
      </c>
      <c r="E320" s="2" t="str">
        <f>_xlfn.XLOOKUP($N320,'Base de Grupos'!$A:$A,'Base de Grupos'!$G:$G)</f>
        <v>CANAL VENDA INTERNA</v>
      </c>
      <c r="F320" s="2" t="str">
        <f>_xlfn.XLOOKUP($N320,'Base de Grupos'!$A:$A,'Base de Grupos'!$H:$H)</f>
        <v>1000105900</v>
      </c>
      <c r="G320" s="5" t="str">
        <f>_xlfn.XLOOKUP($N320,'Base de Grupos'!$A:$A,'Base de Grupos'!$I:$I)</f>
        <v>REGIONAL VENDA DIRETA CO + NE + NO</v>
      </c>
      <c r="H320" s="5" t="str">
        <f>_xlfn.XLOOKUP($N320,'Base de Grupos'!$A:$A,'Base de Grupos'!$J:$J)</f>
        <v>1000105900</v>
      </c>
      <c r="I320" s="2" t="str">
        <f>_xlfn.XLOOKUP($N320,'Base de Grupos'!$A:$A,'Base de Grupos'!$K:$K)</f>
        <v>REGIONAL VENDA DIRETA CO + NE + NO</v>
      </c>
      <c r="J320" s="2" t="str">
        <f>_xlfn.XLOOKUP($N320,'Base de Grupos'!$A:$A,'Base de Grupos'!$L:$L)</f>
        <v>1000176426</v>
      </c>
      <c r="K320" s="5" t="str">
        <f>_xlfn.XLOOKUP($N320,'Base de Grupos'!$A:$A,'Base de Grupos'!$M:$M)</f>
        <v>HEMANUELE ROSA DITZEL</v>
      </c>
      <c r="L320" s="5" t="str">
        <f t="shared" si="328"/>
        <v/>
      </c>
      <c r="M320" s="5" t="str">
        <f>_xlfn.XLOOKUP($N320,'Base de Grupos'!$A:$A,'Base de Grupos'!$C:$C)</f>
        <v>GO</v>
      </c>
      <c r="N320" s="3">
        <v>1356</v>
      </c>
      <c r="O320" s="4" t="s">
        <v>241</v>
      </c>
      <c r="P320" s="5" t="s">
        <v>88</v>
      </c>
      <c r="Q320" s="56">
        <v>0</v>
      </c>
      <c r="R320" s="56">
        <v>0</v>
      </c>
      <c r="S320" s="56">
        <v>0</v>
      </c>
      <c r="T320" s="56">
        <f>_xlfn.XLOOKUP($N320,'Calculo Leads'!$A$97:$A$134,'Calculo Leads'!G$97:G$134)*_xlfn.XLOOKUP($P320,'Base Grupo de Produtos'!$E$2:$E$18,'Base Grupo de Produtos'!$F$2:$F$18)</f>
        <v>250</v>
      </c>
      <c r="U320" s="56">
        <f>_xlfn.XLOOKUP($N320,'Calculo Leads'!$A$97:$A$134,'Calculo Leads'!H$97:H$134)*_xlfn.XLOOKUP($P320,'Base Grupo de Produtos'!$E$2:$E$18,'Base Grupo de Produtos'!$F$2:$F$18)</f>
        <v>300</v>
      </c>
      <c r="V320" s="56">
        <f>_xlfn.XLOOKUP($N320,'Calculo Leads'!$A$97:$A$134,'Calculo Leads'!I$97:I$134)*_xlfn.XLOOKUP($P320,'Base Grupo de Produtos'!$E$2:$E$18,'Base Grupo de Produtos'!$F$2:$F$18)</f>
        <v>350</v>
      </c>
      <c r="W320" s="56">
        <f>_xlfn.XLOOKUP($N320,'Calculo Leads'!$A$97:$A$134,'Calculo Leads'!J$97:J$134)*_xlfn.XLOOKUP($P320,'Base Grupo de Produtos'!$E$2:$E$18,'Base Grupo de Produtos'!$F$2:$F$18)</f>
        <v>400</v>
      </c>
      <c r="X320" s="56">
        <f>_xlfn.XLOOKUP($N320,'Calculo Leads'!$A$97:$A$134,'Calculo Leads'!K$97:K$134)*_xlfn.XLOOKUP($P320,'Base Grupo de Produtos'!$E$2:$E$18,'Base Grupo de Produtos'!$F$2:$F$18)</f>
        <v>495</v>
      </c>
      <c r="Y320" s="56">
        <f>_xlfn.XLOOKUP($N320,'Calculo Leads'!$A$97:$A$134,'Calculo Leads'!L$97:L$134)*_xlfn.XLOOKUP($P320,'Base Grupo de Produtos'!$E$2:$E$18,'Base Grupo de Produtos'!$F$2:$F$18)</f>
        <v>660</v>
      </c>
      <c r="Z320" s="56">
        <f>_xlfn.XLOOKUP($N320,'Calculo Leads'!$A$97:$A$134,'Calculo Leads'!M$97:M$134)*_xlfn.XLOOKUP($P320,'Base Grupo de Produtos'!$E$2:$E$18,'Base Grupo de Produtos'!$F$2:$F$18)</f>
        <v>715</v>
      </c>
      <c r="AA320" s="56">
        <f>_xlfn.XLOOKUP($N320,'Calculo Leads'!$A$97:$A$134,'Calculo Leads'!N$97:N$134)*_xlfn.XLOOKUP($P320,'Base Grupo de Produtos'!$E$2:$E$18,'Base Grupo de Produtos'!$F$2:$F$18)</f>
        <v>770</v>
      </c>
      <c r="AB320" s="56">
        <f>_xlfn.XLOOKUP($N320,'Calculo Leads'!$A$97:$A$134,'Calculo Leads'!O$97:O$134)*_xlfn.XLOOKUP($P320,'Base Grupo de Produtos'!$E$2:$E$18,'Base Grupo de Produtos'!$F$2:$F$18)</f>
        <v>550</v>
      </c>
      <c r="AC320" s="61">
        <f t="shared" si="289"/>
        <v>4490</v>
      </c>
      <c r="AD320" s="27">
        <f t="shared" si="344"/>
        <v>4490</v>
      </c>
      <c r="AE320" s="25">
        <f>IFERROR(_xlfn.XLOOKUP(N320&amp;P320,'Historico Vendas'!G:G,'Historico Vendas'!E:E),0)</f>
        <v>0</v>
      </c>
      <c r="AF320" s="29" t="str">
        <f t="shared" si="326"/>
        <v/>
      </c>
      <c r="AG320" s="24">
        <f>IFERROR(_xlfn.XLOOKUP(N320&amp;P320,'Historico Vendas'!G:G,'Historico Vendas'!F:F),0)</f>
        <v>0</v>
      </c>
      <c r="AH320" s="25">
        <f t="shared" si="345"/>
        <v>0</v>
      </c>
      <c r="AI320" s="24">
        <f t="shared" si="346"/>
        <v>0</v>
      </c>
      <c r="AJ320" s="11" t="str">
        <f t="shared" si="347"/>
        <v/>
      </c>
      <c r="AK320" s="9" t="s">
        <v>102</v>
      </c>
      <c r="AL320" s="13">
        <f>IFERROR(INDEX('Balizador da Meta'!$D$3:$F$23,MATCH(Faturamento!$P320,'Balizador da Meta'!$C$3:$C$23,0),MATCH(Faturamento!AK320,'Balizador da Meta'!$D$2:$F$2,0)),"")</f>
        <v>0</v>
      </c>
      <c r="AM320" s="9"/>
    </row>
    <row r="321" spans="1:39" x14ac:dyDescent="0.3">
      <c r="A321" s="2" t="str">
        <f t="shared" si="327"/>
        <v>NÃO</v>
      </c>
      <c r="B321" s="2" t="str">
        <f>_xlfn.XLOOKUP($N321,'Base de Grupos'!$A:$A,'Base de Grupos'!$D:$D)</f>
        <v>1000065763</v>
      </c>
      <c r="C321" s="5" t="str">
        <f>_xlfn.XLOOKUP($N321,'Base de Grupos'!$A:$A,'Base de Grupos'!$E:$E)</f>
        <v>CANAL VENDA INTERNA</v>
      </c>
      <c r="D321" s="5" t="str">
        <f>_xlfn.XLOOKUP($N321,'Base de Grupos'!$A:$A,'Base de Grupos'!$F:$F)</f>
        <v>1000065763</v>
      </c>
      <c r="E321" s="2" t="str">
        <f>_xlfn.XLOOKUP($N321,'Base de Grupos'!$A:$A,'Base de Grupos'!$G:$G)</f>
        <v>CANAL VENDA INTERNA</v>
      </c>
      <c r="F321" s="2" t="str">
        <f>_xlfn.XLOOKUP($N321,'Base de Grupos'!$A:$A,'Base de Grupos'!$H:$H)</f>
        <v>1000105900</v>
      </c>
      <c r="G321" s="5" t="str">
        <f>_xlfn.XLOOKUP($N321,'Base de Grupos'!$A:$A,'Base de Grupos'!$I:$I)</f>
        <v>REGIONAL VENDA DIRETA CO + NE + NO</v>
      </c>
      <c r="H321" s="5" t="str">
        <f>_xlfn.XLOOKUP($N321,'Base de Grupos'!$A:$A,'Base de Grupos'!$J:$J)</f>
        <v>1000105900</v>
      </c>
      <c r="I321" s="2" t="str">
        <f>_xlfn.XLOOKUP($N321,'Base de Grupos'!$A:$A,'Base de Grupos'!$K:$K)</f>
        <v>REGIONAL VENDA DIRETA CO + NE + NO</v>
      </c>
      <c r="J321" s="2" t="str">
        <f>_xlfn.XLOOKUP($N321,'Base de Grupos'!$A:$A,'Base de Grupos'!$L:$L)</f>
        <v>1000176426</v>
      </c>
      <c r="K321" s="5" t="str">
        <f>_xlfn.XLOOKUP($N321,'Base de Grupos'!$A:$A,'Base de Grupos'!$M:$M)</f>
        <v>HEMANUELE ROSA DITZEL</v>
      </c>
      <c r="L321" s="5" t="str">
        <f t="shared" si="328"/>
        <v/>
      </c>
      <c r="M321" s="5" t="str">
        <f>_xlfn.XLOOKUP($N321,'Base de Grupos'!$A:$A,'Base de Grupos'!$C:$C)</f>
        <v>GO</v>
      </c>
      <c r="N321" s="3">
        <v>1356</v>
      </c>
      <c r="O321" s="4" t="s">
        <v>241</v>
      </c>
      <c r="P321" s="5" t="s">
        <v>90</v>
      </c>
      <c r="Q321" s="56">
        <v>0</v>
      </c>
      <c r="R321" s="56">
        <v>0</v>
      </c>
      <c r="S321" s="56">
        <v>0</v>
      </c>
      <c r="T321" s="56">
        <f>_xlfn.XLOOKUP($N321,'Calculo Leads'!$A$97:$A$134,'Calculo Leads'!G$97:G$134)*_xlfn.XLOOKUP($P321,'Base Grupo de Produtos'!$E$2:$E$18,'Base Grupo de Produtos'!$F$2:$F$18)</f>
        <v>250</v>
      </c>
      <c r="U321" s="56">
        <f>_xlfn.XLOOKUP($N321,'Calculo Leads'!$A$97:$A$134,'Calculo Leads'!H$97:H$134)*_xlfn.XLOOKUP($P321,'Base Grupo de Produtos'!$E$2:$E$18,'Base Grupo de Produtos'!$F$2:$F$18)</f>
        <v>300</v>
      </c>
      <c r="V321" s="56">
        <f>_xlfn.XLOOKUP($N321,'Calculo Leads'!$A$97:$A$134,'Calculo Leads'!I$97:I$134)*_xlfn.XLOOKUP($P321,'Base Grupo de Produtos'!$E$2:$E$18,'Base Grupo de Produtos'!$F$2:$F$18)</f>
        <v>350</v>
      </c>
      <c r="W321" s="56">
        <f>_xlfn.XLOOKUP($N321,'Calculo Leads'!$A$97:$A$134,'Calculo Leads'!J$97:J$134)*_xlfn.XLOOKUP($P321,'Base Grupo de Produtos'!$E$2:$E$18,'Base Grupo de Produtos'!$F$2:$F$18)</f>
        <v>400</v>
      </c>
      <c r="X321" s="56">
        <f>_xlfn.XLOOKUP($N321,'Calculo Leads'!$A$97:$A$134,'Calculo Leads'!K$97:K$134)*_xlfn.XLOOKUP($P321,'Base Grupo de Produtos'!$E$2:$E$18,'Base Grupo de Produtos'!$F$2:$F$18)</f>
        <v>495</v>
      </c>
      <c r="Y321" s="56">
        <f>_xlfn.XLOOKUP($N321,'Calculo Leads'!$A$97:$A$134,'Calculo Leads'!L$97:L$134)*_xlfn.XLOOKUP($P321,'Base Grupo de Produtos'!$E$2:$E$18,'Base Grupo de Produtos'!$F$2:$F$18)</f>
        <v>660</v>
      </c>
      <c r="Z321" s="56">
        <f>_xlfn.XLOOKUP($N321,'Calculo Leads'!$A$97:$A$134,'Calculo Leads'!M$97:M$134)*_xlfn.XLOOKUP($P321,'Base Grupo de Produtos'!$E$2:$E$18,'Base Grupo de Produtos'!$F$2:$F$18)</f>
        <v>715</v>
      </c>
      <c r="AA321" s="56">
        <f>_xlfn.XLOOKUP($N321,'Calculo Leads'!$A$97:$A$134,'Calculo Leads'!N$97:N$134)*_xlfn.XLOOKUP($P321,'Base Grupo de Produtos'!$E$2:$E$18,'Base Grupo de Produtos'!$F$2:$F$18)</f>
        <v>770</v>
      </c>
      <c r="AB321" s="56">
        <f>_xlfn.XLOOKUP($N321,'Calculo Leads'!$A$97:$A$134,'Calculo Leads'!O$97:O$134)*_xlfn.XLOOKUP($P321,'Base Grupo de Produtos'!$E$2:$E$18,'Base Grupo de Produtos'!$F$2:$F$18)</f>
        <v>550</v>
      </c>
      <c r="AC321" s="61">
        <f t="shared" si="289"/>
        <v>4490</v>
      </c>
      <c r="AD321" s="27">
        <f t="shared" si="344"/>
        <v>4490</v>
      </c>
      <c r="AE321" s="25">
        <f>IFERROR(_xlfn.XLOOKUP(N321&amp;P321,'Historico Vendas'!G:G,'Historico Vendas'!E:E),0)</f>
        <v>0</v>
      </c>
      <c r="AF321" s="29" t="str">
        <f t="shared" si="326"/>
        <v/>
      </c>
      <c r="AG321" s="24">
        <f>IFERROR(_xlfn.XLOOKUP(N321&amp;P321,'Historico Vendas'!G:G,'Historico Vendas'!F:F),0)</f>
        <v>0</v>
      </c>
      <c r="AH321" s="25">
        <f t="shared" si="345"/>
        <v>0</v>
      </c>
      <c r="AI321" s="24">
        <f t="shared" si="346"/>
        <v>0</v>
      </c>
      <c r="AJ321" s="11" t="str">
        <f t="shared" si="347"/>
        <v/>
      </c>
      <c r="AK321" s="9" t="s">
        <v>102</v>
      </c>
      <c r="AL321" s="13">
        <f>IFERROR(INDEX('Balizador da Meta'!$D$3:$F$23,MATCH(Faturamento!$P321,'Balizador da Meta'!$C$3:$C$23,0),MATCH(Faturamento!AK321,'Balizador da Meta'!$D$2:$F$2,0)),"")</f>
        <v>0</v>
      </c>
      <c r="AM321" s="9"/>
    </row>
    <row r="322" spans="1:39" x14ac:dyDescent="0.3">
      <c r="A322" s="2" t="str">
        <f t="shared" si="327"/>
        <v>NÃO</v>
      </c>
      <c r="B322" s="2" t="str">
        <f>_xlfn.XLOOKUP($N322,'Base de Grupos'!$A:$A,'Base de Grupos'!$D:$D)</f>
        <v>1000065763</v>
      </c>
      <c r="C322" s="5" t="str">
        <f>_xlfn.XLOOKUP($N322,'Base de Grupos'!$A:$A,'Base de Grupos'!$E:$E)</f>
        <v>CANAL VENDA INTERNA</v>
      </c>
      <c r="D322" s="5" t="str">
        <f>_xlfn.XLOOKUP($N322,'Base de Grupos'!$A:$A,'Base de Grupos'!$F:$F)</f>
        <v>1000065763</v>
      </c>
      <c r="E322" s="2" t="str">
        <f>_xlfn.XLOOKUP($N322,'Base de Grupos'!$A:$A,'Base de Grupos'!$G:$G)</f>
        <v>CANAL VENDA INTERNA</v>
      </c>
      <c r="F322" s="2" t="str">
        <f>_xlfn.XLOOKUP($N322,'Base de Grupos'!$A:$A,'Base de Grupos'!$H:$H)</f>
        <v>1000105900</v>
      </c>
      <c r="G322" s="5" t="str">
        <f>_xlfn.XLOOKUP($N322,'Base de Grupos'!$A:$A,'Base de Grupos'!$I:$I)</f>
        <v>REGIONAL VENDA DIRETA CO + NE + NO</v>
      </c>
      <c r="H322" s="5" t="str">
        <f>_xlfn.XLOOKUP($N322,'Base de Grupos'!$A:$A,'Base de Grupos'!$J:$J)</f>
        <v>1000105900</v>
      </c>
      <c r="I322" s="2" t="str">
        <f>_xlfn.XLOOKUP($N322,'Base de Grupos'!$A:$A,'Base de Grupos'!$K:$K)</f>
        <v>REGIONAL VENDA DIRETA CO + NE + NO</v>
      </c>
      <c r="J322" s="2" t="str">
        <f>_xlfn.XLOOKUP($N322,'Base de Grupos'!$A:$A,'Base de Grupos'!$L:$L)</f>
        <v>1000176426</v>
      </c>
      <c r="K322" s="5" t="str">
        <f>_xlfn.XLOOKUP($N322,'Base de Grupos'!$A:$A,'Base de Grupos'!$M:$M)</f>
        <v>HEMANUELE ROSA DITZEL</v>
      </c>
      <c r="L322" s="5" t="str">
        <f t="shared" si="328"/>
        <v/>
      </c>
      <c r="M322" s="5" t="str">
        <f>_xlfn.XLOOKUP($N322,'Base de Grupos'!$A:$A,'Base de Grupos'!$C:$C)</f>
        <v>GO</v>
      </c>
      <c r="N322" s="3">
        <v>1356</v>
      </c>
      <c r="O322" s="4" t="s">
        <v>241</v>
      </c>
      <c r="P322" s="5" t="s">
        <v>91</v>
      </c>
      <c r="Q322" s="56">
        <v>0</v>
      </c>
      <c r="R322" s="56">
        <v>0</v>
      </c>
      <c r="S322" s="56">
        <v>0</v>
      </c>
      <c r="T322" s="56">
        <f>_xlfn.XLOOKUP($N322,'Calculo Leads'!$A$97:$A$134,'Calculo Leads'!G$97:G$134)*_xlfn.XLOOKUP($P322,'Base Grupo de Produtos'!$E$2:$E$18,'Base Grupo de Produtos'!$F$2:$F$18)</f>
        <v>0</v>
      </c>
      <c r="U322" s="56">
        <f>_xlfn.XLOOKUP($N322,'Calculo Leads'!$A$97:$A$134,'Calculo Leads'!H$97:H$134)*_xlfn.XLOOKUP($P322,'Base Grupo de Produtos'!$E$2:$E$18,'Base Grupo de Produtos'!$F$2:$F$18)</f>
        <v>0</v>
      </c>
      <c r="V322" s="56">
        <f>_xlfn.XLOOKUP($N322,'Calculo Leads'!$A$97:$A$134,'Calculo Leads'!I$97:I$134)*_xlfn.XLOOKUP($P322,'Base Grupo de Produtos'!$E$2:$E$18,'Base Grupo de Produtos'!$F$2:$F$18)</f>
        <v>0</v>
      </c>
      <c r="W322" s="56">
        <f>_xlfn.XLOOKUP($N322,'Calculo Leads'!$A$97:$A$134,'Calculo Leads'!J$97:J$134)*_xlfn.XLOOKUP($P322,'Base Grupo de Produtos'!$E$2:$E$18,'Base Grupo de Produtos'!$F$2:$F$18)</f>
        <v>0</v>
      </c>
      <c r="X322" s="56">
        <f>_xlfn.XLOOKUP($N322,'Calculo Leads'!$A$97:$A$134,'Calculo Leads'!K$97:K$134)*_xlfn.XLOOKUP($P322,'Base Grupo de Produtos'!$E$2:$E$18,'Base Grupo de Produtos'!$F$2:$F$18)</f>
        <v>0</v>
      </c>
      <c r="Y322" s="56">
        <f>_xlfn.XLOOKUP($N322,'Calculo Leads'!$A$97:$A$134,'Calculo Leads'!L$97:L$134)*_xlfn.XLOOKUP($P322,'Base Grupo de Produtos'!$E$2:$E$18,'Base Grupo de Produtos'!$F$2:$F$18)</f>
        <v>0</v>
      </c>
      <c r="Z322" s="56">
        <f>_xlfn.XLOOKUP($N322,'Calculo Leads'!$A$97:$A$134,'Calculo Leads'!M$97:M$134)*_xlfn.XLOOKUP($P322,'Base Grupo de Produtos'!$E$2:$E$18,'Base Grupo de Produtos'!$F$2:$F$18)</f>
        <v>0</v>
      </c>
      <c r="AA322" s="56">
        <f>_xlfn.XLOOKUP($N322,'Calculo Leads'!$A$97:$A$134,'Calculo Leads'!N$97:N$134)*_xlfn.XLOOKUP($P322,'Base Grupo de Produtos'!$E$2:$E$18,'Base Grupo de Produtos'!$F$2:$F$18)</f>
        <v>0</v>
      </c>
      <c r="AB322" s="56">
        <f>_xlfn.XLOOKUP($N322,'Calculo Leads'!$A$97:$A$134,'Calculo Leads'!O$97:O$134)*_xlfn.XLOOKUP($P322,'Base Grupo de Produtos'!$E$2:$E$18,'Base Grupo de Produtos'!$F$2:$F$18)</f>
        <v>0</v>
      </c>
      <c r="AC322" s="61">
        <f t="shared" si="289"/>
        <v>0</v>
      </c>
      <c r="AD322" s="27">
        <f t="shared" si="344"/>
        <v>0</v>
      </c>
      <c r="AE322" s="25">
        <f>IFERROR(_xlfn.XLOOKUP(N322&amp;P322,'Historico Vendas'!G:G,'Historico Vendas'!E:E),0)</f>
        <v>0</v>
      </c>
      <c r="AF322" s="29" t="str">
        <f t="shared" si="326"/>
        <v/>
      </c>
      <c r="AG322" s="24">
        <f>IFERROR(_xlfn.XLOOKUP(N322&amp;P322,'Historico Vendas'!G:G,'Historico Vendas'!F:F),0)</f>
        <v>0</v>
      </c>
      <c r="AH322" s="25">
        <f t="shared" si="345"/>
        <v>0</v>
      </c>
      <c r="AI322" s="24">
        <f t="shared" si="346"/>
        <v>0</v>
      </c>
      <c r="AJ322" s="11" t="str">
        <f t="shared" si="347"/>
        <v/>
      </c>
      <c r="AK322" s="9" t="s">
        <v>102</v>
      </c>
      <c r="AL322" s="13">
        <f>IFERROR(INDEX('Balizador da Meta'!$D$3:$F$23,MATCH(Faturamento!$P322,'Balizador da Meta'!$C$3:$C$23,0),MATCH(Faturamento!AK322,'Balizador da Meta'!$D$2:$F$2,0)),"")</f>
        <v>0</v>
      </c>
      <c r="AM322" s="9"/>
    </row>
    <row r="323" spans="1:39" x14ac:dyDescent="0.3">
      <c r="A323" s="2" t="str">
        <f t="shared" si="327"/>
        <v>NÃO</v>
      </c>
      <c r="B323" s="2" t="str">
        <f>_xlfn.XLOOKUP($N323,'Base de Grupos'!$A:$A,'Base de Grupos'!$D:$D)</f>
        <v>1000065763</v>
      </c>
      <c r="C323" s="5" t="str">
        <f>_xlfn.XLOOKUP($N323,'Base de Grupos'!$A:$A,'Base de Grupos'!$E:$E)</f>
        <v>CANAL VENDA INTERNA</v>
      </c>
      <c r="D323" s="5" t="str">
        <f>_xlfn.XLOOKUP($N323,'Base de Grupos'!$A:$A,'Base de Grupos'!$F:$F)</f>
        <v>1000065763</v>
      </c>
      <c r="E323" s="2" t="str">
        <f>_xlfn.XLOOKUP($N323,'Base de Grupos'!$A:$A,'Base de Grupos'!$G:$G)</f>
        <v>CANAL VENDA INTERNA</v>
      </c>
      <c r="F323" s="2" t="str">
        <f>_xlfn.XLOOKUP($N323,'Base de Grupos'!$A:$A,'Base de Grupos'!$H:$H)</f>
        <v>1000105900</v>
      </c>
      <c r="G323" s="5" t="str">
        <f>_xlfn.XLOOKUP($N323,'Base de Grupos'!$A:$A,'Base de Grupos'!$I:$I)</f>
        <v>REGIONAL VENDA DIRETA CO + NE + NO</v>
      </c>
      <c r="H323" s="5" t="str">
        <f>_xlfn.XLOOKUP($N323,'Base de Grupos'!$A:$A,'Base de Grupos'!$J:$J)</f>
        <v>1000105900</v>
      </c>
      <c r="I323" s="2" t="str">
        <f>_xlfn.XLOOKUP($N323,'Base de Grupos'!$A:$A,'Base de Grupos'!$K:$K)</f>
        <v>REGIONAL VENDA DIRETA CO + NE + NO</v>
      </c>
      <c r="J323" s="2" t="str">
        <f>_xlfn.XLOOKUP($N323,'Base de Grupos'!$A:$A,'Base de Grupos'!$L:$L)</f>
        <v>1000176426</v>
      </c>
      <c r="K323" s="5" t="str">
        <f>_xlfn.XLOOKUP($N323,'Base de Grupos'!$A:$A,'Base de Grupos'!$M:$M)</f>
        <v>HEMANUELE ROSA DITZEL</v>
      </c>
      <c r="L323" s="5" t="str">
        <f t="shared" si="328"/>
        <v/>
      </c>
      <c r="M323" s="5" t="str">
        <f>_xlfn.XLOOKUP($N323,'Base de Grupos'!$A:$A,'Base de Grupos'!$C:$C)</f>
        <v>GO</v>
      </c>
      <c r="N323" s="3">
        <v>1356</v>
      </c>
      <c r="O323" s="4" t="s">
        <v>241</v>
      </c>
      <c r="P323" s="5" t="s">
        <v>96</v>
      </c>
      <c r="Q323" s="56">
        <v>0</v>
      </c>
      <c r="R323" s="56">
        <v>0</v>
      </c>
      <c r="S323" s="56">
        <v>0</v>
      </c>
      <c r="T323" s="56">
        <f>_xlfn.XLOOKUP($N323,'Calculo Leads'!$A$97:$A$134,'Calculo Leads'!G$97:G$134)*_xlfn.XLOOKUP($P323,'Base Grupo de Produtos'!$E$2:$E$18,'Base Grupo de Produtos'!$F$2:$F$18)</f>
        <v>350.00000000000006</v>
      </c>
      <c r="U323" s="56">
        <f>_xlfn.XLOOKUP($N323,'Calculo Leads'!$A$97:$A$134,'Calculo Leads'!H$97:H$134)*_xlfn.XLOOKUP($P323,'Base Grupo de Produtos'!$E$2:$E$18,'Base Grupo de Produtos'!$F$2:$F$18)</f>
        <v>420.00000000000006</v>
      </c>
      <c r="V323" s="56">
        <f>_xlfn.XLOOKUP($N323,'Calculo Leads'!$A$97:$A$134,'Calculo Leads'!I$97:I$134)*_xlfn.XLOOKUP($P323,'Base Grupo de Produtos'!$E$2:$E$18,'Base Grupo de Produtos'!$F$2:$F$18)</f>
        <v>490.00000000000006</v>
      </c>
      <c r="W323" s="56">
        <f>_xlfn.XLOOKUP($N323,'Calculo Leads'!$A$97:$A$134,'Calculo Leads'!J$97:J$134)*_xlfn.XLOOKUP($P323,'Base Grupo de Produtos'!$E$2:$E$18,'Base Grupo de Produtos'!$F$2:$F$18)</f>
        <v>560</v>
      </c>
      <c r="X323" s="56">
        <f>_xlfn.XLOOKUP($N323,'Calculo Leads'!$A$97:$A$134,'Calculo Leads'!K$97:K$134)*_xlfn.XLOOKUP($P323,'Base Grupo de Produtos'!$E$2:$E$18,'Base Grupo de Produtos'!$F$2:$F$18)</f>
        <v>693.00000000000011</v>
      </c>
      <c r="Y323" s="56">
        <f>_xlfn.XLOOKUP($N323,'Calculo Leads'!$A$97:$A$134,'Calculo Leads'!L$97:L$134)*_xlfn.XLOOKUP($P323,'Base Grupo de Produtos'!$E$2:$E$18,'Base Grupo de Produtos'!$F$2:$F$18)</f>
        <v>924.00000000000011</v>
      </c>
      <c r="Z323" s="56">
        <f>_xlfn.XLOOKUP($N323,'Calculo Leads'!$A$97:$A$134,'Calculo Leads'!M$97:M$134)*_xlfn.XLOOKUP($P323,'Base Grupo de Produtos'!$E$2:$E$18,'Base Grupo de Produtos'!$F$2:$F$18)</f>
        <v>1001.0000000000001</v>
      </c>
      <c r="AA323" s="56">
        <f>_xlfn.XLOOKUP($N323,'Calculo Leads'!$A$97:$A$134,'Calculo Leads'!N$97:N$134)*_xlfn.XLOOKUP($P323,'Base Grupo de Produtos'!$E$2:$E$18,'Base Grupo de Produtos'!$F$2:$F$18)</f>
        <v>1078</v>
      </c>
      <c r="AB323" s="56">
        <f>_xlfn.XLOOKUP($N323,'Calculo Leads'!$A$97:$A$134,'Calculo Leads'!O$97:O$134)*_xlfn.XLOOKUP($P323,'Base Grupo de Produtos'!$E$2:$E$18,'Base Grupo de Produtos'!$F$2:$F$18)</f>
        <v>770.00000000000011</v>
      </c>
      <c r="AC323" s="61">
        <f t="shared" si="289"/>
        <v>6286.0000000000009</v>
      </c>
      <c r="AD323" s="27">
        <f t="shared" si="344"/>
        <v>6286.0000000000009</v>
      </c>
      <c r="AE323" s="25">
        <f>IFERROR(_xlfn.XLOOKUP(N323&amp;P323,'Historico Vendas'!G:G,'Historico Vendas'!E:E),0)</f>
        <v>0</v>
      </c>
      <c r="AF323" s="29" t="str">
        <f t="shared" si="326"/>
        <v/>
      </c>
      <c r="AG323" s="24">
        <f>IFERROR(_xlfn.XLOOKUP(N323&amp;P323,'Historico Vendas'!G:G,'Historico Vendas'!F:F),0)</f>
        <v>0</v>
      </c>
      <c r="AH323" s="25">
        <f t="shared" si="345"/>
        <v>0</v>
      </c>
      <c r="AI323" s="24">
        <f t="shared" si="346"/>
        <v>0</v>
      </c>
      <c r="AJ323" s="11" t="str">
        <f t="shared" si="347"/>
        <v/>
      </c>
      <c r="AK323" s="9" t="s">
        <v>102</v>
      </c>
      <c r="AL323" s="13">
        <f>IFERROR(INDEX('Balizador da Meta'!$D$3:$F$23,MATCH(Faturamento!$P323,'Balizador da Meta'!$C$3:$C$23,0),MATCH(Faturamento!AK323,'Balizador da Meta'!$D$2:$F$2,0)),"")</f>
        <v>0</v>
      </c>
      <c r="AM323" s="9"/>
    </row>
    <row r="324" spans="1:39" x14ac:dyDescent="0.3">
      <c r="A324" s="2" t="str">
        <f t="shared" si="327"/>
        <v>NÃO</v>
      </c>
      <c r="B324" s="2" t="str">
        <f>_xlfn.XLOOKUP($N324,'Base de Grupos'!$A:$A,'Base de Grupos'!$D:$D)</f>
        <v>1000065763</v>
      </c>
      <c r="C324" s="5" t="str">
        <f>_xlfn.XLOOKUP($N324,'Base de Grupos'!$A:$A,'Base de Grupos'!$E:$E)</f>
        <v>CANAL VENDA INTERNA</v>
      </c>
      <c r="D324" s="5" t="str">
        <f>_xlfn.XLOOKUP($N324,'Base de Grupos'!$A:$A,'Base de Grupos'!$F:$F)</f>
        <v>1000065763</v>
      </c>
      <c r="E324" s="2" t="str">
        <f>_xlfn.XLOOKUP($N324,'Base de Grupos'!$A:$A,'Base de Grupos'!$G:$G)</f>
        <v>CANAL VENDA INTERNA</v>
      </c>
      <c r="F324" s="2" t="str">
        <f>_xlfn.XLOOKUP($N324,'Base de Grupos'!$A:$A,'Base de Grupos'!$H:$H)</f>
        <v>1000105900</v>
      </c>
      <c r="G324" s="5" t="str">
        <f>_xlfn.XLOOKUP($N324,'Base de Grupos'!$A:$A,'Base de Grupos'!$I:$I)</f>
        <v>REGIONAL VENDA DIRETA CO + NE + NO</v>
      </c>
      <c r="H324" s="5" t="str">
        <f>_xlfn.XLOOKUP($N324,'Base de Grupos'!$A:$A,'Base de Grupos'!$J:$J)</f>
        <v>1000105900</v>
      </c>
      <c r="I324" s="2" t="str">
        <f>_xlfn.XLOOKUP($N324,'Base de Grupos'!$A:$A,'Base de Grupos'!$K:$K)</f>
        <v>REGIONAL VENDA DIRETA CO + NE + NO</v>
      </c>
      <c r="J324" s="2" t="str">
        <f>_xlfn.XLOOKUP($N324,'Base de Grupos'!$A:$A,'Base de Grupos'!$L:$L)</f>
        <v>1000176426</v>
      </c>
      <c r="K324" s="5" t="str">
        <f>_xlfn.XLOOKUP($N324,'Base de Grupos'!$A:$A,'Base de Grupos'!$M:$M)</f>
        <v>HEMANUELE ROSA DITZEL</v>
      </c>
      <c r="L324" s="5" t="str">
        <f t="shared" si="328"/>
        <v/>
      </c>
      <c r="M324" s="5" t="str">
        <f>_xlfn.XLOOKUP($N324,'Base de Grupos'!$A:$A,'Base de Grupos'!$C:$C)</f>
        <v>GO</v>
      </c>
      <c r="N324" s="3">
        <v>1356</v>
      </c>
      <c r="O324" s="4" t="s">
        <v>241</v>
      </c>
      <c r="P324" s="5" t="s">
        <v>94</v>
      </c>
      <c r="Q324" s="56">
        <v>0</v>
      </c>
      <c r="R324" s="56">
        <v>0</v>
      </c>
      <c r="S324" s="56">
        <v>0</v>
      </c>
      <c r="T324" s="56">
        <f>_xlfn.XLOOKUP($N324,'Calculo Leads'!$A$97:$A$134,'Calculo Leads'!G$97:G$134)*_xlfn.XLOOKUP($P324,'Base Grupo de Produtos'!$E$2:$E$18,'Base Grupo de Produtos'!$F$2:$F$18)</f>
        <v>249.99999999999997</v>
      </c>
      <c r="U324" s="56">
        <f>_xlfn.XLOOKUP($N324,'Calculo Leads'!$A$97:$A$134,'Calculo Leads'!H$97:H$134)*_xlfn.XLOOKUP($P324,'Base Grupo de Produtos'!$E$2:$E$18,'Base Grupo de Produtos'!$F$2:$F$18)</f>
        <v>300</v>
      </c>
      <c r="V324" s="56">
        <f>_xlfn.XLOOKUP($N324,'Calculo Leads'!$A$97:$A$134,'Calculo Leads'!I$97:I$134)*_xlfn.XLOOKUP($P324,'Base Grupo de Produtos'!$E$2:$E$18,'Base Grupo de Produtos'!$F$2:$F$18)</f>
        <v>349.99999999999994</v>
      </c>
      <c r="W324" s="56">
        <f>_xlfn.XLOOKUP($N324,'Calculo Leads'!$A$97:$A$134,'Calculo Leads'!J$97:J$134)*_xlfn.XLOOKUP($P324,'Base Grupo de Produtos'!$E$2:$E$18,'Base Grupo de Produtos'!$F$2:$F$18)</f>
        <v>399.99999999999994</v>
      </c>
      <c r="X324" s="56">
        <f>_xlfn.XLOOKUP($N324,'Calculo Leads'!$A$97:$A$134,'Calculo Leads'!K$97:K$134)*_xlfn.XLOOKUP($P324,'Base Grupo de Produtos'!$E$2:$E$18,'Base Grupo de Produtos'!$F$2:$F$18)</f>
        <v>494.99999999999994</v>
      </c>
      <c r="Y324" s="56">
        <f>_xlfn.XLOOKUP($N324,'Calculo Leads'!$A$97:$A$134,'Calculo Leads'!L$97:L$134)*_xlfn.XLOOKUP($P324,'Base Grupo de Produtos'!$E$2:$E$18,'Base Grupo de Produtos'!$F$2:$F$18)</f>
        <v>660</v>
      </c>
      <c r="Z324" s="56">
        <f>_xlfn.XLOOKUP($N324,'Calculo Leads'!$A$97:$A$134,'Calculo Leads'!M$97:M$134)*_xlfn.XLOOKUP($P324,'Base Grupo de Produtos'!$E$2:$E$18,'Base Grupo de Produtos'!$F$2:$F$18)</f>
        <v>714.99999999999989</v>
      </c>
      <c r="AA324" s="56">
        <f>_xlfn.XLOOKUP($N324,'Calculo Leads'!$A$97:$A$134,'Calculo Leads'!N$97:N$134)*_xlfn.XLOOKUP($P324,'Base Grupo de Produtos'!$E$2:$E$18,'Base Grupo de Produtos'!$F$2:$F$18)</f>
        <v>769.99999999999989</v>
      </c>
      <c r="AB324" s="56">
        <f>_xlfn.XLOOKUP($N324,'Calculo Leads'!$A$97:$A$134,'Calculo Leads'!O$97:O$134)*_xlfn.XLOOKUP($P324,'Base Grupo de Produtos'!$E$2:$E$18,'Base Grupo de Produtos'!$F$2:$F$18)</f>
        <v>550</v>
      </c>
      <c r="AC324" s="61">
        <f t="shared" si="289"/>
        <v>4490</v>
      </c>
      <c r="AD324" s="27">
        <f t="shared" si="344"/>
        <v>4490</v>
      </c>
      <c r="AE324" s="25">
        <f>IFERROR(_xlfn.XLOOKUP(N324&amp;P324,'Historico Vendas'!G:G,'Historico Vendas'!E:E),0)</f>
        <v>0</v>
      </c>
      <c r="AF324" s="29" t="str">
        <f t="shared" si="326"/>
        <v/>
      </c>
      <c r="AG324" s="24">
        <f>IFERROR(_xlfn.XLOOKUP(N324&amp;P324,'Historico Vendas'!G:G,'Historico Vendas'!F:F),0)</f>
        <v>0</v>
      </c>
      <c r="AH324" s="25">
        <f t="shared" si="345"/>
        <v>0</v>
      </c>
      <c r="AI324" s="24">
        <f t="shared" si="346"/>
        <v>0</v>
      </c>
      <c r="AJ324" s="11" t="str">
        <f t="shared" si="347"/>
        <v/>
      </c>
      <c r="AK324" s="9" t="s">
        <v>102</v>
      </c>
      <c r="AL324" s="13">
        <f>IFERROR(INDEX('Balizador da Meta'!$D$3:$F$23,MATCH(Faturamento!$P324,'Balizador da Meta'!$C$3:$C$23,0),MATCH(Faturamento!AK324,'Balizador da Meta'!$D$2:$F$2,0)),"")</f>
        <v>0.25</v>
      </c>
      <c r="AM324" s="9"/>
    </row>
    <row r="325" spans="1:39" x14ac:dyDescent="0.3">
      <c r="A325" s="2" t="str">
        <f t="shared" si="327"/>
        <v>NÃO</v>
      </c>
      <c r="B325" s="2" t="str">
        <f>_xlfn.XLOOKUP($N325,'Base de Grupos'!$A:$A,'Base de Grupos'!$D:$D)</f>
        <v>1000065763</v>
      </c>
      <c r="C325" s="5" t="str">
        <f>_xlfn.XLOOKUP($N325,'Base de Grupos'!$A:$A,'Base de Grupos'!$E:$E)</f>
        <v>CANAL VENDA INTERNA</v>
      </c>
      <c r="D325" s="5" t="str">
        <f>_xlfn.XLOOKUP($N325,'Base de Grupos'!$A:$A,'Base de Grupos'!$F:$F)</f>
        <v>1000065763</v>
      </c>
      <c r="E325" s="2" t="str">
        <f>_xlfn.XLOOKUP($N325,'Base de Grupos'!$A:$A,'Base de Grupos'!$G:$G)</f>
        <v>CANAL VENDA INTERNA</v>
      </c>
      <c r="F325" s="2" t="str">
        <f>_xlfn.XLOOKUP($N325,'Base de Grupos'!$A:$A,'Base de Grupos'!$H:$H)</f>
        <v>1000105900</v>
      </c>
      <c r="G325" s="5" t="str">
        <f>_xlfn.XLOOKUP($N325,'Base de Grupos'!$A:$A,'Base de Grupos'!$I:$I)</f>
        <v>REGIONAL VENDA DIRETA CO + NE + NO</v>
      </c>
      <c r="H325" s="5" t="str">
        <f>_xlfn.XLOOKUP($N325,'Base de Grupos'!$A:$A,'Base de Grupos'!$J:$J)</f>
        <v>1000105900</v>
      </c>
      <c r="I325" s="2" t="str">
        <f>_xlfn.XLOOKUP($N325,'Base de Grupos'!$A:$A,'Base de Grupos'!$K:$K)</f>
        <v>REGIONAL VENDA DIRETA CO + NE + NO</v>
      </c>
      <c r="J325" s="2" t="str">
        <f>_xlfn.XLOOKUP($N325,'Base de Grupos'!$A:$A,'Base de Grupos'!$L:$L)</f>
        <v>1000176426</v>
      </c>
      <c r="K325" s="5" t="str">
        <f>_xlfn.XLOOKUP($N325,'Base de Grupos'!$A:$A,'Base de Grupos'!$M:$M)</f>
        <v>HEMANUELE ROSA DITZEL</v>
      </c>
      <c r="L325" s="5" t="str">
        <f t="shared" si="328"/>
        <v/>
      </c>
      <c r="M325" s="5" t="str">
        <f>_xlfn.XLOOKUP($N325,'Base de Grupos'!$A:$A,'Base de Grupos'!$C:$C)</f>
        <v>GO</v>
      </c>
      <c r="N325" s="3">
        <v>1356</v>
      </c>
      <c r="O325" s="4" t="s">
        <v>241</v>
      </c>
      <c r="P325" s="5" t="s">
        <v>95</v>
      </c>
      <c r="Q325" s="56">
        <v>0</v>
      </c>
      <c r="R325" s="56">
        <v>0</v>
      </c>
      <c r="S325" s="56">
        <v>0</v>
      </c>
      <c r="T325" s="56">
        <f>_xlfn.XLOOKUP($N325,'Calculo Leads'!$A$97:$A$134,'Calculo Leads'!G$97:G$134)*_xlfn.XLOOKUP($P325,'Base Grupo de Produtos'!$E$2:$E$18,'Base Grupo de Produtos'!$F$2:$F$18)</f>
        <v>400</v>
      </c>
      <c r="U325" s="56">
        <f>_xlfn.XLOOKUP($N325,'Calculo Leads'!$A$97:$A$134,'Calculo Leads'!H$97:H$134)*_xlfn.XLOOKUP($P325,'Base Grupo de Produtos'!$E$2:$E$18,'Base Grupo de Produtos'!$F$2:$F$18)</f>
        <v>480</v>
      </c>
      <c r="V325" s="56">
        <f>_xlfn.XLOOKUP($N325,'Calculo Leads'!$A$97:$A$134,'Calculo Leads'!I$97:I$134)*_xlfn.XLOOKUP($P325,'Base Grupo de Produtos'!$E$2:$E$18,'Base Grupo de Produtos'!$F$2:$F$18)</f>
        <v>560</v>
      </c>
      <c r="W325" s="56">
        <f>_xlfn.XLOOKUP($N325,'Calculo Leads'!$A$97:$A$134,'Calculo Leads'!J$97:J$134)*_xlfn.XLOOKUP($P325,'Base Grupo de Produtos'!$E$2:$E$18,'Base Grupo de Produtos'!$F$2:$F$18)</f>
        <v>640</v>
      </c>
      <c r="X325" s="56">
        <f>_xlfn.XLOOKUP($N325,'Calculo Leads'!$A$97:$A$134,'Calculo Leads'!K$97:K$134)*_xlfn.XLOOKUP($P325,'Base Grupo de Produtos'!$E$2:$E$18,'Base Grupo de Produtos'!$F$2:$F$18)</f>
        <v>792</v>
      </c>
      <c r="Y325" s="56">
        <f>_xlfn.XLOOKUP($N325,'Calculo Leads'!$A$97:$A$134,'Calculo Leads'!L$97:L$134)*_xlfn.XLOOKUP($P325,'Base Grupo de Produtos'!$E$2:$E$18,'Base Grupo de Produtos'!$F$2:$F$18)</f>
        <v>1056</v>
      </c>
      <c r="Z325" s="56">
        <f>_xlfn.XLOOKUP($N325,'Calculo Leads'!$A$97:$A$134,'Calculo Leads'!M$97:M$134)*_xlfn.XLOOKUP($P325,'Base Grupo de Produtos'!$E$2:$E$18,'Base Grupo de Produtos'!$F$2:$F$18)</f>
        <v>1144</v>
      </c>
      <c r="AA325" s="56">
        <f>_xlfn.XLOOKUP($N325,'Calculo Leads'!$A$97:$A$134,'Calculo Leads'!N$97:N$134)*_xlfn.XLOOKUP($P325,'Base Grupo de Produtos'!$E$2:$E$18,'Base Grupo de Produtos'!$F$2:$F$18)</f>
        <v>1232</v>
      </c>
      <c r="AB325" s="56">
        <f>_xlfn.XLOOKUP($N325,'Calculo Leads'!$A$97:$A$134,'Calculo Leads'!O$97:O$134)*_xlfn.XLOOKUP($P325,'Base Grupo de Produtos'!$E$2:$E$18,'Base Grupo de Produtos'!$F$2:$F$18)</f>
        <v>880</v>
      </c>
      <c r="AC325" s="61">
        <f t="shared" ref="AC325:AC388" si="348">SUM(T325:AB325)</f>
        <v>7184</v>
      </c>
      <c r="AD325" s="27">
        <f t="shared" si="344"/>
        <v>7184</v>
      </c>
      <c r="AE325" s="25">
        <f>IFERROR(_xlfn.XLOOKUP(N325&amp;P325,'Historico Vendas'!G:G,'Historico Vendas'!E:E),0)</f>
        <v>0</v>
      </c>
      <c r="AF325" s="29" t="str">
        <f t="shared" si="326"/>
        <v/>
      </c>
      <c r="AG325" s="24">
        <f>IFERROR(_xlfn.XLOOKUP(N325&amp;P325,'Historico Vendas'!G:G,'Historico Vendas'!F:F),0)</f>
        <v>0</v>
      </c>
      <c r="AH325" s="25">
        <f t="shared" si="345"/>
        <v>0</v>
      </c>
      <c r="AI325" s="24">
        <f t="shared" si="346"/>
        <v>0</v>
      </c>
      <c r="AJ325" s="11" t="str">
        <f t="shared" si="347"/>
        <v/>
      </c>
      <c r="AK325" s="9" t="s">
        <v>102</v>
      </c>
      <c r="AL325" s="13">
        <f>IFERROR(INDEX('Balizador da Meta'!$D$3:$F$23,MATCH(Faturamento!$P325,'Balizador da Meta'!$C$3:$C$23,0),MATCH(Faturamento!AK325,'Balizador da Meta'!$D$2:$F$2,0)),"")</f>
        <v>0.25</v>
      </c>
      <c r="AM325" s="9"/>
    </row>
    <row r="326" spans="1:39" x14ac:dyDescent="0.3">
      <c r="A326" s="2" t="str">
        <f t="shared" si="327"/>
        <v>NÃO</v>
      </c>
      <c r="B326" s="2" t="str">
        <f>_xlfn.XLOOKUP($N326,'Base de Grupos'!$A:$A,'Base de Grupos'!$D:$D)</f>
        <v>1000065763</v>
      </c>
      <c r="C326" s="5" t="str">
        <f>_xlfn.XLOOKUP($N326,'Base de Grupos'!$A:$A,'Base de Grupos'!$E:$E)</f>
        <v>CANAL VENDA INTERNA</v>
      </c>
      <c r="D326" s="5" t="str">
        <f>_xlfn.XLOOKUP($N326,'Base de Grupos'!$A:$A,'Base de Grupos'!$F:$F)</f>
        <v>1000065763</v>
      </c>
      <c r="E326" s="2" t="str">
        <f>_xlfn.XLOOKUP($N326,'Base de Grupos'!$A:$A,'Base de Grupos'!$G:$G)</f>
        <v>CANAL VENDA INTERNA</v>
      </c>
      <c r="F326" s="2" t="str">
        <f>_xlfn.XLOOKUP($N326,'Base de Grupos'!$A:$A,'Base de Grupos'!$H:$H)</f>
        <v>1000105900</v>
      </c>
      <c r="G326" s="5" t="str">
        <f>_xlfn.XLOOKUP($N326,'Base de Grupos'!$A:$A,'Base de Grupos'!$I:$I)</f>
        <v>REGIONAL VENDA DIRETA CO + NE + NO</v>
      </c>
      <c r="H326" s="5" t="str">
        <f>_xlfn.XLOOKUP($N326,'Base de Grupos'!$A:$A,'Base de Grupos'!$J:$J)</f>
        <v>1000105900</v>
      </c>
      <c r="I326" s="2" t="str">
        <f>_xlfn.XLOOKUP($N326,'Base de Grupos'!$A:$A,'Base de Grupos'!$K:$K)</f>
        <v>REGIONAL VENDA DIRETA CO + NE + NO</v>
      </c>
      <c r="J326" s="2" t="str">
        <f>_xlfn.XLOOKUP($N326,'Base de Grupos'!$A:$A,'Base de Grupos'!$L:$L)</f>
        <v>1000176426</v>
      </c>
      <c r="K326" s="5" t="str">
        <f>_xlfn.XLOOKUP($N326,'Base de Grupos'!$A:$A,'Base de Grupos'!$M:$M)</f>
        <v>HEMANUELE ROSA DITZEL</v>
      </c>
      <c r="L326" s="5" t="str">
        <f t="shared" si="328"/>
        <v/>
      </c>
      <c r="M326" s="5" t="str">
        <f>_xlfn.XLOOKUP($N326,'Base de Grupos'!$A:$A,'Base de Grupos'!$C:$C)</f>
        <v>GO</v>
      </c>
      <c r="N326" s="3">
        <v>1356</v>
      </c>
      <c r="O326" s="4" t="s">
        <v>241</v>
      </c>
      <c r="P326" s="5" t="s">
        <v>93</v>
      </c>
      <c r="Q326" s="56">
        <v>0</v>
      </c>
      <c r="R326" s="56">
        <v>0</v>
      </c>
      <c r="S326" s="56">
        <v>0</v>
      </c>
      <c r="T326" s="56">
        <f>_xlfn.XLOOKUP($N326,'Calculo Leads'!$A$97:$A$134,'Calculo Leads'!G$97:G$134)*_xlfn.XLOOKUP($P326,'Base Grupo de Produtos'!$E$2:$E$18,'Base Grupo de Produtos'!$F$2:$F$18)</f>
        <v>150</v>
      </c>
      <c r="U326" s="56">
        <f>_xlfn.XLOOKUP($N326,'Calculo Leads'!$A$97:$A$134,'Calculo Leads'!H$97:H$134)*_xlfn.XLOOKUP($P326,'Base Grupo de Produtos'!$E$2:$E$18,'Base Grupo de Produtos'!$F$2:$F$18)</f>
        <v>180</v>
      </c>
      <c r="V326" s="56">
        <f>_xlfn.XLOOKUP($N326,'Calculo Leads'!$A$97:$A$134,'Calculo Leads'!I$97:I$134)*_xlfn.XLOOKUP($P326,'Base Grupo de Produtos'!$E$2:$E$18,'Base Grupo de Produtos'!$F$2:$F$18)</f>
        <v>210</v>
      </c>
      <c r="W326" s="56">
        <f>_xlfn.XLOOKUP($N326,'Calculo Leads'!$A$97:$A$134,'Calculo Leads'!J$97:J$134)*_xlfn.XLOOKUP($P326,'Base Grupo de Produtos'!$E$2:$E$18,'Base Grupo de Produtos'!$F$2:$F$18)</f>
        <v>240</v>
      </c>
      <c r="X326" s="56">
        <f>_xlfn.XLOOKUP($N326,'Calculo Leads'!$A$97:$A$134,'Calculo Leads'!K$97:K$134)*_xlfn.XLOOKUP($P326,'Base Grupo de Produtos'!$E$2:$E$18,'Base Grupo de Produtos'!$F$2:$F$18)</f>
        <v>297</v>
      </c>
      <c r="Y326" s="56">
        <f>_xlfn.XLOOKUP($N326,'Calculo Leads'!$A$97:$A$134,'Calculo Leads'!L$97:L$134)*_xlfn.XLOOKUP($P326,'Base Grupo de Produtos'!$E$2:$E$18,'Base Grupo de Produtos'!$F$2:$F$18)</f>
        <v>396</v>
      </c>
      <c r="Z326" s="56">
        <f>_xlfn.XLOOKUP($N326,'Calculo Leads'!$A$97:$A$134,'Calculo Leads'!M$97:M$134)*_xlfn.XLOOKUP($P326,'Base Grupo de Produtos'!$E$2:$E$18,'Base Grupo de Produtos'!$F$2:$F$18)</f>
        <v>429</v>
      </c>
      <c r="AA326" s="56">
        <f>_xlfn.XLOOKUP($N326,'Calculo Leads'!$A$97:$A$134,'Calculo Leads'!N$97:N$134)*_xlfn.XLOOKUP($P326,'Base Grupo de Produtos'!$E$2:$E$18,'Base Grupo de Produtos'!$F$2:$F$18)</f>
        <v>462</v>
      </c>
      <c r="AB326" s="56">
        <f>_xlfn.XLOOKUP($N326,'Calculo Leads'!$A$97:$A$134,'Calculo Leads'!O$97:O$134)*_xlfn.XLOOKUP($P326,'Base Grupo de Produtos'!$E$2:$E$18,'Base Grupo de Produtos'!$F$2:$F$18)</f>
        <v>330</v>
      </c>
      <c r="AC326" s="61">
        <f t="shared" si="348"/>
        <v>2694</v>
      </c>
      <c r="AD326" s="27">
        <f t="shared" si="344"/>
        <v>2694</v>
      </c>
      <c r="AE326" s="25">
        <f>IFERROR(_xlfn.XLOOKUP(N326&amp;P326,'Historico Vendas'!G:G,'Historico Vendas'!E:E),0)</f>
        <v>0</v>
      </c>
      <c r="AF326" s="29" t="str">
        <f t="shared" si="326"/>
        <v/>
      </c>
      <c r="AG326" s="24">
        <f>IFERROR(_xlfn.XLOOKUP(N326&amp;P326,'Historico Vendas'!G:G,'Historico Vendas'!F:F),0)</f>
        <v>0</v>
      </c>
      <c r="AH326" s="25">
        <f t="shared" si="345"/>
        <v>0</v>
      </c>
      <c r="AI326" s="24">
        <f t="shared" si="346"/>
        <v>0</v>
      </c>
      <c r="AJ326" s="11" t="str">
        <f t="shared" si="347"/>
        <v/>
      </c>
      <c r="AK326" s="9" t="s">
        <v>102</v>
      </c>
      <c r="AL326" s="13">
        <f>IFERROR(INDEX('Balizador da Meta'!$D$3:$F$23,MATCH(Faturamento!$P326,'Balizador da Meta'!$C$3:$C$23,0),MATCH(Faturamento!AK326,'Balizador da Meta'!$D$2:$F$2,0)),"")</f>
        <v>0.2</v>
      </c>
      <c r="AM326" s="9"/>
    </row>
    <row r="327" spans="1:39" x14ac:dyDescent="0.3">
      <c r="A327" s="2" t="str">
        <f t="shared" si="327"/>
        <v>SIM</v>
      </c>
      <c r="B327" s="2" t="str">
        <f>_xlfn.XLOOKUP($N327,'Base de Grupos'!$A:$A,'Base de Grupos'!$D:$D)</f>
        <v>1000065763</v>
      </c>
      <c r="C327" s="5" t="str">
        <f>_xlfn.XLOOKUP($N327,'Base de Grupos'!$A:$A,'Base de Grupos'!$E:$E)</f>
        <v>CANAL VENDA INTERNA</v>
      </c>
      <c r="D327" s="5" t="str">
        <f>_xlfn.XLOOKUP($N327,'Base de Grupos'!$A:$A,'Base de Grupos'!$F:$F)</f>
        <v>1000065763</v>
      </c>
      <c r="E327" s="2" t="str">
        <f>_xlfn.XLOOKUP($N327,'Base de Grupos'!$A:$A,'Base de Grupos'!$G:$G)</f>
        <v>CANAL VENDA INTERNA</v>
      </c>
      <c r="F327" s="2" t="str">
        <f>_xlfn.XLOOKUP($N327,'Base de Grupos'!$A:$A,'Base de Grupos'!$H:$H)</f>
        <v>1000105899</v>
      </c>
      <c r="G327" s="5" t="str">
        <f>_xlfn.XLOOKUP($N327,'Base de Grupos'!$A:$A,'Base de Grupos'!$I:$I)</f>
        <v>REGIONAL VENDA DIRETA SUDESTE</v>
      </c>
      <c r="H327" s="5" t="str">
        <f>_xlfn.XLOOKUP($N327,'Base de Grupos'!$A:$A,'Base de Grupos'!$J:$J)</f>
        <v>1000105899</v>
      </c>
      <c r="I327" s="2" t="str">
        <f>_xlfn.XLOOKUP($N327,'Base de Grupos'!$A:$A,'Base de Grupos'!$K:$K)</f>
        <v>REGIONAL VENDA DIRETA SUDESTE</v>
      </c>
      <c r="J327" s="2" t="str">
        <f>_xlfn.XLOOKUP($N327,'Base de Grupos'!$A:$A,'Base de Grupos'!$L:$L)</f>
        <v>1000150135</v>
      </c>
      <c r="K327" s="5" t="str">
        <f>_xlfn.XLOOKUP($N327,'Base de Grupos'!$A:$A,'Base de Grupos'!$M:$M)</f>
        <v>HELDER DA SILVA BRUNKOW</v>
      </c>
      <c r="L327" s="5">
        <f t="shared" si="328"/>
        <v>1</v>
      </c>
      <c r="M327" s="5" t="str">
        <f>_xlfn.XLOOKUP($N327,'Base de Grupos'!$A:$A,'Base de Grupos'!$C:$C)</f>
        <v>ES</v>
      </c>
      <c r="N327" s="3">
        <v>1357</v>
      </c>
      <c r="O327" s="4" t="s">
        <v>242</v>
      </c>
      <c r="P327" s="5" t="s">
        <v>312</v>
      </c>
      <c r="Q327" s="56">
        <f t="shared" ref="Q327" si="349">SUM(Q328:Q344)</f>
        <v>0</v>
      </c>
      <c r="R327" s="56">
        <f t="shared" ref="R327" si="350">SUM(R328:R344)</f>
        <v>0</v>
      </c>
      <c r="S327" s="56">
        <f t="shared" ref="S327" si="351">SUM(S328:S344)</f>
        <v>0</v>
      </c>
      <c r="T327" s="56">
        <f t="shared" ref="T327" si="352">SUM(T328:T344)</f>
        <v>3000</v>
      </c>
      <c r="U327" s="56">
        <f t="shared" ref="U327" si="353">SUM(U328:U344)</f>
        <v>3000</v>
      </c>
      <c r="V327" s="56">
        <f t="shared" ref="V327" si="354">SUM(V328:V344)</f>
        <v>4000</v>
      </c>
      <c r="W327" s="56">
        <f t="shared" ref="W327" si="355">SUM(W328:W344)</f>
        <v>4000</v>
      </c>
      <c r="X327" s="56">
        <f t="shared" ref="X327" si="356">SUM(X328:X344)</f>
        <v>5500</v>
      </c>
      <c r="Y327" s="56">
        <f t="shared" ref="Y327" si="357">SUM(Y328:Y344)</f>
        <v>6600</v>
      </c>
      <c r="Z327" s="56">
        <f t="shared" ref="Z327" si="358">SUM(Z328:Z344)</f>
        <v>6600</v>
      </c>
      <c r="AA327" s="56">
        <f t="shared" ref="AA327" si="359">SUM(AA328:AA344)</f>
        <v>7700</v>
      </c>
      <c r="AB327" s="56">
        <f t="shared" ref="AB327" si="360">SUM(AB328:AB344)</f>
        <v>5500</v>
      </c>
      <c r="AC327" s="56">
        <f t="shared" ref="AC327" si="361">SUM(AC328:AC344)</f>
        <v>45900</v>
      </c>
      <c r="AD327" s="25">
        <f t="shared" ref="AD327" si="362">SUM(AD328:AD344)</f>
        <v>45900</v>
      </c>
      <c r="AE327" s="25">
        <f t="shared" ref="AE327:AI327" si="363">SUM(AE328:AE344)</f>
        <v>0</v>
      </c>
      <c r="AF327" s="11" t="str">
        <f t="shared" si="326"/>
        <v/>
      </c>
      <c r="AG327" s="24">
        <f t="shared" si="363"/>
        <v>0</v>
      </c>
      <c r="AH327" s="25">
        <f t="shared" si="363"/>
        <v>0</v>
      </c>
      <c r="AI327" s="24">
        <f t="shared" si="363"/>
        <v>0</v>
      </c>
      <c r="AJ327" s="11" t="str">
        <f t="shared" si="347"/>
        <v/>
      </c>
      <c r="AK327" s="9"/>
      <c r="AL327" s="13"/>
      <c r="AM327" s="9"/>
    </row>
    <row r="328" spans="1:39" x14ac:dyDescent="0.3">
      <c r="A328" s="2" t="str">
        <f t="shared" si="327"/>
        <v>NÃO</v>
      </c>
      <c r="B328" s="2" t="str">
        <f>_xlfn.XLOOKUP($N328,'Base de Grupos'!$A:$A,'Base de Grupos'!$D:$D)</f>
        <v>1000065763</v>
      </c>
      <c r="C328" s="5" t="str">
        <f>_xlfn.XLOOKUP($N328,'Base de Grupos'!$A:$A,'Base de Grupos'!$E:$E)</f>
        <v>CANAL VENDA INTERNA</v>
      </c>
      <c r="D328" s="5" t="str">
        <f>_xlfn.XLOOKUP($N328,'Base de Grupos'!$A:$A,'Base de Grupos'!$F:$F)</f>
        <v>1000065763</v>
      </c>
      <c r="E328" s="2" t="str">
        <f>_xlfn.XLOOKUP($N328,'Base de Grupos'!$A:$A,'Base de Grupos'!$G:$G)</f>
        <v>CANAL VENDA INTERNA</v>
      </c>
      <c r="F328" s="2" t="str">
        <f>_xlfn.XLOOKUP($N328,'Base de Grupos'!$A:$A,'Base de Grupos'!$H:$H)</f>
        <v>1000105899</v>
      </c>
      <c r="G328" s="5" t="str">
        <f>_xlfn.XLOOKUP($N328,'Base de Grupos'!$A:$A,'Base de Grupos'!$I:$I)</f>
        <v>REGIONAL VENDA DIRETA SUDESTE</v>
      </c>
      <c r="H328" s="5" t="str">
        <f>_xlfn.XLOOKUP($N328,'Base de Grupos'!$A:$A,'Base de Grupos'!$J:$J)</f>
        <v>1000105899</v>
      </c>
      <c r="I328" s="2" t="str">
        <f>_xlfn.XLOOKUP($N328,'Base de Grupos'!$A:$A,'Base de Grupos'!$K:$K)</f>
        <v>REGIONAL VENDA DIRETA SUDESTE</v>
      </c>
      <c r="J328" s="2" t="str">
        <f>_xlfn.XLOOKUP($N328,'Base de Grupos'!$A:$A,'Base de Grupos'!$L:$L)</f>
        <v>1000150135</v>
      </c>
      <c r="K328" s="5" t="str">
        <f>_xlfn.XLOOKUP($N328,'Base de Grupos'!$A:$A,'Base de Grupos'!$M:$M)</f>
        <v>HELDER DA SILVA BRUNKOW</v>
      </c>
      <c r="L328" s="5" t="str">
        <f t="shared" si="328"/>
        <v/>
      </c>
      <c r="M328" s="5" t="str">
        <f>_xlfn.XLOOKUP($N328,'Base de Grupos'!$A:$A,'Base de Grupos'!$C:$C)</f>
        <v>ES</v>
      </c>
      <c r="N328" s="3">
        <v>1357</v>
      </c>
      <c r="O328" s="4" t="s">
        <v>242</v>
      </c>
      <c r="P328" s="5" t="s">
        <v>81</v>
      </c>
      <c r="Q328" s="56">
        <v>0</v>
      </c>
      <c r="R328" s="56">
        <v>0</v>
      </c>
      <c r="S328" s="56">
        <v>0</v>
      </c>
      <c r="T328" s="56">
        <f>_xlfn.XLOOKUP($N328,'Calculo Leads'!$A$97:$A$134,'Calculo Leads'!G$97:G$134)*_xlfn.XLOOKUP($P328,'Base Grupo de Produtos'!$E$2:$E$18,'Base Grupo de Produtos'!$F$2:$F$18)</f>
        <v>150</v>
      </c>
      <c r="U328" s="56">
        <f>_xlfn.XLOOKUP($N328,'Calculo Leads'!$A$97:$A$134,'Calculo Leads'!H$97:H$134)*_xlfn.XLOOKUP($P328,'Base Grupo de Produtos'!$E$2:$E$18,'Base Grupo de Produtos'!$F$2:$F$18)</f>
        <v>150</v>
      </c>
      <c r="V328" s="56">
        <f>_xlfn.XLOOKUP($N328,'Calculo Leads'!$A$97:$A$134,'Calculo Leads'!I$97:I$134)*_xlfn.XLOOKUP($P328,'Base Grupo de Produtos'!$E$2:$E$18,'Base Grupo de Produtos'!$F$2:$F$18)</f>
        <v>200</v>
      </c>
      <c r="W328" s="56">
        <f>_xlfn.XLOOKUP($N328,'Calculo Leads'!$A$97:$A$134,'Calculo Leads'!J$97:J$134)*_xlfn.XLOOKUP($P328,'Base Grupo de Produtos'!$E$2:$E$18,'Base Grupo de Produtos'!$F$2:$F$18)</f>
        <v>200</v>
      </c>
      <c r="X328" s="56">
        <f>_xlfn.XLOOKUP($N328,'Calculo Leads'!$A$97:$A$134,'Calculo Leads'!K$97:K$134)*_xlfn.XLOOKUP($P328,'Base Grupo de Produtos'!$E$2:$E$18,'Base Grupo de Produtos'!$F$2:$F$18)</f>
        <v>275</v>
      </c>
      <c r="Y328" s="56">
        <f>_xlfn.XLOOKUP($N328,'Calculo Leads'!$A$97:$A$134,'Calculo Leads'!L$97:L$134)*_xlfn.XLOOKUP($P328,'Base Grupo de Produtos'!$E$2:$E$18,'Base Grupo de Produtos'!$F$2:$F$18)</f>
        <v>330</v>
      </c>
      <c r="Z328" s="56">
        <f>_xlfn.XLOOKUP($N328,'Calculo Leads'!$A$97:$A$134,'Calculo Leads'!M$97:M$134)*_xlfn.XLOOKUP($P328,'Base Grupo de Produtos'!$E$2:$E$18,'Base Grupo de Produtos'!$F$2:$F$18)</f>
        <v>330</v>
      </c>
      <c r="AA328" s="56">
        <f>_xlfn.XLOOKUP($N328,'Calculo Leads'!$A$97:$A$134,'Calculo Leads'!N$97:N$134)*_xlfn.XLOOKUP($P328,'Base Grupo de Produtos'!$E$2:$E$18,'Base Grupo de Produtos'!$F$2:$F$18)</f>
        <v>385</v>
      </c>
      <c r="AB328" s="56">
        <f>_xlfn.XLOOKUP($N328,'Calculo Leads'!$A$97:$A$134,'Calculo Leads'!O$97:O$134)*_xlfn.XLOOKUP($P328,'Base Grupo de Produtos'!$E$2:$E$18,'Base Grupo de Produtos'!$F$2:$F$18)</f>
        <v>275</v>
      </c>
      <c r="AC328" s="61">
        <f t="shared" si="348"/>
        <v>2295</v>
      </c>
      <c r="AD328" s="27">
        <f t="shared" ref="AD328:AD344" si="364">IF(AC328=0,0,AC328-AG328)</f>
        <v>2295</v>
      </c>
      <c r="AE328" s="25">
        <f>IFERROR(_xlfn.XLOOKUP(N328&amp;P328,'Historico Vendas'!G:G,'Historico Vendas'!E:E),0)</f>
        <v>0</v>
      </c>
      <c r="AF328" s="29" t="str">
        <f t="shared" si="326"/>
        <v/>
      </c>
      <c r="AG328" s="24">
        <f>IFERROR(_xlfn.XLOOKUP(N328&amp;P328,'Historico Vendas'!G:G,'Historico Vendas'!F:F),0)</f>
        <v>0</v>
      </c>
      <c r="AH328" s="25">
        <f t="shared" ref="AH328:AH344" si="365">SUM(Q328:S328)</f>
        <v>0</v>
      </c>
      <c r="AI328" s="24">
        <f t="shared" ref="AI328:AI344" si="366">AH328-AG328</f>
        <v>0</v>
      </c>
      <c r="AJ328" s="11" t="str">
        <f t="shared" si="347"/>
        <v/>
      </c>
      <c r="AK328" s="9" t="s">
        <v>102</v>
      </c>
      <c r="AL328" s="13">
        <f>IFERROR(INDEX('Balizador da Meta'!$D$3:$F$23,MATCH(Faturamento!$P328,'Balizador da Meta'!$C$3:$C$23,0),MATCH(Faturamento!AK328,'Balizador da Meta'!$D$2:$F$2,0)),"")</f>
        <v>0.2</v>
      </c>
      <c r="AM328" s="9"/>
    </row>
    <row r="329" spans="1:39" x14ac:dyDescent="0.3">
      <c r="A329" s="2" t="str">
        <f t="shared" si="327"/>
        <v>NÃO</v>
      </c>
      <c r="B329" s="2" t="str">
        <f>_xlfn.XLOOKUP($N329,'Base de Grupos'!$A:$A,'Base de Grupos'!$D:$D)</f>
        <v>1000065763</v>
      </c>
      <c r="C329" s="5" t="str">
        <f>_xlfn.XLOOKUP($N329,'Base de Grupos'!$A:$A,'Base de Grupos'!$E:$E)</f>
        <v>CANAL VENDA INTERNA</v>
      </c>
      <c r="D329" s="5" t="str">
        <f>_xlfn.XLOOKUP($N329,'Base de Grupos'!$A:$A,'Base de Grupos'!$F:$F)</f>
        <v>1000065763</v>
      </c>
      <c r="E329" s="2" t="str">
        <f>_xlfn.XLOOKUP($N329,'Base de Grupos'!$A:$A,'Base de Grupos'!$G:$G)</f>
        <v>CANAL VENDA INTERNA</v>
      </c>
      <c r="F329" s="2" t="str">
        <f>_xlfn.XLOOKUP($N329,'Base de Grupos'!$A:$A,'Base de Grupos'!$H:$H)</f>
        <v>1000105899</v>
      </c>
      <c r="G329" s="5" t="str">
        <f>_xlfn.XLOOKUP($N329,'Base de Grupos'!$A:$A,'Base de Grupos'!$I:$I)</f>
        <v>REGIONAL VENDA DIRETA SUDESTE</v>
      </c>
      <c r="H329" s="5" t="str">
        <f>_xlfn.XLOOKUP($N329,'Base de Grupos'!$A:$A,'Base de Grupos'!$J:$J)</f>
        <v>1000105899</v>
      </c>
      <c r="I329" s="2" t="str">
        <f>_xlfn.XLOOKUP($N329,'Base de Grupos'!$A:$A,'Base de Grupos'!$K:$K)</f>
        <v>REGIONAL VENDA DIRETA SUDESTE</v>
      </c>
      <c r="J329" s="2" t="str">
        <f>_xlfn.XLOOKUP($N329,'Base de Grupos'!$A:$A,'Base de Grupos'!$L:$L)</f>
        <v>1000150135</v>
      </c>
      <c r="K329" s="5" t="str">
        <f>_xlfn.XLOOKUP($N329,'Base de Grupos'!$A:$A,'Base de Grupos'!$M:$M)</f>
        <v>HELDER DA SILVA BRUNKOW</v>
      </c>
      <c r="L329" s="5" t="str">
        <f t="shared" si="328"/>
        <v/>
      </c>
      <c r="M329" s="5" t="str">
        <f>_xlfn.XLOOKUP($N329,'Base de Grupos'!$A:$A,'Base de Grupos'!$C:$C)</f>
        <v>ES</v>
      </c>
      <c r="N329" s="3">
        <v>1357</v>
      </c>
      <c r="O329" s="4" t="s">
        <v>242</v>
      </c>
      <c r="P329" s="5" t="s">
        <v>82</v>
      </c>
      <c r="Q329" s="56">
        <v>0</v>
      </c>
      <c r="R329" s="56">
        <v>0</v>
      </c>
      <c r="S329" s="56">
        <v>0</v>
      </c>
      <c r="T329" s="56">
        <f>_xlfn.XLOOKUP($N329,'Calculo Leads'!$A$97:$A$134,'Calculo Leads'!G$97:G$134)*_xlfn.XLOOKUP($P329,'Base Grupo de Produtos'!$E$2:$E$18,'Base Grupo de Produtos'!$F$2:$F$18)</f>
        <v>150</v>
      </c>
      <c r="U329" s="56">
        <f>_xlfn.XLOOKUP($N329,'Calculo Leads'!$A$97:$A$134,'Calculo Leads'!H$97:H$134)*_xlfn.XLOOKUP($P329,'Base Grupo de Produtos'!$E$2:$E$18,'Base Grupo de Produtos'!$F$2:$F$18)</f>
        <v>150</v>
      </c>
      <c r="V329" s="56">
        <f>_xlfn.XLOOKUP($N329,'Calculo Leads'!$A$97:$A$134,'Calculo Leads'!I$97:I$134)*_xlfn.XLOOKUP($P329,'Base Grupo de Produtos'!$E$2:$E$18,'Base Grupo de Produtos'!$F$2:$F$18)</f>
        <v>200</v>
      </c>
      <c r="W329" s="56">
        <f>_xlfn.XLOOKUP($N329,'Calculo Leads'!$A$97:$A$134,'Calculo Leads'!J$97:J$134)*_xlfn.XLOOKUP($P329,'Base Grupo de Produtos'!$E$2:$E$18,'Base Grupo de Produtos'!$F$2:$F$18)</f>
        <v>200</v>
      </c>
      <c r="X329" s="56">
        <f>_xlfn.XLOOKUP($N329,'Calculo Leads'!$A$97:$A$134,'Calculo Leads'!K$97:K$134)*_xlfn.XLOOKUP($P329,'Base Grupo de Produtos'!$E$2:$E$18,'Base Grupo de Produtos'!$F$2:$F$18)</f>
        <v>275</v>
      </c>
      <c r="Y329" s="56">
        <f>_xlfn.XLOOKUP($N329,'Calculo Leads'!$A$97:$A$134,'Calculo Leads'!L$97:L$134)*_xlfn.XLOOKUP($P329,'Base Grupo de Produtos'!$E$2:$E$18,'Base Grupo de Produtos'!$F$2:$F$18)</f>
        <v>330</v>
      </c>
      <c r="Z329" s="56">
        <f>_xlfn.XLOOKUP($N329,'Calculo Leads'!$A$97:$A$134,'Calculo Leads'!M$97:M$134)*_xlfn.XLOOKUP($P329,'Base Grupo de Produtos'!$E$2:$E$18,'Base Grupo de Produtos'!$F$2:$F$18)</f>
        <v>330</v>
      </c>
      <c r="AA329" s="56">
        <f>_xlfn.XLOOKUP($N329,'Calculo Leads'!$A$97:$A$134,'Calculo Leads'!N$97:N$134)*_xlfn.XLOOKUP($P329,'Base Grupo de Produtos'!$E$2:$E$18,'Base Grupo de Produtos'!$F$2:$F$18)</f>
        <v>385</v>
      </c>
      <c r="AB329" s="56">
        <f>_xlfn.XLOOKUP($N329,'Calculo Leads'!$A$97:$A$134,'Calculo Leads'!O$97:O$134)*_xlfn.XLOOKUP($P329,'Base Grupo de Produtos'!$E$2:$E$18,'Base Grupo de Produtos'!$F$2:$F$18)</f>
        <v>275</v>
      </c>
      <c r="AC329" s="61">
        <f t="shared" si="348"/>
        <v>2295</v>
      </c>
      <c r="AD329" s="27">
        <f t="shared" si="364"/>
        <v>2295</v>
      </c>
      <c r="AE329" s="25">
        <f>IFERROR(_xlfn.XLOOKUP(N329&amp;P329,'Historico Vendas'!G:G,'Historico Vendas'!E:E),0)</f>
        <v>0</v>
      </c>
      <c r="AF329" s="29" t="str">
        <f t="shared" si="326"/>
        <v/>
      </c>
      <c r="AG329" s="24">
        <f>IFERROR(_xlfn.XLOOKUP(N329&amp;P329,'Historico Vendas'!G:G,'Historico Vendas'!F:F),0)</f>
        <v>0</v>
      </c>
      <c r="AH329" s="25">
        <f t="shared" si="365"/>
        <v>0</v>
      </c>
      <c r="AI329" s="24">
        <f t="shared" si="366"/>
        <v>0</v>
      </c>
      <c r="AJ329" s="11" t="str">
        <f t="shared" si="347"/>
        <v/>
      </c>
      <c r="AK329" s="9" t="s">
        <v>102</v>
      </c>
      <c r="AL329" s="13">
        <f>IFERROR(INDEX('Balizador da Meta'!$D$3:$F$23,MATCH(Faturamento!$P329,'Balizador da Meta'!$C$3:$C$23,0),MATCH(Faturamento!AK329,'Balizador da Meta'!$D$2:$F$2,0)),"")</f>
        <v>0.2</v>
      </c>
      <c r="AM329" s="9"/>
    </row>
    <row r="330" spans="1:39" x14ac:dyDescent="0.3">
      <c r="A330" s="2" t="str">
        <f t="shared" si="327"/>
        <v>NÃO</v>
      </c>
      <c r="B330" s="2" t="str">
        <f>_xlfn.XLOOKUP($N330,'Base de Grupos'!$A:$A,'Base de Grupos'!$D:$D)</f>
        <v>1000065763</v>
      </c>
      <c r="C330" s="5" t="str">
        <f>_xlfn.XLOOKUP($N330,'Base de Grupos'!$A:$A,'Base de Grupos'!$E:$E)</f>
        <v>CANAL VENDA INTERNA</v>
      </c>
      <c r="D330" s="5" t="str">
        <f>_xlfn.XLOOKUP($N330,'Base de Grupos'!$A:$A,'Base de Grupos'!$F:$F)</f>
        <v>1000065763</v>
      </c>
      <c r="E330" s="2" t="str">
        <f>_xlfn.XLOOKUP($N330,'Base de Grupos'!$A:$A,'Base de Grupos'!$G:$G)</f>
        <v>CANAL VENDA INTERNA</v>
      </c>
      <c r="F330" s="2" t="str">
        <f>_xlfn.XLOOKUP($N330,'Base de Grupos'!$A:$A,'Base de Grupos'!$H:$H)</f>
        <v>1000105899</v>
      </c>
      <c r="G330" s="5" t="str">
        <f>_xlfn.XLOOKUP($N330,'Base de Grupos'!$A:$A,'Base de Grupos'!$I:$I)</f>
        <v>REGIONAL VENDA DIRETA SUDESTE</v>
      </c>
      <c r="H330" s="5" t="str">
        <f>_xlfn.XLOOKUP($N330,'Base de Grupos'!$A:$A,'Base de Grupos'!$J:$J)</f>
        <v>1000105899</v>
      </c>
      <c r="I330" s="2" t="str">
        <f>_xlfn.XLOOKUP($N330,'Base de Grupos'!$A:$A,'Base de Grupos'!$K:$K)</f>
        <v>REGIONAL VENDA DIRETA SUDESTE</v>
      </c>
      <c r="J330" s="2" t="str">
        <f>_xlfn.XLOOKUP($N330,'Base de Grupos'!$A:$A,'Base de Grupos'!$L:$L)</f>
        <v>1000150135</v>
      </c>
      <c r="K330" s="5" t="str">
        <f>_xlfn.XLOOKUP($N330,'Base de Grupos'!$A:$A,'Base de Grupos'!$M:$M)</f>
        <v>HELDER DA SILVA BRUNKOW</v>
      </c>
      <c r="L330" s="5" t="str">
        <f t="shared" si="328"/>
        <v/>
      </c>
      <c r="M330" s="5" t="str">
        <f>_xlfn.XLOOKUP($N330,'Base de Grupos'!$A:$A,'Base de Grupos'!$C:$C)</f>
        <v>ES</v>
      </c>
      <c r="N330" s="3">
        <v>1357</v>
      </c>
      <c r="O330" s="4" t="s">
        <v>242</v>
      </c>
      <c r="P330" s="5" t="s">
        <v>84</v>
      </c>
      <c r="Q330" s="56">
        <v>0</v>
      </c>
      <c r="R330" s="56">
        <v>0</v>
      </c>
      <c r="S330" s="56">
        <v>0</v>
      </c>
      <c r="T330" s="56">
        <f>_xlfn.XLOOKUP($N330,'Calculo Leads'!$A$97:$A$134,'Calculo Leads'!G$97:G$134)*_xlfn.XLOOKUP($P330,'Base Grupo de Produtos'!$E$2:$E$18,'Base Grupo de Produtos'!$F$2:$F$18)</f>
        <v>240</v>
      </c>
      <c r="U330" s="56">
        <f>_xlfn.XLOOKUP($N330,'Calculo Leads'!$A$97:$A$134,'Calculo Leads'!H$97:H$134)*_xlfn.XLOOKUP($P330,'Base Grupo de Produtos'!$E$2:$E$18,'Base Grupo de Produtos'!$F$2:$F$18)</f>
        <v>240</v>
      </c>
      <c r="V330" s="56">
        <f>_xlfn.XLOOKUP($N330,'Calculo Leads'!$A$97:$A$134,'Calculo Leads'!I$97:I$134)*_xlfn.XLOOKUP($P330,'Base Grupo de Produtos'!$E$2:$E$18,'Base Grupo de Produtos'!$F$2:$F$18)</f>
        <v>320</v>
      </c>
      <c r="W330" s="56">
        <f>_xlfn.XLOOKUP($N330,'Calculo Leads'!$A$97:$A$134,'Calculo Leads'!J$97:J$134)*_xlfn.XLOOKUP($P330,'Base Grupo de Produtos'!$E$2:$E$18,'Base Grupo de Produtos'!$F$2:$F$18)</f>
        <v>320</v>
      </c>
      <c r="X330" s="56">
        <f>_xlfn.XLOOKUP($N330,'Calculo Leads'!$A$97:$A$134,'Calculo Leads'!K$97:K$134)*_xlfn.XLOOKUP($P330,'Base Grupo de Produtos'!$E$2:$E$18,'Base Grupo de Produtos'!$F$2:$F$18)</f>
        <v>440</v>
      </c>
      <c r="Y330" s="56">
        <f>_xlfn.XLOOKUP($N330,'Calculo Leads'!$A$97:$A$134,'Calculo Leads'!L$97:L$134)*_xlfn.XLOOKUP($P330,'Base Grupo de Produtos'!$E$2:$E$18,'Base Grupo de Produtos'!$F$2:$F$18)</f>
        <v>528</v>
      </c>
      <c r="Z330" s="56">
        <f>_xlfn.XLOOKUP($N330,'Calculo Leads'!$A$97:$A$134,'Calculo Leads'!M$97:M$134)*_xlfn.XLOOKUP($P330,'Base Grupo de Produtos'!$E$2:$E$18,'Base Grupo de Produtos'!$F$2:$F$18)</f>
        <v>528</v>
      </c>
      <c r="AA330" s="56">
        <f>_xlfn.XLOOKUP($N330,'Calculo Leads'!$A$97:$A$134,'Calculo Leads'!N$97:N$134)*_xlfn.XLOOKUP($P330,'Base Grupo de Produtos'!$E$2:$E$18,'Base Grupo de Produtos'!$F$2:$F$18)</f>
        <v>616</v>
      </c>
      <c r="AB330" s="56">
        <f>_xlfn.XLOOKUP($N330,'Calculo Leads'!$A$97:$A$134,'Calculo Leads'!O$97:O$134)*_xlfn.XLOOKUP($P330,'Base Grupo de Produtos'!$E$2:$E$18,'Base Grupo de Produtos'!$F$2:$F$18)</f>
        <v>440</v>
      </c>
      <c r="AC330" s="61">
        <f t="shared" si="348"/>
        <v>3672</v>
      </c>
      <c r="AD330" s="27">
        <f t="shared" si="364"/>
        <v>3672</v>
      </c>
      <c r="AE330" s="25">
        <f>IFERROR(_xlfn.XLOOKUP(N330&amp;P330,'Historico Vendas'!G:G,'Historico Vendas'!E:E),0)</f>
        <v>0</v>
      </c>
      <c r="AF330" s="29" t="str">
        <f t="shared" si="326"/>
        <v/>
      </c>
      <c r="AG330" s="24">
        <f>IFERROR(_xlfn.XLOOKUP(N330&amp;P330,'Historico Vendas'!G:G,'Historico Vendas'!F:F),0)</f>
        <v>0</v>
      </c>
      <c r="AH330" s="25">
        <f t="shared" si="365"/>
        <v>0</v>
      </c>
      <c r="AI330" s="24">
        <f t="shared" si="366"/>
        <v>0</v>
      </c>
      <c r="AJ330" s="11" t="str">
        <f t="shared" si="347"/>
        <v/>
      </c>
      <c r="AK330" s="9" t="s">
        <v>102</v>
      </c>
      <c r="AL330" s="13">
        <f>IFERROR(INDEX('Balizador da Meta'!$D$3:$F$23,MATCH(Faturamento!$P330,'Balizador da Meta'!$C$3:$C$23,0),MATCH(Faturamento!AK330,'Balizador da Meta'!$D$2:$F$2,0)),"")</f>
        <v>0.15</v>
      </c>
      <c r="AM330" s="9"/>
    </row>
    <row r="331" spans="1:39" x14ac:dyDescent="0.3">
      <c r="A331" s="2" t="str">
        <f t="shared" si="327"/>
        <v>NÃO</v>
      </c>
      <c r="B331" s="2" t="str">
        <f>_xlfn.XLOOKUP($N331,'Base de Grupos'!$A:$A,'Base de Grupos'!$D:$D)</f>
        <v>1000065763</v>
      </c>
      <c r="C331" s="5" t="str">
        <f>_xlfn.XLOOKUP($N331,'Base de Grupos'!$A:$A,'Base de Grupos'!$E:$E)</f>
        <v>CANAL VENDA INTERNA</v>
      </c>
      <c r="D331" s="5" t="str">
        <f>_xlfn.XLOOKUP($N331,'Base de Grupos'!$A:$A,'Base de Grupos'!$F:$F)</f>
        <v>1000065763</v>
      </c>
      <c r="E331" s="2" t="str">
        <f>_xlfn.XLOOKUP($N331,'Base de Grupos'!$A:$A,'Base de Grupos'!$G:$G)</f>
        <v>CANAL VENDA INTERNA</v>
      </c>
      <c r="F331" s="2" t="str">
        <f>_xlfn.XLOOKUP($N331,'Base de Grupos'!$A:$A,'Base de Grupos'!$H:$H)</f>
        <v>1000105899</v>
      </c>
      <c r="G331" s="5" t="str">
        <f>_xlfn.XLOOKUP($N331,'Base de Grupos'!$A:$A,'Base de Grupos'!$I:$I)</f>
        <v>REGIONAL VENDA DIRETA SUDESTE</v>
      </c>
      <c r="H331" s="5" t="str">
        <f>_xlfn.XLOOKUP($N331,'Base de Grupos'!$A:$A,'Base de Grupos'!$J:$J)</f>
        <v>1000105899</v>
      </c>
      <c r="I331" s="2" t="str">
        <f>_xlfn.XLOOKUP($N331,'Base de Grupos'!$A:$A,'Base de Grupos'!$K:$K)</f>
        <v>REGIONAL VENDA DIRETA SUDESTE</v>
      </c>
      <c r="J331" s="2" t="str">
        <f>_xlfn.XLOOKUP($N331,'Base de Grupos'!$A:$A,'Base de Grupos'!$L:$L)</f>
        <v>1000150135</v>
      </c>
      <c r="K331" s="5" t="str">
        <f>_xlfn.XLOOKUP($N331,'Base de Grupos'!$A:$A,'Base de Grupos'!$M:$M)</f>
        <v>HELDER DA SILVA BRUNKOW</v>
      </c>
      <c r="L331" s="5" t="str">
        <f t="shared" si="328"/>
        <v/>
      </c>
      <c r="M331" s="5" t="str">
        <f>_xlfn.XLOOKUP($N331,'Base de Grupos'!$A:$A,'Base de Grupos'!$C:$C)</f>
        <v>ES</v>
      </c>
      <c r="N331" s="3">
        <v>1357</v>
      </c>
      <c r="O331" s="4" t="s">
        <v>242</v>
      </c>
      <c r="P331" s="5" t="s">
        <v>83</v>
      </c>
      <c r="Q331" s="56">
        <v>0</v>
      </c>
      <c r="R331" s="56">
        <v>0</v>
      </c>
      <c r="S331" s="56">
        <v>0</v>
      </c>
      <c r="T331" s="56">
        <f>_xlfn.XLOOKUP($N331,'Calculo Leads'!$A$97:$A$134,'Calculo Leads'!G$97:G$134)*_xlfn.XLOOKUP($P331,'Base Grupo de Produtos'!$E$2:$E$18,'Base Grupo de Produtos'!$F$2:$F$18)</f>
        <v>300</v>
      </c>
      <c r="U331" s="56">
        <f>_xlfn.XLOOKUP($N331,'Calculo Leads'!$A$97:$A$134,'Calculo Leads'!H$97:H$134)*_xlfn.XLOOKUP($P331,'Base Grupo de Produtos'!$E$2:$E$18,'Base Grupo de Produtos'!$F$2:$F$18)</f>
        <v>300</v>
      </c>
      <c r="V331" s="56">
        <f>_xlfn.XLOOKUP($N331,'Calculo Leads'!$A$97:$A$134,'Calculo Leads'!I$97:I$134)*_xlfn.XLOOKUP($P331,'Base Grupo de Produtos'!$E$2:$E$18,'Base Grupo de Produtos'!$F$2:$F$18)</f>
        <v>400</v>
      </c>
      <c r="W331" s="56">
        <f>_xlfn.XLOOKUP($N331,'Calculo Leads'!$A$97:$A$134,'Calculo Leads'!J$97:J$134)*_xlfn.XLOOKUP($P331,'Base Grupo de Produtos'!$E$2:$E$18,'Base Grupo de Produtos'!$F$2:$F$18)</f>
        <v>400</v>
      </c>
      <c r="X331" s="56">
        <f>_xlfn.XLOOKUP($N331,'Calculo Leads'!$A$97:$A$134,'Calculo Leads'!K$97:K$134)*_xlfn.XLOOKUP($P331,'Base Grupo de Produtos'!$E$2:$E$18,'Base Grupo de Produtos'!$F$2:$F$18)</f>
        <v>550</v>
      </c>
      <c r="Y331" s="56">
        <f>_xlfn.XLOOKUP($N331,'Calculo Leads'!$A$97:$A$134,'Calculo Leads'!L$97:L$134)*_xlfn.XLOOKUP($P331,'Base Grupo de Produtos'!$E$2:$E$18,'Base Grupo de Produtos'!$F$2:$F$18)</f>
        <v>660</v>
      </c>
      <c r="Z331" s="56">
        <f>_xlfn.XLOOKUP($N331,'Calculo Leads'!$A$97:$A$134,'Calculo Leads'!M$97:M$134)*_xlfn.XLOOKUP($P331,'Base Grupo de Produtos'!$E$2:$E$18,'Base Grupo de Produtos'!$F$2:$F$18)</f>
        <v>660</v>
      </c>
      <c r="AA331" s="56">
        <f>_xlfn.XLOOKUP($N331,'Calculo Leads'!$A$97:$A$134,'Calculo Leads'!N$97:N$134)*_xlfn.XLOOKUP($P331,'Base Grupo de Produtos'!$E$2:$E$18,'Base Grupo de Produtos'!$F$2:$F$18)</f>
        <v>770</v>
      </c>
      <c r="AB331" s="56">
        <f>_xlfn.XLOOKUP($N331,'Calculo Leads'!$A$97:$A$134,'Calculo Leads'!O$97:O$134)*_xlfn.XLOOKUP($P331,'Base Grupo de Produtos'!$E$2:$E$18,'Base Grupo de Produtos'!$F$2:$F$18)</f>
        <v>550</v>
      </c>
      <c r="AC331" s="61">
        <f t="shared" si="348"/>
        <v>4590</v>
      </c>
      <c r="AD331" s="27">
        <f t="shared" si="364"/>
        <v>4590</v>
      </c>
      <c r="AE331" s="25">
        <f>IFERROR(_xlfn.XLOOKUP(N331&amp;P331,'Historico Vendas'!G:G,'Historico Vendas'!E:E),0)</f>
        <v>0</v>
      </c>
      <c r="AF331" s="29" t="str">
        <f t="shared" si="326"/>
        <v/>
      </c>
      <c r="AG331" s="24">
        <f>IFERROR(_xlfn.XLOOKUP(N331&amp;P331,'Historico Vendas'!G:G,'Historico Vendas'!F:F),0)</f>
        <v>0</v>
      </c>
      <c r="AH331" s="25">
        <f t="shared" si="365"/>
        <v>0</v>
      </c>
      <c r="AI331" s="24">
        <f t="shared" si="366"/>
        <v>0</v>
      </c>
      <c r="AJ331" s="11" t="str">
        <f t="shared" si="347"/>
        <v/>
      </c>
      <c r="AK331" s="9" t="s">
        <v>102</v>
      </c>
      <c r="AL331" s="13">
        <f>IFERROR(INDEX('Balizador da Meta'!$D$3:$F$23,MATCH(Faturamento!$P331,'Balizador da Meta'!$C$3:$C$23,0),MATCH(Faturamento!AK331,'Balizador da Meta'!$D$2:$F$2,0)),"")</f>
        <v>0</v>
      </c>
      <c r="AM331" s="9"/>
    </row>
    <row r="332" spans="1:39" x14ac:dyDescent="0.3">
      <c r="A332" s="2" t="str">
        <f t="shared" si="327"/>
        <v>NÃO</v>
      </c>
      <c r="B332" s="2" t="str">
        <f>_xlfn.XLOOKUP($N332,'Base de Grupos'!$A:$A,'Base de Grupos'!$D:$D)</f>
        <v>1000065763</v>
      </c>
      <c r="C332" s="5" t="str">
        <f>_xlfn.XLOOKUP($N332,'Base de Grupos'!$A:$A,'Base de Grupos'!$E:$E)</f>
        <v>CANAL VENDA INTERNA</v>
      </c>
      <c r="D332" s="5" t="str">
        <f>_xlfn.XLOOKUP($N332,'Base de Grupos'!$A:$A,'Base de Grupos'!$F:$F)</f>
        <v>1000065763</v>
      </c>
      <c r="E332" s="2" t="str">
        <f>_xlfn.XLOOKUP($N332,'Base de Grupos'!$A:$A,'Base de Grupos'!$G:$G)</f>
        <v>CANAL VENDA INTERNA</v>
      </c>
      <c r="F332" s="2" t="str">
        <f>_xlfn.XLOOKUP($N332,'Base de Grupos'!$A:$A,'Base de Grupos'!$H:$H)</f>
        <v>1000105899</v>
      </c>
      <c r="G332" s="5" t="str">
        <f>_xlfn.XLOOKUP($N332,'Base de Grupos'!$A:$A,'Base de Grupos'!$I:$I)</f>
        <v>REGIONAL VENDA DIRETA SUDESTE</v>
      </c>
      <c r="H332" s="5" t="str">
        <f>_xlfn.XLOOKUP($N332,'Base de Grupos'!$A:$A,'Base de Grupos'!$J:$J)</f>
        <v>1000105899</v>
      </c>
      <c r="I332" s="2" t="str">
        <f>_xlfn.XLOOKUP($N332,'Base de Grupos'!$A:$A,'Base de Grupos'!$K:$K)</f>
        <v>REGIONAL VENDA DIRETA SUDESTE</v>
      </c>
      <c r="J332" s="2" t="str">
        <f>_xlfn.XLOOKUP($N332,'Base de Grupos'!$A:$A,'Base de Grupos'!$L:$L)</f>
        <v>1000150135</v>
      </c>
      <c r="K332" s="5" t="str">
        <f>_xlfn.XLOOKUP($N332,'Base de Grupos'!$A:$A,'Base de Grupos'!$M:$M)</f>
        <v>HELDER DA SILVA BRUNKOW</v>
      </c>
      <c r="L332" s="5" t="str">
        <f t="shared" si="328"/>
        <v/>
      </c>
      <c r="M332" s="5" t="str">
        <f>_xlfn.XLOOKUP($N332,'Base de Grupos'!$A:$A,'Base de Grupos'!$C:$C)</f>
        <v>ES</v>
      </c>
      <c r="N332" s="3">
        <v>1357</v>
      </c>
      <c r="O332" s="4" t="s">
        <v>242</v>
      </c>
      <c r="P332" s="5" t="s">
        <v>87</v>
      </c>
      <c r="Q332" s="56">
        <v>0</v>
      </c>
      <c r="R332" s="56">
        <v>0</v>
      </c>
      <c r="S332" s="56">
        <v>0</v>
      </c>
      <c r="T332" s="56">
        <f>_xlfn.XLOOKUP($N332,'Calculo Leads'!$A$97:$A$134,'Calculo Leads'!G$97:G$134)*_xlfn.XLOOKUP($P332,'Base Grupo de Produtos'!$E$2:$E$18,'Base Grupo de Produtos'!$F$2:$F$18)</f>
        <v>59.999999999999993</v>
      </c>
      <c r="U332" s="56">
        <f>_xlfn.XLOOKUP($N332,'Calculo Leads'!$A$97:$A$134,'Calculo Leads'!H$97:H$134)*_xlfn.XLOOKUP($P332,'Base Grupo de Produtos'!$E$2:$E$18,'Base Grupo de Produtos'!$F$2:$F$18)</f>
        <v>59.999999999999993</v>
      </c>
      <c r="V332" s="56">
        <f>_xlfn.XLOOKUP($N332,'Calculo Leads'!$A$97:$A$134,'Calculo Leads'!I$97:I$134)*_xlfn.XLOOKUP($P332,'Base Grupo de Produtos'!$E$2:$E$18,'Base Grupo de Produtos'!$F$2:$F$18)</f>
        <v>79.999999999999986</v>
      </c>
      <c r="W332" s="56">
        <f>_xlfn.XLOOKUP($N332,'Calculo Leads'!$A$97:$A$134,'Calculo Leads'!J$97:J$134)*_xlfn.XLOOKUP($P332,'Base Grupo de Produtos'!$E$2:$E$18,'Base Grupo de Produtos'!$F$2:$F$18)</f>
        <v>79.999999999999986</v>
      </c>
      <c r="X332" s="56">
        <f>_xlfn.XLOOKUP($N332,'Calculo Leads'!$A$97:$A$134,'Calculo Leads'!K$97:K$134)*_xlfn.XLOOKUP($P332,'Base Grupo de Produtos'!$E$2:$E$18,'Base Grupo de Produtos'!$F$2:$F$18)</f>
        <v>109.99999999999999</v>
      </c>
      <c r="Y332" s="56">
        <f>_xlfn.XLOOKUP($N332,'Calculo Leads'!$A$97:$A$134,'Calculo Leads'!L$97:L$134)*_xlfn.XLOOKUP($P332,'Base Grupo de Produtos'!$E$2:$E$18,'Base Grupo de Produtos'!$F$2:$F$18)</f>
        <v>131.99999999999997</v>
      </c>
      <c r="Z332" s="56">
        <f>_xlfn.XLOOKUP($N332,'Calculo Leads'!$A$97:$A$134,'Calculo Leads'!M$97:M$134)*_xlfn.XLOOKUP($P332,'Base Grupo de Produtos'!$E$2:$E$18,'Base Grupo de Produtos'!$F$2:$F$18)</f>
        <v>131.99999999999997</v>
      </c>
      <c r="AA332" s="56">
        <f>_xlfn.XLOOKUP($N332,'Calculo Leads'!$A$97:$A$134,'Calculo Leads'!N$97:N$134)*_xlfn.XLOOKUP($P332,'Base Grupo de Produtos'!$E$2:$E$18,'Base Grupo de Produtos'!$F$2:$F$18)</f>
        <v>153.99999999999997</v>
      </c>
      <c r="AB332" s="56">
        <f>_xlfn.XLOOKUP($N332,'Calculo Leads'!$A$97:$A$134,'Calculo Leads'!O$97:O$134)*_xlfn.XLOOKUP($P332,'Base Grupo de Produtos'!$E$2:$E$18,'Base Grupo de Produtos'!$F$2:$F$18)</f>
        <v>109.99999999999999</v>
      </c>
      <c r="AC332" s="61">
        <f t="shared" si="348"/>
        <v>917.99999999999989</v>
      </c>
      <c r="AD332" s="27">
        <f t="shared" si="364"/>
        <v>917.99999999999989</v>
      </c>
      <c r="AE332" s="25">
        <f>IFERROR(_xlfn.XLOOKUP(N332&amp;P332,'Historico Vendas'!G:G,'Historico Vendas'!E:E),0)</f>
        <v>0</v>
      </c>
      <c r="AF332" s="29" t="str">
        <f t="shared" si="326"/>
        <v/>
      </c>
      <c r="AG332" s="24">
        <f>IFERROR(_xlfn.XLOOKUP(N332&amp;P332,'Historico Vendas'!G:G,'Historico Vendas'!F:F),0)</f>
        <v>0</v>
      </c>
      <c r="AH332" s="25">
        <f t="shared" si="365"/>
        <v>0</v>
      </c>
      <c r="AI332" s="24">
        <f t="shared" si="366"/>
        <v>0</v>
      </c>
      <c r="AJ332" s="11" t="str">
        <f t="shared" si="347"/>
        <v/>
      </c>
      <c r="AK332" s="9" t="s">
        <v>102</v>
      </c>
      <c r="AL332" s="13">
        <f>IFERROR(INDEX('Balizador da Meta'!$D$3:$F$23,MATCH(Faturamento!$P332,'Balizador da Meta'!$C$3:$C$23,0),MATCH(Faturamento!AK332,'Balizador da Meta'!$D$2:$F$2,0)),"")</f>
        <v>0</v>
      </c>
      <c r="AM332" s="9"/>
    </row>
    <row r="333" spans="1:39" x14ac:dyDescent="0.3">
      <c r="A333" s="2" t="str">
        <f t="shared" si="327"/>
        <v>NÃO</v>
      </c>
      <c r="B333" s="2" t="str">
        <f>_xlfn.XLOOKUP($N333,'Base de Grupos'!$A:$A,'Base de Grupos'!$D:$D)</f>
        <v>1000065763</v>
      </c>
      <c r="C333" s="5" t="str">
        <f>_xlfn.XLOOKUP($N333,'Base de Grupos'!$A:$A,'Base de Grupos'!$E:$E)</f>
        <v>CANAL VENDA INTERNA</v>
      </c>
      <c r="D333" s="5" t="str">
        <f>_xlfn.XLOOKUP($N333,'Base de Grupos'!$A:$A,'Base de Grupos'!$F:$F)</f>
        <v>1000065763</v>
      </c>
      <c r="E333" s="2" t="str">
        <f>_xlfn.XLOOKUP($N333,'Base de Grupos'!$A:$A,'Base de Grupos'!$G:$G)</f>
        <v>CANAL VENDA INTERNA</v>
      </c>
      <c r="F333" s="2" t="str">
        <f>_xlfn.XLOOKUP($N333,'Base de Grupos'!$A:$A,'Base de Grupos'!$H:$H)</f>
        <v>1000105899</v>
      </c>
      <c r="G333" s="5" t="str">
        <f>_xlfn.XLOOKUP($N333,'Base de Grupos'!$A:$A,'Base de Grupos'!$I:$I)</f>
        <v>REGIONAL VENDA DIRETA SUDESTE</v>
      </c>
      <c r="H333" s="5" t="str">
        <f>_xlfn.XLOOKUP($N333,'Base de Grupos'!$A:$A,'Base de Grupos'!$J:$J)</f>
        <v>1000105899</v>
      </c>
      <c r="I333" s="2" t="str">
        <f>_xlfn.XLOOKUP($N333,'Base de Grupos'!$A:$A,'Base de Grupos'!$K:$K)</f>
        <v>REGIONAL VENDA DIRETA SUDESTE</v>
      </c>
      <c r="J333" s="2" t="str">
        <f>_xlfn.XLOOKUP($N333,'Base de Grupos'!$A:$A,'Base de Grupos'!$L:$L)</f>
        <v>1000150135</v>
      </c>
      <c r="K333" s="5" t="str">
        <f>_xlfn.XLOOKUP($N333,'Base de Grupos'!$A:$A,'Base de Grupos'!$M:$M)</f>
        <v>HELDER DA SILVA BRUNKOW</v>
      </c>
      <c r="L333" s="5" t="str">
        <f t="shared" si="328"/>
        <v/>
      </c>
      <c r="M333" s="5" t="str">
        <f>_xlfn.XLOOKUP($N333,'Base de Grupos'!$A:$A,'Base de Grupos'!$C:$C)</f>
        <v>ES</v>
      </c>
      <c r="N333" s="3">
        <v>1357</v>
      </c>
      <c r="O333" s="4" t="s">
        <v>242</v>
      </c>
      <c r="P333" s="5" t="s">
        <v>85</v>
      </c>
      <c r="Q333" s="56">
        <v>0</v>
      </c>
      <c r="R333" s="56">
        <v>0</v>
      </c>
      <c r="S333" s="56">
        <v>0</v>
      </c>
      <c r="T333" s="56">
        <f>_xlfn.XLOOKUP($N333,'Calculo Leads'!$A$97:$A$134,'Calculo Leads'!G$97:G$134)*_xlfn.XLOOKUP($P333,'Base Grupo de Produtos'!$E$2:$E$18,'Base Grupo de Produtos'!$F$2:$F$18)</f>
        <v>60</v>
      </c>
      <c r="U333" s="56">
        <f>_xlfn.XLOOKUP($N333,'Calculo Leads'!$A$97:$A$134,'Calculo Leads'!H$97:H$134)*_xlfn.XLOOKUP($P333,'Base Grupo de Produtos'!$E$2:$E$18,'Base Grupo de Produtos'!$F$2:$F$18)</f>
        <v>60</v>
      </c>
      <c r="V333" s="56">
        <f>_xlfn.XLOOKUP($N333,'Calculo Leads'!$A$97:$A$134,'Calculo Leads'!I$97:I$134)*_xlfn.XLOOKUP($P333,'Base Grupo de Produtos'!$E$2:$E$18,'Base Grupo de Produtos'!$F$2:$F$18)</f>
        <v>80</v>
      </c>
      <c r="W333" s="56">
        <f>_xlfn.XLOOKUP($N333,'Calculo Leads'!$A$97:$A$134,'Calculo Leads'!J$97:J$134)*_xlfn.XLOOKUP($P333,'Base Grupo de Produtos'!$E$2:$E$18,'Base Grupo de Produtos'!$F$2:$F$18)</f>
        <v>80</v>
      </c>
      <c r="X333" s="56">
        <f>_xlfn.XLOOKUP($N333,'Calculo Leads'!$A$97:$A$134,'Calculo Leads'!K$97:K$134)*_xlfn.XLOOKUP($P333,'Base Grupo de Produtos'!$E$2:$E$18,'Base Grupo de Produtos'!$F$2:$F$18)</f>
        <v>110</v>
      </c>
      <c r="Y333" s="56">
        <f>_xlfn.XLOOKUP($N333,'Calculo Leads'!$A$97:$A$134,'Calculo Leads'!L$97:L$134)*_xlfn.XLOOKUP($P333,'Base Grupo de Produtos'!$E$2:$E$18,'Base Grupo de Produtos'!$F$2:$F$18)</f>
        <v>132</v>
      </c>
      <c r="Z333" s="56">
        <f>_xlfn.XLOOKUP($N333,'Calculo Leads'!$A$97:$A$134,'Calculo Leads'!M$97:M$134)*_xlfn.XLOOKUP($P333,'Base Grupo de Produtos'!$E$2:$E$18,'Base Grupo de Produtos'!$F$2:$F$18)</f>
        <v>132</v>
      </c>
      <c r="AA333" s="56">
        <f>_xlfn.XLOOKUP($N333,'Calculo Leads'!$A$97:$A$134,'Calculo Leads'!N$97:N$134)*_xlfn.XLOOKUP($P333,'Base Grupo de Produtos'!$E$2:$E$18,'Base Grupo de Produtos'!$F$2:$F$18)</f>
        <v>154</v>
      </c>
      <c r="AB333" s="56">
        <f>_xlfn.XLOOKUP($N333,'Calculo Leads'!$A$97:$A$134,'Calculo Leads'!O$97:O$134)*_xlfn.XLOOKUP($P333,'Base Grupo de Produtos'!$E$2:$E$18,'Base Grupo de Produtos'!$F$2:$F$18)</f>
        <v>110</v>
      </c>
      <c r="AC333" s="61">
        <f t="shared" si="348"/>
        <v>918</v>
      </c>
      <c r="AD333" s="27">
        <f t="shared" si="364"/>
        <v>918</v>
      </c>
      <c r="AE333" s="25">
        <f>IFERROR(_xlfn.XLOOKUP(N333&amp;P333,'Historico Vendas'!G:G,'Historico Vendas'!E:E),0)</f>
        <v>0</v>
      </c>
      <c r="AF333" s="29" t="str">
        <f t="shared" si="326"/>
        <v/>
      </c>
      <c r="AG333" s="24">
        <f>IFERROR(_xlfn.XLOOKUP(N333&amp;P333,'Historico Vendas'!G:G,'Historico Vendas'!F:F),0)</f>
        <v>0</v>
      </c>
      <c r="AH333" s="25">
        <f t="shared" si="365"/>
        <v>0</v>
      </c>
      <c r="AI333" s="24">
        <f t="shared" si="366"/>
        <v>0</v>
      </c>
      <c r="AJ333" s="11" t="str">
        <f t="shared" si="347"/>
        <v/>
      </c>
      <c r="AK333" s="9" t="s">
        <v>102</v>
      </c>
      <c r="AL333" s="13">
        <f>IFERROR(INDEX('Balizador da Meta'!$D$3:$F$23,MATCH(Faturamento!$P333,'Balizador da Meta'!$C$3:$C$23,0),MATCH(Faturamento!AK333,'Balizador da Meta'!$D$2:$F$2,0)),"")</f>
        <v>0</v>
      </c>
      <c r="AM333" s="9"/>
    </row>
    <row r="334" spans="1:39" x14ac:dyDescent="0.3">
      <c r="A334" s="2" t="str">
        <f t="shared" si="327"/>
        <v>NÃO</v>
      </c>
      <c r="B334" s="2" t="str">
        <f>_xlfn.XLOOKUP($N334,'Base de Grupos'!$A:$A,'Base de Grupos'!$D:$D)</f>
        <v>1000065763</v>
      </c>
      <c r="C334" s="5" t="str">
        <f>_xlfn.XLOOKUP($N334,'Base de Grupos'!$A:$A,'Base de Grupos'!$E:$E)</f>
        <v>CANAL VENDA INTERNA</v>
      </c>
      <c r="D334" s="5" t="str">
        <f>_xlfn.XLOOKUP($N334,'Base de Grupos'!$A:$A,'Base de Grupos'!$F:$F)</f>
        <v>1000065763</v>
      </c>
      <c r="E334" s="2" t="str">
        <f>_xlfn.XLOOKUP($N334,'Base de Grupos'!$A:$A,'Base de Grupos'!$G:$G)</f>
        <v>CANAL VENDA INTERNA</v>
      </c>
      <c r="F334" s="2" t="str">
        <f>_xlfn.XLOOKUP($N334,'Base de Grupos'!$A:$A,'Base de Grupos'!$H:$H)</f>
        <v>1000105899</v>
      </c>
      <c r="G334" s="5" t="str">
        <f>_xlfn.XLOOKUP($N334,'Base de Grupos'!$A:$A,'Base de Grupos'!$I:$I)</f>
        <v>REGIONAL VENDA DIRETA SUDESTE</v>
      </c>
      <c r="H334" s="5" t="str">
        <f>_xlfn.XLOOKUP($N334,'Base de Grupos'!$A:$A,'Base de Grupos'!$J:$J)</f>
        <v>1000105899</v>
      </c>
      <c r="I334" s="2" t="str">
        <f>_xlfn.XLOOKUP($N334,'Base de Grupos'!$A:$A,'Base de Grupos'!$K:$K)</f>
        <v>REGIONAL VENDA DIRETA SUDESTE</v>
      </c>
      <c r="J334" s="2" t="str">
        <f>_xlfn.XLOOKUP($N334,'Base de Grupos'!$A:$A,'Base de Grupos'!$L:$L)</f>
        <v>1000150135</v>
      </c>
      <c r="K334" s="5" t="str">
        <f>_xlfn.XLOOKUP($N334,'Base de Grupos'!$A:$A,'Base de Grupos'!$M:$M)</f>
        <v>HELDER DA SILVA BRUNKOW</v>
      </c>
      <c r="L334" s="5" t="str">
        <f t="shared" si="328"/>
        <v/>
      </c>
      <c r="M334" s="5" t="str">
        <f>_xlfn.XLOOKUP($N334,'Base de Grupos'!$A:$A,'Base de Grupos'!$C:$C)</f>
        <v>ES</v>
      </c>
      <c r="N334" s="3">
        <v>1357</v>
      </c>
      <c r="O334" s="4" t="s">
        <v>242</v>
      </c>
      <c r="P334" s="5" t="s">
        <v>92</v>
      </c>
      <c r="Q334" s="56">
        <v>0</v>
      </c>
      <c r="R334" s="56">
        <v>0</v>
      </c>
      <c r="S334" s="56">
        <v>0</v>
      </c>
      <c r="T334" s="56">
        <f>_xlfn.XLOOKUP($N334,'Calculo Leads'!$A$97:$A$134,'Calculo Leads'!G$97:G$134)*_xlfn.XLOOKUP($P334,'Base Grupo de Produtos'!$E$2:$E$18,'Base Grupo de Produtos'!$F$2:$F$18)</f>
        <v>60</v>
      </c>
      <c r="U334" s="56">
        <f>_xlfn.XLOOKUP($N334,'Calculo Leads'!$A$97:$A$134,'Calculo Leads'!H$97:H$134)*_xlfn.XLOOKUP($P334,'Base Grupo de Produtos'!$E$2:$E$18,'Base Grupo de Produtos'!$F$2:$F$18)</f>
        <v>60</v>
      </c>
      <c r="V334" s="56">
        <f>_xlfn.XLOOKUP($N334,'Calculo Leads'!$A$97:$A$134,'Calculo Leads'!I$97:I$134)*_xlfn.XLOOKUP($P334,'Base Grupo de Produtos'!$E$2:$E$18,'Base Grupo de Produtos'!$F$2:$F$18)</f>
        <v>80</v>
      </c>
      <c r="W334" s="56">
        <f>_xlfn.XLOOKUP($N334,'Calculo Leads'!$A$97:$A$134,'Calculo Leads'!J$97:J$134)*_xlfn.XLOOKUP($P334,'Base Grupo de Produtos'!$E$2:$E$18,'Base Grupo de Produtos'!$F$2:$F$18)</f>
        <v>80</v>
      </c>
      <c r="X334" s="56">
        <f>_xlfn.XLOOKUP($N334,'Calculo Leads'!$A$97:$A$134,'Calculo Leads'!K$97:K$134)*_xlfn.XLOOKUP($P334,'Base Grupo de Produtos'!$E$2:$E$18,'Base Grupo de Produtos'!$F$2:$F$18)</f>
        <v>110</v>
      </c>
      <c r="Y334" s="56">
        <f>_xlfn.XLOOKUP($N334,'Calculo Leads'!$A$97:$A$134,'Calculo Leads'!L$97:L$134)*_xlfn.XLOOKUP($P334,'Base Grupo de Produtos'!$E$2:$E$18,'Base Grupo de Produtos'!$F$2:$F$18)</f>
        <v>132</v>
      </c>
      <c r="Z334" s="56">
        <f>_xlfn.XLOOKUP($N334,'Calculo Leads'!$A$97:$A$134,'Calculo Leads'!M$97:M$134)*_xlfn.XLOOKUP($P334,'Base Grupo de Produtos'!$E$2:$E$18,'Base Grupo de Produtos'!$F$2:$F$18)</f>
        <v>132</v>
      </c>
      <c r="AA334" s="56">
        <f>_xlfn.XLOOKUP($N334,'Calculo Leads'!$A$97:$A$134,'Calculo Leads'!N$97:N$134)*_xlfn.XLOOKUP($P334,'Base Grupo de Produtos'!$E$2:$E$18,'Base Grupo de Produtos'!$F$2:$F$18)</f>
        <v>154</v>
      </c>
      <c r="AB334" s="56">
        <f>_xlfn.XLOOKUP($N334,'Calculo Leads'!$A$97:$A$134,'Calculo Leads'!O$97:O$134)*_xlfn.XLOOKUP($P334,'Base Grupo de Produtos'!$E$2:$E$18,'Base Grupo de Produtos'!$F$2:$F$18)</f>
        <v>110</v>
      </c>
      <c r="AC334" s="61">
        <f t="shared" si="348"/>
        <v>918</v>
      </c>
      <c r="AD334" s="27">
        <f t="shared" si="364"/>
        <v>918</v>
      </c>
      <c r="AE334" s="25">
        <f>IFERROR(_xlfn.XLOOKUP(N334&amp;P334,'Historico Vendas'!G:G,'Historico Vendas'!E:E),0)</f>
        <v>0</v>
      </c>
      <c r="AF334" s="29" t="str">
        <f t="shared" si="326"/>
        <v/>
      </c>
      <c r="AG334" s="24">
        <f>IFERROR(_xlfn.XLOOKUP(N334&amp;P334,'Historico Vendas'!G:G,'Historico Vendas'!F:F),0)</f>
        <v>0</v>
      </c>
      <c r="AH334" s="25">
        <f t="shared" si="365"/>
        <v>0</v>
      </c>
      <c r="AI334" s="24">
        <f t="shared" si="366"/>
        <v>0</v>
      </c>
      <c r="AJ334" s="11" t="str">
        <f t="shared" si="347"/>
        <v/>
      </c>
      <c r="AK334" s="9" t="s">
        <v>102</v>
      </c>
      <c r="AL334" s="13">
        <f>IFERROR(INDEX('Balizador da Meta'!$D$3:$F$23,MATCH(Faturamento!$P334,'Balizador da Meta'!$C$3:$C$23,0),MATCH(Faturamento!AK334,'Balizador da Meta'!$D$2:$F$2,0)),"")</f>
        <v>0</v>
      </c>
      <c r="AM334" s="9"/>
    </row>
    <row r="335" spans="1:39" x14ac:dyDescent="0.3">
      <c r="A335" s="2" t="str">
        <f t="shared" si="327"/>
        <v>NÃO</v>
      </c>
      <c r="B335" s="2" t="str">
        <f>_xlfn.XLOOKUP($N335,'Base de Grupos'!$A:$A,'Base de Grupos'!$D:$D)</f>
        <v>1000065763</v>
      </c>
      <c r="C335" s="5" t="str">
        <f>_xlfn.XLOOKUP($N335,'Base de Grupos'!$A:$A,'Base de Grupos'!$E:$E)</f>
        <v>CANAL VENDA INTERNA</v>
      </c>
      <c r="D335" s="5" t="str">
        <f>_xlfn.XLOOKUP($N335,'Base de Grupos'!$A:$A,'Base de Grupos'!$F:$F)</f>
        <v>1000065763</v>
      </c>
      <c r="E335" s="2" t="str">
        <f>_xlfn.XLOOKUP($N335,'Base de Grupos'!$A:$A,'Base de Grupos'!$G:$G)</f>
        <v>CANAL VENDA INTERNA</v>
      </c>
      <c r="F335" s="2" t="str">
        <f>_xlfn.XLOOKUP($N335,'Base de Grupos'!$A:$A,'Base de Grupos'!$H:$H)</f>
        <v>1000105899</v>
      </c>
      <c r="G335" s="5" t="str">
        <f>_xlfn.XLOOKUP($N335,'Base de Grupos'!$A:$A,'Base de Grupos'!$I:$I)</f>
        <v>REGIONAL VENDA DIRETA SUDESTE</v>
      </c>
      <c r="H335" s="5" t="str">
        <f>_xlfn.XLOOKUP($N335,'Base de Grupos'!$A:$A,'Base de Grupos'!$J:$J)</f>
        <v>1000105899</v>
      </c>
      <c r="I335" s="2" t="str">
        <f>_xlfn.XLOOKUP($N335,'Base de Grupos'!$A:$A,'Base de Grupos'!$K:$K)</f>
        <v>REGIONAL VENDA DIRETA SUDESTE</v>
      </c>
      <c r="J335" s="2" t="str">
        <f>_xlfn.XLOOKUP($N335,'Base de Grupos'!$A:$A,'Base de Grupos'!$L:$L)</f>
        <v>1000150135</v>
      </c>
      <c r="K335" s="5" t="str">
        <f>_xlfn.XLOOKUP($N335,'Base de Grupos'!$A:$A,'Base de Grupos'!$M:$M)</f>
        <v>HELDER DA SILVA BRUNKOW</v>
      </c>
      <c r="L335" s="5" t="str">
        <f t="shared" si="328"/>
        <v/>
      </c>
      <c r="M335" s="5" t="str">
        <f>_xlfn.XLOOKUP($N335,'Base de Grupos'!$A:$A,'Base de Grupos'!$C:$C)</f>
        <v>ES</v>
      </c>
      <c r="N335" s="3">
        <v>1357</v>
      </c>
      <c r="O335" s="4" t="s">
        <v>242</v>
      </c>
      <c r="P335" s="5" t="s">
        <v>86</v>
      </c>
      <c r="Q335" s="56">
        <v>0</v>
      </c>
      <c r="R335" s="56">
        <v>0</v>
      </c>
      <c r="S335" s="56">
        <v>0</v>
      </c>
      <c r="T335" s="56">
        <f>_xlfn.XLOOKUP($N335,'Calculo Leads'!$A$97:$A$134,'Calculo Leads'!G$97:G$134)*_xlfn.XLOOKUP($P335,'Base Grupo de Produtos'!$E$2:$E$18,'Base Grupo de Produtos'!$F$2:$F$18)</f>
        <v>90</v>
      </c>
      <c r="U335" s="56">
        <f>_xlfn.XLOOKUP($N335,'Calculo Leads'!$A$97:$A$134,'Calculo Leads'!H$97:H$134)*_xlfn.XLOOKUP($P335,'Base Grupo de Produtos'!$E$2:$E$18,'Base Grupo de Produtos'!$F$2:$F$18)</f>
        <v>90</v>
      </c>
      <c r="V335" s="56">
        <f>_xlfn.XLOOKUP($N335,'Calculo Leads'!$A$97:$A$134,'Calculo Leads'!I$97:I$134)*_xlfn.XLOOKUP($P335,'Base Grupo de Produtos'!$E$2:$E$18,'Base Grupo de Produtos'!$F$2:$F$18)</f>
        <v>120</v>
      </c>
      <c r="W335" s="56">
        <f>_xlfn.XLOOKUP($N335,'Calculo Leads'!$A$97:$A$134,'Calculo Leads'!J$97:J$134)*_xlfn.XLOOKUP($P335,'Base Grupo de Produtos'!$E$2:$E$18,'Base Grupo de Produtos'!$F$2:$F$18)</f>
        <v>120</v>
      </c>
      <c r="X335" s="56">
        <f>_xlfn.XLOOKUP($N335,'Calculo Leads'!$A$97:$A$134,'Calculo Leads'!K$97:K$134)*_xlfn.XLOOKUP($P335,'Base Grupo de Produtos'!$E$2:$E$18,'Base Grupo de Produtos'!$F$2:$F$18)</f>
        <v>165</v>
      </c>
      <c r="Y335" s="56">
        <f>_xlfn.XLOOKUP($N335,'Calculo Leads'!$A$97:$A$134,'Calculo Leads'!L$97:L$134)*_xlfn.XLOOKUP($P335,'Base Grupo de Produtos'!$E$2:$E$18,'Base Grupo de Produtos'!$F$2:$F$18)</f>
        <v>198</v>
      </c>
      <c r="Z335" s="56">
        <f>_xlfn.XLOOKUP($N335,'Calculo Leads'!$A$97:$A$134,'Calculo Leads'!M$97:M$134)*_xlfn.XLOOKUP($P335,'Base Grupo de Produtos'!$E$2:$E$18,'Base Grupo de Produtos'!$F$2:$F$18)</f>
        <v>198</v>
      </c>
      <c r="AA335" s="56">
        <f>_xlfn.XLOOKUP($N335,'Calculo Leads'!$A$97:$A$134,'Calculo Leads'!N$97:N$134)*_xlfn.XLOOKUP($P335,'Base Grupo de Produtos'!$E$2:$E$18,'Base Grupo de Produtos'!$F$2:$F$18)</f>
        <v>231</v>
      </c>
      <c r="AB335" s="56">
        <f>_xlfn.XLOOKUP($N335,'Calculo Leads'!$A$97:$A$134,'Calculo Leads'!O$97:O$134)*_xlfn.XLOOKUP($P335,'Base Grupo de Produtos'!$E$2:$E$18,'Base Grupo de Produtos'!$F$2:$F$18)</f>
        <v>165</v>
      </c>
      <c r="AC335" s="61">
        <f t="shared" si="348"/>
        <v>1377</v>
      </c>
      <c r="AD335" s="27">
        <f t="shared" si="364"/>
        <v>1377</v>
      </c>
      <c r="AE335" s="25">
        <f>IFERROR(_xlfn.XLOOKUP(N335&amp;P335,'Historico Vendas'!G:G,'Historico Vendas'!E:E),0)</f>
        <v>0</v>
      </c>
      <c r="AF335" s="29" t="str">
        <f t="shared" si="326"/>
        <v/>
      </c>
      <c r="AG335" s="24">
        <f>IFERROR(_xlfn.XLOOKUP(N335&amp;P335,'Historico Vendas'!G:G,'Historico Vendas'!F:F),0)</f>
        <v>0</v>
      </c>
      <c r="AH335" s="25">
        <f t="shared" si="365"/>
        <v>0</v>
      </c>
      <c r="AI335" s="24">
        <f t="shared" si="366"/>
        <v>0</v>
      </c>
      <c r="AJ335" s="11" t="str">
        <f t="shared" si="347"/>
        <v/>
      </c>
      <c r="AK335" s="9" t="s">
        <v>102</v>
      </c>
      <c r="AL335" s="13">
        <f>IFERROR(INDEX('Balizador da Meta'!$D$3:$F$23,MATCH(Faturamento!$P335,'Balizador da Meta'!$C$3:$C$23,0),MATCH(Faturamento!AK335,'Balizador da Meta'!$D$2:$F$2,0)),"")</f>
        <v>0.15</v>
      </c>
      <c r="AM335" s="9"/>
    </row>
    <row r="336" spans="1:39" x14ac:dyDescent="0.3">
      <c r="A336" s="2" t="str">
        <f t="shared" si="327"/>
        <v>NÃO</v>
      </c>
      <c r="B336" s="2" t="str">
        <f>_xlfn.XLOOKUP($N336,'Base de Grupos'!$A:$A,'Base de Grupos'!$D:$D)</f>
        <v>1000065763</v>
      </c>
      <c r="C336" s="5" t="str">
        <f>_xlfn.XLOOKUP($N336,'Base de Grupos'!$A:$A,'Base de Grupos'!$E:$E)</f>
        <v>CANAL VENDA INTERNA</v>
      </c>
      <c r="D336" s="5" t="str">
        <f>_xlfn.XLOOKUP($N336,'Base de Grupos'!$A:$A,'Base de Grupos'!$F:$F)</f>
        <v>1000065763</v>
      </c>
      <c r="E336" s="2" t="str">
        <f>_xlfn.XLOOKUP($N336,'Base de Grupos'!$A:$A,'Base de Grupos'!$G:$G)</f>
        <v>CANAL VENDA INTERNA</v>
      </c>
      <c r="F336" s="2" t="str">
        <f>_xlfn.XLOOKUP($N336,'Base de Grupos'!$A:$A,'Base de Grupos'!$H:$H)</f>
        <v>1000105899</v>
      </c>
      <c r="G336" s="5" t="str">
        <f>_xlfn.XLOOKUP($N336,'Base de Grupos'!$A:$A,'Base de Grupos'!$I:$I)</f>
        <v>REGIONAL VENDA DIRETA SUDESTE</v>
      </c>
      <c r="H336" s="5" t="str">
        <f>_xlfn.XLOOKUP($N336,'Base de Grupos'!$A:$A,'Base de Grupos'!$J:$J)</f>
        <v>1000105899</v>
      </c>
      <c r="I336" s="2" t="str">
        <f>_xlfn.XLOOKUP($N336,'Base de Grupos'!$A:$A,'Base de Grupos'!$K:$K)</f>
        <v>REGIONAL VENDA DIRETA SUDESTE</v>
      </c>
      <c r="J336" s="2" t="str">
        <f>_xlfn.XLOOKUP($N336,'Base de Grupos'!$A:$A,'Base de Grupos'!$L:$L)</f>
        <v>1000150135</v>
      </c>
      <c r="K336" s="5" t="str">
        <f>_xlfn.XLOOKUP($N336,'Base de Grupos'!$A:$A,'Base de Grupos'!$M:$M)</f>
        <v>HELDER DA SILVA BRUNKOW</v>
      </c>
      <c r="L336" s="5" t="str">
        <f t="shared" si="328"/>
        <v/>
      </c>
      <c r="M336" s="5" t="str">
        <f>_xlfn.XLOOKUP($N336,'Base de Grupos'!$A:$A,'Base de Grupos'!$C:$C)</f>
        <v>ES</v>
      </c>
      <c r="N336" s="3">
        <v>1357</v>
      </c>
      <c r="O336" s="4" t="s">
        <v>242</v>
      </c>
      <c r="P336" s="5" t="s">
        <v>108</v>
      </c>
      <c r="Q336" s="56">
        <v>0</v>
      </c>
      <c r="R336" s="56">
        <v>0</v>
      </c>
      <c r="S336" s="56">
        <v>0</v>
      </c>
      <c r="T336" s="56">
        <f>_xlfn.XLOOKUP($N336,'Calculo Leads'!$A$97:$A$134,'Calculo Leads'!G$97:G$134)*_xlfn.XLOOKUP($P336,'Base Grupo de Produtos'!$E$2:$E$18,'Base Grupo de Produtos'!$F$2:$F$18)</f>
        <v>750</v>
      </c>
      <c r="U336" s="56">
        <f>_xlfn.XLOOKUP($N336,'Calculo Leads'!$A$97:$A$134,'Calculo Leads'!H$97:H$134)*_xlfn.XLOOKUP($P336,'Base Grupo de Produtos'!$E$2:$E$18,'Base Grupo de Produtos'!$F$2:$F$18)</f>
        <v>750</v>
      </c>
      <c r="V336" s="56">
        <f>_xlfn.XLOOKUP($N336,'Calculo Leads'!$A$97:$A$134,'Calculo Leads'!I$97:I$134)*_xlfn.XLOOKUP($P336,'Base Grupo de Produtos'!$E$2:$E$18,'Base Grupo de Produtos'!$F$2:$F$18)</f>
        <v>1000</v>
      </c>
      <c r="W336" s="56">
        <f>_xlfn.XLOOKUP($N336,'Calculo Leads'!$A$97:$A$134,'Calculo Leads'!J$97:J$134)*_xlfn.XLOOKUP($P336,'Base Grupo de Produtos'!$E$2:$E$18,'Base Grupo de Produtos'!$F$2:$F$18)</f>
        <v>1000</v>
      </c>
      <c r="X336" s="56">
        <f>_xlfn.XLOOKUP($N336,'Calculo Leads'!$A$97:$A$134,'Calculo Leads'!K$97:K$134)*_xlfn.XLOOKUP($P336,'Base Grupo de Produtos'!$E$2:$E$18,'Base Grupo de Produtos'!$F$2:$F$18)</f>
        <v>1375</v>
      </c>
      <c r="Y336" s="56">
        <f>_xlfn.XLOOKUP($N336,'Calculo Leads'!$A$97:$A$134,'Calculo Leads'!L$97:L$134)*_xlfn.XLOOKUP($P336,'Base Grupo de Produtos'!$E$2:$E$18,'Base Grupo de Produtos'!$F$2:$F$18)</f>
        <v>1650</v>
      </c>
      <c r="Z336" s="56">
        <f>_xlfn.XLOOKUP($N336,'Calculo Leads'!$A$97:$A$134,'Calculo Leads'!M$97:M$134)*_xlfn.XLOOKUP($P336,'Base Grupo de Produtos'!$E$2:$E$18,'Base Grupo de Produtos'!$F$2:$F$18)</f>
        <v>1650</v>
      </c>
      <c r="AA336" s="56">
        <f>_xlfn.XLOOKUP($N336,'Calculo Leads'!$A$97:$A$134,'Calculo Leads'!N$97:N$134)*_xlfn.XLOOKUP($P336,'Base Grupo de Produtos'!$E$2:$E$18,'Base Grupo de Produtos'!$F$2:$F$18)</f>
        <v>1925</v>
      </c>
      <c r="AB336" s="56">
        <f>_xlfn.XLOOKUP($N336,'Calculo Leads'!$A$97:$A$134,'Calculo Leads'!O$97:O$134)*_xlfn.XLOOKUP($P336,'Base Grupo de Produtos'!$E$2:$E$18,'Base Grupo de Produtos'!$F$2:$F$18)</f>
        <v>1375</v>
      </c>
      <c r="AC336" s="61">
        <f t="shared" si="348"/>
        <v>11475</v>
      </c>
      <c r="AD336" s="27">
        <f t="shared" si="364"/>
        <v>11475</v>
      </c>
      <c r="AE336" s="25">
        <f>IFERROR(_xlfn.XLOOKUP(N336&amp;P336,'Historico Vendas'!G:G,'Historico Vendas'!E:E),0)</f>
        <v>0</v>
      </c>
      <c r="AF336" s="29" t="str">
        <f t="shared" si="326"/>
        <v/>
      </c>
      <c r="AG336" s="24">
        <f>IFERROR(_xlfn.XLOOKUP(N336&amp;P336,'Historico Vendas'!G:G,'Historico Vendas'!F:F),0)</f>
        <v>0</v>
      </c>
      <c r="AH336" s="25">
        <f t="shared" si="365"/>
        <v>0</v>
      </c>
      <c r="AI336" s="24">
        <f t="shared" si="366"/>
        <v>0</v>
      </c>
      <c r="AJ336" s="11" t="str">
        <f t="shared" si="347"/>
        <v/>
      </c>
      <c r="AK336" s="9" t="s">
        <v>102</v>
      </c>
      <c r="AL336" s="13">
        <f>IFERROR(INDEX('Balizador da Meta'!$D$3:$F$23,MATCH(Faturamento!$P336,'Balizador da Meta'!$C$3:$C$23,0),MATCH(Faturamento!AK336,'Balizador da Meta'!$D$2:$F$2,0)),"")</f>
        <v>0</v>
      </c>
      <c r="AM336" s="9"/>
    </row>
    <row r="337" spans="1:39" x14ac:dyDescent="0.3">
      <c r="A337" s="2" t="str">
        <f t="shared" si="327"/>
        <v>NÃO</v>
      </c>
      <c r="B337" s="2" t="str">
        <f>_xlfn.XLOOKUP($N337,'Base de Grupos'!$A:$A,'Base de Grupos'!$D:$D)</f>
        <v>1000065763</v>
      </c>
      <c r="C337" s="5" t="str">
        <f>_xlfn.XLOOKUP($N337,'Base de Grupos'!$A:$A,'Base de Grupos'!$E:$E)</f>
        <v>CANAL VENDA INTERNA</v>
      </c>
      <c r="D337" s="5" t="str">
        <f>_xlfn.XLOOKUP($N337,'Base de Grupos'!$A:$A,'Base de Grupos'!$F:$F)</f>
        <v>1000065763</v>
      </c>
      <c r="E337" s="2" t="str">
        <f>_xlfn.XLOOKUP($N337,'Base de Grupos'!$A:$A,'Base de Grupos'!$G:$G)</f>
        <v>CANAL VENDA INTERNA</v>
      </c>
      <c r="F337" s="2" t="str">
        <f>_xlfn.XLOOKUP($N337,'Base de Grupos'!$A:$A,'Base de Grupos'!$H:$H)</f>
        <v>1000105899</v>
      </c>
      <c r="G337" s="5" t="str">
        <f>_xlfn.XLOOKUP($N337,'Base de Grupos'!$A:$A,'Base de Grupos'!$I:$I)</f>
        <v>REGIONAL VENDA DIRETA SUDESTE</v>
      </c>
      <c r="H337" s="5" t="str">
        <f>_xlfn.XLOOKUP($N337,'Base de Grupos'!$A:$A,'Base de Grupos'!$J:$J)</f>
        <v>1000105899</v>
      </c>
      <c r="I337" s="2" t="str">
        <f>_xlfn.XLOOKUP($N337,'Base de Grupos'!$A:$A,'Base de Grupos'!$K:$K)</f>
        <v>REGIONAL VENDA DIRETA SUDESTE</v>
      </c>
      <c r="J337" s="2" t="str">
        <f>_xlfn.XLOOKUP($N337,'Base de Grupos'!$A:$A,'Base de Grupos'!$L:$L)</f>
        <v>1000150135</v>
      </c>
      <c r="K337" s="5" t="str">
        <f>_xlfn.XLOOKUP($N337,'Base de Grupos'!$A:$A,'Base de Grupos'!$M:$M)</f>
        <v>HELDER DA SILVA BRUNKOW</v>
      </c>
      <c r="L337" s="5" t="str">
        <f t="shared" si="328"/>
        <v/>
      </c>
      <c r="M337" s="5" t="str">
        <f>_xlfn.XLOOKUP($N337,'Base de Grupos'!$A:$A,'Base de Grupos'!$C:$C)</f>
        <v>ES</v>
      </c>
      <c r="N337" s="3">
        <v>1357</v>
      </c>
      <c r="O337" s="4" t="s">
        <v>242</v>
      </c>
      <c r="P337" s="5" t="s">
        <v>89</v>
      </c>
      <c r="Q337" s="56">
        <v>0</v>
      </c>
      <c r="R337" s="56">
        <v>0</v>
      </c>
      <c r="S337" s="56">
        <v>0</v>
      </c>
      <c r="T337" s="56">
        <f>_xlfn.XLOOKUP($N337,'Calculo Leads'!$A$97:$A$134,'Calculo Leads'!G$97:G$134)*_xlfn.XLOOKUP($P337,'Base Grupo de Produtos'!$E$2:$E$18,'Base Grupo de Produtos'!$F$2:$F$18)</f>
        <v>150</v>
      </c>
      <c r="U337" s="56">
        <f>_xlfn.XLOOKUP($N337,'Calculo Leads'!$A$97:$A$134,'Calculo Leads'!H$97:H$134)*_xlfn.XLOOKUP($P337,'Base Grupo de Produtos'!$E$2:$E$18,'Base Grupo de Produtos'!$F$2:$F$18)</f>
        <v>150</v>
      </c>
      <c r="V337" s="56">
        <f>_xlfn.XLOOKUP($N337,'Calculo Leads'!$A$97:$A$134,'Calculo Leads'!I$97:I$134)*_xlfn.XLOOKUP($P337,'Base Grupo de Produtos'!$E$2:$E$18,'Base Grupo de Produtos'!$F$2:$F$18)</f>
        <v>200</v>
      </c>
      <c r="W337" s="56">
        <f>_xlfn.XLOOKUP($N337,'Calculo Leads'!$A$97:$A$134,'Calculo Leads'!J$97:J$134)*_xlfn.XLOOKUP($P337,'Base Grupo de Produtos'!$E$2:$E$18,'Base Grupo de Produtos'!$F$2:$F$18)</f>
        <v>200</v>
      </c>
      <c r="X337" s="56">
        <f>_xlfn.XLOOKUP($N337,'Calculo Leads'!$A$97:$A$134,'Calculo Leads'!K$97:K$134)*_xlfn.XLOOKUP($P337,'Base Grupo de Produtos'!$E$2:$E$18,'Base Grupo de Produtos'!$F$2:$F$18)</f>
        <v>275</v>
      </c>
      <c r="Y337" s="56">
        <f>_xlfn.XLOOKUP($N337,'Calculo Leads'!$A$97:$A$134,'Calculo Leads'!L$97:L$134)*_xlfn.XLOOKUP($P337,'Base Grupo de Produtos'!$E$2:$E$18,'Base Grupo de Produtos'!$F$2:$F$18)</f>
        <v>330</v>
      </c>
      <c r="Z337" s="56">
        <f>_xlfn.XLOOKUP($N337,'Calculo Leads'!$A$97:$A$134,'Calculo Leads'!M$97:M$134)*_xlfn.XLOOKUP($P337,'Base Grupo de Produtos'!$E$2:$E$18,'Base Grupo de Produtos'!$F$2:$F$18)</f>
        <v>330</v>
      </c>
      <c r="AA337" s="56">
        <f>_xlfn.XLOOKUP($N337,'Calculo Leads'!$A$97:$A$134,'Calculo Leads'!N$97:N$134)*_xlfn.XLOOKUP($P337,'Base Grupo de Produtos'!$E$2:$E$18,'Base Grupo de Produtos'!$F$2:$F$18)</f>
        <v>385</v>
      </c>
      <c r="AB337" s="56">
        <f>_xlfn.XLOOKUP($N337,'Calculo Leads'!$A$97:$A$134,'Calculo Leads'!O$97:O$134)*_xlfn.XLOOKUP($P337,'Base Grupo de Produtos'!$E$2:$E$18,'Base Grupo de Produtos'!$F$2:$F$18)</f>
        <v>275</v>
      </c>
      <c r="AC337" s="61">
        <f t="shared" si="348"/>
        <v>2295</v>
      </c>
      <c r="AD337" s="27">
        <f t="shared" si="364"/>
        <v>2295</v>
      </c>
      <c r="AE337" s="25">
        <f>IFERROR(_xlfn.XLOOKUP(N337&amp;P337,'Historico Vendas'!G:G,'Historico Vendas'!E:E),0)</f>
        <v>0</v>
      </c>
      <c r="AF337" s="29" t="str">
        <f t="shared" si="326"/>
        <v/>
      </c>
      <c r="AG337" s="24">
        <f>IFERROR(_xlfn.XLOOKUP(N337&amp;P337,'Historico Vendas'!G:G,'Historico Vendas'!F:F),0)</f>
        <v>0</v>
      </c>
      <c r="AH337" s="25">
        <f t="shared" si="365"/>
        <v>0</v>
      </c>
      <c r="AI337" s="24">
        <f t="shared" si="366"/>
        <v>0</v>
      </c>
      <c r="AJ337" s="11" t="str">
        <f t="shared" si="347"/>
        <v/>
      </c>
      <c r="AK337" s="9" t="s">
        <v>102</v>
      </c>
      <c r="AL337" s="13">
        <f>IFERROR(INDEX('Balizador da Meta'!$D$3:$F$23,MATCH(Faturamento!$P337,'Balizador da Meta'!$C$3:$C$23,0),MATCH(Faturamento!AK337,'Balizador da Meta'!$D$2:$F$2,0)),"")</f>
        <v>0.25</v>
      </c>
      <c r="AM337" s="9"/>
    </row>
    <row r="338" spans="1:39" x14ac:dyDescent="0.3">
      <c r="A338" s="2" t="str">
        <f t="shared" si="327"/>
        <v>NÃO</v>
      </c>
      <c r="B338" s="2" t="str">
        <f>_xlfn.XLOOKUP($N338,'Base de Grupos'!$A:$A,'Base de Grupos'!$D:$D)</f>
        <v>1000065763</v>
      </c>
      <c r="C338" s="5" t="str">
        <f>_xlfn.XLOOKUP($N338,'Base de Grupos'!$A:$A,'Base de Grupos'!$E:$E)</f>
        <v>CANAL VENDA INTERNA</v>
      </c>
      <c r="D338" s="5" t="str">
        <f>_xlfn.XLOOKUP($N338,'Base de Grupos'!$A:$A,'Base de Grupos'!$F:$F)</f>
        <v>1000065763</v>
      </c>
      <c r="E338" s="2" t="str">
        <f>_xlfn.XLOOKUP($N338,'Base de Grupos'!$A:$A,'Base de Grupos'!$G:$G)</f>
        <v>CANAL VENDA INTERNA</v>
      </c>
      <c r="F338" s="2" t="str">
        <f>_xlfn.XLOOKUP($N338,'Base de Grupos'!$A:$A,'Base de Grupos'!$H:$H)</f>
        <v>1000105899</v>
      </c>
      <c r="G338" s="5" t="str">
        <f>_xlfn.XLOOKUP($N338,'Base de Grupos'!$A:$A,'Base de Grupos'!$I:$I)</f>
        <v>REGIONAL VENDA DIRETA SUDESTE</v>
      </c>
      <c r="H338" s="5" t="str">
        <f>_xlfn.XLOOKUP($N338,'Base de Grupos'!$A:$A,'Base de Grupos'!$J:$J)</f>
        <v>1000105899</v>
      </c>
      <c r="I338" s="2" t="str">
        <f>_xlfn.XLOOKUP($N338,'Base de Grupos'!$A:$A,'Base de Grupos'!$K:$K)</f>
        <v>REGIONAL VENDA DIRETA SUDESTE</v>
      </c>
      <c r="J338" s="2" t="str">
        <f>_xlfn.XLOOKUP($N338,'Base de Grupos'!$A:$A,'Base de Grupos'!$L:$L)</f>
        <v>1000150135</v>
      </c>
      <c r="K338" s="5" t="str">
        <f>_xlfn.XLOOKUP($N338,'Base de Grupos'!$A:$A,'Base de Grupos'!$M:$M)</f>
        <v>HELDER DA SILVA BRUNKOW</v>
      </c>
      <c r="L338" s="5" t="str">
        <f t="shared" si="328"/>
        <v/>
      </c>
      <c r="M338" s="5" t="str">
        <f>_xlfn.XLOOKUP($N338,'Base de Grupos'!$A:$A,'Base de Grupos'!$C:$C)</f>
        <v>ES</v>
      </c>
      <c r="N338" s="3">
        <v>1357</v>
      </c>
      <c r="O338" s="4" t="s">
        <v>242</v>
      </c>
      <c r="P338" s="5" t="s">
        <v>88</v>
      </c>
      <c r="Q338" s="56">
        <v>0</v>
      </c>
      <c r="R338" s="56">
        <v>0</v>
      </c>
      <c r="S338" s="56">
        <v>0</v>
      </c>
      <c r="T338" s="56">
        <f>_xlfn.XLOOKUP($N338,'Calculo Leads'!$A$97:$A$134,'Calculo Leads'!G$97:G$134)*_xlfn.XLOOKUP($P338,'Base Grupo de Produtos'!$E$2:$E$18,'Base Grupo de Produtos'!$F$2:$F$18)</f>
        <v>150</v>
      </c>
      <c r="U338" s="56">
        <f>_xlfn.XLOOKUP($N338,'Calculo Leads'!$A$97:$A$134,'Calculo Leads'!H$97:H$134)*_xlfn.XLOOKUP($P338,'Base Grupo de Produtos'!$E$2:$E$18,'Base Grupo de Produtos'!$F$2:$F$18)</f>
        <v>150</v>
      </c>
      <c r="V338" s="56">
        <f>_xlfn.XLOOKUP($N338,'Calculo Leads'!$A$97:$A$134,'Calculo Leads'!I$97:I$134)*_xlfn.XLOOKUP($P338,'Base Grupo de Produtos'!$E$2:$E$18,'Base Grupo de Produtos'!$F$2:$F$18)</f>
        <v>200</v>
      </c>
      <c r="W338" s="56">
        <f>_xlfn.XLOOKUP($N338,'Calculo Leads'!$A$97:$A$134,'Calculo Leads'!J$97:J$134)*_xlfn.XLOOKUP($P338,'Base Grupo de Produtos'!$E$2:$E$18,'Base Grupo de Produtos'!$F$2:$F$18)</f>
        <v>200</v>
      </c>
      <c r="X338" s="56">
        <f>_xlfn.XLOOKUP($N338,'Calculo Leads'!$A$97:$A$134,'Calculo Leads'!K$97:K$134)*_xlfn.XLOOKUP($P338,'Base Grupo de Produtos'!$E$2:$E$18,'Base Grupo de Produtos'!$F$2:$F$18)</f>
        <v>275</v>
      </c>
      <c r="Y338" s="56">
        <f>_xlfn.XLOOKUP($N338,'Calculo Leads'!$A$97:$A$134,'Calculo Leads'!L$97:L$134)*_xlfn.XLOOKUP($P338,'Base Grupo de Produtos'!$E$2:$E$18,'Base Grupo de Produtos'!$F$2:$F$18)</f>
        <v>330</v>
      </c>
      <c r="Z338" s="56">
        <f>_xlfn.XLOOKUP($N338,'Calculo Leads'!$A$97:$A$134,'Calculo Leads'!M$97:M$134)*_xlfn.XLOOKUP($P338,'Base Grupo de Produtos'!$E$2:$E$18,'Base Grupo de Produtos'!$F$2:$F$18)</f>
        <v>330</v>
      </c>
      <c r="AA338" s="56">
        <f>_xlfn.XLOOKUP($N338,'Calculo Leads'!$A$97:$A$134,'Calculo Leads'!N$97:N$134)*_xlfn.XLOOKUP($P338,'Base Grupo de Produtos'!$E$2:$E$18,'Base Grupo de Produtos'!$F$2:$F$18)</f>
        <v>385</v>
      </c>
      <c r="AB338" s="56">
        <f>_xlfn.XLOOKUP($N338,'Calculo Leads'!$A$97:$A$134,'Calculo Leads'!O$97:O$134)*_xlfn.XLOOKUP($P338,'Base Grupo de Produtos'!$E$2:$E$18,'Base Grupo de Produtos'!$F$2:$F$18)</f>
        <v>275</v>
      </c>
      <c r="AC338" s="61">
        <f t="shared" si="348"/>
        <v>2295</v>
      </c>
      <c r="AD338" s="27">
        <f t="shared" si="364"/>
        <v>2295</v>
      </c>
      <c r="AE338" s="25">
        <f>IFERROR(_xlfn.XLOOKUP(N338&amp;P338,'Historico Vendas'!G:G,'Historico Vendas'!E:E),0)</f>
        <v>0</v>
      </c>
      <c r="AF338" s="29" t="str">
        <f t="shared" si="326"/>
        <v/>
      </c>
      <c r="AG338" s="24">
        <f>IFERROR(_xlfn.XLOOKUP(N338&amp;P338,'Historico Vendas'!G:G,'Historico Vendas'!F:F),0)</f>
        <v>0</v>
      </c>
      <c r="AH338" s="25">
        <f t="shared" si="365"/>
        <v>0</v>
      </c>
      <c r="AI338" s="24">
        <f t="shared" si="366"/>
        <v>0</v>
      </c>
      <c r="AJ338" s="11" t="str">
        <f t="shared" si="347"/>
        <v/>
      </c>
      <c r="AK338" s="9" t="s">
        <v>102</v>
      </c>
      <c r="AL338" s="13">
        <f>IFERROR(INDEX('Balizador da Meta'!$D$3:$F$23,MATCH(Faturamento!$P338,'Balizador da Meta'!$C$3:$C$23,0),MATCH(Faturamento!AK338,'Balizador da Meta'!$D$2:$F$2,0)),"")</f>
        <v>0</v>
      </c>
      <c r="AM338" s="9"/>
    </row>
    <row r="339" spans="1:39" x14ac:dyDescent="0.3">
      <c r="A339" s="2" t="str">
        <f t="shared" si="327"/>
        <v>NÃO</v>
      </c>
      <c r="B339" s="2" t="str">
        <f>_xlfn.XLOOKUP($N339,'Base de Grupos'!$A:$A,'Base de Grupos'!$D:$D)</f>
        <v>1000065763</v>
      </c>
      <c r="C339" s="5" t="str">
        <f>_xlfn.XLOOKUP($N339,'Base de Grupos'!$A:$A,'Base de Grupos'!$E:$E)</f>
        <v>CANAL VENDA INTERNA</v>
      </c>
      <c r="D339" s="5" t="str">
        <f>_xlfn.XLOOKUP($N339,'Base de Grupos'!$A:$A,'Base de Grupos'!$F:$F)</f>
        <v>1000065763</v>
      </c>
      <c r="E339" s="2" t="str">
        <f>_xlfn.XLOOKUP($N339,'Base de Grupos'!$A:$A,'Base de Grupos'!$G:$G)</f>
        <v>CANAL VENDA INTERNA</v>
      </c>
      <c r="F339" s="2" t="str">
        <f>_xlfn.XLOOKUP($N339,'Base de Grupos'!$A:$A,'Base de Grupos'!$H:$H)</f>
        <v>1000105899</v>
      </c>
      <c r="G339" s="5" t="str">
        <f>_xlfn.XLOOKUP($N339,'Base de Grupos'!$A:$A,'Base de Grupos'!$I:$I)</f>
        <v>REGIONAL VENDA DIRETA SUDESTE</v>
      </c>
      <c r="H339" s="5" t="str">
        <f>_xlfn.XLOOKUP($N339,'Base de Grupos'!$A:$A,'Base de Grupos'!$J:$J)</f>
        <v>1000105899</v>
      </c>
      <c r="I339" s="2" t="str">
        <f>_xlfn.XLOOKUP($N339,'Base de Grupos'!$A:$A,'Base de Grupos'!$K:$K)</f>
        <v>REGIONAL VENDA DIRETA SUDESTE</v>
      </c>
      <c r="J339" s="2" t="str">
        <f>_xlfn.XLOOKUP($N339,'Base de Grupos'!$A:$A,'Base de Grupos'!$L:$L)</f>
        <v>1000150135</v>
      </c>
      <c r="K339" s="5" t="str">
        <f>_xlfn.XLOOKUP($N339,'Base de Grupos'!$A:$A,'Base de Grupos'!$M:$M)</f>
        <v>HELDER DA SILVA BRUNKOW</v>
      </c>
      <c r="L339" s="5" t="str">
        <f t="shared" si="328"/>
        <v/>
      </c>
      <c r="M339" s="5" t="str">
        <f>_xlfn.XLOOKUP($N339,'Base de Grupos'!$A:$A,'Base de Grupos'!$C:$C)</f>
        <v>ES</v>
      </c>
      <c r="N339" s="3">
        <v>1357</v>
      </c>
      <c r="O339" s="4" t="s">
        <v>242</v>
      </c>
      <c r="P339" s="5" t="s">
        <v>90</v>
      </c>
      <c r="Q339" s="56">
        <v>0</v>
      </c>
      <c r="R339" s="56">
        <v>0</v>
      </c>
      <c r="S339" s="56">
        <v>0</v>
      </c>
      <c r="T339" s="56">
        <f>_xlfn.XLOOKUP($N339,'Calculo Leads'!$A$97:$A$134,'Calculo Leads'!G$97:G$134)*_xlfn.XLOOKUP($P339,'Base Grupo de Produtos'!$E$2:$E$18,'Base Grupo de Produtos'!$F$2:$F$18)</f>
        <v>150</v>
      </c>
      <c r="U339" s="56">
        <f>_xlfn.XLOOKUP($N339,'Calculo Leads'!$A$97:$A$134,'Calculo Leads'!H$97:H$134)*_xlfn.XLOOKUP($P339,'Base Grupo de Produtos'!$E$2:$E$18,'Base Grupo de Produtos'!$F$2:$F$18)</f>
        <v>150</v>
      </c>
      <c r="V339" s="56">
        <f>_xlfn.XLOOKUP($N339,'Calculo Leads'!$A$97:$A$134,'Calculo Leads'!I$97:I$134)*_xlfn.XLOOKUP($P339,'Base Grupo de Produtos'!$E$2:$E$18,'Base Grupo de Produtos'!$F$2:$F$18)</f>
        <v>200</v>
      </c>
      <c r="W339" s="56">
        <f>_xlfn.XLOOKUP($N339,'Calculo Leads'!$A$97:$A$134,'Calculo Leads'!J$97:J$134)*_xlfn.XLOOKUP($P339,'Base Grupo de Produtos'!$E$2:$E$18,'Base Grupo de Produtos'!$F$2:$F$18)</f>
        <v>200</v>
      </c>
      <c r="X339" s="56">
        <f>_xlfn.XLOOKUP($N339,'Calculo Leads'!$A$97:$A$134,'Calculo Leads'!K$97:K$134)*_xlfn.XLOOKUP($P339,'Base Grupo de Produtos'!$E$2:$E$18,'Base Grupo de Produtos'!$F$2:$F$18)</f>
        <v>275</v>
      </c>
      <c r="Y339" s="56">
        <f>_xlfn.XLOOKUP($N339,'Calculo Leads'!$A$97:$A$134,'Calculo Leads'!L$97:L$134)*_xlfn.XLOOKUP($P339,'Base Grupo de Produtos'!$E$2:$E$18,'Base Grupo de Produtos'!$F$2:$F$18)</f>
        <v>330</v>
      </c>
      <c r="Z339" s="56">
        <f>_xlfn.XLOOKUP($N339,'Calculo Leads'!$A$97:$A$134,'Calculo Leads'!M$97:M$134)*_xlfn.XLOOKUP($P339,'Base Grupo de Produtos'!$E$2:$E$18,'Base Grupo de Produtos'!$F$2:$F$18)</f>
        <v>330</v>
      </c>
      <c r="AA339" s="56">
        <f>_xlfn.XLOOKUP($N339,'Calculo Leads'!$A$97:$A$134,'Calculo Leads'!N$97:N$134)*_xlfn.XLOOKUP($P339,'Base Grupo de Produtos'!$E$2:$E$18,'Base Grupo de Produtos'!$F$2:$F$18)</f>
        <v>385</v>
      </c>
      <c r="AB339" s="56">
        <f>_xlfn.XLOOKUP($N339,'Calculo Leads'!$A$97:$A$134,'Calculo Leads'!O$97:O$134)*_xlfn.XLOOKUP($P339,'Base Grupo de Produtos'!$E$2:$E$18,'Base Grupo de Produtos'!$F$2:$F$18)</f>
        <v>275</v>
      </c>
      <c r="AC339" s="61">
        <f t="shared" si="348"/>
        <v>2295</v>
      </c>
      <c r="AD339" s="27">
        <f t="shared" si="364"/>
        <v>2295</v>
      </c>
      <c r="AE339" s="25">
        <f>IFERROR(_xlfn.XLOOKUP(N339&amp;P339,'Historico Vendas'!G:G,'Historico Vendas'!E:E),0)</f>
        <v>0</v>
      </c>
      <c r="AF339" s="29" t="str">
        <f t="shared" si="326"/>
        <v/>
      </c>
      <c r="AG339" s="24">
        <f>IFERROR(_xlfn.XLOOKUP(N339&amp;P339,'Historico Vendas'!G:G,'Historico Vendas'!F:F),0)</f>
        <v>0</v>
      </c>
      <c r="AH339" s="25">
        <f t="shared" si="365"/>
        <v>0</v>
      </c>
      <c r="AI339" s="24">
        <f t="shared" si="366"/>
        <v>0</v>
      </c>
      <c r="AJ339" s="11" t="str">
        <f t="shared" si="347"/>
        <v/>
      </c>
      <c r="AK339" s="9" t="s">
        <v>102</v>
      </c>
      <c r="AL339" s="13">
        <f>IFERROR(INDEX('Balizador da Meta'!$D$3:$F$23,MATCH(Faturamento!$P339,'Balizador da Meta'!$C$3:$C$23,0),MATCH(Faturamento!AK339,'Balizador da Meta'!$D$2:$F$2,0)),"")</f>
        <v>0</v>
      </c>
      <c r="AM339" s="9"/>
    </row>
    <row r="340" spans="1:39" x14ac:dyDescent="0.3">
      <c r="A340" s="2" t="str">
        <f t="shared" si="327"/>
        <v>NÃO</v>
      </c>
      <c r="B340" s="2" t="str">
        <f>_xlfn.XLOOKUP($N340,'Base de Grupos'!$A:$A,'Base de Grupos'!$D:$D)</f>
        <v>1000065763</v>
      </c>
      <c r="C340" s="5" t="str">
        <f>_xlfn.XLOOKUP($N340,'Base de Grupos'!$A:$A,'Base de Grupos'!$E:$E)</f>
        <v>CANAL VENDA INTERNA</v>
      </c>
      <c r="D340" s="5" t="str">
        <f>_xlfn.XLOOKUP($N340,'Base de Grupos'!$A:$A,'Base de Grupos'!$F:$F)</f>
        <v>1000065763</v>
      </c>
      <c r="E340" s="2" t="str">
        <f>_xlfn.XLOOKUP($N340,'Base de Grupos'!$A:$A,'Base de Grupos'!$G:$G)</f>
        <v>CANAL VENDA INTERNA</v>
      </c>
      <c r="F340" s="2" t="str">
        <f>_xlfn.XLOOKUP($N340,'Base de Grupos'!$A:$A,'Base de Grupos'!$H:$H)</f>
        <v>1000105899</v>
      </c>
      <c r="G340" s="5" t="str">
        <f>_xlfn.XLOOKUP($N340,'Base de Grupos'!$A:$A,'Base de Grupos'!$I:$I)</f>
        <v>REGIONAL VENDA DIRETA SUDESTE</v>
      </c>
      <c r="H340" s="5" t="str">
        <f>_xlfn.XLOOKUP($N340,'Base de Grupos'!$A:$A,'Base de Grupos'!$J:$J)</f>
        <v>1000105899</v>
      </c>
      <c r="I340" s="2" t="str">
        <f>_xlfn.XLOOKUP($N340,'Base de Grupos'!$A:$A,'Base de Grupos'!$K:$K)</f>
        <v>REGIONAL VENDA DIRETA SUDESTE</v>
      </c>
      <c r="J340" s="2" t="str">
        <f>_xlfn.XLOOKUP($N340,'Base de Grupos'!$A:$A,'Base de Grupos'!$L:$L)</f>
        <v>1000150135</v>
      </c>
      <c r="K340" s="5" t="str">
        <f>_xlfn.XLOOKUP($N340,'Base de Grupos'!$A:$A,'Base de Grupos'!$M:$M)</f>
        <v>HELDER DA SILVA BRUNKOW</v>
      </c>
      <c r="L340" s="5" t="str">
        <f t="shared" si="328"/>
        <v/>
      </c>
      <c r="M340" s="5" t="str">
        <f>_xlfn.XLOOKUP($N340,'Base de Grupos'!$A:$A,'Base de Grupos'!$C:$C)</f>
        <v>ES</v>
      </c>
      <c r="N340" s="3">
        <v>1357</v>
      </c>
      <c r="O340" s="4" t="s">
        <v>242</v>
      </c>
      <c r="P340" s="5" t="s">
        <v>91</v>
      </c>
      <c r="Q340" s="56">
        <v>0</v>
      </c>
      <c r="R340" s="56">
        <v>0</v>
      </c>
      <c r="S340" s="56">
        <v>0</v>
      </c>
      <c r="T340" s="56">
        <f>_xlfn.XLOOKUP($N340,'Calculo Leads'!$A$97:$A$134,'Calculo Leads'!G$97:G$134)*_xlfn.XLOOKUP($P340,'Base Grupo de Produtos'!$E$2:$E$18,'Base Grupo de Produtos'!$F$2:$F$18)</f>
        <v>0</v>
      </c>
      <c r="U340" s="56">
        <f>_xlfn.XLOOKUP($N340,'Calculo Leads'!$A$97:$A$134,'Calculo Leads'!H$97:H$134)*_xlfn.XLOOKUP($P340,'Base Grupo de Produtos'!$E$2:$E$18,'Base Grupo de Produtos'!$F$2:$F$18)</f>
        <v>0</v>
      </c>
      <c r="V340" s="56">
        <f>_xlfn.XLOOKUP($N340,'Calculo Leads'!$A$97:$A$134,'Calculo Leads'!I$97:I$134)*_xlfn.XLOOKUP($P340,'Base Grupo de Produtos'!$E$2:$E$18,'Base Grupo de Produtos'!$F$2:$F$18)</f>
        <v>0</v>
      </c>
      <c r="W340" s="56">
        <f>_xlfn.XLOOKUP($N340,'Calculo Leads'!$A$97:$A$134,'Calculo Leads'!J$97:J$134)*_xlfn.XLOOKUP($P340,'Base Grupo de Produtos'!$E$2:$E$18,'Base Grupo de Produtos'!$F$2:$F$18)</f>
        <v>0</v>
      </c>
      <c r="X340" s="56">
        <f>_xlfn.XLOOKUP($N340,'Calculo Leads'!$A$97:$A$134,'Calculo Leads'!K$97:K$134)*_xlfn.XLOOKUP($P340,'Base Grupo de Produtos'!$E$2:$E$18,'Base Grupo de Produtos'!$F$2:$F$18)</f>
        <v>0</v>
      </c>
      <c r="Y340" s="56">
        <f>_xlfn.XLOOKUP($N340,'Calculo Leads'!$A$97:$A$134,'Calculo Leads'!L$97:L$134)*_xlfn.XLOOKUP($P340,'Base Grupo de Produtos'!$E$2:$E$18,'Base Grupo de Produtos'!$F$2:$F$18)</f>
        <v>0</v>
      </c>
      <c r="Z340" s="56">
        <f>_xlfn.XLOOKUP($N340,'Calculo Leads'!$A$97:$A$134,'Calculo Leads'!M$97:M$134)*_xlfn.XLOOKUP($P340,'Base Grupo de Produtos'!$E$2:$E$18,'Base Grupo de Produtos'!$F$2:$F$18)</f>
        <v>0</v>
      </c>
      <c r="AA340" s="56">
        <f>_xlfn.XLOOKUP($N340,'Calculo Leads'!$A$97:$A$134,'Calculo Leads'!N$97:N$134)*_xlfn.XLOOKUP($P340,'Base Grupo de Produtos'!$E$2:$E$18,'Base Grupo de Produtos'!$F$2:$F$18)</f>
        <v>0</v>
      </c>
      <c r="AB340" s="56">
        <f>_xlfn.XLOOKUP($N340,'Calculo Leads'!$A$97:$A$134,'Calculo Leads'!O$97:O$134)*_xlfn.XLOOKUP($P340,'Base Grupo de Produtos'!$E$2:$E$18,'Base Grupo de Produtos'!$F$2:$F$18)</f>
        <v>0</v>
      </c>
      <c r="AC340" s="61">
        <f t="shared" si="348"/>
        <v>0</v>
      </c>
      <c r="AD340" s="27">
        <f t="shared" si="364"/>
        <v>0</v>
      </c>
      <c r="AE340" s="25">
        <f>IFERROR(_xlfn.XLOOKUP(N340&amp;P340,'Historico Vendas'!G:G,'Historico Vendas'!E:E),0)</f>
        <v>0</v>
      </c>
      <c r="AF340" s="29" t="str">
        <f t="shared" si="326"/>
        <v/>
      </c>
      <c r="AG340" s="24">
        <f>IFERROR(_xlfn.XLOOKUP(N340&amp;P340,'Historico Vendas'!G:G,'Historico Vendas'!F:F),0)</f>
        <v>0</v>
      </c>
      <c r="AH340" s="25">
        <f t="shared" si="365"/>
        <v>0</v>
      </c>
      <c r="AI340" s="24">
        <f t="shared" si="366"/>
        <v>0</v>
      </c>
      <c r="AJ340" s="11" t="str">
        <f t="shared" si="347"/>
        <v/>
      </c>
      <c r="AK340" s="9" t="s">
        <v>102</v>
      </c>
      <c r="AL340" s="13">
        <f>IFERROR(INDEX('Balizador da Meta'!$D$3:$F$23,MATCH(Faturamento!$P340,'Balizador da Meta'!$C$3:$C$23,0),MATCH(Faturamento!AK340,'Balizador da Meta'!$D$2:$F$2,0)),"")</f>
        <v>0</v>
      </c>
      <c r="AM340" s="9"/>
    </row>
    <row r="341" spans="1:39" x14ac:dyDescent="0.3">
      <c r="A341" s="2" t="str">
        <f t="shared" si="327"/>
        <v>NÃO</v>
      </c>
      <c r="B341" s="2" t="str">
        <f>_xlfn.XLOOKUP($N341,'Base de Grupos'!$A:$A,'Base de Grupos'!$D:$D)</f>
        <v>1000065763</v>
      </c>
      <c r="C341" s="5" t="str">
        <f>_xlfn.XLOOKUP($N341,'Base de Grupos'!$A:$A,'Base de Grupos'!$E:$E)</f>
        <v>CANAL VENDA INTERNA</v>
      </c>
      <c r="D341" s="5" t="str">
        <f>_xlfn.XLOOKUP($N341,'Base de Grupos'!$A:$A,'Base de Grupos'!$F:$F)</f>
        <v>1000065763</v>
      </c>
      <c r="E341" s="2" t="str">
        <f>_xlfn.XLOOKUP($N341,'Base de Grupos'!$A:$A,'Base de Grupos'!$G:$G)</f>
        <v>CANAL VENDA INTERNA</v>
      </c>
      <c r="F341" s="2" t="str">
        <f>_xlfn.XLOOKUP($N341,'Base de Grupos'!$A:$A,'Base de Grupos'!$H:$H)</f>
        <v>1000105899</v>
      </c>
      <c r="G341" s="5" t="str">
        <f>_xlfn.XLOOKUP($N341,'Base de Grupos'!$A:$A,'Base de Grupos'!$I:$I)</f>
        <v>REGIONAL VENDA DIRETA SUDESTE</v>
      </c>
      <c r="H341" s="5" t="str">
        <f>_xlfn.XLOOKUP($N341,'Base de Grupos'!$A:$A,'Base de Grupos'!$J:$J)</f>
        <v>1000105899</v>
      </c>
      <c r="I341" s="2" t="str">
        <f>_xlfn.XLOOKUP($N341,'Base de Grupos'!$A:$A,'Base de Grupos'!$K:$K)</f>
        <v>REGIONAL VENDA DIRETA SUDESTE</v>
      </c>
      <c r="J341" s="2" t="str">
        <f>_xlfn.XLOOKUP($N341,'Base de Grupos'!$A:$A,'Base de Grupos'!$L:$L)</f>
        <v>1000150135</v>
      </c>
      <c r="K341" s="5" t="str">
        <f>_xlfn.XLOOKUP($N341,'Base de Grupos'!$A:$A,'Base de Grupos'!$M:$M)</f>
        <v>HELDER DA SILVA BRUNKOW</v>
      </c>
      <c r="L341" s="5" t="str">
        <f t="shared" si="328"/>
        <v/>
      </c>
      <c r="M341" s="5" t="str">
        <f>_xlfn.XLOOKUP($N341,'Base de Grupos'!$A:$A,'Base de Grupos'!$C:$C)</f>
        <v>ES</v>
      </c>
      <c r="N341" s="3">
        <v>1357</v>
      </c>
      <c r="O341" s="4" t="s">
        <v>242</v>
      </c>
      <c r="P341" s="5" t="s">
        <v>96</v>
      </c>
      <c r="Q341" s="56">
        <v>0</v>
      </c>
      <c r="R341" s="56">
        <v>0</v>
      </c>
      <c r="S341" s="56">
        <v>0</v>
      </c>
      <c r="T341" s="56">
        <f>_xlfn.XLOOKUP($N341,'Calculo Leads'!$A$97:$A$134,'Calculo Leads'!G$97:G$134)*_xlfn.XLOOKUP($P341,'Base Grupo de Produtos'!$E$2:$E$18,'Base Grupo de Produtos'!$F$2:$F$18)</f>
        <v>210.00000000000003</v>
      </c>
      <c r="U341" s="56">
        <f>_xlfn.XLOOKUP($N341,'Calculo Leads'!$A$97:$A$134,'Calculo Leads'!H$97:H$134)*_xlfn.XLOOKUP($P341,'Base Grupo de Produtos'!$E$2:$E$18,'Base Grupo de Produtos'!$F$2:$F$18)</f>
        <v>210.00000000000003</v>
      </c>
      <c r="V341" s="56">
        <f>_xlfn.XLOOKUP($N341,'Calculo Leads'!$A$97:$A$134,'Calculo Leads'!I$97:I$134)*_xlfn.XLOOKUP($P341,'Base Grupo de Produtos'!$E$2:$E$18,'Base Grupo de Produtos'!$F$2:$F$18)</f>
        <v>280</v>
      </c>
      <c r="W341" s="56">
        <f>_xlfn.XLOOKUP($N341,'Calculo Leads'!$A$97:$A$134,'Calculo Leads'!J$97:J$134)*_xlfn.XLOOKUP($P341,'Base Grupo de Produtos'!$E$2:$E$18,'Base Grupo de Produtos'!$F$2:$F$18)</f>
        <v>280</v>
      </c>
      <c r="X341" s="56">
        <f>_xlfn.XLOOKUP($N341,'Calculo Leads'!$A$97:$A$134,'Calculo Leads'!K$97:K$134)*_xlfn.XLOOKUP($P341,'Base Grupo de Produtos'!$E$2:$E$18,'Base Grupo de Produtos'!$F$2:$F$18)</f>
        <v>385.00000000000006</v>
      </c>
      <c r="Y341" s="56">
        <f>_xlfn.XLOOKUP($N341,'Calculo Leads'!$A$97:$A$134,'Calculo Leads'!L$97:L$134)*_xlfn.XLOOKUP($P341,'Base Grupo de Produtos'!$E$2:$E$18,'Base Grupo de Produtos'!$F$2:$F$18)</f>
        <v>462.00000000000006</v>
      </c>
      <c r="Z341" s="56">
        <f>_xlfn.XLOOKUP($N341,'Calculo Leads'!$A$97:$A$134,'Calculo Leads'!M$97:M$134)*_xlfn.XLOOKUP($P341,'Base Grupo de Produtos'!$E$2:$E$18,'Base Grupo de Produtos'!$F$2:$F$18)</f>
        <v>462.00000000000006</v>
      </c>
      <c r="AA341" s="56">
        <f>_xlfn.XLOOKUP($N341,'Calculo Leads'!$A$97:$A$134,'Calculo Leads'!N$97:N$134)*_xlfn.XLOOKUP($P341,'Base Grupo de Produtos'!$E$2:$E$18,'Base Grupo de Produtos'!$F$2:$F$18)</f>
        <v>539</v>
      </c>
      <c r="AB341" s="56">
        <f>_xlfn.XLOOKUP($N341,'Calculo Leads'!$A$97:$A$134,'Calculo Leads'!O$97:O$134)*_xlfn.XLOOKUP($P341,'Base Grupo de Produtos'!$E$2:$E$18,'Base Grupo de Produtos'!$F$2:$F$18)</f>
        <v>385.00000000000006</v>
      </c>
      <c r="AC341" s="61">
        <f t="shared" si="348"/>
        <v>3213</v>
      </c>
      <c r="AD341" s="27">
        <f t="shared" si="364"/>
        <v>3213</v>
      </c>
      <c r="AE341" s="25">
        <f>IFERROR(_xlfn.XLOOKUP(N341&amp;P341,'Historico Vendas'!G:G,'Historico Vendas'!E:E),0)</f>
        <v>0</v>
      </c>
      <c r="AF341" s="29" t="str">
        <f t="shared" si="326"/>
        <v/>
      </c>
      <c r="AG341" s="24">
        <f>IFERROR(_xlfn.XLOOKUP(N341&amp;P341,'Historico Vendas'!G:G,'Historico Vendas'!F:F),0)</f>
        <v>0</v>
      </c>
      <c r="AH341" s="25">
        <f t="shared" si="365"/>
        <v>0</v>
      </c>
      <c r="AI341" s="24">
        <f t="shared" si="366"/>
        <v>0</v>
      </c>
      <c r="AJ341" s="11" t="str">
        <f t="shared" si="347"/>
        <v/>
      </c>
      <c r="AK341" s="9" t="s">
        <v>102</v>
      </c>
      <c r="AL341" s="13">
        <f>IFERROR(INDEX('Balizador da Meta'!$D$3:$F$23,MATCH(Faturamento!$P341,'Balizador da Meta'!$C$3:$C$23,0),MATCH(Faturamento!AK341,'Balizador da Meta'!$D$2:$F$2,0)),"")</f>
        <v>0</v>
      </c>
      <c r="AM341" s="9"/>
    </row>
    <row r="342" spans="1:39" x14ac:dyDescent="0.3">
      <c r="A342" s="2" t="str">
        <f t="shared" si="327"/>
        <v>NÃO</v>
      </c>
      <c r="B342" s="2" t="str">
        <f>_xlfn.XLOOKUP($N342,'Base de Grupos'!$A:$A,'Base de Grupos'!$D:$D)</f>
        <v>1000065763</v>
      </c>
      <c r="C342" s="5" t="str">
        <f>_xlfn.XLOOKUP($N342,'Base de Grupos'!$A:$A,'Base de Grupos'!$E:$E)</f>
        <v>CANAL VENDA INTERNA</v>
      </c>
      <c r="D342" s="5" t="str">
        <f>_xlfn.XLOOKUP($N342,'Base de Grupos'!$A:$A,'Base de Grupos'!$F:$F)</f>
        <v>1000065763</v>
      </c>
      <c r="E342" s="2" t="str">
        <f>_xlfn.XLOOKUP($N342,'Base de Grupos'!$A:$A,'Base de Grupos'!$G:$G)</f>
        <v>CANAL VENDA INTERNA</v>
      </c>
      <c r="F342" s="2" t="str">
        <f>_xlfn.XLOOKUP($N342,'Base de Grupos'!$A:$A,'Base de Grupos'!$H:$H)</f>
        <v>1000105899</v>
      </c>
      <c r="G342" s="5" t="str">
        <f>_xlfn.XLOOKUP($N342,'Base de Grupos'!$A:$A,'Base de Grupos'!$I:$I)</f>
        <v>REGIONAL VENDA DIRETA SUDESTE</v>
      </c>
      <c r="H342" s="5" t="str">
        <f>_xlfn.XLOOKUP($N342,'Base de Grupos'!$A:$A,'Base de Grupos'!$J:$J)</f>
        <v>1000105899</v>
      </c>
      <c r="I342" s="2" t="str">
        <f>_xlfn.XLOOKUP($N342,'Base de Grupos'!$A:$A,'Base de Grupos'!$K:$K)</f>
        <v>REGIONAL VENDA DIRETA SUDESTE</v>
      </c>
      <c r="J342" s="2" t="str">
        <f>_xlfn.XLOOKUP($N342,'Base de Grupos'!$A:$A,'Base de Grupos'!$L:$L)</f>
        <v>1000150135</v>
      </c>
      <c r="K342" s="5" t="str">
        <f>_xlfn.XLOOKUP($N342,'Base de Grupos'!$A:$A,'Base de Grupos'!$M:$M)</f>
        <v>HELDER DA SILVA BRUNKOW</v>
      </c>
      <c r="L342" s="5" t="str">
        <f t="shared" si="328"/>
        <v/>
      </c>
      <c r="M342" s="5" t="str">
        <f>_xlfn.XLOOKUP($N342,'Base de Grupos'!$A:$A,'Base de Grupos'!$C:$C)</f>
        <v>ES</v>
      </c>
      <c r="N342" s="3">
        <v>1357</v>
      </c>
      <c r="O342" s="4" t="s">
        <v>242</v>
      </c>
      <c r="P342" s="5" t="s">
        <v>94</v>
      </c>
      <c r="Q342" s="56">
        <v>0</v>
      </c>
      <c r="R342" s="56">
        <v>0</v>
      </c>
      <c r="S342" s="56">
        <v>0</v>
      </c>
      <c r="T342" s="56">
        <f>_xlfn.XLOOKUP($N342,'Calculo Leads'!$A$97:$A$134,'Calculo Leads'!G$97:G$134)*_xlfn.XLOOKUP($P342,'Base Grupo de Produtos'!$E$2:$E$18,'Base Grupo de Produtos'!$F$2:$F$18)</f>
        <v>150</v>
      </c>
      <c r="U342" s="56">
        <f>_xlfn.XLOOKUP($N342,'Calculo Leads'!$A$97:$A$134,'Calculo Leads'!H$97:H$134)*_xlfn.XLOOKUP($P342,'Base Grupo de Produtos'!$E$2:$E$18,'Base Grupo de Produtos'!$F$2:$F$18)</f>
        <v>150</v>
      </c>
      <c r="V342" s="56">
        <f>_xlfn.XLOOKUP($N342,'Calculo Leads'!$A$97:$A$134,'Calculo Leads'!I$97:I$134)*_xlfn.XLOOKUP($P342,'Base Grupo de Produtos'!$E$2:$E$18,'Base Grupo de Produtos'!$F$2:$F$18)</f>
        <v>199.99999999999997</v>
      </c>
      <c r="W342" s="56">
        <f>_xlfn.XLOOKUP($N342,'Calculo Leads'!$A$97:$A$134,'Calculo Leads'!J$97:J$134)*_xlfn.XLOOKUP($P342,'Base Grupo de Produtos'!$E$2:$E$18,'Base Grupo de Produtos'!$F$2:$F$18)</f>
        <v>199.99999999999997</v>
      </c>
      <c r="X342" s="56">
        <f>_xlfn.XLOOKUP($N342,'Calculo Leads'!$A$97:$A$134,'Calculo Leads'!K$97:K$134)*_xlfn.XLOOKUP($P342,'Base Grupo de Produtos'!$E$2:$E$18,'Base Grupo de Produtos'!$F$2:$F$18)</f>
        <v>275</v>
      </c>
      <c r="Y342" s="56">
        <f>_xlfn.XLOOKUP($N342,'Calculo Leads'!$A$97:$A$134,'Calculo Leads'!L$97:L$134)*_xlfn.XLOOKUP($P342,'Base Grupo de Produtos'!$E$2:$E$18,'Base Grupo de Produtos'!$F$2:$F$18)</f>
        <v>330</v>
      </c>
      <c r="Z342" s="56">
        <f>_xlfn.XLOOKUP($N342,'Calculo Leads'!$A$97:$A$134,'Calculo Leads'!M$97:M$134)*_xlfn.XLOOKUP($P342,'Base Grupo de Produtos'!$E$2:$E$18,'Base Grupo de Produtos'!$F$2:$F$18)</f>
        <v>330</v>
      </c>
      <c r="AA342" s="56">
        <f>_xlfn.XLOOKUP($N342,'Calculo Leads'!$A$97:$A$134,'Calculo Leads'!N$97:N$134)*_xlfn.XLOOKUP($P342,'Base Grupo de Produtos'!$E$2:$E$18,'Base Grupo de Produtos'!$F$2:$F$18)</f>
        <v>384.99999999999994</v>
      </c>
      <c r="AB342" s="56">
        <f>_xlfn.XLOOKUP($N342,'Calculo Leads'!$A$97:$A$134,'Calculo Leads'!O$97:O$134)*_xlfn.XLOOKUP($P342,'Base Grupo de Produtos'!$E$2:$E$18,'Base Grupo de Produtos'!$F$2:$F$18)</f>
        <v>275</v>
      </c>
      <c r="AC342" s="61">
        <f t="shared" si="348"/>
        <v>2295</v>
      </c>
      <c r="AD342" s="27">
        <f t="shared" si="364"/>
        <v>2295</v>
      </c>
      <c r="AE342" s="25">
        <f>IFERROR(_xlfn.XLOOKUP(N342&amp;P342,'Historico Vendas'!G:G,'Historico Vendas'!E:E),0)</f>
        <v>0</v>
      </c>
      <c r="AF342" s="29" t="str">
        <f t="shared" si="326"/>
        <v/>
      </c>
      <c r="AG342" s="24">
        <f>IFERROR(_xlfn.XLOOKUP(N342&amp;P342,'Historico Vendas'!G:G,'Historico Vendas'!F:F),0)</f>
        <v>0</v>
      </c>
      <c r="AH342" s="25">
        <f t="shared" si="365"/>
        <v>0</v>
      </c>
      <c r="AI342" s="24">
        <f t="shared" si="366"/>
        <v>0</v>
      </c>
      <c r="AJ342" s="11" t="str">
        <f t="shared" si="347"/>
        <v/>
      </c>
      <c r="AK342" s="9" t="s">
        <v>102</v>
      </c>
      <c r="AL342" s="13">
        <f>IFERROR(INDEX('Balizador da Meta'!$D$3:$F$23,MATCH(Faturamento!$P342,'Balizador da Meta'!$C$3:$C$23,0),MATCH(Faturamento!AK342,'Balizador da Meta'!$D$2:$F$2,0)),"")</f>
        <v>0.25</v>
      </c>
      <c r="AM342" s="9"/>
    </row>
    <row r="343" spans="1:39" x14ac:dyDescent="0.3">
      <c r="A343" s="2" t="str">
        <f t="shared" si="327"/>
        <v>NÃO</v>
      </c>
      <c r="B343" s="2" t="str">
        <f>_xlfn.XLOOKUP($N343,'Base de Grupos'!$A:$A,'Base de Grupos'!$D:$D)</f>
        <v>1000065763</v>
      </c>
      <c r="C343" s="5" t="str">
        <f>_xlfn.XLOOKUP($N343,'Base de Grupos'!$A:$A,'Base de Grupos'!$E:$E)</f>
        <v>CANAL VENDA INTERNA</v>
      </c>
      <c r="D343" s="5" t="str">
        <f>_xlfn.XLOOKUP($N343,'Base de Grupos'!$A:$A,'Base de Grupos'!$F:$F)</f>
        <v>1000065763</v>
      </c>
      <c r="E343" s="2" t="str">
        <f>_xlfn.XLOOKUP($N343,'Base de Grupos'!$A:$A,'Base de Grupos'!$G:$G)</f>
        <v>CANAL VENDA INTERNA</v>
      </c>
      <c r="F343" s="2" t="str">
        <f>_xlfn.XLOOKUP($N343,'Base de Grupos'!$A:$A,'Base de Grupos'!$H:$H)</f>
        <v>1000105899</v>
      </c>
      <c r="G343" s="5" t="str">
        <f>_xlfn.XLOOKUP($N343,'Base de Grupos'!$A:$A,'Base de Grupos'!$I:$I)</f>
        <v>REGIONAL VENDA DIRETA SUDESTE</v>
      </c>
      <c r="H343" s="5" t="str">
        <f>_xlfn.XLOOKUP($N343,'Base de Grupos'!$A:$A,'Base de Grupos'!$J:$J)</f>
        <v>1000105899</v>
      </c>
      <c r="I343" s="2" t="str">
        <f>_xlfn.XLOOKUP($N343,'Base de Grupos'!$A:$A,'Base de Grupos'!$K:$K)</f>
        <v>REGIONAL VENDA DIRETA SUDESTE</v>
      </c>
      <c r="J343" s="2" t="str">
        <f>_xlfn.XLOOKUP($N343,'Base de Grupos'!$A:$A,'Base de Grupos'!$L:$L)</f>
        <v>1000150135</v>
      </c>
      <c r="K343" s="5" t="str">
        <f>_xlfn.XLOOKUP($N343,'Base de Grupos'!$A:$A,'Base de Grupos'!$M:$M)</f>
        <v>HELDER DA SILVA BRUNKOW</v>
      </c>
      <c r="L343" s="5" t="str">
        <f t="shared" si="328"/>
        <v/>
      </c>
      <c r="M343" s="5" t="str">
        <f>_xlfn.XLOOKUP($N343,'Base de Grupos'!$A:$A,'Base de Grupos'!$C:$C)</f>
        <v>ES</v>
      </c>
      <c r="N343" s="3">
        <v>1357</v>
      </c>
      <c r="O343" s="4" t="s">
        <v>242</v>
      </c>
      <c r="P343" s="5" t="s">
        <v>95</v>
      </c>
      <c r="Q343" s="56">
        <v>0</v>
      </c>
      <c r="R343" s="56">
        <v>0</v>
      </c>
      <c r="S343" s="56">
        <v>0</v>
      </c>
      <c r="T343" s="56">
        <f>_xlfn.XLOOKUP($N343,'Calculo Leads'!$A$97:$A$134,'Calculo Leads'!G$97:G$134)*_xlfn.XLOOKUP($P343,'Base Grupo de Produtos'!$E$2:$E$18,'Base Grupo de Produtos'!$F$2:$F$18)</f>
        <v>240</v>
      </c>
      <c r="U343" s="56">
        <f>_xlfn.XLOOKUP($N343,'Calculo Leads'!$A$97:$A$134,'Calculo Leads'!H$97:H$134)*_xlfn.XLOOKUP($P343,'Base Grupo de Produtos'!$E$2:$E$18,'Base Grupo de Produtos'!$F$2:$F$18)</f>
        <v>240</v>
      </c>
      <c r="V343" s="56">
        <f>_xlfn.XLOOKUP($N343,'Calculo Leads'!$A$97:$A$134,'Calculo Leads'!I$97:I$134)*_xlfn.XLOOKUP($P343,'Base Grupo de Produtos'!$E$2:$E$18,'Base Grupo de Produtos'!$F$2:$F$18)</f>
        <v>320</v>
      </c>
      <c r="W343" s="56">
        <f>_xlfn.XLOOKUP($N343,'Calculo Leads'!$A$97:$A$134,'Calculo Leads'!J$97:J$134)*_xlfn.XLOOKUP($P343,'Base Grupo de Produtos'!$E$2:$E$18,'Base Grupo de Produtos'!$F$2:$F$18)</f>
        <v>320</v>
      </c>
      <c r="X343" s="56">
        <f>_xlfn.XLOOKUP($N343,'Calculo Leads'!$A$97:$A$134,'Calculo Leads'!K$97:K$134)*_xlfn.XLOOKUP($P343,'Base Grupo de Produtos'!$E$2:$E$18,'Base Grupo de Produtos'!$F$2:$F$18)</f>
        <v>440</v>
      </c>
      <c r="Y343" s="56">
        <f>_xlfn.XLOOKUP($N343,'Calculo Leads'!$A$97:$A$134,'Calculo Leads'!L$97:L$134)*_xlfn.XLOOKUP($P343,'Base Grupo de Produtos'!$E$2:$E$18,'Base Grupo de Produtos'!$F$2:$F$18)</f>
        <v>528</v>
      </c>
      <c r="Z343" s="56">
        <f>_xlfn.XLOOKUP($N343,'Calculo Leads'!$A$97:$A$134,'Calculo Leads'!M$97:M$134)*_xlfn.XLOOKUP($P343,'Base Grupo de Produtos'!$E$2:$E$18,'Base Grupo de Produtos'!$F$2:$F$18)</f>
        <v>528</v>
      </c>
      <c r="AA343" s="56">
        <f>_xlfn.XLOOKUP($N343,'Calculo Leads'!$A$97:$A$134,'Calculo Leads'!N$97:N$134)*_xlfn.XLOOKUP($P343,'Base Grupo de Produtos'!$E$2:$E$18,'Base Grupo de Produtos'!$F$2:$F$18)</f>
        <v>616</v>
      </c>
      <c r="AB343" s="56">
        <f>_xlfn.XLOOKUP($N343,'Calculo Leads'!$A$97:$A$134,'Calculo Leads'!O$97:O$134)*_xlfn.XLOOKUP($P343,'Base Grupo de Produtos'!$E$2:$E$18,'Base Grupo de Produtos'!$F$2:$F$18)</f>
        <v>440</v>
      </c>
      <c r="AC343" s="61">
        <f t="shared" si="348"/>
        <v>3672</v>
      </c>
      <c r="AD343" s="27">
        <f t="shared" si="364"/>
        <v>3672</v>
      </c>
      <c r="AE343" s="25">
        <f>IFERROR(_xlfn.XLOOKUP(N343&amp;P343,'Historico Vendas'!G:G,'Historico Vendas'!E:E),0)</f>
        <v>0</v>
      </c>
      <c r="AF343" s="29" t="str">
        <f t="shared" si="326"/>
        <v/>
      </c>
      <c r="AG343" s="24">
        <f>IFERROR(_xlfn.XLOOKUP(N343&amp;P343,'Historico Vendas'!G:G,'Historico Vendas'!F:F),0)</f>
        <v>0</v>
      </c>
      <c r="AH343" s="25">
        <f t="shared" si="365"/>
        <v>0</v>
      </c>
      <c r="AI343" s="24">
        <f t="shared" si="366"/>
        <v>0</v>
      </c>
      <c r="AJ343" s="11" t="str">
        <f t="shared" si="347"/>
        <v/>
      </c>
      <c r="AK343" s="9" t="s">
        <v>102</v>
      </c>
      <c r="AL343" s="13">
        <f>IFERROR(INDEX('Balizador da Meta'!$D$3:$F$23,MATCH(Faturamento!$P343,'Balizador da Meta'!$C$3:$C$23,0),MATCH(Faturamento!AK343,'Balizador da Meta'!$D$2:$F$2,0)),"")</f>
        <v>0.25</v>
      </c>
      <c r="AM343" s="9"/>
    </row>
    <row r="344" spans="1:39" x14ac:dyDescent="0.3">
      <c r="A344" s="2" t="str">
        <f t="shared" si="327"/>
        <v>NÃO</v>
      </c>
      <c r="B344" s="2" t="str">
        <f>_xlfn.XLOOKUP($N344,'Base de Grupos'!$A:$A,'Base de Grupos'!$D:$D)</f>
        <v>1000065763</v>
      </c>
      <c r="C344" s="5" t="str">
        <f>_xlfn.XLOOKUP($N344,'Base de Grupos'!$A:$A,'Base de Grupos'!$E:$E)</f>
        <v>CANAL VENDA INTERNA</v>
      </c>
      <c r="D344" s="5" t="str">
        <f>_xlfn.XLOOKUP($N344,'Base de Grupos'!$A:$A,'Base de Grupos'!$F:$F)</f>
        <v>1000065763</v>
      </c>
      <c r="E344" s="2" t="str">
        <f>_xlfn.XLOOKUP($N344,'Base de Grupos'!$A:$A,'Base de Grupos'!$G:$G)</f>
        <v>CANAL VENDA INTERNA</v>
      </c>
      <c r="F344" s="2" t="str">
        <f>_xlfn.XLOOKUP($N344,'Base de Grupos'!$A:$A,'Base de Grupos'!$H:$H)</f>
        <v>1000105899</v>
      </c>
      <c r="G344" s="5" t="str">
        <f>_xlfn.XLOOKUP($N344,'Base de Grupos'!$A:$A,'Base de Grupos'!$I:$I)</f>
        <v>REGIONAL VENDA DIRETA SUDESTE</v>
      </c>
      <c r="H344" s="5" t="str">
        <f>_xlfn.XLOOKUP($N344,'Base de Grupos'!$A:$A,'Base de Grupos'!$J:$J)</f>
        <v>1000105899</v>
      </c>
      <c r="I344" s="2" t="str">
        <f>_xlfn.XLOOKUP($N344,'Base de Grupos'!$A:$A,'Base de Grupos'!$K:$K)</f>
        <v>REGIONAL VENDA DIRETA SUDESTE</v>
      </c>
      <c r="J344" s="2" t="str">
        <f>_xlfn.XLOOKUP($N344,'Base de Grupos'!$A:$A,'Base de Grupos'!$L:$L)</f>
        <v>1000150135</v>
      </c>
      <c r="K344" s="5" t="str">
        <f>_xlfn.XLOOKUP($N344,'Base de Grupos'!$A:$A,'Base de Grupos'!$M:$M)</f>
        <v>HELDER DA SILVA BRUNKOW</v>
      </c>
      <c r="L344" s="5" t="str">
        <f t="shared" si="328"/>
        <v/>
      </c>
      <c r="M344" s="5" t="str">
        <f>_xlfn.XLOOKUP($N344,'Base de Grupos'!$A:$A,'Base de Grupos'!$C:$C)</f>
        <v>ES</v>
      </c>
      <c r="N344" s="3">
        <v>1357</v>
      </c>
      <c r="O344" s="4" t="s">
        <v>242</v>
      </c>
      <c r="P344" s="5" t="s">
        <v>93</v>
      </c>
      <c r="Q344" s="56">
        <v>0</v>
      </c>
      <c r="R344" s="56">
        <v>0</v>
      </c>
      <c r="S344" s="56">
        <v>0</v>
      </c>
      <c r="T344" s="56">
        <f>_xlfn.XLOOKUP($N344,'Calculo Leads'!$A$97:$A$134,'Calculo Leads'!G$97:G$134)*_xlfn.XLOOKUP($P344,'Base Grupo de Produtos'!$E$2:$E$18,'Base Grupo de Produtos'!$F$2:$F$18)</f>
        <v>90</v>
      </c>
      <c r="U344" s="56">
        <f>_xlfn.XLOOKUP($N344,'Calculo Leads'!$A$97:$A$134,'Calculo Leads'!H$97:H$134)*_xlfn.XLOOKUP($P344,'Base Grupo de Produtos'!$E$2:$E$18,'Base Grupo de Produtos'!$F$2:$F$18)</f>
        <v>90</v>
      </c>
      <c r="V344" s="56">
        <f>_xlfn.XLOOKUP($N344,'Calculo Leads'!$A$97:$A$134,'Calculo Leads'!I$97:I$134)*_xlfn.XLOOKUP($P344,'Base Grupo de Produtos'!$E$2:$E$18,'Base Grupo de Produtos'!$F$2:$F$18)</f>
        <v>120</v>
      </c>
      <c r="W344" s="56">
        <f>_xlfn.XLOOKUP($N344,'Calculo Leads'!$A$97:$A$134,'Calculo Leads'!J$97:J$134)*_xlfn.XLOOKUP($P344,'Base Grupo de Produtos'!$E$2:$E$18,'Base Grupo de Produtos'!$F$2:$F$18)</f>
        <v>120</v>
      </c>
      <c r="X344" s="56">
        <f>_xlfn.XLOOKUP($N344,'Calculo Leads'!$A$97:$A$134,'Calculo Leads'!K$97:K$134)*_xlfn.XLOOKUP($P344,'Base Grupo de Produtos'!$E$2:$E$18,'Base Grupo de Produtos'!$F$2:$F$18)</f>
        <v>165</v>
      </c>
      <c r="Y344" s="56">
        <f>_xlfn.XLOOKUP($N344,'Calculo Leads'!$A$97:$A$134,'Calculo Leads'!L$97:L$134)*_xlfn.XLOOKUP($P344,'Base Grupo de Produtos'!$E$2:$E$18,'Base Grupo de Produtos'!$F$2:$F$18)</f>
        <v>198</v>
      </c>
      <c r="Z344" s="56">
        <f>_xlfn.XLOOKUP($N344,'Calculo Leads'!$A$97:$A$134,'Calculo Leads'!M$97:M$134)*_xlfn.XLOOKUP($P344,'Base Grupo de Produtos'!$E$2:$E$18,'Base Grupo de Produtos'!$F$2:$F$18)</f>
        <v>198</v>
      </c>
      <c r="AA344" s="56">
        <f>_xlfn.XLOOKUP($N344,'Calculo Leads'!$A$97:$A$134,'Calculo Leads'!N$97:N$134)*_xlfn.XLOOKUP($P344,'Base Grupo de Produtos'!$E$2:$E$18,'Base Grupo de Produtos'!$F$2:$F$18)</f>
        <v>231</v>
      </c>
      <c r="AB344" s="56">
        <f>_xlfn.XLOOKUP($N344,'Calculo Leads'!$A$97:$A$134,'Calculo Leads'!O$97:O$134)*_xlfn.XLOOKUP($P344,'Base Grupo de Produtos'!$E$2:$E$18,'Base Grupo de Produtos'!$F$2:$F$18)</f>
        <v>165</v>
      </c>
      <c r="AC344" s="61">
        <f t="shared" si="348"/>
        <v>1377</v>
      </c>
      <c r="AD344" s="27">
        <f t="shared" si="364"/>
        <v>1377</v>
      </c>
      <c r="AE344" s="25">
        <f>IFERROR(_xlfn.XLOOKUP(N344&amp;P344,'Historico Vendas'!G:G,'Historico Vendas'!E:E),0)</f>
        <v>0</v>
      </c>
      <c r="AF344" s="29" t="str">
        <f t="shared" si="326"/>
        <v/>
      </c>
      <c r="AG344" s="24">
        <f>IFERROR(_xlfn.XLOOKUP(N344&amp;P344,'Historico Vendas'!G:G,'Historico Vendas'!F:F),0)</f>
        <v>0</v>
      </c>
      <c r="AH344" s="25">
        <f t="shared" si="365"/>
        <v>0</v>
      </c>
      <c r="AI344" s="24">
        <f t="shared" si="366"/>
        <v>0</v>
      </c>
      <c r="AJ344" s="11" t="str">
        <f t="shared" si="347"/>
        <v/>
      </c>
      <c r="AK344" s="9" t="s">
        <v>102</v>
      </c>
      <c r="AL344" s="13">
        <f>IFERROR(INDEX('Balizador da Meta'!$D$3:$F$23,MATCH(Faturamento!$P344,'Balizador da Meta'!$C$3:$C$23,0),MATCH(Faturamento!AK344,'Balizador da Meta'!$D$2:$F$2,0)),"")</f>
        <v>0.2</v>
      </c>
      <c r="AM344" s="9"/>
    </row>
    <row r="345" spans="1:39" x14ac:dyDescent="0.3">
      <c r="A345" s="2" t="str">
        <f t="shared" si="327"/>
        <v>SIM</v>
      </c>
      <c r="B345" s="2" t="str">
        <f>_xlfn.XLOOKUP($N345,'Base de Grupos'!$A:$A,'Base de Grupos'!$D:$D)</f>
        <v>1000065763</v>
      </c>
      <c r="C345" s="5" t="str">
        <f>_xlfn.XLOOKUP($N345,'Base de Grupos'!$A:$A,'Base de Grupos'!$E:$E)</f>
        <v>CANAL VENDA INTERNA</v>
      </c>
      <c r="D345" s="5" t="str">
        <f>_xlfn.XLOOKUP($N345,'Base de Grupos'!$A:$A,'Base de Grupos'!$F:$F)</f>
        <v>1000065763</v>
      </c>
      <c r="E345" s="2" t="str">
        <f>_xlfn.XLOOKUP($N345,'Base de Grupos'!$A:$A,'Base de Grupos'!$G:$G)</f>
        <v>CANAL VENDA INTERNA</v>
      </c>
      <c r="F345" s="2" t="str">
        <f>_xlfn.XLOOKUP($N345,'Base de Grupos'!$A:$A,'Base de Grupos'!$H:$H)</f>
        <v>1000105899</v>
      </c>
      <c r="G345" s="5" t="str">
        <f>_xlfn.XLOOKUP($N345,'Base de Grupos'!$A:$A,'Base de Grupos'!$I:$I)</f>
        <v>REGIONAL VENDA DIRETA SUDESTE</v>
      </c>
      <c r="H345" s="5" t="str">
        <f>_xlfn.XLOOKUP($N345,'Base de Grupos'!$A:$A,'Base de Grupos'!$J:$J)</f>
        <v>1000105899</v>
      </c>
      <c r="I345" s="2" t="str">
        <f>_xlfn.XLOOKUP($N345,'Base de Grupos'!$A:$A,'Base de Grupos'!$K:$K)</f>
        <v>REGIONAL VENDA DIRETA SUDESTE</v>
      </c>
      <c r="J345" s="2" t="str">
        <f>_xlfn.XLOOKUP($N345,'Base de Grupos'!$A:$A,'Base de Grupos'!$L:$L)</f>
        <v>1000150135</v>
      </c>
      <c r="K345" s="5" t="str">
        <f>_xlfn.XLOOKUP($N345,'Base de Grupos'!$A:$A,'Base de Grupos'!$M:$M)</f>
        <v>HELDER DA SILVA BRUNKOW</v>
      </c>
      <c r="L345" s="5">
        <f t="shared" si="328"/>
        <v>1</v>
      </c>
      <c r="M345" s="5" t="str">
        <f>_xlfn.XLOOKUP($N345,'Base de Grupos'!$A:$A,'Base de Grupos'!$C:$C)</f>
        <v>RJ</v>
      </c>
      <c r="N345" s="3">
        <v>1358</v>
      </c>
      <c r="O345" s="4" t="s">
        <v>243</v>
      </c>
      <c r="P345" s="5" t="s">
        <v>313</v>
      </c>
      <c r="Q345" s="56">
        <f t="shared" ref="Q345" si="367">SUM(Q346:Q362)</f>
        <v>0</v>
      </c>
      <c r="R345" s="56">
        <f t="shared" ref="R345" si="368">SUM(R346:R362)</f>
        <v>0</v>
      </c>
      <c r="S345" s="56">
        <f t="shared" ref="S345" si="369">SUM(S346:S362)</f>
        <v>0</v>
      </c>
      <c r="T345" s="56">
        <f t="shared" ref="T345" si="370">SUM(T346:T362)</f>
        <v>6000</v>
      </c>
      <c r="U345" s="56">
        <f t="shared" ref="U345" si="371">SUM(U346:U362)</f>
        <v>7000</v>
      </c>
      <c r="V345" s="56">
        <f t="shared" ref="V345" si="372">SUM(V346:V362)</f>
        <v>9000</v>
      </c>
      <c r="W345" s="56">
        <f t="shared" ref="W345" si="373">SUM(W346:W362)</f>
        <v>11000</v>
      </c>
      <c r="X345" s="56">
        <f t="shared" ref="X345" si="374">SUM(X346:X362)</f>
        <v>13200</v>
      </c>
      <c r="Y345" s="56">
        <f t="shared" ref="Y345" si="375">SUM(Y346:Y362)</f>
        <v>16500</v>
      </c>
      <c r="Z345" s="56">
        <f t="shared" ref="Z345" si="376">SUM(Z346:Z362)</f>
        <v>17600</v>
      </c>
      <c r="AA345" s="56">
        <f t="shared" ref="AA345" si="377">SUM(AA346:AA362)</f>
        <v>19800</v>
      </c>
      <c r="AB345" s="56">
        <f t="shared" ref="AB345" si="378">SUM(AB346:AB362)</f>
        <v>14300</v>
      </c>
      <c r="AC345" s="56">
        <f t="shared" ref="AC345" si="379">SUM(AC346:AC362)</f>
        <v>114400</v>
      </c>
      <c r="AD345" s="25">
        <f t="shared" ref="AD345" si="380">SUM(AD346:AD362)</f>
        <v>114400</v>
      </c>
      <c r="AE345" s="25">
        <f t="shared" ref="AE345:AI345" si="381">SUM(AE346:AE362)</f>
        <v>0</v>
      </c>
      <c r="AF345" s="11" t="str">
        <f t="shared" si="326"/>
        <v/>
      </c>
      <c r="AG345" s="24">
        <f t="shared" si="381"/>
        <v>0</v>
      </c>
      <c r="AH345" s="25">
        <f t="shared" si="381"/>
        <v>0</v>
      </c>
      <c r="AI345" s="24">
        <f t="shared" si="381"/>
        <v>0</v>
      </c>
      <c r="AJ345" s="11" t="str">
        <f t="shared" si="347"/>
        <v/>
      </c>
      <c r="AK345" s="9"/>
      <c r="AL345" s="13"/>
      <c r="AM345" s="9"/>
    </row>
    <row r="346" spans="1:39" x14ac:dyDescent="0.3">
      <c r="A346" s="2" t="str">
        <f t="shared" si="327"/>
        <v>NÃO</v>
      </c>
      <c r="B346" s="2" t="str">
        <f>_xlfn.XLOOKUP($N346,'Base de Grupos'!$A:$A,'Base de Grupos'!$D:$D)</f>
        <v>1000065763</v>
      </c>
      <c r="C346" s="5" t="str">
        <f>_xlfn.XLOOKUP($N346,'Base de Grupos'!$A:$A,'Base de Grupos'!$E:$E)</f>
        <v>CANAL VENDA INTERNA</v>
      </c>
      <c r="D346" s="5" t="str">
        <f>_xlfn.XLOOKUP($N346,'Base de Grupos'!$A:$A,'Base de Grupos'!$F:$F)</f>
        <v>1000065763</v>
      </c>
      <c r="E346" s="2" t="str">
        <f>_xlfn.XLOOKUP($N346,'Base de Grupos'!$A:$A,'Base de Grupos'!$G:$G)</f>
        <v>CANAL VENDA INTERNA</v>
      </c>
      <c r="F346" s="2" t="str">
        <f>_xlfn.XLOOKUP($N346,'Base de Grupos'!$A:$A,'Base de Grupos'!$H:$H)</f>
        <v>1000105899</v>
      </c>
      <c r="G346" s="5" t="str">
        <f>_xlfn.XLOOKUP($N346,'Base de Grupos'!$A:$A,'Base de Grupos'!$I:$I)</f>
        <v>REGIONAL VENDA DIRETA SUDESTE</v>
      </c>
      <c r="H346" s="5" t="str">
        <f>_xlfn.XLOOKUP($N346,'Base de Grupos'!$A:$A,'Base de Grupos'!$J:$J)</f>
        <v>1000105899</v>
      </c>
      <c r="I346" s="2" t="str">
        <f>_xlfn.XLOOKUP($N346,'Base de Grupos'!$A:$A,'Base de Grupos'!$K:$K)</f>
        <v>REGIONAL VENDA DIRETA SUDESTE</v>
      </c>
      <c r="J346" s="2" t="str">
        <f>_xlfn.XLOOKUP($N346,'Base de Grupos'!$A:$A,'Base de Grupos'!$L:$L)</f>
        <v>1000150135</v>
      </c>
      <c r="K346" s="5" t="str">
        <f>_xlfn.XLOOKUP($N346,'Base de Grupos'!$A:$A,'Base de Grupos'!$M:$M)</f>
        <v>HELDER DA SILVA BRUNKOW</v>
      </c>
      <c r="L346" s="5" t="str">
        <f t="shared" si="328"/>
        <v/>
      </c>
      <c r="M346" s="5" t="str">
        <f>_xlfn.XLOOKUP($N346,'Base de Grupos'!$A:$A,'Base de Grupos'!$C:$C)</f>
        <v>RJ</v>
      </c>
      <c r="N346" s="3">
        <v>1358</v>
      </c>
      <c r="O346" s="4" t="s">
        <v>243</v>
      </c>
      <c r="P346" s="5" t="s">
        <v>81</v>
      </c>
      <c r="Q346" s="56">
        <v>0</v>
      </c>
      <c r="R346" s="56">
        <v>0</v>
      </c>
      <c r="S346" s="56">
        <v>0</v>
      </c>
      <c r="T346" s="56">
        <f>_xlfn.XLOOKUP($N346,'Calculo Leads'!$A$97:$A$134,'Calculo Leads'!G$97:G$134)*_xlfn.XLOOKUP($P346,'Base Grupo de Produtos'!$E$2:$E$18,'Base Grupo de Produtos'!$F$2:$F$18)</f>
        <v>300</v>
      </c>
      <c r="U346" s="56">
        <f>_xlfn.XLOOKUP($N346,'Calculo Leads'!$A$97:$A$134,'Calculo Leads'!H$97:H$134)*_xlfn.XLOOKUP($P346,'Base Grupo de Produtos'!$E$2:$E$18,'Base Grupo de Produtos'!$F$2:$F$18)</f>
        <v>350</v>
      </c>
      <c r="V346" s="56">
        <f>_xlfn.XLOOKUP($N346,'Calculo Leads'!$A$97:$A$134,'Calculo Leads'!I$97:I$134)*_xlfn.XLOOKUP($P346,'Base Grupo de Produtos'!$E$2:$E$18,'Base Grupo de Produtos'!$F$2:$F$18)</f>
        <v>450</v>
      </c>
      <c r="W346" s="56">
        <f>_xlfn.XLOOKUP($N346,'Calculo Leads'!$A$97:$A$134,'Calculo Leads'!J$97:J$134)*_xlfn.XLOOKUP($P346,'Base Grupo de Produtos'!$E$2:$E$18,'Base Grupo de Produtos'!$F$2:$F$18)</f>
        <v>550</v>
      </c>
      <c r="X346" s="56">
        <f>_xlfn.XLOOKUP($N346,'Calculo Leads'!$A$97:$A$134,'Calculo Leads'!K$97:K$134)*_xlfn.XLOOKUP($P346,'Base Grupo de Produtos'!$E$2:$E$18,'Base Grupo de Produtos'!$F$2:$F$18)</f>
        <v>660</v>
      </c>
      <c r="Y346" s="56">
        <f>_xlfn.XLOOKUP($N346,'Calculo Leads'!$A$97:$A$134,'Calculo Leads'!L$97:L$134)*_xlfn.XLOOKUP($P346,'Base Grupo de Produtos'!$E$2:$E$18,'Base Grupo de Produtos'!$F$2:$F$18)</f>
        <v>825</v>
      </c>
      <c r="Z346" s="56">
        <f>_xlfn.XLOOKUP($N346,'Calculo Leads'!$A$97:$A$134,'Calculo Leads'!M$97:M$134)*_xlfn.XLOOKUP($P346,'Base Grupo de Produtos'!$E$2:$E$18,'Base Grupo de Produtos'!$F$2:$F$18)</f>
        <v>880</v>
      </c>
      <c r="AA346" s="56">
        <f>_xlfn.XLOOKUP($N346,'Calculo Leads'!$A$97:$A$134,'Calculo Leads'!N$97:N$134)*_xlfn.XLOOKUP($P346,'Base Grupo de Produtos'!$E$2:$E$18,'Base Grupo de Produtos'!$F$2:$F$18)</f>
        <v>990</v>
      </c>
      <c r="AB346" s="56">
        <f>_xlfn.XLOOKUP($N346,'Calculo Leads'!$A$97:$A$134,'Calculo Leads'!O$97:O$134)*_xlfn.XLOOKUP($P346,'Base Grupo de Produtos'!$E$2:$E$18,'Base Grupo de Produtos'!$F$2:$F$18)</f>
        <v>715</v>
      </c>
      <c r="AC346" s="61">
        <f t="shared" si="348"/>
        <v>5720</v>
      </c>
      <c r="AD346" s="27">
        <f t="shared" ref="AD346:AD362" si="382">IF(AC346=0,0,AC346-AG346)</f>
        <v>5720</v>
      </c>
      <c r="AE346" s="25">
        <f>IFERROR(_xlfn.XLOOKUP(N346&amp;P346,'Historico Vendas'!G:G,'Historico Vendas'!E:E),0)</f>
        <v>0</v>
      </c>
      <c r="AF346" s="29" t="str">
        <f t="shared" si="326"/>
        <v/>
      </c>
      <c r="AG346" s="24">
        <f>IFERROR(_xlfn.XLOOKUP(N346&amp;P346,'Historico Vendas'!G:G,'Historico Vendas'!F:F),0)</f>
        <v>0</v>
      </c>
      <c r="AH346" s="25">
        <f t="shared" ref="AH346:AH362" si="383">SUM(Q346:S346)</f>
        <v>0</v>
      </c>
      <c r="AI346" s="24">
        <f t="shared" ref="AI346:AI362" si="384">AH346-AG346</f>
        <v>0</v>
      </c>
      <c r="AJ346" s="11" t="str">
        <f t="shared" si="347"/>
        <v/>
      </c>
      <c r="AK346" s="9" t="s">
        <v>102</v>
      </c>
      <c r="AL346" s="13">
        <f>IFERROR(INDEX('Balizador da Meta'!$D$3:$F$23,MATCH(Faturamento!$P346,'Balizador da Meta'!$C$3:$C$23,0),MATCH(Faturamento!AK346,'Balizador da Meta'!$D$2:$F$2,0)),"")</f>
        <v>0.2</v>
      </c>
      <c r="AM346" s="9"/>
    </row>
    <row r="347" spans="1:39" x14ac:dyDescent="0.3">
      <c r="A347" s="2" t="str">
        <f t="shared" si="327"/>
        <v>NÃO</v>
      </c>
      <c r="B347" s="2" t="str">
        <f>_xlfn.XLOOKUP($N347,'Base de Grupos'!$A:$A,'Base de Grupos'!$D:$D)</f>
        <v>1000065763</v>
      </c>
      <c r="C347" s="5" t="str">
        <f>_xlfn.XLOOKUP($N347,'Base de Grupos'!$A:$A,'Base de Grupos'!$E:$E)</f>
        <v>CANAL VENDA INTERNA</v>
      </c>
      <c r="D347" s="5" t="str">
        <f>_xlfn.XLOOKUP($N347,'Base de Grupos'!$A:$A,'Base de Grupos'!$F:$F)</f>
        <v>1000065763</v>
      </c>
      <c r="E347" s="2" t="str">
        <f>_xlfn.XLOOKUP($N347,'Base de Grupos'!$A:$A,'Base de Grupos'!$G:$G)</f>
        <v>CANAL VENDA INTERNA</v>
      </c>
      <c r="F347" s="2" t="str">
        <f>_xlfn.XLOOKUP($N347,'Base de Grupos'!$A:$A,'Base de Grupos'!$H:$H)</f>
        <v>1000105899</v>
      </c>
      <c r="G347" s="5" t="str">
        <f>_xlfn.XLOOKUP($N347,'Base de Grupos'!$A:$A,'Base de Grupos'!$I:$I)</f>
        <v>REGIONAL VENDA DIRETA SUDESTE</v>
      </c>
      <c r="H347" s="5" t="str">
        <f>_xlfn.XLOOKUP($N347,'Base de Grupos'!$A:$A,'Base de Grupos'!$J:$J)</f>
        <v>1000105899</v>
      </c>
      <c r="I347" s="2" t="str">
        <f>_xlfn.XLOOKUP($N347,'Base de Grupos'!$A:$A,'Base de Grupos'!$K:$K)</f>
        <v>REGIONAL VENDA DIRETA SUDESTE</v>
      </c>
      <c r="J347" s="2" t="str">
        <f>_xlfn.XLOOKUP($N347,'Base de Grupos'!$A:$A,'Base de Grupos'!$L:$L)</f>
        <v>1000150135</v>
      </c>
      <c r="K347" s="5" t="str">
        <f>_xlfn.XLOOKUP($N347,'Base de Grupos'!$A:$A,'Base de Grupos'!$M:$M)</f>
        <v>HELDER DA SILVA BRUNKOW</v>
      </c>
      <c r="L347" s="5" t="str">
        <f t="shared" si="328"/>
        <v/>
      </c>
      <c r="M347" s="5" t="str">
        <f>_xlfn.XLOOKUP($N347,'Base de Grupos'!$A:$A,'Base de Grupos'!$C:$C)</f>
        <v>RJ</v>
      </c>
      <c r="N347" s="3">
        <v>1358</v>
      </c>
      <c r="O347" s="4" t="s">
        <v>243</v>
      </c>
      <c r="P347" s="5" t="s">
        <v>82</v>
      </c>
      <c r="Q347" s="56">
        <v>0</v>
      </c>
      <c r="R347" s="56">
        <v>0</v>
      </c>
      <c r="S347" s="56">
        <v>0</v>
      </c>
      <c r="T347" s="56">
        <f>_xlfn.XLOOKUP($N347,'Calculo Leads'!$A$97:$A$134,'Calculo Leads'!G$97:G$134)*_xlfn.XLOOKUP($P347,'Base Grupo de Produtos'!$E$2:$E$18,'Base Grupo de Produtos'!$F$2:$F$18)</f>
        <v>300</v>
      </c>
      <c r="U347" s="56">
        <f>_xlfn.XLOOKUP($N347,'Calculo Leads'!$A$97:$A$134,'Calculo Leads'!H$97:H$134)*_xlfn.XLOOKUP($P347,'Base Grupo de Produtos'!$E$2:$E$18,'Base Grupo de Produtos'!$F$2:$F$18)</f>
        <v>350</v>
      </c>
      <c r="V347" s="56">
        <f>_xlfn.XLOOKUP($N347,'Calculo Leads'!$A$97:$A$134,'Calculo Leads'!I$97:I$134)*_xlfn.XLOOKUP($P347,'Base Grupo de Produtos'!$E$2:$E$18,'Base Grupo de Produtos'!$F$2:$F$18)</f>
        <v>450</v>
      </c>
      <c r="W347" s="56">
        <f>_xlfn.XLOOKUP($N347,'Calculo Leads'!$A$97:$A$134,'Calculo Leads'!J$97:J$134)*_xlfn.XLOOKUP($P347,'Base Grupo de Produtos'!$E$2:$E$18,'Base Grupo de Produtos'!$F$2:$F$18)</f>
        <v>550</v>
      </c>
      <c r="X347" s="56">
        <f>_xlfn.XLOOKUP($N347,'Calculo Leads'!$A$97:$A$134,'Calculo Leads'!K$97:K$134)*_xlfn.XLOOKUP($P347,'Base Grupo de Produtos'!$E$2:$E$18,'Base Grupo de Produtos'!$F$2:$F$18)</f>
        <v>660</v>
      </c>
      <c r="Y347" s="56">
        <f>_xlfn.XLOOKUP($N347,'Calculo Leads'!$A$97:$A$134,'Calculo Leads'!L$97:L$134)*_xlfn.XLOOKUP($P347,'Base Grupo de Produtos'!$E$2:$E$18,'Base Grupo de Produtos'!$F$2:$F$18)</f>
        <v>825</v>
      </c>
      <c r="Z347" s="56">
        <f>_xlfn.XLOOKUP($N347,'Calculo Leads'!$A$97:$A$134,'Calculo Leads'!M$97:M$134)*_xlfn.XLOOKUP($P347,'Base Grupo de Produtos'!$E$2:$E$18,'Base Grupo de Produtos'!$F$2:$F$18)</f>
        <v>880</v>
      </c>
      <c r="AA347" s="56">
        <f>_xlfn.XLOOKUP($N347,'Calculo Leads'!$A$97:$A$134,'Calculo Leads'!N$97:N$134)*_xlfn.XLOOKUP($P347,'Base Grupo de Produtos'!$E$2:$E$18,'Base Grupo de Produtos'!$F$2:$F$18)</f>
        <v>990</v>
      </c>
      <c r="AB347" s="56">
        <f>_xlfn.XLOOKUP($N347,'Calculo Leads'!$A$97:$A$134,'Calculo Leads'!O$97:O$134)*_xlfn.XLOOKUP($P347,'Base Grupo de Produtos'!$E$2:$E$18,'Base Grupo de Produtos'!$F$2:$F$18)</f>
        <v>715</v>
      </c>
      <c r="AC347" s="61">
        <f t="shared" si="348"/>
        <v>5720</v>
      </c>
      <c r="AD347" s="27">
        <f t="shared" si="382"/>
        <v>5720</v>
      </c>
      <c r="AE347" s="25">
        <f>IFERROR(_xlfn.XLOOKUP(N347&amp;P347,'Historico Vendas'!G:G,'Historico Vendas'!E:E),0)</f>
        <v>0</v>
      </c>
      <c r="AF347" s="29" t="str">
        <f t="shared" si="326"/>
        <v/>
      </c>
      <c r="AG347" s="24">
        <f>IFERROR(_xlfn.XLOOKUP(N347&amp;P347,'Historico Vendas'!G:G,'Historico Vendas'!F:F),0)</f>
        <v>0</v>
      </c>
      <c r="AH347" s="25">
        <f t="shared" si="383"/>
        <v>0</v>
      </c>
      <c r="AI347" s="24">
        <f t="shared" si="384"/>
        <v>0</v>
      </c>
      <c r="AJ347" s="11" t="str">
        <f t="shared" si="347"/>
        <v/>
      </c>
      <c r="AK347" s="9" t="s">
        <v>102</v>
      </c>
      <c r="AL347" s="13">
        <f>IFERROR(INDEX('Balizador da Meta'!$D$3:$F$23,MATCH(Faturamento!$P347,'Balizador da Meta'!$C$3:$C$23,0),MATCH(Faturamento!AK347,'Balizador da Meta'!$D$2:$F$2,0)),"")</f>
        <v>0.2</v>
      </c>
      <c r="AM347" s="9"/>
    </row>
    <row r="348" spans="1:39" x14ac:dyDescent="0.3">
      <c r="A348" s="2" t="str">
        <f t="shared" si="327"/>
        <v>NÃO</v>
      </c>
      <c r="B348" s="2" t="str">
        <f>_xlfn.XLOOKUP($N348,'Base de Grupos'!$A:$A,'Base de Grupos'!$D:$D)</f>
        <v>1000065763</v>
      </c>
      <c r="C348" s="5" t="str">
        <f>_xlfn.XLOOKUP($N348,'Base de Grupos'!$A:$A,'Base de Grupos'!$E:$E)</f>
        <v>CANAL VENDA INTERNA</v>
      </c>
      <c r="D348" s="5" t="str">
        <f>_xlfn.XLOOKUP($N348,'Base de Grupos'!$A:$A,'Base de Grupos'!$F:$F)</f>
        <v>1000065763</v>
      </c>
      <c r="E348" s="2" t="str">
        <f>_xlfn.XLOOKUP($N348,'Base de Grupos'!$A:$A,'Base de Grupos'!$G:$G)</f>
        <v>CANAL VENDA INTERNA</v>
      </c>
      <c r="F348" s="2" t="str">
        <f>_xlfn.XLOOKUP($N348,'Base de Grupos'!$A:$A,'Base de Grupos'!$H:$H)</f>
        <v>1000105899</v>
      </c>
      <c r="G348" s="5" t="str">
        <f>_xlfn.XLOOKUP($N348,'Base de Grupos'!$A:$A,'Base de Grupos'!$I:$I)</f>
        <v>REGIONAL VENDA DIRETA SUDESTE</v>
      </c>
      <c r="H348" s="5" t="str">
        <f>_xlfn.XLOOKUP($N348,'Base de Grupos'!$A:$A,'Base de Grupos'!$J:$J)</f>
        <v>1000105899</v>
      </c>
      <c r="I348" s="2" t="str">
        <f>_xlfn.XLOOKUP($N348,'Base de Grupos'!$A:$A,'Base de Grupos'!$K:$K)</f>
        <v>REGIONAL VENDA DIRETA SUDESTE</v>
      </c>
      <c r="J348" s="2" t="str">
        <f>_xlfn.XLOOKUP($N348,'Base de Grupos'!$A:$A,'Base de Grupos'!$L:$L)</f>
        <v>1000150135</v>
      </c>
      <c r="K348" s="5" t="str">
        <f>_xlfn.XLOOKUP($N348,'Base de Grupos'!$A:$A,'Base de Grupos'!$M:$M)</f>
        <v>HELDER DA SILVA BRUNKOW</v>
      </c>
      <c r="L348" s="5" t="str">
        <f t="shared" si="328"/>
        <v/>
      </c>
      <c r="M348" s="5" t="str">
        <f>_xlfn.XLOOKUP($N348,'Base de Grupos'!$A:$A,'Base de Grupos'!$C:$C)</f>
        <v>RJ</v>
      </c>
      <c r="N348" s="3">
        <v>1358</v>
      </c>
      <c r="O348" s="4" t="s">
        <v>243</v>
      </c>
      <c r="P348" s="5" t="s">
        <v>84</v>
      </c>
      <c r="Q348" s="56">
        <v>0</v>
      </c>
      <c r="R348" s="56">
        <v>0</v>
      </c>
      <c r="S348" s="56">
        <v>0</v>
      </c>
      <c r="T348" s="56">
        <f>_xlfn.XLOOKUP($N348,'Calculo Leads'!$A$97:$A$134,'Calculo Leads'!G$97:G$134)*_xlfn.XLOOKUP($P348,'Base Grupo de Produtos'!$E$2:$E$18,'Base Grupo de Produtos'!$F$2:$F$18)</f>
        <v>480</v>
      </c>
      <c r="U348" s="56">
        <f>_xlfn.XLOOKUP($N348,'Calculo Leads'!$A$97:$A$134,'Calculo Leads'!H$97:H$134)*_xlfn.XLOOKUP($P348,'Base Grupo de Produtos'!$E$2:$E$18,'Base Grupo de Produtos'!$F$2:$F$18)</f>
        <v>560</v>
      </c>
      <c r="V348" s="56">
        <f>_xlfn.XLOOKUP($N348,'Calculo Leads'!$A$97:$A$134,'Calculo Leads'!I$97:I$134)*_xlfn.XLOOKUP($P348,'Base Grupo de Produtos'!$E$2:$E$18,'Base Grupo de Produtos'!$F$2:$F$18)</f>
        <v>720</v>
      </c>
      <c r="W348" s="56">
        <f>_xlfn.XLOOKUP($N348,'Calculo Leads'!$A$97:$A$134,'Calculo Leads'!J$97:J$134)*_xlfn.XLOOKUP($P348,'Base Grupo de Produtos'!$E$2:$E$18,'Base Grupo de Produtos'!$F$2:$F$18)</f>
        <v>880</v>
      </c>
      <c r="X348" s="56">
        <f>_xlfn.XLOOKUP($N348,'Calculo Leads'!$A$97:$A$134,'Calculo Leads'!K$97:K$134)*_xlfn.XLOOKUP($P348,'Base Grupo de Produtos'!$E$2:$E$18,'Base Grupo de Produtos'!$F$2:$F$18)</f>
        <v>1056</v>
      </c>
      <c r="Y348" s="56">
        <f>_xlfn.XLOOKUP($N348,'Calculo Leads'!$A$97:$A$134,'Calculo Leads'!L$97:L$134)*_xlfn.XLOOKUP($P348,'Base Grupo de Produtos'!$E$2:$E$18,'Base Grupo de Produtos'!$F$2:$F$18)</f>
        <v>1320</v>
      </c>
      <c r="Z348" s="56">
        <f>_xlfn.XLOOKUP($N348,'Calculo Leads'!$A$97:$A$134,'Calculo Leads'!M$97:M$134)*_xlfn.XLOOKUP($P348,'Base Grupo de Produtos'!$E$2:$E$18,'Base Grupo de Produtos'!$F$2:$F$18)</f>
        <v>1408</v>
      </c>
      <c r="AA348" s="56">
        <f>_xlfn.XLOOKUP($N348,'Calculo Leads'!$A$97:$A$134,'Calculo Leads'!N$97:N$134)*_xlfn.XLOOKUP($P348,'Base Grupo de Produtos'!$E$2:$E$18,'Base Grupo de Produtos'!$F$2:$F$18)</f>
        <v>1584</v>
      </c>
      <c r="AB348" s="56">
        <f>_xlfn.XLOOKUP($N348,'Calculo Leads'!$A$97:$A$134,'Calculo Leads'!O$97:O$134)*_xlfn.XLOOKUP($P348,'Base Grupo de Produtos'!$E$2:$E$18,'Base Grupo de Produtos'!$F$2:$F$18)</f>
        <v>1144</v>
      </c>
      <c r="AC348" s="61">
        <f t="shared" si="348"/>
        <v>9152</v>
      </c>
      <c r="AD348" s="27">
        <f t="shared" si="382"/>
        <v>9152</v>
      </c>
      <c r="AE348" s="25">
        <f>IFERROR(_xlfn.XLOOKUP(N348&amp;P348,'Historico Vendas'!G:G,'Historico Vendas'!E:E),0)</f>
        <v>0</v>
      </c>
      <c r="AF348" s="29" t="str">
        <f t="shared" si="326"/>
        <v/>
      </c>
      <c r="AG348" s="24">
        <f>IFERROR(_xlfn.XLOOKUP(N348&amp;P348,'Historico Vendas'!G:G,'Historico Vendas'!F:F),0)</f>
        <v>0</v>
      </c>
      <c r="AH348" s="25">
        <f t="shared" si="383"/>
        <v>0</v>
      </c>
      <c r="AI348" s="24">
        <f t="shared" si="384"/>
        <v>0</v>
      </c>
      <c r="AJ348" s="11" t="str">
        <f t="shared" si="347"/>
        <v/>
      </c>
      <c r="AK348" s="9" t="s">
        <v>102</v>
      </c>
      <c r="AL348" s="13">
        <f>IFERROR(INDEX('Balizador da Meta'!$D$3:$F$23,MATCH(Faturamento!$P348,'Balizador da Meta'!$C$3:$C$23,0),MATCH(Faturamento!AK348,'Balizador da Meta'!$D$2:$F$2,0)),"")</f>
        <v>0.15</v>
      </c>
      <c r="AM348" s="9"/>
    </row>
    <row r="349" spans="1:39" x14ac:dyDescent="0.3">
      <c r="A349" s="2" t="str">
        <f t="shared" si="327"/>
        <v>NÃO</v>
      </c>
      <c r="B349" s="2" t="str">
        <f>_xlfn.XLOOKUP($N349,'Base de Grupos'!$A:$A,'Base de Grupos'!$D:$D)</f>
        <v>1000065763</v>
      </c>
      <c r="C349" s="5" t="str">
        <f>_xlfn.XLOOKUP($N349,'Base de Grupos'!$A:$A,'Base de Grupos'!$E:$E)</f>
        <v>CANAL VENDA INTERNA</v>
      </c>
      <c r="D349" s="5" t="str">
        <f>_xlfn.XLOOKUP($N349,'Base de Grupos'!$A:$A,'Base de Grupos'!$F:$F)</f>
        <v>1000065763</v>
      </c>
      <c r="E349" s="2" t="str">
        <f>_xlfn.XLOOKUP($N349,'Base de Grupos'!$A:$A,'Base de Grupos'!$G:$G)</f>
        <v>CANAL VENDA INTERNA</v>
      </c>
      <c r="F349" s="2" t="str">
        <f>_xlfn.XLOOKUP($N349,'Base de Grupos'!$A:$A,'Base de Grupos'!$H:$H)</f>
        <v>1000105899</v>
      </c>
      <c r="G349" s="5" t="str">
        <f>_xlfn.XLOOKUP($N349,'Base de Grupos'!$A:$A,'Base de Grupos'!$I:$I)</f>
        <v>REGIONAL VENDA DIRETA SUDESTE</v>
      </c>
      <c r="H349" s="5" t="str">
        <f>_xlfn.XLOOKUP($N349,'Base de Grupos'!$A:$A,'Base de Grupos'!$J:$J)</f>
        <v>1000105899</v>
      </c>
      <c r="I349" s="2" t="str">
        <f>_xlfn.XLOOKUP($N349,'Base de Grupos'!$A:$A,'Base de Grupos'!$K:$K)</f>
        <v>REGIONAL VENDA DIRETA SUDESTE</v>
      </c>
      <c r="J349" s="2" t="str">
        <f>_xlfn.XLOOKUP($N349,'Base de Grupos'!$A:$A,'Base de Grupos'!$L:$L)</f>
        <v>1000150135</v>
      </c>
      <c r="K349" s="5" t="str">
        <f>_xlfn.XLOOKUP($N349,'Base de Grupos'!$A:$A,'Base de Grupos'!$M:$M)</f>
        <v>HELDER DA SILVA BRUNKOW</v>
      </c>
      <c r="L349" s="5" t="str">
        <f t="shared" si="328"/>
        <v/>
      </c>
      <c r="M349" s="5" t="str">
        <f>_xlfn.XLOOKUP($N349,'Base de Grupos'!$A:$A,'Base de Grupos'!$C:$C)</f>
        <v>RJ</v>
      </c>
      <c r="N349" s="3">
        <v>1358</v>
      </c>
      <c r="O349" s="4" t="s">
        <v>243</v>
      </c>
      <c r="P349" s="5" t="s">
        <v>83</v>
      </c>
      <c r="Q349" s="56">
        <v>0</v>
      </c>
      <c r="R349" s="56">
        <v>0</v>
      </c>
      <c r="S349" s="56">
        <v>0</v>
      </c>
      <c r="T349" s="56">
        <f>_xlfn.XLOOKUP($N349,'Calculo Leads'!$A$97:$A$134,'Calculo Leads'!G$97:G$134)*_xlfn.XLOOKUP($P349,'Base Grupo de Produtos'!$E$2:$E$18,'Base Grupo de Produtos'!$F$2:$F$18)</f>
        <v>600</v>
      </c>
      <c r="U349" s="56">
        <f>_xlfn.XLOOKUP($N349,'Calculo Leads'!$A$97:$A$134,'Calculo Leads'!H$97:H$134)*_xlfn.XLOOKUP($P349,'Base Grupo de Produtos'!$E$2:$E$18,'Base Grupo de Produtos'!$F$2:$F$18)</f>
        <v>700</v>
      </c>
      <c r="V349" s="56">
        <f>_xlfn.XLOOKUP($N349,'Calculo Leads'!$A$97:$A$134,'Calculo Leads'!I$97:I$134)*_xlfn.XLOOKUP($P349,'Base Grupo de Produtos'!$E$2:$E$18,'Base Grupo de Produtos'!$F$2:$F$18)</f>
        <v>900</v>
      </c>
      <c r="W349" s="56">
        <f>_xlfn.XLOOKUP($N349,'Calculo Leads'!$A$97:$A$134,'Calculo Leads'!J$97:J$134)*_xlfn.XLOOKUP($P349,'Base Grupo de Produtos'!$E$2:$E$18,'Base Grupo de Produtos'!$F$2:$F$18)</f>
        <v>1100</v>
      </c>
      <c r="X349" s="56">
        <f>_xlfn.XLOOKUP($N349,'Calculo Leads'!$A$97:$A$134,'Calculo Leads'!K$97:K$134)*_xlfn.XLOOKUP($P349,'Base Grupo de Produtos'!$E$2:$E$18,'Base Grupo de Produtos'!$F$2:$F$18)</f>
        <v>1320</v>
      </c>
      <c r="Y349" s="56">
        <f>_xlfn.XLOOKUP($N349,'Calculo Leads'!$A$97:$A$134,'Calculo Leads'!L$97:L$134)*_xlfn.XLOOKUP($P349,'Base Grupo de Produtos'!$E$2:$E$18,'Base Grupo de Produtos'!$F$2:$F$18)</f>
        <v>1650</v>
      </c>
      <c r="Z349" s="56">
        <f>_xlfn.XLOOKUP($N349,'Calculo Leads'!$A$97:$A$134,'Calculo Leads'!M$97:M$134)*_xlfn.XLOOKUP($P349,'Base Grupo de Produtos'!$E$2:$E$18,'Base Grupo de Produtos'!$F$2:$F$18)</f>
        <v>1760</v>
      </c>
      <c r="AA349" s="56">
        <f>_xlfn.XLOOKUP($N349,'Calculo Leads'!$A$97:$A$134,'Calculo Leads'!N$97:N$134)*_xlfn.XLOOKUP($P349,'Base Grupo de Produtos'!$E$2:$E$18,'Base Grupo de Produtos'!$F$2:$F$18)</f>
        <v>1980</v>
      </c>
      <c r="AB349" s="56">
        <f>_xlfn.XLOOKUP($N349,'Calculo Leads'!$A$97:$A$134,'Calculo Leads'!O$97:O$134)*_xlfn.XLOOKUP($P349,'Base Grupo de Produtos'!$E$2:$E$18,'Base Grupo de Produtos'!$F$2:$F$18)</f>
        <v>1430</v>
      </c>
      <c r="AC349" s="61">
        <f t="shared" si="348"/>
        <v>11440</v>
      </c>
      <c r="AD349" s="27">
        <f t="shared" si="382"/>
        <v>11440</v>
      </c>
      <c r="AE349" s="25">
        <f>IFERROR(_xlfn.XLOOKUP(N349&amp;P349,'Historico Vendas'!G:G,'Historico Vendas'!E:E),0)</f>
        <v>0</v>
      </c>
      <c r="AF349" s="29" t="str">
        <f t="shared" si="326"/>
        <v/>
      </c>
      <c r="AG349" s="24">
        <f>IFERROR(_xlfn.XLOOKUP(N349&amp;P349,'Historico Vendas'!G:G,'Historico Vendas'!F:F),0)</f>
        <v>0</v>
      </c>
      <c r="AH349" s="25">
        <f t="shared" si="383"/>
        <v>0</v>
      </c>
      <c r="AI349" s="24">
        <f t="shared" si="384"/>
        <v>0</v>
      </c>
      <c r="AJ349" s="11" t="str">
        <f t="shared" si="347"/>
        <v/>
      </c>
      <c r="AK349" s="9" t="s">
        <v>102</v>
      </c>
      <c r="AL349" s="13">
        <f>IFERROR(INDEX('Balizador da Meta'!$D$3:$F$23,MATCH(Faturamento!$P349,'Balizador da Meta'!$C$3:$C$23,0),MATCH(Faturamento!AK349,'Balizador da Meta'!$D$2:$F$2,0)),"")</f>
        <v>0</v>
      </c>
      <c r="AM349" s="9"/>
    </row>
    <row r="350" spans="1:39" x14ac:dyDescent="0.3">
      <c r="A350" s="2" t="str">
        <f t="shared" si="327"/>
        <v>NÃO</v>
      </c>
      <c r="B350" s="2" t="str">
        <f>_xlfn.XLOOKUP($N350,'Base de Grupos'!$A:$A,'Base de Grupos'!$D:$D)</f>
        <v>1000065763</v>
      </c>
      <c r="C350" s="5" t="str">
        <f>_xlfn.XLOOKUP($N350,'Base de Grupos'!$A:$A,'Base de Grupos'!$E:$E)</f>
        <v>CANAL VENDA INTERNA</v>
      </c>
      <c r="D350" s="5" t="str">
        <f>_xlfn.XLOOKUP($N350,'Base de Grupos'!$A:$A,'Base de Grupos'!$F:$F)</f>
        <v>1000065763</v>
      </c>
      <c r="E350" s="2" t="str">
        <f>_xlfn.XLOOKUP($N350,'Base de Grupos'!$A:$A,'Base de Grupos'!$G:$G)</f>
        <v>CANAL VENDA INTERNA</v>
      </c>
      <c r="F350" s="2" t="str">
        <f>_xlfn.XLOOKUP($N350,'Base de Grupos'!$A:$A,'Base de Grupos'!$H:$H)</f>
        <v>1000105899</v>
      </c>
      <c r="G350" s="5" t="str">
        <f>_xlfn.XLOOKUP($N350,'Base de Grupos'!$A:$A,'Base de Grupos'!$I:$I)</f>
        <v>REGIONAL VENDA DIRETA SUDESTE</v>
      </c>
      <c r="H350" s="5" t="str">
        <f>_xlfn.XLOOKUP($N350,'Base de Grupos'!$A:$A,'Base de Grupos'!$J:$J)</f>
        <v>1000105899</v>
      </c>
      <c r="I350" s="2" t="str">
        <f>_xlfn.XLOOKUP($N350,'Base de Grupos'!$A:$A,'Base de Grupos'!$K:$K)</f>
        <v>REGIONAL VENDA DIRETA SUDESTE</v>
      </c>
      <c r="J350" s="2" t="str">
        <f>_xlfn.XLOOKUP($N350,'Base de Grupos'!$A:$A,'Base de Grupos'!$L:$L)</f>
        <v>1000150135</v>
      </c>
      <c r="K350" s="5" t="str">
        <f>_xlfn.XLOOKUP($N350,'Base de Grupos'!$A:$A,'Base de Grupos'!$M:$M)</f>
        <v>HELDER DA SILVA BRUNKOW</v>
      </c>
      <c r="L350" s="5" t="str">
        <f t="shared" si="328"/>
        <v/>
      </c>
      <c r="M350" s="5" t="str">
        <f>_xlfn.XLOOKUP($N350,'Base de Grupos'!$A:$A,'Base de Grupos'!$C:$C)</f>
        <v>RJ</v>
      </c>
      <c r="N350" s="3">
        <v>1358</v>
      </c>
      <c r="O350" s="4" t="s">
        <v>243</v>
      </c>
      <c r="P350" s="5" t="s">
        <v>87</v>
      </c>
      <c r="Q350" s="56">
        <v>0</v>
      </c>
      <c r="R350" s="56">
        <v>0</v>
      </c>
      <c r="S350" s="56">
        <v>0</v>
      </c>
      <c r="T350" s="56">
        <f>_xlfn.XLOOKUP($N350,'Calculo Leads'!$A$97:$A$134,'Calculo Leads'!G$97:G$134)*_xlfn.XLOOKUP($P350,'Base Grupo de Produtos'!$E$2:$E$18,'Base Grupo de Produtos'!$F$2:$F$18)</f>
        <v>119.99999999999999</v>
      </c>
      <c r="U350" s="56">
        <f>_xlfn.XLOOKUP($N350,'Calculo Leads'!$A$97:$A$134,'Calculo Leads'!H$97:H$134)*_xlfn.XLOOKUP($P350,'Base Grupo de Produtos'!$E$2:$E$18,'Base Grupo de Produtos'!$F$2:$F$18)</f>
        <v>139.99999999999997</v>
      </c>
      <c r="V350" s="56">
        <f>_xlfn.XLOOKUP($N350,'Calculo Leads'!$A$97:$A$134,'Calculo Leads'!I$97:I$134)*_xlfn.XLOOKUP($P350,'Base Grupo de Produtos'!$E$2:$E$18,'Base Grupo de Produtos'!$F$2:$F$18)</f>
        <v>179.99999999999997</v>
      </c>
      <c r="W350" s="56">
        <f>_xlfn.XLOOKUP($N350,'Calculo Leads'!$A$97:$A$134,'Calculo Leads'!J$97:J$134)*_xlfn.XLOOKUP($P350,'Base Grupo de Produtos'!$E$2:$E$18,'Base Grupo de Produtos'!$F$2:$F$18)</f>
        <v>219.99999999999997</v>
      </c>
      <c r="X350" s="56">
        <f>_xlfn.XLOOKUP($N350,'Calculo Leads'!$A$97:$A$134,'Calculo Leads'!K$97:K$134)*_xlfn.XLOOKUP($P350,'Base Grupo de Produtos'!$E$2:$E$18,'Base Grupo de Produtos'!$F$2:$F$18)</f>
        <v>263.99999999999994</v>
      </c>
      <c r="Y350" s="56">
        <f>_xlfn.XLOOKUP($N350,'Calculo Leads'!$A$97:$A$134,'Calculo Leads'!L$97:L$134)*_xlfn.XLOOKUP($P350,'Base Grupo de Produtos'!$E$2:$E$18,'Base Grupo de Produtos'!$F$2:$F$18)</f>
        <v>329.99999999999994</v>
      </c>
      <c r="Z350" s="56">
        <f>_xlfn.XLOOKUP($N350,'Calculo Leads'!$A$97:$A$134,'Calculo Leads'!M$97:M$134)*_xlfn.XLOOKUP($P350,'Base Grupo de Produtos'!$E$2:$E$18,'Base Grupo de Produtos'!$F$2:$F$18)</f>
        <v>351.99999999999994</v>
      </c>
      <c r="AA350" s="56">
        <f>_xlfn.XLOOKUP($N350,'Calculo Leads'!$A$97:$A$134,'Calculo Leads'!N$97:N$134)*_xlfn.XLOOKUP($P350,'Base Grupo de Produtos'!$E$2:$E$18,'Base Grupo de Produtos'!$F$2:$F$18)</f>
        <v>395.99999999999994</v>
      </c>
      <c r="AB350" s="56">
        <f>_xlfn.XLOOKUP($N350,'Calculo Leads'!$A$97:$A$134,'Calculo Leads'!O$97:O$134)*_xlfn.XLOOKUP($P350,'Base Grupo de Produtos'!$E$2:$E$18,'Base Grupo de Produtos'!$F$2:$F$18)</f>
        <v>285.99999999999994</v>
      </c>
      <c r="AC350" s="61">
        <f t="shared" si="348"/>
        <v>2287.9999999999995</v>
      </c>
      <c r="AD350" s="27">
        <f t="shared" si="382"/>
        <v>2287.9999999999995</v>
      </c>
      <c r="AE350" s="25">
        <f>IFERROR(_xlfn.XLOOKUP(N350&amp;P350,'Historico Vendas'!G:G,'Historico Vendas'!E:E),0)</f>
        <v>0</v>
      </c>
      <c r="AF350" s="29" t="str">
        <f t="shared" si="326"/>
        <v/>
      </c>
      <c r="AG350" s="24">
        <f>IFERROR(_xlfn.XLOOKUP(N350&amp;P350,'Historico Vendas'!G:G,'Historico Vendas'!F:F),0)</f>
        <v>0</v>
      </c>
      <c r="AH350" s="25">
        <f t="shared" si="383"/>
        <v>0</v>
      </c>
      <c r="AI350" s="24">
        <f t="shared" si="384"/>
        <v>0</v>
      </c>
      <c r="AJ350" s="11" t="str">
        <f t="shared" si="347"/>
        <v/>
      </c>
      <c r="AK350" s="9" t="s">
        <v>102</v>
      </c>
      <c r="AL350" s="13">
        <f>IFERROR(INDEX('Balizador da Meta'!$D$3:$F$23,MATCH(Faturamento!$P350,'Balizador da Meta'!$C$3:$C$23,0),MATCH(Faturamento!AK350,'Balizador da Meta'!$D$2:$F$2,0)),"")</f>
        <v>0</v>
      </c>
      <c r="AM350" s="9"/>
    </row>
    <row r="351" spans="1:39" x14ac:dyDescent="0.3">
      <c r="A351" s="2" t="str">
        <f t="shared" si="327"/>
        <v>NÃO</v>
      </c>
      <c r="B351" s="2" t="str">
        <f>_xlfn.XLOOKUP($N351,'Base de Grupos'!$A:$A,'Base de Grupos'!$D:$D)</f>
        <v>1000065763</v>
      </c>
      <c r="C351" s="5" t="str">
        <f>_xlfn.XLOOKUP($N351,'Base de Grupos'!$A:$A,'Base de Grupos'!$E:$E)</f>
        <v>CANAL VENDA INTERNA</v>
      </c>
      <c r="D351" s="5" t="str">
        <f>_xlfn.XLOOKUP($N351,'Base de Grupos'!$A:$A,'Base de Grupos'!$F:$F)</f>
        <v>1000065763</v>
      </c>
      <c r="E351" s="2" t="str">
        <f>_xlfn.XLOOKUP($N351,'Base de Grupos'!$A:$A,'Base de Grupos'!$G:$G)</f>
        <v>CANAL VENDA INTERNA</v>
      </c>
      <c r="F351" s="2" t="str">
        <f>_xlfn.XLOOKUP($N351,'Base de Grupos'!$A:$A,'Base de Grupos'!$H:$H)</f>
        <v>1000105899</v>
      </c>
      <c r="G351" s="5" t="str">
        <f>_xlfn.XLOOKUP($N351,'Base de Grupos'!$A:$A,'Base de Grupos'!$I:$I)</f>
        <v>REGIONAL VENDA DIRETA SUDESTE</v>
      </c>
      <c r="H351" s="5" t="str">
        <f>_xlfn.XLOOKUP($N351,'Base de Grupos'!$A:$A,'Base de Grupos'!$J:$J)</f>
        <v>1000105899</v>
      </c>
      <c r="I351" s="2" t="str">
        <f>_xlfn.XLOOKUP($N351,'Base de Grupos'!$A:$A,'Base de Grupos'!$K:$K)</f>
        <v>REGIONAL VENDA DIRETA SUDESTE</v>
      </c>
      <c r="J351" s="2" t="str">
        <f>_xlfn.XLOOKUP($N351,'Base de Grupos'!$A:$A,'Base de Grupos'!$L:$L)</f>
        <v>1000150135</v>
      </c>
      <c r="K351" s="5" t="str">
        <f>_xlfn.XLOOKUP($N351,'Base de Grupos'!$A:$A,'Base de Grupos'!$M:$M)</f>
        <v>HELDER DA SILVA BRUNKOW</v>
      </c>
      <c r="L351" s="5" t="str">
        <f t="shared" si="328"/>
        <v/>
      </c>
      <c r="M351" s="5" t="str">
        <f>_xlfn.XLOOKUP($N351,'Base de Grupos'!$A:$A,'Base de Grupos'!$C:$C)</f>
        <v>RJ</v>
      </c>
      <c r="N351" s="3">
        <v>1358</v>
      </c>
      <c r="O351" s="4" t="s">
        <v>243</v>
      </c>
      <c r="P351" s="5" t="s">
        <v>85</v>
      </c>
      <c r="Q351" s="56">
        <v>0</v>
      </c>
      <c r="R351" s="56">
        <v>0</v>
      </c>
      <c r="S351" s="56">
        <v>0</v>
      </c>
      <c r="T351" s="56">
        <f>_xlfn.XLOOKUP($N351,'Calculo Leads'!$A$97:$A$134,'Calculo Leads'!G$97:G$134)*_xlfn.XLOOKUP($P351,'Base Grupo de Produtos'!$E$2:$E$18,'Base Grupo de Produtos'!$F$2:$F$18)</f>
        <v>120</v>
      </c>
      <c r="U351" s="56">
        <f>_xlfn.XLOOKUP($N351,'Calculo Leads'!$A$97:$A$134,'Calculo Leads'!H$97:H$134)*_xlfn.XLOOKUP($P351,'Base Grupo de Produtos'!$E$2:$E$18,'Base Grupo de Produtos'!$F$2:$F$18)</f>
        <v>140</v>
      </c>
      <c r="V351" s="56">
        <f>_xlfn.XLOOKUP($N351,'Calculo Leads'!$A$97:$A$134,'Calculo Leads'!I$97:I$134)*_xlfn.XLOOKUP($P351,'Base Grupo de Produtos'!$E$2:$E$18,'Base Grupo de Produtos'!$F$2:$F$18)</f>
        <v>180</v>
      </c>
      <c r="W351" s="56">
        <f>_xlfn.XLOOKUP($N351,'Calculo Leads'!$A$97:$A$134,'Calculo Leads'!J$97:J$134)*_xlfn.XLOOKUP($P351,'Base Grupo de Produtos'!$E$2:$E$18,'Base Grupo de Produtos'!$F$2:$F$18)</f>
        <v>220</v>
      </c>
      <c r="X351" s="56">
        <f>_xlfn.XLOOKUP($N351,'Calculo Leads'!$A$97:$A$134,'Calculo Leads'!K$97:K$134)*_xlfn.XLOOKUP($P351,'Base Grupo de Produtos'!$E$2:$E$18,'Base Grupo de Produtos'!$F$2:$F$18)</f>
        <v>264</v>
      </c>
      <c r="Y351" s="56">
        <f>_xlfn.XLOOKUP($N351,'Calculo Leads'!$A$97:$A$134,'Calculo Leads'!L$97:L$134)*_xlfn.XLOOKUP($P351,'Base Grupo de Produtos'!$E$2:$E$18,'Base Grupo de Produtos'!$F$2:$F$18)</f>
        <v>330</v>
      </c>
      <c r="Z351" s="56">
        <f>_xlfn.XLOOKUP($N351,'Calculo Leads'!$A$97:$A$134,'Calculo Leads'!M$97:M$134)*_xlfn.XLOOKUP($P351,'Base Grupo de Produtos'!$E$2:$E$18,'Base Grupo de Produtos'!$F$2:$F$18)</f>
        <v>352</v>
      </c>
      <c r="AA351" s="56">
        <f>_xlfn.XLOOKUP($N351,'Calculo Leads'!$A$97:$A$134,'Calculo Leads'!N$97:N$134)*_xlfn.XLOOKUP($P351,'Base Grupo de Produtos'!$E$2:$E$18,'Base Grupo de Produtos'!$F$2:$F$18)</f>
        <v>396</v>
      </c>
      <c r="AB351" s="56">
        <f>_xlfn.XLOOKUP($N351,'Calculo Leads'!$A$97:$A$134,'Calculo Leads'!O$97:O$134)*_xlfn.XLOOKUP($P351,'Base Grupo de Produtos'!$E$2:$E$18,'Base Grupo de Produtos'!$F$2:$F$18)</f>
        <v>286</v>
      </c>
      <c r="AC351" s="61">
        <f t="shared" si="348"/>
        <v>2288</v>
      </c>
      <c r="AD351" s="27">
        <f t="shared" si="382"/>
        <v>2288</v>
      </c>
      <c r="AE351" s="25">
        <f>IFERROR(_xlfn.XLOOKUP(N351&amp;P351,'Historico Vendas'!G:G,'Historico Vendas'!E:E),0)</f>
        <v>0</v>
      </c>
      <c r="AF351" s="29" t="str">
        <f t="shared" si="326"/>
        <v/>
      </c>
      <c r="AG351" s="24">
        <f>IFERROR(_xlfn.XLOOKUP(N351&amp;P351,'Historico Vendas'!G:G,'Historico Vendas'!F:F),0)</f>
        <v>0</v>
      </c>
      <c r="AH351" s="25">
        <f t="shared" si="383"/>
        <v>0</v>
      </c>
      <c r="AI351" s="24">
        <f t="shared" si="384"/>
        <v>0</v>
      </c>
      <c r="AJ351" s="11" t="str">
        <f t="shared" si="347"/>
        <v/>
      </c>
      <c r="AK351" s="9" t="s">
        <v>102</v>
      </c>
      <c r="AL351" s="13">
        <f>IFERROR(INDEX('Balizador da Meta'!$D$3:$F$23,MATCH(Faturamento!$P351,'Balizador da Meta'!$C$3:$C$23,0),MATCH(Faturamento!AK351,'Balizador da Meta'!$D$2:$F$2,0)),"")</f>
        <v>0</v>
      </c>
      <c r="AM351" s="9"/>
    </row>
    <row r="352" spans="1:39" x14ac:dyDescent="0.3">
      <c r="A352" s="2" t="str">
        <f t="shared" si="327"/>
        <v>NÃO</v>
      </c>
      <c r="B352" s="2" t="str">
        <f>_xlfn.XLOOKUP($N352,'Base de Grupos'!$A:$A,'Base de Grupos'!$D:$D)</f>
        <v>1000065763</v>
      </c>
      <c r="C352" s="5" t="str">
        <f>_xlfn.XLOOKUP($N352,'Base de Grupos'!$A:$A,'Base de Grupos'!$E:$E)</f>
        <v>CANAL VENDA INTERNA</v>
      </c>
      <c r="D352" s="5" t="str">
        <f>_xlfn.XLOOKUP($N352,'Base de Grupos'!$A:$A,'Base de Grupos'!$F:$F)</f>
        <v>1000065763</v>
      </c>
      <c r="E352" s="2" t="str">
        <f>_xlfn.XLOOKUP($N352,'Base de Grupos'!$A:$A,'Base de Grupos'!$G:$G)</f>
        <v>CANAL VENDA INTERNA</v>
      </c>
      <c r="F352" s="2" t="str">
        <f>_xlfn.XLOOKUP($N352,'Base de Grupos'!$A:$A,'Base de Grupos'!$H:$H)</f>
        <v>1000105899</v>
      </c>
      <c r="G352" s="5" t="str">
        <f>_xlfn.XLOOKUP($N352,'Base de Grupos'!$A:$A,'Base de Grupos'!$I:$I)</f>
        <v>REGIONAL VENDA DIRETA SUDESTE</v>
      </c>
      <c r="H352" s="5" t="str">
        <f>_xlfn.XLOOKUP($N352,'Base de Grupos'!$A:$A,'Base de Grupos'!$J:$J)</f>
        <v>1000105899</v>
      </c>
      <c r="I352" s="2" t="str">
        <f>_xlfn.XLOOKUP($N352,'Base de Grupos'!$A:$A,'Base de Grupos'!$K:$K)</f>
        <v>REGIONAL VENDA DIRETA SUDESTE</v>
      </c>
      <c r="J352" s="2" t="str">
        <f>_xlfn.XLOOKUP($N352,'Base de Grupos'!$A:$A,'Base de Grupos'!$L:$L)</f>
        <v>1000150135</v>
      </c>
      <c r="K352" s="5" t="str">
        <f>_xlfn.XLOOKUP($N352,'Base de Grupos'!$A:$A,'Base de Grupos'!$M:$M)</f>
        <v>HELDER DA SILVA BRUNKOW</v>
      </c>
      <c r="L352" s="5" t="str">
        <f t="shared" si="328"/>
        <v/>
      </c>
      <c r="M352" s="5" t="str">
        <f>_xlfn.XLOOKUP($N352,'Base de Grupos'!$A:$A,'Base de Grupos'!$C:$C)</f>
        <v>RJ</v>
      </c>
      <c r="N352" s="3">
        <v>1358</v>
      </c>
      <c r="O352" s="4" t="s">
        <v>243</v>
      </c>
      <c r="P352" s="5" t="s">
        <v>92</v>
      </c>
      <c r="Q352" s="56">
        <v>0</v>
      </c>
      <c r="R352" s="56">
        <v>0</v>
      </c>
      <c r="S352" s="56">
        <v>0</v>
      </c>
      <c r="T352" s="56">
        <f>_xlfn.XLOOKUP($N352,'Calculo Leads'!$A$97:$A$134,'Calculo Leads'!G$97:G$134)*_xlfn.XLOOKUP($P352,'Base Grupo de Produtos'!$E$2:$E$18,'Base Grupo de Produtos'!$F$2:$F$18)</f>
        <v>120</v>
      </c>
      <c r="U352" s="56">
        <f>_xlfn.XLOOKUP($N352,'Calculo Leads'!$A$97:$A$134,'Calculo Leads'!H$97:H$134)*_xlfn.XLOOKUP($P352,'Base Grupo de Produtos'!$E$2:$E$18,'Base Grupo de Produtos'!$F$2:$F$18)</f>
        <v>140</v>
      </c>
      <c r="V352" s="56">
        <f>_xlfn.XLOOKUP($N352,'Calculo Leads'!$A$97:$A$134,'Calculo Leads'!I$97:I$134)*_xlfn.XLOOKUP($P352,'Base Grupo de Produtos'!$E$2:$E$18,'Base Grupo de Produtos'!$F$2:$F$18)</f>
        <v>180</v>
      </c>
      <c r="W352" s="56">
        <f>_xlfn.XLOOKUP($N352,'Calculo Leads'!$A$97:$A$134,'Calculo Leads'!J$97:J$134)*_xlfn.XLOOKUP($P352,'Base Grupo de Produtos'!$E$2:$E$18,'Base Grupo de Produtos'!$F$2:$F$18)</f>
        <v>220</v>
      </c>
      <c r="X352" s="56">
        <f>_xlfn.XLOOKUP($N352,'Calculo Leads'!$A$97:$A$134,'Calculo Leads'!K$97:K$134)*_xlfn.XLOOKUP($P352,'Base Grupo de Produtos'!$E$2:$E$18,'Base Grupo de Produtos'!$F$2:$F$18)</f>
        <v>264</v>
      </c>
      <c r="Y352" s="56">
        <f>_xlfn.XLOOKUP($N352,'Calculo Leads'!$A$97:$A$134,'Calculo Leads'!L$97:L$134)*_xlfn.XLOOKUP($P352,'Base Grupo de Produtos'!$E$2:$E$18,'Base Grupo de Produtos'!$F$2:$F$18)</f>
        <v>330</v>
      </c>
      <c r="Z352" s="56">
        <f>_xlfn.XLOOKUP($N352,'Calculo Leads'!$A$97:$A$134,'Calculo Leads'!M$97:M$134)*_xlfn.XLOOKUP($P352,'Base Grupo de Produtos'!$E$2:$E$18,'Base Grupo de Produtos'!$F$2:$F$18)</f>
        <v>352</v>
      </c>
      <c r="AA352" s="56">
        <f>_xlfn.XLOOKUP($N352,'Calculo Leads'!$A$97:$A$134,'Calculo Leads'!N$97:N$134)*_xlfn.XLOOKUP($P352,'Base Grupo de Produtos'!$E$2:$E$18,'Base Grupo de Produtos'!$F$2:$F$18)</f>
        <v>396</v>
      </c>
      <c r="AB352" s="56">
        <f>_xlfn.XLOOKUP($N352,'Calculo Leads'!$A$97:$A$134,'Calculo Leads'!O$97:O$134)*_xlfn.XLOOKUP($P352,'Base Grupo de Produtos'!$E$2:$E$18,'Base Grupo de Produtos'!$F$2:$F$18)</f>
        <v>286</v>
      </c>
      <c r="AC352" s="61">
        <f t="shared" si="348"/>
        <v>2288</v>
      </c>
      <c r="AD352" s="27">
        <f t="shared" si="382"/>
        <v>2288</v>
      </c>
      <c r="AE352" s="25">
        <f>IFERROR(_xlfn.XLOOKUP(N352&amp;P352,'Historico Vendas'!G:G,'Historico Vendas'!E:E),0)</f>
        <v>0</v>
      </c>
      <c r="AF352" s="29" t="str">
        <f t="shared" si="326"/>
        <v/>
      </c>
      <c r="AG352" s="24">
        <f>IFERROR(_xlfn.XLOOKUP(N352&amp;P352,'Historico Vendas'!G:G,'Historico Vendas'!F:F),0)</f>
        <v>0</v>
      </c>
      <c r="AH352" s="25">
        <f t="shared" si="383"/>
        <v>0</v>
      </c>
      <c r="AI352" s="24">
        <f t="shared" si="384"/>
        <v>0</v>
      </c>
      <c r="AJ352" s="11" t="str">
        <f t="shared" si="347"/>
        <v/>
      </c>
      <c r="AK352" s="9" t="s">
        <v>102</v>
      </c>
      <c r="AL352" s="13">
        <f>IFERROR(INDEX('Balizador da Meta'!$D$3:$F$23,MATCH(Faturamento!$P352,'Balizador da Meta'!$C$3:$C$23,0),MATCH(Faturamento!AK352,'Balizador da Meta'!$D$2:$F$2,0)),"")</f>
        <v>0</v>
      </c>
      <c r="AM352" s="9"/>
    </row>
    <row r="353" spans="1:39" x14ac:dyDescent="0.3">
      <c r="A353" s="2" t="str">
        <f t="shared" si="327"/>
        <v>NÃO</v>
      </c>
      <c r="B353" s="2" t="str">
        <f>_xlfn.XLOOKUP($N353,'Base de Grupos'!$A:$A,'Base de Grupos'!$D:$D)</f>
        <v>1000065763</v>
      </c>
      <c r="C353" s="5" t="str">
        <f>_xlfn.XLOOKUP($N353,'Base de Grupos'!$A:$A,'Base de Grupos'!$E:$E)</f>
        <v>CANAL VENDA INTERNA</v>
      </c>
      <c r="D353" s="5" t="str">
        <f>_xlfn.XLOOKUP($N353,'Base de Grupos'!$A:$A,'Base de Grupos'!$F:$F)</f>
        <v>1000065763</v>
      </c>
      <c r="E353" s="2" t="str">
        <f>_xlfn.XLOOKUP($N353,'Base de Grupos'!$A:$A,'Base de Grupos'!$G:$G)</f>
        <v>CANAL VENDA INTERNA</v>
      </c>
      <c r="F353" s="2" t="str">
        <f>_xlfn.XLOOKUP($N353,'Base de Grupos'!$A:$A,'Base de Grupos'!$H:$H)</f>
        <v>1000105899</v>
      </c>
      <c r="G353" s="5" t="str">
        <f>_xlfn.XLOOKUP($N353,'Base de Grupos'!$A:$A,'Base de Grupos'!$I:$I)</f>
        <v>REGIONAL VENDA DIRETA SUDESTE</v>
      </c>
      <c r="H353" s="5" t="str">
        <f>_xlfn.XLOOKUP($N353,'Base de Grupos'!$A:$A,'Base de Grupos'!$J:$J)</f>
        <v>1000105899</v>
      </c>
      <c r="I353" s="2" t="str">
        <f>_xlfn.XLOOKUP($N353,'Base de Grupos'!$A:$A,'Base de Grupos'!$K:$K)</f>
        <v>REGIONAL VENDA DIRETA SUDESTE</v>
      </c>
      <c r="J353" s="2" t="str">
        <f>_xlfn.XLOOKUP($N353,'Base de Grupos'!$A:$A,'Base de Grupos'!$L:$L)</f>
        <v>1000150135</v>
      </c>
      <c r="K353" s="5" t="str">
        <f>_xlfn.XLOOKUP($N353,'Base de Grupos'!$A:$A,'Base de Grupos'!$M:$M)</f>
        <v>HELDER DA SILVA BRUNKOW</v>
      </c>
      <c r="L353" s="5" t="str">
        <f t="shared" si="328"/>
        <v/>
      </c>
      <c r="M353" s="5" t="str">
        <f>_xlfn.XLOOKUP($N353,'Base de Grupos'!$A:$A,'Base de Grupos'!$C:$C)</f>
        <v>RJ</v>
      </c>
      <c r="N353" s="3">
        <v>1358</v>
      </c>
      <c r="O353" s="4" t="s">
        <v>243</v>
      </c>
      <c r="P353" s="5" t="s">
        <v>86</v>
      </c>
      <c r="Q353" s="56">
        <v>0</v>
      </c>
      <c r="R353" s="56">
        <v>0</v>
      </c>
      <c r="S353" s="56">
        <v>0</v>
      </c>
      <c r="T353" s="56">
        <f>_xlfn.XLOOKUP($N353,'Calculo Leads'!$A$97:$A$134,'Calculo Leads'!G$97:G$134)*_xlfn.XLOOKUP($P353,'Base Grupo de Produtos'!$E$2:$E$18,'Base Grupo de Produtos'!$F$2:$F$18)</f>
        <v>180</v>
      </c>
      <c r="U353" s="56">
        <f>_xlfn.XLOOKUP($N353,'Calculo Leads'!$A$97:$A$134,'Calculo Leads'!H$97:H$134)*_xlfn.XLOOKUP($P353,'Base Grupo de Produtos'!$E$2:$E$18,'Base Grupo de Produtos'!$F$2:$F$18)</f>
        <v>210</v>
      </c>
      <c r="V353" s="56">
        <f>_xlfn.XLOOKUP($N353,'Calculo Leads'!$A$97:$A$134,'Calculo Leads'!I$97:I$134)*_xlfn.XLOOKUP($P353,'Base Grupo de Produtos'!$E$2:$E$18,'Base Grupo de Produtos'!$F$2:$F$18)</f>
        <v>270</v>
      </c>
      <c r="W353" s="56">
        <f>_xlfn.XLOOKUP($N353,'Calculo Leads'!$A$97:$A$134,'Calculo Leads'!J$97:J$134)*_xlfn.XLOOKUP($P353,'Base Grupo de Produtos'!$E$2:$E$18,'Base Grupo de Produtos'!$F$2:$F$18)</f>
        <v>330</v>
      </c>
      <c r="X353" s="56">
        <f>_xlfn.XLOOKUP($N353,'Calculo Leads'!$A$97:$A$134,'Calculo Leads'!K$97:K$134)*_xlfn.XLOOKUP($P353,'Base Grupo de Produtos'!$E$2:$E$18,'Base Grupo de Produtos'!$F$2:$F$18)</f>
        <v>396</v>
      </c>
      <c r="Y353" s="56">
        <f>_xlfn.XLOOKUP($N353,'Calculo Leads'!$A$97:$A$134,'Calculo Leads'!L$97:L$134)*_xlfn.XLOOKUP($P353,'Base Grupo de Produtos'!$E$2:$E$18,'Base Grupo de Produtos'!$F$2:$F$18)</f>
        <v>495</v>
      </c>
      <c r="Z353" s="56">
        <f>_xlfn.XLOOKUP($N353,'Calculo Leads'!$A$97:$A$134,'Calculo Leads'!M$97:M$134)*_xlfn.XLOOKUP($P353,'Base Grupo de Produtos'!$E$2:$E$18,'Base Grupo de Produtos'!$F$2:$F$18)</f>
        <v>528</v>
      </c>
      <c r="AA353" s="56">
        <f>_xlfn.XLOOKUP($N353,'Calculo Leads'!$A$97:$A$134,'Calculo Leads'!N$97:N$134)*_xlfn.XLOOKUP($P353,'Base Grupo de Produtos'!$E$2:$E$18,'Base Grupo de Produtos'!$F$2:$F$18)</f>
        <v>594</v>
      </c>
      <c r="AB353" s="56">
        <f>_xlfn.XLOOKUP($N353,'Calculo Leads'!$A$97:$A$134,'Calculo Leads'!O$97:O$134)*_xlfn.XLOOKUP($P353,'Base Grupo de Produtos'!$E$2:$E$18,'Base Grupo de Produtos'!$F$2:$F$18)</f>
        <v>429</v>
      </c>
      <c r="AC353" s="61">
        <f t="shared" si="348"/>
        <v>3432</v>
      </c>
      <c r="AD353" s="27">
        <f t="shared" si="382"/>
        <v>3432</v>
      </c>
      <c r="AE353" s="25">
        <f>IFERROR(_xlfn.XLOOKUP(N353&amp;P353,'Historico Vendas'!G:G,'Historico Vendas'!E:E),0)</f>
        <v>0</v>
      </c>
      <c r="AF353" s="29" t="str">
        <f t="shared" si="326"/>
        <v/>
      </c>
      <c r="AG353" s="24">
        <f>IFERROR(_xlfn.XLOOKUP(N353&amp;P353,'Historico Vendas'!G:G,'Historico Vendas'!F:F),0)</f>
        <v>0</v>
      </c>
      <c r="AH353" s="25">
        <f t="shared" si="383"/>
        <v>0</v>
      </c>
      <c r="AI353" s="24">
        <f t="shared" si="384"/>
        <v>0</v>
      </c>
      <c r="AJ353" s="11" t="str">
        <f t="shared" si="347"/>
        <v/>
      </c>
      <c r="AK353" s="9" t="s">
        <v>102</v>
      </c>
      <c r="AL353" s="13">
        <f>IFERROR(INDEX('Balizador da Meta'!$D$3:$F$23,MATCH(Faturamento!$P353,'Balizador da Meta'!$C$3:$C$23,0),MATCH(Faturamento!AK353,'Balizador da Meta'!$D$2:$F$2,0)),"")</f>
        <v>0.15</v>
      </c>
      <c r="AM353" s="9"/>
    </row>
    <row r="354" spans="1:39" x14ac:dyDescent="0.3">
      <c r="A354" s="2" t="str">
        <f t="shared" si="327"/>
        <v>NÃO</v>
      </c>
      <c r="B354" s="2" t="str">
        <f>_xlfn.XLOOKUP($N354,'Base de Grupos'!$A:$A,'Base de Grupos'!$D:$D)</f>
        <v>1000065763</v>
      </c>
      <c r="C354" s="5" t="str">
        <f>_xlfn.XLOOKUP($N354,'Base de Grupos'!$A:$A,'Base de Grupos'!$E:$E)</f>
        <v>CANAL VENDA INTERNA</v>
      </c>
      <c r="D354" s="5" t="str">
        <f>_xlfn.XLOOKUP($N354,'Base de Grupos'!$A:$A,'Base de Grupos'!$F:$F)</f>
        <v>1000065763</v>
      </c>
      <c r="E354" s="2" t="str">
        <f>_xlfn.XLOOKUP($N354,'Base de Grupos'!$A:$A,'Base de Grupos'!$G:$G)</f>
        <v>CANAL VENDA INTERNA</v>
      </c>
      <c r="F354" s="2" t="str">
        <f>_xlfn.XLOOKUP($N354,'Base de Grupos'!$A:$A,'Base de Grupos'!$H:$H)</f>
        <v>1000105899</v>
      </c>
      <c r="G354" s="5" t="str">
        <f>_xlfn.XLOOKUP($N354,'Base de Grupos'!$A:$A,'Base de Grupos'!$I:$I)</f>
        <v>REGIONAL VENDA DIRETA SUDESTE</v>
      </c>
      <c r="H354" s="5" t="str">
        <f>_xlfn.XLOOKUP($N354,'Base de Grupos'!$A:$A,'Base de Grupos'!$J:$J)</f>
        <v>1000105899</v>
      </c>
      <c r="I354" s="2" t="str">
        <f>_xlfn.XLOOKUP($N354,'Base de Grupos'!$A:$A,'Base de Grupos'!$K:$K)</f>
        <v>REGIONAL VENDA DIRETA SUDESTE</v>
      </c>
      <c r="J354" s="2" t="str">
        <f>_xlfn.XLOOKUP($N354,'Base de Grupos'!$A:$A,'Base de Grupos'!$L:$L)</f>
        <v>1000150135</v>
      </c>
      <c r="K354" s="5" t="str">
        <f>_xlfn.XLOOKUP($N354,'Base de Grupos'!$A:$A,'Base de Grupos'!$M:$M)</f>
        <v>HELDER DA SILVA BRUNKOW</v>
      </c>
      <c r="L354" s="5" t="str">
        <f t="shared" si="328"/>
        <v/>
      </c>
      <c r="M354" s="5" t="str">
        <f>_xlfn.XLOOKUP($N354,'Base de Grupos'!$A:$A,'Base de Grupos'!$C:$C)</f>
        <v>RJ</v>
      </c>
      <c r="N354" s="3">
        <v>1358</v>
      </c>
      <c r="O354" s="4" t="s">
        <v>243</v>
      </c>
      <c r="P354" s="5" t="s">
        <v>108</v>
      </c>
      <c r="Q354" s="56">
        <v>0</v>
      </c>
      <c r="R354" s="56">
        <v>0</v>
      </c>
      <c r="S354" s="56">
        <v>0</v>
      </c>
      <c r="T354" s="56">
        <f>_xlfn.XLOOKUP($N354,'Calculo Leads'!$A$97:$A$134,'Calculo Leads'!G$97:G$134)*_xlfn.XLOOKUP($P354,'Base Grupo de Produtos'!$E$2:$E$18,'Base Grupo de Produtos'!$F$2:$F$18)</f>
        <v>1500</v>
      </c>
      <c r="U354" s="56">
        <f>_xlfn.XLOOKUP($N354,'Calculo Leads'!$A$97:$A$134,'Calculo Leads'!H$97:H$134)*_xlfn.XLOOKUP($P354,'Base Grupo de Produtos'!$E$2:$E$18,'Base Grupo de Produtos'!$F$2:$F$18)</f>
        <v>1750</v>
      </c>
      <c r="V354" s="56">
        <f>_xlfn.XLOOKUP($N354,'Calculo Leads'!$A$97:$A$134,'Calculo Leads'!I$97:I$134)*_xlfn.XLOOKUP($P354,'Base Grupo de Produtos'!$E$2:$E$18,'Base Grupo de Produtos'!$F$2:$F$18)</f>
        <v>2250</v>
      </c>
      <c r="W354" s="56">
        <f>_xlfn.XLOOKUP($N354,'Calculo Leads'!$A$97:$A$134,'Calculo Leads'!J$97:J$134)*_xlfn.XLOOKUP($P354,'Base Grupo de Produtos'!$E$2:$E$18,'Base Grupo de Produtos'!$F$2:$F$18)</f>
        <v>2750</v>
      </c>
      <c r="X354" s="56">
        <f>_xlfn.XLOOKUP($N354,'Calculo Leads'!$A$97:$A$134,'Calculo Leads'!K$97:K$134)*_xlfn.XLOOKUP($P354,'Base Grupo de Produtos'!$E$2:$E$18,'Base Grupo de Produtos'!$F$2:$F$18)</f>
        <v>3300</v>
      </c>
      <c r="Y354" s="56">
        <f>_xlfn.XLOOKUP($N354,'Calculo Leads'!$A$97:$A$134,'Calculo Leads'!L$97:L$134)*_xlfn.XLOOKUP($P354,'Base Grupo de Produtos'!$E$2:$E$18,'Base Grupo de Produtos'!$F$2:$F$18)</f>
        <v>4125</v>
      </c>
      <c r="Z354" s="56">
        <f>_xlfn.XLOOKUP($N354,'Calculo Leads'!$A$97:$A$134,'Calculo Leads'!M$97:M$134)*_xlfn.XLOOKUP($P354,'Base Grupo de Produtos'!$E$2:$E$18,'Base Grupo de Produtos'!$F$2:$F$18)</f>
        <v>4400</v>
      </c>
      <c r="AA354" s="56">
        <f>_xlfn.XLOOKUP($N354,'Calculo Leads'!$A$97:$A$134,'Calculo Leads'!N$97:N$134)*_xlfn.XLOOKUP($P354,'Base Grupo de Produtos'!$E$2:$E$18,'Base Grupo de Produtos'!$F$2:$F$18)</f>
        <v>4950</v>
      </c>
      <c r="AB354" s="56">
        <f>_xlfn.XLOOKUP($N354,'Calculo Leads'!$A$97:$A$134,'Calculo Leads'!O$97:O$134)*_xlfn.XLOOKUP($P354,'Base Grupo de Produtos'!$E$2:$E$18,'Base Grupo de Produtos'!$F$2:$F$18)</f>
        <v>3575</v>
      </c>
      <c r="AC354" s="61">
        <f t="shared" si="348"/>
        <v>28600</v>
      </c>
      <c r="AD354" s="27">
        <f t="shared" si="382"/>
        <v>28600</v>
      </c>
      <c r="AE354" s="25">
        <f>IFERROR(_xlfn.XLOOKUP(N354&amp;P354,'Historico Vendas'!G:G,'Historico Vendas'!E:E),0)</f>
        <v>0</v>
      </c>
      <c r="AF354" s="29" t="str">
        <f t="shared" si="326"/>
        <v/>
      </c>
      <c r="AG354" s="24">
        <f>IFERROR(_xlfn.XLOOKUP(N354&amp;P354,'Historico Vendas'!G:G,'Historico Vendas'!F:F),0)</f>
        <v>0</v>
      </c>
      <c r="AH354" s="25">
        <f t="shared" si="383"/>
        <v>0</v>
      </c>
      <c r="AI354" s="24">
        <f t="shared" si="384"/>
        <v>0</v>
      </c>
      <c r="AJ354" s="11" t="str">
        <f t="shared" si="347"/>
        <v/>
      </c>
      <c r="AK354" s="9" t="s">
        <v>102</v>
      </c>
      <c r="AL354" s="13">
        <f>IFERROR(INDEX('Balizador da Meta'!$D$3:$F$23,MATCH(Faturamento!$P354,'Balizador da Meta'!$C$3:$C$23,0),MATCH(Faturamento!AK354,'Balizador da Meta'!$D$2:$F$2,0)),"")</f>
        <v>0</v>
      </c>
      <c r="AM354" s="9"/>
    </row>
    <row r="355" spans="1:39" x14ac:dyDescent="0.3">
      <c r="A355" s="2" t="str">
        <f t="shared" si="327"/>
        <v>NÃO</v>
      </c>
      <c r="B355" s="2" t="str">
        <f>_xlfn.XLOOKUP($N355,'Base de Grupos'!$A:$A,'Base de Grupos'!$D:$D)</f>
        <v>1000065763</v>
      </c>
      <c r="C355" s="5" t="str">
        <f>_xlfn.XLOOKUP($N355,'Base de Grupos'!$A:$A,'Base de Grupos'!$E:$E)</f>
        <v>CANAL VENDA INTERNA</v>
      </c>
      <c r="D355" s="5" t="str">
        <f>_xlfn.XLOOKUP($N355,'Base de Grupos'!$A:$A,'Base de Grupos'!$F:$F)</f>
        <v>1000065763</v>
      </c>
      <c r="E355" s="2" t="str">
        <f>_xlfn.XLOOKUP($N355,'Base de Grupos'!$A:$A,'Base de Grupos'!$G:$G)</f>
        <v>CANAL VENDA INTERNA</v>
      </c>
      <c r="F355" s="2" t="str">
        <f>_xlfn.XLOOKUP($N355,'Base de Grupos'!$A:$A,'Base de Grupos'!$H:$H)</f>
        <v>1000105899</v>
      </c>
      <c r="G355" s="5" t="str">
        <f>_xlfn.XLOOKUP($N355,'Base de Grupos'!$A:$A,'Base de Grupos'!$I:$I)</f>
        <v>REGIONAL VENDA DIRETA SUDESTE</v>
      </c>
      <c r="H355" s="5" t="str">
        <f>_xlfn.XLOOKUP($N355,'Base de Grupos'!$A:$A,'Base de Grupos'!$J:$J)</f>
        <v>1000105899</v>
      </c>
      <c r="I355" s="2" t="str">
        <f>_xlfn.XLOOKUP($N355,'Base de Grupos'!$A:$A,'Base de Grupos'!$K:$K)</f>
        <v>REGIONAL VENDA DIRETA SUDESTE</v>
      </c>
      <c r="J355" s="2" t="str">
        <f>_xlfn.XLOOKUP($N355,'Base de Grupos'!$A:$A,'Base de Grupos'!$L:$L)</f>
        <v>1000150135</v>
      </c>
      <c r="K355" s="5" t="str">
        <f>_xlfn.XLOOKUP($N355,'Base de Grupos'!$A:$A,'Base de Grupos'!$M:$M)</f>
        <v>HELDER DA SILVA BRUNKOW</v>
      </c>
      <c r="L355" s="5" t="str">
        <f t="shared" si="328"/>
        <v/>
      </c>
      <c r="M355" s="5" t="str">
        <f>_xlfn.XLOOKUP($N355,'Base de Grupos'!$A:$A,'Base de Grupos'!$C:$C)</f>
        <v>RJ</v>
      </c>
      <c r="N355" s="3">
        <v>1358</v>
      </c>
      <c r="O355" s="4" t="s">
        <v>243</v>
      </c>
      <c r="P355" s="5" t="s">
        <v>89</v>
      </c>
      <c r="Q355" s="56">
        <v>0</v>
      </c>
      <c r="R355" s="56">
        <v>0</v>
      </c>
      <c r="S355" s="56">
        <v>0</v>
      </c>
      <c r="T355" s="56">
        <f>_xlfn.XLOOKUP($N355,'Calculo Leads'!$A$97:$A$134,'Calculo Leads'!G$97:G$134)*_xlfn.XLOOKUP($P355,'Base Grupo de Produtos'!$E$2:$E$18,'Base Grupo de Produtos'!$F$2:$F$18)</f>
        <v>300</v>
      </c>
      <c r="U355" s="56">
        <f>_xlfn.XLOOKUP($N355,'Calculo Leads'!$A$97:$A$134,'Calculo Leads'!H$97:H$134)*_xlfn.XLOOKUP($P355,'Base Grupo de Produtos'!$E$2:$E$18,'Base Grupo de Produtos'!$F$2:$F$18)</f>
        <v>350</v>
      </c>
      <c r="V355" s="56">
        <f>_xlfn.XLOOKUP($N355,'Calculo Leads'!$A$97:$A$134,'Calculo Leads'!I$97:I$134)*_xlfn.XLOOKUP($P355,'Base Grupo de Produtos'!$E$2:$E$18,'Base Grupo de Produtos'!$F$2:$F$18)</f>
        <v>450</v>
      </c>
      <c r="W355" s="56">
        <f>_xlfn.XLOOKUP($N355,'Calculo Leads'!$A$97:$A$134,'Calculo Leads'!J$97:J$134)*_xlfn.XLOOKUP($P355,'Base Grupo de Produtos'!$E$2:$E$18,'Base Grupo de Produtos'!$F$2:$F$18)</f>
        <v>550</v>
      </c>
      <c r="X355" s="56">
        <f>_xlfn.XLOOKUP($N355,'Calculo Leads'!$A$97:$A$134,'Calculo Leads'!K$97:K$134)*_xlfn.XLOOKUP($P355,'Base Grupo de Produtos'!$E$2:$E$18,'Base Grupo de Produtos'!$F$2:$F$18)</f>
        <v>660</v>
      </c>
      <c r="Y355" s="56">
        <f>_xlfn.XLOOKUP($N355,'Calculo Leads'!$A$97:$A$134,'Calculo Leads'!L$97:L$134)*_xlfn.XLOOKUP($P355,'Base Grupo de Produtos'!$E$2:$E$18,'Base Grupo de Produtos'!$F$2:$F$18)</f>
        <v>825</v>
      </c>
      <c r="Z355" s="56">
        <f>_xlfn.XLOOKUP($N355,'Calculo Leads'!$A$97:$A$134,'Calculo Leads'!M$97:M$134)*_xlfn.XLOOKUP($P355,'Base Grupo de Produtos'!$E$2:$E$18,'Base Grupo de Produtos'!$F$2:$F$18)</f>
        <v>880</v>
      </c>
      <c r="AA355" s="56">
        <f>_xlfn.XLOOKUP($N355,'Calculo Leads'!$A$97:$A$134,'Calculo Leads'!N$97:N$134)*_xlfn.XLOOKUP($P355,'Base Grupo de Produtos'!$E$2:$E$18,'Base Grupo de Produtos'!$F$2:$F$18)</f>
        <v>990</v>
      </c>
      <c r="AB355" s="56">
        <f>_xlfn.XLOOKUP($N355,'Calculo Leads'!$A$97:$A$134,'Calculo Leads'!O$97:O$134)*_xlfn.XLOOKUP($P355,'Base Grupo de Produtos'!$E$2:$E$18,'Base Grupo de Produtos'!$F$2:$F$18)</f>
        <v>715</v>
      </c>
      <c r="AC355" s="61">
        <f t="shared" si="348"/>
        <v>5720</v>
      </c>
      <c r="AD355" s="27">
        <f t="shared" si="382"/>
        <v>5720</v>
      </c>
      <c r="AE355" s="25">
        <f>IFERROR(_xlfn.XLOOKUP(N355&amp;P355,'Historico Vendas'!G:G,'Historico Vendas'!E:E),0)</f>
        <v>0</v>
      </c>
      <c r="AF355" s="29" t="str">
        <f t="shared" si="326"/>
        <v/>
      </c>
      <c r="AG355" s="24">
        <f>IFERROR(_xlfn.XLOOKUP(N355&amp;P355,'Historico Vendas'!G:G,'Historico Vendas'!F:F),0)</f>
        <v>0</v>
      </c>
      <c r="AH355" s="25">
        <f t="shared" si="383"/>
        <v>0</v>
      </c>
      <c r="AI355" s="24">
        <f t="shared" si="384"/>
        <v>0</v>
      </c>
      <c r="AJ355" s="11" t="str">
        <f t="shared" si="347"/>
        <v/>
      </c>
      <c r="AK355" s="9" t="s">
        <v>102</v>
      </c>
      <c r="AL355" s="13">
        <f>IFERROR(INDEX('Balizador da Meta'!$D$3:$F$23,MATCH(Faturamento!$P355,'Balizador da Meta'!$C$3:$C$23,0),MATCH(Faturamento!AK355,'Balizador da Meta'!$D$2:$F$2,0)),"")</f>
        <v>0.25</v>
      </c>
      <c r="AM355" s="9"/>
    </row>
    <row r="356" spans="1:39" x14ac:dyDescent="0.3">
      <c r="A356" s="2" t="str">
        <f t="shared" si="327"/>
        <v>NÃO</v>
      </c>
      <c r="B356" s="2" t="str">
        <f>_xlfn.XLOOKUP($N356,'Base de Grupos'!$A:$A,'Base de Grupos'!$D:$D)</f>
        <v>1000065763</v>
      </c>
      <c r="C356" s="5" t="str">
        <f>_xlfn.XLOOKUP($N356,'Base de Grupos'!$A:$A,'Base de Grupos'!$E:$E)</f>
        <v>CANAL VENDA INTERNA</v>
      </c>
      <c r="D356" s="5" t="str">
        <f>_xlfn.XLOOKUP($N356,'Base de Grupos'!$A:$A,'Base de Grupos'!$F:$F)</f>
        <v>1000065763</v>
      </c>
      <c r="E356" s="2" t="str">
        <f>_xlfn.XLOOKUP($N356,'Base de Grupos'!$A:$A,'Base de Grupos'!$G:$G)</f>
        <v>CANAL VENDA INTERNA</v>
      </c>
      <c r="F356" s="2" t="str">
        <f>_xlfn.XLOOKUP($N356,'Base de Grupos'!$A:$A,'Base de Grupos'!$H:$H)</f>
        <v>1000105899</v>
      </c>
      <c r="G356" s="5" t="str">
        <f>_xlfn.XLOOKUP($N356,'Base de Grupos'!$A:$A,'Base de Grupos'!$I:$I)</f>
        <v>REGIONAL VENDA DIRETA SUDESTE</v>
      </c>
      <c r="H356" s="5" t="str">
        <f>_xlfn.XLOOKUP($N356,'Base de Grupos'!$A:$A,'Base de Grupos'!$J:$J)</f>
        <v>1000105899</v>
      </c>
      <c r="I356" s="2" t="str">
        <f>_xlfn.XLOOKUP($N356,'Base de Grupos'!$A:$A,'Base de Grupos'!$K:$K)</f>
        <v>REGIONAL VENDA DIRETA SUDESTE</v>
      </c>
      <c r="J356" s="2" t="str">
        <f>_xlfn.XLOOKUP($N356,'Base de Grupos'!$A:$A,'Base de Grupos'!$L:$L)</f>
        <v>1000150135</v>
      </c>
      <c r="K356" s="5" t="str">
        <f>_xlfn.XLOOKUP($N356,'Base de Grupos'!$A:$A,'Base de Grupos'!$M:$M)</f>
        <v>HELDER DA SILVA BRUNKOW</v>
      </c>
      <c r="L356" s="5" t="str">
        <f t="shared" si="328"/>
        <v/>
      </c>
      <c r="M356" s="5" t="str">
        <f>_xlfn.XLOOKUP($N356,'Base de Grupos'!$A:$A,'Base de Grupos'!$C:$C)</f>
        <v>RJ</v>
      </c>
      <c r="N356" s="3">
        <v>1358</v>
      </c>
      <c r="O356" s="4" t="s">
        <v>243</v>
      </c>
      <c r="P356" s="5" t="s">
        <v>88</v>
      </c>
      <c r="Q356" s="56">
        <v>0</v>
      </c>
      <c r="R356" s="56">
        <v>0</v>
      </c>
      <c r="S356" s="56">
        <v>0</v>
      </c>
      <c r="T356" s="56">
        <f>_xlfn.XLOOKUP($N356,'Calculo Leads'!$A$97:$A$134,'Calculo Leads'!G$97:G$134)*_xlfn.XLOOKUP($P356,'Base Grupo de Produtos'!$E$2:$E$18,'Base Grupo de Produtos'!$F$2:$F$18)</f>
        <v>300</v>
      </c>
      <c r="U356" s="56">
        <f>_xlfn.XLOOKUP($N356,'Calculo Leads'!$A$97:$A$134,'Calculo Leads'!H$97:H$134)*_xlfn.XLOOKUP($P356,'Base Grupo de Produtos'!$E$2:$E$18,'Base Grupo de Produtos'!$F$2:$F$18)</f>
        <v>350</v>
      </c>
      <c r="V356" s="56">
        <f>_xlfn.XLOOKUP($N356,'Calculo Leads'!$A$97:$A$134,'Calculo Leads'!I$97:I$134)*_xlfn.XLOOKUP($P356,'Base Grupo de Produtos'!$E$2:$E$18,'Base Grupo de Produtos'!$F$2:$F$18)</f>
        <v>450</v>
      </c>
      <c r="W356" s="56">
        <f>_xlfn.XLOOKUP($N356,'Calculo Leads'!$A$97:$A$134,'Calculo Leads'!J$97:J$134)*_xlfn.XLOOKUP($P356,'Base Grupo de Produtos'!$E$2:$E$18,'Base Grupo de Produtos'!$F$2:$F$18)</f>
        <v>550</v>
      </c>
      <c r="X356" s="56">
        <f>_xlfn.XLOOKUP($N356,'Calculo Leads'!$A$97:$A$134,'Calculo Leads'!K$97:K$134)*_xlfn.XLOOKUP($P356,'Base Grupo de Produtos'!$E$2:$E$18,'Base Grupo de Produtos'!$F$2:$F$18)</f>
        <v>660</v>
      </c>
      <c r="Y356" s="56">
        <f>_xlfn.XLOOKUP($N356,'Calculo Leads'!$A$97:$A$134,'Calculo Leads'!L$97:L$134)*_xlfn.XLOOKUP($P356,'Base Grupo de Produtos'!$E$2:$E$18,'Base Grupo de Produtos'!$F$2:$F$18)</f>
        <v>825</v>
      </c>
      <c r="Z356" s="56">
        <f>_xlfn.XLOOKUP($N356,'Calculo Leads'!$A$97:$A$134,'Calculo Leads'!M$97:M$134)*_xlfn.XLOOKUP($P356,'Base Grupo de Produtos'!$E$2:$E$18,'Base Grupo de Produtos'!$F$2:$F$18)</f>
        <v>880</v>
      </c>
      <c r="AA356" s="56">
        <f>_xlfn.XLOOKUP($N356,'Calculo Leads'!$A$97:$A$134,'Calculo Leads'!N$97:N$134)*_xlfn.XLOOKUP($P356,'Base Grupo de Produtos'!$E$2:$E$18,'Base Grupo de Produtos'!$F$2:$F$18)</f>
        <v>990</v>
      </c>
      <c r="AB356" s="56">
        <f>_xlfn.XLOOKUP($N356,'Calculo Leads'!$A$97:$A$134,'Calculo Leads'!O$97:O$134)*_xlfn.XLOOKUP($P356,'Base Grupo de Produtos'!$E$2:$E$18,'Base Grupo de Produtos'!$F$2:$F$18)</f>
        <v>715</v>
      </c>
      <c r="AC356" s="61">
        <f t="shared" si="348"/>
        <v>5720</v>
      </c>
      <c r="AD356" s="27">
        <f t="shared" si="382"/>
        <v>5720</v>
      </c>
      <c r="AE356" s="25">
        <f>IFERROR(_xlfn.XLOOKUP(N356&amp;P356,'Historico Vendas'!G:G,'Historico Vendas'!E:E),0)</f>
        <v>0</v>
      </c>
      <c r="AF356" s="29" t="str">
        <f t="shared" si="326"/>
        <v/>
      </c>
      <c r="AG356" s="24">
        <f>IFERROR(_xlfn.XLOOKUP(N356&amp;P356,'Historico Vendas'!G:G,'Historico Vendas'!F:F),0)</f>
        <v>0</v>
      </c>
      <c r="AH356" s="25">
        <f t="shared" si="383"/>
        <v>0</v>
      </c>
      <c r="AI356" s="24">
        <f t="shared" si="384"/>
        <v>0</v>
      </c>
      <c r="AJ356" s="11" t="str">
        <f t="shared" si="347"/>
        <v/>
      </c>
      <c r="AK356" s="9" t="s">
        <v>102</v>
      </c>
      <c r="AL356" s="13">
        <f>IFERROR(INDEX('Balizador da Meta'!$D$3:$F$23,MATCH(Faturamento!$P356,'Balizador da Meta'!$C$3:$C$23,0),MATCH(Faturamento!AK356,'Balizador da Meta'!$D$2:$F$2,0)),"")</f>
        <v>0</v>
      </c>
      <c r="AM356" s="9"/>
    </row>
    <row r="357" spans="1:39" x14ac:dyDescent="0.3">
      <c r="A357" s="2" t="str">
        <f t="shared" si="327"/>
        <v>NÃO</v>
      </c>
      <c r="B357" s="2" t="str">
        <f>_xlfn.XLOOKUP($N357,'Base de Grupos'!$A:$A,'Base de Grupos'!$D:$D)</f>
        <v>1000065763</v>
      </c>
      <c r="C357" s="5" t="str">
        <f>_xlfn.XLOOKUP($N357,'Base de Grupos'!$A:$A,'Base de Grupos'!$E:$E)</f>
        <v>CANAL VENDA INTERNA</v>
      </c>
      <c r="D357" s="5" t="str">
        <f>_xlfn.XLOOKUP($N357,'Base de Grupos'!$A:$A,'Base de Grupos'!$F:$F)</f>
        <v>1000065763</v>
      </c>
      <c r="E357" s="2" t="str">
        <f>_xlfn.XLOOKUP($N357,'Base de Grupos'!$A:$A,'Base de Grupos'!$G:$G)</f>
        <v>CANAL VENDA INTERNA</v>
      </c>
      <c r="F357" s="2" t="str">
        <f>_xlfn.XLOOKUP($N357,'Base de Grupos'!$A:$A,'Base de Grupos'!$H:$H)</f>
        <v>1000105899</v>
      </c>
      <c r="G357" s="5" t="str">
        <f>_xlfn.XLOOKUP($N357,'Base de Grupos'!$A:$A,'Base de Grupos'!$I:$I)</f>
        <v>REGIONAL VENDA DIRETA SUDESTE</v>
      </c>
      <c r="H357" s="5" t="str">
        <f>_xlfn.XLOOKUP($N357,'Base de Grupos'!$A:$A,'Base de Grupos'!$J:$J)</f>
        <v>1000105899</v>
      </c>
      <c r="I357" s="2" t="str">
        <f>_xlfn.XLOOKUP($N357,'Base de Grupos'!$A:$A,'Base de Grupos'!$K:$K)</f>
        <v>REGIONAL VENDA DIRETA SUDESTE</v>
      </c>
      <c r="J357" s="2" t="str">
        <f>_xlfn.XLOOKUP($N357,'Base de Grupos'!$A:$A,'Base de Grupos'!$L:$L)</f>
        <v>1000150135</v>
      </c>
      <c r="K357" s="5" t="str">
        <f>_xlfn.XLOOKUP($N357,'Base de Grupos'!$A:$A,'Base de Grupos'!$M:$M)</f>
        <v>HELDER DA SILVA BRUNKOW</v>
      </c>
      <c r="L357" s="5" t="str">
        <f t="shared" si="328"/>
        <v/>
      </c>
      <c r="M357" s="5" t="str">
        <f>_xlfn.XLOOKUP($N357,'Base de Grupos'!$A:$A,'Base de Grupos'!$C:$C)</f>
        <v>RJ</v>
      </c>
      <c r="N357" s="3">
        <v>1358</v>
      </c>
      <c r="O357" s="4" t="s">
        <v>243</v>
      </c>
      <c r="P357" s="5" t="s">
        <v>90</v>
      </c>
      <c r="Q357" s="56">
        <v>0</v>
      </c>
      <c r="R357" s="56">
        <v>0</v>
      </c>
      <c r="S357" s="56">
        <v>0</v>
      </c>
      <c r="T357" s="56">
        <f>_xlfn.XLOOKUP($N357,'Calculo Leads'!$A$97:$A$134,'Calculo Leads'!G$97:G$134)*_xlfn.XLOOKUP($P357,'Base Grupo de Produtos'!$E$2:$E$18,'Base Grupo de Produtos'!$F$2:$F$18)</f>
        <v>300</v>
      </c>
      <c r="U357" s="56">
        <f>_xlfn.XLOOKUP($N357,'Calculo Leads'!$A$97:$A$134,'Calculo Leads'!H$97:H$134)*_xlfn.XLOOKUP($P357,'Base Grupo de Produtos'!$E$2:$E$18,'Base Grupo de Produtos'!$F$2:$F$18)</f>
        <v>350</v>
      </c>
      <c r="V357" s="56">
        <f>_xlfn.XLOOKUP($N357,'Calculo Leads'!$A$97:$A$134,'Calculo Leads'!I$97:I$134)*_xlfn.XLOOKUP($P357,'Base Grupo de Produtos'!$E$2:$E$18,'Base Grupo de Produtos'!$F$2:$F$18)</f>
        <v>450</v>
      </c>
      <c r="W357" s="56">
        <f>_xlfn.XLOOKUP($N357,'Calculo Leads'!$A$97:$A$134,'Calculo Leads'!J$97:J$134)*_xlfn.XLOOKUP($P357,'Base Grupo de Produtos'!$E$2:$E$18,'Base Grupo de Produtos'!$F$2:$F$18)</f>
        <v>550</v>
      </c>
      <c r="X357" s="56">
        <f>_xlfn.XLOOKUP($N357,'Calculo Leads'!$A$97:$A$134,'Calculo Leads'!K$97:K$134)*_xlfn.XLOOKUP($P357,'Base Grupo de Produtos'!$E$2:$E$18,'Base Grupo de Produtos'!$F$2:$F$18)</f>
        <v>660</v>
      </c>
      <c r="Y357" s="56">
        <f>_xlfn.XLOOKUP($N357,'Calculo Leads'!$A$97:$A$134,'Calculo Leads'!L$97:L$134)*_xlfn.XLOOKUP($P357,'Base Grupo de Produtos'!$E$2:$E$18,'Base Grupo de Produtos'!$F$2:$F$18)</f>
        <v>825</v>
      </c>
      <c r="Z357" s="56">
        <f>_xlfn.XLOOKUP($N357,'Calculo Leads'!$A$97:$A$134,'Calculo Leads'!M$97:M$134)*_xlfn.XLOOKUP($P357,'Base Grupo de Produtos'!$E$2:$E$18,'Base Grupo de Produtos'!$F$2:$F$18)</f>
        <v>880</v>
      </c>
      <c r="AA357" s="56">
        <f>_xlfn.XLOOKUP($N357,'Calculo Leads'!$A$97:$A$134,'Calculo Leads'!N$97:N$134)*_xlfn.XLOOKUP($P357,'Base Grupo de Produtos'!$E$2:$E$18,'Base Grupo de Produtos'!$F$2:$F$18)</f>
        <v>990</v>
      </c>
      <c r="AB357" s="56">
        <f>_xlfn.XLOOKUP($N357,'Calculo Leads'!$A$97:$A$134,'Calculo Leads'!O$97:O$134)*_xlfn.XLOOKUP($P357,'Base Grupo de Produtos'!$E$2:$E$18,'Base Grupo de Produtos'!$F$2:$F$18)</f>
        <v>715</v>
      </c>
      <c r="AC357" s="61">
        <f t="shared" si="348"/>
        <v>5720</v>
      </c>
      <c r="AD357" s="27">
        <f t="shared" si="382"/>
        <v>5720</v>
      </c>
      <c r="AE357" s="25">
        <f>IFERROR(_xlfn.XLOOKUP(N357&amp;P357,'Historico Vendas'!G:G,'Historico Vendas'!E:E),0)</f>
        <v>0</v>
      </c>
      <c r="AF357" s="29" t="str">
        <f t="shared" si="326"/>
        <v/>
      </c>
      <c r="AG357" s="24">
        <f>IFERROR(_xlfn.XLOOKUP(N357&amp;P357,'Historico Vendas'!G:G,'Historico Vendas'!F:F),0)</f>
        <v>0</v>
      </c>
      <c r="AH357" s="25">
        <f t="shared" si="383"/>
        <v>0</v>
      </c>
      <c r="AI357" s="24">
        <f t="shared" si="384"/>
        <v>0</v>
      </c>
      <c r="AJ357" s="11" t="str">
        <f t="shared" si="347"/>
        <v/>
      </c>
      <c r="AK357" s="9" t="s">
        <v>102</v>
      </c>
      <c r="AL357" s="13">
        <f>IFERROR(INDEX('Balizador da Meta'!$D$3:$F$23,MATCH(Faturamento!$P357,'Balizador da Meta'!$C$3:$C$23,0),MATCH(Faturamento!AK357,'Balizador da Meta'!$D$2:$F$2,0)),"")</f>
        <v>0</v>
      </c>
      <c r="AM357" s="9"/>
    </row>
    <row r="358" spans="1:39" x14ac:dyDescent="0.3">
      <c r="A358" s="2" t="str">
        <f t="shared" si="327"/>
        <v>NÃO</v>
      </c>
      <c r="B358" s="2" t="str">
        <f>_xlfn.XLOOKUP($N358,'Base de Grupos'!$A:$A,'Base de Grupos'!$D:$D)</f>
        <v>1000065763</v>
      </c>
      <c r="C358" s="5" t="str">
        <f>_xlfn.XLOOKUP($N358,'Base de Grupos'!$A:$A,'Base de Grupos'!$E:$E)</f>
        <v>CANAL VENDA INTERNA</v>
      </c>
      <c r="D358" s="5" t="str">
        <f>_xlfn.XLOOKUP($N358,'Base de Grupos'!$A:$A,'Base de Grupos'!$F:$F)</f>
        <v>1000065763</v>
      </c>
      <c r="E358" s="2" t="str">
        <f>_xlfn.XLOOKUP($N358,'Base de Grupos'!$A:$A,'Base de Grupos'!$G:$G)</f>
        <v>CANAL VENDA INTERNA</v>
      </c>
      <c r="F358" s="2" t="str">
        <f>_xlfn.XLOOKUP($N358,'Base de Grupos'!$A:$A,'Base de Grupos'!$H:$H)</f>
        <v>1000105899</v>
      </c>
      <c r="G358" s="5" t="str">
        <f>_xlfn.XLOOKUP($N358,'Base de Grupos'!$A:$A,'Base de Grupos'!$I:$I)</f>
        <v>REGIONAL VENDA DIRETA SUDESTE</v>
      </c>
      <c r="H358" s="5" t="str">
        <f>_xlfn.XLOOKUP($N358,'Base de Grupos'!$A:$A,'Base de Grupos'!$J:$J)</f>
        <v>1000105899</v>
      </c>
      <c r="I358" s="2" t="str">
        <f>_xlfn.XLOOKUP($N358,'Base de Grupos'!$A:$A,'Base de Grupos'!$K:$K)</f>
        <v>REGIONAL VENDA DIRETA SUDESTE</v>
      </c>
      <c r="J358" s="2" t="str">
        <f>_xlfn.XLOOKUP($N358,'Base de Grupos'!$A:$A,'Base de Grupos'!$L:$L)</f>
        <v>1000150135</v>
      </c>
      <c r="K358" s="5" t="str">
        <f>_xlfn.XLOOKUP($N358,'Base de Grupos'!$A:$A,'Base de Grupos'!$M:$M)</f>
        <v>HELDER DA SILVA BRUNKOW</v>
      </c>
      <c r="L358" s="5" t="str">
        <f t="shared" si="328"/>
        <v/>
      </c>
      <c r="M358" s="5" t="str">
        <f>_xlfn.XLOOKUP($N358,'Base de Grupos'!$A:$A,'Base de Grupos'!$C:$C)</f>
        <v>RJ</v>
      </c>
      <c r="N358" s="3">
        <v>1358</v>
      </c>
      <c r="O358" s="4" t="s">
        <v>243</v>
      </c>
      <c r="P358" s="5" t="s">
        <v>91</v>
      </c>
      <c r="Q358" s="56">
        <v>0</v>
      </c>
      <c r="R358" s="56">
        <v>0</v>
      </c>
      <c r="S358" s="56">
        <v>0</v>
      </c>
      <c r="T358" s="56">
        <f>_xlfn.XLOOKUP($N358,'Calculo Leads'!$A$97:$A$134,'Calculo Leads'!G$97:G$134)*_xlfn.XLOOKUP($P358,'Base Grupo de Produtos'!$E$2:$E$18,'Base Grupo de Produtos'!$F$2:$F$18)</f>
        <v>0</v>
      </c>
      <c r="U358" s="56">
        <f>_xlfn.XLOOKUP($N358,'Calculo Leads'!$A$97:$A$134,'Calculo Leads'!H$97:H$134)*_xlfn.XLOOKUP($P358,'Base Grupo de Produtos'!$E$2:$E$18,'Base Grupo de Produtos'!$F$2:$F$18)</f>
        <v>0</v>
      </c>
      <c r="V358" s="56">
        <f>_xlfn.XLOOKUP($N358,'Calculo Leads'!$A$97:$A$134,'Calculo Leads'!I$97:I$134)*_xlfn.XLOOKUP($P358,'Base Grupo de Produtos'!$E$2:$E$18,'Base Grupo de Produtos'!$F$2:$F$18)</f>
        <v>0</v>
      </c>
      <c r="W358" s="56">
        <f>_xlfn.XLOOKUP($N358,'Calculo Leads'!$A$97:$A$134,'Calculo Leads'!J$97:J$134)*_xlfn.XLOOKUP($P358,'Base Grupo de Produtos'!$E$2:$E$18,'Base Grupo de Produtos'!$F$2:$F$18)</f>
        <v>0</v>
      </c>
      <c r="X358" s="56">
        <f>_xlfn.XLOOKUP($N358,'Calculo Leads'!$A$97:$A$134,'Calculo Leads'!K$97:K$134)*_xlfn.XLOOKUP($P358,'Base Grupo de Produtos'!$E$2:$E$18,'Base Grupo de Produtos'!$F$2:$F$18)</f>
        <v>0</v>
      </c>
      <c r="Y358" s="56">
        <f>_xlfn.XLOOKUP($N358,'Calculo Leads'!$A$97:$A$134,'Calculo Leads'!L$97:L$134)*_xlfn.XLOOKUP($P358,'Base Grupo de Produtos'!$E$2:$E$18,'Base Grupo de Produtos'!$F$2:$F$18)</f>
        <v>0</v>
      </c>
      <c r="Z358" s="56">
        <f>_xlfn.XLOOKUP($N358,'Calculo Leads'!$A$97:$A$134,'Calculo Leads'!M$97:M$134)*_xlfn.XLOOKUP($P358,'Base Grupo de Produtos'!$E$2:$E$18,'Base Grupo de Produtos'!$F$2:$F$18)</f>
        <v>0</v>
      </c>
      <c r="AA358" s="56">
        <f>_xlfn.XLOOKUP($N358,'Calculo Leads'!$A$97:$A$134,'Calculo Leads'!N$97:N$134)*_xlfn.XLOOKUP($P358,'Base Grupo de Produtos'!$E$2:$E$18,'Base Grupo de Produtos'!$F$2:$F$18)</f>
        <v>0</v>
      </c>
      <c r="AB358" s="56">
        <f>_xlfn.XLOOKUP($N358,'Calculo Leads'!$A$97:$A$134,'Calculo Leads'!O$97:O$134)*_xlfn.XLOOKUP($P358,'Base Grupo de Produtos'!$E$2:$E$18,'Base Grupo de Produtos'!$F$2:$F$18)</f>
        <v>0</v>
      </c>
      <c r="AC358" s="61">
        <f t="shared" si="348"/>
        <v>0</v>
      </c>
      <c r="AD358" s="27">
        <f t="shared" si="382"/>
        <v>0</v>
      </c>
      <c r="AE358" s="25">
        <f>IFERROR(_xlfn.XLOOKUP(N358&amp;P358,'Historico Vendas'!G:G,'Historico Vendas'!E:E),0)</f>
        <v>0</v>
      </c>
      <c r="AF358" s="29" t="str">
        <f t="shared" si="326"/>
        <v/>
      </c>
      <c r="AG358" s="24">
        <f>IFERROR(_xlfn.XLOOKUP(N358&amp;P358,'Historico Vendas'!G:G,'Historico Vendas'!F:F),0)</f>
        <v>0</v>
      </c>
      <c r="AH358" s="25">
        <f t="shared" si="383"/>
        <v>0</v>
      </c>
      <c r="AI358" s="24">
        <f t="shared" si="384"/>
        <v>0</v>
      </c>
      <c r="AJ358" s="11" t="str">
        <f t="shared" si="347"/>
        <v/>
      </c>
      <c r="AK358" s="9" t="s">
        <v>102</v>
      </c>
      <c r="AL358" s="13">
        <f>IFERROR(INDEX('Balizador da Meta'!$D$3:$F$23,MATCH(Faturamento!$P358,'Balizador da Meta'!$C$3:$C$23,0),MATCH(Faturamento!AK358,'Balizador da Meta'!$D$2:$F$2,0)),"")</f>
        <v>0</v>
      </c>
      <c r="AM358" s="9"/>
    </row>
    <row r="359" spans="1:39" x14ac:dyDescent="0.3">
      <c r="A359" s="2" t="str">
        <f t="shared" si="327"/>
        <v>NÃO</v>
      </c>
      <c r="B359" s="2" t="str">
        <f>_xlfn.XLOOKUP($N359,'Base de Grupos'!$A:$A,'Base de Grupos'!$D:$D)</f>
        <v>1000065763</v>
      </c>
      <c r="C359" s="5" t="str">
        <f>_xlfn.XLOOKUP($N359,'Base de Grupos'!$A:$A,'Base de Grupos'!$E:$E)</f>
        <v>CANAL VENDA INTERNA</v>
      </c>
      <c r="D359" s="5" t="str">
        <f>_xlfn.XLOOKUP($N359,'Base de Grupos'!$A:$A,'Base de Grupos'!$F:$F)</f>
        <v>1000065763</v>
      </c>
      <c r="E359" s="2" t="str">
        <f>_xlfn.XLOOKUP($N359,'Base de Grupos'!$A:$A,'Base de Grupos'!$G:$G)</f>
        <v>CANAL VENDA INTERNA</v>
      </c>
      <c r="F359" s="2" t="str">
        <f>_xlfn.XLOOKUP($N359,'Base de Grupos'!$A:$A,'Base de Grupos'!$H:$H)</f>
        <v>1000105899</v>
      </c>
      <c r="G359" s="5" t="str">
        <f>_xlfn.XLOOKUP($N359,'Base de Grupos'!$A:$A,'Base de Grupos'!$I:$I)</f>
        <v>REGIONAL VENDA DIRETA SUDESTE</v>
      </c>
      <c r="H359" s="5" t="str">
        <f>_xlfn.XLOOKUP($N359,'Base de Grupos'!$A:$A,'Base de Grupos'!$J:$J)</f>
        <v>1000105899</v>
      </c>
      <c r="I359" s="2" t="str">
        <f>_xlfn.XLOOKUP($N359,'Base de Grupos'!$A:$A,'Base de Grupos'!$K:$K)</f>
        <v>REGIONAL VENDA DIRETA SUDESTE</v>
      </c>
      <c r="J359" s="2" t="str">
        <f>_xlfn.XLOOKUP($N359,'Base de Grupos'!$A:$A,'Base de Grupos'!$L:$L)</f>
        <v>1000150135</v>
      </c>
      <c r="K359" s="5" t="str">
        <f>_xlfn.XLOOKUP($N359,'Base de Grupos'!$A:$A,'Base de Grupos'!$M:$M)</f>
        <v>HELDER DA SILVA BRUNKOW</v>
      </c>
      <c r="L359" s="5" t="str">
        <f t="shared" si="328"/>
        <v/>
      </c>
      <c r="M359" s="5" t="str">
        <f>_xlfn.XLOOKUP($N359,'Base de Grupos'!$A:$A,'Base de Grupos'!$C:$C)</f>
        <v>RJ</v>
      </c>
      <c r="N359" s="3">
        <v>1358</v>
      </c>
      <c r="O359" s="4" t="s">
        <v>243</v>
      </c>
      <c r="P359" s="5" t="s">
        <v>96</v>
      </c>
      <c r="Q359" s="56">
        <v>0</v>
      </c>
      <c r="R359" s="56">
        <v>0</v>
      </c>
      <c r="S359" s="56">
        <v>0</v>
      </c>
      <c r="T359" s="56">
        <f>_xlfn.XLOOKUP($N359,'Calculo Leads'!$A$97:$A$134,'Calculo Leads'!G$97:G$134)*_xlfn.XLOOKUP($P359,'Base Grupo de Produtos'!$E$2:$E$18,'Base Grupo de Produtos'!$F$2:$F$18)</f>
        <v>420.00000000000006</v>
      </c>
      <c r="U359" s="56">
        <f>_xlfn.XLOOKUP($N359,'Calculo Leads'!$A$97:$A$134,'Calculo Leads'!H$97:H$134)*_xlfn.XLOOKUP($P359,'Base Grupo de Produtos'!$E$2:$E$18,'Base Grupo de Produtos'!$F$2:$F$18)</f>
        <v>490.00000000000006</v>
      </c>
      <c r="V359" s="56">
        <f>_xlfn.XLOOKUP($N359,'Calculo Leads'!$A$97:$A$134,'Calculo Leads'!I$97:I$134)*_xlfn.XLOOKUP($P359,'Base Grupo de Produtos'!$E$2:$E$18,'Base Grupo de Produtos'!$F$2:$F$18)</f>
        <v>630.00000000000011</v>
      </c>
      <c r="W359" s="56">
        <f>_xlfn.XLOOKUP($N359,'Calculo Leads'!$A$97:$A$134,'Calculo Leads'!J$97:J$134)*_xlfn.XLOOKUP($P359,'Base Grupo de Produtos'!$E$2:$E$18,'Base Grupo de Produtos'!$F$2:$F$18)</f>
        <v>770.00000000000011</v>
      </c>
      <c r="X359" s="56">
        <f>_xlfn.XLOOKUP($N359,'Calculo Leads'!$A$97:$A$134,'Calculo Leads'!K$97:K$134)*_xlfn.XLOOKUP($P359,'Base Grupo de Produtos'!$E$2:$E$18,'Base Grupo de Produtos'!$F$2:$F$18)</f>
        <v>924.00000000000011</v>
      </c>
      <c r="Y359" s="56">
        <f>_xlfn.XLOOKUP($N359,'Calculo Leads'!$A$97:$A$134,'Calculo Leads'!L$97:L$134)*_xlfn.XLOOKUP($P359,'Base Grupo de Produtos'!$E$2:$E$18,'Base Grupo de Produtos'!$F$2:$F$18)</f>
        <v>1155</v>
      </c>
      <c r="Z359" s="56">
        <f>_xlfn.XLOOKUP($N359,'Calculo Leads'!$A$97:$A$134,'Calculo Leads'!M$97:M$134)*_xlfn.XLOOKUP($P359,'Base Grupo de Produtos'!$E$2:$E$18,'Base Grupo de Produtos'!$F$2:$F$18)</f>
        <v>1232.0000000000002</v>
      </c>
      <c r="AA359" s="56">
        <f>_xlfn.XLOOKUP($N359,'Calculo Leads'!$A$97:$A$134,'Calculo Leads'!N$97:N$134)*_xlfn.XLOOKUP($P359,'Base Grupo de Produtos'!$E$2:$E$18,'Base Grupo de Produtos'!$F$2:$F$18)</f>
        <v>1386.0000000000002</v>
      </c>
      <c r="AB359" s="56">
        <f>_xlfn.XLOOKUP($N359,'Calculo Leads'!$A$97:$A$134,'Calculo Leads'!O$97:O$134)*_xlfn.XLOOKUP($P359,'Base Grupo de Produtos'!$E$2:$E$18,'Base Grupo de Produtos'!$F$2:$F$18)</f>
        <v>1001.0000000000001</v>
      </c>
      <c r="AC359" s="61">
        <f t="shared" si="348"/>
        <v>8008</v>
      </c>
      <c r="AD359" s="27">
        <f t="shared" si="382"/>
        <v>8008</v>
      </c>
      <c r="AE359" s="25">
        <f>IFERROR(_xlfn.XLOOKUP(N359&amp;P359,'Historico Vendas'!G:G,'Historico Vendas'!E:E),0)</f>
        <v>0</v>
      </c>
      <c r="AF359" s="29" t="str">
        <f t="shared" si="326"/>
        <v/>
      </c>
      <c r="AG359" s="24">
        <f>IFERROR(_xlfn.XLOOKUP(N359&amp;P359,'Historico Vendas'!G:G,'Historico Vendas'!F:F),0)</f>
        <v>0</v>
      </c>
      <c r="AH359" s="25">
        <f t="shared" si="383"/>
        <v>0</v>
      </c>
      <c r="AI359" s="24">
        <f t="shared" si="384"/>
        <v>0</v>
      </c>
      <c r="AJ359" s="11" t="str">
        <f t="shared" si="347"/>
        <v/>
      </c>
      <c r="AK359" s="9" t="s">
        <v>102</v>
      </c>
      <c r="AL359" s="13">
        <f>IFERROR(INDEX('Balizador da Meta'!$D$3:$F$23,MATCH(Faturamento!$P359,'Balizador da Meta'!$C$3:$C$23,0),MATCH(Faturamento!AK359,'Balizador da Meta'!$D$2:$F$2,0)),"")</f>
        <v>0</v>
      </c>
      <c r="AM359" s="9"/>
    </row>
    <row r="360" spans="1:39" x14ac:dyDescent="0.3">
      <c r="A360" s="2" t="str">
        <f t="shared" si="327"/>
        <v>NÃO</v>
      </c>
      <c r="B360" s="2" t="str">
        <f>_xlfn.XLOOKUP($N360,'Base de Grupos'!$A:$A,'Base de Grupos'!$D:$D)</f>
        <v>1000065763</v>
      </c>
      <c r="C360" s="5" t="str">
        <f>_xlfn.XLOOKUP($N360,'Base de Grupos'!$A:$A,'Base de Grupos'!$E:$E)</f>
        <v>CANAL VENDA INTERNA</v>
      </c>
      <c r="D360" s="5" t="str">
        <f>_xlfn.XLOOKUP($N360,'Base de Grupos'!$A:$A,'Base de Grupos'!$F:$F)</f>
        <v>1000065763</v>
      </c>
      <c r="E360" s="2" t="str">
        <f>_xlfn.XLOOKUP($N360,'Base de Grupos'!$A:$A,'Base de Grupos'!$G:$G)</f>
        <v>CANAL VENDA INTERNA</v>
      </c>
      <c r="F360" s="2" t="str">
        <f>_xlfn.XLOOKUP($N360,'Base de Grupos'!$A:$A,'Base de Grupos'!$H:$H)</f>
        <v>1000105899</v>
      </c>
      <c r="G360" s="5" t="str">
        <f>_xlfn.XLOOKUP($N360,'Base de Grupos'!$A:$A,'Base de Grupos'!$I:$I)</f>
        <v>REGIONAL VENDA DIRETA SUDESTE</v>
      </c>
      <c r="H360" s="5" t="str">
        <f>_xlfn.XLOOKUP($N360,'Base de Grupos'!$A:$A,'Base de Grupos'!$J:$J)</f>
        <v>1000105899</v>
      </c>
      <c r="I360" s="2" t="str">
        <f>_xlfn.XLOOKUP($N360,'Base de Grupos'!$A:$A,'Base de Grupos'!$K:$K)</f>
        <v>REGIONAL VENDA DIRETA SUDESTE</v>
      </c>
      <c r="J360" s="2" t="str">
        <f>_xlfn.XLOOKUP($N360,'Base de Grupos'!$A:$A,'Base de Grupos'!$L:$L)</f>
        <v>1000150135</v>
      </c>
      <c r="K360" s="5" t="str">
        <f>_xlfn.XLOOKUP($N360,'Base de Grupos'!$A:$A,'Base de Grupos'!$M:$M)</f>
        <v>HELDER DA SILVA BRUNKOW</v>
      </c>
      <c r="L360" s="5" t="str">
        <f t="shared" si="328"/>
        <v/>
      </c>
      <c r="M360" s="5" t="str">
        <f>_xlfn.XLOOKUP($N360,'Base de Grupos'!$A:$A,'Base de Grupos'!$C:$C)</f>
        <v>RJ</v>
      </c>
      <c r="N360" s="3">
        <v>1358</v>
      </c>
      <c r="O360" s="4" t="s">
        <v>243</v>
      </c>
      <c r="P360" s="5" t="s">
        <v>94</v>
      </c>
      <c r="Q360" s="56">
        <v>0</v>
      </c>
      <c r="R360" s="56">
        <v>0</v>
      </c>
      <c r="S360" s="56">
        <v>0</v>
      </c>
      <c r="T360" s="56">
        <f>_xlfn.XLOOKUP($N360,'Calculo Leads'!$A$97:$A$134,'Calculo Leads'!G$97:G$134)*_xlfn.XLOOKUP($P360,'Base Grupo de Produtos'!$E$2:$E$18,'Base Grupo de Produtos'!$F$2:$F$18)</f>
        <v>300</v>
      </c>
      <c r="U360" s="56">
        <f>_xlfn.XLOOKUP($N360,'Calculo Leads'!$A$97:$A$134,'Calculo Leads'!H$97:H$134)*_xlfn.XLOOKUP($P360,'Base Grupo de Produtos'!$E$2:$E$18,'Base Grupo de Produtos'!$F$2:$F$18)</f>
        <v>349.99999999999994</v>
      </c>
      <c r="V360" s="56">
        <f>_xlfn.XLOOKUP($N360,'Calculo Leads'!$A$97:$A$134,'Calculo Leads'!I$97:I$134)*_xlfn.XLOOKUP($P360,'Base Grupo de Produtos'!$E$2:$E$18,'Base Grupo de Produtos'!$F$2:$F$18)</f>
        <v>449.99999999999994</v>
      </c>
      <c r="W360" s="56">
        <f>_xlfn.XLOOKUP($N360,'Calculo Leads'!$A$97:$A$134,'Calculo Leads'!J$97:J$134)*_xlfn.XLOOKUP($P360,'Base Grupo de Produtos'!$E$2:$E$18,'Base Grupo de Produtos'!$F$2:$F$18)</f>
        <v>550</v>
      </c>
      <c r="X360" s="56">
        <f>_xlfn.XLOOKUP($N360,'Calculo Leads'!$A$97:$A$134,'Calculo Leads'!K$97:K$134)*_xlfn.XLOOKUP($P360,'Base Grupo de Produtos'!$E$2:$E$18,'Base Grupo de Produtos'!$F$2:$F$18)</f>
        <v>660</v>
      </c>
      <c r="Y360" s="56">
        <f>_xlfn.XLOOKUP($N360,'Calculo Leads'!$A$97:$A$134,'Calculo Leads'!L$97:L$134)*_xlfn.XLOOKUP($P360,'Base Grupo de Produtos'!$E$2:$E$18,'Base Grupo de Produtos'!$F$2:$F$18)</f>
        <v>824.99999999999989</v>
      </c>
      <c r="Z360" s="56">
        <f>_xlfn.XLOOKUP($N360,'Calculo Leads'!$A$97:$A$134,'Calculo Leads'!M$97:M$134)*_xlfn.XLOOKUP($P360,'Base Grupo de Produtos'!$E$2:$E$18,'Base Grupo de Produtos'!$F$2:$F$18)</f>
        <v>879.99999999999989</v>
      </c>
      <c r="AA360" s="56">
        <f>_xlfn.XLOOKUP($N360,'Calculo Leads'!$A$97:$A$134,'Calculo Leads'!N$97:N$134)*_xlfn.XLOOKUP($P360,'Base Grupo de Produtos'!$E$2:$E$18,'Base Grupo de Produtos'!$F$2:$F$18)</f>
        <v>989.99999999999989</v>
      </c>
      <c r="AB360" s="56">
        <f>_xlfn.XLOOKUP($N360,'Calculo Leads'!$A$97:$A$134,'Calculo Leads'!O$97:O$134)*_xlfn.XLOOKUP($P360,'Base Grupo de Produtos'!$E$2:$E$18,'Base Grupo de Produtos'!$F$2:$F$18)</f>
        <v>714.99999999999989</v>
      </c>
      <c r="AC360" s="61">
        <f t="shared" si="348"/>
        <v>5720</v>
      </c>
      <c r="AD360" s="27">
        <f t="shared" si="382"/>
        <v>5720</v>
      </c>
      <c r="AE360" s="25">
        <f>IFERROR(_xlfn.XLOOKUP(N360&amp;P360,'Historico Vendas'!G:G,'Historico Vendas'!E:E),0)</f>
        <v>0</v>
      </c>
      <c r="AF360" s="29" t="str">
        <f t="shared" si="326"/>
        <v/>
      </c>
      <c r="AG360" s="24">
        <f>IFERROR(_xlfn.XLOOKUP(N360&amp;P360,'Historico Vendas'!G:G,'Historico Vendas'!F:F),0)</f>
        <v>0</v>
      </c>
      <c r="AH360" s="25">
        <f t="shared" si="383"/>
        <v>0</v>
      </c>
      <c r="AI360" s="24">
        <f t="shared" si="384"/>
        <v>0</v>
      </c>
      <c r="AJ360" s="11" t="str">
        <f t="shared" si="347"/>
        <v/>
      </c>
      <c r="AK360" s="9" t="s">
        <v>102</v>
      </c>
      <c r="AL360" s="13">
        <f>IFERROR(INDEX('Balizador da Meta'!$D$3:$F$23,MATCH(Faturamento!$P360,'Balizador da Meta'!$C$3:$C$23,0),MATCH(Faturamento!AK360,'Balizador da Meta'!$D$2:$F$2,0)),"")</f>
        <v>0.25</v>
      </c>
      <c r="AM360" s="9"/>
    </row>
    <row r="361" spans="1:39" x14ac:dyDescent="0.3">
      <c r="A361" s="2" t="str">
        <f t="shared" si="327"/>
        <v>NÃO</v>
      </c>
      <c r="B361" s="2" t="str">
        <f>_xlfn.XLOOKUP($N361,'Base de Grupos'!$A:$A,'Base de Grupos'!$D:$D)</f>
        <v>1000065763</v>
      </c>
      <c r="C361" s="5" t="str">
        <f>_xlfn.XLOOKUP($N361,'Base de Grupos'!$A:$A,'Base de Grupos'!$E:$E)</f>
        <v>CANAL VENDA INTERNA</v>
      </c>
      <c r="D361" s="5" t="str">
        <f>_xlfn.XLOOKUP($N361,'Base de Grupos'!$A:$A,'Base de Grupos'!$F:$F)</f>
        <v>1000065763</v>
      </c>
      <c r="E361" s="2" t="str">
        <f>_xlfn.XLOOKUP($N361,'Base de Grupos'!$A:$A,'Base de Grupos'!$G:$G)</f>
        <v>CANAL VENDA INTERNA</v>
      </c>
      <c r="F361" s="2" t="str">
        <f>_xlfn.XLOOKUP($N361,'Base de Grupos'!$A:$A,'Base de Grupos'!$H:$H)</f>
        <v>1000105899</v>
      </c>
      <c r="G361" s="5" t="str">
        <f>_xlfn.XLOOKUP($N361,'Base de Grupos'!$A:$A,'Base de Grupos'!$I:$I)</f>
        <v>REGIONAL VENDA DIRETA SUDESTE</v>
      </c>
      <c r="H361" s="5" t="str">
        <f>_xlfn.XLOOKUP($N361,'Base de Grupos'!$A:$A,'Base de Grupos'!$J:$J)</f>
        <v>1000105899</v>
      </c>
      <c r="I361" s="2" t="str">
        <f>_xlfn.XLOOKUP($N361,'Base de Grupos'!$A:$A,'Base de Grupos'!$K:$K)</f>
        <v>REGIONAL VENDA DIRETA SUDESTE</v>
      </c>
      <c r="J361" s="2" t="str">
        <f>_xlfn.XLOOKUP($N361,'Base de Grupos'!$A:$A,'Base de Grupos'!$L:$L)</f>
        <v>1000150135</v>
      </c>
      <c r="K361" s="5" t="str">
        <f>_xlfn.XLOOKUP($N361,'Base de Grupos'!$A:$A,'Base de Grupos'!$M:$M)</f>
        <v>HELDER DA SILVA BRUNKOW</v>
      </c>
      <c r="L361" s="5" t="str">
        <f t="shared" si="328"/>
        <v/>
      </c>
      <c r="M361" s="5" t="str">
        <f>_xlfn.XLOOKUP($N361,'Base de Grupos'!$A:$A,'Base de Grupos'!$C:$C)</f>
        <v>RJ</v>
      </c>
      <c r="N361" s="3">
        <v>1358</v>
      </c>
      <c r="O361" s="4" t="s">
        <v>243</v>
      </c>
      <c r="P361" s="5" t="s">
        <v>95</v>
      </c>
      <c r="Q361" s="56">
        <v>0</v>
      </c>
      <c r="R361" s="56">
        <v>0</v>
      </c>
      <c r="S361" s="56">
        <v>0</v>
      </c>
      <c r="T361" s="56">
        <f>_xlfn.XLOOKUP($N361,'Calculo Leads'!$A$97:$A$134,'Calculo Leads'!G$97:G$134)*_xlfn.XLOOKUP($P361,'Base Grupo de Produtos'!$E$2:$E$18,'Base Grupo de Produtos'!$F$2:$F$18)</f>
        <v>480</v>
      </c>
      <c r="U361" s="56">
        <f>_xlfn.XLOOKUP($N361,'Calculo Leads'!$A$97:$A$134,'Calculo Leads'!H$97:H$134)*_xlfn.XLOOKUP($P361,'Base Grupo de Produtos'!$E$2:$E$18,'Base Grupo de Produtos'!$F$2:$F$18)</f>
        <v>560</v>
      </c>
      <c r="V361" s="56">
        <f>_xlfn.XLOOKUP($N361,'Calculo Leads'!$A$97:$A$134,'Calculo Leads'!I$97:I$134)*_xlfn.XLOOKUP($P361,'Base Grupo de Produtos'!$E$2:$E$18,'Base Grupo de Produtos'!$F$2:$F$18)</f>
        <v>720</v>
      </c>
      <c r="W361" s="56">
        <f>_xlfn.XLOOKUP($N361,'Calculo Leads'!$A$97:$A$134,'Calculo Leads'!J$97:J$134)*_xlfn.XLOOKUP($P361,'Base Grupo de Produtos'!$E$2:$E$18,'Base Grupo de Produtos'!$F$2:$F$18)</f>
        <v>880</v>
      </c>
      <c r="X361" s="56">
        <f>_xlfn.XLOOKUP($N361,'Calculo Leads'!$A$97:$A$134,'Calculo Leads'!K$97:K$134)*_xlfn.XLOOKUP($P361,'Base Grupo de Produtos'!$E$2:$E$18,'Base Grupo de Produtos'!$F$2:$F$18)</f>
        <v>1056</v>
      </c>
      <c r="Y361" s="56">
        <f>_xlfn.XLOOKUP($N361,'Calculo Leads'!$A$97:$A$134,'Calculo Leads'!L$97:L$134)*_xlfn.XLOOKUP($P361,'Base Grupo de Produtos'!$E$2:$E$18,'Base Grupo de Produtos'!$F$2:$F$18)</f>
        <v>1320</v>
      </c>
      <c r="Z361" s="56">
        <f>_xlfn.XLOOKUP($N361,'Calculo Leads'!$A$97:$A$134,'Calculo Leads'!M$97:M$134)*_xlfn.XLOOKUP($P361,'Base Grupo de Produtos'!$E$2:$E$18,'Base Grupo de Produtos'!$F$2:$F$18)</f>
        <v>1408</v>
      </c>
      <c r="AA361" s="56">
        <f>_xlfn.XLOOKUP($N361,'Calculo Leads'!$A$97:$A$134,'Calculo Leads'!N$97:N$134)*_xlfn.XLOOKUP($P361,'Base Grupo de Produtos'!$E$2:$E$18,'Base Grupo de Produtos'!$F$2:$F$18)</f>
        <v>1584</v>
      </c>
      <c r="AB361" s="56">
        <f>_xlfn.XLOOKUP($N361,'Calculo Leads'!$A$97:$A$134,'Calculo Leads'!O$97:O$134)*_xlfn.XLOOKUP($P361,'Base Grupo de Produtos'!$E$2:$E$18,'Base Grupo de Produtos'!$F$2:$F$18)</f>
        <v>1144</v>
      </c>
      <c r="AC361" s="61">
        <f t="shared" si="348"/>
        <v>9152</v>
      </c>
      <c r="AD361" s="27">
        <f t="shared" si="382"/>
        <v>9152</v>
      </c>
      <c r="AE361" s="25">
        <f>IFERROR(_xlfn.XLOOKUP(N361&amp;P361,'Historico Vendas'!G:G,'Historico Vendas'!E:E),0)</f>
        <v>0</v>
      </c>
      <c r="AF361" s="29" t="str">
        <f t="shared" si="326"/>
        <v/>
      </c>
      <c r="AG361" s="24">
        <f>IFERROR(_xlfn.XLOOKUP(N361&amp;P361,'Historico Vendas'!G:G,'Historico Vendas'!F:F),0)</f>
        <v>0</v>
      </c>
      <c r="AH361" s="25">
        <f t="shared" si="383"/>
        <v>0</v>
      </c>
      <c r="AI361" s="24">
        <f t="shared" si="384"/>
        <v>0</v>
      </c>
      <c r="AJ361" s="11" t="str">
        <f t="shared" si="347"/>
        <v/>
      </c>
      <c r="AK361" s="9" t="s">
        <v>102</v>
      </c>
      <c r="AL361" s="13">
        <f>IFERROR(INDEX('Balizador da Meta'!$D$3:$F$23,MATCH(Faturamento!$P361,'Balizador da Meta'!$C$3:$C$23,0),MATCH(Faturamento!AK361,'Balizador da Meta'!$D$2:$F$2,0)),"")</f>
        <v>0.25</v>
      </c>
      <c r="AM361" s="9"/>
    </row>
    <row r="362" spans="1:39" x14ac:dyDescent="0.3">
      <c r="A362" s="2" t="str">
        <f t="shared" si="327"/>
        <v>NÃO</v>
      </c>
      <c r="B362" s="2" t="str">
        <f>_xlfn.XLOOKUP($N362,'Base de Grupos'!$A:$A,'Base de Grupos'!$D:$D)</f>
        <v>1000065763</v>
      </c>
      <c r="C362" s="5" t="str">
        <f>_xlfn.XLOOKUP($N362,'Base de Grupos'!$A:$A,'Base de Grupos'!$E:$E)</f>
        <v>CANAL VENDA INTERNA</v>
      </c>
      <c r="D362" s="5" t="str">
        <f>_xlfn.XLOOKUP($N362,'Base de Grupos'!$A:$A,'Base de Grupos'!$F:$F)</f>
        <v>1000065763</v>
      </c>
      <c r="E362" s="2" t="str">
        <f>_xlfn.XLOOKUP($N362,'Base de Grupos'!$A:$A,'Base de Grupos'!$G:$G)</f>
        <v>CANAL VENDA INTERNA</v>
      </c>
      <c r="F362" s="2" t="str">
        <f>_xlfn.XLOOKUP($N362,'Base de Grupos'!$A:$A,'Base de Grupos'!$H:$H)</f>
        <v>1000105899</v>
      </c>
      <c r="G362" s="5" t="str">
        <f>_xlfn.XLOOKUP($N362,'Base de Grupos'!$A:$A,'Base de Grupos'!$I:$I)</f>
        <v>REGIONAL VENDA DIRETA SUDESTE</v>
      </c>
      <c r="H362" s="5" t="str">
        <f>_xlfn.XLOOKUP($N362,'Base de Grupos'!$A:$A,'Base de Grupos'!$J:$J)</f>
        <v>1000105899</v>
      </c>
      <c r="I362" s="2" t="str">
        <f>_xlfn.XLOOKUP($N362,'Base de Grupos'!$A:$A,'Base de Grupos'!$K:$K)</f>
        <v>REGIONAL VENDA DIRETA SUDESTE</v>
      </c>
      <c r="J362" s="2" t="str">
        <f>_xlfn.XLOOKUP($N362,'Base de Grupos'!$A:$A,'Base de Grupos'!$L:$L)</f>
        <v>1000150135</v>
      </c>
      <c r="K362" s="5" t="str">
        <f>_xlfn.XLOOKUP($N362,'Base de Grupos'!$A:$A,'Base de Grupos'!$M:$M)</f>
        <v>HELDER DA SILVA BRUNKOW</v>
      </c>
      <c r="L362" s="5" t="str">
        <f t="shared" si="328"/>
        <v/>
      </c>
      <c r="M362" s="5" t="str">
        <f>_xlfn.XLOOKUP($N362,'Base de Grupos'!$A:$A,'Base de Grupos'!$C:$C)</f>
        <v>RJ</v>
      </c>
      <c r="N362" s="3">
        <v>1358</v>
      </c>
      <c r="O362" s="4" t="s">
        <v>243</v>
      </c>
      <c r="P362" s="5" t="s">
        <v>93</v>
      </c>
      <c r="Q362" s="56">
        <v>0</v>
      </c>
      <c r="R362" s="56">
        <v>0</v>
      </c>
      <c r="S362" s="56">
        <v>0</v>
      </c>
      <c r="T362" s="56">
        <f>_xlfn.XLOOKUP($N362,'Calculo Leads'!$A$97:$A$134,'Calculo Leads'!G$97:G$134)*_xlfn.XLOOKUP($P362,'Base Grupo de Produtos'!$E$2:$E$18,'Base Grupo de Produtos'!$F$2:$F$18)</f>
        <v>180</v>
      </c>
      <c r="U362" s="56">
        <f>_xlfn.XLOOKUP($N362,'Calculo Leads'!$A$97:$A$134,'Calculo Leads'!H$97:H$134)*_xlfn.XLOOKUP($P362,'Base Grupo de Produtos'!$E$2:$E$18,'Base Grupo de Produtos'!$F$2:$F$18)</f>
        <v>210</v>
      </c>
      <c r="V362" s="56">
        <f>_xlfn.XLOOKUP($N362,'Calculo Leads'!$A$97:$A$134,'Calculo Leads'!I$97:I$134)*_xlfn.XLOOKUP($P362,'Base Grupo de Produtos'!$E$2:$E$18,'Base Grupo de Produtos'!$F$2:$F$18)</f>
        <v>270</v>
      </c>
      <c r="W362" s="56">
        <f>_xlfn.XLOOKUP($N362,'Calculo Leads'!$A$97:$A$134,'Calculo Leads'!J$97:J$134)*_xlfn.XLOOKUP($P362,'Base Grupo de Produtos'!$E$2:$E$18,'Base Grupo de Produtos'!$F$2:$F$18)</f>
        <v>330</v>
      </c>
      <c r="X362" s="56">
        <f>_xlfn.XLOOKUP($N362,'Calculo Leads'!$A$97:$A$134,'Calculo Leads'!K$97:K$134)*_xlfn.XLOOKUP($P362,'Base Grupo de Produtos'!$E$2:$E$18,'Base Grupo de Produtos'!$F$2:$F$18)</f>
        <v>396</v>
      </c>
      <c r="Y362" s="56">
        <f>_xlfn.XLOOKUP($N362,'Calculo Leads'!$A$97:$A$134,'Calculo Leads'!L$97:L$134)*_xlfn.XLOOKUP($P362,'Base Grupo de Produtos'!$E$2:$E$18,'Base Grupo de Produtos'!$F$2:$F$18)</f>
        <v>495</v>
      </c>
      <c r="Z362" s="56">
        <f>_xlfn.XLOOKUP($N362,'Calculo Leads'!$A$97:$A$134,'Calculo Leads'!M$97:M$134)*_xlfn.XLOOKUP($P362,'Base Grupo de Produtos'!$E$2:$E$18,'Base Grupo de Produtos'!$F$2:$F$18)</f>
        <v>528</v>
      </c>
      <c r="AA362" s="56">
        <f>_xlfn.XLOOKUP($N362,'Calculo Leads'!$A$97:$A$134,'Calculo Leads'!N$97:N$134)*_xlfn.XLOOKUP($P362,'Base Grupo de Produtos'!$E$2:$E$18,'Base Grupo de Produtos'!$F$2:$F$18)</f>
        <v>594</v>
      </c>
      <c r="AB362" s="56">
        <f>_xlfn.XLOOKUP($N362,'Calculo Leads'!$A$97:$A$134,'Calculo Leads'!O$97:O$134)*_xlfn.XLOOKUP($P362,'Base Grupo de Produtos'!$E$2:$E$18,'Base Grupo de Produtos'!$F$2:$F$18)</f>
        <v>429</v>
      </c>
      <c r="AC362" s="61">
        <f t="shared" si="348"/>
        <v>3432</v>
      </c>
      <c r="AD362" s="27">
        <f t="shared" si="382"/>
        <v>3432</v>
      </c>
      <c r="AE362" s="25">
        <f>IFERROR(_xlfn.XLOOKUP(N362&amp;P362,'Historico Vendas'!G:G,'Historico Vendas'!E:E),0)</f>
        <v>0</v>
      </c>
      <c r="AF362" s="29" t="str">
        <f t="shared" si="326"/>
        <v/>
      </c>
      <c r="AG362" s="24">
        <f>IFERROR(_xlfn.XLOOKUP(N362&amp;P362,'Historico Vendas'!G:G,'Historico Vendas'!F:F),0)</f>
        <v>0</v>
      </c>
      <c r="AH362" s="25">
        <f t="shared" si="383"/>
        <v>0</v>
      </c>
      <c r="AI362" s="24">
        <f t="shared" si="384"/>
        <v>0</v>
      </c>
      <c r="AJ362" s="11" t="str">
        <f t="shared" si="347"/>
        <v/>
      </c>
      <c r="AK362" s="9" t="s">
        <v>102</v>
      </c>
      <c r="AL362" s="13">
        <f>IFERROR(INDEX('Balizador da Meta'!$D$3:$F$23,MATCH(Faturamento!$P362,'Balizador da Meta'!$C$3:$C$23,0),MATCH(Faturamento!AK362,'Balizador da Meta'!$D$2:$F$2,0)),"")</f>
        <v>0.2</v>
      </c>
      <c r="AM362" s="9"/>
    </row>
    <row r="363" spans="1:39" x14ac:dyDescent="0.3">
      <c r="A363" s="2" t="str">
        <f t="shared" si="327"/>
        <v>SIM</v>
      </c>
      <c r="B363" s="2" t="str">
        <f>_xlfn.XLOOKUP($N363,'Base de Grupos'!$A:$A,'Base de Grupos'!$D:$D)</f>
        <v>1000065763</v>
      </c>
      <c r="C363" s="5" t="str">
        <f>_xlfn.XLOOKUP($N363,'Base de Grupos'!$A:$A,'Base de Grupos'!$E:$E)</f>
        <v>CANAL VENDA INTERNA</v>
      </c>
      <c r="D363" s="5" t="str">
        <f>_xlfn.XLOOKUP($N363,'Base de Grupos'!$A:$A,'Base de Grupos'!$F:$F)</f>
        <v>1000065763</v>
      </c>
      <c r="E363" s="2" t="str">
        <f>_xlfn.XLOOKUP($N363,'Base de Grupos'!$A:$A,'Base de Grupos'!$G:$G)</f>
        <v>CANAL VENDA INTERNA</v>
      </c>
      <c r="F363" s="2" t="str">
        <f>_xlfn.XLOOKUP($N363,'Base de Grupos'!$A:$A,'Base de Grupos'!$H:$H)</f>
        <v>1000105899</v>
      </c>
      <c r="G363" s="5" t="str">
        <f>_xlfn.XLOOKUP($N363,'Base de Grupos'!$A:$A,'Base de Grupos'!$I:$I)</f>
        <v>REGIONAL VENDA DIRETA SUDESTE</v>
      </c>
      <c r="H363" s="5" t="str">
        <f>_xlfn.XLOOKUP($N363,'Base de Grupos'!$A:$A,'Base de Grupos'!$J:$J)</f>
        <v>1000105899</v>
      </c>
      <c r="I363" s="2" t="str">
        <f>_xlfn.XLOOKUP($N363,'Base de Grupos'!$A:$A,'Base de Grupos'!$K:$K)</f>
        <v>REGIONAL VENDA DIRETA SUDESTE</v>
      </c>
      <c r="J363" s="2" t="str">
        <f>_xlfn.XLOOKUP($N363,'Base de Grupos'!$A:$A,'Base de Grupos'!$L:$L)</f>
        <v>1000150135</v>
      </c>
      <c r="K363" s="5" t="str">
        <f>_xlfn.XLOOKUP($N363,'Base de Grupos'!$A:$A,'Base de Grupos'!$M:$M)</f>
        <v>HELDER DA SILVA BRUNKOW</v>
      </c>
      <c r="L363" s="5">
        <f t="shared" si="328"/>
        <v>1</v>
      </c>
      <c r="M363" s="5" t="str">
        <f>_xlfn.XLOOKUP($N363,'Base de Grupos'!$A:$A,'Base de Grupos'!$C:$C)</f>
        <v>MG</v>
      </c>
      <c r="N363" s="3">
        <v>1359</v>
      </c>
      <c r="O363" s="4" t="s">
        <v>244</v>
      </c>
      <c r="P363" s="5" t="s">
        <v>314</v>
      </c>
      <c r="Q363" s="56">
        <f t="shared" ref="Q363" si="385">SUM(Q364:Q380)</f>
        <v>0</v>
      </c>
      <c r="R363" s="56">
        <f t="shared" ref="R363" si="386">SUM(R364:R380)</f>
        <v>0</v>
      </c>
      <c r="S363" s="56">
        <f t="shared" ref="S363" si="387">SUM(S364:S380)</f>
        <v>0</v>
      </c>
      <c r="T363" s="56">
        <f t="shared" ref="T363" si="388">SUM(T364:T380)</f>
        <v>7000</v>
      </c>
      <c r="U363" s="56">
        <f t="shared" ref="U363" si="389">SUM(U364:U380)</f>
        <v>9000</v>
      </c>
      <c r="V363" s="56">
        <f t="shared" ref="V363" si="390">SUM(V364:V380)</f>
        <v>11000</v>
      </c>
      <c r="W363" s="56">
        <f t="shared" ref="W363" si="391">SUM(W364:W380)</f>
        <v>13000</v>
      </c>
      <c r="X363" s="56">
        <f t="shared" ref="X363" si="392">SUM(X364:X380)</f>
        <v>16500</v>
      </c>
      <c r="Y363" s="56">
        <f t="shared" ref="Y363" si="393">SUM(Y364:Y380)</f>
        <v>19800</v>
      </c>
      <c r="Z363" s="56">
        <f t="shared" ref="Z363" si="394">SUM(Z364:Z380)</f>
        <v>22000</v>
      </c>
      <c r="AA363" s="56">
        <f t="shared" ref="AA363" si="395">SUM(AA364:AA380)</f>
        <v>25300</v>
      </c>
      <c r="AB363" s="56">
        <f t="shared" ref="AB363" si="396">SUM(AB364:AB380)</f>
        <v>16500</v>
      </c>
      <c r="AC363" s="56">
        <f t="shared" ref="AC363" si="397">SUM(AC364:AC380)</f>
        <v>140100</v>
      </c>
      <c r="AD363" s="25">
        <f t="shared" ref="AD363" si="398">SUM(AD364:AD380)</f>
        <v>140100</v>
      </c>
      <c r="AE363" s="25">
        <f t="shared" ref="AE363:AI363" si="399">SUM(AE364:AE380)</f>
        <v>0</v>
      </c>
      <c r="AF363" s="11" t="str">
        <f t="shared" si="326"/>
        <v/>
      </c>
      <c r="AG363" s="24">
        <f t="shared" si="399"/>
        <v>0</v>
      </c>
      <c r="AH363" s="25">
        <f t="shared" si="399"/>
        <v>0</v>
      </c>
      <c r="AI363" s="24">
        <f t="shared" si="399"/>
        <v>0</v>
      </c>
      <c r="AJ363" s="11" t="str">
        <f t="shared" si="347"/>
        <v/>
      </c>
      <c r="AK363" s="9"/>
      <c r="AL363" s="13"/>
      <c r="AM363" s="9"/>
    </row>
    <row r="364" spans="1:39" x14ac:dyDescent="0.3">
      <c r="A364" s="2" t="str">
        <f t="shared" si="327"/>
        <v>NÃO</v>
      </c>
      <c r="B364" s="2" t="str">
        <f>_xlfn.XLOOKUP($N364,'Base de Grupos'!$A:$A,'Base de Grupos'!$D:$D)</f>
        <v>1000065763</v>
      </c>
      <c r="C364" s="5" t="str">
        <f>_xlfn.XLOOKUP($N364,'Base de Grupos'!$A:$A,'Base de Grupos'!$E:$E)</f>
        <v>CANAL VENDA INTERNA</v>
      </c>
      <c r="D364" s="5" t="str">
        <f>_xlfn.XLOOKUP($N364,'Base de Grupos'!$A:$A,'Base de Grupos'!$F:$F)</f>
        <v>1000065763</v>
      </c>
      <c r="E364" s="2" t="str">
        <f>_xlfn.XLOOKUP($N364,'Base de Grupos'!$A:$A,'Base de Grupos'!$G:$G)</f>
        <v>CANAL VENDA INTERNA</v>
      </c>
      <c r="F364" s="2" t="str">
        <f>_xlfn.XLOOKUP($N364,'Base de Grupos'!$A:$A,'Base de Grupos'!$H:$H)</f>
        <v>1000105899</v>
      </c>
      <c r="G364" s="5" t="str">
        <f>_xlfn.XLOOKUP($N364,'Base de Grupos'!$A:$A,'Base de Grupos'!$I:$I)</f>
        <v>REGIONAL VENDA DIRETA SUDESTE</v>
      </c>
      <c r="H364" s="5" t="str">
        <f>_xlfn.XLOOKUP($N364,'Base de Grupos'!$A:$A,'Base de Grupos'!$J:$J)</f>
        <v>1000105899</v>
      </c>
      <c r="I364" s="2" t="str">
        <f>_xlfn.XLOOKUP($N364,'Base de Grupos'!$A:$A,'Base de Grupos'!$K:$K)</f>
        <v>REGIONAL VENDA DIRETA SUDESTE</v>
      </c>
      <c r="J364" s="2" t="str">
        <f>_xlfn.XLOOKUP($N364,'Base de Grupos'!$A:$A,'Base de Grupos'!$L:$L)</f>
        <v>1000150135</v>
      </c>
      <c r="K364" s="5" t="str">
        <f>_xlfn.XLOOKUP($N364,'Base de Grupos'!$A:$A,'Base de Grupos'!$M:$M)</f>
        <v>HELDER DA SILVA BRUNKOW</v>
      </c>
      <c r="L364" s="5" t="str">
        <f t="shared" si="328"/>
        <v/>
      </c>
      <c r="M364" s="5" t="str">
        <f>_xlfn.XLOOKUP($N364,'Base de Grupos'!$A:$A,'Base de Grupos'!$C:$C)</f>
        <v>MG</v>
      </c>
      <c r="N364" s="3">
        <v>1359</v>
      </c>
      <c r="O364" s="4" t="s">
        <v>244</v>
      </c>
      <c r="P364" s="5" t="s">
        <v>81</v>
      </c>
      <c r="Q364" s="56">
        <v>0</v>
      </c>
      <c r="R364" s="56">
        <v>0</v>
      </c>
      <c r="S364" s="56">
        <v>0</v>
      </c>
      <c r="T364" s="56">
        <f>_xlfn.XLOOKUP($N364,'Calculo Leads'!$A$97:$A$134,'Calculo Leads'!G$97:G$134)*_xlfn.XLOOKUP($P364,'Base Grupo de Produtos'!$E$2:$E$18,'Base Grupo de Produtos'!$F$2:$F$18)</f>
        <v>350</v>
      </c>
      <c r="U364" s="56">
        <f>_xlfn.XLOOKUP($N364,'Calculo Leads'!$A$97:$A$134,'Calculo Leads'!H$97:H$134)*_xlfn.XLOOKUP($P364,'Base Grupo de Produtos'!$E$2:$E$18,'Base Grupo de Produtos'!$F$2:$F$18)</f>
        <v>450</v>
      </c>
      <c r="V364" s="56">
        <f>_xlfn.XLOOKUP($N364,'Calculo Leads'!$A$97:$A$134,'Calculo Leads'!I$97:I$134)*_xlfn.XLOOKUP($P364,'Base Grupo de Produtos'!$E$2:$E$18,'Base Grupo de Produtos'!$F$2:$F$18)</f>
        <v>550</v>
      </c>
      <c r="W364" s="56">
        <f>_xlfn.XLOOKUP($N364,'Calculo Leads'!$A$97:$A$134,'Calculo Leads'!J$97:J$134)*_xlfn.XLOOKUP($P364,'Base Grupo de Produtos'!$E$2:$E$18,'Base Grupo de Produtos'!$F$2:$F$18)</f>
        <v>650</v>
      </c>
      <c r="X364" s="56">
        <f>_xlfn.XLOOKUP($N364,'Calculo Leads'!$A$97:$A$134,'Calculo Leads'!K$97:K$134)*_xlfn.XLOOKUP($P364,'Base Grupo de Produtos'!$E$2:$E$18,'Base Grupo de Produtos'!$F$2:$F$18)</f>
        <v>825</v>
      </c>
      <c r="Y364" s="56">
        <f>_xlfn.XLOOKUP($N364,'Calculo Leads'!$A$97:$A$134,'Calculo Leads'!L$97:L$134)*_xlfn.XLOOKUP($P364,'Base Grupo de Produtos'!$E$2:$E$18,'Base Grupo de Produtos'!$F$2:$F$18)</f>
        <v>990</v>
      </c>
      <c r="Z364" s="56">
        <f>_xlfn.XLOOKUP($N364,'Calculo Leads'!$A$97:$A$134,'Calculo Leads'!M$97:M$134)*_xlfn.XLOOKUP($P364,'Base Grupo de Produtos'!$E$2:$E$18,'Base Grupo de Produtos'!$F$2:$F$18)</f>
        <v>1100</v>
      </c>
      <c r="AA364" s="56">
        <f>_xlfn.XLOOKUP($N364,'Calculo Leads'!$A$97:$A$134,'Calculo Leads'!N$97:N$134)*_xlfn.XLOOKUP($P364,'Base Grupo de Produtos'!$E$2:$E$18,'Base Grupo de Produtos'!$F$2:$F$18)</f>
        <v>1265</v>
      </c>
      <c r="AB364" s="56">
        <f>_xlfn.XLOOKUP($N364,'Calculo Leads'!$A$97:$A$134,'Calculo Leads'!O$97:O$134)*_xlfn.XLOOKUP($P364,'Base Grupo de Produtos'!$E$2:$E$18,'Base Grupo de Produtos'!$F$2:$F$18)</f>
        <v>825</v>
      </c>
      <c r="AC364" s="61">
        <f t="shared" si="348"/>
        <v>7005</v>
      </c>
      <c r="AD364" s="27">
        <f t="shared" ref="AD364:AD380" si="400">IF(AC364=0,0,AC364-AG364)</f>
        <v>7005</v>
      </c>
      <c r="AE364" s="25">
        <f>IFERROR(_xlfn.XLOOKUP(N364&amp;P364,'Historico Vendas'!G:G,'Historico Vendas'!E:E),0)</f>
        <v>0</v>
      </c>
      <c r="AF364" s="29" t="str">
        <f t="shared" si="326"/>
        <v/>
      </c>
      <c r="AG364" s="24">
        <f>IFERROR(_xlfn.XLOOKUP(N364&amp;P364,'Historico Vendas'!G:G,'Historico Vendas'!F:F),0)</f>
        <v>0</v>
      </c>
      <c r="AH364" s="25">
        <f t="shared" ref="AH364:AH380" si="401">SUM(Q364:S364)</f>
        <v>0</v>
      </c>
      <c r="AI364" s="24">
        <f t="shared" ref="AI364:AI380" si="402">AH364-AG364</f>
        <v>0</v>
      </c>
      <c r="AJ364" s="11" t="str">
        <f t="shared" si="347"/>
        <v/>
      </c>
      <c r="AK364" s="9" t="s">
        <v>102</v>
      </c>
      <c r="AL364" s="13">
        <f>IFERROR(INDEX('Balizador da Meta'!$D$3:$F$23,MATCH(Faturamento!$P364,'Balizador da Meta'!$C$3:$C$23,0),MATCH(Faturamento!AK364,'Balizador da Meta'!$D$2:$F$2,0)),"")</f>
        <v>0.2</v>
      </c>
      <c r="AM364" s="9"/>
    </row>
    <row r="365" spans="1:39" x14ac:dyDescent="0.3">
      <c r="A365" s="2" t="str">
        <f t="shared" si="327"/>
        <v>NÃO</v>
      </c>
      <c r="B365" s="2" t="str">
        <f>_xlfn.XLOOKUP($N365,'Base de Grupos'!$A:$A,'Base de Grupos'!$D:$D)</f>
        <v>1000065763</v>
      </c>
      <c r="C365" s="5" t="str">
        <f>_xlfn.XLOOKUP($N365,'Base de Grupos'!$A:$A,'Base de Grupos'!$E:$E)</f>
        <v>CANAL VENDA INTERNA</v>
      </c>
      <c r="D365" s="5" t="str">
        <f>_xlfn.XLOOKUP($N365,'Base de Grupos'!$A:$A,'Base de Grupos'!$F:$F)</f>
        <v>1000065763</v>
      </c>
      <c r="E365" s="2" t="str">
        <f>_xlfn.XLOOKUP($N365,'Base de Grupos'!$A:$A,'Base de Grupos'!$G:$G)</f>
        <v>CANAL VENDA INTERNA</v>
      </c>
      <c r="F365" s="2" t="str">
        <f>_xlfn.XLOOKUP($N365,'Base de Grupos'!$A:$A,'Base de Grupos'!$H:$H)</f>
        <v>1000105899</v>
      </c>
      <c r="G365" s="5" t="str">
        <f>_xlfn.XLOOKUP($N365,'Base de Grupos'!$A:$A,'Base de Grupos'!$I:$I)</f>
        <v>REGIONAL VENDA DIRETA SUDESTE</v>
      </c>
      <c r="H365" s="5" t="str">
        <f>_xlfn.XLOOKUP($N365,'Base de Grupos'!$A:$A,'Base de Grupos'!$J:$J)</f>
        <v>1000105899</v>
      </c>
      <c r="I365" s="2" t="str">
        <f>_xlfn.XLOOKUP($N365,'Base de Grupos'!$A:$A,'Base de Grupos'!$K:$K)</f>
        <v>REGIONAL VENDA DIRETA SUDESTE</v>
      </c>
      <c r="J365" s="2" t="str">
        <f>_xlfn.XLOOKUP($N365,'Base de Grupos'!$A:$A,'Base de Grupos'!$L:$L)</f>
        <v>1000150135</v>
      </c>
      <c r="K365" s="5" t="str">
        <f>_xlfn.XLOOKUP($N365,'Base de Grupos'!$A:$A,'Base de Grupos'!$M:$M)</f>
        <v>HELDER DA SILVA BRUNKOW</v>
      </c>
      <c r="L365" s="5" t="str">
        <f t="shared" si="328"/>
        <v/>
      </c>
      <c r="M365" s="5" t="str">
        <f>_xlfn.XLOOKUP($N365,'Base de Grupos'!$A:$A,'Base de Grupos'!$C:$C)</f>
        <v>MG</v>
      </c>
      <c r="N365" s="3">
        <v>1359</v>
      </c>
      <c r="O365" s="4" t="s">
        <v>244</v>
      </c>
      <c r="P365" s="5" t="s">
        <v>82</v>
      </c>
      <c r="Q365" s="56">
        <v>0</v>
      </c>
      <c r="R365" s="56">
        <v>0</v>
      </c>
      <c r="S365" s="56">
        <v>0</v>
      </c>
      <c r="T365" s="56">
        <f>_xlfn.XLOOKUP($N365,'Calculo Leads'!$A$97:$A$134,'Calculo Leads'!G$97:G$134)*_xlfn.XLOOKUP($P365,'Base Grupo de Produtos'!$E$2:$E$18,'Base Grupo de Produtos'!$F$2:$F$18)</f>
        <v>350</v>
      </c>
      <c r="U365" s="56">
        <f>_xlfn.XLOOKUP($N365,'Calculo Leads'!$A$97:$A$134,'Calculo Leads'!H$97:H$134)*_xlfn.XLOOKUP($P365,'Base Grupo de Produtos'!$E$2:$E$18,'Base Grupo de Produtos'!$F$2:$F$18)</f>
        <v>450</v>
      </c>
      <c r="V365" s="56">
        <f>_xlfn.XLOOKUP($N365,'Calculo Leads'!$A$97:$A$134,'Calculo Leads'!I$97:I$134)*_xlfn.XLOOKUP($P365,'Base Grupo de Produtos'!$E$2:$E$18,'Base Grupo de Produtos'!$F$2:$F$18)</f>
        <v>550</v>
      </c>
      <c r="W365" s="56">
        <f>_xlfn.XLOOKUP($N365,'Calculo Leads'!$A$97:$A$134,'Calculo Leads'!J$97:J$134)*_xlfn.XLOOKUP($P365,'Base Grupo de Produtos'!$E$2:$E$18,'Base Grupo de Produtos'!$F$2:$F$18)</f>
        <v>650</v>
      </c>
      <c r="X365" s="56">
        <f>_xlfn.XLOOKUP($N365,'Calculo Leads'!$A$97:$A$134,'Calculo Leads'!K$97:K$134)*_xlfn.XLOOKUP($P365,'Base Grupo de Produtos'!$E$2:$E$18,'Base Grupo de Produtos'!$F$2:$F$18)</f>
        <v>825</v>
      </c>
      <c r="Y365" s="56">
        <f>_xlfn.XLOOKUP($N365,'Calculo Leads'!$A$97:$A$134,'Calculo Leads'!L$97:L$134)*_xlfn.XLOOKUP($P365,'Base Grupo de Produtos'!$E$2:$E$18,'Base Grupo de Produtos'!$F$2:$F$18)</f>
        <v>990</v>
      </c>
      <c r="Z365" s="56">
        <f>_xlfn.XLOOKUP($N365,'Calculo Leads'!$A$97:$A$134,'Calculo Leads'!M$97:M$134)*_xlfn.XLOOKUP($P365,'Base Grupo de Produtos'!$E$2:$E$18,'Base Grupo de Produtos'!$F$2:$F$18)</f>
        <v>1100</v>
      </c>
      <c r="AA365" s="56">
        <f>_xlfn.XLOOKUP($N365,'Calculo Leads'!$A$97:$A$134,'Calculo Leads'!N$97:N$134)*_xlfn.XLOOKUP($P365,'Base Grupo de Produtos'!$E$2:$E$18,'Base Grupo de Produtos'!$F$2:$F$18)</f>
        <v>1265</v>
      </c>
      <c r="AB365" s="56">
        <f>_xlfn.XLOOKUP($N365,'Calculo Leads'!$A$97:$A$134,'Calculo Leads'!O$97:O$134)*_xlfn.XLOOKUP($P365,'Base Grupo de Produtos'!$E$2:$E$18,'Base Grupo de Produtos'!$F$2:$F$18)</f>
        <v>825</v>
      </c>
      <c r="AC365" s="61">
        <f t="shared" si="348"/>
        <v>7005</v>
      </c>
      <c r="AD365" s="27">
        <f t="shared" si="400"/>
        <v>7005</v>
      </c>
      <c r="AE365" s="25">
        <f>IFERROR(_xlfn.XLOOKUP(N365&amp;P365,'Historico Vendas'!G:G,'Historico Vendas'!E:E),0)</f>
        <v>0</v>
      </c>
      <c r="AF365" s="29" t="str">
        <f t="shared" si="326"/>
        <v/>
      </c>
      <c r="AG365" s="24">
        <f>IFERROR(_xlfn.XLOOKUP(N365&amp;P365,'Historico Vendas'!G:G,'Historico Vendas'!F:F),0)</f>
        <v>0</v>
      </c>
      <c r="AH365" s="25">
        <f t="shared" si="401"/>
        <v>0</v>
      </c>
      <c r="AI365" s="24">
        <f t="shared" si="402"/>
        <v>0</v>
      </c>
      <c r="AJ365" s="11" t="str">
        <f t="shared" si="347"/>
        <v/>
      </c>
      <c r="AK365" s="9" t="s">
        <v>102</v>
      </c>
      <c r="AL365" s="13">
        <f>IFERROR(INDEX('Balizador da Meta'!$D$3:$F$23,MATCH(Faturamento!$P365,'Balizador da Meta'!$C$3:$C$23,0),MATCH(Faturamento!AK365,'Balizador da Meta'!$D$2:$F$2,0)),"")</f>
        <v>0.2</v>
      </c>
      <c r="AM365" s="9"/>
    </row>
    <row r="366" spans="1:39" x14ac:dyDescent="0.3">
      <c r="A366" s="2" t="str">
        <f t="shared" si="327"/>
        <v>NÃO</v>
      </c>
      <c r="B366" s="2" t="str">
        <f>_xlfn.XLOOKUP($N366,'Base de Grupos'!$A:$A,'Base de Grupos'!$D:$D)</f>
        <v>1000065763</v>
      </c>
      <c r="C366" s="5" t="str">
        <f>_xlfn.XLOOKUP($N366,'Base de Grupos'!$A:$A,'Base de Grupos'!$E:$E)</f>
        <v>CANAL VENDA INTERNA</v>
      </c>
      <c r="D366" s="5" t="str">
        <f>_xlfn.XLOOKUP($N366,'Base de Grupos'!$A:$A,'Base de Grupos'!$F:$F)</f>
        <v>1000065763</v>
      </c>
      <c r="E366" s="2" t="str">
        <f>_xlfn.XLOOKUP($N366,'Base de Grupos'!$A:$A,'Base de Grupos'!$G:$G)</f>
        <v>CANAL VENDA INTERNA</v>
      </c>
      <c r="F366" s="2" t="str">
        <f>_xlfn.XLOOKUP($N366,'Base de Grupos'!$A:$A,'Base de Grupos'!$H:$H)</f>
        <v>1000105899</v>
      </c>
      <c r="G366" s="5" t="str">
        <f>_xlfn.XLOOKUP($N366,'Base de Grupos'!$A:$A,'Base de Grupos'!$I:$I)</f>
        <v>REGIONAL VENDA DIRETA SUDESTE</v>
      </c>
      <c r="H366" s="5" t="str">
        <f>_xlfn.XLOOKUP($N366,'Base de Grupos'!$A:$A,'Base de Grupos'!$J:$J)</f>
        <v>1000105899</v>
      </c>
      <c r="I366" s="2" t="str">
        <f>_xlfn.XLOOKUP($N366,'Base de Grupos'!$A:$A,'Base de Grupos'!$K:$K)</f>
        <v>REGIONAL VENDA DIRETA SUDESTE</v>
      </c>
      <c r="J366" s="2" t="str">
        <f>_xlfn.XLOOKUP($N366,'Base de Grupos'!$A:$A,'Base de Grupos'!$L:$L)</f>
        <v>1000150135</v>
      </c>
      <c r="K366" s="5" t="str">
        <f>_xlfn.XLOOKUP($N366,'Base de Grupos'!$A:$A,'Base de Grupos'!$M:$M)</f>
        <v>HELDER DA SILVA BRUNKOW</v>
      </c>
      <c r="L366" s="5" t="str">
        <f t="shared" si="328"/>
        <v/>
      </c>
      <c r="M366" s="5" t="str">
        <f>_xlfn.XLOOKUP($N366,'Base de Grupos'!$A:$A,'Base de Grupos'!$C:$C)</f>
        <v>MG</v>
      </c>
      <c r="N366" s="3">
        <v>1359</v>
      </c>
      <c r="O366" s="4" t="s">
        <v>244</v>
      </c>
      <c r="P366" s="5" t="s">
        <v>84</v>
      </c>
      <c r="Q366" s="56">
        <v>0</v>
      </c>
      <c r="R366" s="56">
        <v>0</v>
      </c>
      <c r="S366" s="56">
        <v>0</v>
      </c>
      <c r="T366" s="56">
        <f>_xlfn.XLOOKUP($N366,'Calculo Leads'!$A$97:$A$134,'Calculo Leads'!G$97:G$134)*_xlfn.XLOOKUP($P366,'Base Grupo de Produtos'!$E$2:$E$18,'Base Grupo de Produtos'!$F$2:$F$18)</f>
        <v>560</v>
      </c>
      <c r="U366" s="56">
        <f>_xlfn.XLOOKUP($N366,'Calculo Leads'!$A$97:$A$134,'Calculo Leads'!H$97:H$134)*_xlfn.XLOOKUP($P366,'Base Grupo de Produtos'!$E$2:$E$18,'Base Grupo de Produtos'!$F$2:$F$18)</f>
        <v>720</v>
      </c>
      <c r="V366" s="56">
        <f>_xlfn.XLOOKUP($N366,'Calculo Leads'!$A$97:$A$134,'Calculo Leads'!I$97:I$134)*_xlfn.XLOOKUP($P366,'Base Grupo de Produtos'!$E$2:$E$18,'Base Grupo de Produtos'!$F$2:$F$18)</f>
        <v>880</v>
      </c>
      <c r="W366" s="56">
        <f>_xlfn.XLOOKUP($N366,'Calculo Leads'!$A$97:$A$134,'Calculo Leads'!J$97:J$134)*_xlfn.XLOOKUP($P366,'Base Grupo de Produtos'!$E$2:$E$18,'Base Grupo de Produtos'!$F$2:$F$18)</f>
        <v>1040</v>
      </c>
      <c r="X366" s="56">
        <f>_xlfn.XLOOKUP($N366,'Calculo Leads'!$A$97:$A$134,'Calculo Leads'!K$97:K$134)*_xlfn.XLOOKUP($P366,'Base Grupo de Produtos'!$E$2:$E$18,'Base Grupo de Produtos'!$F$2:$F$18)</f>
        <v>1320</v>
      </c>
      <c r="Y366" s="56">
        <f>_xlfn.XLOOKUP($N366,'Calculo Leads'!$A$97:$A$134,'Calculo Leads'!L$97:L$134)*_xlfn.XLOOKUP($P366,'Base Grupo de Produtos'!$E$2:$E$18,'Base Grupo de Produtos'!$F$2:$F$18)</f>
        <v>1584</v>
      </c>
      <c r="Z366" s="56">
        <f>_xlfn.XLOOKUP($N366,'Calculo Leads'!$A$97:$A$134,'Calculo Leads'!M$97:M$134)*_xlfn.XLOOKUP($P366,'Base Grupo de Produtos'!$E$2:$E$18,'Base Grupo de Produtos'!$F$2:$F$18)</f>
        <v>1760</v>
      </c>
      <c r="AA366" s="56">
        <f>_xlfn.XLOOKUP($N366,'Calculo Leads'!$A$97:$A$134,'Calculo Leads'!N$97:N$134)*_xlfn.XLOOKUP($P366,'Base Grupo de Produtos'!$E$2:$E$18,'Base Grupo de Produtos'!$F$2:$F$18)</f>
        <v>2024</v>
      </c>
      <c r="AB366" s="56">
        <f>_xlfn.XLOOKUP($N366,'Calculo Leads'!$A$97:$A$134,'Calculo Leads'!O$97:O$134)*_xlfn.XLOOKUP($P366,'Base Grupo de Produtos'!$E$2:$E$18,'Base Grupo de Produtos'!$F$2:$F$18)</f>
        <v>1320</v>
      </c>
      <c r="AC366" s="61">
        <f t="shared" si="348"/>
        <v>11208</v>
      </c>
      <c r="AD366" s="27">
        <f t="shared" si="400"/>
        <v>11208</v>
      </c>
      <c r="AE366" s="25">
        <f>IFERROR(_xlfn.XLOOKUP(N366&amp;P366,'Historico Vendas'!G:G,'Historico Vendas'!E:E),0)</f>
        <v>0</v>
      </c>
      <c r="AF366" s="29" t="str">
        <f t="shared" si="326"/>
        <v/>
      </c>
      <c r="AG366" s="24">
        <f>IFERROR(_xlfn.XLOOKUP(N366&amp;P366,'Historico Vendas'!G:G,'Historico Vendas'!F:F),0)</f>
        <v>0</v>
      </c>
      <c r="AH366" s="25">
        <f t="shared" si="401"/>
        <v>0</v>
      </c>
      <c r="AI366" s="24">
        <f t="shared" si="402"/>
        <v>0</v>
      </c>
      <c r="AJ366" s="11" t="str">
        <f t="shared" si="347"/>
        <v/>
      </c>
      <c r="AK366" s="9" t="s">
        <v>102</v>
      </c>
      <c r="AL366" s="13">
        <f>IFERROR(INDEX('Balizador da Meta'!$D$3:$F$23,MATCH(Faturamento!$P366,'Balizador da Meta'!$C$3:$C$23,0),MATCH(Faturamento!AK366,'Balizador da Meta'!$D$2:$F$2,0)),"")</f>
        <v>0.15</v>
      </c>
      <c r="AM366" s="9"/>
    </row>
    <row r="367" spans="1:39" x14ac:dyDescent="0.3">
      <c r="A367" s="2" t="str">
        <f t="shared" si="327"/>
        <v>NÃO</v>
      </c>
      <c r="B367" s="2" t="str">
        <f>_xlfn.XLOOKUP($N367,'Base de Grupos'!$A:$A,'Base de Grupos'!$D:$D)</f>
        <v>1000065763</v>
      </c>
      <c r="C367" s="5" t="str">
        <f>_xlfn.XLOOKUP($N367,'Base de Grupos'!$A:$A,'Base de Grupos'!$E:$E)</f>
        <v>CANAL VENDA INTERNA</v>
      </c>
      <c r="D367" s="5" t="str">
        <f>_xlfn.XLOOKUP($N367,'Base de Grupos'!$A:$A,'Base de Grupos'!$F:$F)</f>
        <v>1000065763</v>
      </c>
      <c r="E367" s="2" t="str">
        <f>_xlfn.XLOOKUP($N367,'Base de Grupos'!$A:$A,'Base de Grupos'!$G:$G)</f>
        <v>CANAL VENDA INTERNA</v>
      </c>
      <c r="F367" s="2" t="str">
        <f>_xlfn.XLOOKUP($N367,'Base de Grupos'!$A:$A,'Base de Grupos'!$H:$H)</f>
        <v>1000105899</v>
      </c>
      <c r="G367" s="5" t="str">
        <f>_xlfn.XLOOKUP($N367,'Base de Grupos'!$A:$A,'Base de Grupos'!$I:$I)</f>
        <v>REGIONAL VENDA DIRETA SUDESTE</v>
      </c>
      <c r="H367" s="5" t="str">
        <f>_xlfn.XLOOKUP($N367,'Base de Grupos'!$A:$A,'Base de Grupos'!$J:$J)</f>
        <v>1000105899</v>
      </c>
      <c r="I367" s="2" t="str">
        <f>_xlfn.XLOOKUP($N367,'Base de Grupos'!$A:$A,'Base de Grupos'!$K:$K)</f>
        <v>REGIONAL VENDA DIRETA SUDESTE</v>
      </c>
      <c r="J367" s="2" t="str">
        <f>_xlfn.XLOOKUP($N367,'Base de Grupos'!$A:$A,'Base de Grupos'!$L:$L)</f>
        <v>1000150135</v>
      </c>
      <c r="K367" s="5" t="str">
        <f>_xlfn.XLOOKUP($N367,'Base de Grupos'!$A:$A,'Base de Grupos'!$M:$M)</f>
        <v>HELDER DA SILVA BRUNKOW</v>
      </c>
      <c r="L367" s="5" t="str">
        <f t="shared" si="328"/>
        <v/>
      </c>
      <c r="M367" s="5" t="str">
        <f>_xlfn.XLOOKUP($N367,'Base de Grupos'!$A:$A,'Base de Grupos'!$C:$C)</f>
        <v>MG</v>
      </c>
      <c r="N367" s="3">
        <v>1359</v>
      </c>
      <c r="O367" s="4" t="s">
        <v>244</v>
      </c>
      <c r="P367" s="5" t="s">
        <v>83</v>
      </c>
      <c r="Q367" s="56">
        <v>0</v>
      </c>
      <c r="R367" s="56">
        <v>0</v>
      </c>
      <c r="S367" s="56">
        <v>0</v>
      </c>
      <c r="T367" s="56">
        <f>_xlfn.XLOOKUP($N367,'Calculo Leads'!$A$97:$A$134,'Calculo Leads'!G$97:G$134)*_xlfn.XLOOKUP($P367,'Base Grupo de Produtos'!$E$2:$E$18,'Base Grupo de Produtos'!$F$2:$F$18)</f>
        <v>700</v>
      </c>
      <c r="U367" s="56">
        <f>_xlfn.XLOOKUP($N367,'Calculo Leads'!$A$97:$A$134,'Calculo Leads'!H$97:H$134)*_xlfn.XLOOKUP($P367,'Base Grupo de Produtos'!$E$2:$E$18,'Base Grupo de Produtos'!$F$2:$F$18)</f>
        <v>900</v>
      </c>
      <c r="V367" s="56">
        <f>_xlfn.XLOOKUP($N367,'Calculo Leads'!$A$97:$A$134,'Calculo Leads'!I$97:I$134)*_xlfn.XLOOKUP($P367,'Base Grupo de Produtos'!$E$2:$E$18,'Base Grupo de Produtos'!$F$2:$F$18)</f>
        <v>1100</v>
      </c>
      <c r="W367" s="56">
        <f>_xlfn.XLOOKUP($N367,'Calculo Leads'!$A$97:$A$134,'Calculo Leads'!J$97:J$134)*_xlfn.XLOOKUP($P367,'Base Grupo de Produtos'!$E$2:$E$18,'Base Grupo de Produtos'!$F$2:$F$18)</f>
        <v>1300</v>
      </c>
      <c r="X367" s="56">
        <f>_xlfn.XLOOKUP($N367,'Calculo Leads'!$A$97:$A$134,'Calculo Leads'!K$97:K$134)*_xlfn.XLOOKUP($P367,'Base Grupo de Produtos'!$E$2:$E$18,'Base Grupo de Produtos'!$F$2:$F$18)</f>
        <v>1650</v>
      </c>
      <c r="Y367" s="56">
        <f>_xlfn.XLOOKUP($N367,'Calculo Leads'!$A$97:$A$134,'Calculo Leads'!L$97:L$134)*_xlfn.XLOOKUP($P367,'Base Grupo de Produtos'!$E$2:$E$18,'Base Grupo de Produtos'!$F$2:$F$18)</f>
        <v>1980</v>
      </c>
      <c r="Z367" s="56">
        <f>_xlfn.XLOOKUP($N367,'Calculo Leads'!$A$97:$A$134,'Calculo Leads'!M$97:M$134)*_xlfn.XLOOKUP($P367,'Base Grupo de Produtos'!$E$2:$E$18,'Base Grupo de Produtos'!$F$2:$F$18)</f>
        <v>2200</v>
      </c>
      <c r="AA367" s="56">
        <f>_xlfn.XLOOKUP($N367,'Calculo Leads'!$A$97:$A$134,'Calculo Leads'!N$97:N$134)*_xlfn.XLOOKUP($P367,'Base Grupo de Produtos'!$E$2:$E$18,'Base Grupo de Produtos'!$F$2:$F$18)</f>
        <v>2530</v>
      </c>
      <c r="AB367" s="56">
        <f>_xlfn.XLOOKUP($N367,'Calculo Leads'!$A$97:$A$134,'Calculo Leads'!O$97:O$134)*_xlfn.XLOOKUP($P367,'Base Grupo de Produtos'!$E$2:$E$18,'Base Grupo de Produtos'!$F$2:$F$18)</f>
        <v>1650</v>
      </c>
      <c r="AC367" s="61">
        <f t="shared" si="348"/>
        <v>14010</v>
      </c>
      <c r="AD367" s="27">
        <f t="shared" si="400"/>
        <v>14010</v>
      </c>
      <c r="AE367" s="25">
        <f>IFERROR(_xlfn.XLOOKUP(N367&amp;P367,'Historico Vendas'!G:G,'Historico Vendas'!E:E),0)</f>
        <v>0</v>
      </c>
      <c r="AF367" s="29" t="str">
        <f t="shared" si="326"/>
        <v/>
      </c>
      <c r="AG367" s="24">
        <f>IFERROR(_xlfn.XLOOKUP(N367&amp;P367,'Historico Vendas'!G:G,'Historico Vendas'!F:F),0)</f>
        <v>0</v>
      </c>
      <c r="AH367" s="25">
        <f t="shared" si="401"/>
        <v>0</v>
      </c>
      <c r="AI367" s="24">
        <f t="shared" si="402"/>
        <v>0</v>
      </c>
      <c r="AJ367" s="11" t="str">
        <f t="shared" si="347"/>
        <v/>
      </c>
      <c r="AK367" s="9" t="s">
        <v>102</v>
      </c>
      <c r="AL367" s="13">
        <f>IFERROR(INDEX('Balizador da Meta'!$D$3:$F$23,MATCH(Faturamento!$P367,'Balizador da Meta'!$C$3:$C$23,0),MATCH(Faturamento!AK367,'Balizador da Meta'!$D$2:$F$2,0)),"")</f>
        <v>0</v>
      </c>
      <c r="AM367" s="9"/>
    </row>
    <row r="368" spans="1:39" x14ac:dyDescent="0.3">
      <c r="A368" s="2" t="str">
        <f t="shared" si="327"/>
        <v>NÃO</v>
      </c>
      <c r="B368" s="2" t="str">
        <f>_xlfn.XLOOKUP($N368,'Base de Grupos'!$A:$A,'Base de Grupos'!$D:$D)</f>
        <v>1000065763</v>
      </c>
      <c r="C368" s="5" t="str">
        <f>_xlfn.XLOOKUP($N368,'Base de Grupos'!$A:$A,'Base de Grupos'!$E:$E)</f>
        <v>CANAL VENDA INTERNA</v>
      </c>
      <c r="D368" s="5" t="str">
        <f>_xlfn.XLOOKUP($N368,'Base de Grupos'!$A:$A,'Base de Grupos'!$F:$F)</f>
        <v>1000065763</v>
      </c>
      <c r="E368" s="2" t="str">
        <f>_xlfn.XLOOKUP($N368,'Base de Grupos'!$A:$A,'Base de Grupos'!$G:$G)</f>
        <v>CANAL VENDA INTERNA</v>
      </c>
      <c r="F368" s="2" t="str">
        <f>_xlfn.XLOOKUP($N368,'Base de Grupos'!$A:$A,'Base de Grupos'!$H:$H)</f>
        <v>1000105899</v>
      </c>
      <c r="G368" s="5" t="str">
        <f>_xlfn.XLOOKUP($N368,'Base de Grupos'!$A:$A,'Base de Grupos'!$I:$I)</f>
        <v>REGIONAL VENDA DIRETA SUDESTE</v>
      </c>
      <c r="H368" s="5" t="str">
        <f>_xlfn.XLOOKUP($N368,'Base de Grupos'!$A:$A,'Base de Grupos'!$J:$J)</f>
        <v>1000105899</v>
      </c>
      <c r="I368" s="2" t="str">
        <f>_xlfn.XLOOKUP($N368,'Base de Grupos'!$A:$A,'Base de Grupos'!$K:$K)</f>
        <v>REGIONAL VENDA DIRETA SUDESTE</v>
      </c>
      <c r="J368" s="2" t="str">
        <f>_xlfn.XLOOKUP($N368,'Base de Grupos'!$A:$A,'Base de Grupos'!$L:$L)</f>
        <v>1000150135</v>
      </c>
      <c r="K368" s="5" t="str">
        <f>_xlfn.XLOOKUP($N368,'Base de Grupos'!$A:$A,'Base de Grupos'!$M:$M)</f>
        <v>HELDER DA SILVA BRUNKOW</v>
      </c>
      <c r="L368" s="5" t="str">
        <f t="shared" si="328"/>
        <v/>
      </c>
      <c r="M368" s="5" t="str">
        <f>_xlfn.XLOOKUP($N368,'Base de Grupos'!$A:$A,'Base de Grupos'!$C:$C)</f>
        <v>MG</v>
      </c>
      <c r="N368" s="3">
        <v>1359</v>
      </c>
      <c r="O368" s="4" t="s">
        <v>244</v>
      </c>
      <c r="P368" s="5" t="s">
        <v>87</v>
      </c>
      <c r="Q368" s="56">
        <v>0</v>
      </c>
      <c r="R368" s="56">
        <v>0</v>
      </c>
      <c r="S368" s="56">
        <v>0</v>
      </c>
      <c r="T368" s="56">
        <f>_xlfn.XLOOKUP($N368,'Calculo Leads'!$A$97:$A$134,'Calculo Leads'!G$97:G$134)*_xlfn.XLOOKUP($P368,'Base Grupo de Produtos'!$E$2:$E$18,'Base Grupo de Produtos'!$F$2:$F$18)</f>
        <v>139.99999999999997</v>
      </c>
      <c r="U368" s="56">
        <f>_xlfn.XLOOKUP($N368,'Calculo Leads'!$A$97:$A$134,'Calculo Leads'!H$97:H$134)*_xlfn.XLOOKUP($P368,'Base Grupo de Produtos'!$E$2:$E$18,'Base Grupo de Produtos'!$F$2:$F$18)</f>
        <v>179.99999999999997</v>
      </c>
      <c r="V368" s="56">
        <f>_xlfn.XLOOKUP($N368,'Calculo Leads'!$A$97:$A$134,'Calculo Leads'!I$97:I$134)*_xlfn.XLOOKUP($P368,'Base Grupo de Produtos'!$E$2:$E$18,'Base Grupo de Produtos'!$F$2:$F$18)</f>
        <v>219.99999999999997</v>
      </c>
      <c r="W368" s="56">
        <f>_xlfn.XLOOKUP($N368,'Calculo Leads'!$A$97:$A$134,'Calculo Leads'!J$97:J$134)*_xlfn.XLOOKUP($P368,'Base Grupo de Produtos'!$E$2:$E$18,'Base Grupo de Produtos'!$F$2:$F$18)</f>
        <v>259.99999999999994</v>
      </c>
      <c r="X368" s="56">
        <f>_xlfn.XLOOKUP($N368,'Calculo Leads'!$A$97:$A$134,'Calculo Leads'!K$97:K$134)*_xlfn.XLOOKUP($P368,'Base Grupo de Produtos'!$E$2:$E$18,'Base Grupo de Produtos'!$F$2:$F$18)</f>
        <v>329.99999999999994</v>
      </c>
      <c r="Y368" s="56">
        <f>_xlfn.XLOOKUP($N368,'Calculo Leads'!$A$97:$A$134,'Calculo Leads'!L$97:L$134)*_xlfn.XLOOKUP($P368,'Base Grupo de Produtos'!$E$2:$E$18,'Base Grupo de Produtos'!$F$2:$F$18)</f>
        <v>395.99999999999994</v>
      </c>
      <c r="Z368" s="56">
        <f>_xlfn.XLOOKUP($N368,'Calculo Leads'!$A$97:$A$134,'Calculo Leads'!M$97:M$134)*_xlfn.XLOOKUP($P368,'Base Grupo de Produtos'!$E$2:$E$18,'Base Grupo de Produtos'!$F$2:$F$18)</f>
        <v>439.99999999999994</v>
      </c>
      <c r="AA368" s="56">
        <f>_xlfn.XLOOKUP($N368,'Calculo Leads'!$A$97:$A$134,'Calculo Leads'!N$97:N$134)*_xlfn.XLOOKUP($P368,'Base Grupo de Produtos'!$E$2:$E$18,'Base Grupo de Produtos'!$F$2:$F$18)</f>
        <v>505.99999999999994</v>
      </c>
      <c r="AB368" s="56">
        <f>_xlfn.XLOOKUP($N368,'Calculo Leads'!$A$97:$A$134,'Calculo Leads'!O$97:O$134)*_xlfn.XLOOKUP($P368,'Base Grupo de Produtos'!$E$2:$E$18,'Base Grupo de Produtos'!$F$2:$F$18)</f>
        <v>329.99999999999994</v>
      </c>
      <c r="AC368" s="61">
        <f t="shared" si="348"/>
        <v>2801.9999999999995</v>
      </c>
      <c r="AD368" s="27">
        <f t="shared" si="400"/>
        <v>2801.9999999999995</v>
      </c>
      <c r="AE368" s="25">
        <f>IFERROR(_xlfn.XLOOKUP(N368&amp;P368,'Historico Vendas'!G:G,'Historico Vendas'!E:E),0)</f>
        <v>0</v>
      </c>
      <c r="AF368" s="29" t="str">
        <f t="shared" si="326"/>
        <v/>
      </c>
      <c r="AG368" s="24">
        <f>IFERROR(_xlfn.XLOOKUP(N368&amp;P368,'Historico Vendas'!G:G,'Historico Vendas'!F:F),0)</f>
        <v>0</v>
      </c>
      <c r="AH368" s="25">
        <f t="shared" si="401"/>
        <v>0</v>
      </c>
      <c r="AI368" s="24">
        <f t="shared" si="402"/>
        <v>0</v>
      </c>
      <c r="AJ368" s="11" t="str">
        <f t="shared" si="347"/>
        <v/>
      </c>
      <c r="AK368" s="9" t="s">
        <v>102</v>
      </c>
      <c r="AL368" s="13">
        <f>IFERROR(INDEX('Balizador da Meta'!$D$3:$F$23,MATCH(Faturamento!$P368,'Balizador da Meta'!$C$3:$C$23,0),MATCH(Faturamento!AK368,'Balizador da Meta'!$D$2:$F$2,0)),"")</f>
        <v>0</v>
      </c>
      <c r="AM368" s="9"/>
    </row>
    <row r="369" spans="1:39" x14ac:dyDescent="0.3">
      <c r="A369" s="2" t="str">
        <f t="shared" si="327"/>
        <v>NÃO</v>
      </c>
      <c r="B369" s="2" t="str">
        <f>_xlfn.XLOOKUP($N369,'Base de Grupos'!$A:$A,'Base de Grupos'!$D:$D)</f>
        <v>1000065763</v>
      </c>
      <c r="C369" s="5" t="str">
        <f>_xlfn.XLOOKUP($N369,'Base de Grupos'!$A:$A,'Base de Grupos'!$E:$E)</f>
        <v>CANAL VENDA INTERNA</v>
      </c>
      <c r="D369" s="5" t="str">
        <f>_xlfn.XLOOKUP($N369,'Base de Grupos'!$A:$A,'Base de Grupos'!$F:$F)</f>
        <v>1000065763</v>
      </c>
      <c r="E369" s="2" t="str">
        <f>_xlfn.XLOOKUP($N369,'Base de Grupos'!$A:$A,'Base de Grupos'!$G:$G)</f>
        <v>CANAL VENDA INTERNA</v>
      </c>
      <c r="F369" s="2" t="str">
        <f>_xlfn.XLOOKUP($N369,'Base de Grupos'!$A:$A,'Base de Grupos'!$H:$H)</f>
        <v>1000105899</v>
      </c>
      <c r="G369" s="5" t="str">
        <f>_xlfn.XLOOKUP($N369,'Base de Grupos'!$A:$A,'Base de Grupos'!$I:$I)</f>
        <v>REGIONAL VENDA DIRETA SUDESTE</v>
      </c>
      <c r="H369" s="5" t="str">
        <f>_xlfn.XLOOKUP($N369,'Base de Grupos'!$A:$A,'Base de Grupos'!$J:$J)</f>
        <v>1000105899</v>
      </c>
      <c r="I369" s="2" t="str">
        <f>_xlfn.XLOOKUP($N369,'Base de Grupos'!$A:$A,'Base de Grupos'!$K:$K)</f>
        <v>REGIONAL VENDA DIRETA SUDESTE</v>
      </c>
      <c r="J369" s="2" t="str">
        <f>_xlfn.XLOOKUP($N369,'Base de Grupos'!$A:$A,'Base de Grupos'!$L:$L)</f>
        <v>1000150135</v>
      </c>
      <c r="K369" s="5" t="str">
        <f>_xlfn.XLOOKUP($N369,'Base de Grupos'!$A:$A,'Base de Grupos'!$M:$M)</f>
        <v>HELDER DA SILVA BRUNKOW</v>
      </c>
      <c r="L369" s="5" t="str">
        <f t="shared" si="328"/>
        <v/>
      </c>
      <c r="M369" s="5" t="str">
        <f>_xlfn.XLOOKUP($N369,'Base de Grupos'!$A:$A,'Base de Grupos'!$C:$C)</f>
        <v>MG</v>
      </c>
      <c r="N369" s="3">
        <v>1359</v>
      </c>
      <c r="O369" s="4" t="s">
        <v>244</v>
      </c>
      <c r="P369" s="5" t="s">
        <v>85</v>
      </c>
      <c r="Q369" s="56">
        <v>0</v>
      </c>
      <c r="R369" s="56">
        <v>0</v>
      </c>
      <c r="S369" s="56">
        <v>0</v>
      </c>
      <c r="T369" s="56">
        <f>_xlfn.XLOOKUP($N369,'Calculo Leads'!$A$97:$A$134,'Calculo Leads'!G$97:G$134)*_xlfn.XLOOKUP($P369,'Base Grupo de Produtos'!$E$2:$E$18,'Base Grupo de Produtos'!$F$2:$F$18)</f>
        <v>140</v>
      </c>
      <c r="U369" s="56">
        <f>_xlfn.XLOOKUP($N369,'Calculo Leads'!$A$97:$A$134,'Calculo Leads'!H$97:H$134)*_xlfn.XLOOKUP($P369,'Base Grupo de Produtos'!$E$2:$E$18,'Base Grupo de Produtos'!$F$2:$F$18)</f>
        <v>180</v>
      </c>
      <c r="V369" s="56">
        <f>_xlfn.XLOOKUP($N369,'Calculo Leads'!$A$97:$A$134,'Calculo Leads'!I$97:I$134)*_xlfn.XLOOKUP($P369,'Base Grupo de Produtos'!$E$2:$E$18,'Base Grupo de Produtos'!$F$2:$F$18)</f>
        <v>220</v>
      </c>
      <c r="W369" s="56">
        <f>_xlfn.XLOOKUP($N369,'Calculo Leads'!$A$97:$A$134,'Calculo Leads'!J$97:J$134)*_xlfn.XLOOKUP($P369,'Base Grupo de Produtos'!$E$2:$E$18,'Base Grupo de Produtos'!$F$2:$F$18)</f>
        <v>260</v>
      </c>
      <c r="X369" s="56">
        <f>_xlfn.XLOOKUP($N369,'Calculo Leads'!$A$97:$A$134,'Calculo Leads'!K$97:K$134)*_xlfn.XLOOKUP($P369,'Base Grupo de Produtos'!$E$2:$E$18,'Base Grupo de Produtos'!$F$2:$F$18)</f>
        <v>330</v>
      </c>
      <c r="Y369" s="56">
        <f>_xlfn.XLOOKUP($N369,'Calculo Leads'!$A$97:$A$134,'Calculo Leads'!L$97:L$134)*_xlfn.XLOOKUP($P369,'Base Grupo de Produtos'!$E$2:$E$18,'Base Grupo de Produtos'!$F$2:$F$18)</f>
        <v>396</v>
      </c>
      <c r="Z369" s="56">
        <f>_xlfn.XLOOKUP($N369,'Calculo Leads'!$A$97:$A$134,'Calculo Leads'!M$97:M$134)*_xlfn.XLOOKUP($P369,'Base Grupo de Produtos'!$E$2:$E$18,'Base Grupo de Produtos'!$F$2:$F$18)</f>
        <v>440</v>
      </c>
      <c r="AA369" s="56">
        <f>_xlfn.XLOOKUP($N369,'Calculo Leads'!$A$97:$A$134,'Calculo Leads'!N$97:N$134)*_xlfn.XLOOKUP($P369,'Base Grupo de Produtos'!$E$2:$E$18,'Base Grupo de Produtos'!$F$2:$F$18)</f>
        <v>506</v>
      </c>
      <c r="AB369" s="56">
        <f>_xlfn.XLOOKUP($N369,'Calculo Leads'!$A$97:$A$134,'Calculo Leads'!O$97:O$134)*_xlfn.XLOOKUP($P369,'Base Grupo de Produtos'!$E$2:$E$18,'Base Grupo de Produtos'!$F$2:$F$18)</f>
        <v>330</v>
      </c>
      <c r="AC369" s="61">
        <f t="shared" si="348"/>
        <v>2802</v>
      </c>
      <c r="AD369" s="27">
        <f t="shared" si="400"/>
        <v>2802</v>
      </c>
      <c r="AE369" s="25">
        <f>IFERROR(_xlfn.XLOOKUP(N369&amp;P369,'Historico Vendas'!G:G,'Historico Vendas'!E:E),0)</f>
        <v>0</v>
      </c>
      <c r="AF369" s="29" t="str">
        <f t="shared" ref="AF369:AF432" si="403">IFERROR((AC369-AE369)/AE369,"")</f>
        <v/>
      </c>
      <c r="AG369" s="24">
        <f>IFERROR(_xlfn.XLOOKUP(N369&amp;P369,'Historico Vendas'!G:G,'Historico Vendas'!F:F),0)</f>
        <v>0</v>
      </c>
      <c r="AH369" s="25">
        <f t="shared" si="401"/>
        <v>0</v>
      </c>
      <c r="AI369" s="24">
        <f t="shared" si="402"/>
        <v>0</v>
      </c>
      <c r="AJ369" s="11" t="str">
        <f t="shared" si="347"/>
        <v/>
      </c>
      <c r="AK369" s="9" t="s">
        <v>102</v>
      </c>
      <c r="AL369" s="13">
        <f>IFERROR(INDEX('Balizador da Meta'!$D$3:$F$23,MATCH(Faturamento!$P369,'Balizador da Meta'!$C$3:$C$23,0),MATCH(Faturamento!AK369,'Balizador da Meta'!$D$2:$F$2,0)),"")</f>
        <v>0</v>
      </c>
      <c r="AM369" s="9"/>
    </row>
    <row r="370" spans="1:39" x14ac:dyDescent="0.3">
      <c r="A370" s="2" t="str">
        <f t="shared" ref="A370:A433" si="404">IF(L370=1,"SIM","NÃO")</f>
        <v>NÃO</v>
      </c>
      <c r="B370" s="2" t="str">
        <f>_xlfn.XLOOKUP($N370,'Base de Grupos'!$A:$A,'Base de Grupos'!$D:$D)</f>
        <v>1000065763</v>
      </c>
      <c r="C370" s="5" t="str">
        <f>_xlfn.XLOOKUP($N370,'Base de Grupos'!$A:$A,'Base de Grupos'!$E:$E)</f>
        <v>CANAL VENDA INTERNA</v>
      </c>
      <c r="D370" s="5" t="str">
        <f>_xlfn.XLOOKUP($N370,'Base de Grupos'!$A:$A,'Base de Grupos'!$F:$F)</f>
        <v>1000065763</v>
      </c>
      <c r="E370" s="2" t="str">
        <f>_xlfn.XLOOKUP($N370,'Base de Grupos'!$A:$A,'Base de Grupos'!$G:$G)</f>
        <v>CANAL VENDA INTERNA</v>
      </c>
      <c r="F370" s="2" t="str">
        <f>_xlfn.XLOOKUP($N370,'Base de Grupos'!$A:$A,'Base de Grupos'!$H:$H)</f>
        <v>1000105899</v>
      </c>
      <c r="G370" s="5" t="str">
        <f>_xlfn.XLOOKUP($N370,'Base de Grupos'!$A:$A,'Base de Grupos'!$I:$I)</f>
        <v>REGIONAL VENDA DIRETA SUDESTE</v>
      </c>
      <c r="H370" s="5" t="str">
        <f>_xlfn.XLOOKUP($N370,'Base de Grupos'!$A:$A,'Base de Grupos'!$J:$J)</f>
        <v>1000105899</v>
      </c>
      <c r="I370" s="2" t="str">
        <f>_xlfn.XLOOKUP($N370,'Base de Grupos'!$A:$A,'Base de Grupos'!$K:$K)</f>
        <v>REGIONAL VENDA DIRETA SUDESTE</v>
      </c>
      <c r="J370" s="2" t="str">
        <f>_xlfn.XLOOKUP($N370,'Base de Grupos'!$A:$A,'Base de Grupos'!$L:$L)</f>
        <v>1000150135</v>
      </c>
      <c r="K370" s="5" t="str">
        <f>_xlfn.XLOOKUP($N370,'Base de Grupos'!$A:$A,'Base de Grupos'!$M:$M)</f>
        <v>HELDER DA SILVA BRUNKOW</v>
      </c>
      <c r="L370" s="5" t="str">
        <f t="shared" ref="L370:L433" si="405">IF(N370&lt;&gt;N369,1,"")</f>
        <v/>
      </c>
      <c r="M370" s="5" t="str">
        <f>_xlfn.XLOOKUP($N370,'Base de Grupos'!$A:$A,'Base de Grupos'!$C:$C)</f>
        <v>MG</v>
      </c>
      <c r="N370" s="3">
        <v>1359</v>
      </c>
      <c r="O370" s="4" t="s">
        <v>244</v>
      </c>
      <c r="P370" s="5" t="s">
        <v>92</v>
      </c>
      <c r="Q370" s="56">
        <v>0</v>
      </c>
      <c r="R370" s="56">
        <v>0</v>
      </c>
      <c r="S370" s="56">
        <v>0</v>
      </c>
      <c r="T370" s="56">
        <f>_xlfn.XLOOKUP($N370,'Calculo Leads'!$A$97:$A$134,'Calculo Leads'!G$97:G$134)*_xlfn.XLOOKUP($P370,'Base Grupo de Produtos'!$E$2:$E$18,'Base Grupo de Produtos'!$F$2:$F$18)</f>
        <v>140</v>
      </c>
      <c r="U370" s="56">
        <f>_xlfn.XLOOKUP($N370,'Calculo Leads'!$A$97:$A$134,'Calculo Leads'!H$97:H$134)*_xlfn.XLOOKUP($P370,'Base Grupo de Produtos'!$E$2:$E$18,'Base Grupo de Produtos'!$F$2:$F$18)</f>
        <v>180</v>
      </c>
      <c r="V370" s="56">
        <f>_xlfn.XLOOKUP($N370,'Calculo Leads'!$A$97:$A$134,'Calculo Leads'!I$97:I$134)*_xlfn.XLOOKUP($P370,'Base Grupo de Produtos'!$E$2:$E$18,'Base Grupo de Produtos'!$F$2:$F$18)</f>
        <v>220</v>
      </c>
      <c r="W370" s="56">
        <f>_xlfn.XLOOKUP($N370,'Calculo Leads'!$A$97:$A$134,'Calculo Leads'!J$97:J$134)*_xlfn.XLOOKUP($P370,'Base Grupo de Produtos'!$E$2:$E$18,'Base Grupo de Produtos'!$F$2:$F$18)</f>
        <v>260</v>
      </c>
      <c r="X370" s="56">
        <f>_xlfn.XLOOKUP($N370,'Calculo Leads'!$A$97:$A$134,'Calculo Leads'!K$97:K$134)*_xlfn.XLOOKUP($P370,'Base Grupo de Produtos'!$E$2:$E$18,'Base Grupo de Produtos'!$F$2:$F$18)</f>
        <v>330</v>
      </c>
      <c r="Y370" s="56">
        <f>_xlfn.XLOOKUP($N370,'Calculo Leads'!$A$97:$A$134,'Calculo Leads'!L$97:L$134)*_xlfn.XLOOKUP($P370,'Base Grupo de Produtos'!$E$2:$E$18,'Base Grupo de Produtos'!$F$2:$F$18)</f>
        <v>396</v>
      </c>
      <c r="Z370" s="56">
        <f>_xlfn.XLOOKUP($N370,'Calculo Leads'!$A$97:$A$134,'Calculo Leads'!M$97:M$134)*_xlfn.XLOOKUP($P370,'Base Grupo de Produtos'!$E$2:$E$18,'Base Grupo de Produtos'!$F$2:$F$18)</f>
        <v>440</v>
      </c>
      <c r="AA370" s="56">
        <f>_xlfn.XLOOKUP($N370,'Calculo Leads'!$A$97:$A$134,'Calculo Leads'!N$97:N$134)*_xlfn.XLOOKUP($P370,'Base Grupo de Produtos'!$E$2:$E$18,'Base Grupo de Produtos'!$F$2:$F$18)</f>
        <v>506</v>
      </c>
      <c r="AB370" s="56">
        <f>_xlfn.XLOOKUP($N370,'Calculo Leads'!$A$97:$A$134,'Calculo Leads'!O$97:O$134)*_xlfn.XLOOKUP($P370,'Base Grupo de Produtos'!$E$2:$E$18,'Base Grupo de Produtos'!$F$2:$F$18)</f>
        <v>330</v>
      </c>
      <c r="AC370" s="61">
        <f t="shared" si="348"/>
        <v>2802</v>
      </c>
      <c r="AD370" s="27">
        <f t="shared" si="400"/>
        <v>2802</v>
      </c>
      <c r="AE370" s="25">
        <f>IFERROR(_xlfn.XLOOKUP(N370&amp;P370,'Historico Vendas'!G:G,'Historico Vendas'!E:E),0)</f>
        <v>0</v>
      </c>
      <c r="AF370" s="29" t="str">
        <f t="shared" si="403"/>
        <v/>
      </c>
      <c r="AG370" s="24">
        <f>IFERROR(_xlfn.XLOOKUP(N370&amp;P370,'Historico Vendas'!G:G,'Historico Vendas'!F:F),0)</f>
        <v>0</v>
      </c>
      <c r="AH370" s="25">
        <f t="shared" si="401"/>
        <v>0</v>
      </c>
      <c r="AI370" s="24">
        <f t="shared" si="402"/>
        <v>0</v>
      </c>
      <c r="AJ370" s="11" t="str">
        <f t="shared" si="347"/>
        <v/>
      </c>
      <c r="AK370" s="9" t="s">
        <v>102</v>
      </c>
      <c r="AL370" s="13">
        <f>IFERROR(INDEX('Balizador da Meta'!$D$3:$F$23,MATCH(Faturamento!$P370,'Balizador da Meta'!$C$3:$C$23,0),MATCH(Faturamento!AK370,'Balizador da Meta'!$D$2:$F$2,0)),"")</f>
        <v>0</v>
      </c>
      <c r="AM370" s="9"/>
    </row>
    <row r="371" spans="1:39" x14ac:dyDescent="0.3">
      <c r="A371" s="2" t="str">
        <f t="shared" si="404"/>
        <v>NÃO</v>
      </c>
      <c r="B371" s="2" t="str">
        <f>_xlfn.XLOOKUP($N371,'Base de Grupos'!$A:$A,'Base de Grupos'!$D:$D)</f>
        <v>1000065763</v>
      </c>
      <c r="C371" s="5" t="str">
        <f>_xlfn.XLOOKUP($N371,'Base de Grupos'!$A:$A,'Base de Grupos'!$E:$E)</f>
        <v>CANAL VENDA INTERNA</v>
      </c>
      <c r="D371" s="5" t="str">
        <f>_xlfn.XLOOKUP($N371,'Base de Grupos'!$A:$A,'Base de Grupos'!$F:$F)</f>
        <v>1000065763</v>
      </c>
      <c r="E371" s="2" t="str">
        <f>_xlfn.XLOOKUP($N371,'Base de Grupos'!$A:$A,'Base de Grupos'!$G:$G)</f>
        <v>CANAL VENDA INTERNA</v>
      </c>
      <c r="F371" s="2" t="str">
        <f>_xlfn.XLOOKUP($N371,'Base de Grupos'!$A:$A,'Base de Grupos'!$H:$H)</f>
        <v>1000105899</v>
      </c>
      <c r="G371" s="5" t="str">
        <f>_xlfn.XLOOKUP($N371,'Base de Grupos'!$A:$A,'Base de Grupos'!$I:$I)</f>
        <v>REGIONAL VENDA DIRETA SUDESTE</v>
      </c>
      <c r="H371" s="5" t="str">
        <f>_xlfn.XLOOKUP($N371,'Base de Grupos'!$A:$A,'Base de Grupos'!$J:$J)</f>
        <v>1000105899</v>
      </c>
      <c r="I371" s="2" t="str">
        <f>_xlfn.XLOOKUP($N371,'Base de Grupos'!$A:$A,'Base de Grupos'!$K:$K)</f>
        <v>REGIONAL VENDA DIRETA SUDESTE</v>
      </c>
      <c r="J371" s="2" t="str">
        <f>_xlfn.XLOOKUP($N371,'Base de Grupos'!$A:$A,'Base de Grupos'!$L:$L)</f>
        <v>1000150135</v>
      </c>
      <c r="K371" s="5" t="str">
        <f>_xlfn.XLOOKUP($N371,'Base de Grupos'!$A:$A,'Base de Grupos'!$M:$M)</f>
        <v>HELDER DA SILVA BRUNKOW</v>
      </c>
      <c r="L371" s="5" t="str">
        <f t="shared" si="405"/>
        <v/>
      </c>
      <c r="M371" s="5" t="str">
        <f>_xlfn.XLOOKUP($N371,'Base de Grupos'!$A:$A,'Base de Grupos'!$C:$C)</f>
        <v>MG</v>
      </c>
      <c r="N371" s="3">
        <v>1359</v>
      </c>
      <c r="O371" s="4" t="s">
        <v>244</v>
      </c>
      <c r="P371" s="5" t="s">
        <v>86</v>
      </c>
      <c r="Q371" s="56">
        <v>0</v>
      </c>
      <c r="R371" s="56">
        <v>0</v>
      </c>
      <c r="S371" s="56">
        <v>0</v>
      </c>
      <c r="T371" s="56">
        <f>_xlfn.XLOOKUP($N371,'Calculo Leads'!$A$97:$A$134,'Calculo Leads'!G$97:G$134)*_xlfn.XLOOKUP($P371,'Base Grupo de Produtos'!$E$2:$E$18,'Base Grupo de Produtos'!$F$2:$F$18)</f>
        <v>210</v>
      </c>
      <c r="U371" s="56">
        <f>_xlfn.XLOOKUP($N371,'Calculo Leads'!$A$97:$A$134,'Calculo Leads'!H$97:H$134)*_xlfn.XLOOKUP($P371,'Base Grupo de Produtos'!$E$2:$E$18,'Base Grupo de Produtos'!$F$2:$F$18)</f>
        <v>270</v>
      </c>
      <c r="V371" s="56">
        <f>_xlfn.XLOOKUP($N371,'Calculo Leads'!$A$97:$A$134,'Calculo Leads'!I$97:I$134)*_xlfn.XLOOKUP($P371,'Base Grupo de Produtos'!$E$2:$E$18,'Base Grupo de Produtos'!$F$2:$F$18)</f>
        <v>330</v>
      </c>
      <c r="W371" s="56">
        <f>_xlfn.XLOOKUP($N371,'Calculo Leads'!$A$97:$A$134,'Calculo Leads'!J$97:J$134)*_xlfn.XLOOKUP($P371,'Base Grupo de Produtos'!$E$2:$E$18,'Base Grupo de Produtos'!$F$2:$F$18)</f>
        <v>390</v>
      </c>
      <c r="X371" s="56">
        <f>_xlfn.XLOOKUP($N371,'Calculo Leads'!$A$97:$A$134,'Calculo Leads'!K$97:K$134)*_xlfn.XLOOKUP($P371,'Base Grupo de Produtos'!$E$2:$E$18,'Base Grupo de Produtos'!$F$2:$F$18)</f>
        <v>495</v>
      </c>
      <c r="Y371" s="56">
        <f>_xlfn.XLOOKUP($N371,'Calculo Leads'!$A$97:$A$134,'Calculo Leads'!L$97:L$134)*_xlfn.XLOOKUP($P371,'Base Grupo de Produtos'!$E$2:$E$18,'Base Grupo de Produtos'!$F$2:$F$18)</f>
        <v>594</v>
      </c>
      <c r="Z371" s="56">
        <f>_xlfn.XLOOKUP($N371,'Calculo Leads'!$A$97:$A$134,'Calculo Leads'!M$97:M$134)*_xlfn.XLOOKUP($P371,'Base Grupo de Produtos'!$E$2:$E$18,'Base Grupo de Produtos'!$F$2:$F$18)</f>
        <v>660</v>
      </c>
      <c r="AA371" s="56">
        <f>_xlfn.XLOOKUP($N371,'Calculo Leads'!$A$97:$A$134,'Calculo Leads'!N$97:N$134)*_xlfn.XLOOKUP($P371,'Base Grupo de Produtos'!$E$2:$E$18,'Base Grupo de Produtos'!$F$2:$F$18)</f>
        <v>759</v>
      </c>
      <c r="AB371" s="56">
        <f>_xlfn.XLOOKUP($N371,'Calculo Leads'!$A$97:$A$134,'Calculo Leads'!O$97:O$134)*_xlfn.XLOOKUP($P371,'Base Grupo de Produtos'!$E$2:$E$18,'Base Grupo de Produtos'!$F$2:$F$18)</f>
        <v>495</v>
      </c>
      <c r="AC371" s="61">
        <f t="shared" si="348"/>
        <v>4203</v>
      </c>
      <c r="AD371" s="27">
        <f t="shared" si="400"/>
        <v>4203</v>
      </c>
      <c r="AE371" s="25">
        <f>IFERROR(_xlfn.XLOOKUP(N371&amp;P371,'Historico Vendas'!G:G,'Historico Vendas'!E:E),0)</f>
        <v>0</v>
      </c>
      <c r="AF371" s="29" t="str">
        <f t="shared" si="403"/>
        <v/>
      </c>
      <c r="AG371" s="24">
        <f>IFERROR(_xlfn.XLOOKUP(N371&amp;P371,'Historico Vendas'!G:G,'Historico Vendas'!F:F),0)</f>
        <v>0</v>
      </c>
      <c r="AH371" s="25">
        <f t="shared" si="401"/>
        <v>0</v>
      </c>
      <c r="AI371" s="24">
        <f t="shared" si="402"/>
        <v>0</v>
      </c>
      <c r="AJ371" s="11" t="str">
        <f t="shared" si="347"/>
        <v/>
      </c>
      <c r="AK371" s="9" t="s">
        <v>102</v>
      </c>
      <c r="AL371" s="13">
        <f>IFERROR(INDEX('Balizador da Meta'!$D$3:$F$23,MATCH(Faturamento!$P371,'Balizador da Meta'!$C$3:$C$23,0),MATCH(Faturamento!AK371,'Balizador da Meta'!$D$2:$F$2,0)),"")</f>
        <v>0.15</v>
      </c>
      <c r="AM371" s="9"/>
    </row>
    <row r="372" spans="1:39" x14ac:dyDescent="0.3">
      <c r="A372" s="2" t="str">
        <f t="shared" si="404"/>
        <v>NÃO</v>
      </c>
      <c r="B372" s="2" t="str">
        <f>_xlfn.XLOOKUP($N372,'Base de Grupos'!$A:$A,'Base de Grupos'!$D:$D)</f>
        <v>1000065763</v>
      </c>
      <c r="C372" s="5" t="str">
        <f>_xlfn.XLOOKUP($N372,'Base de Grupos'!$A:$A,'Base de Grupos'!$E:$E)</f>
        <v>CANAL VENDA INTERNA</v>
      </c>
      <c r="D372" s="5" t="str">
        <f>_xlfn.XLOOKUP($N372,'Base de Grupos'!$A:$A,'Base de Grupos'!$F:$F)</f>
        <v>1000065763</v>
      </c>
      <c r="E372" s="2" t="str">
        <f>_xlfn.XLOOKUP($N372,'Base de Grupos'!$A:$A,'Base de Grupos'!$G:$G)</f>
        <v>CANAL VENDA INTERNA</v>
      </c>
      <c r="F372" s="2" t="str">
        <f>_xlfn.XLOOKUP($N372,'Base de Grupos'!$A:$A,'Base de Grupos'!$H:$H)</f>
        <v>1000105899</v>
      </c>
      <c r="G372" s="5" t="str">
        <f>_xlfn.XLOOKUP($N372,'Base de Grupos'!$A:$A,'Base de Grupos'!$I:$I)</f>
        <v>REGIONAL VENDA DIRETA SUDESTE</v>
      </c>
      <c r="H372" s="5" t="str">
        <f>_xlfn.XLOOKUP($N372,'Base de Grupos'!$A:$A,'Base de Grupos'!$J:$J)</f>
        <v>1000105899</v>
      </c>
      <c r="I372" s="2" t="str">
        <f>_xlfn.XLOOKUP($N372,'Base de Grupos'!$A:$A,'Base de Grupos'!$K:$K)</f>
        <v>REGIONAL VENDA DIRETA SUDESTE</v>
      </c>
      <c r="J372" s="2" t="str">
        <f>_xlfn.XLOOKUP($N372,'Base de Grupos'!$A:$A,'Base de Grupos'!$L:$L)</f>
        <v>1000150135</v>
      </c>
      <c r="K372" s="5" t="str">
        <f>_xlfn.XLOOKUP($N372,'Base de Grupos'!$A:$A,'Base de Grupos'!$M:$M)</f>
        <v>HELDER DA SILVA BRUNKOW</v>
      </c>
      <c r="L372" s="5" t="str">
        <f t="shared" si="405"/>
        <v/>
      </c>
      <c r="M372" s="5" t="str">
        <f>_xlfn.XLOOKUP($N372,'Base de Grupos'!$A:$A,'Base de Grupos'!$C:$C)</f>
        <v>MG</v>
      </c>
      <c r="N372" s="3">
        <v>1359</v>
      </c>
      <c r="O372" s="4" t="s">
        <v>244</v>
      </c>
      <c r="P372" s="5" t="s">
        <v>108</v>
      </c>
      <c r="Q372" s="56">
        <v>0</v>
      </c>
      <c r="R372" s="56">
        <v>0</v>
      </c>
      <c r="S372" s="56">
        <v>0</v>
      </c>
      <c r="T372" s="56">
        <f>_xlfn.XLOOKUP($N372,'Calculo Leads'!$A$97:$A$134,'Calculo Leads'!G$97:G$134)*_xlfn.XLOOKUP($P372,'Base Grupo de Produtos'!$E$2:$E$18,'Base Grupo de Produtos'!$F$2:$F$18)</f>
        <v>1750</v>
      </c>
      <c r="U372" s="56">
        <f>_xlfn.XLOOKUP($N372,'Calculo Leads'!$A$97:$A$134,'Calculo Leads'!H$97:H$134)*_xlfn.XLOOKUP($P372,'Base Grupo de Produtos'!$E$2:$E$18,'Base Grupo de Produtos'!$F$2:$F$18)</f>
        <v>2250</v>
      </c>
      <c r="V372" s="56">
        <f>_xlfn.XLOOKUP($N372,'Calculo Leads'!$A$97:$A$134,'Calculo Leads'!I$97:I$134)*_xlfn.XLOOKUP($P372,'Base Grupo de Produtos'!$E$2:$E$18,'Base Grupo de Produtos'!$F$2:$F$18)</f>
        <v>2750</v>
      </c>
      <c r="W372" s="56">
        <f>_xlfn.XLOOKUP($N372,'Calculo Leads'!$A$97:$A$134,'Calculo Leads'!J$97:J$134)*_xlfn.XLOOKUP($P372,'Base Grupo de Produtos'!$E$2:$E$18,'Base Grupo de Produtos'!$F$2:$F$18)</f>
        <v>3250</v>
      </c>
      <c r="X372" s="56">
        <f>_xlfn.XLOOKUP($N372,'Calculo Leads'!$A$97:$A$134,'Calculo Leads'!K$97:K$134)*_xlfn.XLOOKUP($P372,'Base Grupo de Produtos'!$E$2:$E$18,'Base Grupo de Produtos'!$F$2:$F$18)</f>
        <v>4125</v>
      </c>
      <c r="Y372" s="56">
        <f>_xlfn.XLOOKUP($N372,'Calculo Leads'!$A$97:$A$134,'Calculo Leads'!L$97:L$134)*_xlfn.XLOOKUP($P372,'Base Grupo de Produtos'!$E$2:$E$18,'Base Grupo de Produtos'!$F$2:$F$18)</f>
        <v>4950</v>
      </c>
      <c r="Z372" s="56">
        <f>_xlfn.XLOOKUP($N372,'Calculo Leads'!$A$97:$A$134,'Calculo Leads'!M$97:M$134)*_xlfn.XLOOKUP($P372,'Base Grupo de Produtos'!$E$2:$E$18,'Base Grupo de Produtos'!$F$2:$F$18)</f>
        <v>5500</v>
      </c>
      <c r="AA372" s="56">
        <f>_xlfn.XLOOKUP($N372,'Calculo Leads'!$A$97:$A$134,'Calculo Leads'!N$97:N$134)*_xlfn.XLOOKUP($P372,'Base Grupo de Produtos'!$E$2:$E$18,'Base Grupo de Produtos'!$F$2:$F$18)</f>
        <v>6325</v>
      </c>
      <c r="AB372" s="56">
        <f>_xlfn.XLOOKUP($N372,'Calculo Leads'!$A$97:$A$134,'Calculo Leads'!O$97:O$134)*_xlfn.XLOOKUP($P372,'Base Grupo de Produtos'!$E$2:$E$18,'Base Grupo de Produtos'!$F$2:$F$18)</f>
        <v>4125</v>
      </c>
      <c r="AC372" s="61">
        <f t="shared" si="348"/>
        <v>35025</v>
      </c>
      <c r="AD372" s="27">
        <f t="shared" si="400"/>
        <v>35025</v>
      </c>
      <c r="AE372" s="25">
        <f>IFERROR(_xlfn.XLOOKUP(N372&amp;P372,'Historico Vendas'!G:G,'Historico Vendas'!E:E),0)</f>
        <v>0</v>
      </c>
      <c r="AF372" s="29" t="str">
        <f t="shared" si="403"/>
        <v/>
      </c>
      <c r="AG372" s="24">
        <f>IFERROR(_xlfn.XLOOKUP(N372&amp;P372,'Historico Vendas'!G:G,'Historico Vendas'!F:F),0)</f>
        <v>0</v>
      </c>
      <c r="AH372" s="25">
        <f t="shared" si="401"/>
        <v>0</v>
      </c>
      <c r="AI372" s="24">
        <f t="shared" si="402"/>
        <v>0</v>
      </c>
      <c r="AJ372" s="11" t="str">
        <f t="shared" si="347"/>
        <v/>
      </c>
      <c r="AK372" s="9" t="s">
        <v>102</v>
      </c>
      <c r="AL372" s="13">
        <f>IFERROR(INDEX('Balizador da Meta'!$D$3:$F$23,MATCH(Faturamento!$P372,'Balizador da Meta'!$C$3:$C$23,0),MATCH(Faturamento!AK372,'Balizador da Meta'!$D$2:$F$2,0)),"")</f>
        <v>0</v>
      </c>
      <c r="AM372" s="9"/>
    </row>
    <row r="373" spans="1:39" x14ac:dyDescent="0.3">
      <c r="A373" s="2" t="str">
        <f t="shared" si="404"/>
        <v>NÃO</v>
      </c>
      <c r="B373" s="2" t="str">
        <f>_xlfn.XLOOKUP($N373,'Base de Grupos'!$A:$A,'Base de Grupos'!$D:$D)</f>
        <v>1000065763</v>
      </c>
      <c r="C373" s="5" t="str">
        <f>_xlfn.XLOOKUP($N373,'Base de Grupos'!$A:$A,'Base de Grupos'!$E:$E)</f>
        <v>CANAL VENDA INTERNA</v>
      </c>
      <c r="D373" s="5" t="str">
        <f>_xlfn.XLOOKUP($N373,'Base de Grupos'!$A:$A,'Base de Grupos'!$F:$F)</f>
        <v>1000065763</v>
      </c>
      <c r="E373" s="2" t="str">
        <f>_xlfn.XLOOKUP($N373,'Base de Grupos'!$A:$A,'Base de Grupos'!$G:$G)</f>
        <v>CANAL VENDA INTERNA</v>
      </c>
      <c r="F373" s="2" t="str">
        <f>_xlfn.XLOOKUP($N373,'Base de Grupos'!$A:$A,'Base de Grupos'!$H:$H)</f>
        <v>1000105899</v>
      </c>
      <c r="G373" s="5" t="str">
        <f>_xlfn.XLOOKUP($N373,'Base de Grupos'!$A:$A,'Base de Grupos'!$I:$I)</f>
        <v>REGIONAL VENDA DIRETA SUDESTE</v>
      </c>
      <c r="H373" s="5" t="str">
        <f>_xlfn.XLOOKUP($N373,'Base de Grupos'!$A:$A,'Base de Grupos'!$J:$J)</f>
        <v>1000105899</v>
      </c>
      <c r="I373" s="2" t="str">
        <f>_xlfn.XLOOKUP($N373,'Base de Grupos'!$A:$A,'Base de Grupos'!$K:$K)</f>
        <v>REGIONAL VENDA DIRETA SUDESTE</v>
      </c>
      <c r="J373" s="2" t="str">
        <f>_xlfn.XLOOKUP($N373,'Base de Grupos'!$A:$A,'Base de Grupos'!$L:$L)</f>
        <v>1000150135</v>
      </c>
      <c r="K373" s="5" t="str">
        <f>_xlfn.XLOOKUP($N373,'Base de Grupos'!$A:$A,'Base de Grupos'!$M:$M)</f>
        <v>HELDER DA SILVA BRUNKOW</v>
      </c>
      <c r="L373" s="5" t="str">
        <f t="shared" si="405"/>
        <v/>
      </c>
      <c r="M373" s="5" t="str">
        <f>_xlfn.XLOOKUP($N373,'Base de Grupos'!$A:$A,'Base de Grupos'!$C:$C)</f>
        <v>MG</v>
      </c>
      <c r="N373" s="3">
        <v>1359</v>
      </c>
      <c r="O373" s="4" t="s">
        <v>244</v>
      </c>
      <c r="P373" s="5" t="s">
        <v>89</v>
      </c>
      <c r="Q373" s="56">
        <v>0</v>
      </c>
      <c r="R373" s="56">
        <v>0</v>
      </c>
      <c r="S373" s="56">
        <v>0</v>
      </c>
      <c r="T373" s="56">
        <f>_xlfn.XLOOKUP($N373,'Calculo Leads'!$A$97:$A$134,'Calculo Leads'!G$97:G$134)*_xlfn.XLOOKUP($P373,'Base Grupo de Produtos'!$E$2:$E$18,'Base Grupo de Produtos'!$F$2:$F$18)</f>
        <v>350</v>
      </c>
      <c r="U373" s="56">
        <f>_xlfn.XLOOKUP($N373,'Calculo Leads'!$A$97:$A$134,'Calculo Leads'!H$97:H$134)*_xlfn.XLOOKUP($P373,'Base Grupo de Produtos'!$E$2:$E$18,'Base Grupo de Produtos'!$F$2:$F$18)</f>
        <v>450</v>
      </c>
      <c r="V373" s="56">
        <f>_xlfn.XLOOKUP($N373,'Calculo Leads'!$A$97:$A$134,'Calculo Leads'!I$97:I$134)*_xlfn.XLOOKUP($P373,'Base Grupo de Produtos'!$E$2:$E$18,'Base Grupo de Produtos'!$F$2:$F$18)</f>
        <v>550</v>
      </c>
      <c r="W373" s="56">
        <f>_xlfn.XLOOKUP($N373,'Calculo Leads'!$A$97:$A$134,'Calculo Leads'!J$97:J$134)*_xlfn.XLOOKUP($P373,'Base Grupo de Produtos'!$E$2:$E$18,'Base Grupo de Produtos'!$F$2:$F$18)</f>
        <v>650</v>
      </c>
      <c r="X373" s="56">
        <f>_xlfn.XLOOKUP($N373,'Calculo Leads'!$A$97:$A$134,'Calculo Leads'!K$97:K$134)*_xlfn.XLOOKUP($P373,'Base Grupo de Produtos'!$E$2:$E$18,'Base Grupo de Produtos'!$F$2:$F$18)</f>
        <v>825</v>
      </c>
      <c r="Y373" s="56">
        <f>_xlfn.XLOOKUP($N373,'Calculo Leads'!$A$97:$A$134,'Calculo Leads'!L$97:L$134)*_xlfn.XLOOKUP($P373,'Base Grupo de Produtos'!$E$2:$E$18,'Base Grupo de Produtos'!$F$2:$F$18)</f>
        <v>990</v>
      </c>
      <c r="Z373" s="56">
        <f>_xlfn.XLOOKUP($N373,'Calculo Leads'!$A$97:$A$134,'Calculo Leads'!M$97:M$134)*_xlfn.XLOOKUP($P373,'Base Grupo de Produtos'!$E$2:$E$18,'Base Grupo de Produtos'!$F$2:$F$18)</f>
        <v>1100</v>
      </c>
      <c r="AA373" s="56">
        <f>_xlfn.XLOOKUP($N373,'Calculo Leads'!$A$97:$A$134,'Calculo Leads'!N$97:N$134)*_xlfn.XLOOKUP($P373,'Base Grupo de Produtos'!$E$2:$E$18,'Base Grupo de Produtos'!$F$2:$F$18)</f>
        <v>1265</v>
      </c>
      <c r="AB373" s="56">
        <f>_xlfn.XLOOKUP($N373,'Calculo Leads'!$A$97:$A$134,'Calculo Leads'!O$97:O$134)*_xlfn.XLOOKUP($P373,'Base Grupo de Produtos'!$E$2:$E$18,'Base Grupo de Produtos'!$F$2:$F$18)</f>
        <v>825</v>
      </c>
      <c r="AC373" s="61">
        <f t="shared" si="348"/>
        <v>7005</v>
      </c>
      <c r="AD373" s="27">
        <f t="shared" si="400"/>
        <v>7005</v>
      </c>
      <c r="AE373" s="25">
        <f>IFERROR(_xlfn.XLOOKUP(N373&amp;P373,'Historico Vendas'!G:G,'Historico Vendas'!E:E),0)</f>
        <v>0</v>
      </c>
      <c r="AF373" s="29" t="str">
        <f t="shared" si="403"/>
        <v/>
      </c>
      <c r="AG373" s="24">
        <f>IFERROR(_xlfn.XLOOKUP(N373&amp;P373,'Historico Vendas'!G:G,'Historico Vendas'!F:F),0)</f>
        <v>0</v>
      </c>
      <c r="AH373" s="25">
        <f t="shared" si="401"/>
        <v>0</v>
      </c>
      <c r="AI373" s="24">
        <f t="shared" si="402"/>
        <v>0</v>
      </c>
      <c r="AJ373" s="11" t="str">
        <f t="shared" si="347"/>
        <v/>
      </c>
      <c r="AK373" s="9" t="s">
        <v>102</v>
      </c>
      <c r="AL373" s="13">
        <f>IFERROR(INDEX('Balizador da Meta'!$D$3:$F$23,MATCH(Faturamento!$P373,'Balizador da Meta'!$C$3:$C$23,0),MATCH(Faturamento!AK373,'Balizador da Meta'!$D$2:$F$2,0)),"")</f>
        <v>0.25</v>
      </c>
      <c r="AM373" s="9"/>
    </row>
    <row r="374" spans="1:39" x14ac:dyDescent="0.3">
      <c r="A374" s="2" t="str">
        <f t="shared" si="404"/>
        <v>NÃO</v>
      </c>
      <c r="B374" s="2" t="str">
        <f>_xlfn.XLOOKUP($N374,'Base de Grupos'!$A:$A,'Base de Grupos'!$D:$D)</f>
        <v>1000065763</v>
      </c>
      <c r="C374" s="5" t="str">
        <f>_xlfn.XLOOKUP($N374,'Base de Grupos'!$A:$A,'Base de Grupos'!$E:$E)</f>
        <v>CANAL VENDA INTERNA</v>
      </c>
      <c r="D374" s="5" t="str">
        <f>_xlfn.XLOOKUP($N374,'Base de Grupos'!$A:$A,'Base de Grupos'!$F:$F)</f>
        <v>1000065763</v>
      </c>
      <c r="E374" s="2" t="str">
        <f>_xlfn.XLOOKUP($N374,'Base de Grupos'!$A:$A,'Base de Grupos'!$G:$G)</f>
        <v>CANAL VENDA INTERNA</v>
      </c>
      <c r="F374" s="2" t="str">
        <f>_xlfn.XLOOKUP($N374,'Base de Grupos'!$A:$A,'Base de Grupos'!$H:$H)</f>
        <v>1000105899</v>
      </c>
      <c r="G374" s="5" t="str">
        <f>_xlfn.XLOOKUP($N374,'Base de Grupos'!$A:$A,'Base de Grupos'!$I:$I)</f>
        <v>REGIONAL VENDA DIRETA SUDESTE</v>
      </c>
      <c r="H374" s="5" t="str">
        <f>_xlfn.XLOOKUP($N374,'Base de Grupos'!$A:$A,'Base de Grupos'!$J:$J)</f>
        <v>1000105899</v>
      </c>
      <c r="I374" s="2" t="str">
        <f>_xlfn.XLOOKUP($N374,'Base de Grupos'!$A:$A,'Base de Grupos'!$K:$K)</f>
        <v>REGIONAL VENDA DIRETA SUDESTE</v>
      </c>
      <c r="J374" s="2" t="str">
        <f>_xlfn.XLOOKUP($N374,'Base de Grupos'!$A:$A,'Base de Grupos'!$L:$L)</f>
        <v>1000150135</v>
      </c>
      <c r="K374" s="5" t="str">
        <f>_xlfn.XLOOKUP($N374,'Base de Grupos'!$A:$A,'Base de Grupos'!$M:$M)</f>
        <v>HELDER DA SILVA BRUNKOW</v>
      </c>
      <c r="L374" s="5" t="str">
        <f t="shared" si="405"/>
        <v/>
      </c>
      <c r="M374" s="5" t="str">
        <f>_xlfn.XLOOKUP($N374,'Base de Grupos'!$A:$A,'Base de Grupos'!$C:$C)</f>
        <v>MG</v>
      </c>
      <c r="N374" s="3">
        <v>1359</v>
      </c>
      <c r="O374" s="4" t="s">
        <v>244</v>
      </c>
      <c r="P374" s="5" t="s">
        <v>88</v>
      </c>
      <c r="Q374" s="56">
        <v>0</v>
      </c>
      <c r="R374" s="56">
        <v>0</v>
      </c>
      <c r="S374" s="56">
        <v>0</v>
      </c>
      <c r="T374" s="56">
        <f>_xlfn.XLOOKUP($N374,'Calculo Leads'!$A$97:$A$134,'Calculo Leads'!G$97:G$134)*_xlfn.XLOOKUP($P374,'Base Grupo de Produtos'!$E$2:$E$18,'Base Grupo de Produtos'!$F$2:$F$18)</f>
        <v>350</v>
      </c>
      <c r="U374" s="56">
        <f>_xlfn.XLOOKUP($N374,'Calculo Leads'!$A$97:$A$134,'Calculo Leads'!H$97:H$134)*_xlfn.XLOOKUP($P374,'Base Grupo de Produtos'!$E$2:$E$18,'Base Grupo de Produtos'!$F$2:$F$18)</f>
        <v>450</v>
      </c>
      <c r="V374" s="56">
        <f>_xlfn.XLOOKUP($N374,'Calculo Leads'!$A$97:$A$134,'Calculo Leads'!I$97:I$134)*_xlfn.XLOOKUP($P374,'Base Grupo de Produtos'!$E$2:$E$18,'Base Grupo de Produtos'!$F$2:$F$18)</f>
        <v>550</v>
      </c>
      <c r="W374" s="56">
        <f>_xlfn.XLOOKUP($N374,'Calculo Leads'!$A$97:$A$134,'Calculo Leads'!J$97:J$134)*_xlfn.XLOOKUP($P374,'Base Grupo de Produtos'!$E$2:$E$18,'Base Grupo de Produtos'!$F$2:$F$18)</f>
        <v>650</v>
      </c>
      <c r="X374" s="56">
        <f>_xlfn.XLOOKUP($N374,'Calculo Leads'!$A$97:$A$134,'Calculo Leads'!K$97:K$134)*_xlfn.XLOOKUP($P374,'Base Grupo de Produtos'!$E$2:$E$18,'Base Grupo de Produtos'!$F$2:$F$18)</f>
        <v>825</v>
      </c>
      <c r="Y374" s="56">
        <f>_xlfn.XLOOKUP($N374,'Calculo Leads'!$A$97:$A$134,'Calculo Leads'!L$97:L$134)*_xlfn.XLOOKUP($P374,'Base Grupo de Produtos'!$E$2:$E$18,'Base Grupo de Produtos'!$F$2:$F$18)</f>
        <v>990</v>
      </c>
      <c r="Z374" s="56">
        <f>_xlfn.XLOOKUP($N374,'Calculo Leads'!$A$97:$A$134,'Calculo Leads'!M$97:M$134)*_xlfn.XLOOKUP($P374,'Base Grupo de Produtos'!$E$2:$E$18,'Base Grupo de Produtos'!$F$2:$F$18)</f>
        <v>1100</v>
      </c>
      <c r="AA374" s="56">
        <f>_xlfn.XLOOKUP($N374,'Calculo Leads'!$A$97:$A$134,'Calculo Leads'!N$97:N$134)*_xlfn.XLOOKUP($P374,'Base Grupo de Produtos'!$E$2:$E$18,'Base Grupo de Produtos'!$F$2:$F$18)</f>
        <v>1265</v>
      </c>
      <c r="AB374" s="56">
        <f>_xlfn.XLOOKUP($N374,'Calculo Leads'!$A$97:$A$134,'Calculo Leads'!O$97:O$134)*_xlfn.XLOOKUP($P374,'Base Grupo de Produtos'!$E$2:$E$18,'Base Grupo de Produtos'!$F$2:$F$18)</f>
        <v>825</v>
      </c>
      <c r="AC374" s="61">
        <f t="shared" si="348"/>
        <v>7005</v>
      </c>
      <c r="AD374" s="27">
        <f t="shared" si="400"/>
        <v>7005</v>
      </c>
      <c r="AE374" s="25">
        <f>IFERROR(_xlfn.XLOOKUP(N374&amp;P374,'Historico Vendas'!G:G,'Historico Vendas'!E:E),0)</f>
        <v>0</v>
      </c>
      <c r="AF374" s="29" t="str">
        <f t="shared" si="403"/>
        <v/>
      </c>
      <c r="AG374" s="24">
        <f>IFERROR(_xlfn.XLOOKUP(N374&amp;P374,'Historico Vendas'!G:G,'Historico Vendas'!F:F),0)</f>
        <v>0</v>
      </c>
      <c r="AH374" s="25">
        <f t="shared" si="401"/>
        <v>0</v>
      </c>
      <c r="AI374" s="24">
        <f t="shared" si="402"/>
        <v>0</v>
      </c>
      <c r="AJ374" s="11" t="str">
        <f t="shared" si="347"/>
        <v/>
      </c>
      <c r="AK374" s="9" t="s">
        <v>102</v>
      </c>
      <c r="AL374" s="13">
        <f>IFERROR(INDEX('Balizador da Meta'!$D$3:$F$23,MATCH(Faturamento!$P374,'Balizador da Meta'!$C$3:$C$23,0),MATCH(Faturamento!AK374,'Balizador da Meta'!$D$2:$F$2,0)),"")</f>
        <v>0</v>
      </c>
      <c r="AM374" s="9"/>
    </row>
    <row r="375" spans="1:39" x14ac:dyDescent="0.3">
      <c r="A375" s="2" t="str">
        <f t="shared" si="404"/>
        <v>NÃO</v>
      </c>
      <c r="B375" s="2" t="str">
        <f>_xlfn.XLOOKUP($N375,'Base de Grupos'!$A:$A,'Base de Grupos'!$D:$D)</f>
        <v>1000065763</v>
      </c>
      <c r="C375" s="5" t="str">
        <f>_xlfn.XLOOKUP($N375,'Base de Grupos'!$A:$A,'Base de Grupos'!$E:$E)</f>
        <v>CANAL VENDA INTERNA</v>
      </c>
      <c r="D375" s="5" t="str">
        <f>_xlfn.XLOOKUP($N375,'Base de Grupos'!$A:$A,'Base de Grupos'!$F:$F)</f>
        <v>1000065763</v>
      </c>
      <c r="E375" s="2" t="str">
        <f>_xlfn.XLOOKUP($N375,'Base de Grupos'!$A:$A,'Base de Grupos'!$G:$G)</f>
        <v>CANAL VENDA INTERNA</v>
      </c>
      <c r="F375" s="2" t="str">
        <f>_xlfn.XLOOKUP($N375,'Base de Grupos'!$A:$A,'Base de Grupos'!$H:$H)</f>
        <v>1000105899</v>
      </c>
      <c r="G375" s="5" t="str">
        <f>_xlfn.XLOOKUP($N375,'Base de Grupos'!$A:$A,'Base de Grupos'!$I:$I)</f>
        <v>REGIONAL VENDA DIRETA SUDESTE</v>
      </c>
      <c r="H375" s="5" t="str">
        <f>_xlfn.XLOOKUP($N375,'Base de Grupos'!$A:$A,'Base de Grupos'!$J:$J)</f>
        <v>1000105899</v>
      </c>
      <c r="I375" s="2" t="str">
        <f>_xlfn.XLOOKUP($N375,'Base de Grupos'!$A:$A,'Base de Grupos'!$K:$K)</f>
        <v>REGIONAL VENDA DIRETA SUDESTE</v>
      </c>
      <c r="J375" s="2" t="str">
        <f>_xlfn.XLOOKUP($N375,'Base de Grupos'!$A:$A,'Base de Grupos'!$L:$L)</f>
        <v>1000150135</v>
      </c>
      <c r="K375" s="5" t="str">
        <f>_xlfn.XLOOKUP($N375,'Base de Grupos'!$A:$A,'Base de Grupos'!$M:$M)</f>
        <v>HELDER DA SILVA BRUNKOW</v>
      </c>
      <c r="L375" s="5" t="str">
        <f t="shared" si="405"/>
        <v/>
      </c>
      <c r="M375" s="5" t="str">
        <f>_xlfn.XLOOKUP($N375,'Base de Grupos'!$A:$A,'Base de Grupos'!$C:$C)</f>
        <v>MG</v>
      </c>
      <c r="N375" s="3">
        <v>1359</v>
      </c>
      <c r="O375" s="4" t="s">
        <v>244</v>
      </c>
      <c r="P375" s="5" t="s">
        <v>90</v>
      </c>
      <c r="Q375" s="56">
        <v>0</v>
      </c>
      <c r="R375" s="56">
        <v>0</v>
      </c>
      <c r="S375" s="56">
        <v>0</v>
      </c>
      <c r="T375" s="56">
        <f>_xlfn.XLOOKUP($N375,'Calculo Leads'!$A$97:$A$134,'Calculo Leads'!G$97:G$134)*_xlfn.XLOOKUP($P375,'Base Grupo de Produtos'!$E$2:$E$18,'Base Grupo de Produtos'!$F$2:$F$18)</f>
        <v>350</v>
      </c>
      <c r="U375" s="56">
        <f>_xlfn.XLOOKUP($N375,'Calculo Leads'!$A$97:$A$134,'Calculo Leads'!H$97:H$134)*_xlfn.XLOOKUP($P375,'Base Grupo de Produtos'!$E$2:$E$18,'Base Grupo de Produtos'!$F$2:$F$18)</f>
        <v>450</v>
      </c>
      <c r="V375" s="56">
        <f>_xlfn.XLOOKUP($N375,'Calculo Leads'!$A$97:$A$134,'Calculo Leads'!I$97:I$134)*_xlfn.XLOOKUP($P375,'Base Grupo de Produtos'!$E$2:$E$18,'Base Grupo de Produtos'!$F$2:$F$18)</f>
        <v>550</v>
      </c>
      <c r="W375" s="56">
        <f>_xlfn.XLOOKUP($N375,'Calculo Leads'!$A$97:$A$134,'Calculo Leads'!J$97:J$134)*_xlfn.XLOOKUP($P375,'Base Grupo de Produtos'!$E$2:$E$18,'Base Grupo de Produtos'!$F$2:$F$18)</f>
        <v>650</v>
      </c>
      <c r="X375" s="56">
        <f>_xlfn.XLOOKUP($N375,'Calculo Leads'!$A$97:$A$134,'Calculo Leads'!K$97:K$134)*_xlfn.XLOOKUP($P375,'Base Grupo de Produtos'!$E$2:$E$18,'Base Grupo de Produtos'!$F$2:$F$18)</f>
        <v>825</v>
      </c>
      <c r="Y375" s="56">
        <f>_xlfn.XLOOKUP($N375,'Calculo Leads'!$A$97:$A$134,'Calculo Leads'!L$97:L$134)*_xlfn.XLOOKUP($P375,'Base Grupo de Produtos'!$E$2:$E$18,'Base Grupo de Produtos'!$F$2:$F$18)</f>
        <v>990</v>
      </c>
      <c r="Z375" s="56">
        <f>_xlfn.XLOOKUP($N375,'Calculo Leads'!$A$97:$A$134,'Calculo Leads'!M$97:M$134)*_xlfn.XLOOKUP($P375,'Base Grupo de Produtos'!$E$2:$E$18,'Base Grupo de Produtos'!$F$2:$F$18)</f>
        <v>1100</v>
      </c>
      <c r="AA375" s="56">
        <f>_xlfn.XLOOKUP($N375,'Calculo Leads'!$A$97:$A$134,'Calculo Leads'!N$97:N$134)*_xlfn.XLOOKUP($P375,'Base Grupo de Produtos'!$E$2:$E$18,'Base Grupo de Produtos'!$F$2:$F$18)</f>
        <v>1265</v>
      </c>
      <c r="AB375" s="56">
        <f>_xlfn.XLOOKUP($N375,'Calculo Leads'!$A$97:$A$134,'Calculo Leads'!O$97:O$134)*_xlfn.XLOOKUP($P375,'Base Grupo de Produtos'!$E$2:$E$18,'Base Grupo de Produtos'!$F$2:$F$18)</f>
        <v>825</v>
      </c>
      <c r="AC375" s="61">
        <f t="shared" si="348"/>
        <v>7005</v>
      </c>
      <c r="AD375" s="27">
        <f t="shared" si="400"/>
        <v>7005</v>
      </c>
      <c r="AE375" s="25">
        <f>IFERROR(_xlfn.XLOOKUP(N375&amp;P375,'Historico Vendas'!G:G,'Historico Vendas'!E:E),0)</f>
        <v>0</v>
      </c>
      <c r="AF375" s="29" t="str">
        <f t="shared" si="403"/>
        <v/>
      </c>
      <c r="AG375" s="24">
        <f>IFERROR(_xlfn.XLOOKUP(N375&amp;P375,'Historico Vendas'!G:G,'Historico Vendas'!F:F),0)</f>
        <v>0</v>
      </c>
      <c r="AH375" s="25">
        <f t="shared" si="401"/>
        <v>0</v>
      </c>
      <c r="AI375" s="24">
        <f t="shared" si="402"/>
        <v>0</v>
      </c>
      <c r="AJ375" s="11" t="str">
        <f t="shared" si="347"/>
        <v/>
      </c>
      <c r="AK375" s="9" t="s">
        <v>102</v>
      </c>
      <c r="AL375" s="13">
        <f>IFERROR(INDEX('Balizador da Meta'!$D$3:$F$23,MATCH(Faturamento!$P375,'Balizador da Meta'!$C$3:$C$23,0),MATCH(Faturamento!AK375,'Balizador da Meta'!$D$2:$F$2,0)),"")</f>
        <v>0</v>
      </c>
      <c r="AM375" s="9"/>
    </row>
    <row r="376" spans="1:39" x14ac:dyDescent="0.3">
      <c r="A376" s="2" t="str">
        <f t="shared" si="404"/>
        <v>NÃO</v>
      </c>
      <c r="B376" s="2" t="str">
        <f>_xlfn.XLOOKUP($N376,'Base de Grupos'!$A:$A,'Base de Grupos'!$D:$D)</f>
        <v>1000065763</v>
      </c>
      <c r="C376" s="5" t="str">
        <f>_xlfn.XLOOKUP($N376,'Base de Grupos'!$A:$A,'Base de Grupos'!$E:$E)</f>
        <v>CANAL VENDA INTERNA</v>
      </c>
      <c r="D376" s="5" t="str">
        <f>_xlfn.XLOOKUP($N376,'Base de Grupos'!$A:$A,'Base de Grupos'!$F:$F)</f>
        <v>1000065763</v>
      </c>
      <c r="E376" s="2" t="str">
        <f>_xlfn.XLOOKUP($N376,'Base de Grupos'!$A:$A,'Base de Grupos'!$G:$G)</f>
        <v>CANAL VENDA INTERNA</v>
      </c>
      <c r="F376" s="2" t="str">
        <f>_xlfn.XLOOKUP($N376,'Base de Grupos'!$A:$A,'Base de Grupos'!$H:$H)</f>
        <v>1000105899</v>
      </c>
      <c r="G376" s="5" t="str">
        <f>_xlfn.XLOOKUP($N376,'Base de Grupos'!$A:$A,'Base de Grupos'!$I:$I)</f>
        <v>REGIONAL VENDA DIRETA SUDESTE</v>
      </c>
      <c r="H376" s="5" t="str">
        <f>_xlfn.XLOOKUP($N376,'Base de Grupos'!$A:$A,'Base de Grupos'!$J:$J)</f>
        <v>1000105899</v>
      </c>
      <c r="I376" s="2" t="str">
        <f>_xlfn.XLOOKUP($N376,'Base de Grupos'!$A:$A,'Base de Grupos'!$K:$K)</f>
        <v>REGIONAL VENDA DIRETA SUDESTE</v>
      </c>
      <c r="J376" s="2" t="str">
        <f>_xlfn.XLOOKUP($N376,'Base de Grupos'!$A:$A,'Base de Grupos'!$L:$L)</f>
        <v>1000150135</v>
      </c>
      <c r="K376" s="5" t="str">
        <f>_xlfn.XLOOKUP($N376,'Base de Grupos'!$A:$A,'Base de Grupos'!$M:$M)</f>
        <v>HELDER DA SILVA BRUNKOW</v>
      </c>
      <c r="L376" s="5" t="str">
        <f t="shared" si="405"/>
        <v/>
      </c>
      <c r="M376" s="5" t="str">
        <f>_xlfn.XLOOKUP($N376,'Base de Grupos'!$A:$A,'Base de Grupos'!$C:$C)</f>
        <v>MG</v>
      </c>
      <c r="N376" s="3">
        <v>1359</v>
      </c>
      <c r="O376" s="4" t="s">
        <v>244</v>
      </c>
      <c r="P376" s="5" t="s">
        <v>91</v>
      </c>
      <c r="Q376" s="56">
        <v>0</v>
      </c>
      <c r="R376" s="56">
        <v>0</v>
      </c>
      <c r="S376" s="56">
        <v>0</v>
      </c>
      <c r="T376" s="56">
        <f>_xlfn.XLOOKUP($N376,'Calculo Leads'!$A$97:$A$134,'Calculo Leads'!G$97:G$134)*_xlfn.XLOOKUP($P376,'Base Grupo de Produtos'!$E$2:$E$18,'Base Grupo de Produtos'!$F$2:$F$18)</f>
        <v>0</v>
      </c>
      <c r="U376" s="56">
        <f>_xlfn.XLOOKUP($N376,'Calculo Leads'!$A$97:$A$134,'Calculo Leads'!H$97:H$134)*_xlfn.XLOOKUP($P376,'Base Grupo de Produtos'!$E$2:$E$18,'Base Grupo de Produtos'!$F$2:$F$18)</f>
        <v>0</v>
      </c>
      <c r="V376" s="56">
        <f>_xlfn.XLOOKUP($N376,'Calculo Leads'!$A$97:$A$134,'Calculo Leads'!I$97:I$134)*_xlfn.XLOOKUP($P376,'Base Grupo de Produtos'!$E$2:$E$18,'Base Grupo de Produtos'!$F$2:$F$18)</f>
        <v>0</v>
      </c>
      <c r="W376" s="56">
        <f>_xlfn.XLOOKUP($N376,'Calculo Leads'!$A$97:$A$134,'Calculo Leads'!J$97:J$134)*_xlfn.XLOOKUP($P376,'Base Grupo de Produtos'!$E$2:$E$18,'Base Grupo de Produtos'!$F$2:$F$18)</f>
        <v>0</v>
      </c>
      <c r="X376" s="56">
        <f>_xlfn.XLOOKUP($N376,'Calculo Leads'!$A$97:$A$134,'Calculo Leads'!K$97:K$134)*_xlfn.XLOOKUP($P376,'Base Grupo de Produtos'!$E$2:$E$18,'Base Grupo de Produtos'!$F$2:$F$18)</f>
        <v>0</v>
      </c>
      <c r="Y376" s="56">
        <f>_xlfn.XLOOKUP($N376,'Calculo Leads'!$A$97:$A$134,'Calculo Leads'!L$97:L$134)*_xlfn.XLOOKUP($P376,'Base Grupo de Produtos'!$E$2:$E$18,'Base Grupo de Produtos'!$F$2:$F$18)</f>
        <v>0</v>
      </c>
      <c r="Z376" s="56">
        <f>_xlfn.XLOOKUP($N376,'Calculo Leads'!$A$97:$A$134,'Calculo Leads'!M$97:M$134)*_xlfn.XLOOKUP($P376,'Base Grupo de Produtos'!$E$2:$E$18,'Base Grupo de Produtos'!$F$2:$F$18)</f>
        <v>0</v>
      </c>
      <c r="AA376" s="56">
        <f>_xlfn.XLOOKUP($N376,'Calculo Leads'!$A$97:$A$134,'Calculo Leads'!N$97:N$134)*_xlfn.XLOOKUP($P376,'Base Grupo de Produtos'!$E$2:$E$18,'Base Grupo de Produtos'!$F$2:$F$18)</f>
        <v>0</v>
      </c>
      <c r="AB376" s="56">
        <f>_xlfn.XLOOKUP($N376,'Calculo Leads'!$A$97:$A$134,'Calculo Leads'!O$97:O$134)*_xlfn.XLOOKUP($P376,'Base Grupo de Produtos'!$E$2:$E$18,'Base Grupo de Produtos'!$F$2:$F$18)</f>
        <v>0</v>
      </c>
      <c r="AC376" s="61">
        <f t="shared" si="348"/>
        <v>0</v>
      </c>
      <c r="AD376" s="27">
        <f t="shared" si="400"/>
        <v>0</v>
      </c>
      <c r="AE376" s="25">
        <f>IFERROR(_xlfn.XLOOKUP(N376&amp;P376,'Historico Vendas'!G:G,'Historico Vendas'!E:E),0)</f>
        <v>0</v>
      </c>
      <c r="AF376" s="29" t="str">
        <f t="shared" si="403"/>
        <v/>
      </c>
      <c r="AG376" s="24">
        <f>IFERROR(_xlfn.XLOOKUP(N376&amp;P376,'Historico Vendas'!G:G,'Historico Vendas'!F:F),0)</f>
        <v>0</v>
      </c>
      <c r="AH376" s="25">
        <f t="shared" si="401"/>
        <v>0</v>
      </c>
      <c r="AI376" s="24">
        <f t="shared" si="402"/>
        <v>0</v>
      </c>
      <c r="AJ376" s="11" t="str">
        <f t="shared" si="347"/>
        <v/>
      </c>
      <c r="AK376" s="9" t="s">
        <v>102</v>
      </c>
      <c r="AL376" s="13">
        <f>IFERROR(INDEX('Balizador da Meta'!$D$3:$F$23,MATCH(Faturamento!$P376,'Balizador da Meta'!$C$3:$C$23,0),MATCH(Faturamento!AK376,'Balizador da Meta'!$D$2:$F$2,0)),"")</f>
        <v>0</v>
      </c>
      <c r="AM376" s="9"/>
    </row>
    <row r="377" spans="1:39" x14ac:dyDescent="0.3">
      <c r="A377" s="2" t="str">
        <f t="shared" si="404"/>
        <v>NÃO</v>
      </c>
      <c r="B377" s="2" t="str">
        <f>_xlfn.XLOOKUP($N377,'Base de Grupos'!$A:$A,'Base de Grupos'!$D:$D)</f>
        <v>1000065763</v>
      </c>
      <c r="C377" s="5" t="str">
        <f>_xlfn.XLOOKUP($N377,'Base de Grupos'!$A:$A,'Base de Grupos'!$E:$E)</f>
        <v>CANAL VENDA INTERNA</v>
      </c>
      <c r="D377" s="5" t="str">
        <f>_xlfn.XLOOKUP($N377,'Base de Grupos'!$A:$A,'Base de Grupos'!$F:$F)</f>
        <v>1000065763</v>
      </c>
      <c r="E377" s="2" t="str">
        <f>_xlfn.XLOOKUP($N377,'Base de Grupos'!$A:$A,'Base de Grupos'!$G:$G)</f>
        <v>CANAL VENDA INTERNA</v>
      </c>
      <c r="F377" s="2" t="str">
        <f>_xlfn.XLOOKUP($N377,'Base de Grupos'!$A:$A,'Base de Grupos'!$H:$H)</f>
        <v>1000105899</v>
      </c>
      <c r="G377" s="5" t="str">
        <f>_xlfn.XLOOKUP($N377,'Base de Grupos'!$A:$A,'Base de Grupos'!$I:$I)</f>
        <v>REGIONAL VENDA DIRETA SUDESTE</v>
      </c>
      <c r="H377" s="5" t="str">
        <f>_xlfn.XLOOKUP($N377,'Base de Grupos'!$A:$A,'Base de Grupos'!$J:$J)</f>
        <v>1000105899</v>
      </c>
      <c r="I377" s="2" t="str">
        <f>_xlfn.XLOOKUP($N377,'Base de Grupos'!$A:$A,'Base de Grupos'!$K:$K)</f>
        <v>REGIONAL VENDA DIRETA SUDESTE</v>
      </c>
      <c r="J377" s="2" t="str">
        <f>_xlfn.XLOOKUP($N377,'Base de Grupos'!$A:$A,'Base de Grupos'!$L:$L)</f>
        <v>1000150135</v>
      </c>
      <c r="K377" s="5" t="str">
        <f>_xlfn.XLOOKUP($N377,'Base de Grupos'!$A:$A,'Base de Grupos'!$M:$M)</f>
        <v>HELDER DA SILVA BRUNKOW</v>
      </c>
      <c r="L377" s="5" t="str">
        <f t="shared" si="405"/>
        <v/>
      </c>
      <c r="M377" s="5" t="str">
        <f>_xlfn.XLOOKUP($N377,'Base de Grupos'!$A:$A,'Base de Grupos'!$C:$C)</f>
        <v>MG</v>
      </c>
      <c r="N377" s="3">
        <v>1359</v>
      </c>
      <c r="O377" s="4" t="s">
        <v>244</v>
      </c>
      <c r="P377" s="5" t="s">
        <v>96</v>
      </c>
      <c r="Q377" s="56">
        <v>0</v>
      </c>
      <c r="R377" s="56">
        <v>0</v>
      </c>
      <c r="S377" s="56">
        <v>0</v>
      </c>
      <c r="T377" s="56">
        <f>_xlfn.XLOOKUP($N377,'Calculo Leads'!$A$97:$A$134,'Calculo Leads'!G$97:G$134)*_xlfn.XLOOKUP($P377,'Base Grupo de Produtos'!$E$2:$E$18,'Base Grupo de Produtos'!$F$2:$F$18)</f>
        <v>490.00000000000006</v>
      </c>
      <c r="U377" s="56">
        <f>_xlfn.XLOOKUP($N377,'Calculo Leads'!$A$97:$A$134,'Calculo Leads'!H$97:H$134)*_xlfn.XLOOKUP($P377,'Base Grupo de Produtos'!$E$2:$E$18,'Base Grupo de Produtos'!$F$2:$F$18)</f>
        <v>630.00000000000011</v>
      </c>
      <c r="V377" s="56">
        <f>_xlfn.XLOOKUP($N377,'Calculo Leads'!$A$97:$A$134,'Calculo Leads'!I$97:I$134)*_xlfn.XLOOKUP($P377,'Base Grupo de Produtos'!$E$2:$E$18,'Base Grupo de Produtos'!$F$2:$F$18)</f>
        <v>770.00000000000011</v>
      </c>
      <c r="W377" s="56">
        <f>_xlfn.XLOOKUP($N377,'Calculo Leads'!$A$97:$A$134,'Calculo Leads'!J$97:J$134)*_xlfn.XLOOKUP($P377,'Base Grupo de Produtos'!$E$2:$E$18,'Base Grupo de Produtos'!$F$2:$F$18)</f>
        <v>910.00000000000011</v>
      </c>
      <c r="X377" s="56">
        <f>_xlfn.XLOOKUP($N377,'Calculo Leads'!$A$97:$A$134,'Calculo Leads'!K$97:K$134)*_xlfn.XLOOKUP($P377,'Base Grupo de Produtos'!$E$2:$E$18,'Base Grupo de Produtos'!$F$2:$F$18)</f>
        <v>1155</v>
      </c>
      <c r="Y377" s="56">
        <f>_xlfn.XLOOKUP($N377,'Calculo Leads'!$A$97:$A$134,'Calculo Leads'!L$97:L$134)*_xlfn.XLOOKUP($P377,'Base Grupo de Produtos'!$E$2:$E$18,'Base Grupo de Produtos'!$F$2:$F$18)</f>
        <v>1386.0000000000002</v>
      </c>
      <c r="Z377" s="56">
        <f>_xlfn.XLOOKUP($N377,'Calculo Leads'!$A$97:$A$134,'Calculo Leads'!M$97:M$134)*_xlfn.XLOOKUP($P377,'Base Grupo de Produtos'!$E$2:$E$18,'Base Grupo de Produtos'!$F$2:$F$18)</f>
        <v>1540.0000000000002</v>
      </c>
      <c r="AA377" s="56">
        <f>_xlfn.XLOOKUP($N377,'Calculo Leads'!$A$97:$A$134,'Calculo Leads'!N$97:N$134)*_xlfn.XLOOKUP($P377,'Base Grupo de Produtos'!$E$2:$E$18,'Base Grupo de Produtos'!$F$2:$F$18)</f>
        <v>1771.0000000000002</v>
      </c>
      <c r="AB377" s="56">
        <f>_xlfn.XLOOKUP($N377,'Calculo Leads'!$A$97:$A$134,'Calculo Leads'!O$97:O$134)*_xlfn.XLOOKUP($P377,'Base Grupo de Produtos'!$E$2:$E$18,'Base Grupo de Produtos'!$F$2:$F$18)</f>
        <v>1155</v>
      </c>
      <c r="AC377" s="61">
        <f t="shared" si="348"/>
        <v>9807.0000000000018</v>
      </c>
      <c r="AD377" s="27">
        <f t="shared" si="400"/>
        <v>9807.0000000000018</v>
      </c>
      <c r="AE377" s="25">
        <f>IFERROR(_xlfn.XLOOKUP(N377&amp;P377,'Historico Vendas'!G:G,'Historico Vendas'!E:E),0)</f>
        <v>0</v>
      </c>
      <c r="AF377" s="29" t="str">
        <f t="shared" si="403"/>
        <v/>
      </c>
      <c r="AG377" s="24">
        <f>IFERROR(_xlfn.XLOOKUP(N377&amp;P377,'Historico Vendas'!G:G,'Historico Vendas'!F:F),0)</f>
        <v>0</v>
      </c>
      <c r="AH377" s="25">
        <f t="shared" si="401"/>
        <v>0</v>
      </c>
      <c r="AI377" s="24">
        <f t="shared" si="402"/>
        <v>0</v>
      </c>
      <c r="AJ377" s="11" t="str">
        <f t="shared" ref="AJ377:AJ440" si="406">IFERROR(AG377/AH377,"")</f>
        <v/>
      </c>
      <c r="AK377" s="9" t="s">
        <v>102</v>
      </c>
      <c r="AL377" s="13">
        <f>IFERROR(INDEX('Balizador da Meta'!$D$3:$F$23,MATCH(Faturamento!$P377,'Balizador da Meta'!$C$3:$C$23,0),MATCH(Faturamento!AK377,'Balizador da Meta'!$D$2:$F$2,0)),"")</f>
        <v>0</v>
      </c>
      <c r="AM377" s="9"/>
    </row>
    <row r="378" spans="1:39" x14ac:dyDescent="0.3">
      <c r="A378" s="2" t="str">
        <f t="shared" si="404"/>
        <v>NÃO</v>
      </c>
      <c r="B378" s="2" t="str">
        <f>_xlfn.XLOOKUP($N378,'Base de Grupos'!$A:$A,'Base de Grupos'!$D:$D)</f>
        <v>1000065763</v>
      </c>
      <c r="C378" s="5" t="str">
        <f>_xlfn.XLOOKUP($N378,'Base de Grupos'!$A:$A,'Base de Grupos'!$E:$E)</f>
        <v>CANAL VENDA INTERNA</v>
      </c>
      <c r="D378" s="5" t="str">
        <f>_xlfn.XLOOKUP($N378,'Base de Grupos'!$A:$A,'Base de Grupos'!$F:$F)</f>
        <v>1000065763</v>
      </c>
      <c r="E378" s="2" t="str">
        <f>_xlfn.XLOOKUP($N378,'Base de Grupos'!$A:$A,'Base de Grupos'!$G:$G)</f>
        <v>CANAL VENDA INTERNA</v>
      </c>
      <c r="F378" s="2" t="str">
        <f>_xlfn.XLOOKUP($N378,'Base de Grupos'!$A:$A,'Base de Grupos'!$H:$H)</f>
        <v>1000105899</v>
      </c>
      <c r="G378" s="5" t="str">
        <f>_xlfn.XLOOKUP($N378,'Base de Grupos'!$A:$A,'Base de Grupos'!$I:$I)</f>
        <v>REGIONAL VENDA DIRETA SUDESTE</v>
      </c>
      <c r="H378" s="5" t="str">
        <f>_xlfn.XLOOKUP($N378,'Base de Grupos'!$A:$A,'Base de Grupos'!$J:$J)</f>
        <v>1000105899</v>
      </c>
      <c r="I378" s="2" t="str">
        <f>_xlfn.XLOOKUP($N378,'Base de Grupos'!$A:$A,'Base de Grupos'!$K:$K)</f>
        <v>REGIONAL VENDA DIRETA SUDESTE</v>
      </c>
      <c r="J378" s="2" t="str">
        <f>_xlfn.XLOOKUP($N378,'Base de Grupos'!$A:$A,'Base de Grupos'!$L:$L)</f>
        <v>1000150135</v>
      </c>
      <c r="K378" s="5" t="str">
        <f>_xlfn.XLOOKUP($N378,'Base de Grupos'!$A:$A,'Base de Grupos'!$M:$M)</f>
        <v>HELDER DA SILVA BRUNKOW</v>
      </c>
      <c r="L378" s="5" t="str">
        <f t="shared" si="405"/>
        <v/>
      </c>
      <c r="M378" s="5" t="str">
        <f>_xlfn.XLOOKUP($N378,'Base de Grupos'!$A:$A,'Base de Grupos'!$C:$C)</f>
        <v>MG</v>
      </c>
      <c r="N378" s="3">
        <v>1359</v>
      </c>
      <c r="O378" s="4" t="s">
        <v>244</v>
      </c>
      <c r="P378" s="5" t="s">
        <v>94</v>
      </c>
      <c r="Q378" s="56">
        <v>0</v>
      </c>
      <c r="R378" s="56">
        <v>0</v>
      </c>
      <c r="S378" s="56">
        <v>0</v>
      </c>
      <c r="T378" s="56">
        <f>_xlfn.XLOOKUP($N378,'Calculo Leads'!$A$97:$A$134,'Calculo Leads'!G$97:G$134)*_xlfn.XLOOKUP($P378,'Base Grupo de Produtos'!$E$2:$E$18,'Base Grupo de Produtos'!$F$2:$F$18)</f>
        <v>349.99999999999994</v>
      </c>
      <c r="U378" s="56">
        <f>_xlfn.XLOOKUP($N378,'Calculo Leads'!$A$97:$A$134,'Calculo Leads'!H$97:H$134)*_xlfn.XLOOKUP($P378,'Base Grupo de Produtos'!$E$2:$E$18,'Base Grupo de Produtos'!$F$2:$F$18)</f>
        <v>449.99999999999994</v>
      </c>
      <c r="V378" s="56">
        <f>_xlfn.XLOOKUP($N378,'Calculo Leads'!$A$97:$A$134,'Calculo Leads'!I$97:I$134)*_xlfn.XLOOKUP($P378,'Base Grupo de Produtos'!$E$2:$E$18,'Base Grupo de Produtos'!$F$2:$F$18)</f>
        <v>550</v>
      </c>
      <c r="W378" s="56">
        <f>_xlfn.XLOOKUP($N378,'Calculo Leads'!$A$97:$A$134,'Calculo Leads'!J$97:J$134)*_xlfn.XLOOKUP($P378,'Base Grupo de Produtos'!$E$2:$E$18,'Base Grupo de Produtos'!$F$2:$F$18)</f>
        <v>650</v>
      </c>
      <c r="X378" s="56">
        <f>_xlfn.XLOOKUP($N378,'Calculo Leads'!$A$97:$A$134,'Calculo Leads'!K$97:K$134)*_xlfn.XLOOKUP($P378,'Base Grupo de Produtos'!$E$2:$E$18,'Base Grupo de Produtos'!$F$2:$F$18)</f>
        <v>824.99999999999989</v>
      </c>
      <c r="Y378" s="56">
        <f>_xlfn.XLOOKUP($N378,'Calculo Leads'!$A$97:$A$134,'Calculo Leads'!L$97:L$134)*_xlfn.XLOOKUP($P378,'Base Grupo de Produtos'!$E$2:$E$18,'Base Grupo de Produtos'!$F$2:$F$18)</f>
        <v>989.99999999999989</v>
      </c>
      <c r="Z378" s="56">
        <f>_xlfn.XLOOKUP($N378,'Calculo Leads'!$A$97:$A$134,'Calculo Leads'!M$97:M$134)*_xlfn.XLOOKUP($P378,'Base Grupo de Produtos'!$E$2:$E$18,'Base Grupo de Produtos'!$F$2:$F$18)</f>
        <v>1100</v>
      </c>
      <c r="AA378" s="56">
        <f>_xlfn.XLOOKUP($N378,'Calculo Leads'!$A$97:$A$134,'Calculo Leads'!N$97:N$134)*_xlfn.XLOOKUP($P378,'Base Grupo de Produtos'!$E$2:$E$18,'Base Grupo de Produtos'!$F$2:$F$18)</f>
        <v>1265</v>
      </c>
      <c r="AB378" s="56">
        <f>_xlfn.XLOOKUP($N378,'Calculo Leads'!$A$97:$A$134,'Calculo Leads'!O$97:O$134)*_xlfn.XLOOKUP($P378,'Base Grupo de Produtos'!$E$2:$E$18,'Base Grupo de Produtos'!$F$2:$F$18)</f>
        <v>824.99999999999989</v>
      </c>
      <c r="AC378" s="61">
        <f t="shared" si="348"/>
        <v>7005</v>
      </c>
      <c r="AD378" s="27">
        <f t="shared" si="400"/>
        <v>7005</v>
      </c>
      <c r="AE378" s="25">
        <f>IFERROR(_xlfn.XLOOKUP(N378&amp;P378,'Historico Vendas'!G:G,'Historico Vendas'!E:E),0)</f>
        <v>0</v>
      </c>
      <c r="AF378" s="29" t="str">
        <f t="shared" si="403"/>
        <v/>
      </c>
      <c r="AG378" s="24">
        <f>IFERROR(_xlfn.XLOOKUP(N378&amp;P378,'Historico Vendas'!G:G,'Historico Vendas'!F:F),0)</f>
        <v>0</v>
      </c>
      <c r="AH378" s="25">
        <f t="shared" si="401"/>
        <v>0</v>
      </c>
      <c r="AI378" s="24">
        <f t="shared" si="402"/>
        <v>0</v>
      </c>
      <c r="AJ378" s="11" t="str">
        <f t="shared" si="406"/>
        <v/>
      </c>
      <c r="AK378" s="9" t="s">
        <v>102</v>
      </c>
      <c r="AL378" s="13">
        <f>IFERROR(INDEX('Balizador da Meta'!$D$3:$F$23,MATCH(Faturamento!$P378,'Balizador da Meta'!$C$3:$C$23,0),MATCH(Faturamento!AK378,'Balizador da Meta'!$D$2:$F$2,0)),"")</f>
        <v>0.25</v>
      </c>
      <c r="AM378" s="9"/>
    </row>
    <row r="379" spans="1:39" x14ac:dyDescent="0.3">
      <c r="A379" s="2" t="str">
        <f t="shared" si="404"/>
        <v>NÃO</v>
      </c>
      <c r="B379" s="2" t="str">
        <f>_xlfn.XLOOKUP($N379,'Base de Grupos'!$A:$A,'Base de Grupos'!$D:$D)</f>
        <v>1000065763</v>
      </c>
      <c r="C379" s="5" t="str">
        <f>_xlfn.XLOOKUP($N379,'Base de Grupos'!$A:$A,'Base de Grupos'!$E:$E)</f>
        <v>CANAL VENDA INTERNA</v>
      </c>
      <c r="D379" s="5" t="str">
        <f>_xlfn.XLOOKUP($N379,'Base de Grupos'!$A:$A,'Base de Grupos'!$F:$F)</f>
        <v>1000065763</v>
      </c>
      <c r="E379" s="2" t="str">
        <f>_xlfn.XLOOKUP($N379,'Base de Grupos'!$A:$A,'Base de Grupos'!$G:$G)</f>
        <v>CANAL VENDA INTERNA</v>
      </c>
      <c r="F379" s="2" t="str">
        <f>_xlfn.XLOOKUP($N379,'Base de Grupos'!$A:$A,'Base de Grupos'!$H:$H)</f>
        <v>1000105899</v>
      </c>
      <c r="G379" s="5" t="str">
        <f>_xlfn.XLOOKUP($N379,'Base de Grupos'!$A:$A,'Base de Grupos'!$I:$I)</f>
        <v>REGIONAL VENDA DIRETA SUDESTE</v>
      </c>
      <c r="H379" s="5" t="str">
        <f>_xlfn.XLOOKUP($N379,'Base de Grupos'!$A:$A,'Base de Grupos'!$J:$J)</f>
        <v>1000105899</v>
      </c>
      <c r="I379" s="2" t="str">
        <f>_xlfn.XLOOKUP($N379,'Base de Grupos'!$A:$A,'Base de Grupos'!$K:$K)</f>
        <v>REGIONAL VENDA DIRETA SUDESTE</v>
      </c>
      <c r="J379" s="2" t="str">
        <f>_xlfn.XLOOKUP($N379,'Base de Grupos'!$A:$A,'Base de Grupos'!$L:$L)</f>
        <v>1000150135</v>
      </c>
      <c r="K379" s="5" t="str">
        <f>_xlfn.XLOOKUP($N379,'Base de Grupos'!$A:$A,'Base de Grupos'!$M:$M)</f>
        <v>HELDER DA SILVA BRUNKOW</v>
      </c>
      <c r="L379" s="5" t="str">
        <f t="shared" si="405"/>
        <v/>
      </c>
      <c r="M379" s="5" t="str">
        <f>_xlfn.XLOOKUP($N379,'Base de Grupos'!$A:$A,'Base de Grupos'!$C:$C)</f>
        <v>MG</v>
      </c>
      <c r="N379" s="3">
        <v>1359</v>
      </c>
      <c r="O379" s="4" t="s">
        <v>244</v>
      </c>
      <c r="P379" s="5" t="s">
        <v>95</v>
      </c>
      <c r="Q379" s="56">
        <v>0</v>
      </c>
      <c r="R379" s="56">
        <v>0</v>
      </c>
      <c r="S379" s="56">
        <v>0</v>
      </c>
      <c r="T379" s="56">
        <f>_xlfn.XLOOKUP($N379,'Calculo Leads'!$A$97:$A$134,'Calculo Leads'!G$97:G$134)*_xlfn.XLOOKUP($P379,'Base Grupo de Produtos'!$E$2:$E$18,'Base Grupo de Produtos'!$F$2:$F$18)</f>
        <v>560</v>
      </c>
      <c r="U379" s="56">
        <f>_xlfn.XLOOKUP($N379,'Calculo Leads'!$A$97:$A$134,'Calculo Leads'!H$97:H$134)*_xlfn.XLOOKUP($P379,'Base Grupo de Produtos'!$E$2:$E$18,'Base Grupo de Produtos'!$F$2:$F$18)</f>
        <v>720</v>
      </c>
      <c r="V379" s="56">
        <f>_xlfn.XLOOKUP($N379,'Calculo Leads'!$A$97:$A$134,'Calculo Leads'!I$97:I$134)*_xlfn.XLOOKUP($P379,'Base Grupo de Produtos'!$E$2:$E$18,'Base Grupo de Produtos'!$F$2:$F$18)</f>
        <v>880</v>
      </c>
      <c r="W379" s="56">
        <f>_xlfn.XLOOKUP($N379,'Calculo Leads'!$A$97:$A$134,'Calculo Leads'!J$97:J$134)*_xlfn.XLOOKUP($P379,'Base Grupo de Produtos'!$E$2:$E$18,'Base Grupo de Produtos'!$F$2:$F$18)</f>
        <v>1040</v>
      </c>
      <c r="X379" s="56">
        <f>_xlfn.XLOOKUP($N379,'Calculo Leads'!$A$97:$A$134,'Calculo Leads'!K$97:K$134)*_xlfn.XLOOKUP($P379,'Base Grupo de Produtos'!$E$2:$E$18,'Base Grupo de Produtos'!$F$2:$F$18)</f>
        <v>1320</v>
      </c>
      <c r="Y379" s="56">
        <f>_xlfn.XLOOKUP($N379,'Calculo Leads'!$A$97:$A$134,'Calculo Leads'!L$97:L$134)*_xlfn.XLOOKUP($P379,'Base Grupo de Produtos'!$E$2:$E$18,'Base Grupo de Produtos'!$F$2:$F$18)</f>
        <v>1584</v>
      </c>
      <c r="Z379" s="56">
        <f>_xlfn.XLOOKUP($N379,'Calculo Leads'!$A$97:$A$134,'Calculo Leads'!M$97:M$134)*_xlfn.XLOOKUP($P379,'Base Grupo de Produtos'!$E$2:$E$18,'Base Grupo de Produtos'!$F$2:$F$18)</f>
        <v>1760</v>
      </c>
      <c r="AA379" s="56">
        <f>_xlfn.XLOOKUP($N379,'Calculo Leads'!$A$97:$A$134,'Calculo Leads'!N$97:N$134)*_xlfn.XLOOKUP($P379,'Base Grupo de Produtos'!$E$2:$E$18,'Base Grupo de Produtos'!$F$2:$F$18)</f>
        <v>2024</v>
      </c>
      <c r="AB379" s="56">
        <f>_xlfn.XLOOKUP($N379,'Calculo Leads'!$A$97:$A$134,'Calculo Leads'!O$97:O$134)*_xlfn.XLOOKUP($P379,'Base Grupo de Produtos'!$E$2:$E$18,'Base Grupo de Produtos'!$F$2:$F$18)</f>
        <v>1320</v>
      </c>
      <c r="AC379" s="61">
        <f t="shared" si="348"/>
        <v>11208</v>
      </c>
      <c r="AD379" s="27">
        <f t="shared" si="400"/>
        <v>11208</v>
      </c>
      <c r="AE379" s="25">
        <f>IFERROR(_xlfn.XLOOKUP(N379&amp;P379,'Historico Vendas'!G:G,'Historico Vendas'!E:E),0)</f>
        <v>0</v>
      </c>
      <c r="AF379" s="29" t="str">
        <f t="shared" si="403"/>
        <v/>
      </c>
      <c r="AG379" s="24">
        <f>IFERROR(_xlfn.XLOOKUP(N379&amp;P379,'Historico Vendas'!G:G,'Historico Vendas'!F:F),0)</f>
        <v>0</v>
      </c>
      <c r="AH379" s="25">
        <f t="shared" si="401"/>
        <v>0</v>
      </c>
      <c r="AI379" s="24">
        <f t="shared" si="402"/>
        <v>0</v>
      </c>
      <c r="AJ379" s="11" t="str">
        <f t="shared" si="406"/>
        <v/>
      </c>
      <c r="AK379" s="9" t="s">
        <v>102</v>
      </c>
      <c r="AL379" s="13">
        <f>IFERROR(INDEX('Balizador da Meta'!$D$3:$F$23,MATCH(Faturamento!$P379,'Balizador da Meta'!$C$3:$C$23,0),MATCH(Faturamento!AK379,'Balizador da Meta'!$D$2:$F$2,0)),"")</f>
        <v>0.25</v>
      </c>
      <c r="AM379" s="9"/>
    </row>
    <row r="380" spans="1:39" x14ac:dyDescent="0.3">
      <c r="A380" s="2" t="str">
        <f t="shared" si="404"/>
        <v>NÃO</v>
      </c>
      <c r="B380" s="2" t="str">
        <f>_xlfn.XLOOKUP($N380,'Base de Grupos'!$A:$A,'Base de Grupos'!$D:$D)</f>
        <v>1000065763</v>
      </c>
      <c r="C380" s="5" t="str">
        <f>_xlfn.XLOOKUP($N380,'Base de Grupos'!$A:$A,'Base de Grupos'!$E:$E)</f>
        <v>CANAL VENDA INTERNA</v>
      </c>
      <c r="D380" s="5" t="str">
        <f>_xlfn.XLOOKUP($N380,'Base de Grupos'!$A:$A,'Base de Grupos'!$F:$F)</f>
        <v>1000065763</v>
      </c>
      <c r="E380" s="2" t="str">
        <f>_xlfn.XLOOKUP($N380,'Base de Grupos'!$A:$A,'Base de Grupos'!$G:$G)</f>
        <v>CANAL VENDA INTERNA</v>
      </c>
      <c r="F380" s="2" t="str">
        <f>_xlfn.XLOOKUP($N380,'Base de Grupos'!$A:$A,'Base de Grupos'!$H:$H)</f>
        <v>1000105899</v>
      </c>
      <c r="G380" s="5" t="str">
        <f>_xlfn.XLOOKUP($N380,'Base de Grupos'!$A:$A,'Base de Grupos'!$I:$I)</f>
        <v>REGIONAL VENDA DIRETA SUDESTE</v>
      </c>
      <c r="H380" s="5" t="str">
        <f>_xlfn.XLOOKUP($N380,'Base de Grupos'!$A:$A,'Base de Grupos'!$J:$J)</f>
        <v>1000105899</v>
      </c>
      <c r="I380" s="2" t="str">
        <f>_xlfn.XLOOKUP($N380,'Base de Grupos'!$A:$A,'Base de Grupos'!$K:$K)</f>
        <v>REGIONAL VENDA DIRETA SUDESTE</v>
      </c>
      <c r="J380" s="2" t="str">
        <f>_xlfn.XLOOKUP($N380,'Base de Grupos'!$A:$A,'Base de Grupos'!$L:$L)</f>
        <v>1000150135</v>
      </c>
      <c r="K380" s="5" t="str">
        <f>_xlfn.XLOOKUP($N380,'Base de Grupos'!$A:$A,'Base de Grupos'!$M:$M)</f>
        <v>HELDER DA SILVA BRUNKOW</v>
      </c>
      <c r="L380" s="5" t="str">
        <f t="shared" si="405"/>
        <v/>
      </c>
      <c r="M380" s="5" t="str">
        <f>_xlfn.XLOOKUP($N380,'Base de Grupos'!$A:$A,'Base de Grupos'!$C:$C)</f>
        <v>MG</v>
      </c>
      <c r="N380" s="3">
        <v>1359</v>
      </c>
      <c r="O380" s="4" t="s">
        <v>244</v>
      </c>
      <c r="P380" s="5" t="s">
        <v>93</v>
      </c>
      <c r="Q380" s="56">
        <v>0</v>
      </c>
      <c r="R380" s="56">
        <v>0</v>
      </c>
      <c r="S380" s="56">
        <v>0</v>
      </c>
      <c r="T380" s="56">
        <f>_xlfn.XLOOKUP($N380,'Calculo Leads'!$A$97:$A$134,'Calculo Leads'!G$97:G$134)*_xlfn.XLOOKUP($P380,'Base Grupo de Produtos'!$E$2:$E$18,'Base Grupo de Produtos'!$F$2:$F$18)</f>
        <v>210</v>
      </c>
      <c r="U380" s="56">
        <f>_xlfn.XLOOKUP($N380,'Calculo Leads'!$A$97:$A$134,'Calculo Leads'!H$97:H$134)*_xlfn.XLOOKUP($P380,'Base Grupo de Produtos'!$E$2:$E$18,'Base Grupo de Produtos'!$F$2:$F$18)</f>
        <v>270</v>
      </c>
      <c r="V380" s="56">
        <f>_xlfn.XLOOKUP($N380,'Calculo Leads'!$A$97:$A$134,'Calculo Leads'!I$97:I$134)*_xlfn.XLOOKUP($P380,'Base Grupo de Produtos'!$E$2:$E$18,'Base Grupo de Produtos'!$F$2:$F$18)</f>
        <v>330</v>
      </c>
      <c r="W380" s="56">
        <f>_xlfn.XLOOKUP($N380,'Calculo Leads'!$A$97:$A$134,'Calculo Leads'!J$97:J$134)*_xlfn.XLOOKUP($P380,'Base Grupo de Produtos'!$E$2:$E$18,'Base Grupo de Produtos'!$F$2:$F$18)</f>
        <v>390</v>
      </c>
      <c r="X380" s="56">
        <f>_xlfn.XLOOKUP($N380,'Calculo Leads'!$A$97:$A$134,'Calculo Leads'!K$97:K$134)*_xlfn.XLOOKUP($P380,'Base Grupo de Produtos'!$E$2:$E$18,'Base Grupo de Produtos'!$F$2:$F$18)</f>
        <v>495</v>
      </c>
      <c r="Y380" s="56">
        <f>_xlfn.XLOOKUP($N380,'Calculo Leads'!$A$97:$A$134,'Calculo Leads'!L$97:L$134)*_xlfn.XLOOKUP($P380,'Base Grupo de Produtos'!$E$2:$E$18,'Base Grupo de Produtos'!$F$2:$F$18)</f>
        <v>594</v>
      </c>
      <c r="Z380" s="56">
        <f>_xlfn.XLOOKUP($N380,'Calculo Leads'!$A$97:$A$134,'Calculo Leads'!M$97:M$134)*_xlfn.XLOOKUP($P380,'Base Grupo de Produtos'!$E$2:$E$18,'Base Grupo de Produtos'!$F$2:$F$18)</f>
        <v>660</v>
      </c>
      <c r="AA380" s="56">
        <f>_xlfn.XLOOKUP($N380,'Calculo Leads'!$A$97:$A$134,'Calculo Leads'!N$97:N$134)*_xlfn.XLOOKUP($P380,'Base Grupo de Produtos'!$E$2:$E$18,'Base Grupo de Produtos'!$F$2:$F$18)</f>
        <v>759</v>
      </c>
      <c r="AB380" s="56">
        <f>_xlfn.XLOOKUP($N380,'Calculo Leads'!$A$97:$A$134,'Calculo Leads'!O$97:O$134)*_xlfn.XLOOKUP($P380,'Base Grupo de Produtos'!$E$2:$E$18,'Base Grupo de Produtos'!$F$2:$F$18)</f>
        <v>495</v>
      </c>
      <c r="AC380" s="61">
        <f t="shared" si="348"/>
        <v>4203</v>
      </c>
      <c r="AD380" s="27">
        <f t="shared" si="400"/>
        <v>4203</v>
      </c>
      <c r="AE380" s="25">
        <f>IFERROR(_xlfn.XLOOKUP(N380&amp;P380,'Historico Vendas'!G:G,'Historico Vendas'!E:E),0)</f>
        <v>0</v>
      </c>
      <c r="AF380" s="29" t="str">
        <f t="shared" si="403"/>
        <v/>
      </c>
      <c r="AG380" s="24">
        <f>IFERROR(_xlfn.XLOOKUP(N380&amp;P380,'Historico Vendas'!G:G,'Historico Vendas'!F:F),0)</f>
        <v>0</v>
      </c>
      <c r="AH380" s="25">
        <f t="shared" si="401"/>
        <v>0</v>
      </c>
      <c r="AI380" s="24">
        <f t="shared" si="402"/>
        <v>0</v>
      </c>
      <c r="AJ380" s="11" t="str">
        <f t="shared" si="406"/>
        <v/>
      </c>
      <c r="AK380" s="9" t="s">
        <v>102</v>
      </c>
      <c r="AL380" s="13">
        <f>IFERROR(INDEX('Balizador da Meta'!$D$3:$F$23,MATCH(Faturamento!$P380,'Balizador da Meta'!$C$3:$C$23,0),MATCH(Faturamento!AK380,'Balizador da Meta'!$D$2:$F$2,0)),"")</f>
        <v>0.2</v>
      </c>
      <c r="AM380" s="9"/>
    </row>
    <row r="381" spans="1:39" x14ac:dyDescent="0.3">
      <c r="A381" s="2" t="str">
        <f t="shared" si="404"/>
        <v>SIM</v>
      </c>
      <c r="B381" s="2" t="str">
        <f>_xlfn.XLOOKUP($N381,'Base de Grupos'!$A:$A,'Base de Grupos'!$D:$D)</f>
        <v>1000065763</v>
      </c>
      <c r="C381" s="5" t="str">
        <f>_xlfn.XLOOKUP($N381,'Base de Grupos'!$A:$A,'Base de Grupos'!$E:$E)</f>
        <v>CANAL VENDA INTERNA</v>
      </c>
      <c r="D381" s="5" t="str">
        <f>_xlfn.XLOOKUP($N381,'Base de Grupos'!$A:$A,'Base de Grupos'!$F:$F)</f>
        <v>1000065763</v>
      </c>
      <c r="E381" s="2" t="str">
        <f>_xlfn.XLOOKUP($N381,'Base de Grupos'!$A:$A,'Base de Grupos'!$G:$G)</f>
        <v>CANAL VENDA INTERNA</v>
      </c>
      <c r="F381" s="2" t="str">
        <f>_xlfn.XLOOKUP($N381,'Base de Grupos'!$A:$A,'Base de Grupos'!$H:$H)</f>
        <v>1000105898</v>
      </c>
      <c r="G381" s="5" t="str">
        <f>_xlfn.XLOOKUP($N381,'Base de Grupos'!$A:$A,'Base de Grupos'!$I:$I)</f>
        <v>REGIONAL VENDA DIRETA SP</v>
      </c>
      <c r="H381" s="5" t="str">
        <f>_xlfn.XLOOKUP($N381,'Base de Grupos'!$A:$A,'Base de Grupos'!$J:$J)</f>
        <v>1000105898</v>
      </c>
      <c r="I381" s="2" t="str">
        <f>_xlfn.XLOOKUP($N381,'Base de Grupos'!$A:$A,'Base de Grupos'!$K:$K)</f>
        <v>REGIONAL VENDA DIRETA SP</v>
      </c>
      <c r="J381" s="2" t="str">
        <f>_xlfn.XLOOKUP($N381,'Base de Grupos'!$A:$A,'Base de Grupos'!$L:$L)</f>
        <v>1000150135</v>
      </c>
      <c r="K381" s="5" t="str">
        <f>_xlfn.XLOOKUP($N381,'Base de Grupos'!$A:$A,'Base de Grupos'!$M:$M)</f>
        <v>HELDER DA SILVA BRUNKOW</v>
      </c>
      <c r="L381" s="5">
        <f t="shared" si="405"/>
        <v>1</v>
      </c>
      <c r="M381" s="5" t="str">
        <f>_xlfn.XLOOKUP($N381,'Base de Grupos'!$A:$A,'Base de Grupos'!$C:$C)</f>
        <v>SP</v>
      </c>
      <c r="N381" s="3">
        <v>1360</v>
      </c>
      <c r="O381" s="4" t="s">
        <v>245</v>
      </c>
      <c r="P381" s="5" t="s">
        <v>315</v>
      </c>
      <c r="Q381" s="56">
        <f t="shared" ref="Q381" si="407">SUM(Q382:Q398)</f>
        <v>0</v>
      </c>
      <c r="R381" s="56">
        <f t="shared" ref="R381" si="408">SUM(R382:R398)</f>
        <v>0</v>
      </c>
      <c r="S381" s="56">
        <f t="shared" ref="S381" si="409">SUM(S382:S398)</f>
        <v>0</v>
      </c>
      <c r="T381" s="56">
        <f t="shared" ref="T381" si="410">SUM(T382:T398)</f>
        <v>9000</v>
      </c>
      <c r="U381" s="56">
        <f t="shared" ref="U381" si="411">SUM(U382:U398)</f>
        <v>11000</v>
      </c>
      <c r="V381" s="56">
        <f t="shared" ref="V381" si="412">SUM(V382:V398)</f>
        <v>14000</v>
      </c>
      <c r="W381" s="56">
        <f t="shared" ref="W381" si="413">SUM(W382:W398)</f>
        <v>17000</v>
      </c>
      <c r="X381" s="56">
        <f t="shared" ref="X381" si="414">SUM(X382:X398)</f>
        <v>20900</v>
      </c>
      <c r="Y381" s="56">
        <f t="shared" ref="Y381" si="415">SUM(Y382:Y398)</f>
        <v>26400</v>
      </c>
      <c r="Z381" s="56">
        <f t="shared" ref="Z381" si="416">SUM(Z382:Z398)</f>
        <v>28600</v>
      </c>
      <c r="AA381" s="56">
        <f t="shared" ref="AA381" si="417">SUM(AA382:AA398)</f>
        <v>31900</v>
      </c>
      <c r="AB381" s="56">
        <f t="shared" ref="AB381" si="418">SUM(AB382:AB398)</f>
        <v>22000</v>
      </c>
      <c r="AC381" s="56">
        <f t="shared" ref="AC381" si="419">SUM(AC382:AC398)</f>
        <v>180800</v>
      </c>
      <c r="AD381" s="25">
        <f t="shared" ref="AD381" si="420">SUM(AD382:AD398)</f>
        <v>180800</v>
      </c>
      <c r="AE381" s="25">
        <f t="shared" ref="AE381:AI381" si="421">SUM(AE382:AE398)</f>
        <v>0</v>
      </c>
      <c r="AF381" s="11" t="str">
        <f t="shared" si="403"/>
        <v/>
      </c>
      <c r="AG381" s="24">
        <f t="shared" si="421"/>
        <v>0</v>
      </c>
      <c r="AH381" s="25">
        <f t="shared" si="421"/>
        <v>0</v>
      </c>
      <c r="AI381" s="24">
        <f t="shared" si="421"/>
        <v>0</v>
      </c>
      <c r="AJ381" s="11" t="str">
        <f t="shared" si="406"/>
        <v/>
      </c>
      <c r="AK381" s="9"/>
      <c r="AL381" s="13"/>
      <c r="AM381" s="9"/>
    </row>
    <row r="382" spans="1:39" x14ac:dyDescent="0.3">
      <c r="A382" s="2" t="str">
        <f t="shared" si="404"/>
        <v>NÃO</v>
      </c>
      <c r="B382" s="2" t="str">
        <f>_xlfn.XLOOKUP($N382,'Base de Grupos'!$A:$A,'Base de Grupos'!$D:$D)</f>
        <v>1000065763</v>
      </c>
      <c r="C382" s="5" t="str">
        <f>_xlfn.XLOOKUP($N382,'Base de Grupos'!$A:$A,'Base de Grupos'!$E:$E)</f>
        <v>CANAL VENDA INTERNA</v>
      </c>
      <c r="D382" s="5" t="str">
        <f>_xlfn.XLOOKUP($N382,'Base de Grupos'!$A:$A,'Base de Grupos'!$F:$F)</f>
        <v>1000065763</v>
      </c>
      <c r="E382" s="2" t="str">
        <f>_xlfn.XLOOKUP($N382,'Base de Grupos'!$A:$A,'Base de Grupos'!$G:$G)</f>
        <v>CANAL VENDA INTERNA</v>
      </c>
      <c r="F382" s="2" t="str">
        <f>_xlfn.XLOOKUP($N382,'Base de Grupos'!$A:$A,'Base de Grupos'!$H:$H)</f>
        <v>1000105898</v>
      </c>
      <c r="G382" s="5" t="str">
        <f>_xlfn.XLOOKUP($N382,'Base de Grupos'!$A:$A,'Base de Grupos'!$I:$I)</f>
        <v>REGIONAL VENDA DIRETA SP</v>
      </c>
      <c r="H382" s="5" t="str">
        <f>_xlfn.XLOOKUP($N382,'Base de Grupos'!$A:$A,'Base de Grupos'!$J:$J)</f>
        <v>1000105898</v>
      </c>
      <c r="I382" s="2" t="str">
        <f>_xlfn.XLOOKUP($N382,'Base de Grupos'!$A:$A,'Base de Grupos'!$K:$K)</f>
        <v>REGIONAL VENDA DIRETA SP</v>
      </c>
      <c r="J382" s="2" t="str">
        <f>_xlfn.XLOOKUP($N382,'Base de Grupos'!$A:$A,'Base de Grupos'!$L:$L)</f>
        <v>1000150135</v>
      </c>
      <c r="K382" s="5" t="str">
        <f>_xlfn.XLOOKUP($N382,'Base de Grupos'!$A:$A,'Base de Grupos'!$M:$M)</f>
        <v>HELDER DA SILVA BRUNKOW</v>
      </c>
      <c r="L382" s="5" t="str">
        <f t="shared" si="405"/>
        <v/>
      </c>
      <c r="M382" s="5" t="str">
        <f>_xlfn.XLOOKUP($N382,'Base de Grupos'!$A:$A,'Base de Grupos'!$C:$C)</f>
        <v>SP</v>
      </c>
      <c r="N382" s="3">
        <v>1360</v>
      </c>
      <c r="O382" s="4" t="s">
        <v>245</v>
      </c>
      <c r="P382" s="5" t="s">
        <v>81</v>
      </c>
      <c r="Q382" s="56">
        <v>0</v>
      </c>
      <c r="R382" s="56">
        <v>0</v>
      </c>
      <c r="S382" s="56">
        <v>0</v>
      </c>
      <c r="T382" s="56">
        <f>_xlfn.XLOOKUP($N382,'Calculo Leads'!$A$97:$A$134,'Calculo Leads'!G$97:G$134)*_xlfn.XLOOKUP($P382,'Base Grupo de Produtos'!$E$2:$E$18,'Base Grupo de Produtos'!$F$2:$F$18)</f>
        <v>450</v>
      </c>
      <c r="U382" s="56">
        <f>_xlfn.XLOOKUP($N382,'Calculo Leads'!$A$97:$A$134,'Calculo Leads'!H$97:H$134)*_xlfn.XLOOKUP($P382,'Base Grupo de Produtos'!$E$2:$E$18,'Base Grupo de Produtos'!$F$2:$F$18)</f>
        <v>550</v>
      </c>
      <c r="V382" s="56">
        <f>_xlfn.XLOOKUP($N382,'Calculo Leads'!$A$97:$A$134,'Calculo Leads'!I$97:I$134)*_xlfn.XLOOKUP($P382,'Base Grupo de Produtos'!$E$2:$E$18,'Base Grupo de Produtos'!$F$2:$F$18)</f>
        <v>700</v>
      </c>
      <c r="W382" s="56">
        <f>_xlfn.XLOOKUP($N382,'Calculo Leads'!$A$97:$A$134,'Calculo Leads'!J$97:J$134)*_xlfn.XLOOKUP($P382,'Base Grupo de Produtos'!$E$2:$E$18,'Base Grupo de Produtos'!$F$2:$F$18)</f>
        <v>850</v>
      </c>
      <c r="X382" s="56">
        <f>_xlfn.XLOOKUP($N382,'Calculo Leads'!$A$97:$A$134,'Calculo Leads'!K$97:K$134)*_xlfn.XLOOKUP($P382,'Base Grupo de Produtos'!$E$2:$E$18,'Base Grupo de Produtos'!$F$2:$F$18)</f>
        <v>1045</v>
      </c>
      <c r="Y382" s="56">
        <f>_xlfn.XLOOKUP($N382,'Calculo Leads'!$A$97:$A$134,'Calculo Leads'!L$97:L$134)*_xlfn.XLOOKUP($P382,'Base Grupo de Produtos'!$E$2:$E$18,'Base Grupo de Produtos'!$F$2:$F$18)</f>
        <v>1320</v>
      </c>
      <c r="Z382" s="56">
        <f>_xlfn.XLOOKUP($N382,'Calculo Leads'!$A$97:$A$134,'Calculo Leads'!M$97:M$134)*_xlfn.XLOOKUP($P382,'Base Grupo de Produtos'!$E$2:$E$18,'Base Grupo de Produtos'!$F$2:$F$18)</f>
        <v>1430</v>
      </c>
      <c r="AA382" s="56">
        <f>_xlfn.XLOOKUP($N382,'Calculo Leads'!$A$97:$A$134,'Calculo Leads'!N$97:N$134)*_xlfn.XLOOKUP($P382,'Base Grupo de Produtos'!$E$2:$E$18,'Base Grupo de Produtos'!$F$2:$F$18)</f>
        <v>1595</v>
      </c>
      <c r="AB382" s="56">
        <f>_xlfn.XLOOKUP($N382,'Calculo Leads'!$A$97:$A$134,'Calculo Leads'!O$97:O$134)*_xlfn.XLOOKUP($P382,'Base Grupo de Produtos'!$E$2:$E$18,'Base Grupo de Produtos'!$F$2:$F$18)</f>
        <v>1100</v>
      </c>
      <c r="AC382" s="61">
        <f t="shared" si="348"/>
        <v>9040</v>
      </c>
      <c r="AD382" s="27">
        <f t="shared" ref="AD382:AD398" si="422">IF(AC382=0,0,AC382-AG382)</f>
        <v>9040</v>
      </c>
      <c r="AE382" s="25">
        <f>IFERROR(_xlfn.XLOOKUP(N382&amp;P382,'Historico Vendas'!G:G,'Historico Vendas'!E:E),0)</f>
        <v>0</v>
      </c>
      <c r="AF382" s="29" t="str">
        <f t="shared" si="403"/>
        <v/>
      </c>
      <c r="AG382" s="24">
        <f>IFERROR(_xlfn.XLOOKUP(N382&amp;P382,'Historico Vendas'!G:G,'Historico Vendas'!F:F),0)</f>
        <v>0</v>
      </c>
      <c r="AH382" s="25">
        <f t="shared" ref="AH382:AH398" si="423">SUM(Q382:S382)</f>
        <v>0</v>
      </c>
      <c r="AI382" s="24">
        <f t="shared" ref="AI382:AI398" si="424">AH382-AG382</f>
        <v>0</v>
      </c>
      <c r="AJ382" s="11" t="str">
        <f t="shared" si="406"/>
        <v/>
      </c>
      <c r="AK382" s="9" t="s">
        <v>102</v>
      </c>
      <c r="AL382" s="13">
        <f>IFERROR(INDEX('Balizador da Meta'!$D$3:$F$23,MATCH(Faturamento!$P382,'Balizador da Meta'!$C$3:$C$23,0),MATCH(Faturamento!AK382,'Balizador da Meta'!$D$2:$F$2,0)),"")</f>
        <v>0.2</v>
      </c>
      <c r="AM382" s="9"/>
    </row>
    <row r="383" spans="1:39" x14ac:dyDescent="0.3">
      <c r="A383" s="2" t="str">
        <f t="shared" si="404"/>
        <v>NÃO</v>
      </c>
      <c r="B383" s="2" t="str">
        <f>_xlfn.XLOOKUP($N383,'Base de Grupos'!$A:$A,'Base de Grupos'!$D:$D)</f>
        <v>1000065763</v>
      </c>
      <c r="C383" s="5" t="str">
        <f>_xlfn.XLOOKUP($N383,'Base de Grupos'!$A:$A,'Base de Grupos'!$E:$E)</f>
        <v>CANAL VENDA INTERNA</v>
      </c>
      <c r="D383" s="5" t="str">
        <f>_xlfn.XLOOKUP($N383,'Base de Grupos'!$A:$A,'Base de Grupos'!$F:$F)</f>
        <v>1000065763</v>
      </c>
      <c r="E383" s="2" t="str">
        <f>_xlfn.XLOOKUP($N383,'Base de Grupos'!$A:$A,'Base de Grupos'!$G:$G)</f>
        <v>CANAL VENDA INTERNA</v>
      </c>
      <c r="F383" s="2" t="str">
        <f>_xlfn.XLOOKUP($N383,'Base de Grupos'!$A:$A,'Base de Grupos'!$H:$H)</f>
        <v>1000105898</v>
      </c>
      <c r="G383" s="5" t="str">
        <f>_xlfn.XLOOKUP($N383,'Base de Grupos'!$A:$A,'Base de Grupos'!$I:$I)</f>
        <v>REGIONAL VENDA DIRETA SP</v>
      </c>
      <c r="H383" s="5" t="str">
        <f>_xlfn.XLOOKUP($N383,'Base de Grupos'!$A:$A,'Base de Grupos'!$J:$J)</f>
        <v>1000105898</v>
      </c>
      <c r="I383" s="2" t="str">
        <f>_xlfn.XLOOKUP($N383,'Base de Grupos'!$A:$A,'Base de Grupos'!$K:$K)</f>
        <v>REGIONAL VENDA DIRETA SP</v>
      </c>
      <c r="J383" s="2" t="str">
        <f>_xlfn.XLOOKUP($N383,'Base de Grupos'!$A:$A,'Base de Grupos'!$L:$L)</f>
        <v>1000150135</v>
      </c>
      <c r="K383" s="5" t="str">
        <f>_xlfn.XLOOKUP($N383,'Base de Grupos'!$A:$A,'Base de Grupos'!$M:$M)</f>
        <v>HELDER DA SILVA BRUNKOW</v>
      </c>
      <c r="L383" s="5" t="str">
        <f t="shared" si="405"/>
        <v/>
      </c>
      <c r="M383" s="5" t="str">
        <f>_xlfn.XLOOKUP($N383,'Base de Grupos'!$A:$A,'Base de Grupos'!$C:$C)</f>
        <v>SP</v>
      </c>
      <c r="N383" s="3">
        <v>1360</v>
      </c>
      <c r="O383" s="4" t="s">
        <v>245</v>
      </c>
      <c r="P383" s="5" t="s">
        <v>82</v>
      </c>
      <c r="Q383" s="56">
        <v>0</v>
      </c>
      <c r="R383" s="56">
        <v>0</v>
      </c>
      <c r="S383" s="56">
        <v>0</v>
      </c>
      <c r="T383" s="56">
        <f>_xlfn.XLOOKUP($N383,'Calculo Leads'!$A$97:$A$134,'Calculo Leads'!G$97:G$134)*_xlfn.XLOOKUP($P383,'Base Grupo de Produtos'!$E$2:$E$18,'Base Grupo de Produtos'!$F$2:$F$18)</f>
        <v>450</v>
      </c>
      <c r="U383" s="56">
        <f>_xlfn.XLOOKUP($N383,'Calculo Leads'!$A$97:$A$134,'Calculo Leads'!H$97:H$134)*_xlfn.XLOOKUP($P383,'Base Grupo de Produtos'!$E$2:$E$18,'Base Grupo de Produtos'!$F$2:$F$18)</f>
        <v>550</v>
      </c>
      <c r="V383" s="56">
        <f>_xlfn.XLOOKUP($N383,'Calculo Leads'!$A$97:$A$134,'Calculo Leads'!I$97:I$134)*_xlfn.XLOOKUP($P383,'Base Grupo de Produtos'!$E$2:$E$18,'Base Grupo de Produtos'!$F$2:$F$18)</f>
        <v>700</v>
      </c>
      <c r="W383" s="56">
        <f>_xlfn.XLOOKUP($N383,'Calculo Leads'!$A$97:$A$134,'Calculo Leads'!J$97:J$134)*_xlfn.XLOOKUP($P383,'Base Grupo de Produtos'!$E$2:$E$18,'Base Grupo de Produtos'!$F$2:$F$18)</f>
        <v>850</v>
      </c>
      <c r="X383" s="56">
        <f>_xlfn.XLOOKUP($N383,'Calculo Leads'!$A$97:$A$134,'Calculo Leads'!K$97:K$134)*_xlfn.XLOOKUP($P383,'Base Grupo de Produtos'!$E$2:$E$18,'Base Grupo de Produtos'!$F$2:$F$18)</f>
        <v>1045</v>
      </c>
      <c r="Y383" s="56">
        <f>_xlfn.XLOOKUP($N383,'Calculo Leads'!$A$97:$A$134,'Calculo Leads'!L$97:L$134)*_xlfn.XLOOKUP($P383,'Base Grupo de Produtos'!$E$2:$E$18,'Base Grupo de Produtos'!$F$2:$F$18)</f>
        <v>1320</v>
      </c>
      <c r="Z383" s="56">
        <f>_xlfn.XLOOKUP($N383,'Calculo Leads'!$A$97:$A$134,'Calculo Leads'!M$97:M$134)*_xlfn.XLOOKUP($P383,'Base Grupo de Produtos'!$E$2:$E$18,'Base Grupo de Produtos'!$F$2:$F$18)</f>
        <v>1430</v>
      </c>
      <c r="AA383" s="56">
        <f>_xlfn.XLOOKUP($N383,'Calculo Leads'!$A$97:$A$134,'Calculo Leads'!N$97:N$134)*_xlfn.XLOOKUP($P383,'Base Grupo de Produtos'!$E$2:$E$18,'Base Grupo de Produtos'!$F$2:$F$18)</f>
        <v>1595</v>
      </c>
      <c r="AB383" s="56">
        <f>_xlfn.XLOOKUP($N383,'Calculo Leads'!$A$97:$A$134,'Calculo Leads'!O$97:O$134)*_xlfn.XLOOKUP($P383,'Base Grupo de Produtos'!$E$2:$E$18,'Base Grupo de Produtos'!$F$2:$F$18)</f>
        <v>1100</v>
      </c>
      <c r="AC383" s="61">
        <f t="shared" si="348"/>
        <v>9040</v>
      </c>
      <c r="AD383" s="27">
        <f t="shared" si="422"/>
        <v>9040</v>
      </c>
      <c r="AE383" s="25">
        <f>IFERROR(_xlfn.XLOOKUP(N383&amp;P383,'Historico Vendas'!G:G,'Historico Vendas'!E:E),0)</f>
        <v>0</v>
      </c>
      <c r="AF383" s="29" t="str">
        <f t="shared" si="403"/>
        <v/>
      </c>
      <c r="AG383" s="24">
        <f>IFERROR(_xlfn.XLOOKUP(N383&amp;P383,'Historico Vendas'!G:G,'Historico Vendas'!F:F),0)</f>
        <v>0</v>
      </c>
      <c r="AH383" s="25">
        <f t="shared" si="423"/>
        <v>0</v>
      </c>
      <c r="AI383" s="24">
        <f t="shared" si="424"/>
        <v>0</v>
      </c>
      <c r="AJ383" s="11" t="str">
        <f t="shared" si="406"/>
        <v/>
      </c>
      <c r="AK383" s="9" t="s">
        <v>102</v>
      </c>
      <c r="AL383" s="13">
        <f>IFERROR(INDEX('Balizador da Meta'!$D$3:$F$23,MATCH(Faturamento!$P383,'Balizador da Meta'!$C$3:$C$23,0),MATCH(Faturamento!AK383,'Balizador da Meta'!$D$2:$F$2,0)),"")</f>
        <v>0.2</v>
      </c>
      <c r="AM383" s="9"/>
    </row>
    <row r="384" spans="1:39" x14ac:dyDescent="0.3">
      <c r="A384" s="2" t="str">
        <f t="shared" si="404"/>
        <v>NÃO</v>
      </c>
      <c r="B384" s="2" t="str">
        <f>_xlfn.XLOOKUP($N384,'Base de Grupos'!$A:$A,'Base de Grupos'!$D:$D)</f>
        <v>1000065763</v>
      </c>
      <c r="C384" s="5" t="str">
        <f>_xlfn.XLOOKUP($N384,'Base de Grupos'!$A:$A,'Base de Grupos'!$E:$E)</f>
        <v>CANAL VENDA INTERNA</v>
      </c>
      <c r="D384" s="5" t="str">
        <f>_xlfn.XLOOKUP($N384,'Base de Grupos'!$A:$A,'Base de Grupos'!$F:$F)</f>
        <v>1000065763</v>
      </c>
      <c r="E384" s="2" t="str">
        <f>_xlfn.XLOOKUP($N384,'Base de Grupos'!$A:$A,'Base de Grupos'!$G:$G)</f>
        <v>CANAL VENDA INTERNA</v>
      </c>
      <c r="F384" s="2" t="str">
        <f>_xlfn.XLOOKUP($N384,'Base de Grupos'!$A:$A,'Base de Grupos'!$H:$H)</f>
        <v>1000105898</v>
      </c>
      <c r="G384" s="5" t="str">
        <f>_xlfn.XLOOKUP($N384,'Base de Grupos'!$A:$A,'Base de Grupos'!$I:$I)</f>
        <v>REGIONAL VENDA DIRETA SP</v>
      </c>
      <c r="H384" s="5" t="str">
        <f>_xlfn.XLOOKUP($N384,'Base de Grupos'!$A:$A,'Base de Grupos'!$J:$J)</f>
        <v>1000105898</v>
      </c>
      <c r="I384" s="2" t="str">
        <f>_xlfn.XLOOKUP($N384,'Base de Grupos'!$A:$A,'Base de Grupos'!$K:$K)</f>
        <v>REGIONAL VENDA DIRETA SP</v>
      </c>
      <c r="J384" s="2" t="str">
        <f>_xlfn.XLOOKUP($N384,'Base de Grupos'!$A:$A,'Base de Grupos'!$L:$L)</f>
        <v>1000150135</v>
      </c>
      <c r="K384" s="5" t="str">
        <f>_xlfn.XLOOKUP($N384,'Base de Grupos'!$A:$A,'Base de Grupos'!$M:$M)</f>
        <v>HELDER DA SILVA BRUNKOW</v>
      </c>
      <c r="L384" s="5" t="str">
        <f t="shared" si="405"/>
        <v/>
      </c>
      <c r="M384" s="5" t="str">
        <f>_xlfn.XLOOKUP($N384,'Base de Grupos'!$A:$A,'Base de Grupos'!$C:$C)</f>
        <v>SP</v>
      </c>
      <c r="N384" s="3">
        <v>1360</v>
      </c>
      <c r="O384" s="4" t="s">
        <v>245</v>
      </c>
      <c r="P384" s="5" t="s">
        <v>84</v>
      </c>
      <c r="Q384" s="56">
        <v>0</v>
      </c>
      <c r="R384" s="56">
        <v>0</v>
      </c>
      <c r="S384" s="56">
        <v>0</v>
      </c>
      <c r="T384" s="56">
        <f>_xlfn.XLOOKUP($N384,'Calculo Leads'!$A$97:$A$134,'Calculo Leads'!G$97:G$134)*_xlfn.XLOOKUP($P384,'Base Grupo de Produtos'!$E$2:$E$18,'Base Grupo de Produtos'!$F$2:$F$18)</f>
        <v>720</v>
      </c>
      <c r="U384" s="56">
        <f>_xlfn.XLOOKUP($N384,'Calculo Leads'!$A$97:$A$134,'Calculo Leads'!H$97:H$134)*_xlfn.XLOOKUP($P384,'Base Grupo de Produtos'!$E$2:$E$18,'Base Grupo de Produtos'!$F$2:$F$18)</f>
        <v>880</v>
      </c>
      <c r="V384" s="56">
        <f>_xlfn.XLOOKUP($N384,'Calculo Leads'!$A$97:$A$134,'Calculo Leads'!I$97:I$134)*_xlfn.XLOOKUP($P384,'Base Grupo de Produtos'!$E$2:$E$18,'Base Grupo de Produtos'!$F$2:$F$18)</f>
        <v>1120</v>
      </c>
      <c r="W384" s="56">
        <f>_xlfn.XLOOKUP($N384,'Calculo Leads'!$A$97:$A$134,'Calculo Leads'!J$97:J$134)*_xlfn.XLOOKUP($P384,'Base Grupo de Produtos'!$E$2:$E$18,'Base Grupo de Produtos'!$F$2:$F$18)</f>
        <v>1360</v>
      </c>
      <c r="X384" s="56">
        <f>_xlfn.XLOOKUP($N384,'Calculo Leads'!$A$97:$A$134,'Calculo Leads'!K$97:K$134)*_xlfn.XLOOKUP($P384,'Base Grupo de Produtos'!$E$2:$E$18,'Base Grupo de Produtos'!$F$2:$F$18)</f>
        <v>1672</v>
      </c>
      <c r="Y384" s="56">
        <f>_xlfn.XLOOKUP($N384,'Calculo Leads'!$A$97:$A$134,'Calculo Leads'!L$97:L$134)*_xlfn.XLOOKUP($P384,'Base Grupo de Produtos'!$E$2:$E$18,'Base Grupo de Produtos'!$F$2:$F$18)</f>
        <v>2112</v>
      </c>
      <c r="Z384" s="56">
        <f>_xlfn.XLOOKUP($N384,'Calculo Leads'!$A$97:$A$134,'Calculo Leads'!M$97:M$134)*_xlfn.XLOOKUP($P384,'Base Grupo de Produtos'!$E$2:$E$18,'Base Grupo de Produtos'!$F$2:$F$18)</f>
        <v>2288</v>
      </c>
      <c r="AA384" s="56">
        <f>_xlfn.XLOOKUP($N384,'Calculo Leads'!$A$97:$A$134,'Calculo Leads'!N$97:N$134)*_xlfn.XLOOKUP($P384,'Base Grupo de Produtos'!$E$2:$E$18,'Base Grupo de Produtos'!$F$2:$F$18)</f>
        <v>2552</v>
      </c>
      <c r="AB384" s="56">
        <f>_xlfn.XLOOKUP($N384,'Calculo Leads'!$A$97:$A$134,'Calculo Leads'!O$97:O$134)*_xlfn.XLOOKUP($P384,'Base Grupo de Produtos'!$E$2:$E$18,'Base Grupo de Produtos'!$F$2:$F$18)</f>
        <v>1760</v>
      </c>
      <c r="AC384" s="61">
        <f t="shared" si="348"/>
        <v>14464</v>
      </c>
      <c r="AD384" s="27">
        <f t="shared" si="422"/>
        <v>14464</v>
      </c>
      <c r="AE384" s="25">
        <f>IFERROR(_xlfn.XLOOKUP(N384&amp;P384,'Historico Vendas'!G:G,'Historico Vendas'!E:E),0)</f>
        <v>0</v>
      </c>
      <c r="AF384" s="29" t="str">
        <f t="shared" si="403"/>
        <v/>
      </c>
      <c r="AG384" s="24">
        <f>IFERROR(_xlfn.XLOOKUP(N384&amp;P384,'Historico Vendas'!G:G,'Historico Vendas'!F:F),0)</f>
        <v>0</v>
      </c>
      <c r="AH384" s="25">
        <f t="shared" si="423"/>
        <v>0</v>
      </c>
      <c r="AI384" s="24">
        <f t="shared" si="424"/>
        <v>0</v>
      </c>
      <c r="AJ384" s="11" t="str">
        <f t="shared" si="406"/>
        <v/>
      </c>
      <c r="AK384" s="9" t="s">
        <v>102</v>
      </c>
      <c r="AL384" s="13">
        <f>IFERROR(INDEX('Balizador da Meta'!$D$3:$F$23,MATCH(Faturamento!$P384,'Balizador da Meta'!$C$3:$C$23,0),MATCH(Faturamento!AK384,'Balizador da Meta'!$D$2:$F$2,0)),"")</f>
        <v>0.15</v>
      </c>
      <c r="AM384" s="9"/>
    </row>
    <row r="385" spans="1:39" x14ac:dyDescent="0.3">
      <c r="A385" s="2" t="str">
        <f t="shared" si="404"/>
        <v>NÃO</v>
      </c>
      <c r="B385" s="2" t="str">
        <f>_xlfn.XLOOKUP($N385,'Base de Grupos'!$A:$A,'Base de Grupos'!$D:$D)</f>
        <v>1000065763</v>
      </c>
      <c r="C385" s="5" t="str">
        <f>_xlfn.XLOOKUP($N385,'Base de Grupos'!$A:$A,'Base de Grupos'!$E:$E)</f>
        <v>CANAL VENDA INTERNA</v>
      </c>
      <c r="D385" s="5" t="str">
        <f>_xlfn.XLOOKUP($N385,'Base de Grupos'!$A:$A,'Base de Grupos'!$F:$F)</f>
        <v>1000065763</v>
      </c>
      <c r="E385" s="2" t="str">
        <f>_xlfn.XLOOKUP($N385,'Base de Grupos'!$A:$A,'Base de Grupos'!$G:$G)</f>
        <v>CANAL VENDA INTERNA</v>
      </c>
      <c r="F385" s="2" t="str">
        <f>_xlfn.XLOOKUP($N385,'Base de Grupos'!$A:$A,'Base de Grupos'!$H:$H)</f>
        <v>1000105898</v>
      </c>
      <c r="G385" s="5" t="str">
        <f>_xlfn.XLOOKUP($N385,'Base de Grupos'!$A:$A,'Base de Grupos'!$I:$I)</f>
        <v>REGIONAL VENDA DIRETA SP</v>
      </c>
      <c r="H385" s="5" t="str">
        <f>_xlfn.XLOOKUP($N385,'Base de Grupos'!$A:$A,'Base de Grupos'!$J:$J)</f>
        <v>1000105898</v>
      </c>
      <c r="I385" s="2" t="str">
        <f>_xlfn.XLOOKUP($N385,'Base de Grupos'!$A:$A,'Base de Grupos'!$K:$K)</f>
        <v>REGIONAL VENDA DIRETA SP</v>
      </c>
      <c r="J385" s="2" t="str">
        <f>_xlfn.XLOOKUP($N385,'Base de Grupos'!$A:$A,'Base de Grupos'!$L:$L)</f>
        <v>1000150135</v>
      </c>
      <c r="K385" s="5" t="str">
        <f>_xlfn.XLOOKUP($N385,'Base de Grupos'!$A:$A,'Base de Grupos'!$M:$M)</f>
        <v>HELDER DA SILVA BRUNKOW</v>
      </c>
      <c r="L385" s="5" t="str">
        <f t="shared" si="405"/>
        <v/>
      </c>
      <c r="M385" s="5" t="str">
        <f>_xlfn.XLOOKUP($N385,'Base de Grupos'!$A:$A,'Base de Grupos'!$C:$C)</f>
        <v>SP</v>
      </c>
      <c r="N385" s="3">
        <v>1360</v>
      </c>
      <c r="O385" s="4" t="s">
        <v>245</v>
      </c>
      <c r="P385" s="5" t="s">
        <v>83</v>
      </c>
      <c r="Q385" s="56">
        <v>0</v>
      </c>
      <c r="R385" s="56">
        <v>0</v>
      </c>
      <c r="S385" s="56">
        <v>0</v>
      </c>
      <c r="T385" s="56">
        <f>_xlfn.XLOOKUP($N385,'Calculo Leads'!$A$97:$A$134,'Calculo Leads'!G$97:G$134)*_xlfn.XLOOKUP($P385,'Base Grupo de Produtos'!$E$2:$E$18,'Base Grupo de Produtos'!$F$2:$F$18)</f>
        <v>900</v>
      </c>
      <c r="U385" s="56">
        <f>_xlfn.XLOOKUP($N385,'Calculo Leads'!$A$97:$A$134,'Calculo Leads'!H$97:H$134)*_xlfn.XLOOKUP($P385,'Base Grupo de Produtos'!$E$2:$E$18,'Base Grupo de Produtos'!$F$2:$F$18)</f>
        <v>1100</v>
      </c>
      <c r="V385" s="56">
        <f>_xlfn.XLOOKUP($N385,'Calculo Leads'!$A$97:$A$134,'Calculo Leads'!I$97:I$134)*_xlfn.XLOOKUP($P385,'Base Grupo de Produtos'!$E$2:$E$18,'Base Grupo de Produtos'!$F$2:$F$18)</f>
        <v>1400</v>
      </c>
      <c r="W385" s="56">
        <f>_xlfn.XLOOKUP($N385,'Calculo Leads'!$A$97:$A$134,'Calculo Leads'!J$97:J$134)*_xlfn.XLOOKUP($P385,'Base Grupo de Produtos'!$E$2:$E$18,'Base Grupo de Produtos'!$F$2:$F$18)</f>
        <v>1700</v>
      </c>
      <c r="X385" s="56">
        <f>_xlfn.XLOOKUP($N385,'Calculo Leads'!$A$97:$A$134,'Calculo Leads'!K$97:K$134)*_xlfn.XLOOKUP($P385,'Base Grupo de Produtos'!$E$2:$E$18,'Base Grupo de Produtos'!$F$2:$F$18)</f>
        <v>2090</v>
      </c>
      <c r="Y385" s="56">
        <f>_xlfn.XLOOKUP($N385,'Calculo Leads'!$A$97:$A$134,'Calculo Leads'!L$97:L$134)*_xlfn.XLOOKUP($P385,'Base Grupo de Produtos'!$E$2:$E$18,'Base Grupo de Produtos'!$F$2:$F$18)</f>
        <v>2640</v>
      </c>
      <c r="Z385" s="56">
        <f>_xlfn.XLOOKUP($N385,'Calculo Leads'!$A$97:$A$134,'Calculo Leads'!M$97:M$134)*_xlfn.XLOOKUP($P385,'Base Grupo de Produtos'!$E$2:$E$18,'Base Grupo de Produtos'!$F$2:$F$18)</f>
        <v>2860</v>
      </c>
      <c r="AA385" s="56">
        <f>_xlfn.XLOOKUP($N385,'Calculo Leads'!$A$97:$A$134,'Calculo Leads'!N$97:N$134)*_xlfn.XLOOKUP($P385,'Base Grupo de Produtos'!$E$2:$E$18,'Base Grupo de Produtos'!$F$2:$F$18)</f>
        <v>3190</v>
      </c>
      <c r="AB385" s="56">
        <f>_xlfn.XLOOKUP($N385,'Calculo Leads'!$A$97:$A$134,'Calculo Leads'!O$97:O$134)*_xlfn.XLOOKUP($P385,'Base Grupo de Produtos'!$E$2:$E$18,'Base Grupo de Produtos'!$F$2:$F$18)</f>
        <v>2200</v>
      </c>
      <c r="AC385" s="61">
        <f t="shared" si="348"/>
        <v>18080</v>
      </c>
      <c r="AD385" s="27">
        <f t="shared" si="422"/>
        <v>18080</v>
      </c>
      <c r="AE385" s="25">
        <f>IFERROR(_xlfn.XLOOKUP(N385&amp;P385,'Historico Vendas'!G:G,'Historico Vendas'!E:E),0)</f>
        <v>0</v>
      </c>
      <c r="AF385" s="29" t="str">
        <f t="shared" si="403"/>
        <v/>
      </c>
      <c r="AG385" s="24">
        <f>IFERROR(_xlfn.XLOOKUP(N385&amp;P385,'Historico Vendas'!G:G,'Historico Vendas'!F:F),0)</f>
        <v>0</v>
      </c>
      <c r="AH385" s="25">
        <f t="shared" si="423"/>
        <v>0</v>
      </c>
      <c r="AI385" s="24">
        <f t="shared" si="424"/>
        <v>0</v>
      </c>
      <c r="AJ385" s="11" t="str">
        <f t="shared" si="406"/>
        <v/>
      </c>
      <c r="AK385" s="9" t="s">
        <v>102</v>
      </c>
      <c r="AL385" s="13">
        <f>IFERROR(INDEX('Balizador da Meta'!$D$3:$F$23,MATCH(Faturamento!$P385,'Balizador da Meta'!$C$3:$C$23,0),MATCH(Faturamento!AK385,'Balizador da Meta'!$D$2:$F$2,0)),"")</f>
        <v>0</v>
      </c>
      <c r="AM385" s="9"/>
    </row>
    <row r="386" spans="1:39" x14ac:dyDescent="0.3">
      <c r="A386" s="2" t="str">
        <f t="shared" si="404"/>
        <v>NÃO</v>
      </c>
      <c r="B386" s="2" t="str">
        <f>_xlfn.XLOOKUP($N386,'Base de Grupos'!$A:$A,'Base de Grupos'!$D:$D)</f>
        <v>1000065763</v>
      </c>
      <c r="C386" s="5" t="str">
        <f>_xlfn.XLOOKUP($N386,'Base de Grupos'!$A:$A,'Base de Grupos'!$E:$E)</f>
        <v>CANAL VENDA INTERNA</v>
      </c>
      <c r="D386" s="5" t="str">
        <f>_xlfn.XLOOKUP($N386,'Base de Grupos'!$A:$A,'Base de Grupos'!$F:$F)</f>
        <v>1000065763</v>
      </c>
      <c r="E386" s="2" t="str">
        <f>_xlfn.XLOOKUP($N386,'Base de Grupos'!$A:$A,'Base de Grupos'!$G:$G)</f>
        <v>CANAL VENDA INTERNA</v>
      </c>
      <c r="F386" s="2" t="str">
        <f>_xlfn.XLOOKUP($N386,'Base de Grupos'!$A:$A,'Base de Grupos'!$H:$H)</f>
        <v>1000105898</v>
      </c>
      <c r="G386" s="5" t="str">
        <f>_xlfn.XLOOKUP($N386,'Base de Grupos'!$A:$A,'Base de Grupos'!$I:$I)</f>
        <v>REGIONAL VENDA DIRETA SP</v>
      </c>
      <c r="H386" s="5" t="str">
        <f>_xlfn.XLOOKUP($N386,'Base de Grupos'!$A:$A,'Base de Grupos'!$J:$J)</f>
        <v>1000105898</v>
      </c>
      <c r="I386" s="2" t="str">
        <f>_xlfn.XLOOKUP($N386,'Base de Grupos'!$A:$A,'Base de Grupos'!$K:$K)</f>
        <v>REGIONAL VENDA DIRETA SP</v>
      </c>
      <c r="J386" s="2" t="str">
        <f>_xlfn.XLOOKUP($N386,'Base de Grupos'!$A:$A,'Base de Grupos'!$L:$L)</f>
        <v>1000150135</v>
      </c>
      <c r="K386" s="5" t="str">
        <f>_xlfn.XLOOKUP($N386,'Base de Grupos'!$A:$A,'Base de Grupos'!$M:$M)</f>
        <v>HELDER DA SILVA BRUNKOW</v>
      </c>
      <c r="L386" s="5" t="str">
        <f t="shared" si="405"/>
        <v/>
      </c>
      <c r="M386" s="5" t="str">
        <f>_xlfn.XLOOKUP($N386,'Base de Grupos'!$A:$A,'Base de Grupos'!$C:$C)</f>
        <v>SP</v>
      </c>
      <c r="N386" s="3">
        <v>1360</v>
      </c>
      <c r="O386" s="4" t="s">
        <v>245</v>
      </c>
      <c r="P386" s="5" t="s">
        <v>87</v>
      </c>
      <c r="Q386" s="56">
        <v>0</v>
      </c>
      <c r="R386" s="56">
        <v>0</v>
      </c>
      <c r="S386" s="56">
        <v>0</v>
      </c>
      <c r="T386" s="56">
        <f>_xlfn.XLOOKUP($N386,'Calculo Leads'!$A$97:$A$134,'Calculo Leads'!G$97:G$134)*_xlfn.XLOOKUP($P386,'Base Grupo de Produtos'!$E$2:$E$18,'Base Grupo de Produtos'!$F$2:$F$18)</f>
        <v>179.99999999999997</v>
      </c>
      <c r="U386" s="56">
        <f>_xlfn.XLOOKUP($N386,'Calculo Leads'!$A$97:$A$134,'Calculo Leads'!H$97:H$134)*_xlfn.XLOOKUP($P386,'Base Grupo de Produtos'!$E$2:$E$18,'Base Grupo de Produtos'!$F$2:$F$18)</f>
        <v>219.99999999999997</v>
      </c>
      <c r="V386" s="56">
        <f>_xlfn.XLOOKUP($N386,'Calculo Leads'!$A$97:$A$134,'Calculo Leads'!I$97:I$134)*_xlfn.XLOOKUP($P386,'Base Grupo de Produtos'!$E$2:$E$18,'Base Grupo de Produtos'!$F$2:$F$18)</f>
        <v>279.99999999999994</v>
      </c>
      <c r="W386" s="56">
        <f>_xlfn.XLOOKUP($N386,'Calculo Leads'!$A$97:$A$134,'Calculo Leads'!J$97:J$134)*_xlfn.XLOOKUP($P386,'Base Grupo de Produtos'!$E$2:$E$18,'Base Grupo de Produtos'!$F$2:$F$18)</f>
        <v>339.99999999999994</v>
      </c>
      <c r="X386" s="56">
        <f>_xlfn.XLOOKUP($N386,'Calculo Leads'!$A$97:$A$134,'Calculo Leads'!K$97:K$134)*_xlfn.XLOOKUP($P386,'Base Grupo de Produtos'!$E$2:$E$18,'Base Grupo de Produtos'!$F$2:$F$18)</f>
        <v>417.99999999999994</v>
      </c>
      <c r="Y386" s="56">
        <f>_xlfn.XLOOKUP($N386,'Calculo Leads'!$A$97:$A$134,'Calculo Leads'!L$97:L$134)*_xlfn.XLOOKUP($P386,'Base Grupo de Produtos'!$E$2:$E$18,'Base Grupo de Produtos'!$F$2:$F$18)</f>
        <v>527.99999999999989</v>
      </c>
      <c r="Z386" s="56">
        <f>_xlfn.XLOOKUP($N386,'Calculo Leads'!$A$97:$A$134,'Calculo Leads'!M$97:M$134)*_xlfn.XLOOKUP($P386,'Base Grupo de Produtos'!$E$2:$E$18,'Base Grupo de Produtos'!$F$2:$F$18)</f>
        <v>571.99999999999989</v>
      </c>
      <c r="AA386" s="56">
        <f>_xlfn.XLOOKUP($N386,'Calculo Leads'!$A$97:$A$134,'Calculo Leads'!N$97:N$134)*_xlfn.XLOOKUP($P386,'Base Grupo de Produtos'!$E$2:$E$18,'Base Grupo de Produtos'!$F$2:$F$18)</f>
        <v>637.99999999999989</v>
      </c>
      <c r="AB386" s="56">
        <f>_xlfn.XLOOKUP($N386,'Calculo Leads'!$A$97:$A$134,'Calculo Leads'!O$97:O$134)*_xlfn.XLOOKUP($P386,'Base Grupo de Produtos'!$E$2:$E$18,'Base Grupo de Produtos'!$F$2:$F$18)</f>
        <v>439.99999999999994</v>
      </c>
      <c r="AC386" s="61">
        <f t="shared" si="348"/>
        <v>3615.9999999999995</v>
      </c>
      <c r="AD386" s="27">
        <f t="shared" si="422"/>
        <v>3615.9999999999995</v>
      </c>
      <c r="AE386" s="25">
        <f>IFERROR(_xlfn.XLOOKUP(N386&amp;P386,'Historico Vendas'!G:G,'Historico Vendas'!E:E),0)</f>
        <v>0</v>
      </c>
      <c r="AF386" s="29" t="str">
        <f t="shared" si="403"/>
        <v/>
      </c>
      <c r="AG386" s="24">
        <f>IFERROR(_xlfn.XLOOKUP(N386&amp;P386,'Historico Vendas'!G:G,'Historico Vendas'!F:F),0)</f>
        <v>0</v>
      </c>
      <c r="AH386" s="25">
        <f t="shared" si="423"/>
        <v>0</v>
      </c>
      <c r="AI386" s="24">
        <f t="shared" si="424"/>
        <v>0</v>
      </c>
      <c r="AJ386" s="11" t="str">
        <f t="shared" si="406"/>
        <v/>
      </c>
      <c r="AK386" s="9" t="s">
        <v>102</v>
      </c>
      <c r="AL386" s="13">
        <f>IFERROR(INDEX('Balizador da Meta'!$D$3:$F$23,MATCH(Faturamento!$P386,'Balizador da Meta'!$C$3:$C$23,0),MATCH(Faturamento!AK386,'Balizador da Meta'!$D$2:$F$2,0)),"")</f>
        <v>0</v>
      </c>
      <c r="AM386" s="9"/>
    </row>
    <row r="387" spans="1:39" x14ac:dyDescent="0.3">
      <c r="A387" s="2" t="str">
        <f t="shared" si="404"/>
        <v>NÃO</v>
      </c>
      <c r="B387" s="2" t="str">
        <f>_xlfn.XLOOKUP($N387,'Base de Grupos'!$A:$A,'Base de Grupos'!$D:$D)</f>
        <v>1000065763</v>
      </c>
      <c r="C387" s="5" t="str">
        <f>_xlfn.XLOOKUP($N387,'Base de Grupos'!$A:$A,'Base de Grupos'!$E:$E)</f>
        <v>CANAL VENDA INTERNA</v>
      </c>
      <c r="D387" s="5" t="str">
        <f>_xlfn.XLOOKUP($N387,'Base de Grupos'!$A:$A,'Base de Grupos'!$F:$F)</f>
        <v>1000065763</v>
      </c>
      <c r="E387" s="2" t="str">
        <f>_xlfn.XLOOKUP($N387,'Base de Grupos'!$A:$A,'Base de Grupos'!$G:$G)</f>
        <v>CANAL VENDA INTERNA</v>
      </c>
      <c r="F387" s="2" t="str">
        <f>_xlfn.XLOOKUP($N387,'Base de Grupos'!$A:$A,'Base de Grupos'!$H:$H)</f>
        <v>1000105898</v>
      </c>
      <c r="G387" s="5" t="str">
        <f>_xlfn.XLOOKUP($N387,'Base de Grupos'!$A:$A,'Base de Grupos'!$I:$I)</f>
        <v>REGIONAL VENDA DIRETA SP</v>
      </c>
      <c r="H387" s="5" t="str">
        <f>_xlfn.XLOOKUP($N387,'Base de Grupos'!$A:$A,'Base de Grupos'!$J:$J)</f>
        <v>1000105898</v>
      </c>
      <c r="I387" s="2" t="str">
        <f>_xlfn.XLOOKUP($N387,'Base de Grupos'!$A:$A,'Base de Grupos'!$K:$K)</f>
        <v>REGIONAL VENDA DIRETA SP</v>
      </c>
      <c r="J387" s="2" t="str">
        <f>_xlfn.XLOOKUP($N387,'Base de Grupos'!$A:$A,'Base de Grupos'!$L:$L)</f>
        <v>1000150135</v>
      </c>
      <c r="K387" s="5" t="str">
        <f>_xlfn.XLOOKUP($N387,'Base de Grupos'!$A:$A,'Base de Grupos'!$M:$M)</f>
        <v>HELDER DA SILVA BRUNKOW</v>
      </c>
      <c r="L387" s="5" t="str">
        <f t="shared" si="405"/>
        <v/>
      </c>
      <c r="M387" s="5" t="str">
        <f>_xlfn.XLOOKUP($N387,'Base de Grupos'!$A:$A,'Base de Grupos'!$C:$C)</f>
        <v>SP</v>
      </c>
      <c r="N387" s="3">
        <v>1360</v>
      </c>
      <c r="O387" s="4" t="s">
        <v>245</v>
      </c>
      <c r="P387" s="5" t="s">
        <v>85</v>
      </c>
      <c r="Q387" s="56">
        <v>0</v>
      </c>
      <c r="R387" s="56">
        <v>0</v>
      </c>
      <c r="S387" s="56">
        <v>0</v>
      </c>
      <c r="T387" s="56">
        <f>_xlfn.XLOOKUP($N387,'Calculo Leads'!$A$97:$A$134,'Calculo Leads'!G$97:G$134)*_xlfn.XLOOKUP($P387,'Base Grupo de Produtos'!$E$2:$E$18,'Base Grupo de Produtos'!$F$2:$F$18)</f>
        <v>180</v>
      </c>
      <c r="U387" s="56">
        <f>_xlfn.XLOOKUP($N387,'Calculo Leads'!$A$97:$A$134,'Calculo Leads'!H$97:H$134)*_xlfn.XLOOKUP($P387,'Base Grupo de Produtos'!$E$2:$E$18,'Base Grupo de Produtos'!$F$2:$F$18)</f>
        <v>220</v>
      </c>
      <c r="V387" s="56">
        <f>_xlfn.XLOOKUP($N387,'Calculo Leads'!$A$97:$A$134,'Calculo Leads'!I$97:I$134)*_xlfn.XLOOKUP($P387,'Base Grupo de Produtos'!$E$2:$E$18,'Base Grupo de Produtos'!$F$2:$F$18)</f>
        <v>280</v>
      </c>
      <c r="W387" s="56">
        <f>_xlfn.XLOOKUP($N387,'Calculo Leads'!$A$97:$A$134,'Calculo Leads'!J$97:J$134)*_xlfn.XLOOKUP($P387,'Base Grupo de Produtos'!$E$2:$E$18,'Base Grupo de Produtos'!$F$2:$F$18)</f>
        <v>340</v>
      </c>
      <c r="X387" s="56">
        <f>_xlfn.XLOOKUP($N387,'Calculo Leads'!$A$97:$A$134,'Calculo Leads'!K$97:K$134)*_xlfn.XLOOKUP($P387,'Base Grupo de Produtos'!$E$2:$E$18,'Base Grupo de Produtos'!$F$2:$F$18)</f>
        <v>418</v>
      </c>
      <c r="Y387" s="56">
        <f>_xlfn.XLOOKUP($N387,'Calculo Leads'!$A$97:$A$134,'Calculo Leads'!L$97:L$134)*_xlfn.XLOOKUP($P387,'Base Grupo de Produtos'!$E$2:$E$18,'Base Grupo de Produtos'!$F$2:$F$18)</f>
        <v>528</v>
      </c>
      <c r="Z387" s="56">
        <f>_xlfn.XLOOKUP($N387,'Calculo Leads'!$A$97:$A$134,'Calculo Leads'!M$97:M$134)*_xlfn.XLOOKUP($P387,'Base Grupo de Produtos'!$E$2:$E$18,'Base Grupo de Produtos'!$F$2:$F$18)</f>
        <v>572</v>
      </c>
      <c r="AA387" s="56">
        <f>_xlfn.XLOOKUP($N387,'Calculo Leads'!$A$97:$A$134,'Calculo Leads'!N$97:N$134)*_xlfn.XLOOKUP($P387,'Base Grupo de Produtos'!$E$2:$E$18,'Base Grupo de Produtos'!$F$2:$F$18)</f>
        <v>638</v>
      </c>
      <c r="AB387" s="56">
        <f>_xlfn.XLOOKUP($N387,'Calculo Leads'!$A$97:$A$134,'Calculo Leads'!O$97:O$134)*_xlfn.XLOOKUP($P387,'Base Grupo de Produtos'!$E$2:$E$18,'Base Grupo de Produtos'!$F$2:$F$18)</f>
        <v>440</v>
      </c>
      <c r="AC387" s="61">
        <f t="shared" si="348"/>
        <v>3616</v>
      </c>
      <c r="AD387" s="27">
        <f t="shared" si="422"/>
        <v>3616</v>
      </c>
      <c r="AE387" s="25">
        <f>IFERROR(_xlfn.XLOOKUP(N387&amp;P387,'Historico Vendas'!G:G,'Historico Vendas'!E:E),0)</f>
        <v>0</v>
      </c>
      <c r="AF387" s="29" t="str">
        <f t="shared" si="403"/>
        <v/>
      </c>
      <c r="AG387" s="24">
        <f>IFERROR(_xlfn.XLOOKUP(N387&amp;P387,'Historico Vendas'!G:G,'Historico Vendas'!F:F),0)</f>
        <v>0</v>
      </c>
      <c r="AH387" s="25">
        <f t="shared" si="423"/>
        <v>0</v>
      </c>
      <c r="AI387" s="24">
        <f t="shared" si="424"/>
        <v>0</v>
      </c>
      <c r="AJ387" s="11" t="str">
        <f t="shared" si="406"/>
        <v/>
      </c>
      <c r="AK387" s="9" t="s">
        <v>102</v>
      </c>
      <c r="AL387" s="13">
        <f>IFERROR(INDEX('Balizador da Meta'!$D$3:$F$23,MATCH(Faturamento!$P387,'Balizador da Meta'!$C$3:$C$23,0),MATCH(Faturamento!AK387,'Balizador da Meta'!$D$2:$F$2,0)),"")</f>
        <v>0</v>
      </c>
      <c r="AM387" s="9"/>
    </row>
    <row r="388" spans="1:39" x14ac:dyDescent="0.3">
      <c r="A388" s="2" t="str">
        <f t="shared" si="404"/>
        <v>NÃO</v>
      </c>
      <c r="B388" s="2" t="str">
        <f>_xlfn.XLOOKUP($N388,'Base de Grupos'!$A:$A,'Base de Grupos'!$D:$D)</f>
        <v>1000065763</v>
      </c>
      <c r="C388" s="5" t="str">
        <f>_xlfn.XLOOKUP($N388,'Base de Grupos'!$A:$A,'Base de Grupos'!$E:$E)</f>
        <v>CANAL VENDA INTERNA</v>
      </c>
      <c r="D388" s="5" t="str">
        <f>_xlfn.XLOOKUP($N388,'Base de Grupos'!$A:$A,'Base de Grupos'!$F:$F)</f>
        <v>1000065763</v>
      </c>
      <c r="E388" s="2" t="str">
        <f>_xlfn.XLOOKUP($N388,'Base de Grupos'!$A:$A,'Base de Grupos'!$G:$G)</f>
        <v>CANAL VENDA INTERNA</v>
      </c>
      <c r="F388" s="2" t="str">
        <f>_xlfn.XLOOKUP($N388,'Base de Grupos'!$A:$A,'Base de Grupos'!$H:$H)</f>
        <v>1000105898</v>
      </c>
      <c r="G388" s="5" t="str">
        <f>_xlfn.XLOOKUP($N388,'Base de Grupos'!$A:$A,'Base de Grupos'!$I:$I)</f>
        <v>REGIONAL VENDA DIRETA SP</v>
      </c>
      <c r="H388" s="5" t="str">
        <f>_xlfn.XLOOKUP($N388,'Base de Grupos'!$A:$A,'Base de Grupos'!$J:$J)</f>
        <v>1000105898</v>
      </c>
      <c r="I388" s="2" t="str">
        <f>_xlfn.XLOOKUP($N388,'Base de Grupos'!$A:$A,'Base de Grupos'!$K:$K)</f>
        <v>REGIONAL VENDA DIRETA SP</v>
      </c>
      <c r="J388" s="2" t="str">
        <f>_xlfn.XLOOKUP($N388,'Base de Grupos'!$A:$A,'Base de Grupos'!$L:$L)</f>
        <v>1000150135</v>
      </c>
      <c r="K388" s="5" t="str">
        <f>_xlfn.XLOOKUP($N388,'Base de Grupos'!$A:$A,'Base de Grupos'!$M:$M)</f>
        <v>HELDER DA SILVA BRUNKOW</v>
      </c>
      <c r="L388" s="5" t="str">
        <f t="shared" si="405"/>
        <v/>
      </c>
      <c r="M388" s="5" t="str">
        <f>_xlfn.XLOOKUP($N388,'Base de Grupos'!$A:$A,'Base de Grupos'!$C:$C)</f>
        <v>SP</v>
      </c>
      <c r="N388" s="3">
        <v>1360</v>
      </c>
      <c r="O388" s="4" t="s">
        <v>245</v>
      </c>
      <c r="P388" s="5" t="s">
        <v>92</v>
      </c>
      <c r="Q388" s="56">
        <v>0</v>
      </c>
      <c r="R388" s="56">
        <v>0</v>
      </c>
      <c r="S388" s="56">
        <v>0</v>
      </c>
      <c r="T388" s="56">
        <f>_xlfn.XLOOKUP($N388,'Calculo Leads'!$A$97:$A$134,'Calculo Leads'!G$97:G$134)*_xlfn.XLOOKUP($P388,'Base Grupo de Produtos'!$E$2:$E$18,'Base Grupo de Produtos'!$F$2:$F$18)</f>
        <v>180</v>
      </c>
      <c r="U388" s="56">
        <f>_xlfn.XLOOKUP($N388,'Calculo Leads'!$A$97:$A$134,'Calculo Leads'!H$97:H$134)*_xlfn.XLOOKUP($P388,'Base Grupo de Produtos'!$E$2:$E$18,'Base Grupo de Produtos'!$F$2:$F$18)</f>
        <v>220</v>
      </c>
      <c r="V388" s="56">
        <f>_xlfn.XLOOKUP($N388,'Calculo Leads'!$A$97:$A$134,'Calculo Leads'!I$97:I$134)*_xlfn.XLOOKUP($P388,'Base Grupo de Produtos'!$E$2:$E$18,'Base Grupo de Produtos'!$F$2:$F$18)</f>
        <v>280</v>
      </c>
      <c r="W388" s="56">
        <f>_xlfn.XLOOKUP($N388,'Calculo Leads'!$A$97:$A$134,'Calculo Leads'!J$97:J$134)*_xlfn.XLOOKUP($P388,'Base Grupo de Produtos'!$E$2:$E$18,'Base Grupo de Produtos'!$F$2:$F$18)</f>
        <v>340</v>
      </c>
      <c r="X388" s="56">
        <f>_xlfn.XLOOKUP($N388,'Calculo Leads'!$A$97:$A$134,'Calculo Leads'!K$97:K$134)*_xlfn.XLOOKUP($P388,'Base Grupo de Produtos'!$E$2:$E$18,'Base Grupo de Produtos'!$F$2:$F$18)</f>
        <v>418</v>
      </c>
      <c r="Y388" s="56">
        <f>_xlfn.XLOOKUP($N388,'Calculo Leads'!$A$97:$A$134,'Calculo Leads'!L$97:L$134)*_xlfn.XLOOKUP($P388,'Base Grupo de Produtos'!$E$2:$E$18,'Base Grupo de Produtos'!$F$2:$F$18)</f>
        <v>528</v>
      </c>
      <c r="Z388" s="56">
        <f>_xlfn.XLOOKUP($N388,'Calculo Leads'!$A$97:$A$134,'Calculo Leads'!M$97:M$134)*_xlfn.XLOOKUP($P388,'Base Grupo de Produtos'!$E$2:$E$18,'Base Grupo de Produtos'!$F$2:$F$18)</f>
        <v>572</v>
      </c>
      <c r="AA388" s="56">
        <f>_xlfn.XLOOKUP($N388,'Calculo Leads'!$A$97:$A$134,'Calculo Leads'!N$97:N$134)*_xlfn.XLOOKUP($P388,'Base Grupo de Produtos'!$E$2:$E$18,'Base Grupo de Produtos'!$F$2:$F$18)</f>
        <v>638</v>
      </c>
      <c r="AB388" s="56">
        <f>_xlfn.XLOOKUP($N388,'Calculo Leads'!$A$97:$A$134,'Calculo Leads'!O$97:O$134)*_xlfn.XLOOKUP($P388,'Base Grupo de Produtos'!$E$2:$E$18,'Base Grupo de Produtos'!$F$2:$F$18)</f>
        <v>440</v>
      </c>
      <c r="AC388" s="61">
        <f t="shared" si="348"/>
        <v>3616</v>
      </c>
      <c r="AD388" s="27">
        <f t="shared" si="422"/>
        <v>3616</v>
      </c>
      <c r="AE388" s="25">
        <f>IFERROR(_xlfn.XLOOKUP(N388&amp;P388,'Historico Vendas'!G:G,'Historico Vendas'!E:E),0)</f>
        <v>0</v>
      </c>
      <c r="AF388" s="29" t="str">
        <f t="shared" si="403"/>
        <v/>
      </c>
      <c r="AG388" s="24">
        <f>IFERROR(_xlfn.XLOOKUP(N388&amp;P388,'Historico Vendas'!G:G,'Historico Vendas'!F:F),0)</f>
        <v>0</v>
      </c>
      <c r="AH388" s="25">
        <f t="shared" si="423"/>
        <v>0</v>
      </c>
      <c r="AI388" s="24">
        <f t="shared" si="424"/>
        <v>0</v>
      </c>
      <c r="AJ388" s="11" t="str">
        <f t="shared" si="406"/>
        <v/>
      </c>
      <c r="AK388" s="9" t="s">
        <v>102</v>
      </c>
      <c r="AL388" s="13">
        <f>IFERROR(INDEX('Balizador da Meta'!$D$3:$F$23,MATCH(Faturamento!$P388,'Balizador da Meta'!$C$3:$C$23,0),MATCH(Faturamento!AK388,'Balizador da Meta'!$D$2:$F$2,0)),"")</f>
        <v>0</v>
      </c>
      <c r="AM388" s="9"/>
    </row>
    <row r="389" spans="1:39" x14ac:dyDescent="0.3">
      <c r="A389" s="2" t="str">
        <f t="shared" si="404"/>
        <v>NÃO</v>
      </c>
      <c r="B389" s="2" t="str">
        <f>_xlfn.XLOOKUP($N389,'Base de Grupos'!$A:$A,'Base de Grupos'!$D:$D)</f>
        <v>1000065763</v>
      </c>
      <c r="C389" s="5" t="str">
        <f>_xlfn.XLOOKUP($N389,'Base de Grupos'!$A:$A,'Base de Grupos'!$E:$E)</f>
        <v>CANAL VENDA INTERNA</v>
      </c>
      <c r="D389" s="5" t="str">
        <f>_xlfn.XLOOKUP($N389,'Base de Grupos'!$A:$A,'Base de Grupos'!$F:$F)</f>
        <v>1000065763</v>
      </c>
      <c r="E389" s="2" t="str">
        <f>_xlfn.XLOOKUP($N389,'Base de Grupos'!$A:$A,'Base de Grupos'!$G:$G)</f>
        <v>CANAL VENDA INTERNA</v>
      </c>
      <c r="F389" s="2" t="str">
        <f>_xlfn.XLOOKUP($N389,'Base de Grupos'!$A:$A,'Base de Grupos'!$H:$H)</f>
        <v>1000105898</v>
      </c>
      <c r="G389" s="5" t="str">
        <f>_xlfn.XLOOKUP($N389,'Base de Grupos'!$A:$A,'Base de Grupos'!$I:$I)</f>
        <v>REGIONAL VENDA DIRETA SP</v>
      </c>
      <c r="H389" s="5" t="str">
        <f>_xlfn.XLOOKUP($N389,'Base de Grupos'!$A:$A,'Base de Grupos'!$J:$J)</f>
        <v>1000105898</v>
      </c>
      <c r="I389" s="2" t="str">
        <f>_xlfn.XLOOKUP($N389,'Base de Grupos'!$A:$A,'Base de Grupos'!$K:$K)</f>
        <v>REGIONAL VENDA DIRETA SP</v>
      </c>
      <c r="J389" s="2" t="str">
        <f>_xlfn.XLOOKUP($N389,'Base de Grupos'!$A:$A,'Base de Grupos'!$L:$L)</f>
        <v>1000150135</v>
      </c>
      <c r="K389" s="5" t="str">
        <f>_xlfn.XLOOKUP($N389,'Base de Grupos'!$A:$A,'Base de Grupos'!$M:$M)</f>
        <v>HELDER DA SILVA BRUNKOW</v>
      </c>
      <c r="L389" s="5" t="str">
        <f t="shared" si="405"/>
        <v/>
      </c>
      <c r="M389" s="5" t="str">
        <f>_xlfn.XLOOKUP($N389,'Base de Grupos'!$A:$A,'Base de Grupos'!$C:$C)</f>
        <v>SP</v>
      </c>
      <c r="N389" s="3">
        <v>1360</v>
      </c>
      <c r="O389" s="4" t="s">
        <v>245</v>
      </c>
      <c r="P389" s="5" t="s">
        <v>86</v>
      </c>
      <c r="Q389" s="56">
        <v>0</v>
      </c>
      <c r="R389" s="56">
        <v>0</v>
      </c>
      <c r="S389" s="56">
        <v>0</v>
      </c>
      <c r="T389" s="56">
        <f>_xlfn.XLOOKUP($N389,'Calculo Leads'!$A$97:$A$134,'Calculo Leads'!G$97:G$134)*_xlfn.XLOOKUP($P389,'Base Grupo de Produtos'!$E$2:$E$18,'Base Grupo de Produtos'!$F$2:$F$18)</f>
        <v>270</v>
      </c>
      <c r="U389" s="56">
        <f>_xlfn.XLOOKUP($N389,'Calculo Leads'!$A$97:$A$134,'Calculo Leads'!H$97:H$134)*_xlfn.XLOOKUP($P389,'Base Grupo de Produtos'!$E$2:$E$18,'Base Grupo de Produtos'!$F$2:$F$18)</f>
        <v>330</v>
      </c>
      <c r="V389" s="56">
        <f>_xlfn.XLOOKUP($N389,'Calculo Leads'!$A$97:$A$134,'Calculo Leads'!I$97:I$134)*_xlfn.XLOOKUP($P389,'Base Grupo de Produtos'!$E$2:$E$18,'Base Grupo de Produtos'!$F$2:$F$18)</f>
        <v>420</v>
      </c>
      <c r="W389" s="56">
        <f>_xlfn.XLOOKUP($N389,'Calculo Leads'!$A$97:$A$134,'Calculo Leads'!J$97:J$134)*_xlfn.XLOOKUP($P389,'Base Grupo de Produtos'!$E$2:$E$18,'Base Grupo de Produtos'!$F$2:$F$18)</f>
        <v>510</v>
      </c>
      <c r="X389" s="56">
        <f>_xlfn.XLOOKUP($N389,'Calculo Leads'!$A$97:$A$134,'Calculo Leads'!K$97:K$134)*_xlfn.XLOOKUP($P389,'Base Grupo de Produtos'!$E$2:$E$18,'Base Grupo de Produtos'!$F$2:$F$18)</f>
        <v>627</v>
      </c>
      <c r="Y389" s="56">
        <f>_xlfn.XLOOKUP($N389,'Calculo Leads'!$A$97:$A$134,'Calculo Leads'!L$97:L$134)*_xlfn.XLOOKUP($P389,'Base Grupo de Produtos'!$E$2:$E$18,'Base Grupo de Produtos'!$F$2:$F$18)</f>
        <v>792</v>
      </c>
      <c r="Z389" s="56">
        <f>_xlfn.XLOOKUP($N389,'Calculo Leads'!$A$97:$A$134,'Calculo Leads'!M$97:M$134)*_xlfn.XLOOKUP($P389,'Base Grupo de Produtos'!$E$2:$E$18,'Base Grupo de Produtos'!$F$2:$F$18)</f>
        <v>858</v>
      </c>
      <c r="AA389" s="56">
        <f>_xlfn.XLOOKUP($N389,'Calculo Leads'!$A$97:$A$134,'Calculo Leads'!N$97:N$134)*_xlfn.XLOOKUP($P389,'Base Grupo de Produtos'!$E$2:$E$18,'Base Grupo de Produtos'!$F$2:$F$18)</f>
        <v>957</v>
      </c>
      <c r="AB389" s="56">
        <f>_xlfn.XLOOKUP($N389,'Calculo Leads'!$A$97:$A$134,'Calculo Leads'!O$97:O$134)*_xlfn.XLOOKUP($P389,'Base Grupo de Produtos'!$E$2:$E$18,'Base Grupo de Produtos'!$F$2:$F$18)</f>
        <v>660</v>
      </c>
      <c r="AC389" s="61">
        <f t="shared" ref="AC389:AC452" si="425">SUM(T389:AB389)</f>
        <v>5424</v>
      </c>
      <c r="AD389" s="27">
        <f t="shared" si="422"/>
        <v>5424</v>
      </c>
      <c r="AE389" s="25">
        <f>IFERROR(_xlfn.XLOOKUP(N389&amp;P389,'Historico Vendas'!G:G,'Historico Vendas'!E:E),0)</f>
        <v>0</v>
      </c>
      <c r="AF389" s="29" t="str">
        <f t="shared" si="403"/>
        <v/>
      </c>
      <c r="AG389" s="24">
        <f>IFERROR(_xlfn.XLOOKUP(N389&amp;P389,'Historico Vendas'!G:G,'Historico Vendas'!F:F),0)</f>
        <v>0</v>
      </c>
      <c r="AH389" s="25">
        <f t="shared" si="423"/>
        <v>0</v>
      </c>
      <c r="AI389" s="24">
        <f t="shared" si="424"/>
        <v>0</v>
      </c>
      <c r="AJ389" s="11" t="str">
        <f t="shared" si="406"/>
        <v/>
      </c>
      <c r="AK389" s="9" t="s">
        <v>102</v>
      </c>
      <c r="AL389" s="13">
        <f>IFERROR(INDEX('Balizador da Meta'!$D$3:$F$23,MATCH(Faturamento!$P389,'Balizador da Meta'!$C$3:$C$23,0),MATCH(Faturamento!AK389,'Balizador da Meta'!$D$2:$F$2,0)),"")</f>
        <v>0.15</v>
      </c>
      <c r="AM389" s="9"/>
    </row>
    <row r="390" spans="1:39" x14ac:dyDescent="0.3">
      <c r="A390" s="2" t="str">
        <f t="shared" si="404"/>
        <v>NÃO</v>
      </c>
      <c r="B390" s="2" t="str">
        <f>_xlfn.XLOOKUP($N390,'Base de Grupos'!$A:$A,'Base de Grupos'!$D:$D)</f>
        <v>1000065763</v>
      </c>
      <c r="C390" s="5" t="str">
        <f>_xlfn.XLOOKUP($N390,'Base de Grupos'!$A:$A,'Base de Grupos'!$E:$E)</f>
        <v>CANAL VENDA INTERNA</v>
      </c>
      <c r="D390" s="5" t="str">
        <f>_xlfn.XLOOKUP($N390,'Base de Grupos'!$A:$A,'Base de Grupos'!$F:$F)</f>
        <v>1000065763</v>
      </c>
      <c r="E390" s="2" t="str">
        <f>_xlfn.XLOOKUP($N390,'Base de Grupos'!$A:$A,'Base de Grupos'!$G:$G)</f>
        <v>CANAL VENDA INTERNA</v>
      </c>
      <c r="F390" s="2" t="str">
        <f>_xlfn.XLOOKUP($N390,'Base de Grupos'!$A:$A,'Base de Grupos'!$H:$H)</f>
        <v>1000105898</v>
      </c>
      <c r="G390" s="5" t="str">
        <f>_xlfn.XLOOKUP($N390,'Base de Grupos'!$A:$A,'Base de Grupos'!$I:$I)</f>
        <v>REGIONAL VENDA DIRETA SP</v>
      </c>
      <c r="H390" s="5" t="str">
        <f>_xlfn.XLOOKUP($N390,'Base de Grupos'!$A:$A,'Base de Grupos'!$J:$J)</f>
        <v>1000105898</v>
      </c>
      <c r="I390" s="2" t="str">
        <f>_xlfn.XLOOKUP($N390,'Base de Grupos'!$A:$A,'Base de Grupos'!$K:$K)</f>
        <v>REGIONAL VENDA DIRETA SP</v>
      </c>
      <c r="J390" s="2" t="str">
        <f>_xlfn.XLOOKUP($N390,'Base de Grupos'!$A:$A,'Base de Grupos'!$L:$L)</f>
        <v>1000150135</v>
      </c>
      <c r="K390" s="5" t="str">
        <f>_xlfn.XLOOKUP($N390,'Base de Grupos'!$A:$A,'Base de Grupos'!$M:$M)</f>
        <v>HELDER DA SILVA BRUNKOW</v>
      </c>
      <c r="L390" s="5" t="str">
        <f t="shared" si="405"/>
        <v/>
      </c>
      <c r="M390" s="5" t="str">
        <f>_xlfn.XLOOKUP($N390,'Base de Grupos'!$A:$A,'Base de Grupos'!$C:$C)</f>
        <v>SP</v>
      </c>
      <c r="N390" s="3">
        <v>1360</v>
      </c>
      <c r="O390" s="4" t="s">
        <v>245</v>
      </c>
      <c r="P390" s="5" t="s">
        <v>108</v>
      </c>
      <c r="Q390" s="56">
        <v>0</v>
      </c>
      <c r="R390" s="56">
        <v>0</v>
      </c>
      <c r="S390" s="56">
        <v>0</v>
      </c>
      <c r="T390" s="56">
        <f>_xlfn.XLOOKUP($N390,'Calculo Leads'!$A$97:$A$134,'Calculo Leads'!G$97:G$134)*_xlfn.XLOOKUP($P390,'Base Grupo de Produtos'!$E$2:$E$18,'Base Grupo de Produtos'!$F$2:$F$18)</f>
        <v>2250</v>
      </c>
      <c r="U390" s="56">
        <f>_xlfn.XLOOKUP($N390,'Calculo Leads'!$A$97:$A$134,'Calculo Leads'!H$97:H$134)*_xlfn.XLOOKUP($P390,'Base Grupo de Produtos'!$E$2:$E$18,'Base Grupo de Produtos'!$F$2:$F$18)</f>
        <v>2750</v>
      </c>
      <c r="V390" s="56">
        <f>_xlfn.XLOOKUP($N390,'Calculo Leads'!$A$97:$A$134,'Calculo Leads'!I$97:I$134)*_xlfn.XLOOKUP($P390,'Base Grupo de Produtos'!$E$2:$E$18,'Base Grupo de Produtos'!$F$2:$F$18)</f>
        <v>3500</v>
      </c>
      <c r="W390" s="56">
        <f>_xlfn.XLOOKUP($N390,'Calculo Leads'!$A$97:$A$134,'Calculo Leads'!J$97:J$134)*_xlfn.XLOOKUP($P390,'Base Grupo de Produtos'!$E$2:$E$18,'Base Grupo de Produtos'!$F$2:$F$18)</f>
        <v>4250</v>
      </c>
      <c r="X390" s="56">
        <f>_xlfn.XLOOKUP($N390,'Calculo Leads'!$A$97:$A$134,'Calculo Leads'!K$97:K$134)*_xlfn.XLOOKUP($P390,'Base Grupo de Produtos'!$E$2:$E$18,'Base Grupo de Produtos'!$F$2:$F$18)</f>
        <v>5225</v>
      </c>
      <c r="Y390" s="56">
        <f>_xlfn.XLOOKUP($N390,'Calculo Leads'!$A$97:$A$134,'Calculo Leads'!L$97:L$134)*_xlfn.XLOOKUP($P390,'Base Grupo de Produtos'!$E$2:$E$18,'Base Grupo de Produtos'!$F$2:$F$18)</f>
        <v>6600</v>
      </c>
      <c r="Z390" s="56">
        <f>_xlfn.XLOOKUP($N390,'Calculo Leads'!$A$97:$A$134,'Calculo Leads'!M$97:M$134)*_xlfn.XLOOKUP($P390,'Base Grupo de Produtos'!$E$2:$E$18,'Base Grupo de Produtos'!$F$2:$F$18)</f>
        <v>7150</v>
      </c>
      <c r="AA390" s="56">
        <f>_xlfn.XLOOKUP($N390,'Calculo Leads'!$A$97:$A$134,'Calculo Leads'!N$97:N$134)*_xlfn.XLOOKUP($P390,'Base Grupo de Produtos'!$E$2:$E$18,'Base Grupo de Produtos'!$F$2:$F$18)</f>
        <v>7975</v>
      </c>
      <c r="AB390" s="56">
        <f>_xlfn.XLOOKUP($N390,'Calculo Leads'!$A$97:$A$134,'Calculo Leads'!O$97:O$134)*_xlfn.XLOOKUP($P390,'Base Grupo de Produtos'!$E$2:$E$18,'Base Grupo de Produtos'!$F$2:$F$18)</f>
        <v>5500</v>
      </c>
      <c r="AC390" s="61">
        <f t="shared" si="425"/>
        <v>45200</v>
      </c>
      <c r="AD390" s="27">
        <f t="shared" si="422"/>
        <v>45200</v>
      </c>
      <c r="AE390" s="25">
        <f>IFERROR(_xlfn.XLOOKUP(N390&amp;P390,'Historico Vendas'!G:G,'Historico Vendas'!E:E),0)</f>
        <v>0</v>
      </c>
      <c r="AF390" s="29" t="str">
        <f t="shared" si="403"/>
        <v/>
      </c>
      <c r="AG390" s="24">
        <f>IFERROR(_xlfn.XLOOKUP(N390&amp;P390,'Historico Vendas'!G:G,'Historico Vendas'!F:F),0)</f>
        <v>0</v>
      </c>
      <c r="AH390" s="25">
        <f t="shared" si="423"/>
        <v>0</v>
      </c>
      <c r="AI390" s="24">
        <f t="shared" si="424"/>
        <v>0</v>
      </c>
      <c r="AJ390" s="11" t="str">
        <f t="shared" si="406"/>
        <v/>
      </c>
      <c r="AK390" s="9" t="s">
        <v>102</v>
      </c>
      <c r="AL390" s="13">
        <f>IFERROR(INDEX('Balizador da Meta'!$D$3:$F$23,MATCH(Faturamento!$P390,'Balizador da Meta'!$C$3:$C$23,0),MATCH(Faturamento!AK390,'Balizador da Meta'!$D$2:$F$2,0)),"")</f>
        <v>0</v>
      </c>
      <c r="AM390" s="9"/>
    </row>
    <row r="391" spans="1:39" x14ac:dyDescent="0.3">
      <c r="A391" s="2" t="str">
        <f t="shared" si="404"/>
        <v>NÃO</v>
      </c>
      <c r="B391" s="2" t="str">
        <f>_xlfn.XLOOKUP($N391,'Base de Grupos'!$A:$A,'Base de Grupos'!$D:$D)</f>
        <v>1000065763</v>
      </c>
      <c r="C391" s="5" t="str">
        <f>_xlfn.XLOOKUP($N391,'Base de Grupos'!$A:$A,'Base de Grupos'!$E:$E)</f>
        <v>CANAL VENDA INTERNA</v>
      </c>
      <c r="D391" s="5" t="str">
        <f>_xlfn.XLOOKUP($N391,'Base de Grupos'!$A:$A,'Base de Grupos'!$F:$F)</f>
        <v>1000065763</v>
      </c>
      <c r="E391" s="2" t="str">
        <f>_xlfn.XLOOKUP($N391,'Base de Grupos'!$A:$A,'Base de Grupos'!$G:$G)</f>
        <v>CANAL VENDA INTERNA</v>
      </c>
      <c r="F391" s="2" t="str">
        <f>_xlfn.XLOOKUP($N391,'Base de Grupos'!$A:$A,'Base de Grupos'!$H:$H)</f>
        <v>1000105898</v>
      </c>
      <c r="G391" s="5" t="str">
        <f>_xlfn.XLOOKUP($N391,'Base de Grupos'!$A:$A,'Base de Grupos'!$I:$I)</f>
        <v>REGIONAL VENDA DIRETA SP</v>
      </c>
      <c r="H391" s="5" t="str">
        <f>_xlfn.XLOOKUP($N391,'Base de Grupos'!$A:$A,'Base de Grupos'!$J:$J)</f>
        <v>1000105898</v>
      </c>
      <c r="I391" s="2" t="str">
        <f>_xlfn.XLOOKUP($N391,'Base de Grupos'!$A:$A,'Base de Grupos'!$K:$K)</f>
        <v>REGIONAL VENDA DIRETA SP</v>
      </c>
      <c r="J391" s="2" t="str">
        <f>_xlfn.XLOOKUP($N391,'Base de Grupos'!$A:$A,'Base de Grupos'!$L:$L)</f>
        <v>1000150135</v>
      </c>
      <c r="K391" s="5" t="str">
        <f>_xlfn.XLOOKUP($N391,'Base de Grupos'!$A:$A,'Base de Grupos'!$M:$M)</f>
        <v>HELDER DA SILVA BRUNKOW</v>
      </c>
      <c r="L391" s="5" t="str">
        <f t="shared" si="405"/>
        <v/>
      </c>
      <c r="M391" s="5" t="str">
        <f>_xlfn.XLOOKUP($N391,'Base de Grupos'!$A:$A,'Base de Grupos'!$C:$C)</f>
        <v>SP</v>
      </c>
      <c r="N391" s="3">
        <v>1360</v>
      </c>
      <c r="O391" s="4" t="s">
        <v>245</v>
      </c>
      <c r="P391" s="5" t="s">
        <v>89</v>
      </c>
      <c r="Q391" s="56">
        <v>0</v>
      </c>
      <c r="R391" s="56">
        <v>0</v>
      </c>
      <c r="S391" s="56">
        <v>0</v>
      </c>
      <c r="T391" s="56">
        <f>_xlfn.XLOOKUP($N391,'Calculo Leads'!$A$97:$A$134,'Calculo Leads'!G$97:G$134)*_xlfn.XLOOKUP($P391,'Base Grupo de Produtos'!$E$2:$E$18,'Base Grupo de Produtos'!$F$2:$F$18)</f>
        <v>450</v>
      </c>
      <c r="U391" s="56">
        <f>_xlfn.XLOOKUP($N391,'Calculo Leads'!$A$97:$A$134,'Calculo Leads'!H$97:H$134)*_xlfn.XLOOKUP($P391,'Base Grupo de Produtos'!$E$2:$E$18,'Base Grupo de Produtos'!$F$2:$F$18)</f>
        <v>550</v>
      </c>
      <c r="V391" s="56">
        <f>_xlfn.XLOOKUP($N391,'Calculo Leads'!$A$97:$A$134,'Calculo Leads'!I$97:I$134)*_xlfn.XLOOKUP($P391,'Base Grupo de Produtos'!$E$2:$E$18,'Base Grupo de Produtos'!$F$2:$F$18)</f>
        <v>700</v>
      </c>
      <c r="W391" s="56">
        <f>_xlfn.XLOOKUP($N391,'Calculo Leads'!$A$97:$A$134,'Calculo Leads'!J$97:J$134)*_xlfn.XLOOKUP($P391,'Base Grupo de Produtos'!$E$2:$E$18,'Base Grupo de Produtos'!$F$2:$F$18)</f>
        <v>850</v>
      </c>
      <c r="X391" s="56">
        <f>_xlfn.XLOOKUP($N391,'Calculo Leads'!$A$97:$A$134,'Calculo Leads'!K$97:K$134)*_xlfn.XLOOKUP($P391,'Base Grupo de Produtos'!$E$2:$E$18,'Base Grupo de Produtos'!$F$2:$F$18)</f>
        <v>1045</v>
      </c>
      <c r="Y391" s="56">
        <f>_xlfn.XLOOKUP($N391,'Calculo Leads'!$A$97:$A$134,'Calculo Leads'!L$97:L$134)*_xlfn.XLOOKUP($P391,'Base Grupo de Produtos'!$E$2:$E$18,'Base Grupo de Produtos'!$F$2:$F$18)</f>
        <v>1320</v>
      </c>
      <c r="Z391" s="56">
        <f>_xlfn.XLOOKUP($N391,'Calculo Leads'!$A$97:$A$134,'Calculo Leads'!M$97:M$134)*_xlfn.XLOOKUP($P391,'Base Grupo de Produtos'!$E$2:$E$18,'Base Grupo de Produtos'!$F$2:$F$18)</f>
        <v>1430</v>
      </c>
      <c r="AA391" s="56">
        <f>_xlfn.XLOOKUP($N391,'Calculo Leads'!$A$97:$A$134,'Calculo Leads'!N$97:N$134)*_xlfn.XLOOKUP($P391,'Base Grupo de Produtos'!$E$2:$E$18,'Base Grupo de Produtos'!$F$2:$F$18)</f>
        <v>1595</v>
      </c>
      <c r="AB391" s="56">
        <f>_xlfn.XLOOKUP($N391,'Calculo Leads'!$A$97:$A$134,'Calculo Leads'!O$97:O$134)*_xlfn.XLOOKUP($P391,'Base Grupo de Produtos'!$E$2:$E$18,'Base Grupo de Produtos'!$F$2:$F$18)</f>
        <v>1100</v>
      </c>
      <c r="AC391" s="61">
        <f t="shared" si="425"/>
        <v>9040</v>
      </c>
      <c r="AD391" s="27">
        <f t="shared" si="422"/>
        <v>9040</v>
      </c>
      <c r="AE391" s="25">
        <f>IFERROR(_xlfn.XLOOKUP(N391&amp;P391,'Historico Vendas'!G:G,'Historico Vendas'!E:E),0)</f>
        <v>0</v>
      </c>
      <c r="AF391" s="29" t="str">
        <f t="shared" si="403"/>
        <v/>
      </c>
      <c r="AG391" s="24">
        <f>IFERROR(_xlfn.XLOOKUP(N391&amp;P391,'Historico Vendas'!G:G,'Historico Vendas'!F:F),0)</f>
        <v>0</v>
      </c>
      <c r="AH391" s="25">
        <f t="shared" si="423"/>
        <v>0</v>
      </c>
      <c r="AI391" s="24">
        <f t="shared" si="424"/>
        <v>0</v>
      </c>
      <c r="AJ391" s="11" t="str">
        <f t="shared" si="406"/>
        <v/>
      </c>
      <c r="AK391" s="9" t="s">
        <v>102</v>
      </c>
      <c r="AL391" s="13">
        <f>IFERROR(INDEX('Balizador da Meta'!$D$3:$F$23,MATCH(Faturamento!$P391,'Balizador da Meta'!$C$3:$C$23,0),MATCH(Faturamento!AK391,'Balizador da Meta'!$D$2:$F$2,0)),"")</f>
        <v>0.25</v>
      </c>
      <c r="AM391" s="9"/>
    </row>
    <row r="392" spans="1:39" x14ac:dyDescent="0.3">
      <c r="A392" s="2" t="str">
        <f t="shared" si="404"/>
        <v>NÃO</v>
      </c>
      <c r="B392" s="2" t="str">
        <f>_xlfn.XLOOKUP($N392,'Base de Grupos'!$A:$A,'Base de Grupos'!$D:$D)</f>
        <v>1000065763</v>
      </c>
      <c r="C392" s="5" t="str">
        <f>_xlfn.XLOOKUP($N392,'Base de Grupos'!$A:$A,'Base de Grupos'!$E:$E)</f>
        <v>CANAL VENDA INTERNA</v>
      </c>
      <c r="D392" s="5" t="str">
        <f>_xlfn.XLOOKUP($N392,'Base de Grupos'!$A:$A,'Base de Grupos'!$F:$F)</f>
        <v>1000065763</v>
      </c>
      <c r="E392" s="2" t="str">
        <f>_xlfn.XLOOKUP($N392,'Base de Grupos'!$A:$A,'Base de Grupos'!$G:$G)</f>
        <v>CANAL VENDA INTERNA</v>
      </c>
      <c r="F392" s="2" t="str">
        <f>_xlfn.XLOOKUP($N392,'Base de Grupos'!$A:$A,'Base de Grupos'!$H:$H)</f>
        <v>1000105898</v>
      </c>
      <c r="G392" s="5" t="str">
        <f>_xlfn.XLOOKUP($N392,'Base de Grupos'!$A:$A,'Base de Grupos'!$I:$I)</f>
        <v>REGIONAL VENDA DIRETA SP</v>
      </c>
      <c r="H392" s="5" t="str">
        <f>_xlfn.XLOOKUP($N392,'Base de Grupos'!$A:$A,'Base de Grupos'!$J:$J)</f>
        <v>1000105898</v>
      </c>
      <c r="I392" s="2" t="str">
        <f>_xlfn.XLOOKUP($N392,'Base de Grupos'!$A:$A,'Base de Grupos'!$K:$K)</f>
        <v>REGIONAL VENDA DIRETA SP</v>
      </c>
      <c r="J392" s="2" t="str">
        <f>_xlfn.XLOOKUP($N392,'Base de Grupos'!$A:$A,'Base de Grupos'!$L:$L)</f>
        <v>1000150135</v>
      </c>
      <c r="K392" s="5" t="str">
        <f>_xlfn.XLOOKUP($N392,'Base de Grupos'!$A:$A,'Base de Grupos'!$M:$M)</f>
        <v>HELDER DA SILVA BRUNKOW</v>
      </c>
      <c r="L392" s="5" t="str">
        <f t="shared" si="405"/>
        <v/>
      </c>
      <c r="M392" s="5" t="str">
        <f>_xlfn.XLOOKUP($N392,'Base de Grupos'!$A:$A,'Base de Grupos'!$C:$C)</f>
        <v>SP</v>
      </c>
      <c r="N392" s="3">
        <v>1360</v>
      </c>
      <c r="O392" s="4" t="s">
        <v>245</v>
      </c>
      <c r="P392" s="5" t="s">
        <v>88</v>
      </c>
      <c r="Q392" s="56">
        <v>0</v>
      </c>
      <c r="R392" s="56">
        <v>0</v>
      </c>
      <c r="S392" s="56">
        <v>0</v>
      </c>
      <c r="T392" s="56">
        <f>_xlfn.XLOOKUP($N392,'Calculo Leads'!$A$97:$A$134,'Calculo Leads'!G$97:G$134)*_xlfn.XLOOKUP($P392,'Base Grupo de Produtos'!$E$2:$E$18,'Base Grupo de Produtos'!$F$2:$F$18)</f>
        <v>450</v>
      </c>
      <c r="U392" s="56">
        <f>_xlfn.XLOOKUP($N392,'Calculo Leads'!$A$97:$A$134,'Calculo Leads'!H$97:H$134)*_xlfn.XLOOKUP($P392,'Base Grupo de Produtos'!$E$2:$E$18,'Base Grupo de Produtos'!$F$2:$F$18)</f>
        <v>550</v>
      </c>
      <c r="V392" s="56">
        <f>_xlfn.XLOOKUP($N392,'Calculo Leads'!$A$97:$A$134,'Calculo Leads'!I$97:I$134)*_xlfn.XLOOKUP($P392,'Base Grupo de Produtos'!$E$2:$E$18,'Base Grupo de Produtos'!$F$2:$F$18)</f>
        <v>700</v>
      </c>
      <c r="W392" s="56">
        <f>_xlfn.XLOOKUP($N392,'Calculo Leads'!$A$97:$A$134,'Calculo Leads'!J$97:J$134)*_xlfn.XLOOKUP($P392,'Base Grupo de Produtos'!$E$2:$E$18,'Base Grupo de Produtos'!$F$2:$F$18)</f>
        <v>850</v>
      </c>
      <c r="X392" s="56">
        <f>_xlfn.XLOOKUP($N392,'Calculo Leads'!$A$97:$A$134,'Calculo Leads'!K$97:K$134)*_xlfn.XLOOKUP($P392,'Base Grupo de Produtos'!$E$2:$E$18,'Base Grupo de Produtos'!$F$2:$F$18)</f>
        <v>1045</v>
      </c>
      <c r="Y392" s="56">
        <f>_xlfn.XLOOKUP($N392,'Calculo Leads'!$A$97:$A$134,'Calculo Leads'!L$97:L$134)*_xlfn.XLOOKUP($P392,'Base Grupo de Produtos'!$E$2:$E$18,'Base Grupo de Produtos'!$F$2:$F$18)</f>
        <v>1320</v>
      </c>
      <c r="Z392" s="56">
        <f>_xlfn.XLOOKUP($N392,'Calculo Leads'!$A$97:$A$134,'Calculo Leads'!M$97:M$134)*_xlfn.XLOOKUP($P392,'Base Grupo de Produtos'!$E$2:$E$18,'Base Grupo de Produtos'!$F$2:$F$18)</f>
        <v>1430</v>
      </c>
      <c r="AA392" s="56">
        <f>_xlfn.XLOOKUP($N392,'Calculo Leads'!$A$97:$A$134,'Calculo Leads'!N$97:N$134)*_xlfn.XLOOKUP($P392,'Base Grupo de Produtos'!$E$2:$E$18,'Base Grupo de Produtos'!$F$2:$F$18)</f>
        <v>1595</v>
      </c>
      <c r="AB392" s="56">
        <f>_xlfn.XLOOKUP($N392,'Calculo Leads'!$A$97:$A$134,'Calculo Leads'!O$97:O$134)*_xlfn.XLOOKUP($P392,'Base Grupo de Produtos'!$E$2:$E$18,'Base Grupo de Produtos'!$F$2:$F$18)</f>
        <v>1100</v>
      </c>
      <c r="AC392" s="61">
        <f t="shared" si="425"/>
        <v>9040</v>
      </c>
      <c r="AD392" s="27">
        <f t="shared" si="422"/>
        <v>9040</v>
      </c>
      <c r="AE392" s="25">
        <f>IFERROR(_xlfn.XLOOKUP(N392&amp;P392,'Historico Vendas'!G:G,'Historico Vendas'!E:E),0)</f>
        <v>0</v>
      </c>
      <c r="AF392" s="29" t="str">
        <f t="shared" si="403"/>
        <v/>
      </c>
      <c r="AG392" s="24">
        <f>IFERROR(_xlfn.XLOOKUP(N392&amp;P392,'Historico Vendas'!G:G,'Historico Vendas'!F:F),0)</f>
        <v>0</v>
      </c>
      <c r="AH392" s="25">
        <f t="shared" si="423"/>
        <v>0</v>
      </c>
      <c r="AI392" s="24">
        <f t="shared" si="424"/>
        <v>0</v>
      </c>
      <c r="AJ392" s="11" t="str">
        <f t="shared" si="406"/>
        <v/>
      </c>
      <c r="AK392" s="9" t="s">
        <v>102</v>
      </c>
      <c r="AL392" s="13">
        <f>IFERROR(INDEX('Balizador da Meta'!$D$3:$F$23,MATCH(Faturamento!$P392,'Balizador da Meta'!$C$3:$C$23,0),MATCH(Faturamento!AK392,'Balizador da Meta'!$D$2:$F$2,0)),"")</f>
        <v>0</v>
      </c>
      <c r="AM392" s="9"/>
    </row>
    <row r="393" spans="1:39" x14ac:dyDescent="0.3">
      <c r="A393" s="2" t="str">
        <f t="shared" si="404"/>
        <v>NÃO</v>
      </c>
      <c r="B393" s="2" t="str">
        <f>_xlfn.XLOOKUP($N393,'Base de Grupos'!$A:$A,'Base de Grupos'!$D:$D)</f>
        <v>1000065763</v>
      </c>
      <c r="C393" s="5" t="str">
        <f>_xlfn.XLOOKUP($N393,'Base de Grupos'!$A:$A,'Base de Grupos'!$E:$E)</f>
        <v>CANAL VENDA INTERNA</v>
      </c>
      <c r="D393" s="5" t="str">
        <f>_xlfn.XLOOKUP($N393,'Base de Grupos'!$A:$A,'Base de Grupos'!$F:$F)</f>
        <v>1000065763</v>
      </c>
      <c r="E393" s="2" t="str">
        <f>_xlfn.XLOOKUP($N393,'Base de Grupos'!$A:$A,'Base de Grupos'!$G:$G)</f>
        <v>CANAL VENDA INTERNA</v>
      </c>
      <c r="F393" s="2" t="str">
        <f>_xlfn.XLOOKUP($N393,'Base de Grupos'!$A:$A,'Base de Grupos'!$H:$H)</f>
        <v>1000105898</v>
      </c>
      <c r="G393" s="5" t="str">
        <f>_xlfn.XLOOKUP($N393,'Base de Grupos'!$A:$A,'Base de Grupos'!$I:$I)</f>
        <v>REGIONAL VENDA DIRETA SP</v>
      </c>
      <c r="H393" s="5" t="str">
        <f>_xlfn.XLOOKUP($N393,'Base de Grupos'!$A:$A,'Base de Grupos'!$J:$J)</f>
        <v>1000105898</v>
      </c>
      <c r="I393" s="2" t="str">
        <f>_xlfn.XLOOKUP($N393,'Base de Grupos'!$A:$A,'Base de Grupos'!$K:$K)</f>
        <v>REGIONAL VENDA DIRETA SP</v>
      </c>
      <c r="J393" s="2" t="str">
        <f>_xlfn.XLOOKUP($N393,'Base de Grupos'!$A:$A,'Base de Grupos'!$L:$L)</f>
        <v>1000150135</v>
      </c>
      <c r="K393" s="5" t="str">
        <f>_xlfn.XLOOKUP($N393,'Base de Grupos'!$A:$A,'Base de Grupos'!$M:$M)</f>
        <v>HELDER DA SILVA BRUNKOW</v>
      </c>
      <c r="L393" s="5" t="str">
        <f t="shared" si="405"/>
        <v/>
      </c>
      <c r="M393" s="5" t="str">
        <f>_xlfn.XLOOKUP($N393,'Base de Grupos'!$A:$A,'Base de Grupos'!$C:$C)</f>
        <v>SP</v>
      </c>
      <c r="N393" s="3">
        <v>1360</v>
      </c>
      <c r="O393" s="4" t="s">
        <v>245</v>
      </c>
      <c r="P393" s="5" t="s">
        <v>90</v>
      </c>
      <c r="Q393" s="56">
        <v>0</v>
      </c>
      <c r="R393" s="56">
        <v>0</v>
      </c>
      <c r="S393" s="56">
        <v>0</v>
      </c>
      <c r="T393" s="56">
        <f>_xlfn.XLOOKUP($N393,'Calculo Leads'!$A$97:$A$134,'Calculo Leads'!G$97:G$134)*_xlfn.XLOOKUP($P393,'Base Grupo de Produtos'!$E$2:$E$18,'Base Grupo de Produtos'!$F$2:$F$18)</f>
        <v>450</v>
      </c>
      <c r="U393" s="56">
        <f>_xlfn.XLOOKUP($N393,'Calculo Leads'!$A$97:$A$134,'Calculo Leads'!H$97:H$134)*_xlfn.XLOOKUP($P393,'Base Grupo de Produtos'!$E$2:$E$18,'Base Grupo de Produtos'!$F$2:$F$18)</f>
        <v>550</v>
      </c>
      <c r="V393" s="56">
        <f>_xlfn.XLOOKUP($N393,'Calculo Leads'!$A$97:$A$134,'Calculo Leads'!I$97:I$134)*_xlfn.XLOOKUP($P393,'Base Grupo de Produtos'!$E$2:$E$18,'Base Grupo de Produtos'!$F$2:$F$18)</f>
        <v>700</v>
      </c>
      <c r="W393" s="56">
        <f>_xlfn.XLOOKUP($N393,'Calculo Leads'!$A$97:$A$134,'Calculo Leads'!J$97:J$134)*_xlfn.XLOOKUP($P393,'Base Grupo de Produtos'!$E$2:$E$18,'Base Grupo de Produtos'!$F$2:$F$18)</f>
        <v>850</v>
      </c>
      <c r="X393" s="56">
        <f>_xlfn.XLOOKUP($N393,'Calculo Leads'!$A$97:$A$134,'Calculo Leads'!K$97:K$134)*_xlfn.XLOOKUP($P393,'Base Grupo de Produtos'!$E$2:$E$18,'Base Grupo de Produtos'!$F$2:$F$18)</f>
        <v>1045</v>
      </c>
      <c r="Y393" s="56">
        <f>_xlfn.XLOOKUP($N393,'Calculo Leads'!$A$97:$A$134,'Calculo Leads'!L$97:L$134)*_xlfn.XLOOKUP($P393,'Base Grupo de Produtos'!$E$2:$E$18,'Base Grupo de Produtos'!$F$2:$F$18)</f>
        <v>1320</v>
      </c>
      <c r="Z393" s="56">
        <f>_xlfn.XLOOKUP($N393,'Calculo Leads'!$A$97:$A$134,'Calculo Leads'!M$97:M$134)*_xlfn.XLOOKUP($P393,'Base Grupo de Produtos'!$E$2:$E$18,'Base Grupo de Produtos'!$F$2:$F$18)</f>
        <v>1430</v>
      </c>
      <c r="AA393" s="56">
        <f>_xlfn.XLOOKUP($N393,'Calculo Leads'!$A$97:$A$134,'Calculo Leads'!N$97:N$134)*_xlfn.XLOOKUP($P393,'Base Grupo de Produtos'!$E$2:$E$18,'Base Grupo de Produtos'!$F$2:$F$18)</f>
        <v>1595</v>
      </c>
      <c r="AB393" s="56">
        <f>_xlfn.XLOOKUP($N393,'Calculo Leads'!$A$97:$A$134,'Calculo Leads'!O$97:O$134)*_xlfn.XLOOKUP($P393,'Base Grupo de Produtos'!$E$2:$E$18,'Base Grupo de Produtos'!$F$2:$F$18)</f>
        <v>1100</v>
      </c>
      <c r="AC393" s="61">
        <f t="shared" si="425"/>
        <v>9040</v>
      </c>
      <c r="AD393" s="27">
        <f t="shared" si="422"/>
        <v>9040</v>
      </c>
      <c r="AE393" s="25">
        <f>IFERROR(_xlfn.XLOOKUP(N393&amp;P393,'Historico Vendas'!G:G,'Historico Vendas'!E:E),0)</f>
        <v>0</v>
      </c>
      <c r="AF393" s="29" t="str">
        <f t="shared" si="403"/>
        <v/>
      </c>
      <c r="AG393" s="24">
        <f>IFERROR(_xlfn.XLOOKUP(N393&amp;P393,'Historico Vendas'!G:G,'Historico Vendas'!F:F),0)</f>
        <v>0</v>
      </c>
      <c r="AH393" s="25">
        <f t="shared" si="423"/>
        <v>0</v>
      </c>
      <c r="AI393" s="24">
        <f t="shared" si="424"/>
        <v>0</v>
      </c>
      <c r="AJ393" s="11" t="str">
        <f t="shared" si="406"/>
        <v/>
      </c>
      <c r="AK393" s="9" t="s">
        <v>102</v>
      </c>
      <c r="AL393" s="13">
        <f>IFERROR(INDEX('Balizador da Meta'!$D$3:$F$23,MATCH(Faturamento!$P393,'Balizador da Meta'!$C$3:$C$23,0),MATCH(Faturamento!AK393,'Balizador da Meta'!$D$2:$F$2,0)),"")</f>
        <v>0</v>
      </c>
      <c r="AM393" s="9"/>
    </row>
    <row r="394" spans="1:39" x14ac:dyDescent="0.3">
      <c r="A394" s="2" t="str">
        <f t="shared" si="404"/>
        <v>NÃO</v>
      </c>
      <c r="B394" s="2" t="str">
        <f>_xlfn.XLOOKUP($N394,'Base de Grupos'!$A:$A,'Base de Grupos'!$D:$D)</f>
        <v>1000065763</v>
      </c>
      <c r="C394" s="5" t="str">
        <f>_xlfn.XLOOKUP($N394,'Base de Grupos'!$A:$A,'Base de Grupos'!$E:$E)</f>
        <v>CANAL VENDA INTERNA</v>
      </c>
      <c r="D394" s="5" t="str">
        <f>_xlfn.XLOOKUP($N394,'Base de Grupos'!$A:$A,'Base de Grupos'!$F:$F)</f>
        <v>1000065763</v>
      </c>
      <c r="E394" s="2" t="str">
        <f>_xlfn.XLOOKUP($N394,'Base de Grupos'!$A:$A,'Base de Grupos'!$G:$G)</f>
        <v>CANAL VENDA INTERNA</v>
      </c>
      <c r="F394" s="2" t="str">
        <f>_xlfn.XLOOKUP($N394,'Base de Grupos'!$A:$A,'Base de Grupos'!$H:$H)</f>
        <v>1000105898</v>
      </c>
      <c r="G394" s="5" t="str">
        <f>_xlfn.XLOOKUP($N394,'Base de Grupos'!$A:$A,'Base de Grupos'!$I:$I)</f>
        <v>REGIONAL VENDA DIRETA SP</v>
      </c>
      <c r="H394" s="5" t="str">
        <f>_xlfn.XLOOKUP($N394,'Base de Grupos'!$A:$A,'Base de Grupos'!$J:$J)</f>
        <v>1000105898</v>
      </c>
      <c r="I394" s="2" t="str">
        <f>_xlfn.XLOOKUP($N394,'Base de Grupos'!$A:$A,'Base de Grupos'!$K:$K)</f>
        <v>REGIONAL VENDA DIRETA SP</v>
      </c>
      <c r="J394" s="2" t="str">
        <f>_xlfn.XLOOKUP($N394,'Base de Grupos'!$A:$A,'Base de Grupos'!$L:$L)</f>
        <v>1000150135</v>
      </c>
      <c r="K394" s="5" t="str">
        <f>_xlfn.XLOOKUP($N394,'Base de Grupos'!$A:$A,'Base de Grupos'!$M:$M)</f>
        <v>HELDER DA SILVA BRUNKOW</v>
      </c>
      <c r="L394" s="5" t="str">
        <f t="shared" si="405"/>
        <v/>
      </c>
      <c r="M394" s="5" t="str">
        <f>_xlfn.XLOOKUP($N394,'Base de Grupos'!$A:$A,'Base de Grupos'!$C:$C)</f>
        <v>SP</v>
      </c>
      <c r="N394" s="3">
        <v>1360</v>
      </c>
      <c r="O394" s="4" t="s">
        <v>245</v>
      </c>
      <c r="P394" s="5" t="s">
        <v>91</v>
      </c>
      <c r="Q394" s="56">
        <v>0</v>
      </c>
      <c r="R394" s="56">
        <v>0</v>
      </c>
      <c r="S394" s="56">
        <v>0</v>
      </c>
      <c r="T394" s="56">
        <f>_xlfn.XLOOKUP($N394,'Calculo Leads'!$A$97:$A$134,'Calculo Leads'!G$97:G$134)*_xlfn.XLOOKUP($P394,'Base Grupo de Produtos'!$E$2:$E$18,'Base Grupo de Produtos'!$F$2:$F$18)</f>
        <v>0</v>
      </c>
      <c r="U394" s="56">
        <f>_xlfn.XLOOKUP($N394,'Calculo Leads'!$A$97:$A$134,'Calculo Leads'!H$97:H$134)*_xlfn.XLOOKUP($P394,'Base Grupo de Produtos'!$E$2:$E$18,'Base Grupo de Produtos'!$F$2:$F$18)</f>
        <v>0</v>
      </c>
      <c r="V394" s="56">
        <f>_xlfn.XLOOKUP($N394,'Calculo Leads'!$A$97:$A$134,'Calculo Leads'!I$97:I$134)*_xlfn.XLOOKUP($P394,'Base Grupo de Produtos'!$E$2:$E$18,'Base Grupo de Produtos'!$F$2:$F$18)</f>
        <v>0</v>
      </c>
      <c r="W394" s="56">
        <f>_xlfn.XLOOKUP($N394,'Calculo Leads'!$A$97:$A$134,'Calculo Leads'!J$97:J$134)*_xlfn.XLOOKUP($P394,'Base Grupo de Produtos'!$E$2:$E$18,'Base Grupo de Produtos'!$F$2:$F$18)</f>
        <v>0</v>
      </c>
      <c r="X394" s="56">
        <f>_xlfn.XLOOKUP($N394,'Calculo Leads'!$A$97:$A$134,'Calculo Leads'!K$97:K$134)*_xlfn.XLOOKUP($P394,'Base Grupo de Produtos'!$E$2:$E$18,'Base Grupo de Produtos'!$F$2:$F$18)</f>
        <v>0</v>
      </c>
      <c r="Y394" s="56">
        <f>_xlfn.XLOOKUP($N394,'Calculo Leads'!$A$97:$A$134,'Calculo Leads'!L$97:L$134)*_xlfn.XLOOKUP($P394,'Base Grupo de Produtos'!$E$2:$E$18,'Base Grupo de Produtos'!$F$2:$F$18)</f>
        <v>0</v>
      </c>
      <c r="Z394" s="56">
        <f>_xlfn.XLOOKUP($N394,'Calculo Leads'!$A$97:$A$134,'Calculo Leads'!M$97:M$134)*_xlfn.XLOOKUP($P394,'Base Grupo de Produtos'!$E$2:$E$18,'Base Grupo de Produtos'!$F$2:$F$18)</f>
        <v>0</v>
      </c>
      <c r="AA394" s="56">
        <f>_xlfn.XLOOKUP($N394,'Calculo Leads'!$A$97:$A$134,'Calculo Leads'!N$97:N$134)*_xlfn.XLOOKUP($P394,'Base Grupo de Produtos'!$E$2:$E$18,'Base Grupo de Produtos'!$F$2:$F$18)</f>
        <v>0</v>
      </c>
      <c r="AB394" s="56">
        <f>_xlfn.XLOOKUP($N394,'Calculo Leads'!$A$97:$A$134,'Calculo Leads'!O$97:O$134)*_xlfn.XLOOKUP($P394,'Base Grupo de Produtos'!$E$2:$E$18,'Base Grupo de Produtos'!$F$2:$F$18)</f>
        <v>0</v>
      </c>
      <c r="AC394" s="61">
        <f t="shared" si="425"/>
        <v>0</v>
      </c>
      <c r="AD394" s="27">
        <f t="shared" si="422"/>
        <v>0</v>
      </c>
      <c r="AE394" s="25">
        <f>IFERROR(_xlfn.XLOOKUP(N394&amp;P394,'Historico Vendas'!G:G,'Historico Vendas'!E:E),0)</f>
        <v>0</v>
      </c>
      <c r="AF394" s="29" t="str">
        <f t="shared" si="403"/>
        <v/>
      </c>
      <c r="AG394" s="24">
        <f>IFERROR(_xlfn.XLOOKUP(N394&amp;P394,'Historico Vendas'!G:G,'Historico Vendas'!F:F),0)</f>
        <v>0</v>
      </c>
      <c r="AH394" s="25">
        <f t="shared" si="423"/>
        <v>0</v>
      </c>
      <c r="AI394" s="24">
        <f t="shared" si="424"/>
        <v>0</v>
      </c>
      <c r="AJ394" s="11" t="str">
        <f t="shared" si="406"/>
        <v/>
      </c>
      <c r="AK394" s="9" t="s">
        <v>102</v>
      </c>
      <c r="AL394" s="13">
        <f>IFERROR(INDEX('Balizador da Meta'!$D$3:$F$23,MATCH(Faturamento!$P394,'Balizador da Meta'!$C$3:$C$23,0),MATCH(Faturamento!AK394,'Balizador da Meta'!$D$2:$F$2,0)),"")</f>
        <v>0</v>
      </c>
      <c r="AM394" s="9"/>
    </row>
    <row r="395" spans="1:39" x14ac:dyDescent="0.3">
      <c r="A395" s="2" t="str">
        <f t="shared" si="404"/>
        <v>NÃO</v>
      </c>
      <c r="B395" s="2" t="str">
        <f>_xlfn.XLOOKUP($N395,'Base de Grupos'!$A:$A,'Base de Grupos'!$D:$D)</f>
        <v>1000065763</v>
      </c>
      <c r="C395" s="5" t="str">
        <f>_xlfn.XLOOKUP($N395,'Base de Grupos'!$A:$A,'Base de Grupos'!$E:$E)</f>
        <v>CANAL VENDA INTERNA</v>
      </c>
      <c r="D395" s="5" t="str">
        <f>_xlfn.XLOOKUP($N395,'Base de Grupos'!$A:$A,'Base de Grupos'!$F:$F)</f>
        <v>1000065763</v>
      </c>
      <c r="E395" s="2" t="str">
        <f>_xlfn.XLOOKUP($N395,'Base de Grupos'!$A:$A,'Base de Grupos'!$G:$G)</f>
        <v>CANAL VENDA INTERNA</v>
      </c>
      <c r="F395" s="2" t="str">
        <f>_xlfn.XLOOKUP($N395,'Base de Grupos'!$A:$A,'Base de Grupos'!$H:$H)</f>
        <v>1000105898</v>
      </c>
      <c r="G395" s="5" t="str">
        <f>_xlfn.XLOOKUP($N395,'Base de Grupos'!$A:$A,'Base de Grupos'!$I:$I)</f>
        <v>REGIONAL VENDA DIRETA SP</v>
      </c>
      <c r="H395" s="5" t="str">
        <f>_xlfn.XLOOKUP($N395,'Base de Grupos'!$A:$A,'Base de Grupos'!$J:$J)</f>
        <v>1000105898</v>
      </c>
      <c r="I395" s="2" t="str">
        <f>_xlfn.XLOOKUP($N395,'Base de Grupos'!$A:$A,'Base de Grupos'!$K:$K)</f>
        <v>REGIONAL VENDA DIRETA SP</v>
      </c>
      <c r="J395" s="2" t="str">
        <f>_xlfn.XLOOKUP($N395,'Base de Grupos'!$A:$A,'Base de Grupos'!$L:$L)</f>
        <v>1000150135</v>
      </c>
      <c r="K395" s="5" t="str">
        <f>_xlfn.XLOOKUP($N395,'Base de Grupos'!$A:$A,'Base de Grupos'!$M:$M)</f>
        <v>HELDER DA SILVA BRUNKOW</v>
      </c>
      <c r="L395" s="5" t="str">
        <f t="shared" si="405"/>
        <v/>
      </c>
      <c r="M395" s="5" t="str">
        <f>_xlfn.XLOOKUP($N395,'Base de Grupos'!$A:$A,'Base de Grupos'!$C:$C)</f>
        <v>SP</v>
      </c>
      <c r="N395" s="3">
        <v>1360</v>
      </c>
      <c r="O395" s="4" t="s">
        <v>245</v>
      </c>
      <c r="P395" s="5" t="s">
        <v>96</v>
      </c>
      <c r="Q395" s="56">
        <v>0</v>
      </c>
      <c r="R395" s="56">
        <v>0</v>
      </c>
      <c r="S395" s="56">
        <v>0</v>
      </c>
      <c r="T395" s="56">
        <f>_xlfn.XLOOKUP($N395,'Calculo Leads'!$A$97:$A$134,'Calculo Leads'!G$97:G$134)*_xlfn.XLOOKUP($P395,'Base Grupo de Produtos'!$E$2:$E$18,'Base Grupo de Produtos'!$F$2:$F$18)</f>
        <v>630.00000000000011</v>
      </c>
      <c r="U395" s="56">
        <f>_xlfn.XLOOKUP($N395,'Calculo Leads'!$A$97:$A$134,'Calculo Leads'!H$97:H$134)*_xlfn.XLOOKUP($P395,'Base Grupo de Produtos'!$E$2:$E$18,'Base Grupo de Produtos'!$F$2:$F$18)</f>
        <v>770.00000000000011</v>
      </c>
      <c r="V395" s="56">
        <f>_xlfn.XLOOKUP($N395,'Calculo Leads'!$A$97:$A$134,'Calculo Leads'!I$97:I$134)*_xlfn.XLOOKUP($P395,'Base Grupo de Produtos'!$E$2:$E$18,'Base Grupo de Produtos'!$F$2:$F$18)</f>
        <v>980.00000000000011</v>
      </c>
      <c r="W395" s="56">
        <f>_xlfn.XLOOKUP($N395,'Calculo Leads'!$A$97:$A$134,'Calculo Leads'!J$97:J$134)*_xlfn.XLOOKUP($P395,'Base Grupo de Produtos'!$E$2:$E$18,'Base Grupo de Produtos'!$F$2:$F$18)</f>
        <v>1190</v>
      </c>
      <c r="X395" s="56">
        <f>_xlfn.XLOOKUP($N395,'Calculo Leads'!$A$97:$A$134,'Calculo Leads'!K$97:K$134)*_xlfn.XLOOKUP($P395,'Base Grupo de Produtos'!$E$2:$E$18,'Base Grupo de Produtos'!$F$2:$F$18)</f>
        <v>1463.0000000000002</v>
      </c>
      <c r="Y395" s="56">
        <f>_xlfn.XLOOKUP($N395,'Calculo Leads'!$A$97:$A$134,'Calculo Leads'!L$97:L$134)*_xlfn.XLOOKUP($P395,'Base Grupo de Produtos'!$E$2:$E$18,'Base Grupo de Produtos'!$F$2:$F$18)</f>
        <v>1848.0000000000002</v>
      </c>
      <c r="Z395" s="56">
        <f>_xlfn.XLOOKUP($N395,'Calculo Leads'!$A$97:$A$134,'Calculo Leads'!M$97:M$134)*_xlfn.XLOOKUP($P395,'Base Grupo de Produtos'!$E$2:$E$18,'Base Grupo de Produtos'!$F$2:$F$18)</f>
        <v>2002.0000000000002</v>
      </c>
      <c r="AA395" s="56">
        <f>_xlfn.XLOOKUP($N395,'Calculo Leads'!$A$97:$A$134,'Calculo Leads'!N$97:N$134)*_xlfn.XLOOKUP($P395,'Base Grupo de Produtos'!$E$2:$E$18,'Base Grupo de Produtos'!$F$2:$F$18)</f>
        <v>2233</v>
      </c>
      <c r="AB395" s="56">
        <f>_xlfn.XLOOKUP($N395,'Calculo Leads'!$A$97:$A$134,'Calculo Leads'!O$97:O$134)*_xlfn.XLOOKUP($P395,'Base Grupo de Produtos'!$E$2:$E$18,'Base Grupo de Produtos'!$F$2:$F$18)</f>
        <v>1540.0000000000002</v>
      </c>
      <c r="AC395" s="61">
        <f t="shared" si="425"/>
        <v>12656.000000000002</v>
      </c>
      <c r="AD395" s="27">
        <f t="shared" si="422"/>
        <v>12656.000000000002</v>
      </c>
      <c r="AE395" s="25">
        <f>IFERROR(_xlfn.XLOOKUP(N395&amp;P395,'Historico Vendas'!G:G,'Historico Vendas'!E:E),0)</f>
        <v>0</v>
      </c>
      <c r="AF395" s="29" t="str">
        <f t="shared" si="403"/>
        <v/>
      </c>
      <c r="AG395" s="24">
        <f>IFERROR(_xlfn.XLOOKUP(N395&amp;P395,'Historico Vendas'!G:G,'Historico Vendas'!F:F),0)</f>
        <v>0</v>
      </c>
      <c r="AH395" s="25">
        <f t="shared" si="423"/>
        <v>0</v>
      </c>
      <c r="AI395" s="24">
        <f t="shared" si="424"/>
        <v>0</v>
      </c>
      <c r="AJ395" s="11" t="str">
        <f t="shared" si="406"/>
        <v/>
      </c>
      <c r="AK395" s="9" t="s">
        <v>102</v>
      </c>
      <c r="AL395" s="13">
        <f>IFERROR(INDEX('Balizador da Meta'!$D$3:$F$23,MATCH(Faturamento!$P395,'Balizador da Meta'!$C$3:$C$23,0),MATCH(Faturamento!AK395,'Balizador da Meta'!$D$2:$F$2,0)),"")</f>
        <v>0</v>
      </c>
      <c r="AM395" s="9"/>
    </row>
    <row r="396" spans="1:39" x14ac:dyDescent="0.3">
      <c r="A396" s="2" t="str">
        <f t="shared" si="404"/>
        <v>NÃO</v>
      </c>
      <c r="B396" s="2" t="str">
        <f>_xlfn.XLOOKUP($N396,'Base de Grupos'!$A:$A,'Base de Grupos'!$D:$D)</f>
        <v>1000065763</v>
      </c>
      <c r="C396" s="5" t="str">
        <f>_xlfn.XLOOKUP($N396,'Base de Grupos'!$A:$A,'Base de Grupos'!$E:$E)</f>
        <v>CANAL VENDA INTERNA</v>
      </c>
      <c r="D396" s="5" t="str">
        <f>_xlfn.XLOOKUP($N396,'Base de Grupos'!$A:$A,'Base de Grupos'!$F:$F)</f>
        <v>1000065763</v>
      </c>
      <c r="E396" s="2" t="str">
        <f>_xlfn.XLOOKUP($N396,'Base de Grupos'!$A:$A,'Base de Grupos'!$G:$G)</f>
        <v>CANAL VENDA INTERNA</v>
      </c>
      <c r="F396" s="2" t="str">
        <f>_xlfn.XLOOKUP($N396,'Base de Grupos'!$A:$A,'Base de Grupos'!$H:$H)</f>
        <v>1000105898</v>
      </c>
      <c r="G396" s="5" t="str">
        <f>_xlfn.XLOOKUP($N396,'Base de Grupos'!$A:$A,'Base de Grupos'!$I:$I)</f>
        <v>REGIONAL VENDA DIRETA SP</v>
      </c>
      <c r="H396" s="5" t="str">
        <f>_xlfn.XLOOKUP($N396,'Base de Grupos'!$A:$A,'Base de Grupos'!$J:$J)</f>
        <v>1000105898</v>
      </c>
      <c r="I396" s="2" t="str">
        <f>_xlfn.XLOOKUP($N396,'Base de Grupos'!$A:$A,'Base de Grupos'!$K:$K)</f>
        <v>REGIONAL VENDA DIRETA SP</v>
      </c>
      <c r="J396" s="2" t="str">
        <f>_xlfn.XLOOKUP($N396,'Base de Grupos'!$A:$A,'Base de Grupos'!$L:$L)</f>
        <v>1000150135</v>
      </c>
      <c r="K396" s="5" t="str">
        <f>_xlfn.XLOOKUP($N396,'Base de Grupos'!$A:$A,'Base de Grupos'!$M:$M)</f>
        <v>HELDER DA SILVA BRUNKOW</v>
      </c>
      <c r="L396" s="5" t="str">
        <f t="shared" si="405"/>
        <v/>
      </c>
      <c r="M396" s="5" t="str">
        <f>_xlfn.XLOOKUP($N396,'Base de Grupos'!$A:$A,'Base de Grupos'!$C:$C)</f>
        <v>SP</v>
      </c>
      <c r="N396" s="3">
        <v>1360</v>
      </c>
      <c r="O396" s="4" t="s">
        <v>245</v>
      </c>
      <c r="P396" s="5" t="s">
        <v>94</v>
      </c>
      <c r="Q396" s="56">
        <v>0</v>
      </c>
      <c r="R396" s="56">
        <v>0</v>
      </c>
      <c r="S396" s="56">
        <v>0</v>
      </c>
      <c r="T396" s="56">
        <f>_xlfn.XLOOKUP($N396,'Calculo Leads'!$A$97:$A$134,'Calculo Leads'!G$97:G$134)*_xlfn.XLOOKUP($P396,'Base Grupo de Produtos'!$E$2:$E$18,'Base Grupo de Produtos'!$F$2:$F$18)</f>
        <v>449.99999999999994</v>
      </c>
      <c r="U396" s="56">
        <f>_xlfn.XLOOKUP($N396,'Calculo Leads'!$A$97:$A$134,'Calculo Leads'!H$97:H$134)*_xlfn.XLOOKUP($P396,'Base Grupo de Produtos'!$E$2:$E$18,'Base Grupo de Produtos'!$F$2:$F$18)</f>
        <v>550</v>
      </c>
      <c r="V396" s="56">
        <f>_xlfn.XLOOKUP($N396,'Calculo Leads'!$A$97:$A$134,'Calculo Leads'!I$97:I$134)*_xlfn.XLOOKUP($P396,'Base Grupo de Produtos'!$E$2:$E$18,'Base Grupo de Produtos'!$F$2:$F$18)</f>
        <v>699.99999999999989</v>
      </c>
      <c r="W396" s="56">
        <f>_xlfn.XLOOKUP($N396,'Calculo Leads'!$A$97:$A$134,'Calculo Leads'!J$97:J$134)*_xlfn.XLOOKUP($P396,'Base Grupo de Produtos'!$E$2:$E$18,'Base Grupo de Produtos'!$F$2:$F$18)</f>
        <v>849.99999999999989</v>
      </c>
      <c r="X396" s="56">
        <f>_xlfn.XLOOKUP($N396,'Calculo Leads'!$A$97:$A$134,'Calculo Leads'!K$97:K$134)*_xlfn.XLOOKUP($P396,'Base Grupo de Produtos'!$E$2:$E$18,'Base Grupo de Produtos'!$F$2:$F$18)</f>
        <v>1045</v>
      </c>
      <c r="Y396" s="56">
        <f>_xlfn.XLOOKUP($N396,'Calculo Leads'!$A$97:$A$134,'Calculo Leads'!L$97:L$134)*_xlfn.XLOOKUP($P396,'Base Grupo de Produtos'!$E$2:$E$18,'Base Grupo de Produtos'!$F$2:$F$18)</f>
        <v>1320</v>
      </c>
      <c r="Z396" s="56">
        <f>_xlfn.XLOOKUP($N396,'Calculo Leads'!$A$97:$A$134,'Calculo Leads'!M$97:M$134)*_xlfn.XLOOKUP($P396,'Base Grupo de Produtos'!$E$2:$E$18,'Base Grupo de Produtos'!$F$2:$F$18)</f>
        <v>1429.9999999999998</v>
      </c>
      <c r="AA396" s="56">
        <f>_xlfn.XLOOKUP($N396,'Calculo Leads'!$A$97:$A$134,'Calculo Leads'!N$97:N$134)*_xlfn.XLOOKUP($P396,'Base Grupo de Produtos'!$E$2:$E$18,'Base Grupo de Produtos'!$F$2:$F$18)</f>
        <v>1594.9999999999998</v>
      </c>
      <c r="AB396" s="56">
        <f>_xlfn.XLOOKUP($N396,'Calculo Leads'!$A$97:$A$134,'Calculo Leads'!O$97:O$134)*_xlfn.XLOOKUP($P396,'Base Grupo de Produtos'!$E$2:$E$18,'Base Grupo de Produtos'!$F$2:$F$18)</f>
        <v>1100</v>
      </c>
      <c r="AC396" s="61">
        <f t="shared" si="425"/>
        <v>9040</v>
      </c>
      <c r="AD396" s="27">
        <f t="shared" si="422"/>
        <v>9040</v>
      </c>
      <c r="AE396" s="25">
        <f>IFERROR(_xlfn.XLOOKUP(N396&amp;P396,'Historico Vendas'!G:G,'Historico Vendas'!E:E),0)</f>
        <v>0</v>
      </c>
      <c r="AF396" s="29" t="str">
        <f t="shared" si="403"/>
        <v/>
      </c>
      <c r="AG396" s="24">
        <f>IFERROR(_xlfn.XLOOKUP(N396&amp;P396,'Historico Vendas'!G:G,'Historico Vendas'!F:F),0)</f>
        <v>0</v>
      </c>
      <c r="AH396" s="25">
        <f t="shared" si="423"/>
        <v>0</v>
      </c>
      <c r="AI396" s="24">
        <f t="shared" si="424"/>
        <v>0</v>
      </c>
      <c r="AJ396" s="11" t="str">
        <f t="shared" si="406"/>
        <v/>
      </c>
      <c r="AK396" s="9" t="s">
        <v>102</v>
      </c>
      <c r="AL396" s="13">
        <f>IFERROR(INDEX('Balizador da Meta'!$D$3:$F$23,MATCH(Faturamento!$P396,'Balizador da Meta'!$C$3:$C$23,0),MATCH(Faturamento!AK396,'Balizador da Meta'!$D$2:$F$2,0)),"")</f>
        <v>0.25</v>
      </c>
      <c r="AM396" s="9"/>
    </row>
    <row r="397" spans="1:39" x14ac:dyDescent="0.3">
      <c r="A397" s="2" t="str">
        <f t="shared" si="404"/>
        <v>NÃO</v>
      </c>
      <c r="B397" s="2" t="str">
        <f>_xlfn.XLOOKUP($N397,'Base de Grupos'!$A:$A,'Base de Grupos'!$D:$D)</f>
        <v>1000065763</v>
      </c>
      <c r="C397" s="5" t="str">
        <f>_xlfn.XLOOKUP($N397,'Base de Grupos'!$A:$A,'Base de Grupos'!$E:$E)</f>
        <v>CANAL VENDA INTERNA</v>
      </c>
      <c r="D397" s="5" t="str">
        <f>_xlfn.XLOOKUP($N397,'Base de Grupos'!$A:$A,'Base de Grupos'!$F:$F)</f>
        <v>1000065763</v>
      </c>
      <c r="E397" s="2" t="str">
        <f>_xlfn.XLOOKUP($N397,'Base de Grupos'!$A:$A,'Base de Grupos'!$G:$G)</f>
        <v>CANAL VENDA INTERNA</v>
      </c>
      <c r="F397" s="2" t="str">
        <f>_xlfn.XLOOKUP($N397,'Base de Grupos'!$A:$A,'Base de Grupos'!$H:$H)</f>
        <v>1000105898</v>
      </c>
      <c r="G397" s="5" t="str">
        <f>_xlfn.XLOOKUP($N397,'Base de Grupos'!$A:$A,'Base de Grupos'!$I:$I)</f>
        <v>REGIONAL VENDA DIRETA SP</v>
      </c>
      <c r="H397" s="5" t="str">
        <f>_xlfn.XLOOKUP($N397,'Base de Grupos'!$A:$A,'Base de Grupos'!$J:$J)</f>
        <v>1000105898</v>
      </c>
      <c r="I397" s="2" t="str">
        <f>_xlfn.XLOOKUP($N397,'Base de Grupos'!$A:$A,'Base de Grupos'!$K:$K)</f>
        <v>REGIONAL VENDA DIRETA SP</v>
      </c>
      <c r="J397" s="2" t="str">
        <f>_xlfn.XLOOKUP($N397,'Base de Grupos'!$A:$A,'Base de Grupos'!$L:$L)</f>
        <v>1000150135</v>
      </c>
      <c r="K397" s="5" t="str">
        <f>_xlfn.XLOOKUP($N397,'Base de Grupos'!$A:$A,'Base de Grupos'!$M:$M)</f>
        <v>HELDER DA SILVA BRUNKOW</v>
      </c>
      <c r="L397" s="5" t="str">
        <f t="shared" si="405"/>
        <v/>
      </c>
      <c r="M397" s="5" t="str">
        <f>_xlfn.XLOOKUP($N397,'Base de Grupos'!$A:$A,'Base de Grupos'!$C:$C)</f>
        <v>SP</v>
      </c>
      <c r="N397" s="3">
        <v>1360</v>
      </c>
      <c r="O397" s="4" t="s">
        <v>245</v>
      </c>
      <c r="P397" s="5" t="s">
        <v>95</v>
      </c>
      <c r="Q397" s="56">
        <v>0</v>
      </c>
      <c r="R397" s="56">
        <v>0</v>
      </c>
      <c r="S397" s="56">
        <v>0</v>
      </c>
      <c r="T397" s="56">
        <f>_xlfn.XLOOKUP($N397,'Calculo Leads'!$A$97:$A$134,'Calculo Leads'!G$97:G$134)*_xlfn.XLOOKUP($P397,'Base Grupo de Produtos'!$E$2:$E$18,'Base Grupo de Produtos'!$F$2:$F$18)</f>
        <v>720</v>
      </c>
      <c r="U397" s="56">
        <f>_xlfn.XLOOKUP($N397,'Calculo Leads'!$A$97:$A$134,'Calculo Leads'!H$97:H$134)*_xlfn.XLOOKUP($P397,'Base Grupo de Produtos'!$E$2:$E$18,'Base Grupo de Produtos'!$F$2:$F$18)</f>
        <v>880</v>
      </c>
      <c r="V397" s="56">
        <f>_xlfn.XLOOKUP($N397,'Calculo Leads'!$A$97:$A$134,'Calculo Leads'!I$97:I$134)*_xlfn.XLOOKUP($P397,'Base Grupo de Produtos'!$E$2:$E$18,'Base Grupo de Produtos'!$F$2:$F$18)</f>
        <v>1120</v>
      </c>
      <c r="W397" s="56">
        <f>_xlfn.XLOOKUP($N397,'Calculo Leads'!$A$97:$A$134,'Calculo Leads'!J$97:J$134)*_xlfn.XLOOKUP($P397,'Base Grupo de Produtos'!$E$2:$E$18,'Base Grupo de Produtos'!$F$2:$F$18)</f>
        <v>1360</v>
      </c>
      <c r="X397" s="56">
        <f>_xlfn.XLOOKUP($N397,'Calculo Leads'!$A$97:$A$134,'Calculo Leads'!K$97:K$134)*_xlfn.XLOOKUP($P397,'Base Grupo de Produtos'!$E$2:$E$18,'Base Grupo de Produtos'!$F$2:$F$18)</f>
        <v>1672</v>
      </c>
      <c r="Y397" s="56">
        <f>_xlfn.XLOOKUP($N397,'Calculo Leads'!$A$97:$A$134,'Calculo Leads'!L$97:L$134)*_xlfn.XLOOKUP($P397,'Base Grupo de Produtos'!$E$2:$E$18,'Base Grupo de Produtos'!$F$2:$F$18)</f>
        <v>2112</v>
      </c>
      <c r="Z397" s="56">
        <f>_xlfn.XLOOKUP($N397,'Calculo Leads'!$A$97:$A$134,'Calculo Leads'!M$97:M$134)*_xlfn.XLOOKUP($P397,'Base Grupo de Produtos'!$E$2:$E$18,'Base Grupo de Produtos'!$F$2:$F$18)</f>
        <v>2288</v>
      </c>
      <c r="AA397" s="56">
        <f>_xlfn.XLOOKUP($N397,'Calculo Leads'!$A$97:$A$134,'Calculo Leads'!N$97:N$134)*_xlfn.XLOOKUP($P397,'Base Grupo de Produtos'!$E$2:$E$18,'Base Grupo de Produtos'!$F$2:$F$18)</f>
        <v>2552</v>
      </c>
      <c r="AB397" s="56">
        <f>_xlfn.XLOOKUP($N397,'Calculo Leads'!$A$97:$A$134,'Calculo Leads'!O$97:O$134)*_xlfn.XLOOKUP($P397,'Base Grupo de Produtos'!$E$2:$E$18,'Base Grupo de Produtos'!$F$2:$F$18)</f>
        <v>1760</v>
      </c>
      <c r="AC397" s="61">
        <f t="shared" si="425"/>
        <v>14464</v>
      </c>
      <c r="AD397" s="27">
        <f t="shared" si="422"/>
        <v>14464</v>
      </c>
      <c r="AE397" s="25">
        <f>IFERROR(_xlfn.XLOOKUP(N397&amp;P397,'Historico Vendas'!G:G,'Historico Vendas'!E:E),0)</f>
        <v>0</v>
      </c>
      <c r="AF397" s="29" t="str">
        <f t="shared" si="403"/>
        <v/>
      </c>
      <c r="AG397" s="24">
        <f>IFERROR(_xlfn.XLOOKUP(N397&amp;P397,'Historico Vendas'!G:G,'Historico Vendas'!F:F),0)</f>
        <v>0</v>
      </c>
      <c r="AH397" s="25">
        <f t="shared" si="423"/>
        <v>0</v>
      </c>
      <c r="AI397" s="24">
        <f t="shared" si="424"/>
        <v>0</v>
      </c>
      <c r="AJ397" s="11" t="str">
        <f t="shared" si="406"/>
        <v/>
      </c>
      <c r="AK397" s="9" t="s">
        <v>102</v>
      </c>
      <c r="AL397" s="13">
        <f>IFERROR(INDEX('Balizador da Meta'!$D$3:$F$23,MATCH(Faturamento!$P397,'Balizador da Meta'!$C$3:$C$23,0),MATCH(Faturamento!AK397,'Balizador da Meta'!$D$2:$F$2,0)),"")</f>
        <v>0.25</v>
      </c>
      <c r="AM397" s="9"/>
    </row>
    <row r="398" spans="1:39" x14ac:dyDescent="0.3">
      <c r="A398" s="2" t="str">
        <f t="shared" si="404"/>
        <v>NÃO</v>
      </c>
      <c r="B398" s="2" t="str">
        <f>_xlfn.XLOOKUP($N398,'Base de Grupos'!$A:$A,'Base de Grupos'!$D:$D)</f>
        <v>1000065763</v>
      </c>
      <c r="C398" s="5" t="str">
        <f>_xlfn.XLOOKUP($N398,'Base de Grupos'!$A:$A,'Base de Grupos'!$E:$E)</f>
        <v>CANAL VENDA INTERNA</v>
      </c>
      <c r="D398" s="5" t="str">
        <f>_xlfn.XLOOKUP($N398,'Base de Grupos'!$A:$A,'Base de Grupos'!$F:$F)</f>
        <v>1000065763</v>
      </c>
      <c r="E398" s="2" t="str">
        <f>_xlfn.XLOOKUP($N398,'Base de Grupos'!$A:$A,'Base de Grupos'!$G:$G)</f>
        <v>CANAL VENDA INTERNA</v>
      </c>
      <c r="F398" s="2" t="str">
        <f>_xlfn.XLOOKUP($N398,'Base de Grupos'!$A:$A,'Base de Grupos'!$H:$H)</f>
        <v>1000105898</v>
      </c>
      <c r="G398" s="5" t="str">
        <f>_xlfn.XLOOKUP($N398,'Base de Grupos'!$A:$A,'Base de Grupos'!$I:$I)</f>
        <v>REGIONAL VENDA DIRETA SP</v>
      </c>
      <c r="H398" s="5" t="str">
        <f>_xlfn.XLOOKUP($N398,'Base de Grupos'!$A:$A,'Base de Grupos'!$J:$J)</f>
        <v>1000105898</v>
      </c>
      <c r="I398" s="2" t="str">
        <f>_xlfn.XLOOKUP($N398,'Base de Grupos'!$A:$A,'Base de Grupos'!$K:$K)</f>
        <v>REGIONAL VENDA DIRETA SP</v>
      </c>
      <c r="J398" s="2" t="str">
        <f>_xlfn.XLOOKUP($N398,'Base de Grupos'!$A:$A,'Base de Grupos'!$L:$L)</f>
        <v>1000150135</v>
      </c>
      <c r="K398" s="5" t="str">
        <f>_xlfn.XLOOKUP($N398,'Base de Grupos'!$A:$A,'Base de Grupos'!$M:$M)</f>
        <v>HELDER DA SILVA BRUNKOW</v>
      </c>
      <c r="L398" s="5" t="str">
        <f t="shared" si="405"/>
        <v/>
      </c>
      <c r="M398" s="5" t="str">
        <f>_xlfn.XLOOKUP($N398,'Base de Grupos'!$A:$A,'Base de Grupos'!$C:$C)</f>
        <v>SP</v>
      </c>
      <c r="N398" s="3">
        <v>1360</v>
      </c>
      <c r="O398" s="4" t="s">
        <v>245</v>
      </c>
      <c r="P398" s="5" t="s">
        <v>93</v>
      </c>
      <c r="Q398" s="56">
        <v>0</v>
      </c>
      <c r="R398" s="56">
        <v>0</v>
      </c>
      <c r="S398" s="56">
        <v>0</v>
      </c>
      <c r="T398" s="56">
        <f>_xlfn.XLOOKUP($N398,'Calculo Leads'!$A$97:$A$134,'Calculo Leads'!G$97:G$134)*_xlfn.XLOOKUP($P398,'Base Grupo de Produtos'!$E$2:$E$18,'Base Grupo de Produtos'!$F$2:$F$18)</f>
        <v>270</v>
      </c>
      <c r="U398" s="56">
        <f>_xlfn.XLOOKUP($N398,'Calculo Leads'!$A$97:$A$134,'Calculo Leads'!H$97:H$134)*_xlfn.XLOOKUP($P398,'Base Grupo de Produtos'!$E$2:$E$18,'Base Grupo de Produtos'!$F$2:$F$18)</f>
        <v>330</v>
      </c>
      <c r="V398" s="56">
        <f>_xlfn.XLOOKUP($N398,'Calculo Leads'!$A$97:$A$134,'Calculo Leads'!I$97:I$134)*_xlfn.XLOOKUP($P398,'Base Grupo de Produtos'!$E$2:$E$18,'Base Grupo de Produtos'!$F$2:$F$18)</f>
        <v>420</v>
      </c>
      <c r="W398" s="56">
        <f>_xlfn.XLOOKUP($N398,'Calculo Leads'!$A$97:$A$134,'Calculo Leads'!J$97:J$134)*_xlfn.XLOOKUP($P398,'Base Grupo de Produtos'!$E$2:$E$18,'Base Grupo de Produtos'!$F$2:$F$18)</f>
        <v>510</v>
      </c>
      <c r="X398" s="56">
        <f>_xlfn.XLOOKUP($N398,'Calculo Leads'!$A$97:$A$134,'Calculo Leads'!K$97:K$134)*_xlfn.XLOOKUP($P398,'Base Grupo de Produtos'!$E$2:$E$18,'Base Grupo de Produtos'!$F$2:$F$18)</f>
        <v>627</v>
      </c>
      <c r="Y398" s="56">
        <f>_xlfn.XLOOKUP($N398,'Calculo Leads'!$A$97:$A$134,'Calculo Leads'!L$97:L$134)*_xlfn.XLOOKUP($P398,'Base Grupo de Produtos'!$E$2:$E$18,'Base Grupo de Produtos'!$F$2:$F$18)</f>
        <v>792</v>
      </c>
      <c r="Z398" s="56">
        <f>_xlfn.XLOOKUP($N398,'Calculo Leads'!$A$97:$A$134,'Calculo Leads'!M$97:M$134)*_xlfn.XLOOKUP($P398,'Base Grupo de Produtos'!$E$2:$E$18,'Base Grupo de Produtos'!$F$2:$F$18)</f>
        <v>858</v>
      </c>
      <c r="AA398" s="56">
        <f>_xlfn.XLOOKUP($N398,'Calculo Leads'!$A$97:$A$134,'Calculo Leads'!N$97:N$134)*_xlfn.XLOOKUP($P398,'Base Grupo de Produtos'!$E$2:$E$18,'Base Grupo de Produtos'!$F$2:$F$18)</f>
        <v>957</v>
      </c>
      <c r="AB398" s="56">
        <f>_xlfn.XLOOKUP($N398,'Calculo Leads'!$A$97:$A$134,'Calculo Leads'!O$97:O$134)*_xlfn.XLOOKUP($P398,'Base Grupo de Produtos'!$E$2:$E$18,'Base Grupo de Produtos'!$F$2:$F$18)</f>
        <v>660</v>
      </c>
      <c r="AC398" s="61">
        <f t="shared" si="425"/>
        <v>5424</v>
      </c>
      <c r="AD398" s="27">
        <f t="shared" si="422"/>
        <v>5424</v>
      </c>
      <c r="AE398" s="25">
        <f>IFERROR(_xlfn.XLOOKUP(N398&amp;P398,'Historico Vendas'!G:G,'Historico Vendas'!E:E),0)</f>
        <v>0</v>
      </c>
      <c r="AF398" s="29" t="str">
        <f t="shared" si="403"/>
        <v/>
      </c>
      <c r="AG398" s="24">
        <f>IFERROR(_xlfn.XLOOKUP(N398&amp;P398,'Historico Vendas'!G:G,'Historico Vendas'!F:F),0)</f>
        <v>0</v>
      </c>
      <c r="AH398" s="25">
        <f t="shared" si="423"/>
        <v>0</v>
      </c>
      <c r="AI398" s="24">
        <f t="shared" si="424"/>
        <v>0</v>
      </c>
      <c r="AJ398" s="11" t="str">
        <f t="shared" si="406"/>
        <v/>
      </c>
      <c r="AK398" s="9" t="s">
        <v>102</v>
      </c>
      <c r="AL398" s="13">
        <f>IFERROR(INDEX('Balizador da Meta'!$D$3:$F$23,MATCH(Faturamento!$P398,'Balizador da Meta'!$C$3:$C$23,0),MATCH(Faturamento!AK398,'Balizador da Meta'!$D$2:$F$2,0)),"")</f>
        <v>0.2</v>
      </c>
      <c r="AM398" s="9"/>
    </row>
    <row r="399" spans="1:39" x14ac:dyDescent="0.3">
      <c r="A399" s="2" t="str">
        <f t="shared" si="404"/>
        <v>SIM</v>
      </c>
      <c r="B399" s="2" t="str">
        <f>_xlfn.XLOOKUP($N399,'Base de Grupos'!$A:$A,'Base de Grupos'!$D:$D)</f>
        <v>1000065763</v>
      </c>
      <c r="C399" s="5" t="str">
        <f>_xlfn.XLOOKUP($N399,'Base de Grupos'!$A:$A,'Base de Grupos'!$E:$E)</f>
        <v>CANAL VENDA INTERNA</v>
      </c>
      <c r="D399" s="5" t="str">
        <f>_xlfn.XLOOKUP($N399,'Base de Grupos'!$A:$A,'Base de Grupos'!$F:$F)</f>
        <v>1000065763</v>
      </c>
      <c r="E399" s="2" t="str">
        <f>_xlfn.XLOOKUP($N399,'Base de Grupos'!$A:$A,'Base de Grupos'!$G:$G)</f>
        <v>CANAL VENDA INTERNA</v>
      </c>
      <c r="F399" s="2" t="str">
        <f>_xlfn.XLOOKUP($N399,'Base de Grupos'!$A:$A,'Base de Grupos'!$H:$H)</f>
        <v>1000105898</v>
      </c>
      <c r="G399" s="5" t="str">
        <f>_xlfn.XLOOKUP($N399,'Base de Grupos'!$A:$A,'Base de Grupos'!$I:$I)</f>
        <v>REGIONAL VENDA DIRETA SP</v>
      </c>
      <c r="H399" s="5" t="str">
        <f>_xlfn.XLOOKUP($N399,'Base de Grupos'!$A:$A,'Base de Grupos'!$J:$J)</f>
        <v>1000105898</v>
      </c>
      <c r="I399" s="2" t="str">
        <f>_xlfn.XLOOKUP($N399,'Base de Grupos'!$A:$A,'Base de Grupos'!$K:$K)</f>
        <v>REGIONAL VENDA DIRETA SP</v>
      </c>
      <c r="J399" s="2" t="str">
        <f>_xlfn.XLOOKUP($N399,'Base de Grupos'!$A:$A,'Base de Grupos'!$L:$L)</f>
        <v>1000150135</v>
      </c>
      <c r="K399" s="5" t="str">
        <f>_xlfn.XLOOKUP($N399,'Base de Grupos'!$A:$A,'Base de Grupos'!$M:$M)</f>
        <v>HELDER DA SILVA BRUNKOW</v>
      </c>
      <c r="L399" s="5">
        <f t="shared" si="405"/>
        <v>1</v>
      </c>
      <c r="M399" s="5" t="str">
        <f>_xlfn.XLOOKUP($N399,'Base de Grupos'!$A:$A,'Base de Grupos'!$C:$C)</f>
        <v>SP</v>
      </c>
      <c r="N399" s="3">
        <v>1361</v>
      </c>
      <c r="O399" s="4" t="s">
        <v>246</v>
      </c>
      <c r="P399" s="5" t="s">
        <v>316</v>
      </c>
      <c r="Q399" s="56">
        <f t="shared" ref="Q399" si="426">SUM(Q400:Q416)</f>
        <v>0</v>
      </c>
      <c r="R399" s="56">
        <f t="shared" ref="R399" si="427">SUM(R400:R416)</f>
        <v>0</v>
      </c>
      <c r="S399" s="56">
        <f t="shared" ref="S399" si="428">SUM(S400:S416)</f>
        <v>0</v>
      </c>
      <c r="T399" s="56">
        <f t="shared" ref="T399" si="429">SUM(T400:T416)</f>
        <v>11000</v>
      </c>
      <c r="U399" s="56">
        <f t="shared" ref="U399" si="430">SUM(U400:U416)</f>
        <v>13000</v>
      </c>
      <c r="V399" s="56">
        <f t="shared" ref="V399" si="431">SUM(V400:V416)</f>
        <v>16000</v>
      </c>
      <c r="W399" s="56">
        <f t="shared" ref="W399" si="432">SUM(W400:W416)</f>
        <v>19000</v>
      </c>
      <c r="X399" s="56">
        <f t="shared" ref="X399" si="433">SUM(X400:X416)</f>
        <v>24200</v>
      </c>
      <c r="Y399" s="56">
        <f t="shared" ref="Y399" si="434">SUM(Y400:Y416)</f>
        <v>29700</v>
      </c>
      <c r="Z399" s="56">
        <f t="shared" ref="Z399" si="435">SUM(Z400:Z416)</f>
        <v>33000</v>
      </c>
      <c r="AA399" s="56">
        <f t="shared" ref="AA399" si="436">SUM(AA400:AA416)</f>
        <v>37400</v>
      </c>
      <c r="AB399" s="56">
        <f t="shared" ref="AB399" si="437">SUM(AB400:AB416)</f>
        <v>25300</v>
      </c>
      <c r="AC399" s="56">
        <f t="shared" ref="AC399" si="438">SUM(AC400:AC416)</f>
        <v>208600</v>
      </c>
      <c r="AD399" s="25">
        <f t="shared" ref="AD399" si="439">SUM(AD400:AD416)</f>
        <v>208600</v>
      </c>
      <c r="AE399" s="25">
        <f t="shared" ref="AE399:AI399" si="440">SUM(AE400:AE416)</f>
        <v>0</v>
      </c>
      <c r="AF399" s="11" t="str">
        <f t="shared" si="403"/>
        <v/>
      </c>
      <c r="AG399" s="24">
        <f t="shared" si="440"/>
        <v>0</v>
      </c>
      <c r="AH399" s="25">
        <f t="shared" si="440"/>
        <v>0</v>
      </c>
      <c r="AI399" s="24">
        <f t="shared" si="440"/>
        <v>0</v>
      </c>
      <c r="AJ399" s="11" t="str">
        <f t="shared" si="406"/>
        <v/>
      </c>
      <c r="AK399" s="9"/>
      <c r="AL399" s="13"/>
      <c r="AM399" s="9"/>
    </row>
    <row r="400" spans="1:39" x14ac:dyDescent="0.3">
      <c r="A400" s="2" t="str">
        <f t="shared" si="404"/>
        <v>NÃO</v>
      </c>
      <c r="B400" s="2" t="str">
        <f>_xlfn.XLOOKUP($N400,'Base de Grupos'!$A:$A,'Base de Grupos'!$D:$D)</f>
        <v>1000065763</v>
      </c>
      <c r="C400" s="5" t="str">
        <f>_xlfn.XLOOKUP($N400,'Base de Grupos'!$A:$A,'Base de Grupos'!$E:$E)</f>
        <v>CANAL VENDA INTERNA</v>
      </c>
      <c r="D400" s="5" t="str">
        <f>_xlfn.XLOOKUP($N400,'Base de Grupos'!$A:$A,'Base de Grupos'!$F:$F)</f>
        <v>1000065763</v>
      </c>
      <c r="E400" s="2" t="str">
        <f>_xlfn.XLOOKUP($N400,'Base de Grupos'!$A:$A,'Base de Grupos'!$G:$G)</f>
        <v>CANAL VENDA INTERNA</v>
      </c>
      <c r="F400" s="2" t="str">
        <f>_xlfn.XLOOKUP($N400,'Base de Grupos'!$A:$A,'Base de Grupos'!$H:$H)</f>
        <v>1000105898</v>
      </c>
      <c r="G400" s="5" t="str">
        <f>_xlfn.XLOOKUP($N400,'Base de Grupos'!$A:$A,'Base de Grupos'!$I:$I)</f>
        <v>REGIONAL VENDA DIRETA SP</v>
      </c>
      <c r="H400" s="5" t="str">
        <f>_xlfn.XLOOKUP($N400,'Base de Grupos'!$A:$A,'Base de Grupos'!$J:$J)</f>
        <v>1000105898</v>
      </c>
      <c r="I400" s="2" t="str">
        <f>_xlfn.XLOOKUP($N400,'Base de Grupos'!$A:$A,'Base de Grupos'!$K:$K)</f>
        <v>REGIONAL VENDA DIRETA SP</v>
      </c>
      <c r="J400" s="2" t="str">
        <f>_xlfn.XLOOKUP($N400,'Base de Grupos'!$A:$A,'Base de Grupos'!$L:$L)</f>
        <v>1000150135</v>
      </c>
      <c r="K400" s="5" t="str">
        <f>_xlfn.XLOOKUP($N400,'Base de Grupos'!$A:$A,'Base de Grupos'!$M:$M)</f>
        <v>HELDER DA SILVA BRUNKOW</v>
      </c>
      <c r="L400" s="5" t="str">
        <f t="shared" si="405"/>
        <v/>
      </c>
      <c r="M400" s="5" t="str">
        <f>_xlfn.XLOOKUP($N400,'Base de Grupos'!$A:$A,'Base de Grupos'!$C:$C)</f>
        <v>SP</v>
      </c>
      <c r="N400" s="3">
        <v>1361</v>
      </c>
      <c r="O400" s="4" t="s">
        <v>246</v>
      </c>
      <c r="P400" s="5" t="s">
        <v>81</v>
      </c>
      <c r="Q400" s="56">
        <v>0</v>
      </c>
      <c r="R400" s="56">
        <v>0</v>
      </c>
      <c r="S400" s="56">
        <v>0</v>
      </c>
      <c r="T400" s="56">
        <f>_xlfn.XLOOKUP($N400,'Calculo Leads'!$A$97:$A$134,'Calculo Leads'!G$97:G$134)*_xlfn.XLOOKUP($P400,'Base Grupo de Produtos'!$E$2:$E$18,'Base Grupo de Produtos'!$F$2:$F$18)</f>
        <v>550</v>
      </c>
      <c r="U400" s="56">
        <f>_xlfn.XLOOKUP($N400,'Calculo Leads'!$A$97:$A$134,'Calculo Leads'!H$97:H$134)*_xlfn.XLOOKUP($P400,'Base Grupo de Produtos'!$E$2:$E$18,'Base Grupo de Produtos'!$F$2:$F$18)</f>
        <v>650</v>
      </c>
      <c r="V400" s="56">
        <f>_xlfn.XLOOKUP($N400,'Calculo Leads'!$A$97:$A$134,'Calculo Leads'!I$97:I$134)*_xlfn.XLOOKUP($P400,'Base Grupo de Produtos'!$E$2:$E$18,'Base Grupo de Produtos'!$F$2:$F$18)</f>
        <v>800</v>
      </c>
      <c r="W400" s="56">
        <f>_xlfn.XLOOKUP($N400,'Calculo Leads'!$A$97:$A$134,'Calculo Leads'!J$97:J$134)*_xlfn.XLOOKUP($P400,'Base Grupo de Produtos'!$E$2:$E$18,'Base Grupo de Produtos'!$F$2:$F$18)</f>
        <v>950</v>
      </c>
      <c r="X400" s="56">
        <f>_xlfn.XLOOKUP($N400,'Calculo Leads'!$A$97:$A$134,'Calculo Leads'!K$97:K$134)*_xlfn.XLOOKUP($P400,'Base Grupo de Produtos'!$E$2:$E$18,'Base Grupo de Produtos'!$F$2:$F$18)</f>
        <v>1210</v>
      </c>
      <c r="Y400" s="56">
        <f>_xlfn.XLOOKUP($N400,'Calculo Leads'!$A$97:$A$134,'Calculo Leads'!L$97:L$134)*_xlfn.XLOOKUP($P400,'Base Grupo de Produtos'!$E$2:$E$18,'Base Grupo de Produtos'!$F$2:$F$18)</f>
        <v>1485</v>
      </c>
      <c r="Z400" s="56">
        <f>_xlfn.XLOOKUP($N400,'Calculo Leads'!$A$97:$A$134,'Calculo Leads'!M$97:M$134)*_xlfn.XLOOKUP($P400,'Base Grupo de Produtos'!$E$2:$E$18,'Base Grupo de Produtos'!$F$2:$F$18)</f>
        <v>1650</v>
      </c>
      <c r="AA400" s="56">
        <f>_xlfn.XLOOKUP($N400,'Calculo Leads'!$A$97:$A$134,'Calculo Leads'!N$97:N$134)*_xlfn.XLOOKUP($P400,'Base Grupo de Produtos'!$E$2:$E$18,'Base Grupo de Produtos'!$F$2:$F$18)</f>
        <v>1870</v>
      </c>
      <c r="AB400" s="56">
        <f>_xlfn.XLOOKUP($N400,'Calculo Leads'!$A$97:$A$134,'Calculo Leads'!O$97:O$134)*_xlfn.XLOOKUP($P400,'Base Grupo de Produtos'!$E$2:$E$18,'Base Grupo de Produtos'!$F$2:$F$18)</f>
        <v>1265</v>
      </c>
      <c r="AC400" s="61">
        <f t="shared" si="425"/>
        <v>10430</v>
      </c>
      <c r="AD400" s="27">
        <f t="shared" ref="AD400:AD416" si="441">IF(AC400=0,0,AC400-AG400)</f>
        <v>10430</v>
      </c>
      <c r="AE400" s="25">
        <f>IFERROR(_xlfn.XLOOKUP(N400&amp;P400,'Historico Vendas'!G:G,'Historico Vendas'!E:E),0)</f>
        <v>0</v>
      </c>
      <c r="AF400" s="29" t="str">
        <f t="shared" si="403"/>
        <v/>
      </c>
      <c r="AG400" s="24">
        <f>IFERROR(_xlfn.XLOOKUP(N400&amp;P400,'Historico Vendas'!G:G,'Historico Vendas'!F:F),0)</f>
        <v>0</v>
      </c>
      <c r="AH400" s="25">
        <f t="shared" ref="AH400:AH416" si="442">SUM(Q400:S400)</f>
        <v>0</v>
      </c>
      <c r="AI400" s="24">
        <f t="shared" ref="AI400:AI416" si="443">AH400-AG400</f>
        <v>0</v>
      </c>
      <c r="AJ400" s="11" t="str">
        <f t="shared" si="406"/>
        <v/>
      </c>
      <c r="AK400" s="9" t="s">
        <v>102</v>
      </c>
      <c r="AL400" s="13">
        <f>IFERROR(INDEX('Balizador da Meta'!$D$3:$F$23,MATCH(Faturamento!$P400,'Balizador da Meta'!$C$3:$C$23,0),MATCH(Faturamento!AK400,'Balizador da Meta'!$D$2:$F$2,0)),"")</f>
        <v>0.2</v>
      </c>
      <c r="AM400" s="9"/>
    </row>
    <row r="401" spans="1:39" x14ac:dyDescent="0.3">
      <c r="A401" s="2" t="str">
        <f t="shared" si="404"/>
        <v>NÃO</v>
      </c>
      <c r="B401" s="2" t="str">
        <f>_xlfn.XLOOKUP($N401,'Base de Grupos'!$A:$A,'Base de Grupos'!$D:$D)</f>
        <v>1000065763</v>
      </c>
      <c r="C401" s="5" t="str">
        <f>_xlfn.XLOOKUP($N401,'Base de Grupos'!$A:$A,'Base de Grupos'!$E:$E)</f>
        <v>CANAL VENDA INTERNA</v>
      </c>
      <c r="D401" s="5" t="str">
        <f>_xlfn.XLOOKUP($N401,'Base de Grupos'!$A:$A,'Base de Grupos'!$F:$F)</f>
        <v>1000065763</v>
      </c>
      <c r="E401" s="2" t="str">
        <f>_xlfn.XLOOKUP($N401,'Base de Grupos'!$A:$A,'Base de Grupos'!$G:$G)</f>
        <v>CANAL VENDA INTERNA</v>
      </c>
      <c r="F401" s="2" t="str">
        <f>_xlfn.XLOOKUP($N401,'Base de Grupos'!$A:$A,'Base de Grupos'!$H:$H)</f>
        <v>1000105898</v>
      </c>
      <c r="G401" s="5" t="str">
        <f>_xlfn.XLOOKUP($N401,'Base de Grupos'!$A:$A,'Base de Grupos'!$I:$I)</f>
        <v>REGIONAL VENDA DIRETA SP</v>
      </c>
      <c r="H401" s="5" t="str">
        <f>_xlfn.XLOOKUP($N401,'Base de Grupos'!$A:$A,'Base de Grupos'!$J:$J)</f>
        <v>1000105898</v>
      </c>
      <c r="I401" s="2" t="str">
        <f>_xlfn.XLOOKUP($N401,'Base de Grupos'!$A:$A,'Base de Grupos'!$K:$K)</f>
        <v>REGIONAL VENDA DIRETA SP</v>
      </c>
      <c r="J401" s="2" t="str">
        <f>_xlfn.XLOOKUP($N401,'Base de Grupos'!$A:$A,'Base de Grupos'!$L:$L)</f>
        <v>1000150135</v>
      </c>
      <c r="K401" s="5" t="str">
        <f>_xlfn.XLOOKUP($N401,'Base de Grupos'!$A:$A,'Base de Grupos'!$M:$M)</f>
        <v>HELDER DA SILVA BRUNKOW</v>
      </c>
      <c r="L401" s="5" t="str">
        <f t="shared" si="405"/>
        <v/>
      </c>
      <c r="M401" s="5" t="str">
        <f>_xlfn.XLOOKUP($N401,'Base de Grupos'!$A:$A,'Base de Grupos'!$C:$C)</f>
        <v>SP</v>
      </c>
      <c r="N401" s="3">
        <v>1361</v>
      </c>
      <c r="O401" s="4" t="s">
        <v>246</v>
      </c>
      <c r="P401" s="5" t="s">
        <v>82</v>
      </c>
      <c r="Q401" s="56">
        <v>0</v>
      </c>
      <c r="R401" s="56">
        <v>0</v>
      </c>
      <c r="S401" s="56">
        <v>0</v>
      </c>
      <c r="T401" s="56">
        <f>_xlfn.XLOOKUP($N401,'Calculo Leads'!$A$97:$A$134,'Calculo Leads'!G$97:G$134)*_xlfn.XLOOKUP($P401,'Base Grupo de Produtos'!$E$2:$E$18,'Base Grupo de Produtos'!$F$2:$F$18)</f>
        <v>550</v>
      </c>
      <c r="U401" s="56">
        <f>_xlfn.XLOOKUP($N401,'Calculo Leads'!$A$97:$A$134,'Calculo Leads'!H$97:H$134)*_xlfn.XLOOKUP($P401,'Base Grupo de Produtos'!$E$2:$E$18,'Base Grupo de Produtos'!$F$2:$F$18)</f>
        <v>650</v>
      </c>
      <c r="V401" s="56">
        <f>_xlfn.XLOOKUP($N401,'Calculo Leads'!$A$97:$A$134,'Calculo Leads'!I$97:I$134)*_xlfn.XLOOKUP($P401,'Base Grupo de Produtos'!$E$2:$E$18,'Base Grupo de Produtos'!$F$2:$F$18)</f>
        <v>800</v>
      </c>
      <c r="W401" s="56">
        <f>_xlfn.XLOOKUP($N401,'Calculo Leads'!$A$97:$A$134,'Calculo Leads'!J$97:J$134)*_xlfn.XLOOKUP($P401,'Base Grupo de Produtos'!$E$2:$E$18,'Base Grupo de Produtos'!$F$2:$F$18)</f>
        <v>950</v>
      </c>
      <c r="X401" s="56">
        <f>_xlfn.XLOOKUP($N401,'Calculo Leads'!$A$97:$A$134,'Calculo Leads'!K$97:K$134)*_xlfn.XLOOKUP($P401,'Base Grupo de Produtos'!$E$2:$E$18,'Base Grupo de Produtos'!$F$2:$F$18)</f>
        <v>1210</v>
      </c>
      <c r="Y401" s="56">
        <f>_xlfn.XLOOKUP($N401,'Calculo Leads'!$A$97:$A$134,'Calculo Leads'!L$97:L$134)*_xlfn.XLOOKUP($P401,'Base Grupo de Produtos'!$E$2:$E$18,'Base Grupo de Produtos'!$F$2:$F$18)</f>
        <v>1485</v>
      </c>
      <c r="Z401" s="56">
        <f>_xlfn.XLOOKUP($N401,'Calculo Leads'!$A$97:$A$134,'Calculo Leads'!M$97:M$134)*_xlfn.XLOOKUP($P401,'Base Grupo de Produtos'!$E$2:$E$18,'Base Grupo de Produtos'!$F$2:$F$18)</f>
        <v>1650</v>
      </c>
      <c r="AA401" s="56">
        <f>_xlfn.XLOOKUP($N401,'Calculo Leads'!$A$97:$A$134,'Calculo Leads'!N$97:N$134)*_xlfn.XLOOKUP($P401,'Base Grupo de Produtos'!$E$2:$E$18,'Base Grupo de Produtos'!$F$2:$F$18)</f>
        <v>1870</v>
      </c>
      <c r="AB401" s="56">
        <f>_xlfn.XLOOKUP($N401,'Calculo Leads'!$A$97:$A$134,'Calculo Leads'!O$97:O$134)*_xlfn.XLOOKUP($P401,'Base Grupo de Produtos'!$E$2:$E$18,'Base Grupo de Produtos'!$F$2:$F$18)</f>
        <v>1265</v>
      </c>
      <c r="AC401" s="61">
        <f t="shared" si="425"/>
        <v>10430</v>
      </c>
      <c r="AD401" s="27">
        <f t="shared" si="441"/>
        <v>10430</v>
      </c>
      <c r="AE401" s="25">
        <f>IFERROR(_xlfn.XLOOKUP(N401&amp;P401,'Historico Vendas'!G:G,'Historico Vendas'!E:E),0)</f>
        <v>0</v>
      </c>
      <c r="AF401" s="29" t="str">
        <f t="shared" si="403"/>
        <v/>
      </c>
      <c r="AG401" s="24">
        <f>IFERROR(_xlfn.XLOOKUP(N401&amp;P401,'Historico Vendas'!G:G,'Historico Vendas'!F:F),0)</f>
        <v>0</v>
      </c>
      <c r="AH401" s="25">
        <f t="shared" si="442"/>
        <v>0</v>
      </c>
      <c r="AI401" s="24">
        <f t="shared" si="443"/>
        <v>0</v>
      </c>
      <c r="AJ401" s="11" t="str">
        <f t="shared" si="406"/>
        <v/>
      </c>
      <c r="AK401" s="9" t="s">
        <v>102</v>
      </c>
      <c r="AL401" s="13">
        <f>IFERROR(INDEX('Balizador da Meta'!$D$3:$F$23,MATCH(Faturamento!$P401,'Balizador da Meta'!$C$3:$C$23,0),MATCH(Faturamento!AK401,'Balizador da Meta'!$D$2:$F$2,0)),"")</f>
        <v>0.2</v>
      </c>
      <c r="AM401" s="9"/>
    </row>
    <row r="402" spans="1:39" x14ac:dyDescent="0.3">
      <c r="A402" s="2" t="str">
        <f t="shared" si="404"/>
        <v>NÃO</v>
      </c>
      <c r="B402" s="2" t="str">
        <f>_xlfn.XLOOKUP($N402,'Base de Grupos'!$A:$A,'Base de Grupos'!$D:$D)</f>
        <v>1000065763</v>
      </c>
      <c r="C402" s="5" t="str">
        <f>_xlfn.XLOOKUP($N402,'Base de Grupos'!$A:$A,'Base de Grupos'!$E:$E)</f>
        <v>CANAL VENDA INTERNA</v>
      </c>
      <c r="D402" s="5" t="str">
        <f>_xlfn.XLOOKUP($N402,'Base de Grupos'!$A:$A,'Base de Grupos'!$F:$F)</f>
        <v>1000065763</v>
      </c>
      <c r="E402" s="2" t="str">
        <f>_xlfn.XLOOKUP($N402,'Base de Grupos'!$A:$A,'Base de Grupos'!$G:$G)</f>
        <v>CANAL VENDA INTERNA</v>
      </c>
      <c r="F402" s="2" t="str">
        <f>_xlfn.XLOOKUP($N402,'Base de Grupos'!$A:$A,'Base de Grupos'!$H:$H)</f>
        <v>1000105898</v>
      </c>
      <c r="G402" s="5" t="str">
        <f>_xlfn.XLOOKUP($N402,'Base de Grupos'!$A:$A,'Base de Grupos'!$I:$I)</f>
        <v>REGIONAL VENDA DIRETA SP</v>
      </c>
      <c r="H402" s="5" t="str">
        <f>_xlfn.XLOOKUP($N402,'Base de Grupos'!$A:$A,'Base de Grupos'!$J:$J)</f>
        <v>1000105898</v>
      </c>
      <c r="I402" s="2" t="str">
        <f>_xlfn.XLOOKUP($N402,'Base de Grupos'!$A:$A,'Base de Grupos'!$K:$K)</f>
        <v>REGIONAL VENDA DIRETA SP</v>
      </c>
      <c r="J402" s="2" t="str">
        <f>_xlfn.XLOOKUP($N402,'Base de Grupos'!$A:$A,'Base de Grupos'!$L:$L)</f>
        <v>1000150135</v>
      </c>
      <c r="K402" s="5" t="str">
        <f>_xlfn.XLOOKUP($N402,'Base de Grupos'!$A:$A,'Base de Grupos'!$M:$M)</f>
        <v>HELDER DA SILVA BRUNKOW</v>
      </c>
      <c r="L402" s="5" t="str">
        <f t="shared" si="405"/>
        <v/>
      </c>
      <c r="M402" s="5" t="str">
        <f>_xlfn.XLOOKUP($N402,'Base de Grupos'!$A:$A,'Base de Grupos'!$C:$C)</f>
        <v>SP</v>
      </c>
      <c r="N402" s="3">
        <v>1361</v>
      </c>
      <c r="O402" s="4" t="s">
        <v>246</v>
      </c>
      <c r="P402" s="5" t="s">
        <v>84</v>
      </c>
      <c r="Q402" s="56">
        <v>0</v>
      </c>
      <c r="R402" s="56">
        <v>0</v>
      </c>
      <c r="S402" s="56">
        <v>0</v>
      </c>
      <c r="T402" s="56">
        <f>_xlfn.XLOOKUP($N402,'Calculo Leads'!$A$97:$A$134,'Calculo Leads'!G$97:G$134)*_xlfn.XLOOKUP($P402,'Base Grupo de Produtos'!$E$2:$E$18,'Base Grupo de Produtos'!$F$2:$F$18)</f>
        <v>880</v>
      </c>
      <c r="U402" s="56">
        <f>_xlfn.XLOOKUP($N402,'Calculo Leads'!$A$97:$A$134,'Calculo Leads'!H$97:H$134)*_xlfn.XLOOKUP($P402,'Base Grupo de Produtos'!$E$2:$E$18,'Base Grupo de Produtos'!$F$2:$F$18)</f>
        <v>1040</v>
      </c>
      <c r="V402" s="56">
        <f>_xlfn.XLOOKUP($N402,'Calculo Leads'!$A$97:$A$134,'Calculo Leads'!I$97:I$134)*_xlfn.XLOOKUP($P402,'Base Grupo de Produtos'!$E$2:$E$18,'Base Grupo de Produtos'!$F$2:$F$18)</f>
        <v>1280</v>
      </c>
      <c r="W402" s="56">
        <f>_xlfn.XLOOKUP($N402,'Calculo Leads'!$A$97:$A$134,'Calculo Leads'!J$97:J$134)*_xlfn.XLOOKUP($P402,'Base Grupo de Produtos'!$E$2:$E$18,'Base Grupo de Produtos'!$F$2:$F$18)</f>
        <v>1520</v>
      </c>
      <c r="X402" s="56">
        <f>_xlfn.XLOOKUP($N402,'Calculo Leads'!$A$97:$A$134,'Calculo Leads'!K$97:K$134)*_xlfn.XLOOKUP($P402,'Base Grupo de Produtos'!$E$2:$E$18,'Base Grupo de Produtos'!$F$2:$F$18)</f>
        <v>1936</v>
      </c>
      <c r="Y402" s="56">
        <f>_xlfn.XLOOKUP($N402,'Calculo Leads'!$A$97:$A$134,'Calculo Leads'!L$97:L$134)*_xlfn.XLOOKUP($P402,'Base Grupo de Produtos'!$E$2:$E$18,'Base Grupo de Produtos'!$F$2:$F$18)</f>
        <v>2376</v>
      </c>
      <c r="Z402" s="56">
        <f>_xlfn.XLOOKUP($N402,'Calculo Leads'!$A$97:$A$134,'Calculo Leads'!M$97:M$134)*_xlfn.XLOOKUP($P402,'Base Grupo de Produtos'!$E$2:$E$18,'Base Grupo de Produtos'!$F$2:$F$18)</f>
        <v>2640</v>
      </c>
      <c r="AA402" s="56">
        <f>_xlfn.XLOOKUP($N402,'Calculo Leads'!$A$97:$A$134,'Calculo Leads'!N$97:N$134)*_xlfn.XLOOKUP($P402,'Base Grupo de Produtos'!$E$2:$E$18,'Base Grupo de Produtos'!$F$2:$F$18)</f>
        <v>2992</v>
      </c>
      <c r="AB402" s="56">
        <f>_xlfn.XLOOKUP($N402,'Calculo Leads'!$A$97:$A$134,'Calculo Leads'!O$97:O$134)*_xlfn.XLOOKUP($P402,'Base Grupo de Produtos'!$E$2:$E$18,'Base Grupo de Produtos'!$F$2:$F$18)</f>
        <v>2024</v>
      </c>
      <c r="AC402" s="61">
        <f t="shared" si="425"/>
        <v>16688</v>
      </c>
      <c r="AD402" s="27">
        <f t="shared" si="441"/>
        <v>16688</v>
      </c>
      <c r="AE402" s="25">
        <f>IFERROR(_xlfn.XLOOKUP(N402&amp;P402,'Historico Vendas'!G:G,'Historico Vendas'!E:E),0)</f>
        <v>0</v>
      </c>
      <c r="AF402" s="29" t="str">
        <f t="shared" si="403"/>
        <v/>
      </c>
      <c r="AG402" s="24">
        <f>IFERROR(_xlfn.XLOOKUP(N402&amp;P402,'Historico Vendas'!G:G,'Historico Vendas'!F:F),0)</f>
        <v>0</v>
      </c>
      <c r="AH402" s="25">
        <f t="shared" si="442"/>
        <v>0</v>
      </c>
      <c r="AI402" s="24">
        <f t="shared" si="443"/>
        <v>0</v>
      </c>
      <c r="AJ402" s="11" t="str">
        <f t="shared" si="406"/>
        <v/>
      </c>
      <c r="AK402" s="9" t="s">
        <v>102</v>
      </c>
      <c r="AL402" s="13">
        <f>IFERROR(INDEX('Balizador da Meta'!$D$3:$F$23,MATCH(Faturamento!$P402,'Balizador da Meta'!$C$3:$C$23,0),MATCH(Faturamento!AK402,'Balizador da Meta'!$D$2:$F$2,0)),"")</f>
        <v>0.15</v>
      </c>
      <c r="AM402" s="9"/>
    </row>
    <row r="403" spans="1:39" x14ac:dyDescent="0.3">
      <c r="A403" s="2" t="str">
        <f t="shared" si="404"/>
        <v>NÃO</v>
      </c>
      <c r="B403" s="2" t="str">
        <f>_xlfn.XLOOKUP($N403,'Base de Grupos'!$A:$A,'Base de Grupos'!$D:$D)</f>
        <v>1000065763</v>
      </c>
      <c r="C403" s="5" t="str">
        <f>_xlfn.XLOOKUP($N403,'Base de Grupos'!$A:$A,'Base de Grupos'!$E:$E)</f>
        <v>CANAL VENDA INTERNA</v>
      </c>
      <c r="D403" s="5" t="str">
        <f>_xlfn.XLOOKUP($N403,'Base de Grupos'!$A:$A,'Base de Grupos'!$F:$F)</f>
        <v>1000065763</v>
      </c>
      <c r="E403" s="2" t="str">
        <f>_xlfn.XLOOKUP($N403,'Base de Grupos'!$A:$A,'Base de Grupos'!$G:$G)</f>
        <v>CANAL VENDA INTERNA</v>
      </c>
      <c r="F403" s="2" t="str">
        <f>_xlfn.XLOOKUP($N403,'Base de Grupos'!$A:$A,'Base de Grupos'!$H:$H)</f>
        <v>1000105898</v>
      </c>
      <c r="G403" s="5" t="str">
        <f>_xlfn.XLOOKUP($N403,'Base de Grupos'!$A:$A,'Base de Grupos'!$I:$I)</f>
        <v>REGIONAL VENDA DIRETA SP</v>
      </c>
      <c r="H403" s="5" t="str">
        <f>_xlfn.XLOOKUP($N403,'Base de Grupos'!$A:$A,'Base de Grupos'!$J:$J)</f>
        <v>1000105898</v>
      </c>
      <c r="I403" s="2" t="str">
        <f>_xlfn.XLOOKUP($N403,'Base de Grupos'!$A:$A,'Base de Grupos'!$K:$K)</f>
        <v>REGIONAL VENDA DIRETA SP</v>
      </c>
      <c r="J403" s="2" t="str">
        <f>_xlfn.XLOOKUP($N403,'Base de Grupos'!$A:$A,'Base de Grupos'!$L:$L)</f>
        <v>1000150135</v>
      </c>
      <c r="K403" s="5" t="str">
        <f>_xlfn.XLOOKUP($N403,'Base de Grupos'!$A:$A,'Base de Grupos'!$M:$M)</f>
        <v>HELDER DA SILVA BRUNKOW</v>
      </c>
      <c r="L403" s="5" t="str">
        <f t="shared" si="405"/>
        <v/>
      </c>
      <c r="M403" s="5" t="str">
        <f>_xlfn.XLOOKUP($N403,'Base de Grupos'!$A:$A,'Base de Grupos'!$C:$C)</f>
        <v>SP</v>
      </c>
      <c r="N403" s="3">
        <v>1361</v>
      </c>
      <c r="O403" s="4" t="s">
        <v>246</v>
      </c>
      <c r="P403" s="5" t="s">
        <v>83</v>
      </c>
      <c r="Q403" s="56">
        <v>0</v>
      </c>
      <c r="R403" s="56">
        <v>0</v>
      </c>
      <c r="S403" s="56">
        <v>0</v>
      </c>
      <c r="T403" s="56">
        <f>_xlfn.XLOOKUP($N403,'Calculo Leads'!$A$97:$A$134,'Calculo Leads'!G$97:G$134)*_xlfn.XLOOKUP($P403,'Base Grupo de Produtos'!$E$2:$E$18,'Base Grupo de Produtos'!$F$2:$F$18)</f>
        <v>1100</v>
      </c>
      <c r="U403" s="56">
        <f>_xlfn.XLOOKUP($N403,'Calculo Leads'!$A$97:$A$134,'Calculo Leads'!H$97:H$134)*_xlfn.XLOOKUP($P403,'Base Grupo de Produtos'!$E$2:$E$18,'Base Grupo de Produtos'!$F$2:$F$18)</f>
        <v>1300</v>
      </c>
      <c r="V403" s="56">
        <f>_xlfn.XLOOKUP($N403,'Calculo Leads'!$A$97:$A$134,'Calculo Leads'!I$97:I$134)*_xlfn.XLOOKUP($P403,'Base Grupo de Produtos'!$E$2:$E$18,'Base Grupo de Produtos'!$F$2:$F$18)</f>
        <v>1600</v>
      </c>
      <c r="W403" s="56">
        <f>_xlfn.XLOOKUP($N403,'Calculo Leads'!$A$97:$A$134,'Calculo Leads'!J$97:J$134)*_xlfn.XLOOKUP($P403,'Base Grupo de Produtos'!$E$2:$E$18,'Base Grupo de Produtos'!$F$2:$F$18)</f>
        <v>1900</v>
      </c>
      <c r="X403" s="56">
        <f>_xlfn.XLOOKUP($N403,'Calculo Leads'!$A$97:$A$134,'Calculo Leads'!K$97:K$134)*_xlfn.XLOOKUP($P403,'Base Grupo de Produtos'!$E$2:$E$18,'Base Grupo de Produtos'!$F$2:$F$18)</f>
        <v>2420</v>
      </c>
      <c r="Y403" s="56">
        <f>_xlfn.XLOOKUP($N403,'Calculo Leads'!$A$97:$A$134,'Calculo Leads'!L$97:L$134)*_xlfn.XLOOKUP($P403,'Base Grupo de Produtos'!$E$2:$E$18,'Base Grupo de Produtos'!$F$2:$F$18)</f>
        <v>2970</v>
      </c>
      <c r="Z403" s="56">
        <f>_xlfn.XLOOKUP($N403,'Calculo Leads'!$A$97:$A$134,'Calculo Leads'!M$97:M$134)*_xlfn.XLOOKUP($P403,'Base Grupo de Produtos'!$E$2:$E$18,'Base Grupo de Produtos'!$F$2:$F$18)</f>
        <v>3300</v>
      </c>
      <c r="AA403" s="56">
        <f>_xlfn.XLOOKUP($N403,'Calculo Leads'!$A$97:$A$134,'Calculo Leads'!N$97:N$134)*_xlfn.XLOOKUP($P403,'Base Grupo de Produtos'!$E$2:$E$18,'Base Grupo de Produtos'!$F$2:$F$18)</f>
        <v>3740</v>
      </c>
      <c r="AB403" s="56">
        <f>_xlfn.XLOOKUP($N403,'Calculo Leads'!$A$97:$A$134,'Calculo Leads'!O$97:O$134)*_xlfn.XLOOKUP($P403,'Base Grupo de Produtos'!$E$2:$E$18,'Base Grupo de Produtos'!$F$2:$F$18)</f>
        <v>2530</v>
      </c>
      <c r="AC403" s="61">
        <f t="shared" si="425"/>
        <v>20860</v>
      </c>
      <c r="AD403" s="27">
        <f t="shared" si="441"/>
        <v>20860</v>
      </c>
      <c r="AE403" s="25">
        <f>IFERROR(_xlfn.XLOOKUP(N403&amp;P403,'Historico Vendas'!G:G,'Historico Vendas'!E:E),0)</f>
        <v>0</v>
      </c>
      <c r="AF403" s="29" t="str">
        <f t="shared" si="403"/>
        <v/>
      </c>
      <c r="AG403" s="24">
        <f>IFERROR(_xlfn.XLOOKUP(N403&amp;P403,'Historico Vendas'!G:G,'Historico Vendas'!F:F),0)</f>
        <v>0</v>
      </c>
      <c r="AH403" s="25">
        <f t="shared" si="442"/>
        <v>0</v>
      </c>
      <c r="AI403" s="24">
        <f t="shared" si="443"/>
        <v>0</v>
      </c>
      <c r="AJ403" s="11" t="str">
        <f t="shared" si="406"/>
        <v/>
      </c>
      <c r="AK403" s="9" t="s">
        <v>102</v>
      </c>
      <c r="AL403" s="13">
        <f>IFERROR(INDEX('Balizador da Meta'!$D$3:$F$23,MATCH(Faturamento!$P403,'Balizador da Meta'!$C$3:$C$23,0),MATCH(Faturamento!AK403,'Balizador da Meta'!$D$2:$F$2,0)),"")</f>
        <v>0</v>
      </c>
      <c r="AM403" s="9"/>
    </row>
    <row r="404" spans="1:39" x14ac:dyDescent="0.3">
      <c r="A404" s="2" t="str">
        <f t="shared" si="404"/>
        <v>NÃO</v>
      </c>
      <c r="B404" s="2" t="str">
        <f>_xlfn.XLOOKUP($N404,'Base de Grupos'!$A:$A,'Base de Grupos'!$D:$D)</f>
        <v>1000065763</v>
      </c>
      <c r="C404" s="5" t="str">
        <f>_xlfn.XLOOKUP($N404,'Base de Grupos'!$A:$A,'Base de Grupos'!$E:$E)</f>
        <v>CANAL VENDA INTERNA</v>
      </c>
      <c r="D404" s="5" t="str">
        <f>_xlfn.XLOOKUP($N404,'Base de Grupos'!$A:$A,'Base de Grupos'!$F:$F)</f>
        <v>1000065763</v>
      </c>
      <c r="E404" s="2" t="str">
        <f>_xlfn.XLOOKUP($N404,'Base de Grupos'!$A:$A,'Base de Grupos'!$G:$G)</f>
        <v>CANAL VENDA INTERNA</v>
      </c>
      <c r="F404" s="2" t="str">
        <f>_xlfn.XLOOKUP($N404,'Base de Grupos'!$A:$A,'Base de Grupos'!$H:$H)</f>
        <v>1000105898</v>
      </c>
      <c r="G404" s="5" t="str">
        <f>_xlfn.XLOOKUP($N404,'Base de Grupos'!$A:$A,'Base de Grupos'!$I:$I)</f>
        <v>REGIONAL VENDA DIRETA SP</v>
      </c>
      <c r="H404" s="5" t="str">
        <f>_xlfn.XLOOKUP($N404,'Base de Grupos'!$A:$A,'Base de Grupos'!$J:$J)</f>
        <v>1000105898</v>
      </c>
      <c r="I404" s="2" t="str">
        <f>_xlfn.XLOOKUP($N404,'Base de Grupos'!$A:$A,'Base de Grupos'!$K:$K)</f>
        <v>REGIONAL VENDA DIRETA SP</v>
      </c>
      <c r="J404" s="2" t="str">
        <f>_xlfn.XLOOKUP($N404,'Base de Grupos'!$A:$A,'Base de Grupos'!$L:$L)</f>
        <v>1000150135</v>
      </c>
      <c r="K404" s="5" t="str">
        <f>_xlfn.XLOOKUP($N404,'Base de Grupos'!$A:$A,'Base de Grupos'!$M:$M)</f>
        <v>HELDER DA SILVA BRUNKOW</v>
      </c>
      <c r="L404" s="5" t="str">
        <f t="shared" si="405"/>
        <v/>
      </c>
      <c r="M404" s="5" t="str">
        <f>_xlfn.XLOOKUP($N404,'Base de Grupos'!$A:$A,'Base de Grupos'!$C:$C)</f>
        <v>SP</v>
      </c>
      <c r="N404" s="3">
        <v>1361</v>
      </c>
      <c r="O404" s="4" t="s">
        <v>246</v>
      </c>
      <c r="P404" s="5" t="s">
        <v>87</v>
      </c>
      <c r="Q404" s="56">
        <v>0</v>
      </c>
      <c r="R404" s="56">
        <v>0</v>
      </c>
      <c r="S404" s="56">
        <v>0</v>
      </c>
      <c r="T404" s="56">
        <f>_xlfn.XLOOKUP($N404,'Calculo Leads'!$A$97:$A$134,'Calculo Leads'!G$97:G$134)*_xlfn.XLOOKUP($P404,'Base Grupo de Produtos'!$E$2:$E$18,'Base Grupo de Produtos'!$F$2:$F$18)</f>
        <v>219.99999999999997</v>
      </c>
      <c r="U404" s="56">
        <f>_xlfn.XLOOKUP($N404,'Calculo Leads'!$A$97:$A$134,'Calculo Leads'!H$97:H$134)*_xlfn.XLOOKUP($P404,'Base Grupo de Produtos'!$E$2:$E$18,'Base Grupo de Produtos'!$F$2:$F$18)</f>
        <v>259.99999999999994</v>
      </c>
      <c r="V404" s="56">
        <f>_xlfn.XLOOKUP($N404,'Calculo Leads'!$A$97:$A$134,'Calculo Leads'!I$97:I$134)*_xlfn.XLOOKUP($P404,'Base Grupo de Produtos'!$E$2:$E$18,'Base Grupo de Produtos'!$F$2:$F$18)</f>
        <v>319.99999999999994</v>
      </c>
      <c r="W404" s="56">
        <f>_xlfn.XLOOKUP($N404,'Calculo Leads'!$A$97:$A$134,'Calculo Leads'!J$97:J$134)*_xlfn.XLOOKUP($P404,'Base Grupo de Produtos'!$E$2:$E$18,'Base Grupo de Produtos'!$F$2:$F$18)</f>
        <v>379.99999999999994</v>
      </c>
      <c r="X404" s="56">
        <f>_xlfn.XLOOKUP($N404,'Calculo Leads'!$A$97:$A$134,'Calculo Leads'!K$97:K$134)*_xlfn.XLOOKUP($P404,'Base Grupo de Produtos'!$E$2:$E$18,'Base Grupo de Produtos'!$F$2:$F$18)</f>
        <v>483.99999999999994</v>
      </c>
      <c r="Y404" s="56">
        <f>_xlfn.XLOOKUP($N404,'Calculo Leads'!$A$97:$A$134,'Calculo Leads'!L$97:L$134)*_xlfn.XLOOKUP($P404,'Base Grupo de Produtos'!$E$2:$E$18,'Base Grupo de Produtos'!$F$2:$F$18)</f>
        <v>593.99999999999989</v>
      </c>
      <c r="Z404" s="56">
        <f>_xlfn.XLOOKUP($N404,'Calculo Leads'!$A$97:$A$134,'Calculo Leads'!M$97:M$134)*_xlfn.XLOOKUP($P404,'Base Grupo de Produtos'!$E$2:$E$18,'Base Grupo de Produtos'!$F$2:$F$18)</f>
        <v>659.99999999999989</v>
      </c>
      <c r="AA404" s="56">
        <f>_xlfn.XLOOKUP($N404,'Calculo Leads'!$A$97:$A$134,'Calculo Leads'!N$97:N$134)*_xlfn.XLOOKUP($P404,'Base Grupo de Produtos'!$E$2:$E$18,'Base Grupo de Produtos'!$F$2:$F$18)</f>
        <v>747.99999999999989</v>
      </c>
      <c r="AB404" s="56">
        <f>_xlfn.XLOOKUP($N404,'Calculo Leads'!$A$97:$A$134,'Calculo Leads'!O$97:O$134)*_xlfn.XLOOKUP($P404,'Base Grupo de Produtos'!$E$2:$E$18,'Base Grupo de Produtos'!$F$2:$F$18)</f>
        <v>505.99999999999994</v>
      </c>
      <c r="AC404" s="61">
        <f t="shared" si="425"/>
        <v>4171.9999999999991</v>
      </c>
      <c r="AD404" s="27">
        <f t="shared" si="441"/>
        <v>4171.9999999999991</v>
      </c>
      <c r="AE404" s="25">
        <f>IFERROR(_xlfn.XLOOKUP(N404&amp;P404,'Historico Vendas'!G:G,'Historico Vendas'!E:E),0)</f>
        <v>0</v>
      </c>
      <c r="AF404" s="29" t="str">
        <f t="shared" si="403"/>
        <v/>
      </c>
      <c r="AG404" s="24">
        <f>IFERROR(_xlfn.XLOOKUP(N404&amp;P404,'Historico Vendas'!G:G,'Historico Vendas'!F:F),0)</f>
        <v>0</v>
      </c>
      <c r="AH404" s="25">
        <f t="shared" si="442"/>
        <v>0</v>
      </c>
      <c r="AI404" s="24">
        <f t="shared" si="443"/>
        <v>0</v>
      </c>
      <c r="AJ404" s="11" t="str">
        <f t="shared" si="406"/>
        <v/>
      </c>
      <c r="AK404" s="9" t="s">
        <v>102</v>
      </c>
      <c r="AL404" s="13">
        <f>IFERROR(INDEX('Balizador da Meta'!$D$3:$F$23,MATCH(Faturamento!$P404,'Balizador da Meta'!$C$3:$C$23,0),MATCH(Faturamento!AK404,'Balizador da Meta'!$D$2:$F$2,0)),"")</f>
        <v>0</v>
      </c>
      <c r="AM404" s="9"/>
    </row>
    <row r="405" spans="1:39" x14ac:dyDescent="0.3">
      <c r="A405" s="2" t="str">
        <f t="shared" si="404"/>
        <v>NÃO</v>
      </c>
      <c r="B405" s="2" t="str">
        <f>_xlfn.XLOOKUP($N405,'Base de Grupos'!$A:$A,'Base de Grupos'!$D:$D)</f>
        <v>1000065763</v>
      </c>
      <c r="C405" s="5" t="str">
        <f>_xlfn.XLOOKUP($N405,'Base de Grupos'!$A:$A,'Base de Grupos'!$E:$E)</f>
        <v>CANAL VENDA INTERNA</v>
      </c>
      <c r="D405" s="5" t="str">
        <f>_xlfn.XLOOKUP($N405,'Base de Grupos'!$A:$A,'Base de Grupos'!$F:$F)</f>
        <v>1000065763</v>
      </c>
      <c r="E405" s="2" t="str">
        <f>_xlfn.XLOOKUP($N405,'Base de Grupos'!$A:$A,'Base de Grupos'!$G:$G)</f>
        <v>CANAL VENDA INTERNA</v>
      </c>
      <c r="F405" s="2" t="str">
        <f>_xlfn.XLOOKUP($N405,'Base de Grupos'!$A:$A,'Base de Grupos'!$H:$H)</f>
        <v>1000105898</v>
      </c>
      <c r="G405" s="5" t="str">
        <f>_xlfn.XLOOKUP($N405,'Base de Grupos'!$A:$A,'Base de Grupos'!$I:$I)</f>
        <v>REGIONAL VENDA DIRETA SP</v>
      </c>
      <c r="H405" s="5" t="str">
        <f>_xlfn.XLOOKUP($N405,'Base de Grupos'!$A:$A,'Base de Grupos'!$J:$J)</f>
        <v>1000105898</v>
      </c>
      <c r="I405" s="2" t="str">
        <f>_xlfn.XLOOKUP($N405,'Base de Grupos'!$A:$A,'Base de Grupos'!$K:$K)</f>
        <v>REGIONAL VENDA DIRETA SP</v>
      </c>
      <c r="J405" s="2" t="str">
        <f>_xlfn.XLOOKUP($N405,'Base de Grupos'!$A:$A,'Base de Grupos'!$L:$L)</f>
        <v>1000150135</v>
      </c>
      <c r="K405" s="5" t="str">
        <f>_xlfn.XLOOKUP($N405,'Base de Grupos'!$A:$A,'Base de Grupos'!$M:$M)</f>
        <v>HELDER DA SILVA BRUNKOW</v>
      </c>
      <c r="L405" s="5" t="str">
        <f t="shared" si="405"/>
        <v/>
      </c>
      <c r="M405" s="5" t="str">
        <f>_xlfn.XLOOKUP($N405,'Base de Grupos'!$A:$A,'Base de Grupos'!$C:$C)</f>
        <v>SP</v>
      </c>
      <c r="N405" s="3">
        <v>1361</v>
      </c>
      <c r="O405" s="4" t="s">
        <v>246</v>
      </c>
      <c r="P405" s="5" t="s">
        <v>85</v>
      </c>
      <c r="Q405" s="56">
        <v>0</v>
      </c>
      <c r="R405" s="56">
        <v>0</v>
      </c>
      <c r="S405" s="56">
        <v>0</v>
      </c>
      <c r="T405" s="56">
        <f>_xlfn.XLOOKUP($N405,'Calculo Leads'!$A$97:$A$134,'Calculo Leads'!G$97:G$134)*_xlfn.XLOOKUP($P405,'Base Grupo de Produtos'!$E$2:$E$18,'Base Grupo de Produtos'!$F$2:$F$18)</f>
        <v>220</v>
      </c>
      <c r="U405" s="56">
        <f>_xlfn.XLOOKUP($N405,'Calculo Leads'!$A$97:$A$134,'Calculo Leads'!H$97:H$134)*_xlfn.XLOOKUP($P405,'Base Grupo de Produtos'!$E$2:$E$18,'Base Grupo de Produtos'!$F$2:$F$18)</f>
        <v>260</v>
      </c>
      <c r="V405" s="56">
        <f>_xlfn.XLOOKUP($N405,'Calculo Leads'!$A$97:$A$134,'Calculo Leads'!I$97:I$134)*_xlfn.XLOOKUP($P405,'Base Grupo de Produtos'!$E$2:$E$18,'Base Grupo de Produtos'!$F$2:$F$18)</f>
        <v>320</v>
      </c>
      <c r="W405" s="56">
        <f>_xlfn.XLOOKUP($N405,'Calculo Leads'!$A$97:$A$134,'Calculo Leads'!J$97:J$134)*_xlfn.XLOOKUP($P405,'Base Grupo de Produtos'!$E$2:$E$18,'Base Grupo de Produtos'!$F$2:$F$18)</f>
        <v>380</v>
      </c>
      <c r="X405" s="56">
        <f>_xlfn.XLOOKUP($N405,'Calculo Leads'!$A$97:$A$134,'Calculo Leads'!K$97:K$134)*_xlfn.XLOOKUP($P405,'Base Grupo de Produtos'!$E$2:$E$18,'Base Grupo de Produtos'!$F$2:$F$18)</f>
        <v>484</v>
      </c>
      <c r="Y405" s="56">
        <f>_xlfn.XLOOKUP($N405,'Calculo Leads'!$A$97:$A$134,'Calculo Leads'!L$97:L$134)*_xlfn.XLOOKUP($P405,'Base Grupo de Produtos'!$E$2:$E$18,'Base Grupo de Produtos'!$F$2:$F$18)</f>
        <v>594</v>
      </c>
      <c r="Z405" s="56">
        <f>_xlfn.XLOOKUP($N405,'Calculo Leads'!$A$97:$A$134,'Calculo Leads'!M$97:M$134)*_xlfn.XLOOKUP($P405,'Base Grupo de Produtos'!$E$2:$E$18,'Base Grupo de Produtos'!$F$2:$F$18)</f>
        <v>660</v>
      </c>
      <c r="AA405" s="56">
        <f>_xlfn.XLOOKUP($N405,'Calculo Leads'!$A$97:$A$134,'Calculo Leads'!N$97:N$134)*_xlfn.XLOOKUP($P405,'Base Grupo de Produtos'!$E$2:$E$18,'Base Grupo de Produtos'!$F$2:$F$18)</f>
        <v>748</v>
      </c>
      <c r="AB405" s="56">
        <f>_xlfn.XLOOKUP($N405,'Calculo Leads'!$A$97:$A$134,'Calculo Leads'!O$97:O$134)*_xlfn.XLOOKUP($P405,'Base Grupo de Produtos'!$E$2:$E$18,'Base Grupo de Produtos'!$F$2:$F$18)</f>
        <v>506</v>
      </c>
      <c r="AC405" s="61">
        <f t="shared" si="425"/>
        <v>4172</v>
      </c>
      <c r="AD405" s="27">
        <f t="shared" si="441"/>
        <v>4172</v>
      </c>
      <c r="AE405" s="25">
        <f>IFERROR(_xlfn.XLOOKUP(N405&amp;P405,'Historico Vendas'!G:G,'Historico Vendas'!E:E),0)</f>
        <v>0</v>
      </c>
      <c r="AF405" s="29" t="str">
        <f t="shared" si="403"/>
        <v/>
      </c>
      <c r="AG405" s="24">
        <f>IFERROR(_xlfn.XLOOKUP(N405&amp;P405,'Historico Vendas'!G:G,'Historico Vendas'!F:F),0)</f>
        <v>0</v>
      </c>
      <c r="AH405" s="25">
        <f t="shared" si="442"/>
        <v>0</v>
      </c>
      <c r="AI405" s="24">
        <f t="shared" si="443"/>
        <v>0</v>
      </c>
      <c r="AJ405" s="11" t="str">
        <f t="shared" si="406"/>
        <v/>
      </c>
      <c r="AK405" s="9" t="s">
        <v>102</v>
      </c>
      <c r="AL405" s="13">
        <f>IFERROR(INDEX('Balizador da Meta'!$D$3:$F$23,MATCH(Faturamento!$P405,'Balizador da Meta'!$C$3:$C$23,0),MATCH(Faturamento!AK405,'Balizador da Meta'!$D$2:$F$2,0)),"")</f>
        <v>0</v>
      </c>
      <c r="AM405" s="9"/>
    </row>
    <row r="406" spans="1:39" x14ac:dyDescent="0.3">
      <c r="A406" s="2" t="str">
        <f t="shared" si="404"/>
        <v>NÃO</v>
      </c>
      <c r="B406" s="2" t="str">
        <f>_xlfn.XLOOKUP($N406,'Base de Grupos'!$A:$A,'Base de Grupos'!$D:$D)</f>
        <v>1000065763</v>
      </c>
      <c r="C406" s="5" t="str">
        <f>_xlfn.XLOOKUP($N406,'Base de Grupos'!$A:$A,'Base de Grupos'!$E:$E)</f>
        <v>CANAL VENDA INTERNA</v>
      </c>
      <c r="D406" s="5" t="str">
        <f>_xlfn.XLOOKUP($N406,'Base de Grupos'!$A:$A,'Base de Grupos'!$F:$F)</f>
        <v>1000065763</v>
      </c>
      <c r="E406" s="2" t="str">
        <f>_xlfn.XLOOKUP($N406,'Base de Grupos'!$A:$A,'Base de Grupos'!$G:$G)</f>
        <v>CANAL VENDA INTERNA</v>
      </c>
      <c r="F406" s="2" t="str">
        <f>_xlfn.XLOOKUP($N406,'Base de Grupos'!$A:$A,'Base de Grupos'!$H:$H)</f>
        <v>1000105898</v>
      </c>
      <c r="G406" s="5" t="str">
        <f>_xlfn.XLOOKUP($N406,'Base de Grupos'!$A:$A,'Base de Grupos'!$I:$I)</f>
        <v>REGIONAL VENDA DIRETA SP</v>
      </c>
      <c r="H406" s="5" t="str">
        <f>_xlfn.XLOOKUP($N406,'Base de Grupos'!$A:$A,'Base de Grupos'!$J:$J)</f>
        <v>1000105898</v>
      </c>
      <c r="I406" s="2" t="str">
        <f>_xlfn.XLOOKUP($N406,'Base de Grupos'!$A:$A,'Base de Grupos'!$K:$K)</f>
        <v>REGIONAL VENDA DIRETA SP</v>
      </c>
      <c r="J406" s="2" t="str">
        <f>_xlfn.XLOOKUP($N406,'Base de Grupos'!$A:$A,'Base de Grupos'!$L:$L)</f>
        <v>1000150135</v>
      </c>
      <c r="K406" s="5" t="str">
        <f>_xlfn.XLOOKUP($N406,'Base de Grupos'!$A:$A,'Base de Grupos'!$M:$M)</f>
        <v>HELDER DA SILVA BRUNKOW</v>
      </c>
      <c r="L406" s="5" t="str">
        <f t="shared" si="405"/>
        <v/>
      </c>
      <c r="M406" s="5" t="str">
        <f>_xlfn.XLOOKUP($N406,'Base de Grupos'!$A:$A,'Base de Grupos'!$C:$C)</f>
        <v>SP</v>
      </c>
      <c r="N406" s="3">
        <v>1361</v>
      </c>
      <c r="O406" s="4" t="s">
        <v>246</v>
      </c>
      <c r="P406" s="5" t="s">
        <v>92</v>
      </c>
      <c r="Q406" s="56">
        <v>0</v>
      </c>
      <c r="R406" s="56">
        <v>0</v>
      </c>
      <c r="S406" s="56">
        <v>0</v>
      </c>
      <c r="T406" s="56">
        <f>_xlfn.XLOOKUP($N406,'Calculo Leads'!$A$97:$A$134,'Calculo Leads'!G$97:G$134)*_xlfn.XLOOKUP($P406,'Base Grupo de Produtos'!$E$2:$E$18,'Base Grupo de Produtos'!$F$2:$F$18)</f>
        <v>220</v>
      </c>
      <c r="U406" s="56">
        <f>_xlfn.XLOOKUP($N406,'Calculo Leads'!$A$97:$A$134,'Calculo Leads'!H$97:H$134)*_xlfn.XLOOKUP($P406,'Base Grupo de Produtos'!$E$2:$E$18,'Base Grupo de Produtos'!$F$2:$F$18)</f>
        <v>260</v>
      </c>
      <c r="V406" s="56">
        <f>_xlfn.XLOOKUP($N406,'Calculo Leads'!$A$97:$A$134,'Calculo Leads'!I$97:I$134)*_xlfn.XLOOKUP($P406,'Base Grupo de Produtos'!$E$2:$E$18,'Base Grupo de Produtos'!$F$2:$F$18)</f>
        <v>320</v>
      </c>
      <c r="W406" s="56">
        <f>_xlfn.XLOOKUP($N406,'Calculo Leads'!$A$97:$A$134,'Calculo Leads'!J$97:J$134)*_xlfn.XLOOKUP($P406,'Base Grupo de Produtos'!$E$2:$E$18,'Base Grupo de Produtos'!$F$2:$F$18)</f>
        <v>380</v>
      </c>
      <c r="X406" s="56">
        <f>_xlfn.XLOOKUP($N406,'Calculo Leads'!$A$97:$A$134,'Calculo Leads'!K$97:K$134)*_xlfn.XLOOKUP($P406,'Base Grupo de Produtos'!$E$2:$E$18,'Base Grupo de Produtos'!$F$2:$F$18)</f>
        <v>484</v>
      </c>
      <c r="Y406" s="56">
        <f>_xlfn.XLOOKUP($N406,'Calculo Leads'!$A$97:$A$134,'Calculo Leads'!L$97:L$134)*_xlfn.XLOOKUP($P406,'Base Grupo de Produtos'!$E$2:$E$18,'Base Grupo de Produtos'!$F$2:$F$18)</f>
        <v>594</v>
      </c>
      <c r="Z406" s="56">
        <f>_xlfn.XLOOKUP($N406,'Calculo Leads'!$A$97:$A$134,'Calculo Leads'!M$97:M$134)*_xlfn.XLOOKUP($P406,'Base Grupo de Produtos'!$E$2:$E$18,'Base Grupo de Produtos'!$F$2:$F$18)</f>
        <v>660</v>
      </c>
      <c r="AA406" s="56">
        <f>_xlfn.XLOOKUP($N406,'Calculo Leads'!$A$97:$A$134,'Calculo Leads'!N$97:N$134)*_xlfn.XLOOKUP($P406,'Base Grupo de Produtos'!$E$2:$E$18,'Base Grupo de Produtos'!$F$2:$F$18)</f>
        <v>748</v>
      </c>
      <c r="AB406" s="56">
        <f>_xlfn.XLOOKUP($N406,'Calculo Leads'!$A$97:$A$134,'Calculo Leads'!O$97:O$134)*_xlfn.XLOOKUP($P406,'Base Grupo de Produtos'!$E$2:$E$18,'Base Grupo de Produtos'!$F$2:$F$18)</f>
        <v>506</v>
      </c>
      <c r="AC406" s="61">
        <f t="shared" si="425"/>
        <v>4172</v>
      </c>
      <c r="AD406" s="27">
        <f t="shared" si="441"/>
        <v>4172</v>
      </c>
      <c r="AE406" s="25">
        <f>IFERROR(_xlfn.XLOOKUP(N406&amp;P406,'Historico Vendas'!G:G,'Historico Vendas'!E:E),0)</f>
        <v>0</v>
      </c>
      <c r="AF406" s="29" t="str">
        <f t="shared" si="403"/>
        <v/>
      </c>
      <c r="AG406" s="24">
        <f>IFERROR(_xlfn.XLOOKUP(N406&amp;P406,'Historico Vendas'!G:G,'Historico Vendas'!F:F),0)</f>
        <v>0</v>
      </c>
      <c r="AH406" s="25">
        <f t="shared" si="442"/>
        <v>0</v>
      </c>
      <c r="AI406" s="24">
        <f t="shared" si="443"/>
        <v>0</v>
      </c>
      <c r="AJ406" s="11" t="str">
        <f t="shared" si="406"/>
        <v/>
      </c>
      <c r="AK406" s="9" t="s">
        <v>102</v>
      </c>
      <c r="AL406" s="13">
        <f>IFERROR(INDEX('Balizador da Meta'!$D$3:$F$23,MATCH(Faturamento!$P406,'Balizador da Meta'!$C$3:$C$23,0),MATCH(Faturamento!AK406,'Balizador da Meta'!$D$2:$F$2,0)),"")</f>
        <v>0</v>
      </c>
      <c r="AM406" s="9"/>
    </row>
    <row r="407" spans="1:39" x14ac:dyDescent="0.3">
      <c r="A407" s="2" t="str">
        <f t="shared" si="404"/>
        <v>NÃO</v>
      </c>
      <c r="B407" s="2" t="str">
        <f>_xlfn.XLOOKUP($N407,'Base de Grupos'!$A:$A,'Base de Grupos'!$D:$D)</f>
        <v>1000065763</v>
      </c>
      <c r="C407" s="5" t="str">
        <f>_xlfn.XLOOKUP($N407,'Base de Grupos'!$A:$A,'Base de Grupos'!$E:$E)</f>
        <v>CANAL VENDA INTERNA</v>
      </c>
      <c r="D407" s="5" t="str">
        <f>_xlfn.XLOOKUP($N407,'Base de Grupos'!$A:$A,'Base de Grupos'!$F:$F)</f>
        <v>1000065763</v>
      </c>
      <c r="E407" s="2" t="str">
        <f>_xlfn.XLOOKUP($N407,'Base de Grupos'!$A:$A,'Base de Grupos'!$G:$G)</f>
        <v>CANAL VENDA INTERNA</v>
      </c>
      <c r="F407" s="2" t="str">
        <f>_xlfn.XLOOKUP($N407,'Base de Grupos'!$A:$A,'Base de Grupos'!$H:$H)</f>
        <v>1000105898</v>
      </c>
      <c r="G407" s="5" t="str">
        <f>_xlfn.XLOOKUP($N407,'Base de Grupos'!$A:$A,'Base de Grupos'!$I:$I)</f>
        <v>REGIONAL VENDA DIRETA SP</v>
      </c>
      <c r="H407" s="5" t="str">
        <f>_xlfn.XLOOKUP($N407,'Base de Grupos'!$A:$A,'Base de Grupos'!$J:$J)</f>
        <v>1000105898</v>
      </c>
      <c r="I407" s="2" t="str">
        <f>_xlfn.XLOOKUP($N407,'Base de Grupos'!$A:$A,'Base de Grupos'!$K:$K)</f>
        <v>REGIONAL VENDA DIRETA SP</v>
      </c>
      <c r="J407" s="2" t="str">
        <f>_xlfn.XLOOKUP($N407,'Base de Grupos'!$A:$A,'Base de Grupos'!$L:$L)</f>
        <v>1000150135</v>
      </c>
      <c r="K407" s="5" t="str">
        <f>_xlfn.XLOOKUP($N407,'Base de Grupos'!$A:$A,'Base de Grupos'!$M:$M)</f>
        <v>HELDER DA SILVA BRUNKOW</v>
      </c>
      <c r="L407" s="5" t="str">
        <f t="shared" si="405"/>
        <v/>
      </c>
      <c r="M407" s="5" t="str">
        <f>_xlfn.XLOOKUP($N407,'Base de Grupos'!$A:$A,'Base de Grupos'!$C:$C)</f>
        <v>SP</v>
      </c>
      <c r="N407" s="3">
        <v>1361</v>
      </c>
      <c r="O407" s="4" t="s">
        <v>246</v>
      </c>
      <c r="P407" s="5" t="s">
        <v>86</v>
      </c>
      <c r="Q407" s="56">
        <v>0</v>
      </c>
      <c r="R407" s="56">
        <v>0</v>
      </c>
      <c r="S407" s="56">
        <v>0</v>
      </c>
      <c r="T407" s="56">
        <f>_xlfn.XLOOKUP($N407,'Calculo Leads'!$A$97:$A$134,'Calculo Leads'!G$97:G$134)*_xlfn.XLOOKUP($P407,'Base Grupo de Produtos'!$E$2:$E$18,'Base Grupo de Produtos'!$F$2:$F$18)</f>
        <v>330</v>
      </c>
      <c r="U407" s="56">
        <f>_xlfn.XLOOKUP($N407,'Calculo Leads'!$A$97:$A$134,'Calculo Leads'!H$97:H$134)*_xlfn.XLOOKUP($P407,'Base Grupo de Produtos'!$E$2:$E$18,'Base Grupo de Produtos'!$F$2:$F$18)</f>
        <v>390</v>
      </c>
      <c r="V407" s="56">
        <f>_xlfn.XLOOKUP($N407,'Calculo Leads'!$A$97:$A$134,'Calculo Leads'!I$97:I$134)*_xlfn.XLOOKUP($P407,'Base Grupo de Produtos'!$E$2:$E$18,'Base Grupo de Produtos'!$F$2:$F$18)</f>
        <v>480</v>
      </c>
      <c r="W407" s="56">
        <f>_xlfn.XLOOKUP($N407,'Calculo Leads'!$A$97:$A$134,'Calculo Leads'!J$97:J$134)*_xlfn.XLOOKUP($P407,'Base Grupo de Produtos'!$E$2:$E$18,'Base Grupo de Produtos'!$F$2:$F$18)</f>
        <v>570</v>
      </c>
      <c r="X407" s="56">
        <f>_xlfn.XLOOKUP($N407,'Calculo Leads'!$A$97:$A$134,'Calculo Leads'!K$97:K$134)*_xlfn.XLOOKUP($P407,'Base Grupo de Produtos'!$E$2:$E$18,'Base Grupo de Produtos'!$F$2:$F$18)</f>
        <v>726</v>
      </c>
      <c r="Y407" s="56">
        <f>_xlfn.XLOOKUP($N407,'Calculo Leads'!$A$97:$A$134,'Calculo Leads'!L$97:L$134)*_xlfn.XLOOKUP($P407,'Base Grupo de Produtos'!$E$2:$E$18,'Base Grupo de Produtos'!$F$2:$F$18)</f>
        <v>891</v>
      </c>
      <c r="Z407" s="56">
        <f>_xlfn.XLOOKUP($N407,'Calculo Leads'!$A$97:$A$134,'Calculo Leads'!M$97:M$134)*_xlfn.XLOOKUP($P407,'Base Grupo de Produtos'!$E$2:$E$18,'Base Grupo de Produtos'!$F$2:$F$18)</f>
        <v>990</v>
      </c>
      <c r="AA407" s="56">
        <f>_xlfn.XLOOKUP($N407,'Calculo Leads'!$A$97:$A$134,'Calculo Leads'!N$97:N$134)*_xlfn.XLOOKUP($P407,'Base Grupo de Produtos'!$E$2:$E$18,'Base Grupo de Produtos'!$F$2:$F$18)</f>
        <v>1122</v>
      </c>
      <c r="AB407" s="56">
        <f>_xlfn.XLOOKUP($N407,'Calculo Leads'!$A$97:$A$134,'Calculo Leads'!O$97:O$134)*_xlfn.XLOOKUP($P407,'Base Grupo de Produtos'!$E$2:$E$18,'Base Grupo de Produtos'!$F$2:$F$18)</f>
        <v>759</v>
      </c>
      <c r="AC407" s="61">
        <f t="shared" si="425"/>
        <v>6258</v>
      </c>
      <c r="AD407" s="27">
        <f t="shared" si="441"/>
        <v>6258</v>
      </c>
      <c r="AE407" s="25">
        <f>IFERROR(_xlfn.XLOOKUP(N407&amp;P407,'Historico Vendas'!G:G,'Historico Vendas'!E:E),0)</f>
        <v>0</v>
      </c>
      <c r="AF407" s="29" t="str">
        <f t="shared" si="403"/>
        <v/>
      </c>
      <c r="AG407" s="24">
        <f>IFERROR(_xlfn.XLOOKUP(N407&amp;P407,'Historico Vendas'!G:G,'Historico Vendas'!F:F),0)</f>
        <v>0</v>
      </c>
      <c r="AH407" s="25">
        <f t="shared" si="442"/>
        <v>0</v>
      </c>
      <c r="AI407" s="24">
        <f t="shared" si="443"/>
        <v>0</v>
      </c>
      <c r="AJ407" s="11" t="str">
        <f t="shared" si="406"/>
        <v/>
      </c>
      <c r="AK407" s="9" t="s">
        <v>102</v>
      </c>
      <c r="AL407" s="13">
        <f>IFERROR(INDEX('Balizador da Meta'!$D$3:$F$23,MATCH(Faturamento!$P407,'Balizador da Meta'!$C$3:$C$23,0),MATCH(Faturamento!AK407,'Balizador da Meta'!$D$2:$F$2,0)),"")</f>
        <v>0.15</v>
      </c>
      <c r="AM407" s="9"/>
    </row>
    <row r="408" spans="1:39" x14ac:dyDescent="0.3">
      <c r="A408" s="2" t="str">
        <f t="shared" si="404"/>
        <v>NÃO</v>
      </c>
      <c r="B408" s="2" t="str">
        <f>_xlfn.XLOOKUP($N408,'Base de Grupos'!$A:$A,'Base de Grupos'!$D:$D)</f>
        <v>1000065763</v>
      </c>
      <c r="C408" s="5" t="str">
        <f>_xlfn.XLOOKUP($N408,'Base de Grupos'!$A:$A,'Base de Grupos'!$E:$E)</f>
        <v>CANAL VENDA INTERNA</v>
      </c>
      <c r="D408" s="5" t="str">
        <f>_xlfn.XLOOKUP($N408,'Base de Grupos'!$A:$A,'Base de Grupos'!$F:$F)</f>
        <v>1000065763</v>
      </c>
      <c r="E408" s="2" t="str">
        <f>_xlfn.XLOOKUP($N408,'Base de Grupos'!$A:$A,'Base de Grupos'!$G:$G)</f>
        <v>CANAL VENDA INTERNA</v>
      </c>
      <c r="F408" s="2" t="str">
        <f>_xlfn.XLOOKUP($N408,'Base de Grupos'!$A:$A,'Base de Grupos'!$H:$H)</f>
        <v>1000105898</v>
      </c>
      <c r="G408" s="5" t="str">
        <f>_xlfn.XLOOKUP($N408,'Base de Grupos'!$A:$A,'Base de Grupos'!$I:$I)</f>
        <v>REGIONAL VENDA DIRETA SP</v>
      </c>
      <c r="H408" s="5" t="str">
        <f>_xlfn.XLOOKUP($N408,'Base de Grupos'!$A:$A,'Base de Grupos'!$J:$J)</f>
        <v>1000105898</v>
      </c>
      <c r="I408" s="2" t="str">
        <f>_xlfn.XLOOKUP($N408,'Base de Grupos'!$A:$A,'Base de Grupos'!$K:$K)</f>
        <v>REGIONAL VENDA DIRETA SP</v>
      </c>
      <c r="J408" s="2" t="str">
        <f>_xlfn.XLOOKUP($N408,'Base de Grupos'!$A:$A,'Base de Grupos'!$L:$L)</f>
        <v>1000150135</v>
      </c>
      <c r="K408" s="5" t="str">
        <f>_xlfn.XLOOKUP($N408,'Base de Grupos'!$A:$A,'Base de Grupos'!$M:$M)</f>
        <v>HELDER DA SILVA BRUNKOW</v>
      </c>
      <c r="L408" s="5" t="str">
        <f t="shared" si="405"/>
        <v/>
      </c>
      <c r="M408" s="5" t="str">
        <f>_xlfn.XLOOKUP($N408,'Base de Grupos'!$A:$A,'Base de Grupos'!$C:$C)</f>
        <v>SP</v>
      </c>
      <c r="N408" s="3">
        <v>1361</v>
      </c>
      <c r="O408" s="4" t="s">
        <v>246</v>
      </c>
      <c r="P408" s="5" t="s">
        <v>108</v>
      </c>
      <c r="Q408" s="56">
        <v>0</v>
      </c>
      <c r="R408" s="56">
        <v>0</v>
      </c>
      <c r="S408" s="56">
        <v>0</v>
      </c>
      <c r="T408" s="56">
        <f>_xlfn.XLOOKUP($N408,'Calculo Leads'!$A$97:$A$134,'Calculo Leads'!G$97:G$134)*_xlfn.XLOOKUP($P408,'Base Grupo de Produtos'!$E$2:$E$18,'Base Grupo de Produtos'!$F$2:$F$18)</f>
        <v>2750</v>
      </c>
      <c r="U408" s="56">
        <f>_xlfn.XLOOKUP($N408,'Calculo Leads'!$A$97:$A$134,'Calculo Leads'!H$97:H$134)*_xlfn.XLOOKUP($P408,'Base Grupo de Produtos'!$E$2:$E$18,'Base Grupo de Produtos'!$F$2:$F$18)</f>
        <v>3250</v>
      </c>
      <c r="V408" s="56">
        <f>_xlfn.XLOOKUP($N408,'Calculo Leads'!$A$97:$A$134,'Calculo Leads'!I$97:I$134)*_xlfn.XLOOKUP($P408,'Base Grupo de Produtos'!$E$2:$E$18,'Base Grupo de Produtos'!$F$2:$F$18)</f>
        <v>4000</v>
      </c>
      <c r="W408" s="56">
        <f>_xlfn.XLOOKUP($N408,'Calculo Leads'!$A$97:$A$134,'Calculo Leads'!J$97:J$134)*_xlfn.XLOOKUP($P408,'Base Grupo de Produtos'!$E$2:$E$18,'Base Grupo de Produtos'!$F$2:$F$18)</f>
        <v>4750</v>
      </c>
      <c r="X408" s="56">
        <f>_xlfn.XLOOKUP($N408,'Calculo Leads'!$A$97:$A$134,'Calculo Leads'!K$97:K$134)*_xlfn.XLOOKUP($P408,'Base Grupo de Produtos'!$E$2:$E$18,'Base Grupo de Produtos'!$F$2:$F$18)</f>
        <v>6050</v>
      </c>
      <c r="Y408" s="56">
        <f>_xlfn.XLOOKUP($N408,'Calculo Leads'!$A$97:$A$134,'Calculo Leads'!L$97:L$134)*_xlfn.XLOOKUP($P408,'Base Grupo de Produtos'!$E$2:$E$18,'Base Grupo de Produtos'!$F$2:$F$18)</f>
        <v>7425</v>
      </c>
      <c r="Z408" s="56">
        <f>_xlfn.XLOOKUP($N408,'Calculo Leads'!$A$97:$A$134,'Calculo Leads'!M$97:M$134)*_xlfn.XLOOKUP($P408,'Base Grupo de Produtos'!$E$2:$E$18,'Base Grupo de Produtos'!$F$2:$F$18)</f>
        <v>8250</v>
      </c>
      <c r="AA408" s="56">
        <f>_xlfn.XLOOKUP($N408,'Calculo Leads'!$A$97:$A$134,'Calculo Leads'!N$97:N$134)*_xlfn.XLOOKUP($P408,'Base Grupo de Produtos'!$E$2:$E$18,'Base Grupo de Produtos'!$F$2:$F$18)</f>
        <v>9350</v>
      </c>
      <c r="AB408" s="56">
        <f>_xlfn.XLOOKUP($N408,'Calculo Leads'!$A$97:$A$134,'Calculo Leads'!O$97:O$134)*_xlfn.XLOOKUP($P408,'Base Grupo de Produtos'!$E$2:$E$18,'Base Grupo de Produtos'!$F$2:$F$18)</f>
        <v>6325</v>
      </c>
      <c r="AC408" s="61">
        <f t="shared" si="425"/>
        <v>52150</v>
      </c>
      <c r="AD408" s="27">
        <f t="shared" si="441"/>
        <v>52150</v>
      </c>
      <c r="AE408" s="25">
        <f>IFERROR(_xlfn.XLOOKUP(N408&amp;P408,'Historico Vendas'!G:G,'Historico Vendas'!E:E),0)</f>
        <v>0</v>
      </c>
      <c r="AF408" s="29" t="str">
        <f t="shared" si="403"/>
        <v/>
      </c>
      <c r="AG408" s="24">
        <f>IFERROR(_xlfn.XLOOKUP(N408&amp;P408,'Historico Vendas'!G:G,'Historico Vendas'!F:F),0)</f>
        <v>0</v>
      </c>
      <c r="AH408" s="25">
        <f t="shared" si="442"/>
        <v>0</v>
      </c>
      <c r="AI408" s="24">
        <f t="shared" si="443"/>
        <v>0</v>
      </c>
      <c r="AJ408" s="11" t="str">
        <f t="shared" si="406"/>
        <v/>
      </c>
      <c r="AK408" s="9" t="s">
        <v>102</v>
      </c>
      <c r="AL408" s="13">
        <f>IFERROR(INDEX('Balizador da Meta'!$D$3:$F$23,MATCH(Faturamento!$P408,'Balizador da Meta'!$C$3:$C$23,0),MATCH(Faturamento!AK408,'Balizador da Meta'!$D$2:$F$2,0)),"")</f>
        <v>0</v>
      </c>
      <c r="AM408" s="9"/>
    </row>
    <row r="409" spans="1:39" x14ac:dyDescent="0.3">
      <c r="A409" s="2" t="str">
        <f t="shared" si="404"/>
        <v>NÃO</v>
      </c>
      <c r="B409" s="2" t="str">
        <f>_xlfn.XLOOKUP($N409,'Base de Grupos'!$A:$A,'Base de Grupos'!$D:$D)</f>
        <v>1000065763</v>
      </c>
      <c r="C409" s="5" t="str">
        <f>_xlfn.XLOOKUP($N409,'Base de Grupos'!$A:$A,'Base de Grupos'!$E:$E)</f>
        <v>CANAL VENDA INTERNA</v>
      </c>
      <c r="D409" s="5" t="str">
        <f>_xlfn.XLOOKUP($N409,'Base de Grupos'!$A:$A,'Base de Grupos'!$F:$F)</f>
        <v>1000065763</v>
      </c>
      <c r="E409" s="2" t="str">
        <f>_xlfn.XLOOKUP($N409,'Base de Grupos'!$A:$A,'Base de Grupos'!$G:$G)</f>
        <v>CANAL VENDA INTERNA</v>
      </c>
      <c r="F409" s="2" t="str">
        <f>_xlfn.XLOOKUP($N409,'Base de Grupos'!$A:$A,'Base de Grupos'!$H:$H)</f>
        <v>1000105898</v>
      </c>
      <c r="G409" s="5" t="str">
        <f>_xlfn.XLOOKUP($N409,'Base de Grupos'!$A:$A,'Base de Grupos'!$I:$I)</f>
        <v>REGIONAL VENDA DIRETA SP</v>
      </c>
      <c r="H409" s="5" t="str">
        <f>_xlfn.XLOOKUP($N409,'Base de Grupos'!$A:$A,'Base de Grupos'!$J:$J)</f>
        <v>1000105898</v>
      </c>
      <c r="I409" s="2" t="str">
        <f>_xlfn.XLOOKUP($N409,'Base de Grupos'!$A:$A,'Base de Grupos'!$K:$K)</f>
        <v>REGIONAL VENDA DIRETA SP</v>
      </c>
      <c r="J409" s="2" t="str">
        <f>_xlfn.XLOOKUP($N409,'Base de Grupos'!$A:$A,'Base de Grupos'!$L:$L)</f>
        <v>1000150135</v>
      </c>
      <c r="K409" s="5" t="str">
        <f>_xlfn.XLOOKUP($N409,'Base de Grupos'!$A:$A,'Base de Grupos'!$M:$M)</f>
        <v>HELDER DA SILVA BRUNKOW</v>
      </c>
      <c r="L409" s="5" t="str">
        <f t="shared" si="405"/>
        <v/>
      </c>
      <c r="M409" s="5" t="str">
        <f>_xlfn.XLOOKUP($N409,'Base de Grupos'!$A:$A,'Base de Grupos'!$C:$C)</f>
        <v>SP</v>
      </c>
      <c r="N409" s="3">
        <v>1361</v>
      </c>
      <c r="O409" s="4" t="s">
        <v>246</v>
      </c>
      <c r="P409" s="5" t="s">
        <v>89</v>
      </c>
      <c r="Q409" s="56">
        <v>0</v>
      </c>
      <c r="R409" s="56">
        <v>0</v>
      </c>
      <c r="S409" s="56">
        <v>0</v>
      </c>
      <c r="T409" s="56">
        <f>_xlfn.XLOOKUP($N409,'Calculo Leads'!$A$97:$A$134,'Calculo Leads'!G$97:G$134)*_xlfn.XLOOKUP($P409,'Base Grupo de Produtos'!$E$2:$E$18,'Base Grupo de Produtos'!$F$2:$F$18)</f>
        <v>550</v>
      </c>
      <c r="U409" s="56">
        <f>_xlfn.XLOOKUP($N409,'Calculo Leads'!$A$97:$A$134,'Calculo Leads'!H$97:H$134)*_xlfn.XLOOKUP($P409,'Base Grupo de Produtos'!$E$2:$E$18,'Base Grupo de Produtos'!$F$2:$F$18)</f>
        <v>650</v>
      </c>
      <c r="V409" s="56">
        <f>_xlfn.XLOOKUP($N409,'Calculo Leads'!$A$97:$A$134,'Calculo Leads'!I$97:I$134)*_xlfn.XLOOKUP($P409,'Base Grupo de Produtos'!$E$2:$E$18,'Base Grupo de Produtos'!$F$2:$F$18)</f>
        <v>800</v>
      </c>
      <c r="W409" s="56">
        <f>_xlfn.XLOOKUP($N409,'Calculo Leads'!$A$97:$A$134,'Calculo Leads'!J$97:J$134)*_xlfn.XLOOKUP($P409,'Base Grupo de Produtos'!$E$2:$E$18,'Base Grupo de Produtos'!$F$2:$F$18)</f>
        <v>950</v>
      </c>
      <c r="X409" s="56">
        <f>_xlfn.XLOOKUP($N409,'Calculo Leads'!$A$97:$A$134,'Calculo Leads'!K$97:K$134)*_xlfn.XLOOKUP($P409,'Base Grupo de Produtos'!$E$2:$E$18,'Base Grupo de Produtos'!$F$2:$F$18)</f>
        <v>1210</v>
      </c>
      <c r="Y409" s="56">
        <f>_xlfn.XLOOKUP($N409,'Calculo Leads'!$A$97:$A$134,'Calculo Leads'!L$97:L$134)*_xlfn.XLOOKUP($P409,'Base Grupo de Produtos'!$E$2:$E$18,'Base Grupo de Produtos'!$F$2:$F$18)</f>
        <v>1485</v>
      </c>
      <c r="Z409" s="56">
        <f>_xlfn.XLOOKUP($N409,'Calculo Leads'!$A$97:$A$134,'Calculo Leads'!M$97:M$134)*_xlfn.XLOOKUP($P409,'Base Grupo de Produtos'!$E$2:$E$18,'Base Grupo de Produtos'!$F$2:$F$18)</f>
        <v>1650</v>
      </c>
      <c r="AA409" s="56">
        <f>_xlfn.XLOOKUP($N409,'Calculo Leads'!$A$97:$A$134,'Calculo Leads'!N$97:N$134)*_xlfn.XLOOKUP($P409,'Base Grupo de Produtos'!$E$2:$E$18,'Base Grupo de Produtos'!$F$2:$F$18)</f>
        <v>1870</v>
      </c>
      <c r="AB409" s="56">
        <f>_xlfn.XLOOKUP($N409,'Calculo Leads'!$A$97:$A$134,'Calculo Leads'!O$97:O$134)*_xlfn.XLOOKUP($P409,'Base Grupo de Produtos'!$E$2:$E$18,'Base Grupo de Produtos'!$F$2:$F$18)</f>
        <v>1265</v>
      </c>
      <c r="AC409" s="61">
        <f t="shared" si="425"/>
        <v>10430</v>
      </c>
      <c r="AD409" s="27">
        <f t="shared" si="441"/>
        <v>10430</v>
      </c>
      <c r="AE409" s="25">
        <f>IFERROR(_xlfn.XLOOKUP(N409&amp;P409,'Historico Vendas'!G:G,'Historico Vendas'!E:E),0)</f>
        <v>0</v>
      </c>
      <c r="AF409" s="29" t="str">
        <f t="shared" si="403"/>
        <v/>
      </c>
      <c r="AG409" s="24">
        <f>IFERROR(_xlfn.XLOOKUP(N409&amp;P409,'Historico Vendas'!G:G,'Historico Vendas'!F:F),0)</f>
        <v>0</v>
      </c>
      <c r="AH409" s="25">
        <f t="shared" si="442"/>
        <v>0</v>
      </c>
      <c r="AI409" s="24">
        <f t="shared" si="443"/>
        <v>0</v>
      </c>
      <c r="AJ409" s="11" t="str">
        <f t="shared" si="406"/>
        <v/>
      </c>
      <c r="AK409" s="9" t="s">
        <v>102</v>
      </c>
      <c r="AL409" s="13">
        <f>IFERROR(INDEX('Balizador da Meta'!$D$3:$F$23,MATCH(Faturamento!$P409,'Balizador da Meta'!$C$3:$C$23,0),MATCH(Faturamento!AK409,'Balizador da Meta'!$D$2:$F$2,0)),"")</f>
        <v>0.25</v>
      </c>
      <c r="AM409" s="9"/>
    </row>
    <row r="410" spans="1:39" x14ac:dyDescent="0.3">
      <c r="A410" s="2" t="str">
        <f t="shared" si="404"/>
        <v>NÃO</v>
      </c>
      <c r="B410" s="2" t="str">
        <f>_xlfn.XLOOKUP($N410,'Base de Grupos'!$A:$A,'Base de Grupos'!$D:$D)</f>
        <v>1000065763</v>
      </c>
      <c r="C410" s="5" t="str">
        <f>_xlfn.XLOOKUP($N410,'Base de Grupos'!$A:$A,'Base de Grupos'!$E:$E)</f>
        <v>CANAL VENDA INTERNA</v>
      </c>
      <c r="D410" s="5" t="str">
        <f>_xlfn.XLOOKUP($N410,'Base de Grupos'!$A:$A,'Base de Grupos'!$F:$F)</f>
        <v>1000065763</v>
      </c>
      <c r="E410" s="2" t="str">
        <f>_xlfn.XLOOKUP($N410,'Base de Grupos'!$A:$A,'Base de Grupos'!$G:$G)</f>
        <v>CANAL VENDA INTERNA</v>
      </c>
      <c r="F410" s="2" t="str">
        <f>_xlfn.XLOOKUP($N410,'Base de Grupos'!$A:$A,'Base de Grupos'!$H:$H)</f>
        <v>1000105898</v>
      </c>
      <c r="G410" s="5" t="str">
        <f>_xlfn.XLOOKUP($N410,'Base de Grupos'!$A:$A,'Base de Grupos'!$I:$I)</f>
        <v>REGIONAL VENDA DIRETA SP</v>
      </c>
      <c r="H410" s="5" t="str">
        <f>_xlfn.XLOOKUP($N410,'Base de Grupos'!$A:$A,'Base de Grupos'!$J:$J)</f>
        <v>1000105898</v>
      </c>
      <c r="I410" s="2" t="str">
        <f>_xlfn.XLOOKUP($N410,'Base de Grupos'!$A:$A,'Base de Grupos'!$K:$K)</f>
        <v>REGIONAL VENDA DIRETA SP</v>
      </c>
      <c r="J410" s="2" t="str">
        <f>_xlfn.XLOOKUP($N410,'Base de Grupos'!$A:$A,'Base de Grupos'!$L:$L)</f>
        <v>1000150135</v>
      </c>
      <c r="K410" s="5" t="str">
        <f>_xlfn.XLOOKUP($N410,'Base de Grupos'!$A:$A,'Base de Grupos'!$M:$M)</f>
        <v>HELDER DA SILVA BRUNKOW</v>
      </c>
      <c r="L410" s="5" t="str">
        <f t="shared" si="405"/>
        <v/>
      </c>
      <c r="M410" s="5" t="str">
        <f>_xlfn.XLOOKUP($N410,'Base de Grupos'!$A:$A,'Base de Grupos'!$C:$C)</f>
        <v>SP</v>
      </c>
      <c r="N410" s="3">
        <v>1361</v>
      </c>
      <c r="O410" s="4" t="s">
        <v>246</v>
      </c>
      <c r="P410" s="5" t="s">
        <v>88</v>
      </c>
      <c r="Q410" s="56">
        <v>0</v>
      </c>
      <c r="R410" s="56">
        <v>0</v>
      </c>
      <c r="S410" s="56">
        <v>0</v>
      </c>
      <c r="T410" s="56">
        <f>_xlfn.XLOOKUP($N410,'Calculo Leads'!$A$97:$A$134,'Calculo Leads'!G$97:G$134)*_xlfn.XLOOKUP($P410,'Base Grupo de Produtos'!$E$2:$E$18,'Base Grupo de Produtos'!$F$2:$F$18)</f>
        <v>550</v>
      </c>
      <c r="U410" s="56">
        <f>_xlfn.XLOOKUP($N410,'Calculo Leads'!$A$97:$A$134,'Calculo Leads'!H$97:H$134)*_xlfn.XLOOKUP($P410,'Base Grupo de Produtos'!$E$2:$E$18,'Base Grupo de Produtos'!$F$2:$F$18)</f>
        <v>650</v>
      </c>
      <c r="V410" s="56">
        <f>_xlfn.XLOOKUP($N410,'Calculo Leads'!$A$97:$A$134,'Calculo Leads'!I$97:I$134)*_xlfn.XLOOKUP($P410,'Base Grupo de Produtos'!$E$2:$E$18,'Base Grupo de Produtos'!$F$2:$F$18)</f>
        <v>800</v>
      </c>
      <c r="W410" s="56">
        <f>_xlfn.XLOOKUP($N410,'Calculo Leads'!$A$97:$A$134,'Calculo Leads'!J$97:J$134)*_xlfn.XLOOKUP($P410,'Base Grupo de Produtos'!$E$2:$E$18,'Base Grupo de Produtos'!$F$2:$F$18)</f>
        <v>950</v>
      </c>
      <c r="X410" s="56">
        <f>_xlfn.XLOOKUP($N410,'Calculo Leads'!$A$97:$A$134,'Calculo Leads'!K$97:K$134)*_xlfn.XLOOKUP($P410,'Base Grupo de Produtos'!$E$2:$E$18,'Base Grupo de Produtos'!$F$2:$F$18)</f>
        <v>1210</v>
      </c>
      <c r="Y410" s="56">
        <f>_xlfn.XLOOKUP($N410,'Calculo Leads'!$A$97:$A$134,'Calculo Leads'!L$97:L$134)*_xlfn.XLOOKUP($P410,'Base Grupo de Produtos'!$E$2:$E$18,'Base Grupo de Produtos'!$F$2:$F$18)</f>
        <v>1485</v>
      </c>
      <c r="Z410" s="56">
        <f>_xlfn.XLOOKUP($N410,'Calculo Leads'!$A$97:$A$134,'Calculo Leads'!M$97:M$134)*_xlfn.XLOOKUP($P410,'Base Grupo de Produtos'!$E$2:$E$18,'Base Grupo de Produtos'!$F$2:$F$18)</f>
        <v>1650</v>
      </c>
      <c r="AA410" s="56">
        <f>_xlfn.XLOOKUP($N410,'Calculo Leads'!$A$97:$A$134,'Calculo Leads'!N$97:N$134)*_xlfn.XLOOKUP($P410,'Base Grupo de Produtos'!$E$2:$E$18,'Base Grupo de Produtos'!$F$2:$F$18)</f>
        <v>1870</v>
      </c>
      <c r="AB410" s="56">
        <f>_xlfn.XLOOKUP($N410,'Calculo Leads'!$A$97:$A$134,'Calculo Leads'!O$97:O$134)*_xlfn.XLOOKUP($P410,'Base Grupo de Produtos'!$E$2:$E$18,'Base Grupo de Produtos'!$F$2:$F$18)</f>
        <v>1265</v>
      </c>
      <c r="AC410" s="61">
        <f t="shared" si="425"/>
        <v>10430</v>
      </c>
      <c r="AD410" s="27">
        <f t="shared" si="441"/>
        <v>10430</v>
      </c>
      <c r="AE410" s="25">
        <f>IFERROR(_xlfn.XLOOKUP(N410&amp;P410,'Historico Vendas'!G:G,'Historico Vendas'!E:E),0)</f>
        <v>0</v>
      </c>
      <c r="AF410" s="29" t="str">
        <f t="shared" si="403"/>
        <v/>
      </c>
      <c r="AG410" s="24">
        <f>IFERROR(_xlfn.XLOOKUP(N410&amp;P410,'Historico Vendas'!G:G,'Historico Vendas'!F:F),0)</f>
        <v>0</v>
      </c>
      <c r="AH410" s="25">
        <f t="shared" si="442"/>
        <v>0</v>
      </c>
      <c r="AI410" s="24">
        <f t="shared" si="443"/>
        <v>0</v>
      </c>
      <c r="AJ410" s="11" t="str">
        <f t="shared" si="406"/>
        <v/>
      </c>
      <c r="AK410" s="9" t="s">
        <v>102</v>
      </c>
      <c r="AL410" s="13">
        <f>IFERROR(INDEX('Balizador da Meta'!$D$3:$F$23,MATCH(Faturamento!$P410,'Balizador da Meta'!$C$3:$C$23,0),MATCH(Faturamento!AK410,'Balizador da Meta'!$D$2:$F$2,0)),"")</f>
        <v>0</v>
      </c>
      <c r="AM410" s="9"/>
    </row>
    <row r="411" spans="1:39" x14ac:dyDescent="0.3">
      <c r="A411" s="2" t="str">
        <f t="shared" si="404"/>
        <v>NÃO</v>
      </c>
      <c r="B411" s="2" t="str">
        <f>_xlfn.XLOOKUP($N411,'Base de Grupos'!$A:$A,'Base de Grupos'!$D:$D)</f>
        <v>1000065763</v>
      </c>
      <c r="C411" s="5" t="str">
        <f>_xlfn.XLOOKUP($N411,'Base de Grupos'!$A:$A,'Base de Grupos'!$E:$E)</f>
        <v>CANAL VENDA INTERNA</v>
      </c>
      <c r="D411" s="5" t="str">
        <f>_xlfn.XLOOKUP($N411,'Base de Grupos'!$A:$A,'Base de Grupos'!$F:$F)</f>
        <v>1000065763</v>
      </c>
      <c r="E411" s="2" t="str">
        <f>_xlfn.XLOOKUP($N411,'Base de Grupos'!$A:$A,'Base de Grupos'!$G:$G)</f>
        <v>CANAL VENDA INTERNA</v>
      </c>
      <c r="F411" s="2" t="str">
        <f>_xlfn.XLOOKUP($N411,'Base de Grupos'!$A:$A,'Base de Grupos'!$H:$H)</f>
        <v>1000105898</v>
      </c>
      <c r="G411" s="5" t="str">
        <f>_xlfn.XLOOKUP($N411,'Base de Grupos'!$A:$A,'Base de Grupos'!$I:$I)</f>
        <v>REGIONAL VENDA DIRETA SP</v>
      </c>
      <c r="H411" s="5" t="str">
        <f>_xlfn.XLOOKUP($N411,'Base de Grupos'!$A:$A,'Base de Grupos'!$J:$J)</f>
        <v>1000105898</v>
      </c>
      <c r="I411" s="2" t="str">
        <f>_xlfn.XLOOKUP($N411,'Base de Grupos'!$A:$A,'Base de Grupos'!$K:$K)</f>
        <v>REGIONAL VENDA DIRETA SP</v>
      </c>
      <c r="J411" s="2" t="str">
        <f>_xlfn.XLOOKUP($N411,'Base de Grupos'!$A:$A,'Base de Grupos'!$L:$L)</f>
        <v>1000150135</v>
      </c>
      <c r="K411" s="5" t="str">
        <f>_xlfn.XLOOKUP($N411,'Base de Grupos'!$A:$A,'Base de Grupos'!$M:$M)</f>
        <v>HELDER DA SILVA BRUNKOW</v>
      </c>
      <c r="L411" s="5" t="str">
        <f t="shared" si="405"/>
        <v/>
      </c>
      <c r="M411" s="5" t="str">
        <f>_xlfn.XLOOKUP($N411,'Base de Grupos'!$A:$A,'Base de Grupos'!$C:$C)</f>
        <v>SP</v>
      </c>
      <c r="N411" s="3">
        <v>1361</v>
      </c>
      <c r="O411" s="4" t="s">
        <v>246</v>
      </c>
      <c r="P411" s="5" t="s">
        <v>90</v>
      </c>
      <c r="Q411" s="56">
        <v>0</v>
      </c>
      <c r="R411" s="56">
        <v>0</v>
      </c>
      <c r="S411" s="56">
        <v>0</v>
      </c>
      <c r="T411" s="56">
        <f>_xlfn.XLOOKUP($N411,'Calculo Leads'!$A$97:$A$134,'Calculo Leads'!G$97:G$134)*_xlfn.XLOOKUP($P411,'Base Grupo de Produtos'!$E$2:$E$18,'Base Grupo de Produtos'!$F$2:$F$18)</f>
        <v>550</v>
      </c>
      <c r="U411" s="56">
        <f>_xlfn.XLOOKUP($N411,'Calculo Leads'!$A$97:$A$134,'Calculo Leads'!H$97:H$134)*_xlfn.XLOOKUP($P411,'Base Grupo de Produtos'!$E$2:$E$18,'Base Grupo de Produtos'!$F$2:$F$18)</f>
        <v>650</v>
      </c>
      <c r="V411" s="56">
        <f>_xlfn.XLOOKUP($N411,'Calculo Leads'!$A$97:$A$134,'Calculo Leads'!I$97:I$134)*_xlfn.XLOOKUP($P411,'Base Grupo de Produtos'!$E$2:$E$18,'Base Grupo de Produtos'!$F$2:$F$18)</f>
        <v>800</v>
      </c>
      <c r="W411" s="56">
        <f>_xlfn.XLOOKUP($N411,'Calculo Leads'!$A$97:$A$134,'Calculo Leads'!J$97:J$134)*_xlfn.XLOOKUP($P411,'Base Grupo de Produtos'!$E$2:$E$18,'Base Grupo de Produtos'!$F$2:$F$18)</f>
        <v>950</v>
      </c>
      <c r="X411" s="56">
        <f>_xlfn.XLOOKUP($N411,'Calculo Leads'!$A$97:$A$134,'Calculo Leads'!K$97:K$134)*_xlfn.XLOOKUP($P411,'Base Grupo de Produtos'!$E$2:$E$18,'Base Grupo de Produtos'!$F$2:$F$18)</f>
        <v>1210</v>
      </c>
      <c r="Y411" s="56">
        <f>_xlfn.XLOOKUP($N411,'Calculo Leads'!$A$97:$A$134,'Calculo Leads'!L$97:L$134)*_xlfn.XLOOKUP($P411,'Base Grupo de Produtos'!$E$2:$E$18,'Base Grupo de Produtos'!$F$2:$F$18)</f>
        <v>1485</v>
      </c>
      <c r="Z411" s="56">
        <f>_xlfn.XLOOKUP($N411,'Calculo Leads'!$A$97:$A$134,'Calculo Leads'!M$97:M$134)*_xlfn.XLOOKUP($P411,'Base Grupo de Produtos'!$E$2:$E$18,'Base Grupo de Produtos'!$F$2:$F$18)</f>
        <v>1650</v>
      </c>
      <c r="AA411" s="56">
        <f>_xlfn.XLOOKUP($N411,'Calculo Leads'!$A$97:$A$134,'Calculo Leads'!N$97:N$134)*_xlfn.XLOOKUP($P411,'Base Grupo de Produtos'!$E$2:$E$18,'Base Grupo de Produtos'!$F$2:$F$18)</f>
        <v>1870</v>
      </c>
      <c r="AB411" s="56">
        <f>_xlfn.XLOOKUP($N411,'Calculo Leads'!$A$97:$A$134,'Calculo Leads'!O$97:O$134)*_xlfn.XLOOKUP($P411,'Base Grupo de Produtos'!$E$2:$E$18,'Base Grupo de Produtos'!$F$2:$F$18)</f>
        <v>1265</v>
      </c>
      <c r="AC411" s="61">
        <f t="shared" si="425"/>
        <v>10430</v>
      </c>
      <c r="AD411" s="27">
        <f t="shared" si="441"/>
        <v>10430</v>
      </c>
      <c r="AE411" s="25">
        <f>IFERROR(_xlfn.XLOOKUP(N411&amp;P411,'Historico Vendas'!G:G,'Historico Vendas'!E:E),0)</f>
        <v>0</v>
      </c>
      <c r="AF411" s="29" t="str">
        <f t="shared" si="403"/>
        <v/>
      </c>
      <c r="AG411" s="24">
        <f>IFERROR(_xlfn.XLOOKUP(N411&amp;P411,'Historico Vendas'!G:G,'Historico Vendas'!F:F),0)</f>
        <v>0</v>
      </c>
      <c r="AH411" s="25">
        <f t="shared" si="442"/>
        <v>0</v>
      </c>
      <c r="AI411" s="24">
        <f t="shared" si="443"/>
        <v>0</v>
      </c>
      <c r="AJ411" s="11" t="str">
        <f t="shared" si="406"/>
        <v/>
      </c>
      <c r="AK411" s="9" t="s">
        <v>102</v>
      </c>
      <c r="AL411" s="13">
        <f>IFERROR(INDEX('Balizador da Meta'!$D$3:$F$23,MATCH(Faturamento!$P411,'Balizador da Meta'!$C$3:$C$23,0),MATCH(Faturamento!AK411,'Balizador da Meta'!$D$2:$F$2,0)),"")</f>
        <v>0</v>
      </c>
      <c r="AM411" s="9"/>
    </row>
    <row r="412" spans="1:39" x14ac:dyDescent="0.3">
      <c r="A412" s="2" t="str">
        <f t="shared" si="404"/>
        <v>NÃO</v>
      </c>
      <c r="B412" s="2" t="str">
        <f>_xlfn.XLOOKUP($N412,'Base de Grupos'!$A:$A,'Base de Grupos'!$D:$D)</f>
        <v>1000065763</v>
      </c>
      <c r="C412" s="5" t="str">
        <f>_xlfn.XLOOKUP($N412,'Base de Grupos'!$A:$A,'Base de Grupos'!$E:$E)</f>
        <v>CANAL VENDA INTERNA</v>
      </c>
      <c r="D412" s="5" t="str">
        <f>_xlfn.XLOOKUP($N412,'Base de Grupos'!$A:$A,'Base de Grupos'!$F:$F)</f>
        <v>1000065763</v>
      </c>
      <c r="E412" s="2" t="str">
        <f>_xlfn.XLOOKUP($N412,'Base de Grupos'!$A:$A,'Base de Grupos'!$G:$G)</f>
        <v>CANAL VENDA INTERNA</v>
      </c>
      <c r="F412" s="2" t="str">
        <f>_xlfn.XLOOKUP($N412,'Base de Grupos'!$A:$A,'Base de Grupos'!$H:$H)</f>
        <v>1000105898</v>
      </c>
      <c r="G412" s="5" t="str">
        <f>_xlfn.XLOOKUP($N412,'Base de Grupos'!$A:$A,'Base de Grupos'!$I:$I)</f>
        <v>REGIONAL VENDA DIRETA SP</v>
      </c>
      <c r="H412" s="5" t="str">
        <f>_xlfn.XLOOKUP($N412,'Base de Grupos'!$A:$A,'Base de Grupos'!$J:$J)</f>
        <v>1000105898</v>
      </c>
      <c r="I412" s="2" t="str">
        <f>_xlfn.XLOOKUP($N412,'Base de Grupos'!$A:$A,'Base de Grupos'!$K:$K)</f>
        <v>REGIONAL VENDA DIRETA SP</v>
      </c>
      <c r="J412" s="2" t="str">
        <f>_xlfn.XLOOKUP($N412,'Base de Grupos'!$A:$A,'Base de Grupos'!$L:$L)</f>
        <v>1000150135</v>
      </c>
      <c r="K412" s="5" t="str">
        <f>_xlfn.XLOOKUP($N412,'Base de Grupos'!$A:$A,'Base de Grupos'!$M:$M)</f>
        <v>HELDER DA SILVA BRUNKOW</v>
      </c>
      <c r="L412" s="5" t="str">
        <f t="shared" si="405"/>
        <v/>
      </c>
      <c r="M412" s="5" t="str">
        <f>_xlfn.XLOOKUP($N412,'Base de Grupos'!$A:$A,'Base de Grupos'!$C:$C)</f>
        <v>SP</v>
      </c>
      <c r="N412" s="3">
        <v>1361</v>
      </c>
      <c r="O412" s="4" t="s">
        <v>246</v>
      </c>
      <c r="P412" s="5" t="s">
        <v>91</v>
      </c>
      <c r="Q412" s="56">
        <v>0</v>
      </c>
      <c r="R412" s="56">
        <v>0</v>
      </c>
      <c r="S412" s="56">
        <v>0</v>
      </c>
      <c r="T412" s="56">
        <f>_xlfn.XLOOKUP($N412,'Calculo Leads'!$A$97:$A$134,'Calculo Leads'!G$97:G$134)*_xlfn.XLOOKUP($P412,'Base Grupo de Produtos'!$E$2:$E$18,'Base Grupo de Produtos'!$F$2:$F$18)</f>
        <v>0</v>
      </c>
      <c r="U412" s="56">
        <f>_xlfn.XLOOKUP($N412,'Calculo Leads'!$A$97:$A$134,'Calculo Leads'!H$97:H$134)*_xlfn.XLOOKUP($P412,'Base Grupo de Produtos'!$E$2:$E$18,'Base Grupo de Produtos'!$F$2:$F$18)</f>
        <v>0</v>
      </c>
      <c r="V412" s="56">
        <f>_xlfn.XLOOKUP($N412,'Calculo Leads'!$A$97:$A$134,'Calculo Leads'!I$97:I$134)*_xlfn.XLOOKUP($P412,'Base Grupo de Produtos'!$E$2:$E$18,'Base Grupo de Produtos'!$F$2:$F$18)</f>
        <v>0</v>
      </c>
      <c r="W412" s="56">
        <f>_xlfn.XLOOKUP($N412,'Calculo Leads'!$A$97:$A$134,'Calculo Leads'!J$97:J$134)*_xlfn.XLOOKUP($P412,'Base Grupo de Produtos'!$E$2:$E$18,'Base Grupo de Produtos'!$F$2:$F$18)</f>
        <v>0</v>
      </c>
      <c r="X412" s="56">
        <f>_xlfn.XLOOKUP($N412,'Calculo Leads'!$A$97:$A$134,'Calculo Leads'!K$97:K$134)*_xlfn.XLOOKUP($P412,'Base Grupo de Produtos'!$E$2:$E$18,'Base Grupo de Produtos'!$F$2:$F$18)</f>
        <v>0</v>
      </c>
      <c r="Y412" s="56">
        <f>_xlfn.XLOOKUP($N412,'Calculo Leads'!$A$97:$A$134,'Calculo Leads'!L$97:L$134)*_xlfn.XLOOKUP($P412,'Base Grupo de Produtos'!$E$2:$E$18,'Base Grupo de Produtos'!$F$2:$F$18)</f>
        <v>0</v>
      </c>
      <c r="Z412" s="56">
        <f>_xlfn.XLOOKUP($N412,'Calculo Leads'!$A$97:$A$134,'Calculo Leads'!M$97:M$134)*_xlfn.XLOOKUP($P412,'Base Grupo de Produtos'!$E$2:$E$18,'Base Grupo de Produtos'!$F$2:$F$18)</f>
        <v>0</v>
      </c>
      <c r="AA412" s="56">
        <f>_xlfn.XLOOKUP($N412,'Calculo Leads'!$A$97:$A$134,'Calculo Leads'!N$97:N$134)*_xlfn.XLOOKUP($P412,'Base Grupo de Produtos'!$E$2:$E$18,'Base Grupo de Produtos'!$F$2:$F$18)</f>
        <v>0</v>
      </c>
      <c r="AB412" s="56">
        <f>_xlfn.XLOOKUP($N412,'Calculo Leads'!$A$97:$A$134,'Calculo Leads'!O$97:O$134)*_xlfn.XLOOKUP($P412,'Base Grupo de Produtos'!$E$2:$E$18,'Base Grupo de Produtos'!$F$2:$F$18)</f>
        <v>0</v>
      </c>
      <c r="AC412" s="61">
        <f t="shared" si="425"/>
        <v>0</v>
      </c>
      <c r="AD412" s="27">
        <f t="shared" si="441"/>
        <v>0</v>
      </c>
      <c r="AE412" s="25">
        <f>IFERROR(_xlfn.XLOOKUP(N412&amp;P412,'Historico Vendas'!G:G,'Historico Vendas'!E:E),0)</f>
        <v>0</v>
      </c>
      <c r="AF412" s="29" t="str">
        <f t="shared" si="403"/>
        <v/>
      </c>
      <c r="AG412" s="24">
        <f>IFERROR(_xlfn.XLOOKUP(N412&amp;P412,'Historico Vendas'!G:G,'Historico Vendas'!F:F),0)</f>
        <v>0</v>
      </c>
      <c r="AH412" s="25">
        <f t="shared" si="442"/>
        <v>0</v>
      </c>
      <c r="AI412" s="24">
        <f t="shared" si="443"/>
        <v>0</v>
      </c>
      <c r="AJ412" s="11" t="str">
        <f t="shared" si="406"/>
        <v/>
      </c>
      <c r="AK412" s="9" t="s">
        <v>102</v>
      </c>
      <c r="AL412" s="13">
        <f>IFERROR(INDEX('Balizador da Meta'!$D$3:$F$23,MATCH(Faturamento!$P412,'Balizador da Meta'!$C$3:$C$23,0),MATCH(Faturamento!AK412,'Balizador da Meta'!$D$2:$F$2,0)),"")</f>
        <v>0</v>
      </c>
      <c r="AM412" s="9"/>
    </row>
    <row r="413" spans="1:39" x14ac:dyDescent="0.3">
      <c r="A413" s="2" t="str">
        <f t="shared" si="404"/>
        <v>NÃO</v>
      </c>
      <c r="B413" s="2" t="str">
        <f>_xlfn.XLOOKUP($N413,'Base de Grupos'!$A:$A,'Base de Grupos'!$D:$D)</f>
        <v>1000065763</v>
      </c>
      <c r="C413" s="5" t="str">
        <f>_xlfn.XLOOKUP($N413,'Base de Grupos'!$A:$A,'Base de Grupos'!$E:$E)</f>
        <v>CANAL VENDA INTERNA</v>
      </c>
      <c r="D413" s="5" t="str">
        <f>_xlfn.XLOOKUP($N413,'Base de Grupos'!$A:$A,'Base de Grupos'!$F:$F)</f>
        <v>1000065763</v>
      </c>
      <c r="E413" s="2" t="str">
        <f>_xlfn.XLOOKUP($N413,'Base de Grupos'!$A:$A,'Base de Grupos'!$G:$G)</f>
        <v>CANAL VENDA INTERNA</v>
      </c>
      <c r="F413" s="2" t="str">
        <f>_xlfn.XLOOKUP($N413,'Base de Grupos'!$A:$A,'Base de Grupos'!$H:$H)</f>
        <v>1000105898</v>
      </c>
      <c r="G413" s="5" t="str">
        <f>_xlfn.XLOOKUP($N413,'Base de Grupos'!$A:$A,'Base de Grupos'!$I:$I)</f>
        <v>REGIONAL VENDA DIRETA SP</v>
      </c>
      <c r="H413" s="5" t="str">
        <f>_xlfn.XLOOKUP($N413,'Base de Grupos'!$A:$A,'Base de Grupos'!$J:$J)</f>
        <v>1000105898</v>
      </c>
      <c r="I413" s="2" t="str">
        <f>_xlfn.XLOOKUP($N413,'Base de Grupos'!$A:$A,'Base de Grupos'!$K:$K)</f>
        <v>REGIONAL VENDA DIRETA SP</v>
      </c>
      <c r="J413" s="2" t="str">
        <f>_xlfn.XLOOKUP($N413,'Base de Grupos'!$A:$A,'Base de Grupos'!$L:$L)</f>
        <v>1000150135</v>
      </c>
      <c r="K413" s="5" t="str">
        <f>_xlfn.XLOOKUP($N413,'Base de Grupos'!$A:$A,'Base de Grupos'!$M:$M)</f>
        <v>HELDER DA SILVA BRUNKOW</v>
      </c>
      <c r="L413" s="5" t="str">
        <f t="shared" si="405"/>
        <v/>
      </c>
      <c r="M413" s="5" t="str">
        <f>_xlfn.XLOOKUP($N413,'Base de Grupos'!$A:$A,'Base de Grupos'!$C:$C)</f>
        <v>SP</v>
      </c>
      <c r="N413" s="3">
        <v>1361</v>
      </c>
      <c r="O413" s="4" t="s">
        <v>246</v>
      </c>
      <c r="P413" s="5" t="s">
        <v>96</v>
      </c>
      <c r="Q413" s="56">
        <v>0</v>
      </c>
      <c r="R413" s="56">
        <v>0</v>
      </c>
      <c r="S413" s="56">
        <v>0</v>
      </c>
      <c r="T413" s="56">
        <f>_xlfn.XLOOKUP($N413,'Calculo Leads'!$A$97:$A$134,'Calculo Leads'!G$97:G$134)*_xlfn.XLOOKUP($P413,'Base Grupo de Produtos'!$E$2:$E$18,'Base Grupo de Produtos'!$F$2:$F$18)</f>
        <v>770.00000000000011</v>
      </c>
      <c r="U413" s="56">
        <f>_xlfn.XLOOKUP($N413,'Calculo Leads'!$A$97:$A$134,'Calculo Leads'!H$97:H$134)*_xlfn.XLOOKUP($P413,'Base Grupo de Produtos'!$E$2:$E$18,'Base Grupo de Produtos'!$F$2:$F$18)</f>
        <v>910.00000000000011</v>
      </c>
      <c r="V413" s="56">
        <f>_xlfn.XLOOKUP($N413,'Calculo Leads'!$A$97:$A$134,'Calculo Leads'!I$97:I$134)*_xlfn.XLOOKUP($P413,'Base Grupo de Produtos'!$E$2:$E$18,'Base Grupo de Produtos'!$F$2:$F$18)</f>
        <v>1120</v>
      </c>
      <c r="W413" s="56">
        <f>_xlfn.XLOOKUP($N413,'Calculo Leads'!$A$97:$A$134,'Calculo Leads'!J$97:J$134)*_xlfn.XLOOKUP($P413,'Base Grupo de Produtos'!$E$2:$E$18,'Base Grupo de Produtos'!$F$2:$F$18)</f>
        <v>1330.0000000000002</v>
      </c>
      <c r="X413" s="56">
        <f>_xlfn.XLOOKUP($N413,'Calculo Leads'!$A$97:$A$134,'Calculo Leads'!K$97:K$134)*_xlfn.XLOOKUP($P413,'Base Grupo de Produtos'!$E$2:$E$18,'Base Grupo de Produtos'!$F$2:$F$18)</f>
        <v>1694.0000000000002</v>
      </c>
      <c r="Y413" s="56">
        <f>_xlfn.XLOOKUP($N413,'Calculo Leads'!$A$97:$A$134,'Calculo Leads'!L$97:L$134)*_xlfn.XLOOKUP($P413,'Base Grupo de Produtos'!$E$2:$E$18,'Base Grupo de Produtos'!$F$2:$F$18)</f>
        <v>2079</v>
      </c>
      <c r="Z413" s="56">
        <f>_xlfn.XLOOKUP($N413,'Calculo Leads'!$A$97:$A$134,'Calculo Leads'!M$97:M$134)*_xlfn.XLOOKUP($P413,'Base Grupo de Produtos'!$E$2:$E$18,'Base Grupo de Produtos'!$F$2:$F$18)</f>
        <v>2310</v>
      </c>
      <c r="AA413" s="56">
        <f>_xlfn.XLOOKUP($N413,'Calculo Leads'!$A$97:$A$134,'Calculo Leads'!N$97:N$134)*_xlfn.XLOOKUP($P413,'Base Grupo de Produtos'!$E$2:$E$18,'Base Grupo de Produtos'!$F$2:$F$18)</f>
        <v>2618.0000000000005</v>
      </c>
      <c r="AB413" s="56">
        <f>_xlfn.XLOOKUP($N413,'Calculo Leads'!$A$97:$A$134,'Calculo Leads'!O$97:O$134)*_xlfn.XLOOKUP($P413,'Base Grupo de Produtos'!$E$2:$E$18,'Base Grupo de Produtos'!$F$2:$F$18)</f>
        <v>1771.0000000000002</v>
      </c>
      <c r="AC413" s="61">
        <f t="shared" si="425"/>
        <v>14602</v>
      </c>
      <c r="AD413" s="27">
        <f t="shared" si="441"/>
        <v>14602</v>
      </c>
      <c r="AE413" s="25">
        <f>IFERROR(_xlfn.XLOOKUP(N413&amp;P413,'Historico Vendas'!G:G,'Historico Vendas'!E:E),0)</f>
        <v>0</v>
      </c>
      <c r="AF413" s="29" t="str">
        <f t="shared" si="403"/>
        <v/>
      </c>
      <c r="AG413" s="24">
        <f>IFERROR(_xlfn.XLOOKUP(N413&amp;P413,'Historico Vendas'!G:G,'Historico Vendas'!F:F),0)</f>
        <v>0</v>
      </c>
      <c r="AH413" s="25">
        <f t="shared" si="442"/>
        <v>0</v>
      </c>
      <c r="AI413" s="24">
        <f t="shared" si="443"/>
        <v>0</v>
      </c>
      <c r="AJ413" s="11" t="str">
        <f t="shared" si="406"/>
        <v/>
      </c>
      <c r="AK413" s="9" t="s">
        <v>102</v>
      </c>
      <c r="AL413" s="13">
        <f>IFERROR(INDEX('Balizador da Meta'!$D$3:$F$23,MATCH(Faturamento!$P413,'Balizador da Meta'!$C$3:$C$23,0),MATCH(Faturamento!AK413,'Balizador da Meta'!$D$2:$F$2,0)),"")</f>
        <v>0</v>
      </c>
      <c r="AM413" s="9"/>
    </row>
    <row r="414" spans="1:39" x14ac:dyDescent="0.3">
      <c r="A414" s="2" t="str">
        <f t="shared" si="404"/>
        <v>NÃO</v>
      </c>
      <c r="B414" s="2" t="str">
        <f>_xlfn.XLOOKUP($N414,'Base de Grupos'!$A:$A,'Base de Grupos'!$D:$D)</f>
        <v>1000065763</v>
      </c>
      <c r="C414" s="5" t="str">
        <f>_xlfn.XLOOKUP($N414,'Base de Grupos'!$A:$A,'Base de Grupos'!$E:$E)</f>
        <v>CANAL VENDA INTERNA</v>
      </c>
      <c r="D414" s="5" t="str">
        <f>_xlfn.XLOOKUP($N414,'Base de Grupos'!$A:$A,'Base de Grupos'!$F:$F)</f>
        <v>1000065763</v>
      </c>
      <c r="E414" s="2" t="str">
        <f>_xlfn.XLOOKUP($N414,'Base de Grupos'!$A:$A,'Base de Grupos'!$G:$G)</f>
        <v>CANAL VENDA INTERNA</v>
      </c>
      <c r="F414" s="2" t="str">
        <f>_xlfn.XLOOKUP($N414,'Base de Grupos'!$A:$A,'Base de Grupos'!$H:$H)</f>
        <v>1000105898</v>
      </c>
      <c r="G414" s="5" t="str">
        <f>_xlfn.XLOOKUP($N414,'Base de Grupos'!$A:$A,'Base de Grupos'!$I:$I)</f>
        <v>REGIONAL VENDA DIRETA SP</v>
      </c>
      <c r="H414" s="5" t="str">
        <f>_xlfn.XLOOKUP($N414,'Base de Grupos'!$A:$A,'Base de Grupos'!$J:$J)</f>
        <v>1000105898</v>
      </c>
      <c r="I414" s="2" t="str">
        <f>_xlfn.XLOOKUP($N414,'Base de Grupos'!$A:$A,'Base de Grupos'!$K:$K)</f>
        <v>REGIONAL VENDA DIRETA SP</v>
      </c>
      <c r="J414" s="2" t="str">
        <f>_xlfn.XLOOKUP($N414,'Base de Grupos'!$A:$A,'Base de Grupos'!$L:$L)</f>
        <v>1000150135</v>
      </c>
      <c r="K414" s="5" t="str">
        <f>_xlfn.XLOOKUP($N414,'Base de Grupos'!$A:$A,'Base de Grupos'!$M:$M)</f>
        <v>HELDER DA SILVA BRUNKOW</v>
      </c>
      <c r="L414" s="5" t="str">
        <f t="shared" si="405"/>
        <v/>
      </c>
      <c r="M414" s="5" t="str">
        <f>_xlfn.XLOOKUP($N414,'Base de Grupos'!$A:$A,'Base de Grupos'!$C:$C)</f>
        <v>SP</v>
      </c>
      <c r="N414" s="3">
        <v>1361</v>
      </c>
      <c r="O414" s="4" t="s">
        <v>246</v>
      </c>
      <c r="P414" s="5" t="s">
        <v>94</v>
      </c>
      <c r="Q414" s="56">
        <v>0</v>
      </c>
      <c r="R414" s="56">
        <v>0</v>
      </c>
      <c r="S414" s="56">
        <v>0</v>
      </c>
      <c r="T414" s="56">
        <f>_xlfn.XLOOKUP($N414,'Calculo Leads'!$A$97:$A$134,'Calculo Leads'!G$97:G$134)*_xlfn.XLOOKUP($P414,'Base Grupo de Produtos'!$E$2:$E$18,'Base Grupo de Produtos'!$F$2:$F$18)</f>
        <v>550</v>
      </c>
      <c r="U414" s="56">
        <f>_xlfn.XLOOKUP($N414,'Calculo Leads'!$A$97:$A$134,'Calculo Leads'!H$97:H$134)*_xlfn.XLOOKUP($P414,'Base Grupo de Produtos'!$E$2:$E$18,'Base Grupo de Produtos'!$F$2:$F$18)</f>
        <v>650</v>
      </c>
      <c r="V414" s="56">
        <f>_xlfn.XLOOKUP($N414,'Calculo Leads'!$A$97:$A$134,'Calculo Leads'!I$97:I$134)*_xlfn.XLOOKUP($P414,'Base Grupo de Produtos'!$E$2:$E$18,'Base Grupo de Produtos'!$F$2:$F$18)</f>
        <v>799.99999999999989</v>
      </c>
      <c r="W414" s="56">
        <f>_xlfn.XLOOKUP($N414,'Calculo Leads'!$A$97:$A$134,'Calculo Leads'!J$97:J$134)*_xlfn.XLOOKUP($P414,'Base Grupo de Produtos'!$E$2:$E$18,'Base Grupo de Produtos'!$F$2:$F$18)</f>
        <v>949.99999999999989</v>
      </c>
      <c r="X414" s="56">
        <f>_xlfn.XLOOKUP($N414,'Calculo Leads'!$A$97:$A$134,'Calculo Leads'!K$97:K$134)*_xlfn.XLOOKUP($P414,'Base Grupo de Produtos'!$E$2:$E$18,'Base Grupo de Produtos'!$F$2:$F$18)</f>
        <v>1210</v>
      </c>
      <c r="Y414" s="56">
        <f>_xlfn.XLOOKUP($N414,'Calculo Leads'!$A$97:$A$134,'Calculo Leads'!L$97:L$134)*_xlfn.XLOOKUP($P414,'Base Grupo de Produtos'!$E$2:$E$18,'Base Grupo de Produtos'!$F$2:$F$18)</f>
        <v>1484.9999999999998</v>
      </c>
      <c r="Z414" s="56">
        <f>_xlfn.XLOOKUP($N414,'Calculo Leads'!$A$97:$A$134,'Calculo Leads'!M$97:M$134)*_xlfn.XLOOKUP($P414,'Base Grupo de Produtos'!$E$2:$E$18,'Base Grupo de Produtos'!$F$2:$F$18)</f>
        <v>1649.9999999999998</v>
      </c>
      <c r="AA414" s="56">
        <f>_xlfn.XLOOKUP($N414,'Calculo Leads'!$A$97:$A$134,'Calculo Leads'!N$97:N$134)*_xlfn.XLOOKUP($P414,'Base Grupo de Produtos'!$E$2:$E$18,'Base Grupo de Produtos'!$F$2:$F$18)</f>
        <v>1869.9999999999998</v>
      </c>
      <c r="AB414" s="56">
        <f>_xlfn.XLOOKUP($N414,'Calculo Leads'!$A$97:$A$134,'Calculo Leads'!O$97:O$134)*_xlfn.XLOOKUP($P414,'Base Grupo de Produtos'!$E$2:$E$18,'Base Grupo de Produtos'!$F$2:$F$18)</f>
        <v>1265</v>
      </c>
      <c r="AC414" s="61">
        <f t="shared" si="425"/>
        <v>10430</v>
      </c>
      <c r="AD414" s="27">
        <f t="shared" si="441"/>
        <v>10430</v>
      </c>
      <c r="AE414" s="25">
        <f>IFERROR(_xlfn.XLOOKUP(N414&amp;P414,'Historico Vendas'!G:G,'Historico Vendas'!E:E),0)</f>
        <v>0</v>
      </c>
      <c r="AF414" s="29" t="str">
        <f t="shared" si="403"/>
        <v/>
      </c>
      <c r="AG414" s="24">
        <f>IFERROR(_xlfn.XLOOKUP(N414&amp;P414,'Historico Vendas'!G:G,'Historico Vendas'!F:F),0)</f>
        <v>0</v>
      </c>
      <c r="AH414" s="25">
        <f t="shared" si="442"/>
        <v>0</v>
      </c>
      <c r="AI414" s="24">
        <f t="shared" si="443"/>
        <v>0</v>
      </c>
      <c r="AJ414" s="11" t="str">
        <f t="shared" si="406"/>
        <v/>
      </c>
      <c r="AK414" s="9" t="s">
        <v>102</v>
      </c>
      <c r="AL414" s="13">
        <f>IFERROR(INDEX('Balizador da Meta'!$D$3:$F$23,MATCH(Faturamento!$P414,'Balizador da Meta'!$C$3:$C$23,0),MATCH(Faturamento!AK414,'Balizador da Meta'!$D$2:$F$2,0)),"")</f>
        <v>0.25</v>
      </c>
      <c r="AM414" s="9"/>
    </row>
    <row r="415" spans="1:39" x14ac:dyDescent="0.3">
      <c r="A415" s="2" t="str">
        <f t="shared" si="404"/>
        <v>NÃO</v>
      </c>
      <c r="B415" s="2" t="str">
        <f>_xlfn.XLOOKUP($N415,'Base de Grupos'!$A:$A,'Base de Grupos'!$D:$D)</f>
        <v>1000065763</v>
      </c>
      <c r="C415" s="5" t="str">
        <f>_xlfn.XLOOKUP($N415,'Base de Grupos'!$A:$A,'Base de Grupos'!$E:$E)</f>
        <v>CANAL VENDA INTERNA</v>
      </c>
      <c r="D415" s="5" t="str">
        <f>_xlfn.XLOOKUP($N415,'Base de Grupos'!$A:$A,'Base de Grupos'!$F:$F)</f>
        <v>1000065763</v>
      </c>
      <c r="E415" s="2" t="str">
        <f>_xlfn.XLOOKUP($N415,'Base de Grupos'!$A:$A,'Base de Grupos'!$G:$G)</f>
        <v>CANAL VENDA INTERNA</v>
      </c>
      <c r="F415" s="2" t="str">
        <f>_xlfn.XLOOKUP($N415,'Base de Grupos'!$A:$A,'Base de Grupos'!$H:$H)</f>
        <v>1000105898</v>
      </c>
      <c r="G415" s="5" t="str">
        <f>_xlfn.XLOOKUP($N415,'Base de Grupos'!$A:$A,'Base de Grupos'!$I:$I)</f>
        <v>REGIONAL VENDA DIRETA SP</v>
      </c>
      <c r="H415" s="5" t="str">
        <f>_xlfn.XLOOKUP($N415,'Base de Grupos'!$A:$A,'Base de Grupos'!$J:$J)</f>
        <v>1000105898</v>
      </c>
      <c r="I415" s="2" t="str">
        <f>_xlfn.XLOOKUP($N415,'Base de Grupos'!$A:$A,'Base de Grupos'!$K:$K)</f>
        <v>REGIONAL VENDA DIRETA SP</v>
      </c>
      <c r="J415" s="2" t="str">
        <f>_xlfn.XLOOKUP($N415,'Base de Grupos'!$A:$A,'Base de Grupos'!$L:$L)</f>
        <v>1000150135</v>
      </c>
      <c r="K415" s="5" t="str">
        <f>_xlfn.XLOOKUP($N415,'Base de Grupos'!$A:$A,'Base de Grupos'!$M:$M)</f>
        <v>HELDER DA SILVA BRUNKOW</v>
      </c>
      <c r="L415" s="5" t="str">
        <f t="shared" si="405"/>
        <v/>
      </c>
      <c r="M415" s="5" t="str">
        <f>_xlfn.XLOOKUP($N415,'Base de Grupos'!$A:$A,'Base de Grupos'!$C:$C)</f>
        <v>SP</v>
      </c>
      <c r="N415" s="3">
        <v>1361</v>
      </c>
      <c r="O415" s="4" t="s">
        <v>246</v>
      </c>
      <c r="P415" s="5" t="s">
        <v>95</v>
      </c>
      <c r="Q415" s="56">
        <v>0</v>
      </c>
      <c r="R415" s="56">
        <v>0</v>
      </c>
      <c r="S415" s="56">
        <v>0</v>
      </c>
      <c r="T415" s="56">
        <f>_xlfn.XLOOKUP($N415,'Calculo Leads'!$A$97:$A$134,'Calculo Leads'!G$97:G$134)*_xlfn.XLOOKUP($P415,'Base Grupo de Produtos'!$E$2:$E$18,'Base Grupo de Produtos'!$F$2:$F$18)</f>
        <v>880</v>
      </c>
      <c r="U415" s="56">
        <f>_xlfn.XLOOKUP($N415,'Calculo Leads'!$A$97:$A$134,'Calculo Leads'!H$97:H$134)*_xlfn.XLOOKUP($P415,'Base Grupo de Produtos'!$E$2:$E$18,'Base Grupo de Produtos'!$F$2:$F$18)</f>
        <v>1040</v>
      </c>
      <c r="V415" s="56">
        <f>_xlfn.XLOOKUP($N415,'Calculo Leads'!$A$97:$A$134,'Calculo Leads'!I$97:I$134)*_xlfn.XLOOKUP($P415,'Base Grupo de Produtos'!$E$2:$E$18,'Base Grupo de Produtos'!$F$2:$F$18)</f>
        <v>1280</v>
      </c>
      <c r="W415" s="56">
        <f>_xlfn.XLOOKUP($N415,'Calculo Leads'!$A$97:$A$134,'Calculo Leads'!J$97:J$134)*_xlfn.XLOOKUP($P415,'Base Grupo de Produtos'!$E$2:$E$18,'Base Grupo de Produtos'!$F$2:$F$18)</f>
        <v>1520</v>
      </c>
      <c r="X415" s="56">
        <f>_xlfn.XLOOKUP($N415,'Calculo Leads'!$A$97:$A$134,'Calculo Leads'!K$97:K$134)*_xlfn.XLOOKUP($P415,'Base Grupo de Produtos'!$E$2:$E$18,'Base Grupo de Produtos'!$F$2:$F$18)</f>
        <v>1936</v>
      </c>
      <c r="Y415" s="56">
        <f>_xlfn.XLOOKUP($N415,'Calculo Leads'!$A$97:$A$134,'Calculo Leads'!L$97:L$134)*_xlfn.XLOOKUP($P415,'Base Grupo de Produtos'!$E$2:$E$18,'Base Grupo de Produtos'!$F$2:$F$18)</f>
        <v>2376</v>
      </c>
      <c r="Z415" s="56">
        <f>_xlfn.XLOOKUP($N415,'Calculo Leads'!$A$97:$A$134,'Calculo Leads'!M$97:M$134)*_xlfn.XLOOKUP($P415,'Base Grupo de Produtos'!$E$2:$E$18,'Base Grupo de Produtos'!$F$2:$F$18)</f>
        <v>2640</v>
      </c>
      <c r="AA415" s="56">
        <f>_xlfn.XLOOKUP($N415,'Calculo Leads'!$A$97:$A$134,'Calculo Leads'!N$97:N$134)*_xlfn.XLOOKUP($P415,'Base Grupo de Produtos'!$E$2:$E$18,'Base Grupo de Produtos'!$F$2:$F$18)</f>
        <v>2992</v>
      </c>
      <c r="AB415" s="56">
        <f>_xlfn.XLOOKUP($N415,'Calculo Leads'!$A$97:$A$134,'Calculo Leads'!O$97:O$134)*_xlfn.XLOOKUP($P415,'Base Grupo de Produtos'!$E$2:$E$18,'Base Grupo de Produtos'!$F$2:$F$18)</f>
        <v>2024</v>
      </c>
      <c r="AC415" s="61">
        <f t="shared" si="425"/>
        <v>16688</v>
      </c>
      <c r="AD415" s="27">
        <f t="shared" si="441"/>
        <v>16688</v>
      </c>
      <c r="AE415" s="25">
        <f>IFERROR(_xlfn.XLOOKUP(N415&amp;P415,'Historico Vendas'!G:G,'Historico Vendas'!E:E),0)</f>
        <v>0</v>
      </c>
      <c r="AF415" s="29" t="str">
        <f t="shared" si="403"/>
        <v/>
      </c>
      <c r="AG415" s="24">
        <f>IFERROR(_xlfn.XLOOKUP(N415&amp;P415,'Historico Vendas'!G:G,'Historico Vendas'!F:F),0)</f>
        <v>0</v>
      </c>
      <c r="AH415" s="25">
        <f t="shared" si="442"/>
        <v>0</v>
      </c>
      <c r="AI415" s="24">
        <f t="shared" si="443"/>
        <v>0</v>
      </c>
      <c r="AJ415" s="11" t="str">
        <f t="shared" si="406"/>
        <v/>
      </c>
      <c r="AK415" s="9" t="s">
        <v>102</v>
      </c>
      <c r="AL415" s="13">
        <f>IFERROR(INDEX('Balizador da Meta'!$D$3:$F$23,MATCH(Faturamento!$P415,'Balizador da Meta'!$C$3:$C$23,0),MATCH(Faturamento!AK415,'Balizador da Meta'!$D$2:$F$2,0)),"")</f>
        <v>0.25</v>
      </c>
      <c r="AM415" s="9"/>
    </row>
    <row r="416" spans="1:39" x14ac:dyDescent="0.3">
      <c r="A416" s="2" t="str">
        <f t="shared" si="404"/>
        <v>NÃO</v>
      </c>
      <c r="B416" s="2" t="str">
        <f>_xlfn.XLOOKUP($N416,'Base de Grupos'!$A:$A,'Base de Grupos'!$D:$D)</f>
        <v>1000065763</v>
      </c>
      <c r="C416" s="5" t="str">
        <f>_xlfn.XLOOKUP($N416,'Base de Grupos'!$A:$A,'Base de Grupos'!$E:$E)</f>
        <v>CANAL VENDA INTERNA</v>
      </c>
      <c r="D416" s="5" t="str">
        <f>_xlfn.XLOOKUP($N416,'Base de Grupos'!$A:$A,'Base de Grupos'!$F:$F)</f>
        <v>1000065763</v>
      </c>
      <c r="E416" s="2" t="str">
        <f>_xlfn.XLOOKUP($N416,'Base de Grupos'!$A:$A,'Base de Grupos'!$G:$G)</f>
        <v>CANAL VENDA INTERNA</v>
      </c>
      <c r="F416" s="2" t="str">
        <f>_xlfn.XLOOKUP($N416,'Base de Grupos'!$A:$A,'Base de Grupos'!$H:$H)</f>
        <v>1000105898</v>
      </c>
      <c r="G416" s="5" t="str">
        <f>_xlfn.XLOOKUP($N416,'Base de Grupos'!$A:$A,'Base de Grupos'!$I:$I)</f>
        <v>REGIONAL VENDA DIRETA SP</v>
      </c>
      <c r="H416" s="5" t="str">
        <f>_xlfn.XLOOKUP($N416,'Base de Grupos'!$A:$A,'Base de Grupos'!$J:$J)</f>
        <v>1000105898</v>
      </c>
      <c r="I416" s="2" t="str">
        <f>_xlfn.XLOOKUP($N416,'Base de Grupos'!$A:$A,'Base de Grupos'!$K:$K)</f>
        <v>REGIONAL VENDA DIRETA SP</v>
      </c>
      <c r="J416" s="2" t="str">
        <f>_xlfn.XLOOKUP($N416,'Base de Grupos'!$A:$A,'Base de Grupos'!$L:$L)</f>
        <v>1000150135</v>
      </c>
      <c r="K416" s="5" t="str">
        <f>_xlfn.XLOOKUP($N416,'Base de Grupos'!$A:$A,'Base de Grupos'!$M:$M)</f>
        <v>HELDER DA SILVA BRUNKOW</v>
      </c>
      <c r="L416" s="5" t="str">
        <f t="shared" si="405"/>
        <v/>
      </c>
      <c r="M416" s="5" t="str">
        <f>_xlfn.XLOOKUP($N416,'Base de Grupos'!$A:$A,'Base de Grupos'!$C:$C)</f>
        <v>SP</v>
      </c>
      <c r="N416" s="3">
        <v>1361</v>
      </c>
      <c r="O416" s="4" t="s">
        <v>246</v>
      </c>
      <c r="P416" s="5" t="s">
        <v>93</v>
      </c>
      <c r="Q416" s="56">
        <v>0</v>
      </c>
      <c r="R416" s="56">
        <v>0</v>
      </c>
      <c r="S416" s="56">
        <v>0</v>
      </c>
      <c r="T416" s="56">
        <f>_xlfn.XLOOKUP($N416,'Calculo Leads'!$A$97:$A$134,'Calculo Leads'!G$97:G$134)*_xlfn.XLOOKUP($P416,'Base Grupo de Produtos'!$E$2:$E$18,'Base Grupo de Produtos'!$F$2:$F$18)</f>
        <v>330</v>
      </c>
      <c r="U416" s="56">
        <f>_xlfn.XLOOKUP($N416,'Calculo Leads'!$A$97:$A$134,'Calculo Leads'!H$97:H$134)*_xlfn.XLOOKUP($P416,'Base Grupo de Produtos'!$E$2:$E$18,'Base Grupo de Produtos'!$F$2:$F$18)</f>
        <v>390</v>
      </c>
      <c r="V416" s="56">
        <f>_xlfn.XLOOKUP($N416,'Calculo Leads'!$A$97:$A$134,'Calculo Leads'!I$97:I$134)*_xlfn.XLOOKUP($P416,'Base Grupo de Produtos'!$E$2:$E$18,'Base Grupo de Produtos'!$F$2:$F$18)</f>
        <v>480</v>
      </c>
      <c r="W416" s="56">
        <f>_xlfn.XLOOKUP($N416,'Calculo Leads'!$A$97:$A$134,'Calculo Leads'!J$97:J$134)*_xlfn.XLOOKUP($P416,'Base Grupo de Produtos'!$E$2:$E$18,'Base Grupo de Produtos'!$F$2:$F$18)</f>
        <v>570</v>
      </c>
      <c r="X416" s="56">
        <f>_xlfn.XLOOKUP($N416,'Calculo Leads'!$A$97:$A$134,'Calculo Leads'!K$97:K$134)*_xlfn.XLOOKUP($P416,'Base Grupo de Produtos'!$E$2:$E$18,'Base Grupo de Produtos'!$F$2:$F$18)</f>
        <v>726</v>
      </c>
      <c r="Y416" s="56">
        <f>_xlfn.XLOOKUP($N416,'Calculo Leads'!$A$97:$A$134,'Calculo Leads'!L$97:L$134)*_xlfn.XLOOKUP($P416,'Base Grupo de Produtos'!$E$2:$E$18,'Base Grupo de Produtos'!$F$2:$F$18)</f>
        <v>891</v>
      </c>
      <c r="Z416" s="56">
        <f>_xlfn.XLOOKUP($N416,'Calculo Leads'!$A$97:$A$134,'Calculo Leads'!M$97:M$134)*_xlfn.XLOOKUP($P416,'Base Grupo de Produtos'!$E$2:$E$18,'Base Grupo de Produtos'!$F$2:$F$18)</f>
        <v>990</v>
      </c>
      <c r="AA416" s="56">
        <f>_xlfn.XLOOKUP($N416,'Calculo Leads'!$A$97:$A$134,'Calculo Leads'!N$97:N$134)*_xlfn.XLOOKUP($P416,'Base Grupo de Produtos'!$E$2:$E$18,'Base Grupo de Produtos'!$F$2:$F$18)</f>
        <v>1122</v>
      </c>
      <c r="AB416" s="56">
        <f>_xlfn.XLOOKUP($N416,'Calculo Leads'!$A$97:$A$134,'Calculo Leads'!O$97:O$134)*_xlfn.XLOOKUP($P416,'Base Grupo de Produtos'!$E$2:$E$18,'Base Grupo de Produtos'!$F$2:$F$18)</f>
        <v>759</v>
      </c>
      <c r="AC416" s="61">
        <f t="shared" si="425"/>
        <v>6258</v>
      </c>
      <c r="AD416" s="27">
        <f t="shared" si="441"/>
        <v>6258</v>
      </c>
      <c r="AE416" s="25">
        <f>IFERROR(_xlfn.XLOOKUP(N416&amp;P416,'Historico Vendas'!G:G,'Historico Vendas'!E:E),0)</f>
        <v>0</v>
      </c>
      <c r="AF416" s="29" t="str">
        <f t="shared" si="403"/>
        <v/>
      </c>
      <c r="AG416" s="24">
        <f>IFERROR(_xlfn.XLOOKUP(N416&amp;P416,'Historico Vendas'!G:G,'Historico Vendas'!F:F),0)</f>
        <v>0</v>
      </c>
      <c r="AH416" s="25">
        <f t="shared" si="442"/>
        <v>0</v>
      </c>
      <c r="AI416" s="24">
        <f t="shared" si="443"/>
        <v>0</v>
      </c>
      <c r="AJ416" s="11" t="str">
        <f t="shared" si="406"/>
        <v/>
      </c>
      <c r="AK416" s="9" t="s">
        <v>102</v>
      </c>
      <c r="AL416" s="13">
        <f>IFERROR(INDEX('Balizador da Meta'!$D$3:$F$23,MATCH(Faturamento!$P416,'Balizador da Meta'!$C$3:$C$23,0),MATCH(Faturamento!AK416,'Balizador da Meta'!$D$2:$F$2,0)),"")</f>
        <v>0.2</v>
      </c>
      <c r="AM416" s="9"/>
    </row>
    <row r="417" spans="1:39" x14ac:dyDescent="0.3">
      <c r="A417" s="2" t="str">
        <f t="shared" si="404"/>
        <v>SIM</v>
      </c>
      <c r="B417" s="2" t="str">
        <f>_xlfn.XLOOKUP($N417,'Base de Grupos'!$A:$A,'Base de Grupos'!$D:$D)</f>
        <v>1000065763</v>
      </c>
      <c r="C417" s="5" t="str">
        <f>_xlfn.XLOOKUP($N417,'Base de Grupos'!$A:$A,'Base de Grupos'!$E:$E)</f>
        <v>CANAL VENDA INTERNA</v>
      </c>
      <c r="D417" s="5" t="str">
        <f>_xlfn.XLOOKUP($N417,'Base de Grupos'!$A:$A,'Base de Grupos'!$F:$F)</f>
        <v>1000065763</v>
      </c>
      <c r="E417" s="2" t="str">
        <f>_xlfn.XLOOKUP($N417,'Base de Grupos'!$A:$A,'Base de Grupos'!$G:$G)</f>
        <v>CANAL VENDA INTERNA</v>
      </c>
      <c r="F417" s="2" t="str">
        <f>_xlfn.XLOOKUP($N417,'Base de Grupos'!$A:$A,'Base de Grupos'!$H:$H)</f>
        <v>1000105896</v>
      </c>
      <c r="G417" s="5" t="str">
        <f>_xlfn.XLOOKUP($N417,'Base de Grupos'!$A:$A,'Base de Grupos'!$I:$I)</f>
        <v>REGIONAL VENDA DIRETA SUL</v>
      </c>
      <c r="H417" s="5" t="str">
        <f>_xlfn.XLOOKUP($N417,'Base de Grupos'!$A:$A,'Base de Grupos'!$J:$J)</f>
        <v>1000105896</v>
      </c>
      <c r="I417" s="2" t="str">
        <f>_xlfn.XLOOKUP($N417,'Base de Grupos'!$A:$A,'Base de Grupos'!$K:$K)</f>
        <v>REGIONAL VENDA DIRETA SUL</v>
      </c>
      <c r="J417" s="2" t="str">
        <f>_xlfn.XLOOKUP($N417,'Base de Grupos'!$A:$A,'Base de Grupos'!$L:$L)</f>
        <v>1000176426</v>
      </c>
      <c r="K417" s="5" t="str">
        <f>_xlfn.XLOOKUP($N417,'Base de Grupos'!$A:$A,'Base de Grupos'!$M:$M)</f>
        <v>HEMANUELE ROSA DITZEL</v>
      </c>
      <c r="L417" s="5">
        <f t="shared" si="405"/>
        <v>1</v>
      </c>
      <c r="M417" s="5" t="str">
        <f>_xlfn.XLOOKUP($N417,'Base de Grupos'!$A:$A,'Base de Grupos'!$C:$C)</f>
        <v>RS</v>
      </c>
      <c r="N417" s="3">
        <v>1362</v>
      </c>
      <c r="O417" s="4" t="s">
        <v>247</v>
      </c>
      <c r="P417" s="5" t="s">
        <v>317</v>
      </c>
      <c r="Q417" s="56">
        <f t="shared" ref="Q417" si="444">SUM(Q418:Q434)</f>
        <v>0</v>
      </c>
      <c r="R417" s="56">
        <f t="shared" ref="R417" si="445">SUM(R418:R434)</f>
        <v>0</v>
      </c>
      <c r="S417" s="56">
        <f t="shared" ref="S417" si="446">SUM(S418:S434)</f>
        <v>0</v>
      </c>
      <c r="T417" s="56">
        <f t="shared" ref="T417" si="447">SUM(T418:T434)</f>
        <v>13000</v>
      </c>
      <c r="U417" s="56">
        <f t="shared" ref="U417" si="448">SUM(U418:U434)</f>
        <v>16000</v>
      </c>
      <c r="V417" s="56">
        <f t="shared" ref="V417" si="449">SUM(V418:V434)</f>
        <v>20000</v>
      </c>
      <c r="W417" s="56">
        <f t="shared" ref="W417" si="450">SUM(W418:W434)</f>
        <v>24000</v>
      </c>
      <c r="X417" s="56">
        <f t="shared" ref="X417" si="451">SUM(X418:X434)</f>
        <v>29700</v>
      </c>
      <c r="Y417" s="56">
        <f t="shared" ref="Y417" si="452">SUM(Y418:Y434)</f>
        <v>37400</v>
      </c>
      <c r="Z417" s="56">
        <f t="shared" ref="Z417" si="453">SUM(Z418:Z434)</f>
        <v>40700</v>
      </c>
      <c r="AA417" s="56">
        <f t="shared" ref="AA417" si="454">SUM(AA418:AA434)</f>
        <v>46200</v>
      </c>
      <c r="AB417" s="56">
        <f t="shared" ref="AB417" si="455">SUM(AB418:AB434)</f>
        <v>31900</v>
      </c>
      <c r="AC417" s="56">
        <f t="shared" ref="AC417" si="456">SUM(AC418:AC434)</f>
        <v>258900</v>
      </c>
      <c r="AD417" s="25">
        <f t="shared" ref="AD417" si="457">SUM(AD418:AD434)</f>
        <v>258900</v>
      </c>
      <c r="AE417" s="25">
        <f t="shared" ref="AE417:AI417" si="458">SUM(AE418:AE434)</f>
        <v>0</v>
      </c>
      <c r="AF417" s="11" t="str">
        <f t="shared" si="403"/>
        <v/>
      </c>
      <c r="AG417" s="24">
        <f t="shared" si="458"/>
        <v>0</v>
      </c>
      <c r="AH417" s="25">
        <f t="shared" si="458"/>
        <v>0</v>
      </c>
      <c r="AI417" s="24">
        <f t="shared" si="458"/>
        <v>0</v>
      </c>
      <c r="AJ417" s="11" t="str">
        <f t="shared" si="406"/>
        <v/>
      </c>
      <c r="AK417" s="9"/>
      <c r="AL417" s="13"/>
      <c r="AM417" s="9"/>
    </row>
    <row r="418" spans="1:39" x14ac:dyDescent="0.3">
      <c r="A418" s="2" t="str">
        <f t="shared" si="404"/>
        <v>NÃO</v>
      </c>
      <c r="B418" s="2" t="str">
        <f>_xlfn.XLOOKUP($N418,'Base de Grupos'!$A:$A,'Base de Grupos'!$D:$D)</f>
        <v>1000065763</v>
      </c>
      <c r="C418" s="5" t="str">
        <f>_xlfn.XLOOKUP($N418,'Base de Grupos'!$A:$A,'Base de Grupos'!$E:$E)</f>
        <v>CANAL VENDA INTERNA</v>
      </c>
      <c r="D418" s="5" t="str">
        <f>_xlfn.XLOOKUP($N418,'Base de Grupos'!$A:$A,'Base de Grupos'!$F:$F)</f>
        <v>1000065763</v>
      </c>
      <c r="E418" s="2" t="str">
        <f>_xlfn.XLOOKUP($N418,'Base de Grupos'!$A:$A,'Base de Grupos'!$G:$G)</f>
        <v>CANAL VENDA INTERNA</v>
      </c>
      <c r="F418" s="2" t="str">
        <f>_xlfn.XLOOKUP($N418,'Base de Grupos'!$A:$A,'Base de Grupos'!$H:$H)</f>
        <v>1000105896</v>
      </c>
      <c r="G418" s="5" t="str">
        <f>_xlfn.XLOOKUP($N418,'Base de Grupos'!$A:$A,'Base de Grupos'!$I:$I)</f>
        <v>REGIONAL VENDA DIRETA SUL</v>
      </c>
      <c r="H418" s="5" t="str">
        <f>_xlfn.XLOOKUP($N418,'Base de Grupos'!$A:$A,'Base de Grupos'!$J:$J)</f>
        <v>1000105896</v>
      </c>
      <c r="I418" s="2" t="str">
        <f>_xlfn.XLOOKUP($N418,'Base de Grupos'!$A:$A,'Base de Grupos'!$K:$K)</f>
        <v>REGIONAL VENDA DIRETA SUL</v>
      </c>
      <c r="J418" s="2" t="str">
        <f>_xlfn.XLOOKUP($N418,'Base de Grupos'!$A:$A,'Base de Grupos'!$L:$L)</f>
        <v>1000176426</v>
      </c>
      <c r="K418" s="5" t="str">
        <f>_xlfn.XLOOKUP($N418,'Base de Grupos'!$A:$A,'Base de Grupos'!$M:$M)</f>
        <v>HEMANUELE ROSA DITZEL</v>
      </c>
      <c r="L418" s="5" t="str">
        <f t="shared" si="405"/>
        <v/>
      </c>
      <c r="M418" s="5" t="str">
        <f>_xlfn.XLOOKUP($N418,'Base de Grupos'!$A:$A,'Base de Grupos'!$C:$C)</f>
        <v>RS</v>
      </c>
      <c r="N418" s="3">
        <v>1362</v>
      </c>
      <c r="O418" s="4" t="s">
        <v>247</v>
      </c>
      <c r="P418" s="5" t="s">
        <v>81</v>
      </c>
      <c r="Q418" s="56">
        <v>0</v>
      </c>
      <c r="R418" s="56">
        <v>0</v>
      </c>
      <c r="S418" s="56">
        <v>0</v>
      </c>
      <c r="T418" s="56">
        <f>_xlfn.XLOOKUP($N418,'Calculo Leads'!$A$97:$A$134,'Calculo Leads'!G$97:G$134)*_xlfn.XLOOKUP($P418,'Base Grupo de Produtos'!$E$2:$E$18,'Base Grupo de Produtos'!$F$2:$F$18)</f>
        <v>650</v>
      </c>
      <c r="U418" s="56">
        <f>_xlfn.XLOOKUP($N418,'Calculo Leads'!$A$97:$A$134,'Calculo Leads'!H$97:H$134)*_xlfn.XLOOKUP($P418,'Base Grupo de Produtos'!$E$2:$E$18,'Base Grupo de Produtos'!$F$2:$F$18)</f>
        <v>800</v>
      </c>
      <c r="V418" s="56">
        <f>_xlfn.XLOOKUP($N418,'Calculo Leads'!$A$97:$A$134,'Calculo Leads'!I$97:I$134)*_xlfn.XLOOKUP($P418,'Base Grupo de Produtos'!$E$2:$E$18,'Base Grupo de Produtos'!$F$2:$F$18)</f>
        <v>1000</v>
      </c>
      <c r="W418" s="56">
        <f>_xlfn.XLOOKUP($N418,'Calculo Leads'!$A$97:$A$134,'Calculo Leads'!J$97:J$134)*_xlfn.XLOOKUP($P418,'Base Grupo de Produtos'!$E$2:$E$18,'Base Grupo de Produtos'!$F$2:$F$18)</f>
        <v>1200</v>
      </c>
      <c r="X418" s="56">
        <f>_xlfn.XLOOKUP($N418,'Calculo Leads'!$A$97:$A$134,'Calculo Leads'!K$97:K$134)*_xlfn.XLOOKUP($P418,'Base Grupo de Produtos'!$E$2:$E$18,'Base Grupo de Produtos'!$F$2:$F$18)</f>
        <v>1485</v>
      </c>
      <c r="Y418" s="56">
        <f>_xlfn.XLOOKUP($N418,'Calculo Leads'!$A$97:$A$134,'Calculo Leads'!L$97:L$134)*_xlfn.XLOOKUP($P418,'Base Grupo de Produtos'!$E$2:$E$18,'Base Grupo de Produtos'!$F$2:$F$18)</f>
        <v>1870</v>
      </c>
      <c r="Z418" s="56">
        <f>_xlfn.XLOOKUP($N418,'Calculo Leads'!$A$97:$A$134,'Calculo Leads'!M$97:M$134)*_xlfn.XLOOKUP($P418,'Base Grupo de Produtos'!$E$2:$E$18,'Base Grupo de Produtos'!$F$2:$F$18)</f>
        <v>2035</v>
      </c>
      <c r="AA418" s="56">
        <f>_xlfn.XLOOKUP($N418,'Calculo Leads'!$A$97:$A$134,'Calculo Leads'!N$97:N$134)*_xlfn.XLOOKUP($P418,'Base Grupo de Produtos'!$E$2:$E$18,'Base Grupo de Produtos'!$F$2:$F$18)</f>
        <v>2310</v>
      </c>
      <c r="AB418" s="56">
        <f>_xlfn.XLOOKUP($N418,'Calculo Leads'!$A$97:$A$134,'Calculo Leads'!O$97:O$134)*_xlfn.XLOOKUP($P418,'Base Grupo de Produtos'!$E$2:$E$18,'Base Grupo de Produtos'!$F$2:$F$18)</f>
        <v>1595</v>
      </c>
      <c r="AC418" s="61">
        <f t="shared" si="425"/>
        <v>12945</v>
      </c>
      <c r="AD418" s="27">
        <f t="shared" ref="AD418:AD434" si="459">IF(AC418=0,0,AC418-AG418)</f>
        <v>12945</v>
      </c>
      <c r="AE418" s="25">
        <f>IFERROR(_xlfn.XLOOKUP(N418&amp;P418,'Historico Vendas'!G:G,'Historico Vendas'!E:E),0)</f>
        <v>0</v>
      </c>
      <c r="AF418" s="29" t="str">
        <f t="shared" si="403"/>
        <v/>
      </c>
      <c r="AG418" s="24">
        <f>IFERROR(_xlfn.XLOOKUP(N418&amp;P418,'Historico Vendas'!G:G,'Historico Vendas'!F:F),0)</f>
        <v>0</v>
      </c>
      <c r="AH418" s="25">
        <f t="shared" ref="AH418:AH434" si="460">SUM(Q418:S418)</f>
        <v>0</v>
      </c>
      <c r="AI418" s="24">
        <f t="shared" ref="AI418:AI434" si="461">AH418-AG418</f>
        <v>0</v>
      </c>
      <c r="AJ418" s="11" t="str">
        <f t="shared" si="406"/>
        <v/>
      </c>
      <c r="AK418" s="9" t="s">
        <v>102</v>
      </c>
      <c r="AL418" s="13">
        <f>IFERROR(INDEX('Balizador da Meta'!$D$3:$F$23,MATCH(Faturamento!$P418,'Balizador da Meta'!$C$3:$C$23,0),MATCH(Faturamento!AK418,'Balizador da Meta'!$D$2:$F$2,0)),"")</f>
        <v>0.2</v>
      </c>
      <c r="AM418" s="9"/>
    </row>
    <row r="419" spans="1:39" x14ac:dyDescent="0.3">
      <c r="A419" s="2" t="str">
        <f t="shared" si="404"/>
        <v>NÃO</v>
      </c>
      <c r="B419" s="2" t="str">
        <f>_xlfn.XLOOKUP($N419,'Base de Grupos'!$A:$A,'Base de Grupos'!$D:$D)</f>
        <v>1000065763</v>
      </c>
      <c r="C419" s="5" t="str">
        <f>_xlfn.XLOOKUP($N419,'Base de Grupos'!$A:$A,'Base de Grupos'!$E:$E)</f>
        <v>CANAL VENDA INTERNA</v>
      </c>
      <c r="D419" s="5" t="str">
        <f>_xlfn.XLOOKUP($N419,'Base de Grupos'!$A:$A,'Base de Grupos'!$F:$F)</f>
        <v>1000065763</v>
      </c>
      <c r="E419" s="2" t="str">
        <f>_xlfn.XLOOKUP($N419,'Base de Grupos'!$A:$A,'Base de Grupos'!$G:$G)</f>
        <v>CANAL VENDA INTERNA</v>
      </c>
      <c r="F419" s="2" t="str">
        <f>_xlfn.XLOOKUP($N419,'Base de Grupos'!$A:$A,'Base de Grupos'!$H:$H)</f>
        <v>1000105896</v>
      </c>
      <c r="G419" s="5" t="str">
        <f>_xlfn.XLOOKUP($N419,'Base de Grupos'!$A:$A,'Base de Grupos'!$I:$I)</f>
        <v>REGIONAL VENDA DIRETA SUL</v>
      </c>
      <c r="H419" s="5" t="str">
        <f>_xlfn.XLOOKUP($N419,'Base de Grupos'!$A:$A,'Base de Grupos'!$J:$J)</f>
        <v>1000105896</v>
      </c>
      <c r="I419" s="2" t="str">
        <f>_xlfn.XLOOKUP($N419,'Base de Grupos'!$A:$A,'Base de Grupos'!$K:$K)</f>
        <v>REGIONAL VENDA DIRETA SUL</v>
      </c>
      <c r="J419" s="2" t="str">
        <f>_xlfn.XLOOKUP($N419,'Base de Grupos'!$A:$A,'Base de Grupos'!$L:$L)</f>
        <v>1000176426</v>
      </c>
      <c r="K419" s="5" t="str">
        <f>_xlfn.XLOOKUP($N419,'Base de Grupos'!$A:$A,'Base de Grupos'!$M:$M)</f>
        <v>HEMANUELE ROSA DITZEL</v>
      </c>
      <c r="L419" s="5" t="str">
        <f t="shared" si="405"/>
        <v/>
      </c>
      <c r="M419" s="5" t="str">
        <f>_xlfn.XLOOKUP($N419,'Base de Grupos'!$A:$A,'Base de Grupos'!$C:$C)</f>
        <v>RS</v>
      </c>
      <c r="N419" s="3">
        <v>1362</v>
      </c>
      <c r="O419" s="4" t="s">
        <v>247</v>
      </c>
      <c r="P419" s="5" t="s">
        <v>82</v>
      </c>
      <c r="Q419" s="56">
        <v>0</v>
      </c>
      <c r="R419" s="56">
        <v>0</v>
      </c>
      <c r="S419" s="56">
        <v>0</v>
      </c>
      <c r="T419" s="56">
        <f>_xlfn.XLOOKUP($N419,'Calculo Leads'!$A$97:$A$134,'Calculo Leads'!G$97:G$134)*_xlfn.XLOOKUP($P419,'Base Grupo de Produtos'!$E$2:$E$18,'Base Grupo de Produtos'!$F$2:$F$18)</f>
        <v>650</v>
      </c>
      <c r="U419" s="56">
        <f>_xlfn.XLOOKUP($N419,'Calculo Leads'!$A$97:$A$134,'Calculo Leads'!H$97:H$134)*_xlfn.XLOOKUP($P419,'Base Grupo de Produtos'!$E$2:$E$18,'Base Grupo de Produtos'!$F$2:$F$18)</f>
        <v>800</v>
      </c>
      <c r="V419" s="56">
        <f>_xlfn.XLOOKUP($N419,'Calculo Leads'!$A$97:$A$134,'Calculo Leads'!I$97:I$134)*_xlfn.XLOOKUP($P419,'Base Grupo de Produtos'!$E$2:$E$18,'Base Grupo de Produtos'!$F$2:$F$18)</f>
        <v>1000</v>
      </c>
      <c r="W419" s="56">
        <f>_xlfn.XLOOKUP($N419,'Calculo Leads'!$A$97:$A$134,'Calculo Leads'!J$97:J$134)*_xlfn.XLOOKUP($P419,'Base Grupo de Produtos'!$E$2:$E$18,'Base Grupo de Produtos'!$F$2:$F$18)</f>
        <v>1200</v>
      </c>
      <c r="X419" s="56">
        <f>_xlfn.XLOOKUP($N419,'Calculo Leads'!$A$97:$A$134,'Calculo Leads'!K$97:K$134)*_xlfn.XLOOKUP($P419,'Base Grupo de Produtos'!$E$2:$E$18,'Base Grupo de Produtos'!$F$2:$F$18)</f>
        <v>1485</v>
      </c>
      <c r="Y419" s="56">
        <f>_xlfn.XLOOKUP($N419,'Calculo Leads'!$A$97:$A$134,'Calculo Leads'!L$97:L$134)*_xlfn.XLOOKUP($P419,'Base Grupo de Produtos'!$E$2:$E$18,'Base Grupo de Produtos'!$F$2:$F$18)</f>
        <v>1870</v>
      </c>
      <c r="Z419" s="56">
        <f>_xlfn.XLOOKUP($N419,'Calculo Leads'!$A$97:$A$134,'Calculo Leads'!M$97:M$134)*_xlfn.XLOOKUP($P419,'Base Grupo de Produtos'!$E$2:$E$18,'Base Grupo de Produtos'!$F$2:$F$18)</f>
        <v>2035</v>
      </c>
      <c r="AA419" s="56">
        <f>_xlfn.XLOOKUP($N419,'Calculo Leads'!$A$97:$A$134,'Calculo Leads'!N$97:N$134)*_xlfn.XLOOKUP($P419,'Base Grupo de Produtos'!$E$2:$E$18,'Base Grupo de Produtos'!$F$2:$F$18)</f>
        <v>2310</v>
      </c>
      <c r="AB419" s="56">
        <f>_xlfn.XLOOKUP($N419,'Calculo Leads'!$A$97:$A$134,'Calculo Leads'!O$97:O$134)*_xlfn.XLOOKUP($P419,'Base Grupo de Produtos'!$E$2:$E$18,'Base Grupo de Produtos'!$F$2:$F$18)</f>
        <v>1595</v>
      </c>
      <c r="AC419" s="61">
        <f t="shared" si="425"/>
        <v>12945</v>
      </c>
      <c r="AD419" s="27">
        <f t="shared" si="459"/>
        <v>12945</v>
      </c>
      <c r="AE419" s="25">
        <f>IFERROR(_xlfn.XLOOKUP(N419&amp;P419,'Historico Vendas'!G:G,'Historico Vendas'!E:E),0)</f>
        <v>0</v>
      </c>
      <c r="AF419" s="29" t="str">
        <f t="shared" si="403"/>
        <v/>
      </c>
      <c r="AG419" s="24">
        <f>IFERROR(_xlfn.XLOOKUP(N419&amp;P419,'Historico Vendas'!G:G,'Historico Vendas'!F:F),0)</f>
        <v>0</v>
      </c>
      <c r="AH419" s="25">
        <f t="shared" si="460"/>
        <v>0</v>
      </c>
      <c r="AI419" s="24">
        <f t="shared" si="461"/>
        <v>0</v>
      </c>
      <c r="AJ419" s="11" t="str">
        <f t="shared" si="406"/>
        <v/>
      </c>
      <c r="AK419" s="9" t="s">
        <v>102</v>
      </c>
      <c r="AL419" s="13">
        <f>IFERROR(INDEX('Balizador da Meta'!$D$3:$F$23,MATCH(Faturamento!$P419,'Balizador da Meta'!$C$3:$C$23,0),MATCH(Faturamento!AK419,'Balizador da Meta'!$D$2:$F$2,0)),"")</f>
        <v>0.2</v>
      </c>
      <c r="AM419" s="9"/>
    </row>
    <row r="420" spans="1:39" x14ac:dyDescent="0.3">
      <c r="A420" s="2" t="str">
        <f t="shared" si="404"/>
        <v>NÃO</v>
      </c>
      <c r="B420" s="2" t="str">
        <f>_xlfn.XLOOKUP($N420,'Base de Grupos'!$A:$A,'Base de Grupos'!$D:$D)</f>
        <v>1000065763</v>
      </c>
      <c r="C420" s="5" t="str">
        <f>_xlfn.XLOOKUP($N420,'Base de Grupos'!$A:$A,'Base de Grupos'!$E:$E)</f>
        <v>CANAL VENDA INTERNA</v>
      </c>
      <c r="D420" s="5" t="str">
        <f>_xlfn.XLOOKUP($N420,'Base de Grupos'!$A:$A,'Base de Grupos'!$F:$F)</f>
        <v>1000065763</v>
      </c>
      <c r="E420" s="2" t="str">
        <f>_xlfn.XLOOKUP($N420,'Base de Grupos'!$A:$A,'Base de Grupos'!$G:$G)</f>
        <v>CANAL VENDA INTERNA</v>
      </c>
      <c r="F420" s="2" t="str">
        <f>_xlfn.XLOOKUP($N420,'Base de Grupos'!$A:$A,'Base de Grupos'!$H:$H)</f>
        <v>1000105896</v>
      </c>
      <c r="G420" s="5" t="str">
        <f>_xlfn.XLOOKUP($N420,'Base de Grupos'!$A:$A,'Base de Grupos'!$I:$I)</f>
        <v>REGIONAL VENDA DIRETA SUL</v>
      </c>
      <c r="H420" s="5" t="str">
        <f>_xlfn.XLOOKUP($N420,'Base de Grupos'!$A:$A,'Base de Grupos'!$J:$J)</f>
        <v>1000105896</v>
      </c>
      <c r="I420" s="2" t="str">
        <f>_xlfn.XLOOKUP($N420,'Base de Grupos'!$A:$A,'Base de Grupos'!$K:$K)</f>
        <v>REGIONAL VENDA DIRETA SUL</v>
      </c>
      <c r="J420" s="2" t="str">
        <f>_xlfn.XLOOKUP($N420,'Base de Grupos'!$A:$A,'Base de Grupos'!$L:$L)</f>
        <v>1000176426</v>
      </c>
      <c r="K420" s="5" t="str">
        <f>_xlfn.XLOOKUP($N420,'Base de Grupos'!$A:$A,'Base de Grupos'!$M:$M)</f>
        <v>HEMANUELE ROSA DITZEL</v>
      </c>
      <c r="L420" s="5" t="str">
        <f t="shared" si="405"/>
        <v/>
      </c>
      <c r="M420" s="5" t="str">
        <f>_xlfn.XLOOKUP($N420,'Base de Grupos'!$A:$A,'Base de Grupos'!$C:$C)</f>
        <v>RS</v>
      </c>
      <c r="N420" s="3">
        <v>1362</v>
      </c>
      <c r="O420" s="4" t="s">
        <v>247</v>
      </c>
      <c r="P420" s="5" t="s">
        <v>84</v>
      </c>
      <c r="Q420" s="56">
        <v>0</v>
      </c>
      <c r="R420" s="56">
        <v>0</v>
      </c>
      <c r="S420" s="56">
        <v>0</v>
      </c>
      <c r="T420" s="56">
        <f>_xlfn.XLOOKUP($N420,'Calculo Leads'!$A$97:$A$134,'Calculo Leads'!G$97:G$134)*_xlfn.XLOOKUP($P420,'Base Grupo de Produtos'!$E$2:$E$18,'Base Grupo de Produtos'!$F$2:$F$18)</f>
        <v>1040</v>
      </c>
      <c r="U420" s="56">
        <f>_xlfn.XLOOKUP($N420,'Calculo Leads'!$A$97:$A$134,'Calculo Leads'!H$97:H$134)*_xlfn.XLOOKUP($P420,'Base Grupo de Produtos'!$E$2:$E$18,'Base Grupo de Produtos'!$F$2:$F$18)</f>
        <v>1280</v>
      </c>
      <c r="V420" s="56">
        <f>_xlfn.XLOOKUP($N420,'Calculo Leads'!$A$97:$A$134,'Calculo Leads'!I$97:I$134)*_xlfn.XLOOKUP($P420,'Base Grupo de Produtos'!$E$2:$E$18,'Base Grupo de Produtos'!$F$2:$F$18)</f>
        <v>1600</v>
      </c>
      <c r="W420" s="56">
        <f>_xlfn.XLOOKUP($N420,'Calculo Leads'!$A$97:$A$134,'Calculo Leads'!J$97:J$134)*_xlfn.XLOOKUP($P420,'Base Grupo de Produtos'!$E$2:$E$18,'Base Grupo de Produtos'!$F$2:$F$18)</f>
        <v>1920</v>
      </c>
      <c r="X420" s="56">
        <f>_xlfn.XLOOKUP($N420,'Calculo Leads'!$A$97:$A$134,'Calculo Leads'!K$97:K$134)*_xlfn.XLOOKUP($P420,'Base Grupo de Produtos'!$E$2:$E$18,'Base Grupo de Produtos'!$F$2:$F$18)</f>
        <v>2376</v>
      </c>
      <c r="Y420" s="56">
        <f>_xlfn.XLOOKUP($N420,'Calculo Leads'!$A$97:$A$134,'Calculo Leads'!L$97:L$134)*_xlfn.XLOOKUP($P420,'Base Grupo de Produtos'!$E$2:$E$18,'Base Grupo de Produtos'!$F$2:$F$18)</f>
        <v>2992</v>
      </c>
      <c r="Z420" s="56">
        <f>_xlfn.XLOOKUP($N420,'Calculo Leads'!$A$97:$A$134,'Calculo Leads'!M$97:M$134)*_xlfn.XLOOKUP($P420,'Base Grupo de Produtos'!$E$2:$E$18,'Base Grupo de Produtos'!$F$2:$F$18)</f>
        <v>3256</v>
      </c>
      <c r="AA420" s="56">
        <f>_xlfn.XLOOKUP($N420,'Calculo Leads'!$A$97:$A$134,'Calculo Leads'!N$97:N$134)*_xlfn.XLOOKUP($P420,'Base Grupo de Produtos'!$E$2:$E$18,'Base Grupo de Produtos'!$F$2:$F$18)</f>
        <v>3696</v>
      </c>
      <c r="AB420" s="56">
        <f>_xlfn.XLOOKUP($N420,'Calculo Leads'!$A$97:$A$134,'Calculo Leads'!O$97:O$134)*_xlfn.XLOOKUP($P420,'Base Grupo de Produtos'!$E$2:$E$18,'Base Grupo de Produtos'!$F$2:$F$18)</f>
        <v>2552</v>
      </c>
      <c r="AC420" s="61">
        <f t="shared" si="425"/>
        <v>20712</v>
      </c>
      <c r="AD420" s="27">
        <f t="shared" si="459"/>
        <v>20712</v>
      </c>
      <c r="AE420" s="25">
        <f>IFERROR(_xlfn.XLOOKUP(N420&amp;P420,'Historico Vendas'!G:G,'Historico Vendas'!E:E),0)</f>
        <v>0</v>
      </c>
      <c r="AF420" s="29" t="str">
        <f t="shared" si="403"/>
        <v/>
      </c>
      <c r="AG420" s="24">
        <f>IFERROR(_xlfn.XLOOKUP(N420&amp;P420,'Historico Vendas'!G:G,'Historico Vendas'!F:F),0)</f>
        <v>0</v>
      </c>
      <c r="AH420" s="25">
        <f t="shared" si="460"/>
        <v>0</v>
      </c>
      <c r="AI420" s="24">
        <f t="shared" si="461"/>
        <v>0</v>
      </c>
      <c r="AJ420" s="11" t="str">
        <f t="shared" si="406"/>
        <v/>
      </c>
      <c r="AK420" s="9" t="s">
        <v>102</v>
      </c>
      <c r="AL420" s="13">
        <f>IFERROR(INDEX('Balizador da Meta'!$D$3:$F$23,MATCH(Faturamento!$P420,'Balizador da Meta'!$C$3:$C$23,0),MATCH(Faturamento!AK420,'Balizador da Meta'!$D$2:$F$2,0)),"")</f>
        <v>0.15</v>
      </c>
      <c r="AM420" s="9"/>
    </row>
    <row r="421" spans="1:39" x14ac:dyDescent="0.3">
      <c r="A421" s="2" t="str">
        <f t="shared" si="404"/>
        <v>NÃO</v>
      </c>
      <c r="B421" s="2" t="str">
        <f>_xlfn.XLOOKUP($N421,'Base de Grupos'!$A:$A,'Base de Grupos'!$D:$D)</f>
        <v>1000065763</v>
      </c>
      <c r="C421" s="5" t="str">
        <f>_xlfn.XLOOKUP($N421,'Base de Grupos'!$A:$A,'Base de Grupos'!$E:$E)</f>
        <v>CANAL VENDA INTERNA</v>
      </c>
      <c r="D421" s="5" t="str">
        <f>_xlfn.XLOOKUP($N421,'Base de Grupos'!$A:$A,'Base de Grupos'!$F:$F)</f>
        <v>1000065763</v>
      </c>
      <c r="E421" s="2" t="str">
        <f>_xlfn.XLOOKUP($N421,'Base de Grupos'!$A:$A,'Base de Grupos'!$G:$G)</f>
        <v>CANAL VENDA INTERNA</v>
      </c>
      <c r="F421" s="2" t="str">
        <f>_xlfn.XLOOKUP($N421,'Base de Grupos'!$A:$A,'Base de Grupos'!$H:$H)</f>
        <v>1000105896</v>
      </c>
      <c r="G421" s="5" t="str">
        <f>_xlfn.XLOOKUP($N421,'Base de Grupos'!$A:$A,'Base de Grupos'!$I:$I)</f>
        <v>REGIONAL VENDA DIRETA SUL</v>
      </c>
      <c r="H421" s="5" t="str">
        <f>_xlfn.XLOOKUP($N421,'Base de Grupos'!$A:$A,'Base de Grupos'!$J:$J)</f>
        <v>1000105896</v>
      </c>
      <c r="I421" s="2" t="str">
        <f>_xlfn.XLOOKUP($N421,'Base de Grupos'!$A:$A,'Base de Grupos'!$K:$K)</f>
        <v>REGIONAL VENDA DIRETA SUL</v>
      </c>
      <c r="J421" s="2" t="str">
        <f>_xlfn.XLOOKUP($N421,'Base de Grupos'!$A:$A,'Base de Grupos'!$L:$L)</f>
        <v>1000176426</v>
      </c>
      <c r="K421" s="5" t="str">
        <f>_xlfn.XLOOKUP($N421,'Base de Grupos'!$A:$A,'Base de Grupos'!$M:$M)</f>
        <v>HEMANUELE ROSA DITZEL</v>
      </c>
      <c r="L421" s="5" t="str">
        <f t="shared" si="405"/>
        <v/>
      </c>
      <c r="M421" s="5" t="str">
        <f>_xlfn.XLOOKUP($N421,'Base de Grupos'!$A:$A,'Base de Grupos'!$C:$C)</f>
        <v>RS</v>
      </c>
      <c r="N421" s="3">
        <v>1362</v>
      </c>
      <c r="O421" s="4" t="s">
        <v>247</v>
      </c>
      <c r="P421" s="5" t="s">
        <v>83</v>
      </c>
      <c r="Q421" s="56">
        <v>0</v>
      </c>
      <c r="R421" s="56">
        <v>0</v>
      </c>
      <c r="S421" s="56">
        <v>0</v>
      </c>
      <c r="T421" s="56">
        <f>_xlfn.XLOOKUP($N421,'Calculo Leads'!$A$97:$A$134,'Calculo Leads'!G$97:G$134)*_xlfn.XLOOKUP($P421,'Base Grupo de Produtos'!$E$2:$E$18,'Base Grupo de Produtos'!$F$2:$F$18)</f>
        <v>1300</v>
      </c>
      <c r="U421" s="56">
        <f>_xlfn.XLOOKUP($N421,'Calculo Leads'!$A$97:$A$134,'Calculo Leads'!H$97:H$134)*_xlfn.XLOOKUP($P421,'Base Grupo de Produtos'!$E$2:$E$18,'Base Grupo de Produtos'!$F$2:$F$18)</f>
        <v>1600</v>
      </c>
      <c r="V421" s="56">
        <f>_xlfn.XLOOKUP($N421,'Calculo Leads'!$A$97:$A$134,'Calculo Leads'!I$97:I$134)*_xlfn.XLOOKUP($P421,'Base Grupo de Produtos'!$E$2:$E$18,'Base Grupo de Produtos'!$F$2:$F$18)</f>
        <v>2000</v>
      </c>
      <c r="W421" s="56">
        <f>_xlfn.XLOOKUP($N421,'Calculo Leads'!$A$97:$A$134,'Calculo Leads'!J$97:J$134)*_xlfn.XLOOKUP($P421,'Base Grupo de Produtos'!$E$2:$E$18,'Base Grupo de Produtos'!$F$2:$F$18)</f>
        <v>2400</v>
      </c>
      <c r="X421" s="56">
        <f>_xlfn.XLOOKUP($N421,'Calculo Leads'!$A$97:$A$134,'Calculo Leads'!K$97:K$134)*_xlfn.XLOOKUP($P421,'Base Grupo de Produtos'!$E$2:$E$18,'Base Grupo de Produtos'!$F$2:$F$18)</f>
        <v>2970</v>
      </c>
      <c r="Y421" s="56">
        <f>_xlfn.XLOOKUP($N421,'Calculo Leads'!$A$97:$A$134,'Calculo Leads'!L$97:L$134)*_xlfn.XLOOKUP($P421,'Base Grupo de Produtos'!$E$2:$E$18,'Base Grupo de Produtos'!$F$2:$F$18)</f>
        <v>3740</v>
      </c>
      <c r="Z421" s="56">
        <f>_xlfn.XLOOKUP($N421,'Calculo Leads'!$A$97:$A$134,'Calculo Leads'!M$97:M$134)*_xlfn.XLOOKUP($P421,'Base Grupo de Produtos'!$E$2:$E$18,'Base Grupo de Produtos'!$F$2:$F$18)</f>
        <v>4070</v>
      </c>
      <c r="AA421" s="56">
        <f>_xlfn.XLOOKUP($N421,'Calculo Leads'!$A$97:$A$134,'Calculo Leads'!N$97:N$134)*_xlfn.XLOOKUP($P421,'Base Grupo de Produtos'!$E$2:$E$18,'Base Grupo de Produtos'!$F$2:$F$18)</f>
        <v>4620</v>
      </c>
      <c r="AB421" s="56">
        <f>_xlfn.XLOOKUP($N421,'Calculo Leads'!$A$97:$A$134,'Calculo Leads'!O$97:O$134)*_xlfn.XLOOKUP($P421,'Base Grupo de Produtos'!$E$2:$E$18,'Base Grupo de Produtos'!$F$2:$F$18)</f>
        <v>3190</v>
      </c>
      <c r="AC421" s="61">
        <f t="shared" si="425"/>
        <v>25890</v>
      </c>
      <c r="AD421" s="27">
        <f t="shared" si="459"/>
        <v>25890</v>
      </c>
      <c r="AE421" s="25">
        <f>IFERROR(_xlfn.XLOOKUP(N421&amp;P421,'Historico Vendas'!G:G,'Historico Vendas'!E:E),0)</f>
        <v>0</v>
      </c>
      <c r="AF421" s="29" t="str">
        <f t="shared" si="403"/>
        <v/>
      </c>
      <c r="AG421" s="24">
        <f>IFERROR(_xlfn.XLOOKUP(N421&amp;P421,'Historico Vendas'!G:G,'Historico Vendas'!F:F),0)</f>
        <v>0</v>
      </c>
      <c r="AH421" s="25">
        <f t="shared" si="460"/>
        <v>0</v>
      </c>
      <c r="AI421" s="24">
        <f t="shared" si="461"/>
        <v>0</v>
      </c>
      <c r="AJ421" s="11" t="str">
        <f t="shared" si="406"/>
        <v/>
      </c>
      <c r="AK421" s="9" t="s">
        <v>102</v>
      </c>
      <c r="AL421" s="13">
        <f>IFERROR(INDEX('Balizador da Meta'!$D$3:$F$23,MATCH(Faturamento!$P421,'Balizador da Meta'!$C$3:$C$23,0),MATCH(Faturamento!AK421,'Balizador da Meta'!$D$2:$F$2,0)),"")</f>
        <v>0</v>
      </c>
      <c r="AM421" s="9"/>
    </row>
    <row r="422" spans="1:39" x14ac:dyDescent="0.3">
      <c r="A422" s="2" t="str">
        <f t="shared" si="404"/>
        <v>NÃO</v>
      </c>
      <c r="B422" s="2" t="str">
        <f>_xlfn.XLOOKUP($N422,'Base de Grupos'!$A:$A,'Base de Grupos'!$D:$D)</f>
        <v>1000065763</v>
      </c>
      <c r="C422" s="5" t="str">
        <f>_xlfn.XLOOKUP($N422,'Base de Grupos'!$A:$A,'Base de Grupos'!$E:$E)</f>
        <v>CANAL VENDA INTERNA</v>
      </c>
      <c r="D422" s="5" t="str">
        <f>_xlfn.XLOOKUP($N422,'Base de Grupos'!$A:$A,'Base de Grupos'!$F:$F)</f>
        <v>1000065763</v>
      </c>
      <c r="E422" s="2" t="str">
        <f>_xlfn.XLOOKUP($N422,'Base de Grupos'!$A:$A,'Base de Grupos'!$G:$G)</f>
        <v>CANAL VENDA INTERNA</v>
      </c>
      <c r="F422" s="2" t="str">
        <f>_xlfn.XLOOKUP($N422,'Base de Grupos'!$A:$A,'Base de Grupos'!$H:$H)</f>
        <v>1000105896</v>
      </c>
      <c r="G422" s="5" t="str">
        <f>_xlfn.XLOOKUP($N422,'Base de Grupos'!$A:$A,'Base de Grupos'!$I:$I)</f>
        <v>REGIONAL VENDA DIRETA SUL</v>
      </c>
      <c r="H422" s="5" t="str">
        <f>_xlfn.XLOOKUP($N422,'Base de Grupos'!$A:$A,'Base de Grupos'!$J:$J)</f>
        <v>1000105896</v>
      </c>
      <c r="I422" s="2" t="str">
        <f>_xlfn.XLOOKUP($N422,'Base de Grupos'!$A:$A,'Base de Grupos'!$K:$K)</f>
        <v>REGIONAL VENDA DIRETA SUL</v>
      </c>
      <c r="J422" s="2" t="str">
        <f>_xlfn.XLOOKUP($N422,'Base de Grupos'!$A:$A,'Base de Grupos'!$L:$L)</f>
        <v>1000176426</v>
      </c>
      <c r="K422" s="5" t="str">
        <f>_xlfn.XLOOKUP($N422,'Base de Grupos'!$A:$A,'Base de Grupos'!$M:$M)</f>
        <v>HEMANUELE ROSA DITZEL</v>
      </c>
      <c r="L422" s="5" t="str">
        <f t="shared" si="405"/>
        <v/>
      </c>
      <c r="M422" s="5" t="str">
        <f>_xlfn.XLOOKUP($N422,'Base de Grupos'!$A:$A,'Base de Grupos'!$C:$C)</f>
        <v>RS</v>
      </c>
      <c r="N422" s="3">
        <v>1362</v>
      </c>
      <c r="O422" s="4" t="s">
        <v>247</v>
      </c>
      <c r="P422" s="5" t="s">
        <v>87</v>
      </c>
      <c r="Q422" s="56">
        <v>0</v>
      </c>
      <c r="R422" s="56">
        <v>0</v>
      </c>
      <c r="S422" s="56">
        <v>0</v>
      </c>
      <c r="T422" s="56">
        <f>_xlfn.XLOOKUP($N422,'Calculo Leads'!$A$97:$A$134,'Calculo Leads'!G$97:G$134)*_xlfn.XLOOKUP($P422,'Base Grupo de Produtos'!$E$2:$E$18,'Base Grupo de Produtos'!$F$2:$F$18)</f>
        <v>259.99999999999994</v>
      </c>
      <c r="U422" s="56">
        <f>_xlfn.XLOOKUP($N422,'Calculo Leads'!$A$97:$A$134,'Calculo Leads'!H$97:H$134)*_xlfn.XLOOKUP($P422,'Base Grupo de Produtos'!$E$2:$E$18,'Base Grupo de Produtos'!$F$2:$F$18)</f>
        <v>319.99999999999994</v>
      </c>
      <c r="V422" s="56">
        <f>_xlfn.XLOOKUP($N422,'Calculo Leads'!$A$97:$A$134,'Calculo Leads'!I$97:I$134)*_xlfn.XLOOKUP($P422,'Base Grupo de Produtos'!$E$2:$E$18,'Base Grupo de Produtos'!$F$2:$F$18)</f>
        <v>399.99999999999994</v>
      </c>
      <c r="W422" s="56">
        <f>_xlfn.XLOOKUP($N422,'Calculo Leads'!$A$97:$A$134,'Calculo Leads'!J$97:J$134)*_xlfn.XLOOKUP($P422,'Base Grupo de Produtos'!$E$2:$E$18,'Base Grupo de Produtos'!$F$2:$F$18)</f>
        <v>479.99999999999994</v>
      </c>
      <c r="X422" s="56">
        <f>_xlfn.XLOOKUP($N422,'Calculo Leads'!$A$97:$A$134,'Calculo Leads'!K$97:K$134)*_xlfn.XLOOKUP($P422,'Base Grupo de Produtos'!$E$2:$E$18,'Base Grupo de Produtos'!$F$2:$F$18)</f>
        <v>593.99999999999989</v>
      </c>
      <c r="Y422" s="56">
        <f>_xlfn.XLOOKUP($N422,'Calculo Leads'!$A$97:$A$134,'Calculo Leads'!L$97:L$134)*_xlfn.XLOOKUP($P422,'Base Grupo de Produtos'!$E$2:$E$18,'Base Grupo de Produtos'!$F$2:$F$18)</f>
        <v>747.99999999999989</v>
      </c>
      <c r="Z422" s="56">
        <f>_xlfn.XLOOKUP($N422,'Calculo Leads'!$A$97:$A$134,'Calculo Leads'!M$97:M$134)*_xlfn.XLOOKUP($P422,'Base Grupo de Produtos'!$E$2:$E$18,'Base Grupo de Produtos'!$F$2:$F$18)</f>
        <v>813.99999999999989</v>
      </c>
      <c r="AA422" s="56">
        <f>_xlfn.XLOOKUP($N422,'Calculo Leads'!$A$97:$A$134,'Calculo Leads'!N$97:N$134)*_xlfn.XLOOKUP($P422,'Base Grupo de Produtos'!$E$2:$E$18,'Base Grupo de Produtos'!$F$2:$F$18)</f>
        <v>923.99999999999989</v>
      </c>
      <c r="AB422" s="56">
        <f>_xlfn.XLOOKUP($N422,'Calculo Leads'!$A$97:$A$134,'Calculo Leads'!O$97:O$134)*_xlfn.XLOOKUP($P422,'Base Grupo de Produtos'!$E$2:$E$18,'Base Grupo de Produtos'!$F$2:$F$18)</f>
        <v>637.99999999999989</v>
      </c>
      <c r="AC422" s="61">
        <f t="shared" si="425"/>
        <v>5177.9999999999991</v>
      </c>
      <c r="AD422" s="27">
        <f t="shared" si="459"/>
        <v>5177.9999999999991</v>
      </c>
      <c r="AE422" s="25">
        <f>IFERROR(_xlfn.XLOOKUP(N422&amp;P422,'Historico Vendas'!G:G,'Historico Vendas'!E:E),0)</f>
        <v>0</v>
      </c>
      <c r="AF422" s="29" t="str">
        <f t="shared" si="403"/>
        <v/>
      </c>
      <c r="AG422" s="24">
        <f>IFERROR(_xlfn.XLOOKUP(N422&amp;P422,'Historico Vendas'!G:G,'Historico Vendas'!F:F),0)</f>
        <v>0</v>
      </c>
      <c r="AH422" s="25">
        <f t="shared" si="460"/>
        <v>0</v>
      </c>
      <c r="AI422" s="24">
        <f t="shared" si="461"/>
        <v>0</v>
      </c>
      <c r="AJ422" s="11" t="str">
        <f t="shared" si="406"/>
        <v/>
      </c>
      <c r="AK422" s="9" t="s">
        <v>102</v>
      </c>
      <c r="AL422" s="13">
        <f>IFERROR(INDEX('Balizador da Meta'!$D$3:$F$23,MATCH(Faturamento!$P422,'Balizador da Meta'!$C$3:$C$23,0),MATCH(Faturamento!AK422,'Balizador da Meta'!$D$2:$F$2,0)),"")</f>
        <v>0</v>
      </c>
      <c r="AM422" s="9"/>
    </row>
    <row r="423" spans="1:39" x14ac:dyDescent="0.3">
      <c r="A423" s="2" t="str">
        <f t="shared" si="404"/>
        <v>NÃO</v>
      </c>
      <c r="B423" s="2" t="str">
        <f>_xlfn.XLOOKUP($N423,'Base de Grupos'!$A:$A,'Base de Grupos'!$D:$D)</f>
        <v>1000065763</v>
      </c>
      <c r="C423" s="5" t="str">
        <f>_xlfn.XLOOKUP($N423,'Base de Grupos'!$A:$A,'Base de Grupos'!$E:$E)</f>
        <v>CANAL VENDA INTERNA</v>
      </c>
      <c r="D423" s="5" t="str">
        <f>_xlfn.XLOOKUP($N423,'Base de Grupos'!$A:$A,'Base de Grupos'!$F:$F)</f>
        <v>1000065763</v>
      </c>
      <c r="E423" s="2" t="str">
        <f>_xlfn.XLOOKUP($N423,'Base de Grupos'!$A:$A,'Base de Grupos'!$G:$G)</f>
        <v>CANAL VENDA INTERNA</v>
      </c>
      <c r="F423" s="2" t="str">
        <f>_xlfn.XLOOKUP($N423,'Base de Grupos'!$A:$A,'Base de Grupos'!$H:$H)</f>
        <v>1000105896</v>
      </c>
      <c r="G423" s="5" t="str">
        <f>_xlfn.XLOOKUP($N423,'Base de Grupos'!$A:$A,'Base de Grupos'!$I:$I)</f>
        <v>REGIONAL VENDA DIRETA SUL</v>
      </c>
      <c r="H423" s="5" t="str">
        <f>_xlfn.XLOOKUP($N423,'Base de Grupos'!$A:$A,'Base de Grupos'!$J:$J)</f>
        <v>1000105896</v>
      </c>
      <c r="I423" s="2" t="str">
        <f>_xlfn.XLOOKUP($N423,'Base de Grupos'!$A:$A,'Base de Grupos'!$K:$K)</f>
        <v>REGIONAL VENDA DIRETA SUL</v>
      </c>
      <c r="J423" s="2" t="str">
        <f>_xlfn.XLOOKUP($N423,'Base de Grupos'!$A:$A,'Base de Grupos'!$L:$L)</f>
        <v>1000176426</v>
      </c>
      <c r="K423" s="5" t="str">
        <f>_xlfn.XLOOKUP($N423,'Base de Grupos'!$A:$A,'Base de Grupos'!$M:$M)</f>
        <v>HEMANUELE ROSA DITZEL</v>
      </c>
      <c r="L423" s="5" t="str">
        <f t="shared" si="405"/>
        <v/>
      </c>
      <c r="M423" s="5" t="str">
        <f>_xlfn.XLOOKUP($N423,'Base de Grupos'!$A:$A,'Base de Grupos'!$C:$C)</f>
        <v>RS</v>
      </c>
      <c r="N423" s="3">
        <v>1362</v>
      </c>
      <c r="O423" s="4" t="s">
        <v>247</v>
      </c>
      <c r="P423" s="5" t="s">
        <v>85</v>
      </c>
      <c r="Q423" s="56">
        <v>0</v>
      </c>
      <c r="R423" s="56">
        <v>0</v>
      </c>
      <c r="S423" s="56">
        <v>0</v>
      </c>
      <c r="T423" s="56">
        <f>_xlfn.XLOOKUP($N423,'Calculo Leads'!$A$97:$A$134,'Calculo Leads'!G$97:G$134)*_xlfn.XLOOKUP($P423,'Base Grupo de Produtos'!$E$2:$E$18,'Base Grupo de Produtos'!$F$2:$F$18)</f>
        <v>260</v>
      </c>
      <c r="U423" s="56">
        <f>_xlfn.XLOOKUP($N423,'Calculo Leads'!$A$97:$A$134,'Calculo Leads'!H$97:H$134)*_xlfn.XLOOKUP($P423,'Base Grupo de Produtos'!$E$2:$E$18,'Base Grupo de Produtos'!$F$2:$F$18)</f>
        <v>320</v>
      </c>
      <c r="V423" s="56">
        <f>_xlfn.XLOOKUP($N423,'Calculo Leads'!$A$97:$A$134,'Calculo Leads'!I$97:I$134)*_xlfn.XLOOKUP($P423,'Base Grupo de Produtos'!$E$2:$E$18,'Base Grupo de Produtos'!$F$2:$F$18)</f>
        <v>400</v>
      </c>
      <c r="W423" s="56">
        <f>_xlfn.XLOOKUP($N423,'Calculo Leads'!$A$97:$A$134,'Calculo Leads'!J$97:J$134)*_xlfn.XLOOKUP($P423,'Base Grupo de Produtos'!$E$2:$E$18,'Base Grupo de Produtos'!$F$2:$F$18)</f>
        <v>480</v>
      </c>
      <c r="X423" s="56">
        <f>_xlfn.XLOOKUP($N423,'Calculo Leads'!$A$97:$A$134,'Calculo Leads'!K$97:K$134)*_xlfn.XLOOKUP($P423,'Base Grupo de Produtos'!$E$2:$E$18,'Base Grupo de Produtos'!$F$2:$F$18)</f>
        <v>594</v>
      </c>
      <c r="Y423" s="56">
        <f>_xlfn.XLOOKUP($N423,'Calculo Leads'!$A$97:$A$134,'Calculo Leads'!L$97:L$134)*_xlfn.XLOOKUP($P423,'Base Grupo de Produtos'!$E$2:$E$18,'Base Grupo de Produtos'!$F$2:$F$18)</f>
        <v>748</v>
      </c>
      <c r="Z423" s="56">
        <f>_xlfn.XLOOKUP($N423,'Calculo Leads'!$A$97:$A$134,'Calculo Leads'!M$97:M$134)*_xlfn.XLOOKUP($P423,'Base Grupo de Produtos'!$E$2:$E$18,'Base Grupo de Produtos'!$F$2:$F$18)</f>
        <v>814</v>
      </c>
      <c r="AA423" s="56">
        <f>_xlfn.XLOOKUP($N423,'Calculo Leads'!$A$97:$A$134,'Calculo Leads'!N$97:N$134)*_xlfn.XLOOKUP($P423,'Base Grupo de Produtos'!$E$2:$E$18,'Base Grupo de Produtos'!$F$2:$F$18)</f>
        <v>924</v>
      </c>
      <c r="AB423" s="56">
        <f>_xlfn.XLOOKUP($N423,'Calculo Leads'!$A$97:$A$134,'Calculo Leads'!O$97:O$134)*_xlfn.XLOOKUP($P423,'Base Grupo de Produtos'!$E$2:$E$18,'Base Grupo de Produtos'!$F$2:$F$18)</f>
        <v>638</v>
      </c>
      <c r="AC423" s="61">
        <f t="shared" si="425"/>
        <v>5178</v>
      </c>
      <c r="AD423" s="27">
        <f t="shared" si="459"/>
        <v>5178</v>
      </c>
      <c r="AE423" s="25">
        <f>IFERROR(_xlfn.XLOOKUP(N423&amp;P423,'Historico Vendas'!G:G,'Historico Vendas'!E:E),0)</f>
        <v>0</v>
      </c>
      <c r="AF423" s="29" t="str">
        <f t="shared" si="403"/>
        <v/>
      </c>
      <c r="AG423" s="24">
        <f>IFERROR(_xlfn.XLOOKUP(N423&amp;P423,'Historico Vendas'!G:G,'Historico Vendas'!F:F),0)</f>
        <v>0</v>
      </c>
      <c r="AH423" s="25">
        <f t="shared" si="460"/>
        <v>0</v>
      </c>
      <c r="AI423" s="24">
        <f t="shared" si="461"/>
        <v>0</v>
      </c>
      <c r="AJ423" s="11" t="str">
        <f t="shared" si="406"/>
        <v/>
      </c>
      <c r="AK423" s="9" t="s">
        <v>102</v>
      </c>
      <c r="AL423" s="13">
        <f>IFERROR(INDEX('Balizador da Meta'!$D$3:$F$23,MATCH(Faturamento!$P423,'Balizador da Meta'!$C$3:$C$23,0),MATCH(Faturamento!AK423,'Balizador da Meta'!$D$2:$F$2,0)),"")</f>
        <v>0</v>
      </c>
      <c r="AM423" s="9"/>
    </row>
    <row r="424" spans="1:39" x14ac:dyDescent="0.3">
      <c r="A424" s="2" t="str">
        <f t="shared" si="404"/>
        <v>NÃO</v>
      </c>
      <c r="B424" s="2" t="str">
        <f>_xlfn.XLOOKUP($N424,'Base de Grupos'!$A:$A,'Base de Grupos'!$D:$D)</f>
        <v>1000065763</v>
      </c>
      <c r="C424" s="5" t="str">
        <f>_xlfn.XLOOKUP($N424,'Base de Grupos'!$A:$A,'Base de Grupos'!$E:$E)</f>
        <v>CANAL VENDA INTERNA</v>
      </c>
      <c r="D424" s="5" t="str">
        <f>_xlfn.XLOOKUP($N424,'Base de Grupos'!$A:$A,'Base de Grupos'!$F:$F)</f>
        <v>1000065763</v>
      </c>
      <c r="E424" s="2" t="str">
        <f>_xlfn.XLOOKUP($N424,'Base de Grupos'!$A:$A,'Base de Grupos'!$G:$G)</f>
        <v>CANAL VENDA INTERNA</v>
      </c>
      <c r="F424" s="2" t="str">
        <f>_xlfn.XLOOKUP($N424,'Base de Grupos'!$A:$A,'Base de Grupos'!$H:$H)</f>
        <v>1000105896</v>
      </c>
      <c r="G424" s="5" t="str">
        <f>_xlfn.XLOOKUP($N424,'Base de Grupos'!$A:$A,'Base de Grupos'!$I:$I)</f>
        <v>REGIONAL VENDA DIRETA SUL</v>
      </c>
      <c r="H424" s="5" t="str">
        <f>_xlfn.XLOOKUP($N424,'Base de Grupos'!$A:$A,'Base de Grupos'!$J:$J)</f>
        <v>1000105896</v>
      </c>
      <c r="I424" s="2" t="str">
        <f>_xlfn.XLOOKUP($N424,'Base de Grupos'!$A:$A,'Base de Grupos'!$K:$K)</f>
        <v>REGIONAL VENDA DIRETA SUL</v>
      </c>
      <c r="J424" s="2" t="str">
        <f>_xlfn.XLOOKUP($N424,'Base de Grupos'!$A:$A,'Base de Grupos'!$L:$L)</f>
        <v>1000176426</v>
      </c>
      <c r="K424" s="5" t="str">
        <f>_xlfn.XLOOKUP($N424,'Base de Grupos'!$A:$A,'Base de Grupos'!$M:$M)</f>
        <v>HEMANUELE ROSA DITZEL</v>
      </c>
      <c r="L424" s="5" t="str">
        <f t="shared" si="405"/>
        <v/>
      </c>
      <c r="M424" s="5" t="str">
        <f>_xlfn.XLOOKUP($N424,'Base de Grupos'!$A:$A,'Base de Grupos'!$C:$C)</f>
        <v>RS</v>
      </c>
      <c r="N424" s="3">
        <v>1362</v>
      </c>
      <c r="O424" s="4" t="s">
        <v>247</v>
      </c>
      <c r="P424" s="5" t="s">
        <v>92</v>
      </c>
      <c r="Q424" s="56">
        <v>0</v>
      </c>
      <c r="R424" s="56">
        <v>0</v>
      </c>
      <c r="S424" s="56">
        <v>0</v>
      </c>
      <c r="T424" s="56">
        <f>_xlfn.XLOOKUP($N424,'Calculo Leads'!$A$97:$A$134,'Calculo Leads'!G$97:G$134)*_xlfn.XLOOKUP($P424,'Base Grupo de Produtos'!$E$2:$E$18,'Base Grupo de Produtos'!$F$2:$F$18)</f>
        <v>260</v>
      </c>
      <c r="U424" s="56">
        <f>_xlfn.XLOOKUP($N424,'Calculo Leads'!$A$97:$A$134,'Calculo Leads'!H$97:H$134)*_xlfn.XLOOKUP($P424,'Base Grupo de Produtos'!$E$2:$E$18,'Base Grupo de Produtos'!$F$2:$F$18)</f>
        <v>320</v>
      </c>
      <c r="V424" s="56">
        <f>_xlfn.XLOOKUP($N424,'Calculo Leads'!$A$97:$A$134,'Calculo Leads'!I$97:I$134)*_xlfn.XLOOKUP($P424,'Base Grupo de Produtos'!$E$2:$E$18,'Base Grupo de Produtos'!$F$2:$F$18)</f>
        <v>400</v>
      </c>
      <c r="W424" s="56">
        <f>_xlfn.XLOOKUP($N424,'Calculo Leads'!$A$97:$A$134,'Calculo Leads'!J$97:J$134)*_xlfn.XLOOKUP($P424,'Base Grupo de Produtos'!$E$2:$E$18,'Base Grupo de Produtos'!$F$2:$F$18)</f>
        <v>480</v>
      </c>
      <c r="X424" s="56">
        <f>_xlfn.XLOOKUP($N424,'Calculo Leads'!$A$97:$A$134,'Calculo Leads'!K$97:K$134)*_xlfn.XLOOKUP($P424,'Base Grupo de Produtos'!$E$2:$E$18,'Base Grupo de Produtos'!$F$2:$F$18)</f>
        <v>594</v>
      </c>
      <c r="Y424" s="56">
        <f>_xlfn.XLOOKUP($N424,'Calculo Leads'!$A$97:$A$134,'Calculo Leads'!L$97:L$134)*_xlfn.XLOOKUP($P424,'Base Grupo de Produtos'!$E$2:$E$18,'Base Grupo de Produtos'!$F$2:$F$18)</f>
        <v>748</v>
      </c>
      <c r="Z424" s="56">
        <f>_xlfn.XLOOKUP($N424,'Calculo Leads'!$A$97:$A$134,'Calculo Leads'!M$97:M$134)*_xlfn.XLOOKUP($P424,'Base Grupo de Produtos'!$E$2:$E$18,'Base Grupo de Produtos'!$F$2:$F$18)</f>
        <v>814</v>
      </c>
      <c r="AA424" s="56">
        <f>_xlfn.XLOOKUP($N424,'Calculo Leads'!$A$97:$A$134,'Calculo Leads'!N$97:N$134)*_xlfn.XLOOKUP($P424,'Base Grupo de Produtos'!$E$2:$E$18,'Base Grupo de Produtos'!$F$2:$F$18)</f>
        <v>924</v>
      </c>
      <c r="AB424" s="56">
        <f>_xlfn.XLOOKUP($N424,'Calculo Leads'!$A$97:$A$134,'Calculo Leads'!O$97:O$134)*_xlfn.XLOOKUP($P424,'Base Grupo de Produtos'!$E$2:$E$18,'Base Grupo de Produtos'!$F$2:$F$18)</f>
        <v>638</v>
      </c>
      <c r="AC424" s="61">
        <f t="shared" si="425"/>
        <v>5178</v>
      </c>
      <c r="AD424" s="27">
        <f t="shared" si="459"/>
        <v>5178</v>
      </c>
      <c r="AE424" s="25">
        <f>IFERROR(_xlfn.XLOOKUP(N424&amp;P424,'Historico Vendas'!G:G,'Historico Vendas'!E:E),0)</f>
        <v>0</v>
      </c>
      <c r="AF424" s="29" t="str">
        <f t="shared" si="403"/>
        <v/>
      </c>
      <c r="AG424" s="24">
        <f>IFERROR(_xlfn.XLOOKUP(N424&amp;P424,'Historico Vendas'!G:G,'Historico Vendas'!F:F),0)</f>
        <v>0</v>
      </c>
      <c r="AH424" s="25">
        <f t="shared" si="460"/>
        <v>0</v>
      </c>
      <c r="AI424" s="24">
        <f t="shared" si="461"/>
        <v>0</v>
      </c>
      <c r="AJ424" s="11" t="str">
        <f t="shared" si="406"/>
        <v/>
      </c>
      <c r="AK424" s="9" t="s">
        <v>102</v>
      </c>
      <c r="AL424" s="13">
        <f>IFERROR(INDEX('Balizador da Meta'!$D$3:$F$23,MATCH(Faturamento!$P424,'Balizador da Meta'!$C$3:$C$23,0),MATCH(Faturamento!AK424,'Balizador da Meta'!$D$2:$F$2,0)),"")</f>
        <v>0</v>
      </c>
      <c r="AM424" s="9"/>
    </row>
    <row r="425" spans="1:39" x14ac:dyDescent="0.3">
      <c r="A425" s="2" t="str">
        <f t="shared" si="404"/>
        <v>NÃO</v>
      </c>
      <c r="B425" s="2" t="str">
        <f>_xlfn.XLOOKUP($N425,'Base de Grupos'!$A:$A,'Base de Grupos'!$D:$D)</f>
        <v>1000065763</v>
      </c>
      <c r="C425" s="5" t="str">
        <f>_xlfn.XLOOKUP($N425,'Base de Grupos'!$A:$A,'Base de Grupos'!$E:$E)</f>
        <v>CANAL VENDA INTERNA</v>
      </c>
      <c r="D425" s="5" t="str">
        <f>_xlfn.XLOOKUP($N425,'Base de Grupos'!$A:$A,'Base de Grupos'!$F:$F)</f>
        <v>1000065763</v>
      </c>
      <c r="E425" s="2" t="str">
        <f>_xlfn.XLOOKUP($N425,'Base de Grupos'!$A:$A,'Base de Grupos'!$G:$G)</f>
        <v>CANAL VENDA INTERNA</v>
      </c>
      <c r="F425" s="2" t="str">
        <f>_xlfn.XLOOKUP($N425,'Base de Grupos'!$A:$A,'Base de Grupos'!$H:$H)</f>
        <v>1000105896</v>
      </c>
      <c r="G425" s="5" t="str">
        <f>_xlfn.XLOOKUP($N425,'Base de Grupos'!$A:$A,'Base de Grupos'!$I:$I)</f>
        <v>REGIONAL VENDA DIRETA SUL</v>
      </c>
      <c r="H425" s="5" t="str">
        <f>_xlfn.XLOOKUP($N425,'Base de Grupos'!$A:$A,'Base de Grupos'!$J:$J)</f>
        <v>1000105896</v>
      </c>
      <c r="I425" s="2" t="str">
        <f>_xlfn.XLOOKUP($N425,'Base de Grupos'!$A:$A,'Base de Grupos'!$K:$K)</f>
        <v>REGIONAL VENDA DIRETA SUL</v>
      </c>
      <c r="J425" s="2" t="str">
        <f>_xlfn.XLOOKUP($N425,'Base de Grupos'!$A:$A,'Base de Grupos'!$L:$L)</f>
        <v>1000176426</v>
      </c>
      <c r="K425" s="5" t="str">
        <f>_xlfn.XLOOKUP($N425,'Base de Grupos'!$A:$A,'Base de Grupos'!$M:$M)</f>
        <v>HEMANUELE ROSA DITZEL</v>
      </c>
      <c r="L425" s="5" t="str">
        <f t="shared" si="405"/>
        <v/>
      </c>
      <c r="M425" s="5" t="str">
        <f>_xlfn.XLOOKUP($N425,'Base de Grupos'!$A:$A,'Base de Grupos'!$C:$C)</f>
        <v>RS</v>
      </c>
      <c r="N425" s="3">
        <v>1362</v>
      </c>
      <c r="O425" s="4" t="s">
        <v>247</v>
      </c>
      <c r="P425" s="5" t="s">
        <v>86</v>
      </c>
      <c r="Q425" s="56">
        <v>0</v>
      </c>
      <c r="R425" s="56">
        <v>0</v>
      </c>
      <c r="S425" s="56">
        <v>0</v>
      </c>
      <c r="T425" s="56">
        <f>_xlfn.XLOOKUP($N425,'Calculo Leads'!$A$97:$A$134,'Calculo Leads'!G$97:G$134)*_xlfn.XLOOKUP($P425,'Base Grupo de Produtos'!$E$2:$E$18,'Base Grupo de Produtos'!$F$2:$F$18)</f>
        <v>390</v>
      </c>
      <c r="U425" s="56">
        <f>_xlfn.XLOOKUP($N425,'Calculo Leads'!$A$97:$A$134,'Calculo Leads'!H$97:H$134)*_xlfn.XLOOKUP($P425,'Base Grupo de Produtos'!$E$2:$E$18,'Base Grupo de Produtos'!$F$2:$F$18)</f>
        <v>480</v>
      </c>
      <c r="V425" s="56">
        <f>_xlfn.XLOOKUP($N425,'Calculo Leads'!$A$97:$A$134,'Calculo Leads'!I$97:I$134)*_xlfn.XLOOKUP($P425,'Base Grupo de Produtos'!$E$2:$E$18,'Base Grupo de Produtos'!$F$2:$F$18)</f>
        <v>600</v>
      </c>
      <c r="W425" s="56">
        <f>_xlfn.XLOOKUP($N425,'Calculo Leads'!$A$97:$A$134,'Calculo Leads'!J$97:J$134)*_xlfn.XLOOKUP($P425,'Base Grupo de Produtos'!$E$2:$E$18,'Base Grupo de Produtos'!$F$2:$F$18)</f>
        <v>720</v>
      </c>
      <c r="X425" s="56">
        <f>_xlfn.XLOOKUP($N425,'Calculo Leads'!$A$97:$A$134,'Calculo Leads'!K$97:K$134)*_xlfn.XLOOKUP($P425,'Base Grupo de Produtos'!$E$2:$E$18,'Base Grupo de Produtos'!$F$2:$F$18)</f>
        <v>891</v>
      </c>
      <c r="Y425" s="56">
        <f>_xlfn.XLOOKUP($N425,'Calculo Leads'!$A$97:$A$134,'Calculo Leads'!L$97:L$134)*_xlfn.XLOOKUP($P425,'Base Grupo de Produtos'!$E$2:$E$18,'Base Grupo de Produtos'!$F$2:$F$18)</f>
        <v>1122</v>
      </c>
      <c r="Z425" s="56">
        <f>_xlfn.XLOOKUP($N425,'Calculo Leads'!$A$97:$A$134,'Calculo Leads'!M$97:M$134)*_xlfn.XLOOKUP($P425,'Base Grupo de Produtos'!$E$2:$E$18,'Base Grupo de Produtos'!$F$2:$F$18)</f>
        <v>1221</v>
      </c>
      <c r="AA425" s="56">
        <f>_xlfn.XLOOKUP($N425,'Calculo Leads'!$A$97:$A$134,'Calculo Leads'!N$97:N$134)*_xlfn.XLOOKUP($P425,'Base Grupo de Produtos'!$E$2:$E$18,'Base Grupo de Produtos'!$F$2:$F$18)</f>
        <v>1386</v>
      </c>
      <c r="AB425" s="56">
        <f>_xlfn.XLOOKUP($N425,'Calculo Leads'!$A$97:$A$134,'Calculo Leads'!O$97:O$134)*_xlfn.XLOOKUP($P425,'Base Grupo de Produtos'!$E$2:$E$18,'Base Grupo de Produtos'!$F$2:$F$18)</f>
        <v>957</v>
      </c>
      <c r="AC425" s="61">
        <f t="shared" si="425"/>
        <v>7767</v>
      </c>
      <c r="AD425" s="27">
        <f t="shared" si="459"/>
        <v>7767</v>
      </c>
      <c r="AE425" s="25">
        <f>IFERROR(_xlfn.XLOOKUP(N425&amp;P425,'Historico Vendas'!G:G,'Historico Vendas'!E:E),0)</f>
        <v>0</v>
      </c>
      <c r="AF425" s="29" t="str">
        <f t="shared" si="403"/>
        <v/>
      </c>
      <c r="AG425" s="24">
        <f>IFERROR(_xlfn.XLOOKUP(N425&amp;P425,'Historico Vendas'!G:G,'Historico Vendas'!F:F),0)</f>
        <v>0</v>
      </c>
      <c r="AH425" s="25">
        <f t="shared" si="460"/>
        <v>0</v>
      </c>
      <c r="AI425" s="24">
        <f t="shared" si="461"/>
        <v>0</v>
      </c>
      <c r="AJ425" s="11" t="str">
        <f t="shared" si="406"/>
        <v/>
      </c>
      <c r="AK425" s="9" t="s">
        <v>102</v>
      </c>
      <c r="AL425" s="13">
        <f>IFERROR(INDEX('Balizador da Meta'!$D$3:$F$23,MATCH(Faturamento!$P425,'Balizador da Meta'!$C$3:$C$23,0),MATCH(Faturamento!AK425,'Balizador da Meta'!$D$2:$F$2,0)),"")</f>
        <v>0.15</v>
      </c>
      <c r="AM425" s="9"/>
    </row>
    <row r="426" spans="1:39" x14ac:dyDescent="0.3">
      <c r="A426" s="2" t="str">
        <f t="shared" si="404"/>
        <v>NÃO</v>
      </c>
      <c r="B426" s="2" t="str">
        <f>_xlfn.XLOOKUP($N426,'Base de Grupos'!$A:$A,'Base de Grupos'!$D:$D)</f>
        <v>1000065763</v>
      </c>
      <c r="C426" s="5" t="str">
        <f>_xlfn.XLOOKUP($N426,'Base de Grupos'!$A:$A,'Base de Grupos'!$E:$E)</f>
        <v>CANAL VENDA INTERNA</v>
      </c>
      <c r="D426" s="5" t="str">
        <f>_xlfn.XLOOKUP($N426,'Base de Grupos'!$A:$A,'Base de Grupos'!$F:$F)</f>
        <v>1000065763</v>
      </c>
      <c r="E426" s="2" t="str">
        <f>_xlfn.XLOOKUP($N426,'Base de Grupos'!$A:$A,'Base de Grupos'!$G:$G)</f>
        <v>CANAL VENDA INTERNA</v>
      </c>
      <c r="F426" s="2" t="str">
        <f>_xlfn.XLOOKUP($N426,'Base de Grupos'!$A:$A,'Base de Grupos'!$H:$H)</f>
        <v>1000105896</v>
      </c>
      <c r="G426" s="5" t="str">
        <f>_xlfn.XLOOKUP($N426,'Base de Grupos'!$A:$A,'Base de Grupos'!$I:$I)</f>
        <v>REGIONAL VENDA DIRETA SUL</v>
      </c>
      <c r="H426" s="5" t="str">
        <f>_xlfn.XLOOKUP($N426,'Base de Grupos'!$A:$A,'Base de Grupos'!$J:$J)</f>
        <v>1000105896</v>
      </c>
      <c r="I426" s="2" t="str">
        <f>_xlfn.XLOOKUP($N426,'Base de Grupos'!$A:$A,'Base de Grupos'!$K:$K)</f>
        <v>REGIONAL VENDA DIRETA SUL</v>
      </c>
      <c r="J426" s="2" t="str">
        <f>_xlfn.XLOOKUP($N426,'Base de Grupos'!$A:$A,'Base de Grupos'!$L:$L)</f>
        <v>1000176426</v>
      </c>
      <c r="K426" s="5" t="str">
        <f>_xlfn.XLOOKUP($N426,'Base de Grupos'!$A:$A,'Base de Grupos'!$M:$M)</f>
        <v>HEMANUELE ROSA DITZEL</v>
      </c>
      <c r="L426" s="5" t="str">
        <f t="shared" si="405"/>
        <v/>
      </c>
      <c r="M426" s="5" t="str">
        <f>_xlfn.XLOOKUP($N426,'Base de Grupos'!$A:$A,'Base de Grupos'!$C:$C)</f>
        <v>RS</v>
      </c>
      <c r="N426" s="3">
        <v>1362</v>
      </c>
      <c r="O426" s="4" t="s">
        <v>247</v>
      </c>
      <c r="P426" s="5" t="s">
        <v>108</v>
      </c>
      <c r="Q426" s="56">
        <v>0</v>
      </c>
      <c r="R426" s="56">
        <v>0</v>
      </c>
      <c r="S426" s="56">
        <v>0</v>
      </c>
      <c r="T426" s="56">
        <f>_xlfn.XLOOKUP($N426,'Calculo Leads'!$A$97:$A$134,'Calculo Leads'!G$97:G$134)*_xlfn.XLOOKUP($P426,'Base Grupo de Produtos'!$E$2:$E$18,'Base Grupo de Produtos'!$F$2:$F$18)</f>
        <v>3250</v>
      </c>
      <c r="U426" s="56">
        <f>_xlfn.XLOOKUP($N426,'Calculo Leads'!$A$97:$A$134,'Calculo Leads'!H$97:H$134)*_xlfn.XLOOKUP($P426,'Base Grupo de Produtos'!$E$2:$E$18,'Base Grupo de Produtos'!$F$2:$F$18)</f>
        <v>4000</v>
      </c>
      <c r="V426" s="56">
        <f>_xlfn.XLOOKUP($N426,'Calculo Leads'!$A$97:$A$134,'Calculo Leads'!I$97:I$134)*_xlfn.XLOOKUP($P426,'Base Grupo de Produtos'!$E$2:$E$18,'Base Grupo de Produtos'!$F$2:$F$18)</f>
        <v>5000</v>
      </c>
      <c r="W426" s="56">
        <f>_xlfn.XLOOKUP($N426,'Calculo Leads'!$A$97:$A$134,'Calculo Leads'!J$97:J$134)*_xlfn.XLOOKUP($P426,'Base Grupo de Produtos'!$E$2:$E$18,'Base Grupo de Produtos'!$F$2:$F$18)</f>
        <v>6000</v>
      </c>
      <c r="X426" s="56">
        <f>_xlfn.XLOOKUP($N426,'Calculo Leads'!$A$97:$A$134,'Calculo Leads'!K$97:K$134)*_xlfn.XLOOKUP($P426,'Base Grupo de Produtos'!$E$2:$E$18,'Base Grupo de Produtos'!$F$2:$F$18)</f>
        <v>7425</v>
      </c>
      <c r="Y426" s="56">
        <f>_xlfn.XLOOKUP($N426,'Calculo Leads'!$A$97:$A$134,'Calculo Leads'!L$97:L$134)*_xlfn.XLOOKUP($P426,'Base Grupo de Produtos'!$E$2:$E$18,'Base Grupo de Produtos'!$F$2:$F$18)</f>
        <v>9350</v>
      </c>
      <c r="Z426" s="56">
        <f>_xlfn.XLOOKUP($N426,'Calculo Leads'!$A$97:$A$134,'Calculo Leads'!M$97:M$134)*_xlfn.XLOOKUP($P426,'Base Grupo de Produtos'!$E$2:$E$18,'Base Grupo de Produtos'!$F$2:$F$18)</f>
        <v>10175</v>
      </c>
      <c r="AA426" s="56">
        <f>_xlfn.XLOOKUP($N426,'Calculo Leads'!$A$97:$A$134,'Calculo Leads'!N$97:N$134)*_xlfn.XLOOKUP($P426,'Base Grupo de Produtos'!$E$2:$E$18,'Base Grupo de Produtos'!$F$2:$F$18)</f>
        <v>11550</v>
      </c>
      <c r="AB426" s="56">
        <f>_xlfn.XLOOKUP($N426,'Calculo Leads'!$A$97:$A$134,'Calculo Leads'!O$97:O$134)*_xlfn.XLOOKUP($P426,'Base Grupo de Produtos'!$E$2:$E$18,'Base Grupo de Produtos'!$F$2:$F$18)</f>
        <v>7975</v>
      </c>
      <c r="AC426" s="61">
        <f t="shared" si="425"/>
        <v>64725</v>
      </c>
      <c r="AD426" s="27">
        <f t="shared" si="459"/>
        <v>64725</v>
      </c>
      <c r="AE426" s="25">
        <f>IFERROR(_xlfn.XLOOKUP(N426&amp;P426,'Historico Vendas'!G:G,'Historico Vendas'!E:E),0)</f>
        <v>0</v>
      </c>
      <c r="AF426" s="29" t="str">
        <f t="shared" si="403"/>
        <v/>
      </c>
      <c r="AG426" s="24">
        <f>IFERROR(_xlfn.XLOOKUP(N426&amp;P426,'Historico Vendas'!G:G,'Historico Vendas'!F:F),0)</f>
        <v>0</v>
      </c>
      <c r="AH426" s="25">
        <f t="shared" si="460"/>
        <v>0</v>
      </c>
      <c r="AI426" s="24">
        <f t="shared" si="461"/>
        <v>0</v>
      </c>
      <c r="AJ426" s="11" t="str">
        <f t="shared" si="406"/>
        <v/>
      </c>
      <c r="AK426" s="9" t="s">
        <v>102</v>
      </c>
      <c r="AL426" s="13">
        <f>IFERROR(INDEX('Balizador da Meta'!$D$3:$F$23,MATCH(Faturamento!$P426,'Balizador da Meta'!$C$3:$C$23,0),MATCH(Faturamento!AK426,'Balizador da Meta'!$D$2:$F$2,0)),"")</f>
        <v>0</v>
      </c>
      <c r="AM426" s="9"/>
    </row>
    <row r="427" spans="1:39" x14ac:dyDescent="0.3">
      <c r="A427" s="2" t="str">
        <f t="shared" si="404"/>
        <v>NÃO</v>
      </c>
      <c r="B427" s="2" t="str">
        <f>_xlfn.XLOOKUP($N427,'Base de Grupos'!$A:$A,'Base de Grupos'!$D:$D)</f>
        <v>1000065763</v>
      </c>
      <c r="C427" s="5" t="str">
        <f>_xlfn.XLOOKUP($N427,'Base de Grupos'!$A:$A,'Base de Grupos'!$E:$E)</f>
        <v>CANAL VENDA INTERNA</v>
      </c>
      <c r="D427" s="5" t="str">
        <f>_xlfn.XLOOKUP($N427,'Base de Grupos'!$A:$A,'Base de Grupos'!$F:$F)</f>
        <v>1000065763</v>
      </c>
      <c r="E427" s="2" t="str">
        <f>_xlfn.XLOOKUP($N427,'Base de Grupos'!$A:$A,'Base de Grupos'!$G:$G)</f>
        <v>CANAL VENDA INTERNA</v>
      </c>
      <c r="F427" s="2" t="str">
        <f>_xlfn.XLOOKUP($N427,'Base de Grupos'!$A:$A,'Base de Grupos'!$H:$H)</f>
        <v>1000105896</v>
      </c>
      <c r="G427" s="5" t="str">
        <f>_xlfn.XLOOKUP($N427,'Base de Grupos'!$A:$A,'Base de Grupos'!$I:$I)</f>
        <v>REGIONAL VENDA DIRETA SUL</v>
      </c>
      <c r="H427" s="5" t="str">
        <f>_xlfn.XLOOKUP($N427,'Base de Grupos'!$A:$A,'Base de Grupos'!$J:$J)</f>
        <v>1000105896</v>
      </c>
      <c r="I427" s="2" t="str">
        <f>_xlfn.XLOOKUP($N427,'Base de Grupos'!$A:$A,'Base de Grupos'!$K:$K)</f>
        <v>REGIONAL VENDA DIRETA SUL</v>
      </c>
      <c r="J427" s="2" t="str">
        <f>_xlfn.XLOOKUP($N427,'Base de Grupos'!$A:$A,'Base de Grupos'!$L:$L)</f>
        <v>1000176426</v>
      </c>
      <c r="K427" s="5" t="str">
        <f>_xlfn.XLOOKUP($N427,'Base de Grupos'!$A:$A,'Base de Grupos'!$M:$M)</f>
        <v>HEMANUELE ROSA DITZEL</v>
      </c>
      <c r="L427" s="5" t="str">
        <f t="shared" si="405"/>
        <v/>
      </c>
      <c r="M427" s="5" t="str">
        <f>_xlfn.XLOOKUP($N427,'Base de Grupos'!$A:$A,'Base de Grupos'!$C:$C)</f>
        <v>RS</v>
      </c>
      <c r="N427" s="3">
        <v>1362</v>
      </c>
      <c r="O427" s="4" t="s">
        <v>247</v>
      </c>
      <c r="P427" s="5" t="s">
        <v>89</v>
      </c>
      <c r="Q427" s="56">
        <v>0</v>
      </c>
      <c r="R427" s="56">
        <v>0</v>
      </c>
      <c r="S427" s="56">
        <v>0</v>
      </c>
      <c r="T427" s="56">
        <f>_xlfn.XLOOKUP($N427,'Calculo Leads'!$A$97:$A$134,'Calculo Leads'!G$97:G$134)*_xlfn.XLOOKUP($P427,'Base Grupo de Produtos'!$E$2:$E$18,'Base Grupo de Produtos'!$F$2:$F$18)</f>
        <v>650</v>
      </c>
      <c r="U427" s="56">
        <f>_xlfn.XLOOKUP($N427,'Calculo Leads'!$A$97:$A$134,'Calculo Leads'!H$97:H$134)*_xlfn.XLOOKUP($P427,'Base Grupo de Produtos'!$E$2:$E$18,'Base Grupo de Produtos'!$F$2:$F$18)</f>
        <v>800</v>
      </c>
      <c r="V427" s="56">
        <f>_xlfn.XLOOKUP($N427,'Calculo Leads'!$A$97:$A$134,'Calculo Leads'!I$97:I$134)*_xlfn.XLOOKUP($P427,'Base Grupo de Produtos'!$E$2:$E$18,'Base Grupo de Produtos'!$F$2:$F$18)</f>
        <v>1000</v>
      </c>
      <c r="W427" s="56">
        <f>_xlfn.XLOOKUP($N427,'Calculo Leads'!$A$97:$A$134,'Calculo Leads'!J$97:J$134)*_xlfn.XLOOKUP($P427,'Base Grupo de Produtos'!$E$2:$E$18,'Base Grupo de Produtos'!$F$2:$F$18)</f>
        <v>1200</v>
      </c>
      <c r="X427" s="56">
        <f>_xlfn.XLOOKUP($N427,'Calculo Leads'!$A$97:$A$134,'Calculo Leads'!K$97:K$134)*_xlfn.XLOOKUP($P427,'Base Grupo de Produtos'!$E$2:$E$18,'Base Grupo de Produtos'!$F$2:$F$18)</f>
        <v>1485</v>
      </c>
      <c r="Y427" s="56">
        <f>_xlfn.XLOOKUP($N427,'Calculo Leads'!$A$97:$A$134,'Calculo Leads'!L$97:L$134)*_xlfn.XLOOKUP($P427,'Base Grupo de Produtos'!$E$2:$E$18,'Base Grupo de Produtos'!$F$2:$F$18)</f>
        <v>1870</v>
      </c>
      <c r="Z427" s="56">
        <f>_xlfn.XLOOKUP($N427,'Calculo Leads'!$A$97:$A$134,'Calculo Leads'!M$97:M$134)*_xlfn.XLOOKUP($P427,'Base Grupo de Produtos'!$E$2:$E$18,'Base Grupo de Produtos'!$F$2:$F$18)</f>
        <v>2035</v>
      </c>
      <c r="AA427" s="56">
        <f>_xlfn.XLOOKUP($N427,'Calculo Leads'!$A$97:$A$134,'Calculo Leads'!N$97:N$134)*_xlfn.XLOOKUP($P427,'Base Grupo de Produtos'!$E$2:$E$18,'Base Grupo de Produtos'!$F$2:$F$18)</f>
        <v>2310</v>
      </c>
      <c r="AB427" s="56">
        <f>_xlfn.XLOOKUP($N427,'Calculo Leads'!$A$97:$A$134,'Calculo Leads'!O$97:O$134)*_xlfn.XLOOKUP($P427,'Base Grupo de Produtos'!$E$2:$E$18,'Base Grupo de Produtos'!$F$2:$F$18)</f>
        <v>1595</v>
      </c>
      <c r="AC427" s="61">
        <f t="shared" si="425"/>
        <v>12945</v>
      </c>
      <c r="AD427" s="27">
        <f t="shared" si="459"/>
        <v>12945</v>
      </c>
      <c r="AE427" s="25">
        <f>IFERROR(_xlfn.XLOOKUP(N427&amp;P427,'Historico Vendas'!G:G,'Historico Vendas'!E:E),0)</f>
        <v>0</v>
      </c>
      <c r="AF427" s="29" t="str">
        <f t="shared" si="403"/>
        <v/>
      </c>
      <c r="AG427" s="24">
        <f>IFERROR(_xlfn.XLOOKUP(N427&amp;P427,'Historico Vendas'!G:G,'Historico Vendas'!F:F),0)</f>
        <v>0</v>
      </c>
      <c r="AH427" s="25">
        <f t="shared" si="460"/>
        <v>0</v>
      </c>
      <c r="AI427" s="24">
        <f t="shared" si="461"/>
        <v>0</v>
      </c>
      <c r="AJ427" s="11" t="str">
        <f t="shared" si="406"/>
        <v/>
      </c>
      <c r="AK427" s="9" t="s">
        <v>102</v>
      </c>
      <c r="AL427" s="13">
        <f>IFERROR(INDEX('Balizador da Meta'!$D$3:$F$23,MATCH(Faturamento!$P427,'Balizador da Meta'!$C$3:$C$23,0),MATCH(Faturamento!AK427,'Balizador da Meta'!$D$2:$F$2,0)),"")</f>
        <v>0.25</v>
      </c>
      <c r="AM427" s="9"/>
    </row>
    <row r="428" spans="1:39" x14ac:dyDescent="0.3">
      <c r="A428" s="2" t="str">
        <f t="shared" si="404"/>
        <v>NÃO</v>
      </c>
      <c r="B428" s="2" t="str">
        <f>_xlfn.XLOOKUP($N428,'Base de Grupos'!$A:$A,'Base de Grupos'!$D:$D)</f>
        <v>1000065763</v>
      </c>
      <c r="C428" s="5" t="str">
        <f>_xlfn.XLOOKUP($N428,'Base de Grupos'!$A:$A,'Base de Grupos'!$E:$E)</f>
        <v>CANAL VENDA INTERNA</v>
      </c>
      <c r="D428" s="5" t="str">
        <f>_xlfn.XLOOKUP($N428,'Base de Grupos'!$A:$A,'Base de Grupos'!$F:$F)</f>
        <v>1000065763</v>
      </c>
      <c r="E428" s="2" t="str">
        <f>_xlfn.XLOOKUP($N428,'Base de Grupos'!$A:$A,'Base de Grupos'!$G:$G)</f>
        <v>CANAL VENDA INTERNA</v>
      </c>
      <c r="F428" s="2" t="str">
        <f>_xlfn.XLOOKUP($N428,'Base de Grupos'!$A:$A,'Base de Grupos'!$H:$H)</f>
        <v>1000105896</v>
      </c>
      <c r="G428" s="5" t="str">
        <f>_xlfn.XLOOKUP($N428,'Base de Grupos'!$A:$A,'Base de Grupos'!$I:$I)</f>
        <v>REGIONAL VENDA DIRETA SUL</v>
      </c>
      <c r="H428" s="5" t="str">
        <f>_xlfn.XLOOKUP($N428,'Base de Grupos'!$A:$A,'Base de Grupos'!$J:$J)</f>
        <v>1000105896</v>
      </c>
      <c r="I428" s="2" t="str">
        <f>_xlfn.XLOOKUP($N428,'Base de Grupos'!$A:$A,'Base de Grupos'!$K:$K)</f>
        <v>REGIONAL VENDA DIRETA SUL</v>
      </c>
      <c r="J428" s="2" t="str">
        <f>_xlfn.XLOOKUP($N428,'Base de Grupos'!$A:$A,'Base de Grupos'!$L:$L)</f>
        <v>1000176426</v>
      </c>
      <c r="K428" s="5" t="str">
        <f>_xlfn.XLOOKUP($N428,'Base de Grupos'!$A:$A,'Base de Grupos'!$M:$M)</f>
        <v>HEMANUELE ROSA DITZEL</v>
      </c>
      <c r="L428" s="5" t="str">
        <f t="shared" si="405"/>
        <v/>
      </c>
      <c r="M428" s="5" t="str">
        <f>_xlfn.XLOOKUP($N428,'Base de Grupos'!$A:$A,'Base de Grupos'!$C:$C)</f>
        <v>RS</v>
      </c>
      <c r="N428" s="3">
        <v>1362</v>
      </c>
      <c r="O428" s="4" t="s">
        <v>247</v>
      </c>
      <c r="P428" s="5" t="s">
        <v>88</v>
      </c>
      <c r="Q428" s="56">
        <v>0</v>
      </c>
      <c r="R428" s="56">
        <v>0</v>
      </c>
      <c r="S428" s="56">
        <v>0</v>
      </c>
      <c r="T428" s="56">
        <f>_xlfn.XLOOKUP($N428,'Calculo Leads'!$A$97:$A$134,'Calculo Leads'!G$97:G$134)*_xlfn.XLOOKUP($P428,'Base Grupo de Produtos'!$E$2:$E$18,'Base Grupo de Produtos'!$F$2:$F$18)</f>
        <v>650</v>
      </c>
      <c r="U428" s="56">
        <f>_xlfn.XLOOKUP($N428,'Calculo Leads'!$A$97:$A$134,'Calculo Leads'!H$97:H$134)*_xlfn.XLOOKUP($P428,'Base Grupo de Produtos'!$E$2:$E$18,'Base Grupo de Produtos'!$F$2:$F$18)</f>
        <v>800</v>
      </c>
      <c r="V428" s="56">
        <f>_xlfn.XLOOKUP($N428,'Calculo Leads'!$A$97:$A$134,'Calculo Leads'!I$97:I$134)*_xlfn.XLOOKUP($P428,'Base Grupo de Produtos'!$E$2:$E$18,'Base Grupo de Produtos'!$F$2:$F$18)</f>
        <v>1000</v>
      </c>
      <c r="W428" s="56">
        <f>_xlfn.XLOOKUP($N428,'Calculo Leads'!$A$97:$A$134,'Calculo Leads'!J$97:J$134)*_xlfn.XLOOKUP($P428,'Base Grupo de Produtos'!$E$2:$E$18,'Base Grupo de Produtos'!$F$2:$F$18)</f>
        <v>1200</v>
      </c>
      <c r="X428" s="56">
        <f>_xlfn.XLOOKUP($N428,'Calculo Leads'!$A$97:$A$134,'Calculo Leads'!K$97:K$134)*_xlfn.XLOOKUP($P428,'Base Grupo de Produtos'!$E$2:$E$18,'Base Grupo de Produtos'!$F$2:$F$18)</f>
        <v>1485</v>
      </c>
      <c r="Y428" s="56">
        <f>_xlfn.XLOOKUP($N428,'Calculo Leads'!$A$97:$A$134,'Calculo Leads'!L$97:L$134)*_xlfn.XLOOKUP($P428,'Base Grupo de Produtos'!$E$2:$E$18,'Base Grupo de Produtos'!$F$2:$F$18)</f>
        <v>1870</v>
      </c>
      <c r="Z428" s="56">
        <f>_xlfn.XLOOKUP($N428,'Calculo Leads'!$A$97:$A$134,'Calculo Leads'!M$97:M$134)*_xlfn.XLOOKUP($P428,'Base Grupo de Produtos'!$E$2:$E$18,'Base Grupo de Produtos'!$F$2:$F$18)</f>
        <v>2035</v>
      </c>
      <c r="AA428" s="56">
        <f>_xlfn.XLOOKUP($N428,'Calculo Leads'!$A$97:$A$134,'Calculo Leads'!N$97:N$134)*_xlfn.XLOOKUP($P428,'Base Grupo de Produtos'!$E$2:$E$18,'Base Grupo de Produtos'!$F$2:$F$18)</f>
        <v>2310</v>
      </c>
      <c r="AB428" s="56">
        <f>_xlfn.XLOOKUP($N428,'Calculo Leads'!$A$97:$A$134,'Calculo Leads'!O$97:O$134)*_xlfn.XLOOKUP($P428,'Base Grupo de Produtos'!$E$2:$E$18,'Base Grupo de Produtos'!$F$2:$F$18)</f>
        <v>1595</v>
      </c>
      <c r="AC428" s="61">
        <f t="shared" si="425"/>
        <v>12945</v>
      </c>
      <c r="AD428" s="27">
        <f t="shared" si="459"/>
        <v>12945</v>
      </c>
      <c r="AE428" s="25">
        <f>IFERROR(_xlfn.XLOOKUP(N428&amp;P428,'Historico Vendas'!G:G,'Historico Vendas'!E:E),0)</f>
        <v>0</v>
      </c>
      <c r="AF428" s="29" t="str">
        <f t="shared" si="403"/>
        <v/>
      </c>
      <c r="AG428" s="24">
        <f>IFERROR(_xlfn.XLOOKUP(N428&amp;P428,'Historico Vendas'!G:G,'Historico Vendas'!F:F),0)</f>
        <v>0</v>
      </c>
      <c r="AH428" s="25">
        <f t="shared" si="460"/>
        <v>0</v>
      </c>
      <c r="AI428" s="24">
        <f t="shared" si="461"/>
        <v>0</v>
      </c>
      <c r="AJ428" s="11" t="str">
        <f t="shared" si="406"/>
        <v/>
      </c>
      <c r="AK428" s="9" t="s">
        <v>102</v>
      </c>
      <c r="AL428" s="13">
        <f>IFERROR(INDEX('Balizador da Meta'!$D$3:$F$23,MATCH(Faturamento!$P428,'Balizador da Meta'!$C$3:$C$23,0),MATCH(Faturamento!AK428,'Balizador da Meta'!$D$2:$F$2,0)),"")</f>
        <v>0</v>
      </c>
      <c r="AM428" s="9"/>
    </row>
    <row r="429" spans="1:39" x14ac:dyDescent="0.3">
      <c r="A429" s="2" t="str">
        <f t="shared" si="404"/>
        <v>NÃO</v>
      </c>
      <c r="B429" s="2" t="str">
        <f>_xlfn.XLOOKUP($N429,'Base de Grupos'!$A:$A,'Base de Grupos'!$D:$D)</f>
        <v>1000065763</v>
      </c>
      <c r="C429" s="5" t="str">
        <f>_xlfn.XLOOKUP($N429,'Base de Grupos'!$A:$A,'Base de Grupos'!$E:$E)</f>
        <v>CANAL VENDA INTERNA</v>
      </c>
      <c r="D429" s="5" t="str">
        <f>_xlfn.XLOOKUP($N429,'Base de Grupos'!$A:$A,'Base de Grupos'!$F:$F)</f>
        <v>1000065763</v>
      </c>
      <c r="E429" s="2" t="str">
        <f>_xlfn.XLOOKUP($N429,'Base de Grupos'!$A:$A,'Base de Grupos'!$G:$G)</f>
        <v>CANAL VENDA INTERNA</v>
      </c>
      <c r="F429" s="2" t="str">
        <f>_xlfn.XLOOKUP($N429,'Base de Grupos'!$A:$A,'Base de Grupos'!$H:$H)</f>
        <v>1000105896</v>
      </c>
      <c r="G429" s="5" t="str">
        <f>_xlfn.XLOOKUP($N429,'Base de Grupos'!$A:$A,'Base de Grupos'!$I:$I)</f>
        <v>REGIONAL VENDA DIRETA SUL</v>
      </c>
      <c r="H429" s="5" t="str">
        <f>_xlfn.XLOOKUP($N429,'Base de Grupos'!$A:$A,'Base de Grupos'!$J:$J)</f>
        <v>1000105896</v>
      </c>
      <c r="I429" s="2" t="str">
        <f>_xlfn.XLOOKUP($N429,'Base de Grupos'!$A:$A,'Base de Grupos'!$K:$K)</f>
        <v>REGIONAL VENDA DIRETA SUL</v>
      </c>
      <c r="J429" s="2" t="str">
        <f>_xlfn.XLOOKUP($N429,'Base de Grupos'!$A:$A,'Base de Grupos'!$L:$L)</f>
        <v>1000176426</v>
      </c>
      <c r="K429" s="5" t="str">
        <f>_xlfn.XLOOKUP($N429,'Base de Grupos'!$A:$A,'Base de Grupos'!$M:$M)</f>
        <v>HEMANUELE ROSA DITZEL</v>
      </c>
      <c r="L429" s="5" t="str">
        <f t="shared" si="405"/>
        <v/>
      </c>
      <c r="M429" s="5" t="str">
        <f>_xlfn.XLOOKUP($N429,'Base de Grupos'!$A:$A,'Base de Grupos'!$C:$C)</f>
        <v>RS</v>
      </c>
      <c r="N429" s="3">
        <v>1362</v>
      </c>
      <c r="O429" s="4" t="s">
        <v>247</v>
      </c>
      <c r="P429" s="5" t="s">
        <v>90</v>
      </c>
      <c r="Q429" s="56">
        <v>0</v>
      </c>
      <c r="R429" s="56">
        <v>0</v>
      </c>
      <c r="S429" s="56">
        <v>0</v>
      </c>
      <c r="T429" s="56">
        <f>_xlfn.XLOOKUP($N429,'Calculo Leads'!$A$97:$A$134,'Calculo Leads'!G$97:G$134)*_xlfn.XLOOKUP($P429,'Base Grupo de Produtos'!$E$2:$E$18,'Base Grupo de Produtos'!$F$2:$F$18)</f>
        <v>650</v>
      </c>
      <c r="U429" s="56">
        <f>_xlfn.XLOOKUP($N429,'Calculo Leads'!$A$97:$A$134,'Calculo Leads'!H$97:H$134)*_xlfn.XLOOKUP($P429,'Base Grupo de Produtos'!$E$2:$E$18,'Base Grupo de Produtos'!$F$2:$F$18)</f>
        <v>800</v>
      </c>
      <c r="V429" s="56">
        <f>_xlfn.XLOOKUP($N429,'Calculo Leads'!$A$97:$A$134,'Calculo Leads'!I$97:I$134)*_xlfn.XLOOKUP($P429,'Base Grupo de Produtos'!$E$2:$E$18,'Base Grupo de Produtos'!$F$2:$F$18)</f>
        <v>1000</v>
      </c>
      <c r="W429" s="56">
        <f>_xlfn.XLOOKUP($N429,'Calculo Leads'!$A$97:$A$134,'Calculo Leads'!J$97:J$134)*_xlfn.XLOOKUP($P429,'Base Grupo de Produtos'!$E$2:$E$18,'Base Grupo de Produtos'!$F$2:$F$18)</f>
        <v>1200</v>
      </c>
      <c r="X429" s="56">
        <f>_xlfn.XLOOKUP($N429,'Calculo Leads'!$A$97:$A$134,'Calculo Leads'!K$97:K$134)*_xlfn.XLOOKUP($P429,'Base Grupo de Produtos'!$E$2:$E$18,'Base Grupo de Produtos'!$F$2:$F$18)</f>
        <v>1485</v>
      </c>
      <c r="Y429" s="56">
        <f>_xlfn.XLOOKUP($N429,'Calculo Leads'!$A$97:$A$134,'Calculo Leads'!L$97:L$134)*_xlfn.XLOOKUP($P429,'Base Grupo de Produtos'!$E$2:$E$18,'Base Grupo de Produtos'!$F$2:$F$18)</f>
        <v>1870</v>
      </c>
      <c r="Z429" s="56">
        <f>_xlfn.XLOOKUP($N429,'Calculo Leads'!$A$97:$A$134,'Calculo Leads'!M$97:M$134)*_xlfn.XLOOKUP($P429,'Base Grupo de Produtos'!$E$2:$E$18,'Base Grupo de Produtos'!$F$2:$F$18)</f>
        <v>2035</v>
      </c>
      <c r="AA429" s="56">
        <f>_xlfn.XLOOKUP($N429,'Calculo Leads'!$A$97:$A$134,'Calculo Leads'!N$97:N$134)*_xlfn.XLOOKUP($P429,'Base Grupo de Produtos'!$E$2:$E$18,'Base Grupo de Produtos'!$F$2:$F$18)</f>
        <v>2310</v>
      </c>
      <c r="AB429" s="56">
        <f>_xlfn.XLOOKUP($N429,'Calculo Leads'!$A$97:$A$134,'Calculo Leads'!O$97:O$134)*_xlfn.XLOOKUP($P429,'Base Grupo de Produtos'!$E$2:$E$18,'Base Grupo de Produtos'!$F$2:$F$18)</f>
        <v>1595</v>
      </c>
      <c r="AC429" s="61">
        <f t="shared" si="425"/>
        <v>12945</v>
      </c>
      <c r="AD429" s="27">
        <f t="shared" si="459"/>
        <v>12945</v>
      </c>
      <c r="AE429" s="25">
        <f>IFERROR(_xlfn.XLOOKUP(N429&amp;P429,'Historico Vendas'!G:G,'Historico Vendas'!E:E),0)</f>
        <v>0</v>
      </c>
      <c r="AF429" s="29" t="str">
        <f t="shared" si="403"/>
        <v/>
      </c>
      <c r="AG429" s="24">
        <f>IFERROR(_xlfn.XLOOKUP(N429&amp;P429,'Historico Vendas'!G:G,'Historico Vendas'!F:F),0)</f>
        <v>0</v>
      </c>
      <c r="AH429" s="25">
        <f t="shared" si="460"/>
        <v>0</v>
      </c>
      <c r="AI429" s="24">
        <f t="shared" si="461"/>
        <v>0</v>
      </c>
      <c r="AJ429" s="11" t="str">
        <f t="shared" si="406"/>
        <v/>
      </c>
      <c r="AK429" s="9" t="s">
        <v>102</v>
      </c>
      <c r="AL429" s="13">
        <f>IFERROR(INDEX('Balizador da Meta'!$D$3:$F$23,MATCH(Faturamento!$P429,'Balizador da Meta'!$C$3:$C$23,0),MATCH(Faturamento!AK429,'Balizador da Meta'!$D$2:$F$2,0)),"")</f>
        <v>0</v>
      </c>
      <c r="AM429" s="9"/>
    </row>
    <row r="430" spans="1:39" x14ac:dyDescent="0.3">
      <c r="A430" s="2" t="str">
        <f t="shared" si="404"/>
        <v>NÃO</v>
      </c>
      <c r="B430" s="2" t="str">
        <f>_xlfn.XLOOKUP($N430,'Base de Grupos'!$A:$A,'Base de Grupos'!$D:$D)</f>
        <v>1000065763</v>
      </c>
      <c r="C430" s="5" t="str">
        <f>_xlfn.XLOOKUP($N430,'Base de Grupos'!$A:$A,'Base de Grupos'!$E:$E)</f>
        <v>CANAL VENDA INTERNA</v>
      </c>
      <c r="D430" s="5" t="str">
        <f>_xlfn.XLOOKUP($N430,'Base de Grupos'!$A:$A,'Base de Grupos'!$F:$F)</f>
        <v>1000065763</v>
      </c>
      <c r="E430" s="2" t="str">
        <f>_xlfn.XLOOKUP($N430,'Base de Grupos'!$A:$A,'Base de Grupos'!$G:$G)</f>
        <v>CANAL VENDA INTERNA</v>
      </c>
      <c r="F430" s="2" t="str">
        <f>_xlfn.XLOOKUP($N430,'Base de Grupos'!$A:$A,'Base de Grupos'!$H:$H)</f>
        <v>1000105896</v>
      </c>
      <c r="G430" s="5" t="str">
        <f>_xlfn.XLOOKUP($N430,'Base de Grupos'!$A:$A,'Base de Grupos'!$I:$I)</f>
        <v>REGIONAL VENDA DIRETA SUL</v>
      </c>
      <c r="H430" s="5" t="str">
        <f>_xlfn.XLOOKUP($N430,'Base de Grupos'!$A:$A,'Base de Grupos'!$J:$J)</f>
        <v>1000105896</v>
      </c>
      <c r="I430" s="2" t="str">
        <f>_xlfn.XLOOKUP($N430,'Base de Grupos'!$A:$A,'Base de Grupos'!$K:$K)</f>
        <v>REGIONAL VENDA DIRETA SUL</v>
      </c>
      <c r="J430" s="2" t="str">
        <f>_xlfn.XLOOKUP($N430,'Base de Grupos'!$A:$A,'Base de Grupos'!$L:$L)</f>
        <v>1000176426</v>
      </c>
      <c r="K430" s="5" t="str">
        <f>_xlfn.XLOOKUP($N430,'Base de Grupos'!$A:$A,'Base de Grupos'!$M:$M)</f>
        <v>HEMANUELE ROSA DITZEL</v>
      </c>
      <c r="L430" s="5" t="str">
        <f t="shared" si="405"/>
        <v/>
      </c>
      <c r="M430" s="5" t="str">
        <f>_xlfn.XLOOKUP($N430,'Base de Grupos'!$A:$A,'Base de Grupos'!$C:$C)</f>
        <v>RS</v>
      </c>
      <c r="N430" s="3">
        <v>1362</v>
      </c>
      <c r="O430" s="4" t="s">
        <v>247</v>
      </c>
      <c r="P430" s="5" t="s">
        <v>91</v>
      </c>
      <c r="Q430" s="56">
        <v>0</v>
      </c>
      <c r="R430" s="56">
        <v>0</v>
      </c>
      <c r="S430" s="56">
        <v>0</v>
      </c>
      <c r="T430" s="56">
        <f>_xlfn.XLOOKUP($N430,'Calculo Leads'!$A$97:$A$134,'Calculo Leads'!G$97:G$134)*_xlfn.XLOOKUP($P430,'Base Grupo de Produtos'!$E$2:$E$18,'Base Grupo de Produtos'!$F$2:$F$18)</f>
        <v>0</v>
      </c>
      <c r="U430" s="56">
        <f>_xlfn.XLOOKUP($N430,'Calculo Leads'!$A$97:$A$134,'Calculo Leads'!H$97:H$134)*_xlfn.XLOOKUP($P430,'Base Grupo de Produtos'!$E$2:$E$18,'Base Grupo de Produtos'!$F$2:$F$18)</f>
        <v>0</v>
      </c>
      <c r="V430" s="56">
        <f>_xlfn.XLOOKUP($N430,'Calculo Leads'!$A$97:$A$134,'Calculo Leads'!I$97:I$134)*_xlfn.XLOOKUP($P430,'Base Grupo de Produtos'!$E$2:$E$18,'Base Grupo de Produtos'!$F$2:$F$18)</f>
        <v>0</v>
      </c>
      <c r="W430" s="56">
        <f>_xlfn.XLOOKUP($N430,'Calculo Leads'!$A$97:$A$134,'Calculo Leads'!J$97:J$134)*_xlfn.XLOOKUP($P430,'Base Grupo de Produtos'!$E$2:$E$18,'Base Grupo de Produtos'!$F$2:$F$18)</f>
        <v>0</v>
      </c>
      <c r="X430" s="56">
        <f>_xlfn.XLOOKUP($N430,'Calculo Leads'!$A$97:$A$134,'Calculo Leads'!K$97:K$134)*_xlfn.XLOOKUP($P430,'Base Grupo de Produtos'!$E$2:$E$18,'Base Grupo de Produtos'!$F$2:$F$18)</f>
        <v>0</v>
      </c>
      <c r="Y430" s="56">
        <f>_xlfn.XLOOKUP($N430,'Calculo Leads'!$A$97:$A$134,'Calculo Leads'!L$97:L$134)*_xlfn.XLOOKUP($P430,'Base Grupo de Produtos'!$E$2:$E$18,'Base Grupo de Produtos'!$F$2:$F$18)</f>
        <v>0</v>
      </c>
      <c r="Z430" s="56">
        <f>_xlfn.XLOOKUP($N430,'Calculo Leads'!$A$97:$A$134,'Calculo Leads'!M$97:M$134)*_xlfn.XLOOKUP($P430,'Base Grupo de Produtos'!$E$2:$E$18,'Base Grupo de Produtos'!$F$2:$F$18)</f>
        <v>0</v>
      </c>
      <c r="AA430" s="56">
        <f>_xlfn.XLOOKUP($N430,'Calculo Leads'!$A$97:$A$134,'Calculo Leads'!N$97:N$134)*_xlfn.XLOOKUP($P430,'Base Grupo de Produtos'!$E$2:$E$18,'Base Grupo de Produtos'!$F$2:$F$18)</f>
        <v>0</v>
      </c>
      <c r="AB430" s="56">
        <f>_xlfn.XLOOKUP($N430,'Calculo Leads'!$A$97:$A$134,'Calculo Leads'!O$97:O$134)*_xlfn.XLOOKUP($P430,'Base Grupo de Produtos'!$E$2:$E$18,'Base Grupo de Produtos'!$F$2:$F$18)</f>
        <v>0</v>
      </c>
      <c r="AC430" s="61">
        <f t="shared" si="425"/>
        <v>0</v>
      </c>
      <c r="AD430" s="27">
        <f t="shared" si="459"/>
        <v>0</v>
      </c>
      <c r="AE430" s="25">
        <f>IFERROR(_xlfn.XLOOKUP(N430&amp;P430,'Historico Vendas'!G:G,'Historico Vendas'!E:E),0)</f>
        <v>0</v>
      </c>
      <c r="AF430" s="29" t="str">
        <f t="shared" si="403"/>
        <v/>
      </c>
      <c r="AG430" s="24">
        <f>IFERROR(_xlfn.XLOOKUP(N430&amp;P430,'Historico Vendas'!G:G,'Historico Vendas'!F:F),0)</f>
        <v>0</v>
      </c>
      <c r="AH430" s="25">
        <f t="shared" si="460"/>
        <v>0</v>
      </c>
      <c r="AI430" s="24">
        <f t="shared" si="461"/>
        <v>0</v>
      </c>
      <c r="AJ430" s="11" t="str">
        <f t="shared" si="406"/>
        <v/>
      </c>
      <c r="AK430" s="9" t="s">
        <v>102</v>
      </c>
      <c r="AL430" s="13">
        <f>IFERROR(INDEX('Balizador da Meta'!$D$3:$F$23,MATCH(Faturamento!$P430,'Balizador da Meta'!$C$3:$C$23,0),MATCH(Faturamento!AK430,'Balizador da Meta'!$D$2:$F$2,0)),"")</f>
        <v>0</v>
      </c>
      <c r="AM430" s="9"/>
    </row>
    <row r="431" spans="1:39" x14ac:dyDescent="0.3">
      <c r="A431" s="2" t="str">
        <f t="shared" si="404"/>
        <v>NÃO</v>
      </c>
      <c r="B431" s="2" t="str">
        <f>_xlfn.XLOOKUP($N431,'Base de Grupos'!$A:$A,'Base de Grupos'!$D:$D)</f>
        <v>1000065763</v>
      </c>
      <c r="C431" s="5" t="str">
        <f>_xlfn.XLOOKUP($N431,'Base de Grupos'!$A:$A,'Base de Grupos'!$E:$E)</f>
        <v>CANAL VENDA INTERNA</v>
      </c>
      <c r="D431" s="5" t="str">
        <f>_xlfn.XLOOKUP($N431,'Base de Grupos'!$A:$A,'Base de Grupos'!$F:$F)</f>
        <v>1000065763</v>
      </c>
      <c r="E431" s="2" t="str">
        <f>_xlfn.XLOOKUP($N431,'Base de Grupos'!$A:$A,'Base de Grupos'!$G:$G)</f>
        <v>CANAL VENDA INTERNA</v>
      </c>
      <c r="F431" s="2" t="str">
        <f>_xlfn.XLOOKUP($N431,'Base de Grupos'!$A:$A,'Base de Grupos'!$H:$H)</f>
        <v>1000105896</v>
      </c>
      <c r="G431" s="5" t="str">
        <f>_xlfn.XLOOKUP($N431,'Base de Grupos'!$A:$A,'Base de Grupos'!$I:$I)</f>
        <v>REGIONAL VENDA DIRETA SUL</v>
      </c>
      <c r="H431" s="5" t="str">
        <f>_xlfn.XLOOKUP($N431,'Base de Grupos'!$A:$A,'Base de Grupos'!$J:$J)</f>
        <v>1000105896</v>
      </c>
      <c r="I431" s="2" t="str">
        <f>_xlfn.XLOOKUP($N431,'Base de Grupos'!$A:$A,'Base de Grupos'!$K:$K)</f>
        <v>REGIONAL VENDA DIRETA SUL</v>
      </c>
      <c r="J431" s="2" t="str">
        <f>_xlfn.XLOOKUP($N431,'Base de Grupos'!$A:$A,'Base de Grupos'!$L:$L)</f>
        <v>1000176426</v>
      </c>
      <c r="K431" s="5" t="str">
        <f>_xlfn.XLOOKUP($N431,'Base de Grupos'!$A:$A,'Base de Grupos'!$M:$M)</f>
        <v>HEMANUELE ROSA DITZEL</v>
      </c>
      <c r="L431" s="5" t="str">
        <f t="shared" si="405"/>
        <v/>
      </c>
      <c r="M431" s="5" t="str">
        <f>_xlfn.XLOOKUP($N431,'Base de Grupos'!$A:$A,'Base de Grupos'!$C:$C)</f>
        <v>RS</v>
      </c>
      <c r="N431" s="3">
        <v>1362</v>
      </c>
      <c r="O431" s="4" t="s">
        <v>247</v>
      </c>
      <c r="P431" s="5" t="s">
        <v>96</v>
      </c>
      <c r="Q431" s="56">
        <v>0</v>
      </c>
      <c r="R431" s="56">
        <v>0</v>
      </c>
      <c r="S431" s="56">
        <v>0</v>
      </c>
      <c r="T431" s="56">
        <f>_xlfn.XLOOKUP($N431,'Calculo Leads'!$A$97:$A$134,'Calculo Leads'!G$97:G$134)*_xlfn.XLOOKUP($P431,'Base Grupo de Produtos'!$E$2:$E$18,'Base Grupo de Produtos'!$F$2:$F$18)</f>
        <v>910.00000000000011</v>
      </c>
      <c r="U431" s="56">
        <f>_xlfn.XLOOKUP($N431,'Calculo Leads'!$A$97:$A$134,'Calculo Leads'!H$97:H$134)*_xlfn.XLOOKUP($P431,'Base Grupo de Produtos'!$E$2:$E$18,'Base Grupo de Produtos'!$F$2:$F$18)</f>
        <v>1120</v>
      </c>
      <c r="V431" s="56">
        <f>_xlfn.XLOOKUP($N431,'Calculo Leads'!$A$97:$A$134,'Calculo Leads'!I$97:I$134)*_xlfn.XLOOKUP($P431,'Base Grupo de Produtos'!$E$2:$E$18,'Base Grupo de Produtos'!$F$2:$F$18)</f>
        <v>1400.0000000000002</v>
      </c>
      <c r="W431" s="56">
        <f>_xlfn.XLOOKUP($N431,'Calculo Leads'!$A$97:$A$134,'Calculo Leads'!J$97:J$134)*_xlfn.XLOOKUP($P431,'Base Grupo de Produtos'!$E$2:$E$18,'Base Grupo de Produtos'!$F$2:$F$18)</f>
        <v>1680.0000000000002</v>
      </c>
      <c r="X431" s="56">
        <f>_xlfn.XLOOKUP($N431,'Calculo Leads'!$A$97:$A$134,'Calculo Leads'!K$97:K$134)*_xlfn.XLOOKUP($P431,'Base Grupo de Produtos'!$E$2:$E$18,'Base Grupo de Produtos'!$F$2:$F$18)</f>
        <v>2079</v>
      </c>
      <c r="Y431" s="56">
        <f>_xlfn.XLOOKUP($N431,'Calculo Leads'!$A$97:$A$134,'Calculo Leads'!L$97:L$134)*_xlfn.XLOOKUP($P431,'Base Grupo de Produtos'!$E$2:$E$18,'Base Grupo de Produtos'!$F$2:$F$18)</f>
        <v>2618.0000000000005</v>
      </c>
      <c r="Z431" s="56">
        <f>_xlfn.XLOOKUP($N431,'Calculo Leads'!$A$97:$A$134,'Calculo Leads'!M$97:M$134)*_xlfn.XLOOKUP($P431,'Base Grupo de Produtos'!$E$2:$E$18,'Base Grupo de Produtos'!$F$2:$F$18)</f>
        <v>2849.0000000000005</v>
      </c>
      <c r="AA431" s="56">
        <f>_xlfn.XLOOKUP($N431,'Calculo Leads'!$A$97:$A$134,'Calculo Leads'!N$97:N$134)*_xlfn.XLOOKUP($P431,'Base Grupo de Produtos'!$E$2:$E$18,'Base Grupo de Produtos'!$F$2:$F$18)</f>
        <v>3234.0000000000005</v>
      </c>
      <c r="AB431" s="56">
        <f>_xlfn.XLOOKUP($N431,'Calculo Leads'!$A$97:$A$134,'Calculo Leads'!O$97:O$134)*_xlfn.XLOOKUP($P431,'Base Grupo de Produtos'!$E$2:$E$18,'Base Grupo de Produtos'!$F$2:$F$18)</f>
        <v>2233</v>
      </c>
      <c r="AC431" s="61">
        <f t="shared" si="425"/>
        <v>18123</v>
      </c>
      <c r="AD431" s="27">
        <f t="shared" si="459"/>
        <v>18123</v>
      </c>
      <c r="AE431" s="25">
        <f>IFERROR(_xlfn.XLOOKUP(N431&amp;P431,'Historico Vendas'!G:G,'Historico Vendas'!E:E),0)</f>
        <v>0</v>
      </c>
      <c r="AF431" s="29" t="str">
        <f t="shared" si="403"/>
        <v/>
      </c>
      <c r="AG431" s="24">
        <f>IFERROR(_xlfn.XLOOKUP(N431&amp;P431,'Historico Vendas'!G:G,'Historico Vendas'!F:F),0)</f>
        <v>0</v>
      </c>
      <c r="AH431" s="25">
        <f t="shared" si="460"/>
        <v>0</v>
      </c>
      <c r="AI431" s="24">
        <f t="shared" si="461"/>
        <v>0</v>
      </c>
      <c r="AJ431" s="11" t="str">
        <f t="shared" si="406"/>
        <v/>
      </c>
      <c r="AK431" s="9" t="s">
        <v>102</v>
      </c>
      <c r="AL431" s="13">
        <f>IFERROR(INDEX('Balizador da Meta'!$D$3:$F$23,MATCH(Faturamento!$P431,'Balizador da Meta'!$C$3:$C$23,0),MATCH(Faturamento!AK431,'Balizador da Meta'!$D$2:$F$2,0)),"")</f>
        <v>0</v>
      </c>
      <c r="AM431" s="9"/>
    </row>
    <row r="432" spans="1:39" x14ac:dyDescent="0.3">
      <c r="A432" s="2" t="str">
        <f t="shared" si="404"/>
        <v>NÃO</v>
      </c>
      <c r="B432" s="2" t="str">
        <f>_xlfn.XLOOKUP($N432,'Base de Grupos'!$A:$A,'Base de Grupos'!$D:$D)</f>
        <v>1000065763</v>
      </c>
      <c r="C432" s="5" t="str">
        <f>_xlfn.XLOOKUP($N432,'Base de Grupos'!$A:$A,'Base de Grupos'!$E:$E)</f>
        <v>CANAL VENDA INTERNA</v>
      </c>
      <c r="D432" s="5" t="str">
        <f>_xlfn.XLOOKUP($N432,'Base de Grupos'!$A:$A,'Base de Grupos'!$F:$F)</f>
        <v>1000065763</v>
      </c>
      <c r="E432" s="2" t="str">
        <f>_xlfn.XLOOKUP($N432,'Base de Grupos'!$A:$A,'Base de Grupos'!$G:$G)</f>
        <v>CANAL VENDA INTERNA</v>
      </c>
      <c r="F432" s="2" t="str">
        <f>_xlfn.XLOOKUP($N432,'Base de Grupos'!$A:$A,'Base de Grupos'!$H:$H)</f>
        <v>1000105896</v>
      </c>
      <c r="G432" s="5" t="str">
        <f>_xlfn.XLOOKUP($N432,'Base de Grupos'!$A:$A,'Base de Grupos'!$I:$I)</f>
        <v>REGIONAL VENDA DIRETA SUL</v>
      </c>
      <c r="H432" s="5" t="str">
        <f>_xlfn.XLOOKUP($N432,'Base de Grupos'!$A:$A,'Base de Grupos'!$J:$J)</f>
        <v>1000105896</v>
      </c>
      <c r="I432" s="2" t="str">
        <f>_xlfn.XLOOKUP($N432,'Base de Grupos'!$A:$A,'Base de Grupos'!$K:$K)</f>
        <v>REGIONAL VENDA DIRETA SUL</v>
      </c>
      <c r="J432" s="2" t="str">
        <f>_xlfn.XLOOKUP($N432,'Base de Grupos'!$A:$A,'Base de Grupos'!$L:$L)</f>
        <v>1000176426</v>
      </c>
      <c r="K432" s="5" t="str">
        <f>_xlfn.XLOOKUP($N432,'Base de Grupos'!$A:$A,'Base de Grupos'!$M:$M)</f>
        <v>HEMANUELE ROSA DITZEL</v>
      </c>
      <c r="L432" s="5" t="str">
        <f t="shared" si="405"/>
        <v/>
      </c>
      <c r="M432" s="5" t="str">
        <f>_xlfn.XLOOKUP($N432,'Base de Grupos'!$A:$A,'Base de Grupos'!$C:$C)</f>
        <v>RS</v>
      </c>
      <c r="N432" s="3">
        <v>1362</v>
      </c>
      <c r="O432" s="4" t="s">
        <v>247</v>
      </c>
      <c r="P432" s="5" t="s">
        <v>94</v>
      </c>
      <c r="Q432" s="56">
        <v>0</v>
      </c>
      <c r="R432" s="56">
        <v>0</v>
      </c>
      <c r="S432" s="56">
        <v>0</v>
      </c>
      <c r="T432" s="56">
        <f>_xlfn.XLOOKUP($N432,'Calculo Leads'!$A$97:$A$134,'Calculo Leads'!G$97:G$134)*_xlfn.XLOOKUP($P432,'Base Grupo de Produtos'!$E$2:$E$18,'Base Grupo de Produtos'!$F$2:$F$18)</f>
        <v>650</v>
      </c>
      <c r="U432" s="56">
        <f>_xlfn.XLOOKUP($N432,'Calculo Leads'!$A$97:$A$134,'Calculo Leads'!H$97:H$134)*_xlfn.XLOOKUP($P432,'Base Grupo de Produtos'!$E$2:$E$18,'Base Grupo de Produtos'!$F$2:$F$18)</f>
        <v>799.99999999999989</v>
      </c>
      <c r="V432" s="56">
        <f>_xlfn.XLOOKUP($N432,'Calculo Leads'!$A$97:$A$134,'Calculo Leads'!I$97:I$134)*_xlfn.XLOOKUP($P432,'Base Grupo de Produtos'!$E$2:$E$18,'Base Grupo de Produtos'!$F$2:$F$18)</f>
        <v>999.99999999999989</v>
      </c>
      <c r="W432" s="56">
        <f>_xlfn.XLOOKUP($N432,'Calculo Leads'!$A$97:$A$134,'Calculo Leads'!J$97:J$134)*_xlfn.XLOOKUP($P432,'Base Grupo de Produtos'!$E$2:$E$18,'Base Grupo de Produtos'!$F$2:$F$18)</f>
        <v>1200</v>
      </c>
      <c r="X432" s="56">
        <f>_xlfn.XLOOKUP($N432,'Calculo Leads'!$A$97:$A$134,'Calculo Leads'!K$97:K$134)*_xlfn.XLOOKUP($P432,'Base Grupo de Produtos'!$E$2:$E$18,'Base Grupo de Produtos'!$F$2:$F$18)</f>
        <v>1484.9999999999998</v>
      </c>
      <c r="Y432" s="56">
        <f>_xlfn.XLOOKUP($N432,'Calculo Leads'!$A$97:$A$134,'Calculo Leads'!L$97:L$134)*_xlfn.XLOOKUP($P432,'Base Grupo de Produtos'!$E$2:$E$18,'Base Grupo de Produtos'!$F$2:$F$18)</f>
        <v>1869.9999999999998</v>
      </c>
      <c r="Z432" s="56">
        <f>_xlfn.XLOOKUP($N432,'Calculo Leads'!$A$97:$A$134,'Calculo Leads'!M$97:M$134)*_xlfn.XLOOKUP($P432,'Base Grupo de Produtos'!$E$2:$E$18,'Base Grupo de Produtos'!$F$2:$F$18)</f>
        <v>2034.9999999999998</v>
      </c>
      <c r="AA432" s="56">
        <f>_xlfn.XLOOKUP($N432,'Calculo Leads'!$A$97:$A$134,'Calculo Leads'!N$97:N$134)*_xlfn.XLOOKUP($P432,'Base Grupo de Produtos'!$E$2:$E$18,'Base Grupo de Produtos'!$F$2:$F$18)</f>
        <v>2310</v>
      </c>
      <c r="AB432" s="56">
        <f>_xlfn.XLOOKUP($N432,'Calculo Leads'!$A$97:$A$134,'Calculo Leads'!O$97:O$134)*_xlfn.XLOOKUP($P432,'Base Grupo de Produtos'!$E$2:$E$18,'Base Grupo de Produtos'!$F$2:$F$18)</f>
        <v>1594.9999999999998</v>
      </c>
      <c r="AC432" s="61">
        <f t="shared" si="425"/>
        <v>12945</v>
      </c>
      <c r="AD432" s="27">
        <f t="shared" si="459"/>
        <v>12945</v>
      </c>
      <c r="AE432" s="25">
        <f>IFERROR(_xlfn.XLOOKUP(N432&amp;P432,'Historico Vendas'!G:G,'Historico Vendas'!E:E),0)</f>
        <v>0</v>
      </c>
      <c r="AF432" s="29" t="str">
        <f t="shared" si="403"/>
        <v/>
      </c>
      <c r="AG432" s="24">
        <f>IFERROR(_xlfn.XLOOKUP(N432&amp;P432,'Historico Vendas'!G:G,'Historico Vendas'!F:F),0)</f>
        <v>0</v>
      </c>
      <c r="AH432" s="25">
        <f t="shared" si="460"/>
        <v>0</v>
      </c>
      <c r="AI432" s="24">
        <f t="shared" si="461"/>
        <v>0</v>
      </c>
      <c r="AJ432" s="11" t="str">
        <f t="shared" si="406"/>
        <v/>
      </c>
      <c r="AK432" s="9" t="s">
        <v>102</v>
      </c>
      <c r="AL432" s="13">
        <f>IFERROR(INDEX('Balizador da Meta'!$D$3:$F$23,MATCH(Faturamento!$P432,'Balizador da Meta'!$C$3:$C$23,0),MATCH(Faturamento!AK432,'Balizador da Meta'!$D$2:$F$2,0)),"")</f>
        <v>0.25</v>
      </c>
      <c r="AM432" s="9"/>
    </row>
    <row r="433" spans="1:39" x14ac:dyDescent="0.3">
      <c r="A433" s="2" t="str">
        <f t="shared" si="404"/>
        <v>NÃO</v>
      </c>
      <c r="B433" s="2" t="str">
        <f>_xlfn.XLOOKUP($N433,'Base de Grupos'!$A:$A,'Base de Grupos'!$D:$D)</f>
        <v>1000065763</v>
      </c>
      <c r="C433" s="5" t="str">
        <f>_xlfn.XLOOKUP($N433,'Base de Grupos'!$A:$A,'Base de Grupos'!$E:$E)</f>
        <v>CANAL VENDA INTERNA</v>
      </c>
      <c r="D433" s="5" t="str">
        <f>_xlfn.XLOOKUP($N433,'Base de Grupos'!$A:$A,'Base de Grupos'!$F:$F)</f>
        <v>1000065763</v>
      </c>
      <c r="E433" s="2" t="str">
        <f>_xlfn.XLOOKUP($N433,'Base de Grupos'!$A:$A,'Base de Grupos'!$G:$G)</f>
        <v>CANAL VENDA INTERNA</v>
      </c>
      <c r="F433" s="2" t="str">
        <f>_xlfn.XLOOKUP($N433,'Base de Grupos'!$A:$A,'Base de Grupos'!$H:$H)</f>
        <v>1000105896</v>
      </c>
      <c r="G433" s="5" t="str">
        <f>_xlfn.XLOOKUP($N433,'Base de Grupos'!$A:$A,'Base de Grupos'!$I:$I)</f>
        <v>REGIONAL VENDA DIRETA SUL</v>
      </c>
      <c r="H433" s="5" t="str">
        <f>_xlfn.XLOOKUP($N433,'Base de Grupos'!$A:$A,'Base de Grupos'!$J:$J)</f>
        <v>1000105896</v>
      </c>
      <c r="I433" s="2" t="str">
        <f>_xlfn.XLOOKUP($N433,'Base de Grupos'!$A:$A,'Base de Grupos'!$K:$K)</f>
        <v>REGIONAL VENDA DIRETA SUL</v>
      </c>
      <c r="J433" s="2" t="str">
        <f>_xlfn.XLOOKUP($N433,'Base de Grupos'!$A:$A,'Base de Grupos'!$L:$L)</f>
        <v>1000176426</v>
      </c>
      <c r="K433" s="5" t="str">
        <f>_xlfn.XLOOKUP($N433,'Base de Grupos'!$A:$A,'Base de Grupos'!$M:$M)</f>
        <v>HEMANUELE ROSA DITZEL</v>
      </c>
      <c r="L433" s="5" t="str">
        <f t="shared" si="405"/>
        <v/>
      </c>
      <c r="M433" s="5" t="str">
        <f>_xlfn.XLOOKUP($N433,'Base de Grupos'!$A:$A,'Base de Grupos'!$C:$C)</f>
        <v>RS</v>
      </c>
      <c r="N433" s="3">
        <v>1362</v>
      </c>
      <c r="O433" s="4" t="s">
        <v>247</v>
      </c>
      <c r="P433" s="5" t="s">
        <v>95</v>
      </c>
      <c r="Q433" s="56">
        <v>0</v>
      </c>
      <c r="R433" s="56">
        <v>0</v>
      </c>
      <c r="S433" s="56">
        <v>0</v>
      </c>
      <c r="T433" s="56">
        <f>_xlfn.XLOOKUP($N433,'Calculo Leads'!$A$97:$A$134,'Calculo Leads'!G$97:G$134)*_xlfn.XLOOKUP($P433,'Base Grupo de Produtos'!$E$2:$E$18,'Base Grupo de Produtos'!$F$2:$F$18)</f>
        <v>1040</v>
      </c>
      <c r="U433" s="56">
        <f>_xlfn.XLOOKUP($N433,'Calculo Leads'!$A$97:$A$134,'Calculo Leads'!H$97:H$134)*_xlfn.XLOOKUP($P433,'Base Grupo de Produtos'!$E$2:$E$18,'Base Grupo de Produtos'!$F$2:$F$18)</f>
        <v>1280</v>
      </c>
      <c r="V433" s="56">
        <f>_xlfn.XLOOKUP($N433,'Calculo Leads'!$A$97:$A$134,'Calculo Leads'!I$97:I$134)*_xlfn.XLOOKUP($P433,'Base Grupo de Produtos'!$E$2:$E$18,'Base Grupo de Produtos'!$F$2:$F$18)</f>
        <v>1600</v>
      </c>
      <c r="W433" s="56">
        <f>_xlfn.XLOOKUP($N433,'Calculo Leads'!$A$97:$A$134,'Calculo Leads'!J$97:J$134)*_xlfn.XLOOKUP($P433,'Base Grupo de Produtos'!$E$2:$E$18,'Base Grupo de Produtos'!$F$2:$F$18)</f>
        <v>1920</v>
      </c>
      <c r="X433" s="56">
        <f>_xlfn.XLOOKUP($N433,'Calculo Leads'!$A$97:$A$134,'Calculo Leads'!K$97:K$134)*_xlfn.XLOOKUP($P433,'Base Grupo de Produtos'!$E$2:$E$18,'Base Grupo de Produtos'!$F$2:$F$18)</f>
        <v>2376</v>
      </c>
      <c r="Y433" s="56">
        <f>_xlfn.XLOOKUP($N433,'Calculo Leads'!$A$97:$A$134,'Calculo Leads'!L$97:L$134)*_xlfn.XLOOKUP($P433,'Base Grupo de Produtos'!$E$2:$E$18,'Base Grupo de Produtos'!$F$2:$F$18)</f>
        <v>2992</v>
      </c>
      <c r="Z433" s="56">
        <f>_xlfn.XLOOKUP($N433,'Calculo Leads'!$A$97:$A$134,'Calculo Leads'!M$97:M$134)*_xlfn.XLOOKUP($P433,'Base Grupo de Produtos'!$E$2:$E$18,'Base Grupo de Produtos'!$F$2:$F$18)</f>
        <v>3256</v>
      </c>
      <c r="AA433" s="56">
        <f>_xlfn.XLOOKUP($N433,'Calculo Leads'!$A$97:$A$134,'Calculo Leads'!N$97:N$134)*_xlfn.XLOOKUP($P433,'Base Grupo de Produtos'!$E$2:$E$18,'Base Grupo de Produtos'!$F$2:$F$18)</f>
        <v>3696</v>
      </c>
      <c r="AB433" s="56">
        <f>_xlfn.XLOOKUP($N433,'Calculo Leads'!$A$97:$A$134,'Calculo Leads'!O$97:O$134)*_xlfn.XLOOKUP($P433,'Base Grupo de Produtos'!$E$2:$E$18,'Base Grupo de Produtos'!$F$2:$F$18)</f>
        <v>2552</v>
      </c>
      <c r="AC433" s="61">
        <f t="shared" si="425"/>
        <v>20712</v>
      </c>
      <c r="AD433" s="27">
        <f t="shared" si="459"/>
        <v>20712</v>
      </c>
      <c r="AE433" s="25">
        <f>IFERROR(_xlfn.XLOOKUP(N433&amp;P433,'Historico Vendas'!G:G,'Historico Vendas'!E:E),0)</f>
        <v>0</v>
      </c>
      <c r="AF433" s="29" t="str">
        <f t="shared" ref="AF433:AF496" si="462">IFERROR((AC433-AE433)/AE433,"")</f>
        <v/>
      </c>
      <c r="AG433" s="24">
        <f>IFERROR(_xlfn.XLOOKUP(N433&amp;P433,'Historico Vendas'!G:G,'Historico Vendas'!F:F),0)</f>
        <v>0</v>
      </c>
      <c r="AH433" s="25">
        <f t="shared" si="460"/>
        <v>0</v>
      </c>
      <c r="AI433" s="24">
        <f t="shared" si="461"/>
        <v>0</v>
      </c>
      <c r="AJ433" s="11" t="str">
        <f t="shared" si="406"/>
        <v/>
      </c>
      <c r="AK433" s="9" t="s">
        <v>102</v>
      </c>
      <c r="AL433" s="13">
        <f>IFERROR(INDEX('Balizador da Meta'!$D$3:$F$23,MATCH(Faturamento!$P433,'Balizador da Meta'!$C$3:$C$23,0),MATCH(Faturamento!AK433,'Balizador da Meta'!$D$2:$F$2,0)),"")</f>
        <v>0.25</v>
      </c>
      <c r="AM433" s="9"/>
    </row>
    <row r="434" spans="1:39" x14ac:dyDescent="0.3">
      <c r="A434" s="2" t="str">
        <f t="shared" ref="A434:A497" si="463">IF(L434=1,"SIM","NÃO")</f>
        <v>NÃO</v>
      </c>
      <c r="B434" s="2" t="str">
        <f>_xlfn.XLOOKUP($N434,'Base de Grupos'!$A:$A,'Base de Grupos'!$D:$D)</f>
        <v>1000065763</v>
      </c>
      <c r="C434" s="5" t="str">
        <f>_xlfn.XLOOKUP($N434,'Base de Grupos'!$A:$A,'Base de Grupos'!$E:$E)</f>
        <v>CANAL VENDA INTERNA</v>
      </c>
      <c r="D434" s="5" t="str">
        <f>_xlfn.XLOOKUP($N434,'Base de Grupos'!$A:$A,'Base de Grupos'!$F:$F)</f>
        <v>1000065763</v>
      </c>
      <c r="E434" s="2" t="str">
        <f>_xlfn.XLOOKUP($N434,'Base de Grupos'!$A:$A,'Base de Grupos'!$G:$G)</f>
        <v>CANAL VENDA INTERNA</v>
      </c>
      <c r="F434" s="2" t="str">
        <f>_xlfn.XLOOKUP($N434,'Base de Grupos'!$A:$A,'Base de Grupos'!$H:$H)</f>
        <v>1000105896</v>
      </c>
      <c r="G434" s="5" t="str">
        <f>_xlfn.XLOOKUP($N434,'Base de Grupos'!$A:$A,'Base de Grupos'!$I:$I)</f>
        <v>REGIONAL VENDA DIRETA SUL</v>
      </c>
      <c r="H434" s="5" t="str">
        <f>_xlfn.XLOOKUP($N434,'Base de Grupos'!$A:$A,'Base de Grupos'!$J:$J)</f>
        <v>1000105896</v>
      </c>
      <c r="I434" s="2" t="str">
        <f>_xlfn.XLOOKUP($N434,'Base de Grupos'!$A:$A,'Base de Grupos'!$K:$K)</f>
        <v>REGIONAL VENDA DIRETA SUL</v>
      </c>
      <c r="J434" s="2" t="str">
        <f>_xlfn.XLOOKUP($N434,'Base de Grupos'!$A:$A,'Base de Grupos'!$L:$L)</f>
        <v>1000176426</v>
      </c>
      <c r="K434" s="5" t="str">
        <f>_xlfn.XLOOKUP($N434,'Base de Grupos'!$A:$A,'Base de Grupos'!$M:$M)</f>
        <v>HEMANUELE ROSA DITZEL</v>
      </c>
      <c r="L434" s="5" t="str">
        <f t="shared" ref="L434:L497" si="464">IF(N434&lt;&gt;N433,1,"")</f>
        <v/>
      </c>
      <c r="M434" s="5" t="str">
        <f>_xlfn.XLOOKUP($N434,'Base de Grupos'!$A:$A,'Base de Grupos'!$C:$C)</f>
        <v>RS</v>
      </c>
      <c r="N434" s="3">
        <v>1362</v>
      </c>
      <c r="O434" s="4" t="s">
        <v>247</v>
      </c>
      <c r="P434" s="5" t="s">
        <v>93</v>
      </c>
      <c r="Q434" s="56">
        <v>0</v>
      </c>
      <c r="R434" s="56">
        <v>0</v>
      </c>
      <c r="S434" s="56">
        <v>0</v>
      </c>
      <c r="T434" s="56">
        <f>_xlfn.XLOOKUP($N434,'Calculo Leads'!$A$97:$A$134,'Calculo Leads'!G$97:G$134)*_xlfn.XLOOKUP($P434,'Base Grupo de Produtos'!$E$2:$E$18,'Base Grupo de Produtos'!$F$2:$F$18)</f>
        <v>390</v>
      </c>
      <c r="U434" s="56">
        <f>_xlfn.XLOOKUP($N434,'Calculo Leads'!$A$97:$A$134,'Calculo Leads'!H$97:H$134)*_xlfn.XLOOKUP($P434,'Base Grupo de Produtos'!$E$2:$E$18,'Base Grupo de Produtos'!$F$2:$F$18)</f>
        <v>480</v>
      </c>
      <c r="V434" s="56">
        <f>_xlfn.XLOOKUP($N434,'Calculo Leads'!$A$97:$A$134,'Calculo Leads'!I$97:I$134)*_xlfn.XLOOKUP($P434,'Base Grupo de Produtos'!$E$2:$E$18,'Base Grupo de Produtos'!$F$2:$F$18)</f>
        <v>600</v>
      </c>
      <c r="W434" s="56">
        <f>_xlfn.XLOOKUP($N434,'Calculo Leads'!$A$97:$A$134,'Calculo Leads'!J$97:J$134)*_xlfn.XLOOKUP($P434,'Base Grupo de Produtos'!$E$2:$E$18,'Base Grupo de Produtos'!$F$2:$F$18)</f>
        <v>720</v>
      </c>
      <c r="X434" s="56">
        <f>_xlfn.XLOOKUP($N434,'Calculo Leads'!$A$97:$A$134,'Calculo Leads'!K$97:K$134)*_xlfn.XLOOKUP($P434,'Base Grupo de Produtos'!$E$2:$E$18,'Base Grupo de Produtos'!$F$2:$F$18)</f>
        <v>891</v>
      </c>
      <c r="Y434" s="56">
        <f>_xlfn.XLOOKUP($N434,'Calculo Leads'!$A$97:$A$134,'Calculo Leads'!L$97:L$134)*_xlfn.XLOOKUP($P434,'Base Grupo de Produtos'!$E$2:$E$18,'Base Grupo de Produtos'!$F$2:$F$18)</f>
        <v>1122</v>
      </c>
      <c r="Z434" s="56">
        <f>_xlfn.XLOOKUP($N434,'Calculo Leads'!$A$97:$A$134,'Calculo Leads'!M$97:M$134)*_xlfn.XLOOKUP($P434,'Base Grupo de Produtos'!$E$2:$E$18,'Base Grupo de Produtos'!$F$2:$F$18)</f>
        <v>1221</v>
      </c>
      <c r="AA434" s="56">
        <f>_xlfn.XLOOKUP($N434,'Calculo Leads'!$A$97:$A$134,'Calculo Leads'!N$97:N$134)*_xlfn.XLOOKUP($P434,'Base Grupo de Produtos'!$E$2:$E$18,'Base Grupo de Produtos'!$F$2:$F$18)</f>
        <v>1386</v>
      </c>
      <c r="AB434" s="56">
        <f>_xlfn.XLOOKUP($N434,'Calculo Leads'!$A$97:$A$134,'Calculo Leads'!O$97:O$134)*_xlfn.XLOOKUP($P434,'Base Grupo de Produtos'!$E$2:$E$18,'Base Grupo de Produtos'!$F$2:$F$18)</f>
        <v>957</v>
      </c>
      <c r="AC434" s="61">
        <f t="shared" si="425"/>
        <v>7767</v>
      </c>
      <c r="AD434" s="27">
        <f t="shared" si="459"/>
        <v>7767</v>
      </c>
      <c r="AE434" s="25">
        <f>IFERROR(_xlfn.XLOOKUP(N434&amp;P434,'Historico Vendas'!G:G,'Historico Vendas'!E:E),0)</f>
        <v>0</v>
      </c>
      <c r="AF434" s="29" t="str">
        <f t="shared" si="462"/>
        <v/>
      </c>
      <c r="AG434" s="24">
        <f>IFERROR(_xlfn.XLOOKUP(N434&amp;P434,'Historico Vendas'!G:G,'Historico Vendas'!F:F),0)</f>
        <v>0</v>
      </c>
      <c r="AH434" s="25">
        <f t="shared" si="460"/>
        <v>0</v>
      </c>
      <c r="AI434" s="24">
        <f t="shared" si="461"/>
        <v>0</v>
      </c>
      <c r="AJ434" s="11" t="str">
        <f t="shared" si="406"/>
        <v/>
      </c>
      <c r="AK434" s="9" t="s">
        <v>102</v>
      </c>
      <c r="AL434" s="13">
        <f>IFERROR(INDEX('Balizador da Meta'!$D$3:$F$23,MATCH(Faturamento!$P434,'Balizador da Meta'!$C$3:$C$23,0),MATCH(Faturamento!AK434,'Balizador da Meta'!$D$2:$F$2,0)),"")</f>
        <v>0.2</v>
      </c>
      <c r="AM434" s="9"/>
    </row>
    <row r="435" spans="1:39" x14ac:dyDescent="0.3">
      <c r="A435" s="2" t="str">
        <f t="shared" si="463"/>
        <v>SIM</v>
      </c>
      <c r="B435" s="2" t="str">
        <f>_xlfn.XLOOKUP($N435,'Base de Grupos'!$A:$A,'Base de Grupos'!$D:$D)</f>
        <v>1000065763</v>
      </c>
      <c r="C435" s="5" t="str">
        <f>_xlfn.XLOOKUP($N435,'Base de Grupos'!$A:$A,'Base de Grupos'!$E:$E)</f>
        <v>CANAL VENDA INTERNA</v>
      </c>
      <c r="D435" s="5" t="str">
        <f>_xlfn.XLOOKUP($N435,'Base de Grupos'!$A:$A,'Base de Grupos'!$F:$F)</f>
        <v>1000065763</v>
      </c>
      <c r="E435" s="2" t="str">
        <f>_xlfn.XLOOKUP($N435,'Base de Grupos'!$A:$A,'Base de Grupos'!$G:$G)</f>
        <v>CANAL VENDA INTERNA</v>
      </c>
      <c r="F435" s="2" t="str">
        <f>_xlfn.XLOOKUP($N435,'Base de Grupos'!$A:$A,'Base de Grupos'!$H:$H)</f>
        <v>1000105896</v>
      </c>
      <c r="G435" s="5" t="str">
        <f>_xlfn.XLOOKUP($N435,'Base de Grupos'!$A:$A,'Base de Grupos'!$I:$I)</f>
        <v>REGIONAL VENDA DIRETA SUL</v>
      </c>
      <c r="H435" s="5" t="str">
        <f>_xlfn.XLOOKUP($N435,'Base de Grupos'!$A:$A,'Base de Grupos'!$J:$J)</f>
        <v>1000105896</v>
      </c>
      <c r="I435" s="2" t="str">
        <f>_xlfn.XLOOKUP($N435,'Base de Grupos'!$A:$A,'Base de Grupos'!$K:$K)</f>
        <v>REGIONAL VENDA DIRETA SUL</v>
      </c>
      <c r="J435" s="2" t="str">
        <f>_xlfn.XLOOKUP($N435,'Base de Grupos'!$A:$A,'Base de Grupos'!$L:$L)</f>
        <v>1000176426</v>
      </c>
      <c r="K435" s="5" t="str">
        <f>_xlfn.XLOOKUP($N435,'Base de Grupos'!$A:$A,'Base de Grupos'!$M:$M)</f>
        <v>HEMANUELE ROSA DITZEL</v>
      </c>
      <c r="L435" s="5">
        <f t="shared" si="464"/>
        <v>1</v>
      </c>
      <c r="M435" s="5" t="str">
        <f>_xlfn.XLOOKUP($N435,'Base de Grupos'!$A:$A,'Base de Grupos'!$C:$C)</f>
        <v>PR</v>
      </c>
      <c r="N435" s="3">
        <v>1363</v>
      </c>
      <c r="O435" s="4" t="s">
        <v>248</v>
      </c>
      <c r="P435" s="5" t="s">
        <v>318</v>
      </c>
      <c r="Q435" s="56">
        <f t="shared" ref="Q435" si="465">SUM(Q436:Q452)</f>
        <v>0</v>
      </c>
      <c r="R435" s="56">
        <f t="shared" ref="R435" si="466">SUM(R436:R452)</f>
        <v>0</v>
      </c>
      <c r="S435" s="56">
        <f t="shared" ref="S435" si="467">SUM(S436:S452)</f>
        <v>0</v>
      </c>
      <c r="T435" s="56">
        <f t="shared" ref="T435" si="468">SUM(T436:T452)</f>
        <v>16000</v>
      </c>
      <c r="U435" s="56">
        <f t="shared" ref="U435" si="469">SUM(U436:U452)</f>
        <v>20000</v>
      </c>
      <c r="V435" s="56">
        <f t="shared" ref="V435" si="470">SUM(V436:V452)</f>
        <v>25000</v>
      </c>
      <c r="W435" s="56">
        <f t="shared" ref="W435" si="471">SUM(W436:W452)</f>
        <v>30000</v>
      </c>
      <c r="X435" s="56">
        <f t="shared" ref="X435" si="472">SUM(X436:X452)</f>
        <v>37400</v>
      </c>
      <c r="Y435" s="56">
        <f t="shared" ref="Y435" si="473">SUM(Y436:Y452)</f>
        <v>47300</v>
      </c>
      <c r="Z435" s="56">
        <f t="shared" ref="Z435" si="474">SUM(Z436:Z452)</f>
        <v>51700</v>
      </c>
      <c r="AA435" s="56">
        <f t="shared" ref="AA435" si="475">SUM(AA436:AA452)</f>
        <v>58300</v>
      </c>
      <c r="AB435" s="56">
        <f t="shared" ref="AB435" si="476">SUM(AB436:AB452)</f>
        <v>39600</v>
      </c>
      <c r="AC435" s="56">
        <f t="shared" ref="AC435" si="477">SUM(AC436:AC452)</f>
        <v>325300</v>
      </c>
      <c r="AD435" s="25">
        <f t="shared" ref="AD435" si="478">SUM(AD436:AD452)</f>
        <v>325300</v>
      </c>
      <c r="AE435" s="25">
        <f t="shared" ref="AE435:AI435" si="479">SUM(AE436:AE452)</f>
        <v>0</v>
      </c>
      <c r="AF435" s="11" t="str">
        <f t="shared" si="462"/>
        <v/>
      </c>
      <c r="AG435" s="24">
        <f t="shared" si="479"/>
        <v>0</v>
      </c>
      <c r="AH435" s="25">
        <f t="shared" si="479"/>
        <v>0</v>
      </c>
      <c r="AI435" s="24">
        <f t="shared" si="479"/>
        <v>0</v>
      </c>
      <c r="AJ435" s="11" t="str">
        <f t="shared" si="406"/>
        <v/>
      </c>
      <c r="AK435" s="9"/>
      <c r="AL435" s="13"/>
      <c r="AM435" s="9"/>
    </row>
    <row r="436" spans="1:39" x14ac:dyDescent="0.3">
      <c r="A436" s="2" t="str">
        <f t="shared" si="463"/>
        <v>NÃO</v>
      </c>
      <c r="B436" s="2" t="str">
        <f>_xlfn.XLOOKUP($N436,'Base de Grupos'!$A:$A,'Base de Grupos'!$D:$D)</f>
        <v>1000065763</v>
      </c>
      <c r="C436" s="5" t="str">
        <f>_xlfn.XLOOKUP($N436,'Base de Grupos'!$A:$A,'Base de Grupos'!$E:$E)</f>
        <v>CANAL VENDA INTERNA</v>
      </c>
      <c r="D436" s="5" t="str">
        <f>_xlfn.XLOOKUP($N436,'Base de Grupos'!$A:$A,'Base de Grupos'!$F:$F)</f>
        <v>1000065763</v>
      </c>
      <c r="E436" s="2" t="str">
        <f>_xlfn.XLOOKUP($N436,'Base de Grupos'!$A:$A,'Base de Grupos'!$G:$G)</f>
        <v>CANAL VENDA INTERNA</v>
      </c>
      <c r="F436" s="2" t="str">
        <f>_xlfn.XLOOKUP($N436,'Base de Grupos'!$A:$A,'Base de Grupos'!$H:$H)</f>
        <v>1000105896</v>
      </c>
      <c r="G436" s="5" t="str">
        <f>_xlfn.XLOOKUP($N436,'Base de Grupos'!$A:$A,'Base de Grupos'!$I:$I)</f>
        <v>REGIONAL VENDA DIRETA SUL</v>
      </c>
      <c r="H436" s="5" t="str">
        <f>_xlfn.XLOOKUP($N436,'Base de Grupos'!$A:$A,'Base de Grupos'!$J:$J)</f>
        <v>1000105896</v>
      </c>
      <c r="I436" s="2" t="str">
        <f>_xlfn.XLOOKUP($N436,'Base de Grupos'!$A:$A,'Base de Grupos'!$K:$K)</f>
        <v>REGIONAL VENDA DIRETA SUL</v>
      </c>
      <c r="J436" s="2" t="str">
        <f>_xlfn.XLOOKUP($N436,'Base de Grupos'!$A:$A,'Base de Grupos'!$L:$L)</f>
        <v>1000176426</v>
      </c>
      <c r="K436" s="5" t="str">
        <f>_xlfn.XLOOKUP($N436,'Base de Grupos'!$A:$A,'Base de Grupos'!$M:$M)</f>
        <v>HEMANUELE ROSA DITZEL</v>
      </c>
      <c r="L436" s="5" t="str">
        <f t="shared" si="464"/>
        <v/>
      </c>
      <c r="M436" s="5" t="str">
        <f>_xlfn.XLOOKUP($N436,'Base de Grupos'!$A:$A,'Base de Grupos'!$C:$C)</f>
        <v>PR</v>
      </c>
      <c r="N436" s="3">
        <v>1363</v>
      </c>
      <c r="O436" s="4" t="s">
        <v>248</v>
      </c>
      <c r="P436" s="5" t="s">
        <v>81</v>
      </c>
      <c r="Q436" s="56">
        <v>0</v>
      </c>
      <c r="R436" s="56">
        <v>0</v>
      </c>
      <c r="S436" s="56">
        <v>0</v>
      </c>
      <c r="T436" s="56">
        <f>_xlfn.XLOOKUP($N436,'Calculo Leads'!$A$97:$A$134,'Calculo Leads'!G$97:G$134)*_xlfn.XLOOKUP($P436,'Base Grupo de Produtos'!$E$2:$E$18,'Base Grupo de Produtos'!$F$2:$F$18)</f>
        <v>800</v>
      </c>
      <c r="U436" s="56">
        <f>_xlfn.XLOOKUP($N436,'Calculo Leads'!$A$97:$A$134,'Calculo Leads'!H$97:H$134)*_xlfn.XLOOKUP($P436,'Base Grupo de Produtos'!$E$2:$E$18,'Base Grupo de Produtos'!$F$2:$F$18)</f>
        <v>1000</v>
      </c>
      <c r="V436" s="56">
        <f>_xlfn.XLOOKUP($N436,'Calculo Leads'!$A$97:$A$134,'Calculo Leads'!I$97:I$134)*_xlfn.XLOOKUP($P436,'Base Grupo de Produtos'!$E$2:$E$18,'Base Grupo de Produtos'!$F$2:$F$18)</f>
        <v>1250</v>
      </c>
      <c r="W436" s="56">
        <f>_xlfn.XLOOKUP($N436,'Calculo Leads'!$A$97:$A$134,'Calculo Leads'!J$97:J$134)*_xlfn.XLOOKUP($P436,'Base Grupo de Produtos'!$E$2:$E$18,'Base Grupo de Produtos'!$F$2:$F$18)</f>
        <v>1500</v>
      </c>
      <c r="X436" s="56">
        <f>_xlfn.XLOOKUP($N436,'Calculo Leads'!$A$97:$A$134,'Calculo Leads'!K$97:K$134)*_xlfn.XLOOKUP($P436,'Base Grupo de Produtos'!$E$2:$E$18,'Base Grupo de Produtos'!$F$2:$F$18)</f>
        <v>1870</v>
      </c>
      <c r="Y436" s="56">
        <f>_xlfn.XLOOKUP($N436,'Calculo Leads'!$A$97:$A$134,'Calculo Leads'!L$97:L$134)*_xlfn.XLOOKUP($P436,'Base Grupo de Produtos'!$E$2:$E$18,'Base Grupo de Produtos'!$F$2:$F$18)</f>
        <v>2365</v>
      </c>
      <c r="Z436" s="56">
        <f>_xlfn.XLOOKUP($N436,'Calculo Leads'!$A$97:$A$134,'Calculo Leads'!M$97:M$134)*_xlfn.XLOOKUP($P436,'Base Grupo de Produtos'!$E$2:$E$18,'Base Grupo de Produtos'!$F$2:$F$18)</f>
        <v>2585</v>
      </c>
      <c r="AA436" s="56">
        <f>_xlfn.XLOOKUP($N436,'Calculo Leads'!$A$97:$A$134,'Calculo Leads'!N$97:N$134)*_xlfn.XLOOKUP($P436,'Base Grupo de Produtos'!$E$2:$E$18,'Base Grupo de Produtos'!$F$2:$F$18)</f>
        <v>2915</v>
      </c>
      <c r="AB436" s="56">
        <f>_xlfn.XLOOKUP($N436,'Calculo Leads'!$A$97:$A$134,'Calculo Leads'!O$97:O$134)*_xlfn.XLOOKUP($P436,'Base Grupo de Produtos'!$E$2:$E$18,'Base Grupo de Produtos'!$F$2:$F$18)</f>
        <v>1980</v>
      </c>
      <c r="AC436" s="61">
        <f t="shared" si="425"/>
        <v>16265</v>
      </c>
      <c r="AD436" s="27">
        <f t="shared" ref="AD436:AD452" si="480">IF(AC436=0,0,AC436-AG436)</f>
        <v>16265</v>
      </c>
      <c r="AE436" s="25">
        <f>IFERROR(_xlfn.XLOOKUP(N436&amp;P436,'Historico Vendas'!G:G,'Historico Vendas'!E:E),0)</f>
        <v>0</v>
      </c>
      <c r="AF436" s="29" t="str">
        <f t="shared" si="462"/>
        <v/>
      </c>
      <c r="AG436" s="24">
        <f>IFERROR(_xlfn.XLOOKUP(N436&amp;P436,'Historico Vendas'!G:G,'Historico Vendas'!F:F),0)</f>
        <v>0</v>
      </c>
      <c r="AH436" s="25">
        <f t="shared" ref="AH436:AH452" si="481">SUM(Q436:S436)</f>
        <v>0</v>
      </c>
      <c r="AI436" s="24">
        <f t="shared" ref="AI436:AI452" si="482">AH436-AG436</f>
        <v>0</v>
      </c>
      <c r="AJ436" s="11" t="str">
        <f t="shared" si="406"/>
        <v/>
      </c>
      <c r="AK436" s="9" t="s">
        <v>102</v>
      </c>
      <c r="AL436" s="13">
        <f>IFERROR(INDEX('Balizador da Meta'!$D$3:$F$23,MATCH(Faturamento!$P436,'Balizador da Meta'!$C$3:$C$23,0),MATCH(Faturamento!AK436,'Balizador da Meta'!$D$2:$F$2,0)),"")</f>
        <v>0.2</v>
      </c>
      <c r="AM436" s="9"/>
    </row>
    <row r="437" spans="1:39" x14ac:dyDescent="0.3">
      <c r="A437" s="2" t="str">
        <f t="shared" si="463"/>
        <v>NÃO</v>
      </c>
      <c r="B437" s="2" t="str">
        <f>_xlfn.XLOOKUP($N437,'Base de Grupos'!$A:$A,'Base de Grupos'!$D:$D)</f>
        <v>1000065763</v>
      </c>
      <c r="C437" s="5" t="str">
        <f>_xlfn.XLOOKUP($N437,'Base de Grupos'!$A:$A,'Base de Grupos'!$E:$E)</f>
        <v>CANAL VENDA INTERNA</v>
      </c>
      <c r="D437" s="5" t="str">
        <f>_xlfn.XLOOKUP($N437,'Base de Grupos'!$A:$A,'Base de Grupos'!$F:$F)</f>
        <v>1000065763</v>
      </c>
      <c r="E437" s="2" t="str">
        <f>_xlfn.XLOOKUP($N437,'Base de Grupos'!$A:$A,'Base de Grupos'!$G:$G)</f>
        <v>CANAL VENDA INTERNA</v>
      </c>
      <c r="F437" s="2" t="str">
        <f>_xlfn.XLOOKUP($N437,'Base de Grupos'!$A:$A,'Base de Grupos'!$H:$H)</f>
        <v>1000105896</v>
      </c>
      <c r="G437" s="5" t="str">
        <f>_xlfn.XLOOKUP($N437,'Base de Grupos'!$A:$A,'Base de Grupos'!$I:$I)</f>
        <v>REGIONAL VENDA DIRETA SUL</v>
      </c>
      <c r="H437" s="5" t="str">
        <f>_xlfn.XLOOKUP($N437,'Base de Grupos'!$A:$A,'Base de Grupos'!$J:$J)</f>
        <v>1000105896</v>
      </c>
      <c r="I437" s="2" t="str">
        <f>_xlfn.XLOOKUP($N437,'Base de Grupos'!$A:$A,'Base de Grupos'!$K:$K)</f>
        <v>REGIONAL VENDA DIRETA SUL</v>
      </c>
      <c r="J437" s="2" t="str">
        <f>_xlfn.XLOOKUP($N437,'Base de Grupos'!$A:$A,'Base de Grupos'!$L:$L)</f>
        <v>1000176426</v>
      </c>
      <c r="K437" s="5" t="str">
        <f>_xlfn.XLOOKUP($N437,'Base de Grupos'!$A:$A,'Base de Grupos'!$M:$M)</f>
        <v>HEMANUELE ROSA DITZEL</v>
      </c>
      <c r="L437" s="5" t="str">
        <f t="shared" si="464"/>
        <v/>
      </c>
      <c r="M437" s="5" t="str">
        <f>_xlfn.XLOOKUP($N437,'Base de Grupos'!$A:$A,'Base de Grupos'!$C:$C)</f>
        <v>PR</v>
      </c>
      <c r="N437" s="3">
        <v>1363</v>
      </c>
      <c r="O437" s="4" t="s">
        <v>248</v>
      </c>
      <c r="P437" s="5" t="s">
        <v>82</v>
      </c>
      <c r="Q437" s="56">
        <v>0</v>
      </c>
      <c r="R437" s="56">
        <v>0</v>
      </c>
      <c r="S437" s="56">
        <v>0</v>
      </c>
      <c r="T437" s="56">
        <f>_xlfn.XLOOKUP($N437,'Calculo Leads'!$A$97:$A$134,'Calculo Leads'!G$97:G$134)*_xlfn.XLOOKUP($P437,'Base Grupo de Produtos'!$E$2:$E$18,'Base Grupo de Produtos'!$F$2:$F$18)</f>
        <v>800</v>
      </c>
      <c r="U437" s="56">
        <f>_xlfn.XLOOKUP($N437,'Calculo Leads'!$A$97:$A$134,'Calculo Leads'!H$97:H$134)*_xlfn.XLOOKUP($P437,'Base Grupo de Produtos'!$E$2:$E$18,'Base Grupo de Produtos'!$F$2:$F$18)</f>
        <v>1000</v>
      </c>
      <c r="V437" s="56">
        <f>_xlfn.XLOOKUP($N437,'Calculo Leads'!$A$97:$A$134,'Calculo Leads'!I$97:I$134)*_xlfn.XLOOKUP($P437,'Base Grupo de Produtos'!$E$2:$E$18,'Base Grupo de Produtos'!$F$2:$F$18)</f>
        <v>1250</v>
      </c>
      <c r="W437" s="56">
        <f>_xlfn.XLOOKUP($N437,'Calculo Leads'!$A$97:$A$134,'Calculo Leads'!J$97:J$134)*_xlfn.XLOOKUP($P437,'Base Grupo de Produtos'!$E$2:$E$18,'Base Grupo de Produtos'!$F$2:$F$18)</f>
        <v>1500</v>
      </c>
      <c r="X437" s="56">
        <f>_xlfn.XLOOKUP($N437,'Calculo Leads'!$A$97:$A$134,'Calculo Leads'!K$97:K$134)*_xlfn.XLOOKUP($P437,'Base Grupo de Produtos'!$E$2:$E$18,'Base Grupo de Produtos'!$F$2:$F$18)</f>
        <v>1870</v>
      </c>
      <c r="Y437" s="56">
        <f>_xlfn.XLOOKUP($N437,'Calculo Leads'!$A$97:$A$134,'Calculo Leads'!L$97:L$134)*_xlfn.XLOOKUP($P437,'Base Grupo de Produtos'!$E$2:$E$18,'Base Grupo de Produtos'!$F$2:$F$18)</f>
        <v>2365</v>
      </c>
      <c r="Z437" s="56">
        <f>_xlfn.XLOOKUP($N437,'Calculo Leads'!$A$97:$A$134,'Calculo Leads'!M$97:M$134)*_xlfn.XLOOKUP($P437,'Base Grupo de Produtos'!$E$2:$E$18,'Base Grupo de Produtos'!$F$2:$F$18)</f>
        <v>2585</v>
      </c>
      <c r="AA437" s="56">
        <f>_xlfn.XLOOKUP($N437,'Calculo Leads'!$A$97:$A$134,'Calculo Leads'!N$97:N$134)*_xlfn.XLOOKUP($P437,'Base Grupo de Produtos'!$E$2:$E$18,'Base Grupo de Produtos'!$F$2:$F$18)</f>
        <v>2915</v>
      </c>
      <c r="AB437" s="56">
        <f>_xlfn.XLOOKUP($N437,'Calculo Leads'!$A$97:$A$134,'Calculo Leads'!O$97:O$134)*_xlfn.XLOOKUP($P437,'Base Grupo de Produtos'!$E$2:$E$18,'Base Grupo de Produtos'!$F$2:$F$18)</f>
        <v>1980</v>
      </c>
      <c r="AC437" s="61">
        <f t="shared" si="425"/>
        <v>16265</v>
      </c>
      <c r="AD437" s="27">
        <f t="shared" si="480"/>
        <v>16265</v>
      </c>
      <c r="AE437" s="25">
        <f>IFERROR(_xlfn.XLOOKUP(N437&amp;P437,'Historico Vendas'!G:G,'Historico Vendas'!E:E),0)</f>
        <v>0</v>
      </c>
      <c r="AF437" s="29" t="str">
        <f t="shared" si="462"/>
        <v/>
      </c>
      <c r="AG437" s="24">
        <f>IFERROR(_xlfn.XLOOKUP(N437&amp;P437,'Historico Vendas'!G:G,'Historico Vendas'!F:F),0)</f>
        <v>0</v>
      </c>
      <c r="AH437" s="25">
        <f t="shared" si="481"/>
        <v>0</v>
      </c>
      <c r="AI437" s="24">
        <f t="shared" si="482"/>
        <v>0</v>
      </c>
      <c r="AJ437" s="11" t="str">
        <f t="shared" si="406"/>
        <v/>
      </c>
      <c r="AK437" s="9" t="s">
        <v>102</v>
      </c>
      <c r="AL437" s="13">
        <f>IFERROR(INDEX('Balizador da Meta'!$D$3:$F$23,MATCH(Faturamento!$P437,'Balizador da Meta'!$C$3:$C$23,0),MATCH(Faturamento!AK437,'Balizador da Meta'!$D$2:$F$2,0)),"")</f>
        <v>0.2</v>
      </c>
      <c r="AM437" s="9"/>
    </row>
    <row r="438" spans="1:39" x14ac:dyDescent="0.3">
      <c r="A438" s="2" t="str">
        <f t="shared" si="463"/>
        <v>NÃO</v>
      </c>
      <c r="B438" s="2" t="str">
        <f>_xlfn.XLOOKUP($N438,'Base de Grupos'!$A:$A,'Base de Grupos'!$D:$D)</f>
        <v>1000065763</v>
      </c>
      <c r="C438" s="5" t="str">
        <f>_xlfn.XLOOKUP($N438,'Base de Grupos'!$A:$A,'Base de Grupos'!$E:$E)</f>
        <v>CANAL VENDA INTERNA</v>
      </c>
      <c r="D438" s="5" t="str">
        <f>_xlfn.XLOOKUP($N438,'Base de Grupos'!$A:$A,'Base de Grupos'!$F:$F)</f>
        <v>1000065763</v>
      </c>
      <c r="E438" s="2" t="str">
        <f>_xlfn.XLOOKUP($N438,'Base de Grupos'!$A:$A,'Base de Grupos'!$G:$G)</f>
        <v>CANAL VENDA INTERNA</v>
      </c>
      <c r="F438" s="2" t="str">
        <f>_xlfn.XLOOKUP($N438,'Base de Grupos'!$A:$A,'Base de Grupos'!$H:$H)</f>
        <v>1000105896</v>
      </c>
      <c r="G438" s="5" t="str">
        <f>_xlfn.XLOOKUP($N438,'Base de Grupos'!$A:$A,'Base de Grupos'!$I:$I)</f>
        <v>REGIONAL VENDA DIRETA SUL</v>
      </c>
      <c r="H438" s="5" t="str">
        <f>_xlfn.XLOOKUP($N438,'Base de Grupos'!$A:$A,'Base de Grupos'!$J:$J)</f>
        <v>1000105896</v>
      </c>
      <c r="I438" s="2" t="str">
        <f>_xlfn.XLOOKUP($N438,'Base de Grupos'!$A:$A,'Base de Grupos'!$K:$K)</f>
        <v>REGIONAL VENDA DIRETA SUL</v>
      </c>
      <c r="J438" s="2" t="str">
        <f>_xlfn.XLOOKUP($N438,'Base de Grupos'!$A:$A,'Base de Grupos'!$L:$L)</f>
        <v>1000176426</v>
      </c>
      <c r="K438" s="5" t="str">
        <f>_xlfn.XLOOKUP($N438,'Base de Grupos'!$A:$A,'Base de Grupos'!$M:$M)</f>
        <v>HEMANUELE ROSA DITZEL</v>
      </c>
      <c r="L438" s="5" t="str">
        <f t="shared" si="464"/>
        <v/>
      </c>
      <c r="M438" s="5" t="str">
        <f>_xlfn.XLOOKUP($N438,'Base de Grupos'!$A:$A,'Base de Grupos'!$C:$C)</f>
        <v>PR</v>
      </c>
      <c r="N438" s="3">
        <v>1363</v>
      </c>
      <c r="O438" s="4" t="s">
        <v>248</v>
      </c>
      <c r="P438" s="5" t="s">
        <v>84</v>
      </c>
      <c r="Q438" s="56">
        <v>0</v>
      </c>
      <c r="R438" s="56">
        <v>0</v>
      </c>
      <c r="S438" s="56">
        <v>0</v>
      </c>
      <c r="T438" s="56">
        <f>_xlfn.XLOOKUP($N438,'Calculo Leads'!$A$97:$A$134,'Calculo Leads'!G$97:G$134)*_xlfn.XLOOKUP($P438,'Base Grupo de Produtos'!$E$2:$E$18,'Base Grupo de Produtos'!$F$2:$F$18)</f>
        <v>1280</v>
      </c>
      <c r="U438" s="56">
        <f>_xlfn.XLOOKUP($N438,'Calculo Leads'!$A$97:$A$134,'Calculo Leads'!H$97:H$134)*_xlfn.XLOOKUP($P438,'Base Grupo de Produtos'!$E$2:$E$18,'Base Grupo de Produtos'!$F$2:$F$18)</f>
        <v>1600</v>
      </c>
      <c r="V438" s="56">
        <f>_xlfn.XLOOKUP($N438,'Calculo Leads'!$A$97:$A$134,'Calculo Leads'!I$97:I$134)*_xlfn.XLOOKUP($P438,'Base Grupo de Produtos'!$E$2:$E$18,'Base Grupo de Produtos'!$F$2:$F$18)</f>
        <v>2000</v>
      </c>
      <c r="W438" s="56">
        <f>_xlfn.XLOOKUP($N438,'Calculo Leads'!$A$97:$A$134,'Calculo Leads'!J$97:J$134)*_xlfn.XLOOKUP($P438,'Base Grupo de Produtos'!$E$2:$E$18,'Base Grupo de Produtos'!$F$2:$F$18)</f>
        <v>2400</v>
      </c>
      <c r="X438" s="56">
        <f>_xlfn.XLOOKUP($N438,'Calculo Leads'!$A$97:$A$134,'Calculo Leads'!K$97:K$134)*_xlfn.XLOOKUP($P438,'Base Grupo de Produtos'!$E$2:$E$18,'Base Grupo de Produtos'!$F$2:$F$18)</f>
        <v>2992</v>
      </c>
      <c r="Y438" s="56">
        <f>_xlfn.XLOOKUP($N438,'Calculo Leads'!$A$97:$A$134,'Calculo Leads'!L$97:L$134)*_xlfn.XLOOKUP($P438,'Base Grupo de Produtos'!$E$2:$E$18,'Base Grupo de Produtos'!$F$2:$F$18)</f>
        <v>3784</v>
      </c>
      <c r="Z438" s="56">
        <f>_xlfn.XLOOKUP($N438,'Calculo Leads'!$A$97:$A$134,'Calculo Leads'!M$97:M$134)*_xlfn.XLOOKUP($P438,'Base Grupo de Produtos'!$E$2:$E$18,'Base Grupo de Produtos'!$F$2:$F$18)</f>
        <v>4136</v>
      </c>
      <c r="AA438" s="56">
        <f>_xlfn.XLOOKUP($N438,'Calculo Leads'!$A$97:$A$134,'Calculo Leads'!N$97:N$134)*_xlfn.XLOOKUP($P438,'Base Grupo de Produtos'!$E$2:$E$18,'Base Grupo de Produtos'!$F$2:$F$18)</f>
        <v>4664</v>
      </c>
      <c r="AB438" s="56">
        <f>_xlfn.XLOOKUP($N438,'Calculo Leads'!$A$97:$A$134,'Calculo Leads'!O$97:O$134)*_xlfn.XLOOKUP($P438,'Base Grupo de Produtos'!$E$2:$E$18,'Base Grupo de Produtos'!$F$2:$F$18)</f>
        <v>3168</v>
      </c>
      <c r="AC438" s="61">
        <f t="shared" si="425"/>
        <v>26024</v>
      </c>
      <c r="AD438" s="27">
        <f t="shared" si="480"/>
        <v>26024</v>
      </c>
      <c r="AE438" s="25">
        <f>IFERROR(_xlfn.XLOOKUP(N438&amp;P438,'Historico Vendas'!G:G,'Historico Vendas'!E:E),0)</f>
        <v>0</v>
      </c>
      <c r="AF438" s="29" t="str">
        <f t="shared" si="462"/>
        <v/>
      </c>
      <c r="AG438" s="24">
        <f>IFERROR(_xlfn.XLOOKUP(N438&amp;P438,'Historico Vendas'!G:G,'Historico Vendas'!F:F),0)</f>
        <v>0</v>
      </c>
      <c r="AH438" s="25">
        <f t="shared" si="481"/>
        <v>0</v>
      </c>
      <c r="AI438" s="24">
        <f t="shared" si="482"/>
        <v>0</v>
      </c>
      <c r="AJ438" s="11" t="str">
        <f t="shared" si="406"/>
        <v/>
      </c>
      <c r="AK438" s="9" t="s">
        <v>102</v>
      </c>
      <c r="AL438" s="13">
        <f>IFERROR(INDEX('Balizador da Meta'!$D$3:$F$23,MATCH(Faturamento!$P438,'Balizador da Meta'!$C$3:$C$23,0),MATCH(Faturamento!AK438,'Balizador da Meta'!$D$2:$F$2,0)),"")</f>
        <v>0.15</v>
      </c>
      <c r="AM438" s="9"/>
    </row>
    <row r="439" spans="1:39" x14ac:dyDescent="0.3">
      <c r="A439" s="2" t="str">
        <f t="shared" si="463"/>
        <v>NÃO</v>
      </c>
      <c r="B439" s="2" t="str">
        <f>_xlfn.XLOOKUP($N439,'Base de Grupos'!$A:$A,'Base de Grupos'!$D:$D)</f>
        <v>1000065763</v>
      </c>
      <c r="C439" s="5" t="str">
        <f>_xlfn.XLOOKUP($N439,'Base de Grupos'!$A:$A,'Base de Grupos'!$E:$E)</f>
        <v>CANAL VENDA INTERNA</v>
      </c>
      <c r="D439" s="5" t="str">
        <f>_xlfn.XLOOKUP($N439,'Base de Grupos'!$A:$A,'Base de Grupos'!$F:$F)</f>
        <v>1000065763</v>
      </c>
      <c r="E439" s="2" t="str">
        <f>_xlfn.XLOOKUP($N439,'Base de Grupos'!$A:$A,'Base de Grupos'!$G:$G)</f>
        <v>CANAL VENDA INTERNA</v>
      </c>
      <c r="F439" s="2" t="str">
        <f>_xlfn.XLOOKUP($N439,'Base de Grupos'!$A:$A,'Base de Grupos'!$H:$H)</f>
        <v>1000105896</v>
      </c>
      <c r="G439" s="5" t="str">
        <f>_xlfn.XLOOKUP($N439,'Base de Grupos'!$A:$A,'Base de Grupos'!$I:$I)</f>
        <v>REGIONAL VENDA DIRETA SUL</v>
      </c>
      <c r="H439" s="5" t="str">
        <f>_xlfn.XLOOKUP($N439,'Base de Grupos'!$A:$A,'Base de Grupos'!$J:$J)</f>
        <v>1000105896</v>
      </c>
      <c r="I439" s="2" t="str">
        <f>_xlfn.XLOOKUP($N439,'Base de Grupos'!$A:$A,'Base de Grupos'!$K:$K)</f>
        <v>REGIONAL VENDA DIRETA SUL</v>
      </c>
      <c r="J439" s="2" t="str">
        <f>_xlfn.XLOOKUP($N439,'Base de Grupos'!$A:$A,'Base de Grupos'!$L:$L)</f>
        <v>1000176426</v>
      </c>
      <c r="K439" s="5" t="str">
        <f>_xlfn.XLOOKUP($N439,'Base de Grupos'!$A:$A,'Base de Grupos'!$M:$M)</f>
        <v>HEMANUELE ROSA DITZEL</v>
      </c>
      <c r="L439" s="5" t="str">
        <f t="shared" si="464"/>
        <v/>
      </c>
      <c r="M439" s="5" t="str">
        <f>_xlfn.XLOOKUP($N439,'Base de Grupos'!$A:$A,'Base de Grupos'!$C:$C)</f>
        <v>PR</v>
      </c>
      <c r="N439" s="3">
        <v>1363</v>
      </c>
      <c r="O439" s="4" t="s">
        <v>248</v>
      </c>
      <c r="P439" s="5" t="s">
        <v>83</v>
      </c>
      <c r="Q439" s="56">
        <v>0</v>
      </c>
      <c r="R439" s="56">
        <v>0</v>
      </c>
      <c r="S439" s="56">
        <v>0</v>
      </c>
      <c r="T439" s="56">
        <f>_xlfn.XLOOKUP($N439,'Calculo Leads'!$A$97:$A$134,'Calculo Leads'!G$97:G$134)*_xlfn.XLOOKUP($P439,'Base Grupo de Produtos'!$E$2:$E$18,'Base Grupo de Produtos'!$F$2:$F$18)</f>
        <v>1600</v>
      </c>
      <c r="U439" s="56">
        <f>_xlfn.XLOOKUP($N439,'Calculo Leads'!$A$97:$A$134,'Calculo Leads'!H$97:H$134)*_xlfn.XLOOKUP($P439,'Base Grupo de Produtos'!$E$2:$E$18,'Base Grupo de Produtos'!$F$2:$F$18)</f>
        <v>2000</v>
      </c>
      <c r="V439" s="56">
        <f>_xlfn.XLOOKUP($N439,'Calculo Leads'!$A$97:$A$134,'Calculo Leads'!I$97:I$134)*_xlfn.XLOOKUP($P439,'Base Grupo de Produtos'!$E$2:$E$18,'Base Grupo de Produtos'!$F$2:$F$18)</f>
        <v>2500</v>
      </c>
      <c r="W439" s="56">
        <f>_xlfn.XLOOKUP($N439,'Calculo Leads'!$A$97:$A$134,'Calculo Leads'!J$97:J$134)*_xlfn.XLOOKUP($P439,'Base Grupo de Produtos'!$E$2:$E$18,'Base Grupo de Produtos'!$F$2:$F$18)</f>
        <v>3000</v>
      </c>
      <c r="X439" s="56">
        <f>_xlfn.XLOOKUP($N439,'Calculo Leads'!$A$97:$A$134,'Calculo Leads'!K$97:K$134)*_xlfn.XLOOKUP($P439,'Base Grupo de Produtos'!$E$2:$E$18,'Base Grupo de Produtos'!$F$2:$F$18)</f>
        <v>3740</v>
      </c>
      <c r="Y439" s="56">
        <f>_xlfn.XLOOKUP($N439,'Calculo Leads'!$A$97:$A$134,'Calculo Leads'!L$97:L$134)*_xlfn.XLOOKUP($P439,'Base Grupo de Produtos'!$E$2:$E$18,'Base Grupo de Produtos'!$F$2:$F$18)</f>
        <v>4730</v>
      </c>
      <c r="Z439" s="56">
        <f>_xlfn.XLOOKUP($N439,'Calculo Leads'!$A$97:$A$134,'Calculo Leads'!M$97:M$134)*_xlfn.XLOOKUP($P439,'Base Grupo de Produtos'!$E$2:$E$18,'Base Grupo de Produtos'!$F$2:$F$18)</f>
        <v>5170</v>
      </c>
      <c r="AA439" s="56">
        <f>_xlfn.XLOOKUP($N439,'Calculo Leads'!$A$97:$A$134,'Calculo Leads'!N$97:N$134)*_xlfn.XLOOKUP($P439,'Base Grupo de Produtos'!$E$2:$E$18,'Base Grupo de Produtos'!$F$2:$F$18)</f>
        <v>5830</v>
      </c>
      <c r="AB439" s="56">
        <f>_xlfn.XLOOKUP($N439,'Calculo Leads'!$A$97:$A$134,'Calculo Leads'!O$97:O$134)*_xlfn.XLOOKUP($P439,'Base Grupo de Produtos'!$E$2:$E$18,'Base Grupo de Produtos'!$F$2:$F$18)</f>
        <v>3960</v>
      </c>
      <c r="AC439" s="61">
        <f t="shared" si="425"/>
        <v>32530</v>
      </c>
      <c r="AD439" s="27">
        <f t="shared" si="480"/>
        <v>32530</v>
      </c>
      <c r="AE439" s="25">
        <f>IFERROR(_xlfn.XLOOKUP(N439&amp;P439,'Historico Vendas'!G:G,'Historico Vendas'!E:E),0)</f>
        <v>0</v>
      </c>
      <c r="AF439" s="29" t="str">
        <f t="shared" si="462"/>
        <v/>
      </c>
      <c r="AG439" s="24">
        <f>IFERROR(_xlfn.XLOOKUP(N439&amp;P439,'Historico Vendas'!G:G,'Historico Vendas'!F:F),0)</f>
        <v>0</v>
      </c>
      <c r="AH439" s="25">
        <f t="shared" si="481"/>
        <v>0</v>
      </c>
      <c r="AI439" s="24">
        <f t="shared" si="482"/>
        <v>0</v>
      </c>
      <c r="AJ439" s="11" t="str">
        <f t="shared" si="406"/>
        <v/>
      </c>
      <c r="AK439" s="9" t="s">
        <v>102</v>
      </c>
      <c r="AL439" s="13">
        <f>IFERROR(INDEX('Balizador da Meta'!$D$3:$F$23,MATCH(Faturamento!$P439,'Balizador da Meta'!$C$3:$C$23,0),MATCH(Faturamento!AK439,'Balizador da Meta'!$D$2:$F$2,0)),"")</f>
        <v>0</v>
      </c>
      <c r="AM439" s="9"/>
    </row>
    <row r="440" spans="1:39" x14ac:dyDescent="0.3">
      <c r="A440" s="2" t="str">
        <f t="shared" si="463"/>
        <v>NÃO</v>
      </c>
      <c r="B440" s="2" t="str">
        <f>_xlfn.XLOOKUP($N440,'Base de Grupos'!$A:$A,'Base de Grupos'!$D:$D)</f>
        <v>1000065763</v>
      </c>
      <c r="C440" s="5" t="str">
        <f>_xlfn.XLOOKUP($N440,'Base de Grupos'!$A:$A,'Base de Grupos'!$E:$E)</f>
        <v>CANAL VENDA INTERNA</v>
      </c>
      <c r="D440" s="5" t="str">
        <f>_xlfn.XLOOKUP($N440,'Base de Grupos'!$A:$A,'Base de Grupos'!$F:$F)</f>
        <v>1000065763</v>
      </c>
      <c r="E440" s="2" t="str">
        <f>_xlfn.XLOOKUP($N440,'Base de Grupos'!$A:$A,'Base de Grupos'!$G:$G)</f>
        <v>CANAL VENDA INTERNA</v>
      </c>
      <c r="F440" s="2" t="str">
        <f>_xlfn.XLOOKUP($N440,'Base de Grupos'!$A:$A,'Base de Grupos'!$H:$H)</f>
        <v>1000105896</v>
      </c>
      <c r="G440" s="5" t="str">
        <f>_xlfn.XLOOKUP($N440,'Base de Grupos'!$A:$A,'Base de Grupos'!$I:$I)</f>
        <v>REGIONAL VENDA DIRETA SUL</v>
      </c>
      <c r="H440" s="5" t="str">
        <f>_xlfn.XLOOKUP($N440,'Base de Grupos'!$A:$A,'Base de Grupos'!$J:$J)</f>
        <v>1000105896</v>
      </c>
      <c r="I440" s="2" t="str">
        <f>_xlfn.XLOOKUP($N440,'Base de Grupos'!$A:$A,'Base de Grupos'!$K:$K)</f>
        <v>REGIONAL VENDA DIRETA SUL</v>
      </c>
      <c r="J440" s="2" t="str">
        <f>_xlfn.XLOOKUP($N440,'Base de Grupos'!$A:$A,'Base de Grupos'!$L:$L)</f>
        <v>1000176426</v>
      </c>
      <c r="K440" s="5" t="str">
        <f>_xlfn.XLOOKUP($N440,'Base de Grupos'!$A:$A,'Base de Grupos'!$M:$M)</f>
        <v>HEMANUELE ROSA DITZEL</v>
      </c>
      <c r="L440" s="5" t="str">
        <f t="shared" si="464"/>
        <v/>
      </c>
      <c r="M440" s="5" t="str">
        <f>_xlfn.XLOOKUP($N440,'Base de Grupos'!$A:$A,'Base de Grupos'!$C:$C)</f>
        <v>PR</v>
      </c>
      <c r="N440" s="3">
        <v>1363</v>
      </c>
      <c r="O440" s="4" t="s">
        <v>248</v>
      </c>
      <c r="P440" s="5" t="s">
        <v>87</v>
      </c>
      <c r="Q440" s="56">
        <v>0</v>
      </c>
      <c r="R440" s="56">
        <v>0</v>
      </c>
      <c r="S440" s="56">
        <v>0</v>
      </c>
      <c r="T440" s="56">
        <f>_xlfn.XLOOKUP($N440,'Calculo Leads'!$A$97:$A$134,'Calculo Leads'!G$97:G$134)*_xlfn.XLOOKUP($P440,'Base Grupo de Produtos'!$E$2:$E$18,'Base Grupo de Produtos'!$F$2:$F$18)</f>
        <v>319.99999999999994</v>
      </c>
      <c r="U440" s="56">
        <f>_xlfn.XLOOKUP($N440,'Calculo Leads'!$A$97:$A$134,'Calculo Leads'!H$97:H$134)*_xlfn.XLOOKUP($P440,'Base Grupo de Produtos'!$E$2:$E$18,'Base Grupo de Produtos'!$F$2:$F$18)</f>
        <v>399.99999999999994</v>
      </c>
      <c r="V440" s="56">
        <f>_xlfn.XLOOKUP($N440,'Calculo Leads'!$A$97:$A$134,'Calculo Leads'!I$97:I$134)*_xlfn.XLOOKUP($P440,'Base Grupo de Produtos'!$E$2:$E$18,'Base Grupo de Produtos'!$F$2:$F$18)</f>
        <v>499.99999999999994</v>
      </c>
      <c r="W440" s="56">
        <f>_xlfn.XLOOKUP($N440,'Calculo Leads'!$A$97:$A$134,'Calculo Leads'!J$97:J$134)*_xlfn.XLOOKUP($P440,'Base Grupo de Produtos'!$E$2:$E$18,'Base Grupo de Produtos'!$F$2:$F$18)</f>
        <v>599.99999999999989</v>
      </c>
      <c r="X440" s="56">
        <f>_xlfn.XLOOKUP($N440,'Calculo Leads'!$A$97:$A$134,'Calculo Leads'!K$97:K$134)*_xlfn.XLOOKUP($P440,'Base Grupo de Produtos'!$E$2:$E$18,'Base Grupo de Produtos'!$F$2:$F$18)</f>
        <v>747.99999999999989</v>
      </c>
      <c r="Y440" s="56">
        <f>_xlfn.XLOOKUP($N440,'Calculo Leads'!$A$97:$A$134,'Calculo Leads'!L$97:L$134)*_xlfn.XLOOKUP($P440,'Base Grupo de Produtos'!$E$2:$E$18,'Base Grupo de Produtos'!$F$2:$F$18)</f>
        <v>945.99999999999989</v>
      </c>
      <c r="Z440" s="56">
        <f>_xlfn.XLOOKUP($N440,'Calculo Leads'!$A$97:$A$134,'Calculo Leads'!M$97:M$134)*_xlfn.XLOOKUP($P440,'Base Grupo de Produtos'!$E$2:$E$18,'Base Grupo de Produtos'!$F$2:$F$18)</f>
        <v>1033.9999999999998</v>
      </c>
      <c r="AA440" s="56">
        <f>_xlfn.XLOOKUP($N440,'Calculo Leads'!$A$97:$A$134,'Calculo Leads'!N$97:N$134)*_xlfn.XLOOKUP($P440,'Base Grupo de Produtos'!$E$2:$E$18,'Base Grupo de Produtos'!$F$2:$F$18)</f>
        <v>1165.9999999999998</v>
      </c>
      <c r="AB440" s="56">
        <f>_xlfn.XLOOKUP($N440,'Calculo Leads'!$A$97:$A$134,'Calculo Leads'!O$97:O$134)*_xlfn.XLOOKUP($P440,'Base Grupo de Produtos'!$E$2:$E$18,'Base Grupo de Produtos'!$F$2:$F$18)</f>
        <v>791.99999999999989</v>
      </c>
      <c r="AC440" s="61">
        <f t="shared" si="425"/>
        <v>6505.9999999999991</v>
      </c>
      <c r="AD440" s="27">
        <f t="shared" si="480"/>
        <v>6505.9999999999991</v>
      </c>
      <c r="AE440" s="25">
        <f>IFERROR(_xlfn.XLOOKUP(N440&amp;P440,'Historico Vendas'!G:G,'Historico Vendas'!E:E),0)</f>
        <v>0</v>
      </c>
      <c r="AF440" s="29" t="str">
        <f t="shared" si="462"/>
        <v/>
      </c>
      <c r="AG440" s="24">
        <f>IFERROR(_xlfn.XLOOKUP(N440&amp;P440,'Historico Vendas'!G:G,'Historico Vendas'!F:F),0)</f>
        <v>0</v>
      </c>
      <c r="AH440" s="25">
        <f t="shared" si="481"/>
        <v>0</v>
      </c>
      <c r="AI440" s="24">
        <f t="shared" si="482"/>
        <v>0</v>
      </c>
      <c r="AJ440" s="11" t="str">
        <f t="shared" si="406"/>
        <v/>
      </c>
      <c r="AK440" s="9" t="s">
        <v>102</v>
      </c>
      <c r="AL440" s="13">
        <f>IFERROR(INDEX('Balizador da Meta'!$D$3:$F$23,MATCH(Faturamento!$P440,'Balizador da Meta'!$C$3:$C$23,0),MATCH(Faturamento!AK440,'Balizador da Meta'!$D$2:$F$2,0)),"")</f>
        <v>0</v>
      </c>
      <c r="AM440" s="9"/>
    </row>
    <row r="441" spans="1:39" x14ac:dyDescent="0.3">
      <c r="A441" s="2" t="str">
        <f t="shared" si="463"/>
        <v>NÃO</v>
      </c>
      <c r="B441" s="2" t="str">
        <f>_xlfn.XLOOKUP($N441,'Base de Grupos'!$A:$A,'Base de Grupos'!$D:$D)</f>
        <v>1000065763</v>
      </c>
      <c r="C441" s="5" t="str">
        <f>_xlfn.XLOOKUP($N441,'Base de Grupos'!$A:$A,'Base de Grupos'!$E:$E)</f>
        <v>CANAL VENDA INTERNA</v>
      </c>
      <c r="D441" s="5" t="str">
        <f>_xlfn.XLOOKUP($N441,'Base de Grupos'!$A:$A,'Base de Grupos'!$F:$F)</f>
        <v>1000065763</v>
      </c>
      <c r="E441" s="2" t="str">
        <f>_xlfn.XLOOKUP($N441,'Base de Grupos'!$A:$A,'Base de Grupos'!$G:$G)</f>
        <v>CANAL VENDA INTERNA</v>
      </c>
      <c r="F441" s="2" t="str">
        <f>_xlfn.XLOOKUP($N441,'Base de Grupos'!$A:$A,'Base de Grupos'!$H:$H)</f>
        <v>1000105896</v>
      </c>
      <c r="G441" s="5" t="str">
        <f>_xlfn.XLOOKUP($N441,'Base de Grupos'!$A:$A,'Base de Grupos'!$I:$I)</f>
        <v>REGIONAL VENDA DIRETA SUL</v>
      </c>
      <c r="H441" s="5" t="str">
        <f>_xlfn.XLOOKUP($N441,'Base de Grupos'!$A:$A,'Base de Grupos'!$J:$J)</f>
        <v>1000105896</v>
      </c>
      <c r="I441" s="2" t="str">
        <f>_xlfn.XLOOKUP($N441,'Base de Grupos'!$A:$A,'Base de Grupos'!$K:$K)</f>
        <v>REGIONAL VENDA DIRETA SUL</v>
      </c>
      <c r="J441" s="2" t="str">
        <f>_xlfn.XLOOKUP($N441,'Base de Grupos'!$A:$A,'Base de Grupos'!$L:$L)</f>
        <v>1000176426</v>
      </c>
      <c r="K441" s="5" t="str">
        <f>_xlfn.XLOOKUP($N441,'Base de Grupos'!$A:$A,'Base de Grupos'!$M:$M)</f>
        <v>HEMANUELE ROSA DITZEL</v>
      </c>
      <c r="L441" s="5" t="str">
        <f t="shared" si="464"/>
        <v/>
      </c>
      <c r="M441" s="5" t="str">
        <f>_xlfn.XLOOKUP($N441,'Base de Grupos'!$A:$A,'Base de Grupos'!$C:$C)</f>
        <v>PR</v>
      </c>
      <c r="N441" s="3">
        <v>1363</v>
      </c>
      <c r="O441" s="4" t="s">
        <v>248</v>
      </c>
      <c r="P441" s="5" t="s">
        <v>85</v>
      </c>
      <c r="Q441" s="56">
        <v>0</v>
      </c>
      <c r="R441" s="56">
        <v>0</v>
      </c>
      <c r="S441" s="56">
        <v>0</v>
      </c>
      <c r="T441" s="56">
        <f>_xlfn.XLOOKUP($N441,'Calculo Leads'!$A$97:$A$134,'Calculo Leads'!G$97:G$134)*_xlfn.XLOOKUP($P441,'Base Grupo de Produtos'!$E$2:$E$18,'Base Grupo de Produtos'!$F$2:$F$18)</f>
        <v>320</v>
      </c>
      <c r="U441" s="56">
        <f>_xlfn.XLOOKUP($N441,'Calculo Leads'!$A$97:$A$134,'Calculo Leads'!H$97:H$134)*_xlfn.XLOOKUP($P441,'Base Grupo de Produtos'!$E$2:$E$18,'Base Grupo de Produtos'!$F$2:$F$18)</f>
        <v>400</v>
      </c>
      <c r="V441" s="56">
        <f>_xlfn.XLOOKUP($N441,'Calculo Leads'!$A$97:$A$134,'Calculo Leads'!I$97:I$134)*_xlfn.XLOOKUP($P441,'Base Grupo de Produtos'!$E$2:$E$18,'Base Grupo de Produtos'!$F$2:$F$18)</f>
        <v>500</v>
      </c>
      <c r="W441" s="56">
        <f>_xlfn.XLOOKUP($N441,'Calculo Leads'!$A$97:$A$134,'Calculo Leads'!J$97:J$134)*_xlfn.XLOOKUP($P441,'Base Grupo de Produtos'!$E$2:$E$18,'Base Grupo de Produtos'!$F$2:$F$18)</f>
        <v>600</v>
      </c>
      <c r="X441" s="56">
        <f>_xlfn.XLOOKUP($N441,'Calculo Leads'!$A$97:$A$134,'Calculo Leads'!K$97:K$134)*_xlfn.XLOOKUP($P441,'Base Grupo de Produtos'!$E$2:$E$18,'Base Grupo de Produtos'!$F$2:$F$18)</f>
        <v>748</v>
      </c>
      <c r="Y441" s="56">
        <f>_xlfn.XLOOKUP($N441,'Calculo Leads'!$A$97:$A$134,'Calculo Leads'!L$97:L$134)*_xlfn.XLOOKUP($P441,'Base Grupo de Produtos'!$E$2:$E$18,'Base Grupo de Produtos'!$F$2:$F$18)</f>
        <v>946</v>
      </c>
      <c r="Z441" s="56">
        <f>_xlfn.XLOOKUP($N441,'Calculo Leads'!$A$97:$A$134,'Calculo Leads'!M$97:M$134)*_xlfn.XLOOKUP($P441,'Base Grupo de Produtos'!$E$2:$E$18,'Base Grupo de Produtos'!$F$2:$F$18)</f>
        <v>1034</v>
      </c>
      <c r="AA441" s="56">
        <f>_xlfn.XLOOKUP($N441,'Calculo Leads'!$A$97:$A$134,'Calculo Leads'!N$97:N$134)*_xlfn.XLOOKUP($P441,'Base Grupo de Produtos'!$E$2:$E$18,'Base Grupo de Produtos'!$F$2:$F$18)</f>
        <v>1166</v>
      </c>
      <c r="AB441" s="56">
        <f>_xlfn.XLOOKUP($N441,'Calculo Leads'!$A$97:$A$134,'Calculo Leads'!O$97:O$134)*_xlfn.XLOOKUP($P441,'Base Grupo de Produtos'!$E$2:$E$18,'Base Grupo de Produtos'!$F$2:$F$18)</f>
        <v>792</v>
      </c>
      <c r="AC441" s="61">
        <f t="shared" si="425"/>
        <v>6506</v>
      </c>
      <c r="AD441" s="27">
        <f t="shared" si="480"/>
        <v>6506</v>
      </c>
      <c r="AE441" s="25">
        <f>IFERROR(_xlfn.XLOOKUP(N441&amp;P441,'Historico Vendas'!G:G,'Historico Vendas'!E:E),0)</f>
        <v>0</v>
      </c>
      <c r="AF441" s="29" t="str">
        <f t="shared" si="462"/>
        <v/>
      </c>
      <c r="AG441" s="24">
        <f>IFERROR(_xlfn.XLOOKUP(N441&amp;P441,'Historico Vendas'!G:G,'Historico Vendas'!F:F),0)</f>
        <v>0</v>
      </c>
      <c r="AH441" s="25">
        <f t="shared" si="481"/>
        <v>0</v>
      </c>
      <c r="AI441" s="24">
        <f t="shared" si="482"/>
        <v>0</v>
      </c>
      <c r="AJ441" s="11" t="str">
        <f t="shared" ref="AJ441:AJ504" si="483">IFERROR(AG441/AH441,"")</f>
        <v/>
      </c>
      <c r="AK441" s="9" t="s">
        <v>102</v>
      </c>
      <c r="AL441" s="13">
        <f>IFERROR(INDEX('Balizador da Meta'!$D$3:$F$23,MATCH(Faturamento!$P441,'Balizador da Meta'!$C$3:$C$23,0),MATCH(Faturamento!AK441,'Balizador da Meta'!$D$2:$F$2,0)),"")</f>
        <v>0</v>
      </c>
      <c r="AM441" s="9"/>
    </row>
    <row r="442" spans="1:39" x14ac:dyDescent="0.3">
      <c r="A442" s="2" t="str">
        <f t="shared" si="463"/>
        <v>NÃO</v>
      </c>
      <c r="B442" s="2" t="str">
        <f>_xlfn.XLOOKUP($N442,'Base de Grupos'!$A:$A,'Base de Grupos'!$D:$D)</f>
        <v>1000065763</v>
      </c>
      <c r="C442" s="5" t="str">
        <f>_xlfn.XLOOKUP($N442,'Base de Grupos'!$A:$A,'Base de Grupos'!$E:$E)</f>
        <v>CANAL VENDA INTERNA</v>
      </c>
      <c r="D442" s="5" t="str">
        <f>_xlfn.XLOOKUP($N442,'Base de Grupos'!$A:$A,'Base de Grupos'!$F:$F)</f>
        <v>1000065763</v>
      </c>
      <c r="E442" s="2" t="str">
        <f>_xlfn.XLOOKUP($N442,'Base de Grupos'!$A:$A,'Base de Grupos'!$G:$G)</f>
        <v>CANAL VENDA INTERNA</v>
      </c>
      <c r="F442" s="2" t="str">
        <f>_xlfn.XLOOKUP($N442,'Base de Grupos'!$A:$A,'Base de Grupos'!$H:$H)</f>
        <v>1000105896</v>
      </c>
      <c r="G442" s="5" t="str">
        <f>_xlfn.XLOOKUP($N442,'Base de Grupos'!$A:$A,'Base de Grupos'!$I:$I)</f>
        <v>REGIONAL VENDA DIRETA SUL</v>
      </c>
      <c r="H442" s="5" t="str">
        <f>_xlfn.XLOOKUP($N442,'Base de Grupos'!$A:$A,'Base de Grupos'!$J:$J)</f>
        <v>1000105896</v>
      </c>
      <c r="I442" s="2" t="str">
        <f>_xlfn.XLOOKUP($N442,'Base de Grupos'!$A:$A,'Base de Grupos'!$K:$K)</f>
        <v>REGIONAL VENDA DIRETA SUL</v>
      </c>
      <c r="J442" s="2" t="str">
        <f>_xlfn.XLOOKUP($N442,'Base de Grupos'!$A:$A,'Base de Grupos'!$L:$L)</f>
        <v>1000176426</v>
      </c>
      <c r="K442" s="5" t="str">
        <f>_xlfn.XLOOKUP($N442,'Base de Grupos'!$A:$A,'Base de Grupos'!$M:$M)</f>
        <v>HEMANUELE ROSA DITZEL</v>
      </c>
      <c r="L442" s="5" t="str">
        <f t="shared" si="464"/>
        <v/>
      </c>
      <c r="M442" s="5" t="str">
        <f>_xlfn.XLOOKUP($N442,'Base de Grupos'!$A:$A,'Base de Grupos'!$C:$C)</f>
        <v>PR</v>
      </c>
      <c r="N442" s="3">
        <v>1363</v>
      </c>
      <c r="O442" s="4" t="s">
        <v>248</v>
      </c>
      <c r="P442" s="5" t="s">
        <v>92</v>
      </c>
      <c r="Q442" s="56">
        <v>0</v>
      </c>
      <c r="R442" s="56">
        <v>0</v>
      </c>
      <c r="S442" s="56">
        <v>0</v>
      </c>
      <c r="T442" s="56">
        <f>_xlfn.XLOOKUP($N442,'Calculo Leads'!$A$97:$A$134,'Calculo Leads'!G$97:G$134)*_xlfn.XLOOKUP($P442,'Base Grupo de Produtos'!$E$2:$E$18,'Base Grupo de Produtos'!$F$2:$F$18)</f>
        <v>320</v>
      </c>
      <c r="U442" s="56">
        <f>_xlfn.XLOOKUP($N442,'Calculo Leads'!$A$97:$A$134,'Calculo Leads'!H$97:H$134)*_xlfn.XLOOKUP($P442,'Base Grupo de Produtos'!$E$2:$E$18,'Base Grupo de Produtos'!$F$2:$F$18)</f>
        <v>400</v>
      </c>
      <c r="V442" s="56">
        <f>_xlfn.XLOOKUP($N442,'Calculo Leads'!$A$97:$A$134,'Calculo Leads'!I$97:I$134)*_xlfn.XLOOKUP($P442,'Base Grupo de Produtos'!$E$2:$E$18,'Base Grupo de Produtos'!$F$2:$F$18)</f>
        <v>500</v>
      </c>
      <c r="W442" s="56">
        <f>_xlfn.XLOOKUP($N442,'Calculo Leads'!$A$97:$A$134,'Calculo Leads'!J$97:J$134)*_xlfn.XLOOKUP($P442,'Base Grupo de Produtos'!$E$2:$E$18,'Base Grupo de Produtos'!$F$2:$F$18)</f>
        <v>600</v>
      </c>
      <c r="X442" s="56">
        <f>_xlfn.XLOOKUP($N442,'Calculo Leads'!$A$97:$A$134,'Calculo Leads'!K$97:K$134)*_xlfn.XLOOKUP($P442,'Base Grupo de Produtos'!$E$2:$E$18,'Base Grupo de Produtos'!$F$2:$F$18)</f>
        <v>748</v>
      </c>
      <c r="Y442" s="56">
        <f>_xlfn.XLOOKUP($N442,'Calculo Leads'!$A$97:$A$134,'Calculo Leads'!L$97:L$134)*_xlfn.XLOOKUP($P442,'Base Grupo de Produtos'!$E$2:$E$18,'Base Grupo de Produtos'!$F$2:$F$18)</f>
        <v>946</v>
      </c>
      <c r="Z442" s="56">
        <f>_xlfn.XLOOKUP($N442,'Calculo Leads'!$A$97:$A$134,'Calculo Leads'!M$97:M$134)*_xlfn.XLOOKUP($P442,'Base Grupo de Produtos'!$E$2:$E$18,'Base Grupo de Produtos'!$F$2:$F$18)</f>
        <v>1034</v>
      </c>
      <c r="AA442" s="56">
        <f>_xlfn.XLOOKUP($N442,'Calculo Leads'!$A$97:$A$134,'Calculo Leads'!N$97:N$134)*_xlfn.XLOOKUP($P442,'Base Grupo de Produtos'!$E$2:$E$18,'Base Grupo de Produtos'!$F$2:$F$18)</f>
        <v>1166</v>
      </c>
      <c r="AB442" s="56">
        <f>_xlfn.XLOOKUP($N442,'Calculo Leads'!$A$97:$A$134,'Calculo Leads'!O$97:O$134)*_xlfn.XLOOKUP($P442,'Base Grupo de Produtos'!$E$2:$E$18,'Base Grupo de Produtos'!$F$2:$F$18)</f>
        <v>792</v>
      </c>
      <c r="AC442" s="61">
        <f t="shared" si="425"/>
        <v>6506</v>
      </c>
      <c r="AD442" s="27">
        <f t="shared" si="480"/>
        <v>6506</v>
      </c>
      <c r="AE442" s="25">
        <f>IFERROR(_xlfn.XLOOKUP(N442&amp;P442,'Historico Vendas'!G:G,'Historico Vendas'!E:E),0)</f>
        <v>0</v>
      </c>
      <c r="AF442" s="29" t="str">
        <f t="shared" si="462"/>
        <v/>
      </c>
      <c r="AG442" s="24">
        <f>IFERROR(_xlfn.XLOOKUP(N442&amp;P442,'Historico Vendas'!G:G,'Historico Vendas'!F:F),0)</f>
        <v>0</v>
      </c>
      <c r="AH442" s="25">
        <f t="shared" si="481"/>
        <v>0</v>
      </c>
      <c r="AI442" s="24">
        <f t="shared" si="482"/>
        <v>0</v>
      </c>
      <c r="AJ442" s="11" t="str">
        <f t="shared" si="483"/>
        <v/>
      </c>
      <c r="AK442" s="9" t="s">
        <v>102</v>
      </c>
      <c r="AL442" s="13">
        <f>IFERROR(INDEX('Balizador da Meta'!$D$3:$F$23,MATCH(Faturamento!$P442,'Balizador da Meta'!$C$3:$C$23,0),MATCH(Faturamento!AK442,'Balizador da Meta'!$D$2:$F$2,0)),"")</f>
        <v>0</v>
      </c>
      <c r="AM442" s="9"/>
    </row>
    <row r="443" spans="1:39" x14ac:dyDescent="0.3">
      <c r="A443" s="2" t="str">
        <f t="shared" si="463"/>
        <v>NÃO</v>
      </c>
      <c r="B443" s="2" t="str">
        <f>_xlfn.XLOOKUP($N443,'Base de Grupos'!$A:$A,'Base de Grupos'!$D:$D)</f>
        <v>1000065763</v>
      </c>
      <c r="C443" s="5" t="str">
        <f>_xlfn.XLOOKUP($N443,'Base de Grupos'!$A:$A,'Base de Grupos'!$E:$E)</f>
        <v>CANAL VENDA INTERNA</v>
      </c>
      <c r="D443" s="5" t="str">
        <f>_xlfn.XLOOKUP($N443,'Base de Grupos'!$A:$A,'Base de Grupos'!$F:$F)</f>
        <v>1000065763</v>
      </c>
      <c r="E443" s="2" t="str">
        <f>_xlfn.XLOOKUP($N443,'Base de Grupos'!$A:$A,'Base de Grupos'!$G:$G)</f>
        <v>CANAL VENDA INTERNA</v>
      </c>
      <c r="F443" s="2" t="str">
        <f>_xlfn.XLOOKUP($N443,'Base de Grupos'!$A:$A,'Base de Grupos'!$H:$H)</f>
        <v>1000105896</v>
      </c>
      <c r="G443" s="5" t="str">
        <f>_xlfn.XLOOKUP($N443,'Base de Grupos'!$A:$A,'Base de Grupos'!$I:$I)</f>
        <v>REGIONAL VENDA DIRETA SUL</v>
      </c>
      <c r="H443" s="5" t="str">
        <f>_xlfn.XLOOKUP($N443,'Base de Grupos'!$A:$A,'Base de Grupos'!$J:$J)</f>
        <v>1000105896</v>
      </c>
      <c r="I443" s="2" t="str">
        <f>_xlfn.XLOOKUP($N443,'Base de Grupos'!$A:$A,'Base de Grupos'!$K:$K)</f>
        <v>REGIONAL VENDA DIRETA SUL</v>
      </c>
      <c r="J443" s="2" t="str">
        <f>_xlfn.XLOOKUP($N443,'Base de Grupos'!$A:$A,'Base de Grupos'!$L:$L)</f>
        <v>1000176426</v>
      </c>
      <c r="K443" s="5" t="str">
        <f>_xlfn.XLOOKUP($N443,'Base de Grupos'!$A:$A,'Base de Grupos'!$M:$M)</f>
        <v>HEMANUELE ROSA DITZEL</v>
      </c>
      <c r="L443" s="5" t="str">
        <f t="shared" si="464"/>
        <v/>
      </c>
      <c r="M443" s="5" t="str">
        <f>_xlfn.XLOOKUP($N443,'Base de Grupos'!$A:$A,'Base de Grupos'!$C:$C)</f>
        <v>PR</v>
      </c>
      <c r="N443" s="3">
        <v>1363</v>
      </c>
      <c r="O443" s="4" t="s">
        <v>248</v>
      </c>
      <c r="P443" s="5" t="s">
        <v>86</v>
      </c>
      <c r="Q443" s="56">
        <v>0</v>
      </c>
      <c r="R443" s="56">
        <v>0</v>
      </c>
      <c r="S443" s="56">
        <v>0</v>
      </c>
      <c r="T443" s="56">
        <f>_xlfn.XLOOKUP($N443,'Calculo Leads'!$A$97:$A$134,'Calculo Leads'!G$97:G$134)*_xlfn.XLOOKUP($P443,'Base Grupo de Produtos'!$E$2:$E$18,'Base Grupo de Produtos'!$F$2:$F$18)</f>
        <v>480</v>
      </c>
      <c r="U443" s="56">
        <f>_xlfn.XLOOKUP($N443,'Calculo Leads'!$A$97:$A$134,'Calculo Leads'!H$97:H$134)*_xlfn.XLOOKUP($P443,'Base Grupo de Produtos'!$E$2:$E$18,'Base Grupo de Produtos'!$F$2:$F$18)</f>
        <v>600</v>
      </c>
      <c r="V443" s="56">
        <f>_xlfn.XLOOKUP($N443,'Calculo Leads'!$A$97:$A$134,'Calculo Leads'!I$97:I$134)*_xlfn.XLOOKUP($P443,'Base Grupo de Produtos'!$E$2:$E$18,'Base Grupo de Produtos'!$F$2:$F$18)</f>
        <v>750</v>
      </c>
      <c r="W443" s="56">
        <f>_xlfn.XLOOKUP($N443,'Calculo Leads'!$A$97:$A$134,'Calculo Leads'!J$97:J$134)*_xlfn.XLOOKUP($P443,'Base Grupo de Produtos'!$E$2:$E$18,'Base Grupo de Produtos'!$F$2:$F$18)</f>
        <v>900</v>
      </c>
      <c r="X443" s="56">
        <f>_xlfn.XLOOKUP($N443,'Calculo Leads'!$A$97:$A$134,'Calculo Leads'!K$97:K$134)*_xlfn.XLOOKUP($P443,'Base Grupo de Produtos'!$E$2:$E$18,'Base Grupo de Produtos'!$F$2:$F$18)</f>
        <v>1122</v>
      </c>
      <c r="Y443" s="56">
        <f>_xlfn.XLOOKUP($N443,'Calculo Leads'!$A$97:$A$134,'Calculo Leads'!L$97:L$134)*_xlfn.XLOOKUP($P443,'Base Grupo de Produtos'!$E$2:$E$18,'Base Grupo de Produtos'!$F$2:$F$18)</f>
        <v>1419</v>
      </c>
      <c r="Z443" s="56">
        <f>_xlfn.XLOOKUP($N443,'Calculo Leads'!$A$97:$A$134,'Calculo Leads'!M$97:M$134)*_xlfn.XLOOKUP($P443,'Base Grupo de Produtos'!$E$2:$E$18,'Base Grupo de Produtos'!$F$2:$F$18)</f>
        <v>1551</v>
      </c>
      <c r="AA443" s="56">
        <f>_xlfn.XLOOKUP($N443,'Calculo Leads'!$A$97:$A$134,'Calculo Leads'!N$97:N$134)*_xlfn.XLOOKUP($P443,'Base Grupo de Produtos'!$E$2:$E$18,'Base Grupo de Produtos'!$F$2:$F$18)</f>
        <v>1749</v>
      </c>
      <c r="AB443" s="56">
        <f>_xlfn.XLOOKUP($N443,'Calculo Leads'!$A$97:$A$134,'Calculo Leads'!O$97:O$134)*_xlfn.XLOOKUP($P443,'Base Grupo de Produtos'!$E$2:$E$18,'Base Grupo de Produtos'!$F$2:$F$18)</f>
        <v>1188</v>
      </c>
      <c r="AC443" s="61">
        <f t="shared" si="425"/>
        <v>9759</v>
      </c>
      <c r="AD443" s="27">
        <f t="shared" si="480"/>
        <v>9759</v>
      </c>
      <c r="AE443" s="25">
        <f>IFERROR(_xlfn.XLOOKUP(N443&amp;P443,'Historico Vendas'!G:G,'Historico Vendas'!E:E),0)</f>
        <v>0</v>
      </c>
      <c r="AF443" s="29" t="str">
        <f t="shared" si="462"/>
        <v/>
      </c>
      <c r="AG443" s="24">
        <f>IFERROR(_xlfn.XLOOKUP(N443&amp;P443,'Historico Vendas'!G:G,'Historico Vendas'!F:F),0)</f>
        <v>0</v>
      </c>
      <c r="AH443" s="25">
        <f t="shared" si="481"/>
        <v>0</v>
      </c>
      <c r="AI443" s="24">
        <f t="shared" si="482"/>
        <v>0</v>
      </c>
      <c r="AJ443" s="11" t="str">
        <f t="shared" si="483"/>
        <v/>
      </c>
      <c r="AK443" s="9" t="s">
        <v>102</v>
      </c>
      <c r="AL443" s="13">
        <f>IFERROR(INDEX('Balizador da Meta'!$D$3:$F$23,MATCH(Faturamento!$P443,'Balizador da Meta'!$C$3:$C$23,0),MATCH(Faturamento!AK443,'Balizador da Meta'!$D$2:$F$2,0)),"")</f>
        <v>0.15</v>
      </c>
      <c r="AM443" s="9"/>
    </row>
    <row r="444" spans="1:39" x14ac:dyDescent="0.3">
      <c r="A444" s="2" t="str">
        <f t="shared" si="463"/>
        <v>NÃO</v>
      </c>
      <c r="B444" s="2" t="str">
        <f>_xlfn.XLOOKUP($N444,'Base de Grupos'!$A:$A,'Base de Grupos'!$D:$D)</f>
        <v>1000065763</v>
      </c>
      <c r="C444" s="5" t="str">
        <f>_xlfn.XLOOKUP($N444,'Base de Grupos'!$A:$A,'Base de Grupos'!$E:$E)</f>
        <v>CANAL VENDA INTERNA</v>
      </c>
      <c r="D444" s="5" t="str">
        <f>_xlfn.XLOOKUP($N444,'Base de Grupos'!$A:$A,'Base de Grupos'!$F:$F)</f>
        <v>1000065763</v>
      </c>
      <c r="E444" s="2" t="str">
        <f>_xlfn.XLOOKUP($N444,'Base de Grupos'!$A:$A,'Base de Grupos'!$G:$G)</f>
        <v>CANAL VENDA INTERNA</v>
      </c>
      <c r="F444" s="2" t="str">
        <f>_xlfn.XLOOKUP($N444,'Base de Grupos'!$A:$A,'Base de Grupos'!$H:$H)</f>
        <v>1000105896</v>
      </c>
      <c r="G444" s="5" t="str">
        <f>_xlfn.XLOOKUP($N444,'Base de Grupos'!$A:$A,'Base de Grupos'!$I:$I)</f>
        <v>REGIONAL VENDA DIRETA SUL</v>
      </c>
      <c r="H444" s="5" t="str">
        <f>_xlfn.XLOOKUP($N444,'Base de Grupos'!$A:$A,'Base de Grupos'!$J:$J)</f>
        <v>1000105896</v>
      </c>
      <c r="I444" s="2" t="str">
        <f>_xlfn.XLOOKUP($N444,'Base de Grupos'!$A:$A,'Base de Grupos'!$K:$K)</f>
        <v>REGIONAL VENDA DIRETA SUL</v>
      </c>
      <c r="J444" s="2" t="str">
        <f>_xlfn.XLOOKUP($N444,'Base de Grupos'!$A:$A,'Base de Grupos'!$L:$L)</f>
        <v>1000176426</v>
      </c>
      <c r="K444" s="5" t="str">
        <f>_xlfn.XLOOKUP($N444,'Base de Grupos'!$A:$A,'Base de Grupos'!$M:$M)</f>
        <v>HEMANUELE ROSA DITZEL</v>
      </c>
      <c r="L444" s="5" t="str">
        <f t="shared" si="464"/>
        <v/>
      </c>
      <c r="M444" s="5" t="str">
        <f>_xlfn.XLOOKUP($N444,'Base de Grupos'!$A:$A,'Base de Grupos'!$C:$C)</f>
        <v>PR</v>
      </c>
      <c r="N444" s="3">
        <v>1363</v>
      </c>
      <c r="O444" s="4" t="s">
        <v>248</v>
      </c>
      <c r="P444" s="5" t="s">
        <v>108</v>
      </c>
      <c r="Q444" s="56">
        <v>0</v>
      </c>
      <c r="R444" s="56">
        <v>0</v>
      </c>
      <c r="S444" s="56">
        <v>0</v>
      </c>
      <c r="T444" s="56">
        <f>_xlfn.XLOOKUP($N444,'Calculo Leads'!$A$97:$A$134,'Calculo Leads'!G$97:G$134)*_xlfn.XLOOKUP($P444,'Base Grupo de Produtos'!$E$2:$E$18,'Base Grupo de Produtos'!$F$2:$F$18)</f>
        <v>4000</v>
      </c>
      <c r="U444" s="56">
        <f>_xlfn.XLOOKUP($N444,'Calculo Leads'!$A$97:$A$134,'Calculo Leads'!H$97:H$134)*_xlfn.XLOOKUP($P444,'Base Grupo de Produtos'!$E$2:$E$18,'Base Grupo de Produtos'!$F$2:$F$18)</f>
        <v>5000</v>
      </c>
      <c r="V444" s="56">
        <f>_xlfn.XLOOKUP($N444,'Calculo Leads'!$A$97:$A$134,'Calculo Leads'!I$97:I$134)*_xlfn.XLOOKUP($P444,'Base Grupo de Produtos'!$E$2:$E$18,'Base Grupo de Produtos'!$F$2:$F$18)</f>
        <v>6250</v>
      </c>
      <c r="W444" s="56">
        <f>_xlfn.XLOOKUP($N444,'Calculo Leads'!$A$97:$A$134,'Calculo Leads'!J$97:J$134)*_xlfn.XLOOKUP($P444,'Base Grupo de Produtos'!$E$2:$E$18,'Base Grupo de Produtos'!$F$2:$F$18)</f>
        <v>7500</v>
      </c>
      <c r="X444" s="56">
        <f>_xlfn.XLOOKUP($N444,'Calculo Leads'!$A$97:$A$134,'Calculo Leads'!K$97:K$134)*_xlfn.XLOOKUP($P444,'Base Grupo de Produtos'!$E$2:$E$18,'Base Grupo de Produtos'!$F$2:$F$18)</f>
        <v>9350</v>
      </c>
      <c r="Y444" s="56">
        <f>_xlfn.XLOOKUP($N444,'Calculo Leads'!$A$97:$A$134,'Calculo Leads'!L$97:L$134)*_xlfn.XLOOKUP($P444,'Base Grupo de Produtos'!$E$2:$E$18,'Base Grupo de Produtos'!$F$2:$F$18)</f>
        <v>11825</v>
      </c>
      <c r="Z444" s="56">
        <f>_xlfn.XLOOKUP($N444,'Calculo Leads'!$A$97:$A$134,'Calculo Leads'!M$97:M$134)*_xlfn.XLOOKUP($P444,'Base Grupo de Produtos'!$E$2:$E$18,'Base Grupo de Produtos'!$F$2:$F$18)</f>
        <v>12925</v>
      </c>
      <c r="AA444" s="56">
        <f>_xlfn.XLOOKUP($N444,'Calculo Leads'!$A$97:$A$134,'Calculo Leads'!N$97:N$134)*_xlfn.XLOOKUP($P444,'Base Grupo de Produtos'!$E$2:$E$18,'Base Grupo de Produtos'!$F$2:$F$18)</f>
        <v>14575</v>
      </c>
      <c r="AB444" s="56">
        <f>_xlfn.XLOOKUP($N444,'Calculo Leads'!$A$97:$A$134,'Calculo Leads'!O$97:O$134)*_xlfn.XLOOKUP($P444,'Base Grupo de Produtos'!$E$2:$E$18,'Base Grupo de Produtos'!$F$2:$F$18)</f>
        <v>9900</v>
      </c>
      <c r="AC444" s="61">
        <f t="shared" si="425"/>
        <v>81325</v>
      </c>
      <c r="AD444" s="27">
        <f t="shared" si="480"/>
        <v>81325</v>
      </c>
      <c r="AE444" s="25">
        <f>IFERROR(_xlfn.XLOOKUP(N444&amp;P444,'Historico Vendas'!G:G,'Historico Vendas'!E:E),0)</f>
        <v>0</v>
      </c>
      <c r="AF444" s="29" t="str">
        <f t="shared" si="462"/>
        <v/>
      </c>
      <c r="AG444" s="24">
        <f>IFERROR(_xlfn.XLOOKUP(N444&amp;P444,'Historico Vendas'!G:G,'Historico Vendas'!F:F),0)</f>
        <v>0</v>
      </c>
      <c r="AH444" s="25">
        <f t="shared" si="481"/>
        <v>0</v>
      </c>
      <c r="AI444" s="24">
        <f t="shared" si="482"/>
        <v>0</v>
      </c>
      <c r="AJ444" s="11" t="str">
        <f t="shared" si="483"/>
        <v/>
      </c>
      <c r="AK444" s="9" t="s">
        <v>102</v>
      </c>
      <c r="AL444" s="13">
        <f>IFERROR(INDEX('Balizador da Meta'!$D$3:$F$23,MATCH(Faturamento!$P444,'Balizador da Meta'!$C$3:$C$23,0),MATCH(Faturamento!AK444,'Balizador da Meta'!$D$2:$F$2,0)),"")</f>
        <v>0</v>
      </c>
      <c r="AM444" s="9"/>
    </row>
    <row r="445" spans="1:39" x14ac:dyDescent="0.3">
      <c r="A445" s="2" t="str">
        <f t="shared" si="463"/>
        <v>NÃO</v>
      </c>
      <c r="B445" s="2" t="str">
        <f>_xlfn.XLOOKUP($N445,'Base de Grupos'!$A:$A,'Base de Grupos'!$D:$D)</f>
        <v>1000065763</v>
      </c>
      <c r="C445" s="5" t="str">
        <f>_xlfn.XLOOKUP($N445,'Base de Grupos'!$A:$A,'Base de Grupos'!$E:$E)</f>
        <v>CANAL VENDA INTERNA</v>
      </c>
      <c r="D445" s="5" t="str">
        <f>_xlfn.XLOOKUP($N445,'Base de Grupos'!$A:$A,'Base de Grupos'!$F:$F)</f>
        <v>1000065763</v>
      </c>
      <c r="E445" s="2" t="str">
        <f>_xlfn.XLOOKUP($N445,'Base de Grupos'!$A:$A,'Base de Grupos'!$G:$G)</f>
        <v>CANAL VENDA INTERNA</v>
      </c>
      <c r="F445" s="2" t="str">
        <f>_xlfn.XLOOKUP($N445,'Base de Grupos'!$A:$A,'Base de Grupos'!$H:$H)</f>
        <v>1000105896</v>
      </c>
      <c r="G445" s="5" t="str">
        <f>_xlfn.XLOOKUP($N445,'Base de Grupos'!$A:$A,'Base de Grupos'!$I:$I)</f>
        <v>REGIONAL VENDA DIRETA SUL</v>
      </c>
      <c r="H445" s="5" t="str">
        <f>_xlfn.XLOOKUP($N445,'Base de Grupos'!$A:$A,'Base de Grupos'!$J:$J)</f>
        <v>1000105896</v>
      </c>
      <c r="I445" s="2" t="str">
        <f>_xlfn.XLOOKUP($N445,'Base de Grupos'!$A:$A,'Base de Grupos'!$K:$K)</f>
        <v>REGIONAL VENDA DIRETA SUL</v>
      </c>
      <c r="J445" s="2" t="str">
        <f>_xlfn.XLOOKUP($N445,'Base de Grupos'!$A:$A,'Base de Grupos'!$L:$L)</f>
        <v>1000176426</v>
      </c>
      <c r="K445" s="5" t="str">
        <f>_xlfn.XLOOKUP($N445,'Base de Grupos'!$A:$A,'Base de Grupos'!$M:$M)</f>
        <v>HEMANUELE ROSA DITZEL</v>
      </c>
      <c r="L445" s="5" t="str">
        <f t="shared" si="464"/>
        <v/>
      </c>
      <c r="M445" s="5" t="str">
        <f>_xlfn.XLOOKUP($N445,'Base de Grupos'!$A:$A,'Base de Grupos'!$C:$C)</f>
        <v>PR</v>
      </c>
      <c r="N445" s="3">
        <v>1363</v>
      </c>
      <c r="O445" s="4" t="s">
        <v>248</v>
      </c>
      <c r="P445" s="5" t="s">
        <v>89</v>
      </c>
      <c r="Q445" s="56">
        <v>0</v>
      </c>
      <c r="R445" s="56">
        <v>0</v>
      </c>
      <c r="S445" s="56">
        <v>0</v>
      </c>
      <c r="T445" s="56">
        <f>_xlfn.XLOOKUP($N445,'Calculo Leads'!$A$97:$A$134,'Calculo Leads'!G$97:G$134)*_xlfn.XLOOKUP($P445,'Base Grupo de Produtos'!$E$2:$E$18,'Base Grupo de Produtos'!$F$2:$F$18)</f>
        <v>800</v>
      </c>
      <c r="U445" s="56">
        <f>_xlfn.XLOOKUP($N445,'Calculo Leads'!$A$97:$A$134,'Calculo Leads'!H$97:H$134)*_xlfn.XLOOKUP($P445,'Base Grupo de Produtos'!$E$2:$E$18,'Base Grupo de Produtos'!$F$2:$F$18)</f>
        <v>1000</v>
      </c>
      <c r="V445" s="56">
        <f>_xlfn.XLOOKUP($N445,'Calculo Leads'!$A$97:$A$134,'Calculo Leads'!I$97:I$134)*_xlfn.XLOOKUP($P445,'Base Grupo de Produtos'!$E$2:$E$18,'Base Grupo de Produtos'!$F$2:$F$18)</f>
        <v>1250</v>
      </c>
      <c r="W445" s="56">
        <f>_xlfn.XLOOKUP($N445,'Calculo Leads'!$A$97:$A$134,'Calculo Leads'!J$97:J$134)*_xlfn.XLOOKUP($P445,'Base Grupo de Produtos'!$E$2:$E$18,'Base Grupo de Produtos'!$F$2:$F$18)</f>
        <v>1500</v>
      </c>
      <c r="X445" s="56">
        <f>_xlfn.XLOOKUP($N445,'Calculo Leads'!$A$97:$A$134,'Calculo Leads'!K$97:K$134)*_xlfn.XLOOKUP($P445,'Base Grupo de Produtos'!$E$2:$E$18,'Base Grupo de Produtos'!$F$2:$F$18)</f>
        <v>1870</v>
      </c>
      <c r="Y445" s="56">
        <f>_xlfn.XLOOKUP($N445,'Calculo Leads'!$A$97:$A$134,'Calculo Leads'!L$97:L$134)*_xlfn.XLOOKUP($P445,'Base Grupo de Produtos'!$E$2:$E$18,'Base Grupo de Produtos'!$F$2:$F$18)</f>
        <v>2365</v>
      </c>
      <c r="Z445" s="56">
        <f>_xlfn.XLOOKUP($N445,'Calculo Leads'!$A$97:$A$134,'Calculo Leads'!M$97:M$134)*_xlfn.XLOOKUP($P445,'Base Grupo de Produtos'!$E$2:$E$18,'Base Grupo de Produtos'!$F$2:$F$18)</f>
        <v>2585</v>
      </c>
      <c r="AA445" s="56">
        <f>_xlfn.XLOOKUP($N445,'Calculo Leads'!$A$97:$A$134,'Calculo Leads'!N$97:N$134)*_xlfn.XLOOKUP($P445,'Base Grupo de Produtos'!$E$2:$E$18,'Base Grupo de Produtos'!$F$2:$F$18)</f>
        <v>2915</v>
      </c>
      <c r="AB445" s="56">
        <f>_xlfn.XLOOKUP($N445,'Calculo Leads'!$A$97:$A$134,'Calculo Leads'!O$97:O$134)*_xlfn.XLOOKUP($P445,'Base Grupo de Produtos'!$E$2:$E$18,'Base Grupo de Produtos'!$F$2:$F$18)</f>
        <v>1980</v>
      </c>
      <c r="AC445" s="61">
        <f t="shared" si="425"/>
        <v>16265</v>
      </c>
      <c r="AD445" s="27">
        <f t="shared" si="480"/>
        <v>16265</v>
      </c>
      <c r="AE445" s="25">
        <f>IFERROR(_xlfn.XLOOKUP(N445&amp;P445,'Historico Vendas'!G:G,'Historico Vendas'!E:E),0)</f>
        <v>0</v>
      </c>
      <c r="AF445" s="29" t="str">
        <f t="shared" si="462"/>
        <v/>
      </c>
      <c r="AG445" s="24">
        <f>IFERROR(_xlfn.XLOOKUP(N445&amp;P445,'Historico Vendas'!G:G,'Historico Vendas'!F:F),0)</f>
        <v>0</v>
      </c>
      <c r="AH445" s="25">
        <f t="shared" si="481"/>
        <v>0</v>
      </c>
      <c r="AI445" s="24">
        <f t="shared" si="482"/>
        <v>0</v>
      </c>
      <c r="AJ445" s="11" t="str">
        <f t="shared" si="483"/>
        <v/>
      </c>
      <c r="AK445" s="9" t="s">
        <v>102</v>
      </c>
      <c r="AL445" s="13">
        <f>IFERROR(INDEX('Balizador da Meta'!$D$3:$F$23,MATCH(Faturamento!$P445,'Balizador da Meta'!$C$3:$C$23,0),MATCH(Faturamento!AK445,'Balizador da Meta'!$D$2:$F$2,0)),"")</f>
        <v>0.25</v>
      </c>
      <c r="AM445" s="9"/>
    </row>
    <row r="446" spans="1:39" x14ac:dyDescent="0.3">
      <c r="A446" s="2" t="str">
        <f t="shared" si="463"/>
        <v>NÃO</v>
      </c>
      <c r="B446" s="2" t="str">
        <f>_xlfn.XLOOKUP($N446,'Base de Grupos'!$A:$A,'Base de Grupos'!$D:$D)</f>
        <v>1000065763</v>
      </c>
      <c r="C446" s="5" t="str">
        <f>_xlfn.XLOOKUP($N446,'Base de Grupos'!$A:$A,'Base de Grupos'!$E:$E)</f>
        <v>CANAL VENDA INTERNA</v>
      </c>
      <c r="D446" s="5" t="str">
        <f>_xlfn.XLOOKUP($N446,'Base de Grupos'!$A:$A,'Base de Grupos'!$F:$F)</f>
        <v>1000065763</v>
      </c>
      <c r="E446" s="2" t="str">
        <f>_xlfn.XLOOKUP($N446,'Base de Grupos'!$A:$A,'Base de Grupos'!$G:$G)</f>
        <v>CANAL VENDA INTERNA</v>
      </c>
      <c r="F446" s="2" t="str">
        <f>_xlfn.XLOOKUP($N446,'Base de Grupos'!$A:$A,'Base de Grupos'!$H:$H)</f>
        <v>1000105896</v>
      </c>
      <c r="G446" s="5" t="str">
        <f>_xlfn.XLOOKUP($N446,'Base de Grupos'!$A:$A,'Base de Grupos'!$I:$I)</f>
        <v>REGIONAL VENDA DIRETA SUL</v>
      </c>
      <c r="H446" s="5" t="str">
        <f>_xlfn.XLOOKUP($N446,'Base de Grupos'!$A:$A,'Base de Grupos'!$J:$J)</f>
        <v>1000105896</v>
      </c>
      <c r="I446" s="2" t="str">
        <f>_xlfn.XLOOKUP($N446,'Base de Grupos'!$A:$A,'Base de Grupos'!$K:$K)</f>
        <v>REGIONAL VENDA DIRETA SUL</v>
      </c>
      <c r="J446" s="2" t="str">
        <f>_xlfn.XLOOKUP($N446,'Base de Grupos'!$A:$A,'Base de Grupos'!$L:$L)</f>
        <v>1000176426</v>
      </c>
      <c r="K446" s="5" t="str">
        <f>_xlfn.XLOOKUP($N446,'Base de Grupos'!$A:$A,'Base de Grupos'!$M:$M)</f>
        <v>HEMANUELE ROSA DITZEL</v>
      </c>
      <c r="L446" s="5" t="str">
        <f t="shared" si="464"/>
        <v/>
      </c>
      <c r="M446" s="5" t="str">
        <f>_xlfn.XLOOKUP($N446,'Base de Grupos'!$A:$A,'Base de Grupos'!$C:$C)</f>
        <v>PR</v>
      </c>
      <c r="N446" s="3">
        <v>1363</v>
      </c>
      <c r="O446" s="4" t="s">
        <v>248</v>
      </c>
      <c r="P446" s="5" t="s">
        <v>88</v>
      </c>
      <c r="Q446" s="56">
        <v>0</v>
      </c>
      <c r="R446" s="56">
        <v>0</v>
      </c>
      <c r="S446" s="56">
        <v>0</v>
      </c>
      <c r="T446" s="56">
        <f>_xlfn.XLOOKUP($N446,'Calculo Leads'!$A$97:$A$134,'Calculo Leads'!G$97:G$134)*_xlfn.XLOOKUP($P446,'Base Grupo de Produtos'!$E$2:$E$18,'Base Grupo de Produtos'!$F$2:$F$18)</f>
        <v>800</v>
      </c>
      <c r="U446" s="56">
        <f>_xlfn.XLOOKUP($N446,'Calculo Leads'!$A$97:$A$134,'Calculo Leads'!H$97:H$134)*_xlfn.XLOOKUP($P446,'Base Grupo de Produtos'!$E$2:$E$18,'Base Grupo de Produtos'!$F$2:$F$18)</f>
        <v>1000</v>
      </c>
      <c r="V446" s="56">
        <f>_xlfn.XLOOKUP($N446,'Calculo Leads'!$A$97:$A$134,'Calculo Leads'!I$97:I$134)*_xlfn.XLOOKUP($P446,'Base Grupo de Produtos'!$E$2:$E$18,'Base Grupo de Produtos'!$F$2:$F$18)</f>
        <v>1250</v>
      </c>
      <c r="W446" s="56">
        <f>_xlfn.XLOOKUP($N446,'Calculo Leads'!$A$97:$A$134,'Calculo Leads'!J$97:J$134)*_xlfn.XLOOKUP($P446,'Base Grupo de Produtos'!$E$2:$E$18,'Base Grupo de Produtos'!$F$2:$F$18)</f>
        <v>1500</v>
      </c>
      <c r="X446" s="56">
        <f>_xlfn.XLOOKUP($N446,'Calculo Leads'!$A$97:$A$134,'Calculo Leads'!K$97:K$134)*_xlfn.XLOOKUP($P446,'Base Grupo de Produtos'!$E$2:$E$18,'Base Grupo de Produtos'!$F$2:$F$18)</f>
        <v>1870</v>
      </c>
      <c r="Y446" s="56">
        <f>_xlfn.XLOOKUP($N446,'Calculo Leads'!$A$97:$A$134,'Calculo Leads'!L$97:L$134)*_xlfn.XLOOKUP($P446,'Base Grupo de Produtos'!$E$2:$E$18,'Base Grupo de Produtos'!$F$2:$F$18)</f>
        <v>2365</v>
      </c>
      <c r="Z446" s="56">
        <f>_xlfn.XLOOKUP($N446,'Calculo Leads'!$A$97:$A$134,'Calculo Leads'!M$97:M$134)*_xlfn.XLOOKUP($P446,'Base Grupo de Produtos'!$E$2:$E$18,'Base Grupo de Produtos'!$F$2:$F$18)</f>
        <v>2585</v>
      </c>
      <c r="AA446" s="56">
        <f>_xlfn.XLOOKUP($N446,'Calculo Leads'!$A$97:$A$134,'Calculo Leads'!N$97:N$134)*_xlfn.XLOOKUP($P446,'Base Grupo de Produtos'!$E$2:$E$18,'Base Grupo de Produtos'!$F$2:$F$18)</f>
        <v>2915</v>
      </c>
      <c r="AB446" s="56">
        <f>_xlfn.XLOOKUP($N446,'Calculo Leads'!$A$97:$A$134,'Calculo Leads'!O$97:O$134)*_xlfn.XLOOKUP($P446,'Base Grupo de Produtos'!$E$2:$E$18,'Base Grupo de Produtos'!$F$2:$F$18)</f>
        <v>1980</v>
      </c>
      <c r="AC446" s="61">
        <f t="shared" si="425"/>
        <v>16265</v>
      </c>
      <c r="AD446" s="27">
        <f t="shared" si="480"/>
        <v>16265</v>
      </c>
      <c r="AE446" s="25">
        <f>IFERROR(_xlfn.XLOOKUP(N446&amp;P446,'Historico Vendas'!G:G,'Historico Vendas'!E:E),0)</f>
        <v>0</v>
      </c>
      <c r="AF446" s="29" t="str">
        <f t="shared" si="462"/>
        <v/>
      </c>
      <c r="AG446" s="24">
        <f>IFERROR(_xlfn.XLOOKUP(N446&amp;P446,'Historico Vendas'!G:G,'Historico Vendas'!F:F),0)</f>
        <v>0</v>
      </c>
      <c r="AH446" s="25">
        <f t="shared" si="481"/>
        <v>0</v>
      </c>
      <c r="AI446" s="24">
        <f t="shared" si="482"/>
        <v>0</v>
      </c>
      <c r="AJ446" s="11" t="str">
        <f t="shared" si="483"/>
        <v/>
      </c>
      <c r="AK446" s="9" t="s">
        <v>102</v>
      </c>
      <c r="AL446" s="13">
        <f>IFERROR(INDEX('Balizador da Meta'!$D$3:$F$23,MATCH(Faturamento!$P446,'Balizador da Meta'!$C$3:$C$23,0),MATCH(Faturamento!AK446,'Balizador da Meta'!$D$2:$F$2,0)),"")</f>
        <v>0</v>
      </c>
      <c r="AM446" s="9"/>
    </row>
    <row r="447" spans="1:39" x14ac:dyDescent="0.3">
      <c r="A447" s="2" t="str">
        <f t="shared" si="463"/>
        <v>NÃO</v>
      </c>
      <c r="B447" s="2" t="str">
        <f>_xlfn.XLOOKUP($N447,'Base de Grupos'!$A:$A,'Base de Grupos'!$D:$D)</f>
        <v>1000065763</v>
      </c>
      <c r="C447" s="5" t="str">
        <f>_xlfn.XLOOKUP($N447,'Base de Grupos'!$A:$A,'Base de Grupos'!$E:$E)</f>
        <v>CANAL VENDA INTERNA</v>
      </c>
      <c r="D447" s="5" t="str">
        <f>_xlfn.XLOOKUP($N447,'Base de Grupos'!$A:$A,'Base de Grupos'!$F:$F)</f>
        <v>1000065763</v>
      </c>
      <c r="E447" s="2" t="str">
        <f>_xlfn.XLOOKUP($N447,'Base de Grupos'!$A:$A,'Base de Grupos'!$G:$G)</f>
        <v>CANAL VENDA INTERNA</v>
      </c>
      <c r="F447" s="2" t="str">
        <f>_xlfn.XLOOKUP($N447,'Base de Grupos'!$A:$A,'Base de Grupos'!$H:$H)</f>
        <v>1000105896</v>
      </c>
      <c r="G447" s="5" t="str">
        <f>_xlfn.XLOOKUP($N447,'Base de Grupos'!$A:$A,'Base de Grupos'!$I:$I)</f>
        <v>REGIONAL VENDA DIRETA SUL</v>
      </c>
      <c r="H447" s="5" t="str">
        <f>_xlfn.XLOOKUP($N447,'Base de Grupos'!$A:$A,'Base de Grupos'!$J:$J)</f>
        <v>1000105896</v>
      </c>
      <c r="I447" s="2" t="str">
        <f>_xlfn.XLOOKUP($N447,'Base de Grupos'!$A:$A,'Base de Grupos'!$K:$K)</f>
        <v>REGIONAL VENDA DIRETA SUL</v>
      </c>
      <c r="J447" s="2" t="str">
        <f>_xlfn.XLOOKUP($N447,'Base de Grupos'!$A:$A,'Base de Grupos'!$L:$L)</f>
        <v>1000176426</v>
      </c>
      <c r="K447" s="5" t="str">
        <f>_xlfn.XLOOKUP($N447,'Base de Grupos'!$A:$A,'Base de Grupos'!$M:$M)</f>
        <v>HEMANUELE ROSA DITZEL</v>
      </c>
      <c r="L447" s="5" t="str">
        <f t="shared" si="464"/>
        <v/>
      </c>
      <c r="M447" s="5" t="str">
        <f>_xlfn.XLOOKUP($N447,'Base de Grupos'!$A:$A,'Base de Grupos'!$C:$C)</f>
        <v>PR</v>
      </c>
      <c r="N447" s="3">
        <v>1363</v>
      </c>
      <c r="O447" s="4" t="s">
        <v>248</v>
      </c>
      <c r="P447" s="5" t="s">
        <v>90</v>
      </c>
      <c r="Q447" s="56">
        <v>0</v>
      </c>
      <c r="R447" s="56">
        <v>0</v>
      </c>
      <c r="S447" s="56">
        <v>0</v>
      </c>
      <c r="T447" s="56">
        <f>_xlfn.XLOOKUP($N447,'Calculo Leads'!$A$97:$A$134,'Calculo Leads'!G$97:G$134)*_xlfn.XLOOKUP($P447,'Base Grupo de Produtos'!$E$2:$E$18,'Base Grupo de Produtos'!$F$2:$F$18)</f>
        <v>800</v>
      </c>
      <c r="U447" s="56">
        <f>_xlfn.XLOOKUP($N447,'Calculo Leads'!$A$97:$A$134,'Calculo Leads'!H$97:H$134)*_xlfn.XLOOKUP($P447,'Base Grupo de Produtos'!$E$2:$E$18,'Base Grupo de Produtos'!$F$2:$F$18)</f>
        <v>1000</v>
      </c>
      <c r="V447" s="56">
        <f>_xlfn.XLOOKUP($N447,'Calculo Leads'!$A$97:$A$134,'Calculo Leads'!I$97:I$134)*_xlfn.XLOOKUP($P447,'Base Grupo de Produtos'!$E$2:$E$18,'Base Grupo de Produtos'!$F$2:$F$18)</f>
        <v>1250</v>
      </c>
      <c r="W447" s="56">
        <f>_xlfn.XLOOKUP($N447,'Calculo Leads'!$A$97:$A$134,'Calculo Leads'!J$97:J$134)*_xlfn.XLOOKUP($P447,'Base Grupo de Produtos'!$E$2:$E$18,'Base Grupo de Produtos'!$F$2:$F$18)</f>
        <v>1500</v>
      </c>
      <c r="X447" s="56">
        <f>_xlfn.XLOOKUP($N447,'Calculo Leads'!$A$97:$A$134,'Calculo Leads'!K$97:K$134)*_xlfn.XLOOKUP($P447,'Base Grupo de Produtos'!$E$2:$E$18,'Base Grupo de Produtos'!$F$2:$F$18)</f>
        <v>1870</v>
      </c>
      <c r="Y447" s="56">
        <f>_xlfn.XLOOKUP($N447,'Calculo Leads'!$A$97:$A$134,'Calculo Leads'!L$97:L$134)*_xlfn.XLOOKUP($P447,'Base Grupo de Produtos'!$E$2:$E$18,'Base Grupo de Produtos'!$F$2:$F$18)</f>
        <v>2365</v>
      </c>
      <c r="Z447" s="56">
        <f>_xlfn.XLOOKUP($N447,'Calculo Leads'!$A$97:$A$134,'Calculo Leads'!M$97:M$134)*_xlfn.XLOOKUP($P447,'Base Grupo de Produtos'!$E$2:$E$18,'Base Grupo de Produtos'!$F$2:$F$18)</f>
        <v>2585</v>
      </c>
      <c r="AA447" s="56">
        <f>_xlfn.XLOOKUP($N447,'Calculo Leads'!$A$97:$A$134,'Calculo Leads'!N$97:N$134)*_xlfn.XLOOKUP($P447,'Base Grupo de Produtos'!$E$2:$E$18,'Base Grupo de Produtos'!$F$2:$F$18)</f>
        <v>2915</v>
      </c>
      <c r="AB447" s="56">
        <f>_xlfn.XLOOKUP($N447,'Calculo Leads'!$A$97:$A$134,'Calculo Leads'!O$97:O$134)*_xlfn.XLOOKUP($P447,'Base Grupo de Produtos'!$E$2:$E$18,'Base Grupo de Produtos'!$F$2:$F$18)</f>
        <v>1980</v>
      </c>
      <c r="AC447" s="61">
        <f t="shared" si="425"/>
        <v>16265</v>
      </c>
      <c r="AD447" s="27">
        <f t="shared" si="480"/>
        <v>16265</v>
      </c>
      <c r="AE447" s="25">
        <f>IFERROR(_xlfn.XLOOKUP(N447&amp;P447,'Historico Vendas'!G:G,'Historico Vendas'!E:E),0)</f>
        <v>0</v>
      </c>
      <c r="AF447" s="29" t="str">
        <f t="shared" si="462"/>
        <v/>
      </c>
      <c r="AG447" s="24">
        <f>IFERROR(_xlfn.XLOOKUP(N447&amp;P447,'Historico Vendas'!G:G,'Historico Vendas'!F:F),0)</f>
        <v>0</v>
      </c>
      <c r="AH447" s="25">
        <f t="shared" si="481"/>
        <v>0</v>
      </c>
      <c r="AI447" s="24">
        <f t="shared" si="482"/>
        <v>0</v>
      </c>
      <c r="AJ447" s="11" t="str">
        <f t="shared" si="483"/>
        <v/>
      </c>
      <c r="AK447" s="9" t="s">
        <v>102</v>
      </c>
      <c r="AL447" s="13">
        <f>IFERROR(INDEX('Balizador da Meta'!$D$3:$F$23,MATCH(Faturamento!$P447,'Balizador da Meta'!$C$3:$C$23,0),MATCH(Faturamento!AK447,'Balizador da Meta'!$D$2:$F$2,0)),"")</f>
        <v>0</v>
      </c>
      <c r="AM447" s="9"/>
    </row>
    <row r="448" spans="1:39" x14ac:dyDescent="0.3">
      <c r="A448" s="2" t="str">
        <f t="shared" si="463"/>
        <v>NÃO</v>
      </c>
      <c r="B448" s="2" t="str">
        <f>_xlfn.XLOOKUP($N448,'Base de Grupos'!$A:$A,'Base de Grupos'!$D:$D)</f>
        <v>1000065763</v>
      </c>
      <c r="C448" s="5" t="str">
        <f>_xlfn.XLOOKUP($N448,'Base de Grupos'!$A:$A,'Base de Grupos'!$E:$E)</f>
        <v>CANAL VENDA INTERNA</v>
      </c>
      <c r="D448" s="5" t="str">
        <f>_xlfn.XLOOKUP($N448,'Base de Grupos'!$A:$A,'Base de Grupos'!$F:$F)</f>
        <v>1000065763</v>
      </c>
      <c r="E448" s="2" t="str">
        <f>_xlfn.XLOOKUP($N448,'Base de Grupos'!$A:$A,'Base de Grupos'!$G:$G)</f>
        <v>CANAL VENDA INTERNA</v>
      </c>
      <c r="F448" s="2" t="str">
        <f>_xlfn.XLOOKUP($N448,'Base de Grupos'!$A:$A,'Base de Grupos'!$H:$H)</f>
        <v>1000105896</v>
      </c>
      <c r="G448" s="5" t="str">
        <f>_xlfn.XLOOKUP($N448,'Base de Grupos'!$A:$A,'Base de Grupos'!$I:$I)</f>
        <v>REGIONAL VENDA DIRETA SUL</v>
      </c>
      <c r="H448" s="5" t="str">
        <f>_xlfn.XLOOKUP($N448,'Base de Grupos'!$A:$A,'Base de Grupos'!$J:$J)</f>
        <v>1000105896</v>
      </c>
      <c r="I448" s="2" t="str">
        <f>_xlfn.XLOOKUP($N448,'Base de Grupos'!$A:$A,'Base de Grupos'!$K:$K)</f>
        <v>REGIONAL VENDA DIRETA SUL</v>
      </c>
      <c r="J448" s="2" t="str">
        <f>_xlfn.XLOOKUP($N448,'Base de Grupos'!$A:$A,'Base de Grupos'!$L:$L)</f>
        <v>1000176426</v>
      </c>
      <c r="K448" s="5" t="str">
        <f>_xlfn.XLOOKUP($N448,'Base de Grupos'!$A:$A,'Base de Grupos'!$M:$M)</f>
        <v>HEMANUELE ROSA DITZEL</v>
      </c>
      <c r="L448" s="5" t="str">
        <f t="shared" si="464"/>
        <v/>
      </c>
      <c r="M448" s="5" t="str">
        <f>_xlfn.XLOOKUP($N448,'Base de Grupos'!$A:$A,'Base de Grupos'!$C:$C)</f>
        <v>PR</v>
      </c>
      <c r="N448" s="3">
        <v>1363</v>
      </c>
      <c r="O448" s="4" t="s">
        <v>248</v>
      </c>
      <c r="P448" s="5" t="s">
        <v>91</v>
      </c>
      <c r="Q448" s="56">
        <v>0</v>
      </c>
      <c r="R448" s="56">
        <v>0</v>
      </c>
      <c r="S448" s="56">
        <v>0</v>
      </c>
      <c r="T448" s="56">
        <f>_xlfn.XLOOKUP($N448,'Calculo Leads'!$A$97:$A$134,'Calculo Leads'!G$97:G$134)*_xlfn.XLOOKUP($P448,'Base Grupo de Produtos'!$E$2:$E$18,'Base Grupo de Produtos'!$F$2:$F$18)</f>
        <v>0</v>
      </c>
      <c r="U448" s="56">
        <f>_xlfn.XLOOKUP($N448,'Calculo Leads'!$A$97:$A$134,'Calculo Leads'!H$97:H$134)*_xlfn.XLOOKUP($P448,'Base Grupo de Produtos'!$E$2:$E$18,'Base Grupo de Produtos'!$F$2:$F$18)</f>
        <v>0</v>
      </c>
      <c r="V448" s="56">
        <f>_xlfn.XLOOKUP($N448,'Calculo Leads'!$A$97:$A$134,'Calculo Leads'!I$97:I$134)*_xlfn.XLOOKUP($P448,'Base Grupo de Produtos'!$E$2:$E$18,'Base Grupo de Produtos'!$F$2:$F$18)</f>
        <v>0</v>
      </c>
      <c r="W448" s="56">
        <f>_xlfn.XLOOKUP($N448,'Calculo Leads'!$A$97:$A$134,'Calculo Leads'!J$97:J$134)*_xlfn.XLOOKUP($P448,'Base Grupo de Produtos'!$E$2:$E$18,'Base Grupo de Produtos'!$F$2:$F$18)</f>
        <v>0</v>
      </c>
      <c r="X448" s="56">
        <f>_xlfn.XLOOKUP($N448,'Calculo Leads'!$A$97:$A$134,'Calculo Leads'!K$97:K$134)*_xlfn.XLOOKUP($P448,'Base Grupo de Produtos'!$E$2:$E$18,'Base Grupo de Produtos'!$F$2:$F$18)</f>
        <v>0</v>
      </c>
      <c r="Y448" s="56">
        <f>_xlfn.XLOOKUP($N448,'Calculo Leads'!$A$97:$A$134,'Calculo Leads'!L$97:L$134)*_xlfn.XLOOKUP($P448,'Base Grupo de Produtos'!$E$2:$E$18,'Base Grupo de Produtos'!$F$2:$F$18)</f>
        <v>0</v>
      </c>
      <c r="Z448" s="56">
        <f>_xlfn.XLOOKUP($N448,'Calculo Leads'!$A$97:$A$134,'Calculo Leads'!M$97:M$134)*_xlfn.XLOOKUP($P448,'Base Grupo de Produtos'!$E$2:$E$18,'Base Grupo de Produtos'!$F$2:$F$18)</f>
        <v>0</v>
      </c>
      <c r="AA448" s="56">
        <f>_xlfn.XLOOKUP($N448,'Calculo Leads'!$A$97:$A$134,'Calculo Leads'!N$97:N$134)*_xlfn.XLOOKUP($P448,'Base Grupo de Produtos'!$E$2:$E$18,'Base Grupo de Produtos'!$F$2:$F$18)</f>
        <v>0</v>
      </c>
      <c r="AB448" s="56">
        <f>_xlfn.XLOOKUP($N448,'Calculo Leads'!$A$97:$A$134,'Calculo Leads'!O$97:O$134)*_xlfn.XLOOKUP($P448,'Base Grupo de Produtos'!$E$2:$E$18,'Base Grupo de Produtos'!$F$2:$F$18)</f>
        <v>0</v>
      </c>
      <c r="AC448" s="61">
        <f t="shared" si="425"/>
        <v>0</v>
      </c>
      <c r="AD448" s="27">
        <f t="shared" si="480"/>
        <v>0</v>
      </c>
      <c r="AE448" s="25">
        <f>IFERROR(_xlfn.XLOOKUP(N448&amp;P448,'Historico Vendas'!G:G,'Historico Vendas'!E:E),0)</f>
        <v>0</v>
      </c>
      <c r="AF448" s="29" t="str">
        <f t="shared" si="462"/>
        <v/>
      </c>
      <c r="AG448" s="24">
        <f>IFERROR(_xlfn.XLOOKUP(N448&amp;P448,'Historico Vendas'!G:G,'Historico Vendas'!F:F),0)</f>
        <v>0</v>
      </c>
      <c r="AH448" s="25">
        <f t="shared" si="481"/>
        <v>0</v>
      </c>
      <c r="AI448" s="24">
        <f t="shared" si="482"/>
        <v>0</v>
      </c>
      <c r="AJ448" s="11" t="str">
        <f t="shared" si="483"/>
        <v/>
      </c>
      <c r="AK448" s="9" t="s">
        <v>102</v>
      </c>
      <c r="AL448" s="13">
        <f>IFERROR(INDEX('Balizador da Meta'!$D$3:$F$23,MATCH(Faturamento!$P448,'Balizador da Meta'!$C$3:$C$23,0),MATCH(Faturamento!AK448,'Balizador da Meta'!$D$2:$F$2,0)),"")</f>
        <v>0</v>
      </c>
      <c r="AM448" s="9"/>
    </row>
    <row r="449" spans="1:39" x14ac:dyDescent="0.3">
      <c r="A449" s="2" t="str">
        <f t="shared" si="463"/>
        <v>NÃO</v>
      </c>
      <c r="B449" s="2" t="str">
        <f>_xlfn.XLOOKUP($N449,'Base de Grupos'!$A:$A,'Base de Grupos'!$D:$D)</f>
        <v>1000065763</v>
      </c>
      <c r="C449" s="5" t="str">
        <f>_xlfn.XLOOKUP($N449,'Base de Grupos'!$A:$A,'Base de Grupos'!$E:$E)</f>
        <v>CANAL VENDA INTERNA</v>
      </c>
      <c r="D449" s="5" t="str">
        <f>_xlfn.XLOOKUP($N449,'Base de Grupos'!$A:$A,'Base de Grupos'!$F:$F)</f>
        <v>1000065763</v>
      </c>
      <c r="E449" s="2" t="str">
        <f>_xlfn.XLOOKUP($N449,'Base de Grupos'!$A:$A,'Base de Grupos'!$G:$G)</f>
        <v>CANAL VENDA INTERNA</v>
      </c>
      <c r="F449" s="2" t="str">
        <f>_xlfn.XLOOKUP($N449,'Base de Grupos'!$A:$A,'Base de Grupos'!$H:$H)</f>
        <v>1000105896</v>
      </c>
      <c r="G449" s="5" t="str">
        <f>_xlfn.XLOOKUP($N449,'Base de Grupos'!$A:$A,'Base de Grupos'!$I:$I)</f>
        <v>REGIONAL VENDA DIRETA SUL</v>
      </c>
      <c r="H449" s="5" t="str">
        <f>_xlfn.XLOOKUP($N449,'Base de Grupos'!$A:$A,'Base de Grupos'!$J:$J)</f>
        <v>1000105896</v>
      </c>
      <c r="I449" s="2" t="str">
        <f>_xlfn.XLOOKUP($N449,'Base de Grupos'!$A:$A,'Base de Grupos'!$K:$K)</f>
        <v>REGIONAL VENDA DIRETA SUL</v>
      </c>
      <c r="J449" s="2" t="str">
        <f>_xlfn.XLOOKUP($N449,'Base de Grupos'!$A:$A,'Base de Grupos'!$L:$L)</f>
        <v>1000176426</v>
      </c>
      <c r="K449" s="5" t="str">
        <f>_xlfn.XLOOKUP($N449,'Base de Grupos'!$A:$A,'Base de Grupos'!$M:$M)</f>
        <v>HEMANUELE ROSA DITZEL</v>
      </c>
      <c r="L449" s="5" t="str">
        <f t="shared" si="464"/>
        <v/>
      </c>
      <c r="M449" s="5" t="str">
        <f>_xlfn.XLOOKUP($N449,'Base de Grupos'!$A:$A,'Base de Grupos'!$C:$C)</f>
        <v>PR</v>
      </c>
      <c r="N449" s="3">
        <v>1363</v>
      </c>
      <c r="O449" s="4" t="s">
        <v>248</v>
      </c>
      <c r="P449" s="5" t="s">
        <v>96</v>
      </c>
      <c r="Q449" s="56">
        <v>0</v>
      </c>
      <c r="R449" s="56">
        <v>0</v>
      </c>
      <c r="S449" s="56">
        <v>0</v>
      </c>
      <c r="T449" s="56">
        <f>_xlfn.XLOOKUP($N449,'Calculo Leads'!$A$97:$A$134,'Calculo Leads'!G$97:G$134)*_xlfn.XLOOKUP($P449,'Base Grupo de Produtos'!$E$2:$E$18,'Base Grupo de Produtos'!$F$2:$F$18)</f>
        <v>1120</v>
      </c>
      <c r="U449" s="56">
        <f>_xlfn.XLOOKUP($N449,'Calculo Leads'!$A$97:$A$134,'Calculo Leads'!H$97:H$134)*_xlfn.XLOOKUP($P449,'Base Grupo de Produtos'!$E$2:$E$18,'Base Grupo de Produtos'!$F$2:$F$18)</f>
        <v>1400.0000000000002</v>
      </c>
      <c r="V449" s="56">
        <f>_xlfn.XLOOKUP($N449,'Calculo Leads'!$A$97:$A$134,'Calculo Leads'!I$97:I$134)*_xlfn.XLOOKUP($P449,'Base Grupo de Produtos'!$E$2:$E$18,'Base Grupo de Produtos'!$F$2:$F$18)</f>
        <v>1750.0000000000002</v>
      </c>
      <c r="W449" s="56">
        <f>_xlfn.XLOOKUP($N449,'Calculo Leads'!$A$97:$A$134,'Calculo Leads'!J$97:J$134)*_xlfn.XLOOKUP($P449,'Base Grupo de Produtos'!$E$2:$E$18,'Base Grupo de Produtos'!$F$2:$F$18)</f>
        <v>2100</v>
      </c>
      <c r="X449" s="56">
        <f>_xlfn.XLOOKUP($N449,'Calculo Leads'!$A$97:$A$134,'Calculo Leads'!K$97:K$134)*_xlfn.XLOOKUP($P449,'Base Grupo de Produtos'!$E$2:$E$18,'Base Grupo de Produtos'!$F$2:$F$18)</f>
        <v>2618.0000000000005</v>
      </c>
      <c r="Y449" s="56">
        <f>_xlfn.XLOOKUP($N449,'Calculo Leads'!$A$97:$A$134,'Calculo Leads'!L$97:L$134)*_xlfn.XLOOKUP($P449,'Base Grupo de Produtos'!$E$2:$E$18,'Base Grupo de Produtos'!$F$2:$F$18)</f>
        <v>3311.0000000000005</v>
      </c>
      <c r="Z449" s="56">
        <f>_xlfn.XLOOKUP($N449,'Calculo Leads'!$A$97:$A$134,'Calculo Leads'!M$97:M$134)*_xlfn.XLOOKUP($P449,'Base Grupo de Produtos'!$E$2:$E$18,'Base Grupo de Produtos'!$F$2:$F$18)</f>
        <v>3619.0000000000005</v>
      </c>
      <c r="AA449" s="56">
        <f>_xlfn.XLOOKUP($N449,'Calculo Leads'!$A$97:$A$134,'Calculo Leads'!N$97:N$134)*_xlfn.XLOOKUP($P449,'Base Grupo de Produtos'!$E$2:$E$18,'Base Grupo de Produtos'!$F$2:$F$18)</f>
        <v>4081.0000000000005</v>
      </c>
      <c r="AB449" s="56">
        <f>_xlfn.XLOOKUP($N449,'Calculo Leads'!$A$97:$A$134,'Calculo Leads'!O$97:O$134)*_xlfn.XLOOKUP($P449,'Base Grupo de Produtos'!$E$2:$E$18,'Base Grupo de Produtos'!$F$2:$F$18)</f>
        <v>2772.0000000000005</v>
      </c>
      <c r="AC449" s="61">
        <f t="shared" si="425"/>
        <v>22771</v>
      </c>
      <c r="AD449" s="27">
        <f t="shared" si="480"/>
        <v>22771</v>
      </c>
      <c r="AE449" s="25">
        <f>IFERROR(_xlfn.XLOOKUP(N449&amp;P449,'Historico Vendas'!G:G,'Historico Vendas'!E:E),0)</f>
        <v>0</v>
      </c>
      <c r="AF449" s="29" t="str">
        <f t="shared" si="462"/>
        <v/>
      </c>
      <c r="AG449" s="24">
        <f>IFERROR(_xlfn.XLOOKUP(N449&amp;P449,'Historico Vendas'!G:G,'Historico Vendas'!F:F),0)</f>
        <v>0</v>
      </c>
      <c r="AH449" s="25">
        <f t="shared" si="481"/>
        <v>0</v>
      </c>
      <c r="AI449" s="24">
        <f t="shared" si="482"/>
        <v>0</v>
      </c>
      <c r="AJ449" s="11" t="str">
        <f t="shared" si="483"/>
        <v/>
      </c>
      <c r="AK449" s="9" t="s">
        <v>102</v>
      </c>
      <c r="AL449" s="13">
        <f>IFERROR(INDEX('Balizador da Meta'!$D$3:$F$23,MATCH(Faturamento!$P449,'Balizador da Meta'!$C$3:$C$23,0),MATCH(Faturamento!AK449,'Balizador da Meta'!$D$2:$F$2,0)),"")</f>
        <v>0</v>
      </c>
      <c r="AM449" s="9"/>
    </row>
    <row r="450" spans="1:39" x14ac:dyDescent="0.3">
      <c r="A450" s="2" t="str">
        <f t="shared" si="463"/>
        <v>NÃO</v>
      </c>
      <c r="B450" s="2" t="str">
        <f>_xlfn.XLOOKUP($N450,'Base de Grupos'!$A:$A,'Base de Grupos'!$D:$D)</f>
        <v>1000065763</v>
      </c>
      <c r="C450" s="5" t="str">
        <f>_xlfn.XLOOKUP($N450,'Base de Grupos'!$A:$A,'Base de Grupos'!$E:$E)</f>
        <v>CANAL VENDA INTERNA</v>
      </c>
      <c r="D450" s="5" t="str">
        <f>_xlfn.XLOOKUP($N450,'Base de Grupos'!$A:$A,'Base de Grupos'!$F:$F)</f>
        <v>1000065763</v>
      </c>
      <c r="E450" s="2" t="str">
        <f>_xlfn.XLOOKUP($N450,'Base de Grupos'!$A:$A,'Base de Grupos'!$G:$G)</f>
        <v>CANAL VENDA INTERNA</v>
      </c>
      <c r="F450" s="2" t="str">
        <f>_xlfn.XLOOKUP($N450,'Base de Grupos'!$A:$A,'Base de Grupos'!$H:$H)</f>
        <v>1000105896</v>
      </c>
      <c r="G450" s="5" t="str">
        <f>_xlfn.XLOOKUP($N450,'Base de Grupos'!$A:$A,'Base de Grupos'!$I:$I)</f>
        <v>REGIONAL VENDA DIRETA SUL</v>
      </c>
      <c r="H450" s="5" t="str">
        <f>_xlfn.XLOOKUP($N450,'Base de Grupos'!$A:$A,'Base de Grupos'!$J:$J)</f>
        <v>1000105896</v>
      </c>
      <c r="I450" s="2" t="str">
        <f>_xlfn.XLOOKUP($N450,'Base de Grupos'!$A:$A,'Base de Grupos'!$K:$K)</f>
        <v>REGIONAL VENDA DIRETA SUL</v>
      </c>
      <c r="J450" s="2" t="str">
        <f>_xlfn.XLOOKUP($N450,'Base de Grupos'!$A:$A,'Base de Grupos'!$L:$L)</f>
        <v>1000176426</v>
      </c>
      <c r="K450" s="5" t="str">
        <f>_xlfn.XLOOKUP($N450,'Base de Grupos'!$A:$A,'Base de Grupos'!$M:$M)</f>
        <v>HEMANUELE ROSA DITZEL</v>
      </c>
      <c r="L450" s="5" t="str">
        <f t="shared" si="464"/>
        <v/>
      </c>
      <c r="M450" s="5" t="str">
        <f>_xlfn.XLOOKUP($N450,'Base de Grupos'!$A:$A,'Base de Grupos'!$C:$C)</f>
        <v>PR</v>
      </c>
      <c r="N450" s="3">
        <v>1363</v>
      </c>
      <c r="O450" s="4" t="s">
        <v>248</v>
      </c>
      <c r="P450" s="5" t="s">
        <v>94</v>
      </c>
      <c r="Q450" s="56">
        <v>0</v>
      </c>
      <c r="R450" s="56">
        <v>0</v>
      </c>
      <c r="S450" s="56">
        <v>0</v>
      </c>
      <c r="T450" s="56">
        <f>_xlfn.XLOOKUP($N450,'Calculo Leads'!$A$97:$A$134,'Calculo Leads'!G$97:G$134)*_xlfn.XLOOKUP($P450,'Base Grupo de Produtos'!$E$2:$E$18,'Base Grupo de Produtos'!$F$2:$F$18)</f>
        <v>799.99999999999989</v>
      </c>
      <c r="U450" s="56">
        <f>_xlfn.XLOOKUP($N450,'Calculo Leads'!$A$97:$A$134,'Calculo Leads'!H$97:H$134)*_xlfn.XLOOKUP($P450,'Base Grupo de Produtos'!$E$2:$E$18,'Base Grupo de Produtos'!$F$2:$F$18)</f>
        <v>999.99999999999989</v>
      </c>
      <c r="V450" s="56">
        <f>_xlfn.XLOOKUP($N450,'Calculo Leads'!$A$97:$A$134,'Calculo Leads'!I$97:I$134)*_xlfn.XLOOKUP($P450,'Base Grupo de Produtos'!$E$2:$E$18,'Base Grupo de Produtos'!$F$2:$F$18)</f>
        <v>1250</v>
      </c>
      <c r="W450" s="56">
        <f>_xlfn.XLOOKUP($N450,'Calculo Leads'!$A$97:$A$134,'Calculo Leads'!J$97:J$134)*_xlfn.XLOOKUP($P450,'Base Grupo de Produtos'!$E$2:$E$18,'Base Grupo de Produtos'!$F$2:$F$18)</f>
        <v>1499.9999999999998</v>
      </c>
      <c r="X450" s="56">
        <f>_xlfn.XLOOKUP($N450,'Calculo Leads'!$A$97:$A$134,'Calculo Leads'!K$97:K$134)*_xlfn.XLOOKUP($P450,'Base Grupo de Produtos'!$E$2:$E$18,'Base Grupo de Produtos'!$F$2:$F$18)</f>
        <v>1869.9999999999998</v>
      </c>
      <c r="Y450" s="56">
        <f>_xlfn.XLOOKUP($N450,'Calculo Leads'!$A$97:$A$134,'Calculo Leads'!L$97:L$134)*_xlfn.XLOOKUP($P450,'Base Grupo de Produtos'!$E$2:$E$18,'Base Grupo de Produtos'!$F$2:$F$18)</f>
        <v>2365</v>
      </c>
      <c r="Z450" s="56">
        <f>_xlfn.XLOOKUP($N450,'Calculo Leads'!$A$97:$A$134,'Calculo Leads'!M$97:M$134)*_xlfn.XLOOKUP($P450,'Base Grupo de Produtos'!$E$2:$E$18,'Base Grupo de Produtos'!$F$2:$F$18)</f>
        <v>2585</v>
      </c>
      <c r="AA450" s="56">
        <f>_xlfn.XLOOKUP($N450,'Calculo Leads'!$A$97:$A$134,'Calculo Leads'!N$97:N$134)*_xlfn.XLOOKUP($P450,'Base Grupo de Produtos'!$E$2:$E$18,'Base Grupo de Produtos'!$F$2:$F$18)</f>
        <v>2914.9999999999995</v>
      </c>
      <c r="AB450" s="56">
        <f>_xlfn.XLOOKUP($N450,'Calculo Leads'!$A$97:$A$134,'Calculo Leads'!O$97:O$134)*_xlfn.XLOOKUP($P450,'Base Grupo de Produtos'!$E$2:$E$18,'Base Grupo de Produtos'!$F$2:$F$18)</f>
        <v>1979.9999999999998</v>
      </c>
      <c r="AC450" s="61">
        <f t="shared" si="425"/>
        <v>16265</v>
      </c>
      <c r="AD450" s="27">
        <f t="shared" si="480"/>
        <v>16265</v>
      </c>
      <c r="AE450" s="25">
        <f>IFERROR(_xlfn.XLOOKUP(N450&amp;P450,'Historico Vendas'!G:G,'Historico Vendas'!E:E),0)</f>
        <v>0</v>
      </c>
      <c r="AF450" s="29" t="str">
        <f t="shared" si="462"/>
        <v/>
      </c>
      <c r="AG450" s="24">
        <f>IFERROR(_xlfn.XLOOKUP(N450&amp;P450,'Historico Vendas'!G:G,'Historico Vendas'!F:F),0)</f>
        <v>0</v>
      </c>
      <c r="AH450" s="25">
        <f t="shared" si="481"/>
        <v>0</v>
      </c>
      <c r="AI450" s="24">
        <f t="shared" si="482"/>
        <v>0</v>
      </c>
      <c r="AJ450" s="11" t="str">
        <f t="shared" si="483"/>
        <v/>
      </c>
      <c r="AK450" s="9" t="s">
        <v>102</v>
      </c>
      <c r="AL450" s="13">
        <f>IFERROR(INDEX('Balizador da Meta'!$D$3:$F$23,MATCH(Faturamento!$P450,'Balizador da Meta'!$C$3:$C$23,0),MATCH(Faturamento!AK450,'Balizador da Meta'!$D$2:$F$2,0)),"")</f>
        <v>0.25</v>
      </c>
      <c r="AM450" s="9"/>
    </row>
    <row r="451" spans="1:39" x14ac:dyDescent="0.3">
      <c r="A451" s="2" t="str">
        <f t="shared" si="463"/>
        <v>NÃO</v>
      </c>
      <c r="B451" s="2" t="str">
        <f>_xlfn.XLOOKUP($N451,'Base de Grupos'!$A:$A,'Base de Grupos'!$D:$D)</f>
        <v>1000065763</v>
      </c>
      <c r="C451" s="5" t="str">
        <f>_xlfn.XLOOKUP($N451,'Base de Grupos'!$A:$A,'Base de Grupos'!$E:$E)</f>
        <v>CANAL VENDA INTERNA</v>
      </c>
      <c r="D451" s="5" t="str">
        <f>_xlfn.XLOOKUP($N451,'Base de Grupos'!$A:$A,'Base de Grupos'!$F:$F)</f>
        <v>1000065763</v>
      </c>
      <c r="E451" s="2" t="str">
        <f>_xlfn.XLOOKUP($N451,'Base de Grupos'!$A:$A,'Base de Grupos'!$G:$G)</f>
        <v>CANAL VENDA INTERNA</v>
      </c>
      <c r="F451" s="2" t="str">
        <f>_xlfn.XLOOKUP($N451,'Base de Grupos'!$A:$A,'Base de Grupos'!$H:$H)</f>
        <v>1000105896</v>
      </c>
      <c r="G451" s="5" t="str">
        <f>_xlfn.XLOOKUP($N451,'Base de Grupos'!$A:$A,'Base de Grupos'!$I:$I)</f>
        <v>REGIONAL VENDA DIRETA SUL</v>
      </c>
      <c r="H451" s="5" t="str">
        <f>_xlfn.XLOOKUP($N451,'Base de Grupos'!$A:$A,'Base de Grupos'!$J:$J)</f>
        <v>1000105896</v>
      </c>
      <c r="I451" s="2" t="str">
        <f>_xlfn.XLOOKUP($N451,'Base de Grupos'!$A:$A,'Base de Grupos'!$K:$K)</f>
        <v>REGIONAL VENDA DIRETA SUL</v>
      </c>
      <c r="J451" s="2" t="str">
        <f>_xlfn.XLOOKUP($N451,'Base de Grupos'!$A:$A,'Base de Grupos'!$L:$L)</f>
        <v>1000176426</v>
      </c>
      <c r="K451" s="5" t="str">
        <f>_xlfn.XLOOKUP($N451,'Base de Grupos'!$A:$A,'Base de Grupos'!$M:$M)</f>
        <v>HEMANUELE ROSA DITZEL</v>
      </c>
      <c r="L451" s="5" t="str">
        <f t="shared" si="464"/>
        <v/>
      </c>
      <c r="M451" s="5" t="str">
        <f>_xlfn.XLOOKUP($N451,'Base de Grupos'!$A:$A,'Base de Grupos'!$C:$C)</f>
        <v>PR</v>
      </c>
      <c r="N451" s="3">
        <v>1363</v>
      </c>
      <c r="O451" s="4" t="s">
        <v>248</v>
      </c>
      <c r="P451" s="5" t="s">
        <v>95</v>
      </c>
      <c r="Q451" s="56">
        <v>0</v>
      </c>
      <c r="R451" s="56">
        <v>0</v>
      </c>
      <c r="S451" s="56">
        <v>0</v>
      </c>
      <c r="T451" s="56">
        <f>_xlfn.XLOOKUP($N451,'Calculo Leads'!$A$97:$A$134,'Calculo Leads'!G$97:G$134)*_xlfn.XLOOKUP($P451,'Base Grupo de Produtos'!$E$2:$E$18,'Base Grupo de Produtos'!$F$2:$F$18)</f>
        <v>1280</v>
      </c>
      <c r="U451" s="56">
        <f>_xlfn.XLOOKUP($N451,'Calculo Leads'!$A$97:$A$134,'Calculo Leads'!H$97:H$134)*_xlfn.XLOOKUP($P451,'Base Grupo de Produtos'!$E$2:$E$18,'Base Grupo de Produtos'!$F$2:$F$18)</f>
        <v>1600</v>
      </c>
      <c r="V451" s="56">
        <f>_xlfn.XLOOKUP($N451,'Calculo Leads'!$A$97:$A$134,'Calculo Leads'!I$97:I$134)*_xlfn.XLOOKUP($P451,'Base Grupo de Produtos'!$E$2:$E$18,'Base Grupo de Produtos'!$F$2:$F$18)</f>
        <v>2000</v>
      </c>
      <c r="W451" s="56">
        <f>_xlfn.XLOOKUP($N451,'Calculo Leads'!$A$97:$A$134,'Calculo Leads'!J$97:J$134)*_xlfn.XLOOKUP($P451,'Base Grupo de Produtos'!$E$2:$E$18,'Base Grupo de Produtos'!$F$2:$F$18)</f>
        <v>2400</v>
      </c>
      <c r="X451" s="56">
        <f>_xlfn.XLOOKUP($N451,'Calculo Leads'!$A$97:$A$134,'Calculo Leads'!K$97:K$134)*_xlfn.XLOOKUP($P451,'Base Grupo de Produtos'!$E$2:$E$18,'Base Grupo de Produtos'!$F$2:$F$18)</f>
        <v>2992</v>
      </c>
      <c r="Y451" s="56">
        <f>_xlfn.XLOOKUP($N451,'Calculo Leads'!$A$97:$A$134,'Calculo Leads'!L$97:L$134)*_xlfn.XLOOKUP($P451,'Base Grupo de Produtos'!$E$2:$E$18,'Base Grupo de Produtos'!$F$2:$F$18)</f>
        <v>3784</v>
      </c>
      <c r="Z451" s="56">
        <f>_xlfn.XLOOKUP($N451,'Calculo Leads'!$A$97:$A$134,'Calculo Leads'!M$97:M$134)*_xlfn.XLOOKUP($P451,'Base Grupo de Produtos'!$E$2:$E$18,'Base Grupo de Produtos'!$F$2:$F$18)</f>
        <v>4136</v>
      </c>
      <c r="AA451" s="56">
        <f>_xlfn.XLOOKUP($N451,'Calculo Leads'!$A$97:$A$134,'Calculo Leads'!N$97:N$134)*_xlfn.XLOOKUP($P451,'Base Grupo de Produtos'!$E$2:$E$18,'Base Grupo de Produtos'!$F$2:$F$18)</f>
        <v>4664</v>
      </c>
      <c r="AB451" s="56">
        <f>_xlfn.XLOOKUP($N451,'Calculo Leads'!$A$97:$A$134,'Calculo Leads'!O$97:O$134)*_xlfn.XLOOKUP($P451,'Base Grupo de Produtos'!$E$2:$E$18,'Base Grupo de Produtos'!$F$2:$F$18)</f>
        <v>3168</v>
      </c>
      <c r="AC451" s="61">
        <f t="shared" si="425"/>
        <v>26024</v>
      </c>
      <c r="AD451" s="27">
        <f t="shared" si="480"/>
        <v>26024</v>
      </c>
      <c r="AE451" s="25">
        <f>IFERROR(_xlfn.XLOOKUP(N451&amp;P451,'Historico Vendas'!G:G,'Historico Vendas'!E:E),0)</f>
        <v>0</v>
      </c>
      <c r="AF451" s="29" t="str">
        <f t="shared" si="462"/>
        <v/>
      </c>
      <c r="AG451" s="24">
        <f>IFERROR(_xlfn.XLOOKUP(N451&amp;P451,'Historico Vendas'!G:G,'Historico Vendas'!F:F),0)</f>
        <v>0</v>
      </c>
      <c r="AH451" s="25">
        <f t="shared" si="481"/>
        <v>0</v>
      </c>
      <c r="AI451" s="24">
        <f t="shared" si="482"/>
        <v>0</v>
      </c>
      <c r="AJ451" s="11" t="str">
        <f t="shared" si="483"/>
        <v/>
      </c>
      <c r="AK451" s="9" t="s">
        <v>102</v>
      </c>
      <c r="AL451" s="13">
        <f>IFERROR(INDEX('Balizador da Meta'!$D$3:$F$23,MATCH(Faturamento!$P451,'Balizador da Meta'!$C$3:$C$23,0),MATCH(Faturamento!AK451,'Balizador da Meta'!$D$2:$F$2,0)),"")</f>
        <v>0.25</v>
      </c>
      <c r="AM451" s="9"/>
    </row>
    <row r="452" spans="1:39" x14ac:dyDescent="0.3">
      <c r="A452" s="2" t="str">
        <f t="shared" si="463"/>
        <v>NÃO</v>
      </c>
      <c r="B452" s="2" t="str">
        <f>_xlfn.XLOOKUP($N452,'Base de Grupos'!$A:$A,'Base de Grupos'!$D:$D)</f>
        <v>1000065763</v>
      </c>
      <c r="C452" s="5" t="str">
        <f>_xlfn.XLOOKUP($N452,'Base de Grupos'!$A:$A,'Base de Grupos'!$E:$E)</f>
        <v>CANAL VENDA INTERNA</v>
      </c>
      <c r="D452" s="5" t="str">
        <f>_xlfn.XLOOKUP($N452,'Base de Grupos'!$A:$A,'Base de Grupos'!$F:$F)</f>
        <v>1000065763</v>
      </c>
      <c r="E452" s="2" t="str">
        <f>_xlfn.XLOOKUP($N452,'Base de Grupos'!$A:$A,'Base de Grupos'!$G:$G)</f>
        <v>CANAL VENDA INTERNA</v>
      </c>
      <c r="F452" s="2" t="str">
        <f>_xlfn.XLOOKUP($N452,'Base de Grupos'!$A:$A,'Base de Grupos'!$H:$H)</f>
        <v>1000105896</v>
      </c>
      <c r="G452" s="5" t="str">
        <f>_xlfn.XLOOKUP($N452,'Base de Grupos'!$A:$A,'Base de Grupos'!$I:$I)</f>
        <v>REGIONAL VENDA DIRETA SUL</v>
      </c>
      <c r="H452" s="5" t="str">
        <f>_xlfn.XLOOKUP($N452,'Base de Grupos'!$A:$A,'Base de Grupos'!$J:$J)</f>
        <v>1000105896</v>
      </c>
      <c r="I452" s="2" t="str">
        <f>_xlfn.XLOOKUP($N452,'Base de Grupos'!$A:$A,'Base de Grupos'!$K:$K)</f>
        <v>REGIONAL VENDA DIRETA SUL</v>
      </c>
      <c r="J452" s="2" t="str">
        <f>_xlfn.XLOOKUP($N452,'Base de Grupos'!$A:$A,'Base de Grupos'!$L:$L)</f>
        <v>1000176426</v>
      </c>
      <c r="K452" s="5" t="str">
        <f>_xlfn.XLOOKUP($N452,'Base de Grupos'!$A:$A,'Base de Grupos'!$M:$M)</f>
        <v>HEMANUELE ROSA DITZEL</v>
      </c>
      <c r="L452" s="5" t="str">
        <f t="shared" si="464"/>
        <v/>
      </c>
      <c r="M452" s="5" t="str">
        <f>_xlfn.XLOOKUP($N452,'Base de Grupos'!$A:$A,'Base de Grupos'!$C:$C)</f>
        <v>PR</v>
      </c>
      <c r="N452" s="3">
        <v>1363</v>
      </c>
      <c r="O452" s="4" t="s">
        <v>248</v>
      </c>
      <c r="P452" s="5" t="s">
        <v>93</v>
      </c>
      <c r="Q452" s="56">
        <v>0</v>
      </c>
      <c r="R452" s="56">
        <v>0</v>
      </c>
      <c r="S452" s="56">
        <v>0</v>
      </c>
      <c r="T452" s="56">
        <f>_xlfn.XLOOKUP($N452,'Calculo Leads'!$A$97:$A$134,'Calculo Leads'!G$97:G$134)*_xlfn.XLOOKUP($P452,'Base Grupo de Produtos'!$E$2:$E$18,'Base Grupo de Produtos'!$F$2:$F$18)</f>
        <v>480</v>
      </c>
      <c r="U452" s="56">
        <f>_xlfn.XLOOKUP($N452,'Calculo Leads'!$A$97:$A$134,'Calculo Leads'!H$97:H$134)*_xlfn.XLOOKUP($P452,'Base Grupo de Produtos'!$E$2:$E$18,'Base Grupo de Produtos'!$F$2:$F$18)</f>
        <v>600</v>
      </c>
      <c r="V452" s="56">
        <f>_xlfn.XLOOKUP($N452,'Calculo Leads'!$A$97:$A$134,'Calculo Leads'!I$97:I$134)*_xlfn.XLOOKUP($P452,'Base Grupo de Produtos'!$E$2:$E$18,'Base Grupo de Produtos'!$F$2:$F$18)</f>
        <v>750</v>
      </c>
      <c r="W452" s="56">
        <f>_xlfn.XLOOKUP($N452,'Calculo Leads'!$A$97:$A$134,'Calculo Leads'!J$97:J$134)*_xlfn.XLOOKUP($P452,'Base Grupo de Produtos'!$E$2:$E$18,'Base Grupo de Produtos'!$F$2:$F$18)</f>
        <v>900</v>
      </c>
      <c r="X452" s="56">
        <f>_xlfn.XLOOKUP($N452,'Calculo Leads'!$A$97:$A$134,'Calculo Leads'!K$97:K$134)*_xlfn.XLOOKUP($P452,'Base Grupo de Produtos'!$E$2:$E$18,'Base Grupo de Produtos'!$F$2:$F$18)</f>
        <v>1122</v>
      </c>
      <c r="Y452" s="56">
        <f>_xlfn.XLOOKUP($N452,'Calculo Leads'!$A$97:$A$134,'Calculo Leads'!L$97:L$134)*_xlfn.XLOOKUP($P452,'Base Grupo de Produtos'!$E$2:$E$18,'Base Grupo de Produtos'!$F$2:$F$18)</f>
        <v>1419</v>
      </c>
      <c r="Z452" s="56">
        <f>_xlfn.XLOOKUP($N452,'Calculo Leads'!$A$97:$A$134,'Calculo Leads'!M$97:M$134)*_xlfn.XLOOKUP($P452,'Base Grupo de Produtos'!$E$2:$E$18,'Base Grupo de Produtos'!$F$2:$F$18)</f>
        <v>1551</v>
      </c>
      <c r="AA452" s="56">
        <f>_xlfn.XLOOKUP($N452,'Calculo Leads'!$A$97:$A$134,'Calculo Leads'!N$97:N$134)*_xlfn.XLOOKUP($P452,'Base Grupo de Produtos'!$E$2:$E$18,'Base Grupo de Produtos'!$F$2:$F$18)</f>
        <v>1749</v>
      </c>
      <c r="AB452" s="56">
        <f>_xlfn.XLOOKUP($N452,'Calculo Leads'!$A$97:$A$134,'Calculo Leads'!O$97:O$134)*_xlfn.XLOOKUP($P452,'Base Grupo de Produtos'!$E$2:$E$18,'Base Grupo de Produtos'!$F$2:$F$18)</f>
        <v>1188</v>
      </c>
      <c r="AC452" s="61">
        <f t="shared" si="425"/>
        <v>9759</v>
      </c>
      <c r="AD452" s="27">
        <f t="shared" si="480"/>
        <v>9759</v>
      </c>
      <c r="AE452" s="25">
        <f>IFERROR(_xlfn.XLOOKUP(N452&amp;P452,'Historico Vendas'!G:G,'Historico Vendas'!E:E),0)</f>
        <v>0</v>
      </c>
      <c r="AF452" s="29" t="str">
        <f t="shared" si="462"/>
        <v/>
      </c>
      <c r="AG452" s="24">
        <f>IFERROR(_xlfn.XLOOKUP(N452&amp;P452,'Historico Vendas'!G:G,'Historico Vendas'!F:F),0)</f>
        <v>0</v>
      </c>
      <c r="AH452" s="25">
        <f t="shared" si="481"/>
        <v>0</v>
      </c>
      <c r="AI452" s="24">
        <f t="shared" si="482"/>
        <v>0</v>
      </c>
      <c r="AJ452" s="11" t="str">
        <f t="shared" si="483"/>
        <v/>
      </c>
      <c r="AK452" s="9" t="s">
        <v>102</v>
      </c>
      <c r="AL452" s="13">
        <f>IFERROR(INDEX('Balizador da Meta'!$D$3:$F$23,MATCH(Faturamento!$P452,'Balizador da Meta'!$C$3:$C$23,0),MATCH(Faturamento!AK452,'Balizador da Meta'!$D$2:$F$2,0)),"")</f>
        <v>0.2</v>
      </c>
      <c r="AM452" s="9"/>
    </row>
    <row r="453" spans="1:39" x14ac:dyDescent="0.3">
      <c r="A453" s="2" t="str">
        <f t="shared" si="463"/>
        <v>SIM</v>
      </c>
      <c r="B453" s="2" t="str">
        <f>_xlfn.XLOOKUP($N453,'Base de Grupos'!$A:$A,'Base de Grupos'!$D:$D)</f>
        <v>1000065763</v>
      </c>
      <c r="C453" s="5" t="str">
        <f>_xlfn.XLOOKUP($N453,'Base de Grupos'!$A:$A,'Base de Grupos'!$E:$E)</f>
        <v>CANAL VENDA INTERNA</v>
      </c>
      <c r="D453" s="5" t="str">
        <f>_xlfn.XLOOKUP($N453,'Base de Grupos'!$A:$A,'Base de Grupos'!$F:$F)</f>
        <v>1000065763</v>
      </c>
      <c r="E453" s="2" t="str">
        <f>_xlfn.XLOOKUP($N453,'Base de Grupos'!$A:$A,'Base de Grupos'!$G:$G)</f>
        <v>CANAL VENDA INTERNA</v>
      </c>
      <c r="F453" s="2" t="str">
        <f>_xlfn.XLOOKUP($N453,'Base de Grupos'!$A:$A,'Base de Grupos'!$H:$H)</f>
        <v>1000105896</v>
      </c>
      <c r="G453" s="5" t="str">
        <f>_xlfn.XLOOKUP($N453,'Base de Grupos'!$A:$A,'Base de Grupos'!$I:$I)</f>
        <v>REGIONAL VENDA DIRETA SUL</v>
      </c>
      <c r="H453" s="5" t="str">
        <f>_xlfn.XLOOKUP($N453,'Base de Grupos'!$A:$A,'Base de Grupos'!$J:$J)</f>
        <v>1000105896</v>
      </c>
      <c r="I453" s="2" t="str">
        <f>_xlfn.XLOOKUP($N453,'Base de Grupos'!$A:$A,'Base de Grupos'!$K:$K)</f>
        <v>REGIONAL VENDA DIRETA SUL</v>
      </c>
      <c r="J453" s="2" t="str">
        <f>_xlfn.XLOOKUP($N453,'Base de Grupos'!$A:$A,'Base de Grupos'!$L:$L)</f>
        <v>1000176426</v>
      </c>
      <c r="K453" s="5" t="str">
        <f>_xlfn.XLOOKUP($N453,'Base de Grupos'!$A:$A,'Base de Grupos'!$M:$M)</f>
        <v>HEMANUELE ROSA DITZEL</v>
      </c>
      <c r="L453" s="5">
        <f t="shared" si="464"/>
        <v>1</v>
      </c>
      <c r="M453" s="5" t="str">
        <f>_xlfn.XLOOKUP($N453,'Base de Grupos'!$A:$A,'Base de Grupos'!$C:$C)</f>
        <v>SC</v>
      </c>
      <c r="N453" s="3">
        <v>1364</v>
      </c>
      <c r="O453" s="4" t="s">
        <v>249</v>
      </c>
      <c r="P453" s="5" t="s">
        <v>319</v>
      </c>
      <c r="Q453" s="56">
        <f t="shared" ref="Q453" si="484">SUM(Q454:Q470)</f>
        <v>0</v>
      </c>
      <c r="R453" s="56">
        <f t="shared" ref="R453" si="485">SUM(R454:R470)</f>
        <v>33782.999152242439</v>
      </c>
      <c r="S453" s="56">
        <f t="shared" ref="S453" si="486">SUM(S454:S470)</f>
        <v>37715.827769586213</v>
      </c>
      <c r="T453" s="56">
        <f t="shared" ref="T453" si="487">SUM(T454:T470)</f>
        <v>29000</v>
      </c>
      <c r="U453" s="56">
        <f t="shared" ref="U453" si="488">SUM(U454:U470)</f>
        <v>35000</v>
      </c>
      <c r="V453" s="56">
        <f t="shared" ref="V453" si="489">SUM(V454:V470)</f>
        <v>44000</v>
      </c>
      <c r="W453" s="56">
        <f t="shared" ref="W453" si="490">SUM(W454:W470)</f>
        <v>53000</v>
      </c>
      <c r="X453" s="56">
        <f t="shared" ref="X453" si="491">SUM(X454:X470)</f>
        <v>66000</v>
      </c>
      <c r="Y453" s="56">
        <f t="shared" ref="Y453" si="492">SUM(Y454:Y470)</f>
        <v>83600</v>
      </c>
      <c r="Z453" s="56">
        <f t="shared" ref="Z453" si="493">SUM(Z454:Z470)</f>
        <v>91300</v>
      </c>
      <c r="AA453" s="56">
        <f t="shared" ref="AA453" si="494">SUM(AA454:AA470)</f>
        <v>102300</v>
      </c>
      <c r="AB453" s="56">
        <f t="shared" ref="AB453" si="495">SUM(AB454:AB470)</f>
        <v>69300</v>
      </c>
      <c r="AC453" s="56">
        <f t="shared" ref="AC453" si="496">SUM(AC454:AC470)</f>
        <v>573500</v>
      </c>
      <c r="AD453" s="25">
        <f t="shared" ref="AD453" si="497">SUM(AD454:AD470)</f>
        <v>573500</v>
      </c>
      <c r="AE453" s="25">
        <f t="shared" ref="AE453:AI453" si="498">SUM(AE454:AE470)</f>
        <v>0</v>
      </c>
      <c r="AF453" s="11" t="str">
        <f t="shared" si="462"/>
        <v/>
      </c>
      <c r="AG453" s="24">
        <f t="shared" si="498"/>
        <v>0</v>
      </c>
      <c r="AH453" s="25">
        <f t="shared" si="498"/>
        <v>71498.826921828644</v>
      </c>
      <c r="AI453" s="24">
        <f t="shared" si="498"/>
        <v>71498.826921828644</v>
      </c>
      <c r="AJ453" s="11">
        <f t="shared" si="483"/>
        <v>0</v>
      </c>
      <c r="AK453" s="9"/>
      <c r="AL453" s="13"/>
      <c r="AM453" s="9"/>
    </row>
    <row r="454" spans="1:39" x14ac:dyDescent="0.3">
      <c r="A454" s="2" t="str">
        <f t="shared" si="463"/>
        <v>NÃO</v>
      </c>
      <c r="B454" s="2" t="str">
        <f>_xlfn.XLOOKUP($N454,'Base de Grupos'!$A:$A,'Base de Grupos'!$D:$D)</f>
        <v>1000065763</v>
      </c>
      <c r="C454" s="5" t="str">
        <f>_xlfn.XLOOKUP($N454,'Base de Grupos'!$A:$A,'Base de Grupos'!$E:$E)</f>
        <v>CANAL VENDA INTERNA</v>
      </c>
      <c r="D454" s="5" t="str">
        <f>_xlfn.XLOOKUP($N454,'Base de Grupos'!$A:$A,'Base de Grupos'!$F:$F)</f>
        <v>1000065763</v>
      </c>
      <c r="E454" s="2" t="str">
        <f>_xlfn.XLOOKUP($N454,'Base de Grupos'!$A:$A,'Base de Grupos'!$G:$G)</f>
        <v>CANAL VENDA INTERNA</v>
      </c>
      <c r="F454" s="2" t="str">
        <f>_xlfn.XLOOKUP($N454,'Base de Grupos'!$A:$A,'Base de Grupos'!$H:$H)</f>
        <v>1000105896</v>
      </c>
      <c r="G454" s="5" t="str">
        <f>_xlfn.XLOOKUP($N454,'Base de Grupos'!$A:$A,'Base de Grupos'!$I:$I)</f>
        <v>REGIONAL VENDA DIRETA SUL</v>
      </c>
      <c r="H454" s="5" t="str">
        <f>_xlfn.XLOOKUP($N454,'Base de Grupos'!$A:$A,'Base de Grupos'!$J:$J)</f>
        <v>1000105896</v>
      </c>
      <c r="I454" s="2" t="str">
        <f>_xlfn.XLOOKUP($N454,'Base de Grupos'!$A:$A,'Base de Grupos'!$K:$K)</f>
        <v>REGIONAL VENDA DIRETA SUL</v>
      </c>
      <c r="J454" s="2" t="str">
        <f>_xlfn.XLOOKUP($N454,'Base de Grupos'!$A:$A,'Base de Grupos'!$L:$L)</f>
        <v>1000176426</v>
      </c>
      <c r="K454" s="5" t="str">
        <f>_xlfn.XLOOKUP($N454,'Base de Grupos'!$A:$A,'Base de Grupos'!$M:$M)</f>
        <v>HEMANUELE ROSA DITZEL</v>
      </c>
      <c r="L454" s="5" t="str">
        <f t="shared" si="464"/>
        <v/>
      </c>
      <c r="M454" s="5" t="str">
        <f>_xlfn.XLOOKUP($N454,'Base de Grupos'!$A:$A,'Base de Grupos'!$C:$C)</f>
        <v>SC</v>
      </c>
      <c r="N454" s="3">
        <v>1364</v>
      </c>
      <c r="O454" s="4" t="s">
        <v>249</v>
      </c>
      <c r="P454" s="5" t="s">
        <v>81</v>
      </c>
      <c r="Q454" s="56">
        <v>0</v>
      </c>
      <c r="R454" s="56">
        <v>1213.1658168873143</v>
      </c>
      <c r="S454" s="56">
        <v>1415.3601197018668</v>
      </c>
      <c r="T454" s="56">
        <f>_xlfn.XLOOKUP($N454,'Calculo Leads'!$A$97:$A$134,'Calculo Leads'!G$97:G$134)*_xlfn.XLOOKUP($P454,'Base Grupo de Produtos'!$E$2:$E$18,'Base Grupo de Produtos'!$F$2:$F$18)</f>
        <v>1450</v>
      </c>
      <c r="U454" s="56">
        <f>_xlfn.XLOOKUP($N454,'Calculo Leads'!$A$97:$A$134,'Calculo Leads'!H$97:H$134)*_xlfn.XLOOKUP($P454,'Base Grupo de Produtos'!$E$2:$E$18,'Base Grupo de Produtos'!$F$2:$F$18)</f>
        <v>1750</v>
      </c>
      <c r="V454" s="56">
        <f>_xlfn.XLOOKUP($N454,'Calculo Leads'!$A$97:$A$134,'Calculo Leads'!I$97:I$134)*_xlfn.XLOOKUP($P454,'Base Grupo de Produtos'!$E$2:$E$18,'Base Grupo de Produtos'!$F$2:$F$18)</f>
        <v>2200</v>
      </c>
      <c r="W454" s="56">
        <f>_xlfn.XLOOKUP($N454,'Calculo Leads'!$A$97:$A$134,'Calculo Leads'!J$97:J$134)*_xlfn.XLOOKUP($P454,'Base Grupo de Produtos'!$E$2:$E$18,'Base Grupo de Produtos'!$F$2:$F$18)</f>
        <v>2650</v>
      </c>
      <c r="X454" s="56">
        <f>_xlfn.XLOOKUP($N454,'Calculo Leads'!$A$97:$A$134,'Calculo Leads'!K$97:K$134)*_xlfn.XLOOKUP($P454,'Base Grupo de Produtos'!$E$2:$E$18,'Base Grupo de Produtos'!$F$2:$F$18)</f>
        <v>3300</v>
      </c>
      <c r="Y454" s="56">
        <f>_xlfn.XLOOKUP($N454,'Calculo Leads'!$A$97:$A$134,'Calculo Leads'!L$97:L$134)*_xlfn.XLOOKUP($P454,'Base Grupo de Produtos'!$E$2:$E$18,'Base Grupo de Produtos'!$F$2:$F$18)</f>
        <v>4180</v>
      </c>
      <c r="Z454" s="56">
        <f>_xlfn.XLOOKUP($N454,'Calculo Leads'!$A$97:$A$134,'Calculo Leads'!M$97:M$134)*_xlfn.XLOOKUP($P454,'Base Grupo de Produtos'!$E$2:$E$18,'Base Grupo de Produtos'!$F$2:$F$18)</f>
        <v>4565</v>
      </c>
      <c r="AA454" s="56">
        <f>_xlfn.XLOOKUP($N454,'Calculo Leads'!$A$97:$A$134,'Calculo Leads'!N$97:N$134)*_xlfn.XLOOKUP($P454,'Base Grupo de Produtos'!$E$2:$E$18,'Base Grupo de Produtos'!$F$2:$F$18)</f>
        <v>5115</v>
      </c>
      <c r="AB454" s="56">
        <f>_xlfn.XLOOKUP($N454,'Calculo Leads'!$A$97:$A$134,'Calculo Leads'!O$97:O$134)*_xlfn.XLOOKUP($P454,'Base Grupo de Produtos'!$E$2:$E$18,'Base Grupo de Produtos'!$F$2:$F$18)</f>
        <v>3465</v>
      </c>
      <c r="AC454" s="61">
        <f t="shared" ref="AC454:AC516" si="499">SUM(T454:AB454)</f>
        <v>28675</v>
      </c>
      <c r="AD454" s="27">
        <f t="shared" ref="AD454:AD470" si="500">IF(AC454=0,0,AC454-AG454)</f>
        <v>28675</v>
      </c>
      <c r="AE454" s="25">
        <f>IFERROR(_xlfn.XLOOKUP(N454&amp;P454,'Historico Vendas'!G:G,'Historico Vendas'!E:E),0)</f>
        <v>0</v>
      </c>
      <c r="AF454" s="29" t="str">
        <f t="shared" si="462"/>
        <v/>
      </c>
      <c r="AG454" s="24">
        <f>IFERROR(_xlfn.XLOOKUP(N454&amp;P454,'Historico Vendas'!G:G,'Historico Vendas'!F:F),0)</f>
        <v>0</v>
      </c>
      <c r="AH454" s="25">
        <f t="shared" ref="AH454:AH470" si="501">SUM(Q454:S454)</f>
        <v>2628.5259365891811</v>
      </c>
      <c r="AI454" s="24">
        <f t="shared" ref="AI454:AI470" si="502">AH454-AG454</f>
        <v>2628.5259365891811</v>
      </c>
      <c r="AJ454" s="11">
        <f t="shared" si="483"/>
        <v>0</v>
      </c>
      <c r="AK454" s="9" t="s">
        <v>102</v>
      </c>
      <c r="AL454" s="13">
        <f>IFERROR(INDEX('Balizador da Meta'!$D$3:$F$23,MATCH(Faturamento!$P454,'Balizador da Meta'!$C$3:$C$23,0),MATCH(Faturamento!AK454,'Balizador da Meta'!$D$2:$F$2,0)),"")</f>
        <v>0.2</v>
      </c>
      <c r="AM454" s="9"/>
    </row>
    <row r="455" spans="1:39" x14ac:dyDescent="0.3">
      <c r="A455" s="2" t="str">
        <f t="shared" si="463"/>
        <v>NÃO</v>
      </c>
      <c r="B455" s="2" t="str">
        <f>_xlfn.XLOOKUP($N455,'Base de Grupos'!$A:$A,'Base de Grupos'!$D:$D)</f>
        <v>1000065763</v>
      </c>
      <c r="C455" s="5" t="str">
        <f>_xlfn.XLOOKUP($N455,'Base de Grupos'!$A:$A,'Base de Grupos'!$E:$E)</f>
        <v>CANAL VENDA INTERNA</v>
      </c>
      <c r="D455" s="5" t="str">
        <f>_xlfn.XLOOKUP($N455,'Base de Grupos'!$A:$A,'Base de Grupos'!$F:$F)</f>
        <v>1000065763</v>
      </c>
      <c r="E455" s="2" t="str">
        <f>_xlfn.XLOOKUP($N455,'Base de Grupos'!$A:$A,'Base de Grupos'!$G:$G)</f>
        <v>CANAL VENDA INTERNA</v>
      </c>
      <c r="F455" s="2" t="str">
        <f>_xlfn.XLOOKUP($N455,'Base de Grupos'!$A:$A,'Base de Grupos'!$H:$H)</f>
        <v>1000105896</v>
      </c>
      <c r="G455" s="5" t="str">
        <f>_xlfn.XLOOKUP($N455,'Base de Grupos'!$A:$A,'Base de Grupos'!$I:$I)</f>
        <v>REGIONAL VENDA DIRETA SUL</v>
      </c>
      <c r="H455" s="5" t="str">
        <f>_xlfn.XLOOKUP($N455,'Base de Grupos'!$A:$A,'Base de Grupos'!$J:$J)</f>
        <v>1000105896</v>
      </c>
      <c r="I455" s="2" t="str">
        <f>_xlfn.XLOOKUP($N455,'Base de Grupos'!$A:$A,'Base de Grupos'!$K:$K)</f>
        <v>REGIONAL VENDA DIRETA SUL</v>
      </c>
      <c r="J455" s="2" t="str">
        <f>_xlfn.XLOOKUP($N455,'Base de Grupos'!$A:$A,'Base de Grupos'!$L:$L)</f>
        <v>1000176426</v>
      </c>
      <c r="K455" s="5" t="str">
        <f>_xlfn.XLOOKUP($N455,'Base de Grupos'!$A:$A,'Base de Grupos'!$M:$M)</f>
        <v>HEMANUELE ROSA DITZEL</v>
      </c>
      <c r="L455" s="5" t="str">
        <f t="shared" si="464"/>
        <v/>
      </c>
      <c r="M455" s="5" t="str">
        <f>_xlfn.XLOOKUP($N455,'Base de Grupos'!$A:$A,'Base de Grupos'!$C:$C)</f>
        <v>SC</v>
      </c>
      <c r="N455" s="3">
        <v>1364</v>
      </c>
      <c r="O455" s="4" t="s">
        <v>249</v>
      </c>
      <c r="P455" s="5" t="s">
        <v>82</v>
      </c>
      <c r="Q455" s="56">
        <v>0</v>
      </c>
      <c r="R455" s="56">
        <v>6770.655355450237</v>
      </c>
      <c r="S455" s="56">
        <v>7796.5122274881523</v>
      </c>
      <c r="T455" s="56">
        <f>_xlfn.XLOOKUP($N455,'Calculo Leads'!$A$97:$A$134,'Calculo Leads'!G$97:G$134)*_xlfn.XLOOKUP($P455,'Base Grupo de Produtos'!$E$2:$E$18,'Base Grupo de Produtos'!$F$2:$F$18)</f>
        <v>1450</v>
      </c>
      <c r="U455" s="56">
        <f>_xlfn.XLOOKUP($N455,'Calculo Leads'!$A$97:$A$134,'Calculo Leads'!H$97:H$134)*_xlfn.XLOOKUP($P455,'Base Grupo de Produtos'!$E$2:$E$18,'Base Grupo de Produtos'!$F$2:$F$18)</f>
        <v>1750</v>
      </c>
      <c r="V455" s="56">
        <f>_xlfn.XLOOKUP($N455,'Calculo Leads'!$A$97:$A$134,'Calculo Leads'!I$97:I$134)*_xlfn.XLOOKUP($P455,'Base Grupo de Produtos'!$E$2:$E$18,'Base Grupo de Produtos'!$F$2:$F$18)</f>
        <v>2200</v>
      </c>
      <c r="W455" s="56">
        <f>_xlfn.XLOOKUP($N455,'Calculo Leads'!$A$97:$A$134,'Calculo Leads'!J$97:J$134)*_xlfn.XLOOKUP($P455,'Base Grupo de Produtos'!$E$2:$E$18,'Base Grupo de Produtos'!$F$2:$F$18)</f>
        <v>2650</v>
      </c>
      <c r="X455" s="56">
        <f>_xlfn.XLOOKUP($N455,'Calculo Leads'!$A$97:$A$134,'Calculo Leads'!K$97:K$134)*_xlfn.XLOOKUP($P455,'Base Grupo de Produtos'!$E$2:$E$18,'Base Grupo de Produtos'!$F$2:$F$18)</f>
        <v>3300</v>
      </c>
      <c r="Y455" s="56">
        <f>_xlfn.XLOOKUP($N455,'Calculo Leads'!$A$97:$A$134,'Calculo Leads'!L$97:L$134)*_xlfn.XLOOKUP($P455,'Base Grupo de Produtos'!$E$2:$E$18,'Base Grupo de Produtos'!$F$2:$F$18)</f>
        <v>4180</v>
      </c>
      <c r="Z455" s="56">
        <f>_xlfn.XLOOKUP($N455,'Calculo Leads'!$A$97:$A$134,'Calculo Leads'!M$97:M$134)*_xlfn.XLOOKUP($P455,'Base Grupo de Produtos'!$E$2:$E$18,'Base Grupo de Produtos'!$F$2:$F$18)</f>
        <v>4565</v>
      </c>
      <c r="AA455" s="56">
        <f>_xlfn.XLOOKUP($N455,'Calculo Leads'!$A$97:$A$134,'Calculo Leads'!N$97:N$134)*_xlfn.XLOOKUP($P455,'Base Grupo de Produtos'!$E$2:$E$18,'Base Grupo de Produtos'!$F$2:$F$18)</f>
        <v>5115</v>
      </c>
      <c r="AB455" s="56">
        <f>_xlfn.XLOOKUP($N455,'Calculo Leads'!$A$97:$A$134,'Calculo Leads'!O$97:O$134)*_xlfn.XLOOKUP($P455,'Base Grupo de Produtos'!$E$2:$E$18,'Base Grupo de Produtos'!$F$2:$F$18)</f>
        <v>3465</v>
      </c>
      <c r="AC455" s="61">
        <f t="shared" si="499"/>
        <v>28675</v>
      </c>
      <c r="AD455" s="27">
        <f t="shared" si="500"/>
        <v>28675</v>
      </c>
      <c r="AE455" s="25">
        <f>IFERROR(_xlfn.XLOOKUP(N455&amp;P455,'Historico Vendas'!G:G,'Historico Vendas'!E:E),0)</f>
        <v>0</v>
      </c>
      <c r="AF455" s="29" t="str">
        <f t="shared" si="462"/>
        <v/>
      </c>
      <c r="AG455" s="24">
        <f>IFERROR(_xlfn.XLOOKUP(N455&amp;P455,'Historico Vendas'!G:G,'Historico Vendas'!F:F),0)</f>
        <v>0</v>
      </c>
      <c r="AH455" s="25">
        <f t="shared" si="501"/>
        <v>14567.167582938389</v>
      </c>
      <c r="AI455" s="24">
        <f t="shared" si="502"/>
        <v>14567.167582938389</v>
      </c>
      <c r="AJ455" s="11">
        <f t="shared" si="483"/>
        <v>0</v>
      </c>
      <c r="AK455" s="9" t="s">
        <v>102</v>
      </c>
      <c r="AL455" s="13">
        <f>IFERROR(INDEX('Balizador da Meta'!$D$3:$F$23,MATCH(Faturamento!$P455,'Balizador da Meta'!$C$3:$C$23,0),MATCH(Faturamento!AK455,'Balizador da Meta'!$D$2:$F$2,0)),"")</f>
        <v>0.2</v>
      </c>
      <c r="AM455" s="9"/>
    </row>
    <row r="456" spans="1:39" x14ac:dyDescent="0.3">
      <c r="A456" s="2" t="str">
        <f t="shared" si="463"/>
        <v>NÃO</v>
      </c>
      <c r="B456" s="2" t="str">
        <f>_xlfn.XLOOKUP($N456,'Base de Grupos'!$A:$A,'Base de Grupos'!$D:$D)</f>
        <v>1000065763</v>
      </c>
      <c r="C456" s="5" t="str">
        <f>_xlfn.XLOOKUP($N456,'Base de Grupos'!$A:$A,'Base de Grupos'!$E:$E)</f>
        <v>CANAL VENDA INTERNA</v>
      </c>
      <c r="D456" s="5" t="str">
        <f>_xlfn.XLOOKUP($N456,'Base de Grupos'!$A:$A,'Base de Grupos'!$F:$F)</f>
        <v>1000065763</v>
      </c>
      <c r="E456" s="2" t="str">
        <f>_xlfn.XLOOKUP($N456,'Base de Grupos'!$A:$A,'Base de Grupos'!$G:$G)</f>
        <v>CANAL VENDA INTERNA</v>
      </c>
      <c r="F456" s="2" t="str">
        <f>_xlfn.XLOOKUP($N456,'Base de Grupos'!$A:$A,'Base de Grupos'!$H:$H)</f>
        <v>1000105896</v>
      </c>
      <c r="G456" s="5" t="str">
        <f>_xlfn.XLOOKUP($N456,'Base de Grupos'!$A:$A,'Base de Grupos'!$I:$I)</f>
        <v>REGIONAL VENDA DIRETA SUL</v>
      </c>
      <c r="H456" s="5" t="str">
        <f>_xlfn.XLOOKUP($N456,'Base de Grupos'!$A:$A,'Base de Grupos'!$J:$J)</f>
        <v>1000105896</v>
      </c>
      <c r="I456" s="2" t="str">
        <f>_xlfn.XLOOKUP($N456,'Base de Grupos'!$A:$A,'Base de Grupos'!$K:$K)</f>
        <v>REGIONAL VENDA DIRETA SUL</v>
      </c>
      <c r="J456" s="2" t="str">
        <f>_xlfn.XLOOKUP($N456,'Base de Grupos'!$A:$A,'Base de Grupos'!$L:$L)</f>
        <v>1000176426</v>
      </c>
      <c r="K456" s="5" t="str">
        <f>_xlfn.XLOOKUP($N456,'Base de Grupos'!$A:$A,'Base de Grupos'!$M:$M)</f>
        <v>HEMANUELE ROSA DITZEL</v>
      </c>
      <c r="L456" s="5" t="str">
        <f t="shared" si="464"/>
        <v/>
      </c>
      <c r="M456" s="5" t="str">
        <f>_xlfn.XLOOKUP($N456,'Base de Grupos'!$A:$A,'Base de Grupos'!$C:$C)</f>
        <v>SC</v>
      </c>
      <c r="N456" s="3">
        <v>1364</v>
      </c>
      <c r="O456" s="4" t="s">
        <v>249</v>
      </c>
      <c r="P456" s="5" t="s">
        <v>84</v>
      </c>
      <c r="Q456" s="56">
        <v>0</v>
      </c>
      <c r="R456" s="56">
        <v>1766.0604444444448</v>
      </c>
      <c r="S456" s="56">
        <v>1986.8180000000002</v>
      </c>
      <c r="T456" s="56">
        <f>_xlfn.XLOOKUP($N456,'Calculo Leads'!$A$97:$A$134,'Calculo Leads'!G$97:G$134)*_xlfn.XLOOKUP($P456,'Base Grupo de Produtos'!$E$2:$E$18,'Base Grupo de Produtos'!$F$2:$F$18)</f>
        <v>2320</v>
      </c>
      <c r="U456" s="56">
        <f>_xlfn.XLOOKUP($N456,'Calculo Leads'!$A$97:$A$134,'Calculo Leads'!H$97:H$134)*_xlfn.XLOOKUP($P456,'Base Grupo de Produtos'!$E$2:$E$18,'Base Grupo de Produtos'!$F$2:$F$18)</f>
        <v>2800</v>
      </c>
      <c r="V456" s="56">
        <f>_xlfn.XLOOKUP($N456,'Calculo Leads'!$A$97:$A$134,'Calculo Leads'!I$97:I$134)*_xlfn.XLOOKUP($P456,'Base Grupo de Produtos'!$E$2:$E$18,'Base Grupo de Produtos'!$F$2:$F$18)</f>
        <v>3520</v>
      </c>
      <c r="W456" s="56">
        <f>_xlfn.XLOOKUP($N456,'Calculo Leads'!$A$97:$A$134,'Calculo Leads'!J$97:J$134)*_xlfn.XLOOKUP($P456,'Base Grupo de Produtos'!$E$2:$E$18,'Base Grupo de Produtos'!$F$2:$F$18)</f>
        <v>4240</v>
      </c>
      <c r="X456" s="56">
        <f>_xlfn.XLOOKUP($N456,'Calculo Leads'!$A$97:$A$134,'Calculo Leads'!K$97:K$134)*_xlfn.XLOOKUP($P456,'Base Grupo de Produtos'!$E$2:$E$18,'Base Grupo de Produtos'!$F$2:$F$18)</f>
        <v>5280</v>
      </c>
      <c r="Y456" s="56">
        <f>_xlfn.XLOOKUP($N456,'Calculo Leads'!$A$97:$A$134,'Calculo Leads'!L$97:L$134)*_xlfn.XLOOKUP($P456,'Base Grupo de Produtos'!$E$2:$E$18,'Base Grupo de Produtos'!$F$2:$F$18)</f>
        <v>6688</v>
      </c>
      <c r="Z456" s="56">
        <f>_xlfn.XLOOKUP($N456,'Calculo Leads'!$A$97:$A$134,'Calculo Leads'!M$97:M$134)*_xlfn.XLOOKUP($P456,'Base Grupo de Produtos'!$E$2:$E$18,'Base Grupo de Produtos'!$F$2:$F$18)</f>
        <v>7304</v>
      </c>
      <c r="AA456" s="56">
        <f>_xlfn.XLOOKUP($N456,'Calculo Leads'!$A$97:$A$134,'Calculo Leads'!N$97:N$134)*_xlfn.XLOOKUP($P456,'Base Grupo de Produtos'!$E$2:$E$18,'Base Grupo de Produtos'!$F$2:$F$18)</f>
        <v>8184</v>
      </c>
      <c r="AB456" s="56">
        <f>_xlfn.XLOOKUP($N456,'Calculo Leads'!$A$97:$A$134,'Calculo Leads'!O$97:O$134)*_xlfn.XLOOKUP($P456,'Base Grupo de Produtos'!$E$2:$E$18,'Base Grupo de Produtos'!$F$2:$F$18)</f>
        <v>5544</v>
      </c>
      <c r="AC456" s="61">
        <f t="shared" si="499"/>
        <v>45880</v>
      </c>
      <c r="AD456" s="27">
        <f t="shared" si="500"/>
        <v>45880</v>
      </c>
      <c r="AE456" s="25">
        <f>IFERROR(_xlfn.XLOOKUP(N456&amp;P456,'Historico Vendas'!G:G,'Historico Vendas'!E:E),0)</f>
        <v>0</v>
      </c>
      <c r="AF456" s="29" t="str">
        <f t="shared" si="462"/>
        <v/>
      </c>
      <c r="AG456" s="24">
        <f>IFERROR(_xlfn.XLOOKUP(N456&amp;P456,'Historico Vendas'!G:G,'Historico Vendas'!F:F),0)</f>
        <v>0</v>
      </c>
      <c r="AH456" s="25">
        <f t="shared" si="501"/>
        <v>3752.878444444445</v>
      </c>
      <c r="AI456" s="24">
        <f t="shared" si="502"/>
        <v>3752.878444444445</v>
      </c>
      <c r="AJ456" s="11">
        <f t="shared" si="483"/>
        <v>0</v>
      </c>
      <c r="AK456" s="9" t="s">
        <v>102</v>
      </c>
      <c r="AL456" s="13">
        <f>IFERROR(INDEX('Balizador da Meta'!$D$3:$F$23,MATCH(Faturamento!$P456,'Balizador da Meta'!$C$3:$C$23,0),MATCH(Faturamento!AK456,'Balizador da Meta'!$D$2:$F$2,0)),"")</f>
        <v>0.15</v>
      </c>
      <c r="AM456" s="9"/>
    </row>
    <row r="457" spans="1:39" x14ac:dyDescent="0.3">
      <c r="A457" s="2" t="str">
        <f t="shared" si="463"/>
        <v>NÃO</v>
      </c>
      <c r="B457" s="2" t="str">
        <f>_xlfn.XLOOKUP($N457,'Base de Grupos'!$A:$A,'Base de Grupos'!$D:$D)</f>
        <v>1000065763</v>
      </c>
      <c r="C457" s="5" t="str">
        <f>_xlfn.XLOOKUP($N457,'Base de Grupos'!$A:$A,'Base de Grupos'!$E:$E)</f>
        <v>CANAL VENDA INTERNA</v>
      </c>
      <c r="D457" s="5" t="str">
        <f>_xlfn.XLOOKUP($N457,'Base de Grupos'!$A:$A,'Base de Grupos'!$F:$F)</f>
        <v>1000065763</v>
      </c>
      <c r="E457" s="2" t="str">
        <f>_xlfn.XLOOKUP($N457,'Base de Grupos'!$A:$A,'Base de Grupos'!$G:$G)</f>
        <v>CANAL VENDA INTERNA</v>
      </c>
      <c r="F457" s="2" t="str">
        <f>_xlfn.XLOOKUP($N457,'Base de Grupos'!$A:$A,'Base de Grupos'!$H:$H)</f>
        <v>1000105896</v>
      </c>
      <c r="G457" s="5" t="str">
        <f>_xlfn.XLOOKUP($N457,'Base de Grupos'!$A:$A,'Base de Grupos'!$I:$I)</f>
        <v>REGIONAL VENDA DIRETA SUL</v>
      </c>
      <c r="H457" s="5" t="str">
        <f>_xlfn.XLOOKUP($N457,'Base de Grupos'!$A:$A,'Base de Grupos'!$J:$J)</f>
        <v>1000105896</v>
      </c>
      <c r="I457" s="2" t="str">
        <f>_xlfn.XLOOKUP($N457,'Base de Grupos'!$A:$A,'Base de Grupos'!$K:$K)</f>
        <v>REGIONAL VENDA DIRETA SUL</v>
      </c>
      <c r="J457" s="2" t="str">
        <f>_xlfn.XLOOKUP($N457,'Base de Grupos'!$A:$A,'Base de Grupos'!$L:$L)</f>
        <v>1000176426</v>
      </c>
      <c r="K457" s="5" t="str">
        <f>_xlfn.XLOOKUP($N457,'Base de Grupos'!$A:$A,'Base de Grupos'!$M:$M)</f>
        <v>HEMANUELE ROSA DITZEL</v>
      </c>
      <c r="L457" s="5" t="str">
        <f t="shared" si="464"/>
        <v/>
      </c>
      <c r="M457" s="5" t="str">
        <f>_xlfn.XLOOKUP($N457,'Base de Grupos'!$A:$A,'Base de Grupos'!$C:$C)</f>
        <v>SC</v>
      </c>
      <c r="N457" s="3">
        <v>1364</v>
      </c>
      <c r="O457" s="4" t="s">
        <v>249</v>
      </c>
      <c r="P457" s="5" t="s">
        <v>83</v>
      </c>
      <c r="Q457" s="56">
        <v>0</v>
      </c>
      <c r="R457" s="56">
        <v>2220.2247619047621</v>
      </c>
      <c r="S457" s="56">
        <v>2497.7528571428575</v>
      </c>
      <c r="T457" s="56">
        <f>_xlfn.XLOOKUP($N457,'Calculo Leads'!$A$97:$A$134,'Calculo Leads'!G$97:G$134)*_xlfn.XLOOKUP($P457,'Base Grupo de Produtos'!$E$2:$E$18,'Base Grupo de Produtos'!$F$2:$F$18)</f>
        <v>2900</v>
      </c>
      <c r="U457" s="56">
        <f>_xlfn.XLOOKUP($N457,'Calculo Leads'!$A$97:$A$134,'Calculo Leads'!H$97:H$134)*_xlfn.XLOOKUP($P457,'Base Grupo de Produtos'!$E$2:$E$18,'Base Grupo de Produtos'!$F$2:$F$18)</f>
        <v>3500</v>
      </c>
      <c r="V457" s="56">
        <f>_xlfn.XLOOKUP($N457,'Calculo Leads'!$A$97:$A$134,'Calculo Leads'!I$97:I$134)*_xlfn.XLOOKUP($P457,'Base Grupo de Produtos'!$E$2:$E$18,'Base Grupo de Produtos'!$F$2:$F$18)</f>
        <v>4400</v>
      </c>
      <c r="W457" s="56">
        <f>_xlfn.XLOOKUP($N457,'Calculo Leads'!$A$97:$A$134,'Calculo Leads'!J$97:J$134)*_xlfn.XLOOKUP($P457,'Base Grupo de Produtos'!$E$2:$E$18,'Base Grupo de Produtos'!$F$2:$F$18)</f>
        <v>5300</v>
      </c>
      <c r="X457" s="56">
        <f>_xlfn.XLOOKUP($N457,'Calculo Leads'!$A$97:$A$134,'Calculo Leads'!K$97:K$134)*_xlfn.XLOOKUP($P457,'Base Grupo de Produtos'!$E$2:$E$18,'Base Grupo de Produtos'!$F$2:$F$18)</f>
        <v>6600</v>
      </c>
      <c r="Y457" s="56">
        <f>_xlfn.XLOOKUP($N457,'Calculo Leads'!$A$97:$A$134,'Calculo Leads'!L$97:L$134)*_xlfn.XLOOKUP($P457,'Base Grupo de Produtos'!$E$2:$E$18,'Base Grupo de Produtos'!$F$2:$F$18)</f>
        <v>8360</v>
      </c>
      <c r="Z457" s="56">
        <f>_xlfn.XLOOKUP($N457,'Calculo Leads'!$A$97:$A$134,'Calculo Leads'!M$97:M$134)*_xlfn.XLOOKUP($P457,'Base Grupo de Produtos'!$E$2:$E$18,'Base Grupo de Produtos'!$F$2:$F$18)</f>
        <v>9130</v>
      </c>
      <c r="AA457" s="56">
        <f>_xlfn.XLOOKUP($N457,'Calculo Leads'!$A$97:$A$134,'Calculo Leads'!N$97:N$134)*_xlfn.XLOOKUP($P457,'Base Grupo de Produtos'!$E$2:$E$18,'Base Grupo de Produtos'!$F$2:$F$18)</f>
        <v>10230</v>
      </c>
      <c r="AB457" s="56">
        <f>_xlfn.XLOOKUP($N457,'Calculo Leads'!$A$97:$A$134,'Calculo Leads'!O$97:O$134)*_xlfn.XLOOKUP($P457,'Base Grupo de Produtos'!$E$2:$E$18,'Base Grupo de Produtos'!$F$2:$F$18)</f>
        <v>6930</v>
      </c>
      <c r="AC457" s="61">
        <f t="shared" si="499"/>
        <v>57350</v>
      </c>
      <c r="AD457" s="27">
        <f t="shared" si="500"/>
        <v>57350</v>
      </c>
      <c r="AE457" s="25">
        <f>IFERROR(_xlfn.XLOOKUP(N457&amp;P457,'Historico Vendas'!G:G,'Historico Vendas'!E:E),0)</f>
        <v>0</v>
      </c>
      <c r="AF457" s="29" t="str">
        <f t="shared" si="462"/>
        <v/>
      </c>
      <c r="AG457" s="24">
        <f>IFERROR(_xlfn.XLOOKUP(N457&amp;P457,'Historico Vendas'!G:G,'Historico Vendas'!F:F),0)</f>
        <v>0</v>
      </c>
      <c r="AH457" s="25">
        <f t="shared" si="501"/>
        <v>4717.9776190476196</v>
      </c>
      <c r="AI457" s="24">
        <f t="shared" si="502"/>
        <v>4717.9776190476196</v>
      </c>
      <c r="AJ457" s="11">
        <f t="shared" si="483"/>
        <v>0</v>
      </c>
      <c r="AK457" s="9" t="s">
        <v>102</v>
      </c>
      <c r="AL457" s="13">
        <f>IFERROR(INDEX('Balizador da Meta'!$D$3:$F$23,MATCH(Faturamento!$P457,'Balizador da Meta'!$C$3:$C$23,0),MATCH(Faturamento!AK457,'Balizador da Meta'!$D$2:$F$2,0)),"")</f>
        <v>0</v>
      </c>
      <c r="AM457" s="9"/>
    </row>
    <row r="458" spans="1:39" x14ac:dyDescent="0.3">
      <c r="A458" s="2" t="str">
        <f t="shared" si="463"/>
        <v>NÃO</v>
      </c>
      <c r="B458" s="2" t="str">
        <f>_xlfn.XLOOKUP($N458,'Base de Grupos'!$A:$A,'Base de Grupos'!$D:$D)</f>
        <v>1000065763</v>
      </c>
      <c r="C458" s="5" t="str">
        <f>_xlfn.XLOOKUP($N458,'Base de Grupos'!$A:$A,'Base de Grupos'!$E:$E)</f>
        <v>CANAL VENDA INTERNA</v>
      </c>
      <c r="D458" s="5" t="str">
        <f>_xlfn.XLOOKUP($N458,'Base de Grupos'!$A:$A,'Base de Grupos'!$F:$F)</f>
        <v>1000065763</v>
      </c>
      <c r="E458" s="2" t="str">
        <f>_xlfn.XLOOKUP($N458,'Base de Grupos'!$A:$A,'Base de Grupos'!$G:$G)</f>
        <v>CANAL VENDA INTERNA</v>
      </c>
      <c r="F458" s="2" t="str">
        <f>_xlfn.XLOOKUP($N458,'Base de Grupos'!$A:$A,'Base de Grupos'!$H:$H)</f>
        <v>1000105896</v>
      </c>
      <c r="G458" s="5" t="str">
        <f>_xlfn.XLOOKUP($N458,'Base de Grupos'!$A:$A,'Base de Grupos'!$I:$I)</f>
        <v>REGIONAL VENDA DIRETA SUL</v>
      </c>
      <c r="H458" s="5" t="str">
        <f>_xlfn.XLOOKUP($N458,'Base de Grupos'!$A:$A,'Base de Grupos'!$J:$J)</f>
        <v>1000105896</v>
      </c>
      <c r="I458" s="2" t="str">
        <f>_xlfn.XLOOKUP($N458,'Base de Grupos'!$A:$A,'Base de Grupos'!$K:$K)</f>
        <v>REGIONAL VENDA DIRETA SUL</v>
      </c>
      <c r="J458" s="2" t="str">
        <f>_xlfn.XLOOKUP($N458,'Base de Grupos'!$A:$A,'Base de Grupos'!$L:$L)</f>
        <v>1000176426</v>
      </c>
      <c r="K458" s="5" t="str">
        <f>_xlfn.XLOOKUP($N458,'Base de Grupos'!$A:$A,'Base de Grupos'!$M:$M)</f>
        <v>HEMANUELE ROSA DITZEL</v>
      </c>
      <c r="L458" s="5" t="str">
        <f t="shared" si="464"/>
        <v/>
      </c>
      <c r="M458" s="5" t="str">
        <f>_xlfn.XLOOKUP($N458,'Base de Grupos'!$A:$A,'Base de Grupos'!$C:$C)</f>
        <v>SC</v>
      </c>
      <c r="N458" s="3">
        <v>1364</v>
      </c>
      <c r="O458" s="4" t="s">
        <v>249</v>
      </c>
      <c r="P458" s="5" t="s">
        <v>87</v>
      </c>
      <c r="Q458" s="56">
        <v>0</v>
      </c>
      <c r="R458" s="56">
        <v>748.54</v>
      </c>
      <c r="S458" s="56">
        <v>748.54</v>
      </c>
      <c r="T458" s="56">
        <f>_xlfn.XLOOKUP($N458,'Calculo Leads'!$A$97:$A$134,'Calculo Leads'!G$97:G$134)*_xlfn.XLOOKUP($P458,'Base Grupo de Produtos'!$E$2:$E$18,'Base Grupo de Produtos'!$F$2:$F$18)</f>
        <v>579.99999999999989</v>
      </c>
      <c r="U458" s="56">
        <f>_xlfn.XLOOKUP($N458,'Calculo Leads'!$A$97:$A$134,'Calculo Leads'!H$97:H$134)*_xlfn.XLOOKUP($P458,'Base Grupo de Produtos'!$E$2:$E$18,'Base Grupo de Produtos'!$F$2:$F$18)</f>
        <v>699.99999999999989</v>
      </c>
      <c r="V458" s="56">
        <f>_xlfn.XLOOKUP($N458,'Calculo Leads'!$A$97:$A$134,'Calculo Leads'!I$97:I$134)*_xlfn.XLOOKUP($P458,'Base Grupo de Produtos'!$E$2:$E$18,'Base Grupo de Produtos'!$F$2:$F$18)</f>
        <v>879.99999999999989</v>
      </c>
      <c r="W458" s="56">
        <f>_xlfn.XLOOKUP($N458,'Calculo Leads'!$A$97:$A$134,'Calculo Leads'!J$97:J$134)*_xlfn.XLOOKUP($P458,'Base Grupo de Produtos'!$E$2:$E$18,'Base Grupo de Produtos'!$F$2:$F$18)</f>
        <v>1059.9999999999998</v>
      </c>
      <c r="X458" s="56">
        <f>_xlfn.XLOOKUP($N458,'Calculo Leads'!$A$97:$A$134,'Calculo Leads'!K$97:K$134)*_xlfn.XLOOKUP($P458,'Base Grupo de Produtos'!$E$2:$E$18,'Base Grupo de Produtos'!$F$2:$F$18)</f>
        <v>1319.9999999999998</v>
      </c>
      <c r="Y458" s="56">
        <f>_xlfn.XLOOKUP($N458,'Calculo Leads'!$A$97:$A$134,'Calculo Leads'!L$97:L$134)*_xlfn.XLOOKUP($P458,'Base Grupo de Produtos'!$E$2:$E$18,'Base Grupo de Produtos'!$F$2:$F$18)</f>
        <v>1671.9999999999998</v>
      </c>
      <c r="Z458" s="56">
        <f>_xlfn.XLOOKUP($N458,'Calculo Leads'!$A$97:$A$134,'Calculo Leads'!M$97:M$134)*_xlfn.XLOOKUP($P458,'Base Grupo de Produtos'!$E$2:$E$18,'Base Grupo de Produtos'!$F$2:$F$18)</f>
        <v>1825.9999999999998</v>
      </c>
      <c r="AA458" s="56">
        <f>_xlfn.XLOOKUP($N458,'Calculo Leads'!$A$97:$A$134,'Calculo Leads'!N$97:N$134)*_xlfn.XLOOKUP($P458,'Base Grupo de Produtos'!$E$2:$E$18,'Base Grupo de Produtos'!$F$2:$F$18)</f>
        <v>2045.9999999999998</v>
      </c>
      <c r="AB458" s="56">
        <f>_xlfn.XLOOKUP($N458,'Calculo Leads'!$A$97:$A$134,'Calculo Leads'!O$97:O$134)*_xlfn.XLOOKUP($P458,'Base Grupo de Produtos'!$E$2:$E$18,'Base Grupo de Produtos'!$F$2:$F$18)</f>
        <v>1385.9999999999998</v>
      </c>
      <c r="AC458" s="61">
        <f t="shared" si="499"/>
        <v>11469.999999999998</v>
      </c>
      <c r="AD458" s="27">
        <f t="shared" si="500"/>
        <v>11469.999999999998</v>
      </c>
      <c r="AE458" s="25">
        <f>IFERROR(_xlfn.XLOOKUP(N458&amp;P458,'Historico Vendas'!G:G,'Historico Vendas'!E:E),0)</f>
        <v>0</v>
      </c>
      <c r="AF458" s="29" t="str">
        <f t="shared" si="462"/>
        <v/>
      </c>
      <c r="AG458" s="24">
        <f>IFERROR(_xlfn.XLOOKUP(N458&amp;P458,'Historico Vendas'!G:G,'Historico Vendas'!F:F),0)</f>
        <v>0</v>
      </c>
      <c r="AH458" s="25">
        <f t="shared" si="501"/>
        <v>1497.08</v>
      </c>
      <c r="AI458" s="24">
        <f t="shared" si="502"/>
        <v>1497.08</v>
      </c>
      <c r="AJ458" s="11">
        <f t="shared" si="483"/>
        <v>0</v>
      </c>
      <c r="AK458" s="9" t="s">
        <v>102</v>
      </c>
      <c r="AL458" s="13">
        <f>IFERROR(INDEX('Balizador da Meta'!$D$3:$F$23,MATCH(Faturamento!$P458,'Balizador da Meta'!$C$3:$C$23,0),MATCH(Faturamento!AK458,'Balizador da Meta'!$D$2:$F$2,0)),"")</f>
        <v>0</v>
      </c>
      <c r="AM458" s="9"/>
    </row>
    <row r="459" spans="1:39" x14ac:dyDescent="0.3">
      <c r="A459" s="2" t="str">
        <f t="shared" si="463"/>
        <v>NÃO</v>
      </c>
      <c r="B459" s="2" t="str">
        <f>_xlfn.XLOOKUP($N459,'Base de Grupos'!$A:$A,'Base de Grupos'!$D:$D)</f>
        <v>1000065763</v>
      </c>
      <c r="C459" s="5" t="str">
        <f>_xlfn.XLOOKUP($N459,'Base de Grupos'!$A:$A,'Base de Grupos'!$E:$E)</f>
        <v>CANAL VENDA INTERNA</v>
      </c>
      <c r="D459" s="5" t="str">
        <f>_xlfn.XLOOKUP($N459,'Base de Grupos'!$A:$A,'Base de Grupos'!$F:$F)</f>
        <v>1000065763</v>
      </c>
      <c r="E459" s="2" t="str">
        <f>_xlfn.XLOOKUP($N459,'Base de Grupos'!$A:$A,'Base de Grupos'!$G:$G)</f>
        <v>CANAL VENDA INTERNA</v>
      </c>
      <c r="F459" s="2" t="str">
        <f>_xlfn.XLOOKUP($N459,'Base de Grupos'!$A:$A,'Base de Grupos'!$H:$H)</f>
        <v>1000105896</v>
      </c>
      <c r="G459" s="5" t="str">
        <f>_xlfn.XLOOKUP($N459,'Base de Grupos'!$A:$A,'Base de Grupos'!$I:$I)</f>
        <v>REGIONAL VENDA DIRETA SUL</v>
      </c>
      <c r="H459" s="5" t="str">
        <f>_xlfn.XLOOKUP($N459,'Base de Grupos'!$A:$A,'Base de Grupos'!$J:$J)</f>
        <v>1000105896</v>
      </c>
      <c r="I459" s="2" t="str">
        <f>_xlfn.XLOOKUP($N459,'Base de Grupos'!$A:$A,'Base de Grupos'!$K:$K)</f>
        <v>REGIONAL VENDA DIRETA SUL</v>
      </c>
      <c r="J459" s="2" t="str">
        <f>_xlfn.XLOOKUP($N459,'Base de Grupos'!$A:$A,'Base de Grupos'!$L:$L)</f>
        <v>1000176426</v>
      </c>
      <c r="K459" s="5" t="str">
        <f>_xlfn.XLOOKUP($N459,'Base de Grupos'!$A:$A,'Base de Grupos'!$M:$M)</f>
        <v>HEMANUELE ROSA DITZEL</v>
      </c>
      <c r="L459" s="5" t="str">
        <f t="shared" si="464"/>
        <v/>
      </c>
      <c r="M459" s="5" t="str">
        <f>_xlfn.XLOOKUP($N459,'Base de Grupos'!$A:$A,'Base de Grupos'!$C:$C)</f>
        <v>SC</v>
      </c>
      <c r="N459" s="3">
        <v>1364</v>
      </c>
      <c r="O459" s="4" t="s">
        <v>249</v>
      </c>
      <c r="P459" s="5" t="s">
        <v>85</v>
      </c>
      <c r="Q459" s="56">
        <v>0</v>
      </c>
      <c r="R459" s="56">
        <v>1155.55</v>
      </c>
      <c r="S459" s="56">
        <v>1365.6499999999999</v>
      </c>
      <c r="T459" s="56">
        <f>_xlfn.XLOOKUP($N459,'Calculo Leads'!$A$97:$A$134,'Calculo Leads'!G$97:G$134)*_xlfn.XLOOKUP($P459,'Base Grupo de Produtos'!$E$2:$E$18,'Base Grupo de Produtos'!$F$2:$F$18)</f>
        <v>580</v>
      </c>
      <c r="U459" s="56">
        <f>_xlfn.XLOOKUP($N459,'Calculo Leads'!$A$97:$A$134,'Calculo Leads'!H$97:H$134)*_xlfn.XLOOKUP($P459,'Base Grupo de Produtos'!$E$2:$E$18,'Base Grupo de Produtos'!$F$2:$F$18)</f>
        <v>700</v>
      </c>
      <c r="V459" s="56">
        <f>_xlfn.XLOOKUP($N459,'Calculo Leads'!$A$97:$A$134,'Calculo Leads'!I$97:I$134)*_xlfn.XLOOKUP($P459,'Base Grupo de Produtos'!$E$2:$E$18,'Base Grupo de Produtos'!$F$2:$F$18)</f>
        <v>880</v>
      </c>
      <c r="W459" s="56">
        <f>_xlfn.XLOOKUP($N459,'Calculo Leads'!$A$97:$A$134,'Calculo Leads'!J$97:J$134)*_xlfn.XLOOKUP($P459,'Base Grupo de Produtos'!$E$2:$E$18,'Base Grupo de Produtos'!$F$2:$F$18)</f>
        <v>1060</v>
      </c>
      <c r="X459" s="56">
        <f>_xlfn.XLOOKUP($N459,'Calculo Leads'!$A$97:$A$134,'Calculo Leads'!K$97:K$134)*_xlfn.XLOOKUP($P459,'Base Grupo de Produtos'!$E$2:$E$18,'Base Grupo de Produtos'!$F$2:$F$18)</f>
        <v>1320</v>
      </c>
      <c r="Y459" s="56">
        <f>_xlfn.XLOOKUP($N459,'Calculo Leads'!$A$97:$A$134,'Calculo Leads'!L$97:L$134)*_xlfn.XLOOKUP($P459,'Base Grupo de Produtos'!$E$2:$E$18,'Base Grupo de Produtos'!$F$2:$F$18)</f>
        <v>1672</v>
      </c>
      <c r="Z459" s="56">
        <f>_xlfn.XLOOKUP($N459,'Calculo Leads'!$A$97:$A$134,'Calculo Leads'!M$97:M$134)*_xlfn.XLOOKUP($P459,'Base Grupo de Produtos'!$E$2:$E$18,'Base Grupo de Produtos'!$F$2:$F$18)</f>
        <v>1826</v>
      </c>
      <c r="AA459" s="56">
        <f>_xlfn.XLOOKUP($N459,'Calculo Leads'!$A$97:$A$134,'Calculo Leads'!N$97:N$134)*_xlfn.XLOOKUP($P459,'Base Grupo de Produtos'!$E$2:$E$18,'Base Grupo de Produtos'!$F$2:$F$18)</f>
        <v>2046</v>
      </c>
      <c r="AB459" s="56">
        <f>_xlfn.XLOOKUP($N459,'Calculo Leads'!$A$97:$A$134,'Calculo Leads'!O$97:O$134)*_xlfn.XLOOKUP($P459,'Base Grupo de Produtos'!$E$2:$E$18,'Base Grupo de Produtos'!$F$2:$F$18)</f>
        <v>1386</v>
      </c>
      <c r="AC459" s="61">
        <f t="shared" si="499"/>
        <v>11470</v>
      </c>
      <c r="AD459" s="27">
        <f t="shared" si="500"/>
        <v>11470</v>
      </c>
      <c r="AE459" s="25">
        <f>IFERROR(_xlfn.XLOOKUP(N459&amp;P459,'Historico Vendas'!G:G,'Historico Vendas'!E:E),0)</f>
        <v>0</v>
      </c>
      <c r="AF459" s="29" t="str">
        <f t="shared" si="462"/>
        <v/>
      </c>
      <c r="AG459" s="24">
        <f>IFERROR(_xlfn.XLOOKUP(N459&amp;P459,'Historico Vendas'!G:G,'Historico Vendas'!F:F),0)</f>
        <v>0</v>
      </c>
      <c r="AH459" s="25">
        <f t="shared" si="501"/>
        <v>2521.1999999999998</v>
      </c>
      <c r="AI459" s="24">
        <f t="shared" si="502"/>
        <v>2521.1999999999998</v>
      </c>
      <c r="AJ459" s="11">
        <f t="shared" si="483"/>
        <v>0</v>
      </c>
      <c r="AK459" s="9" t="s">
        <v>102</v>
      </c>
      <c r="AL459" s="13">
        <f>IFERROR(INDEX('Balizador da Meta'!$D$3:$F$23,MATCH(Faturamento!$P459,'Balizador da Meta'!$C$3:$C$23,0),MATCH(Faturamento!AK459,'Balizador da Meta'!$D$2:$F$2,0)),"")</f>
        <v>0</v>
      </c>
      <c r="AM459" s="9"/>
    </row>
    <row r="460" spans="1:39" x14ac:dyDescent="0.3">
      <c r="A460" s="2" t="str">
        <f t="shared" si="463"/>
        <v>NÃO</v>
      </c>
      <c r="B460" s="2" t="str">
        <f>_xlfn.XLOOKUP($N460,'Base de Grupos'!$A:$A,'Base de Grupos'!$D:$D)</f>
        <v>1000065763</v>
      </c>
      <c r="C460" s="5" t="str">
        <f>_xlfn.XLOOKUP($N460,'Base de Grupos'!$A:$A,'Base de Grupos'!$E:$E)</f>
        <v>CANAL VENDA INTERNA</v>
      </c>
      <c r="D460" s="5" t="str">
        <f>_xlfn.XLOOKUP($N460,'Base de Grupos'!$A:$A,'Base de Grupos'!$F:$F)</f>
        <v>1000065763</v>
      </c>
      <c r="E460" s="2" t="str">
        <f>_xlfn.XLOOKUP($N460,'Base de Grupos'!$A:$A,'Base de Grupos'!$G:$G)</f>
        <v>CANAL VENDA INTERNA</v>
      </c>
      <c r="F460" s="2" t="str">
        <f>_xlfn.XLOOKUP($N460,'Base de Grupos'!$A:$A,'Base de Grupos'!$H:$H)</f>
        <v>1000105896</v>
      </c>
      <c r="G460" s="5" t="str">
        <f>_xlfn.XLOOKUP($N460,'Base de Grupos'!$A:$A,'Base de Grupos'!$I:$I)</f>
        <v>REGIONAL VENDA DIRETA SUL</v>
      </c>
      <c r="H460" s="5" t="str">
        <f>_xlfn.XLOOKUP($N460,'Base de Grupos'!$A:$A,'Base de Grupos'!$J:$J)</f>
        <v>1000105896</v>
      </c>
      <c r="I460" s="2" t="str">
        <f>_xlfn.XLOOKUP($N460,'Base de Grupos'!$A:$A,'Base de Grupos'!$K:$K)</f>
        <v>REGIONAL VENDA DIRETA SUL</v>
      </c>
      <c r="J460" s="2" t="str">
        <f>_xlfn.XLOOKUP($N460,'Base de Grupos'!$A:$A,'Base de Grupos'!$L:$L)</f>
        <v>1000176426</v>
      </c>
      <c r="K460" s="5" t="str">
        <f>_xlfn.XLOOKUP($N460,'Base de Grupos'!$A:$A,'Base de Grupos'!$M:$M)</f>
        <v>HEMANUELE ROSA DITZEL</v>
      </c>
      <c r="L460" s="5" t="str">
        <f t="shared" si="464"/>
        <v/>
      </c>
      <c r="M460" s="5" t="str">
        <f>_xlfn.XLOOKUP($N460,'Base de Grupos'!$A:$A,'Base de Grupos'!$C:$C)</f>
        <v>SC</v>
      </c>
      <c r="N460" s="3">
        <v>1364</v>
      </c>
      <c r="O460" s="4" t="s">
        <v>249</v>
      </c>
      <c r="P460" s="5" t="s">
        <v>92</v>
      </c>
      <c r="Q460" s="56">
        <v>0</v>
      </c>
      <c r="R460" s="56">
        <v>330.9942857142857</v>
      </c>
      <c r="S460" s="56">
        <v>413.74285714285713</v>
      </c>
      <c r="T460" s="56">
        <f>_xlfn.XLOOKUP($N460,'Calculo Leads'!$A$97:$A$134,'Calculo Leads'!G$97:G$134)*_xlfn.XLOOKUP($P460,'Base Grupo de Produtos'!$E$2:$E$18,'Base Grupo de Produtos'!$F$2:$F$18)</f>
        <v>580</v>
      </c>
      <c r="U460" s="56">
        <f>_xlfn.XLOOKUP($N460,'Calculo Leads'!$A$97:$A$134,'Calculo Leads'!H$97:H$134)*_xlfn.XLOOKUP($P460,'Base Grupo de Produtos'!$E$2:$E$18,'Base Grupo de Produtos'!$F$2:$F$18)</f>
        <v>700</v>
      </c>
      <c r="V460" s="56">
        <f>_xlfn.XLOOKUP($N460,'Calculo Leads'!$A$97:$A$134,'Calculo Leads'!I$97:I$134)*_xlfn.XLOOKUP($P460,'Base Grupo de Produtos'!$E$2:$E$18,'Base Grupo de Produtos'!$F$2:$F$18)</f>
        <v>880</v>
      </c>
      <c r="W460" s="56">
        <f>_xlfn.XLOOKUP($N460,'Calculo Leads'!$A$97:$A$134,'Calculo Leads'!J$97:J$134)*_xlfn.XLOOKUP($P460,'Base Grupo de Produtos'!$E$2:$E$18,'Base Grupo de Produtos'!$F$2:$F$18)</f>
        <v>1060</v>
      </c>
      <c r="X460" s="56">
        <f>_xlfn.XLOOKUP($N460,'Calculo Leads'!$A$97:$A$134,'Calculo Leads'!K$97:K$134)*_xlfn.XLOOKUP($P460,'Base Grupo de Produtos'!$E$2:$E$18,'Base Grupo de Produtos'!$F$2:$F$18)</f>
        <v>1320</v>
      </c>
      <c r="Y460" s="56">
        <f>_xlfn.XLOOKUP($N460,'Calculo Leads'!$A$97:$A$134,'Calculo Leads'!L$97:L$134)*_xlfn.XLOOKUP($P460,'Base Grupo de Produtos'!$E$2:$E$18,'Base Grupo de Produtos'!$F$2:$F$18)</f>
        <v>1672</v>
      </c>
      <c r="Z460" s="56">
        <f>_xlfn.XLOOKUP($N460,'Calculo Leads'!$A$97:$A$134,'Calculo Leads'!M$97:M$134)*_xlfn.XLOOKUP($P460,'Base Grupo de Produtos'!$E$2:$E$18,'Base Grupo de Produtos'!$F$2:$F$18)</f>
        <v>1826</v>
      </c>
      <c r="AA460" s="56">
        <f>_xlfn.XLOOKUP($N460,'Calculo Leads'!$A$97:$A$134,'Calculo Leads'!N$97:N$134)*_xlfn.XLOOKUP($P460,'Base Grupo de Produtos'!$E$2:$E$18,'Base Grupo de Produtos'!$F$2:$F$18)</f>
        <v>2046</v>
      </c>
      <c r="AB460" s="56">
        <f>_xlfn.XLOOKUP($N460,'Calculo Leads'!$A$97:$A$134,'Calculo Leads'!O$97:O$134)*_xlfn.XLOOKUP($P460,'Base Grupo de Produtos'!$E$2:$E$18,'Base Grupo de Produtos'!$F$2:$F$18)</f>
        <v>1386</v>
      </c>
      <c r="AC460" s="61">
        <f t="shared" si="499"/>
        <v>11470</v>
      </c>
      <c r="AD460" s="27">
        <f t="shared" si="500"/>
        <v>11470</v>
      </c>
      <c r="AE460" s="25">
        <f>IFERROR(_xlfn.XLOOKUP(N460&amp;P460,'Historico Vendas'!G:G,'Historico Vendas'!E:E),0)</f>
        <v>0</v>
      </c>
      <c r="AF460" s="29" t="str">
        <f t="shared" si="462"/>
        <v/>
      </c>
      <c r="AG460" s="24">
        <f>IFERROR(_xlfn.XLOOKUP(N460&amp;P460,'Historico Vendas'!G:G,'Historico Vendas'!F:F),0)</f>
        <v>0</v>
      </c>
      <c r="AH460" s="25">
        <f t="shared" si="501"/>
        <v>744.73714285714277</v>
      </c>
      <c r="AI460" s="24">
        <f t="shared" si="502"/>
        <v>744.73714285714277</v>
      </c>
      <c r="AJ460" s="11">
        <f t="shared" si="483"/>
        <v>0</v>
      </c>
      <c r="AK460" s="9" t="s">
        <v>102</v>
      </c>
      <c r="AL460" s="13">
        <f>IFERROR(INDEX('Balizador da Meta'!$D$3:$F$23,MATCH(Faturamento!$P460,'Balizador da Meta'!$C$3:$C$23,0),MATCH(Faturamento!AK460,'Balizador da Meta'!$D$2:$F$2,0)),"")</f>
        <v>0</v>
      </c>
      <c r="AM460" s="9"/>
    </row>
    <row r="461" spans="1:39" x14ac:dyDescent="0.3">
      <c r="A461" s="2" t="str">
        <f t="shared" si="463"/>
        <v>NÃO</v>
      </c>
      <c r="B461" s="2" t="str">
        <f>_xlfn.XLOOKUP($N461,'Base de Grupos'!$A:$A,'Base de Grupos'!$D:$D)</f>
        <v>1000065763</v>
      </c>
      <c r="C461" s="5" t="str">
        <f>_xlfn.XLOOKUP($N461,'Base de Grupos'!$A:$A,'Base de Grupos'!$E:$E)</f>
        <v>CANAL VENDA INTERNA</v>
      </c>
      <c r="D461" s="5" t="str">
        <f>_xlfn.XLOOKUP($N461,'Base de Grupos'!$A:$A,'Base de Grupos'!$F:$F)</f>
        <v>1000065763</v>
      </c>
      <c r="E461" s="2" t="str">
        <f>_xlfn.XLOOKUP($N461,'Base de Grupos'!$A:$A,'Base de Grupos'!$G:$G)</f>
        <v>CANAL VENDA INTERNA</v>
      </c>
      <c r="F461" s="2" t="str">
        <f>_xlfn.XLOOKUP($N461,'Base de Grupos'!$A:$A,'Base de Grupos'!$H:$H)</f>
        <v>1000105896</v>
      </c>
      <c r="G461" s="5" t="str">
        <f>_xlfn.XLOOKUP($N461,'Base de Grupos'!$A:$A,'Base de Grupos'!$I:$I)</f>
        <v>REGIONAL VENDA DIRETA SUL</v>
      </c>
      <c r="H461" s="5" t="str">
        <f>_xlfn.XLOOKUP($N461,'Base de Grupos'!$A:$A,'Base de Grupos'!$J:$J)</f>
        <v>1000105896</v>
      </c>
      <c r="I461" s="2" t="str">
        <f>_xlfn.XLOOKUP($N461,'Base de Grupos'!$A:$A,'Base de Grupos'!$K:$K)</f>
        <v>REGIONAL VENDA DIRETA SUL</v>
      </c>
      <c r="J461" s="2" t="str">
        <f>_xlfn.XLOOKUP($N461,'Base de Grupos'!$A:$A,'Base de Grupos'!$L:$L)</f>
        <v>1000176426</v>
      </c>
      <c r="K461" s="5" t="str">
        <f>_xlfn.XLOOKUP($N461,'Base de Grupos'!$A:$A,'Base de Grupos'!$M:$M)</f>
        <v>HEMANUELE ROSA DITZEL</v>
      </c>
      <c r="L461" s="5" t="str">
        <f t="shared" si="464"/>
        <v/>
      </c>
      <c r="M461" s="5" t="str">
        <f>_xlfn.XLOOKUP($N461,'Base de Grupos'!$A:$A,'Base de Grupos'!$C:$C)</f>
        <v>SC</v>
      </c>
      <c r="N461" s="3">
        <v>1364</v>
      </c>
      <c r="O461" s="4" t="s">
        <v>249</v>
      </c>
      <c r="P461" s="5" t="s">
        <v>86</v>
      </c>
      <c r="Q461" s="56">
        <v>0</v>
      </c>
      <c r="R461" s="56">
        <v>537.65142857142848</v>
      </c>
      <c r="S461" s="56">
        <v>716.86857142857139</v>
      </c>
      <c r="T461" s="56">
        <f>_xlfn.XLOOKUP($N461,'Calculo Leads'!$A$97:$A$134,'Calculo Leads'!G$97:G$134)*_xlfn.XLOOKUP($P461,'Base Grupo de Produtos'!$E$2:$E$18,'Base Grupo de Produtos'!$F$2:$F$18)</f>
        <v>870</v>
      </c>
      <c r="U461" s="56">
        <f>_xlfn.XLOOKUP($N461,'Calculo Leads'!$A$97:$A$134,'Calculo Leads'!H$97:H$134)*_xlfn.XLOOKUP($P461,'Base Grupo de Produtos'!$E$2:$E$18,'Base Grupo de Produtos'!$F$2:$F$18)</f>
        <v>1050</v>
      </c>
      <c r="V461" s="56">
        <f>_xlfn.XLOOKUP($N461,'Calculo Leads'!$A$97:$A$134,'Calculo Leads'!I$97:I$134)*_xlfn.XLOOKUP($P461,'Base Grupo de Produtos'!$E$2:$E$18,'Base Grupo de Produtos'!$F$2:$F$18)</f>
        <v>1320</v>
      </c>
      <c r="W461" s="56">
        <f>_xlfn.XLOOKUP($N461,'Calculo Leads'!$A$97:$A$134,'Calculo Leads'!J$97:J$134)*_xlfn.XLOOKUP($P461,'Base Grupo de Produtos'!$E$2:$E$18,'Base Grupo de Produtos'!$F$2:$F$18)</f>
        <v>1590</v>
      </c>
      <c r="X461" s="56">
        <f>_xlfn.XLOOKUP($N461,'Calculo Leads'!$A$97:$A$134,'Calculo Leads'!K$97:K$134)*_xlfn.XLOOKUP($P461,'Base Grupo de Produtos'!$E$2:$E$18,'Base Grupo de Produtos'!$F$2:$F$18)</f>
        <v>1980</v>
      </c>
      <c r="Y461" s="56">
        <f>_xlfn.XLOOKUP($N461,'Calculo Leads'!$A$97:$A$134,'Calculo Leads'!L$97:L$134)*_xlfn.XLOOKUP($P461,'Base Grupo de Produtos'!$E$2:$E$18,'Base Grupo de Produtos'!$F$2:$F$18)</f>
        <v>2508</v>
      </c>
      <c r="Z461" s="56">
        <f>_xlfn.XLOOKUP($N461,'Calculo Leads'!$A$97:$A$134,'Calculo Leads'!M$97:M$134)*_xlfn.XLOOKUP($P461,'Base Grupo de Produtos'!$E$2:$E$18,'Base Grupo de Produtos'!$F$2:$F$18)</f>
        <v>2739</v>
      </c>
      <c r="AA461" s="56">
        <f>_xlfn.XLOOKUP($N461,'Calculo Leads'!$A$97:$A$134,'Calculo Leads'!N$97:N$134)*_xlfn.XLOOKUP($P461,'Base Grupo de Produtos'!$E$2:$E$18,'Base Grupo de Produtos'!$F$2:$F$18)</f>
        <v>3069</v>
      </c>
      <c r="AB461" s="56">
        <f>_xlfn.XLOOKUP($N461,'Calculo Leads'!$A$97:$A$134,'Calculo Leads'!O$97:O$134)*_xlfn.XLOOKUP($P461,'Base Grupo de Produtos'!$E$2:$E$18,'Base Grupo de Produtos'!$F$2:$F$18)</f>
        <v>2079</v>
      </c>
      <c r="AC461" s="61">
        <f t="shared" si="499"/>
        <v>17205</v>
      </c>
      <c r="AD461" s="27">
        <f t="shared" si="500"/>
        <v>17205</v>
      </c>
      <c r="AE461" s="25">
        <f>IFERROR(_xlfn.XLOOKUP(N461&amp;P461,'Historico Vendas'!G:G,'Historico Vendas'!E:E),0)</f>
        <v>0</v>
      </c>
      <c r="AF461" s="29" t="str">
        <f t="shared" si="462"/>
        <v/>
      </c>
      <c r="AG461" s="24">
        <f>IFERROR(_xlfn.XLOOKUP(N461&amp;P461,'Historico Vendas'!G:G,'Historico Vendas'!F:F),0)</f>
        <v>0</v>
      </c>
      <c r="AH461" s="25">
        <f t="shared" si="501"/>
        <v>1254.52</v>
      </c>
      <c r="AI461" s="24">
        <f t="shared" si="502"/>
        <v>1254.52</v>
      </c>
      <c r="AJ461" s="11">
        <f t="shared" si="483"/>
        <v>0</v>
      </c>
      <c r="AK461" s="9" t="s">
        <v>102</v>
      </c>
      <c r="AL461" s="13">
        <f>IFERROR(INDEX('Balizador da Meta'!$D$3:$F$23,MATCH(Faturamento!$P461,'Balizador da Meta'!$C$3:$C$23,0),MATCH(Faturamento!AK461,'Balizador da Meta'!$D$2:$F$2,0)),"")</f>
        <v>0.15</v>
      </c>
      <c r="AM461" s="9"/>
    </row>
    <row r="462" spans="1:39" x14ac:dyDescent="0.3">
      <c r="A462" s="2" t="str">
        <f t="shared" si="463"/>
        <v>NÃO</v>
      </c>
      <c r="B462" s="2" t="str">
        <f>_xlfn.XLOOKUP($N462,'Base de Grupos'!$A:$A,'Base de Grupos'!$D:$D)</f>
        <v>1000065763</v>
      </c>
      <c r="C462" s="5" t="str">
        <f>_xlfn.XLOOKUP($N462,'Base de Grupos'!$A:$A,'Base de Grupos'!$E:$E)</f>
        <v>CANAL VENDA INTERNA</v>
      </c>
      <c r="D462" s="5" t="str">
        <f>_xlfn.XLOOKUP($N462,'Base de Grupos'!$A:$A,'Base de Grupos'!$F:$F)</f>
        <v>1000065763</v>
      </c>
      <c r="E462" s="2" t="str">
        <f>_xlfn.XLOOKUP($N462,'Base de Grupos'!$A:$A,'Base de Grupos'!$G:$G)</f>
        <v>CANAL VENDA INTERNA</v>
      </c>
      <c r="F462" s="2" t="str">
        <f>_xlfn.XLOOKUP($N462,'Base de Grupos'!$A:$A,'Base de Grupos'!$H:$H)</f>
        <v>1000105896</v>
      </c>
      <c r="G462" s="5" t="str">
        <f>_xlfn.XLOOKUP($N462,'Base de Grupos'!$A:$A,'Base de Grupos'!$I:$I)</f>
        <v>REGIONAL VENDA DIRETA SUL</v>
      </c>
      <c r="H462" s="5" t="str">
        <f>_xlfn.XLOOKUP($N462,'Base de Grupos'!$A:$A,'Base de Grupos'!$J:$J)</f>
        <v>1000105896</v>
      </c>
      <c r="I462" s="2" t="str">
        <f>_xlfn.XLOOKUP($N462,'Base de Grupos'!$A:$A,'Base de Grupos'!$K:$K)</f>
        <v>REGIONAL VENDA DIRETA SUL</v>
      </c>
      <c r="J462" s="2" t="str">
        <f>_xlfn.XLOOKUP($N462,'Base de Grupos'!$A:$A,'Base de Grupos'!$L:$L)</f>
        <v>1000176426</v>
      </c>
      <c r="K462" s="5" t="str">
        <f>_xlfn.XLOOKUP($N462,'Base de Grupos'!$A:$A,'Base de Grupos'!$M:$M)</f>
        <v>HEMANUELE ROSA DITZEL</v>
      </c>
      <c r="L462" s="5" t="str">
        <f t="shared" si="464"/>
        <v/>
      </c>
      <c r="M462" s="5" t="str">
        <f>_xlfn.XLOOKUP($N462,'Base de Grupos'!$A:$A,'Base de Grupos'!$C:$C)</f>
        <v>SC</v>
      </c>
      <c r="N462" s="3">
        <v>1364</v>
      </c>
      <c r="O462" s="4" t="s">
        <v>249</v>
      </c>
      <c r="P462" s="5" t="s">
        <v>108</v>
      </c>
      <c r="Q462" s="56">
        <v>0</v>
      </c>
      <c r="R462" s="56">
        <v>1548.4290909090912</v>
      </c>
      <c r="S462" s="56">
        <v>1806.5006060606063</v>
      </c>
      <c r="T462" s="56">
        <f>_xlfn.XLOOKUP($N462,'Calculo Leads'!$A$97:$A$134,'Calculo Leads'!G$97:G$134)*_xlfn.XLOOKUP($P462,'Base Grupo de Produtos'!$E$2:$E$18,'Base Grupo de Produtos'!$F$2:$F$18)</f>
        <v>7250</v>
      </c>
      <c r="U462" s="56">
        <f>_xlfn.XLOOKUP($N462,'Calculo Leads'!$A$97:$A$134,'Calculo Leads'!H$97:H$134)*_xlfn.XLOOKUP($P462,'Base Grupo de Produtos'!$E$2:$E$18,'Base Grupo de Produtos'!$F$2:$F$18)</f>
        <v>8750</v>
      </c>
      <c r="V462" s="56">
        <f>_xlfn.XLOOKUP($N462,'Calculo Leads'!$A$97:$A$134,'Calculo Leads'!I$97:I$134)*_xlfn.XLOOKUP($P462,'Base Grupo de Produtos'!$E$2:$E$18,'Base Grupo de Produtos'!$F$2:$F$18)</f>
        <v>11000</v>
      </c>
      <c r="W462" s="56">
        <f>_xlfn.XLOOKUP($N462,'Calculo Leads'!$A$97:$A$134,'Calculo Leads'!J$97:J$134)*_xlfn.XLOOKUP($P462,'Base Grupo de Produtos'!$E$2:$E$18,'Base Grupo de Produtos'!$F$2:$F$18)</f>
        <v>13250</v>
      </c>
      <c r="X462" s="56">
        <f>_xlfn.XLOOKUP($N462,'Calculo Leads'!$A$97:$A$134,'Calculo Leads'!K$97:K$134)*_xlfn.XLOOKUP($P462,'Base Grupo de Produtos'!$E$2:$E$18,'Base Grupo de Produtos'!$F$2:$F$18)</f>
        <v>16500</v>
      </c>
      <c r="Y462" s="56">
        <f>_xlfn.XLOOKUP($N462,'Calculo Leads'!$A$97:$A$134,'Calculo Leads'!L$97:L$134)*_xlfn.XLOOKUP($P462,'Base Grupo de Produtos'!$E$2:$E$18,'Base Grupo de Produtos'!$F$2:$F$18)</f>
        <v>20900</v>
      </c>
      <c r="Z462" s="56">
        <f>_xlfn.XLOOKUP($N462,'Calculo Leads'!$A$97:$A$134,'Calculo Leads'!M$97:M$134)*_xlfn.XLOOKUP($P462,'Base Grupo de Produtos'!$E$2:$E$18,'Base Grupo de Produtos'!$F$2:$F$18)</f>
        <v>22825</v>
      </c>
      <c r="AA462" s="56">
        <f>_xlfn.XLOOKUP($N462,'Calculo Leads'!$A$97:$A$134,'Calculo Leads'!N$97:N$134)*_xlfn.XLOOKUP($P462,'Base Grupo de Produtos'!$E$2:$E$18,'Base Grupo de Produtos'!$F$2:$F$18)</f>
        <v>25575</v>
      </c>
      <c r="AB462" s="56">
        <f>_xlfn.XLOOKUP($N462,'Calculo Leads'!$A$97:$A$134,'Calculo Leads'!O$97:O$134)*_xlfn.XLOOKUP($P462,'Base Grupo de Produtos'!$E$2:$E$18,'Base Grupo de Produtos'!$F$2:$F$18)</f>
        <v>17325</v>
      </c>
      <c r="AC462" s="61">
        <f t="shared" si="499"/>
        <v>143375</v>
      </c>
      <c r="AD462" s="27">
        <f t="shared" si="500"/>
        <v>143375</v>
      </c>
      <c r="AE462" s="25">
        <f>IFERROR(_xlfn.XLOOKUP(N462&amp;P462,'Historico Vendas'!G:G,'Historico Vendas'!E:E),0)</f>
        <v>0</v>
      </c>
      <c r="AF462" s="29" t="str">
        <f t="shared" si="462"/>
        <v/>
      </c>
      <c r="AG462" s="24">
        <f>IFERROR(_xlfn.XLOOKUP(N462&amp;P462,'Historico Vendas'!G:G,'Historico Vendas'!F:F),0)</f>
        <v>0</v>
      </c>
      <c r="AH462" s="25">
        <f t="shared" si="501"/>
        <v>3354.9296969696975</v>
      </c>
      <c r="AI462" s="24">
        <f t="shared" si="502"/>
        <v>3354.9296969696975</v>
      </c>
      <c r="AJ462" s="11">
        <f t="shared" si="483"/>
        <v>0</v>
      </c>
      <c r="AK462" s="9" t="s">
        <v>102</v>
      </c>
      <c r="AL462" s="13">
        <f>IFERROR(INDEX('Balizador da Meta'!$D$3:$F$23,MATCH(Faturamento!$P462,'Balizador da Meta'!$C$3:$C$23,0),MATCH(Faturamento!AK462,'Balizador da Meta'!$D$2:$F$2,0)),"")</f>
        <v>0</v>
      </c>
      <c r="AM462" s="9"/>
    </row>
    <row r="463" spans="1:39" x14ac:dyDescent="0.3">
      <c r="A463" s="2" t="str">
        <f t="shared" si="463"/>
        <v>NÃO</v>
      </c>
      <c r="B463" s="2" t="str">
        <f>_xlfn.XLOOKUP($N463,'Base de Grupos'!$A:$A,'Base de Grupos'!$D:$D)</f>
        <v>1000065763</v>
      </c>
      <c r="C463" s="5" t="str">
        <f>_xlfn.XLOOKUP($N463,'Base de Grupos'!$A:$A,'Base de Grupos'!$E:$E)</f>
        <v>CANAL VENDA INTERNA</v>
      </c>
      <c r="D463" s="5" t="str">
        <f>_xlfn.XLOOKUP($N463,'Base de Grupos'!$A:$A,'Base de Grupos'!$F:$F)</f>
        <v>1000065763</v>
      </c>
      <c r="E463" s="2" t="str">
        <f>_xlfn.XLOOKUP($N463,'Base de Grupos'!$A:$A,'Base de Grupos'!$G:$G)</f>
        <v>CANAL VENDA INTERNA</v>
      </c>
      <c r="F463" s="2" t="str">
        <f>_xlfn.XLOOKUP($N463,'Base de Grupos'!$A:$A,'Base de Grupos'!$H:$H)</f>
        <v>1000105896</v>
      </c>
      <c r="G463" s="5" t="str">
        <f>_xlfn.XLOOKUP($N463,'Base de Grupos'!$A:$A,'Base de Grupos'!$I:$I)</f>
        <v>REGIONAL VENDA DIRETA SUL</v>
      </c>
      <c r="H463" s="5" t="str">
        <f>_xlfn.XLOOKUP($N463,'Base de Grupos'!$A:$A,'Base de Grupos'!$J:$J)</f>
        <v>1000105896</v>
      </c>
      <c r="I463" s="2" t="str">
        <f>_xlfn.XLOOKUP($N463,'Base de Grupos'!$A:$A,'Base de Grupos'!$K:$K)</f>
        <v>REGIONAL VENDA DIRETA SUL</v>
      </c>
      <c r="J463" s="2" t="str">
        <f>_xlfn.XLOOKUP($N463,'Base de Grupos'!$A:$A,'Base de Grupos'!$L:$L)</f>
        <v>1000176426</v>
      </c>
      <c r="K463" s="5" t="str">
        <f>_xlfn.XLOOKUP($N463,'Base de Grupos'!$A:$A,'Base de Grupos'!$M:$M)</f>
        <v>HEMANUELE ROSA DITZEL</v>
      </c>
      <c r="L463" s="5" t="str">
        <f t="shared" si="464"/>
        <v/>
      </c>
      <c r="M463" s="5" t="str">
        <f>_xlfn.XLOOKUP($N463,'Base de Grupos'!$A:$A,'Base de Grupos'!$C:$C)</f>
        <v>SC</v>
      </c>
      <c r="N463" s="3">
        <v>1364</v>
      </c>
      <c r="O463" s="4" t="s">
        <v>249</v>
      </c>
      <c r="P463" s="5" t="s">
        <v>89</v>
      </c>
      <c r="Q463" s="56">
        <v>0</v>
      </c>
      <c r="R463" s="56">
        <v>2667.6642857142851</v>
      </c>
      <c r="S463" s="56">
        <v>2981.5071428571423</v>
      </c>
      <c r="T463" s="56">
        <f>_xlfn.XLOOKUP($N463,'Calculo Leads'!$A$97:$A$134,'Calculo Leads'!G$97:G$134)*_xlfn.XLOOKUP($P463,'Base Grupo de Produtos'!$E$2:$E$18,'Base Grupo de Produtos'!$F$2:$F$18)</f>
        <v>1450</v>
      </c>
      <c r="U463" s="56">
        <f>_xlfn.XLOOKUP($N463,'Calculo Leads'!$A$97:$A$134,'Calculo Leads'!H$97:H$134)*_xlfn.XLOOKUP($P463,'Base Grupo de Produtos'!$E$2:$E$18,'Base Grupo de Produtos'!$F$2:$F$18)</f>
        <v>1750</v>
      </c>
      <c r="V463" s="56">
        <f>_xlfn.XLOOKUP($N463,'Calculo Leads'!$A$97:$A$134,'Calculo Leads'!I$97:I$134)*_xlfn.XLOOKUP($P463,'Base Grupo de Produtos'!$E$2:$E$18,'Base Grupo de Produtos'!$F$2:$F$18)</f>
        <v>2200</v>
      </c>
      <c r="W463" s="56">
        <f>_xlfn.XLOOKUP($N463,'Calculo Leads'!$A$97:$A$134,'Calculo Leads'!J$97:J$134)*_xlfn.XLOOKUP($P463,'Base Grupo de Produtos'!$E$2:$E$18,'Base Grupo de Produtos'!$F$2:$F$18)</f>
        <v>2650</v>
      </c>
      <c r="X463" s="56">
        <f>_xlfn.XLOOKUP($N463,'Calculo Leads'!$A$97:$A$134,'Calculo Leads'!K$97:K$134)*_xlfn.XLOOKUP($P463,'Base Grupo de Produtos'!$E$2:$E$18,'Base Grupo de Produtos'!$F$2:$F$18)</f>
        <v>3300</v>
      </c>
      <c r="Y463" s="56">
        <f>_xlfn.XLOOKUP($N463,'Calculo Leads'!$A$97:$A$134,'Calculo Leads'!L$97:L$134)*_xlfn.XLOOKUP($P463,'Base Grupo de Produtos'!$E$2:$E$18,'Base Grupo de Produtos'!$F$2:$F$18)</f>
        <v>4180</v>
      </c>
      <c r="Z463" s="56">
        <f>_xlfn.XLOOKUP($N463,'Calculo Leads'!$A$97:$A$134,'Calculo Leads'!M$97:M$134)*_xlfn.XLOOKUP($P463,'Base Grupo de Produtos'!$E$2:$E$18,'Base Grupo de Produtos'!$F$2:$F$18)</f>
        <v>4565</v>
      </c>
      <c r="AA463" s="56">
        <f>_xlfn.XLOOKUP($N463,'Calculo Leads'!$A$97:$A$134,'Calculo Leads'!N$97:N$134)*_xlfn.XLOOKUP($P463,'Base Grupo de Produtos'!$E$2:$E$18,'Base Grupo de Produtos'!$F$2:$F$18)</f>
        <v>5115</v>
      </c>
      <c r="AB463" s="56">
        <f>_xlfn.XLOOKUP($N463,'Calculo Leads'!$A$97:$A$134,'Calculo Leads'!O$97:O$134)*_xlfn.XLOOKUP($P463,'Base Grupo de Produtos'!$E$2:$E$18,'Base Grupo de Produtos'!$F$2:$F$18)</f>
        <v>3465</v>
      </c>
      <c r="AC463" s="61">
        <f t="shared" si="499"/>
        <v>28675</v>
      </c>
      <c r="AD463" s="27">
        <f t="shared" si="500"/>
        <v>28675</v>
      </c>
      <c r="AE463" s="25">
        <f>IFERROR(_xlfn.XLOOKUP(N463&amp;P463,'Historico Vendas'!G:G,'Historico Vendas'!E:E),0)</f>
        <v>0</v>
      </c>
      <c r="AF463" s="29" t="str">
        <f t="shared" si="462"/>
        <v/>
      </c>
      <c r="AG463" s="24">
        <f>IFERROR(_xlfn.XLOOKUP(N463&amp;P463,'Historico Vendas'!G:G,'Historico Vendas'!F:F),0)</f>
        <v>0</v>
      </c>
      <c r="AH463" s="25">
        <f t="shared" si="501"/>
        <v>5649.1714285714279</v>
      </c>
      <c r="AI463" s="24">
        <f t="shared" si="502"/>
        <v>5649.1714285714279</v>
      </c>
      <c r="AJ463" s="11">
        <f t="shared" si="483"/>
        <v>0</v>
      </c>
      <c r="AK463" s="9" t="s">
        <v>102</v>
      </c>
      <c r="AL463" s="13">
        <f>IFERROR(INDEX('Balizador da Meta'!$D$3:$F$23,MATCH(Faturamento!$P463,'Balizador da Meta'!$C$3:$C$23,0),MATCH(Faturamento!AK463,'Balizador da Meta'!$D$2:$F$2,0)),"")</f>
        <v>0.25</v>
      </c>
      <c r="AM463" s="9"/>
    </row>
    <row r="464" spans="1:39" x14ac:dyDescent="0.3">
      <c r="A464" s="2" t="str">
        <f t="shared" si="463"/>
        <v>NÃO</v>
      </c>
      <c r="B464" s="2" t="str">
        <f>_xlfn.XLOOKUP($N464,'Base de Grupos'!$A:$A,'Base de Grupos'!$D:$D)</f>
        <v>1000065763</v>
      </c>
      <c r="C464" s="5" t="str">
        <f>_xlfn.XLOOKUP($N464,'Base de Grupos'!$A:$A,'Base de Grupos'!$E:$E)</f>
        <v>CANAL VENDA INTERNA</v>
      </c>
      <c r="D464" s="5" t="str">
        <f>_xlfn.XLOOKUP($N464,'Base de Grupos'!$A:$A,'Base de Grupos'!$F:$F)</f>
        <v>1000065763</v>
      </c>
      <c r="E464" s="2" t="str">
        <f>_xlfn.XLOOKUP($N464,'Base de Grupos'!$A:$A,'Base de Grupos'!$G:$G)</f>
        <v>CANAL VENDA INTERNA</v>
      </c>
      <c r="F464" s="2" t="str">
        <f>_xlfn.XLOOKUP($N464,'Base de Grupos'!$A:$A,'Base de Grupos'!$H:$H)</f>
        <v>1000105896</v>
      </c>
      <c r="G464" s="5" t="str">
        <f>_xlfn.XLOOKUP($N464,'Base de Grupos'!$A:$A,'Base de Grupos'!$I:$I)</f>
        <v>REGIONAL VENDA DIRETA SUL</v>
      </c>
      <c r="H464" s="5" t="str">
        <f>_xlfn.XLOOKUP($N464,'Base de Grupos'!$A:$A,'Base de Grupos'!$J:$J)</f>
        <v>1000105896</v>
      </c>
      <c r="I464" s="2" t="str">
        <f>_xlfn.XLOOKUP($N464,'Base de Grupos'!$A:$A,'Base de Grupos'!$K:$K)</f>
        <v>REGIONAL VENDA DIRETA SUL</v>
      </c>
      <c r="J464" s="2" t="str">
        <f>_xlfn.XLOOKUP($N464,'Base de Grupos'!$A:$A,'Base de Grupos'!$L:$L)</f>
        <v>1000176426</v>
      </c>
      <c r="K464" s="5" t="str">
        <f>_xlfn.XLOOKUP($N464,'Base de Grupos'!$A:$A,'Base de Grupos'!$M:$M)</f>
        <v>HEMANUELE ROSA DITZEL</v>
      </c>
      <c r="L464" s="5" t="str">
        <f t="shared" si="464"/>
        <v/>
      </c>
      <c r="M464" s="5" t="str">
        <f>_xlfn.XLOOKUP($N464,'Base de Grupos'!$A:$A,'Base de Grupos'!$C:$C)</f>
        <v>SC</v>
      </c>
      <c r="N464" s="3">
        <v>1364</v>
      </c>
      <c r="O464" s="4" t="s">
        <v>249</v>
      </c>
      <c r="P464" s="5" t="s">
        <v>88</v>
      </c>
      <c r="Q464" s="56">
        <v>0</v>
      </c>
      <c r="R464" s="56">
        <v>717.60533333333331</v>
      </c>
      <c r="S464" s="56">
        <v>717.60533333333331</v>
      </c>
      <c r="T464" s="56">
        <f>_xlfn.XLOOKUP($N464,'Calculo Leads'!$A$97:$A$134,'Calculo Leads'!G$97:G$134)*_xlfn.XLOOKUP($P464,'Base Grupo de Produtos'!$E$2:$E$18,'Base Grupo de Produtos'!$F$2:$F$18)</f>
        <v>1450</v>
      </c>
      <c r="U464" s="56">
        <f>_xlfn.XLOOKUP($N464,'Calculo Leads'!$A$97:$A$134,'Calculo Leads'!H$97:H$134)*_xlfn.XLOOKUP($P464,'Base Grupo de Produtos'!$E$2:$E$18,'Base Grupo de Produtos'!$F$2:$F$18)</f>
        <v>1750</v>
      </c>
      <c r="V464" s="56">
        <f>_xlfn.XLOOKUP($N464,'Calculo Leads'!$A$97:$A$134,'Calculo Leads'!I$97:I$134)*_xlfn.XLOOKUP($P464,'Base Grupo de Produtos'!$E$2:$E$18,'Base Grupo de Produtos'!$F$2:$F$18)</f>
        <v>2200</v>
      </c>
      <c r="W464" s="56">
        <f>_xlfn.XLOOKUP($N464,'Calculo Leads'!$A$97:$A$134,'Calculo Leads'!J$97:J$134)*_xlfn.XLOOKUP($P464,'Base Grupo de Produtos'!$E$2:$E$18,'Base Grupo de Produtos'!$F$2:$F$18)</f>
        <v>2650</v>
      </c>
      <c r="X464" s="56">
        <f>_xlfn.XLOOKUP($N464,'Calculo Leads'!$A$97:$A$134,'Calculo Leads'!K$97:K$134)*_xlfn.XLOOKUP($P464,'Base Grupo de Produtos'!$E$2:$E$18,'Base Grupo de Produtos'!$F$2:$F$18)</f>
        <v>3300</v>
      </c>
      <c r="Y464" s="56">
        <f>_xlfn.XLOOKUP($N464,'Calculo Leads'!$A$97:$A$134,'Calculo Leads'!L$97:L$134)*_xlfn.XLOOKUP($P464,'Base Grupo de Produtos'!$E$2:$E$18,'Base Grupo de Produtos'!$F$2:$F$18)</f>
        <v>4180</v>
      </c>
      <c r="Z464" s="56">
        <f>_xlfn.XLOOKUP($N464,'Calculo Leads'!$A$97:$A$134,'Calculo Leads'!M$97:M$134)*_xlfn.XLOOKUP($P464,'Base Grupo de Produtos'!$E$2:$E$18,'Base Grupo de Produtos'!$F$2:$F$18)</f>
        <v>4565</v>
      </c>
      <c r="AA464" s="56">
        <f>_xlfn.XLOOKUP($N464,'Calculo Leads'!$A$97:$A$134,'Calculo Leads'!N$97:N$134)*_xlfn.XLOOKUP($P464,'Base Grupo de Produtos'!$E$2:$E$18,'Base Grupo de Produtos'!$F$2:$F$18)</f>
        <v>5115</v>
      </c>
      <c r="AB464" s="56">
        <f>_xlfn.XLOOKUP($N464,'Calculo Leads'!$A$97:$A$134,'Calculo Leads'!O$97:O$134)*_xlfn.XLOOKUP($P464,'Base Grupo de Produtos'!$E$2:$E$18,'Base Grupo de Produtos'!$F$2:$F$18)</f>
        <v>3465</v>
      </c>
      <c r="AC464" s="61">
        <f t="shared" si="499"/>
        <v>28675</v>
      </c>
      <c r="AD464" s="27">
        <f t="shared" si="500"/>
        <v>28675</v>
      </c>
      <c r="AE464" s="25">
        <f>IFERROR(_xlfn.XLOOKUP(N464&amp;P464,'Historico Vendas'!G:G,'Historico Vendas'!E:E),0)</f>
        <v>0</v>
      </c>
      <c r="AF464" s="29" t="str">
        <f t="shared" si="462"/>
        <v/>
      </c>
      <c r="AG464" s="24">
        <f>IFERROR(_xlfn.XLOOKUP(N464&amp;P464,'Historico Vendas'!G:G,'Historico Vendas'!F:F),0)</f>
        <v>0</v>
      </c>
      <c r="AH464" s="25">
        <f t="shared" si="501"/>
        <v>1435.2106666666666</v>
      </c>
      <c r="AI464" s="24">
        <f t="shared" si="502"/>
        <v>1435.2106666666666</v>
      </c>
      <c r="AJ464" s="11">
        <f t="shared" si="483"/>
        <v>0</v>
      </c>
      <c r="AK464" s="9" t="s">
        <v>102</v>
      </c>
      <c r="AL464" s="13">
        <f>IFERROR(INDEX('Balizador da Meta'!$D$3:$F$23,MATCH(Faturamento!$P464,'Balizador da Meta'!$C$3:$C$23,0),MATCH(Faturamento!AK464,'Balizador da Meta'!$D$2:$F$2,0)),"")</f>
        <v>0</v>
      </c>
      <c r="AM464" s="9"/>
    </row>
    <row r="465" spans="1:39" x14ac:dyDescent="0.3">
      <c r="A465" s="2" t="str">
        <f t="shared" si="463"/>
        <v>NÃO</v>
      </c>
      <c r="B465" s="2" t="str">
        <f>_xlfn.XLOOKUP($N465,'Base de Grupos'!$A:$A,'Base de Grupos'!$D:$D)</f>
        <v>1000065763</v>
      </c>
      <c r="C465" s="5" t="str">
        <f>_xlfn.XLOOKUP($N465,'Base de Grupos'!$A:$A,'Base de Grupos'!$E:$E)</f>
        <v>CANAL VENDA INTERNA</v>
      </c>
      <c r="D465" s="5" t="str">
        <f>_xlfn.XLOOKUP($N465,'Base de Grupos'!$A:$A,'Base de Grupos'!$F:$F)</f>
        <v>1000065763</v>
      </c>
      <c r="E465" s="2" t="str">
        <f>_xlfn.XLOOKUP($N465,'Base de Grupos'!$A:$A,'Base de Grupos'!$G:$G)</f>
        <v>CANAL VENDA INTERNA</v>
      </c>
      <c r="F465" s="2" t="str">
        <f>_xlfn.XLOOKUP($N465,'Base de Grupos'!$A:$A,'Base de Grupos'!$H:$H)</f>
        <v>1000105896</v>
      </c>
      <c r="G465" s="5" t="str">
        <f>_xlfn.XLOOKUP($N465,'Base de Grupos'!$A:$A,'Base de Grupos'!$I:$I)</f>
        <v>REGIONAL VENDA DIRETA SUL</v>
      </c>
      <c r="H465" s="5" t="str">
        <f>_xlfn.XLOOKUP($N465,'Base de Grupos'!$A:$A,'Base de Grupos'!$J:$J)</f>
        <v>1000105896</v>
      </c>
      <c r="I465" s="2" t="str">
        <f>_xlfn.XLOOKUP($N465,'Base de Grupos'!$A:$A,'Base de Grupos'!$K:$K)</f>
        <v>REGIONAL VENDA DIRETA SUL</v>
      </c>
      <c r="J465" s="2" t="str">
        <f>_xlfn.XLOOKUP($N465,'Base de Grupos'!$A:$A,'Base de Grupos'!$L:$L)</f>
        <v>1000176426</v>
      </c>
      <c r="K465" s="5" t="str">
        <f>_xlfn.XLOOKUP($N465,'Base de Grupos'!$A:$A,'Base de Grupos'!$M:$M)</f>
        <v>HEMANUELE ROSA DITZEL</v>
      </c>
      <c r="L465" s="5" t="str">
        <f t="shared" si="464"/>
        <v/>
      </c>
      <c r="M465" s="5" t="str">
        <f>_xlfn.XLOOKUP($N465,'Base de Grupos'!$A:$A,'Base de Grupos'!$C:$C)</f>
        <v>SC</v>
      </c>
      <c r="N465" s="3">
        <v>1364</v>
      </c>
      <c r="O465" s="4" t="s">
        <v>249</v>
      </c>
      <c r="P465" s="5" t="s">
        <v>90</v>
      </c>
      <c r="Q465" s="56">
        <v>0</v>
      </c>
      <c r="R465" s="56">
        <v>510.92325581395346</v>
      </c>
      <c r="S465" s="56">
        <v>510.92325581395346</v>
      </c>
      <c r="T465" s="56">
        <f>_xlfn.XLOOKUP($N465,'Calculo Leads'!$A$97:$A$134,'Calculo Leads'!G$97:G$134)*_xlfn.XLOOKUP($P465,'Base Grupo de Produtos'!$E$2:$E$18,'Base Grupo de Produtos'!$F$2:$F$18)</f>
        <v>1450</v>
      </c>
      <c r="U465" s="56">
        <f>_xlfn.XLOOKUP($N465,'Calculo Leads'!$A$97:$A$134,'Calculo Leads'!H$97:H$134)*_xlfn.XLOOKUP($P465,'Base Grupo de Produtos'!$E$2:$E$18,'Base Grupo de Produtos'!$F$2:$F$18)</f>
        <v>1750</v>
      </c>
      <c r="V465" s="56">
        <f>_xlfn.XLOOKUP($N465,'Calculo Leads'!$A$97:$A$134,'Calculo Leads'!I$97:I$134)*_xlfn.XLOOKUP($P465,'Base Grupo de Produtos'!$E$2:$E$18,'Base Grupo de Produtos'!$F$2:$F$18)</f>
        <v>2200</v>
      </c>
      <c r="W465" s="56">
        <f>_xlfn.XLOOKUP($N465,'Calculo Leads'!$A$97:$A$134,'Calculo Leads'!J$97:J$134)*_xlfn.XLOOKUP($P465,'Base Grupo de Produtos'!$E$2:$E$18,'Base Grupo de Produtos'!$F$2:$F$18)</f>
        <v>2650</v>
      </c>
      <c r="X465" s="56">
        <f>_xlfn.XLOOKUP($N465,'Calculo Leads'!$A$97:$A$134,'Calculo Leads'!K$97:K$134)*_xlfn.XLOOKUP($P465,'Base Grupo de Produtos'!$E$2:$E$18,'Base Grupo de Produtos'!$F$2:$F$18)</f>
        <v>3300</v>
      </c>
      <c r="Y465" s="56">
        <f>_xlfn.XLOOKUP($N465,'Calculo Leads'!$A$97:$A$134,'Calculo Leads'!L$97:L$134)*_xlfn.XLOOKUP($P465,'Base Grupo de Produtos'!$E$2:$E$18,'Base Grupo de Produtos'!$F$2:$F$18)</f>
        <v>4180</v>
      </c>
      <c r="Z465" s="56">
        <f>_xlfn.XLOOKUP($N465,'Calculo Leads'!$A$97:$A$134,'Calculo Leads'!M$97:M$134)*_xlfn.XLOOKUP($P465,'Base Grupo de Produtos'!$E$2:$E$18,'Base Grupo de Produtos'!$F$2:$F$18)</f>
        <v>4565</v>
      </c>
      <c r="AA465" s="56">
        <f>_xlfn.XLOOKUP($N465,'Calculo Leads'!$A$97:$A$134,'Calculo Leads'!N$97:N$134)*_xlfn.XLOOKUP($P465,'Base Grupo de Produtos'!$E$2:$E$18,'Base Grupo de Produtos'!$F$2:$F$18)</f>
        <v>5115</v>
      </c>
      <c r="AB465" s="56">
        <f>_xlfn.XLOOKUP($N465,'Calculo Leads'!$A$97:$A$134,'Calculo Leads'!O$97:O$134)*_xlfn.XLOOKUP($P465,'Base Grupo de Produtos'!$E$2:$E$18,'Base Grupo de Produtos'!$F$2:$F$18)</f>
        <v>3465</v>
      </c>
      <c r="AC465" s="61">
        <f t="shared" si="499"/>
        <v>28675</v>
      </c>
      <c r="AD465" s="27">
        <f t="shared" si="500"/>
        <v>28675</v>
      </c>
      <c r="AE465" s="25">
        <f>IFERROR(_xlfn.XLOOKUP(N465&amp;P465,'Historico Vendas'!G:G,'Historico Vendas'!E:E),0)</f>
        <v>0</v>
      </c>
      <c r="AF465" s="29" t="str">
        <f t="shared" si="462"/>
        <v/>
      </c>
      <c r="AG465" s="24">
        <f>IFERROR(_xlfn.XLOOKUP(N465&amp;P465,'Historico Vendas'!G:G,'Historico Vendas'!F:F),0)</f>
        <v>0</v>
      </c>
      <c r="AH465" s="25">
        <f t="shared" si="501"/>
        <v>1021.8465116279069</v>
      </c>
      <c r="AI465" s="24">
        <f t="shared" si="502"/>
        <v>1021.8465116279069</v>
      </c>
      <c r="AJ465" s="11">
        <f t="shared" si="483"/>
        <v>0</v>
      </c>
      <c r="AK465" s="9" t="s">
        <v>102</v>
      </c>
      <c r="AL465" s="13">
        <f>IFERROR(INDEX('Balizador da Meta'!$D$3:$F$23,MATCH(Faturamento!$P465,'Balizador da Meta'!$C$3:$C$23,0),MATCH(Faturamento!AK465,'Balizador da Meta'!$D$2:$F$2,0)),"")</f>
        <v>0</v>
      </c>
      <c r="AM465" s="9"/>
    </row>
    <row r="466" spans="1:39" x14ac:dyDescent="0.3">
      <c r="A466" s="2" t="str">
        <f t="shared" si="463"/>
        <v>NÃO</v>
      </c>
      <c r="B466" s="2" t="str">
        <f>_xlfn.XLOOKUP($N466,'Base de Grupos'!$A:$A,'Base de Grupos'!$D:$D)</f>
        <v>1000065763</v>
      </c>
      <c r="C466" s="5" t="str">
        <f>_xlfn.XLOOKUP($N466,'Base de Grupos'!$A:$A,'Base de Grupos'!$E:$E)</f>
        <v>CANAL VENDA INTERNA</v>
      </c>
      <c r="D466" s="5" t="str">
        <f>_xlfn.XLOOKUP($N466,'Base de Grupos'!$A:$A,'Base de Grupos'!$F:$F)</f>
        <v>1000065763</v>
      </c>
      <c r="E466" s="2" t="str">
        <f>_xlfn.XLOOKUP($N466,'Base de Grupos'!$A:$A,'Base de Grupos'!$G:$G)</f>
        <v>CANAL VENDA INTERNA</v>
      </c>
      <c r="F466" s="2" t="str">
        <f>_xlfn.XLOOKUP($N466,'Base de Grupos'!$A:$A,'Base de Grupos'!$H:$H)</f>
        <v>1000105896</v>
      </c>
      <c r="G466" s="5" t="str">
        <f>_xlfn.XLOOKUP($N466,'Base de Grupos'!$A:$A,'Base de Grupos'!$I:$I)</f>
        <v>REGIONAL VENDA DIRETA SUL</v>
      </c>
      <c r="H466" s="5" t="str">
        <f>_xlfn.XLOOKUP($N466,'Base de Grupos'!$A:$A,'Base de Grupos'!$J:$J)</f>
        <v>1000105896</v>
      </c>
      <c r="I466" s="2" t="str">
        <f>_xlfn.XLOOKUP($N466,'Base de Grupos'!$A:$A,'Base de Grupos'!$K:$K)</f>
        <v>REGIONAL VENDA DIRETA SUL</v>
      </c>
      <c r="J466" s="2" t="str">
        <f>_xlfn.XLOOKUP($N466,'Base de Grupos'!$A:$A,'Base de Grupos'!$L:$L)</f>
        <v>1000176426</v>
      </c>
      <c r="K466" s="5" t="str">
        <f>_xlfn.XLOOKUP($N466,'Base de Grupos'!$A:$A,'Base de Grupos'!$M:$M)</f>
        <v>HEMANUELE ROSA DITZEL</v>
      </c>
      <c r="L466" s="5" t="str">
        <f t="shared" si="464"/>
        <v/>
      </c>
      <c r="M466" s="5" t="str">
        <f>_xlfn.XLOOKUP($N466,'Base de Grupos'!$A:$A,'Base de Grupos'!$C:$C)</f>
        <v>SC</v>
      </c>
      <c r="N466" s="3">
        <v>1364</v>
      </c>
      <c r="O466" s="4" t="s">
        <v>249</v>
      </c>
      <c r="P466" s="5" t="s">
        <v>91</v>
      </c>
      <c r="Q466" s="56">
        <v>0</v>
      </c>
      <c r="R466" s="56">
        <v>286.31733333333335</v>
      </c>
      <c r="S466" s="56">
        <v>357.8966666666667</v>
      </c>
      <c r="T466" s="56">
        <f>_xlfn.XLOOKUP($N466,'Calculo Leads'!$A$97:$A$134,'Calculo Leads'!G$97:G$134)*_xlfn.XLOOKUP($P466,'Base Grupo de Produtos'!$E$2:$E$18,'Base Grupo de Produtos'!$F$2:$F$18)</f>
        <v>0</v>
      </c>
      <c r="U466" s="56">
        <f>_xlfn.XLOOKUP($N466,'Calculo Leads'!$A$97:$A$134,'Calculo Leads'!H$97:H$134)*_xlfn.XLOOKUP($P466,'Base Grupo de Produtos'!$E$2:$E$18,'Base Grupo de Produtos'!$F$2:$F$18)</f>
        <v>0</v>
      </c>
      <c r="V466" s="56">
        <f>_xlfn.XLOOKUP($N466,'Calculo Leads'!$A$97:$A$134,'Calculo Leads'!I$97:I$134)*_xlfn.XLOOKUP($P466,'Base Grupo de Produtos'!$E$2:$E$18,'Base Grupo de Produtos'!$F$2:$F$18)</f>
        <v>0</v>
      </c>
      <c r="W466" s="56">
        <f>_xlfn.XLOOKUP($N466,'Calculo Leads'!$A$97:$A$134,'Calculo Leads'!J$97:J$134)*_xlfn.XLOOKUP($P466,'Base Grupo de Produtos'!$E$2:$E$18,'Base Grupo de Produtos'!$F$2:$F$18)</f>
        <v>0</v>
      </c>
      <c r="X466" s="56">
        <f>_xlfn.XLOOKUP($N466,'Calculo Leads'!$A$97:$A$134,'Calculo Leads'!K$97:K$134)*_xlfn.XLOOKUP($P466,'Base Grupo de Produtos'!$E$2:$E$18,'Base Grupo de Produtos'!$F$2:$F$18)</f>
        <v>0</v>
      </c>
      <c r="Y466" s="56">
        <f>_xlfn.XLOOKUP($N466,'Calculo Leads'!$A$97:$A$134,'Calculo Leads'!L$97:L$134)*_xlfn.XLOOKUP($P466,'Base Grupo de Produtos'!$E$2:$E$18,'Base Grupo de Produtos'!$F$2:$F$18)</f>
        <v>0</v>
      </c>
      <c r="Z466" s="56">
        <f>_xlfn.XLOOKUP($N466,'Calculo Leads'!$A$97:$A$134,'Calculo Leads'!M$97:M$134)*_xlfn.XLOOKUP($P466,'Base Grupo de Produtos'!$E$2:$E$18,'Base Grupo de Produtos'!$F$2:$F$18)</f>
        <v>0</v>
      </c>
      <c r="AA466" s="56">
        <f>_xlfn.XLOOKUP($N466,'Calculo Leads'!$A$97:$A$134,'Calculo Leads'!N$97:N$134)*_xlfn.XLOOKUP($P466,'Base Grupo de Produtos'!$E$2:$E$18,'Base Grupo de Produtos'!$F$2:$F$18)</f>
        <v>0</v>
      </c>
      <c r="AB466" s="56">
        <f>_xlfn.XLOOKUP($N466,'Calculo Leads'!$A$97:$A$134,'Calculo Leads'!O$97:O$134)*_xlfn.XLOOKUP($P466,'Base Grupo de Produtos'!$E$2:$E$18,'Base Grupo de Produtos'!$F$2:$F$18)</f>
        <v>0</v>
      </c>
      <c r="AC466" s="61">
        <f t="shared" si="499"/>
        <v>0</v>
      </c>
      <c r="AD466" s="27">
        <f t="shared" si="500"/>
        <v>0</v>
      </c>
      <c r="AE466" s="25">
        <f>IFERROR(_xlfn.XLOOKUP(N466&amp;P466,'Historico Vendas'!G:G,'Historico Vendas'!E:E),0)</f>
        <v>0</v>
      </c>
      <c r="AF466" s="29" t="str">
        <f t="shared" si="462"/>
        <v/>
      </c>
      <c r="AG466" s="24">
        <f>IFERROR(_xlfn.XLOOKUP(N466&amp;P466,'Historico Vendas'!G:G,'Historico Vendas'!F:F),0)</f>
        <v>0</v>
      </c>
      <c r="AH466" s="25">
        <f t="shared" si="501"/>
        <v>644.21400000000006</v>
      </c>
      <c r="AI466" s="24">
        <f t="shared" si="502"/>
        <v>644.21400000000006</v>
      </c>
      <c r="AJ466" s="11">
        <f t="shared" si="483"/>
        <v>0</v>
      </c>
      <c r="AK466" s="9" t="s">
        <v>102</v>
      </c>
      <c r="AL466" s="13">
        <f>IFERROR(INDEX('Balizador da Meta'!$D$3:$F$23,MATCH(Faturamento!$P466,'Balizador da Meta'!$C$3:$C$23,0),MATCH(Faturamento!AK466,'Balizador da Meta'!$D$2:$F$2,0)),"")</f>
        <v>0</v>
      </c>
      <c r="AM466" s="9"/>
    </row>
    <row r="467" spans="1:39" x14ac:dyDescent="0.3">
      <c r="A467" s="2" t="str">
        <f t="shared" si="463"/>
        <v>NÃO</v>
      </c>
      <c r="B467" s="2" t="str">
        <f>_xlfn.XLOOKUP($N467,'Base de Grupos'!$A:$A,'Base de Grupos'!$D:$D)</f>
        <v>1000065763</v>
      </c>
      <c r="C467" s="5" t="str">
        <f>_xlfn.XLOOKUP($N467,'Base de Grupos'!$A:$A,'Base de Grupos'!$E:$E)</f>
        <v>CANAL VENDA INTERNA</v>
      </c>
      <c r="D467" s="5" t="str">
        <f>_xlfn.XLOOKUP($N467,'Base de Grupos'!$A:$A,'Base de Grupos'!$F:$F)</f>
        <v>1000065763</v>
      </c>
      <c r="E467" s="2" t="str">
        <f>_xlfn.XLOOKUP($N467,'Base de Grupos'!$A:$A,'Base de Grupos'!$G:$G)</f>
        <v>CANAL VENDA INTERNA</v>
      </c>
      <c r="F467" s="2" t="str">
        <f>_xlfn.XLOOKUP($N467,'Base de Grupos'!$A:$A,'Base de Grupos'!$H:$H)</f>
        <v>1000105896</v>
      </c>
      <c r="G467" s="5" t="str">
        <f>_xlfn.XLOOKUP($N467,'Base de Grupos'!$A:$A,'Base de Grupos'!$I:$I)</f>
        <v>REGIONAL VENDA DIRETA SUL</v>
      </c>
      <c r="H467" s="5" t="str">
        <f>_xlfn.XLOOKUP($N467,'Base de Grupos'!$A:$A,'Base de Grupos'!$J:$J)</f>
        <v>1000105896</v>
      </c>
      <c r="I467" s="2" t="str">
        <f>_xlfn.XLOOKUP($N467,'Base de Grupos'!$A:$A,'Base de Grupos'!$K:$K)</f>
        <v>REGIONAL VENDA DIRETA SUL</v>
      </c>
      <c r="J467" s="2" t="str">
        <f>_xlfn.XLOOKUP($N467,'Base de Grupos'!$A:$A,'Base de Grupos'!$L:$L)</f>
        <v>1000176426</v>
      </c>
      <c r="K467" s="5" t="str">
        <f>_xlfn.XLOOKUP($N467,'Base de Grupos'!$A:$A,'Base de Grupos'!$M:$M)</f>
        <v>HEMANUELE ROSA DITZEL</v>
      </c>
      <c r="L467" s="5" t="str">
        <f t="shared" si="464"/>
        <v/>
      </c>
      <c r="M467" s="5" t="str">
        <f>_xlfn.XLOOKUP($N467,'Base de Grupos'!$A:$A,'Base de Grupos'!$C:$C)</f>
        <v>SC</v>
      </c>
      <c r="N467" s="3">
        <v>1364</v>
      </c>
      <c r="O467" s="4" t="s">
        <v>249</v>
      </c>
      <c r="P467" s="5" t="s">
        <v>96</v>
      </c>
      <c r="Q467" s="56">
        <v>0</v>
      </c>
      <c r="R467" s="56">
        <v>122.69999999999999</v>
      </c>
      <c r="S467" s="56">
        <v>122.69999999999999</v>
      </c>
      <c r="T467" s="56">
        <f>_xlfn.XLOOKUP($N467,'Calculo Leads'!$A$97:$A$134,'Calculo Leads'!G$97:G$134)*_xlfn.XLOOKUP($P467,'Base Grupo de Produtos'!$E$2:$E$18,'Base Grupo de Produtos'!$F$2:$F$18)</f>
        <v>2030.0000000000002</v>
      </c>
      <c r="U467" s="56">
        <f>_xlfn.XLOOKUP($N467,'Calculo Leads'!$A$97:$A$134,'Calculo Leads'!H$97:H$134)*_xlfn.XLOOKUP($P467,'Base Grupo de Produtos'!$E$2:$E$18,'Base Grupo de Produtos'!$F$2:$F$18)</f>
        <v>2450.0000000000005</v>
      </c>
      <c r="V467" s="56">
        <f>_xlfn.XLOOKUP($N467,'Calculo Leads'!$A$97:$A$134,'Calculo Leads'!I$97:I$134)*_xlfn.XLOOKUP($P467,'Base Grupo de Produtos'!$E$2:$E$18,'Base Grupo de Produtos'!$F$2:$F$18)</f>
        <v>3080.0000000000005</v>
      </c>
      <c r="W467" s="56">
        <f>_xlfn.XLOOKUP($N467,'Calculo Leads'!$A$97:$A$134,'Calculo Leads'!J$97:J$134)*_xlfn.XLOOKUP($P467,'Base Grupo de Produtos'!$E$2:$E$18,'Base Grupo de Produtos'!$F$2:$F$18)</f>
        <v>3710.0000000000005</v>
      </c>
      <c r="X467" s="56">
        <f>_xlfn.XLOOKUP($N467,'Calculo Leads'!$A$97:$A$134,'Calculo Leads'!K$97:K$134)*_xlfn.XLOOKUP($P467,'Base Grupo de Produtos'!$E$2:$E$18,'Base Grupo de Produtos'!$F$2:$F$18)</f>
        <v>4620</v>
      </c>
      <c r="Y467" s="56">
        <f>_xlfn.XLOOKUP($N467,'Calculo Leads'!$A$97:$A$134,'Calculo Leads'!L$97:L$134)*_xlfn.XLOOKUP($P467,'Base Grupo de Produtos'!$E$2:$E$18,'Base Grupo de Produtos'!$F$2:$F$18)</f>
        <v>5852.0000000000009</v>
      </c>
      <c r="Z467" s="56">
        <f>_xlfn.XLOOKUP($N467,'Calculo Leads'!$A$97:$A$134,'Calculo Leads'!M$97:M$134)*_xlfn.XLOOKUP($P467,'Base Grupo de Produtos'!$E$2:$E$18,'Base Grupo de Produtos'!$F$2:$F$18)</f>
        <v>6391.0000000000009</v>
      </c>
      <c r="AA467" s="56">
        <f>_xlfn.XLOOKUP($N467,'Calculo Leads'!$A$97:$A$134,'Calculo Leads'!N$97:N$134)*_xlfn.XLOOKUP($P467,'Base Grupo de Produtos'!$E$2:$E$18,'Base Grupo de Produtos'!$F$2:$F$18)</f>
        <v>7161.0000000000009</v>
      </c>
      <c r="AB467" s="56">
        <f>_xlfn.XLOOKUP($N467,'Calculo Leads'!$A$97:$A$134,'Calculo Leads'!O$97:O$134)*_xlfn.XLOOKUP($P467,'Base Grupo de Produtos'!$E$2:$E$18,'Base Grupo de Produtos'!$F$2:$F$18)</f>
        <v>4851.0000000000009</v>
      </c>
      <c r="AC467" s="61">
        <f t="shared" si="499"/>
        <v>40145.000000000007</v>
      </c>
      <c r="AD467" s="27">
        <f t="shared" si="500"/>
        <v>40145.000000000007</v>
      </c>
      <c r="AE467" s="25">
        <f>IFERROR(_xlfn.XLOOKUP(N467&amp;P467,'Historico Vendas'!G:G,'Historico Vendas'!E:E),0)</f>
        <v>0</v>
      </c>
      <c r="AF467" s="29" t="str">
        <f t="shared" si="462"/>
        <v/>
      </c>
      <c r="AG467" s="24">
        <f>IFERROR(_xlfn.XLOOKUP(N467&amp;P467,'Historico Vendas'!G:G,'Historico Vendas'!F:F),0)</f>
        <v>0</v>
      </c>
      <c r="AH467" s="25">
        <f t="shared" si="501"/>
        <v>245.39999999999998</v>
      </c>
      <c r="AI467" s="24">
        <f t="shared" si="502"/>
        <v>245.39999999999998</v>
      </c>
      <c r="AJ467" s="11">
        <f t="shared" si="483"/>
        <v>0</v>
      </c>
      <c r="AK467" s="9" t="s">
        <v>102</v>
      </c>
      <c r="AL467" s="13">
        <f>IFERROR(INDEX('Balizador da Meta'!$D$3:$F$23,MATCH(Faturamento!$P467,'Balizador da Meta'!$C$3:$C$23,0),MATCH(Faturamento!AK467,'Balizador da Meta'!$D$2:$F$2,0)),"")</f>
        <v>0</v>
      </c>
      <c r="AM467" s="9"/>
    </row>
    <row r="468" spans="1:39" x14ac:dyDescent="0.3">
      <c r="A468" s="2" t="str">
        <f t="shared" si="463"/>
        <v>NÃO</v>
      </c>
      <c r="B468" s="2" t="str">
        <f>_xlfn.XLOOKUP($N468,'Base de Grupos'!$A:$A,'Base de Grupos'!$D:$D)</f>
        <v>1000065763</v>
      </c>
      <c r="C468" s="5" t="str">
        <f>_xlfn.XLOOKUP($N468,'Base de Grupos'!$A:$A,'Base de Grupos'!$E:$E)</f>
        <v>CANAL VENDA INTERNA</v>
      </c>
      <c r="D468" s="5" t="str">
        <f>_xlfn.XLOOKUP($N468,'Base de Grupos'!$A:$A,'Base de Grupos'!$F:$F)</f>
        <v>1000065763</v>
      </c>
      <c r="E468" s="2" t="str">
        <f>_xlfn.XLOOKUP($N468,'Base de Grupos'!$A:$A,'Base de Grupos'!$G:$G)</f>
        <v>CANAL VENDA INTERNA</v>
      </c>
      <c r="F468" s="2" t="str">
        <f>_xlfn.XLOOKUP($N468,'Base de Grupos'!$A:$A,'Base de Grupos'!$H:$H)</f>
        <v>1000105896</v>
      </c>
      <c r="G468" s="5" t="str">
        <f>_xlfn.XLOOKUP($N468,'Base de Grupos'!$A:$A,'Base de Grupos'!$I:$I)</f>
        <v>REGIONAL VENDA DIRETA SUL</v>
      </c>
      <c r="H468" s="5" t="str">
        <f>_xlfn.XLOOKUP($N468,'Base de Grupos'!$A:$A,'Base de Grupos'!$J:$J)</f>
        <v>1000105896</v>
      </c>
      <c r="I468" s="2" t="str">
        <f>_xlfn.XLOOKUP($N468,'Base de Grupos'!$A:$A,'Base de Grupos'!$K:$K)</f>
        <v>REGIONAL VENDA DIRETA SUL</v>
      </c>
      <c r="J468" s="2" t="str">
        <f>_xlfn.XLOOKUP($N468,'Base de Grupos'!$A:$A,'Base de Grupos'!$L:$L)</f>
        <v>1000176426</v>
      </c>
      <c r="K468" s="5" t="str">
        <f>_xlfn.XLOOKUP($N468,'Base de Grupos'!$A:$A,'Base de Grupos'!$M:$M)</f>
        <v>HEMANUELE ROSA DITZEL</v>
      </c>
      <c r="L468" s="5" t="str">
        <f t="shared" si="464"/>
        <v/>
      </c>
      <c r="M468" s="5" t="str">
        <f>_xlfn.XLOOKUP($N468,'Base de Grupos'!$A:$A,'Base de Grupos'!$C:$C)</f>
        <v>SC</v>
      </c>
      <c r="N468" s="3">
        <v>1364</v>
      </c>
      <c r="O468" s="4" t="s">
        <v>249</v>
      </c>
      <c r="P468" s="5" t="s">
        <v>94</v>
      </c>
      <c r="Q468" s="56">
        <v>0</v>
      </c>
      <c r="R468" s="56">
        <v>6248.8155601659728</v>
      </c>
      <c r="S468" s="56">
        <v>6983.970331950205</v>
      </c>
      <c r="T468" s="56">
        <f>_xlfn.XLOOKUP($N468,'Calculo Leads'!$A$97:$A$134,'Calculo Leads'!G$97:G$134)*_xlfn.XLOOKUP($P468,'Base Grupo de Produtos'!$E$2:$E$18,'Base Grupo de Produtos'!$F$2:$F$18)</f>
        <v>1449.9999999999998</v>
      </c>
      <c r="U468" s="56">
        <f>_xlfn.XLOOKUP($N468,'Calculo Leads'!$A$97:$A$134,'Calculo Leads'!H$97:H$134)*_xlfn.XLOOKUP($P468,'Base Grupo de Produtos'!$E$2:$E$18,'Base Grupo de Produtos'!$F$2:$F$18)</f>
        <v>1749.9999999999998</v>
      </c>
      <c r="V468" s="56">
        <f>_xlfn.XLOOKUP($N468,'Calculo Leads'!$A$97:$A$134,'Calculo Leads'!I$97:I$134)*_xlfn.XLOOKUP($P468,'Base Grupo de Produtos'!$E$2:$E$18,'Base Grupo de Produtos'!$F$2:$F$18)</f>
        <v>2200</v>
      </c>
      <c r="W468" s="56">
        <f>_xlfn.XLOOKUP($N468,'Calculo Leads'!$A$97:$A$134,'Calculo Leads'!J$97:J$134)*_xlfn.XLOOKUP($P468,'Base Grupo de Produtos'!$E$2:$E$18,'Base Grupo de Produtos'!$F$2:$F$18)</f>
        <v>2650</v>
      </c>
      <c r="X468" s="56">
        <f>_xlfn.XLOOKUP($N468,'Calculo Leads'!$A$97:$A$134,'Calculo Leads'!K$97:K$134)*_xlfn.XLOOKUP($P468,'Base Grupo de Produtos'!$E$2:$E$18,'Base Grupo de Produtos'!$F$2:$F$18)</f>
        <v>3299.9999999999995</v>
      </c>
      <c r="Y468" s="56">
        <f>_xlfn.XLOOKUP($N468,'Calculo Leads'!$A$97:$A$134,'Calculo Leads'!L$97:L$134)*_xlfn.XLOOKUP($P468,'Base Grupo de Produtos'!$E$2:$E$18,'Base Grupo de Produtos'!$F$2:$F$18)</f>
        <v>4180</v>
      </c>
      <c r="Z468" s="56">
        <f>_xlfn.XLOOKUP($N468,'Calculo Leads'!$A$97:$A$134,'Calculo Leads'!M$97:M$134)*_xlfn.XLOOKUP($P468,'Base Grupo de Produtos'!$E$2:$E$18,'Base Grupo de Produtos'!$F$2:$F$18)</f>
        <v>4565</v>
      </c>
      <c r="AA468" s="56">
        <f>_xlfn.XLOOKUP($N468,'Calculo Leads'!$A$97:$A$134,'Calculo Leads'!N$97:N$134)*_xlfn.XLOOKUP($P468,'Base Grupo de Produtos'!$E$2:$E$18,'Base Grupo de Produtos'!$F$2:$F$18)</f>
        <v>5115</v>
      </c>
      <c r="AB468" s="56">
        <f>_xlfn.XLOOKUP($N468,'Calculo Leads'!$A$97:$A$134,'Calculo Leads'!O$97:O$134)*_xlfn.XLOOKUP($P468,'Base Grupo de Produtos'!$E$2:$E$18,'Base Grupo de Produtos'!$F$2:$F$18)</f>
        <v>3464.9999999999995</v>
      </c>
      <c r="AC468" s="61">
        <f t="shared" si="499"/>
        <v>28675</v>
      </c>
      <c r="AD468" s="27">
        <f t="shared" si="500"/>
        <v>28675</v>
      </c>
      <c r="AE468" s="25">
        <f>IFERROR(_xlfn.XLOOKUP(N468&amp;P468,'Historico Vendas'!G:G,'Historico Vendas'!E:E),0)</f>
        <v>0</v>
      </c>
      <c r="AF468" s="29" t="str">
        <f t="shared" si="462"/>
        <v/>
      </c>
      <c r="AG468" s="24">
        <f>IFERROR(_xlfn.XLOOKUP(N468&amp;P468,'Historico Vendas'!G:G,'Historico Vendas'!F:F),0)</f>
        <v>0</v>
      </c>
      <c r="AH468" s="25">
        <f t="shared" si="501"/>
        <v>13232.785892116179</v>
      </c>
      <c r="AI468" s="24">
        <f t="shared" si="502"/>
        <v>13232.785892116179</v>
      </c>
      <c r="AJ468" s="11">
        <f t="shared" si="483"/>
        <v>0</v>
      </c>
      <c r="AK468" s="9" t="s">
        <v>102</v>
      </c>
      <c r="AL468" s="13">
        <f>IFERROR(INDEX('Balizador da Meta'!$D$3:$F$23,MATCH(Faturamento!$P468,'Balizador da Meta'!$C$3:$C$23,0),MATCH(Faturamento!AK468,'Balizador da Meta'!$D$2:$F$2,0)),"")</f>
        <v>0.25</v>
      </c>
      <c r="AM468" s="9"/>
    </row>
    <row r="469" spans="1:39" x14ac:dyDescent="0.3">
      <c r="A469" s="2" t="str">
        <f t="shared" si="463"/>
        <v>NÃO</v>
      </c>
      <c r="B469" s="2" t="str">
        <f>_xlfn.XLOOKUP($N469,'Base de Grupos'!$A:$A,'Base de Grupos'!$D:$D)</f>
        <v>1000065763</v>
      </c>
      <c r="C469" s="5" t="str">
        <f>_xlfn.XLOOKUP($N469,'Base de Grupos'!$A:$A,'Base de Grupos'!$E:$E)</f>
        <v>CANAL VENDA INTERNA</v>
      </c>
      <c r="D469" s="5" t="str">
        <f>_xlfn.XLOOKUP($N469,'Base de Grupos'!$A:$A,'Base de Grupos'!$F:$F)</f>
        <v>1000065763</v>
      </c>
      <c r="E469" s="2" t="str">
        <f>_xlfn.XLOOKUP($N469,'Base de Grupos'!$A:$A,'Base de Grupos'!$G:$G)</f>
        <v>CANAL VENDA INTERNA</v>
      </c>
      <c r="F469" s="2" t="str">
        <f>_xlfn.XLOOKUP($N469,'Base de Grupos'!$A:$A,'Base de Grupos'!$H:$H)</f>
        <v>1000105896</v>
      </c>
      <c r="G469" s="5" t="str">
        <f>_xlfn.XLOOKUP($N469,'Base de Grupos'!$A:$A,'Base de Grupos'!$I:$I)</f>
        <v>REGIONAL VENDA DIRETA SUL</v>
      </c>
      <c r="H469" s="5" t="str">
        <f>_xlfn.XLOOKUP($N469,'Base de Grupos'!$A:$A,'Base de Grupos'!$J:$J)</f>
        <v>1000105896</v>
      </c>
      <c r="I469" s="2" t="str">
        <f>_xlfn.XLOOKUP($N469,'Base de Grupos'!$A:$A,'Base de Grupos'!$K:$K)</f>
        <v>REGIONAL VENDA DIRETA SUL</v>
      </c>
      <c r="J469" s="2" t="str">
        <f>_xlfn.XLOOKUP($N469,'Base de Grupos'!$A:$A,'Base de Grupos'!$L:$L)</f>
        <v>1000176426</v>
      </c>
      <c r="K469" s="5" t="str">
        <f>_xlfn.XLOOKUP($N469,'Base de Grupos'!$A:$A,'Base de Grupos'!$M:$M)</f>
        <v>HEMANUELE ROSA DITZEL</v>
      </c>
      <c r="L469" s="5" t="str">
        <f t="shared" si="464"/>
        <v/>
      </c>
      <c r="M469" s="5" t="str">
        <f>_xlfn.XLOOKUP($N469,'Base de Grupos'!$A:$A,'Base de Grupos'!$C:$C)</f>
        <v>SC</v>
      </c>
      <c r="N469" s="3">
        <v>1364</v>
      </c>
      <c r="O469" s="4" t="s">
        <v>249</v>
      </c>
      <c r="P469" s="5" t="s">
        <v>95</v>
      </c>
      <c r="Q469" s="56">
        <v>0</v>
      </c>
      <c r="R469" s="56">
        <v>5179.7790000000005</v>
      </c>
      <c r="S469" s="56">
        <v>5389.0630000000001</v>
      </c>
      <c r="T469" s="56">
        <f>_xlfn.XLOOKUP($N469,'Calculo Leads'!$A$97:$A$134,'Calculo Leads'!G$97:G$134)*_xlfn.XLOOKUP($P469,'Base Grupo de Produtos'!$E$2:$E$18,'Base Grupo de Produtos'!$F$2:$F$18)</f>
        <v>2320</v>
      </c>
      <c r="U469" s="56">
        <f>_xlfn.XLOOKUP($N469,'Calculo Leads'!$A$97:$A$134,'Calculo Leads'!H$97:H$134)*_xlfn.XLOOKUP($P469,'Base Grupo de Produtos'!$E$2:$E$18,'Base Grupo de Produtos'!$F$2:$F$18)</f>
        <v>2800</v>
      </c>
      <c r="V469" s="56">
        <f>_xlfn.XLOOKUP($N469,'Calculo Leads'!$A$97:$A$134,'Calculo Leads'!I$97:I$134)*_xlfn.XLOOKUP($P469,'Base Grupo de Produtos'!$E$2:$E$18,'Base Grupo de Produtos'!$F$2:$F$18)</f>
        <v>3520</v>
      </c>
      <c r="W469" s="56">
        <f>_xlfn.XLOOKUP($N469,'Calculo Leads'!$A$97:$A$134,'Calculo Leads'!J$97:J$134)*_xlfn.XLOOKUP($P469,'Base Grupo de Produtos'!$E$2:$E$18,'Base Grupo de Produtos'!$F$2:$F$18)</f>
        <v>4240</v>
      </c>
      <c r="X469" s="56">
        <f>_xlfn.XLOOKUP($N469,'Calculo Leads'!$A$97:$A$134,'Calculo Leads'!K$97:K$134)*_xlfn.XLOOKUP($P469,'Base Grupo de Produtos'!$E$2:$E$18,'Base Grupo de Produtos'!$F$2:$F$18)</f>
        <v>5280</v>
      </c>
      <c r="Y469" s="56">
        <f>_xlfn.XLOOKUP($N469,'Calculo Leads'!$A$97:$A$134,'Calculo Leads'!L$97:L$134)*_xlfn.XLOOKUP($P469,'Base Grupo de Produtos'!$E$2:$E$18,'Base Grupo de Produtos'!$F$2:$F$18)</f>
        <v>6688</v>
      </c>
      <c r="Z469" s="56">
        <f>_xlfn.XLOOKUP($N469,'Calculo Leads'!$A$97:$A$134,'Calculo Leads'!M$97:M$134)*_xlfn.XLOOKUP($P469,'Base Grupo de Produtos'!$E$2:$E$18,'Base Grupo de Produtos'!$F$2:$F$18)</f>
        <v>7304</v>
      </c>
      <c r="AA469" s="56">
        <f>_xlfn.XLOOKUP($N469,'Calculo Leads'!$A$97:$A$134,'Calculo Leads'!N$97:N$134)*_xlfn.XLOOKUP($P469,'Base Grupo de Produtos'!$E$2:$E$18,'Base Grupo de Produtos'!$F$2:$F$18)</f>
        <v>8184</v>
      </c>
      <c r="AB469" s="56">
        <f>_xlfn.XLOOKUP($N469,'Calculo Leads'!$A$97:$A$134,'Calculo Leads'!O$97:O$134)*_xlfn.XLOOKUP($P469,'Base Grupo de Produtos'!$E$2:$E$18,'Base Grupo de Produtos'!$F$2:$F$18)</f>
        <v>5544</v>
      </c>
      <c r="AC469" s="61">
        <f t="shared" si="499"/>
        <v>45880</v>
      </c>
      <c r="AD469" s="27">
        <f t="shared" si="500"/>
        <v>45880</v>
      </c>
      <c r="AE469" s="25">
        <f>IFERROR(_xlfn.XLOOKUP(N469&amp;P469,'Historico Vendas'!G:G,'Historico Vendas'!E:E),0)</f>
        <v>0</v>
      </c>
      <c r="AF469" s="29" t="str">
        <f t="shared" si="462"/>
        <v/>
      </c>
      <c r="AG469" s="24">
        <f>IFERROR(_xlfn.XLOOKUP(N469&amp;P469,'Historico Vendas'!G:G,'Historico Vendas'!F:F),0)</f>
        <v>0</v>
      </c>
      <c r="AH469" s="25">
        <f t="shared" si="501"/>
        <v>10568.842000000001</v>
      </c>
      <c r="AI469" s="24">
        <f t="shared" si="502"/>
        <v>10568.842000000001</v>
      </c>
      <c r="AJ469" s="11">
        <f t="shared" si="483"/>
        <v>0</v>
      </c>
      <c r="AK469" s="9" t="s">
        <v>102</v>
      </c>
      <c r="AL469" s="13">
        <f>IFERROR(INDEX('Balizador da Meta'!$D$3:$F$23,MATCH(Faturamento!$P469,'Balizador da Meta'!$C$3:$C$23,0),MATCH(Faturamento!AK469,'Balizador da Meta'!$D$2:$F$2,0)),"")</f>
        <v>0.25</v>
      </c>
      <c r="AM469" s="9"/>
    </row>
    <row r="470" spans="1:39" x14ac:dyDescent="0.3">
      <c r="A470" s="2" t="str">
        <f t="shared" si="463"/>
        <v>NÃO</v>
      </c>
      <c r="B470" s="2" t="str">
        <f>_xlfn.XLOOKUP($N470,'Base de Grupos'!$A:$A,'Base de Grupos'!$D:$D)</f>
        <v>1000065763</v>
      </c>
      <c r="C470" s="5" t="str">
        <f>_xlfn.XLOOKUP($N470,'Base de Grupos'!$A:$A,'Base de Grupos'!$E:$E)</f>
        <v>CANAL VENDA INTERNA</v>
      </c>
      <c r="D470" s="5" t="str">
        <f>_xlfn.XLOOKUP($N470,'Base de Grupos'!$A:$A,'Base de Grupos'!$F:$F)</f>
        <v>1000065763</v>
      </c>
      <c r="E470" s="2" t="str">
        <f>_xlfn.XLOOKUP($N470,'Base de Grupos'!$A:$A,'Base de Grupos'!$G:$G)</f>
        <v>CANAL VENDA INTERNA</v>
      </c>
      <c r="F470" s="2" t="str">
        <f>_xlfn.XLOOKUP($N470,'Base de Grupos'!$A:$A,'Base de Grupos'!$H:$H)</f>
        <v>1000105896</v>
      </c>
      <c r="G470" s="5" t="str">
        <f>_xlfn.XLOOKUP($N470,'Base de Grupos'!$A:$A,'Base de Grupos'!$I:$I)</f>
        <v>REGIONAL VENDA DIRETA SUL</v>
      </c>
      <c r="H470" s="5" t="str">
        <f>_xlfn.XLOOKUP($N470,'Base de Grupos'!$A:$A,'Base de Grupos'!$J:$J)</f>
        <v>1000105896</v>
      </c>
      <c r="I470" s="2" t="str">
        <f>_xlfn.XLOOKUP($N470,'Base de Grupos'!$A:$A,'Base de Grupos'!$K:$K)</f>
        <v>REGIONAL VENDA DIRETA SUL</v>
      </c>
      <c r="J470" s="2" t="str">
        <f>_xlfn.XLOOKUP($N470,'Base de Grupos'!$A:$A,'Base de Grupos'!$L:$L)</f>
        <v>1000176426</v>
      </c>
      <c r="K470" s="5" t="str">
        <f>_xlfn.XLOOKUP($N470,'Base de Grupos'!$A:$A,'Base de Grupos'!$M:$M)</f>
        <v>HEMANUELE ROSA DITZEL</v>
      </c>
      <c r="L470" s="5" t="str">
        <f t="shared" si="464"/>
        <v/>
      </c>
      <c r="M470" s="5" t="str">
        <f>_xlfn.XLOOKUP($N470,'Base de Grupos'!$A:$A,'Base de Grupos'!$C:$C)</f>
        <v>SC</v>
      </c>
      <c r="N470" s="3">
        <v>1364</v>
      </c>
      <c r="O470" s="4" t="s">
        <v>249</v>
      </c>
      <c r="P470" s="5" t="s">
        <v>93</v>
      </c>
      <c r="Q470" s="56">
        <v>0</v>
      </c>
      <c r="R470" s="56">
        <v>1757.9232000000002</v>
      </c>
      <c r="S470" s="56">
        <v>1904.4168000000002</v>
      </c>
      <c r="T470" s="56">
        <f>_xlfn.XLOOKUP($N470,'Calculo Leads'!$A$97:$A$134,'Calculo Leads'!G$97:G$134)*_xlfn.XLOOKUP($P470,'Base Grupo de Produtos'!$E$2:$E$18,'Base Grupo de Produtos'!$F$2:$F$18)</f>
        <v>870</v>
      </c>
      <c r="U470" s="56">
        <f>_xlfn.XLOOKUP($N470,'Calculo Leads'!$A$97:$A$134,'Calculo Leads'!H$97:H$134)*_xlfn.XLOOKUP($P470,'Base Grupo de Produtos'!$E$2:$E$18,'Base Grupo de Produtos'!$F$2:$F$18)</f>
        <v>1050</v>
      </c>
      <c r="V470" s="56">
        <f>_xlfn.XLOOKUP($N470,'Calculo Leads'!$A$97:$A$134,'Calculo Leads'!I$97:I$134)*_xlfn.XLOOKUP($P470,'Base Grupo de Produtos'!$E$2:$E$18,'Base Grupo de Produtos'!$F$2:$F$18)</f>
        <v>1320</v>
      </c>
      <c r="W470" s="56">
        <f>_xlfn.XLOOKUP($N470,'Calculo Leads'!$A$97:$A$134,'Calculo Leads'!J$97:J$134)*_xlfn.XLOOKUP($P470,'Base Grupo de Produtos'!$E$2:$E$18,'Base Grupo de Produtos'!$F$2:$F$18)</f>
        <v>1590</v>
      </c>
      <c r="X470" s="56">
        <f>_xlfn.XLOOKUP($N470,'Calculo Leads'!$A$97:$A$134,'Calculo Leads'!K$97:K$134)*_xlfn.XLOOKUP($P470,'Base Grupo de Produtos'!$E$2:$E$18,'Base Grupo de Produtos'!$F$2:$F$18)</f>
        <v>1980</v>
      </c>
      <c r="Y470" s="56">
        <f>_xlfn.XLOOKUP($N470,'Calculo Leads'!$A$97:$A$134,'Calculo Leads'!L$97:L$134)*_xlfn.XLOOKUP($P470,'Base Grupo de Produtos'!$E$2:$E$18,'Base Grupo de Produtos'!$F$2:$F$18)</f>
        <v>2508</v>
      </c>
      <c r="Z470" s="56">
        <f>_xlfn.XLOOKUP($N470,'Calculo Leads'!$A$97:$A$134,'Calculo Leads'!M$97:M$134)*_xlfn.XLOOKUP($P470,'Base Grupo de Produtos'!$E$2:$E$18,'Base Grupo de Produtos'!$F$2:$F$18)</f>
        <v>2739</v>
      </c>
      <c r="AA470" s="56">
        <f>_xlfn.XLOOKUP($N470,'Calculo Leads'!$A$97:$A$134,'Calculo Leads'!N$97:N$134)*_xlfn.XLOOKUP($P470,'Base Grupo de Produtos'!$E$2:$E$18,'Base Grupo de Produtos'!$F$2:$F$18)</f>
        <v>3069</v>
      </c>
      <c r="AB470" s="56">
        <f>_xlfn.XLOOKUP($N470,'Calculo Leads'!$A$97:$A$134,'Calculo Leads'!O$97:O$134)*_xlfn.XLOOKUP($P470,'Base Grupo de Produtos'!$E$2:$E$18,'Base Grupo de Produtos'!$F$2:$F$18)</f>
        <v>2079</v>
      </c>
      <c r="AC470" s="61">
        <f t="shared" si="499"/>
        <v>17205</v>
      </c>
      <c r="AD470" s="27">
        <f t="shared" si="500"/>
        <v>17205</v>
      </c>
      <c r="AE470" s="25">
        <f>IFERROR(_xlfn.XLOOKUP(N470&amp;P470,'Historico Vendas'!G:G,'Historico Vendas'!E:E),0)</f>
        <v>0</v>
      </c>
      <c r="AF470" s="29" t="str">
        <f t="shared" si="462"/>
        <v/>
      </c>
      <c r="AG470" s="24">
        <f>IFERROR(_xlfn.XLOOKUP(N470&amp;P470,'Historico Vendas'!G:G,'Historico Vendas'!F:F),0)</f>
        <v>0</v>
      </c>
      <c r="AH470" s="25">
        <f t="shared" si="501"/>
        <v>3662.34</v>
      </c>
      <c r="AI470" s="24">
        <f t="shared" si="502"/>
        <v>3662.34</v>
      </c>
      <c r="AJ470" s="11">
        <f t="shared" si="483"/>
        <v>0</v>
      </c>
      <c r="AK470" s="9" t="s">
        <v>102</v>
      </c>
      <c r="AL470" s="13">
        <f>IFERROR(INDEX('Balizador da Meta'!$D$3:$F$23,MATCH(Faturamento!$P470,'Balizador da Meta'!$C$3:$C$23,0),MATCH(Faturamento!AK470,'Balizador da Meta'!$D$2:$F$2,0)),"")</f>
        <v>0.2</v>
      </c>
      <c r="AM470" s="9"/>
    </row>
    <row r="471" spans="1:39" x14ac:dyDescent="0.3">
      <c r="A471" s="2" t="str">
        <f t="shared" si="463"/>
        <v>SIM</v>
      </c>
      <c r="B471" s="2" t="str">
        <f>_xlfn.XLOOKUP($N471,'Base de Grupos'!$A:$A,'Base de Grupos'!$D:$D)</f>
        <v>1000065763</v>
      </c>
      <c r="C471" s="5" t="str">
        <f>_xlfn.XLOOKUP($N471,'Base de Grupos'!$A:$A,'Base de Grupos'!$E:$E)</f>
        <v>CANAL VENDA INTERNA</v>
      </c>
      <c r="D471" s="5" t="str">
        <f>_xlfn.XLOOKUP($N471,'Base de Grupos'!$A:$A,'Base de Grupos'!$F:$F)</f>
        <v>1000065763</v>
      </c>
      <c r="E471" s="2" t="str">
        <f>_xlfn.XLOOKUP($N471,'Base de Grupos'!$A:$A,'Base de Grupos'!$G:$G)</f>
        <v>CANAL VENDA INTERNA</v>
      </c>
      <c r="F471" s="2" t="str">
        <f>_xlfn.XLOOKUP($N471,'Base de Grupos'!$A:$A,'Base de Grupos'!$H:$H)</f>
        <v>1000153245</v>
      </c>
      <c r="G471" s="5" t="str">
        <f>_xlfn.XLOOKUP($N471,'Base de Grupos'!$A:$A,'Base de Grupos'!$I:$I)</f>
        <v>REGIONAL VENDA INTERNA - KEY ACCOUNT</v>
      </c>
      <c r="H471" s="5" t="str">
        <f>_xlfn.XLOOKUP($N471,'Base de Grupos'!$A:$A,'Base de Grupos'!$J:$J)</f>
        <v>1000153245</v>
      </c>
      <c r="I471" s="2" t="str">
        <f>_xlfn.XLOOKUP($N471,'Base de Grupos'!$A:$A,'Base de Grupos'!$K:$K)</f>
        <v>REGIONAL VENDA INTERNA - KEY ACCOUNT</v>
      </c>
      <c r="J471" s="2" t="str">
        <f>_xlfn.XLOOKUP($N471,'Base de Grupos'!$A:$A,'Base de Grupos'!$L:$L)</f>
        <v>1000153245</v>
      </c>
      <c r="K471" s="5" t="str">
        <f>_xlfn.XLOOKUP($N471,'Base de Grupos'!$A:$A,'Base de Grupos'!$M:$M)</f>
        <v>REGIONAL VENDA INTERNA - KEY ACCOUNT</v>
      </c>
      <c r="L471" s="5">
        <f t="shared" si="464"/>
        <v>1</v>
      </c>
      <c r="M471" s="5" t="str">
        <f>_xlfn.XLOOKUP($N471,'Base de Grupos'!$A:$A,'Base de Grupos'!$C:$C)</f>
        <v>PR</v>
      </c>
      <c r="N471" s="3">
        <v>1425</v>
      </c>
      <c r="O471" s="4" t="s">
        <v>250</v>
      </c>
      <c r="P471" s="5" t="s">
        <v>320</v>
      </c>
      <c r="Q471" s="56">
        <f t="shared" ref="Q471" si="503">SUM(Q472:Q488)</f>
        <v>0</v>
      </c>
      <c r="R471" s="56">
        <f t="shared" ref="R471" si="504">SUM(R472:R488)</f>
        <v>41548.624474309938</v>
      </c>
      <c r="S471" s="56">
        <f t="shared" ref="S471" si="505">SUM(S472:S488)</f>
        <v>47456.104222161186</v>
      </c>
      <c r="T471" s="56">
        <f t="shared" ref="T471" si="506">SUM(T472:T488)</f>
        <v>4000</v>
      </c>
      <c r="U471" s="56">
        <f t="shared" ref="U471" si="507">SUM(U472:U488)</f>
        <v>4000</v>
      </c>
      <c r="V471" s="56">
        <f t="shared" ref="V471" si="508">SUM(V472:V488)</f>
        <v>5000</v>
      </c>
      <c r="W471" s="56">
        <f t="shared" ref="W471" si="509">SUM(W472:W488)</f>
        <v>6000</v>
      </c>
      <c r="X471" s="56">
        <f t="shared" ref="X471" si="510">SUM(X472:X488)</f>
        <v>7700</v>
      </c>
      <c r="Y471" s="56">
        <f t="shared" ref="Y471" si="511">SUM(Y472:Y488)</f>
        <v>9900</v>
      </c>
      <c r="Z471" s="56">
        <f t="shared" ref="Z471" si="512">SUM(Z472:Z488)</f>
        <v>9900</v>
      </c>
      <c r="AA471" s="56">
        <f t="shared" ref="AA471" si="513">SUM(AA472:AA488)</f>
        <v>12100</v>
      </c>
      <c r="AB471" s="56">
        <f t="shared" ref="AB471" si="514">SUM(AB472:AB488)</f>
        <v>7700</v>
      </c>
      <c r="AC471" s="56">
        <f t="shared" ref="AC471" si="515">SUM(AC472:AC488)</f>
        <v>66300</v>
      </c>
      <c r="AD471" s="25">
        <f t="shared" ref="AD471" si="516">SUM(AD472:AD488)</f>
        <v>66300</v>
      </c>
      <c r="AE471" s="25">
        <f t="shared" ref="AE471:AI471" si="517">SUM(AE472:AE488)</f>
        <v>0</v>
      </c>
      <c r="AF471" s="11" t="str">
        <f t="shared" si="462"/>
        <v/>
      </c>
      <c r="AG471" s="24">
        <f t="shared" si="517"/>
        <v>0</v>
      </c>
      <c r="AH471" s="25">
        <f t="shared" si="517"/>
        <v>89004.728696471124</v>
      </c>
      <c r="AI471" s="24">
        <f t="shared" si="517"/>
        <v>89004.728696471124</v>
      </c>
      <c r="AJ471" s="11">
        <f t="shared" si="483"/>
        <v>0</v>
      </c>
      <c r="AK471" s="9"/>
      <c r="AL471" s="13"/>
      <c r="AM471" s="9"/>
    </row>
    <row r="472" spans="1:39" x14ac:dyDescent="0.3">
      <c r="A472" s="2" t="str">
        <f t="shared" si="463"/>
        <v>NÃO</v>
      </c>
      <c r="B472" s="2" t="str">
        <f>_xlfn.XLOOKUP($N472,'Base de Grupos'!$A:$A,'Base de Grupos'!$D:$D)</f>
        <v>1000065763</v>
      </c>
      <c r="C472" s="5" t="str">
        <f>_xlfn.XLOOKUP($N472,'Base de Grupos'!$A:$A,'Base de Grupos'!$E:$E)</f>
        <v>CANAL VENDA INTERNA</v>
      </c>
      <c r="D472" s="5" t="str">
        <f>_xlfn.XLOOKUP($N472,'Base de Grupos'!$A:$A,'Base de Grupos'!$F:$F)</f>
        <v>1000065763</v>
      </c>
      <c r="E472" s="2" t="str">
        <f>_xlfn.XLOOKUP($N472,'Base de Grupos'!$A:$A,'Base de Grupos'!$G:$G)</f>
        <v>CANAL VENDA INTERNA</v>
      </c>
      <c r="F472" s="2" t="str">
        <f>_xlfn.XLOOKUP($N472,'Base de Grupos'!$A:$A,'Base de Grupos'!$H:$H)</f>
        <v>1000153245</v>
      </c>
      <c r="G472" s="5" t="str">
        <f>_xlfn.XLOOKUP($N472,'Base de Grupos'!$A:$A,'Base de Grupos'!$I:$I)</f>
        <v>REGIONAL VENDA INTERNA - KEY ACCOUNT</v>
      </c>
      <c r="H472" s="5" t="str">
        <f>_xlfn.XLOOKUP($N472,'Base de Grupos'!$A:$A,'Base de Grupos'!$J:$J)</f>
        <v>1000153245</v>
      </c>
      <c r="I472" s="2" t="str">
        <f>_xlfn.XLOOKUP($N472,'Base de Grupos'!$A:$A,'Base de Grupos'!$K:$K)</f>
        <v>REGIONAL VENDA INTERNA - KEY ACCOUNT</v>
      </c>
      <c r="J472" s="2" t="str">
        <f>_xlfn.XLOOKUP($N472,'Base de Grupos'!$A:$A,'Base de Grupos'!$L:$L)</f>
        <v>1000153245</v>
      </c>
      <c r="K472" s="5" t="str">
        <f>_xlfn.XLOOKUP($N472,'Base de Grupos'!$A:$A,'Base de Grupos'!$M:$M)</f>
        <v>REGIONAL VENDA INTERNA - KEY ACCOUNT</v>
      </c>
      <c r="L472" s="5" t="str">
        <f t="shared" si="464"/>
        <v/>
      </c>
      <c r="M472" s="5" t="str">
        <f>_xlfn.XLOOKUP($N472,'Base de Grupos'!$A:$A,'Base de Grupos'!$C:$C)</f>
        <v>PR</v>
      </c>
      <c r="N472" s="3">
        <v>1425</v>
      </c>
      <c r="O472" s="4" t="s">
        <v>250</v>
      </c>
      <c r="P472" s="5" t="s">
        <v>81</v>
      </c>
      <c r="Q472" s="56">
        <v>0</v>
      </c>
      <c r="R472" s="56">
        <v>1567.0058468127811</v>
      </c>
      <c r="S472" s="56">
        <v>1819.7487253309716</v>
      </c>
      <c r="T472" s="56">
        <f>_xlfn.XLOOKUP($N472,'Calculo Leads'!$A$97:$A$134,'Calculo Leads'!G$97:G$134)*_xlfn.XLOOKUP($P472,'Base Grupo de Produtos'!$E$2:$E$18,'Base Grupo de Produtos'!$F$2:$F$18)</f>
        <v>200</v>
      </c>
      <c r="U472" s="56">
        <f>_xlfn.XLOOKUP($N472,'Calculo Leads'!$A$97:$A$134,'Calculo Leads'!H$97:H$134)*_xlfn.XLOOKUP($P472,'Base Grupo de Produtos'!$E$2:$E$18,'Base Grupo de Produtos'!$F$2:$F$18)</f>
        <v>200</v>
      </c>
      <c r="V472" s="56">
        <f>_xlfn.XLOOKUP($N472,'Calculo Leads'!$A$97:$A$134,'Calculo Leads'!I$97:I$134)*_xlfn.XLOOKUP($P472,'Base Grupo de Produtos'!$E$2:$E$18,'Base Grupo de Produtos'!$F$2:$F$18)</f>
        <v>250</v>
      </c>
      <c r="W472" s="56">
        <f>_xlfn.XLOOKUP($N472,'Calculo Leads'!$A$97:$A$134,'Calculo Leads'!J$97:J$134)*_xlfn.XLOOKUP($P472,'Base Grupo de Produtos'!$E$2:$E$18,'Base Grupo de Produtos'!$F$2:$F$18)</f>
        <v>300</v>
      </c>
      <c r="X472" s="56">
        <f>_xlfn.XLOOKUP($N472,'Calculo Leads'!$A$97:$A$134,'Calculo Leads'!K$97:K$134)*_xlfn.XLOOKUP($P472,'Base Grupo de Produtos'!$E$2:$E$18,'Base Grupo de Produtos'!$F$2:$F$18)</f>
        <v>385</v>
      </c>
      <c r="Y472" s="56">
        <f>_xlfn.XLOOKUP($N472,'Calculo Leads'!$A$97:$A$134,'Calculo Leads'!L$97:L$134)*_xlfn.XLOOKUP($P472,'Base Grupo de Produtos'!$E$2:$E$18,'Base Grupo de Produtos'!$F$2:$F$18)</f>
        <v>495</v>
      </c>
      <c r="Z472" s="56">
        <f>_xlfn.XLOOKUP($N472,'Calculo Leads'!$A$97:$A$134,'Calculo Leads'!M$97:M$134)*_xlfn.XLOOKUP($P472,'Base Grupo de Produtos'!$E$2:$E$18,'Base Grupo de Produtos'!$F$2:$F$18)</f>
        <v>495</v>
      </c>
      <c r="AA472" s="56">
        <f>_xlfn.XLOOKUP($N472,'Calculo Leads'!$A$97:$A$134,'Calculo Leads'!N$97:N$134)*_xlfn.XLOOKUP($P472,'Base Grupo de Produtos'!$E$2:$E$18,'Base Grupo de Produtos'!$F$2:$F$18)</f>
        <v>605</v>
      </c>
      <c r="AB472" s="56">
        <f>_xlfn.XLOOKUP($N472,'Calculo Leads'!$A$97:$A$134,'Calculo Leads'!O$97:O$134)*_xlfn.XLOOKUP($P472,'Base Grupo de Produtos'!$E$2:$E$18,'Base Grupo de Produtos'!$F$2:$F$18)</f>
        <v>385</v>
      </c>
      <c r="AC472" s="61">
        <f t="shared" si="499"/>
        <v>3315</v>
      </c>
      <c r="AD472" s="27">
        <f t="shared" ref="AD472:AD488" si="518">IF(AC472=0,0,AC472-AG472)</f>
        <v>3315</v>
      </c>
      <c r="AE472" s="25">
        <f>IFERROR(_xlfn.XLOOKUP(N472&amp;P472,'Historico Vendas'!G:G,'Historico Vendas'!E:E),0)</f>
        <v>0</v>
      </c>
      <c r="AF472" s="29" t="str">
        <f t="shared" si="462"/>
        <v/>
      </c>
      <c r="AG472" s="24">
        <f>IFERROR(_xlfn.XLOOKUP(N472&amp;P472,'Historico Vendas'!G:G,'Historico Vendas'!F:F),0)</f>
        <v>0</v>
      </c>
      <c r="AH472" s="25">
        <f t="shared" ref="AH472:AH488" si="519">SUM(Q472:S472)</f>
        <v>3386.7545721437527</v>
      </c>
      <c r="AI472" s="24">
        <f t="shared" ref="AI472:AI488" si="520">AH472-AG472</f>
        <v>3386.7545721437527</v>
      </c>
      <c r="AJ472" s="11">
        <f t="shared" si="483"/>
        <v>0</v>
      </c>
      <c r="AK472" s="9" t="s">
        <v>102</v>
      </c>
      <c r="AL472" s="13">
        <f>IFERROR(INDEX('Balizador da Meta'!$D$3:$F$23,MATCH(Faturamento!$P472,'Balizador da Meta'!$C$3:$C$23,0),MATCH(Faturamento!AK472,'Balizador da Meta'!$D$2:$F$2,0)),"")</f>
        <v>0.2</v>
      </c>
      <c r="AM472" s="9"/>
    </row>
    <row r="473" spans="1:39" x14ac:dyDescent="0.3">
      <c r="A473" s="2" t="str">
        <f t="shared" si="463"/>
        <v>NÃO</v>
      </c>
      <c r="B473" s="2" t="str">
        <f>_xlfn.XLOOKUP($N473,'Base de Grupos'!$A:$A,'Base de Grupos'!$D:$D)</f>
        <v>1000065763</v>
      </c>
      <c r="C473" s="5" t="str">
        <f>_xlfn.XLOOKUP($N473,'Base de Grupos'!$A:$A,'Base de Grupos'!$E:$E)</f>
        <v>CANAL VENDA INTERNA</v>
      </c>
      <c r="D473" s="5" t="str">
        <f>_xlfn.XLOOKUP($N473,'Base de Grupos'!$A:$A,'Base de Grupos'!$F:$F)</f>
        <v>1000065763</v>
      </c>
      <c r="E473" s="2" t="str">
        <f>_xlfn.XLOOKUP($N473,'Base de Grupos'!$A:$A,'Base de Grupos'!$G:$G)</f>
        <v>CANAL VENDA INTERNA</v>
      </c>
      <c r="F473" s="2" t="str">
        <f>_xlfn.XLOOKUP($N473,'Base de Grupos'!$A:$A,'Base de Grupos'!$H:$H)</f>
        <v>1000153245</v>
      </c>
      <c r="G473" s="5" t="str">
        <f>_xlfn.XLOOKUP($N473,'Base de Grupos'!$A:$A,'Base de Grupos'!$I:$I)</f>
        <v>REGIONAL VENDA INTERNA - KEY ACCOUNT</v>
      </c>
      <c r="H473" s="5" t="str">
        <f>_xlfn.XLOOKUP($N473,'Base de Grupos'!$A:$A,'Base de Grupos'!$J:$J)</f>
        <v>1000153245</v>
      </c>
      <c r="I473" s="2" t="str">
        <f>_xlfn.XLOOKUP($N473,'Base de Grupos'!$A:$A,'Base de Grupos'!$K:$K)</f>
        <v>REGIONAL VENDA INTERNA - KEY ACCOUNT</v>
      </c>
      <c r="J473" s="2" t="str">
        <f>_xlfn.XLOOKUP($N473,'Base de Grupos'!$A:$A,'Base de Grupos'!$L:$L)</f>
        <v>1000153245</v>
      </c>
      <c r="K473" s="5" t="str">
        <f>_xlfn.XLOOKUP($N473,'Base de Grupos'!$A:$A,'Base de Grupos'!$M:$M)</f>
        <v>REGIONAL VENDA INTERNA - KEY ACCOUNT</v>
      </c>
      <c r="L473" s="5" t="str">
        <f t="shared" si="464"/>
        <v/>
      </c>
      <c r="M473" s="5" t="str">
        <f>_xlfn.XLOOKUP($N473,'Base de Grupos'!$A:$A,'Base de Grupos'!$C:$C)</f>
        <v>PR</v>
      </c>
      <c r="N473" s="3">
        <v>1425</v>
      </c>
      <c r="O473" s="4" t="s">
        <v>250</v>
      </c>
      <c r="P473" s="5" t="s">
        <v>82</v>
      </c>
      <c r="Q473" s="56">
        <v>0</v>
      </c>
      <c r="R473" s="56">
        <v>7180.9981042654035</v>
      </c>
      <c r="S473" s="56">
        <v>8206.8549763033188</v>
      </c>
      <c r="T473" s="56">
        <f>_xlfn.XLOOKUP($N473,'Calculo Leads'!$A$97:$A$134,'Calculo Leads'!G$97:G$134)*_xlfn.XLOOKUP($P473,'Base Grupo de Produtos'!$E$2:$E$18,'Base Grupo de Produtos'!$F$2:$F$18)</f>
        <v>200</v>
      </c>
      <c r="U473" s="56">
        <f>_xlfn.XLOOKUP($N473,'Calculo Leads'!$A$97:$A$134,'Calculo Leads'!H$97:H$134)*_xlfn.XLOOKUP($P473,'Base Grupo de Produtos'!$E$2:$E$18,'Base Grupo de Produtos'!$F$2:$F$18)</f>
        <v>200</v>
      </c>
      <c r="V473" s="56">
        <f>_xlfn.XLOOKUP($N473,'Calculo Leads'!$A$97:$A$134,'Calculo Leads'!I$97:I$134)*_xlfn.XLOOKUP($P473,'Base Grupo de Produtos'!$E$2:$E$18,'Base Grupo de Produtos'!$F$2:$F$18)</f>
        <v>250</v>
      </c>
      <c r="W473" s="56">
        <f>_xlfn.XLOOKUP($N473,'Calculo Leads'!$A$97:$A$134,'Calculo Leads'!J$97:J$134)*_xlfn.XLOOKUP($P473,'Base Grupo de Produtos'!$E$2:$E$18,'Base Grupo de Produtos'!$F$2:$F$18)</f>
        <v>300</v>
      </c>
      <c r="X473" s="56">
        <f>_xlfn.XLOOKUP($N473,'Calculo Leads'!$A$97:$A$134,'Calculo Leads'!K$97:K$134)*_xlfn.XLOOKUP($P473,'Base Grupo de Produtos'!$E$2:$E$18,'Base Grupo de Produtos'!$F$2:$F$18)</f>
        <v>385</v>
      </c>
      <c r="Y473" s="56">
        <f>_xlfn.XLOOKUP($N473,'Calculo Leads'!$A$97:$A$134,'Calculo Leads'!L$97:L$134)*_xlfn.XLOOKUP($P473,'Base Grupo de Produtos'!$E$2:$E$18,'Base Grupo de Produtos'!$F$2:$F$18)</f>
        <v>495</v>
      </c>
      <c r="Z473" s="56">
        <f>_xlfn.XLOOKUP($N473,'Calculo Leads'!$A$97:$A$134,'Calculo Leads'!M$97:M$134)*_xlfn.XLOOKUP($P473,'Base Grupo de Produtos'!$E$2:$E$18,'Base Grupo de Produtos'!$F$2:$F$18)</f>
        <v>495</v>
      </c>
      <c r="AA473" s="56">
        <f>_xlfn.XLOOKUP($N473,'Calculo Leads'!$A$97:$A$134,'Calculo Leads'!N$97:N$134)*_xlfn.XLOOKUP($P473,'Base Grupo de Produtos'!$E$2:$E$18,'Base Grupo de Produtos'!$F$2:$F$18)</f>
        <v>605</v>
      </c>
      <c r="AB473" s="56">
        <f>_xlfn.XLOOKUP($N473,'Calculo Leads'!$A$97:$A$134,'Calculo Leads'!O$97:O$134)*_xlfn.XLOOKUP($P473,'Base Grupo de Produtos'!$E$2:$E$18,'Base Grupo de Produtos'!$F$2:$F$18)</f>
        <v>385</v>
      </c>
      <c r="AC473" s="61">
        <f t="shared" si="499"/>
        <v>3315</v>
      </c>
      <c r="AD473" s="27">
        <f t="shared" si="518"/>
        <v>3315</v>
      </c>
      <c r="AE473" s="25">
        <f>IFERROR(_xlfn.XLOOKUP(N473&amp;P473,'Historico Vendas'!G:G,'Historico Vendas'!E:E),0)</f>
        <v>0</v>
      </c>
      <c r="AF473" s="29" t="str">
        <f t="shared" si="462"/>
        <v/>
      </c>
      <c r="AG473" s="24">
        <f>IFERROR(_xlfn.XLOOKUP(N473&amp;P473,'Historico Vendas'!G:G,'Historico Vendas'!F:F),0)</f>
        <v>0</v>
      </c>
      <c r="AH473" s="25">
        <f t="shared" si="519"/>
        <v>15387.853080568722</v>
      </c>
      <c r="AI473" s="24">
        <f t="shared" si="520"/>
        <v>15387.853080568722</v>
      </c>
      <c r="AJ473" s="11">
        <f t="shared" si="483"/>
        <v>0</v>
      </c>
      <c r="AK473" s="9" t="s">
        <v>102</v>
      </c>
      <c r="AL473" s="13">
        <f>IFERROR(INDEX('Balizador da Meta'!$D$3:$F$23,MATCH(Faturamento!$P473,'Balizador da Meta'!$C$3:$C$23,0),MATCH(Faturamento!AK473,'Balizador da Meta'!$D$2:$F$2,0)),"")</f>
        <v>0.2</v>
      </c>
      <c r="AM473" s="9"/>
    </row>
    <row r="474" spans="1:39" x14ac:dyDescent="0.3">
      <c r="A474" s="2" t="str">
        <f t="shared" si="463"/>
        <v>NÃO</v>
      </c>
      <c r="B474" s="2" t="str">
        <f>_xlfn.XLOOKUP($N474,'Base de Grupos'!$A:$A,'Base de Grupos'!$D:$D)</f>
        <v>1000065763</v>
      </c>
      <c r="C474" s="5" t="str">
        <f>_xlfn.XLOOKUP($N474,'Base de Grupos'!$A:$A,'Base de Grupos'!$E:$E)</f>
        <v>CANAL VENDA INTERNA</v>
      </c>
      <c r="D474" s="5" t="str">
        <f>_xlfn.XLOOKUP($N474,'Base de Grupos'!$A:$A,'Base de Grupos'!$F:$F)</f>
        <v>1000065763</v>
      </c>
      <c r="E474" s="2" t="str">
        <f>_xlfn.XLOOKUP($N474,'Base de Grupos'!$A:$A,'Base de Grupos'!$G:$G)</f>
        <v>CANAL VENDA INTERNA</v>
      </c>
      <c r="F474" s="2" t="str">
        <f>_xlfn.XLOOKUP($N474,'Base de Grupos'!$A:$A,'Base de Grupos'!$H:$H)</f>
        <v>1000153245</v>
      </c>
      <c r="G474" s="5" t="str">
        <f>_xlfn.XLOOKUP($N474,'Base de Grupos'!$A:$A,'Base de Grupos'!$I:$I)</f>
        <v>REGIONAL VENDA INTERNA - KEY ACCOUNT</v>
      </c>
      <c r="H474" s="5" t="str">
        <f>_xlfn.XLOOKUP($N474,'Base de Grupos'!$A:$A,'Base de Grupos'!$J:$J)</f>
        <v>1000153245</v>
      </c>
      <c r="I474" s="2" t="str">
        <f>_xlfn.XLOOKUP($N474,'Base de Grupos'!$A:$A,'Base de Grupos'!$K:$K)</f>
        <v>REGIONAL VENDA INTERNA - KEY ACCOUNT</v>
      </c>
      <c r="J474" s="2" t="str">
        <f>_xlfn.XLOOKUP($N474,'Base de Grupos'!$A:$A,'Base de Grupos'!$L:$L)</f>
        <v>1000153245</v>
      </c>
      <c r="K474" s="5" t="str">
        <f>_xlfn.XLOOKUP($N474,'Base de Grupos'!$A:$A,'Base de Grupos'!$M:$M)</f>
        <v>REGIONAL VENDA INTERNA - KEY ACCOUNT</v>
      </c>
      <c r="L474" s="5" t="str">
        <f t="shared" si="464"/>
        <v/>
      </c>
      <c r="M474" s="5" t="str">
        <f>_xlfn.XLOOKUP($N474,'Base de Grupos'!$A:$A,'Base de Grupos'!$C:$C)</f>
        <v>PR</v>
      </c>
      <c r="N474" s="3">
        <v>1425</v>
      </c>
      <c r="O474" s="4" t="s">
        <v>250</v>
      </c>
      <c r="P474" s="5" t="s">
        <v>84</v>
      </c>
      <c r="Q474" s="56">
        <v>0</v>
      </c>
      <c r="R474" s="56">
        <v>2317.9543333333336</v>
      </c>
      <c r="S474" s="56">
        <v>2649.0906666666669</v>
      </c>
      <c r="T474" s="56">
        <f>_xlfn.XLOOKUP($N474,'Calculo Leads'!$A$97:$A$134,'Calculo Leads'!G$97:G$134)*_xlfn.XLOOKUP($P474,'Base Grupo de Produtos'!$E$2:$E$18,'Base Grupo de Produtos'!$F$2:$F$18)</f>
        <v>320</v>
      </c>
      <c r="U474" s="56">
        <f>_xlfn.XLOOKUP($N474,'Calculo Leads'!$A$97:$A$134,'Calculo Leads'!H$97:H$134)*_xlfn.XLOOKUP($P474,'Base Grupo de Produtos'!$E$2:$E$18,'Base Grupo de Produtos'!$F$2:$F$18)</f>
        <v>320</v>
      </c>
      <c r="V474" s="56">
        <f>_xlfn.XLOOKUP($N474,'Calculo Leads'!$A$97:$A$134,'Calculo Leads'!I$97:I$134)*_xlfn.XLOOKUP($P474,'Base Grupo de Produtos'!$E$2:$E$18,'Base Grupo de Produtos'!$F$2:$F$18)</f>
        <v>400</v>
      </c>
      <c r="W474" s="56">
        <f>_xlfn.XLOOKUP($N474,'Calculo Leads'!$A$97:$A$134,'Calculo Leads'!J$97:J$134)*_xlfn.XLOOKUP($P474,'Base Grupo de Produtos'!$E$2:$E$18,'Base Grupo de Produtos'!$F$2:$F$18)</f>
        <v>480</v>
      </c>
      <c r="X474" s="56">
        <f>_xlfn.XLOOKUP($N474,'Calculo Leads'!$A$97:$A$134,'Calculo Leads'!K$97:K$134)*_xlfn.XLOOKUP($P474,'Base Grupo de Produtos'!$E$2:$E$18,'Base Grupo de Produtos'!$F$2:$F$18)</f>
        <v>616</v>
      </c>
      <c r="Y474" s="56">
        <f>_xlfn.XLOOKUP($N474,'Calculo Leads'!$A$97:$A$134,'Calculo Leads'!L$97:L$134)*_xlfn.XLOOKUP($P474,'Base Grupo de Produtos'!$E$2:$E$18,'Base Grupo de Produtos'!$F$2:$F$18)</f>
        <v>792</v>
      </c>
      <c r="Z474" s="56">
        <f>_xlfn.XLOOKUP($N474,'Calculo Leads'!$A$97:$A$134,'Calculo Leads'!M$97:M$134)*_xlfn.XLOOKUP($P474,'Base Grupo de Produtos'!$E$2:$E$18,'Base Grupo de Produtos'!$F$2:$F$18)</f>
        <v>792</v>
      </c>
      <c r="AA474" s="56">
        <f>_xlfn.XLOOKUP($N474,'Calculo Leads'!$A$97:$A$134,'Calculo Leads'!N$97:N$134)*_xlfn.XLOOKUP($P474,'Base Grupo de Produtos'!$E$2:$E$18,'Base Grupo de Produtos'!$F$2:$F$18)</f>
        <v>968</v>
      </c>
      <c r="AB474" s="56">
        <f>_xlfn.XLOOKUP($N474,'Calculo Leads'!$A$97:$A$134,'Calculo Leads'!O$97:O$134)*_xlfn.XLOOKUP($P474,'Base Grupo de Produtos'!$E$2:$E$18,'Base Grupo de Produtos'!$F$2:$F$18)</f>
        <v>616</v>
      </c>
      <c r="AC474" s="61">
        <f t="shared" si="499"/>
        <v>5304</v>
      </c>
      <c r="AD474" s="27">
        <f t="shared" si="518"/>
        <v>5304</v>
      </c>
      <c r="AE474" s="25">
        <f>IFERROR(_xlfn.XLOOKUP(N474&amp;P474,'Historico Vendas'!G:G,'Historico Vendas'!E:E),0)</f>
        <v>0</v>
      </c>
      <c r="AF474" s="29" t="str">
        <f t="shared" si="462"/>
        <v/>
      </c>
      <c r="AG474" s="24">
        <f>IFERROR(_xlfn.XLOOKUP(N474&amp;P474,'Historico Vendas'!G:G,'Historico Vendas'!F:F),0)</f>
        <v>0</v>
      </c>
      <c r="AH474" s="25">
        <f t="shared" si="519"/>
        <v>4967.0450000000001</v>
      </c>
      <c r="AI474" s="24">
        <f t="shared" si="520"/>
        <v>4967.0450000000001</v>
      </c>
      <c r="AJ474" s="11">
        <f t="shared" si="483"/>
        <v>0</v>
      </c>
      <c r="AK474" s="9" t="s">
        <v>102</v>
      </c>
      <c r="AL474" s="13">
        <f>IFERROR(INDEX('Balizador da Meta'!$D$3:$F$23,MATCH(Faturamento!$P474,'Balizador da Meta'!$C$3:$C$23,0),MATCH(Faturamento!AK474,'Balizador da Meta'!$D$2:$F$2,0)),"")</f>
        <v>0.15</v>
      </c>
      <c r="AM474" s="9"/>
    </row>
    <row r="475" spans="1:39" x14ac:dyDescent="0.3">
      <c r="A475" s="2" t="str">
        <f t="shared" si="463"/>
        <v>NÃO</v>
      </c>
      <c r="B475" s="2" t="str">
        <f>_xlfn.XLOOKUP($N475,'Base de Grupos'!$A:$A,'Base de Grupos'!$D:$D)</f>
        <v>1000065763</v>
      </c>
      <c r="C475" s="5" t="str">
        <f>_xlfn.XLOOKUP($N475,'Base de Grupos'!$A:$A,'Base de Grupos'!$E:$E)</f>
        <v>CANAL VENDA INTERNA</v>
      </c>
      <c r="D475" s="5" t="str">
        <f>_xlfn.XLOOKUP($N475,'Base de Grupos'!$A:$A,'Base de Grupos'!$F:$F)</f>
        <v>1000065763</v>
      </c>
      <c r="E475" s="2" t="str">
        <f>_xlfn.XLOOKUP($N475,'Base de Grupos'!$A:$A,'Base de Grupos'!$G:$G)</f>
        <v>CANAL VENDA INTERNA</v>
      </c>
      <c r="F475" s="2" t="str">
        <f>_xlfn.XLOOKUP($N475,'Base de Grupos'!$A:$A,'Base de Grupos'!$H:$H)</f>
        <v>1000153245</v>
      </c>
      <c r="G475" s="5" t="str">
        <f>_xlfn.XLOOKUP($N475,'Base de Grupos'!$A:$A,'Base de Grupos'!$I:$I)</f>
        <v>REGIONAL VENDA INTERNA - KEY ACCOUNT</v>
      </c>
      <c r="H475" s="5" t="str">
        <f>_xlfn.XLOOKUP($N475,'Base de Grupos'!$A:$A,'Base de Grupos'!$J:$J)</f>
        <v>1000153245</v>
      </c>
      <c r="I475" s="2" t="str">
        <f>_xlfn.XLOOKUP($N475,'Base de Grupos'!$A:$A,'Base de Grupos'!$K:$K)</f>
        <v>REGIONAL VENDA INTERNA - KEY ACCOUNT</v>
      </c>
      <c r="J475" s="2" t="str">
        <f>_xlfn.XLOOKUP($N475,'Base de Grupos'!$A:$A,'Base de Grupos'!$L:$L)</f>
        <v>1000153245</v>
      </c>
      <c r="K475" s="5" t="str">
        <f>_xlfn.XLOOKUP($N475,'Base de Grupos'!$A:$A,'Base de Grupos'!$M:$M)</f>
        <v>REGIONAL VENDA INTERNA - KEY ACCOUNT</v>
      </c>
      <c r="L475" s="5" t="str">
        <f t="shared" si="464"/>
        <v/>
      </c>
      <c r="M475" s="5" t="str">
        <f>_xlfn.XLOOKUP($N475,'Base de Grupos'!$A:$A,'Base de Grupos'!$C:$C)</f>
        <v>PR</v>
      </c>
      <c r="N475" s="3">
        <v>1425</v>
      </c>
      <c r="O475" s="4" t="s">
        <v>250</v>
      </c>
      <c r="P475" s="5" t="s">
        <v>83</v>
      </c>
      <c r="Q475" s="56">
        <v>0</v>
      </c>
      <c r="R475" s="56">
        <v>2358.9888095238098</v>
      </c>
      <c r="S475" s="56">
        <v>2636.5169047619052</v>
      </c>
      <c r="T475" s="56">
        <f>_xlfn.XLOOKUP($N475,'Calculo Leads'!$A$97:$A$134,'Calculo Leads'!G$97:G$134)*_xlfn.XLOOKUP($P475,'Base Grupo de Produtos'!$E$2:$E$18,'Base Grupo de Produtos'!$F$2:$F$18)</f>
        <v>400</v>
      </c>
      <c r="U475" s="56">
        <f>_xlfn.XLOOKUP($N475,'Calculo Leads'!$A$97:$A$134,'Calculo Leads'!H$97:H$134)*_xlfn.XLOOKUP($P475,'Base Grupo de Produtos'!$E$2:$E$18,'Base Grupo de Produtos'!$F$2:$F$18)</f>
        <v>400</v>
      </c>
      <c r="V475" s="56">
        <f>_xlfn.XLOOKUP($N475,'Calculo Leads'!$A$97:$A$134,'Calculo Leads'!I$97:I$134)*_xlfn.XLOOKUP($P475,'Base Grupo de Produtos'!$E$2:$E$18,'Base Grupo de Produtos'!$F$2:$F$18)</f>
        <v>500</v>
      </c>
      <c r="W475" s="56">
        <f>_xlfn.XLOOKUP($N475,'Calculo Leads'!$A$97:$A$134,'Calculo Leads'!J$97:J$134)*_xlfn.XLOOKUP($P475,'Base Grupo de Produtos'!$E$2:$E$18,'Base Grupo de Produtos'!$F$2:$F$18)</f>
        <v>600</v>
      </c>
      <c r="X475" s="56">
        <f>_xlfn.XLOOKUP($N475,'Calculo Leads'!$A$97:$A$134,'Calculo Leads'!K$97:K$134)*_xlfn.XLOOKUP($P475,'Base Grupo de Produtos'!$E$2:$E$18,'Base Grupo de Produtos'!$F$2:$F$18)</f>
        <v>770</v>
      </c>
      <c r="Y475" s="56">
        <f>_xlfn.XLOOKUP($N475,'Calculo Leads'!$A$97:$A$134,'Calculo Leads'!L$97:L$134)*_xlfn.XLOOKUP($P475,'Base Grupo de Produtos'!$E$2:$E$18,'Base Grupo de Produtos'!$F$2:$F$18)</f>
        <v>990</v>
      </c>
      <c r="Z475" s="56">
        <f>_xlfn.XLOOKUP($N475,'Calculo Leads'!$A$97:$A$134,'Calculo Leads'!M$97:M$134)*_xlfn.XLOOKUP($P475,'Base Grupo de Produtos'!$E$2:$E$18,'Base Grupo de Produtos'!$F$2:$F$18)</f>
        <v>990</v>
      </c>
      <c r="AA475" s="56">
        <f>_xlfn.XLOOKUP($N475,'Calculo Leads'!$A$97:$A$134,'Calculo Leads'!N$97:N$134)*_xlfn.XLOOKUP($P475,'Base Grupo de Produtos'!$E$2:$E$18,'Base Grupo de Produtos'!$F$2:$F$18)</f>
        <v>1210</v>
      </c>
      <c r="AB475" s="56">
        <f>_xlfn.XLOOKUP($N475,'Calculo Leads'!$A$97:$A$134,'Calculo Leads'!O$97:O$134)*_xlfn.XLOOKUP($P475,'Base Grupo de Produtos'!$E$2:$E$18,'Base Grupo de Produtos'!$F$2:$F$18)</f>
        <v>770</v>
      </c>
      <c r="AC475" s="61">
        <f t="shared" si="499"/>
        <v>6630</v>
      </c>
      <c r="AD475" s="27">
        <f t="shared" si="518"/>
        <v>6630</v>
      </c>
      <c r="AE475" s="25">
        <f>IFERROR(_xlfn.XLOOKUP(N475&amp;P475,'Historico Vendas'!G:G,'Historico Vendas'!E:E),0)</f>
        <v>0</v>
      </c>
      <c r="AF475" s="29" t="str">
        <f t="shared" si="462"/>
        <v/>
      </c>
      <c r="AG475" s="24">
        <f>IFERROR(_xlfn.XLOOKUP(N475&amp;P475,'Historico Vendas'!G:G,'Historico Vendas'!F:F),0)</f>
        <v>0</v>
      </c>
      <c r="AH475" s="25">
        <f t="shared" si="519"/>
        <v>4995.5057142857149</v>
      </c>
      <c r="AI475" s="24">
        <f t="shared" si="520"/>
        <v>4995.5057142857149</v>
      </c>
      <c r="AJ475" s="11">
        <f t="shared" si="483"/>
        <v>0</v>
      </c>
      <c r="AK475" s="9" t="s">
        <v>102</v>
      </c>
      <c r="AL475" s="13">
        <f>IFERROR(INDEX('Balizador da Meta'!$D$3:$F$23,MATCH(Faturamento!$P475,'Balizador da Meta'!$C$3:$C$23,0),MATCH(Faturamento!AK475,'Balizador da Meta'!$D$2:$F$2,0)),"")</f>
        <v>0</v>
      </c>
      <c r="AM475" s="9"/>
    </row>
    <row r="476" spans="1:39" x14ac:dyDescent="0.3">
      <c r="A476" s="2" t="str">
        <f t="shared" si="463"/>
        <v>NÃO</v>
      </c>
      <c r="B476" s="2" t="str">
        <f>_xlfn.XLOOKUP($N476,'Base de Grupos'!$A:$A,'Base de Grupos'!$D:$D)</f>
        <v>1000065763</v>
      </c>
      <c r="C476" s="5" t="str">
        <f>_xlfn.XLOOKUP($N476,'Base de Grupos'!$A:$A,'Base de Grupos'!$E:$E)</f>
        <v>CANAL VENDA INTERNA</v>
      </c>
      <c r="D476" s="5" t="str">
        <f>_xlfn.XLOOKUP($N476,'Base de Grupos'!$A:$A,'Base de Grupos'!$F:$F)</f>
        <v>1000065763</v>
      </c>
      <c r="E476" s="2" t="str">
        <f>_xlfn.XLOOKUP($N476,'Base de Grupos'!$A:$A,'Base de Grupos'!$G:$G)</f>
        <v>CANAL VENDA INTERNA</v>
      </c>
      <c r="F476" s="2" t="str">
        <f>_xlfn.XLOOKUP($N476,'Base de Grupos'!$A:$A,'Base de Grupos'!$H:$H)</f>
        <v>1000153245</v>
      </c>
      <c r="G476" s="5" t="str">
        <f>_xlfn.XLOOKUP($N476,'Base de Grupos'!$A:$A,'Base de Grupos'!$I:$I)</f>
        <v>REGIONAL VENDA INTERNA - KEY ACCOUNT</v>
      </c>
      <c r="H476" s="5" t="str">
        <f>_xlfn.XLOOKUP($N476,'Base de Grupos'!$A:$A,'Base de Grupos'!$J:$J)</f>
        <v>1000153245</v>
      </c>
      <c r="I476" s="2" t="str">
        <f>_xlfn.XLOOKUP($N476,'Base de Grupos'!$A:$A,'Base de Grupos'!$K:$K)</f>
        <v>REGIONAL VENDA INTERNA - KEY ACCOUNT</v>
      </c>
      <c r="J476" s="2" t="str">
        <f>_xlfn.XLOOKUP($N476,'Base de Grupos'!$A:$A,'Base de Grupos'!$L:$L)</f>
        <v>1000153245</v>
      </c>
      <c r="K476" s="5" t="str">
        <f>_xlfn.XLOOKUP($N476,'Base de Grupos'!$A:$A,'Base de Grupos'!$M:$M)</f>
        <v>REGIONAL VENDA INTERNA - KEY ACCOUNT</v>
      </c>
      <c r="L476" s="5" t="str">
        <f t="shared" si="464"/>
        <v/>
      </c>
      <c r="M476" s="5" t="str">
        <f>_xlfn.XLOOKUP($N476,'Base de Grupos'!$A:$A,'Base de Grupos'!$C:$C)</f>
        <v>PR</v>
      </c>
      <c r="N476" s="3">
        <v>1425</v>
      </c>
      <c r="O476" s="4" t="s">
        <v>250</v>
      </c>
      <c r="P476" s="5" t="s">
        <v>87</v>
      </c>
      <c r="Q476" s="56">
        <v>0</v>
      </c>
      <c r="R476" s="56">
        <v>1122.81</v>
      </c>
      <c r="S476" s="56">
        <v>1247.5666666666666</v>
      </c>
      <c r="T476" s="56">
        <f>_xlfn.XLOOKUP($N476,'Calculo Leads'!$A$97:$A$134,'Calculo Leads'!G$97:G$134)*_xlfn.XLOOKUP($P476,'Base Grupo de Produtos'!$E$2:$E$18,'Base Grupo de Produtos'!$F$2:$F$18)</f>
        <v>79.999999999999986</v>
      </c>
      <c r="U476" s="56">
        <f>_xlfn.XLOOKUP($N476,'Calculo Leads'!$A$97:$A$134,'Calculo Leads'!H$97:H$134)*_xlfn.XLOOKUP($P476,'Base Grupo de Produtos'!$E$2:$E$18,'Base Grupo de Produtos'!$F$2:$F$18)</f>
        <v>79.999999999999986</v>
      </c>
      <c r="V476" s="56">
        <f>_xlfn.XLOOKUP($N476,'Calculo Leads'!$A$97:$A$134,'Calculo Leads'!I$97:I$134)*_xlfn.XLOOKUP($P476,'Base Grupo de Produtos'!$E$2:$E$18,'Base Grupo de Produtos'!$F$2:$F$18)</f>
        <v>99.999999999999986</v>
      </c>
      <c r="W476" s="56">
        <f>_xlfn.XLOOKUP($N476,'Calculo Leads'!$A$97:$A$134,'Calculo Leads'!J$97:J$134)*_xlfn.XLOOKUP($P476,'Base Grupo de Produtos'!$E$2:$E$18,'Base Grupo de Produtos'!$F$2:$F$18)</f>
        <v>119.99999999999999</v>
      </c>
      <c r="X476" s="56">
        <f>_xlfn.XLOOKUP($N476,'Calculo Leads'!$A$97:$A$134,'Calculo Leads'!K$97:K$134)*_xlfn.XLOOKUP($P476,'Base Grupo de Produtos'!$E$2:$E$18,'Base Grupo de Produtos'!$F$2:$F$18)</f>
        <v>153.99999999999997</v>
      </c>
      <c r="Y476" s="56">
        <f>_xlfn.XLOOKUP($N476,'Calculo Leads'!$A$97:$A$134,'Calculo Leads'!L$97:L$134)*_xlfn.XLOOKUP($P476,'Base Grupo de Produtos'!$E$2:$E$18,'Base Grupo de Produtos'!$F$2:$F$18)</f>
        <v>197.99999999999997</v>
      </c>
      <c r="Z476" s="56">
        <f>_xlfn.XLOOKUP($N476,'Calculo Leads'!$A$97:$A$134,'Calculo Leads'!M$97:M$134)*_xlfn.XLOOKUP($P476,'Base Grupo de Produtos'!$E$2:$E$18,'Base Grupo de Produtos'!$F$2:$F$18)</f>
        <v>197.99999999999997</v>
      </c>
      <c r="AA476" s="56">
        <f>_xlfn.XLOOKUP($N476,'Calculo Leads'!$A$97:$A$134,'Calculo Leads'!N$97:N$134)*_xlfn.XLOOKUP($P476,'Base Grupo de Produtos'!$E$2:$E$18,'Base Grupo de Produtos'!$F$2:$F$18)</f>
        <v>241.99999999999997</v>
      </c>
      <c r="AB476" s="56">
        <f>_xlfn.XLOOKUP($N476,'Calculo Leads'!$A$97:$A$134,'Calculo Leads'!O$97:O$134)*_xlfn.XLOOKUP($P476,'Base Grupo de Produtos'!$E$2:$E$18,'Base Grupo de Produtos'!$F$2:$F$18)</f>
        <v>153.99999999999997</v>
      </c>
      <c r="AC476" s="61">
        <f t="shared" si="499"/>
        <v>1325.9999999999998</v>
      </c>
      <c r="AD476" s="27">
        <f t="shared" si="518"/>
        <v>1325.9999999999998</v>
      </c>
      <c r="AE476" s="25">
        <f>IFERROR(_xlfn.XLOOKUP(N476&amp;P476,'Historico Vendas'!G:G,'Historico Vendas'!E:E),0)</f>
        <v>0</v>
      </c>
      <c r="AF476" s="29" t="str">
        <f t="shared" si="462"/>
        <v/>
      </c>
      <c r="AG476" s="24">
        <f>IFERROR(_xlfn.XLOOKUP(N476&amp;P476,'Historico Vendas'!G:G,'Historico Vendas'!F:F),0)</f>
        <v>0</v>
      </c>
      <c r="AH476" s="25">
        <f t="shared" si="519"/>
        <v>2370.3766666666666</v>
      </c>
      <c r="AI476" s="24">
        <f t="shared" si="520"/>
        <v>2370.3766666666666</v>
      </c>
      <c r="AJ476" s="11">
        <f t="shared" si="483"/>
        <v>0</v>
      </c>
      <c r="AK476" s="9" t="s">
        <v>102</v>
      </c>
      <c r="AL476" s="13">
        <f>IFERROR(INDEX('Balizador da Meta'!$D$3:$F$23,MATCH(Faturamento!$P476,'Balizador da Meta'!$C$3:$C$23,0),MATCH(Faturamento!AK476,'Balizador da Meta'!$D$2:$F$2,0)),"")</f>
        <v>0</v>
      </c>
      <c r="AM476" s="9"/>
    </row>
    <row r="477" spans="1:39" x14ac:dyDescent="0.3">
      <c r="A477" s="2" t="str">
        <f t="shared" si="463"/>
        <v>NÃO</v>
      </c>
      <c r="B477" s="2" t="str">
        <f>_xlfn.XLOOKUP($N477,'Base de Grupos'!$A:$A,'Base de Grupos'!$D:$D)</f>
        <v>1000065763</v>
      </c>
      <c r="C477" s="5" t="str">
        <f>_xlfn.XLOOKUP($N477,'Base de Grupos'!$A:$A,'Base de Grupos'!$E:$E)</f>
        <v>CANAL VENDA INTERNA</v>
      </c>
      <c r="D477" s="5" t="str">
        <f>_xlfn.XLOOKUP($N477,'Base de Grupos'!$A:$A,'Base de Grupos'!$F:$F)</f>
        <v>1000065763</v>
      </c>
      <c r="E477" s="2" t="str">
        <f>_xlfn.XLOOKUP($N477,'Base de Grupos'!$A:$A,'Base de Grupos'!$G:$G)</f>
        <v>CANAL VENDA INTERNA</v>
      </c>
      <c r="F477" s="2" t="str">
        <f>_xlfn.XLOOKUP($N477,'Base de Grupos'!$A:$A,'Base de Grupos'!$H:$H)</f>
        <v>1000153245</v>
      </c>
      <c r="G477" s="5" t="str">
        <f>_xlfn.XLOOKUP($N477,'Base de Grupos'!$A:$A,'Base de Grupos'!$I:$I)</f>
        <v>REGIONAL VENDA INTERNA - KEY ACCOUNT</v>
      </c>
      <c r="H477" s="5" t="str">
        <f>_xlfn.XLOOKUP($N477,'Base de Grupos'!$A:$A,'Base de Grupos'!$J:$J)</f>
        <v>1000153245</v>
      </c>
      <c r="I477" s="2" t="str">
        <f>_xlfn.XLOOKUP($N477,'Base de Grupos'!$A:$A,'Base de Grupos'!$K:$K)</f>
        <v>REGIONAL VENDA INTERNA - KEY ACCOUNT</v>
      </c>
      <c r="J477" s="2" t="str">
        <f>_xlfn.XLOOKUP($N477,'Base de Grupos'!$A:$A,'Base de Grupos'!$L:$L)</f>
        <v>1000153245</v>
      </c>
      <c r="K477" s="5" t="str">
        <f>_xlfn.XLOOKUP($N477,'Base de Grupos'!$A:$A,'Base de Grupos'!$M:$M)</f>
        <v>REGIONAL VENDA INTERNA - KEY ACCOUNT</v>
      </c>
      <c r="L477" s="5" t="str">
        <f t="shared" si="464"/>
        <v/>
      </c>
      <c r="M477" s="5" t="str">
        <f>_xlfn.XLOOKUP($N477,'Base de Grupos'!$A:$A,'Base de Grupos'!$C:$C)</f>
        <v>PR</v>
      </c>
      <c r="N477" s="3">
        <v>1425</v>
      </c>
      <c r="O477" s="4" t="s">
        <v>250</v>
      </c>
      <c r="P477" s="5" t="s">
        <v>85</v>
      </c>
      <c r="Q477" s="56">
        <v>0</v>
      </c>
      <c r="R477" s="56">
        <v>1680.8</v>
      </c>
      <c r="S477" s="56">
        <v>1890.8999999999999</v>
      </c>
      <c r="T477" s="56">
        <f>_xlfn.XLOOKUP($N477,'Calculo Leads'!$A$97:$A$134,'Calculo Leads'!G$97:G$134)*_xlfn.XLOOKUP($P477,'Base Grupo de Produtos'!$E$2:$E$18,'Base Grupo de Produtos'!$F$2:$F$18)</f>
        <v>80</v>
      </c>
      <c r="U477" s="56">
        <f>_xlfn.XLOOKUP($N477,'Calculo Leads'!$A$97:$A$134,'Calculo Leads'!H$97:H$134)*_xlfn.XLOOKUP($P477,'Base Grupo de Produtos'!$E$2:$E$18,'Base Grupo de Produtos'!$F$2:$F$18)</f>
        <v>80</v>
      </c>
      <c r="V477" s="56">
        <f>_xlfn.XLOOKUP($N477,'Calculo Leads'!$A$97:$A$134,'Calculo Leads'!I$97:I$134)*_xlfn.XLOOKUP($P477,'Base Grupo de Produtos'!$E$2:$E$18,'Base Grupo de Produtos'!$F$2:$F$18)</f>
        <v>100</v>
      </c>
      <c r="W477" s="56">
        <f>_xlfn.XLOOKUP($N477,'Calculo Leads'!$A$97:$A$134,'Calculo Leads'!J$97:J$134)*_xlfn.XLOOKUP($P477,'Base Grupo de Produtos'!$E$2:$E$18,'Base Grupo de Produtos'!$F$2:$F$18)</f>
        <v>120</v>
      </c>
      <c r="X477" s="56">
        <f>_xlfn.XLOOKUP($N477,'Calculo Leads'!$A$97:$A$134,'Calculo Leads'!K$97:K$134)*_xlfn.XLOOKUP($P477,'Base Grupo de Produtos'!$E$2:$E$18,'Base Grupo de Produtos'!$F$2:$F$18)</f>
        <v>154</v>
      </c>
      <c r="Y477" s="56">
        <f>_xlfn.XLOOKUP($N477,'Calculo Leads'!$A$97:$A$134,'Calculo Leads'!L$97:L$134)*_xlfn.XLOOKUP($P477,'Base Grupo de Produtos'!$E$2:$E$18,'Base Grupo de Produtos'!$F$2:$F$18)</f>
        <v>198</v>
      </c>
      <c r="Z477" s="56">
        <f>_xlfn.XLOOKUP($N477,'Calculo Leads'!$A$97:$A$134,'Calculo Leads'!M$97:M$134)*_xlfn.XLOOKUP($P477,'Base Grupo de Produtos'!$E$2:$E$18,'Base Grupo de Produtos'!$F$2:$F$18)</f>
        <v>198</v>
      </c>
      <c r="AA477" s="56">
        <f>_xlfn.XLOOKUP($N477,'Calculo Leads'!$A$97:$A$134,'Calculo Leads'!N$97:N$134)*_xlfn.XLOOKUP($P477,'Base Grupo de Produtos'!$E$2:$E$18,'Base Grupo de Produtos'!$F$2:$F$18)</f>
        <v>242</v>
      </c>
      <c r="AB477" s="56">
        <f>_xlfn.XLOOKUP($N477,'Calculo Leads'!$A$97:$A$134,'Calculo Leads'!O$97:O$134)*_xlfn.XLOOKUP($P477,'Base Grupo de Produtos'!$E$2:$E$18,'Base Grupo de Produtos'!$F$2:$F$18)</f>
        <v>154</v>
      </c>
      <c r="AC477" s="61">
        <f t="shared" si="499"/>
        <v>1326</v>
      </c>
      <c r="AD477" s="27">
        <f t="shared" si="518"/>
        <v>1326</v>
      </c>
      <c r="AE477" s="25">
        <f>IFERROR(_xlfn.XLOOKUP(N477&amp;P477,'Historico Vendas'!G:G,'Historico Vendas'!E:E),0)</f>
        <v>0</v>
      </c>
      <c r="AF477" s="29" t="str">
        <f t="shared" si="462"/>
        <v/>
      </c>
      <c r="AG477" s="24">
        <f>IFERROR(_xlfn.XLOOKUP(N477&amp;P477,'Historico Vendas'!G:G,'Historico Vendas'!F:F),0)</f>
        <v>0</v>
      </c>
      <c r="AH477" s="25">
        <f t="shared" si="519"/>
        <v>3571.7</v>
      </c>
      <c r="AI477" s="24">
        <f t="shared" si="520"/>
        <v>3571.7</v>
      </c>
      <c r="AJ477" s="11">
        <f t="shared" si="483"/>
        <v>0</v>
      </c>
      <c r="AK477" s="9" t="s">
        <v>102</v>
      </c>
      <c r="AL477" s="13">
        <f>IFERROR(INDEX('Balizador da Meta'!$D$3:$F$23,MATCH(Faturamento!$P477,'Balizador da Meta'!$C$3:$C$23,0),MATCH(Faturamento!AK477,'Balizador da Meta'!$D$2:$F$2,0)),"")</f>
        <v>0</v>
      </c>
      <c r="AM477" s="9"/>
    </row>
    <row r="478" spans="1:39" x14ac:dyDescent="0.3">
      <c r="A478" s="2" t="str">
        <f t="shared" si="463"/>
        <v>NÃO</v>
      </c>
      <c r="B478" s="2" t="str">
        <f>_xlfn.XLOOKUP($N478,'Base de Grupos'!$A:$A,'Base de Grupos'!$D:$D)</f>
        <v>1000065763</v>
      </c>
      <c r="C478" s="5" t="str">
        <f>_xlfn.XLOOKUP($N478,'Base de Grupos'!$A:$A,'Base de Grupos'!$E:$E)</f>
        <v>CANAL VENDA INTERNA</v>
      </c>
      <c r="D478" s="5" t="str">
        <f>_xlfn.XLOOKUP($N478,'Base de Grupos'!$A:$A,'Base de Grupos'!$F:$F)</f>
        <v>1000065763</v>
      </c>
      <c r="E478" s="2" t="str">
        <f>_xlfn.XLOOKUP($N478,'Base de Grupos'!$A:$A,'Base de Grupos'!$G:$G)</f>
        <v>CANAL VENDA INTERNA</v>
      </c>
      <c r="F478" s="2" t="str">
        <f>_xlfn.XLOOKUP($N478,'Base de Grupos'!$A:$A,'Base de Grupos'!$H:$H)</f>
        <v>1000153245</v>
      </c>
      <c r="G478" s="5" t="str">
        <f>_xlfn.XLOOKUP($N478,'Base de Grupos'!$A:$A,'Base de Grupos'!$I:$I)</f>
        <v>REGIONAL VENDA INTERNA - KEY ACCOUNT</v>
      </c>
      <c r="H478" s="5" t="str">
        <f>_xlfn.XLOOKUP($N478,'Base de Grupos'!$A:$A,'Base de Grupos'!$J:$J)</f>
        <v>1000153245</v>
      </c>
      <c r="I478" s="2" t="str">
        <f>_xlfn.XLOOKUP($N478,'Base de Grupos'!$A:$A,'Base de Grupos'!$K:$K)</f>
        <v>REGIONAL VENDA INTERNA - KEY ACCOUNT</v>
      </c>
      <c r="J478" s="2" t="str">
        <f>_xlfn.XLOOKUP($N478,'Base de Grupos'!$A:$A,'Base de Grupos'!$L:$L)</f>
        <v>1000153245</v>
      </c>
      <c r="K478" s="5" t="str">
        <f>_xlfn.XLOOKUP($N478,'Base de Grupos'!$A:$A,'Base de Grupos'!$M:$M)</f>
        <v>REGIONAL VENDA INTERNA - KEY ACCOUNT</v>
      </c>
      <c r="L478" s="5" t="str">
        <f t="shared" si="464"/>
        <v/>
      </c>
      <c r="M478" s="5" t="str">
        <f>_xlfn.XLOOKUP($N478,'Base de Grupos'!$A:$A,'Base de Grupos'!$C:$C)</f>
        <v>PR</v>
      </c>
      <c r="N478" s="3">
        <v>1425</v>
      </c>
      <c r="O478" s="4" t="s">
        <v>250</v>
      </c>
      <c r="P478" s="5" t="s">
        <v>92</v>
      </c>
      <c r="Q478" s="56">
        <v>0</v>
      </c>
      <c r="R478" s="56">
        <v>413.74285714285713</v>
      </c>
      <c r="S478" s="56">
        <v>496.49142857142851</v>
      </c>
      <c r="T478" s="56">
        <f>_xlfn.XLOOKUP($N478,'Calculo Leads'!$A$97:$A$134,'Calculo Leads'!G$97:G$134)*_xlfn.XLOOKUP($P478,'Base Grupo de Produtos'!$E$2:$E$18,'Base Grupo de Produtos'!$F$2:$F$18)</f>
        <v>80</v>
      </c>
      <c r="U478" s="56">
        <f>_xlfn.XLOOKUP($N478,'Calculo Leads'!$A$97:$A$134,'Calculo Leads'!H$97:H$134)*_xlfn.XLOOKUP($P478,'Base Grupo de Produtos'!$E$2:$E$18,'Base Grupo de Produtos'!$F$2:$F$18)</f>
        <v>80</v>
      </c>
      <c r="V478" s="56">
        <f>_xlfn.XLOOKUP($N478,'Calculo Leads'!$A$97:$A$134,'Calculo Leads'!I$97:I$134)*_xlfn.XLOOKUP($P478,'Base Grupo de Produtos'!$E$2:$E$18,'Base Grupo de Produtos'!$F$2:$F$18)</f>
        <v>100</v>
      </c>
      <c r="W478" s="56">
        <f>_xlfn.XLOOKUP($N478,'Calculo Leads'!$A$97:$A$134,'Calculo Leads'!J$97:J$134)*_xlfn.XLOOKUP($P478,'Base Grupo de Produtos'!$E$2:$E$18,'Base Grupo de Produtos'!$F$2:$F$18)</f>
        <v>120</v>
      </c>
      <c r="X478" s="56">
        <f>_xlfn.XLOOKUP($N478,'Calculo Leads'!$A$97:$A$134,'Calculo Leads'!K$97:K$134)*_xlfn.XLOOKUP($P478,'Base Grupo de Produtos'!$E$2:$E$18,'Base Grupo de Produtos'!$F$2:$F$18)</f>
        <v>154</v>
      </c>
      <c r="Y478" s="56">
        <f>_xlfn.XLOOKUP($N478,'Calculo Leads'!$A$97:$A$134,'Calculo Leads'!L$97:L$134)*_xlfn.XLOOKUP($P478,'Base Grupo de Produtos'!$E$2:$E$18,'Base Grupo de Produtos'!$F$2:$F$18)</f>
        <v>198</v>
      </c>
      <c r="Z478" s="56">
        <f>_xlfn.XLOOKUP($N478,'Calculo Leads'!$A$97:$A$134,'Calculo Leads'!M$97:M$134)*_xlfn.XLOOKUP($P478,'Base Grupo de Produtos'!$E$2:$E$18,'Base Grupo de Produtos'!$F$2:$F$18)</f>
        <v>198</v>
      </c>
      <c r="AA478" s="56">
        <f>_xlfn.XLOOKUP($N478,'Calculo Leads'!$A$97:$A$134,'Calculo Leads'!N$97:N$134)*_xlfn.XLOOKUP($P478,'Base Grupo de Produtos'!$E$2:$E$18,'Base Grupo de Produtos'!$F$2:$F$18)</f>
        <v>242</v>
      </c>
      <c r="AB478" s="56">
        <f>_xlfn.XLOOKUP($N478,'Calculo Leads'!$A$97:$A$134,'Calculo Leads'!O$97:O$134)*_xlfn.XLOOKUP($P478,'Base Grupo de Produtos'!$E$2:$E$18,'Base Grupo de Produtos'!$F$2:$F$18)</f>
        <v>154</v>
      </c>
      <c r="AC478" s="61">
        <f t="shared" si="499"/>
        <v>1326</v>
      </c>
      <c r="AD478" s="27">
        <f t="shared" si="518"/>
        <v>1326</v>
      </c>
      <c r="AE478" s="25">
        <f>IFERROR(_xlfn.XLOOKUP(N478&amp;P478,'Historico Vendas'!G:G,'Historico Vendas'!E:E),0)</f>
        <v>0</v>
      </c>
      <c r="AF478" s="29" t="str">
        <f t="shared" si="462"/>
        <v/>
      </c>
      <c r="AG478" s="24">
        <f>IFERROR(_xlfn.XLOOKUP(N478&amp;P478,'Historico Vendas'!G:G,'Historico Vendas'!F:F),0)</f>
        <v>0</v>
      </c>
      <c r="AH478" s="25">
        <f t="shared" si="519"/>
        <v>910.23428571428565</v>
      </c>
      <c r="AI478" s="24">
        <f t="shared" si="520"/>
        <v>910.23428571428565</v>
      </c>
      <c r="AJ478" s="11">
        <f t="shared" si="483"/>
        <v>0</v>
      </c>
      <c r="AK478" s="9" t="s">
        <v>102</v>
      </c>
      <c r="AL478" s="13">
        <f>IFERROR(INDEX('Balizador da Meta'!$D$3:$F$23,MATCH(Faturamento!$P478,'Balizador da Meta'!$C$3:$C$23,0),MATCH(Faturamento!AK478,'Balizador da Meta'!$D$2:$F$2,0)),"")</f>
        <v>0</v>
      </c>
      <c r="AM478" s="9"/>
    </row>
    <row r="479" spans="1:39" x14ac:dyDescent="0.3">
      <c r="A479" s="2" t="str">
        <f t="shared" si="463"/>
        <v>NÃO</v>
      </c>
      <c r="B479" s="2" t="str">
        <f>_xlfn.XLOOKUP($N479,'Base de Grupos'!$A:$A,'Base de Grupos'!$D:$D)</f>
        <v>1000065763</v>
      </c>
      <c r="C479" s="5" t="str">
        <f>_xlfn.XLOOKUP($N479,'Base de Grupos'!$A:$A,'Base de Grupos'!$E:$E)</f>
        <v>CANAL VENDA INTERNA</v>
      </c>
      <c r="D479" s="5" t="str">
        <f>_xlfn.XLOOKUP($N479,'Base de Grupos'!$A:$A,'Base de Grupos'!$F:$F)</f>
        <v>1000065763</v>
      </c>
      <c r="E479" s="2" t="str">
        <f>_xlfn.XLOOKUP($N479,'Base de Grupos'!$A:$A,'Base de Grupos'!$G:$G)</f>
        <v>CANAL VENDA INTERNA</v>
      </c>
      <c r="F479" s="2" t="str">
        <f>_xlfn.XLOOKUP($N479,'Base de Grupos'!$A:$A,'Base de Grupos'!$H:$H)</f>
        <v>1000153245</v>
      </c>
      <c r="G479" s="5" t="str">
        <f>_xlfn.XLOOKUP($N479,'Base de Grupos'!$A:$A,'Base de Grupos'!$I:$I)</f>
        <v>REGIONAL VENDA INTERNA - KEY ACCOUNT</v>
      </c>
      <c r="H479" s="5" t="str">
        <f>_xlfn.XLOOKUP($N479,'Base de Grupos'!$A:$A,'Base de Grupos'!$J:$J)</f>
        <v>1000153245</v>
      </c>
      <c r="I479" s="2" t="str">
        <f>_xlfn.XLOOKUP($N479,'Base de Grupos'!$A:$A,'Base de Grupos'!$K:$K)</f>
        <v>REGIONAL VENDA INTERNA - KEY ACCOUNT</v>
      </c>
      <c r="J479" s="2" t="str">
        <f>_xlfn.XLOOKUP($N479,'Base de Grupos'!$A:$A,'Base de Grupos'!$L:$L)</f>
        <v>1000153245</v>
      </c>
      <c r="K479" s="5" t="str">
        <f>_xlfn.XLOOKUP($N479,'Base de Grupos'!$A:$A,'Base de Grupos'!$M:$M)</f>
        <v>REGIONAL VENDA INTERNA - KEY ACCOUNT</v>
      </c>
      <c r="L479" s="5" t="str">
        <f t="shared" si="464"/>
        <v/>
      </c>
      <c r="M479" s="5" t="str">
        <f>_xlfn.XLOOKUP($N479,'Base de Grupos'!$A:$A,'Base de Grupos'!$C:$C)</f>
        <v>PR</v>
      </c>
      <c r="N479" s="3">
        <v>1425</v>
      </c>
      <c r="O479" s="4" t="s">
        <v>250</v>
      </c>
      <c r="P479" s="5" t="s">
        <v>86</v>
      </c>
      <c r="Q479" s="56">
        <v>0</v>
      </c>
      <c r="R479" s="56">
        <v>627.26</v>
      </c>
      <c r="S479" s="56">
        <v>716.86857142857139</v>
      </c>
      <c r="T479" s="56">
        <f>_xlfn.XLOOKUP($N479,'Calculo Leads'!$A$97:$A$134,'Calculo Leads'!G$97:G$134)*_xlfn.XLOOKUP($P479,'Base Grupo de Produtos'!$E$2:$E$18,'Base Grupo de Produtos'!$F$2:$F$18)</f>
        <v>120</v>
      </c>
      <c r="U479" s="56">
        <f>_xlfn.XLOOKUP($N479,'Calculo Leads'!$A$97:$A$134,'Calculo Leads'!H$97:H$134)*_xlfn.XLOOKUP($P479,'Base Grupo de Produtos'!$E$2:$E$18,'Base Grupo de Produtos'!$F$2:$F$18)</f>
        <v>120</v>
      </c>
      <c r="V479" s="56">
        <f>_xlfn.XLOOKUP($N479,'Calculo Leads'!$A$97:$A$134,'Calculo Leads'!I$97:I$134)*_xlfn.XLOOKUP($P479,'Base Grupo de Produtos'!$E$2:$E$18,'Base Grupo de Produtos'!$F$2:$F$18)</f>
        <v>150</v>
      </c>
      <c r="W479" s="56">
        <f>_xlfn.XLOOKUP($N479,'Calculo Leads'!$A$97:$A$134,'Calculo Leads'!J$97:J$134)*_xlfn.XLOOKUP($P479,'Base Grupo de Produtos'!$E$2:$E$18,'Base Grupo de Produtos'!$F$2:$F$18)</f>
        <v>180</v>
      </c>
      <c r="X479" s="56">
        <f>_xlfn.XLOOKUP($N479,'Calculo Leads'!$A$97:$A$134,'Calculo Leads'!K$97:K$134)*_xlfn.XLOOKUP($P479,'Base Grupo de Produtos'!$E$2:$E$18,'Base Grupo de Produtos'!$F$2:$F$18)</f>
        <v>231</v>
      </c>
      <c r="Y479" s="56">
        <f>_xlfn.XLOOKUP($N479,'Calculo Leads'!$A$97:$A$134,'Calculo Leads'!L$97:L$134)*_xlfn.XLOOKUP($P479,'Base Grupo de Produtos'!$E$2:$E$18,'Base Grupo de Produtos'!$F$2:$F$18)</f>
        <v>297</v>
      </c>
      <c r="Z479" s="56">
        <f>_xlfn.XLOOKUP($N479,'Calculo Leads'!$A$97:$A$134,'Calculo Leads'!M$97:M$134)*_xlfn.XLOOKUP($P479,'Base Grupo de Produtos'!$E$2:$E$18,'Base Grupo de Produtos'!$F$2:$F$18)</f>
        <v>297</v>
      </c>
      <c r="AA479" s="56">
        <f>_xlfn.XLOOKUP($N479,'Calculo Leads'!$A$97:$A$134,'Calculo Leads'!N$97:N$134)*_xlfn.XLOOKUP($P479,'Base Grupo de Produtos'!$E$2:$E$18,'Base Grupo de Produtos'!$F$2:$F$18)</f>
        <v>363</v>
      </c>
      <c r="AB479" s="56">
        <f>_xlfn.XLOOKUP($N479,'Calculo Leads'!$A$97:$A$134,'Calculo Leads'!O$97:O$134)*_xlfn.XLOOKUP($P479,'Base Grupo de Produtos'!$E$2:$E$18,'Base Grupo de Produtos'!$F$2:$F$18)</f>
        <v>231</v>
      </c>
      <c r="AC479" s="61">
        <f t="shared" si="499"/>
        <v>1989</v>
      </c>
      <c r="AD479" s="27">
        <f t="shared" si="518"/>
        <v>1989</v>
      </c>
      <c r="AE479" s="25">
        <f>IFERROR(_xlfn.XLOOKUP(N479&amp;P479,'Historico Vendas'!G:G,'Historico Vendas'!E:E),0)</f>
        <v>0</v>
      </c>
      <c r="AF479" s="29" t="str">
        <f t="shared" si="462"/>
        <v/>
      </c>
      <c r="AG479" s="24">
        <f>IFERROR(_xlfn.XLOOKUP(N479&amp;P479,'Historico Vendas'!G:G,'Historico Vendas'!F:F),0)</f>
        <v>0</v>
      </c>
      <c r="AH479" s="25">
        <f t="shared" si="519"/>
        <v>1344.1285714285714</v>
      </c>
      <c r="AI479" s="24">
        <f t="shared" si="520"/>
        <v>1344.1285714285714</v>
      </c>
      <c r="AJ479" s="11">
        <f t="shared" si="483"/>
        <v>0</v>
      </c>
      <c r="AK479" s="9" t="s">
        <v>102</v>
      </c>
      <c r="AL479" s="13">
        <f>IFERROR(INDEX('Balizador da Meta'!$D$3:$F$23,MATCH(Faturamento!$P479,'Balizador da Meta'!$C$3:$C$23,0),MATCH(Faturamento!AK479,'Balizador da Meta'!$D$2:$F$2,0)),"")</f>
        <v>0.15</v>
      </c>
      <c r="AM479" s="9"/>
    </row>
    <row r="480" spans="1:39" x14ac:dyDescent="0.3">
      <c r="A480" s="2" t="str">
        <f t="shared" si="463"/>
        <v>NÃO</v>
      </c>
      <c r="B480" s="2" t="str">
        <f>_xlfn.XLOOKUP($N480,'Base de Grupos'!$A:$A,'Base de Grupos'!$D:$D)</f>
        <v>1000065763</v>
      </c>
      <c r="C480" s="5" t="str">
        <f>_xlfn.XLOOKUP($N480,'Base de Grupos'!$A:$A,'Base de Grupos'!$E:$E)</f>
        <v>CANAL VENDA INTERNA</v>
      </c>
      <c r="D480" s="5" t="str">
        <f>_xlfn.XLOOKUP($N480,'Base de Grupos'!$A:$A,'Base de Grupos'!$F:$F)</f>
        <v>1000065763</v>
      </c>
      <c r="E480" s="2" t="str">
        <f>_xlfn.XLOOKUP($N480,'Base de Grupos'!$A:$A,'Base de Grupos'!$G:$G)</f>
        <v>CANAL VENDA INTERNA</v>
      </c>
      <c r="F480" s="2" t="str">
        <f>_xlfn.XLOOKUP($N480,'Base de Grupos'!$A:$A,'Base de Grupos'!$H:$H)</f>
        <v>1000153245</v>
      </c>
      <c r="G480" s="5" t="str">
        <f>_xlfn.XLOOKUP($N480,'Base de Grupos'!$A:$A,'Base de Grupos'!$I:$I)</f>
        <v>REGIONAL VENDA INTERNA - KEY ACCOUNT</v>
      </c>
      <c r="H480" s="5" t="str">
        <f>_xlfn.XLOOKUP($N480,'Base de Grupos'!$A:$A,'Base de Grupos'!$J:$J)</f>
        <v>1000153245</v>
      </c>
      <c r="I480" s="2" t="str">
        <f>_xlfn.XLOOKUP($N480,'Base de Grupos'!$A:$A,'Base de Grupos'!$K:$K)</f>
        <v>REGIONAL VENDA INTERNA - KEY ACCOUNT</v>
      </c>
      <c r="J480" s="2" t="str">
        <f>_xlfn.XLOOKUP($N480,'Base de Grupos'!$A:$A,'Base de Grupos'!$L:$L)</f>
        <v>1000153245</v>
      </c>
      <c r="K480" s="5" t="str">
        <f>_xlfn.XLOOKUP($N480,'Base de Grupos'!$A:$A,'Base de Grupos'!$M:$M)</f>
        <v>REGIONAL VENDA INTERNA - KEY ACCOUNT</v>
      </c>
      <c r="L480" s="5" t="str">
        <f t="shared" si="464"/>
        <v/>
      </c>
      <c r="M480" s="5" t="str">
        <f>_xlfn.XLOOKUP($N480,'Base de Grupos'!$A:$A,'Base de Grupos'!$C:$C)</f>
        <v>PR</v>
      </c>
      <c r="N480" s="3">
        <v>1425</v>
      </c>
      <c r="O480" s="4" t="s">
        <v>250</v>
      </c>
      <c r="P480" s="5" t="s">
        <v>108</v>
      </c>
      <c r="Q480" s="56">
        <v>0</v>
      </c>
      <c r="R480" s="56">
        <v>1892.5244444444447</v>
      </c>
      <c r="S480" s="56">
        <v>2236.6197979797985</v>
      </c>
      <c r="T480" s="56">
        <f>_xlfn.XLOOKUP($N480,'Calculo Leads'!$A$97:$A$134,'Calculo Leads'!G$97:G$134)*_xlfn.XLOOKUP($P480,'Base Grupo de Produtos'!$E$2:$E$18,'Base Grupo de Produtos'!$F$2:$F$18)</f>
        <v>1000</v>
      </c>
      <c r="U480" s="56">
        <f>_xlfn.XLOOKUP($N480,'Calculo Leads'!$A$97:$A$134,'Calculo Leads'!H$97:H$134)*_xlfn.XLOOKUP($P480,'Base Grupo de Produtos'!$E$2:$E$18,'Base Grupo de Produtos'!$F$2:$F$18)</f>
        <v>1000</v>
      </c>
      <c r="V480" s="56">
        <f>_xlfn.XLOOKUP($N480,'Calculo Leads'!$A$97:$A$134,'Calculo Leads'!I$97:I$134)*_xlfn.XLOOKUP($P480,'Base Grupo de Produtos'!$E$2:$E$18,'Base Grupo de Produtos'!$F$2:$F$18)</f>
        <v>1250</v>
      </c>
      <c r="W480" s="56">
        <f>_xlfn.XLOOKUP($N480,'Calculo Leads'!$A$97:$A$134,'Calculo Leads'!J$97:J$134)*_xlfn.XLOOKUP($P480,'Base Grupo de Produtos'!$E$2:$E$18,'Base Grupo de Produtos'!$F$2:$F$18)</f>
        <v>1500</v>
      </c>
      <c r="X480" s="56">
        <f>_xlfn.XLOOKUP($N480,'Calculo Leads'!$A$97:$A$134,'Calculo Leads'!K$97:K$134)*_xlfn.XLOOKUP($P480,'Base Grupo de Produtos'!$E$2:$E$18,'Base Grupo de Produtos'!$F$2:$F$18)</f>
        <v>1925</v>
      </c>
      <c r="Y480" s="56">
        <f>_xlfn.XLOOKUP($N480,'Calculo Leads'!$A$97:$A$134,'Calculo Leads'!L$97:L$134)*_xlfn.XLOOKUP($P480,'Base Grupo de Produtos'!$E$2:$E$18,'Base Grupo de Produtos'!$F$2:$F$18)</f>
        <v>2475</v>
      </c>
      <c r="Z480" s="56">
        <f>_xlfn.XLOOKUP($N480,'Calculo Leads'!$A$97:$A$134,'Calculo Leads'!M$97:M$134)*_xlfn.XLOOKUP($P480,'Base Grupo de Produtos'!$E$2:$E$18,'Base Grupo de Produtos'!$F$2:$F$18)</f>
        <v>2475</v>
      </c>
      <c r="AA480" s="56">
        <f>_xlfn.XLOOKUP($N480,'Calculo Leads'!$A$97:$A$134,'Calculo Leads'!N$97:N$134)*_xlfn.XLOOKUP($P480,'Base Grupo de Produtos'!$E$2:$E$18,'Base Grupo de Produtos'!$F$2:$F$18)</f>
        <v>3025</v>
      </c>
      <c r="AB480" s="56">
        <f>_xlfn.XLOOKUP($N480,'Calculo Leads'!$A$97:$A$134,'Calculo Leads'!O$97:O$134)*_xlfn.XLOOKUP($P480,'Base Grupo de Produtos'!$E$2:$E$18,'Base Grupo de Produtos'!$F$2:$F$18)</f>
        <v>1925</v>
      </c>
      <c r="AC480" s="61">
        <f t="shared" si="499"/>
        <v>16575</v>
      </c>
      <c r="AD480" s="27">
        <f t="shared" si="518"/>
        <v>16575</v>
      </c>
      <c r="AE480" s="25">
        <f>IFERROR(_xlfn.XLOOKUP(N480&amp;P480,'Historico Vendas'!G:G,'Historico Vendas'!E:E),0)</f>
        <v>0</v>
      </c>
      <c r="AF480" s="29" t="str">
        <f t="shared" si="462"/>
        <v/>
      </c>
      <c r="AG480" s="24">
        <f>IFERROR(_xlfn.XLOOKUP(N480&amp;P480,'Historico Vendas'!G:G,'Historico Vendas'!F:F),0)</f>
        <v>0</v>
      </c>
      <c r="AH480" s="25">
        <f t="shared" si="519"/>
        <v>4129.1442424242432</v>
      </c>
      <c r="AI480" s="24">
        <f t="shared" si="520"/>
        <v>4129.1442424242432</v>
      </c>
      <c r="AJ480" s="11">
        <f t="shared" si="483"/>
        <v>0</v>
      </c>
      <c r="AK480" s="9" t="s">
        <v>102</v>
      </c>
      <c r="AL480" s="13">
        <f>IFERROR(INDEX('Balizador da Meta'!$D$3:$F$23,MATCH(Faturamento!$P480,'Balizador da Meta'!$C$3:$C$23,0),MATCH(Faturamento!AK480,'Balizador da Meta'!$D$2:$F$2,0)),"")</f>
        <v>0</v>
      </c>
      <c r="AM480" s="9"/>
    </row>
    <row r="481" spans="1:39" x14ac:dyDescent="0.3">
      <c r="A481" s="2" t="str">
        <f t="shared" si="463"/>
        <v>NÃO</v>
      </c>
      <c r="B481" s="2" t="str">
        <f>_xlfn.XLOOKUP($N481,'Base de Grupos'!$A:$A,'Base de Grupos'!$D:$D)</f>
        <v>1000065763</v>
      </c>
      <c r="C481" s="5" t="str">
        <f>_xlfn.XLOOKUP($N481,'Base de Grupos'!$A:$A,'Base de Grupos'!$E:$E)</f>
        <v>CANAL VENDA INTERNA</v>
      </c>
      <c r="D481" s="5" t="str">
        <f>_xlfn.XLOOKUP($N481,'Base de Grupos'!$A:$A,'Base de Grupos'!$F:$F)</f>
        <v>1000065763</v>
      </c>
      <c r="E481" s="2" t="str">
        <f>_xlfn.XLOOKUP($N481,'Base de Grupos'!$A:$A,'Base de Grupos'!$G:$G)</f>
        <v>CANAL VENDA INTERNA</v>
      </c>
      <c r="F481" s="2" t="str">
        <f>_xlfn.XLOOKUP($N481,'Base de Grupos'!$A:$A,'Base de Grupos'!$H:$H)</f>
        <v>1000153245</v>
      </c>
      <c r="G481" s="5" t="str">
        <f>_xlfn.XLOOKUP($N481,'Base de Grupos'!$A:$A,'Base de Grupos'!$I:$I)</f>
        <v>REGIONAL VENDA INTERNA - KEY ACCOUNT</v>
      </c>
      <c r="H481" s="5" t="str">
        <f>_xlfn.XLOOKUP($N481,'Base de Grupos'!$A:$A,'Base de Grupos'!$J:$J)</f>
        <v>1000153245</v>
      </c>
      <c r="I481" s="2" t="str">
        <f>_xlfn.XLOOKUP($N481,'Base de Grupos'!$A:$A,'Base de Grupos'!$K:$K)</f>
        <v>REGIONAL VENDA INTERNA - KEY ACCOUNT</v>
      </c>
      <c r="J481" s="2" t="str">
        <f>_xlfn.XLOOKUP($N481,'Base de Grupos'!$A:$A,'Base de Grupos'!$L:$L)</f>
        <v>1000153245</v>
      </c>
      <c r="K481" s="5" t="str">
        <f>_xlfn.XLOOKUP($N481,'Base de Grupos'!$A:$A,'Base de Grupos'!$M:$M)</f>
        <v>REGIONAL VENDA INTERNA - KEY ACCOUNT</v>
      </c>
      <c r="L481" s="5" t="str">
        <f t="shared" si="464"/>
        <v/>
      </c>
      <c r="M481" s="5" t="str">
        <f>_xlfn.XLOOKUP($N481,'Base de Grupos'!$A:$A,'Base de Grupos'!$C:$C)</f>
        <v>PR</v>
      </c>
      <c r="N481" s="3">
        <v>1425</v>
      </c>
      <c r="O481" s="4" t="s">
        <v>250</v>
      </c>
      <c r="P481" s="5" t="s">
        <v>89</v>
      </c>
      <c r="Q481" s="56">
        <v>0</v>
      </c>
      <c r="R481" s="56">
        <v>2981.5071428571423</v>
      </c>
      <c r="S481" s="56">
        <v>3452.2714285714283</v>
      </c>
      <c r="T481" s="56">
        <f>_xlfn.XLOOKUP($N481,'Calculo Leads'!$A$97:$A$134,'Calculo Leads'!G$97:G$134)*_xlfn.XLOOKUP($P481,'Base Grupo de Produtos'!$E$2:$E$18,'Base Grupo de Produtos'!$F$2:$F$18)</f>
        <v>200</v>
      </c>
      <c r="U481" s="56">
        <f>_xlfn.XLOOKUP($N481,'Calculo Leads'!$A$97:$A$134,'Calculo Leads'!H$97:H$134)*_xlfn.XLOOKUP($P481,'Base Grupo de Produtos'!$E$2:$E$18,'Base Grupo de Produtos'!$F$2:$F$18)</f>
        <v>200</v>
      </c>
      <c r="V481" s="56">
        <f>_xlfn.XLOOKUP($N481,'Calculo Leads'!$A$97:$A$134,'Calculo Leads'!I$97:I$134)*_xlfn.XLOOKUP($P481,'Base Grupo de Produtos'!$E$2:$E$18,'Base Grupo de Produtos'!$F$2:$F$18)</f>
        <v>250</v>
      </c>
      <c r="W481" s="56">
        <f>_xlfn.XLOOKUP($N481,'Calculo Leads'!$A$97:$A$134,'Calculo Leads'!J$97:J$134)*_xlfn.XLOOKUP($P481,'Base Grupo de Produtos'!$E$2:$E$18,'Base Grupo de Produtos'!$F$2:$F$18)</f>
        <v>300</v>
      </c>
      <c r="X481" s="56">
        <f>_xlfn.XLOOKUP($N481,'Calculo Leads'!$A$97:$A$134,'Calculo Leads'!K$97:K$134)*_xlfn.XLOOKUP($P481,'Base Grupo de Produtos'!$E$2:$E$18,'Base Grupo de Produtos'!$F$2:$F$18)</f>
        <v>385</v>
      </c>
      <c r="Y481" s="56">
        <f>_xlfn.XLOOKUP($N481,'Calculo Leads'!$A$97:$A$134,'Calculo Leads'!L$97:L$134)*_xlfn.XLOOKUP($P481,'Base Grupo de Produtos'!$E$2:$E$18,'Base Grupo de Produtos'!$F$2:$F$18)</f>
        <v>495</v>
      </c>
      <c r="Z481" s="56">
        <f>_xlfn.XLOOKUP($N481,'Calculo Leads'!$A$97:$A$134,'Calculo Leads'!M$97:M$134)*_xlfn.XLOOKUP($P481,'Base Grupo de Produtos'!$E$2:$E$18,'Base Grupo de Produtos'!$F$2:$F$18)</f>
        <v>495</v>
      </c>
      <c r="AA481" s="56">
        <f>_xlfn.XLOOKUP($N481,'Calculo Leads'!$A$97:$A$134,'Calculo Leads'!N$97:N$134)*_xlfn.XLOOKUP($P481,'Base Grupo de Produtos'!$E$2:$E$18,'Base Grupo de Produtos'!$F$2:$F$18)</f>
        <v>605</v>
      </c>
      <c r="AB481" s="56">
        <f>_xlfn.XLOOKUP($N481,'Calculo Leads'!$A$97:$A$134,'Calculo Leads'!O$97:O$134)*_xlfn.XLOOKUP($P481,'Base Grupo de Produtos'!$E$2:$E$18,'Base Grupo de Produtos'!$F$2:$F$18)</f>
        <v>385</v>
      </c>
      <c r="AC481" s="61">
        <f t="shared" si="499"/>
        <v>3315</v>
      </c>
      <c r="AD481" s="27">
        <f t="shared" si="518"/>
        <v>3315</v>
      </c>
      <c r="AE481" s="25">
        <f>IFERROR(_xlfn.XLOOKUP(N481&amp;P481,'Historico Vendas'!G:G,'Historico Vendas'!E:E),0)</f>
        <v>0</v>
      </c>
      <c r="AF481" s="29" t="str">
        <f t="shared" si="462"/>
        <v/>
      </c>
      <c r="AG481" s="24">
        <f>IFERROR(_xlfn.XLOOKUP(N481&amp;P481,'Historico Vendas'!G:G,'Historico Vendas'!F:F),0)</f>
        <v>0</v>
      </c>
      <c r="AH481" s="25">
        <f t="shared" si="519"/>
        <v>6433.778571428571</v>
      </c>
      <c r="AI481" s="24">
        <f t="shared" si="520"/>
        <v>6433.778571428571</v>
      </c>
      <c r="AJ481" s="11">
        <f t="shared" si="483"/>
        <v>0</v>
      </c>
      <c r="AK481" s="9" t="s">
        <v>102</v>
      </c>
      <c r="AL481" s="13">
        <f>IFERROR(INDEX('Balizador da Meta'!$D$3:$F$23,MATCH(Faturamento!$P481,'Balizador da Meta'!$C$3:$C$23,0),MATCH(Faturamento!AK481,'Balizador da Meta'!$D$2:$F$2,0)),"")</f>
        <v>0.25</v>
      </c>
      <c r="AM481" s="9"/>
    </row>
    <row r="482" spans="1:39" x14ac:dyDescent="0.3">
      <c r="A482" s="2" t="str">
        <f t="shared" si="463"/>
        <v>NÃO</v>
      </c>
      <c r="B482" s="2" t="str">
        <f>_xlfn.XLOOKUP($N482,'Base de Grupos'!$A:$A,'Base de Grupos'!$D:$D)</f>
        <v>1000065763</v>
      </c>
      <c r="C482" s="5" t="str">
        <f>_xlfn.XLOOKUP($N482,'Base de Grupos'!$A:$A,'Base de Grupos'!$E:$E)</f>
        <v>CANAL VENDA INTERNA</v>
      </c>
      <c r="D482" s="5" t="str">
        <f>_xlfn.XLOOKUP($N482,'Base de Grupos'!$A:$A,'Base de Grupos'!$F:$F)</f>
        <v>1000065763</v>
      </c>
      <c r="E482" s="2" t="str">
        <f>_xlfn.XLOOKUP($N482,'Base de Grupos'!$A:$A,'Base de Grupos'!$G:$G)</f>
        <v>CANAL VENDA INTERNA</v>
      </c>
      <c r="F482" s="2" t="str">
        <f>_xlfn.XLOOKUP($N482,'Base de Grupos'!$A:$A,'Base de Grupos'!$H:$H)</f>
        <v>1000153245</v>
      </c>
      <c r="G482" s="5" t="str">
        <f>_xlfn.XLOOKUP($N482,'Base de Grupos'!$A:$A,'Base de Grupos'!$I:$I)</f>
        <v>REGIONAL VENDA INTERNA - KEY ACCOUNT</v>
      </c>
      <c r="H482" s="5" t="str">
        <f>_xlfn.XLOOKUP($N482,'Base de Grupos'!$A:$A,'Base de Grupos'!$J:$J)</f>
        <v>1000153245</v>
      </c>
      <c r="I482" s="2" t="str">
        <f>_xlfn.XLOOKUP($N482,'Base de Grupos'!$A:$A,'Base de Grupos'!$K:$K)</f>
        <v>REGIONAL VENDA INTERNA - KEY ACCOUNT</v>
      </c>
      <c r="J482" s="2" t="str">
        <f>_xlfn.XLOOKUP($N482,'Base de Grupos'!$A:$A,'Base de Grupos'!$L:$L)</f>
        <v>1000153245</v>
      </c>
      <c r="K482" s="5" t="str">
        <f>_xlfn.XLOOKUP($N482,'Base de Grupos'!$A:$A,'Base de Grupos'!$M:$M)</f>
        <v>REGIONAL VENDA INTERNA - KEY ACCOUNT</v>
      </c>
      <c r="L482" s="5" t="str">
        <f t="shared" si="464"/>
        <v/>
      </c>
      <c r="M482" s="5" t="str">
        <f>_xlfn.XLOOKUP($N482,'Base de Grupos'!$A:$A,'Base de Grupos'!$C:$C)</f>
        <v>PR</v>
      </c>
      <c r="N482" s="3">
        <v>1425</v>
      </c>
      <c r="O482" s="4" t="s">
        <v>250</v>
      </c>
      <c r="P482" s="5" t="s">
        <v>88</v>
      </c>
      <c r="Q482" s="56">
        <v>0</v>
      </c>
      <c r="R482" s="56">
        <v>956.80711111111111</v>
      </c>
      <c r="S482" s="56">
        <v>1196.0088888888888</v>
      </c>
      <c r="T482" s="56">
        <f>_xlfn.XLOOKUP($N482,'Calculo Leads'!$A$97:$A$134,'Calculo Leads'!G$97:G$134)*_xlfn.XLOOKUP($P482,'Base Grupo de Produtos'!$E$2:$E$18,'Base Grupo de Produtos'!$F$2:$F$18)</f>
        <v>200</v>
      </c>
      <c r="U482" s="56">
        <f>_xlfn.XLOOKUP($N482,'Calculo Leads'!$A$97:$A$134,'Calculo Leads'!H$97:H$134)*_xlfn.XLOOKUP($P482,'Base Grupo de Produtos'!$E$2:$E$18,'Base Grupo de Produtos'!$F$2:$F$18)</f>
        <v>200</v>
      </c>
      <c r="V482" s="56">
        <f>_xlfn.XLOOKUP($N482,'Calculo Leads'!$A$97:$A$134,'Calculo Leads'!I$97:I$134)*_xlfn.XLOOKUP($P482,'Base Grupo de Produtos'!$E$2:$E$18,'Base Grupo de Produtos'!$F$2:$F$18)</f>
        <v>250</v>
      </c>
      <c r="W482" s="56">
        <f>_xlfn.XLOOKUP($N482,'Calculo Leads'!$A$97:$A$134,'Calculo Leads'!J$97:J$134)*_xlfn.XLOOKUP($P482,'Base Grupo de Produtos'!$E$2:$E$18,'Base Grupo de Produtos'!$F$2:$F$18)</f>
        <v>300</v>
      </c>
      <c r="X482" s="56">
        <f>_xlfn.XLOOKUP($N482,'Calculo Leads'!$A$97:$A$134,'Calculo Leads'!K$97:K$134)*_xlfn.XLOOKUP($P482,'Base Grupo de Produtos'!$E$2:$E$18,'Base Grupo de Produtos'!$F$2:$F$18)</f>
        <v>385</v>
      </c>
      <c r="Y482" s="56">
        <f>_xlfn.XLOOKUP($N482,'Calculo Leads'!$A$97:$A$134,'Calculo Leads'!L$97:L$134)*_xlfn.XLOOKUP($P482,'Base Grupo de Produtos'!$E$2:$E$18,'Base Grupo de Produtos'!$F$2:$F$18)</f>
        <v>495</v>
      </c>
      <c r="Z482" s="56">
        <f>_xlfn.XLOOKUP($N482,'Calculo Leads'!$A$97:$A$134,'Calculo Leads'!M$97:M$134)*_xlfn.XLOOKUP($P482,'Base Grupo de Produtos'!$E$2:$E$18,'Base Grupo de Produtos'!$F$2:$F$18)</f>
        <v>495</v>
      </c>
      <c r="AA482" s="56">
        <f>_xlfn.XLOOKUP($N482,'Calculo Leads'!$A$97:$A$134,'Calculo Leads'!N$97:N$134)*_xlfn.XLOOKUP($P482,'Base Grupo de Produtos'!$E$2:$E$18,'Base Grupo de Produtos'!$F$2:$F$18)</f>
        <v>605</v>
      </c>
      <c r="AB482" s="56">
        <f>_xlfn.XLOOKUP($N482,'Calculo Leads'!$A$97:$A$134,'Calculo Leads'!O$97:O$134)*_xlfn.XLOOKUP($P482,'Base Grupo de Produtos'!$E$2:$E$18,'Base Grupo de Produtos'!$F$2:$F$18)</f>
        <v>385</v>
      </c>
      <c r="AC482" s="61">
        <f t="shared" si="499"/>
        <v>3315</v>
      </c>
      <c r="AD482" s="27">
        <f t="shared" si="518"/>
        <v>3315</v>
      </c>
      <c r="AE482" s="25">
        <f>IFERROR(_xlfn.XLOOKUP(N482&amp;P482,'Historico Vendas'!G:G,'Historico Vendas'!E:E),0)</f>
        <v>0</v>
      </c>
      <c r="AF482" s="29" t="str">
        <f t="shared" si="462"/>
        <v/>
      </c>
      <c r="AG482" s="24">
        <f>IFERROR(_xlfn.XLOOKUP(N482&amp;P482,'Historico Vendas'!G:G,'Historico Vendas'!F:F),0)</f>
        <v>0</v>
      </c>
      <c r="AH482" s="25">
        <f t="shared" si="519"/>
        <v>2152.8159999999998</v>
      </c>
      <c r="AI482" s="24">
        <f t="shared" si="520"/>
        <v>2152.8159999999998</v>
      </c>
      <c r="AJ482" s="11">
        <f t="shared" si="483"/>
        <v>0</v>
      </c>
      <c r="AK482" s="9" t="s">
        <v>102</v>
      </c>
      <c r="AL482" s="13">
        <f>IFERROR(INDEX('Balizador da Meta'!$D$3:$F$23,MATCH(Faturamento!$P482,'Balizador da Meta'!$C$3:$C$23,0),MATCH(Faturamento!AK482,'Balizador da Meta'!$D$2:$F$2,0)),"")</f>
        <v>0</v>
      </c>
      <c r="AM482" s="9"/>
    </row>
    <row r="483" spans="1:39" x14ac:dyDescent="0.3">
      <c r="A483" s="2" t="str">
        <f t="shared" si="463"/>
        <v>NÃO</v>
      </c>
      <c r="B483" s="2" t="str">
        <f>_xlfn.XLOOKUP($N483,'Base de Grupos'!$A:$A,'Base de Grupos'!$D:$D)</f>
        <v>1000065763</v>
      </c>
      <c r="C483" s="5" t="str">
        <f>_xlfn.XLOOKUP($N483,'Base de Grupos'!$A:$A,'Base de Grupos'!$E:$E)</f>
        <v>CANAL VENDA INTERNA</v>
      </c>
      <c r="D483" s="5" t="str">
        <f>_xlfn.XLOOKUP($N483,'Base de Grupos'!$A:$A,'Base de Grupos'!$F:$F)</f>
        <v>1000065763</v>
      </c>
      <c r="E483" s="2" t="str">
        <f>_xlfn.XLOOKUP($N483,'Base de Grupos'!$A:$A,'Base de Grupos'!$G:$G)</f>
        <v>CANAL VENDA INTERNA</v>
      </c>
      <c r="F483" s="2" t="str">
        <f>_xlfn.XLOOKUP($N483,'Base de Grupos'!$A:$A,'Base de Grupos'!$H:$H)</f>
        <v>1000153245</v>
      </c>
      <c r="G483" s="5" t="str">
        <f>_xlfn.XLOOKUP($N483,'Base de Grupos'!$A:$A,'Base de Grupos'!$I:$I)</f>
        <v>REGIONAL VENDA INTERNA - KEY ACCOUNT</v>
      </c>
      <c r="H483" s="5" t="str">
        <f>_xlfn.XLOOKUP($N483,'Base de Grupos'!$A:$A,'Base de Grupos'!$J:$J)</f>
        <v>1000153245</v>
      </c>
      <c r="I483" s="2" t="str">
        <f>_xlfn.XLOOKUP($N483,'Base de Grupos'!$A:$A,'Base de Grupos'!$K:$K)</f>
        <v>REGIONAL VENDA INTERNA - KEY ACCOUNT</v>
      </c>
      <c r="J483" s="2" t="str">
        <f>_xlfn.XLOOKUP($N483,'Base de Grupos'!$A:$A,'Base de Grupos'!$L:$L)</f>
        <v>1000153245</v>
      </c>
      <c r="K483" s="5" t="str">
        <f>_xlfn.XLOOKUP($N483,'Base de Grupos'!$A:$A,'Base de Grupos'!$M:$M)</f>
        <v>REGIONAL VENDA INTERNA - KEY ACCOUNT</v>
      </c>
      <c r="L483" s="5" t="str">
        <f t="shared" si="464"/>
        <v/>
      </c>
      <c r="M483" s="5" t="str">
        <f>_xlfn.XLOOKUP($N483,'Base de Grupos'!$A:$A,'Base de Grupos'!$C:$C)</f>
        <v>PR</v>
      </c>
      <c r="N483" s="3">
        <v>1425</v>
      </c>
      <c r="O483" s="4" t="s">
        <v>250</v>
      </c>
      <c r="P483" s="5" t="s">
        <v>90</v>
      </c>
      <c r="Q483" s="56">
        <v>0</v>
      </c>
      <c r="R483" s="56">
        <v>613.10790697674406</v>
      </c>
      <c r="S483" s="56">
        <v>715.29255813953478</v>
      </c>
      <c r="T483" s="56">
        <f>_xlfn.XLOOKUP($N483,'Calculo Leads'!$A$97:$A$134,'Calculo Leads'!G$97:G$134)*_xlfn.XLOOKUP($P483,'Base Grupo de Produtos'!$E$2:$E$18,'Base Grupo de Produtos'!$F$2:$F$18)</f>
        <v>200</v>
      </c>
      <c r="U483" s="56">
        <f>_xlfn.XLOOKUP($N483,'Calculo Leads'!$A$97:$A$134,'Calculo Leads'!H$97:H$134)*_xlfn.XLOOKUP($P483,'Base Grupo de Produtos'!$E$2:$E$18,'Base Grupo de Produtos'!$F$2:$F$18)</f>
        <v>200</v>
      </c>
      <c r="V483" s="56">
        <f>_xlfn.XLOOKUP($N483,'Calculo Leads'!$A$97:$A$134,'Calculo Leads'!I$97:I$134)*_xlfn.XLOOKUP($P483,'Base Grupo de Produtos'!$E$2:$E$18,'Base Grupo de Produtos'!$F$2:$F$18)</f>
        <v>250</v>
      </c>
      <c r="W483" s="56">
        <f>_xlfn.XLOOKUP($N483,'Calculo Leads'!$A$97:$A$134,'Calculo Leads'!J$97:J$134)*_xlfn.XLOOKUP($P483,'Base Grupo de Produtos'!$E$2:$E$18,'Base Grupo de Produtos'!$F$2:$F$18)</f>
        <v>300</v>
      </c>
      <c r="X483" s="56">
        <f>_xlfn.XLOOKUP($N483,'Calculo Leads'!$A$97:$A$134,'Calculo Leads'!K$97:K$134)*_xlfn.XLOOKUP($P483,'Base Grupo de Produtos'!$E$2:$E$18,'Base Grupo de Produtos'!$F$2:$F$18)</f>
        <v>385</v>
      </c>
      <c r="Y483" s="56">
        <f>_xlfn.XLOOKUP($N483,'Calculo Leads'!$A$97:$A$134,'Calculo Leads'!L$97:L$134)*_xlfn.XLOOKUP($P483,'Base Grupo de Produtos'!$E$2:$E$18,'Base Grupo de Produtos'!$F$2:$F$18)</f>
        <v>495</v>
      </c>
      <c r="Z483" s="56">
        <f>_xlfn.XLOOKUP($N483,'Calculo Leads'!$A$97:$A$134,'Calculo Leads'!M$97:M$134)*_xlfn.XLOOKUP($P483,'Base Grupo de Produtos'!$E$2:$E$18,'Base Grupo de Produtos'!$F$2:$F$18)</f>
        <v>495</v>
      </c>
      <c r="AA483" s="56">
        <f>_xlfn.XLOOKUP($N483,'Calculo Leads'!$A$97:$A$134,'Calculo Leads'!N$97:N$134)*_xlfn.XLOOKUP($P483,'Base Grupo de Produtos'!$E$2:$E$18,'Base Grupo de Produtos'!$F$2:$F$18)</f>
        <v>605</v>
      </c>
      <c r="AB483" s="56">
        <f>_xlfn.XLOOKUP($N483,'Calculo Leads'!$A$97:$A$134,'Calculo Leads'!O$97:O$134)*_xlfn.XLOOKUP($P483,'Base Grupo de Produtos'!$E$2:$E$18,'Base Grupo de Produtos'!$F$2:$F$18)</f>
        <v>385</v>
      </c>
      <c r="AC483" s="61">
        <f t="shared" si="499"/>
        <v>3315</v>
      </c>
      <c r="AD483" s="27">
        <f t="shared" si="518"/>
        <v>3315</v>
      </c>
      <c r="AE483" s="25">
        <f>IFERROR(_xlfn.XLOOKUP(N483&amp;P483,'Historico Vendas'!G:G,'Historico Vendas'!E:E),0)</f>
        <v>0</v>
      </c>
      <c r="AF483" s="29" t="str">
        <f t="shared" si="462"/>
        <v/>
      </c>
      <c r="AG483" s="24">
        <f>IFERROR(_xlfn.XLOOKUP(N483&amp;P483,'Historico Vendas'!G:G,'Historico Vendas'!F:F),0)</f>
        <v>0</v>
      </c>
      <c r="AH483" s="25">
        <f t="shared" si="519"/>
        <v>1328.4004651162788</v>
      </c>
      <c r="AI483" s="24">
        <f t="shared" si="520"/>
        <v>1328.4004651162788</v>
      </c>
      <c r="AJ483" s="11">
        <f t="shared" si="483"/>
        <v>0</v>
      </c>
      <c r="AK483" s="9" t="s">
        <v>102</v>
      </c>
      <c r="AL483" s="13">
        <f>IFERROR(INDEX('Balizador da Meta'!$D$3:$F$23,MATCH(Faturamento!$P483,'Balizador da Meta'!$C$3:$C$23,0),MATCH(Faturamento!AK483,'Balizador da Meta'!$D$2:$F$2,0)),"")</f>
        <v>0</v>
      </c>
      <c r="AM483" s="9"/>
    </row>
    <row r="484" spans="1:39" x14ac:dyDescent="0.3">
      <c r="A484" s="2" t="str">
        <f t="shared" si="463"/>
        <v>NÃO</v>
      </c>
      <c r="B484" s="2" t="str">
        <f>_xlfn.XLOOKUP($N484,'Base de Grupos'!$A:$A,'Base de Grupos'!$D:$D)</f>
        <v>1000065763</v>
      </c>
      <c r="C484" s="5" t="str">
        <f>_xlfn.XLOOKUP($N484,'Base de Grupos'!$A:$A,'Base de Grupos'!$E:$E)</f>
        <v>CANAL VENDA INTERNA</v>
      </c>
      <c r="D484" s="5" t="str">
        <f>_xlfn.XLOOKUP($N484,'Base de Grupos'!$A:$A,'Base de Grupos'!$F:$F)</f>
        <v>1000065763</v>
      </c>
      <c r="E484" s="2" t="str">
        <f>_xlfn.XLOOKUP($N484,'Base de Grupos'!$A:$A,'Base de Grupos'!$G:$G)</f>
        <v>CANAL VENDA INTERNA</v>
      </c>
      <c r="F484" s="2" t="str">
        <f>_xlfn.XLOOKUP($N484,'Base de Grupos'!$A:$A,'Base de Grupos'!$H:$H)</f>
        <v>1000153245</v>
      </c>
      <c r="G484" s="5" t="str">
        <f>_xlfn.XLOOKUP($N484,'Base de Grupos'!$A:$A,'Base de Grupos'!$I:$I)</f>
        <v>REGIONAL VENDA INTERNA - KEY ACCOUNT</v>
      </c>
      <c r="H484" s="5" t="str">
        <f>_xlfn.XLOOKUP($N484,'Base de Grupos'!$A:$A,'Base de Grupos'!$J:$J)</f>
        <v>1000153245</v>
      </c>
      <c r="I484" s="2" t="str">
        <f>_xlfn.XLOOKUP($N484,'Base de Grupos'!$A:$A,'Base de Grupos'!$K:$K)</f>
        <v>REGIONAL VENDA INTERNA - KEY ACCOUNT</v>
      </c>
      <c r="J484" s="2" t="str">
        <f>_xlfn.XLOOKUP($N484,'Base de Grupos'!$A:$A,'Base de Grupos'!$L:$L)</f>
        <v>1000153245</v>
      </c>
      <c r="K484" s="5" t="str">
        <f>_xlfn.XLOOKUP($N484,'Base de Grupos'!$A:$A,'Base de Grupos'!$M:$M)</f>
        <v>REGIONAL VENDA INTERNA - KEY ACCOUNT</v>
      </c>
      <c r="L484" s="5" t="str">
        <f t="shared" si="464"/>
        <v/>
      </c>
      <c r="M484" s="5" t="str">
        <f>_xlfn.XLOOKUP($N484,'Base de Grupos'!$A:$A,'Base de Grupos'!$C:$C)</f>
        <v>PR</v>
      </c>
      <c r="N484" s="3">
        <v>1425</v>
      </c>
      <c r="O484" s="4" t="s">
        <v>250</v>
      </c>
      <c r="P484" s="5" t="s">
        <v>91</v>
      </c>
      <c r="Q484" s="56">
        <v>0</v>
      </c>
      <c r="R484" s="56">
        <v>429.476</v>
      </c>
      <c r="S484" s="56">
        <v>501.05533333333335</v>
      </c>
      <c r="T484" s="56">
        <f>_xlfn.XLOOKUP($N484,'Calculo Leads'!$A$97:$A$134,'Calculo Leads'!G$97:G$134)*_xlfn.XLOOKUP($P484,'Base Grupo de Produtos'!$E$2:$E$18,'Base Grupo de Produtos'!$F$2:$F$18)</f>
        <v>0</v>
      </c>
      <c r="U484" s="56">
        <f>_xlfn.XLOOKUP($N484,'Calculo Leads'!$A$97:$A$134,'Calculo Leads'!H$97:H$134)*_xlfn.XLOOKUP($P484,'Base Grupo de Produtos'!$E$2:$E$18,'Base Grupo de Produtos'!$F$2:$F$18)</f>
        <v>0</v>
      </c>
      <c r="V484" s="56">
        <f>_xlfn.XLOOKUP($N484,'Calculo Leads'!$A$97:$A$134,'Calculo Leads'!I$97:I$134)*_xlfn.XLOOKUP($P484,'Base Grupo de Produtos'!$E$2:$E$18,'Base Grupo de Produtos'!$F$2:$F$18)</f>
        <v>0</v>
      </c>
      <c r="W484" s="56">
        <f>_xlfn.XLOOKUP($N484,'Calculo Leads'!$A$97:$A$134,'Calculo Leads'!J$97:J$134)*_xlfn.XLOOKUP($P484,'Base Grupo de Produtos'!$E$2:$E$18,'Base Grupo de Produtos'!$F$2:$F$18)</f>
        <v>0</v>
      </c>
      <c r="X484" s="56">
        <f>_xlfn.XLOOKUP($N484,'Calculo Leads'!$A$97:$A$134,'Calculo Leads'!K$97:K$134)*_xlfn.XLOOKUP($P484,'Base Grupo de Produtos'!$E$2:$E$18,'Base Grupo de Produtos'!$F$2:$F$18)</f>
        <v>0</v>
      </c>
      <c r="Y484" s="56">
        <f>_xlfn.XLOOKUP($N484,'Calculo Leads'!$A$97:$A$134,'Calculo Leads'!L$97:L$134)*_xlfn.XLOOKUP($P484,'Base Grupo de Produtos'!$E$2:$E$18,'Base Grupo de Produtos'!$F$2:$F$18)</f>
        <v>0</v>
      </c>
      <c r="Z484" s="56">
        <f>_xlfn.XLOOKUP($N484,'Calculo Leads'!$A$97:$A$134,'Calculo Leads'!M$97:M$134)*_xlfn.XLOOKUP($P484,'Base Grupo de Produtos'!$E$2:$E$18,'Base Grupo de Produtos'!$F$2:$F$18)</f>
        <v>0</v>
      </c>
      <c r="AA484" s="56">
        <f>_xlfn.XLOOKUP($N484,'Calculo Leads'!$A$97:$A$134,'Calculo Leads'!N$97:N$134)*_xlfn.XLOOKUP($P484,'Base Grupo de Produtos'!$E$2:$E$18,'Base Grupo de Produtos'!$F$2:$F$18)</f>
        <v>0</v>
      </c>
      <c r="AB484" s="56">
        <f>_xlfn.XLOOKUP($N484,'Calculo Leads'!$A$97:$A$134,'Calculo Leads'!O$97:O$134)*_xlfn.XLOOKUP($P484,'Base Grupo de Produtos'!$E$2:$E$18,'Base Grupo de Produtos'!$F$2:$F$18)</f>
        <v>0</v>
      </c>
      <c r="AC484" s="61">
        <f t="shared" si="499"/>
        <v>0</v>
      </c>
      <c r="AD484" s="27">
        <f t="shared" si="518"/>
        <v>0</v>
      </c>
      <c r="AE484" s="25">
        <f>IFERROR(_xlfn.XLOOKUP(N484&amp;P484,'Historico Vendas'!G:G,'Historico Vendas'!E:E),0)</f>
        <v>0</v>
      </c>
      <c r="AF484" s="29" t="str">
        <f t="shared" si="462"/>
        <v/>
      </c>
      <c r="AG484" s="24">
        <f>IFERROR(_xlfn.XLOOKUP(N484&amp;P484,'Historico Vendas'!G:G,'Historico Vendas'!F:F),0)</f>
        <v>0</v>
      </c>
      <c r="AH484" s="25">
        <f t="shared" si="519"/>
        <v>930.53133333333335</v>
      </c>
      <c r="AI484" s="24">
        <f t="shared" si="520"/>
        <v>930.53133333333335</v>
      </c>
      <c r="AJ484" s="11">
        <f t="shared" si="483"/>
        <v>0</v>
      </c>
      <c r="AK484" s="9" t="s">
        <v>102</v>
      </c>
      <c r="AL484" s="13">
        <f>IFERROR(INDEX('Balizador da Meta'!$D$3:$F$23,MATCH(Faturamento!$P484,'Balizador da Meta'!$C$3:$C$23,0),MATCH(Faturamento!AK484,'Balizador da Meta'!$D$2:$F$2,0)),"")</f>
        <v>0</v>
      </c>
      <c r="AM484" s="9"/>
    </row>
    <row r="485" spans="1:39" x14ac:dyDescent="0.3">
      <c r="A485" s="2" t="str">
        <f t="shared" si="463"/>
        <v>NÃO</v>
      </c>
      <c r="B485" s="2" t="str">
        <f>_xlfn.XLOOKUP($N485,'Base de Grupos'!$A:$A,'Base de Grupos'!$D:$D)</f>
        <v>1000065763</v>
      </c>
      <c r="C485" s="5" t="str">
        <f>_xlfn.XLOOKUP($N485,'Base de Grupos'!$A:$A,'Base de Grupos'!$E:$E)</f>
        <v>CANAL VENDA INTERNA</v>
      </c>
      <c r="D485" s="5" t="str">
        <f>_xlfn.XLOOKUP($N485,'Base de Grupos'!$A:$A,'Base de Grupos'!$F:$F)</f>
        <v>1000065763</v>
      </c>
      <c r="E485" s="2" t="str">
        <f>_xlfn.XLOOKUP($N485,'Base de Grupos'!$A:$A,'Base de Grupos'!$G:$G)</f>
        <v>CANAL VENDA INTERNA</v>
      </c>
      <c r="F485" s="2" t="str">
        <f>_xlfn.XLOOKUP($N485,'Base de Grupos'!$A:$A,'Base de Grupos'!$H:$H)</f>
        <v>1000153245</v>
      </c>
      <c r="G485" s="5" t="str">
        <f>_xlfn.XLOOKUP($N485,'Base de Grupos'!$A:$A,'Base de Grupos'!$I:$I)</f>
        <v>REGIONAL VENDA INTERNA - KEY ACCOUNT</v>
      </c>
      <c r="H485" s="5" t="str">
        <f>_xlfn.XLOOKUP($N485,'Base de Grupos'!$A:$A,'Base de Grupos'!$J:$J)</f>
        <v>1000153245</v>
      </c>
      <c r="I485" s="2" t="str">
        <f>_xlfn.XLOOKUP($N485,'Base de Grupos'!$A:$A,'Base de Grupos'!$K:$K)</f>
        <v>REGIONAL VENDA INTERNA - KEY ACCOUNT</v>
      </c>
      <c r="J485" s="2" t="str">
        <f>_xlfn.XLOOKUP($N485,'Base de Grupos'!$A:$A,'Base de Grupos'!$L:$L)</f>
        <v>1000153245</v>
      </c>
      <c r="K485" s="5" t="str">
        <f>_xlfn.XLOOKUP($N485,'Base de Grupos'!$A:$A,'Base de Grupos'!$M:$M)</f>
        <v>REGIONAL VENDA INTERNA - KEY ACCOUNT</v>
      </c>
      <c r="L485" s="5" t="str">
        <f t="shared" si="464"/>
        <v/>
      </c>
      <c r="M485" s="5" t="str">
        <f>_xlfn.XLOOKUP($N485,'Base de Grupos'!$A:$A,'Base de Grupos'!$C:$C)</f>
        <v>PR</v>
      </c>
      <c r="N485" s="3">
        <v>1425</v>
      </c>
      <c r="O485" s="4" t="s">
        <v>250</v>
      </c>
      <c r="P485" s="5" t="s">
        <v>96</v>
      </c>
      <c r="Q485" s="56">
        <v>0</v>
      </c>
      <c r="R485" s="56">
        <v>81.8</v>
      </c>
      <c r="S485" s="56">
        <v>81.8</v>
      </c>
      <c r="T485" s="56">
        <f>_xlfn.XLOOKUP($N485,'Calculo Leads'!$A$97:$A$134,'Calculo Leads'!G$97:G$134)*_xlfn.XLOOKUP($P485,'Base Grupo de Produtos'!$E$2:$E$18,'Base Grupo de Produtos'!$F$2:$F$18)</f>
        <v>280</v>
      </c>
      <c r="U485" s="56">
        <f>_xlfn.XLOOKUP($N485,'Calculo Leads'!$A$97:$A$134,'Calculo Leads'!H$97:H$134)*_xlfn.XLOOKUP($P485,'Base Grupo de Produtos'!$E$2:$E$18,'Base Grupo de Produtos'!$F$2:$F$18)</f>
        <v>280</v>
      </c>
      <c r="V485" s="56">
        <f>_xlfn.XLOOKUP($N485,'Calculo Leads'!$A$97:$A$134,'Calculo Leads'!I$97:I$134)*_xlfn.XLOOKUP($P485,'Base Grupo de Produtos'!$E$2:$E$18,'Base Grupo de Produtos'!$F$2:$F$18)</f>
        <v>350.00000000000006</v>
      </c>
      <c r="W485" s="56">
        <f>_xlfn.XLOOKUP($N485,'Calculo Leads'!$A$97:$A$134,'Calculo Leads'!J$97:J$134)*_xlfn.XLOOKUP($P485,'Base Grupo de Produtos'!$E$2:$E$18,'Base Grupo de Produtos'!$F$2:$F$18)</f>
        <v>420.00000000000006</v>
      </c>
      <c r="X485" s="56">
        <f>_xlfn.XLOOKUP($N485,'Calculo Leads'!$A$97:$A$134,'Calculo Leads'!K$97:K$134)*_xlfn.XLOOKUP($P485,'Base Grupo de Produtos'!$E$2:$E$18,'Base Grupo de Produtos'!$F$2:$F$18)</f>
        <v>539</v>
      </c>
      <c r="Y485" s="56">
        <f>_xlfn.XLOOKUP($N485,'Calculo Leads'!$A$97:$A$134,'Calculo Leads'!L$97:L$134)*_xlfn.XLOOKUP($P485,'Base Grupo de Produtos'!$E$2:$E$18,'Base Grupo de Produtos'!$F$2:$F$18)</f>
        <v>693.00000000000011</v>
      </c>
      <c r="Z485" s="56">
        <f>_xlfn.XLOOKUP($N485,'Calculo Leads'!$A$97:$A$134,'Calculo Leads'!M$97:M$134)*_xlfn.XLOOKUP($P485,'Base Grupo de Produtos'!$E$2:$E$18,'Base Grupo de Produtos'!$F$2:$F$18)</f>
        <v>693.00000000000011</v>
      </c>
      <c r="AA485" s="56">
        <f>_xlfn.XLOOKUP($N485,'Calculo Leads'!$A$97:$A$134,'Calculo Leads'!N$97:N$134)*_xlfn.XLOOKUP($P485,'Base Grupo de Produtos'!$E$2:$E$18,'Base Grupo de Produtos'!$F$2:$F$18)</f>
        <v>847.00000000000011</v>
      </c>
      <c r="AB485" s="56">
        <f>_xlfn.XLOOKUP($N485,'Calculo Leads'!$A$97:$A$134,'Calculo Leads'!O$97:O$134)*_xlfn.XLOOKUP($P485,'Base Grupo de Produtos'!$E$2:$E$18,'Base Grupo de Produtos'!$F$2:$F$18)</f>
        <v>539</v>
      </c>
      <c r="AC485" s="61">
        <f t="shared" si="499"/>
        <v>4641</v>
      </c>
      <c r="AD485" s="27">
        <f t="shared" si="518"/>
        <v>4641</v>
      </c>
      <c r="AE485" s="25">
        <f>IFERROR(_xlfn.XLOOKUP(N485&amp;P485,'Historico Vendas'!G:G,'Historico Vendas'!E:E),0)</f>
        <v>0</v>
      </c>
      <c r="AF485" s="29" t="str">
        <f t="shared" si="462"/>
        <v/>
      </c>
      <c r="AG485" s="24">
        <f>IFERROR(_xlfn.XLOOKUP(N485&amp;P485,'Historico Vendas'!G:G,'Historico Vendas'!F:F),0)</f>
        <v>0</v>
      </c>
      <c r="AH485" s="25">
        <f t="shared" si="519"/>
        <v>163.6</v>
      </c>
      <c r="AI485" s="24">
        <f t="shared" si="520"/>
        <v>163.6</v>
      </c>
      <c r="AJ485" s="11">
        <f t="shared" si="483"/>
        <v>0</v>
      </c>
      <c r="AK485" s="9" t="s">
        <v>102</v>
      </c>
      <c r="AL485" s="13">
        <f>IFERROR(INDEX('Balizador da Meta'!$D$3:$F$23,MATCH(Faturamento!$P485,'Balizador da Meta'!$C$3:$C$23,0),MATCH(Faturamento!AK485,'Balizador da Meta'!$D$2:$F$2,0)),"")</f>
        <v>0</v>
      </c>
      <c r="AM485" s="9"/>
    </row>
    <row r="486" spans="1:39" x14ac:dyDescent="0.3">
      <c r="A486" s="2" t="str">
        <f t="shared" si="463"/>
        <v>NÃO</v>
      </c>
      <c r="B486" s="2" t="str">
        <f>_xlfn.XLOOKUP($N486,'Base de Grupos'!$A:$A,'Base de Grupos'!$D:$D)</f>
        <v>1000065763</v>
      </c>
      <c r="C486" s="5" t="str">
        <f>_xlfn.XLOOKUP($N486,'Base de Grupos'!$A:$A,'Base de Grupos'!$E:$E)</f>
        <v>CANAL VENDA INTERNA</v>
      </c>
      <c r="D486" s="5" t="str">
        <f>_xlfn.XLOOKUP($N486,'Base de Grupos'!$A:$A,'Base de Grupos'!$F:$F)</f>
        <v>1000065763</v>
      </c>
      <c r="E486" s="2" t="str">
        <f>_xlfn.XLOOKUP($N486,'Base de Grupos'!$A:$A,'Base de Grupos'!$G:$G)</f>
        <v>CANAL VENDA INTERNA</v>
      </c>
      <c r="F486" s="2" t="str">
        <f>_xlfn.XLOOKUP($N486,'Base de Grupos'!$A:$A,'Base de Grupos'!$H:$H)</f>
        <v>1000153245</v>
      </c>
      <c r="G486" s="5" t="str">
        <f>_xlfn.XLOOKUP($N486,'Base de Grupos'!$A:$A,'Base de Grupos'!$I:$I)</f>
        <v>REGIONAL VENDA INTERNA - KEY ACCOUNT</v>
      </c>
      <c r="H486" s="5" t="str">
        <f>_xlfn.XLOOKUP($N486,'Base de Grupos'!$A:$A,'Base de Grupos'!$J:$J)</f>
        <v>1000153245</v>
      </c>
      <c r="I486" s="2" t="str">
        <f>_xlfn.XLOOKUP($N486,'Base de Grupos'!$A:$A,'Base de Grupos'!$K:$K)</f>
        <v>REGIONAL VENDA INTERNA - KEY ACCOUNT</v>
      </c>
      <c r="J486" s="2" t="str">
        <f>_xlfn.XLOOKUP($N486,'Base de Grupos'!$A:$A,'Base de Grupos'!$L:$L)</f>
        <v>1000153245</v>
      </c>
      <c r="K486" s="5" t="str">
        <f>_xlfn.XLOOKUP($N486,'Base de Grupos'!$A:$A,'Base de Grupos'!$M:$M)</f>
        <v>REGIONAL VENDA INTERNA - KEY ACCOUNT</v>
      </c>
      <c r="L486" s="5" t="str">
        <f t="shared" si="464"/>
        <v/>
      </c>
      <c r="M486" s="5" t="str">
        <f>_xlfn.XLOOKUP($N486,'Base de Grupos'!$A:$A,'Base de Grupos'!$C:$C)</f>
        <v>PR</v>
      </c>
      <c r="N486" s="3">
        <v>1425</v>
      </c>
      <c r="O486" s="4" t="s">
        <v>250</v>
      </c>
      <c r="P486" s="5" t="s">
        <v>94</v>
      </c>
      <c r="Q486" s="56">
        <v>0</v>
      </c>
      <c r="R486" s="56">
        <v>7351.5477178423216</v>
      </c>
      <c r="S486" s="56">
        <v>8454.2798755186705</v>
      </c>
      <c r="T486" s="56">
        <f>_xlfn.XLOOKUP($N486,'Calculo Leads'!$A$97:$A$134,'Calculo Leads'!G$97:G$134)*_xlfn.XLOOKUP($P486,'Base Grupo de Produtos'!$E$2:$E$18,'Base Grupo de Produtos'!$F$2:$F$18)</f>
        <v>199.99999999999997</v>
      </c>
      <c r="U486" s="56">
        <f>_xlfn.XLOOKUP($N486,'Calculo Leads'!$A$97:$A$134,'Calculo Leads'!H$97:H$134)*_xlfn.XLOOKUP($P486,'Base Grupo de Produtos'!$E$2:$E$18,'Base Grupo de Produtos'!$F$2:$F$18)</f>
        <v>199.99999999999997</v>
      </c>
      <c r="V486" s="56">
        <f>_xlfn.XLOOKUP($N486,'Calculo Leads'!$A$97:$A$134,'Calculo Leads'!I$97:I$134)*_xlfn.XLOOKUP($P486,'Base Grupo de Produtos'!$E$2:$E$18,'Base Grupo de Produtos'!$F$2:$F$18)</f>
        <v>249.99999999999997</v>
      </c>
      <c r="W486" s="56">
        <f>_xlfn.XLOOKUP($N486,'Calculo Leads'!$A$97:$A$134,'Calculo Leads'!J$97:J$134)*_xlfn.XLOOKUP($P486,'Base Grupo de Produtos'!$E$2:$E$18,'Base Grupo de Produtos'!$F$2:$F$18)</f>
        <v>300</v>
      </c>
      <c r="X486" s="56">
        <f>_xlfn.XLOOKUP($N486,'Calculo Leads'!$A$97:$A$134,'Calculo Leads'!K$97:K$134)*_xlfn.XLOOKUP($P486,'Base Grupo de Produtos'!$E$2:$E$18,'Base Grupo de Produtos'!$F$2:$F$18)</f>
        <v>384.99999999999994</v>
      </c>
      <c r="Y486" s="56">
        <f>_xlfn.XLOOKUP($N486,'Calculo Leads'!$A$97:$A$134,'Calculo Leads'!L$97:L$134)*_xlfn.XLOOKUP($P486,'Base Grupo de Produtos'!$E$2:$E$18,'Base Grupo de Produtos'!$F$2:$F$18)</f>
        <v>494.99999999999994</v>
      </c>
      <c r="Z486" s="56">
        <f>_xlfn.XLOOKUP($N486,'Calculo Leads'!$A$97:$A$134,'Calculo Leads'!M$97:M$134)*_xlfn.XLOOKUP($P486,'Base Grupo de Produtos'!$E$2:$E$18,'Base Grupo de Produtos'!$F$2:$F$18)</f>
        <v>494.99999999999994</v>
      </c>
      <c r="AA486" s="56">
        <f>_xlfn.XLOOKUP($N486,'Calculo Leads'!$A$97:$A$134,'Calculo Leads'!N$97:N$134)*_xlfn.XLOOKUP($P486,'Base Grupo de Produtos'!$E$2:$E$18,'Base Grupo de Produtos'!$F$2:$F$18)</f>
        <v>605</v>
      </c>
      <c r="AB486" s="56">
        <f>_xlfn.XLOOKUP($N486,'Calculo Leads'!$A$97:$A$134,'Calculo Leads'!O$97:O$134)*_xlfn.XLOOKUP($P486,'Base Grupo de Produtos'!$E$2:$E$18,'Base Grupo de Produtos'!$F$2:$F$18)</f>
        <v>384.99999999999994</v>
      </c>
      <c r="AC486" s="61">
        <f t="shared" si="499"/>
        <v>3314.9999999999995</v>
      </c>
      <c r="AD486" s="27">
        <f t="shared" si="518"/>
        <v>3314.9999999999995</v>
      </c>
      <c r="AE486" s="25">
        <f>IFERROR(_xlfn.XLOOKUP(N486&amp;P486,'Historico Vendas'!G:G,'Historico Vendas'!E:E),0)</f>
        <v>0</v>
      </c>
      <c r="AF486" s="29" t="str">
        <f t="shared" si="462"/>
        <v/>
      </c>
      <c r="AG486" s="24">
        <f>IFERROR(_xlfn.XLOOKUP(N486&amp;P486,'Historico Vendas'!G:G,'Historico Vendas'!F:F),0)</f>
        <v>0</v>
      </c>
      <c r="AH486" s="25">
        <f t="shared" si="519"/>
        <v>15805.827593360991</v>
      </c>
      <c r="AI486" s="24">
        <f t="shared" si="520"/>
        <v>15805.827593360991</v>
      </c>
      <c r="AJ486" s="11">
        <f t="shared" si="483"/>
        <v>0</v>
      </c>
      <c r="AK486" s="9" t="s">
        <v>102</v>
      </c>
      <c r="AL486" s="13">
        <f>IFERROR(INDEX('Balizador da Meta'!$D$3:$F$23,MATCH(Faturamento!$P486,'Balizador da Meta'!$C$3:$C$23,0),MATCH(Faturamento!AK486,'Balizador da Meta'!$D$2:$F$2,0)),"")</f>
        <v>0.25</v>
      </c>
      <c r="AM486" s="9"/>
    </row>
    <row r="487" spans="1:39" x14ac:dyDescent="0.3">
      <c r="A487" s="2" t="str">
        <f t="shared" si="463"/>
        <v>NÃO</v>
      </c>
      <c r="B487" s="2" t="str">
        <f>_xlfn.XLOOKUP($N487,'Base de Grupos'!$A:$A,'Base de Grupos'!$D:$D)</f>
        <v>1000065763</v>
      </c>
      <c r="C487" s="5" t="str">
        <f>_xlfn.XLOOKUP($N487,'Base de Grupos'!$A:$A,'Base de Grupos'!$E:$E)</f>
        <v>CANAL VENDA INTERNA</v>
      </c>
      <c r="D487" s="5" t="str">
        <f>_xlfn.XLOOKUP($N487,'Base de Grupos'!$A:$A,'Base de Grupos'!$F:$F)</f>
        <v>1000065763</v>
      </c>
      <c r="E487" s="2" t="str">
        <f>_xlfn.XLOOKUP($N487,'Base de Grupos'!$A:$A,'Base de Grupos'!$G:$G)</f>
        <v>CANAL VENDA INTERNA</v>
      </c>
      <c r="F487" s="2" t="str">
        <f>_xlfn.XLOOKUP($N487,'Base de Grupos'!$A:$A,'Base de Grupos'!$H:$H)</f>
        <v>1000153245</v>
      </c>
      <c r="G487" s="5" t="str">
        <f>_xlfn.XLOOKUP($N487,'Base de Grupos'!$A:$A,'Base de Grupos'!$I:$I)</f>
        <v>REGIONAL VENDA INTERNA - KEY ACCOUNT</v>
      </c>
      <c r="H487" s="5" t="str">
        <f>_xlfn.XLOOKUP($N487,'Base de Grupos'!$A:$A,'Base de Grupos'!$J:$J)</f>
        <v>1000153245</v>
      </c>
      <c r="I487" s="2" t="str">
        <f>_xlfn.XLOOKUP($N487,'Base de Grupos'!$A:$A,'Base de Grupos'!$K:$K)</f>
        <v>REGIONAL VENDA INTERNA - KEY ACCOUNT</v>
      </c>
      <c r="J487" s="2" t="str">
        <f>_xlfn.XLOOKUP($N487,'Base de Grupos'!$A:$A,'Base de Grupos'!$L:$L)</f>
        <v>1000153245</v>
      </c>
      <c r="K487" s="5" t="str">
        <f>_xlfn.XLOOKUP($N487,'Base de Grupos'!$A:$A,'Base de Grupos'!$M:$M)</f>
        <v>REGIONAL VENDA INTERNA - KEY ACCOUNT</v>
      </c>
      <c r="L487" s="5" t="str">
        <f t="shared" si="464"/>
        <v/>
      </c>
      <c r="M487" s="5" t="str">
        <f>_xlfn.XLOOKUP($N487,'Base de Grupos'!$A:$A,'Base de Grupos'!$C:$C)</f>
        <v>PR</v>
      </c>
      <c r="N487" s="3">
        <v>1425</v>
      </c>
      <c r="O487" s="4" t="s">
        <v>250</v>
      </c>
      <c r="P487" s="5" t="s">
        <v>95</v>
      </c>
      <c r="Q487" s="56">
        <v>0</v>
      </c>
      <c r="R487" s="56">
        <v>7481.9030000000012</v>
      </c>
      <c r="S487" s="56">
        <v>8371.36</v>
      </c>
      <c r="T487" s="56">
        <f>_xlfn.XLOOKUP($N487,'Calculo Leads'!$A$97:$A$134,'Calculo Leads'!G$97:G$134)*_xlfn.XLOOKUP($P487,'Base Grupo de Produtos'!$E$2:$E$18,'Base Grupo de Produtos'!$F$2:$F$18)</f>
        <v>320</v>
      </c>
      <c r="U487" s="56">
        <f>_xlfn.XLOOKUP($N487,'Calculo Leads'!$A$97:$A$134,'Calculo Leads'!H$97:H$134)*_xlfn.XLOOKUP($P487,'Base Grupo de Produtos'!$E$2:$E$18,'Base Grupo de Produtos'!$F$2:$F$18)</f>
        <v>320</v>
      </c>
      <c r="V487" s="56">
        <f>_xlfn.XLOOKUP($N487,'Calculo Leads'!$A$97:$A$134,'Calculo Leads'!I$97:I$134)*_xlfn.XLOOKUP($P487,'Base Grupo de Produtos'!$E$2:$E$18,'Base Grupo de Produtos'!$F$2:$F$18)</f>
        <v>400</v>
      </c>
      <c r="W487" s="56">
        <f>_xlfn.XLOOKUP($N487,'Calculo Leads'!$A$97:$A$134,'Calculo Leads'!J$97:J$134)*_xlfn.XLOOKUP($P487,'Base Grupo de Produtos'!$E$2:$E$18,'Base Grupo de Produtos'!$F$2:$F$18)</f>
        <v>480</v>
      </c>
      <c r="X487" s="56">
        <f>_xlfn.XLOOKUP($N487,'Calculo Leads'!$A$97:$A$134,'Calculo Leads'!K$97:K$134)*_xlfn.XLOOKUP($P487,'Base Grupo de Produtos'!$E$2:$E$18,'Base Grupo de Produtos'!$F$2:$F$18)</f>
        <v>616</v>
      </c>
      <c r="Y487" s="56">
        <f>_xlfn.XLOOKUP($N487,'Calculo Leads'!$A$97:$A$134,'Calculo Leads'!L$97:L$134)*_xlfn.XLOOKUP($P487,'Base Grupo de Produtos'!$E$2:$E$18,'Base Grupo de Produtos'!$F$2:$F$18)</f>
        <v>792</v>
      </c>
      <c r="Z487" s="56">
        <f>_xlfn.XLOOKUP($N487,'Calculo Leads'!$A$97:$A$134,'Calculo Leads'!M$97:M$134)*_xlfn.XLOOKUP($P487,'Base Grupo de Produtos'!$E$2:$E$18,'Base Grupo de Produtos'!$F$2:$F$18)</f>
        <v>792</v>
      </c>
      <c r="AA487" s="56">
        <f>_xlfn.XLOOKUP($N487,'Calculo Leads'!$A$97:$A$134,'Calculo Leads'!N$97:N$134)*_xlfn.XLOOKUP($P487,'Base Grupo de Produtos'!$E$2:$E$18,'Base Grupo de Produtos'!$F$2:$F$18)</f>
        <v>968</v>
      </c>
      <c r="AB487" s="56">
        <f>_xlfn.XLOOKUP($N487,'Calculo Leads'!$A$97:$A$134,'Calculo Leads'!O$97:O$134)*_xlfn.XLOOKUP($P487,'Base Grupo de Produtos'!$E$2:$E$18,'Base Grupo de Produtos'!$F$2:$F$18)</f>
        <v>616</v>
      </c>
      <c r="AC487" s="61">
        <f t="shared" si="499"/>
        <v>5304</v>
      </c>
      <c r="AD487" s="27">
        <f t="shared" si="518"/>
        <v>5304</v>
      </c>
      <c r="AE487" s="25">
        <f>IFERROR(_xlfn.XLOOKUP(N487&amp;P487,'Historico Vendas'!G:G,'Historico Vendas'!E:E),0)</f>
        <v>0</v>
      </c>
      <c r="AF487" s="29" t="str">
        <f t="shared" si="462"/>
        <v/>
      </c>
      <c r="AG487" s="24">
        <f>IFERROR(_xlfn.XLOOKUP(N487&amp;P487,'Historico Vendas'!G:G,'Historico Vendas'!F:F),0)</f>
        <v>0</v>
      </c>
      <c r="AH487" s="25">
        <f t="shared" si="519"/>
        <v>15853.263000000003</v>
      </c>
      <c r="AI487" s="24">
        <f t="shared" si="520"/>
        <v>15853.263000000003</v>
      </c>
      <c r="AJ487" s="11">
        <f t="shared" si="483"/>
        <v>0</v>
      </c>
      <c r="AK487" s="9" t="s">
        <v>102</v>
      </c>
      <c r="AL487" s="13">
        <f>IFERROR(INDEX('Balizador da Meta'!$D$3:$F$23,MATCH(Faturamento!$P487,'Balizador da Meta'!$C$3:$C$23,0),MATCH(Faturamento!AK487,'Balizador da Meta'!$D$2:$F$2,0)),"")</f>
        <v>0.25</v>
      </c>
      <c r="AM487" s="9"/>
    </row>
    <row r="488" spans="1:39" x14ac:dyDescent="0.3">
      <c r="A488" s="2" t="str">
        <f t="shared" si="463"/>
        <v>NÃO</v>
      </c>
      <c r="B488" s="2" t="str">
        <f>_xlfn.XLOOKUP($N488,'Base de Grupos'!$A:$A,'Base de Grupos'!$D:$D)</f>
        <v>1000065763</v>
      </c>
      <c r="C488" s="5" t="str">
        <f>_xlfn.XLOOKUP($N488,'Base de Grupos'!$A:$A,'Base de Grupos'!$E:$E)</f>
        <v>CANAL VENDA INTERNA</v>
      </c>
      <c r="D488" s="5" t="str">
        <f>_xlfn.XLOOKUP($N488,'Base de Grupos'!$A:$A,'Base de Grupos'!$F:$F)</f>
        <v>1000065763</v>
      </c>
      <c r="E488" s="2" t="str">
        <f>_xlfn.XLOOKUP($N488,'Base de Grupos'!$A:$A,'Base de Grupos'!$G:$G)</f>
        <v>CANAL VENDA INTERNA</v>
      </c>
      <c r="F488" s="2" t="str">
        <f>_xlfn.XLOOKUP($N488,'Base de Grupos'!$A:$A,'Base de Grupos'!$H:$H)</f>
        <v>1000153245</v>
      </c>
      <c r="G488" s="5" t="str">
        <f>_xlfn.XLOOKUP($N488,'Base de Grupos'!$A:$A,'Base de Grupos'!$I:$I)</f>
        <v>REGIONAL VENDA INTERNA - KEY ACCOUNT</v>
      </c>
      <c r="H488" s="5" t="str">
        <f>_xlfn.XLOOKUP($N488,'Base de Grupos'!$A:$A,'Base de Grupos'!$J:$J)</f>
        <v>1000153245</v>
      </c>
      <c r="I488" s="2" t="str">
        <f>_xlfn.XLOOKUP($N488,'Base de Grupos'!$A:$A,'Base de Grupos'!$K:$K)</f>
        <v>REGIONAL VENDA INTERNA - KEY ACCOUNT</v>
      </c>
      <c r="J488" s="2" t="str">
        <f>_xlfn.XLOOKUP($N488,'Base de Grupos'!$A:$A,'Base de Grupos'!$L:$L)</f>
        <v>1000153245</v>
      </c>
      <c r="K488" s="5" t="str">
        <f>_xlfn.XLOOKUP($N488,'Base de Grupos'!$A:$A,'Base de Grupos'!$M:$M)</f>
        <v>REGIONAL VENDA INTERNA - KEY ACCOUNT</v>
      </c>
      <c r="L488" s="5" t="str">
        <f t="shared" si="464"/>
        <v/>
      </c>
      <c r="M488" s="5" t="str">
        <f>_xlfn.XLOOKUP($N488,'Base de Grupos'!$A:$A,'Base de Grupos'!$C:$C)</f>
        <v>PR</v>
      </c>
      <c r="N488" s="3">
        <v>1425</v>
      </c>
      <c r="O488" s="4" t="s">
        <v>250</v>
      </c>
      <c r="P488" s="5" t="s">
        <v>93</v>
      </c>
      <c r="Q488" s="56">
        <v>0</v>
      </c>
      <c r="R488" s="56">
        <v>2490.3912</v>
      </c>
      <c r="S488" s="56">
        <v>2783.3784000000005</v>
      </c>
      <c r="T488" s="56">
        <f>_xlfn.XLOOKUP($N488,'Calculo Leads'!$A$97:$A$134,'Calculo Leads'!G$97:G$134)*_xlfn.XLOOKUP($P488,'Base Grupo de Produtos'!$E$2:$E$18,'Base Grupo de Produtos'!$F$2:$F$18)</f>
        <v>120</v>
      </c>
      <c r="U488" s="56">
        <f>_xlfn.XLOOKUP($N488,'Calculo Leads'!$A$97:$A$134,'Calculo Leads'!H$97:H$134)*_xlfn.XLOOKUP($P488,'Base Grupo de Produtos'!$E$2:$E$18,'Base Grupo de Produtos'!$F$2:$F$18)</f>
        <v>120</v>
      </c>
      <c r="V488" s="56">
        <f>_xlfn.XLOOKUP($N488,'Calculo Leads'!$A$97:$A$134,'Calculo Leads'!I$97:I$134)*_xlfn.XLOOKUP($P488,'Base Grupo de Produtos'!$E$2:$E$18,'Base Grupo de Produtos'!$F$2:$F$18)</f>
        <v>150</v>
      </c>
      <c r="W488" s="56">
        <f>_xlfn.XLOOKUP($N488,'Calculo Leads'!$A$97:$A$134,'Calculo Leads'!J$97:J$134)*_xlfn.XLOOKUP($P488,'Base Grupo de Produtos'!$E$2:$E$18,'Base Grupo de Produtos'!$F$2:$F$18)</f>
        <v>180</v>
      </c>
      <c r="X488" s="56">
        <f>_xlfn.XLOOKUP($N488,'Calculo Leads'!$A$97:$A$134,'Calculo Leads'!K$97:K$134)*_xlfn.XLOOKUP($P488,'Base Grupo de Produtos'!$E$2:$E$18,'Base Grupo de Produtos'!$F$2:$F$18)</f>
        <v>231</v>
      </c>
      <c r="Y488" s="56">
        <f>_xlfn.XLOOKUP($N488,'Calculo Leads'!$A$97:$A$134,'Calculo Leads'!L$97:L$134)*_xlfn.XLOOKUP($P488,'Base Grupo de Produtos'!$E$2:$E$18,'Base Grupo de Produtos'!$F$2:$F$18)</f>
        <v>297</v>
      </c>
      <c r="Z488" s="56">
        <f>_xlfn.XLOOKUP($N488,'Calculo Leads'!$A$97:$A$134,'Calculo Leads'!M$97:M$134)*_xlfn.XLOOKUP($P488,'Base Grupo de Produtos'!$E$2:$E$18,'Base Grupo de Produtos'!$F$2:$F$18)</f>
        <v>297</v>
      </c>
      <c r="AA488" s="56">
        <f>_xlfn.XLOOKUP($N488,'Calculo Leads'!$A$97:$A$134,'Calculo Leads'!N$97:N$134)*_xlfn.XLOOKUP($P488,'Base Grupo de Produtos'!$E$2:$E$18,'Base Grupo de Produtos'!$F$2:$F$18)</f>
        <v>363</v>
      </c>
      <c r="AB488" s="56">
        <f>_xlfn.XLOOKUP($N488,'Calculo Leads'!$A$97:$A$134,'Calculo Leads'!O$97:O$134)*_xlfn.XLOOKUP($P488,'Base Grupo de Produtos'!$E$2:$E$18,'Base Grupo de Produtos'!$F$2:$F$18)</f>
        <v>231</v>
      </c>
      <c r="AC488" s="61">
        <f t="shared" si="499"/>
        <v>1989</v>
      </c>
      <c r="AD488" s="27">
        <f t="shared" si="518"/>
        <v>1989</v>
      </c>
      <c r="AE488" s="25">
        <f>IFERROR(_xlfn.XLOOKUP(N488&amp;P488,'Historico Vendas'!G:G,'Historico Vendas'!E:E),0)</f>
        <v>0</v>
      </c>
      <c r="AF488" s="29" t="str">
        <f t="shared" si="462"/>
        <v/>
      </c>
      <c r="AG488" s="24">
        <f>IFERROR(_xlfn.XLOOKUP(N488&amp;P488,'Historico Vendas'!G:G,'Historico Vendas'!F:F),0)</f>
        <v>0</v>
      </c>
      <c r="AH488" s="25">
        <f t="shared" si="519"/>
        <v>5273.7696000000005</v>
      </c>
      <c r="AI488" s="24">
        <f t="shared" si="520"/>
        <v>5273.7696000000005</v>
      </c>
      <c r="AJ488" s="11">
        <f t="shared" si="483"/>
        <v>0</v>
      </c>
      <c r="AK488" s="9" t="s">
        <v>102</v>
      </c>
      <c r="AL488" s="13">
        <f>IFERROR(INDEX('Balizador da Meta'!$D$3:$F$23,MATCH(Faturamento!$P488,'Balizador da Meta'!$C$3:$C$23,0),MATCH(Faturamento!AK488,'Balizador da Meta'!$D$2:$F$2,0)),"")</f>
        <v>0.2</v>
      </c>
      <c r="AM488" s="9"/>
    </row>
    <row r="489" spans="1:39" x14ac:dyDescent="0.3">
      <c r="A489" s="2" t="str">
        <f t="shared" si="463"/>
        <v>SIM</v>
      </c>
      <c r="B489" s="2" t="str">
        <f>_xlfn.XLOOKUP($N489,'Base de Grupos'!$A:$A,'Base de Grupos'!$D:$D)</f>
        <v>1000065763</v>
      </c>
      <c r="C489" s="5" t="str">
        <f>_xlfn.XLOOKUP($N489,'Base de Grupos'!$A:$A,'Base de Grupos'!$E:$E)</f>
        <v>CANAL VENDA INTERNA</v>
      </c>
      <c r="D489" s="5" t="str">
        <f>_xlfn.XLOOKUP($N489,'Base de Grupos'!$A:$A,'Base de Grupos'!$F:$F)</f>
        <v>1000065763</v>
      </c>
      <c r="E489" s="2" t="str">
        <f>_xlfn.XLOOKUP($N489,'Base de Grupos'!$A:$A,'Base de Grupos'!$G:$G)</f>
        <v>CANAL VENDA INTERNA</v>
      </c>
      <c r="F489" s="2" t="str">
        <f>_xlfn.XLOOKUP($N489,'Base de Grupos'!$A:$A,'Base de Grupos'!$H:$H)</f>
        <v>1000153245</v>
      </c>
      <c r="G489" s="5" t="str">
        <f>_xlfn.XLOOKUP($N489,'Base de Grupos'!$A:$A,'Base de Grupos'!$I:$I)</f>
        <v>REGIONAL VENDA INTERNA - KEY ACCOUNT</v>
      </c>
      <c r="H489" s="5" t="str">
        <f>_xlfn.XLOOKUP($N489,'Base de Grupos'!$A:$A,'Base de Grupos'!$J:$J)</f>
        <v>1000153245</v>
      </c>
      <c r="I489" s="2" t="str">
        <f>_xlfn.XLOOKUP($N489,'Base de Grupos'!$A:$A,'Base de Grupos'!$K:$K)</f>
        <v>REGIONAL VENDA INTERNA - KEY ACCOUNT</v>
      </c>
      <c r="J489" s="2" t="str">
        <f>_xlfn.XLOOKUP($N489,'Base de Grupos'!$A:$A,'Base de Grupos'!$L:$L)</f>
        <v>1000153245</v>
      </c>
      <c r="K489" s="5" t="str">
        <f>_xlfn.XLOOKUP($N489,'Base de Grupos'!$A:$A,'Base de Grupos'!$M:$M)</f>
        <v>REGIONAL VENDA INTERNA - KEY ACCOUNT</v>
      </c>
      <c r="L489" s="5">
        <f t="shared" si="464"/>
        <v>1</v>
      </c>
      <c r="M489" s="5" t="str">
        <f>_xlfn.XLOOKUP($N489,'Base de Grupos'!$A:$A,'Base de Grupos'!$C:$C)</f>
        <v>SC</v>
      </c>
      <c r="N489" s="3">
        <v>1427</v>
      </c>
      <c r="O489" s="4" t="s">
        <v>251</v>
      </c>
      <c r="P489" s="5" t="s">
        <v>321</v>
      </c>
      <c r="Q489" s="56">
        <f t="shared" ref="Q489" si="521">SUM(Q490:Q506)</f>
        <v>0</v>
      </c>
      <c r="R489" s="56">
        <f t="shared" ref="R489" si="522">SUM(R490:R506)</f>
        <v>10568.294327098127</v>
      </c>
      <c r="S489" s="56">
        <f t="shared" ref="S489" si="523">SUM(S490:S506)</f>
        <v>12029.078970466311</v>
      </c>
      <c r="T489" s="56">
        <f t="shared" ref="T489" si="524">SUM(T490:T506)</f>
        <v>5000</v>
      </c>
      <c r="U489" s="56">
        <f t="shared" ref="U489" si="525">SUM(U490:U506)</f>
        <v>6000</v>
      </c>
      <c r="V489" s="56">
        <f t="shared" ref="V489" si="526">SUM(V490:V506)</f>
        <v>7000</v>
      </c>
      <c r="W489" s="56">
        <f t="shared" ref="W489" si="527">SUM(W490:W506)</f>
        <v>9000</v>
      </c>
      <c r="X489" s="56">
        <f t="shared" ref="X489" si="528">SUM(X490:X506)</f>
        <v>11000</v>
      </c>
      <c r="Y489" s="56">
        <f t="shared" ref="Y489" si="529">SUM(Y490:Y506)</f>
        <v>13200</v>
      </c>
      <c r="Z489" s="56">
        <f t="shared" ref="Z489" si="530">SUM(Z490:Z506)</f>
        <v>14300</v>
      </c>
      <c r="AA489" s="56">
        <f t="shared" ref="AA489" si="531">SUM(AA490:AA506)</f>
        <v>16500</v>
      </c>
      <c r="AB489" s="56">
        <f t="shared" ref="AB489" si="532">SUM(AB490:AB506)</f>
        <v>11000</v>
      </c>
      <c r="AC489" s="56">
        <f t="shared" ref="AC489" si="533">SUM(AC490:AC506)</f>
        <v>93000</v>
      </c>
      <c r="AD489" s="25">
        <f t="shared" ref="AD489" si="534">SUM(AD490:AD506)</f>
        <v>93000</v>
      </c>
      <c r="AE489" s="25">
        <f t="shared" ref="AE489:AI489" si="535">SUM(AE490:AE506)</f>
        <v>0</v>
      </c>
      <c r="AF489" s="11" t="str">
        <f t="shared" si="462"/>
        <v/>
      </c>
      <c r="AG489" s="24">
        <f t="shared" si="535"/>
        <v>0</v>
      </c>
      <c r="AH489" s="25">
        <f t="shared" si="535"/>
        <v>22597.373297564438</v>
      </c>
      <c r="AI489" s="24">
        <f t="shared" si="535"/>
        <v>22597.373297564438</v>
      </c>
      <c r="AJ489" s="11">
        <f t="shared" si="483"/>
        <v>0</v>
      </c>
      <c r="AK489" s="9"/>
      <c r="AL489" s="13"/>
      <c r="AM489" s="9"/>
    </row>
    <row r="490" spans="1:39" x14ac:dyDescent="0.3">
      <c r="A490" s="2" t="str">
        <f t="shared" si="463"/>
        <v>NÃO</v>
      </c>
      <c r="B490" s="2" t="str">
        <f>_xlfn.XLOOKUP($N490,'Base de Grupos'!$A:$A,'Base de Grupos'!$D:$D)</f>
        <v>1000065763</v>
      </c>
      <c r="C490" s="5" t="str">
        <f>_xlfn.XLOOKUP($N490,'Base de Grupos'!$A:$A,'Base de Grupos'!$E:$E)</f>
        <v>CANAL VENDA INTERNA</v>
      </c>
      <c r="D490" s="5" t="str">
        <f>_xlfn.XLOOKUP($N490,'Base de Grupos'!$A:$A,'Base de Grupos'!$F:$F)</f>
        <v>1000065763</v>
      </c>
      <c r="E490" s="2" t="str">
        <f>_xlfn.XLOOKUP($N490,'Base de Grupos'!$A:$A,'Base de Grupos'!$G:$G)</f>
        <v>CANAL VENDA INTERNA</v>
      </c>
      <c r="F490" s="2" t="str">
        <f>_xlfn.XLOOKUP($N490,'Base de Grupos'!$A:$A,'Base de Grupos'!$H:$H)</f>
        <v>1000153245</v>
      </c>
      <c r="G490" s="5" t="str">
        <f>_xlfn.XLOOKUP($N490,'Base de Grupos'!$A:$A,'Base de Grupos'!$I:$I)</f>
        <v>REGIONAL VENDA INTERNA - KEY ACCOUNT</v>
      </c>
      <c r="H490" s="5" t="str">
        <f>_xlfn.XLOOKUP($N490,'Base de Grupos'!$A:$A,'Base de Grupos'!$J:$J)</f>
        <v>1000153245</v>
      </c>
      <c r="I490" s="2" t="str">
        <f>_xlfn.XLOOKUP($N490,'Base de Grupos'!$A:$A,'Base de Grupos'!$K:$K)</f>
        <v>REGIONAL VENDA INTERNA - KEY ACCOUNT</v>
      </c>
      <c r="J490" s="2" t="str">
        <f>_xlfn.XLOOKUP($N490,'Base de Grupos'!$A:$A,'Base de Grupos'!$L:$L)</f>
        <v>1000153245</v>
      </c>
      <c r="K490" s="5" t="str">
        <f>_xlfn.XLOOKUP($N490,'Base de Grupos'!$A:$A,'Base de Grupos'!$M:$M)</f>
        <v>REGIONAL VENDA INTERNA - KEY ACCOUNT</v>
      </c>
      <c r="L490" s="5" t="str">
        <f t="shared" si="464"/>
        <v/>
      </c>
      <c r="M490" s="5" t="str">
        <f>_xlfn.XLOOKUP($N490,'Base de Grupos'!$A:$A,'Base de Grupos'!$C:$C)</f>
        <v>SC</v>
      </c>
      <c r="N490" s="3">
        <v>1427</v>
      </c>
      <c r="O490" s="4" t="s">
        <v>251</v>
      </c>
      <c r="P490" s="5" t="s">
        <v>81</v>
      </c>
      <c r="Q490" s="56">
        <v>0</v>
      </c>
      <c r="R490" s="56">
        <v>404.3886056291048</v>
      </c>
      <c r="S490" s="56">
        <v>505.48575703638102</v>
      </c>
      <c r="T490" s="56">
        <f>_xlfn.XLOOKUP($N490,'Calculo Leads'!$A$97:$A$134,'Calculo Leads'!G$97:G$134)*_xlfn.XLOOKUP($P490,'Base Grupo de Produtos'!$E$2:$E$18,'Base Grupo de Produtos'!$F$2:$F$18)</f>
        <v>250</v>
      </c>
      <c r="U490" s="56">
        <f>_xlfn.XLOOKUP($N490,'Calculo Leads'!$A$97:$A$134,'Calculo Leads'!H$97:H$134)*_xlfn.XLOOKUP($P490,'Base Grupo de Produtos'!$E$2:$E$18,'Base Grupo de Produtos'!$F$2:$F$18)</f>
        <v>300</v>
      </c>
      <c r="V490" s="56">
        <f>_xlfn.XLOOKUP($N490,'Calculo Leads'!$A$97:$A$134,'Calculo Leads'!I$97:I$134)*_xlfn.XLOOKUP($P490,'Base Grupo de Produtos'!$E$2:$E$18,'Base Grupo de Produtos'!$F$2:$F$18)</f>
        <v>350</v>
      </c>
      <c r="W490" s="56">
        <f>_xlfn.XLOOKUP($N490,'Calculo Leads'!$A$97:$A$134,'Calculo Leads'!J$97:J$134)*_xlfn.XLOOKUP($P490,'Base Grupo de Produtos'!$E$2:$E$18,'Base Grupo de Produtos'!$F$2:$F$18)</f>
        <v>450</v>
      </c>
      <c r="X490" s="56">
        <f>_xlfn.XLOOKUP($N490,'Calculo Leads'!$A$97:$A$134,'Calculo Leads'!K$97:K$134)*_xlfn.XLOOKUP($P490,'Base Grupo de Produtos'!$E$2:$E$18,'Base Grupo de Produtos'!$F$2:$F$18)</f>
        <v>550</v>
      </c>
      <c r="Y490" s="56">
        <f>_xlfn.XLOOKUP($N490,'Calculo Leads'!$A$97:$A$134,'Calculo Leads'!L$97:L$134)*_xlfn.XLOOKUP($P490,'Base Grupo de Produtos'!$E$2:$E$18,'Base Grupo de Produtos'!$F$2:$F$18)</f>
        <v>660</v>
      </c>
      <c r="Z490" s="56">
        <f>_xlfn.XLOOKUP($N490,'Calculo Leads'!$A$97:$A$134,'Calculo Leads'!M$97:M$134)*_xlfn.XLOOKUP($P490,'Base Grupo de Produtos'!$E$2:$E$18,'Base Grupo de Produtos'!$F$2:$F$18)</f>
        <v>715</v>
      </c>
      <c r="AA490" s="56">
        <f>_xlfn.XLOOKUP($N490,'Calculo Leads'!$A$97:$A$134,'Calculo Leads'!N$97:N$134)*_xlfn.XLOOKUP($P490,'Base Grupo de Produtos'!$E$2:$E$18,'Base Grupo de Produtos'!$F$2:$F$18)</f>
        <v>825</v>
      </c>
      <c r="AB490" s="56">
        <f>_xlfn.XLOOKUP($N490,'Calculo Leads'!$A$97:$A$134,'Calculo Leads'!O$97:O$134)*_xlfn.XLOOKUP($P490,'Base Grupo de Produtos'!$E$2:$E$18,'Base Grupo de Produtos'!$F$2:$F$18)</f>
        <v>550</v>
      </c>
      <c r="AC490" s="61">
        <f t="shared" si="499"/>
        <v>4650</v>
      </c>
      <c r="AD490" s="27">
        <f t="shared" ref="AD490:AD506" si="536">IF(AC490=0,0,AC490-AG490)</f>
        <v>4650</v>
      </c>
      <c r="AE490" s="25">
        <f>IFERROR(_xlfn.XLOOKUP(N490&amp;P490,'Historico Vendas'!G:G,'Historico Vendas'!E:E),0)</f>
        <v>0</v>
      </c>
      <c r="AF490" s="29" t="str">
        <f t="shared" si="462"/>
        <v/>
      </c>
      <c r="AG490" s="24">
        <f>IFERROR(_xlfn.XLOOKUP(N490&amp;P490,'Historico Vendas'!G:G,'Historico Vendas'!F:F),0)</f>
        <v>0</v>
      </c>
      <c r="AH490" s="25">
        <f t="shared" ref="AH490:AH506" si="537">SUM(Q490:S490)</f>
        <v>909.87436266548582</v>
      </c>
      <c r="AI490" s="24">
        <f t="shared" ref="AI490:AI506" si="538">AH490-AG490</f>
        <v>909.87436266548582</v>
      </c>
      <c r="AJ490" s="11">
        <f t="shared" si="483"/>
        <v>0</v>
      </c>
      <c r="AK490" s="9" t="s">
        <v>102</v>
      </c>
      <c r="AL490" s="13">
        <f>IFERROR(INDEX('Balizador da Meta'!$D$3:$F$23,MATCH(Faturamento!$P490,'Balizador da Meta'!$C$3:$C$23,0),MATCH(Faturamento!AK490,'Balizador da Meta'!$D$2:$F$2,0)),"")</f>
        <v>0.2</v>
      </c>
      <c r="AM490" s="9"/>
    </row>
    <row r="491" spans="1:39" x14ac:dyDescent="0.3">
      <c r="A491" s="2" t="str">
        <f t="shared" si="463"/>
        <v>NÃO</v>
      </c>
      <c r="B491" s="2" t="str">
        <f>_xlfn.XLOOKUP($N491,'Base de Grupos'!$A:$A,'Base de Grupos'!$D:$D)</f>
        <v>1000065763</v>
      </c>
      <c r="C491" s="5" t="str">
        <f>_xlfn.XLOOKUP($N491,'Base de Grupos'!$A:$A,'Base de Grupos'!$E:$E)</f>
        <v>CANAL VENDA INTERNA</v>
      </c>
      <c r="D491" s="5" t="str">
        <f>_xlfn.XLOOKUP($N491,'Base de Grupos'!$A:$A,'Base de Grupos'!$F:$F)</f>
        <v>1000065763</v>
      </c>
      <c r="E491" s="2" t="str">
        <f>_xlfn.XLOOKUP($N491,'Base de Grupos'!$A:$A,'Base de Grupos'!$G:$G)</f>
        <v>CANAL VENDA INTERNA</v>
      </c>
      <c r="F491" s="2" t="str">
        <f>_xlfn.XLOOKUP($N491,'Base de Grupos'!$A:$A,'Base de Grupos'!$H:$H)</f>
        <v>1000153245</v>
      </c>
      <c r="G491" s="5" t="str">
        <f>_xlfn.XLOOKUP($N491,'Base de Grupos'!$A:$A,'Base de Grupos'!$I:$I)</f>
        <v>REGIONAL VENDA INTERNA - KEY ACCOUNT</v>
      </c>
      <c r="H491" s="5" t="str">
        <f>_xlfn.XLOOKUP($N491,'Base de Grupos'!$A:$A,'Base de Grupos'!$J:$J)</f>
        <v>1000153245</v>
      </c>
      <c r="I491" s="2" t="str">
        <f>_xlfn.XLOOKUP($N491,'Base de Grupos'!$A:$A,'Base de Grupos'!$K:$K)</f>
        <v>REGIONAL VENDA INTERNA - KEY ACCOUNT</v>
      </c>
      <c r="J491" s="2" t="str">
        <f>_xlfn.XLOOKUP($N491,'Base de Grupos'!$A:$A,'Base de Grupos'!$L:$L)</f>
        <v>1000153245</v>
      </c>
      <c r="K491" s="5" t="str">
        <f>_xlfn.XLOOKUP($N491,'Base de Grupos'!$A:$A,'Base de Grupos'!$M:$M)</f>
        <v>REGIONAL VENDA INTERNA - KEY ACCOUNT</v>
      </c>
      <c r="L491" s="5" t="str">
        <f t="shared" si="464"/>
        <v/>
      </c>
      <c r="M491" s="5" t="str">
        <f>_xlfn.XLOOKUP($N491,'Base de Grupos'!$A:$A,'Base de Grupos'!$C:$C)</f>
        <v>SC</v>
      </c>
      <c r="N491" s="3">
        <v>1427</v>
      </c>
      <c r="O491" s="4" t="s">
        <v>251</v>
      </c>
      <c r="P491" s="5" t="s">
        <v>82</v>
      </c>
      <c r="Q491" s="56">
        <v>0</v>
      </c>
      <c r="R491" s="56">
        <v>2462.0564928909953</v>
      </c>
      <c r="S491" s="56">
        <v>2872.3992417061613</v>
      </c>
      <c r="T491" s="56">
        <f>_xlfn.XLOOKUP($N491,'Calculo Leads'!$A$97:$A$134,'Calculo Leads'!G$97:G$134)*_xlfn.XLOOKUP($P491,'Base Grupo de Produtos'!$E$2:$E$18,'Base Grupo de Produtos'!$F$2:$F$18)</f>
        <v>250</v>
      </c>
      <c r="U491" s="56">
        <f>_xlfn.XLOOKUP($N491,'Calculo Leads'!$A$97:$A$134,'Calculo Leads'!H$97:H$134)*_xlfn.XLOOKUP($P491,'Base Grupo de Produtos'!$E$2:$E$18,'Base Grupo de Produtos'!$F$2:$F$18)</f>
        <v>300</v>
      </c>
      <c r="V491" s="56">
        <f>_xlfn.XLOOKUP($N491,'Calculo Leads'!$A$97:$A$134,'Calculo Leads'!I$97:I$134)*_xlfn.XLOOKUP($P491,'Base Grupo de Produtos'!$E$2:$E$18,'Base Grupo de Produtos'!$F$2:$F$18)</f>
        <v>350</v>
      </c>
      <c r="W491" s="56">
        <f>_xlfn.XLOOKUP($N491,'Calculo Leads'!$A$97:$A$134,'Calculo Leads'!J$97:J$134)*_xlfn.XLOOKUP($P491,'Base Grupo de Produtos'!$E$2:$E$18,'Base Grupo de Produtos'!$F$2:$F$18)</f>
        <v>450</v>
      </c>
      <c r="X491" s="56">
        <f>_xlfn.XLOOKUP($N491,'Calculo Leads'!$A$97:$A$134,'Calculo Leads'!K$97:K$134)*_xlfn.XLOOKUP($P491,'Base Grupo de Produtos'!$E$2:$E$18,'Base Grupo de Produtos'!$F$2:$F$18)</f>
        <v>550</v>
      </c>
      <c r="Y491" s="56">
        <f>_xlfn.XLOOKUP($N491,'Calculo Leads'!$A$97:$A$134,'Calculo Leads'!L$97:L$134)*_xlfn.XLOOKUP($P491,'Base Grupo de Produtos'!$E$2:$E$18,'Base Grupo de Produtos'!$F$2:$F$18)</f>
        <v>660</v>
      </c>
      <c r="Z491" s="56">
        <f>_xlfn.XLOOKUP($N491,'Calculo Leads'!$A$97:$A$134,'Calculo Leads'!M$97:M$134)*_xlfn.XLOOKUP($P491,'Base Grupo de Produtos'!$E$2:$E$18,'Base Grupo de Produtos'!$F$2:$F$18)</f>
        <v>715</v>
      </c>
      <c r="AA491" s="56">
        <f>_xlfn.XLOOKUP($N491,'Calculo Leads'!$A$97:$A$134,'Calculo Leads'!N$97:N$134)*_xlfn.XLOOKUP($P491,'Base Grupo de Produtos'!$E$2:$E$18,'Base Grupo de Produtos'!$F$2:$F$18)</f>
        <v>825</v>
      </c>
      <c r="AB491" s="56">
        <f>_xlfn.XLOOKUP($N491,'Calculo Leads'!$A$97:$A$134,'Calculo Leads'!O$97:O$134)*_xlfn.XLOOKUP($P491,'Base Grupo de Produtos'!$E$2:$E$18,'Base Grupo de Produtos'!$F$2:$F$18)</f>
        <v>550</v>
      </c>
      <c r="AC491" s="61">
        <f t="shared" si="499"/>
        <v>4650</v>
      </c>
      <c r="AD491" s="27">
        <f t="shared" si="536"/>
        <v>4650</v>
      </c>
      <c r="AE491" s="25">
        <f>IFERROR(_xlfn.XLOOKUP(N491&amp;P491,'Historico Vendas'!G:G,'Historico Vendas'!E:E),0)</f>
        <v>0</v>
      </c>
      <c r="AF491" s="29" t="str">
        <f t="shared" si="462"/>
        <v/>
      </c>
      <c r="AG491" s="24">
        <f>IFERROR(_xlfn.XLOOKUP(N491&amp;P491,'Historico Vendas'!G:G,'Historico Vendas'!F:F),0)</f>
        <v>0</v>
      </c>
      <c r="AH491" s="25">
        <f t="shared" si="537"/>
        <v>5334.4557345971571</v>
      </c>
      <c r="AI491" s="24">
        <f t="shared" si="538"/>
        <v>5334.4557345971571</v>
      </c>
      <c r="AJ491" s="11">
        <f t="shared" si="483"/>
        <v>0</v>
      </c>
      <c r="AK491" s="9" t="s">
        <v>102</v>
      </c>
      <c r="AL491" s="13">
        <f>IFERROR(INDEX('Balizador da Meta'!$D$3:$F$23,MATCH(Faturamento!$P491,'Balizador da Meta'!$C$3:$C$23,0),MATCH(Faturamento!AK491,'Balizador da Meta'!$D$2:$F$2,0)),"")</f>
        <v>0.2</v>
      </c>
      <c r="AM491" s="9"/>
    </row>
    <row r="492" spans="1:39" x14ac:dyDescent="0.3">
      <c r="A492" s="2" t="str">
        <f t="shared" si="463"/>
        <v>NÃO</v>
      </c>
      <c r="B492" s="2" t="str">
        <f>_xlfn.XLOOKUP($N492,'Base de Grupos'!$A:$A,'Base de Grupos'!$D:$D)</f>
        <v>1000065763</v>
      </c>
      <c r="C492" s="5" t="str">
        <f>_xlfn.XLOOKUP($N492,'Base de Grupos'!$A:$A,'Base de Grupos'!$E:$E)</f>
        <v>CANAL VENDA INTERNA</v>
      </c>
      <c r="D492" s="5" t="str">
        <f>_xlfn.XLOOKUP($N492,'Base de Grupos'!$A:$A,'Base de Grupos'!$F:$F)</f>
        <v>1000065763</v>
      </c>
      <c r="E492" s="2" t="str">
        <f>_xlfn.XLOOKUP($N492,'Base de Grupos'!$A:$A,'Base de Grupos'!$G:$G)</f>
        <v>CANAL VENDA INTERNA</v>
      </c>
      <c r="F492" s="2" t="str">
        <f>_xlfn.XLOOKUP($N492,'Base de Grupos'!$A:$A,'Base de Grupos'!$H:$H)</f>
        <v>1000153245</v>
      </c>
      <c r="G492" s="5" t="str">
        <f>_xlfn.XLOOKUP($N492,'Base de Grupos'!$A:$A,'Base de Grupos'!$I:$I)</f>
        <v>REGIONAL VENDA INTERNA - KEY ACCOUNT</v>
      </c>
      <c r="H492" s="5" t="str">
        <f>_xlfn.XLOOKUP($N492,'Base de Grupos'!$A:$A,'Base de Grupos'!$J:$J)</f>
        <v>1000153245</v>
      </c>
      <c r="I492" s="2" t="str">
        <f>_xlfn.XLOOKUP($N492,'Base de Grupos'!$A:$A,'Base de Grupos'!$K:$K)</f>
        <v>REGIONAL VENDA INTERNA - KEY ACCOUNT</v>
      </c>
      <c r="J492" s="2" t="str">
        <f>_xlfn.XLOOKUP($N492,'Base de Grupos'!$A:$A,'Base de Grupos'!$L:$L)</f>
        <v>1000153245</v>
      </c>
      <c r="K492" s="5" t="str">
        <f>_xlfn.XLOOKUP($N492,'Base de Grupos'!$A:$A,'Base de Grupos'!$M:$M)</f>
        <v>REGIONAL VENDA INTERNA - KEY ACCOUNT</v>
      </c>
      <c r="L492" s="5" t="str">
        <f t="shared" si="464"/>
        <v/>
      </c>
      <c r="M492" s="5" t="str">
        <f>_xlfn.XLOOKUP($N492,'Base de Grupos'!$A:$A,'Base de Grupos'!$C:$C)</f>
        <v>SC</v>
      </c>
      <c r="N492" s="3">
        <v>1427</v>
      </c>
      <c r="O492" s="4" t="s">
        <v>251</v>
      </c>
      <c r="P492" s="5" t="s">
        <v>84</v>
      </c>
      <c r="Q492" s="56">
        <v>0</v>
      </c>
      <c r="R492" s="56">
        <v>441.5151111111112</v>
      </c>
      <c r="S492" s="56">
        <v>551.89388888888902</v>
      </c>
      <c r="T492" s="56">
        <f>_xlfn.XLOOKUP($N492,'Calculo Leads'!$A$97:$A$134,'Calculo Leads'!G$97:G$134)*_xlfn.XLOOKUP($P492,'Base Grupo de Produtos'!$E$2:$E$18,'Base Grupo de Produtos'!$F$2:$F$18)</f>
        <v>400</v>
      </c>
      <c r="U492" s="56">
        <f>_xlfn.XLOOKUP($N492,'Calculo Leads'!$A$97:$A$134,'Calculo Leads'!H$97:H$134)*_xlfn.XLOOKUP($P492,'Base Grupo de Produtos'!$E$2:$E$18,'Base Grupo de Produtos'!$F$2:$F$18)</f>
        <v>480</v>
      </c>
      <c r="V492" s="56">
        <f>_xlfn.XLOOKUP($N492,'Calculo Leads'!$A$97:$A$134,'Calculo Leads'!I$97:I$134)*_xlfn.XLOOKUP($P492,'Base Grupo de Produtos'!$E$2:$E$18,'Base Grupo de Produtos'!$F$2:$F$18)</f>
        <v>560</v>
      </c>
      <c r="W492" s="56">
        <f>_xlfn.XLOOKUP($N492,'Calculo Leads'!$A$97:$A$134,'Calculo Leads'!J$97:J$134)*_xlfn.XLOOKUP($P492,'Base Grupo de Produtos'!$E$2:$E$18,'Base Grupo de Produtos'!$F$2:$F$18)</f>
        <v>720</v>
      </c>
      <c r="X492" s="56">
        <f>_xlfn.XLOOKUP($N492,'Calculo Leads'!$A$97:$A$134,'Calculo Leads'!K$97:K$134)*_xlfn.XLOOKUP($P492,'Base Grupo de Produtos'!$E$2:$E$18,'Base Grupo de Produtos'!$F$2:$F$18)</f>
        <v>880</v>
      </c>
      <c r="Y492" s="56">
        <f>_xlfn.XLOOKUP($N492,'Calculo Leads'!$A$97:$A$134,'Calculo Leads'!L$97:L$134)*_xlfn.XLOOKUP($P492,'Base Grupo de Produtos'!$E$2:$E$18,'Base Grupo de Produtos'!$F$2:$F$18)</f>
        <v>1056</v>
      </c>
      <c r="Z492" s="56">
        <f>_xlfn.XLOOKUP($N492,'Calculo Leads'!$A$97:$A$134,'Calculo Leads'!M$97:M$134)*_xlfn.XLOOKUP($P492,'Base Grupo de Produtos'!$E$2:$E$18,'Base Grupo de Produtos'!$F$2:$F$18)</f>
        <v>1144</v>
      </c>
      <c r="AA492" s="56">
        <f>_xlfn.XLOOKUP($N492,'Calculo Leads'!$A$97:$A$134,'Calculo Leads'!N$97:N$134)*_xlfn.XLOOKUP($P492,'Base Grupo de Produtos'!$E$2:$E$18,'Base Grupo de Produtos'!$F$2:$F$18)</f>
        <v>1320</v>
      </c>
      <c r="AB492" s="56">
        <f>_xlfn.XLOOKUP($N492,'Calculo Leads'!$A$97:$A$134,'Calculo Leads'!O$97:O$134)*_xlfn.XLOOKUP($P492,'Base Grupo de Produtos'!$E$2:$E$18,'Base Grupo de Produtos'!$F$2:$F$18)</f>
        <v>880</v>
      </c>
      <c r="AC492" s="61">
        <f t="shared" si="499"/>
        <v>7440</v>
      </c>
      <c r="AD492" s="27">
        <f t="shared" si="536"/>
        <v>7440</v>
      </c>
      <c r="AE492" s="25">
        <f>IFERROR(_xlfn.XLOOKUP(N492&amp;P492,'Historico Vendas'!G:G,'Historico Vendas'!E:E),0)</f>
        <v>0</v>
      </c>
      <c r="AF492" s="29" t="str">
        <f t="shared" si="462"/>
        <v/>
      </c>
      <c r="AG492" s="24">
        <f>IFERROR(_xlfn.XLOOKUP(N492&amp;P492,'Historico Vendas'!G:G,'Historico Vendas'!F:F),0)</f>
        <v>0</v>
      </c>
      <c r="AH492" s="25">
        <f t="shared" si="537"/>
        <v>993.40900000000022</v>
      </c>
      <c r="AI492" s="24">
        <f t="shared" si="538"/>
        <v>993.40900000000022</v>
      </c>
      <c r="AJ492" s="11">
        <f t="shared" si="483"/>
        <v>0</v>
      </c>
      <c r="AK492" s="9" t="s">
        <v>102</v>
      </c>
      <c r="AL492" s="13">
        <f>IFERROR(INDEX('Balizador da Meta'!$D$3:$F$23,MATCH(Faturamento!$P492,'Balizador da Meta'!$C$3:$C$23,0),MATCH(Faturamento!AK492,'Balizador da Meta'!$D$2:$F$2,0)),"")</f>
        <v>0.15</v>
      </c>
      <c r="AM492" s="9"/>
    </row>
    <row r="493" spans="1:39" x14ac:dyDescent="0.3">
      <c r="A493" s="2" t="str">
        <f t="shared" si="463"/>
        <v>NÃO</v>
      </c>
      <c r="B493" s="2" t="str">
        <f>_xlfn.XLOOKUP($N493,'Base de Grupos'!$A:$A,'Base de Grupos'!$D:$D)</f>
        <v>1000065763</v>
      </c>
      <c r="C493" s="5" t="str">
        <f>_xlfn.XLOOKUP($N493,'Base de Grupos'!$A:$A,'Base de Grupos'!$E:$E)</f>
        <v>CANAL VENDA INTERNA</v>
      </c>
      <c r="D493" s="5" t="str">
        <f>_xlfn.XLOOKUP($N493,'Base de Grupos'!$A:$A,'Base de Grupos'!$F:$F)</f>
        <v>1000065763</v>
      </c>
      <c r="E493" s="2" t="str">
        <f>_xlfn.XLOOKUP($N493,'Base de Grupos'!$A:$A,'Base de Grupos'!$G:$G)</f>
        <v>CANAL VENDA INTERNA</v>
      </c>
      <c r="F493" s="2" t="str">
        <f>_xlfn.XLOOKUP($N493,'Base de Grupos'!$A:$A,'Base de Grupos'!$H:$H)</f>
        <v>1000153245</v>
      </c>
      <c r="G493" s="5" t="str">
        <f>_xlfn.XLOOKUP($N493,'Base de Grupos'!$A:$A,'Base de Grupos'!$I:$I)</f>
        <v>REGIONAL VENDA INTERNA - KEY ACCOUNT</v>
      </c>
      <c r="H493" s="5" t="str">
        <f>_xlfn.XLOOKUP($N493,'Base de Grupos'!$A:$A,'Base de Grupos'!$J:$J)</f>
        <v>1000153245</v>
      </c>
      <c r="I493" s="2" t="str">
        <f>_xlfn.XLOOKUP($N493,'Base de Grupos'!$A:$A,'Base de Grupos'!$K:$K)</f>
        <v>REGIONAL VENDA INTERNA - KEY ACCOUNT</v>
      </c>
      <c r="J493" s="2" t="str">
        <f>_xlfn.XLOOKUP($N493,'Base de Grupos'!$A:$A,'Base de Grupos'!$L:$L)</f>
        <v>1000153245</v>
      </c>
      <c r="K493" s="5" t="str">
        <f>_xlfn.XLOOKUP($N493,'Base de Grupos'!$A:$A,'Base de Grupos'!$M:$M)</f>
        <v>REGIONAL VENDA INTERNA - KEY ACCOUNT</v>
      </c>
      <c r="L493" s="5" t="str">
        <f t="shared" si="464"/>
        <v/>
      </c>
      <c r="M493" s="5" t="str">
        <f>_xlfn.XLOOKUP($N493,'Base de Grupos'!$A:$A,'Base de Grupos'!$C:$C)</f>
        <v>SC</v>
      </c>
      <c r="N493" s="3">
        <v>1427</v>
      </c>
      <c r="O493" s="4" t="s">
        <v>251</v>
      </c>
      <c r="P493" s="5" t="s">
        <v>83</v>
      </c>
      <c r="Q493" s="56">
        <v>0</v>
      </c>
      <c r="R493" s="56">
        <v>555.05619047619052</v>
      </c>
      <c r="S493" s="56">
        <v>555.05619047619052</v>
      </c>
      <c r="T493" s="56">
        <f>_xlfn.XLOOKUP($N493,'Calculo Leads'!$A$97:$A$134,'Calculo Leads'!G$97:G$134)*_xlfn.XLOOKUP($P493,'Base Grupo de Produtos'!$E$2:$E$18,'Base Grupo de Produtos'!$F$2:$F$18)</f>
        <v>500</v>
      </c>
      <c r="U493" s="56">
        <f>_xlfn.XLOOKUP($N493,'Calculo Leads'!$A$97:$A$134,'Calculo Leads'!H$97:H$134)*_xlfn.XLOOKUP($P493,'Base Grupo de Produtos'!$E$2:$E$18,'Base Grupo de Produtos'!$F$2:$F$18)</f>
        <v>600</v>
      </c>
      <c r="V493" s="56">
        <f>_xlfn.XLOOKUP($N493,'Calculo Leads'!$A$97:$A$134,'Calculo Leads'!I$97:I$134)*_xlfn.XLOOKUP($P493,'Base Grupo de Produtos'!$E$2:$E$18,'Base Grupo de Produtos'!$F$2:$F$18)</f>
        <v>700</v>
      </c>
      <c r="W493" s="56">
        <f>_xlfn.XLOOKUP($N493,'Calculo Leads'!$A$97:$A$134,'Calculo Leads'!J$97:J$134)*_xlfn.XLOOKUP($P493,'Base Grupo de Produtos'!$E$2:$E$18,'Base Grupo de Produtos'!$F$2:$F$18)</f>
        <v>900</v>
      </c>
      <c r="X493" s="56">
        <f>_xlfn.XLOOKUP($N493,'Calculo Leads'!$A$97:$A$134,'Calculo Leads'!K$97:K$134)*_xlfn.XLOOKUP($P493,'Base Grupo de Produtos'!$E$2:$E$18,'Base Grupo de Produtos'!$F$2:$F$18)</f>
        <v>1100</v>
      </c>
      <c r="Y493" s="56">
        <f>_xlfn.XLOOKUP($N493,'Calculo Leads'!$A$97:$A$134,'Calculo Leads'!L$97:L$134)*_xlfn.XLOOKUP($P493,'Base Grupo de Produtos'!$E$2:$E$18,'Base Grupo de Produtos'!$F$2:$F$18)</f>
        <v>1320</v>
      </c>
      <c r="Z493" s="56">
        <f>_xlfn.XLOOKUP($N493,'Calculo Leads'!$A$97:$A$134,'Calculo Leads'!M$97:M$134)*_xlfn.XLOOKUP($P493,'Base Grupo de Produtos'!$E$2:$E$18,'Base Grupo de Produtos'!$F$2:$F$18)</f>
        <v>1430</v>
      </c>
      <c r="AA493" s="56">
        <f>_xlfn.XLOOKUP($N493,'Calculo Leads'!$A$97:$A$134,'Calculo Leads'!N$97:N$134)*_xlfn.XLOOKUP($P493,'Base Grupo de Produtos'!$E$2:$E$18,'Base Grupo de Produtos'!$F$2:$F$18)</f>
        <v>1650</v>
      </c>
      <c r="AB493" s="56">
        <f>_xlfn.XLOOKUP($N493,'Calculo Leads'!$A$97:$A$134,'Calculo Leads'!O$97:O$134)*_xlfn.XLOOKUP($P493,'Base Grupo de Produtos'!$E$2:$E$18,'Base Grupo de Produtos'!$F$2:$F$18)</f>
        <v>1100</v>
      </c>
      <c r="AC493" s="61">
        <f t="shared" si="499"/>
        <v>9300</v>
      </c>
      <c r="AD493" s="27">
        <f t="shared" si="536"/>
        <v>9300</v>
      </c>
      <c r="AE493" s="25">
        <f>IFERROR(_xlfn.XLOOKUP(N493&amp;P493,'Historico Vendas'!G:G,'Historico Vendas'!E:E),0)</f>
        <v>0</v>
      </c>
      <c r="AF493" s="29" t="str">
        <f t="shared" si="462"/>
        <v/>
      </c>
      <c r="AG493" s="24">
        <f>IFERROR(_xlfn.XLOOKUP(N493&amp;P493,'Historico Vendas'!G:G,'Historico Vendas'!F:F),0)</f>
        <v>0</v>
      </c>
      <c r="AH493" s="25">
        <f t="shared" si="537"/>
        <v>1110.112380952381</v>
      </c>
      <c r="AI493" s="24">
        <f t="shared" si="538"/>
        <v>1110.112380952381</v>
      </c>
      <c r="AJ493" s="11">
        <f t="shared" si="483"/>
        <v>0</v>
      </c>
      <c r="AK493" s="9" t="s">
        <v>102</v>
      </c>
      <c r="AL493" s="13">
        <f>IFERROR(INDEX('Balizador da Meta'!$D$3:$F$23,MATCH(Faturamento!$P493,'Balizador da Meta'!$C$3:$C$23,0),MATCH(Faturamento!AK493,'Balizador da Meta'!$D$2:$F$2,0)),"")</f>
        <v>0</v>
      </c>
      <c r="AM493" s="9"/>
    </row>
    <row r="494" spans="1:39" x14ac:dyDescent="0.3">
      <c r="A494" s="2" t="str">
        <f t="shared" si="463"/>
        <v>NÃO</v>
      </c>
      <c r="B494" s="2" t="str">
        <f>_xlfn.XLOOKUP($N494,'Base de Grupos'!$A:$A,'Base de Grupos'!$D:$D)</f>
        <v>1000065763</v>
      </c>
      <c r="C494" s="5" t="str">
        <f>_xlfn.XLOOKUP($N494,'Base de Grupos'!$A:$A,'Base de Grupos'!$E:$E)</f>
        <v>CANAL VENDA INTERNA</v>
      </c>
      <c r="D494" s="5" t="str">
        <f>_xlfn.XLOOKUP($N494,'Base de Grupos'!$A:$A,'Base de Grupos'!$F:$F)</f>
        <v>1000065763</v>
      </c>
      <c r="E494" s="2" t="str">
        <f>_xlfn.XLOOKUP($N494,'Base de Grupos'!$A:$A,'Base de Grupos'!$G:$G)</f>
        <v>CANAL VENDA INTERNA</v>
      </c>
      <c r="F494" s="2" t="str">
        <f>_xlfn.XLOOKUP($N494,'Base de Grupos'!$A:$A,'Base de Grupos'!$H:$H)</f>
        <v>1000153245</v>
      </c>
      <c r="G494" s="5" t="str">
        <f>_xlfn.XLOOKUP($N494,'Base de Grupos'!$A:$A,'Base de Grupos'!$I:$I)</f>
        <v>REGIONAL VENDA INTERNA - KEY ACCOUNT</v>
      </c>
      <c r="H494" s="5" t="str">
        <f>_xlfn.XLOOKUP($N494,'Base de Grupos'!$A:$A,'Base de Grupos'!$J:$J)</f>
        <v>1000153245</v>
      </c>
      <c r="I494" s="2" t="str">
        <f>_xlfn.XLOOKUP($N494,'Base de Grupos'!$A:$A,'Base de Grupos'!$K:$K)</f>
        <v>REGIONAL VENDA INTERNA - KEY ACCOUNT</v>
      </c>
      <c r="J494" s="2" t="str">
        <f>_xlfn.XLOOKUP($N494,'Base de Grupos'!$A:$A,'Base de Grupos'!$L:$L)</f>
        <v>1000153245</v>
      </c>
      <c r="K494" s="5" t="str">
        <f>_xlfn.XLOOKUP($N494,'Base de Grupos'!$A:$A,'Base de Grupos'!$M:$M)</f>
        <v>REGIONAL VENDA INTERNA - KEY ACCOUNT</v>
      </c>
      <c r="L494" s="5" t="str">
        <f t="shared" si="464"/>
        <v/>
      </c>
      <c r="M494" s="5" t="str">
        <f>_xlfn.XLOOKUP($N494,'Base de Grupos'!$A:$A,'Base de Grupos'!$C:$C)</f>
        <v>SC</v>
      </c>
      <c r="N494" s="3">
        <v>1427</v>
      </c>
      <c r="O494" s="4" t="s">
        <v>251</v>
      </c>
      <c r="P494" s="5" t="s">
        <v>87</v>
      </c>
      <c r="Q494" s="56">
        <v>0</v>
      </c>
      <c r="R494" s="56">
        <v>124.75666666666666</v>
      </c>
      <c r="S494" s="56">
        <v>249.51333333333332</v>
      </c>
      <c r="T494" s="56">
        <f>_xlfn.XLOOKUP($N494,'Calculo Leads'!$A$97:$A$134,'Calculo Leads'!G$97:G$134)*_xlfn.XLOOKUP($P494,'Base Grupo de Produtos'!$E$2:$E$18,'Base Grupo de Produtos'!$F$2:$F$18)</f>
        <v>99.999999999999986</v>
      </c>
      <c r="U494" s="56">
        <f>_xlfn.XLOOKUP($N494,'Calculo Leads'!$A$97:$A$134,'Calculo Leads'!H$97:H$134)*_xlfn.XLOOKUP($P494,'Base Grupo de Produtos'!$E$2:$E$18,'Base Grupo de Produtos'!$F$2:$F$18)</f>
        <v>119.99999999999999</v>
      </c>
      <c r="V494" s="56">
        <f>_xlfn.XLOOKUP($N494,'Calculo Leads'!$A$97:$A$134,'Calculo Leads'!I$97:I$134)*_xlfn.XLOOKUP($P494,'Base Grupo de Produtos'!$E$2:$E$18,'Base Grupo de Produtos'!$F$2:$F$18)</f>
        <v>139.99999999999997</v>
      </c>
      <c r="W494" s="56">
        <f>_xlfn.XLOOKUP($N494,'Calculo Leads'!$A$97:$A$134,'Calculo Leads'!J$97:J$134)*_xlfn.XLOOKUP($P494,'Base Grupo de Produtos'!$E$2:$E$18,'Base Grupo de Produtos'!$F$2:$F$18)</f>
        <v>179.99999999999997</v>
      </c>
      <c r="X494" s="56">
        <f>_xlfn.XLOOKUP($N494,'Calculo Leads'!$A$97:$A$134,'Calculo Leads'!K$97:K$134)*_xlfn.XLOOKUP($P494,'Base Grupo de Produtos'!$E$2:$E$18,'Base Grupo de Produtos'!$F$2:$F$18)</f>
        <v>219.99999999999997</v>
      </c>
      <c r="Y494" s="56">
        <f>_xlfn.XLOOKUP($N494,'Calculo Leads'!$A$97:$A$134,'Calculo Leads'!L$97:L$134)*_xlfn.XLOOKUP($P494,'Base Grupo de Produtos'!$E$2:$E$18,'Base Grupo de Produtos'!$F$2:$F$18)</f>
        <v>263.99999999999994</v>
      </c>
      <c r="Z494" s="56">
        <f>_xlfn.XLOOKUP($N494,'Calculo Leads'!$A$97:$A$134,'Calculo Leads'!M$97:M$134)*_xlfn.XLOOKUP($P494,'Base Grupo de Produtos'!$E$2:$E$18,'Base Grupo de Produtos'!$F$2:$F$18)</f>
        <v>285.99999999999994</v>
      </c>
      <c r="AA494" s="56">
        <f>_xlfn.XLOOKUP($N494,'Calculo Leads'!$A$97:$A$134,'Calculo Leads'!N$97:N$134)*_xlfn.XLOOKUP($P494,'Base Grupo de Produtos'!$E$2:$E$18,'Base Grupo de Produtos'!$F$2:$F$18)</f>
        <v>329.99999999999994</v>
      </c>
      <c r="AB494" s="56">
        <f>_xlfn.XLOOKUP($N494,'Calculo Leads'!$A$97:$A$134,'Calculo Leads'!O$97:O$134)*_xlfn.XLOOKUP($P494,'Base Grupo de Produtos'!$E$2:$E$18,'Base Grupo de Produtos'!$F$2:$F$18)</f>
        <v>219.99999999999997</v>
      </c>
      <c r="AC494" s="61">
        <f t="shared" si="499"/>
        <v>1859.9999999999998</v>
      </c>
      <c r="AD494" s="27">
        <f t="shared" si="536"/>
        <v>1859.9999999999998</v>
      </c>
      <c r="AE494" s="25">
        <f>IFERROR(_xlfn.XLOOKUP(N494&amp;P494,'Historico Vendas'!G:G,'Historico Vendas'!E:E),0)</f>
        <v>0</v>
      </c>
      <c r="AF494" s="29" t="str">
        <f t="shared" si="462"/>
        <v/>
      </c>
      <c r="AG494" s="24">
        <f>IFERROR(_xlfn.XLOOKUP(N494&amp;P494,'Historico Vendas'!G:G,'Historico Vendas'!F:F),0)</f>
        <v>0</v>
      </c>
      <c r="AH494" s="25">
        <f t="shared" si="537"/>
        <v>374.27</v>
      </c>
      <c r="AI494" s="24">
        <f t="shared" si="538"/>
        <v>374.27</v>
      </c>
      <c r="AJ494" s="11">
        <f t="shared" si="483"/>
        <v>0</v>
      </c>
      <c r="AK494" s="9" t="s">
        <v>102</v>
      </c>
      <c r="AL494" s="13">
        <f>IFERROR(INDEX('Balizador da Meta'!$D$3:$F$23,MATCH(Faturamento!$P494,'Balizador da Meta'!$C$3:$C$23,0),MATCH(Faturamento!AK494,'Balizador da Meta'!$D$2:$F$2,0)),"")</f>
        <v>0</v>
      </c>
      <c r="AM494" s="9"/>
    </row>
    <row r="495" spans="1:39" x14ac:dyDescent="0.3">
      <c r="A495" s="2" t="str">
        <f t="shared" si="463"/>
        <v>NÃO</v>
      </c>
      <c r="B495" s="2" t="str">
        <f>_xlfn.XLOOKUP($N495,'Base de Grupos'!$A:$A,'Base de Grupos'!$D:$D)</f>
        <v>1000065763</v>
      </c>
      <c r="C495" s="5" t="str">
        <f>_xlfn.XLOOKUP($N495,'Base de Grupos'!$A:$A,'Base de Grupos'!$E:$E)</f>
        <v>CANAL VENDA INTERNA</v>
      </c>
      <c r="D495" s="5" t="str">
        <f>_xlfn.XLOOKUP($N495,'Base de Grupos'!$A:$A,'Base de Grupos'!$F:$F)</f>
        <v>1000065763</v>
      </c>
      <c r="E495" s="2" t="str">
        <f>_xlfn.XLOOKUP($N495,'Base de Grupos'!$A:$A,'Base de Grupos'!$G:$G)</f>
        <v>CANAL VENDA INTERNA</v>
      </c>
      <c r="F495" s="2" t="str">
        <f>_xlfn.XLOOKUP($N495,'Base de Grupos'!$A:$A,'Base de Grupos'!$H:$H)</f>
        <v>1000153245</v>
      </c>
      <c r="G495" s="5" t="str">
        <f>_xlfn.XLOOKUP($N495,'Base de Grupos'!$A:$A,'Base de Grupos'!$I:$I)</f>
        <v>REGIONAL VENDA INTERNA - KEY ACCOUNT</v>
      </c>
      <c r="H495" s="5" t="str">
        <f>_xlfn.XLOOKUP($N495,'Base de Grupos'!$A:$A,'Base de Grupos'!$J:$J)</f>
        <v>1000153245</v>
      </c>
      <c r="I495" s="2" t="str">
        <f>_xlfn.XLOOKUP($N495,'Base de Grupos'!$A:$A,'Base de Grupos'!$K:$K)</f>
        <v>REGIONAL VENDA INTERNA - KEY ACCOUNT</v>
      </c>
      <c r="J495" s="2" t="str">
        <f>_xlfn.XLOOKUP($N495,'Base de Grupos'!$A:$A,'Base de Grupos'!$L:$L)</f>
        <v>1000153245</v>
      </c>
      <c r="K495" s="5" t="str">
        <f>_xlfn.XLOOKUP($N495,'Base de Grupos'!$A:$A,'Base de Grupos'!$M:$M)</f>
        <v>REGIONAL VENDA INTERNA - KEY ACCOUNT</v>
      </c>
      <c r="L495" s="5" t="str">
        <f t="shared" si="464"/>
        <v/>
      </c>
      <c r="M495" s="5" t="str">
        <f>_xlfn.XLOOKUP($N495,'Base de Grupos'!$A:$A,'Base de Grupos'!$C:$C)</f>
        <v>SC</v>
      </c>
      <c r="N495" s="3">
        <v>1427</v>
      </c>
      <c r="O495" s="4" t="s">
        <v>251</v>
      </c>
      <c r="P495" s="5" t="s">
        <v>85</v>
      </c>
      <c r="Q495" s="56">
        <v>0</v>
      </c>
      <c r="R495" s="56">
        <v>315.14999999999998</v>
      </c>
      <c r="S495" s="56">
        <v>420.2</v>
      </c>
      <c r="T495" s="56">
        <f>_xlfn.XLOOKUP($N495,'Calculo Leads'!$A$97:$A$134,'Calculo Leads'!G$97:G$134)*_xlfn.XLOOKUP($P495,'Base Grupo de Produtos'!$E$2:$E$18,'Base Grupo de Produtos'!$F$2:$F$18)</f>
        <v>100</v>
      </c>
      <c r="U495" s="56">
        <f>_xlfn.XLOOKUP($N495,'Calculo Leads'!$A$97:$A$134,'Calculo Leads'!H$97:H$134)*_xlfn.XLOOKUP($P495,'Base Grupo de Produtos'!$E$2:$E$18,'Base Grupo de Produtos'!$F$2:$F$18)</f>
        <v>120</v>
      </c>
      <c r="V495" s="56">
        <f>_xlfn.XLOOKUP($N495,'Calculo Leads'!$A$97:$A$134,'Calculo Leads'!I$97:I$134)*_xlfn.XLOOKUP($P495,'Base Grupo de Produtos'!$E$2:$E$18,'Base Grupo de Produtos'!$F$2:$F$18)</f>
        <v>140</v>
      </c>
      <c r="W495" s="56">
        <f>_xlfn.XLOOKUP($N495,'Calculo Leads'!$A$97:$A$134,'Calculo Leads'!J$97:J$134)*_xlfn.XLOOKUP($P495,'Base Grupo de Produtos'!$E$2:$E$18,'Base Grupo de Produtos'!$F$2:$F$18)</f>
        <v>180</v>
      </c>
      <c r="X495" s="56">
        <f>_xlfn.XLOOKUP($N495,'Calculo Leads'!$A$97:$A$134,'Calculo Leads'!K$97:K$134)*_xlfn.XLOOKUP($P495,'Base Grupo de Produtos'!$E$2:$E$18,'Base Grupo de Produtos'!$F$2:$F$18)</f>
        <v>220</v>
      </c>
      <c r="Y495" s="56">
        <f>_xlfn.XLOOKUP($N495,'Calculo Leads'!$A$97:$A$134,'Calculo Leads'!L$97:L$134)*_xlfn.XLOOKUP($P495,'Base Grupo de Produtos'!$E$2:$E$18,'Base Grupo de Produtos'!$F$2:$F$18)</f>
        <v>264</v>
      </c>
      <c r="Z495" s="56">
        <f>_xlfn.XLOOKUP($N495,'Calculo Leads'!$A$97:$A$134,'Calculo Leads'!M$97:M$134)*_xlfn.XLOOKUP($P495,'Base Grupo de Produtos'!$E$2:$E$18,'Base Grupo de Produtos'!$F$2:$F$18)</f>
        <v>286</v>
      </c>
      <c r="AA495" s="56">
        <f>_xlfn.XLOOKUP($N495,'Calculo Leads'!$A$97:$A$134,'Calculo Leads'!N$97:N$134)*_xlfn.XLOOKUP($P495,'Base Grupo de Produtos'!$E$2:$E$18,'Base Grupo de Produtos'!$F$2:$F$18)</f>
        <v>330</v>
      </c>
      <c r="AB495" s="56">
        <f>_xlfn.XLOOKUP($N495,'Calculo Leads'!$A$97:$A$134,'Calculo Leads'!O$97:O$134)*_xlfn.XLOOKUP($P495,'Base Grupo de Produtos'!$E$2:$E$18,'Base Grupo de Produtos'!$F$2:$F$18)</f>
        <v>220</v>
      </c>
      <c r="AC495" s="61">
        <f t="shared" si="499"/>
        <v>1860</v>
      </c>
      <c r="AD495" s="27">
        <f t="shared" si="536"/>
        <v>1860</v>
      </c>
      <c r="AE495" s="25">
        <f>IFERROR(_xlfn.XLOOKUP(N495&amp;P495,'Historico Vendas'!G:G,'Historico Vendas'!E:E),0)</f>
        <v>0</v>
      </c>
      <c r="AF495" s="29" t="str">
        <f t="shared" si="462"/>
        <v/>
      </c>
      <c r="AG495" s="24">
        <f>IFERROR(_xlfn.XLOOKUP(N495&amp;P495,'Historico Vendas'!G:G,'Historico Vendas'!F:F),0)</f>
        <v>0</v>
      </c>
      <c r="AH495" s="25">
        <f t="shared" si="537"/>
        <v>735.34999999999991</v>
      </c>
      <c r="AI495" s="24">
        <f t="shared" si="538"/>
        <v>735.34999999999991</v>
      </c>
      <c r="AJ495" s="11">
        <f t="shared" si="483"/>
        <v>0</v>
      </c>
      <c r="AK495" s="9" t="s">
        <v>102</v>
      </c>
      <c r="AL495" s="13">
        <f>IFERROR(INDEX('Balizador da Meta'!$D$3:$F$23,MATCH(Faturamento!$P495,'Balizador da Meta'!$C$3:$C$23,0),MATCH(Faturamento!AK495,'Balizador da Meta'!$D$2:$F$2,0)),"")</f>
        <v>0</v>
      </c>
      <c r="AM495" s="9"/>
    </row>
    <row r="496" spans="1:39" x14ac:dyDescent="0.3">
      <c r="A496" s="2" t="str">
        <f t="shared" si="463"/>
        <v>NÃO</v>
      </c>
      <c r="B496" s="2" t="str">
        <f>_xlfn.XLOOKUP($N496,'Base de Grupos'!$A:$A,'Base de Grupos'!$D:$D)</f>
        <v>1000065763</v>
      </c>
      <c r="C496" s="5" t="str">
        <f>_xlfn.XLOOKUP($N496,'Base de Grupos'!$A:$A,'Base de Grupos'!$E:$E)</f>
        <v>CANAL VENDA INTERNA</v>
      </c>
      <c r="D496" s="5" t="str">
        <f>_xlfn.XLOOKUP($N496,'Base de Grupos'!$A:$A,'Base de Grupos'!$F:$F)</f>
        <v>1000065763</v>
      </c>
      <c r="E496" s="2" t="str">
        <f>_xlfn.XLOOKUP($N496,'Base de Grupos'!$A:$A,'Base de Grupos'!$G:$G)</f>
        <v>CANAL VENDA INTERNA</v>
      </c>
      <c r="F496" s="2" t="str">
        <f>_xlfn.XLOOKUP($N496,'Base de Grupos'!$A:$A,'Base de Grupos'!$H:$H)</f>
        <v>1000153245</v>
      </c>
      <c r="G496" s="5" t="str">
        <f>_xlfn.XLOOKUP($N496,'Base de Grupos'!$A:$A,'Base de Grupos'!$I:$I)</f>
        <v>REGIONAL VENDA INTERNA - KEY ACCOUNT</v>
      </c>
      <c r="H496" s="5" t="str">
        <f>_xlfn.XLOOKUP($N496,'Base de Grupos'!$A:$A,'Base de Grupos'!$J:$J)</f>
        <v>1000153245</v>
      </c>
      <c r="I496" s="2" t="str">
        <f>_xlfn.XLOOKUP($N496,'Base de Grupos'!$A:$A,'Base de Grupos'!$K:$K)</f>
        <v>REGIONAL VENDA INTERNA - KEY ACCOUNT</v>
      </c>
      <c r="J496" s="2" t="str">
        <f>_xlfn.XLOOKUP($N496,'Base de Grupos'!$A:$A,'Base de Grupos'!$L:$L)</f>
        <v>1000153245</v>
      </c>
      <c r="K496" s="5" t="str">
        <f>_xlfn.XLOOKUP($N496,'Base de Grupos'!$A:$A,'Base de Grupos'!$M:$M)</f>
        <v>REGIONAL VENDA INTERNA - KEY ACCOUNT</v>
      </c>
      <c r="L496" s="5" t="str">
        <f t="shared" si="464"/>
        <v/>
      </c>
      <c r="M496" s="5" t="str">
        <f>_xlfn.XLOOKUP($N496,'Base de Grupos'!$A:$A,'Base de Grupos'!$C:$C)</f>
        <v>SC</v>
      </c>
      <c r="N496" s="3">
        <v>1427</v>
      </c>
      <c r="O496" s="4" t="s">
        <v>251</v>
      </c>
      <c r="P496" s="5" t="s">
        <v>92</v>
      </c>
      <c r="Q496" s="56">
        <v>0</v>
      </c>
      <c r="R496" s="56">
        <v>165.49714285714285</v>
      </c>
      <c r="S496" s="56">
        <v>165.49714285714285</v>
      </c>
      <c r="T496" s="56">
        <f>_xlfn.XLOOKUP($N496,'Calculo Leads'!$A$97:$A$134,'Calculo Leads'!G$97:G$134)*_xlfn.XLOOKUP($P496,'Base Grupo de Produtos'!$E$2:$E$18,'Base Grupo de Produtos'!$F$2:$F$18)</f>
        <v>100</v>
      </c>
      <c r="U496" s="56">
        <f>_xlfn.XLOOKUP($N496,'Calculo Leads'!$A$97:$A$134,'Calculo Leads'!H$97:H$134)*_xlfn.XLOOKUP($P496,'Base Grupo de Produtos'!$E$2:$E$18,'Base Grupo de Produtos'!$F$2:$F$18)</f>
        <v>120</v>
      </c>
      <c r="V496" s="56">
        <f>_xlfn.XLOOKUP($N496,'Calculo Leads'!$A$97:$A$134,'Calculo Leads'!I$97:I$134)*_xlfn.XLOOKUP($P496,'Base Grupo de Produtos'!$E$2:$E$18,'Base Grupo de Produtos'!$F$2:$F$18)</f>
        <v>140</v>
      </c>
      <c r="W496" s="56">
        <f>_xlfn.XLOOKUP($N496,'Calculo Leads'!$A$97:$A$134,'Calculo Leads'!J$97:J$134)*_xlfn.XLOOKUP($P496,'Base Grupo de Produtos'!$E$2:$E$18,'Base Grupo de Produtos'!$F$2:$F$18)</f>
        <v>180</v>
      </c>
      <c r="X496" s="56">
        <f>_xlfn.XLOOKUP($N496,'Calculo Leads'!$A$97:$A$134,'Calculo Leads'!K$97:K$134)*_xlfn.XLOOKUP($P496,'Base Grupo de Produtos'!$E$2:$E$18,'Base Grupo de Produtos'!$F$2:$F$18)</f>
        <v>220</v>
      </c>
      <c r="Y496" s="56">
        <f>_xlfn.XLOOKUP($N496,'Calculo Leads'!$A$97:$A$134,'Calculo Leads'!L$97:L$134)*_xlfn.XLOOKUP($P496,'Base Grupo de Produtos'!$E$2:$E$18,'Base Grupo de Produtos'!$F$2:$F$18)</f>
        <v>264</v>
      </c>
      <c r="Z496" s="56">
        <f>_xlfn.XLOOKUP($N496,'Calculo Leads'!$A$97:$A$134,'Calculo Leads'!M$97:M$134)*_xlfn.XLOOKUP($P496,'Base Grupo de Produtos'!$E$2:$E$18,'Base Grupo de Produtos'!$F$2:$F$18)</f>
        <v>286</v>
      </c>
      <c r="AA496" s="56">
        <f>_xlfn.XLOOKUP($N496,'Calculo Leads'!$A$97:$A$134,'Calculo Leads'!N$97:N$134)*_xlfn.XLOOKUP($P496,'Base Grupo de Produtos'!$E$2:$E$18,'Base Grupo de Produtos'!$F$2:$F$18)</f>
        <v>330</v>
      </c>
      <c r="AB496" s="56">
        <f>_xlfn.XLOOKUP($N496,'Calculo Leads'!$A$97:$A$134,'Calculo Leads'!O$97:O$134)*_xlfn.XLOOKUP($P496,'Base Grupo de Produtos'!$E$2:$E$18,'Base Grupo de Produtos'!$F$2:$F$18)</f>
        <v>220</v>
      </c>
      <c r="AC496" s="61">
        <f t="shared" si="499"/>
        <v>1860</v>
      </c>
      <c r="AD496" s="27">
        <f t="shared" si="536"/>
        <v>1860</v>
      </c>
      <c r="AE496" s="25">
        <f>IFERROR(_xlfn.XLOOKUP(N496&amp;P496,'Historico Vendas'!G:G,'Historico Vendas'!E:E),0)</f>
        <v>0</v>
      </c>
      <c r="AF496" s="29" t="str">
        <f t="shared" si="462"/>
        <v/>
      </c>
      <c r="AG496" s="24">
        <f>IFERROR(_xlfn.XLOOKUP(N496&amp;P496,'Historico Vendas'!G:G,'Historico Vendas'!F:F),0)</f>
        <v>0</v>
      </c>
      <c r="AH496" s="25">
        <f t="shared" si="537"/>
        <v>330.9942857142857</v>
      </c>
      <c r="AI496" s="24">
        <f t="shared" si="538"/>
        <v>330.9942857142857</v>
      </c>
      <c r="AJ496" s="11">
        <f t="shared" si="483"/>
        <v>0</v>
      </c>
      <c r="AK496" s="9" t="s">
        <v>102</v>
      </c>
      <c r="AL496" s="13">
        <f>IFERROR(INDEX('Balizador da Meta'!$D$3:$F$23,MATCH(Faturamento!$P496,'Balizador da Meta'!$C$3:$C$23,0),MATCH(Faturamento!AK496,'Balizador da Meta'!$D$2:$F$2,0)),"")</f>
        <v>0</v>
      </c>
      <c r="AM496" s="9"/>
    </row>
    <row r="497" spans="1:39" x14ac:dyDescent="0.3">
      <c r="A497" s="2" t="str">
        <f t="shared" si="463"/>
        <v>NÃO</v>
      </c>
      <c r="B497" s="2" t="str">
        <f>_xlfn.XLOOKUP($N497,'Base de Grupos'!$A:$A,'Base de Grupos'!$D:$D)</f>
        <v>1000065763</v>
      </c>
      <c r="C497" s="5" t="str">
        <f>_xlfn.XLOOKUP($N497,'Base de Grupos'!$A:$A,'Base de Grupos'!$E:$E)</f>
        <v>CANAL VENDA INTERNA</v>
      </c>
      <c r="D497" s="5" t="str">
        <f>_xlfn.XLOOKUP($N497,'Base de Grupos'!$A:$A,'Base de Grupos'!$F:$F)</f>
        <v>1000065763</v>
      </c>
      <c r="E497" s="2" t="str">
        <f>_xlfn.XLOOKUP($N497,'Base de Grupos'!$A:$A,'Base de Grupos'!$G:$G)</f>
        <v>CANAL VENDA INTERNA</v>
      </c>
      <c r="F497" s="2" t="str">
        <f>_xlfn.XLOOKUP($N497,'Base de Grupos'!$A:$A,'Base de Grupos'!$H:$H)</f>
        <v>1000153245</v>
      </c>
      <c r="G497" s="5" t="str">
        <f>_xlfn.XLOOKUP($N497,'Base de Grupos'!$A:$A,'Base de Grupos'!$I:$I)</f>
        <v>REGIONAL VENDA INTERNA - KEY ACCOUNT</v>
      </c>
      <c r="H497" s="5" t="str">
        <f>_xlfn.XLOOKUP($N497,'Base de Grupos'!$A:$A,'Base de Grupos'!$J:$J)</f>
        <v>1000153245</v>
      </c>
      <c r="I497" s="2" t="str">
        <f>_xlfn.XLOOKUP($N497,'Base de Grupos'!$A:$A,'Base de Grupos'!$K:$K)</f>
        <v>REGIONAL VENDA INTERNA - KEY ACCOUNT</v>
      </c>
      <c r="J497" s="2" t="str">
        <f>_xlfn.XLOOKUP($N497,'Base de Grupos'!$A:$A,'Base de Grupos'!$L:$L)</f>
        <v>1000153245</v>
      </c>
      <c r="K497" s="5" t="str">
        <f>_xlfn.XLOOKUP($N497,'Base de Grupos'!$A:$A,'Base de Grupos'!$M:$M)</f>
        <v>REGIONAL VENDA INTERNA - KEY ACCOUNT</v>
      </c>
      <c r="L497" s="5" t="str">
        <f t="shared" si="464"/>
        <v/>
      </c>
      <c r="M497" s="5" t="str">
        <f>_xlfn.XLOOKUP($N497,'Base de Grupos'!$A:$A,'Base de Grupos'!$C:$C)</f>
        <v>SC</v>
      </c>
      <c r="N497" s="3">
        <v>1427</v>
      </c>
      <c r="O497" s="4" t="s">
        <v>251</v>
      </c>
      <c r="P497" s="5" t="s">
        <v>86</v>
      </c>
      <c r="Q497" s="56">
        <v>0</v>
      </c>
      <c r="R497" s="56">
        <v>89.608571428571423</v>
      </c>
      <c r="S497" s="56">
        <v>179.21714285714285</v>
      </c>
      <c r="T497" s="56">
        <f>_xlfn.XLOOKUP($N497,'Calculo Leads'!$A$97:$A$134,'Calculo Leads'!G$97:G$134)*_xlfn.XLOOKUP($P497,'Base Grupo de Produtos'!$E$2:$E$18,'Base Grupo de Produtos'!$F$2:$F$18)</f>
        <v>150</v>
      </c>
      <c r="U497" s="56">
        <f>_xlfn.XLOOKUP($N497,'Calculo Leads'!$A$97:$A$134,'Calculo Leads'!H$97:H$134)*_xlfn.XLOOKUP($P497,'Base Grupo de Produtos'!$E$2:$E$18,'Base Grupo de Produtos'!$F$2:$F$18)</f>
        <v>180</v>
      </c>
      <c r="V497" s="56">
        <f>_xlfn.XLOOKUP($N497,'Calculo Leads'!$A$97:$A$134,'Calculo Leads'!I$97:I$134)*_xlfn.XLOOKUP($P497,'Base Grupo de Produtos'!$E$2:$E$18,'Base Grupo de Produtos'!$F$2:$F$18)</f>
        <v>210</v>
      </c>
      <c r="W497" s="56">
        <f>_xlfn.XLOOKUP($N497,'Calculo Leads'!$A$97:$A$134,'Calculo Leads'!J$97:J$134)*_xlfn.XLOOKUP($P497,'Base Grupo de Produtos'!$E$2:$E$18,'Base Grupo de Produtos'!$F$2:$F$18)</f>
        <v>270</v>
      </c>
      <c r="X497" s="56">
        <f>_xlfn.XLOOKUP($N497,'Calculo Leads'!$A$97:$A$134,'Calculo Leads'!K$97:K$134)*_xlfn.XLOOKUP($P497,'Base Grupo de Produtos'!$E$2:$E$18,'Base Grupo de Produtos'!$F$2:$F$18)</f>
        <v>330</v>
      </c>
      <c r="Y497" s="56">
        <f>_xlfn.XLOOKUP($N497,'Calculo Leads'!$A$97:$A$134,'Calculo Leads'!L$97:L$134)*_xlfn.XLOOKUP($P497,'Base Grupo de Produtos'!$E$2:$E$18,'Base Grupo de Produtos'!$F$2:$F$18)</f>
        <v>396</v>
      </c>
      <c r="Z497" s="56">
        <f>_xlfn.XLOOKUP($N497,'Calculo Leads'!$A$97:$A$134,'Calculo Leads'!M$97:M$134)*_xlfn.XLOOKUP($P497,'Base Grupo de Produtos'!$E$2:$E$18,'Base Grupo de Produtos'!$F$2:$F$18)</f>
        <v>429</v>
      </c>
      <c r="AA497" s="56">
        <f>_xlfn.XLOOKUP($N497,'Calculo Leads'!$A$97:$A$134,'Calculo Leads'!N$97:N$134)*_xlfn.XLOOKUP($P497,'Base Grupo de Produtos'!$E$2:$E$18,'Base Grupo de Produtos'!$F$2:$F$18)</f>
        <v>495</v>
      </c>
      <c r="AB497" s="56">
        <f>_xlfn.XLOOKUP($N497,'Calculo Leads'!$A$97:$A$134,'Calculo Leads'!O$97:O$134)*_xlfn.XLOOKUP($P497,'Base Grupo de Produtos'!$E$2:$E$18,'Base Grupo de Produtos'!$F$2:$F$18)</f>
        <v>330</v>
      </c>
      <c r="AC497" s="61">
        <f t="shared" si="499"/>
        <v>2790</v>
      </c>
      <c r="AD497" s="27">
        <f t="shared" si="536"/>
        <v>2790</v>
      </c>
      <c r="AE497" s="25">
        <f>IFERROR(_xlfn.XLOOKUP(N497&amp;P497,'Historico Vendas'!G:G,'Historico Vendas'!E:E),0)</f>
        <v>0</v>
      </c>
      <c r="AF497" s="29" t="str">
        <f t="shared" ref="AF497:AF560" si="539">IFERROR((AC497-AE497)/AE497,"")</f>
        <v/>
      </c>
      <c r="AG497" s="24">
        <f>IFERROR(_xlfn.XLOOKUP(N497&amp;P497,'Historico Vendas'!G:G,'Historico Vendas'!F:F),0)</f>
        <v>0</v>
      </c>
      <c r="AH497" s="25">
        <f t="shared" si="537"/>
        <v>268.8257142857143</v>
      </c>
      <c r="AI497" s="24">
        <f t="shared" si="538"/>
        <v>268.8257142857143</v>
      </c>
      <c r="AJ497" s="11">
        <f t="shared" si="483"/>
        <v>0</v>
      </c>
      <c r="AK497" s="9" t="s">
        <v>102</v>
      </c>
      <c r="AL497" s="13">
        <f>IFERROR(INDEX('Balizador da Meta'!$D$3:$F$23,MATCH(Faturamento!$P497,'Balizador da Meta'!$C$3:$C$23,0),MATCH(Faturamento!AK497,'Balizador da Meta'!$D$2:$F$2,0)),"")</f>
        <v>0.15</v>
      </c>
      <c r="AM497" s="9"/>
    </row>
    <row r="498" spans="1:39" x14ac:dyDescent="0.3">
      <c r="A498" s="2" t="str">
        <f t="shared" ref="A498:A561" si="540">IF(L498=1,"SIM","NÃO")</f>
        <v>NÃO</v>
      </c>
      <c r="B498" s="2" t="str">
        <f>_xlfn.XLOOKUP($N498,'Base de Grupos'!$A:$A,'Base de Grupos'!$D:$D)</f>
        <v>1000065763</v>
      </c>
      <c r="C498" s="5" t="str">
        <f>_xlfn.XLOOKUP($N498,'Base de Grupos'!$A:$A,'Base de Grupos'!$E:$E)</f>
        <v>CANAL VENDA INTERNA</v>
      </c>
      <c r="D498" s="5" t="str">
        <f>_xlfn.XLOOKUP($N498,'Base de Grupos'!$A:$A,'Base de Grupos'!$F:$F)</f>
        <v>1000065763</v>
      </c>
      <c r="E498" s="2" t="str">
        <f>_xlfn.XLOOKUP($N498,'Base de Grupos'!$A:$A,'Base de Grupos'!$G:$G)</f>
        <v>CANAL VENDA INTERNA</v>
      </c>
      <c r="F498" s="2" t="str">
        <f>_xlfn.XLOOKUP($N498,'Base de Grupos'!$A:$A,'Base de Grupos'!$H:$H)</f>
        <v>1000153245</v>
      </c>
      <c r="G498" s="5" t="str">
        <f>_xlfn.XLOOKUP($N498,'Base de Grupos'!$A:$A,'Base de Grupos'!$I:$I)</f>
        <v>REGIONAL VENDA INTERNA - KEY ACCOUNT</v>
      </c>
      <c r="H498" s="5" t="str">
        <f>_xlfn.XLOOKUP($N498,'Base de Grupos'!$A:$A,'Base de Grupos'!$J:$J)</f>
        <v>1000153245</v>
      </c>
      <c r="I498" s="2" t="str">
        <f>_xlfn.XLOOKUP($N498,'Base de Grupos'!$A:$A,'Base de Grupos'!$K:$K)</f>
        <v>REGIONAL VENDA INTERNA - KEY ACCOUNT</v>
      </c>
      <c r="J498" s="2" t="str">
        <f>_xlfn.XLOOKUP($N498,'Base de Grupos'!$A:$A,'Base de Grupos'!$L:$L)</f>
        <v>1000153245</v>
      </c>
      <c r="K498" s="5" t="str">
        <f>_xlfn.XLOOKUP($N498,'Base de Grupos'!$A:$A,'Base de Grupos'!$M:$M)</f>
        <v>REGIONAL VENDA INTERNA - KEY ACCOUNT</v>
      </c>
      <c r="L498" s="5" t="str">
        <f t="shared" ref="L498:L561" si="541">IF(N498&lt;&gt;N497,1,"")</f>
        <v/>
      </c>
      <c r="M498" s="5" t="str">
        <f>_xlfn.XLOOKUP($N498,'Base de Grupos'!$A:$A,'Base de Grupos'!$C:$C)</f>
        <v>SC</v>
      </c>
      <c r="N498" s="3">
        <v>1427</v>
      </c>
      <c r="O498" s="4" t="s">
        <v>251</v>
      </c>
      <c r="P498" s="5" t="s">
        <v>108</v>
      </c>
      <c r="Q498" s="56">
        <v>0</v>
      </c>
      <c r="R498" s="56">
        <v>516.1430303030304</v>
      </c>
      <c r="S498" s="56">
        <v>602.16686868686872</v>
      </c>
      <c r="T498" s="56">
        <f>_xlfn.XLOOKUP($N498,'Calculo Leads'!$A$97:$A$134,'Calculo Leads'!G$97:G$134)*_xlfn.XLOOKUP($P498,'Base Grupo de Produtos'!$E$2:$E$18,'Base Grupo de Produtos'!$F$2:$F$18)</f>
        <v>1250</v>
      </c>
      <c r="U498" s="56">
        <f>_xlfn.XLOOKUP($N498,'Calculo Leads'!$A$97:$A$134,'Calculo Leads'!H$97:H$134)*_xlfn.XLOOKUP($P498,'Base Grupo de Produtos'!$E$2:$E$18,'Base Grupo de Produtos'!$F$2:$F$18)</f>
        <v>1500</v>
      </c>
      <c r="V498" s="56">
        <f>_xlfn.XLOOKUP($N498,'Calculo Leads'!$A$97:$A$134,'Calculo Leads'!I$97:I$134)*_xlfn.XLOOKUP($P498,'Base Grupo de Produtos'!$E$2:$E$18,'Base Grupo de Produtos'!$F$2:$F$18)</f>
        <v>1750</v>
      </c>
      <c r="W498" s="56">
        <f>_xlfn.XLOOKUP($N498,'Calculo Leads'!$A$97:$A$134,'Calculo Leads'!J$97:J$134)*_xlfn.XLOOKUP($P498,'Base Grupo de Produtos'!$E$2:$E$18,'Base Grupo de Produtos'!$F$2:$F$18)</f>
        <v>2250</v>
      </c>
      <c r="X498" s="56">
        <f>_xlfn.XLOOKUP($N498,'Calculo Leads'!$A$97:$A$134,'Calculo Leads'!K$97:K$134)*_xlfn.XLOOKUP($P498,'Base Grupo de Produtos'!$E$2:$E$18,'Base Grupo de Produtos'!$F$2:$F$18)</f>
        <v>2750</v>
      </c>
      <c r="Y498" s="56">
        <f>_xlfn.XLOOKUP($N498,'Calculo Leads'!$A$97:$A$134,'Calculo Leads'!L$97:L$134)*_xlfn.XLOOKUP($P498,'Base Grupo de Produtos'!$E$2:$E$18,'Base Grupo de Produtos'!$F$2:$F$18)</f>
        <v>3300</v>
      </c>
      <c r="Z498" s="56">
        <f>_xlfn.XLOOKUP($N498,'Calculo Leads'!$A$97:$A$134,'Calculo Leads'!M$97:M$134)*_xlfn.XLOOKUP($P498,'Base Grupo de Produtos'!$E$2:$E$18,'Base Grupo de Produtos'!$F$2:$F$18)</f>
        <v>3575</v>
      </c>
      <c r="AA498" s="56">
        <f>_xlfn.XLOOKUP($N498,'Calculo Leads'!$A$97:$A$134,'Calculo Leads'!N$97:N$134)*_xlfn.XLOOKUP($P498,'Base Grupo de Produtos'!$E$2:$E$18,'Base Grupo de Produtos'!$F$2:$F$18)</f>
        <v>4125</v>
      </c>
      <c r="AB498" s="56">
        <f>_xlfn.XLOOKUP($N498,'Calculo Leads'!$A$97:$A$134,'Calculo Leads'!O$97:O$134)*_xlfn.XLOOKUP($P498,'Base Grupo de Produtos'!$E$2:$E$18,'Base Grupo de Produtos'!$F$2:$F$18)</f>
        <v>2750</v>
      </c>
      <c r="AC498" s="61">
        <f t="shared" si="499"/>
        <v>23250</v>
      </c>
      <c r="AD498" s="27">
        <f t="shared" si="536"/>
        <v>23250</v>
      </c>
      <c r="AE498" s="25">
        <f>IFERROR(_xlfn.XLOOKUP(N498&amp;P498,'Historico Vendas'!G:G,'Historico Vendas'!E:E),0)</f>
        <v>0</v>
      </c>
      <c r="AF498" s="29" t="str">
        <f t="shared" si="539"/>
        <v/>
      </c>
      <c r="AG498" s="24">
        <f>IFERROR(_xlfn.XLOOKUP(N498&amp;P498,'Historico Vendas'!G:G,'Historico Vendas'!F:F),0)</f>
        <v>0</v>
      </c>
      <c r="AH498" s="25">
        <f t="shared" si="537"/>
        <v>1118.309898989899</v>
      </c>
      <c r="AI498" s="24">
        <f t="shared" si="538"/>
        <v>1118.309898989899</v>
      </c>
      <c r="AJ498" s="11">
        <f t="shared" si="483"/>
        <v>0</v>
      </c>
      <c r="AK498" s="9" t="s">
        <v>102</v>
      </c>
      <c r="AL498" s="13">
        <f>IFERROR(INDEX('Balizador da Meta'!$D$3:$F$23,MATCH(Faturamento!$P498,'Balizador da Meta'!$C$3:$C$23,0),MATCH(Faturamento!AK498,'Balizador da Meta'!$D$2:$F$2,0)),"")</f>
        <v>0</v>
      </c>
      <c r="AM498" s="9"/>
    </row>
    <row r="499" spans="1:39" x14ac:dyDescent="0.3">
      <c r="A499" s="2" t="str">
        <f t="shared" si="540"/>
        <v>NÃO</v>
      </c>
      <c r="B499" s="2" t="str">
        <f>_xlfn.XLOOKUP($N499,'Base de Grupos'!$A:$A,'Base de Grupos'!$D:$D)</f>
        <v>1000065763</v>
      </c>
      <c r="C499" s="5" t="str">
        <f>_xlfn.XLOOKUP($N499,'Base de Grupos'!$A:$A,'Base de Grupos'!$E:$E)</f>
        <v>CANAL VENDA INTERNA</v>
      </c>
      <c r="D499" s="5" t="str">
        <f>_xlfn.XLOOKUP($N499,'Base de Grupos'!$A:$A,'Base de Grupos'!$F:$F)</f>
        <v>1000065763</v>
      </c>
      <c r="E499" s="2" t="str">
        <f>_xlfn.XLOOKUP($N499,'Base de Grupos'!$A:$A,'Base de Grupos'!$G:$G)</f>
        <v>CANAL VENDA INTERNA</v>
      </c>
      <c r="F499" s="2" t="str">
        <f>_xlfn.XLOOKUP($N499,'Base de Grupos'!$A:$A,'Base de Grupos'!$H:$H)</f>
        <v>1000153245</v>
      </c>
      <c r="G499" s="5" t="str">
        <f>_xlfn.XLOOKUP($N499,'Base de Grupos'!$A:$A,'Base de Grupos'!$I:$I)</f>
        <v>REGIONAL VENDA INTERNA - KEY ACCOUNT</v>
      </c>
      <c r="H499" s="5" t="str">
        <f>_xlfn.XLOOKUP($N499,'Base de Grupos'!$A:$A,'Base de Grupos'!$J:$J)</f>
        <v>1000153245</v>
      </c>
      <c r="I499" s="2" t="str">
        <f>_xlfn.XLOOKUP($N499,'Base de Grupos'!$A:$A,'Base de Grupos'!$K:$K)</f>
        <v>REGIONAL VENDA INTERNA - KEY ACCOUNT</v>
      </c>
      <c r="J499" s="2" t="str">
        <f>_xlfn.XLOOKUP($N499,'Base de Grupos'!$A:$A,'Base de Grupos'!$L:$L)</f>
        <v>1000153245</v>
      </c>
      <c r="K499" s="5" t="str">
        <f>_xlfn.XLOOKUP($N499,'Base de Grupos'!$A:$A,'Base de Grupos'!$M:$M)</f>
        <v>REGIONAL VENDA INTERNA - KEY ACCOUNT</v>
      </c>
      <c r="L499" s="5" t="str">
        <f t="shared" si="541"/>
        <v/>
      </c>
      <c r="M499" s="5" t="str">
        <f>_xlfn.XLOOKUP($N499,'Base de Grupos'!$A:$A,'Base de Grupos'!$C:$C)</f>
        <v>SC</v>
      </c>
      <c r="N499" s="3">
        <v>1427</v>
      </c>
      <c r="O499" s="4" t="s">
        <v>251</v>
      </c>
      <c r="P499" s="5" t="s">
        <v>89</v>
      </c>
      <c r="Q499" s="56">
        <v>0</v>
      </c>
      <c r="R499" s="56">
        <v>627.6857142857142</v>
      </c>
      <c r="S499" s="56">
        <v>627.6857142857142</v>
      </c>
      <c r="T499" s="56">
        <f>_xlfn.XLOOKUP($N499,'Calculo Leads'!$A$97:$A$134,'Calculo Leads'!G$97:G$134)*_xlfn.XLOOKUP($P499,'Base Grupo de Produtos'!$E$2:$E$18,'Base Grupo de Produtos'!$F$2:$F$18)</f>
        <v>250</v>
      </c>
      <c r="U499" s="56">
        <f>_xlfn.XLOOKUP($N499,'Calculo Leads'!$A$97:$A$134,'Calculo Leads'!H$97:H$134)*_xlfn.XLOOKUP($P499,'Base Grupo de Produtos'!$E$2:$E$18,'Base Grupo de Produtos'!$F$2:$F$18)</f>
        <v>300</v>
      </c>
      <c r="V499" s="56">
        <f>_xlfn.XLOOKUP($N499,'Calculo Leads'!$A$97:$A$134,'Calculo Leads'!I$97:I$134)*_xlfn.XLOOKUP($P499,'Base Grupo de Produtos'!$E$2:$E$18,'Base Grupo de Produtos'!$F$2:$F$18)</f>
        <v>350</v>
      </c>
      <c r="W499" s="56">
        <f>_xlfn.XLOOKUP($N499,'Calculo Leads'!$A$97:$A$134,'Calculo Leads'!J$97:J$134)*_xlfn.XLOOKUP($P499,'Base Grupo de Produtos'!$E$2:$E$18,'Base Grupo de Produtos'!$F$2:$F$18)</f>
        <v>450</v>
      </c>
      <c r="X499" s="56">
        <f>_xlfn.XLOOKUP($N499,'Calculo Leads'!$A$97:$A$134,'Calculo Leads'!K$97:K$134)*_xlfn.XLOOKUP($P499,'Base Grupo de Produtos'!$E$2:$E$18,'Base Grupo de Produtos'!$F$2:$F$18)</f>
        <v>550</v>
      </c>
      <c r="Y499" s="56">
        <f>_xlfn.XLOOKUP($N499,'Calculo Leads'!$A$97:$A$134,'Calculo Leads'!L$97:L$134)*_xlfn.XLOOKUP($P499,'Base Grupo de Produtos'!$E$2:$E$18,'Base Grupo de Produtos'!$F$2:$F$18)</f>
        <v>660</v>
      </c>
      <c r="Z499" s="56">
        <f>_xlfn.XLOOKUP($N499,'Calculo Leads'!$A$97:$A$134,'Calculo Leads'!M$97:M$134)*_xlfn.XLOOKUP($P499,'Base Grupo de Produtos'!$E$2:$E$18,'Base Grupo de Produtos'!$F$2:$F$18)</f>
        <v>715</v>
      </c>
      <c r="AA499" s="56">
        <f>_xlfn.XLOOKUP($N499,'Calculo Leads'!$A$97:$A$134,'Calculo Leads'!N$97:N$134)*_xlfn.XLOOKUP($P499,'Base Grupo de Produtos'!$E$2:$E$18,'Base Grupo de Produtos'!$F$2:$F$18)</f>
        <v>825</v>
      </c>
      <c r="AB499" s="56">
        <f>_xlfn.XLOOKUP($N499,'Calculo Leads'!$A$97:$A$134,'Calculo Leads'!O$97:O$134)*_xlfn.XLOOKUP($P499,'Base Grupo de Produtos'!$E$2:$E$18,'Base Grupo de Produtos'!$F$2:$F$18)</f>
        <v>550</v>
      </c>
      <c r="AC499" s="61">
        <f t="shared" si="499"/>
        <v>4650</v>
      </c>
      <c r="AD499" s="27">
        <f t="shared" si="536"/>
        <v>4650</v>
      </c>
      <c r="AE499" s="25">
        <f>IFERROR(_xlfn.XLOOKUP(N499&amp;P499,'Historico Vendas'!G:G,'Historico Vendas'!E:E),0)</f>
        <v>0</v>
      </c>
      <c r="AF499" s="29" t="str">
        <f t="shared" si="539"/>
        <v/>
      </c>
      <c r="AG499" s="24">
        <f>IFERROR(_xlfn.XLOOKUP(N499&amp;P499,'Historico Vendas'!G:G,'Historico Vendas'!F:F),0)</f>
        <v>0</v>
      </c>
      <c r="AH499" s="25">
        <f t="shared" si="537"/>
        <v>1255.3714285714284</v>
      </c>
      <c r="AI499" s="24">
        <f t="shared" si="538"/>
        <v>1255.3714285714284</v>
      </c>
      <c r="AJ499" s="11">
        <f t="shared" si="483"/>
        <v>0</v>
      </c>
      <c r="AK499" s="9" t="s">
        <v>102</v>
      </c>
      <c r="AL499" s="13">
        <f>IFERROR(INDEX('Balizador da Meta'!$D$3:$F$23,MATCH(Faturamento!$P499,'Balizador da Meta'!$C$3:$C$23,0),MATCH(Faturamento!AK499,'Balizador da Meta'!$D$2:$F$2,0)),"")</f>
        <v>0.25</v>
      </c>
      <c r="AM499" s="9"/>
    </row>
    <row r="500" spans="1:39" x14ac:dyDescent="0.3">
      <c r="A500" s="2" t="str">
        <f t="shared" si="540"/>
        <v>NÃO</v>
      </c>
      <c r="B500" s="2" t="str">
        <f>_xlfn.XLOOKUP($N500,'Base de Grupos'!$A:$A,'Base de Grupos'!$D:$D)</f>
        <v>1000065763</v>
      </c>
      <c r="C500" s="5" t="str">
        <f>_xlfn.XLOOKUP($N500,'Base de Grupos'!$A:$A,'Base de Grupos'!$E:$E)</f>
        <v>CANAL VENDA INTERNA</v>
      </c>
      <c r="D500" s="5" t="str">
        <f>_xlfn.XLOOKUP($N500,'Base de Grupos'!$A:$A,'Base de Grupos'!$F:$F)</f>
        <v>1000065763</v>
      </c>
      <c r="E500" s="2" t="str">
        <f>_xlfn.XLOOKUP($N500,'Base de Grupos'!$A:$A,'Base de Grupos'!$G:$G)</f>
        <v>CANAL VENDA INTERNA</v>
      </c>
      <c r="F500" s="2" t="str">
        <f>_xlfn.XLOOKUP($N500,'Base de Grupos'!$A:$A,'Base de Grupos'!$H:$H)</f>
        <v>1000153245</v>
      </c>
      <c r="G500" s="5" t="str">
        <f>_xlfn.XLOOKUP($N500,'Base de Grupos'!$A:$A,'Base de Grupos'!$I:$I)</f>
        <v>REGIONAL VENDA INTERNA - KEY ACCOUNT</v>
      </c>
      <c r="H500" s="5" t="str">
        <f>_xlfn.XLOOKUP($N500,'Base de Grupos'!$A:$A,'Base de Grupos'!$J:$J)</f>
        <v>1000153245</v>
      </c>
      <c r="I500" s="2" t="str">
        <f>_xlfn.XLOOKUP($N500,'Base de Grupos'!$A:$A,'Base de Grupos'!$K:$K)</f>
        <v>REGIONAL VENDA INTERNA - KEY ACCOUNT</v>
      </c>
      <c r="J500" s="2" t="str">
        <f>_xlfn.XLOOKUP($N500,'Base de Grupos'!$A:$A,'Base de Grupos'!$L:$L)</f>
        <v>1000153245</v>
      </c>
      <c r="K500" s="5" t="str">
        <f>_xlfn.XLOOKUP($N500,'Base de Grupos'!$A:$A,'Base de Grupos'!$M:$M)</f>
        <v>REGIONAL VENDA INTERNA - KEY ACCOUNT</v>
      </c>
      <c r="L500" s="5" t="str">
        <f t="shared" si="541"/>
        <v/>
      </c>
      <c r="M500" s="5" t="str">
        <f>_xlfn.XLOOKUP($N500,'Base de Grupos'!$A:$A,'Base de Grupos'!$C:$C)</f>
        <v>SC</v>
      </c>
      <c r="N500" s="3">
        <v>1427</v>
      </c>
      <c r="O500" s="4" t="s">
        <v>251</v>
      </c>
      <c r="P500" s="5" t="s">
        <v>88</v>
      </c>
      <c r="Q500" s="56">
        <v>0</v>
      </c>
      <c r="R500" s="56">
        <v>119.60088888888889</v>
      </c>
      <c r="S500" s="56">
        <v>239.20177777777778</v>
      </c>
      <c r="T500" s="56">
        <f>_xlfn.XLOOKUP($N500,'Calculo Leads'!$A$97:$A$134,'Calculo Leads'!G$97:G$134)*_xlfn.XLOOKUP($P500,'Base Grupo de Produtos'!$E$2:$E$18,'Base Grupo de Produtos'!$F$2:$F$18)</f>
        <v>250</v>
      </c>
      <c r="U500" s="56">
        <f>_xlfn.XLOOKUP($N500,'Calculo Leads'!$A$97:$A$134,'Calculo Leads'!H$97:H$134)*_xlfn.XLOOKUP($P500,'Base Grupo de Produtos'!$E$2:$E$18,'Base Grupo de Produtos'!$F$2:$F$18)</f>
        <v>300</v>
      </c>
      <c r="V500" s="56">
        <f>_xlfn.XLOOKUP($N500,'Calculo Leads'!$A$97:$A$134,'Calculo Leads'!I$97:I$134)*_xlfn.XLOOKUP($P500,'Base Grupo de Produtos'!$E$2:$E$18,'Base Grupo de Produtos'!$F$2:$F$18)</f>
        <v>350</v>
      </c>
      <c r="W500" s="56">
        <f>_xlfn.XLOOKUP($N500,'Calculo Leads'!$A$97:$A$134,'Calculo Leads'!J$97:J$134)*_xlfn.XLOOKUP($P500,'Base Grupo de Produtos'!$E$2:$E$18,'Base Grupo de Produtos'!$F$2:$F$18)</f>
        <v>450</v>
      </c>
      <c r="X500" s="56">
        <f>_xlfn.XLOOKUP($N500,'Calculo Leads'!$A$97:$A$134,'Calculo Leads'!K$97:K$134)*_xlfn.XLOOKUP($P500,'Base Grupo de Produtos'!$E$2:$E$18,'Base Grupo de Produtos'!$F$2:$F$18)</f>
        <v>550</v>
      </c>
      <c r="Y500" s="56">
        <f>_xlfn.XLOOKUP($N500,'Calculo Leads'!$A$97:$A$134,'Calculo Leads'!L$97:L$134)*_xlfn.XLOOKUP($P500,'Base Grupo de Produtos'!$E$2:$E$18,'Base Grupo de Produtos'!$F$2:$F$18)</f>
        <v>660</v>
      </c>
      <c r="Z500" s="56">
        <f>_xlfn.XLOOKUP($N500,'Calculo Leads'!$A$97:$A$134,'Calculo Leads'!M$97:M$134)*_xlfn.XLOOKUP($P500,'Base Grupo de Produtos'!$E$2:$E$18,'Base Grupo de Produtos'!$F$2:$F$18)</f>
        <v>715</v>
      </c>
      <c r="AA500" s="56">
        <f>_xlfn.XLOOKUP($N500,'Calculo Leads'!$A$97:$A$134,'Calculo Leads'!N$97:N$134)*_xlfn.XLOOKUP($P500,'Base Grupo de Produtos'!$E$2:$E$18,'Base Grupo de Produtos'!$F$2:$F$18)</f>
        <v>825</v>
      </c>
      <c r="AB500" s="56">
        <f>_xlfn.XLOOKUP($N500,'Calculo Leads'!$A$97:$A$134,'Calculo Leads'!O$97:O$134)*_xlfn.XLOOKUP($P500,'Base Grupo de Produtos'!$E$2:$E$18,'Base Grupo de Produtos'!$F$2:$F$18)</f>
        <v>550</v>
      </c>
      <c r="AC500" s="61">
        <f t="shared" si="499"/>
        <v>4650</v>
      </c>
      <c r="AD500" s="27">
        <f t="shared" si="536"/>
        <v>4650</v>
      </c>
      <c r="AE500" s="25">
        <f>IFERROR(_xlfn.XLOOKUP(N500&amp;P500,'Historico Vendas'!G:G,'Historico Vendas'!E:E),0)</f>
        <v>0</v>
      </c>
      <c r="AF500" s="29" t="str">
        <f t="shared" si="539"/>
        <v/>
      </c>
      <c r="AG500" s="24">
        <f>IFERROR(_xlfn.XLOOKUP(N500&amp;P500,'Historico Vendas'!G:G,'Historico Vendas'!F:F),0)</f>
        <v>0</v>
      </c>
      <c r="AH500" s="25">
        <f t="shared" si="537"/>
        <v>358.80266666666665</v>
      </c>
      <c r="AI500" s="24">
        <f t="shared" si="538"/>
        <v>358.80266666666665</v>
      </c>
      <c r="AJ500" s="11">
        <f t="shared" si="483"/>
        <v>0</v>
      </c>
      <c r="AK500" s="9" t="s">
        <v>102</v>
      </c>
      <c r="AL500" s="13">
        <f>IFERROR(INDEX('Balizador da Meta'!$D$3:$F$23,MATCH(Faturamento!$P500,'Balizador da Meta'!$C$3:$C$23,0),MATCH(Faturamento!AK500,'Balizador da Meta'!$D$2:$F$2,0)),"")</f>
        <v>0</v>
      </c>
      <c r="AM500" s="9"/>
    </row>
    <row r="501" spans="1:39" x14ac:dyDescent="0.3">
      <c r="A501" s="2" t="str">
        <f t="shared" si="540"/>
        <v>NÃO</v>
      </c>
      <c r="B501" s="2" t="str">
        <f>_xlfn.XLOOKUP($N501,'Base de Grupos'!$A:$A,'Base de Grupos'!$D:$D)</f>
        <v>1000065763</v>
      </c>
      <c r="C501" s="5" t="str">
        <f>_xlfn.XLOOKUP($N501,'Base de Grupos'!$A:$A,'Base de Grupos'!$E:$E)</f>
        <v>CANAL VENDA INTERNA</v>
      </c>
      <c r="D501" s="5" t="str">
        <f>_xlfn.XLOOKUP($N501,'Base de Grupos'!$A:$A,'Base de Grupos'!$F:$F)</f>
        <v>1000065763</v>
      </c>
      <c r="E501" s="2" t="str">
        <f>_xlfn.XLOOKUP($N501,'Base de Grupos'!$A:$A,'Base de Grupos'!$G:$G)</f>
        <v>CANAL VENDA INTERNA</v>
      </c>
      <c r="F501" s="2" t="str">
        <f>_xlfn.XLOOKUP($N501,'Base de Grupos'!$A:$A,'Base de Grupos'!$H:$H)</f>
        <v>1000153245</v>
      </c>
      <c r="G501" s="5" t="str">
        <f>_xlfn.XLOOKUP($N501,'Base de Grupos'!$A:$A,'Base de Grupos'!$I:$I)</f>
        <v>REGIONAL VENDA INTERNA - KEY ACCOUNT</v>
      </c>
      <c r="H501" s="5" t="str">
        <f>_xlfn.XLOOKUP($N501,'Base de Grupos'!$A:$A,'Base de Grupos'!$J:$J)</f>
        <v>1000153245</v>
      </c>
      <c r="I501" s="2" t="str">
        <f>_xlfn.XLOOKUP($N501,'Base de Grupos'!$A:$A,'Base de Grupos'!$K:$K)</f>
        <v>REGIONAL VENDA INTERNA - KEY ACCOUNT</v>
      </c>
      <c r="J501" s="2" t="str">
        <f>_xlfn.XLOOKUP($N501,'Base de Grupos'!$A:$A,'Base de Grupos'!$L:$L)</f>
        <v>1000153245</v>
      </c>
      <c r="K501" s="5" t="str">
        <f>_xlfn.XLOOKUP($N501,'Base de Grupos'!$A:$A,'Base de Grupos'!$M:$M)</f>
        <v>REGIONAL VENDA INTERNA - KEY ACCOUNT</v>
      </c>
      <c r="L501" s="5" t="str">
        <f t="shared" si="541"/>
        <v/>
      </c>
      <c r="M501" s="5" t="str">
        <f>_xlfn.XLOOKUP($N501,'Base de Grupos'!$A:$A,'Base de Grupos'!$C:$C)</f>
        <v>SC</v>
      </c>
      <c r="N501" s="3">
        <v>1427</v>
      </c>
      <c r="O501" s="4" t="s">
        <v>251</v>
      </c>
      <c r="P501" s="5" t="s">
        <v>90</v>
      </c>
      <c r="Q501" s="56">
        <v>0</v>
      </c>
      <c r="R501" s="56">
        <v>204.36930232558137</v>
      </c>
      <c r="S501" s="56">
        <v>204.36930232558137</v>
      </c>
      <c r="T501" s="56">
        <f>_xlfn.XLOOKUP($N501,'Calculo Leads'!$A$97:$A$134,'Calculo Leads'!G$97:G$134)*_xlfn.XLOOKUP($P501,'Base Grupo de Produtos'!$E$2:$E$18,'Base Grupo de Produtos'!$F$2:$F$18)</f>
        <v>250</v>
      </c>
      <c r="U501" s="56">
        <f>_xlfn.XLOOKUP($N501,'Calculo Leads'!$A$97:$A$134,'Calculo Leads'!H$97:H$134)*_xlfn.XLOOKUP($P501,'Base Grupo de Produtos'!$E$2:$E$18,'Base Grupo de Produtos'!$F$2:$F$18)</f>
        <v>300</v>
      </c>
      <c r="V501" s="56">
        <f>_xlfn.XLOOKUP($N501,'Calculo Leads'!$A$97:$A$134,'Calculo Leads'!I$97:I$134)*_xlfn.XLOOKUP($P501,'Base Grupo de Produtos'!$E$2:$E$18,'Base Grupo de Produtos'!$F$2:$F$18)</f>
        <v>350</v>
      </c>
      <c r="W501" s="56">
        <f>_xlfn.XLOOKUP($N501,'Calculo Leads'!$A$97:$A$134,'Calculo Leads'!J$97:J$134)*_xlfn.XLOOKUP($P501,'Base Grupo de Produtos'!$E$2:$E$18,'Base Grupo de Produtos'!$F$2:$F$18)</f>
        <v>450</v>
      </c>
      <c r="X501" s="56">
        <f>_xlfn.XLOOKUP($N501,'Calculo Leads'!$A$97:$A$134,'Calculo Leads'!K$97:K$134)*_xlfn.XLOOKUP($P501,'Base Grupo de Produtos'!$E$2:$E$18,'Base Grupo de Produtos'!$F$2:$F$18)</f>
        <v>550</v>
      </c>
      <c r="Y501" s="56">
        <f>_xlfn.XLOOKUP($N501,'Calculo Leads'!$A$97:$A$134,'Calculo Leads'!L$97:L$134)*_xlfn.XLOOKUP($P501,'Base Grupo de Produtos'!$E$2:$E$18,'Base Grupo de Produtos'!$F$2:$F$18)</f>
        <v>660</v>
      </c>
      <c r="Z501" s="56">
        <f>_xlfn.XLOOKUP($N501,'Calculo Leads'!$A$97:$A$134,'Calculo Leads'!M$97:M$134)*_xlfn.XLOOKUP($P501,'Base Grupo de Produtos'!$E$2:$E$18,'Base Grupo de Produtos'!$F$2:$F$18)</f>
        <v>715</v>
      </c>
      <c r="AA501" s="56">
        <f>_xlfn.XLOOKUP($N501,'Calculo Leads'!$A$97:$A$134,'Calculo Leads'!N$97:N$134)*_xlfn.XLOOKUP($P501,'Base Grupo de Produtos'!$E$2:$E$18,'Base Grupo de Produtos'!$F$2:$F$18)</f>
        <v>825</v>
      </c>
      <c r="AB501" s="56">
        <f>_xlfn.XLOOKUP($N501,'Calculo Leads'!$A$97:$A$134,'Calculo Leads'!O$97:O$134)*_xlfn.XLOOKUP($P501,'Base Grupo de Produtos'!$E$2:$E$18,'Base Grupo de Produtos'!$F$2:$F$18)</f>
        <v>550</v>
      </c>
      <c r="AC501" s="61">
        <f t="shared" si="499"/>
        <v>4650</v>
      </c>
      <c r="AD501" s="27">
        <f t="shared" si="536"/>
        <v>4650</v>
      </c>
      <c r="AE501" s="25">
        <f>IFERROR(_xlfn.XLOOKUP(N501&amp;P501,'Historico Vendas'!G:G,'Historico Vendas'!E:E),0)</f>
        <v>0</v>
      </c>
      <c r="AF501" s="29" t="str">
        <f t="shared" si="539"/>
        <v/>
      </c>
      <c r="AG501" s="24">
        <f>IFERROR(_xlfn.XLOOKUP(N501&amp;P501,'Historico Vendas'!G:G,'Historico Vendas'!F:F),0)</f>
        <v>0</v>
      </c>
      <c r="AH501" s="25">
        <f t="shared" si="537"/>
        <v>408.73860465116275</v>
      </c>
      <c r="AI501" s="24">
        <f t="shared" si="538"/>
        <v>408.73860465116275</v>
      </c>
      <c r="AJ501" s="11">
        <f t="shared" si="483"/>
        <v>0</v>
      </c>
      <c r="AK501" s="9" t="s">
        <v>102</v>
      </c>
      <c r="AL501" s="13">
        <f>IFERROR(INDEX('Balizador da Meta'!$D$3:$F$23,MATCH(Faturamento!$P501,'Balizador da Meta'!$C$3:$C$23,0),MATCH(Faturamento!AK501,'Balizador da Meta'!$D$2:$F$2,0)),"")</f>
        <v>0</v>
      </c>
      <c r="AM501" s="9"/>
    </row>
    <row r="502" spans="1:39" x14ac:dyDescent="0.3">
      <c r="A502" s="2" t="str">
        <f t="shared" si="540"/>
        <v>NÃO</v>
      </c>
      <c r="B502" s="2" t="str">
        <f>_xlfn.XLOOKUP($N502,'Base de Grupos'!$A:$A,'Base de Grupos'!$D:$D)</f>
        <v>1000065763</v>
      </c>
      <c r="C502" s="5" t="str">
        <f>_xlfn.XLOOKUP($N502,'Base de Grupos'!$A:$A,'Base de Grupos'!$E:$E)</f>
        <v>CANAL VENDA INTERNA</v>
      </c>
      <c r="D502" s="5" t="str">
        <f>_xlfn.XLOOKUP($N502,'Base de Grupos'!$A:$A,'Base de Grupos'!$F:$F)</f>
        <v>1000065763</v>
      </c>
      <c r="E502" s="2" t="str">
        <f>_xlfn.XLOOKUP($N502,'Base de Grupos'!$A:$A,'Base de Grupos'!$G:$G)</f>
        <v>CANAL VENDA INTERNA</v>
      </c>
      <c r="F502" s="2" t="str">
        <f>_xlfn.XLOOKUP($N502,'Base de Grupos'!$A:$A,'Base de Grupos'!$H:$H)</f>
        <v>1000153245</v>
      </c>
      <c r="G502" s="5" t="str">
        <f>_xlfn.XLOOKUP($N502,'Base de Grupos'!$A:$A,'Base de Grupos'!$I:$I)</f>
        <v>REGIONAL VENDA INTERNA - KEY ACCOUNT</v>
      </c>
      <c r="H502" s="5" t="str">
        <f>_xlfn.XLOOKUP($N502,'Base de Grupos'!$A:$A,'Base de Grupos'!$J:$J)</f>
        <v>1000153245</v>
      </c>
      <c r="I502" s="2" t="str">
        <f>_xlfn.XLOOKUP($N502,'Base de Grupos'!$A:$A,'Base de Grupos'!$K:$K)</f>
        <v>REGIONAL VENDA INTERNA - KEY ACCOUNT</v>
      </c>
      <c r="J502" s="2" t="str">
        <f>_xlfn.XLOOKUP($N502,'Base de Grupos'!$A:$A,'Base de Grupos'!$L:$L)</f>
        <v>1000153245</v>
      </c>
      <c r="K502" s="5" t="str">
        <f>_xlfn.XLOOKUP($N502,'Base de Grupos'!$A:$A,'Base de Grupos'!$M:$M)</f>
        <v>REGIONAL VENDA INTERNA - KEY ACCOUNT</v>
      </c>
      <c r="L502" s="5" t="str">
        <f t="shared" si="541"/>
        <v/>
      </c>
      <c r="M502" s="5" t="str">
        <f>_xlfn.XLOOKUP($N502,'Base de Grupos'!$A:$A,'Base de Grupos'!$C:$C)</f>
        <v>SC</v>
      </c>
      <c r="N502" s="3">
        <v>1427</v>
      </c>
      <c r="O502" s="4" t="s">
        <v>251</v>
      </c>
      <c r="P502" s="5" t="s">
        <v>91</v>
      </c>
      <c r="Q502" s="56">
        <v>0</v>
      </c>
      <c r="R502" s="56">
        <v>143.15866666666668</v>
      </c>
      <c r="S502" s="56">
        <v>143.15866666666668</v>
      </c>
      <c r="T502" s="56">
        <f>_xlfn.XLOOKUP($N502,'Calculo Leads'!$A$97:$A$134,'Calculo Leads'!G$97:G$134)*_xlfn.XLOOKUP($P502,'Base Grupo de Produtos'!$E$2:$E$18,'Base Grupo de Produtos'!$F$2:$F$18)</f>
        <v>0</v>
      </c>
      <c r="U502" s="56">
        <f>_xlfn.XLOOKUP($N502,'Calculo Leads'!$A$97:$A$134,'Calculo Leads'!H$97:H$134)*_xlfn.XLOOKUP($P502,'Base Grupo de Produtos'!$E$2:$E$18,'Base Grupo de Produtos'!$F$2:$F$18)</f>
        <v>0</v>
      </c>
      <c r="V502" s="56">
        <f>_xlfn.XLOOKUP($N502,'Calculo Leads'!$A$97:$A$134,'Calculo Leads'!I$97:I$134)*_xlfn.XLOOKUP($P502,'Base Grupo de Produtos'!$E$2:$E$18,'Base Grupo de Produtos'!$F$2:$F$18)</f>
        <v>0</v>
      </c>
      <c r="W502" s="56">
        <f>_xlfn.XLOOKUP($N502,'Calculo Leads'!$A$97:$A$134,'Calculo Leads'!J$97:J$134)*_xlfn.XLOOKUP($P502,'Base Grupo de Produtos'!$E$2:$E$18,'Base Grupo de Produtos'!$F$2:$F$18)</f>
        <v>0</v>
      </c>
      <c r="X502" s="56">
        <f>_xlfn.XLOOKUP($N502,'Calculo Leads'!$A$97:$A$134,'Calculo Leads'!K$97:K$134)*_xlfn.XLOOKUP($P502,'Base Grupo de Produtos'!$E$2:$E$18,'Base Grupo de Produtos'!$F$2:$F$18)</f>
        <v>0</v>
      </c>
      <c r="Y502" s="56">
        <f>_xlfn.XLOOKUP($N502,'Calculo Leads'!$A$97:$A$134,'Calculo Leads'!L$97:L$134)*_xlfn.XLOOKUP($P502,'Base Grupo de Produtos'!$E$2:$E$18,'Base Grupo de Produtos'!$F$2:$F$18)</f>
        <v>0</v>
      </c>
      <c r="Z502" s="56">
        <f>_xlfn.XLOOKUP($N502,'Calculo Leads'!$A$97:$A$134,'Calculo Leads'!M$97:M$134)*_xlfn.XLOOKUP($P502,'Base Grupo de Produtos'!$E$2:$E$18,'Base Grupo de Produtos'!$F$2:$F$18)</f>
        <v>0</v>
      </c>
      <c r="AA502" s="56">
        <f>_xlfn.XLOOKUP($N502,'Calculo Leads'!$A$97:$A$134,'Calculo Leads'!N$97:N$134)*_xlfn.XLOOKUP($P502,'Base Grupo de Produtos'!$E$2:$E$18,'Base Grupo de Produtos'!$F$2:$F$18)</f>
        <v>0</v>
      </c>
      <c r="AB502" s="56">
        <f>_xlfn.XLOOKUP($N502,'Calculo Leads'!$A$97:$A$134,'Calculo Leads'!O$97:O$134)*_xlfn.XLOOKUP($P502,'Base Grupo de Produtos'!$E$2:$E$18,'Base Grupo de Produtos'!$F$2:$F$18)</f>
        <v>0</v>
      </c>
      <c r="AC502" s="61">
        <f t="shared" si="499"/>
        <v>0</v>
      </c>
      <c r="AD502" s="27">
        <f t="shared" si="536"/>
        <v>0</v>
      </c>
      <c r="AE502" s="25">
        <f>IFERROR(_xlfn.XLOOKUP(N502&amp;P502,'Historico Vendas'!G:G,'Historico Vendas'!E:E),0)</f>
        <v>0</v>
      </c>
      <c r="AF502" s="29" t="str">
        <f t="shared" si="539"/>
        <v/>
      </c>
      <c r="AG502" s="24">
        <f>IFERROR(_xlfn.XLOOKUP(N502&amp;P502,'Historico Vendas'!G:G,'Historico Vendas'!F:F),0)</f>
        <v>0</v>
      </c>
      <c r="AH502" s="25">
        <f t="shared" si="537"/>
        <v>286.31733333333335</v>
      </c>
      <c r="AI502" s="24">
        <f t="shared" si="538"/>
        <v>286.31733333333335</v>
      </c>
      <c r="AJ502" s="11">
        <f t="shared" si="483"/>
        <v>0</v>
      </c>
      <c r="AK502" s="9" t="s">
        <v>102</v>
      </c>
      <c r="AL502" s="13">
        <f>IFERROR(INDEX('Balizador da Meta'!$D$3:$F$23,MATCH(Faturamento!$P502,'Balizador da Meta'!$C$3:$C$23,0),MATCH(Faturamento!AK502,'Balizador da Meta'!$D$2:$F$2,0)),"")</f>
        <v>0</v>
      </c>
      <c r="AM502" s="9"/>
    </row>
    <row r="503" spans="1:39" x14ac:dyDescent="0.3">
      <c r="A503" s="2" t="str">
        <f t="shared" si="540"/>
        <v>NÃO</v>
      </c>
      <c r="B503" s="2" t="str">
        <f>_xlfn.XLOOKUP($N503,'Base de Grupos'!$A:$A,'Base de Grupos'!$D:$D)</f>
        <v>1000065763</v>
      </c>
      <c r="C503" s="5" t="str">
        <f>_xlfn.XLOOKUP($N503,'Base de Grupos'!$A:$A,'Base de Grupos'!$E:$E)</f>
        <v>CANAL VENDA INTERNA</v>
      </c>
      <c r="D503" s="5" t="str">
        <f>_xlfn.XLOOKUP($N503,'Base de Grupos'!$A:$A,'Base de Grupos'!$F:$F)</f>
        <v>1000065763</v>
      </c>
      <c r="E503" s="2" t="str">
        <f>_xlfn.XLOOKUP($N503,'Base de Grupos'!$A:$A,'Base de Grupos'!$G:$G)</f>
        <v>CANAL VENDA INTERNA</v>
      </c>
      <c r="F503" s="2" t="str">
        <f>_xlfn.XLOOKUP($N503,'Base de Grupos'!$A:$A,'Base de Grupos'!$H:$H)</f>
        <v>1000153245</v>
      </c>
      <c r="G503" s="5" t="str">
        <f>_xlfn.XLOOKUP($N503,'Base de Grupos'!$A:$A,'Base de Grupos'!$I:$I)</f>
        <v>REGIONAL VENDA INTERNA - KEY ACCOUNT</v>
      </c>
      <c r="H503" s="5" t="str">
        <f>_xlfn.XLOOKUP($N503,'Base de Grupos'!$A:$A,'Base de Grupos'!$J:$J)</f>
        <v>1000153245</v>
      </c>
      <c r="I503" s="2" t="str">
        <f>_xlfn.XLOOKUP($N503,'Base de Grupos'!$A:$A,'Base de Grupos'!$K:$K)</f>
        <v>REGIONAL VENDA INTERNA - KEY ACCOUNT</v>
      </c>
      <c r="J503" s="2" t="str">
        <f>_xlfn.XLOOKUP($N503,'Base de Grupos'!$A:$A,'Base de Grupos'!$L:$L)</f>
        <v>1000153245</v>
      </c>
      <c r="K503" s="5" t="str">
        <f>_xlfn.XLOOKUP($N503,'Base de Grupos'!$A:$A,'Base de Grupos'!$M:$M)</f>
        <v>REGIONAL VENDA INTERNA - KEY ACCOUNT</v>
      </c>
      <c r="L503" s="5" t="str">
        <f t="shared" si="541"/>
        <v/>
      </c>
      <c r="M503" s="5" t="str">
        <f>_xlfn.XLOOKUP($N503,'Base de Grupos'!$A:$A,'Base de Grupos'!$C:$C)</f>
        <v>SC</v>
      </c>
      <c r="N503" s="3">
        <v>1427</v>
      </c>
      <c r="O503" s="4" t="s">
        <v>251</v>
      </c>
      <c r="P503" s="5" t="s">
        <v>96</v>
      </c>
      <c r="Q503" s="56">
        <v>0</v>
      </c>
      <c r="R503" s="56">
        <v>40.9</v>
      </c>
      <c r="S503" s="56">
        <v>40.9</v>
      </c>
      <c r="T503" s="56">
        <f>_xlfn.XLOOKUP($N503,'Calculo Leads'!$A$97:$A$134,'Calculo Leads'!G$97:G$134)*_xlfn.XLOOKUP($P503,'Base Grupo de Produtos'!$E$2:$E$18,'Base Grupo de Produtos'!$F$2:$F$18)</f>
        <v>350.00000000000006</v>
      </c>
      <c r="U503" s="56">
        <f>_xlfn.XLOOKUP($N503,'Calculo Leads'!$A$97:$A$134,'Calculo Leads'!H$97:H$134)*_xlfn.XLOOKUP($P503,'Base Grupo de Produtos'!$E$2:$E$18,'Base Grupo de Produtos'!$F$2:$F$18)</f>
        <v>420.00000000000006</v>
      </c>
      <c r="V503" s="56">
        <f>_xlfn.XLOOKUP($N503,'Calculo Leads'!$A$97:$A$134,'Calculo Leads'!I$97:I$134)*_xlfn.XLOOKUP($P503,'Base Grupo de Produtos'!$E$2:$E$18,'Base Grupo de Produtos'!$F$2:$F$18)</f>
        <v>490.00000000000006</v>
      </c>
      <c r="W503" s="56">
        <f>_xlfn.XLOOKUP($N503,'Calculo Leads'!$A$97:$A$134,'Calculo Leads'!J$97:J$134)*_xlfn.XLOOKUP($P503,'Base Grupo de Produtos'!$E$2:$E$18,'Base Grupo de Produtos'!$F$2:$F$18)</f>
        <v>630.00000000000011</v>
      </c>
      <c r="X503" s="56">
        <f>_xlfn.XLOOKUP($N503,'Calculo Leads'!$A$97:$A$134,'Calculo Leads'!K$97:K$134)*_xlfn.XLOOKUP($P503,'Base Grupo de Produtos'!$E$2:$E$18,'Base Grupo de Produtos'!$F$2:$F$18)</f>
        <v>770.00000000000011</v>
      </c>
      <c r="Y503" s="56">
        <f>_xlfn.XLOOKUP($N503,'Calculo Leads'!$A$97:$A$134,'Calculo Leads'!L$97:L$134)*_xlfn.XLOOKUP($P503,'Base Grupo de Produtos'!$E$2:$E$18,'Base Grupo de Produtos'!$F$2:$F$18)</f>
        <v>924.00000000000011</v>
      </c>
      <c r="Z503" s="56">
        <f>_xlfn.XLOOKUP($N503,'Calculo Leads'!$A$97:$A$134,'Calculo Leads'!M$97:M$134)*_xlfn.XLOOKUP($P503,'Base Grupo de Produtos'!$E$2:$E$18,'Base Grupo de Produtos'!$F$2:$F$18)</f>
        <v>1001.0000000000001</v>
      </c>
      <c r="AA503" s="56">
        <f>_xlfn.XLOOKUP($N503,'Calculo Leads'!$A$97:$A$134,'Calculo Leads'!N$97:N$134)*_xlfn.XLOOKUP($P503,'Base Grupo de Produtos'!$E$2:$E$18,'Base Grupo de Produtos'!$F$2:$F$18)</f>
        <v>1155</v>
      </c>
      <c r="AB503" s="56">
        <f>_xlfn.XLOOKUP($N503,'Calculo Leads'!$A$97:$A$134,'Calculo Leads'!O$97:O$134)*_xlfn.XLOOKUP($P503,'Base Grupo de Produtos'!$E$2:$E$18,'Base Grupo de Produtos'!$F$2:$F$18)</f>
        <v>770.00000000000011</v>
      </c>
      <c r="AC503" s="61">
        <f t="shared" si="499"/>
        <v>6510.0000000000009</v>
      </c>
      <c r="AD503" s="27">
        <f t="shared" si="536"/>
        <v>6510.0000000000009</v>
      </c>
      <c r="AE503" s="25">
        <f>IFERROR(_xlfn.XLOOKUP(N503&amp;P503,'Historico Vendas'!G:G,'Historico Vendas'!E:E),0)</f>
        <v>0</v>
      </c>
      <c r="AF503" s="29" t="str">
        <f t="shared" si="539"/>
        <v/>
      </c>
      <c r="AG503" s="24">
        <f>IFERROR(_xlfn.XLOOKUP(N503&amp;P503,'Historico Vendas'!G:G,'Historico Vendas'!F:F),0)</f>
        <v>0</v>
      </c>
      <c r="AH503" s="25">
        <f t="shared" si="537"/>
        <v>81.8</v>
      </c>
      <c r="AI503" s="24">
        <f t="shared" si="538"/>
        <v>81.8</v>
      </c>
      <c r="AJ503" s="11">
        <f t="shared" si="483"/>
        <v>0</v>
      </c>
      <c r="AK503" s="9" t="s">
        <v>102</v>
      </c>
      <c r="AL503" s="13">
        <f>IFERROR(INDEX('Balizador da Meta'!$D$3:$F$23,MATCH(Faturamento!$P503,'Balizador da Meta'!$C$3:$C$23,0),MATCH(Faturamento!AK503,'Balizador da Meta'!$D$2:$F$2,0)),"")</f>
        <v>0</v>
      </c>
      <c r="AM503" s="9"/>
    </row>
    <row r="504" spans="1:39" x14ac:dyDescent="0.3">
      <c r="A504" s="2" t="str">
        <f t="shared" si="540"/>
        <v>NÃO</v>
      </c>
      <c r="B504" s="2" t="str">
        <f>_xlfn.XLOOKUP($N504,'Base de Grupos'!$A:$A,'Base de Grupos'!$D:$D)</f>
        <v>1000065763</v>
      </c>
      <c r="C504" s="5" t="str">
        <f>_xlfn.XLOOKUP($N504,'Base de Grupos'!$A:$A,'Base de Grupos'!$E:$E)</f>
        <v>CANAL VENDA INTERNA</v>
      </c>
      <c r="D504" s="5" t="str">
        <f>_xlfn.XLOOKUP($N504,'Base de Grupos'!$A:$A,'Base de Grupos'!$F:$F)</f>
        <v>1000065763</v>
      </c>
      <c r="E504" s="2" t="str">
        <f>_xlfn.XLOOKUP($N504,'Base de Grupos'!$A:$A,'Base de Grupos'!$G:$G)</f>
        <v>CANAL VENDA INTERNA</v>
      </c>
      <c r="F504" s="2" t="str">
        <f>_xlfn.XLOOKUP($N504,'Base de Grupos'!$A:$A,'Base de Grupos'!$H:$H)</f>
        <v>1000153245</v>
      </c>
      <c r="G504" s="5" t="str">
        <f>_xlfn.XLOOKUP($N504,'Base de Grupos'!$A:$A,'Base de Grupos'!$I:$I)</f>
        <v>REGIONAL VENDA INTERNA - KEY ACCOUNT</v>
      </c>
      <c r="H504" s="5" t="str">
        <f>_xlfn.XLOOKUP($N504,'Base de Grupos'!$A:$A,'Base de Grupos'!$J:$J)</f>
        <v>1000153245</v>
      </c>
      <c r="I504" s="2" t="str">
        <f>_xlfn.XLOOKUP($N504,'Base de Grupos'!$A:$A,'Base de Grupos'!$K:$K)</f>
        <v>REGIONAL VENDA INTERNA - KEY ACCOUNT</v>
      </c>
      <c r="J504" s="2" t="str">
        <f>_xlfn.XLOOKUP($N504,'Base de Grupos'!$A:$A,'Base de Grupos'!$L:$L)</f>
        <v>1000153245</v>
      </c>
      <c r="K504" s="5" t="str">
        <f>_xlfn.XLOOKUP($N504,'Base de Grupos'!$A:$A,'Base de Grupos'!$M:$M)</f>
        <v>REGIONAL VENDA INTERNA - KEY ACCOUNT</v>
      </c>
      <c r="L504" s="5" t="str">
        <f t="shared" si="541"/>
        <v/>
      </c>
      <c r="M504" s="5" t="str">
        <f>_xlfn.XLOOKUP($N504,'Base de Grupos'!$A:$A,'Base de Grupos'!$C:$C)</f>
        <v>SC</v>
      </c>
      <c r="N504" s="3">
        <v>1427</v>
      </c>
      <c r="O504" s="4" t="s">
        <v>251</v>
      </c>
      <c r="P504" s="5" t="s">
        <v>94</v>
      </c>
      <c r="Q504" s="56">
        <v>0</v>
      </c>
      <c r="R504" s="56">
        <v>1470.3095435684643</v>
      </c>
      <c r="S504" s="56">
        <v>1470.3095435684643</v>
      </c>
      <c r="T504" s="56">
        <f>_xlfn.XLOOKUP($N504,'Calculo Leads'!$A$97:$A$134,'Calculo Leads'!G$97:G$134)*_xlfn.XLOOKUP($P504,'Base Grupo de Produtos'!$E$2:$E$18,'Base Grupo de Produtos'!$F$2:$F$18)</f>
        <v>249.99999999999997</v>
      </c>
      <c r="U504" s="56">
        <f>_xlfn.XLOOKUP($N504,'Calculo Leads'!$A$97:$A$134,'Calculo Leads'!H$97:H$134)*_xlfn.XLOOKUP($P504,'Base Grupo de Produtos'!$E$2:$E$18,'Base Grupo de Produtos'!$F$2:$F$18)</f>
        <v>300</v>
      </c>
      <c r="V504" s="56">
        <f>_xlfn.XLOOKUP($N504,'Calculo Leads'!$A$97:$A$134,'Calculo Leads'!I$97:I$134)*_xlfn.XLOOKUP($P504,'Base Grupo de Produtos'!$E$2:$E$18,'Base Grupo de Produtos'!$F$2:$F$18)</f>
        <v>349.99999999999994</v>
      </c>
      <c r="W504" s="56">
        <f>_xlfn.XLOOKUP($N504,'Calculo Leads'!$A$97:$A$134,'Calculo Leads'!J$97:J$134)*_xlfn.XLOOKUP($P504,'Base Grupo de Produtos'!$E$2:$E$18,'Base Grupo de Produtos'!$F$2:$F$18)</f>
        <v>449.99999999999994</v>
      </c>
      <c r="X504" s="56">
        <f>_xlfn.XLOOKUP($N504,'Calculo Leads'!$A$97:$A$134,'Calculo Leads'!K$97:K$134)*_xlfn.XLOOKUP($P504,'Base Grupo de Produtos'!$E$2:$E$18,'Base Grupo de Produtos'!$F$2:$F$18)</f>
        <v>550</v>
      </c>
      <c r="Y504" s="56">
        <f>_xlfn.XLOOKUP($N504,'Calculo Leads'!$A$97:$A$134,'Calculo Leads'!L$97:L$134)*_xlfn.XLOOKUP($P504,'Base Grupo de Produtos'!$E$2:$E$18,'Base Grupo de Produtos'!$F$2:$F$18)</f>
        <v>660</v>
      </c>
      <c r="Z504" s="56">
        <f>_xlfn.XLOOKUP($N504,'Calculo Leads'!$A$97:$A$134,'Calculo Leads'!M$97:M$134)*_xlfn.XLOOKUP($P504,'Base Grupo de Produtos'!$E$2:$E$18,'Base Grupo de Produtos'!$F$2:$F$18)</f>
        <v>714.99999999999989</v>
      </c>
      <c r="AA504" s="56">
        <f>_xlfn.XLOOKUP($N504,'Calculo Leads'!$A$97:$A$134,'Calculo Leads'!N$97:N$134)*_xlfn.XLOOKUP($P504,'Base Grupo de Produtos'!$E$2:$E$18,'Base Grupo de Produtos'!$F$2:$F$18)</f>
        <v>824.99999999999989</v>
      </c>
      <c r="AB504" s="56">
        <f>_xlfn.XLOOKUP($N504,'Calculo Leads'!$A$97:$A$134,'Calculo Leads'!O$97:O$134)*_xlfn.XLOOKUP($P504,'Base Grupo de Produtos'!$E$2:$E$18,'Base Grupo de Produtos'!$F$2:$F$18)</f>
        <v>550</v>
      </c>
      <c r="AC504" s="61">
        <f t="shared" si="499"/>
        <v>4650</v>
      </c>
      <c r="AD504" s="27">
        <f t="shared" si="536"/>
        <v>4650</v>
      </c>
      <c r="AE504" s="25">
        <f>IFERROR(_xlfn.XLOOKUP(N504&amp;P504,'Historico Vendas'!G:G,'Historico Vendas'!E:E),0)</f>
        <v>0</v>
      </c>
      <c r="AF504" s="29" t="str">
        <f t="shared" si="539"/>
        <v/>
      </c>
      <c r="AG504" s="24">
        <f>IFERROR(_xlfn.XLOOKUP(N504&amp;P504,'Historico Vendas'!G:G,'Historico Vendas'!F:F),0)</f>
        <v>0</v>
      </c>
      <c r="AH504" s="25">
        <f t="shared" si="537"/>
        <v>2940.6190871369286</v>
      </c>
      <c r="AI504" s="24">
        <f t="shared" si="538"/>
        <v>2940.6190871369286</v>
      </c>
      <c r="AJ504" s="11">
        <f t="shared" si="483"/>
        <v>0</v>
      </c>
      <c r="AK504" s="9" t="s">
        <v>102</v>
      </c>
      <c r="AL504" s="13">
        <f>IFERROR(INDEX('Balizador da Meta'!$D$3:$F$23,MATCH(Faturamento!$P504,'Balizador da Meta'!$C$3:$C$23,0),MATCH(Faturamento!AK504,'Balizador da Meta'!$D$2:$F$2,0)),"")</f>
        <v>0.25</v>
      </c>
      <c r="AM504" s="9"/>
    </row>
    <row r="505" spans="1:39" x14ac:dyDescent="0.3">
      <c r="A505" s="2" t="str">
        <f t="shared" si="540"/>
        <v>NÃO</v>
      </c>
      <c r="B505" s="2" t="str">
        <f>_xlfn.XLOOKUP($N505,'Base de Grupos'!$A:$A,'Base de Grupos'!$D:$D)</f>
        <v>1000065763</v>
      </c>
      <c r="C505" s="5" t="str">
        <f>_xlfn.XLOOKUP($N505,'Base de Grupos'!$A:$A,'Base de Grupos'!$E:$E)</f>
        <v>CANAL VENDA INTERNA</v>
      </c>
      <c r="D505" s="5" t="str">
        <f>_xlfn.XLOOKUP($N505,'Base de Grupos'!$A:$A,'Base de Grupos'!$F:$F)</f>
        <v>1000065763</v>
      </c>
      <c r="E505" s="2" t="str">
        <f>_xlfn.XLOOKUP($N505,'Base de Grupos'!$A:$A,'Base de Grupos'!$G:$G)</f>
        <v>CANAL VENDA INTERNA</v>
      </c>
      <c r="F505" s="2" t="str">
        <f>_xlfn.XLOOKUP($N505,'Base de Grupos'!$A:$A,'Base de Grupos'!$H:$H)</f>
        <v>1000153245</v>
      </c>
      <c r="G505" s="5" t="str">
        <f>_xlfn.XLOOKUP($N505,'Base de Grupos'!$A:$A,'Base de Grupos'!$I:$I)</f>
        <v>REGIONAL VENDA INTERNA - KEY ACCOUNT</v>
      </c>
      <c r="H505" s="5" t="str">
        <f>_xlfn.XLOOKUP($N505,'Base de Grupos'!$A:$A,'Base de Grupos'!$J:$J)</f>
        <v>1000153245</v>
      </c>
      <c r="I505" s="2" t="str">
        <f>_xlfn.XLOOKUP($N505,'Base de Grupos'!$A:$A,'Base de Grupos'!$K:$K)</f>
        <v>REGIONAL VENDA INTERNA - KEY ACCOUNT</v>
      </c>
      <c r="J505" s="2" t="str">
        <f>_xlfn.XLOOKUP($N505,'Base de Grupos'!$A:$A,'Base de Grupos'!$L:$L)</f>
        <v>1000153245</v>
      </c>
      <c r="K505" s="5" t="str">
        <f>_xlfn.XLOOKUP($N505,'Base de Grupos'!$A:$A,'Base de Grupos'!$M:$M)</f>
        <v>REGIONAL VENDA INTERNA - KEY ACCOUNT</v>
      </c>
      <c r="L505" s="5" t="str">
        <f t="shared" si="541"/>
        <v/>
      </c>
      <c r="M505" s="5" t="str">
        <f>_xlfn.XLOOKUP($N505,'Base de Grupos'!$A:$A,'Base de Grupos'!$C:$C)</f>
        <v>SC</v>
      </c>
      <c r="N505" s="3">
        <v>1427</v>
      </c>
      <c r="O505" s="4" t="s">
        <v>251</v>
      </c>
      <c r="P505" s="5" t="s">
        <v>95</v>
      </c>
      <c r="Q505" s="56">
        <v>0</v>
      </c>
      <c r="R505" s="56">
        <v>2302.1240000000003</v>
      </c>
      <c r="S505" s="56">
        <v>2616.0500000000002</v>
      </c>
      <c r="T505" s="56">
        <f>_xlfn.XLOOKUP($N505,'Calculo Leads'!$A$97:$A$134,'Calculo Leads'!G$97:G$134)*_xlfn.XLOOKUP($P505,'Base Grupo de Produtos'!$E$2:$E$18,'Base Grupo de Produtos'!$F$2:$F$18)</f>
        <v>400</v>
      </c>
      <c r="U505" s="56">
        <f>_xlfn.XLOOKUP($N505,'Calculo Leads'!$A$97:$A$134,'Calculo Leads'!H$97:H$134)*_xlfn.XLOOKUP($P505,'Base Grupo de Produtos'!$E$2:$E$18,'Base Grupo de Produtos'!$F$2:$F$18)</f>
        <v>480</v>
      </c>
      <c r="V505" s="56">
        <f>_xlfn.XLOOKUP($N505,'Calculo Leads'!$A$97:$A$134,'Calculo Leads'!I$97:I$134)*_xlfn.XLOOKUP($P505,'Base Grupo de Produtos'!$E$2:$E$18,'Base Grupo de Produtos'!$F$2:$F$18)</f>
        <v>560</v>
      </c>
      <c r="W505" s="56">
        <f>_xlfn.XLOOKUP($N505,'Calculo Leads'!$A$97:$A$134,'Calculo Leads'!J$97:J$134)*_xlfn.XLOOKUP($P505,'Base Grupo de Produtos'!$E$2:$E$18,'Base Grupo de Produtos'!$F$2:$F$18)</f>
        <v>720</v>
      </c>
      <c r="X505" s="56">
        <f>_xlfn.XLOOKUP($N505,'Calculo Leads'!$A$97:$A$134,'Calculo Leads'!K$97:K$134)*_xlfn.XLOOKUP($P505,'Base Grupo de Produtos'!$E$2:$E$18,'Base Grupo de Produtos'!$F$2:$F$18)</f>
        <v>880</v>
      </c>
      <c r="Y505" s="56">
        <f>_xlfn.XLOOKUP($N505,'Calculo Leads'!$A$97:$A$134,'Calculo Leads'!L$97:L$134)*_xlfn.XLOOKUP($P505,'Base Grupo de Produtos'!$E$2:$E$18,'Base Grupo de Produtos'!$F$2:$F$18)</f>
        <v>1056</v>
      </c>
      <c r="Z505" s="56">
        <f>_xlfn.XLOOKUP($N505,'Calculo Leads'!$A$97:$A$134,'Calculo Leads'!M$97:M$134)*_xlfn.XLOOKUP($P505,'Base Grupo de Produtos'!$E$2:$E$18,'Base Grupo de Produtos'!$F$2:$F$18)</f>
        <v>1144</v>
      </c>
      <c r="AA505" s="56">
        <f>_xlfn.XLOOKUP($N505,'Calculo Leads'!$A$97:$A$134,'Calculo Leads'!N$97:N$134)*_xlfn.XLOOKUP($P505,'Base Grupo de Produtos'!$E$2:$E$18,'Base Grupo de Produtos'!$F$2:$F$18)</f>
        <v>1320</v>
      </c>
      <c r="AB505" s="56">
        <f>_xlfn.XLOOKUP($N505,'Calculo Leads'!$A$97:$A$134,'Calculo Leads'!O$97:O$134)*_xlfn.XLOOKUP($P505,'Base Grupo de Produtos'!$E$2:$E$18,'Base Grupo de Produtos'!$F$2:$F$18)</f>
        <v>880</v>
      </c>
      <c r="AC505" s="61">
        <f t="shared" si="499"/>
        <v>7440</v>
      </c>
      <c r="AD505" s="27">
        <f t="shared" si="536"/>
        <v>7440</v>
      </c>
      <c r="AE505" s="25">
        <f>IFERROR(_xlfn.XLOOKUP(N505&amp;P505,'Historico Vendas'!G:G,'Historico Vendas'!E:E),0)</f>
        <v>0</v>
      </c>
      <c r="AF505" s="29" t="str">
        <f t="shared" si="539"/>
        <v/>
      </c>
      <c r="AG505" s="24">
        <f>IFERROR(_xlfn.XLOOKUP(N505&amp;P505,'Historico Vendas'!G:G,'Historico Vendas'!F:F),0)</f>
        <v>0</v>
      </c>
      <c r="AH505" s="25">
        <f t="shared" si="537"/>
        <v>4918.1740000000009</v>
      </c>
      <c r="AI505" s="24">
        <f t="shared" si="538"/>
        <v>4918.1740000000009</v>
      </c>
      <c r="AJ505" s="11">
        <f t="shared" ref="AJ505:AJ568" si="542">IFERROR(AG505/AH505,"")</f>
        <v>0</v>
      </c>
      <c r="AK505" s="9" t="s">
        <v>102</v>
      </c>
      <c r="AL505" s="13">
        <f>IFERROR(INDEX('Balizador da Meta'!$D$3:$F$23,MATCH(Faturamento!$P505,'Balizador da Meta'!$C$3:$C$23,0),MATCH(Faturamento!AK505,'Balizador da Meta'!$D$2:$F$2,0)),"")</f>
        <v>0.25</v>
      </c>
      <c r="AM505" s="9"/>
    </row>
    <row r="506" spans="1:39" x14ac:dyDescent="0.3">
      <c r="A506" s="2" t="str">
        <f t="shared" si="540"/>
        <v>NÃO</v>
      </c>
      <c r="B506" s="2" t="str">
        <f>_xlfn.XLOOKUP($N506,'Base de Grupos'!$A:$A,'Base de Grupos'!$D:$D)</f>
        <v>1000065763</v>
      </c>
      <c r="C506" s="5" t="str">
        <f>_xlfn.XLOOKUP($N506,'Base de Grupos'!$A:$A,'Base de Grupos'!$E:$E)</f>
        <v>CANAL VENDA INTERNA</v>
      </c>
      <c r="D506" s="5" t="str">
        <f>_xlfn.XLOOKUP($N506,'Base de Grupos'!$A:$A,'Base de Grupos'!$F:$F)</f>
        <v>1000065763</v>
      </c>
      <c r="E506" s="2" t="str">
        <f>_xlfn.XLOOKUP($N506,'Base de Grupos'!$A:$A,'Base de Grupos'!$G:$G)</f>
        <v>CANAL VENDA INTERNA</v>
      </c>
      <c r="F506" s="2" t="str">
        <f>_xlfn.XLOOKUP($N506,'Base de Grupos'!$A:$A,'Base de Grupos'!$H:$H)</f>
        <v>1000153245</v>
      </c>
      <c r="G506" s="5" t="str">
        <f>_xlfn.XLOOKUP($N506,'Base de Grupos'!$A:$A,'Base de Grupos'!$I:$I)</f>
        <v>REGIONAL VENDA INTERNA - KEY ACCOUNT</v>
      </c>
      <c r="H506" s="5" t="str">
        <f>_xlfn.XLOOKUP($N506,'Base de Grupos'!$A:$A,'Base de Grupos'!$J:$J)</f>
        <v>1000153245</v>
      </c>
      <c r="I506" s="2" t="str">
        <f>_xlfn.XLOOKUP($N506,'Base de Grupos'!$A:$A,'Base de Grupos'!$K:$K)</f>
        <v>REGIONAL VENDA INTERNA - KEY ACCOUNT</v>
      </c>
      <c r="J506" s="2" t="str">
        <f>_xlfn.XLOOKUP($N506,'Base de Grupos'!$A:$A,'Base de Grupos'!$L:$L)</f>
        <v>1000153245</v>
      </c>
      <c r="K506" s="5" t="str">
        <f>_xlfn.XLOOKUP($N506,'Base de Grupos'!$A:$A,'Base de Grupos'!$M:$M)</f>
        <v>REGIONAL VENDA INTERNA - KEY ACCOUNT</v>
      </c>
      <c r="L506" s="5" t="str">
        <f t="shared" si="541"/>
        <v/>
      </c>
      <c r="M506" s="5" t="str">
        <f>_xlfn.XLOOKUP($N506,'Base de Grupos'!$A:$A,'Base de Grupos'!$C:$C)</f>
        <v>SC</v>
      </c>
      <c r="N506" s="3">
        <v>1427</v>
      </c>
      <c r="O506" s="4" t="s">
        <v>251</v>
      </c>
      <c r="P506" s="5" t="s">
        <v>93</v>
      </c>
      <c r="Q506" s="56">
        <v>0</v>
      </c>
      <c r="R506" s="56">
        <v>585.97440000000006</v>
      </c>
      <c r="S506" s="56">
        <v>585.97440000000006</v>
      </c>
      <c r="T506" s="56">
        <f>_xlfn.XLOOKUP($N506,'Calculo Leads'!$A$97:$A$134,'Calculo Leads'!G$97:G$134)*_xlfn.XLOOKUP($P506,'Base Grupo de Produtos'!$E$2:$E$18,'Base Grupo de Produtos'!$F$2:$F$18)</f>
        <v>150</v>
      </c>
      <c r="U506" s="56">
        <f>_xlfn.XLOOKUP($N506,'Calculo Leads'!$A$97:$A$134,'Calculo Leads'!H$97:H$134)*_xlfn.XLOOKUP($P506,'Base Grupo de Produtos'!$E$2:$E$18,'Base Grupo de Produtos'!$F$2:$F$18)</f>
        <v>180</v>
      </c>
      <c r="V506" s="56">
        <f>_xlfn.XLOOKUP($N506,'Calculo Leads'!$A$97:$A$134,'Calculo Leads'!I$97:I$134)*_xlfn.XLOOKUP($P506,'Base Grupo de Produtos'!$E$2:$E$18,'Base Grupo de Produtos'!$F$2:$F$18)</f>
        <v>210</v>
      </c>
      <c r="W506" s="56">
        <f>_xlfn.XLOOKUP($N506,'Calculo Leads'!$A$97:$A$134,'Calculo Leads'!J$97:J$134)*_xlfn.XLOOKUP($P506,'Base Grupo de Produtos'!$E$2:$E$18,'Base Grupo de Produtos'!$F$2:$F$18)</f>
        <v>270</v>
      </c>
      <c r="X506" s="56">
        <f>_xlfn.XLOOKUP($N506,'Calculo Leads'!$A$97:$A$134,'Calculo Leads'!K$97:K$134)*_xlfn.XLOOKUP($P506,'Base Grupo de Produtos'!$E$2:$E$18,'Base Grupo de Produtos'!$F$2:$F$18)</f>
        <v>330</v>
      </c>
      <c r="Y506" s="56">
        <f>_xlfn.XLOOKUP($N506,'Calculo Leads'!$A$97:$A$134,'Calculo Leads'!L$97:L$134)*_xlfn.XLOOKUP($P506,'Base Grupo de Produtos'!$E$2:$E$18,'Base Grupo de Produtos'!$F$2:$F$18)</f>
        <v>396</v>
      </c>
      <c r="Z506" s="56">
        <f>_xlfn.XLOOKUP($N506,'Calculo Leads'!$A$97:$A$134,'Calculo Leads'!M$97:M$134)*_xlfn.XLOOKUP($P506,'Base Grupo de Produtos'!$E$2:$E$18,'Base Grupo de Produtos'!$F$2:$F$18)</f>
        <v>429</v>
      </c>
      <c r="AA506" s="56">
        <f>_xlfn.XLOOKUP($N506,'Calculo Leads'!$A$97:$A$134,'Calculo Leads'!N$97:N$134)*_xlfn.XLOOKUP($P506,'Base Grupo de Produtos'!$E$2:$E$18,'Base Grupo de Produtos'!$F$2:$F$18)</f>
        <v>495</v>
      </c>
      <c r="AB506" s="56">
        <f>_xlfn.XLOOKUP($N506,'Calculo Leads'!$A$97:$A$134,'Calculo Leads'!O$97:O$134)*_xlfn.XLOOKUP($P506,'Base Grupo de Produtos'!$E$2:$E$18,'Base Grupo de Produtos'!$F$2:$F$18)</f>
        <v>330</v>
      </c>
      <c r="AC506" s="61">
        <f t="shared" si="499"/>
        <v>2790</v>
      </c>
      <c r="AD506" s="27">
        <f t="shared" si="536"/>
        <v>2790</v>
      </c>
      <c r="AE506" s="25">
        <f>IFERROR(_xlfn.XLOOKUP(N506&amp;P506,'Historico Vendas'!G:G,'Historico Vendas'!E:E),0)</f>
        <v>0</v>
      </c>
      <c r="AF506" s="29" t="str">
        <f t="shared" si="539"/>
        <v/>
      </c>
      <c r="AG506" s="24">
        <f>IFERROR(_xlfn.XLOOKUP(N506&amp;P506,'Historico Vendas'!G:G,'Historico Vendas'!F:F),0)</f>
        <v>0</v>
      </c>
      <c r="AH506" s="25">
        <f t="shared" si="537"/>
        <v>1171.9488000000001</v>
      </c>
      <c r="AI506" s="24">
        <f t="shared" si="538"/>
        <v>1171.9488000000001</v>
      </c>
      <c r="AJ506" s="11">
        <f t="shared" si="542"/>
        <v>0</v>
      </c>
      <c r="AK506" s="9" t="s">
        <v>102</v>
      </c>
      <c r="AL506" s="13">
        <f>IFERROR(INDEX('Balizador da Meta'!$D$3:$F$23,MATCH(Faturamento!$P506,'Balizador da Meta'!$C$3:$C$23,0),MATCH(Faturamento!AK506,'Balizador da Meta'!$D$2:$F$2,0)),"")</f>
        <v>0.2</v>
      </c>
      <c r="AM506" s="9"/>
    </row>
    <row r="507" spans="1:39" x14ac:dyDescent="0.3">
      <c r="A507" s="2" t="str">
        <f t="shared" si="540"/>
        <v>SIM</v>
      </c>
      <c r="B507" s="2" t="str">
        <f>_xlfn.XLOOKUP($N507,'Base de Grupos'!$A:$A,'Base de Grupos'!$D:$D)</f>
        <v>1000065763</v>
      </c>
      <c r="C507" s="5" t="str">
        <f>_xlfn.XLOOKUP($N507,'Base de Grupos'!$A:$A,'Base de Grupos'!$E:$E)</f>
        <v>CANAL VENDA INTERNA</v>
      </c>
      <c r="D507" s="5" t="str">
        <f>_xlfn.XLOOKUP($N507,'Base de Grupos'!$A:$A,'Base de Grupos'!$F:$F)</f>
        <v>1000065763</v>
      </c>
      <c r="E507" s="2" t="str">
        <f>_xlfn.XLOOKUP($N507,'Base de Grupos'!$A:$A,'Base de Grupos'!$G:$G)</f>
        <v>CANAL VENDA INTERNA</v>
      </c>
      <c r="F507" s="2" t="str">
        <f>_xlfn.XLOOKUP($N507,'Base de Grupos'!$A:$A,'Base de Grupos'!$H:$H)</f>
        <v>1000153245</v>
      </c>
      <c r="G507" s="5" t="str">
        <f>_xlfn.XLOOKUP($N507,'Base de Grupos'!$A:$A,'Base de Grupos'!$I:$I)</f>
        <v>REGIONAL VENDA INTERNA - KEY ACCOUNT</v>
      </c>
      <c r="H507" s="5" t="str">
        <f>_xlfn.XLOOKUP($N507,'Base de Grupos'!$A:$A,'Base de Grupos'!$J:$J)</f>
        <v>1000153245</v>
      </c>
      <c r="I507" s="2" t="str">
        <f>_xlfn.XLOOKUP($N507,'Base de Grupos'!$A:$A,'Base de Grupos'!$K:$K)</f>
        <v>REGIONAL VENDA INTERNA - KEY ACCOUNT</v>
      </c>
      <c r="J507" s="2" t="str">
        <f>_xlfn.XLOOKUP($N507,'Base de Grupos'!$A:$A,'Base de Grupos'!$L:$L)</f>
        <v>1000153245</v>
      </c>
      <c r="K507" s="5" t="str">
        <f>_xlfn.XLOOKUP($N507,'Base de Grupos'!$A:$A,'Base de Grupos'!$M:$M)</f>
        <v>REGIONAL VENDA INTERNA - KEY ACCOUNT</v>
      </c>
      <c r="L507" s="5">
        <f t="shared" si="541"/>
        <v>1</v>
      </c>
      <c r="M507" s="5" t="str">
        <f>_xlfn.XLOOKUP($N507,'Base de Grupos'!$A:$A,'Base de Grupos'!$C:$C)</f>
        <v>PR</v>
      </c>
      <c r="N507" s="3">
        <v>1428</v>
      </c>
      <c r="O507" s="4" t="s">
        <v>252</v>
      </c>
      <c r="P507" s="5" t="s">
        <v>322</v>
      </c>
      <c r="Q507" s="56">
        <f t="shared" ref="Q507" si="543">SUM(Q508:Q524)</f>
        <v>0</v>
      </c>
      <c r="R507" s="56">
        <f t="shared" ref="R507" si="544">SUM(R508:R524)</f>
        <v>10568.294327098127</v>
      </c>
      <c r="S507" s="56">
        <f t="shared" ref="S507" si="545">SUM(S508:S524)</f>
        <v>12029.078970466311</v>
      </c>
      <c r="T507" s="56">
        <f t="shared" ref="T507" si="546">SUM(T508:T524)</f>
        <v>1000</v>
      </c>
      <c r="U507" s="56">
        <f t="shared" ref="U507" si="547">SUM(U508:U524)</f>
        <v>1000</v>
      </c>
      <c r="V507" s="56">
        <f t="shared" ref="V507" si="548">SUM(V508:V524)</f>
        <v>1000</v>
      </c>
      <c r="W507" s="56">
        <f t="shared" ref="W507" si="549">SUM(W508:W524)</f>
        <v>1000</v>
      </c>
      <c r="X507" s="56">
        <f t="shared" ref="X507" si="550">SUM(X508:X524)</f>
        <v>1100</v>
      </c>
      <c r="Y507" s="56">
        <f t="shared" ref="Y507" si="551">SUM(Y508:Y524)</f>
        <v>1100</v>
      </c>
      <c r="Z507" s="56">
        <f t="shared" ref="Z507" si="552">SUM(Z508:Z524)</f>
        <v>1100</v>
      </c>
      <c r="AA507" s="56">
        <f t="shared" ref="AA507" si="553">SUM(AA508:AA524)</f>
        <v>2200</v>
      </c>
      <c r="AB507" s="56">
        <f t="shared" ref="AB507" si="554">SUM(AB508:AB524)</f>
        <v>1100</v>
      </c>
      <c r="AC507" s="56">
        <f t="shared" ref="AC507" si="555">SUM(AC508:AC524)</f>
        <v>10600</v>
      </c>
      <c r="AD507" s="25">
        <f t="shared" ref="AD507" si="556">SUM(AD508:AD524)</f>
        <v>10600</v>
      </c>
      <c r="AE507" s="25">
        <f t="shared" ref="AE507:AI507" si="557">SUM(AE508:AE524)</f>
        <v>0</v>
      </c>
      <c r="AF507" s="11" t="str">
        <f t="shared" si="539"/>
        <v/>
      </c>
      <c r="AG507" s="24">
        <f t="shared" si="557"/>
        <v>0</v>
      </c>
      <c r="AH507" s="25">
        <f t="shared" si="557"/>
        <v>22597.373297564438</v>
      </c>
      <c r="AI507" s="24">
        <f t="shared" si="557"/>
        <v>22597.373297564438</v>
      </c>
      <c r="AJ507" s="11">
        <f t="shared" si="542"/>
        <v>0</v>
      </c>
      <c r="AK507" s="9"/>
      <c r="AL507" s="13"/>
      <c r="AM507" s="9"/>
    </row>
    <row r="508" spans="1:39" x14ac:dyDescent="0.3">
      <c r="A508" s="2" t="str">
        <f t="shared" si="540"/>
        <v>NÃO</v>
      </c>
      <c r="B508" s="2" t="str">
        <f>_xlfn.XLOOKUP($N508,'Base de Grupos'!$A:$A,'Base de Grupos'!$D:$D)</f>
        <v>1000065763</v>
      </c>
      <c r="C508" s="5" t="str">
        <f>_xlfn.XLOOKUP($N508,'Base de Grupos'!$A:$A,'Base de Grupos'!$E:$E)</f>
        <v>CANAL VENDA INTERNA</v>
      </c>
      <c r="D508" s="5" t="str">
        <f>_xlfn.XLOOKUP($N508,'Base de Grupos'!$A:$A,'Base de Grupos'!$F:$F)</f>
        <v>1000065763</v>
      </c>
      <c r="E508" s="2" t="str">
        <f>_xlfn.XLOOKUP($N508,'Base de Grupos'!$A:$A,'Base de Grupos'!$G:$G)</f>
        <v>CANAL VENDA INTERNA</v>
      </c>
      <c r="F508" s="2" t="str">
        <f>_xlfn.XLOOKUP($N508,'Base de Grupos'!$A:$A,'Base de Grupos'!$H:$H)</f>
        <v>1000153245</v>
      </c>
      <c r="G508" s="5" t="str">
        <f>_xlfn.XLOOKUP($N508,'Base de Grupos'!$A:$A,'Base de Grupos'!$I:$I)</f>
        <v>REGIONAL VENDA INTERNA - KEY ACCOUNT</v>
      </c>
      <c r="H508" s="5" t="str">
        <f>_xlfn.XLOOKUP($N508,'Base de Grupos'!$A:$A,'Base de Grupos'!$J:$J)</f>
        <v>1000153245</v>
      </c>
      <c r="I508" s="2" t="str">
        <f>_xlfn.XLOOKUP($N508,'Base de Grupos'!$A:$A,'Base de Grupos'!$K:$K)</f>
        <v>REGIONAL VENDA INTERNA - KEY ACCOUNT</v>
      </c>
      <c r="J508" s="2" t="str">
        <f>_xlfn.XLOOKUP($N508,'Base de Grupos'!$A:$A,'Base de Grupos'!$L:$L)</f>
        <v>1000153245</v>
      </c>
      <c r="K508" s="5" t="str">
        <f>_xlfn.XLOOKUP($N508,'Base de Grupos'!$A:$A,'Base de Grupos'!$M:$M)</f>
        <v>REGIONAL VENDA INTERNA - KEY ACCOUNT</v>
      </c>
      <c r="L508" s="5" t="str">
        <f t="shared" si="541"/>
        <v/>
      </c>
      <c r="M508" s="5" t="str">
        <f>_xlfn.XLOOKUP($N508,'Base de Grupos'!$A:$A,'Base de Grupos'!$C:$C)</f>
        <v>PR</v>
      </c>
      <c r="N508" s="3">
        <v>1428</v>
      </c>
      <c r="O508" s="4" t="s">
        <v>252</v>
      </c>
      <c r="P508" s="5" t="s">
        <v>81</v>
      </c>
      <c r="Q508" s="56">
        <v>0</v>
      </c>
      <c r="R508" s="56">
        <v>404.3886056291048</v>
      </c>
      <c r="S508" s="56">
        <v>505.48575703638102</v>
      </c>
      <c r="T508" s="56">
        <f>_xlfn.XLOOKUP($N508,'Calculo Leads'!$A$97:$A$134,'Calculo Leads'!G$97:G$134)*_xlfn.XLOOKUP($P508,'Base Grupo de Produtos'!$E$2:$E$18,'Base Grupo de Produtos'!$F$2:$F$18)</f>
        <v>50</v>
      </c>
      <c r="U508" s="56">
        <f>_xlfn.XLOOKUP($N508,'Calculo Leads'!$A$97:$A$134,'Calculo Leads'!H$97:H$134)*_xlfn.XLOOKUP($P508,'Base Grupo de Produtos'!$E$2:$E$18,'Base Grupo de Produtos'!$F$2:$F$18)</f>
        <v>50</v>
      </c>
      <c r="V508" s="56">
        <f>_xlfn.XLOOKUP($N508,'Calculo Leads'!$A$97:$A$134,'Calculo Leads'!I$97:I$134)*_xlfn.XLOOKUP($P508,'Base Grupo de Produtos'!$E$2:$E$18,'Base Grupo de Produtos'!$F$2:$F$18)</f>
        <v>50</v>
      </c>
      <c r="W508" s="56">
        <f>_xlfn.XLOOKUP($N508,'Calculo Leads'!$A$97:$A$134,'Calculo Leads'!J$97:J$134)*_xlfn.XLOOKUP($P508,'Base Grupo de Produtos'!$E$2:$E$18,'Base Grupo de Produtos'!$F$2:$F$18)</f>
        <v>50</v>
      </c>
      <c r="X508" s="56">
        <f>_xlfn.XLOOKUP($N508,'Calculo Leads'!$A$97:$A$134,'Calculo Leads'!K$97:K$134)*_xlfn.XLOOKUP($P508,'Base Grupo de Produtos'!$E$2:$E$18,'Base Grupo de Produtos'!$F$2:$F$18)</f>
        <v>55</v>
      </c>
      <c r="Y508" s="56">
        <f>_xlfn.XLOOKUP($N508,'Calculo Leads'!$A$97:$A$134,'Calculo Leads'!L$97:L$134)*_xlfn.XLOOKUP($P508,'Base Grupo de Produtos'!$E$2:$E$18,'Base Grupo de Produtos'!$F$2:$F$18)</f>
        <v>55</v>
      </c>
      <c r="Z508" s="56">
        <f>_xlfn.XLOOKUP($N508,'Calculo Leads'!$A$97:$A$134,'Calculo Leads'!M$97:M$134)*_xlfn.XLOOKUP($P508,'Base Grupo de Produtos'!$E$2:$E$18,'Base Grupo de Produtos'!$F$2:$F$18)</f>
        <v>55</v>
      </c>
      <c r="AA508" s="56">
        <f>_xlfn.XLOOKUP($N508,'Calculo Leads'!$A$97:$A$134,'Calculo Leads'!N$97:N$134)*_xlfn.XLOOKUP($P508,'Base Grupo de Produtos'!$E$2:$E$18,'Base Grupo de Produtos'!$F$2:$F$18)</f>
        <v>110</v>
      </c>
      <c r="AB508" s="56">
        <f>_xlfn.XLOOKUP($N508,'Calculo Leads'!$A$97:$A$134,'Calculo Leads'!O$97:O$134)*_xlfn.XLOOKUP($P508,'Base Grupo de Produtos'!$E$2:$E$18,'Base Grupo de Produtos'!$F$2:$F$18)</f>
        <v>55</v>
      </c>
      <c r="AC508" s="61">
        <f t="shared" si="499"/>
        <v>530</v>
      </c>
      <c r="AD508" s="27">
        <f t="shared" ref="AD508:AD524" si="558">IF(AC508=0,0,AC508-AG508)</f>
        <v>530</v>
      </c>
      <c r="AE508" s="25">
        <f>IFERROR(_xlfn.XLOOKUP(N508&amp;P508,'Historico Vendas'!G:G,'Historico Vendas'!E:E),0)</f>
        <v>0</v>
      </c>
      <c r="AF508" s="29" t="str">
        <f t="shared" si="539"/>
        <v/>
      </c>
      <c r="AG508" s="24">
        <f>IFERROR(_xlfn.XLOOKUP(N508&amp;P508,'Historico Vendas'!G:G,'Historico Vendas'!F:F),0)</f>
        <v>0</v>
      </c>
      <c r="AH508" s="25">
        <f t="shared" ref="AH508:AH524" si="559">SUM(Q508:S508)</f>
        <v>909.87436266548582</v>
      </c>
      <c r="AI508" s="24">
        <f t="shared" ref="AI508:AI524" si="560">AH508-AG508</f>
        <v>909.87436266548582</v>
      </c>
      <c r="AJ508" s="11">
        <f t="shared" si="542"/>
        <v>0</v>
      </c>
      <c r="AK508" s="9" t="s">
        <v>102</v>
      </c>
      <c r="AL508" s="13">
        <f>IFERROR(INDEX('Balizador da Meta'!$D$3:$F$23,MATCH(Faturamento!$P508,'Balizador da Meta'!$C$3:$C$23,0),MATCH(Faturamento!AK508,'Balizador da Meta'!$D$2:$F$2,0)),"")</f>
        <v>0.2</v>
      </c>
      <c r="AM508" s="9"/>
    </row>
    <row r="509" spans="1:39" x14ac:dyDescent="0.3">
      <c r="A509" s="2" t="str">
        <f t="shared" si="540"/>
        <v>NÃO</v>
      </c>
      <c r="B509" s="2" t="str">
        <f>_xlfn.XLOOKUP($N509,'Base de Grupos'!$A:$A,'Base de Grupos'!$D:$D)</f>
        <v>1000065763</v>
      </c>
      <c r="C509" s="5" t="str">
        <f>_xlfn.XLOOKUP($N509,'Base de Grupos'!$A:$A,'Base de Grupos'!$E:$E)</f>
        <v>CANAL VENDA INTERNA</v>
      </c>
      <c r="D509" s="5" t="str">
        <f>_xlfn.XLOOKUP($N509,'Base de Grupos'!$A:$A,'Base de Grupos'!$F:$F)</f>
        <v>1000065763</v>
      </c>
      <c r="E509" s="2" t="str">
        <f>_xlfn.XLOOKUP($N509,'Base de Grupos'!$A:$A,'Base de Grupos'!$G:$G)</f>
        <v>CANAL VENDA INTERNA</v>
      </c>
      <c r="F509" s="2" t="str">
        <f>_xlfn.XLOOKUP($N509,'Base de Grupos'!$A:$A,'Base de Grupos'!$H:$H)</f>
        <v>1000153245</v>
      </c>
      <c r="G509" s="5" t="str">
        <f>_xlfn.XLOOKUP($N509,'Base de Grupos'!$A:$A,'Base de Grupos'!$I:$I)</f>
        <v>REGIONAL VENDA INTERNA - KEY ACCOUNT</v>
      </c>
      <c r="H509" s="5" t="str">
        <f>_xlfn.XLOOKUP($N509,'Base de Grupos'!$A:$A,'Base de Grupos'!$J:$J)</f>
        <v>1000153245</v>
      </c>
      <c r="I509" s="2" t="str">
        <f>_xlfn.XLOOKUP($N509,'Base de Grupos'!$A:$A,'Base de Grupos'!$K:$K)</f>
        <v>REGIONAL VENDA INTERNA - KEY ACCOUNT</v>
      </c>
      <c r="J509" s="2" t="str">
        <f>_xlfn.XLOOKUP($N509,'Base de Grupos'!$A:$A,'Base de Grupos'!$L:$L)</f>
        <v>1000153245</v>
      </c>
      <c r="K509" s="5" t="str">
        <f>_xlfn.XLOOKUP($N509,'Base de Grupos'!$A:$A,'Base de Grupos'!$M:$M)</f>
        <v>REGIONAL VENDA INTERNA - KEY ACCOUNT</v>
      </c>
      <c r="L509" s="5" t="str">
        <f t="shared" si="541"/>
        <v/>
      </c>
      <c r="M509" s="5" t="str">
        <f>_xlfn.XLOOKUP($N509,'Base de Grupos'!$A:$A,'Base de Grupos'!$C:$C)</f>
        <v>PR</v>
      </c>
      <c r="N509" s="3">
        <v>1428</v>
      </c>
      <c r="O509" s="4" t="s">
        <v>252</v>
      </c>
      <c r="P509" s="5" t="s">
        <v>82</v>
      </c>
      <c r="Q509" s="56">
        <v>0</v>
      </c>
      <c r="R509" s="56">
        <v>2462.0564928909953</v>
      </c>
      <c r="S509" s="56">
        <v>2872.3992417061613</v>
      </c>
      <c r="T509" s="56">
        <f>_xlfn.XLOOKUP($N509,'Calculo Leads'!$A$97:$A$134,'Calculo Leads'!G$97:G$134)*_xlfn.XLOOKUP($P509,'Base Grupo de Produtos'!$E$2:$E$18,'Base Grupo de Produtos'!$F$2:$F$18)</f>
        <v>50</v>
      </c>
      <c r="U509" s="56">
        <f>_xlfn.XLOOKUP($N509,'Calculo Leads'!$A$97:$A$134,'Calculo Leads'!H$97:H$134)*_xlfn.XLOOKUP($P509,'Base Grupo de Produtos'!$E$2:$E$18,'Base Grupo de Produtos'!$F$2:$F$18)</f>
        <v>50</v>
      </c>
      <c r="V509" s="56">
        <f>_xlfn.XLOOKUP($N509,'Calculo Leads'!$A$97:$A$134,'Calculo Leads'!I$97:I$134)*_xlfn.XLOOKUP($P509,'Base Grupo de Produtos'!$E$2:$E$18,'Base Grupo de Produtos'!$F$2:$F$18)</f>
        <v>50</v>
      </c>
      <c r="W509" s="56">
        <f>_xlfn.XLOOKUP($N509,'Calculo Leads'!$A$97:$A$134,'Calculo Leads'!J$97:J$134)*_xlfn.XLOOKUP($P509,'Base Grupo de Produtos'!$E$2:$E$18,'Base Grupo de Produtos'!$F$2:$F$18)</f>
        <v>50</v>
      </c>
      <c r="X509" s="56">
        <f>_xlfn.XLOOKUP($N509,'Calculo Leads'!$A$97:$A$134,'Calculo Leads'!K$97:K$134)*_xlfn.XLOOKUP($P509,'Base Grupo de Produtos'!$E$2:$E$18,'Base Grupo de Produtos'!$F$2:$F$18)</f>
        <v>55</v>
      </c>
      <c r="Y509" s="56">
        <f>_xlfn.XLOOKUP($N509,'Calculo Leads'!$A$97:$A$134,'Calculo Leads'!L$97:L$134)*_xlfn.XLOOKUP($P509,'Base Grupo de Produtos'!$E$2:$E$18,'Base Grupo de Produtos'!$F$2:$F$18)</f>
        <v>55</v>
      </c>
      <c r="Z509" s="56">
        <f>_xlfn.XLOOKUP($N509,'Calculo Leads'!$A$97:$A$134,'Calculo Leads'!M$97:M$134)*_xlfn.XLOOKUP($P509,'Base Grupo de Produtos'!$E$2:$E$18,'Base Grupo de Produtos'!$F$2:$F$18)</f>
        <v>55</v>
      </c>
      <c r="AA509" s="56">
        <f>_xlfn.XLOOKUP($N509,'Calculo Leads'!$A$97:$A$134,'Calculo Leads'!N$97:N$134)*_xlfn.XLOOKUP($P509,'Base Grupo de Produtos'!$E$2:$E$18,'Base Grupo de Produtos'!$F$2:$F$18)</f>
        <v>110</v>
      </c>
      <c r="AB509" s="56">
        <f>_xlfn.XLOOKUP($N509,'Calculo Leads'!$A$97:$A$134,'Calculo Leads'!O$97:O$134)*_xlfn.XLOOKUP($P509,'Base Grupo de Produtos'!$E$2:$E$18,'Base Grupo de Produtos'!$F$2:$F$18)</f>
        <v>55</v>
      </c>
      <c r="AC509" s="61">
        <f t="shared" si="499"/>
        <v>530</v>
      </c>
      <c r="AD509" s="27">
        <f t="shared" si="558"/>
        <v>530</v>
      </c>
      <c r="AE509" s="25">
        <f>IFERROR(_xlfn.XLOOKUP(N509&amp;P509,'Historico Vendas'!G:G,'Historico Vendas'!E:E),0)</f>
        <v>0</v>
      </c>
      <c r="AF509" s="29" t="str">
        <f t="shared" si="539"/>
        <v/>
      </c>
      <c r="AG509" s="24">
        <f>IFERROR(_xlfn.XLOOKUP(N509&amp;P509,'Historico Vendas'!G:G,'Historico Vendas'!F:F),0)</f>
        <v>0</v>
      </c>
      <c r="AH509" s="25">
        <f t="shared" si="559"/>
        <v>5334.4557345971571</v>
      </c>
      <c r="AI509" s="24">
        <f t="shared" si="560"/>
        <v>5334.4557345971571</v>
      </c>
      <c r="AJ509" s="11">
        <f t="shared" si="542"/>
        <v>0</v>
      </c>
      <c r="AK509" s="9" t="s">
        <v>102</v>
      </c>
      <c r="AL509" s="13">
        <f>IFERROR(INDEX('Balizador da Meta'!$D$3:$F$23,MATCH(Faturamento!$P509,'Balizador da Meta'!$C$3:$C$23,0),MATCH(Faturamento!AK509,'Balizador da Meta'!$D$2:$F$2,0)),"")</f>
        <v>0.2</v>
      </c>
      <c r="AM509" s="9"/>
    </row>
    <row r="510" spans="1:39" x14ac:dyDescent="0.3">
      <c r="A510" s="2" t="str">
        <f t="shared" si="540"/>
        <v>NÃO</v>
      </c>
      <c r="B510" s="2" t="str">
        <f>_xlfn.XLOOKUP($N510,'Base de Grupos'!$A:$A,'Base de Grupos'!$D:$D)</f>
        <v>1000065763</v>
      </c>
      <c r="C510" s="5" t="str">
        <f>_xlfn.XLOOKUP($N510,'Base de Grupos'!$A:$A,'Base de Grupos'!$E:$E)</f>
        <v>CANAL VENDA INTERNA</v>
      </c>
      <c r="D510" s="5" t="str">
        <f>_xlfn.XLOOKUP($N510,'Base de Grupos'!$A:$A,'Base de Grupos'!$F:$F)</f>
        <v>1000065763</v>
      </c>
      <c r="E510" s="2" t="str">
        <f>_xlfn.XLOOKUP($N510,'Base de Grupos'!$A:$A,'Base de Grupos'!$G:$G)</f>
        <v>CANAL VENDA INTERNA</v>
      </c>
      <c r="F510" s="2" t="str">
        <f>_xlfn.XLOOKUP($N510,'Base de Grupos'!$A:$A,'Base de Grupos'!$H:$H)</f>
        <v>1000153245</v>
      </c>
      <c r="G510" s="5" t="str">
        <f>_xlfn.XLOOKUP($N510,'Base de Grupos'!$A:$A,'Base de Grupos'!$I:$I)</f>
        <v>REGIONAL VENDA INTERNA - KEY ACCOUNT</v>
      </c>
      <c r="H510" s="5" t="str">
        <f>_xlfn.XLOOKUP($N510,'Base de Grupos'!$A:$A,'Base de Grupos'!$J:$J)</f>
        <v>1000153245</v>
      </c>
      <c r="I510" s="2" t="str">
        <f>_xlfn.XLOOKUP($N510,'Base de Grupos'!$A:$A,'Base de Grupos'!$K:$K)</f>
        <v>REGIONAL VENDA INTERNA - KEY ACCOUNT</v>
      </c>
      <c r="J510" s="2" t="str">
        <f>_xlfn.XLOOKUP($N510,'Base de Grupos'!$A:$A,'Base de Grupos'!$L:$L)</f>
        <v>1000153245</v>
      </c>
      <c r="K510" s="5" t="str">
        <f>_xlfn.XLOOKUP($N510,'Base de Grupos'!$A:$A,'Base de Grupos'!$M:$M)</f>
        <v>REGIONAL VENDA INTERNA - KEY ACCOUNT</v>
      </c>
      <c r="L510" s="5" t="str">
        <f t="shared" si="541"/>
        <v/>
      </c>
      <c r="M510" s="5" t="str">
        <f>_xlfn.XLOOKUP($N510,'Base de Grupos'!$A:$A,'Base de Grupos'!$C:$C)</f>
        <v>PR</v>
      </c>
      <c r="N510" s="3">
        <v>1428</v>
      </c>
      <c r="O510" s="4" t="s">
        <v>252</v>
      </c>
      <c r="P510" s="5" t="s">
        <v>84</v>
      </c>
      <c r="Q510" s="56">
        <v>0</v>
      </c>
      <c r="R510" s="56">
        <v>441.5151111111112</v>
      </c>
      <c r="S510" s="56">
        <v>551.89388888888902</v>
      </c>
      <c r="T510" s="56">
        <f>_xlfn.XLOOKUP($N510,'Calculo Leads'!$A$97:$A$134,'Calculo Leads'!G$97:G$134)*_xlfn.XLOOKUP($P510,'Base Grupo de Produtos'!$E$2:$E$18,'Base Grupo de Produtos'!$F$2:$F$18)</f>
        <v>80</v>
      </c>
      <c r="U510" s="56">
        <f>_xlfn.XLOOKUP($N510,'Calculo Leads'!$A$97:$A$134,'Calculo Leads'!H$97:H$134)*_xlfn.XLOOKUP($P510,'Base Grupo de Produtos'!$E$2:$E$18,'Base Grupo de Produtos'!$F$2:$F$18)</f>
        <v>80</v>
      </c>
      <c r="V510" s="56">
        <f>_xlfn.XLOOKUP($N510,'Calculo Leads'!$A$97:$A$134,'Calculo Leads'!I$97:I$134)*_xlfn.XLOOKUP($P510,'Base Grupo de Produtos'!$E$2:$E$18,'Base Grupo de Produtos'!$F$2:$F$18)</f>
        <v>80</v>
      </c>
      <c r="W510" s="56">
        <f>_xlfn.XLOOKUP($N510,'Calculo Leads'!$A$97:$A$134,'Calculo Leads'!J$97:J$134)*_xlfn.XLOOKUP($P510,'Base Grupo de Produtos'!$E$2:$E$18,'Base Grupo de Produtos'!$F$2:$F$18)</f>
        <v>80</v>
      </c>
      <c r="X510" s="56">
        <f>_xlfn.XLOOKUP($N510,'Calculo Leads'!$A$97:$A$134,'Calculo Leads'!K$97:K$134)*_xlfn.XLOOKUP($P510,'Base Grupo de Produtos'!$E$2:$E$18,'Base Grupo de Produtos'!$F$2:$F$18)</f>
        <v>88</v>
      </c>
      <c r="Y510" s="56">
        <f>_xlfn.XLOOKUP($N510,'Calculo Leads'!$A$97:$A$134,'Calculo Leads'!L$97:L$134)*_xlfn.XLOOKUP($P510,'Base Grupo de Produtos'!$E$2:$E$18,'Base Grupo de Produtos'!$F$2:$F$18)</f>
        <v>88</v>
      </c>
      <c r="Z510" s="56">
        <f>_xlfn.XLOOKUP($N510,'Calculo Leads'!$A$97:$A$134,'Calculo Leads'!M$97:M$134)*_xlfn.XLOOKUP($P510,'Base Grupo de Produtos'!$E$2:$E$18,'Base Grupo de Produtos'!$F$2:$F$18)</f>
        <v>88</v>
      </c>
      <c r="AA510" s="56">
        <f>_xlfn.XLOOKUP($N510,'Calculo Leads'!$A$97:$A$134,'Calculo Leads'!N$97:N$134)*_xlfn.XLOOKUP($P510,'Base Grupo de Produtos'!$E$2:$E$18,'Base Grupo de Produtos'!$F$2:$F$18)</f>
        <v>176</v>
      </c>
      <c r="AB510" s="56">
        <f>_xlfn.XLOOKUP($N510,'Calculo Leads'!$A$97:$A$134,'Calculo Leads'!O$97:O$134)*_xlfn.XLOOKUP($P510,'Base Grupo de Produtos'!$E$2:$E$18,'Base Grupo de Produtos'!$F$2:$F$18)</f>
        <v>88</v>
      </c>
      <c r="AC510" s="61">
        <f t="shared" si="499"/>
        <v>848</v>
      </c>
      <c r="AD510" s="27">
        <f t="shared" si="558"/>
        <v>848</v>
      </c>
      <c r="AE510" s="25">
        <f>IFERROR(_xlfn.XLOOKUP(N510&amp;P510,'Historico Vendas'!G:G,'Historico Vendas'!E:E),0)</f>
        <v>0</v>
      </c>
      <c r="AF510" s="29" t="str">
        <f t="shared" si="539"/>
        <v/>
      </c>
      <c r="AG510" s="24">
        <f>IFERROR(_xlfn.XLOOKUP(N510&amp;P510,'Historico Vendas'!G:G,'Historico Vendas'!F:F),0)</f>
        <v>0</v>
      </c>
      <c r="AH510" s="25">
        <f t="shared" si="559"/>
        <v>993.40900000000022</v>
      </c>
      <c r="AI510" s="24">
        <f t="shared" si="560"/>
        <v>993.40900000000022</v>
      </c>
      <c r="AJ510" s="11">
        <f t="shared" si="542"/>
        <v>0</v>
      </c>
      <c r="AK510" s="9" t="s">
        <v>102</v>
      </c>
      <c r="AL510" s="13">
        <f>IFERROR(INDEX('Balizador da Meta'!$D$3:$F$23,MATCH(Faturamento!$P510,'Balizador da Meta'!$C$3:$C$23,0),MATCH(Faturamento!AK510,'Balizador da Meta'!$D$2:$F$2,0)),"")</f>
        <v>0.15</v>
      </c>
      <c r="AM510" s="9"/>
    </row>
    <row r="511" spans="1:39" x14ac:dyDescent="0.3">
      <c r="A511" s="2" t="str">
        <f t="shared" si="540"/>
        <v>NÃO</v>
      </c>
      <c r="B511" s="2" t="str">
        <f>_xlfn.XLOOKUP($N511,'Base de Grupos'!$A:$A,'Base de Grupos'!$D:$D)</f>
        <v>1000065763</v>
      </c>
      <c r="C511" s="5" t="str">
        <f>_xlfn.XLOOKUP($N511,'Base de Grupos'!$A:$A,'Base de Grupos'!$E:$E)</f>
        <v>CANAL VENDA INTERNA</v>
      </c>
      <c r="D511" s="5" t="str">
        <f>_xlfn.XLOOKUP($N511,'Base de Grupos'!$A:$A,'Base de Grupos'!$F:$F)</f>
        <v>1000065763</v>
      </c>
      <c r="E511" s="2" t="str">
        <f>_xlfn.XLOOKUP($N511,'Base de Grupos'!$A:$A,'Base de Grupos'!$G:$G)</f>
        <v>CANAL VENDA INTERNA</v>
      </c>
      <c r="F511" s="2" t="str">
        <f>_xlfn.XLOOKUP($N511,'Base de Grupos'!$A:$A,'Base de Grupos'!$H:$H)</f>
        <v>1000153245</v>
      </c>
      <c r="G511" s="5" t="str">
        <f>_xlfn.XLOOKUP($N511,'Base de Grupos'!$A:$A,'Base de Grupos'!$I:$I)</f>
        <v>REGIONAL VENDA INTERNA - KEY ACCOUNT</v>
      </c>
      <c r="H511" s="5" t="str">
        <f>_xlfn.XLOOKUP($N511,'Base de Grupos'!$A:$A,'Base de Grupos'!$J:$J)</f>
        <v>1000153245</v>
      </c>
      <c r="I511" s="2" t="str">
        <f>_xlfn.XLOOKUP($N511,'Base de Grupos'!$A:$A,'Base de Grupos'!$K:$K)</f>
        <v>REGIONAL VENDA INTERNA - KEY ACCOUNT</v>
      </c>
      <c r="J511" s="2" t="str">
        <f>_xlfn.XLOOKUP($N511,'Base de Grupos'!$A:$A,'Base de Grupos'!$L:$L)</f>
        <v>1000153245</v>
      </c>
      <c r="K511" s="5" t="str">
        <f>_xlfn.XLOOKUP($N511,'Base de Grupos'!$A:$A,'Base de Grupos'!$M:$M)</f>
        <v>REGIONAL VENDA INTERNA - KEY ACCOUNT</v>
      </c>
      <c r="L511" s="5" t="str">
        <f t="shared" si="541"/>
        <v/>
      </c>
      <c r="M511" s="5" t="str">
        <f>_xlfn.XLOOKUP($N511,'Base de Grupos'!$A:$A,'Base de Grupos'!$C:$C)</f>
        <v>PR</v>
      </c>
      <c r="N511" s="3">
        <v>1428</v>
      </c>
      <c r="O511" s="4" t="s">
        <v>252</v>
      </c>
      <c r="P511" s="5" t="s">
        <v>83</v>
      </c>
      <c r="Q511" s="56">
        <v>0</v>
      </c>
      <c r="R511" s="56">
        <v>555.05619047619052</v>
      </c>
      <c r="S511" s="56">
        <v>555.05619047619052</v>
      </c>
      <c r="T511" s="56">
        <f>_xlfn.XLOOKUP($N511,'Calculo Leads'!$A$97:$A$134,'Calculo Leads'!G$97:G$134)*_xlfn.XLOOKUP($P511,'Base Grupo de Produtos'!$E$2:$E$18,'Base Grupo de Produtos'!$F$2:$F$18)</f>
        <v>100</v>
      </c>
      <c r="U511" s="56">
        <f>_xlfn.XLOOKUP($N511,'Calculo Leads'!$A$97:$A$134,'Calculo Leads'!H$97:H$134)*_xlfn.XLOOKUP($P511,'Base Grupo de Produtos'!$E$2:$E$18,'Base Grupo de Produtos'!$F$2:$F$18)</f>
        <v>100</v>
      </c>
      <c r="V511" s="56">
        <f>_xlfn.XLOOKUP($N511,'Calculo Leads'!$A$97:$A$134,'Calculo Leads'!I$97:I$134)*_xlfn.XLOOKUP($P511,'Base Grupo de Produtos'!$E$2:$E$18,'Base Grupo de Produtos'!$F$2:$F$18)</f>
        <v>100</v>
      </c>
      <c r="W511" s="56">
        <f>_xlfn.XLOOKUP($N511,'Calculo Leads'!$A$97:$A$134,'Calculo Leads'!J$97:J$134)*_xlfn.XLOOKUP($P511,'Base Grupo de Produtos'!$E$2:$E$18,'Base Grupo de Produtos'!$F$2:$F$18)</f>
        <v>100</v>
      </c>
      <c r="X511" s="56">
        <f>_xlfn.XLOOKUP($N511,'Calculo Leads'!$A$97:$A$134,'Calculo Leads'!K$97:K$134)*_xlfn.XLOOKUP($P511,'Base Grupo de Produtos'!$E$2:$E$18,'Base Grupo de Produtos'!$F$2:$F$18)</f>
        <v>110</v>
      </c>
      <c r="Y511" s="56">
        <f>_xlfn.XLOOKUP($N511,'Calculo Leads'!$A$97:$A$134,'Calculo Leads'!L$97:L$134)*_xlfn.XLOOKUP($P511,'Base Grupo de Produtos'!$E$2:$E$18,'Base Grupo de Produtos'!$F$2:$F$18)</f>
        <v>110</v>
      </c>
      <c r="Z511" s="56">
        <f>_xlfn.XLOOKUP($N511,'Calculo Leads'!$A$97:$A$134,'Calculo Leads'!M$97:M$134)*_xlfn.XLOOKUP($P511,'Base Grupo de Produtos'!$E$2:$E$18,'Base Grupo de Produtos'!$F$2:$F$18)</f>
        <v>110</v>
      </c>
      <c r="AA511" s="56">
        <f>_xlfn.XLOOKUP($N511,'Calculo Leads'!$A$97:$A$134,'Calculo Leads'!N$97:N$134)*_xlfn.XLOOKUP($P511,'Base Grupo de Produtos'!$E$2:$E$18,'Base Grupo de Produtos'!$F$2:$F$18)</f>
        <v>220</v>
      </c>
      <c r="AB511" s="56">
        <f>_xlfn.XLOOKUP($N511,'Calculo Leads'!$A$97:$A$134,'Calculo Leads'!O$97:O$134)*_xlfn.XLOOKUP($P511,'Base Grupo de Produtos'!$E$2:$E$18,'Base Grupo de Produtos'!$F$2:$F$18)</f>
        <v>110</v>
      </c>
      <c r="AC511" s="61">
        <f t="shared" si="499"/>
        <v>1060</v>
      </c>
      <c r="AD511" s="27">
        <f t="shared" si="558"/>
        <v>1060</v>
      </c>
      <c r="AE511" s="25">
        <f>IFERROR(_xlfn.XLOOKUP(N511&amp;P511,'Historico Vendas'!G:G,'Historico Vendas'!E:E),0)</f>
        <v>0</v>
      </c>
      <c r="AF511" s="29" t="str">
        <f t="shared" si="539"/>
        <v/>
      </c>
      <c r="AG511" s="24">
        <f>IFERROR(_xlfn.XLOOKUP(N511&amp;P511,'Historico Vendas'!G:G,'Historico Vendas'!F:F),0)</f>
        <v>0</v>
      </c>
      <c r="AH511" s="25">
        <f t="shared" si="559"/>
        <v>1110.112380952381</v>
      </c>
      <c r="AI511" s="24">
        <f t="shared" si="560"/>
        <v>1110.112380952381</v>
      </c>
      <c r="AJ511" s="11">
        <f t="shared" si="542"/>
        <v>0</v>
      </c>
      <c r="AK511" s="9" t="s">
        <v>102</v>
      </c>
      <c r="AL511" s="13">
        <f>IFERROR(INDEX('Balizador da Meta'!$D$3:$F$23,MATCH(Faturamento!$P511,'Balizador da Meta'!$C$3:$C$23,0),MATCH(Faturamento!AK511,'Balizador da Meta'!$D$2:$F$2,0)),"")</f>
        <v>0</v>
      </c>
      <c r="AM511" s="9"/>
    </row>
    <row r="512" spans="1:39" x14ac:dyDescent="0.3">
      <c r="A512" s="2" t="str">
        <f t="shared" si="540"/>
        <v>NÃO</v>
      </c>
      <c r="B512" s="2" t="str">
        <f>_xlfn.XLOOKUP($N512,'Base de Grupos'!$A:$A,'Base de Grupos'!$D:$D)</f>
        <v>1000065763</v>
      </c>
      <c r="C512" s="5" t="str">
        <f>_xlfn.XLOOKUP($N512,'Base de Grupos'!$A:$A,'Base de Grupos'!$E:$E)</f>
        <v>CANAL VENDA INTERNA</v>
      </c>
      <c r="D512" s="5" t="str">
        <f>_xlfn.XLOOKUP($N512,'Base de Grupos'!$A:$A,'Base de Grupos'!$F:$F)</f>
        <v>1000065763</v>
      </c>
      <c r="E512" s="2" t="str">
        <f>_xlfn.XLOOKUP($N512,'Base de Grupos'!$A:$A,'Base de Grupos'!$G:$G)</f>
        <v>CANAL VENDA INTERNA</v>
      </c>
      <c r="F512" s="2" t="str">
        <f>_xlfn.XLOOKUP($N512,'Base de Grupos'!$A:$A,'Base de Grupos'!$H:$H)</f>
        <v>1000153245</v>
      </c>
      <c r="G512" s="5" t="str">
        <f>_xlfn.XLOOKUP($N512,'Base de Grupos'!$A:$A,'Base de Grupos'!$I:$I)</f>
        <v>REGIONAL VENDA INTERNA - KEY ACCOUNT</v>
      </c>
      <c r="H512" s="5" t="str">
        <f>_xlfn.XLOOKUP($N512,'Base de Grupos'!$A:$A,'Base de Grupos'!$J:$J)</f>
        <v>1000153245</v>
      </c>
      <c r="I512" s="2" t="str">
        <f>_xlfn.XLOOKUP($N512,'Base de Grupos'!$A:$A,'Base de Grupos'!$K:$K)</f>
        <v>REGIONAL VENDA INTERNA - KEY ACCOUNT</v>
      </c>
      <c r="J512" s="2" t="str">
        <f>_xlfn.XLOOKUP($N512,'Base de Grupos'!$A:$A,'Base de Grupos'!$L:$L)</f>
        <v>1000153245</v>
      </c>
      <c r="K512" s="5" t="str">
        <f>_xlfn.XLOOKUP($N512,'Base de Grupos'!$A:$A,'Base de Grupos'!$M:$M)</f>
        <v>REGIONAL VENDA INTERNA - KEY ACCOUNT</v>
      </c>
      <c r="L512" s="5" t="str">
        <f t="shared" si="541"/>
        <v/>
      </c>
      <c r="M512" s="5" t="str">
        <f>_xlfn.XLOOKUP($N512,'Base de Grupos'!$A:$A,'Base de Grupos'!$C:$C)</f>
        <v>PR</v>
      </c>
      <c r="N512" s="3">
        <v>1428</v>
      </c>
      <c r="O512" s="4" t="s">
        <v>252</v>
      </c>
      <c r="P512" s="5" t="s">
        <v>87</v>
      </c>
      <c r="Q512" s="56">
        <v>0</v>
      </c>
      <c r="R512" s="56">
        <v>124.75666666666666</v>
      </c>
      <c r="S512" s="56">
        <v>249.51333333333332</v>
      </c>
      <c r="T512" s="56">
        <f>_xlfn.XLOOKUP($N512,'Calculo Leads'!$A$97:$A$134,'Calculo Leads'!G$97:G$134)*_xlfn.XLOOKUP($P512,'Base Grupo de Produtos'!$E$2:$E$18,'Base Grupo de Produtos'!$F$2:$F$18)</f>
        <v>19.999999999999996</v>
      </c>
      <c r="U512" s="56">
        <f>_xlfn.XLOOKUP($N512,'Calculo Leads'!$A$97:$A$134,'Calculo Leads'!H$97:H$134)*_xlfn.XLOOKUP($P512,'Base Grupo de Produtos'!$E$2:$E$18,'Base Grupo de Produtos'!$F$2:$F$18)</f>
        <v>19.999999999999996</v>
      </c>
      <c r="V512" s="56">
        <f>_xlfn.XLOOKUP($N512,'Calculo Leads'!$A$97:$A$134,'Calculo Leads'!I$97:I$134)*_xlfn.XLOOKUP($P512,'Base Grupo de Produtos'!$E$2:$E$18,'Base Grupo de Produtos'!$F$2:$F$18)</f>
        <v>19.999999999999996</v>
      </c>
      <c r="W512" s="56">
        <f>_xlfn.XLOOKUP($N512,'Calculo Leads'!$A$97:$A$134,'Calculo Leads'!J$97:J$134)*_xlfn.XLOOKUP($P512,'Base Grupo de Produtos'!$E$2:$E$18,'Base Grupo de Produtos'!$F$2:$F$18)</f>
        <v>19.999999999999996</v>
      </c>
      <c r="X512" s="56">
        <f>_xlfn.XLOOKUP($N512,'Calculo Leads'!$A$97:$A$134,'Calculo Leads'!K$97:K$134)*_xlfn.XLOOKUP($P512,'Base Grupo de Produtos'!$E$2:$E$18,'Base Grupo de Produtos'!$F$2:$F$18)</f>
        <v>21.999999999999996</v>
      </c>
      <c r="Y512" s="56">
        <f>_xlfn.XLOOKUP($N512,'Calculo Leads'!$A$97:$A$134,'Calculo Leads'!L$97:L$134)*_xlfn.XLOOKUP($P512,'Base Grupo de Produtos'!$E$2:$E$18,'Base Grupo de Produtos'!$F$2:$F$18)</f>
        <v>21.999999999999996</v>
      </c>
      <c r="Z512" s="56">
        <f>_xlfn.XLOOKUP($N512,'Calculo Leads'!$A$97:$A$134,'Calculo Leads'!M$97:M$134)*_xlfn.XLOOKUP($P512,'Base Grupo de Produtos'!$E$2:$E$18,'Base Grupo de Produtos'!$F$2:$F$18)</f>
        <v>21.999999999999996</v>
      </c>
      <c r="AA512" s="56">
        <f>_xlfn.XLOOKUP($N512,'Calculo Leads'!$A$97:$A$134,'Calculo Leads'!N$97:N$134)*_xlfn.XLOOKUP($P512,'Base Grupo de Produtos'!$E$2:$E$18,'Base Grupo de Produtos'!$F$2:$F$18)</f>
        <v>43.999999999999993</v>
      </c>
      <c r="AB512" s="56">
        <f>_xlfn.XLOOKUP($N512,'Calculo Leads'!$A$97:$A$134,'Calculo Leads'!O$97:O$134)*_xlfn.XLOOKUP($P512,'Base Grupo de Produtos'!$E$2:$E$18,'Base Grupo de Produtos'!$F$2:$F$18)</f>
        <v>21.999999999999996</v>
      </c>
      <c r="AC512" s="61">
        <f t="shared" si="499"/>
        <v>211.99999999999997</v>
      </c>
      <c r="AD512" s="27">
        <f t="shared" si="558"/>
        <v>211.99999999999997</v>
      </c>
      <c r="AE512" s="25">
        <f>IFERROR(_xlfn.XLOOKUP(N512&amp;P512,'Historico Vendas'!G:G,'Historico Vendas'!E:E),0)</f>
        <v>0</v>
      </c>
      <c r="AF512" s="29" t="str">
        <f t="shared" si="539"/>
        <v/>
      </c>
      <c r="AG512" s="24">
        <f>IFERROR(_xlfn.XLOOKUP(N512&amp;P512,'Historico Vendas'!G:G,'Historico Vendas'!F:F),0)</f>
        <v>0</v>
      </c>
      <c r="AH512" s="25">
        <f t="shared" si="559"/>
        <v>374.27</v>
      </c>
      <c r="AI512" s="24">
        <f t="shared" si="560"/>
        <v>374.27</v>
      </c>
      <c r="AJ512" s="11">
        <f t="shared" si="542"/>
        <v>0</v>
      </c>
      <c r="AK512" s="9" t="s">
        <v>102</v>
      </c>
      <c r="AL512" s="13">
        <f>IFERROR(INDEX('Balizador da Meta'!$D$3:$F$23,MATCH(Faturamento!$P512,'Balizador da Meta'!$C$3:$C$23,0),MATCH(Faturamento!AK512,'Balizador da Meta'!$D$2:$F$2,0)),"")</f>
        <v>0</v>
      </c>
      <c r="AM512" s="9"/>
    </row>
    <row r="513" spans="1:39" x14ac:dyDescent="0.3">
      <c r="A513" s="2" t="str">
        <f t="shared" si="540"/>
        <v>NÃO</v>
      </c>
      <c r="B513" s="2" t="str">
        <f>_xlfn.XLOOKUP($N513,'Base de Grupos'!$A:$A,'Base de Grupos'!$D:$D)</f>
        <v>1000065763</v>
      </c>
      <c r="C513" s="5" t="str">
        <f>_xlfn.XLOOKUP($N513,'Base de Grupos'!$A:$A,'Base de Grupos'!$E:$E)</f>
        <v>CANAL VENDA INTERNA</v>
      </c>
      <c r="D513" s="5" t="str">
        <f>_xlfn.XLOOKUP($N513,'Base de Grupos'!$A:$A,'Base de Grupos'!$F:$F)</f>
        <v>1000065763</v>
      </c>
      <c r="E513" s="2" t="str">
        <f>_xlfn.XLOOKUP($N513,'Base de Grupos'!$A:$A,'Base de Grupos'!$G:$G)</f>
        <v>CANAL VENDA INTERNA</v>
      </c>
      <c r="F513" s="2" t="str">
        <f>_xlfn.XLOOKUP($N513,'Base de Grupos'!$A:$A,'Base de Grupos'!$H:$H)</f>
        <v>1000153245</v>
      </c>
      <c r="G513" s="5" t="str">
        <f>_xlfn.XLOOKUP($N513,'Base de Grupos'!$A:$A,'Base de Grupos'!$I:$I)</f>
        <v>REGIONAL VENDA INTERNA - KEY ACCOUNT</v>
      </c>
      <c r="H513" s="5" t="str">
        <f>_xlfn.XLOOKUP($N513,'Base de Grupos'!$A:$A,'Base de Grupos'!$J:$J)</f>
        <v>1000153245</v>
      </c>
      <c r="I513" s="2" t="str">
        <f>_xlfn.XLOOKUP($N513,'Base de Grupos'!$A:$A,'Base de Grupos'!$K:$K)</f>
        <v>REGIONAL VENDA INTERNA - KEY ACCOUNT</v>
      </c>
      <c r="J513" s="2" t="str">
        <f>_xlfn.XLOOKUP($N513,'Base de Grupos'!$A:$A,'Base de Grupos'!$L:$L)</f>
        <v>1000153245</v>
      </c>
      <c r="K513" s="5" t="str">
        <f>_xlfn.XLOOKUP($N513,'Base de Grupos'!$A:$A,'Base de Grupos'!$M:$M)</f>
        <v>REGIONAL VENDA INTERNA - KEY ACCOUNT</v>
      </c>
      <c r="L513" s="5" t="str">
        <f t="shared" si="541"/>
        <v/>
      </c>
      <c r="M513" s="5" t="str">
        <f>_xlfn.XLOOKUP($N513,'Base de Grupos'!$A:$A,'Base de Grupos'!$C:$C)</f>
        <v>PR</v>
      </c>
      <c r="N513" s="3">
        <v>1428</v>
      </c>
      <c r="O513" s="4" t="s">
        <v>252</v>
      </c>
      <c r="P513" s="5" t="s">
        <v>85</v>
      </c>
      <c r="Q513" s="56">
        <v>0</v>
      </c>
      <c r="R513" s="56">
        <v>315.14999999999998</v>
      </c>
      <c r="S513" s="56">
        <v>420.2</v>
      </c>
      <c r="T513" s="56">
        <f>_xlfn.XLOOKUP($N513,'Calculo Leads'!$A$97:$A$134,'Calculo Leads'!G$97:G$134)*_xlfn.XLOOKUP($P513,'Base Grupo de Produtos'!$E$2:$E$18,'Base Grupo de Produtos'!$F$2:$F$18)</f>
        <v>20</v>
      </c>
      <c r="U513" s="56">
        <f>_xlfn.XLOOKUP($N513,'Calculo Leads'!$A$97:$A$134,'Calculo Leads'!H$97:H$134)*_xlfn.XLOOKUP($P513,'Base Grupo de Produtos'!$E$2:$E$18,'Base Grupo de Produtos'!$F$2:$F$18)</f>
        <v>20</v>
      </c>
      <c r="V513" s="56">
        <f>_xlfn.XLOOKUP($N513,'Calculo Leads'!$A$97:$A$134,'Calculo Leads'!I$97:I$134)*_xlfn.XLOOKUP($P513,'Base Grupo de Produtos'!$E$2:$E$18,'Base Grupo de Produtos'!$F$2:$F$18)</f>
        <v>20</v>
      </c>
      <c r="W513" s="56">
        <f>_xlfn.XLOOKUP($N513,'Calculo Leads'!$A$97:$A$134,'Calculo Leads'!J$97:J$134)*_xlfn.XLOOKUP($P513,'Base Grupo de Produtos'!$E$2:$E$18,'Base Grupo de Produtos'!$F$2:$F$18)</f>
        <v>20</v>
      </c>
      <c r="X513" s="56">
        <f>_xlfn.XLOOKUP($N513,'Calculo Leads'!$A$97:$A$134,'Calculo Leads'!K$97:K$134)*_xlfn.XLOOKUP($P513,'Base Grupo de Produtos'!$E$2:$E$18,'Base Grupo de Produtos'!$F$2:$F$18)</f>
        <v>22</v>
      </c>
      <c r="Y513" s="56">
        <f>_xlfn.XLOOKUP($N513,'Calculo Leads'!$A$97:$A$134,'Calculo Leads'!L$97:L$134)*_xlfn.XLOOKUP($P513,'Base Grupo de Produtos'!$E$2:$E$18,'Base Grupo de Produtos'!$F$2:$F$18)</f>
        <v>22</v>
      </c>
      <c r="Z513" s="56">
        <f>_xlfn.XLOOKUP($N513,'Calculo Leads'!$A$97:$A$134,'Calculo Leads'!M$97:M$134)*_xlfn.XLOOKUP($P513,'Base Grupo de Produtos'!$E$2:$E$18,'Base Grupo de Produtos'!$F$2:$F$18)</f>
        <v>22</v>
      </c>
      <c r="AA513" s="56">
        <f>_xlfn.XLOOKUP($N513,'Calculo Leads'!$A$97:$A$134,'Calculo Leads'!N$97:N$134)*_xlfn.XLOOKUP($P513,'Base Grupo de Produtos'!$E$2:$E$18,'Base Grupo de Produtos'!$F$2:$F$18)</f>
        <v>44</v>
      </c>
      <c r="AB513" s="56">
        <f>_xlfn.XLOOKUP($N513,'Calculo Leads'!$A$97:$A$134,'Calculo Leads'!O$97:O$134)*_xlfn.XLOOKUP($P513,'Base Grupo de Produtos'!$E$2:$E$18,'Base Grupo de Produtos'!$F$2:$F$18)</f>
        <v>22</v>
      </c>
      <c r="AC513" s="61">
        <f t="shared" si="499"/>
        <v>212</v>
      </c>
      <c r="AD513" s="27">
        <f t="shared" si="558"/>
        <v>212</v>
      </c>
      <c r="AE513" s="25">
        <f>IFERROR(_xlfn.XLOOKUP(N513&amp;P513,'Historico Vendas'!G:G,'Historico Vendas'!E:E),0)</f>
        <v>0</v>
      </c>
      <c r="AF513" s="29" t="str">
        <f t="shared" si="539"/>
        <v/>
      </c>
      <c r="AG513" s="24">
        <f>IFERROR(_xlfn.XLOOKUP(N513&amp;P513,'Historico Vendas'!G:G,'Historico Vendas'!F:F),0)</f>
        <v>0</v>
      </c>
      <c r="AH513" s="25">
        <f t="shared" si="559"/>
        <v>735.34999999999991</v>
      </c>
      <c r="AI513" s="24">
        <f t="shared" si="560"/>
        <v>735.34999999999991</v>
      </c>
      <c r="AJ513" s="11">
        <f t="shared" si="542"/>
        <v>0</v>
      </c>
      <c r="AK513" s="9" t="s">
        <v>102</v>
      </c>
      <c r="AL513" s="13">
        <f>IFERROR(INDEX('Balizador da Meta'!$D$3:$F$23,MATCH(Faturamento!$P513,'Balizador da Meta'!$C$3:$C$23,0),MATCH(Faturamento!AK513,'Balizador da Meta'!$D$2:$F$2,0)),"")</f>
        <v>0</v>
      </c>
      <c r="AM513" s="9"/>
    </row>
    <row r="514" spans="1:39" x14ac:dyDescent="0.3">
      <c r="A514" s="2" t="str">
        <f t="shared" si="540"/>
        <v>NÃO</v>
      </c>
      <c r="B514" s="2" t="str">
        <f>_xlfn.XLOOKUP($N514,'Base de Grupos'!$A:$A,'Base de Grupos'!$D:$D)</f>
        <v>1000065763</v>
      </c>
      <c r="C514" s="5" t="str">
        <f>_xlfn.XLOOKUP($N514,'Base de Grupos'!$A:$A,'Base de Grupos'!$E:$E)</f>
        <v>CANAL VENDA INTERNA</v>
      </c>
      <c r="D514" s="5" t="str">
        <f>_xlfn.XLOOKUP($N514,'Base de Grupos'!$A:$A,'Base de Grupos'!$F:$F)</f>
        <v>1000065763</v>
      </c>
      <c r="E514" s="2" t="str">
        <f>_xlfn.XLOOKUP($N514,'Base de Grupos'!$A:$A,'Base de Grupos'!$G:$G)</f>
        <v>CANAL VENDA INTERNA</v>
      </c>
      <c r="F514" s="2" t="str">
        <f>_xlfn.XLOOKUP($N514,'Base de Grupos'!$A:$A,'Base de Grupos'!$H:$H)</f>
        <v>1000153245</v>
      </c>
      <c r="G514" s="5" t="str">
        <f>_xlfn.XLOOKUP($N514,'Base de Grupos'!$A:$A,'Base de Grupos'!$I:$I)</f>
        <v>REGIONAL VENDA INTERNA - KEY ACCOUNT</v>
      </c>
      <c r="H514" s="5" t="str">
        <f>_xlfn.XLOOKUP($N514,'Base de Grupos'!$A:$A,'Base de Grupos'!$J:$J)</f>
        <v>1000153245</v>
      </c>
      <c r="I514" s="2" t="str">
        <f>_xlfn.XLOOKUP($N514,'Base de Grupos'!$A:$A,'Base de Grupos'!$K:$K)</f>
        <v>REGIONAL VENDA INTERNA - KEY ACCOUNT</v>
      </c>
      <c r="J514" s="2" t="str">
        <f>_xlfn.XLOOKUP($N514,'Base de Grupos'!$A:$A,'Base de Grupos'!$L:$L)</f>
        <v>1000153245</v>
      </c>
      <c r="K514" s="5" t="str">
        <f>_xlfn.XLOOKUP($N514,'Base de Grupos'!$A:$A,'Base de Grupos'!$M:$M)</f>
        <v>REGIONAL VENDA INTERNA - KEY ACCOUNT</v>
      </c>
      <c r="L514" s="5" t="str">
        <f t="shared" si="541"/>
        <v/>
      </c>
      <c r="M514" s="5" t="str">
        <f>_xlfn.XLOOKUP($N514,'Base de Grupos'!$A:$A,'Base de Grupos'!$C:$C)</f>
        <v>PR</v>
      </c>
      <c r="N514" s="3">
        <v>1428</v>
      </c>
      <c r="O514" s="4" t="s">
        <v>252</v>
      </c>
      <c r="P514" s="5" t="s">
        <v>92</v>
      </c>
      <c r="Q514" s="56">
        <v>0</v>
      </c>
      <c r="R514" s="56">
        <v>165.49714285714285</v>
      </c>
      <c r="S514" s="56">
        <v>165.49714285714285</v>
      </c>
      <c r="T514" s="56">
        <f>_xlfn.XLOOKUP($N514,'Calculo Leads'!$A$97:$A$134,'Calculo Leads'!G$97:G$134)*_xlfn.XLOOKUP($P514,'Base Grupo de Produtos'!$E$2:$E$18,'Base Grupo de Produtos'!$F$2:$F$18)</f>
        <v>20</v>
      </c>
      <c r="U514" s="56">
        <f>_xlfn.XLOOKUP($N514,'Calculo Leads'!$A$97:$A$134,'Calculo Leads'!H$97:H$134)*_xlfn.XLOOKUP($P514,'Base Grupo de Produtos'!$E$2:$E$18,'Base Grupo de Produtos'!$F$2:$F$18)</f>
        <v>20</v>
      </c>
      <c r="V514" s="56">
        <f>_xlfn.XLOOKUP($N514,'Calculo Leads'!$A$97:$A$134,'Calculo Leads'!I$97:I$134)*_xlfn.XLOOKUP($P514,'Base Grupo de Produtos'!$E$2:$E$18,'Base Grupo de Produtos'!$F$2:$F$18)</f>
        <v>20</v>
      </c>
      <c r="W514" s="56">
        <f>_xlfn.XLOOKUP($N514,'Calculo Leads'!$A$97:$A$134,'Calculo Leads'!J$97:J$134)*_xlfn.XLOOKUP($P514,'Base Grupo de Produtos'!$E$2:$E$18,'Base Grupo de Produtos'!$F$2:$F$18)</f>
        <v>20</v>
      </c>
      <c r="X514" s="56">
        <f>_xlfn.XLOOKUP($N514,'Calculo Leads'!$A$97:$A$134,'Calculo Leads'!K$97:K$134)*_xlfn.XLOOKUP($P514,'Base Grupo de Produtos'!$E$2:$E$18,'Base Grupo de Produtos'!$F$2:$F$18)</f>
        <v>22</v>
      </c>
      <c r="Y514" s="56">
        <f>_xlfn.XLOOKUP($N514,'Calculo Leads'!$A$97:$A$134,'Calculo Leads'!L$97:L$134)*_xlfn.XLOOKUP($P514,'Base Grupo de Produtos'!$E$2:$E$18,'Base Grupo de Produtos'!$F$2:$F$18)</f>
        <v>22</v>
      </c>
      <c r="Z514" s="56">
        <f>_xlfn.XLOOKUP($N514,'Calculo Leads'!$A$97:$A$134,'Calculo Leads'!M$97:M$134)*_xlfn.XLOOKUP($P514,'Base Grupo de Produtos'!$E$2:$E$18,'Base Grupo de Produtos'!$F$2:$F$18)</f>
        <v>22</v>
      </c>
      <c r="AA514" s="56">
        <f>_xlfn.XLOOKUP($N514,'Calculo Leads'!$A$97:$A$134,'Calculo Leads'!N$97:N$134)*_xlfn.XLOOKUP($P514,'Base Grupo de Produtos'!$E$2:$E$18,'Base Grupo de Produtos'!$F$2:$F$18)</f>
        <v>44</v>
      </c>
      <c r="AB514" s="56">
        <f>_xlfn.XLOOKUP($N514,'Calculo Leads'!$A$97:$A$134,'Calculo Leads'!O$97:O$134)*_xlfn.XLOOKUP($P514,'Base Grupo de Produtos'!$E$2:$E$18,'Base Grupo de Produtos'!$F$2:$F$18)</f>
        <v>22</v>
      </c>
      <c r="AC514" s="61">
        <f t="shared" si="499"/>
        <v>212</v>
      </c>
      <c r="AD514" s="27">
        <f t="shared" si="558"/>
        <v>212</v>
      </c>
      <c r="AE514" s="25">
        <f>IFERROR(_xlfn.XLOOKUP(N514&amp;P514,'Historico Vendas'!G:G,'Historico Vendas'!E:E),0)</f>
        <v>0</v>
      </c>
      <c r="AF514" s="29" t="str">
        <f t="shared" si="539"/>
        <v/>
      </c>
      <c r="AG514" s="24">
        <f>IFERROR(_xlfn.XLOOKUP(N514&amp;P514,'Historico Vendas'!G:G,'Historico Vendas'!F:F),0)</f>
        <v>0</v>
      </c>
      <c r="AH514" s="25">
        <f t="shared" si="559"/>
        <v>330.9942857142857</v>
      </c>
      <c r="AI514" s="24">
        <f t="shared" si="560"/>
        <v>330.9942857142857</v>
      </c>
      <c r="AJ514" s="11">
        <f t="shared" si="542"/>
        <v>0</v>
      </c>
      <c r="AK514" s="9" t="s">
        <v>102</v>
      </c>
      <c r="AL514" s="13">
        <f>IFERROR(INDEX('Balizador da Meta'!$D$3:$F$23,MATCH(Faturamento!$P514,'Balizador da Meta'!$C$3:$C$23,0),MATCH(Faturamento!AK514,'Balizador da Meta'!$D$2:$F$2,0)),"")</f>
        <v>0</v>
      </c>
      <c r="AM514" s="9"/>
    </row>
    <row r="515" spans="1:39" x14ac:dyDescent="0.3">
      <c r="A515" s="2" t="str">
        <f t="shared" si="540"/>
        <v>NÃO</v>
      </c>
      <c r="B515" s="2" t="str">
        <f>_xlfn.XLOOKUP($N515,'Base de Grupos'!$A:$A,'Base de Grupos'!$D:$D)</f>
        <v>1000065763</v>
      </c>
      <c r="C515" s="5" t="str">
        <f>_xlfn.XLOOKUP($N515,'Base de Grupos'!$A:$A,'Base de Grupos'!$E:$E)</f>
        <v>CANAL VENDA INTERNA</v>
      </c>
      <c r="D515" s="5" t="str">
        <f>_xlfn.XLOOKUP($N515,'Base de Grupos'!$A:$A,'Base de Grupos'!$F:$F)</f>
        <v>1000065763</v>
      </c>
      <c r="E515" s="2" t="str">
        <f>_xlfn.XLOOKUP($N515,'Base de Grupos'!$A:$A,'Base de Grupos'!$G:$G)</f>
        <v>CANAL VENDA INTERNA</v>
      </c>
      <c r="F515" s="2" t="str">
        <f>_xlfn.XLOOKUP($N515,'Base de Grupos'!$A:$A,'Base de Grupos'!$H:$H)</f>
        <v>1000153245</v>
      </c>
      <c r="G515" s="5" t="str">
        <f>_xlfn.XLOOKUP($N515,'Base de Grupos'!$A:$A,'Base de Grupos'!$I:$I)</f>
        <v>REGIONAL VENDA INTERNA - KEY ACCOUNT</v>
      </c>
      <c r="H515" s="5" t="str">
        <f>_xlfn.XLOOKUP($N515,'Base de Grupos'!$A:$A,'Base de Grupos'!$J:$J)</f>
        <v>1000153245</v>
      </c>
      <c r="I515" s="2" t="str">
        <f>_xlfn.XLOOKUP($N515,'Base de Grupos'!$A:$A,'Base de Grupos'!$K:$K)</f>
        <v>REGIONAL VENDA INTERNA - KEY ACCOUNT</v>
      </c>
      <c r="J515" s="2" t="str">
        <f>_xlfn.XLOOKUP($N515,'Base de Grupos'!$A:$A,'Base de Grupos'!$L:$L)</f>
        <v>1000153245</v>
      </c>
      <c r="K515" s="5" t="str">
        <f>_xlfn.XLOOKUP($N515,'Base de Grupos'!$A:$A,'Base de Grupos'!$M:$M)</f>
        <v>REGIONAL VENDA INTERNA - KEY ACCOUNT</v>
      </c>
      <c r="L515" s="5" t="str">
        <f t="shared" si="541"/>
        <v/>
      </c>
      <c r="M515" s="5" t="str">
        <f>_xlfn.XLOOKUP($N515,'Base de Grupos'!$A:$A,'Base de Grupos'!$C:$C)</f>
        <v>PR</v>
      </c>
      <c r="N515" s="3">
        <v>1428</v>
      </c>
      <c r="O515" s="4" t="s">
        <v>252</v>
      </c>
      <c r="P515" s="5" t="s">
        <v>86</v>
      </c>
      <c r="Q515" s="56">
        <v>0</v>
      </c>
      <c r="R515" s="56">
        <v>89.608571428571423</v>
      </c>
      <c r="S515" s="56">
        <v>179.21714285714285</v>
      </c>
      <c r="T515" s="56">
        <f>_xlfn.XLOOKUP($N515,'Calculo Leads'!$A$97:$A$134,'Calculo Leads'!G$97:G$134)*_xlfn.XLOOKUP($P515,'Base Grupo de Produtos'!$E$2:$E$18,'Base Grupo de Produtos'!$F$2:$F$18)</f>
        <v>30</v>
      </c>
      <c r="U515" s="56">
        <f>_xlfn.XLOOKUP($N515,'Calculo Leads'!$A$97:$A$134,'Calculo Leads'!H$97:H$134)*_xlfn.XLOOKUP($P515,'Base Grupo de Produtos'!$E$2:$E$18,'Base Grupo de Produtos'!$F$2:$F$18)</f>
        <v>30</v>
      </c>
      <c r="V515" s="56">
        <f>_xlfn.XLOOKUP($N515,'Calculo Leads'!$A$97:$A$134,'Calculo Leads'!I$97:I$134)*_xlfn.XLOOKUP($P515,'Base Grupo de Produtos'!$E$2:$E$18,'Base Grupo de Produtos'!$F$2:$F$18)</f>
        <v>30</v>
      </c>
      <c r="W515" s="56">
        <f>_xlfn.XLOOKUP($N515,'Calculo Leads'!$A$97:$A$134,'Calculo Leads'!J$97:J$134)*_xlfn.XLOOKUP($P515,'Base Grupo de Produtos'!$E$2:$E$18,'Base Grupo de Produtos'!$F$2:$F$18)</f>
        <v>30</v>
      </c>
      <c r="X515" s="56">
        <f>_xlfn.XLOOKUP($N515,'Calculo Leads'!$A$97:$A$134,'Calculo Leads'!K$97:K$134)*_xlfn.XLOOKUP($P515,'Base Grupo de Produtos'!$E$2:$E$18,'Base Grupo de Produtos'!$F$2:$F$18)</f>
        <v>33</v>
      </c>
      <c r="Y515" s="56">
        <f>_xlfn.XLOOKUP($N515,'Calculo Leads'!$A$97:$A$134,'Calculo Leads'!L$97:L$134)*_xlfn.XLOOKUP($P515,'Base Grupo de Produtos'!$E$2:$E$18,'Base Grupo de Produtos'!$F$2:$F$18)</f>
        <v>33</v>
      </c>
      <c r="Z515" s="56">
        <f>_xlfn.XLOOKUP($N515,'Calculo Leads'!$A$97:$A$134,'Calculo Leads'!M$97:M$134)*_xlfn.XLOOKUP($P515,'Base Grupo de Produtos'!$E$2:$E$18,'Base Grupo de Produtos'!$F$2:$F$18)</f>
        <v>33</v>
      </c>
      <c r="AA515" s="56">
        <f>_xlfn.XLOOKUP($N515,'Calculo Leads'!$A$97:$A$134,'Calculo Leads'!N$97:N$134)*_xlfn.XLOOKUP($P515,'Base Grupo de Produtos'!$E$2:$E$18,'Base Grupo de Produtos'!$F$2:$F$18)</f>
        <v>66</v>
      </c>
      <c r="AB515" s="56">
        <f>_xlfn.XLOOKUP($N515,'Calculo Leads'!$A$97:$A$134,'Calculo Leads'!O$97:O$134)*_xlfn.XLOOKUP($P515,'Base Grupo de Produtos'!$E$2:$E$18,'Base Grupo de Produtos'!$F$2:$F$18)</f>
        <v>33</v>
      </c>
      <c r="AC515" s="61">
        <f t="shared" si="499"/>
        <v>318</v>
      </c>
      <c r="AD515" s="27">
        <f t="shared" si="558"/>
        <v>318</v>
      </c>
      <c r="AE515" s="25">
        <f>IFERROR(_xlfn.XLOOKUP(N515&amp;P515,'Historico Vendas'!G:G,'Historico Vendas'!E:E),0)</f>
        <v>0</v>
      </c>
      <c r="AF515" s="29" t="str">
        <f t="shared" si="539"/>
        <v/>
      </c>
      <c r="AG515" s="24">
        <f>IFERROR(_xlfn.XLOOKUP(N515&amp;P515,'Historico Vendas'!G:G,'Historico Vendas'!F:F),0)</f>
        <v>0</v>
      </c>
      <c r="AH515" s="25">
        <f t="shared" si="559"/>
        <v>268.8257142857143</v>
      </c>
      <c r="AI515" s="24">
        <f t="shared" si="560"/>
        <v>268.8257142857143</v>
      </c>
      <c r="AJ515" s="11">
        <f t="shared" si="542"/>
        <v>0</v>
      </c>
      <c r="AK515" s="9" t="s">
        <v>102</v>
      </c>
      <c r="AL515" s="13">
        <f>IFERROR(INDEX('Balizador da Meta'!$D$3:$F$23,MATCH(Faturamento!$P515,'Balizador da Meta'!$C$3:$C$23,0),MATCH(Faturamento!AK515,'Balizador da Meta'!$D$2:$F$2,0)),"")</f>
        <v>0.15</v>
      </c>
      <c r="AM515" s="9"/>
    </row>
    <row r="516" spans="1:39" x14ac:dyDescent="0.3">
      <c r="A516" s="2" t="str">
        <f t="shared" si="540"/>
        <v>NÃO</v>
      </c>
      <c r="B516" s="2" t="str">
        <f>_xlfn.XLOOKUP($N516,'Base de Grupos'!$A:$A,'Base de Grupos'!$D:$D)</f>
        <v>1000065763</v>
      </c>
      <c r="C516" s="5" t="str">
        <f>_xlfn.XLOOKUP($N516,'Base de Grupos'!$A:$A,'Base de Grupos'!$E:$E)</f>
        <v>CANAL VENDA INTERNA</v>
      </c>
      <c r="D516" s="5" t="str">
        <f>_xlfn.XLOOKUP($N516,'Base de Grupos'!$A:$A,'Base de Grupos'!$F:$F)</f>
        <v>1000065763</v>
      </c>
      <c r="E516" s="2" t="str">
        <f>_xlfn.XLOOKUP($N516,'Base de Grupos'!$A:$A,'Base de Grupos'!$G:$G)</f>
        <v>CANAL VENDA INTERNA</v>
      </c>
      <c r="F516" s="2" t="str">
        <f>_xlfn.XLOOKUP($N516,'Base de Grupos'!$A:$A,'Base de Grupos'!$H:$H)</f>
        <v>1000153245</v>
      </c>
      <c r="G516" s="5" t="str">
        <f>_xlfn.XLOOKUP($N516,'Base de Grupos'!$A:$A,'Base de Grupos'!$I:$I)</f>
        <v>REGIONAL VENDA INTERNA - KEY ACCOUNT</v>
      </c>
      <c r="H516" s="5" t="str">
        <f>_xlfn.XLOOKUP($N516,'Base de Grupos'!$A:$A,'Base de Grupos'!$J:$J)</f>
        <v>1000153245</v>
      </c>
      <c r="I516" s="2" t="str">
        <f>_xlfn.XLOOKUP($N516,'Base de Grupos'!$A:$A,'Base de Grupos'!$K:$K)</f>
        <v>REGIONAL VENDA INTERNA - KEY ACCOUNT</v>
      </c>
      <c r="J516" s="2" t="str">
        <f>_xlfn.XLOOKUP($N516,'Base de Grupos'!$A:$A,'Base de Grupos'!$L:$L)</f>
        <v>1000153245</v>
      </c>
      <c r="K516" s="5" t="str">
        <f>_xlfn.XLOOKUP($N516,'Base de Grupos'!$A:$A,'Base de Grupos'!$M:$M)</f>
        <v>REGIONAL VENDA INTERNA - KEY ACCOUNT</v>
      </c>
      <c r="L516" s="5" t="str">
        <f t="shared" si="541"/>
        <v/>
      </c>
      <c r="M516" s="5" t="str">
        <f>_xlfn.XLOOKUP($N516,'Base de Grupos'!$A:$A,'Base de Grupos'!$C:$C)</f>
        <v>PR</v>
      </c>
      <c r="N516" s="3">
        <v>1428</v>
      </c>
      <c r="O516" s="4" t="s">
        <v>252</v>
      </c>
      <c r="P516" s="5" t="s">
        <v>108</v>
      </c>
      <c r="Q516" s="56">
        <v>0</v>
      </c>
      <c r="R516" s="56">
        <v>516.1430303030304</v>
      </c>
      <c r="S516" s="56">
        <v>602.16686868686872</v>
      </c>
      <c r="T516" s="56">
        <f>_xlfn.XLOOKUP($N516,'Calculo Leads'!$A$97:$A$134,'Calculo Leads'!G$97:G$134)*_xlfn.XLOOKUP($P516,'Base Grupo de Produtos'!$E$2:$E$18,'Base Grupo de Produtos'!$F$2:$F$18)</f>
        <v>250</v>
      </c>
      <c r="U516" s="56">
        <f>_xlfn.XLOOKUP($N516,'Calculo Leads'!$A$97:$A$134,'Calculo Leads'!H$97:H$134)*_xlfn.XLOOKUP($P516,'Base Grupo de Produtos'!$E$2:$E$18,'Base Grupo de Produtos'!$F$2:$F$18)</f>
        <v>250</v>
      </c>
      <c r="V516" s="56">
        <f>_xlfn.XLOOKUP($N516,'Calculo Leads'!$A$97:$A$134,'Calculo Leads'!I$97:I$134)*_xlfn.XLOOKUP($P516,'Base Grupo de Produtos'!$E$2:$E$18,'Base Grupo de Produtos'!$F$2:$F$18)</f>
        <v>250</v>
      </c>
      <c r="W516" s="56">
        <f>_xlfn.XLOOKUP($N516,'Calculo Leads'!$A$97:$A$134,'Calculo Leads'!J$97:J$134)*_xlfn.XLOOKUP($P516,'Base Grupo de Produtos'!$E$2:$E$18,'Base Grupo de Produtos'!$F$2:$F$18)</f>
        <v>250</v>
      </c>
      <c r="X516" s="56">
        <f>_xlfn.XLOOKUP($N516,'Calculo Leads'!$A$97:$A$134,'Calculo Leads'!K$97:K$134)*_xlfn.XLOOKUP($P516,'Base Grupo de Produtos'!$E$2:$E$18,'Base Grupo de Produtos'!$F$2:$F$18)</f>
        <v>275</v>
      </c>
      <c r="Y516" s="56">
        <f>_xlfn.XLOOKUP($N516,'Calculo Leads'!$A$97:$A$134,'Calculo Leads'!L$97:L$134)*_xlfn.XLOOKUP($P516,'Base Grupo de Produtos'!$E$2:$E$18,'Base Grupo de Produtos'!$F$2:$F$18)</f>
        <v>275</v>
      </c>
      <c r="Z516" s="56">
        <f>_xlfn.XLOOKUP($N516,'Calculo Leads'!$A$97:$A$134,'Calculo Leads'!M$97:M$134)*_xlfn.XLOOKUP($P516,'Base Grupo de Produtos'!$E$2:$E$18,'Base Grupo de Produtos'!$F$2:$F$18)</f>
        <v>275</v>
      </c>
      <c r="AA516" s="56">
        <f>_xlfn.XLOOKUP($N516,'Calculo Leads'!$A$97:$A$134,'Calculo Leads'!N$97:N$134)*_xlfn.XLOOKUP($P516,'Base Grupo de Produtos'!$E$2:$E$18,'Base Grupo de Produtos'!$F$2:$F$18)</f>
        <v>550</v>
      </c>
      <c r="AB516" s="56">
        <f>_xlfn.XLOOKUP($N516,'Calculo Leads'!$A$97:$A$134,'Calculo Leads'!O$97:O$134)*_xlfn.XLOOKUP($P516,'Base Grupo de Produtos'!$E$2:$E$18,'Base Grupo de Produtos'!$F$2:$F$18)</f>
        <v>275</v>
      </c>
      <c r="AC516" s="61">
        <f t="shared" si="499"/>
        <v>2650</v>
      </c>
      <c r="AD516" s="27">
        <f t="shared" si="558"/>
        <v>2650</v>
      </c>
      <c r="AE516" s="25">
        <f>IFERROR(_xlfn.XLOOKUP(N516&amp;P516,'Historico Vendas'!G:G,'Historico Vendas'!E:E),0)</f>
        <v>0</v>
      </c>
      <c r="AF516" s="29" t="str">
        <f t="shared" si="539"/>
        <v/>
      </c>
      <c r="AG516" s="24">
        <f>IFERROR(_xlfn.XLOOKUP(N516&amp;P516,'Historico Vendas'!G:G,'Historico Vendas'!F:F),0)</f>
        <v>0</v>
      </c>
      <c r="AH516" s="25">
        <f t="shared" si="559"/>
        <v>1118.309898989899</v>
      </c>
      <c r="AI516" s="24">
        <f t="shared" si="560"/>
        <v>1118.309898989899</v>
      </c>
      <c r="AJ516" s="11">
        <f t="shared" si="542"/>
        <v>0</v>
      </c>
      <c r="AK516" s="9" t="s">
        <v>102</v>
      </c>
      <c r="AL516" s="13">
        <f>IFERROR(INDEX('Balizador da Meta'!$D$3:$F$23,MATCH(Faturamento!$P516,'Balizador da Meta'!$C$3:$C$23,0),MATCH(Faturamento!AK516,'Balizador da Meta'!$D$2:$F$2,0)),"")</f>
        <v>0</v>
      </c>
      <c r="AM516" s="9"/>
    </row>
    <row r="517" spans="1:39" x14ac:dyDescent="0.3">
      <c r="A517" s="2" t="str">
        <f t="shared" si="540"/>
        <v>NÃO</v>
      </c>
      <c r="B517" s="2" t="str">
        <f>_xlfn.XLOOKUP($N517,'Base de Grupos'!$A:$A,'Base de Grupos'!$D:$D)</f>
        <v>1000065763</v>
      </c>
      <c r="C517" s="5" t="str">
        <f>_xlfn.XLOOKUP($N517,'Base de Grupos'!$A:$A,'Base de Grupos'!$E:$E)</f>
        <v>CANAL VENDA INTERNA</v>
      </c>
      <c r="D517" s="5" t="str">
        <f>_xlfn.XLOOKUP($N517,'Base de Grupos'!$A:$A,'Base de Grupos'!$F:$F)</f>
        <v>1000065763</v>
      </c>
      <c r="E517" s="2" t="str">
        <f>_xlfn.XLOOKUP($N517,'Base de Grupos'!$A:$A,'Base de Grupos'!$G:$G)</f>
        <v>CANAL VENDA INTERNA</v>
      </c>
      <c r="F517" s="2" t="str">
        <f>_xlfn.XLOOKUP($N517,'Base de Grupos'!$A:$A,'Base de Grupos'!$H:$H)</f>
        <v>1000153245</v>
      </c>
      <c r="G517" s="5" t="str">
        <f>_xlfn.XLOOKUP($N517,'Base de Grupos'!$A:$A,'Base de Grupos'!$I:$I)</f>
        <v>REGIONAL VENDA INTERNA - KEY ACCOUNT</v>
      </c>
      <c r="H517" s="5" t="str">
        <f>_xlfn.XLOOKUP($N517,'Base de Grupos'!$A:$A,'Base de Grupos'!$J:$J)</f>
        <v>1000153245</v>
      </c>
      <c r="I517" s="2" t="str">
        <f>_xlfn.XLOOKUP($N517,'Base de Grupos'!$A:$A,'Base de Grupos'!$K:$K)</f>
        <v>REGIONAL VENDA INTERNA - KEY ACCOUNT</v>
      </c>
      <c r="J517" s="2" t="str">
        <f>_xlfn.XLOOKUP($N517,'Base de Grupos'!$A:$A,'Base de Grupos'!$L:$L)</f>
        <v>1000153245</v>
      </c>
      <c r="K517" s="5" t="str">
        <f>_xlfn.XLOOKUP($N517,'Base de Grupos'!$A:$A,'Base de Grupos'!$M:$M)</f>
        <v>REGIONAL VENDA INTERNA - KEY ACCOUNT</v>
      </c>
      <c r="L517" s="5" t="str">
        <f t="shared" si="541"/>
        <v/>
      </c>
      <c r="M517" s="5" t="str">
        <f>_xlfn.XLOOKUP($N517,'Base de Grupos'!$A:$A,'Base de Grupos'!$C:$C)</f>
        <v>PR</v>
      </c>
      <c r="N517" s="3">
        <v>1428</v>
      </c>
      <c r="O517" s="4" t="s">
        <v>252</v>
      </c>
      <c r="P517" s="5" t="s">
        <v>89</v>
      </c>
      <c r="Q517" s="56">
        <v>0</v>
      </c>
      <c r="R517" s="56">
        <v>627.6857142857142</v>
      </c>
      <c r="S517" s="56">
        <v>627.6857142857142</v>
      </c>
      <c r="T517" s="56">
        <f>_xlfn.XLOOKUP($N517,'Calculo Leads'!$A$97:$A$134,'Calculo Leads'!G$97:G$134)*_xlfn.XLOOKUP($P517,'Base Grupo de Produtos'!$E$2:$E$18,'Base Grupo de Produtos'!$F$2:$F$18)</f>
        <v>50</v>
      </c>
      <c r="U517" s="56">
        <f>_xlfn.XLOOKUP($N517,'Calculo Leads'!$A$97:$A$134,'Calculo Leads'!H$97:H$134)*_xlfn.XLOOKUP($P517,'Base Grupo de Produtos'!$E$2:$E$18,'Base Grupo de Produtos'!$F$2:$F$18)</f>
        <v>50</v>
      </c>
      <c r="V517" s="56">
        <f>_xlfn.XLOOKUP($N517,'Calculo Leads'!$A$97:$A$134,'Calculo Leads'!I$97:I$134)*_xlfn.XLOOKUP($P517,'Base Grupo de Produtos'!$E$2:$E$18,'Base Grupo de Produtos'!$F$2:$F$18)</f>
        <v>50</v>
      </c>
      <c r="W517" s="56">
        <f>_xlfn.XLOOKUP($N517,'Calculo Leads'!$A$97:$A$134,'Calculo Leads'!J$97:J$134)*_xlfn.XLOOKUP($P517,'Base Grupo de Produtos'!$E$2:$E$18,'Base Grupo de Produtos'!$F$2:$F$18)</f>
        <v>50</v>
      </c>
      <c r="X517" s="56">
        <f>_xlfn.XLOOKUP($N517,'Calculo Leads'!$A$97:$A$134,'Calculo Leads'!K$97:K$134)*_xlfn.XLOOKUP($P517,'Base Grupo de Produtos'!$E$2:$E$18,'Base Grupo de Produtos'!$F$2:$F$18)</f>
        <v>55</v>
      </c>
      <c r="Y517" s="56">
        <f>_xlfn.XLOOKUP($N517,'Calculo Leads'!$A$97:$A$134,'Calculo Leads'!L$97:L$134)*_xlfn.XLOOKUP($P517,'Base Grupo de Produtos'!$E$2:$E$18,'Base Grupo de Produtos'!$F$2:$F$18)</f>
        <v>55</v>
      </c>
      <c r="Z517" s="56">
        <f>_xlfn.XLOOKUP($N517,'Calculo Leads'!$A$97:$A$134,'Calculo Leads'!M$97:M$134)*_xlfn.XLOOKUP($P517,'Base Grupo de Produtos'!$E$2:$E$18,'Base Grupo de Produtos'!$F$2:$F$18)</f>
        <v>55</v>
      </c>
      <c r="AA517" s="56">
        <f>_xlfn.XLOOKUP($N517,'Calculo Leads'!$A$97:$A$134,'Calculo Leads'!N$97:N$134)*_xlfn.XLOOKUP($P517,'Base Grupo de Produtos'!$E$2:$E$18,'Base Grupo de Produtos'!$F$2:$F$18)</f>
        <v>110</v>
      </c>
      <c r="AB517" s="56">
        <f>_xlfn.XLOOKUP($N517,'Calculo Leads'!$A$97:$A$134,'Calculo Leads'!O$97:O$134)*_xlfn.XLOOKUP($P517,'Base Grupo de Produtos'!$E$2:$E$18,'Base Grupo de Produtos'!$F$2:$F$18)</f>
        <v>55</v>
      </c>
      <c r="AC517" s="61">
        <f t="shared" ref="AC517:AC580" si="561">SUM(T517:AB517)</f>
        <v>530</v>
      </c>
      <c r="AD517" s="27">
        <f t="shared" si="558"/>
        <v>530</v>
      </c>
      <c r="AE517" s="25">
        <f>IFERROR(_xlfn.XLOOKUP(N517&amp;P517,'Historico Vendas'!G:G,'Historico Vendas'!E:E),0)</f>
        <v>0</v>
      </c>
      <c r="AF517" s="29" t="str">
        <f t="shared" si="539"/>
        <v/>
      </c>
      <c r="AG517" s="24">
        <f>IFERROR(_xlfn.XLOOKUP(N517&amp;P517,'Historico Vendas'!G:G,'Historico Vendas'!F:F),0)</f>
        <v>0</v>
      </c>
      <c r="AH517" s="25">
        <f t="shared" si="559"/>
        <v>1255.3714285714284</v>
      </c>
      <c r="AI517" s="24">
        <f t="shared" si="560"/>
        <v>1255.3714285714284</v>
      </c>
      <c r="AJ517" s="11">
        <f t="shared" si="542"/>
        <v>0</v>
      </c>
      <c r="AK517" s="9" t="s">
        <v>102</v>
      </c>
      <c r="AL517" s="13">
        <f>IFERROR(INDEX('Balizador da Meta'!$D$3:$F$23,MATCH(Faturamento!$P517,'Balizador da Meta'!$C$3:$C$23,0),MATCH(Faturamento!AK517,'Balizador da Meta'!$D$2:$F$2,0)),"")</f>
        <v>0.25</v>
      </c>
      <c r="AM517" s="9"/>
    </row>
    <row r="518" spans="1:39" x14ac:dyDescent="0.3">
      <c r="A518" s="2" t="str">
        <f t="shared" si="540"/>
        <v>NÃO</v>
      </c>
      <c r="B518" s="2" t="str">
        <f>_xlfn.XLOOKUP($N518,'Base de Grupos'!$A:$A,'Base de Grupos'!$D:$D)</f>
        <v>1000065763</v>
      </c>
      <c r="C518" s="5" t="str">
        <f>_xlfn.XLOOKUP($N518,'Base de Grupos'!$A:$A,'Base de Grupos'!$E:$E)</f>
        <v>CANAL VENDA INTERNA</v>
      </c>
      <c r="D518" s="5" t="str">
        <f>_xlfn.XLOOKUP($N518,'Base de Grupos'!$A:$A,'Base de Grupos'!$F:$F)</f>
        <v>1000065763</v>
      </c>
      <c r="E518" s="2" t="str">
        <f>_xlfn.XLOOKUP($N518,'Base de Grupos'!$A:$A,'Base de Grupos'!$G:$G)</f>
        <v>CANAL VENDA INTERNA</v>
      </c>
      <c r="F518" s="2" t="str">
        <f>_xlfn.XLOOKUP($N518,'Base de Grupos'!$A:$A,'Base de Grupos'!$H:$H)</f>
        <v>1000153245</v>
      </c>
      <c r="G518" s="5" t="str">
        <f>_xlfn.XLOOKUP($N518,'Base de Grupos'!$A:$A,'Base de Grupos'!$I:$I)</f>
        <v>REGIONAL VENDA INTERNA - KEY ACCOUNT</v>
      </c>
      <c r="H518" s="5" t="str">
        <f>_xlfn.XLOOKUP($N518,'Base de Grupos'!$A:$A,'Base de Grupos'!$J:$J)</f>
        <v>1000153245</v>
      </c>
      <c r="I518" s="2" t="str">
        <f>_xlfn.XLOOKUP($N518,'Base de Grupos'!$A:$A,'Base de Grupos'!$K:$K)</f>
        <v>REGIONAL VENDA INTERNA - KEY ACCOUNT</v>
      </c>
      <c r="J518" s="2" t="str">
        <f>_xlfn.XLOOKUP($N518,'Base de Grupos'!$A:$A,'Base de Grupos'!$L:$L)</f>
        <v>1000153245</v>
      </c>
      <c r="K518" s="5" t="str">
        <f>_xlfn.XLOOKUP($N518,'Base de Grupos'!$A:$A,'Base de Grupos'!$M:$M)</f>
        <v>REGIONAL VENDA INTERNA - KEY ACCOUNT</v>
      </c>
      <c r="L518" s="5" t="str">
        <f t="shared" si="541"/>
        <v/>
      </c>
      <c r="M518" s="5" t="str">
        <f>_xlfn.XLOOKUP($N518,'Base de Grupos'!$A:$A,'Base de Grupos'!$C:$C)</f>
        <v>PR</v>
      </c>
      <c r="N518" s="3">
        <v>1428</v>
      </c>
      <c r="O518" s="4" t="s">
        <v>252</v>
      </c>
      <c r="P518" s="5" t="s">
        <v>88</v>
      </c>
      <c r="Q518" s="56">
        <v>0</v>
      </c>
      <c r="R518" s="56">
        <v>119.60088888888889</v>
      </c>
      <c r="S518" s="56">
        <v>239.20177777777778</v>
      </c>
      <c r="T518" s="56">
        <f>_xlfn.XLOOKUP($N518,'Calculo Leads'!$A$97:$A$134,'Calculo Leads'!G$97:G$134)*_xlfn.XLOOKUP($P518,'Base Grupo de Produtos'!$E$2:$E$18,'Base Grupo de Produtos'!$F$2:$F$18)</f>
        <v>50</v>
      </c>
      <c r="U518" s="56">
        <f>_xlfn.XLOOKUP($N518,'Calculo Leads'!$A$97:$A$134,'Calculo Leads'!H$97:H$134)*_xlfn.XLOOKUP($P518,'Base Grupo de Produtos'!$E$2:$E$18,'Base Grupo de Produtos'!$F$2:$F$18)</f>
        <v>50</v>
      </c>
      <c r="V518" s="56">
        <f>_xlfn.XLOOKUP($N518,'Calculo Leads'!$A$97:$A$134,'Calculo Leads'!I$97:I$134)*_xlfn.XLOOKUP($P518,'Base Grupo de Produtos'!$E$2:$E$18,'Base Grupo de Produtos'!$F$2:$F$18)</f>
        <v>50</v>
      </c>
      <c r="W518" s="56">
        <f>_xlfn.XLOOKUP($N518,'Calculo Leads'!$A$97:$A$134,'Calculo Leads'!J$97:J$134)*_xlfn.XLOOKUP($P518,'Base Grupo de Produtos'!$E$2:$E$18,'Base Grupo de Produtos'!$F$2:$F$18)</f>
        <v>50</v>
      </c>
      <c r="X518" s="56">
        <f>_xlfn.XLOOKUP($N518,'Calculo Leads'!$A$97:$A$134,'Calculo Leads'!K$97:K$134)*_xlfn.XLOOKUP($P518,'Base Grupo de Produtos'!$E$2:$E$18,'Base Grupo de Produtos'!$F$2:$F$18)</f>
        <v>55</v>
      </c>
      <c r="Y518" s="56">
        <f>_xlfn.XLOOKUP($N518,'Calculo Leads'!$A$97:$A$134,'Calculo Leads'!L$97:L$134)*_xlfn.XLOOKUP($P518,'Base Grupo de Produtos'!$E$2:$E$18,'Base Grupo de Produtos'!$F$2:$F$18)</f>
        <v>55</v>
      </c>
      <c r="Z518" s="56">
        <f>_xlfn.XLOOKUP($N518,'Calculo Leads'!$A$97:$A$134,'Calculo Leads'!M$97:M$134)*_xlfn.XLOOKUP($P518,'Base Grupo de Produtos'!$E$2:$E$18,'Base Grupo de Produtos'!$F$2:$F$18)</f>
        <v>55</v>
      </c>
      <c r="AA518" s="56">
        <f>_xlfn.XLOOKUP($N518,'Calculo Leads'!$A$97:$A$134,'Calculo Leads'!N$97:N$134)*_xlfn.XLOOKUP($P518,'Base Grupo de Produtos'!$E$2:$E$18,'Base Grupo de Produtos'!$F$2:$F$18)</f>
        <v>110</v>
      </c>
      <c r="AB518" s="56">
        <f>_xlfn.XLOOKUP($N518,'Calculo Leads'!$A$97:$A$134,'Calculo Leads'!O$97:O$134)*_xlfn.XLOOKUP($P518,'Base Grupo de Produtos'!$E$2:$E$18,'Base Grupo de Produtos'!$F$2:$F$18)</f>
        <v>55</v>
      </c>
      <c r="AC518" s="61">
        <f t="shared" si="561"/>
        <v>530</v>
      </c>
      <c r="AD518" s="27">
        <f t="shared" si="558"/>
        <v>530</v>
      </c>
      <c r="AE518" s="25">
        <f>IFERROR(_xlfn.XLOOKUP(N518&amp;P518,'Historico Vendas'!G:G,'Historico Vendas'!E:E),0)</f>
        <v>0</v>
      </c>
      <c r="AF518" s="29" t="str">
        <f t="shared" si="539"/>
        <v/>
      </c>
      <c r="AG518" s="24">
        <f>IFERROR(_xlfn.XLOOKUP(N518&amp;P518,'Historico Vendas'!G:G,'Historico Vendas'!F:F),0)</f>
        <v>0</v>
      </c>
      <c r="AH518" s="25">
        <f t="shared" si="559"/>
        <v>358.80266666666665</v>
      </c>
      <c r="AI518" s="24">
        <f t="shared" si="560"/>
        <v>358.80266666666665</v>
      </c>
      <c r="AJ518" s="11">
        <f t="shared" si="542"/>
        <v>0</v>
      </c>
      <c r="AK518" s="9" t="s">
        <v>102</v>
      </c>
      <c r="AL518" s="13">
        <f>IFERROR(INDEX('Balizador da Meta'!$D$3:$F$23,MATCH(Faturamento!$P518,'Balizador da Meta'!$C$3:$C$23,0),MATCH(Faturamento!AK518,'Balizador da Meta'!$D$2:$F$2,0)),"")</f>
        <v>0</v>
      </c>
      <c r="AM518" s="9"/>
    </row>
    <row r="519" spans="1:39" x14ac:dyDescent="0.3">
      <c r="A519" s="2" t="str">
        <f t="shared" si="540"/>
        <v>NÃO</v>
      </c>
      <c r="B519" s="2" t="str">
        <f>_xlfn.XLOOKUP($N519,'Base de Grupos'!$A:$A,'Base de Grupos'!$D:$D)</f>
        <v>1000065763</v>
      </c>
      <c r="C519" s="5" t="str">
        <f>_xlfn.XLOOKUP($N519,'Base de Grupos'!$A:$A,'Base de Grupos'!$E:$E)</f>
        <v>CANAL VENDA INTERNA</v>
      </c>
      <c r="D519" s="5" t="str">
        <f>_xlfn.XLOOKUP($N519,'Base de Grupos'!$A:$A,'Base de Grupos'!$F:$F)</f>
        <v>1000065763</v>
      </c>
      <c r="E519" s="2" t="str">
        <f>_xlfn.XLOOKUP($N519,'Base de Grupos'!$A:$A,'Base de Grupos'!$G:$G)</f>
        <v>CANAL VENDA INTERNA</v>
      </c>
      <c r="F519" s="2" t="str">
        <f>_xlfn.XLOOKUP($N519,'Base de Grupos'!$A:$A,'Base de Grupos'!$H:$H)</f>
        <v>1000153245</v>
      </c>
      <c r="G519" s="5" t="str">
        <f>_xlfn.XLOOKUP($N519,'Base de Grupos'!$A:$A,'Base de Grupos'!$I:$I)</f>
        <v>REGIONAL VENDA INTERNA - KEY ACCOUNT</v>
      </c>
      <c r="H519" s="5" t="str">
        <f>_xlfn.XLOOKUP($N519,'Base de Grupos'!$A:$A,'Base de Grupos'!$J:$J)</f>
        <v>1000153245</v>
      </c>
      <c r="I519" s="2" t="str">
        <f>_xlfn.XLOOKUP($N519,'Base de Grupos'!$A:$A,'Base de Grupos'!$K:$K)</f>
        <v>REGIONAL VENDA INTERNA - KEY ACCOUNT</v>
      </c>
      <c r="J519" s="2" t="str">
        <f>_xlfn.XLOOKUP($N519,'Base de Grupos'!$A:$A,'Base de Grupos'!$L:$L)</f>
        <v>1000153245</v>
      </c>
      <c r="K519" s="5" t="str">
        <f>_xlfn.XLOOKUP($N519,'Base de Grupos'!$A:$A,'Base de Grupos'!$M:$M)</f>
        <v>REGIONAL VENDA INTERNA - KEY ACCOUNT</v>
      </c>
      <c r="L519" s="5" t="str">
        <f t="shared" si="541"/>
        <v/>
      </c>
      <c r="M519" s="5" t="str">
        <f>_xlfn.XLOOKUP($N519,'Base de Grupos'!$A:$A,'Base de Grupos'!$C:$C)</f>
        <v>PR</v>
      </c>
      <c r="N519" s="3">
        <v>1428</v>
      </c>
      <c r="O519" s="4" t="s">
        <v>252</v>
      </c>
      <c r="P519" s="5" t="s">
        <v>90</v>
      </c>
      <c r="Q519" s="56">
        <v>0</v>
      </c>
      <c r="R519" s="56">
        <v>204.36930232558137</v>
      </c>
      <c r="S519" s="56">
        <v>204.36930232558137</v>
      </c>
      <c r="T519" s="56">
        <f>_xlfn.XLOOKUP($N519,'Calculo Leads'!$A$97:$A$134,'Calculo Leads'!G$97:G$134)*_xlfn.XLOOKUP($P519,'Base Grupo de Produtos'!$E$2:$E$18,'Base Grupo de Produtos'!$F$2:$F$18)</f>
        <v>50</v>
      </c>
      <c r="U519" s="56">
        <f>_xlfn.XLOOKUP($N519,'Calculo Leads'!$A$97:$A$134,'Calculo Leads'!H$97:H$134)*_xlfn.XLOOKUP($P519,'Base Grupo de Produtos'!$E$2:$E$18,'Base Grupo de Produtos'!$F$2:$F$18)</f>
        <v>50</v>
      </c>
      <c r="V519" s="56">
        <f>_xlfn.XLOOKUP($N519,'Calculo Leads'!$A$97:$A$134,'Calculo Leads'!I$97:I$134)*_xlfn.XLOOKUP($P519,'Base Grupo de Produtos'!$E$2:$E$18,'Base Grupo de Produtos'!$F$2:$F$18)</f>
        <v>50</v>
      </c>
      <c r="W519" s="56">
        <f>_xlfn.XLOOKUP($N519,'Calculo Leads'!$A$97:$A$134,'Calculo Leads'!J$97:J$134)*_xlfn.XLOOKUP($P519,'Base Grupo de Produtos'!$E$2:$E$18,'Base Grupo de Produtos'!$F$2:$F$18)</f>
        <v>50</v>
      </c>
      <c r="X519" s="56">
        <f>_xlfn.XLOOKUP($N519,'Calculo Leads'!$A$97:$A$134,'Calculo Leads'!K$97:K$134)*_xlfn.XLOOKUP($P519,'Base Grupo de Produtos'!$E$2:$E$18,'Base Grupo de Produtos'!$F$2:$F$18)</f>
        <v>55</v>
      </c>
      <c r="Y519" s="56">
        <f>_xlfn.XLOOKUP($N519,'Calculo Leads'!$A$97:$A$134,'Calculo Leads'!L$97:L$134)*_xlfn.XLOOKUP($P519,'Base Grupo de Produtos'!$E$2:$E$18,'Base Grupo de Produtos'!$F$2:$F$18)</f>
        <v>55</v>
      </c>
      <c r="Z519" s="56">
        <f>_xlfn.XLOOKUP($N519,'Calculo Leads'!$A$97:$A$134,'Calculo Leads'!M$97:M$134)*_xlfn.XLOOKUP($P519,'Base Grupo de Produtos'!$E$2:$E$18,'Base Grupo de Produtos'!$F$2:$F$18)</f>
        <v>55</v>
      </c>
      <c r="AA519" s="56">
        <f>_xlfn.XLOOKUP($N519,'Calculo Leads'!$A$97:$A$134,'Calculo Leads'!N$97:N$134)*_xlfn.XLOOKUP($P519,'Base Grupo de Produtos'!$E$2:$E$18,'Base Grupo de Produtos'!$F$2:$F$18)</f>
        <v>110</v>
      </c>
      <c r="AB519" s="56">
        <f>_xlfn.XLOOKUP($N519,'Calculo Leads'!$A$97:$A$134,'Calculo Leads'!O$97:O$134)*_xlfn.XLOOKUP($P519,'Base Grupo de Produtos'!$E$2:$E$18,'Base Grupo de Produtos'!$F$2:$F$18)</f>
        <v>55</v>
      </c>
      <c r="AC519" s="61">
        <f t="shared" si="561"/>
        <v>530</v>
      </c>
      <c r="AD519" s="27">
        <f t="shared" si="558"/>
        <v>530</v>
      </c>
      <c r="AE519" s="25">
        <f>IFERROR(_xlfn.XLOOKUP(N519&amp;P519,'Historico Vendas'!G:G,'Historico Vendas'!E:E),0)</f>
        <v>0</v>
      </c>
      <c r="AF519" s="29" t="str">
        <f t="shared" si="539"/>
        <v/>
      </c>
      <c r="AG519" s="24">
        <f>IFERROR(_xlfn.XLOOKUP(N519&amp;P519,'Historico Vendas'!G:G,'Historico Vendas'!F:F),0)</f>
        <v>0</v>
      </c>
      <c r="AH519" s="25">
        <f t="shared" si="559"/>
        <v>408.73860465116275</v>
      </c>
      <c r="AI519" s="24">
        <f t="shared" si="560"/>
        <v>408.73860465116275</v>
      </c>
      <c r="AJ519" s="11">
        <f t="shared" si="542"/>
        <v>0</v>
      </c>
      <c r="AK519" s="9" t="s">
        <v>102</v>
      </c>
      <c r="AL519" s="13">
        <f>IFERROR(INDEX('Balizador da Meta'!$D$3:$F$23,MATCH(Faturamento!$P519,'Balizador da Meta'!$C$3:$C$23,0),MATCH(Faturamento!AK519,'Balizador da Meta'!$D$2:$F$2,0)),"")</f>
        <v>0</v>
      </c>
      <c r="AM519" s="9"/>
    </row>
    <row r="520" spans="1:39" x14ac:dyDescent="0.3">
      <c r="A520" s="2" t="str">
        <f t="shared" si="540"/>
        <v>NÃO</v>
      </c>
      <c r="B520" s="2" t="str">
        <f>_xlfn.XLOOKUP($N520,'Base de Grupos'!$A:$A,'Base de Grupos'!$D:$D)</f>
        <v>1000065763</v>
      </c>
      <c r="C520" s="5" t="str">
        <f>_xlfn.XLOOKUP($N520,'Base de Grupos'!$A:$A,'Base de Grupos'!$E:$E)</f>
        <v>CANAL VENDA INTERNA</v>
      </c>
      <c r="D520" s="5" t="str">
        <f>_xlfn.XLOOKUP($N520,'Base de Grupos'!$A:$A,'Base de Grupos'!$F:$F)</f>
        <v>1000065763</v>
      </c>
      <c r="E520" s="2" t="str">
        <f>_xlfn.XLOOKUP($N520,'Base de Grupos'!$A:$A,'Base de Grupos'!$G:$G)</f>
        <v>CANAL VENDA INTERNA</v>
      </c>
      <c r="F520" s="2" t="str">
        <f>_xlfn.XLOOKUP($N520,'Base de Grupos'!$A:$A,'Base de Grupos'!$H:$H)</f>
        <v>1000153245</v>
      </c>
      <c r="G520" s="5" t="str">
        <f>_xlfn.XLOOKUP($N520,'Base de Grupos'!$A:$A,'Base de Grupos'!$I:$I)</f>
        <v>REGIONAL VENDA INTERNA - KEY ACCOUNT</v>
      </c>
      <c r="H520" s="5" t="str">
        <f>_xlfn.XLOOKUP($N520,'Base de Grupos'!$A:$A,'Base de Grupos'!$J:$J)</f>
        <v>1000153245</v>
      </c>
      <c r="I520" s="2" t="str">
        <f>_xlfn.XLOOKUP($N520,'Base de Grupos'!$A:$A,'Base de Grupos'!$K:$K)</f>
        <v>REGIONAL VENDA INTERNA - KEY ACCOUNT</v>
      </c>
      <c r="J520" s="2" t="str">
        <f>_xlfn.XLOOKUP($N520,'Base de Grupos'!$A:$A,'Base de Grupos'!$L:$L)</f>
        <v>1000153245</v>
      </c>
      <c r="K520" s="5" t="str">
        <f>_xlfn.XLOOKUP($N520,'Base de Grupos'!$A:$A,'Base de Grupos'!$M:$M)</f>
        <v>REGIONAL VENDA INTERNA - KEY ACCOUNT</v>
      </c>
      <c r="L520" s="5" t="str">
        <f t="shared" si="541"/>
        <v/>
      </c>
      <c r="M520" s="5" t="str">
        <f>_xlfn.XLOOKUP($N520,'Base de Grupos'!$A:$A,'Base de Grupos'!$C:$C)</f>
        <v>PR</v>
      </c>
      <c r="N520" s="3">
        <v>1428</v>
      </c>
      <c r="O520" s="4" t="s">
        <v>252</v>
      </c>
      <c r="P520" s="5" t="s">
        <v>91</v>
      </c>
      <c r="Q520" s="56">
        <v>0</v>
      </c>
      <c r="R520" s="56">
        <v>143.15866666666668</v>
      </c>
      <c r="S520" s="56">
        <v>143.15866666666668</v>
      </c>
      <c r="T520" s="56">
        <f>_xlfn.XLOOKUP($N520,'Calculo Leads'!$A$97:$A$134,'Calculo Leads'!G$97:G$134)*_xlfn.XLOOKUP($P520,'Base Grupo de Produtos'!$E$2:$E$18,'Base Grupo de Produtos'!$F$2:$F$18)</f>
        <v>0</v>
      </c>
      <c r="U520" s="56">
        <f>_xlfn.XLOOKUP($N520,'Calculo Leads'!$A$97:$A$134,'Calculo Leads'!H$97:H$134)*_xlfn.XLOOKUP($P520,'Base Grupo de Produtos'!$E$2:$E$18,'Base Grupo de Produtos'!$F$2:$F$18)</f>
        <v>0</v>
      </c>
      <c r="V520" s="56">
        <f>_xlfn.XLOOKUP($N520,'Calculo Leads'!$A$97:$A$134,'Calculo Leads'!I$97:I$134)*_xlfn.XLOOKUP($P520,'Base Grupo de Produtos'!$E$2:$E$18,'Base Grupo de Produtos'!$F$2:$F$18)</f>
        <v>0</v>
      </c>
      <c r="W520" s="56">
        <f>_xlfn.XLOOKUP($N520,'Calculo Leads'!$A$97:$A$134,'Calculo Leads'!J$97:J$134)*_xlfn.XLOOKUP($P520,'Base Grupo de Produtos'!$E$2:$E$18,'Base Grupo de Produtos'!$F$2:$F$18)</f>
        <v>0</v>
      </c>
      <c r="X520" s="56">
        <f>_xlfn.XLOOKUP($N520,'Calculo Leads'!$A$97:$A$134,'Calculo Leads'!K$97:K$134)*_xlfn.XLOOKUP($P520,'Base Grupo de Produtos'!$E$2:$E$18,'Base Grupo de Produtos'!$F$2:$F$18)</f>
        <v>0</v>
      </c>
      <c r="Y520" s="56">
        <f>_xlfn.XLOOKUP($N520,'Calculo Leads'!$A$97:$A$134,'Calculo Leads'!L$97:L$134)*_xlfn.XLOOKUP($P520,'Base Grupo de Produtos'!$E$2:$E$18,'Base Grupo de Produtos'!$F$2:$F$18)</f>
        <v>0</v>
      </c>
      <c r="Z520" s="56">
        <f>_xlfn.XLOOKUP($N520,'Calculo Leads'!$A$97:$A$134,'Calculo Leads'!M$97:M$134)*_xlfn.XLOOKUP($P520,'Base Grupo de Produtos'!$E$2:$E$18,'Base Grupo de Produtos'!$F$2:$F$18)</f>
        <v>0</v>
      </c>
      <c r="AA520" s="56">
        <f>_xlfn.XLOOKUP($N520,'Calculo Leads'!$A$97:$A$134,'Calculo Leads'!N$97:N$134)*_xlfn.XLOOKUP($P520,'Base Grupo de Produtos'!$E$2:$E$18,'Base Grupo de Produtos'!$F$2:$F$18)</f>
        <v>0</v>
      </c>
      <c r="AB520" s="56">
        <f>_xlfn.XLOOKUP($N520,'Calculo Leads'!$A$97:$A$134,'Calculo Leads'!O$97:O$134)*_xlfn.XLOOKUP($P520,'Base Grupo de Produtos'!$E$2:$E$18,'Base Grupo de Produtos'!$F$2:$F$18)</f>
        <v>0</v>
      </c>
      <c r="AC520" s="61">
        <f t="shared" si="561"/>
        <v>0</v>
      </c>
      <c r="AD520" s="27">
        <f t="shared" si="558"/>
        <v>0</v>
      </c>
      <c r="AE520" s="25">
        <f>IFERROR(_xlfn.XLOOKUP(N520&amp;P520,'Historico Vendas'!G:G,'Historico Vendas'!E:E),0)</f>
        <v>0</v>
      </c>
      <c r="AF520" s="29" t="str">
        <f t="shared" si="539"/>
        <v/>
      </c>
      <c r="AG520" s="24">
        <f>IFERROR(_xlfn.XLOOKUP(N520&amp;P520,'Historico Vendas'!G:G,'Historico Vendas'!F:F),0)</f>
        <v>0</v>
      </c>
      <c r="AH520" s="25">
        <f t="shared" si="559"/>
        <v>286.31733333333335</v>
      </c>
      <c r="AI520" s="24">
        <f t="shared" si="560"/>
        <v>286.31733333333335</v>
      </c>
      <c r="AJ520" s="11">
        <f t="shared" si="542"/>
        <v>0</v>
      </c>
      <c r="AK520" s="9" t="s">
        <v>102</v>
      </c>
      <c r="AL520" s="13">
        <f>IFERROR(INDEX('Balizador da Meta'!$D$3:$F$23,MATCH(Faturamento!$P520,'Balizador da Meta'!$C$3:$C$23,0),MATCH(Faturamento!AK520,'Balizador da Meta'!$D$2:$F$2,0)),"")</f>
        <v>0</v>
      </c>
      <c r="AM520" s="9"/>
    </row>
    <row r="521" spans="1:39" x14ac:dyDescent="0.3">
      <c r="A521" s="2" t="str">
        <f t="shared" si="540"/>
        <v>NÃO</v>
      </c>
      <c r="B521" s="2" t="str">
        <f>_xlfn.XLOOKUP($N521,'Base de Grupos'!$A:$A,'Base de Grupos'!$D:$D)</f>
        <v>1000065763</v>
      </c>
      <c r="C521" s="5" t="str">
        <f>_xlfn.XLOOKUP($N521,'Base de Grupos'!$A:$A,'Base de Grupos'!$E:$E)</f>
        <v>CANAL VENDA INTERNA</v>
      </c>
      <c r="D521" s="5" t="str">
        <f>_xlfn.XLOOKUP($N521,'Base de Grupos'!$A:$A,'Base de Grupos'!$F:$F)</f>
        <v>1000065763</v>
      </c>
      <c r="E521" s="2" t="str">
        <f>_xlfn.XLOOKUP($N521,'Base de Grupos'!$A:$A,'Base de Grupos'!$G:$G)</f>
        <v>CANAL VENDA INTERNA</v>
      </c>
      <c r="F521" s="2" t="str">
        <f>_xlfn.XLOOKUP($N521,'Base de Grupos'!$A:$A,'Base de Grupos'!$H:$H)</f>
        <v>1000153245</v>
      </c>
      <c r="G521" s="5" t="str">
        <f>_xlfn.XLOOKUP($N521,'Base de Grupos'!$A:$A,'Base de Grupos'!$I:$I)</f>
        <v>REGIONAL VENDA INTERNA - KEY ACCOUNT</v>
      </c>
      <c r="H521" s="5" t="str">
        <f>_xlfn.XLOOKUP($N521,'Base de Grupos'!$A:$A,'Base de Grupos'!$J:$J)</f>
        <v>1000153245</v>
      </c>
      <c r="I521" s="2" t="str">
        <f>_xlfn.XLOOKUP($N521,'Base de Grupos'!$A:$A,'Base de Grupos'!$K:$K)</f>
        <v>REGIONAL VENDA INTERNA - KEY ACCOUNT</v>
      </c>
      <c r="J521" s="2" t="str">
        <f>_xlfn.XLOOKUP($N521,'Base de Grupos'!$A:$A,'Base de Grupos'!$L:$L)</f>
        <v>1000153245</v>
      </c>
      <c r="K521" s="5" t="str">
        <f>_xlfn.XLOOKUP($N521,'Base de Grupos'!$A:$A,'Base de Grupos'!$M:$M)</f>
        <v>REGIONAL VENDA INTERNA - KEY ACCOUNT</v>
      </c>
      <c r="L521" s="5" t="str">
        <f t="shared" si="541"/>
        <v/>
      </c>
      <c r="M521" s="5" t="str">
        <f>_xlfn.XLOOKUP($N521,'Base de Grupos'!$A:$A,'Base de Grupos'!$C:$C)</f>
        <v>PR</v>
      </c>
      <c r="N521" s="3">
        <v>1428</v>
      </c>
      <c r="O521" s="4" t="s">
        <v>252</v>
      </c>
      <c r="P521" s="5" t="s">
        <v>96</v>
      </c>
      <c r="Q521" s="56">
        <v>0</v>
      </c>
      <c r="R521" s="56">
        <v>40.9</v>
      </c>
      <c r="S521" s="56">
        <v>40.9</v>
      </c>
      <c r="T521" s="56">
        <f>_xlfn.XLOOKUP($N521,'Calculo Leads'!$A$97:$A$134,'Calculo Leads'!G$97:G$134)*_xlfn.XLOOKUP($P521,'Base Grupo de Produtos'!$E$2:$E$18,'Base Grupo de Produtos'!$F$2:$F$18)</f>
        <v>70</v>
      </c>
      <c r="U521" s="56">
        <f>_xlfn.XLOOKUP($N521,'Calculo Leads'!$A$97:$A$134,'Calculo Leads'!H$97:H$134)*_xlfn.XLOOKUP($P521,'Base Grupo de Produtos'!$E$2:$E$18,'Base Grupo de Produtos'!$F$2:$F$18)</f>
        <v>70</v>
      </c>
      <c r="V521" s="56">
        <f>_xlfn.XLOOKUP($N521,'Calculo Leads'!$A$97:$A$134,'Calculo Leads'!I$97:I$134)*_xlfn.XLOOKUP($P521,'Base Grupo de Produtos'!$E$2:$E$18,'Base Grupo de Produtos'!$F$2:$F$18)</f>
        <v>70</v>
      </c>
      <c r="W521" s="56">
        <f>_xlfn.XLOOKUP($N521,'Calculo Leads'!$A$97:$A$134,'Calculo Leads'!J$97:J$134)*_xlfn.XLOOKUP($P521,'Base Grupo de Produtos'!$E$2:$E$18,'Base Grupo de Produtos'!$F$2:$F$18)</f>
        <v>70</v>
      </c>
      <c r="X521" s="56">
        <f>_xlfn.XLOOKUP($N521,'Calculo Leads'!$A$97:$A$134,'Calculo Leads'!K$97:K$134)*_xlfn.XLOOKUP($P521,'Base Grupo de Produtos'!$E$2:$E$18,'Base Grupo de Produtos'!$F$2:$F$18)</f>
        <v>77.000000000000014</v>
      </c>
      <c r="Y521" s="56">
        <f>_xlfn.XLOOKUP($N521,'Calculo Leads'!$A$97:$A$134,'Calculo Leads'!L$97:L$134)*_xlfn.XLOOKUP($P521,'Base Grupo de Produtos'!$E$2:$E$18,'Base Grupo de Produtos'!$F$2:$F$18)</f>
        <v>77.000000000000014</v>
      </c>
      <c r="Z521" s="56">
        <f>_xlfn.XLOOKUP($N521,'Calculo Leads'!$A$97:$A$134,'Calculo Leads'!M$97:M$134)*_xlfn.XLOOKUP($P521,'Base Grupo de Produtos'!$E$2:$E$18,'Base Grupo de Produtos'!$F$2:$F$18)</f>
        <v>77.000000000000014</v>
      </c>
      <c r="AA521" s="56">
        <f>_xlfn.XLOOKUP($N521,'Calculo Leads'!$A$97:$A$134,'Calculo Leads'!N$97:N$134)*_xlfn.XLOOKUP($P521,'Base Grupo de Produtos'!$E$2:$E$18,'Base Grupo de Produtos'!$F$2:$F$18)</f>
        <v>154.00000000000003</v>
      </c>
      <c r="AB521" s="56">
        <f>_xlfn.XLOOKUP($N521,'Calculo Leads'!$A$97:$A$134,'Calculo Leads'!O$97:O$134)*_xlfn.XLOOKUP($P521,'Base Grupo de Produtos'!$E$2:$E$18,'Base Grupo de Produtos'!$F$2:$F$18)</f>
        <v>77.000000000000014</v>
      </c>
      <c r="AC521" s="61">
        <f t="shared" si="561"/>
        <v>742</v>
      </c>
      <c r="AD521" s="27">
        <f t="shared" si="558"/>
        <v>742</v>
      </c>
      <c r="AE521" s="25">
        <f>IFERROR(_xlfn.XLOOKUP(N521&amp;P521,'Historico Vendas'!G:G,'Historico Vendas'!E:E),0)</f>
        <v>0</v>
      </c>
      <c r="AF521" s="29" t="str">
        <f t="shared" si="539"/>
        <v/>
      </c>
      <c r="AG521" s="24">
        <f>IFERROR(_xlfn.XLOOKUP(N521&amp;P521,'Historico Vendas'!G:G,'Historico Vendas'!F:F),0)</f>
        <v>0</v>
      </c>
      <c r="AH521" s="25">
        <f t="shared" si="559"/>
        <v>81.8</v>
      </c>
      <c r="AI521" s="24">
        <f t="shared" si="560"/>
        <v>81.8</v>
      </c>
      <c r="AJ521" s="11">
        <f t="shared" si="542"/>
        <v>0</v>
      </c>
      <c r="AK521" s="9" t="s">
        <v>102</v>
      </c>
      <c r="AL521" s="13">
        <f>IFERROR(INDEX('Balizador da Meta'!$D$3:$F$23,MATCH(Faturamento!$P521,'Balizador da Meta'!$C$3:$C$23,0),MATCH(Faturamento!AK521,'Balizador da Meta'!$D$2:$F$2,0)),"")</f>
        <v>0</v>
      </c>
      <c r="AM521" s="9"/>
    </row>
    <row r="522" spans="1:39" x14ac:dyDescent="0.3">
      <c r="A522" s="2" t="str">
        <f t="shared" si="540"/>
        <v>NÃO</v>
      </c>
      <c r="B522" s="2" t="str">
        <f>_xlfn.XLOOKUP($N522,'Base de Grupos'!$A:$A,'Base de Grupos'!$D:$D)</f>
        <v>1000065763</v>
      </c>
      <c r="C522" s="5" t="str">
        <f>_xlfn.XLOOKUP($N522,'Base de Grupos'!$A:$A,'Base de Grupos'!$E:$E)</f>
        <v>CANAL VENDA INTERNA</v>
      </c>
      <c r="D522" s="5" t="str">
        <f>_xlfn.XLOOKUP($N522,'Base de Grupos'!$A:$A,'Base de Grupos'!$F:$F)</f>
        <v>1000065763</v>
      </c>
      <c r="E522" s="2" t="str">
        <f>_xlfn.XLOOKUP($N522,'Base de Grupos'!$A:$A,'Base de Grupos'!$G:$G)</f>
        <v>CANAL VENDA INTERNA</v>
      </c>
      <c r="F522" s="2" t="str">
        <f>_xlfn.XLOOKUP($N522,'Base de Grupos'!$A:$A,'Base de Grupos'!$H:$H)</f>
        <v>1000153245</v>
      </c>
      <c r="G522" s="5" t="str">
        <f>_xlfn.XLOOKUP($N522,'Base de Grupos'!$A:$A,'Base de Grupos'!$I:$I)</f>
        <v>REGIONAL VENDA INTERNA - KEY ACCOUNT</v>
      </c>
      <c r="H522" s="5" t="str">
        <f>_xlfn.XLOOKUP($N522,'Base de Grupos'!$A:$A,'Base de Grupos'!$J:$J)</f>
        <v>1000153245</v>
      </c>
      <c r="I522" s="2" t="str">
        <f>_xlfn.XLOOKUP($N522,'Base de Grupos'!$A:$A,'Base de Grupos'!$K:$K)</f>
        <v>REGIONAL VENDA INTERNA - KEY ACCOUNT</v>
      </c>
      <c r="J522" s="2" t="str">
        <f>_xlfn.XLOOKUP($N522,'Base de Grupos'!$A:$A,'Base de Grupos'!$L:$L)</f>
        <v>1000153245</v>
      </c>
      <c r="K522" s="5" t="str">
        <f>_xlfn.XLOOKUP($N522,'Base de Grupos'!$A:$A,'Base de Grupos'!$M:$M)</f>
        <v>REGIONAL VENDA INTERNA - KEY ACCOUNT</v>
      </c>
      <c r="L522" s="5" t="str">
        <f t="shared" si="541"/>
        <v/>
      </c>
      <c r="M522" s="5" t="str">
        <f>_xlfn.XLOOKUP($N522,'Base de Grupos'!$A:$A,'Base de Grupos'!$C:$C)</f>
        <v>PR</v>
      </c>
      <c r="N522" s="3">
        <v>1428</v>
      </c>
      <c r="O522" s="4" t="s">
        <v>252</v>
      </c>
      <c r="P522" s="5" t="s">
        <v>94</v>
      </c>
      <c r="Q522" s="56">
        <v>0</v>
      </c>
      <c r="R522" s="56">
        <v>1470.3095435684643</v>
      </c>
      <c r="S522" s="56">
        <v>1470.3095435684643</v>
      </c>
      <c r="T522" s="56">
        <f>_xlfn.XLOOKUP($N522,'Calculo Leads'!$A$97:$A$134,'Calculo Leads'!G$97:G$134)*_xlfn.XLOOKUP($P522,'Base Grupo de Produtos'!$E$2:$E$18,'Base Grupo de Produtos'!$F$2:$F$18)</f>
        <v>49.999999999999993</v>
      </c>
      <c r="U522" s="56">
        <f>_xlfn.XLOOKUP($N522,'Calculo Leads'!$A$97:$A$134,'Calculo Leads'!H$97:H$134)*_xlfn.XLOOKUP($P522,'Base Grupo de Produtos'!$E$2:$E$18,'Base Grupo de Produtos'!$F$2:$F$18)</f>
        <v>49.999999999999993</v>
      </c>
      <c r="V522" s="56">
        <f>_xlfn.XLOOKUP($N522,'Calculo Leads'!$A$97:$A$134,'Calculo Leads'!I$97:I$134)*_xlfn.XLOOKUP($P522,'Base Grupo de Produtos'!$E$2:$E$18,'Base Grupo de Produtos'!$F$2:$F$18)</f>
        <v>49.999999999999993</v>
      </c>
      <c r="W522" s="56">
        <f>_xlfn.XLOOKUP($N522,'Calculo Leads'!$A$97:$A$134,'Calculo Leads'!J$97:J$134)*_xlfn.XLOOKUP($P522,'Base Grupo de Produtos'!$E$2:$E$18,'Base Grupo de Produtos'!$F$2:$F$18)</f>
        <v>49.999999999999993</v>
      </c>
      <c r="X522" s="56">
        <f>_xlfn.XLOOKUP($N522,'Calculo Leads'!$A$97:$A$134,'Calculo Leads'!K$97:K$134)*_xlfn.XLOOKUP($P522,'Base Grupo de Produtos'!$E$2:$E$18,'Base Grupo de Produtos'!$F$2:$F$18)</f>
        <v>54.999999999999993</v>
      </c>
      <c r="Y522" s="56">
        <f>_xlfn.XLOOKUP($N522,'Calculo Leads'!$A$97:$A$134,'Calculo Leads'!L$97:L$134)*_xlfn.XLOOKUP($P522,'Base Grupo de Produtos'!$E$2:$E$18,'Base Grupo de Produtos'!$F$2:$F$18)</f>
        <v>54.999999999999993</v>
      </c>
      <c r="Z522" s="56">
        <f>_xlfn.XLOOKUP($N522,'Calculo Leads'!$A$97:$A$134,'Calculo Leads'!M$97:M$134)*_xlfn.XLOOKUP($P522,'Base Grupo de Produtos'!$E$2:$E$18,'Base Grupo de Produtos'!$F$2:$F$18)</f>
        <v>54.999999999999993</v>
      </c>
      <c r="AA522" s="56">
        <f>_xlfn.XLOOKUP($N522,'Calculo Leads'!$A$97:$A$134,'Calculo Leads'!N$97:N$134)*_xlfn.XLOOKUP($P522,'Base Grupo de Produtos'!$E$2:$E$18,'Base Grupo de Produtos'!$F$2:$F$18)</f>
        <v>109.99999999999999</v>
      </c>
      <c r="AB522" s="56">
        <f>_xlfn.XLOOKUP($N522,'Calculo Leads'!$A$97:$A$134,'Calculo Leads'!O$97:O$134)*_xlfn.XLOOKUP($P522,'Base Grupo de Produtos'!$E$2:$E$18,'Base Grupo de Produtos'!$F$2:$F$18)</f>
        <v>54.999999999999993</v>
      </c>
      <c r="AC522" s="61">
        <f t="shared" si="561"/>
        <v>529.99999999999989</v>
      </c>
      <c r="AD522" s="27">
        <f t="shared" si="558"/>
        <v>529.99999999999989</v>
      </c>
      <c r="AE522" s="25">
        <f>IFERROR(_xlfn.XLOOKUP(N522&amp;P522,'Historico Vendas'!G:G,'Historico Vendas'!E:E),0)</f>
        <v>0</v>
      </c>
      <c r="AF522" s="29" t="str">
        <f t="shared" si="539"/>
        <v/>
      </c>
      <c r="AG522" s="24">
        <f>IFERROR(_xlfn.XLOOKUP(N522&amp;P522,'Historico Vendas'!G:G,'Historico Vendas'!F:F),0)</f>
        <v>0</v>
      </c>
      <c r="AH522" s="25">
        <f t="shared" si="559"/>
        <v>2940.6190871369286</v>
      </c>
      <c r="AI522" s="24">
        <f t="shared" si="560"/>
        <v>2940.6190871369286</v>
      </c>
      <c r="AJ522" s="11">
        <f t="shared" si="542"/>
        <v>0</v>
      </c>
      <c r="AK522" s="9" t="s">
        <v>102</v>
      </c>
      <c r="AL522" s="13">
        <f>IFERROR(INDEX('Balizador da Meta'!$D$3:$F$23,MATCH(Faturamento!$P522,'Balizador da Meta'!$C$3:$C$23,0),MATCH(Faturamento!AK522,'Balizador da Meta'!$D$2:$F$2,0)),"")</f>
        <v>0.25</v>
      </c>
      <c r="AM522" s="9"/>
    </row>
    <row r="523" spans="1:39" x14ac:dyDescent="0.3">
      <c r="A523" s="2" t="str">
        <f t="shared" si="540"/>
        <v>NÃO</v>
      </c>
      <c r="B523" s="2" t="str">
        <f>_xlfn.XLOOKUP($N523,'Base de Grupos'!$A:$A,'Base de Grupos'!$D:$D)</f>
        <v>1000065763</v>
      </c>
      <c r="C523" s="5" t="str">
        <f>_xlfn.XLOOKUP($N523,'Base de Grupos'!$A:$A,'Base de Grupos'!$E:$E)</f>
        <v>CANAL VENDA INTERNA</v>
      </c>
      <c r="D523" s="5" t="str">
        <f>_xlfn.XLOOKUP($N523,'Base de Grupos'!$A:$A,'Base de Grupos'!$F:$F)</f>
        <v>1000065763</v>
      </c>
      <c r="E523" s="2" t="str">
        <f>_xlfn.XLOOKUP($N523,'Base de Grupos'!$A:$A,'Base de Grupos'!$G:$G)</f>
        <v>CANAL VENDA INTERNA</v>
      </c>
      <c r="F523" s="2" t="str">
        <f>_xlfn.XLOOKUP($N523,'Base de Grupos'!$A:$A,'Base de Grupos'!$H:$H)</f>
        <v>1000153245</v>
      </c>
      <c r="G523" s="5" t="str">
        <f>_xlfn.XLOOKUP($N523,'Base de Grupos'!$A:$A,'Base de Grupos'!$I:$I)</f>
        <v>REGIONAL VENDA INTERNA - KEY ACCOUNT</v>
      </c>
      <c r="H523" s="5" t="str">
        <f>_xlfn.XLOOKUP($N523,'Base de Grupos'!$A:$A,'Base de Grupos'!$J:$J)</f>
        <v>1000153245</v>
      </c>
      <c r="I523" s="2" t="str">
        <f>_xlfn.XLOOKUP($N523,'Base de Grupos'!$A:$A,'Base de Grupos'!$K:$K)</f>
        <v>REGIONAL VENDA INTERNA - KEY ACCOUNT</v>
      </c>
      <c r="J523" s="2" t="str">
        <f>_xlfn.XLOOKUP($N523,'Base de Grupos'!$A:$A,'Base de Grupos'!$L:$L)</f>
        <v>1000153245</v>
      </c>
      <c r="K523" s="5" t="str">
        <f>_xlfn.XLOOKUP($N523,'Base de Grupos'!$A:$A,'Base de Grupos'!$M:$M)</f>
        <v>REGIONAL VENDA INTERNA - KEY ACCOUNT</v>
      </c>
      <c r="L523" s="5" t="str">
        <f t="shared" si="541"/>
        <v/>
      </c>
      <c r="M523" s="5" t="str">
        <f>_xlfn.XLOOKUP($N523,'Base de Grupos'!$A:$A,'Base de Grupos'!$C:$C)</f>
        <v>PR</v>
      </c>
      <c r="N523" s="3">
        <v>1428</v>
      </c>
      <c r="O523" s="4" t="s">
        <v>252</v>
      </c>
      <c r="P523" s="5" t="s">
        <v>95</v>
      </c>
      <c r="Q523" s="56">
        <v>0</v>
      </c>
      <c r="R523" s="56">
        <v>2302.1240000000003</v>
      </c>
      <c r="S523" s="56">
        <v>2616.0500000000002</v>
      </c>
      <c r="T523" s="56">
        <f>_xlfn.XLOOKUP($N523,'Calculo Leads'!$A$97:$A$134,'Calculo Leads'!G$97:G$134)*_xlfn.XLOOKUP($P523,'Base Grupo de Produtos'!$E$2:$E$18,'Base Grupo de Produtos'!$F$2:$F$18)</f>
        <v>80</v>
      </c>
      <c r="U523" s="56">
        <f>_xlfn.XLOOKUP($N523,'Calculo Leads'!$A$97:$A$134,'Calculo Leads'!H$97:H$134)*_xlfn.XLOOKUP($P523,'Base Grupo de Produtos'!$E$2:$E$18,'Base Grupo de Produtos'!$F$2:$F$18)</f>
        <v>80</v>
      </c>
      <c r="V523" s="56">
        <f>_xlfn.XLOOKUP($N523,'Calculo Leads'!$A$97:$A$134,'Calculo Leads'!I$97:I$134)*_xlfn.XLOOKUP($P523,'Base Grupo de Produtos'!$E$2:$E$18,'Base Grupo de Produtos'!$F$2:$F$18)</f>
        <v>80</v>
      </c>
      <c r="W523" s="56">
        <f>_xlfn.XLOOKUP($N523,'Calculo Leads'!$A$97:$A$134,'Calculo Leads'!J$97:J$134)*_xlfn.XLOOKUP($P523,'Base Grupo de Produtos'!$E$2:$E$18,'Base Grupo de Produtos'!$F$2:$F$18)</f>
        <v>80</v>
      </c>
      <c r="X523" s="56">
        <f>_xlfn.XLOOKUP($N523,'Calculo Leads'!$A$97:$A$134,'Calculo Leads'!K$97:K$134)*_xlfn.XLOOKUP($P523,'Base Grupo de Produtos'!$E$2:$E$18,'Base Grupo de Produtos'!$F$2:$F$18)</f>
        <v>88</v>
      </c>
      <c r="Y523" s="56">
        <f>_xlfn.XLOOKUP($N523,'Calculo Leads'!$A$97:$A$134,'Calculo Leads'!L$97:L$134)*_xlfn.XLOOKUP($P523,'Base Grupo de Produtos'!$E$2:$E$18,'Base Grupo de Produtos'!$F$2:$F$18)</f>
        <v>88</v>
      </c>
      <c r="Z523" s="56">
        <f>_xlfn.XLOOKUP($N523,'Calculo Leads'!$A$97:$A$134,'Calculo Leads'!M$97:M$134)*_xlfn.XLOOKUP($P523,'Base Grupo de Produtos'!$E$2:$E$18,'Base Grupo de Produtos'!$F$2:$F$18)</f>
        <v>88</v>
      </c>
      <c r="AA523" s="56">
        <f>_xlfn.XLOOKUP($N523,'Calculo Leads'!$A$97:$A$134,'Calculo Leads'!N$97:N$134)*_xlfn.XLOOKUP($P523,'Base Grupo de Produtos'!$E$2:$E$18,'Base Grupo de Produtos'!$F$2:$F$18)</f>
        <v>176</v>
      </c>
      <c r="AB523" s="56">
        <f>_xlfn.XLOOKUP($N523,'Calculo Leads'!$A$97:$A$134,'Calculo Leads'!O$97:O$134)*_xlfn.XLOOKUP($P523,'Base Grupo de Produtos'!$E$2:$E$18,'Base Grupo de Produtos'!$F$2:$F$18)</f>
        <v>88</v>
      </c>
      <c r="AC523" s="61">
        <f t="shared" si="561"/>
        <v>848</v>
      </c>
      <c r="AD523" s="27">
        <f t="shared" si="558"/>
        <v>848</v>
      </c>
      <c r="AE523" s="25">
        <f>IFERROR(_xlfn.XLOOKUP(N523&amp;P523,'Historico Vendas'!G:G,'Historico Vendas'!E:E),0)</f>
        <v>0</v>
      </c>
      <c r="AF523" s="29" t="str">
        <f t="shared" si="539"/>
        <v/>
      </c>
      <c r="AG523" s="24">
        <f>IFERROR(_xlfn.XLOOKUP(N523&amp;P523,'Historico Vendas'!G:G,'Historico Vendas'!F:F),0)</f>
        <v>0</v>
      </c>
      <c r="AH523" s="25">
        <f t="shared" si="559"/>
        <v>4918.1740000000009</v>
      </c>
      <c r="AI523" s="24">
        <f t="shared" si="560"/>
        <v>4918.1740000000009</v>
      </c>
      <c r="AJ523" s="11">
        <f t="shared" si="542"/>
        <v>0</v>
      </c>
      <c r="AK523" s="9" t="s">
        <v>102</v>
      </c>
      <c r="AL523" s="13">
        <f>IFERROR(INDEX('Balizador da Meta'!$D$3:$F$23,MATCH(Faturamento!$P523,'Balizador da Meta'!$C$3:$C$23,0),MATCH(Faturamento!AK523,'Balizador da Meta'!$D$2:$F$2,0)),"")</f>
        <v>0.25</v>
      </c>
      <c r="AM523" s="9"/>
    </row>
    <row r="524" spans="1:39" x14ac:dyDescent="0.3">
      <c r="A524" s="2" t="str">
        <f t="shared" si="540"/>
        <v>NÃO</v>
      </c>
      <c r="B524" s="2" t="str">
        <f>_xlfn.XLOOKUP($N524,'Base de Grupos'!$A:$A,'Base de Grupos'!$D:$D)</f>
        <v>1000065763</v>
      </c>
      <c r="C524" s="5" t="str">
        <f>_xlfn.XLOOKUP($N524,'Base de Grupos'!$A:$A,'Base de Grupos'!$E:$E)</f>
        <v>CANAL VENDA INTERNA</v>
      </c>
      <c r="D524" s="5" t="str">
        <f>_xlfn.XLOOKUP($N524,'Base de Grupos'!$A:$A,'Base de Grupos'!$F:$F)</f>
        <v>1000065763</v>
      </c>
      <c r="E524" s="2" t="str">
        <f>_xlfn.XLOOKUP($N524,'Base de Grupos'!$A:$A,'Base de Grupos'!$G:$G)</f>
        <v>CANAL VENDA INTERNA</v>
      </c>
      <c r="F524" s="2" t="str">
        <f>_xlfn.XLOOKUP($N524,'Base de Grupos'!$A:$A,'Base de Grupos'!$H:$H)</f>
        <v>1000153245</v>
      </c>
      <c r="G524" s="5" t="str">
        <f>_xlfn.XLOOKUP($N524,'Base de Grupos'!$A:$A,'Base de Grupos'!$I:$I)</f>
        <v>REGIONAL VENDA INTERNA - KEY ACCOUNT</v>
      </c>
      <c r="H524" s="5" t="str">
        <f>_xlfn.XLOOKUP($N524,'Base de Grupos'!$A:$A,'Base de Grupos'!$J:$J)</f>
        <v>1000153245</v>
      </c>
      <c r="I524" s="2" t="str">
        <f>_xlfn.XLOOKUP($N524,'Base de Grupos'!$A:$A,'Base de Grupos'!$K:$K)</f>
        <v>REGIONAL VENDA INTERNA - KEY ACCOUNT</v>
      </c>
      <c r="J524" s="2" t="str">
        <f>_xlfn.XLOOKUP($N524,'Base de Grupos'!$A:$A,'Base de Grupos'!$L:$L)</f>
        <v>1000153245</v>
      </c>
      <c r="K524" s="5" t="str">
        <f>_xlfn.XLOOKUP($N524,'Base de Grupos'!$A:$A,'Base de Grupos'!$M:$M)</f>
        <v>REGIONAL VENDA INTERNA - KEY ACCOUNT</v>
      </c>
      <c r="L524" s="5" t="str">
        <f t="shared" si="541"/>
        <v/>
      </c>
      <c r="M524" s="5" t="str">
        <f>_xlfn.XLOOKUP($N524,'Base de Grupos'!$A:$A,'Base de Grupos'!$C:$C)</f>
        <v>PR</v>
      </c>
      <c r="N524" s="3">
        <v>1428</v>
      </c>
      <c r="O524" s="4" t="s">
        <v>252</v>
      </c>
      <c r="P524" s="5" t="s">
        <v>93</v>
      </c>
      <c r="Q524" s="56">
        <v>0</v>
      </c>
      <c r="R524" s="56">
        <v>585.97440000000006</v>
      </c>
      <c r="S524" s="56">
        <v>585.97440000000006</v>
      </c>
      <c r="T524" s="56">
        <f>_xlfn.XLOOKUP($N524,'Calculo Leads'!$A$97:$A$134,'Calculo Leads'!G$97:G$134)*_xlfn.XLOOKUP($P524,'Base Grupo de Produtos'!$E$2:$E$18,'Base Grupo de Produtos'!$F$2:$F$18)</f>
        <v>30</v>
      </c>
      <c r="U524" s="56">
        <f>_xlfn.XLOOKUP($N524,'Calculo Leads'!$A$97:$A$134,'Calculo Leads'!H$97:H$134)*_xlfn.XLOOKUP($P524,'Base Grupo de Produtos'!$E$2:$E$18,'Base Grupo de Produtos'!$F$2:$F$18)</f>
        <v>30</v>
      </c>
      <c r="V524" s="56">
        <f>_xlfn.XLOOKUP($N524,'Calculo Leads'!$A$97:$A$134,'Calculo Leads'!I$97:I$134)*_xlfn.XLOOKUP($P524,'Base Grupo de Produtos'!$E$2:$E$18,'Base Grupo de Produtos'!$F$2:$F$18)</f>
        <v>30</v>
      </c>
      <c r="W524" s="56">
        <f>_xlfn.XLOOKUP($N524,'Calculo Leads'!$A$97:$A$134,'Calculo Leads'!J$97:J$134)*_xlfn.XLOOKUP($P524,'Base Grupo de Produtos'!$E$2:$E$18,'Base Grupo de Produtos'!$F$2:$F$18)</f>
        <v>30</v>
      </c>
      <c r="X524" s="56">
        <f>_xlfn.XLOOKUP($N524,'Calculo Leads'!$A$97:$A$134,'Calculo Leads'!K$97:K$134)*_xlfn.XLOOKUP($P524,'Base Grupo de Produtos'!$E$2:$E$18,'Base Grupo de Produtos'!$F$2:$F$18)</f>
        <v>33</v>
      </c>
      <c r="Y524" s="56">
        <f>_xlfn.XLOOKUP($N524,'Calculo Leads'!$A$97:$A$134,'Calculo Leads'!L$97:L$134)*_xlfn.XLOOKUP($P524,'Base Grupo de Produtos'!$E$2:$E$18,'Base Grupo de Produtos'!$F$2:$F$18)</f>
        <v>33</v>
      </c>
      <c r="Z524" s="56">
        <f>_xlfn.XLOOKUP($N524,'Calculo Leads'!$A$97:$A$134,'Calculo Leads'!M$97:M$134)*_xlfn.XLOOKUP($P524,'Base Grupo de Produtos'!$E$2:$E$18,'Base Grupo de Produtos'!$F$2:$F$18)</f>
        <v>33</v>
      </c>
      <c r="AA524" s="56">
        <f>_xlfn.XLOOKUP($N524,'Calculo Leads'!$A$97:$A$134,'Calculo Leads'!N$97:N$134)*_xlfn.XLOOKUP($P524,'Base Grupo de Produtos'!$E$2:$E$18,'Base Grupo de Produtos'!$F$2:$F$18)</f>
        <v>66</v>
      </c>
      <c r="AB524" s="56">
        <f>_xlfn.XLOOKUP($N524,'Calculo Leads'!$A$97:$A$134,'Calculo Leads'!O$97:O$134)*_xlfn.XLOOKUP($P524,'Base Grupo de Produtos'!$E$2:$E$18,'Base Grupo de Produtos'!$F$2:$F$18)</f>
        <v>33</v>
      </c>
      <c r="AC524" s="61">
        <f t="shared" si="561"/>
        <v>318</v>
      </c>
      <c r="AD524" s="27">
        <f t="shared" si="558"/>
        <v>318</v>
      </c>
      <c r="AE524" s="25">
        <f>IFERROR(_xlfn.XLOOKUP(N524&amp;P524,'Historico Vendas'!G:G,'Historico Vendas'!E:E),0)</f>
        <v>0</v>
      </c>
      <c r="AF524" s="29" t="str">
        <f t="shared" si="539"/>
        <v/>
      </c>
      <c r="AG524" s="24">
        <f>IFERROR(_xlfn.XLOOKUP(N524&amp;P524,'Historico Vendas'!G:G,'Historico Vendas'!F:F),0)</f>
        <v>0</v>
      </c>
      <c r="AH524" s="25">
        <f t="shared" si="559"/>
        <v>1171.9488000000001</v>
      </c>
      <c r="AI524" s="24">
        <f t="shared" si="560"/>
        <v>1171.9488000000001</v>
      </c>
      <c r="AJ524" s="11">
        <f t="shared" si="542"/>
        <v>0</v>
      </c>
      <c r="AK524" s="9" t="s">
        <v>102</v>
      </c>
      <c r="AL524" s="13">
        <f>IFERROR(INDEX('Balizador da Meta'!$D$3:$F$23,MATCH(Faturamento!$P524,'Balizador da Meta'!$C$3:$C$23,0),MATCH(Faturamento!AK524,'Balizador da Meta'!$D$2:$F$2,0)),"")</f>
        <v>0.2</v>
      </c>
      <c r="AM524" s="9"/>
    </row>
    <row r="525" spans="1:39" x14ac:dyDescent="0.3">
      <c r="A525" s="2" t="str">
        <f t="shared" si="540"/>
        <v>SIM</v>
      </c>
      <c r="B525" s="2" t="str">
        <f>_xlfn.XLOOKUP($N525,'Base de Grupos'!$A:$A,'Base de Grupos'!$D:$D)</f>
        <v>1000065763</v>
      </c>
      <c r="C525" s="5" t="str">
        <f>_xlfn.XLOOKUP($N525,'Base de Grupos'!$A:$A,'Base de Grupos'!$E:$E)</f>
        <v>CANAL VENDA INTERNA</v>
      </c>
      <c r="D525" s="5" t="str">
        <f>_xlfn.XLOOKUP($N525,'Base de Grupos'!$A:$A,'Base de Grupos'!$F:$F)</f>
        <v>1000065763</v>
      </c>
      <c r="E525" s="2" t="str">
        <f>_xlfn.XLOOKUP($N525,'Base de Grupos'!$A:$A,'Base de Grupos'!$G:$G)</f>
        <v>CANAL VENDA INTERNA</v>
      </c>
      <c r="F525" s="2" t="str">
        <f>_xlfn.XLOOKUP($N525,'Base de Grupos'!$A:$A,'Base de Grupos'!$H:$H)</f>
        <v>1000153245</v>
      </c>
      <c r="G525" s="5" t="str">
        <f>_xlfn.XLOOKUP($N525,'Base de Grupos'!$A:$A,'Base de Grupos'!$I:$I)</f>
        <v>REGIONAL VENDA INTERNA - KEY ACCOUNT</v>
      </c>
      <c r="H525" s="5" t="str">
        <f>_xlfn.XLOOKUP($N525,'Base de Grupos'!$A:$A,'Base de Grupos'!$J:$J)</f>
        <v>1000153245</v>
      </c>
      <c r="I525" s="2" t="str">
        <f>_xlfn.XLOOKUP($N525,'Base de Grupos'!$A:$A,'Base de Grupos'!$K:$K)</f>
        <v>REGIONAL VENDA INTERNA - KEY ACCOUNT</v>
      </c>
      <c r="J525" s="2" t="str">
        <f>_xlfn.XLOOKUP($N525,'Base de Grupos'!$A:$A,'Base de Grupos'!$L:$L)</f>
        <v>1000153245</v>
      </c>
      <c r="K525" s="5" t="str">
        <f>_xlfn.XLOOKUP($N525,'Base de Grupos'!$A:$A,'Base de Grupos'!$M:$M)</f>
        <v>REGIONAL VENDA INTERNA - KEY ACCOUNT</v>
      </c>
      <c r="L525" s="5">
        <f t="shared" si="541"/>
        <v>1</v>
      </c>
      <c r="M525" s="5" t="str">
        <f>_xlfn.XLOOKUP($N525,'Base de Grupos'!$A:$A,'Base de Grupos'!$C:$C)</f>
        <v>RS</v>
      </c>
      <c r="N525" s="3">
        <v>1429</v>
      </c>
      <c r="O525" s="4" t="s">
        <v>253</v>
      </c>
      <c r="P525" s="5" t="s">
        <v>323</v>
      </c>
      <c r="Q525" s="56">
        <f t="shared" ref="Q525" si="562">SUM(Q526:Q542)</f>
        <v>0</v>
      </c>
      <c r="R525" s="56">
        <f t="shared" ref="R525" si="563">SUM(R526:R542)</f>
        <v>10568.294327098127</v>
      </c>
      <c r="S525" s="56">
        <f t="shared" ref="S525" si="564">SUM(S526:S542)</f>
        <v>12029.078970466311</v>
      </c>
      <c r="T525" s="56">
        <f t="shared" ref="T525" si="565">SUM(T526:T542)</f>
        <v>1000</v>
      </c>
      <c r="U525" s="56">
        <f t="shared" ref="U525" si="566">SUM(U526:U542)</f>
        <v>1000</v>
      </c>
      <c r="V525" s="56">
        <f t="shared" ref="V525" si="567">SUM(V526:V542)</f>
        <v>2000</v>
      </c>
      <c r="W525" s="56">
        <f t="shared" ref="W525" si="568">SUM(W526:W542)</f>
        <v>2000</v>
      </c>
      <c r="X525" s="56">
        <f t="shared" ref="X525" si="569">SUM(X526:X542)</f>
        <v>2200</v>
      </c>
      <c r="Y525" s="56">
        <f t="shared" ref="Y525" si="570">SUM(Y526:Y542)</f>
        <v>3300</v>
      </c>
      <c r="Z525" s="56">
        <f t="shared" ref="Z525" si="571">SUM(Z526:Z542)</f>
        <v>3300</v>
      </c>
      <c r="AA525" s="56">
        <f t="shared" ref="AA525" si="572">SUM(AA526:AA542)</f>
        <v>3300</v>
      </c>
      <c r="AB525" s="56">
        <f t="shared" ref="AB525" si="573">SUM(AB526:AB542)</f>
        <v>2200</v>
      </c>
      <c r="AC525" s="56">
        <f t="shared" ref="AC525" si="574">SUM(AC526:AC542)</f>
        <v>20300</v>
      </c>
      <c r="AD525" s="25">
        <f t="shared" ref="AD525" si="575">SUM(AD526:AD542)</f>
        <v>20300</v>
      </c>
      <c r="AE525" s="25">
        <f t="shared" ref="AE525:AI525" si="576">SUM(AE526:AE542)</f>
        <v>0</v>
      </c>
      <c r="AF525" s="11" t="str">
        <f t="shared" si="539"/>
        <v/>
      </c>
      <c r="AG525" s="24">
        <f t="shared" si="576"/>
        <v>0</v>
      </c>
      <c r="AH525" s="25">
        <f t="shared" si="576"/>
        <v>22597.373297564438</v>
      </c>
      <c r="AI525" s="24">
        <f t="shared" si="576"/>
        <v>22597.373297564438</v>
      </c>
      <c r="AJ525" s="11">
        <f t="shared" si="542"/>
        <v>0</v>
      </c>
      <c r="AK525" s="9"/>
      <c r="AL525" s="13"/>
      <c r="AM525" s="9"/>
    </row>
    <row r="526" spans="1:39" x14ac:dyDescent="0.3">
      <c r="A526" s="2" t="str">
        <f t="shared" si="540"/>
        <v>NÃO</v>
      </c>
      <c r="B526" s="2" t="str">
        <f>_xlfn.XLOOKUP($N526,'Base de Grupos'!$A:$A,'Base de Grupos'!$D:$D)</f>
        <v>1000065763</v>
      </c>
      <c r="C526" s="5" t="str">
        <f>_xlfn.XLOOKUP($N526,'Base de Grupos'!$A:$A,'Base de Grupos'!$E:$E)</f>
        <v>CANAL VENDA INTERNA</v>
      </c>
      <c r="D526" s="5" t="str">
        <f>_xlfn.XLOOKUP($N526,'Base de Grupos'!$A:$A,'Base de Grupos'!$F:$F)</f>
        <v>1000065763</v>
      </c>
      <c r="E526" s="2" t="str">
        <f>_xlfn.XLOOKUP($N526,'Base de Grupos'!$A:$A,'Base de Grupos'!$G:$G)</f>
        <v>CANAL VENDA INTERNA</v>
      </c>
      <c r="F526" s="2" t="str">
        <f>_xlfn.XLOOKUP($N526,'Base de Grupos'!$A:$A,'Base de Grupos'!$H:$H)</f>
        <v>1000153245</v>
      </c>
      <c r="G526" s="5" t="str">
        <f>_xlfn.XLOOKUP($N526,'Base de Grupos'!$A:$A,'Base de Grupos'!$I:$I)</f>
        <v>REGIONAL VENDA INTERNA - KEY ACCOUNT</v>
      </c>
      <c r="H526" s="5" t="str">
        <f>_xlfn.XLOOKUP($N526,'Base de Grupos'!$A:$A,'Base de Grupos'!$J:$J)</f>
        <v>1000153245</v>
      </c>
      <c r="I526" s="2" t="str">
        <f>_xlfn.XLOOKUP($N526,'Base de Grupos'!$A:$A,'Base de Grupos'!$K:$K)</f>
        <v>REGIONAL VENDA INTERNA - KEY ACCOUNT</v>
      </c>
      <c r="J526" s="2" t="str">
        <f>_xlfn.XLOOKUP($N526,'Base de Grupos'!$A:$A,'Base de Grupos'!$L:$L)</f>
        <v>1000153245</v>
      </c>
      <c r="K526" s="5" t="str">
        <f>_xlfn.XLOOKUP($N526,'Base de Grupos'!$A:$A,'Base de Grupos'!$M:$M)</f>
        <v>REGIONAL VENDA INTERNA - KEY ACCOUNT</v>
      </c>
      <c r="L526" s="5" t="str">
        <f t="shared" si="541"/>
        <v/>
      </c>
      <c r="M526" s="5" t="str">
        <f>_xlfn.XLOOKUP($N526,'Base de Grupos'!$A:$A,'Base de Grupos'!$C:$C)</f>
        <v>RS</v>
      </c>
      <c r="N526" s="3">
        <v>1429</v>
      </c>
      <c r="O526" s="4" t="s">
        <v>253</v>
      </c>
      <c r="P526" s="5" t="s">
        <v>81</v>
      </c>
      <c r="Q526" s="56">
        <v>0</v>
      </c>
      <c r="R526" s="56">
        <v>404.3886056291048</v>
      </c>
      <c r="S526" s="56">
        <v>505.48575703638102</v>
      </c>
      <c r="T526" s="56">
        <f>_xlfn.XLOOKUP($N526,'Calculo Leads'!$A$97:$A$134,'Calculo Leads'!G$97:G$134)*_xlfn.XLOOKUP($P526,'Base Grupo de Produtos'!$E$2:$E$18,'Base Grupo de Produtos'!$F$2:$F$18)</f>
        <v>50</v>
      </c>
      <c r="U526" s="56">
        <f>_xlfn.XLOOKUP($N526,'Calculo Leads'!$A$97:$A$134,'Calculo Leads'!H$97:H$134)*_xlfn.XLOOKUP($P526,'Base Grupo de Produtos'!$E$2:$E$18,'Base Grupo de Produtos'!$F$2:$F$18)</f>
        <v>50</v>
      </c>
      <c r="V526" s="56">
        <f>_xlfn.XLOOKUP($N526,'Calculo Leads'!$A$97:$A$134,'Calculo Leads'!I$97:I$134)*_xlfn.XLOOKUP($P526,'Base Grupo de Produtos'!$E$2:$E$18,'Base Grupo de Produtos'!$F$2:$F$18)</f>
        <v>100</v>
      </c>
      <c r="W526" s="56">
        <f>_xlfn.XLOOKUP($N526,'Calculo Leads'!$A$97:$A$134,'Calculo Leads'!J$97:J$134)*_xlfn.XLOOKUP($P526,'Base Grupo de Produtos'!$E$2:$E$18,'Base Grupo de Produtos'!$F$2:$F$18)</f>
        <v>100</v>
      </c>
      <c r="X526" s="56">
        <f>_xlfn.XLOOKUP($N526,'Calculo Leads'!$A$97:$A$134,'Calculo Leads'!K$97:K$134)*_xlfn.XLOOKUP($P526,'Base Grupo de Produtos'!$E$2:$E$18,'Base Grupo de Produtos'!$F$2:$F$18)</f>
        <v>110</v>
      </c>
      <c r="Y526" s="56">
        <f>_xlfn.XLOOKUP($N526,'Calculo Leads'!$A$97:$A$134,'Calculo Leads'!L$97:L$134)*_xlfn.XLOOKUP($P526,'Base Grupo de Produtos'!$E$2:$E$18,'Base Grupo de Produtos'!$F$2:$F$18)</f>
        <v>165</v>
      </c>
      <c r="Z526" s="56">
        <f>_xlfn.XLOOKUP($N526,'Calculo Leads'!$A$97:$A$134,'Calculo Leads'!M$97:M$134)*_xlfn.XLOOKUP($P526,'Base Grupo de Produtos'!$E$2:$E$18,'Base Grupo de Produtos'!$F$2:$F$18)</f>
        <v>165</v>
      </c>
      <c r="AA526" s="56">
        <f>_xlfn.XLOOKUP($N526,'Calculo Leads'!$A$97:$A$134,'Calculo Leads'!N$97:N$134)*_xlfn.XLOOKUP($P526,'Base Grupo de Produtos'!$E$2:$E$18,'Base Grupo de Produtos'!$F$2:$F$18)</f>
        <v>165</v>
      </c>
      <c r="AB526" s="56">
        <f>_xlfn.XLOOKUP($N526,'Calculo Leads'!$A$97:$A$134,'Calculo Leads'!O$97:O$134)*_xlfn.XLOOKUP($P526,'Base Grupo de Produtos'!$E$2:$E$18,'Base Grupo de Produtos'!$F$2:$F$18)</f>
        <v>110</v>
      </c>
      <c r="AC526" s="61">
        <f t="shared" si="561"/>
        <v>1015</v>
      </c>
      <c r="AD526" s="27">
        <f t="shared" ref="AD526:AD542" si="577">IF(AC526=0,0,AC526-AG526)</f>
        <v>1015</v>
      </c>
      <c r="AE526" s="25">
        <f>IFERROR(_xlfn.XLOOKUP(N526&amp;P526,'Historico Vendas'!G:G,'Historico Vendas'!E:E),0)</f>
        <v>0</v>
      </c>
      <c r="AF526" s="29" t="str">
        <f t="shared" si="539"/>
        <v/>
      </c>
      <c r="AG526" s="24">
        <f>IFERROR(_xlfn.XLOOKUP(N526&amp;P526,'Historico Vendas'!G:G,'Historico Vendas'!F:F),0)</f>
        <v>0</v>
      </c>
      <c r="AH526" s="25">
        <f t="shared" ref="AH526:AH542" si="578">SUM(Q526:S526)</f>
        <v>909.87436266548582</v>
      </c>
      <c r="AI526" s="24">
        <f t="shared" ref="AI526:AI542" si="579">AH526-AG526</f>
        <v>909.87436266548582</v>
      </c>
      <c r="AJ526" s="11">
        <f t="shared" si="542"/>
        <v>0</v>
      </c>
      <c r="AK526" s="9" t="s">
        <v>102</v>
      </c>
      <c r="AL526" s="13">
        <f>IFERROR(INDEX('Balizador da Meta'!$D$3:$F$23,MATCH(Faturamento!$P526,'Balizador da Meta'!$C$3:$C$23,0),MATCH(Faturamento!AK526,'Balizador da Meta'!$D$2:$F$2,0)),"")</f>
        <v>0.2</v>
      </c>
      <c r="AM526" s="9"/>
    </row>
    <row r="527" spans="1:39" x14ac:dyDescent="0.3">
      <c r="A527" s="2" t="str">
        <f t="shared" si="540"/>
        <v>NÃO</v>
      </c>
      <c r="B527" s="2" t="str">
        <f>_xlfn.XLOOKUP($N527,'Base de Grupos'!$A:$A,'Base de Grupos'!$D:$D)</f>
        <v>1000065763</v>
      </c>
      <c r="C527" s="5" t="str">
        <f>_xlfn.XLOOKUP($N527,'Base de Grupos'!$A:$A,'Base de Grupos'!$E:$E)</f>
        <v>CANAL VENDA INTERNA</v>
      </c>
      <c r="D527" s="5" t="str">
        <f>_xlfn.XLOOKUP($N527,'Base de Grupos'!$A:$A,'Base de Grupos'!$F:$F)</f>
        <v>1000065763</v>
      </c>
      <c r="E527" s="2" t="str">
        <f>_xlfn.XLOOKUP($N527,'Base de Grupos'!$A:$A,'Base de Grupos'!$G:$G)</f>
        <v>CANAL VENDA INTERNA</v>
      </c>
      <c r="F527" s="2" t="str">
        <f>_xlfn.XLOOKUP($N527,'Base de Grupos'!$A:$A,'Base de Grupos'!$H:$H)</f>
        <v>1000153245</v>
      </c>
      <c r="G527" s="5" t="str">
        <f>_xlfn.XLOOKUP($N527,'Base de Grupos'!$A:$A,'Base de Grupos'!$I:$I)</f>
        <v>REGIONAL VENDA INTERNA - KEY ACCOUNT</v>
      </c>
      <c r="H527" s="5" t="str">
        <f>_xlfn.XLOOKUP($N527,'Base de Grupos'!$A:$A,'Base de Grupos'!$J:$J)</f>
        <v>1000153245</v>
      </c>
      <c r="I527" s="2" t="str">
        <f>_xlfn.XLOOKUP($N527,'Base de Grupos'!$A:$A,'Base de Grupos'!$K:$K)</f>
        <v>REGIONAL VENDA INTERNA - KEY ACCOUNT</v>
      </c>
      <c r="J527" s="2" t="str">
        <f>_xlfn.XLOOKUP($N527,'Base de Grupos'!$A:$A,'Base de Grupos'!$L:$L)</f>
        <v>1000153245</v>
      </c>
      <c r="K527" s="5" t="str">
        <f>_xlfn.XLOOKUP($N527,'Base de Grupos'!$A:$A,'Base de Grupos'!$M:$M)</f>
        <v>REGIONAL VENDA INTERNA - KEY ACCOUNT</v>
      </c>
      <c r="L527" s="5" t="str">
        <f t="shared" si="541"/>
        <v/>
      </c>
      <c r="M527" s="5" t="str">
        <f>_xlfn.XLOOKUP($N527,'Base de Grupos'!$A:$A,'Base de Grupos'!$C:$C)</f>
        <v>RS</v>
      </c>
      <c r="N527" s="3">
        <v>1429</v>
      </c>
      <c r="O527" s="4" t="s">
        <v>253</v>
      </c>
      <c r="P527" s="5" t="s">
        <v>82</v>
      </c>
      <c r="Q527" s="56">
        <v>0</v>
      </c>
      <c r="R527" s="56">
        <v>2462.0564928909953</v>
      </c>
      <c r="S527" s="56">
        <v>2872.3992417061613</v>
      </c>
      <c r="T527" s="56">
        <f>_xlfn.XLOOKUP($N527,'Calculo Leads'!$A$97:$A$134,'Calculo Leads'!G$97:G$134)*_xlfn.XLOOKUP($P527,'Base Grupo de Produtos'!$E$2:$E$18,'Base Grupo de Produtos'!$F$2:$F$18)</f>
        <v>50</v>
      </c>
      <c r="U527" s="56">
        <f>_xlfn.XLOOKUP($N527,'Calculo Leads'!$A$97:$A$134,'Calculo Leads'!H$97:H$134)*_xlfn.XLOOKUP($P527,'Base Grupo de Produtos'!$E$2:$E$18,'Base Grupo de Produtos'!$F$2:$F$18)</f>
        <v>50</v>
      </c>
      <c r="V527" s="56">
        <f>_xlfn.XLOOKUP($N527,'Calculo Leads'!$A$97:$A$134,'Calculo Leads'!I$97:I$134)*_xlfn.XLOOKUP($P527,'Base Grupo de Produtos'!$E$2:$E$18,'Base Grupo de Produtos'!$F$2:$F$18)</f>
        <v>100</v>
      </c>
      <c r="W527" s="56">
        <f>_xlfn.XLOOKUP($N527,'Calculo Leads'!$A$97:$A$134,'Calculo Leads'!J$97:J$134)*_xlfn.XLOOKUP($P527,'Base Grupo de Produtos'!$E$2:$E$18,'Base Grupo de Produtos'!$F$2:$F$18)</f>
        <v>100</v>
      </c>
      <c r="X527" s="56">
        <f>_xlfn.XLOOKUP($N527,'Calculo Leads'!$A$97:$A$134,'Calculo Leads'!K$97:K$134)*_xlfn.XLOOKUP($P527,'Base Grupo de Produtos'!$E$2:$E$18,'Base Grupo de Produtos'!$F$2:$F$18)</f>
        <v>110</v>
      </c>
      <c r="Y527" s="56">
        <f>_xlfn.XLOOKUP($N527,'Calculo Leads'!$A$97:$A$134,'Calculo Leads'!L$97:L$134)*_xlfn.XLOOKUP($P527,'Base Grupo de Produtos'!$E$2:$E$18,'Base Grupo de Produtos'!$F$2:$F$18)</f>
        <v>165</v>
      </c>
      <c r="Z527" s="56">
        <f>_xlfn.XLOOKUP($N527,'Calculo Leads'!$A$97:$A$134,'Calculo Leads'!M$97:M$134)*_xlfn.XLOOKUP($P527,'Base Grupo de Produtos'!$E$2:$E$18,'Base Grupo de Produtos'!$F$2:$F$18)</f>
        <v>165</v>
      </c>
      <c r="AA527" s="56">
        <f>_xlfn.XLOOKUP($N527,'Calculo Leads'!$A$97:$A$134,'Calculo Leads'!N$97:N$134)*_xlfn.XLOOKUP($P527,'Base Grupo de Produtos'!$E$2:$E$18,'Base Grupo de Produtos'!$F$2:$F$18)</f>
        <v>165</v>
      </c>
      <c r="AB527" s="56">
        <f>_xlfn.XLOOKUP($N527,'Calculo Leads'!$A$97:$A$134,'Calculo Leads'!O$97:O$134)*_xlfn.XLOOKUP($P527,'Base Grupo de Produtos'!$E$2:$E$18,'Base Grupo de Produtos'!$F$2:$F$18)</f>
        <v>110</v>
      </c>
      <c r="AC527" s="61">
        <f t="shared" si="561"/>
        <v>1015</v>
      </c>
      <c r="AD527" s="27">
        <f t="shared" si="577"/>
        <v>1015</v>
      </c>
      <c r="AE527" s="25">
        <f>IFERROR(_xlfn.XLOOKUP(N527&amp;P527,'Historico Vendas'!G:G,'Historico Vendas'!E:E),0)</f>
        <v>0</v>
      </c>
      <c r="AF527" s="29" t="str">
        <f t="shared" si="539"/>
        <v/>
      </c>
      <c r="AG527" s="24">
        <f>IFERROR(_xlfn.XLOOKUP(N527&amp;P527,'Historico Vendas'!G:G,'Historico Vendas'!F:F),0)</f>
        <v>0</v>
      </c>
      <c r="AH527" s="25">
        <f t="shared" si="578"/>
        <v>5334.4557345971571</v>
      </c>
      <c r="AI527" s="24">
        <f t="shared" si="579"/>
        <v>5334.4557345971571</v>
      </c>
      <c r="AJ527" s="11">
        <f t="shared" si="542"/>
        <v>0</v>
      </c>
      <c r="AK527" s="9" t="s">
        <v>102</v>
      </c>
      <c r="AL527" s="13">
        <f>IFERROR(INDEX('Balizador da Meta'!$D$3:$F$23,MATCH(Faturamento!$P527,'Balizador da Meta'!$C$3:$C$23,0),MATCH(Faturamento!AK527,'Balizador da Meta'!$D$2:$F$2,0)),"")</f>
        <v>0.2</v>
      </c>
      <c r="AM527" s="9"/>
    </row>
    <row r="528" spans="1:39" x14ac:dyDescent="0.3">
      <c r="A528" s="2" t="str">
        <f t="shared" si="540"/>
        <v>NÃO</v>
      </c>
      <c r="B528" s="2" t="str">
        <f>_xlfn.XLOOKUP($N528,'Base de Grupos'!$A:$A,'Base de Grupos'!$D:$D)</f>
        <v>1000065763</v>
      </c>
      <c r="C528" s="5" t="str">
        <f>_xlfn.XLOOKUP($N528,'Base de Grupos'!$A:$A,'Base de Grupos'!$E:$E)</f>
        <v>CANAL VENDA INTERNA</v>
      </c>
      <c r="D528" s="5" t="str">
        <f>_xlfn.XLOOKUP($N528,'Base de Grupos'!$A:$A,'Base de Grupos'!$F:$F)</f>
        <v>1000065763</v>
      </c>
      <c r="E528" s="2" t="str">
        <f>_xlfn.XLOOKUP($N528,'Base de Grupos'!$A:$A,'Base de Grupos'!$G:$G)</f>
        <v>CANAL VENDA INTERNA</v>
      </c>
      <c r="F528" s="2" t="str">
        <f>_xlfn.XLOOKUP($N528,'Base de Grupos'!$A:$A,'Base de Grupos'!$H:$H)</f>
        <v>1000153245</v>
      </c>
      <c r="G528" s="5" t="str">
        <f>_xlfn.XLOOKUP($N528,'Base de Grupos'!$A:$A,'Base de Grupos'!$I:$I)</f>
        <v>REGIONAL VENDA INTERNA - KEY ACCOUNT</v>
      </c>
      <c r="H528" s="5" t="str">
        <f>_xlfn.XLOOKUP($N528,'Base de Grupos'!$A:$A,'Base de Grupos'!$J:$J)</f>
        <v>1000153245</v>
      </c>
      <c r="I528" s="2" t="str">
        <f>_xlfn.XLOOKUP($N528,'Base de Grupos'!$A:$A,'Base de Grupos'!$K:$K)</f>
        <v>REGIONAL VENDA INTERNA - KEY ACCOUNT</v>
      </c>
      <c r="J528" s="2" t="str">
        <f>_xlfn.XLOOKUP($N528,'Base de Grupos'!$A:$A,'Base de Grupos'!$L:$L)</f>
        <v>1000153245</v>
      </c>
      <c r="K528" s="5" t="str">
        <f>_xlfn.XLOOKUP($N528,'Base de Grupos'!$A:$A,'Base de Grupos'!$M:$M)</f>
        <v>REGIONAL VENDA INTERNA - KEY ACCOUNT</v>
      </c>
      <c r="L528" s="5" t="str">
        <f t="shared" si="541"/>
        <v/>
      </c>
      <c r="M528" s="5" t="str">
        <f>_xlfn.XLOOKUP($N528,'Base de Grupos'!$A:$A,'Base de Grupos'!$C:$C)</f>
        <v>RS</v>
      </c>
      <c r="N528" s="3">
        <v>1429</v>
      </c>
      <c r="O528" s="4" t="s">
        <v>253</v>
      </c>
      <c r="P528" s="5" t="s">
        <v>84</v>
      </c>
      <c r="Q528" s="56">
        <v>0</v>
      </c>
      <c r="R528" s="56">
        <v>441.5151111111112</v>
      </c>
      <c r="S528" s="56">
        <v>551.89388888888902</v>
      </c>
      <c r="T528" s="56">
        <f>_xlfn.XLOOKUP($N528,'Calculo Leads'!$A$97:$A$134,'Calculo Leads'!G$97:G$134)*_xlfn.XLOOKUP($P528,'Base Grupo de Produtos'!$E$2:$E$18,'Base Grupo de Produtos'!$F$2:$F$18)</f>
        <v>80</v>
      </c>
      <c r="U528" s="56">
        <f>_xlfn.XLOOKUP($N528,'Calculo Leads'!$A$97:$A$134,'Calculo Leads'!H$97:H$134)*_xlfn.XLOOKUP($P528,'Base Grupo de Produtos'!$E$2:$E$18,'Base Grupo de Produtos'!$F$2:$F$18)</f>
        <v>80</v>
      </c>
      <c r="V528" s="56">
        <f>_xlfn.XLOOKUP($N528,'Calculo Leads'!$A$97:$A$134,'Calculo Leads'!I$97:I$134)*_xlfn.XLOOKUP($P528,'Base Grupo de Produtos'!$E$2:$E$18,'Base Grupo de Produtos'!$F$2:$F$18)</f>
        <v>160</v>
      </c>
      <c r="W528" s="56">
        <f>_xlfn.XLOOKUP($N528,'Calculo Leads'!$A$97:$A$134,'Calculo Leads'!J$97:J$134)*_xlfn.XLOOKUP($P528,'Base Grupo de Produtos'!$E$2:$E$18,'Base Grupo de Produtos'!$F$2:$F$18)</f>
        <v>160</v>
      </c>
      <c r="X528" s="56">
        <f>_xlfn.XLOOKUP($N528,'Calculo Leads'!$A$97:$A$134,'Calculo Leads'!K$97:K$134)*_xlfn.XLOOKUP($P528,'Base Grupo de Produtos'!$E$2:$E$18,'Base Grupo de Produtos'!$F$2:$F$18)</f>
        <v>176</v>
      </c>
      <c r="Y528" s="56">
        <f>_xlfn.XLOOKUP($N528,'Calculo Leads'!$A$97:$A$134,'Calculo Leads'!L$97:L$134)*_xlfn.XLOOKUP($P528,'Base Grupo de Produtos'!$E$2:$E$18,'Base Grupo de Produtos'!$F$2:$F$18)</f>
        <v>264</v>
      </c>
      <c r="Z528" s="56">
        <f>_xlfn.XLOOKUP($N528,'Calculo Leads'!$A$97:$A$134,'Calculo Leads'!M$97:M$134)*_xlfn.XLOOKUP($P528,'Base Grupo de Produtos'!$E$2:$E$18,'Base Grupo de Produtos'!$F$2:$F$18)</f>
        <v>264</v>
      </c>
      <c r="AA528" s="56">
        <f>_xlfn.XLOOKUP($N528,'Calculo Leads'!$A$97:$A$134,'Calculo Leads'!N$97:N$134)*_xlfn.XLOOKUP($P528,'Base Grupo de Produtos'!$E$2:$E$18,'Base Grupo de Produtos'!$F$2:$F$18)</f>
        <v>264</v>
      </c>
      <c r="AB528" s="56">
        <f>_xlfn.XLOOKUP($N528,'Calculo Leads'!$A$97:$A$134,'Calculo Leads'!O$97:O$134)*_xlfn.XLOOKUP($P528,'Base Grupo de Produtos'!$E$2:$E$18,'Base Grupo de Produtos'!$F$2:$F$18)</f>
        <v>176</v>
      </c>
      <c r="AC528" s="61">
        <f t="shared" si="561"/>
        <v>1624</v>
      </c>
      <c r="AD528" s="27">
        <f t="shared" si="577"/>
        <v>1624</v>
      </c>
      <c r="AE528" s="25">
        <f>IFERROR(_xlfn.XLOOKUP(N528&amp;P528,'Historico Vendas'!G:G,'Historico Vendas'!E:E),0)</f>
        <v>0</v>
      </c>
      <c r="AF528" s="29" t="str">
        <f t="shared" si="539"/>
        <v/>
      </c>
      <c r="AG528" s="24">
        <f>IFERROR(_xlfn.XLOOKUP(N528&amp;P528,'Historico Vendas'!G:G,'Historico Vendas'!F:F),0)</f>
        <v>0</v>
      </c>
      <c r="AH528" s="25">
        <f t="shared" si="578"/>
        <v>993.40900000000022</v>
      </c>
      <c r="AI528" s="24">
        <f t="shared" si="579"/>
        <v>993.40900000000022</v>
      </c>
      <c r="AJ528" s="11">
        <f t="shared" si="542"/>
        <v>0</v>
      </c>
      <c r="AK528" s="9" t="s">
        <v>102</v>
      </c>
      <c r="AL528" s="13">
        <f>IFERROR(INDEX('Balizador da Meta'!$D$3:$F$23,MATCH(Faturamento!$P528,'Balizador da Meta'!$C$3:$C$23,0),MATCH(Faturamento!AK528,'Balizador da Meta'!$D$2:$F$2,0)),"")</f>
        <v>0.15</v>
      </c>
      <c r="AM528" s="9"/>
    </row>
    <row r="529" spans="1:39" x14ac:dyDescent="0.3">
      <c r="A529" s="2" t="str">
        <f t="shared" si="540"/>
        <v>NÃO</v>
      </c>
      <c r="B529" s="2" t="str">
        <f>_xlfn.XLOOKUP($N529,'Base de Grupos'!$A:$A,'Base de Grupos'!$D:$D)</f>
        <v>1000065763</v>
      </c>
      <c r="C529" s="5" t="str">
        <f>_xlfn.XLOOKUP($N529,'Base de Grupos'!$A:$A,'Base de Grupos'!$E:$E)</f>
        <v>CANAL VENDA INTERNA</v>
      </c>
      <c r="D529" s="5" t="str">
        <f>_xlfn.XLOOKUP($N529,'Base de Grupos'!$A:$A,'Base de Grupos'!$F:$F)</f>
        <v>1000065763</v>
      </c>
      <c r="E529" s="2" t="str">
        <f>_xlfn.XLOOKUP($N529,'Base de Grupos'!$A:$A,'Base de Grupos'!$G:$G)</f>
        <v>CANAL VENDA INTERNA</v>
      </c>
      <c r="F529" s="2" t="str">
        <f>_xlfn.XLOOKUP($N529,'Base de Grupos'!$A:$A,'Base de Grupos'!$H:$H)</f>
        <v>1000153245</v>
      </c>
      <c r="G529" s="5" t="str">
        <f>_xlfn.XLOOKUP($N529,'Base de Grupos'!$A:$A,'Base de Grupos'!$I:$I)</f>
        <v>REGIONAL VENDA INTERNA - KEY ACCOUNT</v>
      </c>
      <c r="H529" s="5" t="str">
        <f>_xlfn.XLOOKUP($N529,'Base de Grupos'!$A:$A,'Base de Grupos'!$J:$J)</f>
        <v>1000153245</v>
      </c>
      <c r="I529" s="2" t="str">
        <f>_xlfn.XLOOKUP($N529,'Base de Grupos'!$A:$A,'Base de Grupos'!$K:$K)</f>
        <v>REGIONAL VENDA INTERNA - KEY ACCOUNT</v>
      </c>
      <c r="J529" s="2" t="str">
        <f>_xlfn.XLOOKUP($N529,'Base de Grupos'!$A:$A,'Base de Grupos'!$L:$L)</f>
        <v>1000153245</v>
      </c>
      <c r="K529" s="5" t="str">
        <f>_xlfn.XLOOKUP($N529,'Base de Grupos'!$A:$A,'Base de Grupos'!$M:$M)</f>
        <v>REGIONAL VENDA INTERNA - KEY ACCOUNT</v>
      </c>
      <c r="L529" s="5" t="str">
        <f t="shared" si="541"/>
        <v/>
      </c>
      <c r="M529" s="5" t="str">
        <f>_xlfn.XLOOKUP($N529,'Base de Grupos'!$A:$A,'Base de Grupos'!$C:$C)</f>
        <v>RS</v>
      </c>
      <c r="N529" s="3">
        <v>1429</v>
      </c>
      <c r="O529" s="4" t="s">
        <v>253</v>
      </c>
      <c r="P529" s="5" t="s">
        <v>83</v>
      </c>
      <c r="Q529" s="56">
        <v>0</v>
      </c>
      <c r="R529" s="56">
        <v>555.05619047619052</v>
      </c>
      <c r="S529" s="56">
        <v>555.05619047619052</v>
      </c>
      <c r="T529" s="56">
        <f>_xlfn.XLOOKUP($N529,'Calculo Leads'!$A$97:$A$134,'Calculo Leads'!G$97:G$134)*_xlfn.XLOOKUP($P529,'Base Grupo de Produtos'!$E$2:$E$18,'Base Grupo de Produtos'!$F$2:$F$18)</f>
        <v>100</v>
      </c>
      <c r="U529" s="56">
        <f>_xlfn.XLOOKUP($N529,'Calculo Leads'!$A$97:$A$134,'Calculo Leads'!H$97:H$134)*_xlfn.XLOOKUP($P529,'Base Grupo de Produtos'!$E$2:$E$18,'Base Grupo de Produtos'!$F$2:$F$18)</f>
        <v>100</v>
      </c>
      <c r="V529" s="56">
        <f>_xlfn.XLOOKUP($N529,'Calculo Leads'!$A$97:$A$134,'Calculo Leads'!I$97:I$134)*_xlfn.XLOOKUP($P529,'Base Grupo de Produtos'!$E$2:$E$18,'Base Grupo de Produtos'!$F$2:$F$18)</f>
        <v>200</v>
      </c>
      <c r="W529" s="56">
        <f>_xlfn.XLOOKUP($N529,'Calculo Leads'!$A$97:$A$134,'Calculo Leads'!J$97:J$134)*_xlfn.XLOOKUP($P529,'Base Grupo de Produtos'!$E$2:$E$18,'Base Grupo de Produtos'!$F$2:$F$18)</f>
        <v>200</v>
      </c>
      <c r="X529" s="56">
        <f>_xlfn.XLOOKUP($N529,'Calculo Leads'!$A$97:$A$134,'Calculo Leads'!K$97:K$134)*_xlfn.XLOOKUP($P529,'Base Grupo de Produtos'!$E$2:$E$18,'Base Grupo de Produtos'!$F$2:$F$18)</f>
        <v>220</v>
      </c>
      <c r="Y529" s="56">
        <f>_xlfn.XLOOKUP($N529,'Calculo Leads'!$A$97:$A$134,'Calculo Leads'!L$97:L$134)*_xlfn.XLOOKUP($P529,'Base Grupo de Produtos'!$E$2:$E$18,'Base Grupo de Produtos'!$F$2:$F$18)</f>
        <v>330</v>
      </c>
      <c r="Z529" s="56">
        <f>_xlfn.XLOOKUP($N529,'Calculo Leads'!$A$97:$A$134,'Calculo Leads'!M$97:M$134)*_xlfn.XLOOKUP($P529,'Base Grupo de Produtos'!$E$2:$E$18,'Base Grupo de Produtos'!$F$2:$F$18)</f>
        <v>330</v>
      </c>
      <c r="AA529" s="56">
        <f>_xlfn.XLOOKUP($N529,'Calculo Leads'!$A$97:$A$134,'Calculo Leads'!N$97:N$134)*_xlfn.XLOOKUP($P529,'Base Grupo de Produtos'!$E$2:$E$18,'Base Grupo de Produtos'!$F$2:$F$18)</f>
        <v>330</v>
      </c>
      <c r="AB529" s="56">
        <f>_xlfn.XLOOKUP($N529,'Calculo Leads'!$A$97:$A$134,'Calculo Leads'!O$97:O$134)*_xlfn.XLOOKUP($P529,'Base Grupo de Produtos'!$E$2:$E$18,'Base Grupo de Produtos'!$F$2:$F$18)</f>
        <v>220</v>
      </c>
      <c r="AC529" s="61">
        <f t="shared" si="561"/>
        <v>2030</v>
      </c>
      <c r="AD529" s="27">
        <f t="shared" si="577"/>
        <v>2030</v>
      </c>
      <c r="AE529" s="25">
        <f>IFERROR(_xlfn.XLOOKUP(N529&amp;P529,'Historico Vendas'!G:G,'Historico Vendas'!E:E),0)</f>
        <v>0</v>
      </c>
      <c r="AF529" s="29" t="str">
        <f t="shared" si="539"/>
        <v/>
      </c>
      <c r="AG529" s="24">
        <f>IFERROR(_xlfn.XLOOKUP(N529&amp;P529,'Historico Vendas'!G:G,'Historico Vendas'!F:F),0)</f>
        <v>0</v>
      </c>
      <c r="AH529" s="25">
        <f t="shared" si="578"/>
        <v>1110.112380952381</v>
      </c>
      <c r="AI529" s="24">
        <f t="shared" si="579"/>
        <v>1110.112380952381</v>
      </c>
      <c r="AJ529" s="11">
        <f t="shared" si="542"/>
        <v>0</v>
      </c>
      <c r="AK529" s="9" t="s">
        <v>102</v>
      </c>
      <c r="AL529" s="13">
        <f>IFERROR(INDEX('Balizador da Meta'!$D$3:$F$23,MATCH(Faturamento!$P529,'Balizador da Meta'!$C$3:$C$23,0),MATCH(Faturamento!AK529,'Balizador da Meta'!$D$2:$F$2,0)),"")</f>
        <v>0</v>
      </c>
      <c r="AM529" s="9"/>
    </row>
    <row r="530" spans="1:39" x14ac:dyDescent="0.3">
      <c r="A530" s="2" t="str">
        <f t="shared" si="540"/>
        <v>NÃO</v>
      </c>
      <c r="B530" s="2" t="str">
        <f>_xlfn.XLOOKUP($N530,'Base de Grupos'!$A:$A,'Base de Grupos'!$D:$D)</f>
        <v>1000065763</v>
      </c>
      <c r="C530" s="5" t="str">
        <f>_xlfn.XLOOKUP($N530,'Base de Grupos'!$A:$A,'Base de Grupos'!$E:$E)</f>
        <v>CANAL VENDA INTERNA</v>
      </c>
      <c r="D530" s="5" t="str">
        <f>_xlfn.XLOOKUP($N530,'Base de Grupos'!$A:$A,'Base de Grupos'!$F:$F)</f>
        <v>1000065763</v>
      </c>
      <c r="E530" s="2" t="str">
        <f>_xlfn.XLOOKUP($N530,'Base de Grupos'!$A:$A,'Base de Grupos'!$G:$G)</f>
        <v>CANAL VENDA INTERNA</v>
      </c>
      <c r="F530" s="2" t="str">
        <f>_xlfn.XLOOKUP($N530,'Base de Grupos'!$A:$A,'Base de Grupos'!$H:$H)</f>
        <v>1000153245</v>
      </c>
      <c r="G530" s="5" t="str">
        <f>_xlfn.XLOOKUP($N530,'Base de Grupos'!$A:$A,'Base de Grupos'!$I:$I)</f>
        <v>REGIONAL VENDA INTERNA - KEY ACCOUNT</v>
      </c>
      <c r="H530" s="5" t="str">
        <f>_xlfn.XLOOKUP($N530,'Base de Grupos'!$A:$A,'Base de Grupos'!$J:$J)</f>
        <v>1000153245</v>
      </c>
      <c r="I530" s="2" t="str">
        <f>_xlfn.XLOOKUP($N530,'Base de Grupos'!$A:$A,'Base de Grupos'!$K:$K)</f>
        <v>REGIONAL VENDA INTERNA - KEY ACCOUNT</v>
      </c>
      <c r="J530" s="2" t="str">
        <f>_xlfn.XLOOKUP($N530,'Base de Grupos'!$A:$A,'Base de Grupos'!$L:$L)</f>
        <v>1000153245</v>
      </c>
      <c r="K530" s="5" t="str">
        <f>_xlfn.XLOOKUP($N530,'Base de Grupos'!$A:$A,'Base de Grupos'!$M:$M)</f>
        <v>REGIONAL VENDA INTERNA - KEY ACCOUNT</v>
      </c>
      <c r="L530" s="5" t="str">
        <f t="shared" si="541"/>
        <v/>
      </c>
      <c r="M530" s="5" t="str">
        <f>_xlfn.XLOOKUP($N530,'Base de Grupos'!$A:$A,'Base de Grupos'!$C:$C)</f>
        <v>RS</v>
      </c>
      <c r="N530" s="3">
        <v>1429</v>
      </c>
      <c r="O530" s="4" t="s">
        <v>253</v>
      </c>
      <c r="P530" s="5" t="s">
        <v>87</v>
      </c>
      <c r="Q530" s="56">
        <v>0</v>
      </c>
      <c r="R530" s="56">
        <v>124.75666666666666</v>
      </c>
      <c r="S530" s="56">
        <v>249.51333333333332</v>
      </c>
      <c r="T530" s="56">
        <f>_xlfn.XLOOKUP($N530,'Calculo Leads'!$A$97:$A$134,'Calculo Leads'!G$97:G$134)*_xlfn.XLOOKUP($P530,'Base Grupo de Produtos'!$E$2:$E$18,'Base Grupo de Produtos'!$F$2:$F$18)</f>
        <v>19.999999999999996</v>
      </c>
      <c r="U530" s="56">
        <f>_xlfn.XLOOKUP($N530,'Calculo Leads'!$A$97:$A$134,'Calculo Leads'!H$97:H$134)*_xlfn.XLOOKUP($P530,'Base Grupo de Produtos'!$E$2:$E$18,'Base Grupo de Produtos'!$F$2:$F$18)</f>
        <v>19.999999999999996</v>
      </c>
      <c r="V530" s="56">
        <f>_xlfn.XLOOKUP($N530,'Calculo Leads'!$A$97:$A$134,'Calculo Leads'!I$97:I$134)*_xlfn.XLOOKUP($P530,'Base Grupo de Produtos'!$E$2:$E$18,'Base Grupo de Produtos'!$F$2:$F$18)</f>
        <v>39.999999999999993</v>
      </c>
      <c r="W530" s="56">
        <f>_xlfn.XLOOKUP($N530,'Calculo Leads'!$A$97:$A$134,'Calculo Leads'!J$97:J$134)*_xlfn.XLOOKUP($P530,'Base Grupo de Produtos'!$E$2:$E$18,'Base Grupo de Produtos'!$F$2:$F$18)</f>
        <v>39.999999999999993</v>
      </c>
      <c r="X530" s="56">
        <f>_xlfn.XLOOKUP($N530,'Calculo Leads'!$A$97:$A$134,'Calculo Leads'!K$97:K$134)*_xlfn.XLOOKUP($P530,'Base Grupo de Produtos'!$E$2:$E$18,'Base Grupo de Produtos'!$F$2:$F$18)</f>
        <v>43.999999999999993</v>
      </c>
      <c r="Y530" s="56">
        <f>_xlfn.XLOOKUP($N530,'Calculo Leads'!$A$97:$A$134,'Calculo Leads'!L$97:L$134)*_xlfn.XLOOKUP($P530,'Base Grupo de Produtos'!$E$2:$E$18,'Base Grupo de Produtos'!$F$2:$F$18)</f>
        <v>65.999999999999986</v>
      </c>
      <c r="Z530" s="56">
        <f>_xlfn.XLOOKUP($N530,'Calculo Leads'!$A$97:$A$134,'Calculo Leads'!M$97:M$134)*_xlfn.XLOOKUP($P530,'Base Grupo de Produtos'!$E$2:$E$18,'Base Grupo de Produtos'!$F$2:$F$18)</f>
        <v>65.999999999999986</v>
      </c>
      <c r="AA530" s="56">
        <f>_xlfn.XLOOKUP($N530,'Calculo Leads'!$A$97:$A$134,'Calculo Leads'!N$97:N$134)*_xlfn.XLOOKUP($P530,'Base Grupo de Produtos'!$E$2:$E$18,'Base Grupo de Produtos'!$F$2:$F$18)</f>
        <v>65.999999999999986</v>
      </c>
      <c r="AB530" s="56">
        <f>_xlfn.XLOOKUP($N530,'Calculo Leads'!$A$97:$A$134,'Calculo Leads'!O$97:O$134)*_xlfn.XLOOKUP($P530,'Base Grupo de Produtos'!$E$2:$E$18,'Base Grupo de Produtos'!$F$2:$F$18)</f>
        <v>43.999999999999993</v>
      </c>
      <c r="AC530" s="61">
        <f t="shared" si="561"/>
        <v>405.99999999999994</v>
      </c>
      <c r="AD530" s="27">
        <f t="shared" si="577"/>
        <v>405.99999999999994</v>
      </c>
      <c r="AE530" s="25">
        <f>IFERROR(_xlfn.XLOOKUP(N530&amp;P530,'Historico Vendas'!G:G,'Historico Vendas'!E:E),0)</f>
        <v>0</v>
      </c>
      <c r="AF530" s="29" t="str">
        <f t="shared" si="539"/>
        <v/>
      </c>
      <c r="AG530" s="24">
        <f>IFERROR(_xlfn.XLOOKUP(N530&amp;P530,'Historico Vendas'!G:G,'Historico Vendas'!F:F),0)</f>
        <v>0</v>
      </c>
      <c r="AH530" s="25">
        <f t="shared" si="578"/>
        <v>374.27</v>
      </c>
      <c r="AI530" s="24">
        <f t="shared" si="579"/>
        <v>374.27</v>
      </c>
      <c r="AJ530" s="11">
        <f t="shared" si="542"/>
        <v>0</v>
      </c>
      <c r="AK530" s="9" t="s">
        <v>102</v>
      </c>
      <c r="AL530" s="13">
        <f>IFERROR(INDEX('Balizador da Meta'!$D$3:$F$23,MATCH(Faturamento!$P530,'Balizador da Meta'!$C$3:$C$23,0),MATCH(Faturamento!AK530,'Balizador da Meta'!$D$2:$F$2,0)),"")</f>
        <v>0</v>
      </c>
      <c r="AM530" s="9"/>
    </row>
    <row r="531" spans="1:39" x14ac:dyDescent="0.3">
      <c r="A531" s="2" t="str">
        <f t="shared" si="540"/>
        <v>NÃO</v>
      </c>
      <c r="B531" s="2" t="str">
        <f>_xlfn.XLOOKUP($N531,'Base de Grupos'!$A:$A,'Base de Grupos'!$D:$D)</f>
        <v>1000065763</v>
      </c>
      <c r="C531" s="5" t="str">
        <f>_xlfn.XLOOKUP($N531,'Base de Grupos'!$A:$A,'Base de Grupos'!$E:$E)</f>
        <v>CANAL VENDA INTERNA</v>
      </c>
      <c r="D531" s="5" t="str">
        <f>_xlfn.XLOOKUP($N531,'Base de Grupos'!$A:$A,'Base de Grupos'!$F:$F)</f>
        <v>1000065763</v>
      </c>
      <c r="E531" s="2" t="str">
        <f>_xlfn.XLOOKUP($N531,'Base de Grupos'!$A:$A,'Base de Grupos'!$G:$G)</f>
        <v>CANAL VENDA INTERNA</v>
      </c>
      <c r="F531" s="2" t="str">
        <f>_xlfn.XLOOKUP($N531,'Base de Grupos'!$A:$A,'Base de Grupos'!$H:$H)</f>
        <v>1000153245</v>
      </c>
      <c r="G531" s="5" t="str">
        <f>_xlfn.XLOOKUP($N531,'Base de Grupos'!$A:$A,'Base de Grupos'!$I:$I)</f>
        <v>REGIONAL VENDA INTERNA - KEY ACCOUNT</v>
      </c>
      <c r="H531" s="5" t="str">
        <f>_xlfn.XLOOKUP($N531,'Base de Grupos'!$A:$A,'Base de Grupos'!$J:$J)</f>
        <v>1000153245</v>
      </c>
      <c r="I531" s="2" t="str">
        <f>_xlfn.XLOOKUP($N531,'Base de Grupos'!$A:$A,'Base de Grupos'!$K:$K)</f>
        <v>REGIONAL VENDA INTERNA - KEY ACCOUNT</v>
      </c>
      <c r="J531" s="2" t="str">
        <f>_xlfn.XLOOKUP($N531,'Base de Grupos'!$A:$A,'Base de Grupos'!$L:$L)</f>
        <v>1000153245</v>
      </c>
      <c r="K531" s="5" t="str">
        <f>_xlfn.XLOOKUP($N531,'Base de Grupos'!$A:$A,'Base de Grupos'!$M:$M)</f>
        <v>REGIONAL VENDA INTERNA - KEY ACCOUNT</v>
      </c>
      <c r="L531" s="5" t="str">
        <f t="shared" si="541"/>
        <v/>
      </c>
      <c r="M531" s="5" t="str">
        <f>_xlfn.XLOOKUP($N531,'Base de Grupos'!$A:$A,'Base de Grupos'!$C:$C)</f>
        <v>RS</v>
      </c>
      <c r="N531" s="3">
        <v>1429</v>
      </c>
      <c r="O531" s="4" t="s">
        <v>253</v>
      </c>
      <c r="P531" s="5" t="s">
        <v>85</v>
      </c>
      <c r="Q531" s="56">
        <v>0</v>
      </c>
      <c r="R531" s="56">
        <v>315.14999999999998</v>
      </c>
      <c r="S531" s="56">
        <v>420.2</v>
      </c>
      <c r="T531" s="56">
        <f>_xlfn.XLOOKUP($N531,'Calculo Leads'!$A$97:$A$134,'Calculo Leads'!G$97:G$134)*_xlfn.XLOOKUP($P531,'Base Grupo de Produtos'!$E$2:$E$18,'Base Grupo de Produtos'!$F$2:$F$18)</f>
        <v>20</v>
      </c>
      <c r="U531" s="56">
        <f>_xlfn.XLOOKUP($N531,'Calculo Leads'!$A$97:$A$134,'Calculo Leads'!H$97:H$134)*_xlfn.XLOOKUP($P531,'Base Grupo de Produtos'!$E$2:$E$18,'Base Grupo de Produtos'!$F$2:$F$18)</f>
        <v>20</v>
      </c>
      <c r="V531" s="56">
        <f>_xlfn.XLOOKUP($N531,'Calculo Leads'!$A$97:$A$134,'Calculo Leads'!I$97:I$134)*_xlfn.XLOOKUP($P531,'Base Grupo de Produtos'!$E$2:$E$18,'Base Grupo de Produtos'!$F$2:$F$18)</f>
        <v>40</v>
      </c>
      <c r="W531" s="56">
        <f>_xlfn.XLOOKUP($N531,'Calculo Leads'!$A$97:$A$134,'Calculo Leads'!J$97:J$134)*_xlfn.XLOOKUP($P531,'Base Grupo de Produtos'!$E$2:$E$18,'Base Grupo de Produtos'!$F$2:$F$18)</f>
        <v>40</v>
      </c>
      <c r="X531" s="56">
        <f>_xlfn.XLOOKUP($N531,'Calculo Leads'!$A$97:$A$134,'Calculo Leads'!K$97:K$134)*_xlfn.XLOOKUP($P531,'Base Grupo de Produtos'!$E$2:$E$18,'Base Grupo de Produtos'!$F$2:$F$18)</f>
        <v>44</v>
      </c>
      <c r="Y531" s="56">
        <f>_xlfn.XLOOKUP($N531,'Calculo Leads'!$A$97:$A$134,'Calculo Leads'!L$97:L$134)*_xlfn.XLOOKUP($P531,'Base Grupo de Produtos'!$E$2:$E$18,'Base Grupo de Produtos'!$F$2:$F$18)</f>
        <v>66</v>
      </c>
      <c r="Z531" s="56">
        <f>_xlfn.XLOOKUP($N531,'Calculo Leads'!$A$97:$A$134,'Calculo Leads'!M$97:M$134)*_xlfn.XLOOKUP($P531,'Base Grupo de Produtos'!$E$2:$E$18,'Base Grupo de Produtos'!$F$2:$F$18)</f>
        <v>66</v>
      </c>
      <c r="AA531" s="56">
        <f>_xlfn.XLOOKUP($N531,'Calculo Leads'!$A$97:$A$134,'Calculo Leads'!N$97:N$134)*_xlfn.XLOOKUP($P531,'Base Grupo de Produtos'!$E$2:$E$18,'Base Grupo de Produtos'!$F$2:$F$18)</f>
        <v>66</v>
      </c>
      <c r="AB531" s="56">
        <f>_xlfn.XLOOKUP($N531,'Calculo Leads'!$A$97:$A$134,'Calculo Leads'!O$97:O$134)*_xlfn.XLOOKUP($P531,'Base Grupo de Produtos'!$E$2:$E$18,'Base Grupo de Produtos'!$F$2:$F$18)</f>
        <v>44</v>
      </c>
      <c r="AC531" s="61">
        <f t="shared" si="561"/>
        <v>406</v>
      </c>
      <c r="AD531" s="27">
        <f t="shared" si="577"/>
        <v>406</v>
      </c>
      <c r="AE531" s="25">
        <f>IFERROR(_xlfn.XLOOKUP(N531&amp;P531,'Historico Vendas'!G:G,'Historico Vendas'!E:E),0)</f>
        <v>0</v>
      </c>
      <c r="AF531" s="29" t="str">
        <f t="shared" si="539"/>
        <v/>
      </c>
      <c r="AG531" s="24">
        <f>IFERROR(_xlfn.XLOOKUP(N531&amp;P531,'Historico Vendas'!G:G,'Historico Vendas'!F:F),0)</f>
        <v>0</v>
      </c>
      <c r="AH531" s="25">
        <f t="shared" si="578"/>
        <v>735.34999999999991</v>
      </c>
      <c r="AI531" s="24">
        <f t="shared" si="579"/>
        <v>735.34999999999991</v>
      </c>
      <c r="AJ531" s="11">
        <f t="shared" si="542"/>
        <v>0</v>
      </c>
      <c r="AK531" s="9" t="s">
        <v>102</v>
      </c>
      <c r="AL531" s="13">
        <f>IFERROR(INDEX('Balizador da Meta'!$D$3:$F$23,MATCH(Faturamento!$P531,'Balizador da Meta'!$C$3:$C$23,0),MATCH(Faturamento!AK531,'Balizador da Meta'!$D$2:$F$2,0)),"")</f>
        <v>0</v>
      </c>
      <c r="AM531" s="9"/>
    </row>
    <row r="532" spans="1:39" x14ac:dyDescent="0.3">
      <c r="A532" s="2" t="str">
        <f t="shared" si="540"/>
        <v>NÃO</v>
      </c>
      <c r="B532" s="2" t="str">
        <f>_xlfn.XLOOKUP($N532,'Base de Grupos'!$A:$A,'Base de Grupos'!$D:$D)</f>
        <v>1000065763</v>
      </c>
      <c r="C532" s="5" t="str">
        <f>_xlfn.XLOOKUP($N532,'Base de Grupos'!$A:$A,'Base de Grupos'!$E:$E)</f>
        <v>CANAL VENDA INTERNA</v>
      </c>
      <c r="D532" s="5" t="str">
        <f>_xlfn.XLOOKUP($N532,'Base de Grupos'!$A:$A,'Base de Grupos'!$F:$F)</f>
        <v>1000065763</v>
      </c>
      <c r="E532" s="2" t="str">
        <f>_xlfn.XLOOKUP($N532,'Base de Grupos'!$A:$A,'Base de Grupos'!$G:$G)</f>
        <v>CANAL VENDA INTERNA</v>
      </c>
      <c r="F532" s="2" t="str">
        <f>_xlfn.XLOOKUP($N532,'Base de Grupos'!$A:$A,'Base de Grupos'!$H:$H)</f>
        <v>1000153245</v>
      </c>
      <c r="G532" s="5" t="str">
        <f>_xlfn.XLOOKUP($N532,'Base de Grupos'!$A:$A,'Base de Grupos'!$I:$I)</f>
        <v>REGIONAL VENDA INTERNA - KEY ACCOUNT</v>
      </c>
      <c r="H532" s="5" t="str">
        <f>_xlfn.XLOOKUP($N532,'Base de Grupos'!$A:$A,'Base de Grupos'!$J:$J)</f>
        <v>1000153245</v>
      </c>
      <c r="I532" s="2" t="str">
        <f>_xlfn.XLOOKUP($N532,'Base de Grupos'!$A:$A,'Base de Grupos'!$K:$K)</f>
        <v>REGIONAL VENDA INTERNA - KEY ACCOUNT</v>
      </c>
      <c r="J532" s="2" t="str">
        <f>_xlfn.XLOOKUP($N532,'Base de Grupos'!$A:$A,'Base de Grupos'!$L:$L)</f>
        <v>1000153245</v>
      </c>
      <c r="K532" s="5" t="str">
        <f>_xlfn.XLOOKUP($N532,'Base de Grupos'!$A:$A,'Base de Grupos'!$M:$M)</f>
        <v>REGIONAL VENDA INTERNA - KEY ACCOUNT</v>
      </c>
      <c r="L532" s="5" t="str">
        <f t="shared" si="541"/>
        <v/>
      </c>
      <c r="M532" s="5" t="str">
        <f>_xlfn.XLOOKUP($N532,'Base de Grupos'!$A:$A,'Base de Grupos'!$C:$C)</f>
        <v>RS</v>
      </c>
      <c r="N532" s="3">
        <v>1429</v>
      </c>
      <c r="O532" s="4" t="s">
        <v>253</v>
      </c>
      <c r="P532" s="5" t="s">
        <v>92</v>
      </c>
      <c r="Q532" s="56">
        <v>0</v>
      </c>
      <c r="R532" s="56">
        <v>165.49714285714285</v>
      </c>
      <c r="S532" s="56">
        <v>165.49714285714285</v>
      </c>
      <c r="T532" s="56">
        <f>_xlfn.XLOOKUP($N532,'Calculo Leads'!$A$97:$A$134,'Calculo Leads'!G$97:G$134)*_xlfn.XLOOKUP($P532,'Base Grupo de Produtos'!$E$2:$E$18,'Base Grupo de Produtos'!$F$2:$F$18)</f>
        <v>20</v>
      </c>
      <c r="U532" s="56">
        <f>_xlfn.XLOOKUP($N532,'Calculo Leads'!$A$97:$A$134,'Calculo Leads'!H$97:H$134)*_xlfn.XLOOKUP($P532,'Base Grupo de Produtos'!$E$2:$E$18,'Base Grupo de Produtos'!$F$2:$F$18)</f>
        <v>20</v>
      </c>
      <c r="V532" s="56">
        <f>_xlfn.XLOOKUP($N532,'Calculo Leads'!$A$97:$A$134,'Calculo Leads'!I$97:I$134)*_xlfn.XLOOKUP($P532,'Base Grupo de Produtos'!$E$2:$E$18,'Base Grupo de Produtos'!$F$2:$F$18)</f>
        <v>40</v>
      </c>
      <c r="W532" s="56">
        <f>_xlfn.XLOOKUP($N532,'Calculo Leads'!$A$97:$A$134,'Calculo Leads'!J$97:J$134)*_xlfn.XLOOKUP($P532,'Base Grupo de Produtos'!$E$2:$E$18,'Base Grupo de Produtos'!$F$2:$F$18)</f>
        <v>40</v>
      </c>
      <c r="X532" s="56">
        <f>_xlfn.XLOOKUP($N532,'Calculo Leads'!$A$97:$A$134,'Calculo Leads'!K$97:K$134)*_xlfn.XLOOKUP($P532,'Base Grupo de Produtos'!$E$2:$E$18,'Base Grupo de Produtos'!$F$2:$F$18)</f>
        <v>44</v>
      </c>
      <c r="Y532" s="56">
        <f>_xlfn.XLOOKUP($N532,'Calculo Leads'!$A$97:$A$134,'Calculo Leads'!L$97:L$134)*_xlfn.XLOOKUP($P532,'Base Grupo de Produtos'!$E$2:$E$18,'Base Grupo de Produtos'!$F$2:$F$18)</f>
        <v>66</v>
      </c>
      <c r="Z532" s="56">
        <f>_xlfn.XLOOKUP($N532,'Calculo Leads'!$A$97:$A$134,'Calculo Leads'!M$97:M$134)*_xlfn.XLOOKUP($P532,'Base Grupo de Produtos'!$E$2:$E$18,'Base Grupo de Produtos'!$F$2:$F$18)</f>
        <v>66</v>
      </c>
      <c r="AA532" s="56">
        <f>_xlfn.XLOOKUP($N532,'Calculo Leads'!$A$97:$A$134,'Calculo Leads'!N$97:N$134)*_xlfn.XLOOKUP($P532,'Base Grupo de Produtos'!$E$2:$E$18,'Base Grupo de Produtos'!$F$2:$F$18)</f>
        <v>66</v>
      </c>
      <c r="AB532" s="56">
        <f>_xlfn.XLOOKUP($N532,'Calculo Leads'!$A$97:$A$134,'Calculo Leads'!O$97:O$134)*_xlfn.XLOOKUP($P532,'Base Grupo de Produtos'!$E$2:$E$18,'Base Grupo de Produtos'!$F$2:$F$18)</f>
        <v>44</v>
      </c>
      <c r="AC532" s="61">
        <f t="shared" si="561"/>
        <v>406</v>
      </c>
      <c r="AD532" s="27">
        <f t="shared" si="577"/>
        <v>406</v>
      </c>
      <c r="AE532" s="25">
        <f>IFERROR(_xlfn.XLOOKUP(N532&amp;P532,'Historico Vendas'!G:G,'Historico Vendas'!E:E),0)</f>
        <v>0</v>
      </c>
      <c r="AF532" s="29" t="str">
        <f t="shared" si="539"/>
        <v/>
      </c>
      <c r="AG532" s="24">
        <f>IFERROR(_xlfn.XLOOKUP(N532&amp;P532,'Historico Vendas'!G:G,'Historico Vendas'!F:F),0)</f>
        <v>0</v>
      </c>
      <c r="AH532" s="25">
        <f t="shared" si="578"/>
        <v>330.9942857142857</v>
      </c>
      <c r="AI532" s="24">
        <f t="shared" si="579"/>
        <v>330.9942857142857</v>
      </c>
      <c r="AJ532" s="11">
        <f t="shared" si="542"/>
        <v>0</v>
      </c>
      <c r="AK532" s="9" t="s">
        <v>102</v>
      </c>
      <c r="AL532" s="13">
        <f>IFERROR(INDEX('Balizador da Meta'!$D$3:$F$23,MATCH(Faturamento!$P532,'Balizador da Meta'!$C$3:$C$23,0),MATCH(Faturamento!AK532,'Balizador da Meta'!$D$2:$F$2,0)),"")</f>
        <v>0</v>
      </c>
      <c r="AM532" s="9"/>
    </row>
    <row r="533" spans="1:39" x14ac:dyDescent="0.3">
      <c r="A533" s="2" t="str">
        <f t="shared" si="540"/>
        <v>NÃO</v>
      </c>
      <c r="B533" s="2" t="str">
        <f>_xlfn.XLOOKUP($N533,'Base de Grupos'!$A:$A,'Base de Grupos'!$D:$D)</f>
        <v>1000065763</v>
      </c>
      <c r="C533" s="5" t="str">
        <f>_xlfn.XLOOKUP($N533,'Base de Grupos'!$A:$A,'Base de Grupos'!$E:$E)</f>
        <v>CANAL VENDA INTERNA</v>
      </c>
      <c r="D533" s="5" t="str">
        <f>_xlfn.XLOOKUP($N533,'Base de Grupos'!$A:$A,'Base de Grupos'!$F:$F)</f>
        <v>1000065763</v>
      </c>
      <c r="E533" s="2" t="str">
        <f>_xlfn.XLOOKUP($N533,'Base de Grupos'!$A:$A,'Base de Grupos'!$G:$G)</f>
        <v>CANAL VENDA INTERNA</v>
      </c>
      <c r="F533" s="2" t="str">
        <f>_xlfn.XLOOKUP($N533,'Base de Grupos'!$A:$A,'Base de Grupos'!$H:$H)</f>
        <v>1000153245</v>
      </c>
      <c r="G533" s="5" t="str">
        <f>_xlfn.XLOOKUP($N533,'Base de Grupos'!$A:$A,'Base de Grupos'!$I:$I)</f>
        <v>REGIONAL VENDA INTERNA - KEY ACCOUNT</v>
      </c>
      <c r="H533" s="5" t="str">
        <f>_xlfn.XLOOKUP($N533,'Base de Grupos'!$A:$A,'Base de Grupos'!$J:$J)</f>
        <v>1000153245</v>
      </c>
      <c r="I533" s="2" t="str">
        <f>_xlfn.XLOOKUP($N533,'Base de Grupos'!$A:$A,'Base de Grupos'!$K:$K)</f>
        <v>REGIONAL VENDA INTERNA - KEY ACCOUNT</v>
      </c>
      <c r="J533" s="2" t="str">
        <f>_xlfn.XLOOKUP($N533,'Base de Grupos'!$A:$A,'Base de Grupos'!$L:$L)</f>
        <v>1000153245</v>
      </c>
      <c r="K533" s="5" t="str">
        <f>_xlfn.XLOOKUP($N533,'Base de Grupos'!$A:$A,'Base de Grupos'!$M:$M)</f>
        <v>REGIONAL VENDA INTERNA - KEY ACCOUNT</v>
      </c>
      <c r="L533" s="5" t="str">
        <f t="shared" si="541"/>
        <v/>
      </c>
      <c r="M533" s="5" t="str">
        <f>_xlfn.XLOOKUP($N533,'Base de Grupos'!$A:$A,'Base de Grupos'!$C:$C)</f>
        <v>RS</v>
      </c>
      <c r="N533" s="3">
        <v>1429</v>
      </c>
      <c r="O533" s="4" t="s">
        <v>253</v>
      </c>
      <c r="P533" s="5" t="s">
        <v>86</v>
      </c>
      <c r="Q533" s="56">
        <v>0</v>
      </c>
      <c r="R533" s="56">
        <v>89.608571428571423</v>
      </c>
      <c r="S533" s="56">
        <v>179.21714285714285</v>
      </c>
      <c r="T533" s="56">
        <f>_xlfn.XLOOKUP($N533,'Calculo Leads'!$A$97:$A$134,'Calculo Leads'!G$97:G$134)*_xlfn.XLOOKUP($P533,'Base Grupo de Produtos'!$E$2:$E$18,'Base Grupo de Produtos'!$F$2:$F$18)</f>
        <v>30</v>
      </c>
      <c r="U533" s="56">
        <f>_xlfn.XLOOKUP($N533,'Calculo Leads'!$A$97:$A$134,'Calculo Leads'!H$97:H$134)*_xlfn.XLOOKUP($P533,'Base Grupo de Produtos'!$E$2:$E$18,'Base Grupo de Produtos'!$F$2:$F$18)</f>
        <v>30</v>
      </c>
      <c r="V533" s="56">
        <f>_xlfn.XLOOKUP($N533,'Calculo Leads'!$A$97:$A$134,'Calculo Leads'!I$97:I$134)*_xlfn.XLOOKUP($P533,'Base Grupo de Produtos'!$E$2:$E$18,'Base Grupo de Produtos'!$F$2:$F$18)</f>
        <v>60</v>
      </c>
      <c r="W533" s="56">
        <f>_xlfn.XLOOKUP($N533,'Calculo Leads'!$A$97:$A$134,'Calculo Leads'!J$97:J$134)*_xlfn.XLOOKUP($P533,'Base Grupo de Produtos'!$E$2:$E$18,'Base Grupo de Produtos'!$F$2:$F$18)</f>
        <v>60</v>
      </c>
      <c r="X533" s="56">
        <f>_xlfn.XLOOKUP($N533,'Calculo Leads'!$A$97:$A$134,'Calculo Leads'!K$97:K$134)*_xlfn.XLOOKUP($P533,'Base Grupo de Produtos'!$E$2:$E$18,'Base Grupo de Produtos'!$F$2:$F$18)</f>
        <v>66</v>
      </c>
      <c r="Y533" s="56">
        <f>_xlfn.XLOOKUP($N533,'Calculo Leads'!$A$97:$A$134,'Calculo Leads'!L$97:L$134)*_xlfn.XLOOKUP($P533,'Base Grupo de Produtos'!$E$2:$E$18,'Base Grupo de Produtos'!$F$2:$F$18)</f>
        <v>99</v>
      </c>
      <c r="Z533" s="56">
        <f>_xlfn.XLOOKUP($N533,'Calculo Leads'!$A$97:$A$134,'Calculo Leads'!M$97:M$134)*_xlfn.XLOOKUP($P533,'Base Grupo de Produtos'!$E$2:$E$18,'Base Grupo de Produtos'!$F$2:$F$18)</f>
        <v>99</v>
      </c>
      <c r="AA533" s="56">
        <f>_xlfn.XLOOKUP($N533,'Calculo Leads'!$A$97:$A$134,'Calculo Leads'!N$97:N$134)*_xlfn.XLOOKUP($P533,'Base Grupo de Produtos'!$E$2:$E$18,'Base Grupo de Produtos'!$F$2:$F$18)</f>
        <v>99</v>
      </c>
      <c r="AB533" s="56">
        <f>_xlfn.XLOOKUP($N533,'Calculo Leads'!$A$97:$A$134,'Calculo Leads'!O$97:O$134)*_xlfn.XLOOKUP($P533,'Base Grupo de Produtos'!$E$2:$E$18,'Base Grupo de Produtos'!$F$2:$F$18)</f>
        <v>66</v>
      </c>
      <c r="AC533" s="61">
        <f t="shared" si="561"/>
        <v>609</v>
      </c>
      <c r="AD533" s="27">
        <f t="shared" si="577"/>
        <v>609</v>
      </c>
      <c r="AE533" s="25">
        <f>IFERROR(_xlfn.XLOOKUP(N533&amp;P533,'Historico Vendas'!G:G,'Historico Vendas'!E:E),0)</f>
        <v>0</v>
      </c>
      <c r="AF533" s="29" t="str">
        <f t="shared" si="539"/>
        <v/>
      </c>
      <c r="AG533" s="24">
        <f>IFERROR(_xlfn.XLOOKUP(N533&amp;P533,'Historico Vendas'!G:G,'Historico Vendas'!F:F),0)</f>
        <v>0</v>
      </c>
      <c r="AH533" s="25">
        <f t="shared" si="578"/>
        <v>268.8257142857143</v>
      </c>
      <c r="AI533" s="24">
        <f t="shared" si="579"/>
        <v>268.8257142857143</v>
      </c>
      <c r="AJ533" s="11">
        <f t="shared" si="542"/>
        <v>0</v>
      </c>
      <c r="AK533" s="9" t="s">
        <v>102</v>
      </c>
      <c r="AL533" s="13">
        <f>IFERROR(INDEX('Balizador da Meta'!$D$3:$F$23,MATCH(Faturamento!$P533,'Balizador da Meta'!$C$3:$C$23,0),MATCH(Faturamento!AK533,'Balizador da Meta'!$D$2:$F$2,0)),"")</f>
        <v>0.15</v>
      </c>
      <c r="AM533" s="9"/>
    </row>
    <row r="534" spans="1:39" x14ac:dyDescent="0.3">
      <c r="A534" s="2" t="str">
        <f t="shared" si="540"/>
        <v>NÃO</v>
      </c>
      <c r="B534" s="2" t="str">
        <f>_xlfn.XLOOKUP($N534,'Base de Grupos'!$A:$A,'Base de Grupos'!$D:$D)</f>
        <v>1000065763</v>
      </c>
      <c r="C534" s="5" t="str">
        <f>_xlfn.XLOOKUP($N534,'Base de Grupos'!$A:$A,'Base de Grupos'!$E:$E)</f>
        <v>CANAL VENDA INTERNA</v>
      </c>
      <c r="D534" s="5" t="str">
        <f>_xlfn.XLOOKUP($N534,'Base de Grupos'!$A:$A,'Base de Grupos'!$F:$F)</f>
        <v>1000065763</v>
      </c>
      <c r="E534" s="2" t="str">
        <f>_xlfn.XLOOKUP($N534,'Base de Grupos'!$A:$A,'Base de Grupos'!$G:$G)</f>
        <v>CANAL VENDA INTERNA</v>
      </c>
      <c r="F534" s="2" t="str">
        <f>_xlfn.XLOOKUP($N534,'Base de Grupos'!$A:$A,'Base de Grupos'!$H:$H)</f>
        <v>1000153245</v>
      </c>
      <c r="G534" s="5" t="str">
        <f>_xlfn.XLOOKUP($N534,'Base de Grupos'!$A:$A,'Base de Grupos'!$I:$I)</f>
        <v>REGIONAL VENDA INTERNA - KEY ACCOUNT</v>
      </c>
      <c r="H534" s="5" t="str">
        <f>_xlfn.XLOOKUP($N534,'Base de Grupos'!$A:$A,'Base de Grupos'!$J:$J)</f>
        <v>1000153245</v>
      </c>
      <c r="I534" s="2" t="str">
        <f>_xlfn.XLOOKUP($N534,'Base de Grupos'!$A:$A,'Base de Grupos'!$K:$K)</f>
        <v>REGIONAL VENDA INTERNA - KEY ACCOUNT</v>
      </c>
      <c r="J534" s="2" t="str">
        <f>_xlfn.XLOOKUP($N534,'Base de Grupos'!$A:$A,'Base de Grupos'!$L:$L)</f>
        <v>1000153245</v>
      </c>
      <c r="K534" s="5" t="str">
        <f>_xlfn.XLOOKUP($N534,'Base de Grupos'!$A:$A,'Base de Grupos'!$M:$M)</f>
        <v>REGIONAL VENDA INTERNA - KEY ACCOUNT</v>
      </c>
      <c r="L534" s="5" t="str">
        <f t="shared" si="541"/>
        <v/>
      </c>
      <c r="M534" s="5" t="str">
        <f>_xlfn.XLOOKUP($N534,'Base de Grupos'!$A:$A,'Base de Grupos'!$C:$C)</f>
        <v>RS</v>
      </c>
      <c r="N534" s="3">
        <v>1429</v>
      </c>
      <c r="O534" s="4" t="s">
        <v>253</v>
      </c>
      <c r="P534" s="5" t="s">
        <v>108</v>
      </c>
      <c r="Q534" s="56">
        <v>0</v>
      </c>
      <c r="R534" s="56">
        <v>516.1430303030304</v>
      </c>
      <c r="S534" s="56">
        <v>602.16686868686872</v>
      </c>
      <c r="T534" s="56">
        <f>_xlfn.XLOOKUP($N534,'Calculo Leads'!$A$97:$A$134,'Calculo Leads'!G$97:G$134)*_xlfn.XLOOKUP($P534,'Base Grupo de Produtos'!$E$2:$E$18,'Base Grupo de Produtos'!$F$2:$F$18)</f>
        <v>250</v>
      </c>
      <c r="U534" s="56">
        <f>_xlfn.XLOOKUP($N534,'Calculo Leads'!$A$97:$A$134,'Calculo Leads'!H$97:H$134)*_xlfn.XLOOKUP($P534,'Base Grupo de Produtos'!$E$2:$E$18,'Base Grupo de Produtos'!$F$2:$F$18)</f>
        <v>250</v>
      </c>
      <c r="V534" s="56">
        <f>_xlfn.XLOOKUP($N534,'Calculo Leads'!$A$97:$A$134,'Calculo Leads'!I$97:I$134)*_xlfn.XLOOKUP($P534,'Base Grupo de Produtos'!$E$2:$E$18,'Base Grupo de Produtos'!$F$2:$F$18)</f>
        <v>500</v>
      </c>
      <c r="W534" s="56">
        <f>_xlfn.XLOOKUP($N534,'Calculo Leads'!$A$97:$A$134,'Calculo Leads'!J$97:J$134)*_xlfn.XLOOKUP($P534,'Base Grupo de Produtos'!$E$2:$E$18,'Base Grupo de Produtos'!$F$2:$F$18)</f>
        <v>500</v>
      </c>
      <c r="X534" s="56">
        <f>_xlfn.XLOOKUP($N534,'Calculo Leads'!$A$97:$A$134,'Calculo Leads'!K$97:K$134)*_xlfn.XLOOKUP($P534,'Base Grupo de Produtos'!$E$2:$E$18,'Base Grupo de Produtos'!$F$2:$F$18)</f>
        <v>550</v>
      </c>
      <c r="Y534" s="56">
        <f>_xlfn.XLOOKUP($N534,'Calculo Leads'!$A$97:$A$134,'Calculo Leads'!L$97:L$134)*_xlfn.XLOOKUP($P534,'Base Grupo de Produtos'!$E$2:$E$18,'Base Grupo de Produtos'!$F$2:$F$18)</f>
        <v>825</v>
      </c>
      <c r="Z534" s="56">
        <f>_xlfn.XLOOKUP($N534,'Calculo Leads'!$A$97:$A$134,'Calculo Leads'!M$97:M$134)*_xlfn.XLOOKUP($P534,'Base Grupo de Produtos'!$E$2:$E$18,'Base Grupo de Produtos'!$F$2:$F$18)</f>
        <v>825</v>
      </c>
      <c r="AA534" s="56">
        <f>_xlfn.XLOOKUP($N534,'Calculo Leads'!$A$97:$A$134,'Calculo Leads'!N$97:N$134)*_xlfn.XLOOKUP($P534,'Base Grupo de Produtos'!$E$2:$E$18,'Base Grupo de Produtos'!$F$2:$F$18)</f>
        <v>825</v>
      </c>
      <c r="AB534" s="56">
        <f>_xlfn.XLOOKUP($N534,'Calculo Leads'!$A$97:$A$134,'Calculo Leads'!O$97:O$134)*_xlfn.XLOOKUP($P534,'Base Grupo de Produtos'!$E$2:$E$18,'Base Grupo de Produtos'!$F$2:$F$18)</f>
        <v>550</v>
      </c>
      <c r="AC534" s="61">
        <f t="shared" si="561"/>
        <v>5075</v>
      </c>
      <c r="AD534" s="27">
        <f t="shared" si="577"/>
        <v>5075</v>
      </c>
      <c r="AE534" s="25">
        <f>IFERROR(_xlfn.XLOOKUP(N534&amp;P534,'Historico Vendas'!G:G,'Historico Vendas'!E:E),0)</f>
        <v>0</v>
      </c>
      <c r="AF534" s="29" t="str">
        <f t="shared" si="539"/>
        <v/>
      </c>
      <c r="AG534" s="24">
        <f>IFERROR(_xlfn.XLOOKUP(N534&amp;P534,'Historico Vendas'!G:G,'Historico Vendas'!F:F),0)</f>
        <v>0</v>
      </c>
      <c r="AH534" s="25">
        <f t="shared" si="578"/>
        <v>1118.309898989899</v>
      </c>
      <c r="AI534" s="24">
        <f t="shared" si="579"/>
        <v>1118.309898989899</v>
      </c>
      <c r="AJ534" s="11">
        <f t="shared" si="542"/>
        <v>0</v>
      </c>
      <c r="AK534" s="9" t="s">
        <v>102</v>
      </c>
      <c r="AL534" s="13">
        <f>IFERROR(INDEX('Balizador da Meta'!$D$3:$F$23,MATCH(Faturamento!$P534,'Balizador da Meta'!$C$3:$C$23,0),MATCH(Faturamento!AK534,'Balizador da Meta'!$D$2:$F$2,0)),"")</f>
        <v>0</v>
      </c>
      <c r="AM534" s="9"/>
    </row>
    <row r="535" spans="1:39" x14ac:dyDescent="0.3">
      <c r="A535" s="2" t="str">
        <f t="shared" si="540"/>
        <v>NÃO</v>
      </c>
      <c r="B535" s="2" t="str">
        <f>_xlfn.XLOOKUP($N535,'Base de Grupos'!$A:$A,'Base de Grupos'!$D:$D)</f>
        <v>1000065763</v>
      </c>
      <c r="C535" s="5" t="str">
        <f>_xlfn.XLOOKUP($N535,'Base de Grupos'!$A:$A,'Base de Grupos'!$E:$E)</f>
        <v>CANAL VENDA INTERNA</v>
      </c>
      <c r="D535" s="5" t="str">
        <f>_xlfn.XLOOKUP($N535,'Base de Grupos'!$A:$A,'Base de Grupos'!$F:$F)</f>
        <v>1000065763</v>
      </c>
      <c r="E535" s="2" t="str">
        <f>_xlfn.XLOOKUP($N535,'Base de Grupos'!$A:$A,'Base de Grupos'!$G:$G)</f>
        <v>CANAL VENDA INTERNA</v>
      </c>
      <c r="F535" s="2" t="str">
        <f>_xlfn.XLOOKUP($N535,'Base de Grupos'!$A:$A,'Base de Grupos'!$H:$H)</f>
        <v>1000153245</v>
      </c>
      <c r="G535" s="5" t="str">
        <f>_xlfn.XLOOKUP($N535,'Base de Grupos'!$A:$A,'Base de Grupos'!$I:$I)</f>
        <v>REGIONAL VENDA INTERNA - KEY ACCOUNT</v>
      </c>
      <c r="H535" s="5" t="str">
        <f>_xlfn.XLOOKUP($N535,'Base de Grupos'!$A:$A,'Base de Grupos'!$J:$J)</f>
        <v>1000153245</v>
      </c>
      <c r="I535" s="2" t="str">
        <f>_xlfn.XLOOKUP($N535,'Base de Grupos'!$A:$A,'Base de Grupos'!$K:$K)</f>
        <v>REGIONAL VENDA INTERNA - KEY ACCOUNT</v>
      </c>
      <c r="J535" s="2" t="str">
        <f>_xlfn.XLOOKUP($N535,'Base de Grupos'!$A:$A,'Base de Grupos'!$L:$L)</f>
        <v>1000153245</v>
      </c>
      <c r="K535" s="5" t="str">
        <f>_xlfn.XLOOKUP($N535,'Base de Grupos'!$A:$A,'Base de Grupos'!$M:$M)</f>
        <v>REGIONAL VENDA INTERNA - KEY ACCOUNT</v>
      </c>
      <c r="L535" s="5" t="str">
        <f t="shared" si="541"/>
        <v/>
      </c>
      <c r="M535" s="5" t="str">
        <f>_xlfn.XLOOKUP($N535,'Base de Grupos'!$A:$A,'Base de Grupos'!$C:$C)</f>
        <v>RS</v>
      </c>
      <c r="N535" s="3">
        <v>1429</v>
      </c>
      <c r="O535" s="4" t="s">
        <v>253</v>
      </c>
      <c r="P535" s="5" t="s">
        <v>89</v>
      </c>
      <c r="Q535" s="56">
        <v>0</v>
      </c>
      <c r="R535" s="56">
        <v>627.6857142857142</v>
      </c>
      <c r="S535" s="56">
        <v>627.6857142857142</v>
      </c>
      <c r="T535" s="56">
        <f>_xlfn.XLOOKUP($N535,'Calculo Leads'!$A$97:$A$134,'Calculo Leads'!G$97:G$134)*_xlfn.XLOOKUP($P535,'Base Grupo de Produtos'!$E$2:$E$18,'Base Grupo de Produtos'!$F$2:$F$18)</f>
        <v>50</v>
      </c>
      <c r="U535" s="56">
        <f>_xlfn.XLOOKUP($N535,'Calculo Leads'!$A$97:$A$134,'Calculo Leads'!H$97:H$134)*_xlfn.XLOOKUP($P535,'Base Grupo de Produtos'!$E$2:$E$18,'Base Grupo de Produtos'!$F$2:$F$18)</f>
        <v>50</v>
      </c>
      <c r="V535" s="56">
        <f>_xlfn.XLOOKUP($N535,'Calculo Leads'!$A$97:$A$134,'Calculo Leads'!I$97:I$134)*_xlfn.XLOOKUP($P535,'Base Grupo de Produtos'!$E$2:$E$18,'Base Grupo de Produtos'!$F$2:$F$18)</f>
        <v>100</v>
      </c>
      <c r="W535" s="56">
        <f>_xlfn.XLOOKUP($N535,'Calculo Leads'!$A$97:$A$134,'Calculo Leads'!J$97:J$134)*_xlfn.XLOOKUP($P535,'Base Grupo de Produtos'!$E$2:$E$18,'Base Grupo de Produtos'!$F$2:$F$18)</f>
        <v>100</v>
      </c>
      <c r="X535" s="56">
        <f>_xlfn.XLOOKUP($N535,'Calculo Leads'!$A$97:$A$134,'Calculo Leads'!K$97:K$134)*_xlfn.XLOOKUP($P535,'Base Grupo de Produtos'!$E$2:$E$18,'Base Grupo de Produtos'!$F$2:$F$18)</f>
        <v>110</v>
      </c>
      <c r="Y535" s="56">
        <f>_xlfn.XLOOKUP($N535,'Calculo Leads'!$A$97:$A$134,'Calculo Leads'!L$97:L$134)*_xlfn.XLOOKUP($P535,'Base Grupo de Produtos'!$E$2:$E$18,'Base Grupo de Produtos'!$F$2:$F$18)</f>
        <v>165</v>
      </c>
      <c r="Z535" s="56">
        <f>_xlfn.XLOOKUP($N535,'Calculo Leads'!$A$97:$A$134,'Calculo Leads'!M$97:M$134)*_xlfn.XLOOKUP($P535,'Base Grupo de Produtos'!$E$2:$E$18,'Base Grupo de Produtos'!$F$2:$F$18)</f>
        <v>165</v>
      </c>
      <c r="AA535" s="56">
        <f>_xlfn.XLOOKUP($N535,'Calculo Leads'!$A$97:$A$134,'Calculo Leads'!N$97:N$134)*_xlfn.XLOOKUP($P535,'Base Grupo de Produtos'!$E$2:$E$18,'Base Grupo de Produtos'!$F$2:$F$18)</f>
        <v>165</v>
      </c>
      <c r="AB535" s="56">
        <f>_xlfn.XLOOKUP($N535,'Calculo Leads'!$A$97:$A$134,'Calculo Leads'!O$97:O$134)*_xlfn.XLOOKUP($P535,'Base Grupo de Produtos'!$E$2:$E$18,'Base Grupo de Produtos'!$F$2:$F$18)</f>
        <v>110</v>
      </c>
      <c r="AC535" s="61">
        <f t="shared" si="561"/>
        <v>1015</v>
      </c>
      <c r="AD535" s="27">
        <f t="shared" si="577"/>
        <v>1015</v>
      </c>
      <c r="AE535" s="25">
        <f>IFERROR(_xlfn.XLOOKUP(N535&amp;P535,'Historico Vendas'!G:G,'Historico Vendas'!E:E),0)</f>
        <v>0</v>
      </c>
      <c r="AF535" s="29" t="str">
        <f t="shared" si="539"/>
        <v/>
      </c>
      <c r="AG535" s="24">
        <f>IFERROR(_xlfn.XLOOKUP(N535&amp;P535,'Historico Vendas'!G:G,'Historico Vendas'!F:F),0)</f>
        <v>0</v>
      </c>
      <c r="AH535" s="25">
        <f t="shared" si="578"/>
        <v>1255.3714285714284</v>
      </c>
      <c r="AI535" s="24">
        <f t="shared" si="579"/>
        <v>1255.3714285714284</v>
      </c>
      <c r="AJ535" s="11">
        <f t="shared" si="542"/>
        <v>0</v>
      </c>
      <c r="AK535" s="9" t="s">
        <v>102</v>
      </c>
      <c r="AL535" s="13">
        <f>IFERROR(INDEX('Balizador da Meta'!$D$3:$F$23,MATCH(Faturamento!$P535,'Balizador da Meta'!$C$3:$C$23,0),MATCH(Faturamento!AK535,'Balizador da Meta'!$D$2:$F$2,0)),"")</f>
        <v>0.25</v>
      </c>
      <c r="AM535" s="9"/>
    </row>
    <row r="536" spans="1:39" x14ac:dyDescent="0.3">
      <c r="A536" s="2" t="str">
        <f t="shared" si="540"/>
        <v>NÃO</v>
      </c>
      <c r="B536" s="2" t="str">
        <f>_xlfn.XLOOKUP($N536,'Base de Grupos'!$A:$A,'Base de Grupos'!$D:$D)</f>
        <v>1000065763</v>
      </c>
      <c r="C536" s="5" t="str">
        <f>_xlfn.XLOOKUP($N536,'Base de Grupos'!$A:$A,'Base de Grupos'!$E:$E)</f>
        <v>CANAL VENDA INTERNA</v>
      </c>
      <c r="D536" s="5" t="str">
        <f>_xlfn.XLOOKUP($N536,'Base de Grupos'!$A:$A,'Base de Grupos'!$F:$F)</f>
        <v>1000065763</v>
      </c>
      <c r="E536" s="2" t="str">
        <f>_xlfn.XLOOKUP($N536,'Base de Grupos'!$A:$A,'Base de Grupos'!$G:$G)</f>
        <v>CANAL VENDA INTERNA</v>
      </c>
      <c r="F536" s="2" t="str">
        <f>_xlfn.XLOOKUP($N536,'Base de Grupos'!$A:$A,'Base de Grupos'!$H:$H)</f>
        <v>1000153245</v>
      </c>
      <c r="G536" s="5" t="str">
        <f>_xlfn.XLOOKUP($N536,'Base de Grupos'!$A:$A,'Base de Grupos'!$I:$I)</f>
        <v>REGIONAL VENDA INTERNA - KEY ACCOUNT</v>
      </c>
      <c r="H536" s="5" t="str">
        <f>_xlfn.XLOOKUP($N536,'Base de Grupos'!$A:$A,'Base de Grupos'!$J:$J)</f>
        <v>1000153245</v>
      </c>
      <c r="I536" s="2" t="str">
        <f>_xlfn.XLOOKUP($N536,'Base de Grupos'!$A:$A,'Base de Grupos'!$K:$K)</f>
        <v>REGIONAL VENDA INTERNA - KEY ACCOUNT</v>
      </c>
      <c r="J536" s="2" t="str">
        <f>_xlfn.XLOOKUP($N536,'Base de Grupos'!$A:$A,'Base de Grupos'!$L:$L)</f>
        <v>1000153245</v>
      </c>
      <c r="K536" s="5" t="str">
        <f>_xlfn.XLOOKUP($N536,'Base de Grupos'!$A:$A,'Base de Grupos'!$M:$M)</f>
        <v>REGIONAL VENDA INTERNA - KEY ACCOUNT</v>
      </c>
      <c r="L536" s="5" t="str">
        <f t="shared" si="541"/>
        <v/>
      </c>
      <c r="M536" s="5" t="str">
        <f>_xlfn.XLOOKUP($N536,'Base de Grupos'!$A:$A,'Base de Grupos'!$C:$C)</f>
        <v>RS</v>
      </c>
      <c r="N536" s="3">
        <v>1429</v>
      </c>
      <c r="O536" s="4" t="s">
        <v>253</v>
      </c>
      <c r="P536" s="5" t="s">
        <v>88</v>
      </c>
      <c r="Q536" s="56">
        <v>0</v>
      </c>
      <c r="R536" s="56">
        <v>119.60088888888889</v>
      </c>
      <c r="S536" s="56">
        <v>239.20177777777778</v>
      </c>
      <c r="T536" s="56">
        <f>_xlfn.XLOOKUP($N536,'Calculo Leads'!$A$97:$A$134,'Calculo Leads'!G$97:G$134)*_xlfn.XLOOKUP($P536,'Base Grupo de Produtos'!$E$2:$E$18,'Base Grupo de Produtos'!$F$2:$F$18)</f>
        <v>50</v>
      </c>
      <c r="U536" s="56">
        <f>_xlfn.XLOOKUP($N536,'Calculo Leads'!$A$97:$A$134,'Calculo Leads'!H$97:H$134)*_xlfn.XLOOKUP($P536,'Base Grupo de Produtos'!$E$2:$E$18,'Base Grupo de Produtos'!$F$2:$F$18)</f>
        <v>50</v>
      </c>
      <c r="V536" s="56">
        <f>_xlfn.XLOOKUP($N536,'Calculo Leads'!$A$97:$A$134,'Calculo Leads'!I$97:I$134)*_xlfn.XLOOKUP($P536,'Base Grupo de Produtos'!$E$2:$E$18,'Base Grupo de Produtos'!$F$2:$F$18)</f>
        <v>100</v>
      </c>
      <c r="W536" s="56">
        <f>_xlfn.XLOOKUP($N536,'Calculo Leads'!$A$97:$A$134,'Calculo Leads'!J$97:J$134)*_xlfn.XLOOKUP($P536,'Base Grupo de Produtos'!$E$2:$E$18,'Base Grupo de Produtos'!$F$2:$F$18)</f>
        <v>100</v>
      </c>
      <c r="X536" s="56">
        <f>_xlfn.XLOOKUP($N536,'Calculo Leads'!$A$97:$A$134,'Calculo Leads'!K$97:K$134)*_xlfn.XLOOKUP($P536,'Base Grupo de Produtos'!$E$2:$E$18,'Base Grupo de Produtos'!$F$2:$F$18)</f>
        <v>110</v>
      </c>
      <c r="Y536" s="56">
        <f>_xlfn.XLOOKUP($N536,'Calculo Leads'!$A$97:$A$134,'Calculo Leads'!L$97:L$134)*_xlfn.XLOOKUP($P536,'Base Grupo de Produtos'!$E$2:$E$18,'Base Grupo de Produtos'!$F$2:$F$18)</f>
        <v>165</v>
      </c>
      <c r="Z536" s="56">
        <f>_xlfn.XLOOKUP($N536,'Calculo Leads'!$A$97:$A$134,'Calculo Leads'!M$97:M$134)*_xlfn.XLOOKUP($P536,'Base Grupo de Produtos'!$E$2:$E$18,'Base Grupo de Produtos'!$F$2:$F$18)</f>
        <v>165</v>
      </c>
      <c r="AA536" s="56">
        <f>_xlfn.XLOOKUP($N536,'Calculo Leads'!$A$97:$A$134,'Calculo Leads'!N$97:N$134)*_xlfn.XLOOKUP($P536,'Base Grupo de Produtos'!$E$2:$E$18,'Base Grupo de Produtos'!$F$2:$F$18)</f>
        <v>165</v>
      </c>
      <c r="AB536" s="56">
        <f>_xlfn.XLOOKUP($N536,'Calculo Leads'!$A$97:$A$134,'Calculo Leads'!O$97:O$134)*_xlfn.XLOOKUP($P536,'Base Grupo de Produtos'!$E$2:$E$18,'Base Grupo de Produtos'!$F$2:$F$18)</f>
        <v>110</v>
      </c>
      <c r="AC536" s="61">
        <f t="shared" si="561"/>
        <v>1015</v>
      </c>
      <c r="AD536" s="27">
        <f t="shared" si="577"/>
        <v>1015</v>
      </c>
      <c r="AE536" s="25">
        <f>IFERROR(_xlfn.XLOOKUP(N536&amp;P536,'Historico Vendas'!G:G,'Historico Vendas'!E:E),0)</f>
        <v>0</v>
      </c>
      <c r="AF536" s="29" t="str">
        <f t="shared" si="539"/>
        <v/>
      </c>
      <c r="AG536" s="24">
        <f>IFERROR(_xlfn.XLOOKUP(N536&amp;P536,'Historico Vendas'!G:G,'Historico Vendas'!F:F),0)</f>
        <v>0</v>
      </c>
      <c r="AH536" s="25">
        <f t="shared" si="578"/>
        <v>358.80266666666665</v>
      </c>
      <c r="AI536" s="24">
        <f t="shared" si="579"/>
        <v>358.80266666666665</v>
      </c>
      <c r="AJ536" s="11">
        <f t="shared" si="542"/>
        <v>0</v>
      </c>
      <c r="AK536" s="9" t="s">
        <v>102</v>
      </c>
      <c r="AL536" s="13">
        <f>IFERROR(INDEX('Balizador da Meta'!$D$3:$F$23,MATCH(Faturamento!$P536,'Balizador da Meta'!$C$3:$C$23,0),MATCH(Faturamento!AK536,'Balizador da Meta'!$D$2:$F$2,0)),"")</f>
        <v>0</v>
      </c>
      <c r="AM536" s="9"/>
    </row>
    <row r="537" spans="1:39" x14ac:dyDescent="0.3">
      <c r="A537" s="2" t="str">
        <f t="shared" si="540"/>
        <v>NÃO</v>
      </c>
      <c r="B537" s="2" t="str">
        <f>_xlfn.XLOOKUP($N537,'Base de Grupos'!$A:$A,'Base de Grupos'!$D:$D)</f>
        <v>1000065763</v>
      </c>
      <c r="C537" s="5" t="str">
        <f>_xlfn.XLOOKUP($N537,'Base de Grupos'!$A:$A,'Base de Grupos'!$E:$E)</f>
        <v>CANAL VENDA INTERNA</v>
      </c>
      <c r="D537" s="5" t="str">
        <f>_xlfn.XLOOKUP($N537,'Base de Grupos'!$A:$A,'Base de Grupos'!$F:$F)</f>
        <v>1000065763</v>
      </c>
      <c r="E537" s="2" t="str">
        <f>_xlfn.XLOOKUP($N537,'Base de Grupos'!$A:$A,'Base de Grupos'!$G:$G)</f>
        <v>CANAL VENDA INTERNA</v>
      </c>
      <c r="F537" s="2" t="str">
        <f>_xlfn.XLOOKUP($N537,'Base de Grupos'!$A:$A,'Base de Grupos'!$H:$H)</f>
        <v>1000153245</v>
      </c>
      <c r="G537" s="5" t="str">
        <f>_xlfn.XLOOKUP($N537,'Base de Grupos'!$A:$A,'Base de Grupos'!$I:$I)</f>
        <v>REGIONAL VENDA INTERNA - KEY ACCOUNT</v>
      </c>
      <c r="H537" s="5" t="str">
        <f>_xlfn.XLOOKUP($N537,'Base de Grupos'!$A:$A,'Base de Grupos'!$J:$J)</f>
        <v>1000153245</v>
      </c>
      <c r="I537" s="2" t="str">
        <f>_xlfn.XLOOKUP($N537,'Base de Grupos'!$A:$A,'Base de Grupos'!$K:$K)</f>
        <v>REGIONAL VENDA INTERNA - KEY ACCOUNT</v>
      </c>
      <c r="J537" s="2" t="str">
        <f>_xlfn.XLOOKUP($N537,'Base de Grupos'!$A:$A,'Base de Grupos'!$L:$L)</f>
        <v>1000153245</v>
      </c>
      <c r="K537" s="5" t="str">
        <f>_xlfn.XLOOKUP($N537,'Base de Grupos'!$A:$A,'Base de Grupos'!$M:$M)</f>
        <v>REGIONAL VENDA INTERNA - KEY ACCOUNT</v>
      </c>
      <c r="L537" s="5" t="str">
        <f t="shared" si="541"/>
        <v/>
      </c>
      <c r="M537" s="5" t="str">
        <f>_xlfn.XLOOKUP($N537,'Base de Grupos'!$A:$A,'Base de Grupos'!$C:$C)</f>
        <v>RS</v>
      </c>
      <c r="N537" s="3">
        <v>1429</v>
      </c>
      <c r="O537" s="4" t="s">
        <v>253</v>
      </c>
      <c r="P537" s="5" t="s">
        <v>90</v>
      </c>
      <c r="Q537" s="56">
        <v>0</v>
      </c>
      <c r="R537" s="56">
        <v>204.36930232558137</v>
      </c>
      <c r="S537" s="56">
        <v>204.36930232558137</v>
      </c>
      <c r="T537" s="56">
        <f>_xlfn.XLOOKUP($N537,'Calculo Leads'!$A$97:$A$134,'Calculo Leads'!G$97:G$134)*_xlfn.XLOOKUP($P537,'Base Grupo de Produtos'!$E$2:$E$18,'Base Grupo de Produtos'!$F$2:$F$18)</f>
        <v>50</v>
      </c>
      <c r="U537" s="56">
        <f>_xlfn.XLOOKUP($N537,'Calculo Leads'!$A$97:$A$134,'Calculo Leads'!H$97:H$134)*_xlfn.XLOOKUP($P537,'Base Grupo de Produtos'!$E$2:$E$18,'Base Grupo de Produtos'!$F$2:$F$18)</f>
        <v>50</v>
      </c>
      <c r="V537" s="56">
        <f>_xlfn.XLOOKUP($N537,'Calculo Leads'!$A$97:$A$134,'Calculo Leads'!I$97:I$134)*_xlfn.XLOOKUP($P537,'Base Grupo de Produtos'!$E$2:$E$18,'Base Grupo de Produtos'!$F$2:$F$18)</f>
        <v>100</v>
      </c>
      <c r="W537" s="56">
        <f>_xlfn.XLOOKUP($N537,'Calculo Leads'!$A$97:$A$134,'Calculo Leads'!J$97:J$134)*_xlfn.XLOOKUP($P537,'Base Grupo de Produtos'!$E$2:$E$18,'Base Grupo de Produtos'!$F$2:$F$18)</f>
        <v>100</v>
      </c>
      <c r="X537" s="56">
        <f>_xlfn.XLOOKUP($N537,'Calculo Leads'!$A$97:$A$134,'Calculo Leads'!K$97:K$134)*_xlfn.XLOOKUP($P537,'Base Grupo de Produtos'!$E$2:$E$18,'Base Grupo de Produtos'!$F$2:$F$18)</f>
        <v>110</v>
      </c>
      <c r="Y537" s="56">
        <f>_xlfn.XLOOKUP($N537,'Calculo Leads'!$A$97:$A$134,'Calculo Leads'!L$97:L$134)*_xlfn.XLOOKUP($P537,'Base Grupo de Produtos'!$E$2:$E$18,'Base Grupo de Produtos'!$F$2:$F$18)</f>
        <v>165</v>
      </c>
      <c r="Z537" s="56">
        <f>_xlfn.XLOOKUP($N537,'Calculo Leads'!$A$97:$A$134,'Calculo Leads'!M$97:M$134)*_xlfn.XLOOKUP($P537,'Base Grupo de Produtos'!$E$2:$E$18,'Base Grupo de Produtos'!$F$2:$F$18)</f>
        <v>165</v>
      </c>
      <c r="AA537" s="56">
        <f>_xlfn.XLOOKUP($N537,'Calculo Leads'!$A$97:$A$134,'Calculo Leads'!N$97:N$134)*_xlfn.XLOOKUP($P537,'Base Grupo de Produtos'!$E$2:$E$18,'Base Grupo de Produtos'!$F$2:$F$18)</f>
        <v>165</v>
      </c>
      <c r="AB537" s="56">
        <f>_xlfn.XLOOKUP($N537,'Calculo Leads'!$A$97:$A$134,'Calculo Leads'!O$97:O$134)*_xlfn.XLOOKUP($P537,'Base Grupo de Produtos'!$E$2:$E$18,'Base Grupo de Produtos'!$F$2:$F$18)</f>
        <v>110</v>
      </c>
      <c r="AC537" s="61">
        <f t="shared" si="561"/>
        <v>1015</v>
      </c>
      <c r="AD537" s="27">
        <f t="shared" si="577"/>
        <v>1015</v>
      </c>
      <c r="AE537" s="25">
        <f>IFERROR(_xlfn.XLOOKUP(N537&amp;P537,'Historico Vendas'!G:G,'Historico Vendas'!E:E),0)</f>
        <v>0</v>
      </c>
      <c r="AF537" s="29" t="str">
        <f t="shared" si="539"/>
        <v/>
      </c>
      <c r="AG537" s="24">
        <f>IFERROR(_xlfn.XLOOKUP(N537&amp;P537,'Historico Vendas'!G:G,'Historico Vendas'!F:F),0)</f>
        <v>0</v>
      </c>
      <c r="AH537" s="25">
        <f t="shared" si="578"/>
        <v>408.73860465116275</v>
      </c>
      <c r="AI537" s="24">
        <f t="shared" si="579"/>
        <v>408.73860465116275</v>
      </c>
      <c r="AJ537" s="11">
        <f t="shared" si="542"/>
        <v>0</v>
      </c>
      <c r="AK537" s="9" t="s">
        <v>102</v>
      </c>
      <c r="AL537" s="13">
        <f>IFERROR(INDEX('Balizador da Meta'!$D$3:$F$23,MATCH(Faturamento!$P537,'Balizador da Meta'!$C$3:$C$23,0),MATCH(Faturamento!AK537,'Balizador da Meta'!$D$2:$F$2,0)),"")</f>
        <v>0</v>
      </c>
      <c r="AM537" s="9"/>
    </row>
    <row r="538" spans="1:39" x14ac:dyDescent="0.3">
      <c r="A538" s="2" t="str">
        <f t="shared" si="540"/>
        <v>NÃO</v>
      </c>
      <c r="B538" s="2" t="str">
        <f>_xlfn.XLOOKUP($N538,'Base de Grupos'!$A:$A,'Base de Grupos'!$D:$D)</f>
        <v>1000065763</v>
      </c>
      <c r="C538" s="5" t="str">
        <f>_xlfn.XLOOKUP($N538,'Base de Grupos'!$A:$A,'Base de Grupos'!$E:$E)</f>
        <v>CANAL VENDA INTERNA</v>
      </c>
      <c r="D538" s="5" t="str">
        <f>_xlfn.XLOOKUP($N538,'Base de Grupos'!$A:$A,'Base de Grupos'!$F:$F)</f>
        <v>1000065763</v>
      </c>
      <c r="E538" s="2" t="str">
        <f>_xlfn.XLOOKUP($N538,'Base de Grupos'!$A:$A,'Base de Grupos'!$G:$G)</f>
        <v>CANAL VENDA INTERNA</v>
      </c>
      <c r="F538" s="2" t="str">
        <f>_xlfn.XLOOKUP($N538,'Base de Grupos'!$A:$A,'Base de Grupos'!$H:$H)</f>
        <v>1000153245</v>
      </c>
      <c r="G538" s="5" t="str">
        <f>_xlfn.XLOOKUP($N538,'Base de Grupos'!$A:$A,'Base de Grupos'!$I:$I)</f>
        <v>REGIONAL VENDA INTERNA - KEY ACCOUNT</v>
      </c>
      <c r="H538" s="5" t="str">
        <f>_xlfn.XLOOKUP($N538,'Base de Grupos'!$A:$A,'Base de Grupos'!$J:$J)</f>
        <v>1000153245</v>
      </c>
      <c r="I538" s="2" t="str">
        <f>_xlfn.XLOOKUP($N538,'Base de Grupos'!$A:$A,'Base de Grupos'!$K:$K)</f>
        <v>REGIONAL VENDA INTERNA - KEY ACCOUNT</v>
      </c>
      <c r="J538" s="2" t="str">
        <f>_xlfn.XLOOKUP($N538,'Base de Grupos'!$A:$A,'Base de Grupos'!$L:$L)</f>
        <v>1000153245</v>
      </c>
      <c r="K538" s="5" t="str">
        <f>_xlfn.XLOOKUP($N538,'Base de Grupos'!$A:$A,'Base de Grupos'!$M:$M)</f>
        <v>REGIONAL VENDA INTERNA - KEY ACCOUNT</v>
      </c>
      <c r="L538" s="5" t="str">
        <f t="shared" si="541"/>
        <v/>
      </c>
      <c r="M538" s="5" t="str">
        <f>_xlfn.XLOOKUP($N538,'Base de Grupos'!$A:$A,'Base de Grupos'!$C:$C)</f>
        <v>RS</v>
      </c>
      <c r="N538" s="3">
        <v>1429</v>
      </c>
      <c r="O538" s="4" t="s">
        <v>253</v>
      </c>
      <c r="P538" s="5" t="s">
        <v>91</v>
      </c>
      <c r="Q538" s="56">
        <v>0</v>
      </c>
      <c r="R538" s="56">
        <v>143.15866666666668</v>
      </c>
      <c r="S538" s="56">
        <v>143.15866666666668</v>
      </c>
      <c r="T538" s="56">
        <f>_xlfn.XLOOKUP($N538,'Calculo Leads'!$A$97:$A$134,'Calculo Leads'!G$97:G$134)*_xlfn.XLOOKUP($P538,'Base Grupo de Produtos'!$E$2:$E$18,'Base Grupo de Produtos'!$F$2:$F$18)</f>
        <v>0</v>
      </c>
      <c r="U538" s="56">
        <f>_xlfn.XLOOKUP($N538,'Calculo Leads'!$A$97:$A$134,'Calculo Leads'!H$97:H$134)*_xlfn.XLOOKUP($P538,'Base Grupo de Produtos'!$E$2:$E$18,'Base Grupo de Produtos'!$F$2:$F$18)</f>
        <v>0</v>
      </c>
      <c r="V538" s="56">
        <f>_xlfn.XLOOKUP($N538,'Calculo Leads'!$A$97:$A$134,'Calculo Leads'!I$97:I$134)*_xlfn.XLOOKUP($P538,'Base Grupo de Produtos'!$E$2:$E$18,'Base Grupo de Produtos'!$F$2:$F$18)</f>
        <v>0</v>
      </c>
      <c r="W538" s="56">
        <f>_xlfn.XLOOKUP($N538,'Calculo Leads'!$A$97:$A$134,'Calculo Leads'!J$97:J$134)*_xlfn.XLOOKUP($P538,'Base Grupo de Produtos'!$E$2:$E$18,'Base Grupo de Produtos'!$F$2:$F$18)</f>
        <v>0</v>
      </c>
      <c r="X538" s="56">
        <f>_xlfn.XLOOKUP($N538,'Calculo Leads'!$A$97:$A$134,'Calculo Leads'!K$97:K$134)*_xlfn.XLOOKUP($P538,'Base Grupo de Produtos'!$E$2:$E$18,'Base Grupo de Produtos'!$F$2:$F$18)</f>
        <v>0</v>
      </c>
      <c r="Y538" s="56">
        <f>_xlfn.XLOOKUP($N538,'Calculo Leads'!$A$97:$A$134,'Calculo Leads'!L$97:L$134)*_xlfn.XLOOKUP($P538,'Base Grupo de Produtos'!$E$2:$E$18,'Base Grupo de Produtos'!$F$2:$F$18)</f>
        <v>0</v>
      </c>
      <c r="Z538" s="56">
        <f>_xlfn.XLOOKUP($N538,'Calculo Leads'!$A$97:$A$134,'Calculo Leads'!M$97:M$134)*_xlfn.XLOOKUP($P538,'Base Grupo de Produtos'!$E$2:$E$18,'Base Grupo de Produtos'!$F$2:$F$18)</f>
        <v>0</v>
      </c>
      <c r="AA538" s="56">
        <f>_xlfn.XLOOKUP($N538,'Calculo Leads'!$A$97:$A$134,'Calculo Leads'!N$97:N$134)*_xlfn.XLOOKUP($P538,'Base Grupo de Produtos'!$E$2:$E$18,'Base Grupo de Produtos'!$F$2:$F$18)</f>
        <v>0</v>
      </c>
      <c r="AB538" s="56">
        <f>_xlfn.XLOOKUP($N538,'Calculo Leads'!$A$97:$A$134,'Calculo Leads'!O$97:O$134)*_xlfn.XLOOKUP($P538,'Base Grupo de Produtos'!$E$2:$E$18,'Base Grupo de Produtos'!$F$2:$F$18)</f>
        <v>0</v>
      </c>
      <c r="AC538" s="61">
        <f t="shared" si="561"/>
        <v>0</v>
      </c>
      <c r="AD538" s="27">
        <f t="shared" si="577"/>
        <v>0</v>
      </c>
      <c r="AE538" s="25">
        <f>IFERROR(_xlfn.XLOOKUP(N538&amp;P538,'Historico Vendas'!G:G,'Historico Vendas'!E:E),0)</f>
        <v>0</v>
      </c>
      <c r="AF538" s="29" t="str">
        <f t="shared" si="539"/>
        <v/>
      </c>
      <c r="AG538" s="24">
        <f>IFERROR(_xlfn.XLOOKUP(N538&amp;P538,'Historico Vendas'!G:G,'Historico Vendas'!F:F),0)</f>
        <v>0</v>
      </c>
      <c r="AH538" s="25">
        <f t="shared" si="578"/>
        <v>286.31733333333335</v>
      </c>
      <c r="AI538" s="24">
        <f t="shared" si="579"/>
        <v>286.31733333333335</v>
      </c>
      <c r="AJ538" s="11">
        <f t="shared" si="542"/>
        <v>0</v>
      </c>
      <c r="AK538" s="9" t="s">
        <v>102</v>
      </c>
      <c r="AL538" s="13">
        <f>IFERROR(INDEX('Balizador da Meta'!$D$3:$F$23,MATCH(Faturamento!$P538,'Balizador da Meta'!$C$3:$C$23,0),MATCH(Faturamento!AK538,'Balizador da Meta'!$D$2:$F$2,0)),"")</f>
        <v>0</v>
      </c>
      <c r="AM538" s="9"/>
    </row>
    <row r="539" spans="1:39" x14ac:dyDescent="0.3">
      <c r="A539" s="2" t="str">
        <f t="shared" si="540"/>
        <v>NÃO</v>
      </c>
      <c r="B539" s="2" t="str">
        <f>_xlfn.XLOOKUP($N539,'Base de Grupos'!$A:$A,'Base de Grupos'!$D:$D)</f>
        <v>1000065763</v>
      </c>
      <c r="C539" s="5" t="str">
        <f>_xlfn.XLOOKUP($N539,'Base de Grupos'!$A:$A,'Base de Grupos'!$E:$E)</f>
        <v>CANAL VENDA INTERNA</v>
      </c>
      <c r="D539" s="5" t="str">
        <f>_xlfn.XLOOKUP($N539,'Base de Grupos'!$A:$A,'Base de Grupos'!$F:$F)</f>
        <v>1000065763</v>
      </c>
      <c r="E539" s="2" t="str">
        <f>_xlfn.XLOOKUP($N539,'Base de Grupos'!$A:$A,'Base de Grupos'!$G:$G)</f>
        <v>CANAL VENDA INTERNA</v>
      </c>
      <c r="F539" s="2" t="str">
        <f>_xlfn.XLOOKUP($N539,'Base de Grupos'!$A:$A,'Base de Grupos'!$H:$H)</f>
        <v>1000153245</v>
      </c>
      <c r="G539" s="5" t="str">
        <f>_xlfn.XLOOKUP($N539,'Base de Grupos'!$A:$A,'Base de Grupos'!$I:$I)</f>
        <v>REGIONAL VENDA INTERNA - KEY ACCOUNT</v>
      </c>
      <c r="H539" s="5" t="str">
        <f>_xlfn.XLOOKUP($N539,'Base de Grupos'!$A:$A,'Base de Grupos'!$J:$J)</f>
        <v>1000153245</v>
      </c>
      <c r="I539" s="2" t="str">
        <f>_xlfn.XLOOKUP($N539,'Base de Grupos'!$A:$A,'Base de Grupos'!$K:$K)</f>
        <v>REGIONAL VENDA INTERNA - KEY ACCOUNT</v>
      </c>
      <c r="J539" s="2" t="str">
        <f>_xlfn.XLOOKUP($N539,'Base de Grupos'!$A:$A,'Base de Grupos'!$L:$L)</f>
        <v>1000153245</v>
      </c>
      <c r="K539" s="5" t="str">
        <f>_xlfn.XLOOKUP($N539,'Base de Grupos'!$A:$A,'Base de Grupos'!$M:$M)</f>
        <v>REGIONAL VENDA INTERNA - KEY ACCOUNT</v>
      </c>
      <c r="L539" s="5" t="str">
        <f t="shared" si="541"/>
        <v/>
      </c>
      <c r="M539" s="5" t="str">
        <f>_xlfn.XLOOKUP($N539,'Base de Grupos'!$A:$A,'Base de Grupos'!$C:$C)</f>
        <v>RS</v>
      </c>
      <c r="N539" s="3">
        <v>1429</v>
      </c>
      <c r="O539" s="4" t="s">
        <v>253</v>
      </c>
      <c r="P539" s="5" t="s">
        <v>96</v>
      </c>
      <c r="Q539" s="56">
        <v>0</v>
      </c>
      <c r="R539" s="56">
        <v>40.9</v>
      </c>
      <c r="S539" s="56">
        <v>40.9</v>
      </c>
      <c r="T539" s="56">
        <f>_xlfn.XLOOKUP($N539,'Calculo Leads'!$A$97:$A$134,'Calculo Leads'!G$97:G$134)*_xlfn.XLOOKUP($P539,'Base Grupo de Produtos'!$E$2:$E$18,'Base Grupo de Produtos'!$F$2:$F$18)</f>
        <v>70</v>
      </c>
      <c r="U539" s="56">
        <f>_xlfn.XLOOKUP($N539,'Calculo Leads'!$A$97:$A$134,'Calculo Leads'!H$97:H$134)*_xlfn.XLOOKUP($P539,'Base Grupo de Produtos'!$E$2:$E$18,'Base Grupo de Produtos'!$F$2:$F$18)</f>
        <v>70</v>
      </c>
      <c r="V539" s="56">
        <f>_xlfn.XLOOKUP($N539,'Calculo Leads'!$A$97:$A$134,'Calculo Leads'!I$97:I$134)*_xlfn.XLOOKUP($P539,'Base Grupo de Produtos'!$E$2:$E$18,'Base Grupo de Produtos'!$F$2:$F$18)</f>
        <v>140</v>
      </c>
      <c r="W539" s="56">
        <f>_xlfn.XLOOKUP($N539,'Calculo Leads'!$A$97:$A$134,'Calculo Leads'!J$97:J$134)*_xlfn.XLOOKUP($P539,'Base Grupo de Produtos'!$E$2:$E$18,'Base Grupo de Produtos'!$F$2:$F$18)</f>
        <v>140</v>
      </c>
      <c r="X539" s="56">
        <f>_xlfn.XLOOKUP($N539,'Calculo Leads'!$A$97:$A$134,'Calculo Leads'!K$97:K$134)*_xlfn.XLOOKUP($P539,'Base Grupo de Produtos'!$E$2:$E$18,'Base Grupo de Produtos'!$F$2:$F$18)</f>
        <v>154.00000000000003</v>
      </c>
      <c r="Y539" s="56">
        <f>_xlfn.XLOOKUP($N539,'Calculo Leads'!$A$97:$A$134,'Calculo Leads'!L$97:L$134)*_xlfn.XLOOKUP($P539,'Base Grupo de Produtos'!$E$2:$E$18,'Base Grupo de Produtos'!$F$2:$F$18)</f>
        <v>231.00000000000003</v>
      </c>
      <c r="Z539" s="56">
        <f>_xlfn.XLOOKUP($N539,'Calculo Leads'!$A$97:$A$134,'Calculo Leads'!M$97:M$134)*_xlfn.XLOOKUP($P539,'Base Grupo de Produtos'!$E$2:$E$18,'Base Grupo de Produtos'!$F$2:$F$18)</f>
        <v>231.00000000000003</v>
      </c>
      <c r="AA539" s="56">
        <f>_xlfn.XLOOKUP($N539,'Calculo Leads'!$A$97:$A$134,'Calculo Leads'!N$97:N$134)*_xlfn.XLOOKUP($P539,'Base Grupo de Produtos'!$E$2:$E$18,'Base Grupo de Produtos'!$F$2:$F$18)</f>
        <v>231.00000000000003</v>
      </c>
      <c r="AB539" s="56">
        <f>_xlfn.XLOOKUP($N539,'Calculo Leads'!$A$97:$A$134,'Calculo Leads'!O$97:O$134)*_xlfn.XLOOKUP($P539,'Base Grupo de Produtos'!$E$2:$E$18,'Base Grupo de Produtos'!$F$2:$F$18)</f>
        <v>154.00000000000003</v>
      </c>
      <c r="AC539" s="61">
        <f t="shared" si="561"/>
        <v>1421</v>
      </c>
      <c r="AD539" s="27">
        <f t="shared" si="577"/>
        <v>1421</v>
      </c>
      <c r="AE539" s="25">
        <f>IFERROR(_xlfn.XLOOKUP(N539&amp;P539,'Historico Vendas'!G:G,'Historico Vendas'!E:E),0)</f>
        <v>0</v>
      </c>
      <c r="AF539" s="29" t="str">
        <f t="shared" si="539"/>
        <v/>
      </c>
      <c r="AG539" s="24">
        <f>IFERROR(_xlfn.XLOOKUP(N539&amp;P539,'Historico Vendas'!G:G,'Historico Vendas'!F:F),0)</f>
        <v>0</v>
      </c>
      <c r="AH539" s="25">
        <f t="shared" si="578"/>
        <v>81.8</v>
      </c>
      <c r="AI539" s="24">
        <f t="shared" si="579"/>
        <v>81.8</v>
      </c>
      <c r="AJ539" s="11">
        <f t="shared" si="542"/>
        <v>0</v>
      </c>
      <c r="AK539" s="9" t="s">
        <v>102</v>
      </c>
      <c r="AL539" s="13">
        <f>IFERROR(INDEX('Balizador da Meta'!$D$3:$F$23,MATCH(Faturamento!$P539,'Balizador da Meta'!$C$3:$C$23,0),MATCH(Faturamento!AK539,'Balizador da Meta'!$D$2:$F$2,0)),"")</f>
        <v>0</v>
      </c>
      <c r="AM539" s="9"/>
    </row>
    <row r="540" spans="1:39" x14ac:dyDescent="0.3">
      <c r="A540" s="2" t="str">
        <f t="shared" si="540"/>
        <v>NÃO</v>
      </c>
      <c r="B540" s="2" t="str">
        <f>_xlfn.XLOOKUP($N540,'Base de Grupos'!$A:$A,'Base de Grupos'!$D:$D)</f>
        <v>1000065763</v>
      </c>
      <c r="C540" s="5" t="str">
        <f>_xlfn.XLOOKUP($N540,'Base de Grupos'!$A:$A,'Base de Grupos'!$E:$E)</f>
        <v>CANAL VENDA INTERNA</v>
      </c>
      <c r="D540" s="5" t="str">
        <f>_xlfn.XLOOKUP($N540,'Base de Grupos'!$A:$A,'Base de Grupos'!$F:$F)</f>
        <v>1000065763</v>
      </c>
      <c r="E540" s="2" t="str">
        <f>_xlfn.XLOOKUP($N540,'Base de Grupos'!$A:$A,'Base de Grupos'!$G:$G)</f>
        <v>CANAL VENDA INTERNA</v>
      </c>
      <c r="F540" s="2" t="str">
        <f>_xlfn.XLOOKUP($N540,'Base de Grupos'!$A:$A,'Base de Grupos'!$H:$H)</f>
        <v>1000153245</v>
      </c>
      <c r="G540" s="5" t="str">
        <f>_xlfn.XLOOKUP($N540,'Base de Grupos'!$A:$A,'Base de Grupos'!$I:$I)</f>
        <v>REGIONAL VENDA INTERNA - KEY ACCOUNT</v>
      </c>
      <c r="H540" s="5" t="str">
        <f>_xlfn.XLOOKUP($N540,'Base de Grupos'!$A:$A,'Base de Grupos'!$J:$J)</f>
        <v>1000153245</v>
      </c>
      <c r="I540" s="2" t="str">
        <f>_xlfn.XLOOKUP($N540,'Base de Grupos'!$A:$A,'Base de Grupos'!$K:$K)</f>
        <v>REGIONAL VENDA INTERNA - KEY ACCOUNT</v>
      </c>
      <c r="J540" s="2" t="str">
        <f>_xlfn.XLOOKUP($N540,'Base de Grupos'!$A:$A,'Base de Grupos'!$L:$L)</f>
        <v>1000153245</v>
      </c>
      <c r="K540" s="5" t="str">
        <f>_xlfn.XLOOKUP($N540,'Base de Grupos'!$A:$A,'Base de Grupos'!$M:$M)</f>
        <v>REGIONAL VENDA INTERNA - KEY ACCOUNT</v>
      </c>
      <c r="L540" s="5" t="str">
        <f t="shared" si="541"/>
        <v/>
      </c>
      <c r="M540" s="5" t="str">
        <f>_xlfn.XLOOKUP($N540,'Base de Grupos'!$A:$A,'Base de Grupos'!$C:$C)</f>
        <v>RS</v>
      </c>
      <c r="N540" s="3">
        <v>1429</v>
      </c>
      <c r="O540" s="4" t="s">
        <v>253</v>
      </c>
      <c r="P540" s="5" t="s">
        <v>94</v>
      </c>
      <c r="Q540" s="56">
        <v>0</v>
      </c>
      <c r="R540" s="56">
        <v>1470.3095435684643</v>
      </c>
      <c r="S540" s="56">
        <v>1470.3095435684643</v>
      </c>
      <c r="T540" s="56">
        <f>_xlfn.XLOOKUP($N540,'Calculo Leads'!$A$97:$A$134,'Calculo Leads'!G$97:G$134)*_xlfn.XLOOKUP($P540,'Base Grupo de Produtos'!$E$2:$E$18,'Base Grupo de Produtos'!$F$2:$F$18)</f>
        <v>49.999999999999993</v>
      </c>
      <c r="U540" s="56">
        <f>_xlfn.XLOOKUP($N540,'Calculo Leads'!$A$97:$A$134,'Calculo Leads'!H$97:H$134)*_xlfn.XLOOKUP($P540,'Base Grupo de Produtos'!$E$2:$E$18,'Base Grupo de Produtos'!$F$2:$F$18)</f>
        <v>49.999999999999993</v>
      </c>
      <c r="V540" s="56">
        <f>_xlfn.XLOOKUP($N540,'Calculo Leads'!$A$97:$A$134,'Calculo Leads'!I$97:I$134)*_xlfn.XLOOKUP($P540,'Base Grupo de Produtos'!$E$2:$E$18,'Base Grupo de Produtos'!$F$2:$F$18)</f>
        <v>99.999999999999986</v>
      </c>
      <c r="W540" s="56">
        <f>_xlfn.XLOOKUP($N540,'Calculo Leads'!$A$97:$A$134,'Calculo Leads'!J$97:J$134)*_xlfn.XLOOKUP($P540,'Base Grupo de Produtos'!$E$2:$E$18,'Base Grupo de Produtos'!$F$2:$F$18)</f>
        <v>99.999999999999986</v>
      </c>
      <c r="X540" s="56">
        <f>_xlfn.XLOOKUP($N540,'Calculo Leads'!$A$97:$A$134,'Calculo Leads'!K$97:K$134)*_xlfn.XLOOKUP($P540,'Base Grupo de Produtos'!$E$2:$E$18,'Base Grupo de Produtos'!$F$2:$F$18)</f>
        <v>109.99999999999999</v>
      </c>
      <c r="Y540" s="56">
        <f>_xlfn.XLOOKUP($N540,'Calculo Leads'!$A$97:$A$134,'Calculo Leads'!L$97:L$134)*_xlfn.XLOOKUP($P540,'Base Grupo de Produtos'!$E$2:$E$18,'Base Grupo de Produtos'!$F$2:$F$18)</f>
        <v>165</v>
      </c>
      <c r="Z540" s="56">
        <f>_xlfn.XLOOKUP($N540,'Calculo Leads'!$A$97:$A$134,'Calculo Leads'!M$97:M$134)*_xlfn.XLOOKUP($P540,'Base Grupo de Produtos'!$E$2:$E$18,'Base Grupo de Produtos'!$F$2:$F$18)</f>
        <v>165</v>
      </c>
      <c r="AA540" s="56">
        <f>_xlfn.XLOOKUP($N540,'Calculo Leads'!$A$97:$A$134,'Calculo Leads'!N$97:N$134)*_xlfn.XLOOKUP($P540,'Base Grupo de Produtos'!$E$2:$E$18,'Base Grupo de Produtos'!$F$2:$F$18)</f>
        <v>165</v>
      </c>
      <c r="AB540" s="56">
        <f>_xlfn.XLOOKUP($N540,'Calculo Leads'!$A$97:$A$134,'Calculo Leads'!O$97:O$134)*_xlfn.XLOOKUP($P540,'Base Grupo de Produtos'!$E$2:$E$18,'Base Grupo de Produtos'!$F$2:$F$18)</f>
        <v>109.99999999999999</v>
      </c>
      <c r="AC540" s="61">
        <f t="shared" si="561"/>
        <v>1015</v>
      </c>
      <c r="AD540" s="27">
        <f t="shared" si="577"/>
        <v>1015</v>
      </c>
      <c r="AE540" s="25">
        <f>IFERROR(_xlfn.XLOOKUP(N540&amp;P540,'Historico Vendas'!G:G,'Historico Vendas'!E:E),0)</f>
        <v>0</v>
      </c>
      <c r="AF540" s="29" t="str">
        <f t="shared" si="539"/>
        <v/>
      </c>
      <c r="AG540" s="24">
        <f>IFERROR(_xlfn.XLOOKUP(N540&amp;P540,'Historico Vendas'!G:G,'Historico Vendas'!F:F),0)</f>
        <v>0</v>
      </c>
      <c r="AH540" s="25">
        <f t="shared" si="578"/>
        <v>2940.6190871369286</v>
      </c>
      <c r="AI540" s="24">
        <f t="shared" si="579"/>
        <v>2940.6190871369286</v>
      </c>
      <c r="AJ540" s="11">
        <f t="shared" si="542"/>
        <v>0</v>
      </c>
      <c r="AK540" s="9" t="s">
        <v>102</v>
      </c>
      <c r="AL540" s="13">
        <f>IFERROR(INDEX('Balizador da Meta'!$D$3:$F$23,MATCH(Faturamento!$P540,'Balizador da Meta'!$C$3:$C$23,0),MATCH(Faturamento!AK540,'Balizador da Meta'!$D$2:$F$2,0)),"")</f>
        <v>0.25</v>
      </c>
      <c r="AM540" s="9"/>
    </row>
    <row r="541" spans="1:39" x14ac:dyDescent="0.3">
      <c r="A541" s="2" t="str">
        <f t="shared" si="540"/>
        <v>NÃO</v>
      </c>
      <c r="B541" s="2" t="str">
        <f>_xlfn.XLOOKUP($N541,'Base de Grupos'!$A:$A,'Base de Grupos'!$D:$D)</f>
        <v>1000065763</v>
      </c>
      <c r="C541" s="5" t="str">
        <f>_xlfn.XLOOKUP($N541,'Base de Grupos'!$A:$A,'Base de Grupos'!$E:$E)</f>
        <v>CANAL VENDA INTERNA</v>
      </c>
      <c r="D541" s="5" t="str">
        <f>_xlfn.XLOOKUP($N541,'Base de Grupos'!$A:$A,'Base de Grupos'!$F:$F)</f>
        <v>1000065763</v>
      </c>
      <c r="E541" s="2" t="str">
        <f>_xlfn.XLOOKUP($N541,'Base de Grupos'!$A:$A,'Base de Grupos'!$G:$G)</f>
        <v>CANAL VENDA INTERNA</v>
      </c>
      <c r="F541" s="2" t="str">
        <f>_xlfn.XLOOKUP($N541,'Base de Grupos'!$A:$A,'Base de Grupos'!$H:$H)</f>
        <v>1000153245</v>
      </c>
      <c r="G541" s="5" t="str">
        <f>_xlfn.XLOOKUP($N541,'Base de Grupos'!$A:$A,'Base de Grupos'!$I:$I)</f>
        <v>REGIONAL VENDA INTERNA - KEY ACCOUNT</v>
      </c>
      <c r="H541" s="5" t="str">
        <f>_xlfn.XLOOKUP($N541,'Base de Grupos'!$A:$A,'Base de Grupos'!$J:$J)</f>
        <v>1000153245</v>
      </c>
      <c r="I541" s="2" t="str">
        <f>_xlfn.XLOOKUP($N541,'Base de Grupos'!$A:$A,'Base de Grupos'!$K:$K)</f>
        <v>REGIONAL VENDA INTERNA - KEY ACCOUNT</v>
      </c>
      <c r="J541" s="2" t="str">
        <f>_xlfn.XLOOKUP($N541,'Base de Grupos'!$A:$A,'Base de Grupos'!$L:$L)</f>
        <v>1000153245</v>
      </c>
      <c r="K541" s="5" t="str">
        <f>_xlfn.XLOOKUP($N541,'Base de Grupos'!$A:$A,'Base de Grupos'!$M:$M)</f>
        <v>REGIONAL VENDA INTERNA - KEY ACCOUNT</v>
      </c>
      <c r="L541" s="5" t="str">
        <f t="shared" si="541"/>
        <v/>
      </c>
      <c r="M541" s="5" t="str">
        <f>_xlfn.XLOOKUP($N541,'Base de Grupos'!$A:$A,'Base de Grupos'!$C:$C)</f>
        <v>RS</v>
      </c>
      <c r="N541" s="3">
        <v>1429</v>
      </c>
      <c r="O541" s="4" t="s">
        <v>253</v>
      </c>
      <c r="P541" s="5" t="s">
        <v>95</v>
      </c>
      <c r="Q541" s="56">
        <v>0</v>
      </c>
      <c r="R541" s="56">
        <v>2302.1240000000003</v>
      </c>
      <c r="S541" s="56">
        <v>2616.0500000000002</v>
      </c>
      <c r="T541" s="56">
        <f>_xlfn.XLOOKUP($N541,'Calculo Leads'!$A$97:$A$134,'Calculo Leads'!G$97:G$134)*_xlfn.XLOOKUP($P541,'Base Grupo de Produtos'!$E$2:$E$18,'Base Grupo de Produtos'!$F$2:$F$18)</f>
        <v>80</v>
      </c>
      <c r="U541" s="56">
        <f>_xlfn.XLOOKUP($N541,'Calculo Leads'!$A$97:$A$134,'Calculo Leads'!H$97:H$134)*_xlfn.XLOOKUP($P541,'Base Grupo de Produtos'!$E$2:$E$18,'Base Grupo de Produtos'!$F$2:$F$18)</f>
        <v>80</v>
      </c>
      <c r="V541" s="56">
        <f>_xlfn.XLOOKUP($N541,'Calculo Leads'!$A$97:$A$134,'Calculo Leads'!I$97:I$134)*_xlfn.XLOOKUP($P541,'Base Grupo de Produtos'!$E$2:$E$18,'Base Grupo de Produtos'!$F$2:$F$18)</f>
        <v>160</v>
      </c>
      <c r="W541" s="56">
        <f>_xlfn.XLOOKUP($N541,'Calculo Leads'!$A$97:$A$134,'Calculo Leads'!J$97:J$134)*_xlfn.XLOOKUP($P541,'Base Grupo de Produtos'!$E$2:$E$18,'Base Grupo de Produtos'!$F$2:$F$18)</f>
        <v>160</v>
      </c>
      <c r="X541" s="56">
        <f>_xlfn.XLOOKUP($N541,'Calculo Leads'!$A$97:$A$134,'Calculo Leads'!K$97:K$134)*_xlfn.XLOOKUP($P541,'Base Grupo de Produtos'!$E$2:$E$18,'Base Grupo de Produtos'!$F$2:$F$18)</f>
        <v>176</v>
      </c>
      <c r="Y541" s="56">
        <f>_xlfn.XLOOKUP($N541,'Calculo Leads'!$A$97:$A$134,'Calculo Leads'!L$97:L$134)*_xlfn.XLOOKUP($P541,'Base Grupo de Produtos'!$E$2:$E$18,'Base Grupo de Produtos'!$F$2:$F$18)</f>
        <v>264</v>
      </c>
      <c r="Z541" s="56">
        <f>_xlfn.XLOOKUP($N541,'Calculo Leads'!$A$97:$A$134,'Calculo Leads'!M$97:M$134)*_xlfn.XLOOKUP($P541,'Base Grupo de Produtos'!$E$2:$E$18,'Base Grupo de Produtos'!$F$2:$F$18)</f>
        <v>264</v>
      </c>
      <c r="AA541" s="56">
        <f>_xlfn.XLOOKUP($N541,'Calculo Leads'!$A$97:$A$134,'Calculo Leads'!N$97:N$134)*_xlfn.XLOOKUP($P541,'Base Grupo de Produtos'!$E$2:$E$18,'Base Grupo de Produtos'!$F$2:$F$18)</f>
        <v>264</v>
      </c>
      <c r="AB541" s="56">
        <f>_xlfn.XLOOKUP($N541,'Calculo Leads'!$A$97:$A$134,'Calculo Leads'!O$97:O$134)*_xlfn.XLOOKUP($P541,'Base Grupo de Produtos'!$E$2:$E$18,'Base Grupo de Produtos'!$F$2:$F$18)</f>
        <v>176</v>
      </c>
      <c r="AC541" s="61">
        <f t="shared" si="561"/>
        <v>1624</v>
      </c>
      <c r="AD541" s="27">
        <f t="shared" si="577"/>
        <v>1624</v>
      </c>
      <c r="AE541" s="25">
        <f>IFERROR(_xlfn.XLOOKUP(N541&amp;P541,'Historico Vendas'!G:G,'Historico Vendas'!E:E),0)</f>
        <v>0</v>
      </c>
      <c r="AF541" s="29" t="str">
        <f t="shared" si="539"/>
        <v/>
      </c>
      <c r="AG541" s="24">
        <f>IFERROR(_xlfn.XLOOKUP(N541&amp;P541,'Historico Vendas'!G:G,'Historico Vendas'!F:F),0)</f>
        <v>0</v>
      </c>
      <c r="AH541" s="25">
        <f t="shared" si="578"/>
        <v>4918.1740000000009</v>
      </c>
      <c r="AI541" s="24">
        <f t="shared" si="579"/>
        <v>4918.1740000000009</v>
      </c>
      <c r="AJ541" s="11">
        <f t="shared" si="542"/>
        <v>0</v>
      </c>
      <c r="AK541" s="9" t="s">
        <v>102</v>
      </c>
      <c r="AL541" s="13">
        <f>IFERROR(INDEX('Balizador da Meta'!$D$3:$F$23,MATCH(Faturamento!$P541,'Balizador da Meta'!$C$3:$C$23,0),MATCH(Faturamento!AK541,'Balizador da Meta'!$D$2:$F$2,0)),"")</f>
        <v>0.25</v>
      </c>
      <c r="AM541" s="9"/>
    </row>
    <row r="542" spans="1:39" x14ac:dyDescent="0.3">
      <c r="A542" s="2" t="str">
        <f t="shared" si="540"/>
        <v>NÃO</v>
      </c>
      <c r="B542" s="2" t="str">
        <f>_xlfn.XLOOKUP($N542,'Base de Grupos'!$A:$A,'Base de Grupos'!$D:$D)</f>
        <v>1000065763</v>
      </c>
      <c r="C542" s="5" t="str">
        <f>_xlfn.XLOOKUP($N542,'Base de Grupos'!$A:$A,'Base de Grupos'!$E:$E)</f>
        <v>CANAL VENDA INTERNA</v>
      </c>
      <c r="D542" s="5" t="str">
        <f>_xlfn.XLOOKUP($N542,'Base de Grupos'!$A:$A,'Base de Grupos'!$F:$F)</f>
        <v>1000065763</v>
      </c>
      <c r="E542" s="2" t="str">
        <f>_xlfn.XLOOKUP($N542,'Base de Grupos'!$A:$A,'Base de Grupos'!$G:$G)</f>
        <v>CANAL VENDA INTERNA</v>
      </c>
      <c r="F542" s="2" t="str">
        <f>_xlfn.XLOOKUP($N542,'Base de Grupos'!$A:$A,'Base de Grupos'!$H:$H)</f>
        <v>1000153245</v>
      </c>
      <c r="G542" s="5" t="str">
        <f>_xlfn.XLOOKUP($N542,'Base de Grupos'!$A:$A,'Base de Grupos'!$I:$I)</f>
        <v>REGIONAL VENDA INTERNA - KEY ACCOUNT</v>
      </c>
      <c r="H542" s="5" t="str">
        <f>_xlfn.XLOOKUP($N542,'Base de Grupos'!$A:$A,'Base de Grupos'!$J:$J)</f>
        <v>1000153245</v>
      </c>
      <c r="I542" s="2" t="str">
        <f>_xlfn.XLOOKUP($N542,'Base de Grupos'!$A:$A,'Base de Grupos'!$K:$K)</f>
        <v>REGIONAL VENDA INTERNA - KEY ACCOUNT</v>
      </c>
      <c r="J542" s="2" t="str">
        <f>_xlfn.XLOOKUP($N542,'Base de Grupos'!$A:$A,'Base de Grupos'!$L:$L)</f>
        <v>1000153245</v>
      </c>
      <c r="K542" s="5" t="str">
        <f>_xlfn.XLOOKUP($N542,'Base de Grupos'!$A:$A,'Base de Grupos'!$M:$M)</f>
        <v>REGIONAL VENDA INTERNA - KEY ACCOUNT</v>
      </c>
      <c r="L542" s="5" t="str">
        <f t="shared" si="541"/>
        <v/>
      </c>
      <c r="M542" s="5" t="str">
        <f>_xlfn.XLOOKUP($N542,'Base de Grupos'!$A:$A,'Base de Grupos'!$C:$C)</f>
        <v>RS</v>
      </c>
      <c r="N542" s="3">
        <v>1429</v>
      </c>
      <c r="O542" s="4" t="s">
        <v>253</v>
      </c>
      <c r="P542" s="5" t="s">
        <v>93</v>
      </c>
      <c r="Q542" s="56">
        <v>0</v>
      </c>
      <c r="R542" s="56">
        <v>585.97440000000006</v>
      </c>
      <c r="S542" s="56">
        <v>585.97440000000006</v>
      </c>
      <c r="T542" s="56">
        <f>_xlfn.XLOOKUP($N542,'Calculo Leads'!$A$97:$A$134,'Calculo Leads'!G$97:G$134)*_xlfn.XLOOKUP($P542,'Base Grupo de Produtos'!$E$2:$E$18,'Base Grupo de Produtos'!$F$2:$F$18)</f>
        <v>30</v>
      </c>
      <c r="U542" s="56">
        <f>_xlfn.XLOOKUP($N542,'Calculo Leads'!$A$97:$A$134,'Calculo Leads'!H$97:H$134)*_xlfn.XLOOKUP($P542,'Base Grupo de Produtos'!$E$2:$E$18,'Base Grupo de Produtos'!$F$2:$F$18)</f>
        <v>30</v>
      </c>
      <c r="V542" s="56">
        <f>_xlfn.XLOOKUP($N542,'Calculo Leads'!$A$97:$A$134,'Calculo Leads'!I$97:I$134)*_xlfn.XLOOKUP($P542,'Base Grupo de Produtos'!$E$2:$E$18,'Base Grupo de Produtos'!$F$2:$F$18)</f>
        <v>60</v>
      </c>
      <c r="W542" s="56">
        <f>_xlfn.XLOOKUP($N542,'Calculo Leads'!$A$97:$A$134,'Calculo Leads'!J$97:J$134)*_xlfn.XLOOKUP($P542,'Base Grupo de Produtos'!$E$2:$E$18,'Base Grupo de Produtos'!$F$2:$F$18)</f>
        <v>60</v>
      </c>
      <c r="X542" s="56">
        <f>_xlfn.XLOOKUP($N542,'Calculo Leads'!$A$97:$A$134,'Calculo Leads'!K$97:K$134)*_xlfn.XLOOKUP($P542,'Base Grupo de Produtos'!$E$2:$E$18,'Base Grupo de Produtos'!$F$2:$F$18)</f>
        <v>66</v>
      </c>
      <c r="Y542" s="56">
        <f>_xlfn.XLOOKUP($N542,'Calculo Leads'!$A$97:$A$134,'Calculo Leads'!L$97:L$134)*_xlfn.XLOOKUP($P542,'Base Grupo de Produtos'!$E$2:$E$18,'Base Grupo de Produtos'!$F$2:$F$18)</f>
        <v>99</v>
      </c>
      <c r="Z542" s="56">
        <f>_xlfn.XLOOKUP($N542,'Calculo Leads'!$A$97:$A$134,'Calculo Leads'!M$97:M$134)*_xlfn.XLOOKUP($P542,'Base Grupo de Produtos'!$E$2:$E$18,'Base Grupo de Produtos'!$F$2:$F$18)</f>
        <v>99</v>
      </c>
      <c r="AA542" s="56">
        <f>_xlfn.XLOOKUP($N542,'Calculo Leads'!$A$97:$A$134,'Calculo Leads'!N$97:N$134)*_xlfn.XLOOKUP($P542,'Base Grupo de Produtos'!$E$2:$E$18,'Base Grupo de Produtos'!$F$2:$F$18)</f>
        <v>99</v>
      </c>
      <c r="AB542" s="56">
        <f>_xlfn.XLOOKUP($N542,'Calculo Leads'!$A$97:$A$134,'Calculo Leads'!O$97:O$134)*_xlfn.XLOOKUP($P542,'Base Grupo de Produtos'!$E$2:$E$18,'Base Grupo de Produtos'!$F$2:$F$18)</f>
        <v>66</v>
      </c>
      <c r="AC542" s="61">
        <f t="shared" si="561"/>
        <v>609</v>
      </c>
      <c r="AD542" s="27">
        <f t="shared" si="577"/>
        <v>609</v>
      </c>
      <c r="AE542" s="25">
        <f>IFERROR(_xlfn.XLOOKUP(N542&amp;P542,'Historico Vendas'!G:G,'Historico Vendas'!E:E),0)</f>
        <v>0</v>
      </c>
      <c r="AF542" s="29" t="str">
        <f t="shared" si="539"/>
        <v/>
      </c>
      <c r="AG542" s="24">
        <f>IFERROR(_xlfn.XLOOKUP(N542&amp;P542,'Historico Vendas'!G:G,'Historico Vendas'!F:F),0)</f>
        <v>0</v>
      </c>
      <c r="AH542" s="25">
        <f t="shared" si="578"/>
        <v>1171.9488000000001</v>
      </c>
      <c r="AI542" s="24">
        <f t="shared" si="579"/>
        <v>1171.9488000000001</v>
      </c>
      <c r="AJ542" s="11">
        <f t="shared" si="542"/>
        <v>0</v>
      </c>
      <c r="AK542" s="9" t="s">
        <v>102</v>
      </c>
      <c r="AL542" s="13">
        <f>IFERROR(INDEX('Balizador da Meta'!$D$3:$F$23,MATCH(Faturamento!$P542,'Balizador da Meta'!$C$3:$C$23,0),MATCH(Faturamento!AK542,'Balizador da Meta'!$D$2:$F$2,0)),"")</f>
        <v>0.2</v>
      </c>
      <c r="AM542" s="9"/>
    </row>
    <row r="543" spans="1:39" x14ac:dyDescent="0.3">
      <c r="A543" s="2" t="str">
        <f t="shared" si="540"/>
        <v>SIM</v>
      </c>
      <c r="B543" s="2" t="str">
        <f>_xlfn.XLOOKUP($N543,'Base de Grupos'!$A:$A,'Base de Grupos'!$D:$D)</f>
        <v>1000065763</v>
      </c>
      <c r="C543" s="5" t="str">
        <f>_xlfn.XLOOKUP($N543,'Base de Grupos'!$A:$A,'Base de Grupos'!$E:$E)</f>
        <v>CANAL VENDA INTERNA</v>
      </c>
      <c r="D543" s="5" t="str">
        <f>_xlfn.XLOOKUP($N543,'Base de Grupos'!$A:$A,'Base de Grupos'!$F:$F)</f>
        <v>1000065763</v>
      </c>
      <c r="E543" s="2" t="str">
        <f>_xlfn.XLOOKUP($N543,'Base de Grupos'!$A:$A,'Base de Grupos'!$G:$G)</f>
        <v>CANAL VENDA INTERNA</v>
      </c>
      <c r="F543" s="2" t="str">
        <f>_xlfn.XLOOKUP($N543,'Base de Grupos'!$A:$A,'Base de Grupos'!$H:$H)</f>
        <v>1000153245</v>
      </c>
      <c r="G543" s="5" t="str">
        <f>_xlfn.XLOOKUP($N543,'Base de Grupos'!$A:$A,'Base de Grupos'!$I:$I)</f>
        <v>REGIONAL VENDA INTERNA - KEY ACCOUNT</v>
      </c>
      <c r="H543" s="5" t="str">
        <f>_xlfn.XLOOKUP($N543,'Base de Grupos'!$A:$A,'Base de Grupos'!$J:$J)</f>
        <v>1000153245</v>
      </c>
      <c r="I543" s="2" t="str">
        <f>_xlfn.XLOOKUP($N543,'Base de Grupos'!$A:$A,'Base de Grupos'!$K:$K)</f>
        <v>REGIONAL VENDA INTERNA - KEY ACCOUNT</v>
      </c>
      <c r="J543" s="2" t="str">
        <f>_xlfn.XLOOKUP($N543,'Base de Grupos'!$A:$A,'Base de Grupos'!$L:$L)</f>
        <v>1000153245</v>
      </c>
      <c r="K543" s="5" t="str">
        <f>_xlfn.XLOOKUP($N543,'Base de Grupos'!$A:$A,'Base de Grupos'!$M:$M)</f>
        <v>REGIONAL VENDA INTERNA - KEY ACCOUNT</v>
      </c>
      <c r="L543" s="5">
        <f t="shared" si="541"/>
        <v>1</v>
      </c>
      <c r="M543" s="5" t="str">
        <f>_xlfn.XLOOKUP($N543,'Base de Grupos'!$A:$A,'Base de Grupos'!$C:$C)</f>
        <v>PI</v>
      </c>
      <c r="N543" s="3">
        <v>1430</v>
      </c>
      <c r="O543" s="4" t="s">
        <v>254</v>
      </c>
      <c r="P543" s="5" t="s">
        <v>324</v>
      </c>
      <c r="Q543" s="56">
        <f t="shared" ref="Q543" si="580">SUM(Q544:Q560)</f>
        <v>0</v>
      </c>
      <c r="R543" s="56">
        <f t="shared" ref="R543" si="581">SUM(R544:R560)</f>
        <v>10568.294327098127</v>
      </c>
      <c r="S543" s="56">
        <f t="shared" ref="S543" si="582">SUM(S544:S560)</f>
        <v>12029.078970466311</v>
      </c>
      <c r="T543" s="56">
        <f t="shared" ref="T543" si="583">SUM(T544:T560)</f>
        <v>2000</v>
      </c>
      <c r="U543" s="56">
        <f t="shared" ref="U543" si="584">SUM(U544:U560)</f>
        <v>2000</v>
      </c>
      <c r="V543" s="56">
        <f t="shared" ref="V543" si="585">SUM(V544:V560)</f>
        <v>2000</v>
      </c>
      <c r="W543" s="56">
        <f t="shared" ref="W543" si="586">SUM(W544:W560)</f>
        <v>3000</v>
      </c>
      <c r="X543" s="56">
        <f t="shared" ref="X543" si="587">SUM(X544:X560)</f>
        <v>3300</v>
      </c>
      <c r="Y543" s="56">
        <f t="shared" ref="Y543" si="588">SUM(Y544:Y560)</f>
        <v>4400</v>
      </c>
      <c r="Z543" s="56">
        <f t="shared" ref="Z543" si="589">SUM(Z544:Z560)</f>
        <v>4400</v>
      </c>
      <c r="AA543" s="56">
        <f t="shared" ref="AA543" si="590">SUM(AA544:AA560)</f>
        <v>5500</v>
      </c>
      <c r="AB543" s="56">
        <f t="shared" ref="AB543" si="591">SUM(AB544:AB560)</f>
        <v>3300</v>
      </c>
      <c r="AC543" s="56">
        <f t="shared" ref="AC543" si="592">SUM(AC544:AC560)</f>
        <v>29900</v>
      </c>
      <c r="AD543" s="25">
        <f t="shared" ref="AD543" si="593">SUM(AD544:AD560)</f>
        <v>29900</v>
      </c>
      <c r="AE543" s="25">
        <f t="shared" ref="AE543:AI543" si="594">SUM(AE544:AE560)</f>
        <v>0</v>
      </c>
      <c r="AF543" s="11" t="str">
        <f t="shared" si="539"/>
        <v/>
      </c>
      <c r="AG543" s="24">
        <f t="shared" si="594"/>
        <v>0</v>
      </c>
      <c r="AH543" s="25">
        <f t="shared" si="594"/>
        <v>22597.373297564438</v>
      </c>
      <c r="AI543" s="24">
        <f t="shared" si="594"/>
        <v>22597.373297564438</v>
      </c>
      <c r="AJ543" s="11">
        <f t="shared" si="542"/>
        <v>0</v>
      </c>
      <c r="AK543" s="9"/>
      <c r="AL543" s="13"/>
      <c r="AM543" s="9"/>
    </row>
    <row r="544" spans="1:39" x14ac:dyDescent="0.3">
      <c r="A544" s="2" t="str">
        <f t="shared" si="540"/>
        <v>NÃO</v>
      </c>
      <c r="B544" s="2" t="str">
        <f>_xlfn.XLOOKUP($N544,'Base de Grupos'!$A:$A,'Base de Grupos'!$D:$D)</f>
        <v>1000065763</v>
      </c>
      <c r="C544" s="5" t="str">
        <f>_xlfn.XLOOKUP($N544,'Base de Grupos'!$A:$A,'Base de Grupos'!$E:$E)</f>
        <v>CANAL VENDA INTERNA</v>
      </c>
      <c r="D544" s="5" t="str">
        <f>_xlfn.XLOOKUP($N544,'Base de Grupos'!$A:$A,'Base de Grupos'!$F:$F)</f>
        <v>1000065763</v>
      </c>
      <c r="E544" s="2" t="str">
        <f>_xlfn.XLOOKUP($N544,'Base de Grupos'!$A:$A,'Base de Grupos'!$G:$G)</f>
        <v>CANAL VENDA INTERNA</v>
      </c>
      <c r="F544" s="2" t="str">
        <f>_xlfn.XLOOKUP($N544,'Base de Grupos'!$A:$A,'Base de Grupos'!$H:$H)</f>
        <v>1000153245</v>
      </c>
      <c r="G544" s="5" t="str">
        <f>_xlfn.XLOOKUP($N544,'Base de Grupos'!$A:$A,'Base de Grupos'!$I:$I)</f>
        <v>REGIONAL VENDA INTERNA - KEY ACCOUNT</v>
      </c>
      <c r="H544" s="5" t="str">
        <f>_xlfn.XLOOKUP($N544,'Base de Grupos'!$A:$A,'Base de Grupos'!$J:$J)</f>
        <v>1000153245</v>
      </c>
      <c r="I544" s="2" t="str">
        <f>_xlfn.XLOOKUP($N544,'Base de Grupos'!$A:$A,'Base de Grupos'!$K:$K)</f>
        <v>REGIONAL VENDA INTERNA - KEY ACCOUNT</v>
      </c>
      <c r="J544" s="2" t="str">
        <f>_xlfn.XLOOKUP($N544,'Base de Grupos'!$A:$A,'Base de Grupos'!$L:$L)</f>
        <v>1000153245</v>
      </c>
      <c r="K544" s="5" t="str">
        <f>_xlfn.XLOOKUP($N544,'Base de Grupos'!$A:$A,'Base de Grupos'!$M:$M)</f>
        <v>REGIONAL VENDA INTERNA - KEY ACCOUNT</v>
      </c>
      <c r="L544" s="5" t="str">
        <f t="shared" si="541"/>
        <v/>
      </c>
      <c r="M544" s="5" t="str">
        <f>_xlfn.XLOOKUP($N544,'Base de Grupos'!$A:$A,'Base de Grupos'!$C:$C)</f>
        <v>PI</v>
      </c>
      <c r="N544" s="3">
        <v>1430</v>
      </c>
      <c r="O544" s="4" t="s">
        <v>254</v>
      </c>
      <c r="P544" s="5" t="s">
        <v>81</v>
      </c>
      <c r="Q544" s="56">
        <v>0</v>
      </c>
      <c r="R544" s="56">
        <v>404.3886056291048</v>
      </c>
      <c r="S544" s="56">
        <v>505.48575703638102</v>
      </c>
      <c r="T544" s="56">
        <f>_xlfn.XLOOKUP($N544,'Calculo Leads'!$A$97:$A$134,'Calculo Leads'!G$97:G$134)*_xlfn.XLOOKUP($P544,'Base Grupo de Produtos'!$E$2:$E$18,'Base Grupo de Produtos'!$F$2:$F$18)</f>
        <v>100</v>
      </c>
      <c r="U544" s="56">
        <f>_xlfn.XLOOKUP($N544,'Calculo Leads'!$A$97:$A$134,'Calculo Leads'!H$97:H$134)*_xlfn.XLOOKUP($P544,'Base Grupo de Produtos'!$E$2:$E$18,'Base Grupo de Produtos'!$F$2:$F$18)</f>
        <v>100</v>
      </c>
      <c r="V544" s="56">
        <f>_xlfn.XLOOKUP($N544,'Calculo Leads'!$A$97:$A$134,'Calculo Leads'!I$97:I$134)*_xlfn.XLOOKUP($P544,'Base Grupo de Produtos'!$E$2:$E$18,'Base Grupo de Produtos'!$F$2:$F$18)</f>
        <v>100</v>
      </c>
      <c r="W544" s="56">
        <f>_xlfn.XLOOKUP($N544,'Calculo Leads'!$A$97:$A$134,'Calculo Leads'!J$97:J$134)*_xlfn.XLOOKUP($P544,'Base Grupo de Produtos'!$E$2:$E$18,'Base Grupo de Produtos'!$F$2:$F$18)</f>
        <v>150</v>
      </c>
      <c r="X544" s="56">
        <f>_xlfn.XLOOKUP($N544,'Calculo Leads'!$A$97:$A$134,'Calculo Leads'!K$97:K$134)*_xlfn.XLOOKUP($P544,'Base Grupo de Produtos'!$E$2:$E$18,'Base Grupo de Produtos'!$F$2:$F$18)</f>
        <v>165</v>
      </c>
      <c r="Y544" s="56">
        <f>_xlfn.XLOOKUP($N544,'Calculo Leads'!$A$97:$A$134,'Calculo Leads'!L$97:L$134)*_xlfn.XLOOKUP($P544,'Base Grupo de Produtos'!$E$2:$E$18,'Base Grupo de Produtos'!$F$2:$F$18)</f>
        <v>220</v>
      </c>
      <c r="Z544" s="56">
        <f>_xlfn.XLOOKUP($N544,'Calculo Leads'!$A$97:$A$134,'Calculo Leads'!M$97:M$134)*_xlfn.XLOOKUP($P544,'Base Grupo de Produtos'!$E$2:$E$18,'Base Grupo de Produtos'!$F$2:$F$18)</f>
        <v>220</v>
      </c>
      <c r="AA544" s="56">
        <f>_xlfn.XLOOKUP($N544,'Calculo Leads'!$A$97:$A$134,'Calculo Leads'!N$97:N$134)*_xlfn.XLOOKUP($P544,'Base Grupo de Produtos'!$E$2:$E$18,'Base Grupo de Produtos'!$F$2:$F$18)</f>
        <v>275</v>
      </c>
      <c r="AB544" s="56">
        <f>_xlfn.XLOOKUP($N544,'Calculo Leads'!$A$97:$A$134,'Calculo Leads'!O$97:O$134)*_xlfn.XLOOKUP($P544,'Base Grupo de Produtos'!$E$2:$E$18,'Base Grupo de Produtos'!$F$2:$F$18)</f>
        <v>165</v>
      </c>
      <c r="AC544" s="61">
        <f t="shared" si="561"/>
        <v>1495</v>
      </c>
      <c r="AD544" s="27">
        <f t="shared" ref="AD544:AD560" si="595">IF(AC544=0,0,AC544-AG544)</f>
        <v>1495</v>
      </c>
      <c r="AE544" s="25">
        <f>IFERROR(_xlfn.XLOOKUP(N544&amp;P544,'Historico Vendas'!G:G,'Historico Vendas'!E:E),0)</f>
        <v>0</v>
      </c>
      <c r="AF544" s="29" t="str">
        <f t="shared" si="539"/>
        <v/>
      </c>
      <c r="AG544" s="24">
        <f>IFERROR(_xlfn.XLOOKUP(N544&amp;P544,'Historico Vendas'!G:G,'Historico Vendas'!F:F),0)</f>
        <v>0</v>
      </c>
      <c r="AH544" s="25">
        <f t="shared" ref="AH544:AH560" si="596">SUM(Q544:S544)</f>
        <v>909.87436266548582</v>
      </c>
      <c r="AI544" s="24">
        <f t="shared" ref="AI544:AI560" si="597">AH544-AG544</f>
        <v>909.87436266548582</v>
      </c>
      <c r="AJ544" s="11">
        <f t="shared" si="542"/>
        <v>0</v>
      </c>
      <c r="AK544" s="9" t="s">
        <v>102</v>
      </c>
      <c r="AL544" s="13">
        <f>IFERROR(INDEX('Balizador da Meta'!$D$3:$F$23,MATCH(Faturamento!$P544,'Balizador da Meta'!$C$3:$C$23,0),MATCH(Faturamento!AK544,'Balizador da Meta'!$D$2:$F$2,0)),"")</f>
        <v>0.2</v>
      </c>
      <c r="AM544" s="9"/>
    </row>
    <row r="545" spans="1:39" x14ac:dyDescent="0.3">
      <c r="A545" s="2" t="str">
        <f t="shared" si="540"/>
        <v>NÃO</v>
      </c>
      <c r="B545" s="2" t="str">
        <f>_xlfn.XLOOKUP($N545,'Base de Grupos'!$A:$A,'Base de Grupos'!$D:$D)</f>
        <v>1000065763</v>
      </c>
      <c r="C545" s="5" t="str">
        <f>_xlfn.XLOOKUP($N545,'Base de Grupos'!$A:$A,'Base de Grupos'!$E:$E)</f>
        <v>CANAL VENDA INTERNA</v>
      </c>
      <c r="D545" s="5" t="str">
        <f>_xlfn.XLOOKUP($N545,'Base de Grupos'!$A:$A,'Base de Grupos'!$F:$F)</f>
        <v>1000065763</v>
      </c>
      <c r="E545" s="2" t="str">
        <f>_xlfn.XLOOKUP($N545,'Base de Grupos'!$A:$A,'Base de Grupos'!$G:$G)</f>
        <v>CANAL VENDA INTERNA</v>
      </c>
      <c r="F545" s="2" t="str">
        <f>_xlfn.XLOOKUP($N545,'Base de Grupos'!$A:$A,'Base de Grupos'!$H:$H)</f>
        <v>1000153245</v>
      </c>
      <c r="G545" s="5" t="str">
        <f>_xlfn.XLOOKUP($N545,'Base de Grupos'!$A:$A,'Base de Grupos'!$I:$I)</f>
        <v>REGIONAL VENDA INTERNA - KEY ACCOUNT</v>
      </c>
      <c r="H545" s="5" t="str">
        <f>_xlfn.XLOOKUP($N545,'Base de Grupos'!$A:$A,'Base de Grupos'!$J:$J)</f>
        <v>1000153245</v>
      </c>
      <c r="I545" s="2" t="str">
        <f>_xlfn.XLOOKUP($N545,'Base de Grupos'!$A:$A,'Base de Grupos'!$K:$K)</f>
        <v>REGIONAL VENDA INTERNA - KEY ACCOUNT</v>
      </c>
      <c r="J545" s="2" t="str">
        <f>_xlfn.XLOOKUP($N545,'Base de Grupos'!$A:$A,'Base de Grupos'!$L:$L)</f>
        <v>1000153245</v>
      </c>
      <c r="K545" s="5" t="str">
        <f>_xlfn.XLOOKUP($N545,'Base de Grupos'!$A:$A,'Base de Grupos'!$M:$M)</f>
        <v>REGIONAL VENDA INTERNA - KEY ACCOUNT</v>
      </c>
      <c r="L545" s="5" t="str">
        <f t="shared" si="541"/>
        <v/>
      </c>
      <c r="M545" s="5" t="str">
        <f>_xlfn.XLOOKUP($N545,'Base de Grupos'!$A:$A,'Base de Grupos'!$C:$C)</f>
        <v>PI</v>
      </c>
      <c r="N545" s="3">
        <v>1430</v>
      </c>
      <c r="O545" s="4" t="s">
        <v>254</v>
      </c>
      <c r="P545" s="5" t="s">
        <v>82</v>
      </c>
      <c r="Q545" s="56">
        <v>0</v>
      </c>
      <c r="R545" s="56">
        <v>2462.0564928909953</v>
      </c>
      <c r="S545" s="56">
        <v>2872.3992417061613</v>
      </c>
      <c r="T545" s="56">
        <f>_xlfn.XLOOKUP($N545,'Calculo Leads'!$A$97:$A$134,'Calculo Leads'!G$97:G$134)*_xlfn.XLOOKUP($P545,'Base Grupo de Produtos'!$E$2:$E$18,'Base Grupo de Produtos'!$F$2:$F$18)</f>
        <v>100</v>
      </c>
      <c r="U545" s="56">
        <f>_xlfn.XLOOKUP($N545,'Calculo Leads'!$A$97:$A$134,'Calculo Leads'!H$97:H$134)*_xlfn.XLOOKUP($P545,'Base Grupo de Produtos'!$E$2:$E$18,'Base Grupo de Produtos'!$F$2:$F$18)</f>
        <v>100</v>
      </c>
      <c r="V545" s="56">
        <f>_xlfn.XLOOKUP($N545,'Calculo Leads'!$A$97:$A$134,'Calculo Leads'!I$97:I$134)*_xlfn.XLOOKUP($P545,'Base Grupo de Produtos'!$E$2:$E$18,'Base Grupo de Produtos'!$F$2:$F$18)</f>
        <v>100</v>
      </c>
      <c r="W545" s="56">
        <f>_xlfn.XLOOKUP($N545,'Calculo Leads'!$A$97:$A$134,'Calculo Leads'!J$97:J$134)*_xlfn.XLOOKUP($P545,'Base Grupo de Produtos'!$E$2:$E$18,'Base Grupo de Produtos'!$F$2:$F$18)</f>
        <v>150</v>
      </c>
      <c r="X545" s="56">
        <f>_xlfn.XLOOKUP($N545,'Calculo Leads'!$A$97:$A$134,'Calculo Leads'!K$97:K$134)*_xlfn.XLOOKUP($P545,'Base Grupo de Produtos'!$E$2:$E$18,'Base Grupo de Produtos'!$F$2:$F$18)</f>
        <v>165</v>
      </c>
      <c r="Y545" s="56">
        <f>_xlfn.XLOOKUP($N545,'Calculo Leads'!$A$97:$A$134,'Calculo Leads'!L$97:L$134)*_xlfn.XLOOKUP($P545,'Base Grupo de Produtos'!$E$2:$E$18,'Base Grupo de Produtos'!$F$2:$F$18)</f>
        <v>220</v>
      </c>
      <c r="Z545" s="56">
        <f>_xlfn.XLOOKUP($N545,'Calculo Leads'!$A$97:$A$134,'Calculo Leads'!M$97:M$134)*_xlfn.XLOOKUP($P545,'Base Grupo de Produtos'!$E$2:$E$18,'Base Grupo de Produtos'!$F$2:$F$18)</f>
        <v>220</v>
      </c>
      <c r="AA545" s="56">
        <f>_xlfn.XLOOKUP($N545,'Calculo Leads'!$A$97:$A$134,'Calculo Leads'!N$97:N$134)*_xlfn.XLOOKUP($P545,'Base Grupo de Produtos'!$E$2:$E$18,'Base Grupo de Produtos'!$F$2:$F$18)</f>
        <v>275</v>
      </c>
      <c r="AB545" s="56">
        <f>_xlfn.XLOOKUP($N545,'Calculo Leads'!$A$97:$A$134,'Calculo Leads'!O$97:O$134)*_xlfn.XLOOKUP($P545,'Base Grupo de Produtos'!$E$2:$E$18,'Base Grupo de Produtos'!$F$2:$F$18)</f>
        <v>165</v>
      </c>
      <c r="AC545" s="61">
        <f t="shared" si="561"/>
        <v>1495</v>
      </c>
      <c r="AD545" s="27">
        <f t="shared" si="595"/>
        <v>1495</v>
      </c>
      <c r="AE545" s="25">
        <f>IFERROR(_xlfn.XLOOKUP(N545&amp;P545,'Historico Vendas'!G:G,'Historico Vendas'!E:E),0)</f>
        <v>0</v>
      </c>
      <c r="AF545" s="29" t="str">
        <f t="shared" si="539"/>
        <v/>
      </c>
      <c r="AG545" s="24">
        <f>IFERROR(_xlfn.XLOOKUP(N545&amp;P545,'Historico Vendas'!G:G,'Historico Vendas'!F:F),0)</f>
        <v>0</v>
      </c>
      <c r="AH545" s="25">
        <f t="shared" si="596"/>
        <v>5334.4557345971571</v>
      </c>
      <c r="AI545" s="24">
        <f t="shared" si="597"/>
        <v>5334.4557345971571</v>
      </c>
      <c r="AJ545" s="11">
        <f t="shared" si="542"/>
        <v>0</v>
      </c>
      <c r="AK545" s="9" t="s">
        <v>102</v>
      </c>
      <c r="AL545" s="13">
        <f>IFERROR(INDEX('Balizador da Meta'!$D$3:$F$23,MATCH(Faturamento!$P545,'Balizador da Meta'!$C$3:$C$23,0),MATCH(Faturamento!AK545,'Balizador da Meta'!$D$2:$F$2,0)),"")</f>
        <v>0.2</v>
      </c>
      <c r="AM545" s="9"/>
    </row>
    <row r="546" spans="1:39" x14ac:dyDescent="0.3">
      <c r="A546" s="2" t="str">
        <f t="shared" si="540"/>
        <v>NÃO</v>
      </c>
      <c r="B546" s="2" t="str">
        <f>_xlfn.XLOOKUP($N546,'Base de Grupos'!$A:$A,'Base de Grupos'!$D:$D)</f>
        <v>1000065763</v>
      </c>
      <c r="C546" s="5" t="str">
        <f>_xlfn.XLOOKUP($N546,'Base de Grupos'!$A:$A,'Base de Grupos'!$E:$E)</f>
        <v>CANAL VENDA INTERNA</v>
      </c>
      <c r="D546" s="5" t="str">
        <f>_xlfn.XLOOKUP($N546,'Base de Grupos'!$A:$A,'Base de Grupos'!$F:$F)</f>
        <v>1000065763</v>
      </c>
      <c r="E546" s="2" t="str">
        <f>_xlfn.XLOOKUP($N546,'Base de Grupos'!$A:$A,'Base de Grupos'!$G:$G)</f>
        <v>CANAL VENDA INTERNA</v>
      </c>
      <c r="F546" s="2" t="str">
        <f>_xlfn.XLOOKUP($N546,'Base de Grupos'!$A:$A,'Base de Grupos'!$H:$H)</f>
        <v>1000153245</v>
      </c>
      <c r="G546" s="5" t="str">
        <f>_xlfn.XLOOKUP($N546,'Base de Grupos'!$A:$A,'Base de Grupos'!$I:$I)</f>
        <v>REGIONAL VENDA INTERNA - KEY ACCOUNT</v>
      </c>
      <c r="H546" s="5" t="str">
        <f>_xlfn.XLOOKUP($N546,'Base de Grupos'!$A:$A,'Base de Grupos'!$J:$J)</f>
        <v>1000153245</v>
      </c>
      <c r="I546" s="2" t="str">
        <f>_xlfn.XLOOKUP($N546,'Base de Grupos'!$A:$A,'Base de Grupos'!$K:$K)</f>
        <v>REGIONAL VENDA INTERNA - KEY ACCOUNT</v>
      </c>
      <c r="J546" s="2" t="str">
        <f>_xlfn.XLOOKUP($N546,'Base de Grupos'!$A:$A,'Base de Grupos'!$L:$L)</f>
        <v>1000153245</v>
      </c>
      <c r="K546" s="5" t="str">
        <f>_xlfn.XLOOKUP($N546,'Base de Grupos'!$A:$A,'Base de Grupos'!$M:$M)</f>
        <v>REGIONAL VENDA INTERNA - KEY ACCOUNT</v>
      </c>
      <c r="L546" s="5" t="str">
        <f t="shared" si="541"/>
        <v/>
      </c>
      <c r="M546" s="5" t="str">
        <f>_xlfn.XLOOKUP($N546,'Base de Grupos'!$A:$A,'Base de Grupos'!$C:$C)</f>
        <v>PI</v>
      </c>
      <c r="N546" s="3">
        <v>1430</v>
      </c>
      <c r="O546" s="4" t="s">
        <v>254</v>
      </c>
      <c r="P546" s="5" t="s">
        <v>84</v>
      </c>
      <c r="Q546" s="56">
        <v>0</v>
      </c>
      <c r="R546" s="56">
        <v>441.5151111111112</v>
      </c>
      <c r="S546" s="56">
        <v>551.89388888888902</v>
      </c>
      <c r="T546" s="56">
        <f>_xlfn.XLOOKUP($N546,'Calculo Leads'!$A$97:$A$134,'Calculo Leads'!G$97:G$134)*_xlfn.XLOOKUP($P546,'Base Grupo de Produtos'!$E$2:$E$18,'Base Grupo de Produtos'!$F$2:$F$18)</f>
        <v>160</v>
      </c>
      <c r="U546" s="56">
        <f>_xlfn.XLOOKUP($N546,'Calculo Leads'!$A$97:$A$134,'Calculo Leads'!H$97:H$134)*_xlfn.XLOOKUP($P546,'Base Grupo de Produtos'!$E$2:$E$18,'Base Grupo de Produtos'!$F$2:$F$18)</f>
        <v>160</v>
      </c>
      <c r="V546" s="56">
        <f>_xlfn.XLOOKUP($N546,'Calculo Leads'!$A$97:$A$134,'Calculo Leads'!I$97:I$134)*_xlfn.XLOOKUP($P546,'Base Grupo de Produtos'!$E$2:$E$18,'Base Grupo de Produtos'!$F$2:$F$18)</f>
        <v>160</v>
      </c>
      <c r="W546" s="56">
        <f>_xlfn.XLOOKUP($N546,'Calculo Leads'!$A$97:$A$134,'Calculo Leads'!J$97:J$134)*_xlfn.XLOOKUP($P546,'Base Grupo de Produtos'!$E$2:$E$18,'Base Grupo de Produtos'!$F$2:$F$18)</f>
        <v>240</v>
      </c>
      <c r="X546" s="56">
        <f>_xlfn.XLOOKUP($N546,'Calculo Leads'!$A$97:$A$134,'Calculo Leads'!K$97:K$134)*_xlfn.XLOOKUP($P546,'Base Grupo de Produtos'!$E$2:$E$18,'Base Grupo de Produtos'!$F$2:$F$18)</f>
        <v>264</v>
      </c>
      <c r="Y546" s="56">
        <f>_xlfn.XLOOKUP($N546,'Calculo Leads'!$A$97:$A$134,'Calculo Leads'!L$97:L$134)*_xlfn.XLOOKUP($P546,'Base Grupo de Produtos'!$E$2:$E$18,'Base Grupo de Produtos'!$F$2:$F$18)</f>
        <v>352</v>
      </c>
      <c r="Z546" s="56">
        <f>_xlfn.XLOOKUP($N546,'Calculo Leads'!$A$97:$A$134,'Calculo Leads'!M$97:M$134)*_xlfn.XLOOKUP($P546,'Base Grupo de Produtos'!$E$2:$E$18,'Base Grupo de Produtos'!$F$2:$F$18)</f>
        <v>352</v>
      </c>
      <c r="AA546" s="56">
        <f>_xlfn.XLOOKUP($N546,'Calculo Leads'!$A$97:$A$134,'Calculo Leads'!N$97:N$134)*_xlfn.XLOOKUP($P546,'Base Grupo de Produtos'!$E$2:$E$18,'Base Grupo de Produtos'!$F$2:$F$18)</f>
        <v>440</v>
      </c>
      <c r="AB546" s="56">
        <f>_xlfn.XLOOKUP($N546,'Calculo Leads'!$A$97:$A$134,'Calculo Leads'!O$97:O$134)*_xlfn.XLOOKUP($P546,'Base Grupo de Produtos'!$E$2:$E$18,'Base Grupo de Produtos'!$F$2:$F$18)</f>
        <v>264</v>
      </c>
      <c r="AC546" s="61">
        <f t="shared" si="561"/>
        <v>2392</v>
      </c>
      <c r="AD546" s="27">
        <f t="shared" si="595"/>
        <v>2392</v>
      </c>
      <c r="AE546" s="25">
        <f>IFERROR(_xlfn.XLOOKUP(N546&amp;P546,'Historico Vendas'!G:G,'Historico Vendas'!E:E),0)</f>
        <v>0</v>
      </c>
      <c r="AF546" s="29" t="str">
        <f t="shared" si="539"/>
        <v/>
      </c>
      <c r="AG546" s="24">
        <f>IFERROR(_xlfn.XLOOKUP(N546&amp;P546,'Historico Vendas'!G:G,'Historico Vendas'!F:F),0)</f>
        <v>0</v>
      </c>
      <c r="AH546" s="25">
        <f t="shared" si="596"/>
        <v>993.40900000000022</v>
      </c>
      <c r="AI546" s="24">
        <f t="shared" si="597"/>
        <v>993.40900000000022</v>
      </c>
      <c r="AJ546" s="11">
        <f t="shared" si="542"/>
        <v>0</v>
      </c>
      <c r="AK546" s="9" t="s">
        <v>102</v>
      </c>
      <c r="AL546" s="13">
        <f>IFERROR(INDEX('Balizador da Meta'!$D$3:$F$23,MATCH(Faturamento!$P546,'Balizador da Meta'!$C$3:$C$23,0),MATCH(Faturamento!AK546,'Balizador da Meta'!$D$2:$F$2,0)),"")</f>
        <v>0.15</v>
      </c>
      <c r="AM546" s="9"/>
    </row>
    <row r="547" spans="1:39" x14ac:dyDescent="0.3">
      <c r="A547" s="2" t="str">
        <f t="shared" si="540"/>
        <v>NÃO</v>
      </c>
      <c r="B547" s="2" t="str">
        <f>_xlfn.XLOOKUP($N547,'Base de Grupos'!$A:$A,'Base de Grupos'!$D:$D)</f>
        <v>1000065763</v>
      </c>
      <c r="C547" s="5" t="str">
        <f>_xlfn.XLOOKUP($N547,'Base de Grupos'!$A:$A,'Base de Grupos'!$E:$E)</f>
        <v>CANAL VENDA INTERNA</v>
      </c>
      <c r="D547" s="5" t="str">
        <f>_xlfn.XLOOKUP($N547,'Base de Grupos'!$A:$A,'Base de Grupos'!$F:$F)</f>
        <v>1000065763</v>
      </c>
      <c r="E547" s="2" t="str">
        <f>_xlfn.XLOOKUP($N547,'Base de Grupos'!$A:$A,'Base de Grupos'!$G:$G)</f>
        <v>CANAL VENDA INTERNA</v>
      </c>
      <c r="F547" s="2" t="str">
        <f>_xlfn.XLOOKUP($N547,'Base de Grupos'!$A:$A,'Base de Grupos'!$H:$H)</f>
        <v>1000153245</v>
      </c>
      <c r="G547" s="5" t="str">
        <f>_xlfn.XLOOKUP($N547,'Base de Grupos'!$A:$A,'Base de Grupos'!$I:$I)</f>
        <v>REGIONAL VENDA INTERNA - KEY ACCOUNT</v>
      </c>
      <c r="H547" s="5" t="str">
        <f>_xlfn.XLOOKUP($N547,'Base de Grupos'!$A:$A,'Base de Grupos'!$J:$J)</f>
        <v>1000153245</v>
      </c>
      <c r="I547" s="2" t="str">
        <f>_xlfn.XLOOKUP($N547,'Base de Grupos'!$A:$A,'Base de Grupos'!$K:$K)</f>
        <v>REGIONAL VENDA INTERNA - KEY ACCOUNT</v>
      </c>
      <c r="J547" s="2" t="str">
        <f>_xlfn.XLOOKUP($N547,'Base de Grupos'!$A:$A,'Base de Grupos'!$L:$L)</f>
        <v>1000153245</v>
      </c>
      <c r="K547" s="5" t="str">
        <f>_xlfn.XLOOKUP($N547,'Base de Grupos'!$A:$A,'Base de Grupos'!$M:$M)</f>
        <v>REGIONAL VENDA INTERNA - KEY ACCOUNT</v>
      </c>
      <c r="L547" s="5" t="str">
        <f t="shared" si="541"/>
        <v/>
      </c>
      <c r="M547" s="5" t="str">
        <f>_xlfn.XLOOKUP($N547,'Base de Grupos'!$A:$A,'Base de Grupos'!$C:$C)</f>
        <v>PI</v>
      </c>
      <c r="N547" s="3">
        <v>1430</v>
      </c>
      <c r="O547" s="4" t="s">
        <v>254</v>
      </c>
      <c r="P547" s="5" t="s">
        <v>83</v>
      </c>
      <c r="Q547" s="56">
        <v>0</v>
      </c>
      <c r="R547" s="56">
        <v>555.05619047619052</v>
      </c>
      <c r="S547" s="56">
        <v>555.05619047619052</v>
      </c>
      <c r="T547" s="56">
        <f>_xlfn.XLOOKUP($N547,'Calculo Leads'!$A$97:$A$134,'Calculo Leads'!G$97:G$134)*_xlfn.XLOOKUP($P547,'Base Grupo de Produtos'!$E$2:$E$18,'Base Grupo de Produtos'!$F$2:$F$18)</f>
        <v>200</v>
      </c>
      <c r="U547" s="56">
        <f>_xlfn.XLOOKUP($N547,'Calculo Leads'!$A$97:$A$134,'Calculo Leads'!H$97:H$134)*_xlfn.XLOOKUP($P547,'Base Grupo de Produtos'!$E$2:$E$18,'Base Grupo de Produtos'!$F$2:$F$18)</f>
        <v>200</v>
      </c>
      <c r="V547" s="56">
        <f>_xlfn.XLOOKUP($N547,'Calculo Leads'!$A$97:$A$134,'Calculo Leads'!I$97:I$134)*_xlfn.XLOOKUP($P547,'Base Grupo de Produtos'!$E$2:$E$18,'Base Grupo de Produtos'!$F$2:$F$18)</f>
        <v>200</v>
      </c>
      <c r="W547" s="56">
        <f>_xlfn.XLOOKUP($N547,'Calculo Leads'!$A$97:$A$134,'Calculo Leads'!J$97:J$134)*_xlfn.XLOOKUP($P547,'Base Grupo de Produtos'!$E$2:$E$18,'Base Grupo de Produtos'!$F$2:$F$18)</f>
        <v>300</v>
      </c>
      <c r="X547" s="56">
        <f>_xlfn.XLOOKUP($N547,'Calculo Leads'!$A$97:$A$134,'Calculo Leads'!K$97:K$134)*_xlfn.XLOOKUP($P547,'Base Grupo de Produtos'!$E$2:$E$18,'Base Grupo de Produtos'!$F$2:$F$18)</f>
        <v>330</v>
      </c>
      <c r="Y547" s="56">
        <f>_xlfn.XLOOKUP($N547,'Calculo Leads'!$A$97:$A$134,'Calculo Leads'!L$97:L$134)*_xlfn.XLOOKUP($P547,'Base Grupo de Produtos'!$E$2:$E$18,'Base Grupo de Produtos'!$F$2:$F$18)</f>
        <v>440</v>
      </c>
      <c r="Z547" s="56">
        <f>_xlfn.XLOOKUP($N547,'Calculo Leads'!$A$97:$A$134,'Calculo Leads'!M$97:M$134)*_xlfn.XLOOKUP($P547,'Base Grupo de Produtos'!$E$2:$E$18,'Base Grupo de Produtos'!$F$2:$F$18)</f>
        <v>440</v>
      </c>
      <c r="AA547" s="56">
        <f>_xlfn.XLOOKUP($N547,'Calculo Leads'!$A$97:$A$134,'Calculo Leads'!N$97:N$134)*_xlfn.XLOOKUP($P547,'Base Grupo de Produtos'!$E$2:$E$18,'Base Grupo de Produtos'!$F$2:$F$18)</f>
        <v>550</v>
      </c>
      <c r="AB547" s="56">
        <f>_xlfn.XLOOKUP($N547,'Calculo Leads'!$A$97:$A$134,'Calculo Leads'!O$97:O$134)*_xlfn.XLOOKUP($P547,'Base Grupo de Produtos'!$E$2:$E$18,'Base Grupo de Produtos'!$F$2:$F$18)</f>
        <v>330</v>
      </c>
      <c r="AC547" s="61">
        <f t="shared" si="561"/>
        <v>2990</v>
      </c>
      <c r="AD547" s="27">
        <f t="shared" si="595"/>
        <v>2990</v>
      </c>
      <c r="AE547" s="25">
        <f>IFERROR(_xlfn.XLOOKUP(N547&amp;P547,'Historico Vendas'!G:G,'Historico Vendas'!E:E),0)</f>
        <v>0</v>
      </c>
      <c r="AF547" s="29" t="str">
        <f t="shared" si="539"/>
        <v/>
      </c>
      <c r="AG547" s="24">
        <f>IFERROR(_xlfn.XLOOKUP(N547&amp;P547,'Historico Vendas'!G:G,'Historico Vendas'!F:F),0)</f>
        <v>0</v>
      </c>
      <c r="AH547" s="25">
        <f t="shared" si="596"/>
        <v>1110.112380952381</v>
      </c>
      <c r="AI547" s="24">
        <f t="shared" si="597"/>
        <v>1110.112380952381</v>
      </c>
      <c r="AJ547" s="11">
        <f t="shared" si="542"/>
        <v>0</v>
      </c>
      <c r="AK547" s="9" t="s">
        <v>102</v>
      </c>
      <c r="AL547" s="13">
        <f>IFERROR(INDEX('Balizador da Meta'!$D$3:$F$23,MATCH(Faturamento!$P547,'Balizador da Meta'!$C$3:$C$23,0),MATCH(Faturamento!AK547,'Balizador da Meta'!$D$2:$F$2,0)),"")</f>
        <v>0</v>
      </c>
      <c r="AM547" s="9"/>
    </row>
    <row r="548" spans="1:39" x14ac:dyDescent="0.3">
      <c r="A548" s="2" t="str">
        <f t="shared" si="540"/>
        <v>NÃO</v>
      </c>
      <c r="B548" s="2" t="str">
        <f>_xlfn.XLOOKUP($N548,'Base de Grupos'!$A:$A,'Base de Grupos'!$D:$D)</f>
        <v>1000065763</v>
      </c>
      <c r="C548" s="5" t="str">
        <f>_xlfn.XLOOKUP($N548,'Base de Grupos'!$A:$A,'Base de Grupos'!$E:$E)</f>
        <v>CANAL VENDA INTERNA</v>
      </c>
      <c r="D548" s="5" t="str">
        <f>_xlfn.XLOOKUP($N548,'Base de Grupos'!$A:$A,'Base de Grupos'!$F:$F)</f>
        <v>1000065763</v>
      </c>
      <c r="E548" s="2" t="str">
        <f>_xlfn.XLOOKUP($N548,'Base de Grupos'!$A:$A,'Base de Grupos'!$G:$G)</f>
        <v>CANAL VENDA INTERNA</v>
      </c>
      <c r="F548" s="2" t="str">
        <f>_xlfn.XLOOKUP($N548,'Base de Grupos'!$A:$A,'Base de Grupos'!$H:$H)</f>
        <v>1000153245</v>
      </c>
      <c r="G548" s="5" t="str">
        <f>_xlfn.XLOOKUP($N548,'Base de Grupos'!$A:$A,'Base de Grupos'!$I:$I)</f>
        <v>REGIONAL VENDA INTERNA - KEY ACCOUNT</v>
      </c>
      <c r="H548" s="5" t="str">
        <f>_xlfn.XLOOKUP($N548,'Base de Grupos'!$A:$A,'Base de Grupos'!$J:$J)</f>
        <v>1000153245</v>
      </c>
      <c r="I548" s="2" t="str">
        <f>_xlfn.XLOOKUP($N548,'Base de Grupos'!$A:$A,'Base de Grupos'!$K:$K)</f>
        <v>REGIONAL VENDA INTERNA - KEY ACCOUNT</v>
      </c>
      <c r="J548" s="2" t="str">
        <f>_xlfn.XLOOKUP($N548,'Base de Grupos'!$A:$A,'Base de Grupos'!$L:$L)</f>
        <v>1000153245</v>
      </c>
      <c r="K548" s="5" t="str">
        <f>_xlfn.XLOOKUP($N548,'Base de Grupos'!$A:$A,'Base de Grupos'!$M:$M)</f>
        <v>REGIONAL VENDA INTERNA - KEY ACCOUNT</v>
      </c>
      <c r="L548" s="5" t="str">
        <f t="shared" si="541"/>
        <v/>
      </c>
      <c r="M548" s="5" t="str">
        <f>_xlfn.XLOOKUP($N548,'Base de Grupos'!$A:$A,'Base de Grupos'!$C:$C)</f>
        <v>PI</v>
      </c>
      <c r="N548" s="3">
        <v>1430</v>
      </c>
      <c r="O548" s="4" t="s">
        <v>254</v>
      </c>
      <c r="P548" s="5" t="s">
        <v>87</v>
      </c>
      <c r="Q548" s="56">
        <v>0</v>
      </c>
      <c r="R548" s="56">
        <v>124.75666666666666</v>
      </c>
      <c r="S548" s="56">
        <v>249.51333333333332</v>
      </c>
      <c r="T548" s="56">
        <f>_xlfn.XLOOKUP($N548,'Calculo Leads'!$A$97:$A$134,'Calculo Leads'!G$97:G$134)*_xlfn.XLOOKUP($P548,'Base Grupo de Produtos'!$E$2:$E$18,'Base Grupo de Produtos'!$F$2:$F$18)</f>
        <v>39.999999999999993</v>
      </c>
      <c r="U548" s="56">
        <f>_xlfn.XLOOKUP($N548,'Calculo Leads'!$A$97:$A$134,'Calculo Leads'!H$97:H$134)*_xlfn.XLOOKUP($P548,'Base Grupo de Produtos'!$E$2:$E$18,'Base Grupo de Produtos'!$F$2:$F$18)</f>
        <v>39.999999999999993</v>
      </c>
      <c r="V548" s="56">
        <f>_xlfn.XLOOKUP($N548,'Calculo Leads'!$A$97:$A$134,'Calculo Leads'!I$97:I$134)*_xlfn.XLOOKUP($P548,'Base Grupo de Produtos'!$E$2:$E$18,'Base Grupo de Produtos'!$F$2:$F$18)</f>
        <v>39.999999999999993</v>
      </c>
      <c r="W548" s="56">
        <f>_xlfn.XLOOKUP($N548,'Calculo Leads'!$A$97:$A$134,'Calculo Leads'!J$97:J$134)*_xlfn.XLOOKUP($P548,'Base Grupo de Produtos'!$E$2:$E$18,'Base Grupo de Produtos'!$F$2:$F$18)</f>
        <v>59.999999999999993</v>
      </c>
      <c r="X548" s="56">
        <f>_xlfn.XLOOKUP($N548,'Calculo Leads'!$A$97:$A$134,'Calculo Leads'!K$97:K$134)*_xlfn.XLOOKUP($P548,'Base Grupo de Produtos'!$E$2:$E$18,'Base Grupo de Produtos'!$F$2:$F$18)</f>
        <v>65.999999999999986</v>
      </c>
      <c r="Y548" s="56">
        <f>_xlfn.XLOOKUP($N548,'Calculo Leads'!$A$97:$A$134,'Calculo Leads'!L$97:L$134)*_xlfn.XLOOKUP($P548,'Base Grupo de Produtos'!$E$2:$E$18,'Base Grupo de Produtos'!$F$2:$F$18)</f>
        <v>87.999999999999986</v>
      </c>
      <c r="Z548" s="56">
        <f>_xlfn.XLOOKUP($N548,'Calculo Leads'!$A$97:$A$134,'Calculo Leads'!M$97:M$134)*_xlfn.XLOOKUP($P548,'Base Grupo de Produtos'!$E$2:$E$18,'Base Grupo de Produtos'!$F$2:$F$18)</f>
        <v>87.999999999999986</v>
      </c>
      <c r="AA548" s="56">
        <f>_xlfn.XLOOKUP($N548,'Calculo Leads'!$A$97:$A$134,'Calculo Leads'!N$97:N$134)*_xlfn.XLOOKUP($P548,'Base Grupo de Produtos'!$E$2:$E$18,'Base Grupo de Produtos'!$F$2:$F$18)</f>
        <v>109.99999999999999</v>
      </c>
      <c r="AB548" s="56">
        <f>_xlfn.XLOOKUP($N548,'Calculo Leads'!$A$97:$A$134,'Calculo Leads'!O$97:O$134)*_xlfn.XLOOKUP($P548,'Base Grupo de Produtos'!$E$2:$E$18,'Base Grupo de Produtos'!$F$2:$F$18)</f>
        <v>65.999999999999986</v>
      </c>
      <c r="AC548" s="61">
        <f t="shared" si="561"/>
        <v>597.99999999999989</v>
      </c>
      <c r="AD548" s="27">
        <f t="shared" si="595"/>
        <v>597.99999999999989</v>
      </c>
      <c r="AE548" s="25">
        <f>IFERROR(_xlfn.XLOOKUP(N548&amp;P548,'Historico Vendas'!G:G,'Historico Vendas'!E:E),0)</f>
        <v>0</v>
      </c>
      <c r="AF548" s="29" t="str">
        <f t="shared" si="539"/>
        <v/>
      </c>
      <c r="AG548" s="24">
        <f>IFERROR(_xlfn.XLOOKUP(N548&amp;P548,'Historico Vendas'!G:G,'Historico Vendas'!F:F),0)</f>
        <v>0</v>
      </c>
      <c r="AH548" s="25">
        <f t="shared" si="596"/>
        <v>374.27</v>
      </c>
      <c r="AI548" s="24">
        <f t="shared" si="597"/>
        <v>374.27</v>
      </c>
      <c r="AJ548" s="11">
        <f t="shared" si="542"/>
        <v>0</v>
      </c>
      <c r="AK548" s="9" t="s">
        <v>102</v>
      </c>
      <c r="AL548" s="13">
        <f>IFERROR(INDEX('Balizador da Meta'!$D$3:$F$23,MATCH(Faturamento!$P548,'Balizador da Meta'!$C$3:$C$23,0),MATCH(Faturamento!AK548,'Balizador da Meta'!$D$2:$F$2,0)),"")</f>
        <v>0</v>
      </c>
      <c r="AM548" s="9"/>
    </row>
    <row r="549" spans="1:39" x14ac:dyDescent="0.3">
      <c r="A549" s="2" t="str">
        <f t="shared" si="540"/>
        <v>NÃO</v>
      </c>
      <c r="B549" s="2" t="str">
        <f>_xlfn.XLOOKUP($N549,'Base de Grupos'!$A:$A,'Base de Grupos'!$D:$D)</f>
        <v>1000065763</v>
      </c>
      <c r="C549" s="5" t="str">
        <f>_xlfn.XLOOKUP($N549,'Base de Grupos'!$A:$A,'Base de Grupos'!$E:$E)</f>
        <v>CANAL VENDA INTERNA</v>
      </c>
      <c r="D549" s="5" t="str">
        <f>_xlfn.XLOOKUP($N549,'Base de Grupos'!$A:$A,'Base de Grupos'!$F:$F)</f>
        <v>1000065763</v>
      </c>
      <c r="E549" s="2" t="str">
        <f>_xlfn.XLOOKUP($N549,'Base de Grupos'!$A:$A,'Base de Grupos'!$G:$G)</f>
        <v>CANAL VENDA INTERNA</v>
      </c>
      <c r="F549" s="2" t="str">
        <f>_xlfn.XLOOKUP($N549,'Base de Grupos'!$A:$A,'Base de Grupos'!$H:$H)</f>
        <v>1000153245</v>
      </c>
      <c r="G549" s="5" t="str">
        <f>_xlfn.XLOOKUP($N549,'Base de Grupos'!$A:$A,'Base de Grupos'!$I:$I)</f>
        <v>REGIONAL VENDA INTERNA - KEY ACCOUNT</v>
      </c>
      <c r="H549" s="5" t="str">
        <f>_xlfn.XLOOKUP($N549,'Base de Grupos'!$A:$A,'Base de Grupos'!$J:$J)</f>
        <v>1000153245</v>
      </c>
      <c r="I549" s="2" t="str">
        <f>_xlfn.XLOOKUP($N549,'Base de Grupos'!$A:$A,'Base de Grupos'!$K:$K)</f>
        <v>REGIONAL VENDA INTERNA - KEY ACCOUNT</v>
      </c>
      <c r="J549" s="2" t="str">
        <f>_xlfn.XLOOKUP($N549,'Base de Grupos'!$A:$A,'Base de Grupos'!$L:$L)</f>
        <v>1000153245</v>
      </c>
      <c r="K549" s="5" t="str">
        <f>_xlfn.XLOOKUP($N549,'Base de Grupos'!$A:$A,'Base de Grupos'!$M:$M)</f>
        <v>REGIONAL VENDA INTERNA - KEY ACCOUNT</v>
      </c>
      <c r="L549" s="5" t="str">
        <f t="shared" si="541"/>
        <v/>
      </c>
      <c r="M549" s="5" t="str">
        <f>_xlfn.XLOOKUP($N549,'Base de Grupos'!$A:$A,'Base de Grupos'!$C:$C)</f>
        <v>PI</v>
      </c>
      <c r="N549" s="3">
        <v>1430</v>
      </c>
      <c r="O549" s="4" t="s">
        <v>254</v>
      </c>
      <c r="P549" s="5" t="s">
        <v>85</v>
      </c>
      <c r="Q549" s="56">
        <v>0</v>
      </c>
      <c r="R549" s="56">
        <v>315.14999999999998</v>
      </c>
      <c r="S549" s="56">
        <v>420.2</v>
      </c>
      <c r="T549" s="56">
        <f>_xlfn.XLOOKUP($N549,'Calculo Leads'!$A$97:$A$134,'Calculo Leads'!G$97:G$134)*_xlfn.XLOOKUP($P549,'Base Grupo de Produtos'!$E$2:$E$18,'Base Grupo de Produtos'!$F$2:$F$18)</f>
        <v>40</v>
      </c>
      <c r="U549" s="56">
        <f>_xlfn.XLOOKUP($N549,'Calculo Leads'!$A$97:$A$134,'Calculo Leads'!H$97:H$134)*_xlfn.XLOOKUP($P549,'Base Grupo de Produtos'!$E$2:$E$18,'Base Grupo de Produtos'!$F$2:$F$18)</f>
        <v>40</v>
      </c>
      <c r="V549" s="56">
        <f>_xlfn.XLOOKUP($N549,'Calculo Leads'!$A$97:$A$134,'Calculo Leads'!I$97:I$134)*_xlfn.XLOOKUP($P549,'Base Grupo de Produtos'!$E$2:$E$18,'Base Grupo de Produtos'!$F$2:$F$18)</f>
        <v>40</v>
      </c>
      <c r="W549" s="56">
        <f>_xlfn.XLOOKUP($N549,'Calculo Leads'!$A$97:$A$134,'Calculo Leads'!J$97:J$134)*_xlfn.XLOOKUP($P549,'Base Grupo de Produtos'!$E$2:$E$18,'Base Grupo de Produtos'!$F$2:$F$18)</f>
        <v>60</v>
      </c>
      <c r="X549" s="56">
        <f>_xlfn.XLOOKUP($N549,'Calculo Leads'!$A$97:$A$134,'Calculo Leads'!K$97:K$134)*_xlfn.XLOOKUP($P549,'Base Grupo de Produtos'!$E$2:$E$18,'Base Grupo de Produtos'!$F$2:$F$18)</f>
        <v>66</v>
      </c>
      <c r="Y549" s="56">
        <f>_xlfn.XLOOKUP($N549,'Calculo Leads'!$A$97:$A$134,'Calculo Leads'!L$97:L$134)*_xlfn.XLOOKUP($P549,'Base Grupo de Produtos'!$E$2:$E$18,'Base Grupo de Produtos'!$F$2:$F$18)</f>
        <v>88</v>
      </c>
      <c r="Z549" s="56">
        <f>_xlfn.XLOOKUP($N549,'Calculo Leads'!$A$97:$A$134,'Calculo Leads'!M$97:M$134)*_xlfn.XLOOKUP($P549,'Base Grupo de Produtos'!$E$2:$E$18,'Base Grupo de Produtos'!$F$2:$F$18)</f>
        <v>88</v>
      </c>
      <c r="AA549" s="56">
        <f>_xlfn.XLOOKUP($N549,'Calculo Leads'!$A$97:$A$134,'Calculo Leads'!N$97:N$134)*_xlfn.XLOOKUP($P549,'Base Grupo de Produtos'!$E$2:$E$18,'Base Grupo de Produtos'!$F$2:$F$18)</f>
        <v>110</v>
      </c>
      <c r="AB549" s="56">
        <f>_xlfn.XLOOKUP($N549,'Calculo Leads'!$A$97:$A$134,'Calculo Leads'!O$97:O$134)*_xlfn.XLOOKUP($P549,'Base Grupo de Produtos'!$E$2:$E$18,'Base Grupo de Produtos'!$F$2:$F$18)</f>
        <v>66</v>
      </c>
      <c r="AC549" s="61">
        <f t="shared" si="561"/>
        <v>598</v>
      </c>
      <c r="AD549" s="27">
        <f t="shared" si="595"/>
        <v>598</v>
      </c>
      <c r="AE549" s="25">
        <f>IFERROR(_xlfn.XLOOKUP(N549&amp;P549,'Historico Vendas'!G:G,'Historico Vendas'!E:E),0)</f>
        <v>0</v>
      </c>
      <c r="AF549" s="29" t="str">
        <f t="shared" si="539"/>
        <v/>
      </c>
      <c r="AG549" s="24">
        <f>IFERROR(_xlfn.XLOOKUP(N549&amp;P549,'Historico Vendas'!G:G,'Historico Vendas'!F:F),0)</f>
        <v>0</v>
      </c>
      <c r="AH549" s="25">
        <f t="shared" si="596"/>
        <v>735.34999999999991</v>
      </c>
      <c r="AI549" s="24">
        <f t="shared" si="597"/>
        <v>735.34999999999991</v>
      </c>
      <c r="AJ549" s="11">
        <f t="shared" si="542"/>
        <v>0</v>
      </c>
      <c r="AK549" s="9" t="s">
        <v>102</v>
      </c>
      <c r="AL549" s="13">
        <f>IFERROR(INDEX('Balizador da Meta'!$D$3:$F$23,MATCH(Faturamento!$P549,'Balizador da Meta'!$C$3:$C$23,0),MATCH(Faturamento!AK549,'Balizador da Meta'!$D$2:$F$2,0)),"")</f>
        <v>0</v>
      </c>
      <c r="AM549" s="9"/>
    </row>
    <row r="550" spans="1:39" x14ac:dyDescent="0.3">
      <c r="A550" s="2" t="str">
        <f t="shared" si="540"/>
        <v>NÃO</v>
      </c>
      <c r="B550" s="2" t="str">
        <f>_xlfn.XLOOKUP($N550,'Base de Grupos'!$A:$A,'Base de Grupos'!$D:$D)</f>
        <v>1000065763</v>
      </c>
      <c r="C550" s="5" t="str">
        <f>_xlfn.XLOOKUP($N550,'Base de Grupos'!$A:$A,'Base de Grupos'!$E:$E)</f>
        <v>CANAL VENDA INTERNA</v>
      </c>
      <c r="D550" s="5" t="str">
        <f>_xlfn.XLOOKUP($N550,'Base de Grupos'!$A:$A,'Base de Grupos'!$F:$F)</f>
        <v>1000065763</v>
      </c>
      <c r="E550" s="2" t="str">
        <f>_xlfn.XLOOKUP($N550,'Base de Grupos'!$A:$A,'Base de Grupos'!$G:$G)</f>
        <v>CANAL VENDA INTERNA</v>
      </c>
      <c r="F550" s="2" t="str">
        <f>_xlfn.XLOOKUP($N550,'Base de Grupos'!$A:$A,'Base de Grupos'!$H:$H)</f>
        <v>1000153245</v>
      </c>
      <c r="G550" s="5" t="str">
        <f>_xlfn.XLOOKUP($N550,'Base de Grupos'!$A:$A,'Base de Grupos'!$I:$I)</f>
        <v>REGIONAL VENDA INTERNA - KEY ACCOUNT</v>
      </c>
      <c r="H550" s="5" t="str">
        <f>_xlfn.XLOOKUP($N550,'Base de Grupos'!$A:$A,'Base de Grupos'!$J:$J)</f>
        <v>1000153245</v>
      </c>
      <c r="I550" s="2" t="str">
        <f>_xlfn.XLOOKUP($N550,'Base de Grupos'!$A:$A,'Base de Grupos'!$K:$K)</f>
        <v>REGIONAL VENDA INTERNA - KEY ACCOUNT</v>
      </c>
      <c r="J550" s="2" t="str">
        <f>_xlfn.XLOOKUP($N550,'Base de Grupos'!$A:$A,'Base de Grupos'!$L:$L)</f>
        <v>1000153245</v>
      </c>
      <c r="K550" s="5" t="str">
        <f>_xlfn.XLOOKUP($N550,'Base de Grupos'!$A:$A,'Base de Grupos'!$M:$M)</f>
        <v>REGIONAL VENDA INTERNA - KEY ACCOUNT</v>
      </c>
      <c r="L550" s="5" t="str">
        <f t="shared" si="541"/>
        <v/>
      </c>
      <c r="M550" s="5" t="str">
        <f>_xlfn.XLOOKUP($N550,'Base de Grupos'!$A:$A,'Base de Grupos'!$C:$C)</f>
        <v>PI</v>
      </c>
      <c r="N550" s="3">
        <v>1430</v>
      </c>
      <c r="O550" s="4" t="s">
        <v>254</v>
      </c>
      <c r="P550" s="5" t="s">
        <v>92</v>
      </c>
      <c r="Q550" s="56">
        <v>0</v>
      </c>
      <c r="R550" s="56">
        <v>165.49714285714285</v>
      </c>
      <c r="S550" s="56">
        <v>165.49714285714285</v>
      </c>
      <c r="T550" s="56">
        <f>_xlfn.XLOOKUP($N550,'Calculo Leads'!$A$97:$A$134,'Calculo Leads'!G$97:G$134)*_xlfn.XLOOKUP($P550,'Base Grupo de Produtos'!$E$2:$E$18,'Base Grupo de Produtos'!$F$2:$F$18)</f>
        <v>40</v>
      </c>
      <c r="U550" s="56">
        <f>_xlfn.XLOOKUP($N550,'Calculo Leads'!$A$97:$A$134,'Calculo Leads'!H$97:H$134)*_xlfn.XLOOKUP($P550,'Base Grupo de Produtos'!$E$2:$E$18,'Base Grupo de Produtos'!$F$2:$F$18)</f>
        <v>40</v>
      </c>
      <c r="V550" s="56">
        <f>_xlfn.XLOOKUP($N550,'Calculo Leads'!$A$97:$A$134,'Calculo Leads'!I$97:I$134)*_xlfn.XLOOKUP($P550,'Base Grupo de Produtos'!$E$2:$E$18,'Base Grupo de Produtos'!$F$2:$F$18)</f>
        <v>40</v>
      </c>
      <c r="W550" s="56">
        <f>_xlfn.XLOOKUP($N550,'Calculo Leads'!$A$97:$A$134,'Calculo Leads'!J$97:J$134)*_xlfn.XLOOKUP($P550,'Base Grupo de Produtos'!$E$2:$E$18,'Base Grupo de Produtos'!$F$2:$F$18)</f>
        <v>60</v>
      </c>
      <c r="X550" s="56">
        <f>_xlfn.XLOOKUP($N550,'Calculo Leads'!$A$97:$A$134,'Calculo Leads'!K$97:K$134)*_xlfn.XLOOKUP($P550,'Base Grupo de Produtos'!$E$2:$E$18,'Base Grupo de Produtos'!$F$2:$F$18)</f>
        <v>66</v>
      </c>
      <c r="Y550" s="56">
        <f>_xlfn.XLOOKUP($N550,'Calculo Leads'!$A$97:$A$134,'Calculo Leads'!L$97:L$134)*_xlfn.XLOOKUP($P550,'Base Grupo de Produtos'!$E$2:$E$18,'Base Grupo de Produtos'!$F$2:$F$18)</f>
        <v>88</v>
      </c>
      <c r="Z550" s="56">
        <f>_xlfn.XLOOKUP($N550,'Calculo Leads'!$A$97:$A$134,'Calculo Leads'!M$97:M$134)*_xlfn.XLOOKUP($P550,'Base Grupo de Produtos'!$E$2:$E$18,'Base Grupo de Produtos'!$F$2:$F$18)</f>
        <v>88</v>
      </c>
      <c r="AA550" s="56">
        <f>_xlfn.XLOOKUP($N550,'Calculo Leads'!$A$97:$A$134,'Calculo Leads'!N$97:N$134)*_xlfn.XLOOKUP($P550,'Base Grupo de Produtos'!$E$2:$E$18,'Base Grupo de Produtos'!$F$2:$F$18)</f>
        <v>110</v>
      </c>
      <c r="AB550" s="56">
        <f>_xlfn.XLOOKUP($N550,'Calculo Leads'!$A$97:$A$134,'Calculo Leads'!O$97:O$134)*_xlfn.XLOOKUP($P550,'Base Grupo de Produtos'!$E$2:$E$18,'Base Grupo de Produtos'!$F$2:$F$18)</f>
        <v>66</v>
      </c>
      <c r="AC550" s="61">
        <f t="shared" si="561"/>
        <v>598</v>
      </c>
      <c r="AD550" s="27">
        <f t="shared" si="595"/>
        <v>598</v>
      </c>
      <c r="AE550" s="25">
        <f>IFERROR(_xlfn.XLOOKUP(N550&amp;P550,'Historico Vendas'!G:G,'Historico Vendas'!E:E),0)</f>
        <v>0</v>
      </c>
      <c r="AF550" s="29" t="str">
        <f t="shared" si="539"/>
        <v/>
      </c>
      <c r="AG550" s="24">
        <f>IFERROR(_xlfn.XLOOKUP(N550&amp;P550,'Historico Vendas'!G:G,'Historico Vendas'!F:F),0)</f>
        <v>0</v>
      </c>
      <c r="AH550" s="25">
        <f t="shared" si="596"/>
        <v>330.9942857142857</v>
      </c>
      <c r="AI550" s="24">
        <f t="shared" si="597"/>
        <v>330.9942857142857</v>
      </c>
      <c r="AJ550" s="11">
        <f t="shared" si="542"/>
        <v>0</v>
      </c>
      <c r="AK550" s="9" t="s">
        <v>102</v>
      </c>
      <c r="AL550" s="13">
        <f>IFERROR(INDEX('Balizador da Meta'!$D$3:$F$23,MATCH(Faturamento!$P550,'Balizador da Meta'!$C$3:$C$23,0),MATCH(Faturamento!AK550,'Balizador da Meta'!$D$2:$F$2,0)),"")</f>
        <v>0</v>
      </c>
      <c r="AM550" s="9"/>
    </row>
    <row r="551" spans="1:39" x14ac:dyDescent="0.3">
      <c r="A551" s="2" t="str">
        <f t="shared" si="540"/>
        <v>NÃO</v>
      </c>
      <c r="B551" s="2" t="str">
        <f>_xlfn.XLOOKUP($N551,'Base de Grupos'!$A:$A,'Base de Grupos'!$D:$D)</f>
        <v>1000065763</v>
      </c>
      <c r="C551" s="5" t="str">
        <f>_xlfn.XLOOKUP($N551,'Base de Grupos'!$A:$A,'Base de Grupos'!$E:$E)</f>
        <v>CANAL VENDA INTERNA</v>
      </c>
      <c r="D551" s="5" t="str">
        <f>_xlfn.XLOOKUP($N551,'Base de Grupos'!$A:$A,'Base de Grupos'!$F:$F)</f>
        <v>1000065763</v>
      </c>
      <c r="E551" s="2" t="str">
        <f>_xlfn.XLOOKUP($N551,'Base de Grupos'!$A:$A,'Base de Grupos'!$G:$G)</f>
        <v>CANAL VENDA INTERNA</v>
      </c>
      <c r="F551" s="2" t="str">
        <f>_xlfn.XLOOKUP($N551,'Base de Grupos'!$A:$A,'Base de Grupos'!$H:$H)</f>
        <v>1000153245</v>
      </c>
      <c r="G551" s="5" t="str">
        <f>_xlfn.XLOOKUP($N551,'Base de Grupos'!$A:$A,'Base de Grupos'!$I:$I)</f>
        <v>REGIONAL VENDA INTERNA - KEY ACCOUNT</v>
      </c>
      <c r="H551" s="5" t="str">
        <f>_xlfn.XLOOKUP($N551,'Base de Grupos'!$A:$A,'Base de Grupos'!$J:$J)</f>
        <v>1000153245</v>
      </c>
      <c r="I551" s="2" t="str">
        <f>_xlfn.XLOOKUP($N551,'Base de Grupos'!$A:$A,'Base de Grupos'!$K:$K)</f>
        <v>REGIONAL VENDA INTERNA - KEY ACCOUNT</v>
      </c>
      <c r="J551" s="2" t="str">
        <f>_xlfn.XLOOKUP($N551,'Base de Grupos'!$A:$A,'Base de Grupos'!$L:$L)</f>
        <v>1000153245</v>
      </c>
      <c r="K551" s="5" t="str">
        <f>_xlfn.XLOOKUP($N551,'Base de Grupos'!$A:$A,'Base de Grupos'!$M:$M)</f>
        <v>REGIONAL VENDA INTERNA - KEY ACCOUNT</v>
      </c>
      <c r="L551" s="5" t="str">
        <f t="shared" si="541"/>
        <v/>
      </c>
      <c r="M551" s="5" t="str">
        <f>_xlfn.XLOOKUP($N551,'Base de Grupos'!$A:$A,'Base de Grupos'!$C:$C)</f>
        <v>PI</v>
      </c>
      <c r="N551" s="3">
        <v>1430</v>
      </c>
      <c r="O551" s="4" t="s">
        <v>254</v>
      </c>
      <c r="P551" s="5" t="s">
        <v>86</v>
      </c>
      <c r="Q551" s="56">
        <v>0</v>
      </c>
      <c r="R551" s="56">
        <v>89.608571428571423</v>
      </c>
      <c r="S551" s="56">
        <v>179.21714285714285</v>
      </c>
      <c r="T551" s="56">
        <f>_xlfn.XLOOKUP($N551,'Calculo Leads'!$A$97:$A$134,'Calculo Leads'!G$97:G$134)*_xlfn.XLOOKUP($P551,'Base Grupo de Produtos'!$E$2:$E$18,'Base Grupo de Produtos'!$F$2:$F$18)</f>
        <v>60</v>
      </c>
      <c r="U551" s="56">
        <f>_xlfn.XLOOKUP($N551,'Calculo Leads'!$A$97:$A$134,'Calculo Leads'!H$97:H$134)*_xlfn.XLOOKUP($P551,'Base Grupo de Produtos'!$E$2:$E$18,'Base Grupo de Produtos'!$F$2:$F$18)</f>
        <v>60</v>
      </c>
      <c r="V551" s="56">
        <f>_xlfn.XLOOKUP($N551,'Calculo Leads'!$A$97:$A$134,'Calculo Leads'!I$97:I$134)*_xlfn.XLOOKUP($P551,'Base Grupo de Produtos'!$E$2:$E$18,'Base Grupo de Produtos'!$F$2:$F$18)</f>
        <v>60</v>
      </c>
      <c r="W551" s="56">
        <f>_xlfn.XLOOKUP($N551,'Calculo Leads'!$A$97:$A$134,'Calculo Leads'!J$97:J$134)*_xlfn.XLOOKUP($P551,'Base Grupo de Produtos'!$E$2:$E$18,'Base Grupo de Produtos'!$F$2:$F$18)</f>
        <v>90</v>
      </c>
      <c r="X551" s="56">
        <f>_xlfn.XLOOKUP($N551,'Calculo Leads'!$A$97:$A$134,'Calculo Leads'!K$97:K$134)*_xlfn.XLOOKUP($P551,'Base Grupo de Produtos'!$E$2:$E$18,'Base Grupo de Produtos'!$F$2:$F$18)</f>
        <v>99</v>
      </c>
      <c r="Y551" s="56">
        <f>_xlfn.XLOOKUP($N551,'Calculo Leads'!$A$97:$A$134,'Calculo Leads'!L$97:L$134)*_xlfn.XLOOKUP($P551,'Base Grupo de Produtos'!$E$2:$E$18,'Base Grupo de Produtos'!$F$2:$F$18)</f>
        <v>132</v>
      </c>
      <c r="Z551" s="56">
        <f>_xlfn.XLOOKUP($N551,'Calculo Leads'!$A$97:$A$134,'Calculo Leads'!M$97:M$134)*_xlfn.XLOOKUP($P551,'Base Grupo de Produtos'!$E$2:$E$18,'Base Grupo de Produtos'!$F$2:$F$18)</f>
        <v>132</v>
      </c>
      <c r="AA551" s="56">
        <f>_xlfn.XLOOKUP($N551,'Calculo Leads'!$A$97:$A$134,'Calculo Leads'!N$97:N$134)*_xlfn.XLOOKUP($P551,'Base Grupo de Produtos'!$E$2:$E$18,'Base Grupo de Produtos'!$F$2:$F$18)</f>
        <v>165</v>
      </c>
      <c r="AB551" s="56">
        <f>_xlfn.XLOOKUP($N551,'Calculo Leads'!$A$97:$A$134,'Calculo Leads'!O$97:O$134)*_xlfn.XLOOKUP($P551,'Base Grupo de Produtos'!$E$2:$E$18,'Base Grupo de Produtos'!$F$2:$F$18)</f>
        <v>99</v>
      </c>
      <c r="AC551" s="61">
        <f t="shared" si="561"/>
        <v>897</v>
      </c>
      <c r="AD551" s="27">
        <f t="shared" si="595"/>
        <v>897</v>
      </c>
      <c r="AE551" s="25">
        <f>IFERROR(_xlfn.XLOOKUP(N551&amp;P551,'Historico Vendas'!G:G,'Historico Vendas'!E:E),0)</f>
        <v>0</v>
      </c>
      <c r="AF551" s="29" t="str">
        <f t="shared" si="539"/>
        <v/>
      </c>
      <c r="AG551" s="24">
        <f>IFERROR(_xlfn.XLOOKUP(N551&amp;P551,'Historico Vendas'!G:G,'Historico Vendas'!F:F),0)</f>
        <v>0</v>
      </c>
      <c r="AH551" s="25">
        <f t="shared" si="596"/>
        <v>268.8257142857143</v>
      </c>
      <c r="AI551" s="24">
        <f t="shared" si="597"/>
        <v>268.8257142857143</v>
      </c>
      <c r="AJ551" s="11">
        <f t="shared" si="542"/>
        <v>0</v>
      </c>
      <c r="AK551" s="9" t="s">
        <v>102</v>
      </c>
      <c r="AL551" s="13">
        <f>IFERROR(INDEX('Balizador da Meta'!$D$3:$F$23,MATCH(Faturamento!$P551,'Balizador da Meta'!$C$3:$C$23,0),MATCH(Faturamento!AK551,'Balizador da Meta'!$D$2:$F$2,0)),"")</f>
        <v>0.15</v>
      </c>
      <c r="AM551" s="9"/>
    </row>
    <row r="552" spans="1:39" x14ac:dyDescent="0.3">
      <c r="A552" s="2" t="str">
        <f t="shared" si="540"/>
        <v>NÃO</v>
      </c>
      <c r="B552" s="2" t="str">
        <f>_xlfn.XLOOKUP($N552,'Base de Grupos'!$A:$A,'Base de Grupos'!$D:$D)</f>
        <v>1000065763</v>
      </c>
      <c r="C552" s="5" t="str">
        <f>_xlfn.XLOOKUP($N552,'Base de Grupos'!$A:$A,'Base de Grupos'!$E:$E)</f>
        <v>CANAL VENDA INTERNA</v>
      </c>
      <c r="D552" s="5" t="str">
        <f>_xlfn.XLOOKUP($N552,'Base de Grupos'!$A:$A,'Base de Grupos'!$F:$F)</f>
        <v>1000065763</v>
      </c>
      <c r="E552" s="2" t="str">
        <f>_xlfn.XLOOKUP($N552,'Base de Grupos'!$A:$A,'Base de Grupos'!$G:$G)</f>
        <v>CANAL VENDA INTERNA</v>
      </c>
      <c r="F552" s="2" t="str">
        <f>_xlfn.XLOOKUP($N552,'Base de Grupos'!$A:$A,'Base de Grupos'!$H:$H)</f>
        <v>1000153245</v>
      </c>
      <c r="G552" s="5" t="str">
        <f>_xlfn.XLOOKUP($N552,'Base de Grupos'!$A:$A,'Base de Grupos'!$I:$I)</f>
        <v>REGIONAL VENDA INTERNA - KEY ACCOUNT</v>
      </c>
      <c r="H552" s="5" t="str">
        <f>_xlfn.XLOOKUP($N552,'Base de Grupos'!$A:$A,'Base de Grupos'!$J:$J)</f>
        <v>1000153245</v>
      </c>
      <c r="I552" s="2" t="str">
        <f>_xlfn.XLOOKUP($N552,'Base de Grupos'!$A:$A,'Base de Grupos'!$K:$K)</f>
        <v>REGIONAL VENDA INTERNA - KEY ACCOUNT</v>
      </c>
      <c r="J552" s="2" t="str">
        <f>_xlfn.XLOOKUP($N552,'Base de Grupos'!$A:$A,'Base de Grupos'!$L:$L)</f>
        <v>1000153245</v>
      </c>
      <c r="K552" s="5" t="str">
        <f>_xlfn.XLOOKUP($N552,'Base de Grupos'!$A:$A,'Base de Grupos'!$M:$M)</f>
        <v>REGIONAL VENDA INTERNA - KEY ACCOUNT</v>
      </c>
      <c r="L552" s="5" t="str">
        <f t="shared" si="541"/>
        <v/>
      </c>
      <c r="M552" s="5" t="str">
        <f>_xlfn.XLOOKUP($N552,'Base de Grupos'!$A:$A,'Base de Grupos'!$C:$C)</f>
        <v>PI</v>
      </c>
      <c r="N552" s="3">
        <v>1430</v>
      </c>
      <c r="O552" s="4" t="s">
        <v>254</v>
      </c>
      <c r="P552" s="5" t="s">
        <v>108</v>
      </c>
      <c r="Q552" s="56">
        <v>0</v>
      </c>
      <c r="R552" s="56">
        <v>516.1430303030304</v>
      </c>
      <c r="S552" s="56">
        <v>602.16686868686872</v>
      </c>
      <c r="T552" s="56">
        <f>_xlfn.XLOOKUP($N552,'Calculo Leads'!$A$97:$A$134,'Calculo Leads'!G$97:G$134)*_xlfn.XLOOKUP($P552,'Base Grupo de Produtos'!$E$2:$E$18,'Base Grupo de Produtos'!$F$2:$F$18)</f>
        <v>500</v>
      </c>
      <c r="U552" s="56">
        <f>_xlfn.XLOOKUP($N552,'Calculo Leads'!$A$97:$A$134,'Calculo Leads'!H$97:H$134)*_xlfn.XLOOKUP($P552,'Base Grupo de Produtos'!$E$2:$E$18,'Base Grupo de Produtos'!$F$2:$F$18)</f>
        <v>500</v>
      </c>
      <c r="V552" s="56">
        <f>_xlfn.XLOOKUP($N552,'Calculo Leads'!$A$97:$A$134,'Calculo Leads'!I$97:I$134)*_xlfn.XLOOKUP($P552,'Base Grupo de Produtos'!$E$2:$E$18,'Base Grupo de Produtos'!$F$2:$F$18)</f>
        <v>500</v>
      </c>
      <c r="W552" s="56">
        <f>_xlfn.XLOOKUP($N552,'Calculo Leads'!$A$97:$A$134,'Calculo Leads'!J$97:J$134)*_xlfn.XLOOKUP($P552,'Base Grupo de Produtos'!$E$2:$E$18,'Base Grupo de Produtos'!$F$2:$F$18)</f>
        <v>750</v>
      </c>
      <c r="X552" s="56">
        <f>_xlfn.XLOOKUP($N552,'Calculo Leads'!$A$97:$A$134,'Calculo Leads'!K$97:K$134)*_xlfn.XLOOKUP($P552,'Base Grupo de Produtos'!$E$2:$E$18,'Base Grupo de Produtos'!$F$2:$F$18)</f>
        <v>825</v>
      </c>
      <c r="Y552" s="56">
        <f>_xlfn.XLOOKUP($N552,'Calculo Leads'!$A$97:$A$134,'Calculo Leads'!L$97:L$134)*_xlfn.XLOOKUP($P552,'Base Grupo de Produtos'!$E$2:$E$18,'Base Grupo de Produtos'!$F$2:$F$18)</f>
        <v>1100</v>
      </c>
      <c r="Z552" s="56">
        <f>_xlfn.XLOOKUP($N552,'Calculo Leads'!$A$97:$A$134,'Calculo Leads'!M$97:M$134)*_xlfn.XLOOKUP($P552,'Base Grupo de Produtos'!$E$2:$E$18,'Base Grupo de Produtos'!$F$2:$F$18)</f>
        <v>1100</v>
      </c>
      <c r="AA552" s="56">
        <f>_xlfn.XLOOKUP($N552,'Calculo Leads'!$A$97:$A$134,'Calculo Leads'!N$97:N$134)*_xlfn.XLOOKUP($P552,'Base Grupo de Produtos'!$E$2:$E$18,'Base Grupo de Produtos'!$F$2:$F$18)</f>
        <v>1375</v>
      </c>
      <c r="AB552" s="56">
        <f>_xlfn.XLOOKUP($N552,'Calculo Leads'!$A$97:$A$134,'Calculo Leads'!O$97:O$134)*_xlfn.XLOOKUP($P552,'Base Grupo de Produtos'!$E$2:$E$18,'Base Grupo de Produtos'!$F$2:$F$18)</f>
        <v>825</v>
      </c>
      <c r="AC552" s="61">
        <f t="shared" si="561"/>
        <v>7475</v>
      </c>
      <c r="AD552" s="27">
        <f t="shared" si="595"/>
        <v>7475</v>
      </c>
      <c r="AE552" s="25">
        <f>IFERROR(_xlfn.XLOOKUP(N552&amp;P552,'Historico Vendas'!G:G,'Historico Vendas'!E:E),0)</f>
        <v>0</v>
      </c>
      <c r="AF552" s="29" t="str">
        <f t="shared" si="539"/>
        <v/>
      </c>
      <c r="AG552" s="24">
        <f>IFERROR(_xlfn.XLOOKUP(N552&amp;P552,'Historico Vendas'!G:G,'Historico Vendas'!F:F),0)</f>
        <v>0</v>
      </c>
      <c r="AH552" s="25">
        <f t="shared" si="596"/>
        <v>1118.309898989899</v>
      </c>
      <c r="AI552" s="24">
        <f t="shared" si="597"/>
        <v>1118.309898989899</v>
      </c>
      <c r="AJ552" s="11">
        <f t="shared" si="542"/>
        <v>0</v>
      </c>
      <c r="AK552" s="9" t="s">
        <v>102</v>
      </c>
      <c r="AL552" s="13">
        <f>IFERROR(INDEX('Balizador da Meta'!$D$3:$F$23,MATCH(Faturamento!$P552,'Balizador da Meta'!$C$3:$C$23,0),MATCH(Faturamento!AK552,'Balizador da Meta'!$D$2:$F$2,0)),"")</f>
        <v>0</v>
      </c>
      <c r="AM552" s="9"/>
    </row>
    <row r="553" spans="1:39" x14ac:dyDescent="0.3">
      <c r="A553" s="2" t="str">
        <f t="shared" si="540"/>
        <v>NÃO</v>
      </c>
      <c r="B553" s="2" t="str">
        <f>_xlfn.XLOOKUP($N553,'Base de Grupos'!$A:$A,'Base de Grupos'!$D:$D)</f>
        <v>1000065763</v>
      </c>
      <c r="C553" s="5" t="str">
        <f>_xlfn.XLOOKUP($N553,'Base de Grupos'!$A:$A,'Base de Grupos'!$E:$E)</f>
        <v>CANAL VENDA INTERNA</v>
      </c>
      <c r="D553" s="5" t="str">
        <f>_xlfn.XLOOKUP($N553,'Base de Grupos'!$A:$A,'Base de Grupos'!$F:$F)</f>
        <v>1000065763</v>
      </c>
      <c r="E553" s="2" t="str">
        <f>_xlfn.XLOOKUP($N553,'Base de Grupos'!$A:$A,'Base de Grupos'!$G:$G)</f>
        <v>CANAL VENDA INTERNA</v>
      </c>
      <c r="F553" s="2" t="str">
        <f>_xlfn.XLOOKUP($N553,'Base de Grupos'!$A:$A,'Base de Grupos'!$H:$H)</f>
        <v>1000153245</v>
      </c>
      <c r="G553" s="5" t="str">
        <f>_xlfn.XLOOKUP($N553,'Base de Grupos'!$A:$A,'Base de Grupos'!$I:$I)</f>
        <v>REGIONAL VENDA INTERNA - KEY ACCOUNT</v>
      </c>
      <c r="H553" s="5" t="str">
        <f>_xlfn.XLOOKUP($N553,'Base de Grupos'!$A:$A,'Base de Grupos'!$J:$J)</f>
        <v>1000153245</v>
      </c>
      <c r="I553" s="2" t="str">
        <f>_xlfn.XLOOKUP($N553,'Base de Grupos'!$A:$A,'Base de Grupos'!$K:$K)</f>
        <v>REGIONAL VENDA INTERNA - KEY ACCOUNT</v>
      </c>
      <c r="J553" s="2" t="str">
        <f>_xlfn.XLOOKUP($N553,'Base de Grupos'!$A:$A,'Base de Grupos'!$L:$L)</f>
        <v>1000153245</v>
      </c>
      <c r="K553" s="5" t="str">
        <f>_xlfn.XLOOKUP($N553,'Base de Grupos'!$A:$A,'Base de Grupos'!$M:$M)</f>
        <v>REGIONAL VENDA INTERNA - KEY ACCOUNT</v>
      </c>
      <c r="L553" s="5" t="str">
        <f t="shared" si="541"/>
        <v/>
      </c>
      <c r="M553" s="5" t="str">
        <f>_xlfn.XLOOKUP($N553,'Base de Grupos'!$A:$A,'Base de Grupos'!$C:$C)</f>
        <v>PI</v>
      </c>
      <c r="N553" s="3">
        <v>1430</v>
      </c>
      <c r="O553" s="4" t="s">
        <v>254</v>
      </c>
      <c r="P553" s="5" t="s">
        <v>89</v>
      </c>
      <c r="Q553" s="56">
        <v>0</v>
      </c>
      <c r="R553" s="56">
        <v>627.6857142857142</v>
      </c>
      <c r="S553" s="56">
        <v>627.6857142857142</v>
      </c>
      <c r="T553" s="56">
        <f>_xlfn.XLOOKUP($N553,'Calculo Leads'!$A$97:$A$134,'Calculo Leads'!G$97:G$134)*_xlfn.XLOOKUP($P553,'Base Grupo de Produtos'!$E$2:$E$18,'Base Grupo de Produtos'!$F$2:$F$18)</f>
        <v>100</v>
      </c>
      <c r="U553" s="56">
        <f>_xlfn.XLOOKUP($N553,'Calculo Leads'!$A$97:$A$134,'Calculo Leads'!H$97:H$134)*_xlfn.XLOOKUP($P553,'Base Grupo de Produtos'!$E$2:$E$18,'Base Grupo de Produtos'!$F$2:$F$18)</f>
        <v>100</v>
      </c>
      <c r="V553" s="56">
        <f>_xlfn.XLOOKUP($N553,'Calculo Leads'!$A$97:$A$134,'Calculo Leads'!I$97:I$134)*_xlfn.XLOOKUP($P553,'Base Grupo de Produtos'!$E$2:$E$18,'Base Grupo de Produtos'!$F$2:$F$18)</f>
        <v>100</v>
      </c>
      <c r="W553" s="56">
        <f>_xlfn.XLOOKUP($N553,'Calculo Leads'!$A$97:$A$134,'Calculo Leads'!J$97:J$134)*_xlfn.XLOOKUP($P553,'Base Grupo de Produtos'!$E$2:$E$18,'Base Grupo de Produtos'!$F$2:$F$18)</f>
        <v>150</v>
      </c>
      <c r="X553" s="56">
        <f>_xlfn.XLOOKUP($N553,'Calculo Leads'!$A$97:$A$134,'Calculo Leads'!K$97:K$134)*_xlfn.XLOOKUP($P553,'Base Grupo de Produtos'!$E$2:$E$18,'Base Grupo de Produtos'!$F$2:$F$18)</f>
        <v>165</v>
      </c>
      <c r="Y553" s="56">
        <f>_xlfn.XLOOKUP($N553,'Calculo Leads'!$A$97:$A$134,'Calculo Leads'!L$97:L$134)*_xlfn.XLOOKUP($P553,'Base Grupo de Produtos'!$E$2:$E$18,'Base Grupo de Produtos'!$F$2:$F$18)</f>
        <v>220</v>
      </c>
      <c r="Z553" s="56">
        <f>_xlfn.XLOOKUP($N553,'Calculo Leads'!$A$97:$A$134,'Calculo Leads'!M$97:M$134)*_xlfn.XLOOKUP($P553,'Base Grupo de Produtos'!$E$2:$E$18,'Base Grupo de Produtos'!$F$2:$F$18)</f>
        <v>220</v>
      </c>
      <c r="AA553" s="56">
        <f>_xlfn.XLOOKUP($N553,'Calculo Leads'!$A$97:$A$134,'Calculo Leads'!N$97:N$134)*_xlfn.XLOOKUP($P553,'Base Grupo de Produtos'!$E$2:$E$18,'Base Grupo de Produtos'!$F$2:$F$18)</f>
        <v>275</v>
      </c>
      <c r="AB553" s="56">
        <f>_xlfn.XLOOKUP($N553,'Calculo Leads'!$A$97:$A$134,'Calculo Leads'!O$97:O$134)*_xlfn.XLOOKUP($P553,'Base Grupo de Produtos'!$E$2:$E$18,'Base Grupo de Produtos'!$F$2:$F$18)</f>
        <v>165</v>
      </c>
      <c r="AC553" s="61">
        <f t="shared" si="561"/>
        <v>1495</v>
      </c>
      <c r="AD553" s="27">
        <f t="shared" si="595"/>
        <v>1495</v>
      </c>
      <c r="AE553" s="25">
        <f>IFERROR(_xlfn.XLOOKUP(N553&amp;P553,'Historico Vendas'!G:G,'Historico Vendas'!E:E),0)</f>
        <v>0</v>
      </c>
      <c r="AF553" s="29" t="str">
        <f t="shared" si="539"/>
        <v/>
      </c>
      <c r="AG553" s="24">
        <f>IFERROR(_xlfn.XLOOKUP(N553&amp;P553,'Historico Vendas'!G:G,'Historico Vendas'!F:F),0)</f>
        <v>0</v>
      </c>
      <c r="AH553" s="25">
        <f t="shared" si="596"/>
        <v>1255.3714285714284</v>
      </c>
      <c r="AI553" s="24">
        <f t="shared" si="597"/>
        <v>1255.3714285714284</v>
      </c>
      <c r="AJ553" s="11">
        <f t="shared" si="542"/>
        <v>0</v>
      </c>
      <c r="AK553" s="9" t="s">
        <v>102</v>
      </c>
      <c r="AL553" s="13">
        <f>IFERROR(INDEX('Balizador da Meta'!$D$3:$F$23,MATCH(Faturamento!$P553,'Balizador da Meta'!$C$3:$C$23,0),MATCH(Faturamento!AK553,'Balizador da Meta'!$D$2:$F$2,0)),"")</f>
        <v>0.25</v>
      </c>
      <c r="AM553" s="9"/>
    </row>
    <row r="554" spans="1:39" x14ac:dyDescent="0.3">
      <c r="A554" s="2" t="str">
        <f t="shared" si="540"/>
        <v>NÃO</v>
      </c>
      <c r="B554" s="2" t="str">
        <f>_xlfn.XLOOKUP($N554,'Base de Grupos'!$A:$A,'Base de Grupos'!$D:$D)</f>
        <v>1000065763</v>
      </c>
      <c r="C554" s="5" t="str">
        <f>_xlfn.XLOOKUP($N554,'Base de Grupos'!$A:$A,'Base de Grupos'!$E:$E)</f>
        <v>CANAL VENDA INTERNA</v>
      </c>
      <c r="D554" s="5" t="str">
        <f>_xlfn.XLOOKUP($N554,'Base de Grupos'!$A:$A,'Base de Grupos'!$F:$F)</f>
        <v>1000065763</v>
      </c>
      <c r="E554" s="2" t="str">
        <f>_xlfn.XLOOKUP($N554,'Base de Grupos'!$A:$A,'Base de Grupos'!$G:$G)</f>
        <v>CANAL VENDA INTERNA</v>
      </c>
      <c r="F554" s="2" t="str">
        <f>_xlfn.XLOOKUP($N554,'Base de Grupos'!$A:$A,'Base de Grupos'!$H:$H)</f>
        <v>1000153245</v>
      </c>
      <c r="G554" s="5" t="str">
        <f>_xlfn.XLOOKUP($N554,'Base de Grupos'!$A:$A,'Base de Grupos'!$I:$I)</f>
        <v>REGIONAL VENDA INTERNA - KEY ACCOUNT</v>
      </c>
      <c r="H554" s="5" t="str">
        <f>_xlfn.XLOOKUP($N554,'Base de Grupos'!$A:$A,'Base de Grupos'!$J:$J)</f>
        <v>1000153245</v>
      </c>
      <c r="I554" s="2" t="str">
        <f>_xlfn.XLOOKUP($N554,'Base de Grupos'!$A:$A,'Base de Grupos'!$K:$K)</f>
        <v>REGIONAL VENDA INTERNA - KEY ACCOUNT</v>
      </c>
      <c r="J554" s="2" t="str">
        <f>_xlfn.XLOOKUP($N554,'Base de Grupos'!$A:$A,'Base de Grupos'!$L:$L)</f>
        <v>1000153245</v>
      </c>
      <c r="K554" s="5" t="str">
        <f>_xlfn.XLOOKUP($N554,'Base de Grupos'!$A:$A,'Base de Grupos'!$M:$M)</f>
        <v>REGIONAL VENDA INTERNA - KEY ACCOUNT</v>
      </c>
      <c r="L554" s="5" t="str">
        <f t="shared" si="541"/>
        <v/>
      </c>
      <c r="M554" s="5" t="str">
        <f>_xlfn.XLOOKUP($N554,'Base de Grupos'!$A:$A,'Base de Grupos'!$C:$C)</f>
        <v>PI</v>
      </c>
      <c r="N554" s="3">
        <v>1430</v>
      </c>
      <c r="O554" s="4" t="s">
        <v>254</v>
      </c>
      <c r="P554" s="5" t="s">
        <v>88</v>
      </c>
      <c r="Q554" s="56">
        <v>0</v>
      </c>
      <c r="R554" s="56">
        <v>119.60088888888889</v>
      </c>
      <c r="S554" s="56">
        <v>239.20177777777778</v>
      </c>
      <c r="T554" s="56">
        <f>_xlfn.XLOOKUP($N554,'Calculo Leads'!$A$97:$A$134,'Calculo Leads'!G$97:G$134)*_xlfn.XLOOKUP($P554,'Base Grupo de Produtos'!$E$2:$E$18,'Base Grupo de Produtos'!$F$2:$F$18)</f>
        <v>100</v>
      </c>
      <c r="U554" s="56">
        <f>_xlfn.XLOOKUP($N554,'Calculo Leads'!$A$97:$A$134,'Calculo Leads'!H$97:H$134)*_xlfn.XLOOKUP($P554,'Base Grupo de Produtos'!$E$2:$E$18,'Base Grupo de Produtos'!$F$2:$F$18)</f>
        <v>100</v>
      </c>
      <c r="V554" s="56">
        <f>_xlfn.XLOOKUP($N554,'Calculo Leads'!$A$97:$A$134,'Calculo Leads'!I$97:I$134)*_xlfn.XLOOKUP($P554,'Base Grupo de Produtos'!$E$2:$E$18,'Base Grupo de Produtos'!$F$2:$F$18)</f>
        <v>100</v>
      </c>
      <c r="W554" s="56">
        <f>_xlfn.XLOOKUP($N554,'Calculo Leads'!$A$97:$A$134,'Calculo Leads'!J$97:J$134)*_xlfn.XLOOKUP($P554,'Base Grupo de Produtos'!$E$2:$E$18,'Base Grupo de Produtos'!$F$2:$F$18)</f>
        <v>150</v>
      </c>
      <c r="X554" s="56">
        <f>_xlfn.XLOOKUP($N554,'Calculo Leads'!$A$97:$A$134,'Calculo Leads'!K$97:K$134)*_xlfn.XLOOKUP($P554,'Base Grupo de Produtos'!$E$2:$E$18,'Base Grupo de Produtos'!$F$2:$F$18)</f>
        <v>165</v>
      </c>
      <c r="Y554" s="56">
        <f>_xlfn.XLOOKUP($N554,'Calculo Leads'!$A$97:$A$134,'Calculo Leads'!L$97:L$134)*_xlfn.XLOOKUP($P554,'Base Grupo de Produtos'!$E$2:$E$18,'Base Grupo de Produtos'!$F$2:$F$18)</f>
        <v>220</v>
      </c>
      <c r="Z554" s="56">
        <f>_xlfn.XLOOKUP($N554,'Calculo Leads'!$A$97:$A$134,'Calculo Leads'!M$97:M$134)*_xlfn.XLOOKUP($P554,'Base Grupo de Produtos'!$E$2:$E$18,'Base Grupo de Produtos'!$F$2:$F$18)</f>
        <v>220</v>
      </c>
      <c r="AA554" s="56">
        <f>_xlfn.XLOOKUP($N554,'Calculo Leads'!$A$97:$A$134,'Calculo Leads'!N$97:N$134)*_xlfn.XLOOKUP($P554,'Base Grupo de Produtos'!$E$2:$E$18,'Base Grupo de Produtos'!$F$2:$F$18)</f>
        <v>275</v>
      </c>
      <c r="AB554" s="56">
        <f>_xlfn.XLOOKUP($N554,'Calculo Leads'!$A$97:$A$134,'Calculo Leads'!O$97:O$134)*_xlfn.XLOOKUP($P554,'Base Grupo de Produtos'!$E$2:$E$18,'Base Grupo de Produtos'!$F$2:$F$18)</f>
        <v>165</v>
      </c>
      <c r="AC554" s="61">
        <f t="shared" si="561"/>
        <v>1495</v>
      </c>
      <c r="AD554" s="27">
        <f t="shared" si="595"/>
        <v>1495</v>
      </c>
      <c r="AE554" s="25">
        <f>IFERROR(_xlfn.XLOOKUP(N554&amp;P554,'Historico Vendas'!G:G,'Historico Vendas'!E:E),0)</f>
        <v>0</v>
      </c>
      <c r="AF554" s="29" t="str">
        <f t="shared" si="539"/>
        <v/>
      </c>
      <c r="AG554" s="24">
        <f>IFERROR(_xlfn.XLOOKUP(N554&amp;P554,'Historico Vendas'!G:G,'Historico Vendas'!F:F),0)</f>
        <v>0</v>
      </c>
      <c r="AH554" s="25">
        <f t="shared" si="596"/>
        <v>358.80266666666665</v>
      </c>
      <c r="AI554" s="24">
        <f t="shared" si="597"/>
        <v>358.80266666666665</v>
      </c>
      <c r="AJ554" s="11">
        <f t="shared" si="542"/>
        <v>0</v>
      </c>
      <c r="AK554" s="9" t="s">
        <v>102</v>
      </c>
      <c r="AL554" s="13">
        <f>IFERROR(INDEX('Balizador da Meta'!$D$3:$F$23,MATCH(Faturamento!$P554,'Balizador da Meta'!$C$3:$C$23,0),MATCH(Faturamento!AK554,'Balizador da Meta'!$D$2:$F$2,0)),"")</f>
        <v>0</v>
      </c>
      <c r="AM554" s="9"/>
    </row>
    <row r="555" spans="1:39" x14ac:dyDescent="0.3">
      <c r="A555" s="2" t="str">
        <f t="shared" si="540"/>
        <v>NÃO</v>
      </c>
      <c r="B555" s="2" t="str">
        <f>_xlfn.XLOOKUP($N555,'Base de Grupos'!$A:$A,'Base de Grupos'!$D:$D)</f>
        <v>1000065763</v>
      </c>
      <c r="C555" s="5" t="str">
        <f>_xlfn.XLOOKUP($N555,'Base de Grupos'!$A:$A,'Base de Grupos'!$E:$E)</f>
        <v>CANAL VENDA INTERNA</v>
      </c>
      <c r="D555" s="5" t="str">
        <f>_xlfn.XLOOKUP($N555,'Base de Grupos'!$A:$A,'Base de Grupos'!$F:$F)</f>
        <v>1000065763</v>
      </c>
      <c r="E555" s="2" t="str">
        <f>_xlfn.XLOOKUP($N555,'Base de Grupos'!$A:$A,'Base de Grupos'!$G:$G)</f>
        <v>CANAL VENDA INTERNA</v>
      </c>
      <c r="F555" s="2" t="str">
        <f>_xlfn.XLOOKUP($N555,'Base de Grupos'!$A:$A,'Base de Grupos'!$H:$H)</f>
        <v>1000153245</v>
      </c>
      <c r="G555" s="5" t="str">
        <f>_xlfn.XLOOKUP($N555,'Base de Grupos'!$A:$A,'Base de Grupos'!$I:$I)</f>
        <v>REGIONAL VENDA INTERNA - KEY ACCOUNT</v>
      </c>
      <c r="H555" s="5" t="str">
        <f>_xlfn.XLOOKUP($N555,'Base de Grupos'!$A:$A,'Base de Grupos'!$J:$J)</f>
        <v>1000153245</v>
      </c>
      <c r="I555" s="2" t="str">
        <f>_xlfn.XLOOKUP($N555,'Base de Grupos'!$A:$A,'Base de Grupos'!$K:$K)</f>
        <v>REGIONAL VENDA INTERNA - KEY ACCOUNT</v>
      </c>
      <c r="J555" s="2" t="str">
        <f>_xlfn.XLOOKUP($N555,'Base de Grupos'!$A:$A,'Base de Grupos'!$L:$L)</f>
        <v>1000153245</v>
      </c>
      <c r="K555" s="5" t="str">
        <f>_xlfn.XLOOKUP($N555,'Base de Grupos'!$A:$A,'Base de Grupos'!$M:$M)</f>
        <v>REGIONAL VENDA INTERNA - KEY ACCOUNT</v>
      </c>
      <c r="L555" s="5" t="str">
        <f t="shared" si="541"/>
        <v/>
      </c>
      <c r="M555" s="5" t="str">
        <f>_xlfn.XLOOKUP($N555,'Base de Grupos'!$A:$A,'Base de Grupos'!$C:$C)</f>
        <v>PI</v>
      </c>
      <c r="N555" s="3">
        <v>1430</v>
      </c>
      <c r="O555" s="4" t="s">
        <v>254</v>
      </c>
      <c r="P555" s="5" t="s">
        <v>90</v>
      </c>
      <c r="Q555" s="56">
        <v>0</v>
      </c>
      <c r="R555" s="56">
        <v>204.36930232558137</v>
      </c>
      <c r="S555" s="56">
        <v>204.36930232558137</v>
      </c>
      <c r="T555" s="56">
        <f>_xlfn.XLOOKUP($N555,'Calculo Leads'!$A$97:$A$134,'Calculo Leads'!G$97:G$134)*_xlfn.XLOOKUP($P555,'Base Grupo de Produtos'!$E$2:$E$18,'Base Grupo de Produtos'!$F$2:$F$18)</f>
        <v>100</v>
      </c>
      <c r="U555" s="56">
        <f>_xlfn.XLOOKUP($N555,'Calculo Leads'!$A$97:$A$134,'Calculo Leads'!H$97:H$134)*_xlfn.XLOOKUP($P555,'Base Grupo de Produtos'!$E$2:$E$18,'Base Grupo de Produtos'!$F$2:$F$18)</f>
        <v>100</v>
      </c>
      <c r="V555" s="56">
        <f>_xlfn.XLOOKUP($N555,'Calculo Leads'!$A$97:$A$134,'Calculo Leads'!I$97:I$134)*_xlfn.XLOOKUP($P555,'Base Grupo de Produtos'!$E$2:$E$18,'Base Grupo de Produtos'!$F$2:$F$18)</f>
        <v>100</v>
      </c>
      <c r="W555" s="56">
        <f>_xlfn.XLOOKUP($N555,'Calculo Leads'!$A$97:$A$134,'Calculo Leads'!J$97:J$134)*_xlfn.XLOOKUP($P555,'Base Grupo de Produtos'!$E$2:$E$18,'Base Grupo de Produtos'!$F$2:$F$18)</f>
        <v>150</v>
      </c>
      <c r="X555" s="56">
        <f>_xlfn.XLOOKUP($N555,'Calculo Leads'!$A$97:$A$134,'Calculo Leads'!K$97:K$134)*_xlfn.XLOOKUP($P555,'Base Grupo de Produtos'!$E$2:$E$18,'Base Grupo de Produtos'!$F$2:$F$18)</f>
        <v>165</v>
      </c>
      <c r="Y555" s="56">
        <f>_xlfn.XLOOKUP($N555,'Calculo Leads'!$A$97:$A$134,'Calculo Leads'!L$97:L$134)*_xlfn.XLOOKUP($P555,'Base Grupo de Produtos'!$E$2:$E$18,'Base Grupo de Produtos'!$F$2:$F$18)</f>
        <v>220</v>
      </c>
      <c r="Z555" s="56">
        <f>_xlfn.XLOOKUP($N555,'Calculo Leads'!$A$97:$A$134,'Calculo Leads'!M$97:M$134)*_xlfn.XLOOKUP($P555,'Base Grupo de Produtos'!$E$2:$E$18,'Base Grupo de Produtos'!$F$2:$F$18)</f>
        <v>220</v>
      </c>
      <c r="AA555" s="56">
        <f>_xlfn.XLOOKUP($N555,'Calculo Leads'!$A$97:$A$134,'Calculo Leads'!N$97:N$134)*_xlfn.XLOOKUP($P555,'Base Grupo de Produtos'!$E$2:$E$18,'Base Grupo de Produtos'!$F$2:$F$18)</f>
        <v>275</v>
      </c>
      <c r="AB555" s="56">
        <f>_xlfn.XLOOKUP($N555,'Calculo Leads'!$A$97:$A$134,'Calculo Leads'!O$97:O$134)*_xlfn.XLOOKUP($P555,'Base Grupo de Produtos'!$E$2:$E$18,'Base Grupo de Produtos'!$F$2:$F$18)</f>
        <v>165</v>
      </c>
      <c r="AC555" s="61">
        <f t="shared" si="561"/>
        <v>1495</v>
      </c>
      <c r="AD555" s="27">
        <f t="shared" si="595"/>
        <v>1495</v>
      </c>
      <c r="AE555" s="25">
        <f>IFERROR(_xlfn.XLOOKUP(N555&amp;P555,'Historico Vendas'!G:G,'Historico Vendas'!E:E),0)</f>
        <v>0</v>
      </c>
      <c r="AF555" s="29" t="str">
        <f t="shared" si="539"/>
        <v/>
      </c>
      <c r="AG555" s="24">
        <f>IFERROR(_xlfn.XLOOKUP(N555&amp;P555,'Historico Vendas'!G:G,'Historico Vendas'!F:F),0)</f>
        <v>0</v>
      </c>
      <c r="AH555" s="25">
        <f t="shared" si="596"/>
        <v>408.73860465116275</v>
      </c>
      <c r="AI555" s="24">
        <f t="shared" si="597"/>
        <v>408.73860465116275</v>
      </c>
      <c r="AJ555" s="11">
        <f t="shared" si="542"/>
        <v>0</v>
      </c>
      <c r="AK555" s="9" t="s">
        <v>102</v>
      </c>
      <c r="AL555" s="13">
        <f>IFERROR(INDEX('Balizador da Meta'!$D$3:$F$23,MATCH(Faturamento!$P555,'Balizador da Meta'!$C$3:$C$23,0),MATCH(Faturamento!AK555,'Balizador da Meta'!$D$2:$F$2,0)),"")</f>
        <v>0</v>
      </c>
      <c r="AM555" s="9"/>
    </row>
    <row r="556" spans="1:39" x14ac:dyDescent="0.3">
      <c r="A556" s="2" t="str">
        <f t="shared" si="540"/>
        <v>NÃO</v>
      </c>
      <c r="B556" s="2" t="str">
        <f>_xlfn.XLOOKUP($N556,'Base de Grupos'!$A:$A,'Base de Grupos'!$D:$D)</f>
        <v>1000065763</v>
      </c>
      <c r="C556" s="5" t="str">
        <f>_xlfn.XLOOKUP($N556,'Base de Grupos'!$A:$A,'Base de Grupos'!$E:$E)</f>
        <v>CANAL VENDA INTERNA</v>
      </c>
      <c r="D556" s="5" t="str">
        <f>_xlfn.XLOOKUP($N556,'Base de Grupos'!$A:$A,'Base de Grupos'!$F:$F)</f>
        <v>1000065763</v>
      </c>
      <c r="E556" s="2" t="str">
        <f>_xlfn.XLOOKUP($N556,'Base de Grupos'!$A:$A,'Base de Grupos'!$G:$G)</f>
        <v>CANAL VENDA INTERNA</v>
      </c>
      <c r="F556" s="2" t="str">
        <f>_xlfn.XLOOKUP($N556,'Base de Grupos'!$A:$A,'Base de Grupos'!$H:$H)</f>
        <v>1000153245</v>
      </c>
      <c r="G556" s="5" t="str">
        <f>_xlfn.XLOOKUP($N556,'Base de Grupos'!$A:$A,'Base de Grupos'!$I:$I)</f>
        <v>REGIONAL VENDA INTERNA - KEY ACCOUNT</v>
      </c>
      <c r="H556" s="5" t="str">
        <f>_xlfn.XLOOKUP($N556,'Base de Grupos'!$A:$A,'Base de Grupos'!$J:$J)</f>
        <v>1000153245</v>
      </c>
      <c r="I556" s="2" t="str">
        <f>_xlfn.XLOOKUP($N556,'Base de Grupos'!$A:$A,'Base de Grupos'!$K:$K)</f>
        <v>REGIONAL VENDA INTERNA - KEY ACCOUNT</v>
      </c>
      <c r="J556" s="2" t="str">
        <f>_xlfn.XLOOKUP($N556,'Base de Grupos'!$A:$A,'Base de Grupos'!$L:$L)</f>
        <v>1000153245</v>
      </c>
      <c r="K556" s="5" t="str">
        <f>_xlfn.XLOOKUP($N556,'Base de Grupos'!$A:$A,'Base de Grupos'!$M:$M)</f>
        <v>REGIONAL VENDA INTERNA - KEY ACCOUNT</v>
      </c>
      <c r="L556" s="5" t="str">
        <f t="shared" si="541"/>
        <v/>
      </c>
      <c r="M556" s="5" t="str">
        <f>_xlfn.XLOOKUP($N556,'Base de Grupos'!$A:$A,'Base de Grupos'!$C:$C)</f>
        <v>PI</v>
      </c>
      <c r="N556" s="3">
        <v>1430</v>
      </c>
      <c r="O556" s="4" t="s">
        <v>254</v>
      </c>
      <c r="P556" s="5" t="s">
        <v>91</v>
      </c>
      <c r="Q556" s="56">
        <v>0</v>
      </c>
      <c r="R556" s="56">
        <v>143.15866666666668</v>
      </c>
      <c r="S556" s="56">
        <v>143.15866666666668</v>
      </c>
      <c r="T556" s="56">
        <f>_xlfn.XLOOKUP($N556,'Calculo Leads'!$A$97:$A$134,'Calculo Leads'!G$97:G$134)*_xlfn.XLOOKUP($P556,'Base Grupo de Produtos'!$E$2:$E$18,'Base Grupo de Produtos'!$F$2:$F$18)</f>
        <v>0</v>
      </c>
      <c r="U556" s="56">
        <f>_xlfn.XLOOKUP($N556,'Calculo Leads'!$A$97:$A$134,'Calculo Leads'!H$97:H$134)*_xlfn.XLOOKUP($P556,'Base Grupo de Produtos'!$E$2:$E$18,'Base Grupo de Produtos'!$F$2:$F$18)</f>
        <v>0</v>
      </c>
      <c r="V556" s="56">
        <f>_xlfn.XLOOKUP($N556,'Calculo Leads'!$A$97:$A$134,'Calculo Leads'!I$97:I$134)*_xlfn.XLOOKUP($P556,'Base Grupo de Produtos'!$E$2:$E$18,'Base Grupo de Produtos'!$F$2:$F$18)</f>
        <v>0</v>
      </c>
      <c r="W556" s="56">
        <f>_xlfn.XLOOKUP($N556,'Calculo Leads'!$A$97:$A$134,'Calculo Leads'!J$97:J$134)*_xlfn.XLOOKUP($P556,'Base Grupo de Produtos'!$E$2:$E$18,'Base Grupo de Produtos'!$F$2:$F$18)</f>
        <v>0</v>
      </c>
      <c r="X556" s="56">
        <f>_xlfn.XLOOKUP($N556,'Calculo Leads'!$A$97:$A$134,'Calculo Leads'!K$97:K$134)*_xlfn.XLOOKUP($P556,'Base Grupo de Produtos'!$E$2:$E$18,'Base Grupo de Produtos'!$F$2:$F$18)</f>
        <v>0</v>
      </c>
      <c r="Y556" s="56">
        <f>_xlfn.XLOOKUP($N556,'Calculo Leads'!$A$97:$A$134,'Calculo Leads'!L$97:L$134)*_xlfn.XLOOKUP($P556,'Base Grupo de Produtos'!$E$2:$E$18,'Base Grupo de Produtos'!$F$2:$F$18)</f>
        <v>0</v>
      </c>
      <c r="Z556" s="56">
        <f>_xlfn.XLOOKUP($N556,'Calculo Leads'!$A$97:$A$134,'Calculo Leads'!M$97:M$134)*_xlfn.XLOOKUP($P556,'Base Grupo de Produtos'!$E$2:$E$18,'Base Grupo de Produtos'!$F$2:$F$18)</f>
        <v>0</v>
      </c>
      <c r="AA556" s="56">
        <f>_xlfn.XLOOKUP($N556,'Calculo Leads'!$A$97:$A$134,'Calculo Leads'!N$97:N$134)*_xlfn.XLOOKUP($P556,'Base Grupo de Produtos'!$E$2:$E$18,'Base Grupo de Produtos'!$F$2:$F$18)</f>
        <v>0</v>
      </c>
      <c r="AB556" s="56">
        <f>_xlfn.XLOOKUP($N556,'Calculo Leads'!$A$97:$A$134,'Calculo Leads'!O$97:O$134)*_xlfn.XLOOKUP($P556,'Base Grupo de Produtos'!$E$2:$E$18,'Base Grupo de Produtos'!$F$2:$F$18)</f>
        <v>0</v>
      </c>
      <c r="AC556" s="61">
        <f t="shared" si="561"/>
        <v>0</v>
      </c>
      <c r="AD556" s="27">
        <f t="shared" si="595"/>
        <v>0</v>
      </c>
      <c r="AE556" s="25">
        <f>IFERROR(_xlfn.XLOOKUP(N556&amp;P556,'Historico Vendas'!G:G,'Historico Vendas'!E:E),0)</f>
        <v>0</v>
      </c>
      <c r="AF556" s="29" t="str">
        <f t="shared" si="539"/>
        <v/>
      </c>
      <c r="AG556" s="24">
        <f>IFERROR(_xlfn.XLOOKUP(N556&amp;P556,'Historico Vendas'!G:G,'Historico Vendas'!F:F),0)</f>
        <v>0</v>
      </c>
      <c r="AH556" s="25">
        <f t="shared" si="596"/>
        <v>286.31733333333335</v>
      </c>
      <c r="AI556" s="24">
        <f t="shared" si="597"/>
        <v>286.31733333333335</v>
      </c>
      <c r="AJ556" s="11">
        <f t="shared" si="542"/>
        <v>0</v>
      </c>
      <c r="AK556" s="9" t="s">
        <v>102</v>
      </c>
      <c r="AL556" s="13">
        <f>IFERROR(INDEX('Balizador da Meta'!$D$3:$F$23,MATCH(Faturamento!$P556,'Balizador da Meta'!$C$3:$C$23,0),MATCH(Faturamento!AK556,'Balizador da Meta'!$D$2:$F$2,0)),"")</f>
        <v>0</v>
      </c>
      <c r="AM556" s="9"/>
    </row>
    <row r="557" spans="1:39" x14ac:dyDescent="0.3">
      <c r="A557" s="2" t="str">
        <f t="shared" si="540"/>
        <v>NÃO</v>
      </c>
      <c r="B557" s="2" t="str">
        <f>_xlfn.XLOOKUP($N557,'Base de Grupos'!$A:$A,'Base de Grupos'!$D:$D)</f>
        <v>1000065763</v>
      </c>
      <c r="C557" s="5" t="str">
        <f>_xlfn.XLOOKUP($N557,'Base de Grupos'!$A:$A,'Base de Grupos'!$E:$E)</f>
        <v>CANAL VENDA INTERNA</v>
      </c>
      <c r="D557" s="5" t="str">
        <f>_xlfn.XLOOKUP($N557,'Base de Grupos'!$A:$A,'Base de Grupos'!$F:$F)</f>
        <v>1000065763</v>
      </c>
      <c r="E557" s="2" t="str">
        <f>_xlfn.XLOOKUP($N557,'Base de Grupos'!$A:$A,'Base de Grupos'!$G:$G)</f>
        <v>CANAL VENDA INTERNA</v>
      </c>
      <c r="F557" s="2" t="str">
        <f>_xlfn.XLOOKUP($N557,'Base de Grupos'!$A:$A,'Base de Grupos'!$H:$H)</f>
        <v>1000153245</v>
      </c>
      <c r="G557" s="5" t="str">
        <f>_xlfn.XLOOKUP($N557,'Base de Grupos'!$A:$A,'Base de Grupos'!$I:$I)</f>
        <v>REGIONAL VENDA INTERNA - KEY ACCOUNT</v>
      </c>
      <c r="H557" s="5" t="str">
        <f>_xlfn.XLOOKUP($N557,'Base de Grupos'!$A:$A,'Base de Grupos'!$J:$J)</f>
        <v>1000153245</v>
      </c>
      <c r="I557" s="2" t="str">
        <f>_xlfn.XLOOKUP($N557,'Base de Grupos'!$A:$A,'Base de Grupos'!$K:$K)</f>
        <v>REGIONAL VENDA INTERNA - KEY ACCOUNT</v>
      </c>
      <c r="J557" s="2" t="str">
        <f>_xlfn.XLOOKUP($N557,'Base de Grupos'!$A:$A,'Base de Grupos'!$L:$L)</f>
        <v>1000153245</v>
      </c>
      <c r="K557" s="5" t="str">
        <f>_xlfn.XLOOKUP($N557,'Base de Grupos'!$A:$A,'Base de Grupos'!$M:$M)</f>
        <v>REGIONAL VENDA INTERNA - KEY ACCOUNT</v>
      </c>
      <c r="L557" s="5" t="str">
        <f t="shared" si="541"/>
        <v/>
      </c>
      <c r="M557" s="5" t="str">
        <f>_xlfn.XLOOKUP($N557,'Base de Grupos'!$A:$A,'Base de Grupos'!$C:$C)</f>
        <v>PI</v>
      </c>
      <c r="N557" s="3">
        <v>1430</v>
      </c>
      <c r="O557" s="4" t="s">
        <v>254</v>
      </c>
      <c r="P557" s="5" t="s">
        <v>96</v>
      </c>
      <c r="Q557" s="56">
        <v>0</v>
      </c>
      <c r="R557" s="56">
        <v>40.9</v>
      </c>
      <c r="S557" s="56">
        <v>40.9</v>
      </c>
      <c r="T557" s="56">
        <f>_xlfn.XLOOKUP($N557,'Calculo Leads'!$A$97:$A$134,'Calculo Leads'!G$97:G$134)*_xlfn.XLOOKUP($P557,'Base Grupo de Produtos'!$E$2:$E$18,'Base Grupo de Produtos'!$F$2:$F$18)</f>
        <v>140</v>
      </c>
      <c r="U557" s="56">
        <f>_xlfn.XLOOKUP($N557,'Calculo Leads'!$A$97:$A$134,'Calculo Leads'!H$97:H$134)*_xlfn.XLOOKUP($P557,'Base Grupo de Produtos'!$E$2:$E$18,'Base Grupo de Produtos'!$F$2:$F$18)</f>
        <v>140</v>
      </c>
      <c r="V557" s="56">
        <f>_xlfn.XLOOKUP($N557,'Calculo Leads'!$A$97:$A$134,'Calculo Leads'!I$97:I$134)*_xlfn.XLOOKUP($P557,'Base Grupo de Produtos'!$E$2:$E$18,'Base Grupo de Produtos'!$F$2:$F$18)</f>
        <v>140</v>
      </c>
      <c r="W557" s="56">
        <f>_xlfn.XLOOKUP($N557,'Calculo Leads'!$A$97:$A$134,'Calculo Leads'!J$97:J$134)*_xlfn.XLOOKUP($P557,'Base Grupo de Produtos'!$E$2:$E$18,'Base Grupo de Produtos'!$F$2:$F$18)</f>
        <v>210.00000000000003</v>
      </c>
      <c r="X557" s="56">
        <f>_xlfn.XLOOKUP($N557,'Calculo Leads'!$A$97:$A$134,'Calculo Leads'!K$97:K$134)*_xlfn.XLOOKUP($P557,'Base Grupo de Produtos'!$E$2:$E$18,'Base Grupo de Produtos'!$F$2:$F$18)</f>
        <v>231.00000000000003</v>
      </c>
      <c r="Y557" s="56">
        <f>_xlfn.XLOOKUP($N557,'Calculo Leads'!$A$97:$A$134,'Calculo Leads'!L$97:L$134)*_xlfn.XLOOKUP($P557,'Base Grupo de Produtos'!$E$2:$E$18,'Base Grupo de Produtos'!$F$2:$F$18)</f>
        <v>308.00000000000006</v>
      </c>
      <c r="Z557" s="56">
        <f>_xlfn.XLOOKUP($N557,'Calculo Leads'!$A$97:$A$134,'Calculo Leads'!M$97:M$134)*_xlfn.XLOOKUP($P557,'Base Grupo de Produtos'!$E$2:$E$18,'Base Grupo de Produtos'!$F$2:$F$18)</f>
        <v>308.00000000000006</v>
      </c>
      <c r="AA557" s="56">
        <f>_xlfn.XLOOKUP($N557,'Calculo Leads'!$A$97:$A$134,'Calculo Leads'!N$97:N$134)*_xlfn.XLOOKUP($P557,'Base Grupo de Produtos'!$E$2:$E$18,'Base Grupo de Produtos'!$F$2:$F$18)</f>
        <v>385.00000000000006</v>
      </c>
      <c r="AB557" s="56">
        <f>_xlfn.XLOOKUP($N557,'Calculo Leads'!$A$97:$A$134,'Calculo Leads'!O$97:O$134)*_xlfn.XLOOKUP($P557,'Base Grupo de Produtos'!$E$2:$E$18,'Base Grupo de Produtos'!$F$2:$F$18)</f>
        <v>231.00000000000003</v>
      </c>
      <c r="AC557" s="61">
        <f t="shared" si="561"/>
        <v>2093</v>
      </c>
      <c r="AD557" s="27">
        <f t="shared" si="595"/>
        <v>2093</v>
      </c>
      <c r="AE557" s="25">
        <f>IFERROR(_xlfn.XLOOKUP(N557&amp;P557,'Historico Vendas'!G:G,'Historico Vendas'!E:E),0)</f>
        <v>0</v>
      </c>
      <c r="AF557" s="29" t="str">
        <f t="shared" si="539"/>
        <v/>
      </c>
      <c r="AG557" s="24">
        <f>IFERROR(_xlfn.XLOOKUP(N557&amp;P557,'Historico Vendas'!G:G,'Historico Vendas'!F:F),0)</f>
        <v>0</v>
      </c>
      <c r="AH557" s="25">
        <f t="shared" si="596"/>
        <v>81.8</v>
      </c>
      <c r="AI557" s="24">
        <f t="shared" si="597"/>
        <v>81.8</v>
      </c>
      <c r="AJ557" s="11">
        <f t="shared" si="542"/>
        <v>0</v>
      </c>
      <c r="AK557" s="9" t="s">
        <v>102</v>
      </c>
      <c r="AL557" s="13">
        <f>IFERROR(INDEX('Balizador da Meta'!$D$3:$F$23,MATCH(Faturamento!$P557,'Balizador da Meta'!$C$3:$C$23,0),MATCH(Faturamento!AK557,'Balizador da Meta'!$D$2:$F$2,0)),"")</f>
        <v>0</v>
      </c>
      <c r="AM557" s="9"/>
    </row>
    <row r="558" spans="1:39" x14ac:dyDescent="0.3">
      <c r="A558" s="2" t="str">
        <f t="shared" si="540"/>
        <v>NÃO</v>
      </c>
      <c r="B558" s="2" t="str">
        <f>_xlfn.XLOOKUP($N558,'Base de Grupos'!$A:$A,'Base de Grupos'!$D:$D)</f>
        <v>1000065763</v>
      </c>
      <c r="C558" s="5" t="str">
        <f>_xlfn.XLOOKUP($N558,'Base de Grupos'!$A:$A,'Base de Grupos'!$E:$E)</f>
        <v>CANAL VENDA INTERNA</v>
      </c>
      <c r="D558" s="5" t="str">
        <f>_xlfn.XLOOKUP($N558,'Base de Grupos'!$A:$A,'Base de Grupos'!$F:$F)</f>
        <v>1000065763</v>
      </c>
      <c r="E558" s="2" t="str">
        <f>_xlfn.XLOOKUP($N558,'Base de Grupos'!$A:$A,'Base de Grupos'!$G:$G)</f>
        <v>CANAL VENDA INTERNA</v>
      </c>
      <c r="F558" s="2" t="str">
        <f>_xlfn.XLOOKUP($N558,'Base de Grupos'!$A:$A,'Base de Grupos'!$H:$H)</f>
        <v>1000153245</v>
      </c>
      <c r="G558" s="5" t="str">
        <f>_xlfn.XLOOKUP($N558,'Base de Grupos'!$A:$A,'Base de Grupos'!$I:$I)</f>
        <v>REGIONAL VENDA INTERNA - KEY ACCOUNT</v>
      </c>
      <c r="H558" s="5" t="str">
        <f>_xlfn.XLOOKUP($N558,'Base de Grupos'!$A:$A,'Base de Grupos'!$J:$J)</f>
        <v>1000153245</v>
      </c>
      <c r="I558" s="2" t="str">
        <f>_xlfn.XLOOKUP($N558,'Base de Grupos'!$A:$A,'Base de Grupos'!$K:$K)</f>
        <v>REGIONAL VENDA INTERNA - KEY ACCOUNT</v>
      </c>
      <c r="J558" s="2" t="str">
        <f>_xlfn.XLOOKUP($N558,'Base de Grupos'!$A:$A,'Base de Grupos'!$L:$L)</f>
        <v>1000153245</v>
      </c>
      <c r="K558" s="5" t="str">
        <f>_xlfn.XLOOKUP($N558,'Base de Grupos'!$A:$A,'Base de Grupos'!$M:$M)</f>
        <v>REGIONAL VENDA INTERNA - KEY ACCOUNT</v>
      </c>
      <c r="L558" s="5" t="str">
        <f t="shared" si="541"/>
        <v/>
      </c>
      <c r="M558" s="5" t="str">
        <f>_xlfn.XLOOKUP($N558,'Base de Grupos'!$A:$A,'Base de Grupos'!$C:$C)</f>
        <v>PI</v>
      </c>
      <c r="N558" s="3">
        <v>1430</v>
      </c>
      <c r="O558" s="4" t="s">
        <v>254</v>
      </c>
      <c r="P558" s="5" t="s">
        <v>94</v>
      </c>
      <c r="Q558" s="56">
        <v>0</v>
      </c>
      <c r="R558" s="56">
        <v>1470.3095435684643</v>
      </c>
      <c r="S558" s="56">
        <v>1470.3095435684643</v>
      </c>
      <c r="T558" s="56">
        <f>_xlfn.XLOOKUP($N558,'Calculo Leads'!$A$97:$A$134,'Calculo Leads'!G$97:G$134)*_xlfn.XLOOKUP($P558,'Base Grupo de Produtos'!$E$2:$E$18,'Base Grupo de Produtos'!$F$2:$F$18)</f>
        <v>99.999999999999986</v>
      </c>
      <c r="U558" s="56">
        <f>_xlfn.XLOOKUP($N558,'Calculo Leads'!$A$97:$A$134,'Calculo Leads'!H$97:H$134)*_xlfn.XLOOKUP($P558,'Base Grupo de Produtos'!$E$2:$E$18,'Base Grupo de Produtos'!$F$2:$F$18)</f>
        <v>99.999999999999986</v>
      </c>
      <c r="V558" s="56">
        <f>_xlfn.XLOOKUP($N558,'Calculo Leads'!$A$97:$A$134,'Calculo Leads'!I$97:I$134)*_xlfn.XLOOKUP($P558,'Base Grupo de Produtos'!$E$2:$E$18,'Base Grupo de Produtos'!$F$2:$F$18)</f>
        <v>99.999999999999986</v>
      </c>
      <c r="W558" s="56">
        <f>_xlfn.XLOOKUP($N558,'Calculo Leads'!$A$97:$A$134,'Calculo Leads'!J$97:J$134)*_xlfn.XLOOKUP($P558,'Base Grupo de Produtos'!$E$2:$E$18,'Base Grupo de Produtos'!$F$2:$F$18)</f>
        <v>150</v>
      </c>
      <c r="X558" s="56">
        <f>_xlfn.XLOOKUP($N558,'Calculo Leads'!$A$97:$A$134,'Calculo Leads'!K$97:K$134)*_xlfn.XLOOKUP($P558,'Base Grupo de Produtos'!$E$2:$E$18,'Base Grupo de Produtos'!$F$2:$F$18)</f>
        <v>165</v>
      </c>
      <c r="Y558" s="56">
        <f>_xlfn.XLOOKUP($N558,'Calculo Leads'!$A$97:$A$134,'Calculo Leads'!L$97:L$134)*_xlfn.XLOOKUP($P558,'Base Grupo de Produtos'!$E$2:$E$18,'Base Grupo de Produtos'!$F$2:$F$18)</f>
        <v>219.99999999999997</v>
      </c>
      <c r="Z558" s="56">
        <f>_xlfn.XLOOKUP($N558,'Calculo Leads'!$A$97:$A$134,'Calculo Leads'!M$97:M$134)*_xlfn.XLOOKUP($P558,'Base Grupo de Produtos'!$E$2:$E$18,'Base Grupo de Produtos'!$F$2:$F$18)</f>
        <v>219.99999999999997</v>
      </c>
      <c r="AA558" s="56">
        <f>_xlfn.XLOOKUP($N558,'Calculo Leads'!$A$97:$A$134,'Calculo Leads'!N$97:N$134)*_xlfn.XLOOKUP($P558,'Base Grupo de Produtos'!$E$2:$E$18,'Base Grupo de Produtos'!$F$2:$F$18)</f>
        <v>275</v>
      </c>
      <c r="AB558" s="56">
        <f>_xlfn.XLOOKUP($N558,'Calculo Leads'!$A$97:$A$134,'Calculo Leads'!O$97:O$134)*_xlfn.XLOOKUP($P558,'Base Grupo de Produtos'!$E$2:$E$18,'Base Grupo de Produtos'!$F$2:$F$18)</f>
        <v>165</v>
      </c>
      <c r="AC558" s="61">
        <f t="shared" si="561"/>
        <v>1495</v>
      </c>
      <c r="AD558" s="27">
        <f t="shared" si="595"/>
        <v>1495</v>
      </c>
      <c r="AE558" s="25">
        <f>IFERROR(_xlfn.XLOOKUP(N558&amp;P558,'Historico Vendas'!G:G,'Historico Vendas'!E:E),0)</f>
        <v>0</v>
      </c>
      <c r="AF558" s="29" t="str">
        <f t="shared" si="539"/>
        <v/>
      </c>
      <c r="AG558" s="24">
        <f>IFERROR(_xlfn.XLOOKUP(N558&amp;P558,'Historico Vendas'!G:G,'Historico Vendas'!F:F),0)</f>
        <v>0</v>
      </c>
      <c r="AH558" s="25">
        <f t="shared" si="596"/>
        <v>2940.6190871369286</v>
      </c>
      <c r="AI558" s="24">
        <f t="shared" si="597"/>
        <v>2940.6190871369286</v>
      </c>
      <c r="AJ558" s="11">
        <f t="shared" si="542"/>
        <v>0</v>
      </c>
      <c r="AK558" s="9" t="s">
        <v>102</v>
      </c>
      <c r="AL558" s="13">
        <f>IFERROR(INDEX('Balizador da Meta'!$D$3:$F$23,MATCH(Faturamento!$P558,'Balizador da Meta'!$C$3:$C$23,0),MATCH(Faturamento!AK558,'Balizador da Meta'!$D$2:$F$2,0)),"")</f>
        <v>0.25</v>
      </c>
      <c r="AM558" s="9"/>
    </row>
    <row r="559" spans="1:39" x14ac:dyDescent="0.3">
      <c r="A559" s="2" t="str">
        <f t="shared" si="540"/>
        <v>NÃO</v>
      </c>
      <c r="B559" s="2" t="str">
        <f>_xlfn.XLOOKUP($N559,'Base de Grupos'!$A:$A,'Base de Grupos'!$D:$D)</f>
        <v>1000065763</v>
      </c>
      <c r="C559" s="5" t="str">
        <f>_xlfn.XLOOKUP($N559,'Base de Grupos'!$A:$A,'Base de Grupos'!$E:$E)</f>
        <v>CANAL VENDA INTERNA</v>
      </c>
      <c r="D559" s="5" t="str">
        <f>_xlfn.XLOOKUP($N559,'Base de Grupos'!$A:$A,'Base de Grupos'!$F:$F)</f>
        <v>1000065763</v>
      </c>
      <c r="E559" s="2" t="str">
        <f>_xlfn.XLOOKUP($N559,'Base de Grupos'!$A:$A,'Base de Grupos'!$G:$G)</f>
        <v>CANAL VENDA INTERNA</v>
      </c>
      <c r="F559" s="2" t="str">
        <f>_xlfn.XLOOKUP($N559,'Base de Grupos'!$A:$A,'Base de Grupos'!$H:$H)</f>
        <v>1000153245</v>
      </c>
      <c r="G559" s="5" t="str">
        <f>_xlfn.XLOOKUP($N559,'Base de Grupos'!$A:$A,'Base de Grupos'!$I:$I)</f>
        <v>REGIONAL VENDA INTERNA - KEY ACCOUNT</v>
      </c>
      <c r="H559" s="5" t="str">
        <f>_xlfn.XLOOKUP($N559,'Base de Grupos'!$A:$A,'Base de Grupos'!$J:$J)</f>
        <v>1000153245</v>
      </c>
      <c r="I559" s="2" t="str">
        <f>_xlfn.XLOOKUP($N559,'Base de Grupos'!$A:$A,'Base de Grupos'!$K:$K)</f>
        <v>REGIONAL VENDA INTERNA - KEY ACCOUNT</v>
      </c>
      <c r="J559" s="2" t="str">
        <f>_xlfn.XLOOKUP($N559,'Base de Grupos'!$A:$A,'Base de Grupos'!$L:$L)</f>
        <v>1000153245</v>
      </c>
      <c r="K559" s="5" t="str">
        <f>_xlfn.XLOOKUP($N559,'Base de Grupos'!$A:$A,'Base de Grupos'!$M:$M)</f>
        <v>REGIONAL VENDA INTERNA - KEY ACCOUNT</v>
      </c>
      <c r="L559" s="5" t="str">
        <f t="shared" si="541"/>
        <v/>
      </c>
      <c r="M559" s="5" t="str">
        <f>_xlfn.XLOOKUP($N559,'Base de Grupos'!$A:$A,'Base de Grupos'!$C:$C)</f>
        <v>PI</v>
      </c>
      <c r="N559" s="3">
        <v>1430</v>
      </c>
      <c r="O559" s="4" t="s">
        <v>254</v>
      </c>
      <c r="P559" s="5" t="s">
        <v>95</v>
      </c>
      <c r="Q559" s="56">
        <v>0</v>
      </c>
      <c r="R559" s="56">
        <v>2302.1240000000003</v>
      </c>
      <c r="S559" s="56">
        <v>2616.0500000000002</v>
      </c>
      <c r="T559" s="56">
        <f>_xlfn.XLOOKUP($N559,'Calculo Leads'!$A$97:$A$134,'Calculo Leads'!G$97:G$134)*_xlfn.XLOOKUP($P559,'Base Grupo de Produtos'!$E$2:$E$18,'Base Grupo de Produtos'!$F$2:$F$18)</f>
        <v>160</v>
      </c>
      <c r="U559" s="56">
        <f>_xlfn.XLOOKUP($N559,'Calculo Leads'!$A$97:$A$134,'Calculo Leads'!H$97:H$134)*_xlfn.XLOOKUP($P559,'Base Grupo de Produtos'!$E$2:$E$18,'Base Grupo de Produtos'!$F$2:$F$18)</f>
        <v>160</v>
      </c>
      <c r="V559" s="56">
        <f>_xlfn.XLOOKUP($N559,'Calculo Leads'!$A$97:$A$134,'Calculo Leads'!I$97:I$134)*_xlfn.XLOOKUP($P559,'Base Grupo de Produtos'!$E$2:$E$18,'Base Grupo de Produtos'!$F$2:$F$18)</f>
        <v>160</v>
      </c>
      <c r="W559" s="56">
        <f>_xlfn.XLOOKUP($N559,'Calculo Leads'!$A$97:$A$134,'Calculo Leads'!J$97:J$134)*_xlfn.XLOOKUP($P559,'Base Grupo de Produtos'!$E$2:$E$18,'Base Grupo de Produtos'!$F$2:$F$18)</f>
        <v>240</v>
      </c>
      <c r="X559" s="56">
        <f>_xlfn.XLOOKUP($N559,'Calculo Leads'!$A$97:$A$134,'Calculo Leads'!K$97:K$134)*_xlfn.XLOOKUP($P559,'Base Grupo de Produtos'!$E$2:$E$18,'Base Grupo de Produtos'!$F$2:$F$18)</f>
        <v>264</v>
      </c>
      <c r="Y559" s="56">
        <f>_xlfn.XLOOKUP($N559,'Calculo Leads'!$A$97:$A$134,'Calculo Leads'!L$97:L$134)*_xlfn.XLOOKUP($P559,'Base Grupo de Produtos'!$E$2:$E$18,'Base Grupo de Produtos'!$F$2:$F$18)</f>
        <v>352</v>
      </c>
      <c r="Z559" s="56">
        <f>_xlfn.XLOOKUP($N559,'Calculo Leads'!$A$97:$A$134,'Calculo Leads'!M$97:M$134)*_xlfn.XLOOKUP($P559,'Base Grupo de Produtos'!$E$2:$E$18,'Base Grupo de Produtos'!$F$2:$F$18)</f>
        <v>352</v>
      </c>
      <c r="AA559" s="56">
        <f>_xlfn.XLOOKUP($N559,'Calculo Leads'!$A$97:$A$134,'Calculo Leads'!N$97:N$134)*_xlfn.XLOOKUP($P559,'Base Grupo de Produtos'!$E$2:$E$18,'Base Grupo de Produtos'!$F$2:$F$18)</f>
        <v>440</v>
      </c>
      <c r="AB559" s="56">
        <f>_xlfn.XLOOKUP($N559,'Calculo Leads'!$A$97:$A$134,'Calculo Leads'!O$97:O$134)*_xlfn.XLOOKUP($P559,'Base Grupo de Produtos'!$E$2:$E$18,'Base Grupo de Produtos'!$F$2:$F$18)</f>
        <v>264</v>
      </c>
      <c r="AC559" s="61">
        <f t="shared" si="561"/>
        <v>2392</v>
      </c>
      <c r="AD559" s="27">
        <f t="shared" si="595"/>
        <v>2392</v>
      </c>
      <c r="AE559" s="25">
        <f>IFERROR(_xlfn.XLOOKUP(N559&amp;P559,'Historico Vendas'!G:G,'Historico Vendas'!E:E),0)</f>
        <v>0</v>
      </c>
      <c r="AF559" s="29" t="str">
        <f t="shared" si="539"/>
        <v/>
      </c>
      <c r="AG559" s="24">
        <f>IFERROR(_xlfn.XLOOKUP(N559&amp;P559,'Historico Vendas'!G:G,'Historico Vendas'!F:F),0)</f>
        <v>0</v>
      </c>
      <c r="AH559" s="25">
        <f t="shared" si="596"/>
        <v>4918.1740000000009</v>
      </c>
      <c r="AI559" s="24">
        <f t="shared" si="597"/>
        <v>4918.1740000000009</v>
      </c>
      <c r="AJ559" s="11">
        <f t="shared" si="542"/>
        <v>0</v>
      </c>
      <c r="AK559" s="9" t="s">
        <v>102</v>
      </c>
      <c r="AL559" s="13">
        <f>IFERROR(INDEX('Balizador da Meta'!$D$3:$F$23,MATCH(Faturamento!$P559,'Balizador da Meta'!$C$3:$C$23,0),MATCH(Faturamento!AK559,'Balizador da Meta'!$D$2:$F$2,0)),"")</f>
        <v>0.25</v>
      </c>
      <c r="AM559" s="9"/>
    </row>
    <row r="560" spans="1:39" x14ac:dyDescent="0.3">
      <c r="A560" s="2" t="str">
        <f t="shared" si="540"/>
        <v>NÃO</v>
      </c>
      <c r="B560" s="2" t="str">
        <f>_xlfn.XLOOKUP($N560,'Base de Grupos'!$A:$A,'Base de Grupos'!$D:$D)</f>
        <v>1000065763</v>
      </c>
      <c r="C560" s="5" t="str">
        <f>_xlfn.XLOOKUP($N560,'Base de Grupos'!$A:$A,'Base de Grupos'!$E:$E)</f>
        <v>CANAL VENDA INTERNA</v>
      </c>
      <c r="D560" s="5" t="str">
        <f>_xlfn.XLOOKUP($N560,'Base de Grupos'!$A:$A,'Base de Grupos'!$F:$F)</f>
        <v>1000065763</v>
      </c>
      <c r="E560" s="2" t="str">
        <f>_xlfn.XLOOKUP($N560,'Base de Grupos'!$A:$A,'Base de Grupos'!$G:$G)</f>
        <v>CANAL VENDA INTERNA</v>
      </c>
      <c r="F560" s="2" t="str">
        <f>_xlfn.XLOOKUP($N560,'Base de Grupos'!$A:$A,'Base de Grupos'!$H:$H)</f>
        <v>1000153245</v>
      </c>
      <c r="G560" s="5" t="str">
        <f>_xlfn.XLOOKUP($N560,'Base de Grupos'!$A:$A,'Base de Grupos'!$I:$I)</f>
        <v>REGIONAL VENDA INTERNA - KEY ACCOUNT</v>
      </c>
      <c r="H560" s="5" t="str">
        <f>_xlfn.XLOOKUP($N560,'Base de Grupos'!$A:$A,'Base de Grupos'!$J:$J)</f>
        <v>1000153245</v>
      </c>
      <c r="I560" s="2" t="str">
        <f>_xlfn.XLOOKUP($N560,'Base de Grupos'!$A:$A,'Base de Grupos'!$K:$K)</f>
        <v>REGIONAL VENDA INTERNA - KEY ACCOUNT</v>
      </c>
      <c r="J560" s="2" t="str">
        <f>_xlfn.XLOOKUP($N560,'Base de Grupos'!$A:$A,'Base de Grupos'!$L:$L)</f>
        <v>1000153245</v>
      </c>
      <c r="K560" s="5" t="str">
        <f>_xlfn.XLOOKUP($N560,'Base de Grupos'!$A:$A,'Base de Grupos'!$M:$M)</f>
        <v>REGIONAL VENDA INTERNA - KEY ACCOUNT</v>
      </c>
      <c r="L560" s="5" t="str">
        <f t="shared" si="541"/>
        <v/>
      </c>
      <c r="M560" s="5" t="str">
        <f>_xlfn.XLOOKUP($N560,'Base de Grupos'!$A:$A,'Base de Grupos'!$C:$C)</f>
        <v>PI</v>
      </c>
      <c r="N560" s="3">
        <v>1430</v>
      </c>
      <c r="O560" s="4" t="s">
        <v>254</v>
      </c>
      <c r="P560" s="5" t="s">
        <v>93</v>
      </c>
      <c r="Q560" s="56">
        <v>0</v>
      </c>
      <c r="R560" s="56">
        <v>585.97440000000006</v>
      </c>
      <c r="S560" s="56">
        <v>585.97440000000006</v>
      </c>
      <c r="T560" s="56">
        <f>_xlfn.XLOOKUP($N560,'Calculo Leads'!$A$97:$A$134,'Calculo Leads'!G$97:G$134)*_xlfn.XLOOKUP($P560,'Base Grupo de Produtos'!$E$2:$E$18,'Base Grupo de Produtos'!$F$2:$F$18)</f>
        <v>60</v>
      </c>
      <c r="U560" s="56">
        <f>_xlfn.XLOOKUP($N560,'Calculo Leads'!$A$97:$A$134,'Calculo Leads'!H$97:H$134)*_xlfn.XLOOKUP($P560,'Base Grupo de Produtos'!$E$2:$E$18,'Base Grupo de Produtos'!$F$2:$F$18)</f>
        <v>60</v>
      </c>
      <c r="V560" s="56">
        <f>_xlfn.XLOOKUP($N560,'Calculo Leads'!$A$97:$A$134,'Calculo Leads'!I$97:I$134)*_xlfn.XLOOKUP($P560,'Base Grupo de Produtos'!$E$2:$E$18,'Base Grupo de Produtos'!$F$2:$F$18)</f>
        <v>60</v>
      </c>
      <c r="W560" s="56">
        <f>_xlfn.XLOOKUP($N560,'Calculo Leads'!$A$97:$A$134,'Calculo Leads'!J$97:J$134)*_xlfn.XLOOKUP($P560,'Base Grupo de Produtos'!$E$2:$E$18,'Base Grupo de Produtos'!$F$2:$F$18)</f>
        <v>90</v>
      </c>
      <c r="X560" s="56">
        <f>_xlfn.XLOOKUP($N560,'Calculo Leads'!$A$97:$A$134,'Calculo Leads'!K$97:K$134)*_xlfn.XLOOKUP($P560,'Base Grupo de Produtos'!$E$2:$E$18,'Base Grupo de Produtos'!$F$2:$F$18)</f>
        <v>99</v>
      </c>
      <c r="Y560" s="56">
        <f>_xlfn.XLOOKUP($N560,'Calculo Leads'!$A$97:$A$134,'Calculo Leads'!L$97:L$134)*_xlfn.XLOOKUP($P560,'Base Grupo de Produtos'!$E$2:$E$18,'Base Grupo de Produtos'!$F$2:$F$18)</f>
        <v>132</v>
      </c>
      <c r="Z560" s="56">
        <f>_xlfn.XLOOKUP($N560,'Calculo Leads'!$A$97:$A$134,'Calculo Leads'!M$97:M$134)*_xlfn.XLOOKUP($P560,'Base Grupo de Produtos'!$E$2:$E$18,'Base Grupo de Produtos'!$F$2:$F$18)</f>
        <v>132</v>
      </c>
      <c r="AA560" s="56">
        <f>_xlfn.XLOOKUP($N560,'Calculo Leads'!$A$97:$A$134,'Calculo Leads'!N$97:N$134)*_xlfn.XLOOKUP($P560,'Base Grupo de Produtos'!$E$2:$E$18,'Base Grupo de Produtos'!$F$2:$F$18)</f>
        <v>165</v>
      </c>
      <c r="AB560" s="56">
        <f>_xlfn.XLOOKUP($N560,'Calculo Leads'!$A$97:$A$134,'Calculo Leads'!O$97:O$134)*_xlfn.XLOOKUP($P560,'Base Grupo de Produtos'!$E$2:$E$18,'Base Grupo de Produtos'!$F$2:$F$18)</f>
        <v>99</v>
      </c>
      <c r="AC560" s="61">
        <f t="shared" si="561"/>
        <v>897</v>
      </c>
      <c r="AD560" s="27">
        <f t="shared" si="595"/>
        <v>897</v>
      </c>
      <c r="AE560" s="25">
        <f>IFERROR(_xlfn.XLOOKUP(N560&amp;P560,'Historico Vendas'!G:G,'Historico Vendas'!E:E),0)</f>
        <v>0</v>
      </c>
      <c r="AF560" s="29" t="str">
        <f t="shared" si="539"/>
        <v/>
      </c>
      <c r="AG560" s="24">
        <f>IFERROR(_xlfn.XLOOKUP(N560&amp;P560,'Historico Vendas'!G:G,'Historico Vendas'!F:F),0)</f>
        <v>0</v>
      </c>
      <c r="AH560" s="25">
        <f t="shared" si="596"/>
        <v>1171.9488000000001</v>
      </c>
      <c r="AI560" s="24">
        <f t="shared" si="597"/>
        <v>1171.9488000000001</v>
      </c>
      <c r="AJ560" s="11">
        <f t="shared" si="542"/>
        <v>0</v>
      </c>
      <c r="AK560" s="9" t="s">
        <v>102</v>
      </c>
      <c r="AL560" s="13">
        <f>IFERROR(INDEX('Balizador da Meta'!$D$3:$F$23,MATCH(Faturamento!$P560,'Balizador da Meta'!$C$3:$C$23,0),MATCH(Faturamento!AK560,'Balizador da Meta'!$D$2:$F$2,0)),"")</f>
        <v>0.2</v>
      </c>
      <c r="AM560" s="9"/>
    </row>
    <row r="561" spans="1:39" x14ac:dyDescent="0.3">
      <c r="A561" s="2" t="str">
        <f t="shared" si="540"/>
        <v>SIM</v>
      </c>
      <c r="B561" s="2" t="str">
        <f>_xlfn.XLOOKUP($N561,'Base de Grupos'!$A:$A,'Base de Grupos'!$D:$D)</f>
        <v>1000065763</v>
      </c>
      <c r="C561" s="5" t="str">
        <f>_xlfn.XLOOKUP($N561,'Base de Grupos'!$A:$A,'Base de Grupos'!$E:$E)</f>
        <v>CANAL VENDA INTERNA</v>
      </c>
      <c r="D561" s="5" t="str">
        <f>_xlfn.XLOOKUP($N561,'Base de Grupos'!$A:$A,'Base de Grupos'!$F:$F)</f>
        <v>1000065763</v>
      </c>
      <c r="E561" s="2" t="str">
        <f>_xlfn.XLOOKUP($N561,'Base de Grupos'!$A:$A,'Base de Grupos'!$G:$G)</f>
        <v>CANAL VENDA INTERNA</v>
      </c>
      <c r="F561" s="2" t="str">
        <f>_xlfn.XLOOKUP($N561,'Base de Grupos'!$A:$A,'Base de Grupos'!$H:$H)</f>
        <v>1000153245</v>
      </c>
      <c r="G561" s="5" t="str">
        <f>_xlfn.XLOOKUP($N561,'Base de Grupos'!$A:$A,'Base de Grupos'!$I:$I)</f>
        <v>REGIONAL VENDA INTERNA - KEY ACCOUNT</v>
      </c>
      <c r="H561" s="5" t="str">
        <f>_xlfn.XLOOKUP($N561,'Base de Grupos'!$A:$A,'Base de Grupos'!$J:$J)</f>
        <v>1000153245</v>
      </c>
      <c r="I561" s="2" t="str">
        <f>_xlfn.XLOOKUP($N561,'Base de Grupos'!$A:$A,'Base de Grupos'!$K:$K)</f>
        <v>REGIONAL VENDA INTERNA - KEY ACCOUNT</v>
      </c>
      <c r="J561" s="2" t="str">
        <f>_xlfn.XLOOKUP($N561,'Base de Grupos'!$A:$A,'Base de Grupos'!$L:$L)</f>
        <v>1000153245</v>
      </c>
      <c r="K561" s="5" t="str">
        <f>_xlfn.XLOOKUP($N561,'Base de Grupos'!$A:$A,'Base de Grupos'!$M:$M)</f>
        <v>REGIONAL VENDA INTERNA - KEY ACCOUNT</v>
      </c>
      <c r="L561" s="5">
        <f t="shared" si="541"/>
        <v>1</v>
      </c>
      <c r="M561" s="5" t="str">
        <f>_xlfn.XLOOKUP($N561,'Base de Grupos'!$A:$A,'Base de Grupos'!$C:$C)</f>
        <v>SC</v>
      </c>
      <c r="N561" s="3">
        <v>1431</v>
      </c>
      <c r="O561" s="4" t="s">
        <v>255</v>
      </c>
      <c r="P561" s="5" t="s">
        <v>325</v>
      </c>
      <c r="Q561" s="56">
        <f t="shared" ref="Q561" si="598">SUM(Q562:Q578)</f>
        <v>0</v>
      </c>
      <c r="R561" s="56">
        <f t="shared" ref="R561" si="599">SUM(R562:R578)</f>
        <v>10568.294327098127</v>
      </c>
      <c r="S561" s="56">
        <f t="shared" ref="S561" si="600">SUM(S562:S578)</f>
        <v>12029.078970466311</v>
      </c>
      <c r="T561" s="56">
        <f t="shared" ref="T561" si="601">SUM(T562:T578)</f>
        <v>1000</v>
      </c>
      <c r="U561" s="56">
        <f t="shared" ref="U561" si="602">SUM(U562:U578)</f>
        <v>1000</v>
      </c>
      <c r="V561" s="56">
        <f t="shared" ref="V561" si="603">SUM(V562:V578)</f>
        <v>1000</v>
      </c>
      <c r="W561" s="56">
        <f t="shared" ref="W561" si="604">SUM(W562:W578)</f>
        <v>1000</v>
      </c>
      <c r="X561" s="56">
        <f t="shared" ref="X561" si="605">SUM(X562:X578)</f>
        <v>2200</v>
      </c>
      <c r="Y561" s="56">
        <f t="shared" ref="Y561" si="606">SUM(Y562:Y578)</f>
        <v>2200</v>
      </c>
      <c r="Z561" s="56">
        <f t="shared" ref="Z561" si="607">SUM(Z562:Z578)</f>
        <v>2200</v>
      </c>
      <c r="AA561" s="56">
        <f t="shared" ref="AA561" si="608">SUM(AA562:AA578)</f>
        <v>2200</v>
      </c>
      <c r="AB561" s="56">
        <f t="shared" ref="AB561" si="609">SUM(AB562:AB578)</f>
        <v>2200</v>
      </c>
      <c r="AC561" s="56">
        <f t="shared" ref="AC561" si="610">SUM(AC562:AC578)</f>
        <v>15000</v>
      </c>
      <c r="AD561" s="25">
        <f t="shared" ref="AD561" si="611">SUM(AD562:AD578)</f>
        <v>15000</v>
      </c>
      <c r="AE561" s="25">
        <f t="shared" ref="AE561:AI561" si="612">SUM(AE562:AE578)</f>
        <v>0</v>
      </c>
      <c r="AF561" s="11" t="str">
        <f t="shared" ref="AF561:AF624" si="613">IFERROR((AC561-AE561)/AE561,"")</f>
        <v/>
      </c>
      <c r="AG561" s="24">
        <f t="shared" si="612"/>
        <v>0</v>
      </c>
      <c r="AH561" s="25">
        <f t="shared" si="612"/>
        <v>22597.373297564438</v>
      </c>
      <c r="AI561" s="24">
        <f t="shared" si="612"/>
        <v>22597.373297564438</v>
      </c>
      <c r="AJ561" s="11">
        <f t="shared" si="542"/>
        <v>0</v>
      </c>
      <c r="AK561" s="9"/>
      <c r="AL561" s="13"/>
      <c r="AM561" s="9"/>
    </row>
    <row r="562" spans="1:39" x14ac:dyDescent="0.3">
      <c r="A562" s="2" t="str">
        <f t="shared" ref="A562:A625" si="614">IF(L562=1,"SIM","NÃO")</f>
        <v>NÃO</v>
      </c>
      <c r="B562" s="2" t="str">
        <f>_xlfn.XLOOKUP($N562,'Base de Grupos'!$A:$A,'Base de Grupos'!$D:$D)</f>
        <v>1000065763</v>
      </c>
      <c r="C562" s="5" t="str">
        <f>_xlfn.XLOOKUP($N562,'Base de Grupos'!$A:$A,'Base de Grupos'!$E:$E)</f>
        <v>CANAL VENDA INTERNA</v>
      </c>
      <c r="D562" s="5" t="str">
        <f>_xlfn.XLOOKUP($N562,'Base de Grupos'!$A:$A,'Base de Grupos'!$F:$F)</f>
        <v>1000065763</v>
      </c>
      <c r="E562" s="2" t="str">
        <f>_xlfn.XLOOKUP($N562,'Base de Grupos'!$A:$A,'Base de Grupos'!$G:$G)</f>
        <v>CANAL VENDA INTERNA</v>
      </c>
      <c r="F562" s="2" t="str">
        <f>_xlfn.XLOOKUP($N562,'Base de Grupos'!$A:$A,'Base de Grupos'!$H:$H)</f>
        <v>1000153245</v>
      </c>
      <c r="G562" s="5" t="str">
        <f>_xlfn.XLOOKUP($N562,'Base de Grupos'!$A:$A,'Base de Grupos'!$I:$I)</f>
        <v>REGIONAL VENDA INTERNA - KEY ACCOUNT</v>
      </c>
      <c r="H562" s="5" t="str">
        <f>_xlfn.XLOOKUP($N562,'Base de Grupos'!$A:$A,'Base de Grupos'!$J:$J)</f>
        <v>1000153245</v>
      </c>
      <c r="I562" s="2" t="str">
        <f>_xlfn.XLOOKUP($N562,'Base de Grupos'!$A:$A,'Base de Grupos'!$K:$K)</f>
        <v>REGIONAL VENDA INTERNA - KEY ACCOUNT</v>
      </c>
      <c r="J562" s="2" t="str">
        <f>_xlfn.XLOOKUP($N562,'Base de Grupos'!$A:$A,'Base de Grupos'!$L:$L)</f>
        <v>1000153245</v>
      </c>
      <c r="K562" s="5" t="str">
        <f>_xlfn.XLOOKUP($N562,'Base de Grupos'!$A:$A,'Base de Grupos'!$M:$M)</f>
        <v>REGIONAL VENDA INTERNA - KEY ACCOUNT</v>
      </c>
      <c r="L562" s="5" t="str">
        <f t="shared" ref="L562:L625" si="615">IF(N562&lt;&gt;N561,1,"")</f>
        <v/>
      </c>
      <c r="M562" s="5" t="str">
        <f>_xlfn.XLOOKUP($N562,'Base de Grupos'!$A:$A,'Base de Grupos'!$C:$C)</f>
        <v>SC</v>
      </c>
      <c r="N562" s="3">
        <v>1431</v>
      </c>
      <c r="O562" s="4" t="s">
        <v>255</v>
      </c>
      <c r="P562" s="5" t="s">
        <v>81</v>
      </c>
      <c r="Q562" s="56">
        <v>0</v>
      </c>
      <c r="R562" s="56">
        <v>404.3886056291048</v>
      </c>
      <c r="S562" s="56">
        <v>505.48575703638102</v>
      </c>
      <c r="T562" s="56">
        <f>_xlfn.XLOOKUP($N562,'Calculo Leads'!$A$97:$A$134,'Calculo Leads'!G$97:G$134)*_xlfn.XLOOKUP($P562,'Base Grupo de Produtos'!$E$2:$E$18,'Base Grupo de Produtos'!$F$2:$F$18)</f>
        <v>50</v>
      </c>
      <c r="U562" s="56">
        <f>_xlfn.XLOOKUP($N562,'Calculo Leads'!$A$97:$A$134,'Calculo Leads'!H$97:H$134)*_xlfn.XLOOKUP($P562,'Base Grupo de Produtos'!$E$2:$E$18,'Base Grupo de Produtos'!$F$2:$F$18)</f>
        <v>50</v>
      </c>
      <c r="V562" s="56">
        <f>_xlfn.XLOOKUP($N562,'Calculo Leads'!$A$97:$A$134,'Calculo Leads'!I$97:I$134)*_xlfn.XLOOKUP($P562,'Base Grupo de Produtos'!$E$2:$E$18,'Base Grupo de Produtos'!$F$2:$F$18)</f>
        <v>50</v>
      </c>
      <c r="W562" s="56">
        <f>_xlfn.XLOOKUP($N562,'Calculo Leads'!$A$97:$A$134,'Calculo Leads'!J$97:J$134)*_xlfn.XLOOKUP($P562,'Base Grupo de Produtos'!$E$2:$E$18,'Base Grupo de Produtos'!$F$2:$F$18)</f>
        <v>50</v>
      </c>
      <c r="X562" s="56">
        <f>_xlfn.XLOOKUP($N562,'Calculo Leads'!$A$97:$A$134,'Calculo Leads'!K$97:K$134)*_xlfn.XLOOKUP($P562,'Base Grupo de Produtos'!$E$2:$E$18,'Base Grupo de Produtos'!$F$2:$F$18)</f>
        <v>110</v>
      </c>
      <c r="Y562" s="56">
        <f>_xlfn.XLOOKUP($N562,'Calculo Leads'!$A$97:$A$134,'Calculo Leads'!L$97:L$134)*_xlfn.XLOOKUP($P562,'Base Grupo de Produtos'!$E$2:$E$18,'Base Grupo de Produtos'!$F$2:$F$18)</f>
        <v>110</v>
      </c>
      <c r="Z562" s="56">
        <f>_xlfn.XLOOKUP($N562,'Calculo Leads'!$A$97:$A$134,'Calculo Leads'!M$97:M$134)*_xlfn.XLOOKUP($P562,'Base Grupo de Produtos'!$E$2:$E$18,'Base Grupo de Produtos'!$F$2:$F$18)</f>
        <v>110</v>
      </c>
      <c r="AA562" s="56">
        <f>_xlfn.XLOOKUP($N562,'Calculo Leads'!$A$97:$A$134,'Calculo Leads'!N$97:N$134)*_xlfn.XLOOKUP($P562,'Base Grupo de Produtos'!$E$2:$E$18,'Base Grupo de Produtos'!$F$2:$F$18)</f>
        <v>110</v>
      </c>
      <c r="AB562" s="56">
        <f>_xlfn.XLOOKUP($N562,'Calculo Leads'!$A$97:$A$134,'Calculo Leads'!O$97:O$134)*_xlfn.XLOOKUP($P562,'Base Grupo de Produtos'!$E$2:$E$18,'Base Grupo de Produtos'!$F$2:$F$18)</f>
        <v>110</v>
      </c>
      <c r="AC562" s="61">
        <f t="shared" si="561"/>
        <v>750</v>
      </c>
      <c r="AD562" s="27">
        <f t="shared" ref="AD562:AD578" si="616">IF(AC562=0,0,AC562-AG562)</f>
        <v>750</v>
      </c>
      <c r="AE562" s="25">
        <f>IFERROR(_xlfn.XLOOKUP(N562&amp;P562,'Historico Vendas'!G:G,'Historico Vendas'!E:E),0)</f>
        <v>0</v>
      </c>
      <c r="AF562" s="29" t="str">
        <f t="shared" si="613"/>
        <v/>
      </c>
      <c r="AG562" s="24">
        <f>IFERROR(_xlfn.XLOOKUP(N562&amp;P562,'Historico Vendas'!G:G,'Historico Vendas'!F:F),0)</f>
        <v>0</v>
      </c>
      <c r="AH562" s="25">
        <f t="shared" ref="AH562:AH578" si="617">SUM(Q562:S562)</f>
        <v>909.87436266548582</v>
      </c>
      <c r="AI562" s="24">
        <f t="shared" ref="AI562:AI578" si="618">AH562-AG562</f>
        <v>909.87436266548582</v>
      </c>
      <c r="AJ562" s="11">
        <f t="shared" si="542"/>
        <v>0</v>
      </c>
      <c r="AK562" s="9" t="s">
        <v>102</v>
      </c>
      <c r="AL562" s="13">
        <f>IFERROR(INDEX('Balizador da Meta'!$D$3:$F$23,MATCH(Faturamento!$P562,'Balizador da Meta'!$C$3:$C$23,0),MATCH(Faturamento!AK562,'Balizador da Meta'!$D$2:$F$2,0)),"")</f>
        <v>0.2</v>
      </c>
      <c r="AM562" s="9"/>
    </row>
    <row r="563" spans="1:39" x14ac:dyDescent="0.3">
      <c r="A563" s="2" t="str">
        <f t="shared" si="614"/>
        <v>NÃO</v>
      </c>
      <c r="B563" s="2" t="str">
        <f>_xlfn.XLOOKUP($N563,'Base de Grupos'!$A:$A,'Base de Grupos'!$D:$D)</f>
        <v>1000065763</v>
      </c>
      <c r="C563" s="5" t="str">
        <f>_xlfn.XLOOKUP($N563,'Base de Grupos'!$A:$A,'Base de Grupos'!$E:$E)</f>
        <v>CANAL VENDA INTERNA</v>
      </c>
      <c r="D563" s="5" t="str">
        <f>_xlfn.XLOOKUP($N563,'Base de Grupos'!$A:$A,'Base de Grupos'!$F:$F)</f>
        <v>1000065763</v>
      </c>
      <c r="E563" s="2" t="str">
        <f>_xlfn.XLOOKUP($N563,'Base de Grupos'!$A:$A,'Base de Grupos'!$G:$G)</f>
        <v>CANAL VENDA INTERNA</v>
      </c>
      <c r="F563" s="2" t="str">
        <f>_xlfn.XLOOKUP($N563,'Base de Grupos'!$A:$A,'Base de Grupos'!$H:$H)</f>
        <v>1000153245</v>
      </c>
      <c r="G563" s="5" t="str">
        <f>_xlfn.XLOOKUP($N563,'Base de Grupos'!$A:$A,'Base de Grupos'!$I:$I)</f>
        <v>REGIONAL VENDA INTERNA - KEY ACCOUNT</v>
      </c>
      <c r="H563" s="5" t="str">
        <f>_xlfn.XLOOKUP($N563,'Base de Grupos'!$A:$A,'Base de Grupos'!$J:$J)</f>
        <v>1000153245</v>
      </c>
      <c r="I563" s="2" t="str">
        <f>_xlfn.XLOOKUP($N563,'Base de Grupos'!$A:$A,'Base de Grupos'!$K:$K)</f>
        <v>REGIONAL VENDA INTERNA - KEY ACCOUNT</v>
      </c>
      <c r="J563" s="2" t="str">
        <f>_xlfn.XLOOKUP($N563,'Base de Grupos'!$A:$A,'Base de Grupos'!$L:$L)</f>
        <v>1000153245</v>
      </c>
      <c r="K563" s="5" t="str">
        <f>_xlfn.XLOOKUP($N563,'Base de Grupos'!$A:$A,'Base de Grupos'!$M:$M)</f>
        <v>REGIONAL VENDA INTERNA - KEY ACCOUNT</v>
      </c>
      <c r="L563" s="5" t="str">
        <f t="shared" si="615"/>
        <v/>
      </c>
      <c r="M563" s="5" t="str">
        <f>_xlfn.XLOOKUP($N563,'Base de Grupos'!$A:$A,'Base de Grupos'!$C:$C)</f>
        <v>SC</v>
      </c>
      <c r="N563" s="3">
        <v>1431</v>
      </c>
      <c r="O563" s="4" t="s">
        <v>255</v>
      </c>
      <c r="P563" s="5" t="s">
        <v>82</v>
      </c>
      <c r="Q563" s="56">
        <v>0</v>
      </c>
      <c r="R563" s="56">
        <v>2462.0564928909953</v>
      </c>
      <c r="S563" s="56">
        <v>2872.3992417061613</v>
      </c>
      <c r="T563" s="56">
        <f>_xlfn.XLOOKUP($N563,'Calculo Leads'!$A$97:$A$134,'Calculo Leads'!G$97:G$134)*_xlfn.XLOOKUP($P563,'Base Grupo de Produtos'!$E$2:$E$18,'Base Grupo de Produtos'!$F$2:$F$18)</f>
        <v>50</v>
      </c>
      <c r="U563" s="56">
        <f>_xlfn.XLOOKUP($N563,'Calculo Leads'!$A$97:$A$134,'Calculo Leads'!H$97:H$134)*_xlfn.XLOOKUP($P563,'Base Grupo de Produtos'!$E$2:$E$18,'Base Grupo de Produtos'!$F$2:$F$18)</f>
        <v>50</v>
      </c>
      <c r="V563" s="56">
        <f>_xlfn.XLOOKUP($N563,'Calculo Leads'!$A$97:$A$134,'Calculo Leads'!I$97:I$134)*_xlfn.XLOOKUP($P563,'Base Grupo de Produtos'!$E$2:$E$18,'Base Grupo de Produtos'!$F$2:$F$18)</f>
        <v>50</v>
      </c>
      <c r="W563" s="56">
        <f>_xlfn.XLOOKUP($N563,'Calculo Leads'!$A$97:$A$134,'Calculo Leads'!J$97:J$134)*_xlfn.XLOOKUP($P563,'Base Grupo de Produtos'!$E$2:$E$18,'Base Grupo de Produtos'!$F$2:$F$18)</f>
        <v>50</v>
      </c>
      <c r="X563" s="56">
        <f>_xlfn.XLOOKUP($N563,'Calculo Leads'!$A$97:$A$134,'Calculo Leads'!K$97:K$134)*_xlfn.XLOOKUP($P563,'Base Grupo de Produtos'!$E$2:$E$18,'Base Grupo de Produtos'!$F$2:$F$18)</f>
        <v>110</v>
      </c>
      <c r="Y563" s="56">
        <f>_xlfn.XLOOKUP($N563,'Calculo Leads'!$A$97:$A$134,'Calculo Leads'!L$97:L$134)*_xlfn.XLOOKUP($P563,'Base Grupo de Produtos'!$E$2:$E$18,'Base Grupo de Produtos'!$F$2:$F$18)</f>
        <v>110</v>
      </c>
      <c r="Z563" s="56">
        <f>_xlfn.XLOOKUP($N563,'Calculo Leads'!$A$97:$A$134,'Calculo Leads'!M$97:M$134)*_xlfn.XLOOKUP($P563,'Base Grupo de Produtos'!$E$2:$E$18,'Base Grupo de Produtos'!$F$2:$F$18)</f>
        <v>110</v>
      </c>
      <c r="AA563" s="56">
        <f>_xlfn.XLOOKUP($N563,'Calculo Leads'!$A$97:$A$134,'Calculo Leads'!N$97:N$134)*_xlfn.XLOOKUP($P563,'Base Grupo de Produtos'!$E$2:$E$18,'Base Grupo de Produtos'!$F$2:$F$18)</f>
        <v>110</v>
      </c>
      <c r="AB563" s="56">
        <f>_xlfn.XLOOKUP($N563,'Calculo Leads'!$A$97:$A$134,'Calculo Leads'!O$97:O$134)*_xlfn.XLOOKUP($P563,'Base Grupo de Produtos'!$E$2:$E$18,'Base Grupo de Produtos'!$F$2:$F$18)</f>
        <v>110</v>
      </c>
      <c r="AC563" s="61">
        <f t="shared" si="561"/>
        <v>750</v>
      </c>
      <c r="AD563" s="27">
        <f t="shared" si="616"/>
        <v>750</v>
      </c>
      <c r="AE563" s="25">
        <f>IFERROR(_xlfn.XLOOKUP(N563&amp;P563,'Historico Vendas'!G:G,'Historico Vendas'!E:E),0)</f>
        <v>0</v>
      </c>
      <c r="AF563" s="29" t="str">
        <f t="shared" si="613"/>
        <v/>
      </c>
      <c r="AG563" s="24">
        <f>IFERROR(_xlfn.XLOOKUP(N563&amp;P563,'Historico Vendas'!G:G,'Historico Vendas'!F:F),0)</f>
        <v>0</v>
      </c>
      <c r="AH563" s="25">
        <f t="shared" si="617"/>
        <v>5334.4557345971571</v>
      </c>
      <c r="AI563" s="24">
        <f t="shared" si="618"/>
        <v>5334.4557345971571</v>
      </c>
      <c r="AJ563" s="11">
        <f t="shared" si="542"/>
        <v>0</v>
      </c>
      <c r="AK563" s="9" t="s">
        <v>102</v>
      </c>
      <c r="AL563" s="13">
        <f>IFERROR(INDEX('Balizador da Meta'!$D$3:$F$23,MATCH(Faturamento!$P563,'Balizador da Meta'!$C$3:$C$23,0),MATCH(Faturamento!AK563,'Balizador da Meta'!$D$2:$F$2,0)),"")</f>
        <v>0.2</v>
      </c>
      <c r="AM563" s="9"/>
    </row>
    <row r="564" spans="1:39" x14ac:dyDescent="0.3">
      <c r="A564" s="2" t="str">
        <f t="shared" si="614"/>
        <v>NÃO</v>
      </c>
      <c r="B564" s="2" t="str">
        <f>_xlfn.XLOOKUP($N564,'Base de Grupos'!$A:$A,'Base de Grupos'!$D:$D)</f>
        <v>1000065763</v>
      </c>
      <c r="C564" s="5" t="str">
        <f>_xlfn.XLOOKUP($N564,'Base de Grupos'!$A:$A,'Base de Grupos'!$E:$E)</f>
        <v>CANAL VENDA INTERNA</v>
      </c>
      <c r="D564" s="5" t="str">
        <f>_xlfn.XLOOKUP($N564,'Base de Grupos'!$A:$A,'Base de Grupos'!$F:$F)</f>
        <v>1000065763</v>
      </c>
      <c r="E564" s="2" t="str">
        <f>_xlfn.XLOOKUP($N564,'Base de Grupos'!$A:$A,'Base de Grupos'!$G:$G)</f>
        <v>CANAL VENDA INTERNA</v>
      </c>
      <c r="F564" s="2" t="str">
        <f>_xlfn.XLOOKUP($N564,'Base de Grupos'!$A:$A,'Base de Grupos'!$H:$H)</f>
        <v>1000153245</v>
      </c>
      <c r="G564" s="5" t="str">
        <f>_xlfn.XLOOKUP($N564,'Base de Grupos'!$A:$A,'Base de Grupos'!$I:$I)</f>
        <v>REGIONAL VENDA INTERNA - KEY ACCOUNT</v>
      </c>
      <c r="H564" s="5" t="str">
        <f>_xlfn.XLOOKUP($N564,'Base de Grupos'!$A:$A,'Base de Grupos'!$J:$J)</f>
        <v>1000153245</v>
      </c>
      <c r="I564" s="2" t="str">
        <f>_xlfn.XLOOKUP($N564,'Base de Grupos'!$A:$A,'Base de Grupos'!$K:$K)</f>
        <v>REGIONAL VENDA INTERNA - KEY ACCOUNT</v>
      </c>
      <c r="J564" s="2" t="str">
        <f>_xlfn.XLOOKUP($N564,'Base de Grupos'!$A:$A,'Base de Grupos'!$L:$L)</f>
        <v>1000153245</v>
      </c>
      <c r="K564" s="5" t="str">
        <f>_xlfn.XLOOKUP($N564,'Base de Grupos'!$A:$A,'Base de Grupos'!$M:$M)</f>
        <v>REGIONAL VENDA INTERNA - KEY ACCOUNT</v>
      </c>
      <c r="L564" s="5" t="str">
        <f t="shared" si="615"/>
        <v/>
      </c>
      <c r="M564" s="5" t="str">
        <f>_xlfn.XLOOKUP($N564,'Base de Grupos'!$A:$A,'Base de Grupos'!$C:$C)</f>
        <v>SC</v>
      </c>
      <c r="N564" s="3">
        <v>1431</v>
      </c>
      <c r="O564" s="4" t="s">
        <v>255</v>
      </c>
      <c r="P564" s="5" t="s">
        <v>84</v>
      </c>
      <c r="Q564" s="56">
        <v>0</v>
      </c>
      <c r="R564" s="56">
        <v>441.5151111111112</v>
      </c>
      <c r="S564" s="56">
        <v>551.89388888888902</v>
      </c>
      <c r="T564" s="56">
        <f>_xlfn.XLOOKUP($N564,'Calculo Leads'!$A$97:$A$134,'Calculo Leads'!G$97:G$134)*_xlfn.XLOOKUP($P564,'Base Grupo de Produtos'!$E$2:$E$18,'Base Grupo de Produtos'!$F$2:$F$18)</f>
        <v>80</v>
      </c>
      <c r="U564" s="56">
        <f>_xlfn.XLOOKUP($N564,'Calculo Leads'!$A$97:$A$134,'Calculo Leads'!H$97:H$134)*_xlfn.XLOOKUP($P564,'Base Grupo de Produtos'!$E$2:$E$18,'Base Grupo de Produtos'!$F$2:$F$18)</f>
        <v>80</v>
      </c>
      <c r="V564" s="56">
        <f>_xlfn.XLOOKUP($N564,'Calculo Leads'!$A$97:$A$134,'Calculo Leads'!I$97:I$134)*_xlfn.XLOOKUP($P564,'Base Grupo de Produtos'!$E$2:$E$18,'Base Grupo de Produtos'!$F$2:$F$18)</f>
        <v>80</v>
      </c>
      <c r="W564" s="56">
        <f>_xlfn.XLOOKUP($N564,'Calculo Leads'!$A$97:$A$134,'Calculo Leads'!J$97:J$134)*_xlfn.XLOOKUP($P564,'Base Grupo de Produtos'!$E$2:$E$18,'Base Grupo de Produtos'!$F$2:$F$18)</f>
        <v>80</v>
      </c>
      <c r="X564" s="56">
        <f>_xlfn.XLOOKUP($N564,'Calculo Leads'!$A$97:$A$134,'Calculo Leads'!K$97:K$134)*_xlfn.XLOOKUP($P564,'Base Grupo de Produtos'!$E$2:$E$18,'Base Grupo de Produtos'!$F$2:$F$18)</f>
        <v>176</v>
      </c>
      <c r="Y564" s="56">
        <f>_xlfn.XLOOKUP($N564,'Calculo Leads'!$A$97:$A$134,'Calculo Leads'!L$97:L$134)*_xlfn.XLOOKUP($P564,'Base Grupo de Produtos'!$E$2:$E$18,'Base Grupo de Produtos'!$F$2:$F$18)</f>
        <v>176</v>
      </c>
      <c r="Z564" s="56">
        <f>_xlfn.XLOOKUP($N564,'Calculo Leads'!$A$97:$A$134,'Calculo Leads'!M$97:M$134)*_xlfn.XLOOKUP($P564,'Base Grupo de Produtos'!$E$2:$E$18,'Base Grupo de Produtos'!$F$2:$F$18)</f>
        <v>176</v>
      </c>
      <c r="AA564" s="56">
        <f>_xlfn.XLOOKUP($N564,'Calculo Leads'!$A$97:$A$134,'Calculo Leads'!N$97:N$134)*_xlfn.XLOOKUP($P564,'Base Grupo de Produtos'!$E$2:$E$18,'Base Grupo de Produtos'!$F$2:$F$18)</f>
        <v>176</v>
      </c>
      <c r="AB564" s="56">
        <f>_xlfn.XLOOKUP($N564,'Calculo Leads'!$A$97:$A$134,'Calculo Leads'!O$97:O$134)*_xlfn.XLOOKUP($P564,'Base Grupo de Produtos'!$E$2:$E$18,'Base Grupo de Produtos'!$F$2:$F$18)</f>
        <v>176</v>
      </c>
      <c r="AC564" s="61">
        <f t="shared" si="561"/>
        <v>1200</v>
      </c>
      <c r="AD564" s="27">
        <f t="shared" si="616"/>
        <v>1200</v>
      </c>
      <c r="AE564" s="25">
        <f>IFERROR(_xlfn.XLOOKUP(N564&amp;P564,'Historico Vendas'!G:G,'Historico Vendas'!E:E),0)</f>
        <v>0</v>
      </c>
      <c r="AF564" s="29" t="str">
        <f t="shared" si="613"/>
        <v/>
      </c>
      <c r="AG564" s="24">
        <f>IFERROR(_xlfn.XLOOKUP(N564&amp;P564,'Historico Vendas'!G:G,'Historico Vendas'!F:F),0)</f>
        <v>0</v>
      </c>
      <c r="AH564" s="25">
        <f t="shared" si="617"/>
        <v>993.40900000000022</v>
      </c>
      <c r="AI564" s="24">
        <f t="shared" si="618"/>
        <v>993.40900000000022</v>
      </c>
      <c r="AJ564" s="11">
        <f t="shared" si="542"/>
        <v>0</v>
      </c>
      <c r="AK564" s="9" t="s">
        <v>102</v>
      </c>
      <c r="AL564" s="13">
        <f>IFERROR(INDEX('Balizador da Meta'!$D$3:$F$23,MATCH(Faturamento!$P564,'Balizador da Meta'!$C$3:$C$23,0),MATCH(Faturamento!AK564,'Balizador da Meta'!$D$2:$F$2,0)),"")</f>
        <v>0.15</v>
      </c>
      <c r="AM564" s="9"/>
    </row>
    <row r="565" spans="1:39" x14ac:dyDescent="0.3">
      <c r="A565" s="2" t="str">
        <f t="shared" si="614"/>
        <v>NÃO</v>
      </c>
      <c r="B565" s="2" t="str">
        <f>_xlfn.XLOOKUP($N565,'Base de Grupos'!$A:$A,'Base de Grupos'!$D:$D)</f>
        <v>1000065763</v>
      </c>
      <c r="C565" s="5" t="str">
        <f>_xlfn.XLOOKUP($N565,'Base de Grupos'!$A:$A,'Base de Grupos'!$E:$E)</f>
        <v>CANAL VENDA INTERNA</v>
      </c>
      <c r="D565" s="5" t="str">
        <f>_xlfn.XLOOKUP($N565,'Base de Grupos'!$A:$A,'Base de Grupos'!$F:$F)</f>
        <v>1000065763</v>
      </c>
      <c r="E565" s="2" t="str">
        <f>_xlfn.XLOOKUP($N565,'Base de Grupos'!$A:$A,'Base de Grupos'!$G:$G)</f>
        <v>CANAL VENDA INTERNA</v>
      </c>
      <c r="F565" s="2" t="str">
        <f>_xlfn.XLOOKUP($N565,'Base de Grupos'!$A:$A,'Base de Grupos'!$H:$H)</f>
        <v>1000153245</v>
      </c>
      <c r="G565" s="5" t="str">
        <f>_xlfn.XLOOKUP($N565,'Base de Grupos'!$A:$A,'Base de Grupos'!$I:$I)</f>
        <v>REGIONAL VENDA INTERNA - KEY ACCOUNT</v>
      </c>
      <c r="H565" s="5" t="str">
        <f>_xlfn.XLOOKUP($N565,'Base de Grupos'!$A:$A,'Base de Grupos'!$J:$J)</f>
        <v>1000153245</v>
      </c>
      <c r="I565" s="2" t="str">
        <f>_xlfn.XLOOKUP($N565,'Base de Grupos'!$A:$A,'Base de Grupos'!$K:$K)</f>
        <v>REGIONAL VENDA INTERNA - KEY ACCOUNT</v>
      </c>
      <c r="J565" s="2" t="str">
        <f>_xlfn.XLOOKUP($N565,'Base de Grupos'!$A:$A,'Base de Grupos'!$L:$L)</f>
        <v>1000153245</v>
      </c>
      <c r="K565" s="5" t="str">
        <f>_xlfn.XLOOKUP($N565,'Base de Grupos'!$A:$A,'Base de Grupos'!$M:$M)</f>
        <v>REGIONAL VENDA INTERNA - KEY ACCOUNT</v>
      </c>
      <c r="L565" s="5" t="str">
        <f t="shared" si="615"/>
        <v/>
      </c>
      <c r="M565" s="5" t="str">
        <f>_xlfn.XLOOKUP($N565,'Base de Grupos'!$A:$A,'Base de Grupos'!$C:$C)</f>
        <v>SC</v>
      </c>
      <c r="N565" s="3">
        <v>1431</v>
      </c>
      <c r="O565" s="4" t="s">
        <v>255</v>
      </c>
      <c r="P565" s="5" t="s">
        <v>83</v>
      </c>
      <c r="Q565" s="56">
        <v>0</v>
      </c>
      <c r="R565" s="56">
        <v>555.05619047619052</v>
      </c>
      <c r="S565" s="56">
        <v>555.05619047619052</v>
      </c>
      <c r="T565" s="56">
        <f>_xlfn.XLOOKUP($N565,'Calculo Leads'!$A$97:$A$134,'Calculo Leads'!G$97:G$134)*_xlfn.XLOOKUP($P565,'Base Grupo de Produtos'!$E$2:$E$18,'Base Grupo de Produtos'!$F$2:$F$18)</f>
        <v>100</v>
      </c>
      <c r="U565" s="56">
        <f>_xlfn.XLOOKUP($N565,'Calculo Leads'!$A$97:$A$134,'Calculo Leads'!H$97:H$134)*_xlfn.XLOOKUP($P565,'Base Grupo de Produtos'!$E$2:$E$18,'Base Grupo de Produtos'!$F$2:$F$18)</f>
        <v>100</v>
      </c>
      <c r="V565" s="56">
        <f>_xlfn.XLOOKUP($N565,'Calculo Leads'!$A$97:$A$134,'Calculo Leads'!I$97:I$134)*_xlfn.XLOOKUP($P565,'Base Grupo de Produtos'!$E$2:$E$18,'Base Grupo de Produtos'!$F$2:$F$18)</f>
        <v>100</v>
      </c>
      <c r="W565" s="56">
        <f>_xlfn.XLOOKUP($N565,'Calculo Leads'!$A$97:$A$134,'Calculo Leads'!J$97:J$134)*_xlfn.XLOOKUP($P565,'Base Grupo de Produtos'!$E$2:$E$18,'Base Grupo de Produtos'!$F$2:$F$18)</f>
        <v>100</v>
      </c>
      <c r="X565" s="56">
        <f>_xlfn.XLOOKUP($N565,'Calculo Leads'!$A$97:$A$134,'Calculo Leads'!K$97:K$134)*_xlfn.XLOOKUP($P565,'Base Grupo de Produtos'!$E$2:$E$18,'Base Grupo de Produtos'!$F$2:$F$18)</f>
        <v>220</v>
      </c>
      <c r="Y565" s="56">
        <f>_xlfn.XLOOKUP($N565,'Calculo Leads'!$A$97:$A$134,'Calculo Leads'!L$97:L$134)*_xlfn.XLOOKUP($P565,'Base Grupo de Produtos'!$E$2:$E$18,'Base Grupo de Produtos'!$F$2:$F$18)</f>
        <v>220</v>
      </c>
      <c r="Z565" s="56">
        <f>_xlfn.XLOOKUP($N565,'Calculo Leads'!$A$97:$A$134,'Calculo Leads'!M$97:M$134)*_xlfn.XLOOKUP($P565,'Base Grupo de Produtos'!$E$2:$E$18,'Base Grupo de Produtos'!$F$2:$F$18)</f>
        <v>220</v>
      </c>
      <c r="AA565" s="56">
        <f>_xlfn.XLOOKUP($N565,'Calculo Leads'!$A$97:$A$134,'Calculo Leads'!N$97:N$134)*_xlfn.XLOOKUP($P565,'Base Grupo de Produtos'!$E$2:$E$18,'Base Grupo de Produtos'!$F$2:$F$18)</f>
        <v>220</v>
      </c>
      <c r="AB565" s="56">
        <f>_xlfn.XLOOKUP($N565,'Calculo Leads'!$A$97:$A$134,'Calculo Leads'!O$97:O$134)*_xlfn.XLOOKUP($P565,'Base Grupo de Produtos'!$E$2:$E$18,'Base Grupo de Produtos'!$F$2:$F$18)</f>
        <v>220</v>
      </c>
      <c r="AC565" s="61">
        <f t="shared" si="561"/>
        <v>1500</v>
      </c>
      <c r="AD565" s="27">
        <f t="shared" si="616"/>
        <v>1500</v>
      </c>
      <c r="AE565" s="25">
        <f>IFERROR(_xlfn.XLOOKUP(N565&amp;P565,'Historico Vendas'!G:G,'Historico Vendas'!E:E),0)</f>
        <v>0</v>
      </c>
      <c r="AF565" s="29" t="str">
        <f t="shared" si="613"/>
        <v/>
      </c>
      <c r="AG565" s="24">
        <f>IFERROR(_xlfn.XLOOKUP(N565&amp;P565,'Historico Vendas'!G:G,'Historico Vendas'!F:F),0)</f>
        <v>0</v>
      </c>
      <c r="AH565" s="25">
        <f t="shared" si="617"/>
        <v>1110.112380952381</v>
      </c>
      <c r="AI565" s="24">
        <f t="shared" si="618"/>
        <v>1110.112380952381</v>
      </c>
      <c r="AJ565" s="11">
        <f t="shared" si="542"/>
        <v>0</v>
      </c>
      <c r="AK565" s="9" t="s">
        <v>102</v>
      </c>
      <c r="AL565" s="13">
        <f>IFERROR(INDEX('Balizador da Meta'!$D$3:$F$23,MATCH(Faturamento!$P565,'Balizador da Meta'!$C$3:$C$23,0),MATCH(Faturamento!AK565,'Balizador da Meta'!$D$2:$F$2,0)),"")</f>
        <v>0</v>
      </c>
      <c r="AM565" s="9"/>
    </row>
    <row r="566" spans="1:39" x14ac:dyDescent="0.3">
      <c r="A566" s="2" t="str">
        <f t="shared" si="614"/>
        <v>NÃO</v>
      </c>
      <c r="B566" s="2" t="str">
        <f>_xlfn.XLOOKUP($N566,'Base de Grupos'!$A:$A,'Base de Grupos'!$D:$D)</f>
        <v>1000065763</v>
      </c>
      <c r="C566" s="5" t="str">
        <f>_xlfn.XLOOKUP($N566,'Base de Grupos'!$A:$A,'Base de Grupos'!$E:$E)</f>
        <v>CANAL VENDA INTERNA</v>
      </c>
      <c r="D566" s="5" t="str">
        <f>_xlfn.XLOOKUP($N566,'Base de Grupos'!$A:$A,'Base de Grupos'!$F:$F)</f>
        <v>1000065763</v>
      </c>
      <c r="E566" s="2" t="str">
        <f>_xlfn.XLOOKUP($N566,'Base de Grupos'!$A:$A,'Base de Grupos'!$G:$G)</f>
        <v>CANAL VENDA INTERNA</v>
      </c>
      <c r="F566" s="2" t="str">
        <f>_xlfn.XLOOKUP($N566,'Base de Grupos'!$A:$A,'Base de Grupos'!$H:$H)</f>
        <v>1000153245</v>
      </c>
      <c r="G566" s="5" t="str">
        <f>_xlfn.XLOOKUP($N566,'Base de Grupos'!$A:$A,'Base de Grupos'!$I:$I)</f>
        <v>REGIONAL VENDA INTERNA - KEY ACCOUNT</v>
      </c>
      <c r="H566" s="5" t="str">
        <f>_xlfn.XLOOKUP($N566,'Base de Grupos'!$A:$A,'Base de Grupos'!$J:$J)</f>
        <v>1000153245</v>
      </c>
      <c r="I566" s="2" t="str">
        <f>_xlfn.XLOOKUP($N566,'Base de Grupos'!$A:$A,'Base de Grupos'!$K:$K)</f>
        <v>REGIONAL VENDA INTERNA - KEY ACCOUNT</v>
      </c>
      <c r="J566" s="2" t="str">
        <f>_xlfn.XLOOKUP($N566,'Base de Grupos'!$A:$A,'Base de Grupos'!$L:$L)</f>
        <v>1000153245</v>
      </c>
      <c r="K566" s="5" t="str">
        <f>_xlfn.XLOOKUP($N566,'Base de Grupos'!$A:$A,'Base de Grupos'!$M:$M)</f>
        <v>REGIONAL VENDA INTERNA - KEY ACCOUNT</v>
      </c>
      <c r="L566" s="5" t="str">
        <f t="shared" si="615"/>
        <v/>
      </c>
      <c r="M566" s="5" t="str">
        <f>_xlfn.XLOOKUP($N566,'Base de Grupos'!$A:$A,'Base de Grupos'!$C:$C)</f>
        <v>SC</v>
      </c>
      <c r="N566" s="3">
        <v>1431</v>
      </c>
      <c r="O566" s="4" t="s">
        <v>255</v>
      </c>
      <c r="P566" s="5" t="s">
        <v>87</v>
      </c>
      <c r="Q566" s="56">
        <v>0</v>
      </c>
      <c r="R566" s="56">
        <v>124.75666666666666</v>
      </c>
      <c r="S566" s="56">
        <v>249.51333333333332</v>
      </c>
      <c r="T566" s="56">
        <f>_xlfn.XLOOKUP($N566,'Calculo Leads'!$A$97:$A$134,'Calculo Leads'!G$97:G$134)*_xlfn.XLOOKUP($P566,'Base Grupo de Produtos'!$E$2:$E$18,'Base Grupo de Produtos'!$F$2:$F$18)</f>
        <v>19.999999999999996</v>
      </c>
      <c r="U566" s="56">
        <f>_xlfn.XLOOKUP($N566,'Calculo Leads'!$A$97:$A$134,'Calculo Leads'!H$97:H$134)*_xlfn.XLOOKUP($P566,'Base Grupo de Produtos'!$E$2:$E$18,'Base Grupo de Produtos'!$F$2:$F$18)</f>
        <v>19.999999999999996</v>
      </c>
      <c r="V566" s="56">
        <f>_xlfn.XLOOKUP($N566,'Calculo Leads'!$A$97:$A$134,'Calculo Leads'!I$97:I$134)*_xlfn.XLOOKUP($P566,'Base Grupo de Produtos'!$E$2:$E$18,'Base Grupo de Produtos'!$F$2:$F$18)</f>
        <v>19.999999999999996</v>
      </c>
      <c r="W566" s="56">
        <f>_xlfn.XLOOKUP($N566,'Calculo Leads'!$A$97:$A$134,'Calculo Leads'!J$97:J$134)*_xlfn.XLOOKUP($P566,'Base Grupo de Produtos'!$E$2:$E$18,'Base Grupo de Produtos'!$F$2:$F$18)</f>
        <v>19.999999999999996</v>
      </c>
      <c r="X566" s="56">
        <f>_xlfn.XLOOKUP($N566,'Calculo Leads'!$A$97:$A$134,'Calculo Leads'!K$97:K$134)*_xlfn.XLOOKUP($P566,'Base Grupo de Produtos'!$E$2:$E$18,'Base Grupo de Produtos'!$F$2:$F$18)</f>
        <v>43.999999999999993</v>
      </c>
      <c r="Y566" s="56">
        <f>_xlfn.XLOOKUP($N566,'Calculo Leads'!$A$97:$A$134,'Calculo Leads'!L$97:L$134)*_xlfn.XLOOKUP($P566,'Base Grupo de Produtos'!$E$2:$E$18,'Base Grupo de Produtos'!$F$2:$F$18)</f>
        <v>43.999999999999993</v>
      </c>
      <c r="Z566" s="56">
        <f>_xlfn.XLOOKUP($N566,'Calculo Leads'!$A$97:$A$134,'Calculo Leads'!M$97:M$134)*_xlfn.XLOOKUP($P566,'Base Grupo de Produtos'!$E$2:$E$18,'Base Grupo de Produtos'!$F$2:$F$18)</f>
        <v>43.999999999999993</v>
      </c>
      <c r="AA566" s="56">
        <f>_xlfn.XLOOKUP($N566,'Calculo Leads'!$A$97:$A$134,'Calculo Leads'!N$97:N$134)*_xlfn.XLOOKUP($P566,'Base Grupo de Produtos'!$E$2:$E$18,'Base Grupo de Produtos'!$F$2:$F$18)</f>
        <v>43.999999999999993</v>
      </c>
      <c r="AB566" s="56">
        <f>_xlfn.XLOOKUP($N566,'Calculo Leads'!$A$97:$A$134,'Calculo Leads'!O$97:O$134)*_xlfn.XLOOKUP($P566,'Base Grupo de Produtos'!$E$2:$E$18,'Base Grupo de Produtos'!$F$2:$F$18)</f>
        <v>43.999999999999993</v>
      </c>
      <c r="AC566" s="61">
        <f t="shared" si="561"/>
        <v>299.99999999999994</v>
      </c>
      <c r="AD566" s="27">
        <f t="shared" si="616"/>
        <v>299.99999999999994</v>
      </c>
      <c r="AE566" s="25">
        <f>IFERROR(_xlfn.XLOOKUP(N566&amp;P566,'Historico Vendas'!G:G,'Historico Vendas'!E:E),0)</f>
        <v>0</v>
      </c>
      <c r="AF566" s="29" t="str">
        <f t="shared" si="613"/>
        <v/>
      </c>
      <c r="AG566" s="24">
        <f>IFERROR(_xlfn.XLOOKUP(N566&amp;P566,'Historico Vendas'!G:G,'Historico Vendas'!F:F),0)</f>
        <v>0</v>
      </c>
      <c r="AH566" s="25">
        <f t="shared" si="617"/>
        <v>374.27</v>
      </c>
      <c r="AI566" s="24">
        <f t="shared" si="618"/>
        <v>374.27</v>
      </c>
      <c r="AJ566" s="11">
        <f t="shared" si="542"/>
        <v>0</v>
      </c>
      <c r="AK566" s="9" t="s">
        <v>102</v>
      </c>
      <c r="AL566" s="13">
        <f>IFERROR(INDEX('Balizador da Meta'!$D$3:$F$23,MATCH(Faturamento!$P566,'Balizador da Meta'!$C$3:$C$23,0),MATCH(Faturamento!AK566,'Balizador da Meta'!$D$2:$F$2,0)),"")</f>
        <v>0</v>
      </c>
      <c r="AM566" s="9"/>
    </row>
    <row r="567" spans="1:39" x14ac:dyDescent="0.3">
      <c r="A567" s="2" t="str">
        <f t="shared" si="614"/>
        <v>NÃO</v>
      </c>
      <c r="B567" s="2" t="str">
        <f>_xlfn.XLOOKUP($N567,'Base de Grupos'!$A:$A,'Base de Grupos'!$D:$D)</f>
        <v>1000065763</v>
      </c>
      <c r="C567" s="5" t="str">
        <f>_xlfn.XLOOKUP($N567,'Base de Grupos'!$A:$A,'Base de Grupos'!$E:$E)</f>
        <v>CANAL VENDA INTERNA</v>
      </c>
      <c r="D567" s="5" t="str">
        <f>_xlfn.XLOOKUP($N567,'Base de Grupos'!$A:$A,'Base de Grupos'!$F:$F)</f>
        <v>1000065763</v>
      </c>
      <c r="E567" s="2" t="str">
        <f>_xlfn.XLOOKUP($N567,'Base de Grupos'!$A:$A,'Base de Grupos'!$G:$G)</f>
        <v>CANAL VENDA INTERNA</v>
      </c>
      <c r="F567" s="2" t="str">
        <f>_xlfn.XLOOKUP($N567,'Base de Grupos'!$A:$A,'Base de Grupos'!$H:$H)</f>
        <v>1000153245</v>
      </c>
      <c r="G567" s="5" t="str">
        <f>_xlfn.XLOOKUP($N567,'Base de Grupos'!$A:$A,'Base de Grupos'!$I:$I)</f>
        <v>REGIONAL VENDA INTERNA - KEY ACCOUNT</v>
      </c>
      <c r="H567" s="5" t="str">
        <f>_xlfn.XLOOKUP($N567,'Base de Grupos'!$A:$A,'Base de Grupos'!$J:$J)</f>
        <v>1000153245</v>
      </c>
      <c r="I567" s="2" t="str">
        <f>_xlfn.XLOOKUP($N567,'Base de Grupos'!$A:$A,'Base de Grupos'!$K:$K)</f>
        <v>REGIONAL VENDA INTERNA - KEY ACCOUNT</v>
      </c>
      <c r="J567" s="2" t="str">
        <f>_xlfn.XLOOKUP($N567,'Base de Grupos'!$A:$A,'Base de Grupos'!$L:$L)</f>
        <v>1000153245</v>
      </c>
      <c r="K567" s="5" t="str">
        <f>_xlfn.XLOOKUP($N567,'Base de Grupos'!$A:$A,'Base de Grupos'!$M:$M)</f>
        <v>REGIONAL VENDA INTERNA - KEY ACCOUNT</v>
      </c>
      <c r="L567" s="5" t="str">
        <f t="shared" si="615"/>
        <v/>
      </c>
      <c r="M567" s="5" t="str">
        <f>_xlfn.XLOOKUP($N567,'Base de Grupos'!$A:$A,'Base de Grupos'!$C:$C)</f>
        <v>SC</v>
      </c>
      <c r="N567" s="3">
        <v>1431</v>
      </c>
      <c r="O567" s="4" t="s">
        <v>255</v>
      </c>
      <c r="P567" s="5" t="s">
        <v>85</v>
      </c>
      <c r="Q567" s="56">
        <v>0</v>
      </c>
      <c r="R567" s="56">
        <v>315.14999999999998</v>
      </c>
      <c r="S567" s="56">
        <v>420.2</v>
      </c>
      <c r="T567" s="56">
        <f>_xlfn.XLOOKUP($N567,'Calculo Leads'!$A$97:$A$134,'Calculo Leads'!G$97:G$134)*_xlfn.XLOOKUP($P567,'Base Grupo de Produtos'!$E$2:$E$18,'Base Grupo de Produtos'!$F$2:$F$18)</f>
        <v>20</v>
      </c>
      <c r="U567" s="56">
        <f>_xlfn.XLOOKUP($N567,'Calculo Leads'!$A$97:$A$134,'Calculo Leads'!H$97:H$134)*_xlfn.XLOOKUP($P567,'Base Grupo de Produtos'!$E$2:$E$18,'Base Grupo de Produtos'!$F$2:$F$18)</f>
        <v>20</v>
      </c>
      <c r="V567" s="56">
        <f>_xlfn.XLOOKUP($N567,'Calculo Leads'!$A$97:$A$134,'Calculo Leads'!I$97:I$134)*_xlfn.XLOOKUP($P567,'Base Grupo de Produtos'!$E$2:$E$18,'Base Grupo de Produtos'!$F$2:$F$18)</f>
        <v>20</v>
      </c>
      <c r="W567" s="56">
        <f>_xlfn.XLOOKUP($N567,'Calculo Leads'!$A$97:$A$134,'Calculo Leads'!J$97:J$134)*_xlfn.XLOOKUP($P567,'Base Grupo de Produtos'!$E$2:$E$18,'Base Grupo de Produtos'!$F$2:$F$18)</f>
        <v>20</v>
      </c>
      <c r="X567" s="56">
        <f>_xlfn.XLOOKUP($N567,'Calculo Leads'!$A$97:$A$134,'Calculo Leads'!K$97:K$134)*_xlfn.XLOOKUP($P567,'Base Grupo de Produtos'!$E$2:$E$18,'Base Grupo de Produtos'!$F$2:$F$18)</f>
        <v>44</v>
      </c>
      <c r="Y567" s="56">
        <f>_xlfn.XLOOKUP($N567,'Calculo Leads'!$A$97:$A$134,'Calculo Leads'!L$97:L$134)*_xlfn.XLOOKUP($P567,'Base Grupo de Produtos'!$E$2:$E$18,'Base Grupo de Produtos'!$F$2:$F$18)</f>
        <v>44</v>
      </c>
      <c r="Z567" s="56">
        <f>_xlfn.XLOOKUP($N567,'Calculo Leads'!$A$97:$A$134,'Calculo Leads'!M$97:M$134)*_xlfn.XLOOKUP($P567,'Base Grupo de Produtos'!$E$2:$E$18,'Base Grupo de Produtos'!$F$2:$F$18)</f>
        <v>44</v>
      </c>
      <c r="AA567" s="56">
        <f>_xlfn.XLOOKUP($N567,'Calculo Leads'!$A$97:$A$134,'Calculo Leads'!N$97:N$134)*_xlfn.XLOOKUP($P567,'Base Grupo de Produtos'!$E$2:$E$18,'Base Grupo de Produtos'!$F$2:$F$18)</f>
        <v>44</v>
      </c>
      <c r="AB567" s="56">
        <f>_xlfn.XLOOKUP($N567,'Calculo Leads'!$A$97:$A$134,'Calculo Leads'!O$97:O$134)*_xlfn.XLOOKUP($P567,'Base Grupo de Produtos'!$E$2:$E$18,'Base Grupo de Produtos'!$F$2:$F$18)</f>
        <v>44</v>
      </c>
      <c r="AC567" s="61">
        <f t="shared" si="561"/>
        <v>300</v>
      </c>
      <c r="AD567" s="27">
        <f t="shared" si="616"/>
        <v>300</v>
      </c>
      <c r="AE567" s="25">
        <f>IFERROR(_xlfn.XLOOKUP(N567&amp;P567,'Historico Vendas'!G:G,'Historico Vendas'!E:E),0)</f>
        <v>0</v>
      </c>
      <c r="AF567" s="29" t="str">
        <f t="shared" si="613"/>
        <v/>
      </c>
      <c r="AG567" s="24">
        <f>IFERROR(_xlfn.XLOOKUP(N567&amp;P567,'Historico Vendas'!G:G,'Historico Vendas'!F:F),0)</f>
        <v>0</v>
      </c>
      <c r="AH567" s="25">
        <f t="shared" si="617"/>
        <v>735.34999999999991</v>
      </c>
      <c r="AI567" s="24">
        <f t="shared" si="618"/>
        <v>735.34999999999991</v>
      </c>
      <c r="AJ567" s="11">
        <f t="shared" si="542"/>
        <v>0</v>
      </c>
      <c r="AK567" s="9" t="s">
        <v>102</v>
      </c>
      <c r="AL567" s="13">
        <f>IFERROR(INDEX('Balizador da Meta'!$D$3:$F$23,MATCH(Faturamento!$P567,'Balizador da Meta'!$C$3:$C$23,0),MATCH(Faturamento!AK567,'Balizador da Meta'!$D$2:$F$2,0)),"")</f>
        <v>0</v>
      </c>
      <c r="AM567" s="9"/>
    </row>
    <row r="568" spans="1:39" x14ac:dyDescent="0.3">
      <c r="A568" s="2" t="str">
        <f t="shared" si="614"/>
        <v>NÃO</v>
      </c>
      <c r="B568" s="2" t="str">
        <f>_xlfn.XLOOKUP($N568,'Base de Grupos'!$A:$A,'Base de Grupos'!$D:$D)</f>
        <v>1000065763</v>
      </c>
      <c r="C568" s="5" t="str">
        <f>_xlfn.XLOOKUP($N568,'Base de Grupos'!$A:$A,'Base de Grupos'!$E:$E)</f>
        <v>CANAL VENDA INTERNA</v>
      </c>
      <c r="D568" s="5" t="str">
        <f>_xlfn.XLOOKUP($N568,'Base de Grupos'!$A:$A,'Base de Grupos'!$F:$F)</f>
        <v>1000065763</v>
      </c>
      <c r="E568" s="2" t="str">
        <f>_xlfn.XLOOKUP($N568,'Base de Grupos'!$A:$A,'Base de Grupos'!$G:$G)</f>
        <v>CANAL VENDA INTERNA</v>
      </c>
      <c r="F568" s="2" t="str">
        <f>_xlfn.XLOOKUP($N568,'Base de Grupos'!$A:$A,'Base de Grupos'!$H:$H)</f>
        <v>1000153245</v>
      </c>
      <c r="G568" s="5" t="str">
        <f>_xlfn.XLOOKUP($N568,'Base de Grupos'!$A:$A,'Base de Grupos'!$I:$I)</f>
        <v>REGIONAL VENDA INTERNA - KEY ACCOUNT</v>
      </c>
      <c r="H568" s="5" t="str">
        <f>_xlfn.XLOOKUP($N568,'Base de Grupos'!$A:$A,'Base de Grupos'!$J:$J)</f>
        <v>1000153245</v>
      </c>
      <c r="I568" s="2" t="str">
        <f>_xlfn.XLOOKUP($N568,'Base de Grupos'!$A:$A,'Base de Grupos'!$K:$K)</f>
        <v>REGIONAL VENDA INTERNA - KEY ACCOUNT</v>
      </c>
      <c r="J568" s="2" t="str">
        <f>_xlfn.XLOOKUP($N568,'Base de Grupos'!$A:$A,'Base de Grupos'!$L:$L)</f>
        <v>1000153245</v>
      </c>
      <c r="K568" s="5" t="str">
        <f>_xlfn.XLOOKUP($N568,'Base de Grupos'!$A:$A,'Base de Grupos'!$M:$M)</f>
        <v>REGIONAL VENDA INTERNA - KEY ACCOUNT</v>
      </c>
      <c r="L568" s="5" t="str">
        <f t="shared" si="615"/>
        <v/>
      </c>
      <c r="M568" s="5" t="str">
        <f>_xlfn.XLOOKUP($N568,'Base de Grupos'!$A:$A,'Base de Grupos'!$C:$C)</f>
        <v>SC</v>
      </c>
      <c r="N568" s="3">
        <v>1431</v>
      </c>
      <c r="O568" s="4" t="s">
        <v>255</v>
      </c>
      <c r="P568" s="5" t="s">
        <v>92</v>
      </c>
      <c r="Q568" s="56">
        <v>0</v>
      </c>
      <c r="R568" s="56">
        <v>165.49714285714285</v>
      </c>
      <c r="S568" s="56">
        <v>165.49714285714285</v>
      </c>
      <c r="T568" s="56">
        <f>_xlfn.XLOOKUP($N568,'Calculo Leads'!$A$97:$A$134,'Calculo Leads'!G$97:G$134)*_xlfn.XLOOKUP($P568,'Base Grupo de Produtos'!$E$2:$E$18,'Base Grupo de Produtos'!$F$2:$F$18)</f>
        <v>20</v>
      </c>
      <c r="U568" s="56">
        <f>_xlfn.XLOOKUP($N568,'Calculo Leads'!$A$97:$A$134,'Calculo Leads'!H$97:H$134)*_xlfn.XLOOKUP($P568,'Base Grupo de Produtos'!$E$2:$E$18,'Base Grupo de Produtos'!$F$2:$F$18)</f>
        <v>20</v>
      </c>
      <c r="V568" s="56">
        <f>_xlfn.XLOOKUP($N568,'Calculo Leads'!$A$97:$A$134,'Calculo Leads'!I$97:I$134)*_xlfn.XLOOKUP($P568,'Base Grupo de Produtos'!$E$2:$E$18,'Base Grupo de Produtos'!$F$2:$F$18)</f>
        <v>20</v>
      </c>
      <c r="W568" s="56">
        <f>_xlfn.XLOOKUP($N568,'Calculo Leads'!$A$97:$A$134,'Calculo Leads'!J$97:J$134)*_xlfn.XLOOKUP($P568,'Base Grupo de Produtos'!$E$2:$E$18,'Base Grupo de Produtos'!$F$2:$F$18)</f>
        <v>20</v>
      </c>
      <c r="X568" s="56">
        <f>_xlfn.XLOOKUP($N568,'Calculo Leads'!$A$97:$A$134,'Calculo Leads'!K$97:K$134)*_xlfn.XLOOKUP($P568,'Base Grupo de Produtos'!$E$2:$E$18,'Base Grupo de Produtos'!$F$2:$F$18)</f>
        <v>44</v>
      </c>
      <c r="Y568" s="56">
        <f>_xlfn.XLOOKUP($N568,'Calculo Leads'!$A$97:$A$134,'Calculo Leads'!L$97:L$134)*_xlfn.XLOOKUP($P568,'Base Grupo de Produtos'!$E$2:$E$18,'Base Grupo de Produtos'!$F$2:$F$18)</f>
        <v>44</v>
      </c>
      <c r="Z568" s="56">
        <f>_xlfn.XLOOKUP($N568,'Calculo Leads'!$A$97:$A$134,'Calculo Leads'!M$97:M$134)*_xlfn.XLOOKUP($P568,'Base Grupo de Produtos'!$E$2:$E$18,'Base Grupo de Produtos'!$F$2:$F$18)</f>
        <v>44</v>
      </c>
      <c r="AA568" s="56">
        <f>_xlfn.XLOOKUP($N568,'Calculo Leads'!$A$97:$A$134,'Calculo Leads'!N$97:N$134)*_xlfn.XLOOKUP($P568,'Base Grupo de Produtos'!$E$2:$E$18,'Base Grupo de Produtos'!$F$2:$F$18)</f>
        <v>44</v>
      </c>
      <c r="AB568" s="56">
        <f>_xlfn.XLOOKUP($N568,'Calculo Leads'!$A$97:$A$134,'Calculo Leads'!O$97:O$134)*_xlfn.XLOOKUP($P568,'Base Grupo de Produtos'!$E$2:$E$18,'Base Grupo de Produtos'!$F$2:$F$18)</f>
        <v>44</v>
      </c>
      <c r="AC568" s="61">
        <f t="shared" si="561"/>
        <v>300</v>
      </c>
      <c r="AD568" s="27">
        <f t="shared" si="616"/>
        <v>300</v>
      </c>
      <c r="AE568" s="25">
        <f>IFERROR(_xlfn.XLOOKUP(N568&amp;P568,'Historico Vendas'!G:G,'Historico Vendas'!E:E),0)</f>
        <v>0</v>
      </c>
      <c r="AF568" s="29" t="str">
        <f t="shared" si="613"/>
        <v/>
      </c>
      <c r="AG568" s="24">
        <f>IFERROR(_xlfn.XLOOKUP(N568&amp;P568,'Historico Vendas'!G:G,'Historico Vendas'!F:F),0)</f>
        <v>0</v>
      </c>
      <c r="AH568" s="25">
        <f t="shared" si="617"/>
        <v>330.9942857142857</v>
      </c>
      <c r="AI568" s="24">
        <f t="shared" si="618"/>
        <v>330.9942857142857</v>
      </c>
      <c r="AJ568" s="11">
        <f t="shared" si="542"/>
        <v>0</v>
      </c>
      <c r="AK568" s="9" t="s">
        <v>102</v>
      </c>
      <c r="AL568" s="13">
        <f>IFERROR(INDEX('Balizador da Meta'!$D$3:$F$23,MATCH(Faturamento!$P568,'Balizador da Meta'!$C$3:$C$23,0),MATCH(Faturamento!AK568,'Balizador da Meta'!$D$2:$F$2,0)),"")</f>
        <v>0</v>
      </c>
      <c r="AM568" s="9"/>
    </row>
    <row r="569" spans="1:39" x14ac:dyDescent="0.3">
      <c r="A569" s="2" t="str">
        <f t="shared" si="614"/>
        <v>NÃO</v>
      </c>
      <c r="B569" s="2" t="str">
        <f>_xlfn.XLOOKUP($N569,'Base de Grupos'!$A:$A,'Base de Grupos'!$D:$D)</f>
        <v>1000065763</v>
      </c>
      <c r="C569" s="5" t="str">
        <f>_xlfn.XLOOKUP($N569,'Base de Grupos'!$A:$A,'Base de Grupos'!$E:$E)</f>
        <v>CANAL VENDA INTERNA</v>
      </c>
      <c r="D569" s="5" t="str">
        <f>_xlfn.XLOOKUP($N569,'Base de Grupos'!$A:$A,'Base de Grupos'!$F:$F)</f>
        <v>1000065763</v>
      </c>
      <c r="E569" s="2" t="str">
        <f>_xlfn.XLOOKUP($N569,'Base de Grupos'!$A:$A,'Base de Grupos'!$G:$G)</f>
        <v>CANAL VENDA INTERNA</v>
      </c>
      <c r="F569" s="2" t="str">
        <f>_xlfn.XLOOKUP($N569,'Base de Grupos'!$A:$A,'Base de Grupos'!$H:$H)</f>
        <v>1000153245</v>
      </c>
      <c r="G569" s="5" t="str">
        <f>_xlfn.XLOOKUP($N569,'Base de Grupos'!$A:$A,'Base de Grupos'!$I:$I)</f>
        <v>REGIONAL VENDA INTERNA - KEY ACCOUNT</v>
      </c>
      <c r="H569" s="5" t="str">
        <f>_xlfn.XLOOKUP($N569,'Base de Grupos'!$A:$A,'Base de Grupos'!$J:$J)</f>
        <v>1000153245</v>
      </c>
      <c r="I569" s="2" t="str">
        <f>_xlfn.XLOOKUP($N569,'Base de Grupos'!$A:$A,'Base de Grupos'!$K:$K)</f>
        <v>REGIONAL VENDA INTERNA - KEY ACCOUNT</v>
      </c>
      <c r="J569" s="2" t="str">
        <f>_xlfn.XLOOKUP($N569,'Base de Grupos'!$A:$A,'Base de Grupos'!$L:$L)</f>
        <v>1000153245</v>
      </c>
      <c r="K569" s="5" t="str">
        <f>_xlfn.XLOOKUP($N569,'Base de Grupos'!$A:$A,'Base de Grupos'!$M:$M)</f>
        <v>REGIONAL VENDA INTERNA - KEY ACCOUNT</v>
      </c>
      <c r="L569" s="5" t="str">
        <f t="shared" si="615"/>
        <v/>
      </c>
      <c r="M569" s="5" t="str">
        <f>_xlfn.XLOOKUP($N569,'Base de Grupos'!$A:$A,'Base de Grupos'!$C:$C)</f>
        <v>SC</v>
      </c>
      <c r="N569" s="3">
        <v>1431</v>
      </c>
      <c r="O569" s="4" t="s">
        <v>255</v>
      </c>
      <c r="P569" s="5" t="s">
        <v>86</v>
      </c>
      <c r="Q569" s="56">
        <v>0</v>
      </c>
      <c r="R569" s="56">
        <v>89.608571428571423</v>
      </c>
      <c r="S569" s="56">
        <v>179.21714285714285</v>
      </c>
      <c r="T569" s="56">
        <f>_xlfn.XLOOKUP($N569,'Calculo Leads'!$A$97:$A$134,'Calculo Leads'!G$97:G$134)*_xlfn.XLOOKUP($P569,'Base Grupo de Produtos'!$E$2:$E$18,'Base Grupo de Produtos'!$F$2:$F$18)</f>
        <v>30</v>
      </c>
      <c r="U569" s="56">
        <f>_xlfn.XLOOKUP($N569,'Calculo Leads'!$A$97:$A$134,'Calculo Leads'!H$97:H$134)*_xlfn.XLOOKUP($P569,'Base Grupo de Produtos'!$E$2:$E$18,'Base Grupo de Produtos'!$F$2:$F$18)</f>
        <v>30</v>
      </c>
      <c r="V569" s="56">
        <f>_xlfn.XLOOKUP($N569,'Calculo Leads'!$A$97:$A$134,'Calculo Leads'!I$97:I$134)*_xlfn.XLOOKUP($P569,'Base Grupo de Produtos'!$E$2:$E$18,'Base Grupo de Produtos'!$F$2:$F$18)</f>
        <v>30</v>
      </c>
      <c r="W569" s="56">
        <f>_xlfn.XLOOKUP($N569,'Calculo Leads'!$A$97:$A$134,'Calculo Leads'!J$97:J$134)*_xlfn.XLOOKUP($P569,'Base Grupo de Produtos'!$E$2:$E$18,'Base Grupo de Produtos'!$F$2:$F$18)</f>
        <v>30</v>
      </c>
      <c r="X569" s="56">
        <f>_xlfn.XLOOKUP($N569,'Calculo Leads'!$A$97:$A$134,'Calculo Leads'!K$97:K$134)*_xlfn.XLOOKUP($P569,'Base Grupo de Produtos'!$E$2:$E$18,'Base Grupo de Produtos'!$F$2:$F$18)</f>
        <v>66</v>
      </c>
      <c r="Y569" s="56">
        <f>_xlfn.XLOOKUP($N569,'Calculo Leads'!$A$97:$A$134,'Calculo Leads'!L$97:L$134)*_xlfn.XLOOKUP($P569,'Base Grupo de Produtos'!$E$2:$E$18,'Base Grupo de Produtos'!$F$2:$F$18)</f>
        <v>66</v>
      </c>
      <c r="Z569" s="56">
        <f>_xlfn.XLOOKUP($N569,'Calculo Leads'!$A$97:$A$134,'Calculo Leads'!M$97:M$134)*_xlfn.XLOOKUP($P569,'Base Grupo de Produtos'!$E$2:$E$18,'Base Grupo de Produtos'!$F$2:$F$18)</f>
        <v>66</v>
      </c>
      <c r="AA569" s="56">
        <f>_xlfn.XLOOKUP($N569,'Calculo Leads'!$A$97:$A$134,'Calculo Leads'!N$97:N$134)*_xlfn.XLOOKUP($P569,'Base Grupo de Produtos'!$E$2:$E$18,'Base Grupo de Produtos'!$F$2:$F$18)</f>
        <v>66</v>
      </c>
      <c r="AB569" s="56">
        <f>_xlfn.XLOOKUP($N569,'Calculo Leads'!$A$97:$A$134,'Calculo Leads'!O$97:O$134)*_xlfn.XLOOKUP($P569,'Base Grupo de Produtos'!$E$2:$E$18,'Base Grupo de Produtos'!$F$2:$F$18)</f>
        <v>66</v>
      </c>
      <c r="AC569" s="61">
        <f t="shared" si="561"/>
        <v>450</v>
      </c>
      <c r="AD569" s="27">
        <f t="shared" si="616"/>
        <v>450</v>
      </c>
      <c r="AE569" s="25">
        <f>IFERROR(_xlfn.XLOOKUP(N569&amp;P569,'Historico Vendas'!G:G,'Historico Vendas'!E:E),0)</f>
        <v>0</v>
      </c>
      <c r="AF569" s="29" t="str">
        <f t="shared" si="613"/>
        <v/>
      </c>
      <c r="AG569" s="24">
        <f>IFERROR(_xlfn.XLOOKUP(N569&amp;P569,'Historico Vendas'!G:G,'Historico Vendas'!F:F),0)</f>
        <v>0</v>
      </c>
      <c r="AH569" s="25">
        <f t="shared" si="617"/>
        <v>268.8257142857143</v>
      </c>
      <c r="AI569" s="24">
        <f t="shared" si="618"/>
        <v>268.8257142857143</v>
      </c>
      <c r="AJ569" s="11">
        <f t="shared" ref="AJ569:AJ632" si="619">IFERROR(AG569/AH569,"")</f>
        <v>0</v>
      </c>
      <c r="AK569" s="9" t="s">
        <v>102</v>
      </c>
      <c r="AL569" s="13">
        <f>IFERROR(INDEX('Balizador da Meta'!$D$3:$F$23,MATCH(Faturamento!$P569,'Balizador da Meta'!$C$3:$C$23,0),MATCH(Faturamento!AK569,'Balizador da Meta'!$D$2:$F$2,0)),"")</f>
        <v>0.15</v>
      </c>
      <c r="AM569" s="9"/>
    </row>
    <row r="570" spans="1:39" x14ac:dyDescent="0.3">
      <c r="A570" s="2" t="str">
        <f t="shared" si="614"/>
        <v>NÃO</v>
      </c>
      <c r="B570" s="2" t="str">
        <f>_xlfn.XLOOKUP($N570,'Base de Grupos'!$A:$A,'Base de Grupos'!$D:$D)</f>
        <v>1000065763</v>
      </c>
      <c r="C570" s="5" t="str">
        <f>_xlfn.XLOOKUP($N570,'Base de Grupos'!$A:$A,'Base de Grupos'!$E:$E)</f>
        <v>CANAL VENDA INTERNA</v>
      </c>
      <c r="D570" s="5" t="str">
        <f>_xlfn.XLOOKUP($N570,'Base de Grupos'!$A:$A,'Base de Grupos'!$F:$F)</f>
        <v>1000065763</v>
      </c>
      <c r="E570" s="2" t="str">
        <f>_xlfn.XLOOKUP($N570,'Base de Grupos'!$A:$A,'Base de Grupos'!$G:$G)</f>
        <v>CANAL VENDA INTERNA</v>
      </c>
      <c r="F570" s="2" t="str">
        <f>_xlfn.XLOOKUP($N570,'Base de Grupos'!$A:$A,'Base de Grupos'!$H:$H)</f>
        <v>1000153245</v>
      </c>
      <c r="G570" s="5" t="str">
        <f>_xlfn.XLOOKUP($N570,'Base de Grupos'!$A:$A,'Base de Grupos'!$I:$I)</f>
        <v>REGIONAL VENDA INTERNA - KEY ACCOUNT</v>
      </c>
      <c r="H570" s="5" t="str">
        <f>_xlfn.XLOOKUP($N570,'Base de Grupos'!$A:$A,'Base de Grupos'!$J:$J)</f>
        <v>1000153245</v>
      </c>
      <c r="I570" s="2" t="str">
        <f>_xlfn.XLOOKUP($N570,'Base de Grupos'!$A:$A,'Base de Grupos'!$K:$K)</f>
        <v>REGIONAL VENDA INTERNA - KEY ACCOUNT</v>
      </c>
      <c r="J570" s="2" t="str">
        <f>_xlfn.XLOOKUP($N570,'Base de Grupos'!$A:$A,'Base de Grupos'!$L:$L)</f>
        <v>1000153245</v>
      </c>
      <c r="K570" s="5" t="str">
        <f>_xlfn.XLOOKUP($N570,'Base de Grupos'!$A:$A,'Base de Grupos'!$M:$M)</f>
        <v>REGIONAL VENDA INTERNA - KEY ACCOUNT</v>
      </c>
      <c r="L570" s="5" t="str">
        <f t="shared" si="615"/>
        <v/>
      </c>
      <c r="M570" s="5" t="str">
        <f>_xlfn.XLOOKUP($N570,'Base de Grupos'!$A:$A,'Base de Grupos'!$C:$C)</f>
        <v>SC</v>
      </c>
      <c r="N570" s="3">
        <v>1431</v>
      </c>
      <c r="O570" s="4" t="s">
        <v>255</v>
      </c>
      <c r="P570" s="5" t="s">
        <v>108</v>
      </c>
      <c r="Q570" s="56">
        <v>0</v>
      </c>
      <c r="R570" s="56">
        <v>516.1430303030304</v>
      </c>
      <c r="S570" s="56">
        <v>602.16686868686872</v>
      </c>
      <c r="T570" s="56">
        <f>_xlfn.XLOOKUP($N570,'Calculo Leads'!$A$97:$A$134,'Calculo Leads'!G$97:G$134)*_xlfn.XLOOKUP($P570,'Base Grupo de Produtos'!$E$2:$E$18,'Base Grupo de Produtos'!$F$2:$F$18)</f>
        <v>250</v>
      </c>
      <c r="U570" s="56">
        <f>_xlfn.XLOOKUP($N570,'Calculo Leads'!$A$97:$A$134,'Calculo Leads'!H$97:H$134)*_xlfn.XLOOKUP($P570,'Base Grupo de Produtos'!$E$2:$E$18,'Base Grupo de Produtos'!$F$2:$F$18)</f>
        <v>250</v>
      </c>
      <c r="V570" s="56">
        <f>_xlfn.XLOOKUP($N570,'Calculo Leads'!$A$97:$A$134,'Calculo Leads'!I$97:I$134)*_xlfn.XLOOKUP($P570,'Base Grupo de Produtos'!$E$2:$E$18,'Base Grupo de Produtos'!$F$2:$F$18)</f>
        <v>250</v>
      </c>
      <c r="W570" s="56">
        <f>_xlfn.XLOOKUP($N570,'Calculo Leads'!$A$97:$A$134,'Calculo Leads'!J$97:J$134)*_xlfn.XLOOKUP($P570,'Base Grupo de Produtos'!$E$2:$E$18,'Base Grupo de Produtos'!$F$2:$F$18)</f>
        <v>250</v>
      </c>
      <c r="X570" s="56">
        <f>_xlfn.XLOOKUP($N570,'Calculo Leads'!$A$97:$A$134,'Calculo Leads'!K$97:K$134)*_xlfn.XLOOKUP($P570,'Base Grupo de Produtos'!$E$2:$E$18,'Base Grupo de Produtos'!$F$2:$F$18)</f>
        <v>550</v>
      </c>
      <c r="Y570" s="56">
        <f>_xlfn.XLOOKUP($N570,'Calculo Leads'!$A$97:$A$134,'Calculo Leads'!L$97:L$134)*_xlfn.XLOOKUP($P570,'Base Grupo de Produtos'!$E$2:$E$18,'Base Grupo de Produtos'!$F$2:$F$18)</f>
        <v>550</v>
      </c>
      <c r="Z570" s="56">
        <f>_xlfn.XLOOKUP($N570,'Calculo Leads'!$A$97:$A$134,'Calculo Leads'!M$97:M$134)*_xlfn.XLOOKUP($P570,'Base Grupo de Produtos'!$E$2:$E$18,'Base Grupo de Produtos'!$F$2:$F$18)</f>
        <v>550</v>
      </c>
      <c r="AA570" s="56">
        <f>_xlfn.XLOOKUP($N570,'Calculo Leads'!$A$97:$A$134,'Calculo Leads'!N$97:N$134)*_xlfn.XLOOKUP($P570,'Base Grupo de Produtos'!$E$2:$E$18,'Base Grupo de Produtos'!$F$2:$F$18)</f>
        <v>550</v>
      </c>
      <c r="AB570" s="56">
        <f>_xlfn.XLOOKUP($N570,'Calculo Leads'!$A$97:$A$134,'Calculo Leads'!O$97:O$134)*_xlfn.XLOOKUP($P570,'Base Grupo de Produtos'!$E$2:$E$18,'Base Grupo de Produtos'!$F$2:$F$18)</f>
        <v>550</v>
      </c>
      <c r="AC570" s="61">
        <f t="shared" si="561"/>
        <v>3750</v>
      </c>
      <c r="AD570" s="27">
        <f t="shared" si="616"/>
        <v>3750</v>
      </c>
      <c r="AE570" s="25">
        <f>IFERROR(_xlfn.XLOOKUP(N570&amp;P570,'Historico Vendas'!G:G,'Historico Vendas'!E:E),0)</f>
        <v>0</v>
      </c>
      <c r="AF570" s="29" t="str">
        <f t="shared" si="613"/>
        <v/>
      </c>
      <c r="AG570" s="24">
        <f>IFERROR(_xlfn.XLOOKUP(N570&amp;P570,'Historico Vendas'!G:G,'Historico Vendas'!F:F),0)</f>
        <v>0</v>
      </c>
      <c r="AH570" s="25">
        <f t="shared" si="617"/>
        <v>1118.309898989899</v>
      </c>
      <c r="AI570" s="24">
        <f t="shared" si="618"/>
        <v>1118.309898989899</v>
      </c>
      <c r="AJ570" s="11">
        <f t="shared" si="619"/>
        <v>0</v>
      </c>
      <c r="AK570" s="9" t="s">
        <v>102</v>
      </c>
      <c r="AL570" s="13">
        <f>IFERROR(INDEX('Balizador da Meta'!$D$3:$F$23,MATCH(Faturamento!$P570,'Balizador da Meta'!$C$3:$C$23,0),MATCH(Faturamento!AK570,'Balizador da Meta'!$D$2:$F$2,0)),"")</f>
        <v>0</v>
      </c>
      <c r="AM570" s="9"/>
    </row>
    <row r="571" spans="1:39" x14ac:dyDescent="0.3">
      <c r="A571" s="2" t="str">
        <f t="shared" si="614"/>
        <v>NÃO</v>
      </c>
      <c r="B571" s="2" t="str">
        <f>_xlfn.XLOOKUP($N571,'Base de Grupos'!$A:$A,'Base de Grupos'!$D:$D)</f>
        <v>1000065763</v>
      </c>
      <c r="C571" s="5" t="str">
        <f>_xlfn.XLOOKUP($N571,'Base de Grupos'!$A:$A,'Base de Grupos'!$E:$E)</f>
        <v>CANAL VENDA INTERNA</v>
      </c>
      <c r="D571" s="5" t="str">
        <f>_xlfn.XLOOKUP($N571,'Base de Grupos'!$A:$A,'Base de Grupos'!$F:$F)</f>
        <v>1000065763</v>
      </c>
      <c r="E571" s="2" t="str">
        <f>_xlfn.XLOOKUP($N571,'Base de Grupos'!$A:$A,'Base de Grupos'!$G:$G)</f>
        <v>CANAL VENDA INTERNA</v>
      </c>
      <c r="F571" s="2" t="str">
        <f>_xlfn.XLOOKUP($N571,'Base de Grupos'!$A:$A,'Base de Grupos'!$H:$H)</f>
        <v>1000153245</v>
      </c>
      <c r="G571" s="5" t="str">
        <f>_xlfn.XLOOKUP($N571,'Base de Grupos'!$A:$A,'Base de Grupos'!$I:$I)</f>
        <v>REGIONAL VENDA INTERNA - KEY ACCOUNT</v>
      </c>
      <c r="H571" s="5" t="str">
        <f>_xlfn.XLOOKUP($N571,'Base de Grupos'!$A:$A,'Base de Grupos'!$J:$J)</f>
        <v>1000153245</v>
      </c>
      <c r="I571" s="2" t="str">
        <f>_xlfn.XLOOKUP($N571,'Base de Grupos'!$A:$A,'Base de Grupos'!$K:$K)</f>
        <v>REGIONAL VENDA INTERNA - KEY ACCOUNT</v>
      </c>
      <c r="J571" s="2" t="str">
        <f>_xlfn.XLOOKUP($N571,'Base de Grupos'!$A:$A,'Base de Grupos'!$L:$L)</f>
        <v>1000153245</v>
      </c>
      <c r="K571" s="5" t="str">
        <f>_xlfn.XLOOKUP($N571,'Base de Grupos'!$A:$A,'Base de Grupos'!$M:$M)</f>
        <v>REGIONAL VENDA INTERNA - KEY ACCOUNT</v>
      </c>
      <c r="L571" s="5" t="str">
        <f t="shared" si="615"/>
        <v/>
      </c>
      <c r="M571" s="5" t="str">
        <f>_xlfn.XLOOKUP($N571,'Base de Grupos'!$A:$A,'Base de Grupos'!$C:$C)</f>
        <v>SC</v>
      </c>
      <c r="N571" s="3">
        <v>1431</v>
      </c>
      <c r="O571" s="4" t="s">
        <v>255</v>
      </c>
      <c r="P571" s="5" t="s">
        <v>89</v>
      </c>
      <c r="Q571" s="56">
        <v>0</v>
      </c>
      <c r="R571" s="56">
        <v>627.6857142857142</v>
      </c>
      <c r="S571" s="56">
        <v>627.6857142857142</v>
      </c>
      <c r="T571" s="56">
        <f>_xlfn.XLOOKUP($N571,'Calculo Leads'!$A$97:$A$134,'Calculo Leads'!G$97:G$134)*_xlfn.XLOOKUP($P571,'Base Grupo de Produtos'!$E$2:$E$18,'Base Grupo de Produtos'!$F$2:$F$18)</f>
        <v>50</v>
      </c>
      <c r="U571" s="56">
        <f>_xlfn.XLOOKUP($N571,'Calculo Leads'!$A$97:$A$134,'Calculo Leads'!H$97:H$134)*_xlfn.XLOOKUP($P571,'Base Grupo de Produtos'!$E$2:$E$18,'Base Grupo de Produtos'!$F$2:$F$18)</f>
        <v>50</v>
      </c>
      <c r="V571" s="56">
        <f>_xlfn.XLOOKUP($N571,'Calculo Leads'!$A$97:$A$134,'Calculo Leads'!I$97:I$134)*_xlfn.XLOOKUP($P571,'Base Grupo de Produtos'!$E$2:$E$18,'Base Grupo de Produtos'!$F$2:$F$18)</f>
        <v>50</v>
      </c>
      <c r="W571" s="56">
        <f>_xlfn.XLOOKUP($N571,'Calculo Leads'!$A$97:$A$134,'Calculo Leads'!J$97:J$134)*_xlfn.XLOOKUP($P571,'Base Grupo de Produtos'!$E$2:$E$18,'Base Grupo de Produtos'!$F$2:$F$18)</f>
        <v>50</v>
      </c>
      <c r="X571" s="56">
        <f>_xlfn.XLOOKUP($N571,'Calculo Leads'!$A$97:$A$134,'Calculo Leads'!K$97:K$134)*_xlfn.XLOOKUP($P571,'Base Grupo de Produtos'!$E$2:$E$18,'Base Grupo de Produtos'!$F$2:$F$18)</f>
        <v>110</v>
      </c>
      <c r="Y571" s="56">
        <f>_xlfn.XLOOKUP($N571,'Calculo Leads'!$A$97:$A$134,'Calculo Leads'!L$97:L$134)*_xlfn.XLOOKUP($P571,'Base Grupo de Produtos'!$E$2:$E$18,'Base Grupo de Produtos'!$F$2:$F$18)</f>
        <v>110</v>
      </c>
      <c r="Z571" s="56">
        <f>_xlfn.XLOOKUP($N571,'Calculo Leads'!$A$97:$A$134,'Calculo Leads'!M$97:M$134)*_xlfn.XLOOKUP($P571,'Base Grupo de Produtos'!$E$2:$E$18,'Base Grupo de Produtos'!$F$2:$F$18)</f>
        <v>110</v>
      </c>
      <c r="AA571" s="56">
        <f>_xlfn.XLOOKUP($N571,'Calculo Leads'!$A$97:$A$134,'Calculo Leads'!N$97:N$134)*_xlfn.XLOOKUP($P571,'Base Grupo de Produtos'!$E$2:$E$18,'Base Grupo de Produtos'!$F$2:$F$18)</f>
        <v>110</v>
      </c>
      <c r="AB571" s="56">
        <f>_xlfn.XLOOKUP($N571,'Calculo Leads'!$A$97:$A$134,'Calculo Leads'!O$97:O$134)*_xlfn.XLOOKUP($P571,'Base Grupo de Produtos'!$E$2:$E$18,'Base Grupo de Produtos'!$F$2:$F$18)</f>
        <v>110</v>
      </c>
      <c r="AC571" s="61">
        <f t="shared" si="561"/>
        <v>750</v>
      </c>
      <c r="AD571" s="27">
        <f t="shared" si="616"/>
        <v>750</v>
      </c>
      <c r="AE571" s="25">
        <f>IFERROR(_xlfn.XLOOKUP(N571&amp;P571,'Historico Vendas'!G:G,'Historico Vendas'!E:E),0)</f>
        <v>0</v>
      </c>
      <c r="AF571" s="29" t="str">
        <f t="shared" si="613"/>
        <v/>
      </c>
      <c r="AG571" s="24">
        <f>IFERROR(_xlfn.XLOOKUP(N571&amp;P571,'Historico Vendas'!G:G,'Historico Vendas'!F:F),0)</f>
        <v>0</v>
      </c>
      <c r="AH571" s="25">
        <f t="shared" si="617"/>
        <v>1255.3714285714284</v>
      </c>
      <c r="AI571" s="24">
        <f t="shared" si="618"/>
        <v>1255.3714285714284</v>
      </c>
      <c r="AJ571" s="11">
        <f t="shared" si="619"/>
        <v>0</v>
      </c>
      <c r="AK571" s="9" t="s">
        <v>102</v>
      </c>
      <c r="AL571" s="13">
        <f>IFERROR(INDEX('Balizador da Meta'!$D$3:$F$23,MATCH(Faturamento!$P571,'Balizador da Meta'!$C$3:$C$23,0),MATCH(Faturamento!AK571,'Balizador da Meta'!$D$2:$F$2,0)),"")</f>
        <v>0.25</v>
      </c>
      <c r="AM571" s="9"/>
    </row>
    <row r="572" spans="1:39" x14ac:dyDescent="0.3">
      <c r="A572" s="2" t="str">
        <f t="shared" si="614"/>
        <v>NÃO</v>
      </c>
      <c r="B572" s="2" t="str">
        <f>_xlfn.XLOOKUP($N572,'Base de Grupos'!$A:$A,'Base de Grupos'!$D:$D)</f>
        <v>1000065763</v>
      </c>
      <c r="C572" s="5" t="str">
        <f>_xlfn.XLOOKUP($N572,'Base de Grupos'!$A:$A,'Base de Grupos'!$E:$E)</f>
        <v>CANAL VENDA INTERNA</v>
      </c>
      <c r="D572" s="5" t="str">
        <f>_xlfn.XLOOKUP($N572,'Base de Grupos'!$A:$A,'Base de Grupos'!$F:$F)</f>
        <v>1000065763</v>
      </c>
      <c r="E572" s="2" t="str">
        <f>_xlfn.XLOOKUP($N572,'Base de Grupos'!$A:$A,'Base de Grupos'!$G:$G)</f>
        <v>CANAL VENDA INTERNA</v>
      </c>
      <c r="F572" s="2" t="str">
        <f>_xlfn.XLOOKUP($N572,'Base de Grupos'!$A:$A,'Base de Grupos'!$H:$H)</f>
        <v>1000153245</v>
      </c>
      <c r="G572" s="5" t="str">
        <f>_xlfn.XLOOKUP($N572,'Base de Grupos'!$A:$A,'Base de Grupos'!$I:$I)</f>
        <v>REGIONAL VENDA INTERNA - KEY ACCOUNT</v>
      </c>
      <c r="H572" s="5" t="str">
        <f>_xlfn.XLOOKUP($N572,'Base de Grupos'!$A:$A,'Base de Grupos'!$J:$J)</f>
        <v>1000153245</v>
      </c>
      <c r="I572" s="2" t="str">
        <f>_xlfn.XLOOKUP($N572,'Base de Grupos'!$A:$A,'Base de Grupos'!$K:$K)</f>
        <v>REGIONAL VENDA INTERNA - KEY ACCOUNT</v>
      </c>
      <c r="J572" s="2" t="str">
        <f>_xlfn.XLOOKUP($N572,'Base de Grupos'!$A:$A,'Base de Grupos'!$L:$L)</f>
        <v>1000153245</v>
      </c>
      <c r="K572" s="5" t="str">
        <f>_xlfn.XLOOKUP($N572,'Base de Grupos'!$A:$A,'Base de Grupos'!$M:$M)</f>
        <v>REGIONAL VENDA INTERNA - KEY ACCOUNT</v>
      </c>
      <c r="L572" s="5" t="str">
        <f t="shared" si="615"/>
        <v/>
      </c>
      <c r="M572" s="5" t="str">
        <f>_xlfn.XLOOKUP($N572,'Base de Grupos'!$A:$A,'Base de Grupos'!$C:$C)</f>
        <v>SC</v>
      </c>
      <c r="N572" s="3">
        <v>1431</v>
      </c>
      <c r="O572" s="4" t="s">
        <v>255</v>
      </c>
      <c r="P572" s="5" t="s">
        <v>88</v>
      </c>
      <c r="Q572" s="56">
        <v>0</v>
      </c>
      <c r="R572" s="56">
        <v>119.60088888888889</v>
      </c>
      <c r="S572" s="56">
        <v>239.20177777777778</v>
      </c>
      <c r="T572" s="56">
        <f>_xlfn.XLOOKUP($N572,'Calculo Leads'!$A$97:$A$134,'Calculo Leads'!G$97:G$134)*_xlfn.XLOOKUP($P572,'Base Grupo de Produtos'!$E$2:$E$18,'Base Grupo de Produtos'!$F$2:$F$18)</f>
        <v>50</v>
      </c>
      <c r="U572" s="56">
        <f>_xlfn.XLOOKUP($N572,'Calculo Leads'!$A$97:$A$134,'Calculo Leads'!H$97:H$134)*_xlfn.XLOOKUP($P572,'Base Grupo de Produtos'!$E$2:$E$18,'Base Grupo de Produtos'!$F$2:$F$18)</f>
        <v>50</v>
      </c>
      <c r="V572" s="56">
        <f>_xlfn.XLOOKUP($N572,'Calculo Leads'!$A$97:$A$134,'Calculo Leads'!I$97:I$134)*_xlfn.XLOOKUP($P572,'Base Grupo de Produtos'!$E$2:$E$18,'Base Grupo de Produtos'!$F$2:$F$18)</f>
        <v>50</v>
      </c>
      <c r="W572" s="56">
        <f>_xlfn.XLOOKUP($N572,'Calculo Leads'!$A$97:$A$134,'Calculo Leads'!J$97:J$134)*_xlfn.XLOOKUP($P572,'Base Grupo de Produtos'!$E$2:$E$18,'Base Grupo de Produtos'!$F$2:$F$18)</f>
        <v>50</v>
      </c>
      <c r="X572" s="56">
        <f>_xlfn.XLOOKUP($N572,'Calculo Leads'!$A$97:$A$134,'Calculo Leads'!K$97:K$134)*_xlfn.XLOOKUP($P572,'Base Grupo de Produtos'!$E$2:$E$18,'Base Grupo de Produtos'!$F$2:$F$18)</f>
        <v>110</v>
      </c>
      <c r="Y572" s="56">
        <f>_xlfn.XLOOKUP($N572,'Calculo Leads'!$A$97:$A$134,'Calculo Leads'!L$97:L$134)*_xlfn.XLOOKUP($P572,'Base Grupo de Produtos'!$E$2:$E$18,'Base Grupo de Produtos'!$F$2:$F$18)</f>
        <v>110</v>
      </c>
      <c r="Z572" s="56">
        <f>_xlfn.XLOOKUP($N572,'Calculo Leads'!$A$97:$A$134,'Calculo Leads'!M$97:M$134)*_xlfn.XLOOKUP($P572,'Base Grupo de Produtos'!$E$2:$E$18,'Base Grupo de Produtos'!$F$2:$F$18)</f>
        <v>110</v>
      </c>
      <c r="AA572" s="56">
        <f>_xlfn.XLOOKUP($N572,'Calculo Leads'!$A$97:$A$134,'Calculo Leads'!N$97:N$134)*_xlfn.XLOOKUP($P572,'Base Grupo de Produtos'!$E$2:$E$18,'Base Grupo de Produtos'!$F$2:$F$18)</f>
        <v>110</v>
      </c>
      <c r="AB572" s="56">
        <f>_xlfn.XLOOKUP($N572,'Calculo Leads'!$A$97:$A$134,'Calculo Leads'!O$97:O$134)*_xlfn.XLOOKUP($P572,'Base Grupo de Produtos'!$E$2:$E$18,'Base Grupo de Produtos'!$F$2:$F$18)</f>
        <v>110</v>
      </c>
      <c r="AC572" s="61">
        <f t="shared" si="561"/>
        <v>750</v>
      </c>
      <c r="AD572" s="27">
        <f t="shared" si="616"/>
        <v>750</v>
      </c>
      <c r="AE572" s="25">
        <f>IFERROR(_xlfn.XLOOKUP(N572&amp;P572,'Historico Vendas'!G:G,'Historico Vendas'!E:E),0)</f>
        <v>0</v>
      </c>
      <c r="AF572" s="29" t="str">
        <f t="shared" si="613"/>
        <v/>
      </c>
      <c r="AG572" s="24">
        <f>IFERROR(_xlfn.XLOOKUP(N572&amp;P572,'Historico Vendas'!G:G,'Historico Vendas'!F:F),0)</f>
        <v>0</v>
      </c>
      <c r="AH572" s="25">
        <f t="shared" si="617"/>
        <v>358.80266666666665</v>
      </c>
      <c r="AI572" s="24">
        <f t="shared" si="618"/>
        <v>358.80266666666665</v>
      </c>
      <c r="AJ572" s="11">
        <f t="shared" si="619"/>
        <v>0</v>
      </c>
      <c r="AK572" s="9" t="s">
        <v>102</v>
      </c>
      <c r="AL572" s="13">
        <f>IFERROR(INDEX('Balizador da Meta'!$D$3:$F$23,MATCH(Faturamento!$P572,'Balizador da Meta'!$C$3:$C$23,0),MATCH(Faturamento!AK572,'Balizador da Meta'!$D$2:$F$2,0)),"")</f>
        <v>0</v>
      </c>
      <c r="AM572" s="9"/>
    </row>
    <row r="573" spans="1:39" x14ac:dyDescent="0.3">
      <c r="A573" s="2" t="str">
        <f t="shared" si="614"/>
        <v>NÃO</v>
      </c>
      <c r="B573" s="2" t="str">
        <f>_xlfn.XLOOKUP($N573,'Base de Grupos'!$A:$A,'Base de Grupos'!$D:$D)</f>
        <v>1000065763</v>
      </c>
      <c r="C573" s="5" t="str">
        <f>_xlfn.XLOOKUP($N573,'Base de Grupos'!$A:$A,'Base de Grupos'!$E:$E)</f>
        <v>CANAL VENDA INTERNA</v>
      </c>
      <c r="D573" s="5" t="str">
        <f>_xlfn.XLOOKUP($N573,'Base de Grupos'!$A:$A,'Base de Grupos'!$F:$F)</f>
        <v>1000065763</v>
      </c>
      <c r="E573" s="2" t="str">
        <f>_xlfn.XLOOKUP($N573,'Base de Grupos'!$A:$A,'Base de Grupos'!$G:$G)</f>
        <v>CANAL VENDA INTERNA</v>
      </c>
      <c r="F573" s="2" t="str">
        <f>_xlfn.XLOOKUP($N573,'Base de Grupos'!$A:$A,'Base de Grupos'!$H:$H)</f>
        <v>1000153245</v>
      </c>
      <c r="G573" s="5" t="str">
        <f>_xlfn.XLOOKUP($N573,'Base de Grupos'!$A:$A,'Base de Grupos'!$I:$I)</f>
        <v>REGIONAL VENDA INTERNA - KEY ACCOUNT</v>
      </c>
      <c r="H573" s="5" t="str">
        <f>_xlfn.XLOOKUP($N573,'Base de Grupos'!$A:$A,'Base de Grupos'!$J:$J)</f>
        <v>1000153245</v>
      </c>
      <c r="I573" s="2" t="str">
        <f>_xlfn.XLOOKUP($N573,'Base de Grupos'!$A:$A,'Base de Grupos'!$K:$K)</f>
        <v>REGIONAL VENDA INTERNA - KEY ACCOUNT</v>
      </c>
      <c r="J573" s="2" t="str">
        <f>_xlfn.XLOOKUP($N573,'Base de Grupos'!$A:$A,'Base de Grupos'!$L:$L)</f>
        <v>1000153245</v>
      </c>
      <c r="K573" s="5" t="str">
        <f>_xlfn.XLOOKUP($N573,'Base de Grupos'!$A:$A,'Base de Grupos'!$M:$M)</f>
        <v>REGIONAL VENDA INTERNA - KEY ACCOUNT</v>
      </c>
      <c r="L573" s="5" t="str">
        <f t="shared" si="615"/>
        <v/>
      </c>
      <c r="M573" s="5" t="str">
        <f>_xlfn.XLOOKUP($N573,'Base de Grupos'!$A:$A,'Base de Grupos'!$C:$C)</f>
        <v>SC</v>
      </c>
      <c r="N573" s="3">
        <v>1431</v>
      </c>
      <c r="O573" s="4" t="s">
        <v>255</v>
      </c>
      <c r="P573" s="5" t="s">
        <v>90</v>
      </c>
      <c r="Q573" s="56">
        <v>0</v>
      </c>
      <c r="R573" s="56">
        <v>204.36930232558137</v>
      </c>
      <c r="S573" s="56">
        <v>204.36930232558137</v>
      </c>
      <c r="T573" s="56">
        <f>_xlfn.XLOOKUP($N573,'Calculo Leads'!$A$97:$A$134,'Calculo Leads'!G$97:G$134)*_xlfn.XLOOKUP($P573,'Base Grupo de Produtos'!$E$2:$E$18,'Base Grupo de Produtos'!$F$2:$F$18)</f>
        <v>50</v>
      </c>
      <c r="U573" s="56">
        <f>_xlfn.XLOOKUP($N573,'Calculo Leads'!$A$97:$A$134,'Calculo Leads'!H$97:H$134)*_xlfn.XLOOKUP($P573,'Base Grupo de Produtos'!$E$2:$E$18,'Base Grupo de Produtos'!$F$2:$F$18)</f>
        <v>50</v>
      </c>
      <c r="V573" s="56">
        <f>_xlfn.XLOOKUP($N573,'Calculo Leads'!$A$97:$A$134,'Calculo Leads'!I$97:I$134)*_xlfn.XLOOKUP($P573,'Base Grupo de Produtos'!$E$2:$E$18,'Base Grupo de Produtos'!$F$2:$F$18)</f>
        <v>50</v>
      </c>
      <c r="W573" s="56">
        <f>_xlfn.XLOOKUP($N573,'Calculo Leads'!$A$97:$A$134,'Calculo Leads'!J$97:J$134)*_xlfn.XLOOKUP($P573,'Base Grupo de Produtos'!$E$2:$E$18,'Base Grupo de Produtos'!$F$2:$F$18)</f>
        <v>50</v>
      </c>
      <c r="X573" s="56">
        <f>_xlfn.XLOOKUP($N573,'Calculo Leads'!$A$97:$A$134,'Calculo Leads'!K$97:K$134)*_xlfn.XLOOKUP($P573,'Base Grupo de Produtos'!$E$2:$E$18,'Base Grupo de Produtos'!$F$2:$F$18)</f>
        <v>110</v>
      </c>
      <c r="Y573" s="56">
        <f>_xlfn.XLOOKUP($N573,'Calculo Leads'!$A$97:$A$134,'Calculo Leads'!L$97:L$134)*_xlfn.XLOOKUP($P573,'Base Grupo de Produtos'!$E$2:$E$18,'Base Grupo de Produtos'!$F$2:$F$18)</f>
        <v>110</v>
      </c>
      <c r="Z573" s="56">
        <f>_xlfn.XLOOKUP($N573,'Calculo Leads'!$A$97:$A$134,'Calculo Leads'!M$97:M$134)*_xlfn.XLOOKUP($P573,'Base Grupo de Produtos'!$E$2:$E$18,'Base Grupo de Produtos'!$F$2:$F$18)</f>
        <v>110</v>
      </c>
      <c r="AA573" s="56">
        <f>_xlfn.XLOOKUP($N573,'Calculo Leads'!$A$97:$A$134,'Calculo Leads'!N$97:N$134)*_xlfn.XLOOKUP($P573,'Base Grupo de Produtos'!$E$2:$E$18,'Base Grupo de Produtos'!$F$2:$F$18)</f>
        <v>110</v>
      </c>
      <c r="AB573" s="56">
        <f>_xlfn.XLOOKUP($N573,'Calculo Leads'!$A$97:$A$134,'Calculo Leads'!O$97:O$134)*_xlfn.XLOOKUP($P573,'Base Grupo de Produtos'!$E$2:$E$18,'Base Grupo de Produtos'!$F$2:$F$18)</f>
        <v>110</v>
      </c>
      <c r="AC573" s="61">
        <f t="shared" si="561"/>
        <v>750</v>
      </c>
      <c r="AD573" s="27">
        <f t="shared" si="616"/>
        <v>750</v>
      </c>
      <c r="AE573" s="25">
        <f>IFERROR(_xlfn.XLOOKUP(N573&amp;P573,'Historico Vendas'!G:G,'Historico Vendas'!E:E),0)</f>
        <v>0</v>
      </c>
      <c r="AF573" s="29" t="str">
        <f t="shared" si="613"/>
        <v/>
      </c>
      <c r="AG573" s="24">
        <f>IFERROR(_xlfn.XLOOKUP(N573&amp;P573,'Historico Vendas'!G:G,'Historico Vendas'!F:F),0)</f>
        <v>0</v>
      </c>
      <c r="AH573" s="25">
        <f t="shared" si="617"/>
        <v>408.73860465116275</v>
      </c>
      <c r="AI573" s="24">
        <f t="shared" si="618"/>
        <v>408.73860465116275</v>
      </c>
      <c r="AJ573" s="11">
        <f t="shared" si="619"/>
        <v>0</v>
      </c>
      <c r="AK573" s="9" t="s">
        <v>102</v>
      </c>
      <c r="AL573" s="13">
        <f>IFERROR(INDEX('Balizador da Meta'!$D$3:$F$23,MATCH(Faturamento!$P573,'Balizador da Meta'!$C$3:$C$23,0),MATCH(Faturamento!AK573,'Balizador da Meta'!$D$2:$F$2,0)),"")</f>
        <v>0</v>
      </c>
      <c r="AM573" s="9"/>
    </row>
    <row r="574" spans="1:39" x14ac:dyDescent="0.3">
      <c r="A574" s="2" t="str">
        <f t="shared" si="614"/>
        <v>NÃO</v>
      </c>
      <c r="B574" s="2" t="str">
        <f>_xlfn.XLOOKUP($N574,'Base de Grupos'!$A:$A,'Base de Grupos'!$D:$D)</f>
        <v>1000065763</v>
      </c>
      <c r="C574" s="5" t="str">
        <f>_xlfn.XLOOKUP($N574,'Base de Grupos'!$A:$A,'Base de Grupos'!$E:$E)</f>
        <v>CANAL VENDA INTERNA</v>
      </c>
      <c r="D574" s="5" t="str">
        <f>_xlfn.XLOOKUP($N574,'Base de Grupos'!$A:$A,'Base de Grupos'!$F:$F)</f>
        <v>1000065763</v>
      </c>
      <c r="E574" s="2" t="str">
        <f>_xlfn.XLOOKUP($N574,'Base de Grupos'!$A:$A,'Base de Grupos'!$G:$G)</f>
        <v>CANAL VENDA INTERNA</v>
      </c>
      <c r="F574" s="2" t="str">
        <f>_xlfn.XLOOKUP($N574,'Base de Grupos'!$A:$A,'Base de Grupos'!$H:$H)</f>
        <v>1000153245</v>
      </c>
      <c r="G574" s="5" t="str">
        <f>_xlfn.XLOOKUP($N574,'Base de Grupos'!$A:$A,'Base de Grupos'!$I:$I)</f>
        <v>REGIONAL VENDA INTERNA - KEY ACCOUNT</v>
      </c>
      <c r="H574" s="5" t="str">
        <f>_xlfn.XLOOKUP($N574,'Base de Grupos'!$A:$A,'Base de Grupos'!$J:$J)</f>
        <v>1000153245</v>
      </c>
      <c r="I574" s="2" t="str">
        <f>_xlfn.XLOOKUP($N574,'Base de Grupos'!$A:$A,'Base de Grupos'!$K:$K)</f>
        <v>REGIONAL VENDA INTERNA - KEY ACCOUNT</v>
      </c>
      <c r="J574" s="2" t="str">
        <f>_xlfn.XLOOKUP($N574,'Base de Grupos'!$A:$A,'Base de Grupos'!$L:$L)</f>
        <v>1000153245</v>
      </c>
      <c r="K574" s="5" t="str">
        <f>_xlfn.XLOOKUP($N574,'Base de Grupos'!$A:$A,'Base de Grupos'!$M:$M)</f>
        <v>REGIONAL VENDA INTERNA - KEY ACCOUNT</v>
      </c>
      <c r="L574" s="5" t="str">
        <f t="shared" si="615"/>
        <v/>
      </c>
      <c r="M574" s="5" t="str">
        <f>_xlfn.XLOOKUP($N574,'Base de Grupos'!$A:$A,'Base de Grupos'!$C:$C)</f>
        <v>SC</v>
      </c>
      <c r="N574" s="3">
        <v>1431</v>
      </c>
      <c r="O574" s="4" t="s">
        <v>255</v>
      </c>
      <c r="P574" s="5" t="s">
        <v>91</v>
      </c>
      <c r="Q574" s="56">
        <v>0</v>
      </c>
      <c r="R574" s="56">
        <v>143.15866666666668</v>
      </c>
      <c r="S574" s="56">
        <v>143.15866666666668</v>
      </c>
      <c r="T574" s="56">
        <f>_xlfn.XLOOKUP($N574,'Calculo Leads'!$A$97:$A$134,'Calculo Leads'!G$97:G$134)*_xlfn.XLOOKUP($P574,'Base Grupo de Produtos'!$E$2:$E$18,'Base Grupo de Produtos'!$F$2:$F$18)</f>
        <v>0</v>
      </c>
      <c r="U574" s="56">
        <f>_xlfn.XLOOKUP($N574,'Calculo Leads'!$A$97:$A$134,'Calculo Leads'!H$97:H$134)*_xlfn.XLOOKUP($P574,'Base Grupo de Produtos'!$E$2:$E$18,'Base Grupo de Produtos'!$F$2:$F$18)</f>
        <v>0</v>
      </c>
      <c r="V574" s="56">
        <f>_xlfn.XLOOKUP($N574,'Calculo Leads'!$A$97:$A$134,'Calculo Leads'!I$97:I$134)*_xlfn.XLOOKUP($P574,'Base Grupo de Produtos'!$E$2:$E$18,'Base Grupo de Produtos'!$F$2:$F$18)</f>
        <v>0</v>
      </c>
      <c r="W574" s="56">
        <f>_xlfn.XLOOKUP($N574,'Calculo Leads'!$A$97:$A$134,'Calculo Leads'!J$97:J$134)*_xlfn.XLOOKUP($P574,'Base Grupo de Produtos'!$E$2:$E$18,'Base Grupo de Produtos'!$F$2:$F$18)</f>
        <v>0</v>
      </c>
      <c r="X574" s="56">
        <f>_xlfn.XLOOKUP($N574,'Calculo Leads'!$A$97:$A$134,'Calculo Leads'!K$97:K$134)*_xlfn.XLOOKUP($P574,'Base Grupo de Produtos'!$E$2:$E$18,'Base Grupo de Produtos'!$F$2:$F$18)</f>
        <v>0</v>
      </c>
      <c r="Y574" s="56">
        <f>_xlfn.XLOOKUP($N574,'Calculo Leads'!$A$97:$A$134,'Calculo Leads'!L$97:L$134)*_xlfn.XLOOKUP($P574,'Base Grupo de Produtos'!$E$2:$E$18,'Base Grupo de Produtos'!$F$2:$F$18)</f>
        <v>0</v>
      </c>
      <c r="Z574" s="56">
        <f>_xlfn.XLOOKUP($N574,'Calculo Leads'!$A$97:$A$134,'Calculo Leads'!M$97:M$134)*_xlfn.XLOOKUP($P574,'Base Grupo de Produtos'!$E$2:$E$18,'Base Grupo de Produtos'!$F$2:$F$18)</f>
        <v>0</v>
      </c>
      <c r="AA574" s="56">
        <f>_xlfn.XLOOKUP($N574,'Calculo Leads'!$A$97:$A$134,'Calculo Leads'!N$97:N$134)*_xlfn.XLOOKUP($P574,'Base Grupo de Produtos'!$E$2:$E$18,'Base Grupo de Produtos'!$F$2:$F$18)</f>
        <v>0</v>
      </c>
      <c r="AB574" s="56">
        <f>_xlfn.XLOOKUP($N574,'Calculo Leads'!$A$97:$A$134,'Calculo Leads'!O$97:O$134)*_xlfn.XLOOKUP($P574,'Base Grupo de Produtos'!$E$2:$E$18,'Base Grupo de Produtos'!$F$2:$F$18)</f>
        <v>0</v>
      </c>
      <c r="AC574" s="61">
        <f t="shared" si="561"/>
        <v>0</v>
      </c>
      <c r="AD574" s="27">
        <f t="shared" si="616"/>
        <v>0</v>
      </c>
      <c r="AE574" s="25">
        <f>IFERROR(_xlfn.XLOOKUP(N574&amp;P574,'Historico Vendas'!G:G,'Historico Vendas'!E:E),0)</f>
        <v>0</v>
      </c>
      <c r="AF574" s="29" t="str">
        <f t="shared" si="613"/>
        <v/>
      </c>
      <c r="AG574" s="24">
        <f>IFERROR(_xlfn.XLOOKUP(N574&amp;P574,'Historico Vendas'!G:G,'Historico Vendas'!F:F),0)</f>
        <v>0</v>
      </c>
      <c r="AH574" s="25">
        <f t="shared" si="617"/>
        <v>286.31733333333335</v>
      </c>
      <c r="AI574" s="24">
        <f t="shared" si="618"/>
        <v>286.31733333333335</v>
      </c>
      <c r="AJ574" s="11">
        <f t="shared" si="619"/>
        <v>0</v>
      </c>
      <c r="AK574" s="9" t="s">
        <v>102</v>
      </c>
      <c r="AL574" s="13">
        <f>IFERROR(INDEX('Balizador da Meta'!$D$3:$F$23,MATCH(Faturamento!$P574,'Balizador da Meta'!$C$3:$C$23,0),MATCH(Faturamento!AK574,'Balizador da Meta'!$D$2:$F$2,0)),"")</f>
        <v>0</v>
      </c>
      <c r="AM574" s="9"/>
    </row>
    <row r="575" spans="1:39" x14ac:dyDescent="0.3">
      <c r="A575" s="2" t="str">
        <f t="shared" si="614"/>
        <v>NÃO</v>
      </c>
      <c r="B575" s="2" t="str">
        <f>_xlfn.XLOOKUP($N575,'Base de Grupos'!$A:$A,'Base de Grupos'!$D:$D)</f>
        <v>1000065763</v>
      </c>
      <c r="C575" s="5" t="str">
        <f>_xlfn.XLOOKUP($N575,'Base de Grupos'!$A:$A,'Base de Grupos'!$E:$E)</f>
        <v>CANAL VENDA INTERNA</v>
      </c>
      <c r="D575" s="5" t="str">
        <f>_xlfn.XLOOKUP($N575,'Base de Grupos'!$A:$A,'Base de Grupos'!$F:$F)</f>
        <v>1000065763</v>
      </c>
      <c r="E575" s="2" t="str">
        <f>_xlfn.XLOOKUP($N575,'Base de Grupos'!$A:$A,'Base de Grupos'!$G:$G)</f>
        <v>CANAL VENDA INTERNA</v>
      </c>
      <c r="F575" s="2" t="str">
        <f>_xlfn.XLOOKUP($N575,'Base de Grupos'!$A:$A,'Base de Grupos'!$H:$H)</f>
        <v>1000153245</v>
      </c>
      <c r="G575" s="5" t="str">
        <f>_xlfn.XLOOKUP($N575,'Base de Grupos'!$A:$A,'Base de Grupos'!$I:$I)</f>
        <v>REGIONAL VENDA INTERNA - KEY ACCOUNT</v>
      </c>
      <c r="H575" s="5" t="str">
        <f>_xlfn.XLOOKUP($N575,'Base de Grupos'!$A:$A,'Base de Grupos'!$J:$J)</f>
        <v>1000153245</v>
      </c>
      <c r="I575" s="2" t="str">
        <f>_xlfn.XLOOKUP($N575,'Base de Grupos'!$A:$A,'Base de Grupos'!$K:$K)</f>
        <v>REGIONAL VENDA INTERNA - KEY ACCOUNT</v>
      </c>
      <c r="J575" s="2" t="str">
        <f>_xlfn.XLOOKUP($N575,'Base de Grupos'!$A:$A,'Base de Grupos'!$L:$L)</f>
        <v>1000153245</v>
      </c>
      <c r="K575" s="5" t="str">
        <f>_xlfn.XLOOKUP($N575,'Base de Grupos'!$A:$A,'Base de Grupos'!$M:$M)</f>
        <v>REGIONAL VENDA INTERNA - KEY ACCOUNT</v>
      </c>
      <c r="L575" s="5" t="str">
        <f t="shared" si="615"/>
        <v/>
      </c>
      <c r="M575" s="5" t="str">
        <f>_xlfn.XLOOKUP($N575,'Base de Grupos'!$A:$A,'Base de Grupos'!$C:$C)</f>
        <v>SC</v>
      </c>
      <c r="N575" s="3">
        <v>1431</v>
      </c>
      <c r="O575" s="4" t="s">
        <v>255</v>
      </c>
      <c r="P575" s="5" t="s">
        <v>96</v>
      </c>
      <c r="Q575" s="56">
        <v>0</v>
      </c>
      <c r="R575" s="56">
        <v>40.9</v>
      </c>
      <c r="S575" s="56">
        <v>40.9</v>
      </c>
      <c r="T575" s="56">
        <f>_xlfn.XLOOKUP($N575,'Calculo Leads'!$A$97:$A$134,'Calculo Leads'!G$97:G$134)*_xlfn.XLOOKUP($P575,'Base Grupo de Produtos'!$E$2:$E$18,'Base Grupo de Produtos'!$F$2:$F$18)</f>
        <v>70</v>
      </c>
      <c r="U575" s="56">
        <f>_xlfn.XLOOKUP($N575,'Calculo Leads'!$A$97:$A$134,'Calculo Leads'!H$97:H$134)*_xlfn.XLOOKUP($P575,'Base Grupo de Produtos'!$E$2:$E$18,'Base Grupo de Produtos'!$F$2:$F$18)</f>
        <v>70</v>
      </c>
      <c r="V575" s="56">
        <f>_xlfn.XLOOKUP($N575,'Calculo Leads'!$A$97:$A$134,'Calculo Leads'!I$97:I$134)*_xlfn.XLOOKUP($P575,'Base Grupo de Produtos'!$E$2:$E$18,'Base Grupo de Produtos'!$F$2:$F$18)</f>
        <v>70</v>
      </c>
      <c r="W575" s="56">
        <f>_xlfn.XLOOKUP($N575,'Calculo Leads'!$A$97:$A$134,'Calculo Leads'!J$97:J$134)*_xlfn.XLOOKUP($P575,'Base Grupo de Produtos'!$E$2:$E$18,'Base Grupo de Produtos'!$F$2:$F$18)</f>
        <v>70</v>
      </c>
      <c r="X575" s="56">
        <f>_xlfn.XLOOKUP($N575,'Calculo Leads'!$A$97:$A$134,'Calculo Leads'!K$97:K$134)*_xlfn.XLOOKUP($P575,'Base Grupo de Produtos'!$E$2:$E$18,'Base Grupo de Produtos'!$F$2:$F$18)</f>
        <v>154.00000000000003</v>
      </c>
      <c r="Y575" s="56">
        <f>_xlfn.XLOOKUP($N575,'Calculo Leads'!$A$97:$A$134,'Calculo Leads'!L$97:L$134)*_xlfn.XLOOKUP($P575,'Base Grupo de Produtos'!$E$2:$E$18,'Base Grupo de Produtos'!$F$2:$F$18)</f>
        <v>154.00000000000003</v>
      </c>
      <c r="Z575" s="56">
        <f>_xlfn.XLOOKUP($N575,'Calculo Leads'!$A$97:$A$134,'Calculo Leads'!M$97:M$134)*_xlfn.XLOOKUP($P575,'Base Grupo de Produtos'!$E$2:$E$18,'Base Grupo de Produtos'!$F$2:$F$18)</f>
        <v>154.00000000000003</v>
      </c>
      <c r="AA575" s="56">
        <f>_xlfn.XLOOKUP($N575,'Calculo Leads'!$A$97:$A$134,'Calculo Leads'!N$97:N$134)*_xlfn.XLOOKUP($P575,'Base Grupo de Produtos'!$E$2:$E$18,'Base Grupo de Produtos'!$F$2:$F$18)</f>
        <v>154.00000000000003</v>
      </c>
      <c r="AB575" s="56">
        <f>_xlfn.XLOOKUP($N575,'Calculo Leads'!$A$97:$A$134,'Calculo Leads'!O$97:O$134)*_xlfn.XLOOKUP($P575,'Base Grupo de Produtos'!$E$2:$E$18,'Base Grupo de Produtos'!$F$2:$F$18)</f>
        <v>154.00000000000003</v>
      </c>
      <c r="AC575" s="61">
        <f t="shared" si="561"/>
        <v>1050</v>
      </c>
      <c r="AD575" s="27">
        <f t="shared" si="616"/>
        <v>1050</v>
      </c>
      <c r="AE575" s="25">
        <f>IFERROR(_xlfn.XLOOKUP(N575&amp;P575,'Historico Vendas'!G:G,'Historico Vendas'!E:E),0)</f>
        <v>0</v>
      </c>
      <c r="AF575" s="29" t="str">
        <f t="shared" si="613"/>
        <v/>
      </c>
      <c r="AG575" s="24">
        <f>IFERROR(_xlfn.XLOOKUP(N575&amp;P575,'Historico Vendas'!G:G,'Historico Vendas'!F:F),0)</f>
        <v>0</v>
      </c>
      <c r="AH575" s="25">
        <f t="shared" si="617"/>
        <v>81.8</v>
      </c>
      <c r="AI575" s="24">
        <f t="shared" si="618"/>
        <v>81.8</v>
      </c>
      <c r="AJ575" s="11">
        <f t="shared" si="619"/>
        <v>0</v>
      </c>
      <c r="AK575" s="9" t="s">
        <v>102</v>
      </c>
      <c r="AL575" s="13">
        <f>IFERROR(INDEX('Balizador da Meta'!$D$3:$F$23,MATCH(Faturamento!$P575,'Balizador da Meta'!$C$3:$C$23,0),MATCH(Faturamento!AK575,'Balizador da Meta'!$D$2:$F$2,0)),"")</f>
        <v>0</v>
      </c>
      <c r="AM575" s="9"/>
    </row>
    <row r="576" spans="1:39" x14ac:dyDescent="0.3">
      <c r="A576" s="2" t="str">
        <f t="shared" si="614"/>
        <v>NÃO</v>
      </c>
      <c r="B576" s="2" t="str">
        <f>_xlfn.XLOOKUP($N576,'Base de Grupos'!$A:$A,'Base de Grupos'!$D:$D)</f>
        <v>1000065763</v>
      </c>
      <c r="C576" s="5" t="str">
        <f>_xlfn.XLOOKUP($N576,'Base de Grupos'!$A:$A,'Base de Grupos'!$E:$E)</f>
        <v>CANAL VENDA INTERNA</v>
      </c>
      <c r="D576" s="5" t="str">
        <f>_xlfn.XLOOKUP($N576,'Base de Grupos'!$A:$A,'Base de Grupos'!$F:$F)</f>
        <v>1000065763</v>
      </c>
      <c r="E576" s="2" t="str">
        <f>_xlfn.XLOOKUP($N576,'Base de Grupos'!$A:$A,'Base de Grupos'!$G:$G)</f>
        <v>CANAL VENDA INTERNA</v>
      </c>
      <c r="F576" s="2" t="str">
        <f>_xlfn.XLOOKUP($N576,'Base de Grupos'!$A:$A,'Base de Grupos'!$H:$H)</f>
        <v>1000153245</v>
      </c>
      <c r="G576" s="5" t="str">
        <f>_xlfn.XLOOKUP($N576,'Base de Grupos'!$A:$A,'Base de Grupos'!$I:$I)</f>
        <v>REGIONAL VENDA INTERNA - KEY ACCOUNT</v>
      </c>
      <c r="H576" s="5" t="str">
        <f>_xlfn.XLOOKUP($N576,'Base de Grupos'!$A:$A,'Base de Grupos'!$J:$J)</f>
        <v>1000153245</v>
      </c>
      <c r="I576" s="2" t="str">
        <f>_xlfn.XLOOKUP($N576,'Base de Grupos'!$A:$A,'Base de Grupos'!$K:$K)</f>
        <v>REGIONAL VENDA INTERNA - KEY ACCOUNT</v>
      </c>
      <c r="J576" s="2" t="str">
        <f>_xlfn.XLOOKUP($N576,'Base de Grupos'!$A:$A,'Base de Grupos'!$L:$L)</f>
        <v>1000153245</v>
      </c>
      <c r="K576" s="5" t="str">
        <f>_xlfn.XLOOKUP($N576,'Base de Grupos'!$A:$A,'Base de Grupos'!$M:$M)</f>
        <v>REGIONAL VENDA INTERNA - KEY ACCOUNT</v>
      </c>
      <c r="L576" s="5" t="str">
        <f t="shared" si="615"/>
        <v/>
      </c>
      <c r="M576" s="5" t="str">
        <f>_xlfn.XLOOKUP($N576,'Base de Grupos'!$A:$A,'Base de Grupos'!$C:$C)</f>
        <v>SC</v>
      </c>
      <c r="N576" s="3">
        <v>1431</v>
      </c>
      <c r="O576" s="4" t="s">
        <v>255</v>
      </c>
      <c r="P576" s="5" t="s">
        <v>94</v>
      </c>
      <c r="Q576" s="56">
        <v>0</v>
      </c>
      <c r="R576" s="56">
        <v>1470.3095435684643</v>
      </c>
      <c r="S576" s="56">
        <v>1470.3095435684643</v>
      </c>
      <c r="T576" s="56">
        <f>_xlfn.XLOOKUP($N576,'Calculo Leads'!$A$97:$A$134,'Calculo Leads'!G$97:G$134)*_xlfn.XLOOKUP($P576,'Base Grupo de Produtos'!$E$2:$E$18,'Base Grupo de Produtos'!$F$2:$F$18)</f>
        <v>49.999999999999993</v>
      </c>
      <c r="U576" s="56">
        <f>_xlfn.XLOOKUP($N576,'Calculo Leads'!$A$97:$A$134,'Calculo Leads'!H$97:H$134)*_xlfn.XLOOKUP($P576,'Base Grupo de Produtos'!$E$2:$E$18,'Base Grupo de Produtos'!$F$2:$F$18)</f>
        <v>49.999999999999993</v>
      </c>
      <c r="V576" s="56">
        <f>_xlfn.XLOOKUP($N576,'Calculo Leads'!$A$97:$A$134,'Calculo Leads'!I$97:I$134)*_xlfn.XLOOKUP($P576,'Base Grupo de Produtos'!$E$2:$E$18,'Base Grupo de Produtos'!$F$2:$F$18)</f>
        <v>49.999999999999993</v>
      </c>
      <c r="W576" s="56">
        <f>_xlfn.XLOOKUP($N576,'Calculo Leads'!$A$97:$A$134,'Calculo Leads'!J$97:J$134)*_xlfn.XLOOKUP($P576,'Base Grupo de Produtos'!$E$2:$E$18,'Base Grupo de Produtos'!$F$2:$F$18)</f>
        <v>49.999999999999993</v>
      </c>
      <c r="X576" s="56">
        <f>_xlfn.XLOOKUP($N576,'Calculo Leads'!$A$97:$A$134,'Calculo Leads'!K$97:K$134)*_xlfn.XLOOKUP($P576,'Base Grupo de Produtos'!$E$2:$E$18,'Base Grupo de Produtos'!$F$2:$F$18)</f>
        <v>109.99999999999999</v>
      </c>
      <c r="Y576" s="56">
        <f>_xlfn.XLOOKUP($N576,'Calculo Leads'!$A$97:$A$134,'Calculo Leads'!L$97:L$134)*_xlfn.XLOOKUP($P576,'Base Grupo de Produtos'!$E$2:$E$18,'Base Grupo de Produtos'!$F$2:$F$18)</f>
        <v>109.99999999999999</v>
      </c>
      <c r="Z576" s="56">
        <f>_xlfn.XLOOKUP($N576,'Calculo Leads'!$A$97:$A$134,'Calculo Leads'!M$97:M$134)*_xlfn.XLOOKUP($P576,'Base Grupo de Produtos'!$E$2:$E$18,'Base Grupo de Produtos'!$F$2:$F$18)</f>
        <v>109.99999999999999</v>
      </c>
      <c r="AA576" s="56">
        <f>_xlfn.XLOOKUP($N576,'Calculo Leads'!$A$97:$A$134,'Calculo Leads'!N$97:N$134)*_xlfn.XLOOKUP($P576,'Base Grupo de Produtos'!$E$2:$E$18,'Base Grupo de Produtos'!$F$2:$F$18)</f>
        <v>109.99999999999999</v>
      </c>
      <c r="AB576" s="56">
        <f>_xlfn.XLOOKUP($N576,'Calculo Leads'!$A$97:$A$134,'Calculo Leads'!O$97:O$134)*_xlfn.XLOOKUP($P576,'Base Grupo de Produtos'!$E$2:$E$18,'Base Grupo de Produtos'!$F$2:$F$18)</f>
        <v>109.99999999999999</v>
      </c>
      <c r="AC576" s="61">
        <f t="shared" si="561"/>
        <v>749.99999999999989</v>
      </c>
      <c r="AD576" s="27">
        <f t="shared" si="616"/>
        <v>749.99999999999989</v>
      </c>
      <c r="AE576" s="25">
        <f>IFERROR(_xlfn.XLOOKUP(N576&amp;P576,'Historico Vendas'!G:G,'Historico Vendas'!E:E),0)</f>
        <v>0</v>
      </c>
      <c r="AF576" s="29" t="str">
        <f t="shared" si="613"/>
        <v/>
      </c>
      <c r="AG576" s="24">
        <f>IFERROR(_xlfn.XLOOKUP(N576&amp;P576,'Historico Vendas'!G:G,'Historico Vendas'!F:F),0)</f>
        <v>0</v>
      </c>
      <c r="AH576" s="25">
        <f t="shared" si="617"/>
        <v>2940.6190871369286</v>
      </c>
      <c r="AI576" s="24">
        <f t="shared" si="618"/>
        <v>2940.6190871369286</v>
      </c>
      <c r="AJ576" s="11">
        <f t="shared" si="619"/>
        <v>0</v>
      </c>
      <c r="AK576" s="9" t="s">
        <v>102</v>
      </c>
      <c r="AL576" s="13">
        <f>IFERROR(INDEX('Balizador da Meta'!$D$3:$F$23,MATCH(Faturamento!$P576,'Balizador da Meta'!$C$3:$C$23,0),MATCH(Faturamento!AK576,'Balizador da Meta'!$D$2:$F$2,0)),"")</f>
        <v>0.25</v>
      </c>
      <c r="AM576" s="9"/>
    </row>
    <row r="577" spans="1:39" x14ac:dyDescent="0.3">
      <c r="A577" s="2" t="str">
        <f t="shared" si="614"/>
        <v>NÃO</v>
      </c>
      <c r="B577" s="2" t="str">
        <f>_xlfn.XLOOKUP($N577,'Base de Grupos'!$A:$A,'Base de Grupos'!$D:$D)</f>
        <v>1000065763</v>
      </c>
      <c r="C577" s="5" t="str">
        <f>_xlfn.XLOOKUP($N577,'Base de Grupos'!$A:$A,'Base de Grupos'!$E:$E)</f>
        <v>CANAL VENDA INTERNA</v>
      </c>
      <c r="D577" s="5" t="str">
        <f>_xlfn.XLOOKUP($N577,'Base de Grupos'!$A:$A,'Base de Grupos'!$F:$F)</f>
        <v>1000065763</v>
      </c>
      <c r="E577" s="2" t="str">
        <f>_xlfn.XLOOKUP($N577,'Base de Grupos'!$A:$A,'Base de Grupos'!$G:$G)</f>
        <v>CANAL VENDA INTERNA</v>
      </c>
      <c r="F577" s="2" t="str">
        <f>_xlfn.XLOOKUP($N577,'Base de Grupos'!$A:$A,'Base de Grupos'!$H:$H)</f>
        <v>1000153245</v>
      </c>
      <c r="G577" s="5" t="str">
        <f>_xlfn.XLOOKUP($N577,'Base de Grupos'!$A:$A,'Base de Grupos'!$I:$I)</f>
        <v>REGIONAL VENDA INTERNA - KEY ACCOUNT</v>
      </c>
      <c r="H577" s="5" t="str">
        <f>_xlfn.XLOOKUP($N577,'Base de Grupos'!$A:$A,'Base de Grupos'!$J:$J)</f>
        <v>1000153245</v>
      </c>
      <c r="I577" s="2" t="str">
        <f>_xlfn.XLOOKUP($N577,'Base de Grupos'!$A:$A,'Base de Grupos'!$K:$K)</f>
        <v>REGIONAL VENDA INTERNA - KEY ACCOUNT</v>
      </c>
      <c r="J577" s="2" t="str">
        <f>_xlfn.XLOOKUP($N577,'Base de Grupos'!$A:$A,'Base de Grupos'!$L:$L)</f>
        <v>1000153245</v>
      </c>
      <c r="K577" s="5" t="str">
        <f>_xlfn.XLOOKUP($N577,'Base de Grupos'!$A:$A,'Base de Grupos'!$M:$M)</f>
        <v>REGIONAL VENDA INTERNA - KEY ACCOUNT</v>
      </c>
      <c r="L577" s="5" t="str">
        <f t="shared" si="615"/>
        <v/>
      </c>
      <c r="M577" s="5" t="str">
        <f>_xlfn.XLOOKUP($N577,'Base de Grupos'!$A:$A,'Base de Grupos'!$C:$C)</f>
        <v>SC</v>
      </c>
      <c r="N577" s="3">
        <v>1431</v>
      </c>
      <c r="O577" s="4" t="s">
        <v>255</v>
      </c>
      <c r="P577" s="5" t="s">
        <v>95</v>
      </c>
      <c r="Q577" s="56">
        <v>0</v>
      </c>
      <c r="R577" s="56">
        <v>2302.1240000000003</v>
      </c>
      <c r="S577" s="56">
        <v>2616.0500000000002</v>
      </c>
      <c r="T577" s="56">
        <f>_xlfn.XLOOKUP($N577,'Calculo Leads'!$A$97:$A$134,'Calculo Leads'!G$97:G$134)*_xlfn.XLOOKUP($P577,'Base Grupo de Produtos'!$E$2:$E$18,'Base Grupo de Produtos'!$F$2:$F$18)</f>
        <v>80</v>
      </c>
      <c r="U577" s="56">
        <f>_xlfn.XLOOKUP($N577,'Calculo Leads'!$A$97:$A$134,'Calculo Leads'!H$97:H$134)*_xlfn.XLOOKUP($P577,'Base Grupo de Produtos'!$E$2:$E$18,'Base Grupo de Produtos'!$F$2:$F$18)</f>
        <v>80</v>
      </c>
      <c r="V577" s="56">
        <f>_xlfn.XLOOKUP($N577,'Calculo Leads'!$A$97:$A$134,'Calculo Leads'!I$97:I$134)*_xlfn.XLOOKUP($P577,'Base Grupo de Produtos'!$E$2:$E$18,'Base Grupo de Produtos'!$F$2:$F$18)</f>
        <v>80</v>
      </c>
      <c r="W577" s="56">
        <f>_xlfn.XLOOKUP($N577,'Calculo Leads'!$A$97:$A$134,'Calculo Leads'!J$97:J$134)*_xlfn.XLOOKUP($P577,'Base Grupo de Produtos'!$E$2:$E$18,'Base Grupo de Produtos'!$F$2:$F$18)</f>
        <v>80</v>
      </c>
      <c r="X577" s="56">
        <f>_xlfn.XLOOKUP($N577,'Calculo Leads'!$A$97:$A$134,'Calculo Leads'!K$97:K$134)*_xlfn.XLOOKUP($P577,'Base Grupo de Produtos'!$E$2:$E$18,'Base Grupo de Produtos'!$F$2:$F$18)</f>
        <v>176</v>
      </c>
      <c r="Y577" s="56">
        <f>_xlfn.XLOOKUP($N577,'Calculo Leads'!$A$97:$A$134,'Calculo Leads'!L$97:L$134)*_xlfn.XLOOKUP($P577,'Base Grupo de Produtos'!$E$2:$E$18,'Base Grupo de Produtos'!$F$2:$F$18)</f>
        <v>176</v>
      </c>
      <c r="Z577" s="56">
        <f>_xlfn.XLOOKUP($N577,'Calculo Leads'!$A$97:$A$134,'Calculo Leads'!M$97:M$134)*_xlfn.XLOOKUP($P577,'Base Grupo de Produtos'!$E$2:$E$18,'Base Grupo de Produtos'!$F$2:$F$18)</f>
        <v>176</v>
      </c>
      <c r="AA577" s="56">
        <f>_xlfn.XLOOKUP($N577,'Calculo Leads'!$A$97:$A$134,'Calculo Leads'!N$97:N$134)*_xlfn.XLOOKUP($P577,'Base Grupo de Produtos'!$E$2:$E$18,'Base Grupo de Produtos'!$F$2:$F$18)</f>
        <v>176</v>
      </c>
      <c r="AB577" s="56">
        <f>_xlfn.XLOOKUP($N577,'Calculo Leads'!$A$97:$A$134,'Calculo Leads'!O$97:O$134)*_xlfn.XLOOKUP($P577,'Base Grupo de Produtos'!$E$2:$E$18,'Base Grupo de Produtos'!$F$2:$F$18)</f>
        <v>176</v>
      </c>
      <c r="AC577" s="61">
        <f t="shared" si="561"/>
        <v>1200</v>
      </c>
      <c r="AD577" s="27">
        <f t="shared" si="616"/>
        <v>1200</v>
      </c>
      <c r="AE577" s="25">
        <f>IFERROR(_xlfn.XLOOKUP(N577&amp;P577,'Historico Vendas'!G:G,'Historico Vendas'!E:E),0)</f>
        <v>0</v>
      </c>
      <c r="AF577" s="29" t="str">
        <f t="shared" si="613"/>
        <v/>
      </c>
      <c r="AG577" s="24">
        <f>IFERROR(_xlfn.XLOOKUP(N577&amp;P577,'Historico Vendas'!G:G,'Historico Vendas'!F:F),0)</f>
        <v>0</v>
      </c>
      <c r="AH577" s="25">
        <f t="shared" si="617"/>
        <v>4918.1740000000009</v>
      </c>
      <c r="AI577" s="24">
        <f t="shared" si="618"/>
        <v>4918.1740000000009</v>
      </c>
      <c r="AJ577" s="11">
        <f t="shared" si="619"/>
        <v>0</v>
      </c>
      <c r="AK577" s="9" t="s">
        <v>102</v>
      </c>
      <c r="AL577" s="13">
        <f>IFERROR(INDEX('Balizador da Meta'!$D$3:$F$23,MATCH(Faturamento!$P577,'Balizador da Meta'!$C$3:$C$23,0),MATCH(Faturamento!AK577,'Balizador da Meta'!$D$2:$F$2,0)),"")</f>
        <v>0.25</v>
      </c>
      <c r="AM577" s="9"/>
    </row>
    <row r="578" spans="1:39" x14ac:dyDescent="0.3">
      <c r="A578" s="2" t="str">
        <f t="shared" si="614"/>
        <v>NÃO</v>
      </c>
      <c r="B578" s="2" t="str">
        <f>_xlfn.XLOOKUP($N578,'Base de Grupos'!$A:$A,'Base de Grupos'!$D:$D)</f>
        <v>1000065763</v>
      </c>
      <c r="C578" s="5" t="str">
        <f>_xlfn.XLOOKUP($N578,'Base de Grupos'!$A:$A,'Base de Grupos'!$E:$E)</f>
        <v>CANAL VENDA INTERNA</v>
      </c>
      <c r="D578" s="5" t="str">
        <f>_xlfn.XLOOKUP($N578,'Base de Grupos'!$A:$A,'Base de Grupos'!$F:$F)</f>
        <v>1000065763</v>
      </c>
      <c r="E578" s="2" t="str">
        <f>_xlfn.XLOOKUP($N578,'Base de Grupos'!$A:$A,'Base de Grupos'!$G:$G)</f>
        <v>CANAL VENDA INTERNA</v>
      </c>
      <c r="F578" s="2" t="str">
        <f>_xlfn.XLOOKUP($N578,'Base de Grupos'!$A:$A,'Base de Grupos'!$H:$H)</f>
        <v>1000153245</v>
      </c>
      <c r="G578" s="5" t="str">
        <f>_xlfn.XLOOKUP($N578,'Base de Grupos'!$A:$A,'Base de Grupos'!$I:$I)</f>
        <v>REGIONAL VENDA INTERNA - KEY ACCOUNT</v>
      </c>
      <c r="H578" s="5" t="str">
        <f>_xlfn.XLOOKUP($N578,'Base de Grupos'!$A:$A,'Base de Grupos'!$J:$J)</f>
        <v>1000153245</v>
      </c>
      <c r="I578" s="2" t="str">
        <f>_xlfn.XLOOKUP($N578,'Base de Grupos'!$A:$A,'Base de Grupos'!$K:$K)</f>
        <v>REGIONAL VENDA INTERNA - KEY ACCOUNT</v>
      </c>
      <c r="J578" s="2" t="str">
        <f>_xlfn.XLOOKUP($N578,'Base de Grupos'!$A:$A,'Base de Grupos'!$L:$L)</f>
        <v>1000153245</v>
      </c>
      <c r="K578" s="5" t="str">
        <f>_xlfn.XLOOKUP($N578,'Base de Grupos'!$A:$A,'Base de Grupos'!$M:$M)</f>
        <v>REGIONAL VENDA INTERNA - KEY ACCOUNT</v>
      </c>
      <c r="L578" s="5" t="str">
        <f t="shared" si="615"/>
        <v/>
      </c>
      <c r="M578" s="5" t="str">
        <f>_xlfn.XLOOKUP($N578,'Base de Grupos'!$A:$A,'Base de Grupos'!$C:$C)</f>
        <v>SC</v>
      </c>
      <c r="N578" s="3">
        <v>1431</v>
      </c>
      <c r="O578" s="4" t="s">
        <v>255</v>
      </c>
      <c r="P578" s="5" t="s">
        <v>93</v>
      </c>
      <c r="Q578" s="56">
        <v>0</v>
      </c>
      <c r="R578" s="56">
        <v>585.97440000000006</v>
      </c>
      <c r="S578" s="56">
        <v>585.97440000000006</v>
      </c>
      <c r="T578" s="56">
        <f>_xlfn.XLOOKUP($N578,'Calculo Leads'!$A$97:$A$134,'Calculo Leads'!G$97:G$134)*_xlfn.XLOOKUP($P578,'Base Grupo de Produtos'!$E$2:$E$18,'Base Grupo de Produtos'!$F$2:$F$18)</f>
        <v>30</v>
      </c>
      <c r="U578" s="56">
        <f>_xlfn.XLOOKUP($N578,'Calculo Leads'!$A$97:$A$134,'Calculo Leads'!H$97:H$134)*_xlfn.XLOOKUP($P578,'Base Grupo de Produtos'!$E$2:$E$18,'Base Grupo de Produtos'!$F$2:$F$18)</f>
        <v>30</v>
      </c>
      <c r="V578" s="56">
        <f>_xlfn.XLOOKUP($N578,'Calculo Leads'!$A$97:$A$134,'Calculo Leads'!I$97:I$134)*_xlfn.XLOOKUP($P578,'Base Grupo de Produtos'!$E$2:$E$18,'Base Grupo de Produtos'!$F$2:$F$18)</f>
        <v>30</v>
      </c>
      <c r="W578" s="56">
        <f>_xlfn.XLOOKUP($N578,'Calculo Leads'!$A$97:$A$134,'Calculo Leads'!J$97:J$134)*_xlfn.XLOOKUP($P578,'Base Grupo de Produtos'!$E$2:$E$18,'Base Grupo de Produtos'!$F$2:$F$18)</f>
        <v>30</v>
      </c>
      <c r="X578" s="56">
        <f>_xlfn.XLOOKUP($N578,'Calculo Leads'!$A$97:$A$134,'Calculo Leads'!K$97:K$134)*_xlfn.XLOOKUP($P578,'Base Grupo de Produtos'!$E$2:$E$18,'Base Grupo de Produtos'!$F$2:$F$18)</f>
        <v>66</v>
      </c>
      <c r="Y578" s="56">
        <f>_xlfn.XLOOKUP($N578,'Calculo Leads'!$A$97:$A$134,'Calculo Leads'!L$97:L$134)*_xlfn.XLOOKUP($P578,'Base Grupo de Produtos'!$E$2:$E$18,'Base Grupo de Produtos'!$F$2:$F$18)</f>
        <v>66</v>
      </c>
      <c r="Z578" s="56">
        <f>_xlfn.XLOOKUP($N578,'Calculo Leads'!$A$97:$A$134,'Calculo Leads'!M$97:M$134)*_xlfn.XLOOKUP($P578,'Base Grupo de Produtos'!$E$2:$E$18,'Base Grupo de Produtos'!$F$2:$F$18)</f>
        <v>66</v>
      </c>
      <c r="AA578" s="56">
        <f>_xlfn.XLOOKUP($N578,'Calculo Leads'!$A$97:$A$134,'Calculo Leads'!N$97:N$134)*_xlfn.XLOOKUP($P578,'Base Grupo de Produtos'!$E$2:$E$18,'Base Grupo de Produtos'!$F$2:$F$18)</f>
        <v>66</v>
      </c>
      <c r="AB578" s="56">
        <f>_xlfn.XLOOKUP($N578,'Calculo Leads'!$A$97:$A$134,'Calculo Leads'!O$97:O$134)*_xlfn.XLOOKUP($P578,'Base Grupo de Produtos'!$E$2:$E$18,'Base Grupo de Produtos'!$F$2:$F$18)</f>
        <v>66</v>
      </c>
      <c r="AC578" s="61">
        <f t="shared" si="561"/>
        <v>450</v>
      </c>
      <c r="AD578" s="27">
        <f t="shared" si="616"/>
        <v>450</v>
      </c>
      <c r="AE578" s="25">
        <f>IFERROR(_xlfn.XLOOKUP(N578&amp;P578,'Historico Vendas'!G:G,'Historico Vendas'!E:E),0)</f>
        <v>0</v>
      </c>
      <c r="AF578" s="29" t="str">
        <f t="shared" si="613"/>
        <v/>
      </c>
      <c r="AG578" s="24">
        <f>IFERROR(_xlfn.XLOOKUP(N578&amp;P578,'Historico Vendas'!G:G,'Historico Vendas'!F:F),0)</f>
        <v>0</v>
      </c>
      <c r="AH578" s="25">
        <f t="shared" si="617"/>
        <v>1171.9488000000001</v>
      </c>
      <c r="AI578" s="24">
        <f t="shared" si="618"/>
        <v>1171.9488000000001</v>
      </c>
      <c r="AJ578" s="11">
        <f t="shared" si="619"/>
        <v>0</v>
      </c>
      <c r="AK578" s="9" t="s">
        <v>102</v>
      </c>
      <c r="AL578" s="13">
        <f>IFERROR(INDEX('Balizador da Meta'!$D$3:$F$23,MATCH(Faturamento!$P578,'Balizador da Meta'!$C$3:$C$23,0),MATCH(Faturamento!AK578,'Balizador da Meta'!$D$2:$F$2,0)),"")</f>
        <v>0.2</v>
      </c>
      <c r="AM578" s="9"/>
    </row>
    <row r="579" spans="1:39" x14ac:dyDescent="0.3">
      <c r="A579" s="2" t="str">
        <f t="shared" si="614"/>
        <v>SIM</v>
      </c>
      <c r="B579" s="2" t="str">
        <f>_xlfn.XLOOKUP($N579,'Base de Grupos'!$A:$A,'Base de Grupos'!$D:$D)</f>
        <v>1000065763</v>
      </c>
      <c r="C579" s="5" t="str">
        <f>_xlfn.XLOOKUP($N579,'Base de Grupos'!$A:$A,'Base de Grupos'!$E:$E)</f>
        <v>CANAL VENDA INTERNA</v>
      </c>
      <c r="D579" s="5" t="str">
        <f>_xlfn.XLOOKUP($N579,'Base de Grupos'!$A:$A,'Base de Grupos'!$F:$F)</f>
        <v>1000065763</v>
      </c>
      <c r="E579" s="2" t="str">
        <f>_xlfn.XLOOKUP($N579,'Base de Grupos'!$A:$A,'Base de Grupos'!$G:$G)</f>
        <v>CANAL VENDA INTERNA</v>
      </c>
      <c r="F579" s="2" t="str">
        <f>_xlfn.XLOOKUP($N579,'Base de Grupos'!$A:$A,'Base de Grupos'!$H:$H)</f>
        <v>1000153245</v>
      </c>
      <c r="G579" s="5" t="str">
        <f>_xlfn.XLOOKUP($N579,'Base de Grupos'!$A:$A,'Base de Grupos'!$I:$I)</f>
        <v>REGIONAL VENDA INTERNA - KEY ACCOUNT</v>
      </c>
      <c r="H579" s="5" t="str">
        <f>_xlfn.XLOOKUP($N579,'Base de Grupos'!$A:$A,'Base de Grupos'!$J:$J)</f>
        <v>1000153245</v>
      </c>
      <c r="I579" s="2" t="str">
        <f>_xlfn.XLOOKUP($N579,'Base de Grupos'!$A:$A,'Base de Grupos'!$K:$K)</f>
        <v>REGIONAL VENDA INTERNA - KEY ACCOUNT</v>
      </c>
      <c r="J579" s="2" t="str">
        <f>_xlfn.XLOOKUP($N579,'Base de Grupos'!$A:$A,'Base de Grupos'!$L:$L)</f>
        <v>1000153245</v>
      </c>
      <c r="K579" s="5" t="str">
        <f>_xlfn.XLOOKUP($N579,'Base de Grupos'!$A:$A,'Base de Grupos'!$M:$M)</f>
        <v>REGIONAL VENDA INTERNA - KEY ACCOUNT</v>
      </c>
      <c r="L579" s="5">
        <f t="shared" si="615"/>
        <v>1</v>
      </c>
      <c r="M579" s="5" t="str">
        <f>_xlfn.XLOOKUP($N579,'Base de Grupos'!$A:$A,'Base de Grupos'!$C:$C)</f>
        <v>SC</v>
      </c>
      <c r="N579" s="3">
        <v>1432</v>
      </c>
      <c r="O579" s="4" t="s">
        <v>256</v>
      </c>
      <c r="P579" s="5" t="s">
        <v>326</v>
      </c>
      <c r="Q579" s="56">
        <f t="shared" ref="Q579" si="620">SUM(Q580:Q596)</f>
        <v>0</v>
      </c>
      <c r="R579" s="56">
        <f t="shared" ref="R579" si="621">SUM(R580:R596)</f>
        <v>10568.294327098127</v>
      </c>
      <c r="S579" s="56">
        <f t="shared" ref="S579" si="622">SUM(S580:S596)</f>
        <v>12029.078970466311</v>
      </c>
      <c r="T579" s="56">
        <f t="shared" ref="T579" si="623">SUM(T580:T596)</f>
        <v>8000</v>
      </c>
      <c r="U579" s="56">
        <f t="shared" ref="U579" si="624">SUM(U580:U596)</f>
        <v>9000</v>
      </c>
      <c r="V579" s="56">
        <f t="shared" ref="V579" si="625">SUM(V580:V596)</f>
        <v>11000</v>
      </c>
      <c r="W579" s="56">
        <f t="shared" ref="W579" si="626">SUM(W580:W596)</f>
        <v>14000</v>
      </c>
      <c r="X579" s="56">
        <f t="shared" ref="X579" si="627">SUM(X580:X596)</f>
        <v>17600</v>
      </c>
      <c r="Y579" s="56">
        <f t="shared" ref="Y579" si="628">SUM(Y580:Y596)</f>
        <v>22000</v>
      </c>
      <c r="Z579" s="56">
        <f t="shared" ref="Z579" si="629">SUM(Z580:Z596)</f>
        <v>23100</v>
      </c>
      <c r="AA579" s="56">
        <f t="shared" ref="AA579" si="630">SUM(AA580:AA596)</f>
        <v>26400</v>
      </c>
      <c r="AB579" s="56">
        <f t="shared" ref="AB579" si="631">SUM(AB580:AB596)</f>
        <v>17600</v>
      </c>
      <c r="AC579" s="56">
        <f t="shared" ref="AC579" si="632">SUM(AC580:AC596)</f>
        <v>148700</v>
      </c>
      <c r="AD579" s="25">
        <f t="shared" ref="AD579" si="633">SUM(AD580:AD596)</f>
        <v>148700</v>
      </c>
      <c r="AE579" s="25">
        <f t="shared" ref="AE579:AI579" si="634">SUM(AE580:AE596)</f>
        <v>0</v>
      </c>
      <c r="AF579" s="11" t="str">
        <f t="shared" si="613"/>
        <v/>
      </c>
      <c r="AG579" s="24">
        <f t="shared" si="634"/>
        <v>0</v>
      </c>
      <c r="AH579" s="25">
        <f t="shared" si="634"/>
        <v>22597.373297564438</v>
      </c>
      <c r="AI579" s="24">
        <f t="shared" si="634"/>
        <v>22597.373297564438</v>
      </c>
      <c r="AJ579" s="11">
        <f t="shared" si="619"/>
        <v>0</v>
      </c>
      <c r="AK579" s="9"/>
      <c r="AL579" s="13"/>
      <c r="AM579" s="9"/>
    </row>
    <row r="580" spans="1:39" x14ac:dyDescent="0.3">
      <c r="A580" s="2" t="str">
        <f t="shared" si="614"/>
        <v>NÃO</v>
      </c>
      <c r="B580" s="2" t="str">
        <f>_xlfn.XLOOKUP($N580,'Base de Grupos'!$A:$A,'Base de Grupos'!$D:$D)</f>
        <v>1000065763</v>
      </c>
      <c r="C580" s="5" t="str">
        <f>_xlfn.XLOOKUP($N580,'Base de Grupos'!$A:$A,'Base de Grupos'!$E:$E)</f>
        <v>CANAL VENDA INTERNA</v>
      </c>
      <c r="D580" s="5" t="str">
        <f>_xlfn.XLOOKUP($N580,'Base de Grupos'!$A:$A,'Base de Grupos'!$F:$F)</f>
        <v>1000065763</v>
      </c>
      <c r="E580" s="2" t="str">
        <f>_xlfn.XLOOKUP($N580,'Base de Grupos'!$A:$A,'Base de Grupos'!$G:$G)</f>
        <v>CANAL VENDA INTERNA</v>
      </c>
      <c r="F580" s="2" t="str">
        <f>_xlfn.XLOOKUP($N580,'Base de Grupos'!$A:$A,'Base de Grupos'!$H:$H)</f>
        <v>1000153245</v>
      </c>
      <c r="G580" s="5" t="str">
        <f>_xlfn.XLOOKUP($N580,'Base de Grupos'!$A:$A,'Base de Grupos'!$I:$I)</f>
        <v>REGIONAL VENDA INTERNA - KEY ACCOUNT</v>
      </c>
      <c r="H580" s="5" t="str">
        <f>_xlfn.XLOOKUP($N580,'Base de Grupos'!$A:$A,'Base de Grupos'!$J:$J)</f>
        <v>1000153245</v>
      </c>
      <c r="I580" s="2" t="str">
        <f>_xlfn.XLOOKUP($N580,'Base de Grupos'!$A:$A,'Base de Grupos'!$K:$K)</f>
        <v>REGIONAL VENDA INTERNA - KEY ACCOUNT</v>
      </c>
      <c r="J580" s="2" t="str">
        <f>_xlfn.XLOOKUP($N580,'Base de Grupos'!$A:$A,'Base de Grupos'!$L:$L)</f>
        <v>1000153245</v>
      </c>
      <c r="K580" s="5" t="str">
        <f>_xlfn.XLOOKUP($N580,'Base de Grupos'!$A:$A,'Base de Grupos'!$M:$M)</f>
        <v>REGIONAL VENDA INTERNA - KEY ACCOUNT</v>
      </c>
      <c r="L580" s="5" t="str">
        <f t="shared" si="615"/>
        <v/>
      </c>
      <c r="M580" s="5" t="str">
        <f>_xlfn.XLOOKUP($N580,'Base de Grupos'!$A:$A,'Base de Grupos'!$C:$C)</f>
        <v>SC</v>
      </c>
      <c r="N580" s="3">
        <v>1432</v>
      </c>
      <c r="O580" s="4" t="s">
        <v>256</v>
      </c>
      <c r="P580" s="5" t="s">
        <v>81</v>
      </c>
      <c r="Q580" s="56">
        <v>0</v>
      </c>
      <c r="R580" s="56">
        <v>404.3886056291048</v>
      </c>
      <c r="S580" s="56">
        <v>505.48575703638102</v>
      </c>
      <c r="T580" s="56">
        <f>_xlfn.XLOOKUP($N580,'Calculo Leads'!$A$97:$A$134,'Calculo Leads'!G$97:G$134)*_xlfn.XLOOKUP($P580,'Base Grupo de Produtos'!$E$2:$E$18,'Base Grupo de Produtos'!$F$2:$F$18)</f>
        <v>400</v>
      </c>
      <c r="U580" s="56">
        <f>_xlfn.XLOOKUP($N580,'Calculo Leads'!$A$97:$A$134,'Calculo Leads'!H$97:H$134)*_xlfn.XLOOKUP($P580,'Base Grupo de Produtos'!$E$2:$E$18,'Base Grupo de Produtos'!$F$2:$F$18)</f>
        <v>450</v>
      </c>
      <c r="V580" s="56">
        <f>_xlfn.XLOOKUP($N580,'Calculo Leads'!$A$97:$A$134,'Calculo Leads'!I$97:I$134)*_xlfn.XLOOKUP($P580,'Base Grupo de Produtos'!$E$2:$E$18,'Base Grupo de Produtos'!$F$2:$F$18)</f>
        <v>550</v>
      </c>
      <c r="W580" s="56">
        <f>_xlfn.XLOOKUP($N580,'Calculo Leads'!$A$97:$A$134,'Calculo Leads'!J$97:J$134)*_xlfn.XLOOKUP($P580,'Base Grupo de Produtos'!$E$2:$E$18,'Base Grupo de Produtos'!$F$2:$F$18)</f>
        <v>700</v>
      </c>
      <c r="X580" s="56">
        <f>_xlfn.XLOOKUP($N580,'Calculo Leads'!$A$97:$A$134,'Calculo Leads'!K$97:K$134)*_xlfn.XLOOKUP($P580,'Base Grupo de Produtos'!$E$2:$E$18,'Base Grupo de Produtos'!$F$2:$F$18)</f>
        <v>880</v>
      </c>
      <c r="Y580" s="56">
        <f>_xlfn.XLOOKUP($N580,'Calculo Leads'!$A$97:$A$134,'Calculo Leads'!L$97:L$134)*_xlfn.XLOOKUP($P580,'Base Grupo de Produtos'!$E$2:$E$18,'Base Grupo de Produtos'!$F$2:$F$18)</f>
        <v>1100</v>
      </c>
      <c r="Z580" s="56">
        <f>_xlfn.XLOOKUP($N580,'Calculo Leads'!$A$97:$A$134,'Calculo Leads'!M$97:M$134)*_xlfn.XLOOKUP($P580,'Base Grupo de Produtos'!$E$2:$E$18,'Base Grupo de Produtos'!$F$2:$F$18)</f>
        <v>1155</v>
      </c>
      <c r="AA580" s="56">
        <f>_xlfn.XLOOKUP($N580,'Calculo Leads'!$A$97:$A$134,'Calculo Leads'!N$97:N$134)*_xlfn.XLOOKUP($P580,'Base Grupo de Produtos'!$E$2:$E$18,'Base Grupo de Produtos'!$F$2:$F$18)</f>
        <v>1320</v>
      </c>
      <c r="AB580" s="56">
        <f>_xlfn.XLOOKUP($N580,'Calculo Leads'!$A$97:$A$134,'Calculo Leads'!O$97:O$134)*_xlfn.XLOOKUP($P580,'Base Grupo de Produtos'!$E$2:$E$18,'Base Grupo de Produtos'!$F$2:$F$18)</f>
        <v>880</v>
      </c>
      <c r="AC580" s="61">
        <f t="shared" si="561"/>
        <v>7435</v>
      </c>
      <c r="AD580" s="27">
        <f t="shared" ref="AD580:AD596" si="635">IF(AC580=0,0,AC580-AG580)</f>
        <v>7435</v>
      </c>
      <c r="AE580" s="25">
        <f>IFERROR(_xlfn.XLOOKUP(N580&amp;P580,'Historico Vendas'!G:G,'Historico Vendas'!E:E),0)</f>
        <v>0</v>
      </c>
      <c r="AF580" s="29" t="str">
        <f t="shared" si="613"/>
        <v/>
      </c>
      <c r="AG580" s="24">
        <f>IFERROR(_xlfn.XLOOKUP(N580&amp;P580,'Historico Vendas'!G:G,'Historico Vendas'!F:F),0)</f>
        <v>0</v>
      </c>
      <c r="AH580" s="25">
        <f t="shared" ref="AH580:AH596" si="636">SUM(Q580:S580)</f>
        <v>909.87436266548582</v>
      </c>
      <c r="AI580" s="24">
        <f t="shared" ref="AI580:AI596" si="637">AH580-AG580</f>
        <v>909.87436266548582</v>
      </c>
      <c r="AJ580" s="11">
        <f t="shared" si="619"/>
        <v>0</v>
      </c>
      <c r="AK580" s="9" t="s">
        <v>102</v>
      </c>
      <c r="AL580" s="13">
        <f>IFERROR(INDEX('Balizador da Meta'!$D$3:$F$23,MATCH(Faturamento!$P580,'Balizador da Meta'!$C$3:$C$23,0),MATCH(Faturamento!AK580,'Balizador da Meta'!$D$2:$F$2,0)),"")</f>
        <v>0.2</v>
      </c>
      <c r="AM580" s="9"/>
    </row>
    <row r="581" spans="1:39" x14ac:dyDescent="0.3">
      <c r="A581" s="2" t="str">
        <f t="shared" si="614"/>
        <v>NÃO</v>
      </c>
      <c r="B581" s="2" t="str">
        <f>_xlfn.XLOOKUP($N581,'Base de Grupos'!$A:$A,'Base de Grupos'!$D:$D)</f>
        <v>1000065763</v>
      </c>
      <c r="C581" s="5" t="str">
        <f>_xlfn.XLOOKUP($N581,'Base de Grupos'!$A:$A,'Base de Grupos'!$E:$E)</f>
        <v>CANAL VENDA INTERNA</v>
      </c>
      <c r="D581" s="5" t="str">
        <f>_xlfn.XLOOKUP($N581,'Base de Grupos'!$A:$A,'Base de Grupos'!$F:$F)</f>
        <v>1000065763</v>
      </c>
      <c r="E581" s="2" t="str">
        <f>_xlfn.XLOOKUP($N581,'Base de Grupos'!$A:$A,'Base de Grupos'!$G:$G)</f>
        <v>CANAL VENDA INTERNA</v>
      </c>
      <c r="F581" s="2" t="str">
        <f>_xlfn.XLOOKUP($N581,'Base de Grupos'!$A:$A,'Base de Grupos'!$H:$H)</f>
        <v>1000153245</v>
      </c>
      <c r="G581" s="5" t="str">
        <f>_xlfn.XLOOKUP($N581,'Base de Grupos'!$A:$A,'Base de Grupos'!$I:$I)</f>
        <v>REGIONAL VENDA INTERNA - KEY ACCOUNT</v>
      </c>
      <c r="H581" s="5" t="str">
        <f>_xlfn.XLOOKUP($N581,'Base de Grupos'!$A:$A,'Base de Grupos'!$J:$J)</f>
        <v>1000153245</v>
      </c>
      <c r="I581" s="2" t="str">
        <f>_xlfn.XLOOKUP($N581,'Base de Grupos'!$A:$A,'Base de Grupos'!$K:$K)</f>
        <v>REGIONAL VENDA INTERNA - KEY ACCOUNT</v>
      </c>
      <c r="J581" s="2" t="str">
        <f>_xlfn.XLOOKUP($N581,'Base de Grupos'!$A:$A,'Base de Grupos'!$L:$L)</f>
        <v>1000153245</v>
      </c>
      <c r="K581" s="5" t="str">
        <f>_xlfn.XLOOKUP($N581,'Base de Grupos'!$A:$A,'Base de Grupos'!$M:$M)</f>
        <v>REGIONAL VENDA INTERNA - KEY ACCOUNT</v>
      </c>
      <c r="L581" s="5" t="str">
        <f t="shared" si="615"/>
        <v/>
      </c>
      <c r="M581" s="5" t="str">
        <f>_xlfn.XLOOKUP($N581,'Base de Grupos'!$A:$A,'Base de Grupos'!$C:$C)</f>
        <v>SC</v>
      </c>
      <c r="N581" s="3">
        <v>1432</v>
      </c>
      <c r="O581" s="4" t="s">
        <v>256</v>
      </c>
      <c r="P581" s="5" t="s">
        <v>82</v>
      </c>
      <c r="Q581" s="56">
        <v>0</v>
      </c>
      <c r="R581" s="56">
        <v>2462.0564928909953</v>
      </c>
      <c r="S581" s="56">
        <v>2872.3992417061613</v>
      </c>
      <c r="T581" s="56">
        <f>_xlfn.XLOOKUP($N581,'Calculo Leads'!$A$97:$A$134,'Calculo Leads'!G$97:G$134)*_xlfn.XLOOKUP($P581,'Base Grupo de Produtos'!$E$2:$E$18,'Base Grupo de Produtos'!$F$2:$F$18)</f>
        <v>400</v>
      </c>
      <c r="U581" s="56">
        <f>_xlfn.XLOOKUP($N581,'Calculo Leads'!$A$97:$A$134,'Calculo Leads'!H$97:H$134)*_xlfn.XLOOKUP($P581,'Base Grupo de Produtos'!$E$2:$E$18,'Base Grupo de Produtos'!$F$2:$F$18)</f>
        <v>450</v>
      </c>
      <c r="V581" s="56">
        <f>_xlfn.XLOOKUP($N581,'Calculo Leads'!$A$97:$A$134,'Calculo Leads'!I$97:I$134)*_xlfn.XLOOKUP($P581,'Base Grupo de Produtos'!$E$2:$E$18,'Base Grupo de Produtos'!$F$2:$F$18)</f>
        <v>550</v>
      </c>
      <c r="W581" s="56">
        <f>_xlfn.XLOOKUP($N581,'Calculo Leads'!$A$97:$A$134,'Calculo Leads'!J$97:J$134)*_xlfn.XLOOKUP($P581,'Base Grupo de Produtos'!$E$2:$E$18,'Base Grupo de Produtos'!$F$2:$F$18)</f>
        <v>700</v>
      </c>
      <c r="X581" s="56">
        <f>_xlfn.XLOOKUP($N581,'Calculo Leads'!$A$97:$A$134,'Calculo Leads'!K$97:K$134)*_xlfn.XLOOKUP($P581,'Base Grupo de Produtos'!$E$2:$E$18,'Base Grupo de Produtos'!$F$2:$F$18)</f>
        <v>880</v>
      </c>
      <c r="Y581" s="56">
        <f>_xlfn.XLOOKUP($N581,'Calculo Leads'!$A$97:$A$134,'Calculo Leads'!L$97:L$134)*_xlfn.XLOOKUP($P581,'Base Grupo de Produtos'!$E$2:$E$18,'Base Grupo de Produtos'!$F$2:$F$18)</f>
        <v>1100</v>
      </c>
      <c r="Z581" s="56">
        <f>_xlfn.XLOOKUP($N581,'Calculo Leads'!$A$97:$A$134,'Calculo Leads'!M$97:M$134)*_xlfn.XLOOKUP($P581,'Base Grupo de Produtos'!$E$2:$E$18,'Base Grupo de Produtos'!$F$2:$F$18)</f>
        <v>1155</v>
      </c>
      <c r="AA581" s="56">
        <f>_xlfn.XLOOKUP($N581,'Calculo Leads'!$A$97:$A$134,'Calculo Leads'!N$97:N$134)*_xlfn.XLOOKUP($P581,'Base Grupo de Produtos'!$E$2:$E$18,'Base Grupo de Produtos'!$F$2:$F$18)</f>
        <v>1320</v>
      </c>
      <c r="AB581" s="56">
        <f>_xlfn.XLOOKUP($N581,'Calculo Leads'!$A$97:$A$134,'Calculo Leads'!O$97:O$134)*_xlfn.XLOOKUP($P581,'Base Grupo de Produtos'!$E$2:$E$18,'Base Grupo de Produtos'!$F$2:$F$18)</f>
        <v>880</v>
      </c>
      <c r="AC581" s="61">
        <f t="shared" ref="AC581:AC644" si="638">SUM(T581:AB581)</f>
        <v>7435</v>
      </c>
      <c r="AD581" s="27">
        <f t="shared" si="635"/>
        <v>7435</v>
      </c>
      <c r="AE581" s="25">
        <f>IFERROR(_xlfn.XLOOKUP(N581&amp;P581,'Historico Vendas'!G:G,'Historico Vendas'!E:E),0)</f>
        <v>0</v>
      </c>
      <c r="AF581" s="29" t="str">
        <f t="shared" si="613"/>
        <v/>
      </c>
      <c r="AG581" s="24">
        <f>IFERROR(_xlfn.XLOOKUP(N581&amp;P581,'Historico Vendas'!G:G,'Historico Vendas'!F:F),0)</f>
        <v>0</v>
      </c>
      <c r="AH581" s="25">
        <f t="shared" si="636"/>
        <v>5334.4557345971571</v>
      </c>
      <c r="AI581" s="24">
        <f t="shared" si="637"/>
        <v>5334.4557345971571</v>
      </c>
      <c r="AJ581" s="11">
        <f t="shared" si="619"/>
        <v>0</v>
      </c>
      <c r="AK581" s="9" t="s">
        <v>102</v>
      </c>
      <c r="AL581" s="13">
        <f>IFERROR(INDEX('Balizador da Meta'!$D$3:$F$23,MATCH(Faturamento!$P581,'Balizador da Meta'!$C$3:$C$23,0),MATCH(Faturamento!AK581,'Balizador da Meta'!$D$2:$F$2,0)),"")</f>
        <v>0.2</v>
      </c>
      <c r="AM581" s="9"/>
    </row>
    <row r="582" spans="1:39" x14ac:dyDescent="0.3">
      <c r="A582" s="2" t="str">
        <f t="shared" si="614"/>
        <v>NÃO</v>
      </c>
      <c r="B582" s="2" t="str">
        <f>_xlfn.XLOOKUP($N582,'Base de Grupos'!$A:$A,'Base de Grupos'!$D:$D)</f>
        <v>1000065763</v>
      </c>
      <c r="C582" s="5" t="str">
        <f>_xlfn.XLOOKUP($N582,'Base de Grupos'!$A:$A,'Base de Grupos'!$E:$E)</f>
        <v>CANAL VENDA INTERNA</v>
      </c>
      <c r="D582" s="5" t="str">
        <f>_xlfn.XLOOKUP($N582,'Base de Grupos'!$A:$A,'Base de Grupos'!$F:$F)</f>
        <v>1000065763</v>
      </c>
      <c r="E582" s="2" t="str">
        <f>_xlfn.XLOOKUP($N582,'Base de Grupos'!$A:$A,'Base de Grupos'!$G:$G)</f>
        <v>CANAL VENDA INTERNA</v>
      </c>
      <c r="F582" s="2" t="str">
        <f>_xlfn.XLOOKUP($N582,'Base de Grupos'!$A:$A,'Base de Grupos'!$H:$H)</f>
        <v>1000153245</v>
      </c>
      <c r="G582" s="5" t="str">
        <f>_xlfn.XLOOKUP($N582,'Base de Grupos'!$A:$A,'Base de Grupos'!$I:$I)</f>
        <v>REGIONAL VENDA INTERNA - KEY ACCOUNT</v>
      </c>
      <c r="H582" s="5" t="str">
        <f>_xlfn.XLOOKUP($N582,'Base de Grupos'!$A:$A,'Base de Grupos'!$J:$J)</f>
        <v>1000153245</v>
      </c>
      <c r="I582" s="2" t="str">
        <f>_xlfn.XLOOKUP($N582,'Base de Grupos'!$A:$A,'Base de Grupos'!$K:$K)</f>
        <v>REGIONAL VENDA INTERNA - KEY ACCOUNT</v>
      </c>
      <c r="J582" s="2" t="str">
        <f>_xlfn.XLOOKUP($N582,'Base de Grupos'!$A:$A,'Base de Grupos'!$L:$L)</f>
        <v>1000153245</v>
      </c>
      <c r="K582" s="5" t="str">
        <f>_xlfn.XLOOKUP($N582,'Base de Grupos'!$A:$A,'Base de Grupos'!$M:$M)</f>
        <v>REGIONAL VENDA INTERNA - KEY ACCOUNT</v>
      </c>
      <c r="L582" s="5" t="str">
        <f t="shared" si="615"/>
        <v/>
      </c>
      <c r="M582" s="5" t="str">
        <f>_xlfn.XLOOKUP($N582,'Base de Grupos'!$A:$A,'Base de Grupos'!$C:$C)</f>
        <v>SC</v>
      </c>
      <c r="N582" s="3">
        <v>1432</v>
      </c>
      <c r="O582" s="4" t="s">
        <v>256</v>
      </c>
      <c r="P582" s="5" t="s">
        <v>84</v>
      </c>
      <c r="Q582" s="56">
        <v>0</v>
      </c>
      <c r="R582" s="56">
        <v>441.5151111111112</v>
      </c>
      <c r="S582" s="56">
        <v>551.89388888888902</v>
      </c>
      <c r="T582" s="56">
        <f>_xlfn.XLOOKUP($N582,'Calculo Leads'!$A$97:$A$134,'Calculo Leads'!G$97:G$134)*_xlfn.XLOOKUP($P582,'Base Grupo de Produtos'!$E$2:$E$18,'Base Grupo de Produtos'!$F$2:$F$18)</f>
        <v>640</v>
      </c>
      <c r="U582" s="56">
        <f>_xlfn.XLOOKUP($N582,'Calculo Leads'!$A$97:$A$134,'Calculo Leads'!H$97:H$134)*_xlfn.XLOOKUP($P582,'Base Grupo de Produtos'!$E$2:$E$18,'Base Grupo de Produtos'!$F$2:$F$18)</f>
        <v>720</v>
      </c>
      <c r="V582" s="56">
        <f>_xlfn.XLOOKUP($N582,'Calculo Leads'!$A$97:$A$134,'Calculo Leads'!I$97:I$134)*_xlfn.XLOOKUP($P582,'Base Grupo de Produtos'!$E$2:$E$18,'Base Grupo de Produtos'!$F$2:$F$18)</f>
        <v>880</v>
      </c>
      <c r="W582" s="56">
        <f>_xlfn.XLOOKUP($N582,'Calculo Leads'!$A$97:$A$134,'Calculo Leads'!J$97:J$134)*_xlfn.XLOOKUP($P582,'Base Grupo de Produtos'!$E$2:$E$18,'Base Grupo de Produtos'!$F$2:$F$18)</f>
        <v>1120</v>
      </c>
      <c r="X582" s="56">
        <f>_xlfn.XLOOKUP($N582,'Calculo Leads'!$A$97:$A$134,'Calculo Leads'!K$97:K$134)*_xlfn.XLOOKUP($P582,'Base Grupo de Produtos'!$E$2:$E$18,'Base Grupo de Produtos'!$F$2:$F$18)</f>
        <v>1408</v>
      </c>
      <c r="Y582" s="56">
        <f>_xlfn.XLOOKUP($N582,'Calculo Leads'!$A$97:$A$134,'Calculo Leads'!L$97:L$134)*_xlfn.XLOOKUP($P582,'Base Grupo de Produtos'!$E$2:$E$18,'Base Grupo de Produtos'!$F$2:$F$18)</f>
        <v>1760</v>
      </c>
      <c r="Z582" s="56">
        <f>_xlfn.XLOOKUP($N582,'Calculo Leads'!$A$97:$A$134,'Calculo Leads'!M$97:M$134)*_xlfn.XLOOKUP($P582,'Base Grupo de Produtos'!$E$2:$E$18,'Base Grupo de Produtos'!$F$2:$F$18)</f>
        <v>1848</v>
      </c>
      <c r="AA582" s="56">
        <f>_xlfn.XLOOKUP($N582,'Calculo Leads'!$A$97:$A$134,'Calculo Leads'!N$97:N$134)*_xlfn.XLOOKUP($P582,'Base Grupo de Produtos'!$E$2:$E$18,'Base Grupo de Produtos'!$F$2:$F$18)</f>
        <v>2112</v>
      </c>
      <c r="AB582" s="56">
        <f>_xlfn.XLOOKUP($N582,'Calculo Leads'!$A$97:$A$134,'Calculo Leads'!O$97:O$134)*_xlfn.XLOOKUP($P582,'Base Grupo de Produtos'!$E$2:$E$18,'Base Grupo de Produtos'!$F$2:$F$18)</f>
        <v>1408</v>
      </c>
      <c r="AC582" s="61">
        <f t="shared" si="638"/>
        <v>11896</v>
      </c>
      <c r="AD582" s="27">
        <f t="shared" si="635"/>
        <v>11896</v>
      </c>
      <c r="AE582" s="25">
        <f>IFERROR(_xlfn.XLOOKUP(N582&amp;P582,'Historico Vendas'!G:G,'Historico Vendas'!E:E),0)</f>
        <v>0</v>
      </c>
      <c r="AF582" s="29" t="str">
        <f t="shared" si="613"/>
        <v/>
      </c>
      <c r="AG582" s="24">
        <f>IFERROR(_xlfn.XLOOKUP(N582&amp;P582,'Historico Vendas'!G:G,'Historico Vendas'!F:F),0)</f>
        <v>0</v>
      </c>
      <c r="AH582" s="25">
        <f t="shared" si="636"/>
        <v>993.40900000000022</v>
      </c>
      <c r="AI582" s="24">
        <f t="shared" si="637"/>
        <v>993.40900000000022</v>
      </c>
      <c r="AJ582" s="11">
        <f t="shared" si="619"/>
        <v>0</v>
      </c>
      <c r="AK582" s="9" t="s">
        <v>102</v>
      </c>
      <c r="AL582" s="13">
        <f>IFERROR(INDEX('Balizador da Meta'!$D$3:$F$23,MATCH(Faturamento!$P582,'Balizador da Meta'!$C$3:$C$23,0),MATCH(Faturamento!AK582,'Balizador da Meta'!$D$2:$F$2,0)),"")</f>
        <v>0.15</v>
      </c>
      <c r="AM582" s="9"/>
    </row>
    <row r="583" spans="1:39" x14ac:dyDescent="0.3">
      <c r="A583" s="2" t="str">
        <f t="shared" si="614"/>
        <v>NÃO</v>
      </c>
      <c r="B583" s="2" t="str">
        <f>_xlfn.XLOOKUP($N583,'Base de Grupos'!$A:$A,'Base de Grupos'!$D:$D)</f>
        <v>1000065763</v>
      </c>
      <c r="C583" s="5" t="str">
        <f>_xlfn.XLOOKUP($N583,'Base de Grupos'!$A:$A,'Base de Grupos'!$E:$E)</f>
        <v>CANAL VENDA INTERNA</v>
      </c>
      <c r="D583" s="5" t="str">
        <f>_xlfn.XLOOKUP($N583,'Base de Grupos'!$A:$A,'Base de Grupos'!$F:$F)</f>
        <v>1000065763</v>
      </c>
      <c r="E583" s="2" t="str">
        <f>_xlfn.XLOOKUP($N583,'Base de Grupos'!$A:$A,'Base de Grupos'!$G:$G)</f>
        <v>CANAL VENDA INTERNA</v>
      </c>
      <c r="F583" s="2" t="str">
        <f>_xlfn.XLOOKUP($N583,'Base de Grupos'!$A:$A,'Base de Grupos'!$H:$H)</f>
        <v>1000153245</v>
      </c>
      <c r="G583" s="5" t="str">
        <f>_xlfn.XLOOKUP($N583,'Base de Grupos'!$A:$A,'Base de Grupos'!$I:$I)</f>
        <v>REGIONAL VENDA INTERNA - KEY ACCOUNT</v>
      </c>
      <c r="H583" s="5" t="str">
        <f>_xlfn.XLOOKUP($N583,'Base de Grupos'!$A:$A,'Base de Grupos'!$J:$J)</f>
        <v>1000153245</v>
      </c>
      <c r="I583" s="2" t="str">
        <f>_xlfn.XLOOKUP($N583,'Base de Grupos'!$A:$A,'Base de Grupos'!$K:$K)</f>
        <v>REGIONAL VENDA INTERNA - KEY ACCOUNT</v>
      </c>
      <c r="J583" s="2" t="str">
        <f>_xlfn.XLOOKUP($N583,'Base de Grupos'!$A:$A,'Base de Grupos'!$L:$L)</f>
        <v>1000153245</v>
      </c>
      <c r="K583" s="5" t="str">
        <f>_xlfn.XLOOKUP($N583,'Base de Grupos'!$A:$A,'Base de Grupos'!$M:$M)</f>
        <v>REGIONAL VENDA INTERNA - KEY ACCOUNT</v>
      </c>
      <c r="L583" s="5" t="str">
        <f t="shared" si="615"/>
        <v/>
      </c>
      <c r="M583" s="5" t="str">
        <f>_xlfn.XLOOKUP($N583,'Base de Grupos'!$A:$A,'Base de Grupos'!$C:$C)</f>
        <v>SC</v>
      </c>
      <c r="N583" s="3">
        <v>1432</v>
      </c>
      <c r="O583" s="4" t="s">
        <v>256</v>
      </c>
      <c r="P583" s="5" t="s">
        <v>83</v>
      </c>
      <c r="Q583" s="56">
        <v>0</v>
      </c>
      <c r="R583" s="56">
        <v>555.05619047619052</v>
      </c>
      <c r="S583" s="56">
        <v>555.05619047619052</v>
      </c>
      <c r="T583" s="56">
        <f>_xlfn.XLOOKUP($N583,'Calculo Leads'!$A$97:$A$134,'Calculo Leads'!G$97:G$134)*_xlfn.XLOOKUP($P583,'Base Grupo de Produtos'!$E$2:$E$18,'Base Grupo de Produtos'!$F$2:$F$18)</f>
        <v>800</v>
      </c>
      <c r="U583" s="56">
        <f>_xlfn.XLOOKUP($N583,'Calculo Leads'!$A$97:$A$134,'Calculo Leads'!H$97:H$134)*_xlfn.XLOOKUP($P583,'Base Grupo de Produtos'!$E$2:$E$18,'Base Grupo de Produtos'!$F$2:$F$18)</f>
        <v>900</v>
      </c>
      <c r="V583" s="56">
        <f>_xlfn.XLOOKUP($N583,'Calculo Leads'!$A$97:$A$134,'Calculo Leads'!I$97:I$134)*_xlfn.XLOOKUP($P583,'Base Grupo de Produtos'!$E$2:$E$18,'Base Grupo de Produtos'!$F$2:$F$18)</f>
        <v>1100</v>
      </c>
      <c r="W583" s="56">
        <f>_xlfn.XLOOKUP($N583,'Calculo Leads'!$A$97:$A$134,'Calculo Leads'!J$97:J$134)*_xlfn.XLOOKUP($P583,'Base Grupo de Produtos'!$E$2:$E$18,'Base Grupo de Produtos'!$F$2:$F$18)</f>
        <v>1400</v>
      </c>
      <c r="X583" s="56">
        <f>_xlfn.XLOOKUP($N583,'Calculo Leads'!$A$97:$A$134,'Calculo Leads'!K$97:K$134)*_xlfn.XLOOKUP($P583,'Base Grupo de Produtos'!$E$2:$E$18,'Base Grupo de Produtos'!$F$2:$F$18)</f>
        <v>1760</v>
      </c>
      <c r="Y583" s="56">
        <f>_xlfn.XLOOKUP($N583,'Calculo Leads'!$A$97:$A$134,'Calculo Leads'!L$97:L$134)*_xlfn.XLOOKUP($P583,'Base Grupo de Produtos'!$E$2:$E$18,'Base Grupo de Produtos'!$F$2:$F$18)</f>
        <v>2200</v>
      </c>
      <c r="Z583" s="56">
        <f>_xlfn.XLOOKUP($N583,'Calculo Leads'!$A$97:$A$134,'Calculo Leads'!M$97:M$134)*_xlfn.XLOOKUP($P583,'Base Grupo de Produtos'!$E$2:$E$18,'Base Grupo de Produtos'!$F$2:$F$18)</f>
        <v>2310</v>
      </c>
      <c r="AA583" s="56">
        <f>_xlfn.XLOOKUP($N583,'Calculo Leads'!$A$97:$A$134,'Calculo Leads'!N$97:N$134)*_xlfn.XLOOKUP($P583,'Base Grupo de Produtos'!$E$2:$E$18,'Base Grupo de Produtos'!$F$2:$F$18)</f>
        <v>2640</v>
      </c>
      <c r="AB583" s="56">
        <f>_xlfn.XLOOKUP($N583,'Calculo Leads'!$A$97:$A$134,'Calculo Leads'!O$97:O$134)*_xlfn.XLOOKUP($P583,'Base Grupo de Produtos'!$E$2:$E$18,'Base Grupo de Produtos'!$F$2:$F$18)</f>
        <v>1760</v>
      </c>
      <c r="AC583" s="61">
        <f t="shared" si="638"/>
        <v>14870</v>
      </c>
      <c r="AD583" s="27">
        <f t="shared" si="635"/>
        <v>14870</v>
      </c>
      <c r="AE583" s="25">
        <f>IFERROR(_xlfn.XLOOKUP(N583&amp;P583,'Historico Vendas'!G:G,'Historico Vendas'!E:E),0)</f>
        <v>0</v>
      </c>
      <c r="AF583" s="29" t="str">
        <f t="shared" si="613"/>
        <v/>
      </c>
      <c r="AG583" s="24">
        <f>IFERROR(_xlfn.XLOOKUP(N583&amp;P583,'Historico Vendas'!G:G,'Historico Vendas'!F:F),0)</f>
        <v>0</v>
      </c>
      <c r="AH583" s="25">
        <f t="shared" si="636"/>
        <v>1110.112380952381</v>
      </c>
      <c r="AI583" s="24">
        <f t="shared" si="637"/>
        <v>1110.112380952381</v>
      </c>
      <c r="AJ583" s="11">
        <f t="shared" si="619"/>
        <v>0</v>
      </c>
      <c r="AK583" s="9" t="s">
        <v>102</v>
      </c>
      <c r="AL583" s="13">
        <f>IFERROR(INDEX('Balizador da Meta'!$D$3:$F$23,MATCH(Faturamento!$P583,'Balizador da Meta'!$C$3:$C$23,0),MATCH(Faturamento!AK583,'Balizador da Meta'!$D$2:$F$2,0)),"")</f>
        <v>0</v>
      </c>
      <c r="AM583" s="9"/>
    </row>
    <row r="584" spans="1:39" x14ac:dyDescent="0.3">
      <c r="A584" s="2" t="str">
        <f t="shared" si="614"/>
        <v>NÃO</v>
      </c>
      <c r="B584" s="2" t="str">
        <f>_xlfn.XLOOKUP($N584,'Base de Grupos'!$A:$A,'Base de Grupos'!$D:$D)</f>
        <v>1000065763</v>
      </c>
      <c r="C584" s="5" t="str">
        <f>_xlfn.XLOOKUP($N584,'Base de Grupos'!$A:$A,'Base de Grupos'!$E:$E)</f>
        <v>CANAL VENDA INTERNA</v>
      </c>
      <c r="D584" s="5" t="str">
        <f>_xlfn.XLOOKUP($N584,'Base de Grupos'!$A:$A,'Base de Grupos'!$F:$F)</f>
        <v>1000065763</v>
      </c>
      <c r="E584" s="2" t="str">
        <f>_xlfn.XLOOKUP($N584,'Base de Grupos'!$A:$A,'Base de Grupos'!$G:$G)</f>
        <v>CANAL VENDA INTERNA</v>
      </c>
      <c r="F584" s="2" t="str">
        <f>_xlfn.XLOOKUP($N584,'Base de Grupos'!$A:$A,'Base de Grupos'!$H:$H)</f>
        <v>1000153245</v>
      </c>
      <c r="G584" s="5" t="str">
        <f>_xlfn.XLOOKUP($N584,'Base de Grupos'!$A:$A,'Base de Grupos'!$I:$I)</f>
        <v>REGIONAL VENDA INTERNA - KEY ACCOUNT</v>
      </c>
      <c r="H584" s="5" t="str">
        <f>_xlfn.XLOOKUP($N584,'Base de Grupos'!$A:$A,'Base de Grupos'!$J:$J)</f>
        <v>1000153245</v>
      </c>
      <c r="I584" s="2" t="str">
        <f>_xlfn.XLOOKUP($N584,'Base de Grupos'!$A:$A,'Base de Grupos'!$K:$K)</f>
        <v>REGIONAL VENDA INTERNA - KEY ACCOUNT</v>
      </c>
      <c r="J584" s="2" t="str">
        <f>_xlfn.XLOOKUP($N584,'Base de Grupos'!$A:$A,'Base de Grupos'!$L:$L)</f>
        <v>1000153245</v>
      </c>
      <c r="K584" s="5" t="str">
        <f>_xlfn.XLOOKUP($N584,'Base de Grupos'!$A:$A,'Base de Grupos'!$M:$M)</f>
        <v>REGIONAL VENDA INTERNA - KEY ACCOUNT</v>
      </c>
      <c r="L584" s="5" t="str">
        <f t="shared" si="615"/>
        <v/>
      </c>
      <c r="M584" s="5" t="str">
        <f>_xlfn.XLOOKUP($N584,'Base de Grupos'!$A:$A,'Base de Grupos'!$C:$C)</f>
        <v>SC</v>
      </c>
      <c r="N584" s="3">
        <v>1432</v>
      </c>
      <c r="O584" s="4" t="s">
        <v>256</v>
      </c>
      <c r="P584" s="5" t="s">
        <v>87</v>
      </c>
      <c r="Q584" s="56">
        <v>0</v>
      </c>
      <c r="R584" s="56">
        <v>124.75666666666666</v>
      </c>
      <c r="S584" s="56">
        <v>249.51333333333332</v>
      </c>
      <c r="T584" s="56">
        <f>_xlfn.XLOOKUP($N584,'Calculo Leads'!$A$97:$A$134,'Calculo Leads'!G$97:G$134)*_xlfn.XLOOKUP($P584,'Base Grupo de Produtos'!$E$2:$E$18,'Base Grupo de Produtos'!$F$2:$F$18)</f>
        <v>159.99999999999997</v>
      </c>
      <c r="U584" s="56">
        <f>_xlfn.XLOOKUP($N584,'Calculo Leads'!$A$97:$A$134,'Calculo Leads'!H$97:H$134)*_xlfn.XLOOKUP($P584,'Base Grupo de Produtos'!$E$2:$E$18,'Base Grupo de Produtos'!$F$2:$F$18)</f>
        <v>179.99999999999997</v>
      </c>
      <c r="V584" s="56">
        <f>_xlfn.XLOOKUP($N584,'Calculo Leads'!$A$97:$A$134,'Calculo Leads'!I$97:I$134)*_xlfn.XLOOKUP($P584,'Base Grupo de Produtos'!$E$2:$E$18,'Base Grupo de Produtos'!$F$2:$F$18)</f>
        <v>219.99999999999997</v>
      </c>
      <c r="W584" s="56">
        <f>_xlfn.XLOOKUP($N584,'Calculo Leads'!$A$97:$A$134,'Calculo Leads'!J$97:J$134)*_xlfn.XLOOKUP($P584,'Base Grupo de Produtos'!$E$2:$E$18,'Base Grupo de Produtos'!$F$2:$F$18)</f>
        <v>279.99999999999994</v>
      </c>
      <c r="X584" s="56">
        <f>_xlfn.XLOOKUP($N584,'Calculo Leads'!$A$97:$A$134,'Calculo Leads'!K$97:K$134)*_xlfn.XLOOKUP($P584,'Base Grupo de Produtos'!$E$2:$E$18,'Base Grupo de Produtos'!$F$2:$F$18)</f>
        <v>351.99999999999994</v>
      </c>
      <c r="Y584" s="56">
        <f>_xlfn.XLOOKUP($N584,'Calculo Leads'!$A$97:$A$134,'Calculo Leads'!L$97:L$134)*_xlfn.XLOOKUP($P584,'Base Grupo de Produtos'!$E$2:$E$18,'Base Grupo de Produtos'!$F$2:$F$18)</f>
        <v>439.99999999999994</v>
      </c>
      <c r="Z584" s="56">
        <f>_xlfn.XLOOKUP($N584,'Calculo Leads'!$A$97:$A$134,'Calculo Leads'!M$97:M$134)*_xlfn.XLOOKUP($P584,'Base Grupo de Produtos'!$E$2:$E$18,'Base Grupo de Produtos'!$F$2:$F$18)</f>
        <v>461.99999999999994</v>
      </c>
      <c r="AA584" s="56">
        <f>_xlfn.XLOOKUP($N584,'Calculo Leads'!$A$97:$A$134,'Calculo Leads'!N$97:N$134)*_xlfn.XLOOKUP($P584,'Base Grupo de Produtos'!$E$2:$E$18,'Base Grupo de Produtos'!$F$2:$F$18)</f>
        <v>527.99999999999989</v>
      </c>
      <c r="AB584" s="56">
        <f>_xlfn.XLOOKUP($N584,'Calculo Leads'!$A$97:$A$134,'Calculo Leads'!O$97:O$134)*_xlfn.XLOOKUP($P584,'Base Grupo de Produtos'!$E$2:$E$18,'Base Grupo de Produtos'!$F$2:$F$18)</f>
        <v>351.99999999999994</v>
      </c>
      <c r="AC584" s="61">
        <f t="shared" si="638"/>
        <v>2973.9999999999995</v>
      </c>
      <c r="AD584" s="27">
        <f t="shared" si="635"/>
        <v>2973.9999999999995</v>
      </c>
      <c r="AE584" s="25">
        <f>IFERROR(_xlfn.XLOOKUP(N584&amp;P584,'Historico Vendas'!G:G,'Historico Vendas'!E:E),0)</f>
        <v>0</v>
      </c>
      <c r="AF584" s="29" t="str">
        <f t="shared" si="613"/>
        <v/>
      </c>
      <c r="AG584" s="24">
        <f>IFERROR(_xlfn.XLOOKUP(N584&amp;P584,'Historico Vendas'!G:G,'Historico Vendas'!F:F),0)</f>
        <v>0</v>
      </c>
      <c r="AH584" s="25">
        <f t="shared" si="636"/>
        <v>374.27</v>
      </c>
      <c r="AI584" s="24">
        <f t="shared" si="637"/>
        <v>374.27</v>
      </c>
      <c r="AJ584" s="11">
        <f t="shared" si="619"/>
        <v>0</v>
      </c>
      <c r="AK584" s="9" t="s">
        <v>102</v>
      </c>
      <c r="AL584" s="13">
        <f>IFERROR(INDEX('Balizador da Meta'!$D$3:$F$23,MATCH(Faturamento!$P584,'Balizador da Meta'!$C$3:$C$23,0),MATCH(Faturamento!AK584,'Balizador da Meta'!$D$2:$F$2,0)),"")</f>
        <v>0</v>
      </c>
      <c r="AM584" s="9"/>
    </row>
    <row r="585" spans="1:39" x14ac:dyDescent="0.3">
      <c r="A585" s="2" t="str">
        <f t="shared" si="614"/>
        <v>NÃO</v>
      </c>
      <c r="B585" s="2" t="str">
        <f>_xlfn.XLOOKUP($N585,'Base de Grupos'!$A:$A,'Base de Grupos'!$D:$D)</f>
        <v>1000065763</v>
      </c>
      <c r="C585" s="5" t="str">
        <f>_xlfn.XLOOKUP($N585,'Base de Grupos'!$A:$A,'Base de Grupos'!$E:$E)</f>
        <v>CANAL VENDA INTERNA</v>
      </c>
      <c r="D585" s="5" t="str">
        <f>_xlfn.XLOOKUP($N585,'Base de Grupos'!$A:$A,'Base de Grupos'!$F:$F)</f>
        <v>1000065763</v>
      </c>
      <c r="E585" s="2" t="str">
        <f>_xlfn.XLOOKUP($N585,'Base de Grupos'!$A:$A,'Base de Grupos'!$G:$G)</f>
        <v>CANAL VENDA INTERNA</v>
      </c>
      <c r="F585" s="2" t="str">
        <f>_xlfn.XLOOKUP($N585,'Base de Grupos'!$A:$A,'Base de Grupos'!$H:$H)</f>
        <v>1000153245</v>
      </c>
      <c r="G585" s="5" t="str">
        <f>_xlfn.XLOOKUP($N585,'Base de Grupos'!$A:$A,'Base de Grupos'!$I:$I)</f>
        <v>REGIONAL VENDA INTERNA - KEY ACCOUNT</v>
      </c>
      <c r="H585" s="5" t="str">
        <f>_xlfn.XLOOKUP($N585,'Base de Grupos'!$A:$A,'Base de Grupos'!$J:$J)</f>
        <v>1000153245</v>
      </c>
      <c r="I585" s="2" t="str">
        <f>_xlfn.XLOOKUP($N585,'Base de Grupos'!$A:$A,'Base de Grupos'!$K:$K)</f>
        <v>REGIONAL VENDA INTERNA - KEY ACCOUNT</v>
      </c>
      <c r="J585" s="2" t="str">
        <f>_xlfn.XLOOKUP($N585,'Base de Grupos'!$A:$A,'Base de Grupos'!$L:$L)</f>
        <v>1000153245</v>
      </c>
      <c r="K585" s="5" t="str">
        <f>_xlfn.XLOOKUP($N585,'Base de Grupos'!$A:$A,'Base de Grupos'!$M:$M)</f>
        <v>REGIONAL VENDA INTERNA - KEY ACCOUNT</v>
      </c>
      <c r="L585" s="5" t="str">
        <f t="shared" si="615"/>
        <v/>
      </c>
      <c r="M585" s="5" t="str">
        <f>_xlfn.XLOOKUP($N585,'Base de Grupos'!$A:$A,'Base de Grupos'!$C:$C)</f>
        <v>SC</v>
      </c>
      <c r="N585" s="3">
        <v>1432</v>
      </c>
      <c r="O585" s="4" t="s">
        <v>256</v>
      </c>
      <c r="P585" s="5" t="s">
        <v>85</v>
      </c>
      <c r="Q585" s="56">
        <v>0</v>
      </c>
      <c r="R585" s="56">
        <v>315.14999999999998</v>
      </c>
      <c r="S585" s="56">
        <v>420.2</v>
      </c>
      <c r="T585" s="56">
        <f>_xlfn.XLOOKUP($N585,'Calculo Leads'!$A$97:$A$134,'Calculo Leads'!G$97:G$134)*_xlfn.XLOOKUP($P585,'Base Grupo de Produtos'!$E$2:$E$18,'Base Grupo de Produtos'!$F$2:$F$18)</f>
        <v>160</v>
      </c>
      <c r="U585" s="56">
        <f>_xlfn.XLOOKUP($N585,'Calculo Leads'!$A$97:$A$134,'Calculo Leads'!H$97:H$134)*_xlfn.XLOOKUP($P585,'Base Grupo de Produtos'!$E$2:$E$18,'Base Grupo de Produtos'!$F$2:$F$18)</f>
        <v>180</v>
      </c>
      <c r="V585" s="56">
        <f>_xlfn.XLOOKUP($N585,'Calculo Leads'!$A$97:$A$134,'Calculo Leads'!I$97:I$134)*_xlfn.XLOOKUP($P585,'Base Grupo de Produtos'!$E$2:$E$18,'Base Grupo de Produtos'!$F$2:$F$18)</f>
        <v>220</v>
      </c>
      <c r="W585" s="56">
        <f>_xlfn.XLOOKUP($N585,'Calculo Leads'!$A$97:$A$134,'Calculo Leads'!J$97:J$134)*_xlfn.XLOOKUP($P585,'Base Grupo de Produtos'!$E$2:$E$18,'Base Grupo de Produtos'!$F$2:$F$18)</f>
        <v>280</v>
      </c>
      <c r="X585" s="56">
        <f>_xlfn.XLOOKUP($N585,'Calculo Leads'!$A$97:$A$134,'Calculo Leads'!K$97:K$134)*_xlfn.XLOOKUP($P585,'Base Grupo de Produtos'!$E$2:$E$18,'Base Grupo de Produtos'!$F$2:$F$18)</f>
        <v>352</v>
      </c>
      <c r="Y585" s="56">
        <f>_xlfn.XLOOKUP($N585,'Calculo Leads'!$A$97:$A$134,'Calculo Leads'!L$97:L$134)*_xlfn.XLOOKUP($P585,'Base Grupo de Produtos'!$E$2:$E$18,'Base Grupo de Produtos'!$F$2:$F$18)</f>
        <v>440</v>
      </c>
      <c r="Z585" s="56">
        <f>_xlfn.XLOOKUP($N585,'Calculo Leads'!$A$97:$A$134,'Calculo Leads'!M$97:M$134)*_xlfn.XLOOKUP($P585,'Base Grupo de Produtos'!$E$2:$E$18,'Base Grupo de Produtos'!$F$2:$F$18)</f>
        <v>462</v>
      </c>
      <c r="AA585" s="56">
        <f>_xlfn.XLOOKUP($N585,'Calculo Leads'!$A$97:$A$134,'Calculo Leads'!N$97:N$134)*_xlfn.XLOOKUP($P585,'Base Grupo de Produtos'!$E$2:$E$18,'Base Grupo de Produtos'!$F$2:$F$18)</f>
        <v>528</v>
      </c>
      <c r="AB585" s="56">
        <f>_xlfn.XLOOKUP($N585,'Calculo Leads'!$A$97:$A$134,'Calculo Leads'!O$97:O$134)*_xlfn.XLOOKUP($P585,'Base Grupo de Produtos'!$E$2:$E$18,'Base Grupo de Produtos'!$F$2:$F$18)</f>
        <v>352</v>
      </c>
      <c r="AC585" s="61">
        <f t="shared" si="638"/>
        <v>2974</v>
      </c>
      <c r="AD585" s="27">
        <f t="shared" si="635"/>
        <v>2974</v>
      </c>
      <c r="AE585" s="25">
        <f>IFERROR(_xlfn.XLOOKUP(N585&amp;P585,'Historico Vendas'!G:G,'Historico Vendas'!E:E),0)</f>
        <v>0</v>
      </c>
      <c r="AF585" s="29" t="str">
        <f t="shared" si="613"/>
        <v/>
      </c>
      <c r="AG585" s="24">
        <f>IFERROR(_xlfn.XLOOKUP(N585&amp;P585,'Historico Vendas'!G:G,'Historico Vendas'!F:F),0)</f>
        <v>0</v>
      </c>
      <c r="AH585" s="25">
        <f t="shared" si="636"/>
        <v>735.34999999999991</v>
      </c>
      <c r="AI585" s="24">
        <f t="shared" si="637"/>
        <v>735.34999999999991</v>
      </c>
      <c r="AJ585" s="11">
        <f t="shared" si="619"/>
        <v>0</v>
      </c>
      <c r="AK585" s="9" t="s">
        <v>102</v>
      </c>
      <c r="AL585" s="13">
        <f>IFERROR(INDEX('Balizador da Meta'!$D$3:$F$23,MATCH(Faturamento!$P585,'Balizador da Meta'!$C$3:$C$23,0),MATCH(Faturamento!AK585,'Balizador da Meta'!$D$2:$F$2,0)),"")</f>
        <v>0</v>
      </c>
      <c r="AM585" s="9"/>
    </row>
    <row r="586" spans="1:39" x14ac:dyDescent="0.3">
      <c r="A586" s="2" t="str">
        <f t="shared" si="614"/>
        <v>NÃO</v>
      </c>
      <c r="B586" s="2" t="str">
        <f>_xlfn.XLOOKUP($N586,'Base de Grupos'!$A:$A,'Base de Grupos'!$D:$D)</f>
        <v>1000065763</v>
      </c>
      <c r="C586" s="5" t="str">
        <f>_xlfn.XLOOKUP($N586,'Base de Grupos'!$A:$A,'Base de Grupos'!$E:$E)</f>
        <v>CANAL VENDA INTERNA</v>
      </c>
      <c r="D586" s="5" t="str">
        <f>_xlfn.XLOOKUP($N586,'Base de Grupos'!$A:$A,'Base de Grupos'!$F:$F)</f>
        <v>1000065763</v>
      </c>
      <c r="E586" s="2" t="str">
        <f>_xlfn.XLOOKUP($N586,'Base de Grupos'!$A:$A,'Base de Grupos'!$G:$G)</f>
        <v>CANAL VENDA INTERNA</v>
      </c>
      <c r="F586" s="2" t="str">
        <f>_xlfn.XLOOKUP($N586,'Base de Grupos'!$A:$A,'Base de Grupos'!$H:$H)</f>
        <v>1000153245</v>
      </c>
      <c r="G586" s="5" t="str">
        <f>_xlfn.XLOOKUP($N586,'Base de Grupos'!$A:$A,'Base de Grupos'!$I:$I)</f>
        <v>REGIONAL VENDA INTERNA - KEY ACCOUNT</v>
      </c>
      <c r="H586" s="5" t="str">
        <f>_xlfn.XLOOKUP($N586,'Base de Grupos'!$A:$A,'Base de Grupos'!$J:$J)</f>
        <v>1000153245</v>
      </c>
      <c r="I586" s="2" t="str">
        <f>_xlfn.XLOOKUP($N586,'Base de Grupos'!$A:$A,'Base de Grupos'!$K:$K)</f>
        <v>REGIONAL VENDA INTERNA - KEY ACCOUNT</v>
      </c>
      <c r="J586" s="2" t="str">
        <f>_xlfn.XLOOKUP($N586,'Base de Grupos'!$A:$A,'Base de Grupos'!$L:$L)</f>
        <v>1000153245</v>
      </c>
      <c r="K586" s="5" t="str">
        <f>_xlfn.XLOOKUP($N586,'Base de Grupos'!$A:$A,'Base de Grupos'!$M:$M)</f>
        <v>REGIONAL VENDA INTERNA - KEY ACCOUNT</v>
      </c>
      <c r="L586" s="5" t="str">
        <f t="shared" si="615"/>
        <v/>
      </c>
      <c r="M586" s="5" t="str">
        <f>_xlfn.XLOOKUP($N586,'Base de Grupos'!$A:$A,'Base de Grupos'!$C:$C)</f>
        <v>SC</v>
      </c>
      <c r="N586" s="3">
        <v>1432</v>
      </c>
      <c r="O586" s="4" t="s">
        <v>256</v>
      </c>
      <c r="P586" s="5" t="s">
        <v>92</v>
      </c>
      <c r="Q586" s="56">
        <v>0</v>
      </c>
      <c r="R586" s="56">
        <v>165.49714285714285</v>
      </c>
      <c r="S586" s="56">
        <v>165.49714285714285</v>
      </c>
      <c r="T586" s="56">
        <f>_xlfn.XLOOKUP($N586,'Calculo Leads'!$A$97:$A$134,'Calculo Leads'!G$97:G$134)*_xlfn.XLOOKUP($P586,'Base Grupo de Produtos'!$E$2:$E$18,'Base Grupo de Produtos'!$F$2:$F$18)</f>
        <v>160</v>
      </c>
      <c r="U586" s="56">
        <f>_xlfn.XLOOKUP($N586,'Calculo Leads'!$A$97:$A$134,'Calculo Leads'!H$97:H$134)*_xlfn.XLOOKUP($P586,'Base Grupo de Produtos'!$E$2:$E$18,'Base Grupo de Produtos'!$F$2:$F$18)</f>
        <v>180</v>
      </c>
      <c r="V586" s="56">
        <f>_xlfn.XLOOKUP($N586,'Calculo Leads'!$A$97:$A$134,'Calculo Leads'!I$97:I$134)*_xlfn.XLOOKUP($P586,'Base Grupo de Produtos'!$E$2:$E$18,'Base Grupo de Produtos'!$F$2:$F$18)</f>
        <v>220</v>
      </c>
      <c r="W586" s="56">
        <f>_xlfn.XLOOKUP($N586,'Calculo Leads'!$A$97:$A$134,'Calculo Leads'!J$97:J$134)*_xlfn.XLOOKUP($P586,'Base Grupo de Produtos'!$E$2:$E$18,'Base Grupo de Produtos'!$F$2:$F$18)</f>
        <v>280</v>
      </c>
      <c r="X586" s="56">
        <f>_xlfn.XLOOKUP($N586,'Calculo Leads'!$A$97:$A$134,'Calculo Leads'!K$97:K$134)*_xlfn.XLOOKUP($P586,'Base Grupo de Produtos'!$E$2:$E$18,'Base Grupo de Produtos'!$F$2:$F$18)</f>
        <v>352</v>
      </c>
      <c r="Y586" s="56">
        <f>_xlfn.XLOOKUP($N586,'Calculo Leads'!$A$97:$A$134,'Calculo Leads'!L$97:L$134)*_xlfn.XLOOKUP($P586,'Base Grupo de Produtos'!$E$2:$E$18,'Base Grupo de Produtos'!$F$2:$F$18)</f>
        <v>440</v>
      </c>
      <c r="Z586" s="56">
        <f>_xlfn.XLOOKUP($N586,'Calculo Leads'!$A$97:$A$134,'Calculo Leads'!M$97:M$134)*_xlfn.XLOOKUP($P586,'Base Grupo de Produtos'!$E$2:$E$18,'Base Grupo de Produtos'!$F$2:$F$18)</f>
        <v>462</v>
      </c>
      <c r="AA586" s="56">
        <f>_xlfn.XLOOKUP($N586,'Calculo Leads'!$A$97:$A$134,'Calculo Leads'!N$97:N$134)*_xlfn.XLOOKUP($P586,'Base Grupo de Produtos'!$E$2:$E$18,'Base Grupo de Produtos'!$F$2:$F$18)</f>
        <v>528</v>
      </c>
      <c r="AB586" s="56">
        <f>_xlfn.XLOOKUP($N586,'Calculo Leads'!$A$97:$A$134,'Calculo Leads'!O$97:O$134)*_xlfn.XLOOKUP($P586,'Base Grupo de Produtos'!$E$2:$E$18,'Base Grupo de Produtos'!$F$2:$F$18)</f>
        <v>352</v>
      </c>
      <c r="AC586" s="61">
        <f t="shared" si="638"/>
        <v>2974</v>
      </c>
      <c r="AD586" s="27">
        <f t="shared" si="635"/>
        <v>2974</v>
      </c>
      <c r="AE586" s="25">
        <f>IFERROR(_xlfn.XLOOKUP(N586&amp;P586,'Historico Vendas'!G:G,'Historico Vendas'!E:E),0)</f>
        <v>0</v>
      </c>
      <c r="AF586" s="29" t="str">
        <f t="shared" si="613"/>
        <v/>
      </c>
      <c r="AG586" s="24">
        <f>IFERROR(_xlfn.XLOOKUP(N586&amp;P586,'Historico Vendas'!G:G,'Historico Vendas'!F:F),0)</f>
        <v>0</v>
      </c>
      <c r="AH586" s="25">
        <f t="shared" si="636"/>
        <v>330.9942857142857</v>
      </c>
      <c r="AI586" s="24">
        <f t="shared" si="637"/>
        <v>330.9942857142857</v>
      </c>
      <c r="AJ586" s="11">
        <f t="shared" si="619"/>
        <v>0</v>
      </c>
      <c r="AK586" s="9" t="s">
        <v>102</v>
      </c>
      <c r="AL586" s="13">
        <f>IFERROR(INDEX('Balizador da Meta'!$D$3:$F$23,MATCH(Faturamento!$P586,'Balizador da Meta'!$C$3:$C$23,0),MATCH(Faturamento!AK586,'Balizador da Meta'!$D$2:$F$2,0)),"")</f>
        <v>0</v>
      </c>
      <c r="AM586" s="9"/>
    </row>
    <row r="587" spans="1:39" x14ac:dyDescent="0.3">
      <c r="A587" s="2" t="str">
        <f t="shared" si="614"/>
        <v>NÃO</v>
      </c>
      <c r="B587" s="2" t="str">
        <f>_xlfn.XLOOKUP($N587,'Base de Grupos'!$A:$A,'Base de Grupos'!$D:$D)</f>
        <v>1000065763</v>
      </c>
      <c r="C587" s="5" t="str">
        <f>_xlfn.XLOOKUP($N587,'Base de Grupos'!$A:$A,'Base de Grupos'!$E:$E)</f>
        <v>CANAL VENDA INTERNA</v>
      </c>
      <c r="D587" s="5" t="str">
        <f>_xlfn.XLOOKUP($N587,'Base de Grupos'!$A:$A,'Base de Grupos'!$F:$F)</f>
        <v>1000065763</v>
      </c>
      <c r="E587" s="2" t="str">
        <f>_xlfn.XLOOKUP($N587,'Base de Grupos'!$A:$A,'Base de Grupos'!$G:$G)</f>
        <v>CANAL VENDA INTERNA</v>
      </c>
      <c r="F587" s="2" t="str">
        <f>_xlfn.XLOOKUP($N587,'Base de Grupos'!$A:$A,'Base de Grupos'!$H:$H)</f>
        <v>1000153245</v>
      </c>
      <c r="G587" s="5" t="str">
        <f>_xlfn.XLOOKUP($N587,'Base de Grupos'!$A:$A,'Base de Grupos'!$I:$I)</f>
        <v>REGIONAL VENDA INTERNA - KEY ACCOUNT</v>
      </c>
      <c r="H587" s="5" t="str">
        <f>_xlfn.XLOOKUP($N587,'Base de Grupos'!$A:$A,'Base de Grupos'!$J:$J)</f>
        <v>1000153245</v>
      </c>
      <c r="I587" s="2" t="str">
        <f>_xlfn.XLOOKUP($N587,'Base de Grupos'!$A:$A,'Base de Grupos'!$K:$K)</f>
        <v>REGIONAL VENDA INTERNA - KEY ACCOUNT</v>
      </c>
      <c r="J587" s="2" t="str">
        <f>_xlfn.XLOOKUP($N587,'Base de Grupos'!$A:$A,'Base de Grupos'!$L:$L)</f>
        <v>1000153245</v>
      </c>
      <c r="K587" s="5" t="str">
        <f>_xlfn.XLOOKUP($N587,'Base de Grupos'!$A:$A,'Base de Grupos'!$M:$M)</f>
        <v>REGIONAL VENDA INTERNA - KEY ACCOUNT</v>
      </c>
      <c r="L587" s="5" t="str">
        <f t="shared" si="615"/>
        <v/>
      </c>
      <c r="M587" s="5" t="str">
        <f>_xlfn.XLOOKUP($N587,'Base de Grupos'!$A:$A,'Base de Grupos'!$C:$C)</f>
        <v>SC</v>
      </c>
      <c r="N587" s="3">
        <v>1432</v>
      </c>
      <c r="O587" s="4" t="s">
        <v>256</v>
      </c>
      <c r="P587" s="5" t="s">
        <v>86</v>
      </c>
      <c r="Q587" s="56">
        <v>0</v>
      </c>
      <c r="R587" s="56">
        <v>89.608571428571423</v>
      </c>
      <c r="S587" s="56">
        <v>179.21714285714285</v>
      </c>
      <c r="T587" s="56">
        <f>_xlfn.XLOOKUP($N587,'Calculo Leads'!$A$97:$A$134,'Calculo Leads'!G$97:G$134)*_xlfn.XLOOKUP($P587,'Base Grupo de Produtos'!$E$2:$E$18,'Base Grupo de Produtos'!$F$2:$F$18)</f>
        <v>240</v>
      </c>
      <c r="U587" s="56">
        <f>_xlfn.XLOOKUP($N587,'Calculo Leads'!$A$97:$A$134,'Calculo Leads'!H$97:H$134)*_xlfn.XLOOKUP($P587,'Base Grupo de Produtos'!$E$2:$E$18,'Base Grupo de Produtos'!$F$2:$F$18)</f>
        <v>270</v>
      </c>
      <c r="V587" s="56">
        <f>_xlfn.XLOOKUP($N587,'Calculo Leads'!$A$97:$A$134,'Calculo Leads'!I$97:I$134)*_xlfn.XLOOKUP($P587,'Base Grupo de Produtos'!$E$2:$E$18,'Base Grupo de Produtos'!$F$2:$F$18)</f>
        <v>330</v>
      </c>
      <c r="W587" s="56">
        <f>_xlfn.XLOOKUP($N587,'Calculo Leads'!$A$97:$A$134,'Calculo Leads'!J$97:J$134)*_xlfn.XLOOKUP($P587,'Base Grupo de Produtos'!$E$2:$E$18,'Base Grupo de Produtos'!$F$2:$F$18)</f>
        <v>420</v>
      </c>
      <c r="X587" s="56">
        <f>_xlfn.XLOOKUP($N587,'Calculo Leads'!$A$97:$A$134,'Calculo Leads'!K$97:K$134)*_xlfn.XLOOKUP($P587,'Base Grupo de Produtos'!$E$2:$E$18,'Base Grupo de Produtos'!$F$2:$F$18)</f>
        <v>528</v>
      </c>
      <c r="Y587" s="56">
        <f>_xlfn.XLOOKUP($N587,'Calculo Leads'!$A$97:$A$134,'Calculo Leads'!L$97:L$134)*_xlfn.XLOOKUP($P587,'Base Grupo de Produtos'!$E$2:$E$18,'Base Grupo de Produtos'!$F$2:$F$18)</f>
        <v>660</v>
      </c>
      <c r="Z587" s="56">
        <f>_xlfn.XLOOKUP($N587,'Calculo Leads'!$A$97:$A$134,'Calculo Leads'!M$97:M$134)*_xlfn.XLOOKUP($P587,'Base Grupo de Produtos'!$E$2:$E$18,'Base Grupo de Produtos'!$F$2:$F$18)</f>
        <v>693</v>
      </c>
      <c r="AA587" s="56">
        <f>_xlfn.XLOOKUP($N587,'Calculo Leads'!$A$97:$A$134,'Calculo Leads'!N$97:N$134)*_xlfn.XLOOKUP($P587,'Base Grupo de Produtos'!$E$2:$E$18,'Base Grupo de Produtos'!$F$2:$F$18)</f>
        <v>792</v>
      </c>
      <c r="AB587" s="56">
        <f>_xlfn.XLOOKUP($N587,'Calculo Leads'!$A$97:$A$134,'Calculo Leads'!O$97:O$134)*_xlfn.XLOOKUP($P587,'Base Grupo de Produtos'!$E$2:$E$18,'Base Grupo de Produtos'!$F$2:$F$18)</f>
        <v>528</v>
      </c>
      <c r="AC587" s="61">
        <f t="shared" si="638"/>
        <v>4461</v>
      </c>
      <c r="AD587" s="27">
        <f t="shared" si="635"/>
        <v>4461</v>
      </c>
      <c r="AE587" s="25">
        <f>IFERROR(_xlfn.XLOOKUP(N587&amp;P587,'Historico Vendas'!G:G,'Historico Vendas'!E:E),0)</f>
        <v>0</v>
      </c>
      <c r="AF587" s="29" t="str">
        <f t="shared" si="613"/>
        <v/>
      </c>
      <c r="AG587" s="24">
        <f>IFERROR(_xlfn.XLOOKUP(N587&amp;P587,'Historico Vendas'!G:G,'Historico Vendas'!F:F),0)</f>
        <v>0</v>
      </c>
      <c r="AH587" s="25">
        <f t="shared" si="636"/>
        <v>268.8257142857143</v>
      </c>
      <c r="AI587" s="24">
        <f t="shared" si="637"/>
        <v>268.8257142857143</v>
      </c>
      <c r="AJ587" s="11">
        <f t="shared" si="619"/>
        <v>0</v>
      </c>
      <c r="AK587" s="9" t="s">
        <v>102</v>
      </c>
      <c r="AL587" s="13">
        <f>IFERROR(INDEX('Balizador da Meta'!$D$3:$F$23,MATCH(Faturamento!$P587,'Balizador da Meta'!$C$3:$C$23,0),MATCH(Faturamento!AK587,'Balizador da Meta'!$D$2:$F$2,0)),"")</f>
        <v>0.15</v>
      </c>
      <c r="AM587" s="9"/>
    </row>
    <row r="588" spans="1:39" x14ac:dyDescent="0.3">
      <c r="A588" s="2" t="str">
        <f t="shared" si="614"/>
        <v>NÃO</v>
      </c>
      <c r="B588" s="2" t="str">
        <f>_xlfn.XLOOKUP($N588,'Base de Grupos'!$A:$A,'Base de Grupos'!$D:$D)</f>
        <v>1000065763</v>
      </c>
      <c r="C588" s="5" t="str">
        <f>_xlfn.XLOOKUP($N588,'Base de Grupos'!$A:$A,'Base de Grupos'!$E:$E)</f>
        <v>CANAL VENDA INTERNA</v>
      </c>
      <c r="D588" s="5" t="str">
        <f>_xlfn.XLOOKUP($N588,'Base de Grupos'!$A:$A,'Base de Grupos'!$F:$F)</f>
        <v>1000065763</v>
      </c>
      <c r="E588" s="2" t="str">
        <f>_xlfn.XLOOKUP($N588,'Base de Grupos'!$A:$A,'Base de Grupos'!$G:$G)</f>
        <v>CANAL VENDA INTERNA</v>
      </c>
      <c r="F588" s="2" t="str">
        <f>_xlfn.XLOOKUP($N588,'Base de Grupos'!$A:$A,'Base de Grupos'!$H:$H)</f>
        <v>1000153245</v>
      </c>
      <c r="G588" s="5" t="str">
        <f>_xlfn.XLOOKUP($N588,'Base de Grupos'!$A:$A,'Base de Grupos'!$I:$I)</f>
        <v>REGIONAL VENDA INTERNA - KEY ACCOUNT</v>
      </c>
      <c r="H588" s="5" t="str">
        <f>_xlfn.XLOOKUP($N588,'Base de Grupos'!$A:$A,'Base de Grupos'!$J:$J)</f>
        <v>1000153245</v>
      </c>
      <c r="I588" s="2" t="str">
        <f>_xlfn.XLOOKUP($N588,'Base de Grupos'!$A:$A,'Base de Grupos'!$K:$K)</f>
        <v>REGIONAL VENDA INTERNA - KEY ACCOUNT</v>
      </c>
      <c r="J588" s="2" t="str">
        <f>_xlfn.XLOOKUP($N588,'Base de Grupos'!$A:$A,'Base de Grupos'!$L:$L)</f>
        <v>1000153245</v>
      </c>
      <c r="K588" s="5" t="str">
        <f>_xlfn.XLOOKUP($N588,'Base de Grupos'!$A:$A,'Base de Grupos'!$M:$M)</f>
        <v>REGIONAL VENDA INTERNA - KEY ACCOUNT</v>
      </c>
      <c r="L588" s="5" t="str">
        <f t="shared" si="615"/>
        <v/>
      </c>
      <c r="M588" s="5" t="str">
        <f>_xlfn.XLOOKUP($N588,'Base de Grupos'!$A:$A,'Base de Grupos'!$C:$C)</f>
        <v>SC</v>
      </c>
      <c r="N588" s="3">
        <v>1432</v>
      </c>
      <c r="O588" s="4" t="s">
        <v>256</v>
      </c>
      <c r="P588" s="5" t="s">
        <v>108</v>
      </c>
      <c r="Q588" s="56">
        <v>0</v>
      </c>
      <c r="R588" s="56">
        <v>516.1430303030304</v>
      </c>
      <c r="S588" s="56">
        <v>602.16686868686872</v>
      </c>
      <c r="T588" s="56">
        <f>_xlfn.XLOOKUP($N588,'Calculo Leads'!$A$97:$A$134,'Calculo Leads'!G$97:G$134)*_xlfn.XLOOKUP($P588,'Base Grupo de Produtos'!$E$2:$E$18,'Base Grupo de Produtos'!$F$2:$F$18)</f>
        <v>2000</v>
      </c>
      <c r="U588" s="56">
        <f>_xlfn.XLOOKUP($N588,'Calculo Leads'!$A$97:$A$134,'Calculo Leads'!H$97:H$134)*_xlfn.XLOOKUP($P588,'Base Grupo de Produtos'!$E$2:$E$18,'Base Grupo de Produtos'!$F$2:$F$18)</f>
        <v>2250</v>
      </c>
      <c r="V588" s="56">
        <f>_xlfn.XLOOKUP($N588,'Calculo Leads'!$A$97:$A$134,'Calculo Leads'!I$97:I$134)*_xlfn.XLOOKUP($P588,'Base Grupo de Produtos'!$E$2:$E$18,'Base Grupo de Produtos'!$F$2:$F$18)</f>
        <v>2750</v>
      </c>
      <c r="W588" s="56">
        <f>_xlfn.XLOOKUP($N588,'Calculo Leads'!$A$97:$A$134,'Calculo Leads'!J$97:J$134)*_xlfn.XLOOKUP($P588,'Base Grupo de Produtos'!$E$2:$E$18,'Base Grupo de Produtos'!$F$2:$F$18)</f>
        <v>3500</v>
      </c>
      <c r="X588" s="56">
        <f>_xlfn.XLOOKUP($N588,'Calculo Leads'!$A$97:$A$134,'Calculo Leads'!K$97:K$134)*_xlfn.XLOOKUP($P588,'Base Grupo de Produtos'!$E$2:$E$18,'Base Grupo de Produtos'!$F$2:$F$18)</f>
        <v>4400</v>
      </c>
      <c r="Y588" s="56">
        <f>_xlfn.XLOOKUP($N588,'Calculo Leads'!$A$97:$A$134,'Calculo Leads'!L$97:L$134)*_xlfn.XLOOKUP($P588,'Base Grupo de Produtos'!$E$2:$E$18,'Base Grupo de Produtos'!$F$2:$F$18)</f>
        <v>5500</v>
      </c>
      <c r="Z588" s="56">
        <f>_xlfn.XLOOKUP($N588,'Calculo Leads'!$A$97:$A$134,'Calculo Leads'!M$97:M$134)*_xlfn.XLOOKUP($P588,'Base Grupo de Produtos'!$E$2:$E$18,'Base Grupo de Produtos'!$F$2:$F$18)</f>
        <v>5775</v>
      </c>
      <c r="AA588" s="56">
        <f>_xlfn.XLOOKUP($N588,'Calculo Leads'!$A$97:$A$134,'Calculo Leads'!N$97:N$134)*_xlfn.XLOOKUP($P588,'Base Grupo de Produtos'!$E$2:$E$18,'Base Grupo de Produtos'!$F$2:$F$18)</f>
        <v>6600</v>
      </c>
      <c r="AB588" s="56">
        <f>_xlfn.XLOOKUP($N588,'Calculo Leads'!$A$97:$A$134,'Calculo Leads'!O$97:O$134)*_xlfn.XLOOKUP($P588,'Base Grupo de Produtos'!$E$2:$E$18,'Base Grupo de Produtos'!$F$2:$F$18)</f>
        <v>4400</v>
      </c>
      <c r="AC588" s="61">
        <f t="shared" si="638"/>
        <v>37175</v>
      </c>
      <c r="AD588" s="27">
        <f t="shared" si="635"/>
        <v>37175</v>
      </c>
      <c r="AE588" s="25">
        <f>IFERROR(_xlfn.XLOOKUP(N588&amp;P588,'Historico Vendas'!G:G,'Historico Vendas'!E:E),0)</f>
        <v>0</v>
      </c>
      <c r="AF588" s="29" t="str">
        <f t="shared" si="613"/>
        <v/>
      </c>
      <c r="AG588" s="24">
        <f>IFERROR(_xlfn.XLOOKUP(N588&amp;P588,'Historico Vendas'!G:G,'Historico Vendas'!F:F),0)</f>
        <v>0</v>
      </c>
      <c r="AH588" s="25">
        <f t="shared" si="636"/>
        <v>1118.309898989899</v>
      </c>
      <c r="AI588" s="24">
        <f t="shared" si="637"/>
        <v>1118.309898989899</v>
      </c>
      <c r="AJ588" s="11">
        <f t="shared" si="619"/>
        <v>0</v>
      </c>
      <c r="AK588" s="9" t="s">
        <v>102</v>
      </c>
      <c r="AL588" s="13">
        <f>IFERROR(INDEX('Balizador da Meta'!$D$3:$F$23,MATCH(Faturamento!$P588,'Balizador da Meta'!$C$3:$C$23,0),MATCH(Faturamento!AK588,'Balizador da Meta'!$D$2:$F$2,0)),"")</f>
        <v>0</v>
      </c>
      <c r="AM588" s="9"/>
    </row>
    <row r="589" spans="1:39" x14ac:dyDescent="0.3">
      <c r="A589" s="2" t="str">
        <f t="shared" si="614"/>
        <v>NÃO</v>
      </c>
      <c r="B589" s="2" t="str">
        <f>_xlfn.XLOOKUP($N589,'Base de Grupos'!$A:$A,'Base de Grupos'!$D:$D)</f>
        <v>1000065763</v>
      </c>
      <c r="C589" s="5" t="str">
        <f>_xlfn.XLOOKUP($N589,'Base de Grupos'!$A:$A,'Base de Grupos'!$E:$E)</f>
        <v>CANAL VENDA INTERNA</v>
      </c>
      <c r="D589" s="5" t="str">
        <f>_xlfn.XLOOKUP($N589,'Base de Grupos'!$A:$A,'Base de Grupos'!$F:$F)</f>
        <v>1000065763</v>
      </c>
      <c r="E589" s="2" t="str">
        <f>_xlfn.XLOOKUP($N589,'Base de Grupos'!$A:$A,'Base de Grupos'!$G:$G)</f>
        <v>CANAL VENDA INTERNA</v>
      </c>
      <c r="F589" s="2" t="str">
        <f>_xlfn.XLOOKUP($N589,'Base de Grupos'!$A:$A,'Base de Grupos'!$H:$H)</f>
        <v>1000153245</v>
      </c>
      <c r="G589" s="5" t="str">
        <f>_xlfn.XLOOKUP($N589,'Base de Grupos'!$A:$A,'Base de Grupos'!$I:$I)</f>
        <v>REGIONAL VENDA INTERNA - KEY ACCOUNT</v>
      </c>
      <c r="H589" s="5" t="str">
        <f>_xlfn.XLOOKUP($N589,'Base de Grupos'!$A:$A,'Base de Grupos'!$J:$J)</f>
        <v>1000153245</v>
      </c>
      <c r="I589" s="2" t="str">
        <f>_xlfn.XLOOKUP($N589,'Base de Grupos'!$A:$A,'Base de Grupos'!$K:$K)</f>
        <v>REGIONAL VENDA INTERNA - KEY ACCOUNT</v>
      </c>
      <c r="J589" s="2" t="str">
        <f>_xlfn.XLOOKUP($N589,'Base de Grupos'!$A:$A,'Base de Grupos'!$L:$L)</f>
        <v>1000153245</v>
      </c>
      <c r="K589" s="5" t="str">
        <f>_xlfn.XLOOKUP($N589,'Base de Grupos'!$A:$A,'Base de Grupos'!$M:$M)</f>
        <v>REGIONAL VENDA INTERNA - KEY ACCOUNT</v>
      </c>
      <c r="L589" s="5" t="str">
        <f t="shared" si="615"/>
        <v/>
      </c>
      <c r="M589" s="5" t="str">
        <f>_xlfn.XLOOKUP($N589,'Base de Grupos'!$A:$A,'Base de Grupos'!$C:$C)</f>
        <v>SC</v>
      </c>
      <c r="N589" s="3">
        <v>1432</v>
      </c>
      <c r="O589" s="4" t="s">
        <v>256</v>
      </c>
      <c r="P589" s="5" t="s">
        <v>89</v>
      </c>
      <c r="Q589" s="56">
        <v>0</v>
      </c>
      <c r="R589" s="56">
        <v>627.6857142857142</v>
      </c>
      <c r="S589" s="56">
        <v>627.6857142857142</v>
      </c>
      <c r="T589" s="56">
        <f>_xlfn.XLOOKUP($N589,'Calculo Leads'!$A$97:$A$134,'Calculo Leads'!G$97:G$134)*_xlfn.XLOOKUP($P589,'Base Grupo de Produtos'!$E$2:$E$18,'Base Grupo de Produtos'!$F$2:$F$18)</f>
        <v>400</v>
      </c>
      <c r="U589" s="56">
        <f>_xlfn.XLOOKUP($N589,'Calculo Leads'!$A$97:$A$134,'Calculo Leads'!H$97:H$134)*_xlfn.XLOOKUP($P589,'Base Grupo de Produtos'!$E$2:$E$18,'Base Grupo de Produtos'!$F$2:$F$18)</f>
        <v>450</v>
      </c>
      <c r="V589" s="56">
        <f>_xlfn.XLOOKUP($N589,'Calculo Leads'!$A$97:$A$134,'Calculo Leads'!I$97:I$134)*_xlfn.XLOOKUP($P589,'Base Grupo de Produtos'!$E$2:$E$18,'Base Grupo de Produtos'!$F$2:$F$18)</f>
        <v>550</v>
      </c>
      <c r="W589" s="56">
        <f>_xlfn.XLOOKUP($N589,'Calculo Leads'!$A$97:$A$134,'Calculo Leads'!J$97:J$134)*_xlfn.XLOOKUP($P589,'Base Grupo de Produtos'!$E$2:$E$18,'Base Grupo de Produtos'!$F$2:$F$18)</f>
        <v>700</v>
      </c>
      <c r="X589" s="56">
        <f>_xlfn.XLOOKUP($N589,'Calculo Leads'!$A$97:$A$134,'Calculo Leads'!K$97:K$134)*_xlfn.XLOOKUP($P589,'Base Grupo de Produtos'!$E$2:$E$18,'Base Grupo de Produtos'!$F$2:$F$18)</f>
        <v>880</v>
      </c>
      <c r="Y589" s="56">
        <f>_xlfn.XLOOKUP($N589,'Calculo Leads'!$A$97:$A$134,'Calculo Leads'!L$97:L$134)*_xlfn.XLOOKUP($P589,'Base Grupo de Produtos'!$E$2:$E$18,'Base Grupo de Produtos'!$F$2:$F$18)</f>
        <v>1100</v>
      </c>
      <c r="Z589" s="56">
        <f>_xlfn.XLOOKUP($N589,'Calculo Leads'!$A$97:$A$134,'Calculo Leads'!M$97:M$134)*_xlfn.XLOOKUP($P589,'Base Grupo de Produtos'!$E$2:$E$18,'Base Grupo de Produtos'!$F$2:$F$18)</f>
        <v>1155</v>
      </c>
      <c r="AA589" s="56">
        <f>_xlfn.XLOOKUP($N589,'Calculo Leads'!$A$97:$A$134,'Calculo Leads'!N$97:N$134)*_xlfn.XLOOKUP($P589,'Base Grupo de Produtos'!$E$2:$E$18,'Base Grupo de Produtos'!$F$2:$F$18)</f>
        <v>1320</v>
      </c>
      <c r="AB589" s="56">
        <f>_xlfn.XLOOKUP($N589,'Calculo Leads'!$A$97:$A$134,'Calculo Leads'!O$97:O$134)*_xlfn.XLOOKUP($P589,'Base Grupo de Produtos'!$E$2:$E$18,'Base Grupo de Produtos'!$F$2:$F$18)</f>
        <v>880</v>
      </c>
      <c r="AC589" s="61">
        <f t="shared" si="638"/>
        <v>7435</v>
      </c>
      <c r="AD589" s="27">
        <f t="shared" si="635"/>
        <v>7435</v>
      </c>
      <c r="AE589" s="25">
        <f>IFERROR(_xlfn.XLOOKUP(N589&amp;P589,'Historico Vendas'!G:G,'Historico Vendas'!E:E),0)</f>
        <v>0</v>
      </c>
      <c r="AF589" s="29" t="str">
        <f t="shared" si="613"/>
        <v/>
      </c>
      <c r="AG589" s="24">
        <f>IFERROR(_xlfn.XLOOKUP(N589&amp;P589,'Historico Vendas'!G:G,'Historico Vendas'!F:F),0)</f>
        <v>0</v>
      </c>
      <c r="AH589" s="25">
        <f t="shared" si="636"/>
        <v>1255.3714285714284</v>
      </c>
      <c r="AI589" s="24">
        <f t="shared" si="637"/>
        <v>1255.3714285714284</v>
      </c>
      <c r="AJ589" s="11">
        <f t="shared" si="619"/>
        <v>0</v>
      </c>
      <c r="AK589" s="9" t="s">
        <v>102</v>
      </c>
      <c r="AL589" s="13">
        <f>IFERROR(INDEX('Balizador da Meta'!$D$3:$F$23,MATCH(Faturamento!$P589,'Balizador da Meta'!$C$3:$C$23,0),MATCH(Faturamento!AK589,'Balizador da Meta'!$D$2:$F$2,0)),"")</f>
        <v>0.25</v>
      </c>
      <c r="AM589" s="9"/>
    </row>
    <row r="590" spans="1:39" x14ac:dyDescent="0.3">
      <c r="A590" s="2" t="str">
        <f t="shared" si="614"/>
        <v>NÃO</v>
      </c>
      <c r="B590" s="2" t="str">
        <f>_xlfn.XLOOKUP($N590,'Base de Grupos'!$A:$A,'Base de Grupos'!$D:$D)</f>
        <v>1000065763</v>
      </c>
      <c r="C590" s="5" t="str">
        <f>_xlfn.XLOOKUP($N590,'Base de Grupos'!$A:$A,'Base de Grupos'!$E:$E)</f>
        <v>CANAL VENDA INTERNA</v>
      </c>
      <c r="D590" s="5" t="str">
        <f>_xlfn.XLOOKUP($N590,'Base de Grupos'!$A:$A,'Base de Grupos'!$F:$F)</f>
        <v>1000065763</v>
      </c>
      <c r="E590" s="2" t="str">
        <f>_xlfn.XLOOKUP($N590,'Base de Grupos'!$A:$A,'Base de Grupos'!$G:$G)</f>
        <v>CANAL VENDA INTERNA</v>
      </c>
      <c r="F590" s="2" t="str">
        <f>_xlfn.XLOOKUP($N590,'Base de Grupos'!$A:$A,'Base de Grupos'!$H:$H)</f>
        <v>1000153245</v>
      </c>
      <c r="G590" s="5" t="str">
        <f>_xlfn.XLOOKUP($N590,'Base de Grupos'!$A:$A,'Base de Grupos'!$I:$I)</f>
        <v>REGIONAL VENDA INTERNA - KEY ACCOUNT</v>
      </c>
      <c r="H590" s="5" t="str">
        <f>_xlfn.XLOOKUP($N590,'Base de Grupos'!$A:$A,'Base de Grupos'!$J:$J)</f>
        <v>1000153245</v>
      </c>
      <c r="I590" s="2" t="str">
        <f>_xlfn.XLOOKUP($N590,'Base de Grupos'!$A:$A,'Base de Grupos'!$K:$K)</f>
        <v>REGIONAL VENDA INTERNA - KEY ACCOUNT</v>
      </c>
      <c r="J590" s="2" t="str">
        <f>_xlfn.XLOOKUP($N590,'Base de Grupos'!$A:$A,'Base de Grupos'!$L:$L)</f>
        <v>1000153245</v>
      </c>
      <c r="K590" s="5" t="str">
        <f>_xlfn.XLOOKUP($N590,'Base de Grupos'!$A:$A,'Base de Grupos'!$M:$M)</f>
        <v>REGIONAL VENDA INTERNA - KEY ACCOUNT</v>
      </c>
      <c r="L590" s="5" t="str">
        <f t="shared" si="615"/>
        <v/>
      </c>
      <c r="M590" s="5" t="str">
        <f>_xlfn.XLOOKUP($N590,'Base de Grupos'!$A:$A,'Base de Grupos'!$C:$C)</f>
        <v>SC</v>
      </c>
      <c r="N590" s="3">
        <v>1432</v>
      </c>
      <c r="O590" s="4" t="s">
        <v>256</v>
      </c>
      <c r="P590" s="5" t="s">
        <v>88</v>
      </c>
      <c r="Q590" s="56">
        <v>0</v>
      </c>
      <c r="R590" s="56">
        <v>119.60088888888889</v>
      </c>
      <c r="S590" s="56">
        <v>239.20177777777778</v>
      </c>
      <c r="T590" s="56">
        <f>_xlfn.XLOOKUP($N590,'Calculo Leads'!$A$97:$A$134,'Calculo Leads'!G$97:G$134)*_xlfn.XLOOKUP($P590,'Base Grupo de Produtos'!$E$2:$E$18,'Base Grupo de Produtos'!$F$2:$F$18)</f>
        <v>400</v>
      </c>
      <c r="U590" s="56">
        <f>_xlfn.XLOOKUP($N590,'Calculo Leads'!$A$97:$A$134,'Calculo Leads'!H$97:H$134)*_xlfn.XLOOKUP($P590,'Base Grupo de Produtos'!$E$2:$E$18,'Base Grupo de Produtos'!$F$2:$F$18)</f>
        <v>450</v>
      </c>
      <c r="V590" s="56">
        <f>_xlfn.XLOOKUP($N590,'Calculo Leads'!$A$97:$A$134,'Calculo Leads'!I$97:I$134)*_xlfn.XLOOKUP($P590,'Base Grupo de Produtos'!$E$2:$E$18,'Base Grupo de Produtos'!$F$2:$F$18)</f>
        <v>550</v>
      </c>
      <c r="W590" s="56">
        <f>_xlfn.XLOOKUP($N590,'Calculo Leads'!$A$97:$A$134,'Calculo Leads'!J$97:J$134)*_xlfn.XLOOKUP($P590,'Base Grupo de Produtos'!$E$2:$E$18,'Base Grupo de Produtos'!$F$2:$F$18)</f>
        <v>700</v>
      </c>
      <c r="X590" s="56">
        <f>_xlfn.XLOOKUP($N590,'Calculo Leads'!$A$97:$A$134,'Calculo Leads'!K$97:K$134)*_xlfn.XLOOKUP($P590,'Base Grupo de Produtos'!$E$2:$E$18,'Base Grupo de Produtos'!$F$2:$F$18)</f>
        <v>880</v>
      </c>
      <c r="Y590" s="56">
        <f>_xlfn.XLOOKUP($N590,'Calculo Leads'!$A$97:$A$134,'Calculo Leads'!L$97:L$134)*_xlfn.XLOOKUP($P590,'Base Grupo de Produtos'!$E$2:$E$18,'Base Grupo de Produtos'!$F$2:$F$18)</f>
        <v>1100</v>
      </c>
      <c r="Z590" s="56">
        <f>_xlfn.XLOOKUP($N590,'Calculo Leads'!$A$97:$A$134,'Calculo Leads'!M$97:M$134)*_xlfn.XLOOKUP($P590,'Base Grupo de Produtos'!$E$2:$E$18,'Base Grupo de Produtos'!$F$2:$F$18)</f>
        <v>1155</v>
      </c>
      <c r="AA590" s="56">
        <f>_xlfn.XLOOKUP($N590,'Calculo Leads'!$A$97:$A$134,'Calculo Leads'!N$97:N$134)*_xlfn.XLOOKUP($P590,'Base Grupo de Produtos'!$E$2:$E$18,'Base Grupo de Produtos'!$F$2:$F$18)</f>
        <v>1320</v>
      </c>
      <c r="AB590" s="56">
        <f>_xlfn.XLOOKUP($N590,'Calculo Leads'!$A$97:$A$134,'Calculo Leads'!O$97:O$134)*_xlfn.XLOOKUP($P590,'Base Grupo de Produtos'!$E$2:$E$18,'Base Grupo de Produtos'!$F$2:$F$18)</f>
        <v>880</v>
      </c>
      <c r="AC590" s="61">
        <f t="shared" si="638"/>
        <v>7435</v>
      </c>
      <c r="AD590" s="27">
        <f t="shared" si="635"/>
        <v>7435</v>
      </c>
      <c r="AE590" s="25">
        <f>IFERROR(_xlfn.XLOOKUP(N590&amp;P590,'Historico Vendas'!G:G,'Historico Vendas'!E:E),0)</f>
        <v>0</v>
      </c>
      <c r="AF590" s="29" t="str">
        <f t="shared" si="613"/>
        <v/>
      </c>
      <c r="AG590" s="24">
        <f>IFERROR(_xlfn.XLOOKUP(N590&amp;P590,'Historico Vendas'!G:G,'Historico Vendas'!F:F),0)</f>
        <v>0</v>
      </c>
      <c r="AH590" s="25">
        <f t="shared" si="636"/>
        <v>358.80266666666665</v>
      </c>
      <c r="AI590" s="24">
        <f t="shared" si="637"/>
        <v>358.80266666666665</v>
      </c>
      <c r="AJ590" s="11">
        <f t="shared" si="619"/>
        <v>0</v>
      </c>
      <c r="AK590" s="9" t="s">
        <v>102</v>
      </c>
      <c r="AL590" s="13">
        <f>IFERROR(INDEX('Balizador da Meta'!$D$3:$F$23,MATCH(Faturamento!$P590,'Balizador da Meta'!$C$3:$C$23,0),MATCH(Faturamento!AK590,'Balizador da Meta'!$D$2:$F$2,0)),"")</f>
        <v>0</v>
      </c>
      <c r="AM590" s="9"/>
    </row>
    <row r="591" spans="1:39" x14ac:dyDescent="0.3">
      <c r="A591" s="2" t="str">
        <f t="shared" si="614"/>
        <v>NÃO</v>
      </c>
      <c r="B591" s="2" t="str">
        <f>_xlfn.XLOOKUP($N591,'Base de Grupos'!$A:$A,'Base de Grupos'!$D:$D)</f>
        <v>1000065763</v>
      </c>
      <c r="C591" s="5" t="str">
        <f>_xlfn.XLOOKUP($N591,'Base de Grupos'!$A:$A,'Base de Grupos'!$E:$E)</f>
        <v>CANAL VENDA INTERNA</v>
      </c>
      <c r="D591" s="5" t="str">
        <f>_xlfn.XLOOKUP($N591,'Base de Grupos'!$A:$A,'Base de Grupos'!$F:$F)</f>
        <v>1000065763</v>
      </c>
      <c r="E591" s="2" t="str">
        <f>_xlfn.XLOOKUP($N591,'Base de Grupos'!$A:$A,'Base de Grupos'!$G:$G)</f>
        <v>CANAL VENDA INTERNA</v>
      </c>
      <c r="F591" s="2" t="str">
        <f>_xlfn.XLOOKUP($N591,'Base de Grupos'!$A:$A,'Base de Grupos'!$H:$H)</f>
        <v>1000153245</v>
      </c>
      <c r="G591" s="5" t="str">
        <f>_xlfn.XLOOKUP($N591,'Base de Grupos'!$A:$A,'Base de Grupos'!$I:$I)</f>
        <v>REGIONAL VENDA INTERNA - KEY ACCOUNT</v>
      </c>
      <c r="H591" s="5" t="str">
        <f>_xlfn.XLOOKUP($N591,'Base de Grupos'!$A:$A,'Base de Grupos'!$J:$J)</f>
        <v>1000153245</v>
      </c>
      <c r="I591" s="2" t="str">
        <f>_xlfn.XLOOKUP($N591,'Base de Grupos'!$A:$A,'Base de Grupos'!$K:$K)</f>
        <v>REGIONAL VENDA INTERNA - KEY ACCOUNT</v>
      </c>
      <c r="J591" s="2" t="str">
        <f>_xlfn.XLOOKUP($N591,'Base de Grupos'!$A:$A,'Base de Grupos'!$L:$L)</f>
        <v>1000153245</v>
      </c>
      <c r="K591" s="5" t="str">
        <f>_xlfn.XLOOKUP($N591,'Base de Grupos'!$A:$A,'Base de Grupos'!$M:$M)</f>
        <v>REGIONAL VENDA INTERNA - KEY ACCOUNT</v>
      </c>
      <c r="L591" s="5" t="str">
        <f t="shared" si="615"/>
        <v/>
      </c>
      <c r="M591" s="5" t="str">
        <f>_xlfn.XLOOKUP($N591,'Base de Grupos'!$A:$A,'Base de Grupos'!$C:$C)</f>
        <v>SC</v>
      </c>
      <c r="N591" s="3">
        <v>1432</v>
      </c>
      <c r="O591" s="4" t="s">
        <v>256</v>
      </c>
      <c r="P591" s="5" t="s">
        <v>90</v>
      </c>
      <c r="Q591" s="56">
        <v>0</v>
      </c>
      <c r="R591" s="56">
        <v>204.36930232558137</v>
      </c>
      <c r="S591" s="56">
        <v>204.36930232558137</v>
      </c>
      <c r="T591" s="56">
        <f>_xlfn.XLOOKUP($N591,'Calculo Leads'!$A$97:$A$134,'Calculo Leads'!G$97:G$134)*_xlfn.XLOOKUP($P591,'Base Grupo de Produtos'!$E$2:$E$18,'Base Grupo de Produtos'!$F$2:$F$18)</f>
        <v>400</v>
      </c>
      <c r="U591" s="56">
        <f>_xlfn.XLOOKUP($N591,'Calculo Leads'!$A$97:$A$134,'Calculo Leads'!H$97:H$134)*_xlfn.XLOOKUP($P591,'Base Grupo de Produtos'!$E$2:$E$18,'Base Grupo de Produtos'!$F$2:$F$18)</f>
        <v>450</v>
      </c>
      <c r="V591" s="56">
        <f>_xlfn.XLOOKUP($N591,'Calculo Leads'!$A$97:$A$134,'Calculo Leads'!I$97:I$134)*_xlfn.XLOOKUP($P591,'Base Grupo de Produtos'!$E$2:$E$18,'Base Grupo de Produtos'!$F$2:$F$18)</f>
        <v>550</v>
      </c>
      <c r="W591" s="56">
        <f>_xlfn.XLOOKUP($N591,'Calculo Leads'!$A$97:$A$134,'Calculo Leads'!J$97:J$134)*_xlfn.XLOOKUP($P591,'Base Grupo de Produtos'!$E$2:$E$18,'Base Grupo de Produtos'!$F$2:$F$18)</f>
        <v>700</v>
      </c>
      <c r="X591" s="56">
        <f>_xlfn.XLOOKUP($N591,'Calculo Leads'!$A$97:$A$134,'Calculo Leads'!K$97:K$134)*_xlfn.XLOOKUP($P591,'Base Grupo de Produtos'!$E$2:$E$18,'Base Grupo de Produtos'!$F$2:$F$18)</f>
        <v>880</v>
      </c>
      <c r="Y591" s="56">
        <f>_xlfn.XLOOKUP($N591,'Calculo Leads'!$A$97:$A$134,'Calculo Leads'!L$97:L$134)*_xlfn.XLOOKUP($P591,'Base Grupo de Produtos'!$E$2:$E$18,'Base Grupo de Produtos'!$F$2:$F$18)</f>
        <v>1100</v>
      </c>
      <c r="Z591" s="56">
        <f>_xlfn.XLOOKUP($N591,'Calculo Leads'!$A$97:$A$134,'Calculo Leads'!M$97:M$134)*_xlfn.XLOOKUP($P591,'Base Grupo de Produtos'!$E$2:$E$18,'Base Grupo de Produtos'!$F$2:$F$18)</f>
        <v>1155</v>
      </c>
      <c r="AA591" s="56">
        <f>_xlfn.XLOOKUP($N591,'Calculo Leads'!$A$97:$A$134,'Calculo Leads'!N$97:N$134)*_xlfn.XLOOKUP($P591,'Base Grupo de Produtos'!$E$2:$E$18,'Base Grupo de Produtos'!$F$2:$F$18)</f>
        <v>1320</v>
      </c>
      <c r="AB591" s="56">
        <f>_xlfn.XLOOKUP($N591,'Calculo Leads'!$A$97:$A$134,'Calculo Leads'!O$97:O$134)*_xlfn.XLOOKUP($P591,'Base Grupo de Produtos'!$E$2:$E$18,'Base Grupo de Produtos'!$F$2:$F$18)</f>
        <v>880</v>
      </c>
      <c r="AC591" s="61">
        <f t="shared" si="638"/>
        <v>7435</v>
      </c>
      <c r="AD591" s="27">
        <f t="shared" si="635"/>
        <v>7435</v>
      </c>
      <c r="AE591" s="25">
        <f>IFERROR(_xlfn.XLOOKUP(N591&amp;P591,'Historico Vendas'!G:G,'Historico Vendas'!E:E),0)</f>
        <v>0</v>
      </c>
      <c r="AF591" s="29" t="str">
        <f t="shared" si="613"/>
        <v/>
      </c>
      <c r="AG591" s="24">
        <f>IFERROR(_xlfn.XLOOKUP(N591&amp;P591,'Historico Vendas'!G:G,'Historico Vendas'!F:F),0)</f>
        <v>0</v>
      </c>
      <c r="AH591" s="25">
        <f t="shared" si="636"/>
        <v>408.73860465116275</v>
      </c>
      <c r="AI591" s="24">
        <f t="shared" si="637"/>
        <v>408.73860465116275</v>
      </c>
      <c r="AJ591" s="11">
        <f t="shared" si="619"/>
        <v>0</v>
      </c>
      <c r="AK591" s="9" t="s">
        <v>102</v>
      </c>
      <c r="AL591" s="13">
        <f>IFERROR(INDEX('Balizador da Meta'!$D$3:$F$23,MATCH(Faturamento!$P591,'Balizador da Meta'!$C$3:$C$23,0),MATCH(Faturamento!AK591,'Balizador da Meta'!$D$2:$F$2,0)),"")</f>
        <v>0</v>
      </c>
      <c r="AM591" s="9"/>
    </row>
    <row r="592" spans="1:39" x14ac:dyDescent="0.3">
      <c r="A592" s="2" t="str">
        <f t="shared" si="614"/>
        <v>NÃO</v>
      </c>
      <c r="B592" s="2" t="str">
        <f>_xlfn.XLOOKUP($N592,'Base de Grupos'!$A:$A,'Base de Grupos'!$D:$D)</f>
        <v>1000065763</v>
      </c>
      <c r="C592" s="5" t="str">
        <f>_xlfn.XLOOKUP($N592,'Base de Grupos'!$A:$A,'Base de Grupos'!$E:$E)</f>
        <v>CANAL VENDA INTERNA</v>
      </c>
      <c r="D592" s="5" t="str">
        <f>_xlfn.XLOOKUP($N592,'Base de Grupos'!$A:$A,'Base de Grupos'!$F:$F)</f>
        <v>1000065763</v>
      </c>
      <c r="E592" s="2" t="str">
        <f>_xlfn.XLOOKUP($N592,'Base de Grupos'!$A:$A,'Base de Grupos'!$G:$G)</f>
        <v>CANAL VENDA INTERNA</v>
      </c>
      <c r="F592" s="2" t="str">
        <f>_xlfn.XLOOKUP($N592,'Base de Grupos'!$A:$A,'Base de Grupos'!$H:$H)</f>
        <v>1000153245</v>
      </c>
      <c r="G592" s="5" t="str">
        <f>_xlfn.XLOOKUP($N592,'Base de Grupos'!$A:$A,'Base de Grupos'!$I:$I)</f>
        <v>REGIONAL VENDA INTERNA - KEY ACCOUNT</v>
      </c>
      <c r="H592" s="5" t="str">
        <f>_xlfn.XLOOKUP($N592,'Base de Grupos'!$A:$A,'Base de Grupos'!$J:$J)</f>
        <v>1000153245</v>
      </c>
      <c r="I592" s="2" t="str">
        <f>_xlfn.XLOOKUP($N592,'Base de Grupos'!$A:$A,'Base de Grupos'!$K:$K)</f>
        <v>REGIONAL VENDA INTERNA - KEY ACCOUNT</v>
      </c>
      <c r="J592" s="2" t="str">
        <f>_xlfn.XLOOKUP($N592,'Base de Grupos'!$A:$A,'Base de Grupos'!$L:$L)</f>
        <v>1000153245</v>
      </c>
      <c r="K592" s="5" t="str">
        <f>_xlfn.XLOOKUP($N592,'Base de Grupos'!$A:$A,'Base de Grupos'!$M:$M)</f>
        <v>REGIONAL VENDA INTERNA - KEY ACCOUNT</v>
      </c>
      <c r="L592" s="5" t="str">
        <f t="shared" si="615"/>
        <v/>
      </c>
      <c r="M592" s="5" t="str">
        <f>_xlfn.XLOOKUP($N592,'Base de Grupos'!$A:$A,'Base de Grupos'!$C:$C)</f>
        <v>SC</v>
      </c>
      <c r="N592" s="3">
        <v>1432</v>
      </c>
      <c r="O592" s="4" t="s">
        <v>256</v>
      </c>
      <c r="P592" s="5" t="s">
        <v>91</v>
      </c>
      <c r="Q592" s="56">
        <v>0</v>
      </c>
      <c r="R592" s="56">
        <v>143.15866666666668</v>
      </c>
      <c r="S592" s="56">
        <v>143.15866666666668</v>
      </c>
      <c r="T592" s="56">
        <f>_xlfn.XLOOKUP($N592,'Calculo Leads'!$A$97:$A$134,'Calculo Leads'!G$97:G$134)*_xlfn.XLOOKUP($P592,'Base Grupo de Produtos'!$E$2:$E$18,'Base Grupo de Produtos'!$F$2:$F$18)</f>
        <v>0</v>
      </c>
      <c r="U592" s="56">
        <f>_xlfn.XLOOKUP($N592,'Calculo Leads'!$A$97:$A$134,'Calculo Leads'!H$97:H$134)*_xlfn.XLOOKUP($P592,'Base Grupo de Produtos'!$E$2:$E$18,'Base Grupo de Produtos'!$F$2:$F$18)</f>
        <v>0</v>
      </c>
      <c r="V592" s="56">
        <f>_xlfn.XLOOKUP($N592,'Calculo Leads'!$A$97:$A$134,'Calculo Leads'!I$97:I$134)*_xlfn.XLOOKUP($P592,'Base Grupo de Produtos'!$E$2:$E$18,'Base Grupo de Produtos'!$F$2:$F$18)</f>
        <v>0</v>
      </c>
      <c r="W592" s="56">
        <f>_xlfn.XLOOKUP($N592,'Calculo Leads'!$A$97:$A$134,'Calculo Leads'!J$97:J$134)*_xlfn.XLOOKUP($P592,'Base Grupo de Produtos'!$E$2:$E$18,'Base Grupo de Produtos'!$F$2:$F$18)</f>
        <v>0</v>
      </c>
      <c r="X592" s="56">
        <f>_xlfn.XLOOKUP($N592,'Calculo Leads'!$A$97:$A$134,'Calculo Leads'!K$97:K$134)*_xlfn.XLOOKUP($P592,'Base Grupo de Produtos'!$E$2:$E$18,'Base Grupo de Produtos'!$F$2:$F$18)</f>
        <v>0</v>
      </c>
      <c r="Y592" s="56">
        <f>_xlfn.XLOOKUP($N592,'Calculo Leads'!$A$97:$A$134,'Calculo Leads'!L$97:L$134)*_xlfn.XLOOKUP($P592,'Base Grupo de Produtos'!$E$2:$E$18,'Base Grupo de Produtos'!$F$2:$F$18)</f>
        <v>0</v>
      </c>
      <c r="Z592" s="56">
        <f>_xlfn.XLOOKUP($N592,'Calculo Leads'!$A$97:$A$134,'Calculo Leads'!M$97:M$134)*_xlfn.XLOOKUP($P592,'Base Grupo de Produtos'!$E$2:$E$18,'Base Grupo de Produtos'!$F$2:$F$18)</f>
        <v>0</v>
      </c>
      <c r="AA592" s="56">
        <f>_xlfn.XLOOKUP($N592,'Calculo Leads'!$A$97:$A$134,'Calculo Leads'!N$97:N$134)*_xlfn.XLOOKUP($P592,'Base Grupo de Produtos'!$E$2:$E$18,'Base Grupo de Produtos'!$F$2:$F$18)</f>
        <v>0</v>
      </c>
      <c r="AB592" s="56">
        <f>_xlfn.XLOOKUP($N592,'Calculo Leads'!$A$97:$A$134,'Calculo Leads'!O$97:O$134)*_xlfn.XLOOKUP($P592,'Base Grupo de Produtos'!$E$2:$E$18,'Base Grupo de Produtos'!$F$2:$F$18)</f>
        <v>0</v>
      </c>
      <c r="AC592" s="61">
        <f t="shared" si="638"/>
        <v>0</v>
      </c>
      <c r="AD592" s="27">
        <f t="shared" si="635"/>
        <v>0</v>
      </c>
      <c r="AE592" s="25">
        <f>IFERROR(_xlfn.XLOOKUP(N592&amp;P592,'Historico Vendas'!G:G,'Historico Vendas'!E:E),0)</f>
        <v>0</v>
      </c>
      <c r="AF592" s="29" t="str">
        <f t="shared" si="613"/>
        <v/>
      </c>
      <c r="AG592" s="24">
        <f>IFERROR(_xlfn.XLOOKUP(N592&amp;P592,'Historico Vendas'!G:G,'Historico Vendas'!F:F),0)</f>
        <v>0</v>
      </c>
      <c r="AH592" s="25">
        <f t="shared" si="636"/>
        <v>286.31733333333335</v>
      </c>
      <c r="AI592" s="24">
        <f t="shared" si="637"/>
        <v>286.31733333333335</v>
      </c>
      <c r="AJ592" s="11">
        <f t="shared" si="619"/>
        <v>0</v>
      </c>
      <c r="AK592" s="9" t="s">
        <v>102</v>
      </c>
      <c r="AL592" s="13">
        <f>IFERROR(INDEX('Balizador da Meta'!$D$3:$F$23,MATCH(Faturamento!$P592,'Balizador da Meta'!$C$3:$C$23,0),MATCH(Faturamento!AK592,'Balizador da Meta'!$D$2:$F$2,0)),"")</f>
        <v>0</v>
      </c>
      <c r="AM592" s="9"/>
    </row>
    <row r="593" spans="1:39" x14ac:dyDescent="0.3">
      <c r="A593" s="2" t="str">
        <f t="shared" si="614"/>
        <v>NÃO</v>
      </c>
      <c r="B593" s="2" t="str">
        <f>_xlfn.XLOOKUP($N593,'Base de Grupos'!$A:$A,'Base de Grupos'!$D:$D)</f>
        <v>1000065763</v>
      </c>
      <c r="C593" s="5" t="str">
        <f>_xlfn.XLOOKUP($N593,'Base de Grupos'!$A:$A,'Base de Grupos'!$E:$E)</f>
        <v>CANAL VENDA INTERNA</v>
      </c>
      <c r="D593" s="5" t="str">
        <f>_xlfn.XLOOKUP($N593,'Base de Grupos'!$A:$A,'Base de Grupos'!$F:$F)</f>
        <v>1000065763</v>
      </c>
      <c r="E593" s="2" t="str">
        <f>_xlfn.XLOOKUP($N593,'Base de Grupos'!$A:$A,'Base de Grupos'!$G:$G)</f>
        <v>CANAL VENDA INTERNA</v>
      </c>
      <c r="F593" s="2" t="str">
        <f>_xlfn.XLOOKUP($N593,'Base de Grupos'!$A:$A,'Base de Grupos'!$H:$H)</f>
        <v>1000153245</v>
      </c>
      <c r="G593" s="5" t="str">
        <f>_xlfn.XLOOKUP($N593,'Base de Grupos'!$A:$A,'Base de Grupos'!$I:$I)</f>
        <v>REGIONAL VENDA INTERNA - KEY ACCOUNT</v>
      </c>
      <c r="H593" s="5" t="str">
        <f>_xlfn.XLOOKUP($N593,'Base de Grupos'!$A:$A,'Base de Grupos'!$J:$J)</f>
        <v>1000153245</v>
      </c>
      <c r="I593" s="2" t="str">
        <f>_xlfn.XLOOKUP($N593,'Base de Grupos'!$A:$A,'Base de Grupos'!$K:$K)</f>
        <v>REGIONAL VENDA INTERNA - KEY ACCOUNT</v>
      </c>
      <c r="J593" s="2" t="str">
        <f>_xlfn.XLOOKUP($N593,'Base de Grupos'!$A:$A,'Base de Grupos'!$L:$L)</f>
        <v>1000153245</v>
      </c>
      <c r="K593" s="5" t="str">
        <f>_xlfn.XLOOKUP($N593,'Base de Grupos'!$A:$A,'Base de Grupos'!$M:$M)</f>
        <v>REGIONAL VENDA INTERNA - KEY ACCOUNT</v>
      </c>
      <c r="L593" s="5" t="str">
        <f t="shared" si="615"/>
        <v/>
      </c>
      <c r="M593" s="5" t="str">
        <f>_xlfn.XLOOKUP($N593,'Base de Grupos'!$A:$A,'Base de Grupos'!$C:$C)</f>
        <v>SC</v>
      </c>
      <c r="N593" s="3">
        <v>1432</v>
      </c>
      <c r="O593" s="4" t="s">
        <v>256</v>
      </c>
      <c r="P593" s="5" t="s">
        <v>96</v>
      </c>
      <c r="Q593" s="56">
        <v>0</v>
      </c>
      <c r="R593" s="56">
        <v>40.9</v>
      </c>
      <c r="S593" s="56">
        <v>40.9</v>
      </c>
      <c r="T593" s="56">
        <f>_xlfn.XLOOKUP($N593,'Calculo Leads'!$A$97:$A$134,'Calculo Leads'!G$97:G$134)*_xlfn.XLOOKUP($P593,'Base Grupo de Produtos'!$E$2:$E$18,'Base Grupo de Produtos'!$F$2:$F$18)</f>
        <v>560</v>
      </c>
      <c r="U593" s="56">
        <f>_xlfn.XLOOKUP($N593,'Calculo Leads'!$A$97:$A$134,'Calculo Leads'!H$97:H$134)*_xlfn.XLOOKUP($P593,'Base Grupo de Produtos'!$E$2:$E$18,'Base Grupo de Produtos'!$F$2:$F$18)</f>
        <v>630.00000000000011</v>
      </c>
      <c r="V593" s="56">
        <f>_xlfn.XLOOKUP($N593,'Calculo Leads'!$A$97:$A$134,'Calculo Leads'!I$97:I$134)*_xlfn.XLOOKUP($P593,'Base Grupo de Produtos'!$E$2:$E$18,'Base Grupo de Produtos'!$F$2:$F$18)</f>
        <v>770.00000000000011</v>
      </c>
      <c r="W593" s="56">
        <f>_xlfn.XLOOKUP($N593,'Calculo Leads'!$A$97:$A$134,'Calculo Leads'!J$97:J$134)*_xlfn.XLOOKUP($P593,'Base Grupo de Produtos'!$E$2:$E$18,'Base Grupo de Produtos'!$F$2:$F$18)</f>
        <v>980.00000000000011</v>
      </c>
      <c r="X593" s="56">
        <f>_xlfn.XLOOKUP($N593,'Calculo Leads'!$A$97:$A$134,'Calculo Leads'!K$97:K$134)*_xlfn.XLOOKUP($P593,'Base Grupo de Produtos'!$E$2:$E$18,'Base Grupo de Produtos'!$F$2:$F$18)</f>
        <v>1232.0000000000002</v>
      </c>
      <c r="Y593" s="56">
        <f>_xlfn.XLOOKUP($N593,'Calculo Leads'!$A$97:$A$134,'Calculo Leads'!L$97:L$134)*_xlfn.XLOOKUP($P593,'Base Grupo de Produtos'!$E$2:$E$18,'Base Grupo de Produtos'!$F$2:$F$18)</f>
        <v>1540.0000000000002</v>
      </c>
      <c r="Z593" s="56">
        <f>_xlfn.XLOOKUP($N593,'Calculo Leads'!$A$97:$A$134,'Calculo Leads'!M$97:M$134)*_xlfn.XLOOKUP($P593,'Base Grupo de Produtos'!$E$2:$E$18,'Base Grupo de Produtos'!$F$2:$F$18)</f>
        <v>1617.0000000000002</v>
      </c>
      <c r="AA593" s="56">
        <f>_xlfn.XLOOKUP($N593,'Calculo Leads'!$A$97:$A$134,'Calculo Leads'!N$97:N$134)*_xlfn.XLOOKUP($P593,'Base Grupo de Produtos'!$E$2:$E$18,'Base Grupo de Produtos'!$F$2:$F$18)</f>
        <v>1848.0000000000002</v>
      </c>
      <c r="AB593" s="56">
        <f>_xlfn.XLOOKUP($N593,'Calculo Leads'!$A$97:$A$134,'Calculo Leads'!O$97:O$134)*_xlfn.XLOOKUP($P593,'Base Grupo de Produtos'!$E$2:$E$18,'Base Grupo de Produtos'!$F$2:$F$18)</f>
        <v>1232.0000000000002</v>
      </c>
      <c r="AC593" s="61">
        <f t="shared" si="638"/>
        <v>10409</v>
      </c>
      <c r="AD593" s="27">
        <f t="shared" si="635"/>
        <v>10409</v>
      </c>
      <c r="AE593" s="25">
        <f>IFERROR(_xlfn.XLOOKUP(N593&amp;P593,'Historico Vendas'!G:G,'Historico Vendas'!E:E),0)</f>
        <v>0</v>
      </c>
      <c r="AF593" s="29" t="str">
        <f t="shared" si="613"/>
        <v/>
      </c>
      <c r="AG593" s="24">
        <f>IFERROR(_xlfn.XLOOKUP(N593&amp;P593,'Historico Vendas'!G:G,'Historico Vendas'!F:F),0)</f>
        <v>0</v>
      </c>
      <c r="AH593" s="25">
        <f t="shared" si="636"/>
        <v>81.8</v>
      </c>
      <c r="AI593" s="24">
        <f t="shared" si="637"/>
        <v>81.8</v>
      </c>
      <c r="AJ593" s="11">
        <f t="shared" si="619"/>
        <v>0</v>
      </c>
      <c r="AK593" s="9" t="s">
        <v>102</v>
      </c>
      <c r="AL593" s="13">
        <f>IFERROR(INDEX('Balizador da Meta'!$D$3:$F$23,MATCH(Faturamento!$P593,'Balizador da Meta'!$C$3:$C$23,0),MATCH(Faturamento!AK593,'Balizador da Meta'!$D$2:$F$2,0)),"")</f>
        <v>0</v>
      </c>
      <c r="AM593" s="9"/>
    </row>
    <row r="594" spans="1:39" x14ac:dyDescent="0.3">
      <c r="A594" s="2" t="str">
        <f t="shared" si="614"/>
        <v>NÃO</v>
      </c>
      <c r="B594" s="2" t="str">
        <f>_xlfn.XLOOKUP($N594,'Base de Grupos'!$A:$A,'Base de Grupos'!$D:$D)</f>
        <v>1000065763</v>
      </c>
      <c r="C594" s="5" t="str">
        <f>_xlfn.XLOOKUP($N594,'Base de Grupos'!$A:$A,'Base de Grupos'!$E:$E)</f>
        <v>CANAL VENDA INTERNA</v>
      </c>
      <c r="D594" s="5" t="str">
        <f>_xlfn.XLOOKUP($N594,'Base de Grupos'!$A:$A,'Base de Grupos'!$F:$F)</f>
        <v>1000065763</v>
      </c>
      <c r="E594" s="2" t="str">
        <f>_xlfn.XLOOKUP($N594,'Base de Grupos'!$A:$A,'Base de Grupos'!$G:$G)</f>
        <v>CANAL VENDA INTERNA</v>
      </c>
      <c r="F594" s="2" t="str">
        <f>_xlfn.XLOOKUP($N594,'Base de Grupos'!$A:$A,'Base de Grupos'!$H:$H)</f>
        <v>1000153245</v>
      </c>
      <c r="G594" s="5" t="str">
        <f>_xlfn.XLOOKUP($N594,'Base de Grupos'!$A:$A,'Base de Grupos'!$I:$I)</f>
        <v>REGIONAL VENDA INTERNA - KEY ACCOUNT</v>
      </c>
      <c r="H594" s="5" t="str">
        <f>_xlfn.XLOOKUP($N594,'Base de Grupos'!$A:$A,'Base de Grupos'!$J:$J)</f>
        <v>1000153245</v>
      </c>
      <c r="I594" s="2" t="str">
        <f>_xlfn.XLOOKUP($N594,'Base de Grupos'!$A:$A,'Base de Grupos'!$K:$K)</f>
        <v>REGIONAL VENDA INTERNA - KEY ACCOUNT</v>
      </c>
      <c r="J594" s="2" t="str">
        <f>_xlfn.XLOOKUP($N594,'Base de Grupos'!$A:$A,'Base de Grupos'!$L:$L)</f>
        <v>1000153245</v>
      </c>
      <c r="K594" s="5" t="str">
        <f>_xlfn.XLOOKUP($N594,'Base de Grupos'!$A:$A,'Base de Grupos'!$M:$M)</f>
        <v>REGIONAL VENDA INTERNA - KEY ACCOUNT</v>
      </c>
      <c r="L594" s="5" t="str">
        <f t="shared" si="615"/>
        <v/>
      </c>
      <c r="M594" s="5" t="str">
        <f>_xlfn.XLOOKUP($N594,'Base de Grupos'!$A:$A,'Base de Grupos'!$C:$C)</f>
        <v>SC</v>
      </c>
      <c r="N594" s="3">
        <v>1432</v>
      </c>
      <c r="O594" s="4" t="s">
        <v>256</v>
      </c>
      <c r="P594" s="5" t="s">
        <v>94</v>
      </c>
      <c r="Q594" s="56">
        <v>0</v>
      </c>
      <c r="R594" s="56">
        <v>1470.3095435684643</v>
      </c>
      <c r="S594" s="56">
        <v>1470.3095435684643</v>
      </c>
      <c r="T594" s="56">
        <f>_xlfn.XLOOKUP($N594,'Calculo Leads'!$A$97:$A$134,'Calculo Leads'!G$97:G$134)*_xlfn.XLOOKUP($P594,'Base Grupo de Produtos'!$E$2:$E$18,'Base Grupo de Produtos'!$F$2:$F$18)</f>
        <v>399.99999999999994</v>
      </c>
      <c r="U594" s="56">
        <f>_xlfn.XLOOKUP($N594,'Calculo Leads'!$A$97:$A$134,'Calculo Leads'!H$97:H$134)*_xlfn.XLOOKUP($P594,'Base Grupo de Produtos'!$E$2:$E$18,'Base Grupo de Produtos'!$F$2:$F$18)</f>
        <v>449.99999999999994</v>
      </c>
      <c r="V594" s="56">
        <f>_xlfn.XLOOKUP($N594,'Calculo Leads'!$A$97:$A$134,'Calculo Leads'!I$97:I$134)*_xlfn.XLOOKUP($P594,'Base Grupo de Produtos'!$E$2:$E$18,'Base Grupo de Produtos'!$F$2:$F$18)</f>
        <v>550</v>
      </c>
      <c r="W594" s="56">
        <f>_xlfn.XLOOKUP($N594,'Calculo Leads'!$A$97:$A$134,'Calculo Leads'!J$97:J$134)*_xlfn.XLOOKUP($P594,'Base Grupo de Produtos'!$E$2:$E$18,'Base Grupo de Produtos'!$F$2:$F$18)</f>
        <v>699.99999999999989</v>
      </c>
      <c r="X594" s="56">
        <f>_xlfn.XLOOKUP($N594,'Calculo Leads'!$A$97:$A$134,'Calculo Leads'!K$97:K$134)*_xlfn.XLOOKUP($P594,'Base Grupo de Produtos'!$E$2:$E$18,'Base Grupo de Produtos'!$F$2:$F$18)</f>
        <v>879.99999999999989</v>
      </c>
      <c r="Y594" s="56">
        <f>_xlfn.XLOOKUP($N594,'Calculo Leads'!$A$97:$A$134,'Calculo Leads'!L$97:L$134)*_xlfn.XLOOKUP($P594,'Base Grupo de Produtos'!$E$2:$E$18,'Base Grupo de Produtos'!$F$2:$F$18)</f>
        <v>1100</v>
      </c>
      <c r="Z594" s="56">
        <f>_xlfn.XLOOKUP($N594,'Calculo Leads'!$A$97:$A$134,'Calculo Leads'!M$97:M$134)*_xlfn.XLOOKUP($P594,'Base Grupo de Produtos'!$E$2:$E$18,'Base Grupo de Produtos'!$F$2:$F$18)</f>
        <v>1155</v>
      </c>
      <c r="AA594" s="56">
        <f>_xlfn.XLOOKUP($N594,'Calculo Leads'!$A$97:$A$134,'Calculo Leads'!N$97:N$134)*_xlfn.XLOOKUP($P594,'Base Grupo de Produtos'!$E$2:$E$18,'Base Grupo de Produtos'!$F$2:$F$18)</f>
        <v>1320</v>
      </c>
      <c r="AB594" s="56">
        <f>_xlfn.XLOOKUP($N594,'Calculo Leads'!$A$97:$A$134,'Calculo Leads'!O$97:O$134)*_xlfn.XLOOKUP($P594,'Base Grupo de Produtos'!$E$2:$E$18,'Base Grupo de Produtos'!$F$2:$F$18)</f>
        <v>879.99999999999989</v>
      </c>
      <c r="AC594" s="61">
        <f t="shared" si="638"/>
        <v>7435</v>
      </c>
      <c r="AD594" s="27">
        <f t="shared" si="635"/>
        <v>7435</v>
      </c>
      <c r="AE594" s="25">
        <f>IFERROR(_xlfn.XLOOKUP(N594&amp;P594,'Historico Vendas'!G:G,'Historico Vendas'!E:E),0)</f>
        <v>0</v>
      </c>
      <c r="AF594" s="29" t="str">
        <f t="shared" si="613"/>
        <v/>
      </c>
      <c r="AG594" s="24">
        <f>IFERROR(_xlfn.XLOOKUP(N594&amp;P594,'Historico Vendas'!G:G,'Historico Vendas'!F:F),0)</f>
        <v>0</v>
      </c>
      <c r="AH594" s="25">
        <f t="shared" si="636"/>
        <v>2940.6190871369286</v>
      </c>
      <c r="AI594" s="24">
        <f t="shared" si="637"/>
        <v>2940.6190871369286</v>
      </c>
      <c r="AJ594" s="11">
        <f t="shared" si="619"/>
        <v>0</v>
      </c>
      <c r="AK594" s="9" t="s">
        <v>102</v>
      </c>
      <c r="AL594" s="13">
        <f>IFERROR(INDEX('Balizador da Meta'!$D$3:$F$23,MATCH(Faturamento!$P594,'Balizador da Meta'!$C$3:$C$23,0),MATCH(Faturamento!AK594,'Balizador da Meta'!$D$2:$F$2,0)),"")</f>
        <v>0.25</v>
      </c>
      <c r="AM594" s="9"/>
    </row>
    <row r="595" spans="1:39" x14ac:dyDescent="0.3">
      <c r="A595" s="2" t="str">
        <f t="shared" si="614"/>
        <v>NÃO</v>
      </c>
      <c r="B595" s="2" t="str">
        <f>_xlfn.XLOOKUP($N595,'Base de Grupos'!$A:$A,'Base de Grupos'!$D:$D)</f>
        <v>1000065763</v>
      </c>
      <c r="C595" s="5" t="str">
        <f>_xlfn.XLOOKUP($N595,'Base de Grupos'!$A:$A,'Base de Grupos'!$E:$E)</f>
        <v>CANAL VENDA INTERNA</v>
      </c>
      <c r="D595" s="5" t="str">
        <f>_xlfn.XLOOKUP($N595,'Base de Grupos'!$A:$A,'Base de Grupos'!$F:$F)</f>
        <v>1000065763</v>
      </c>
      <c r="E595" s="2" t="str">
        <f>_xlfn.XLOOKUP($N595,'Base de Grupos'!$A:$A,'Base de Grupos'!$G:$G)</f>
        <v>CANAL VENDA INTERNA</v>
      </c>
      <c r="F595" s="2" t="str">
        <f>_xlfn.XLOOKUP($N595,'Base de Grupos'!$A:$A,'Base de Grupos'!$H:$H)</f>
        <v>1000153245</v>
      </c>
      <c r="G595" s="5" t="str">
        <f>_xlfn.XLOOKUP($N595,'Base de Grupos'!$A:$A,'Base de Grupos'!$I:$I)</f>
        <v>REGIONAL VENDA INTERNA - KEY ACCOUNT</v>
      </c>
      <c r="H595" s="5" t="str">
        <f>_xlfn.XLOOKUP($N595,'Base de Grupos'!$A:$A,'Base de Grupos'!$J:$J)</f>
        <v>1000153245</v>
      </c>
      <c r="I595" s="2" t="str">
        <f>_xlfn.XLOOKUP($N595,'Base de Grupos'!$A:$A,'Base de Grupos'!$K:$K)</f>
        <v>REGIONAL VENDA INTERNA - KEY ACCOUNT</v>
      </c>
      <c r="J595" s="2" t="str">
        <f>_xlfn.XLOOKUP($N595,'Base de Grupos'!$A:$A,'Base de Grupos'!$L:$L)</f>
        <v>1000153245</v>
      </c>
      <c r="K595" s="5" t="str">
        <f>_xlfn.XLOOKUP($N595,'Base de Grupos'!$A:$A,'Base de Grupos'!$M:$M)</f>
        <v>REGIONAL VENDA INTERNA - KEY ACCOUNT</v>
      </c>
      <c r="L595" s="5" t="str">
        <f t="shared" si="615"/>
        <v/>
      </c>
      <c r="M595" s="5" t="str">
        <f>_xlfn.XLOOKUP($N595,'Base de Grupos'!$A:$A,'Base de Grupos'!$C:$C)</f>
        <v>SC</v>
      </c>
      <c r="N595" s="3">
        <v>1432</v>
      </c>
      <c r="O595" s="4" t="s">
        <v>256</v>
      </c>
      <c r="P595" s="5" t="s">
        <v>95</v>
      </c>
      <c r="Q595" s="56">
        <v>0</v>
      </c>
      <c r="R595" s="56">
        <v>2302.1240000000003</v>
      </c>
      <c r="S595" s="56">
        <v>2616.0500000000002</v>
      </c>
      <c r="T595" s="56">
        <f>_xlfn.XLOOKUP($N595,'Calculo Leads'!$A$97:$A$134,'Calculo Leads'!G$97:G$134)*_xlfn.XLOOKUP($P595,'Base Grupo de Produtos'!$E$2:$E$18,'Base Grupo de Produtos'!$F$2:$F$18)</f>
        <v>640</v>
      </c>
      <c r="U595" s="56">
        <f>_xlfn.XLOOKUP($N595,'Calculo Leads'!$A$97:$A$134,'Calculo Leads'!H$97:H$134)*_xlfn.XLOOKUP($P595,'Base Grupo de Produtos'!$E$2:$E$18,'Base Grupo de Produtos'!$F$2:$F$18)</f>
        <v>720</v>
      </c>
      <c r="V595" s="56">
        <f>_xlfn.XLOOKUP($N595,'Calculo Leads'!$A$97:$A$134,'Calculo Leads'!I$97:I$134)*_xlfn.XLOOKUP($P595,'Base Grupo de Produtos'!$E$2:$E$18,'Base Grupo de Produtos'!$F$2:$F$18)</f>
        <v>880</v>
      </c>
      <c r="W595" s="56">
        <f>_xlfn.XLOOKUP($N595,'Calculo Leads'!$A$97:$A$134,'Calculo Leads'!J$97:J$134)*_xlfn.XLOOKUP($P595,'Base Grupo de Produtos'!$E$2:$E$18,'Base Grupo de Produtos'!$F$2:$F$18)</f>
        <v>1120</v>
      </c>
      <c r="X595" s="56">
        <f>_xlfn.XLOOKUP($N595,'Calculo Leads'!$A$97:$A$134,'Calculo Leads'!K$97:K$134)*_xlfn.XLOOKUP($P595,'Base Grupo de Produtos'!$E$2:$E$18,'Base Grupo de Produtos'!$F$2:$F$18)</f>
        <v>1408</v>
      </c>
      <c r="Y595" s="56">
        <f>_xlfn.XLOOKUP($N595,'Calculo Leads'!$A$97:$A$134,'Calculo Leads'!L$97:L$134)*_xlfn.XLOOKUP($P595,'Base Grupo de Produtos'!$E$2:$E$18,'Base Grupo de Produtos'!$F$2:$F$18)</f>
        <v>1760</v>
      </c>
      <c r="Z595" s="56">
        <f>_xlfn.XLOOKUP($N595,'Calculo Leads'!$A$97:$A$134,'Calculo Leads'!M$97:M$134)*_xlfn.XLOOKUP($P595,'Base Grupo de Produtos'!$E$2:$E$18,'Base Grupo de Produtos'!$F$2:$F$18)</f>
        <v>1848</v>
      </c>
      <c r="AA595" s="56">
        <f>_xlfn.XLOOKUP($N595,'Calculo Leads'!$A$97:$A$134,'Calculo Leads'!N$97:N$134)*_xlfn.XLOOKUP($P595,'Base Grupo de Produtos'!$E$2:$E$18,'Base Grupo de Produtos'!$F$2:$F$18)</f>
        <v>2112</v>
      </c>
      <c r="AB595" s="56">
        <f>_xlfn.XLOOKUP($N595,'Calculo Leads'!$A$97:$A$134,'Calculo Leads'!O$97:O$134)*_xlfn.XLOOKUP($P595,'Base Grupo de Produtos'!$E$2:$E$18,'Base Grupo de Produtos'!$F$2:$F$18)</f>
        <v>1408</v>
      </c>
      <c r="AC595" s="61">
        <f t="shared" si="638"/>
        <v>11896</v>
      </c>
      <c r="AD595" s="27">
        <f t="shared" si="635"/>
        <v>11896</v>
      </c>
      <c r="AE595" s="25">
        <f>IFERROR(_xlfn.XLOOKUP(N595&amp;P595,'Historico Vendas'!G:G,'Historico Vendas'!E:E),0)</f>
        <v>0</v>
      </c>
      <c r="AF595" s="29" t="str">
        <f t="shared" si="613"/>
        <v/>
      </c>
      <c r="AG595" s="24">
        <f>IFERROR(_xlfn.XLOOKUP(N595&amp;P595,'Historico Vendas'!G:G,'Historico Vendas'!F:F),0)</f>
        <v>0</v>
      </c>
      <c r="AH595" s="25">
        <f t="shared" si="636"/>
        <v>4918.1740000000009</v>
      </c>
      <c r="AI595" s="24">
        <f t="shared" si="637"/>
        <v>4918.1740000000009</v>
      </c>
      <c r="AJ595" s="11">
        <f t="shared" si="619"/>
        <v>0</v>
      </c>
      <c r="AK595" s="9" t="s">
        <v>102</v>
      </c>
      <c r="AL595" s="13">
        <f>IFERROR(INDEX('Balizador da Meta'!$D$3:$F$23,MATCH(Faturamento!$P595,'Balizador da Meta'!$C$3:$C$23,0),MATCH(Faturamento!AK595,'Balizador da Meta'!$D$2:$F$2,0)),"")</f>
        <v>0.25</v>
      </c>
      <c r="AM595" s="9"/>
    </row>
    <row r="596" spans="1:39" x14ac:dyDescent="0.3">
      <c r="A596" s="2" t="str">
        <f t="shared" si="614"/>
        <v>NÃO</v>
      </c>
      <c r="B596" s="2" t="str">
        <f>_xlfn.XLOOKUP($N596,'Base de Grupos'!$A:$A,'Base de Grupos'!$D:$D)</f>
        <v>1000065763</v>
      </c>
      <c r="C596" s="5" t="str">
        <f>_xlfn.XLOOKUP($N596,'Base de Grupos'!$A:$A,'Base de Grupos'!$E:$E)</f>
        <v>CANAL VENDA INTERNA</v>
      </c>
      <c r="D596" s="5" t="str">
        <f>_xlfn.XLOOKUP($N596,'Base de Grupos'!$A:$A,'Base de Grupos'!$F:$F)</f>
        <v>1000065763</v>
      </c>
      <c r="E596" s="2" t="str">
        <f>_xlfn.XLOOKUP($N596,'Base de Grupos'!$A:$A,'Base de Grupos'!$G:$G)</f>
        <v>CANAL VENDA INTERNA</v>
      </c>
      <c r="F596" s="2" t="str">
        <f>_xlfn.XLOOKUP($N596,'Base de Grupos'!$A:$A,'Base de Grupos'!$H:$H)</f>
        <v>1000153245</v>
      </c>
      <c r="G596" s="5" t="str">
        <f>_xlfn.XLOOKUP($N596,'Base de Grupos'!$A:$A,'Base de Grupos'!$I:$I)</f>
        <v>REGIONAL VENDA INTERNA - KEY ACCOUNT</v>
      </c>
      <c r="H596" s="5" t="str">
        <f>_xlfn.XLOOKUP($N596,'Base de Grupos'!$A:$A,'Base de Grupos'!$J:$J)</f>
        <v>1000153245</v>
      </c>
      <c r="I596" s="2" t="str">
        <f>_xlfn.XLOOKUP($N596,'Base de Grupos'!$A:$A,'Base de Grupos'!$K:$K)</f>
        <v>REGIONAL VENDA INTERNA - KEY ACCOUNT</v>
      </c>
      <c r="J596" s="2" t="str">
        <f>_xlfn.XLOOKUP($N596,'Base de Grupos'!$A:$A,'Base de Grupos'!$L:$L)</f>
        <v>1000153245</v>
      </c>
      <c r="K596" s="5" t="str">
        <f>_xlfn.XLOOKUP($N596,'Base de Grupos'!$A:$A,'Base de Grupos'!$M:$M)</f>
        <v>REGIONAL VENDA INTERNA - KEY ACCOUNT</v>
      </c>
      <c r="L596" s="5" t="str">
        <f t="shared" si="615"/>
        <v/>
      </c>
      <c r="M596" s="5" t="str">
        <f>_xlfn.XLOOKUP($N596,'Base de Grupos'!$A:$A,'Base de Grupos'!$C:$C)</f>
        <v>SC</v>
      </c>
      <c r="N596" s="3">
        <v>1432</v>
      </c>
      <c r="O596" s="4" t="s">
        <v>256</v>
      </c>
      <c r="P596" s="5" t="s">
        <v>93</v>
      </c>
      <c r="Q596" s="56">
        <v>0</v>
      </c>
      <c r="R596" s="56">
        <v>585.97440000000006</v>
      </c>
      <c r="S596" s="56">
        <v>585.97440000000006</v>
      </c>
      <c r="T596" s="56">
        <f>_xlfn.XLOOKUP($N596,'Calculo Leads'!$A$97:$A$134,'Calculo Leads'!G$97:G$134)*_xlfn.XLOOKUP($P596,'Base Grupo de Produtos'!$E$2:$E$18,'Base Grupo de Produtos'!$F$2:$F$18)</f>
        <v>240</v>
      </c>
      <c r="U596" s="56">
        <f>_xlfn.XLOOKUP($N596,'Calculo Leads'!$A$97:$A$134,'Calculo Leads'!H$97:H$134)*_xlfn.XLOOKUP($P596,'Base Grupo de Produtos'!$E$2:$E$18,'Base Grupo de Produtos'!$F$2:$F$18)</f>
        <v>270</v>
      </c>
      <c r="V596" s="56">
        <f>_xlfn.XLOOKUP($N596,'Calculo Leads'!$A$97:$A$134,'Calculo Leads'!I$97:I$134)*_xlfn.XLOOKUP($P596,'Base Grupo de Produtos'!$E$2:$E$18,'Base Grupo de Produtos'!$F$2:$F$18)</f>
        <v>330</v>
      </c>
      <c r="W596" s="56">
        <f>_xlfn.XLOOKUP($N596,'Calculo Leads'!$A$97:$A$134,'Calculo Leads'!J$97:J$134)*_xlfn.XLOOKUP($P596,'Base Grupo de Produtos'!$E$2:$E$18,'Base Grupo de Produtos'!$F$2:$F$18)</f>
        <v>420</v>
      </c>
      <c r="X596" s="56">
        <f>_xlfn.XLOOKUP($N596,'Calculo Leads'!$A$97:$A$134,'Calculo Leads'!K$97:K$134)*_xlfn.XLOOKUP($P596,'Base Grupo de Produtos'!$E$2:$E$18,'Base Grupo de Produtos'!$F$2:$F$18)</f>
        <v>528</v>
      </c>
      <c r="Y596" s="56">
        <f>_xlfn.XLOOKUP($N596,'Calculo Leads'!$A$97:$A$134,'Calculo Leads'!L$97:L$134)*_xlfn.XLOOKUP($P596,'Base Grupo de Produtos'!$E$2:$E$18,'Base Grupo de Produtos'!$F$2:$F$18)</f>
        <v>660</v>
      </c>
      <c r="Z596" s="56">
        <f>_xlfn.XLOOKUP($N596,'Calculo Leads'!$A$97:$A$134,'Calculo Leads'!M$97:M$134)*_xlfn.XLOOKUP($P596,'Base Grupo de Produtos'!$E$2:$E$18,'Base Grupo de Produtos'!$F$2:$F$18)</f>
        <v>693</v>
      </c>
      <c r="AA596" s="56">
        <f>_xlfn.XLOOKUP($N596,'Calculo Leads'!$A$97:$A$134,'Calculo Leads'!N$97:N$134)*_xlfn.XLOOKUP($P596,'Base Grupo de Produtos'!$E$2:$E$18,'Base Grupo de Produtos'!$F$2:$F$18)</f>
        <v>792</v>
      </c>
      <c r="AB596" s="56">
        <f>_xlfn.XLOOKUP($N596,'Calculo Leads'!$A$97:$A$134,'Calculo Leads'!O$97:O$134)*_xlfn.XLOOKUP($P596,'Base Grupo de Produtos'!$E$2:$E$18,'Base Grupo de Produtos'!$F$2:$F$18)</f>
        <v>528</v>
      </c>
      <c r="AC596" s="61">
        <f t="shared" si="638"/>
        <v>4461</v>
      </c>
      <c r="AD596" s="27">
        <f t="shared" si="635"/>
        <v>4461</v>
      </c>
      <c r="AE596" s="25">
        <f>IFERROR(_xlfn.XLOOKUP(N596&amp;P596,'Historico Vendas'!G:G,'Historico Vendas'!E:E),0)</f>
        <v>0</v>
      </c>
      <c r="AF596" s="29" t="str">
        <f t="shared" si="613"/>
        <v/>
      </c>
      <c r="AG596" s="24">
        <f>IFERROR(_xlfn.XLOOKUP(N596&amp;P596,'Historico Vendas'!G:G,'Historico Vendas'!F:F),0)</f>
        <v>0</v>
      </c>
      <c r="AH596" s="25">
        <f t="shared" si="636"/>
        <v>1171.9488000000001</v>
      </c>
      <c r="AI596" s="24">
        <f t="shared" si="637"/>
        <v>1171.9488000000001</v>
      </c>
      <c r="AJ596" s="11">
        <f t="shared" si="619"/>
        <v>0</v>
      </c>
      <c r="AK596" s="9" t="s">
        <v>102</v>
      </c>
      <c r="AL596" s="13">
        <f>IFERROR(INDEX('Balizador da Meta'!$D$3:$F$23,MATCH(Faturamento!$P596,'Balizador da Meta'!$C$3:$C$23,0),MATCH(Faturamento!AK596,'Balizador da Meta'!$D$2:$F$2,0)),"")</f>
        <v>0.2</v>
      </c>
      <c r="AM596" s="9"/>
    </row>
    <row r="597" spans="1:39" x14ac:dyDescent="0.3">
      <c r="A597" s="2" t="str">
        <f t="shared" si="614"/>
        <v>SIM</v>
      </c>
      <c r="B597" s="2" t="str">
        <f>_xlfn.XLOOKUP($N597,'Base de Grupos'!$A:$A,'Base de Grupos'!$D:$D)</f>
        <v>1000065763</v>
      </c>
      <c r="C597" s="5" t="str">
        <f>_xlfn.XLOOKUP($N597,'Base de Grupos'!$A:$A,'Base de Grupos'!$E:$E)</f>
        <v>CANAL VENDA INTERNA</v>
      </c>
      <c r="D597" s="5" t="str">
        <f>_xlfn.XLOOKUP($N597,'Base de Grupos'!$A:$A,'Base de Grupos'!$F:$F)</f>
        <v>1000065763</v>
      </c>
      <c r="E597" s="2" t="str">
        <f>_xlfn.XLOOKUP($N597,'Base de Grupos'!$A:$A,'Base de Grupos'!$G:$G)</f>
        <v>CANAL VENDA INTERNA</v>
      </c>
      <c r="F597" s="2" t="str">
        <f>_xlfn.XLOOKUP($N597,'Base de Grupos'!$A:$A,'Base de Grupos'!$H:$H)</f>
        <v>1000153245</v>
      </c>
      <c r="G597" s="5" t="str">
        <f>_xlfn.XLOOKUP($N597,'Base de Grupos'!$A:$A,'Base de Grupos'!$I:$I)</f>
        <v>REGIONAL VENDA INTERNA - KEY ACCOUNT</v>
      </c>
      <c r="H597" s="5" t="str">
        <f>_xlfn.XLOOKUP($N597,'Base de Grupos'!$A:$A,'Base de Grupos'!$J:$J)</f>
        <v>1000153245</v>
      </c>
      <c r="I597" s="2" t="str">
        <f>_xlfn.XLOOKUP($N597,'Base de Grupos'!$A:$A,'Base de Grupos'!$K:$K)</f>
        <v>REGIONAL VENDA INTERNA - KEY ACCOUNT</v>
      </c>
      <c r="J597" s="2" t="str">
        <f>_xlfn.XLOOKUP($N597,'Base de Grupos'!$A:$A,'Base de Grupos'!$L:$L)</f>
        <v>1000153245</v>
      </c>
      <c r="K597" s="5" t="str">
        <f>_xlfn.XLOOKUP($N597,'Base de Grupos'!$A:$A,'Base de Grupos'!$M:$M)</f>
        <v>REGIONAL VENDA INTERNA - KEY ACCOUNT</v>
      </c>
      <c r="L597" s="5">
        <f t="shared" si="615"/>
        <v>1</v>
      </c>
      <c r="M597" s="5" t="str">
        <f>_xlfn.XLOOKUP($N597,'Base de Grupos'!$A:$A,'Base de Grupos'!$C:$C)</f>
        <v>RJ</v>
      </c>
      <c r="N597" s="3">
        <v>1433</v>
      </c>
      <c r="O597" s="4" t="s">
        <v>257</v>
      </c>
      <c r="P597" s="5" t="s">
        <v>327</v>
      </c>
      <c r="Q597" s="56">
        <f t="shared" ref="Q597" si="639">SUM(Q598:Q614)</f>
        <v>0</v>
      </c>
      <c r="R597" s="56">
        <f t="shared" ref="R597" si="640">SUM(R598:R614)</f>
        <v>10568.294327098127</v>
      </c>
      <c r="S597" s="56">
        <f t="shared" ref="S597" si="641">SUM(S598:S614)</f>
        <v>12029.078970466311</v>
      </c>
      <c r="T597" s="56">
        <f t="shared" ref="T597" si="642">SUM(T598:T614)</f>
        <v>1000</v>
      </c>
      <c r="U597" s="56">
        <f t="shared" ref="U597" si="643">SUM(U598:U614)</f>
        <v>1000</v>
      </c>
      <c r="V597" s="56">
        <f t="shared" ref="V597" si="644">SUM(V598:V614)</f>
        <v>1000</v>
      </c>
      <c r="W597" s="56">
        <f t="shared" ref="W597" si="645">SUM(W598:W614)</f>
        <v>1000</v>
      </c>
      <c r="X597" s="56">
        <f t="shared" ref="X597" si="646">SUM(X598:X614)</f>
        <v>2200</v>
      </c>
      <c r="Y597" s="56">
        <f t="shared" ref="Y597" si="647">SUM(Y598:Y614)</f>
        <v>2200</v>
      </c>
      <c r="Z597" s="56">
        <f t="shared" ref="Z597" si="648">SUM(Z598:Z614)</f>
        <v>2200</v>
      </c>
      <c r="AA597" s="56">
        <f t="shared" ref="AA597" si="649">SUM(AA598:AA614)</f>
        <v>2200</v>
      </c>
      <c r="AB597" s="56">
        <f t="shared" ref="AB597" si="650">SUM(AB598:AB614)</f>
        <v>2200</v>
      </c>
      <c r="AC597" s="56">
        <f t="shared" ref="AC597" si="651">SUM(AC598:AC614)</f>
        <v>15000</v>
      </c>
      <c r="AD597" s="25">
        <f t="shared" ref="AD597" si="652">SUM(AD598:AD614)</f>
        <v>15000</v>
      </c>
      <c r="AE597" s="25">
        <f t="shared" ref="AE597:AI597" si="653">SUM(AE598:AE614)</f>
        <v>0</v>
      </c>
      <c r="AF597" s="11" t="str">
        <f t="shared" si="613"/>
        <v/>
      </c>
      <c r="AG597" s="24">
        <f t="shared" si="653"/>
        <v>0</v>
      </c>
      <c r="AH597" s="25">
        <f t="shared" si="653"/>
        <v>22597.373297564438</v>
      </c>
      <c r="AI597" s="24">
        <f t="shared" si="653"/>
        <v>22597.373297564438</v>
      </c>
      <c r="AJ597" s="11">
        <f t="shared" si="619"/>
        <v>0</v>
      </c>
      <c r="AK597" s="9"/>
      <c r="AL597" s="13"/>
      <c r="AM597" s="9"/>
    </row>
    <row r="598" spans="1:39" x14ac:dyDescent="0.3">
      <c r="A598" s="2" t="str">
        <f t="shared" si="614"/>
        <v>NÃO</v>
      </c>
      <c r="B598" s="2" t="str">
        <f>_xlfn.XLOOKUP($N598,'Base de Grupos'!$A:$A,'Base de Grupos'!$D:$D)</f>
        <v>1000065763</v>
      </c>
      <c r="C598" s="5" t="str">
        <f>_xlfn.XLOOKUP($N598,'Base de Grupos'!$A:$A,'Base de Grupos'!$E:$E)</f>
        <v>CANAL VENDA INTERNA</v>
      </c>
      <c r="D598" s="5" t="str">
        <f>_xlfn.XLOOKUP($N598,'Base de Grupos'!$A:$A,'Base de Grupos'!$F:$F)</f>
        <v>1000065763</v>
      </c>
      <c r="E598" s="2" t="str">
        <f>_xlfn.XLOOKUP($N598,'Base de Grupos'!$A:$A,'Base de Grupos'!$G:$G)</f>
        <v>CANAL VENDA INTERNA</v>
      </c>
      <c r="F598" s="2" t="str">
        <f>_xlfn.XLOOKUP($N598,'Base de Grupos'!$A:$A,'Base de Grupos'!$H:$H)</f>
        <v>1000153245</v>
      </c>
      <c r="G598" s="5" t="str">
        <f>_xlfn.XLOOKUP($N598,'Base de Grupos'!$A:$A,'Base de Grupos'!$I:$I)</f>
        <v>REGIONAL VENDA INTERNA - KEY ACCOUNT</v>
      </c>
      <c r="H598" s="5" t="str">
        <f>_xlfn.XLOOKUP($N598,'Base de Grupos'!$A:$A,'Base de Grupos'!$J:$J)</f>
        <v>1000153245</v>
      </c>
      <c r="I598" s="2" t="str">
        <f>_xlfn.XLOOKUP($N598,'Base de Grupos'!$A:$A,'Base de Grupos'!$K:$K)</f>
        <v>REGIONAL VENDA INTERNA - KEY ACCOUNT</v>
      </c>
      <c r="J598" s="2" t="str">
        <f>_xlfn.XLOOKUP($N598,'Base de Grupos'!$A:$A,'Base de Grupos'!$L:$L)</f>
        <v>1000153245</v>
      </c>
      <c r="K598" s="5" t="str">
        <f>_xlfn.XLOOKUP($N598,'Base de Grupos'!$A:$A,'Base de Grupos'!$M:$M)</f>
        <v>REGIONAL VENDA INTERNA - KEY ACCOUNT</v>
      </c>
      <c r="L598" s="5" t="str">
        <f t="shared" si="615"/>
        <v/>
      </c>
      <c r="M598" s="5" t="str">
        <f>_xlfn.XLOOKUP($N598,'Base de Grupos'!$A:$A,'Base de Grupos'!$C:$C)</f>
        <v>RJ</v>
      </c>
      <c r="N598" s="3">
        <v>1433</v>
      </c>
      <c r="O598" s="4" t="s">
        <v>257</v>
      </c>
      <c r="P598" s="5" t="s">
        <v>81</v>
      </c>
      <c r="Q598" s="56">
        <v>0</v>
      </c>
      <c r="R598" s="56">
        <v>404.3886056291048</v>
      </c>
      <c r="S598" s="56">
        <v>505.48575703638102</v>
      </c>
      <c r="T598" s="56">
        <f>_xlfn.XLOOKUP($N598,'Calculo Leads'!$A$97:$A$134,'Calculo Leads'!G$97:G$134)*_xlfn.XLOOKUP($P598,'Base Grupo de Produtos'!$E$2:$E$18,'Base Grupo de Produtos'!$F$2:$F$18)</f>
        <v>50</v>
      </c>
      <c r="U598" s="56">
        <f>_xlfn.XLOOKUP($N598,'Calculo Leads'!$A$97:$A$134,'Calculo Leads'!H$97:H$134)*_xlfn.XLOOKUP($P598,'Base Grupo de Produtos'!$E$2:$E$18,'Base Grupo de Produtos'!$F$2:$F$18)</f>
        <v>50</v>
      </c>
      <c r="V598" s="56">
        <f>_xlfn.XLOOKUP($N598,'Calculo Leads'!$A$97:$A$134,'Calculo Leads'!I$97:I$134)*_xlfn.XLOOKUP($P598,'Base Grupo de Produtos'!$E$2:$E$18,'Base Grupo de Produtos'!$F$2:$F$18)</f>
        <v>50</v>
      </c>
      <c r="W598" s="56">
        <f>_xlfn.XLOOKUP($N598,'Calculo Leads'!$A$97:$A$134,'Calculo Leads'!J$97:J$134)*_xlfn.XLOOKUP($P598,'Base Grupo de Produtos'!$E$2:$E$18,'Base Grupo de Produtos'!$F$2:$F$18)</f>
        <v>50</v>
      </c>
      <c r="X598" s="56">
        <f>_xlfn.XLOOKUP($N598,'Calculo Leads'!$A$97:$A$134,'Calculo Leads'!K$97:K$134)*_xlfn.XLOOKUP($P598,'Base Grupo de Produtos'!$E$2:$E$18,'Base Grupo de Produtos'!$F$2:$F$18)</f>
        <v>110</v>
      </c>
      <c r="Y598" s="56">
        <f>_xlfn.XLOOKUP($N598,'Calculo Leads'!$A$97:$A$134,'Calculo Leads'!L$97:L$134)*_xlfn.XLOOKUP($P598,'Base Grupo de Produtos'!$E$2:$E$18,'Base Grupo de Produtos'!$F$2:$F$18)</f>
        <v>110</v>
      </c>
      <c r="Z598" s="56">
        <f>_xlfn.XLOOKUP($N598,'Calculo Leads'!$A$97:$A$134,'Calculo Leads'!M$97:M$134)*_xlfn.XLOOKUP($P598,'Base Grupo de Produtos'!$E$2:$E$18,'Base Grupo de Produtos'!$F$2:$F$18)</f>
        <v>110</v>
      </c>
      <c r="AA598" s="56">
        <f>_xlfn.XLOOKUP($N598,'Calculo Leads'!$A$97:$A$134,'Calculo Leads'!N$97:N$134)*_xlfn.XLOOKUP($P598,'Base Grupo de Produtos'!$E$2:$E$18,'Base Grupo de Produtos'!$F$2:$F$18)</f>
        <v>110</v>
      </c>
      <c r="AB598" s="56">
        <f>_xlfn.XLOOKUP($N598,'Calculo Leads'!$A$97:$A$134,'Calculo Leads'!O$97:O$134)*_xlfn.XLOOKUP($P598,'Base Grupo de Produtos'!$E$2:$E$18,'Base Grupo de Produtos'!$F$2:$F$18)</f>
        <v>110</v>
      </c>
      <c r="AC598" s="61">
        <f t="shared" si="638"/>
        <v>750</v>
      </c>
      <c r="AD598" s="27">
        <f t="shared" ref="AD598:AD614" si="654">IF(AC598=0,0,AC598-AG598)</f>
        <v>750</v>
      </c>
      <c r="AE598" s="25">
        <f>IFERROR(_xlfn.XLOOKUP(N598&amp;P598,'Historico Vendas'!G:G,'Historico Vendas'!E:E),0)</f>
        <v>0</v>
      </c>
      <c r="AF598" s="29" t="str">
        <f t="shared" si="613"/>
        <v/>
      </c>
      <c r="AG598" s="24">
        <f>IFERROR(_xlfn.XLOOKUP(N598&amp;P598,'Historico Vendas'!G:G,'Historico Vendas'!F:F),0)</f>
        <v>0</v>
      </c>
      <c r="AH598" s="25">
        <f t="shared" ref="AH598:AH614" si="655">SUM(Q598:S598)</f>
        <v>909.87436266548582</v>
      </c>
      <c r="AI598" s="24">
        <f t="shared" ref="AI598:AI614" si="656">AH598-AG598</f>
        <v>909.87436266548582</v>
      </c>
      <c r="AJ598" s="11">
        <f t="shared" si="619"/>
        <v>0</v>
      </c>
      <c r="AK598" s="9" t="s">
        <v>102</v>
      </c>
      <c r="AL598" s="13">
        <f>IFERROR(INDEX('Balizador da Meta'!$D$3:$F$23,MATCH(Faturamento!$P598,'Balizador da Meta'!$C$3:$C$23,0),MATCH(Faturamento!AK598,'Balizador da Meta'!$D$2:$F$2,0)),"")</f>
        <v>0.2</v>
      </c>
      <c r="AM598" s="9"/>
    </row>
    <row r="599" spans="1:39" x14ac:dyDescent="0.3">
      <c r="A599" s="2" t="str">
        <f t="shared" si="614"/>
        <v>NÃO</v>
      </c>
      <c r="B599" s="2" t="str">
        <f>_xlfn.XLOOKUP($N599,'Base de Grupos'!$A:$A,'Base de Grupos'!$D:$D)</f>
        <v>1000065763</v>
      </c>
      <c r="C599" s="5" t="str">
        <f>_xlfn.XLOOKUP($N599,'Base de Grupos'!$A:$A,'Base de Grupos'!$E:$E)</f>
        <v>CANAL VENDA INTERNA</v>
      </c>
      <c r="D599" s="5" t="str">
        <f>_xlfn.XLOOKUP($N599,'Base de Grupos'!$A:$A,'Base de Grupos'!$F:$F)</f>
        <v>1000065763</v>
      </c>
      <c r="E599" s="2" t="str">
        <f>_xlfn.XLOOKUP($N599,'Base de Grupos'!$A:$A,'Base de Grupos'!$G:$G)</f>
        <v>CANAL VENDA INTERNA</v>
      </c>
      <c r="F599" s="2" t="str">
        <f>_xlfn.XLOOKUP($N599,'Base de Grupos'!$A:$A,'Base de Grupos'!$H:$H)</f>
        <v>1000153245</v>
      </c>
      <c r="G599" s="5" t="str">
        <f>_xlfn.XLOOKUP($N599,'Base de Grupos'!$A:$A,'Base de Grupos'!$I:$I)</f>
        <v>REGIONAL VENDA INTERNA - KEY ACCOUNT</v>
      </c>
      <c r="H599" s="5" t="str">
        <f>_xlfn.XLOOKUP($N599,'Base de Grupos'!$A:$A,'Base de Grupos'!$J:$J)</f>
        <v>1000153245</v>
      </c>
      <c r="I599" s="2" t="str">
        <f>_xlfn.XLOOKUP($N599,'Base de Grupos'!$A:$A,'Base de Grupos'!$K:$K)</f>
        <v>REGIONAL VENDA INTERNA - KEY ACCOUNT</v>
      </c>
      <c r="J599" s="2" t="str">
        <f>_xlfn.XLOOKUP($N599,'Base de Grupos'!$A:$A,'Base de Grupos'!$L:$L)</f>
        <v>1000153245</v>
      </c>
      <c r="K599" s="5" t="str">
        <f>_xlfn.XLOOKUP($N599,'Base de Grupos'!$A:$A,'Base de Grupos'!$M:$M)</f>
        <v>REGIONAL VENDA INTERNA - KEY ACCOUNT</v>
      </c>
      <c r="L599" s="5" t="str">
        <f t="shared" si="615"/>
        <v/>
      </c>
      <c r="M599" s="5" t="str">
        <f>_xlfn.XLOOKUP($N599,'Base de Grupos'!$A:$A,'Base de Grupos'!$C:$C)</f>
        <v>RJ</v>
      </c>
      <c r="N599" s="3">
        <v>1433</v>
      </c>
      <c r="O599" s="4" t="s">
        <v>257</v>
      </c>
      <c r="P599" s="5" t="s">
        <v>82</v>
      </c>
      <c r="Q599" s="56">
        <v>0</v>
      </c>
      <c r="R599" s="56">
        <v>2462.0564928909953</v>
      </c>
      <c r="S599" s="56">
        <v>2872.3992417061613</v>
      </c>
      <c r="T599" s="56">
        <f>_xlfn.XLOOKUP($N599,'Calculo Leads'!$A$97:$A$134,'Calculo Leads'!G$97:G$134)*_xlfn.XLOOKUP($P599,'Base Grupo de Produtos'!$E$2:$E$18,'Base Grupo de Produtos'!$F$2:$F$18)</f>
        <v>50</v>
      </c>
      <c r="U599" s="56">
        <f>_xlfn.XLOOKUP($N599,'Calculo Leads'!$A$97:$A$134,'Calculo Leads'!H$97:H$134)*_xlfn.XLOOKUP($P599,'Base Grupo de Produtos'!$E$2:$E$18,'Base Grupo de Produtos'!$F$2:$F$18)</f>
        <v>50</v>
      </c>
      <c r="V599" s="56">
        <f>_xlfn.XLOOKUP($N599,'Calculo Leads'!$A$97:$A$134,'Calculo Leads'!I$97:I$134)*_xlfn.XLOOKUP($P599,'Base Grupo de Produtos'!$E$2:$E$18,'Base Grupo de Produtos'!$F$2:$F$18)</f>
        <v>50</v>
      </c>
      <c r="W599" s="56">
        <f>_xlfn.XLOOKUP($N599,'Calculo Leads'!$A$97:$A$134,'Calculo Leads'!J$97:J$134)*_xlfn.XLOOKUP($P599,'Base Grupo de Produtos'!$E$2:$E$18,'Base Grupo de Produtos'!$F$2:$F$18)</f>
        <v>50</v>
      </c>
      <c r="X599" s="56">
        <f>_xlfn.XLOOKUP($N599,'Calculo Leads'!$A$97:$A$134,'Calculo Leads'!K$97:K$134)*_xlfn.XLOOKUP($P599,'Base Grupo de Produtos'!$E$2:$E$18,'Base Grupo de Produtos'!$F$2:$F$18)</f>
        <v>110</v>
      </c>
      <c r="Y599" s="56">
        <f>_xlfn.XLOOKUP($N599,'Calculo Leads'!$A$97:$A$134,'Calculo Leads'!L$97:L$134)*_xlfn.XLOOKUP($P599,'Base Grupo de Produtos'!$E$2:$E$18,'Base Grupo de Produtos'!$F$2:$F$18)</f>
        <v>110</v>
      </c>
      <c r="Z599" s="56">
        <f>_xlfn.XLOOKUP($N599,'Calculo Leads'!$A$97:$A$134,'Calculo Leads'!M$97:M$134)*_xlfn.XLOOKUP($P599,'Base Grupo de Produtos'!$E$2:$E$18,'Base Grupo de Produtos'!$F$2:$F$18)</f>
        <v>110</v>
      </c>
      <c r="AA599" s="56">
        <f>_xlfn.XLOOKUP($N599,'Calculo Leads'!$A$97:$A$134,'Calculo Leads'!N$97:N$134)*_xlfn.XLOOKUP($P599,'Base Grupo de Produtos'!$E$2:$E$18,'Base Grupo de Produtos'!$F$2:$F$18)</f>
        <v>110</v>
      </c>
      <c r="AB599" s="56">
        <f>_xlfn.XLOOKUP($N599,'Calculo Leads'!$A$97:$A$134,'Calculo Leads'!O$97:O$134)*_xlfn.XLOOKUP($P599,'Base Grupo de Produtos'!$E$2:$E$18,'Base Grupo de Produtos'!$F$2:$F$18)</f>
        <v>110</v>
      </c>
      <c r="AC599" s="61">
        <f t="shared" si="638"/>
        <v>750</v>
      </c>
      <c r="AD599" s="27">
        <f t="shared" si="654"/>
        <v>750</v>
      </c>
      <c r="AE599" s="25">
        <f>IFERROR(_xlfn.XLOOKUP(N599&amp;P599,'Historico Vendas'!G:G,'Historico Vendas'!E:E),0)</f>
        <v>0</v>
      </c>
      <c r="AF599" s="29" t="str">
        <f t="shared" si="613"/>
        <v/>
      </c>
      <c r="AG599" s="24">
        <f>IFERROR(_xlfn.XLOOKUP(N599&amp;P599,'Historico Vendas'!G:G,'Historico Vendas'!F:F),0)</f>
        <v>0</v>
      </c>
      <c r="AH599" s="25">
        <f t="shared" si="655"/>
        <v>5334.4557345971571</v>
      </c>
      <c r="AI599" s="24">
        <f t="shared" si="656"/>
        <v>5334.4557345971571</v>
      </c>
      <c r="AJ599" s="11">
        <f t="shared" si="619"/>
        <v>0</v>
      </c>
      <c r="AK599" s="9" t="s">
        <v>102</v>
      </c>
      <c r="AL599" s="13">
        <f>IFERROR(INDEX('Balizador da Meta'!$D$3:$F$23,MATCH(Faturamento!$P599,'Balizador da Meta'!$C$3:$C$23,0),MATCH(Faturamento!AK599,'Balizador da Meta'!$D$2:$F$2,0)),"")</f>
        <v>0.2</v>
      </c>
      <c r="AM599" s="9"/>
    </row>
    <row r="600" spans="1:39" x14ac:dyDescent="0.3">
      <c r="A600" s="2" t="str">
        <f t="shared" si="614"/>
        <v>NÃO</v>
      </c>
      <c r="B600" s="2" t="str">
        <f>_xlfn.XLOOKUP($N600,'Base de Grupos'!$A:$A,'Base de Grupos'!$D:$D)</f>
        <v>1000065763</v>
      </c>
      <c r="C600" s="5" t="str">
        <f>_xlfn.XLOOKUP($N600,'Base de Grupos'!$A:$A,'Base de Grupos'!$E:$E)</f>
        <v>CANAL VENDA INTERNA</v>
      </c>
      <c r="D600" s="5" t="str">
        <f>_xlfn.XLOOKUP($N600,'Base de Grupos'!$A:$A,'Base de Grupos'!$F:$F)</f>
        <v>1000065763</v>
      </c>
      <c r="E600" s="2" t="str">
        <f>_xlfn.XLOOKUP($N600,'Base de Grupos'!$A:$A,'Base de Grupos'!$G:$G)</f>
        <v>CANAL VENDA INTERNA</v>
      </c>
      <c r="F600" s="2" t="str">
        <f>_xlfn.XLOOKUP($N600,'Base de Grupos'!$A:$A,'Base de Grupos'!$H:$H)</f>
        <v>1000153245</v>
      </c>
      <c r="G600" s="5" t="str">
        <f>_xlfn.XLOOKUP($N600,'Base de Grupos'!$A:$A,'Base de Grupos'!$I:$I)</f>
        <v>REGIONAL VENDA INTERNA - KEY ACCOUNT</v>
      </c>
      <c r="H600" s="5" t="str">
        <f>_xlfn.XLOOKUP($N600,'Base de Grupos'!$A:$A,'Base de Grupos'!$J:$J)</f>
        <v>1000153245</v>
      </c>
      <c r="I600" s="2" t="str">
        <f>_xlfn.XLOOKUP($N600,'Base de Grupos'!$A:$A,'Base de Grupos'!$K:$K)</f>
        <v>REGIONAL VENDA INTERNA - KEY ACCOUNT</v>
      </c>
      <c r="J600" s="2" t="str">
        <f>_xlfn.XLOOKUP($N600,'Base de Grupos'!$A:$A,'Base de Grupos'!$L:$L)</f>
        <v>1000153245</v>
      </c>
      <c r="K600" s="5" t="str">
        <f>_xlfn.XLOOKUP($N600,'Base de Grupos'!$A:$A,'Base de Grupos'!$M:$M)</f>
        <v>REGIONAL VENDA INTERNA - KEY ACCOUNT</v>
      </c>
      <c r="L600" s="5" t="str">
        <f t="shared" si="615"/>
        <v/>
      </c>
      <c r="M600" s="5" t="str">
        <f>_xlfn.XLOOKUP($N600,'Base de Grupos'!$A:$A,'Base de Grupos'!$C:$C)</f>
        <v>RJ</v>
      </c>
      <c r="N600" s="3">
        <v>1433</v>
      </c>
      <c r="O600" s="4" t="s">
        <v>257</v>
      </c>
      <c r="P600" s="5" t="s">
        <v>84</v>
      </c>
      <c r="Q600" s="56">
        <v>0</v>
      </c>
      <c r="R600" s="56">
        <v>441.5151111111112</v>
      </c>
      <c r="S600" s="56">
        <v>551.89388888888902</v>
      </c>
      <c r="T600" s="56">
        <f>_xlfn.XLOOKUP($N600,'Calculo Leads'!$A$97:$A$134,'Calculo Leads'!G$97:G$134)*_xlfn.XLOOKUP($P600,'Base Grupo de Produtos'!$E$2:$E$18,'Base Grupo de Produtos'!$F$2:$F$18)</f>
        <v>80</v>
      </c>
      <c r="U600" s="56">
        <f>_xlfn.XLOOKUP($N600,'Calculo Leads'!$A$97:$A$134,'Calculo Leads'!H$97:H$134)*_xlfn.XLOOKUP($P600,'Base Grupo de Produtos'!$E$2:$E$18,'Base Grupo de Produtos'!$F$2:$F$18)</f>
        <v>80</v>
      </c>
      <c r="V600" s="56">
        <f>_xlfn.XLOOKUP($N600,'Calculo Leads'!$A$97:$A$134,'Calculo Leads'!I$97:I$134)*_xlfn.XLOOKUP($P600,'Base Grupo de Produtos'!$E$2:$E$18,'Base Grupo de Produtos'!$F$2:$F$18)</f>
        <v>80</v>
      </c>
      <c r="W600" s="56">
        <f>_xlfn.XLOOKUP($N600,'Calculo Leads'!$A$97:$A$134,'Calculo Leads'!J$97:J$134)*_xlfn.XLOOKUP($P600,'Base Grupo de Produtos'!$E$2:$E$18,'Base Grupo de Produtos'!$F$2:$F$18)</f>
        <v>80</v>
      </c>
      <c r="X600" s="56">
        <f>_xlfn.XLOOKUP($N600,'Calculo Leads'!$A$97:$A$134,'Calculo Leads'!K$97:K$134)*_xlfn.XLOOKUP($P600,'Base Grupo de Produtos'!$E$2:$E$18,'Base Grupo de Produtos'!$F$2:$F$18)</f>
        <v>176</v>
      </c>
      <c r="Y600" s="56">
        <f>_xlfn.XLOOKUP($N600,'Calculo Leads'!$A$97:$A$134,'Calculo Leads'!L$97:L$134)*_xlfn.XLOOKUP($P600,'Base Grupo de Produtos'!$E$2:$E$18,'Base Grupo de Produtos'!$F$2:$F$18)</f>
        <v>176</v>
      </c>
      <c r="Z600" s="56">
        <f>_xlfn.XLOOKUP($N600,'Calculo Leads'!$A$97:$A$134,'Calculo Leads'!M$97:M$134)*_xlfn.XLOOKUP($P600,'Base Grupo de Produtos'!$E$2:$E$18,'Base Grupo de Produtos'!$F$2:$F$18)</f>
        <v>176</v>
      </c>
      <c r="AA600" s="56">
        <f>_xlfn.XLOOKUP($N600,'Calculo Leads'!$A$97:$A$134,'Calculo Leads'!N$97:N$134)*_xlfn.XLOOKUP($P600,'Base Grupo de Produtos'!$E$2:$E$18,'Base Grupo de Produtos'!$F$2:$F$18)</f>
        <v>176</v>
      </c>
      <c r="AB600" s="56">
        <f>_xlfn.XLOOKUP($N600,'Calculo Leads'!$A$97:$A$134,'Calculo Leads'!O$97:O$134)*_xlfn.XLOOKUP($P600,'Base Grupo de Produtos'!$E$2:$E$18,'Base Grupo de Produtos'!$F$2:$F$18)</f>
        <v>176</v>
      </c>
      <c r="AC600" s="61">
        <f t="shared" si="638"/>
        <v>1200</v>
      </c>
      <c r="AD600" s="27">
        <f t="shared" si="654"/>
        <v>1200</v>
      </c>
      <c r="AE600" s="25">
        <f>IFERROR(_xlfn.XLOOKUP(N600&amp;P600,'Historico Vendas'!G:G,'Historico Vendas'!E:E),0)</f>
        <v>0</v>
      </c>
      <c r="AF600" s="29" t="str">
        <f t="shared" si="613"/>
        <v/>
      </c>
      <c r="AG600" s="24">
        <f>IFERROR(_xlfn.XLOOKUP(N600&amp;P600,'Historico Vendas'!G:G,'Historico Vendas'!F:F),0)</f>
        <v>0</v>
      </c>
      <c r="AH600" s="25">
        <f t="shared" si="655"/>
        <v>993.40900000000022</v>
      </c>
      <c r="AI600" s="24">
        <f t="shared" si="656"/>
        <v>993.40900000000022</v>
      </c>
      <c r="AJ600" s="11">
        <f t="shared" si="619"/>
        <v>0</v>
      </c>
      <c r="AK600" s="9" t="s">
        <v>102</v>
      </c>
      <c r="AL600" s="13">
        <f>IFERROR(INDEX('Balizador da Meta'!$D$3:$F$23,MATCH(Faturamento!$P600,'Balizador da Meta'!$C$3:$C$23,0),MATCH(Faturamento!AK600,'Balizador da Meta'!$D$2:$F$2,0)),"")</f>
        <v>0.15</v>
      </c>
      <c r="AM600" s="9"/>
    </row>
    <row r="601" spans="1:39" x14ac:dyDescent="0.3">
      <c r="A601" s="2" t="str">
        <f t="shared" si="614"/>
        <v>NÃO</v>
      </c>
      <c r="B601" s="2" t="str">
        <f>_xlfn.XLOOKUP($N601,'Base de Grupos'!$A:$A,'Base de Grupos'!$D:$D)</f>
        <v>1000065763</v>
      </c>
      <c r="C601" s="5" t="str">
        <f>_xlfn.XLOOKUP($N601,'Base de Grupos'!$A:$A,'Base de Grupos'!$E:$E)</f>
        <v>CANAL VENDA INTERNA</v>
      </c>
      <c r="D601" s="5" t="str">
        <f>_xlfn.XLOOKUP($N601,'Base de Grupos'!$A:$A,'Base de Grupos'!$F:$F)</f>
        <v>1000065763</v>
      </c>
      <c r="E601" s="2" t="str">
        <f>_xlfn.XLOOKUP($N601,'Base de Grupos'!$A:$A,'Base de Grupos'!$G:$G)</f>
        <v>CANAL VENDA INTERNA</v>
      </c>
      <c r="F601" s="2" t="str">
        <f>_xlfn.XLOOKUP($N601,'Base de Grupos'!$A:$A,'Base de Grupos'!$H:$H)</f>
        <v>1000153245</v>
      </c>
      <c r="G601" s="5" t="str">
        <f>_xlfn.XLOOKUP($N601,'Base de Grupos'!$A:$A,'Base de Grupos'!$I:$I)</f>
        <v>REGIONAL VENDA INTERNA - KEY ACCOUNT</v>
      </c>
      <c r="H601" s="5" t="str">
        <f>_xlfn.XLOOKUP($N601,'Base de Grupos'!$A:$A,'Base de Grupos'!$J:$J)</f>
        <v>1000153245</v>
      </c>
      <c r="I601" s="2" t="str">
        <f>_xlfn.XLOOKUP($N601,'Base de Grupos'!$A:$A,'Base de Grupos'!$K:$K)</f>
        <v>REGIONAL VENDA INTERNA - KEY ACCOUNT</v>
      </c>
      <c r="J601" s="2" t="str">
        <f>_xlfn.XLOOKUP($N601,'Base de Grupos'!$A:$A,'Base de Grupos'!$L:$L)</f>
        <v>1000153245</v>
      </c>
      <c r="K601" s="5" t="str">
        <f>_xlfn.XLOOKUP($N601,'Base de Grupos'!$A:$A,'Base de Grupos'!$M:$M)</f>
        <v>REGIONAL VENDA INTERNA - KEY ACCOUNT</v>
      </c>
      <c r="L601" s="5" t="str">
        <f t="shared" si="615"/>
        <v/>
      </c>
      <c r="M601" s="5" t="str">
        <f>_xlfn.XLOOKUP($N601,'Base de Grupos'!$A:$A,'Base de Grupos'!$C:$C)</f>
        <v>RJ</v>
      </c>
      <c r="N601" s="3">
        <v>1433</v>
      </c>
      <c r="O601" s="4" t="s">
        <v>257</v>
      </c>
      <c r="P601" s="5" t="s">
        <v>83</v>
      </c>
      <c r="Q601" s="56">
        <v>0</v>
      </c>
      <c r="R601" s="56">
        <v>555.05619047619052</v>
      </c>
      <c r="S601" s="56">
        <v>555.05619047619052</v>
      </c>
      <c r="T601" s="56">
        <f>_xlfn.XLOOKUP($N601,'Calculo Leads'!$A$97:$A$134,'Calculo Leads'!G$97:G$134)*_xlfn.XLOOKUP($P601,'Base Grupo de Produtos'!$E$2:$E$18,'Base Grupo de Produtos'!$F$2:$F$18)</f>
        <v>100</v>
      </c>
      <c r="U601" s="56">
        <f>_xlfn.XLOOKUP($N601,'Calculo Leads'!$A$97:$A$134,'Calculo Leads'!H$97:H$134)*_xlfn.XLOOKUP($P601,'Base Grupo de Produtos'!$E$2:$E$18,'Base Grupo de Produtos'!$F$2:$F$18)</f>
        <v>100</v>
      </c>
      <c r="V601" s="56">
        <f>_xlfn.XLOOKUP($N601,'Calculo Leads'!$A$97:$A$134,'Calculo Leads'!I$97:I$134)*_xlfn.XLOOKUP($P601,'Base Grupo de Produtos'!$E$2:$E$18,'Base Grupo de Produtos'!$F$2:$F$18)</f>
        <v>100</v>
      </c>
      <c r="W601" s="56">
        <f>_xlfn.XLOOKUP($N601,'Calculo Leads'!$A$97:$A$134,'Calculo Leads'!J$97:J$134)*_xlfn.XLOOKUP($P601,'Base Grupo de Produtos'!$E$2:$E$18,'Base Grupo de Produtos'!$F$2:$F$18)</f>
        <v>100</v>
      </c>
      <c r="X601" s="56">
        <f>_xlfn.XLOOKUP($N601,'Calculo Leads'!$A$97:$A$134,'Calculo Leads'!K$97:K$134)*_xlfn.XLOOKUP($P601,'Base Grupo de Produtos'!$E$2:$E$18,'Base Grupo de Produtos'!$F$2:$F$18)</f>
        <v>220</v>
      </c>
      <c r="Y601" s="56">
        <f>_xlfn.XLOOKUP($N601,'Calculo Leads'!$A$97:$A$134,'Calculo Leads'!L$97:L$134)*_xlfn.XLOOKUP($P601,'Base Grupo de Produtos'!$E$2:$E$18,'Base Grupo de Produtos'!$F$2:$F$18)</f>
        <v>220</v>
      </c>
      <c r="Z601" s="56">
        <f>_xlfn.XLOOKUP($N601,'Calculo Leads'!$A$97:$A$134,'Calculo Leads'!M$97:M$134)*_xlfn.XLOOKUP($P601,'Base Grupo de Produtos'!$E$2:$E$18,'Base Grupo de Produtos'!$F$2:$F$18)</f>
        <v>220</v>
      </c>
      <c r="AA601" s="56">
        <f>_xlfn.XLOOKUP($N601,'Calculo Leads'!$A$97:$A$134,'Calculo Leads'!N$97:N$134)*_xlfn.XLOOKUP($P601,'Base Grupo de Produtos'!$E$2:$E$18,'Base Grupo de Produtos'!$F$2:$F$18)</f>
        <v>220</v>
      </c>
      <c r="AB601" s="56">
        <f>_xlfn.XLOOKUP($N601,'Calculo Leads'!$A$97:$A$134,'Calculo Leads'!O$97:O$134)*_xlfn.XLOOKUP($P601,'Base Grupo de Produtos'!$E$2:$E$18,'Base Grupo de Produtos'!$F$2:$F$18)</f>
        <v>220</v>
      </c>
      <c r="AC601" s="61">
        <f t="shared" si="638"/>
        <v>1500</v>
      </c>
      <c r="AD601" s="27">
        <f t="shared" si="654"/>
        <v>1500</v>
      </c>
      <c r="AE601" s="25">
        <f>IFERROR(_xlfn.XLOOKUP(N601&amp;P601,'Historico Vendas'!G:G,'Historico Vendas'!E:E),0)</f>
        <v>0</v>
      </c>
      <c r="AF601" s="29" t="str">
        <f t="shared" si="613"/>
        <v/>
      </c>
      <c r="AG601" s="24">
        <f>IFERROR(_xlfn.XLOOKUP(N601&amp;P601,'Historico Vendas'!G:G,'Historico Vendas'!F:F),0)</f>
        <v>0</v>
      </c>
      <c r="AH601" s="25">
        <f t="shared" si="655"/>
        <v>1110.112380952381</v>
      </c>
      <c r="AI601" s="24">
        <f t="shared" si="656"/>
        <v>1110.112380952381</v>
      </c>
      <c r="AJ601" s="11">
        <f t="shared" si="619"/>
        <v>0</v>
      </c>
      <c r="AK601" s="9" t="s">
        <v>102</v>
      </c>
      <c r="AL601" s="13">
        <f>IFERROR(INDEX('Balizador da Meta'!$D$3:$F$23,MATCH(Faturamento!$P601,'Balizador da Meta'!$C$3:$C$23,0),MATCH(Faturamento!AK601,'Balizador da Meta'!$D$2:$F$2,0)),"")</f>
        <v>0</v>
      </c>
      <c r="AM601" s="9"/>
    </row>
    <row r="602" spans="1:39" x14ac:dyDescent="0.3">
      <c r="A602" s="2" t="str">
        <f t="shared" si="614"/>
        <v>NÃO</v>
      </c>
      <c r="B602" s="2" t="str">
        <f>_xlfn.XLOOKUP($N602,'Base de Grupos'!$A:$A,'Base de Grupos'!$D:$D)</f>
        <v>1000065763</v>
      </c>
      <c r="C602" s="5" t="str">
        <f>_xlfn.XLOOKUP($N602,'Base de Grupos'!$A:$A,'Base de Grupos'!$E:$E)</f>
        <v>CANAL VENDA INTERNA</v>
      </c>
      <c r="D602" s="5" t="str">
        <f>_xlfn.XLOOKUP($N602,'Base de Grupos'!$A:$A,'Base de Grupos'!$F:$F)</f>
        <v>1000065763</v>
      </c>
      <c r="E602" s="2" t="str">
        <f>_xlfn.XLOOKUP($N602,'Base de Grupos'!$A:$A,'Base de Grupos'!$G:$G)</f>
        <v>CANAL VENDA INTERNA</v>
      </c>
      <c r="F602" s="2" t="str">
        <f>_xlfn.XLOOKUP($N602,'Base de Grupos'!$A:$A,'Base de Grupos'!$H:$H)</f>
        <v>1000153245</v>
      </c>
      <c r="G602" s="5" t="str">
        <f>_xlfn.XLOOKUP($N602,'Base de Grupos'!$A:$A,'Base de Grupos'!$I:$I)</f>
        <v>REGIONAL VENDA INTERNA - KEY ACCOUNT</v>
      </c>
      <c r="H602" s="5" t="str">
        <f>_xlfn.XLOOKUP($N602,'Base de Grupos'!$A:$A,'Base de Grupos'!$J:$J)</f>
        <v>1000153245</v>
      </c>
      <c r="I602" s="2" t="str">
        <f>_xlfn.XLOOKUP($N602,'Base de Grupos'!$A:$A,'Base de Grupos'!$K:$K)</f>
        <v>REGIONAL VENDA INTERNA - KEY ACCOUNT</v>
      </c>
      <c r="J602" s="2" t="str">
        <f>_xlfn.XLOOKUP($N602,'Base de Grupos'!$A:$A,'Base de Grupos'!$L:$L)</f>
        <v>1000153245</v>
      </c>
      <c r="K602" s="5" t="str">
        <f>_xlfn.XLOOKUP($N602,'Base de Grupos'!$A:$A,'Base de Grupos'!$M:$M)</f>
        <v>REGIONAL VENDA INTERNA - KEY ACCOUNT</v>
      </c>
      <c r="L602" s="5" t="str">
        <f t="shared" si="615"/>
        <v/>
      </c>
      <c r="M602" s="5" t="str">
        <f>_xlfn.XLOOKUP($N602,'Base de Grupos'!$A:$A,'Base de Grupos'!$C:$C)</f>
        <v>RJ</v>
      </c>
      <c r="N602" s="3">
        <v>1433</v>
      </c>
      <c r="O602" s="4" t="s">
        <v>257</v>
      </c>
      <c r="P602" s="5" t="s">
        <v>87</v>
      </c>
      <c r="Q602" s="56">
        <v>0</v>
      </c>
      <c r="R602" s="56">
        <v>124.75666666666666</v>
      </c>
      <c r="S602" s="56">
        <v>249.51333333333332</v>
      </c>
      <c r="T602" s="56">
        <f>_xlfn.XLOOKUP($N602,'Calculo Leads'!$A$97:$A$134,'Calculo Leads'!G$97:G$134)*_xlfn.XLOOKUP($P602,'Base Grupo de Produtos'!$E$2:$E$18,'Base Grupo de Produtos'!$F$2:$F$18)</f>
        <v>19.999999999999996</v>
      </c>
      <c r="U602" s="56">
        <f>_xlfn.XLOOKUP($N602,'Calculo Leads'!$A$97:$A$134,'Calculo Leads'!H$97:H$134)*_xlfn.XLOOKUP($P602,'Base Grupo de Produtos'!$E$2:$E$18,'Base Grupo de Produtos'!$F$2:$F$18)</f>
        <v>19.999999999999996</v>
      </c>
      <c r="V602" s="56">
        <f>_xlfn.XLOOKUP($N602,'Calculo Leads'!$A$97:$A$134,'Calculo Leads'!I$97:I$134)*_xlfn.XLOOKUP($P602,'Base Grupo de Produtos'!$E$2:$E$18,'Base Grupo de Produtos'!$F$2:$F$18)</f>
        <v>19.999999999999996</v>
      </c>
      <c r="W602" s="56">
        <f>_xlfn.XLOOKUP($N602,'Calculo Leads'!$A$97:$A$134,'Calculo Leads'!J$97:J$134)*_xlfn.XLOOKUP($P602,'Base Grupo de Produtos'!$E$2:$E$18,'Base Grupo de Produtos'!$F$2:$F$18)</f>
        <v>19.999999999999996</v>
      </c>
      <c r="X602" s="56">
        <f>_xlfn.XLOOKUP($N602,'Calculo Leads'!$A$97:$A$134,'Calculo Leads'!K$97:K$134)*_xlfn.XLOOKUP($P602,'Base Grupo de Produtos'!$E$2:$E$18,'Base Grupo de Produtos'!$F$2:$F$18)</f>
        <v>43.999999999999993</v>
      </c>
      <c r="Y602" s="56">
        <f>_xlfn.XLOOKUP($N602,'Calculo Leads'!$A$97:$A$134,'Calculo Leads'!L$97:L$134)*_xlfn.XLOOKUP($P602,'Base Grupo de Produtos'!$E$2:$E$18,'Base Grupo de Produtos'!$F$2:$F$18)</f>
        <v>43.999999999999993</v>
      </c>
      <c r="Z602" s="56">
        <f>_xlfn.XLOOKUP($N602,'Calculo Leads'!$A$97:$A$134,'Calculo Leads'!M$97:M$134)*_xlfn.XLOOKUP($P602,'Base Grupo de Produtos'!$E$2:$E$18,'Base Grupo de Produtos'!$F$2:$F$18)</f>
        <v>43.999999999999993</v>
      </c>
      <c r="AA602" s="56">
        <f>_xlfn.XLOOKUP($N602,'Calculo Leads'!$A$97:$A$134,'Calculo Leads'!N$97:N$134)*_xlfn.XLOOKUP($P602,'Base Grupo de Produtos'!$E$2:$E$18,'Base Grupo de Produtos'!$F$2:$F$18)</f>
        <v>43.999999999999993</v>
      </c>
      <c r="AB602" s="56">
        <f>_xlfn.XLOOKUP($N602,'Calculo Leads'!$A$97:$A$134,'Calculo Leads'!O$97:O$134)*_xlfn.XLOOKUP($P602,'Base Grupo de Produtos'!$E$2:$E$18,'Base Grupo de Produtos'!$F$2:$F$18)</f>
        <v>43.999999999999993</v>
      </c>
      <c r="AC602" s="61">
        <f t="shared" si="638"/>
        <v>299.99999999999994</v>
      </c>
      <c r="AD602" s="27">
        <f t="shared" si="654"/>
        <v>299.99999999999994</v>
      </c>
      <c r="AE602" s="25">
        <f>IFERROR(_xlfn.XLOOKUP(N602&amp;P602,'Historico Vendas'!G:G,'Historico Vendas'!E:E),0)</f>
        <v>0</v>
      </c>
      <c r="AF602" s="29" t="str">
        <f t="shared" si="613"/>
        <v/>
      </c>
      <c r="AG602" s="24">
        <f>IFERROR(_xlfn.XLOOKUP(N602&amp;P602,'Historico Vendas'!G:G,'Historico Vendas'!F:F),0)</f>
        <v>0</v>
      </c>
      <c r="AH602" s="25">
        <f t="shared" si="655"/>
        <v>374.27</v>
      </c>
      <c r="AI602" s="24">
        <f t="shared" si="656"/>
        <v>374.27</v>
      </c>
      <c r="AJ602" s="11">
        <f t="shared" si="619"/>
        <v>0</v>
      </c>
      <c r="AK602" s="9" t="s">
        <v>102</v>
      </c>
      <c r="AL602" s="13">
        <f>IFERROR(INDEX('Balizador da Meta'!$D$3:$F$23,MATCH(Faturamento!$P602,'Balizador da Meta'!$C$3:$C$23,0),MATCH(Faturamento!AK602,'Balizador da Meta'!$D$2:$F$2,0)),"")</f>
        <v>0</v>
      </c>
      <c r="AM602" s="9"/>
    </row>
    <row r="603" spans="1:39" x14ac:dyDescent="0.3">
      <c r="A603" s="2" t="str">
        <f t="shared" si="614"/>
        <v>NÃO</v>
      </c>
      <c r="B603" s="2" t="str">
        <f>_xlfn.XLOOKUP($N603,'Base de Grupos'!$A:$A,'Base de Grupos'!$D:$D)</f>
        <v>1000065763</v>
      </c>
      <c r="C603" s="5" t="str">
        <f>_xlfn.XLOOKUP($N603,'Base de Grupos'!$A:$A,'Base de Grupos'!$E:$E)</f>
        <v>CANAL VENDA INTERNA</v>
      </c>
      <c r="D603" s="5" t="str">
        <f>_xlfn.XLOOKUP($N603,'Base de Grupos'!$A:$A,'Base de Grupos'!$F:$F)</f>
        <v>1000065763</v>
      </c>
      <c r="E603" s="2" t="str">
        <f>_xlfn.XLOOKUP($N603,'Base de Grupos'!$A:$A,'Base de Grupos'!$G:$G)</f>
        <v>CANAL VENDA INTERNA</v>
      </c>
      <c r="F603" s="2" t="str">
        <f>_xlfn.XLOOKUP($N603,'Base de Grupos'!$A:$A,'Base de Grupos'!$H:$H)</f>
        <v>1000153245</v>
      </c>
      <c r="G603" s="5" t="str">
        <f>_xlfn.XLOOKUP($N603,'Base de Grupos'!$A:$A,'Base de Grupos'!$I:$I)</f>
        <v>REGIONAL VENDA INTERNA - KEY ACCOUNT</v>
      </c>
      <c r="H603" s="5" t="str">
        <f>_xlfn.XLOOKUP($N603,'Base de Grupos'!$A:$A,'Base de Grupos'!$J:$J)</f>
        <v>1000153245</v>
      </c>
      <c r="I603" s="2" t="str">
        <f>_xlfn.XLOOKUP($N603,'Base de Grupos'!$A:$A,'Base de Grupos'!$K:$K)</f>
        <v>REGIONAL VENDA INTERNA - KEY ACCOUNT</v>
      </c>
      <c r="J603" s="2" t="str">
        <f>_xlfn.XLOOKUP($N603,'Base de Grupos'!$A:$A,'Base de Grupos'!$L:$L)</f>
        <v>1000153245</v>
      </c>
      <c r="K603" s="5" t="str">
        <f>_xlfn.XLOOKUP($N603,'Base de Grupos'!$A:$A,'Base de Grupos'!$M:$M)</f>
        <v>REGIONAL VENDA INTERNA - KEY ACCOUNT</v>
      </c>
      <c r="L603" s="5" t="str">
        <f t="shared" si="615"/>
        <v/>
      </c>
      <c r="M603" s="5" t="str">
        <f>_xlfn.XLOOKUP($N603,'Base de Grupos'!$A:$A,'Base de Grupos'!$C:$C)</f>
        <v>RJ</v>
      </c>
      <c r="N603" s="3">
        <v>1433</v>
      </c>
      <c r="O603" s="4" t="s">
        <v>257</v>
      </c>
      <c r="P603" s="5" t="s">
        <v>85</v>
      </c>
      <c r="Q603" s="56">
        <v>0</v>
      </c>
      <c r="R603" s="56">
        <v>315.14999999999998</v>
      </c>
      <c r="S603" s="56">
        <v>420.2</v>
      </c>
      <c r="T603" s="56">
        <f>_xlfn.XLOOKUP($N603,'Calculo Leads'!$A$97:$A$134,'Calculo Leads'!G$97:G$134)*_xlfn.XLOOKUP($P603,'Base Grupo de Produtos'!$E$2:$E$18,'Base Grupo de Produtos'!$F$2:$F$18)</f>
        <v>20</v>
      </c>
      <c r="U603" s="56">
        <f>_xlfn.XLOOKUP($N603,'Calculo Leads'!$A$97:$A$134,'Calculo Leads'!H$97:H$134)*_xlfn.XLOOKUP($P603,'Base Grupo de Produtos'!$E$2:$E$18,'Base Grupo de Produtos'!$F$2:$F$18)</f>
        <v>20</v>
      </c>
      <c r="V603" s="56">
        <f>_xlfn.XLOOKUP($N603,'Calculo Leads'!$A$97:$A$134,'Calculo Leads'!I$97:I$134)*_xlfn.XLOOKUP($P603,'Base Grupo de Produtos'!$E$2:$E$18,'Base Grupo de Produtos'!$F$2:$F$18)</f>
        <v>20</v>
      </c>
      <c r="W603" s="56">
        <f>_xlfn.XLOOKUP($N603,'Calculo Leads'!$A$97:$A$134,'Calculo Leads'!J$97:J$134)*_xlfn.XLOOKUP($P603,'Base Grupo de Produtos'!$E$2:$E$18,'Base Grupo de Produtos'!$F$2:$F$18)</f>
        <v>20</v>
      </c>
      <c r="X603" s="56">
        <f>_xlfn.XLOOKUP($N603,'Calculo Leads'!$A$97:$A$134,'Calculo Leads'!K$97:K$134)*_xlfn.XLOOKUP($P603,'Base Grupo de Produtos'!$E$2:$E$18,'Base Grupo de Produtos'!$F$2:$F$18)</f>
        <v>44</v>
      </c>
      <c r="Y603" s="56">
        <f>_xlfn.XLOOKUP($N603,'Calculo Leads'!$A$97:$A$134,'Calculo Leads'!L$97:L$134)*_xlfn.XLOOKUP($P603,'Base Grupo de Produtos'!$E$2:$E$18,'Base Grupo de Produtos'!$F$2:$F$18)</f>
        <v>44</v>
      </c>
      <c r="Z603" s="56">
        <f>_xlfn.XLOOKUP($N603,'Calculo Leads'!$A$97:$A$134,'Calculo Leads'!M$97:M$134)*_xlfn.XLOOKUP($P603,'Base Grupo de Produtos'!$E$2:$E$18,'Base Grupo de Produtos'!$F$2:$F$18)</f>
        <v>44</v>
      </c>
      <c r="AA603" s="56">
        <f>_xlfn.XLOOKUP($N603,'Calculo Leads'!$A$97:$A$134,'Calculo Leads'!N$97:N$134)*_xlfn.XLOOKUP($P603,'Base Grupo de Produtos'!$E$2:$E$18,'Base Grupo de Produtos'!$F$2:$F$18)</f>
        <v>44</v>
      </c>
      <c r="AB603" s="56">
        <f>_xlfn.XLOOKUP($N603,'Calculo Leads'!$A$97:$A$134,'Calculo Leads'!O$97:O$134)*_xlfn.XLOOKUP($P603,'Base Grupo de Produtos'!$E$2:$E$18,'Base Grupo de Produtos'!$F$2:$F$18)</f>
        <v>44</v>
      </c>
      <c r="AC603" s="61">
        <f t="shared" si="638"/>
        <v>300</v>
      </c>
      <c r="AD603" s="27">
        <f t="shared" si="654"/>
        <v>300</v>
      </c>
      <c r="AE603" s="25">
        <f>IFERROR(_xlfn.XLOOKUP(N603&amp;P603,'Historico Vendas'!G:G,'Historico Vendas'!E:E),0)</f>
        <v>0</v>
      </c>
      <c r="AF603" s="29" t="str">
        <f t="shared" si="613"/>
        <v/>
      </c>
      <c r="AG603" s="24">
        <f>IFERROR(_xlfn.XLOOKUP(N603&amp;P603,'Historico Vendas'!G:G,'Historico Vendas'!F:F),0)</f>
        <v>0</v>
      </c>
      <c r="AH603" s="25">
        <f t="shared" si="655"/>
        <v>735.34999999999991</v>
      </c>
      <c r="AI603" s="24">
        <f t="shared" si="656"/>
        <v>735.34999999999991</v>
      </c>
      <c r="AJ603" s="11">
        <f t="shared" si="619"/>
        <v>0</v>
      </c>
      <c r="AK603" s="9" t="s">
        <v>102</v>
      </c>
      <c r="AL603" s="13">
        <f>IFERROR(INDEX('Balizador da Meta'!$D$3:$F$23,MATCH(Faturamento!$P603,'Balizador da Meta'!$C$3:$C$23,0),MATCH(Faturamento!AK603,'Balizador da Meta'!$D$2:$F$2,0)),"")</f>
        <v>0</v>
      </c>
      <c r="AM603" s="9"/>
    </row>
    <row r="604" spans="1:39" x14ac:dyDescent="0.3">
      <c r="A604" s="2" t="str">
        <f t="shared" si="614"/>
        <v>NÃO</v>
      </c>
      <c r="B604" s="2" t="str">
        <f>_xlfn.XLOOKUP($N604,'Base de Grupos'!$A:$A,'Base de Grupos'!$D:$D)</f>
        <v>1000065763</v>
      </c>
      <c r="C604" s="5" t="str">
        <f>_xlfn.XLOOKUP($N604,'Base de Grupos'!$A:$A,'Base de Grupos'!$E:$E)</f>
        <v>CANAL VENDA INTERNA</v>
      </c>
      <c r="D604" s="5" t="str">
        <f>_xlfn.XLOOKUP($N604,'Base de Grupos'!$A:$A,'Base de Grupos'!$F:$F)</f>
        <v>1000065763</v>
      </c>
      <c r="E604" s="2" t="str">
        <f>_xlfn.XLOOKUP($N604,'Base de Grupos'!$A:$A,'Base de Grupos'!$G:$G)</f>
        <v>CANAL VENDA INTERNA</v>
      </c>
      <c r="F604" s="2" t="str">
        <f>_xlfn.XLOOKUP($N604,'Base de Grupos'!$A:$A,'Base de Grupos'!$H:$H)</f>
        <v>1000153245</v>
      </c>
      <c r="G604" s="5" t="str">
        <f>_xlfn.XLOOKUP($N604,'Base de Grupos'!$A:$A,'Base de Grupos'!$I:$I)</f>
        <v>REGIONAL VENDA INTERNA - KEY ACCOUNT</v>
      </c>
      <c r="H604" s="5" t="str">
        <f>_xlfn.XLOOKUP($N604,'Base de Grupos'!$A:$A,'Base de Grupos'!$J:$J)</f>
        <v>1000153245</v>
      </c>
      <c r="I604" s="2" t="str">
        <f>_xlfn.XLOOKUP($N604,'Base de Grupos'!$A:$A,'Base de Grupos'!$K:$K)</f>
        <v>REGIONAL VENDA INTERNA - KEY ACCOUNT</v>
      </c>
      <c r="J604" s="2" t="str">
        <f>_xlfn.XLOOKUP($N604,'Base de Grupos'!$A:$A,'Base de Grupos'!$L:$L)</f>
        <v>1000153245</v>
      </c>
      <c r="K604" s="5" t="str">
        <f>_xlfn.XLOOKUP($N604,'Base de Grupos'!$A:$A,'Base de Grupos'!$M:$M)</f>
        <v>REGIONAL VENDA INTERNA - KEY ACCOUNT</v>
      </c>
      <c r="L604" s="5" t="str">
        <f t="shared" si="615"/>
        <v/>
      </c>
      <c r="M604" s="5" t="str">
        <f>_xlfn.XLOOKUP($N604,'Base de Grupos'!$A:$A,'Base de Grupos'!$C:$C)</f>
        <v>RJ</v>
      </c>
      <c r="N604" s="3">
        <v>1433</v>
      </c>
      <c r="O604" s="4" t="s">
        <v>257</v>
      </c>
      <c r="P604" s="5" t="s">
        <v>92</v>
      </c>
      <c r="Q604" s="56">
        <v>0</v>
      </c>
      <c r="R604" s="56">
        <v>165.49714285714285</v>
      </c>
      <c r="S604" s="56">
        <v>165.49714285714285</v>
      </c>
      <c r="T604" s="56">
        <f>_xlfn.XLOOKUP($N604,'Calculo Leads'!$A$97:$A$134,'Calculo Leads'!G$97:G$134)*_xlfn.XLOOKUP($P604,'Base Grupo de Produtos'!$E$2:$E$18,'Base Grupo de Produtos'!$F$2:$F$18)</f>
        <v>20</v>
      </c>
      <c r="U604" s="56">
        <f>_xlfn.XLOOKUP($N604,'Calculo Leads'!$A$97:$A$134,'Calculo Leads'!H$97:H$134)*_xlfn.XLOOKUP($P604,'Base Grupo de Produtos'!$E$2:$E$18,'Base Grupo de Produtos'!$F$2:$F$18)</f>
        <v>20</v>
      </c>
      <c r="V604" s="56">
        <f>_xlfn.XLOOKUP($N604,'Calculo Leads'!$A$97:$A$134,'Calculo Leads'!I$97:I$134)*_xlfn.XLOOKUP($P604,'Base Grupo de Produtos'!$E$2:$E$18,'Base Grupo de Produtos'!$F$2:$F$18)</f>
        <v>20</v>
      </c>
      <c r="W604" s="56">
        <f>_xlfn.XLOOKUP($N604,'Calculo Leads'!$A$97:$A$134,'Calculo Leads'!J$97:J$134)*_xlfn.XLOOKUP($P604,'Base Grupo de Produtos'!$E$2:$E$18,'Base Grupo de Produtos'!$F$2:$F$18)</f>
        <v>20</v>
      </c>
      <c r="X604" s="56">
        <f>_xlfn.XLOOKUP($N604,'Calculo Leads'!$A$97:$A$134,'Calculo Leads'!K$97:K$134)*_xlfn.XLOOKUP($P604,'Base Grupo de Produtos'!$E$2:$E$18,'Base Grupo de Produtos'!$F$2:$F$18)</f>
        <v>44</v>
      </c>
      <c r="Y604" s="56">
        <f>_xlfn.XLOOKUP($N604,'Calculo Leads'!$A$97:$A$134,'Calculo Leads'!L$97:L$134)*_xlfn.XLOOKUP($P604,'Base Grupo de Produtos'!$E$2:$E$18,'Base Grupo de Produtos'!$F$2:$F$18)</f>
        <v>44</v>
      </c>
      <c r="Z604" s="56">
        <f>_xlfn.XLOOKUP($N604,'Calculo Leads'!$A$97:$A$134,'Calculo Leads'!M$97:M$134)*_xlfn.XLOOKUP($P604,'Base Grupo de Produtos'!$E$2:$E$18,'Base Grupo de Produtos'!$F$2:$F$18)</f>
        <v>44</v>
      </c>
      <c r="AA604" s="56">
        <f>_xlfn.XLOOKUP($N604,'Calculo Leads'!$A$97:$A$134,'Calculo Leads'!N$97:N$134)*_xlfn.XLOOKUP($P604,'Base Grupo de Produtos'!$E$2:$E$18,'Base Grupo de Produtos'!$F$2:$F$18)</f>
        <v>44</v>
      </c>
      <c r="AB604" s="56">
        <f>_xlfn.XLOOKUP($N604,'Calculo Leads'!$A$97:$A$134,'Calculo Leads'!O$97:O$134)*_xlfn.XLOOKUP($P604,'Base Grupo de Produtos'!$E$2:$E$18,'Base Grupo de Produtos'!$F$2:$F$18)</f>
        <v>44</v>
      </c>
      <c r="AC604" s="61">
        <f t="shared" si="638"/>
        <v>300</v>
      </c>
      <c r="AD604" s="27">
        <f t="shared" si="654"/>
        <v>300</v>
      </c>
      <c r="AE604" s="25">
        <f>IFERROR(_xlfn.XLOOKUP(N604&amp;P604,'Historico Vendas'!G:G,'Historico Vendas'!E:E),0)</f>
        <v>0</v>
      </c>
      <c r="AF604" s="29" t="str">
        <f t="shared" si="613"/>
        <v/>
      </c>
      <c r="AG604" s="24">
        <f>IFERROR(_xlfn.XLOOKUP(N604&amp;P604,'Historico Vendas'!G:G,'Historico Vendas'!F:F),0)</f>
        <v>0</v>
      </c>
      <c r="AH604" s="25">
        <f t="shared" si="655"/>
        <v>330.9942857142857</v>
      </c>
      <c r="AI604" s="24">
        <f t="shared" si="656"/>
        <v>330.9942857142857</v>
      </c>
      <c r="AJ604" s="11">
        <f t="shared" si="619"/>
        <v>0</v>
      </c>
      <c r="AK604" s="9" t="s">
        <v>102</v>
      </c>
      <c r="AL604" s="13">
        <f>IFERROR(INDEX('Balizador da Meta'!$D$3:$F$23,MATCH(Faturamento!$P604,'Balizador da Meta'!$C$3:$C$23,0),MATCH(Faturamento!AK604,'Balizador da Meta'!$D$2:$F$2,0)),"")</f>
        <v>0</v>
      </c>
      <c r="AM604" s="9"/>
    </row>
    <row r="605" spans="1:39" x14ac:dyDescent="0.3">
      <c r="A605" s="2" t="str">
        <f t="shared" si="614"/>
        <v>NÃO</v>
      </c>
      <c r="B605" s="2" t="str">
        <f>_xlfn.XLOOKUP($N605,'Base de Grupos'!$A:$A,'Base de Grupos'!$D:$D)</f>
        <v>1000065763</v>
      </c>
      <c r="C605" s="5" t="str">
        <f>_xlfn.XLOOKUP($N605,'Base de Grupos'!$A:$A,'Base de Grupos'!$E:$E)</f>
        <v>CANAL VENDA INTERNA</v>
      </c>
      <c r="D605" s="5" t="str">
        <f>_xlfn.XLOOKUP($N605,'Base de Grupos'!$A:$A,'Base de Grupos'!$F:$F)</f>
        <v>1000065763</v>
      </c>
      <c r="E605" s="2" t="str">
        <f>_xlfn.XLOOKUP($N605,'Base de Grupos'!$A:$A,'Base de Grupos'!$G:$G)</f>
        <v>CANAL VENDA INTERNA</v>
      </c>
      <c r="F605" s="2" t="str">
        <f>_xlfn.XLOOKUP($N605,'Base de Grupos'!$A:$A,'Base de Grupos'!$H:$H)</f>
        <v>1000153245</v>
      </c>
      <c r="G605" s="5" t="str">
        <f>_xlfn.XLOOKUP($N605,'Base de Grupos'!$A:$A,'Base de Grupos'!$I:$I)</f>
        <v>REGIONAL VENDA INTERNA - KEY ACCOUNT</v>
      </c>
      <c r="H605" s="5" t="str">
        <f>_xlfn.XLOOKUP($N605,'Base de Grupos'!$A:$A,'Base de Grupos'!$J:$J)</f>
        <v>1000153245</v>
      </c>
      <c r="I605" s="2" t="str">
        <f>_xlfn.XLOOKUP($N605,'Base de Grupos'!$A:$A,'Base de Grupos'!$K:$K)</f>
        <v>REGIONAL VENDA INTERNA - KEY ACCOUNT</v>
      </c>
      <c r="J605" s="2" t="str">
        <f>_xlfn.XLOOKUP($N605,'Base de Grupos'!$A:$A,'Base de Grupos'!$L:$L)</f>
        <v>1000153245</v>
      </c>
      <c r="K605" s="5" t="str">
        <f>_xlfn.XLOOKUP($N605,'Base de Grupos'!$A:$A,'Base de Grupos'!$M:$M)</f>
        <v>REGIONAL VENDA INTERNA - KEY ACCOUNT</v>
      </c>
      <c r="L605" s="5" t="str">
        <f t="shared" si="615"/>
        <v/>
      </c>
      <c r="M605" s="5" t="str">
        <f>_xlfn.XLOOKUP($N605,'Base de Grupos'!$A:$A,'Base de Grupos'!$C:$C)</f>
        <v>RJ</v>
      </c>
      <c r="N605" s="3">
        <v>1433</v>
      </c>
      <c r="O605" s="4" t="s">
        <v>257</v>
      </c>
      <c r="P605" s="5" t="s">
        <v>86</v>
      </c>
      <c r="Q605" s="56">
        <v>0</v>
      </c>
      <c r="R605" s="56">
        <v>89.608571428571423</v>
      </c>
      <c r="S605" s="56">
        <v>179.21714285714285</v>
      </c>
      <c r="T605" s="56">
        <f>_xlfn.XLOOKUP($N605,'Calculo Leads'!$A$97:$A$134,'Calculo Leads'!G$97:G$134)*_xlfn.XLOOKUP($P605,'Base Grupo de Produtos'!$E$2:$E$18,'Base Grupo de Produtos'!$F$2:$F$18)</f>
        <v>30</v>
      </c>
      <c r="U605" s="56">
        <f>_xlfn.XLOOKUP($N605,'Calculo Leads'!$A$97:$A$134,'Calculo Leads'!H$97:H$134)*_xlfn.XLOOKUP($P605,'Base Grupo de Produtos'!$E$2:$E$18,'Base Grupo de Produtos'!$F$2:$F$18)</f>
        <v>30</v>
      </c>
      <c r="V605" s="56">
        <f>_xlfn.XLOOKUP($N605,'Calculo Leads'!$A$97:$A$134,'Calculo Leads'!I$97:I$134)*_xlfn.XLOOKUP($P605,'Base Grupo de Produtos'!$E$2:$E$18,'Base Grupo de Produtos'!$F$2:$F$18)</f>
        <v>30</v>
      </c>
      <c r="W605" s="56">
        <f>_xlfn.XLOOKUP($N605,'Calculo Leads'!$A$97:$A$134,'Calculo Leads'!J$97:J$134)*_xlfn.XLOOKUP($P605,'Base Grupo de Produtos'!$E$2:$E$18,'Base Grupo de Produtos'!$F$2:$F$18)</f>
        <v>30</v>
      </c>
      <c r="X605" s="56">
        <f>_xlfn.XLOOKUP($N605,'Calculo Leads'!$A$97:$A$134,'Calculo Leads'!K$97:K$134)*_xlfn.XLOOKUP($P605,'Base Grupo de Produtos'!$E$2:$E$18,'Base Grupo de Produtos'!$F$2:$F$18)</f>
        <v>66</v>
      </c>
      <c r="Y605" s="56">
        <f>_xlfn.XLOOKUP($N605,'Calculo Leads'!$A$97:$A$134,'Calculo Leads'!L$97:L$134)*_xlfn.XLOOKUP($P605,'Base Grupo de Produtos'!$E$2:$E$18,'Base Grupo de Produtos'!$F$2:$F$18)</f>
        <v>66</v>
      </c>
      <c r="Z605" s="56">
        <f>_xlfn.XLOOKUP($N605,'Calculo Leads'!$A$97:$A$134,'Calculo Leads'!M$97:M$134)*_xlfn.XLOOKUP($P605,'Base Grupo de Produtos'!$E$2:$E$18,'Base Grupo de Produtos'!$F$2:$F$18)</f>
        <v>66</v>
      </c>
      <c r="AA605" s="56">
        <f>_xlfn.XLOOKUP($N605,'Calculo Leads'!$A$97:$A$134,'Calculo Leads'!N$97:N$134)*_xlfn.XLOOKUP($P605,'Base Grupo de Produtos'!$E$2:$E$18,'Base Grupo de Produtos'!$F$2:$F$18)</f>
        <v>66</v>
      </c>
      <c r="AB605" s="56">
        <f>_xlfn.XLOOKUP($N605,'Calculo Leads'!$A$97:$A$134,'Calculo Leads'!O$97:O$134)*_xlfn.XLOOKUP($P605,'Base Grupo de Produtos'!$E$2:$E$18,'Base Grupo de Produtos'!$F$2:$F$18)</f>
        <v>66</v>
      </c>
      <c r="AC605" s="61">
        <f t="shared" si="638"/>
        <v>450</v>
      </c>
      <c r="AD605" s="27">
        <f t="shared" si="654"/>
        <v>450</v>
      </c>
      <c r="AE605" s="25">
        <f>IFERROR(_xlfn.XLOOKUP(N605&amp;P605,'Historico Vendas'!G:G,'Historico Vendas'!E:E),0)</f>
        <v>0</v>
      </c>
      <c r="AF605" s="29" t="str">
        <f t="shared" si="613"/>
        <v/>
      </c>
      <c r="AG605" s="24">
        <f>IFERROR(_xlfn.XLOOKUP(N605&amp;P605,'Historico Vendas'!G:G,'Historico Vendas'!F:F),0)</f>
        <v>0</v>
      </c>
      <c r="AH605" s="25">
        <f t="shared" si="655"/>
        <v>268.8257142857143</v>
      </c>
      <c r="AI605" s="24">
        <f t="shared" si="656"/>
        <v>268.8257142857143</v>
      </c>
      <c r="AJ605" s="11">
        <f t="shared" si="619"/>
        <v>0</v>
      </c>
      <c r="AK605" s="9" t="s">
        <v>102</v>
      </c>
      <c r="AL605" s="13">
        <f>IFERROR(INDEX('Balizador da Meta'!$D$3:$F$23,MATCH(Faturamento!$P605,'Balizador da Meta'!$C$3:$C$23,0),MATCH(Faturamento!AK605,'Balizador da Meta'!$D$2:$F$2,0)),"")</f>
        <v>0.15</v>
      </c>
      <c r="AM605" s="9"/>
    </row>
    <row r="606" spans="1:39" x14ac:dyDescent="0.3">
      <c r="A606" s="2" t="str">
        <f t="shared" si="614"/>
        <v>NÃO</v>
      </c>
      <c r="B606" s="2" t="str">
        <f>_xlfn.XLOOKUP($N606,'Base de Grupos'!$A:$A,'Base de Grupos'!$D:$D)</f>
        <v>1000065763</v>
      </c>
      <c r="C606" s="5" t="str">
        <f>_xlfn.XLOOKUP($N606,'Base de Grupos'!$A:$A,'Base de Grupos'!$E:$E)</f>
        <v>CANAL VENDA INTERNA</v>
      </c>
      <c r="D606" s="5" t="str">
        <f>_xlfn.XLOOKUP($N606,'Base de Grupos'!$A:$A,'Base de Grupos'!$F:$F)</f>
        <v>1000065763</v>
      </c>
      <c r="E606" s="2" t="str">
        <f>_xlfn.XLOOKUP($N606,'Base de Grupos'!$A:$A,'Base de Grupos'!$G:$G)</f>
        <v>CANAL VENDA INTERNA</v>
      </c>
      <c r="F606" s="2" t="str">
        <f>_xlfn.XLOOKUP($N606,'Base de Grupos'!$A:$A,'Base de Grupos'!$H:$H)</f>
        <v>1000153245</v>
      </c>
      <c r="G606" s="5" t="str">
        <f>_xlfn.XLOOKUP($N606,'Base de Grupos'!$A:$A,'Base de Grupos'!$I:$I)</f>
        <v>REGIONAL VENDA INTERNA - KEY ACCOUNT</v>
      </c>
      <c r="H606" s="5" t="str">
        <f>_xlfn.XLOOKUP($N606,'Base de Grupos'!$A:$A,'Base de Grupos'!$J:$J)</f>
        <v>1000153245</v>
      </c>
      <c r="I606" s="2" t="str">
        <f>_xlfn.XLOOKUP($N606,'Base de Grupos'!$A:$A,'Base de Grupos'!$K:$K)</f>
        <v>REGIONAL VENDA INTERNA - KEY ACCOUNT</v>
      </c>
      <c r="J606" s="2" t="str">
        <f>_xlfn.XLOOKUP($N606,'Base de Grupos'!$A:$A,'Base de Grupos'!$L:$L)</f>
        <v>1000153245</v>
      </c>
      <c r="K606" s="5" t="str">
        <f>_xlfn.XLOOKUP($N606,'Base de Grupos'!$A:$A,'Base de Grupos'!$M:$M)</f>
        <v>REGIONAL VENDA INTERNA - KEY ACCOUNT</v>
      </c>
      <c r="L606" s="5" t="str">
        <f t="shared" si="615"/>
        <v/>
      </c>
      <c r="M606" s="5" t="str">
        <f>_xlfn.XLOOKUP($N606,'Base de Grupos'!$A:$A,'Base de Grupos'!$C:$C)</f>
        <v>RJ</v>
      </c>
      <c r="N606" s="3">
        <v>1433</v>
      </c>
      <c r="O606" s="4" t="s">
        <v>257</v>
      </c>
      <c r="P606" s="5" t="s">
        <v>108</v>
      </c>
      <c r="Q606" s="56">
        <v>0</v>
      </c>
      <c r="R606" s="56">
        <v>516.1430303030304</v>
      </c>
      <c r="S606" s="56">
        <v>602.16686868686872</v>
      </c>
      <c r="T606" s="56">
        <f>_xlfn.XLOOKUP($N606,'Calculo Leads'!$A$97:$A$134,'Calculo Leads'!G$97:G$134)*_xlfn.XLOOKUP($P606,'Base Grupo de Produtos'!$E$2:$E$18,'Base Grupo de Produtos'!$F$2:$F$18)</f>
        <v>250</v>
      </c>
      <c r="U606" s="56">
        <f>_xlfn.XLOOKUP($N606,'Calculo Leads'!$A$97:$A$134,'Calculo Leads'!H$97:H$134)*_xlfn.XLOOKUP($P606,'Base Grupo de Produtos'!$E$2:$E$18,'Base Grupo de Produtos'!$F$2:$F$18)</f>
        <v>250</v>
      </c>
      <c r="V606" s="56">
        <f>_xlfn.XLOOKUP($N606,'Calculo Leads'!$A$97:$A$134,'Calculo Leads'!I$97:I$134)*_xlfn.XLOOKUP($P606,'Base Grupo de Produtos'!$E$2:$E$18,'Base Grupo de Produtos'!$F$2:$F$18)</f>
        <v>250</v>
      </c>
      <c r="W606" s="56">
        <f>_xlfn.XLOOKUP($N606,'Calculo Leads'!$A$97:$A$134,'Calculo Leads'!J$97:J$134)*_xlfn.XLOOKUP($P606,'Base Grupo de Produtos'!$E$2:$E$18,'Base Grupo de Produtos'!$F$2:$F$18)</f>
        <v>250</v>
      </c>
      <c r="X606" s="56">
        <f>_xlfn.XLOOKUP($N606,'Calculo Leads'!$A$97:$A$134,'Calculo Leads'!K$97:K$134)*_xlfn.XLOOKUP($P606,'Base Grupo de Produtos'!$E$2:$E$18,'Base Grupo de Produtos'!$F$2:$F$18)</f>
        <v>550</v>
      </c>
      <c r="Y606" s="56">
        <f>_xlfn.XLOOKUP($N606,'Calculo Leads'!$A$97:$A$134,'Calculo Leads'!L$97:L$134)*_xlfn.XLOOKUP($P606,'Base Grupo de Produtos'!$E$2:$E$18,'Base Grupo de Produtos'!$F$2:$F$18)</f>
        <v>550</v>
      </c>
      <c r="Z606" s="56">
        <f>_xlfn.XLOOKUP($N606,'Calculo Leads'!$A$97:$A$134,'Calculo Leads'!M$97:M$134)*_xlfn.XLOOKUP($P606,'Base Grupo de Produtos'!$E$2:$E$18,'Base Grupo de Produtos'!$F$2:$F$18)</f>
        <v>550</v>
      </c>
      <c r="AA606" s="56">
        <f>_xlfn.XLOOKUP($N606,'Calculo Leads'!$A$97:$A$134,'Calculo Leads'!N$97:N$134)*_xlfn.XLOOKUP($P606,'Base Grupo de Produtos'!$E$2:$E$18,'Base Grupo de Produtos'!$F$2:$F$18)</f>
        <v>550</v>
      </c>
      <c r="AB606" s="56">
        <f>_xlfn.XLOOKUP($N606,'Calculo Leads'!$A$97:$A$134,'Calculo Leads'!O$97:O$134)*_xlfn.XLOOKUP($P606,'Base Grupo de Produtos'!$E$2:$E$18,'Base Grupo de Produtos'!$F$2:$F$18)</f>
        <v>550</v>
      </c>
      <c r="AC606" s="61">
        <f t="shared" si="638"/>
        <v>3750</v>
      </c>
      <c r="AD606" s="27">
        <f t="shared" si="654"/>
        <v>3750</v>
      </c>
      <c r="AE606" s="25">
        <f>IFERROR(_xlfn.XLOOKUP(N606&amp;P606,'Historico Vendas'!G:G,'Historico Vendas'!E:E),0)</f>
        <v>0</v>
      </c>
      <c r="AF606" s="29" t="str">
        <f t="shared" si="613"/>
        <v/>
      </c>
      <c r="AG606" s="24">
        <f>IFERROR(_xlfn.XLOOKUP(N606&amp;P606,'Historico Vendas'!G:G,'Historico Vendas'!F:F),0)</f>
        <v>0</v>
      </c>
      <c r="AH606" s="25">
        <f t="shared" si="655"/>
        <v>1118.309898989899</v>
      </c>
      <c r="AI606" s="24">
        <f t="shared" si="656"/>
        <v>1118.309898989899</v>
      </c>
      <c r="AJ606" s="11">
        <f t="shared" si="619"/>
        <v>0</v>
      </c>
      <c r="AK606" s="9" t="s">
        <v>102</v>
      </c>
      <c r="AL606" s="13">
        <f>IFERROR(INDEX('Balizador da Meta'!$D$3:$F$23,MATCH(Faturamento!$P606,'Balizador da Meta'!$C$3:$C$23,0),MATCH(Faturamento!AK606,'Balizador da Meta'!$D$2:$F$2,0)),"")</f>
        <v>0</v>
      </c>
      <c r="AM606" s="9"/>
    </row>
    <row r="607" spans="1:39" x14ac:dyDescent="0.3">
      <c r="A607" s="2" t="str">
        <f t="shared" si="614"/>
        <v>NÃO</v>
      </c>
      <c r="B607" s="2" t="str">
        <f>_xlfn.XLOOKUP($N607,'Base de Grupos'!$A:$A,'Base de Grupos'!$D:$D)</f>
        <v>1000065763</v>
      </c>
      <c r="C607" s="5" t="str">
        <f>_xlfn.XLOOKUP($N607,'Base de Grupos'!$A:$A,'Base de Grupos'!$E:$E)</f>
        <v>CANAL VENDA INTERNA</v>
      </c>
      <c r="D607" s="5" t="str">
        <f>_xlfn.XLOOKUP($N607,'Base de Grupos'!$A:$A,'Base de Grupos'!$F:$F)</f>
        <v>1000065763</v>
      </c>
      <c r="E607" s="2" t="str">
        <f>_xlfn.XLOOKUP($N607,'Base de Grupos'!$A:$A,'Base de Grupos'!$G:$G)</f>
        <v>CANAL VENDA INTERNA</v>
      </c>
      <c r="F607" s="2" t="str">
        <f>_xlfn.XLOOKUP($N607,'Base de Grupos'!$A:$A,'Base de Grupos'!$H:$H)</f>
        <v>1000153245</v>
      </c>
      <c r="G607" s="5" t="str">
        <f>_xlfn.XLOOKUP($N607,'Base de Grupos'!$A:$A,'Base de Grupos'!$I:$I)</f>
        <v>REGIONAL VENDA INTERNA - KEY ACCOUNT</v>
      </c>
      <c r="H607" s="5" t="str">
        <f>_xlfn.XLOOKUP($N607,'Base de Grupos'!$A:$A,'Base de Grupos'!$J:$J)</f>
        <v>1000153245</v>
      </c>
      <c r="I607" s="2" t="str">
        <f>_xlfn.XLOOKUP($N607,'Base de Grupos'!$A:$A,'Base de Grupos'!$K:$K)</f>
        <v>REGIONAL VENDA INTERNA - KEY ACCOUNT</v>
      </c>
      <c r="J607" s="2" t="str">
        <f>_xlfn.XLOOKUP($N607,'Base de Grupos'!$A:$A,'Base de Grupos'!$L:$L)</f>
        <v>1000153245</v>
      </c>
      <c r="K607" s="5" t="str">
        <f>_xlfn.XLOOKUP($N607,'Base de Grupos'!$A:$A,'Base de Grupos'!$M:$M)</f>
        <v>REGIONAL VENDA INTERNA - KEY ACCOUNT</v>
      </c>
      <c r="L607" s="5" t="str">
        <f t="shared" si="615"/>
        <v/>
      </c>
      <c r="M607" s="5" t="str">
        <f>_xlfn.XLOOKUP($N607,'Base de Grupos'!$A:$A,'Base de Grupos'!$C:$C)</f>
        <v>RJ</v>
      </c>
      <c r="N607" s="3">
        <v>1433</v>
      </c>
      <c r="O607" s="4" t="s">
        <v>257</v>
      </c>
      <c r="P607" s="5" t="s">
        <v>89</v>
      </c>
      <c r="Q607" s="56">
        <v>0</v>
      </c>
      <c r="R607" s="56">
        <v>627.6857142857142</v>
      </c>
      <c r="S607" s="56">
        <v>627.6857142857142</v>
      </c>
      <c r="T607" s="56">
        <f>_xlfn.XLOOKUP($N607,'Calculo Leads'!$A$97:$A$134,'Calculo Leads'!G$97:G$134)*_xlfn.XLOOKUP($P607,'Base Grupo de Produtos'!$E$2:$E$18,'Base Grupo de Produtos'!$F$2:$F$18)</f>
        <v>50</v>
      </c>
      <c r="U607" s="56">
        <f>_xlfn.XLOOKUP($N607,'Calculo Leads'!$A$97:$A$134,'Calculo Leads'!H$97:H$134)*_xlfn.XLOOKUP($P607,'Base Grupo de Produtos'!$E$2:$E$18,'Base Grupo de Produtos'!$F$2:$F$18)</f>
        <v>50</v>
      </c>
      <c r="V607" s="56">
        <f>_xlfn.XLOOKUP($N607,'Calculo Leads'!$A$97:$A$134,'Calculo Leads'!I$97:I$134)*_xlfn.XLOOKUP($P607,'Base Grupo de Produtos'!$E$2:$E$18,'Base Grupo de Produtos'!$F$2:$F$18)</f>
        <v>50</v>
      </c>
      <c r="W607" s="56">
        <f>_xlfn.XLOOKUP($N607,'Calculo Leads'!$A$97:$A$134,'Calculo Leads'!J$97:J$134)*_xlfn.XLOOKUP($P607,'Base Grupo de Produtos'!$E$2:$E$18,'Base Grupo de Produtos'!$F$2:$F$18)</f>
        <v>50</v>
      </c>
      <c r="X607" s="56">
        <f>_xlfn.XLOOKUP($N607,'Calculo Leads'!$A$97:$A$134,'Calculo Leads'!K$97:K$134)*_xlfn.XLOOKUP($P607,'Base Grupo de Produtos'!$E$2:$E$18,'Base Grupo de Produtos'!$F$2:$F$18)</f>
        <v>110</v>
      </c>
      <c r="Y607" s="56">
        <f>_xlfn.XLOOKUP($N607,'Calculo Leads'!$A$97:$A$134,'Calculo Leads'!L$97:L$134)*_xlfn.XLOOKUP($P607,'Base Grupo de Produtos'!$E$2:$E$18,'Base Grupo de Produtos'!$F$2:$F$18)</f>
        <v>110</v>
      </c>
      <c r="Z607" s="56">
        <f>_xlfn.XLOOKUP($N607,'Calculo Leads'!$A$97:$A$134,'Calculo Leads'!M$97:M$134)*_xlfn.XLOOKUP($P607,'Base Grupo de Produtos'!$E$2:$E$18,'Base Grupo de Produtos'!$F$2:$F$18)</f>
        <v>110</v>
      </c>
      <c r="AA607" s="56">
        <f>_xlfn.XLOOKUP($N607,'Calculo Leads'!$A$97:$A$134,'Calculo Leads'!N$97:N$134)*_xlfn.XLOOKUP($P607,'Base Grupo de Produtos'!$E$2:$E$18,'Base Grupo de Produtos'!$F$2:$F$18)</f>
        <v>110</v>
      </c>
      <c r="AB607" s="56">
        <f>_xlfn.XLOOKUP($N607,'Calculo Leads'!$A$97:$A$134,'Calculo Leads'!O$97:O$134)*_xlfn.XLOOKUP($P607,'Base Grupo de Produtos'!$E$2:$E$18,'Base Grupo de Produtos'!$F$2:$F$18)</f>
        <v>110</v>
      </c>
      <c r="AC607" s="61">
        <f t="shared" si="638"/>
        <v>750</v>
      </c>
      <c r="AD607" s="27">
        <f t="shared" si="654"/>
        <v>750</v>
      </c>
      <c r="AE607" s="25">
        <f>IFERROR(_xlfn.XLOOKUP(N607&amp;P607,'Historico Vendas'!G:G,'Historico Vendas'!E:E),0)</f>
        <v>0</v>
      </c>
      <c r="AF607" s="29" t="str">
        <f t="shared" si="613"/>
        <v/>
      </c>
      <c r="AG607" s="24">
        <f>IFERROR(_xlfn.XLOOKUP(N607&amp;P607,'Historico Vendas'!G:G,'Historico Vendas'!F:F),0)</f>
        <v>0</v>
      </c>
      <c r="AH607" s="25">
        <f t="shared" si="655"/>
        <v>1255.3714285714284</v>
      </c>
      <c r="AI607" s="24">
        <f t="shared" si="656"/>
        <v>1255.3714285714284</v>
      </c>
      <c r="AJ607" s="11">
        <f t="shared" si="619"/>
        <v>0</v>
      </c>
      <c r="AK607" s="9" t="s">
        <v>102</v>
      </c>
      <c r="AL607" s="13">
        <f>IFERROR(INDEX('Balizador da Meta'!$D$3:$F$23,MATCH(Faturamento!$P607,'Balizador da Meta'!$C$3:$C$23,0),MATCH(Faturamento!AK607,'Balizador da Meta'!$D$2:$F$2,0)),"")</f>
        <v>0.25</v>
      </c>
      <c r="AM607" s="9"/>
    </row>
    <row r="608" spans="1:39" x14ac:dyDescent="0.3">
      <c r="A608" s="2" t="str">
        <f t="shared" si="614"/>
        <v>NÃO</v>
      </c>
      <c r="B608" s="2" t="str">
        <f>_xlfn.XLOOKUP($N608,'Base de Grupos'!$A:$A,'Base de Grupos'!$D:$D)</f>
        <v>1000065763</v>
      </c>
      <c r="C608" s="5" t="str">
        <f>_xlfn.XLOOKUP($N608,'Base de Grupos'!$A:$A,'Base de Grupos'!$E:$E)</f>
        <v>CANAL VENDA INTERNA</v>
      </c>
      <c r="D608" s="5" t="str">
        <f>_xlfn.XLOOKUP($N608,'Base de Grupos'!$A:$A,'Base de Grupos'!$F:$F)</f>
        <v>1000065763</v>
      </c>
      <c r="E608" s="2" t="str">
        <f>_xlfn.XLOOKUP($N608,'Base de Grupos'!$A:$A,'Base de Grupos'!$G:$G)</f>
        <v>CANAL VENDA INTERNA</v>
      </c>
      <c r="F608" s="2" t="str">
        <f>_xlfn.XLOOKUP($N608,'Base de Grupos'!$A:$A,'Base de Grupos'!$H:$H)</f>
        <v>1000153245</v>
      </c>
      <c r="G608" s="5" t="str">
        <f>_xlfn.XLOOKUP($N608,'Base de Grupos'!$A:$A,'Base de Grupos'!$I:$I)</f>
        <v>REGIONAL VENDA INTERNA - KEY ACCOUNT</v>
      </c>
      <c r="H608" s="5" t="str">
        <f>_xlfn.XLOOKUP($N608,'Base de Grupos'!$A:$A,'Base de Grupos'!$J:$J)</f>
        <v>1000153245</v>
      </c>
      <c r="I608" s="2" t="str">
        <f>_xlfn.XLOOKUP($N608,'Base de Grupos'!$A:$A,'Base de Grupos'!$K:$K)</f>
        <v>REGIONAL VENDA INTERNA - KEY ACCOUNT</v>
      </c>
      <c r="J608" s="2" t="str">
        <f>_xlfn.XLOOKUP($N608,'Base de Grupos'!$A:$A,'Base de Grupos'!$L:$L)</f>
        <v>1000153245</v>
      </c>
      <c r="K608" s="5" t="str">
        <f>_xlfn.XLOOKUP($N608,'Base de Grupos'!$A:$A,'Base de Grupos'!$M:$M)</f>
        <v>REGIONAL VENDA INTERNA - KEY ACCOUNT</v>
      </c>
      <c r="L608" s="5" t="str">
        <f t="shared" si="615"/>
        <v/>
      </c>
      <c r="M608" s="5" t="str">
        <f>_xlfn.XLOOKUP($N608,'Base de Grupos'!$A:$A,'Base de Grupos'!$C:$C)</f>
        <v>RJ</v>
      </c>
      <c r="N608" s="3">
        <v>1433</v>
      </c>
      <c r="O608" s="4" t="s">
        <v>257</v>
      </c>
      <c r="P608" s="5" t="s">
        <v>88</v>
      </c>
      <c r="Q608" s="56">
        <v>0</v>
      </c>
      <c r="R608" s="56">
        <v>119.60088888888889</v>
      </c>
      <c r="S608" s="56">
        <v>239.20177777777778</v>
      </c>
      <c r="T608" s="56">
        <f>_xlfn.XLOOKUP($N608,'Calculo Leads'!$A$97:$A$134,'Calculo Leads'!G$97:G$134)*_xlfn.XLOOKUP($P608,'Base Grupo de Produtos'!$E$2:$E$18,'Base Grupo de Produtos'!$F$2:$F$18)</f>
        <v>50</v>
      </c>
      <c r="U608" s="56">
        <f>_xlfn.XLOOKUP($N608,'Calculo Leads'!$A$97:$A$134,'Calculo Leads'!H$97:H$134)*_xlfn.XLOOKUP($P608,'Base Grupo de Produtos'!$E$2:$E$18,'Base Grupo de Produtos'!$F$2:$F$18)</f>
        <v>50</v>
      </c>
      <c r="V608" s="56">
        <f>_xlfn.XLOOKUP($N608,'Calculo Leads'!$A$97:$A$134,'Calculo Leads'!I$97:I$134)*_xlfn.XLOOKUP($P608,'Base Grupo de Produtos'!$E$2:$E$18,'Base Grupo de Produtos'!$F$2:$F$18)</f>
        <v>50</v>
      </c>
      <c r="W608" s="56">
        <f>_xlfn.XLOOKUP($N608,'Calculo Leads'!$A$97:$A$134,'Calculo Leads'!J$97:J$134)*_xlfn.XLOOKUP($P608,'Base Grupo de Produtos'!$E$2:$E$18,'Base Grupo de Produtos'!$F$2:$F$18)</f>
        <v>50</v>
      </c>
      <c r="X608" s="56">
        <f>_xlfn.XLOOKUP($N608,'Calculo Leads'!$A$97:$A$134,'Calculo Leads'!K$97:K$134)*_xlfn.XLOOKUP($P608,'Base Grupo de Produtos'!$E$2:$E$18,'Base Grupo de Produtos'!$F$2:$F$18)</f>
        <v>110</v>
      </c>
      <c r="Y608" s="56">
        <f>_xlfn.XLOOKUP($N608,'Calculo Leads'!$A$97:$A$134,'Calculo Leads'!L$97:L$134)*_xlfn.XLOOKUP($P608,'Base Grupo de Produtos'!$E$2:$E$18,'Base Grupo de Produtos'!$F$2:$F$18)</f>
        <v>110</v>
      </c>
      <c r="Z608" s="56">
        <f>_xlfn.XLOOKUP($N608,'Calculo Leads'!$A$97:$A$134,'Calculo Leads'!M$97:M$134)*_xlfn.XLOOKUP($P608,'Base Grupo de Produtos'!$E$2:$E$18,'Base Grupo de Produtos'!$F$2:$F$18)</f>
        <v>110</v>
      </c>
      <c r="AA608" s="56">
        <f>_xlfn.XLOOKUP($N608,'Calculo Leads'!$A$97:$A$134,'Calculo Leads'!N$97:N$134)*_xlfn.XLOOKUP($P608,'Base Grupo de Produtos'!$E$2:$E$18,'Base Grupo de Produtos'!$F$2:$F$18)</f>
        <v>110</v>
      </c>
      <c r="AB608" s="56">
        <f>_xlfn.XLOOKUP($N608,'Calculo Leads'!$A$97:$A$134,'Calculo Leads'!O$97:O$134)*_xlfn.XLOOKUP($P608,'Base Grupo de Produtos'!$E$2:$E$18,'Base Grupo de Produtos'!$F$2:$F$18)</f>
        <v>110</v>
      </c>
      <c r="AC608" s="61">
        <f t="shared" si="638"/>
        <v>750</v>
      </c>
      <c r="AD608" s="27">
        <f t="shared" si="654"/>
        <v>750</v>
      </c>
      <c r="AE608" s="25">
        <f>IFERROR(_xlfn.XLOOKUP(N608&amp;P608,'Historico Vendas'!G:G,'Historico Vendas'!E:E),0)</f>
        <v>0</v>
      </c>
      <c r="AF608" s="29" t="str">
        <f t="shared" si="613"/>
        <v/>
      </c>
      <c r="AG608" s="24">
        <f>IFERROR(_xlfn.XLOOKUP(N608&amp;P608,'Historico Vendas'!G:G,'Historico Vendas'!F:F),0)</f>
        <v>0</v>
      </c>
      <c r="AH608" s="25">
        <f t="shared" si="655"/>
        <v>358.80266666666665</v>
      </c>
      <c r="AI608" s="24">
        <f t="shared" si="656"/>
        <v>358.80266666666665</v>
      </c>
      <c r="AJ608" s="11">
        <f t="shared" si="619"/>
        <v>0</v>
      </c>
      <c r="AK608" s="9" t="s">
        <v>102</v>
      </c>
      <c r="AL608" s="13">
        <f>IFERROR(INDEX('Balizador da Meta'!$D$3:$F$23,MATCH(Faturamento!$P608,'Balizador da Meta'!$C$3:$C$23,0),MATCH(Faturamento!AK608,'Balizador da Meta'!$D$2:$F$2,0)),"")</f>
        <v>0</v>
      </c>
      <c r="AM608" s="9"/>
    </row>
    <row r="609" spans="1:39" x14ac:dyDescent="0.3">
      <c r="A609" s="2" t="str">
        <f t="shared" si="614"/>
        <v>NÃO</v>
      </c>
      <c r="B609" s="2" t="str">
        <f>_xlfn.XLOOKUP($N609,'Base de Grupos'!$A:$A,'Base de Grupos'!$D:$D)</f>
        <v>1000065763</v>
      </c>
      <c r="C609" s="5" t="str">
        <f>_xlfn.XLOOKUP($N609,'Base de Grupos'!$A:$A,'Base de Grupos'!$E:$E)</f>
        <v>CANAL VENDA INTERNA</v>
      </c>
      <c r="D609" s="5" t="str">
        <f>_xlfn.XLOOKUP($N609,'Base de Grupos'!$A:$A,'Base de Grupos'!$F:$F)</f>
        <v>1000065763</v>
      </c>
      <c r="E609" s="2" t="str">
        <f>_xlfn.XLOOKUP($N609,'Base de Grupos'!$A:$A,'Base de Grupos'!$G:$G)</f>
        <v>CANAL VENDA INTERNA</v>
      </c>
      <c r="F609" s="2" t="str">
        <f>_xlfn.XLOOKUP($N609,'Base de Grupos'!$A:$A,'Base de Grupos'!$H:$H)</f>
        <v>1000153245</v>
      </c>
      <c r="G609" s="5" t="str">
        <f>_xlfn.XLOOKUP($N609,'Base de Grupos'!$A:$A,'Base de Grupos'!$I:$I)</f>
        <v>REGIONAL VENDA INTERNA - KEY ACCOUNT</v>
      </c>
      <c r="H609" s="5" t="str">
        <f>_xlfn.XLOOKUP($N609,'Base de Grupos'!$A:$A,'Base de Grupos'!$J:$J)</f>
        <v>1000153245</v>
      </c>
      <c r="I609" s="2" t="str">
        <f>_xlfn.XLOOKUP($N609,'Base de Grupos'!$A:$A,'Base de Grupos'!$K:$K)</f>
        <v>REGIONAL VENDA INTERNA - KEY ACCOUNT</v>
      </c>
      <c r="J609" s="2" t="str">
        <f>_xlfn.XLOOKUP($N609,'Base de Grupos'!$A:$A,'Base de Grupos'!$L:$L)</f>
        <v>1000153245</v>
      </c>
      <c r="K609" s="5" t="str">
        <f>_xlfn.XLOOKUP($N609,'Base de Grupos'!$A:$A,'Base de Grupos'!$M:$M)</f>
        <v>REGIONAL VENDA INTERNA - KEY ACCOUNT</v>
      </c>
      <c r="L609" s="5" t="str">
        <f t="shared" si="615"/>
        <v/>
      </c>
      <c r="M609" s="5" t="str">
        <f>_xlfn.XLOOKUP($N609,'Base de Grupos'!$A:$A,'Base de Grupos'!$C:$C)</f>
        <v>RJ</v>
      </c>
      <c r="N609" s="3">
        <v>1433</v>
      </c>
      <c r="O609" s="4" t="s">
        <v>257</v>
      </c>
      <c r="P609" s="5" t="s">
        <v>90</v>
      </c>
      <c r="Q609" s="56">
        <v>0</v>
      </c>
      <c r="R609" s="56">
        <v>204.36930232558137</v>
      </c>
      <c r="S609" s="56">
        <v>204.36930232558137</v>
      </c>
      <c r="T609" s="56">
        <f>_xlfn.XLOOKUP($N609,'Calculo Leads'!$A$97:$A$134,'Calculo Leads'!G$97:G$134)*_xlfn.XLOOKUP($P609,'Base Grupo de Produtos'!$E$2:$E$18,'Base Grupo de Produtos'!$F$2:$F$18)</f>
        <v>50</v>
      </c>
      <c r="U609" s="56">
        <f>_xlfn.XLOOKUP($N609,'Calculo Leads'!$A$97:$A$134,'Calculo Leads'!H$97:H$134)*_xlfn.XLOOKUP($P609,'Base Grupo de Produtos'!$E$2:$E$18,'Base Grupo de Produtos'!$F$2:$F$18)</f>
        <v>50</v>
      </c>
      <c r="V609" s="56">
        <f>_xlfn.XLOOKUP($N609,'Calculo Leads'!$A$97:$A$134,'Calculo Leads'!I$97:I$134)*_xlfn.XLOOKUP($P609,'Base Grupo de Produtos'!$E$2:$E$18,'Base Grupo de Produtos'!$F$2:$F$18)</f>
        <v>50</v>
      </c>
      <c r="W609" s="56">
        <f>_xlfn.XLOOKUP($N609,'Calculo Leads'!$A$97:$A$134,'Calculo Leads'!J$97:J$134)*_xlfn.XLOOKUP($P609,'Base Grupo de Produtos'!$E$2:$E$18,'Base Grupo de Produtos'!$F$2:$F$18)</f>
        <v>50</v>
      </c>
      <c r="X609" s="56">
        <f>_xlfn.XLOOKUP($N609,'Calculo Leads'!$A$97:$A$134,'Calculo Leads'!K$97:K$134)*_xlfn.XLOOKUP($P609,'Base Grupo de Produtos'!$E$2:$E$18,'Base Grupo de Produtos'!$F$2:$F$18)</f>
        <v>110</v>
      </c>
      <c r="Y609" s="56">
        <f>_xlfn.XLOOKUP($N609,'Calculo Leads'!$A$97:$A$134,'Calculo Leads'!L$97:L$134)*_xlfn.XLOOKUP($P609,'Base Grupo de Produtos'!$E$2:$E$18,'Base Grupo de Produtos'!$F$2:$F$18)</f>
        <v>110</v>
      </c>
      <c r="Z609" s="56">
        <f>_xlfn.XLOOKUP($N609,'Calculo Leads'!$A$97:$A$134,'Calculo Leads'!M$97:M$134)*_xlfn.XLOOKUP($P609,'Base Grupo de Produtos'!$E$2:$E$18,'Base Grupo de Produtos'!$F$2:$F$18)</f>
        <v>110</v>
      </c>
      <c r="AA609" s="56">
        <f>_xlfn.XLOOKUP($N609,'Calculo Leads'!$A$97:$A$134,'Calculo Leads'!N$97:N$134)*_xlfn.XLOOKUP($P609,'Base Grupo de Produtos'!$E$2:$E$18,'Base Grupo de Produtos'!$F$2:$F$18)</f>
        <v>110</v>
      </c>
      <c r="AB609" s="56">
        <f>_xlfn.XLOOKUP($N609,'Calculo Leads'!$A$97:$A$134,'Calculo Leads'!O$97:O$134)*_xlfn.XLOOKUP($P609,'Base Grupo de Produtos'!$E$2:$E$18,'Base Grupo de Produtos'!$F$2:$F$18)</f>
        <v>110</v>
      </c>
      <c r="AC609" s="61">
        <f t="shared" si="638"/>
        <v>750</v>
      </c>
      <c r="AD609" s="27">
        <f t="shared" si="654"/>
        <v>750</v>
      </c>
      <c r="AE609" s="25">
        <f>IFERROR(_xlfn.XLOOKUP(N609&amp;P609,'Historico Vendas'!G:G,'Historico Vendas'!E:E),0)</f>
        <v>0</v>
      </c>
      <c r="AF609" s="29" t="str">
        <f t="shared" si="613"/>
        <v/>
      </c>
      <c r="AG609" s="24">
        <f>IFERROR(_xlfn.XLOOKUP(N609&amp;P609,'Historico Vendas'!G:G,'Historico Vendas'!F:F),0)</f>
        <v>0</v>
      </c>
      <c r="AH609" s="25">
        <f t="shared" si="655"/>
        <v>408.73860465116275</v>
      </c>
      <c r="AI609" s="24">
        <f t="shared" si="656"/>
        <v>408.73860465116275</v>
      </c>
      <c r="AJ609" s="11">
        <f t="shared" si="619"/>
        <v>0</v>
      </c>
      <c r="AK609" s="9" t="s">
        <v>102</v>
      </c>
      <c r="AL609" s="13">
        <f>IFERROR(INDEX('Balizador da Meta'!$D$3:$F$23,MATCH(Faturamento!$P609,'Balizador da Meta'!$C$3:$C$23,0),MATCH(Faturamento!AK609,'Balizador da Meta'!$D$2:$F$2,0)),"")</f>
        <v>0</v>
      </c>
      <c r="AM609" s="9"/>
    </row>
    <row r="610" spans="1:39" x14ac:dyDescent="0.3">
      <c r="A610" s="2" t="str">
        <f t="shared" si="614"/>
        <v>NÃO</v>
      </c>
      <c r="B610" s="2" t="str">
        <f>_xlfn.XLOOKUP($N610,'Base de Grupos'!$A:$A,'Base de Grupos'!$D:$D)</f>
        <v>1000065763</v>
      </c>
      <c r="C610" s="5" t="str">
        <f>_xlfn.XLOOKUP($N610,'Base de Grupos'!$A:$A,'Base de Grupos'!$E:$E)</f>
        <v>CANAL VENDA INTERNA</v>
      </c>
      <c r="D610" s="5" t="str">
        <f>_xlfn.XLOOKUP($N610,'Base de Grupos'!$A:$A,'Base de Grupos'!$F:$F)</f>
        <v>1000065763</v>
      </c>
      <c r="E610" s="2" t="str">
        <f>_xlfn.XLOOKUP($N610,'Base de Grupos'!$A:$A,'Base de Grupos'!$G:$G)</f>
        <v>CANAL VENDA INTERNA</v>
      </c>
      <c r="F610" s="2" t="str">
        <f>_xlfn.XLOOKUP($N610,'Base de Grupos'!$A:$A,'Base de Grupos'!$H:$H)</f>
        <v>1000153245</v>
      </c>
      <c r="G610" s="5" t="str">
        <f>_xlfn.XLOOKUP($N610,'Base de Grupos'!$A:$A,'Base de Grupos'!$I:$I)</f>
        <v>REGIONAL VENDA INTERNA - KEY ACCOUNT</v>
      </c>
      <c r="H610" s="5" t="str">
        <f>_xlfn.XLOOKUP($N610,'Base de Grupos'!$A:$A,'Base de Grupos'!$J:$J)</f>
        <v>1000153245</v>
      </c>
      <c r="I610" s="2" t="str">
        <f>_xlfn.XLOOKUP($N610,'Base de Grupos'!$A:$A,'Base de Grupos'!$K:$K)</f>
        <v>REGIONAL VENDA INTERNA - KEY ACCOUNT</v>
      </c>
      <c r="J610" s="2" t="str">
        <f>_xlfn.XLOOKUP($N610,'Base de Grupos'!$A:$A,'Base de Grupos'!$L:$L)</f>
        <v>1000153245</v>
      </c>
      <c r="K610" s="5" t="str">
        <f>_xlfn.XLOOKUP($N610,'Base de Grupos'!$A:$A,'Base de Grupos'!$M:$M)</f>
        <v>REGIONAL VENDA INTERNA - KEY ACCOUNT</v>
      </c>
      <c r="L610" s="5" t="str">
        <f t="shared" si="615"/>
        <v/>
      </c>
      <c r="M610" s="5" t="str">
        <f>_xlfn.XLOOKUP($N610,'Base de Grupos'!$A:$A,'Base de Grupos'!$C:$C)</f>
        <v>RJ</v>
      </c>
      <c r="N610" s="3">
        <v>1433</v>
      </c>
      <c r="O610" s="4" t="s">
        <v>257</v>
      </c>
      <c r="P610" s="5" t="s">
        <v>91</v>
      </c>
      <c r="Q610" s="56">
        <v>0</v>
      </c>
      <c r="R610" s="56">
        <v>143.15866666666668</v>
      </c>
      <c r="S610" s="56">
        <v>143.15866666666668</v>
      </c>
      <c r="T610" s="56">
        <f>_xlfn.XLOOKUP($N610,'Calculo Leads'!$A$97:$A$134,'Calculo Leads'!G$97:G$134)*_xlfn.XLOOKUP($P610,'Base Grupo de Produtos'!$E$2:$E$18,'Base Grupo de Produtos'!$F$2:$F$18)</f>
        <v>0</v>
      </c>
      <c r="U610" s="56">
        <f>_xlfn.XLOOKUP($N610,'Calculo Leads'!$A$97:$A$134,'Calculo Leads'!H$97:H$134)*_xlfn.XLOOKUP($P610,'Base Grupo de Produtos'!$E$2:$E$18,'Base Grupo de Produtos'!$F$2:$F$18)</f>
        <v>0</v>
      </c>
      <c r="V610" s="56">
        <f>_xlfn.XLOOKUP($N610,'Calculo Leads'!$A$97:$A$134,'Calculo Leads'!I$97:I$134)*_xlfn.XLOOKUP($P610,'Base Grupo de Produtos'!$E$2:$E$18,'Base Grupo de Produtos'!$F$2:$F$18)</f>
        <v>0</v>
      </c>
      <c r="W610" s="56">
        <f>_xlfn.XLOOKUP($N610,'Calculo Leads'!$A$97:$A$134,'Calculo Leads'!J$97:J$134)*_xlfn.XLOOKUP($P610,'Base Grupo de Produtos'!$E$2:$E$18,'Base Grupo de Produtos'!$F$2:$F$18)</f>
        <v>0</v>
      </c>
      <c r="X610" s="56">
        <f>_xlfn.XLOOKUP($N610,'Calculo Leads'!$A$97:$A$134,'Calculo Leads'!K$97:K$134)*_xlfn.XLOOKUP($P610,'Base Grupo de Produtos'!$E$2:$E$18,'Base Grupo de Produtos'!$F$2:$F$18)</f>
        <v>0</v>
      </c>
      <c r="Y610" s="56">
        <f>_xlfn.XLOOKUP($N610,'Calculo Leads'!$A$97:$A$134,'Calculo Leads'!L$97:L$134)*_xlfn.XLOOKUP($P610,'Base Grupo de Produtos'!$E$2:$E$18,'Base Grupo de Produtos'!$F$2:$F$18)</f>
        <v>0</v>
      </c>
      <c r="Z610" s="56">
        <f>_xlfn.XLOOKUP($N610,'Calculo Leads'!$A$97:$A$134,'Calculo Leads'!M$97:M$134)*_xlfn.XLOOKUP($P610,'Base Grupo de Produtos'!$E$2:$E$18,'Base Grupo de Produtos'!$F$2:$F$18)</f>
        <v>0</v>
      </c>
      <c r="AA610" s="56">
        <f>_xlfn.XLOOKUP($N610,'Calculo Leads'!$A$97:$A$134,'Calculo Leads'!N$97:N$134)*_xlfn.XLOOKUP($P610,'Base Grupo de Produtos'!$E$2:$E$18,'Base Grupo de Produtos'!$F$2:$F$18)</f>
        <v>0</v>
      </c>
      <c r="AB610" s="56">
        <f>_xlfn.XLOOKUP($N610,'Calculo Leads'!$A$97:$A$134,'Calculo Leads'!O$97:O$134)*_xlfn.XLOOKUP($P610,'Base Grupo de Produtos'!$E$2:$E$18,'Base Grupo de Produtos'!$F$2:$F$18)</f>
        <v>0</v>
      </c>
      <c r="AC610" s="61">
        <f t="shared" si="638"/>
        <v>0</v>
      </c>
      <c r="AD610" s="27">
        <f t="shared" si="654"/>
        <v>0</v>
      </c>
      <c r="AE610" s="25">
        <f>IFERROR(_xlfn.XLOOKUP(N610&amp;P610,'Historico Vendas'!G:G,'Historico Vendas'!E:E),0)</f>
        <v>0</v>
      </c>
      <c r="AF610" s="29" t="str">
        <f t="shared" si="613"/>
        <v/>
      </c>
      <c r="AG610" s="24">
        <f>IFERROR(_xlfn.XLOOKUP(N610&amp;P610,'Historico Vendas'!G:G,'Historico Vendas'!F:F),0)</f>
        <v>0</v>
      </c>
      <c r="AH610" s="25">
        <f t="shared" si="655"/>
        <v>286.31733333333335</v>
      </c>
      <c r="AI610" s="24">
        <f t="shared" si="656"/>
        <v>286.31733333333335</v>
      </c>
      <c r="AJ610" s="11">
        <f t="shared" si="619"/>
        <v>0</v>
      </c>
      <c r="AK610" s="9" t="s">
        <v>102</v>
      </c>
      <c r="AL610" s="13">
        <f>IFERROR(INDEX('Balizador da Meta'!$D$3:$F$23,MATCH(Faturamento!$P610,'Balizador da Meta'!$C$3:$C$23,0),MATCH(Faturamento!AK610,'Balizador da Meta'!$D$2:$F$2,0)),"")</f>
        <v>0</v>
      </c>
      <c r="AM610" s="9"/>
    </row>
    <row r="611" spans="1:39" x14ac:dyDescent="0.3">
      <c r="A611" s="2" t="str">
        <f t="shared" si="614"/>
        <v>NÃO</v>
      </c>
      <c r="B611" s="2" t="str">
        <f>_xlfn.XLOOKUP($N611,'Base de Grupos'!$A:$A,'Base de Grupos'!$D:$D)</f>
        <v>1000065763</v>
      </c>
      <c r="C611" s="5" t="str">
        <f>_xlfn.XLOOKUP($N611,'Base de Grupos'!$A:$A,'Base de Grupos'!$E:$E)</f>
        <v>CANAL VENDA INTERNA</v>
      </c>
      <c r="D611" s="5" t="str">
        <f>_xlfn.XLOOKUP($N611,'Base de Grupos'!$A:$A,'Base de Grupos'!$F:$F)</f>
        <v>1000065763</v>
      </c>
      <c r="E611" s="2" t="str">
        <f>_xlfn.XLOOKUP($N611,'Base de Grupos'!$A:$A,'Base de Grupos'!$G:$G)</f>
        <v>CANAL VENDA INTERNA</v>
      </c>
      <c r="F611" s="2" t="str">
        <f>_xlfn.XLOOKUP($N611,'Base de Grupos'!$A:$A,'Base de Grupos'!$H:$H)</f>
        <v>1000153245</v>
      </c>
      <c r="G611" s="5" t="str">
        <f>_xlfn.XLOOKUP($N611,'Base de Grupos'!$A:$A,'Base de Grupos'!$I:$I)</f>
        <v>REGIONAL VENDA INTERNA - KEY ACCOUNT</v>
      </c>
      <c r="H611" s="5" t="str">
        <f>_xlfn.XLOOKUP($N611,'Base de Grupos'!$A:$A,'Base de Grupos'!$J:$J)</f>
        <v>1000153245</v>
      </c>
      <c r="I611" s="2" t="str">
        <f>_xlfn.XLOOKUP($N611,'Base de Grupos'!$A:$A,'Base de Grupos'!$K:$K)</f>
        <v>REGIONAL VENDA INTERNA - KEY ACCOUNT</v>
      </c>
      <c r="J611" s="2" t="str">
        <f>_xlfn.XLOOKUP($N611,'Base de Grupos'!$A:$A,'Base de Grupos'!$L:$L)</f>
        <v>1000153245</v>
      </c>
      <c r="K611" s="5" t="str">
        <f>_xlfn.XLOOKUP($N611,'Base de Grupos'!$A:$A,'Base de Grupos'!$M:$M)</f>
        <v>REGIONAL VENDA INTERNA - KEY ACCOUNT</v>
      </c>
      <c r="L611" s="5" t="str">
        <f t="shared" si="615"/>
        <v/>
      </c>
      <c r="M611" s="5" t="str">
        <f>_xlfn.XLOOKUP($N611,'Base de Grupos'!$A:$A,'Base de Grupos'!$C:$C)</f>
        <v>RJ</v>
      </c>
      <c r="N611" s="3">
        <v>1433</v>
      </c>
      <c r="O611" s="4" t="s">
        <v>257</v>
      </c>
      <c r="P611" s="5" t="s">
        <v>96</v>
      </c>
      <c r="Q611" s="56">
        <v>0</v>
      </c>
      <c r="R611" s="56">
        <v>40.9</v>
      </c>
      <c r="S611" s="56">
        <v>40.9</v>
      </c>
      <c r="T611" s="56">
        <f>_xlfn.XLOOKUP($N611,'Calculo Leads'!$A$97:$A$134,'Calculo Leads'!G$97:G$134)*_xlfn.XLOOKUP($P611,'Base Grupo de Produtos'!$E$2:$E$18,'Base Grupo de Produtos'!$F$2:$F$18)</f>
        <v>70</v>
      </c>
      <c r="U611" s="56">
        <f>_xlfn.XLOOKUP($N611,'Calculo Leads'!$A$97:$A$134,'Calculo Leads'!H$97:H$134)*_xlfn.XLOOKUP($P611,'Base Grupo de Produtos'!$E$2:$E$18,'Base Grupo de Produtos'!$F$2:$F$18)</f>
        <v>70</v>
      </c>
      <c r="V611" s="56">
        <f>_xlfn.XLOOKUP($N611,'Calculo Leads'!$A$97:$A$134,'Calculo Leads'!I$97:I$134)*_xlfn.XLOOKUP($P611,'Base Grupo de Produtos'!$E$2:$E$18,'Base Grupo de Produtos'!$F$2:$F$18)</f>
        <v>70</v>
      </c>
      <c r="W611" s="56">
        <f>_xlfn.XLOOKUP($N611,'Calculo Leads'!$A$97:$A$134,'Calculo Leads'!J$97:J$134)*_xlfn.XLOOKUP($P611,'Base Grupo de Produtos'!$E$2:$E$18,'Base Grupo de Produtos'!$F$2:$F$18)</f>
        <v>70</v>
      </c>
      <c r="X611" s="56">
        <f>_xlfn.XLOOKUP($N611,'Calculo Leads'!$A$97:$A$134,'Calculo Leads'!K$97:K$134)*_xlfn.XLOOKUP($P611,'Base Grupo de Produtos'!$E$2:$E$18,'Base Grupo de Produtos'!$F$2:$F$18)</f>
        <v>154.00000000000003</v>
      </c>
      <c r="Y611" s="56">
        <f>_xlfn.XLOOKUP($N611,'Calculo Leads'!$A$97:$A$134,'Calculo Leads'!L$97:L$134)*_xlfn.XLOOKUP($P611,'Base Grupo de Produtos'!$E$2:$E$18,'Base Grupo de Produtos'!$F$2:$F$18)</f>
        <v>154.00000000000003</v>
      </c>
      <c r="Z611" s="56">
        <f>_xlfn.XLOOKUP($N611,'Calculo Leads'!$A$97:$A$134,'Calculo Leads'!M$97:M$134)*_xlfn.XLOOKUP($P611,'Base Grupo de Produtos'!$E$2:$E$18,'Base Grupo de Produtos'!$F$2:$F$18)</f>
        <v>154.00000000000003</v>
      </c>
      <c r="AA611" s="56">
        <f>_xlfn.XLOOKUP($N611,'Calculo Leads'!$A$97:$A$134,'Calculo Leads'!N$97:N$134)*_xlfn.XLOOKUP($P611,'Base Grupo de Produtos'!$E$2:$E$18,'Base Grupo de Produtos'!$F$2:$F$18)</f>
        <v>154.00000000000003</v>
      </c>
      <c r="AB611" s="56">
        <f>_xlfn.XLOOKUP($N611,'Calculo Leads'!$A$97:$A$134,'Calculo Leads'!O$97:O$134)*_xlfn.XLOOKUP($P611,'Base Grupo de Produtos'!$E$2:$E$18,'Base Grupo de Produtos'!$F$2:$F$18)</f>
        <v>154.00000000000003</v>
      </c>
      <c r="AC611" s="61">
        <f t="shared" si="638"/>
        <v>1050</v>
      </c>
      <c r="AD611" s="27">
        <f t="shared" si="654"/>
        <v>1050</v>
      </c>
      <c r="AE611" s="25">
        <f>IFERROR(_xlfn.XLOOKUP(N611&amp;P611,'Historico Vendas'!G:G,'Historico Vendas'!E:E),0)</f>
        <v>0</v>
      </c>
      <c r="AF611" s="29" t="str">
        <f t="shared" si="613"/>
        <v/>
      </c>
      <c r="AG611" s="24">
        <f>IFERROR(_xlfn.XLOOKUP(N611&amp;P611,'Historico Vendas'!G:G,'Historico Vendas'!F:F),0)</f>
        <v>0</v>
      </c>
      <c r="AH611" s="25">
        <f t="shared" si="655"/>
        <v>81.8</v>
      </c>
      <c r="AI611" s="24">
        <f t="shared" si="656"/>
        <v>81.8</v>
      </c>
      <c r="AJ611" s="11">
        <f t="shared" si="619"/>
        <v>0</v>
      </c>
      <c r="AK611" s="9" t="s">
        <v>102</v>
      </c>
      <c r="AL611" s="13">
        <f>IFERROR(INDEX('Balizador da Meta'!$D$3:$F$23,MATCH(Faturamento!$P611,'Balizador da Meta'!$C$3:$C$23,0),MATCH(Faturamento!AK611,'Balizador da Meta'!$D$2:$F$2,0)),"")</f>
        <v>0</v>
      </c>
      <c r="AM611" s="9"/>
    </row>
    <row r="612" spans="1:39" x14ac:dyDescent="0.3">
      <c r="A612" s="2" t="str">
        <f t="shared" si="614"/>
        <v>NÃO</v>
      </c>
      <c r="B612" s="2" t="str">
        <f>_xlfn.XLOOKUP($N612,'Base de Grupos'!$A:$A,'Base de Grupos'!$D:$D)</f>
        <v>1000065763</v>
      </c>
      <c r="C612" s="5" t="str">
        <f>_xlfn.XLOOKUP($N612,'Base de Grupos'!$A:$A,'Base de Grupos'!$E:$E)</f>
        <v>CANAL VENDA INTERNA</v>
      </c>
      <c r="D612" s="5" t="str">
        <f>_xlfn.XLOOKUP($N612,'Base de Grupos'!$A:$A,'Base de Grupos'!$F:$F)</f>
        <v>1000065763</v>
      </c>
      <c r="E612" s="2" t="str">
        <f>_xlfn.XLOOKUP($N612,'Base de Grupos'!$A:$A,'Base de Grupos'!$G:$G)</f>
        <v>CANAL VENDA INTERNA</v>
      </c>
      <c r="F612" s="2" t="str">
        <f>_xlfn.XLOOKUP($N612,'Base de Grupos'!$A:$A,'Base de Grupos'!$H:$H)</f>
        <v>1000153245</v>
      </c>
      <c r="G612" s="5" t="str">
        <f>_xlfn.XLOOKUP($N612,'Base de Grupos'!$A:$A,'Base de Grupos'!$I:$I)</f>
        <v>REGIONAL VENDA INTERNA - KEY ACCOUNT</v>
      </c>
      <c r="H612" s="5" t="str">
        <f>_xlfn.XLOOKUP($N612,'Base de Grupos'!$A:$A,'Base de Grupos'!$J:$J)</f>
        <v>1000153245</v>
      </c>
      <c r="I612" s="2" t="str">
        <f>_xlfn.XLOOKUP($N612,'Base de Grupos'!$A:$A,'Base de Grupos'!$K:$K)</f>
        <v>REGIONAL VENDA INTERNA - KEY ACCOUNT</v>
      </c>
      <c r="J612" s="2" t="str">
        <f>_xlfn.XLOOKUP($N612,'Base de Grupos'!$A:$A,'Base de Grupos'!$L:$L)</f>
        <v>1000153245</v>
      </c>
      <c r="K612" s="5" t="str">
        <f>_xlfn.XLOOKUP($N612,'Base de Grupos'!$A:$A,'Base de Grupos'!$M:$M)</f>
        <v>REGIONAL VENDA INTERNA - KEY ACCOUNT</v>
      </c>
      <c r="L612" s="5" t="str">
        <f t="shared" si="615"/>
        <v/>
      </c>
      <c r="M612" s="5" t="str">
        <f>_xlfn.XLOOKUP($N612,'Base de Grupos'!$A:$A,'Base de Grupos'!$C:$C)</f>
        <v>RJ</v>
      </c>
      <c r="N612" s="3">
        <v>1433</v>
      </c>
      <c r="O612" s="4" t="s">
        <v>257</v>
      </c>
      <c r="P612" s="5" t="s">
        <v>94</v>
      </c>
      <c r="Q612" s="56">
        <v>0</v>
      </c>
      <c r="R612" s="56">
        <v>1470.3095435684643</v>
      </c>
      <c r="S612" s="56">
        <v>1470.3095435684643</v>
      </c>
      <c r="T612" s="56">
        <f>_xlfn.XLOOKUP($N612,'Calculo Leads'!$A$97:$A$134,'Calculo Leads'!G$97:G$134)*_xlfn.XLOOKUP($P612,'Base Grupo de Produtos'!$E$2:$E$18,'Base Grupo de Produtos'!$F$2:$F$18)</f>
        <v>49.999999999999993</v>
      </c>
      <c r="U612" s="56">
        <f>_xlfn.XLOOKUP($N612,'Calculo Leads'!$A$97:$A$134,'Calculo Leads'!H$97:H$134)*_xlfn.XLOOKUP($P612,'Base Grupo de Produtos'!$E$2:$E$18,'Base Grupo de Produtos'!$F$2:$F$18)</f>
        <v>49.999999999999993</v>
      </c>
      <c r="V612" s="56">
        <f>_xlfn.XLOOKUP($N612,'Calculo Leads'!$A$97:$A$134,'Calculo Leads'!I$97:I$134)*_xlfn.XLOOKUP($P612,'Base Grupo de Produtos'!$E$2:$E$18,'Base Grupo de Produtos'!$F$2:$F$18)</f>
        <v>49.999999999999993</v>
      </c>
      <c r="W612" s="56">
        <f>_xlfn.XLOOKUP($N612,'Calculo Leads'!$A$97:$A$134,'Calculo Leads'!J$97:J$134)*_xlfn.XLOOKUP($P612,'Base Grupo de Produtos'!$E$2:$E$18,'Base Grupo de Produtos'!$F$2:$F$18)</f>
        <v>49.999999999999993</v>
      </c>
      <c r="X612" s="56">
        <f>_xlfn.XLOOKUP($N612,'Calculo Leads'!$A$97:$A$134,'Calculo Leads'!K$97:K$134)*_xlfn.XLOOKUP($P612,'Base Grupo de Produtos'!$E$2:$E$18,'Base Grupo de Produtos'!$F$2:$F$18)</f>
        <v>109.99999999999999</v>
      </c>
      <c r="Y612" s="56">
        <f>_xlfn.XLOOKUP($N612,'Calculo Leads'!$A$97:$A$134,'Calculo Leads'!L$97:L$134)*_xlfn.XLOOKUP($P612,'Base Grupo de Produtos'!$E$2:$E$18,'Base Grupo de Produtos'!$F$2:$F$18)</f>
        <v>109.99999999999999</v>
      </c>
      <c r="Z612" s="56">
        <f>_xlfn.XLOOKUP($N612,'Calculo Leads'!$A$97:$A$134,'Calculo Leads'!M$97:M$134)*_xlfn.XLOOKUP($P612,'Base Grupo de Produtos'!$E$2:$E$18,'Base Grupo de Produtos'!$F$2:$F$18)</f>
        <v>109.99999999999999</v>
      </c>
      <c r="AA612" s="56">
        <f>_xlfn.XLOOKUP($N612,'Calculo Leads'!$A$97:$A$134,'Calculo Leads'!N$97:N$134)*_xlfn.XLOOKUP($P612,'Base Grupo de Produtos'!$E$2:$E$18,'Base Grupo de Produtos'!$F$2:$F$18)</f>
        <v>109.99999999999999</v>
      </c>
      <c r="AB612" s="56">
        <f>_xlfn.XLOOKUP($N612,'Calculo Leads'!$A$97:$A$134,'Calculo Leads'!O$97:O$134)*_xlfn.XLOOKUP($P612,'Base Grupo de Produtos'!$E$2:$E$18,'Base Grupo de Produtos'!$F$2:$F$18)</f>
        <v>109.99999999999999</v>
      </c>
      <c r="AC612" s="61">
        <f t="shared" si="638"/>
        <v>749.99999999999989</v>
      </c>
      <c r="AD612" s="27">
        <f t="shared" si="654"/>
        <v>749.99999999999989</v>
      </c>
      <c r="AE612" s="25">
        <f>IFERROR(_xlfn.XLOOKUP(N612&amp;P612,'Historico Vendas'!G:G,'Historico Vendas'!E:E),0)</f>
        <v>0</v>
      </c>
      <c r="AF612" s="29" t="str">
        <f t="shared" si="613"/>
        <v/>
      </c>
      <c r="AG612" s="24">
        <f>IFERROR(_xlfn.XLOOKUP(N612&amp;P612,'Historico Vendas'!G:G,'Historico Vendas'!F:F),0)</f>
        <v>0</v>
      </c>
      <c r="AH612" s="25">
        <f t="shared" si="655"/>
        <v>2940.6190871369286</v>
      </c>
      <c r="AI612" s="24">
        <f t="shared" si="656"/>
        <v>2940.6190871369286</v>
      </c>
      <c r="AJ612" s="11">
        <f t="shared" si="619"/>
        <v>0</v>
      </c>
      <c r="AK612" s="9" t="s">
        <v>102</v>
      </c>
      <c r="AL612" s="13">
        <f>IFERROR(INDEX('Balizador da Meta'!$D$3:$F$23,MATCH(Faturamento!$P612,'Balizador da Meta'!$C$3:$C$23,0),MATCH(Faturamento!AK612,'Balizador da Meta'!$D$2:$F$2,0)),"")</f>
        <v>0.25</v>
      </c>
      <c r="AM612" s="9"/>
    </row>
    <row r="613" spans="1:39" x14ac:dyDescent="0.3">
      <c r="A613" s="2" t="str">
        <f t="shared" si="614"/>
        <v>NÃO</v>
      </c>
      <c r="B613" s="2" t="str">
        <f>_xlfn.XLOOKUP($N613,'Base de Grupos'!$A:$A,'Base de Grupos'!$D:$D)</f>
        <v>1000065763</v>
      </c>
      <c r="C613" s="5" t="str">
        <f>_xlfn.XLOOKUP($N613,'Base de Grupos'!$A:$A,'Base de Grupos'!$E:$E)</f>
        <v>CANAL VENDA INTERNA</v>
      </c>
      <c r="D613" s="5" t="str">
        <f>_xlfn.XLOOKUP($N613,'Base de Grupos'!$A:$A,'Base de Grupos'!$F:$F)</f>
        <v>1000065763</v>
      </c>
      <c r="E613" s="2" t="str">
        <f>_xlfn.XLOOKUP($N613,'Base de Grupos'!$A:$A,'Base de Grupos'!$G:$G)</f>
        <v>CANAL VENDA INTERNA</v>
      </c>
      <c r="F613" s="2" t="str">
        <f>_xlfn.XLOOKUP($N613,'Base de Grupos'!$A:$A,'Base de Grupos'!$H:$H)</f>
        <v>1000153245</v>
      </c>
      <c r="G613" s="5" t="str">
        <f>_xlfn.XLOOKUP($N613,'Base de Grupos'!$A:$A,'Base de Grupos'!$I:$I)</f>
        <v>REGIONAL VENDA INTERNA - KEY ACCOUNT</v>
      </c>
      <c r="H613" s="5" t="str">
        <f>_xlfn.XLOOKUP($N613,'Base de Grupos'!$A:$A,'Base de Grupos'!$J:$J)</f>
        <v>1000153245</v>
      </c>
      <c r="I613" s="2" t="str">
        <f>_xlfn.XLOOKUP($N613,'Base de Grupos'!$A:$A,'Base de Grupos'!$K:$K)</f>
        <v>REGIONAL VENDA INTERNA - KEY ACCOUNT</v>
      </c>
      <c r="J613" s="2" t="str">
        <f>_xlfn.XLOOKUP($N613,'Base de Grupos'!$A:$A,'Base de Grupos'!$L:$L)</f>
        <v>1000153245</v>
      </c>
      <c r="K613" s="5" t="str">
        <f>_xlfn.XLOOKUP($N613,'Base de Grupos'!$A:$A,'Base de Grupos'!$M:$M)</f>
        <v>REGIONAL VENDA INTERNA - KEY ACCOUNT</v>
      </c>
      <c r="L613" s="5" t="str">
        <f t="shared" si="615"/>
        <v/>
      </c>
      <c r="M613" s="5" t="str">
        <f>_xlfn.XLOOKUP($N613,'Base de Grupos'!$A:$A,'Base de Grupos'!$C:$C)</f>
        <v>RJ</v>
      </c>
      <c r="N613" s="3">
        <v>1433</v>
      </c>
      <c r="O613" s="4" t="s">
        <v>257</v>
      </c>
      <c r="P613" s="5" t="s">
        <v>95</v>
      </c>
      <c r="Q613" s="56">
        <v>0</v>
      </c>
      <c r="R613" s="56">
        <v>2302.1240000000003</v>
      </c>
      <c r="S613" s="56">
        <v>2616.0500000000002</v>
      </c>
      <c r="T613" s="56">
        <f>_xlfn.XLOOKUP($N613,'Calculo Leads'!$A$97:$A$134,'Calculo Leads'!G$97:G$134)*_xlfn.XLOOKUP($P613,'Base Grupo de Produtos'!$E$2:$E$18,'Base Grupo de Produtos'!$F$2:$F$18)</f>
        <v>80</v>
      </c>
      <c r="U613" s="56">
        <f>_xlfn.XLOOKUP($N613,'Calculo Leads'!$A$97:$A$134,'Calculo Leads'!H$97:H$134)*_xlfn.XLOOKUP($P613,'Base Grupo de Produtos'!$E$2:$E$18,'Base Grupo de Produtos'!$F$2:$F$18)</f>
        <v>80</v>
      </c>
      <c r="V613" s="56">
        <f>_xlfn.XLOOKUP($N613,'Calculo Leads'!$A$97:$A$134,'Calculo Leads'!I$97:I$134)*_xlfn.XLOOKUP($P613,'Base Grupo de Produtos'!$E$2:$E$18,'Base Grupo de Produtos'!$F$2:$F$18)</f>
        <v>80</v>
      </c>
      <c r="W613" s="56">
        <f>_xlfn.XLOOKUP($N613,'Calculo Leads'!$A$97:$A$134,'Calculo Leads'!J$97:J$134)*_xlfn.XLOOKUP($P613,'Base Grupo de Produtos'!$E$2:$E$18,'Base Grupo de Produtos'!$F$2:$F$18)</f>
        <v>80</v>
      </c>
      <c r="X613" s="56">
        <f>_xlfn.XLOOKUP($N613,'Calculo Leads'!$A$97:$A$134,'Calculo Leads'!K$97:K$134)*_xlfn.XLOOKUP($P613,'Base Grupo de Produtos'!$E$2:$E$18,'Base Grupo de Produtos'!$F$2:$F$18)</f>
        <v>176</v>
      </c>
      <c r="Y613" s="56">
        <f>_xlfn.XLOOKUP($N613,'Calculo Leads'!$A$97:$A$134,'Calculo Leads'!L$97:L$134)*_xlfn.XLOOKUP($P613,'Base Grupo de Produtos'!$E$2:$E$18,'Base Grupo de Produtos'!$F$2:$F$18)</f>
        <v>176</v>
      </c>
      <c r="Z613" s="56">
        <f>_xlfn.XLOOKUP($N613,'Calculo Leads'!$A$97:$A$134,'Calculo Leads'!M$97:M$134)*_xlfn.XLOOKUP($P613,'Base Grupo de Produtos'!$E$2:$E$18,'Base Grupo de Produtos'!$F$2:$F$18)</f>
        <v>176</v>
      </c>
      <c r="AA613" s="56">
        <f>_xlfn.XLOOKUP($N613,'Calculo Leads'!$A$97:$A$134,'Calculo Leads'!N$97:N$134)*_xlfn.XLOOKUP($P613,'Base Grupo de Produtos'!$E$2:$E$18,'Base Grupo de Produtos'!$F$2:$F$18)</f>
        <v>176</v>
      </c>
      <c r="AB613" s="56">
        <f>_xlfn.XLOOKUP($N613,'Calculo Leads'!$A$97:$A$134,'Calculo Leads'!O$97:O$134)*_xlfn.XLOOKUP($P613,'Base Grupo de Produtos'!$E$2:$E$18,'Base Grupo de Produtos'!$F$2:$F$18)</f>
        <v>176</v>
      </c>
      <c r="AC613" s="61">
        <f t="shared" si="638"/>
        <v>1200</v>
      </c>
      <c r="AD613" s="27">
        <f t="shared" si="654"/>
        <v>1200</v>
      </c>
      <c r="AE613" s="25">
        <f>IFERROR(_xlfn.XLOOKUP(N613&amp;P613,'Historico Vendas'!G:G,'Historico Vendas'!E:E),0)</f>
        <v>0</v>
      </c>
      <c r="AF613" s="29" t="str">
        <f t="shared" si="613"/>
        <v/>
      </c>
      <c r="AG613" s="24">
        <f>IFERROR(_xlfn.XLOOKUP(N613&amp;P613,'Historico Vendas'!G:G,'Historico Vendas'!F:F),0)</f>
        <v>0</v>
      </c>
      <c r="AH613" s="25">
        <f t="shared" si="655"/>
        <v>4918.1740000000009</v>
      </c>
      <c r="AI613" s="24">
        <f t="shared" si="656"/>
        <v>4918.1740000000009</v>
      </c>
      <c r="AJ613" s="11">
        <f t="shared" si="619"/>
        <v>0</v>
      </c>
      <c r="AK613" s="9" t="s">
        <v>102</v>
      </c>
      <c r="AL613" s="13">
        <f>IFERROR(INDEX('Balizador da Meta'!$D$3:$F$23,MATCH(Faturamento!$P613,'Balizador da Meta'!$C$3:$C$23,0),MATCH(Faturamento!AK613,'Balizador da Meta'!$D$2:$F$2,0)),"")</f>
        <v>0.25</v>
      </c>
      <c r="AM613" s="9"/>
    </row>
    <row r="614" spans="1:39" x14ac:dyDescent="0.3">
      <c r="A614" s="2" t="str">
        <f t="shared" si="614"/>
        <v>NÃO</v>
      </c>
      <c r="B614" s="2" t="str">
        <f>_xlfn.XLOOKUP($N614,'Base de Grupos'!$A:$A,'Base de Grupos'!$D:$D)</f>
        <v>1000065763</v>
      </c>
      <c r="C614" s="5" t="str">
        <f>_xlfn.XLOOKUP($N614,'Base de Grupos'!$A:$A,'Base de Grupos'!$E:$E)</f>
        <v>CANAL VENDA INTERNA</v>
      </c>
      <c r="D614" s="5" t="str">
        <f>_xlfn.XLOOKUP($N614,'Base de Grupos'!$A:$A,'Base de Grupos'!$F:$F)</f>
        <v>1000065763</v>
      </c>
      <c r="E614" s="2" t="str">
        <f>_xlfn.XLOOKUP($N614,'Base de Grupos'!$A:$A,'Base de Grupos'!$G:$G)</f>
        <v>CANAL VENDA INTERNA</v>
      </c>
      <c r="F614" s="2" t="str">
        <f>_xlfn.XLOOKUP($N614,'Base de Grupos'!$A:$A,'Base de Grupos'!$H:$H)</f>
        <v>1000153245</v>
      </c>
      <c r="G614" s="5" t="str">
        <f>_xlfn.XLOOKUP($N614,'Base de Grupos'!$A:$A,'Base de Grupos'!$I:$I)</f>
        <v>REGIONAL VENDA INTERNA - KEY ACCOUNT</v>
      </c>
      <c r="H614" s="5" t="str">
        <f>_xlfn.XLOOKUP($N614,'Base de Grupos'!$A:$A,'Base de Grupos'!$J:$J)</f>
        <v>1000153245</v>
      </c>
      <c r="I614" s="2" t="str">
        <f>_xlfn.XLOOKUP($N614,'Base de Grupos'!$A:$A,'Base de Grupos'!$K:$K)</f>
        <v>REGIONAL VENDA INTERNA - KEY ACCOUNT</v>
      </c>
      <c r="J614" s="2" t="str">
        <f>_xlfn.XLOOKUP($N614,'Base de Grupos'!$A:$A,'Base de Grupos'!$L:$L)</f>
        <v>1000153245</v>
      </c>
      <c r="K614" s="5" t="str">
        <f>_xlfn.XLOOKUP($N614,'Base de Grupos'!$A:$A,'Base de Grupos'!$M:$M)</f>
        <v>REGIONAL VENDA INTERNA - KEY ACCOUNT</v>
      </c>
      <c r="L614" s="5" t="str">
        <f t="shared" si="615"/>
        <v/>
      </c>
      <c r="M614" s="5" t="str">
        <f>_xlfn.XLOOKUP($N614,'Base de Grupos'!$A:$A,'Base de Grupos'!$C:$C)</f>
        <v>RJ</v>
      </c>
      <c r="N614" s="3">
        <v>1433</v>
      </c>
      <c r="O614" s="4" t="s">
        <v>257</v>
      </c>
      <c r="P614" s="5" t="s">
        <v>93</v>
      </c>
      <c r="Q614" s="56">
        <v>0</v>
      </c>
      <c r="R614" s="56">
        <v>585.97440000000006</v>
      </c>
      <c r="S614" s="56">
        <v>585.97440000000006</v>
      </c>
      <c r="T614" s="56">
        <f>_xlfn.XLOOKUP($N614,'Calculo Leads'!$A$97:$A$134,'Calculo Leads'!G$97:G$134)*_xlfn.XLOOKUP($P614,'Base Grupo de Produtos'!$E$2:$E$18,'Base Grupo de Produtos'!$F$2:$F$18)</f>
        <v>30</v>
      </c>
      <c r="U614" s="56">
        <f>_xlfn.XLOOKUP($N614,'Calculo Leads'!$A$97:$A$134,'Calculo Leads'!H$97:H$134)*_xlfn.XLOOKUP($P614,'Base Grupo de Produtos'!$E$2:$E$18,'Base Grupo de Produtos'!$F$2:$F$18)</f>
        <v>30</v>
      </c>
      <c r="V614" s="56">
        <f>_xlfn.XLOOKUP($N614,'Calculo Leads'!$A$97:$A$134,'Calculo Leads'!I$97:I$134)*_xlfn.XLOOKUP($P614,'Base Grupo de Produtos'!$E$2:$E$18,'Base Grupo de Produtos'!$F$2:$F$18)</f>
        <v>30</v>
      </c>
      <c r="W614" s="56">
        <f>_xlfn.XLOOKUP($N614,'Calculo Leads'!$A$97:$A$134,'Calculo Leads'!J$97:J$134)*_xlfn.XLOOKUP($P614,'Base Grupo de Produtos'!$E$2:$E$18,'Base Grupo de Produtos'!$F$2:$F$18)</f>
        <v>30</v>
      </c>
      <c r="X614" s="56">
        <f>_xlfn.XLOOKUP($N614,'Calculo Leads'!$A$97:$A$134,'Calculo Leads'!K$97:K$134)*_xlfn.XLOOKUP($P614,'Base Grupo de Produtos'!$E$2:$E$18,'Base Grupo de Produtos'!$F$2:$F$18)</f>
        <v>66</v>
      </c>
      <c r="Y614" s="56">
        <f>_xlfn.XLOOKUP($N614,'Calculo Leads'!$A$97:$A$134,'Calculo Leads'!L$97:L$134)*_xlfn.XLOOKUP($P614,'Base Grupo de Produtos'!$E$2:$E$18,'Base Grupo de Produtos'!$F$2:$F$18)</f>
        <v>66</v>
      </c>
      <c r="Z614" s="56">
        <f>_xlfn.XLOOKUP($N614,'Calculo Leads'!$A$97:$A$134,'Calculo Leads'!M$97:M$134)*_xlfn.XLOOKUP($P614,'Base Grupo de Produtos'!$E$2:$E$18,'Base Grupo de Produtos'!$F$2:$F$18)</f>
        <v>66</v>
      </c>
      <c r="AA614" s="56">
        <f>_xlfn.XLOOKUP($N614,'Calculo Leads'!$A$97:$A$134,'Calculo Leads'!N$97:N$134)*_xlfn.XLOOKUP($P614,'Base Grupo de Produtos'!$E$2:$E$18,'Base Grupo de Produtos'!$F$2:$F$18)</f>
        <v>66</v>
      </c>
      <c r="AB614" s="56">
        <f>_xlfn.XLOOKUP($N614,'Calculo Leads'!$A$97:$A$134,'Calculo Leads'!O$97:O$134)*_xlfn.XLOOKUP($P614,'Base Grupo de Produtos'!$E$2:$E$18,'Base Grupo de Produtos'!$F$2:$F$18)</f>
        <v>66</v>
      </c>
      <c r="AC614" s="61">
        <f t="shared" si="638"/>
        <v>450</v>
      </c>
      <c r="AD614" s="27">
        <f t="shared" si="654"/>
        <v>450</v>
      </c>
      <c r="AE614" s="25">
        <f>IFERROR(_xlfn.XLOOKUP(N614&amp;P614,'Historico Vendas'!G:G,'Historico Vendas'!E:E),0)</f>
        <v>0</v>
      </c>
      <c r="AF614" s="29" t="str">
        <f t="shared" si="613"/>
        <v/>
      </c>
      <c r="AG614" s="24">
        <f>IFERROR(_xlfn.XLOOKUP(N614&amp;P614,'Historico Vendas'!G:G,'Historico Vendas'!F:F),0)</f>
        <v>0</v>
      </c>
      <c r="AH614" s="25">
        <f t="shared" si="655"/>
        <v>1171.9488000000001</v>
      </c>
      <c r="AI614" s="24">
        <f t="shared" si="656"/>
        <v>1171.9488000000001</v>
      </c>
      <c r="AJ614" s="11">
        <f t="shared" si="619"/>
        <v>0</v>
      </c>
      <c r="AK614" s="9" t="s">
        <v>102</v>
      </c>
      <c r="AL614" s="13">
        <f>IFERROR(INDEX('Balizador da Meta'!$D$3:$F$23,MATCH(Faturamento!$P614,'Balizador da Meta'!$C$3:$C$23,0),MATCH(Faturamento!AK614,'Balizador da Meta'!$D$2:$F$2,0)),"")</f>
        <v>0.2</v>
      </c>
      <c r="AM614" s="9"/>
    </row>
    <row r="615" spans="1:39" x14ac:dyDescent="0.3">
      <c r="A615" s="2" t="str">
        <f t="shared" si="614"/>
        <v>SIM</v>
      </c>
      <c r="B615" s="2" t="str">
        <f>_xlfn.XLOOKUP($N615,'Base de Grupos'!$A:$A,'Base de Grupos'!$D:$D)</f>
        <v>1000065763</v>
      </c>
      <c r="C615" s="5" t="str">
        <f>_xlfn.XLOOKUP($N615,'Base de Grupos'!$A:$A,'Base de Grupos'!$E:$E)</f>
        <v>CANAL VENDA INTERNA</v>
      </c>
      <c r="D615" s="5" t="str">
        <f>_xlfn.XLOOKUP($N615,'Base de Grupos'!$A:$A,'Base de Grupos'!$F:$F)</f>
        <v>1000065763</v>
      </c>
      <c r="E615" s="2" t="str">
        <f>_xlfn.XLOOKUP($N615,'Base de Grupos'!$A:$A,'Base de Grupos'!$G:$G)</f>
        <v>CANAL VENDA INTERNA</v>
      </c>
      <c r="F615" s="2" t="str">
        <f>_xlfn.XLOOKUP($N615,'Base de Grupos'!$A:$A,'Base de Grupos'!$H:$H)</f>
        <v>1000153245</v>
      </c>
      <c r="G615" s="5" t="str">
        <f>_xlfn.XLOOKUP($N615,'Base de Grupos'!$A:$A,'Base de Grupos'!$I:$I)</f>
        <v>REGIONAL VENDA INTERNA - KEY ACCOUNT</v>
      </c>
      <c r="H615" s="5" t="str">
        <f>_xlfn.XLOOKUP($N615,'Base de Grupos'!$A:$A,'Base de Grupos'!$J:$J)</f>
        <v>1000153245</v>
      </c>
      <c r="I615" s="2" t="str">
        <f>_xlfn.XLOOKUP($N615,'Base de Grupos'!$A:$A,'Base de Grupos'!$K:$K)</f>
        <v>REGIONAL VENDA INTERNA - KEY ACCOUNT</v>
      </c>
      <c r="J615" s="2" t="str">
        <f>_xlfn.XLOOKUP($N615,'Base de Grupos'!$A:$A,'Base de Grupos'!$L:$L)</f>
        <v>1000153245</v>
      </c>
      <c r="K615" s="5" t="str">
        <f>_xlfn.XLOOKUP($N615,'Base de Grupos'!$A:$A,'Base de Grupos'!$M:$M)</f>
        <v>REGIONAL VENDA INTERNA - KEY ACCOUNT</v>
      </c>
      <c r="L615" s="5">
        <f t="shared" si="615"/>
        <v>1</v>
      </c>
      <c r="M615" s="5" t="str">
        <f>_xlfn.XLOOKUP($N615,'Base de Grupos'!$A:$A,'Base de Grupos'!$C:$C)</f>
        <v>RS</v>
      </c>
      <c r="N615" s="3">
        <v>1438</v>
      </c>
      <c r="O615" s="4" t="s">
        <v>258</v>
      </c>
      <c r="P615" s="5" t="s">
        <v>328</v>
      </c>
      <c r="Q615" s="56">
        <f t="shared" ref="Q615" si="657">SUM(Q616:Q632)</f>
        <v>0</v>
      </c>
      <c r="R615" s="56">
        <f t="shared" ref="R615" si="658">SUM(R616:R632)</f>
        <v>0</v>
      </c>
      <c r="S615" s="56">
        <f t="shared" ref="S615" si="659">SUM(S616:S632)</f>
        <v>0</v>
      </c>
      <c r="T615" s="56">
        <f t="shared" ref="T615" si="660">SUM(T616:T632)</f>
        <v>1000</v>
      </c>
      <c r="U615" s="56">
        <f t="shared" ref="U615" si="661">SUM(U616:U632)</f>
        <v>1000</v>
      </c>
      <c r="V615" s="56">
        <f t="shared" ref="V615" si="662">SUM(V616:V632)</f>
        <v>1000</v>
      </c>
      <c r="W615" s="56">
        <f t="shared" ref="W615" si="663">SUM(W616:W632)</f>
        <v>1000</v>
      </c>
      <c r="X615" s="56">
        <f t="shared" ref="X615" si="664">SUM(X616:X632)</f>
        <v>2200</v>
      </c>
      <c r="Y615" s="56">
        <f t="shared" ref="Y615" si="665">SUM(Y616:Y632)</f>
        <v>2200</v>
      </c>
      <c r="Z615" s="56">
        <f t="shared" ref="Z615" si="666">SUM(Z616:Z632)</f>
        <v>2200</v>
      </c>
      <c r="AA615" s="56">
        <f t="shared" ref="AA615" si="667">SUM(AA616:AA632)</f>
        <v>2200</v>
      </c>
      <c r="AB615" s="56">
        <f t="shared" ref="AB615" si="668">SUM(AB616:AB632)</f>
        <v>2200</v>
      </c>
      <c r="AC615" s="56">
        <f t="shared" ref="AC615" si="669">SUM(AC616:AC632)</f>
        <v>15000</v>
      </c>
      <c r="AD615" s="25">
        <f t="shared" ref="AD615" si="670">SUM(AD616:AD632)</f>
        <v>15000</v>
      </c>
      <c r="AE615" s="25">
        <f t="shared" ref="AE615:AI615" si="671">SUM(AE616:AE632)</f>
        <v>0</v>
      </c>
      <c r="AF615" s="11" t="str">
        <f t="shared" si="613"/>
        <v/>
      </c>
      <c r="AG615" s="24">
        <f t="shared" si="671"/>
        <v>0</v>
      </c>
      <c r="AH615" s="25">
        <f t="shared" si="671"/>
        <v>0</v>
      </c>
      <c r="AI615" s="24">
        <f t="shared" si="671"/>
        <v>0</v>
      </c>
      <c r="AJ615" s="11" t="str">
        <f t="shared" si="619"/>
        <v/>
      </c>
      <c r="AK615" s="9"/>
      <c r="AL615" s="13"/>
      <c r="AM615" s="9"/>
    </row>
    <row r="616" spans="1:39" x14ac:dyDescent="0.3">
      <c r="A616" s="2" t="str">
        <f t="shared" si="614"/>
        <v>NÃO</v>
      </c>
      <c r="B616" s="2" t="str">
        <f>_xlfn.XLOOKUP($N616,'Base de Grupos'!$A:$A,'Base de Grupos'!$D:$D)</f>
        <v>1000065763</v>
      </c>
      <c r="C616" s="5" t="str">
        <f>_xlfn.XLOOKUP($N616,'Base de Grupos'!$A:$A,'Base de Grupos'!$E:$E)</f>
        <v>CANAL VENDA INTERNA</v>
      </c>
      <c r="D616" s="5" t="str">
        <f>_xlfn.XLOOKUP($N616,'Base de Grupos'!$A:$A,'Base de Grupos'!$F:$F)</f>
        <v>1000065763</v>
      </c>
      <c r="E616" s="2" t="str">
        <f>_xlfn.XLOOKUP($N616,'Base de Grupos'!$A:$A,'Base de Grupos'!$G:$G)</f>
        <v>CANAL VENDA INTERNA</v>
      </c>
      <c r="F616" s="2" t="str">
        <f>_xlfn.XLOOKUP($N616,'Base de Grupos'!$A:$A,'Base de Grupos'!$H:$H)</f>
        <v>1000153245</v>
      </c>
      <c r="G616" s="5" t="str">
        <f>_xlfn.XLOOKUP($N616,'Base de Grupos'!$A:$A,'Base de Grupos'!$I:$I)</f>
        <v>REGIONAL VENDA INTERNA - KEY ACCOUNT</v>
      </c>
      <c r="H616" s="5" t="str">
        <f>_xlfn.XLOOKUP($N616,'Base de Grupos'!$A:$A,'Base de Grupos'!$J:$J)</f>
        <v>1000153245</v>
      </c>
      <c r="I616" s="2" t="str">
        <f>_xlfn.XLOOKUP($N616,'Base de Grupos'!$A:$A,'Base de Grupos'!$K:$K)</f>
        <v>REGIONAL VENDA INTERNA - KEY ACCOUNT</v>
      </c>
      <c r="J616" s="2" t="str">
        <f>_xlfn.XLOOKUP($N616,'Base de Grupos'!$A:$A,'Base de Grupos'!$L:$L)</f>
        <v>1000153245</v>
      </c>
      <c r="K616" s="5" t="str">
        <f>_xlfn.XLOOKUP($N616,'Base de Grupos'!$A:$A,'Base de Grupos'!$M:$M)</f>
        <v>REGIONAL VENDA INTERNA - KEY ACCOUNT</v>
      </c>
      <c r="L616" s="5" t="str">
        <f t="shared" si="615"/>
        <v/>
      </c>
      <c r="M616" s="5" t="str">
        <f>_xlfn.XLOOKUP($N616,'Base de Grupos'!$A:$A,'Base de Grupos'!$C:$C)</f>
        <v>RS</v>
      </c>
      <c r="N616" s="3">
        <v>1438</v>
      </c>
      <c r="O616" s="4" t="s">
        <v>258</v>
      </c>
      <c r="P616" s="5" t="s">
        <v>81</v>
      </c>
      <c r="Q616" s="56">
        <v>0</v>
      </c>
      <c r="R616" s="56">
        <v>0</v>
      </c>
      <c r="S616" s="56">
        <v>0</v>
      </c>
      <c r="T616" s="56">
        <f>_xlfn.XLOOKUP($N616,'Calculo Leads'!$A$97:$A$134,'Calculo Leads'!G$97:G$134)*_xlfn.XLOOKUP($P616,'Base Grupo de Produtos'!$E$2:$E$18,'Base Grupo de Produtos'!$F$2:$F$18)</f>
        <v>50</v>
      </c>
      <c r="U616" s="56">
        <f>_xlfn.XLOOKUP($N616,'Calculo Leads'!$A$97:$A$134,'Calculo Leads'!H$97:H$134)*_xlfn.XLOOKUP($P616,'Base Grupo de Produtos'!$E$2:$E$18,'Base Grupo de Produtos'!$F$2:$F$18)</f>
        <v>50</v>
      </c>
      <c r="V616" s="56">
        <f>_xlfn.XLOOKUP($N616,'Calculo Leads'!$A$97:$A$134,'Calculo Leads'!I$97:I$134)*_xlfn.XLOOKUP($P616,'Base Grupo de Produtos'!$E$2:$E$18,'Base Grupo de Produtos'!$F$2:$F$18)</f>
        <v>50</v>
      </c>
      <c r="W616" s="56">
        <f>_xlfn.XLOOKUP($N616,'Calculo Leads'!$A$97:$A$134,'Calculo Leads'!J$97:J$134)*_xlfn.XLOOKUP($P616,'Base Grupo de Produtos'!$E$2:$E$18,'Base Grupo de Produtos'!$F$2:$F$18)</f>
        <v>50</v>
      </c>
      <c r="X616" s="56">
        <f>_xlfn.XLOOKUP($N616,'Calculo Leads'!$A$97:$A$134,'Calculo Leads'!K$97:K$134)*_xlfn.XLOOKUP($P616,'Base Grupo de Produtos'!$E$2:$E$18,'Base Grupo de Produtos'!$F$2:$F$18)</f>
        <v>110</v>
      </c>
      <c r="Y616" s="56">
        <f>_xlfn.XLOOKUP($N616,'Calculo Leads'!$A$97:$A$134,'Calculo Leads'!L$97:L$134)*_xlfn.XLOOKUP($P616,'Base Grupo de Produtos'!$E$2:$E$18,'Base Grupo de Produtos'!$F$2:$F$18)</f>
        <v>110</v>
      </c>
      <c r="Z616" s="56">
        <f>_xlfn.XLOOKUP($N616,'Calculo Leads'!$A$97:$A$134,'Calculo Leads'!M$97:M$134)*_xlfn.XLOOKUP($P616,'Base Grupo de Produtos'!$E$2:$E$18,'Base Grupo de Produtos'!$F$2:$F$18)</f>
        <v>110</v>
      </c>
      <c r="AA616" s="56">
        <f>_xlfn.XLOOKUP($N616,'Calculo Leads'!$A$97:$A$134,'Calculo Leads'!N$97:N$134)*_xlfn.XLOOKUP($P616,'Base Grupo de Produtos'!$E$2:$E$18,'Base Grupo de Produtos'!$F$2:$F$18)</f>
        <v>110</v>
      </c>
      <c r="AB616" s="56">
        <f>_xlfn.XLOOKUP($N616,'Calculo Leads'!$A$97:$A$134,'Calculo Leads'!O$97:O$134)*_xlfn.XLOOKUP($P616,'Base Grupo de Produtos'!$E$2:$E$18,'Base Grupo de Produtos'!$F$2:$F$18)</f>
        <v>110</v>
      </c>
      <c r="AC616" s="61">
        <f t="shared" si="638"/>
        <v>750</v>
      </c>
      <c r="AD616" s="27">
        <f t="shared" ref="AD616:AD632" si="672">IF(AC616=0,0,AC616-AG616)</f>
        <v>750</v>
      </c>
      <c r="AE616" s="25">
        <f>IFERROR(_xlfn.XLOOKUP(N616&amp;P616,'Historico Vendas'!G:G,'Historico Vendas'!E:E),0)</f>
        <v>0</v>
      </c>
      <c r="AF616" s="29" t="str">
        <f t="shared" si="613"/>
        <v/>
      </c>
      <c r="AG616" s="24">
        <f>IFERROR(_xlfn.XLOOKUP(N616&amp;P616,'Historico Vendas'!G:G,'Historico Vendas'!F:F),0)</f>
        <v>0</v>
      </c>
      <c r="AH616" s="25">
        <f t="shared" ref="AH616:AH632" si="673">SUM(Q616:S616)</f>
        <v>0</v>
      </c>
      <c r="AI616" s="24">
        <f t="shared" ref="AI616:AI632" si="674">AH616-AG616</f>
        <v>0</v>
      </c>
      <c r="AJ616" s="11" t="str">
        <f t="shared" si="619"/>
        <v/>
      </c>
      <c r="AK616" s="9" t="s">
        <v>102</v>
      </c>
      <c r="AL616" s="13">
        <f>IFERROR(INDEX('Balizador da Meta'!$D$3:$F$23,MATCH(Faturamento!$P616,'Balizador da Meta'!$C$3:$C$23,0),MATCH(Faturamento!AK616,'Balizador da Meta'!$D$2:$F$2,0)),"")</f>
        <v>0.2</v>
      </c>
      <c r="AM616" s="9"/>
    </row>
    <row r="617" spans="1:39" x14ac:dyDescent="0.3">
      <c r="A617" s="2" t="str">
        <f t="shared" si="614"/>
        <v>NÃO</v>
      </c>
      <c r="B617" s="2" t="str">
        <f>_xlfn.XLOOKUP($N617,'Base de Grupos'!$A:$A,'Base de Grupos'!$D:$D)</f>
        <v>1000065763</v>
      </c>
      <c r="C617" s="5" t="str">
        <f>_xlfn.XLOOKUP($N617,'Base de Grupos'!$A:$A,'Base de Grupos'!$E:$E)</f>
        <v>CANAL VENDA INTERNA</v>
      </c>
      <c r="D617" s="5" t="str">
        <f>_xlfn.XLOOKUP($N617,'Base de Grupos'!$A:$A,'Base de Grupos'!$F:$F)</f>
        <v>1000065763</v>
      </c>
      <c r="E617" s="2" t="str">
        <f>_xlfn.XLOOKUP($N617,'Base de Grupos'!$A:$A,'Base de Grupos'!$G:$G)</f>
        <v>CANAL VENDA INTERNA</v>
      </c>
      <c r="F617" s="2" t="str">
        <f>_xlfn.XLOOKUP($N617,'Base de Grupos'!$A:$A,'Base de Grupos'!$H:$H)</f>
        <v>1000153245</v>
      </c>
      <c r="G617" s="5" t="str">
        <f>_xlfn.XLOOKUP($N617,'Base de Grupos'!$A:$A,'Base de Grupos'!$I:$I)</f>
        <v>REGIONAL VENDA INTERNA - KEY ACCOUNT</v>
      </c>
      <c r="H617" s="5" t="str">
        <f>_xlfn.XLOOKUP($N617,'Base de Grupos'!$A:$A,'Base de Grupos'!$J:$J)</f>
        <v>1000153245</v>
      </c>
      <c r="I617" s="2" t="str">
        <f>_xlfn.XLOOKUP($N617,'Base de Grupos'!$A:$A,'Base de Grupos'!$K:$K)</f>
        <v>REGIONAL VENDA INTERNA - KEY ACCOUNT</v>
      </c>
      <c r="J617" s="2" t="str">
        <f>_xlfn.XLOOKUP($N617,'Base de Grupos'!$A:$A,'Base de Grupos'!$L:$L)</f>
        <v>1000153245</v>
      </c>
      <c r="K617" s="5" t="str">
        <f>_xlfn.XLOOKUP($N617,'Base de Grupos'!$A:$A,'Base de Grupos'!$M:$M)</f>
        <v>REGIONAL VENDA INTERNA - KEY ACCOUNT</v>
      </c>
      <c r="L617" s="5" t="str">
        <f t="shared" si="615"/>
        <v/>
      </c>
      <c r="M617" s="5" t="str">
        <f>_xlfn.XLOOKUP($N617,'Base de Grupos'!$A:$A,'Base de Grupos'!$C:$C)</f>
        <v>RS</v>
      </c>
      <c r="N617" s="3">
        <v>1438</v>
      </c>
      <c r="O617" s="4" t="s">
        <v>258</v>
      </c>
      <c r="P617" s="5" t="s">
        <v>82</v>
      </c>
      <c r="Q617" s="56">
        <v>0</v>
      </c>
      <c r="R617" s="56">
        <v>0</v>
      </c>
      <c r="S617" s="56">
        <v>0</v>
      </c>
      <c r="T617" s="56">
        <f>_xlfn.XLOOKUP($N617,'Calculo Leads'!$A$97:$A$134,'Calculo Leads'!G$97:G$134)*_xlfn.XLOOKUP($P617,'Base Grupo de Produtos'!$E$2:$E$18,'Base Grupo de Produtos'!$F$2:$F$18)</f>
        <v>50</v>
      </c>
      <c r="U617" s="56">
        <f>_xlfn.XLOOKUP($N617,'Calculo Leads'!$A$97:$A$134,'Calculo Leads'!H$97:H$134)*_xlfn.XLOOKUP($P617,'Base Grupo de Produtos'!$E$2:$E$18,'Base Grupo de Produtos'!$F$2:$F$18)</f>
        <v>50</v>
      </c>
      <c r="V617" s="56">
        <f>_xlfn.XLOOKUP($N617,'Calculo Leads'!$A$97:$A$134,'Calculo Leads'!I$97:I$134)*_xlfn.XLOOKUP($P617,'Base Grupo de Produtos'!$E$2:$E$18,'Base Grupo de Produtos'!$F$2:$F$18)</f>
        <v>50</v>
      </c>
      <c r="W617" s="56">
        <f>_xlfn.XLOOKUP($N617,'Calculo Leads'!$A$97:$A$134,'Calculo Leads'!J$97:J$134)*_xlfn.XLOOKUP($P617,'Base Grupo de Produtos'!$E$2:$E$18,'Base Grupo de Produtos'!$F$2:$F$18)</f>
        <v>50</v>
      </c>
      <c r="X617" s="56">
        <f>_xlfn.XLOOKUP($N617,'Calculo Leads'!$A$97:$A$134,'Calculo Leads'!K$97:K$134)*_xlfn.XLOOKUP($P617,'Base Grupo de Produtos'!$E$2:$E$18,'Base Grupo de Produtos'!$F$2:$F$18)</f>
        <v>110</v>
      </c>
      <c r="Y617" s="56">
        <f>_xlfn.XLOOKUP($N617,'Calculo Leads'!$A$97:$A$134,'Calculo Leads'!L$97:L$134)*_xlfn.XLOOKUP($P617,'Base Grupo de Produtos'!$E$2:$E$18,'Base Grupo de Produtos'!$F$2:$F$18)</f>
        <v>110</v>
      </c>
      <c r="Z617" s="56">
        <f>_xlfn.XLOOKUP($N617,'Calculo Leads'!$A$97:$A$134,'Calculo Leads'!M$97:M$134)*_xlfn.XLOOKUP($P617,'Base Grupo de Produtos'!$E$2:$E$18,'Base Grupo de Produtos'!$F$2:$F$18)</f>
        <v>110</v>
      </c>
      <c r="AA617" s="56">
        <f>_xlfn.XLOOKUP($N617,'Calculo Leads'!$A$97:$A$134,'Calculo Leads'!N$97:N$134)*_xlfn.XLOOKUP($P617,'Base Grupo de Produtos'!$E$2:$E$18,'Base Grupo de Produtos'!$F$2:$F$18)</f>
        <v>110</v>
      </c>
      <c r="AB617" s="56">
        <f>_xlfn.XLOOKUP($N617,'Calculo Leads'!$A$97:$A$134,'Calculo Leads'!O$97:O$134)*_xlfn.XLOOKUP($P617,'Base Grupo de Produtos'!$E$2:$E$18,'Base Grupo de Produtos'!$F$2:$F$18)</f>
        <v>110</v>
      </c>
      <c r="AC617" s="61">
        <f t="shared" si="638"/>
        <v>750</v>
      </c>
      <c r="AD617" s="27">
        <f t="shared" si="672"/>
        <v>750</v>
      </c>
      <c r="AE617" s="25">
        <f>IFERROR(_xlfn.XLOOKUP(N617&amp;P617,'Historico Vendas'!G:G,'Historico Vendas'!E:E),0)</f>
        <v>0</v>
      </c>
      <c r="AF617" s="29" t="str">
        <f t="shared" si="613"/>
        <v/>
      </c>
      <c r="AG617" s="24">
        <f>IFERROR(_xlfn.XLOOKUP(N617&amp;P617,'Historico Vendas'!G:G,'Historico Vendas'!F:F),0)</f>
        <v>0</v>
      </c>
      <c r="AH617" s="25">
        <f t="shared" si="673"/>
        <v>0</v>
      </c>
      <c r="AI617" s="24">
        <f t="shared" si="674"/>
        <v>0</v>
      </c>
      <c r="AJ617" s="11" t="str">
        <f t="shared" si="619"/>
        <v/>
      </c>
      <c r="AK617" s="9" t="s">
        <v>102</v>
      </c>
      <c r="AL617" s="13">
        <f>IFERROR(INDEX('Balizador da Meta'!$D$3:$F$23,MATCH(Faturamento!$P617,'Balizador da Meta'!$C$3:$C$23,0),MATCH(Faturamento!AK617,'Balizador da Meta'!$D$2:$F$2,0)),"")</f>
        <v>0.2</v>
      </c>
      <c r="AM617" s="9"/>
    </row>
    <row r="618" spans="1:39" x14ac:dyDescent="0.3">
      <c r="A618" s="2" t="str">
        <f t="shared" si="614"/>
        <v>NÃO</v>
      </c>
      <c r="B618" s="2" t="str">
        <f>_xlfn.XLOOKUP($N618,'Base de Grupos'!$A:$A,'Base de Grupos'!$D:$D)</f>
        <v>1000065763</v>
      </c>
      <c r="C618" s="5" t="str">
        <f>_xlfn.XLOOKUP($N618,'Base de Grupos'!$A:$A,'Base de Grupos'!$E:$E)</f>
        <v>CANAL VENDA INTERNA</v>
      </c>
      <c r="D618" s="5" t="str">
        <f>_xlfn.XLOOKUP($N618,'Base de Grupos'!$A:$A,'Base de Grupos'!$F:$F)</f>
        <v>1000065763</v>
      </c>
      <c r="E618" s="2" t="str">
        <f>_xlfn.XLOOKUP($N618,'Base de Grupos'!$A:$A,'Base de Grupos'!$G:$G)</f>
        <v>CANAL VENDA INTERNA</v>
      </c>
      <c r="F618" s="2" t="str">
        <f>_xlfn.XLOOKUP($N618,'Base de Grupos'!$A:$A,'Base de Grupos'!$H:$H)</f>
        <v>1000153245</v>
      </c>
      <c r="G618" s="5" t="str">
        <f>_xlfn.XLOOKUP($N618,'Base de Grupos'!$A:$A,'Base de Grupos'!$I:$I)</f>
        <v>REGIONAL VENDA INTERNA - KEY ACCOUNT</v>
      </c>
      <c r="H618" s="5" t="str">
        <f>_xlfn.XLOOKUP($N618,'Base de Grupos'!$A:$A,'Base de Grupos'!$J:$J)</f>
        <v>1000153245</v>
      </c>
      <c r="I618" s="2" t="str">
        <f>_xlfn.XLOOKUP($N618,'Base de Grupos'!$A:$A,'Base de Grupos'!$K:$K)</f>
        <v>REGIONAL VENDA INTERNA - KEY ACCOUNT</v>
      </c>
      <c r="J618" s="2" t="str">
        <f>_xlfn.XLOOKUP($N618,'Base de Grupos'!$A:$A,'Base de Grupos'!$L:$L)</f>
        <v>1000153245</v>
      </c>
      <c r="K618" s="5" t="str">
        <f>_xlfn.XLOOKUP($N618,'Base de Grupos'!$A:$A,'Base de Grupos'!$M:$M)</f>
        <v>REGIONAL VENDA INTERNA - KEY ACCOUNT</v>
      </c>
      <c r="L618" s="5" t="str">
        <f t="shared" si="615"/>
        <v/>
      </c>
      <c r="M618" s="5" t="str">
        <f>_xlfn.XLOOKUP($N618,'Base de Grupos'!$A:$A,'Base de Grupos'!$C:$C)</f>
        <v>RS</v>
      </c>
      <c r="N618" s="3">
        <v>1438</v>
      </c>
      <c r="O618" s="4" t="s">
        <v>258</v>
      </c>
      <c r="P618" s="5" t="s">
        <v>84</v>
      </c>
      <c r="Q618" s="56">
        <v>0</v>
      </c>
      <c r="R618" s="56">
        <v>0</v>
      </c>
      <c r="S618" s="56">
        <v>0</v>
      </c>
      <c r="T618" s="56">
        <f>_xlfn.XLOOKUP($N618,'Calculo Leads'!$A$97:$A$134,'Calculo Leads'!G$97:G$134)*_xlfn.XLOOKUP($P618,'Base Grupo de Produtos'!$E$2:$E$18,'Base Grupo de Produtos'!$F$2:$F$18)</f>
        <v>80</v>
      </c>
      <c r="U618" s="56">
        <f>_xlfn.XLOOKUP($N618,'Calculo Leads'!$A$97:$A$134,'Calculo Leads'!H$97:H$134)*_xlfn.XLOOKUP($P618,'Base Grupo de Produtos'!$E$2:$E$18,'Base Grupo de Produtos'!$F$2:$F$18)</f>
        <v>80</v>
      </c>
      <c r="V618" s="56">
        <f>_xlfn.XLOOKUP($N618,'Calculo Leads'!$A$97:$A$134,'Calculo Leads'!I$97:I$134)*_xlfn.XLOOKUP($P618,'Base Grupo de Produtos'!$E$2:$E$18,'Base Grupo de Produtos'!$F$2:$F$18)</f>
        <v>80</v>
      </c>
      <c r="W618" s="56">
        <f>_xlfn.XLOOKUP($N618,'Calculo Leads'!$A$97:$A$134,'Calculo Leads'!J$97:J$134)*_xlfn.XLOOKUP($P618,'Base Grupo de Produtos'!$E$2:$E$18,'Base Grupo de Produtos'!$F$2:$F$18)</f>
        <v>80</v>
      </c>
      <c r="X618" s="56">
        <f>_xlfn.XLOOKUP($N618,'Calculo Leads'!$A$97:$A$134,'Calculo Leads'!K$97:K$134)*_xlfn.XLOOKUP($P618,'Base Grupo de Produtos'!$E$2:$E$18,'Base Grupo de Produtos'!$F$2:$F$18)</f>
        <v>176</v>
      </c>
      <c r="Y618" s="56">
        <f>_xlfn.XLOOKUP($N618,'Calculo Leads'!$A$97:$A$134,'Calculo Leads'!L$97:L$134)*_xlfn.XLOOKUP($P618,'Base Grupo de Produtos'!$E$2:$E$18,'Base Grupo de Produtos'!$F$2:$F$18)</f>
        <v>176</v>
      </c>
      <c r="Z618" s="56">
        <f>_xlfn.XLOOKUP($N618,'Calculo Leads'!$A$97:$A$134,'Calculo Leads'!M$97:M$134)*_xlfn.XLOOKUP($P618,'Base Grupo de Produtos'!$E$2:$E$18,'Base Grupo de Produtos'!$F$2:$F$18)</f>
        <v>176</v>
      </c>
      <c r="AA618" s="56">
        <f>_xlfn.XLOOKUP($N618,'Calculo Leads'!$A$97:$A$134,'Calculo Leads'!N$97:N$134)*_xlfn.XLOOKUP($P618,'Base Grupo de Produtos'!$E$2:$E$18,'Base Grupo de Produtos'!$F$2:$F$18)</f>
        <v>176</v>
      </c>
      <c r="AB618" s="56">
        <f>_xlfn.XLOOKUP($N618,'Calculo Leads'!$A$97:$A$134,'Calculo Leads'!O$97:O$134)*_xlfn.XLOOKUP($P618,'Base Grupo de Produtos'!$E$2:$E$18,'Base Grupo de Produtos'!$F$2:$F$18)</f>
        <v>176</v>
      </c>
      <c r="AC618" s="61">
        <f t="shared" si="638"/>
        <v>1200</v>
      </c>
      <c r="AD618" s="27">
        <f t="shared" si="672"/>
        <v>1200</v>
      </c>
      <c r="AE618" s="25">
        <f>IFERROR(_xlfn.XLOOKUP(N618&amp;P618,'Historico Vendas'!G:G,'Historico Vendas'!E:E),0)</f>
        <v>0</v>
      </c>
      <c r="AF618" s="29" t="str">
        <f t="shared" si="613"/>
        <v/>
      </c>
      <c r="AG618" s="24">
        <f>IFERROR(_xlfn.XLOOKUP(N618&amp;P618,'Historico Vendas'!G:G,'Historico Vendas'!F:F),0)</f>
        <v>0</v>
      </c>
      <c r="AH618" s="25">
        <f t="shared" si="673"/>
        <v>0</v>
      </c>
      <c r="AI618" s="24">
        <f t="shared" si="674"/>
        <v>0</v>
      </c>
      <c r="AJ618" s="11" t="str">
        <f t="shared" si="619"/>
        <v/>
      </c>
      <c r="AK618" s="9" t="s">
        <v>102</v>
      </c>
      <c r="AL618" s="13">
        <f>IFERROR(INDEX('Balizador da Meta'!$D$3:$F$23,MATCH(Faturamento!$P618,'Balizador da Meta'!$C$3:$C$23,0),MATCH(Faturamento!AK618,'Balizador da Meta'!$D$2:$F$2,0)),"")</f>
        <v>0.15</v>
      </c>
      <c r="AM618" s="9"/>
    </row>
    <row r="619" spans="1:39" x14ac:dyDescent="0.3">
      <c r="A619" s="2" t="str">
        <f t="shared" si="614"/>
        <v>NÃO</v>
      </c>
      <c r="B619" s="2" t="str">
        <f>_xlfn.XLOOKUP($N619,'Base de Grupos'!$A:$A,'Base de Grupos'!$D:$D)</f>
        <v>1000065763</v>
      </c>
      <c r="C619" s="5" t="str">
        <f>_xlfn.XLOOKUP($N619,'Base de Grupos'!$A:$A,'Base de Grupos'!$E:$E)</f>
        <v>CANAL VENDA INTERNA</v>
      </c>
      <c r="D619" s="5" t="str">
        <f>_xlfn.XLOOKUP($N619,'Base de Grupos'!$A:$A,'Base de Grupos'!$F:$F)</f>
        <v>1000065763</v>
      </c>
      <c r="E619" s="2" t="str">
        <f>_xlfn.XLOOKUP($N619,'Base de Grupos'!$A:$A,'Base de Grupos'!$G:$G)</f>
        <v>CANAL VENDA INTERNA</v>
      </c>
      <c r="F619" s="2" t="str">
        <f>_xlfn.XLOOKUP($N619,'Base de Grupos'!$A:$A,'Base de Grupos'!$H:$H)</f>
        <v>1000153245</v>
      </c>
      <c r="G619" s="5" t="str">
        <f>_xlfn.XLOOKUP($N619,'Base de Grupos'!$A:$A,'Base de Grupos'!$I:$I)</f>
        <v>REGIONAL VENDA INTERNA - KEY ACCOUNT</v>
      </c>
      <c r="H619" s="5" t="str">
        <f>_xlfn.XLOOKUP($N619,'Base de Grupos'!$A:$A,'Base de Grupos'!$J:$J)</f>
        <v>1000153245</v>
      </c>
      <c r="I619" s="2" t="str">
        <f>_xlfn.XLOOKUP($N619,'Base de Grupos'!$A:$A,'Base de Grupos'!$K:$K)</f>
        <v>REGIONAL VENDA INTERNA - KEY ACCOUNT</v>
      </c>
      <c r="J619" s="2" t="str">
        <f>_xlfn.XLOOKUP($N619,'Base de Grupos'!$A:$A,'Base de Grupos'!$L:$L)</f>
        <v>1000153245</v>
      </c>
      <c r="K619" s="5" t="str">
        <f>_xlfn.XLOOKUP($N619,'Base de Grupos'!$A:$A,'Base de Grupos'!$M:$M)</f>
        <v>REGIONAL VENDA INTERNA - KEY ACCOUNT</v>
      </c>
      <c r="L619" s="5" t="str">
        <f t="shared" si="615"/>
        <v/>
      </c>
      <c r="M619" s="5" t="str">
        <f>_xlfn.XLOOKUP($N619,'Base de Grupos'!$A:$A,'Base de Grupos'!$C:$C)</f>
        <v>RS</v>
      </c>
      <c r="N619" s="3">
        <v>1438</v>
      </c>
      <c r="O619" s="4" t="s">
        <v>258</v>
      </c>
      <c r="P619" s="5" t="s">
        <v>83</v>
      </c>
      <c r="Q619" s="56">
        <v>0</v>
      </c>
      <c r="R619" s="56">
        <v>0</v>
      </c>
      <c r="S619" s="56">
        <v>0</v>
      </c>
      <c r="T619" s="56">
        <f>_xlfn.XLOOKUP($N619,'Calculo Leads'!$A$97:$A$134,'Calculo Leads'!G$97:G$134)*_xlfn.XLOOKUP($P619,'Base Grupo de Produtos'!$E$2:$E$18,'Base Grupo de Produtos'!$F$2:$F$18)</f>
        <v>100</v>
      </c>
      <c r="U619" s="56">
        <f>_xlfn.XLOOKUP($N619,'Calculo Leads'!$A$97:$A$134,'Calculo Leads'!H$97:H$134)*_xlfn.XLOOKUP($P619,'Base Grupo de Produtos'!$E$2:$E$18,'Base Grupo de Produtos'!$F$2:$F$18)</f>
        <v>100</v>
      </c>
      <c r="V619" s="56">
        <f>_xlfn.XLOOKUP($N619,'Calculo Leads'!$A$97:$A$134,'Calculo Leads'!I$97:I$134)*_xlfn.XLOOKUP($P619,'Base Grupo de Produtos'!$E$2:$E$18,'Base Grupo de Produtos'!$F$2:$F$18)</f>
        <v>100</v>
      </c>
      <c r="W619" s="56">
        <f>_xlfn.XLOOKUP($N619,'Calculo Leads'!$A$97:$A$134,'Calculo Leads'!J$97:J$134)*_xlfn.XLOOKUP($P619,'Base Grupo de Produtos'!$E$2:$E$18,'Base Grupo de Produtos'!$F$2:$F$18)</f>
        <v>100</v>
      </c>
      <c r="X619" s="56">
        <f>_xlfn.XLOOKUP($N619,'Calculo Leads'!$A$97:$A$134,'Calculo Leads'!K$97:K$134)*_xlfn.XLOOKUP($P619,'Base Grupo de Produtos'!$E$2:$E$18,'Base Grupo de Produtos'!$F$2:$F$18)</f>
        <v>220</v>
      </c>
      <c r="Y619" s="56">
        <f>_xlfn.XLOOKUP($N619,'Calculo Leads'!$A$97:$A$134,'Calculo Leads'!L$97:L$134)*_xlfn.XLOOKUP($P619,'Base Grupo de Produtos'!$E$2:$E$18,'Base Grupo de Produtos'!$F$2:$F$18)</f>
        <v>220</v>
      </c>
      <c r="Z619" s="56">
        <f>_xlfn.XLOOKUP($N619,'Calculo Leads'!$A$97:$A$134,'Calculo Leads'!M$97:M$134)*_xlfn.XLOOKUP($P619,'Base Grupo de Produtos'!$E$2:$E$18,'Base Grupo de Produtos'!$F$2:$F$18)</f>
        <v>220</v>
      </c>
      <c r="AA619" s="56">
        <f>_xlfn.XLOOKUP($N619,'Calculo Leads'!$A$97:$A$134,'Calculo Leads'!N$97:N$134)*_xlfn.XLOOKUP($P619,'Base Grupo de Produtos'!$E$2:$E$18,'Base Grupo de Produtos'!$F$2:$F$18)</f>
        <v>220</v>
      </c>
      <c r="AB619" s="56">
        <f>_xlfn.XLOOKUP($N619,'Calculo Leads'!$A$97:$A$134,'Calculo Leads'!O$97:O$134)*_xlfn.XLOOKUP($P619,'Base Grupo de Produtos'!$E$2:$E$18,'Base Grupo de Produtos'!$F$2:$F$18)</f>
        <v>220</v>
      </c>
      <c r="AC619" s="61">
        <f t="shared" si="638"/>
        <v>1500</v>
      </c>
      <c r="AD619" s="27">
        <f t="shared" si="672"/>
        <v>1500</v>
      </c>
      <c r="AE619" s="25">
        <f>IFERROR(_xlfn.XLOOKUP(N619&amp;P619,'Historico Vendas'!G:G,'Historico Vendas'!E:E),0)</f>
        <v>0</v>
      </c>
      <c r="AF619" s="29" t="str">
        <f t="shared" si="613"/>
        <v/>
      </c>
      <c r="AG619" s="24">
        <f>IFERROR(_xlfn.XLOOKUP(N619&amp;P619,'Historico Vendas'!G:G,'Historico Vendas'!F:F),0)</f>
        <v>0</v>
      </c>
      <c r="AH619" s="25">
        <f t="shared" si="673"/>
        <v>0</v>
      </c>
      <c r="AI619" s="24">
        <f t="shared" si="674"/>
        <v>0</v>
      </c>
      <c r="AJ619" s="11" t="str">
        <f t="shared" si="619"/>
        <v/>
      </c>
      <c r="AK619" s="9" t="s">
        <v>102</v>
      </c>
      <c r="AL619" s="13">
        <f>IFERROR(INDEX('Balizador da Meta'!$D$3:$F$23,MATCH(Faturamento!$P619,'Balizador da Meta'!$C$3:$C$23,0),MATCH(Faturamento!AK619,'Balizador da Meta'!$D$2:$F$2,0)),"")</f>
        <v>0</v>
      </c>
      <c r="AM619" s="9"/>
    </row>
    <row r="620" spans="1:39" x14ac:dyDescent="0.3">
      <c r="A620" s="2" t="str">
        <f t="shared" si="614"/>
        <v>NÃO</v>
      </c>
      <c r="B620" s="2" t="str">
        <f>_xlfn.XLOOKUP($N620,'Base de Grupos'!$A:$A,'Base de Grupos'!$D:$D)</f>
        <v>1000065763</v>
      </c>
      <c r="C620" s="5" t="str">
        <f>_xlfn.XLOOKUP($N620,'Base de Grupos'!$A:$A,'Base de Grupos'!$E:$E)</f>
        <v>CANAL VENDA INTERNA</v>
      </c>
      <c r="D620" s="5" t="str">
        <f>_xlfn.XLOOKUP($N620,'Base de Grupos'!$A:$A,'Base de Grupos'!$F:$F)</f>
        <v>1000065763</v>
      </c>
      <c r="E620" s="2" t="str">
        <f>_xlfn.XLOOKUP($N620,'Base de Grupos'!$A:$A,'Base de Grupos'!$G:$G)</f>
        <v>CANAL VENDA INTERNA</v>
      </c>
      <c r="F620" s="2" t="str">
        <f>_xlfn.XLOOKUP($N620,'Base de Grupos'!$A:$A,'Base de Grupos'!$H:$H)</f>
        <v>1000153245</v>
      </c>
      <c r="G620" s="5" t="str">
        <f>_xlfn.XLOOKUP($N620,'Base de Grupos'!$A:$A,'Base de Grupos'!$I:$I)</f>
        <v>REGIONAL VENDA INTERNA - KEY ACCOUNT</v>
      </c>
      <c r="H620" s="5" t="str">
        <f>_xlfn.XLOOKUP($N620,'Base de Grupos'!$A:$A,'Base de Grupos'!$J:$J)</f>
        <v>1000153245</v>
      </c>
      <c r="I620" s="2" t="str">
        <f>_xlfn.XLOOKUP($N620,'Base de Grupos'!$A:$A,'Base de Grupos'!$K:$K)</f>
        <v>REGIONAL VENDA INTERNA - KEY ACCOUNT</v>
      </c>
      <c r="J620" s="2" t="str">
        <f>_xlfn.XLOOKUP($N620,'Base de Grupos'!$A:$A,'Base de Grupos'!$L:$L)</f>
        <v>1000153245</v>
      </c>
      <c r="K620" s="5" t="str">
        <f>_xlfn.XLOOKUP($N620,'Base de Grupos'!$A:$A,'Base de Grupos'!$M:$M)</f>
        <v>REGIONAL VENDA INTERNA - KEY ACCOUNT</v>
      </c>
      <c r="L620" s="5" t="str">
        <f t="shared" si="615"/>
        <v/>
      </c>
      <c r="M620" s="5" t="str">
        <f>_xlfn.XLOOKUP($N620,'Base de Grupos'!$A:$A,'Base de Grupos'!$C:$C)</f>
        <v>RS</v>
      </c>
      <c r="N620" s="3">
        <v>1438</v>
      </c>
      <c r="O620" s="4" t="s">
        <v>258</v>
      </c>
      <c r="P620" s="5" t="s">
        <v>87</v>
      </c>
      <c r="Q620" s="56">
        <v>0</v>
      </c>
      <c r="R620" s="56">
        <v>0</v>
      </c>
      <c r="S620" s="56">
        <v>0</v>
      </c>
      <c r="T620" s="56">
        <f>_xlfn.XLOOKUP($N620,'Calculo Leads'!$A$97:$A$134,'Calculo Leads'!G$97:G$134)*_xlfn.XLOOKUP($P620,'Base Grupo de Produtos'!$E$2:$E$18,'Base Grupo de Produtos'!$F$2:$F$18)</f>
        <v>19.999999999999996</v>
      </c>
      <c r="U620" s="56">
        <f>_xlfn.XLOOKUP($N620,'Calculo Leads'!$A$97:$A$134,'Calculo Leads'!H$97:H$134)*_xlfn.XLOOKUP($P620,'Base Grupo de Produtos'!$E$2:$E$18,'Base Grupo de Produtos'!$F$2:$F$18)</f>
        <v>19.999999999999996</v>
      </c>
      <c r="V620" s="56">
        <f>_xlfn.XLOOKUP($N620,'Calculo Leads'!$A$97:$A$134,'Calculo Leads'!I$97:I$134)*_xlfn.XLOOKUP($P620,'Base Grupo de Produtos'!$E$2:$E$18,'Base Grupo de Produtos'!$F$2:$F$18)</f>
        <v>19.999999999999996</v>
      </c>
      <c r="W620" s="56">
        <f>_xlfn.XLOOKUP($N620,'Calculo Leads'!$A$97:$A$134,'Calculo Leads'!J$97:J$134)*_xlfn.XLOOKUP($P620,'Base Grupo de Produtos'!$E$2:$E$18,'Base Grupo de Produtos'!$F$2:$F$18)</f>
        <v>19.999999999999996</v>
      </c>
      <c r="X620" s="56">
        <f>_xlfn.XLOOKUP($N620,'Calculo Leads'!$A$97:$A$134,'Calculo Leads'!K$97:K$134)*_xlfn.XLOOKUP($P620,'Base Grupo de Produtos'!$E$2:$E$18,'Base Grupo de Produtos'!$F$2:$F$18)</f>
        <v>43.999999999999993</v>
      </c>
      <c r="Y620" s="56">
        <f>_xlfn.XLOOKUP($N620,'Calculo Leads'!$A$97:$A$134,'Calculo Leads'!L$97:L$134)*_xlfn.XLOOKUP($P620,'Base Grupo de Produtos'!$E$2:$E$18,'Base Grupo de Produtos'!$F$2:$F$18)</f>
        <v>43.999999999999993</v>
      </c>
      <c r="Z620" s="56">
        <f>_xlfn.XLOOKUP($N620,'Calculo Leads'!$A$97:$A$134,'Calculo Leads'!M$97:M$134)*_xlfn.XLOOKUP($P620,'Base Grupo de Produtos'!$E$2:$E$18,'Base Grupo de Produtos'!$F$2:$F$18)</f>
        <v>43.999999999999993</v>
      </c>
      <c r="AA620" s="56">
        <f>_xlfn.XLOOKUP($N620,'Calculo Leads'!$A$97:$A$134,'Calculo Leads'!N$97:N$134)*_xlfn.XLOOKUP($P620,'Base Grupo de Produtos'!$E$2:$E$18,'Base Grupo de Produtos'!$F$2:$F$18)</f>
        <v>43.999999999999993</v>
      </c>
      <c r="AB620" s="56">
        <f>_xlfn.XLOOKUP($N620,'Calculo Leads'!$A$97:$A$134,'Calculo Leads'!O$97:O$134)*_xlfn.XLOOKUP($P620,'Base Grupo de Produtos'!$E$2:$E$18,'Base Grupo de Produtos'!$F$2:$F$18)</f>
        <v>43.999999999999993</v>
      </c>
      <c r="AC620" s="61">
        <f t="shared" si="638"/>
        <v>299.99999999999994</v>
      </c>
      <c r="AD620" s="27">
        <f t="shared" si="672"/>
        <v>299.99999999999994</v>
      </c>
      <c r="AE620" s="25">
        <f>IFERROR(_xlfn.XLOOKUP(N620&amp;P620,'Historico Vendas'!G:G,'Historico Vendas'!E:E),0)</f>
        <v>0</v>
      </c>
      <c r="AF620" s="29" t="str">
        <f t="shared" si="613"/>
        <v/>
      </c>
      <c r="AG620" s="24">
        <f>IFERROR(_xlfn.XLOOKUP(N620&amp;P620,'Historico Vendas'!G:G,'Historico Vendas'!F:F),0)</f>
        <v>0</v>
      </c>
      <c r="AH620" s="25">
        <f t="shared" si="673"/>
        <v>0</v>
      </c>
      <c r="AI620" s="24">
        <f t="shared" si="674"/>
        <v>0</v>
      </c>
      <c r="AJ620" s="11" t="str">
        <f t="shared" si="619"/>
        <v/>
      </c>
      <c r="AK620" s="9" t="s">
        <v>102</v>
      </c>
      <c r="AL620" s="13">
        <f>IFERROR(INDEX('Balizador da Meta'!$D$3:$F$23,MATCH(Faturamento!$P620,'Balizador da Meta'!$C$3:$C$23,0),MATCH(Faturamento!AK620,'Balizador da Meta'!$D$2:$F$2,0)),"")</f>
        <v>0</v>
      </c>
      <c r="AM620" s="9"/>
    </row>
    <row r="621" spans="1:39" x14ac:dyDescent="0.3">
      <c r="A621" s="2" t="str">
        <f t="shared" si="614"/>
        <v>NÃO</v>
      </c>
      <c r="B621" s="2" t="str">
        <f>_xlfn.XLOOKUP($N621,'Base de Grupos'!$A:$A,'Base de Grupos'!$D:$D)</f>
        <v>1000065763</v>
      </c>
      <c r="C621" s="5" t="str">
        <f>_xlfn.XLOOKUP($N621,'Base de Grupos'!$A:$A,'Base de Grupos'!$E:$E)</f>
        <v>CANAL VENDA INTERNA</v>
      </c>
      <c r="D621" s="5" t="str">
        <f>_xlfn.XLOOKUP($N621,'Base de Grupos'!$A:$A,'Base de Grupos'!$F:$F)</f>
        <v>1000065763</v>
      </c>
      <c r="E621" s="2" t="str">
        <f>_xlfn.XLOOKUP($N621,'Base de Grupos'!$A:$A,'Base de Grupos'!$G:$G)</f>
        <v>CANAL VENDA INTERNA</v>
      </c>
      <c r="F621" s="2" t="str">
        <f>_xlfn.XLOOKUP($N621,'Base de Grupos'!$A:$A,'Base de Grupos'!$H:$H)</f>
        <v>1000153245</v>
      </c>
      <c r="G621" s="5" t="str">
        <f>_xlfn.XLOOKUP($N621,'Base de Grupos'!$A:$A,'Base de Grupos'!$I:$I)</f>
        <v>REGIONAL VENDA INTERNA - KEY ACCOUNT</v>
      </c>
      <c r="H621" s="5" t="str">
        <f>_xlfn.XLOOKUP($N621,'Base de Grupos'!$A:$A,'Base de Grupos'!$J:$J)</f>
        <v>1000153245</v>
      </c>
      <c r="I621" s="2" t="str">
        <f>_xlfn.XLOOKUP($N621,'Base de Grupos'!$A:$A,'Base de Grupos'!$K:$K)</f>
        <v>REGIONAL VENDA INTERNA - KEY ACCOUNT</v>
      </c>
      <c r="J621" s="2" t="str">
        <f>_xlfn.XLOOKUP($N621,'Base de Grupos'!$A:$A,'Base de Grupos'!$L:$L)</f>
        <v>1000153245</v>
      </c>
      <c r="K621" s="5" t="str">
        <f>_xlfn.XLOOKUP($N621,'Base de Grupos'!$A:$A,'Base de Grupos'!$M:$M)</f>
        <v>REGIONAL VENDA INTERNA - KEY ACCOUNT</v>
      </c>
      <c r="L621" s="5" t="str">
        <f t="shared" si="615"/>
        <v/>
      </c>
      <c r="M621" s="5" t="str">
        <f>_xlfn.XLOOKUP($N621,'Base de Grupos'!$A:$A,'Base de Grupos'!$C:$C)</f>
        <v>RS</v>
      </c>
      <c r="N621" s="3">
        <v>1438</v>
      </c>
      <c r="O621" s="4" t="s">
        <v>258</v>
      </c>
      <c r="P621" s="5" t="s">
        <v>85</v>
      </c>
      <c r="Q621" s="56">
        <v>0</v>
      </c>
      <c r="R621" s="56">
        <v>0</v>
      </c>
      <c r="S621" s="56">
        <v>0</v>
      </c>
      <c r="T621" s="56">
        <f>_xlfn.XLOOKUP($N621,'Calculo Leads'!$A$97:$A$134,'Calculo Leads'!G$97:G$134)*_xlfn.XLOOKUP($P621,'Base Grupo de Produtos'!$E$2:$E$18,'Base Grupo de Produtos'!$F$2:$F$18)</f>
        <v>20</v>
      </c>
      <c r="U621" s="56">
        <f>_xlfn.XLOOKUP($N621,'Calculo Leads'!$A$97:$A$134,'Calculo Leads'!H$97:H$134)*_xlfn.XLOOKUP($P621,'Base Grupo de Produtos'!$E$2:$E$18,'Base Grupo de Produtos'!$F$2:$F$18)</f>
        <v>20</v>
      </c>
      <c r="V621" s="56">
        <f>_xlfn.XLOOKUP($N621,'Calculo Leads'!$A$97:$A$134,'Calculo Leads'!I$97:I$134)*_xlfn.XLOOKUP($P621,'Base Grupo de Produtos'!$E$2:$E$18,'Base Grupo de Produtos'!$F$2:$F$18)</f>
        <v>20</v>
      </c>
      <c r="W621" s="56">
        <f>_xlfn.XLOOKUP($N621,'Calculo Leads'!$A$97:$A$134,'Calculo Leads'!J$97:J$134)*_xlfn.XLOOKUP($P621,'Base Grupo de Produtos'!$E$2:$E$18,'Base Grupo de Produtos'!$F$2:$F$18)</f>
        <v>20</v>
      </c>
      <c r="X621" s="56">
        <f>_xlfn.XLOOKUP($N621,'Calculo Leads'!$A$97:$A$134,'Calculo Leads'!K$97:K$134)*_xlfn.XLOOKUP($P621,'Base Grupo de Produtos'!$E$2:$E$18,'Base Grupo de Produtos'!$F$2:$F$18)</f>
        <v>44</v>
      </c>
      <c r="Y621" s="56">
        <f>_xlfn.XLOOKUP($N621,'Calculo Leads'!$A$97:$A$134,'Calculo Leads'!L$97:L$134)*_xlfn.XLOOKUP($P621,'Base Grupo de Produtos'!$E$2:$E$18,'Base Grupo de Produtos'!$F$2:$F$18)</f>
        <v>44</v>
      </c>
      <c r="Z621" s="56">
        <f>_xlfn.XLOOKUP($N621,'Calculo Leads'!$A$97:$A$134,'Calculo Leads'!M$97:M$134)*_xlfn.XLOOKUP($P621,'Base Grupo de Produtos'!$E$2:$E$18,'Base Grupo de Produtos'!$F$2:$F$18)</f>
        <v>44</v>
      </c>
      <c r="AA621" s="56">
        <f>_xlfn.XLOOKUP($N621,'Calculo Leads'!$A$97:$A$134,'Calculo Leads'!N$97:N$134)*_xlfn.XLOOKUP($P621,'Base Grupo de Produtos'!$E$2:$E$18,'Base Grupo de Produtos'!$F$2:$F$18)</f>
        <v>44</v>
      </c>
      <c r="AB621" s="56">
        <f>_xlfn.XLOOKUP($N621,'Calculo Leads'!$A$97:$A$134,'Calculo Leads'!O$97:O$134)*_xlfn.XLOOKUP($P621,'Base Grupo de Produtos'!$E$2:$E$18,'Base Grupo de Produtos'!$F$2:$F$18)</f>
        <v>44</v>
      </c>
      <c r="AC621" s="61">
        <f t="shared" si="638"/>
        <v>300</v>
      </c>
      <c r="AD621" s="27">
        <f t="shared" si="672"/>
        <v>300</v>
      </c>
      <c r="AE621" s="25">
        <f>IFERROR(_xlfn.XLOOKUP(N621&amp;P621,'Historico Vendas'!G:G,'Historico Vendas'!E:E),0)</f>
        <v>0</v>
      </c>
      <c r="AF621" s="29" t="str">
        <f t="shared" si="613"/>
        <v/>
      </c>
      <c r="AG621" s="24">
        <f>IFERROR(_xlfn.XLOOKUP(N621&amp;P621,'Historico Vendas'!G:G,'Historico Vendas'!F:F),0)</f>
        <v>0</v>
      </c>
      <c r="AH621" s="25">
        <f t="shared" si="673"/>
        <v>0</v>
      </c>
      <c r="AI621" s="24">
        <f t="shared" si="674"/>
        <v>0</v>
      </c>
      <c r="AJ621" s="11" t="str">
        <f t="shared" si="619"/>
        <v/>
      </c>
      <c r="AK621" s="9" t="s">
        <v>102</v>
      </c>
      <c r="AL621" s="13">
        <f>IFERROR(INDEX('Balizador da Meta'!$D$3:$F$23,MATCH(Faturamento!$P621,'Balizador da Meta'!$C$3:$C$23,0),MATCH(Faturamento!AK621,'Balizador da Meta'!$D$2:$F$2,0)),"")</f>
        <v>0</v>
      </c>
      <c r="AM621" s="9"/>
    </row>
    <row r="622" spans="1:39" x14ac:dyDescent="0.3">
      <c r="A622" s="2" t="str">
        <f t="shared" si="614"/>
        <v>NÃO</v>
      </c>
      <c r="B622" s="2" t="str">
        <f>_xlfn.XLOOKUP($N622,'Base de Grupos'!$A:$A,'Base de Grupos'!$D:$D)</f>
        <v>1000065763</v>
      </c>
      <c r="C622" s="5" t="str">
        <f>_xlfn.XLOOKUP($N622,'Base de Grupos'!$A:$A,'Base de Grupos'!$E:$E)</f>
        <v>CANAL VENDA INTERNA</v>
      </c>
      <c r="D622" s="5" t="str">
        <f>_xlfn.XLOOKUP($N622,'Base de Grupos'!$A:$A,'Base de Grupos'!$F:$F)</f>
        <v>1000065763</v>
      </c>
      <c r="E622" s="2" t="str">
        <f>_xlfn.XLOOKUP($N622,'Base de Grupos'!$A:$A,'Base de Grupos'!$G:$G)</f>
        <v>CANAL VENDA INTERNA</v>
      </c>
      <c r="F622" s="2" t="str">
        <f>_xlfn.XLOOKUP($N622,'Base de Grupos'!$A:$A,'Base de Grupos'!$H:$H)</f>
        <v>1000153245</v>
      </c>
      <c r="G622" s="5" t="str">
        <f>_xlfn.XLOOKUP($N622,'Base de Grupos'!$A:$A,'Base de Grupos'!$I:$I)</f>
        <v>REGIONAL VENDA INTERNA - KEY ACCOUNT</v>
      </c>
      <c r="H622" s="5" t="str">
        <f>_xlfn.XLOOKUP($N622,'Base de Grupos'!$A:$A,'Base de Grupos'!$J:$J)</f>
        <v>1000153245</v>
      </c>
      <c r="I622" s="2" t="str">
        <f>_xlfn.XLOOKUP($N622,'Base de Grupos'!$A:$A,'Base de Grupos'!$K:$K)</f>
        <v>REGIONAL VENDA INTERNA - KEY ACCOUNT</v>
      </c>
      <c r="J622" s="2" t="str">
        <f>_xlfn.XLOOKUP($N622,'Base de Grupos'!$A:$A,'Base de Grupos'!$L:$L)</f>
        <v>1000153245</v>
      </c>
      <c r="K622" s="5" t="str">
        <f>_xlfn.XLOOKUP($N622,'Base de Grupos'!$A:$A,'Base de Grupos'!$M:$M)</f>
        <v>REGIONAL VENDA INTERNA - KEY ACCOUNT</v>
      </c>
      <c r="L622" s="5" t="str">
        <f t="shared" si="615"/>
        <v/>
      </c>
      <c r="M622" s="5" t="str">
        <f>_xlfn.XLOOKUP($N622,'Base de Grupos'!$A:$A,'Base de Grupos'!$C:$C)</f>
        <v>RS</v>
      </c>
      <c r="N622" s="3">
        <v>1438</v>
      </c>
      <c r="O622" s="4" t="s">
        <v>258</v>
      </c>
      <c r="P622" s="5" t="s">
        <v>92</v>
      </c>
      <c r="Q622" s="56">
        <v>0</v>
      </c>
      <c r="R622" s="56">
        <v>0</v>
      </c>
      <c r="S622" s="56">
        <v>0</v>
      </c>
      <c r="T622" s="56">
        <f>_xlfn.XLOOKUP($N622,'Calculo Leads'!$A$97:$A$134,'Calculo Leads'!G$97:G$134)*_xlfn.XLOOKUP($P622,'Base Grupo de Produtos'!$E$2:$E$18,'Base Grupo de Produtos'!$F$2:$F$18)</f>
        <v>20</v>
      </c>
      <c r="U622" s="56">
        <f>_xlfn.XLOOKUP($N622,'Calculo Leads'!$A$97:$A$134,'Calculo Leads'!H$97:H$134)*_xlfn.XLOOKUP($P622,'Base Grupo de Produtos'!$E$2:$E$18,'Base Grupo de Produtos'!$F$2:$F$18)</f>
        <v>20</v>
      </c>
      <c r="V622" s="56">
        <f>_xlfn.XLOOKUP($N622,'Calculo Leads'!$A$97:$A$134,'Calculo Leads'!I$97:I$134)*_xlfn.XLOOKUP($P622,'Base Grupo de Produtos'!$E$2:$E$18,'Base Grupo de Produtos'!$F$2:$F$18)</f>
        <v>20</v>
      </c>
      <c r="W622" s="56">
        <f>_xlfn.XLOOKUP($N622,'Calculo Leads'!$A$97:$A$134,'Calculo Leads'!J$97:J$134)*_xlfn.XLOOKUP($P622,'Base Grupo de Produtos'!$E$2:$E$18,'Base Grupo de Produtos'!$F$2:$F$18)</f>
        <v>20</v>
      </c>
      <c r="X622" s="56">
        <f>_xlfn.XLOOKUP($N622,'Calculo Leads'!$A$97:$A$134,'Calculo Leads'!K$97:K$134)*_xlfn.XLOOKUP($P622,'Base Grupo de Produtos'!$E$2:$E$18,'Base Grupo de Produtos'!$F$2:$F$18)</f>
        <v>44</v>
      </c>
      <c r="Y622" s="56">
        <f>_xlfn.XLOOKUP($N622,'Calculo Leads'!$A$97:$A$134,'Calculo Leads'!L$97:L$134)*_xlfn.XLOOKUP($P622,'Base Grupo de Produtos'!$E$2:$E$18,'Base Grupo de Produtos'!$F$2:$F$18)</f>
        <v>44</v>
      </c>
      <c r="Z622" s="56">
        <f>_xlfn.XLOOKUP($N622,'Calculo Leads'!$A$97:$A$134,'Calculo Leads'!M$97:M$134)*_xlfn.XLOOKUP($P622,'Base Grupo de Produtos'!$E$2:$E$18,'Base Grupo de Produtos'!$F$2:$F$18)</f>
        <v>44</v>
      </c>
      <c r="AA622" s="56">
        <f>_xlfn.XLOOKUP($N622,'Calculo Leads'!$A$97:$A$134,'Calculo Leads'!N$97:N$134)*_xlfn.XLOOKUP($P622,'Base Grupo de Produtos'!$E$2:$E$18,'Base Grupo de Produtos'!$F$2:$F$18)</f>
        <v>44</v>
      </c>
      <c r="AB622" s="56">
        <f>_xlfn.XLOOKUP($N622,'Calculo Leads'!$A$97:$A$134,'Calculo Leads'!O$97:O$134)*_xlfn.XLOOKUP($P622,'Base Grupo de Produtos'!$E$2:$E$18,'Base Grupo de Produtos'!$F$2:$F$18)</f>
        <v>44</v>
      </c>
      <c r="AC622" s="61">
        <f t="shared" si="638"/>
        <v>300</v>
      </c>
      <c r="AD622" s="27">
        <f t="shared" si="672"/>
        <v>300</v>
      </c>
      <c r="AE622" s="25">
        <f>IFERROR(_xlfn.XLOOKUP(N622&amp;P622,'Historico Vendas'!G:G,'Historico Vendas'!E:E),0)</f>
        <v>0</v>
      </c>
      <c r="AF622" s="29" t="str">
        <f t="shared" si="613"/>
        <v/>
      </c>
      <c r="AG622" s="24">
        <f>IFERROR(_xlfn.XLOOKUP(N622&amp;P622,'Historico Vendas'!G:G,'Historico Vendas'!F:F),0)</f>
        <v>0</v>
      </c>
      <c r="AH622" s="25">
        <f t="shared" si="673"/>
        <v>0</v>
      </c>
      <c r="AI622" s="24">
        <f t="shared" si="674"/>
        <v>0</v>
      </c>
      <c r="AJ622" s="11" t="str">
        <f t="shared" si="619"/>
        <v/>
      </c>
      <c r="AK622" s="9" t="s">
        <v>102</v>
      </c>
      <c r="AL622" s="13">
        <f>IFERROR(INDEX('Balizador da Meta'!$D$3:$F$23,MATCH(Faturamento!$P622,'Balizador da Meta'!$C$3:$C$23,0),MATCH(Faturamento!AK622,'Balizador da Meta'!$D$2:$F$2,0)),"")</f>
        <v>0</v>
      </c>
      <c r="AM622" s="9"/>
    </row>
    <row r="623" spans="1:39" x14ac:dyDescent="0.3">
      <c r="A623" s="2" t="str">
        <f t="shared" si="614"/>
        <v>NÃO</v>
      </c>
      <c r="B623" s="2" t="str">
        <f>_xlfn.XLOOKUP($N623,'Base de Grupos'!$A:$A,'Base de Grupos'!$D:$D)</f>
        <v>1000065763</v>
      </c>
      <c r="C623" s="5" t="str">
        <f>_xlfn.XLOOKUP($N623,'Base de Grupos'!$A:$A,'Base de Grupos'!$E:$E)</f>
        <v>CANAL VENDA INTERNA</v>
      </c>
      <c r="D623" s="5" t="str">
        <f>_xlfn.XLOOKUP($N623,'Base de Grupos'!$A:$A,'Base de Grupos'!$F:$F)</f>
        <v>1000065763</v>
      </c>
      <c r="E623" s="2" t="str">
        <f>_xlfn.XLOOKUP($N623,'Base de Grupos'!$A:$A,'Base de Grupos'!$G:$G)</f>
        <v>CANAL VENDA INTERNA</v>
      </c>
      <c r="F623" s="2" t="str">
        <f>_xlfn.XLOOKUP($N623,'Base de Grupos'!$A:$A,'Base de Grupos'!$H:$H)</f>
        <v>1000153245</v>
      </c>
      <c r="G623" s="5" t="str">
        <f>_xlfn.XLOOKUP($N623,'Base de Grupos'!$A:$A,'Base de Grupos'!$I:$I)</f>
        <v>REGIONAL VENDA INTERNA - KEY ACCOUNT</v>
      </c>
      <c r="H623" s="5" t="str">
        <f>_xlfn.XLOOKUP($N623,'Base de Grupos'!$A:$A,'Base de Grupos'!$J:$J)</f>
        <v>1000153245</v>
      </c>
      <c r="I623" s="2" t="str">
        <f>_xlfn.XLOOKUP($N623,'Base de Grupos'!$A:$A,'Base de Grupos'!$K:$K)</f>
        <v>REGIONAL VENDA INTERNA - KEY ACCOUNT</v>
      </c>
      <c r="J623" s="2" t="str">
        <f>_xlfn.XLOOKUP($N623,'Base de Grupos'!$A:$A,'Base de Grupos'!$L:$L)</f>
        <v>1000153245</v>
      </c>
      <c r="K623" s="5" t="str">
        <f>_xlfn.XLOOKUP($N623,'Base de Grupos'!$A:$A,'Base de Grupos'!$M:$M)</f>
        <v>REGIONAL VENDA INTERNA - KEY ACCOUNT</v>
      </c>
      <c r="L623" s="5" t="str">
        <f t="shared" si="615"/>
        <v/>
      </c>
      <c r="M623" s="5" t="str">
        <f>_xlfn.XLOOKUP($N623,'Base de Grupos'!$A:$A,'Base de Grupos'!$C:$C)</f>
        <v>RS</v>
      </c>
      <c r="N623" s="3">
        <v>1438</v>
      </c>
      <c r="O623" s="4" t="s">
        <v>258</v>
      </c>
      <c r="P623" s="5" t="s">
        <v>86</v>
      </c>
      <c r="Q623" s="56">
        <v>0</v>
      </c>
      <c r="R623" s="56">
        <v>0</v>
      </c>
      <c r="S623" s="56">
        <v>0</v>
      </c>
      <c r="T623" s="56">
        <f>_xlfn.XLOOKUP($N623,'Calculo Leads'!$A$97:$A$134,'Calculo Leads'!G$97:G$134)*_xlfn.XLOOKUP($P623,'Base Grupo de Produtos'!$E$2:$E$18,'Base Grupo de Produtos'!$F$2:$F$18)</f>
        <v>30</v>
      </c>
      <c r="U623" s="56">
        <f>_xlfn.XLOOKUP($N623,'Calculo Leads'!$A$97:$A$134,'Calculo Leads'!H$97:H$134)*_xlfn.XLOOKUP($P623,'Base Grupo de Produtos'!$E$2:$E$18,'Base Grupo de Produtos'!$F$2:$F$18)</f>
        <v>30</v>
      </c>
      <c r="V623" s="56">
        <f>_xlfn.XLOOKUP($N623,'Calculo Leads'!$A$97:$A$134,'Calculo Leads'!I$97:I$134)*_xlfn.XLOOKUP($P623,'Base Grupo de Produtos'!$E$2:$E$18,'Base Grupo de Produtos'!$F$2:$F$18)</f>
        <v>30</v>
      </c>
      <c r="W623" s="56">
        <f>_xlfn.XLOOKUP($N623,'Calculo Leads'!$A$97:$A$134,'Calculo Leads'!J$97:J$134)*_xlfn.XLOOKUP($P623,'Base Grupo de Produtos'!$E$2:$E$18,'Base Grupo de Produtos'!$F$2:$F$18)</f>
        <v>30</v>
      </c>
      <c r="X623" s="56">
        <f>_xlfn.XLOOKUP($N623,'Calculo Leads'!$A$97:$A$134,'Calculo Leads'!K$97:K$134)*_xlfn.XLOOKUP($P623,'Base Grupo de Produtos'!$E$2:$E$18,'Base Grupo de Produtos'!$F$2:$F$18)</f>
        <v>66</v>
      </c>
      <c r="Y623" s="56">
        <f>_xlfn.XLOOKUP($N623,'Calculo Leads'!$A$97:$A$134,'Calculo Leads'!L$97:L$134)*_xlfn.XLOOKUP($P623,'Base Grupo de Produtos'!$E$2:$E$18,'Base Grupo de Produtos'!$F$2:$F$18)</f>
        <v>66</v>
      </c>
      <c r="Z623" s="56">
        <f>_xlfn.XLOOKUP($N623,'Calculo Leads'!$A$97:$A$134,'Calculo Leads'!M$97:M$134)*_xlfn.XLOOKUP($P623,'Base Grupo de Produtos'!$E$2:$E$18,'Base Grupo de Produtos'!$F$2:$F$18)</f>
        <v>66</v>
      </c>
      <c r="AA623" s="56">
        <f>_xlfn.XLOOKUP($N623,'Calculo Leads'!$A$97:$A$134,'Calculo Leads'!N$97:N$134)*_xlfn.XLOOKUP($P623,'Base Grupo de Produtos'!$E$2:$E$18,'Base Grupo de Produtos'!$F$2:$F$18)</f>
        <v>66</v>
      </c>
      <c r="AB623" s="56">
        <f>_xlfn.XLOOKUP($N623,'Calculo Leads'!$A$97:$A$134,'Calculo Leads'!O$97:O$134)*_xlfn.XLOOKUP($P623,'Base Grupo de Produtos'!$E$2:$E$18,'Base Grupo de Produtos'!$F$2:$F$18)</f>
        <v>66</v>
      </c>
      <c r="AC623" s="61">
        <f t="shared" si="638"/>
        <v>450</v>
      </c>
      <c r="AD623" s="27">
        <f t="shared" si="672"/>
        <v>450</v>
      </c>
      <c r="AE623" s="25">
        <f>IFERROR(_xlfn.XLOOKUP(N623&amp;P623,'Historico Vendas'!G:G,'Historico Vendas'!E:E),0)</f>
        <v>0</v>
      </c>
      <c r="AF623" s="29" t="str">
        <f t="shared" si="613"/>
        <v/>
      </c>
      <c r="AG623" s="24">
        <f>IFERROR(_xlfn.XLOOKUP(N623&amp;P623,'Historico Vendas'!G:G,'Historico Vendas'!F:F),0)</f>
        <v>0</v>
      </c>
      <c r="AH623" s="25">
        <f t="shared" si="673"/>
        <v>0</v>
      </c>
      <c r="AI623" s="24">
        <f t="shared" si="674"/>
        <v>0</v>
      </c>
      <c r="AJ623" s="11" t="str">
        <f t="shared" si="619"/>
        <v/>
      </c>
      <c r="AK623" s="9" t="s">
        <v>102</v>
      </c>
      <c r="AL623" s="13">
        <f>IFERROR(INDEX('Balizador da Meta'!$D$3:$F$23,MATCH(Faturamento!$P623,'Balizador da Meta'!$C$3:$C$23,0),MATCH(Faturamento!AK623,'Balizador da Meta'!$D$2:$F$2,0)),"")</f>
        <v>0.15</v>
      </c>
      <c r="AM623" s="9"/>
    </row>
    <row r="624" spans="1:39" x14ac:dyDescent="0.3">
      <c r="A624" s="2" t="str">
        <f t="shared" si="614"/>
        <v>NÃO</v>
      </c>
      <c r="B624" s="2" t="str">
        <f>_xlfn.XLOOKUP($N624,'Base de Grupos'!$A:$A,'Base de Grupos'!$D:$D)</f>
        <v>1000065763</v>
      </c>
      <c r="C624" s="5" t="str">
        <f>_xlfn.XLOOKUP($N624,'Base de Grupos'!$A:$A,'Base de Grupos'!$E:$E)</f>
        <v>CANAL VENDA INTERNA</v>
      </c>
      <c r="D624" s="5" t="str">
        <f>_xlfn.XLOOKUP($N624,'Base de Grupos'!$A:$A,'Base de Grupos'!$F:$F)</f>
        <v>1000065763</v>
      </c>
      <c r="E624" s="2" t="str">
        <f>_xlfn.XLOOKUP($N624,'Base de Grupos'!$A:$A,'Base de Grupos'!$G:$G)</f>
        <v>CANAL VENDA INTERNA</v>
      </c>
      <c r="F624" s="2" t="str">
        <f>_xlfn.XLOOKUP($N624,'Base de Grupos'!$A:$A,'Base de Grupos'!$H:$H)</f>
        <v>1000153245</v>
      </c>
      <c r="G624" s="5" t="str">
        <f>_xlfn.XLOOKUP($N624,'Base de Grupos'!$A:$A,'Base de Grupos'!$I:$I)</f>
        <v>REGIONAL VENDA INTERNA - KEY ACCOUNT</v>
      </c>
      <c r="H624" s="5" t="str">
        <f>_xlfn.XLOOKUP($N624,'Base de Grupos'!$A:$A,'Base de Grupos'!$J:$J)</f>
        <v>1000153245</v>
      </c>
      <c r="I624" s="2" t="str">
        <f>_xlfn.XLOOKUP($N624,'Base de Grupos'!$A:$A,'Base de Grupos'!$K:$K)</f>
        <v>REGIONAL VENDA INTERNA - KEY ACCOUNT</v>
      </c>
      <c r="J624" s="2" t="str">
        <f>_xlfn.XLOOKUP($N624,'Base de Grupos'!$A:$A,'Base de Grupos'!$L:$L)</f>
        <v>1000153245</v>
      </c>
      <c r="K624" s="5" t="str">
        <f>_xlfn.XLOOKUP($N624,'Base de Grupos'!$A:$A,'Base de Grupos'!$M:$M)</f>
        <v>REGIONAL VENDA INTERNA - KEY ACCOUNT</v>
      </c>
      <c r="L624" s="5" t="str">
        <f t="shared" si="615"/>
        <v/>
      </c>
      <c r="M624" s="5" t="str">
        <f>_xlfn.XLOOKUP($N624,'Base de Grupos'!$A:$A,'Base de Grupos'!$C:$C)</f>
        <v>RS</v>
      </c>
      <c r="N624" s="3">
        <v>1438</v>
      </c>
      <c r="O624" s="4" t="s">
        <v>258</v>
      </c>
      <c r="P624" s="5" t="s">
        <v>108</v>
      </c>
      <c r="Q624" s="56">
        <v>0</v>
      </c>
      <c r="R624" s="56">
        <v>0</v>
      </c>
      <c r="S624" s="56">
        <v>0</v>
      </c>
      <c r="T624" s="56">
        <f>_xlfn.XLOOKUP($N624,'Calculo Leads'!$A$97:$A$134,'Calculo Leads'!G$97:G$134)*_xlfn.XLOOKUP($P624,'Base Grupo de Produtos'!$E$2:$E$18,'Base Grupo de Produtos'!$F$2:$F$18)</f>
        <v>250</v>
      </c>
      <c r="U624" s="56">
        <f>_xlfn.XLOOKUP($N624,'Calculo Leads'!$A$97:$A$134,'Calculo Leads'!H$97:H$134)*_xlfn.XLOOKUP($P624,'Base Grupo de Produtos'!$E$2:$E$18,'Base Grupo de Produtos'!$F$2:$F$18)</f>
        <v>250</v>
      </c>
      <c r="V624" s="56">
        <f>_xlfn.XLOOKUP($N624,'Calculo Leads'!$A$97:$A$134,'Calculo Leads'!I$97:I$134)*_xlfn.XLOOKUP($P624,'Base Grupo de Produtos'!$E$2:$E$18,'Base Grupo de Produtos'!$F$2:$F$18)</f>
        <v>250</v>
      </c>
      <c r="W624" s="56">
        <f>_xlfn.XLOOKUP($N624,'Calculo Leads'!$A$97:$A$134,'Calculo Leads'!J$97:J$134)*_xlfn.XLOOKUP($P624,'Base Grupo de Produtos'!$E$2:$E$18,'Base Grupo de Produtos'!$F$2:$F$18)</f>
        <v>250</v>
      </c>
      <c r="X624" s="56">
        <f>_xlfn.XLOOKUP($N624,'Calculo Leads'!$A$97:$A$134,'Calculo Leads'!K$97:K$134)*_xlfn.XLOOKUP($P624,'Base Grupo de Produtos'!$E$2:$E$18,'Base Grupo de Produtos'!$F$2:$F$18)</f>
        <v>550</v>
      </c>
      <c r="Y624" s="56">
        <f>_xlfn.XLOOKUP($N624,'Calculo Leads'!$A$97:$A$134,'Calculo Leads'!L$97:L$134)*_xlfn.XLOOKUP($P624,'Base Grupo de Produtos'!$E$2:$E$18,'Base Grupo de Produtos'!$F$2:$F$18)</f>
        <v>550</v>
      </c>
      <c r="Z624" s="56">
        <f>_xlfn.XLOOKUP($N624,'Calculo Leads'!$A$97:$A$134,'Calculo Leads'!M$97:M$134)*_xlfn.XLOOKUP($P624,'Base Grupo de Produtos'!$E$2:$E$18,'Base Grupo de Produtos'!$F$2:$F$18)</f>
        <v>550</v>
      </c>
      <c r="AA624" s="56">
        <f>_xlfn.XLOOKUP($N624,'Calculo Leads'!$A$97:$A$134,'Calculo Leads'!N$97:N$134)*_xlfn.XLOOKUP($P624,'Base Grupo de Produtos'!$E$2:$E$18,'Base Grupo de Produtos'!$F$2:$F$18)</f>
        <v>550</v>
      </c>
      <c r="AB624" s="56">
        <f>_xlfn.XLOOKUP($N624,'Calculo Leads'!$A$97:$A$134,'Calculo Leads'!O$97:O$134)*_xlfn.XLOOKUP($P624,'Base Grupo de Produtos'!$E$2:$E$18,'Base Grupo de Produtos'!$F$2:$F$18)</f>
        <v>550</v>
      </c>
      <c r="AC624" s="61">
        <f t="shared" si="638"/>
        <v>3750</v>
      </c>
      <c r="AD624" s="27">
        <f t="shared" si="672"/>
        <v>3750</v>
      </c>
      <c r="AE624" s="25">
        <f>IFERROR(_xlfn.XLOOKUP(N624&amp;P624,'Historico Vendas'!G:G,'Historico Vendas'!E:E),0)</f>
        <v>0</v>
      </c>
      <c r="AF624" s="29" t="str">
        <f t="shared" si="613"/>
        <v/>
      </c>
      <c r="AG624" s="24">
        <f>IFERROR(_xlfn.XLOOKUP(N624&amp;P624,'Historico Vendas'!G:G,'Historico Vendas'!F:F),0)</f>
        <v>0</v>
      </c>
      <c r="AH624" s="25">
        <f t="shared" si="673"/>
        <v>0</v>
      </c>
      <c r="AI624" s="24">
        <f t="shared" si="674"/>
        <v>0</v>
      </c>
      <c r="AJ624" s="11" t="str">
        <f t="shared" si="619"/>
        <v/>
      </c>
      <c r="AK624" s="9" t="s">
        <v>102</v>
      </c>
      <c r="AL624" s="13">
        <f>IFERROR(INDEX('Balizador da Meta'!$D$3:$F$23,MATCH(Faturamento!$P624,'Balizador da Meta'!$C$3:$C$23,0),MATCH(Faturamento!AK624,'Balizador da Meta'!$D$2:$F$2,0)),"")</f>
        <v>0</v>
      </c>
      <c r="AM624" s="9"/>
    </row>
    <row r="625" spans="1:39" x14ac:dyDescent="0.3">
      <c r="A625" s="2" t="str">
        <f t="shared" si="614"/>
        <v>NÃO</v>
      </c>
      <c r="B625" s="2" t="str">
        <f>_xlfn.XLOOKUP($N625,'Base de Grupos'!$A:$A,'Base de Grupos'!$D:$D)</f>
        <v>1000065763</v>
      </c>
      <c r="C625" s="5" t="str">
        <f>_xlfn.XLOOKUP($N625,'Base de Grupos'!$A:$A,'Base de Grupos'!$E:$E)</f>
        <v>CANAL VENDA INTERNA</v>
      </c>
      <c r="D625" s="5" t="str">
        <f>_xlfn.XLOOKUP($N625,'Base de Grupos'!$A:$A,'Base de Grupos'!$F:$F)</f>
        <v>1000065763</v>
      </c>
      <c r="E625" s="2" t="str">
        <f>_xlfn.XLOOKUP($N625,'Base de Grupos'!$A:$A,'Base de Grupos'!$G:$G)</f>
        <v>CANAL VENDA INTERNA</v>
      </c>
      <c r="F625" s="2" t="str">
        <f>_xlfn.XLOOKUP($N625,'Base de Grupos'!$A:$A,'Base de Grupos'!$H:$H)</f>
        <v>1000153245</v>
      </c>
      <c r="G625" s="5" t="str">
        <f>_xlfn.XLOOKUP($N625,'Base de Grupos'!$A:$A,'Base de Grupos'!$I:$I)</f>
        <v>REGIONAL VENDA INTERNA - KEY ACCOUNT</v>
      </c>
      <c r="H625" s="5" t="str">
        <f>_xlfn.XLOOKUP($N625,'Base de Grupos'!$A:$A,'Base de Grupos'!$J:$J)</f>
        <v>1000153245</v>
      </c>
      <c r="I625" s="2" t="str">
        <f>_xlfn.XLOOKUP($N625,'Base de Grupos'!$A:$A,'Base de Grupos'!$K:$K)</f>
        <v>REGIONAL VENDA INTERNA - KEY ACCOUNT</v>
      </c>
      <c r="J625" s="2" t="str">
        <f>_xlfn.XLOOKUP($N625,'Base de Grupos'!$A:$A,'Base de Grupos'!$L:$L)</f>
        <v>1000153245</v>
      </c>
      <c r="K625" s="5" t="str">
        <f>_xlfn.XLOOKUP($N625,'Base de Grupos'!$A:$A,'Base de Grupos'!$M:$M)</f>
        <v>REGIONAL VENDA INTERNA - KEY ACCOUNT</v>
      </c>
      <c r="L625" s="5" t="str">
        <f t="shared" si="615"/>
        <v/>
      </c>
      <c r="M625" s="5" t="str">
        <f>_xlfn.XLOOKUP($N625,'Base de Grupos'!$A:$A,'Base de Grupos'!$C:$C)</f>
        <v>RS</v>
      </c>
      <c r="N625" s="3">
        <v>1438</v>
      </c>
      <c r="O625" s="4" t="s">
        <v>258</v>
      </c>
      <c r="P625" s="5" t="s">
        <v>89</v>
      </c>
      <c r="Q625" s="56">
        <v>0</v>
      </c>
      <c r="R625" s="56">
        <v>0</v>
      </c>
      <c r="S625" s="56">
        <v>0</v>
      </c>
      <c r="T625" s="56">
        <f>_xlfn.XLOOKUP($N625,'Calculo Leads'!$A$97:$A$134,'Calculo Leads'!G$97:G$134)*_xlfn.XLOOKUP($P625,'Base Grupo de Produtos'!$E$2:$E$18,'Base Grupo de Produtos'!$F$2:$F$18)</f>
        <v>50</v>
      </c>
      <c r="U625" s="56">
        <f>_xlfn.XLOOKUP($N625,'Calculo Leads'!$A$97:$A$134,'Calculo Leads'!H$97:H$134)*_xlfn.XLOOKUP($P625,'Base Grupo de Produtos'!$E$2:$E$18,'Base Grupo de Produtos'!$F$2:$F$18)</f>
        <v>50</v>
      </c>
      <c r="V625" s="56">
        <f>_xlfn.XLOOKUP($N625,'Calculo Leads'!$A$97:$A$134,'Calculo Leads'!I$97:I$134)*_xlfn.XLOOKUP($P625,'Base Grupo de Produtos'!$E$2:$E$18,'Base Grupo de Produtos'!$F$2:$F$18)</f>
        <v>50</v>
      </c>
      <c r="W625" s="56">
        <f>_xlfn.XLOOKUP($N625,'Calculo Leads'!$A$97:$A$134,'Calculo Leads'!J$97:J$134)*_xlfn.XLOOKUP($P625,'Base Grupo de Produtos'!$E$2:$E$18,'Base Grupo de Produtos'!$F$2:$F$18)</f>
        <v>50</v>
      </c>
      <c r="X625" s="56">
        <f>_xlfn.XLOOKUP($N625,'Calculo Leads'!$A$97:$A$134,'Calculo Leads'!K$97:K$134)*_xlfn.XLOOKUP($P625,'Base Grupo de Produtos'!$E$2:$E$18,'Base Grupo de Produtos'!$F$2:$F$18)</f>
        <v>110</v>
      </c>
      <c r="Y625" s="56">
        <f>_xlfn.XLOOKUP($N625,'Calculo Leads'!$A$97:$A$134,'Calculo Leads'!L$97:L$134)*_xlfn.XLOOKUP($P625,'Base Grupo de Produtos'!$E$2:$E$18,'Base Grupo de Produtos'!$F$2:$F$18)</f>
        <v>110</v>
      </c>
      <c r="Z625" s="56">
        <f>_xlfn.XLOOKUP($N625,'Calculo Leads'!$A$97:$A$134,'Calculo Leads'!M$97:M$134)*_xlfn.XLOOKUP($P625,'Base Grupo de Produtos'!$E$2:$E$18,'Base Grupo de Produtos'!$F$2:$F$18)</f>
        <v>110</v>
      </c>
      <c r="AA625" s="56">
        <f>_xlfn.XLOOKUP($N625,'Calculo Leads'!$A$97:$A$134,'Calculo Leads'!N$97:N$134)*_xlfn.XLOOKUP($P625,'Base Grupo de Produtos'!$E$2:$E$18,'Base Grupo de Produtos'!$F$2:$F$18)</f>
        <v>110</v>
      </c>
      <c r="AB625" s="56">
        <f>_xlfn.XLOOKUP($N625,'Calculo Leads'!$A$97:$A$134,'Calculo Leads'!O$97:O$134)*_xlfn.XLOOKUP($P625,'Base Grupo de Produtos'!$E$2:$E$18,'Base Grupo de Produtos'!$F$2:$F$18)</f>
        <v>110</v>
      </c>
      <c r="AC625" s="61">
        <f t="shared" si="638"/>
        <v>750</v>
      </c>
      <c r="AD625" s="27">
        <f t="shared" si="672"/>
        <v>750</v>
      </c>
      <c r="AE625" s="25">
        <f>IFERROR(_xlfn.XLOOKUP(N625&amp;P625,'Historico Vendas'!G:G,'Historico Vendas'!E:E),0)</f>
        <v>0</v>
      </c>
      <c r="AF625" s="29" t="str">
        <f t="shared" ref="AF625:AF650" si="675">IFERROR((AC625-AE625)/AE625,"")</f>
        <v/>
      </c>
      <c r="AG625" s="24">
        <f>IFERROR(_xlfn.XLOOKUP(N625&amp;P625,'Historico Vendas'!G:G,'Historico Vendas'!F:F),0)</f>
        <v>0</v>
      </c>
      <c r="AH625" s="25">
        <f t="shared" si="673"/>
        <v>0</v>
      </c>
      <c r="AI625" s="24">
        <f t="shared" si="674"/>
        <v>0</v>
      </c>
      <c r="AJ625" s="11" t="str">
        <f t="shared" si="619"/>
        <v/>
      </c>
      <c r="AK625" s="9" t="s">
        <v>102</v>
      </c>
      <c r="AL625" s="13">
        <f>IFERROR(INDEX('Balizador da Meta'!$D$3:$F$23,MATCH(Faturamento!$P625,'Balizador da Meta'!$C$3:$C$23,0),MATCH(Faturamento!AK625,'Balizador da Meta'!$D$2:$F$2,0)),"")</f>
        <v>0.25</v>
      </c>
      <c r="AM625" s="9"/>
    </row>
    <row r="626" spans="1:39" x14ac:dyDescent="0.3">
      <c r="A626" s="2" t="str">
        <f t="shared" ref="A626:A650" si="676">IF(L626=1,"SIM","NÃO")</f>
        <v>NÃO</v>
      </c>
      <c r="B626" s="2" t="str">
        <f>_xlfn.XLOOKUP($N626,'Base de Grupos'!$A:$A,'Base de Grupos'!$D:$D)</f>
        <v>1000065763</v>
      </c>
      <c r="C626" s="5" t="str">
        <f>_xlfn.XLOOKUP($N626,'Base de Grupos'!$A:$A,'Base de Grupos'!$E:$E)</f>
        <v>CANAL VENDA INTERNA</v>
      </c>
      <c r="D626" s="5" t="str">
        <f>_xlfn.XLOOKUP($N626,'Base de Grupos'!$A:$A,'Base de Grupos'!$F:$F)</f>
        <v>1000065763</v>
      </c>
      <c r="E626" s="2" t="str">
        <f>_xlfn.XLOOKUP($N626,'Base de Grupos'!$A:$A,'Base de Grupos'!$G:$G)</f>
        <v>CANAL VENDA INTERNA</v>
      </c>
      <c r="F626" s="2" t="str">
        <f>_xlfn.XLOOKUP($N626,'Base de Grupos'!$A:$A,'Base de Grupos'!$H:$H)</f>
        <v>1000153245</v>
      </c>
      <c r="G626" s="5" t="str">
        <f>_xlfn.XLOOKUP($N626,'Base de Grupos'!$A:$A,'Base de Grupos'!$I:$I)</f>
        <v>REGIONAL VENDA INTERNA - KEY ACCOUNT</v>
      </c>
      <c r="H626" s="5" t="str">
        <f>_xlfn.XLOOKUP($N626,'Base de Grupos'!$A:$A,'Base de Grupos'!$J:$J)</f>
        <v>1000153245</v>
      </c>
      <c r="I626" s="2" t="str">
        <f>_xlfn.XLOOKUP($N626,'Base de Grupos'!$A:$A,'Base de Grupos'!$K:$K)</f>
        <v>REGIONAL VENDA INTERNA - KEY ACCOUNT</v>
      </c>
      <c r="J626" s="2" t="str">
        <f>_xlfn.XLOOKUP($N626,'Base de Grupos'!$A:$A,'Base de Grupos'!$L:$L)</f>
        <v>1000153245</v>
      </c>
      <c r="K626" s="5" t="str">
        <f>_xlfn.XLOOKUP($N626,'Base de Grupos'!$A:$A,'Base de Grupos'!$M:$M)</f>
        <v>REGIONAL VENDA INTERNA - KEY ACCOUNT</v>
      </c>
      <c r="L626" s="5" t="str">
        <f t="shared" ref="L626:L650" si="677">IF(N626&lt;&gt;N625,1,"")</f>
        <v/>
      </c>
      <c r="M626" s="5" t="str">
        <f>_xlfn.XLOOKUP($N626,'Base de Grupos'!$A:$A,'Base de Grupos'!$C:$C)</f>
        <v>RS</v>
      </c>
      <c r="N626" s="3">
        <v>1438</v>
      </c>
      <c r="O626" s="4" t="s">
        <v>258</v>
      </c>
      <c r="P626" s="5" t="s">
        <v>88</v>
      </c>
      <c r="Q626" s="56">
        <v>0</v>
      </c>
      <c r="R626" s="56">
        <v>0</v>
      </c>
      <c r="S626" s="56">
        <v>0</v>
      </c>
      <c r="T626" s="56">
        <f>_xlfn.XLOOKUP($N626,'Calculo Leads'!$A$97:$A$134,'Calculo Leads'!G$97:G$134)*_xlfn.XLOOKUP($P626,'Base Grupo de Produtos'!$E$2:$E$18,'Base Grupo de Produtos'!$F$2:$F$18)</f>
        <v>50</v>
      </c>
      <c r="U626" s="56">
        <f>_xlfn.XLOOKUP($N626,'Calculo Leads'!$A$97:$A$134,'Calculo Leads'!H$97:H$134)*_xlfn.XLOOKUP($P626,'Base Grupo de Produtos'!$E$2:$E$18,'Base Grupo de Produtos'!$F$2:$F$18)</f>
        <v>50</v>
      </c>
      <c r="V626" s="56">
        <f>_xlfn.XLOOKUP($N626,'Calculo Leads'!$A$97:$A$134,'Calculo Leads'!I$97:I$134)*_xlfn.XLOOKUP($P626,'Base Grupo de Produtos'!$E$2:$E$18,'Base Grupo de Produtos'!$F$2:$F$18)</f>
        <v>50</v>
      </c>
      <c r="W626" s="56">
        <f>_xlfn.XLOOKUP($N626,'Calculo Leads'!$A$97:$A$134,'Calculo Leads'!J$97:J$134)*_xlfn.XLOOKUP($P626,'Base Grupo de Produtos'!$E$2:$E$18,'Base Grupo de Produtos'!$F$2:$F$18)</f>
        <v>50</v>
      </c>
      <c r="X626" s="56">
        <f>_xlfn.XLOOKUP($N626,'Calculo Leads'!$A$97:$A$134,'Calculo Leads'!K$97:K$134)*_xlfn.XLOOKUP($P626,'Base Grupo de Produtos'!$E$2:$E$18,'Base Grupo de Produtos'!$F$2:$F$18)</f>
        <v>110</v>
      </c>
      <c r="Y626" s="56">
        <f>_xlfn.XLOOKUP($N626,'Calculo Leads'!$A$97:$A$134,'Calculo Leads'!L$97:L$134)*_xlfn.XLOOKUP($P626,'Base Grupo de Produtos'!$E$2:$E$18,'Base Grupo de Produtos'!$F$2:$F$18)</f>
        <v>110</v>
      </c>
      <c r="Z626" s="56">
        <f>_xlfn.XLOOKUP($N626,'Calculo Leads'!$A$97:$A$134,'Calculo Leads'!M$97:M$134)*_xlfn.XLOOKUP($P626,'Base Grupo de Produtos'!$E$2:$E$18,'Base Grupo de Produtos'!$F$2:$F$18)</f>
        <v>110</v>
      </c>
      <c r="AA626" s="56">
        <f>_xlfn.XLOOKUP($N626,'Calculo Leads'!$A$97:$A$134,'Calculo Leads'!N$97:N$134)*_xlfn.XLOOKUP($P626,'Base Grupo de Produtos'!$E$2:$E$18,'Base Grupo de Produtos'!$F$2:$F$18)</f>
        <v>110</v>
      </c>
      <c r="AB626" s="56">
        <f>_xlfn.XLOOKUP($N626,'Calculo Leads'!$A$97:$A$134,'Calculo Leads'!O$97:O$134)*_xlfn.XLOOKUP($P626,'Base Grupo de Produtos'!$E$2:$E$18,'Base Grupo de Produtos'!$F$2:$F$18)</f>
        <v>110</v>
      </c>
      <c r="AC626" s="61">
        <f t="shared" si="638"/>
        <v>750</v>
      </c>
      <c r="AD626" s="27">
        <f t="shared" si="672"/>
        <v>750</v>
      </c>
      <c r="AE626" s="25">
        <f>IFERROR(_xlfn.XLOOKUP(N626&amp;P626,'Historico Vendas'!G:G,'Historico Vendas'!E:E),0)</f>
        <v>0</v>
      </c>
      <c r="AF626" s="29" t="str">
        <f t="shared" si="675"/>
        <v/>
      </c>
      <c r="AG626" s="24">
        <f>IFERROR(_xlfn.XLOOKUP(N626&amp;P626,'Historico Vendas'!G:G,'Historico Vendas'!F:F),0)</f>
        <v>0</v>
      </c>
      <c r="AH626" s="25">
        <f t="shared" si="673"/>
        <v>0</v>
      </c>
      <c r="AI626" s="24">
        <f t="shared" si="674"/>
        <v>0</v>
      </c>
      <c r="AJ626" s="11" t="str">
        <f t="shared" si="619"/>
        <v/>
      </c>
      <c r="AK626" s="9" t="s">
        <v>102</v>
      </c>
      <c r="AL626" s="13">
        <f>IFERROR(INDEX('Balizador da Meta'!$D$3:$F$23,MATCH(Faturamento!$P626,'Balizador da Meta'!$C$3:$C$23,0),MATCH(Faturamento!AK626,'Balizador da Meta'!$D$2:$F$2,0)),"")</f>
        <v>0</v>
      </c>
      <c r="AM626" s="9"/>
    </row>
    <row r="627" spans="1:39" x14ac:dyDescent="0.3">
      <c r="A627" s="2" t="str">
        <f t="shared" si="676"/>
        <v>NÃO</v>
      </c>
      <c r="B627" s="2" t="str">
        <f>_xlfn.XLOOKUP($N627,'Base de Grupos'!$A:$A,'Base de Grupos'!$D:$D)</f>
        <v>1000065763</v>
      </c>
      <c r="C627" s="5" t="str">
        <f>_xlfn.XLOOKUP($N627,'Base de Grupos'!$A:$A,'Base de Grupos'!$E:$E)</f>
        <v>CANAL VENDA INTERNA</v>
      </c>
      <c r="D627" s="5" t="str">
        <f>_xlfn.XLOOKUP($N627,'Base de Grupos'!$A:$A,'Base de Grupos'!$F:$F)</f>
        <v>1000065763</v>
      </c>
      <c r="E627" s="2" t="str">
        <f>_xlfn.XLOOKUP($N627,'Base de Grupos'!$A:$A,'Base de Grupos'!$G:$G)</f>
        <v>CANAL VENDA INTERNA</v>
      </c>
      <c r="F627" s="2" t="str">
        <f>_xlfn.XLOOKUP($N627,'Base de Grupos'!$A:$A,'Base de Grupos'!$H:$H)</f>
        <v>1000153245</v>
      </c>
      <c r="G627" s="5" t="str">
        <f>_xlfn.XLOOKUP($N627,'Base de Grupos'!$A:$A,'Base de Grupos'!$I:$I)</f>
        <v>REGIONAL VENDA INTERNA - KEY ACCOUNT</v>
      </c>
      <c r="H627" s="5" t="str">
        <f>_xlfn.XLOOKUP($N627,'Base de Grupos'!$A:$A,'Base de Grupos'!$J:$J)</f>
        <v>1000153245</v>
      </c>
      <c r="I627" s="2" t="str">
        <f>_xlfn.XLOOKUP($N627,'Base de Grupos'!$A:$A,'Base de Grupos'!$K:$K)</f>
        <v>REGIONAL VENDA INTERNA - KEY ACCOUNT</v>
      </c>
      <c r="J627" s="2" t="str">
        <f>_xlfn.XLOOKUP($N627,'Base de Grupos'!$A:$A,'Base de Grupos'!$L:$L)</f>
        <v>1000153245</v>
      </c>
      <c r="K627" s="5" t="str">
        <f>_xlfn.XLOOKUP($N627,'Base de Grupos'!$A:$A,'Base de Grupos'!$M:$M)</f>
        <v>REGIONAL VENDA INTERNA - KEY ACCOUNT</v>
      </c>
      <c r="L627" s="5" t="str">
        <f t="shared" si="677"/>
        <v/>
      </c>
      <c r="M627" s="5" t="str">
        <f>_xlfn.XLOOKUP($N627,'Base de Grupos'!$A:$A,'Base de Grupos'!$C:$C)</f>
        <v>RS</v>
      </c>
      <c r="N627" s="3">
        <v>1438</v>
      </c>
      <c r="O627" s="4" t="s">
        <v>258</v>
      </c>
      <c r="P627" s="5" t="s">
        <v>90</v>
      </c>
      <c r="Q627" s="56">
        <v>0</v>
      </c>
      <c r="R627" s="56">
        <v>0</v>
      </c>
      <c r="S627" s="56">
        <v>0</v>
      </c>
      <c r="T627" s="56">
        <f>_xlfn.XLOOKUP($N627,'Calculo Leads'!$A$97:$A$134,'Calculo Leads'!G$97:G$134)*_xlfn.XLOOKUP($P627,'Base Grupo de Produtos'!$E$2:$E$18,'Base Grupo de Produtos'!$F$2:$F$18)</f>
        <v>50</v>
      </c>
      <c r="U627" s="56">
        <f>_xlfn.XLOOKUP($N627,'Calculo Leads'!$A$97:$A$134,'Calculo Leads'!H$97:H$134)*_xlfn.XLOOKUP($P627,'Base Grupo de Produtos'!$E$2:$E$18,'Base Grupo de Produtos'!$F$2:$F$18)</f>
        <v>50</v>
      </c>
      <c r="V627" s="56">
        <f>_xlfn.XLOOKUP($N627,'Calculo Leads'!$A$97:$A$134,'Calculo Leads'!I$97:I$134)*_xlfn.XLOOKUP($P627,'Base Grupo de Produtos'!$E$2:$E$18,'Base Grupo de Produtos'!$F$2:$F$18)</f>
        <v>50</v>
      </c>
      <c r="W627" s="56">
        <f>_xlfn.XLOOKUP($N627,'Calculo Leads'!$A$97:$A$134,'Calculo Leads'!J$97:J$134)*_xlfn.XLOOKUP($P627,'Base Grupo de Produtos'!$E$2:$E$18,'Base Grupo de Produtos'!$F$2:$F$18)</f>
        <v>50</v>
      </c>
      <c r="X627" s="56">
        <f>_xlfn.XLOOKUP($N627,'Calculo Leads'!$A$97:$A$134,'Calculo Leads'!K$97:K$134)*_xlfn.XLOOKUP($P627,'Base Grupo de Produtos'!$E$2:$E$18,'Base Grupo de Produtos'!$F$2:$F$18)</f>
        <v>110</v>
      </c>
      <c r="Y627" s="56">
        <f>_xlfn.XLOOKUP($N627,'Calculo Leads'!$A$97:$A$134,'Calculo Leads'!L$97:L$134)*_xlfn.XLOOKUP($P627,'Base Grupo de Produtos'!$E$2:$E$18,'Base Grupo de Produtos'!$F$2:$F$18)</f>
        <v>110</v>
      </c>
      <c r="Z627" s="56">
        <f>_xlfn.XLOOKUP($N627,'Calculo Leads'!$A$97:$A$134,'Calculo Leads'!M$97:M$134)*_xlfn.XLOOKUP($P627,'Base Grupo de Produtos'!$E$2:$E$18,'Base Grupo de Produtos'!$F$2:$F$18)</f>
        <v>110</v>
      </c>
      <c r="AA627" s="56">
        <f>_xlfn.XLOOKUP($N627,'Calculo Leads'!$A$97:$A$134,'Calculo Leads'!N$97:N$134)*_xlfn.XLOOKUP($P627,'Base Grupo de Produtos'!$E$2:$E$18,'Base Grupo de Produtos'!$F$2:$F$18)</f>
        <v>110</v>
      </c>
      <c r="AB627" s="56">
        <f>_xlfn.XLOOKUP($N627,'Calculo Leads'!$A$97:$A$134,'Calculo Leads'!O$97:O$134)*_xlfn.XLOOKUP($P627,'Base Grupo de Produtos'!$E$2:$E$18,'Base Grupo de Produtos'!$F$2:$F$18)</f>
        <v>110</v>
      </c>
      <c r="AC627" s="61">
        <f t="shared" si="638"/>
        <v>750</v>
      </c>
      <c r="AD627" s="27">
        <f t="shared" si="672"/>
        <v>750</v>
      </c>
      <c r="AE627" s="25">
        <f>IFERROR(_xlfn.XLOOKUP(N627&amp;P627,'Historico Vendas'!G:G,'Historico Vendas'!E:E),0)</f>
        <v>0</v>
      </c>
      <c r="AF627" s="29" t="str">
        <f t="shared" si="675"/>
        <v/>
      </c>
      <c r="AG627" s="24">
        <f>IFERROR(_xlfn.XLOOKUP(N627&amp;P627,'Historico Vendas'!G:G,'Historico Vendas'!F:F),0)</f>
        <v>0</v>
      </c>
      <c r="AH627" s="25">
        <f t="shared" si="673"/>
        <v>0</v>
      </c>
      <c r="AI627" s="24">
        <f t="shared" si="674"/>
        <v>0</v>
      </c>
      <c r="AJ627" s="11" t="str">
        <f t="shared" si="619"/>
        <v/>
      </c>
      <c r="AK627" s="9" t="s">
        <v>102</v>
      </c>
      <c r="AL627" s="13">
        <f>IFERROR(INDEX('Balizador da Meta'!$D$3:$F$23,MATCH(Faturamento!$P627,'Balizador da Meta'!$C$3:$C$23,0),MATCH(Faturamento!AK627,'Balizador da Meta'!$D$2:$F$2,0)),"")</f>
        <v>0</v>
      </c>
      <c r="AM627" s="9"/>
    </row>
    <row r="628" spans="1:39" x14ac:dyDescent="0.3">
      <c r="A628" s="2" t="str">
        <f t="shared" si="676"/>
        <v>NÃO</v>
      </c>
      <c r="B628" s="2" t="str">
        <f>_xlfn.XLOOKUP($N628,'Base de Grupos'!$A:$A,'Base de Grupos'!$D:$D)</f>
        <v>1000065763</v>
      </c>
      <c r="C628" s="5" t="str">
        <f>_xlfn.XLOOKUP($N628,'Base de Grupos'!$A:$A,'Base de Grupos'!$E:$E)</f>
        <v>CANAL VENDA INTERNA</v>
      </c>
      <c r="D628" s="5" t="str">
        <f>_xlfn.XLOOKUP($N628,'Base de Grupos'!$A:$A,'Base de Grupos'!$F:$F)</f>
        <v>1000065763</v>
      </c>
      <c r="E628" s="2" t="str">
        <f>_xlfn.XLOOKUP($N628,'Base de Grupos'!$A:$A,'Base de Grupos'!$G:$G)</f>
        <v>CANAL VENDA INTERNA</v>
      </c>
      <c r="F628" s="2" t="str">
        <f>_xlfn.XLOOKUP($N628,'Base de Grupos'!$A:$A,'Base de Grupos'!$H:$H)</f>
        <v>1000153245</v>
      </c>
      <c r="G628" s="5" t="str">
        <f>_xlfn.XLOOKUP($N628,'Base de Grupos'!$A:$A,'Base de Grupos'!$I:$I)</f>
        <v>REGIONAL VENDA INTERNA - KEY ACCOUNT</v>
      </c>
      <c r="H628" s="5" t="str">
        <f>_xlfn.XLOOKUP($N628,'Base de Grupos'!$A:$A,'Base de Grupos'!$J:$J)</f>
        <v>1000153245</v>
      </c>
      <c r="I628" s="2" t="str">
        <f>_xlfn.XLOOKUP($N628,'Base de Grupos'!$A:$A,'Base de Grupos'!$K:$K)</f>
        <v>REGIONAL VENDA INTERNA - KEY ACCOUNT</v>
      </c>
      <c r="J628" s="2" t="str">
        <f>_xlfn.XLOOKUP($N628,'Base de Grupos'!$A:$A,'Base de Grupos'!$L:$L)</f>
        <v>1000153245</v>
      </c>
      <c r="K628" s="5" t="str">
        <f>_xlfn.XLOOKUP($N628,'Base de Grupos'!$A:$A,'Base de Grupos'!$M:$M)</f>
        <v>REGIONAL VENDA INTERNA - KEY ACCOUNT</v>
      </c>
      <c r="L628" s="5" t="str">
        <f t="shared" si="677"/>
        <v/>
      </c>
      <c r="M628" s="5" t="str">
        <f>_xlfn.XLOOKUP($N628,'Base de Grupos'!$A:$A,'Base de Grupos'!$C:$C)</f>
        <v>RS</v>
      </c>
      <c r="N628" s="3">
        <v>1438</v>
      </c>
      <c r="O628" s="4" t="s">
        <v>258</v>
      </c>
      <c r="P628" s="5" t="s">
        <v>91</v>
      </c>
      <c r="Q628" s="56">
        <v>0</v>
      </c>
      <c r="R628" s="56">
        <v>0</v>
      </c>
      <c r="S628" s="56">
        <v>0</v>
      </c>
      <c r="T628" s="56">
        <f>_xlfn.XLOOKUP($N628,'Calculo Leads'!$A$97:$A$134,'Calculo Leads'!G$97:G$134)*_xlfn.XLOOKUP($P628,'Base Grupo de Produtos'!$E$2:$E$18,'Base Grupo de Produtos'!$F$2:$F$18)</f>
        <v>0</v>
      </c>
      <c r="U628" s="56">
        <f>_xlfn.XLOOKUP($N628,'Calculo Leads'!$A$97:$A$134,'Calculo Leads'!H$97:H$134)*_xlfn.XLOOKUP($P628,'Base Grupo de Produtos'!$E$2:$E$18,'Base Grupo de Produtos'!$F$2:$F$18)</f>
        <v>0</v>
      </c>
      <c r="V628" s="56">
        <f>_xlfn.XLOOKUP($N628,'Calculo Leads'!$A$97:$A$134,'Calculo Leads'!I$97:I$134)*_xlfn.XLOOKUP($P628,'Base Grupo de Produtos'!$E$2:$E$18,'Base Grupo de Produtos'!$F$2:$F$18)</f>
        <v>0</v>
      </c>
      <c r="W628" s="56">
        <f>_xlfn.XLOOKUP($N628,'Calculo Leads'!$A$97:$A$134,'Calculo Leads'!J$97:J$134)*_xlfn.XLOOKUP($P628,'Base Grupo de Produtos'!$E$2:$E$18,'Base Grupo de Produtos'!$F$2:$F$18)</f>
        <v>0</v>
      </c>
      <c r="X628" s="56">
        <f>_xlfn.XLOOKUP($N628,'Calculo Leads'!$A$97:$A$134,'Calculo Leads'!K$97:K$134)*_xlfn.XLOOKUP($P628,'Base Grupo de Produtos'!$E$2:$E$18,'Base Grupo de Produtos'!$F$2:$F$18)</f>
        <v>0</v>
      </c>
      <c r="Y628" s="56">
        <f>_xlfn.XLOOKUP($N628,'Calculo Leads'!$A$97:$A$134,'Calculo Leads'!L$97:L$134)*_xlfn.XLOOKUP($P628,'Base Grupo de Produtos'!$E$2:$E$18,'Base Grupo de Produtos'!$F$2:$F$18)</f>
        <v>0</v>
      </c>
      <c r="Z628" s="56">
        <f>_xlfn.XLOOKUP($N628,'Calculo Leads'!$A$97:$A$134,'Calculo Leads'!M$97:M$134)*_xlfn.XLOOKUP($P628,'Base Grupo de Produtos'!$E$2:$E$18,'Base Grupo de Produtos'!$F$2:$F$18)</f>
        <v>0</v>
      </c>
      <c r="AA628" s="56">
        <f>_xlfn.XLOOKUP($N628,'Calculo Leads'!$A$97:$A$134,'Calculo Leads'!N$97:N$134)*_xlfn.XLOOKUP($P628,'Base Grupo de Produtos'!$E$2:$E$18,'Base Grupo de Produtos'!$F$2:$F$18)</f>
        <v>0</v>
      </c>
      <c r="AB628" s="56">
        <f>_xlfn.XLOOKUP($N628,'Calculo Leads'!$A$97:$A$134,'Calculo Leads'!O$97:O$134)*_xlfn.XLOOKUP($P628,'Base Grupo de Produtos'!$E$2:$E$18,'Base Grupo de Produtos'!$F$2:$F$18)</f>
        <v>0</v>
      </c>
      <c r="AC628" s="61">
        <f t="shared" si="638"/>
        <v>0</v>
      </c>
      <c r="AD628" s="27">
        <f t="shared" si="672"/>
        <v>0</v>
      </c>
      <c r="AE628" s="25">
        <f>IFERROR(_xlfn.XLOOKUP(N628&amp;P628,'Historico Vendas'!G:G,'Historico Vendas'!E:E),0)</f>
        <v>0</v>
      </c>
      <c r="AF628" s="29" t="str">
        <f t="shared" si="675"/>
        <v/>
      </c>
      <c r="AG628" s="24">
        <f>IFERROR(_xlfn.XLOOKUP(N628&amp;P628,'Historico Vendas'!G:G,'Historico Vendas'!F:F),0)</f>
        <v>0</v>
      </c>
      <c r="AH628" s="25">
        <f t="shared" si="673"/>
        <v>0</v>
      </c>
      <c r="AI628" s="24">
        <f t="shared" si="674"/>
        <v>0</v>
      </c>
      <c r="AJ628" s="11" t="str">
        <f t="shared" si="619"/>
        <v/>
      </c>
      <c r="AK628" s="9" t="s">
        <v>102</v>
      </c>
      <c r="AL628" s="13">
        <f>IFERROR(INDEX('Balizador da Meta'!$D$3:$F$23,MATCH(Faturamento!$P628,'Balizador da Meta'!$C$3:$C$23,0),MATCH(Faturamento!AK628,'Balizador da Meta'!$D$2:$F$2,0)),"")</f>
        <v>0</v>
      </c>
      <c r="AM628" s="9"/>
    </row>
    <row r="629" spans="1:39" x14ac:dyDescent="0.3">
      <c r="A629" s="2" t="str">
        <f t="shared" si="676"/>
        <v>NÃO</v>
      </c>
      <c r="B629" s="2" t="str">
        <f>_xlfn.XLOOKUP($N629,'Base de Grupos'!$A:$A,'Base de Grupos'!$D:$D)</f>
        <v>1000065763</v>
      </c>
      <c r="C629" s="5" t="str">
        <f>_xlfn.XLOOKUP($N629,'Base de Grupos'!$A:$A,'Base de Grupos'!$E:$E)</f>
        <v>CANAL VENDA INTERNA</v>
      </c>
      <c r="D629" s="5" t="str">
        <f>_xlfn.XLOOKUP($N629,'Base de Grupos'!$A:$A,'Base de Grupos'!$F:$F)</f>
        <v>1000065763</v>
      </c>
      <c r="E629" s="2" t="str">
        <f>_xlfn.XLOOKUP($N629,'Base de Grupos'!$A:$A,'Base de Grupos'!$G:$G)</f>
        <v>CANAL VENDA INTERNA</v>
      </c>
      <c r="F629" s="2" t="str">
        <f>_xlfn.XLOOKUP($N629,'Base de Grupos'!$A:$A,'Base de Grupos'!$H:$H)</f>
        <v>1000153245</v>
      </c>
      <c r="G629" s="5" t="str">
        <f>_xlfn.XLOOKUP($N629,'Base de Grupos'!$A:$A,'Base de Grupos'!$I:$I)</f>
        <v>REGIONAL VENDA INTERNA - KEY ACCOUNT</v>
      </c>
      <c r="H629" s="5" t="str">
        <f>_xlfn.XLOOKUP($N629,'Base de Grupos'!$A:$A,'Base de Grupos'!$J:$J)</f>
        <v>1000153245</v>
      </c>
      <c r="I629" s="2" t="str">
        <f>_xlfn.XLOOKUP($N629,'Base de Grupos'!$A:$A,'Base de Grupos'!$K:$K)</f>
        <v>REGIONAL VENDA INTERNA - KEY ACCOUNT</v>
      </c>
      <c r="J629" s="2" t="str">
        <f>_xlfn.XLOOKUP($N629,'Base de Grupos'!$A:$A,'Base de Grupos'!$L:$L)</f>
        <v>1000153245</v>
      </c>
      <c r="K629" s="5" t="str">
        <f>_xlfn.XLOOKUP($N629,'Base de Grupos'!$A:$A,'Base de Grupos'!$M:$M)</f>
        <v>REGIONAL VENDA INTERNA - KEY ACCOUNT</v>
      </c>
      <c r="L629" s="5" t="str">
        <f t="shared" si="677"/>
        <v/>
      </c>
      <c r="M629" s="5" t="str">
        <f>_xlfn.XLOOKUP($N629,'Base de Grupos'!$A:$A,'Base de Grupos'!$C:$C)</f>
        <v>RS</v>
      </c>
      <c r="N629" s="3">
        <v>1438</v>
      </c>
      <c r="O629" s="4" t="s">
        <v>258</v>
      </c>
      <c r="P629" s="5" t="s">
        <v>96</v>
      </c>
      <c r="Q629" s="56">
        <v>0</v>
      </c>
      <c r="R629" s="56">
        <v>0</v>
      </c>
      <c r="S629" s="56">
        <v>0</v>
      </c>
      <c r="T629" s="56">
        <f>_xlfn.XLOOKUP($N629,'Calculo Leads'!$A$97:$A$134,'Calculo Leads'!G$97:G$134)*_xlfn.XLOOKUP($P629,'Base Grupo de Produtos'!$E$2:$E$18,'Base Grupo de Produtos'!$F$2:$F$18)</f>
        <v>70</v>
      </c>
      <c r="U629" s="56">
        <f>_xlfn.XLOOKUP($N629,'Calculo Leads'!$A$97:$A$134,'Calculo Leads'!H$97:H$134)*_xlfn.XLOOKUP($P629,'Base Grupo de Produtos'!$E$2:$E$18,'Base Grupo de Produtos'!$F$2:$F$18)</f>
        <v>70</v>
      </c>
      <c r="V629" s="56">
        <f>_xlfn.XLOOKUP($N629,'Calculo Leads'!$A$97:$A$134,'Calculo Leads'!I$97:I$134)*_xlfn.XLOOKUP($P629,'Base Grupo de Produtos'!$E$2:$E$18,'Base Grupo de Produtos'!$F$2:$F$18)</f>
        <v>70</v>
      </c>
      <c r="W629" s="56">
        <f>_xlfn.XLOOKUP($N629,'Calculo Leads'!$A$97:$A$134,'Calculo Leads'!J$97:J$134)*_xlfn.XLOOKUP($P629,'Base Grupo de Produtos'!$E$2:$E$18,'Base Grupo de Produtos'!$F$2:$F$18)</f>
        <v>70</v>
      </c>
      <c r="X629" s="56">
        <f>_xlfn.XLOOKUP($N629,'Calculo Leads'!$A$97:$A$134,'Calculo Leads'!K$97:K$134)*_xlfn.XLOOKUP($P629,'Base Grupo de Produtos'!$E$2:$E$18,'Base Grupo de Produtos'!$F$2:$F$18)</f>
        <v>154.00000000000003</v>
      </c>
      <c r="Y629" s="56">
        <f>_xlfn.XLOOKUP($N629,'Calculo Leads'!$A$97:$A$134,'Calculo Leads'!L$97:L$134)*_xlfn.XLOOKUP($P629,'Base Grupo de Produtos'!$E$2:$E$18,'Base Grupo de Produtos'!$F$2:$F$18)</f>
        <v>154.00000000000003</v>
      </c>
      <c r="Z629" s="56">
        <f>_xlfn.XLOOKUP($N629,'Calculo Leads'!$A$97:$A$134,'Calculo Leads'!M$97:M$134)*_xlfn.XLOOKUP($P629,'Base Grupo de Produtos'!$E$2:$E$18,'Base Grupo de Produtos'!$F$2:$F$18)</f>
        <v>154.00000000000003</v>
      </c>
      <c r="AA629" s="56">
        <f>_xlfn.XLOOKUP($N629,'Calculo Leads'!$A$97:$A$134,'Calculo Leads'!N$97:N$134)*_xlfn.XLOOKUP($P629,'Base Grupo de Produtos'!$E$2:$E$18,'Base Grupo de Produtos'!$F$2:$F$18)</f>
        <v>154.00000000000003</v>
      </c>
      <c r="AB629" s="56">
        <f>_xlfn.XLOOKUP($N629,'Calculo Leads'!$A$97:$A$134,'Calculo Leads'!O$97:O$134)*_xlfn.XLOOKUP($P629,'Base Grupo de Produtos'!$E$2:$E$18,'Base Grupo de Produtos'!$F$2:$F$18)</f>
        <v>154.00000000000003</v>
      </c>
      <c r="AC629" s="61">
        <f t="shared" si="638"/>
        <v>1050</v>
      </c>
      <c r="AD629" s="27">
        <f t="shared" si="672"/>
        <v>1050</v>
      </c>
      <c r="AE629" s="25">
        <f>IFERROR(_xlfn.XLOOKUP(N629&amp;P629,'Historico Vendas'!G:G,'Historico Vendas'!E:E),0)</f>
        <v>0</v>
      </c>
      <c r="AF629" s="29" t="str">
        <f t="shared" si="675"/>
        <v/>
      </c>
      <c r="AG629" s="24">
        <f>IFERROR(_xlfn.XLOOKUP(N629&amp;P629,'Historico Vendas'!G:G,'Historico Vendas'!F:F),0)</f>
        <v>0</v>
      </c>
      <c r="AH629" s="25">
        <f t="shared" si="673"/>
        <v>0</v>
      </c>
      <c r="AI629" s="24">
        <f t="shared" si="674"/>
        <v>0</v>
      </c>
      <c r="AJ629" s="11" t="str">
        <f t="shared" si="619"/>
        <v/>
      </c>
      <c r="AK629" s="9" t="s">
        <v>102</v>
      </c>
      <c r="AL629" s="13">
        <f>IFERROR(INDEX('Balizador da Meta'!$D$3:$F$23,MATCH(Faturamento!$P629,'Balizador da Meta'!$C$3:$C$23,0),MATCH(Faturamento!AK629,'Balizador da Meta'!$D$2:$F$2,0)),"")</f>
        <v>0</v>
      </c>
      <c r="AM629" s="9"/>
    </row>
    <row r="630" spans="1:39" x14ac:dyDescent="0.3">
      <c r="A630" s="2" t="str">
        <f t="shared" si="676"/>
        <v>NÃO</v>
      </c>
      <c r="B630" s="2" t="str">
        <f>_xlfn.XLOOKUP($N630,'Base de Grupos'!$A:$A,'Base de Grupos'!$D:$D)</f>
        <v>1000065763</v>
      </c>
      <c r="C630" s="5" t="str">
        <f>_xlfn.XLOOKUP($N630,'Base de Grupos'!$A:$A,'Base de Grupos'!$E:$E)</f>
        <v>CANAL VENDA INTERNA</v>
      </c>
      <c r="D630" s="5" t="str">
        <f>_xlfn.XLOOKUP($N630,'Base de Grupos'!$A:$A,'Base de Grupos'!$F:$F)</f>
        <v>1000065763</v>
      </c>
      <c r="E630" s="2" t="str">
        <f>_xlfn.XLOOKUP($N630,'Base de Grupos'!$A:$A,'Base de Grupos'!$G:$G)</f>
        <v>CANAL VENDA INTERNA</v>
      </c>
      <c r="F630" s="2" t="str">
        <f>_xlfn.XLOOKUP($N630,'Base de Grupos'!$A:$A,'Base de Grupos'!$H:$H)</f>
        <v>1000153245</v>
      </c>
      <c r="G630" s="5" t="str">
        <f>_xlfn.XLOOKUP($N630,'Base de Grupos'!$A:$A,'Base de Grupos'!$I:$I)</f>
        <v>REGIONAL VENDA INTERNA - KEY ACCOUNT</v>
      </c>
      <c r="H630" s="5" t="str">
        <f>_xlfn.XLOOKUP($N630,'Base de Grupos'!$A:$A,'Base de Grupos'!$J:$J)</f>
        <v>1000153245</v>
      </c>
      <c r="I630" s="2" t="str">
        <f>_xlfn.XLOOKUP($N630,'Base de Grupos'!$A:$A,'Base de Grupos'!$K:$K)</f>
        <v>REGIONAL VENDA INTERNA - KEY ACCOUNT</v>
      </c>
      <c r="J630" s="2" t="str">
        <f>_xlfn.XLOOKUP($N630,'Base de Grupos'!$A:$A,'Base de Grupos'!$L:$L)</f>
        <v>1000153245</v>
      </c>
      <c r="K630" s="5" t="str">
        <f>_xlfn.XLOOKUP($N630,'Base de Grupos'!$A:$A,'Base de Grupos'!$M:$M)</f>
        <v>REGIONAL VENDA INTERNA - KEY ACCOUNT</v>
      </c>
      <c r="L630" s="5" t="str">
        <f t="shared" si="677"/>
        <v/>
      </c>
      <c r="M630" s="5" t="str">
        <f>_xlfn.XLOOKUP($N630,'Base de Grupos'!$A:$A,'Base de Grupos'!$C:$C)</f>
        <v>RS</v>
      </c>
      <c r="N630" s="3">
        <v>1438</v>
      </c>
      <c r="O630" s="4" t="s">
        <v>258</v>
      </c>
      <c r="P630" s="5" t="s">
        <v>94</v>
      </c>
      <c r="Q630" s="56">
        <v>0</v>
      </c>
      <c r="R630" s="56">
        <v>0</v>
      </c>
      <c r="S630" s="56">
        <v>0</v>
      </c>
      <c r="T630" s="56">
        <f>_xlfn.XLOOKUP($N630,'Calculo Leads'!$A$97:$A$134,'Calculo Leads'!G$97:G$134)*_xlfn.XLOOKUP($P630,'Base Grupo de Produtos'!$E$2:$E$18,'Base Grupo de Produtos'!$F$2:$F$18)</f>
        <v>49.999999999999993</v>
      </c>
      <c r="U630" s="56">
        <f>_xlfn.XLOOKUP($N630,'Calculo Leads'!$A$97:$A$134,'Calculo Leads'!H$97:H$134)*_xlfn.XLOOKUP($P630,'Base Grupo de Produtos'!$E$2:$E$18,'Base Grupo de Produtos'!$F$2:$F$18)</f>
        <v>49.999999999999993</v>
      </c>
      <c r="V630" s="56">
        <f>_xlfn.XLOOKUP($N630,'Calculo Leads'!$A$97:$A$134,'Calculo Leads'!I$97:I$134)*_xlfn.XLOOKUP($P630,'Base Grupo de Produtos'!$E$2:$E$18,'Base Grupo de Produtos'!$F$2:$F$18)</f>
        <v>49.999999999999993</v>
      </c>
      <c r="W630" s="56">
        <f>_xlfn.XLOOKUP($N630,'Calculo Leads'!$A$97:$A$134,'Calculo Leads'!J$97:J$134)*_xlfn.XLOOKUP($P630,'Base Grupo de Produtos'!$E$2:$E$18,'Base Grupo de Produtos'!$F$2:$F$18)</f>
        <v>49.999999999999993</v>
      </c>
      <c r="X630" s="56">
        <f>_xlfn.XLOOKUP($N630,'Calculo Leads'!$A$97:$A$134,'Calculo Leads'!K$97:K$134)*_xlfn.XLOOKUP($P630,'Base Grupo de Produtos'!$E$2:$E$18,'Base Grupo de Produtos'!$F$2:$F$18)</f>
        <v>109.99999999999999</v>
      </c>
      <c r="Y630" s="56">
        <f>_xlfn.XLOOKUP($N630,'Calculo Leads'!$A$97:$A$134,'Calculo Leads'!L$97:L$134)*_xlfn.XLOOKUP($P630,'Base Grupo de Produtos'!$E$2:$E$18,'Base Grupo de Produtos'!$F$2:$F$18)</f>
        <v>109.99999999999999</v>
      </c>
      <c r="Z630" s="56">
        <f>_xlfn.XLOOKUP($N630,'Calculo Leads'!$A$97:$A$134,'Calculo Leads'!M$97:M$134)*_xlfn.XLOOKUP($P630,'Base Grupo de Produtos'!$E$2:$E$18,'Base Grupo de Produtos'!$F$2:$F$18)</f>
        <v>109.99999999999999</v>
      </c>
      <c r="AA630" s="56">
        <f>_xlfn.XLOOKUP($N630,'Calculo Leads'!$A$97:$A$134,'Calculo Leads'!N$97:N$134)*_xlfn.XLOOKUP($P630,'Base Grupo de Produtos'!$E$2:$E$18,'Base Grupo de Produtos'!$F$2:$F$18)</f>
        <v>109.99999999999999</v>
      </c>
      <c r="AB630" s="56">
        <f>_xlfn.XLOOKUP($N630,'Calculo Leads'!$A$97:$A$134,'Calculo Leads'!O$97:O$134)*_xlfn.XLOOKUP($P630,'Base Grupo de Produtos'!$E$2:$E$18,'Base Grupo de Produtos'!$F$2:$F$18)</f>
        <v>109.99999999999999</v>
      </c>
      <c r="AC630" s="61">
        <f t="shared" si="638"/>
        <v>749.99999999999989</v>
      </c>
      <c r="AD630" s="27">
        <f t="shared" si="672"/>
        <v>749.99999999999989</v>
      </c>
      <c r="AE630" s="25">
        <f>IFERROR(_xlfn.XLOOKUP(N630&amp;P630,'Historico Vendas'!G:G,'Historico Vendas'!E:E),0)</f>
        <v>0</v>
      </c>
      <c r="AF630" s="29" t="str">
        <f t="shared" si="675"/>
        <v/>
      </c>
      <c r="AG630" s="24">
        <f>IFERROR(_xlfn.XLOOKUP(N630&amp;P630,'Historico Vendas'!G:G,'Historico Vendas'!F:F),0)</f>
        <v>0</v>
      </c>
      <c r="AH630" s="25">
        <f t="shared" si="673"/>
        <v>0</v>
      </c>
      <c r="AI630" s="24">
        <f t="shared" si="674"/>
        <v>0</v>
      </c>
      <c r="AJ630" s="11" t="str">
        <f t="shared" si="619"/>
        <v/>
      </c>
      <c r="AK630" s="9" t="s">
        <v>102</v>
      </c>
      <c r="AL630" s="13">
        <f>IFERROR(INDEX('Balizador da Meta'!$D$3:$F$23,MATCH(Faturamento!$P630,'Balizador da Meta'!$C$3:$C$23,0),MATCH(Faturamento!AK630,'Balizador da Meta'!$D$2:$F$2,0)),"")</f>
        <v>0.25</v>
      </c>
      <c r="AM630" s="9"/>
    </row>
    <row r="631" spans="1:39" x14ac:dyDescent="0.3">
      <c r="A631" s="2" t="str">
        <f t="shared" si="676"/>
        <v>NÃO</v>
      </c>
      <c r="B631" s="2" t="str">
        <f>_xlfn.XLOOKUP($N631,'Base de Grupos'!$A:$A,'Base de Grupos'!$D:$D)</f>
        <v>1000065763</v>
      </c>
      <c r="C631" s="5" t="str">
        <f>_xlfn.XLOOKUP($N631,'Base de Grupos'!$A:$A,'Base de Grupos'!$E:$E)</f>
        <v>CANAL VENDA INTERNA</v>
      </c>
      <c r="D631" s="5" t="str">
        <f>_xlfn.XLOOKUP($N631,'Base de Grupos'!$A:$A,'Base de Grupos'!$F:$F)</f>
        <v>1000065763</v>
      </c>
      <c r="E631" s="2" t="str">
        <f>_xlfn.XLOOKUP($N631,'Base de Grupos'!$A:$A,'Base de Grupos'!$G:$G)</f>
        <v>CANAL VENDA INTERNA</v>
      </c>
      <c r="F631" s="2" t="str">
        <f>_xlfn.XLOOKUP($N631,'Base de Grupos'!$A:$A,'Base de Grupos'!$H:$H)</f>
        <v>1000153245</v>
      </c>
      <c r="G631" s="5" t="str">
        <f>_xlfn.XLOOKUP($N631,'Base de Grupos'!$A:$A,'Base de Grupos'!$I:$I)</f>
        <v>REGIONAL VENDA INTERNA - KEY ACCOUNT</v>
      </c>
      <c r="H631" s="5" t="str">
        <f>_xlfn.XLOOKUP($N631,'Base de Grupos'!$A:$A,'Base de Grupos'!$J:$J)</f>
        <v>1000153245</v>
      </c>
      <c r="I631" s="2" t="str">
        <f>_xlfn.XLOOKUP($N631,'Base de Grupos'!$A:$A,'Base de Grupos'!$K:$K)</f>
        <v>REGIONAL VENDA INTERNA - KEY ACCOUNT</v>
      </c>
      <c r="J631" s="2" t="str">
        <f>_xlfn.XLOOKUP($N631,'Base de Grupos'!$A:$A,'Base de Grupos'!$L:$L)</f>
        <v>1000153245</v>
      </c>
      <c r="K631" s="5" t="str">
        <f>_xlfn.XLOOKUP($N631,'Base de Grupos'!$A:$A,'Base de Grupos'!$M:$M)</f>
        <v>REGIONAL VENDA INTERNA - KEY ACCOUNT</v>
      </c>
      <c r="L631" s="5" t="str">
        <f t="shared" si="677"/>
        <v/>
      </c>
      <c r="M631" s="5" t="str">
        <f>_xlfn.XLOOKUP($N631,'Base de Grupos'!$A:$A,'Base de Grupos'!$C:$C)</f>
        <v>RS</v>
      </c>
      <c r="N631" s="3">
        <v>1438</v>
      </c>
      <c r="O631" s="4" t="s">
        <v>258</v>
      </c>
      <c r="P631" s="5" t="s">
        <v>95</v>
      </c>
      <c r="Q631" s="56">
        <v>0</v>
      </c>
      <c r="R631" s="56">
        <v>0</v>
      </c>
      <c r="S631" s="56">
        <v>0</v>
      </c>
      <c r="T631" s="56">
        <f>_xlfn.XLOOKUP($N631,'Calculo Leads'!$A$97:$A$134,'Calculo Leads'!G$97:G$134)*_xlfn.XLOOKUP($P631,'Base Grupo de Produtos'!$E$2:$E$18,'Base Grupo de Produtos'!$F$2:$F$18)</f>
        <v>80</v>
      </c>
      <c r="U631" s="56">
        <f>_xlfn.XLOOKUP($N631,'Calculo Leads'!$A$97:$A$134,'Calculo Leads'!H$97:H$134)*_xlfn.XLOOKUP($P631,'Base Grupo de Produtos'!$E$2:$E$18,'Base Grupo de Produtos'!$F$2:$F$18)</f>
        <v>80</v>
      </c>
      <c r="V631" s="56">
        <f>_xlfn.XLOOKUP($N631,'Calculo Leads'!$A$97:$A$134,'Calculo Leads'!I$97:I$134)*_xlfn.XLOOKUP($P631,'Base Grupo de Produtos'!$E$2:$E$18,'Base Grupo de Produtos'!$F$2:$F$18)</f>
        <v>80</v>
      </c>
      <c r="W631" s="56">
        <f>_xlfn.XLOOKUP($N631,'Calculo Leads'!$A$97:$A$134,'Calculo Leads'!J$97:J$134)*_xlfn.XLOOKUP($P631,'Base Grupo de Produtos'!$E$2:$E$18,'Base Grupo de Produtos'!$F$2:$F$18)</f>
        <v>80</v>
      </c>
      <c r="X631" s="56">
        <f>_xlfn.XLOOKUP($N631,'Calculo Leads'!$A$97:$A$134,'Calculo Leads'!K$97:K$134)*_xlfn.XLOOKUP($P631,'Base Grupo de Produtos'!$E$2:$E$18,'Base Grupo de Produtos'!$F$2:$F$18)</f>
        <v>176</v>
      </c>
      <c r="Y631" s="56">
        <f>_xlfn.XLOOKUP($N631,'Calculo Leads'!$A$97:$A$134,'Calculo Leads'!L$97:L$134)*_xlfn.XLOOKUP($P631,'Base Grupo de Produtos'!$E$2:$E$18,'Base Grupo de Produtos'!$F$2:$F$18)</f>
        <v>176</v>
      </c>
      <c r="Z631" s="56">
        <f>_xlfn.XLOOKUP($N631,'Calculo Leads'!$A$97:$A$134,'Calculo Leads'!M$97:M$134)*_xlfn.XLOOKUP($P631,'Base Grupo de Produtos'!$E$2:$E$18,'Base Grupo de Produtos'!$F$2:$F$18)</f>
        <v>176</v>
      </c>
      <c r="AA631" s="56">
        <f>_xlfn.XLOOKUP($N631,'Calculo Leads'!$A$97:$A$134,'Calculo Leads'!N$97:N$134)*_xlfn.XLOOKUP($P631,'Base Grupo de Produtos'!$E$2:$E$18,'Base Grupo de Produtos'!$F$2:$F$18)</f>
        <v>176</v>
      </c>
      <c r="AB631" s="56">
        <f>_xlfn.XLOOKUP($N631,'Calculo Leads'!$A$97:$A$134,'Calculo Leads'!O$97:O$134)*_xlfn.XLOOKUP($P631,'Base Grupo de Produtos'!$E$2:$E$18,'Base Grupo de Produtos'!$F$2:$F$18)</f>
        <v>176</v>
      </c>
      <c r="AC631" s="61">
        <f t="shared" si="638"/>
        <v>1200</v>
      </c>
      <c r="AD631" s="27">
        <f t="shared" si="672"/>
        <v>1200</v>
      </c>
      <c r="AE631" s="25">
        <f>IFERROR(_xlfn.XLOOKUP(N631&amp;P631,'Historico Vendas'!G:G,'Historico Vendas'!E:E),0)</f>
        <v>0</v>
      </c>
      <c r="AF631" s="29" t="str">
        <f t="shared" si="675"/>
        <v/>
      </c>
      <c r="AG631" s="24">
        <f>IFERROR(_xlfn.XLOOKUP(N631&amp;P631,'Historico Vendas'!G:G,'Historico Vendas'!F:F),0)</f>
        <v>0</v>
      </c>
      <c r="AH631" s="25">
        <f t="shared" si="673"/>
        <v>0</v>
      </c>
      <c r="AI631" s="24">
        <f t="shared" si="674"/>
        <v>0</v>
      </c>
      <c r="AJ631" s="11" t="str">
        <f t="shared" si="619"/>
        <v/>
      </c>
      <c r="AK631" s="9" t="s">
        <v>102</v>
      </c>
      <c r="AL631" s="13">
        <f>IFERROR(INDEX('Balizador da Meta'!$D$3:$F$23,MATCH(Faturamento!$P631,'Balizador da Meta'!$C$3:$C$23,0),MATCH(Faturamento!AK631,'Balizador da Meta'!$D$2:$F$2,0)),"")</f>
        <v>0.25</v>
      </c>
      <c r="AM631" s="9"/>
    </row>
    <row r="632" spans="1:39" x14ac:dyDescent="0.3">
      <c r="A632" s="2" t="str">
        <f t="shared" si="676"/>
        <v>NÃO</v>
      </c>
      <c r="B632" s="2" t="str">
        <f>_xlfn.XLOOKUP($N632,'Base de Grupos'!$A:$A,'Base de Grupos'!$D:$D)</f>
        <v>1000065763</v>
      </c>
      <c r="C632" s="5" t="str">
        <f>_xlfn.XLOOKUP($N632,'Base de Grupos'!$A:$A,'Base de Grupos'!$E:$E)</f>
        <v>CANAL VENDA INTERNA</v>
      </c>
      <c r="D632" s="5" t="str">
        <f>_xlfn.XLOOKUP($N632,'Base de Grupos'!$A:$A,'Base de Grupos'!$F:$F)</f>
        <v>1000065763</v>
      </c>
      <c r="E632" s="2" t="str">
        <f>_xlfn.XLOOKUP($N632,'Base de Grupos'!$A:$A,'Base de Grupos'!$G:$G)</f>
        <v>CANAL VENDA INTERNA</v>
      </c>
      <c r="F632" s="2" t="str">
        <f>_xlfn.XLOOKUP($N632,'Base de Grupos'!$A:$A,'Base de Grupos'!$H:$H)</f>
        <v>1000153245</v>
      </c>
      <c r="G632" s="5" t="str">
        <f>_xlfn.XLOOKUP($N632,'Base de Grupos'!$A:$A,'Base de Grupos'!$I:$I)</f>
        <v>REGIONAL VENDA INTERNA - KEY ACCOUNT</v>
      </c>
      <c r="H632" s="5" t="str">
        <f>_xlfn.XLOOKUP($N632,'Base de Grupos'!$A:$A,'Base de Grupos'!$J:$J)</f>
        <v>1000153245</v>
      </c>
      <c r="I632" s="2" t="str">
        <f>_xlfn.XLOOKUP($N632,'Base de Grupos'!$A:$A,'Base de Grupos'!$K:$K)</f>
        <v>REGIONAL VENDA INTERNA - KEY ACCOUNT</v>
      </c>
      <c r="J632" s="2" t="str">
        <f>_xlfn.XLOOKUP($N632,'Base de Grupos'!$A:$A,'Base de Grupos'!$L:$L)</f>
        <v>1000153245</v>
      </c>
      <c r="K632" s="5" t="str">
        <f>_xlfn.XLOOKUP($N632,'Base de Grupos'!$A:$A,'Base de Grupos'!$M:$M)</f>
        <v>REGIONAL VENDA INTERNA - KEY ACCOUNT</v>
      </c>
      <c r="L632" s="5" t="str">
        <f t="shared" si="677"/>
        <v/>
      </c>
      <c r="M632" s="5" t="str">
        <f>_xlfn.XLOOKUP($N632,'Base de Grupos'!$A:$A,'Base de Grupos'!$C:$C)</f>
        <v>RS</v>
      </c>
      <c r="N632" s="3">
        <v>1438</v>
      </c>
      <c r="O632" s="4" t="s">
        <v>258</v>
      </c>
      <c r="P632" s="5" t="s">
        <v>93</v>
      </c>
      <c r="Q632" s="56">
        <v>0</v>
      </c>
      <c r="R632" s="56">
        <v>0</v>
      </c>
      <c r="S632" s="56">
        <v>0</v>
      </c>
      <c r="T632" s="56">
        <f>_xlfn.XLOOKUP($N632,'Calculo Leads'!$A$97:$A$134,'Calculo Leads'!G$97:G$134)*_xlfn.XLOOKUP($P632,'Base Grupo de Produtos'!$E$2:$E$18,'Base Grupo de Produtos'!$F$2:$F$18)</f>
        <v>30</v>
      </c>
      <c r="U632" s="56">
        <f>_xlfn.XLOOKUP($N632,'Calculo Leads'!$A$97:$A$134,'Calculo Leads'!H$97:H$134)*_xlfn.XLOOKUP($P632,'Base Grupo de Produtos'!$E$2:$E$18,'Base Grupo de Produtos'!$F$2:$F$18)</f>
        <v>30</v>
      </c>
      <c r="V632" s="56">
        <f>_xlfn.XLOOKUP($N632,'Calculo Leads'!$A$97:$A$134,'Calculo Leads'!I$97:I$134)*_xlfn.XLOOKUP($P632,'Base Grupo de Produtos'!$E$2:$E$18,'Base Grupo de Produtos'!$F$2:$F$18)</f>
        <v>30</v>
      </c>
      <c r="W632" s="56">
        <f>_xlfn.XLOOKUP($N632,'Calculo Leads'!$A$97:$A$134,'Calculo Leads'!J$97:J$134)*_xlfn.XLOOKUP($P632,'Base Grupo de Produtos'!$E$2:$E$18,'Base Grupo de Produtos'!$F$2:$F$18)</f>
        <v>30</v>
      </c>
      <c r="X632" s="56">
        <f>_xlfn.XLOOKUP($N632,'Calculo Leads'!$A$97:$A$134,'Calculo Leads'!K$97:K$134)*_xlfn.XLOOKUP($P632,'Base Grupo de Produtos'!$E$2:$E$18,'Base Grupo de Produtos'!$F$2:$F$18)</f>
        <v>66</v>
      </c>
      <c r="Y632" s="56">
        <f>_xlfn.XLOOKUP($N632,'Calculo Leads'!$A$97:$A$134,'Calculo Leads'!L$97:L$134)*_xlfn.XLOOKUP($P632,'Base Grupo de Produtos'!$E$2:$E$18,'Base Grupo de Produtos'!$F$2:$F$18)</f>
        <v>66</v>
      </c>
      <c r="Z632" s="56">
        <f>_xlfn.XLOOKUP($N632,'Calculo Leads'!$A$97:$A$134,'Calculo Leads'!M$97:M$134)*_xlfn.XLOOKUP($P632,'Base Grupo de Produtos'!$E$2:$E$18,'Base Grupo de Produtos'!$F$2:$F$18)</f>
        <v>66</v>
      </c>
      <c r="AA632" s="56">
        <f>_xlfn.XLOOKUP($N632,'Calculo Leads'!$A$97:$A$134,'Calculo Leads'!N$97:N$134)*_xlfn.XLOOKUP($P632,'Base Grupo de Produtos'!$E$2:$E$18,'Base Grupo de Produtos'!$F$2:$F$18)</f>
        <v>66</v>
      </c>
      <c r="AB632" s="56">
        <f>_xlfn.XLOOKUP($N632,'Calculo Leads'!$A$97:$A$134,'Calculo Leads'!O$97:O$134)*_xlfn.XLOOKUP($P632,'Base Grupo de Produtos'!$E$2:$E$18,'Base Grupo de Produtos'!$F$2:$F$18)</f>
        <v>66</v>
      </c>
      <c r="AC632" s="61">
        <f t="shared" si="638"/>
        <v>450</v>
      </c>
      <c r="AD632" s="27">
        <f t="shared" si="672"/>
        <v>450</v>
      </c>
      <c r="AE632" s="25">
        <f>IFERROR(_xlfn.XLOOKUP(N632&amp;P632,'Historico Vendas'!G:G,'Historico Vendas'!E:E),0)</f>
        <v>0</v>
      </c>
      <c r="AF632" s="29" t="str">
        <f t="shared" si="675"/>
        <v/>
      </c>
      <c r="AG632" s="24">
        <f>IFERROR(_xlfn.XLOOKUP(N632&amp;P632,'Historico Vendas'!G:G,'Historico Vendas'!F:F),0)</f>
        <v>0</v>
      </c>
      <c r="AH632" s="25">
        <f t="shared" si="673"/>
        <v>0</v>
      </c>
      <c r="AI632" s="24">
        <f t="shared" si="674"/>
        <v>0</v>
      </c>
      <c r="AJ632" s="11" t="str">
        <f t="shared" si="619"/>
        <v/>
      </c>
      <c r="AK632" s="9" t="s">
        <v>102</v>
      </c>
      <c r="AL632" s="13">
        <f>IFERROR(INDEX('Balizador da Meta'!$D$3:$F$23,MATCH(Faturamento!$P632,'Balizador da Meta'!$C$3:$C$23,0),MATCH(Faturamento!AK632,'Balizador da Meta'!$D$2:$F$2,0)),"")</f>
        <v>0.2</v>
      </c>
      <c r="AM632" s="9"/>
    </row>
    <row r="633" spans="1:39" x14ac:dyDescent="0.3">
      <c r="A633" s="2" t="str">
        <f t="shared" si="676"/>
        <v>SIM</v>
      </c>
      <c r="B633" s="2" t="str">
        <f>_xlfn.XLOOKUP($N633,'Base de Grupos'!$A:$A,'Base de Grupos'!$D:$D)</f>
        <v>1000065763</v>
      </c>
      <c r="C633" s="5" t="str">
        <f>_xlfn.XLOOKUP($N633,'Base de Grupos'!$A:$A,'Base de Grupos'!$E:$E)</f>
        <v>CANAL VENDA INTERNA</v>
      </c>
      <c r="D633" s="5" t="str">
        <f>_xlfn.XLOOKUP($N633,'Base de Grupos'!$A:$A,'Base de Grupos'!$F:$F)</f>
        <v>1000065763</v>
      </c>
      <c r="E633" s="2" t="str">
        <f>_xlfn.XLOOKUP($N633,'Base de Grupos'!$A:$A,'Base de Grupos'!$G:$G)</f>
        <v>CANAL VENDA INTERNA</v>
      </c>
      <c r="F633" s="2" t="str">
        <f>_xlfn.XLOOKUP($N633,'Base de Grupos'!$A:$A,'Base de Grupos'!$H:$H)</f>
        <v>1000153245</v>
      </c>
      <c r="G633" s="5" t="str">
        <f>_xlfn.XLOOKUP($N633,'Base de Grupos'!$A:$A,'Base de Grupos'!$I:$I)</f>
        <v>REGIONAL VENDA INTERNA - KEY ACCOUNT</v>
      </c>
      <c r="H633" s="5" t="str">
        <f>_xlfn.XLOOKUP($N633,'Base de Grupos'!$A:$A,'Base de Grupos'!$J:$J)</f>
        <v>1000153245</v>
      </c>
      <c r="I633" s="2" t="str">
        <f>_xlfn.XLOOKUP($N633,'Base de Grupos'!$A:$A,'Base de Grupos'!$K:$K)</f>
        <v>REGIONAL VENDA INTERNA - KEY ACCOUNT</v>
      </c>
      <c r="J633" s="2" t="str">
        <f>_xlfn.XLOOKUP($N633,'Base de Grupos'!$A:$A,'Base de Grupos'!$L:$L)</f>
        <v>1000153245</v>
      </c>
      <c r="K633" s="5" t="str">
        <f>_xlfn.XLOOKUP($N633,'Base de Grupos'!$A:$A,'Base de Grupos'!$M:$M)</f>
        <v>REGIONAL VENDA INTERNA - KEY ACCOUNT</v>
      </c>
      <c r="L633" s="5">
        <f t="shared" si="677"/>
        <v>1</v>
      </c>
      <c r="M633" s="5" t="str">
        <f>_xlfn.XLOOKUP($N633,'Base de Grupos'!$A:$A,'Base de Grupos'!$C:$C)</f>
        <v>RS</v>
      </c>
      <c r="N633" s="3">
        <v>1439</v>
      </c>
      <c r="O633" s="4" t="s">
        <v>259</v>
      </c>
      <c r="P633" s="5" t="s">
        <v>329</v>
      </c>
      <c r="Q633" s="56">
        <f t="shared" ref="Q633" si="678">SUM(Q634:Q650)</f>
        <v>0</v>
      </c>
      <c r="R633" s="56">
        <f t="shared" ref="R633" si="679">SUM(R634:R650)</f>
        <v>0</v>
      </c>
      <c r="S633" s="56">
        <f t="shared" ref="S633" si="680">SUM(S634:S650)</f>
        <v>0</v>
      </c>
      <c r="T633" s="56">
        <f t="shared" ref="T633" si="681">SUM(T634:T650)</f>
        <v>1000</v>
      </c>
      <c r="U633" s="56">
        <f t="shared" ref="U633" si="682">SUM(U634:U650)</f>
        <v>1000</v>
      </c>
      <c r="V633" s="56">
        <f t="shared" ref="V633" si="683">SUM(V634:V650)</f>
        <v>1000</v>
      </c>
      <c r="W633" s="56">
        <f t="shared" ref="W633" si="684">SUM(W634:W650)</f>
        <v>1000</v>
      </c>
      <c r="X633" s="56">
        <f t="shared" ref="X633" si="685">SUM(X634:X650)</f>
        <v>2200</v>
      </c>
      <c r="Y633" s="56">
        <f t="shared" ref="Y633" si="686">SUM(Y634:Y650)</f>
        <v>2200</v>
      </c>
      <c r="Z633" s="56">
        <f t="shared" ref="Z633" si="687">SUM(Z634:Z650)</f>
        <v>2200</v>
      </c>
      <c r="AA633" s="56">
        <f t="shared" ref="AA633" si="688">SUM(AA634:AA650)</f>
        <v>2200</v>
      </c>
      <c r="AB633" s="56">
        <f t="shared" ref="AB633" si="689">SUM(AB634:AB650)</f>
        <v>2200</v>
      </c>
      <c r="AC633" s="56">
        <f t="shared" ref="AC633" si="690">SUM(AC634:AC650)</f>
        <v>15000</v>
      </c>
      <c r="AD633" s="25">
        <f t="shared" ref="AD633" si="691">SUM(AD634:AD650)</f>
        <v>15000</v>
      </c>
      <c r="AE633" s="25">
        <f t="shared" ref="AE633:AI633" si="692">SUM(AE634:AE650)</f>
        <v>0</v>
      </c>
      <c r="AF633" s="11" t="str">
        <f t="shared" si="675"/>
        <v/>
      </c>
      <c r="AG633" s="24">
        <f t="shared" si="692"/>
        <v>0</v>
      </c>
      <c r="AH633" s="25">
        <f t="shared" si="692"/>
        <v>0</v>
      </c>
      <c r="AI633" s="24">
        <f t="shared" si="692"/>
        <v>0</v>
      </c>
      <c r="AJ633" s="11" t="str">
        <f t="shared" ref="AJ633:AJ650" si="693">IFERROR(AG633/AH633,"")</f>
        <v/>
      </c>
      <c r="AK633" s="9"/>
      <c r="AL633" s="13"/>
      <c r="AM633" s="9"/>
    </row>
    <row r="634" spans="1:39" x14ac:dyDescent="0.3">
      <c r="A634" s="2" t="str">
        <f t="shared" si="676"/>
        <v>NÃO</v>
      </c>
      <c r="B634" s="2" t="str">
        <f>_xlfn.XLOOKUP($N634,'Base de Grupos'!$A:$A,'Base de Grupos'!$D:$D)</f>
        <v>1000065763</v>
      </c>
      <c r="C634" s="5" t="str">
        <f>_xlfn.XLOOKUP($N634,'Base de Grupos'!$A:$A,'Base de Grupos'!$E:$E)</f>
        <v>CANAL VENDA INTERNA</v>
      </c>
      <c r="D634" s="5" t="str">
        <f>_xlfn.XLOOKUP($N634,'Base de Grupos'!$A:$A,'Base de Grupos'!$F:$F)</f>
        <v>1000065763</v>
      </c>
      <c r="E634" s="2" t="str">
        <f>_xlfn.XLOOKUP($N634,'Base de Grupos'!$A:$A,'Base de Grupos'!$G:$G)</f>
        <v>CANAL VENDA INTERNA</v>
      </c>
      <c r="F634" s="2" t="str">
        <f>_xlfn.XLOOKUP($N634,'Base de Grupos'!$A:$A,'Base de Grupos'!$H:$H)</f>
        <v>1000153245</v>
      </c>
      <c r="G634" s="5" t="str">
        <f>_xlfn.XLOOKUP($N634,'Base de Grupos'!$A:$A,'Base de Grupos'!$I:$I)</f>
        <v>REGIONAL VENDA INTERNA - KEY ACCOUNT</v>
      </c>
      <c r="H634" s="5" t="str">
        <f>_xlfn.XLOOKUP($N634,'Base de Grupos'!$A:$A,'Base de Grupos'!$J:$J)</f>
        <v>1000153245</v>
      </c>
      <c r="I634" s="2" t="str">
        <f>_xlfn.XLOOKUP($N634,'Base de Grupos'!$A:$A,'Base de Grupos'!$K:$K)</f>
        <v>REGIONAL VENDA INTERNA - KEY ACCOUNT</v>
      </c>
      <c r="J634" s="2" t="str">
        <f>_xlfn.XLOOKUP($N634,'Base de Grupos'!$A:$A,'Base de Grupos'!$L:$L)</f>
        <v>1000153245</v>
      </c>
      <c r="K634" s="5" t="str">
        <f>_xlfn.XLOOKUP($N634,'Base de Grupos'!$A:$A,'Base de Grupos'!$M:$M)</f>
        <v>REGIONAL VENDA INTERNA - KEY ACCOUNT</v>
      </c>
      <c r="L634" s="5" t="str">
        <f t="shared" si="677"/>
        <v/>
      </c>
      <c r="M634" s="5" t="str">
        <f>_xlfn.XLOOKUP($N634,'Base de Grupos'!$A:$A,'Base de Grupos'!$C:$C)</f>
        <v>RS</v>
      </c>
      <c r="N634" s="3">
        <v>1439</v>
      </c>
      <c r="O634" s="4" t="s">
        <v>259</v>
      </c>
      <c r="P634" s="5" t="s">
        <v>81</v>
      </c>
      <c r="Q634" s="56">
        <v>0</v>
      </c>
      <c r="R634" s="56">
        <v>0</v>
      </c>
      <c r="S634" s="56">
        <v>0</v>
      </c>
      <c r="T634" s="56">
        <f>_xlfn.XLOOKUP($N634,'Calculo Leads'!$A$97:$A$134,'Calculo Leads'!G$97:G$134)*_xlfn.XLOOKUP($P634,'Base Grupo de Produtos'!$E$2:$E$18,'Base Grupo de Produtos'!$F$2:$F$18)</f>
        <v>50</v>
      </c>
      <c r="U634" s="56">
        <f>_xlfn.XLOOKUP($N634,'Calculo Leads'!$A$97:$A$134,'Calculo Leads'!H$97:H$134)*_xlfn.XLOOKUP($P634,'Base Grupo de Produtos'!$E$2:$E$18,'Base Grupo de Produtos'!$F$2:$F$18)</f>
        <v>50</v>
      </c>
      <c r="V634" s="56">
        <f>_xlfn.XLOOKUP($N634,'Calculo Leads'!$A$97:$A$134,'Calculo Leads'!I$97:I$134)*_xlfn.XLOOKUP($P634,'Base Grupo de Produtos'!$E$2:$E$18,'Base Grupo de Produtos'!$F$2:$F$18)</f>
        <v>50</v>
      </c>
      <c r="W634" s="56">
        <f>_xlfn.XLOOKUP($N634,'Calculo Leads'!$A$97:$A$134,'Calculo Leads'!J$97:J$134)*_xlfn.XLOOKUP($P634,'Base Grupo de Produtos'!$E$2:$E$18,'Base Grupo de Produtos'!$F$2:$F$18)</f>
        <v>50</v>
      </c>
      <c r="X634" s="56">
        <f>_xlfn.XLOOKUP($N634,'Calculo Leads'!$A$97:$A$134,'Calculo Leads'!K$97:K$134)*_xlfn.XLOOKUP($P634,'Base Grupo de Produtos'!$E$2:$E$18,'Base Grupo de Produtos'!$F$2:$F$18)</f>
        <v>110</v>
      </c>
      <c r="Y634" s="56">
        <f>_xlfn.XLOOKUP($N634,'Calculo Leads'!$A$97:$A$134,'Calculo Leads'!L$97:L$134)*_xlfn.XLOOKUP($P634,'Base Grupo de Produtos'!$E$2:$E$18,'Base Grupo de Produtos'!$F$2:$F$18)</f>
        <v>110</v>
      </c>
      <c r="Z634" s="56">
        <f>_xlfn.XLOOKUP($N634,'Calculo Leads'!$A$97:$A$134,'Calculo Leads'!M$97:M$134)*_xlfn.XLOOKUP($P634,'Base Grupo de Produtos'!$E$2:$E$18,'Base Grupo de Produtos'!$F$2:$F$18)</f>
        <v>110</v>
      </c>
      <c r="AA634" s="56">
        <f>_xlfn.XLOOKUP($N634,'Calculo Leads'!$A$97:$A$134,'Calculo Leads'!N$97:N$134)*_xlfn.XLOOKUP($P634,'Base Grupo de Produtos'!$E$2:$E$18,'Base Grupo de Produtos'!$F$2:$F$18)</f>
        <v>110</v>
      </c>
      <c r="AB634" s="56">
        <f>_xlfn.XLOOKUP($N634,'Calculo Leads'!$A$97:$A$134,'Calculo Leads'!O$97:O$134)*_xlfn.XLOOKUP($P634,'Base Grupo de Produtos'!$E$2:$E$18,'Base Grupo de Produtos'!$F$2:$F$18)</f>
        <v>110</v>
      </c>
      <c r="AC634" s="61">
        <f t="shared" si="638"/>
        <v>750</v>
      </c>
      <c r="AD634" s="27">
        <f t="shared" ref="AD634:AD650" si="694">IF(AC634=0,0,AC634-AG634)</f>
        <v>750</v>
      </c>
      <c r="AE634" s="25">
        <f>IFERROR(_xlfn.XLOOKUP(N634&amp;P634,'Historico Vendas'!G:G,'Historico Vendas'!E:E),0)</f>
        <v>0</v>
      </c>
      <c r="AF634" s="29" t="str">
        <f t="shared" si="675"/>
        <v/>
      </c>
      <c r="AG634" s="24">
        <f>IFERROR(_xlfn.XLOOKUP(N634&amp;P634,'Historico Vendas'!G:G,'Historico Vendas'!F:F),0)</f>
        <v>0</v>
      </c>
      <c r="AH634" s="25">
        <f t="shared" ref="AH634:AH650" si="695">SUM(Q634:S634)</f>
        <v>0</v>
      </c>
      <c r="AI634" s="24">
        <f t="shared" ref="AI634:AI650" si="696">AH634-AG634</f>
        <v>0</v>
      </c>
      <c r="AJ634" s="11" t="str">
        <f t="shared" si="693"/>
        <v/>
      </c>
      <c r="AK634" s="9" t="s">
        <v>102</v>
      </c>
      <c r="AL634" s="13">
        <f>IFERROR(INDEX('Balizador da Meta'!$D$3:$F$23,MATCH(Faturamento!$P634,'Balizador da Meta'!$C$3:$C$23,0),MATCH(Faturamento!AK634,'Balizador da Meta'!$D$2:$F$2,0)),"")</f>
        <v>0.2</v>
      </c>
      <c r="AM634" s="9"/>
    </row>
    <row r="635" spans="1:39" x14ac:dyDescent="0.3">
      <c r="A635" s="2" t="str">
        <f t="shared" si="676"/>
        <v>NÃO</v>
      </c>
      <c r="B635" s="2" t="str">
        <f>_xlfn.XLOOKUP($N635,'Base de Grupos'!$A:$A,'Base de Grupos'!$D:$D)</f>
        <v>1000065763</v>
      </c>
      <c r="C635" s="5" t="str">
        <f>_xlfn.XLOOKUP($N635,'Base de Grupos'!$A:$A,'Base de Grupos'!$E:$E)</f>
        <v>CANAL VENDA INTERNA</v>
      </c>
      <c r="D635" s="5" t="str">
        <f>_xlfn.XLOOKUP($N635,'Base de Grupos'!$A:$A,'Base de Grupos'!$F:$F)</f>
        <v>1000065763</v>
      </c>
      <c r="E635" s="2" t="str">
        <f>_xlfn.XLOOKUP($N635,'Base de Grupos'!$A:$A,'Base de Grupos'!$G:$G)</f>
        <v>CANAL VENDA INTERNA</v>
      </c>
      <c r="F635" s="2" t="str">
        <f>_xlfn.XLOOKUP($N635,'Base de Grupos'!$A:$A,'Base de Grupos'!$H:$H)</f>
        <v>1000153245</v>
      </c>
      <c r="G635" s="5" t="str">
        <f>_xlfn.XLOOKUP($N635,'Base de Grupos'!$A:$A,'Base de Grupos'!$I:$I)</f>
        <v>REGIONAL VENDA INTERNA - KEY ACCOUNT</v>
      </c>
      <c r="H635" s="5" t="str">
        <f>_xlfn.XLOOKUP($N635,'Base de Grupos'!$A:$A,'Base de Grupos'!$J:$J)</f>
        <v>1000153245</v>
      </c>
      <c r="I635" s="2" t="str">
        <f>_xlfn.XLOOKUP($N635,'Base de Grupos'!$A:$A,'Base de Grupos'!$K:$K)</f>
        <v>REGIONAL VENDA INTERNA - KEY ACCOUNT</v>
      </c>
      <c r="J635" s="2" t="str">
        <f>_xlfn.XLOOKUP($N635,'Base de Grupos'!$A:$A,'Base de Grupos'!$L:$L)</f>
        <v>1000153245</v>
      </c>
      <c r="K635" s="5" t="str">
        <f>_xlfn.XLOOKUP($N635,'Base de Grupos'!$A:$A,'Base de Grupos'!$M:$M)</f>
        <v>REGIONAL VENDA INTERNA - KEY ACCOUNT</v>
      </c>
      <c r="L635" s="5" t="str">
        <f t="shared" si="677"/>
        <v/>
      </c>
      <c r="M635" s="5" t="str">
        <f>_xlfn.XLOOKUP($N635,'Base de Grupos'!$A:$A,'Base de Grupos'!$C:$C)</f>
        <v>RS</v>
      </c>
      <c r="N635" s="3">
        <v>1439</v>
      </c>
      <c r="O635" s="4" t="s">
        <v>259</v>
      </c>
      <c r="P635" s="5" t="s">
        <v>82</v>
      </c>
      <c r="Q635" s="56">
        <v>0</v>
      </c>
      <c r="R635" s="56">
        <v>0</v>
      </c>
      <c r="S635" s="56">
        <v>0</v>
      </c>
      <c r="T635" s="56">
        <f>_xlfn.XLOOKUP($N635,'Calculo Leads'!$A$97:$A$134,'Calculo Leads'!G$97:G$134)*_xlfn.XLOOKUP($P635,'Base Grupo de Produtos'!$E$2:$E$18,'Base Grupo de Produtos'!$F$2:$F$18)</f>
        <v>50</v>
      </c>
      <c r="U635" s="56">
        <f>_xlfn.XLOOKUP($N635,'Calculo Leads'!$A$97:$A$134,'Calculo Leads'!H$97:H$134)*_xlfn.XLOOKUP($P635,'Base Grupo de Produtos'!$E$2:$E$18,'Base Grupo de Produtos'!$F$2:$F$18)</f>
        <v>50</v>
      </c>
      <c r="V635" s="56">
        <f>_xlfn.XLOOKUP($N635,'Calculo Leads'!$A$97:$A$134,'Calculo Leads'!I$97:I$134)*_xlfn.XLOOKUP($P635,'Base Grupo de Produtos'!$E$2:$E$18,'Base Grupo de Produtos'!$F$2:$F$18)</f>
        <v>50</v>
      </c>
      <c r="W635" s="56">
        <f>_xlfn.XLOOKUP($N635,'Calculo Leads'!$A$97:$A$134,'Calculo Leads'!J$97:J$134)*_xlfn.XLOOKUP($P635,'Base Grupo de Produtos'!$E$2:$E$18,'Base Grupo de Produtos'!$F$2:$F$18)</f>
        <v>50</v>
      </c>
      <c r="X635" s="56">
        <f>_xlfn.XLOOKUP($N635,'Calculo Leads'!$A$97:$A$134,'Calculo Leads'!K$97:K$134)*_xlfn.XLOOKUP($P635,'Base Grupo de Produtos'!$E$2:$E$18,'Base Grupo de Produtos'!$F$2:$F$18)</f>
        <v>110</v>
      </c>
      <c r="Y635" s="56">
        <f>_xlfn.XLOOKUP($N635,'Calculo Leads'!$A$97:$A$134,'Calculo Leads'!L$97:L$134)*_xlfn.XLOOKUP($P635,'Base Grupo de Produtos'!$E$2:$E$18,'Base Grupo de Produtos'!$F$2:$F$18)</f>
        <v>110</v>
      </c>
      <c r="Z635" s="56">
        <f>_xlfn.XLOOKUP($N635,'Calculo Leads'!$A$97:$A$134,'Calculo Leads'!M$97:M$134)*_xlfn.XLOOKUP($P635,'Base Grupo de Produtos'!$E$2:$E$18,'Base Grupo de Produtos'!$F$2:$F$18)</f>
        <v>110</v>
      </c>
      <c r="AA635" s="56">
        <f>_xlfn.XLOOKUP($N635,'Calculo Leads'!$A$97:$A$134,'Calculo Leads'!N$97:N$134)*_xlfn.XLOOKUP($P635,'Base Grupo de Produtos'!$E$2:$E$18,'Base Grupo de Produtos'!$F$2:$F$18)</f>
        <v>110</v>
      </c>
      <c r="AB635" s="56">
        <f>_xlfn.XLOOKUP($N635,'Calculo Leads'!$A$97:$A$134,'Calculo Leads'!O$97:O$134)*_xlfn.XLOOKUP($P635,'Base Grupo de Produtos'!$E$2:$E$18,'Base Grupo de Produtos'!$F$2:$F$18)</f>
        <v>110</v>
      </c>
      <c r="AC635" s="61">
        <f t="shared" si="638"/>
        <v>750</v>
      </c>
      <c r="AD635" s="27">
        <f t="shared" si="694"/>
        <v>750</v>
      </c>
      <c r="AE635" s="25">
        <f>IFERROR(_xlfn.XLOOKUP(N635&amp;P635,'Historico Vendas'!G:G,'Historico Vendas'!E:E),0)</f>
        <v>0</v>
      </c>
      <c r="AF635" s="29" t="str">
        <f t="shared" si="675"/>
        <v/>
      </c>
      <c r="AG635" s="24">
        <f>IFERROR(_xlfn.XLOOKUP(N635&amp;P635,'Historico Vendas'!G:G,'Historico Vendas'!F:F),0)</f>
        <v>0</v>
      </c>
      <c r="AH635" s="25">
        <f t="shared" si="695"/>
        <v>0</v>
      </c>
      <c r="AI635" s="24">
        <f t="shared" si="696"/>
        <v>0</v>
      </c>
      <c r="AJ635" s="11" t="str">
        <f t="shared" si="693"/>
        <v/>
      </c>
      <c r="AK635" s="9" t="s">
        <v>102</v>
      </c>
      <c r="AL635" s="13">
        <f>IFERROR(INDEX('Balizador da Meta'!$D$3:$F$23,MATCH(Faturamento!$P635,'Balizador da Meta'!$C$3:$C$23,0),MATCH(Faturamento!AK635,'Balizador da Meta'!$D$2:$F$2,0)),"")</f>
        <v>0.2</v>
      </c>
      <c r="AM635" s="9"/>
    </row>
    <row r="636" spans="1:39" x14ac:dyDescent="0.3">
      <c r="A636" s="2" t="str">
        <f t="shared" si="676"/>
        <v>NÃO</v>
      </c>
      <c r="B636" s="2" t="str">
        <f>_xlfn.XLOOKUP($N636,'Base de Grupos'!$A:$A,'Base de Grupos'!$D:$D)</f>
        <v>1000065763</v>
      </c>
      <c r="C636" s="5" t="str">
        <f>_xlfn.XLOOKUP($N636,'Base de Grupos'!$A:$A,'Base de Grupos'!$E:$E)</f>
        <v>CANAL VENDA INTERNA</v>
      </c>
      <c r="D636" s="5" t="str">
        <f>_xlfn.XLOOKUP($N636,'Base de Grupos'!$A:$A,'Base de Grupos'!$F:$F)</f>
        <v>1000065763</v>
      </c>
      <c r="E636" s="2" t="str">
        <f>_xlfn.XLOOKUP($N636,'Base de Grupos'!$A:$A,'Base de Grupos'!$G:$G)</f>
        <v>CANAL VENDA INTERNA</v>
      </c>
      <c r="F636" s="2" t="str">
        <f>_xlfn.XLOOKUP($N636,'Base de Grupos'!$A:$A,'Base de Grupos'!$H:$H)</f>
        <v>1000153245</v>
      </c>
      <c r="G636" s="5" t="str">
        <f>_xlfn.XLOOKUP($N636,'Base de Grupos'!$A:$A,'Base de Grupos'!$I:$I)</f>
        <v>REGIONAL VENDA INTERNA - KEY ACCOUNT</v>
      </c>
      <c r="H636" s="5" t="str">
        <f>_xlfn.XLOOKUP($N636,'Base de Grupos'!$A:$A,'Base de Grupos'!$J:$J)</f>
        <v>1000153245</v>
      </c>
      <c r="I636" s="2" t="str">
        <f>_xlfn.XLOOKUP($N636,'Base de Grupos'!$A:$A,'Base de Grupos'!$K:$K)</f>
        <v>REGIONAL VENDA INTERNA - KEY ACCOUNT</v>
      </c>
      <c r="J636" s="2" t="str">
        <f>_xlfn.XLOOKUP($N636,'Base de Grupos'!$A:$A,'Base de Grupos'!$L:$L)</f>
        <v>1000153245</v>
      </c>
      <c r="K636" s="5" t="str">
        <f>_xlfn.XLOOKUP($N636,'Base de Grupos'!$A:$A,'Base de Grupos'!$M:$M)</f>
        <v>REGIONAL VENDA INTERNA - KEY ACCOUNT</v>
      </c>
      <c r="L636" s="5" t="str">
        <f t="shared" si="677"/>
        <v/>
      </c>
      <c r="M636" s="5" t="str">
        <f>_xlfn.XLOOKUP($N636,'Base de Grupos'!$A:$A,'Base de Grupos'!$C:$C)</f>
        <v>RS</v>
      </c>
      <c r="N636" s="3">
        <v>1439</v>
      </c>
      <c r="O636" s="4" t="s">
        <v>259</v>
      </c>
      <c r="P636" s="5" t="s">
        <v>84</v>
      </c>
      <c r="Q636" s="56">
        <v>0</v>
      </c>
      <c r="R636" s="56">
        <v>0</v>
      </c>
      <c r="S636" s="56">
        <v>0</v>
      </c>
      <c r="T636" s="56">
        <f>_xlfn.XLOOKUP($N636,'Calculo Leads'!$A$97:$A$134,'Calculo Leads'!G$97:G$134)*_xlfn.XLOOKUP($P636,'Base Grupo de Produtos'!$E$2:$E$18,'Base Grupo de Produtos'!$F$2:$F$18)</f>
        <v>80</v>
      </c>
      <c r="U636" s="56">
        <f>_xlfn.XLOOKUP($N636,'Calculo Leads'!$A$97:$A$134,'Calculo Leads'!H$97:H$134)*_xlfn.XLOOKUP($P636,'Base Grupo de Produtos'!$E$2:$E$18,'Base Grupo de Produtos'!$F$2:$F$18)</f>
        <v>80</v>
      </c>
      <c r="V636" s="56">
        <f>_xlfn.XLOOKUP($N636,'Calculo Leads'!$A$97:$A$134,'Calculo Leads'!I$97:I$134)*_xlfn.XLOOKUP($P636,'Base Grupo de Produtos'!$E$2:$E$18,'Base Grupo de Produtos'!$F$2:$F$18)</f>
        <v>80</v>
      </c>
      <c r="W636" s="56">
        <f>_xlfn.XLOOKUP($N636,'Calculo Leads'!$A$97:$A$134,'Calculo Leads'!J$97:J$134)*_xlfn.XLOOKUP($P636,'Base Grupo de Produtos'!$E$2:$E$18,'Base Grupo de Produtos'!$F$2:$F$18)</f>
        <v>80</v>
      </c>
      <c r="X636" s="56">
        <f>_xlfn.XLOOKUP($N636,'Calculo Leads'!$A$97:$A$134,'Calculo Leads'!K$97:K$134)*_xlfn.XLOOKUP($P636,'Base Grupo de Produtos'!$E$2:$E$18,'Base Grupo de Produtos'!$F$2:$F$18)</f>
        <v>176</v>
      </c>
      <c r="Y636" s="56">
        <f>_xlfn.XLOOKUP($N636,'Calculo Leads'!$A$97:$A$134,'Calculo Leads'!L$97:L$134)*_xlfn.XLOOKUP($P636,'Base Grupo de Produtos'!$E$2:$E$18,'Base Grupo de Produtos'!$F$2:$F$18)</f>
        <v>176</v>
      </c>
      <c r="Z636" s="56">
        <f>_xlfn.XLOOKUP($N636,'Calculo Leads'!$A$97:$A$134,'Calculo Leads'!M$97:M$134)*_xlfn.XLOOKUP($P636,'Base Grupo de Produtos'!$E$2:$E$18,'Base Grupo de Produtos'!$F$2:$F$18)</f>
        <v>176</v>
      </c>
      <c r="AA636" s="56">
        <f>_xlfn.XLOOKUP($N636,'Calculo Leads'!$A$97:$A$134,'Calculo Leads'!N$97:N$134)*_xlfn.XLOOKUP($P636,'Base Grupo de Produtos'!$E$2:$E$18,'Base Grupo de Produtos'!$F$2:$F$18)</f>
        <v>176</v>
      </c>
      <c r="AB636" s="56">
        <f>_xlfn.XLOOKUP($N636,'Calculo Leads'!$A$97:$A$134,'Calculo Leads'!O$97:O$134)*_xlfn.XLOOKUP($P636,'Base Grupo de Produtos'!$E$2:$E$18,'Base Grupo de Produtos'!$F$2:$F$18)</f>
        <v>176</v>
      </c>
      <c r="AC636" s="61">
        <f t="shared" si="638"/>
        <v>1200</v>
      </c>
      <c r="AD636" s="27">
        <f t="shared" si="694"/>
        <v>1200</v>
      </c>
      <c r="AE636" s="25">
        <f>IFERROR(_xlfn.XLOOKUP(N636&amp;P636,'Historico Vendas'!G:G,'Historico Vendas'!E:E),0)</f>
        <v>0</v>
      </c>
      <c r="AF636" s="29" t="str">
        <f t="shared" si="675"/>
        <v/>
      </c>
      <c r="AG636" s="24">
        <f>IFERROR(_xlfn.XLOOKUP(N636&amp;P636,'Historico Vendas'!G:G,'Historico Vendas'!F:F),0)</f>
        <v>0</v>
      </c>
      <c r="AH636" s="25">
        <f t="shared" si="695"/>
        <v>0</v>
      </c>
      <c r="AI636" s="24">
        <f t="shared" si="696"/>
        <v>0</v>
      </c>
      <c r="AJ636" s="11" t="str">
        <f t="shared" si="693"/>
        <v/>
      </c>
      <c r="AK636" s="9" t="s">
        <v>102</v>
      </c>
      <c r="AL636" s="13">
        <f>IFERROR(INDEX('Balizador da Meta'!$D$3:$F$23,MATCH(Faturamento!$P636,'Balizador da Meta'!$C$3:$C$23,0),MATCH(Faturamento!AK636,'Balizador da Meta'!$D$2:$F$2,0)),"")</f>
        <v>0.15</v>
      </c>
      <c r="AM636" s="9"/>
    </row>
    <row r="637" spans="1:39" x14ac:dyDescent="0.3">
      <c r="A637" s="2" t="str">
        <f t="shared" si="676"/>
        <v>NÃO</v>
      </c>
      <c r="B637" s="2" t="str">
        <f>_xlfn.XLOOKUP($N637,'Base de Grupos'!$A:$A,'Base de Grupos'!$D:$D)</f>
        <v>1000065763</v>
      </c>
      <c r="C637" s="5" t="str">
        <f>_xlfn.XLOOKUP($N637,'Base de Grupos'!$A:$A,'Base de Grupos'!$E:$E)</f>
        <v>CANAL VENDA INTERNA</v>
      </c>
      <c r="D637" s="5" t="str">
        <f>_xlfn.XLOOKUP($N637,'Base de Grupos'!$A:$A,'Base de Grupos'!$F:$F)</f>
        <v>1000065763</v>
      </c>
      <c r="E637" s="2" t="str">
        <f>_xlfn.XLOOKUP($N637,'Base de Grupos'!$A:$A,'Base de Grupos'!$G:$G)</f>
        <v>CANAL VENDA INTERNA</v>
      </c>
      <c r="F637" s="2" t="str">
        <f>_xlfn.XLOOKUP($N637,'Base de Grupos'!$A:$A,'Base de Grupos'!$H:$H)</f>
        <v>1000153245</v>
      </c>
      <c r="G637" s="5" t="str">
        <f>_xlfn.XLOOKUP($N637,'Base de Grupos'!$A:$A,'Base de Grupos'!$I:$I)</f>
        <v>REGIONAL VENDA INTERNA - KEY ACCOUNT</v>
      </c>
      <c r="H637" s="5" t="str">
        <f>_xlfn.XLOOKUP($N637,'Base de Grupos'!$A:$A,'Base de Grupos'!$J:$J)</f>
        <v>1000153245</v>
      </c>
      <c r="I637" s="2" t="str">
        <f>_xlfn.XLOOKUP($N637,'Base de Grupos'!$A:$A,'Base de Grupos'!$K:$K)</f>
        <v>REGIONAL VENDA INTERNA - KEY ACCOUNT</v>
      </c>
      <c r="J637" s="2" t="str">
        <f>_xlfn.XLOOKUP($N637,'Base de Grupos'!$A:$A,'Base de Grupos'!$L:$L)</f>
        <v>1000153245</v>
      </c>
      <c r="K637" s="5" t="str">
        <f>_xlfn.XLOOKUP($N637,'Base de Grupos'!$A:$A,'Base de Grupos'!$M:$M)</f>
        <v>REGIONAL VENDA INTERNA - KEY ACCOUNT</v>
      </c>
      <c r="L637" s="5" t="str">
        <f t="shared" si="677"/>
        <v/>
      </c>
      <c r="M637" s="5" t="str">
        <f>_xlfn.XLOOKUP($N637,'Base de Grupos'!$A:$A,'Base de Grupos'!$C:$C)</f>
        <v>RS</v>
      </c>
      <c r="N637" s="3">
        <v>1439</v>
      </c>
      <c r="O637" s="4" t="s">
        <v>259</v>
      </c>
      <c r="P637" s="5" t="s">
        <v>83</v>
      </c>
      <c r="Q637" s="56">
        <v>0</v>
      </c>
      <c r="R637" s="56">
        <v>0</v>
      </c>
      <c r="S637" s="56">
        <v>0</v>
      </c>
      <c r="T637" s="56">
        <f>_xlfn.XLOOKUP($N637,'Calculo Leads'!$A$97:$A$134,'Calculo Leads'!G$97:G$134)*_xlfn.XLOOKUP($P637,'Base Grupo de Produtos'!$E$2:$E$18,'Base Grupo de Produtos'!$F$2:$F$18)</f>
        <v>100</v>
      </c>
      <c r="U637" s="56">
        <f>_xlfn.XLOOKUP($N637,'Calculo Leads'!$A$97:$A$134,'Calculo Leads'!H$97:H$134)*_xlfn.XLOOKUP($P637,'Base Grupo de Produtos'!$E$2:$E$18,'Base Grupo de Produtos'!$F$2:$F$18)</f>
        <v>100</v>
      </c>
      <c r="V637" s="56">
        <f>_xlfn.XLOOKUP($N637,'Calculo Leads'!$A$97:$A$134,'Calculo Leads'!I$97:I$134)*_xlfn.XLOOKUP($P637,'Base Grupo de Produtos'!$E$2:$E$18,'Base Grupo de Produtos'!$F$2:$F$18)</f>
        <v>100</v>
      </c>
      <c r="W637" s="56">
        <f>_xlfn.XLOOKUP($N637,'Calculo Leads'!$A$97:$A$134,'Calculo Leads'!J$97:J$134)*_xlfn.XLOOKUP($P637,'Base Grupo de Produtos'!$E$2:$E$18,'Base Grupo de Produtos'!$F$2:$F$18)</f>
        <v>100</v>
      </c>
      <c r="X637" s="56">
        <f>_xlfn.XLOOKUP($N637,'Calculo Leads'!$A$97:$A$134,'Calculo Leads'!K$97:K$134)*_xlfn.XLOOKUP($P637,'Base Grupo de Produtos'!$E$2:$E$18,'Base Grupo de Produtos'!$F$2:$F$18)</f>
        <v>220</v>
      </c>
      <c r="Y637" s="56">
        <f>_xlfn.XLOOKUP($N637,'Calculo Leads'!$A$97:$A$134,'Calculo Leads'!L$97:L$134)*_xlfn.XLOOKUP($P637,'Base Grupo de Produtos'!$E$2:$E$18,'Base Grupo de Produtos'!$F$2:$F$18)</f>
        <v>220</v>
      </c>
      <c r="Z637" s="56">
        <f>_xlfn.XLOOKUP($N637,'Calculo Leads'!$A$97:$A$134,'Calculo Leads'!M$97:M$134)*_xlfn.XLOOKUP($P637,'Base Grupo de Produtos'!$E$2:$E$18,'Base Grupo de Produtos'!$F$2:$F$18)</f>
        <v>220</v>
      </c>
      <c r="AA637" s="56">
        <f>_xlfn.XLOOKUP($N637,'Calculo Leads'!$A$97:$A$134,'Calculo Leads'!N$97:N$134)*_xlfn.XLOOKUP($P637,'Base Grupo de Produtos'!$E$2:$E$18,'Base Grupo de Produtos'!$F$2:$F$18)</f>
        <v>220</v>
      </c>
      <c r="AB637" s="56">
        <f>_xlfn.XLOOKUP($N637,'Calculo Leads'!$A$97:$A$134,'Calculo Leads'!O$97:O$134)*_xlfn.XLOOKUP($P637,'Base Grupo de Produtos'!$E$2:$E$18,'Base Grupo de Produtos'!$F$2:$F$18)</f>
        <v>220</v>
      </c>
      <c r="AC637" s="61">
        <f t="shared" si="638"/>
        <v>1500</v>
      </c>
      <c r="AD637" s="27">
        <f t="shared" si="694"/>
        <v>1500</v>
      </c>
      <c r="AE637" s="25">
        <f>IFERROR(_xlfn.XLOOKUP(N637&amp;P637,'Historico Vendas'!G:G,'Historico Vendas'!E:E),0)</f>
        <v>0</v>
      </c>
      <c r="AF637" s="29" t="str">
        <f t="shared" si="675"/>
        <v/>
      </c>
      <c r="AG637" s="24">
        <f>IFERROR(_xlfn.XLOOKUP(N637&amp;P637,'Historico Vendas'!G:G,'Historico Vendas'!F:F),0)</f>
        <v>0</v>
      </c>
      <c r="AH637" s="25">
        <f t="shared" si="695"/>
        <v>0</v>
      </c>
      <c r="AI637" s="24">
        <f t="shared" si="696"/>
        <v>0</v>
      </c>
      <c r="AJ637" s="11" t="str">
        <f t="shared" si="693"/>
        <v/>
      </c>
      <c r="AK637" s="9" t="s">
        <v>102</v>
      </c>
      <c r="AL637" s="13">
        <f>IFERROR(INDEX('Balizador da Meta'!$D$3:$F$23,MATCH(Faturamento!$P637,'Balizador da Meta'!$C$3:$C$23,0),MATCH(Faturamento!AK637,'Balizador da Meta'!$D$2:$F$2,0)),"")</f>
        <v>0</v>
      </c>
      <c r="AM637" s="9"/>
    </row>
    <row r="638" spans="1:39" x14ac:dyDescent="0.3">
      <c r="A638" s="2" t="str">
        <f t="shared" si="676"/>
        <v>NÃO</v>
      </c>
      <c r="B638" s="2" t="str">
        <f>_xlfn.XLOOKUP($N638,'Base de Grupos'!$A:$A,'Base de Grupos'!$D:$D)</f>
        <v>1000065763</v>
      </c>
      <c r="C638" s="5" t="str">
        <f>_xlfn.XLOOKUP($N638,'Base de Grupos'!$A:$A,'Base de Grupos'!$E:$E)</f>
        <v>CANAL VENDA INTERNA</v>
      </c>
      <c r="D638" s="5" t="str">
        <f>_xlfn.XLOOKUP($N638,'Base de Grupos'!$A:$A,'Base de Grupos'!$F:$F)</f>
        <v>1000065763</v>
      </c>
      <c r="E638" s="2" t="str">
        <f>_xlfn.XLOOKUP($N638,'Base de Grupos'!$A:$A,'Base de Grupos'!$G:$G)</f>
        <v>CANAL VENDA INTERNA</v>
      </c>
      <c r="F638" s="2" t="str">
        <f>_xlfn.XLOOKUP($N638,'Base de Grupos'!$A:$A,'Base de Grupos'!$H:$H)</f>
        <v>1000153245</v>
      </c>
      <c r="G638" s="5" t="str">
        <f>_xlfn.XLOOKUP($N638,'Base de Grupos'!$A:$A,'Base de Grupos'!$I:$I)</f>
        <v>REGIONAL VENDA INTERNA - KEY ACCOUNT</v>
      </c>
      <c r="H638" s="5" t="str">
        <f>_xlfn.XLOOKUP($N638,'Base de Grupos'!$A:$A,'Base de Grupos'!$J:$J)</f>
        <v>1000153245</v>
      </c>
      <c r="I638" s="2" t="str">
        <f>_xlfn.XLOOKUP($N638,'Base de Grupos'!$A:$A,'Base de Grupos'!$K:$K)</f>
        <v>REGIONAL VENDA INTERNA - KEY ACCOUNT</v>
      </c>
      <c r="J638" s="2" t="str">
        <f>_xlfn.XLOOKUP($N638,'Base de Grupos'!$A:$A,'Base de Grupos'!$L:$L)</f>
        <v>1000153245</v>
      </c>
      <c r="K638" s="5" t="str">
        <f>_xlfn.XLOOKUP($N638,'Base de Grupos'!$A:$A,'Base de Grupos'!$M:$M)</f>
        <v>REGIONAL VENDA INTERNA - KEY ACCOUNT</v>
      </c>
      <c r="L638" s="5" t="str">
        <f t="shared" si="677"/>
        <v/>
      </c>
      <c r="M638" s="5" t="str">
        <f>_xlfn.XLOOKUP($N638,'Base de Grupos'!$A:$A,'Base de Grupos'!$C:$C)</f>
        <v>RS</v>
      </c>
      <c r="N638" s="3">
        <v>1439</v>
      </c>
      <c r="O638" s="4" t="s">
        <v>259</v>
      </c>
      <c r="P638" s="5" t="s">
        <v>87</v>
      </c>
      <c r="Q638" s="56">
        <v>0</v>
      </c>
      <c r="R638" s="56">
        <v>0</v>
      </c>
      <c r="S638" s="56">
        <v>0</v>
      </c>
      <c r="T638" s="56">
        <f>_xlfn.XLOOKUP($N638,'Calculo Leads'!$A$97:$A$134,'Calculo Leads'!G$97:G$134)*_xlfn.XLOOKUP($P638,'Base Grupo de Produtos'!$E$2:$E$18,'Base Grupo de Produtos'!$F$2:$F$18)</f>
        <v>19.999999999999996</v>
      </c>
      <c r="U638" s="56">
        <f>_xlfn.XLOOKUP($N638,'Calculo Leads'!$A$97:$A$134,'Calculo Leads'!H$97:H$134)*_xlfn.XLOOKUP($P638,'Base Grupo de Produtos'!$E$2:$E$18,'Base Grupo de Produtos'!$F$2:$F$18)</f>
        <v>19.999999999999996</v>
      </c>
      <c r="V638" s="56">
        <f>_xlfn.XLOOKUP($N638,'Calculo Leads'!$A$97:$A$134,'Calculo Leads'!I$97:I$134)*_xlfn.XLOOKUP($P638,'Base Grupo de Produtos'!$E$2:$E$18,'Base Grupo de Produtos'!$F$2:$F$18)</f>
        <v>19.999999999999996</v>
      </c>
      <c r="W638" s="56">
        <f>_xlfn.XLOOKUP($N638,'Calculo Leads'!$A$97:$A$134,'Calculo Leads'!J$97:J$134)*_xlfn.XLOOKUP($P638,'Base Grupo de Produtos'!$E$2:$E$18,'Base Grupo de Produtos'!$F$2:$F$18)</f>
        <v>19.999999999999996</v>
      </c>
      <c r="X638" s="56">
        <f>_xlfn.XLOOKUP($N638,'Calculo Leads'!$A$97:$A$134,'Calculo Leads'!K$97:K$134)*_xlfn.XLOOKUP($P638,'Base Grupo de Produtos'!$E$2:$E$18,'Base Grupo de Produtos'!$F$2:$F$18)</f>
        <v>43.999999999999993</v>
      </c>
      <c r="Y638" s="56">
        <f>_xlfn.XLOOKUP($N638,'Calculo Leads'!$A$97:$A$134,'Calculo Leads'!L$97:L$134)*_xlfn.XLOOKUP($P638,'Base Grupo de Produtos'!$E$2:$E$18,'Base Grupo de Produtos'!$F$2:$F$18)</f>
        <v>43.999999999999993</v>
      </c>
      <c r="Z638" s="56">
        <f>_xlfn.XLOOKUP($N638,'Calculo Leads'!$A$97:$A$134,'Calculo Leads'!M$97:M$134)*_xlfn.XLOOKUP($P638,'Base Grupo de Produtos'!$E$2:$E$18,'Base Grupo de Produtos'!$F$2:$F$18)</f>
        <v>43.999999999999993</v>
      </c>
      <c r="AA638" s="56">
        <f>_xlfn.XLOOKUP($N638,'Calculo Leads'!$A$97:$A$134,'Calculo Leads'!N$97:N$134)*_xlfn.XLOOKUP($P638,'Base Grupo de Produtos'!$E$2:$E$18,'Base Grupo de Produtos'!$F$2:$F$18)</f>
        <v>43.999999999999993</v>
      </c>
      <c r="AB638" s="56">
        <f>_xlfn.XLOOKUP($N638,'Calculo Leads'!$A$97:$A$134,'Calculo Leads'!O$97:O$134)*_xlfn.XLOOKUP($P638,'Base Grupo de Produtos'!$E$2:$E$18,'Base Grupo de Produtos'!$F$2:$F$18)</f>
        <v>43.999999999999993</v>
      </c>
      <c r="AC638" s="61">
        <f t="shared" si="638"/>
        <v>299.99999999999994</v>
      </c>
      <c r="AD638" s="27">
        <f t="shared" si="694"/>
        <v>299.99999999999994</v>
      </c>
      <c r="AE638" s="25">
        <f>IFERROR(_xlfn.XLOOKUP(N638&amp;P638,'Historico Vendas'!G:G,'Historico Vendas'!E:E),0)</f>
        <v>0</v>
      </c>
      <c r="AF638" s="29" t="str">
        <f t="shared" si="675"/>
        <v/>
      </c>
      <c r="AG638" s="24">
        <f>IFERROR(_xlfn.XLOOKUP(N638&amp;P638,'Historico Vendas'!G:G,'Historico Vendas'!F:F),0)</f>
        <v>0</v>
      </c>
      <c r="AH638" s="25">
        <f t="shared" si="695"/>
        <v>0</v>
      </c>
      <c r="AI638" s="24">
        <f t="shared" si="696"/>
        <v>0</v>
      </c>
      <c r="AJ638" s="11" t="str">
        <f t="shared" si="693"/>
        <v/>
      </c>
      <c r="AK638" s="9" t="s">
        <v>102</v>
      </c>
      <c r="AL638" s="13">
        <f>IFERROR(INDEX('Balizador da Meta'!$D$3:$F$23,MATCH(Faturamento!$P638,'Balizador da Meta'!$C$3:$C$23,0),MATCH(Faturamento!AK638,'Balizador da Meta'!$D$2:$F$2,0)),"")</f>
        <v>0</v>
      </c>
      <c r="AM638" s="9"/>
    </row>
    <row r="639" spans="1:39" x14ac:dyDescent="0.3">
      <c r="A639" s="2" t="str">
        <f t="shared" si="676"/>
        <v>NÃO</v>
      </c>
      <c r="B639" s="2" t="str">
        <f>_xlfn.XLOOKUP($N639,'Base de Grupos'!$A:$A,'Base de Grupos'!$D:$D)</f>
        <v>1000065763</v>
      </c>
      <c r="C639" s="5" t="str">
        <f>_xlfn.XLOOKUP($N639,'Base de Grupos'!$A:$A,'Base de Grupos'!$E:$E)</f>
        <v>CANAL VENDA INTERNA</v>
      </c>
      <c r="D639" s="5" t="str">
        <f>_xlfn.XLOOKUP($N639,'Base de Grupos'!$A:$A,'Base de Grupos'!$F:$F)</f>
        <v>1000065763</v>
      </c>
      <c r="E639" s="2" t="str">
        <f>_xlfn.XLOOKUP($N639,'Base de Grupos'!$A:$A,'Base de Grupos'!$G:$G)</f>
        <v>CANAL VENDA INTERNA</v>
      </c>
      <c r="F639" s="2" t="str">
        <f>_xlfn.XLOOKUP($N639,'Base de Grupos'!$A:$A,'Base de Grupos'!$H:$H)</f>
        <v>1000153245</v>
      </c>
      <c r="G639" s="5" t="str">
        <f>_xlfn.XLOOKUP($N639,'Base de Grupos'!$A:$A,'Base de Grupos'!$I:$I)</f>
        <v>REGIONAL VENDA INTERNA - KEY ACCOUNT</v>
      </c>
      <c r="H639" s="5" t="str">
        <f>_xlfn.XLOOKUP($N639,'Base de Grupos'!$A:$A,'Base de Grupos'!$J:$J)</f>
        <v>1000153245</v>
      </c>
      <c r="I639" s="2" t="str">
        <f>_xlfn.XLOOKUP($N639,'Base de Grupos'!$A:$A,'Base de Grupos'!$K:$K)</f>
        <v>REGIONAL VENDA INTERNA - KEY ACCOUNT</v>
      </c>
      <c r="J639" s="2" t="str">
        <f>_xlfn.XLOOKUP($N639,'Base de Grupos'!$A:$A,'Base de Grupos'!$L:$L)</f>
        <v>1000153245</v>
      </c>
      <c r="K639" s="5" t="str">
        <f>_xlfn.XLOOKUP($N639,'Base de Grupos'!$A:$A,'Base de Grupos'!$M:$M)</f>
        <v>REGIONAL VENDA INTERNA - KEY ACCOUNT</v>
      </c>
      <c r="L639" s="5" t="str">
        <f t="shared" si="677"/>
        <v/>
      </c>
      <c r="M639" s="5" t="str">
        <f>_xlfn.XLOOKUP($N639,'Base de Grupos'!$A:$A,'Base de Grupos'!$C:$C)</f>
        <v>RS</v>
      </c>
      <c r="N639" s="3">
        <v>1439</v>
      </c>
      <c r="O639" s="4" t="s">
        <v>259</v>
      </c>
      <c r="P639" s="5" t="s">
        <v>85</v>
      </c>
      <c r="Q639" s="56">
        <v>0</v>
      </c>
      <c r="R639" s="56">
        <v>0</v>
      </c>
      <c r="S639" s="56">
        <v>0</v>
      </c>
      <c r="T639" s="56">
        <f>_xlfn.XLOOKUP($N639,'Calculo Leads'!$A$97:$A$134,'Calculo Leads'!G$97:G$134)*_xlfn.XLOOKUP($P639,'Base Grupo de Produtos'!$E$2:$E$18,'Base Grupo de Produtos'!$F$2:$F$18)</f>
        <v>20</v>
      </c>
      <c r="U639" s="56">
        <f>_xlfn.XLOOKUP($N639,'Calculo Leads'!$A$97:$A$134,'Calculo Leads'!H$97:H$134)*_xlfn.XLOOKUP($P639,'Base Grupo de Produtos'!$E$2:$E$18,'Base Grupo de Produtos'!$F$2:$F$18)</f>
        <v>20</v>
      </c>
      <c r="V639" s="56">
        <f>_xlfn.XLOOKUP($N639,'Calculo Leads'!$A$97:$A$134,'Calculo Leads'!I$97:I$134)*_xlfn.XLOOKUP($P639,'Base Grupo de Produtos'!$E$2:$E$18,'Base Grupo de Produtos'!$F$2:$F$18)</f>
        <v>20</v>
      </c>
      <c r="W639" s="56">
        <f>_xlfn.XLOOKUP($N639,'Calculo Leads'!$A$97:$A$134,'Calculo Leads'!J$97:J$134)*_xlfn.XLOOKUP($P639,'Base Grupo de Produtos'!$E$2:$E$18,'Base Grupo de Produtos'!$F$2:$F$18)</f>
        <v>20</v>
      </c>
      <c r="X639" s="56">
        <f>_xlfn.XLOOKUP($N639,'Calculo Leads'!$A$97:$A$134,'Calculo Leads'!K$97:K$134)*_xlfn.XLOOKUP($P639,'Base Grupo de Produtos'!$E$2:$E$18,'Base Grupo de Produtos'!$F$2:$F$18)</f>
        <v>44</v>
      </c>
      <c r="Y639" s="56">
        <f>_xlfn.XLOOKUP($N639,'Calculo Leads'!$A$97:$A$134,'Calculo Leads'!L$97:L$134)*_xlfn.XLOOKUP($P639,'Base Grupo de Produtos'!$E$2:$E$18,'Base Grupo de Produtos'!$F$2:$F$18)</f>
        <v>44</v>
      </c>
      <c r="Z639" s="56">
        <f>_xlfn.XLOOKUP($N639,'Calculo Leads'!$A$97:$A$134,'Calculo Leads'!M$97:M$134)*_xlfn.XLOOKUP($P639,'Base Grupo de Produtos'!$E$2:$E$18,'Base Grupo de Produtos'!$F$2:$F$18)</f>
        <v>44</v>
      </c>
      <c r="AA639" s="56">
        <f>_xlfn.XLOOKUP($N639,'Calculo Leads'!$A$97:$A$134,'Calculo Leads'!N$97:N$134)*_xlfn.XLOOKUP($P639,'Base Grupo de Produtos'!$E$2:$E$18,'Base Grupo de Produtos'!$F$2:$F$18)</f>
        <v>44</v>
      </c>
      <c r="AB639" s="56">
        <f>_xlfn.XLOOKUP($N639,'Calculo Leads'!$A$97:$A$134,'Calculo Leads'!O$97:O$134)*_xlfn.XLOOKUP($P639,'Base Grupo de Produtos'!$E$2:$E$18,'Base Grupo de Produtos'!$F$2:$F$18)</f>
        <v>44</v>
      </c>
      <c r="AC639" s="61">
        <f t="shared" si="638"/>
        <v>300</v>
      </c>
      <c r="AD639" s="27">
        <f t="shared" si="694"/>
        <v>300</v>
      </c>
      <c r="AE639" s="25">
        <f>IFERROR(_xlfn.XLOOKUP(N639&amp;P639,'Historico Vendas'!G:G,'Historico Vendas'!E:E),0)</f>
        <v>0</v>
      </c>
      <c r="AF639" s="29" t="str">
        <f t="shared" si="675"/>
        <v/>
      </c>
      <c r="AG639" s="24">
        <f>IFERROR(_xlfn.XLOOKUP(N639&amp;P639,'Historico Vendas'!G:G,'Historico Vendas'!F:F),0)</f>
        <v>0</v>
      </c>
      <c r="AH639" s="25">
        <f t="shared" si="695"/>
        <v>0</v>
      </c>
      <c r="AI639" s="24">
        <f t="shared" si="696"/>
        <v>0</v>
      </c>
      <c r="AJ639" s="11" t="str">
        <f t="shared" si="693"/>
        <v/>
      </c>
      <c r="AK639" s="9" t="s">
        <v>102</v>
      </c>
      <c r="AL639" s="13">
        <f>IFERROR(INDEX('Balizador da Meta'!$D$3:$F$23,MATCH(Faturamento!$P639,'Balizador da Meta'!$C$3:$C$23,0),MATCH(Faturamento!AK639,'Balizador da Meta'!$D$2:$F$2,0)),"")</f>
        <v>0</v>
      </c>
      <c r="AM639" s="9"/>
    </row>
    <row r="640" spans="1:39" x14ac:dyDescent="0.3">
      <c r="A640" s="2" t="str">
        <f t="shared" si="676"/>
        <v>NÃO</v>
      </c>
      <c r="B640" s="2" t="str">
        <f>_xlfn.XLOOKUP($N640,'Base de Grupos'!$A:$A,'Base de Grupos'!$D:$D)</f>
        <v>1000065763</v>
      </c>
      <c r="C640" s="5" t="str">
        <f>_xlfn.XLOOKUP($N640,'Base de Grupos'!$A:$A,'Base de Grupos'!$E:$E)</f>
        <v>CANAL VENDA INTERNA</v>
      </c>
      <c r="D640" s="5" t="str">
        <f>_xlfn.XLOOKUP($N640,'Base de Grupos'!$A:$A,'Base de Grupos'!$F:$F)</f>
        <v>1000065763</v>
      </c>
      <c r="E640" s="2" t="str">
        <f>_xlfn.XLOOKUP($N640,'Base de Grupos'!$A:$A,'Base de Grupos'!$G:$G)</f>
        <v>CANAL VENDA INTERNA</v>
      </c>
      <c r="F640" s="2" t="str">
        <f>_xlfn.XLOOKUP($N640,'Base de Grupos'!$A:$A,'Base de Grupos'!$H:$H)</f>
        <v>1000153245</v>
      </c>
      <c r="G640" s="5" t="str">
        <f>_xlfn.XLOOKUP($N640,'Base de Grupos'!$A:$A,'Base de Grupos'!$I:$I)</f>
        <v>REGIONAL VENDA INTERNA - KEY ACCOUNT</v>
      </c>
      <c r="H640" s="5" t="str">
        <f>_xlfn.XLOOKUP($N640,'Base de Grupos'!$A:$A,'Base de Grupos'!$J:$J)</f>
        <v>1000153245</v>
      </c>
      <c r="I640" s="2" t="str">
        <f>_xlfn.XLOOKUP($N640,'Base de Grupos'!$A:$A,'Base de Grupos'!$K:$K)</f>
        <v>REGIONAL VENDA INTERNA - KEY ACCOUNT</v>
      </c>
      <c r="J640" s="2" t="str">
        <f>_xlfn.XLOOKUP($N640,'Base de Grupos'!$A:$A,'Base de Grupos'!$L:$L)</f>
        <v>1000153245</v>
      </c>
      <c r="K640" s="5" t="str">
        <f>_xlfn.XLOOKUP($N640,'Base de Grupos'!$A:$A,'Base de Grupos'!$M:$M)</f>
        <v>REGIONAL VENDA INTERNA - KEY ACCOUNT</v>
      </c>
      <c r="L640" s="5" t="str">
        <f t="shared" si="677"/>
        <v/>
      </c>
      <c r="M640" s="5" t="str">
        <f>_xlfn.XLOOKUP($N640,'Base de Grupos'!$A:$A,'Base de Grupos'!$C:$C)</f>
        <v>RS</v>
      </c>
      <c r="N640" s="3">
        <v>1439</v>
      </c>
      <c r="O640" s="4" t="s">
        <v>259</v>
      </c>
      <c r="P640" s="5" t="s">
        <v>92</v>
      </c>
      <c r="Q640" s="56">
        <v>0</v>
      </c>
      <c r="R640" s="56">
        <v>0</v>
      </c>
      <c r="S640" s="56">
        <v>0</v>
      </c>
      <c r="T640" s="56">
        <f>_xlfn.XLOOKUP($N640,'Calculo Leads'!$A$97:$A$134,'Calculo Leads'!G$97:G$134)*_xlfn.XLOOKUP($P640,'Base Grupo de Produtos'!$E$2:$E$18,'Base Grupo de Produtos'!$F$2:$F$18)</f>
        <v>20</v>
      </c>
      <c r="U640" s="56">
        <f>_xlfn.XLOOKUP($N640,'Calculo Leads'!$A$97:$A$134,'Calculo Leads'!H$97:H$134)*_xlfn.XLOOKUP($P640,'Base Grupo de Produtos'!$E$2:$E$18,'Base Grupo de Produtos'!$F$2:$F$18)</f>
        <v>20</v>
      </c>
      <c r="V640" s="56">
        <f>_xlfn.XLOOKUP($N640,'Calculo Leads'!$A$97:$A$134,'Calculo Leads'!I$97:I$134)*_xlfn.XLOOKUP($P640,'Base Grupo de Produtos'!$E$2:$E$18,'Base Grupo de Produtos'!$F$2:$F$18)</f>
        <v>20</v>
      </c>
      <c r="W640" s="56">
        <f>_xlfn.XLOOKUP($N640,'Calculo Leads'!$A$97:$A$134,'Calculo Leads'!J$97:J$134)*_xlfn.XLOOKUP($P640,'Base Grupo de Produtos'!$E$2:$E$18,'Base Grupo de Produtos'!$F$2:$F$18)</f>
        <v>20</v>
      </c>
      <c r="X640" s="56">
        <f>_xlfn.XLOOKUP($N640,'Calculo Leads'!$A$97:$A$134,'Calculo Leads'!K$97:K$134)*_xlfn.XLOOKUP($P640,'Base Grupo de Produtos'!$E$2:$E$18,'Base Grupo de Produtos'!$F$2:$F$18)</f>
        <v>44</v>
      </c>
      <c r="Y640" s="56">
        <f>_xlfn.XLOOKUP($N640,'Calculo Leads'!$A$97:$A$134,'Calculo Leads'!L$97:L$134)*_xlfn.XLOOKUP($P640,'Base Grupo de Produtos'!$E$2:$E$18,'Base Grupo de Produtos'!$F$2:$F$18)</f>
        <v>44</v>
      </c>
      <c r="Z640" s="56">
        <f>_xlfn.XLOOKUP($N640,'Calculo Leads'!$A$97:$A$134,'Calculo Leads'!M$97:M$134)*_xlfn.XLOOKUP($P640,'Base Grupo de Produtos'!$E$2:$E$18,'Base Grupo de Produtos'!$F$2:$F$18)</f>
        <v>44</v>
      </c>
      <c r="AA640" s="56">
        <f>_xlfn.XLOOKUP($N640,'Calculo Leads'!$A$97:$A$134,'Calculo Leads'!N$97:N$134)*_xlfn.XLOOKUP($P640,'Base Grupo de Produtos'!$E$2:$E$18,'Base Grupo de Produtos'!$F$2:$F$18)</f>
        <v>44</v>
      </c>
      <c r="AB640" s="56">
        <f>_xlfn.XLOOKUP($N640,'Calculo Leads'!$A$97:$A$134,'Calculo Leads'!O$97:O$134)*_xlfn.XLOOKUP($P640,'Base Grupo de Produtos'!$E$2:$E$18,'Base Grupo de Produtos'!$F$2:$F$18)</f>
        <v>44</v>
      </c>
      <c r="AC640" s="61">
        <f t="shared" si="638"/>
        <v>300</v>
      </c>
      <c r="AD640" s="27">
        <f t="shared" si="694"/>
        <v>300</v>
      </c>
      <c r="AE640" s="25">
        <f>IFERROR(_xlfn.XLOOKUP(N640&amp;P640,'Historico Vendas'!G:G,'Historico Vendas'!E:E),0)</f>
        <v>0</v>
      </c>
      <c r="AF640" s="29" t="str">
        <f t="shared" si="675"/>
        <v/>
      </c>
      <c r="AG640" s="24">
        <f>IFERROR(_xlfn.XLOOKUP(N640&amp;P640,'Historico Vendas'!G:G,'Historico Vendas'!F:F),0)</f>
        <v>0</v>
      </c>
      <c r="AH640" s="25">
        <f t="shared" si="695"/>
        <v>0</v>
      </c>
      <c r="AI640" s="24">
        <f t="shared" si="696"/>
        <v>0</v>
      </c>
      <c r="AJ640" s="11" t="str">
        <f t="shared" si="693"/>
        <v/>
      </c>
      <c r="AK640" s="9" t="s">
        <v>102</v>
      </c>
      <c r="AL640" s="13">
        <f>IFERROR(INDEX('Balizador da Meta'!$D$3:$F$23,MATCH(Faturamento!$P640,'Balizador da Meta'!$C$3:$C$23,0),MATCH(Faturamento!AK640,'Balizador da Meta'!$D$2:$F$2,0)),"")</f>
        <v>0</v>
      </c>
      <c r="AM640" s="9"/>
    </row>
    <row r="641" spans="1:39" x14ac:dyDescent="0.3">
      <c r="A641" s="2" t="str">
        <f t="shared" si="676"/>
        <v>NÃO</v>
      </c>
      <c r="B641" s="2" t="str">
        <f>_xlfn.XLOOKUP($N641,'Base de Grupos'!$A:$A,'Base de Grupos'!$D:$D)</f>
        <v>1000065763</v>
      </c>
      <c r="C641" s="5" t="str">
        <f>_xlfn.XLOOKUP($N641,'Base de Grupos'!$A:$A,'Base de Grupos'!$E:$E)</f>
        <v>CANAL VENDA INTERNA</v>
      </c>
      <c r="D641" s="5" t="str">
        <f>_xlfn.XLOOKUP($N641,'Base de Grupos'!$A:$A,'Base de Grupos'!$F:$F)</f>
        <v>1000065763</v>
      </c>
      <c r="E641" s="2" t="str">
        <f>_xlfn.XLOOKUP($N641,'Base de Grupos'!$A:$A,'Base de Grupos'!$G:$G)</f>
        <v>CANAL VENDA INTERNA</v>
      </c>
      <c r="F641" s="2" t="str">
        <f>_xlfn.XLOOKUP($N641,'Base de Grupos'!$A:$A,'Base de Grupos'!$H:$H)</f>
        <v>1000153245</v>
      </c>
      <c r="G641" s="5" t="str">
        <f>_xlfn.XLOOKUP($N641,'Base de Grupos'!$A:$A,'Base de Grupos'!$I:$I)</f>
        <v>REGIONAL VENDA INTERNA - KEY ACCOUNT</v>
      </c>
      <c r="H641" s="5" t="str">
        <f>_xlfn.XLOOKUP($N641,'Base de Grupos'!$A:$A,'Base de Grupos'!$J:$J)</f>
        <v>1000153245</v>
      </c>
      <c r="I641" s="2" t="str">
        <f>_xlfn.XLOOKUP($N641,'Base de Grupos'!$A:$A,'Base de Grupos'!$K:$K)</f>
        <v>REGIONAL VENDA INTERNA - KEY ACCOUNT</v>
      </c>
      <c r="J641" s="2" t="str">
        <f>_xlfn.XLOOKUP($N641,'Base de Grupos'!$A:$A,'Base de Grupos'!$L:$L)</f>
        <v>1000153245</v>
      </c>
      <c r="K641" s="5" t="str">
        <f>_xlfn.XLOOKUP($N641,'Base de Grupos'!$A:$A,'Base de Grupos'!$M:$M)</f>
        <v>REGIONAL VENDA INTERNA - KEY ACCOUNT</v>
      </c>
      <c r="L641" s="5" t="str">
        <f t="shared" si="677"/>
        <v/>
      </c>
      <c r="M641" s="5" t="str">
        <f>_xlfn.XLOOKUP($N641,'Base de Grupos'!$A:$A,'Base de Grupos'!$C:$C)</f>
        <v>RS</v>
      </c>
      <c r="N641" s="3">
        <v>1439</v>
      </c>
      <c r="O641" s="4" t="s">
        <v>259</v>
      </c>
      <c r="P641" s="5" t="s">
        <v>86</v>
      </c>
      <c r="Q641" s="56">
        <v>0</v>
      </c>
      <c r="R641" s="56">
        <v>0</v>
      </c>
      <c r="S641" s="56">
        <v>0</v>
      </c>
      <c r="T641" s="56">
        <f>_xlfn.XLOOKUP($N641,'Calculo Leads'!$A$97:$A$134,'Calculo Leads'!G$97:G$134)*_xlfn.XLOOKUP($P641,'Base Grupo de Produtos'!$E$2:$E$18,'Base Grupo de Produtos'!$F$2:$F$18)</f>
        <v>30</v>
      </c>
      <c r="U641" s="56">
        <f>_xlfn.XLOOKUP($N641,'Calculo Leads'!$A$97:$A$134,'Calculo Leads'!H$97:H$134)*_xlfn.XLOOKUP($P641,'Base Grupo de Produtos'!$E$2:$E$18,'Base Grupo de Produtos'!$F$2:$F$18)</f>
        <v>30</v>
      </c>
      <c r="V641" s="56">
        <f>_xlfn.XLOOKUP($N641,'Calculo Leads'!$A$97:$A$134,'Calculo Leads'!I$97:I$134)*_xlfn.XLOOKUP($P641,'Base Grupo de Produtos'!$E$2:$E$18,'Base Grupo de Produtos'!$F$2:$F$18)</f>
        <v>30</v>
      </c>
      <c r="W641" s="56">
        <f>_xlfn.XLOOKUP($N641,'Calculo Leads'!$A$97:$A$134,'Calculo Leads'!J$97:J$134)*_xlfn.XLOOKUP($P641,'Base Grupo de Produtos'!$E$2:$E$18,'Base Grupo de Produtos'!$F$2:$F$18)</f>
        <v>30</v>
      </c>
      <c r="X641" s="56">
        <f>_xlfn.XLOOKUP($N641,'Calculo Leads'!$A$97:$A$134,'Calculo Leads'!K$97:K$134)*_xlfn.XLOOKUP($P641,'Base Grupo de Produtos'!$E$2:$E$18,'Base Grupo de Produtos'!$F$2:$F$18)</f>
        <v>66</v>
      </c>
      <c r="Y641" s="56">
        <f>_xlfn.XLOOKUP($N641,'Calculo Leads'!$A$97:$A$134,'Calculo Leads'!L$97:L$134)*_xlfn.XLOOKUP($P641,'Base Grupo de Produtos'!$E$2:$E$18,'Base Grupo de Produtos'!$F$2:$F$18)</f>
        <v>66</v>
      </c>
      <c r="Z641" s="56">
        <f>_xlfn.XLOOKUP($N641,'Calculo Leads'!$A$97:$A$134,'Calculo Leads'!M$97:M$134)*_xlfn.XLOOKUP($P641,'Base Grupo de Produtos'!$E$2:$E$18,'Base Grupo de Produtos'!$F$2:$F$18)</f>
        <v>66</v>
      </c>
      <c r="AA641" s="56">
        <f>_xlfn.XLOOKUP($N641,'Calculo Leads'!$A$97:$A$134,'Calculo Leads'!N$97:N$134)*_xlfn.XLOOKUP($P641,'Base Grupo de Produtos'!$E$2:$E$18,'Base Grupo de Produtos'!$F$2:$F$18)</f>
        <v>66</v>
      </c>
      <c r="AB641" s="56">
        <f>_xlfn.XLOOKUP($N641,'Calculo Leads'!$A$97:$A$134,'Calculo Leads'!O$97:O$134)*_xlfn.XLOOKUP($P641,'Base Grupo de Produtos'!$E$2:$E$18,'Base Grupo de Produtos'!$F$2:$F$18)</f>
        <v>66</v>
      </c>
      <c r="AC641" s="61">
        <f t="shared" si="638"/>
        <v>450</v>
      </c>
      <c r="AD641" s="27">
        <f t="shared" si="694"/>
        <v>450</v>
      </c>
      <c r="AE641" s="25">
        <f>IFERROR(_xlfn.XLOOKUP(N641&amp;P641,'Historico Vendas'!G:G,'Historico Vendas'!E:E),0)</f>
        <v>0</v>
      </c>
      <c r="AF641" s="29" t="str">
        <f t="shared" si="675"/>
        <v/>
      </c>
      <c r="AG641" s="24">
        <f>IFERROR(_xlfn.XLOOKUP(N641&amp;P641,'Historico Vendas'!G:G,'Historico Vendas'!F:F),0)</f>
        <v>0</v>
      </c>
      <c r="AH641" s="25">
        <f t="shared" si="695"/>
        <v>0</v>
      </c>
      <c r="AI641" s="24">
        <f t="shared" si="696"/>
        <v>0</v>
      </c>
      <c r="AJ641" s="11" t="str">
        <f t="shared" si="693"/>
        <v/>
      </c>
      <c r="AK641" s="9" t="s">
        <v>102</v>
      </c>
      <c r="AL641" s="13">
        <f>IFERROR(INDEX('Balizador da Meta'!$D$3:$F$23,MATCH(Faturamento!$P641,'Balizador da Meta'!$C$3:$C$23,0),MATCH(Faturamento!AK641,'Balizador da Meta'!$D$2:$F$2,0)),"")</f>
        <v>0.15</v>
      </c>
      <c r="AM641" s="9"/>
    </row>
    <row r="642" spans="1:39" x14ac:dyDescent="0.3">
      <c r="A642" s="2" t="str">
        <f t="shared" si="676"/>
        <v>NÃO</v>
      </c>
      <c r="B642" s="2" t="str">
        <f>_xlfn.XLOOKUP($N642,'Base de Grupos'!$A:$A,'Base de Grupos'!$D:$D)</f>
        <v>1000065763</v>
      </c>
      <c r="C642" s="5" t="str">
        <f>_xlfn.XLOOKUP($N642,'Base de Grupos'!$A:$A,'Base de Grupos'!$E:$E)</f>
        <v>CANAL VENDA INTERNA</v>
      </c>
      <c r="D642" s="5" t="str">
        <f>_xlfn.XLOOKUP($N642,'Base de Grupos'!$A:$A,'Base de Grupos'!$F:$F)</f>
        <v>1000065763</v>
      </c>
      <c r="E642" s="2" t="str">
        <f>_xlfn.XLOOKUP($N642,'Base de Grupos'!$A:$A,'Base de Grupos'!$G:$G)</f>
        <v>CANAL VENDA INTERNA</v>
      </c>
      <c r="F642" s="2" t="str">
        <f>_xlfn.XLOOKUP($N642,'Base de Grupos'!$A:$A,'Base de Grupos'!$H:$H)</f>
        <v>1000153245</v>
      </c>
      <c r="G642" s="5" t="str">
        <f>_xlfn.XLOOKUP($N642,'Base de Grupos'!$A:$A,'Base de Grupos'!$I:$I)</f>
        <v>REGIONAL VENDA INTERNA - KEY ACCOUNT</v>
      </c>
      <c r="H642" s="5" t="str">
        <f>_xlfn.XLOOKUP($N642,'Base de Grupos'!$A:$A,'Base de Grupos'!$J:$J)</f>
        <v>1000153245</v>
      </c>
      <c r="I642" s="2" t="str">
        <f>_xlfn.XLOOKUP($N642,'Base de Grupos'!$A:$A,'Base de Grupos'!$K:$K)</f>
        <v>REGIONAL VENDA INTERNA - KEY ACCOUNT</v>
      </c>
      <c r="J642" s="2" t="str">
        <f>_xlfn.XLOOKUP($N642,'Base de Grupos'!$A:$A,'Base de Grupos'!$L:$L)</f>
        <v>1000153245</v>
      </c>
      <c r="K642" s="5" t="str">
        <f>_xlfn.XLOOKUP($N642,'Base de Grupos'!$A:$A,'Base de Grupos'!$M:$M)</f>
        <v>REGIONAL VENDA INTERNA - KEY ACCOUNT</v>
      </c>
      <c r="L642" s="5" t="str">
        <f t="shared" si="677"/>
        <v/>
      </c>
      <c r="M642" s="5" t="str">
        <f>_xlfn.XLOOKUP($N642,'Base de Grupos'!$A:$A,'Base de Grupos'!$C:$C)</f>
        <v>RS</v>
      </c>
      <c r="N642" s="3">
        <v>1439</v>
      </c>
      <c r="O642" s="4" t="s">
        <v>259</v>
      </c>
      <c r="P642" s="5" t="s">
        <v>108</v>
      </c>
      <c r="Q642" s="56">
        <v>0</v>
      </c>
      <c r="R642" s="56">
        <v>0</v>
      </c>
      <c r="S642" s="56">
        <v>0</v>
      </c>
      <c r="T642" s="56">
        <f>_xlfn.XLOOKUP($N642,'Calculo Leads'!$A$97:$A$134,'Calculo Leads'!G$97:G$134)*_xlfn.XLOOKUP($P642,'Base Grupo de Produtos'!$E$2:$E$18,'Base Grupo de Produtos'!$F$2:$F$18)</f>
        <v>250</v>
      </c>
      <c r="U642" s="56">
        <f>_xlfn.XLOOKUP($N642,'Calculo Leads'!$A$97:$A$134,'Calculo Leads'!H$97:H$134)*_xlfn.XLOOKUP($P642,'Base Grupo de Produtos'!$E$2:$E$18,'Base Grupo de Produtos'!$F$2:$F$18)</f>
        <v>250</v>
      </c>
      <c r="V642" s="56">
        <f>_xlfn.XLOOKUP($N642,'Calculo Leads'!$A$97:$A$134,'Calculo Leads'!I$97:I$134)*_xlfn.XLOOKUP($P642,'Base Grupo de Produtos'!$E$2:$E$18,'Base Grupo de Produtos'!$F$2:$F$18)</f>
        <v>250</v>
      </c>
      <c r="W642" s="56">
        <f>_xlfn.XLOOKUP($N642,'Calculo Leads'!$A$97:$A$134,'Calculo Leads'!J$97:J$134)*_xlfn.XLOOKUP($P642,'Base Grupo de Produtos'!$E$2:$E$18,'Base Grupo de Produtos'!$F$2:$F$18)</f>
        <v>250</v>
      </c>
      <c r="X642" s="56">
        <f>_xlfn.XLOOKUP($N642,'Calculo Leads'!$A$97:$A$134,'Calculo Leads'!K$97:K$134)*_xlfn.XLOOKUP($P642,'Base Grupo de Produtos'!$E$2:$E$18,'Base Grupo de Produtos'!$F$2:$F$18)</f>
        <v>550</v>
      </c>
      <c r="Y642" s="56">
        <f>_xlfn.XLOOKUP($N642,'Calculo Leads'!$A$97:$A$134,'Calculo Leads'!L$97:L$134)*_xlfn.XLOOKUP($P642,'Base Grupo de Produtos'!$E$2:$E$18,'Base Grupo de Produtos'!$F$2:$F$18)</f>
        <v>550</v>
      </c>
      <c r="Z642" s="56">
        <f>_xlfn.XLOOKUP($N642,'Calculo Leads'!$A$97:$A$134,'Calculo Leads'!M$97:M$134)*_xlfn.XLOOKUP($P642,'Base Grupo de Produtos'!$E$2:$E$18,'Base Grupo de Produtos'!$F$2:$F$18)</f>
        <v>550</v>
      </c>
      <c r="AA642" s="56">
        <f>_xlfn.XLOOKUP($N642,'Calculo Leads'!$A$97:$A$134,'Calculo Leads'!N$97:N$134)*_xlfn.XLOOKUP($P642,'Base Grupo de Produtos'!$E$2:$E$18,'Base Grupo de Produtos'!$F$2:$F$18)</f>
        <v>550</v>
      </c>
      <c r="AB642" s="56">
        <f>_xlfn.XLOOKUP($N642,'Calculo Leads'!$A$97:$A$134,'Calculo Leads'!O$97:O$134)*_xlfn.XLOOKUP($P642,'Base Grupo de Produtos'!$E$2:$E$18,'Base Grupo de Produtos'!$F$2:$F$18)</f>
        <v>550</v>
      </c>
      <c r="AC642" s="61">
        <f t="shared" si="638"/>
        <v>3750</v>
      </c>
      <c r="AD642" s="27">
        <f t="shared" si="694"/>
        <v>3750</v>
      </c>
      <c r="AE642" s="25">
        <f>IFERROR(_xlfn.XLOOKUP(N642&amp;P642,'Historico Vendas'!G:G,'Historico Vendas'!E:E),0)</f>
        <v>0</v>
      </c>
      <c r="AF642" s="29" t="str">
        <f t="shared" si="675"/>
        <v/>
      </c>
      <c r="AG642" s="24">
        <f>IFERROR(_xlfn.XLOOKUP(N642&amp;P642,'Historico Vendas'!G:G,'Historico Vendas'!F:F),0)</f>
        <v>0</v>
      </c>
      <c r="AH642" s="25">
        <f t="shared" si="695"/>
        <v>0</v>
      </c>
      <c r="AI642" s="24">
        <f t="shared" si="696"/>
        <v>0</v>
      </c>
      <c r="AJ642" s="11" t="str">
        <f t="shared" si="693"/>
        <v/>
      </c>
      <c r="AK642" s="9" t="s">
        <v>102</v>
      </c>
      <c r="AL642" s="13">
        <f>IFERROR(INDEX('Balizador da Meta'!$D$3:$F$23,MATCH(Faturamento!$P642,'Balizador da Meta'!$C$3:$C$23,0),MATCH(Faturamento!AK642,'Balizador da Meta'!$D$2:$F$2,0)),"")</f>
        <v>0</v>
      </c>
      <c r="AM642" s="9"/>
    </row>
    <row r="643" spans="1:39" x14ac:dyDescent="0.3">
      <c r="A643" s="2" t="str">
        <f t="shared" si="676"/>
        <v>NÃO</v>
      </c>
      <c r="B643" s="2" t="str">
        <f>_xlfn.XLOOKUP($N643,'Base de Grupos'!$A:$A,'Base de Grupos'!$D:$D)</f>
        <v>1000065763</v>
      </c>
      <c r="C643" s="5" t="str">
        <f>_xlfn.XLOOKUP($N643,'Base de Grupos'!$A:$A,'Base de Grupos'!$E:$E)</f>
        <v>CANAL VENDA INTERNA</v>
      </c>
      <c r="D643" s="5" t="str">
        <f>_xlfn.XLOOKUP($N643,'Base de Grupos'!$A:$A,'Base de Grupos'!$F:$F)</f>
        <v>1000065763</v>
      </c>
      <c r="E643" s="2" t="str">
        <f>_xlfn.XLOOKUP($N643,'Base de Grupos'!$A:$A,'Base de Grupos'!$G:$G)</f>
        <v>CANAL VENDA INTERNA</v>
      </c>
      <c r="F643" s="2" t="str">
        <f>_xlfn.XLOOKUP($N643,'Base de Grupos'!$A:$A,'Base de Grupos'!$H:$H)</f>
        <v>1000153245</v>
      </c>
      <c r="G643" s="5" t="str">
        <f>_xlfn.XLOOKUP($N643,'Base de Grupos'!$A:$A,'Base de Grupos'!$I:$I)</f>
        <v>REGIONAL VENDA INTERNA - KEY ACCOUNT</v>
      </c>
      <c r="H643" s="5" t="str">
        <f>_xlfn.XLOOKUP($N643,'Base de Grupos'!$A:$A,'Base de Grupos'!$J:$J)</f>
        <v>1000153245</v>
      </c>
      <c r="I643" s="2" t="str">
        <f>_xlfn.XLOOKUP($N643,'Base de Grupos'!$A:$A,'Base de Grupos'!$K:$K)</f>
        <v>REGIONAL VENDA INTERNA - KEY ACCOUNT</v>
      </c>
      <c r="J643" s="2" t="str">
        <f>_xlfn.XLOOKUP($N643,'Base de Grupos'!$A:$A,'Base de Grupos'!$L:$L)</f>
        <v>1000153245</v>
      </c>
      <c r="K643" s="5" t="str">
        <f>_xlfn.XLOOKUP($N643,'Base de Grupos'!$A:$A,'Base de Grupos'!$M:$M)</f>
        <v>REGIONAL VENDA INTERNA - KEY ACCOUNT</v>
      </c>
      <c r="L643" s="5" t="str">
        <f t="shared" si="677"/>
        <v/>
      </c>
      <c r="M643" s="5" t="str">
        <f>_xlfn.XLOOKUP($N643,'Base de Grupos'!$A:$A,'Base de Grupos'!$C:$C)</f>
        <v>RS</v>
      </c>
      <c r="N643" s="3">
        <v>1439</v>
      </c>
      <c r="O643" s="4" t="s">
        <v>259</v>
      </c>
      <c r="P643" s="5" t="s">
        <v>89</v>
      </c>
      <c r="Q643" s="56">
        <v>0</v>
      </c>
      <c r="R643" s="56">
        <v>0</v>
      </c>
      <c r="S643" s="56">
        <v>0</v>
      </c>
      <c r="T643" s="56">
        <f>_xlfn.XLOOKUP($N643,'Calculo Leads'!$A$97:$A$134,'Calculo Leads'!G$97:G$134)*_xlfn.XLOOKUP($P643,'Base Grupo de Produtos'!$E$2:$E$18,'Base Grupo de Produtos'!$F$2:$F$18)</f>
        <v>50</v>
      </c>
      <c r="U643" s="56">
        <f>_xlfn.XLOOKUP($N643,'Calculo Leads'!$A$97:$A$134,'Calculo Leads'!H$97:H$134)*_xlfn.XLOOKUP($P643,'Base Grupo de Produtos'!$E$2:$E$18,'Base Grupo de Produtos'!$F$2:$F$18)</f>
        <v>50</v>
      </c>
      <c r="V643" s="56">
        <f>_xlfn.XLOOKUP($N643,'Calculo Leads'!$A$97:$A$134,'Calculo Leads'!I$97:I$134)*_xlfn.XLOOKUP($P643,'Base Grupo de Produtos'!$E$2:$E$18,'Base Grupo de Produtos'!$F$2:$F$18)</f>
        <v>50</v>
      </c>
      <c r="W643" s="56">
        <f>_xlfn.XLOOKUP($N643,'Calculo Leads'!$A$97:$A$134,'Calculo Leads'!J$97:J$134)*_xlfn.XLOOKUP($P643,'Base Grupo de Produtos'!$E$2:$E$18,'Base Grupo de Produtos'!$F$2:$F$18)</f>
        <v>50</v>
      </c>
      <c r="X643" s="56">
        <f>_xlfn.XLOOKUP($N643,'Calculo Leads'!$A$97:$A$134,'Calculo Leads'!K$97:K$134)*_xlfn.XLOOKUP($P643,'Base Grupo de Produtos'!$E$2:$E$18,'Base Grupo de Produtos'!$F$2:$F$18)</f>
        <v>110</v>
      </c>
      <c r="Y643" s="56">
        <f>_xlfn.XLOOKUP($N643,'Calculo Leads'!$A$97:$A$134,'Calculo Leads'!L$97:L$134)*_xlfn.XLOOKUP($P643,'Base Grupo de Produtos'!$E$2:$E$18,'Base Grupo de Produtos'!$F$2:$F$18)</f>
        <v>110</v>
      </c>
      <c r="Z643" s="56">
        <f>_xlfn.XLOOKUP($N643,'Calculo Leads'!$A$97:$A$134,'Calculo Leads'!M$97:M$134)*_xlfn.XLOOKUP($P643,'Base Grupo de Produtos'!$E$2:$E$18,'Base Grupo de Produtos'!$F$2:$F$18)</f>
        <v>110</v>
      </c>
      <c r="AA643" s="56">
        <f>_xlfn.XLOOKUP($N643,'Calculo Leads'!$A$97:$A$134,'Calculo Leads'!N$97:N$134)*_xlfn.XLOOKUP($P643,'Base Grupo de Produtos'!$E$2:$E$18,'Base Grupo de Produtos'!$F$2:$F$18)</f>
        <v>110</v>
      </c>
      <c r="AB643" s="56">
        <f>_xlfn.XLOOKUP($N643,'Calculo Leads'!$A$97:$A$134,'Calculo Leads'!O$97:O$134)*_xlfn.XLOOKUP($P643,'Base Grupo de Produtos'!$E$2:$E$18,'Base Grupo de Produtos'!$F$2:$F$18)</f>
        <v>110</v>
      </c>
      <c r="AC643" s="61">
        <f t="shared" si="638"/>
        <v>750</v>
      </c>
      <c r="AD643" s="27">
        <f t="shared" si="694"/>
        <v>750</v>
      </c>
      <c r="AE643" s="25">
        <f>IFERROR(_xlfn.XLOOKUP(N643&amp;P643,'Historico Vendas'!G:G,'Historico Vendas'!E:E),0)</f>
        <v>0</v>
      </c>
      <c r="AF643" s="29" t="str">
        <f t="shared" si="675"/>
        <v/>
      </c>
      <c r="AG643" s="24">
        <f>IFERROR(_xlfn.XLOOKUP(N643&amp;P643,'Historico Vendas'!G:G,'Historico Vendas'!F:F),0)</f>
        <v>0</v>
      </c>
      <c r="AH643" s="25">
        <f t="shared" si="695"/>
        <v>0</v>
      </c>
      <c r="AI643" s="24">
        <f t="shared" si="696"/>
        <v>0</v>
      </c>
      <c r="AJ643" s="11" t="str">
        <f t="shared" si="693"/>
        <v/>
      </c>
      <c r="AK643" s="9" t="s">
        <v>102</v>
      </c>
      <c r="AL643" s="13">
        <f>IFERROR(INDEX('Balizador da Meta'!$D$3:$F$23,MATCH(Faturamento!$P643,'Balizador da Meta'!$C$3:$C$23,0),MATCH(Faturamento!AK643,'Balizador da Meta'!$D$2:$F$2,0)),"")</f>
        <v>0.25</v>
      </c>
      <c r="AM643" s="9"/>
    </row>
    <row r="644" spans="1:39" x14ac:dyDescent="0.3">
      <c r="A644" s="2" t="str">
        <f t="shared" si="676"/>
        <v>NÃO</v>
      </c>
      <c r="B644" s="2" t="str">
        <f>_xlfn.XLOOKUP($N644,'Base de Grupos'!$A:$A,'Base de Grupos'!$D:$D)</f>
        <v>1000065763</v>
      </c>
      <c r="C644" s="5" t="str">
        <f>_xlfn.XLOOKUP($N644,'Base de Grupos'!$A:$A,'Base de Grupos'!$E:$E)</f>
        <v>CANAL VENDA INTERNA</v>
      </c>
      <c r="D644" s="5" t="str">
        <f>_xlfn.XLOOKUP($N644,'Base de Grupos'!$A:$A,'Base de Grupos'!$F:$F)</f>
        <v>1000065763</v>
      </c>
      <c r="E644" s="2" t="str">
        <f>_xlfn.XLOOKUP($N644,'Base de Grupos'!$A:$A,'Base de Grupos'!$G:$G)</f>
        <v>CANAL VENDA INTERNA</v>
      </c>
      <c r="F644" s="2" t="str">
        <f>_xlfn.XLOOKUP($N644,'Base de Grupos'!$A:$A,'Base de Grupos'!$H:$H)</f>
        <v>1000153245</v>
      </c>
      <c r="G644" s="5" t="str">
        <f>_xlfn.XLOOKUP($N644,'Base de Grupos'!$A:$A,'Base de Grupos'!$I:$I)</f>
        <v>REGIONAL VENDA INTERNA - KEY ACCOUNT</v>
      </c>
      <c r="H644" s="5" t="str">
        <f>_xlfn.XLOOKUP($N644,'Base de Grupos'!$A:$A,'Base de Grupos'!$J:$J)</f>
        <v>1000153245</v>
      </c>
      <c r="I644" s="2" t="str">
        <f>_xlfn.XLOOKUP($N644,'Base de Grupos'!$A:$A,'Base de Grupos'!$K:$K)</f>
        <v>REGIONAL VENDA INTERNA - KEY ACCOUNT</v>
      </c>
      <c r="J644" s="2" t="str">
        <f>_xlfn.XLOOKUP($N644,'Base de Grupos'!$A:$A,'Base de Grupos'!$L:$L)</f>
        <v>1000153245</v>
      </c>
      <c r="K644" s="5" t="str">
        <f>_xlfn.XLOOKUP($N644,'Base de Grupos'!$A:$A,'Base de Grupos'!$M:$M)</f>
        <v>REGIONAL VENDA INTERNA - KEY ACCOUNT</v>
      </c>
      <c r="L644" s="5" t="str">
        <f t="shared" si="677"/>
        <v/>
      </c>
      <c r="M644" s="5" t="str">
        <f>_xlfn.XLOOKUP($N644,'Base de Grupos'!$A:$A,'Base de Grupos'!$C:$C)</f>
        <v>RS</v>
      </c>
      <c r="N644" s="3">
        <v>1439</v>
      </c>
      <c r="O644" s="4" t="s">
        <v>259</v>
      </c>
      <c r="P644" s="5" t="s">
        <v>88</v>
      </c>
      <c r="Q644" s="56">
        <v>0</v>
      </c>
      <c r="R644" s="56">
        <v>0</v>
      </c>
      <c r="S644" s="56">
        <v>0</v>
      </c>
      <c r="T644" s="56">
        <f>_xlfn.XLOOKUP($N644,'Calculo Leads'!$A$97:$A$134,'Calculo Leads'!G$97:G$134)*_xlfn.XLOOKUP($P644,'Base Grupo de Produtos'!$E$2:$E$18,'Base Grupo de Produtos'!$F$2:$F$18)</f>
        <v>50</v>
      </c>
      <c r="U644" s="56">
        <f>_xlfn.XLOOKUP($N644,'Calculo Leads'!$A$97:$A$134,'Calculo Leads'!H$97:H$134)*_xlfn.XLOOKUP($P644,'Base Grupo de Produtos'!$E$2:$E$18,'Base Grupo de Produtos'!$F$2:$F$18)</f>
        <v>50</v>
      </c>
      <c r="V644" s="56">
        <f>_xlfn.XLOOKUP($N644,'Calculo Leads'!$A$97:$A$134,'Calculo Leads'!I$97:I$134)*_xlfn.XLOOKUP($P644,'Base Grupo de Produtos'!$E$2:$E$18,'Base Grupo de Produtos'!$F$2:$F$18)</f>
        <v>50</v>
      </c>
      <c r="W644" s="56">
        <f>_xlfn.XLOOKUP($N644,'Calculo Leads'!$A$97:$A$134,'Calculo Leads'!J$97:J$134)*_xlfn.XLOOKUP($P644,'Base Grupo de Produtos'!$E$2:$E$18,'Base Grupo de Produtos'!$F$2:$F$18)</f>
        <v>50</v>
      </c>
      <c r="X644" s="56">
        <f>_xlfn.XLOOKUP($N644,'Calculo Leads'!$A$97:$A$134,'Calculo Leads'!K$97:K$134)*_xlfn.XLOOKUP($P644,'Base Grupo de Produtos'!$E$2:$E$18,'Base Grupo de Produtos'!$F$2:$F$18)</f>
        <v>110</v>
      </c>
      <c r="Y644" s="56">
        <f>_xlfn.XLOOKUP($N644,'Calculo Leads'!$A$97:$A$134,'Calculo Leads'!L$97:L$134)*_xlfn.XLOOKUP($P644,'Base Grupo de Produtos'!$E$2:$E$18,'Base Grupo de Produtos'!$F$2:$F$18)</f>
        <v>110</v>
      </c>
      <c r="Z644" s="56">
        <f>_xlfn.XLOOKUP($N644,'Calculo Leads'!$A$97:$A$134,'Calculo Leads'!M$97:M$134)*_xlfn.XLOOKUP($P644,'Base Grupo de Produtos'!$E$2:$E$18,'Base Grupo de Produtos'!$F$2:$F$18)</f>
        <v>110</v>
      </c>
      <c r="AA644" s="56">
        <f>_xlfn.XLOOKUP($N644,'Calculo Leads'!$A$97:$A$134,'Calculo Leads'!N$97:N$134)*_xlfn.XLOOKUP($P644,'Base Grupo de Produtos'!$E$2:$E$18,'Base Grupo de Produtos'!$F$2:$F$18)</f>
        <v>110</v>
      </c>
      <c r="AB644" s="56">
        <f>_xlfn.XLOOKUP($N644,'Calculo Leads'!$A$97:$A$134,'Calculo Leads'!O$97:O$134)*_xlfn.XLOOKUP($P644,'Base Grupo de Produtos'!$E$2:$E$18,'Base Grupo de Produtos'!$F$2:$F$18)</f>
        <v>110</v>
      </c>
      <c r="AC644" s="61">
        <f t="shared" si="638"/>
        <v>750</v>
      </c>
      <c r="AD644" s="27">
        <f t="shared" si="694"/>
        <v>750</v>
      </c>
      <c r="AE644" s="25">
        <f>IFERROR(_xlfn.XLOOKUP(N644&amp;P644,'Historico Vendas'!G:G,'Historico Vendas'!E:E),0)</f>
        <v>0</v>
      </c>
      <c r="AF644" s="29" t="str">
        <f t="shared" si="675"/>
        <v/>
      </c>
      <c r="AG644" s="24">
        <f>IFERROR(_xlfn.XLOOKUP(N644&amp;P644,'Historico Vendas'!G:G,'Historico Vendas'!F:F),0)</f>
        <v>0</v>
      </c>
      <c r="AH644" s="25">
        <f t="shared" si="695"/>
        <v>0</v>
      </c>
      <c r="AI644" s="24">
        <f t="shared" si="696"/>
        <v>0</v>
      </c>
      <c r="AJ644" s="11" t="str">
        <f t="shared" si="693"/>
        <v/>
      </c>
      <c r="AK644" s="9" t="s">
        <v>102</v>
      </c>
      <c r="AL644" s="13">
        <f>IFERROR(INDEX('Balizador da Meta'!$D$3:$F$23,MATCH(Faturamento!$P644,'Balizador da Meta'!$C$3:$C$23,0),MATCH(Faturamento!AK644,'Balizador da Meta'!$D$2:$F$2,0)),"")</f>
        <v>0</v>
      </c>
      <c r="AM644" s="9"/>
    </row>
    <row r="645" spans="1:39" x14ac:dyDescent="0.3">
      <c r="A645" s="2" t="str">
        <f t="shared" si="676"/>
        <v>NÃO</v>
      </c>
      <c r="B645" s="2" t="str">
        <f>_xlfn.XLOOKUP($N645,'Base de Grupos'!$A:$A,'Base de Grupos'!$D:$D)</f>
        <v>1000065763</v>
      </c>
      <c r="C645" s="5" t="str">
        <f>_xlfn.XLOOKUP($N645,'Base de Grupos'!$A:$A,'Base de Grupos'!$E:$E)</f>
        <v>CANAL VENDA INTERNA</v>
      </c>
      <c r="D645" s="5" t="str">
        <f>_xlfn.XLOOKUP($N645,'Base de Grupos'!$A:$A,'Base de Grupos'!$F:$F)</f>
        <v>1000065763</v>
      </c>
      <c r="E645" s="2" t="str">
        <f>_xlfn.XLOOKUP($N645,'Base de Grupos'!$A:$A,'Base de Grupos'!$G:$G)</f>
        <v>CANAL VENDA INTERNA</v>
      </c>
      <c r="F645" s="2" t="str">
        <f>_xlfn.XLOOKUP($N645,'Base de Grupos'!$A:$A,'Base de Grupos'!$H:$H)</f>
        <v>1000153245</v>
      </c>
      <c r="G645" s="5" t="str">
        <f>_xlfn.XLOOKUP($N645,'Base de Grupos'!$A:$A,'Base de Grupos'!$I:$I)</f>
        <v>REGIONAL VENDA INTERNA - KEY ACCOUNT</v>
      </c>
      <c r="H645" s="5" t="str">
        <f>_xlfn.XLOOKUP($N645,'Base de Grupos'!$A:$A,'Base de Grupos'!$J:$J)</f>
        <v>1000153245</v>
      </c>
      <c r="I645" s="2" t="str">
        <f>_xlfn.XLOOKUP($N645,'Base de Grupos'!$A:$A,'Base de Grupos'!$K:$K)</f>
        <v>REGIONAL VENDA INTERNA - KEY ACCOUNT</v>
      </c>
      <c r="J645" s="2" t="str">
        <f>_xlfn.XLOOKUP($N645,'Base de Grupos'!$A:$A,'Base de Grupos'!$L:$L)</f>
        <v>1000153245</v>
      </c>
      <c r="K645" s="5" t="str">
        <f>_xlfn.XLOOKUP($N645,'Base de Grupos'!$A:$A,'Base de Grupos'!$M:$M)</f>
        <v>REGIONAL VENDA INTERNA - KEY ACCOUNT</v>
      </c>
      <c r="L645" s="5" t="str">
        <f t="shared" si="677"/>
        <v/>
      </c>
      <c r="M645" s="5" t="str">
        <f>_xlfn.XLOOKUP($N645,'Base de Grupos'!$A:$A,'Base de Grupos'!$C:$C)</f>
        <v>RS</v>
      </c>
      <c r="N645" s="3">
        <v>1439</v>
      </c>
      <c r="O645" s="4" t="s">
        <v>259</v>
      </c>
      <c r="P645" s="5" t="s">
        <v>90</v>
      </c>
      <c r="Q645" s="56">
        <v>0</v>
      </c>
      <c r="R645" s="56">
        <v>0</v>
      </c>
      <c r="S645" s="56">
        <v>0</v>
      </c>
      <c r="T645" s="56">
        <f>_xlfn.XLOOKUP($N645,'Calculo Leads'!$A$97:$A$134,'Calculo Leads'!G$97:G$134)*_xlfn.XLOOKUP($P645,'Base Grupo de Produtos'!$E$2:$E$18,'Base Grupo de Produtos'!$F$2:$F$18)</f>
        <v>50</v>
      </c>
      <c r="U645" s="56">
        <f>_xlfn.XLOOKUP($N645,'Calculo Leads'!$A$97:$A$134,'Calculo Leads'!H$97:H$134)*_xlfn.XLOOKUP($P645,'Base Grupo de Produtos'!$E$2:$E$18,'Base Grupo de Produtos'!$F$2:$F$18)</f>
        <v>50</v>
      </c>
      <c r="V645" s="56">
        <f>_xlfn.XLOOKUP($N645,'Calculo Leads'!$A$97:$A$134,'Calculo Leads'!I$97:I$134)*_xlfn.XLOOKUP($P645,'Base Grupo de Produtos'!$E$2:$E$18,'Base Grupo de Produtos'!$F$2:$F$18)</f>
        <v>50</v>
      </c>
      <c r="W645" s="56">
        <f>_xlfn.XLOOKUP($N645,'Calculo Leads'!$A$97:$A$134,'Calculo Leads'!J$97:J$134)*_xlfn.XLOOKUP($P645,'Base Grupo de Produtos'!$E$2:$E$18,'Base Grupo de Produtos'!$F$2:$F$18)</f>
        <v>50</v>
      </c>
      <c r="X645" s="56">
        <f>_xlfn.XLOOKUP($N645,'Calculo Leads'!$A$97:$A$134,'Calculo Leads'!K$97:K$134)*_xlfn.XLOOKUP($P645,'Base Grupo de Produtos'!$E$2:$E$18,'Base Grupo de Produtos'!$F$2:$F$18)</f>
        <v>110</v>
      </c>
      <c r="Y645" s="56">
        <f>_xlfn.XLOOKUP($N645,'Calculo Leads'!$A$97:$A$134,'Calculo Leads'!L$97:L$134)*_xlfn.XLOOKUP($P645,'Base Grupo de Produtos'!$E$2:$E$18,'Base Grupo de Produtos'!$F$2:$F$18)</f>
        <v>110</v>
      </c>
      <c r="Z645" s="56">
        <f>_xlfn.XLOOKUP($N645,'Calculo Leads'!$A$97:$A$134,'Calculo Leads'!M$97:M$134)*_xlfn.XLOOKUP($P645,'Base Grupo de Produtos'!$E$2:$E$18,'Base Grupo de Produtos'!$F$2:$F$18)</f>
        <v>110</v>
      </c>
      <c r="AA645" s="56">
        <f>_xlfn.XLOOKUP($N645,'Calculo Leads'!$A$97:$A$134,'Calculo Leads'!N$97:N$134)*_xlfn.XLOOKUP($P645,'Base Grupo de Produtos'!$E$2:$E$18,'Base Grupo de Produtos'!$F$2:$F$18)</f>
        <v>110</v>
      </c>
      <c r="AB645" s="56">
        <f>_xlfn.XLOOKUP($N645,'Calculo Leads'!$A$97:$A$134,'Calculo Leads'!O$97:O$134)*_xlfn.XLOOKUP($P645,'Base Grupo de Produtos'!$E$2:$E$18,'Base Grupo de Produtos'!$F$2:$F$18)</f>
        <v>110</v>
      </c>
      <c r="AC645" s="61">
        <f t="shared" ref="AC645:AC708" si="697">SUM(T645:AB645)</f>
        <v>750</v>
      </c>
      <c r="AD645" s="27">
        <f t="shared" si="694"/>
        <v>750</v>
      </c>
      <c r="AE645" s="25">
        <f>IFERROR(_xlfn.XLOOKUP(N645&amp;P645,'Historico Vendas'!G:G,'Historico Vendas'!E:E),0)</f>
        <v>0</v>
      </c>
      <c r="AF645" s="29" t="str">
        <f t="shared" si="675"/>
        <v/>
      </c>
      <c r="AG645" s="24">
        <f>IFERROR(_xlfn.XLOOKUP(N645&amp;P645,'Historico Vendas'!G:G,'Historico Vendas'!F:F),0)</f>
        <v>0</v>
      </c>
      <c r="AH645" s="25">
        <f t="shared" si="695"/>
        <v>0</v>
      </c>
      <c r="AI645" s="24">
        <f t="shared" si="696"/>
        <v>0</v>
      </c>
      <c r="AJ645" s="11" t="str">
        <f t="shared" si="693"/>
        <v/>
      </c>
      <c r="AK645" s="9" t="s">
        <v>102</v>
      </c>
      <c r="AL645" s="13">
        <f>IFERROR(INDEX('Balizador da Meta'!$D$3:$F$23,MATCH(Faturamento!$P645,'Balizador da Meta'!$C$3:$C$23,0),MATCH(Faturamento!AK645,'Balizador da Meta'!$D$2:$F$2,0)),"")</f>
        <v>0</v>
      </c>
      <c r="AM645" s="9"/>
    </row>
    <row r="646" spans="1:39" x14ac:dyDescent="0.3">
      <c r="A646" s="2" t="str">
        <f t="shared" si="676"/>
        <v>NÃO</v>
      </c>
      <c r="B646" s="2" t="str">
        <f>_xlfn.XLOOKUP($N646,'Base de Grupos'!$A:$A,'Base de Grupos'!$D:$D)</f>
        <v>1000065763</v>
      </c>
      <c r="C646" s="5" t="str">
        <f>_xlfn.XLOOKUP($N646,'Base de Grupos'!$A:$A,'Base de Grupos'!$E:$E)</f>
        <v>CANAL VENDA INTERNA</v>
      </c>
      <c r="D646" s="5" t="str">
        <f>_xlfn.XLOOKUP($N646,'Base de Grupos'!$A:$A,'Base de Grupos'!$F:$F)</f>
        <v>1000065763</v>
      </c>
      <c r="E646" s="2" t="str">
        <f>_xlfn.XLOOKUP($N646,'Base de Grupos'!$A:$A,'Base de Grupos'!$G:$G)</f>
        <v>CANAL VENDA INTERNA</v>
      </c>
      <c r="F646" s="2" t="str">
        <f>_xlfn.XLOOKUP($N646,'Base de Grupos'!$A:$A,'Base de Grupos'!$H:$H)</f>
        <v>1000153245</v>
      </c>
      <c r="G646" s="5" t="str">
        <f>_xlfn.XLOOKUP($N646,'Base de Grupos'!$A:$A,'Base de Grupos'!$I:$I)</f>
        <v>REGIONAL VENDA INTERNA - KEY ACCOUNT</v>
      </c>
      <c r="H646" s="5" t="str">
        <f>_xlfn.XLOOKUP($N646,'Base de Grupos'!$A:$A,'Base de Grupos'!$J:$J)</f>
        <v>1000153245</v>
      </c>
      <c r="I646" s="2" t="str">
        <f>_xlfn.XLOOKUP($N646,'Base de Grupos'!$A:$A,'Base de Grupos'!$K:$K)</f>
        <v>REGIONAL VENDA INTERNA - KEY ACCOUNT</v>
      </c>
      <c r="J646" s="2" t="str">
        <f>_xlfn.XLOOKUP($N646,'Base de Grupos'!$A:$A,'Base de Grupos'!$L:$L)</f>
        <v>1000153245</v>
      </c>
      <c r="K646" s="5" t="str">
        <f>_xlfn.XLOOKUP($N646,'Base de Grupos'!$A:$A,'Base de Grupos'!$M:$M)</f>
        <v>REGIONAL VENDA INTERNA - KEY ACCOUNT</v>
      </c>
      <c r="L646" s="5" t="str">
        <f t="shared" si="677"/>
        <v/>
      </c>
      <c r="M646" s="5" t="str">
        <f>_xlfn.XLOOKUP($N646,'Base de Grupos'!$A:$A,'Base de Grupos'!$C:$C)</f>
        <v>RS</v>
      </c>
      <c r="N646" s="3">
        <v>1439</v>
      </c>
      <c r="O646" s="4" t="s">
        <v>259</v>
      </c>
      <c r="P646" s="5" t="s">
        <v>91</v>
      </c>
      <c r="Q646" s="56">
        <v>0</v>
      </c>
      <c r="R646" s="56">
        <v>0</v>
      </c>
      <c r="S646" s="56">
        <v>0</v>
      </c>
      <c r="T646" s="56">
        <f>_xlfn.XLOOKUP($N646,'Calculo Leads'!$A$97:$A$134,'Calculo Leads'!G$97:G$134)*_xlfn.XLOOKUP($P646,'Base Grupo de Produtos'!$E$2:$E$18,'Base Grupo de Produtos'!$F$2:$F$18)</f>
        <v>0</v>
      </c>
      <c r="U646" s="56">
        <f>_xlfn.XLOOKUP($N646,'Calculo Leads'!$A$97:$A$134,'Calculo Leads'!H$97:H$134)*_xlfn.XLOOKUP($P646,'Base Grupo de Produtos'!$E$2:$E$18,'Base Grupo de Produtos'!$F$2:$F$18)</f>
        <v>0</v>
      </c>
      <c r="V646" s="56">
        <f>_xlfn.XLOOKUP($N646,'Calculo Leads'!$A$97:$A$134,'Calculo Leads'!I$97:I$134)*_xlfn.XLOOKUP($P646,'Base Grupo de Produtos'!$E$2:$E$18,'Base Grupo de Produtos'!$F$2:$F$18)</f>
        <v>0</v>
      </c>
      <c r="W646" s="56">
        <f>_xlfn.XLOOKUP($N646,'Calculo Leads'!$A$97:$A$134,'Calculo Leads'!J$97:J$134)*_xlfn.XLOOKUP($P646,'Base Grupo de Produtos'!$E$2:$E$18,'Base Grupo de Produtos'!$F$2:$F$18)</f>
        <v>0</v>
      </c>
      <c r="X646" s="56">
        <f>_xlfn.XLOOKUP($N646,'Calculo Leads'!$A$97:$A$134,'Calculo Leads'!K$97:K$134)*_xlfn.XLOOKUP($P646,'Base Grupo de Produtos'!$E$2:$E$18,'Base Grupo de Produtos'!$F$2:$F$18)</f>
        <v>0</v>
      </c>
      <c r="Y646" s="56">
        <f>_xlfn.XLOOKUP($N646,'Calculo Leads'!$A$97:$A$134,'Calculo Leads'!L$97:L$134)*_xlfn.XLOOKUP($P646,'Base Grupo de Produtos'!$E$2:$E$18,'Base Grupo de Produtos'!$F$2:$F$18)</f>
        <v>0</v>
      </c>
      <c r="Z646" s="56">
        <f>_xlfn.XLOOKUP($N646,'Calculo Leads'!$A$97:$A$134,'Calculo Leads'!M$97:M$134)*_xlfn.XLOOKUP($P646,'Base Grupo de Produtos'!$E$2:$E$18,'Base Grupo de Produtos'!$F$2:$F$18)</f>
        <v>0</v>
      </c>
      <c r="AA646" s="56">
        <f>_xlfn.XLOOKUP($N646,'Calculo Leads'!$A$97:$A$134,'Calculo Leads'!N$97:N$134)*_xlfn.XLOOKUP($P646,'Base Grupo de Produtos'!$E$2:$E$18,'Base Grupo de Produtos'!$F$2:$F$18)</f>
        <v>0</v>
      </c>
      <c r="AB646" s="56">
        <f>_xlfn.XLOOKUP($N646,'Calculo Leads'!$A$97:$A$134,'Calculo Leads'!O$97:O$134)*_xlfn.XLOOKUP($P646,'Base Grupo de Produtos'!$E$2:$E$18,'Base Grupo de Produtos'!$F$2:$F$18)</f>
        <v>0</v>
      </c>
      <c r="AC646" s="61">
        <f t="shared" si="697"/>
        <v>0</v>
      </c>
      <c r="AD646" s="27">
        <f t="shared" si="694"/>
        <v>0</v>
      </c>
      <c r="AE646" s="25">
        <f>IFERROR(_xlfn.XLOOKUP(N646&amp;P646,'Historico Vendas'!G:G,'Historico Vendas'!E:E),0)</f>
        <v>0</v>
      </c>
      <c r="AF646" s="29" t="str">
        <f t="shared" si="675"/>
        <v/>
      </c>
      <c r="AG646" s="24">
        <f>IFERROR(_xlfn.XLOOKUP(N646&amp;P646,'Historico Vendas'!G:G,'Historico Vendas'!F:F),0)</f>
        <v>0</v>
      </c>
      <c r="AH646" s="25">
        <f t="shared" si="695"/>
        <v>0</v>
      </c>
      <c r="AI646" s="24">
        <f t="shared" si="696"/>
        <v>0</v>
      </c>
      <c r="AJ646" s="11" t="str">
        <f t="shared" si="693"/>
        <v/>
      </c>
      <c r="AK646" s="9" t="s">
        <v>102</v>
      </c>
      <c r="AL646" s="13">
        <f>IFERROR(INDEX('Balizador da Meta'!$D$3:$F$23,MATCH(Faturamento!$P646,'Balizador da Meta'!$C$3:$C$23,0),MATCH(Faturamento!AK646,'Balizador da Meta'!$D$2:$F$2,0)),"")</f>
        <v>0</v>
      </c>
      <c r="AM646" s="9"/>
    </row>
    <row r="647" spans="1:39" x14ac:dyDescent="0.3">
      <c r="A647" s="2" t="str">
        <f t="shared" si="676"/>
        <v>NÃO</v>
      </c>
      <c r="B647" s="2" t="str">
        <f>_xlfn.XLOOKUP($N647,'Base de Grupos'!$A:$A,'Base de Grupos'!$D:$D)</f>
        <v>1000065763</v>
      </c>
      <c r="C647" s="5" t="str">
        <f>_xlfn.XLOOKUP($N647,'Base de Grupos'!$A:$A,'Base de Grupos'!$E:$E)</f>
        <v>CANAL VENDA INTERNA</v>
      </c>
      <c r="D647" s="5" t="str">
        <f>_xlfn.XLOOKUP($N647,'Base de Grupos'!$A:$A,'Base de Grupos'!$F:$F)</f>
        <v>1000065763</v>
      </c>
      <c r="E647" s="2" t="str">
        <f>_xlfn.XLOOKUP($N647,'Base de Grupos'!$A:$A,'Base de Grupos'!$G:$G)</f>
        <v>CANAL VENDA INTERNA</v>
      </c>
      <c r="F647" s="2" t="str">
        <f>_xlfn.XLOOKUP($N647,'Base de Grupos'!$A:$A,'Base de Grupos'!$H:$H)</f>
        <v>1000153245</v>
      </c>
      <c r="G647" s="5" t="str">
        <f>_xlfn.XLOOKUP($N647,'Base de Grupos'!$A:$A,'Base de Grupos'!$I:$I)</f>
        <v>REGIONAL VENDA INTERNA - KEY ACCOUNT</v>
      </c>
      <c r="H647" s="5" t="str">
        <f>_xlfn.XLOOKUP($N647,'Base de Grupos'!$A:$A,'Base de Grupos'!$J:$J)</f>
        <v>1000153245</v>
      </c>
      <c r="I647" s="2" t="str">
        <f>_xlfn.XLOOKUP($N647,'Base de Grupos'!$A:$A,'Base de Grupos'!$K:$K)</f>
        <v>REGIONAL VENDA INTERNA - KEY ACCOUNT</v>
      </c>
      <c r="J647" s="2" t="str">
        <f>_xlfn.XLOOKUP($N647,'Base de Grupos'!$A:$A,'Base de Grupos'!$L:$L)</f>
        <v>1000153245</v>
      </c>
      <c r="K647" s="5" t="str">
        <f>_xlfn.XLOOKUP($N647,'Base de Grupos'!$A:$A,'Base de Grupos'!$M:$M)</f>
        <v>REGIONAL VENDA INTERNA - KEY ACCOUNT</v>
      </c>
      <c r="L647" s="5" t="str">
        <f t="shared" si="677"/>
        <v/>
      </c>
      <c r="M647" s="5" t="str">
        <f>_xlfn.XLOOKUP($N647,'Base de Grupos'!$A:$A,'Base de Grupos'!$C:$C)</f>
        <v>RS</v>
      </c>
      <c r="N647" s="3">
        <v>1439</v>
      </c>
      <c r="O647" s="4" t="s">
        <v>259</v>
      </c>
      <c r="P647" s="5" t="s">
        <v>96</v>
      </c>
      <c r="Q647" s="56">
        <v>0</v>
      </c>
      <c r="R647" s="56">
        <v>0</v>
      </c>
      <c r="S647" s="56">
        <v>0</v>
      </c>
      <c r="T647" s="56">
        <f>_xlfn.XLOOKUP($N647,'Calculo Leads'!$A$97:$A$134,'Calculo Leads'!G$97:G$134)*_xlfn.XLOOKUP($P647,'Base Grupo de Produtos'!$E$2:$E$18,'Base Grupo de Produtos'!$F$2:$F$18)</f>
        <v>70</v>
      </c>
      <c r="U647" s="56">
        <f>_xlfn.XLOOKUP($N647,'Calculo Leads'!$A$97:$A$134,'Calculo Leads'!H$97:H$134)*_xlfn.XLOOKUP($P647,'Base Grupo de Produtos'!$E$2:$E$18,'Base Grupo de Produtos'!$F$2:$F$18)</f>
        <v>70</v>
      </c>
      <c r="V647" s="56">
        <f>_xlfn.XLOOKUP($N647,'Calculo Leads'!$A$97:$A$134,'Calculo Leads'!I$97:I$134)*_xlfn.XLOOKUP($P647,'Base Grupo de Produtos'!$E$2:$E$18,'Base Grupo de Produtos'!$F$2:$F$18)</f>
        <v>70</v>
      </c>
      <c r="W647" s="56">
        <f>_xlfn.XLOOKUP($N647,'Calculo Leads'!$A$97:$A$134,'Calculo Leads'!J$97:J$134)*_xlfn.XLOOKUP($P647,'Base Grupo de Produtos'!$E$2:$E$18,'Base Grupo de Produtos'!$F$2:$F$18)</f>
        <v>70</v>
      </c>
      <c r="X647" s="56">
        <f>_xlfn.XLOOKUP($N647,'Calculo Leads'!$A$97:$A$134,'Calculo Leads'!K$97:K$134)*_xlfn.XLOOKUP($P647,'Base Grupo de Produtos'!$E$2:$E$18,'Base Grupo de Produtos'!$F$2:$F$18)</f>
        <v>154.00000000000003</v>
      </c>
      <c r="Y647" s="56">
        <f>_xlfn.XLOOKUP($N647,'Calculo Leads'!$A$97:$A$134,'Calculo Leads'!L$97:L$134)*_xlfn.XLOOKUP($P647,'Base Grupo de Produtos'!$E$2:$E$18,'Base Grupo de Produtos'!$F$2:$F$18)</f>
        <v>154.00000000000003</v>
      </c>
      <c r="Z647" s="56">
        <f>_xlfn.XLOOKUP($N647,'Calculo Leads'!$A$97:$A$134,'Calculo Leads'!M$97:M$134)*_xlfn.XLOOKUP($P647,'Base Grupo de Produtos'!$E$2:$E$18,'Base Grupo de Produtos'!$F$2:$F$18)</f>
        <v>154.00000000000003</v>
      </c>
      <c r="AA647" s="56">
        <f>_xlfn.XLOOKUP($N647,'Calculo Leads'!$A$97:$A$134,'Calculo Leads'!N$97:N$134)*_xlfn.XLOOKUP($P647,'Base Grupo de Produtos'!$E$2:$E$18,'Base Grupo de Produtos'!$F$2:$F$18)</f>
        <v>154.00000000000003</v>
      </c>
      <c r="AB647" s="56">
        <f>_xlfn.XLOOKUP($N647,'Calculo Leads'!$A$97:$A$134,'Calculo Leads'!O$97:O$134)*_xlfn.XLOOKUP($P647,'Base Grupo de Produtos'!$E$2:$E$18,'Base Grupo de Produtos'!$F$2:$F$18)</f>
        <v>154.00000000000003</v>
      </c>
      <c r="AC647" s="61">
        <f t="shared" si="697"/>
        <v>1050</v>
      </c>
      <c r="AD647" s="27">
        <f t="shared" si="694"/>
        <v>1050</v>
      </c>
      <c r="AE647" s="25">
        <f>IFERROR(_xlfn.XLOOKUP(N647&amp;P647,'Historico Vendas'!G:G,'Historico Vendas'!E:E),0)</f>
        <v>0</v>
      </c>
      <c r="AF647" s="29" t="str">
        <f t="shared" si="675"/>
        <v/>
      </c>
      <c r="AG647" s="24">
        <f>IFERROR(_xlfn.XLOOKUP(N647&amp;P647,'Historico Vendas'!G:G,'Historico Vendas'!F:F),0)</f>
        <v>0</v>
      </c>
      <c r="AH647" s="25">
        <f t="shared" si="695"/>
        <v>0</v>
      </c>
      <c r="AI647" s="24">
        <f t="shared" si="696"/>
        <v>0</v>
      </c>
      <c r="AJ647" s="11" t="str">
        <f t="shared" si="693"/>
        <v/>
      </c>
      <c r="AK647" s="9" t="s">
        <v>102</v>
      </c>
      <c r="AL647" s="13">
        <f>IFERROR(INDEX('Balizador da Meta'!$D$3:$F$23,MATCH(Faturamento!$P647,'Balizador da Meta'!$C$3:$C$23,0),MATCH(Faturamento!AK647,'Balizador da Meta'!$D$2:$F$2,0)),"")</f>
        <v>0</v>
      </c>
      <c r="AM647" s="9"/>
    </row>
    <row r="648" spans="1:39" x14ac:dyDescent="0.3">
      <c r="A648" s="2" t="str">
        <f t="shared" si="676"/>
        <v>NÃO</v>
      </c>
      <c r="B648" s="2" t="str">
        <f>_xlfn.XLOOKUP($N648,'Base de Grupos'!$A:$A,'Base de Grupos'!$D:$D)</f>
        <v>1000065763</v>
      </c>
      <c r="C648" s="5" t="str">
        <f>_xlfn.XLOOKUP($N648,'Base de Grupos'!$A:$A,'Base de Grupos'!$E:$E)</f>
        <v>CANAL VENDA INTERNA</v>
      </c>
      <c r="D648" s="5" t="str">
        <f>_xlfn.XLOOKUP($N648,'Base de Grupos'!$A:$A,'Base de Grupos'!$F:$F)</f>
        <v>1000065763</v>
      </c>
      <c r="E648" s="2" t="str">
        <f>_xlfn.XLOOKUP($N648,'Base de Grupos'!$A:$A,'Base de Grupos'!$G:$G)</f>
        <v>CANAL VENDA INTERNA</v>
      </c>
      <c r="F648" s="2" t="str">
        <f>_xlfn.XLOOKUP($N648,'Base de Grupos'!$A:$A,'Base de Grupos'!$H:$H)</f>
        <v>1000153245</v>
      </c>
      <c r="G648" s="5" t="str">
        <f>_xlfn.XLOOKUP($N648,'Base de Grupos'!$A:$A,'Base de Grupos'!$I:$I)</f>
        <v>REGIONAL VENDA INTERNA - KEY ACCOUNT</v>
      </c>
      <c r="H648" s="5" t="str">
        <f>_xlfn.XLOOKUP($N648,'Base de Grupos'!$A:$A,'Base de Grupos'!$J:$J)</f>
        <v>1000153245</v>
      </c>
      <c r="I648" s="2" t="str">
        <f>_xlfn.XLOOKUP($N648,'Base de Grupos'!$A:$A,'Base de Grupos'!$K:$K)</f>
        <v>REGIONAL VENDA INTERNA - KEY ACCOUNT</v>
      </c>
      <c r="J648" s="2" t="str">
        <f>_xlfn.XLOOKUP($N648,'Base de Grupos'!$A:$A,'Base de Grupos'!$L:$L)</f>
        <v>1000153245</v>
      </c>
      <c r="K648" s="5" t="str">
        <f>_xlfn.XLOOKUP($N648,'Base de Grupos'!$A:$A,'Base de Grupos'!$M:$M)</f>
        <v>REGIONAL VENDA INTERNA - KEY ACCOUNT</v>
      </c>
      <c r="L648" s="5" t="str">
        <f t="shared" si="677"/>
        <v/>
      </c>
      <c r="M648" s="5" t="str">
        <f>_xlfn.XLOOKUP($N648,'Base de Grupos'!$A:$A,'Base de Grupos'!$C:$C)</f>
        <v>RS</v>
      </c>
      <c r="N648" s="3">
        <v>1439</v>
      </c>
      <c r="O648" s="4" t="s">
        <v>259</v>
      </c>
      <c r="P648" s="5" t="s">
        <v>94</v>
      </c>
      <c r="Q648" s="56">
        <v>0</v>
      </c>
      <c r="R648" s="56">
        <v>0</v>
      </c>
      <c r="S648" s="56">
        <v>0</v>
      </c>
      <c r="T648" s="56">
        <f>_xlfn.XLOOKUP($N648,'Calculo Leads'!$A$97:$A$134,'Calculo Leads'!G$97:G$134)*_xlfn.XLOOKUP($P648,'Base Grupo de Produtos'!$E$2:$E$18,'Base Grupo de Produtos'!$F$2:$F$18)</f>
        <v>49.999999999999993</v>
      </c>
      <c r="U648" s="56">
        <f>_xlfn.XLOOKUP($N648,'Calculo Leads'!$A$97:$A$134,'Calculo Leads'!H$97:H$134)*_xlfn.XLOOKUP($P648,'Base Grupo de Produtos'!$E$2:$E$18,'Base Grupo de Produtos'!$F$2:$F$18)</f>
        <v>49.999999999999993</v>
      </c>
      <c r="V648" s="56">
        <f>_xlfn.XLOOKUP($N648,'Calculo Leads'!$A$97:$A$134,'Calculo Leads'!I$97:I$134)*_xlfn.XLOOKUP($P648,'Base Grupo de Produtos'!$E$2:$E$18,'Base Grupo de Produtos'!$F$2:$F$18)</f>
        <v>49.999999999999993</v>
      </c>
      <c r="W648" s="56">
        <f>_xlfn.XLOOKUP($N648,'Calculo Leads'!$A$97:$A$134,'Calculo Leads'!J$97:J$134)*_xlfn.XLOOKUP($P648,'Base Grupo de Produtos'!$E$2:$E$18,'Base Grupo de Produtos'!$F$2:$F$18)</f>
        <v>49.999999999999993</v>
      </c>
      <c r="X648" s="56">
        <f>_xlfn.XLOOKUP($N648,'Calculo Leads'!$A$97:$A$134,'Calculo Leads'!K$97:K$134)*_xlfn.XLOOKUP($P648,'Base Grupo de Produtos'!$E$2:$E$18,'Base Grupo de Produtos'!$F$2:$F$18)</f>
        <v>109.99999999999999</v>
      </c>
      <c r="Y648" s="56">
        <f>_xlfn.XLOOKUP($N648,'Calculo Leads'!$A$97:$A$134,'Calculo Leads'!L$97:L$134)*_xlfn.XLOOKUP($P648,'Base Grupo de Produtos'!$E$2:$E$18,'Base Grupo de Produtos'!$F$2:$F$18)</f>
        <v>109.99999999999999</v>
      </c>
      <c r="Z648" s="56">
        <f>_xlfn.XLOOKUP($N648,'Calculo Leads'!$A$97:$A$134,'Calculo Leads'!M$97:M$134)*_xlfn.XLOOKUP($P648,'Base Grupo de Produtos'!$E$2:$E$18,'Base Grupo de Produtos'!$F$2:$F$18)</f>
        <v>109.99999999999999</v>
      </c>
      <c r="AA648" s="56">
        <f>_xlfn.XLOOKUP($N648,'Calculo Leads'!$A$97:$A$134,'Calculo Leads'!N$97:N$134)*_xlfn.XLOOKUP($P648,'Base Grupo de Produtos'!$E$2:$E$18,'Base Grupo de Produtos'!$F$2:$F$18)</f>
        <v>109.99999999999999</v>
      </c>
      <c r="AB648" s="56">
        <f>_xlfn.XLOOKUP($N648,'Calculo Leads'!$A$97:$A$134,'Calculo Leads'!O$97:O$134)*_xlfn.XLOOKUP($P648,'Base Grupo de Produtos'!$E$2:$E$18,'Base Grupo de Produtos'!$F$2:$F$18)</f>
        <v>109.99999999999999</v>
      </c>
      <c r="AC648" s="61">
        <f t="shared" si="697"/>
        <v>749.99999999999989</v>
      </c>
      <c r="AD648" s="27">
        <f t="shared" si="694"/>
        <v>749.99999999999989</v>
      </c>
      <c r="AE648" s="25">
        <f>IFERROR(_xlfn.XLOOKUP(N648&amp;P648,'Historico Vendas'!G:G,'Historico Vendas'!E:E),0)</f>
        <v>0</v>
      </c>
      <c r="AF648" s="29" t="str">
        <f t="shared" si="675"/>
        <v/>
      </c>
      <c r="AG648" s="24">
        <f>IFERROR(_xlfn.XLOOKUP(N648&amp;P648,'Historico Vendas'!G:G,'Historico Vendas'!F:F),0)</f>
        <v>0</v>
      </c>
      <c r="AH648" s="25">
        <f t="shared" si="695"/>
        <v>0</v>
      </c>
      <c r="AI648" s="24">
        <f t="shared" si="696"/>
        <v>0</v>
      </c>
      <c r="AJ648" s="11" t="str">
        <f t="shared" si="693"/>
        <v/>
      </c>
      <c r="AK648" s="9" t="s">
        <v>102</v>
      </c>
      <c r="AL648" s="13">
        <f>IFERROR(INDEX('Balizador da Meta'!$D$3:$F$23,MATCH(Faturamento!$P648,'Balizador da Meta'!$C$3:$C$23,0),MATCH(Faturamento!AK648,'Balizador da Meta'!$D$2:$F$2,0)),"")</f>
        <v>0.25</v>
      </c>
      <c r="AM648" s="9"/>
    </row>
    <row r="649" spans="1:39" x14ac:dyDescent="0.3">
      <c r="A649" s="2" t="str">
        <f t="shared" si="676"/>
        <v>NÃO</v>
      </c>
      <c r="B649" s="2" t="str">
        <f>_xlfn.XLOOKUP($N649,'Base de Grupos'!$A:$A,'Base de Grupos'!$D:$D)</f>
        <v>1000065763</v>
      </c>
      <c r="C649" s="5" t="str">
        <f>_xlfn.XLOOKUP($N649,'Base de Grupos'!$A:$A,'Base de Grupos'!$E:$E)</f>
        <v>CANAL VENDA INTERNA</v>
      </c>
      <c r="D649" s="5" t="str">
        <f>_xlfn.XLOOKUP($N649,'Base de Grupos'!$A:$A,'Base de Grupos'!$F:$F)</f>
        <v>1000065763</v>
      </c>
      <c r="E649" s="2" t="str">
        <f>_xlfn.XLOOKUP($N649,'Base de Grupos'!$A:$A,'Base de Grupos'!$G:$G)</f>
        <v>CANAL VENDA INTERNA</v>
      </c>
      <c r="F649" s="2" t="str">
        <f>_xlfn.XLOOKUP($N649,'Base de Grupos'!$A:$A,'Base de Grupos'!$H:$H)</f>
        <v>1000153245</v>
      </c>
      <c r="G649" s="5" t="str">
        <f>_xlfn.XLOOKUP($N649,'Base de Grupos'!$A:$A,'Base de Grupos'!$I:$I)</f>
        <v>REGIONAL VENDA INTERNA - KEY ACCOUNT</v>
      </c>
      <c r="H649" s="5" t="str">
        <f>_xlfn.XLOOKUP($N649,'Base de Grupos'!$A:$A,'Base de Grupos'!$J:$J)</f>
        <v>1000153245</v>
      </c>
      <c r="I649" s="2" t="str">
        <f>_xlfn.XLOOKUP($N649,'Base de Grupos'!$A:$A,'Base de Grupos'!$K:$K)</f>
        <v>REGIONAL VENDA INTERNA - KEY ACCOUNT</v>
      </c>
      <c r="J649" s="2" t="str">
        <f>_xlfn.XLOOKUP($N649,'Base de Grupos'!$A:$A,'Base de Grupos'!$L:$L)</f>
        <v>1000153245</v>
      </c>
      <c r="K649" s="5" t="str">
        <f>_xlfn.XLOOKUP($N649,'Base de Grupos'!$A:$A,'Base de Grupos'!$M:$M)</f>
        <v>REGIONAL VENDA INTERNA - KEY ACCOUNT</v>
      </c>
      <c r="L649" s="5" t="str">
        <f t="shared" si="677"/>
        <v/>
      </c>
      <c r="M649" s="5" t="str">
        <f>_xlfn.XLOOKUP($N649,'Base de Grupos'!$A:$A,'Base de Grupos'!$C:$C)</f>
        <v>RS</v>
      </c>
      <c r="N649" s="3">
        <v>1439</v>
      </c>
      <c r="O649" s="4" t="s">
        <v>259</v>
      </c>
      <c r="P649" s="5" t="s">
        <v>95</v>
      </c>
      <c r="Q649" s="56">
        <v>0</v>
      </c>
      <c r="R649" s="56">
        <v>0</v>
      </c>
      <c r="S649" s="56">
        <v>0</v>
      </c>
      <c r="T649" s="56">
        <f>_xlfn.XLOOKUP($N649,'Calculo Leads'!$A$97:$A$134,'Calculo Leads'!G$97:G$134)*_xlfn.XLOOKUP($P649,'Base Grupo de Produtos'!$E$2:$E$18,'Base Grupo de Produtos'!$F$2:$F$18)</f>
        <v>80</v>
      </c>
      <c r="U649" s="56">
        <f>_xlfn.XLOOKUP($N649,'Calculo Leads'!$A$97:$A$134,'Calculo Leads'!H$97:H$134)*_xlfn.XLOOKUP($P649,'Base Grupo de Produtos'!$E$2:$E$18,'Base Grupo de Produtos'!$F$2:$F$18)</f>
        <v>80</v>
      </c>
      <c r="V649" s="56">
        <f>_xlfn.XLOOKUP($N649,'Calculo Leads'!$A$97:$A$134,'Calculo Leads'!I$97:I$134)*_xlfn.XLOOKUP($P649,'Base Grupo de Produtos'!$E$2:$E$18,'Base Grupo de Produtos'!$F$2:$F$18)</f>
        <v>80</v>
      </c>
      <c r="W649" s="56">
        <f>_xlfn.XLOOKUP($N649,'Calculo Leads'!$A$97:$A$134,'Calculo Leads'!J$97:J$134)*_xlfn.XLOOKUP($P649,'Base Grupo de Produtos'!$E$2:$E$18,'Base Grupo de Produtos'!$F$2:$F$18)</f>
        <v>80</v>
      </c>
      <c r="X649" s="56">
        <f>_xlfn.XLOOKUP($N649,'Calculo Leads'!$A$97:$A$134,'Calculo Leads'!K$97:K$134)*_xlfn.XLOOKUP($P649,'Base Grupo de Produtos'!$E$2:$E$18,'Base Grupo de Produtos'!$F$2:$F$18)</f>
        <v>176</v>
      </c>
      <c r="Y649" s="56">
        <f>_xlfn.XLOOKUP($N649,'Calculo Leads'!$A$97:$A$134,'Calculo Leads'!L$97:L$134)*_xlfn.XLOOKUP($P649,'Base Grupo de Produtos'!$E$2:$E$18,'Base Grupo de Produtos'!$F$2:$F$18)</f>
        <v>176</v>
      </c>
      <c r="Z649" s="56">
        <f>_xlfn.XLOOKUP($N649,'Calculo Leads'!$A$97:$A$134,'Calculo Leads'!M$97:M$134)*_xlfn.XLOOKUP($P649,'Base Grupo de Produtos'!$E$2:$E$18,'Base Grupo de Produtos'!$F$2:$F$18)</f>
        <v>176</v>
      </c>
      <c r="AA649" s="56">
        <f>_xlfn.XLOOKUP($N649,'Calculo Leads'!$A$97:$A$134,'Calculo Leads'!N$97:N$134)*_xlfn.XLOOKUP($P649,'Base Grupo de Produtos'!$E$2:$E$18,'Base Grupo de Produtos'!$F$2:$F$18)</f>
        <v>176</v>
      </c>
      <c r="AB649" s="56">
        <f>_xlfn.XLOOKUP($N649,'Calculo Leads'!$A$97:$A$134,'Calculo Leads'!O$97:O$134)*_xlfn.XLOOKUP($P649,'Base Grupo de Produtos'!$E$2:$E$18,'Base Grupo de Produtos'!$F$2:$F$18)</f>
        <v>176</v>
      </c>
      <c r="AC649" s="61">
        <f t="shared" si="697"/>
        <v>1200</v>
      </c>
      <c r="AD649" s="27">
        <f t="shared" si="694"/>
        <v>1200</v>
      </c>
      <c r="AE649" s="25">
        <f>IFERROR(_xlfn.XLOOKUP(N649&amp;P649,'Historico Vendas'!G:G,'Historico Vendas'!E:E),0)</f>
        <v>0</v>
      </c>
      <c r="AF649" s="29" t="str">
        <f t="shared" si="675"/>
        <v/>
      </c>
      <c r="AG649" s="24">
        <f>IFERROR(_xlfn.XLOOKUP(N649&amp;P649,'Historico Vendas'!G:G,'Historico Vendas'!F:F),0)</f>
        <v>0</v>
      </c>
      <c r="AH649" s="25">
        <f t="shared" si="695"/>
        <v>0</v>
      </c>
      <c r="AI649" s="24">
        <f t="shared" si="696"/>
        <v>0</v>
      </c>
      <c r="AJ649" s="11" t="str">
        <f t="shared" si="693"/>
        <v/>
      </c>
      <c r="AK649" s="9" t="s">
        <v>102</v>
      </c>
      <c r="AL649" s="13">
        <f>IFERROR(INDEX('Balizador da Meta'!$D$3:$F$23,MATCH(Faturamento!$P649,'Balizador da Meta'!$C$3:$C$23,0),MATCH(Faturamento!AK649,'Balizador da Meta'!$D$2:$F$2,0)),"")</f>
        <v>0.25</v>
      </c>
      <c r="AM649" s="9"/>
    </row>
    <row r="650" spans="1:39" x14ac:dyDescent="0.3">
      <c r="A650" s="2" t="str">
        <f t="shared" si="676"/>
        <v>NÃO</v>
      </c>
      <c r="B650" s="2" t="str">
        <f>_xlfn.XLOOKUP($N650,'Base de Grupos'!$A:$A,'Base de Grupos'!$D:$D)</f>
        <v>1000065763</v>
      </c>
      <c r="C650" s="5" t="str">
        <f>_xlfn.XLOOKUP($N650,'Base de Grupos'!$A:$A,'Base de Grupos'!$E:$E)</f>
        <v>CANAL VENDA INTERNA</v>
      </c>
      <c r="D650" s="5" t="str">
        <f>_xlfn.XLOOKUP($N650,'Base de Grupos'!$A:$A,'Base de Grupos'!$F:$F)</f>
        <v>1000065763</v>
      </c>
      <c r="E650" s="2" t="str">
        <f>_xlfn.XLOOKUP($N650,'Base de Grupos'!$A:$A,'Base de Grupos'!$G:$G)</f>
        <v>CANAL VENDA INTERNA</v>
      </c>
      <c r="F650" s="2" t="str">
        <f>_xlfn.XLOOKUP($N650,'Base de Grupos'!$A:$A,'Base de Grupos'!$H:$H)</f>
        <v>1000153245</v>
      </c>
      <c r="G650" s="5" t="str">
        <f>_xlfn.XLOOKUP($N650,'Base de Grupos'!$A:$A,'Base de Grupos'!$I:$I)</f>
        <v>REGIONAL VENDA INTERNA - KEY ACCOUNT</v>
      </c>
      <c r="H650" s="5" t="str">
        <f>_xlfn.XLOOKUP($N650,'Base de Grupos'!$A:$A,'Base de Grupos'!$J:$J)</f>
        <v>1000153245</v>
      </c>
      <c r="I650" s="2" t="str">
        <f>_xlfn.XLOOKUP($N650,'Base de Grupos'!$A:$A,'Base de Grupos'!$K:$K)</f>
        <v>REGIONAL VENDA INTERNA - KEY ACCOUNT</v>
      </c>
      <c r="J650" s="2" t="str">
        <f>_xlfn.XLOOKUP($N650,'Base de Grupos'!$A:$A,'Base de Grupos'!$L:$L)</f>
        <v>1000153245</v>
      </c>
      <c r="K650" s="5" t="str">
        <f>_xlfn.XLOOKUP($N650,'Base de Grupos'!$A:$A,'Base de Grupos'!$M:$M)</f>
        <v>REGIONAL VENDA INTERNA - KEY ACCOUNT</v>
      </c>
      <c r="L650" s="5" t="str">
        <f t="shared" si="677"/>
        <v/>
      </c>
      <c r="M650" s="5" t="str">
        <f>_xlfn.XLOOKUP($N650,'Base de Grupos'!$A:$A,'Base de Grupos'!$C:$C)</f>
        <v>RS</v>
      </c>
      <c r="N650" s="3">
        <v>1439</v>
      </c>
      <c r="O650" s="4" t="s">
        <v>259</v>
      </c>
      <c r="P650" s="5" t="s">
        <v>93</v>
      </c>
      <c r="Q650" s="56">
        <v>0</v>
      </c>
      <c r="R650" s="56">
        <v>0</v>
      </c>
      <c r="S650" s="56">
        <v>0</v>
      </c>
      <c r="T650" s="56">
        <f>_xlfn.XLOOKUP($N650,'Calculo Leads'!$A$97:$A$134,'Calculo Leads'!G$97:G$134)*_xlfn.XLOOKUP($P650,'Base Grupo de Produtos'!$E$2:$E$18,'Base Grupo de Produtos'!$F$2:$F$18)</f>
        <v>30</v>
      </c>
      <c r="U650" s="56">
        <f>_xlfn.XLOOKUP($N650,'Calculo Leads'!$A$97:$A$134,'Calculo Leads'!H$97:H$134)*_xlfn.XLOOKUP($P650,'Base Grupo de Produtos'!$E$2:$E$18,'Base Grupo de Produtos'!$F$2:$F$18)</f>
        <v>30</v>
      </c>
      <c r="V650" s="56">
        <f>_xlfn.XLOOKUP($N650,'Calculo Leads'!$A$97:$A$134,'Calculo Leads'!I$97:I$134)*_xlfn.XLOOKUP($P650,'Base Grupo de Produtos'!$E$2:$E$18,'Base Grupo de Produtos'!$F$2:$F$18)</f>
        <v>30</v>
      </c>
      <c r="W650" s="56">
        <f>_xlfn.XLOOKUP($N650,'Calculo Leads'!$A$97:$A$134,'Calculo Leads'!J$97:J$134)*_xlfn.XLOOKUP($P650,'Base Grupo de Produtos'!$E$2:$E$18,'Base Grupo de Produtos'!$F$2:$F$18)</f>
        <v>30</v>
      </c>
      <c r="X650" s="56">
        <f>_xlfn.XLOOKUP($N650,'Calculo Leads'!$A$97:$A$134,'Calculo Leads'!K$97:K$134)*_xlfn.XLOOKUP($P650,'Base Grupo de Produtos'!$E$2:$E$18,'Base Grupo de Produtos'!$F$2:$F$18)</f>
        <v>66</v>
      </c>
      <c r="Y650" s="56">
        <f>_xlfn.XLOOKUP($N650,'Calculo Leads'!$A$97:$A$134,'Calculo Leads'!L$97:L$134)*_xlfn.XLOOKUP($P650,'Base Grupo de Produtos'!$E$2:$E$18,'Base Grupo de Produtos'!$F$2:$F$18)</f>
        <v>66</v>
      </c>
      <c r="Z650" s="56">
        <f>_xlfn.XLOOKUP($N650,'Calculo Leads'!$A$97:$A$134,'Calculo Leads'!M$97:M$134)*_xlfn.XLOOKUP($P650,'Base Grupo de Produtos'!$E$2:$E$18,'Base Grupo de Produtos'!$F$2:$F$18)</f>
        <v>66</v>
      </c>
      <c r="AA650" s="56">
        <f>_xlfn.XLOOKUP($N650,'Calculo Leads'!$A$97:$A$134,'Calculo Leads'!N$97:N$134)*_xlfn.XLOOKUP($P650,'Base Grupo de Produtos'!$E$2:$E$18,'Base Grupo de Produtos'!$F$2:$F$18)</f>
        <v>66</v>
      </c>
      <c r="AB650" s="56">
        <f>_xlfn.XLOOKUP($N650,'Calculo Leads'!$A$97:$A$134,'Calculo Leads'!O$97:O$134)*_xlfn.XLOOKUP($P650,'Base Grupo de Produtos'!$E$2:$E$18,'Base Grupo de Produtos'!$F$2:$F$18)</f>
        <v>66</v>
      </c>
      <c r="AC650" s="61">
        <f t="shared" si="697"/>
        <v>450</v>
      </c>
      <c r="AD650" s="27">
        <f t="shared" si="694"/>
        <v>450</v>
      </c>
      <c r="AE650" s="25">
        <f>IFERROR(_xlfn.XLOOKUP(N650&amp;P650,'Historico Vendas'!G:G,'Historico Vendas'!E:E),0)</f>
        <v>0</v>
      </c>
      <c r="AF650" s="29" t="str">
        <f t="shared" si="675"/>
        <v/>
      </c>
      <c r="AG650" s="24">
        <f>IFERROR(_xlfn.XLOOKUP(N650&amp;P650,'Historico Vendas'!G:G,'Historico Vendas'!F:F),0)</f>
        <v>0</v>
      </c>
      <c r="AH650" s="25">
        <f t="shared" si="695"/>
        <v>0</v>
      </c>
      <c r="AI650" s="24">
        <f t="shared" si="696"/>
        <v>0</v>
      </c>
      <c r="AJ650" s="11" t="str">
        <f t="shared" si="693"/>
        <v/>
      </c>
      <c r="AK650" s="9" t="s">
        <v>102</v>
      </c>
      <c r="AL650" s="13">
        <f>IFERROR(INDEX('Balizador da Meta'!$D$3:$F$23,MATCH(Faturamento!$P650,'Balizador da Meta'!$C$3:$C$23,0),MATCH(Faturamento!AK650,'Balizador da Meta'!$D$2:$F$2,0)),"")</f>
        <v>0.2</v>
      </c>
      <c r="AM650" s="9"/>
    </row>
    <row r="651" spans="1:39" x14ac:dyDescent="0.3">
      <c r="A651" s="2" t="str">
        <f t="shared" ref="A651:A714" si="698">IF(L651=1,"SIM","NÃO")</f>
        <v>SIM</v>
      </c>
      <c r="B651" s="2" t="str">
        <f>_xlfn.XLOOKUP($N651,'Base de Grupos'!$A:$A,'Base de Grupos'!$D:$D)</f>
        <v>1000065763</v>
      </c>
      <c r="C651" s="5" t="str">
        <f>_xlfn.XLOOKUP($N651,'Base de Grupos'!$A:$A,'Base de Grupos'!$E:$E)</f>
        <v>CANAL VENDA INTERNA</v>
      </c>
      <c r="D651" s="5" t="str">
        <f>_xlfn.XLOOKUP($N651,'Base de Grupos'!$A:$A,'Base de Grupos'!$F:$F)</f>
        <v>1000065763</v>
      </c>
      <c r="E651" s="2" t="str">
        <f>_xlfn.XLOOKUP($N651,'Base de Grupos'!$A:$A,'Base de Grupos'!$G:$G)</f>
        <v>CANAL VENDA INTERNA</v>
      </c>
      <c r="F651" s="2" t="str">
        <f>_xlfn.XLOOKUP($N651,'Base de Grupos'!$A:$A,'Base de Grupos'!$H:$H)</f>
        <v>1000105900</v>
      </c>
      <c r="G651" s="5" t="str">
        <f>_xlfn.XLOOKUP($N651,'Base de Grupos'!$A:$A,'Base de Grupos'!$I:$I)</f>
        <v>REGIONAL VENDA DIRETA CO + NE + NO</v>
      </c>
      <c r="H651" s="5" t="str">
        <f>_xlfn.XLOOKUP($N651,'Base de Grupos'!$A:$A,'Base de Grupos'!$J:$J)</f>
        <v>1000105900</v>
      </c>
      <c r="I651" s="2" t="str">
        <f>_xlfn.XLOOKUP($N651,'Base de Grupos'!$A:$A,'Base de Grupos'!$K:$K)</f>
        <v>REGIONAL VENDA DIRETA CO + NE + NO</v>
      </c>
      <c r="J651" s="2" t="str">
        <f>_xlfn.XLOOKUP($N651,'Base de Grupos'!$A:$A,'Base de Grupos'!$L:$L)</f>
        <v>1000150135</v>
      </c>
      <c r="K651" s="5" t="str">
        <f>_xlfn.XLOOKUP($N651,'Base de Grupos'!$A:$A,'Base de Grupos'!$M:$M)</f>
        <v>HELDER DA SILVA BRUNKOW</v>
      </c>
      <c r="L651" s="5">
        <f t="shared" ref="L651:L714" si="699">IF(N651&lt;&gt;N650,1,"")</f>
        <v>1</v>
      </c>
      <c r="M651" s="5" t="str">
        <f>_xlfn.XLOOKUP($N651,'Base de Grupos'!$A:$A,'Base de Grupos'!$C:$C)</f>
        <v>AL</v>
      </c>
      <c r="N651" s="3">
        <v>1442</v>
      </c>
      <c r="O651" s="4" t="s">
        <v>260</v>
      </c>
      <c r="P651" s="5" t="s">
        <v>330</v>
      </c>
      <c r="Q651" s="56">
        <f t="shared" ref="Q651" si="700">SUM(Q652:Q668)</f>
        <v>0</v>
      </c>
      <c r="R651" s="56">
        <f t="shared" ref="R651" si="701">SUM(R652:R668)</f>
        <v>0</v>
      </c>
      <c r="S651" s="56">
        <f t="shared" ref="S651" si="702">SUM(S652:S668)</f>
        <v>0</v>
      </c>
      <c r="T651" s="56">
        <f t="shared" ref="T651" si="703">SUM(T652:T668)</f>
        <v>1000</v>
      </c>
      <c r="U651" s="56">
        <f t="shared" ref="U651" si="704">SUM(U652:U668)</f>
        <v>1000</v>
      </c>
      <c r="V651" s="56">
        <f t="shared" ref="V651" si="705">SUM(V652:V668)</f>
        <v>2000</v>
      </c>
      <c r="W651" s="56">
        <f t="shared" ref="W651" si="706">SUM(W652:W668)</f>
        <v>2000</v>
      </c>
      <c r="X651" s="56">
        <f t="shared" ref="X651" si="707">SUM(X652:X668)</f>
        <v>2200</v>
      </c>
      <c r="Y651" s="56">
        <f t="shared" ref="Y651" si="708">SUM(Y652:Y668)</f>
        <v>3300</v>
      </c>
      <c r="Z651" s="56">
        <f t="shared" ref="Z651" si="709">SUM(Z652:Z668)</f>
        <v>3300</v>
      </c>
      <c r="AA651" s="56">
        <f t="shared" ref="AA651" si="710">SUM(AA652:AA668)</f>
        <v>3300</v>
      </c>
      <c r="AB651" s="56">
        <f t="shared" ref="AB651" si="711">SUM(AB652:AB668)</f>
        <v>2200</v>
      </c>
      <c r="AC651" s="56">
        <f t="shared" ref="AC651" si="712">SUM(AC652:AC668)</f>
        <v>20300</v>
      </c>
      <c r="AD651" s="28"/>
      <c r="AE651" s="12"/>
      <c r="AF651" s="29"/>
      <c r="AG651" s="9"/>
      <c r="AH651" s="10"/>
      <c r="AI651" s="9"/>
      <c r="AJ651" s="11"/>
      <c r="AK651" s="9"/>
      <c r="AL651" s="13"/>
      <c r="AM651" s="9"/>
    </row>
    <row r="652" spans="1:39" x14ac:dyDescent="0.3">
      <c r="A652" s="2" t="str">
        <f t="shared" si="698"/>
        <v>NÃO</v>
      </c>
      <c r="B652" s="2" t="str">
        <f>_xlfn.XLOOKUP($N652,'Base de Grupos'!$A:$A,'Base de Grupos'!$D:$D)</f>
        <v>1000065763</v>
      </c>
      <c r="C652" s="5" t="str">
        <f>_xlfn.XLOOKUP($N652,'Base de Grupos'!$A:$A,'Base de Grupos'!$E:$E)</f>
        <v>CANAL VENDA INTERNA</v>
      </c>
      <c r="D652" s="5" t="str">
        <f>_xlfn.XLOOKUP($N652,'Base de Grupos'!$A:$A,'Base de Grupos'!$F:$F)</f>
        <v>1000065763</v>
      </c>
      <c r="E652" s="2" t="str">
        <f>_xlfn.XLOOKUP($N652,'Base de Grupos'!$A:$A,'Base de Grupos'!$G:$G)</f>
        <v>CANAL VENDA INTERNA</v>
      </c>
      <c r="F652" s="2" t="str">
        <f>_xlfn.XLOOKUP($N652,'Base de Grupos'!$A:$A,'Base de Grupos'!$H:$H)</f>
        <v>1000105900</v>
      </c>
      <c r="G652" s="5" t="str">
        <f>_xlfn.XLOOKUP($N652,'Base de Grupos'!$A:$A,'Base de Grupos'!$I:$I)</f>
        <v>REGIONAL VENDA DIRETA CO + NE + NO</v>
      </c>
      <c r="H652" s="5" t="str">
        <f>_xlfn.XLOOKUP($N652,'Base de Grupos'!$A:$A,'Base de Grupos'!$J:$J)</f>
        <v>1000105900</v>
      </c>
      <c r="I652" s="2" t="str">
        <f>_xlfn.XLOOKUP($N652,'Base de Grupos'!$A:$A,'Base de Grupos'!$K:$K)</f>
        <v>REGIONAL VENDA DIRETA CO + NE + NO</v>
      </c>
      <c r="J652" s="2" t="str">
        <f>_xlfn.XLOOKUP($N652,'Base de Grupos'!$A:$A,'Base de Grupos'!$L:$L)</f>
        <v>1000150135</v>
      </c>
      <c r="K652" s="5" t="str">
        <f>_xlfn.XLOOKUP($N652,'Base de Grupos'!$A:$A,'Base de Grupos'!$M:$M)</f>
        <v>HELDER DA SILVA BRUNKOW</v>
      </c>
      <c r="L652" s="5" t="str">
        <f t="shared" si="699"/>
        <v/>
      </c>
      <c r="M652" s="5" t="str">
        <f>_xlfn.XLOOKUP($N652,'Base de Grupos'!$A:$A,'Base de Grupos'!$C:$C)</f>
        <v>AL</v>
      </c>
      <c r="N652" s="3">
        <v>1442</v>
      </c>
      <c r="O652" s="4" t="s">
        <v>260</v>
      </c>
      <c r="P652" s="5" t="s">
        <v>81</v>
      </c>
      <c r="Q652" s="56">
        <v>0</v>
      </c>
      <c r="R652" s="56">
        <v>0</v>
      </c>
      <c r="S652" s="56">
        <v>0</v>
      </c>
      <c r="T652" s="56">
        <f>_xlfn.XLOOKUP($N652,'Calculo Leads'!$A$97:$A$134,'Calculo Leads'!G$97:G$134)*_xlfn.XLOOKUP($P652,'Base Grupo de Produtos'!$E$2:$E$18,'Base Grupo de Produtos'!$F$2:$F$18)</f>
        <v>50</v>
      </c>
      <c r="U652" s="56">
        <f>_xlfn.XLOOKUP($N652,'Calculo Leads'!$A$97:$A$134,'Calculo Leads'!H$97:H$134)*_xlfn.XLOOKUP($P652,'Base Grupo de Produtos'!$E$2:$E$18,'Base Grupo de Produtos'!$F$2:$F$18)</f>
        <v>50</v>
      </c>
      <c r="V652" s="56">
        <f>_xlfn.XLOOKUP($N652,'Calculo Leads'!$A$97:$A$134,'Calculo Leads'!I$97:I$134)*_xlfn.XLOOKUP($P652,'Base Grupo de Produtos'!$E$2:$E$18,'Base Grupo de Produtos'!$F$2:$F$18)</f>
        <v>100</v>
      </c>
      <c r="W652" s="56">
        <f>_xlfn.XLOOKUP($N652,'Calculo Leads'!$A$97:$A$134,'Calculo Leads'!J$97:J$134)*_xlfn.XLOOKUP($P652,'Base Grupo de Produtos'!$E$2:$E$18,'Base Grupo de Produtos'!$F$2:$F$18)</f>
        <v>100</v>
      </c>
      <c r="X652" s="56">
        <f>_xlfn.XLOOKUP($N652,'Calculo Leads'!$A$97:$A$134,'Calculo Leads'!K$97:K$134)*_xlfn.XLOOKUP($P652,'Base Grupo de Produtos'!$E$2:$E$18,'Base Grupo de Produtos'!$F$2:$F$18)</f>
        <v>110</v>
      </c>
      <c r="Y652" s="56">
        <f>_xlfn.XLOOKUP($N652,'Calculo Leads'!$A$97:$A$134,'Calculo Leads'!L$97:L$134)*_xlfn.XLOOKUP($P652,'Base Grupo de Produtos'!$E$2:$E$18,'Base Grupo de Produtos'!$F$2:$F$18)</f>
        <v>165</v>
      </c>
      <c r="Z652" s="56">
        <f>_xlfn.XLOOKUP($N652,'Calculo Leads'!$A$97:$A$134,'Calculo Leads'!M$97:M$134)*_xlfn.XLOOKUP($P652,'Base Grupo de Produtos'!$E$2:$E$18,'Base Grupo de Produtos'!$F$2:$F$18)</f>
        <v>165</v>
      </c>
      <c r="AA652" s="56">
        <f>_xlfn.XLOOKUP($N652,'Calculo Leads'!$A$97:$A$134,'Calculo Leads'!N$97:N$134)*_xlfn.XLOOKUP($P652,'Base Grupo de Produtos'!$E$2:$E$18,'Base Grupo de Produtos'!$F$2:$F$18)</f>
        <v>165</v>
      </c>
      <c r="AB652" s="56">
        <f>_xlfn.XLOOKUP($N652,'Calculo Leads'!$A$97:$A$134,'Calculo Leads'!O$97:O$134)*_xlfn.XLOOKUP($P652,'Base Grupo de Produtos'!$E$2:$E$18,'Base Grupo de Produtos'!$F$2:$F$18)</f>
        <v>110</v>
      </c>
      <c r="AC652" s="61">
        <f t="shared" si="697"/>
        <v>1015</v>
      </c>
      <c r="AD652" s="28"/>
      <c r="AE652" s="12"/>
      <c r="AF652" s="29"/>
      <c r="AG652" s="9"/>
      <c r="AH652" s="10"/>
      <c r="AI652" s="9"/>
      <c r="AJ652" s="11"/>
      <c r="AK652" s="9"/>
      <c r="AL652" s="13"/>
      <c r="AM652" s="9"/>
    </row>
    <row r="653" spans="1:39" x14ac:dyDescent="0.3">
      <c r="A653" s="2" t="str">
        <f t="shared" si="698"/>
        <v>NÃO</v>
      </c>
      <c r="B653" s="2" t="str">
        <f>_xlfn.XLOOKUP($N653,'Base de Grupos'!$A:$A,'Base de Grupos'!$D:$D)</f>
        <v>1000065763</v>
      </c>
      <c r="C653" s="5" t="str">
        <f>_xlfn.XLOOKUP($N653,'Base de Grupos'!$A:$A,'Base de Grupos'!$E:$E)</f>
        <v>CANAL VENDA INTERNA</v>
      </c>
      <c r="D653" s="5" t="str">
        <f>_xlfn.XLOOKUP($N653,'Base de Grupos'!$A:$A,'Base de Grupos'!$F:$F)</f>
        <v>1000065763</v>
      </c>
      <c r="E653" s="2" t="str">
        <f>_xlfn.XLOOKUP($N653,'Base de Grupos'!$A:$A,'Base de Grupos'!$G:$G)</f>
        <v>CANAL VENDA INTERNA</v>
      </c>
      <c r="F653" s="2" t="str">
        <f>_xlfn.XLOOKUP($N653,'Base de Grupos'!$A:$A,'Base de Grupos'!$H:$H)</f>
        <v>1000105900</v>
      </c>
      <c r="G653" s="5" t="str">
        <f>_xlfn.XLOOKUP($N653,'Base de Grupos'!$A:$A,'Base de Grupos'!$I:$I)</f>
        <v>REGIONAL VENDA DIRETA CO + NE + NO</v>
      </c>
      <c r="H653" s="5" t="str">
        <f>_xlfn.XLOOKUP($N653,'Base de Grupos'!$A:$A,'Base de Grupos'!$J:$J)</f>
        <v>1000105900</v>
      </c>
      <c r="I653" s="2" t="str">
        <f>_xlfn.XLOOKUP($N653,'Base de Grupos'!$A:$A,'Base de Grupos'!$K:$K)</f>
        <v>REGIONAL VENDA DIRETA CO + NE + NO</v>
      </c>
      <c r="J653" s="2" t="str">
        <f>_xlfn.XLOOKUP($N653,'Base de Grupos'!$A:$A,'Base de Grupos'!$L:$L)</f>
        <v>1000150135</v>
      </c>
      <c r="K653" s="5" t="str">
        <f>_xlfn.XLOOKUP($N653,'Base de Grupos'!$A:$A,'Base de Grupos'!$M:$M)</f>
        <v>HELDER DA SILVA BRUNKOW</v>
      </c>
      <c r="L653" s="5" t="str">
        <f t="shared" si="699"/>
        <v/>
      </c>
      <c r="M653" s="5" t="str">
        <f>_xlfn.XLOOKUP($N653,'Base de Grupos'!$A:$A,'Base de Grupos'!$C:$C)</f>
        <v>AL</v>
      </c>
      <c r="N653" s="3">
        <v>1442</v>
      </c>
      <c r="O653" s="4" t="s">
        <v>260</v>
      </c>
      <c r="P653" s="5" t="s">
        <v>82</v>
      </c>
      <c r="Q653" s="56">
        <v>0</v>
      </c>
      <c r="R653" s="56">
        <v>0</v>
      </c>
      <c r="S653" s="56">
        <v>0</v>
      </c>
      <c r="T653" s="56">
        <f>_xlfn.XLOOKUP($N653,'Calculo Leads'!$A$97:$A$134,'Calculo Leads'!G$97:G$134)*_xlfn.XLOOKUP($P653,'Base Grupo de Produtos'!$E$2:$E$18,'Base Grupo de Produtos'!$F$2:$F$18)</f>
        <v>50</v>
      </c>
      <c r="U653" s="56">
        <f>_xlfn.XLOOKUP($N653,'Calculo Leads'!$A$97:$A$134,'Calculo Leads'!H$97:H$134)*_xlfn.XLOOKUP($P653,'Base Grupo de Produtos'!$E$2:$E$18,'Base Grupo de Produtos'!$F$2:$F$18)</f>
        <v>50</v>
      </c>
      <c r="V653" s="56">
        <f>_xlfn.XLOOKUP($N653,'Calculo Leads'!$A$97:$A$134,'Calculo Leads'!I$97:I$134)*_xlfn.XLOOKUP($P653,'Base Grupo de Produtos'!$E$2:$E$18,'Base Grupo de Produtos'!$F$2:$F$18)</f>
        <v>100</v>
      </c>
      <c r="W653" s="56">
        <f>_xlfn.XLOOKUP($N653,'Calculo Leads'!$A$97:$A$134,'Calculo Leads'!J$97:J$134)*_xlfn.XLOOKUP($P653,'Base Grupo de Produtos'!$E$2:$E$18,'Base Grupo de Produtos'!$F$2:$F$18)</f>
        <v>100</v>
      </c>
      <c r="X653" s="56">
        <f>_xlfn.XLOOKUP($N653,'Calculo Leads'!$A$97:$A$134,'Calculo Leads'!K$97:K$134)*_xlfn.XLOOKUP($P653,'Base Grupo de Produtos'!$E$2:$E$18,'Base Grupo de Produtos'!$F$2:$F$18)</f>
        <v>110</v>
      </c>
      <c r="Y653" s="56">
        <f>_xlfn.XLOOKUP($N653,'Calculo Leads'!$A$97:$A$134,'Calculo Leads'!L$97:L$134)*_xlfn.XLOOKUP($P653,'Base Grupo de Produtos'!$E$2:$E$18,'Base Grupo de Produtos'!$F$2:$F$18)</f>
        <v>165</v>
      </c>
      <c r="Z653" s="56">
        <f>_xlfn.XLOOKUP($N653,'Calculo Leads'!$A$97:$A$134,'Calculo Leads'!M$97:M$134)*_xlfn.XLOOKUP($P653,'Base Grupo de Produtos'!$E$2:$E$18,'Base Grupo de Produtos'!$F$2:$F$18)</f>
        <v>165</v>
      </c>
      <c r="AA653" s="56">
        <f>_xlfn.XLOOKUP($N653,'Calculo Leads'!$A$97:$A$134,'Calculo Leads'!N$97:N$134)*_xlfn.XLOOKUP($P653,'Base Grupo de Produtos'!$E$2:$E$18,'Base Grupo de Produtos'!$F$2:$F$18)</f>
        <v>165</v>
      </c>
      <c r="AB653" s="56">
        <f>_xlfn.XLOOKUP($N653,'Calculo Leads'!$A$97:$A$134,'Calculo Leads'!O$97:O$134)*_xlfn.XLOOKUP($P653,'Base Grupo de Produtos'!$E$2:$E$18,'Base Grupo de Produtos'!$F$2:$F$18)</f>
        <v>110</v>
      </c>
      <c r="AC653" s="61">
        <f t="shared" si="697"/>
        <v>1015</v>
      </c>
      <c r="AD653" s="28"/>
      <c r="AE653" s="12"/>
      <c r="AF653" s="29"/>
      <c r="AG653" s="9"/>
      <c r="AH653" s="10"/>
      <c r="AI653" s="9"/>
      <c r="AJ653" s="11"/>
      <c r="AK653" s="9"/>
      <c r="AL653" s="13"/>
      <c r="AM653" s="9"/>
    </row>
    <row r="654" spans="1:39" x14ac:dyDescent="0.3">
      <c r="A654" s="2" t="str">
        <f t="shared" si="698"/>
        <v>NÃO</v>
      </c>
      <c r="B654" s="2" t="str">
        <f>_xlfn.XLOOKUP($N654,'Base de Grupos'!$A:$A,'Base de Grupos'!$D:$D)</f>
        <v>1000065763</v>
      </c>
      <c r="C654" s="5" t="str">
        <f>_xlfn.XLOOKUP($N654,'Base de Grupos'!$A:$A,'Base de Grupos'!$E:$E)</f>
        <v>CANAL VENDA INTERNA</v>
      </c>
      <c r="D654" s="5" t="str">
        <f>_xlfn.XLOOKUP($N654,'Base de Grupos'!$A:$A,'Base de Grupos'!$F:$F)</f>
        <v>1000065763</v>
      </c>
      <c r="E654" s="2" t="str">
        <f>_xlfn.XLOOKUP($N654,'Base de Grupos'!$A:$A,'Base de Grupos'!$G:$G)</f>
        <v>CANAL VENDA INTERNA</v>
      </c>
      <c r="F654" s="2" t="str">
        <f>_xlfn.XLOOKUP($N654,'Base de Grupos'!$A:$A,'Base de Grupos'!$H:$H)</f>
        <v>1000105900</v>
      </c>
      <c r="G654" s="5" t="str">
        <f>_xlfn.XLOOKUP($N654,'Base de Grupos'!$A:$A,'Base de Grupos'!$I:$I)</f>
        <v>REGIONAL VENDA DIRETA CO + NE + NO</v>
      </c>
      <c r="H654" s="5" t="str">
        <f>_xlfn.XLOOKUP($N654,'Base de Grupos'!$A:$A,'Base de Grupos'!$J:$J)</f>
        <v>1000105900</v>
      </c>
      <c r="I654" s="2" t="str">
        <f>_xlfn.XLOOKUP($N654,'Base de Grupos'!$A:$A,'Base de Grupos'!$K:$K)</f>
        <v>REGIONAL VENDA DIRETA CO + NE + NO</v>
      </c>
      <c r="J654" s="2" t="str">
        <f>_xlfn.XLOOKUP($N654,'Base de Grupos'!$A:$A,'Base de Grupos'!$L:$L)</f>
        <v>1000150135</v>
      </c>
      <c r="K654" s="5" t="str">
        <f>_xlfn.XLOOKUP($N654,'Base de Grupos'!$A:$A,'Base de Grupos'!$M:$M)</f>
        <v>HELDER DA SILVA BRUNKOW</v>
      </c>
      <c r="L654" s="5" t="str">
        <f t="shared" si="699"/>
        <v/>
      </c>
      <c r="M654" s="5" t="str">
        <f>_xlfn.XLOOKUP($N654,'Base de Grupos'!$A:$A,'Base de Grupos'!$C:$C)</f>
        <v>AL</v>
      </c>
      <c r="N654" s="3">
        <v>1442</v>
      </c>
      <c r="O654" s="4" t="s">
        <v>260</v>
      </c>
      <c r="P654" s="5" t="s">
        <v>84</v>
      </c>
      <c r="Q654" s="56">
        <v>0</v>
      </c>
      <c r="R654" s="56">
        <v>0</v>
      </c>
      <c r="S654" s="56">
        <v>0</v>
      </c>
      <c r="T654" s="56">
        <f>_xlfn.XLOOKUP($N654,'Calculo Leads'!$A$97:$A$134,'Calculo Leads'!G$97:G$134)*_xlfn.XLOOKUP($P654,'Base Grupo de Produtos'!$E$2:$E$18,'Base Grupo de Produtos'!$F$2:$F$18)</f>
        <v>80</v>
      </c>
      <c r="U654" s="56">
        <f>_xlfn.XLOOKUP($N654,'Calculo Leads'!$A$97:$A$134,'Calculo Leads'!H$97:H$134)*_xlfn.XLOOKUP($P654,'Base Grupo de Produtos'!$E$2:$E$18,'Base Grupo de Produtos'!$F$2:$F$18)</f>
        <v>80</v>
      </c>
      <c r="V654" s="56">
        <f>_xlfn.XLOOKUP($N654,'Calculo Leads'!$A$97:$A$134,'Calculo Leads'!I$97:I$134)*_xlfn.XLOOKUP($P654,'Base Grupo de Produtos'!$E$2:$E$18,'Base Grupo de Produtos'!$F$2:$F$18)</f>
        <v>160</v>
      </c>
      <c r="W654" s="56">
        <f>_xlfn.XLOOKUP($N654,'Calculo Leads'!$A$97:$A$134,'Calculo Leads'!J$97:J$134)*_xlfn.XLOOKUP($P654,'Base Grupo de Produtos'!$E$2:$E$18,'Base Grupo de Produtos'!$F$2:$F$18)</f>
        <v>160</v>
      </c>
      <c r="X654" s="56">
        <f>_xlfn.XLOOKUP($N654,'Calculo Leads'!$A$97:$A$134,'Calculo Leads'!K$97:K$134)*_xlfn.XLOOKUP($P654,'Base Grupo de Produtos'!$E$2:$E$18,'Base Grupo de Produtos'!$F$2:$F$18)</f>
        <v>176</v>
      </c>
      <c r="Y654" s="56">
        <f>_xlfn.XLOOKUP($N654,'Calculo Leads'!$A$97:$A$134,'Calculo Leads'!L$97:L$134)*_xlfn.XLOOKUP($P654,'Base Grupo de Produtos'!$E$2:$E$18,'Base Grupo de Produtos'!$F$2:$F$18)</f>
        <v>264</v>
      </c>
      <c r="Z654" s="56">
        <f>_xlfn.XLOOKUP($N654,'Calculo Leads'!$A$97:$A$134,'Calculo Leads'!M$97:M$134)*_xlfn.XLOOKUP($P654,'Base Grupo de Produtos'!$E$2:$E$18,'Base Grupo de Produtos'!$F$2:$F$18)</f>
        <v>264</v>
      </c>
      <c r="AA654" s="56">
        <f>_xlfn.XLOOKUP($N654,'Calculo Leads'!$A$97:$A$134,'Calculo Leads'!N$97:N$134)*_xlfn.XLOOKUP($P654,'Base Grupo de Produtos'!$E$2:$E$18,'Base Grupo de Produtos'!$F$2:$F$18)</f>
        <v>264</v>
      </c>
      <c r="AB654" s="56">
        <f>_xlfn.XLOOKUP($N654,'Calculo Leads'!$A$97:$A$134,'Calculo Leads'!O$97:O$134)*_xlfn.XLOOKUP($P654,'Base Grupo de Produtos'!$E$2:$E$18,'Base Grupo de Produtos'!$F$2:$F$18)</f>
        <v>176</v>
      </c>
      <c r="AC654" s="61">
        <f t="shared" si="697"/>
        <v>1624</v>
      </c>
      <c r="AD654" s="28"/>
      <c r="AE654" s="12"/>
      <c r="AF654" s="29"/>
      <c r="AG654" s="9"/>
      <c r="AH654" s="10"/>
      <c r="AI654" s="9"/>
      <c r="AJ654" s="11"/>
      <c r="AK654" s="9"/>
      <c r="AL654" s="13"/>
      <c r="AM654" s="9"/>
    </row>
    <row r="655" spans="1:39" x14ac:dyDescent="0.3">
      <c r="A655" s="2" t="str">
        <f t="shared" si="698"/>
        <v>NÃO</v>
      </c>
      <c r="B655" s="2" t="str">
        <f>_xlfn.XLOOKUP($N655,'Base de Grupos'!$A:$A,'Base de Grupos'!$D:$D)</f>
        <v>1000065763</v>
      </c>
      <c r="C655" s="5" t="str">
        <f>_xlfn.XLOOKUP($N655,'Base de Grupos'!$A:$A,'Base de Grupos'!$E:$E)</f>
        <v>CANAL VENDA INTERNA</v>
      </c>
      <c r="D655" s="5" t="str">
        <f>_xlfn.XLOOKUP($N655,'Base de Grupos'!$A:$A,'Base de Grupos'!$F:$F)</f>
        <v>1000065763</v>
      </c>
      <c r="E655" s="2" t="str">
        <f>_xlfn.XLOOKUP($N655,'Base de Grupos'!$A:$A,'Base de Grupos'!$G:$G)</f>
        <v>CANAL VENDA INTERNA</v>
      </c>
      <c r="F655" s="2" t="str">
        <f>_xlfn.XLOOKUP($N655,'Base de Grupos'!$A:$A,'Base de Grupos'!$H:$H)</f>
        <v>1000105900</v>
      </c>
      <c r="G655" s="5" t="str">
        <f>_xlfn.XLOOKUP($N655,'Base de Grupos'!$A:$A,'Base de Grupos'!$I:$I)</f>
        <v>REGIONAL VENDA DIRETA CO + NE + NO</v>
      </c>
      <c r="H655" s="5" t="str">
        <f>_xlfn.XLOOKUP($N655,'Base de Grupos'!$A:$A,'Base de Grupos'!$J:$J)</f>
        <v>1000105900</v>
      </c>
      <c r="I655" s="2" t="str">
        <f>_xlfn.XLOOKUP($N655,'Base de Grupos'!$A:$A,'Base de Grupos'!$K:$K)</f>
        <v>REGIONAL VENDA DIRETA CO + NE + NO</v>
      </c>
      <c r="J655" s="2" t="str">
        <f>_xlfn.XLOOKUP($N655,'Base de Grupos'!$A:$A,'Base de Grupos'!$L:$L)</f>
        <v>1000150135</v>
      </c>
      <c r="K655" s="5" t="str">
        <f>_xlfn.XLOOKUP($N655,'Base de Grupos'!$A:$A,'Base de Grupos'!$M:$M)</f>
        <v>HELDER DA SILVA BRUNKOW</v>
      </c>
      <c r="L655" s="5" t="str">
        <f t="shared" si="699"/>
        <v/>
      </c>
      <c r="M655" s="5" t="str">
        <f>_xlfn.XLOOKUP($N655,'Base de Grupos'!$A:$A,'Base de Grupos'!$C:$C)</f>
        <v>AL</v>
      </c>
      <c r="N655" s="3">
        <v>1442</v>
      </c>
      <c r="O655" s="4" t="s">
        <v>260</v>
      </c>
      <c r="P655" s="5" t="s">
        <v>83</v>
      </c>
      <c r="Q655" s="56">
        <v>0</v>
      </c>
      <c r="R655" s="56">
        <v>0</v>
      </c>
      <c r="S655" s="56">
        <v>0</v>
      </c>
      <c r="T655" s="56">
        <f>_xlfn.XLOOKUP($N655,'Calculo Leads'!$A$97:$A$134,'Calculo Leads'!G$97:G$134)*_xlfn.XLOOKUP($P655,'Base Grupo de Produtos'!$E$2:$E$18,'Base Grupo de Produtos'!$F$2:$F$18)</f>
        <v>100</v>
      </c>
      <c r="U655" s="56">
        <f>_xlfn.XLOOKUP($N655,'Calculo Leads'!$A$97:$A$134,'Calculo Leads'!H$97:H$134)*_xlfn.XLOOKUP($P655,'Base Grupo de Produtos'!$E$2:$E$18,'Base Grupo de Produtos'!$F$2:$F$18)</f>
        <v>100</v>
      </c>
      <c r="V655" s="56">
        <f>_xlfn.XLOOKUP($N655,'Calculo Leads'!$A$97:$A$134,'Calculo Leads'!I$97:I$134)*_xlfn.XLOOKUP($P655,'Base Grupo de Produtos'!$E$2:$E$18,'Base Grupo de Produtos'!$F$2:$F$18)</f>
        <v>200</v>
      </c>
      <c r="W655" s="56">
        <f>_xlfn.XLOOKUP($N655,'Calculo Leads'!$A$97:$A$134,'Calculo Leads'!J$97:J$134)*_xlfn.XLOOKUP($P655,'Base Grupo de Produtos'!$E$2:$E$18,'Base Grupo de Produtos'!$F$2:$F$18)</f>
        <v>200</v>
      </c>
      <c r="X655" s="56">
        <f>_xlfn.XLOOKUP($N655,'Calculo Leads'!$A$97:$A$134,'Calculo Leads'!K$97:K$134)*_xlfn.XLOOKUP($P655,'Base Grupo de Produtos'!$E$2:$E$18,'Base Grupo de Produtos'!$F$2:$F$18)</f>
        <v>220</v>
      </c>
      <c r="Y655" s="56">
        <f>_xlfn.XLOOKUP($N655,'Calculo Leads'!$A$97:$A$134,'Calculo Leads'!L$97:L$134)*_xlfn.XLOOKUP($P655,'Base Grupo de Produtos'!$E$2:$E$18,'Base Grupo de Produtos'!$F$2:$F$18)</f>
        <v>330</v>
      </c>
      <c r="Z655" s="56">
        <f>_xlfn.XLOOKUP($N655,'Calculo Leads'!$A$97:$A$134,'Calculo Leads'!M$97:M$134)*_xlfn.XLOOKUP($P655,'Base Grupo de Produtos'!$E$2:$E$18,'Base Grupo de Produtos'!$F$2:$F$18)</f>
        <v>330</v>
      </c>
      <c r="AA655" s="56">
        <f>_xlfn.XLOOKUP($N655,'Calculo Leads'!$A$97:$A$134,'Calculo Leads'!N$97:N$134)*_xlfn.XLOOKUP($P655,'Base Grupo de Produtos'!$E$2:$E$18,'Base Grupo de Produtos'!$F$2:$F$18)</f>
        <v>330</v>
      </c>
      <c r="AB655" s="56">
        <f>_xlfn.XLOOKUP($N655,'Calculo Leads'!$A$97:$A$134,'Calculo Leads'!O$97:O$134)*_xlfn.XLOOKUP($P655,'Base Grupo de Produtos'!$E$2:$E$18,'Base Grupo de Produtos'!$F$2:$F$18)</f>
        <v>220</v>
      </c>
      <c r="AC655" s="61">
        <f t="shared" si="697"/>
        <v>2030</v>
      </c>
      <c r="AD655" s="28"/>
      <c r="AE655" s="12"/>
      <c r="AF655" s="29"/>
      <c r="AG655" s="9"/>
      <c r="AH655" s="10"/>
      <c r="AI655" s="9"/>
      <c r="AJ655" s="11"/>
      <c r="AK655" s="9"/>
      <c r="AL655" s="13"/>
      <c r="AM655" s="9"/>
    </row>
    <row r="656" spans="1:39" x14ac:dyDescent="0.3">
      <c r="A656" s="2" t="str">
        <f t="shared" si="698"/>
        <v>NÃO</v>
      </c>
      <c r="B656" s="2" t="str">
        <f>_xlfn.XLOOKUP($N656,'Base de Grupos'!$A:$A,'Base de Grupos'!$D:$D)</f>
        <v>1000065763</v>
      </c>
      <c r="C656" s="5" t="str">
        <f>_xlfn.XLOOKUP($N656,'Base de Grupos'!$A:$A,'Base de Grupos'!$E:$E)</f>
        <v>CANAL VENDA INTERNA</v>
      </c>
      <c r="D656" s="5" t="str">
        <f>_xlfn.XLOOKUP($N656,'Base de Grupos'!$A:$A,'Base de Grupos'!$F:$F)</f>
        <v>1000065763</v>
      </c>
      <c r="E656" s="2" t="str">
        <f>_xlfn.XLOOKUP($N656,'Base de Grupos'!$A:$A,'Base de Grupos'!$G:$G)</f>
        <v>CANAL VENDA INTERNA</v>
      </c>
      <c r="F656" s="2" t="str">
        <f>_xlfn.XLOOKUP($N656,'Base de Grupos'!$A:$A,'Base de Grupos'!$H:$H)</f>
        <v>1000105900</v>
      </c>
      <c r="G656" s="5" t="str">
        <f>_xlfn.XLOOKUP($N656,'Base de Grupos'!$A:$A,'Base de Grupos'!$I:$I)</f>
        <v>REGIONAL VENDA DIRETA CO + NE + NO</v>
      </c>
      <c r="H656" s="5" t="str">
        <f>_xlfn.XLOOKUP($N656,'Base de Grupos'!$A:$A,'Base de Grupos'!$J:$J)</f>
        <v>1000105900</v>
      </c>
      <c r="I656" s="2" t="str">
        <f>_xlfn.XLOOKUP($N656,'Base de Grupos'!$A:$A,'Base de Grupos'!$K:$K)</f>
        <v>REGIONAL VENDA DIRETA CO + NE + NO</v>
      </c>
      <c r="J656" s="2" t="str">
        <f>_xlfn.XLOOKUP($N656,'Base de Grupos'!$A:$A,'Base de Grupos'!$L:$L)</f>
        <v>1000150135</v>
      </c>
      <c r="K656" s="5" t="str">
        <f>_xlfn.XLOOKUP($N656,'Base de Grupos'!$A:$A,'Base de Grupos'!$M:$M)</f>
        <v>HELDER DA SILVA BRUNKOW</v>
      </c>
      <c r="L656" s="5" t="str">
        <f t="shared" si="699"/>
        <v/>
      </c>
      <c r="M656" s="5" t="str">
        <f>_xlfn.XLOOKUP($N656,'Base de Grupos'!$A:$A,'Base de Grupos'!$C:$C)</f>
        <v>AL</v>
      </c>
      <c r="N656" s="3">
        <v>1442</v>
      </c>
      <c r="O656" s="4" t="s">
        <v>260</v>
      </c>
      <c r="P656" s="5" t="s">
        <v>87</v>
      </c>
      <c r="Q656" s="56">
        <v>0</v>
      </c>
      <c r="R656" s="56">
        <v>0</v>
      </c>
      <c r="S656" s="56">
        <v>0</v>
      </c>
      <c r="T656" s="56">
        <f>_xlfn.XLOOKUP($N656,'Calculo Leads'!$A$97:$A$134,'Calculo Leads'!G$97:G$134)*_xlfn.XLOOKUP($P656,'Base Grupo de Produtos'!$E$2:$E$18,'Base Grupo de Produtos'!$F$2:$F$18)</f>
        <v>19.999999999999996</v>
      </c>
      <c r="U656" s="56">
        <f>_xlfn.XLOOKUP($N656,'Calculo Leads'!$A$97:$A$134,'Calculo Leads'!H$97:H$134)*_xlfn.XLOOKUP($P656,'Base Grupo de Produtos'!$E$2:$E$18,'Base Grupo de Produtos'!$F$2:$F$18)</f>
        <v>19.999999999999996</v>
      </c>
      <c r="V656" s="56">
        <f>_xlfn.XLOOKUP($N656,'Calculo Leads'!$A$97:$A$134,'Calculo Leads'!I$97:I$134)*_xlfn.XLOOKUP($P656,'Base Grupo de Produtos'!$E$2:$E$18,'Base Grupo de Produtos'!$F$2:$F$18)</f>
        <v>39.999999999999993</v>
      </c>
      <c r="W656" s="56">
        <f>_xlfn.XLOOKUP($N656,'Calculo Leads'!$A$97:$A$134,'Calculo Leads'!J$97:J$134)*_xlfn.XLOOKUP($P656,'Base Grupo de Produtos'!$E$2:$E$18,'Base Grupo de Produtos'!$F$2:$F$18)</f>
        <v>39.999999999999993</v>
      </c>
      <c r="X656" s="56">
        <f>_xlfn.XLOOKUP($N656,'Calculo Leads'!$A$97:$A$134,'Calculo Leads'!K$97:K$134)*_xlfn.XLOOKUP($P656,'Base Grupo de Produtos'!$E$2:$E$18,'Base Grupo de Produtos'!$F$2:$F$18)</f>
        <v>43.999999999999993</v>
      </c>
      <c r="Y656" s="56">
        <f>_xlfn.XLOOKUP($N656,'Calculo Leads'!$A$97:$A$134,'Calculo Leads'!L$97:L$134)*_xlfn.XLOOKUP($P656,'Base Grupo de Produtos'!$E$2:$E$18,'Base Grupo de Produtos'!$F$2:$F$18)</f>
        <v>65.999999999999986</v>
      </c>
      <c r="Z656" s="56">
        <f>_xlfn.XLOOKUP($N656,'Calculo Leads'!$A$97:$A$134,'Calculo Leads'!M$97:M$134)*_xlfn.XLOOKUP($P656,'Base Grupo de Produtos'!$E$2:$E$18,'Base Grupo de Produtos'!$F$2:$F$18)</f>
        <v>65.999999999999986</v>
      </c>
      <c r="AA656" s="56">
        <f>_xlfn.XLOOKUP($N656,'Calculo Leads'!$A$97:$A$134,'Calculo Leads'!N$97:N$134)*_xlfn.XLOOKUP($P656,'Base Grupo de Produtos'!$E$2:$E$18,'Base Grupo de Produtos'!$F$2:$F$18)</f>
        <v>65.999999999999986</v>
      </c>
      <c r="AB656" s="56">
        <f>_xlfn.XLOOKUP($N656,'Calculo Leads'!$A$97:$A$134,'Calculo Leads'!O$97:O$134)*_xlfn.XLOOKUP($P656,'Base Grupo de Produtos'!$E$2:$E$18,'Base Grupo de Produtos'!$F$2:$F$18)</f>
        <v>43.999999999999993</v>
      </c>
      <c r="AC656" s="61">
        <f t="shared" si="697"/>
        <v>405.99999999999994</v>
      </c>
      <c r="AD656" s="28"/>
      <c r="AE656" s="12"/>
      <c r="AF656" s="29"/>
      <c r="AG656" s="9"/>
      <c r="AH656" s="10"/>
      <c r="AI656" s="9"/>
      <c r="AJ656" s="11"/>
      <c r="AK656" s="9"/>
      <c r="AL656" s="13"/>
      <c r="AM656" s="9"/>
    </row>
    <row r="657" spans="1:39" x14ac:dyDescent="0.3">
      <c r="A657" s="2" t="str">
        <f t="shared" si="698"/>
        <v>NÃO</v>
      </c>
      <c r="B657" s="2" t="str">
        <f>_xlfn.XLOOKUP($N657,'Base de Grupos'!$A:$A,'Base de Grupos'!$D:$D)</f>
        <v>1000065763</v>
      </c>
      <c r="C657" s="5" t="str">
        <f>_xlfn.XLOOKUP($N657,'Base de Grupos'!$A:$A,'Base de Grupos'!$E:$E)</f>
        <v>CANAL VENDA INTERNA</v>
      </c>
      <c r="D657" s="5" t="str">
        <f>_xlfn.XLOOKUP($N657,'Base de Grupos'!$A:$A,'Base de Grupos'!$F:$F)</f>
        <v>1000065763</v>
      </c>
      <c r="E657" s="2" t="str">
        <f>_xlfn.XLOOKUP($N657,'Base de Grupos'!$A:$A,'Base de Grupos'!$G:$G)</f>
        <v>CANAL VENDA INTERNA</v>
      </c>
      <c r="F657" s="2" t="str">
        <f>_xlfn.XLOOKUP($N657,'Base de Grupos'!$A:$A,'Base de Grupos'!$H:$H)</f>
        <v>1000105900</v>
      </c>
      <c r="G657" s="5" t="str">
        <f>_xlfn.XLOOKUP($N657,'Base de Grupos'!$A:$A,'Base de Grupos'!$I:$I)</f>
        <v>REGIONAL VENDA DIRETA CO + NE + NO</v>
      </c>
      <c r="H657" s="5" t="str">
        <f>_xlfn.XLOOKUP($N657,'Base de Grupos'!$A:$A,'Base de Grupos'!$J:$J)</f>
        <v>1000105900</v>
      </c>
      <c r="I657" s="2" t="str">
        <f>_xlfn.XLOOKUP($N657,'Base de Grupos'!$A:$A,'Base de Grupos'!$K:$K)</f>
        <v>REGIONAL VENDA DIRETA CO + NE + NO</v>
      </c>
      <c r="J657" s="2" t="str">
        <f>_xlfn.XLOOKUP($N657,'Base de Grupos'!$A:$A,'Base de Grupos'!$L:$L)</f>
        <v>1000150135</v>
      </c>
      <c r="K657" s="5" t="str">
        <f>_xlfn.XLOOKUP($N657,'Base de Grupos'!$A:$A,'Base de Grupos'!$M:$M)</f>
        <v>HELDER DA SILVA BRUNKOW</v>
      </c>
      <c r="L657" s="5" t="str">
        <f t="shared" si="699"/>
        <v/>
      </c>
      <c r="M657" s="5" t="str">
        <f>_xlfn.XLOOKUP($N657,'Base de Grupos'!$A:$A,'Base de Grupos'!$C:$C)</f>
        <v>AL</v>
      </c>
      <c r="N657" s="3">
        <v>1442</v>
      </c>
      <c r="O657" s="4" t="s">
        <v>260</v>
      </c>
      <c r="P657" s="5" t="s">
        <v>85</v>
      </c>
      <c r="Q657" s="56">
        <v>0</v>
      </c>
      <c r="R657" s="56">
        <v>0</v>
      </c>
      <c r="S657" s="56">
        <v>0</v>
      </c>
      <c r="T657" s="56">
        <f>_xlfn.XLOOKUP($N657,'Calculo Leads'!$A$97:$A$134,'Calculo Leads'!G$97:G$134)*_xlfn.XLOOKUP($P657,'Base Grupo de Produtos'!$E$2:$E$18,'Base Grupo de Produtos'!$F$2:$F$18)</f>
        <v>20</v>
      </c>
      <c r="U657" s="56">
        <f>_xlfn.XLOOKUP($N657,'Calculo Leads'!$A$97:$A$134,'Calculo Leads'!H$97:H$134)*_xlfn.XLOOKUP($P657,'Base Grupo de Produtos'!$E$2:$E$18,'Base Grupo de Produtos'!$F$2:$F$18)</f>
        <v>20</v>
      </c>
      <c r="V657" s="56">
        <f>_xlfn.XLOOKUP($N657,'Calculo Leads'!$A$97:$A$134,'Calculo Leads'!I$97:I$134)*_xlfn.XLOOKUP($P657,'Base Grupo de Produtos'!$E$2:$E$18,'Base Grupo de Produtos'!$F$2:$F$18)</f>
        <v>40</v>
      </c>
      <c r="W657" s="56">
        <f>_xlfn.XLOOKUP($N657,'Calculo Leads'!$A$97:$A$134,'Calculo Leads'!J$97:J$134)*_xlfn.XLOOKUP($P657,'Base Grupo de Produtos'!$E$2:$E$18,'Base Grupo de Produtos'!$F$2:$F$18)</f>
        <v>40</v>
      </c>
      <c r="X657" s="56">
        <f>_xlfn.XLOOKUP($N657,'Calculo Leads'!$A$97:$A$134,'Calculo Leads'!K$97:K$134)*_xlfn.XLOOKUP($P657,'Base Grupo de Produtos'!$E$2:$E$18,'Base Grupo de Produtos'!$F$2:$F$18)</f>
        <v>44</v>
      </c>
      <c r="Y657" s="56">
        <f>_xlfn.XLOOKUP($N657,'Calculo Leads'!$A$97:$A$134,'Calculo Leads'!L$97:L$134)*_xlfn.XLOOKUP($P657,'Base Grupo de Produtos'!$E$2:$E$18,'Base Grupo de Produtos'!$F$2:$F$18)</f>
        <v>66</v>
      </c>
      <c r="Z657" s="56">
        <f>_xlfn.XLOOKUP($N657,'Calculo Leads'!$A$97:$A$134,'Calculo Leads'!M$97:M$134)*_xlfn.XLOOKUP($P657,'Base Grupo de Produtos'!$E$2:$E$18,'Base Grupo de Produtos'!$F$2:$F$18)</f>
        <v>66</v>
      </c>
      <c r="AA657" s="56">
        <f>_xlfn.XLOOKUP($N657,'Calculo Leads'!$A$97:$A$134,'Calculo Leads'!N$97:N$134)*_xlfn.XLOOKUP($P657,'Base Grupo de Produtos'!$E$2:$E$18,'Base Grupo de Produtos'!$F$2:$F$18)</f>
        <v>66</v>
      </c>
      <c r="AB657" s="56">
        <f>_xlfn.XLOOKUP($N657,'Calculo Leads'!$A$97:$A$134,'Calculo Leads'!O$97:O$134)*_xlfn.XLOOKUP($P657,'Base Grupo de Produtos'!$E$2:$E$18,'Base Grupo de Produtos'!$F$2:$F$18)</f>
        <v>44</v>
      </c>
      <c r="AC657" s="61">
        <f t="shared" si="697"/>
        <v>406</v>
      </c>
      <c r="AD657" s="28"/>
      <c r="AE657" s="12"/>
      <c r="AF657" s="29"/>
      <c r="AG657" s="9"/>
      <c r="AH657" s="10"/>
      <c r="AI657" s="9"/>
      <c r="AJ657" s="11"/>
      <c r="AK657" s="9"/>
      <c r="AL657" s="13"/>
      <c r="AM657" s="9"/>
    </row>
    <row r="658" spans="1:39" x14ac:dyDescent="0.3">
      <c r="A658" s="2" t="str">
        <f t="shared" si="698"/>
        <v>NÃO</v>
      </c>
      <c r="B658" s="2" t="str">
        <f>_xlfn.XLOOKUP($N658,'Base de Grupos'!$A:$A,'Base de Grupos'!$D:$D)</f>
        <v>1000065763</v>
      </c>
      <c r="C658" s="5" t="str">
        <f>_xlfn.XLOOKUP($N658,'Base de Grupos'!$A:$A,'Base de Grupos'!$E:$E)</f>
        <v>CANAL VENDA INTERNA</v>
      </c>
      <c r="D658" s="5" t="str">
        <f>_xlfn.XLOOKUP($N658,'Base de Grupos'!$A:$A,'Base de Grupos'!$F:$F)</f>
        <v>1000065763</v>
      </c>
      <c r="E658" s="2" t="str">
        <f>_xlfn.XLOOKUP($N658,'Base de Grupos'!$A:$A,'Base de Grupos'!$G:$G)</f>
        <v>CANAL VENDA INTERNA</v>
      </c>
      <c r="F658" s="2" t="str">
        <f>_xlfn.XLOOKUP($N658,'Base de Grupos'!$A:$A,'Base de Grupos'!$H:$H)</f>
        <v>1000105900</v>
      </c>
      <c r="G658" s="5" t="str">
        <f>_xlfn.XLOOKUP($N658,'Base de Grupos'!$A:$A,'Base de Grupos'!$I:$I)</f>
        <v>REGIONAL VENDA DIRETA CO + NE + NO</v>
      </c>
      <c r="H658" s="5" t="str">
        <f>_xlfn.XLOOKUP($N658,'Base de Grupos'!$A:$A,'Base de Grupos'!$J:$J)</f>
        <v>1000105900</v>
      </c>
      <c r="I658" s="2" t="str">
        <f>_xlfn.XLOOKUP($N658,'Base de Grupos'!$A:$A,'Base de Grupos'!$K:$K)</f>
        <v>REGIONAL VENDA DIRETA CO + NE + NO</v>
      </c>
      <c r="J658" s="2" t="str">
        <f>_xlfn.XLOOKUP($N658,'Base de Grupos'!$A:$A,'Base de Grupos'!$L:$L)</f>
        <v>1000150135</v>
      </c>
      <c r="K658" s="5" t="str">
        <f>_xlfn.XLOOKUP($N658,'Base de Grupos'!$A:$A,'Base de Grupos'!$M:$M)</f>
        <v>HELDER DA SILVA BRUNKOW</v>
      </c>
      <c r="L658" s="5" t="str">
        <f t="shared" si="699"/>
        <v/>
      </c>
      <c r="M658" s="5" t="str">
        <f>_xlfn.XLOOKUP($N658,'Base de Grupos'!$A:$A,'Base de Grupos'!$C:$C)</f>
        <v>AL</v>
      </c>
      <c r="N658" s="3">
        <v>1442</v>
      </c>
      <c r="O658" s="4" t="s">
        <v>260</v>
      </c>
      <c r="P658" s="5" t="s">
        <v>92</v>
      </c>
      <c r="Q658" s="56">
        <v>0</v>
      </c>
      <c r="R658" s="56">
        <v>0</v>
      </c>
      <c r="S658" s="56">
        <v>0</v>
      </c>
      <c r="T658" s="56">
        <f>_xlfn.XLOOKUP($N658,'Calculo Leads'!$A$97:$A$134,'Calculo Leads'!G$97:G$134)*_xlfn.XLOOKUP($P658,'Base Grupo de Produtos'!$E$2:$E$18,'Base Grupo de Produtos'!$F$2:$F$18)</f>
        <v>20</v>
      </c>
      <c r="U658" s="56">
        <f>_xlfn.XLOOKUP($N658,'Calculo Leads'!$A$97:$A$134,'Calculo Leads'!H$97:H$134)*_xlfn.XLOOKUP($P658,'Base Grupo de Produtos'!$E$2:$E$18,'Base Grupo de Produtos'!$F$2:$F$18)</f>
        <v>20</v>
      </c>
      <c r="V658" s="56">
        <f>_xlfn.XLOOKUP($N658,'Calculo Leads'!$A$97:$A$134,'Calculo Leads'!I$97:I$134)*_xlfn.XLOOKUP($P658,'Base Grupo de Produtos'!$E$2:$E$18,'Base Grupo de Produtos'!$F$2:$F$18)</f>
        <v>40</v>
      </c>
      <c r="W658" s="56">
        <f>_xlfn.XLOOKUP($N658,'Calculo Leads'!$A$97:$A$134,'Calculo Leads'!J$97:J$134)*_xlfn.XLOOKUP($P658,'Base Grupo de Produtos'!$E$2:$E$18,'Base Grupo de Produtos'!$F$2:$F$18)</f>
        <v>40</v>
      </c>
      <c r="X658" s="56">
        <f>_xlfn.XLOOKUP($N658,'Calculo Leads'!$A$97:$A$134,'Calculo Leads'!K$97:K$134)*_xlfn.XLOOKUP($P658,'Base Grupo de Produtos'!$E$2:$E$18,'Base Grupo de Produtos'!$F$2:$F$18)</f>
        <v>44</v>
      </c>
      <c r="Y658" s="56">
        <f>_xlfn.XLOOKUP($N658,'Calculo Leads'!$A$97:$A$134,'Calculo Leads'!L$97:L$134)*_xlfn.XLOOKUP($P658,'Base Grupo de Produtos'!$E$2:$E$18,'Base Grupo de Produtos'!$F$2:$F$18)</f>
        <v>66</v>
      </c>
      <c r="Z658" s="56">
        <f>_xlfn.XLOOKUP($N658,'Calculo Leads'!$A$97:$A$134,'Calculo Leads'!M$97:M$134)*_xlfn.XLOOKUP($P658,'Base Grupo de Produtos'!$E$2:$E$18,'Base Grupo de Produtos'!$F$2:$F$18)</f>
        <v>66</v>
      </c>
      <c r="AA658" s="56">
        <f>_xlfn.XLOOKUP($N658,'Calculo Leads'!$A$97:$A$134,'Calculo Leads'!N$97:N$134)*_xlfn.XLOOKUP($P658,'Base Grupo de Produtos'!$E$2:$E$18,'Base Grupo de Produtos'!$F$2:$F$18)</f>
        <v>66</v>
      </c>
      <c r="AB658" s="56">
        <f>_xlfn.XLOOKUP($N658,'Calculo Leads'!$A$97:$A$134,'Calculo Leads'!O$97:O$134)*_xlfn.XLOOKUP($P658,'Base Grupo de Produtos'!$E$2:$E$18,'Base Grupo de Produtos'!$F$2:$F$18)</f>
        <v>44</v>
      </c>
      <c r="AC658" s="61">
        <f t="shared" si="697"/>
        <v>406</v>
      </c>
      <c r="AD658" s="28"/>
      <c r="AE658" s="12"/>
      <c r="AF658" s="29"/>
      <c r="AG658" s="9"/>
      <c r="AH658" s="10"/>
      <c r="AI658" s="9"/>
      <c r="AJ658" s="11"/>
      <c r="AK658" s="9"/>
      <c r="AL658" s="13"/>
      <c r="AM658" s="9"/>
    </row>
    <row r="659" spans="1:39" x14ac:dyDescent="0.3">
      <c r="A659" s="2" t="str">
        <f t="shared" si="698"/>
        <v>NÃO</v>
      </c>
      <c r="B659" s="2" t="str">
        <f>_xlfn.XLOOKUP($N659,'Base de Grupos'!$A:$A,'Base de Grupos'!$D:$D)</f>
        <v>1000065763</v>
      </c>
      <c r="C659" s="5" t="str">
        <f>_xlfn.XLOOKUP($N659,'Base de Grupos'!$A:$A,'Base de Grupos'!$E:$E)</f>
        <v>CANAL VENDA INTERNA</v>
      </c>
      <c r="D659" s="5" t="str">
        <f>_xlfn.XLOOKUP($N659,'Base de Grupos'!$A:$A,'Base de Grupos'!$F:$F)</f>
        <v>1000065763</v>
      </c>
      <c r="E659" s="2" t="str">
        <f>_xlfn.XLOOKUP($N659,'Base de Grupos'!$A:$A,'Base de Grupos'!$G:$G)</f>
        <v>CANAL VENDA INTERNA</v>
      </c>
      <c r="F659" s="2" t="str">
        <f>_xlfn.XLOOKUP($N659,'Base de Grupos'!$A:$A,'Base de Grupos'!$H:$H)</f>
        <v>1000105900</v>
      </c>
      <c r="G659" s="5" t="str">
        <f>_xlfn.XLOOKUP($N659,'Base de Grupos'!$A:$A,'Base de Grupos'!$I:$I)</f>
        <v>REGIONAL VENDA DIRETA CO + NE + NO</v>
      </c>
      <c r="H659" s="5" t="str">
        <f>_xlfn.XLOOKUP($N659,'Base de Grupos'!$A:$A,'Base de Grupos'!$J:$J)</f>
        <v>1000105900</v>
      </c>
      <c r="I659" s="2" t="str">
        <f>_xlfn.XLOOKUP($N659,'Base de Grupos'!$A:$A,'Base de Grupos'!$K:$K)</f>
        <v>REGIONAL VENDA DIRETA CO + NE + NO</v>
      </c>
      <c r="J659" s="2" t="str">
        <f>_xlfn.XLOOKUP($N659,'Base de Grupos'!$A:$A,'Base de Grupos'!$L:$L)</f>
        <v>1000150135</v>
      </c>
      <c r="K659" s="5" t="str">
        <f>_xlfn.XLOOKUP($N659,'Base de Grupos'!$A:$A,'Base de Grupos'!$M:$M)</f>
        <v>HELDER DA SILVA BRUNKOW</v>
      </c>
      <c r="L659" s="5" t="str">
        <f t="shared" si="699"/>
        <v/>
      </c>
      <c r="M659" s="5" t="str">
        <f>_xlfn.XLOOKUP($N659,'Base de Grupos'!$A:$A,'Base de Grupos'!$C:$C)</f>
        <v>AL</v>
      </c>
      <c r="N659" s="3">
        <v>1442</v>
      </c>
      <c r="O659" s="4" t="s">
        <v>260</v>
      </c>
      <c r="P659" s="5" t="s">
        <v>86</v>
      </c>
      <c r="Q659" s="56">
        <v>0</v>
      </c>
      <c r="R659" s="56">
        <v>0</v>
      </c>
      <c r="S659" s="56">
        <v>0</v>
      </c>
      <c r="T659" s="56">
        <f>_xlfn.XLOOKUP($N659,'Calculo Leads'!$A$97:$A$134,'Calculo Leads'!G$97:G$134)*_xlfn.XLOOKUP($P659,'Base Grupo de Produtos'!$E$2:$E$18,'Base Grupo de Produtos'!$F$2:$F$18)</f>
        <v>30</v>
      </c>
      <c r="U659" s="56">
        <f>_xlfn.XLOOKUP($N659,'Calculo Leads'!$A$97:$A$134,'Calculo Leads'!H$97:H$134)*_xlfn.XLOOKUP($P659,'Base Grupo de Produtos'!$E$2:$E$18,'Base Grupo de Produtos'!$F$2:$F$18)</f>
        <v>30</v>
      </c>
      <c r="V659" s="56">
        <f>_xlfn.XLOOKUP($N659,'Calculo Leads'!$A$97:$A$134,'Calculo Leads'!I$97:I$134)*_xlfn.XLOOKUP($P659,'Base Grupo de Produtos'!$E$2:$E$18,'Base Grupo de Produtos'!$F$2:$F$18)</f>
        <v>60</v>
      </c>
      <c r="W659" s="56">
        <f>_xlfn.XLOOKUP($N659,'Calculo Leads'!$A$97:$A$134,'Calculo Leads'!J$97:J$134)*_xlfn.XLOOKUP($P659,'Base Grupo de Produtos'!$E$2:$E$18,'Base Grupo de Produtos'!$F$2:$F$18)</f>
        <v>60</v>
      </c>
      <c r="X659" s="56">
        <f>_xlfn.XLOOKUP($N659,'Calculo Leads'!$A$97:$A$134,'Calculo Leads'!K$97:K$134)*_xlfn.XLOOKUP($P659,'Base Grupo de Produtos'!$E$2:$E$18,'Base Grupo de Produtos'!$F$2:$F$18)</f>
        <v>66</v>
      </c>
      <c r="Y659" s="56">
        <f>_xlfn.XLOOKUP($N659,'Calculo Leads'!$A$97:$A$134,'Calculo Leads'!L$97:L$134)*_xlfn.XLOOKUP($P659,'Base Grupo de Produtos'!$E$2:$E$18,'Base Grupo de Produtos'!$F$2:$F$18)</f>
        <v>99</v>
      </c>
      <c r="Z659" s="56">
        <f>_xlfn.XLOOKUP($N659,'Calculo Leads'!$A$97:$A$134,'Calculo Leads'!M$97:M$134)*_xlfn.XLOOKUP($P659,'Base Grupo de Produtos'!$E$2:$E$18,'Base Grupo de Produtos'!$F$2:$F$18)</f>
        <v>99</v>
      </c>
      <c r="AA659" s="56">
        <f>_xlfn.XLOOKUP($N659,'Calculo Leads'!$A$97:$A$134,'Calculo Leads'!N$97:N$134)*_xlfn.XLOOKUP($P659,'Base Grupo de Produtos'!$E$2:$E$18,'Base Grupo de Produtos'!$F$2:$F$18)</f>
        <v>99</v>
      </c>
      <c r="AB659" s="56">
        <f>_xlfn.XLOOKUP($N659,'Calculo Leads'!$A$97:$A$134,'Calculo Leads'!O$97:O$134)*_xlfn.XLOOKUP($P659,'Base Grupo de Produtos'!$E$2:$E$18,'Base Grupo de Produtos'!$F$2:$F$18)</f>
        <v>66</v>
      </c>
      <c r="AC659" s="61">
        <f t="shared" si="697"/>
        <v>609</v>
      </c>
      <c r="AD659" s="28"/>
      <c r="AE659" s="12"/>
      <c r="AF659" s="29"/>
      <c r="AG659" s="9"/>
      <c r="AH659" s="10"/>
      <c r="AI659" s="9"/>
      <c r="AJ659" s="11"/>
      <c r="AK659" s="9"/>
      <c r="AL659" s="13"/>
      <c r="AM659" s="9"/>
    </row>
    <row r="660" spans="1:39" x14ac:dyDescent="0.3">
      <c r="A660" s="2" t="str">
        <f t="shared" si="698"/>
        <v>NÃO</v>
      </c>
      <c r="B660" s="2" t="str">
        <f>_xlfn.XLOOKUP($N660,'Base de Grupos'!$A:$A,'Base de Grupos'!$D:$D)</f>
        <v>1000065763</v>
      </c>
      <c r="C660" s="5" t="str">
        <f>_xlfn.XLOOKUP($N660,'Base de Grupos'!$A:$A,'Base de Grupos'!$E:$E)</f>
        <v>CANAL VENDA INTERNA</v>
      </c>
      <c r="D660" s="5" t="str">
        <f>_xlfn.XLOOKUP($N660,'Base de Grupos'!$A:$A,'Base de Grupos'!$F:$F)</f>
        <v>1000065763</v>
      </c>
      <c r="E660" s="2" t="str">
        <f>_xlfn.XLOOKUP($N660,'Base de Grupos'!$A:$A,'Base de Grupos'!$G:$G)</f>
        <v>CANAL VENDA INTERNA</v>
      </c>
      <c r="F660" s="2" t="str">
        <f>_xlfn.XLOOKUP($N660,'Base de Grupos'!$A:$A,'Base de Grupos'!$H:$H)</f>
        <v>1000105900</v>
      </c>
      <c r="G660" s="5" t="str">
        <f>_xlfn.XLOOKUP($N660,'Base de Grupos'!$A:$A,'Base de Grupos'!$I:$I)</f>
        <v>REGIONAL VENDA DIRETA CO + NE + NO</v>
      </c>
      <c r="H660" s="5" t="str">
        <f>_xlfn.XLOOKUP($N660,'Base de Grupos'!$A:$A,'Base de Grupos'!$J:$J)</f>
        <v>1000105900</v>
      </c>
      <c r="I660" s="2" t="str">
        <f>_xlfn.XLOOKUP($N660,'Base de Grupos'!$A:$A,'Base de Grupos'!$K:$K)</f>
        <v>REGIONAL VENDA DIRETA CO + NE + NO</v>
      </c>
      <c r="J660" s="2" t="str">
        <f>_xlfn.XLOOKUP($N660,'Base de Grupos'!$A:$A,'Base de Grupos'!$L:$L)</f>
        <v>1000150135</v>
      </c>
      <c r="K660" s="5" t="str">
        <f>_xlfn.XLOOKUP($N660,'Base de Grupos'!$A:$A,'Base de Grupos'!$M:$M)</f>
        <v>HELDER DA SILVA BRUNKOW</v>
      </c>
      <c r="L660" s="5" t="str">
        <f t="shared" si="699"/>
        <v/>
      </c>
      <c r="M660" s="5" t="str">
        <f>_xlfn.XLOOKUP($N660,'Base de Grupos'!$A:$A,'Base de Grupos'!$C:$C)</f>
        <v>AL</v>
      </c>
      <c r="N660" s="3">
        <v>1442</v>
      </c>
      <c r="O660" s="4" t="s">
        <v>260</v>
      </c>
      <c r="P660" s="5" t="s">
        <v>108</v>
      </c>
      <c r="Q660" s="56">
        <v>0</v>
      </c>
      <c r="R660" s="56">
        <v>0</v>
      </c>
      <c r="S660" s="56">
        <v>0</v>
      </c>
      <c r="T660" s="56">
        <f>_xlfn.XLOOKUP($N660,'Calculo Leads'!$A$97:$A$134,'Calculo Leads'!G$97:G$134)*_xlfn.XLOOKUP($P660,'Base Grupo de Produtos'!$E$2:$E$18,'Base Grupo de Produtos'!$F$2:$F$18)</f>
        <v>250</v>
      </c>
      <c r="U660" s="56">
        <f>_xlfn.XLOOKUP($N660,'Calculo Leads'!$A$97:$A$134,'Calculo Leads'!H$97:H$134)*_xlfn.XLOOKUP($P660,'Base Grupo de Produtos'!$E$2:$E$18,'Base Grupo de Produtos'!$F$2:$F$18)</f>
        <v>250</v>
      </c>
      <c r="V660" s="56">
        <f>_xlfn.XLOOKUP($N660,'Calculo Leads'!$A$97:$A$134,'Calculo Leads'!I$97:I$134)*_xlfn.XLOOKUP($P660,'Base Grupo de Produtos'!$E$2:$E$18,'Base Grupo de Produtos'!$F$2:$F$18)</f>
        <v>500</v>
      </c>
      <c r="W660" s="56">
        <f>_xlfn.XLOOKUP($N660,'Calculo Leads'!$A$97:$A$134,'Calculo Leads'!J$97:J$134)*_xlfn.XLOOKUP($P660,'Base Grupo de Produtos'!$E$2:$E$18,'Base Grupo de Produtos'!$F$2:$F$18)</f>
        <v>500</v>
      </c>
      <c r="X660" s="56">
        <f>_xlfn.XLOOKUP($N660,'Calculo Leads'!$A$97:$A$134,'Calculo Leads'!K$97:K$134)*_xlfn.XLOOKUP($P660,'Base Grupo de Produtos'!$E$2:$E$18,'Base Grupo de Produtos'!$F$2:$F$18)</f>
        <v>550</v>
      </c>
      <c r="Y660" s="56">
        <f>_xlfn.XLOOKUP($N660,'Calculo Leads'!$A$97:$A$134,'Calculo Leads'!L$97:L$134)*_xlfn.XLOOKUP($P660,'Base Grupo de Produtos'!$E$2:$E$18,'Base Grupo de Produtos'!$F$2:$F$18)</f>
        <v>825</v>
      </c>
      <c r="Z660" s="56">
        <f>_xlfn.XLOOKUP($N660,'Calculo Leads'!$A$97:$A$134,'Calculo Leads'!M$97:M$134)*_xlfn.XLOOKUP($P660,'Base Grupo de Produtos'!$E$2:$E$18,'Base Grupo de Produtos'!$F$2:$F$18)</f>
        <v>825</v>
      </c>
      <c r="AA660" s="56">
        <f>_xlfn.XLOOKUP($N660,'Calculo Leads'!$A$97:$A$134,'Calculo Leads'!N$97:N$134)*_xlfn.XLOOKUP($P660,'Base Grupo de Produtos'!$E$2:$E$18,'Base Grupo de Produtos'!$F$2:$F$18)</f>
        <v>825</v>
      </c>
      <c r="AB660" s="56">
        <f>_xlfn.XLOOKUP($N660,'Calculo Leads'!$A$97:$A$134,'Calculo Leads'!O$97:O$134)*_xlfn.XLOOKUP($P660,'Base Grupo de Produtos'!$E$2:$E$18,'Base Grupo de Produtos'!$F$2:$F$18)</f>
        <v>550</v>
      </c>
      <c r="AC660" s="61">
        <f t="shared" si="697"/>
        <v>5075</v>
      </c>
      <c r="AD660" s="28"/>
      <c r="AE660" s="12"/>
      <c r="AF660" s="29"/>
      <c r="AG660" s="9"/>
      <c r="AH660" s="10"/>
      <c r="AI660" s="9"/>
      <c r="AJ660" s="11"/>
      <c r="AK660" s="9"/>
      <c r="AL660" s="13"/>
      <c r="AM660" s="9"/>
    </row>
    <row r="661" spans="1:39" x14ac:dyDescent="0.3">
      <c r="A661" s="2" t="str">
        <f t="shared" si="698"/>
        <v>NÃO</v>
      </c>
      <c r="B661" s="2" t="str">
        <f>_xlfn.XLOOKUP($N661,'Base de Grupos'!$A:$A,'Base de Grupos'!$D:$D)</f>
        <v>1000065763</v>
      </c>
      <c r="C661" s="5" t="str">
        <f>_xlfn.XLOOKUP($N661,'Base de Grupos'!$A:$A,'Base de Grupos'!$E:$E)</f>
        <v>CANAL VENDA INTERNA</v>
      </c>
      <c r="D661" s="5" t="str">
        <f>_xlfn.XLOOKUP($N661,'Base de Grupos'!$A:$A,'Base de Grupos'!$F:$F)</f>
        <v>1000065763</v>
      </c>
      <c r="E661" s="2" t="str">
        <f>_xlfn.XLOOKUP($N661,'Base de Grupos'!$A:$A,'Base de Grupos'!$G:$G)</f>
        <v>CANAL VENDA INTERNA</v>
      </c>
      <c r="F661" s="2" t="str">
        <f>_xlfn.XLOOKUP($N661,'Base de Grupos'!$A:$A,'Base de Grupos'!$H:$H)</f>
        <v>1000105900</v>
      </c>
      <c r="G661" s="5" t="str">
        <f>_xlfn.XLOOKUP($N661,'Base de Grupos'!$A:$A,'Base de Grupos'!$I:$I)</f>
        <v>REGIONAL VENDA DIRETA CO + NE + NO</v>
      </c>
      <c r="H661" s="5" t="str">
        <f>_xlfn.XLOOKUP($N661,'Base de Grupos'!$A:$A,'Base de Grupos'!$J:$J)</f>
        <v>1000105900</v>
      </c>
      <c r="I661" s="2" t="str">
        <f>_xlfn.XLOOKUP($N661,'Base de Grupos'!$A:$A,'Base de Grupos'!$K:$K)</f>
        <v>REGIONAL VENDA DIRETA CO + NE + NO</v>
      </c>
      <c r="J661" s="2" t="str">
        <f>_xlfn.XLOOKUP($N661,'Base de Grupos'!$A:$A,'Base de Grupos'!$L:$L)</f>
        <v>1000150135</v>
      </c>
      <c r="K661" s="5" t="str">
        <f>_xlfn.XLOOKUP($N661,'Base de Grupos'!$A:$A,'Base de Grupos'!$M:$M)</f>
        <v>HELDER DA SILVA BRUNKOW</v>
      </c>
      <c r="L661" s="5" t="str">
        <f t="shared" si="699"/>
        <v/>
      </c>
      <c r="M661" s="5" t="str">
        <f>_xlfn.XLOOKUP($N661,'Base de Grupos'!$A:$A,'Base de Grupos'!$C:$C)</f>
        <v>AL</v>
      </c>
      <c r="N661" s="3">
        <v>1442</v>
      </c>
      <c r="O661" s="4" t="s">
        <v>260</v>
      </c>
      <c r="P661" s="5" t="s">
        <v>89</v>
      </c>
      <c r="Q661" s="56">
        <v>0</v>
      </c>
      <c r="R661" s="56">
        <v>0</v>
      </c>
      <c r="S661" s="56">
        <v>0</v>
      </c>
      <c r="T661" s="56">
        <f>_xlfn.XLOOKUP($N661,'Calculo Leads'!$A$97:$A$134,'Calculo Leads'!G$97:G$134)*_xlfn.XLOOKUP($P661,'Base Grupo de Produtos'!$E$2:$E$18,'Base Grupo de Produtos'!$F$2:$F$18)</f>
        <v>50</v>
      </c>
      <c r="U661" s="56">
        <f>_xlfn.XLOOKUP($N661,'Calculo Leads'!$A$97:$A$134,'Calculo Leads'!H$97:H$134)*_xlfn.XLOOKUP($P661,'Base Grupo de Produtos'!$E$2:$E$18,'Base Grupo de Produtos'!$F$2:$F$18)</f>
        <v>50</v>
      </c>
      <c r="V661" s="56">
        <f>_xlfn.XLOOKUP($N661,'Calculo Leads'!$A$97:$A$134,'Calculo Leads'!I$97:I$134)*_xlfn.XLOOKUP($P661,'Base Grupo de Produtos'!$E$2:$E$18,'Base Grupo de Produtos'!$F$2:$F$18)</f>
        <v>100</v>
      </c>
      <c r="W661" s="56">
        <f>_xlfn.XLOOKUP($N661,'Calculo Leads'!$A$97:$A$134,'Calculo Leads'!J$97:J$134)*_xlfn.XLOOKUP($P661,'Base Grupo de Produtos'!$E$2:$E$18,'Base Grupo de Produtos'!$F$2:$F$18)</f>
        <v>100</v>
      </c>
      <c r="X661" s="56">
        <f>_xlfn.XLOOKUP($N661,'Calculo Leads'!$A$97:$A$134,'Calculo Leads'!K$97:K$134)*_xlfn.XLOOKUP($P661,'Base Grupo de Produtos'!$E$2:$E$18,'Base Grupo de Produtos'!$F$2:$F$18)</f>
        <v>110</v>
      </c>
      <c r="Y661" s="56">
        <f>_xlfn.XLOOKUP($N661,'Calculo Leads'!$A$97:$A$134,'Calculo Leads'!L$97:L$134)*_xlfn.XLOOKUP($P661,'Base Grupo de Produtos'!$E$2:$E$18,'Base Grupo de Produtos'!$F$2:$F$18)</f>
        <v>165</v>
      </c>
      <c r="Z661" s="56">
        <f>_xlfn.XLOOKUP($N661,'Calculo Leads'!$A$97:$A$134,'Calculo Leads'!M$97:M$134)*_xlfn.XLOOKUP($P661,'Base Grupo de Produtos'!$E$2:$E$18,'Base Grupo de Produtos'!$F$2:$F$18)</f>
        <v>165</v>
      </c>
      <c r="AA661" s="56">
        <f>_xlfn.XLOOKUP($N661,'Calculo Leads'!$A$97:$A$134,'Calculo Leads'!N$97:N$134)*_xlfn.XLOOKUP($P661,'Base Grupo de Produtos'!$E$2:$E$18,'Base Grupo de Produtos'!$F$2:$F$18)</f>
        <v>165</v>
      </c>
      <c r="AB661" s="56">
        <f>_xlfn.XLOOKUP($N661,'Calculo Leads'!$A$97:$A$134,'Calculo Leads'!O$97:O$134)*_xlfn.XLOOKUP($P661,'Base Grupo de Produtos'!$E$2:$E$18,'Base Grupo de Produtos'!$F$2:$F$18)</f>
        <v>110</v>
      </c>
      <c r="AC661" s="61">
        <f t="shared" si="697"/>
        <v>1015</v>
      </c>
      <c r="AD661" s="28"/>
      <c r="AE661" s="12"/>
      <c r="AF661" s="29"/>
      <c r="AG661" s="9"/>
      <c r="AH661" s="10"/>
      <c r="AI661" s="9"/>
      <c r="AJ661" s="11"/>
      <c r="AK661" s="9"/>
      <c r="AL661" s="13"/>
      <c r="AM661" s="9"/>
    </row>
    <row r="662" spans="1:39" x14ac:dyDescent="0.3">
      <c r="A662" s="2" t="str">
        <f t="shared" si="698"/>
        <v>NÃO</v>
      </c>
      <c r="B662" s="2" t="str">
        <f>_xlfn.XLOOKUP($N662,'Base de Grupos'!$A:$A,'Base de Grupos'!$D:$D)</f>
        <v>1000065763</v>
      </c>
      <c r="C662" s="5" t="str">
        <f>_xlfn.XLOOKUP($N662,'Base de Grupos'!$A:$A,'Base de Grupos'!$E:$E)</f>
        <v>CANAL VENDA INTERNA</v>
      </c>
      <c r="D662" s="5" t="str">
        <f>_xlfn.XLOOKUP($N662,'Base de Grupos'!$A:$A,'Base de Grupos'!$F:$F)</f>
        <v>1000065763</v>
      </c>
      <c r="E662" s="2" t="str">
        <f>_xlfn.XLOOKUP($N662,'Base de Grupos'!$A:$A,'Base de Grupos'!$G:$G)</f>
        <v>CANAL VENDA INTERNA</v>
      </c>
      <c r="F662" s="2" t="str">
        <f>_xlfn.XLOOKUP($N662,'Base de Grupos'!$A:$A,'Base de Grupos'!$H:$H)</f>
        <v>1000105900</v>
      </c>
      <c r="G662" s="5" t="str">
        <f>_xlfn.XLOOKUP($N662,'Base de Grupos'!$A:$A,'Base de Grupos'!$I:$I)</f>
        <v>REGIONAL VENDA DIRETA CO + NE + NO</v>
      </c>
      <c r="H662" s="5" t="str">
        <f>_xlfn.XLOOKUP($N662,'Base de Grupos'!$A:$A,'Base de Grupos'!$J:$J)</f>
        <v>1000105900</v>
      </c>
      <c r="I662" s="2" t="str">
        <f>_xlfn.XLOOKUP($N662,'Base de Grupos'!$A:$A,'Base de Grupos'!$K:$K)</f>
        <v>REGIONAL VENDA DIRETA CO + NE + NO</v>
      </c>
      <c r="J662" s="2" t="str">
        <f>_xlfn.XLOOKUP($N662,'Base de Grupos'!$A:$A,'Base de Grupos'!$L:$L)</f>
        <v>1000150135</v>
      </c>
      <c r="K662" s="5" t="str">
        <f>_xlfn.XLOOKUP($N662,'Base de Grupos'!$A:$A,'Base de Grupos'!$M:$M)</f>
        <v>HELDER DA SILVA BRUNKOW</v>
      </c>
      <c r="L662" s="5" t="str">
        <f t="shared" si="699"/>
        <v/>
      </c>
      <c r="M662" s="5" t="str">
        <f>_xlfn.XLOOKUP($N662,'Base de Grupos'!$A:$A,'Base de Grupos'!$C:$C)</f>
        <v>AL</v>
      </c>
      <c r="N662" s="3">
        <v>1442</v>
      </c>
      <c r="O662" s="4" t="s">
        <v>260</v>
      </c>
      <c r="P662" s="5" t="s">
        <v>88</v>
      </c>
      <c r="Q662" s="56">
        <v>0</v>
      </c>
      <c r="R662" s="56">
        <v>0</v>
      </c>
      <c r="S662" s="56">
        <v>0</v>
      </c>
      <c r="T662" s="56">
        <f>_xlfn.XLOOKUP($N662,'Calculo Leads'!$A$97:$A$134,'Calculo Leads'!G$97:G$134)*_xlfn.XLOOKUP($P662,'Base Grupo de Produtos'!$E$2:$E$18,'Base Grupo de Produtos'!$F$2:$F$18)</f>
        <v>50</v>
      </c>
      <c r="U662" s="56">
        <f>_xlfn.XLOOKUP($N662,'Calculo Leads'!$A$97:$A$134,'Calculo Leads'!H$97:H$134)*_xlfn.XLOOKUP($P662,'Base Grupo de Produtos'!$E$2:$E$18,'Base Grupo de Produtos'!$F$2:$F$18)</f>
        <v>50</v>
      </c>
      <c r="V662" s="56">
        <f>_xlfn.XLOOKUP($N662,'Calculo Leads'!$A$97:$A$134,'Calculo Leads'!I$97:I$134)*_xlfn.XLOOKUP($P662,'Base Grupo de Produtos'!$E$2:$E$18,'Base Grupo de Produtos'!$F$2:$F$18)</f>
        <v>100</v>
      </c>
      <c r="W662" s="56">
        <f>_xlfn.XLOOKUP($N662,'Calculo Leads'!$A$97:$A$134,'Calculo Leads'!J$97:J$134)*_xlfn.XLOOKUP($P662,'Base Grupo de Produtos'!$E$2:$E$18,'Base Grupo de Produtos'!$F$2:$F$18)</f>
        <v>100</v>
      </c>
      <c r="X662" s="56">
        <f>_xlfn.XLOOKUP($N662,'Calculo Leads'!$A$97:$A$134,'Calculo Leads'!K$97:K$134)*_xlfn.XLOOKUP($P662,'Base Grupo de Produtos'!$E$2:$E$18,'Base Grupo de Produtos'!$F$2:$F$18)</f>
        <v>110</v>
      </c>
      <c r="Y662" s="56">
        <f>_xlfn.XLOOKUP($N662,'Calculo Leads'!$A$97:$A$134,'Calculo Leads'!L$97:L$134)*_xlfn.XLOOKUP($P662,'Base Grupo de Produtos'!$E$2:$E$18,'Base Grupo de Produtos'!$F$2:$F$18)</f>
        <v>165</v>
      </c>
      <c r="Z662" s="56">
        <f>_xlfn.XLOOKUP($N662,'Calculo Leads'!$A$97:$A$134,'Calculo Leads'!M$97:M$134)*_xlfn.XLOOKUP($P662,'Base Grupo de Produtos'!$E$2:$E$18,'Base Grupo de Produtos'!$F$2:$F$18)</f>
        <v>165</v>
      </c>
      <c r="AA662" s="56">
        <f>_xlfn.XLOOKUP($N662,'Calculo Leads'!$A$97:$A$134,'Calculo Leads'!N$97:N$134)*_xlfn.XLOOKUP($P662,'Base Grupo de Produtos'!$E$2:$E$18,'Base Grupo de Produtos'!$F$2:$F$18)</f>
        <v>165</v>
      </c>
      <c r="AB662" s="56">
        <f>_xlfn.XLOOKUP($N662,'Calculo Leads'!$A$97:$A$134,'Calculo Leads'!O$97:O$134)*_xlfn.XLOOKUP($P662,'Base Grupo de Produtos'!$E$2:$E$18,'Base Grupo de Produtos'!$F$2:$F$18)</f>
        <v>110</v>
      </c>
      <c r="AC662" s="61">
        <f t="shared" si="697"/>
        <v>1015</v>
      </c>
      <c r="AD662" s="28"/>
      <c r="AE662" s="12"/>
      <c r="AF662" s="29"/>
      <c r="AG662" s="9"/>
      <c r="AH662" s="10"/>
      <c r="AI662" s="9"/>
      <c r="AJ662" s="11"/>
      <c r="AK662" s="9"/>
      <c r="AL662" s="13"/>
      <c r="AM662" s="9"/>
    </row>
    <row r="663" spans="1:39" x14ac:dyDescent="0.3">
      <c r="A663" s="2" t="str">
        <f t="shared" si="698"/>
        <v>NÃO</v>
      </c>
      <c r="B663" s="2" t="str">
        <f>_xlfn.XLOOKUP($N663,'Base de Grupos'!$A:$A,'Base de Grupos'!$D:$D)</f>
        <v>1000065763</v>
      </c>
      <c r="C663" s="5" t="str">
        <f>_xlfn.XLOOKUP($N663,'Base de Grupos'!$A:$A,'Base de Grupos'!$E:$E)</f>
        <v>CANAL VENDA INTERNA</v>
      </c>
      <c r="D663" s="5" t="str">
        <f>_xlfn.XLOOKUP($N663,'Base de Grupos'!$A:$A,'Base de Grupos'!$F:$F)</f>
        <v>1000065763</v>
      </c>
      <c r="E663" s="2" t="str">
        <f>_xlfn.XLOOKUP($N663,'Base de Grupos'!$A:$A,'Base de Grupos'!$G:$G)</f>
        <v>CANAL VENDA INTERNA</v>
      </c>
      <c r="F663" s="2" t="str">
        <f>_xlfn.XLOOKUP($N663,'Base de Grupos'!$A:$A,'Base de Grupos'!$H:$H)</f>
        <v>1000105900</v>
      </c>
      <c r="G663" s="5" t="str">
        <f>_xlfn.XLOOKUP($N663,'Base de Grupos'!$A:$A,'Base de Grupos'!$I:$I)</f>
        <v>REGIONAL VENDA DIRETA CO + NE + NO</v>
      </c>
      <c r="H663" s="5" t="str">
        <f>_xlfn.XLOOKUP($N663,'Base de Grupos'!$A:$A,'Base de Grupos'!$J:$J)</f>
        <v>1000105900</v>
      </c>
      <c r="I663" s="2" t="str">
        <f>_xlfn.XLOOKUP($N663,'Base de Grupos'!$A:$A,'Base de Grupos'!$K:$K)</f>
        <v>REGIONAL VENDA DIRETA CO + NE + NO</v>
      </c>
      <c r="J663" s="2" t="str">
        <f>_xlfn.XLOOKUP($N663,'Base de Grupos'!$A:$A,'Base de Grupos'!$L:$L)</f>
        <v>1000150135</v>
      </c>
      <c r="K663" s="5" t="str">
        <f>_xlfn.XLOOKUP($N663,'Base de Grupos'!$A:$A,'Base de Grupos'!$M:$M)</f>
        <v>HELDER DA SILVA BRUNKOW</v>
      </c>
      <c r="L663" s="5" t="str">
        <f t="shared" si="699"/>
        <v/>
      </c>
      <c r="M663" s="5" t="str">
        <f>_xlfn.XLOOKUP($N663,'Base de Grupos'!$A:$A,'Base de Grupos'!$C:$C)</f>
        <v>AL</v>
      </c>
      <c r="N663" s="3">
        <v>1442</v>
      </c>
      <c r="O663" s="4" t="s">
        <v>260</v>
      </c>
      <c r="P663" s="5" t="s">
        <v>90</v>
      </c>
      <c r="Q663" s="56">
        <v>0</v>
      </c>
      <c r="R663" s="56">
        <v>0</v>
      </c>
      <c r="S663" s="56">
        <v>0</v>
      </c>
      <c r="T663" s="56">
        <f>_xlfn.XLOOKUP($N663,'Calculo Leads'!$A$97:$A$134,'Calculo Leads'!G$97:G$134)*_xlfn.XLOOKUP($P663,'Base Grupo de Produtos'!$E$2:$E$18,'Base Grupo de Produtos'!$F$2:$F$18)</f>
        <v>50</v>
      </c>
      <c r="U663" s="56">
        <f>_xlfn.XLOOKUP($N663,'Calculo Leads'!$A$97:$A$134,'Calculo Leads'!H$97:H$134)*_xlfn.XLOOKUP($P663,'Base Grupo de Produtos'!$E$2:$E$18,'Base Grupo de Produtos'!$F$2:$F$18)</f>
        <v>50</v>
      </c>
      <c r="V663" s="56">
        <f>_xlfn.XLOOKUP($N663,'Calculo Leads'!$A$97:$A$134,'Calculo Leads'!I$97:I$134)*_xlfn.XLOOKUP($P663,'Base Grupo de Produtos'!$E$2:$E$18,'Base Grupo de Produtos'!$F$2:$F$18)</f>
        <v>100</v>
      </c>
      <c r="W663" s="56">
        <f>_xlfn.XLOOKUP($N663,'Calculo Leads'!$A$97:$A$134,'Calculo Leads'!J$97:J$134)*_xlfn.XLOOKUP($P663,'Base Grupo de Produtos'!$E$2:$E$18,'Base Grupo de Produtos'!$F$2:$F$18)</f>
        <v>100</v>
      </c>
      <c r="X663" s="56">
        <f>_xlfn.XLOOKUP($N663,'Calculo Leads'!$A$97:$A$134,'Calculo Leads'!K$97:K$134)*_xlfn.XLOOKUP($P663,'Base Grupo de Produtos'!$E$2:$E$18,'Base Grupo de Produtos'!$F$2:$F$18)</f>
        <v>110</v>
      </c>
      <c r="Y663" s="56">
        <f>_xlfn.XLOOKUP($N663,'Calculo Leads'!$A$97:$A$134,'Calculo Leads'!L$97:L$134)*_xlfn.XLOOKUP($P663,'Base Grupo de Produtos'!$E$2:$E$18,'Base Grupo de Produtos'!$F$2:$F$18)</f>
        <v>165</v>
      </c>
      <c r="Z663" s="56">
        <f>_xlfn.XLOOKUP($N663,'Calculo Leads'!$A$97:$A$134,'Calculo Leads'!M$97:M$134)*_xlfn.XLOOKUP($P663,'Base Grupo de Produtos'!$E$2:$E$18,'Base Grupo de Produtos'!$F$2:$F$18)</f>
        <v>165</v>
      </c>
      <c r="AA663" s="56">
        <f>_xlfn.XLOOKUP($N663,'Calculo Leads'!$A$97:$A$134,'Calculo Leads'!N$97:N$134)*_xlfn.XLOOKUP($P663,'Base Grupo de Produtos'!$E$2:$E$18,'Base Grupo de Produtos'!$F$2:$F$18)</f>
        <v>165</v>
      </c>
      <c r="AB663" s="56">
        <f>_xlfn.XLOOKUP($N663,'Calculo Leads'!$A$97:$A$134,'Calculo Leads'!O$97:O$134)*_xlfn.XLOOKUP($P663,'Base Grupo de Produtos'!$E$2:$E$18,'Base Grupo de Produtos'!$F$2:$F$18)</f>
        <v>110</v>
      </c>
      <c r="AC663" s="61">
        <f t="shared" si="697"/>
        <v>1015</v>
      </c>
      <c r="AD663" s="28"/>
      <c r="AE663" s="12"/>
      <c r="AF663" s="29"/>
      <c r="AG663" s="9"/>
      <c r="AH663" s="10"/>
      <c r="AI663" s="9"/>
      <c r="AJ663" s="11"/>
      <c r="AK663" s="9"/>
      <c r="AL663" s="13"/>
      <c r="AM663" s="9"/>
    </row>
    <row r="664" spans="1:39" x14ac:dyDescent="0.3">
      <c r="A664" s="2" t="str">
        <f t="shared" si="698"/>
        <v>NÃO</v>
      </c>
      <c r="B664" s="2" t="str">
        <f>_xlfn.XLOOKUP($N664,'Base de Grupos'!$A:$A,'Base de Grupos'!$D:$D)</f>
        <v>1000065763</v>
      </c>
      <c r="C664" s="5" t="str">
        <f>_xlfn.XLOOKUP($N664,'Base de Grupos'!$A:$A,'Base de Grupos'!$E:$E)</f>
        <v>CANAL VENDA INTERNA</v>
      </c>
      <c r="D664" s="5" t="str">
        <f>_xlfn.XLOOKUP($N664,'Base de Grupos'!$A:$A,'Base de Grupos'!$F:$F)</f>
        <v>1000065763</v>
      </c>
      <c r="E664" s="2" t="str">
        <f>_xlfn.XLOOKUP($N664,'Base de Grupos'!$A:$A,'Base de Grupos'!$G:$G)</f>
        <v>CANAL VENDA INTERNA</v>
      </c>
      <c r="F664" s="2" t="str">
        <f>_xlfn.XLOOKUP($N664,'Base de Grupos'!$A:$A,'Base de Grupos'!$H:$H)</f>
        <v>1000105900</v>
      </c>
      <c r="G664" s="5" t="str">
        <f>_xlfn.XLOOKUP($N664,'Base de Grupos'!$A:$A,'Base de Grupos'!$I:$I)</f>
        <v>REGIONAL VENDA DIRETA CO + NE + NO</v>
      </c>
      <c r="H664" s="5" t="str">
        <f>_xlfn.XLOOKUP($N664,'Base de Grupos'!$A:$A,'Base de Grupos'!$J:$J)</f>
        <v>1000105900</v>
      </c>
      <c r="I664" s="2" t="str">
        <f>_xlfn.XLOOKUP($N664,'Base de Grupos'!$A:$A,'Base de Grupos'!$K:$K)</f>
        <v>REGIONAL VENDA DIRETA CO + NE + NO</v>
      </c>
      <c r="J664" s="2" t="str">
        <f>_xlfn.XLOOKUP($N664,'Base de Grupos'!$A:$A,'Base de Grupos'!$L:$L)</f>
        <v>1000150135</v>
      </c>
      <c r="K664" s="5" t="str">
        <f>_xlfn.XLOOKUP($N664,'Base de Grupos'!$A:$A,'Base de Grupos'!$M:$M)</f>
        <v>HELDER DA SILVA BRUNKOW</v>
      </c>
      <c r="L664" s="5" t="str">
        <f t="shared" si="699"/>
        <v/>
      </c>
      <c r="M664" s="5" t="str">
        <f>_xlfn.XLOOKUP($N664,'Base de Grupos'!$A:$A,'Base de Grupos'!$C:$C)</f>
        <v>AL</v>
      </c>
      <c r="N664" s="3">
        <v>1442</v>
      </c>
      <c r="O664" s="4" t="s">
        <v>260</v>
      </c>
      <c r="P664" s="5" t="s">
        <v>91</v>
      </c>
      <c r="Q664" s="56">
        <v>0</v>
      </c>
      <c r="R664" s="56">
        <v>0</v>
      </c>
      <c r="S664" s="56">
        <v>0</v>
      </c>
      <c r="T664" s="56">
        <f>_xlfn.XLOOKUP($N664,'Calculo Leads'!$A$97:$A$134,'Calculo Leads'!G$97:G$134)*_xlfn.XLOOKUP($P664,'Base Grupo de Produtos'!$E$2:$E$18,'Base Grupo de Produtos'!$F$2:$F$18)</f>
        <v>0</v>
      </c>
      <c r="U664" s="56">
        <f>_xlfn.XLOOKUP($N664,'Calculo Leads'!$A$97:$A$134,'Calculo Leads'!H$97:H$134)*_xlfn.XLOOKUP($P664,'Base Grupo de Produtos'!$E$2:$E$18,'Base Grupo de Produtos'!$F$2:$F$18)</f>
        <v>0</v>
      </c>
      <c r="V664" s="56">
        <f>_xlfn.XLOOKUP($N664,'Calculo Leads'!$A$97:$A$134,'Calculo Leads'!I$97:I$134)*_xlfn.XLOOKUP($P664,'Base Grupo de Produtos'!$E$2:$E$18,'Base Grupo de Produtos'!$F$2:$F$18)</f>
        <v>0</v>
      </c>
      <c r="W664" s="56">
        <f>_xlfn.XLOOKUP($N664,'Calculo Leads'!$A$97:$A$134,'Calculo Leads'!J$97:J$134)*_xlfn.XLOOKUP($P664,'Base Grupo de Produtos'!$E$2:$E$18,'Base Grupo de Produtos'!$F$2:$F$18)</f>
        <v>0</v>
      </c>
      <c r="X664" s="56">
        <f>_xlfn.XLOOKUP($N664,'Calculo Leads'!$A$97:$A$134,'Calculo Leads'!K$97:K$134)*_xlfn.XLOOKUP($P664,'Base Grupo de Produtos'!$E$2:$E$18,'Base Grupo de Produtos'!$F$2:$F$18)</f>
        <v>0</v>
      </c>
      <c r="Y664" s="56">
        <f>_xlfn.XLOOKUP($N664,'Calculo Leads'!$A$97:$A$134,'Calculo Leads'!L$97:L$134)*_xlfn.XLOOKUP($P664,'Base Grupo de Produtos'!$E$2:$E$18,'Base Grupo de Produtos'!$F$2:$F$18)</f>
        <v>0</v>
      </c>
      <c r="Z664" s="56">
        <f>_xlfn.XLOOKUP($N664,'Calculo Leads'!$A$97:$A$134,'Calculo Leads'!M$97:M$134)*_xlfn.XLOOKUP($P664,'Base Grupo de Produtos'!$E$2:$E$18,'Base Grupo de Produtos'!$F$2:$F$18)</f>
        <v>0</v>
      </c>
      <c r="AA664" s="56">
        <f>_xlfn.XLOOKUP($N664,'Calculo Leads'!$A$97:$A$134,'Calculo Leads'!N$97:N$134)*_xlfn.XLOOKUP($P664,'Base Grupo de Produtos'!$E$2:$E$18,'Base Grupo de Produtos'!$F$2:$F$18)</f>
        <v>0</v>
      </c>
      <c r="AB664" s="56">
        <f>_xlfn.XLOOKUP($N664,'Calculo Leads'!$A$97:$A$134,'Calculo Leads'!O$97:O$134)*_xlfn.XLOOKUP($P664,'Base Grupo de Produtos'!$E$2:$E$18,'Base Grupo de Produtos'!$F$2:$F$18)</f>
        <v>0</v>
      </c>
      <c r="AC664" s="61">
        <f t="shared" si="697"/>
        <v>0</v>
      </c>
      <c r="AD664" s="28"/>
      <c r="AE664" s="12"/>
      <c r="AF664" s="29"/>
      <c r="AG664" s="9"/>
      <c r="AH664" s="10"/>
      <c r="AI664" s="9"/>
      <c r="AJ664" s="11"/>
      <c r="AK664" s="9"/>
      <c r="AL664" s="13"/>
      <c r="AM664" s="9"/>
    </row>
    <row r="665" spans="1:39" x14ac:dyDescent="0.3">
      <c r="A665" s="2" t="str">
        <f t="shared" si="698"/>
        <v>NÃO</v>
      </c>
      <c r="B665" s="2" t="str">
        <f>_xlfn.XLOOKUP($N665,'Base de Grupos'!$A:$A,'Base de Grupos'!$D:$D)</f>
        <v>1000065763</v>
      </c>
      <c r="C665" s="5" t="str">
        <f>_xlfn.XLOOKUP($N665,'Base de Grupos'!$A:$A,'Base de Grupos'!$E:$E)</f>
        <v>CANAL VENDA INTERNA</v>
      </c>
      <c r="D665" s="5" t="str">
        <f>_xlfn.XLOOKUP($N665,'Base de Grupos'!$A:$A,'Base de Grupos'!$F:$F)</f>
        <v>1000065763</v>
      </c>
      <c r="E665" s="2" t="str">
        <f>_xlfn.XLOOKUP($N665,'Base de Grupos'!$A:$A,'Base de Grupos'!$G:$G)</f>
        <v>CANAL VENDA INTERNA</v>
      </c>
      <c r="F665" s="2" t="str">
        <f>_xlfn.XLOOKUP($N665,'Base de Grupos'!$A:$A,'Base de Grupos'!$H:$H)</f>
        <v>1000105900</v>
      </c>
      <c r="G665" s="5" t="str">
        <f>_xlfn.XLOOKUP($N665,'Base de Grupos'!$A:$A,'Base de Grupos'!$I:$I)</f>
        <v>REGIONAL VENDA DIRETA CO + NE + NO</v>
      </c>
      <c r="H665" s="5" t="str">
        <f>_xlfn.XLOOKUP($N665,'Base de Grupos'!$A:$A,'Base de Grupos'!$J:$J)</f>
        <v>1000105900</v>
      </c>
      <c r="I665" s="2" t="str">
        <f>_xlfn.XLOOKUP($N665,'Base de Grupos'!$A:$A,'Base de Grupos'!$K:$K)</f>
        <v>REGIONAL VENDA DIRETA CO + NE + NO</v>
      </c>
      <c r="J665" s="2" t="str">
        <f>_xlfn.XLOOKUP($N665,'Base de Grupos'!$A:$A,'Base de Grupos'!$L:$L)</f>
        <v>1000150135</v>
      </c>
      <c r="K665" s="5" t="str">
        <f>_xlfn.XLOOKUP($N665,'Base de Grupos'!$A:$A,'Base de Grupos'!$M:$M)</f>
        <v>HELDER DA SILVA BRUNKOW</v>
      </c>
      <c r="L665" s="5" t="str">
        <f t="shared" si="699"/>
        <v/>
      </c>
      <c r="M665" s="5" t="str">
        <f>_xlfn.XLOOKUP($N665,'Base de Grupos'!$A:$A,'Base de Grupos'!$C:$C)</f>
        <v>AL</v>
      </c>
      <c r="N665" s="3">
        <v>1442</v>
      </c>
      <c r="O665" s="4" t="s">
        <v>260</v>
      </c>
      <c r="P665" s="5" t="s">
        <v>96</v>
      </c>
      <c r="Q665" s="56">
        <v>0</v>
      </c>
      <c r="R665" s="56">
        <v>0</v>
      </c>
      <c r="S665" s="56">
        <v>0</v>
      </c>
      <c r="T665" s="56">
        <f>_xlfn.XLOOKUP($N665,'Calculo Leads'!$A$97:$A$134,'Calculo Leads'!G$97:G$134)*_xlfn.XLOOKUP($P665,'Base Grupo de Produtos'!$E$2:$E$18,'Base Grupo de Produtos'!$F$2:$F$18)</f>
        <v>70</v>
      </c>
      <c r="U665" s="56">
        <f>_xlfn.XLOOKUP($N665,'Calculo Leads'!$A$97:$A$134,'Calculo Leads'!H$97:H$134)*_xlfn.XLOOKUP($P665,'Base Grupo de Produtos'!$E$2:$E$18,'Base Grupo de Produtos'!$F$2:$F$18)</f>
        <v>70</v>
      </c>
      <c r="V665" s="56">
        <f>_xlfn.XLOOKUP($N665,'Calculo Leads'!$A$97:$A$134,'Calculo Leads'!I$97:I$134)*_xlfn.XLOOKUP($P665,'Base Grupo de Produtos'!$E$2:$E$18,'Base Grupo de Produtos'!$F$2:$F$18)</f>
        <v>140</v>
      </c>
      <c r="W665" s="56">
        <f>_xlfn.XLOOKUP($N665,'Calculo Leads'!$A$97:$A$134,'Calculo Leads'!J$97:J$134)*_xlfn.XLOOKUP($P665,'Base Grupo de Produtos'!$E$2:$E$18,'Base Grupo de Produtos'!$F$2:$F$18)</f>
        <v>140</v>
      </c>
      <c r="X665" s="56">
        <f>_xlfn.XLOOKUP($N665,'Calculo Leads'!$A$97:$A$134,'Calculo Leads'!K$97:K$134)*_xlfn.XLOOKUP($P665,'Base Grupo de Produtos'!$E$2:$E$18,'Base Grupo de Produtos'!$F$2:$F$18)</f>
        <v>154.00000000000003</v>
      </c>
      <c r="Y665" s="56">
        <f>_xlfn.XLOOKUP($N665,'Calculo Leads'!$A$97:$A$134,'Calculo Leads'!L$97:L$134)*_xlfn.XLOOKUP($P665,'Base Grupo de Produtos'!$E$2:$E$18,'Base Grupo de Produtos'!$F$2:$F$18)</f>
        <v>231.00000000000003</v>
      </c>
      <c r="Z665" s="56">
        <f>_xlfn.XLOOKUP($N665,'Calculo Leads'!$A$97:$A$134,'Calculo Leads'!M$97:M$134)*_xlfn.XLOOKUP($P665,'Base Grupo de Produtos'!$E$2:$E$18,'Base Grupo de Produtos'!$F$2:$F$18)</f>
        <v>231.00000000000003</v>
      </c>
      <c r="AA665" s="56">
        <f>_xlfn.XLOOKUP($N665,'Calculo Leads'!$A$97:$A$134,'Calculo Leads'!N$97:N$134)*_xlfn.XLOOKUP($P665,'Base Grupo de Produtos'!$E$2:$E$18,'Base Grupo de Produtos'!$F$2:$F$18)</f>
        <v>231.00000000000003</v>
      </c>
      <c r="AB665" s="56">
        <f>_xlfn.XLOOKUP($N665,'Calculo Leads'!$A$97:$A$134,'Calculo Leads'!O$97:O$134)*_xlfn.XLOOKUP($P665,'Base Grupo de Produtos'!$E$2:$E$18,'Base Grupo de Produtos'!$F$2:$F$18)</f>
        <v>154.00000000000003</v>
      </c>
      <c r="AC665" s="61">
        <f t="shared" si="697"/>
        <v>1421</v>
      </c>
      <c r="AD665" s="28"/>
      <c r="AE665" s="12"/>
      <c r="AF665" s="29"/>
      <c r="AG665" s="9"/>
      <c r="AH665" s="10"/>
      <c r="AI665" s="9"/>
      <c r="AJ665" s="11"/>
      <c r="AK665" s="9"/>
      <c r="AL665" s="13"/>
      <c r="AM665" s="9"/>
    </row>
    <row r="666" spans="1:39" x14ac:dyDescent="0.3">
      <c r="A666" s="2" t="str">
        <f t="shared" si="698"/>
        <v>NÃO</v>
      </c>
      <c r="B666" s="2" t="str">
        <f>_xlfn.XLOOKUP($N666,'Base de Grupos'!$A:$A,'Base de Grupos'!$D:$D)</f>
        <v>1000065763</v>
      </c>
      <c r="C666" s="5" t="str">
        <f>_xlfn.XLOOKUP($N666,'Base de Grupos'!$A:$A,'Base de Grupos'!$E:$E)</f>
        <v>CANAL VENDA INTERNA</v>
      </c>
      <c r="D666" s="5" t="str">
        <f>_xlfn.XLOOKUP($N666,'Base de Grupos'!$A:$A,'Base de Grupos'!$F:$F)</f>
        <v>1000065763</v>
      </c>
      <c r="E666" s="2" t="str">
        <f>_xlfn.XLOOKUP($N666,'Base de Grupos'!$A:$A,'Base de Grupos'!$G:$G)</f>
        <v>CANAL VENDA INTERNA</v>
      </c>
      <c r="F666" s="2" t="str">
        <f>_xlfn.XLOOKUP($N666,'Base de Grupos'!$A:$A,'Base de Grupos'!$H:$H)</f>
        <v>1000105900</v>
      </c>
      <c r="G666" s="5" t="str">
        <f>_xlfn.XLOOKUP($N666,'Base de Grupos'!$A:$A,'Base de Grupos'!$I:$I)</f>
        <v>REGIONAL VENDA DIRETA CO + NE + NO</v>
      </c>
      <c r="H666" s="5" t="str">
        <f>_xlfn.XLOOKUP($N666,'Base de Grupos'!$A:$A,'Base de Grupos'!$J:$J)</f>
        <v>1000105900</v>
      </c>
      <c r="I666" s="2" t="str">
        <f>_xlfn.XLOOKUP($N666,'Base de Grupos'!$A:$A,'Base de Grupos'!$K:$K)</f>
        <v>REGIONAL VENDA DIRETA CO + NE + NO</v>
      </c>
      <c r="J666" s="2" t="str">
        <f>_xlfn.XLOOKUP($N666,'Base de Grupos'!$A:$A,'Base de Grupos'!$L:$L)</f>
        <v>1000150135</v>
      </c>
      <c r="K666" s="5" t="str">
        <f>_xlfn.XLOOKUP($N666,'Base de Grupos'!$A:$A,'Base de Grupos'!$M:$M)</f>
        <v>HELDER DA SILVA BRUNKOW</v>
      </c>
      <c r="L666" s="5" t="str">
        <f t="shared" si="699"/>
        <v/>
      </c>
      <c r="M666" s="5" t="str">
        <f>_xlfn.XLOOKUP($N666,'Base de Grupos'!$A:$A,'Base de Grupos'!$C:$C)</f>
        <v>AL</v>
      </c>
      <c r="N666" s="3">
        <v>1442</v>
      </c>
      <c r="O666" s="4" t="s">
        <v>260</v>
      </c>
      <c r="P666" s="5" t="s">
        <v>94</v>
      </c>
      <c r="Q666" s="56">
        <v>0</v>
      </c>
      <c r="R666" s="56">
        <v>0</v>
      </c>
      <c r="S666" s="56">
        <v>0</v>
      </c>
      <c r="T666" s="56">
        <f>_xlfn.XLOOKUP($N666,'Calculo Leads'!$A$97:$A$134,'Calculo Leads'!G$97:G$134)*_xlfn.XLOOKUP($P666,'Base Grupo de Produtos'!$E$2:$E$18,'Base Grupo de Produtos'!$F$2:$F$18)</f>
        <v>49.999999999999993</v>
      </c>
      <c r="U666" s="56">
        <f>_xlfn.XLOOKUP($N666,'Calculo Leads'!$A$97:$A$134,'Calculo Leads'!H$97:H$134)*_xlfn.XLOOKUP($P666,'Base Grupo de Produtos'!$E$2:$E$18,'Base Grupo de Produtos'!$F$2:$F$18)</f>
        <v>49.999999999999993</v>
      </c>
      <c r="V666" s="56">
        <f>_xlfn.XLOOKUP($N666,'Calculo Leads'!$A$97:$A$134,'Calculo Leads'!I$97:I$134)*_xlfn.XLOOKUP($P666,'Base Grupo de Produtos'!$E$2:$E$18,'Base Grupo de Produtos'!$F$2:$F$18)</f>
        <v>99.999999999999986</v>
      </c>
      <c r="W666" s="56">
        <f>_xlfn.XLOOKUP($N666,'Calculo Leads'!$A$97:$A$134,'Calculo Leads'!J$97:J$134)*_xlfn.XLOOKUP($P666,'Base Grupo de Produtos'!$E$2:$E$18,'Base Grupo de Produtos'!$F$2:$F$18)</f>
        <v>99.999999999999986</v>
      </c>
      <c r="X666" s="56">
        <f>_xlfn.XLOOKUP($N666,'Calculo Leads'!$A$97:$A$134,'Calculo Leads'!K$97:K$134)*_xlfn.XLOOKUP($P666,'Base Grupo de Produtos'!$E$2:$E$18,'Base Grupo de Produtos'!$F$2:$F$18)</f>
        <v>109.99999999999999</v>
      </c>
      <c r="Y666" s="56">
        <f>_xlfn.XLOOKUP($N666,'Calculo Leads'!$A$97:$A$134,'Calculo Leads'!L$97:L$134)*_xlfn.XLOOKUP($P666,'Base Grupo de Produtos'!$E$2:$E$18,'Base Grupo de Produtos'!$F$2:$F$18)</f>
        <v>165</v>
      </c>
      <c r="Z666" s="56">
        <f>_xlfn.XLOOKUP($N666,'Calculo Leads'!$A$97:$A$134,'Calculo Leads'!M$97:M$134)*_xlfn.XLOOKUP($P666,'Base Grupo de Produtos'!$E$2:$E$18,'Base Grupo de Produtos'!$F$2:$F$18)</f>
        <v>165</v>
      </c>
      <c r="AA666" s="56">
        <f>_xlfn.XLOOKUP($N666,'Calculo Leads'!$A$97:$A$134,'Calculo Leads'!N$97:N$134)*_xlfn.XLOOKUP($P666,'Base Grupo de Produtos'!$E$2:$E$18,'Base Grupo de Produtos'!$F$2:$F$18)</f>
        <v>165</v>
      </c>
      <c r="AB666" s="56">
        <f>_xlfn.XLOOKUP($N666,'Calculo Leads'!$A$97:$A$134,'Calculo Leads'!O$97:O$134)*_xlfn.XLOOKUP($P666,'Base Grupo de Produtos'!$E$2:$E$18,'Base Grupo de Produtos'!$F$2:$F$18)</f>
        <v>109.99999999999999</v>
      </c>
      <c r="AC666" s="61">
        <f t="shared" si="697"/>
        <v>1015</v>
      </c>
      <c r="AD666" s="28"/>
      <c r="AE666" s="12"/>
      <c r="AF666" s="29"/>
      <c r="AG666" s="9"/>
      <c r="AH666" s="10"/>
      <c r="AI666" s="9"/>
      <c r="AJ666" s="11"/>
      <c r="AK666" s="9"/>
      <c r="AL666" s="13"/>
      <c r="AM666" s="9"/>
    </row>
    <row r="667" spans="1:39" x14ac:dyDescent="0.3">
      <c r="A667" s="2" t="str">
        <f t="shared" si="698"/>
        <v>NÃO</v>
      </c>
      <c r="B667" s="2" t="str">
        <f>_xlfn.XLOOKUP($N667,'Base de Grupos'!$A:$A,'Base de Grupos'!$D:$D)</f>
        <v>1000065763</v>
      </c>
      <c r="C667" s="5" t="str">
        <f>_xlfn.XLOOKUP($N667,'Base de Grupos'!$A:$A,'Base de Grupos'!$E:$E)</f>
        <v>CANAL VENDA INTERNA</v>
      </c>
      <c r="D667" s="5" t="str">
        <f>_xlfn.XLOOKUP($N667,'Base de Grupos'!$A:$A,'Base de Grupos'!$F:$F)</f>
        <v>1000065763</v>
      </c>
      <c r="E667" s="2" t="str">
        <f>_xlfn.XLOOKUP($N667,'Base de Grupos'!$A:$A,'Base de Grupos'!$G:$G)</f>
        <v>CANAL VENDA INTERNA</v>
      </c>
      <c r="F667" s="2" t="str">
        <f>_xlfn.XLOOKUP($N667,'Base de Grupos'!$A:$A,'Base de Grupos'!$H:$H)</f>
        <v>1000105900</v>
      </c>
      <c r="G667" s="5" t="str">
        <f>_xlfn.XLOOKUP($N667,'Base de Grupos'!$A:$A,'Base de Grupos'!$I:$I)</f>
        <v>REGIONAL VENDA DIRETA CO + NE + NO</v>
      </c>
      <c r="H667" s="5" t="str">
        <f>_xlfn.XLOOKUP($N667,'Base de Grupos'!$A:$A,'Base de Grupos'!$J:$J)</f>
        <v>1000105900</v>
      </c>
      <c r="I667" s="2" t="str">
        <f>_xlfn.XLOOKUP($N667,'Base de Grupos'!$A:$A,'Base de Grupos'!$K:$K)</f>
        <v>REGIONAL VENDA DIRETA CO + NE + NO</v>
      </c>
      <c r="J667" s="2" t="str">
        <f>_xlfn.XLOOKUP($N667,'Base de Grupos'!$A:$A,'Base de Grupos'!$L:$L)</f>
        <v>1000150135</v>
      </c>
      <c r="K667" s="5" t="str">
        <f>_xlfn.XLOOKUP($N667,'Base de Grupos'!$A:$A,'Base de Grupos'!$M:$M)</f>
        <v>HELDER DA SILVA BRUNKOW</v>
      </c>
      <c r="L667" s="5" t="str">
        <f t="shared" si="699"/>
        <v/>
      </c>
      <c r="M667" s="5" t="str">
        <f>_xlfn.XLOOKUP($N667,'Base de Grupos'!$A:$A,'Base de Grupos'!$C:$C)</f>
        <v>AL</v>
      </c>
      <c r="N667" s="3">
        <v>1442</v>
      </c>
      <c r="O667" s="4" t="s">
        <v>260</v>
      </c>
      <c r="P667" s="5" t="s">
        <v>95</v>
      </c>
      <c r="Q667" s="56">
        <v>0</v>
      </c>
      <c r="R667" s="56">
        <v>0</v>
      </c>
      <c r="S667" s="56">
        <v>0</v>
      </c>
      <c r="T667" s="56">
        <f>_xlfn.XLOOKUP($N667,'Calculo Leads'!$A$97:$A$134,'Calculo Leads'!G$97:G$134)*_xlfn.XLOOKUP($P667,'Base Grupo de Produtos'!$E$2:$E$18,'Base Grupo de Produtos'!$F$2:$F$18)</f>
        <v>80</v>
      </c>
      <c r="U667" s="56">
        <f>_xlfn.XLOOKUP($N667,'Calculo Leads'!$A$97:$A$134,'Calculo Leads'!H$97:H$134)*_xlfn.XLOOKUP($P667,'Base Grupo de Produtos'!$E$2:$E$18,'Base Grupo de Produtos'!$F$2:$F$18)</f>
        <v>80</v>
      </c>
      <c r="V667" s="56">
        <f>_xlfn.XLOOKUP($N667,'Calculo Leads'!$A$97:$A$134,'Calculo Leads'!I$97:I$134)*_xlfn.XLOOKUP($P667,'Base Grupo de Produtos'!$E$2:$E$18,'Base Grupo de Produtos'!$F$2:$F$18)</f>
        <v>160</v>
      </c>
      <c r="W667" s="56">
        <f>_xlfn.XLOOKUP($N667,'Calculo Leads'!$A$97:$A$134,'Calculo Leads'!J$97:J$134)*_xlfn.XLOOKUP($P667,'Base Grupo de Produtos'!$E$2:$E$18,'Base Grupo de Produtos'!$F$2:$F$18)</f>
        <v>160</v>
      </c>
      <c r="X667" s="56">
        <f>_xlfn.XLOOKUP($N667,'Calculo Leads'!$A$97:$A$134,'Calculo Leads'!K$97:K$134)*_xlfn.XLOOKUP($P667,'Base Grupo de Produtos'!$E$2:$E$18,'Base Grupo de Produtos'!$F$2:$F$18)</f>
        <v>176</v>
      </c>
      <c r="Y667" s="56">
        <f>_xlfn.XLOOKUP($N667,'Calculo Leads'!$A$97:$A$134,'Calculo Leads'!L$97:L$134)*_xlfn.XLOOKUP($P667,'Base Grupo de Produtos'!$E$2:$E$18,'Base Grupo de Produtos'!$F$2:$F$18)</f>
        <v>264</v>
      </c>
      <c r="Z667" s="56">
        <f>_xlfn.XLOOKUP($N667,'Calculo Leads'!$A$97:$A$134,'Calculo Leads'!M$97:M$134)*_xlfn.XLOOKUP($P667,'Base Grupo de Produtos'!$E$2:$E$18,'Base Grupo de Produtos'!$F$2:$F$18)</f>
        <v>264</v>
      </c>
      <c r="AA667" s="56">
        <f>_xlfn.XLOOKUP($N667,'Calculo Leads'!$A$97:$A$134,'Calculo Leads'!N$97:N$134)*_xlfn.XLOOKUP($P667,'Base Grupo de Produtos'!$E$2:$E$18,'Base Grupo de Produtos'!$F$2:$F$18)</f>
        <v>264</v>
      </c>
      <c r="AB667" s="56">
        <f>_xlfn.XLOOKUP($N667,'Calculo Leads'!$A$97:$A$134,'Calculo Leads'!O$97:O$134)*_xlfn.XLOOKUP($P667,'Base Grupo de Produtos'!$E$2:$E$18,'Base Grupo de Produtos'!$F$2:$F$18)</f>
        <v>176</v>
      </c>
      <c r="AC667" s="61">
        <f t="shared" si="697"/>
        <v>1624</v>
      </c>
      <c r="AD667" s="28"/>
      <c r="AE667" s="12"/>
      <c r="AF667" s="29"/>
      <c r="AG667" s="9"/>
      <c r="AH667" s="10"/>
      <c r="AI667" s="9"/>
      <c r="AJ667" s="11"/>
      <c r="AK667" s="9"/>
      <c r="AL667" s="13"/>
      <c r="AM667" s="9"/>
    </row>
    <row r="668" spans="1:39" x14ac:dyDescent="0.3">
      <c r="A668" s="2" t="str">
        <f t="shared" si="698"/>
        <v>NÃO</v>
      </c>
      <c r="B668" s="2" t="str">
        <f>_xlfn.XLOOKUP($N668,'Base de Grupos'!$A:$A,'Base de Grupos'!$D:$D)</f>
        <v>1000065763</v>
      </c>
      <c r="C668" s="5" t="str">
        <f>_xlfn.XLOOKUP($N668,'Base de Grupos'!$A:$A,'Base de Grupos'!$E:$E)</f>
        <v>CANAL VENDA INTERNA</v>
      </c>
      <c r="D668" s="5" t="str">
        <f>_xlfn.XLOOKUP($N668,'Base de Grupos'!$A:$A,'Base de Grupos'!$F:$F)</f>
        <v>1000065763</v>
      </c>
      <c r="E668" s="2" t="str">
        <f>_xlfn.XLOOKUP($N668,'Base de Grupos'!$A:$A,'Base de Grupos'!$G:$G)</f>
        <v>CANAL VENDA INTERNA</v>
      </c>
      <c r="F668" s="2" t="str">
        <f>_xlfn.XLOOKUP($N668,'Base de Grupos'!$A:$A,'Base de Grupos'!$H:$H)</f>
        <v>1000105900</v>
      </c>
      <c r="G668" s="5" t="str">
        <f>_xlfn.XLOOKUP($N668,'Base de Grupos'!$A:$A,'Base de Grupos'!$I:$I)</f>
        <v>REGIONAL VENDA DIRETA CO + NE + NO</v>
      </c>
      <c r="H668" s="5" t="str">
        <f>_xlfn.XLOOKUP($N668,'Base de Grupos'!$A:$A,'Base de Grupos'!$J:$J)</f>
        <v>1000105900</v>
      </c>
      <c r="I668" s="2" t="str">
        <f>_xlfn.XLOOKUP($N668,'Base de Grupos'!$A:$A,'Base de Grupos'!$K:$K)</f>
        <v>REGIONAL VENDA DIRETA CO + NE + NO</v>
      </c>
      <c r="J668" s="2" t="str">
        <f>_xlfn.XLOOKUP($N668,'Base de Grupos'!$A:$A,'Base de Grupos'!$L:$L)</f>
        <v>1000150135</v>
      </c>
      <c r="K668" s="5" t="str">
        <f>_xlfn.XLOOKUP($N668,'Base de Grupos'!$A:$A,'Base de Grupos'!$M:$M)</f>
        <v>HELDER DA SILVA BRUNKOW</v>
      </c>
      <c r="L668" s="5" t="str">
        <f t="shared" si="699"/>
        <v/>
      </c>
      <c r="M668" s="5" t="str">
        <f>_xlfn.XLOOKUP($N668,'Base de Grupos'!$A:$A,'Base de Grupos'!$C:$C)</f>
        <v>AL</v>
      </c>
      <c r="N668" s="3">
        <v>1442</v>
      </c>
      <c r="O668" s="4" t="s">
        <v>260</v>
      </c>
      <c r="P668" s="5" t="s">
        <v>93</v>
      </c>
      <c r="Q668" s="56">
        <v>0</v>
      </c>
      <c r="R668" s="56">
        <v>0</v>
      </c>
      <c r="S668" s="56">
        <v>0</v>
      </c>
      <c r="T668" s="56">
        <f>_xlfn.XLOOKUP($N668,'Calculo Leads'!$A$97:$A$134,'Calculo Leads'!G$97:G$134)*_xlfn.XLOOKUP($P668,'Base Grupo de Produtos'!$E$2:$E$18,'Base Grupo de Produtos'!$F$2:$F$18)</f>
        <v>30</v>
      </c>
      <c r="U668" s="56">
        <f>_xlfn.XLOOKUP($N668,'Calculo Leads'!$A$97:$A$134,'Calculo Leads'!H$97:H$134)*_xlfn.XLOOKUP($P668,'Base Grupo de Produtos'!$E$2:$E$18,'Base Grupo de Produtos'!$F$2:$F$18)</f>
        <v>30</v>
      </c>
      <c r="V668" s="56">
        <f>_xlfn.XLOOKUP($N668,'Calculo Leads'!$A$97:$A$134,'Calculo Leads'!I$97:I$134)*_xlfn.XLOOKUP($P668,'Base Grupo de Produtos'!$E$2:$E$18,'Base Grupo de Produtos'!$F$2:$F$18)</f>
        <v>60</v>
      </c>
      <c r="W668" s="56">
        <f>_xlfn.XLOOKUP($N668,'Calculo Leads'!$A$97:$A$134,'Calculo Leads'!J$97:J$134)*_xlfn.XLOOKUP($P668,'Base Grupo de Produtos'!$E$2:$E$18,'Base Grupo de Produtos'!$F$2:$F$18)</f>
        <v>60</v>
      </c>
      <c r="X668" s="56">
        <f>_xlfn.XLOOKUP($N668,'Calculo Leads'!$A$97:$A$134,'Calculo Leads'!K$97:K$134)*_xlfn.XLOOKUP($P668,'Base Grupo de Produtos'!$E$2:$E$18,'Base Grupo de Produtos'!$F$2:$F$18)</f>
        <v>66</v>
      </c>
      <c r="Y668" s="56">
        <f>_xlfn.XLOOKUP($N668,'Calculo Leads'!$A$97:$A$134,'Calculo Leads'!L$97:L$134)*_xlfn.XLOOKUP($P668,'Base Grupo de Produtos'!$E$2:$E$18,'Base Grupo de Produtos'!$F$2:$F$18)</f>
        <v>99</v>
      </c>
      <c r="Z668" s="56">
        <f>_xlfn.XLOOKUP($N668,'Calculo Leads'!$A$97:$A$134,'Calculo Leads'!M$97:M$134)*_xlfn.XLOOKUP($P668,'Base Grupo de Produtos'!$E$2:$E$18,'Base Grupo de Produtos'!$F$2:$F$18)</f>
        <v>99</v>
      </c>
      <c r="AA668" s="56">
        <f>_xlfn.XLOOKUP($N668,'Calculo Leads'!$A$97:$A$134,'Calculo Leads'!N$97:N$134)*_xlfn.XLOOKUP($P668,'Base Grupo de Produtos'!$E$2:$E$18,'Base Grupo de Produtos'!$F$2:$F$18)</f>
        <v>99</v>
      </c>
      <c r="AB668" s="56">
        <f>_xlfn.XLOOKUP($N668,'Calculo Leads'!$A$97:$A$134,'Calculo Leads'!O$97:O$134)*_xlfn.XLOOKUP($P668,'Base Grupo de Produtos'!$E$2:$E$18,'Base Grupo de Produtos'!$F$2:$F$18)</f>
        <v>66</v>
      </c>
      <c r="AC668" s="61">
        <f t="shared" si="697"/>
        <v>609</v>
      </c>
      <c r="AD668" s="28"/>
      <c r="AE668" s="12"/>
      <c r="AF668" s="29"/>
      <c r="AG668" s="9"/>
      <c r="AH668" s="10"/>
      <c r="AI668" s="9"/>
      <c r="AJ668" s="11"/>
      <c r="AK668" s="9"/>
      <c r="AL668" s="13"/>
      <c r="AM668" s="9"/>
    </row>
    <row r="669" spans="1:39" x14ac:dyDescent="0.3">
      <c r="A669" s="2" t="str">
        <f t="shared" si="698"/>
        <v>SIM</v>
      </c>
      <c r="B669" s="2" t="str">
        <f>_xlfn.XLOOKUP($N669,'Base de Grupos'!$A:$A,'Base de Grupos'!$D:$D)</f>
        <v>1000065763</v>
      </c>
      <c r="C669" s="5" t="str">
        <f>_xlfn.XLOOKUP($N669,'Base de Grupos'!$A:$A,'Base de Grupos'!$E:$E)</f>
        <v>CANAL VENDA INTERNA</v>
      </c>
      <c r="D669" s="5" t="str">
        <f>_xlfn.XLOOKUP($N669,'Base de Grupos'!$A:$A,'Base de Grupos'!$F:$F)</f>
        <v>1000065763</v>
      </c>
      <c r="E669" s="2" t="str">
        <f>_xlfn.XLOOKUP($N669,'Base de Grupos'!$A:$A,'Base de Grupos'!$G:$G)</f>
        <v>CANAL VENDA INTERNA</v>
      </c>
      <c r="F669" s="2" t="str">
        <f>_xlfn.XLOOKUP($N669,'Base de Grupos'!$A:$A,'Base de Grupos'!$H:$H)</f>
        <v>1000174119</v>
      </c>
      <c r="G669" s="5" t="str">
        <f>_xlfn.XLOOKUP($N669,'Base de Grupos'!$A:$A,'Base de Grupos'!$I:$I)</f>
        <v>REGIONAL VENDA INTERNA - CONVENIENCIA</v>
      </c>
      <c r="H669" s="5" t="str">
        <f>_xlfn.XLOOKUP($N669,'Base de Grupos'!$A:$A,'Base de Grupos'!$J:$J)</f>
        <v>1000174119</v>
      </c>
      <c r="I669" s="2" t="str">
        <f>_xlfn.XLOOKUP($N669,'Base de Grupos'!$A:$A,'Base de Grupos'!$K:$K)</f>
        <v>REGIONAL VENDA INTERNA - CONVENIENCIA</v>
      </c>
      <c r="J669" s="2" t="str">
        <f>_xlfn.XLOOKUP($N669,'Base de Grupos'!$A:$A,'Base de Grupos'!$L:$L)</f>
        <v>1000174119</v>
      </c>
      <c r="K669" s="5" t="str">
        <f>_xlfn.XLOOKUP($N669,'Base de Grupos'!$A:$A,'Base de Grupos'!$M:$M)</f>
        <v>REGIONAL VENDA INTERNA - CONVENIENCIA</v>
      </c>
      <c r="L669" s="5">
        <f t="shared" si="699"/>
        <v>1</v>
      </c>
      <c r="M669" s="5" t="str">
        <f>_xlfn.XLOOKUP($N669,'Base de Grupos'!$A:$A,'Base de Grupos'!$C:$C)</f>
        <v>PR</v>
      </c>
      <c r="N669" s="3">
        <v>1501</v>
      </c>
      <c r="O669" s="4" t="s">
        <v>261</v>
      </c>
      <c r="P669" s="5" t="s">
        <v>331</v>
      </c>
      <c r="Q669" s="56">
        <f t="shared" ref="Q669" si="713">SUM(Q670:Q686)</f>
        <v>0</v>
      </c>
      <c r="R669" s="56">
        <f t="shared" ref="R669" si="714">SUM(R670:R686)</f>
        <v>0</v>
      </c>
      <c r="S669" s="56">
        <f t="shared" ref="S669" si="715">SUM(S670:S686)</f>
        <v>0</v>
      </c>
      <c r="T669" s="56">
        <f t="shared" ref="T669" si="716">SUM(T670:T686)</f>
        <v>0</v>
      </c>
      <c r="U669" s="56">
        <f t="shared" ref="U669" si="717">SUM(U670:U686)</f>
        <v>0</v>
      </c>
      <c r="V669" s="56">
        <f t="shared" ref="V669" si="718">SUM(V670:V686)</f>
        <v>0</v>
      </c>
      <c r="W669" s="56">
        <f t="shared" ref="W669" si="719">SUM(W670:W686)</f>
        <v>0</v>
      </c>
      <c r="X669" s="56">
        <f t="shared" ref="X669" si="720">SUM(X670:X686)</f>
        <v>0</v>
      </c>
      <c r="Y669" s="56">
        <f t="shared" ref="Y669" si="721">SUM(Y670:Y686)</f>
        <v>0</v>
      </c>
      <c r="Z669" s="56">
        <f t="shared" ref="Z669" si="722">SUM(Z670:Z686)</f>
        <v>0</v>
      </c>
      <c r="AA669" s="56">
        <f t="shared" ref="AA669" si="723">SUM(AA670:AA686)</f>
        <v>0</v>
      </c>
      <c r="AB669" s="56">
        <f t="shared" ref="AB669" si="724">SUM(AB670:AB686)</f>
        <v>0</v>
      </c>
      <c r="AC669" s="56">
        <f t="shared" ref="AC669" si="725">SUM(AC670:AC686)</f>
        <v>0</v>
      </c>
      <c r="AD669" s="28"/>
      <c r="AE669" s="12"/>
      <c r="AF669" s="29"/>
      <c r="AG669" s="9"/>
      <c r="AH669" s="10"/>
      <c r="AI669" s="9"/>
      <c r="AJ669" s="11"/>
      <c r="AK669" s="9"/>
      <c r="AL669" s="13"/>
      <c r="AM669" s="9"/>
    </row>
    <row r="670" spans="1:39" x14ac:dyDescent="0.3">
      <c r="A670" s="2" t="str">
        <f t="shared" si="698"/>
        <v>NÃO</v>
      </c>
      <c r="B670" s="2" t="str">
        <f>_xlfn.XLOOKUP($N670,'Base de Grupos'!$A:$A,'Base de Grupos'!$D:$D)</f>
        <v>1000065763</v>
      </c>
      <c r="C670" s="5" t="str">
        <f>_xlfn.XLOOKUP($N670,'Base de Grupos'!$A:$A,'Base de Grupos'!$E:$E)</f>
        <v>CANAL VENDA INTERNA</v>
      </c>
      <c r="D670" s="5" t="str">
        <f>_xlfn.XLOOKUP($N670,'Base de Grupos'!$A:$A,'Base de Grupos'!$F:$F)</f>
        <v>1000065763</v>
      </c>
      <c r="E670" s="2" t="str">
        <f>_xlfn.XLOOKUP($N670,'Base de Grupos'!$A:$A,'Base de Grupos'!$G:$G)</f>
        <v>CANAL VENDA INTERNA</v>
      </c>
      <c r="F670" s="2" t="str">
        <f>_xlfn.XLOOKUP($N670,'Base de Grupos'!$A:$A,'Base de Grupos'!$H:$H)</f>
        <v>1000174119</v>
      </c>
      <c r="G670" s="5" t="str">
        <f>_xlfn.XLOOKUP($N670,'Base de Grupos'!$A:$A,'Base de Grupos'!$I:$I)</f>
        <v>REGIONAL VENDA INTERNA - CONVENIENCIA</v>
      </c>
      <c r="H670" s="5" t="str">
        <f>_xlfn.XLOOKUP($N670,'Base de Grupos'!$A:$A,'Base de Grupos'!$J:$J)</f>
        <v>1000174119</v>
      </c>
      <c r="I670" s="2" t="str">
        <f>_xlfn.XLOOKUP($N670,'Base de Grupos'!$A:$A,'Base de Grupos'!$K:$K)</f>
        <v>REGIONAL VENDA INTERNA - CONVENIENCIA</v>
      </c>
      <c r="J670" s="2" t="str">
        <f>_xlfn.XLOOKUP($N670,'Base de Grupos'!$A:$A,'Base de Grupos'!$L:$L)</f>
        <v>1000174119</v>
      </c>
      <c r="K670" s="5" t="str">
        <f>_xlfn.XLOOKUP($N670,'Base de Grupos'!$A:$A,'Base de Grupos'!$M:$M)</f>
        <v>REGIONAL VENDA INTERNA - CONVENIENCIA</v>
      </c>
      <c r="L670" s="5" t="str">
        <f t="shared" si="699"/>
        <v/>
      </c>
      <c r="M670" s="5" t="str">
        <f>_xlfn.XLOOKUP($N670,'Base de Grupos'!$A:$A,'Base de Grupos'!$C:$C)</f>
        <v>PR</v>
      </c>
      <c r="N670" s="3">
        <v>1501</v>
      </c>
      <c r="O670" s="4" t="s">
        <v>261</v>
      </c>
      <c r="P670" s="5" t="s">
        <v>81</v>
      </c>
      <c r="Q670" s="56">
        <v>0</v>
      </c>
      <c r="R670" s="56">
        <v>0</v>
      </c>
      <c r="S670" s="56">
        <v>0</v>
      </c>
      <c r="T670" s="56">
        <f>_xlfn.XLOOKUP($N670,'Calculo Leads Conveniencia'!$A$77:$A$104,'Calculo Leads Conveniencia'!G$77:G$104)*_xlfn.XLOOKUP($P670,'Base Grupo de Produtos'!$E$23:$E$39,'Base Grupo de Produtos'!$F$23:$F$39)</f>
        <v>0</v>
      </c>
      <c r="U670" s="56">
        <f>_xlfn.XLOOKUP($N670,'Calculo Leads Conveniencia'!$A$77:$A$104,'Calculo Leads Conveniencia'!H$77:H$104)*_xlfn.XLOOKUP($P670,'Base Grupo de Produtos'!$E$23:$E$39,'Base Grupo de Produtos'!$F$23:$F$39)</f>
        <v>0</v>
      </c>
      <c r="V670" s="56">
        <f>_xlfn.XLOOKUP($N670,'Calculo Leads Conveniencia'!$A$77:$A$104,'Calculo Leads Conveniencia'!I$77:I$104)*_xlfn.XLOOKUP($P670,'Base Grupo de Produtos'!$E$23:$E$39,'Base Grupo de Produtos'!$F$23:$F$39)</f>
        <v>0</v>
      </c>
      <c r="W670" s="56">
        <f>_xlfn.XLOOKUP($N670,'Calculo Leads Conveniencia'!$A$77:$A$104,'Calculo Leads Conveniencia'!J$77:J$104)*_xlfn.XLOOKUP($P670,'Base Grupo de Produtos'!$E$23:$E$39,'Base Grupo de Produtos'!$F$23:$F$39)</f>
        <v>0</v>
      </c>
      <c r="X670" s="56">
        <f>_xlfn.XLOOKUP($N670,'Calculo Leads Conveniencia'!$A$77:$A$104,'Calculo Leads Conveniencia'!K$77:K$104)*_xlfn.XLOOKUP($P670,'Base Grupo de Produtos'!$E$23:$E$39,'Base Grupo de Produtos'!$F$23:$F$39)</f>
        <v>0</v>
      </c>
      <c r="Y670" s="56">
        <f>_xlfn.XLOOKUP($N670,'Calculo Leads Conveniencia'!$A$77:$A$104,'Calculo Leads Conveniencia'!L$77:L$104)*_xlfn.XLOOKUP($P670,'Base Grupo de Produtos'!$E$23:$E$39,'Base Grupo de Produtos'!$F$23:$F$39)</f>
        <v>0</v>
      </c>
      <c r="Z670" s="56">
        <f>_xlfn.XLOOKUP($N670,'Calculo Leads Conveniencia'!$A$77:$A$104,'Calculo Leads Conveniencia'!M$77:M$104)*_xlfn.XLOOKUP($P670,'Base Grupo de Produtos'!$E$23:$E$39,'Base Grupo de Produtos'!$F$23:$F$39)</f>
        <v>0</v>
      </c>
      <c r="AA670" s="56">
        <f>_xlfn.XLOOKUP($N670,'Calculo Leads Conveniencia'!$A$77:$A$104,'Calculo Leads Conveniencia'!N$77:N$104)*_xlfn.XLOOKUP($P670,'Base Grupo de Produtos'!$E$23:$E$39,'Base Grupo de Produtos'!$F$23:$F$39)</f>
        <v>0</v>
      </c>
      <c r="AB670" s="56">
        <f>_xlfn.XLOOKUP($N670,'Calculo Leads Conveniencia'!$A$77:$A$104,'Calculo Leads Conveniencia'!O$77:O$104)*_xlfn.XLOOKUP($P670,'Base Grupo de Produtos'!$E$23:$E$39,'Base Grupo de Produtos'!$F$23:$F$39)</f>
        <v>0</v>
      </c>
      <c r="AC670" s="61">
        <f t="shared" si="697"/>
        <v>0</v>
      </c>
      <c r="AD670" s="28"/>
      <c r="AE670" s="12"/>
      <c r="AF670" s="29"/>
      <c r="AG670" s="9"/>
      <c r="AH670" s="10"/>
      <c r="AI670" s="9"/>
      <c r="AJ670" s="11"/>
      <c r="AK670" s="9"/>
      <c r="AL670" s="13"/>
      <c r="AM670" s="9"/>
    </row>
    <row r="671" spans="1:39" x14ac:dyDescent="0.3">
      <c r="A671" s="2" t="str">
        <f t="shared" si="698"/>
        <v>NÃO</v>
      </c>
      <c r="B671" s="2" t="str">
        <f>_xlfn.XLOOKUP($N671,'Base de Grupos'!$A:$A,'Base de Grupos'!$D:$D)</f>
        <v>1000065763</v>
      </c>
      <c r="C671" s="5" t="str">
        <f>_xlfn.XLOOKUP($N671,'Base de Grupos'!$A:$A,'Base de Grupos'!$E:$E)</f>
        <v>CANAL VENDA INTERNA</v>
      </c>
      <c r="D671" s="5" t="str">
        <f>_xlfn.XLOOKUP($N671,'Base de Grupos'!$A:$A,'Base de Grupos'!$F:$F)</f>
        <v>1000065763</v>
      </c>
      <c r="E671" s="2" t="str">
        <f>_xlfn.XLOOKUP($N671,'Base de Grupos'!$A:$A,'Base de Grupos'!$G:$G)</f>
        <v>CANAL VENDA INTERNA</v>
      </c>
      <c r="F671" s="2" t="str">
        <f>_xlfn.XLOOKUP($N671,'Base de Grupos'!$A:$A,'Base de Grupos'!$H:$H)</f>
        <v>1000174119</v>
      </c>
      <c r="G671" s="5" t="str">
        <f>_xlfn.XLOOKUP($N671,'Base de Grupos'!$A:$A,'Base de Grupos'!$I:$I)</f>
        <v>REGIONAL VENDA INTERNA - CONVENIENCIA</v>
      </c>
      <c r="H671" s="5" t="str">
        <f>_xlfn.XLOOKUP($N671,'Base de Grupos'!$A:$A,'Base de Grupos'!$J:$J)</f>
        <v>1000174119</v>
      </c>
      <c r="I671" s="2" t="str">
        <f>_xlfn.XLOOKUP($N671,'Base de Grupos'!$A:$A,'Base de Grupos'!$K:$K)</f>
        <v>REGIONAL VENDA INTERNA - CONVENIENCIA</v>
      </c>
      <c r="J671" s="2" t="str">
        <f>_xlfn.XLOOKUP($N671,'Base de Grupos'!$A:$A,'Base de Grupos'!$L:$L)</f>
        <v>1000174119</v>
      </c>
      <c r="K671" s="5" t="str">
        <f>_xlfn.XLOOKUP($N671,'Base de Grupos'!$A:$A,'Base de Grupos'!$M:$M)</f>
        <v>REGIONAL VENDA INTERNA - CONVENIENCIA</v>
      </c>
      <c r="L671" s="5" t="str">
        <f t="shared" si="699"/>
        <v/>
      </c>
      <c r="M671" s="5" t="str">
        <f>_xlfn.XLOOKUP($N671,'Base de Grupos'!$A:$A,'Base de Grupos'!$C:$C)</f>
        <v>PR</v>
      </c>
      <c r="N671" s="3">
        <v>1501</v>
      </c>
      <c r="O671" s="4" t="s">
        <v>261</v>
      </c>
      <c r="P671" s="5" t="s">
        <v>82</v>
      </c>
      <c r="Q671" s="56">
        <v>0</v>
      </c>
      <c r="R671" s="56">
        <v>0</v>
      </c>
      <c r="S671" s="56">
        <v>0</v>
      </c>
      <c r="T671" s="56">
        <f>_xlfn.XLOOKUP($N671,'Calculo Leads Conveniencia'!$A$77:$A$104,'Calculo Leads Conveniencia'!G$77:G$104)*_xlfn.XLOOKUP($P671,'Base Grupo de Produtos'!$E$23:$E$39,'Base Grupo de Produtos'!$F$23:$F$39)</f>
        <v>0</v>
      </c>
      <c r="U671" s="56">
        <f>_xlfn.XLOOKUP($N671,'Calculo Leads Conveniencia'!$A$77:$A$104,'Calculo Leads Conveniencia'!H$77:H$104)*_xlfn.XLOOKUP($P671,'Base Grupo de Produtos'!$E$23:$E$39,'Base Grupo de Produtos'!$F$23:$F$39)</f>
        <v>0</v>
      </c>
      <c r="V671" s="56">
        <f>_xlfn.XLOOKUP($N671,'Calculo Leads Conveniencia'!$A$77:$A$104,'Calculo Leads Conveniencia'!I$77:I$104)*_xlfn.XLOOKUP($P671,'Base Grupo de Produtos'!$E$23:$E$39,'Base Grupo de Produtos'!$F$23:$F$39)</f>
        <v>0</v>
      </c>
      <c r="W671" s="56">
        <f>_xlfn.XLOOKUP($N671,'Calculo Leads Conveniencia'!$A$77:$A$104,'Calculo Leads Conveniencia'!J$77:J$104)*_xlfn.XLOOKUP($P671,'Base Grupo de Produtos'!$E$23:$E$39,'Base Grupo de Produtos'!$F$23:$F$39)</f>
        <v>0</v>
      </c>
      <c r="X671" s="56">
        <f>_xlfn.XLOOKUP($N671,'Calculo Leads Conveniencia'!$A$77:$A$104,'Calculo Leads Conveniencia'!K$77:K$104)*_xlfn.XLOOKUP($P671,'Base Grupo de Produtos'!$E$23:$E$39,'Base Grupo de Produtos'!$F$23:$F$39)</f>
        <v>0</v>
      </c>
      <c r="Y671" s="56">
        <f>_xlfn.XLOOKUP($N671,'Calculo Leads Conveniencia'!$A$77:$A$104,'Calculo Leads Conveniencia'!L$77:L$104)*_xlfn.XLOOKUP($P671,'Base Grupo de Produtos'!$E$23:$E$39,'Base Grupo de Produtos'!$F$23:$F$39)</f>
        <v>0</v>
      </c>
      <c r="Z671" s="56">
        <f>_xlfn.XLOOKUP($N671,'Calculo Leads Conveniencia'!$A$77:$A$104,'Calculo Leads Conveniencia'!M$77:M$104)*_xlfn.XLOOKUP($P671,'Base Grupo de Produtos'!$E$23:$E$39,'Base Grupo de Produtos'!$F$23:$F$39)</f>
        <v>0</v>
      </c>
      <c r="AA671" s="56">
        <f>_xlfn.XLOOKUP($N671,'Calculo Leads Conveniencia'!$A$77:$A$104,'Calculo Leads Conveniencia'!N$77:N$104)*_xlfn.XLOOKUP($P671,'Base Grupo de Produtos'!$E$23:$E$39,'Base Grupo de Produtos'!$F$23:$F$39)</f>
        <v>0</v>
      </c>
      <c r="AB671" s="56">
        <f>_xlfn.XLOOKUP($N671,'Calculo Leads Conveniencia'!$A$77:$A$104,'Calculo Leads Conveniencia'!O$77:O$104)*_xlfn.XLOOKUP($P671,'Base Grupo de Produtos'!$E$23:$E$39,'Base Grupo de Produtos'!$F$23:$F$39)</f>
        <v>0</v>
      </c>
      <c r="AC671" s="61">
        <f t="shared" si="697"/>
        <v>0</v>
      </c>
      <c r="AD671" s="28"/>
      <c r="AE671" s="12"/>
      <c r="AF671" s="29"/>
      <c r="AG671" s="9"/>
      <c r="AH671" s="10"/>
      <c r="AI671" s="9"/>
      <c r="AJ671" s="11"/>
      <c r="AK671" s="9"/>
      <c r="AL671" s="13"/>
      <c r="AM671" s="9"/>
    </row>
    <row r="672" spans="1:39" x14ac:dyDescent="0.3">
      <c r="A672" s="2" t="str">
        <f t="shared" si="698"/>
        <v>NÃO</v>
      </c>
      <c r="B672" s="2" t="str">
        <f>_xlfn.XLOOKUP($N672,'Base de Grupos'!$A:$A,'Base de Grupos'!$D:$D)</f>
        <v>1000065763</v>
      </c>
      <c r="C672" s="5" t="str">
        <f>_xlfn.XLOOKUP($N672,'Base de Grupos'!$A:$A,'Base de Grupos'!$E:$E)</f>
        <v>CANAL VENDA INTERNA</v>
      </c>
      <c r="D672" s="5" t="str">
        <f>_xlfn.XLOOKUP($N672,'Base de Grupos'!$A:$A,'Base de Grupos'!$F:$F)</f>
        <v>1000065763</v>
      </c>
      <c r="E672" s="2" t="str">
        <f>_xlfn.XLOOKUP($N672,'Base de Grupos'!$A:$A,'Base de Grupos'!$G:$G)</f>
        <v>CANAL VENDA INTERNA</v>
      </c>
      <c r="F672" s="2" t="str">
        <f>_xlfn.XLOOKUP($N672,'Base de Grupos'!$A:$A,'Base de Grupos'!$H:$H)</f>
        <v>1000174119</v>
      </c>
      <c r="G672" s="5" t="str">
        <f>_xlfn.XLOOKUP($N672,'Base de Grupos'!$A:$A,'Base de Grupos'!$I:$I)</f>
        <v>REGIONAL VENDA INTERNA - CONVENIENCIA</v>
      </c>
      <c r="H672" s="5" t="str">
        <f>_xlfn.XLOOKUP($N672,'Base de Grupos'!$A:$A,'Base de Grupos'!$J:$J)</f>
        <v>1000174119</v>
      </c>
      <c r="I672" s="2" t="str">
        <f>_xlfn.XLOOKUP($N672,'Base de Grupos'!$A:$A,'Base de Grupos'!$K:$K)</f>
        <v>REGIONAL VENDA INTERNA - CONVENIENCIA</v>
      </c>
      <c r="J672" s="2" t="str">
        <f>_xlfn.XLOOKUP($N672,'Base de Grupos'!$A:$A,'Base de Grupos'!$L:$L)</f>
        <v>1000174119</v>
      </c>
      <c r="K672" s="5" t="str">
        <f>_xlfn.XLOOKUP($N672,'Base de Grupos'!$A:$A,'Base de Grupos'!$M:$M)</f>
        <v>REGIONAL VENDA INTERNA - CONVENIENCIA</v>
      </c>
      <c r="L672" s="5" t="str">
        <f t="shared" si="699"/>
        <v/>
      </c>
      <c r="M672" s="5" t="str">
        <f>_xlfn.XLOOKUP($N672,'Base de Grupos'!$A:$A,'Base de Grupos'!$C:$C)</f>
        <v>PR</v>
      </c>
      <c r="N672" s="3">
        <v>1501</v>
      </c>
      <c r="O672" s="4" t="s">
        <v>261</v>
      </c>
      <c r="P672" s="5" t="s">
        <v>84</v>
      </c>
      <c r="Q672" s="56">
        <v>0</v>
      </c>
      <c r="R672" s="56">
        <v>0</v>
      </c>
      <c r="S672" s="56">
        <v>0</v>
      </c>
      <c r="T672" s="56">
        <f>_xlfn.XLOOKUP($N672,'Calculo Leads Conveniencia'!$A$77:$A$104,'Calculo Leads Conveniencia'!G$77:G$104)*_xlfn.XLOOKUP($P672,'Base Grupo de Produtos'!$E$23:$E$39,'Base Grupo de Produtos'!$F$23:$F$39)</f>
        <v>0</v>
      </c>
      <c r="U672" s="56">
        <f>_xlfn.XLOOKUP($N672,'Calculo Leads Conveniencia'!$A$77:$A$104,'Calculo Leads Conveniencia'!H$77:H$104)*_xlfn.XLOOKUP($P672,'Base Grupo de Produtos'!$E$23:$E$39,'Base Grupo de Produtos'!$F$23:$F$39)</f>
        <v>0</v>
      </c>
      <c r="V672" s="56">
        <f>_xlfn.XLOOKUP($N672,'Calculo Leads Conveniencia'!$A$77:$A$104,'Calculo Leads Conveniencia'!I$77:I$104)*_xlfn.XLOOKUP($P672,'Base Grupo de Produtos'!$E$23:$E$39,'Base Grupo de Produtos'!$F$23:$F$39)</f>
        <v>0</v>
      </c>
      <c r="W672" s="56">
        <f>_xlfn.XLOOKUP($N672,'Calculo Leads Conveniencia'!$A$77:$A$104,'Calculo Leads Conveniencia'!J$77:J$104)*_xlfn.XLOOKUP($P672,'Base Grupo de Produtos'!$E$23:$E$39,'Base Grupo de Produtos'!$F$23:$F$39)</f>
        <v>0</v>
      </c>
      <c r="X672" s="56">
        <f>_xlfn.XLOOKUP($N672,'Calculo Leads Conveniencia'!$A$77:$A$104,'Calculo Leads Conveniencia'!K$77:K$104)*_xlfn.XLOOKUP($P672,'Base Grupo de Produtos'!$E$23:$E$39,'Base Grupo de Produtos'!$F$23:$F$39)</f>
        <v>0</v>
      </c>
      <c r="Y672" s="56">
        <f>_xlfn.XLOOKUP($N672,'Calculo Leads Conveniencia'!$A$77:$A$104,'Calculo Leads Conveniencia'!L$77:L$104)*_xlfn.XLOOKUP($P672,'Base Grupo de Produtos'!$E$23:$E$39,'Base Grupo de Produtos'!$F$23:$F$39)</f>
        <v>0</v>
      </c>
      <c r="Z672" s="56">
        <f>_xlfn.XLOOKUP($N672,'Calculo Leads Conveniencia'!$A$77:$A$104,'Calculo Leads Conveniencia'!M$77:M$104)*_xlfn.XLOOKUP($P672,'Base Grupo de Produtos'!$E$23:$E$39,'Base Grupo de Produtos'!$F$23:$F$39)</f>
        <v>0</v>
      </c>
      <c r="AA672" s="56">
        <f>_xlfn.XLOOKUP($N672,'Calculo Leads Conveniencia'!$A$77:$A$104,'Calculo Leads Conveniencia'!N$77:N$104)*_xlfn.XLOOKUP($P672,'Base Grupo de Produtos'!$E$23:$E$39,'Base Grupo de Produtos'!$F$23:$F$39)</f>
        <v>0</v>
      </c>
      <c r="AB672" s="56">
        <f>_xlfn.XLOOKUP($N672,'Calculo Leads Conveniencia'!$A$77:$A$104,'Calculo Leads Conveniencia'!O$77:O$104)*_xlfn.XLOOKUP($P672,'Base Grupo de Produtos'!$E$23:$E$39,'Base Grupo de Produtos'!$F$23:$F$39)</f>
        <v>0</v>
      </c>
      <c r="AC672" s="61">
        <f t="shared" si="697"/>
        <v>0</v>
      </c>
      <c r="AD672" s="28"/>
      <c r="AE672" s="12"/>
      <c r="AF672" s="29"/>
      <c r="AG672" s="9"/>
      <c r="AH672" s="10"/>
      <c r="AI672" s="9"/>
      <c r="AJ672" s="11"/>
      <c r="AK672" s="9"/>
      <c r="AL672" s="13"/>
      <c r="AM672" s="9"/>
    </row>
    <row r="673" spans="1:39" x14ac:dyDescent="0.3">
      <c r="A673" s="2" t="str">
        <f t="shared" si="698"/>
        <v>NÃO</v>
      </c>
      <c r="B673" s="2" t="str">
        <f>_xlfn.XLOOKUP($N673,'Base de Grupos'!$A:$A,'Base de Grupos'!$D:$D)</f>
        <v>1000065763</v>
      </c>
      <c r="C673" s="5" t="str">
        <f>_xlfn.XLOOKUP($N673,'Base de Grupos'!$A:$A,'Base de Grupos'!$E:$E)</f>
        <v>CANAL VENDA INTERNA</v>
      </c>
      <c r="D673" s="5" t="str">
        <f>_xlfn.XLOOKUP($N673,'Base de Grupos'!$A:$A,'Base de Grupos'!$F:$F)</f>
        <v>1000065763</v>
      </c>
      <c r="E673" s="2" t="str">
        <f>_xlfn.XLOOKUP($N673,'Base de Grupos'!$A:$A,'Base de Grupos'!$G:$G)</f>
        <v>CANAL VENDA INTERNA</v>
      </c>
      <c r="F673" s="2" t="str">
        <f>_xlfn.XLOOKUP($N673,'Base de Grupos'!$A:$A,'Base de Grupos'!$H:$H)</f>
        <v>1000174119</v>
      </c>
      <c r="G673" s="5" t="str">
        <f>_xlfn.XLOOKUP($N673,'Base de Grupos'!$A:$A,'Base de Grupos'!$I:$I)</f>
        <v>REGIONAL VENDA INTERNA - CONVENIENCIA</v>
      </c>
      <c r="H673" s="5" t="str">
        <f>_xlfn.XLOOKUP($N673,'Base de Grupos'!$A:$A,'Base de Grupos'!$J:$J)</f>
        <v>1000174119</v>
      </c>
      <c r="I673" s="2" t="str">
        <f>_xlfn.XLOOKUP($N673,'Base de Grupos'!$A:$A,'Base de Grupos'!$K:$K)</f>
        <v>REGIONAL VENDA INTERNA - CONVENIENCIA</v>
      </c>
      <c r="J673" s="2" t="str">
        <f>_xlfn.XLOOKUP($N673,'Base de Grupos'!$A:$A,'Base de Grupos'!$L:$L)</f>
        <v>1000174119</v>
      </c>
      <c r="K673" s="5" t="str">
        <f>_xlfn.XLOOKUP($N673,'Base de Grupos'!$A:$A,'Base de Grupos'!$M:$M)</f>
        <v>REGIONAL VENDA INTERNA - CONVENIENCIA</v>
      </c>
      <c r="L673" s="5" t="str">
        <f t="shared" si="699"/>
        <v/>
      </c>
      <c r="M673" s="5" t="str">
        <f>_xlfn.XLOOKUP($N673,'Base de Grupos'!$A:$A,'Base de Grupos'!$C:$C)</f>
        <v>PR</v>
      </c>
      <c r="N673" s="3">
        <v>1501</v>
      </c>
      <c r="O673" s="4" t="s">
        <v>261</v>
      </c>
      <c r="P673" s="5" t="s">
        <v>83</v>
      </c>
      <c r="Q673" s="56">
        <v>0</v>
      </c>
      <c r="R673" s="56">
        <v>0</v>
      </c>
      <c r="S673" s="56">
        <v>0</v>
      </c>
      <c r="T673" s="56">
        <f>_xlfn.XLOOKUP($N673,'Calculo Leads Conveniencia'!$A$77:$A$104,'Calculo Leads Conveniencia'!G$77:G$104)*_xlfn.XLOOKUP($P673,'Base Grupo de Produtos'!$E$23:$E$39,'Base Grupo de Produtos'!$F$23:$F$39)</f>
        <v>0</v>
      </c>
      <c r="U673" s="56">
        <f>_xlfn.XLOOKUP($N673,'Calculo Leads Conveniencia'!$A$77:$A$104,'Calculo Leads Conveniencia'!H$77:H$104)*_xlfn.XLOOKUP($P673,'Base Grupo de Produtos'!$E$23:$E$39,'Base Grupo de Produtos'!$F$23:$F$39)</f>
        <v>0</v>
      </c>
      <c r="V673" s="56">
        <f>_xlfn.XLOOKUP($N673,'Calculo Leads Conveniencia'!$A$77:$A$104,'Calculo Leads Conveniencia'!I$77:I$104)*_xlfn.XLOOKUP($P673,'Base Grupo de Produtos'!$E$23:$E$39,'Base Grupo de Produtos'!$F$23:$F$39)</f>
        <v>0</v>
      </c>
      <c r="W673" s="56">
        <f>_xlfn.XLOOKUP($N673,'Calculo Leads Conveniencia'!$A$77:$A$104,'Calculo Leads Conveniencia'!J$77:J$104)*_xlfn.XLOOKUP($P673,'Base Grupo de Produtos'!$E$23:$E$39,'Base Grupo de Produtos'!$F$23:$F$39)</f>
        <v>0</v>
      </c>
      <c r="X673" s="56">
        <f>_xlfn.XLOOKUP($N673,'Calculo Leads Conveniencia'!$A$77:$A$104,'Calculo Leads Conveniencia'!K$77:K$104)*_xlfn.XLOOKUP($P673,'Base Grupo de Produtos'!$E$23:$E$39,'Base Grupo de Produtos'!$F$23:$F$39)</f>
        <v>0</v>
      </c>
      <c r="Y673" s="56">
        <f>_xlfn.XLOOKUP($N673,'Calculo Leads Conveniencia'!$A$77:$A$104,'Calculo Leads Conveniencia'!L$77:L$104)*_xlfn.XLOOKUP($P673,'Base Grupo de Produtos'!$E$23:$E$39,'Base Grupo de Produtos'!$F$23:$F$39)</f>
        <v>0</v>
      </c>
      <c r="Z673" s="56">
        <f>_xlfn.XLOOKUP($N673,'Calculo Leads Conveniencia'!$A$77:$A$104,'Calculo Leads Conveniencia'!M$77:M$104)*_xlfn.XLOOKUP($P673,'Base Grupo de Produtos'!$E$23:$E$39,'Base Grupo de Produtos'!$F$23:$F$39)</f>
        <v>0</v>
      </c>
      <c r="AA673" s="56">
        <f>_xlfn.XLOOKUP($N673,'Calculo Leads Conveniencia'!$A$77:$A$104,'Calculo Leads Conveniencia'!N$77:N$104)*_xlfn.XLOOKUP($P673,'Base Grupo de Produtos'!$E$23:$E$39,'Base Grupo de Produtos'!$F$23:$F$39)</f>
        <v>0</v>
      </c>
      <c r="AB673" s="56">
        <f>_xlfn.XLOOKUP($N673,'Calculo Leads Conveniencia'!$A$77:$A$104,'Calculo Leads Conveniencia'!O$77:O$104)*_xlfn.XLOOKUP($P673,'Base Grupo de Produtos'!$E$23:$E$39,'Base Grupo de Produtos'!$F$23:$F$39)</f>
        <v>0</v>
      </c>
      <c r="AC673" s="61">
        <f t="shared" si="697"/>
        <v>0</v>
      </c>
      <c r="AD673" s="28"/>
      <c r="AE673" s="12"/>
      <c r="AF673" s="29"/>
      <c r="AG673" s="9"/>
      <c r="AH673" s="10"/>
      <c r="AI673" s="9"/>
      <c r="AJ673" s="11"/>
      <c r="AK673" s="9"/>
      <c r="AL673" s="13"/>
      <c r="AM673" s="9"/>
    </row>
    <row r="674" spans="1:39" x14ac:dyDescent="0.3">
      <c r="A674" s="2" t="str">
        <f t="shared" si="698"/>
        <v>NÃO</v>
      </c>
      <c r="B674" s="2" t="str">
        <f>_xlfn.XLOOKUP($N674,'Base de Grupos'!$A:$A,'Base de Grupos'!$D:$D)</f>
        <v>1000065763</v>
      </c>
      <c r="C674" s="5" t="str">
        <f>_xlfn.XLOOKUP($N674,'Base de Grupos'!$A:$A,'Base de Grupos'!$E:$E)</f>
        <v>CANAL VENDA INTERNA</v>
      </c>
      <c r="D674" s="5" t="str">
        <f>_xlfn.XLOOKUP($N674,'Base de Grupos'!$A:$A,'Base de Grupos'!$F:$F)</f>
        <v>1000065763</v>
      </c>
      <c r="E674" s="2" t="str">
        <f>_xlfn.XLOOKUP($N674,'Base de Grupos'!$A:$A,'Base de Grupos'!$G:$G)</f>
        <v>CANAL VENDA INTERNA</v>
      </c>
      <c r="F674" s="2" t="str">
        <f>_xlfn.XLOOKUP($N674,'Base de Grupos'!$A:$A,'Base de Grupos'!$H:$H)</f>
        <v>1000174119</v>
      </c>
      <c r="G674" s="5" t="str">
        <f>_xlfn.XLOOKUP($N674,'Base de Grupos'!$A:$A,'Base de Grupos'!$I:$I)</f>
        <v>REGIONAL VENDA INTERNA - CONVENIENCIA</v>
      </c>
      <c r="H674" s="5" t="str">
        <f>_xlfn.XLOOKUP($N674,'Base de Grupos'!$A:$A,'Base de Grupos'!$J:$J)</f>
        <v>1000174119</v>
      </c>
      <c r="I674" s="2" t="str">
        <f>_xlfn.XLOOKUP($N674,'Base de Grupos'!$A:$A,'Base de Grupos'!$K:$K)</f>
        <v>REGIONAL VENDA INTERNA - CONVENIENCIA</v>
      </c>
      <c r="J674" s="2" t="str">
        <f>_xlfn.XLOOKUP($N674,'Base de Grupos'!$A:$A,'Base de Grupos'!$L:$L)</f>
        <v>1000174119</v>
      </c>
      <c r="K674" s="5" t="str">
        <f>_xlfn.XLOOKUP($N674,'Base de Grupos'!$A:$A,'Base de Grupos'!$M:$M)</f>
        <v>REGIONAL VENDA INTERNA - CONVENIENCIA</v>
      </c>
      <c r="L674" s="5" t="str">
        <f t="shared" si="699"/>
        <v/>
      </c>
      <c r="M674" s="5" t="str">
        <f>_xlfn.XLOOKUP($N674,'Base de Grupos'!$A:$A,'Base de Grupos'!$C:$C)</f>
        <v>PR</v>
      </c>
      <c r="N674" s="3">
        <v>1501</v>
      </c>
      <c r="O674" s="4" t="s">
        <v>261</v>
      </c>
      <c r="P674" s="5" t="s">
        <v>87</v>
      </c>
      <c r="Q674" s="56">
        <v>0</v>
      </c>
      <c r="R674" s="56">
        <v>0</v>
      </c>
      <c r="S674" s="56">
        <v>0</v>
      </c>
      <c r="T674" s="56">
        <f>_xlfn.XLOOKUP($N674,'Calculo Leads Conveniencia'!$A$77:$A$104,'Calculo Leads Conveniencia'!G$77:G$104)*_xlfn.XLOOKUP($P674,'Base Grupo de Produtos'!$E$23:$E$39,'Base Grupo de Produtos'!$F$23:$F$39)</f>
        <v>0</v>
      </c>
      <c r="U674" s="56">
        <f>_xlfn.XLOOKUP($N674,'Calculo Leads Conveniencia'!$A$77:$A$104,'Calculo Leads Conveniencia'!H$77:H$104)*_xlfn.XLOOKUP($P674,'Base Grupo de Produtos'!$E$23:$E$39,'Base Grupo de Produtos'!$F$23:$F$39)</f>
        <v>0</v>
      </c>
      <c r="V674" s="56">
        <f>_xlfn.XLOOKUP($N674,'Calculo Leads Conveniencia'!$A$77:$A$104,'Calculo Leads Conveniencia'!I$77:I$104)*_xlfn.XLOOKUP($P674,'Base Grupo de Produtos'!$E$23:$E$39,'Base Grupo de Produtos'!$F$23:$F$39)</f>
        <v>0</v>
      </c>
      <c r="W674" s="56">
        <f>_xlfn.XLOOKUP($N674,'Calculo Leads Conveniencia'!$A$77:$A$104,'Calculo Leads Conveniencia'!J$77:J$104)*_xlfn.XLOOKUP($P674,'Base Grupo de Produtos'!$E$23:$E$39,'Base Grupo de Produtos'!$F$23:$F$39)</f>
        <v>0</v>
      </c>
      <c r="X674" s="56">
        <f>_xlfn.XLOOKUP($N674,'Calculo Leads Conveniencia'!$A$77:$A$104,'Calculo Leads Conveniencia'!K$77:K$104)*_xlfn.XLOOKUP($P674,'Base Grupo de Produtos'!$E$23:$E$39,'Base Grupo de Produtos'!$F$23:$F$39)</f>
        <v>0</v>
      </c>
      <c r="Y674" s="56">
        <f>_xlfn.XLOOKUP($N674,'Calculo Leads Conveniencia'!$A$77:$A$104,'Calculo Leads Conveniencia'!L$77:L$104)*_xlfn.XLOOKUP($P674,'Base Grupo de Produtos'!$E$23:$E$39,'Base Grupo de Produtos'!$F$23:$F$39)</f>
        <v>0</v>
      </c>
      <c r="Z674" s="56">
        <f>_xlfn.XLOOKUP($N674,'Calculo Leads Conveniencia'!$A$77:$A$104,'Calculo Leads Conveniencia'!M$77:M$104)*_xlfn.XLOOKUP($P674,'Base Grupo de Produtos'!$E$23:$E$39,'Base Grupo de Produtos'!$F$23:$F$39)</f>
        <v>0</v>
      </c>
      <c r="AA674" s="56">
        <f>_xlfn.XLOOKUP($N674,'Calculo Leads Conveniencia'!$A$77:$A$104,'Calculo Leads Conveniencia'!N$77:N$104)*_xlfn.XLOOKUP($P674,'Base Grupo de Produtos'!$E$23:$E$39,'Base Grupo de Produtos'!$F$23:$F$39)</f>
        <v>0</v>
      </c>
      <c r="AB674" s="56">
        <f>_xlfn.XLOOKUP($N674,'Calculo Leads Conveniencia'!$A$77:$A$104,'Calculo Leads Conveniencia'!O$77:O$104)*_xlfn.XLOOKUP($P674,'Base Grupo de Produtos'!$E$23:$E$39,'Base Grupo de Produtos'!$F$23:$F$39)</f>
        <v>0</v>
      </c>
      <c r="AC674" s="61">
        <f t="shared" si="697"/>
        <v>0</v>
      </c>
      <c r="AD674" s="28"/>
      <c r="AE674" s="12"/>
      <c r="AF674" s="29"/>
      <c r="AG674" s="9"/>
      <c r="AH674" s="10"/>
      <c r="AI674" s="9"/>
      <c r="AJ674" s="11"/>
      <c r="AK674" s="9"/>
      <c r="AL674" s="13"/>
      <c r="AM674" s="9"/>
    </row>
    <row r="675" spans="1:39" x14ac:dyDescent="0.3">
      <c r="A675" s="2" t="str">
        <f t="shared" si="698"/>
        <v>NÃO</v>
      </c>
      <c r="B675" s="2" t="str">
        <f>_xlfn.XLOOKUP($N675,'Base de Grupos'!$A:$A,'Base de Grupos'!$D:$D)</f>
        <v>1000065763</v>
      </c>
      <c r="C675" s="5" t="str">
        <f>_xlfn.XLOOKUP($N675,'Base de Grupos'!$A:$A,'Base de Grupos'!$E:$E)</f>
        <v>CANAL VENDA INTERNA</v>
      </c>
      <c r="D675" s="5" t="str">
        <f>_xlfn.XLOOKUP($N675,'Base de Grupos'!$A:$A,'Base de Grupos'!$F:$F)</f>
        <v>1000065763</v>
      </c>
      <c r="E675" s="2" t="str">
        <f>_xlfn.XLOOKUP($N675,'Base de Grupos'!$A:$A,'Base de Grupos'!$G:$G)</f>
        <v>CANAL VENDA INTERNA</v>
      </c>
      <c r="F675" s="2" t="str">
        <f>_xlfn.XLOOKUP($N675,'Base de Grupos'!$A:$A,'Base de Grupos'!$H:$H)</f>
        <v>1000174119</v>
      </c>
      <c r="G675" s="5" t="str">
        <f>_xlfn.XLOOKUP($N675,'Base de Grupos'!$A:$A,'Base de Grupos'!$I:$I)</f>
        <v>REGIONAL VENDA INTERNA - CONVENIENCIA</v>
      </c>
      <c r="H675" s="5" t="str">
        <f>_xlfn.XLOOKUP($N675,'Base de Grupos'!$A:$A,'Base de Grupos'!$J:$J)</f>
        <v>1000174119</v>
      </c>
      <c r="I675" s="2" t="str">
        <f>_xlfn.XLOOKUP($N675,'Base de Grupos'!$A:$A,'Base de Grupos'!$K:$K)</f>
        <v>REGIONAL VENDA INTERNA - CONVENIENCIA</v>
      </c>
      <c r="J675" s="2" t="str">
        <f>_xlfn.XLOOKUP($N675,'Base de Grupos'!$A:$A,'Base de Grupos'!$L:$L)</f>
        <v>1000174119</v>
      </c>
      <c r="K675" s="5" t="str">
        <f>_xlfn.XLOOKUP($N675,'Base de Grupos'!$A:$A,'Base de Grupos'!$M:$M)</f>
        <v>REGIONAL VENDA INTERNA - CONVENIENCIA</v>
      </c>
      <c r="L675" s="5" t="str">
        <f t="shared" si="699"/>
        <v/>
      </c>
      <c r="M675" s="5" t="str">
        <f>_xlfn.XLOOKUP($N675,'Base de Grupos'!$A:$A,'Base de Grupos'!$C:$C)</f>
        <v>PR</v>
      </c>
      <c r="N675" s="3">
        <v>1501</v>
      </c>
      <c r="O675" s="4" t="s">
        <v>261</v>
      </c>
      <c r="P675" s="5" t="s">
        <v>85</v>
      </c>
      <c r="Q675" s="56">
        <v>0</v>
      </c>
      <c r="R675" s="56">
        <v>0</v>
      </c>
      <c r="S675" s="56">
        <v>0</v>
      </c>
      <c r="T675" s="56">
        <f>_xlfn.XLOOKUP($N675,'Calculo Leads Conveniencia'!$A$77:$A$104,'Calculo Leads Conveniencia'!G$77:G$104)*_xlfn.XLOOKUP($P675,'Base Grupo de Produtos'!$E$23:$E$39,'Base Grupo de Produtos'!$F$23:$F$39)</f>
        <v>0</v>
      </c>
      <c r="U675" s="56">
        <f>_xlfn.XLOOKUP($N675,'Calculo Leads Conveniencia'!$A$77:$A$104,'Calculo Leads Conveniencia'!H$77:H$104)*_xlfn.XLOOKUP($P675,'Base Grupo de Produtos'!$E$23:$E$39,'Base Grupo de Produtos'!$F$23:$F$39)</f>
        <v>0</v>
      </c>
      <c r="V675" s="56">
        <f>_xlfn.XLOOKUP($N675,'Calculo Leads Conveniencia'!$A$77:$A$104,'Calculo Leads Conveniencia'!I$77:I$104)*_xlfn.XLOOKUP($P675,'Base Grupo de Produtos'!$E$23:$E$39,'Base Grupo de Produtos'!$F$23:$F$39)</f>
        <v>0</v>
      </c>
      <c r="W675" s="56">
        <f>_xlfn.XLOOKUP($N675,'Calculo Leads Conveniencia'!$A$77:$A$104,'Calculo Leads Conveniencia'!J$77:J$104)*_xlfn.XLOOKUP($P675,'Base Grupo de Produtos'!$E$23:$E$39,'Base Grupo de Produtos'!$F$23:$F$39)</f>
        <v>0</v>
      </c>
      <c r="X675" s="56">
        <f>_xlfn.XLOOKUP($N675,'Calculo Leads Conveniencia'!$A$77:$A$104,'Calculo Leads Conveniencia'!K$77:K$104)*_xlfn.XLOOKUP($P675,'Base Grupo de Produtos'!$E$23:$E$39,'Base Grupo de Produtos'!$F$23:$F$39)</f>
        <v>0</v>
      </c>
      <c r="Y675" s="56">
        <f>_xlfn.XLOOKUP($N675,'Calculo Leads Conveniencia'!$A$77:$A$104,'Calculo Leads Conveniencia'!L$77:L$104)*_xlfn.XLOOKUP($P675,'Base Grupo de Produtos'!$E$23:$E$39,'Base Grupo de Produtos'!$F$23:$F$39)</f>
        <v>0</v>
      </c>
      <c r="Z675" s="56">
        <f>_xlfn.XLOOKUP($N675,'Calculo Leads Conveniencia'!$A$77:$A$104,'Calculo Leads Conveniencia'!M$77:M$104)*_xlfn.XLOOKUP($P675,'Base Grupo de Produtos'!$E$23:$E$39,'Base Grupo de Produtos'!$F$23:$F$39)</f>
        <v>0</v>
      </c>
      <c r="AA675" s="56">
        <f>_xlfn.XLOOKUP($N675,'Calculo Leads Conveniencia'!$A$77:$A$104,'Calculo Leads Conveniencia'!N$77:N$104)*_xlfn.XLOOKUP($P675,'Base Grupo de Produtos'!$E$23:$E$39,'Base Grupo de Produtos'!$F$23:$F$39)</f>
        <v>0</v>
      </c>
      <c r="AB675" s="56">
        <f>_xlfn.XLOOKUP($N675,'Calculo Leads Conveniencia'!$A$77:$A$104,'Calculo Leads Conveniencia'!O$77:O$104)*_xlfn.XLOOKUP($P675,'Base Grupo de Produtos'!$E$23:$E$39,'Base Grupo de Produtos'!$F$23:$F$39)</f>
        <v>0</v>
      </c>
      <c r="AC675" s="61">
        <f t="shared" si="697"/>
        <v>0</v>
      </c>
      <c r="AD675" s="28"/>
      <c r="AE675" s="12"/>
      <c r="AF675" s="29"/>
      <c r="AG675" s="9"/>
      <c r="AH675" s="10"/>
      <c r="AI675" s="9"/>
      <c r="AJ675" s="11"/>
      <c r="AK675" s="9"/>
      <c r="AL675" s="13"/>
      <c r="AM675" s="9"/>
    </row>
    <row r="676" spans="1:39" x14ac:dyDescent="0.3">
      <c r="A676" s="2" t="str">
        <f t="shared" si="698"/>
        <v>NÃO</v>
      </c>
      <c r="B676" s="2" t="str">
        <f>_xlfn.XLOOKUP($N676,'Base de Grupos'!$A:$A,'Base de Grupos'!$D:$D)</f>
        <v>1000065763</v>
      </c>
      <c r="C676" s="5" t="str">
        <f>_xlfn.XLOOKUP($N676,'Base de Grupos'!$A:$A,'Base de Grupos'!$E:$E)</f>
        <v>CANAL VENDA INTERNA</v>
      </c>
      <c r="D676" s="5" t="str">
        <f>_xlfn.XLOOKUP($N676,'Base de Grupos'!$A:$A,'Base de Grupos'!$F:$F)</f>
        <v>1000065763</v>
      </c>
      <c r="E676" s="2" t="str">
        <f>_xlfn.XLOOKUP($N676,'Base de Grupos'!$A:$A,'Base de Grupos'!$G:$G)</f>
        <v>CANAL VENDA INTERNA</v>
      </c>
      <c r="F676" s="2" t="str">
        <f>_xlfn.XLOOKUP($N676,'Base de Grupos'!$A:$A,'Base de Grupos'!$H:$H)</f>
        <v>1000174119</v>
      </c>
      <c r="G676" s="5" t="str">
        <f>_xlfn.XLOOKUP($N676,'Base de Grupos'!$A:$A,'Base de Grupos'!$I:$I)</f>
        <v>REGIONAL VENDA INTERNA - CONVENIENCIA</v>
      </c>
      <c r="H676" s="5" t="str">
        <f>_xlfn.XLOOKUP($N676,'Base de Grupos'!$A:$A,'Base de Grupos'!$J:$J)</f>
        <v>1000174119</v>
      </c>
      <c r="I676" s="2" t="str">
        <f>_xlfn.XLOOKUP($N676,'Base de Grupos'!$A:$A,'Base de Grupos'!$K:$K)</f>
        <v>REGIONAL VENDA INTERNA - CONVENIENCIA</v>
      </c>
      <c r="J676" s="2" t="str">
        <f>_xlfn.XLOOKUP($N676,'Base de Grupos'!$A:$A,'Base de Grupos'!$L:$L)</f>
        <v>1000174119</v>
      </c>
      <c r="K676" s="5" t="str">
        <f>_xlfn.XLOOKUP($N676,'Base de Grupos'!$A:$A,'Base de Grupos'!$M:$M)</f>
        <v>REGIONAL VENDA INTERNA - CONVENIENCIA</v>
      </c>
      <c r="L676" s="5" t="str">
        <f t="shared" si="699"/>
        <v/>
      </c>
      <c r="M676" s="5" t="str">
        <f>_xlfn.XLOOKUP($N676,'Base de Grupos'!$A:$A,'Base de Grupos'!$C:$C)</f>
        <v>PR</v>
      </c>
      <c r="N676" s="3">
        <v>1501</v>
      </c>
      <c r="O676" s="4" t="s">
        <v>261</v>
      </c>
      <c r="P676" s="5" t="s">
        <v>92</v>
      </c>
      <c r="Q676" s="56">
        <v>0</v>
      </c>
      <c r="R676" s="56">
        <v>0</v>
      </c>
      <c r="S676" s="56">
        <v>0</v>
      </c>
      <c r="T676" s="56">
        <f>_xlfn.XLOOKUP($N676,'Calculo Leads Conveniencia'!$A$77:$A$104,'Calculo Leads Conveniencia'!G$77:G$104)*_xlfn.XLOOKUP($P676,'Base Grupo de Produtos'!$E$23:$E$39,'Base Grupo de Produtos'!$F$23:$F$39)</f>
        <v>0</v>
      </c>
      <c r="U676" s="56">
        <f>_xlfn.XLOOKUP($N676,'Calculo Leads Conveniencia'!$A$77:$A$104,'Calculo Leads Conveniencia'!H$77:H$104)*_xlfn.XLOOKUP($P676,'Base Grupo de Produtos'!$E$23:$E$39,'Base Grupo de Produtos'!$F$23:$F$39)</f>
        <v>0</v>
      </c>
      <c r="V676" s="56">
        <f>_xlfn.XLOOKUP($N676,'Calculo Leads Conveniencia'!$A$77:$A$104,'Calculo Leads Conveniencia'!I$77:I$104)*_xlfn.XLOOKUP($P676,'Base Grupo de Produtos'!$E$23:$E$39,'Base Grupo de Produtos'!$F$23:$F$39)</f>
        <v>0</v>
      </c>
      <c r="W676" s="56">
        <f>_xlfn.XLOOKUP($N676,'Calculo Leads Conveniencia'!$A$77:$A$104,'Calculo Leads Conveniencia'!J$77:J$104)*_xlfn.XLOOKUP($P676,'Base Grupo de Produtos'!$E$23:$E$39,'Base Grupo de Produtos'!$F$23:$F$39)</f>
        <v>0</v>
      </c>
      <c r="X676" s="56">
        <f>_xlfn.XLOOKUP($N676,'Calculo Leads Conveniencia'!$A$77:$A$104,'Calculo Leads Conveniencia'!K$77:K$104)*_xlfn.XLOOKUP($P676,'Base Grupo de Produtos'!$E$23:$E$39,'Base Grupo de Produtos'!$F$23:$F$39)</f>
        <v>0</v>
      </c>
      <c r="Y676" s="56">
        <f>_xlfn.XLOOKUP($N676,'Calculo Leads Conveniencia'!$A$77:$A$104,'Calculo Leads Conveniencia'!L$77:L$104)*_xlfn.XLOOKUP($P676,'Base Grupo de Produtos'!$E$23:$E$39,'Base Grupo de Produtos'!$F$23:$F$39)</f>
        <v>0</v>
      </c>
      <c r="Z676" s="56">
        <f>_xlfn.XLOOKUP($N676,'Calculo Leads Conveniencia'!$A$77:$A$104,'Calculo Leads Conveniencia'!M$77:M$104)*_xlfn.XLOOKUP($P676,'Base Grupo de Produtos'!$E$23:$E$39,'Base Grupo de Produtos'!$F$23:$F$39)</f>
        <v>0</v>
      </c>
      <c r="AA676" s="56">
        <f>_xlfn.XLOOKUP($N676,'Calculo Leads Conveniencia'!$A$77:$A$104,'Calculo Leads Conveniencia'!N$77:N$104)*_xlfn.XLOOKUP($P676,'Base Grupo de Produtos'!$E$23:$E$39,'Base Grupo de Produtos'!$F$23:$F$39)</f>
        <v>0</v>
      </c>
      <c r="AB676" s="56">
        <f>_xlfn.XLOOKUP($N676,'Calculo Leads Conveniencia'!$A$77:$A$104,'Calculo Leads Conveniencia'!O$77:O$104)*_xlfn.XLOOKUP($P676,'Base Grupo de Produtos'!$E$23:$E$39,'Base Grupo de Produtos'!$F$23:$F$39)</f>
        <v>0</v>
      </c>
      <c r="AC676" s="61">
        <f t="shared" si="697"/>
        <v>0</v>
      </c>
      <c r="AD676" s="28"/>
      <c r="AE676" s="12"/>
      <c r="AF676" s="29"/>
      <c r="AG676" s="9"/>
      <c r="AH676" s="10"/>
      <c r="AI676" s="9"/>
      <c r="AJ676" s="11"/>
      <c r="AK676" s="9"/>
      <c r="AL676" s="13"/>
      <c r="AM676" s="9"/>
    </row>
    <row r="677" spans="1:39" x14ac:dyDescent="0.3">
      <c r="A677" s="2" t="str">
        <f t="shared" si="698"/>
        <v>NÃO</v>
      </c>
      <c r="B677" s="2" t="str">
        <f>_xlfn.XLOOKUP($N677,'Base de Grupos'!$A:$A,'Base de Grupos'!$D:$D)</f>
        <v>1000065763</v>
      </c>
      <c r="C677" s="5" t="str">
        <f>_xlfn.XLOOKUP($N677,'Base de Grupos'!$A:$A,'Base de Grupos'!$E:$E)</f>
        <v>CANAL VENDA INTERNA</v>
      </c>
      <c r="D677" s="5" t="str">
        <f>_xlfn.XLOOKUP($N677,'Base de Grupos'!$A:$A,'Base de Grupos'!$F:$F)</f>
        <v>1000065763</v>
      </c>
      <c r="E677" s="2" t="str">
        <f>_xlfn.XLOOKUP($N677,'Base de Grupos'!$A:$A,'Base de Grupos'!$G:$G)</f>
        <v>CANAL VENDA INTERNA</v>
      </c>
      <c r="F677" s="2" t="str">
        <f>_xlfn.XLOOKUP($N677,'Base de Grupos'!$A:$A,'Base de Grupos'!$H:$H)</f>
        <v>1000174119</v>
      </c>
      <c r="G677" s="5" t="str">
        <f>_xlfn.XLOOKUP($N677,'Base de Grupos'!$A:$A,'Base de Grupos'!$I:$I)</f>
        <v>REGIONAL VENDA INTERNA - CONVENIENCIA</v>
      </c>
      <c r="H677" s="5" t="str">
        <f>_xlfn.XLOOKUP($N677,'Base de Grupos'!$A:$A,'Base de Grupos'!$J:$J)</f>
        <v>1000174119</v>
      </c>
      <c r="I677" s="2" t="str">
        <f>_xlfn.XLOOKUP($N677,'Base de Grupos'!$A:$A,'Base de Grupos'!$K:$K)</f>
        <v>REGIONAL VENDA INTERNA - CONVENIENCIA</v>
      </c>
      <c r="J677" s="2" t="str">
        <f>_xlfn.XLOOKUP($N677,'Base de Grupos'!$A:$A,'Base de Grupos'!$L:$L)</f>
        <v>1000174119</v>
      </c>
      <c r="K677" s="5" t="str">
        <f>_xlfn.XLOOKUP($N677,'Base de Grupos'!$A:$A,'Base de Grupos'!$M:$M)</f>
        <v>REGIONAL VENDA INTERNA - CONVENIENCIA</v>
      </c>
      <c r="L677" s="5" t="str">
        <f t="shared" si="699"/>
        <v/>
      </c>
      <c r="M677" s="5" t="str">
        <f>_xlfn.XLOOKUP($N677,'Base de Grupos'!$A:$A,'Base de Grupos'!$C:$C)</f>
        <v>PR</v>
      </c>
      <c r="N677" s="3">
        <v>1501</v>
      </c>
      <c r="O677" s="4" t="s">
        <v>261</v>
      </c>
      <c r="P677" s="5" t="s">
        <v>86</v>
      </c>
      <c r="Q677" s="56">
        <v>0</v>
      </c>
      <c r="R677" s="56">
        <v>0</v>
      </c>
      <c r="S677" s="56">
        <v>0</v>
      </c>
      <c r="T677" s="56">
        <f>_xlfn.XLOOKUP($N677,'Calculo Leads Conveniencia'!$A$77:$A$104,'Calculo Leads Conveniencia'!G$77:G$104)*_xlfn.XLOOKUP($P677,'Base Grupo de Produtos'!$E$23:$E$39,'Base Grupo de Produtos'!$F$23:$F$39)</f>
        <v>0</v>
      </c>
      <c r="U677" s="56">
        <f>_xlfn.XLOOKUP($N677,'Calculo Leads Conveniencia'!$A$77:$A$104,'Calculo Leads Conveniencia'!H$77:H$104)*_xlfn.XLOOKUP($P677,'Base Grupo de Produtos'!$E$23:$E$39,'Base Grupo de Produtos'!$F$23:$F$39)</f>
        <v>0</v>
      </c>
      <c r="V677" s="56">
        <f>_xlfn.XLOOKUP($N677,'Calculo Leads Conveniencia'!$A$77:$A$104,'Calculo Leads Conveniencia'!I$77:I$104)*_xlfn.XLOOKUP($P677,'Base Grupo de Produtos'!$E$23:$E$39,'Base Grupo de Produtos'!$F$23:$F$39)</f>
        <v>0</v>
      </c>
      <c r="W677" s="56">
        <f>_xlfn.XLOOKUP($N677,'Calculo Leads Conveniencia'!$A$77:$A$104,'Calculo Leads Conveniencia'!J$77:J$104)*_xlfn.XLOOKUP($P677,'Base Grupo de Produtos'!$E$23:$E$39,'Base Grupo de Produtos'!$F$23:$F$39)</f>
        <v>0</v>
      </c>
      <c r="X677" s="56">
        <f>_xlfn.XLOOKUP($N677,'Calculo Leads Conveniencia'!$A$77:$A$104,'Calculo Leads Conveniencia'!K$77:K$104)*_xlfn.XLOOKUP($P677,'Base Grupo de Produtos'!$E$23:$E$39,'Base Grupo de Produtos'!$F$23:$F$39)</f>
        <v>0</v>
      </c>
      <c r="Y677" s="56">
        <f>_xlfn.XLOOKUP($N677,'Calculo Leads Conveniencia'!$A$77:$A$104,'Calculo Leads Conveniencia'!L$77:L$104)*_xlfn.XLOOKUP($P677,'Base Grupo de Produtos'!$E$23:$E$39,'Base Grupo de Produtos'!$F$23:$F$39)</f>
        <v>0</v>
      </c>
      <c r="Z677" s="56">
        <f>_xlfn.XLOOKUP($N677,'Calculo Leads Conveniencia'!$A$77:$A$104,'Calculo Leads Conveniencia'!M$77:M$104)*_xlfn.XLOOKUP($P677,'Base Grupo de Produtos'!$E$23:$E$39,'Base Grupo de Produtos'!$F$23:$F$39)</f>
        <v>0</v>
      </c>
      <c r="AA677" s="56">
        <f>_xlfn.XLOOKUP($N677,'Calculo Leads Conveniencia'!$A$77:$A$104,'Calculo Leads Conveniencia'!N$77:N$104)*_xlfn.XLOOKUP($P677,'Base Grupo de Produtos'!$E$23:$E$39,'Base Grupo de Produtos'!$F$23:$F$39)</f>
        <v>0</v>
      </c>
      <c r="AB677" s="56">
        <f>_xlfn.XLOOKUP($N677,'Calculo Leads Conveniencia'!$A$77:$A$104,'Calculo Leads Conveniencia'!O$77:O$104)*_xlfn.XLOOKUP($P677,'Base Grupo de Produtos'!$E$23:$E$39,'Base Grupo de Produtos'!$F$23:$F$39)</f>
        <v>0</v>
      </c>
      <c r="AC677" s="61">
        <f t="shared" si="697"/>
        <v>0</v>
      </c>
      <c r="AD677" s="28"/>
      <c r="AE677" s="12"/>
      <c r="AF677" s="29"/>
      <c r="AG677" s="9"/>
      <c r="AH677" s="10"/>
      <c r="AI677" s="9"/>
      <c r="AJ677" s="11"/>
      <c r="AK677" s="9"/>
      <c r="AL677" s="13"/>
      <c r="AM677" s="9"/>
    </row>
    <row r="678" spans="1:39" x14ac:dyDescent="0.3">
      <c r="A678" s="2" t="str">
        <f t="shared" si="698"/>
        <v>NÃO</v>
      </c>
      <c r="B678" s="2" t="str">
        <f>_xlfn.XLOOKUP($N678,'Base de Grupos'!$A:$A,'Base de Grupos'!$D:$D)</f>
        <v>1000065763</v>
      </c>
      <c r="C678" s="5" t="str">
        <f>_xlfn.XLOOKUP($N678,'Base de Grupos'!$A:$A,'Base de Grupos'!$E:$E)</f>
        <v>CANAL VENDA INTERNA</v>
      </c>
      <c r="D678" s="5" t="str">
        <f>_xlfn.XLOOKUP($N678,'Base de Grupos'!$A:$A,'Base de Grupos'!$F:$F)</f>
        <v>1000065763</v>
      </c>
      <c r="E678" s="2" t="str">
        <f>_xlfn.XLOOKUP($N678,'Base de Grupos'!$A:$A,'Base de Grupos'!$G:$G)</f>
        <v>CANAL VENDA INTERNA</v>
      </c>
      <c r="F678" s="2" t="str">
        <f>_xlfn.XLOOKUP($N678,'Base de Grupos'!$A:$A,'Base de Grupos'!$H:$H)</f>
        <v>1000174119</v>
      </c>
      <c r="G678" s="5" t="str">
        <f>_xlfn.XLOOKUP($N678,'Base de Grupos'!$A:$A,'Base de Grupos'!$I:$I)</f>
        <v>REGIONAL VENDA INTERNA - CONVENIENCIA</v>
      </c>
      <c r="H678" s="5" t="str">
        <f>_xlfn.XLOOKUP($N678,'Base de Grupos'!$A:$A,'Base de Grupos'!$J:$J)</f>
        <v>1000174119</v>
      </c>
      <c r="I678" s="2" t="str">
        <f>_xlfn.XLOOKUP($N678,'Base de Grupos'!$A:$A,'Base de Grupos'!$K:$K)</f>
        <v>REGIONAL VENDA INTERNA - CONVENIENCIA</v>
      </c>
      <c r="J678" s="2" t="str">
        <f>_xlfn.XLOOKUP($N678,'Base de Grupos'!$A:$A,'Base de Grupos'!$L:$L)</f>
        <v>1000174119</v>
      </c>
      <c r="K678" s="5" t="str">
        <f>_xlfn.XLOOKUP($N678,'Base de Grupos'!$A:$A,'Base de Grupos'!$M:$M)</f>
        <v>REGIONAL VENDA INTERNA - CONVENIENCIA</v>
      </c>
      <c r="L678" s="5" t="str">
        <f t="shared" si="699"/>
        <v/>
      </c>
      <c r="M678" s="5" t="str">
        <f>_xlfn.XLOOKUP($N678,'Base de Grupos'!$A:$A,'Base de Grupos'!$C:$C)</f>
        <v>PR</v>
      </c>
      <c r="N678" s="3">
        <v>1501</v>
      </c>
      <c r="O678" s="4" t="s">
        <v>261</v>
      </c>
      <c r="P678" s="5" t="s">
        <v>108</v>
      </c>
      <c r="Q678" s="56">
        <v>0</v>
      </c>
      <c r="R678" s="56">
        <v>0</v>
      </c>
      <c r="S678" s="56">
        <v>0</v>
      </c>
      <c r="T678" s="56">
        <f>_xlfn.XLOOKUP($N678,'Calculo Leads Conveniencia'!$A$77:$A$104,'Calculo Leads Conveniencia'!G$77:G$104)*_xlfn.XLOOKUP($P678,'Base Grupo de Produtos'!$E$23:$E$39,'Base Grupo de Produtos'!$F$23:$F$39)</f>
        <v>0</v>
      </c>
      <c r="U678" s="56">
        <f>_xlfn.XLOOKUP($N678,'Calculo Leads Conveniencia'!$A$77:$A$104,'Calculo Leads Conveniencia'!H$77:H$104)*_xlfn.XLOOKUP($P678,'Base Grupo de Produtos'!$E$23:$E$39,'Base Grupo de Produtos'!$F$23:$F$39)</f>
        <v>0</v>
      </c>
      <c r="V678" s="56">
        <f>_xlfn.XLOOKUP($N678,'Calculo Leads Conveniencia'!$A$77:$A$104,'Calculo Leads Conveniencia'!I$77:I$104)*_xlfn.XLOOKUP($P678,'Base Grupo de Produtos'!$E$23:$E$39,'Base Grupo de Produtos'!$F$23:$F$39)</f>
        <v>0</v>
      </c>
      <c r="W678" s="56">
        <f>_xlfn.XLOOKUP($N678,'Calculo Leads Conveniencia'!$A$77:$A$104,'Calculo Leads Conveniencia'!J$77:J$104)*_xlfn.XLOOKUP($P678,'Base Grupo de Produtos'!$E$23:$E$39,'Base Grupo de Produtos'!$F$23:$F$39)</f>
        <v>0</v>
      </c>
      <c r="X678" s="56">
        <f>_xlfn.XLOOKUP($N678,'Calculo Leads Conveniencia'!$A$77:$A$104,'Calculo Leads Conveniencia'!K$77:K$104)*_xlfn.XLOOKUP($P678,'Base Grupo de Produtos'!$E$23:$E$39,'Base Grupo de Produtos'!$F$23:$F$39)</f>
        <v>0</v>
      </c>
      <c r="Y678" s="56">
        <f>_xlfn.XLOOKUP($N678,'Calculo Leads Conveniencia'!$A$77:$A$104,'Calculo Leads Conveniencia'!L$77:L$104)*_xlfn.XLOOKUP($P678,'Base Grupo de Produtos'!$E$23:$E$39,'Base Grupo de Produtos'!$F$23:$F$39)</f>
        <v>0</v>
      </c>
      <c r="Z678" s="56">
        <f>_xlfn.XLOOKUP($N678,'Calculo Leads Conveniencia'!$A$77:$A$104,'Calculo Leads Conveniencia'!M$77:M$104)*_xlfn.XLOOKUP($P678,'Base Grupo de Produtos'!$E$23:$E$39,'Base Grupo de Produtos'!$F$23:$F$39)</f>
        <v>0</v>
      </c>
      <c r="AA678" s="56">
        <f>_xlfn.XLOOKUP($N678,'Calculo Leads Conveniencia'!$A$77:$A$104,'Calculo Leads Conveniencia'!N$77:N$104)*_xlfn.XLOOKUP($P678,'Base Grupo de Produtos'!$E$23:$E$39,'Base Grupo de Produtos'!$F$23:$F$39)</f>
        <v>0</v>
      </c>
      <c r="AB678" s="56">
        <f>_xlfn.XLOOKUP($N678,'Calculo Leads Conveniencia'!$A$77:$A$104,'Calculo Leads Conveniencia'!O$77:O$104)*_xlfn.XLOOKUP($P678,'Base Grupo de Produtos'!$E$23:$E$39,'Base Grupo de Produtos'!$F$23:$F$39)</f>
        <v>0</v>
      </c>
      <c r="AC678" s="61">
        <f t="shared" si="697"/>
        <v>0</v>
      </c>
      <c r="AD678" s="28"/>
      <c r="AE678" s="12"/>
      <c r="AF678" s="29"/>
      <c r="AG678" s="9"/>
      <c r="AH678" s="10"/>
      <c r="AI678" s="9"/>
      <c r="AJ678" s="11"/>
      <c r="AK678" s="9"/>
      <c r="AL678" s="13"/>
      <c r="AM678" s="9"/>
    </row>
    <row r="679" spans="1:39" x14ac:dyDescent="0.3">
      <c r="A679" s="2" t="str">
        <f t="shared" si="698"/>
        <v>NÃO</v>
      </c>
      <c r="B679" s="2" t="str">
        <f>_xlfn.XLOOKUP($N679,'Base de Grupos'!$A:$A,'Base de Grupos'!$D:$D)</f>
        <v>1000065763</v>
      </c>
      <c r="C679" s="5" t="str">
        <f>_xlfn.XLOOKUP($N679,'Base de Grupos'!$A:$A,'Base de Grupos'!$E:$E)</f>
        <v>CANAL VENDA INTERNA</v>
      </c>
      <c r="D679" s="5" t="str">
        <f>_xlfn.XLOOKUP($N679,'Base de Grupos'!$A:$A,'Base de Grupos'!$F:$F)</f>
        <v>1000065763</v>
      </c>
      <c r="E679" s="2" t="str">
        <f>_xlfn.XLOOKUP($N679,'Base de Grupos'!$A:$A,'Base de Grupos'!$G:$G)</f>
        <v>CANAL VENDA INTERNA</v>
      </c>
      <c r="F679" s="2" t="str">
        <f>_xlfn.XLOOKUP($N679,'Base de Grupos'!$A:$A,'Base de Grupos'!$H:$H)</f>
        <v>1000174119</v>
      </c>
      <c r="G679" s="5" t="str">
        <f>_xlfn.XLOOKUP($N679,'Base de Grupos'!$A:$A,'Base de Grupos'!$I:$I)</f>
        <v>REGIONAL VENDA INTERNA - CONVENIENCIA</v>
      </c>
      <c r="H679" s="5" t="str">
        <f>_xlfn.XLOOKUP($N679,'Base de Grupos'!$A:$A,'Base de Grupos'!$J:$J)</f>
        <v>1000174119</v>
      </c>
      <c r="I679" s="2" t="str">
        <f>_xlfn.XLOOKUP($N679,'Base de Grupos'!$A:$A,'Base de Grupos'!$K:$K)</f>
        <v>REGIONAL VENDA INTERNA - CONVENIENCIA</v>
      </c>
      <c r="J679" s="2" t="str">
        <f>_xlfn.XLOOKUP($N679,'Base de Grupos'!$A:$A,'Base de Grupos'!$L:$L)</f>
        <v>1000174119</v>
      </c>
      <c r="K679" s="5" t="str">
        <f>_xlfn.XLOOKUP($N679,'Base de Grupos'!$A:$A,'Base de Grupos'!$M:$M)</f>
        <v>REGIONAL VENDA INTERNA - CONVENIENCIA</v>
      </c>
      <c r="L679" s="5" t="str">
        <f t="shared" si="699"/>
        <v/>
      </c>
      <c r="M679" s="5" t="str">
        <f>_xlfn.XLOOKUP($N679,'Base de Grupos'!$A:$A,'Base de Grupos'!$C:$C)</f>
        <v>PR</v>
      </c>
      <c r="N679" s="3">
        <v>1501</v>
      </c>
      <c r="O679" s="4" t="s">
        <v>261</v>
      </c>
      <c r="P679" s="5" t="s">
        <v>89</v>
      </c>
      <c r="Q679" s="56">
        <v>0</v>
      </c>
      <c r="R679" s="56">
        <v>0</v>
      </c>
      <c r="S679" s="56">
        <v>0</v>
      </c>
      <c r="T679" s="56">
        <f>_xlfn.XLOOKUP($N679,'Calculo Leads Conveniencia'!$A$77:$A$104,'Calculo Leads Conveniencia'!G$77:G$104)*_xlfn.XLOOKUP($P679,'Base Grupo de Produtos'!$E$23:$E$39,'Base Grupo de Produtos'!$F$23:$F$39)</f>
        <v>0</v>
      </c>
      <c r="U679" s="56">
        <f>_xlfn.XLOOKUP($N679,'Calculo Leads Conveniencia'!$A$77:$A$104,'Calculo Leads Conveniencia'!H$77:H$104)*_xlfn.XLOOKUP($P679,'Base Grupo de Produtos'!$E$23:$E$39,'Base Grupo de Produtos'!$F$23:$F$39)</f>
        <v>0</v>
      </c>
      <c r="V679" s="56">
        <f>_xlfn.XLOOKUP($N679,'Calculo Leads Conveniencia'!$A$77:$A$104,'Calculo Leads Conveniencia'!I$77:I$104)*_xlfn.XLOOKUP($P679,'Base Grupo de Produtos'!$E$23:$E$39,'Base Grupo de Produtos'!$F$23:$F$39)</f>
        <v>0</v>
      </c>
      <c r="W679" s="56">
        <f>_xlfn.XLOOKUP($N679,'Calculo Leads Conveniencia'!$A$77:$A$104,'Calculo Leads Conveniencia'!J$77:J$104)*_xlfn.XLOOKUP($P679,'Base Grupo de Produtos'!$E$23:$E$39,'Base Grupo de Produtos'!$F$23:$F$39)</f>
        <v>0</v>
      </c>
      <c r="X679" s="56">
        <f>_xlfn.XLOOKUP($N679,'Calculo Leads Conveniencia'!$A$77:$A$104,'Calculo Leads Conveniencia'!K$77:K$104)*_xlfn.XLOOKUP($P679,'Base Grupo de Produtos'!$E$23:$E$39,'Base Grupo de Produtos'!$F$23:$F$39)</f>
        <v>0</v>
      </c>
      <c r="Y679" s="56">
        <f>_xlfn.XLOOKUP($N679,'Calculo Leads Conveniencia'!$A$77:$A$104,'Calculo Leads Conveniencia'!L$77:L$104)*_xlfn.XLOOKUP($P679,'Base Grupo de Produtos'!$E$23:$E$39,'Base Grupo de Produtos'!$F$23:$F$39)</f>
        <v>0</v>
      </c>
      <c r="Z679" s="56">
        <f>_xlfn.XLOOKUP($N679,'Calculo Leads Conveniencia'!$A$77:$A$104,'Calculo Leads Conveniencia'!M$77:M$104)*_xlfn.XLOOKUP($P679,'Base Grupo de Produtos'!$E$23:$E$39,'Base Grupo de Produtos'!$F$23:$F$39)</f>
        <v>0</v>
      </c>
      <c r="AA679" s="56">
        <f>_xlfn.XLOOKUP($N679,'Calculo Leads Conveniencia'!$A$77:$A$104,'Calculo Leads Conveniencia'!N$77:N$104)*_xlfn.XLOOKUP($P679,'Base Grupo de Produtos'!$E$23:$E$39,'Base Grupo de Produtos'!$F$23:$F$39)</f>
        <v>0</v>
      </c>
      <c r="AB679" s="56">
        <f>_xlfn.XLOOKUP($N679,'Calculo Leads Conveniencia'!$A$77:$A$104,'Calculo Leads Conveniencia'!O$77:O$104)*_xlfn.XLOOKUP($P679,'Base Grupo de Produtos'!$E$23:$E$39,'Base Grupo de Produtos'!$F$23:$F$39)</f>
        <v>0</v>
      </c>
      <c r="AC679" s="61">
        <f t="shared" si="697"/>
        <v>0</v>
      </c>
      <c r="AD679" s="28"/>
      <c r="AE679" s="12"/>
      <c r="AF679" s="29"/>
      <c r="AG679" s="9"/>
      <c r="AH679" s="10"/>
      <c r="AI679" s="9"/>
      <c r="AJ679" s="11"/>
      <c r="AK679" s="9"/>
      <c r="AL679" s="13"/>
      <c r="AM679" s="9"/>
    </row>
    <row r="680" spans="1:39" x14ac:dyDescent="0.3">
      <c r="A680" s="2" t="str">
        <f t="shared" si="698"/>
        <v>NÃO</v>
      </c>
      <c r="B680" s="2" t="str">
        <f>_xlfn.XLOOKUP($N680,'Base de Grupos'!$A:$A,'Base de Grupos'!$D:$D)</f>
        <v>1000065763</v>
      </c>
      <c r="C680" s="5" t="str">
        <f>_xlfn.XLOOKUP($N680,'Base de Grupos'!$A:$A,'Base de Grupos'!$E:$E)</f>
        <v>CANAL VENDA INTERNA</v>
      </c>
      <c r="D680" s="5" t="str">
        <f>_xlfn.XLOOKUP($N680,'Base de Grupos'!$A:$A,'Base de Grupos'!$F:$F)</f>
        <v>1000065763</v>
      </c>
      <c r="E680" s="2" t="str">
        <f>_xlfn.XLOOKUP($N680,'Base de Grupos'!$A:$A,'Base de Grupos'!$G:$G)</f>
        <v>CANAL VENDA INTERNA</v>
      </c>
      <c r="F680" s="2" t="str">
        <f>_xlfn.XLOOKUP($N680,'Base de Grupos'!$A:$A,'Base de Grupos'!$H:$H)</f>
        <v>1000174119</v>
      </c>
      <c r="G680" s="5" t="str">
        <f>_xlfn.XLOOKUP($N680,'Base de Grupos'!$A:$A,'Base de Grupos'!$I:$I)</f>
        <v>REGIONAL VENDA INTERNA - CONVENIENCIA</v>
      </c>
      <c r="H680" s="5" t="str">
        <f>_xlfn.XLOOKUP($N680,'Base de Grupos'!$A:$A,'Base de Grupos'!$J:$J)</f>
        <v>1000174119</v>
      </c>
      <c r="I680" s="2" t="str">
        <f>_xlfn.XLOOKUP($N680,'Base de Grupos'!$A:$A,'Base de Grupos'!$K:$K)</f>
        <v>REGIONAL VENDA INTERNA - CONVENIENCIA</v>
      </c>
      <c r="J680" s="2" t="str">
        <f>_xlfn.XLOOKUP($N680,'Base de Grupos'!$A:$A,'Base de Grupos'!$L:$L)</f>
        <v>1000174119</v>
      </c>
      <c r="K680" s="5" t="str">
        <f>_xlfn.XLOOKUP($N680,'Base de Grupos'!$A:$A,'Base de Grupos'!$M:$M)</f>
        <v>REGIONAL VENDA INTERNA - CONVENIENCIA</v>
      </c>
      <c r="L680" s="5" t="str">
        <f t="shared" si="699"/>
        <v/>
      </c>
      <c r="M680" s="5" t="str">
        <f>_xlfn.XLOOKUP($N680,'Base de Grupos'!$A:$A,'Base de Grupos'!$C:$C)</f>
        <v>PR</v>
      </c>
      <c r="N680" s="3">
        <v>1501</v>
      </c>
      <c r="O680" s="4" t="s">
        <v>261</v>
      </c>
      <c r="P680" s="5" t="s">
        <v>88</v>
      </c>
      <c r="Q680" s="56">
        <v>0</v>
      </c>
      <c r="R680" s="56">
        <v>0</v>
      </c>
      <c r="S680" s="56">
        <v>0</v>
      </c>
      <c r="T680" s="56">
        <f>_xlfn.XLOOKUP($N680,'Calculo Leads Conveniencia'!$A$77:$A$104,'Calculo Leads Conveniencia'!G$77:G$104)*_xlfn.XLOOKUP($P680,'Base Grupo de Produtos'!$E$23:$E$39,'Base Grupo de Produtos'!$F$23:$F$39)</f>
        <v>0</v>
      </c>
      <c r="U680" s="56">
        <f>_xlfn.XLOOKUP($N680,'Calculo Leads Conveniencia'!$A$77:$A$104,'Calculo Leads Conveniencia'!H$77:H$104)*_xlfn.XLOOKUP($P680,'Base Grupo de Produtos'!$E$23:$E$39,'Base Grupo de Produtos'!$F$23:$F$39)</f>
        <v>0</v>
      </c>
      <c r="V680" s="56">
        <f>_xlfn.XLOOKUP($N680,'Calculo Leads Conveniencia'!$A$77:$A$104,'Calculo Leads Conveniencia'!I$77:I$104)*_xlfn.XLOOKUP($P680,'Base Grupo de Produtos'!$E$23:$E$39,'Base Grupo de Produtos'!$F$23:$F$39)</f>
        <v>0</v>
      </c>
      <c r="W680" s="56">
        <f>_xlfn.XLOOKUP($N680,'Calculo Leads Conveniencia'!$A$77:$A$104,'Calculo Leads Conveniencia'!J$77:J$104)*_xlfn.XLOOKUP($P680,'Base Grupo de Produtos'!$E$23:$E$39,'Base Grupo de Produtos'!$F$23:$F$39)</f>
        <v>0</v>
      </c>
      <c r="X680" s="56">
        <f>_xlfn.XLOOKUP($N680,'Calculo Leads Conveniencia'!$A$77:$A$104,'Calculo Leads Conveniencia'!K$77:K$104)*_xlfn.XLOOKUP($P680,'Base Grupo de Produtos'!$E$23:$E$39,'Base Grupo de Produtos'!$F$23:$F$39)</f>
        <v>0</v>
      </c>
      <c r="Y680" s="56">
        <f>_xlfn.XLOOKUP($N680,'Calculo Leads Conveniencia'!$A$77:$A$104,'Calculo Leads Conveniencia'!L$77:L$104)*_xlfn.XLOOKUP($P680,'Base Grupo de Produtos'!$E$23:$E$39,'Base Grupo de Produtos'!$F$23:$F$39)</f>
        <v>0</v>
      </c>
      <c r="Z680" s="56">
        <f>_xlfn.XLOOKUP($N680,'Calculo Leads Conveniencia'!$A$77:$A$104,'Calculo Leads Conveniencia'!M$77:M$104)*_xlfn.XLOOKUP($P680,'Base Grupo de Produtos'!$E$23:$E$39,'Base Grupo de Produtos'!$F$23:$F$39)</f>
        <v>0</v>
      </c>
      <c r="AA680" s="56">
        <f>_xlfn.XLOOKUP($N680,'Calculo Leads Conveniencia'!$A$77:$A$104,'Calculo Leads Conveniencia'!N$77:N$104)*_xlfn.XLOOKUP($P680,'Base Grupo de Produtos'!$E$23:$E$39,'Base Grupo de Produtos'!$F$23:$F$39)</f>
        <v>0</v>
      </c>
      <c r="AB680" s="56">
        <f>_xlfn.XLOOKUP($N680,'Calculo Leads Conveniencia'!$A$77:$A$104,'Calculo Leads Conveniencia'!O$77:O$104)*_xlfn.XLOOKUP($P680,'Base Grupo de Produtos'!$E$23:$E$39,'Base Grupo de Produtos'!$F$23:$F$39)</f>
        <v>0</v>
      </c>
      <c r="AC680" s="61">
        <f t="shared" si="697"/>
        <v>0</v>
      </c>
      <c r="AD680" s="28"/>
      <c r="AE680" s="12"/>
      <c r="AF680" s="29"/>
      <c r="AG680" s="9"/>
      <c r="AH680" s="10"/>
      <c r="AI680" s="9"/>
      <c r="AJ680" s="11"/>
      <c r="AK680" s="9"/>
      <c r="AL680" s="13"/>
      <c r="AM680" s="9"/>
    </row>
    <row r="681" spans="1:39" x14ac:dyDescent="0.3">
      <c r="A681" s="2" t="str">
        <f t="shared" si="698"/>
        <v>NÃO</v>
      </c>
      <c r="B681" s="2" t="str">
        <f>_xlfn.XLOOKUP($N681,'Base de Grupos'!$A:$A,'Base de Grupos'!$D:$D)</f>
        <v>1000065763</v>
      </c>
      <c r="C681" s="5" t="str">
        <f>_xlfn.XLOOKUP($N681,'Base de Grupos'!$A:$A,'Base de Grupos'!$E:$E)</f>
        <v>CANAL VENDA INTERNA</v>
      </c>
      <c r="D681" s="5" t="str">
        <f>_xlfn.XLOOKUP($N681,'Base de Grupos'!$A:$A,'Base de Grupos'!$F:$F)</f>
        <v>1000065763</v>
      </c>
      <c r="E681" s="2" t="str">
        <f>_xlfn.XLOOKUP($N681,'Base de Grupos'!$A:$A,'Base de Grupos'!$G:$G)</f>
        <v>CANAL VENDA INTERNA</v>
      </c>
      <c r="F681" s="2" t="str">
        <f>_xlfn.XLOOKUP($N681,'Base de Grupos'!$A:$A,'Base de Grupos'!$H:$H)</f>
        <v>1000174119</v>
      </c>
      <c r="G681" s="5" t="str">
        <f>_xlfn.XLOOKUP($N681,'Base de Grupos'!$A:$A,'Base de Grupos'!$I:$I)</f>
        <v>REGIONAL VENDA INTERNA - CONVENIENCIA</v>
      </c>
      <c r="H681" s="5" t="str">
        <f>_xlfn.XLOOKUP($N681,'Base de Grupos'!$A:$A,'Base de Grupos'!$J:$J)</f>
        <v>1000174119</v>
      </c>
      <c r="I681" s="2" t="str">
        <f>_xlfn.XLOOKUP($N681,'Base de Grupos'!$A:$A,'Base de Grupos'!$K:$K)</f>
        <v>REGIONAL VENDA INTERNA - CONVENIENCIA</v>
      </c>
      <c r="J681" s="2" t="str">
        <f>_xlfn.XLOOKUP($N681,'Base de Grupos'!$A:$A,'Base de Grupos'!$L:$L)</f>
        <v>1000174119</v>
      </c>
      <c r="K681" s="5" t="str">
        <f>_xlfn.XLOOKUP($N681,'Base de Grupos'!$A:$A,'Base de Grupos'!$M:$M)</f>
        <v>REGIONAL VENDA INTERNA - CONVENIENCIA</v>
      </c>
      <c r="L681" s="5" t="str">
        <f t="shared" si="699"/>
        <v/>
      </c>
      <c r="M681" s="5" t="str">
        <f>_xlfn.XLOOKUP($N681,'Base de Grupos'!$A:$A,'Base de Grupos'!$C:$C)</f>
        <v>PR</v>
      </c>
      <c r="N681" s="3">
        <v>1501</v>
      </c>
      <c r="O681" s="4" t="s">
        <v>261</v>
      </c>
      <c r="P681" s="5" t="s">
        <v>90</v>
      </c>
      <c r="Q681" s="56">
        <v>0</v>
      </c>
      <c r="R681" s="56">
        <v>0</v>
      </c>
      <c r="S681" s="56">
        <v>0</v>
      </c>
      <c r="T681" s="56">
        <f>_xlfn.XLOOKUP($N681,'Calculo Leads Conveniencia'!$A$77:$A$104,'Calculo Leads Conveniencia'!G$77:G$104)*_xlfn.XLOOKUP($P681,'Base Grupo de Produtos'!$E$23:$E$39,'Base Grupo de Produtos'!$F$23:$F$39)</f>
        <v>0</v>
      </c>
      <c r="U681" s="56">
        <f>_xlfn.XLOOKUP($N681,'Calculo Leads Conveniencia'!$A$77:$A$104,'Calculo Leads Conveniencia'!H$77:H$104)*_xlfn.XLOOKUP($P681,'Base Grupo de Produtos'!$E$23:$E$39,'Base Grupo de Produtos'!$F$23:$F$39)</f>
        <v>0</v>
      </c>
      <c r="V681" s="56">
        <f>_xlfn.XLOOKUP($N681,'Calculo Leads Conveniencia'!$A$77:$A$104,'Calculo Leads Conveniencia'!I$77:I$104)*_xlfn.XLOOKUP($P681,'Base Grupo de Produtos'!$E$23:$E$39,'Base Grupo de Produtos'!$F$23:$F$39)</f>
        <v>0</v>
      </c>
      <c r="W681" s="56">
        <f>_xlfn.XLOOKUP($N681,'Calculo Leads Conveniencia'!$A$77:$A$104,'Calculo Leads Conveniencia'!J$77:J$104)*_xlfn.XLOOKUP($P681,'Base Grupo de Produtos'!$E$23:$E$39,'Base Grupo de Produtos'!$F$23:$F$39)</f>
        <v>0</v>
      </c>
      <c r="X681" s="56">
        <f>_xlfn.XLOOKUP($N681,'Calculo Leads Conveniencia'!$A$77:$A$104,'Calculo Leads Conveniencia'!K$77:K$104)*_xlfn.XLOOKUP($P681,'Base Grupo de Produtos'!$E$23:$E$39,'Base Grupo de Produtos'!$F$23:$F$39)</f>
        <v>0</v>
      </c>
      <c r="Y681" s="56">
        <f>_xlfn.XLOOKUP($N681,'Calculo Leads Conveniencia'!$A$77:$A$104,'Calculo Leads Conveniencia'!L$77:L$104)*_xlfn.XLOOKUP($P681,'Base Grupo de Produtos'!$E$23:$E$39,'Base Grupo de Produtos'!$F$23:$F$39)</f>
        <v>0</v>
      </c>
      <c r="Z681" s="56">
        <f>_xlfn.XLOOKUP($N681,'Calculo Leads Conveniencia'!$A$77:$A$104,'Calculo Leads Conveniencia'!M$77:M$104)*_xlfn.XLOOKUP($P681,'Base Grupo de Produtos'!$E$23:$E$39,'Base Grupo de Produtos'!$F$23:$F$39)</f>
        <v>0</v>
      </c>
      <c r="AA681" s="56">
        <f>_xlfn.XLOOKUP($N681,'Calculo Leads Conveniencia'!$A$77:$A$104,'Calculo Leads Conveniencia'!N$77:N$104)*_xlfn.XLOOKUP($P681,'Base Grupo de Produtos'!$E$23:$E$39,'Base Grupo de Produtos'!$F$23:$F$39)</f>
        <v>0</v>
      </c>
      <c r="AB681" s="56">
        <f>_xlfn.XLOOKUP($N681,'Calculo Leads Conveniencia'!$A$77:$A$104,'Calculo Leads Conveniencia'!O$77:O$104)*_xlfn.XLOOKUP($P681,'Base Grupo de Produtos'!$E$23:$E$39,'Base Grupo de Produtos'!$F$23:$F$39)</f>
        <v>0</v>
      </c>
      <c r="AC681" s="61">
        <f t="shared" si="697"/>
        <v>0</v>
      </c>
      <c r="AD681" s="28"/>
      <c r="AE681" s="12"/>
      <c r="AF681" s="29"/>
      <c r="AG681" s="9"/>
      <c r="AH681" s="10"/>
      <c r="AI681" s="9"/>
      <c r="AJ681" s="11"/>
      <c r="AK681" s="9"/>
      <c r="AL681" s="13"/>
      <c r="AM681" s="9"/>
    </row>
    <row r="682" spans="1:39" x14ac:dyDescent="0.3">
      <c r="A682" s="2" t="str">
        <f t="shared" si="698"/>
        <v>NÃO</v>
      </c>
      <c r="B682" s="2" t="str">
        <f>_xlfn.XLOOKUP($N682,'Base de Grupos'!$A:$A,'Base de Grupos'!$D:$D)</f>
        <v>1000065763</v>
      </c>
      <c r="C682" s="5" t="str">
        <f>_xlfn.XLOOKUP($N682,'Base de Grupos'!$A:$A,'Base de Grupos'!$E:$E)</f>
        <v>CANAL VENDA INTERNA</v>
      </c>
      <c r="D682" s="5" t="str">
        <f>_xlfn.XLOOKUP($N682,'Base de Grupos'!$A:$A,'Base de Grupos'!$F:$F)</f>
        <v>1000065763</v>
      </c>
      <c r="E682" s="2" t="str">
        <f>_xlfn.XLOOKUP($N682,'Base de Grupos'!$A:$A,'Base de Grupos'!$G:$G)</f>
        <v>CANAL VENDA INTERNA</v>
      </c>
      <c r="F682" s="2" t="str">
        <f>_xlfn.XLOOKUP($N682,'Base de Grupos'!$A:$A,'Base de Grupos'!$H:$H)</f>
        <v>1000174119</v>
      </c>
      <c r="G682" s="5" t="str">
        <f>_xlfn.XLOOKUP($N682,'Base de Grupos'!$A:$A,'Base de Grupos'!$I:$I)</f>
        <v>REGIONAL VENDA INTERNA - CONVENIENCIA</v>
      </c>
      <c r="H682" s="5" t="str">
        <f>_xlfn.XLOOKUP($N682,'Base de Grupos'!$A:$A,'Base de Grupos'!$J:$J)</f>
        <v>1000174119</v>
      </c>
      <c r="I682" s="2" t="str">
        <f>_xlfn.XLOOKUP($N682,'Base de Grupos'!$A:$A,'Base de Grupos'!$K:$K)</f>
        <v>REGIONAL VENDA INTERNA - CONVENIENCIA</v>
      </c>
      <c r="J682" s="2" t="str">
        <f>_xlfn.XLOOKUP($N682,'Base de Grupos'!$A:$A,'Base de Grupos'!$L:$L)</f>
        <v>1000174119</v>
      </c>
      <c r="K682" s="5" t="str">
        <f>_xlfn.XLOOKUP($N682,'Base de Grupos'!$A:$A,'Base de Grupos'!$M:$M)</f>
        <v>REGIONAL VENDA INTERNA - CONVENIENCIA</v>
      </c>
      <c r="L682" s="5" t="str">
        <f t="shared" si="699"/>
        <v/>
      </c>
      <c r="M682" s="5" t="str">
        <f>_xlfn.XLOOKUP($N682,'Base de Grupos'!$A:$A,'Base de Grupos'!$C:$C)</f>
        <v>PR</v>
      </c>
      <c r="N682" s="3">
        <v>1501</v>
      </c>
      <c r="O682" s="4" t="s">
        <v>261</v>
      </c>
      <c r="P682" s="5" t="s">
        <v>91</v>
      </c>
      <c r="Q682" s="56">
        <v>0</v>
      </c>
      <c r="R682" s="56">
        <v>0</v>
      </c>
      <c r="S682" s="56">
        <v>0</v>
      </c>
      <c r="T682" s="56">
        <f>_xlfn.XLOOKUP($N682,'Calculo Leads Conveniencia'!$A$77:$A$104,'Calculo Leads Conveniencia'!G$77:G$104)*_xlfn.XLOOKUP($P682,'Base Grupo de Produtos'!$E$23:$E$39,'Base Grupo de Produtos'!$F$23:$F$39)</f>
        <v>0</v>
      </c>
      <c r="U682" s="56">
        <f>_xlfn.XLOOKUP($N682,'Calculo Leads Conveniencia'!$A$77:$A$104,'Calculo Leads Conveniencia'!H$77:H$104)*_xlfn.XLOOKUP($P682,'Base Grupo de Produtos'!$E$23:$E$39,'Base Grupo de Produtos'!$F$23:$F$39)</f>
        <v>0</v>
      </c>
      <c r="V682" s="56">
        <f>_xlfn.XLOOKUP($N682,'Calculo Leads Conveniencia'!$A$77:$A$104,'Calculo Leads Conveniencia'!I$77:I$104)*_xlfn.XLOOKUP($P682,'Base Grupo de Produtos'!$E$23:$E$39,'Base Grupo de Produtos'!$F$23:$F$39)</f>
        <v>0</v>
      </c>
      <c r="W682" s="56">
        <f>_xlfn.XLOOKUP($N682,'Calculo Leads Conveniencia'!$A$77:$A$104,'Calculo Leads Conveniencia'!J$77:J$104)*_xlfn.XLOOKUP($P682,'Base Grupo de Produtos'!$E$23:$E$39,'Base Grupo de Produtos'!$F$23:$F$39)</f>
        <v>0</v>
      </c>
      <c r="X682" s="56">
        <f>_xlfn.XLOOKUP($N682,'Calculo Leads Conveniencia'!$A$77:$A$104,'Calculo Leads Conveniencia'!K$77:K$104)*_xlfn.XLOOKUP($P682,'Base Grupo de Produtos'!$E$23:$E$39,'Base Grupo de Produtos'!$F$23:$F$39)</f>
        <v>0</v>
      </c>
      <c r="Y682" s="56">
        <f>_xlfn.XLOOKUP($N682,'Calculo Leads Conveniencia'!$A$77:$A$104,'Calculo Leads Conveniencia'!L$77:L$104)*_xlfn.XLOOKUP($P682,'Base Grupo de Produtos'!$E$23:$E$39,'Base Grupo de Produtos'!$F$23:$F$39)</f>
        <v>0</v>
      </c>
      <c r="Z682" s="56">
        <f>_xlfn.XLOOKUP($N682,'Calculo Leads Conveniencia'!$A$77:$A$104,'Calculo Leads Conveniencia'!M$77:M$104)*_xlfn.XLOOKUP($P682,'Base Grupo de Produtos'!$E$23:$E$39,'Base Grupo de Produtos'!$F$23:$F$39)</f>
        <v>0</v>
      </c>
      <c r="AA682" s="56">
        <f>_xlfn.XLOOKUP($N682,'Calculo Leads Conveniencia'!$A$77:$A$104,'Calculo Leads Conveniencia'!N$77:N$104)*_xlfn.XLOOKUP($P682,'Base Grupo de Produtos'!$E$23:$E$39,'Base Grupo de Produtos'!$F$23:$F$39)</f>
        <v>0</v>
      </c>
      <c r="AB682" s="56">
        <f>_xlfn.XLOOKUP($N682,'Calculo Leads Conveniencia'!$A$77:$A$104,'Calculo Leads Conveniencia'!O$77:O$104)*_xlfn.XLOOKUP($P682,'Base Grupo de Produtos'!$E$23:$E$39,'Base Grupo de Produtos'!$F$23:$F$39)</f>
        <v>0</v>
      </c>
      <c r="AC682" s="61">
        <f t="shared" si="697"/>
        <v>0</v>
      </c>
      <c r="AD682" s="28"/>
      <c r="AE682" s="12"/>
      <c r="AF682" s="29"/>
      <c r="AG682" s="9"/>
      <c r="AH682" s="10"/>
      <c r="AI682" s="9"/>
      <c r="AJ682" s="11"/>
      <c r="AK682" s="9"/>
      <c r="AL682" s="13"/>
      <c r="AM682" s="9"/>
    </row>
    <row r="683" spans="1:39" x14ac:dyDescent="0.3">
      <c r="A683" s="2" t="str">
        <f t="shared" si="698"/>
        <v>NÃO</v>
      </c>
      <c r="B683" s="2" t="str">
        <f>_xlfn.XLOOKUP($N683,'Base de Grupos'!$A:$A,'Base de Grupos'!$D:$D)</f>
        <v>1000065763</v>
      </c>
      <c r="C683" s="5" t="str">
        <f>_xlfn.XLOOKUP($N683,'Base de Grupos'!$A:$A,'Base de Grupos'!$E:$E)</f>
        <v>CANAL VENDA INTERNA</v>
      </c>
      <c r="D683" s="5" t="str">
        <f>_xlfn.XLOOKUP($N683,'Base de Grupos'!$A:$A,'Base de Grupos'!$F:$F)</f>
        <v>1000065763</v>
      </c>
      <c r="E683" s="2" t="str">
        <f>_xlfn.XLOOKUP($N683,'Base de Grupos'!$A:$A,'Base de Grupos'!$G:$G)</f>
        <v>CANAL VENDA INTERNA</v>
      </c>
      <c r="F683" s="2" t="str">
        <f>_xlfn.XLOOKUP($N683,'Base de Grupos'!$A:$A,'Base de Grupos'!$H:$H)</f>
        <v>1000174119</v>
      </c>
      <c r="G683" s="5" t="str">
        <f>_xlfn.XLOOKUP($N683,'Base de Grupos'!$A:$A,'Base de Grupos'!$I:$I)</f>
        <v>REGIONAL VENDA INTERNA - CONVENIENCIA</v>
      </c>
      <c r="H683" s="5" t="str">
        <f>_xlfn.XLOOKUP($N683,'Base de Grupos'!$A:$A,'Base de Grupos'!$J:$J)</f>
        <v>1000174119</v>
      </c>
      <c r="I683" s="2" t="str">
        <f>_xlfn.XLOOKUP($N683,'Base de Grupos'!$A:$A,'Base de Grupos'!$K:$K)</f>
        <v>REGIONAL VENDA INTERNA - CONVENIENCIA</v>
      </c>
      <c r="J683" s="2" t="str">
        <f>_xlfn.XLOOKUP($N683,'Base de Grupos'!$A:$A,'Base de Grupos'!$L:$L)</f>
        <v>1000174119</v>
      </c>
      <c r="K683" s="5" t="str">
        <f>_xlfn.XLOOKUP($N683,'Base de Grupos'!$A:$A,'Base de Grupos'!$M:$M)</f>
        <v>REGIONAL VENDA INTERNA - CONVENIENCIA</v>
      </c>
      <c r="L683" s="5" t="str">
        <f t="shared" si="699"/>
        <v/>
      </c>
      <c r="M683" s="5" t="str">
        <f>_xlfn.XLOOKUP($N683,'Base de Grupos'!$A:$A,'Base de Grupos'!$C:$C)</f>
        <v>PR</v>
      </c>
      <c r="N683" s="3">
        <v>1501</v>
      </c>
      <c r="O683" s="4" t="s">
        <v>261</v>
      </c>
      <c r="P683" s="5" t="s">
        <v>96</v>
      </c>
      <c r="Q683" s="56">
        <v>0</v>
      </c>
      <c r="R683" s="56">
        <v>0</v>
      </c>
      <c r="S683" s="56">
        <v>0</v>
      </c>
      <c r="T683" s="56">
        <f>_xlfn.XLOOKUP($N683,'Calculo Leads Conveniencia'!$A$77:$A$104,'Calculo Leads Conveniencia'!G$77:G$104)*_xlfn.XLOOKUP($P683,'Base Grupo de Produtos'!$E$23:$E$39,'Base Grupo de Produtos'!$F$23:$F$39)</f>
        <v>0</v>
      </c>
      <c r="U683" s="56">
        <f>_xlfn.XLOOKUP($N683,'Calculo Leads Conveniencia'!$A$77:$A$104,'Calculo Leads Conveniencia'!H$77:H$104)*_xlfn.XLOOKUP($P683,'Base Grupo de Produtos'!$E$23:$E$39,'Base Grupo de Produtos'!$F$23:$F$39)</f>
        <v>0</v>
      </c>
      <c r="V683" s="56">
        <f>_xlfn.XLOOKUP($N683,'Calculo Leads Conveniencia'!$A$77:$A$104,'Calculo Leads Conveniencia'!I$77:I$104)*_xlfn.XLOOKUP($P683,'Base Grupo de Produtos'!$E$23:$E$39,'Base Grupo de Produtos'!$F$23:$F$39)</f>
        <v>0</v>
      </c>
      <c r="W683" s="56">
        <f>_xlfn.XLOOKUP($N683,'Calculo Leads Conveniencia'!$A$77:$A$104,'Calculo Leads Conveniencia'!J$77:J$104)*_xlfn.XLOOKUP($P683,'Base Grupo de Produtos'!$E$23:$E$39,'Base Grupo de Produtos'!$F$23:$F$39)</f>
        <v>0</v>
      </c>
      <c r="X683" s="56">
        <f>_xlfn.XLOOKUP($N683,'Calculo Leads Conveniencia'!$A$77:$A$104,'Calculo Leads Conveniencia'!K$77:K$104)*_xlfn.XLOOKUP($P683,'Base Grupo de Produtos'!$E$23:$E$39,'Base Grupo de Produtos'!$F$23:$F$39)</f>
        <v>0</v>
      </c>
      <c r="Y683" s="56">
        <f>_xlfn.XLOOKUP($N683,'Calculo Leads Conveniencia'!$A$77:$A$104,'Calculo Leads Conveniencia'!L$77:L$104)*_xlfn.XLOOKUP($P683,'Base Grupo de Produtos'!$E$23:$E$39,'Base Grupo de Produtos'!$F$23:$F$39)</f>
        <v>0</v>
      </c>
      <c r="Z683" s="56">
        <f>_xlfn.XLOOKUP($N683,'Calculo Leads Conveniencia'!$A$77:$A$104,'Calculo Leads Conveniencia'!M$77:M$104)*_xlfn.XLOOKUP($P683,'Base Grupo de Produtos'!$E$23:$E$39,'Base Grupo de Produtos'!$F$23:$F$39)</f>
        <v>0</v>
      </c>
      <c r="AA683" s="56">
        <f>_xlfn.XLOOKUP($N683,'Calculo Leads Conveniencia'!$A$77:$A$104,'Calculo Leads Conveniencia'!N$77:N$104)*_xlfn.XLOOKUP($P683,'Base Grupo de Produtos'!$E$23:$E$39,'Base Grupo de Produtos'!$F$23:$F$39)</f>
        <v>0</v>
      </c>
      <c r="AB683" s="56">
        <f>_xlfn.XLOOKUP($N683,'Calculo Leads Conveniencia'!$A$77:$A$104,'Calculo Leads Conveniencia'!O$77:O$104)*_xlfn.XLOOKUP($P683,'Base Grupo de Produtos'!$E$23:$E$39,'Base Grupo de Produtos'!$F$23:$F$39)</f>
        <v>0</v>
      </c>
      <c r="AC683" s="61">
        <f t="shared" si="697"/>
        <v>0</v>
      </c>
      <c r="AD683" s="28"/>
      <c r="AE683" s="12"/>
      <c r="AF683" s="29"/>
      <c r="AG683" s="9"/>
      <c r="AH683" s="10"/>
      <c r="AI683" s="9"/>
      <c r="AJ683" s="11"/>
      <c r="AK683" s="9"/>
      <c r="AL683" s="13"/>
      <c r="AM683" s="9"/>
    </row>
    <row r="684" spans="1:39" x14ac:dyDescent="0.3">
      <c r="A684" s="2" t="str">
        <f t="shared" si="698"/>
        <v>NÃO</v>
      </c>
      <c r="B684" s="2" t="str">
        <f>_xlfn.XLOOKUP($N684,'Base de Grupos'!$A:$A,'Base de Grupos'!$D:$D)</f>
        <v>1000065763</v>
      </c>
      <c r="C684" s="5" t="str">
        <f>_xlfn.XLOOKUP($N684,'Base de Grupos'!$A:$A,'Base de Grupos'!$E:$E)</f>
        <v>CANAL VENDA INTERNA</v>
      </c>
      <c r="D684" s="5" t="str">
        <f>_xlfn.XLOOKUP($N684,'Base de Grupos'!$A:$A,'Base de Grupos'!$F:$F)</f>
        <v>1000065763</v>
      </c>
      <c r="E684" s="2" t="str">
        <f>_xlfn.XLOOKUP($N684,'Base de Grupos'!$A:$A,'Base de Grupos'!$G:$G)</f>
        <v>CANAL VENDA INTERNA</v>
      </c>
      <c r="F684" s="2" t="str">
        <f>_xlfn.XLOOKUP($N684,'Base de Grupos'!$A:$A,'Base de Grupos'!$H:$H)</f>
        <v>1000174119</v>
      </c>
      <c r="G684" s="5" t="str">
        <f>_xlfn.XLOOKUP($N684,'Base de Grupos'!$A:$A,'Base de Grupos'!$I:$I)</f>
        <v>REGIONAL VENDA INTERNA - CONVENIENCIA</v>
      </c>
      <c r="H684" s="5" t="str">
        <f>_xlfn.XLOOKUP($N684,'Base de Grupos'!$A:$A,'Base de Grupos'!$J:$J)</f>
        <v>1000174119</v>
      </c>
      <c r="I684" s="2" t="str">
        <f>_xlfn.XLOOKUP($N684,'Base de Grupos'!$A:$A,'Base de Grupos'!$K:$K)</f>
        <v>REGIONAL VENDA INTERNA - CONVENIENCIA</v>
      </c>
      <c r="J684" s="2" t="str">
        <f>_xlfn.XLOOKUP($N684,'Base de Grupos'!$A:$A,'Base de Grupos'!$L:$L)</f>
        <v>1000174119</v>
      </c>
      <c r="K684" s="5" t="str">
        <f>_xlfn.XLOOKUP($N684,'Base de Grupos'!$A:$A,'Base de Grupos'!$M:$M)</f>
        <v>REGIONAL VENDA INTERNA - CONVENIENCIA</v>
      </c>
      <c r="L684" s="5" t="str">
        <f t="shared" si="699"/>
        <v/>
      </c>
      <c r="M684" s="5" t="str">
        <f>_xlfn.XLOOKUP($N684,'Base de Grupos'!$A:$A,'Base de Grupos'!$C:$C)</f>
        <v>PR</v>
      </c>
      <c r="N684" s="3">
        <v>1501</v>
      </c>
      <c r="O684" s="4" t="s">
        <v>261</v>
      </c>
      <c r="P684" s="5" t="s">
        <v>94</v>
      </c>
      <c r="Q684" s="56">
        <v>0</v>
      </c>
      <c r="R684" s="56">
        <v>0</v>
      </c>
      <c r="S684" s="56">
        <v>0</v>
      </c>
      <c r="T684" s="56">
        <f>_xlfn.XLOOKUP($N684,'Calculo Leads Conveniencia'!$A$77:$A$104,'Calculo Leads Conveniencia'!G$77:G$104)*_xlfn.XLOOKUP($P684,'Base Grupo de Produtos'!$E$23:$E$39,'Base Grupo de Produtos'!$F$23:$F$39)</f>
        <v>0</v>
      </c>
      <c r="U684" s="56">
        <f>_xlfn.XLOOKUP($N684,'Calculo Leads Conveniencia'!$A$77:$A$104,'Calculo Leads Conveniencia'!H$77:H$104)*_xlfn.XLOOKUP($P684,'Base Grupo de Produtos'!$E$23:$E$39,'Base Grupo de Produtos'!$F$23:$F$39)</f>
        <v>0</v>
      </c>
      <c r="V684" s="56">
        <f>_xlfn.XLOOKUP($N684,'Calculo Leads Conveniencia'!$A$77:$A$104,'Calculo Leads Conveniencia'!I$77:I$104)*_xlfn.XLOOKUP($P684,'Base Grupo de Produtos'!$E$23:$E$39,'Base Grupo de Produtos'!$F$23:$F$39)</f>
        <v>0</v>
      </c>
      <c r="W684" s="56">
        <f>_xlfn.XLOOKUP($N684,'Calculo Leads Conveniencia'!$A$77:$A$104,'Calculo Leads Conveniencia'!J$77:J$104)*_xlfn.XLOOKUP($P684,'Base Grupo de Produtos'!$E$23:$E$39,'Base Grupo de Produtos'!$F$23:$F$39)</f>
        <v>0</v>
      </c>
      <c r="X684" s="56">
        <f>_xlfn.XLOOKUP($N684,'Calculo Leads Conveniencia'!$A$77:$A$104,'Calculo Leads Conveniencia'!K$77:K$104)*_xlfn.XLOOKUP($P684,'Base Grupo de Produtos'!$E$23:$E$39,'Base Grupo de Produtos'!$F$23:$F$39)</f>
        <v>0</v>
      </c>
      <c r="Y684" s="56">
        <f>_xlfn.XLOOKUP($N684,'Calculo Leads Conveniencia'!$A$77:$A$104,'Calculo Leads Conveniencia'!L$77:L$104)*_xlfn.XLOOKUP($P684,'Base Grupo de Produtos'!$E$23:$E$39,'Base Grupo de Produtos'!$F$23:$F$39)</f>
        <v>0</v>
      </c>
      <c r="Z684" s="56">
        <f>_xlfn.XLOOKUP($N684,'Calculo Leads Conveniencia'!$A$77:$A$104,'Calculo Leads Conveniencia'!M$77:M$104)*_xlfn.XLOOKUP($P684,'Base Grupo de Produtos'!$E$23:$E$39,'Base Grupo de Produtos'!$F$23:$F$39)</f>
        <v>0</v>
      </c>
      <c r="AA684" s="56">
        <f>_xlfn.XLOOKUP($N684,'Calculo Leads Conveniencia'!$A$77:$A$104,'Calculo Leads Conveniencia'!N$77:N$104)*_xlfn.XLOOKUP($P684,'Base Grupo de Produtos'!$E$23:$E$39,'Base Grupo de Produtos'!$F$23:$F$39)</f>
        <v>0</v>
      </c>
      <c r="AB684" s="56">
        <f>_xlfn.XLOOKUP($N684,'Calculo Leads Conveniencia'!$A$77:$A$104,'Calculo Leads Conveniencia'!O$77:O$104)*_xlfn.XLOOKUP($P684,'Base Grupo de Produtos'!$E$23:$E$39,'Base Grupo de Produtos'!$F$23:$F$39)</f>
        <v>0</v>
      </c>
      <c r="AC684" s="61">
        <f t="shared" si="697"/>
        <v>0</v>
      </c>
      <c r="AD684" s="28"/>
      <c r="AE684" s="12"/>
      <c r="AF684" s="29"/>
      <c r="AG684" s="9"/>
      <c r="AH684" s="10"/>
      <c r="AI684" s="9"/>
      <c r="AJ684" s="11"/>
      <c r="AK684" s="9"/>
      <c r="AL684" s="13"/>
      <c r="AM684" s="9"/>
    </row>
    <row r="685" spans="1:39" x14ac:dyDescent="0.3">
      <c r="A685" s="2" t="str">
        <f t="shared" si="698"/>
        <v>NÃO</v>
      </c>
      <c r="B685" s="2" t="str">
        <f>_xlfn.XLOOKUP($N685,'Base de Grupos'!$A:$A,'Base de Grupos'!$D:$D)</f>
        <v>1000065763</v>
      </c>
      <c r="C685" s="5" t="str">
        <f>_xlfn.XLOOKUP($N685,'Base de Grupos'!$A:$A,'Base de Grupos'!$E:$E)</f>
        <v>CANAL VENDA INTERNA</v>
      </c>
      <c r="D685" s="5" t="str">
        <f>_xlfn.XLOOKUP($N685,'Base de Grupos'!$A:$A,'Base de Grupos'!$F:$F)</f>
        <v>1000065763</v>
      </c>
      <c r="E685" s="2" t="str">
        <f>_xlfn.XLOOKUP($N685,'Base de Grupos'!$A:$A,'Base de Grupos'!$G:$G)</f>
        <v>CANAL VENDA INTERNA</v>
      </c>
      <c r="F685" s="2" t="str">
        <f>_xlfn.XLOOKUP($N685,'Base de Grupos'!$A:$A,'Base de Grupos'!$H:$H)</f>
        <v>1000174119</v>
      </c>
      <c r="G685" s="5" t="str">
        <f>_xlfn.XLOOKUP($N685,'Base de Grupos'!$A:$A,'Base de Grupos'!$I:$I)</f>
        <v>REGIONAL VENDA INTERNA - CONVENIENCIA</v>
      </c>
      <c r="H685" s="5" t="str">
        <f>_xlfn.XLOOKUP($N685,'Base de Grupos'!$A:$A,'Base de Grupos'!$J:$J)</f>
        <v>1000174119</v>
      </c>
      <c r="I685" s="2" t="str">
        <f>_xlfn.XLOOKUP($N685,'Base de Grupos'!$A:$A,'Base de Grupos'!$K:$K)</f>
        <v>REGIONAL VENDA INTERNA - CONVENIENCIA</v>
      </c>
      <c r="J685" s="2" t="str">
        <f>_xlfn.XLOOKUP($N685,'Base de Grupos'!$A:$A,'Base de Grupos'!$L:$L)</f>
        <v>1000174119</v>
      </c>
      <c r="K685" s="5" t="str">
        <f>_xlfn.XLOOKUP($N685,'Base de Grupos'!$A:$A,'Base de Grupos'!$M:$M)</f>
        <v>REGIONAL VENDA INTERNA - CONVENIENCIA</v>
      </c>
      <c r="L685" s="5" t="str">
        <f t="shared" si="699"/>
        <v/>
      </c>
      <c r="M685" s="5" t="str">
        <f>_xlfn.XLOOKUP($N685,'Base de Grupos'!$A:$A,'Base de Grupos'!$C:$C)</f>
        <v>PR</v>
      </c>
      <c r="N685" s="3">
        <v>1501</v>
      </c>
      <c r="O685" s="4" t="s">
        <v>261</v>
      </c>
      <c r="P685" s="5" t="s">
        <v>95</v>
      </c>
      <c r="Q685" s="56">
        <v>0</v>
      </c>
      <c r="R685" s="56">
        <v>0</v>
      </c>
      <c r="S685" s="56">
        <v>0</v>
      </c>
      <c r="T685" s="56">
        <f>_xlfn.XLOOKUP($N685,'Calculo Leads Conveniencia'!$A$77:$A$104,'Calculo Leads Conveniencia'!G$77:G$104)*_xlfn.XLOOKUP($P685,'Base Grupo de Produtos'!$E$23:$E$39,'Base Grupo de Produtos'!$F$23:$F$39)</f>
        <v>0</v>
      </c>
      <c r="U685" s="56">
        <f>_xlfn.XLOOKUP($N685,'Calculo Leads Conveniencia'!$A$77:$A$104,'Calculo Leads Conveniencia'!H$77:H$104)*_xlfn.XLOOKUP($P685,'Base Grupo de Produtos'!$E$23:$E$39,'Base Grupo de Produtos'!$F$23:$F$39)</f>
        <v>0</v>
      </c>
      <c r="V685" s="56">
        <f>_xlfn.XLOOKUP($N685,'Calculo Leads Conveniencia'!$A$77:$A$104,'Calculo Leads Conveniencia'!I$77:I$104)*_xlfn.XLOOKUP($P685,'Base Grupo de Produtos'!$E$23:$E$39,'Base Grupo de Produtos'!$F$23:$F$39)</f>
        <v>0</v>
      </c>
      <c r="W685" s="56">
        <f>_xlfn.XLOOKUP($N685,'Calculo Leads Conveniencia'!$A$77:$A$104,'Calculo Leads Conveniencia'!J$77:J$104)*_xlfn.XLOOKUP($P685,'Base Grupo de Produtos'!$E$23:$E$39,'Base Grupo de Produtos'!$F$23:$F$39)</f>
        <v>0</v>
      </c>
      <c r="X685" s="56">
        <f>_xlfn.XLOOKUP($N685,'Calculo Leads Conveniencia'!$A$77:$A$104,'Calculo Leads Conveniencia'!K$77:K$104)*_xlfn.XLOOKUP($P685,'Base Grupo de Produtos'!$E$23:$E$39,'Base Grupo de Produtos'!$F$23:$F$39)</f>
        <v>0</v>
      </c>
      <c r="Y685" s="56">
        <f>_xlfn.XLOOKUP($N685,'Calculo Leads Conveniencia'!$A$77:$A$104,'Calculo Leads Conveniencia'!L$77:L$104)*_xlfn.XLOOKUP($P685,'Base Grupo de Produtos'!$E$23:$E$39,'Base Grupo de Produtos'!$F$23:$F$39)</f>
        <v>0</v>
      </c>
      <c r="Z685" s="56">
        <f>_xlfn.XLOOKUP($N685,'Calculo Leads Conveniencia'!$A$77:$A$104,'Calculo Leads Conveniencia'!M$77:M$104)*_xlfn.XLOOKUP($P685,'Base Grupo de Produtos'!$E$23:$E$39,'Base Grupo de Produtos'!$F$23:$F$39)</f>
        <v>0</v>
      </c>
      <c r="AA685" s="56">
        <f>_xlfn.XLOOKUP($N685,'Calculo Leads Conveniencia'!$A$77:$A$104,'Calculo Leads Conveniencia'!N$77:N$104)*_xlfn.XLOOKUP($P685,'Base Grupo de Produtos'!$E$23:$E$39,'Base Grupo de Produtos'!$F$23:$F$39)</f>
        <v>0</v>
      </c>
      <c r="AB685" s="56">
        <f>_xlfn.XLOOKUP($N685,'Calculo Leads Conveniencia'!$A$77:$A$104,'Calculo Leads Conveniencia'!O$77:O$104)*_xlfn.XLOOKUP($P685,'Base Grupo de Produtos'!$E$23:$E$39,'Base Grupo de Produtos'!$F$23:$F$39)</f>
        <v>0</v>
      </c>
      <c r="AC685" s="61">
        <f t="shared" si="697"/>
        <v>0</v>
      </c>
      <c r="AD685" s="28"/>
      <c r="AE685" s="12"/>
      <c r="AF685" s="29"/>
      <c r="AG685" s="9"/>
      <c r="AH685" s="10"/>
      <c r="AI685" s="9"/>
      <c r="AJ685" s="11"/>
      <c r="AK685" s="9"/>
      <c r="AL685" s="13"/>
      <c r="AM685" s="9"/>
    </row>
    <row r="686" spans="1:39" x14ac:dyDescent="0.3">
      <c r="A686" s="2" t="str">
        <f t="shared" si="698"/>
        <v>NÃO</v>
      </c>
      <c r="B686" s="2" t="str">
        <f>_xlfn.XLOOKUP($N686,'Base de Grupos'!$A:$A,'Base de Grupos'!$D:$D)</f>
        <v>1000065763</v>
      </c>
      <c r="C686" s="5" t="str">
        <f>_xlfn.XLOOKUP($N686,'Base de Grupos'!$A:$A,'Base de Grupos'!$E:$E)</f>
        <v>CANAL VENDA INTERNA</v>
      </c>
      <c r="D686" s="5" t="str">
        <f>_xlfn.XLOOKUP($N686,'Base de Grupos'!$A:$A,'Base de Grupos'!$F:$F)</f>
        <v>1000065763</v>
      </c>
      <c r="E686" s="2" t="str">
        <f>_xlfn.XLOOKUP($N686,'Base de Grupos'!$A:$A,'Base de Grupos'!$G:$G)</f>
        <v>CANAL VENDA INTERNA</v>
      </c>
      <c r="F686" s="2" t="str">
        <f>_xlfn.XLOOKUP($N686,'Base de Grupos'!$A:$A,'Base de Grupos'!$H:$H)</f>
        <v>1000174119</v>
      </c>
      <c r="G686" s="5" t="str">
        <f>_xlfn.XLOOKUP($N686,'Base de Grupos'!$A:$A,'Base de Grupos'!$I:$I)</f>
        <v>REGIONAL VENDA INTERNA - CONVENIENCIA</v>
      </c>
      <c r="H686" s="5" t="str">
        <f>_xlfn.XLOOKUP($N686,'Base de Grupos'!$A:$A,'Base de Grupos'!$J:$J)</f>
        <v>1000174119</v>
      </c>
      <c r="I686" s="2" t="str">
        <f>_xlfn.XLOOKUP($N686,'Base de Grupos'!$A:$A,'Base de Grupos'!$K:$K)</f>
        <v>REGIONAL VENDA INTERNA - CONVENIENCIA</v>
      </c>
      <c r="J686" s="2" t="str">
        <f>_xlfn.XLOOKUP($N686,'Base de Grupos'!$A:$A,'Base de Grupos'!$L:$L)</f>
        <v>1000174119</v>
      </c>
      <c r="K686" s="5" t="str">
        <f>_xlfn.XLOOKUP($N686,'Base de Grupos'!$A:$A,'Base de Grupos'!$M:$M)</f>
        <v>REGIONAL VENDA INTERNA - CONVENIENCIA</v>
      </c>
      <c r="L686" s="5" t="str">
        <f t="shared" si="699"/>
        <v/>
      </c>
      <c r="M686" s="5" t="str">
        <f>_xlfn.XLOOKUP($N686,'Base de Grupos'!$A:$A,'Base de Grupos'!$C:$C)</f>
        <v>PR</v>
      </c>
      <c r="N686" s="3">
        <v>1501</v>
      </c>
      <c r="O686" s="4" t="s">
        <v>261</v>
      </c>
      <c r="P686" s="5" t="s">
        <v>93</v>
      </c>
      <c r="Q686" s="56">
        <v>0</v>
      </c>
      <c r="R686" s="56">
        <v>0</v>
      </c>
      <c r="S686" s="56">
        <v>0</v>
      </c>
      <c r="T686" s="56">
        <f>_xlfn.XLOOKUP($N686,'Calculo Leads Conveniencia'!$A$77:$A$104,'Calculo Leads Conveniencia'!G$77:G$104)*_xlfn.XLOOKUP($P686,'Base Grupo de Produtos'!$E$23:$E$39,'Base Grupo de Produtos'!$F$23:$F$39)</f>
        <v>0</v>
      </c>
      <c r="U686" s="56">
        <f>_xlfn.XLOOKUP($N686,'Calculo Leads Conveniencia'!$A$77:$A$104,'Calculo Leads Conveniencia'!H$77:H$104)*_xlfn.XLOOKUP($P686,'Base Grupo de Produtos'!$E$23:$E$39,'Base Grupo de Produtos'!$F$23:$F$39)</f>
        <v>0</v>
      </c>
      <c r="V686" s="56">
        <f>_xlfn.XLOOKUP($N686,'Calculo Leads Conveniencia'!$A$77:$A$104,'Calculo Leads Conveniencia'!I$77:I$104)*_xlfn.XLOOKUP($P686,'Base Grupo de Produtos'!$E$23:$E$39,'Base Grupo de Produtos'!$F$23:$F$39)</f>
        <v>0</v>
      </c>
      <c r="W686" s="56">
        <f>_xlfn.XLOOKUP($N686,'Calculo Leads Conveniencia'!$A$77:$A$104,'Calculo Leads Conveniencia'!J$77:J$104)*_xlfn.XLOOKUP($P686,'Base Grupo de Produtos'!$E$23:$E$39,'Base Grupo de Produtos'!$F$23:$F$39)</f>
        <v>0</v>
      </c>
      <c r="X686" s="56">
        <f>_xlfn.XLOOKUP($N686,'Calculo Leads Conveniencia'!$A$77:$A$104,'Calculo Leads Conveniencia'!K$77:K$104)*_xlfn.XLOOKUP($P686,'Base Grupo de Produtos'!$E$23:$E$39,'Base Grupo de Produtos'!$F$23:$F$39)</f>
        <v>0</v>
      </c>
      <c r="Y686" s="56">
        <f>_xlfn.XLOOKUP($N686,'Calculo Leads Conveniencia'!$A$77:$A$104,'Calculo Leads Conveniencia'!L$77:L$104)*_xlfn.XLOOKUP($P686,'Base Grupo de Produtos'!$E$23:$E$39,'Base Grupo de Produtos'!$F$23:$F$39)</f>
        <v>0</v>
      </c>
      <c r="Z686" s="56">
        <f>_xlfn.XLOOKUP($N686,'Calculo Leads Conveniencia'!$A$77:$A$104,'Calculo Leads Conveniencia'!M$77:M$104)*_xlfn.XLOOKUP($P686,'Base Grupo de Produtos'!$E$23:$E$39,'Base Grupo de Produtos'!$F$23:$F$39)</f>
        <v>0</v>
      </c>
      <c r="AA686" s="56">
        <f>_xlfn.XLOOKUP($N686,'Calculo Leads Conveniencia'!$A$77:$A$104,'Calculo Leads Conveniencia'!N$77:N$104)*_xlfn.XLOOKUP($P686,'Base Grupo de Produtos'!$E$23:$E$39,'Base Grupo de Produtos'!$F$23:$F$39)</f>
        <v>0</v>
      </c>
      <c r="AB686" s="56">
        <f>_xlfn.XLOOKUP($N686,'Calculo Leads Conveniencia'!$A$77:$A$104,'Calculo Leads Conveniencia'!O$77:O$104)*_xlfn.XLOOKUP($P686,'Base Grupo de Produtos'!$E$23:$E$39,'Base Grupo de Produtos'!$F$23:$F$39)</f>
        <v>0</v>
      </c>
      <c r="AC686" s="61">
        <f t="shared" si="697"/>
        <v>0</v>
      </c>
      <c r="AD686" s="28"/>
      <c r="AE686" s="12"/>
      <c r="AF686" s="29"/>
      <c r="AG686" s="9"/>
      <c r="AH686" s="10"/>
      <c r="AI686" s="9"/>
      <c r="AJ686" s="11"/>
      <c r="AK686" s="9"/>
      <c r="AL686" s="13"/>
      <c r="AM686" s="9"/>
    </row>
    <row r="687" spans="1:39" x14ac:dyDescent="0.3">
      <c r="A687" s="2" t="str">
        <f t="shared" si="698"/>
        <v>SIM</v>
      </c>
      <c r="B687" s="2" t="str">
        <f>_xlfn.XLOOKUP($N687,'Base de Grupos'!$A:$A,'Base de Grupos'!$D:$D)</f>
        <v>1000065763</v>
      </c>
      <c r="C687" s="5" t="str">
        <f>_xlfn.XLOOKUP($N687,'Base de Grupos'!$A:$A,'Base de Grupos'!$E:$E)</f>
        <v>CANAL VENDA INTERNA</v>
      </c>
      <c r="D687" s="5" t="str">
        <f>_xlfn.XLOOKUP($N687,'Base de Grupos'!$A:$A,'Base de Grupos'!$F:$F)</f>
        <v>1000065763</v>
      </c>
      <c r="E687" s="2" t="str">
        <f>_xlfn.XLOOKUP($N687,'Base de Grupos'!$A:$A,'Base de Grupos'!$G:$G)</f>
        <v>CANAL VENDA INTERNA</v>
      </c>
      <c r="F687" s="2" t="str">
        <f>_xlfn.XLOOKUP($N687,'Base de Grupos'!$A:$A,'Base de Grupos'!$H:$H)</f>
        <v>1000174119</v>
      </c>
      <c r="G687" s="5" t="str">
        <f>_xlfn.XLOOKUP($N687,'Base de Grupos'!$A:$A,'Base de Grupos'!$I:$I)</f>
        <v>REGIONAL VENDA INTERNA - CONVENIENCIA</v>
      </c>
      <c r="H687" s="5" t="str">
        <f>_xlfn.XLOOKUP($N687,'Base de Grupos'!$A:$A,'Base de Grupos'!$J:$J)</f>
        <v>1000174119</v>
      </c>
      <c r="I687" s="2" t="str">
        <f>_xlfn.XLOOKUP($N687,'Base de Grupos'!$A:$A,'Base de Grupos'!$K:$K)</f>
        <v>REGIONAL VENDA INTERNA - CONVENIENCIA</v>
      </c>
      <c r="J687" s="2" t="str">
        <f>_xlfn.XLOOKUP($N687,'Base de Grupos'!$A:$A,'Base de Grupos'!$L:$L)</f>
        <v>1000174119</v>
      </c>
      <c r="K687" s="5" t="str">
        <f>_xlfn.XLOOKUP($N687,'Base de Grupos'!$A:$A,'Base de Grupos'!$M:$M)</f>
        <v>REGIONAL VENDA INTERNA - CONVENIENCIA</v>
      </c>
      <c r="L687" s="5">
        <f t="shared" si="699"/>
        <v>1</v>
      </c>
      <c r="M687" s="5" t="str">
        <f>_xlfn.XLOOKUP($N687,'Base de Grupos'!$A:$A,'Base de Grupos'!$C:$C)</f>
        <v>AP</v>
      </c>
      <c r="N687" s="3">
        <v>1502</v>
      </c>
      <c r="O687" s="4" t="s">
        <v>262</v>
      </c>
      <c r="P687" s="5" t="s">
        <v>332</v>
      </c>
      <c r="Q687" s="56">
        <f t="shared" ref="Q687" si="726">SUM(Q688:Q704)</f>
        <v>0</v>
      </c>
      <c r="R687" s="56">
        <f t="shared" ref="R687" si="727">SUM(R688:R704)</f>
        <v>0</v>
      </c>
      <c r="S687" s="56">
        <f t="shared" ref="S687" si="728">SUM(S688:S704)</f>
        <v>0</v>
      </c>
      <c r="T687" s="56">
        <f t="shared" ref="T687" si="729">SUM(T688:T704)</f>
        <v>0</v>
      </c>
      <c r="U687" s="56">
        <f t="shared" ref="U687" si="730">SUM(U688:U704)</f>
        <v>0</v>
      </c>
      <c r="V687" s="56">
        <f t="shared" ref="V687" si="731">SUM(V688:V704)</f>
        <v>0</v>
      </c>
      <c r="W687" s="56">
        <f t="shared" ref="W687" si="732">SUM(W688:W704)</f>
        <v>0</v>
      </c>
      <c r="X687" s="56">
        <f t="shared" ref="X687" si="733">SUM(X688:X704)</f>
        <v>0</v>
      </c>
      <c r="Y687" s="56">
        <f t="shared" ref="Y687" si="734">SUM(Y688:Y704)</f>
        <v>0</v>
      </c>
      <c r="Z687" s="56">
        <f t="shared" ref="Z687" si="735">SUM(Z688:Z704)</f>
        <v>0</v>
      </c>
      <c r="AA687" s="56">
        <f t="shared" ref="AA687" si="736">SUM(AA688:AA704)</f>
        <v>0</v>
      </c>
      <c r="AB687" s="56">
        <f t="shared" ref="AB687" si="737">SUM(AB688:AB704)</f>
        <v>0</v>
      </c>
      <c r="AC687" s="56">
        <f t="shared" ref="AC687" si="738">SUM(AC688:AC704)</f>
        <v>0</v>
      </c>
      <c r="AD687" s="28"/>
      <c r="AE687" s="12"/>
      <c r="AF687" s="29"/>
      <c r="AG687" s="9"/>
      <c r="AH687" s="10"/>
      <c r="AI687" s="9"/>
      <c r="AJ687" s="11"/>
      <c r="AK687" s="9"/>
      <c r="AL687" s="13"/>
      <c r="AM687" s="9"/>
    </row>
    <row r="688" spans="1:39" x14ac:dyDescent="0.3">
      <c r="A688" s="2" t="str">
        <f t="shared" si="698"/>
        <v>NÃO</v>
      </c>
      <c r="B688" s="2" t="str">
        <f>_xlfn.XLOOKUP($N688,'Base de Grupos'!$A:$A,'Base de Grupos'!$D:$D)</f>
        <v>1000065763</v>
      </c>
      <c r="C688" s="5" t="str">
        <f>_xlfn.XLOOKUP($N688,'Base de Grupos'!$A:$A,'Base de Grupos'!$E:$E)</f>
        <v>CANAL VENDA INTERNA</v>
      </c>
      <c r="D688" s="5" t="str">
        <f>_xlfn.XLOOKUP($N688,'Base de Grupos'!$A:$A,'Base de Grupos'!$F:$F)</f>
        <v>1000065763</v>
      </c>
      <c r="E688" s="2" t="str">
        <f>_xlfn.XLOOKUP($N688,'Base de Grupos'!$A:$A,'Base de Grupos'!$G:$G)</f>
        <v>CANAL VENDA INTERNA</v>
      </c>
      <c r="F688" s="2" t="str">
        <f>_xlfn.XLOOKUP($N688,'Base de Grupos'!$A:$A,'Base de Grupos'!$H:$H)</f>
        <v>1000174119</v>
      </c>
      <c r="G688" s="5" t="str">
        <f>_xlfn.XLOOKUP($N688,'Base de Grupos'!$A:$A,'Base de Grupos'!$I:$I)</f>
        <v>REGIONAL VENDA INTERNA - CONVENIENCIA</v>
      </c>
      <c r="H688" s="5" t="str">
        <f>_xlfn.XLOOKUP($N688,'Base de Grupos'!$A:$A,'Base de Grupos'!$J:$J)</f>
        <v>1000174119</v>
      </c>
      <c r="I688" s="2" t="str">
        <f>_xlfn.XLOOKUP($N688,'Base de Grupos'!$A:$A,'Base de Grupos'!$K:$K)</f>
        <v>REGIONAL VENDA INTERNA - CONVENIENCIA</v>
      </c>
      <c r="J688" s="2" t="str">
        <f>_xlfn.XLOOKUP($N688,'Base de Grupos'!$A:$A,'Base de Grupos'!$L:$L)</f>
        <v>1000174119</v>
      </c>
      <c r="K688" s="5" t="str">
        <f>_xlfn.XLOOKUP($N688,'Base de Grupos'!$A:$A,'Base de Grupos'!$M:$M)</f>
        <v>REGIONAL VENDA INTERNA - CONVENIENCIA</v>
      </c>
      <c r="L688" s="5" t="str">
        <f t="shared" si="699"/>
        <v/>
      </c>
      <c r="M688" s="5" t="str">
        <f>_xlfn.XLOOKUP($N688,'Base de Grupos'!$A:$A,'Base de Grupos'!$C:$C)</f>
        <v>AP</v>
      </c>
      <c r="N688" s="3">
        <v>1502</v>
      </c>
      <c r="O688" s="4" t="s">
        <v>262</v>
      </c>
      <c r="P688" s="5" t="s">
        <v>81</v>
      </c>
      <c r="Q688" s="56">
        <v>0</v>
      </c>
      <c r="R688" s="56">
        <v>0</v>
      </c>
      <c r="S688" s="56">
        <v>0</v>
      </c>
      <c r="T688" s="56">
        <f>_xlfn.XLOOKUP($N688,'Calculo Leads Conveniencia'!$A$77:$A$104,'Calculo Leads Conveniencia'!G$77:G$104)*_xlfn.XLOOKUP($P688,'Base Grupo de Produtos'!$E$23:$E$39,'Base Grupo de Produtos'!$F$23:$F$39)</f>
        <v>0</v>
      </c>
      <c r="U688" s="56">
        <f>_xlfn.XLOOKUP($N688,'Calculo Leads Conveniencia'!$A$77:$A$104,'Calculo Leads Conveniencia'!H$77:H$104)*_xlfn.XLOOKUP($P688,'Base Grupo de Produtos'!$E$23:$E$39,'Base Grupo de Produtos'!$F$23:$F$39)</f>
        <v>0</v>
      </c>
      <c r="V688" s="56">
        <f>_xlfn.XLOOKUP($N688,'Calculo Leads Conveniencia'!$A$77:$A$104,'Calculo Leads Conveniencia'!I$77:I$104)*_xlfn.XLOOKUP($P688,'Base Grupo de Produtos'!$E$23:$E$39,'Base Grupo de Produtos'!$F$23:$F$39)</f>
        <v>0</v>
      </c>
      <c r="W688" s="56">
        <f>_xlfn.XLOOKUP($N688,'Calculo Leads Conveniencia'!$A$77:$A$104,'Calculo Leads Conveniencia'!J$77:J$104)*_xlfn.XLOOKUP($P688,'Base Grupo de Produtos'!$E$23:$E$39,'Base Grupo de Produtos'!$F$23:$F$39)</f>
        <v>0</v>
      </c>
      <c r="X688" s="56">
        <f>_xlfn.XLOOKUP($N688,'Calculo Leads Conveniencia'!$A$77:$A$104,'Calculo Leads Conveniencia'!K$77:K$104)*_xlfn.XLOOKUP($P688,'Base Grupo de Produtos'!$E$23:$E$39,'Base Grupo de Produtos'!$F$23:$F$39)</f>
        <v>0</v>
      </c>
      <c r="Y688" s="56">
        <f>_xlfn.XLOOKUP($N688,'Calculo Leads Conveniencia'!$A$77:$A$104,'Calculo Leads Conveniencia'!L$77:L$104)*_xlfn.XLOOKUP($P688,'Base Grupo de Produtos'!$E$23:$E$39,'Base Grupo de Produtos'!$F$23:$F$39)</f>
        <v>0</v>
      </c>
      <c r="Z688" s="56">
        <f>_xlfn.XLOOKUP($N688,'Calculo Leads Conveniencia'!$A$77:$A$104,'Calculo Leads Conveniencia'!M$77:M$104)*_xlfn.XLOOKUP($P688,'Base Grupo de Produtos'!$E$23:$E$39,'Base Grupo de Produtos'!$F$23:$F$39)</f>
        <v>0</v>
      </c>
      <c r="AA688" s="56">
        <f>_xlfn.XLOOKUP($N688,'Calculo Leads Conveniencia'!$A$77:$A$104,'Calculo Leads Conveniencia'!N$77:N$104)*_xlfn.XLOOKUP($P688,'Base Grupo de Produtos'!$E$23:$E$39,'Base Grupo de Produtos'!$F$23:$F$39)</f>
        <v>0</v>
      </c>
      <c r="AB688" s="56">
        <f>_xlfn.XLOOKUP($N688,'Calculo Leads Conveniencia'!$A$77:$A$104,'Calculo Leads Conveniencia'!O$77:O$104)*_xlfn.XLOOKUP($P688,'Base Grupo de Produtos'!$E$23:$E$39,'Base Grupo de Produtos'!$F$23:$F$39)</f>
        <v>0</v>
      </c>
      <c r="AC688" s="61">
        <f t="shared" si="697"/>
        <v>0</v>
      </c>
      <c r="AD688" s="28"/>
      <c r="AE688" s="12"/>
      <c r="AF688" s="29"/>
      <c r="AG688" s="9"/>
      <c r="AH688" s="10"/>
      <c r="AI688" s="9"/>
      <c r="AJ688" s="11"/>
      <c r="AK688" s="9"/>
      <c r="AL688" s="13"/>
      <c r="AM688" s="9"/>
    </row>
    <row r="689" spans="1:39" x14ac:dyDescent="0.3">
      <c r="A689" s="2" t="str">
        <f t="shared" si="698"/>
        <v>NÃO</v>
      </c>
      <c r="B689" s="2" t="str">
        <f>_xlfn.XLOOKUP($N689,'Base de Grupos'!$A:$A,'Base de Grupos'!$D:$D)</f>
        <v>1000065763</v>
      </c>
      <c r="C689" s="5" t="str">
        <f>_xlfn.XLOOKUP($N689,'Base de Grupos'!$A:$A,'Base de Grupos'!$E:$E)</f>
        <v>CANAL VENDA INTERNA</v>
      </c>
      <c r="D689" s="5" t="str">
        <f>_xlfn.XLOOKUP($N689,'Base de Grupos'!$A:$A,'Base de Grupos'!$F:$F)</f>
        <v>1000065763</v>
      </c>
      <c r="E689" s="2" t="str">
        <f>_xlfn.XLOOKUP($N689,'Base de Grupos'!$A:$A,'Base de Grupos'!$G:$G)</f>
        <v>CANAL VENDA INTERNA</v>
      </c>
      <c r="F689" s="2" t="str">
        <f>_xlfn.XLOOKUP($N689,'Base de Grupos'!$A:$A,'Base de Grupos'!$H:$H)</f>
        <v>1000174119</v>
      </c>
      <c r="G689" s="5" t="str">
        <f>_xlfn.XLOOKUP($N689,'Base de Grupos'!$A:$A,'Base de Grupos'!$I:$I)</f>
        <v>REGIONAL VENDA INTERNA - CONVENIENCIA</v>
      </c>
      <c r="H689" s="5" t="str">
        <f>_xlfn.XLOOKUP($N689,'Base de Grupos'!$A:$A,'Base de Grupos'!$J:$J)</f>
        <v>1000174119</v>
      </c>
      <c r="I689" s="2" t="str">
        <f>_xlfn.XLOOKUP($N689,'Base de Grupos'!$A:$A,'Base de Grupos'!$K:$K)</f>
        <v>REGIONAL VENDA INTERNA - CONVENIENCIA</v>
      </c>
      <c r="J689" s="2" t="str">
        <f>_xlfn.XLOOKUP($N689,'Base de Grupos'!$A:$A,'Base de Grupos'!$L:$L)</f>
        <v>1000174119</v>
      </c>
      <c r="K689" s="5" t="str">
        <f>_xlfn.XLOOKUP($N689,'Base de Grupos'!$A:$A,'Base de Grupos'!$M:$M)</f>
        <v>REGIONAL VENDA INTERNA - CONVENIENCIA</v>
      </c>
      <c r="L689" s="5" t="str">
        <f t="shared" si="699"/>
        <v/>
      </c>
      <c r="M689" s="5" t="str">
        <f>_xlfn.XLOOKUP($N689,'Base de Grupos'!$A:$A,'Base de Grupos'!$C:$C)</f>
        <v>AP</v>
      </c>
      <c r="N689" s="3">
        <v>1502</v>
      </c>
      <c r="O689" s="4" t="s">
        <v>262</v>
      </c>
      <c r="P689" s="5" t="s">
        <v>82</v>
      </c>
      <c r="Q689" s="56">
        <v>0</v>
      </c>
      <c r="R689" s="56">
        <v>0</v>
      </c>
      <c r="S689" s="56">
        <v>0</v>
      </c>
      <c r="T689" s="56">
        <f>_xlfn.XLOOKUP($N689,'Calculo Leads Conveniencia'!$A$77:$A$104,'Calculo Leads Conveniencia'!G$77:G$104)*_xlfn.XLOOKUP($P689,'Base Grupo de Produtos'!$E$23:$E$39,'Base Grupo de Produtos'!$F$23:$F$39)</f>
        <v>0</v>
      </c>
      <c r="U689" s="56">
        <f>_xlfn.XLOOKUP($N689,'Calculo Leads Conveniencia'!$A$77:$A$104,'Calculo Leads Conveniencia'!H$77:H$104)*_xlfn.XLOOKUP($P689,'Base Grupo de Produtos'!$E$23:$E$39,'Base Grupo de Produtos'!$F$23:$F$39)</f>
        <v>0</v>
      </c>
      <c r="V689" s="56">
        <f>_xlfn.XLOOKUP($N689,'Calculo Leads Conveniencia'!$A$77:$A$104,'Calculo Leads Conveniencia'!I$77:I$104)*_xlfn.XLOOKUP($P689,'Base Grupo de Produtos'!$E$23:$E$39,'Base Grupo de Produtos'!$F$23:$F$39)</f>
        <v>0</v>
      </c>
      <c r="W689" s="56">
        <f>_xlfn.XLOOKUP($N689,'Calculo Leads Conveniencia'!$A$77:$A$104,'Calculo Leads Conveniencia'!J$77:J$104)*_xlfn.XLOOKUP($P689,'Base Grupo de Produtos'!$E$23:$E$39,'Base Grupo de Produtos'!$F$23:$F$39)</f>
        <v>0</v>
      </c>
      <c r="X689" s="56">
        <f>_xlfn.XLOOKUP($N689,'Calculo Leads Conveniencia'!$A$77:$A$104,'Calculo Leads Conveniencia'!K$77:K$104)*_xlfn.XLOOKUP($P689,'Base Grupo de Produtos'!$E$23:$E$39,'Base Grupo de Produtos'!$F$23:$F$39)</f>
        <v>0</v>
      </c>
      <c r="Y689" s="56">
        <f>_xlfn.XLOOKUP($N689,'Calculo Leads Conveniencia'!$A$77:$A$104,'Calculo Leads Conveniencia'!L$77:L$104)*_xlfn.XLOOKUP($P689,'Base Grupo de Produtos'!$E$23:$E$39,'Base Grupo de Produtos'!$F$23:$F$39)</f>
        <v>0</v>
      </c>
      <c r="Z689" s="56">
        <f>_xlfn.XLOOKUP($N689,'Calculo Leads Conveniencia'!$A$77:$A$104,'Calculo Leads Conveniencia'!M$77:M$104)*_xlfn.XLOOKUP($P689,'Base Grupo de Produtos'!$E$23:$E$39,'Base Grupo de Produtos'!$F$23:$F$39)</f>
        <v>0</v>
      </c>
      <c r="AA689" s="56">
        <f>_xlfn.XLOOKUP($N689,'Calculo Leads Conveniencia'!$A$77:$A$104,'Calculo Leads Conveniencia'!N$77:N$104)*_xlfn.XLOOKUP($P689,'Base Grupo de Produtos'!$E$23:$E$39,'Base Grupo de Produtos'!$F$23:$F$39)</f>
        <v>0</v>
      </c>
      <c r="AB689" s="56">
        <f>_xlfn.XLOOKUP($N689,'Calculo Leads Conveniencia'!$A$77:$A$104,'Calculo Leads Conveniencia'!O$77:O$104)*_xlfn.XLOOKUP($P689,'Base Grupo de Produtos'!$E$23:$E$39,'Base Grupo de Produtos'!$F$23:$F$39)</f>
        <v>0</v>
      </c>
      <c r="AC689" s="61">
        <f t="shared" si="697"/>
        <v>0</v>
      </c>
      <c r="AD689" s="28"/>
      <c r="AE689" s="12"/>
      <c r="AF689" s="29"/>
      <c r="AG689" s="9"/>
      <c r="AH689" s="10"/>
      <c r="AI689" s="9"/>
      <c r="AJ689" s="11"/>
      <c r="AK689" s="9"/>
      <c r="AL689" s="13"/>
      <c r="AM689" s="9"/>
    </row>
    <row r="690" spans="1:39" x14ac:dyDescent="0.3">
      <c r="A690" s="2" t="str">
        <f t="shared" si="698"/>
        <v>NÃO</v>
      </c>
      <c r="B690" s="2" t="str">
        <f>_xlfn.XLOOKUP($N690,'Base de Grupos'!$A:$A,'Base de Grupos'!$D:$D)</f>
        <v>1000065763</v>
      </c>
      <c r="C690" s="5" t="str">
        <f>_xlfn.XLOOKUP($N690,'Base de Grupos'!$A:$A,'Base de Grupos'!$E:$E)</f>
        <v>CANAL VENDA INTERNA</v>
      </c>
      <c r="D690" s="5" t="str">
        <f>_xlfn.XLOOKUP($N690,'Base de Grupos'!$A:$A,'Base de Grupos'!$F:$F)</f>
        <v>1000065763</v>
      </c>
      <c r="E690" s="2" t="str">
        <f>_xlfn.XLOOKUP($N690,'Base de Grupos'!$A:$A,'Base de Grupos'!$G:$G)</f>
        <v>CANAL VENDA INTERNA</v>
      </c>
      <c r="F690" s="2" t="str">
        <f>_xlfn.XLOOKUP($N690,'Base de Grupos'!$A:$A,'Base de Grupos'!$H:$H)</f>
        <v>1000174119</v>
      </c>
      <c r="G690" s="5" t="str">
        <f>_xlfn.XLOOKUP($N690,'Base de Grupos'!$A:$A,'Base de Grupos'!$I:$I)</f>
        <v>REGIONAL VENDA INTERNA - CONVENIENCIA</v>
      </c>
      <c r="H690" s="5" t="str">
        <f>_xlfn.XLOOKUP($N690,'Base de Grupos'!$A:$A,'Base de Grupos'!$J:$J)</f>
        <v>1000174119</v>
      </c>
      <c r="I690" s="2" t="str">
        <f>_xlfn.XLOOKUP($N690,'Base de Grupos'!$A:$A,'Base de Grupos'!$K:$K)</f>
        <v>REGIONAL VENDA INTERNA - CONVENIENCIA</v>
      </c>
      <c r="J690" s="2" t="str">
        <f>_xlfn.XLOOKUP($N690,'Base de Grupos'!$A:$A,'Base de Grupos'!$L:$L)</f>
        <v>1000174119</v>
      </c>
      <c r="K690" s="5" t="str">
        <f>_xlfn.XLOOKUP($N690,'Base de Grupos'!$A:$A,'Base de Grupos'!$M:$M)</f>
        <v>REGIONAL VENDA INTERNA - CONVENIENCIA</v>
      </c>
      <c r="L690" s="5" t="str">
        <f t="shared" si="699"/>
        <v/>
      </c>
      <c r="M690" s="5" t="str">
        <f>_xlfn.XLOOKUP($N690,'Base de Grupos'!$A:$A,'Base de Grupos'!$C:$C)</f>
        <v>AP</v>
      </c>
      <c r="N690" s="3">
        <v>1502</v>
      </c>
      <c r="O690" s="4" t="s">
        <v>262</v>
      </c>
      <c r="P690" s="5" t="s">
        <v>84</v>
      </c>
      <c r="Q690" s="56">
        <v>0</v>
      </c>
      <c r="R690" s="56">
        <v>0</v>
      </c>
      <c r="S690" s="56">
        <v>0</v>
      </c>
      <c r="T690" s="56">
        <f>_xlfn.XLOOKUP($N690,'Calculo Leads Conveniencia'!$A$77:$A$104,'Calculo Leads Conveniencia'!G$77:G$104)*_xlfn.XLOOKUP($P690,'Base Grupo de Produtos'!$E$23:$E$39,'Base Grupo de Produtos'!$F$23:$F$39)</f>
        <v>0</v>
      </c>
      <c r="U690" s="56">
        <f>_xlfn.XLOOKUP($N690,'Calculo Leads Conveniencia'!$A$77:$A$104,'Calculo Leads Conveniencia'!H$77:H$104)*_xlfn.XLOOKUP($P690,'Base Grupo de Produtos'!$E$23:$E$39,'Base Grupo de Produtos'!$F$23:$F$39)</f>
        <v>0</v>
      </c>
      <c r="V690" s="56">
        <f>_xlfn.XLOOKUP($N690,'Calculo Leads Conveniencia'!$A$77:$A$104,'Calculo Leads Conveniencia'!I$77:I$104)*_xlfn.XLOOKUP($P690,'Base Grupo de Produtos'!$E$23:$E$39,'Base Grupo de Produtos'!$F$23:$F$39)</f>
        <v>0</v>
      </c>
      <c r="W690" s="56">
        <f>_xlfn.XLOOKUP($N690,'Calculo Leads Conveniencia'!$A$77:$A$104,'Calculo Leads Conveniencia'!J$77:J$104)*_xlfn.XLOOKUP($P690,'Base Grupo de Produtos'!$E$23:$E$39,'Base Grupo de Produtos'!$F$23:$F$39)</f>
        <v>0</v>
      </c>
      <c r="X690" s="56">
        <f>_xlfn.XLOOKUP($N690,'Calculo Leads Conveniencia'!$A$77:$A$104,'Calculo Leads Conveniencia'!K$77:K$104)*_xlfn.XLOOKUP($P690,'Base Grupo de Produtos'!$E$23:$E$39,'Base Grupo de Produtos'!$F$23:$F$39)</f>
        <v>0</v>
      </c>
      <c r="Y690" s="56">
        <f>_xlfn.XLOOKUP($N690,'Calculo Leads Conveniencia'!$A$77:$A$104,'Calculo Leads Conveniencia'!L$77:L$104)*_xlfn.XLOOKUP($P690,'Base Grupo de Produtos'!$E$23:$E$39,'Base Grupo de Produtos'!$F$23:$F$39)</f>
        <v>0</v>
      </c>
      <c r="Z690" s="56">
        <f>_xlfn.XLOOKUP($N690,'Calculo Leads Conveniencia'!$A$77:$A$104,'Calculo Leads Conveniencia'!M$77:M$104)*_xlfn.XLOOKUP($P690,'Base Grupo de Produtos'!$E$23:$E$39,'Base Grupo de Produtos'!$F$23:$F$39)</f>
        <v>0</v>
      </c>
      <c r="AA690" s="56">
        <f>_xlfn.XLOOKUP($N690,'Calculo Leads Conveniencia'!$A$77:$A$104,'Calculo Leads Conveniencia'!N$77:N$104)*_xlfn.XLOOKUP($P690,'Base Grupo de Produtos'!$E$23:$E$39,'Base Grupo de Produtos'!$F$23:$F$39)</f>
        <v>0</v>
      </c>
      <c r="AB690" s="56">
        <f>_xlfn.XLOOKUP($N690,'Calculo Leads Conveniencia'!$A$77:$A$104,'Calculo Leads Conveniencia'!O$77:O$104)*_xlfn.XLOOKUP($P690,'Base Grupo de Produtos'!$E$23:$E$39,'Base Grupo de Produtos'!$F$23:$F$39)</f>
        <v>0</v>
      </c>
      <c r="AC690" s="61">
        <f t="shared" si="697"/>
        <v>0</v>
      </c>
      <c r="AD690" s="28"/>
      <c r="AE690" s="12"/>
      <c r="AF690" s="29"/>
      <c r="AG690" s="9"/>
      <c r="AH690" s="10"/>
      <c r="AI690" s="9"/>
      <c r="AJ690" s="11"/>
      <c r="AK690" s="9"/>
      <c r="AL690" s="13"/>
      <c r="AM690" s="9"/>
    </row>
    <row r="691" spans="1:39" x14ac:dyDescent="0.3">
      <c r="A691" s="2" t="str">
        <f t="shared" si="698"/>
        <v>NÃO</v>
      </c>
      <c r="B691" s="2" t="str">
        <f>_xlfn.XLOOKUP($N691,'Base de Grupos'!$A:$A,'Base de Grupos'!$D:$D)</f>
        <v>1000065763</v>
      </c>
      <c r="C691" s="5" t="str">
        <f>_xlfn.XLOOKUP($N691,'Base de Grupos'!$A:$A,'Base de Grupos'!$E:$E)</f>
        <v>CANAL VENDA INTERNA</v>
      </c>
      <c r="D691" s="5" t="str">
        <f>_xlfn.XLOOKUP($N691,'Base de Grupos'!$A:$A,'Base de Grupos'!$F:$F)</f>
        <v>1000065763</v>
      </c>
      <c r="E691" s="2" t="str">
        <f>_xlfn.XLOOKUP($N691,'Base de Grupos'!$A:$A,'Base de Grupos'!$G:$G)</f>
        <v>CANAL VENDA INTERNA</v>
      </c>
      <c r="F691" s="2" t="str">
        <f>_xlfn.XLOOKUP($N691,'Base de Grupos'!$A:$A,'Base de Grupos'!$H:$H)</f>
        <v>1000174119</v>
      </c>
      <c r="G691" s="5" t="str">
        <f>_xlfn.XLOOKUP($N691,'Base de Grupos'!$A:$A,'Base de Grupos'!$I:$I)</f>
        <v>REGIONAL VENDA INTERNA - CONVENIENCIA</v>
      </c>
      <c r="H691" s="5" t="str">
        <f>_xlfn.XLOOKUP($N691,'Base de Grupos'!$A:$A,'Base de Grupos'!$J:$J)</f>
        <v>1000174119</v>
      </c>
      <c r="I691" s="2" t="str">
        <f>_xlfn.XLOOKUP($N691,'Base de Grupos'!$A:$A,'Base de Grupos'!$K:$K)</f>
        <v>REGIONAL VENDA INTERNA - CONVENIENCIA</v>
      </c>
      <c r="J691" s="2" t="str">
        <f>_xlfn.XLOOKUP($N691,'Base de Grupos'!$A:$A,'Base de Grupos'!$L:$L)</f>
        <v>1000174119</v>
      </c>
      <c r="K691" s="5" t="str">
        <f>_xlfn.XLOOKUP($N691,'Base de Grupos'!$A:$A,'Base de Grupos'!$M:$M)</f>
        <v>REGIONAL VENDA INTERNA - CONVENIENCIA</v>
      </c>
      <c r="L691" s="5" t="str">
        <f t="shared" si="699"/>
        <v/>
      </c>
      <c r="M691" s="5" t="str">
        <f>_xlfn.XLOOKUP($N691,'Base de Grupos'!$A:$A,'Base de Grupos'!$C:$C)</f>
        <v>AP</v>
      </c>
      <c r="N691" s="3">
        <v>1502</v>
      </c>
      <c r="O691" s="4" t="s">
        <v>262</v>
      </c>
      <c r="P691" s="5" t="s">
        <v>83</v>
      </c>
      <c r="Q691" s="56">
        <v>0</v>
      </c>
      <c r="R691" s="56">
        <v>0</v>
      </c>
      <c r="S691" s="56">
        <v>0</v>
      </c>
      <c r="T691" s="56">
        <f>_xlfn.XLOOKUP($N691,'Calculo Leads Conveniencia'!$A$77:$A$104,'Calculo Leads Conveniencia'!G$77:G$104)*_xlfn.XLOOKUP($P691,'Base Grupo de Produtos'!$E$23:$E$39,'Base Grupo de Produtos'!$F$23:$F$39)</f>
        <v>0</v>
      </c>
      <c r="U691" s="56">
        <f>_xlfn.XLOOKUP($N691,'Calculo Leads Conveniencia'!$A$77:$A$104,'Calculo Leads Conveniencia'!H$77:H$104)*_xlfn.XLOOKUP($P691,'Base Grupo de Produtos'!$E$23:$E$39,'Base Grupo de Produtos'!$F$23:$F$39)</f>
        <v>0</v>
      </c>
      <c r="V691" s="56">
        <f>_xlfn.XLOOKUP($N691,'Calculo Leads Conveniencia'!$A$77:$A$104,'Calculo Leads Conveniencia'!I$77:I$104)*_xlfn.XLOOKUP($P691,'Base Grupo de Produtos'!$E$23:$E$39,'Base Grupo de Produtos'!$F$23:$F$39)</f>
        <v>0</v>
      </c>
      <c r="W691" s="56">
        <f>_xlfn.XLOOKUP($N691,'Calculo Leads Conveniencia'!$A$77:$A$104,'Calculo Leads Conveniencia'!J$77:J$104)*_xlfn.XLOOKUP($P691,'Base Grupo de Produtos'!$E$23:$E$39,'Base Grupo de Produtos'!$F$23:$F$39)</f>
        <v>0</v>
      </c>
      <c r="X691" s="56">
        <f>_xlfn.XLOOKUP($N691,'Calculo Leads Conveniencia'!$A$77:$A$104,'Calculo Leads Conveniencia'!K$77:K$104)*_xlfn.XLOOKUP($P691,'Base Grupo de Produtos'!$E$23:$E$39,'Base Grupo de Produtos'!$F$23:$F$39)</f>
        <v>0</v>
      </c>
      <c r="Y691" s="56">
        <f>_xlfn.XLOOKUP($N691,'Calculo Leads Conveniencia'!$A$77:$A$104,'Calculo Leads Conveniencia'!L$77:L$104)*_xlfn.XLOOKUP($P691,'Base Grupo de Produtos'!$E$23:$E$39,'Base Grupo de Produtos'!$F$23:$F$39)</f>
        <v>0</v>
      </c>
      <c r="Z691" s="56">
        <f>_xlfn.XLOOKUP($N691,'Calculo Leads Conveniencia'!$A$77:$A$104,'Calculo Leads Conveniencia'!M$77:M$104)*_xlfn.XLOOKUP($P691,'Base Grupo de Produtos'!$E$23:$E$39,'Base Grupo de Produtos'!$F$23:$F$39)</f>
        <v>0</v>
      </c>
      <c r="AA691" s="56">
        <f>_xlfn.XLOOKUP($N691,'Calculo Leads Conveniencia'!$A$77:$A$104,'Calculo Leads Conveniencia'!N$77:N$104)*_xlfn.XLOOKUP($P691,'Base Grupo de Produtos'!$E$23:$E$39,'Base Grupo de Produtos'!$F$23:$F$39)</f>
        <v>0</v>
      </c>
      <c r="AB691" s="56">
        <f>_xlfn.XLOOKUP($N691,'Calculo Leads Conveniencia'!$A$77:$A$104,'Calculo Leads Conveniencia'!O$77:O$104)*_xlfn.XLOOKUP($P691,'Base Grupo de Produtos'!$E$23:$E$39,'Base Grupo de Produtos'!$F$23:$F$39)</f>
        <v>0</v>
      </c>
      <c r="AC691" s="61">
        <f t="shared" si="697"/>
        <v>0</v>
      </c>
      <c r="AD691" s="28"/>
      <c r="AE691" s="12"/>
      <c r="AF691" s="29"/>
      <c r="AG691" s="9"/>
      <c r="AH691" s="10"/>
      <c r="AI691" s="9"/>
      <c r="AJ691" s="11"/>
      <c r="AK691" s="9"/>
      <c r="AL691" s="13"/>
      <c r="AM691" s="9"/>
    </row>
    <row r="692" spans="1:39" x14ac:dyDescent="0.3">
      <c r="A692" s="2" t="str">
        <f t="shared" si="698"/>
        <v>NÃO</v>
      </c>
      <c r="B692" s="2" t="str">
        <f>_xlfn.XLOOKUP($N692,'Base de Grupos'!$A:$A,'Base de Grupos'!$D:$D)</f>
        <v>1000065763</v>
      </c>
      <c r="C692" s="5" t="str">
        <f>_xlfn.XLOOKUP($N692,'Base de Grupos'!$A:$A,'Base de Grupos'!$E:$E)</f>
        <v>CANAL VENDA INTERNA</v>
      </c>
      <c r="D692" s="5" t="str">
        <f>_xlfn.XLOOKUP($N692,'Base de Grupos'!$A:$A,'Base de Grupos'!$F:$F)</f>
        <v>1000065763</v>
      </c>
      <c r="E692" s="2" t="str">
        <f>_xlfn.XLOOKUP($N692,'Base de Grupos'!$A:$A,'Base de Grupos'!$G:$G)</f>
        <v>CANAL VENDA INTERNA</v>
      </c>
      <c r="F692" s="2" t="str">
        <f>_xlfn.XLOOKUP($N692,'Base de Grupos'!$A:$A,'Base de Grupos'!$H:$H)</f>
        <v>1000174119</v>
      </c>
      <c r="G692" s="5" t="str">
        <f>_xlfn.XLOOKUP($N692,'Base de Grupos'!$A:$A,'Base de Grupos'!$I:$I)</f>
        <v>REGIONAL VENDA INTERNA - CONVENIENCIA</v>
      </c>
      <c r="H692" s="5" t="str">
        <f>_xlfn.XLOOKUP($N692,'Base de Grupos'!$A:$A,'Base de Grupos'!$J:$J)</f>
        <v>1000174119</v>
      </c>
      <c r="I692" s="2" t="str">
        <f>_xlfn.XLOOKUP($N692,'Base de Grupos'!$A:$A,'Base de Grupos'!$K:$K)</f>
        <v>REGIONAL VENDA INTERNA - CONVENIENCIA</v>
      </c>
      <c r="J692" s="2" t="str">
        <f>_xlfn.XLOOKUP($N692,'Base de Grupos'!$A:$A,'Base de Grupos'!$L:$L)</f>
        <v>1000174119</v>
      </c>
      <c r="K692" s="5" t="str">
        <f>_xlfn.XLOOKUP($N692,'Base de Grupos'!$A:$A,'Base de Grupos'!$M:$M)</f>
        <v>REGIONAL VENDA INTERNA - CONVENIENCIA</v>
      </c>
      <c r="L692" s="5" t="str">
        <f t="shared" si="699"/>
        <v/>
      </c>
      <c r="M692" s="5" t="str">
        <f>_xlfn.XLOOKUP($N692,'Base de Grupos'!$A:$A,'Base de Grupos'!$C:$C)</f>
        <v>AP</v>
      </c>
      <c r="N692" s="3">
        <v>1502</v>
      </c>
      <c r="O692" s="4" t="s">
        <v>262</v>
      </c>
      <c r="P692" s="5" t="s">
        <v>87</v>
      </c>
      <c r="Q692" s="56">
        <v>0</v>
      </c>
      <c r="R692" s="56">
        <v>0</v>
      </c>
      <c r="S692" s="56">
        <v>0</v>
      </c>
      <c r="T692" s="56">
        <f>_xlfn.XLOOKUP($N692,'Calculo Leads Conveniencia'!$A$77:$A$104,'Calculo Leads Conveniencia'!G$77:G$104)*_xlfn.XLOOKUP($P692,'Base Grupo de Produtos'!$E$23:$E$39,'Base Grupo de Produtos'!$F$23:$F$39)</f>
        <v>0</v>
      </c>
      <c r="U692" s="56">
        <f>_xlfn.XLOOKUP($N692,'Calculo Leads Conveniencia'!$A$77:$A$104,'Calculo Leads Conveniencia'!H$77:H$104)*_xlfn.XLOOKUP($P692,'Base Grupo de Produtos'!$E$23:$E$39,'Base Grupo de Produtos'!$F$23:$F$39)</f>
        <v>0</v>
      </c>
      <c r="V692" s="56">
        <f>_xlfn.XLOOKUP($N692,'Calculo Leads Conveniencia'!$A$77:$A$104,'Calculo Leads Conveniencia'!I$77:I$104)*_xlfn.XLOOKUP($P692,'Base Grupo de Produtos'!$E$23:$E$39,'Base Grupo de Produtos'!$F$23:$F$39)</f>
        <v>0</v>
      </c>
      <c r="W692" s="56">
        <f>_xlfn.XLOOKUP($N692,'Calculo Leads Conveniencia'!$A$77:$A$104,'Calculo Leads Conveniencia'!J$77:J$104)*_xlfn.XLOOKUP($P692,'Base Grupo de Produtos'!$E$23:$E$39,'Base Grupo de Produtos'!$F$23:$F$39)</f>
        <v>0</v>
      </c>
      <c r="X692" s="56">
        <f>_xlfn.XLOOKUP($N692,'Calculo Leads Conveniencia'!$A$77:$A$104,'Calculo Leads Conveniencia'!K$77:K$104)*_xlfn.XLOOKUP($P692,'Base Grupo de Produtos'!$E$23:$E$39,'Base Grupo de Produtos'!$F$23:$F$39)</f>
        <v>0</v>
      </c>
      <c r="Y692" s="56">
        <f>_xlfn.XLOOKUP($N692,'Calculo Leads Conveniencia'!$A$77:$A$104,'Calculo Leads Conveniencia'!L$77:L$104)*_xlfn.XLOOKUP($P692,'Base Grupo de Produtos'!$E$23:$E$39,'Base Grupo de Produtos'!$F$23:$F$39)</f>
        <v>0</v>
      </c>
      <c r="Z692" s="56">
        <f>_xlfn.XLOOKUP($N692,'Calculo Leads Conveniencia'!$A$77:$A$104,'Calculo Leads Conveniencia'!M$77:M$104)*_xlfn.XLOOKUP($P692,'Base Grupo de Produtos'!$E$23:$E$39,'Base Grupo de Produtos'!$F$23:$F$39)</f>
        <v>0</v>
      </c>
      <c r="AA692" s="56">
        <f>_xlfn.XLOOKUP($N692,'Calculo Leads Conveniencia'!$A$77:$A$104,'Calculo Leads Conveniencia'!N$77:N$104)*_xlfn.XLOOKUP($P692,'Base Grupo de Produtos'!$E$23:$E$39,'Base Grupo de Produtos'!$F$23:$F$39)</f>
        <v>0</v>
      </c>
      <c r="AB692" s="56">
        <f>_xlfn.XLOOKUP($N692,'Calculo Leads Conveniencia'!$A$77:$A$104,'Calculo Leads Conveniencia'!O$77:O$104)*_xlfn.XLOOKUP($P692,'Base Grupo de Produtos'!$E$23:$E$39,'Base Grupo de Produtos'!$F$23:$F$39)</f>
        <v>0</v>
      </c>
      <c r="AC692" s="61">
        <f t="shared" si="697"/>
        <v>0</v>
      </c>
      <c r="AD692" s="28"/>
      <c r="AE692" s="12"/>
      <c r="AF692" s="29"/>
      <c r="AG692" s="9"/>
      <c r="AH692" s="10"/>
      <c r="AI692" s="9"/>
      <c r="AJ692" s="11"/>
      <c r="AK692" s="9"/>
      <c r="AL692" s="13"/>
      <c r="AM692" s="9"/>
    </row>
    <row r="693" spans="1:39" x14ac:dyDescent="0.3">
      <c r="A693" s="2" t="str">
        <f t="shared" si="698"/>
        <v>NÃO</v>
      </c>
      <c r="B693" s="2" t="str">
        <f>_xlfn.XLOOKUP($N693,'Base de Grupos'!$A:$A,'Base de Grupos'!$D:$D)</f>
        <v>1000065763</v>
      </c>
      <c r="C693" s="5" t="str">
        <f>_xlfn.XLOOKUP($N693,'Base de Grupos'!$A:$A,'Base de Grupos'!$E:$E)</f>
        <v>CANAL VENDA INTERNA</v>
      </c>
      <c r="D693" s="5" t="str">
        <f>_xlfn.XLOOKUP($N693,'Base de Grupos'!$A:$A,'Base de Grupos'!$F:$F)</f>
        <v>1000065763</v>
      </c>
      <c r="E693" s="2" t="str">
        <f>_xlfn.XLOOKUP($N693,'Base de Grupos'!$A:$A,'Base de Grupos'!$G:$G)</f>
        <v>CANAL VENDA INTERNA</v>
      </c>
      <c r="F693" s="2" t="str">
        <f>_xlfn.XLOOKUP($N693,'Base de Grupos'!$A:$A,'Base de Grupos'!$H:$H)</f>
        <v>1000174119</v>
      </c>
      <c r="G693" s="5" t="str">
        <f>_xlfn.XLOOKUP($N693,'Base de Grupos'!$A:$A,'Base de Grupos'!$I:$I)</f>
        <v>REGIONAL VENDA INTERNA - CONVENIENCIA</v>
      </c>
      <c r="H693" s="5" t="str">
        <f>_xlfn.XLOOKUP($N693,'Base de Grupos'!$A:$A,'Base de Grupos'!$J:$J)</f>
        <v>1000174119</v>
      </c>
      <c r="I693" s="2" t="str">
        <f>_xlfn.XLOOKUP($N693,'Base de Grupos'!$A:$A,'Base de Grupos'!$K:$K)</f>
        <v>REGIONAL VENDA INTERNA - CONVENIENCIA</v>
      </c>
      <c r="J693" s="2" t="str">
        <f>_xlfn.XLOOKUP($N693,'Base de Grupos'!$A:$A,'Base de Grupos'!$L:$L)</f>
        <v>1000174119</v>
      </c>
      <c r="K693" s="5" t="str">
        <f>_xlfn.XLOOKUP($N693,'Base de Grupos'!$A:$A,'Base de Grupos'!$M:$M)</f>
        <v>REGIONAL VENDA INTERNA - CONVENIENCIA</v>
      </c>
      <c r="L693" s="5" t="str">
        <f t="shared" si="699"/>
        <v/>
      </c>
      <c r="M693" s="5" t="str">
        <f>_xlfn.XLOOKUP($N693,'Base de Grupos'!$A:$A,'Base de Grupos'!$C:$C)</f>
        <v>AP</v>
      </c>
      <c r="N693" s="3">
        <v>1502</v>
      </c>
      <c r="O693" s="4" t="s">
        <v>262</v>
      </c>
      <c r="P693" s="5" t="s">
        <v>85</v>
      </c>
      <c r="Q693" s="56">
        <v>0</v>
      </c>
      <c r="R693" s="56">
        <v>0</v>
      </c>
      <c r="S693" s="56">
        <v>0</v>
      </c>
      <c r="T693" s="56">
        <f>_xlfn.XLOOKUP($N693,'Calculo Leads Conveniencia'!$A$77:$A$104,'Calculo Leads Conveniencia'!G$77:G$104)*_xlfn.XLOOKUP($P693,'Base Grupo de Produtos'!$E$23:$E$39,'Base Grupo de Produtos'!$F$23:$F$39)</f>
        <v>0</v>
      </c>
      <c r="U693" s="56">
        <f>_xlfn.XLOOKUP($N693,'Calculo Leads Conveniencia'!$A$77:$A$104,'Calculo Leads Conveniencia'!H$77:H$104)*_xlfn.XLOOKUP($P693,'Base Grupo de Produtos'!$E$23:$E$39,'Base Grupo de Produtos'!$F$23:$F$39)</f>
        <v>0</v>
      </c>
      <c r="V693" s="56">
        <f>_xlfn.XLOOKUP($N693,'Calculo Leads Conveniencia'!$A$77:$A$104,'Calculo Leads Conveniencia'!I$77:I$104)*_xlfn.XLOOKUP($P693,'Base Grupo de Produtos'!$E$23:$E$39,'Base Grupo de Produtos'!$F$23:$F$39)</f>
        <v>0</v>
      </c>
      <c r="W693" s="56">
        <f>_xlfn.XLOOKUP($N693,'Calculo Leads Conveniencia'!$A$77:$A$104,'Calculo Leads Conveniencia'!J$77:J$104)*_xlfn.XLOOKUP($P693,'Base Grupo de Produtos'!$E$23:$E$39,'Base Grupo de Produtos'!$F$23:$F$39)</f>
        <v>0</v>
      </c>
      <c r="X693" s="56">
        <f>_xlfn.XLOOKUP($N693,'Calculo Leads Conveniencia'!$A$77:$A$104,'Calculo Leads Conveniencia'!K$77:K$104)*_xlfn.XLOOKUP($P693,'Base Grupo de Produtos'!$E$23:$E$39,'Base Grupo de Produtos'!$F$23:$F$39)</f>
        <v>0</v>
      </c>
      <c r="Y693" s="56">
        <f>_xlfn.XLOOKUP($N693,'Calculo Leads Conveniencia'!$A$77:$A$104,'Calculo Leads Conveniencia'!L$77:L$104)*_xlfn.XLOOKUP($P693,'Base Grupo de Produtos'!$E$23:$E$39,'Base Grupo de Produtos'!$F$23:$F$39)</f>
        <v>0</v>
      </c>
      <c r="Z693" s="56">
        <f>_xlfn.XLOOKUP($N693,'Calculo Leads Conveniencia'!$A$77:$A$104,'Calculo Leads Conveniencia'!M$77:M$104)*_xlfn.XLOOKUP($P693,'Base Grupo de Produtos'!$E$23:$E$39,'Base Grupo de Produtos'!$F$23:$F$39)</f>
        <v>0</v>
      </c>
      <c r="AA693" s="56">
        <f>_xlfn.XLOOKUP($N693,'Calculo Leads Conveniencia'!$A$77:$A$104,'Calculo Leads Conveniencia'!N$77:N$104)*_xlfn.XLOOKUP($P693,'Base Grupo de Produtos'!$E$23:$E$39,'Base Grupo de Produtos'!$F$23:$F$39)</f>
        <v>0</v>
      </c>
      <c r="AB693" s="56">
        <f>_xlfn.XLOOKUP($N693,'Calculo Leads Conveniencia'!$A$77:$A$104,'Calculo Leads Conveniencia'!O$77:O$104)*_xlfn.XLOOKUP($P693,'Base Grupo de Produtos'!$E$23:$E$39,'Base Grupo de Produtos'!$F$23:$F$39)</f>
        <v>0</v>
      </c>
      <c r="AC693" s="61">
        <f t="shared" si="697"/>
        <v>0</v>
      </c>
      <c r="AD693" s="28"/>
      <c r="AE693" s="12"/>
      <c r="AF693" s="29"/>
      <c r="AG693" s="9"/>
      <c r="AH693" s="10"/>
      <c r="AI693" s="9"/>
      <c r="AJ693" s="11"/>
      <c r="AK693" s="9"/>
      <c r="AL693" s="13"/>
      <c r="AM693" s="9"/>
    </row>
    <row r="694" spans="1:39" x14ac:dyDescent="0.3">
      <c r="A694" s="2" t="str">
        <f t="shared" si="698"/>
        <v>NÃO</v>
      </c>
      <c r="B694" s="2" t="str">
        <f>_xlfn.XLOOKUP($N694,'Base de Grupos'!$A:$A,'Base de Grupos'!$D:$D)</f>
        <v>1000065763</v>
      </c>
      <c r="C694" s="5" t="str">
        <f>_xlfn.XLOOKUP($N694,'Base de Grupos'!$A:$A,'Base de Grupos'!$E:$E)</f>
        <v>CANAL VENDA INTERNA</v>
      </c>
      <c r="D694" s="5" t="str">
        <f>_xlfn.XLOOKUP($N694,'Base de Grupos'!$A:$A,'Base de Grupos'!$F:$F)</f>
        <v>1000065763</v>
      </c>
      <c r="E694" s="2" t="str">
        <f>_xlfn.XLOOKUP($N694,'Base de Grupos'!$A:$A,'Base de Grupos'!$G:$G)</f>
        <v>CANAL VENDA INTERNA</v>
      </c>
      <c r="F694" s="2" t="str">
        <f>_xlfn.XLOOKUP($N694,'Base de Grupos'!$A:$A,'Base de Grupos'!$H:$H)</f>
        <v>1000174119</v>
      </c>
      <c r="G694" s="5" t="str">
        <f>_xlfn.XLOOKUP($N694,'Base de Grupos'!$A:$A,'Base de Grupos'!$I:$I)</f>
        <v>REGIONAL VENDA INTERNA - CONVENIENCIA</v>
      </c>
      <c r="H694" s="5" t="str">
        <f>_xlfn.XLOOKUP($N694,'Base de Grupos'!$A:$A,'Base de Grupos'!$J:$J)</f>
        <v>1000174119</v>
      </c>
      <c r="I694" s="2" t="str">
        <f>_xlfn.XLOOKUP($N694,'Base de Grupos'!$A:$A,'Base de Grupos'!$K:$K)</f>
        <v>REGIONAL VENDA INTERNA - CONVENIENCIA</v>
      </c>
      <c r="J694" s="2" t="str">
        <f>_xlfn.XLOOKUP($N694,'Base de Grupos'!$A:$A,'Base de Grupos'!$L:$L)</f>
        <v>1000174119</v>
      </c>
      <c r="K694" s="5" t="str">
        <f>_xlfn.XLOOKUP($N694,'Base de Grupos'!$A:$A,'Base de Grupos'!$M:$M)</f>
        <v>REGIONAL VENDA INTERNA - CONVENIENCIA</v>
      </c>
      <c r="L694" s="5" t="str">
        <f t="shared" si="699"/>
        <v/>
      </c>
      <c r="M694" s="5" t="str">
        <f>_xlfn.XLOOKUP($N694,'Base de Grupos'!$A:$A,'Base de Grupos'!$C:$C)</f>
        <v>AP</v>
      </c>
      <c r="N694" s="3">
        <v>1502</v>
      </c>
      <c r="O694" s="4" t="s">
        <v>262</v>
      </c>
      <c r="P694" s="5" t="s">
        <v>92</v>
      </c>
      <c r="Q694" s="56">
        <v>0</v>
      </c>
      <c r="R694" s="56">
        <v>0</v>
      </c>
      <c r="S694" s="56">
        <v>0</v>
      </c>
      <c r="T694" s="56">
        <f>_xlfn.XLOOKUP($N694,'Calculo Leads Conveniencia'!$A$77:$A$104,'Calculo Leads Conveniencia'!G$77:G$104)*_xlfn.XLOOKUP($P694,'Base Grupo de Produtos'!$E$23:$E$39,'Base Grupo de Produtos'!$F$23:$F$39)</f>
        <v>0</v>
      </c>
      <c r="U694" s="56">
        <f>_xlfn.XLOOKUP($N694,'Calculo Leads Conveniencia'!$A$77:$A$104,'Calculo Leads Conveniencia'!H$77:H$104)*_xlfn.XLOOKUP($P694,'Base Grupo de Produtos'!$E$23:$E$39,'Base Grupo de Produtos'!$F$23:$F$39)</f>
        <v>0</v>
      </c>
      <c r="V694" s="56">
        <f>_xlfn.XLOOKUP($N694,'Calculo Leads Conveniencia'!$A$77:$A$104,'Calculo Leads Conveniencia'!I$77:I$104)*_xlfn.XLOOKUP($P694,'Base Grupo de Produtos'!$E$23:$E$39,'Base Grupo de Produtos'!$F$23:$F$39)</f>
        <v>0</v>
      </c>
      <c r="W694" s="56">
        <f>_xlfn.XLOOKUP($N694,'Calculo Leads Conveniencia'!$A$77:$A$104,'Calculo Leads Conveniencia'!J$77:J$104)*_xlfn.XLOOKUP($P694,'Base Grupo de Produtos'!$E$23:$E$39,'Base Grupo de Produtos'!$F$23:$F$39)</f>
        <v>0</v>
      </c>
      <c r="X694" s="56">
        <f>_xlfn.XLOOKUP($N694,'Calculo Leads Conveniencia'!$A$77:$A$104,'Calculo Leads Conveniencia'!K$77:K$104)*_xlfn.XLOOKUP($P694,'Base Grupo de Produtos'!$E$23:$E$39,'Base Grupo de Produtos'!$F$23:$F$39)</f>
        <v>0</v>
      </c>
      <c r="Y694" s="56">
        <f>_xlfn.XLOOKUP($N694,'Calculo Leads Conveniencia'!$A$77:$A$104,'Calculo Leads Conveniencia'!L$77:L$104)*_xlfn.XLOOKUP($P694,'Base Grupo de Produtos'!$E$23:$E$39,'Base Grupo de Produtos'!$F$23:$F$39)</f>
        <v>0</v>
      </c>
      <c r="Z694" s="56">
        <f>_xlfn.XLOOKUP($N694,'Calculo Leads Conveniencia'!$A$77:$A$104,'Calculo Leads Conveniencia'!M$77:M$104)*_xlfn.XLOOKUP($P694,'Base Grupo de Produtos'!$E$23:$E$39,'Base Grupo de Produtos'!$F$23:$F$39)</f>
        <v>0</v>
      </c>
      <c r="AA694" s="56">
        <f>_xlfn.XLOOKUP($N694,'Calculo Leads Conveniencia'!$A$77:$A$104,'Calculo Leads Conveniencia'!N$77:N$104)*_xlfn.XLOOKUP($P694,'Base Grupo de Produtos'!$E$23:$E$39,'Base Grupo de Produtos'!$F$23:$F$39)</f>
        <v>0</v>
      </c>
      <c r="AB694" s="56">
        <f>_xlfn.XLOOKUP($N694,'Calculo Leads Conveniencia'!$A$77:$A$104,'Calculo Leads Conveniencia'!O$77:O$104)*_xlfn.XLOOKUP($P694,'Base Grupo de Produtos'!$E$23:$E$39,'Base Grupo de Produtos'!$F$23:$F$39)</f>
        <v>0</v>
      </c>
      <c r="AC694" s="61">
        <f t="shared" si="697"/>
        <v>0</v>
      </c>
      <c r="AD694" s="28"/>
      <c r="AE694" s="12"/>
      <c r="AF694" s="29"/>
      <c r="AG694" s="9"/>
      <c r="AH694" s="10"/>
      <c r="AI694" s="9"/>
      <c r="AJ694" s="11"/>
      <c r="AK694" s="9"/>
      <c r="AL694" s="13"/>
      <c r="AM694" s="9"/>
    </row>
    <row r="695" spans="1:39" x14ac:dyDescent="0.3">
      <c r="A695" s="2" t="str">
        <f t="shared" si="698"/>
        <v>NÃO</v>
      </c>
      <c r="B695" s="2" t="str">
        <f>_xlfn.XLOOKUP($N695,'Base de Grupos'!$A:$A,'Base de Grupos'!$D:$D)</f>
        <v>1000065763</v>
      </c>
      <c r="C695" s="5" t="str">
        <f>_xlfn.XLOOKUP($N695,'Base de Grupos'!$A:$A,'Base de Grupos'!$E:$E)</f>
        <v>CANAL VENDA INTERNA</v>
      </c>
      <c r="D695" s="5" t="str">
        <f>_xlfn.XLOOKUP($N695,'Base de Grupos'!$A:$A,'Base de Grupos'!$F:$F)</f>
        <v>1000065763</v>
      </c>
      <c r="E695" s="2" t="str">
        <f>_xlfn.XLOOKUP($N695,'Base de Grupos'!$A:$A,'Base de Grupos'!$G:$G)</f>
        <v>CANAL VENDA INTERNA</v>
      </c>
      <c r="F695" s="2" t="str">
        <f>_xlfn.XLOOKUP($N695,'Base de Grupos'!$A:$A,'Base de Grupos'!$H:$H)</f>
        <v>1000174119</v>
      </c>
      <c r="G695" s="5" t="str">
        <f>_xlfn.XLOOKUP($N695,'Base de Grupos'!$A:$A,'Base de Grupos'!$I:$I)</f>
        <v>REGIONAL VENDA INTERNA - CONVENIENCIA</v>
      </c>
      <c r="H695" s="5" t="str">
        <f>_xlfn.XLOOKUP($N695,'Base de Grupos'!$A:$A,'Base de Grupos'!$J:$J)</f>
        <v>1000174119</v>
      </c>
      <c r="I695" s="2" t="str">
        <f>_xlfn.XLOOKUP($N695,'Base de Grupos'!$A:$A,'Base de Grupos'!$K:$K)</f>
        <v>REGIONAL VENDA INTERNA - CONVENIENCIA</v>
      </c>
      <c r="J695" s="2" t="str">
        <f>_xlfn.XLOOKUP($N695,'Base de Grupos'!$A:$A,'Base de Grupos'!$L:$L)</f>
        <v>1000174119</v>
      </c>
      <c r="K695" s="5" t="str">
        <f>_xlfn.XLOOKUP($N695,'Base de Grupos'!$A:$A,'Base de Grupos'!$M:$M)</f>
        <v>REGIONAL VENDA INTERNA - CONVENIENCIA</v>
      </c>
      <c r="L695" s="5" t="str">
        <f t="shared" si="699"/>
        <v/>
      </c>
      <c r="M695" s="5" t="str">
        <f>_xlfn.XLOOKUP($N695,'Base de Grupos'!$A:$A,'Base de Grupos'!$C:$C)</f>
        <v>AP</v>
      </c>
      <c r="N695" s="3">
        <v>1502</v>
      </c>
      <c r="O695" s="4" t="s">
        <v>262</v>
      </c>
      <c r="P695" s="5" t="s">
        <v>86</v>
      </c>
      <c r="Q695" s="56">
        <v>0</v>
      </c>
      <c r="R695" s="56">
        <v>0</v>
      </c>
      <c r="S695" s="56">
        <v>0</v>
      </c>
      <c r="T695" s="56">
        <f>_xlfn.XLOOKUP($N695,'Calculo Leads Conveniencia'!$A$77:$A$104,'Calculo Leads Conveniencia'!G$77:G$104)*_xlfn.XLOOKUP($P695,'Base Grupo de Produtos'!$E$23:$E$39,'Base Grupo de Produtos'!$F$23:$F$39)</f>
        <v>0</v>
      </c>
      <c r="U695" s="56">
        <f>_xlfn.XLOOKUP($N695,'Calculo Leads Conveniencia'!$A$77:$A$104,'Calculo Leads Conveniencia'!H$77:H$104)*_xlfn.XLOOKUP($P695,'Base Grupo de Produtos'!$E$23:$E$39,'Base Grupo de Produtos'!$F$23:$F$39)</f>
        <v>0</v>
      </c>
      <c r="V695" s="56">
        <f>_xlfn.XLOOKUP($N695,'Calculo Leads Conveniencia'!$A$77:$A$104,'Calculo Leads Conveniencia'!I$77:I$104)*_xlfn.XLOOKUP($P695,'Base Grupo de Produtos'!$E$23:$E$39,'Base Grupo de Produtos'!$F$23:$F$39)</f>
        <v>0</v>
      </c>
      <c r="W695" s="56">
        <f>_xlfn.XLOOKUP($N695,'Calculo Leads Conveniencia'!$A$77:$A$104,'Calculo Leads Conveniencia'!J$77:J$104)*_xlfn.XLOOKUP($P695,'Base Grupo de Produtos'!$E$23:$E$39,'Base Grupo de Produtos'!$F$23:$F$39)</f>
        <v>0</v>
      </c>
      <c r="X695" s="56">
        <f>_xlfn.XLOOKUP($N695,'Calculo Leads Conveniencia'!$A$77:$A$104,'Calculo Leads Conveniencia'!K$77:K$104)*_xlfn.XLOOKUP($P695,'Base Grupo de Produtos'!$E$23:$E$39,'Base Grupo de Produtos'!$F$23:$F$39)</f>
        <v>0</v>
      </c>
      <c r="Y695" s="56">
        <f>_xlfn.XLOOKUP($N695,'Calculo Leads Conveniencia'!$A$77:$A$104,'Calculo Leads Conveniencia'!L$77:L$104)*_xlfn.XLOOKUP($P695,'Base Grupo de Produtos'!$E$23:$E$39,'Base Grupo de Produtos'!$F$23:$F$39)</f>
        <v>0</v>
      </c>
      <c r="Z695" s="56">
        <f>_xlfn.XLOOKUP($N695,'Calculo Leads Conveniencia'!$A$77:$A$104,'Calculo Leads Conveniencia'!M$77:M$104)*_xlfn.XLOOKUP($P695,'Base Grupo de Produtos'!$E$23:$E$39,'Base Grupo de Produtos'!$F$23:$F$39)</f>
        <v>0</v>
      </c>
      <c r="AA695" s="56">
        <f>_xlfn.XLOOKUP($N695,'Calculo Leads Conveniencia'!$A$77:$A$104,'Calculo Leads Conveniencia'!N$77:N$104)*_xlfn.XLOOKUP($P695,'Base Grupo de Produtos'!$E$23:$E$39,'Base Grupo de Produtos'!$F$23:$F$39)</f>
        <v>0</v>
      </c>
      <c r="AB695" s="56">
        <f>_xlfn.XLOOKUP($N695,'Calculo Leads Conveniencia'!$A$77:$A$104,'Calculo Leads Conveniencia'!O$77:O$104)*_xlfn.XLOOKUP($P695,'Base Grupo de Produtos'!$E$23:$E$39,'Base Grupo de Produtos'!$F$23:$F$39)</f>
        <v>0</v>
      </c>
      <c r="AC695" s="61">
        <f t="shared" si="697"/>
        <v>0</v>
      </c>
      <c r="AD695" s="28"/>
      <c r="AE695" s="12"/>
      <c r="AF695" s="29"/>
      <c r="AG695" s="9"/>
      <c r="AH695" s="10"/>
      <c r="AI695" s="9"/>
      <c r="AJ695" s="11"/>
      <c r="AK695" s="9"/>
      <c r="AL695" s="13"/>
      <c r="AM695" s="9"/>
    </row>
    <row r="696" spans="1:39" x14ac:dyDescent="0.3">
      <c r="A696" s="2" t="str">
        <f t="shared" si="698"/>
        <v>NÃO</v>
      </c>
      <c r="B696" s="2" t="str">
        <f>_xlfn.XLOOKUP($N696,'Base de Grupos'!$A:$A,'Base de Grupos'!$D:$D)</f>
        <v>1000065763</v>
      </c>
      <c r="C696" s="5" t="str">
        <f>_xlfn.XLOOKUP($N696,'Base de Grupos'!$A:$A,'Base de Grupos'!$E:$E)</f>
        <v>CANAL VENDA INTERNA</v>
      </c>
      <c r="D696" s="5" t="str">
        <f>_xlfn.XLOOKUP($N696,'Base de Grupos'!$A:$A,'Base de Grupos'!$F:$F)</f>
        <v>1000065763</v>
      </c>
      <c r="E696" s="2" t="str">
        <f>_xlfn.XLOOKUP($N696,'Base de Grupos'!$A:$A,'Base de Grupos'!$G:$G)</f>
        <v>CANAL VENDA INTERNA</v>
      </c>
      <c r="F696" s="2" t="str">
        <f>_xlfn.XLOOKUP($N696,'Base de Grupos'!$A:$A,'Base de Grupos'!$H:$H)</f>
        <v>1000174119</v>
      </c>
      <c r="G696" s="5" t="str">
        <f>_xlfn.XLOOKUP($N696,'Base de Grupos'!$A:$A,'Base de Grupos'!$I:$I)</f>
        <v>REGIONAL VENDA INTERNA - CONVENIENCIA</v>
      </c>
      <c r="H696" s="5" t="str">
        <f>_xlfn.XLOOKUP($N696,'Base de Grupos'!$A:$A,'Base de Grupos'!$J:$J)</f>
        <v>1000174119</v>
      </c>
      <c r="I696" s="2" t="str">
        <f>_xlfn.XLOOKUP($N696,'Base de Grupos'!$A:$A,'Base de Grupos'!$K:$K)</f>
        <v>REGIONAL VENDA INTERNA - CONVENIENCIA</v>
      </c>
      <c r="J696" s="2" t="str">
        <f>_xlfn.XLOOKUP($N696,'Base de Grupos'!$A:$A,'Base de Grupos'!$L:$L)</f>
        <v>1000174119</v>
      </c>
      <c r="K696" s="5" t="str">
        <f>_xlfn.XLOOKUP($N696,'Base de Grupos'!$A:$A,'Base de Grupos'!$M:$M)</f>
        <v>REGIONAL VENDA INTERNA - CONVENIENCIA</v>
      </c>
      <c r="L696" s="5" t="str">
        <f t="shared" si="699"/>
        <v/>
      </c>
      <c r="M696" s="5" t="str">
        <f>_xlfn.XLOOKUP($N696,'Base de Grupos'!$A:$A,'Base de Grupos'!$C:$C)</f>
        <v>AP</v>
      </c>
      <c r="N696" s="3">
        <v>1502</v>
      </c>
      <c r="O696" s="4" t="s">
        <v>262</v>
      </c>
      <c r="P696" s="5" t="s">
        <v>108</v>
      </c>
      <c r="Q696" s="56">
        <v>0</v>
      </c>
      <c r="R696" s="56">
        <v>0</v>
      </c>
      <c r="S696" s="56">
        <v>0</v>
      </c>
      <c r="T696" s="56">
        <f>_xlfn.XLOOKUP($N696,'Calculo Leads Conveniencia'!$A$77:$A$104,'Calculo Leads Conveniencia'!G$77:G$104)*_xlfn.XLOOKUP($P696,'Base Grupo de Produtos'!$E$23:$E$39,'Base Grupo de Produtos'!$F$23:$F$39)</f>
        <v>0</v>
      </c>
      <c r="U696" s="56">
        <f>_xlfn.XLOOKUP($N696,'Calculo Leads Conveniencia'!$A$77:$A$104,'Calculo Leads Conveniencia'!H$77:H$104)*_xlfn.XLOOKUP($P696,'Base Grupo de Produtos'!$E$23:$E$39,'Base Grupo de Produtos'!$F$23:$F$39)</f>
        <v>0</v>
      </c>
      <c r="V696" s="56">
        <f>_xlfn.XLOOKUP($N696,'Calculo Leads Conveniencia'!$A$77:$A$104,'Calculo Leads Conveniencia'!I$77:I$104)*_xlfn.XLOOKUP($P696,'Base Grupo de Produtos'!$E$23:$E$39,'Base Grupo de Produtos'!$F$23:$F$39)</f>
        <v>0</v>
      </c>
      <c r="W696" s="56">
        <f>_xlfn.XLOOKUP($N696,'Calculo Leads Conveniencia'!$A$77:$A$104,'Calculo Leads Conveniencia'!J$77:J$104)*_xlfn.XLOOKUP($P696,'Base Grupo de Produtos'!$E$23:$E$39,'Base Grupo de Produtos'!$F$23:$F$39)</f>
        <v>0</v>
      </c>
      <c r="X696" s="56">
        <f>_xlfn.XLOOKUP($N696,'Calculo Leads Conveniencia'!$A$77:$A$104,'Calculo Leads Conveniencia'!K$77:K$104)*_xlfn.XLOOKUP($P696,'Base Grupo de Produtos'!$E$23:$E$39,'Base Grupo de Produtos'!$F$23:$F$39)</f>
        <v>0</v>
      </c>
      <c r="Y696" s="56">
        <f>_xlfn.XLOOKUP($N696,'Calculo Leads Conveniencia'!$A$77:$A$104,'Calculo Leads Conveniencia'!L$77:L$104)*_xlfn.XLOOKUP($P696,'Base Grupo de Produtos'!$E$23:$E$39,'Base Grupo de Produtos'!$F$23:$F$39)</f>
        <v>0</v>
      </c>
      <c r="Z696" s="56">
        <f>_xlfn.XLOOKUP($N696,'Calculo Leads Conveniencia'!$A$77:$A$104,'Calculo Leads Conveniencia'!M$77:M$104)*_xlfn.XLOOKUP($P696,'Base Grupo de Produtos'!$E$23:$E$39,'Base Grupo de Produtos'!$F$23:$F$39)</f>
        <v>0</v>
      </c>
      <c r="AA696" s="56">
        <f>_xlfn.XLOOKUP($N696,'Calculo Leads Conveniencia'!$A$77:$A$104,'Calculo Leads Conveniencia'!N$77:N$104)*_xlfn.XLOOKUP($P696,'Base Grupo de Produtos'!$E$23:$E$39,'Base Grupo de Produtos'!$F$23:$F$39)</f>
        <v>0</v>
      </c>
      <c r="AB696" s="56">
        <f>_xlfn.XLOOKUP($N696,'Calculo Leads Conveniencia'!$A$77:$A$104,'Calculo Leads Conveniencia'!O$77:O$104)*_xlfn.XLOOKUP($P696,'Base Grupo de Produtos'!$E$23:$E$39,'Base Grupo de Produtos'!$F$23:$F$39)</f>
        <v>0</v>
      </c>
      <c r="AC696" s="61">
        <f t="shared" si="697"/>
        <v>0</v>
      </c>
      <c r="AD696" s="28"/>
      <c r="AE696" s="12"/>
      <c r="AF696" s="29"/>
      <c r="AG696" s="9"/>
      <c r="AH696" s="10"/>
      <c r="AI696" s="9"/>
      <c r="AJ696" s="11"/>
      <c r="AK696" s="9"/>
      <c r="AL696" s="13"/>
      <c r="AM696" s="9"/>
    </row>
    <row r="697" spans="1:39" x14ac:dyDescent="0.3">
      <c r="A697" s="2" t="str">
        <f t="shared" si="698"/>
        <v>NÃO</v>
      </c>
      <c r="B697" s="2" t="str">
        <f>_xlfn.XLOOKUP($N697,'Base de Grupos'!$A:$A,'Base de Grupos'!$D:$D)</f>
        <v>1000065763</v>
      </c>
      <c r="C697" s="5" t="str">
        <f>_xlfn.XLOOKUP($N697,'Base de Grupos'!$A:$A,'Base de Grupos'!$E:$E)</f>
        <v>CANAL VENDA INTERNA</v>
      </c>
      <c r="D697" s="5" t="str">
        <f>_xlfn.XLOOKUP($N697,'Base de Grupos'!$A:$A,'Base de Grupos'!$F:$F)</f>
        <v>1000065763</v>
      </c>
      <c r="E697" s="2" t="str">
        <f>_xlfn.XLOOKUP($N697,'Base de Grupos'!$A:$A,'Base de Grupos'!$G:$G)</f>
        <v>CANAL VENDA INTERNA</v>
      </c>
      <c r="F697" s="2" t="str">
        <f>_xlfn.XLOOKUP($N697,'Base de Grupos'!$A:$A,'Base de Grupos'!$H:$H)</f>
        <v>1000174119</v>
      </c>
      <c r="G697" s="5" t="str">
        <f>_xlfn.XLOOKUP($N697,'Base de Grupos'!$A:$A,'Base de Grupos'!$I:$I)</f>
        <v>REGIONAL VENDA INTERNA - CONVENIENCIA</v>
      </c>
      <c r="H697" s="5" t="str">
        <f>_xlfn.XLOOKUP($N697,'Base de Grupos'!$A:$A,'Base de Grupos'!$J:$J)</f>
        <v>1000174119</v>
      </c>
      <c r="I697" s="2" t="str">
        <f>_xlfn.XLOOKUP($N697,'Base de Grupos'!$A:$A,'Base de Grupos'!$K:$K)</f>
        <v>REGIONAL VENDA INTERNA - CONVENIENCIA</v>
      </c>
      <c r="J697" s="2" t="str">
        <f>_xlfn.XLOOKUP($N697,'Base de Grupos'!$A:$A,'Base de Grupos'!$L:$L)</f>
        <v>1000174119</v>
      </c>
      <c r="K697" s="5" t="str">
        <f>_xlfn.XLOOKUP($N697,'Base de Grupos'!$A:$A,'Base de Grupos'!$M:$M)</f>
        <v>REGIONAL VENDA INTERNA - CONVENIENCIA</v>
      </c>
      <c r="L697" s="5" t="str">
        <f t="shared" si="699"/>
        <v/>
      </c>
      <c r="M697" s="5" t="str">
        <f>_xlfn.XLOOKUP($N697,'Base de Grupos'!$A:$A,'Base de Grupos'!$C:$C)</f>
        <v>AP</v>
      </c>
      <c r="N697" s="3">
        <v>1502</v>
      </c>
      <c r="O697" s="4" t="s">
        <v>262</v>
      </c>
      <c r="P697" s="5" t="s">
        <v>89</v>
      </c>
      <c r="Q697" s="56">
        <v>0</v>
      </c>
      <c r="R697" s="56">
        <v>0</v>
      </c>
      <c r="S697" s="56">
        <v>0</v>
      </c>
      <c r="T697" s="56">
        <f>_xlfn.XLOOKUP($N697,'Calculo Leads Conveniencia'!$A$77:$A$104,'Calculo Leads Conveniencia'!G$77:G$104)*_xlfn.XLOOKUP($P697,'Base Grupo de Produtos'!$E$23:$E$39,'Base Grupo de Produtos'!$F$23:$F$39)</f>
        <v>0</v>
      </c>
      <c r="U697" s="56">
        <f>_xlfn.XLOOKUP($N697,'Calculo Leads Conveniencia'!$A$77:$A$104,'Calculo Leads Conveniencia'!H$77:H$104)*_xlfn.XLOOKUP($P697,'Base Grupo de Produtos'!$E$23:$E$39,'Base Grupo de Produtos'!$F$23:$F$39)</f>
        <v>0</v>
      </c>
      <c r="V697" s="56">
        <f>_xlfn.XLOOKUP($N697,'Calculo Leads Conveniencia'!$A$77:$A$104,'Calculo Leads Conveniencia'!I$77:I$104)*_xlfn.XLOOKUP($P697,'Base Grupo de Produtos'!$E$23:$E$39,'Base Grupo de Produtos'!$F$23:$F$39)</f>
        <v>0</v>
      </c>
      <c r="W697" s="56">
        <f>_xlfn.XLOOKUP($N697,'Calculo Leads Conveniencia'!$A$77:$A$104,'Calculo Leads Conveniencia'!J$77:J$104)*_xlfn.XLOOKUP($P697,'Base Grupo de Produtos'!$E$23:$E$39,'Base Grupo de Produtos'!$F$23:$F$39)</f>
        <v>0</v>
      </c>
      <c r="X697" s="56">
        <f>_xlfn.XLOOKUP($N697,'Calculo Leads Conveniencia'!$A$77:$A$104,'Calculo Leads Conveniencia'!K$77:K$104)*_xlfn.XLOOKUP($P697,'Base Grupo de Produtos'!$E$23:$E$39,'Base Grupo de Produtos'!$F$23:$F$39)</f>
        <v>0</v>
      </c>
      <c r="Y697" s="56">
        <f>_xlfn.XLOOKUP($N697,'Calculo Leads Conveniencia'!$A$77:$A$104,'Calculo Leads Conveniencia'!L$77:L$104)*_xlfn.XLOOKUP($P697,'Base Grupo de Produtos'!$E$23:$E$39,'Base Grupo de Produtos'!$F$23:$F$39)</f>
        <v>0</v>
      </c>
      <c r="Z697" s="56">
        <f>_xlfn.XLOOKUP($N697,'Calculo Leads Conveniencia'!$A$77:$A$104,'Calculo Leads Conveniencia'!M$77:M$104)*_xlfn.XLOOKUP($P697,'Base Grupo de Produtos'!$E$23:$E$39,'Base Grupo de Produtos'!$F$23:$F$39)</f>
        <v>0</v>
      </c>
      <c r="AA697" s="56">
        <f>_xlfn.XLOOKUP($N697,'Calculo Leads Conveniencia'!$A$77:$A$104,'Calculo Leads Conveniencia'!N$77:N$104)*_xlfn.XLOOKUP($P697,'Base Grupo de Produtos'!$E$23:$E$39,'Base Grupo de Produtos'!$F$23:$F$39)</f>
        <v>0</v>
      </c>
      <c r="AB697" s="56">
        <f>_xlfn.XLOOKUP($N697,'Calculo Leads Conveniencia'!$A$77:$A$104,'Calculo Leads Conveniencia'!O$77:O$104)*_xlfn.XLOOKUP($P697,'Base Grupo de Produtos'!$E$23:$E$39,'Base Grupo de Produtos'!$F$23:$F$39)</f>
        <v>0</v>
      </c>
      <c r="AC697" s="61">
        <f t="shared" si="697"/>
        <v>0</v>
      </c>
      <c r="AD697" s="28"/>
      <c r="AE697" s="12"/>
      <c r="AF697" s="29"/>
      <c r="AG697" s="9"/>
      <c r="AH697" s="10"/>
      <c r="AI697" s="9"/>
      <c r="AJ697" s="11"/>
      <c r="AK697" s="9"/>
      <c r="AL697" s="13"/>
      <c r="AM697" s="9"/>
    </row>
    <row r="698" spans="1:39" x14ac:dyDescent="0.3">
      <c r="A698" s="2" t="str">
        <f t="shared" si="698"/>
        <v>NÃO</v>
      </c>
      <c r="B698" s="2" t="str">
        <f>_xlfn.XLOOKUP($N698,'Base de Grupos'!$A:$A,'Base de Grupos'!$D:$D)</f>
        <v>1000065763</v>
      </c>
      <c r="C698" s="5" t="str">
        <f>_xlfn.XLOOKUP($N698,'Base de Grupos'!$A:$A,'Base de Grupos'!$E:$E)</f>
        <v>CANAL VENDA INTERNA</v>
      </c>
      <c r="D698" s="5" t="str">
        <f>_xlfn.XLOOKUP($N698,'Base de Grupos'!$A:$A,'Base de Grupos'!$F:$F)</f>
        <v>1000065763</v>
      </c>
      <c r="E698" s="2" t="str">
        <f>_xlfn.XLOOKUP($N698,'Base de Grupos'!$A:$A,'Base de Grupos'!$G:$G)</f>
        <v>CANAL VENDA INTERNA</v>
      </c>
      <c r="F698" s="2" t="str">
        <f>_xlfn.XLOOKUP($N698,'Base de Grupos'!$A:$A,'Base de Grupos'!$H:$H)</f>
        <v>1000174119</v>
      </c>
      <c r="G698" s="5" t="str">
        <f>_xlfn.XLOOKUP($N698,'Base de Grupos'!$A:$A,'Base de Grupos'!$I:$I)</f>
        <v>REGIONAL VENDA INTERNA - CONVENIENCIA</v>
      </c>
      <c r="H698" s="5" t="str">
        <f>_xlfn.XLOOKUP($N698,'Base de Grupos'!$A:$A,'Base de Grupos'!$J:$J)</f>
        <v>1000174119</v>
      </c>
      <c r="I698" s="2" t="str">
        <f>_xlfn.XLOOKUP($N698,'Base de Grupos'!$A:$A,'Base de Grupos'!$K:$K)</f>
        <v>REGIONAL VENDA INTERNA - CONVENIENCIA</v>
      </c>
      <c r="J698" s="2" t="str">
        <f>_xlfn.XLOOKUP($N698,'Base de Grupos'!$A:$A,'Base de Grupos'!$L:$L)</f>
        <v>1000174119</v>
      </c>
      <c r="K698" s="5" t="str">
        <f>_xlfn.XLOOKUP($N698,'Base de Grupos'!$A:$A,'Base de Grupos'!$M:$M)</f>
        <v>REGIONAL VENDA INTERNA - CONVENIENCIA</v>
      </c>
      <c r="L698" s="5" t="str">
        <f t="shared" si="699"/>
        <v/>
      </c>
      <c r="M698" s="5" t="str">
        <f>_xlfn.XLOOKUP($N698,'Base de Grupos'!$A:$A,'Base de Grupos'!$C:$C)</f>
        <v>AP</v>
      </c>
      <c r="N698" s="3">
        <v>1502</v>
      </c>
      <c r="O698" s="4" t="s">
        <v>262</v>
      </c>
      <c r="P698" s="5" t="s">
        <v>88</v>
      </c>
      <c r="Q698" s="56">
        <v>0</v>
      </c>
      <c r="R698" s="56">
        <v>0</v>
      </c>
      <c r="S698" s="56">
        <v>0</v>
      </c>
      <c r="T698" s="56">
        <f>_xlfn.XLOOKUP($N698,'Calculo Leads Conveniencia'!$A$77:$A$104,'Calculo Leads Conveniencia'!G$77:G$104)*_xlfn.XLOOKUP($P698,'Base Grupo de Produtos'!$E$23:$E$39,'Base Grupo de Produtos'!$F$23:$F$39)</f>
        <v>0</v>
      </c>
      <c r="U698" s="56">
        <f>_xlfn.XLOOKUP($N698,'Calculo Leads Conveniencia'!$A$77:$A$104,'Calculo Leads Conveniencia'!H$77:H$104)*_xlfn.XLOOKUP($P698,'Base Grupo de Produtos'!$E$23:$E$39,'Base Grupo de Produtos'!$F$23:$F$39)</f>
        <v>0</v>
      </c>
      <c r="V698" s="56">
        <f>_xlfn.XLOOKUP($N698,'Calculo Leads Conveniencia'!$A$77:$A$104,'Calculo Leads Conveniencia'!I$77:I$104)*_xlfn.XLOOKUP($P698,'Base Grupo de Produtos'!$E$23:$E$39,'Base Grupo de Produtos'!$F$23:$F$39)</f>
        <v>0</v>
      </c>
      <c r="W698" s="56">
        <f>_xlfn.XLOOKUP($N698,'Calculo Leads Conveniencia'!$A$77:$A$104,'Calculo Leads Conveniencia'!J$77:J$104)*_xlfn.XLOOKUP($P698,'Base Grupo de Produtos'!$E$23:$E$39,'Base Grupo de Produtos'!$F$23:$F$39)</f>
        <v>0</v>
      </c>
      <c r="X698" s="56">
        <f>_xlfn.XLOOKUP($N698,'Calculo Leads Conveniencia'!$A$77:$A$104,'Calculo Leads Conveniencia'!K$77:K$104)*_xlfn.XLOOKUP($P698,'Base Grupo de Produtos'!$E$23:$E$39,'Base Grupo de Produtos'!$F$23:$F$39)</f>
        <v>0</v>
      </c>
      <c r="Y698" s="56">
        <f>_xlfn.XLOOKUP($N698,'Calculo Leads Conveniencia'!$A$77:$A$104,'Calculo Leads Conveniencia'!L$77:L$104)*_xlfn.XLOOKUP($P698,'Base Grupo de Produtos'!$E$23:$E$39,'Base Grupo de Produtos'!$F$23:$F$39)</f>
        <v>0</v>
      </c>
      <c r="Z698" s="56">
        <f>_xlfn.XLOOKUP($N698,'Calculo Leads Conveniencia'!$A$77:$A$104,'Calculo Leads Conveniencia'!M$77:M$104)*_xlfn.XLOOKUP($P698,'Base Grupo de Produtos'!$E$23:$E$39,'Base Grupo de Produtos'!$F$23:$F$39)</f>
        <v>0</v>
      </c>
      <c r="AA698" s="56">
        <f>_xlfn.XLOOKUP($N698,'Calculo Leads Conveniencia'!$A$77:$A$104,'Calculo Leads Conveniencia'!N$77:N$104)*_xlfn.XLOOKUP($P698,'Base Grupo de Produtos'!$E$23:$E$39,'Base Grupo de Produtos'!$F$23:$F$39)</f>
        <v>0</v>
      </c>
      <c r="AB698" s="56">
        <f>_xlfn.XLOOKUP($N698,'Calculo Leads Conveniencia'!$A$77:$A$104,'Calculo Leads Conveniencia'!O$77:O$104)*_xlfn.XLOOKUP($P698,'Base Grupo de Produtos'!$E$23:$E$39,'Base Grupo de Produtos'!$F$23:$F$39)</f>
        <v>0</v>
      </c>
      <c r="AC698" s="61">
        <f t="shared" si="697"/>
        <v>0</v>
      </c>
      <c r="AD698" s="28"/>
      <c r="AE698" s="12"/>
      <c r="AF698" s="29"/>
      <c r="AG698" s="9"/>
      <c r="AH698" s="10"/>
      <c r="AI698" s="9"/>
      <c r="AJ698" s="11"/>
      <c r="AK698" s="9"/>
      <c r="AL698" s="13"/>
      <c r="AM698" s="9"/>
    </row>
    <row r="699" spans="1:39" x14ac:dyDescent="0.3">
      <c r="A699" s="2" t="str">
        <f t="shared" si="698"/>
        <v>NÃO</v>
      </c>
      <c r="B699" s="2" t="str">
        <f>_xlfn.XLOOKUP($N699,'Base de Grupos'!$A:$A,'Base de Grupos'!$D:$D)</f>
        <v>1000065763</v>
      </c>
      <c r="C699" s="5" t="str">
        <f>_xlfn.XLOOKUP($N699,'Base de Grupos'!$A:$A,'Base de Grupos'!$E:$E)</f>
        <v>CANAL VENDA INTERNA</v>
      </c>
      <c r="D699" s="5" t="str">
        <f>_xlfn.XLOOKUP($N699,'Base de Grupos'!$A:$A,'Base de Grupos'!$F:$F)</f>
        <v>1000065763</v>
      </c>
      <c r="E699" s="2" t="str">
        <f>_xlfn.XLOOKUP($N699,'Base de Grupos'!$A:$A,'Base de Grupos'!$G:$G)</f>
        <v>CANAL VENDA INTERNA</v>
      </c>
      <c r="F699" s="2" t="str">
        <f>_xlfn.XLOOKUP($N699,'Base de Grupos'!$A:$A,'Base de Grupos'!$H:$H)</f>
        <v>1000174119</v>
      </c>
      <c r="G699" s="5" t="str">
        <f>_xlfn.XLOOKUP($N699,'Base de Grupos'!$A:$A,'Base de Grupos'!$I:$I)</f>
        <v>REGIONAL VENDA INTERNA - CONVENIENCIA</v>
      </c>
      <c r="H699" s="5" t="str">
        <f>_xlfn.XLOOKUP($N699,'Base de Grupos'!$A:$A,'Base de Grupos'!$J:$J)</f>
        <v>1000174119</v>
      </c>
      <c r="I699" s="2" t="str">
        <f>_xlfn.XLOOKUP($N699,'Base de Grupos'!$A:$A,'Base de Grupos'!$K:$K)</f>
        <v>REGIONAL VENDA INTERNA - CONVENIENCIA</v>
      </c>
      <c r="J699" s="2" t="str">
        <f>_xlfn.XLOOKUP($N699,'Base de Grupos'!$A:$A,'Base de Grupos'!$L:$L)</f>
        <v>1000174119</v>
      </c>
      <c r="K699" s="5" t="str">
        <f>_xlfn.XLOOKUP($N699,'Base de Grupos'!$A:$A,'Base de Grupos'!$M:$M)</f>
        <v>REGIONAL VENDA INTERNA - CONVENIENCIA</v>
      </c>
      <c r="L699" s="5" t="str">
        <f t="shared" si="699"/>
        <v/>
      </c>
      <c r="M699" s="5" t="str">
        <f>_xlfn.XLOOKUP($N699,'Base de Grupos'!$A:$A,'Base de Grupos'!$C:$C)</f>
        <v>AP</v>
      </c>
      <c r="N699" s="3">
        <v>1502</v>
      </c>
      <c r="O699" s="4" t="s">
        <v>262</v>
      </c>
      <c r="P699" s="5" t="s">
        <v>90</v>
      </c>
      <c r="Q699" s="56">
        <v>0</v>
      </c>
      <c r="R699" s="56">
        <v>0</v>
      </c>
      <c r="S699" s="56">
        <v>0</v>
      </c>
      <c r="T699" s="56">
        <f>_xlfn.XLOOKUP($N699,'Calculo Leads Conveniencia'!$A$77:$A$104,'Calculo Leads Conveniencia'!G$77:G$104)*_xlfn.XLOOKUP($P699,'Base Grupo de Produtos'!$E$23:$E$39,'Base Grupo de Produtos'!$F$23:$F$39)</f>
        <v>0</v>
      </c>
      <c r="U699" s="56">
        <f>_xlfn.XLOOKUP($N699,'Calculo Leads Conveniencia'!$A$77:$A$104,'Calculo Leads Conveniencia'!H$77:H$104)*_xlfn.XLOOKUP($P699,'Base Grupo de Produtos'!$E$23:$E$39,'Base Grupo de Produtos'!$F$23:$F$39)</f>
        <v>0</v>
      </c>
      <c r="V699" s="56">
        <f>_xlfn.XLOOKUP($N699,'Calculo Leads Conveniencia'!$A$77:$A$104,'Calculo Leads Conveniencia'!I$77:I$104)*_xlfn.XLOOKUP($P699,'Base Grupo de Produtos'!$E$23:$E$39,'Base Grupo de Produtos'!$F$23:$F$39)</f>
        <v>0</v>
      </c>
      <c r="W699" s="56">
        <f>_xlfn.XLOOKUP($N699,'Calculo Leads Conveniencia'!$A$77:$A$104,'Calculo Leads Conveniencia'!J$77:J$104)*_xlfn.XLOOKUP($P699,'Base Grupo de Produtos'!$E$23:$E$39,'Base Grupo de Produtos'!$F$23:$F$39)</f>
        <v>0</v>
      </c>
      <c r="X699" s="56">
        <f>_xlfn.XLOOKUP($N699,'Calculo Leads Conveniencia'!$A$77:$A$104,'Calculo Leads Conveniencia'!K$77:K$104)*_xlfn.XLOOKUP($P699,'Base Grupo de Produtos'!$E$23:$E$39,'Base Grupo de Produtos'!$F$23:$F$39)</f>
        <v>0</v>
      </c>
      <c r="Y699" s="56">
        <f>_xlfn.XLOOKUP($N699,'Calculo Leads Conveniencia'!$A$77:$A$104,'Calculo Leads Conveniencia'!L$77:L$104)*_xlfn.XLOOKUP($P699,'Base Grupo de Produtos'!$E$23:$E$39,'Base Grupo de Produtos'!$F$23:$F$39)</f>
        <v>0</v>
      </c>
      <c r="Z699" s="56">
        <f>_xlfn.XLOOKUP($N699,'Calculo Leads Conveniencia'!$A$77:$A$104,'Calculo Leads Conveniencia'!M$77:M$104)*_xlfn.XLOOKUP($P699,'Base Grupo de Produtos'!$E$23:$E$39,'Base Grupo de Produtos'!$F$23:$F$39)</f>
        <v>0</v>
      </c>
      <c r="AA699" s="56">
        <f>_xlfn.XLOOKUP($N699,'Calculo Leads Conveniencia'!$A$77:$A$104,'Calculo Leads Conveniencia'!N$77:N$104)*_xlfn.XLOOKUP($P699,'Base Grupo de Produtos'!$E$23:$E$39,'Base Grupo de Produtos'!$F$23:$F$39)</f>
        <v>0</v>
      </c>
      <c r="AB699" s="56">
        <f>_xlfn.XLOOKUP($N699,'Calculo Leads Conveniencia'!$A$77:$A$104,'Calculo Leads Conveniencia'!O$77:O$104)*_xlfn.XLOOKUP($P699,'Base Grupo de Produtos'!$E$23:$E$39,'Base Grupo de Produtos'!$F$23:$F$39)</f>
        <v>0</v>
      </c>
      <c r="AC699" s="61">
        <f t="shared" si="697"/>
        <v>0</v>
      </c>
      <c r="AD699" s="28"/>
      <c r="AE699" s="12"/>
      <c r="AF699" s="29"/>
      <c r="AG699" s="9"/>
      <c r="AH699" s="10"/>
      <c r="AI699" s="9"/>
      <c r="AJ699" s="11"/>
      <c r="AK699" s="9"/>
      <c r="AL699" s="13"/>
      <c r="AM699" s="9"/>
    </row>
    <row r="700" spans="1:39" x14ac:dyDescent="0.3">
      <c r="A700" s="2" t="str">
        <f t="shared" si="698"/>
        <v>NÃO</v>
      </c>
      <c r="B700" s="2" t="str">
        <f>_xlfn.XLOOKUP($N700,'Base de Grupos'!$A:$A,'Base de Grupos'!$D:$D)</f>
        <v>1000065763</v>
      </c>
      <c r="C700" s="5" t="str">
        <f>_xlfn.XLOOKUP($N700,'Base de Grupos'!$A:$A,'Base de Grupos'!$E:$E)</f>
        <v>CANAL VENDA INTERNA</v>
      </c>
      <c r="D700" s="5" t="str">
        <f>_xlfn.XLOOKUP($N700,'Base de Grupos'!$A:$A,'Base de Grupos'!$F:$F)</f>
        <v>1000065763</v>
      </c>
      <c r="E700" s="2" t="str">
        <f>_xlfn.XLOOKUP($N700,'Base de Grupos'!$A:$A,'Base de Grupos'!$G:$G)</f>
        <v>CANAL VENDA INTERNA</v>
      </c>
      <c r="F700" s="2" t="str">
        <f>_xlfn.XLOOKUP($N700,'Base de Grupos'!$A:$A,'Base de Grupos'!$H:$H)</f>
        <v>1000174119</v>
      </c>
      <c r="G700" s="5" t="str">
        <f>_xlfn.XLOOKUP($N700,'Base de Grupos'!$A:$A,'Base de Grupos'!$I:$I)</f>
        <v>REGIONAL VENDA INTERNA - CONVENIENCIA</v>
      </c>
      <c r="H700" s="5" t="str">
        <f>_xlfn.XLOOKUP($N700,'Base de Grupos'!$A:$A,'Base de Grupos'!$J:$J)</f>
        <v>1000174119</v>
      </c>
      <c r="I700" s="2" t="str">
        <f>_xlfn.XLOOKUP($N700,'Base de Grupos'!$A:$A,'Base de Grupos'!$K:$K)</f>
        <v>REGIONAL VENDA INTERNA - CONVENIENCIA</v>
      </c>
      <c r="J700" s="2" t="str">
        <f>_xlfn.XLOOKUP($N700,'Base de Grupos'!$A:$A,'Base de Grupos'!$L:$L)</f>
        <v>1000174119</v>
      </c>
      <c r="K700" s="5" t="str">
        <f>_xlfn.XLOOKUP($N700,'Base de Grupos'!$A:$A,'Base de Grupos'!$M:$M)</f>
        <v>REGIONAL VENDA INTERNA - CONVENIENCIA</v>
      </c>
      <c r="L700" s="5" t="str">
        <f t="shared" si="699"/>
        <v/>
      </c>
      <c r="M700" s="5" t="str">
        <f>_xlfn.XLOOKUP($N700,'Base de Grupos'!$A:$A,'Base de Grupos'!$C:$C)</f>
        <v>AP</v>
      </c>
      <c r="N700" s="3">
        <v>1502</v>
      </c>
      <c r="O700" s="4" t="s">
        <v>262</v>
      </c>
      <c r="P700" s="5" t="s">
        <v>91</v>
      </c>
      <c r="Q700" s="56">
        <v>0</v>
      </c>
      <c r="R700" s="56">
        <v>0</v>
      </c>
      <c r="S700" s="56">
        <v>0</v>
      </c>
      <c r="T700" s="56">
        <f>_xlfn.XLOOKUP($N700,'Calculo Leads Conveniencia'!$A$77:$A$104,'Calculo Leads Conveniencia'!G$77:G$104)*_xlfn.XLOOKUP($P700,'Base Grupo de Produtos'!$E$23:$E$39,'Base Grupo de Produtos'!$F$23:$F$39)</f>
        <v>0</v>
      </c>
      <c r="U700" s="56">
        <f>_xlfn.XLOOKUP($N700,'Calculo Leads Conveniencia'!$A$77:$A$104,'Calculo Leads Conveniencia'!H$77:H$104)*_xlfn.XLOOKUP($P700,'Base Grupo de Produtos'!$E$23:$E$39,'Base Grupo de Produtos'!$F$23:$F$39)</f>
        <v>0</v>
      </c>
      <c r="V700" s="56">
        <f>_xlfn.XLOOKUP($N700,'Calculo Leads Conveniencia'!$A$77:$A$104,'Calculo Leads Conveniencia'!I$77:I$104)*_xlfn.XLOOKUP($P700,'Base Grupo de Produtos'!$E$23:$E$39,'Base Grupo de Produtos'!$F$23:$F$39)</f>
        <v>0</v>
      </c>
      <c r="W700" s="56">
        <f>_xlfn.XLOOKUP($N700,'Calculo Leads Conveniencia'!$A$77:$A$104,'Calculo Leads Conveniencia'!J$77:J$104)*_xlfn.XLOOKUP($P700,'Base Grupo de Produtos'!$E$23:$E$39,'Base Grupo de Produtos'!$F$23:$F$39)</f>
        <v>0</v>
      </c>
      <c r="X700" s="56">
        <f>_xlfn.XLOOKUP($N700,'Calculo Leads Conveniencia'!$A$77:$A$104,'Calculo Leads Conveniencia'!K$77:K$104)*_xlfn.XLOOKUP($P700,'Base Grupo de Produtos'!$E$23:$E$39,'Base Grupo de Produtos'!$F$23:$F$39)</f>
        <v>0</v>
      </c>
      <c r="Y700" s="56">
        <f>_xlfn.XLOOKUP($N700,'Calculo Leads Conveniencia'!$A$77:$A$104,'Calculo Leads Conveniencia'!L$77:L$104)*_xlfn.XLOOKUP($P700,'Base Grupo de Produtos'!$E$23:$E$39,'Base Grupo de Produtos'!$F$23:$F$39)</f>
        <v>0</v>
      </c>
      <c r="Z700" s="56">
        <f>_xlfn.XLOOKUP($N700,'Calculo Leads Conveniencia'!$A$77:$A$104,'Calculo Leads Conveniencia'!M$77:M$104)*_xlfn.XLOOKUP($P700,'Base Grupo de Produtos'!$E$23:$E$39,'Base Grupo de Produtos'!$F$23:$F$39)</f>
        <v>0</v>
      </c>
      <c r="AA700" s="56">
        <f>_xlfn.XLOOKUP($N700,'Calculo Leads Conveniencia'!$A$77:$A$104,'Calculo Leads Conveniencia'!N$77:N$104)*_xlfn.XLOOKUP($P700,'Base Grupo de Produtos'!$E$23:$E$39,'Base Grupo de Produtos'!$F$23:$F$39)</f>
        <v>0</v>
      </c>
      <c r="AB700" s="56">
        <f>_xlfn.XLOOKUP($N700,'Calculo Leads Conveniencia'!$A$77:$A$104,'Calculo Leads Conveniencia'!O$77:O$104)*_xlfn.XLOOKUP($P700,'Base Grupo de Produtos'!$E$23:$E$39,'Base Grupo de Produtos'!$F$23:$F$39)</f>
        <v>0</v>
      </c>
      <c r="AC700" s="61">
        <f t="shared" si="697"/>
        <v>0</v>
      </c>
      <c r="AD700" s="28"/>
      <c r="AE700" s="12"/>
      <c r="AF700" s="29"/>
      <c r="AG700" s="9"/>
      <c r="AH700" s="10"/>
      <c r="AI700" s="9"/>
      <c r="AJ700" s="11"/>
      <c r="AK700" s="9"/>
      <c r="AL700" s="13"/>
      <c r="AM700" s="9"/>
    </row>
    <row r="701" spans="1:39" x14ac:dyDescent="0.3">
      <c r="A701" s="2" t="str">
        <f t="shared" si="698"/>
        <v>NÃO</v>
      </c>
      <c r="B701" s="2" t="str">
        <f>_xlfn.XLOOKUP($N701,'Base de Grupos'!$A:$A,'Base de Grupos'!$D:$D)</f>
        <v>1000065763</v>
      </c>
      <c r="C701" s="5" t="str">
        <f>_xlfn.XLOOKUP($N701,'Base de Grupos'!$A:$A,'Base de Grupos'!$E:$E)</f>
        <v>CANAL VENDA INTERNA</v>
      </c>
      <c r="D701" s="5" t="str">
        <f>_xlfn.XLOOKUP($N701,'Base de Grupos'!$A:$A,'Base de Grupos'!$F:$F)</f>
        <v>1000065763</v>
      </c>
      <c r="E701" s="2" t="str">
        <f>_xlfn.XLOOKUP($N701,'Base de Grupos'!$A:$A,'Base de Grupos'!$G:$G)</f>
        <v>CANAL VENDA INTERNA</v>
      </c>
      <c r="F701" s="2" t="str">
        <f>_xlfn.XLOOKUP($N701,'Base de Grupos'!$A:$A,'Base de Grupos'!$H:$H)</f>
        <v>1000174119</v>
      </c>
      <c r="G701" s="5" t="str">
        <f>_xlfn.XLOOKUP($N701,'Base de Grupos'!$A:$A,'Base de Grupos'!$I:$I)</f>
        <v>REGIONAL VENDA INTERNA - CONVENIENCIA</v>
      </c>
      <c r="H701" s="5" t="str">
        <f>_xlfn.XLOOKUP($N701,'Base de Grupos'!$A:$A,'Base de Grupos'!$J:$J)</f>
        <v>1000174119</v>
      </c>
      <c r="I701" s="2" t="str">
        <f>_xlfn.XLOOKUP($N701,'Base de Grupos'!$A:$A,'Base de Grupos'!$K:$K)</f>
        <v>REGIONAL VENDA INTERNA - CONVENIENCIA</v>
      </c>
      <c r="J701" s="2" t="str">
        <f>_xlfn.XLOOKUP($N701,'Base de Grupos'!$A:$A,'Base de Grupos'!$L:$L)</f>
        <v>1000174119</v>
      </c>
      <c r="K701" s="5" t="str">
        <f>_xlfn.XLOOKUP($N701,'Base de Grupos'!$A:$A,'Base de Grupos'!$M:$M)</f>
        <v>REGIONAL VENDA INTERNA - CONVENIENCIA</v>
      </c>
      <c r="L701" s="5" t="str">
        <f t="shared" si="699"/>
        <v/>
      </c>
      <c r="M701" s="5" t="str">
        <f>_xlfn.XLOOKUP($N701,'Base de Grupos'!$A:$A,'Base de Grupos'!$C:$C)</f>
        <v>AP</v>
      </c>
      <c r="N701" s="3">
        <v>1502</v>
      </c>
      <c r="O701" s="4" t="s">
        <v>262</v>
      </c>
      <c r="P701" s="5" t="s">
        <v>96</v>
      </c>
      <c r="Q701" s="56">
        <v>0</v>
      </c>
      <c r="R701" s="56">
        <v>0</v>
      </c>
      <c r="S701" s="56">
        <v>0</v>
      </c>
      <c r="T701" s="56">
        <f>_xlfn.XLOOKUP($N701,'Calculo Leads Conveniencia'!$A$77:$A$104,'Calculo Leads Conveniencia'!G$77:G$104)*_xlfn.XLOOKUP($P701,'Base Grupo de Produtos'!$E$23:$E$39,'Base Grupo de Produtos'!$F$23:$F$39)</f>
        <v>0</v>
      </c>
      <c r="U701" s="56">
        <f>_xlfn.XLOOKUP($N701,'Calculo Leads Conveniencia'!$A$77:$A$104,'Calculo Leads Conveniencia'!H$77:H$104)*_xlfn.XLOOKUP($P701,'Base Grupo de Produtos'!$E$23:$E$39,'Base Grupo de Produtos'!$F$23:$F$39)</f>
        <v>0</v>
      </c>
      <c r="V701" s="56">
        <f>_xlfn.XLOOKUP($N701,'Calculo Leads Conveniencia'!$A$77:$A$104,'Calculo Leads Conveniencia'!I$77:I$104)*_xlfn.XLOOKUP($P701,'Base Grupo de Produtos'!$E$23:$E$39,'Base Grupo de Produtos'!$F$23:$F$39)</f>
        <v>0</v>
      </c>
      <c r="W701" s="56">
        <f>_xlfn.XLOOKUP($N701,'Calculo Leads Conveniencia'!$A$77:$A$104,'Calculo Leads Conveniencia'!J$77:J$104)*_xlfn.XLOOKUP($P701,'Base Grupo de Produtos'!$E$23:$E$39,'Base Grupo de Produtos'!$F$23:$F$39)</f>
        <v>0</v>
      </c>
      <c r="X701" s="56">
        <f>_xlfn.XLOOKUP($N701,'Calculo Leads Conveniencia'!$A$77:$A$104,'Calculo Leads Conveniencia'!K$77:K$104)*_xlfn.XLOOKUP($P701,'Base Grupo de Produtos'!$E$23:$E$39,'Base Grupo de Produtos'!$F$23:$F$39)</f>
        <v>0</v>
      </c>
      <c r="Y701" s="56">
        <f>_xlfn.XLOOKUP($N701,'Calculo Leads Conveniencia'!$A$77:$A$104,'Calculo Leads Conveniencia'!L$77:L$104)*_xlfn.XLOOKUP($P701,'Base Grupo de Produtos'!$E$23:$E$39,'Base Grupo de Produtos'!$F$23:$F$39)</f>
        <v>0</v>
      </c>
      <c r="Z701" s="56">
        <f>_xlfn.XLOOKUP($N701,'Calculo Leads Conveniencia'!$A$77:$A$104,'Calculo Leads Conveniencia'!M$77:M$104)*_xlfn.XLOOKUP($P701,'Base Grupo de Produtos'!$E$23:$E$39,'Base Grupo de Produtos'!$F$23:$F$39)</f>
        <v>0</v>
      </c>
      <c r="AA701" s="56">
        <f>_xlfn.XLOOKUP($N701,'Calculo Leads Conveniencia'!$A$77:$A$104,'Calculo Leads Conveniencia'!N$77:N$104)*_xlfn.XLOOKUP($P701,'Base Grupo de Produtos'!$E$23:$E$39,'Base Grupo de Produtos'!$F$23:$F$39)</f>
        <v>0</v>
      </c>
      <c r="AB701" s="56">
        <f>_xlfn.XLOOKUP($N701,'Calculo Leads Conveniencia'!$A$77:$A$104,'Calculo Leads Conveniencia'!O$77:O$104)*_xlfn.XLOOKUP($P701,'Base Grupo de Produtos'!$E$23:$E$39,'Base Grupo de Produtos'!$F$23:$F$39)</f>
        <v>0</v>
      </c>
      <c r="AC701" s="61">
        <f t="shared" si="697"/>
        <v>0</v>
      </c>
      <c r="AD701" s="28"/>
      <c r="AE701" s="12"/>
      <c r="AF701" s="29"/>
      <c r="AG701" s="9"/>
      <c r="AH701" s="10"/>
      <c r="AI701" s="9"/>
      <c r="AJ701" s="11"/>
      <c r="AK701" s="9"/>
      <c r="AL701" s="13"/>
      <c r="AM701" s="9"/>
    </row>
    <row r="702" spans="1:39" x14ac:dyDescent="0.3">
      <c r="A702" s="2" t="str">
        <f t="shared" si="698"/>
        <v>NÃO</v>
      </c>
      <c r="B702" s="2" t="str">
        <f>_xlfn.XLOOKUP($N702,'Base de Grupos'!$A:$A,'Base de Grupos'!$D:$D)</f>
        <v>1000065763</v>
      </c>
      <c r="C702" s="5" t="str">
        <f>_xlfn.XLOOKUP($N702,'Base de Grupos'!$A:$A,'Base de Grupos'!$E:$E)</f>
        <v>CANAL VENDA INTERNA</v>
      </c>
      <c r="D702" s="5" t="str">
        <f>_xlfn.XLOOKUP($N702,'Base de Grupos'!$A:$A,'Base de Grupos'!$F:$F)</f>
        <v>1000065763</v>
      </c>
      <c r="E702" s="2" t="str">
        <f>_xlfn.XLOOKUP($N702,'Base de Grupos'!$A:$A,'Base de Grupos'!$G:$G)</f>
        <v>CANAL VENDA INTERNA</v>
      </c>
      <c r="F702" s="2" t="str">
        <f>_xlfn.XLOOKUP($N702,'Base de Grupos'!$A:$A,'Base de Grupos'!$H:$H)</f>
        <v>1000174119</v>
      </c>
      <c r="G702" s="5" t="str">
        <f>_xlfn.XLOOKUP($N702,'Base de Grupos'!$A:$A,'Base de Grupos'!$I:$I)</f>
        <v>REGIONAL VENDA INTERNA - CONVENIENCIA</v>
      </c>
      <c r="H702" s="5" t="str">
        <f>_xlfn.XLOOKUP($N702,'Base de Grupos'!$A:$A,'Base de Grupos'!$J:$J)</f>
        <v>1000174119</v>
      </c>
      <c r="I702" s="2" t="str">
        <f>_xlfn.XLOOKUP($N702,'Base de Grupos'!$A:$A,'Base de Grupos'!$K:$K)</f>
        <v>REGIONAL VENDA INTERNA - CONVENIENCIA</v>
      </c>
      <c r="J702" s="2" t="str">
        <f>_xlfn.XLOOKUP($N702,'Base de Grupos'!$A:$A,'Base de Grupos'!$L:$L)</f>
        <v>1000174119</v>
      </c>
      <c r="K702" s="5" t="str">
        <f>_xlfn.XLOOKUP($N702,'Base de Grupos'!$A:$A,'Base de Grupos'!$M:$M)</f>
        <v>REGIONAL VENDA INTERNA - CONVENIENCIA</v>
      </c>
      <c r="L702" s="5" t="str">
        <f t="shared" si="699"/>
        <v/>
      </c>
      <c r="M702" s="5" t="str">
        <f>_xlfn.XLOOKUP($N702,'Base de Grupos'!$A:$A,'Base de Grupos'!$C:$C)</f>
        <v>AP</v>
      </c>
      <c r="N702" s="3">
        <v>1502</v>
      </c>
      <c r="O702" s="4" t="s">
        <v>262</v>
      </c>
      <c r="P702" s="5" t="s">
        <v>94</v>
      </c>
      <c r="Q702" s="56">
        <v>0</v>
      </c>
      <c r="R702" s="56">
        <v>0</v>
      </c>
      <c r="S702" s="56">
        <v>0</v>
      </c>
      <c r="T702" s="56">
        <f>_xlfn.XLOOKUP($N702,'Calculo Leads Conveniencia'!$A$77:$A$104,'Calculo Leads Conveniencia'!G$77:G$104)*_xlfn.XLOOKUP($P702,'Base Grupo de Produtos'!$E$23:$E$39,'Base Grupo de Produtos'!$F$23:$F$39)</f>
        <v>0</v>
      </c>
      <c r="U702" s="56">
        <f>_xlfn.XLOOKUP($N702,'Calculo Leads Conveniencia'!$A$77:$A$104,'Calculo Leads Conveniencia'!H$77:H$104)*_xlfn.XLOOKUP($P702,'Base Grupo de Produtos'!$E$23:$E$39,'Base Grupo de Produtos'!$F$23:$F$39)</f>
        <v>0</v>
      </c>
      <c r="V702" s="56">
        <f>_xlfn.XLOOKUP($N702,'Calculo Leads Conveniencia'!$A$77:$A$104,'Calculo Leads Conveniencia'!I$77:I$104)*_xlfn.XLOOKUP($P702,'Base Grupo de Produtos'!$E$23:$E$39,'Base Grupo de Produtos'!$F$23:$F$39)</f>
        <v>0</v>
      </c>
      <c r="W702" s="56">
        <f>_xlfn.XLOOKUP($N702,'Calculo Leads Conveniencia'!$A$77:$A$104,'Calculo Leads Conveniencia'!J$77:J$104)*_xlfn.XLOOKUP($P702,'Base Grupo de Produtos'!$E$23:$E$39,'Base Grupo de Produtos'!$F$23:$F$39)</f>
        <v>0</v>
      </c>
      <c r="X702" s="56">
        <f>_xlfn.XLOOKUP($N702,'Calculo Leads Conveniencia'!$A$77:$A$104,'Calculo Leads Conveniencia'!K$77:K$104)*_xlfn.XLOOKUP($P702,'Base Grupo de Produtos'!$E$23:$E$39,'Base Grupo de Produtos'!$F$23:$F$39)</f>
        <v>0</v>
      </c>
      <c r="Y702" s="56">
        <f>_xlfn.XLOOKUP($N702,'Calculo Leads Conveniencia'!$A$77:$A$104,'Calculo Leads Conveniencia'!L$77:L$104)*_xlfn.XLOOKUP($P702,'Base Grupo de Produtos'!$E$23:$E$39,'Base Grupo de Produtos'!$F$23:$F$39)</f>
        <v>0</v>
      </c>
      <c r="Z702" s="56">
        <f>_xlfn.XLOOKUP($N702,'Calculo Leads Conveniencia'!$A$77:$A$104,'Calculo Leads Conveniencia'!M$77:M$104)*_xlfn.XLOOKUP($P702,'Base Grupo de Produtos'!$E$23:$E$39,'Base Grupo de Produtos'!$F$23:$F$39)</f>
        <v>0</v>
      </c>
      <c r="AA702" s="56">
        <f>_xlfn.XLOOKUP($N702,'Calculo Leads Conveniencia'!$A$77:$A$104,'Calculo Leads Conveniencia'!N$77:N$104)*_xlfn.XLOOKUP($P702,'Base Grupo de Produtos'!$E$23:$E$39,'Base Grupo de Produtos'!$F$23:$F$39)</f>
        <v>0</v>
      </c>
      <c r="AB702" s="56">
        <f>_xlfn.XLOOKUP($N702,'Calculo Leads Conveniencia'!$A$77:$A$104,'Calculo Leads Conveniencia'!O$77:O$104)*_xlfn.XLOOKUP($P702,'Base Grupo de Produtos'!$E$23:$E$39,'Base Grupo de Produtos'!$F$23:$F$39)</f>
        <v>0</v>
      </c>
      <c r="AC702" s="61">
        <f t="shared" si="697"/>
        <v>0</v>
      </c>
      <c r="AD702" s="28"/>
      <c r="AE702" s="12"/>
      <c r="AF702" s="29"/>
      <c r="AG702" s="9"/>
      <c r="AH702" s="10"/>
      <c r="AI702" s="9"/>
      <c r="AJ702" s="11"/>
      <c r="AK702" s="9"/>
      <c r="AL702" s="13"/>
      <c r="AM702" s="9"/>
    </row>
    <row r="703" spans="1:39" x14ac:dyDescent="0.3">
      <c r="A703" s="2" t="str">
        <f t="shared" si="698"/>
        <v>NÃO</v>
      </c>
      <c r="B703" s="2" t="str">
        <f>_xlfn.XLOOKUP($N703,'Base de Grupos'!$A:$A,'Base de Grupos'!$D:$D)</f>
        <v>1000065763</v>
      </c>
      <c r="C703" s="5" t="str">
        <f>_xlfn.XLOOKUP($N703,'Base de Grupos'!$A:$A,'Base de Grupos'!$E:$E)</f>
        <v>CANAL VENDA INTERNA</v>
      </c>
      <c r="D703" s="5" t="str">
        <f>_xlfn.XLOOKUP($N703,'Base de Grupos'!$A:$A,'Base de Grupos'!$F:$F)</f>
        <v>1000065763</v>
      </c>
      <c r="E703" s="2" t="str">
        <f>_xlfn.XLOOKUP($N703,'Base de Grupos'!$A:$A,'Base de Grupos'!$G:$G)</f>
        <v>CANAL VENDA INTERNA</v>
      </c>
      <c r="F703" s="2" t="str">
        <f>_xlfn.XLOOKUP($N703,'Base de Grupos'!$A:$A,'Base de Grupos'!$H:$H)</f>
        <v>1000174119</v>
      </c>
      <c r="G703" s="5" t="str">
        <f>_xlfn.XLOOKUP($N703,'Base de Grupos'!$A:$A,'Base de Grupos'!$I:$I)</f>
        <v>REGIONAL VENDA INTERNA - CONVENIENCIA</v>
      </c>
      <c r="H703" s="5" t="str">
        <f>_xlfn.XLOOKUP($N703,'Base de Grupos'!$A:$A,'Base de Grupos'!$J:$J)</f>
        <v>1000174119</v>
      </c>
      <c r="I703" s="2" t="str">
        <f>_xlfn.XLOOKUP($N703,'Base de Grupos'!$A:$A,'Base de Grupos'!$K:$K)</f>
        <v>REGIONAL VENDA INTERNA - CONVENIENCIA</v>
      </c>
      <c r="J703" s="2" t="str">
        <f>_xlfn.XLOOKUP($N703,'Base de Grupos'!$A:$A,'Base de Grupos'!$L:$L)</f>
        <v>1000174119</v>
      </c>
      <c r="K703" s="5" t="str">
        <f>_xlfn.XLOOKUP($N703,'Base de Grupos'!$A:$A,'Base de Grupos'!$M:$M)</f>
        <v>REGIONAL VENDA INTERNA - CONVENIENCIA</v>
      </c>
      <c r="L703" s="5" t="str">
        <f t="shared" si="699"/>
        <v/>
      </c>
      <c r="M703" s="5" t="str">
        <f>_xlfn.XLOOKUP($N703,'Base de Grupos'!$A:$A,'Base de Grupos'!$C:$C)</f>
        <v>AP</v>
      </c>
      <c r="N703" s="3">
        <v>1502</v>
      </c>
      <c r="O703" s="4" t="s">
        <v>262</v>
      </c>
      <c r="P703" s="5" t="s">
        <v>95</v>
      </c>
      <c r="Q703" s="56">
        <v>0</v>
      </c>
      <c r="R703" s="56">
        <v>0</v>
      </c>
      <c r="S703" s="56">
        <v>0</v>
      </c>
      <c r="T703" s="56">
        <f>_xlfn.XLOOKUP($N703,'Calculo Leads Conveniencia'!$A$77:$A$104,'Calculo Leads Conveniencia'!G$77:G$104)*_xlfn.XLOOKUP($P703,'Base Grupo de Produtos'!$E$23:$E$39,'Base Grupo de Produtos'!$F$23:$F$39)</f>
        <v>0</v>
      </c>
      <c r="U703" s="56">
        <f>_xlfn.XLOOKUP($N703,'Calculo Leads Conveniencia'!$A$77:$A$104,'Calculo Leads Conveniencia'!H$77:H$104)*_xlfn.XLOOKUP($P703,'Base Grupo de Produtos'!$E$23:$E$39,'Base Grupo de Produtos'!$F$23:$F$39)</f>
        <v>0</v>
      </c>
      <c r="V703" s="56">
        <f>_xlfn.XLOOKUP($N703,'Calculo Leads Conveniencia'!$A$77:$A$104,'Calculo Leads Conveniencia'!I$77:I$104)*_xlfn.XLOOKUP($P703,'Base Grupo de Produtos'!$E$23:$E$39,'Base Grupo de Produtos'!$F$23:$F$39)</f>
        <v>0</v>
      </c>
      <c r="W703" s="56">
        <f>_xlfn.XLOOKUP($N703,'Calculo Leads Conveniencia'!$A$77:$A$104,'Calculo Leads Conveniencia'!J$77:J$104)*_xlfn.XLOOKUP($P703,'Base Grupo de Produtos'!$E$23:$E$39,'Base Grupo de Produtos'!$F$23:$F$39)</f>
        <v>0</v>
      </c>
      <c r="X703" s="56">
        <f>_xlfn.XLOOKUP($N703,'Calculo Leads Conveniencia'!$A$77:$A$104,'Calculo Leads Conveniencia'!K$77:K$104)*_xlfn.XLOOKUP($P703,'Base Grupo de Produtos'!$E$23:$E$39,'Base Grupo de Produtos'!$F$23:$F$39)</f>
        <v>0</v>
      </c>
      <c r="Y703" s="56">
        <f>_xlfn.XLOOKUP($N703,'Calculo Leads Conveniencia'!$A$77:$A$104,'Calculo Leads Conveniencia'!L$77:L$104)*_xlfn.XLOOKUP($P703,'Base Grupo de Produtos'!$E$23:$E$39,'Base Grupo de Produtos'!$F$23:$F$39)</f>
        <v>0</v>
      </c>
      <c r="Z703" s="56">
        <f>_xlfn.XLOOKUP($N703,'Calculo Leads Conveniencia'!$A$77:$A$104,'Calculo Leads Conveniencia'!M$77:M$104)*_xlfn.XLOOKUP($P703,'Base Grupo de Produtos'!$E$23:$E$39,'Base Grupo de Produtos'!$F$23:$F$39)</f>
        <v>0</v>
      </c>
      <c r="AA703" s="56">
        <f>_xlfn.XLOOKUP($N703,'Calculo Leads Conveniencia'!$A$77:$A$104,'Calculo Leads Conveniencia'!N$77:N$104)*_xlfn.XLOOKUP($P703,'Base Grupo de Produtos'!$E$23:$E$39,'Base Grupo de Produtos'!$F$23:$F$39)</f>
        <v>0</v>
      </c>
      <c r="AB703" s="56">
        <f>_xlfn.XLOOKUP($N703,'Calculo Leads Conveniencia'!$A$77:$A$104,'Calculo Leads Conveniencia'!O$77:O$104)*_xlfn.XLOOKUP($P703,'Base Grupo de Produtos'!$E$23:$E$39,'Base Grupo de Produtos'!$F$23:$F$39)</f>
        <v>0</v>
      </c>
      <c r="AC703" s="61">
        <f t="shared" si="697"/>
        <v>0</v>
      </c>
      <c r="AD703" s="28"/>
      <c r="AE703" s="12"/>
      <c r="AF703" s="29"/>
      <c r="AG703" s="9"/>
      <c r="AH703" s="10"/>
      <c r="AI703" s="9"/>
      <c r="AJ703" s="11"/>
      <c r="AK703" s="9"/>
      <c r="AL703" s="13"/>
      <c r="AM703" s="9"/>
    </row>
    <row r="704" spans="1:39" x14ac:dyDescent="0.3">
      <c r="A704" s="2" t="str">
        <f t="shared" si="698"/>
        <v>NÃO</v>
      </c>
      <c r="B704" s="2" t="str">
        <f>_xlfn.XLOOKUP($N704,'Base de Grupos'!$A:$A,'Base de Grupos'!$D:$D)</f>
        <v>1000065763</v>
      </c>
      <c r="C704" s="5" t="str">
        <f>_xlfn.XLOOKUP($N704,'Base de Grupos'!$A:$A,'Base de Grupos'!$E:$E)</f>
        <v>CANAL VENDA INTERNA</v>
      </c>
      <c r="D704" s="5" t="str">
        <f>_xlfn.XLOOKUP($N704,'Base de Grupos'!$A:$A,'Base de Grupos'!$F:$F)</f>
        <v>1000065763</v>
      </c>
      <c r="E704" s="2" t="str">
        <f>_xlfn.XLOOKUP($N704,'Base de Grupos'!$A:$A,'Base de Grupos'!$G:$G)</f>
        <v>CANAL VENDA INTERNA</v>
      </c>
      <c r="F704" s="2" t="str">
        <f>_xlfn.XLOOKUP($N704,'Base de Grupos'!$A:$A,'Base de Grupos'!$H:$H)</f>
        <v>1000174119</v>
      </c>
      <c r="G704" s="5" t="str">
        <f>_xlfn.XLOOKUP($N704,'Base de Grupos'!$A:$A,'Base de Grupos'!$I:$I)</f>
        <v>REGIONAL VENDA INTERNA - CONVENIENCIA</v>
      </c>
      <c r="H704" s="5" t="str">
        <f>_xlfn.XLOOKUP($N704,'Base de Grupos'!$A:$A,'Base de Grupos'!$J:$J)</f>
        <v>1000174119</v>
      </c>
      <c r="I704" s="2" t="str">
        <f>_xlfn.XLOOKUP($N704,'Base de Grupos'!$A:$A,'Base de Grupos'!$K:$K)</f>
        <v>REGIONAL VENDA INTERNA - CONVENIENCIA</v>
      </c>
      <c r="J704" s="2" t="str">
        <f>_xlfn.XLOOKUP($N704,'Base de Grupos'!$A:$A,'Base de Grupos'!$L:$L)</f>
        <v>1000174119</v>
      </c>
      <c r="K704" s="5" t="str">
        <f>_xlfn.XLOOKUP($N704,'Base de Grupos'!$A:$A,'Base de Grupos'!$M:$M)</f>
        <v>REGIONAL VENDA INTERNA - CONVENIENCIA</v>
      </c>
      <c r="L704" s="5" t="str">
        <f t="shared" si="699"/>
        <v/>
      </c>
      <c r="M704" s="5" t="str">
        <f>_xlfn.XLOOKUP($N704,'Base de Grupos'!$A:$A,'Base de Grupos'!$C:$C)</f>
        <v>AP</v>
      </c>
      <c r="N704" s="3">
        <v>1502</v>
      </c>
      <c r="O704" s="4" t="s">
        <v>262</v>
      </c>
      <c r="P704" s="5" t="s">
        <v>93</v>
      </c>
      <c r="Q704" s="56">
        <v>0</v>
      </c>
      <c r="R704" s="56">
        <v>0</v>
      </c>
      <c r="S704" s="56">
        <v>0</v>
      </c>
      <c r="T704" s="56">
        <f>_xlfn.XLOOKUP($N704,'Calculo Leads Conveniencia'!$A$77:$A$104,'Calculo Leads Conveniencia'!G$77:G$104)*_xlfn.XLOOKUP($P704,'Base Grupo de Produtos'!$E$23:$E$39,'Base Grupo de Produtos'!$F$23:$F$39)</f>
        <v>0</v>
      </c>
      <c r="U704" s="56">
        <f>_xlfn.XLOOKUP($N704,'Calculo Leads Conveniencia'!$A$77:$A$104,'Calculo Leads Conveniencia'!H$77:H$104)*_xlfn.XLOOKUP($P704,'Base Grupo de Produtos'!$E$23:$E$39,'Base Grupo de Produtos'!$F$23:$F$39)</f>
        <v>0</v>
      </c>
      <c r="V704" s="56">
        <f>_xlfn.XLOOKUP($N704,'Calculo Leads Conveniencia'!$A$77:$A$104,'Calculo Leads Conveniencia'!I$77:I$104)*_xlfn.XLOOKUP($P704,'Base Grupo de Produtos'!$E$23:$E$39,'Base Grupo de Produtos'!$F$23:$F$39)</f>
        <v>0</v>
      </c>
      <c r="W704" s="56">
        <f>_xlfn.XLOOKUP($N704,'Calculo Leads Conveniencia'!$A$77:$A$104,'Calculo Leads Conveniencia'!J$77:J$104)*_xlfn.XLOOKUP($P704,'Base Grupo de Produtos'!$E$23:$E$39,'Base Grupo de Produtos'!$F$23:$F$39)</f>
        <v>0</v>
      </c>
      <c r="X704" s="56">
        <f>_xlfn.XLOOKUP($N704,'Calculo Leads Conveniencia'!$A$77:$A$104,'Calculo Leads Conveniencia'!K$77:K$104)*_xlfn.XLOOKUP($P704,'Base Grupo de Produtos'!$E$23:$E$39,'Base Grupo de Produtos'!$F$23:$F$39)</f>
        <v>0</v>
      </c>
      <c r="Y704" s="56">
        <f>_xlfn.XLOOKUP($N704,'Calculo Leads Conveniencia'!$A$77:$A$104,'Calculo Leads Conveniencia'!L$77:L$104)*_xlfn.XLOOKUP($P704,'Base Grupo de Produtos'!$E$23:$E$39,'Base Grupo de Produtos'!$F$23:$F$39)</f>
        <v>0</v>
      </c>
      <c r="Z704" s="56">
        <f>_xlfn.XLOOKUP($N704,'Calculo Leads Conveniencia'!$A$77:$A$104,'Calculo Leads Conveniencia'!M$77:M$104)*_xlfn.XLOOKUP($P704,'Base Grupo de Produtos'!$E$23:$E$39,'Base Grupo de Produtos'!$F$23:$F$39)</f>
        <v>0</v>
      </c>
      <c r="AA704" s="56">
        <f>_xlfn.XLOOKUP($N704,'Calculo Leads Conveniencia'!$A$77:$A$104,'Calculo Leads Conveniencia'!N$77:N$104)*_xlfn.XLOOKUP($P704,'Base Grupo de Produtos'!$E$23:$E$39,'Base Grupo de Produtos'!$F$23:$F$39)</f>
        <v>0</v>
      </c>
      <c r="AB704" s="56">
        <f>_xlfn.XLOOKUP($N704,'Calculo Leads Conveniencia'!$A$77:$A$104,'Calculo Leads Conveniencia'!O$77:O$104)*_xlfn.XLOOKUP($P704,'Base Grupo de Produtos'!$E$23:$E$39,'Base Grupo de Produtos'!$F$23:$F$39)</f>
        <v>0</v>
      </c>
      <c r="AC704" s="61">
        <f t="shared" si="697"/>
        <v>0</v>
      </c>
      <c r="AD704" s="28"/>
      <c r="AE704" s="12"/>
      <c r="AF704" s="29"/>
      <c r="AG704" s="9"/>
      <c r="AH704" s="10"/>
      <c r="AI704" s="9"/>
      <c r="AJ704" s="11"/>
      <c r="AK704" s="9"/>
      <c r="AL704" s="13"/>
      <c r="AM704" s="9"/>
    </row>
    <row r="705" spans="1:39" x14ac:dyDescent="0.3">
      <c r="A705" s="2" t="str">
        <f t="shared" si="698"/>
        <v>SIM</v>
      </c>
      <c r="B705" s="2" t="str">
        <f>_xlfn.XLOOKUP($N705,'Base de Grupos'!$A:$A,'Base de Grupos'!$D:$D)</f>
        <v>1000065763</v>
      </c>
      <c r="C705" s="5" t="str">
        <f>_xlfn.XLOOKUP($N705,'Base de Grupos'!$A:$A,'Base de Grupos'!$E:$E)</f>
        <v>CANAL VENDA INTERNA</v>
      </c>
      <c r="D705" s="5" t="str">
        <f>_xlfn.XLOOKUP($N705,'Base de Grupos'!$A:$A,'Base de Grupos'!$F:$F)</f>
        <v>1000065763</v>
      </c>
      <c r="E705" s="2" t="str">
        <f>_xlfn.XLOOKUP($N705,'Base de Grupos'!$A:$A,'Base de Grupos'!$G:$G)</f>
        <v>CANAL VENDA INTERNA</v>
      </c>
      <c r="F705" s="2" t="str">
        <f>_xlfn.XLOOKUP($N705,'Base de Grupos'!$A:$A,'Base de Grupos'!$H:$H)</f>
        <v>1000174119</v>
      </c>
      <c r="G705" s="5" t="str">
        <f>_xlfn.XLOOKUP($N705,'Base de Grupos'!$A:$A,'Base de Grupos'!$I:$I)</f>
        <v>REGIONAL VENDA INTERNA - CONVENIENCIA</v>
      </c>
      <c r="H705" s="5" t="str">
        <f>_xlfn.XLOOKUP($N705,'Base de Grupos'!$A:$A,'Base de Grupos'!$J:$J)</f>
        <v>1000174119</v>
      </c>
      <c r="I705" s="2" t="str">
        <f>_xlfn.XLOOKUP($N705,'Base de Grupos'!$A:$A,'Base de Grupos'!$K:$K)</f>
        <v>REGIONAL VENDA INTERNA - CONVENIENCIA</v>
      </c>
      <c r="J705" s="2" t="str">
        <f>_xlfn.XLOOKUP($N705,'Base de Grupos'!$A:$A,'Base de Grupos'!$L:$L)</f>
        <v>1000174119</v>
      </c>
      <c r="K705" s="5" t="str">
        <f>_xlfn.XLOOKUP($N705,'Base de Grupos'!$A:$A,'Base de Grupos'!$M:$M)</f>
        <v>REGIONAL VENDA INTERNA - CONVENIENCIA</v>
      </c>
      <c r="L705" s="5">
        <f t="shared" si="699"/>
        <v>1</v>
      </c>
      <c r="M705" s="5" t="str">
        <f>_xlfn.XLOOKUP($N705,'Base de Grupos'!$A:$A,'Base de Grupos'!$C:$C)</f>
        <v>RN</v>
      </c>
      <c r="N705" s="3">
        <v>1503</v>
      </c>
      <c r="O705" s="4" t="s">
        <v>263</v>
      </c>
      <c r="P705" s="5" t="s">
        <v>333</v>
      </c>
      <c r="Q705" s="56">
        <f t="shared" ref="Q705" si="739">SUM(Q706:Q722)</f>
        <v>0</v>
      </c>
      <c r="R705" s="56">
        <f t="shared" ref="R705" si="740">SUM(R706:R722)</f>
        <v>0</v>
      </c>
      <c r="S705" s="56">
        <f t="shared" ref="S705" si="741">SUM(S706:S722)</f>
        <v>0</v>
      </c>
      <c r="T705" s="56">
        <f t="shared" ref="T705" si="742">SUM(T706:T722)</f>
        <v>0</v>
      </c>
      <c r="U705" s="56">
        <f t="shared" ref="U705" si="743">SUM(U706:U722)</f>
        <v>0</v>
      </c>
      <c r="V705" s="56">
        <f t="shared" ref="V705" si="744">SUM(V706:V722)</f>
        <v>0</v>
      </c>
      <c r="W705" s="56">
        <f t="shared" ref="W705" si="745">SUM(W706:W722)</f>
        <v>0</v>
      </c>
      <c r="X705" s="56">
        <f t="shared" ref="X705" si="746">SUM(X706:X722)</f>
        <v>0</v>
      </c>
      <c r="Y705" s="56">
        <f t="shared" ref="Y705" si="747">SUM(Y706:Y722)</f>
        <v>0</v>
      </c>
      <c r="Z705" s="56">
        <f t="shared" ref="Z705" si="748">SUM(Z706:Z722)</f>
        <v>0</v>
      </c>
      <c r="AA705" s="56">
        <f t="shared" ref="AA705" si="749">SUM(AA706:AA722)</f>
        <v>0</v>
      </c>
      <c r="AB705" s="56">
        <f t="shared" ref="AB705" si="750">SUM(AB706:AB722)</f>
        <v>0</v>
      </c>
      <c r="AC705" s="56">
        <f t="shared" ref="AC705" si="751">SUM(AC706:AC722)</f>
        <v>0</v>
      </c>
      <c r="AD705" s="28"/>
      <c r="AE705" s="12"/>
      <c r="AF705" s="29"/>
      <c r="AG705" s="9"/>
      <c r="AH705" s="10"/>
      <c r="AI705" s="9"/>
      <c r="AJ705" s="11"/>
      <c r="AK705" s="9"/>
      <c r="AL705" s="13"/>
      <c r="AM705" s="9"/>
    </row>
    <row r="706" spans="1:39" x14ac:dyDescent="0.3">
      <c r="A706" s="2" t="str">
        <f t="shared" si="698"/>
        <v>NÃO</v>
      </c>
      <c r="B706" s="2" t="str">
        <f>_xlfn.XLOOKUP($N706,'Base de Grupos'!$A:$A,'Base de Grupos'!$D:$D)</f>
        <v>1000065763</v>
      </c>
      <c r="C706" s="5" t="str">
        <f>_xlfn.XLOOKUP($N706,'Base de Grupos'!$A:$A,'Base de Grupos'!$E:$E)</f>
        <v>CANAL VENDA INTERNA</v>
      </c>
      <c r="D706" s="5" t="str">
        <f>_xlfn.XLOOKUP($N706,'Base de Grupos'!$A:$A,'Base de Grupos'!$F:$F)</f>
        <v>1000065763</v>
      </c>
      <c r="E706" s="2" t="str">
        <f>_xlfn.XLOOKUP($N706,'Base de Grupos'!$A:$A,'Base de Grupos'!$G:$G)</f>
        <v>CANAL VENDA INTERNA</v>
      </c>
      <c r="F706" s="2" t="str">
        <f>_xlfn.XLOOKUP($N706,'Base de Grupos'!$A:$A,'Base de Grupos'!$H:$H)</f>
        <v>1000174119</v>
      </c>
      <c r="G706" s="5" t="str">
        <f>_xlfn.XLOOKUP($N706,'Base de Grupos'!$A:$A,'Base de Grupos'!$I:$I)</f>
        <v>REGIONAL VENDA INTERNA - CONVENIENCIA</v>
      </c>
      <c r="H706" s="5" t="str">
        <f>_xlfn.XLOOKUP($N706,'Base de Grupos'!$A:$A,'Base de Grupos'!$J:$J)</f>
        <v>1000174119</v>
      </c>
      <c r="I706" s="2" t="str">
        <f>_xlfn.XLOOKUP($N706,'Base de Grupos'!$A:$A,'Base de Grupos'!$K:$K)</f>
        <v>REGIONAL VENDA INTERNA - CONVENIENCIA</v>
      </c>
      <c r="J706" s="2" t="str">
        <f>_xlfn.XLOOKUP($N706,'Base de Grupos'!$A:$A,'Base de Grupos'!$L:$L)</f>
        <v>1000174119</v>
      </c>
      <c r="K706" s="5" t="str">
        <f>_xlfn.XLOOKUP($N706,'Base de Grupos'!$A:$A,'Base de Grupos'!$M:$M)</f>
        <v>REGIONAL VENDA INTERNA - CONVENIENCIA</v>
      </c>
      <c r="L706" s="5" t="str">
        <f t="shared" si="699"/>
        <v/>
      </c>
      <c r="M706" s="5" t="str">
        <f>_xlfn.XLOOKUP($N706,'Base de Grupos'!$A:$A,'Base de Grupos'!$C:$C)</f>
        <v>RN</v>
      </c>
      <c r="N706" s="3">
        <v>1503</v>
      </c>
      <c r="O706" s="4" t="s">
        <v>263</v>
      </c>
      <c r="P706" s="5" t="s">
        <v>81</v>
      </c>
      <c r="Q706" s="56">
        <v>0</v>
      </c>
      <c r="R706" s="56">
        <v>0</v>
      </c>
      <c r="S706" s="56">
        <v>0</v>
      </c>
      <c r="T706" s="56">
        <f>_xlfn.XLOOKUP($N706,'Calculo Leads Conveniencia'!$A$77:$A$104,'Calculo Leads Conveniencia'!G$77:G$104)*_xlfn.XLOOKUP($P706,'Base Grupo de Produtos'!$E$23:$E$39,'Base Grupo de Produtos'!$F$23:$F$39)</f>
        <v>0</v>
      </c>
      <c r="U706" s="56">
        <f>_xlfn.XLOOKUP($N706,'Calculo Leads Conveniencia'!$A$77:$A$104,'Calculo Leads Conveniencia'!H$77:H$104)*_xlfn.XLOOKUP($P706,'Base Grupo de Produtos'!$E$23:$E$39,'Base Grupo de Produtos'!$F$23:$F$39)</f>
        <v>0</v>
      </c>
      <c r="V706" s="56">
        <f>_xlfn.XLOOKUP($N706,'Calculo Leads Conveniencia'!$A$77:$A$104,'Calculo Leads Conveniencia'!I$77:I$104)*_xlfn.XLOOKUP($P706,'Base Grupo de Produtos'!$E$23:$E$39,'Base Grupo de Produtos'!$F$23:$F$39)</f>
        <v>0</v>
      </c>
      <c r="W706" s="56">
        <f>_xlfn.XLOOKUP($N706,'Calculo Leads Conveniencia'!$A$77:$A$104,'Calculo Leads Conveniencia'!J$77:J$104)*_xlfn.XLOOKUP($P706,'Base Grupo de Produtos'!$E$23:$E$39,'Base Grupo de Produtos'!$F$23:$F$39)</f>
        <v>0</v>
      </c>
      <c r="X706" s="56">
        <f>_xlfn.XLOOKUP($N706,'Calculo Leads Conveniencia'!$A$77:$A$104,'Calculo Leads Conveniencia'!K$77:K$104)*_xlfn.XLOOKUP($P706,'Base Grupo de Produtos'!$E$23:$E$39,'Base Grupo de Produtos'!$F$23:$F$39)</f>
        <v>0</v>
      </c>
      <c r="Y706" s="56">
        <f>_xlfn.XLOOKUP($N706,'Calculo Leads Conveniencia'!$A$77:$A$104,'Calculo Leads Conveniencia'!L$77:L$104)*_xlfn.XLOOKUP($P706,'Base Grupo de Produtos'!$E$23:$E$39,'Base Grupo de Produtos'!$F$23:$F$39)</f>
        <v>0</v>
      </c>
      <c r="Z706" s="56">
        <f>_xlfn.XLOOKUP($N706,'Calculo Leads Conveniencia'!$A$77:$A$104,'Calculo Leads Conveniencia'!M$77:M$104)*_xlfn.XLOOKUP($P706,'Base Grupo de Produtos'!$E$23:$E$39,'Base Grupo de Produtos'!$F$23:$F$39)</f>
        <v>0</v>
      </c>
      <c r="AA706" s="56">
        <f>_xlfn.XLOOKUP($N706,'Calculo Leads Conveniencia'!$A$77:$A$104,'Calculo Leads Conveniencia'!N$77:N$104)*_xlfn.XLOOKUP($P706,'Base Grupo de Produtos'!$E$23:$E$39,'Base Grupo de Produtos'!$F$23:$F$39)</f>
        <v>0</v>
      </c>
      <c r="AB706" s="56">
        <f>_xlfn.XLOOKUP($N706,'Calculo Leads Conveniencia'!$A$77:$A$104,'Calculo Leads Conveniencia'!O$77:O$104)*_xlfn.XLOOKUP($P706,'Base Grupo de Produtos'!$E$23:$E$39,'Base Grupo de Produtos'!$F$23:$F$39)</f>
        <v>0</v>
      </c>
      <c r="AC706" s="61">
        <f t="shared" si="697"/>
        <v>0</v>
      </c>
      <c r="AD706" s="28"/>
      <c r="AE706" s="12"/>
      <c r="AF706" s="29"/>
      <c r="AG706" s="9"/>
      <c r="AH706" s="10"/>
      <c r="AI706" s="9"/>
      <c r="AJ706" s="11"/>
      <c r="AK706" s="9"/>
      <c r="AL706" s="13"/>
      <c r="AM706" s="9"/>
    </row>
    <row r="707" spans="1:39" x14ac:dyDescent="0.3">
      <c r="A707" s="2" t="str">
        <f t="shared" si="698"/>
        <v>NÃO</v>
      </c>
      <c r="B707" s="2" t="str">
        <f>_xlfn.XLOOKUP($N707,'Base de Grupos'!$A:$A,'Base de Grupos'!$D:$D)</f>
        <v>1000065763</v>
      </c>
      <c r="C707" s="5" t="str">
        <f>_xlfn.XLOOKUP($N707,'Base de Grupos'!$A:$A,'Base de Grupos'!$E:$E)</f>
        <v>CANAL VENDA INTERNA</v>
      </c>
      <c r="D707" s="5" t="str">
        <f>_xlfn.XLOOKUP($N707,'Base de Grupos'!$A:$A,'Base de Grupos'!$F:$F)</f>
        <v>1000065763</v>
      </c>
      <c r="E707" s="2" t="str">
        <f>_xlfn.XLOOKUP($N707,'Base de Grupos'!$A:$A,'Base de Grupos'!$G:$G)</f>
        <v>CANAL VENDA INTERNA</v>
      </c>
      <c r="F707" s="2" t="str">
        <f>_xlfn.XLOOKUP($N707,'Base de Grupos'!$A:$A,'Base de Grupos'!$H:$H)</f>
        <v>1000174119</v>
      </c>
      <c r="G707" s="5" t="str">
        <f>_xlfn.XLOOKUP($N707,'Base de Grupos'!$A:$A,'Base de Grupos'!$I:$I)</f>
        <v>REGIONAL VENDA INTERNA - CONVENIENCIA</v>
      </c>
      <c r="H707" s="5" t="str">
        <f>_xlfn.XLOOKUP($N707,'Base de Grupos'!$A:$A,'Base de Grupos'!$J:$J)</f>
        <v>1000174119</v>
      </c>
      <c r="I707" s="2" t="str">
        <f>_xlfn.XLOOKUP($N707,'Base de Grupos'!$A:$A,'Base de Grupos'!$K:$K)</f>
        <v>REGIONAL VENDA INTERNA - CONVENIENCIA</v>
      </c>
      <c r="J707" s="2" t="str">
        <f>_xlfn.XLOOKUP($N707,'Base de Grupos'!$A:$A,'Base de Grupos'!$L:$L)</f>
        <v>1000174119</v>
      </c>
      <c r="K707" s="5" t="str">
        <f>_xlfn.XLOOKUP($N707,'Base de Grupos'!$A:$A,'Base de Grupos'!$M:$M)</f>
        <v>REGIONAL VENDA INTERNA - CONVENIENCIA</v>
      </c>
      <c r="L707" s="5" t="str">
        <f t="shared" si="699"/>
        <v/>
      </c>
      <c r="M707" s="5" t="str">
        <f>_xlfn.XLOOKUP($N707,'Base de Grupos'!$A:$A,'Base de Grupos'!$C:$C)</f>
        <v>RN</v>
      </c>
      <c r="N707" s="3">
        <v>1503</v>
      </c>
      <c r="O707" s="4" t="s">
        <v>263</v>
      </c>
      <c r="P707" s="5" t="s">
        <v>82</v>
      </c>
      <c r="Q707" s="56">
        <v>0</v>
      </c>
      <c r="R707" s="56">
        <v>0</v>
      </c>
      <c r="S707" s="56">
        <v>0</v>
      </c>
      <c r="T707" s="56">
        <f>_xlfn.XLOOKUP($N707,'Calculo Leads Conveniencia'!$A$77:$A$104,'Calculo Leads Conveniencia'!G$77:G$104)*_xlfn.XLOOKUP($P707,'Base Grupo de Produtos'!$E$23:$E$39,'Base Grupo de Produtos'!$F$23:$F$39)</f>
        <v>0</v>
      </c>
      <c r="U707" s="56">
        <f>_xlfn.XLOOKUP($N707,'Calculo Leads Conveniencia'!$A$77:$A$104,'Calculo Leads Conveniencia'!H$77:H$104)*_xlfn.XLOOKUP($P707,'Base Grupo de Produtos'!$E$23:$E$39,'Base Grupo de Produtos'!$F$23:$F$39)</f>
        <v>0</v>
      </c>
      <c r="V707" s="56">
        <f>_xlfn.XLOOKUP($N707,'Calculo Leads Conveniencia'!$A$77:$A$104,'Calculo Leads Conveniencia'!I$77:I$104)*_xlfn.XLOOKUP($P707,'Base Grupo de Produtos'!$E$23:$E$39,'Base Grupo de Produtos'!$F$23:$F$39)</f>
        <v>0</v>
      </c>
      <c r="W707" s="56">
        <f>_xlfn.XLOOKUP($N707,'Calculo Leads Conveniencia'!$A$77:$A$104,'Calculo Leads Conveniencia'!J$77:J$104)*_xlfn.XLOOKUP($P707,'Base Grupo de Produtos'!$E$23:$E$39,'Base Grupo de Produtos'!$F$23:$F$39)</f>
        <v>0</v>
      </c>
      <c r="X707" s="56">
        <f>_xlfn.XLOOKUP($N707,'Calculo Leads Conveniencia'!$A$77:$A$104,'Calculo Leads Conveniencia'!K$77:K$104)*_xlfn.XLOOKUP($P707,'Base Grupo de Produtos'!$E$23:$E$39,'Base Grupo de Produtos'!$F$23:$F$39)</f>
        <v>0</v>
      </c>
      <c r="Y707" s="56">
        <f>_xlfn.XLOOKUP($N707,'Calculo Leads Conveniencia'!$A$77:$A$104,'Calculo Leads Conveniencia'!L$77:L$104)*_xlfn.XLOOKUP($P707,'Base Grupo de Produtos'!$E$23:$E$39,'Base Grupo de Produtos'!$F$23:$F$39)</f>
        <v>0</v>
      </c>
      <c r="Z707" s="56">
        <f>_xlfn.XLOOKUP($N707,'Calculo Leads Conveniencia'!$A$77:$A$104,'Calculo Leads Conveniencia'!M$77:M$104)*_xlfn.XLOOKUP($P707,'Base Grupo de Produtos'!$E$23:$E$39,'Base Grupo de Produtos'!$F$23:$F$39)</f>
        <v>0</v>
      </c>
      <c r="AA707" s="56">
        <f>_xlfn.XLOOKUP($N707,'Calculo Leads Conveniencia'!$A$77:$A$104,'Calculo Leads Conveniencia'!N$77:N$104)*_xlfn.XLOOKUP($P707,'Base Grupo de Produtos'!$E$23:$E$39,'Base Grupo de Produtos'!$F$23:$F$39)</f>
        <v>0</v>
      </c>
      <c r="AB707" s="56">
        <f>_xlfn.XLOOKUP($N707,'Calculo Leads Conveniencia'!$A$77:$A$104,'Calculo Leads Conveniencia'!O$77:O$104)*_xlfn.XLOOKUP($P707,'Base Grupo de Produtos'!$E$23:$E$39,'Base Grupo de Produtos'!$F$23:$F$39)</f>
        <v>0</v>
      </c>
      <c r="AC707" s="61">
        <f t="shared" si="697"/>
        <v>0</v>
      </c>
      <c r="AD707" s="28"/>
      <c r="AE707" s="12"/>
      <c r="AF707" s="29"/>
      <c r="AG707" s="9"/>
      <c r="AH707" s="10"/>
      <c r="AI707" s="9"/>
      <c r="AJ707" s="11"/>
      <c r="AK707" s="9"/>
      <c r="AL707" s="13"/>
      <c r="AM707" s="9"/>
    </row>
    <row r="708" spans="1:39" x14ac:dyDescent="0.3">
      <c r="A708" s="2" t="str">
        <f t="shared" si="698"/>
        <v>NÃO</v>
      </c>
      <c r="B708" s="2" t="str">
        <f>_xlfn.XLOOKUP($N708,'Base de Grupos'!$A:$A,'Base de Grupos'!$D:$D)</f>
        <v>1000065763</v>
      </c>
      <c r="C708" s="5" t="str">
        <f>_xlfn.XLOOKUP($N708,'Base de Grupos'!$A:$A,'Base de Grupos'!$E:$E)</f>
        <v>CANAL VENDA INTERNA</v>
      </c>
      <c r="D708" s="5" t="str">
        <f>_xlfn.XLOOKUP($N708,'Base de Grupos'!$A:$A,'Base de Grupos'!$F:$F)</f>
        <v>1000065763</v>
      </c>
      <c r="E708" s="2" t="str">
        <f>_xlfn.XLOOKUP($N708,'Base de Grupos'!$A:$A,'Base de Grupos'!$G:$G)</f>
        <v>CANAL VENDA INTERNA</v>
      </c>
      <c r="F708" s="2" t="str">
        <f>_xlfn.XLOOKUP($N708,'Base de Grupos'!$A:$A,'Base de Grupos'!$H:$H)</f>
        <v>1000174119</v>
      </c>
      <c r="G708" s="5" t="str">
        <f>_xlfn.XLOOKUP($N708,'Base de Grupos'!$A:$A,'Base de Grupos'!$I:$I)</f>
        <v>REGIONAL VENDA INTERNA - CONVENIENCIA</v>
      </c>
      <c r="H708" s="5" t="str">
        <f>_xlfn.XLOOKUP($N708,'Base de Grupos'!$A:$A,'Base de Grupos'!$J:$J)</f>
        <v>1000174119</v>
      </c>
      <c r="I708" s="2" t="str">
        <f>_xlfn.XLOOKUP($N708,'Base de Grupos'!$A:$A,'Base de Grupos'!$K:$K)</f>
        <v>REGIONAL VENDA INTERNA - CONVENIENCIA</v>
      </c>
      <c r="J708" s="2" t="str">
        <f>_xlfn.XLOOKUP($N708,'Base de Grupos'!$A:$A,'Base de Grupos'!$L:$L)</f>
        <v>1000174119</v>
      </c>
      <c r="K708" s="5" t="str">
        <f>_xlfn.XLOOKUP($N708,'Base de Grupos'!$A:$A,'Base de Grupos'!$M:$M)</f>
        <v>REGIONAL VENDA INTERNA - CONVENIENCIA</v>
      </c>
      <c r="L708" s="5" t="str">
        <f t="shared" si="699"/>
        <v/>
      </c>
      <c r="M708" s="5" t="str">
        <f>_xlfn.XLOOKUP($N708,'Base de Grupos'!$A:$A,'Base de Grupos'!$C:$C)</f>
        <v>RN</v>
      </c>
      <c r="N708" s="3">
        <v>1503</v>
      </c>
      <c r="O708" s="4" t="s">
        <v>263</v>
      </c>
      <c r="P708" s="5" t="s">
        <v>84</v>
      </c>
      <c r="Q708" s="56">
        <v>0</v>
      </c>
      <c r="R708" s="56">
        <v>0</v>
      </c>
      <c r="S708" s="56">
        <v>0</v>
      </c>
      <c r="T708" s="56">
        <f>_xlfn.XLOOKUP($N708,'Calculo Leads Conveniencia'!$A$77:$A$104,'Calculo Leads Conveniencia'!G$77:G$104)*_xlfn.XLOOKUP($P708,'Base Grupo de Produtos'!$E$23:$E$39,'Base Grupo de Produtos'!$F$23:$F$39)</f>
        <v>0</v>
      </c>
      <c r="U708" s="56">
        <f>_xlfn.XLOOKUP($N708,'Calculo Leads Conveniencia'!$A$77:$A$104,'Calculo Leads Conveniencia'!H$77:H$104)*_xlfn.XLOOKUP($P708,'Base Grupo de Produtos'!$E$23:$E$39,'Base Grupo de Produtos'!$F$23:$F$39)</f>
        <v>0</v>
      </c>
      <c r="V708" s="56">
        <f>_xlfn.XLOOKUP($N708,'Calculo Leads Conveniencia'!$A$77:$A$104,'Calculo Leads Conveniencia'!I$77:I$104)*_xlfn.XLOOKUP($P708,'Base Grupo de Produtos'!$E$23:$E$39,'Base Grupo de Produtos'!$F$23:$F$39)</f>
        <v>0</v>
      </c>
      <c r="W708" s="56">
        <f>_xlfn.XLOOKUP($N708,'Calculo Leads Conveniencia'!$A$77:$A$104,'Calculo Leads Conveniencia'!J$77:J$104)*_xlfn.XLOOKUP($P708,'Base Grupo de Produtos'!$E$23:$E$39,'Base Grupo de Produtos'!$F$23:$F$39)</f>
        <v>0</v>
      </c>
      <c r="X708" s="56">
        <f>_xlfn.XLOOKUP($N708,'Calculo Leads Conveniencia'!$A$77:$A$104,'Calculo Leads Conveniencia'!K$77:K$104)*_xlfn.XLOOKUP($P708,'Base Grupo de Produtos'!$E$23:$E$39,'Base Grupo de Produtos'!$F$23:$F$39)</f>
        <v>0</v>
      </c>
      <c r="Y708" s="56">
        <f>_xlfn.XLOOKUP($N708,'Calculo Leads Conveniencia'!$A$77:$A$104,'Calculo Leads Conveniencia'!L$77:L$104)*_xlfn.XLOOKUP($P708,'Base Grupo de Produtos'!$E$23:$E$39,'Base Grupo de Produtos'!$F$23:$F$39)</f>
        <v>0</v>
      </c>
      <c r="Z708" s="56">
        <f>_xlfn.XLOOKUP($N708,'Calculo Leads Conveniencia'!$A$77:$A$104,'Calculo Leads Conveniencia'!M$77:M$104)*_xlfn.XLOOKUP($P708,'Base Grupo de Produtos'!$E$23:$E$39,'Base Grupo de Produtos'!$F$23:$F$39)</f>
        <v>0</v>
      </c>
      <c r="AA708" s="56">
        <f>_xlfn.XLOOKUP($N708,'Calculo Leads Conveniencia'!$A$77:$A$104,'Calculo Leads Conveniencia'!N$77:N$104)*_xlfn.XLOOKUP($P708,'Base Grupo de Produtos'!$E$23:$E$39,'Base Grupo de Produtos'!$F$23:$F$39)</f>
        <v>0</v>
      </c>
      <c r="AB708" s="56">
        <f>_xlfn.XLOOKUP($N708,'Calculo Leads Conveniencia'!$A$77:$A$104,'Calculo Leads Conveniencia'!O$77:O$104)*_xlfn.XLOOKUP($P708,'Base Grupo de Produtos'!$E$23:$E$39,'Base Grupo de Produtos'!$F$23:$F$39)</f>
        <v>0</v>
      </c>
      <c r="AC708" s="61">
        <f t="shared" si="697"/>
        <v>0</v>
      </c>
      <c r="AD708" s="28"/>
      <c r="AE708" s="12"/>
      <c r="AF708" s="29"/>
      <c r="AG708" s="9"/>
      <c r="AH708" s="10"/>
      <c r="AI708" s="9"/>
      <c r="AJ708" s="11"/>
      <c r="AK708" s="9"/>
      <c r="AL708" s="13"/>
      <c r="AM708" s="9"/>
    </row>
    <row r="709" spans="1:39" x14ac:dyDescent="0.3">
      <c r="A709" s="2" t="str">
        <f t="shared" si="698"/>
        <v>NÃO</v>
      </c>
      <c r="B709" s="2" t="str">
        <f>_xlfn.XLOOKUP($N709,'Base de Grupos'!$A:$A,'Base de Grupos'!$D:$D)</f>
        <v>1000065763</v>
      </c>
      <c r="C709" s="5" t="str">
        <f>_xlfn.XLOOKUP($N709,'Base de Grupos'!$A:$A,'Base de Grupos'!$E:$E)</f>
        <v>CANAL VENDA INTERNA</v>
      </c>
      <c r="D709" s="5" t="str">
        <f>_xlfn.XLOOKUP($N709,'Base de Grupos'!$A:$A,'Base de Grupos'!$F:$F)</f>
        <v>1000065763</v>
      </c>
      <c r="E709" s="2" t="str">
        <f>_xlfn.XLOOKUP($N709,'Base de Grupos'!$A:$A,'Base de Grupos'!$G:$G)</f>
        <v>CANAL VENDA INTERNA</v>
      </c>
      <c r="F709" s="2" t="str">
        <f>_xlfn.XLOOKUP($N709,'Base de Grupos'!$A:$A,'Base de Grupos'!$H:$H)</f>
        <v>1000174119</v>
      </c>
      <c r="G709" s="5" t="str">
        <f>_xlfn.XLOOKUP($N709,'Base de Grupos'!$A:$A,'Base de Grupos'!$I:$I)</f>
        <v>REGIONAL VENDA INTERNA - CONVENIENCIA</v>
      </c>
      <c r="H709" s="5" t="str">
        <f>_xlfn.XLOOKUP($N709,'Base de Grupos'!$A:$A,'Base de Grupos'!$J:$J)</f>
        <v>1000174119</v>
      </c>
      <c r="I709" s="2" t="str">
        <f>_xlfn.XLOOKUP($N709,'Base de Grupos'!$A:$A,'Base de Grupos'!$K:$K)</f>
        <v>REGIONAL VENDA INTERNA - CONVENIENCIA</v>
      </c>
      <c r="J709" s="2" t="str">
        <f>_xlfn.XLOOKUP($N709,'Base de Grupos'!$A:$A,'Base de Grupos'!$L:$L)</f>
        <v>1000174119</v>
      </c>
      <c r="K709" s="5" t="str">
        <f>_xlfn.XLOOKUP($N709,'Base de Grupos'!$A:$A,'Base de Grupos'!$M:$M)</f>
        <v>REGIONAL VENDA INTERNA - CONVENIENCIA</v>
      </c>
      <c r="L709" s="5" t="str">
        <f t="shared" si="699"/>
        <v/>
      </c>
      <c r="M709" s="5" t="str">
        <f>_xlfn.XLOOKUP($N709,'Base de Grupos'!$A:$A,'Base de Grupos'!$C:$C)</f>
        <v>RN</v>
      </c>
      <c r="N709" s="3">
        <v>1503</v>
      </c>
      <c r="O709" s="4" t="s">
        <v>263</v>
      </c>
      <c r="P709" s="5" t="s">
        <v>83</v>
      </c>
      <c r="Q709" s="56">
        <v>0</v>
      </c>
      <c r="R709" s="56">
        <v>0</v>
      </c>
      <c r="S709" s="56">
        <v>0</v>
      </c>
      <c r="T709" s="56">
        <f>_xlfn.XLOOKUP($N709,'Calculo Leads Conveniencia'!$A$77:$A$104,'Calculo Leads Conveniencia'!G$77:G$104)*_xlfn.XLOOKUP($P709,'Base Grupo de Produtos'!$E$23:$E$39,'Base Grupo de Produtos'!$F$23:$F$39)</f>
        <v>0</v>
      </c>
      <c r="U709" s="56">
        <f>_xlfn.XLOOKUP($N709,'Calculo Leads Conveniencia'!$A$77:$A$104,'Calculo Leads Conveniencia'!H$77:H$104)*_xlfn.XLOOKUP($P709,'Base Grupo de Produtos'!$E$23:$E$39,'Base Grupo de Produtos'!$F$23:$F$39)</f>
        <v>0</v>
      </c>
      <c r="V709" s="56">
        <f>_xlfn.XLOOKUP($N709,'Calculo Leads Conveniencia'!$A$77:$A$104,'Calculo Leads Conveniencia'!I$77:I$104)*_xlfn.XLOOKUP($P709,'Base Grupo de Produtos'!$E$23:$E$39,'Base Grupo de Produtos'!$F$23:$F$39)</f>
        <v>0</v>
      </c>
      <c r="W709" s="56">
        <f>_xlfn.XLOOKUP($N709,'Calculo Leads Conveniencia'!$A$77:$A$104,'Calculo Leads Conveniencia'!J$77:J$104)*_xlfn.XLOOKUP($P709,'Base Grupo de Produtos'!$E$23:$E$39,'Base Grupo de Produtos'!$F$23:$F$39)</f>
        <v>0</v>
      </c>
      <c r="X709" s="56">
        <f>_xlfn.XLOOKUP($N709,'Calculo Leads Conveniencia'!$A$77:$A$104,'Calculo Leads Conveniencia'!K$77:K$104)*_xlfn.XLOOKUP($P709,'Base Grupo de Produtos'!$E$23:$E$39,'Base Grupo de Produtos'!$F$23:$F$39)</f>
        <v>0</v>
      </c>
      <c r="Y709" s="56">
        <f>_xlfn.XLOOKUP($N709,'Calculo Leads Conveniencia'!$A$77:$A$104,'Calculo Leads Conveniencia'!L$77:L$104)*_xlfn.XLOOKUP($P709,'Base Grupo de Produtos'!$E$23:$E$39,'Base Grupo de Produtos'!$F$23:$F$39)</f>
        <v>0</v>
      </c>
      <c r="Z709" s="56">
        <f>_xlfn.XLOOKUP($N709,'Calculo Leads Conveniencia'!$A$77:$A$104,'Calculo Leads Conveniencia'!M$77:M$104)*_xlfn.XLOOKUP($P709,'Base Grupo de Produtos'!$E$23:$E$39,'Base Grupo de Produtos'!$F$23:$F$39)</f>
        <v>0</v>
      </c>
      <c r="AA709" s="56">
        <f>_xlfn.XLOOKUP($N709,'Calculo Leads Conveniencia'!$A$77:$A$104,'Calculo Leads Conveniencia'!N$77:N$104)*_xlfn.XLOOKUP($P709,'Base Grupo de Produtos'!$E$23:$E$39,'Base Grupo de Produtos'!$F$23:$F$39)</f>
        <v>0</v>
      </c>
      <c r="AB709" s="56">
        <f>_xlfn.XLOOKUP($N709,'Calculo Leads Conveniencia'!$A$77:$A$104,'Calculo Leads Conveniencia'!O$77:O$104)*_xlfn.XLOOKUP($P709,'Base Grupo de Produtos'!$E$23:$E$39,'Base Grupo de Produtos'!$F$23:$F$39)</f>
        <v>0</v>
      </c>
      <c r="AC709" s="61">
        <f t="shared" ref="AC709:AC772" si="752">SUM(T709:AB709)</f>
        <v>0</v>
      </c>
      <c r="AD709" s="28"/>
      <c r="AE709" s="12"/>
      <c r="AF709" s="29"/>
      <c r="AG709" s="9"/>
      <c r="AH709" s="10"/>
      <c r="AI709" s="9"/>
      <c r="AJ709" s="11"/>
      <c r="AK709" s="9"/>
      <c r="AL709" s="13"/>
      <c r="AM709" s="9"/>
    </row>
    <row r="710" spans="1:39" x14ac:dyDescent="0.3">
      <c r="A710" s="2" t="str">
        <f t="shared" si="698"/>
        <v>NÃO</v>
      </c>
      <c r="B710" s="2" t="str">
        <f>_xlfn.XLOOKUP($N710,'Base de Grupos'!$A:$A,'Base de Grupos'!$D:$D)</f>
        <v>1000065763</v>
      </c>
      <c r="C710" s="5" t="str">
        <f>_xlfn.XLOOKUP($N710,'Base de Grupos'!$A:$A,'Base de Grupos'!$E:$E)</f>
        <v>CANAL VENDA INTERNA</v>
      </c>
      <c r="D710" s="5" t="str">
        <f>_xlfn.XLOOKUP($N710,'Base de Grupos'!$A:$A,'Base de Grupos'!$F:$F)</f>
        <v>1000065763</v>
      </c>
      <c r="E710" s="2" t="str">
        <f>_xlfn.XLOOKUP($N710,'Base de Grupos'!$A:$A,'Base de Grupos'!$G:$G)</f>
        <v>CANAL VENDA INTERNA</v>
      </c>
      <c r="F710" s="2" t="str">
        <f>_xlfn.XLOOKUP($N710,'Base de Grupos'!$A:$A,'Base de Grupos'!$H:$H)</f>
        <v>1000174119</v>
      </c>
      <c r="G710" s="5" t="str">
        <f>_xlfn.XLOOKUP($N710,'Base de Grupos'!$A:$A,'Base de Grupos'!$I:$I)</f>
        <v>REGIONAL VENDA INTERNA - CONVENIENCIA</v>
      </c>
      <c r="H710" s="5" t="str">
        <f>_xlfn.XLOOKUP($N710,'Base de Grupos'!$A:$A,'Base de Grupos'!$J:$J)</f>
        <v>1000174119</v>
      </c>
      <c r="I710" s="2" t="str">
        <f>_xlfn.XLOOKUP($N710,'Base de Grupos'!$A:$A,'Base de Grupos'!$K:$K)</f>
        <v>REGIONAL VENDA INTERNA - CONVENIENCIA</v>
      </c>
      <c r="J710" s="2" t="str">
        <f>_xlfn.XLOOKUP($N710,'Base de Grupos'!$A:$A,'Base de Grupos'!$L:$L)</f>
        <v>1000174119</v>
      </c>
      <c r="K710" s="5" t="str">
        <f>_xlfn.XLOOKUP($N710,'Base de Grupos'!$A:$A,'Base de Grupos'!$M:$M)</f>
        <v>REGIONAL VENDA INTERNA - CONVENIENCIA</v>
      </c>
      <c r="L710" s="5" t="str">
        <f t="shared" si="699"/>
        <v/>
      </c>
      <c r="M710" s="5" t="str">
        <f>_xlfn.XLOOKUP($N710,'Base de Grupos'!$A:$A,'Base de Grupos'!$C:$C)</f>
        <v>RN</v>
      </c>
      <c r="N710" s="3">
        <v>1503</v>
      </c>
      <c r="O710" s="4" t="s">
        <v>263</v>
      </c>
      <c r="P710" s="5" t="s">
        <v>87</v>
      </c>
      <c r="Q710" s="56">
        <v>0</v>
      </c>
      <c r="R710" s="56">
        <v>0</v>
      </c>
      <c r="S710" s="56">
        <v>0</v>
      </c>
      <c r="T710" s="56">
        <f>_xlfn.XLOOKUP($N710,'Calculo Leads Conveniencia'!$A$77:$A$104,'Calculo Leads Conveniencia'!G$77:G$104)*_xlfn.XLOOKUP($P710,'Base Grupo de Produtos'!$E$23:$E$39,'Base Grupo de Produtos'!$F$23:$F$39)</f>
        <v>0</v>
      </c>
      <c r="U710" s="56">
        <f>_xlfn.XLOOKUP($N710,'Calculo Leads Conveniencia'!$A$77:$A$104,'Calculo Leads Conveniencia'!H$77:H$104)*_xlfn.XLOOKUP($P710,'Base Grupo de Produtos'!$E$23:$E$39,'Base Grupo de Produtos'!$F$23:$F$39)</f>
        <v>0</v>
      </c>
      <c r="V710" s="56">
        <f>_xlfn.XLOOKUP($N710,'Calculo Leads Conveniencia'!$A$77:$A$104,'Calculo Leads Conveniencia'!I$77:I$104)*_xlfn.XLOOKUP($P710,'Base Grupo de Produtos'!$E$23:$E$39,'Base Grupo de Produtos'!$F$23:$F$39)</f>
        <v>0</v>
      </c>
      <c r="W710" s="56">
        <f>_xlfn.XLOOKUP($N710,'Calculo Leads Conveniencia'!$A$77:$A$104,'Calculo Leads Conveniencia'!J$77:J$104)*_xlfn.XLOOKUP($P710,'Base Grupo de Produtos'!$E$23:$E$39,'Base Grupo de Produtos'!$F$23:$F$39)</f>
        <v>0</v>
      </c>
      <c r="X710" s="56">
        <f>_xlfn.XLOOKUP($N710,'Calculo Leads Conveniencia'!$A$77:$A$104,'Calculo Leads Conveniencia'!K$77:K$104)*_xlfn.XLOOKUP($P710,'Base Grupo de Produtos'!$E$23:$E$39,'Base Grupo de Produtos'!$F$23:$F$39)</f>
        <v>0</v>
      </c>
      <c r="Y710" s="56">
        <f>_xlfn.XLOOKUP($N710,'Calculo Leads Conveniencia'!$A$77:$A$104,'Calculo Leads Conveniencia'!L$77:L$104)*_xlfn.XLOOKUP($P710,'Base Grupo de Produtos'!$E$23:$E$39,'Base Grupo de Produtos'!$F$23:$F$39)</f>
        <v>0</v>
      </c>
      <c r="Z710" s="56">
        <f>_xlfn.XLOOKUP($N710,'Calculo Leads Conveniencia'!$A$77:$A$104,'Calculo Leads Conveniencia'!M$77:M$104)*_xlfn.XLOOKUP($P710,'Base Grupo de Produtos'!$E$23:$E$39,'Base Grupo de Produtos'!$F$23:$F$39)</f>
        <v>0</v>
      </c>
      <c r="AA710" s="56">
        <f>_xlfn.XLOOKUP($N710,'Calculo Leads Conveniencia'!$A$77:$A$104,'Calculo Leads Conveniencia'!N$77:N$104)*_xlfn.XLOOKUP($P710,'Base Grupo de Produtos'!$E$23:$E$39,'Base Grupo de Produtos'!$F$23:$F$39)</f>
        <v>0</v>
      </c>
      <c r="AB710" s="56">
        <f>_xlfn.XLOOKUP($N710,'Calculo Leads Conveniencia'!$A$77:$A$104,'Calculo Leads Conveniencia'!O$77:O$104)*_xlfn.XLOOKUP($P710,'Base Grupo de Produtos'!$E$23:$E$39,'Base Grupo de Produtos'!$F$23:$F$39)</f>
        <v>0</v>
      </c>
      <c r="AC710" s="61">
        <f t="shared" si="752"/>
        <v>0</v>
      </c>
      <c r="AD710" s="28"/>
      <c r="AE710" s="12"/>
      <c r="AF710" s="29"/>
      <c r="AG710" s="9"/>
      <c r="AH710" s="10"/>
      <c r="AI710" s="9"/>
      <c r="AJ710" s="11"/>
      <c r="AK710" s="9"/>
      <c r="AL710" s="13"/>
      <c r="AM710" s="9"/>
    </row>
    <row r="711" spans="1:39" x14ac:dyDescent="0.3">
      <c r="A711" s="2" t="str">
        <f t="shared" si="698"/>
        <v>NÃO</v>
      </c>
      <c r="B711" s="2" t="str">
        <f>_xlfn.XLOOKUP($N711,'Base de Grupos'!$A:$A,'Base de Grupos'!$D:$D)</f>
        <v>1000065763</v>
      </c>
      <c r="C711" s="5" t="str">
        <f>_xlfn.XLOOKUP($N711,'Base de Grupos'!$A:$A,'Base de Grupos'!$E:$E)</f>
        <v>CANAL VENDA INTERNA</v>
      </c>
      <c r="D711" s="5" t="str">
        <f>_xlfn.XLOOKUP($N711,'Base de Grupos'!$A:$A,'Base de Grupos'!$F:$F)</f>
        <v>1000065763</v>
      </c>
      <c r="E711" s="2" t="str">
        <f>_xlfn.XLOOKUP($N711,'Base de Grupos'!$A:$A,'Base de Grupos'!$G:$G)</f>
        <v>CANAL VENDA INTERNA</v>
      </c>
      <c r="F711" s="2" t="str">
        <f>_xlfn.XLOOKUP($N711,'Base de Grupos'!$A:$A,'Base de Grupos'!$H:$H)</f>
        <v>1000174119</v>
      </c>
      <c r="G711" s="5" t="str">
        <f>_xlfn.XLOOKUP($N711,'Base de Grupos'!$A:$A,'Base de Grupos'!$I:$I)</f>
        <v>REGIONAL VENDA INTERNA - CONVENIENCIA</v>
      </c>
      <c r="H711" s="5" t="str">
        <f>_xlfn.XLOOKUP($N711,'Base de Grupos'!$A:$A,'Base de Grupos'!$J:$J)</f>
        <v>1000174119</v>
      </c>
      <c r="I711" s="2" t="str">
        <f>_xlfn.XLOOKUP($N711,'Base de Grupos'!$A:$A,'Base de Grupos'!$K:$K)</f>
        <v>REGIONAL VENDA INTERNA - CONVENIENCIA</v>
      </c>
      <c r="J711" s="2" t="str">
        <f>_xlfn.XLOOKUP($N711,'Base de Grupos'!$A:$A,'Base de Grupos'!$L:$L)</f>
        <v>1000174119</v>
      </c>
      <c r="K711" s="5" t="str">
        <f>_xlfn.XLOOKUP($N711,'Base de Grupos'!$A:$A,'Base de Grupos'!$M:$M)</f>
        <v>REGIONAL VENDA INTERNA - CONVENIENCIA</v>
      </c>
      <c r="L711" s="5" t="str">
        <f t="shared" si="699"/>
        <v/>
      </c>
      <c r="M711" s="5" t="str">
        <f>_xlfn.XLOOKUP($N711,'Base de Grupos'!$A:$A,'Base de Grupos'!$C:$C)</f>
        <v>RN</v>
      </c>
      <c r="N711" s="3">
        <v>1503</v>
      </c>
      <c r="O711" s="4" t="s">
        <v>263</v>
      </c>
      <c r="P711" s="5" t="s">
        <v>85</v>
      </c>
      <c r="Q711" s="56">
        <v>0</v>
      </c>
      <c r="R711" s="56">
        <v>0</v>
      </c>
      <c r="S711" s="56">
        <v>0</v>
      </c>
      <c r="T711" s="56">
        <f>_xlfn.XLOOKUP($N711,'Calculo Leads Conveniencia'!$A$77:$A$104,'Calculo Leads Conveniencia'!G$77:G$104)*_xlfn.XLOOKUP($P711,'Base Grupo de Produtos'!$E$23:$E$39,'Base Grupo de Produtos'!$F$23:$F$39)</f>
        <v>0</v>
      </c>
      <c r="U711" s="56">
        <f>_xlfn.XLOOKUP($N711,'Calculo Leads Conveniencia'!$A$77:$A$104,'Calculo Leads Conveniencia'!H$77:H$104)*_xlfn.XLOOKUP($P711,'Base Grupo de Produtos'!$E$23:$E$39,'Base Grupo de Produtos'!$F$23:$F$39)</f>
        <v>0</v>
      </c>
      <c r="V711" s="56">
        <f>_xlfn.XLOOKUP($N711,'Calculo Leads Conveniencia'!$A$77:$A$104,'Calculo Leads Conveniencia'!I$77:I$104)*_xlfn.XLOOKUP($P711,'Base Grupo de Produtos'!$E$23:$E$39,'Base Grupo de Produtos'!$F$23:$F$39)</f>
        <v>0</v>
      </c>
      <c r="W711" s="56">
        <f>_xlfn.XLOOKUP($N711,'Calculo Leads Conveniencia'!$A$77:$A$104,'Calculo Leads Conveniencia'!J$77:J$104)*_xlfn.XLOOKUP($P711,'Base Grupo de Produtos'!$E$23:$E$39,'Base Grupo de Produtos'!$F$23:$F$39)</f>
        <v>0</v>
      </c>
      <c r="X711" s="56">
        <f>_xlfn.XLOOKUP($N711,'Calculo Leads Conveniencia'!$A$77:$A$104,'Calculo Leads Conveniencia'!K$77:K$104)*_xlfn.XLOOKUP($P711,'Base Grupo de Produtos'!$E$23:$E$39,'Base Grupo de Produtos'!$F$23:$F$39)</f>
        <v>0</v>
      </c>
      <c r="Y711" s="56">
        <f>_xlfn.XLOOKUP($N711,'Calculo Leads Conveniencia'!$A$77:$A$104,'Calculo Leads Conveniencia'!L$77:L$104)*_xlfn.XLOOKUP($P711,'Base Grupo de Produtos'!$E$23:$E$39,'Base Grupo de Produtos'!$F$23:$F$39)</f>
        <v>0</v>
      </c>
      <c r="Z711" s="56">
        <f>_xlfn.XLOOKUP($N711,'Calculo Leads Conveniencia'!$A$77:$A$104,'Calculo Leads Conveniencia'!M$77:M$104)*_xlfn.XLOOKUP($P711,'Base Grupo de Produtos'!$E$23:$E$39,'Base Grupo de Produtos'!$F$23:$F$39)</f>
        <v>0</v>
      </c>
      <c r="AA711" s="56">
        <f>_xlfn.XLOOKUP($N711,'Calculo Leads Conveniencia'!$A$77:$A$104,'Calculo Leads Conveniencia'!N$77:N$104)*_xlfn.XLOOKUP($P711,'Base Grupo de Produtos'!$E$23:$E$39,'Base Grupo de Produtos'!$F$23:$F$39)</f>
        <v>0</v>
      </c>
      <c r="AB711" s="56">
        <f>_xlfn.XLOOKUP($N711,'Calculo Leads Conveniencia'!$A$77:$A$104,'Calculo Leads Conveniencia'!O$77:O$104)*_xlfn.XLOOKUP($P711,'Base Grupo de Produtos'!$E$23:$E$39,'Base Grupo de Produtos'!$F$23:$F$39)</f>
        <v>0</v>
      </c>
      <c r="AC711" s="61">
        <f t="shared" si="752"/>
        <v>0</v>
      </c>
      <c r="AD711" s="28"/>
      <c r="AE711" s="12"/>
      <c r="AF711" s="29"/>
      <c r="AG711" s="9"/>
      <c r="AH711" s="10"/>
      <c r="AI711" s="9"/>
      <c r="AJ711" s="11"/>
      <c r="AK711" s="9"/>
      <c r="AL711" s="13"/>
      <c r="AM711" s="9"/>
    </row>
    <row r="712" spans="1:39" x14ac:dyDescent="0.3">
      <c r="A712" s="2" t="str">
        <f t="shared" si="698"/>
        <v>NÃO</v>
      </c>
      <c r="B712" s="2" t="str">
        <f>_xlfn.XLOOKUP($N712,'Base de Grupos'!$A:$A,'Base de Grupos'!$D:$D)</f>
        <v>1000065763</v>
      </c>
      <c r="C712" s="5" t="str">
        <f>_xlfn.XLOOKUP($N712,'Base de Grupos'!$A:$A,'Base de Grupos'!$E:$E)</f>
        <v>CANAL VENDA INTERNA</v>
      </c>
      <c r="D712" s="5" t="str">
        <f>_xlfn.XLOOKUP($N712,'Base de Grupos'!$A:$A,'Base de Grupos'!$F:$F)</f>
        <v>1000065763</v>
      </c>
      <c r="E712" s="2" t="str">
        <f>_xlfn.XLOOKUP($N712,'Base de Grupos'!$A:$A,'Base de Grupos'!$G:$G)</f>
        <v>CANAL VENDA INTERNA</v>
      </c>
      <c r="F712" s="2" t="str">
        <f>_xlfn.XLOOKUP($N712,'Base de Grupos'!$A:$A,'Base de Grupos'!$H:$H)</f>
        <v>1000174119</v>
      </c>
      <c r="G712" s="5" t="str">
        <f>_xlfn.XLOOKUP($N712,'Base de Grupos'!$A:$A,'Base de Grupos'!$I:$I)</f>
        <v>REGIONAL VENDA INTERNA - CONVENIENCIA</v>
      </c>
      <c r="H712" s="5" t="str">
        <f>_xlfn.XLOOKUP($N712,'Base de Grupos'!$A:$A,'Base de Grupos'!$J:$J)</f>
        <v>1000174119</v>
      </c>
      <c r="I712" s="2" t="str">
        <f>_xlfn.XLOOKUP($N712,'Base de Grupos'!$A:$A,'Base de Grupos'!$K:$K)</f>
        <v>REGIONAL VENDA INTERNA - CONVENIENCIA</v>
      </c>
      <c r="J712" s="2" t="str">
        <f>_xlfn.XLOOKUP($N712,'Base de Grupos'!$A:$A,'Base de Grupos'!$L:$L)</f>
        <v>1000174119</v>
      </c>
      <c r="K712" s="5" t="str">
        <f>_xlfn.XLOOKUP($N712,'Base de Grupos'!$A:$A,'Base de Grupos'!$M:$M)</f>
        <v>REGIONAL VENDA INTERNA - CONVENIENCIA</v>
      </c>
      <c r="L712" s="5" t="str">
        <f t="shared" si="699"/>
        <v/>
      </c>
      <c r="M712" s="5" t="str">
        <f>_xlfn.XLOOKUP($N712,'Base de Grupos'!$A:$A,'Base de Grupos'!$C:$C)</f>
        <v>RN</v>
      </c>
      <c r="N712" s="3">
        <v>1503</v>
      </c>
      <c r="O712" s="4" t="s">
        <v>263</v>
      </c>
      <c r="P712" s="5" t="s">
        <v>92</v>
      </c>
      <c r="Q712" s="56">
        <v>0</v>
      </c>
      <c r="R712" s="56">
        <v>0</v>
      </c>
      <c r="S712" s="56">
        <v>0</v>
      </c>
      <c r="T712" s="56">
        <f>_xlfn.XLOOKUP($N712,'Calculo Leads Conveniencia'!$A$77:$A$104,'Calculo Leads Conveniencia'!G$77:G$104)*_xlfn.XLOOKUP($P712,'Base Grupo de Produtos'!$E$23:$E$39,'Base Grupo de Produtos'!$F$23:$F$39)</f>
        <v>0</v>
      </c>
      <c r="U712" s="56">
        <f>_xlfn.XLOOKUP($N712,'Calculo Leads Conveniencia'!$A$77:$A$104,'Calculo Leads Conveniencia'!H$77:H$104)*_xlfn.XLOOKUP($P712,'Base Grupo de Produtos'!$E$23:$E$39,'Base Grupo de Produtos'!$F$23:$F$39)</f>
        <v>0</v>
      </c>
      <c r="V712" s="56">
        <f>_xlfn.XLOOKUP($N712,'Calculo Leads Conveniencia'!$A$77:$A$104,'Calculo Leads Conveniencia'!I$77:I$104)*_xlfn.XLOOKUP($P712,'Base Grupo de Produtos'!$E$23:$E$39,'Base Grupo de Produtos'!$F$23:$F$39)</f>
        <v>0</v>
      </c>
      <c r="W712" s="56">
        <f>_xlfn.XLOOKUP($N712,'Calculo Leads Conveniencia'!$A$77:$A$104,'Calculo Leads Conveniencia'!J$77:J$104)*_xlfn.XLOOKUP($P712,'Base Grupo de Produtos'!$E$23:$E$39,'Base Grupo de Produtos'!$F$23:$F$39)</f>
        <v>0</v>
      </c>
      <c r="X712" s="56">
        <f>_xlfn.XLOOKUP($N712,'Calculo Leads Conveniencia'!$A$77:$A$104,'Calculo Leads Conveniencia'!K$77:K$104)*_xlfn.XLOOKUP($P712,'Base Grupo de Produtos'!$E$23:$E$39,'Base Grupo de Produtos'!$F$23:$F$39)</f>
        <v>0</v>
      </c>
      <c r="Y712" s="56">
        <f>_xlfn.XLOOKUP($N712,'Calculo Leads Conveniencia'!$A$77:$A$104,'Calculo Leads Conveniencia'!L$77:L$104)*_xlfn.XLOOKUP($P712,'Base Grupo de Produtos'!$E$23:$E$39,'Base Grupo de Produtos'!$F$23:$F$39)</f>
        <v>0</v>
      </c>
      <c r="Z712" s="56">
        <f>_xlfn.XLOOKUP($N712,'Calculo Leads Conveniencia'!$A$77:$A$104,'Calculo Leads Conveniencia'!M$77:M$104)*_xlfn.XLOOKUP($P712,'Base Grupo de Produtos'!$E$23:$E$39,'Base Grupo de Produtos'!$F$23:$F$39)</f>
        <v>0</v>
      </c>
      <c r="AA712" s="56">
        <f>_xlfn.XLOOKUP($N712,'Calculo Leads Conveniencia'!$A$77:$A$104,'Calculo Leads Conveniencia'!N$77:N$104)*_xlfn.XLOOKUP($P712,'Base Grupo de Produtos'!$E$23:$E$39,'Base Grupo de Produtos'!$F$23:$F$39)</f>
        <v>0</v>
      </c>
      <c r="AB712" s="56">
        <f>_xlfn.XLOOKUP($N712,'Calculo Leads Conveniencia'!$A$77:$A$104,'Calculo Leads Conveniencia'!O$77:O$104)*_xlfn.XLOOKUP($P712,'Base Grupo de Produtos'!$E$23:$E$39,'Base Grupo de Produtos'!$F$23:$F$39)</f>
        <v>0</v>
      </c>
      <c r="AC712" s="61">
        <f t="shared" si="752"/>
        <v>0</v>
      </c>
      <c r="AD712" s="28"/>
      <c r="AE712" s="12"/>
      <c r="AF712" s="29"/>
      <c r="AG712" s="9"/>
      <c r="AH712" s="10"/>
      <c r="AI712" s="9"/>
      <c r="AJ712" s="11"/>
      <c r="AK712" s="9"/>
      <c r="AL712" s="13"/>
      <c r="AM712" s="9"/>
    </row>
    <row r="713" spans="1:39" x14ac:dyDescent="0.3">
      <c r="A713" s="2" t="str">
        <f t="shared" si="698"/>
        <v>NÃO</v>
      </c>
      <c r="B713" s="2" t="str">
        <f>_xlfn.XLOOKUP($N713,'Base de Grupos'!$A:$A,'Base de Grupos'!$D:$D)</f>
        <v>1000065763</v>
      </c>
      <c r="C713" s="5" t="str">
        <f>_xlfn.XLOOKUP($N713,'Base de Grupos'!$A:$A,'Base de Grupos'!$E:$E)</f>
        <v>CANAL VENDA INTERNA</v>
      </c>
      <c r="D713" s="5" t="str">
        <f>_xlfn.XLOOKUP($N713,'Base de Grupos'!$A:$A,'Base de Grupos'!$F:$F)</f>
        <v>1000065763</v>
      </c>
      <c r="E713" s="2" t="str">
        <f>_xlfn.XLOOKUP($N713,'Base de Grupos'!$A:$A,'Base de Grupos'!$G:$G)</f>
        <v>CANAL VENDA INTERNA</v>
      </c>
      <c r="F713" s="2" t="str">
        <f>_xlfn.XLOOKUP($N713,'Base de Grupos'!$A:$A,'Base de Grupos'!$H:$H)</f>
        <v>1000174119</v>
      </c>
      <c r="G713" s="5" t="str">
        <f>_xlfn.XLOOKUP($N713,'Base de Grupos'!$A:$A,'Base de Grupos'!$I:$I)</f>
        <v>REGIONAL VENDA INTERNA - CONVENIENCIA</v>
      </c>
      <c r="H713" s="5" t="str">
        <f>_xlfn.XLOOKUP($N713,'Base de Grupos'!$A:$A,'Base de Grupos'!$J:$J)</f>
        <v>1000174119</v>
      </c>
      <c r="I713" s="2" t="str">
        <f>_xlfn.XLOOKUP($N713,'Base de Grupos'!$A:$A,'Base de Grupos'!$K:$K)</f>
        <v>REGIONAL VENDA INTERNA - CONVENIENCIA</v>
      </c>
      <c r="J713" s="2" t="str">
        <f>_xlfn.XLOOKUP($N713,'Base de Grupos'!$A:$A,'Base de Grupos'!$L:$L)</f>
        <v>1000174119</v>
      </c>
      <c r="K713" s="5" t="str">
        <f>_xlfn.XLOOKUP($N713,'Base de Grupos'!$A:$A,'Base de Grupos'!$M:$M)</f>
        <v>REGIONAL VENDA INTERNA - CONVENIENCIA</v>
      </c>
      <c r="L713" s="5" t="str">
        <f t="shared" si="699"/>
        <v/>
      </c>
      <c r="M713" s="5" t="str">
        <f>_xlfn.XLOOKUP($N713,'Base de Grupos'!$A:$A,'Base de Grupos'!$C:$C)</f>
        <v>RN</v>
      </c>
      <c r="N713" s="3">
        <v>1503</v>
      </c>
      <c r="O713" s="4" t="s">
        <v>263</v>
      </c>
      <c r="P713" s="5" t="s">
        <v>86</v>
      </c>
      <c r="Q713" s="56">
        <v>0</v>
      </c>
      <c r="R713" s="56">
        <v>0</v>
      </c>
      <c r="S713" s="56">
        <v>0</v>
      </c>
      <c r="T713" s="56">
        <f>_xlfn.XLOOKUP($N713,'Calculo Leads Conveniencia'!$A$77:$A$104,'Calculo Leads Conveniencia'!G$77:G$104)*_xlfn.XLOOKUP($P713,'Base Grupo de Produtos'!$E$23:$E$39,'Base Grupo de Produtos'!$F$23:$F$39)</f>
        <v>0</v>
      </c>
      <c r="U713" s="56">
        <f>_xlfn.XLOOKUP($N713,'Calculo Leads Conveniencia'!$A$77:$A$104,'Calculo Leads Conveniencia'!H$77:H$104)*_xlfn.XLOOKUP($P713,'Base Grupo de Produtos'!$E$23:$E$39,'Base Grupo de Produtos'!$F$23:$F$39)</f>
        <v>0</v>
      </c>
      <c r="V713" s="56">
        <f>_xlfn.XLOOKUP($N713,'Calculo Leads Conveniencia'!$A$77:$A$104,'Calculo Leads Conveniencia'!I$77:I$104)*_xlfn.XLOOKUP($P713,'Base Grupo de Produtos'!$E$23:$E$39,'Base Grupo de Produtos'!$F$23:$F$39)</f>
        <v>0</v>
      </c>
      <c r="W713" s="56">
        <f>_xlfn.XLOOKUP($N713,'Calculo Leads Conveniencia'!$A$77:$A$104,'Calculo Leads Conveniencia'!J$77:J$104)*_xlfn.XLOOKUP($P713,'Base Grupo de Produtos'!$E$23:$E$39,'Base Grupo de Produtos'!$F$23:$F$39)</f>
        <v>0</v>
      </c>
      <c r="X713" s="56">
        <f>_xlfn.XLOOKUP($N713,'Calculo Leads Conveniencia'!$A$77:$A$104,'Calculo Leads Conveniencia'!K$77:K$104)*_xlfn.XLOOKUP($P713,'Base Grupo de Produtos'!$E$23:$E$39,'Base Grupo de Produtos'!$F$23:$F$39)</f>
        <v>0</v>
      </c>
      <c r="Y713" s="56">
        <f>_xlfn.XLOOKUP($N713,'Calculo Leads Conveniencia'!$A$77:$A$104,'Calculo Leads Conveniencia'!L$77:L$104)*_xlfn.XLOOKUP($P713,'Base Grupo de Produtos'!$E$23:$E$39,'Base Grupo de Produtos'!$F$23:$F$39)</f>
        <v>0</v>
      </c>
      <c r="Z713" s="56">
        <f>_xlfn.XLOOKUP($N713,'Calculo Leads Conveniencia'!$A$77:$A$104,'Calculo Leads Conveniencia'!M$77:M$104)*_xlfn.XLOOKUP($P713,'Base Grupo de Produtos'!$E$23:$E$39,'Base Grupo de Produtos'!$F$23:$F$39)</f>
        <v>0</v>
      </c>
      <c r="AA713" s="56">
        <f>_xlfn.XLOOKUP($N713,'Calculo Leads Conveniencia'!$A$77:$A$104,'Calculo Leads Conveniencia'!N$77:N$104)*_xlfn.XLOOKUP($P713,'Base Grupo de Produtos'!$E$23:$E$39,'Base Grupo de Produtos'!$F$23:$F$39)</f>
        <v>0</v>
      </c>
      <c r="AB713" s="56">
        <f>_xlfn.XLOOKUP($N713,'Calculo Leads Conveniencia'!$A$77:$A$104,'Calculo Leads Conveniencia'!O$77:O$104)*_xlfn.XLOOKUP($P713,'Base Grupo de Produtos'!$E$23:$E$39,'Base Grupo de Produtos'!$F$23:$F$39)</f>
        <v>0</v>
      </c>
      <c r="AC713" s="61">
        <f t="shared" si="752"/>
        <v>0</v>
      </c>
      <c r="AD713" s="28"/>
      <c r="AE713" s="12"/>
      <c r="AF713" s="29"/>
      <c r="AG713" s="9"/>
      <c r="AH713" s="10"/>
      <c r="AI713" s="9"/>
      <c r="AJ713" s="11"/>
      <c r="AK713" s="9"/>
      <c r="AL713" s="13"/>
      <c r="AM713" s="9"/>
    </row>
    <row r="714" spans="1:39" x14ac:dyDescent="0.3">
      <c r="A714" s="2" t="str">
        <f t="shared" si="698"/>
        <v>NÃO</v>
      </c>
      <c r="B714" s="2" t="str">
        <f>_xlfn.XLOOKUP($N714,'Base de Grupos'!$A:$A,'Base de Grupos'!$D:$D)</f>
        <v>1000065763</v>
      </c>
      <c r="C714" s="5" t="str">
        <f>_xlfn.XLOOKUP($N714,'Base de Grupos'!$A:$A,'Base de Grupos'!$E:$E)</f>
        <v>CANAL VENDA INTERNA</v>
      </c>
      <c r="D714" s="5" t="str">
        <f>_xlfn.XLOOKUP($N714,'Base de Grupos'!$A:$A,'Base de Grupos'!$F:$F)</f>
        <v>1000065763</v>
      </c>
      <c r="E714" s="2" t="str">
        <f>_xlfn.XLOOKUP($N714,'Base de Grupos'!$A:$A,'Base de Grupos'!$G:$G)</f>
        <v>CANAL VENDA INTERNA</v>
      </c>
      <c r="F714" s="2" t="str">
        <f>_xlfn.XLOOKUP($N714,'Base de Grupos'!$A:$A,'Base de Grupos'!$H:$H)</f>
        <v>1000174119</v>
      </c>
      <c r="G714" s="5" t="str">
        <f>_xlfn.XLOOKUP($N714,'Base de Grupos'!$A:$A,'Base de Grupos'!$I:$I)</f>
        <v>REGIONAL VENDA INTERNA - CONVENIENCIA</v>
      </c>
      <c r="H714" s="5" t="str">
        <f>_xlfn.XLOOKUP($N714,'Base de Grupos'!$A:$A,'Base de Grupos'!$J:$J)</f>
        <v>1000174119</v>
      </c>
      <c r="I714" s="2" t="str">
        <f>_xlfn.XLOOKUP($N714,'Base de Grupos'!$A:$A,'Base de Grupos'!$K:$K)</f>
        <v>REGIONAL VENDA INTERNA - CONVENIENCIA</v>
      </c>
      <c r="J714" s="2" t="str">
        <f>_xlfn.XLOOKUP($N714,'Base de Grupos'!$A:$A,'Base de Grupos'!$L:$L)</f>
        <v>1000174119</v>
      </c>
      <c r="K714" s="5" t="str">
        <f>_xlfn.XLOOKUP($N714,'Base de Grupos'!$A:$A,'Base de Grupos'!$M:$M)</f>
        <v>REGIONAL VENDA INTERNA - CONVENIENCIA</v>
      </c>
      <c r="L714" s="5" t="str">
        <f t="shared" si="699"/>
        <v/>
      </c>
      <c r="M714" s="5" t="str">
        <f>_xlfn.XLOOKUP($N714,'Base de Grupos'!$A:$A,'Base de Grupos'!$C:$C)</f>
        <v>RN</v>
      </c>
      <c r="N714" s="3">
        <v>1503</v>
      </c>
      <c r="O714" s="4" t="s">
        <v>263</v>
      </c>
      <c r="P714" s="5" t="s">
        <v>108</v>
      </c>
      <c r="Q714" s="56">
        <v>0</v>
      </c>
      <c r="R714" s="56">
        <v>0</v>
      </c>
      <c r="S714" s="56">
        <v>0</v>
      </c>
      <c r="T714" s="56">
        <f>_xlfn.XLOOKUP($N714,'Calculo Leads Conveniencia'!$A$77:$A$104,'Calculo Leads Conveniencia'!G$77:G$104)*_xlfn.XLOOKUP($P714,'Base Grupo de Produtos'!$E$23:$E$39,'Base Grupo de Produtos'!$F$23:$F$39)</f>
        <v>0</v>
      </c>
      <c r="U714" s="56">
        <f>_xlfn.XLOOKUP($N714,'Calculo Leads Conveniencia'!$A$77:$A$104,'Calculo Leads Conveniencia'!H$77:H$104)*_xlfn.XLOOKUP($P714,'Base Grupo de Produtos'!$E$23:$E$39,'Base Grupo de Produtos'!$F$23:$F$39)</f>
        <v>0</v>
      </c>
      <c r="V714" s="56">
        <f>_xlfn.XLOOKUP($N714,'Calculo Leads Conveniencia'!$A$77:$A$104,'Calculo Leads Conveniencia'!I$77:I$104)*_xlfn.XLOOKUP($P714,'Base Grupo de Produtos'!$E$23:$E$39,'Base Grupo de Produtos'!$F$23:$F$39)</f>
        <v>0</v>
      </c>
      <c r="W714" s="56">
        <f>_xlfn.XLOOKUP($N714,'Calculo Leads Conveniencia'!$A$77:$A$104,'Calculo Leads Conveniencia'!J$77:J$104)*_xlfn.XLOOKUP($P714,'Base Grupo de Produtos'!$E$23:$E$39,'Base Grupo de Produtos'!$F$23:$F$39)</f>
        <v>0</v>
      </c>
      <c r="X714" s="56">
        <f>_xlfn.XLOOKUP($N714,'Calculo Leads Conveniencia'!$A$77:$A$104,'Calculo Leads Conveniencia'!K$77:K$104)*_xlfn.XLOOKUP($P714,'Base Grupo de Produtos'!$E$23:$E$39,'Base Grupo de Produtos'!$F$23:$F$39)</f>
        <v>0</v>
      </c>
      <c r="Y714" s="56">
        <f>_xlfn.XLOOKUP($N714,'Calculo Leads Conveniencia'!$A$77:$A$104,'Calculo Leads Conveniencia'!L$77:L$104)*_xlfn.XLOOKUP($P714,'Base Grupo de Produtos'!$E$23:$E$39,'Base Grupo de Produtos'!$F$23:$F$39)</f>
        <v>0</v>
      </c>
      <c r="Z714" s="56">
        <f>_xlfn.XLOOKUP($N714,'Calculo Leads Conveniencia'!$A$77:$A$104,'Calculo Leads Conveniencia'!M$77:M$104)*_xlfn.XLOOKUP($P714,'Base Grupo de Produtos'!$E$23:$E$39,'Base Grupo de Produtos'!$F$23:$F$39)</f>
        <v>0</v>
      </c>
      <c r="AA714" s="56">
        <f>_xlfn.XLOOKUP($N714,'Calculo Leads Conveniencia'!$A$77:$A$104,'Calculo Leads Conveniencia'!N$77:N$104)*_xlfn.XLOOKUP($P714,'Base Grupo de Produtos'!$E$23:$E$39,'Base Grupo de Produtos'!$F$23:$F$39)</f>
        <v>0</v>
      </c>
      <c r="AB714" s="56">
        <f>_xlfn.XLOOKUP($N714,'Calculo Leads Conveniencia'!$A$77:$A$104,'Calculo Leads Conveniencia'!O$77:O$104)*_xlfn.XLOOKUP($P714,'Base Grupo de Produtos'!$E$23:$E$39,'Base Grupo de Produtos'!$F$23:$F$39)</f>
        <v>0</v>
      </c>
      <c r="AC714" s="61">
        <f t="shared" si="752"/>
        <v>0</v>
      </c>
      <c r="AD714" s="28"/>
      <c r="AE714" s="12"/>
      <c r="AF714" s="29"/>
      <c r="AG714" s="9"/>
      <c r="AH714" s="10"/>
      <c r="AI714" s="9"/>
      <c r="AJ714" s="11"/>
      <c r="AK714" s="9"/>
      <c r="AL714" s="13"/>
      <c r="AM714" s="9"/>
    </row>
    <row r="715" spans="1:39" x14ac:dyDescent="0.3">
      <c r="A715" s="2" t="str">
        <f t="shared" ref="A715:A778" si="753">IF(L715=1,"SIM","NÃO")</f>
        <v>NÃO</v>
      </c>
      <c r="B715" s="2" t="str">
        <f>_xlfn.XLOOKUP($N715,'Base de Grupos'!$A:$A,'Base de Grupos'!$D:$D)</f>
        <v>1000065763</v>
      </c>
      <c r="C715" s="5" t="str">
        <f>_xlfn.XLOOKUP($N715,'Base de Grupos'!$A:$A,'Base de Grupos'!$E:$E)</f>
        <v>CANAL VENDA INTERNA</v>
      </c>
      <c r="D715" s="5" t="str">
        <f>_xlfn.XLOOKUP($N715,'Base de Grupos'!$A:$A,'Base de Grupos'!$F:$F)</f>
        <v>1000065763</v>
      </c>
      <c r="E715" s="2" t="str">
        <f>_xlfn.XLOOKUP($N715,'Base de Grupos'!$A:$A,'Base de Grupos'!$G:$G)</f>
        <v>CANAL VENDA INTERNA</v>
      </c>
      <c r="F715" s="2" t="str">
        <f>_xlfn.XLOOKUP($N715,'Base de Grupos'!$A:$A,'Base de Grupos'!$H:$H)</f>
        <v>1000174119</v>
      </c>
      <c r="G715" s="5" t="str">
        <f>_xlfn.XLOOKUP($N715,'Base de Grupos'!$A:$A,'Base de Grupos'!$I:$I)</f>
        <v>REGIONAL VENDA INTERNA - CONVENIENCIA</v>
      </c>
      <c r="H715" s="5" t="str">
        <f>_xlfn.XLOOKUP($N715,'Base de Grupos'!$A:$A,'Base de Grupos'!$J:$J)</f>
        <v>1000174119</v>
      </c>
      <c r="I715" s="2" t="str">
        <f>_xlfn.XLOOKUP($N715,'Base de Grupos'!$A:$A,'Base de Grupos'!$K:$K)</f>
        <v>REGIONAL VENDA INTERNA - CONVENIENCIA</v>
      </c>
      <c r="J715" s="2" t="str">
        <f>_xlfn.XLOOKUP($N715,'Base de Grupos'!$A:$A,'Base de Grupos'!$L:$L)</f>
        <v>1000174119</v>
      </c>
      <c r="K715" s="5" t="str">
        <f>_xlfn.XLOOKUP($N715,'Base de Grupos'!$A:$A,'Base de Grupos'!$M:$M)</f>
        <v>REGIONAL VENDA INTERNA - CONVENIENCIA</v>
      </c>
      <c r="L715" s="5" t="str">
        <f t="shared" ref="L715:L778" si="754">IF(N715&lt;&gt;N714,1,"")</f>
        <v/>
      </c>
      <c r="M715" s="5" t="str">
        <f>_xlfn.XLOOKUP($N715,'Base de Grupos'!$A:$A,'Base de Grupos'!$C:$C)</f>
        <v>RN</v>
      </c>
      <c r="N715" s="3">
        <v>1503</v>
      </c>
      <c r="O715" s="4" t="s">
        <v>263</v>
      </c>
      <c r="P715" s="5" t="s">
        <v>89</v>
      </c>
      <c r="Q715" s="56">
        <v>0</v>
      </c>
      <c r="R715" s="56">
        <v>0</v>
      </c>
      <c r="S715" s="56">
        <v>0</v>
      </c>
      <c r="T715" s="56">
        <f>_xlfn.XLOOKUP($N715,'Calculo Leads Conveniencia'!$A$77:$A$104,'Calculo Leads Conveniencia'!G$77:G$104)*_xlfn.XLOOKUP($P715,'Base Grupo de Produtos'!$E$23:$E$39,'Base Grupo de Produtos'!$F$23:$F$39)</f>
        <v>0</v>
      </c>
      <c r="U715" s="56">
        <f>_xlfn.XLOOKUP($N715,'Calculo Leads Conveniencia'!$A$77:$A$104,'Calculo Leads Conveniencia'!H$77:H$104)*_xlfn.XLOOKUP($P715,'Base Grupo de Produtos'!$E$23:$E$39,'Base Grupo de Produtos'!$F$23:$F$39)</f>
        <v>0</v>
      </c>
      <c r="V715" s="56">
        <f>_xlfn.XLOOKUP($N715,'Calculo Leads Conveniencia'!$A$77:$A$104,'Calculo Leads Conveniencia'!I$77:I$104)*_xlfn.XLOOKUP($P715,'Base Grupo de Produtos'!$E$23:$E$39,'Base Grupo de Produtos'!$F$23:$F$39)</f>
        <v>0</v>
      </c>
      <c r="W715" s="56">
        <f>_xlfn.XLOOKUP($N715,'Calculo Leads Conveniencia'!$A$77:$A$104,'Calculo Leads Conveniencia'!J$77:J$104)*_xlfn.XLOOKUP($P715,'Base Grupo de Produtos'!$E$23:$E$39,'Base Grupo de Produtos'!$F$23:$F$39)</f>
        <v>0</v>
      </c>
      <c r="X715" s="56">
        <f>_xlfn.XLOOKUP($N715,'Calculo Leads Conveniencia'!$A$77:$A$104,'Calculo Leads Conveniencia'!K$77:K$104)*_xlfn.XLOOKUP($P715,'Base Grupo de Produtos'!$E$23:$E$39,'Base Grupo de Produtos'!$F$23:$F$39)</f>
        <v>0</v>
      </c>
      <c r="Y715" s="56">
        <f>_xlfn.XLOOKUP($N715,'Calculo Leads Conveniencia'!$A$77:$A$104,'Calculo Leads Conveniencia'!L$77:L$104)*_xlfn.XLOOKUP($P715,'Base Grupo de Produtos'!$E$23:$E$39,'Base Grupo de Produtos'!$F$23:$F$39)</f>
        <v>0</v>
      </c>
      <c r="Z715" s="56">
        <f>_xlfn.XLOOKUP($N715,'Calculo Leads Conveniencia'!$A$77:$A$104,'Calculo Leads Conveniencia'!M$77:M$104)*_xlfn.XLOOKUP($P715,'Base Grupo de Produtos'!$E$23:$E$39,'Base Grupo de Produtos'!$F$23:$F$39)</f>
        <v>0</v>
      </c>
      <c r="AA715" s="56">
        <f>_xlfn.XLOOKUP($N715,'Calculo Leads Conveniencia'!$A$77:$A$104,'Calculo Leads Conveniencia'!N$77:N$104)*_xlfn.XLOOKUP($P715,'Base Grupo de Produtos'!$E$23:$E$39,'Base Grupo de Produtos'!$F$23:$F$39)</f>
        <v>0</v>
      </c>
      <c r="AB715" s="56">
        <f>_xlfn.XLOOKUP($N715,'Calculo Leads Conveniencia'!$A$77:$A$104,'Calculo Leads Conveniencia'!O$77:O$104)*_xlfn.XLOOKUP($P715,'Base Grupo de Produtos'!$E$23:$E$39,'Base Grupo de Produtos'!$F$23:$F$39)</f>
        <v>0</v>
      </c>
      <c r="AC715" s="61">
        <f t="shared" si="752"/>
        <v>0</v>
      </c>
      <c r="AD715" s="28"/>
      <c r="AE715" s="12"/>
      <c r="AF715" s="29"/>
      <c r="AG715" s="9"/>
      <c r="AH715" s="10"/>
      <c r="AI715" s="9"/>
      <c r="AJ715" s="11"/>
      <c r="AK715" s="9"/>
      <c r="AL715" s="13"/>
      <c r="AM715" s="9"/>
    </row>
    <row r="716" spans="1:39" x14ac:dyDescent="0.3">
      <c r="A716" s="2" t="str">
        <f t="shared" si="753"/>
        <v>NÃO</v>
      </c>
      <c r="B716" s="2" t="str">
        <f>_xlfn.XLOOKUP($N716,'Base de Grupos'!$A:$A,'Base de Grupos'!$D:$D)</f>
        <v>1000065763</v>
      </c>
      <c r="C716" s="5" t="str">
        <f>_xlfn.XLOOKUP($N716,'Base de Grupos'!$A:$A,'Base de Grupos'!$E:$E)</f>
        <v>CANAL VENDA INTERNA</v>
      </c>
      <c r="D716" s="5" t="str">
        <f>_xlfn.XLOOKUP($N716,'Base de Grupos'!$A:$A,'Base de Grupos'!$F:$F)</f>
        <v>1000065763</v>
      </c>
      <c r="E716" s="2" t="str">
        <f>_xlfn.XLOOKUP($N716,'Base de Grupos'!$A:$A,'Base de Grupos'!$G:$G)</f>
        <v>CANAL VENDA INTERNA</v>
      </c>
      <c r="F716" s="2" t="str">
        <f>_xlfn.XLOOKUP($N716,'Base de Grupos'!$A:$A,'Base de Grupos'!$H:$H)</f>
        <v>1000174119</v>
      </c>
      <c r="G716" s="5" t="str">
        <f>_xlfn.XLOOKUP($N716,'Base de Grupos'!$A:$A,'Base de Grupos'!$I:$I)</f>
        <v>REGIONAL VENDA INTERNA - CONVENIENCIA</v>
      </c>
      <c r="H716" s="5" t="str">
        <f>_xlfn.XLOOKUP($N716,'Base de Grupos'!$A:$A,'Base de Grupos'!$J:$J)</f>
        <v>1000174119</v>
      </c>
      <c r="I716" s="2" t="str">
        <f>_xlfn.XLOOKUP($N716,'Base de Grupos'!$A:$A,'Base de Grupos'!$K:$K)</f>
        <v>REGIONAL VENDA INTERNA - CONVENIENCIA</v>
      </c>
      <c r="J716" s="2" t="str">
        <f>_xlfn.XLOOKUP($N716,'Base de Grupos'!$A:$A,'Base de Grupos'!$L:$L)</f>
        <v>1000174119</v>
      </c>
      <c r="K716" s="5" t="str">
        <f>_xlfn.XLOOKUP($N716,'Base de Grupos'!$A:$A,'Base de Grupos'!$M:$M)</f>
        <v>REGIONAL VENDA INTERNA - CONVENIENCIA</v>
      </c>
      <c r="L716" s="5" t="str">
        <f t="shared" si="754"/>
        <v/>
      </c>
      <c r="M716" s="5" t="str">
        <f>_xlfn.XLOOKUP($N716,'Base de Grupos'!$A:$A,'Base de Grupos'!$C:$C)</f>
        <v>RN</v>
      </c>
      <c r="N716" s="3">
        <v>1503</v>
      </c>
      <c r="O716" s="4" t="s">
        <v>263</v>
      </c>
      <c r="P716" s="5" t="s">
        <v>88</v>
      </c>
      <c r="Q716" s="56">
        <v>0</v>
      </c>
      <c r="R716" s="56">
        <v>0</v>
      </c>
      <c r="S716" s="56">
        <v>0</v>
      </c>
      <c r="T716" s="56">
        <f>_xlfn.XLOOKUP($N716,'Calculo Leads Conveniencia'!$A$77:$A$104,'Calculo Leads Conveniencia'!G$77:G$104)*_xlfn.XLOOKUP($P716,'Base Grupo de Produtos'!$E$23:$E$39,'Base Grupo de Produtos'!$F$23:$F$39)</f>
        <v>0</v>
      </c>
      <c r="U716" s="56">
        <f>_xlfn.XLOOKUP($N716,'Calculo Leads Conveniencia'!$A$77:$A$104,'Calculo Leads Conveniencia'!H$77:H$104)*_xlfn.XLOOKUP($P716,'Base Grupo de Produtos'!$E$23:$E$39,'Base Grupo de Produtos'!$F$23:$F$39)</f>
        <v>0</v>
      </c>
      <c r="V716" s="56">
        <f>_xlfn.XLOOKUP($N716,'Calculo Leads Conveniencia'!$A$77:$A$104,'Calculo Leads Conveniencia'!I$77:I$104)*_xlfn.XLOOKUP($P716,'Base Grupo de Produtos'!$E$23:$E$39,'Base Grupo de Produtos'!$F$23:$F$39)</f>
        <v>0</v>
      </c>
      <c r="W716" s="56">
        <f>_xlfn.XLOOKUP($N716,'Calculo Leads Conveniencia'!$A$77:$A$104,'Calculo Leads Conveniencia'!J$77:J$104)*_xlfn.XLOOKUP($P716,'Base Grupo de Produtos'!$E$23:$E$39,'Base Grupo de Produtos'!$F$23:$F$39)</f>
        <v>0</v>
      </c>
      <c r="X716" s="56">
        <f>_xlfn.XLOOKUP($N716,'Calculo Leads Conveniencia'!$A$77:$A$104,'Calculo Leads Conveniencia'!K$77:K$104)*_xlfn.XLOOKUP($P716,'Base Grupo de Produtos'!$E$23:$E$39,'Base Grupo de Produtos'!$F$23:$F$39)</f>
        <v>0</v>
      </c>
      <c r="Y716" s="56">
        <f>_xlfn.XLOOKUP($N716,'Calculo Leads Conveniencia'!$A$77:$A$104,'Calculo Leads Conveniencia'!L$77:L$104)*_xlfn.XLOOKUP($P716,'Base Grupo de Produtos'!$E$23:$E$39,'Base Grupo de Produtos'!$F$23:$F$39)</f>
        <v>0</v>
      </c>
      <c r="Z716" s="56">
        <f>_xlfn.XLOOKUP($N716,'Calculo Leads Conveniencia'!$A$77:$A$104,'Calculo Leads Conveniencia'!M$77:M$104)*_xlfn.XLOOKUP($P716,'Base Grupo de Produtos'!$E$23:$E$39,'Base Grupo de Produtos'!$F$23:$F$39)</f>
        <v>0</v>
      </c>
      <c r="AA716" s="56">
        <f>_xlfn.XLOOKUP($N716,'Calculo Leads Conveniencia'!$A$77:$A$104,'Calculo Leads Conveniencia'!N$77:N$104)*_xlfn.XLOOKUP($P716,'Base Grupo de Produtos'!$E$23:$E$39,'Base Grupo de Produtos'!$F$23:$F$39)</f>
        <v>0</v>
      </c>
      <c r="AB716" s="56">
        <f>_xlfn.XLOOKUP($N716,'Calculo Leads Conveniencia'!$A$77:$A$104,'Calculo Leads Conveniencia'!O$77:O$104)*_xlfn.XLOOKUP($P716,'Base Grupo de Produtos'!$E$23:$E$39,'Base Grupo de Produtos'!$F$23:$F$39)</f>
        <v>0</v>
      </c>
      <c r="AC716" s="61">
        <f t="shared" si="752"/>
        <v>0</v>
      </c>
      <c r="AD716" s="28"/>
      <c r="AE716" s="12"/>
      <c r="AF716" s="29"/>
      <c r="AG716" s="9"/>
      <c r="AH716" s="10"/>
      <c r="AI716" s="9"/>
      <c r="AJ716" s="11"/>
      <c r="AK716" s="9"/>
      <c r="AL716" s="13"/>
      <c r="AM716" s="9"/>
    </row>
    <row r="717" spans="1:39" x14ac:dyDescent="0.3">
      <c r="A717" s="2" t="str">
        <f t="shared" si="753"/>
        <v>NÃO</v>
      </c>
      <c r="B717" s="2" t="str">
        <f>_xlfn.XLOOKUP($N717,'Base de Grupos'!$A:$A,'Base de Grupos'!$D:$D)</f>
        <v>1000065763</v>
      </c>
      <c r="C717" s="5" t="str">
        <f>_xlfn.XLOOKUP($N717,'Base de Grupos'!$A:$A,'Base de Grupos'!$E:$E)</f>
        <v>CANAL VENDA INTERNA</v>
      </c>
      <c r="D717" s="5" t="str">
        <f>_xlfn.XLOOKUP($N717,'Base de Grupos'!$A:$A,'Base de Grupos'!$F:$F)</f>
        <v>1000065763</v>
      </c>
      <c r="E717" s="2" t="str">
        <f>_xlfn.XLOOKUP($N717,'Base de Grupos'!$A:$A,'Base de Grupos'!$G:$G)</f>
        <v>CANAL VENDA INTERNA</v>
      </c>
      <c r="F717" s="2" t="str">
        <f>_xlfn.XLOOKUP($N717,'Base de Grupos'!$A:$A,'Base de Grupos'!$H:$H)</f>
        <v>1000174119</v>
      </c>
      <c r="G717" s="5" t="str">
        <f>_xlfn.XLOOKUP($N717,'Base de Grupos'!$A:$A,'Base de Grupos'!$I:$I)</f>
        <v>REGIONAL VENDA INTERNA - CONVENIENCIA</v>
      </c>
      <c r="H717" s="5" t="str">
        <f>_xlfn.XLOOKUP($N717,'Base de Grupos'!$A:$A,'Base de Grupos'!$J:$J)</f>
        <v>1000174119</v>
      </c>
      <c r="I717" s="2" t="str">
        <f>_xlfn.XLOOKUP($N717,'Base de Grupos'!$A:$A,'Base de Grupos'!$K:$K)</f>
        <v>REGIONAL VENDA INTERNA - CONVENIENCIA</v>
      </c>
      <c r="J717" s="2" t="str">
        <f>_xlfn.XLOOKUP($N717,'Base de Grupos'!$A:$A,'Base de Grupos'!$L:$L)</f>
        <v>1000174119</v>
      </c>
      <c r="K717" s="5" t="str">
        <f>_xlfn.XLOOKUP($N717,'Base de Grupos'!$A:$A,'Base de Grupos'!$M:$M)</f>
        <v>REGIONAL VENDA INTERNA - CONVENIENCIA</v>
      </c>
      <c r="L717" s="5" t="str">
        <f t="shared" si="754"/>
        <v/>
      </c>
      <c r="M717" s="5" t="str">
        <f>_xlfn.XLOOKUP($N717,'Base de Grupos'!$A:$A,'Base de Grupos'!$C:$C)</f>
        <v>RN</v>
      </c>
      <c r="N717" s="3">
        <v>1503</v>
      </c>
      <c r="O717" s="4" t="s">
        <v>263</v>
      </c>
      <c r="P717" s="5" t="s">
        <v>90</v>
      </c>
      <c r="Q717" s="56">
        <v>0</v>
      </c>
      <c r="R717" s="56">
        <v>0</v>
      </c>
      <c r="S717" s="56">
        <v>0</v>
      </c>
      <c r="T717" s="56">
        <f>_xlfn.XLOOKUP($N717,'Calculo Leads Conveniencia'!$A$77:$A$104,'Calculo Leads Conveniencia'!G$77:G$104)*_xlfn.XLOOKUP($P717,'Base Grupo de Produtos'!$E$23:$E$39,'Base Grupo de Produtos'!$F$23:$F$39)</f>
        <v>0</v>
      </c>
      <c r="U717" s="56">
        <f>_xlfn.XLOOKUP($N717,'Calculo Leads Conveniencia'!$A$77:$A$104,'Calculo Leads Conveniencia'!H$77:H$104)*_xlfn.XLOOKUP($P717,'Base Grupo de Produtos'!$E$23:$E$39,'Base Grupo de Produtos'!$F$23:$F$39)</f>
        <v>0</v>
      </c>
      <c r="V717" s="56">
        <f>_xlfn.XLOOKUP($N717,'Calculo Leads Conveniencia'!$A$77:$A$104,'Calculo Leads Conveniencia'!I$77:I$104)*_xlfn.XLOOKUP($P717,'Base Grupo de Produtos'!$E$23:$E$39,'Base Grupo de Produtos'!$F$23:$F$39)</f>
        <v>0</v>
      </c>
      <c r="W717" s="56">
        <f>_xlfn.XLOOKUP($N717,'Calculo Leads Conveniencia'!$A$77:$A$104,'Calculo Leads Conveniencia'!J$77:J$104)*_xlfn.XLOOKUP($P717,'Base Grupo de Produtos'!$E$23:$E$39,'Base Grupo de Produtos'!$F$23:$F$39)</f>
        <v>0</v>
      </c>
      <c r="X717" s="56">
        <f>_xlfn.XLOOKUP($N717,'Calculo Leads Conveniencia'!$A$77:$A$104,'Calculo Leads Conveniencia'!K$77:K$104)*_xlfn.XLOOKUP($P717,'Base Grupo de Produtos'!$E$23:$E$39,'Base Grupo de Produtos'!$F$23:$F$39)</f>
        <v>0</v>
      </c>
      <c r="Y717" s="56">
        <f>_xlfn.XLOOKUP($N717,'Calculo Leads Conveniencia'!$A$77:$A$104,'Calculo Leads Conveniencia'!L$77:L$104)*_xlfn.XLOOKUP($P717,'Base Grupo de Produtos'!$E$23:$E$39,'Base Grupo de Produtos'!$F$23:$F$39)</f>
        <v>0</v>
      </c>
      <c r="Z717" s="56">
        <f>_xlfn.XLOOKUP($N717,'Calculo Leads Conveniencia'!$A$77:$A$104,'Calculo Leads Conveniencia'!M$77:M$104)*_xlfn.XLOOKUP($P717,'Base Grupo de Produtos'!$E$23:$E$39,'Base Grupo de Produtos'!$F$23:$F$39)</f>
        <v>0</v>
      </c>
      <c r="AA717" s="56">
        <f>_xlfn.XLOOKUP($N717,'Calculo Leads Conveniencia'!$A$77:$A$104,'Calculo Leads Conveniencia'!N$77:N$104)*_xlfn.XLOOKUP($P717,'Base Grupo de Produtos'!$E$23:$E$39,'Base Grupo de Produtos'!$F$23:$F$39)</f>
        <v>0</v>
      </c>
      <c r="AB717" s="56">
        <f>_xlfn.XLOOKUP($N717,'Calculo Leads Conveniencia'!$A$77:$A$104,'Calculo Leads Conveniencia'!O$77:O$104)*_xlfn.XLOOKUP($P717,'Base Grupo de Produtos'!$E$23:$E$39,'Base Grupo de Produtos'!$F$23:$F$39)</f>
        <v>0</v>
      </c>
      <c r="AC717" s="61">
        <f t="shared" si="752"/>
        <v>0</v>
      </c>
      <c r="AD717" s="28"/>
      <c r="AE717" s="12"/>
      <c r="AF717" s="29"/>
      <c r="AG717" s="9"/>
      <c r="AH717" s="10"/>
      <c r="AI717" s="9"/>
      <c r="AJ717" s="11"/>
      <c r="AK717" s="9"/>
      <c r="AL717" s="13"/>
      <c r="AM717" s="9"/>
    </row>
    <row r="718" spans="1:39" x14ac:dyDescent="0.3">
      <c r="A718" s="2" t="str">
        <f t="shared" si="753"/>
        <v>NÃO</v>
      </c>
      <c r="B718" s="2" t="str">
        <f>_xlfn.XLOOKUP($N718,'Base de Grupos'!$A:$A,'Base de Grupos'!$D:$D)</f>
        <v>1000065763</v>
      </c>
      <c r="C718" s="5" t="str">
        <f>_xlfn.XLOOKUP($N718,'Base de Grupos'!$A:$A,'Base de Grupos'!$E:$E)</f>
        <v>CANAL VENDA INTERNA</v>
      </c>
      <c r="D718" s="5" t="str">
        <f>_xlfn.XLOOKUP($N718,'Base de Grupos'!$A:$A,'Base de Grupos'!$F:$F)</f>
        <v>1000065763</v>
      </c>
      <c r="E718" s="2" t="str">
        <f>_xlfn.XLOOKUP($N718,'Base de Grupos'!$A:$A,'Base de Grupos'!$G:$G)</f>
        <v>CANAL VENDA INTERNA</v>
      </c>
      <c r="F718" s="2" t="str">
        <f>_xlfn.XLOOKUP($N718,'Base de Grupos'!$A:$A,'Base de Grupos'!$H:$H)</f>
        <v>1000174119</v>
      </c>
      <c r="G718" s="5" t="str">
        <f>_xlfn.XLOOKUP($N718,'Base de Grupos'!$A:$A,'Base de Grupos'!$I:$I)</f>
        <v>REGIONAL VENDA INTERNA - CONVENIENCIA</v>
      </c>
      <c r="H718" s="5" t="str">
        <f>_xlfn.XLOOKUP($N718,'Base de Grupos'!$A:$A,'Base de Grupos'!$J:$J)</f>
        <v>1000174119</v>
      </c>
      <c r="I718" s="2" t="str">
        <f>_xlfn.XLOOKUP($N718,'Base de Grupos'!$A:$A,'Base de Grupos'!$K:$K)</f>
        <v>REGIONAL VENDA INTERNA - CONVENIENCIA</v>
      </c>
      <c r="J718" s="2" t="str">
        <f>_xlfn.XLOOKUP($N718,'Base de Grupos'!$A:$A,'Base de Grupos'!$L:$L)</f>
        <v>1000174119</v>
      </c>
      <c r="K718" s="5" t="str">
        <f>_xlfn.XLOOKUP($N718,'Base de Grupos'!$A:$A,'Base de Grupos'!$M:$M)</f>
        <v>REGIONAL VENDA INTERNA - CONVENIENCIA</v>
      </c>
      <c r="L718" s="5" t="str">
        <f t="shared" si="754"/>
        <v/>
      </c>
      <c r="M718" s="5" t="str">
        <f>_xlfn.XLOOKUP($N718,'Base de Grupos'!$A:$A,'Base de Grupos'!$C:$C)</f>
        <v>RN</v>
      </c>
      <c r="N718" s="3">
        <v>1503</v>
      </c>
      <c r="O718" s="4" t="s">
        <v>263</v>
      </c>
      <c r="P718" s="5" t="s">
        <v>91</v>
      </c>
      <c r="Q718" s="56">
        <v>0</v>
      </c>
      <c r="R718" s="56">
        <v>0</v>
      </c>
      <c r="S718" s="56">
        <v>0</v>
      </c>
      <c r="T718" s="56">
        <f>_xlfn.XLOOKUP($N718,'Calculo Leads Conveniencia'!$A$77:$A$104,'Calculo Leads Conveniencia'!G$77:G$104)*_xlfn.XLOOKUP($P718,'Base Grupo de Produtos'!$E$23:$E$39,'Base Grupo de Produtos'!$F$23:$F$39)</f>
        <v>0</v>
      </c>
      <c r="U718" s="56">
        <f>_xlfn.XLOOKUP($N718,'Calculo Leads Conveniencia'!$A$77:$A$104,'Calculo Leads Conveniencia'!H$77:H$104)*_xlfn.XLOOKUP($P718,'Base Grupo de Produtos'!$E$23:$E$39,'Base Grupo de Produtos'!$F$23:$F$39)</f>
        <v>0</v>
      </c>
      <c r="V718" s="56">
        <f>_xlfn.XLOOKUP($N718,'Calculo Leads Conveniencia'!$A$77:$A$104,'Calculo Leads Conveniencia'!I$77:I$104)*_xlfn.XLOOKUP($P718,'Base Grupo de Produtos'!$E$23:$E$39,'Base Grupo de Produtos'!$F$23:$F$39)</f>
        <v>0</v>
      </c>
      <c r="W718" s="56">
        <f>_xlfn.XLOOKUP($N718,'Calculo Leads Conveniencia'!$A$77:$A$104,'Calculo Leads Conveniencia'!J$77:J$104)*_xlfn.XLOOKUP($P718,'Base Grupo de Produtos'!$E$23:$E$39,'Base Grupo de Produtos'!$F$23:$F$39)</f>
        <v>0</v>
      </c>
      <c r="X718" s="56">
        <f>_xlfn.XLOOKUP($N718,'Calculo Leads Conveniencia'!$A$77:$A$104,'Calculo Leads Conveniencia'!K$77:K$104)*_xlfn.XLOOKUP($P718,'Base Grupo de Produtos'!$E$23:$E$39,'Base Grupo de Produtos'!$F$23:$F$39)</f>
        <v>0</v>
      </c>
      <c r="Y718" s="56">
        <f>_xlfn.XLOOKUP($N718,'Calculo Leads Conveniencia'!$A$77:$A$104,'Calculo Leads Conveniencia'!L$77:L$104)*_xlfn.XLOOKUP($P718,'Base Grupo de Produtos'!$E$23:$E$39,'Base Grupo de Produtos'!$F$23:$F$39)</f>
        <v>0</v>
      </c>
      <c r="Z718" s="56">
        <f>_xlfn.XLOOKUP($N718,'Calculo Leads Conveniencia'!$A$77:$A$104,'Calculo Leads Conveniencia'!M$77:M$104)*_xlfn.XLOOKUP($P718,'Base Grupo de Produtos'!$E$23:$E$39,'Base Grupo de Produtos'!$F$23:$F$39)</f>
        <v>0</v>
      </c>
      <c r="AA718" s="56">
        <f>_xlfn.XLOOKUP($N718,'Calculo Leads Conveniencia'!$A$77:$A$104,'Calculo Leads Conveniencia'!N$77:N$104)*_xlfn.XLOOKUP($P718,'Base Grupo de Produtos'!$E$23:$E$39,'Base Grupo de Produtos'!$F$23:$F$39)</f>
        <v>0</v>
      </c>
      <c r="AB718" s="56">
        <f>_xlfn.XLOOKUP($N718,'Calculo Leads Conveniencia'!$A$77:$A$104,'Calculo Leads Conveniencia'!O$77:O$104)*_xlfn.XLOOKUP($P718,'Base Grupo de Produtos'!$E$23:$E$39,'Base Grupo de Produtos'!$F$23:$F$39)</f>
        <v>0</v>
      </c>
      <c r="AC718" s="61">
        <f t="shared" si="752"/>
        <v>0</v>
      </c>
      <c r="AD718" s="28"/>
      <c r="AE718" s="12"/>
      <c r="AF718" s="29"/>
      <c r="AG718" s="9"/>
      <c r="AH718" s="10"/>
      <c r="AI718" s="9"/>
      <c r="AJ718" s="11"/>
      <c r="AK718" s="9"/>
      <c r="AL718" s="13"/>
      <c r="AM718" s="9"/>
    </row>
    <row r="719" spans="1:39" x14ac:dyDescent="0.3">
      <c r="A719" s="2" t="str">
        <f t="shared" si="753"/>
        <v>NÃO</v>
      </c>
      <c r="B719" s="2" t="str">
        <f>_xlfn.XLOOKUP($N719,'Base de Grupos'!$A:$A,'Base de Grupos'!$D:$D)</f>
        <v>1000065763</v>
      </c>
      <c r="C719" s="5" t="str">
        <f>_xlfn.XLOOKUP($N719,'Base de Grupos'!$A:$A,'Base de Grupos'!$E:$E)</f>
        <v>CANAL VENDA INTERNA</v>
      </c>
      <c r="D719" s="5" t="str">
        <f>_xlfn.XLOOKUP($N719,'Base de Grupos'!$A:$A,'Base de Grupos'!$F:$F)</f>
        <v>1000065763</v>
      </c>
      <c r="E719" s="2" t="str">
        <f>_xlfn.XLOOKUP($N719,'Base de Grupos'!$A:$A,'Base de Grupos'!$G:$G)</f>
        <v>CANAL VENDA INTERNA</v>
      </c>
      <c r="F719" s="2" t="str">
        <f>_xlfn.XLOOKUP($N719,'Base de Grupos'!$A:$A,'Base de Grupos'!$H:$H)</f>
        <v>1000174119</v>
      </c>
      <c r="G719" s="5" t="str">
        <f>_xlfn.XLOOKUP($N719,'Base de Grupos'!$A:$A,'Base de Grupos'!$I:$I)</f>
        <v>REGIONAL VENDA INTERNA - CONVENIENCIA</v>
      </c>
      <c r="H719" s="5" t="str">
        <f>_xlfn.XLOOKUP($N719,'Base de Grupos'!$A:$A,'Base de Grupos'!$J:$J)</f>
        <v>1000174119</v>
      </c>
      <c r="I719" s="2" t="str">
        <f>_xlfn.XLOOKUP($N719,'Base de Grupos'!$A:$A,'Base de Grupos'!$K:$K)</f>
        <v>REGIONAL VENDA INTERNA - CONVENIENCIA</v>
      </c>
      <c r="J719" s="2" t="str">
        <f>_xlfn.XLOOKUP($N719,'Base de Grupos'!$A:$A,'Base de Grupos'!$L:$L)</f>
        <v>1000174119</v>
      </c>
      <c r="K719" s="5" t="str">
        <f>_xlfn.XLOOKUP($N719,'Base de Grupos'!$A:$A,'Base de Grupos'!$M:$M)</f>
        <v>REGIONAL VENDA INTERNA - CONVENIENCIA</v>
      </c>
      <c r="L719" s="5" t="str">
        <f t="shared" si="754"/>
        <v/>
      </c>
      <c r="M719" s="5" t="str">
        <f>_xlfn.XLOOKUP($N719,'Base de Grupos'!$A:$A,'Base de Grupos'!$C:$C)</f>
        <v>RN</v>
      </c>
      <c r="N719" s="3">
        <v>1503</v>
      </c>
      <c r="O719" s="4" t="s">
        <v>263</v>
      </c>
      <c r="P719" s="5" t="s">
        <v>96</v>
      </c>
      <c r="Q719" s="56">
        <v>0</v>
      </c>
      <c r="R719" s="56">
        <v>0</v>
      </c>
      <c r="S719" s="56">
        <v>0</v>
      </c>
      <c r="T719" s="56">
        <f>_xlfn.XLOOKUP($N719,'Calculo Leads Conveniencia'!$A$77:$A$104,'Calculo Leads Conveniencia'!G$77:G$104)*_xlfn.XLOOKUP($P719,'Base Grupo de Produtos'!$E$23:$E$39,'Base Grupo de Produtos'!$F$23:$F$39)</f>
        <v>0</v>
      </c>
      <c r="U719" s="56">
        <f>_xlfn.XLOOKUP($N719,'Calculo Leads Conveniencia'!$A$77:$A$104,'Calculo Leads Conveniencia'!H$77:H$104)*_xlfn.XLOOKUP($P719,'Base Grupo de Produtos'!$E$23:$E$39,'Base Grupo de Produtos'!$F$23:$F$39)</f>
        <v>0</v>
      </c>
      <c r="V719" s="56">
        <f>_xlfn.XLOOKUP($N719,'Calculo Leads Conveniencia'!$A$77:$A$104,'Calculo Leads Conveniencia'!I$77:I$104)*_xlfn.XLOOKUP($P719,'Base Grupo de Produtos'!$E$23:$E$39,'Base Grupo de Produtos'!$F$23:$F$39)</f>
        <v>0</v>
      </c>
      <c r="W719" s="56">
        <f>_xlfn.XLOOKUP($N719,'Calculo Leads Conveniencia'!$A$77:$A$104,'Calculo Leads Conveniencia'!J$77:J$104)*_xlfn.XLOOKUP($P719,'Base Grupo de Produtos'!$E$23:$E$39,'Base Grupo de Produtos'!$F$23:$F$39)</f>
        <v>0</v>
      </c>
      <c r="X719" s="56">
        <f>_xlfn.XLOOKUP($N719,'Calculo Leads Conveniencia'!$A$77:$A$104,'Calculo Leads Conveniencia'!K$77:K$104)*_xlfn.XLOOKUP($P719,'Base Grupo de Produtos'!$E$23:$E$39,'Base Grupo de Produtos'!$F$23:$F$39)</f>
        <v>0</v>
      </c>
      <c r="Y719" s="56">
        <f>_xlfn.XLOOKUP($N719,'Calculo Leads Conveniencia'!$A$77:$A$104,'Calculo Leads Conveniencia'!L$77:L$104)*_xlfn.XLOOKUP($P719,'Base Grupo de Produtos'!$E$23:$E$39,'Base Grupo de Produtos'!$F$23:$F$39)</f>
        <v>0</v>
      </c>
      <c r="Z719" s="56">
        <f>_xlfn.XLOOKUP($N719,'Calculo Leads Conveniencia'!$A$77:$A$104,'Calculo Leads Conveniencia'!M$77:M$104)*_xlfn.XLOOKUP($P719,'Base Grupo de Produtos'!$E$23:$E$39,'Base Grupo de Produtos'!$F$23:$F$39)</f>
        <v>0</v>
      </c>
      <c r="AA719" s="56">
        <f>_xlfn.XLOOKUP($N719,'Calculo Leads Conveniencia'!$A$77:$A$104,'Calculo Leads Conveniencia'!N$77:N$104)*_xlfn.XLOOKUP($P719,'Base Grupo de Produtos'!$E$23:$E$39,'Base Grupo de Produtos'!$F$23:$F$39)</f>
        <v>0</v>
      </c>
      <c r="AB719" s="56">
        <f>_xlfn.XLOOKUP($N719,'Calculo Leads Conveniencia'!$A$77:$A$104,'Calculo Leads Conveniencia'!O$77:O$104)*_xlfn.XLOOKUP($P719,'Base Grupo de Produtos'!$E$23:$E$39,'Base Grupo de Produtos'!$F$23:$F$39)</f>
        <v>0</v>
      </c>
      <c r="AC719" s="61">
        <f t="shared" si="752"/>
        <v>0</v>
      </c>
      <c r="AD719" s="28"/>
      <c r="AE719" s="12"/>
      <c r="AF719" s="29"/>
      <c r="AG719" s="9"/>
      <c r="AH719" s="10"/>
      <c r="AI719" s="9"/>
      <c r="AJ719" s="11"/>
      <c r="AK719" s="9"/>
      <c r="AL719" s="13"/>
      <c r="AM719" s="9"/>
    </row>
    <row r="720" spans="1:39" x14ac:dyDescent="0.3">
      <c r="A720" s="2" t="str">
        <f t="shared" si="753"/>
        <v>NÃO</v>
      </c>
      <c r="B720" s="2" t="str">
        <f>_xlfn.XLOOKUP($N720,'Base de Grupos'!$A:$A,'Base de Grupos'!$D:$D)</f>
        <v>1000065763</v>
      </c>
      <c r="C720" s="5" t="str">
        <f>_xlfn.XLOOKUP($N720,'Base de Grupos'!$A:$A,'Base de Grupos'!$E:$E)</f>
        <v>CANAL VENDA INTERNA</v>
      </c>
      <c r="D720" s="5" t="str">
        <f>_xlfn.XLOOKUP($N720,'Base de Grupos'!$A:$A,'Base de Grupos'!$F:$F)</f>
        <v>1000065763</v>
      </c>
      <c r="E720" s="2" t="str">
        <f>_xlfn.XLOOKUP($N720,'Base de Grupos'!$A:$A,'Base de Grupos'!$G:$G)</f>
        <v>CANAL VENDA INTERNA</v>
      </c>
      <c r="F720" s="2" t="str">
        <f>_xlfn.XLOOKUP($N720,'Base de Grupos'!$A:$A,'Base de Grupos'!$H:$H)</f>
        <v>1000174119</v>
      </c>
      <c r="G720" s="5" t="str">
        <f>_xlfn.XLOOKUP($N720,'Base de Grupos'!$A:$A,'Base de Grupos'!$I:$I)</f>
        <v>REGIONAL VENDA INTERNA - CONVENIENCIA</v>
      </c>
      <c r="H720" s="5" t="str">
        <f>_xlfn.XLOOKUP($N720,'Base de Grupos'!$A:$A,'Base de Grupos'!$J:$J)</f>
        <v>1000174119</v>
      </c>
      <c r="I720" s="2" t="str">
        <f>_xlfn.XLOOKUP($N720,'Base de Grupos'!$A:$A,'Base de Grupos'!$K:$K)</f>
        <v>REGIONAL VENDA INTERNA - CONVENIENCIA</v>
      </c>
      <c r="J720" s="2" t="str">
        <f>_xlfn.XLOOKUP($N720,'Base de Grupos'!$A:$A,'Base de Grupos'!$L:$L)</f>
        <v>1000174119</v>
      </c>
      <c r="K720" s="5" t="str">
        <f>_xlfn.XLOOKUP($N720,'Base de Grupos'!$A:$A,'Base de Grupos'!$M:$M)</f>
        <v>REGIONAL VENDA INTERNA - CONVENIENCIA</v>
      </c>
      <c r="L720" s="5" t="str">
        <f t="shared" si="754"/>
        <v/>
      </c>
      <c r="M720" s="5" t="str">
        <f>_xlfn.XLOOKUP($N720,'Base de Grupos'!$A:$A,'Base de Grupos'!$C:$C)</f>
        <v>RN</v>
      </c>
      <c r="N720" s="3">
        <v>1503</v>
      </c>
      <c r="O720" s="4" t="s">
        <v>263</v>
      </c>
      <c r="P720" s="5" t="s">
        <v>94</v>
      </c>
      <c r="Q720" s="56">
        <v>0</v>
      </c>
      <c r="R720" s="56">
        <v>0</v>
      </c>
      <c r="S720" s="56">
        <v>0</v>
      </c>
      <c r="T720" s="56">
        <f>_xlfn.XLOOKUP($N720,'Calculo Leads Conveniencia'!$A$77:$A$104,'Calculo Leads Conveniencia'!G$77:G$104)*_xlfn.XLOOKUP($P720,'Base Grupo de Produtos'!$E$23:$E$39,'Base Grupo de Produtos'!$F$23:$F$39)</f>
        <v>0</v>
      </c>
      <c r="U720" s="56">
        <f>_xlfn.XLOOKUP($N720,'Calculo Leads Conveniencia'!$A$77:$A$104,'Calculo Leads Conveniencia'!H$77:H$104)*_xlfn.XLOOKUP($P720,'Base Grupo de Produtos'!$E$23:$E$39,'Base Grupo de Produtos'!$F$23:$F$39)</f>
        <v>0</v>
      </c>
      <c r="V720" s="56">
        <f>_xlfn.XLOOKUP($N720,'Calculo Leads Conveniencia'!$A$77:$A$104,'Calculo Leads Conveniencia'!I$77:I$104)*_xlfn.XLOOKUP($P720,'Base Grupo de Produtos'!$E$23:$E$39,'Base Grupo de Produtos'!$F$23:$F$39)</f>
        <v>0</v>
      </c>
      <c r="W720" s="56">
        <f>_xlfn.XLOOKUP($N720,'Calculo Leads Conveniencia'!$A$77:$A$104,'Calculo Leads Conveniencia'!J$77:J$104)*_xlfn.XLOOKUP($P720,'Base Grupo de Produtos'!$E$23:$E$39,'Base Grupo de Produtos'!$F$23:$F$39)</f>
        <v>0</v>
      </c>
      <c r="X720" s="56">
        <f>_xlfn.XLOOKUP($N720,'Calculo Leads Conveniencia'!$A$77:$A$104,'Calculo Leads Conveniencia'!K$77:K$104)*_xlfn.XLOOKUP($P720,'Base Grupo de Produtos'!$E$23:$E$39,'Base Grupo de Produtos'!$F$23:$F$39)</f>
        <v>0</v>
      </c>
      <c r="Y720" s="56">
        <f>_xlfn.XLOOKUP($N720,'Calculo Leads Conveniencia'!$A$77:$A$104,'Calculo Leads Conveniencia'!L$77:L$104)*_xlfn.XLOOKUP($P720,'Base Grupo de Produtos'!$E$23:$E$39,'Base Grupo de Produtos'!$F$23:$F$39)</f>
        <v>0</v>
      </c>
      <c r="Z720" s="56">
        <f>_xlfn.XLOOKUP($N720,'Calculo Leads Conveniencia'!$A$77:$A$104,'Calculo Leads Conveniencia'!M$77:M$104)*_xlfn.XLOOKUP($P720,'Base Grupo de Produtos'!$E$23:$E$39,'Base Grupo de Produtos'!$F$23:$F$39)</f>
        <v>0</v>
      </c>
      <c r="AA720" s="56">
        <f>_xlfn.XLOOKUP($N720,'Calculo Leads Conveniencia'!$A$77:$A$104,'Calculo Leads Conveniencia'!N$77:N$104)*_xlfn.XLOOKUP($P720,'Base Grupo de Produtos'!$E$23:$E$39,'Base Grupo de Produtos'!$F$23:$F$39)</f>
        <v>0</v>
      </c>
      <c r="AB720" s="56">
        <f>_xlfn.XLOOKUP($N720,'Calculo Leads Conveniencia'!$A$77:$A$104,'Calculo Leads Conveniencia'!O$77:O$104)*_xlfn.XLOOKUP($P720,'Base Grupo de Produtos'!$E$23:$E$39,'Base Grupo de Produtos'!$F$23:$F$39)</f>
        <v>0</v>
      </c>
      <c r="AC720" s="61">
        <f t="shared" si="752"/>
        <v>0</v>
      </c>
      <c r="AD720" s="28"/>
      <c r="AE720" s="12"/>
      <c r="AF720" s="29"/>
      <c r="AG720" s="9"/>
      <c r="AH720" s="10"/>
      <c r="AI720" s="9"/>
      <c r="AJ720" s="11"/>
      <c r="AK720" s="9"/>
      <c r="AL720" s="13"/>
      <c r="AM720" s="9"/>
    </row>
    <row r="721" spans="1:39" x14ac:dyDescent="0.3">
      <c r="A721" s="2" t="str">
        <f t="shared" si="753"/>
        <v>NÃO</v>
      </c>
      <c r="B721" s="2" t="str">
        <f>_xlfn.XLOOKUP($N721,'Base de Grupos'!$A:$A,'Base de Grupos'!$D:$D)</f>
        <v>1000065763</v>
      </c>
      <c r="C721" s="5" t="str">
        <f>_xlfn.XLOOKUP($N721,'Base de Grupos'!$A:$A,'Base de Grupos'!$E:$E)</f>
        <v>CANAL VENDA INTERNA</v>
      </c>
      <c r="D721" s="5" t="str">
        <f>_xlfn.XLOOKUP($N721,'Base de Grupos'!$A:$A,'Base de Grupos'!$F:$F)</f>
        <v>1000065763</v>
      </c>
      <c r="E721" s="2" t="str">
        <f>_xlfn.XLOOKUP($N721,'Base de Grupos'!$A:$A,'Base de Grupos'!$G:$G)</f>
        <v>CANAL VENDA INTERNA</v>
      </c>
      <c r="F721" s="2" t="str">
        <f>_xlfn.XLOOKUP($N721,'Base de Grupos'!$A:$A,'Base de Grupos'!$H:$H)</f>
        <v>1000174119</v>
      </c>
      <c r="G721" s="5" t="str">
        <f>_xlfn.XLOOKUP($N721,'Base de Grupos'!$A:$A,'Base de Grupos'!$I:$I)</f>
        <v>REGIONAL VENDA INTERNA - CONVENIENCIA</v>
      </c>
      <c r="H721" s="5" t="str">
        <f>_xlfn.XLOOKUP($N721,'Base de Grupos'!$A:$A,'Base de Grupos'!$J:$J)</f>
        <v>1000174119</v>
      </c>
      <c r="I721" s="2" t="str">
        <f>_xlfn.XLOOKUP($N721,'Base de Grupos'!$A:$A,'Base de Grupos'!$K:$K)</f>
        <v>REGIONAL VENDA INTERNA - CONVENIENCIA</v>
      </c>
      <c r="J721" s="2" t="str">
        <f>_xlfn.XLOOKUP($N721,'Base de Grupos'!$A:$A,'Base de Grupos'!$L:$L)</f>
        <v>1000174119</v>
      </c>
      <c r="K721" s="5" t="str">
        <f>_xlfn.XLOOKUP($N721,'Base de Grupos'!$A:$A,'Base de Grupos'!$M:$M)</f>
        <v>REGIONAL VENDA INTERNA - CONVENIENCIA</v>
      </c>
      <c r="L721" s="5" t="str">
        <f t="shared" si="754"/>
        <v/>
      </c>
      <c r="M721" s="5" t="str">
        <f>_xlfn.XLOOKUP($N721,'Base de Grupos'!$A:$A,'Base de Grupos'!$C:$C)</f>
        <v>RN</v>
      </c>
      <c r="N721" s="3">
        <v>1503</v>
      </c>
      <c r="O721" s="4" t="s">
        <v>263</v>
      </c>
      <c r="P721" s="5" t="s">
        <v>95</v>
      </c>
      <c r="Q721" s="56">
        <v>0</v>
      </c>
      <c r="R721" s="56">
        <v>0</v>
      </c>
      <c r="S721" s="56">
        <v>0</v>
      </c>
      <c r="T721" s="56">
        <f>_xlfn.XLOOKUP($N721,'Calculo Leads Conveniencia'!$A$77:$A$104,'Calculo Leads Conveniencia'!G$77:G$104)*_xlfn.XLOOKUP($P721,'Base Grupo de Produtos'!$E$23:$E$39,'Base Grupo de Produtos'!$F$23:$F$39)</f>
        <v>0</v>
      </c>
      <c r="U721" s="56">
        <f>_xlfn.XLOOKUP($N721,'Calculo Leads Conveniencia'!$A$77:$A$104,'Calculo Leads Conveniencia'!H$77:H$104)*_xlfn.XLOOKUP($P721,'Base Grupo de Produtos'!$E$23:$E$39,'Base Grupo de Produtos'!$F$23:$F$39)</f>
        <v>0</v>
      </c>
      <c r="V721" s="56">
        <f>_xlfn.XLOOKUP($N721,'Calculo Leads Conveniencia'!$A$77:$A$104,'Calculo Leads Conveniencia'!I$77:I$104)*_xlfn.XLOOKUP($P721,'Base Grupo de Produtos'!$E$23:$E$39,'Base Grupo de Produtos'!$F$23:$F$39)</f>
        <v>0</v>
      </c>
      <c r="W721" s="56">
        <f>_xlfn.XLOOKUP($N721,'Calculo Leads Conveniencia'!$A$77:$A$104,'Calculo Leads Conveniencia'!J$77:J$104)*_xlfn.XLOOKUP($P721,'Base Grupo de Produtos'!$E$23:$E$39,'Base Grupo de Produtos'!$F$23:$F$39)</f>
        <v>0</v>
      </c>
      <c r="X721" s="56">
        <f>_xlfn.XLOOKUP($N721,'Calculo Leads Conveniencia'!$A$77:$A$104,'Calculo Leads Conveniencia'!K$77:K$104)*_xlfn.XLOOKUP($P721,'Base Grupo de Produtos'!$E$23:$E$39,'Base Grupo de Produtos'!$F$23:$F$39)</f>
        <v>0</v>
      </c>
      <c r="Y721" s="56">
        <f>_xlfn.XLOOKUP($N721,'Calculo Leads Conveniencia'!$A$77:$A$104,'Calculo Leads Conveniencia'!L$77:L$104)*_xlfn.XLOOKUP($P721,'Base Grupo de Produtos'!$E$23:$E$39,'Base Grupo de Produtos'!$F$23:$F$39)</f>
        <v>0</v>
      </c>
      <c r="Z721" s="56">
        <f>_xlfn.XLOOKUP($N721,'Calculo Leads Conveniencia'!$A$77:$A$104,'Calculo Leads Conveniencia'!M$77:M$104)*_xlfn.XLOOKUP($P721,'Base Grupo de Produtos'!$E$23:$E$39,'Base Grupo de Produtos'!$F$23:$F$39)</f>
        <v>0</v>
      </c>
      <c r="AA721" s="56">
        <f>_xlfn.XLOOKUP($N721,'Calculo Leads Conveniencia'!$A$77:$A$104,'Calculo Leads Conveniencia'!N$77:N$104)*_xlfn.XLOOKUP($P721,'Base Grupo de Produtos'!$E$23:$E$39,'Base Grupo de Produtos'!$F$23:$F$39)</f>
        <v>0</v>
      </c>
      <c r="AB721" s="56">
        <f>_xlfn.XLOOKUP($N721,'Calculo Leads Conveniencia'!$A$77:$A$104,'Calculo Leads Conveniencia'!O$77:O$104)*_xlfn.XLOOKUP($P721,'Base Grupo de Produtos'!$E$23:$E$39,'Base Grupo de Produtos'!$F$23:$F$39)</f>
        <v>0</v>
      </c>
      <c r="AC721" s="61">
        <f t="shared" si="752"/>
        <v>0</v>
      </c>
      <c r="AD721" s="28"/>
      <c r="AE721" s="12"/>
      <c r="AF721" s="29"/>
      <c r="AG721" s="9"/>
      <c r="AH721" s="10"/>
      <c r="AI721" s="9"/>
      <c r="AJ721" s="11"/>
      <c r="AK721" s="9"/>
      <c r="AL721" s="13"/>
      <c r="AM721" s="9"/>
    </row>
    <row r="722" spans="1:39" x14ac:dyDescent="0.3">
      <c r="A722" s="2" t="str">
        <f t="shared" si="753"/>
        <v>NÃO</v>
      </c>
      <c r="B722" s="2" t="str">
        <f>_xlfn.XLOOKUP($N722,'Base de Grupos'!$A:$A,'Base de Grupos'!$D:$D)</f>
        <v>1000065763</v>
      </c>
      <c r="C722" s="5" t="str">
        <f>_xlfn.XLOOKUP($N722,'Base de Grupos'!$A:$A,'Base de Grupos'!$E:$E)</f>
        <v>CANAL VENDA INTERNA</v>
      </c>
      <c r="D722" s="5" t="str">
        <f>_xlfn.XLOOKUP($N722,'Base de Grupos'!$A:$A,'Base de Grupos'!$F:$F)</f>
        <v>1000065763</v>
      </c>
      <c r="E722" s="2" t="str">
        <f>_xlfn.XLOOKUP($N722,'Base de Grupos'!$A:$A,'Base de Grupos'!$G:$G)</f>
        <v>CANAL VENDA INTERNA</v>
      </c>
      <c r="F722" s="2" t="str">
        <f>_xlfn.XLOOKUP($N722,'Base de Grupos'!$A:$A,'Base de Grupos'!$H:$H)</f>
        <v>1000174119</v>
      </c>
      <c r="G722" s="5" t="str">
        <f>_xlfn.XLOOKUP($N722,'Base de Grupos'!$A:$A,'Base de Grupos'!$I:$I)</f>
        <v>REGIONAL VENDA INTERNA - CONVENIENCIA</v>
      </c>
      <c r="H722" s="5" t="str">
        <f>_xlfn.XLOOKUP($N722,'Base de Grupos'!$A:$A,'Base de Grupos'!$J:$J)</f>
        <v>1000174119</v>
      </c>
      <c r="I722" s="2" t="str">
        <f>_xlfn.XLOOKUP($N722,'Base de Grupos'!$A:$A,'Base de Grupos'!$K:$K)</f>
        <v>REGIONAL VENDA INTERNA - CONVENIENCIA</v>
      </c>
      <c r="J722" s="2" t="str">
        <f>_xlfn.XLOOKUP($N722,'Base de Grupos'!$A:$A,'Base de Grupos'!$L:$L)</f>
        <v>1000174119</v>
      </c>
      <c r="K722" s="5" t="str">
        <f>_xlfn.XLOOKUP($N722,'Base de Grupos'!$A:$A,'Base de Grupos'!$M:$M)</f>
        <v>REGIONAL VENDA INTERNA - CONVENIENCIA</v>
      </c>
      <c r="L722" s="5" t="str">
        <f t="shared" si="754"/>
        <v/>
      </c>
      <c r="M722" s="5" t="str">
        <f>_xlfn.XLOOKUP($N722,'Base de Grupos'!$A:$A,'Base de Grupos'!$C:$C)</f>
        <v>RN</v>
      </c>
      <c r="N722" s="3">
        <v>1503</v>
      </c>
      <c r="O722" s="4" t="s">
        <v>263</v>
      </c>
      <c r="P722" s="5" t="s">
        <v>93</v>
      </c>
      <c r="Q722" s="56">
        <v>0</v>
      </c>
      <c r="R722" s="56">
        <v>0</v>
      </c>
      <c r="S722" s="56">
        <v>0</v>
      </c>
      <c r="T722" s="56">
        <f>_xlfn.XLOOKUP($N722,'Calculo Leads Conveniencia'!$A$77:$A$104,'Calculo Leads Conveniencia'!G$77:G$104)*_xlfn.XLOOKUP($P722,'Base Grupo de Produtos'!$E$23:$E$39,'Base Grupo de Produtos'!$F$23:$F$39)</f>
        <v>0</v>
      </c>
      <c r="U722" s="56">
        <f>_xlfn.XLOOKUP($N722,'Calculo Leads Conveniencia'!$A$77:$A$104,'Calculo Leads Conveniencia'!H$77:H$104)*_xlfn.XLOOKUP($P722,'Base Grupo de Produtos'!$E$23:$E$39,'Base Grupo de Produtos'!$F$23:$F$39)</f>
        <v>0</v>
      </c>
      <c r="V722" s="56">
        <f>_xlfn.XLOOKUP($N722,'Calculo Leads Conveniencia'!$A$77:$A$104,'Calculo Leads Conveniencia'!I$77:I$104)*_xlfn.XLOOKUP($P722,'Base Grupo de Produtos'!$E$23:$E$39,'Base Grupo de Produtos'!$F$23:$F$39)</f>
        <v>0</v>
      </c>
      <c r="W722" s="56">
        <f>_xlfn.XLOOKUP($N722,'Calculo Leads Conveniencia'!$A$77:$A$104,'Calculo Leads Conveniencia'!J$77:J$104)*_xlfn.XLOOKUP($P722,'Base Grupo de Produtos'!$E$23:$E$39,'Base Grupo de Produtos'!$F$23:$F$39)</f>
        <v>0</v>
      </c>
      <c r="X722" s="56">
        <f>_xlfn.XLOOKUP($N722,'Calculo Leads Conveniencia'!$A$77:$A$104,'Calculo Leads Conveniencia'!K$77:K$104)*_xlfn.XLOOKUP($P722,'Base Grupo de Produtos'!$E$23:$E$39,'Base Grupo de Produtos'!$F$23:$F$39)</f>
        <v>0</v>
      </c>
      <c r="Y722" s="56">
        <f>_xlfn.XLOOKUP($N722,'Calculo Leads Conveniencia'!$A$77:$A$104,'Calculo Leads Conveniencia'!L$77:L$104)*_xlfn.XLOOKUP($P722,'Base Grupo de Produtos'!$E$23:$E$39,'Base Grupo de Produtos'!$F$23:$F$39)</f>
        <v>0</v>
      </c>
      <c r="Z722" s="56">
        <f>_xlfn.XLOOKUP($N722,'Calculo Leads Conveniencia'!$A$77:$A$104,'Calculo Leads Conveniencia'!M$77:M$104)*_xlfn.XLOOKUP($P722,'Base Grupo de Produtos'!$E$23:$E$39,'Base Grupo de Produtos'!$F$23:$F$39)</f>
        <v>0</v>
      </c>
      <c r="AA722" s="56">
        <f>_xlfn.XLOOKUP($N722,'Calculo Leads Conveniencia'!$A$77:$A$104,'Calculo Leads Conveniencia'!N$77:N$104)*_xlfn.XLOOKUP($P722,'Base Grupo de Produtos'!$E$23:$E$39,'Base Grupo de Produtos'!$F$23:$F$39)</f>
        <v>0</v>
      </c>
      <c r="AB722" s="56">
        <f>_xlfn.XLOOKUP($N722,'Calculo Leads Conveniencia'!$A$77:$A$104,'Calculo Leads Conveniencia'!O$77:O$104)*_xlfn.XLOOKUP($P722,'Base Grupo de Produtos'!$E$23:$E$39,'Base Grupo de Produtos'!$F$23:$F$39)</f>
        <v>0</v>
      </c>
      <c r="AC722" s="61">
        <f t="shared" si="752"/>
        <v>0</v>
      </c>
      <c r="AD722" s="28"/>
      <c r="AE722" s="12"/>
      <c r="AF722" s="29"/>
      <c r="AG722" s="9"/>
      <c r="AH722" s="10"/>
      <c r="AI722" s="9"/>
      <c r="AJ722" s="11"/>
      <c r="AK722" s="9"/>
      <c r="AL722" s="13"/>
      <c r="AM722" s="9"/>
    </row>
    <row r="723" spans="1:39" x14ac:dyDescent="0.3">
      <c r="A723" s="2" t="str">
        <f t="shared" si="753"/>
        <v>SIM</v>
      </c>
      <c r="B723" s="2" t="str">
        <f>_xlfn.XLOOKUP($N723,'Base de Grupos'!$A:$A,'Base de Grupos'!$D:$D)</f>
        <v>1000065763</v>
      </c>
      <c r="C723" s="5" t="str">
        <f>_xlfn.XLOOKUP($N723,'Base de Grupos'!$A:$A,'Base de Grupos'!$E:$E)</f>
        <v>CANAL VENDA INTERNA</v>
      </c>
      <c r="D723" s="5" t="str">
        <f>_xlfn.XLOOKUP($N723,'Base de Grupos'!$A:$A,'Base de Grupos'!$F:$F)</f>
        <v>1000065763</v>
      </c>
      <c r="E723" s="2" t="str">
        <f>_xlfn.XLOOKUP($N723,'Base de Grupos'!$A:$A,'Base de Grupos'!$G:$G)</f>
        <v>CANAL VENDA INTERNA</v>
      </c>
      <c r="F723" s="2" t="str">
        <f>_xlfn.XLOOKUP($N723,'Base de Grupos'!$A:$A,'Base de Grupos'!$H:$H)</f>
        <v>1000174119</v>
      </c>
      <c r="G723" s="5" t="str">
        <f>_xlfn.XLOOKUP($N723,'Base de Grupos'!$A:$A,'Base de Grupos'!$I:$I)</f>
        <v>REGIONAL VENDA INTERNA - CONVENIENCIA</v>
      </c>
      <c r="H723" s="5" t="str">
        <f>_xlfn.XLOOKUP($N723,'Base de Grupos'!$A:$A,'Base de Grupos'!$J:$J)</f>
        <v>1000174119</v>
      </c>
      <c r="I723" s="2" t="str">
        <f>_xlfn.XLOOKUP($N723,'Base de Grupos'!$A:$A,'Base de Grupos'!$K:$K)</f>
        <v>REGIONAL VENDA INTERNA - CONVENIENCIA</v>
      </c>
      <c r="J723" s="2" t="str">
        <f>_xlfn.XLOOKUP($N723,'Base de Grupos'!$A:$A,'Base de Grupos'!$L:$L)</f>
        <v>1000174119</v>
      </c>
      <c r="K723" s="5" t="str">
        <f>_xlfn.XLOOKUP($N723,'Base de Grupos'!$A:$A,'Base de Grupos'!$M:$M)</f>
        <v>REGIONAL VENDA INTERNA - CONVENIENCIA</v>
      </c>
      <c r="L723" s="5">
        <f t="shared" si="754"/>
        <v>1</v>
      </c>
      <c r="M723" s="5" t="str">
        <f>_xlfn.XLOOKUP($N723,'Base de Grupos'!$A:$A,'Base de Grupos'!$C:$C)</f>
        <v>CE</v>
      </c>
      <c r="N723" s="3">
        <v>1504</v>
      </c>
      <c r="O723" s="4" t="s">
        <v>264</v>
      </c>
      <c r="P723" s="5" t="s">
        <v>334</v>
      </c>
      <c r="Q723" s="56">
        <f t="shared" ref="Q723" si="755">SUM(Q724:Q740)</f>
        <v>0</v>
      </c>
      <c r="R723" s="56">
        <f t="shared" ref="R723" si="756">SUM(R724:R740)</f>
        <v>0</v>
      </c>
      <c r="S723" s="56">
        <f t="shared" ref="S723" si="757">SUM(S724:S740)</f>
        <v>0</v>
      </c>
      <c r="T723" s="56">
        <f t="shared" ref="T723" si="758">SUM(T724:T740)</f>
        <v>0</v>
      </c>
      <c r="U723" s="56">
        <f t="shared" ref="U723" si="759">SUM(U724:U740)</f>
        <v>0</v>
      </c>
      <c r="V723" s="56">
        <f t="shared" ref="V723" si="760">SUM(V724:V740)</f>
        <v>0</v>
      </c>
      <c r="W723" s="56">
        <f t="shared" ref="W723" si="761">SUM(W724:W740)</f>
        <v>0</v>
      </c>
      <c r="X723" s="56">
        <f t="shared" ref="X723" si="762">SUM(X724:X740)</f>
        <v>0</v>
      </c>
      <c r="Y723" s="56">
        <f t="shared" ref="Y723" si="763">SUM(Y724:Y740)</f>
        <v>0</v>
      </c>
      <c r="Z723" s="56">
        <f t="shared" ref="Z723" si="764">SUM(Z724:Z740)</f>
        <v>0</v>
      </c>
      <c r="AA723" s="56">
        <f t="shared" ref="AA723" si="765">SUM(AA724:AA740)</f>
        <v>0</v>
      </c>
      <c r="AB723" s="56">
        <f t="shared" ref="AB723" si="766">SUM(AB724:AB740)</f>
        <v>0</v>
      </c>
      <c r="AC723" s="56">
        <f t="shared" ref="AC723" si="767">SUM(AC724:AC740)</f>
        <v>0</v>
      </c>
      <c r="AD723" s="28"/>
      <c r="AE723" s="12"/>
      <c r="AF723" s="29"/>
      <c r="AG723" s="9"/>
      <c r="AH723" s="10"/>
      <c r="AI723" s="9"/>
      <c r="AJ723" s="11"/>
      <c r="AK723" s="9"/>
      <c r="AL723" s="13"/>
      <c r="AM723" s="9"/>
    </row>
    <row r="724" spans="1:39" x14ac:dyDescent="0.3">
      <c r="A724" s="2" t="str">
        <f t="shared" si="753"/>
        <v>NÃO</v>
      </c>
      <c r="B724" s="2" t="str">
        <f>_xlfn.XLOOKUP($N724,'Base de Grupos'!$A:$A,'Base de Grupos'!$D:$D)</f>
        <v>1000065763</v>
      </c>
      <c r="C724" s="5" t="str">
        <f>_xlfn.XLOOKUP($N724,'Base de Grupos'!$A:$A,'Base de Grupos'!$E:$E)</f>
        <v>CANAL VENDA INTERNA</v>
      </c>
      <c r="D724" s="5" t="str">
        <f>_xlfn.XLOOKUP($N724,'Base de Grupos'!$A:$A,'Base de Grupos'!$F:$F)</f>
        <v>1000065763</v>
      </c>
      <c r="E724" s="2" t="str">
        <f>_xlfn.XLOOKUP($N724,'Base de Grupos'!$A:$A,'Base de Grupos'!$G:$G)</f>
        <v>CANAL VENDA INTERNA</v>
      </c>
      <c r="F724" s="2" t="str">
        <f>_xlfn.XLOOKUP($N724,'Base de Grupos'!$A:$A,'Base de Grupos'!$H:$H)</f>
        <v>1000174119</v>
      </c>
      <c r="G724" s="5" t="str">
        <f>_xlfn.XLOOKUP($N724,'Base de Grupos'!$A:$A,'Base de Grupos'!$I:$I)</f>
        <v>REGIONAL VENDA INTERNA - CONVENIENCIA</v>
      </c>
      <c r="H724" s="5" t="str">
        <f>_xlfn.XLOOKUP($N724,'Base de Grupos'!$A:$A,'Base de Grupos'!$J:$J)</f>
        <v>1000174119</v>
      </c>
      <c r="I724" s="2" t="str">
        <f>_xlfn.XLOOKUP($N724,'Base de Grupos'!$A:$A,'Base de Grupos'!$K:$K)</f>
        <v>REGIONAL VENDA INTERNA - CONVENIENCIA</v>
      </c>
      <c r="J724" s="2" t="str">
        <f>_xlfn.XLOOKUP($N724,'Base de Grupos'!$A:$A,'Base de Grupos'!$L:$L)</f>
        <v>1000174119</v>
      </c>
      <c r="K724" s="5" t="str">
        <f>_xlfn.XLOOKUP($N724,'Base de Grupos'!$A:$A,'Base de Grupos'!$M:$M)</f>
        <v>REGIONAL VENDA INTERNA - CONVENIENCIA</v>
      </c>
      <c r="L724" s="5" t="str">
        <f t="shared" si="754"/>
        <v/>
      </c>
      <c r="M724" s="5" t="str">
        <f>_xlfn.XLOOKUP($N724,'Base de Grupos'!$A:$A,'Base de Grupos'!$C:$C)</f>
        <v>CE</v>
      </c>
      <c r="N724" s="3">
        <v>1504</v>
      </c>
      <c r="O724" s="4" t="s">
        <v>264</v>
      </c>
      <c r="P724" s="5" t="s">
        <v>81</v>
      </c>
      <c r="Q724" s="56">
        <v>0</v>
      </c>
      <c r="R724" s="56">
        <v>0</v>
      </c>
      <c r="S724" s="56">
        <v>0</v>
      </c>
      <c r="T724" s="56">
        <f>_xlfn.XLOOKUP($N724,'Calculo Leads Conveniencia'!$A$77:$A$104,'Calculo Leads Conveniencia'!G$77:G$104)*_xlfn.XLOOKUP($P724,'Base Grupo de Produtos'!$E$23:$E$39,'Base Grupo de Produtos'!$F$23:$F$39)</f>
        <v>0</v>
      </c>
      <c r="U724" s="56">
        <f>_xlfn.XLOOKUP($N724,'Calculo Leads Conveniencia'!$A$77:$A$104,'Calculo Leads Conveniencia'!H$77:H$104)*_xlfn.XLOOKUP($P724,'Base Grupo de Produtos'!$E$23:$E$39,'Base Grupo de Produtos'!$F$23:$F$39)</f>
        <v>0</v>
      </c>
      <c r="V724" s="56">
        <f>_xlfn.XLOOKUP($N724,'Calculo Leads Conveniencia'!$A$77:$A$104,'Calculo Leads Conveniencia'!I$77:I$104)*_xlfn.XLOOKUP($P724,'Base Grupo de Produtos'!$E$23:$E$39,'Base Grupo de Produtos'!$F$23:$F$39)</f>
        <v>0</v>
      </c>
      <c r="W724" s="56">
        <f>_xlfn.XLOOKUP($N724,'Calculo Leads Conveniencia'!$A$77:$A$104,'Calculo Leads Conveniencia'!J$77:J$104)*_xlfn.XLOOKUP($P724,'Base Grupo de Produtos'!$E$23:$E$39,'Base Grupo de Produtos'!$F$23:$F$39)</f>
        <v>0</v>
      </c>
      <c r="X724" s="56">
        <f>_xlfn.XLOOKUP($N724,'Calculo Leads Conveniencia'!$A$77:$A$104,'Calculo Leads Conveniencia'!K$77:K$104)*_xlfn.XLOOKUP($P724,'Base Grupo de Produtos'!$E$23:$E$39,'Base Grupo de Produtos'!$F$23:$F$39)</f>
        <v>0</v>
      </c>
      <c r="Y724" s="56">
        <f>_xlfn.XLOOKUP($N724,'Calculo Leads Conveniencia'!$A$77:$A$104,'Calculo Leads Conveniencia'!L$77:L$104)*_xlfn.XLOOKUP($P724,'Base Grupo de Produtos'!$E$23:$E$39,'Base Grupo de Produtos'!$F$23:$F$39)</f>
        <v>0</v>
      </c>
      <c r="Z724" s="56">
        <f>_xlfn.XLOOKUP($N724,'Calculo Leads Conveniencia'!$A$77:$A$104,'Calculo Leads Conveniencia'!M$77:M$104)*_xlfn.XLOOKUP($P724,'Base Grupo de Produtos'!$E$23:$E$39,'Base Grupo de Produtos'!$F$23:$F$39)</f>
        <v>0</v>
      </c>
      <c r="AA724" s="56">
        <f>_xlfn.XLOOKUP($N724,'Calculo Leads Conveniencia'!$A$77:$A$104,'Calculo Leads Conveniencia'!N$77:N$104)*_xlfn.XLOOKUP($P724,'Base Grupo de Produtos'!$E$23:$E$39,'Base Grupo de Produtos'!$F$23:$F$39)</f>
        <v>0</v>
      </c>
      <c r="AB724" s="56">
        <f>_xlfn.XLOOKUP($N724,'Calculo Leads Conveniencia'!$A$77:$A$104,'Calculo Leads Conveniencia'!O$77:O$104)*_xlfn.XLOOKUP($P724,'Base Grupo de Produtos'!$E$23:$E$39,'Base Grupo de Produtos'!$F$23:$F$39)</f>
        <v>0</v>
      </c>
      <c r="AC724" s="61">
        <f t="shared" si="752"/>
        <v>0</v>
      </c>
      <c r="AD724" s="28"/>
      <c r="AE724" s="12"/>
      <c r="AF724" s="29"/>
      <c r="AG724" s="9"/>
      <c r="AH724" s="10"/>
      <c r="AI724" s="9"/>
      <c r="AJ724" s="11"/>
      <c r="AK724" s="9"/>
      <c r="AL724" s="13"/>
      <c r="AM724" s="9"/>
    </row>
    <row r="725" spans="1:39" x14ac:dyDescent="0.3">
      <c r="A725" s="2" t="str">
        <f t="shared" si="753"/>
        <v>NÃO</v>
      </c>
      <c r="B725" s="2" t="str">
        <f>_xlfn.XLOOKUP($N725,'Base de Grupos'!$A:$A,'Base de Grupos'!$D:$D)</f>
        <v>1000065763</v>
      </c>
      <c r="C725" s="5" t="str">
        <f>_xlfn.XLOOKUP($N725,'Base de Grupos'!$A:$A,'Base de Grupos'!$E:$E)</f>
        <v>CANAL VENDA INTERNA</v>
      </c>
      <c r="D725" s="5" t="str">
        <f>_xlfn.XLOOKUP($N725,'Base de Grupos'!$A:$A,'Base de Grupos'!$F:$F)</f>
        <v>1000065763</v>
      </c>
      <c r="E725" s="2" t="str">
        <f>_xlfn.XLOOKUP($N725,'Base de Grupos'!$A:$A,'Base de Grupos'!$G:$G)</f>
        <v>CANAL VENDA INTERNA</v>
      </c>
      <c r="F725" s="2" t="str">
        <f>_xlfn.XLOOKUP($N725,'Base de Grupos'!$A:$A,'Base de Grupos'!$H:$H)</f>
        <v>1000174119</v>
      </c>
      <c r="G725" s="5" t="str">
        <f>_xlfn.XLOOKUP($N725,'Base de Grupos'!$A:$A,'Base de Grupos'!$I:$I)</f>
        <v>REGIONAL VENDA INTERNA - CONVENIENCIA</v>
      </c>
      <c r="H725" s="5" t="str">
        <f>_xlfn.XLOOKUP($N725,'Base de Grupos'!$A:$A,'Base de Grupos'!$J:$J)</f>
        <v>1000174119</v>
      </c>
      <c r="I725" s="2" t="str">
        <f>_xlfn.XLOOKUP($N725,'Base de Grupos'!$A:$A,'Base de Grupos'!$K:$K)</f>
        <v>REGIONAL VENDA INTERNA - CONVENIENCIA</v>
      </c>
      <c r="J725" s="2" t="str">
        <f>_xlfn.XLOOKUP($N725,'Base de Grupos'!$A:$A,'Base de Grupos'!$L:$L)</f>
        <v>1000174119</v>
      </c>
      <c r="K725" s="5" t="str">
        <f>_xlfn.XLOOKUP($N725,'Base de Grupos'!$A:$A,'Base de Grupos'!$M:$M)</f>
        <v>REGIONAL VENDA INTERNA - CONVENIENCIA</v>
      </c>
      <c r="L725" s="5" t="str">
        <f t="shared" si="754"/>
        <v/>
      </c>
      <c r="M725" s="5" t="str">
        <f>_xlfn.XLOOKUP($N725,'Base de Grupos'!$A:$A,'Base de Grupos'!$C:$C)</f>
        <v>CE</v>
      </c>
      <c r="N725" s="3">
        <v>1504</v>
      </c>
      <c r="O725" s="4" t="s">
        <v>264</v>
      </c>
      <c r="P725" s="5" t="s">
        <v>82</v>
      </c>
      <c r="Q725" s="56">
        <v>0</v>
      </c>
      <c r="R725" s="56">
        <v>0</v>
      </c>
      <c r="S725" s="56">
        <v>0</v>
      </c>
      <c r="T725" s="56">
        <f>_xlfn.XLOOKUP($N725,'Calculo Leads Conveniencia'!$A$77:$A$104,'Calculo Leads Conveniencia'!G$77:G$104)*_xlfn.XLOOKUP($P725,'Base Grupo de Produtos'!$E$23:$E$39,'Base Grupo de Produtos'!$F$23:$F$39)</f>
        <v>0</v>
      </c>
      <c r="U725" s="56">
        <f>_xlfn.XLOOKUP($N725,'Calculo Leads Conveniencia'!$A$77:$A$104,'Calculo Leads Conveniencia'!H$77:H$104)*_xlfn.XLOOKUP($P725,'Base Grupo de Produtos'!$E$23:$E$39,'Base Grupo de Produtos'!$F$23:$F$39)</f>
        <v>0</v>
      </c>
      <c r="V725" s="56">
        <f>_xlfn.XLOOKUP($N725,'Calculo Leads Conveniencia'!$A$77:$A$104,'Calculo Leads Conveniencia'!I$77:I$104)*_xlfn.XLOOKUP($P725,'Base Grupo de Produtos'!$E$23:$E$39,'Base Grupo de Produtos'!$F$23:$F$39)</f>
        <v>0</v>
      </c>
      <c r="W725" s="56">
        <f>_xlfn.XLOOKUP($N725,'Calculo Leads Conveniencia'!$A$77:$A$104,'Calculo Leads Conveniencia'!J$77:J$104)*_xlfn.XLOOKUP($P725,'Base Grupo de Produtos'!$E$23:$E$39,'Base Grupo de Produtos'!$F$23:$F$39)</f>
        <v>0</v>
      </c>
      <c r="X725" s="56">
        <f>_xlfn.XLOOKUP($N725,'Calculo Leads Conveniencia'!$A$77:$A$104,'Calculo Leads Conveniencia'!K$77:K$104)*_xlfn.XLOOKUP($P725,'Base Grupo de Produtos'!$E$23:$E$39,'Base Grupo de Produtos'!$F$23:$F$39)</f>
        <v>0</v>
      </c>
      <c r="Y725" s="56">
        <f>_xlfn.XLOOKUP($N725,'Calculo Leads Conveniencia'!$A$77:$A$104,'Calculo Leads Conveniencia'!L$77:L$104)*_xlfn.XLOOKUP($P725,'Base Grupo de Produtos'!$E$23:$E$39,'Base Grupo de Produtos'!$F$23:$F$39)</f>
        <v>0</v>
      </c>
      <c r="Z725" s="56">
        <f>_xlfn.XLOOKUP($N725,'Calculo Leads Conveniencia'!$A$77:$A$104,'Calculo Leads Conveniencia'!M$77:M$104)*_xlfn.XLOOKUP($P725,'Base Grupo de Produtos'!$E$23:$E$39,'Base Grupo de Produtos'!$F$23:$F$39)</f>
        <v>0</v>
      </c>
      <c r="AA725" s="56">
        <f>_xlfn.XLOOKUP($N725,'Calculo Leads Conveniencia'!$A$77:$A$104,'Calculo Leads Conveniencia'!N$77:N$104)*_xlfn.XLOOKUP($P725,'Base Grupo de Produtos'!$E$23:$E$39,'Base Grupo de Produtos'!$F$23:$F$39)</f>
        <v>0</v>
      </c>
      <c r="AB725" s="56">
        <f>_xlfn.XLOOKUP($N725,'Calculo Leads Conveniencia'!$A$77:$A$104,'Calculo Leads Conveniencia'!O$77:O$104)*_xlfn.XLOOKUP($P725,'Base Grupo de Produtos'!$E$23:$E$39,'Base Grupo de Produtos'!$F$23:$F$39)</f>
        <v>0</v>
      </c>
      <c r="AC725" s="61">
        <f t="shared" si="752"/>
        <v>0</v>
      </c>
      <c r="AD725" s="28"/>
      <c r="AE725" s="12"/>
      <c r="AF725" s="29"/>
      <c r="AG725" s="9"/>
      <c r="AH725" s="10"/>
      <c r="AI725" s="9"/>
      <c r="AJ725" s="11"/>
      <c r="AK725" s="9"/>
      <c r="AL725" s="13"/>
      <c r="AM725" s="9"/>
    </row>
    <row r="726" spans="1:39" x14ac:dyDescent="0.3">
      <c r="A726" s="2" t="str">
        <f t="shared" si="753"/>
        <v>NÃO</v>
      </c>
      <c r="B726" s="2" t="str">
        <f>_xlfn.XLOOKUP($N726,'Base de Grupos'!$A:$A,'Base de Grupos'!$D:$D)</f>
        <v>1000065763</v>
      </c>
      <c r="C726" s="5" t="str">
        <f>_xlfn.XLOOKUP($N726,'Base de Grupos'!$A:$A,'Base de Grupos'!$E:$E)</f>
        <v>CANAL VENDA INTERNA</v>
      </c>
      <c r="D726" s="5" t="str">
        <f>_xlfn.XLOOKUP($N726,'Base de Grupos'!$A:$A,'Base de Grupos'!$F:$F)</f>
        <v>1000065763</v>
      </c>
      <c r="E726" s="2" t="str">
        <f>_xlfn.XLOOKUP($N726,'Base de Grupos'!$A:$A,'Base de Grupos'!$G:$G)</f>
        <v>CANAL VENDA INTERNA</v>
      </c>
      <c r="F726" s="2" t="str">
        <f>_xlfn.XLOOKUP($N726,'Base de Grupos'!$A:$A,'Base de Grupos'!$H:$H)</f>
        <v>1000174119</v>
      </c>
      <c r="G726" s="5" t="str">
        <f>_xlfn.XLOOKUP($N726,'Base de Grupos'!$A:$A,'Base de Grupos'!$I:$I)</f>
        <v>REGIONAL VENDA INTERNA - CONVENIENCIA</v>
      </c>
      <c r="H726" s="5" t="str">
        <f>_xlfn.XLOOKUP($N726,'Base de Grupos'!$A:$A,'Base de Grupos'!$J:$J)</f>
        <v>1000174119</v>
      </c>
      <c r="I726" s="2" t="str">
        <f>_xlfn.XLOOKUP($N726,'Base de Grupos'!$A:$A,'Base de Grupos'!$K:$K)</f>
        <v>REGIONAL VENDA INTERNA - CONVENIENCIA</v>
      </c>
      <c r="J726" s="2" t="str">
        <f>_xlfn.XLOOKUP($N726,'Base de Grupos'!$A:$A,'Base de Grupos'!$L:$L)</f>
        <v>1000174119</v>
      </c>
      <c r="K726" s="5" t="str">
        <f>_xlfn.XLOOKUP($N726,'Base de Grupos'!$A:$A,'Base de Grupos'!$M:$M)</f>
        <v>REGIONAL VENDA INTERNA - CONVENIENCIA</v>
      </c>
      <c r="L726" s="5" t="str">
        <f t="shared" si="754"/>
        <v/>
      </c>
      <c r="M726" s="5" t="str">
        <f>_xlfn.XLOOKUP($N726,'Base de Grupos'!$A:$A,'Base de Grupos'!$C:$C)</f>
        <v>CE</v>
      </c>
      <c r="N726" s="3">
        <v>1504</v>
      </c>
      <c r="O726" s="4" t="s">
        <v>264</v>
      </c>
      <c r="P726" s="5" t="s">
        <v>84</v>
      </c>
      <c r="Q726" s="56">
        <v>0</v>
      </c>
      <c r="R726" s="56">
        <v>0</v>
      </c>
      <c r="S726" s="56">
        <v>0</v>
      </c>
      <c r="T726" s="56">
        <f>_xlfn.XLOOKUP($N726,'Calculo Leads Conveniencia'!$A$77:$A$104,'Calculo Leads Conveniencia'!G$77:G$104)*_xlfn.XLOOKUP($P726,'Base Grupo de Produtos'!$E$23:$E$39,'Base Grupo de Produtos'!$F$23:$F$39)</f>
        <v>0</v>
      </c>
      <c r="U726" s="56">
        <f>_xlfn.XLOOKUP($N726,'Calculo Leads Conveniencia'!$A$77:$A$104,'Calculo Leads Conveniencia'!H$77:H$104)*_xlfn.XLOOKUP($P726,'Base Grupo de Produtos'!$E$23:$E$39,'Base Grupo de Produtos'!$F$23:$F$39)</f>
        <v>0</v>
      </c>
      <c r="V726" s="56">
        <f>_xlfn.XLOOKUP($N726,'Calculo Leads Conveniencia'!$A$77:$A$104,'Calculo Leads Conveniencia'!I$77:I$104)*_xlfn.XLOOKUP($P726,'Base Grupo de Produtos'!$E$23:$E$39,'Base Grupo de Produtos'!$F$23:$F$39)</f>
        <v>0</v>
      </c>
      <c r="W726" s="56">
        <f>_xlfn.XLOOKUP($N726,'Calculo Leads Conveniencia'!$A$77:$A$104,'Calculo Leads Conveniencia'!J$77:J$104)*_xlfn.XLOOKUP($P726,'Base Grupo de Produtos'!$E$23:$E$39,'Base Grupo de Produtos'!$F$23:$F$39)</f>
        <v>0</v>
      </c>
      <c r="X726" s="56">
        <f>_xlfn.XLOOKUP($N726,'Calculo Leads Conveniencia'!$A$77:$A$104,'Calculo Leads Conveniencia'!K$77:K$104)*_xlfn.XLOOKUP($P726,'Base Grupo de Produtos'!$E$23:$E$39,'Base Grupo de Produtos'!$F$23:$F$39)</f>
        <v>0</v>
      </c>
      <c r="Y726" s="56">
        <f>_xlfn.XLOOKUP($N726,'Calculo Leads Conveniencia'!$A$77:$A$104,'Calculo Leads Conveniencia'!L$77:L$104)*_xlfn.XLOOKUP($P726,'Base Grupo de Produtos'!$E$23:$E$39,'Base Grupo de Produtos'!$F$23:$F$39)</f>
        <v>0</v>
      </c>
      <c r="Z726" s="56">
        <f>_xlfn.XLOOKUP($N726,'Calculo Leads Conveniencia'!$A$77:$A$104,'Calculo Leads Conveniencia'!M$77:M$104)*_xlfn.XLOOKUP($P726,'Base Grupo de Produtos'!$E$23:$E$39,'Base Grupo de Produtos'!$F$23:$F$39)</f>
        <v>0</v>
      </c>
      <c r="AA726" s="56">
        <f>_xlfn.XLOOKUP($N726,'Calculo Leads Conveniencia'!$A$77:$A$104,'Calculo Leads Conveniencia'!N$77:N$104)*_xlfn.XLOOKUP($P726,'Base Grupo de Produtos'!$E$23:$E$39,'Base Grupo de Produtos'!$F$23:$F$39)</f>
        <v>0</v>
      </c>
      <c r="AB726" s="56">
        <f>_xlfn.XLOOKUP($N726,'Calculo Leads Conveniencia'!$A$77:$A$104,'Calculo Leads Conveniencia'!O$77:O$104)*_xlfn.XLOOKUP($P726,'Base Grupo de Produtos'!$E$23:$E$39,'Base Grupo de Produtos'!$F$23:$F$39)</f>
        <v>0</v>
      </c>
      <c r="AC726" s="61">
        <f t="shared" si="752"/>
        <v>0</v>
      </c>
      <c r="AD726" s="28"/>
      <c r="AE726" s="12"/>
      <c r="AF726" s="29"/>
      <c r="AG726" s="9"/>
      <c r="AH726" s="10"/>
      <c r="AI726" s="9"/>
      <c r="AJ726" s="11"/>
      <c r="AK726" s="9"/>
      <c r="AL726" s="13"/>
      <c r="AM726" s="9"/>
    </row>
    <row r="727" spans="1:39" x14ac:dyDescent="0.3">
      <c r="A727" s="2" t="str">
        <f t="shared" si="753"/>
        <v>NÃO</v>
      </c>
      <c r="B727" s="2" t="str">
        <f>_xlfn.XLOOKUP($N727,'Base de Grupos'!$A:$A,'Base de Grupos'!$D:$D)</f>
        <v>1000065763</v>
      </c>
      <c r="C727" s="5" t="str">
        <f>_xlfn.XLOOKUP($N727,'Base de Grupos'!$A:$A,'Base de Grupos'!$E:$E)</f>
        <v>CANAL VENDA INTERNA</v>
      </c>
      <c r="D727" s="5" t="str">
        <f>_xlfn.XLOOKUP($N727,'Base de Grupos'!$A:$A,'Base de Grupos'!$F:$F)</f>
        <v>1000065763</v>
      </c>
      <c r="E727" s="2" t="str">
        <f>_xlfn.XLOOKUP($N727,'Base de Grupos'!$A:$A,'Base de Grupos'!$G:$G)</f>
        <v>CANAL VENDA INTERNA</v>
      </c>
      <c r="F727" s="2" t="str">
        <f>_xlfn.XLOOKUP($N727,'Base de Grupos'!$A:$A,'Base de Grupos'!$H:$H)</f>
        <v>1000174119</v>
      </c>
      <c r="G727" s="5" t="str">
        <f>_xlfn.XLOOKUP($N727,'Base de Grupos'!$A:$A,'Base de Grupos'!$I:$I)</f>
        <v>REGIONAL VENDA INTERNA - CONVENIENCIA</v>
      </c>
      <c r="H727" s="5" t="str">
        <f>_xlfn.XLOOKUP($N727,'Base de Grupos'!$A:$A,'Base de Grupos'!$J:$J)</f>
        <v>1000174119</v>
      </c>
      <c r="I727" s="2" t="str">
        <f>_xlfn.XLOOKUP($N727,'Base de Grupos'!$A:$A,'Base de Grupos'!$K:$K)</f>
        <v>REGIONAL VENDA INTERNA - CONVENIENCIA</v>
      </c>
      <c r="J727" s="2" t="str">
        <f>_xlfn.XLOOKUP($N727,'Base de Grupos'!$A:$A,'Base de Grupos'!$L:$L)</f>
        <v>1000174119</v>
      </c>
      <c r="K727" s="5" t="str">
        <f>_xlfn.XLOOKUP($N727,'Base de Grupos'!$A:$A,'Base de Grupos'!$M:$M)</f>
        <v>REGIONAL VENDA INTERNA - CONVENIENCIA</v>
      </c>
      <c r="L727" s="5" t="str">
        <f t="shared" si="754"/>
        <v/>
      </c>
      <c r="M727" s="5" t="str">
        <f>_xlfn.XLOOKUP($N727,'Base de Grupos'!$A:$A,'Base de Grupos'!$C:$C)</f>
        <v>CE</v>
      </c>
      <c r="N727" s="3">
        <v>1504</v>
      </c>
      <c r="O727" s="4" t="s">
        <v>264</v>
      </c>
      <c r="P727" s="5" t="s">
        <v>83</v>
      </c>
      <c r="Q727" s="56">
        <v>0</v>
      </c>
      <c r="R727" s="56">
        <v>0</v>
      </c>
      <c r="S727" s="56">
        <v>0</v>
      </c>
      <c r="T727" s="56">
        <f>_xlfn.XLOOKUP($N727,'Calculo Leads Conveniencia'!$A$77:$A$104,'Calculo Leads Conveniencia'!G$77:G$104)*_xlfn.XLOOKUP($P727,'Base Grupo de Produtos'!$E$23:$E$39,'Base Grupo de Produtos'!$F$23:$F$39)</f>
        <v>0</v>
      </c>
      <c r="U727" s="56">
        <f>_xlfn.XLOOKUP($N727,'Calculo Leads Conveniencia'!$A$77:$A$104,'Calculo Leads Conveniencia'!H$77:H$104)*_xlfn.XLOOKUP($P727,'Base Grupo de Produtos'!$E$23:$E$39,'Base Grupo de Produtos'!$F$23:$F$39)</f>
        <v>0</v>
      </c>
      <c r="V727" s="56">
        <f>_xlfn.XLOOKUP($N727,'Calculo Leads Conveniencia'!$A$77:$A$104,'Calculo Leads Conveniencia'!I$77:I$104)*_xlfn.XLOOKUP($P727,'Base Grupo de Produtos'!$E$23:$E$39,'Base Grupo de Produtos'!$F$23:$F$39)</f>
        <v>0</v>
      </c>
      <c r="W727" s="56">
        <f>_xlfn.XLOOKUP($N727,'Calculo Leads Conveniencia'!$A$77:$A$104,'Calculo Leads Conveniencia'!J$77:J$104)*_xlfn.XLOOKUP($P727,'Base Grupo de Produtos'!$E$23:$E$39,'Base Grupo de Produtos'!$F$23:$F$39)</f>
        <v>0</v>
      </c>
      <c r="X727" s="56">
        <f>_xlfn.XLOOKUP($N727,'Calculo Leads Conveniencia'!$A$77:$A$104,'Calculo Leads Conveniencia'!K$77:K$104)*_xlfn.XLOOKUP($P727,'Base Grupo de Produtos'!$E$23:$E$39,'Base Grupo de Produtos'!$F$23:$F$39)</f>
        <v>0</v>
      </c>
      <c r="Y727" s="56">
        <f>_xlfn.XLOOKUP($N727,'Calculo Leads Conveniencia'!$A$77:$A$104,'Calculo Leads Conveniencia'!L$77:L$104)*_xlfn.XLOOKUP($P727,'Base Grupo de Produtos'!$E$23:$E$39,'Base Grupo de Produtos'!$F$23:$F$39)</f>
        <v>0</v>
      </c>
      <c r="Z727" s="56">
        <f>_xlfn.XLOOKUP($N727,'Calculo Leads Conveniencia'!$A$77:$A$104,'Calculo Leads Conveniencia'!M$77:M$104)*_xlfn.XLOOKUP($P727,'Base Grupo de Produtos'!$E$23:$E$39,'Base Grupo de Produtos'!$F$23:$F$39)</f>
        <v>0</v>
      </c>
      <c r="AA727" s="56">
        <f>_xlfn.XLOOKUP($N727,'Calculo Leads Conveniencia'!$A$77:$A$104,'Calculo Leads Conveniencia'!N$77:N$104)*_xlfn.XLOOKUP($P727,'Base Grupo de Produtos'!$E$23:$E$39,'Base Grupo de Produtos'!$F$23:$F$39)</f>
        <v>0</v>
      </c>
      <c r="AB727" s="56">
        <f>_xlfn.XLOOKUP($N727,'Calculo Leads Conveniencia'!$A$77:$A$104,'Calculo Leads Conveniencia'!O$77:O$104)*_xlfn.XLOOKUP($P727,'Base Grupo de Produtos'!$E$23:$E$39,'Base Grupo de Produtos'!$F$23:$F$39)</f>
        <v>0</v>
      </c>
      <c r="AC727" s="61">
        <f t="shared" si="752"/>
        <v>0</v>
      </c>
      <c r="AD727" s="28"/>
      <c r="AE727" s="12"/>
      <c r="AF727" s="29"/>
      <c r="AG727" s="9"/>
      <c r="AH727" s="10"/>
      <c r="AI727" s="9"/>
      <c r="AJ727" s="11"/>
      <c r="AK727" s="9"/>
      <c r="AL727" s="13"/>
      <c r="AM727" s="9"/>
    </row>
    <row r="728" spans="1:39" x14ac:dyDescent="0.3">
      <c r="A728" s="2" t="str">
        <f t="shared" si="753"/>
        <v>NÃO</v>
      </c>
      <c r="B728" s="2" t="str">
        <f>_xlfn.XLOOKUP($N728,'Base de Grupos'!$A:$A,'Base de Grupos'!$D:$D)</f>
        <v>1000065763</v>
      </c>
      <c r="C728" s="5" t="str">
        <f>_xlfn.XLOOKUP($N728,'Base de Grupos'!$A:$A,'Base de Grupos'!$E:$E)</f>
        <v>CANAL VENDA INTERNA</v>
      </c>
      <c r="D728" s="5" t="str">
        <f>_xlfn.XLOOKUP($N728,'Base de Grupos'!$A:$A,'Base de Grupos'!$F:$F)</f>
        <v>1000065763</v>
      </c>
      <c r="E728" s="2" t="str">
        <f>_xlfn.XLOOKUP($N728,'Base de Grupos'!$A:$A,'Base de Grupos'!$G:$G)</f>
        <v>CANAL VENDA INTERNA</v>
      </c>
      <c r="F728" s="2" t="str">
        <f>_xlfn.XLOOKUP($N728,'Base de Grupos'!$A:$A,'Base de Grupos'!$H:$H)</f>
        <v>1000174119</v>
      </c>
      <c r="G728" s="5" t="str">
        <f>_xlfn.XLOOKUP($N728,'Base de Grupos'!$A:$A,'Base de Grupos'!$I:$I)</f>
        <v>REGIONAL VENDA INTERNA - CONVENIENCIA</v>
      </c>
      <c r="H728" s="5" t="str">
        <f>_xlfn.XLOOKUP($N728,'Base de Grupos'!$A:$A,'Base de Grupos'!$J:$J)</f>
        <v>1000174119</v>
      </c>
      <c r="I728" s="2" t="str">
        <f>_xlfn.XLOOKUP($N728,'Base de Grupos'!$A:$A,'Base de Grupos'!$K:$K)</f>
        <v>REGIONAL VENDA INTERNA - CONVENIENCIA</v>
      </c>
      <c r="J728" s="2" t="str">
        <f>_xlfn.XLOOKUP($N728,'Base de Grupos'!$A:$A,'Base de Grupos'!$L:$L)</f>
        <v>1000174119</v>
      </c>
      <c r="K728" s="5" t="str">
        <f>_xlfn.XLOOKUP($N728,'Base de Grupos'!$A:$A,'Base de Grupos'!$M:$M)</f>
        <v>REGIONAL VENDA INTERNA - CONVENIENCIA</v>
      </c>
      <c r="L728" s="5" t="str">
        <f t="shared" si="754"/>
        <v/>
      </c>
      <c r="M728" s="5" t="str">
        <f>_xlfn.XLOOKUP($N728,'Base de Grupos'!$A:$A,'Base de Grupos'!$C:$C)</f>
        <v>CE</v>
      </c>
      <c r="N728" s="3">
        <v>1504</v>
      </c>
      <c r="O728" s="4" t="s">
        <v>264</v>
      </c>
      <c r="P728" s="5" t="s">
        <v>87</v>
      </c>
      <c r="Q728" s="56">
        <v>0</v>
      </c>
      <c r="R728" s="56">
        <v>0</v>
      </c>
      <c r="S728" s="56">
        <v>0</v>
      </c>
      <c r="T728" s="56">
        <f>_xlfn.XLOOKUP($N728,'Calculo Leads Conveniencia'!$A$77:$A$104,'Calculo Leads Conveniencia'!G$77:G$104)*_xlfn.XLOOKUP($P728,'Base Grupo de Produtos'!$E$23:$E$39,'Base Grupo de Produtos'!$F$23:$F$39)</f>
        <v>0</v>
      </c>
      <c r="U728" s="56">
        <f>_xlfn.XLOOKUP($N728,'Calculo Leads Conveniencia'!$A$77:$A$104,'Calculo Leads Conveniencia'!H$77:H$104)*_xlfn.XLOOKUP($P728,'Base Grupo de Produtos'!$E$23:$E$39,'Base Grupo de Produtos'!$F$23:$F$39)</f>
        <v>0</v>
      </c>
      <c r="V728" s="56">
        <f>_xlfn.XLOOKUP($N728,'Calculo Leads Conveniencia'!$A$77:$A$104,'Calculo Leads Conveniencia'!I$77:I$104)*_xlfn.XLOOKUP($P728,'Base Grupo de Produtos'!$E$23:$E$39,'Base Grupo de Produtos'!$F$23:$F$39)</f>
        <v>0</v>
      </c>
      <c r="W728" s="56">
        <f>_xlfn.XLOOKUP($N728,'Calculo Leads Conveniencia'!$A$77:$A$104,'Calculo Leads Conveniencia'!J$77:J$104)*_xlfn.XLOOKUP($P728,'Base Grupo de Produtos'!$E$23:$E$39,'Base Grupo de Produtos'!$F$23:$F$39)</f>
        <v>0</v>
      </c>
      <c r="X728" s="56">
        <f>_xlfn.XLOOKUP($N728,'Calculo Leads Conveniencia'!$A$77:$A$104,'Calculo Leads Conveniencia'!K$77:K$104)*_xlfn.XLOOKUP($P728,'Base Grupo de Produtos'!$E$23:$E$39,'Base Grupo de Produtos'!$F$23:$F$39)</f>
        <v>0</v>
      </c>
      <c r="Y728" s="56">
        <f>_xlfn.XLOOKUP($N728,'Calculo Leads Conveniencia'!$A$77:$A$104,'Calculo Leads Conveniencia'!L$77:L$104)*_xlfn.XLOOKUP($P728,'Base Grupo de Produtos'!$E$23:$E$39,'Base Grupo de Produtos'!$F$23:$F$39)</f>
        <v>0</v>
      </c>
      <c r="Z728" s="56">
        <f>_xlfn.XLOOKUP($N728,'Calculo Leads Conveniencia'!$A$77:$A$104,'Calculo Leads Conveniencia'!M$77:M$104)*_xlfn.XLOOKUP($P728,'Base Grupo de Produtos'!$E$23:$E$39,'Base Grupo de Produtos'!$F$23:$F$39)</f>
        <v>0</v>
      </c>
      <c r="AA728" s="56">
        <f>_xlfn.XLOOKUP($N728,'Calculo Leads Conveniencia'!$A$77:$A$104,'Calculo Leads Conveniencia'!N$77:N$104)*_xlfn.XLOOKUP($P728,'Base Grupo de Produtos'!$E$23:$E$39,'Base Grupo de Produtos'!$F$23:$F$39)</f>
        <v>0</v>
      </c>
      <c r="AB728" s="56">
        <f>_xlfn.XLOOKUP($N728,'Calculo Leads Conveniencia'!$A$77:$A$104,'Calculo Leads Conveniencia'!O$77:O$104)*_xlfn.XLOOKUP($P728,'Base Grupo de Produtos'!$E$23:$E$39,'Base Grupo de Produtos'!$F$23:$F$39)</f>
        <v>0</v>
      </c>
      <c r="AC728" s="61">
        <f t="shared" si="752"/>
        <v>0</v>
      </c>
      <c r="AD728" s="28"/>
      <c r="AE728" s="12"/>
      <c r="AF728" s="29"/>
      <c r="AG728" s="9"/>
      <c r="AH728" s="10"/>
      <c r="AI728" s="9"/>
      <c r="AJ728" s="11"/>
      <c r="AK728" s="9"/>
      <c r="AL728" s="13"/>
      <c r="AM728" s="9"/>
    </row>
    <row r="729" spans="1:39" x14ac:dyDescent="0.3">
      <c r="A729" s="2" t="str">
        <f t="shared" si="753"/>
        <v>NÃO</v>
      </c>
      <c r="B729" s="2" t="str">
        <f>_xlfn.XLOOKUP($N729,'Base de Grupos'!$A:$A,'Base de Grupos'!$D:$D)</f>
        <v>1000065763</v>
      </c>
      <c r="C729" s="5" t="str">
        <f>_xlfn.XLOOKUP($N729,'Base de Grupos'!$A:$A,'Base de Grupos'!$E:$E)</f>
        <v>CANAL VENDA INTERNA</v>
      </c>
      <c r="D729" s="5" t="str">
        <f>_xlfn.XLOOKUP($N729,'Base de Grupos'!$A:$A,'Base de Grupos'!$F:$F)</f>
        <v>1000065763</v>
      </c>
      <c r="E729" s="2" t="str">
        <f>_xlfn.XLOOKUP($N729,'Base de Grupos'!$A:$A,'Base de Grupos'!$G:$G)</f>
        <v>CANAL VENDA INTERNA</v>
      </c>
      <c r="F729" s="2" t="str">
        <f>_xlfn.XLOOKUP($N729,'Base de Grupos'!$A:$A,'Base de Grupos'!$H:$H)</f>
        <v>1000174119</v>
      </c>
      <c r="G729" s="5" t="str">
        <f>_xlfn.XLOOKUP($N729,'Base de Grupos'!$A:$A,'Base de Grupos'!$I:$I)</f>
        <v>REGIONAL VENDA INTERNA - CONVENIENCIA</v>
      </c>
      <c r="H729" s="5" t="str">
        <f>_xlfn.XLOOKUP($N729,'Base de Grupos'!$A:$A,'Base de Grupos'!$J:$J)</f>
        <v>1000174119</v>
      </c>
      <c r="I729" s="2" t="str">
        <f>_xlfn.XLOOKUP($N729,'Base de Grupos'!$A:$A,'Base de Grupos'!$K:$K)</f>
        <v>REGIONAL VENDA INTERNA - CONVENIENCIA</v>
      </c>
      <c r="J729" s="2" t="str">
        <f>_xlfn.XLOOKUP($N729,'Base de Grupos'!$A:$A,'Base de Grupos'!$L:$L)</f>
        <v>1000174119</v>
      </c>
      <c r="K729" s="5" t="str">
        <f>_xlfn.XLOOKUP($N729,'Base de Grupos'!$A:$A,'Base de Grupos'!$M:$M)</f>
        <v>REGIONAL VENDA INTERNA - CONVENIENCIA</v>
      </c>
      <c r="L729" s="5" t="str">
        <f t="shared" si="754"/>
        <v/>
      </c>
      <c r="M729" s="5" t="str">
        <f>_xlfn.XLOOKUP($N729,'Base de Grupos'!$A:$A,'Base de Grupos'!$C:$C)</f>
        <v>CE</v>
      </c>
      <c r="N729" s="3">
        <v>1504</v>
      </c>
      <c r="O729" s="4" t="s">
        <v>264</v>
      </c>
      <c r="P729" s="5" t="s">
        <v>85</v>
      </c>
      <c r="Q729" s="56">
        <v>0</v>
      </c>
      <c r="R729" s="56">
        <v>0</v>
      </c>
      <c r="S729" s="56">
        <v>0</v>
      </c>
      <c r="T729" s="56">
        <f>_xlfn.XLOOKUP($N729,'Calculo Leads Conveniencia'!$A$77:$A$104,'Calculo Leads Conveniencia'!G$77:G$104)*_xlfn.XLOOKUP($P729,'Base Grupo de Produtos'!$E$23:$E$39,'Base Grupo de Produtos'!$F$23:$F$39)</f>
        <v>0</v>
      </c>
      <c r="U729" s="56">
        <f>_xlfn.XLOOKUP($N729,'Calculo Leads Conveniencia'!$A$77:$A$104,'Calculo Leads Conveniencia'!H$77:H$104)*_xlfn.XLOOKUP($P729,'Base Grupo de Produtos'!$E$23:$E$39,'Base Grupo de Produtos'!$F$23:$F$39)</f>
        <v>0</v>
      </c>
      <c r="V729" s="56">
        <f>_xlfn.XLOOKUP($N729,'Calculo Leads Conveniencia'!$A$77:$A$104,'Calculo Leads Conveniencia'!I$77:I$104)*_xlfn.XLOOKUP($P729,'Base Grupo de Produtos'!$E$23:$E$39,'Base Grupo de Produtos'!$F$23:$F$39)</f>
        <v>0</v>
      </c>
      <c r="W729" s="56">
        <f>_xlfn.XLOOKUP($N729,'Calculo Leads Conveniencia'!$A$77:$A$104,'Calculo Leads Conveniencia'!J$77:J$104)*_xlfn.XLOOKUP($P729,'Base Grupo de Produtos'!$E$23:$E$39,'Base Grupo de Produtos'!$F$23:$F$39)</f>
        <v>0</v>
      </c>
      <c r="X729" s="56">
        <f>_xlfn.XLOOKUP($N729,'Calculo Leads Conveniencia'!$A$77:$A$104,'Calculo Leads Conveniencia'!K$77:K$104)*_xlfn.XLOOKUP($P729,'Base Grupo de Produtos'!$E$23:$E$39,'Base Grupo de Produtos'!$F$23:$F$39)</f>
        <v>0</v>
      </c>
      <c r="Y729" s="56">
        <f>_xlfn.XLOOKUP($N729,'Calculo Leads Conveniencia'!$A$77:$A$104,'Calculo Leads Conveniencia'!L$77:L$104)*_xlfn.XLOOKUP($P729,'Base Grupo de Produtos'!$E$23:$E$39,'Base Grupo de Produtos'!$F$23:$F$39)</f>
        <v>0</v>
      </c>
      <c r="Z729" s="56">
        <f>_xlfn.XLOOKUP($N729,'Calculo Leads Conveniencia'!$A$77:$A$104,'Calculo Leads Conveniencia'!M$77:M$104)*_xlfn.XLOOKUP($P729,'Base Grupo de Produtos'!$E$23:$E$39,'Base Grupo de Produtos'!$F$23:$F$39)</f>
        <v>0</v>
      </c>
      <c r="AA729" s="56">
        <f>_xlfn.XLOOKUP($N729,'Calculo Leads Conveniencia'!$A$77:$A$104,'Calculo Leads Conveniencia'!N$77:N$104)*_xlfn.XLOOKUP($P729,'Base Grupo de Produtos'!$E$23:$E$39,'Base Grupo de Produtos'!$F$23:$F$39)</f>
        <v>0</v>
      </c>
      <c r="AB729" s="56">
        <f>_xlfn.XLOOKUP($N729,'Calculo Leads Conveniencia'!$A$77:$A$104,'Calculo Leads Conveniencia'!O$77:O$104)*_xlfn.XLOOKUP($P729,'Base Grupo de Produtos'!$E$23:$E$39,'Base Grupo de Produtos'!$F$23:$F$39)</f>
        <v>0</v>
      </c>
      <c r="AC729" s="61">
        <f t="shared" si="752"/>
        <v>0</v>
      </c>
      <c r="AD729" s="28"/>
      <c r="AE729" s="12"/>
      <c r="AF729" s="29"/>
      <c r="AG729" s="9"/>
      <c r="AH729" s="10"/>
      <c r="AI729" s="9"/>
      <c r="AJ729" s="11"/>
      <c r="AK729" s="9"/>
      <c r="AL729" s="13"/>
      <c r="AM729" s="9"/>
    </row>
    <row r="730" spans="1:39" x14ac:dyDescent="0.3">
      <c r="A730" s="2" t="str">
        <f t="shared" si="753"/>
        <v>NÃO</v>
      </c>
      <c r="B730" s="2" t="str">
        <f>_xlfn.XLOOKUP($N730,'Base de Grupos'!$A:$A,'Base de Grupos'!$D:$D)</f>
        <v>1000065763</v>
      </c>
      <c r="C730" s="5" t="str">
        <f>_xlfn.XLOOKUP($N730,'Base de Grupos'!$A:$A,'Base de Grupos'!$E:$E)</f>
        <v>CANAL VENDA INTERNA</v>
      </c>
      <c r="D730" s="5" t="str">
        <f>_xlfn.XLOOKUP($N730,'Base de Grupos'!$A:$A,'Base de Grupos'!$F:$F)</f>
        <v>1000065763</v>
      </c>
      <c r="E730" s="2" t="str">
        <f>_xlfn.XLOOKUP($N730,'Base de Grupos'!$A:$A,'Base de Grupos'!$G:$G)</f>
        <v>CANAL VENDA INTERNA</v>
      </c>
      <c r="F730" s="2" t="str">
        <f>_xlfn.XLOOKUP($N730,'Base de Grupos'!$A:$A,'Base de Grupos'!$H:$H)</f>
        <v>1000174119</v>
      </c>
      <c r="G730" s="5" t="str">
        <f>_xlfn.XLOOKUP($N730,'Base de Grupos'!$A:$A,'Base de Grupos'!$I:$I)</f>
        <v>REGIONAL VENDA INTERNA - CONVENIENCIA</v>
      </c>
      <c r="H730" s="5" t="str">
        <f>_xlfn.XLOOKUP($N730,'Base de Grupos'!$A:$A,'Base de Grupos'!$J:$J)</f>
        <v>1000174119</v>
      </c>
      <c r="I730" s="2" t="str">
        <f>_xlfn.XLOOKUP($N730,'Base de Grupos'!$A:$A,'Base de Grupos'!$K:$K)</f>
        <v>REGIONAL VENDA INTERNA - CONVENIENCIA</v>
      </c>
      <c r="J730" s="2" t="str">
        <f>_xlfn.XLOOKUP($N730,'Base de Grupos'!$A:$A,'Base de Grupos'!$L:$L)</f>
        <v>1000174119</v>
      </c>
      <c r="K730" s="5" t="str">
        <f>_xlfn.XLOOKUP($N730,'Base de Grupos'!$A:$A,'Base de Grupos'!$M:$M)</f>
        <v>REGIONAL VENDA INTERNA - CONVENIENCIA</v>
      </c>
      <c r="L730" s="5" t="str">
        <f t="shared" si="754"/>
        <v/>
      </c>
      <c r="M730" s="5" t="str">
        <f>_xlfn.XLOOKUP($N730,'Base de Grupos'!$A:$A,'Base de Grupos'!$C:$C)</f>
        <v>CE</v>
      </c>
      <c r="N730" s="3">
        <v>1504</v>
      </c>
      <c r="O730" s="4" t="s">
        <v>264</v>
      </c>
      <c r="P730" s="5" t="s">
        <v>92</v>
      </c>
      <c r="Q730" s="56">
        <v>0</v>
      </c>
      <c r="R730" s="56">
        <v>0</v>
      </c>
      <c r="S730" s="56">
        <v>0</v>
      </c>
      <c r="T730" s="56">
        <f>_xlfn.XLOOKUP($N730,'Calculo Leads Conveniencia'!$A$77:$A$104,'Calculo Leads Conveniencia'!G$77:G$104)*_xlfn.XLOOKUP($P730,'Base Grupo de Produtos'!$E$23:$E$39,'Base Grupo de Produtos'!$F$23:$F$39)</f>
        <v>0</v>
      </c>
      <c r="U730" s="56">
        <f>_xlfn.XLOOKUP($N730,'Calculo Leads Conveniencia'!$A$77:$A$104,'Calculo Leads Conveniencia'!H$77:H$104)*_xlfn.XLOOKUP($P730,'Base Grupo de Produtos'!$E$23:$E$39,'Base Grupo de Produtos'!$F$23:$F$39)</f>
        <v>0</v>
      </c>
      <c r="V730" s="56">
        <f>_xlfn.XLOOKUP($N730,'Calculo Leads Conveniencia'!$A$77:$A$104,'Calculo Leads Conveniencia'!I$77:I$104)*_xlfn.XLOOKUP($P730,'Base Grupo de Produtos'!$E$23:$E$39,'Base Grupo de Produtos'!$F$23:$F$39)</f>
        <v>0</v>
      </c>
      <c r="W730" s="56">
        <f>_xlfn.XLOOKUP($N730,'Calculo Leads Conveniencia'!$A$77:$A$104,'Calculo Leads Conveniencia'!J$77:J$104)*_xlfn.XLOOKUP($P730,'Base Grupo de Produtos'!$E$23:$E$39,'Base Grupo de Produtos'!$F$23:$F$39)</f>
        <v>0</v>
      </c>
      <c r="X730" s="56">
        <f>_xlfn.XLOOKUP($N730,'Calculo Leads Conveniencia'!$A$77:$A$104,'Calculo Leads Conveniencia'!K$77:K$104)*_xlfn.XLOOKUP($P730,'Base Grupo de Produtos'!$E$23:$E$39,'Base Grupo de Produtos'!$F$23:$F$39)</f>
        <v>0</v>
      </c>
      <c r="Y730" s="56">
        <f>_xlfn.XLOOKUP($N730,'Calculo Leads Conveniencia'!$A$77:$A$104,'Calculo Leads Conveniencia'!L$77:L$104)*_xlfn.XLOOKUP($P730,'Base Grupo de Produtos'!$E$23:$E$39,'Base Grupo de Produtos'!$F$23:$F$39)</f>
        <v>0</v>
      </c>
      <c r="Z730" s="56">
        <f>_xlfn.XLOOKUP($N730,'Calculo Leads Conveniencia'!$A$77:$A$104,'Calculo Leads Conveniencia'!M$77:M$104)*_xlfn.XLOOKUP($P730,'Base Grupo de Produtos'!$E$23:$E$39,'Base Grupo de Produtos'!$F$23:$F$39)</f>
        <v>0</v>
      </c>
      <c r="AA730" s="56">
        <f>_xlfn.XLOOKUP($N730,'Calculo Leads Conveniencia'!$A$77:$A$104,'Calculo Leads Conveniencia'!N$77:N$104)*_xlfn.XLOOKUP($P730,'Base Grupo de Produtos'!$E$23:$E$39,'Base Grupo de Produtos'!$F$23:$F$39)</f>
        <v>0</v>
      </c>
      <c r="AB730" s="56">
        <f>_xlfn.XLOOKUP($N730,'Calculo Leads Conveniencia'!$A$77:$A$104,'Calculo Leads Conveniencia'!O$77:O$104)*_xlfn.XLOOKUP($P730,'Base Grupo de Produtos'!$E$23:$E$39,'Base Grupo de Produtos'!$F$23:$F$39)</f>
        <v>0</v>
      </c>
      <c r="AC730" s="61">
        <f t="shared" si="752"/>
        <v>0</v>
      </c>
      <c r="AD730" s="28"/>
      <c r="AE730" s="12"/>
      <c r="AF730" s="29"/>
      <c r="AG730" s="9"/>
      <c r="AH730" s="10"/>
      <c r="AI730" s="9"/>
      <c r="AJ730" s="11"/>
      <c r="AK730" s="9"/>
      <c r="AL730" s="13"/>
      <c r="AM730" s="9"/>
    </row>
    <row r="731" spans="1:39" x14ac:dyDescent="0.3">
      <c r="A731" s="2" t="str">
        <f t="shared" si="753"/>
        <v>NÃO</v>
      </c>
      <c r="B731" s="2" t="str">
        <f>_xlfn.XLOOKUP($N731,'Base de Grupos'!$A:$A,'Base de Grupos'!$D:$D)</f>
        <v>1000065763</v>
      </c>
      <c r="C731" s="5" t="str">
        <f>_xlfn.XLOOKUP($N731,'Base de Grupos'!$A:$A,'Base de Grupos'!$E:$E)</f>
        <v>CANAL VENDA INTERNA</v>
      </c>
      <c r="D731" s="5" t="str">
        <f>_xlfn.XLOOKUP($N731,'Base de Grupos'!$A:$A,'Base de Grupos'!$F:$F)</f>
        <v>1000065763</v>
      </c>
      <c r="E731" s="2" t="str">
        <f>_xlfn.XLOOKUP($N731,'Base de Grupos'!$A:$A,'Base de Grupos'!$G:$G)</f>
        <v>CANAL VENDA INTERNA</v>
      </c>
      <c r="F731" s="2" t="str">
        <f>_xlfn.XLOOKUP($N731,'Base de Grupos'!$A:$A,'Base de Grupos'!$H:$H)</f>
        <v>1000174119</v>
      </c>
      <c r="G731" s="5" t="str">
        <f>_xlfn.XLOOKUP($N731,'Base de Grupos'!$A:$A,'Base de Grupos'!$I:$I)</f>
        <v>REGIONAL VENDA INTERNA - CONVENIENCIA</v>
      </c>
      <c r="H731" s="5" t="str">
        <f>_xlfn.XLOOKUP($N731,'Base de Grupos'!$A:$A,'Base de Grupos'!$J:$J)</f>
        <v>1000174119</v>
      </c>
      <c r="I731" s="2" t="str">
        <f>_xlfn.XLOOKUP($N731,'Base de Grupos'!$A:$A,'Base de Grupos'!$K:$K)</f>
        <v>REGIONAL VENDA INTERNA - CONVENIENCIA</v>
      </c>
      <c r="J731" s="2" t="str">
        <f>_xlfn.XLOOKUP($N731,'Base de Grupos'!$A:$A,'Base de Grupos'!$L:$L)</f>
        <v>1000174119</v>
      </c>
      <c r="K731" s="5" t="str">
        <f>_xlfn.XLOOKUP($N731,'Base de Grupos'!$A:$A,'Base de Grupos'!$M:$M)</f>
        <v>REGIONAL VENDA INTERNA - CONVENIENCIA</v>
      </c>
      <c r="L731" s="5" t="str">
        <f t="shared" si="754"/>
        <v/>
      </c>
      <c r="M731" s="5" t="str">
        <f>_xlfn.XLOOKUP($N731,'Base de Grupos'!$A:$A,'Base de Grupos'!$C:$C)</f>
        <v>CE</v>
      </c>
      <c r="N731" s="3">
        <v>1504</v>
      </c>
      <c r="O731" s="4" t="s">
        <v>264</v>
      </c>
      <c r="P731" s="5" t="s">
        <v>86</v>
      </c>
      <c r="Q731" s="56">
        <v>0</v>
      </c>
      <c r="R731" s="56">
        <v>0</v>
      </c>
      <c r="S731" s="56">
        <v>0</v>
      </c>
      <c r="T731" s="56">
        <f>_xlfn.XLOOKUP($N731,'Calculo Leads Conveniencia'!$A$77:$A$104,'Calculo Leads Conveniencia'!G$77:G$104)*_xlfn.XLOOKUP($P731,'Base Grupo de Produtos'!$E$23:$E$39,'Base Grupo de Produtos'!$F$23:$F$39)</f>
        <v>0</v>
      </c>
      <c r="U731" s="56">
        <f>_xlfn.XLOOKUP($N731,'Calculo Leads Conveniencia'!$A$77:$A$104,'Calculo Leads Conveniencia'!H$77:H$104)*_xlfn.XLOOKUP($P731,'Base Grupo de Produtos'!$E$23:$E$39,'Base Grupo de Produtos'!$F$23:$F$39)</f>
        <v>0</v>
      </c>
      <c r="V731" s="56">
        <f>_xlfn.XLOOKUP($N731,'Calculo Leads Conveniencia'!$A$77:$A$104,'Calculo Leads Conveniencia'!I$77:I$104)*_xlfn.XLOOKUP($P731,'Base Grupo de Produtos'!$E$23:$E$39,'Base Grupo de Produtos'!$F$23:$F$39)</f>
        <v>0</v>
      </c>
      <c r="W731" s="56">
        <f>_xlfn.XLOOKUP($N731,'Calculo Leads Conveniencia'!$A$77:$A$104,'Calculo Leads Conveniencia'!J$77:J$104)*_xlfn.XLOOKUP($P731,'Base Grupo de Produtos'!$E$23:$E$39,'Base Grupo de Produtos'!$F$23:$F$39)</f>
        <v>0</v>
      </c>
      <c r="X731" s="56">
        <f>_xlfn.XLOOKUP($N731,'Calculo Leads Conveniencia'!$A$77:$A$104,'Calculo Leads Conveniencia'!K$77:K$104)*_xlfn.XLOOKUP($P731,'Base Grupo de Produtos'!$E$23:$E$39,'Base Grupo de Produtos'!$F$23:$F$39)</f>
        <v>0</v>
      </c>
      <c r="Y731" s="56">
        <f>_xlfn.XLOOKUP($N731,'Calculo Leads Conveniencia'!$A$77:$A$104,'Calculo Leads Conveniencia'!L$77:L$104)*_xlfn.XLOOKUP($P731,'Base Grupo de Produtos'!$E$23:$E$39,'Base Grupo de Produtos'!$F$23:$F$39)</f>
        <v>0</v>
      </c>
      <c r="Z731" s="56">
        <f>_xlfn.XLOOKUP($N731,'Calculo Leads Conveniencia'!$A$77:$A$104,'Calculo Leads Conveniencia'!M$77:M$104)*_xlfn.XLOOKUP($P731,'Base Grupo de Produtos'!$E$23:$E$39,'Base Grupo de Produtos'!$F$23:$F$39)</f>
        <v>0</v>
      </c>
      <c r="AA731" s="56">
        <f>_xlfn.XLOOKUP($N731,'Calculo Leads Conveniencia'!$A$77:$A$104,'Calculo Leads Conveniencia'!N$77:N$104)*_xlfn.XLOOKUP($P731,'Base Grupo de Produtos'!$E$23:$E$39,'Base Grupo de Produtos'!$F$23:$F$39)</f>
        <v>0</v>
      </c>
      <c r="AB731" s="56">
        <f>_xlfn.XLOOKUP($N731,'Calculo Leads Conveniencia'!$A$77:$A$104,'Calculo Leads Conveniencia'!O$77:O$104)*_xlfn.XLOOKUP($P731,'Base Grupo de Produtos'!$E$23:$E$39,'Base Grupo de Produtos'!$F$23:$F$39)</f>
        <v>0</v>
      </c>
      <c r="AC731" s="61">
        <f t="shared" si="752"/>
        <v>0</v>
      </c>
      <c r="AD731" s="28"/>
      <c r="AE731" s="12"/>
      <c r="AF731" s="29"/>
      <c r="AG731" s="9"/>
      <c r="AH731" s="10"/>
      <c r="AI731" s="9"/>
      <c r="AJ731" s="11"/>
      <c r="AK731" s="9"/>
      <c r="AL731" s="13"/>
      <c r="AM731" s="9"/>
    </row>
    <row r="732" spans="1:39" x14ac:dyDescent="0.3">
      <c r="A732" s="2" t="str">
        <f t="shared" si="753"/>
        <v>NÃO</v>
      </c>
      <c r="B732" s="2" t="str">
        <f>_xlfn.XLOOKUP($N732,'Base de Grupos'!$A:$A,'Base de Grupos'!$D:$D)</f>
        <v>1000065763</v>
      </c>
      <c r="C732" s="5" t="str">
        <f>_xlfn.XLOOKUP($N732,'Base de Grupos'!$A:$A,'Base de Grupos'!$E:$E)</f>
        <v>CANAL VENDA INTERNA</v>
      </c>
      <c r="D732" s="5" t="str">
        <f>_xlfn.XLOOKUP($N732,'Base de Grupos'!$A:$A,'Base de Grupos'!$F:$F)</f>
        <v>1000065763</v>
      </c>
      <c r="E732" s="2" t="str">
        <f>_xlfn.XLOOKUP($N732,'Base de Grupos'!$A:$A,'Base de Grupos'!$G:$G)</f>
        <v>CANAL VENDA INTERNA</v>
      </c>
      <c r="F732" s="2" t="str">
        <f>_xlfn.XLOOKUP($N732,'Base de Grupos'!$A:$A,'Base de Grupos'!$H:$H)</f>
        <v>1000174119</v>
      </c>
      <c r="G732" s="5" t="str">
        <f>_xlfn.XLOOKUP($N732,'Base de Grupos'!$A:$A,'Base de Grupos'!$I:$I)</f>
        <v>REGIONAL VENDA INTERNA - CONVENIENCIA</v>
      </c>
      <c r="H732" s="5" t="str">
        <f>_xlfn.XLOOKUP($N732,'Base de Grupos'!$A:$A,'Base de Grupos'!$J:$J)</f>
        <v>1000174119</v>
      </c>
      <c r="I732" s="2" t="str">
        <f>_xlfn.XLOOKUP($N732,'Base de Grupos'!$A:$A,'Base de Grupos'!$K:$K)</f>
        <v>REGIONAL VENDA INTERNA - CONVENIENCIA</v>
      </c>
      <c r="J732" s="2" t="str">
        <f>_xlfn.XLOOKUP($N732,'Base de Grupos'!$A:$A,'Base de Grupos'!$L:$L)</f>
        <v>1000174119</v>
      </c>
      <c r="K732" s="5" t="str">
        <f>_xlfn.XLOOKUP($N732,'Base de Grupos'!$A:$A,'Base de Grupos'!$M:$M)</f>
        <v>REGIONAL VENDA INTERNA - CONVENIENCIA</v>
      </c>
      <c r="L732" s="5" t="str">
        <f t="shared" si="754"/>
        <v/>
      </c>
      <c r="M732" s="5" t="str">
        <f>_xlfn.XLOOKUP($N732,'Base de Grupos'!$A:$A,'Base de Grupos'!$C:$C)</f>
        <v>CE</v>
      </c>
      <c r="N732" s="3">
        <v>1504</v>
      </c>
      <c r="O732" s="4" t="s">
        <v>264</v>
      </c>
      <c r="P732" s="5" t="s">
        <v>108</v>
      </c>
      <c r="Q732" s="56">
        <v>0</v>
      </c>
      <c r="R732" s="56">
        <v>0</v>
      </c>
      <c r="S732" s="56">
        <v>0</v>
      </c>
      <c r="T732" s="56">
        <f>_xlfn.XLOOKUP($N732,'Calculo Leads Conveniencia'!$A$77:$A$104,'Calculo Leads Conveniencia'!G$77:G$104)*_xlfn.XLOOKUP($P732,'Base Grupo de Produtos'!$E$23:$E$39,'Base Grupo de Produtos'!$F$23:$F$39)</f>
        <v>0</v>
      </c>
      <c r="U732" s="56">
        <f>_xlfn.XLOOKUP($N732,'Calculo Leads Conveniencia'!$A$77:$A$104,'Calculo Leads Conveniencia'!H$77:H$104)*_xlfn.XLOOKUP($P732,'Base Grupo de Produtos'!$E$23:$E$39,'Base Grupo de Produtos'!$F$23:$F$39)</f>
        <v>0</v>
      </c>
      <c r="V732" s="56">
        <f>_xlfn.XLOOKUP($N732,'Calculo Leads Conveniencia'!$A$77:$A$104,'Calculo Leads Conveniencia'!I$77:I$104)*_xlfn.XLOOKUP($P732,'Base Grupo de Produtos'!$E$23:$E$39,'Base Grupo de Produtos'!$F$23:$F$39)</f>
        <v>0</v>
      </c>
      <c r="W732" s="56">
        <f>_xlfn.XLOOKUP($N732,'Calculo Leads Conveniencia'!$A$77:$A$104,'Calculo Leads Conveniencia'!J$77:J$104)*_xlfn.XLOOKUP($P732,'Base Grupo de Produtos'!$E$23:$E$39,'Base Grupo de Produtos'!$F$23:$F$39)</f>
        <v>0</v>
      </c>
      <c r="X732" s="56">
        <f>_xlfn.XLOOKUP($N732,'Calculo Leads Conveniencia'!$A$77:$A$104,'Calculo Leads Conveniencia'!K$77:K$104)*_xlfn.XLOOKUP($P732,'Base Grupo de Produtos'!$E$23:$E$39,'Base Grupo de Produtos'!$F$23:$F$39)</f>
        <v>0</v>
      </c>
      <c r="Y732" s="56">
        <f>_xlfn.XLOOKUP($N732,'Calculo Leads Conveniencia'!$A$77:$A$104,'Calculo Leads Conveniencia'!L$77:L$104)*_xlfn.XLOOKUP($P732,'Base Grupo de Produtos'!$E$23:$E$39,'Base Grupo de Produtos'!$F$23:$F$39)</f>
        <v>0</v>
      </c>
      <c r="Z732" s="56">
        <f>_xlfn.XLOOKUP($N732,'Calculo Leads Conveniencia'!$A$77:$A$104,'Calculo Leads Conveniencia'!M$77:M$104)*_xlfn.XLOOKUP($P732,'Base Grupo de Produtos'!$E$23:$E$39,'Base Grupo de Produtos'!$F$23:$F$39)</f>
        <v>0</v>
      </c>
      <c r="AA732" s="56">
        <f>_xlfn.XLOOKUP($N732,'Calculo Leads Conveniencia'!$A$77:$A$104,'Calculo Leads Conveniencia'!N$77:N$104)*_xlfn.XLOOKUP($P732,'Base Grupo de Produtos'!$E$23:$E$39,'Base Grupo de Produtos'!$F$23:$F$39)</f>
        <v>0</v>
      </c>
      <c r="AB732" s="56">
        <f>_xlfn.XLOOKUP($N732,'Calculo Leads Conveniencia'!$A$77:$A$104,'Calculo Leads Conveniencia'!O$77:O$104)*_xlfn.XLOOKUP($P732,'Base Grupo de Produtos'!$E$23:$E$39,'Base Grupo de Produtos'!$F$23:$F$39)</f>
        <v>0</v>
      </c>
      <c r="AC732" s="61">
        <f t="shared" si="752"/>
        <v>0</v>
      </c>
      <c r="AD732" s="28"/>
      <c r="AE732" s="12"/>
      <c r="AF732" s="29"/>
      <c r="AG732" s="9"/>
      <c r="AH732" s="10"/>
      <c r="AI732" s="9"/>
      <c r="AJ732" s="11"/>
      <c r="AK732" s="9"/>
      <c r="AL732" s="13"/>
      <c r="AM732" s="9"/>
    </row>
    <row r="733" spans="1:39" x14ac:dyDescent="0.3">
      <c r="A733" s="2" t="str">
        <f t="shared" si="753"/>
        <v>NÃO</v>
      </c>
      <c r="B733" s="2" t="str">
        <f>_xlfn.XLOOKUP($N733,'Base de Grupos'!$A:$A,'Base de Grupos'!$D:$D)</f>
        <v>1000065763</v>
      </c>
      <c r="C733" s="5" t="str">
        <f>_xlfn.XLOOKUP($N733,'Base de Grupos'!$A:$A,'Base de Grupos'!$E:$E)</f>
        <v>CANAL VENDA INTERNA</v>
      </c>
      <c r="D733" s="5" t="str">
        <f>_xlfn.XLOOKUP($N733,'Base de Grupos'!$A:$A,'Base de Grupos'!$F:$F)</f>
        <v>1000065763</v>
      </c>
      <c r="E733" s="2" t="str">
        <f>_xlfn.XLOOKUP($N733,'Base de Grupos'!$A:$A,'Base de Grupos'!$G:$G)</f>
        <v>CANAL VENDA INTERNA</v>
      </c>
      <c r="F733" s="2" t="str">
        <f>_xlfn.XLOOKUP($N733,'Base de Grupos'!$A:$A,'Base de Grupos'!$H:$H)</f>
        <v>1000174119</v>
      </c>
      <c r="G733" s="5" t="str">
        <f>_xlfn.XLOOKUP($N733,'Base de Grupos'!$A:$A,'Base de Grupos'!$I:$I)</f>
        <v>REGIONAL VENDA INTERNA - CONVENIENCIA</v>
      </c>
      <c r="H733" s="5" t="str">
        <f>_xlfn.XLOOKUP($N733,'Base de Grupos'!$A:$A,'Base de Grupos'!$J:$J)</f>
        <v>1000174119</v>
      </c>
      <c r="I733" s="2" t="str">
        <f>_xlfn.XLOOKUP($N733,'Base de Grupos'!$A:$A,'Base de Grupos'!$K:$K)</f>
        <v>REGIONAL VENDA INTERNA - CONVENIENCIA</v>
      </c>
      <c r="J733" s="2" t="str">
        <f>_xlfn.XLOOKUP($N733,'Base de Grupos'!$A:$A,'Base de Grupos'!$L:$L)</f>
        <v>1000174119</v>
      </c>
      <c r="K733" s="5" t="str">
        <f>_xlfn.XLOOKUP($N733,'Base de Grupos'!$A:$A,'Base de Grupos'!$M:$M)</f>
        <v>REGIONAL VENDA INTERNA - CONVENIENCIA</v>
      </c>
      <c r="L733" s="5" t="str">
        <f t="shared" si="754"/>
        <v/>
      </c>
      <c r="M733" s="5" t="str">
        <f>_xlfn.XLOOKUP($N733,'Base de Grupos'!$A:$A,'Base de Grupos'!$C:$C)</f>
        <v>CE</v>
      </c>
      <c r="N733" s="3">
        <v>1504</v>
      </c>
      <c r="O733" s="4" t="s">
        <v>264</v>
      </c>
      <c r="P733" s="5" t="s">
        <v>89</v>
      </c>
      <c r="Q733" s="56">
        <v>0</v>
      </c>
      <c r="R733" s="56">
        <v>0</v>
      </c>
      <c r="S733" s="56">
        <v>0</v>
      </c>
      <c r="T733" s="56">
        <f>_xlfn.XLOOKUP($N733,'Calculo Leads Conveniencia'!$A$77:$A$104,'Calculo Leads Conveniencia'!G$77:G$104)*_xlfn.XLOOKUP($P733,'Base Grupo de Produtos'!$E$23:$E$39,'Base Grupo de Produtos'!$F$23:$F$39)</f>
        <v>0</v>
      </c>
      <c r="U733" s="56">
        <f>_xlfn.XLOOKUP($N733,'Calculo Leads Conveniencia'!$A$77:$A$104,'Calculo Leads Conveniencia'!H$77:H$104)*_xlfn.XLOOKUP($P733,'Base Grupo de Produtos'!$E$23:$E$39,'Base Grupo de Produtos'!$F$23:$F$39)</f>
        <v>0</v>
      </c>
      <c r="V733" s="56">
        <f>_xlfn.XLOOKUP($N733,'Calculo Leads Conveniencia'!$A$77:$A$104,'Calculo Leads Conveniencia'!I$77:I$104)*_xlfn.XLOOKUP($P733,'Base Grupo de Produtos'!$E$23:$E$39,'Base Grupo de Produtos'!$F$23:$F$39)</f>
        <v>0</v>
      </c>
      <c r="W733" s="56">
        <f>_xlfn.XLOOKUP($N733,'Calculo Leads Conveniencia'!$A$77:$A$104,'Calculo Leads Conveniencia'!J$77:J$104)*_xlfn.XLOOKUP($P733,'Base Grupo de Produtos'!$E$23:$E$39,'Base Grupo de Produtos'!$F$23:$F$39)</f>
        <v>0</v>
      </c>
      <c r="X733" s="56">
        <f>_xlfn.XLOOKUP($N733,'Calculo Leads Conveniencia'!$A$77:$A$104,'Calculo Leads Conveniencia'!K$77:K$104)*_xlfn.XLOOKUP($P733,'Base Grupo de Produtos'!$E$23:$E$39,'Base Grupo de Produtos'!$F$23:$F$39)</f>
        <v>0</v>
      </c>
      <c r="Y733" s="56">
        <f>_xlfn.XLOOKUP($N733,'Calculo Leads Conveniencia'!$A$77:$A$104,'Calculo Leads Conveniencia'!L$77:L$104)*_xlfn.XLOOKUP($P733,'Base Grupo de Produtos'!$E$23:$E$39,'Base Grupo de Produtos'!$F$23:$F$39)</f>
        <v>0</v>
      </c>
      <c r="Z733" s="56">
        <f>_xlfn.XLOOKUP($N733,'Calculo Leads Conveniencia'!$A$77:$A$104,'Calculo Leads Conveniencia'!M$77:M$104)*_xlfn.XLOOKUP($P733,'Base Grupo de Produtos'!$E$23:$E$39,'Base Grupo de Produtos'!$F$23:$F$39)</f>
        <v>0</v>
      </c>
      <c r="AA733" s="56">
        <f>_xlfn.XLOOKUP($N733,'Calculo Leads Conveniencia'!$A$77:$A$104,'Calculo Leads Conveniencia'!N$77:N$104)*_xlfn.XLOOKUP($P733,'Base Grupo de Produtos'!$E$23:$E$39,'Base Grupo de Produtos'!$F$23:$F$39)</f>
        <v>0</v>
      </c>
      <c r="AB733" s="56">
        <f>_xlfn.XLOOKUP($N733,'Calculo Leads Conveniencia'!$A$77:$A$104,'Calculo Leads Conveniencia'!O$77:O$104)*_xlfn.XLOOKUP($P733,'Base Grupo de Produtos'!$E$23:$E$39,'Base Grupo de Produtos'!$F$23:$F$39)</f>
        <v>0</v>
      </c>
      <c r="AC733" s="61">
        <f t="shared" si="752"/>
        <v>0</v>
      </c>
      <c r="AD733" s="28"/>
      <c r="AE733" s="12"/>
      <c r="AF733" s="29"/>
      <c r="AG733" s="9"/>
      <c r="AH733" s="10"/>
      <c r="AI733" s="9"/>
      <c r="AJ733" s="11"/>
      <c r="AK733" s="9"/>
      <c r="AL733" s="13"/>
      <c r="AM733" s="9"/>
    </row>
    <row r="734" spans="1:39" x14ac:dyDescent="0.3">
      <c r="A734" s="2" t="str">
        <f t="shared" si="753"/>
        <v>NÃO</v>
      </c>
      <c r="B734" s="2" t="str">
        <f>_xlfn.XLOOKUP($N734,'Base de Grupos'!$A:$A,'Base de Grupos'!$D:$D)</f>
        <v>1000065763</v>
      </c>
      <c r="C734" s="5" t="str">
        <f>_xlfn.XLOOKUP($N734,'Base de Grupos'!$A:$A,'Base de Grupos'!$E:$E)</f>
        <v>CANAL VENDA INTERNA</v>
      </c>
      <c r="D734" s="5" t="str">
        <f>_xlfn.XLOOKUP($N734,'Base de Grupos'!$A:$A,'Base de Grupos'!$F:$F)</f>
        <v>1000065763</v>
      </c>
      <c r="E734" s="2" t="str">
        <f>_xlfn.XLOOKUP($N734,'Base de Grupos'!$A:$A,'Base de Grupos'!$G:$G)</f>
        <v>CANAL VENDA INTERNA</v>
      </c>
      <c r="F734" s="2" t="str">
        <f>_xlfn.XLOOKUP($N734,'Base de Grupos'!$A:$A,'Base de Grupos'!$H:$H)</f>
        <v>1000174119</v>
      </c>
      <c r="G734" s="5" t="str">
        <f>_xlfn.XLOOKUP($N734,'Base de Grupos'!$A:$A,'Base de Grupos'!$I:$I)</f>
        <v>REGIONAL VENDA INTERNA - CONVENIENCIA</v>
      </c>
      <c r="H734" s="5" t="str">
        <f>_xlfn.XLOOKUP($N734,'Base de Grupos'!$A:$A,'Base de Grupos'!$J:$J)</f>
        <v>1000174119</v>
      </c>
      <c r="I734" s="2" t="str">
        <f>_xlfn.XLOOKUP($N734,'Base de Grupos'!$A:$A,'Base de Grupos'!$K:$K)</f>
        <v>REGIONAL VENDA INTERNA - CONVENIENCIA</v>
      </c>
      <c r="J734" s="2" t="str">
        <f>_xlfn.XLOOKUP($N734,'Base de Grupos'!$A:$A,'Base de Grupos'!$L:$L)</f>
        <v>1000174119</v>
      </c>
      <c r="K734" s="5" t="str">
        <f>_xlfn.XLOOKUP($N734,'Base de Grupos'!$A:$A,'Base de Grupos'!$M:$M)</f>
        <v>REGIONAL VENDA INTERNA - CONVENIENCIA</v>
      </c>
      <c r="L734" s="5" t="str">
        <f t="shared" si="754"/>
        <v/>
      </c>
      <c r="M734" s="5" t="str">
        <f>_xlfn.XLOOKUP($N734,'Base de Grupos'!$A:$A,'Base de Grupos'!$C:$C)</f>
        <v>CE</v>
      </c>
      <c r="N734" s="3">
        <v>1504</v>
      </c>
      <c r="O734" s="4" t="s">
        <v>264</v>
      </c>
      <c r="P734" s="5" t="s">
        <v>88</v>
      </c>
      <c r="Q734" s="56">
        <v>0</v>
      </c>
      <c r="R734" s="56">
        <v>0</v>
      </c>
      <c r="S734" s="56">
        <v>0</v>
      </c>
      <c r="T734" s="56">
        <f>_xlfn.XLOOKUP($N734,'Calculo Leads Conveniencia'!$A$77:$A$104,'Calculo Leads Conveniencia'!G$77:G$104)*_xlfn.XLOOKUP($P734,'Base Grupo de Produtos'!$E$23:$E$39,'Base Grupo de Produtos'!$F$23:$F$39)</f>
        <v>0</v>
      </c>
      <c r="U734" s="56">
        <f>_xlfn.XLOOKUP($N734,'Calculo Leads Conveniencia'!$A$77:$A$104,'Calculo Leads Conveniencia'!H$77:H$104)*_xlfn.XLOOKUP($P734,'Base Grupo de Produtos'!$E$23:$E$39,'Base Grupo de Produtos'!$F$23:$F$39)</f>
        <v>0</v>
      </c>
      <c r="V734" s="56">
        <f>_xlfn.XLOOKUP($N734,'Calculo Leads Conveniencia'!$A$77:$A$104,'Calculo Leads Conveniencia'!I$77:I$104)*_xlfn.XLOOKUP($P734,'Base Grupo de Produtos'!$E$23:$E$39,'Base Grupo de Produtos'!$F$23:$F$39)</f>
        <v>0</v>
      </c>
      <c r="W734" s="56">
        <f>_xlfn.XLOOKUP($N734,'Calculo Leads Conveniencia'!$A$77:$A$104,'Calculo Leads Conveniencia'!J$77:J$104)*_xlfn.XLOOKUP($P734,'Base Grupo de Produtos'!$E$23:$E$39,'Base Grupo de Produtos'!$F$23:$F$39)</f>
        <v>0</v>
      </c>
      <c r="X734" s="56">
        <f>_xlfn.XLOOKUP($N734,'Calculo Leads Conveniencia'!$A$77:$A$104,'Calculo Leads Conveniencia'!K$77:K$104)*_xlfn.XLOOKUP($P734,'Base Grupo de Produtos'!$E$23:$E$39,'Base Grupo de Produtos'!$F$23:$F$39)</f>
        <v>0</v>
      </c>
      <c r="Y734" s="56">
        <f>_xlfn.XLOOKUP($N734,'Calculo Leads Conveniencia'!$A$77:$A$104,'Calculo Leads Conveniencia'!L$77:L$104)*_xlfn.XLOOKUP($P734,'Base Grupo de Produtos'!$E$23:$E$39,'Base Grupo de Produtos'!$F$23:$F$39)</f>
        <v>0</v>
      </c>
      <c r="Z734" s="56">
        <f>_xlfn.XLOOKUP($N734,'Calculo Leads Conveniencia'!$A$77:$A$104,'Calculo Leads Conveniencia'!M$77:M$104)*_xlfn.XLOOKUP($P734,'Base Grupo de Produtos'!$E$23:$E$39,'Base Grupo de Produtos'!$F$23:$F$39)</f>
        <v>0</v>
      </c>
      <c r="AA734" s="56">
        <f>_xlfn.XLOOKUP($N734,'Calculo Leads Conveniencia'!$A$77:$A$104,'Calculo Leads Conveniencia'!N$77:N$104)*_xlfn.XLOOKUP($P734,'Base Grupo de Produtos'!$E$23:$E$39,'Base Grupo de Produtos'!$F$23:$F$39)</f>
        <v>0</v>
      </c>
      <c r="AB734" s="56">
        <f>_xlfn.XLOOKUP($N734,'Calculo Leads Conveniencia'!$A$77:$A$104,'Calculo Leads Conveniencia'!O$77:O$104)*_xlfn.XLOOKUP($P734,'Base Grupo de Produtos'!$E$23:$E$39,'Base Grupo de Produtos'!$F$23:$F$39)</f>
        <v>0</v>
      </c>
      <c r="AC734" s="61">
        <f t="shared" si="752"/>
        <v>0</v>
      </c>
      <c r="AD734" s="28"/>
      <c r="AE734" s="12"/>
      <c r="AF734" s="29"/>
      <c r="AG734" s="9"/>
      <c r="AH734" s="10"/>
      <c r="AI734" s="9"/>
      <c r="AJ734" s="11"/>
      <c r="AK734" s="9"/>
      <c r="AL734" s="13"/>
      <c r="AM734" s="9"/>
    </row>
    <row r="735" spans="1:39" x14ac:dyDescent="0.3">
      <c r="A735" s="2" t="str">
        <f t="shared" si="753"/>
        <v>NÃO</v>
      </c>
      <c r="B735" s="2" t="str">
        <f>_xlfn.XLOOKUP($N735,'Base de Grupos'!$A:$A,'Base de Grupos'!$D:$D)</f>
        <v>1000065763</v>
      </c>
      <c r="C735" s="5" t="str">
        <f>_xlfn.XLOOKUP($N735,'Base de Grupos'!$A:$A,'Base de Grupos'!$E:$E)</f>
        <v>CANAL VENDA INTERNA</v>
      </c>
      <c r="D735" s="5" t="str">
        <f>_xlfn.XLOOKUP($N735,'Base de Grupos'!$A:$A,'Base de Grupos'!$F:$F)</f>
        <v>1000065763</v>
      </c>
      <c r="E735" s="2" t="str">
        <f>_xlfn.XLOOKUP($N735,'Base de Grupos'!$A:$A,'Base de Grupos'!$G:$G)</f>
        <v>CANAL VENDA INTERNA</v>
      </c>
      <c r="F735" s="2" t="str">
        <f>_xlfn.XLOOKUP($N735,'Base de Grupos'!$A:$A,'Base de Grupos'!$H:$H)</f>
        <v>1000174119</v>
      </c>
      <c r="G735" s="5" t="str">
        <f>_xlfn.XLOOKUP($N735,'Base de Grupos'!$A:$A,'Base de Grupos'!$I:$I)</f>
        <v>REGIONAL VENDA INTERNA - CONVENIENCIA</v>
      </c>
      <c r="H735" s="5" t="str">
        <f>_xlfn.XLOOKUP($N735,'Base de Grupos'!$A:$A,'Base de Grupos'!$J:$J)</f>
        <v>1000174119</v>
      </c>
      <c r="I735" s="2" t="str">
        <f>_xlfn.XLOOKUP($N735,'Base de Grupos'!$A:$A,'Base de Grupos'!$K:$K)</f>
        <v>REGIONAL VENDA INTERNA - CONVENIENCIA</v>
      </c>
      <c r="J735" s="2" t="str">
        <f>_xlfn.XLOOKUP($N735,'Base de Grupos'!$A:$A,'Base de Grupos'!$L:$L)</f>
        <v>1000174119</v>
      </c>
      <c r="K735" s="5" t="str">
        <f>_xlfn.XLOOKUP($N735,'Base de Grupos'!$A:$A,'Base de Grupos'!$M:$M)</f>
        <v>REGIONAL VENDA INTERNA - CONVENIENCIA</v>
      </c>
      <c r="L735" s="5" t="str">
        <f t="shared" si="754"/>
        <v/>
      </c>
      <c r="M735" s="5" t="str">
        <f>_xlfn.XLOOKUP($N735,'Base de Grupos'!$A:$A,'Base de Grupos'!$C:$C)</f>
        <v>CE</v>
      </c>
      <c r="N735" s="3">
        <v>1504</v>
      </c>
      <c r="O735" s="4" t="s">
        <v>264</v>
      </c>
      <c r="P735" s="5" t="s">
        <v>90</v>
      </c>
      <c r="Q735" s="56">
        <v>0</v>
      </c>
      <c r="R735" s="56">
        <v>0</v>
      </c>
      <c r="S735" s="56">
        <v>0</v>
      </c>
      <c r="T735" s="56">
        <f>_xlfn.XLOOKUP($N735,'Calculo Leads Conveniencia'!$A$77:$A$104,'Calculo Leads Conveniencia'!G$77:G$104)*_xlfn.XLOOKUP($P735,'Base Grupo de Produtos'!$E$23:$E$39,'Base Grupo de Produtos'!$F$23:$F$39)</f>
        <v>0</v>
      </c>
      <c r="U735" s="56">
        <f>_xlfn.XLOOKUP($N735,'Calculo Leads Conveniencia'!$A$77:$A$104,'Calculo Leads Conveniencia'!H$77:H$104)*_xlfn.XLOOKUP($P735,'Base Grupo de Produtos'!$E$23:$E$39,'Base Grupo de Produtos'!$F$23:$F$39)</f>
        <v>0</v>
      </c>
      <c r="V735" s="56">
        <f>_xlfn.XLOOKUP($N735,'Calculo Leads Conveniencia'!$A$77:$A$104,'Calculo Leads Conveniencia'!I$77:I$104)*_xlfn.XLOOKUP($P735,'Base Grupo de Produtos'!$E$23:$E$39,'Base Grupo de Produtos'!$F$23:$F$39)</f>
        <v>0</v>
      </c>
      <c r="W735" s="56">
        <f>_xlfn.XLOOKUP($N735,'Calculo Leads Conveniencia'!$A$77:$A$104,'Calculo Leads Conveniencia'!J$77:J$104)*_xlfn.XLOOKUP($P735,'Base Grupo de Produtos'!$E$23:$E$39,'Base Grupo de Produtos'!$F$23:$F$39)</f>
        <v>0</v>
      </c>
      <c r="X735" s="56">
        <f>_xlfn.XLOOKUP($N735,'Calculo Leads Conveniencia'!$A$77:$A$104,'Calculo Leads Conveniencia'!K$77:K$104)*_xlfn.XLOOKUP($P735,'Base Grupo de Produtos'!$E$23:$E$39,'Base Grupo de Produtos'!$F$23:$F$39)</f>
        <v>0</v>
      </c>
      <c r="Y735" s="56">
        <f>_xlfn.XLOOKUP($N735,'Calculo Leads Conveniencia'!$A$77:$A$104,'Calculo Leads Conveniencia'!L$77:L$104)*_xlfn.XLOOKUP($P735,'Base Grupo de Produtos'!$E$23:$E$39,'Base Grupo de Produtos'!$F$23:$F$39)</f>
        <v>0</v>
      </c>
      <c r="Z735" s="56">
        <f>_xlfn.XLOOKUP($N735,'Calculo Leads Conveniencia'!$A$77:$A$104,'Calculo Leads Conveniencia'!M$77:M$104)*_xlfn.XLOOKUP($P735,'Base Grupo de Produtos'!$E$23:$E$39,'Base Grupo de Produtos'!$F$23:$F$39)</f>
        <v>0</v>
      </c>
      <c r="AA735" s="56">
        <f>_xlfn.XLOOKUP($N735,'Calculo Leads Conveniencia'!$A$77:$A$104,'Calculo Leads Conveniencia'!N$77:N$104)*_xlfn.XLOOKUP($P735,'Base Grupo de Produtos'!$E$23:$E$39,'Base Grupo de Produtos'!$F$23:$F$39)</f>
        <v>0</v>
      </c>
      <c r="AB735" s="56">
        <f>_xlfn.XLOOKUP($N735,'Calculo Leads Conveniencia'!$A$77:$A$104,'Calculo Leads Conveniencia'!O$77:O$104)*_xlfn.XLOOKUP($P735,'Base Grupo de Produtos'!$E$23:$E$39,'Base Grupo de Produtos'!$F$23:$F$39)</f>
        <v>0</v>
      </c>
      <c r="AC735" s="61">
        <f t="shared" si="752"/>
        <v>0</v>
      </c>
      <c r="AD735" s="28"/>
      <c r="AE735" s="12"/>
      <c r="AF735" s="29"/>
      <c r="AG735" s="9"/>
      <c r="AH735" s="10"/>
      <c r="AI735" s="9"/>
      <c r="AJ735" s="11"/>
      <c r="AK735" s="9"/>
      <c r="AL735" s="13"/>
      <c r="AM735" s="9"/>
    </row>
    <row r="736" spans="1:39" x14ac:dyDescent="0.3">
      <c r="A736" s="2" t="str">
        <f t="shared" si="753"/>
        <v>NÃO</v>
      </c>
      <c r="B736" s="2" t="str">
        <f>_xlfn.XLOOKUP($N736,'Base de Grupos'!$A:$A,'Base de Grupos'!$D:$D)</f>
        <v>1000065763</v>
      </c>
      <c r="C736" s="5" t="str">
        <f>_xlfn.XLOOKUP($N736,'Base de Grupos'!$A:$A,'Base de Grupos'!$E:$E)</f>
        <v>CANAL VENDA INTERNA</v>
      </c>
      <c r="D736" s="5" t="str">
        <f>_xlfn.XLOOKUP($N736,'Base de Grupos'!$A:$A,'Base de Grupos'!$F:$F)</f>
        <v>1000065763</v>
      </c>
      <c r="E736" s="2" t="str">
        <f>_xlfn.XLOOKUP($N736,'Base de Grupos'!$A:$A,'Base de Grupos'!$G:$G)</f>
        <v>CANAL VENDA INTERNA</v>
      </c>
      <c r="F736" s="2" t="str">
        <f>_xlfn.XLOOKUP($N736,'Base de Grupos'!$A:$A,'Base de Grupos'!$H:$H)</f>
        <v>1000174119</v>
      </c>
      <c r="G736" s="5" t="str">
        <f>_xlfn.XLOOKUP($N736,'Base de Grupos'!$A:$A,'Base de Grupos'!$I:$I)</f>
        <v>REGIONAL VENDA INTERNA - CONVENIENCIA</v>
      </c>
      <c r="H736" s="5" t="str">
        <f>_xlfn.XLOOKUP($N736,'Base de Grupos'!$A:$A,'Base de Grupos'!$J:$J)</f>
        <v>1000174119</v>
      </c>
      <c r="I736" s="2" t="str">
        <f>_xlfn.XLOOKUP($N736,'Base de Grupos'!$A:$A,'Base de Grupos'!$K:$K)</f>
        <v>REGIONAL VENDA INTERNA - CONVENIENCIA</v>
      </c>
      <c r="J736" s="2" t="str">
        <f>_xlfn.XLOOKUP($N736,'Base de Grupos'!$A:$A,'Base de Grupos'!$L:$L)</f>
        <v>1000174119</v>
      </c>
      <c r="K736" s="5" t="str">
        <f>_xlfn.XLOOKUP($N736,'Base de Grupos'!$A:$A,'Base de Grupos'!$M:$M)</f>
        <v>REGIONAL VENDA INTERNA - CONVENIENCIA</v>
      </c>
      <c r="L736" s="5" t="str">
        <f t="shared" si="754"/>
        <v/>
      </c>
      <c r="M736" s="5" t="str">
        <f>_xlfn.XLOOKUP($N736,'Base de Grupos'!$A:$A,'Base de Grupos'!$C:$C)</f>
        <v>CE</v>
      </c>
      <c r="N736" s="3">
        <v>1504</v>
      </c>
      <c r="O736" s="4" t="s">
        <v>264</v>
      </c>
      <c r="P736" s="5" t="s">
        <v>91</v>
      </c>
      <c r="Q736" s="56">
        <v>0</v>
      </c>
      <c r="R736" s="56">
        <v>0</v>
      </c>
      <c r="S736" s="56">
        <v>0</v>
      </c>
      <c r="T736" s="56">
        <f>_xlfn.XLOOKUP($N736,'Calculo Leads Conveniencia'!$A$77:$A$104,'Calculo Leads Conveniencia'!G$77:G$104)*_xlfn.XLOOKUP($P736,'Base Grupo de Produtos'!$E$23:$E$39,'Base Grupo de Produtos'!$F$23:$F$39)</f>
        <v>0</v>
      </c>
      <c r="U736" s="56">
        <f>_xlfn.XLOOKUP($N736,'Calculo Leads Conveniencia'!$A$77:$A$104,'Calculo Leads Conveniencia'!H$77:H$104)*_xlfn.XLOOKUP($P736,'Base Grupo de Produtos'!$E$23:$E$39,'Base Grupo de Produtos'!$F$23:$F$39)</f>
        <v>0</v>
      </c>
      <c r="V736" s="56">
        <f>_xlfn.XLOOKUP($N736,'Calculo Leads Conveniencia'!$A$77:$A$104,'Calculo Leads Conveniencia'!I$77:I$104)*_xlfn.XLOOKUP($P736,'Base Grupo de Produtos'!$E$23:$E$39,'Base Grupo de Produtos'!$F$23:$F$39)</f>
        <v>0</v>
      </c>
      <c r="W736" s="56">
        <f>_xlfn.XLOOKUP($N736,'Calculo Leads Conveniencia'!$A$77:$A$104,'Calculo Leads Conveniencia'!J$77:J$104)*_xlfn.XLOOKUP($P736,'Base Grupo de Produtos'!$E$23:$E$39,'Base Grupo de Produtos'!$F$23:$F$39)</f>
        <v>0</v>
      </c>
      <c r="X736" s="56">
        <f>_xlfn.XLOOKUP($N736,'Calculo Leads Conveniencia'!$A$77:$A$104,'Calculo Leads Conveniencia'!K$77:K$104)*_xlfn.XLOOKUP($P736,'Base Grupo de Produtos'!$E$23:$E$39,'Base Grupo de Produtos'!$F$23:$F$39)</f>
        <v>0</v>
      </c>
      <c r="Y736" s="56">
        <f>_xlfn.XLOOKUP($N736,'Calculo Leads Conveniencia'!$A$77:$A$104,'Calculo Leads Conveniencia'!L$77:L$104)*_xlfn.XLOOKUP($P736,'Base Grupo de Produtos'!$E$23:$E$39,'Base Grupo de Produtos'!$F$23:$F$39)</f>
        <v>0</v>
      </c>
      <c r="Z736" s="56">
        <f>_xlfn.XLOOKUP($N736,'Calculo Leads Conveniencia'!$A$77:$A$104,'Calculo Leads Conveniencia'!M$77:M$104)*_xlfn.XLOOKUP($P736,'Base Grupo de Produtos'!$E$23:$E$39,'Base Grupo de Produtos'!$F$23:$F$39)</f>
        <v>0</v>
      </c>
      <c r="AA736" s="56">
        <f>_xlfn.XLOOKUP($N736,'Calculo Leads Conveniencia'!$A$77:$A$104,'Calculo Leads Conveniencia'!N$77:N$104)*_xlfn.XLOOKUP($P736,'Base Grupo de Produtos'!$E$23:$E$39,'Base Grupo de Produtos'!$F$23:$F$39)</f>
        <v>0</v>
      </c>
      <c r="AB736" s="56">
        <f>_xlfn.XLOOKUP($N736,'Calculo Leads Conveniencia'!$A$77:$A$104,'Calculo Leads Conveniencia'!O$77:O$104)*_xlfn.XLOOKUP($P736,'Base Grupo de Produtos'!$E$23:$E$39,'Base Grupo de Produtos'!$F$23:$F$39)</f>
        <v>0</v>
      </c>
      <c r="AC736" s="61">
        <f t="shared" si="752"/>
        <v>0</v>
      </c>
      <c r="AD736" s="28"/>
      <c r="AE736" s="12"/>
      <c r="AF736" s="29"/>
      <c r="AG736" s="9"/>
      <c r="AH736" s="10"/>
      <c r="AI736" s="9"/>
      <c r="AJ736" s="11"/>
      <c r="AK736" s="9"/>
      <c r="AL736" s="13"/>
      <c r="AM736" s="9"/>
    </row>
    <row r="737" spans="1:39" x14ac:dyDescent="0.3">
      <c r="A737" s="2" t="str">
        <f t="shared" si="753"/>
        <v>NÃO</v>
      </c>
      <c r="B737" s="2" t="str">
        <f>_xlfn.XLOOKUP($N737,'Base de Grupos'!$A:$A,'Base de Grupos'!$D:$D)</f>
        <v>1000065763</v>
      </c>
      <c r="C737" s="5" t="str">
        <f>_xlfn.XLOOKUP($N737,'Base de Grupos'!$A:$A,'Base de Grupos'!$E:$E)</f>
        <v>CANAL VENDA INTERNA</v>
      </c>
      <c r="D737" s="5" t="str">
        <f>_xlfn.XLOOKUP($N737,'Base de Grupos'!$A:$A,'Base de Grupos'!$F:$F)</f>
        <v>1000065763</v>
      </c>
      <c r="E737" s="2" t="str">
        <f>_xlfn.XLOOKUP($N737,'Base de Grupos'!$A:$A,'Base de Grupos'!$G:$G)</f>
        <v>CANAL VENDA INTERNA</v>
      </c>
      <c r="F737" s="2" t="str">
        <f>_xlfn.XLOOKUP($N737,'Base de Grupos'!$A:$A,'Base de Grupos'!$H:$H)</f>
        <v>1000174119</v>
      </c>
      <c r="G737" s="5" t="str">
        <f>_xlfn.XLOOKUP($N737,'Base de Grupos'!$A:$A,'Base de Grupos'!$I:$I)</f>
        <v>REGIONAL VENDA INTERNA - CONVENIENCIA</v>
      </c>
      <c r="H737" s="5" t="str">
        <f>_xlfn.XLOOKUP($N737,'Base de Grupos'!$A:$A,'Base de Grupos'!$J:$J)</f>
        <v>1000174119</v>
      </c>
      <c r="I737" s="2" t="str">
        <f>_xlfn.XLOOKUP($N737,'Base de Grupos'!$A:$A,'Base de Grupos'!$K:$K)</f>
        <v>REGIONAL VENDA INTERNA - CONVENIENCIA</v>
      </c>
      <c r="J737" s="2" t="str">
        <f>_xlfn.XLOOKUP($N737,'Base de Grupos'!$A:$A,'Base de Grupos'!$L:$L)</f>
        <v>1000174119</v>
      </c>
      <c r="K737" s="5" t="str">
        <f>_xlfn.XLOOKUP($N737,'Base de Grupos'!$A:$A,'Base de Grupos'!$M:$M)</f>
        <v>REGIONAL VENDA INTERNA - CONVENIENCIA</v>
      </c>
      <c r="L737" s="5" t="str">
        <f t="shared" si="754"/>
        <v/>
      </c>
      <c r="M737" s="5" t="str">
        <f>_xlfn.XLOOKUP($N737,'Base de Grupos'!$A:$A,'Base de Grupos'!$C:$C)</f>
        <v>CE</v>
      </c>
      <c r="N737" s="3">
        <v>1504</v>
      </c>
      <c r="O737" s="4" t="s">
        <v>264</v>
      </c>
      <c r="P737" s="5" t="s">
        <v>96</v>
      </c>
      <c r="Q737" s="56">
        <v>0</v>
      </c>
      <c r="R737" s="56">
        <v>0</v>
      </c>
      <c r="S737" s="56">
        <v>0</v>
      </c>
      <c r="T737" s="56">
        <f>_xlfn.XLOOKUP($N737,'Calculo Leads Conveniencia'!$A$77:$A$104,'Calculo Leads Conveniencia'!G$77:G$104)*_xlfn.XLOOKUP($P737,'Base Grupo de Produtos'!$E$23:$E$39,'Base Grupo de Produtos'!$F$23:$F$39)</f>
        <v>0</v>
      </c>
      <c r="U737" s="56">
        <f>_xlfn.XLOOKUP($N737,'Calculo Leads Conveniencia'!$A$77:$A$104,'Calculo Leads Conveniencia'!H$77:H$104)*_xlfn.XLOOKUP($P737,'Base Grupo de Produtos'!$E$23:$E$39,'Base Grupo de Produtos'!$F$23:$F$39)</f>
        <v>0</v>
      </c>
      <c r="V737" s="56">
        <f>_xlfn.XLOOKUP($N737,'Calculo Leads Conveniencia'!$A$77:$A$104,'Calculo Leads Conveniencia'!I$77:I$104)*_xlfn.XLOOKUP($P737,'Base Grupo de Produtos'!$E$23:$E$39,'Base Grupo de Produtos'!$F$23:$F$39)</f>
        <v>0</v>
      </c>
      <c r="W737" s="56">
        <f>_xlfn.XLOOKUP($N737,'Calculo Leads Conveniencia'!$A$77:$A$104,'Calculo Leads Conveniencia'!J$77:J$104)*_xlfn.XLOOKUP($P737,'Base Grupo de Produtos'!$E$23:$E$39,'Base Grupo de Produtos'!$F$23:$F$39)</f>
        <v>0</v>
      </c>
      <c r="X737" s="56">
        <f>_xlfn.XLOOKUP($N737,'Calculo Leads Conveniencia'!$A$77:$A$104,'Calculo Leads Conveniencia'!K$77:K$104)*_xlfn.XLOOKUP($P737,'Base Grupo de Produtos'!$E$23:$E$39,'Base Grupo de Produtos'!$F$23:$F$39)</f>
        <v>0</v>
      </c>
      <c r="Y737" s="56">
        <f>_xlfn.XLOOKUP($N737,'Calculo Leads Conveniencia'!$A$77:$A$104,'Calculo Leads Conveniencia'!L$77:L$104)*_xlfn.XLOOKUP($P737,'Base Grupo de Produtos'!$E$23:$E$39,'Base Grupo de Produtos'!$F$23:$F$39)</f>
        <v>0</v>
      </c>
      <c r="Z737" s="56">
        <f>_xlfn.XLOOKUP($N737,'Calculo Leads Conveniencia'!$A$77:$A$104,'Calculo Leads Conveniencia'!M$77:M$104)*_xlfn.XLOOKUP($P737,'Base Grupo de Produtos'!$E$23:$E$39,'Base Grupo de Produtos'!$F$23:$F$39)</f>
        <v>0</v>
      </c>
      <c r="AA737" s="56">
        <f>_xlfn.XLOOKUP($N737,'Calculo Leads Conveniencia'!$A$77:$A$104,'Calculo Leads Conveniencia'!N$77:N$104)*_xlfn.XLOOKUP($P737,'Base Grupo de Produtos'!$E$23:$E$39,'Base Grupo de Produtos'!$F$23:$F$39)</f>
        <v>0</v>
      </c>
      <c r="AB737" s="56">
        <f>_xlfn.XLOOKUP($N737,'Calculo Leads Conveniencia'!$A$77:$A$104,'Calculo Leads Conveniencia'!O$77:O$104)*_xlfn.XLOOKUP($P737,'Base Grupo de Produtos'!$E$23:$E$39,'Base Grupo de Produtos'!$F$23:$F$39)</f>
        <v>0</v>
      </c>
      <c r="AC737" s="61">
        <f t="shared" si="752"/>
        <v>0</v>
      </c>
      <c r="AD737" s="28"/>
      <c r="AE737" s="12"/>
      <c r="AF737" s="29"/>
      <c r="AG737" s="9"/>
      <c r="AH737" s="10"/>
      <c r="AI737" s="9"/>
      <c r="AJ737" s="11"/>
      <c r="AK737" s="9"/>
      <c r="AL737" s="13"/>
      <c r="AM737" s="9"/>
    </row>
    <row r="738" spans="1:39" x14ac:dyDescent="0.3">
      <c r="A738" s="2" t="str">
        <f t="shared" si="753"/>
        <v>NÃO</v>
      </c>
      <c r="B738" s="2" t="str">
        <f>_xlfn.XLOOKUP($N738,'Base de Grupos'!$A:$A,'Base de Grupos'!$D:$D)</f>
        <v>1000065763</v>
      </c>
      <c r="C738" s="5" t="str">
        <f>_xlfn.XLOOKUP($N738,'Base de Grupos'!$A:$A,'Base de Grupos'!$E:$E)</f>
        <v>CANAL VENDA INTERNA</v>
      </c>
      <c r="D738" s="5" t="str">
        <f>_xlfn.XLOOKUP($N738,'Base de Grupos'!$A:$A,'Base de Grupos'!$F:$F)</f>
        <v>1000065763</v>
      </c>
      <c r="E738" s="2" t="str">
        <f>_xlfn.XLOOKUP($N738,'Base de Grupos'!$A:$A,'Base de Grupos'!$G:$G)</f>
        <v>CANAL VENDA INTERNA</v>
      </c>
      <c r="F738" s="2" t="str">
        <f>_xlfn.XLOOKUP($N738,'Base de Grupos'!$A:$A,'Base de Grupos'!$H:$H)</f>
        <v>1000174119</v>
      </c>
      <c r="G738" s="5" t="str">
        <f>_xlfn.XLOOKUP($N738,'Base de Grupos'!$A:$A,'Base de Grupos'!$I:$I)</f>
        <v>REGIONAL VENDA INTERNA - CONVENIENCIA</v>
      </c>
      <c r="H738" s="5" t="str">
        <f>_xlfn.XLOOKUP($N738,'Base de Grupos'!$A:$A,'Base de Grupos'!$J:$J)</f>
        <v>1000174119</v>
      </c>
      <c r="I738" s="2" t="str">
        <f>_xlfn.XLOOKUP($N738,'Base de Grupos'!$A:$A,'Base de Grupos'!$K:$K)</f>
        <v>REGIONAL VENDA INTERNA - CONVENIENCIA</v>
      </c>
      <c r="J738" s="2" t="str">
        <f>_xlfn.XLOOKUP($N738,'Base de Grupos'!$A:$A,'Base de Grupos'!$L:$L)</f>
        <v>1000174119</v>
      </c>
      <c r="K738" s="5" t="str">
        <f>_xlfn.XLOOKUP($N738,'Base de Grupos'!$A:$A,'Base de Grupos'!$M:$M)</f>
        <v>REGIONAL VENDA INTERNA - CONVENIENCIA</v>
      </c>
      <c r="L738" s="5" t="str">
        <f t="shared" si="754"/>
        <v/>
      </c>
      <c r="M738" s="5" t="str">
        <f>_xlfn.XLOOKUP($N738,'Base de Grupos'!$A:$A,'Base de Grupos'!$C:$C)</f>
        <v>CE</v>
      </c>
      <c r="N738" s="3">
        <v>1504</v>
      </c>
      <c r="O738" s="4" t="s">
        <v>264</v>
      </c>
      <c r="P738" s="5" t="s">
        <v>94</v>
      </c>
      <c r="Q738" s="56">
        <v>0</v>
      </c>
      <c r="R738" s="56">
        <v>0</v>
      </c>
      <c r="S738" s="56">
        <v>0</v>
      </c>
      <c r="T738" s="56">
        <f>_xlfn.XLOOKUP($N738,'Calculo Leads Conveniencia'!$A$77:$A$104,'Calculo Leads Conveniencia'!G$77:G$104)*_xlfn.XLOOKUP($P738,'Base Grupo de Produtos'!$E$23:$E$39,'Base Grupo de Produtos'!$F$23:$F$39)</f>
        <v>0</v>
      </c>
      <c r="U738" s="56">
        <f>_xlfn.XLOOKUP($N738,'Calculo Leads Conveniencia'!$A$77:$A$104,'Calculo Leads Conveniencia'!H$77:H$104)*_xlfn.XLOOKUP($P738,'Base Grupo de Produtos'!$E$23:$E$39,'Base Grupo de Produtos'!$F$23:$F$39)</f>
        <v>0</v>
      </c>
      <c r="V738" s="56">
        <f>_xlfn.XLOOKUP($N738,'Calculo Leads Conveniencia'!$A$77:$A$104,'Calculo Leads Conveniencia'!I$77:I$104)*_xlfn.XLOOKUP($P738,'Base Grupo de Produtos'!$E$23:$E$39,'Base Grupo de Produtos'!$F$23:$F$39)</f>
        <v>0</v>
      </c>
      <c r="W738" s="56">
        <f>_xlfn.XLOOKUP($N738,'Calculo Leads Conveniencia'!$A$77:$A$104,'Calculo Leads Conveniencia'!J$77:J$104)*_xlfn.XLOOKUP($P738,'Base Grupo de Produtos'!$E$23:$E$39,'Base Grupo de Produtos'!$F$23:$F$39)</f>
        <v>0</v>
      </c>
      <c r="X738" s="56">
        <f>_xlfn.XLOOKUP($N738,'Calculo Leads Conveniencia'!$A$77:$A$104,'Calculo Leads Conveniencia'!K$77:K$104)*_xlfn.XLOOKUP($P738,'Base Grupo de Produtos'!$E$23:$E$39,'Base Grupo de Produtos'!$F$23:$F$39)</f>
        <v>0</v>
      </c>
      <c r="Y738" s="56">
        <f>_xlfn.XLOOKUP($N738,'Calculo Leads Conveniencia'!$A$77:$A$104,'Calculo Leads Conveniencia'!L$77:L$104)*_xlfn.XLOOKUP($P738,'Base Grupo de Produtos'!$E$23:$E$39,'Base Grupo de Produtos'!$F$23:$F$39)</f>
        <v>0</v>
      </c>
      <c r="Z738" s="56">
        <f>_xlfn.XLOOKUP($N738,'Calculo Leads Conveniencia'!$A$77:$A$104,'Calculo Leads Conveniencia'!M$77:M$104)*_xlfn.XLOOKUP($P738,'Base Grupo de Produtos'!$E$23:$E$39,'Base Grupo de Produtos'!$F$23:$F$39)</f>
        <v>0</v>
      </c>
      <c r="AA738" s="56">
        <f>_xlfn.XLOOKUP($N738,'Calculo Leads Conveniencia'!$A$77:$A$104,'Calculo Leads Conveniencia'!N$77:N$104)*_xlfn.XLOOKUP($P738,'Base Grupo de Produtos'!$E$23:$E$39,'Base Grupo de Produtos'!$F$23:$F$39)</f>
        <v>0</v>
      </c>
      <c r="AB738" s="56">
        <f>_xlfn.XLOOKUP($N738,'Calculo Leads Conveniencia'!$A$77:$A$104,'Calculo Leads Conveniencia'!O$77:O$104)*_xlfn.XLOOKUP($P738,'Base Grupo de Produtos'!$E$23:$E$39,'Base Grupo de Produtos'!$F$23:$F$39)</f>
        <v>0</v>
      </c>
      <c r="AC738" s="61">
        <f t="shared" si="752"/>
        <v>0</v>
      </c>
      <c r="AD738" s="28"/>
      <c r="AE738" s="12"/>
      <c r="AF738" s="29"/>
      <c r="AG738" s="9"/>
      <c r="AH738" s="10"/>
      <c r="AI738" s="9"/>
      <c r="AJ738" s="11"/>
      <c r="AK738" s="9"/>
      <c r="AL738" s="13"/>
      <c r="AM738" s="9"/>
    </row>
    <row r="739" spans="1:39" x14ac:dyDescent="0.3">
      <c r="A739" s="2" t="str">
        <f t="shared" si="753"/>
        <v>NÃO</v>
      </c>
      <c r="B739" s="2" t="str">
        <f>_xlfn.XLOOKUP($N739,'Base de Grupos'!$A:$A,'Base de Grupos'!$D:$D)</f>
        <v>1000065763</v>
      </c>
      <c r="C739" s="5" t="str">
        <f>_xlfn.XLOOKUP($N739,'Base de Grupos'!$A:$A,'Base de Grupos'!$E:$E)</f>
        <v>CANAL VENDA INTERNA</v>
      </c>
      <c r="D739" s="5" t="str">
        <f>_xlfn.XLOOKUP($N739,'Base de Grupos'!$A:$A,'Base de Grupos'!$F:$F)</f>
        <v>1000065763</v>
      </c>
      <c r="E739" s="2" t="str">
        <f>_xlfn.XLOOKUP($N739,'Base de Grupos'!$A:$A,'Base de Grupos'!$G:$G)</f>
        <v>CANAL VENDA INTERNA</v>
      </c>
      <c r="F739" s="2" t="str">
        <f>_xlfn.XLOOKUP($N739,'Base de Grupos'!$A:$A,'Base de Grupos'!$H:$H)</f>
        <v>1000174119</v>
      </c>
      <c r="G739" s="5" t="str">
        <f>_xlfn.XLOOKUP($N739,'Base de Grupos'!$A:$A,'Base de Grupos'!$I:$I)</f>
        <v>REGIONAL VENDA INTERNA - CONVENIENCIA</v>
      </c>
      <c r="H739" s="5" t="str">
        <f>_xlfn.XLOOKUP($N739,'Base de Grupos'!$A:$A,'Base de Grupos'!$J:$J)</f>
        <v>1000174119</v>
      </c>
      <c r="I739" s="2" t="str">
        <f>_xlfn.XLOOKUP($N739,'Base de Grupos'!$A:$A,'Base de Grupos'!$K:$K)</f>
        <v>REGIONAL VENDA INTERNA - CONVENIENCIA</v>
      </c>
      <c r="J739" s="2" t="str">
        <f>_xlfn.XLOOKUP($N739,'Base de Grupos'!$A:$A,'Base de Grupos'!$L:$L)</f>
        <v>1000174119</v>
      </c>
      <c r="K739" s="5" t="str">
        <f>_xlfn.XLOOKUP($N739,'Base de Grupos'!$A:$A,'Base de Grupos'!$M:$M)</f>
        <v>REGIONAL VENDA INTERNA - CONVENIENCIA</v>
      </c>
      <c r="L739" s="5" t="str">
        <f t="shared" si="754"/>
        <v/>
      </c>
      <c r="M739" s="5" t="str">
        <f>_xlfn.XLOOKUP($N739,'Base de Grupos'!$A:$A,'Base de Grupos'!$C:$C)</f>
        <v>CE</v>
      </c>
      <c r="N739" s="3">
        <v>1504</v>
      </c>
      <c r="O739" s="4" t="s">
        <v>264</v>
      </c>
      <c r="P739" s="5" t="s">
        <v>95</v>
      </c>
      <c r="Q739" s="56">
        <v>0</v>
      </c>
      <c r="R739" s="56">
        <v>0</v>
      </c>
      <c r="S739" s="56">
        <v>0</v>
      </c>
      <c r="T739" s="56">
        <f>_xlfn.XLOOKUP($N739,'Calculo Leads Conveniencia'!$A$77:$A$104,'Calculo Leads Conveniencia'!G$77:G$104)*_xlfn.XLOOKUP($P739,'Base Grupo de Produtos'!$E$23:$E$39,'Base Grupo de Produtos'!$F$23:$F$39)</f>
        <v>0</v>
      </c>
      <c r="U739" s="56">
        <f>_xlfn.XLOOKUP($N739,'Calculo Leads Conveniencia'!$A$77:$A$104,'Calculo Leads Conveniencia'!H$77:H$104)*_xlfn.XLOOKUP($P739,'Base Grupo de Produtos'!$E$23:$E$39,'Base Grupo de Produtos'!$F$23:$F$39)</f>
        <v>0</v>
      </c>
      <c r="V739" s="56">
        <f>_xlfn.XLOOKUP($N739,'Calculo Leads Conveniencia'!$A$77:$A$104,'Calculo Leads Conveniencia'!I$77:I$104)*_xlfn.XLOOKUP($P739,'Base Grupo de Produtos'!$E$23:$E$39,'Base Grupo de Produtos'!$F$23:$F$39)</f>
        <v>0</v>
      </c>
      <c r="W739" s="56">
        <f>_xlfn.XLOOKUP($N739,'Calculo Leads Conveniencia'!$A$77:$A$104,'Calculo Leads Conveniencia'!J$77:J$104)*_xlfn.XLOOKUP($P739,'Base Grupo de Produtos'!$E$23:$E$39,'Base Grupo de Produtos'!$F$23:$F$39)</f>
        <v>0</v>
      </c>
      <c r="X739" s="56">
        <f>_xlfn.XLOOKUP($N739,'Calculo Leads Conveniencia'!$A$77:$A$104,'Calculo Leads Conveniencia'!K$77:K$104)*_xlfn.XLOOKUP($P739,'Base Grupo de Produtos'!$E$23:$E$39,'Base Grupo de Produtos'!$F$23:$F$39)</f>
        <v>0</v>
      </c>
      <c r="Y739" s="56">
        <f>_xlfn.XLOOKUP($N739,'Calculo Leads Conveniencia'!$A$77:$A$104,'Calculo Leads Conveniencia'!L$77:L$104)*_xlfn.XLOOKUP($P739,'Base Grupo de Produtos'!$E$23:$E$39,'Base Grupo de Produtos'!$F$23:$F$39)</f>
        <v>0</v>
      </c>
      <c r="Z739" s="56">
        <f>_xlfn.XLOOKUP($N739,'Calculo Leads Conveniencia'!$A$77:$A$104,'Calculo Leads Conveniencia'!M$77:M$104)*_xlfn.XLOOKUP($P739,'Base Grupo de Produtos'!$E$23:$E$39,'Base Grupo de Produtos'!$F$23:$F$39)</f>
        <v>0</v>
      </c>
      <c r="AA739" s="56">
        <f>_xlfn.XLOOKUP($N739,'Calculo Leads Conveniencia'!$A$77:$A$104,'Calculo Leads Conveniencia'!N$77:N$104)*_xlfn.XLOOKUP($P739,'Base Grupo de Produtos'!$E$23:$E$39,'Base Grupo de Produtos'!$F$23:$F$39)</f>
        <v>0</v>
      </c>
      <c r="AB739" s="56">
        <f>_xlfn.XLOOKUP($N739,'Calculo Leads Conveniencia'!$A$77:$A$104,'Calculo Leads Conveniencia'!O$77:O$104)*_xlfn.XLOOKUP($P739,'Base Grupo de Produtos'!$E$23:$E$39,'Base Grupo de Produtos'!$F$23:$F$39)</f>
        <v>0</v>
      </c>
      <c r="AC739" s="61">
        <f t="shared" si="752"/>
        <v>0</v>
      </c>
      <c r="AD739" s="28"/>
      <c r="AE739" s="12"/>
      <c r="AF739" s="29"/>
      <c r="AG739" s="9"/>
      <c r="AH739" s="10"/>
      <c r="AI739" s="9"/>
      <c r="AJ739" s="11"/>
      <c r="AK739" s="9"/>
      <c r="AL739" s="13"/>
      <c r="AM739" s="9"/>
    </row>
    <row r="740" spans="1:39" x14ac:dyDescent="0.3">
      <c r="A740" s="2" t="str">
        <f t="shared" si="753"/>
        <v>NÃO</v>
      </c>
      <c r="B740" s="2" t="str">
        <f>_xlfn.XLOOKUP($N740,'Base de Grupos'!$A:$A,'Base de Grupos'!$D:$D)</f>
        <v>1000065763</v>
      </c>
      <c r="C740" s="5" t="str">
        <f>_xlfn.XLOOKUP($N740,'Base de Grupos'!$A:$A,'Base de Grupos'!$E:$E)</f>
        <v>CANAL VENDA INTERNA</v>
      </c>
      <c r="D740" s="5" t="str">
        <f>_xlfn.XLOOKUP($N740,'Base de Grupos'!$A:$A,'Base de Grupos'!$F:$F)</f>
        <v>1000065763</v>
      </c>
      <c r="E740" s="2" t="str">
        <f>_xlfn.XLOOKUP($N740,'Base de Grupos'!$A:$A,'Base de Grupos'!$G:$G)</f>
        <v>CANAL VENDA INTERNA</v>
      </c>
      <c r="F740" s="2" t="str">
        <f>_xlfn.XLOOKUP($N740,'Base de Grupos'!$A:$A,'Base de Grupos'!$H:$H)</f>
        <v>1000174119</v>
      </c>
      <c r="G740" s="5" t="str">
        <f>_xlfn.XLOOKUP($N740,'Base de Grupos'!$A:$A,'Base de Grupos'!$I:$I)</f>
        <v>REGIONAL VENDA INTERNA - CONVENIENCIA</v>
      </c>
      <c r="H740" s="5" t="str">
        <f>_xlfn.XLOOKUP($N740,'Base de Grupos'!$A:$A,'Base de Grupos'!$J:$J)</f>
        <v>1000174119</v>
      </c>
      <c r="I740" s="2" t="str">
        <f>_xlfn.XLOOKUP($N740,'Base de Grupos'!$A:$A,'Base de Grupos'!$K:$K)</f>
        <v>REGIONAL VENDA INTERNA - CONVENIENCIA</v>
      </c>
      <c r="J740" s="2" t="str">
        <f>_xlfn.XLOOKUP($N740,'Base de Grupos'!$A:$A,'Base de Grupos'!$L:$L)</f>
        <v>1000174119</v>
      </c>
      <c r="K740" s="5" t="str">
        <f>_xlfn.XLOOKUP($N740,'Base de Grupos'!$A:$A,'Base de Grupos'!$M:$M)</f>
        <v>REGIONAL VENDA INTERNA - CONVENIENCIA</v>
      </c>
      <c r="L740" s="5" t="str">
        <f t="shared" si="754"/>
        <v/>
      </c>
      <c r="M740" s="5" t="str">
        <f>_xlfn.XLOOKUP($N740,'Base de Grupos'!$A:$A,'Base de Grupos'!$C:$C)</f>
        <v>CE</v>
      </c>
      <c r="N740" s="3">
        <v>1504</v>
      </c>
      <c r="O740" s="4" t="s">
        <v>264</v>
      </c>
      <c r="P740" s="5" t="s">
        <v>93</v>
      </c>
      <c r="Q740" s="56">
        <v>0</v>
      </c>
      <c r="R740" s="56">
        <v>0</v>
      </c>
      <c r="S740" s="56">
        <v>0</v>
      </c>
      <c r="T740" s="56">
        <f>_xlfn.XLOOKUP($N740,'Calculo Leads Conveniencia'!$A$77:$A$104,'Calculo Leads Conveniencia'!G$77:G$104)*_xlfn.XLOOKUP($P740,'Base Grupo de Produtos'!$E$23:$E$39,'Base Grupo de Produtos'!$F$23:$F$39)</f>
        <v>0</v>
      </c>
      <c r="U740" s="56">
        <f>_xlfn.XLOOKUP($N740,'Calculo Leads Conveniencia'!$A$77:$A$104,'Calculo Leads Conveniencia'!H$77:H$104)*_xlfn.XLOOKUP($P740,'Base Grupo de Produtos'!$E$23:$E$39,'Base Grupo de Produtos'!$F$23:$F$39)</f>
        <v>0</v>
      </c>
      <c r="V740" s="56">
        <f>_xlfn.XLOOKUP($N740,'Calculo Leads Conveniencia'!$A$77:$A$104,'Calculo Leads Conveniencia'!I$77:I$104)*_xlfn.XLOOKUP($P740,'Base Grupo de Produtos'!$E$23:$E$39,'Base Grupo de Produtos'!$F$23:$F$39)</f>
        <v>0</v>
      </c>
      <c r="W740" s="56">
        <f>_xlfn.XLOOKUP($N740,'Calculo Leads Conveniencia'!$A$77:$A$104,'Calculo Leads Conveniencia'!J$77:J$104)*_xlfn.XLOOKUP($P740,'Base Grupo de Produtos'!$E$23:$E$39,'Base Grupo de Produtos'!$F$23:$F$39)</f>
        <v>0</v>
      </c>
      <c r="X740" s="56">
        <f>_xlfn.XLOOKUP($N740,'Calculo Leads Conveniencia'!$A$77:$A$104,'Calculo Leads Conveniencia'!K$77:K$104)*_xlfn.XLOOKUP($P740,'Base Grupo de Produtos'!$E$23:$E$39,'Base Grupo de Produtos'!$F$23:$F$39)</f>
        <v>0</v>
      </c>
      <c r="Y740" s="56">
        <f>_xlfn.XLOOKUP($N740,'Calculo Leads Conveniencia'!$A$77:$A$104,'Calculo Leads Conveniencia'!L$77:L$104)*_xlfn.XLOOKUP($P740,'Base Grupo de Produtos'!$E$23:$E$39,'Base Grupo de Produtos'!$F$23:$F$39)</f>
        <v>0</v>
      </c>
      <c r="Z740" s="56">
        <f>_xlfn.XLOOKUP($N740,'Calculo Leads Conveniencia'!$A$77:$A$104,'Calculo Leads Conveniencia'!M$77:M$104)*_xlfn.XLOOKUP($P740,'Base Grupo de Produtos'!$E$23:$E$39,'Base Grupo de Produtos'!$F$23:$F$39)</f>
        <v>0</v>
      </c>
      <c r="AA740" s="56">
        <f>_xlfn.XLOOKUP($N740,'Calculo Leads Conveniencia'!$A$77:$A$104,'Calculo Leads Conveniencia'!N$77:N$104)*_xlfn.XLOOKUP($P740,'Base Grupo de Produtos'!$E$23:$E$39,'Base Grupo de Produtos'!$F$23:$F$39)</f>
        <v>0</v>
      </c>
      <c r="AB740" s="56">
        <f>_xlfn.XLOOKUP($N740,'Calculo Leads Conveniencia'!$A$77:$A$104,'Calculo Leads Conveniencia'!O$77:O$104)*_xlfn.XLOOKUP($P740,'Base Grupo de Produtos'!$E$23:$E$39,'Base Grupo de Produtos'!$F$23:$F$39)</f>
        <v>0</v>
      </c>
      <c r="AC740" s="61">
        <f t="shared" si="752"/>
        <v>0</v>
      </c>
      <c r="AD740" s="28"/>
      <c r="AE740" s="12"/>
      <c r="AF740" s="29"/>
      <c r="AG740" s="9"/>
      <c r="AH740" s="10"/>
      <c r="AI740" s="9"/>
      <c r="AJ740" s="11"/>
      <c r="AK740" s="9"/>
      <c r="AL740" s="13"/>
      <c r="AM740" s="9"/>
    </row>
    <row r="741" spans="1:39" x14ac:dyDescent="0.3">
      <c r="A741" s="2" t="str">
        <f t="shared" si="753"/>
        <v>SIM</v>
      </c>
      <c r="B741" s="2" t="str">
        <f>_xlfn.XLOOKUP($N741,'Base de Grupos'!$A:$A,'Base de Grupos'!$D:$D)</f>
        <v>1000065763</v>
      </c>
      <c r="C741" s="5" t="str">
        <f>_xlfn.XLOOKUP($N741,'Base de Grupos'!$A:$A,'Base de Grupos'!$E:$E)</f>
        <v>CANAL VENDA INTERNA</v>
      </c>
      <c r="D741" s="5" t="str">
        <f>_xlfn.XLOOKUP($N741,'Base de Grupos'!$A:$A,'Base de Grupos'!$F:$F)</f>
        <v>1000065763</v>
      </c>
      <c r="E741" s="2" t="str">
        <f>_xlfn.XLOOKUP($N741,'Base de Grupos'!$A:$A,'Base de Grupos'!$G:$G)</f>
        <v>CANAL VENDA INTERNA</v>
      </c>
      <c r="F741" s="2" t="str">
        <f>_xlfn.XLOOKUP($N741,'Base de Grupos'!$A:$A,'Base de Grupos'!$H:$H)</f>
        <v>1000174119</v>
      </c>
      <c r="G741" s="5" t="str">
        <f>_xlfn.XLOOKUP($N741,'Base de Grupos'!$A:$A,'Base de Grupos'!$I:$I)</f>
        <v>REGIONAL VENDA INTERNA - CONVENIENCIA</v>
      </c>
      <c r="H741" s="5" t="str">
        <f>_xlfn.XLOOKUP($N741,'Base de Grupos'!$A:$A,'Base de Grupos'!$J:$J)</f>
        <v>1000174119</v>
      </c>
      <c r="I741" s="2" t="str">
        <f>_xlfn.XLOOKUP($N741,'Base de Grupos'!$A:$A,'Base de Grupos'!$K:$K)</f>
        <v>REGIONAL VENDA INTERNA - CONVENIENCIA</v>
      </c>
      <c r="J741" s="2" t="str">
        <f>_xlfn.XLOOKUP($N741,'Base de Grupos'!$A:$A,'Base de Grupos'!$L:$L)</f>
        <v>1000174119</v>
      </c>
      <c r="K741" s="5" t="str">
        <f>_xlfn.XLOOKUP($N741,'Base de Grupos'!$A:$A,'Base de Grupos'!$M:$M)</f>
        <v>REGIONAL VENDA INTERNA - CONVENIENCIA</v>
      </c>
      <c r="L741" s="5">
        <f t="shared" si="754"/>
        <v>1</v>
      </c>
      <c r="M741" s="5" t="str">
        <f>_xlfn.XLOOKUP($N741,'Base de Grupos'!$A:$A,'Base de Grupos'!$C:$C)</f>
        <v>PI</v>
      </c>
      <c r="N741" s="3">
        <v>1505</v>
      </c>
      <c r="O741" s="4" t="s">
        <v>265</v>
      </c>
      <c r="P741" s="5" t="s">
        <v>335</v>
      </c>
      <c r="Q741" s="56">
        <f t="shared" ref="Q741" si="768">SUM(Q742:Q758)</f>
        <v>0</v>
      </c>
      <c r="R741" s="56">
        <f t="shared" ref="R741" si="769">SUM(R742:R758)</f>
        <v>0</v>
      </c>
      <c r="S741" s="56">
        <f t="shared" ref="S741" si="770">SUM(S742:S758)</f>
        <v>0</v>
      </c>
      <c r="T741" s="56">
        <f t="shared" ref="T741" si="771">SUM(T742:T758)</f>
        <v>0</v>
      </c>
      <c r="U741" s="56">
        <f t="shared" ref="U741" si="772">SUM(U742:U758)</f>
        <v>0</v>
      </c>
      <c r="V741" s="56">
        <f t="shared" ref="V741" si="773">SUM(V742:V758)</f>
        <v>0</v>
      </c>
      <c r="W741" s="56">
        <f t="shared" ref="W741" si="774">SUM(W742:W758)</f>
        <v>0</v>
      </c>
      <c r="X741" s="56">
        <f t="shared" ref="X741" si="775">SUM(X742:X758)</f>
        <v>0</v>
      </c>
      <c r="Y741" s="56">
        <f t="shared" ref="Y741" si="776">SUM(Y742:Y758)</f>
        <v>0</v>
      </c>
      <c r="Z741" s="56">
        <f t="shared" ref="Z741" si="777">SUM(Z742:Z758)</f>
        <v>0</v>
      </c>
      <c r="AA741" s="56">
        <f t="shared" ref="AA741" si="778">SUM(AA742:AA758)</f>
        <v>0</v>
      </c>
      <c r="AB741" s="56">
        <f t="shared" ref="AB741" si="779">SUM(AB742:AB758)</f>
        <v>0</v>
      </c>
      <c r="AC741" s="56">
        <f t="shared" ref="AC741" si="780">SUM(AC742:AC758)</f>
        <v>0</v>
      </c>
      <c r="AD741" s="28"/>
      <c r="AE741" s="12"/>
      <c r="AF741" s="29"/>
      <c r="AG741" s="9"/>
      <c r="AH741" s="10"/>
      <c r="AI741" s="9"/>
      <c r="AJ741" s="11"/>
      <c r="AK741" s="9"/>
      <c r="AL741" s="13"/>
      <c r="AM741" s="9"/>
    </row>
    <row r="742" spans="1:39" x14ac:dyDescent="0.3">
      <c r="A742" s="2" t="str">
        <f t="shared" si="753"/>
        <v>NÃO</v>
      </c>
      <c r="B742" s="2" t="str">
        <f>_xlfn.XLOOKUP($N742,'Base de Grupos'!$A:$A,'Base de Grupos'!$D:$D)</f>
        <v>1000065763</v>
      </c>
      <c r="C742" s="5" t="str">
        <f>_xlfn.XLOOKUP($N742,'Base de Grupos'!$A:$A,'Base de Grupos'!$E:$E)</f>
        <v>CANAL VENDA INTERNA</v>
      </c>
      <c r="D742" s="5" t="str">
        <f>_xlfn.XLOOKUP($N742,'Base de Grupos'!$A:$A,'Base de Grupos'!$F:$F)</f>
        <v>1000065763</v>
      </c>
      <c r="E742" s="2" t="str">
        <f>_xlfn.XLOOKUP($N742,'Base de Grupos'!$A:$A,'Base de Grupos'!$G:$G)</f>
        <v>CANAL VENDA INTERNA</v>
      </c>
      <c r="F742" s="2" t="str">
        <f>_xlfn.XLOOKUP($N742,'Base de Grupos'!$A:$A,'Base de Grupos'!$H:$H)</f>
        <v>1000174119</v>
      </c>
      <c r="G742" s="5" t="str">
        <f>_xlfn.XLOOKUP($N742,'Base de Grupos'!$A:$A,'Base de Grupos'!$I:$I)</f>
        <v>REGIONAL VENDA INTERNA - CONVENIENCIA</v>
      </c>
      <c r="H742" s="5" t="str">
        <f>_xlfn.XLOOKUP($N742,'Base de Grupos'!$A:$A,'Base de Grupos'!$J:$J)</f>
        <v>1000174119</v>
      </c>
      <c r="I742" s="2" t="str">
        <f>_xlfn.XLOOKUP($N742,'Base de Grupos'!$A:$A,'Base de Grupos'!$K:$K)</f>
        <v>REGIONAL VENDA INTERNA - CONVENIENCIA</v>
      </c>
      <c r="J742" s="2" t="str">
        <f>_xlfn.XLOOKUP($N742,'Base de Grupos'!$A:$A,'Base de Grupos'!$L:$L)</f>
        <v>1000174119</v>
      </c>
      <c r="K742" s="5" t="str">
        <f>_xlfn.XLOOKUP($N742,'Base de Grupos'!$A:$A,'Base de Grupos'!$M:$M)</f>
        <v>REGIONAL VENDA INTERNA - CONVENIENCIA</v>
      </c>
      <c r="L742" s="5" t="str">
        <f t="shared" si="754"/>
        <v/>
      </c>
      <c r="M742" s="5" t="str">
        <f>_xlfn.XLOOKUP($N742,'Base de Grupos'!$A:$A,'Base de Grupos'!$C:$C)</f>
        <v>PI</v>
      </c>
      <c r="N742" s="3">
        <v>1505</v>
      </c>
      <c r="O742" s="4" t="s">
        <v>265</v>
      </c>
      <c r="P742" s="5" t="s">
        <v>81</v>
      </c>
      <c r="Q742" s="56">
        <v>0</v>
      </c>
      <c r="R742" s="56">
        <v>0</v>
      </c>
      <c r="S742" s="56">
        <v>0</v>
      </c>
      <c r="T742" s="56">
        <f>_xlfn.XLOOKUP($N742,'Calculo Leads Conveniencia'!$A$77:$A$104,'Calculo Leads Conveniencia'!G$77:G$104)*_xlfn.XLOOKUP($P742,'Base Grupo de Produtos'!$E$23:$E$39,'Base Grupo de Produtos'!$F$23:$F$39)</f>
        <v>0</v>
      </c>
      <c r="U742" s="56">
        <f>_xlfn.XLOOKUP($N742,'Calculo Leads Conveniencia'!$A$77:$A$104,'Calculo Leads Conveniencia'!H$77:H$104)*_xlfn.XLOOKUP($P742,'Base Grupo de Produtos'!$E$23:$E$39,'Base Grupo de Produtos'!$F$23:$F$39)</f>
        <v>0</v>
      </c>
      <c r="V742" s="56">
        <f>_xlfn.XLOOKUP($N742,'Calculo Leads Conveniencia'!$A$77:$A$104,'Calculo Leads Conveniencia'!I$77:I$104)*_xlfn.XLOOKUP($P742,'Base Grupo de Produtos'!$E$23:$E$39,'Base Grupo de Produtos'!$F$23:$F$39)</f>
        <v>0</v>
      </c>
      <c r="W742" s="56">
        <f>_xlfn.XLOOKUP($N742,'Calculo Leads Conveniencia'!$A$77:$A$104,'Calculo Leads Conveniencia'!J$77:J$104)*_xlfn.XLOOKUP($P742,'Base Grupo de Produtos'!$E$23:$E$39,'Base Grupo de Produtos'!$F$23:$F$39)</f>
        <v>0</v>
      </c>
      <c r="X742" s="56">
        <f>_xlfn.XLOOKUP($N742,'Calculo Leads Conveniencia'!$A$77:$A$104,'Calculo Leads Conveniencia'!K$77:K$104)*_xlfn.XLOOKUP($P742,'Base Grupo de Produtos'!$E$23:$E$39,'Base Grupo de Produtos'!$F$23:$F$39)</f>
        <v>0</v>
      </c>
      <c r="Y742" s="56">
        <f>_xlfn.XLOOKUP($N742,'Calculo Leads Conveniencia'!$A$77:$A$104,'Calculo Leads Conveniencia'!L$77:L$104)*_xlfn.XLOOKUP($P742,'Base Grupo de Produtos'!$E$23:$E$39,'Base Grupo de Produtos'!$F$23:$F$39)</f>
        <v>0</v>
      </c>
      <c r="Z742" s="56">
        <f>_xlfn.XLOOKUP($N742,'Calculo Leads Conveniencia'!$A$77:$A$104,'Calculo Leads Conveniencia'!M$77:M$104)*_xlfn.XLOOKUP($P742,'Base Grupo de Produtos'!$E$23:$E$39,'Base Grupo de Produtos'!$F$23:$F$39)</f>
        <v>0</v>
      </c>
      <c r="AA742" s="56">
        <f>_xlfn.XLOOKUP($N742,'Calculo Leads Conveniencia'!$A$77:$A$104,'Calculo Leads Conveniencia'!N$77:N$104)*_xlfn.XLOOKUP($P742,'Base Grupo de Produtos'!$E$23:$E$39,'Base Grupo de Produtos'!$F$23:$F$39)</f>
        <v>0</v>
      </c>
      <c r="AB742" s="56">
        <f>_xlfn.XLOOKUP($N742,'Calculo Leads Conveniencia'!$A$77:$A$104,'Calculo Leads Conveniencia'!O$77:O$104)*_xlfn.XLOOKUP($P742,'Base Grupo de Produtos'!$E$23:$E$39,'Base Grupo de Produtos'!$F$23:$F$39)</f>
        <v>0</v>
      </c>
      <c r="AC742" s="61">
        <f t="shared" si="752"/>
        <v>0</v>
      </c>
      <c r="AD742" s="28"/>
      <c r="AE742" s="12"/>
      <c r="AF742" s="29"/>
      <c r="AG742" s="9"/>
      <c r="AH742" s="10"/>
      <c r="AI742" s="9"/>
      <c r="AJ742" s="11"/>
      <c r="AK742" s="9"/>
      <c r="AL742" s="13"/>
      <c r="AM742" s="9"/>
    </row>
    <row r="743" spans="1:39" x14ac:dyDescent="0.3">
      <c r="A743" s="2" t="str">
        <f t="shared" si="753"/>
        <v>NÃO</v>
      </c>
      <c r="B743" s="2" t="str">
        <f>_xlfn.XLOOKUP($N743,'Base de Grupos'!$A:$A,'Base de Grupos'!$D:$D)</f>
        <v>1000065763</v>
      </c>
      <c r="C743" s="5" t="str">
        <f>_xlfn.XLOOKUP($N743,'Base de Grupos'!$A:$A,'Base de Grupos'!$E:$E)</f>
        <v>CANAL VENDA INTERNA</v>
      </c>
      <c r="D743" s="5" t="str">
        <f>_xlfn.XLOOKUP($N743,'Base de Grupos'!$A:$A,'Base de Grupos'!$F:$F)</f>
        <v>1000065763</v>
      </c>
      <c r="E743" s="2" t="str">
        <f>_xlfn.XLOOKUP($N743,'Base de Grupos'!$A:$A,'Base de Grupos'!$G:$G)</f>
        <v>CANAL VENDA INTERNA</v>
      </c>
      <c r="F743" s="2" t="str">
        <f>_xlfn.XLOOKUP($N743,'Base de Grupos'!$A:$A,'Base de Grupos'!$H:$H)</f>
        <v>1000174119</v>
      </c>
      <c r="G743" s="5" t="str">
        <f>_xlfn.XLOOKUP($N743,'Base de Grupos'!$A:$A,'Base de Grupos'!$I:$I)</f>
        <v>REGIONAL VENDA INTERNA - CONVENIENCIA</v>
      </c>
      <c r="H743" s="5" t="str">
        <f>_xlfn.XLOOKUP($N743,'Base de Grupos'!$A:$A,'Base de Grupos'!$J:$J)</f>
        <v>1000174119</v>
      </c>
      <c r="I743" s="2" t="str">
        <f>_xlfn.XLOOKUP($N743,'Base de Grupos'!$A:$A,'Base de Grupos'!$K:$K)</f>
        <v>REGIONAL VENDA INTERNA - CONVENIENCIA</v>
      </c>
      <c r="J743" s="2" t="str">
        <f>_xlfn.XLOOKUP($N743,'Base de Grupos'!$A:$A,'Base de Grupos'!$L:$L)</f>
        <v>1000174119</v>
      </c>
      <c r="K743" s="5" t="str">
        <f>_xlfn.XLOOKUP($N743,'Base de Grupos'!$A:$A,'Base de Grupos'!$M:$M)</f>
        <v>REGIONAL VENDA INTERNA - CONVENIENCIA</v>
      </c>
      <c r="L743" s="5" t="str">
        <f t="shared" si="754"/>
        <v/>
      </c>
      <c r="M743" s="5" t="str">
        <f>_xlfn.XLOOKUP($N743,'Base de Grupos'!$A:$A,'Base de Grupos'!$C:$C)</f>
        <v>PI</v>
      </c>
      <c r="N743" s="3">
        <v>1505</v>
      </c>
      <c r="O743" s="4" t="s">
        <v>265</v>
      </c>
      <c r="P743" s="5" t="s">
        <v>82</v>
      </c>
      <c r="Q743" s="56">
        <v>0</v>
      </c>
      <c r="R743" s="56">
        <v>0</v>
      </c>
      <c r="S743" s="56">
        <v>0</v>
      </c>
      <c r="T743" s="56">
        <f>_xlfn.XLOOKUP($N743,'Calculo Leads Conveniencia'!$A$77:$A$104,'Calculo Leads Conveniencia'!G$77:G$104)*_xlfn.XLOOKUP($P743,'Base Grupo de Produtos'!$E$23:$E$39,'Base Grupo de Produtos'!$F$23:$F$39)</f>
        <v>0</v>
      </c>
      <c r="U743" s="56">
        <f>_xlfn.XLOOKUP($N743,'Calculo Leads Conveniencia'!$A$77:$A$104,'Calculo Leads Conveniencia'!H$77:H$104)*_xlfn.XLOOKUP($P743,'Base Grupo de Produtos'!$E$23:$E$39,'Base Grupo de Produtos'!$F$23:$F$39)</f>
        <v>0</v>
      </c>
      <c r="V743" s="56">
        <f>_xlfn.XLOOKUP($N743,'Calculo Leads Conveniencia'!$A$77:$A$104,'Calculo Leads Conveniencia'!I$77:I$104)*_xlfn.XLOOKUP($P743,'Base Grupo de Produtos'!$E$23:$E$39,'Base Grupo de Produtos'!$F$23:$F$39)</f>
        <v>0</v>
      </c>
      <c r="W743" s="56">
        <f>_xlfn.XLOOKUP($N743,'Calculo Leads Conveniencia'!$A$77:$A$104,'Calculo Leads Conveniencia'!J$77:J$104)*_xlfn.XLOOKUP($P743,'Base Grupo de Produtos'!$E$23:$E$39,'Base Grupo de Produtos'!$F$23:$F$39)</f>
        <v>0</v>
      </c>
      <c r="X743" s="56">
        <f>_xlfn.XLOOKUP($N743,'Calculo Leads Conveniencia'!$A$77:$A$104,'Calculo Leads Conveniencia'!K$77:K$104)*_xlfn.XLOOKUP($P743,'Base Grupo de Produtos'!$E$23:$E$39,'Base Grupo de Produtos'!$F$23:$F$39)</f>
        <v>0</v>
      </c>
      <c r="Y743" s="56">
        <f>_xlfn.XLOOKUP($N743,'Calculo Leads Conveniencia'!$A$77:$A$104,'Calculo Leads Conveniencia'!L$77:L$104)*_xlfn.XLOOKUP($P743,'Base Grupo de Produtos'!$E$23:$E$39,'Base Grupo de Produtos'!$F$23:$F$39)</f>
        <v>0</v>
      </c>
      <c r="Z743" s="56">
        <f>_xlfn.XLOOKUP($N743,'Calculo Leads Conveniencia'!$A$77:$A$104,'Calculo Leads Conveniencia'!M$77:M$104)*_xlfn.XLOOKUP($P743,'Base Grupo de Produtos'!$E$23:$E$39,'Base Grupo de Produtos'!$F$23:$F$39)</f>
        <v>0</v>
      </c>
      <c r="AA743" s="56">
        <f>_xlfn.XLOOKUP($N743,'Calculo Leads Conveniencia'!$A$77:$A$104,'Calculo Leads Conveniencia'!N$77:N$104)*_xlfn.XLOOKUP($P743,'Base Grupo de Produtos'!$E$23:$E$39,'Base Grupo de Produtos'!$F$23:$F$39)</f>
        <v>0</v>
      </c>
      <c r="AB743" s="56">
        <f>_xlfn.XLOOKUP($N743,'Calculo Leads Conveniencia'!$A$77:$A$104,'Calculo Leads Conveniencia'!O$77:O$104)*_xlfn.XLOOKUP($P743,'Base Grupo de Produtos'!$E$23:$E$39,'Base Grupo de Produtos'!$F$23:$F$39)</f>
        <v>0</v>
      </c>
      <c r="AC743" s="61">
        <f t="shared" si="752"/>
        <v>0</v>
      </c>
      <c r="AD743" s="28"/>
      <c r="AE743" s="12"/>
      <c r="AF743" s="29"/>
      <c r="AG743" s="9"/>
      <c r="AH743" s="10"/>
      <c r="AI743" s="9"/>
      <c r="AJ743" s="11"/>
      <c r="AK743" s="9"/>
      <c r="AL743" s="13"/>
      <c r="AM743" s="9"/>
    </row>
    <row r="744" spans="1:39" x14ac:dyDescent="0.3">
      <c r="A744" s="2" t="str">
        <f t="shared" si="753"/>
        <v>NÃO</v>
      </c>
      <c r="B744" s="2" t="str">
        <f>_xlfn.XLOOKUP($N744,'Base de Grupos'!$A:$A,'Base de Grupos'!$D:$D)</f>
        <v>1000065763</v>
      </c>
      <c r="C744" s="5" t="str">
        <f>_xlfn.XLOOKUP($N744,'Base de Grupos'!$A:$A,'Base de Grupos'!$E:$E)</f>
        <v>CANAL VENDA INTERNA</v>
      </c>
      <c r="D744" s="5" t="str">
        <f>_xlfn.XLOOKUP($N744,'Base de Grupos'!$A:$A,'Base de Grupos'!$F:$F)</f>
        <v>1000065763</v>
      </c>
      <c r="E744" s="2" t="str">
        <f>_xlfn.XLOOKUP($N744,'Base de Grupos'!$A:$A,'Base de Grupos'!$G:$G)</f>
        <v>CANAL VENDA INTERNA</v>
      </c>
      <c r="F744" s="2" t="str">
        <f>_xlfn.XLOOKUP($N744,'Base de Grupos'!$A:$A,'Base de Grupos'!$H:$H)</f>
        <v>1000174119</v>
      </c>
      <c r="G744" s="5" t="str">
        <f>_xlfn.XLOOKUP($N744,'Base de Grupos'!$A:$A,'Base de Grupos'!$I:$I)</f>
        <v>REGIONAL VENDA INTERNA - CONVENIENCIA</v>
      </c>
      <c r="H744" s="5" t="str">
        <f>_xlfn.XLOOKUP($N744,'Base de Grupos'!$A:$A,'Base de Grupos'!$J:$J)</f>
        <v>1000174119</v>
      </c>
      <c r="I744" s="2" t="str">
        <f>_xlfn.XLOOKUP($N744,'Base de Grupos'!$A:$A,'Base de Grupos'!$K:$K)</f>
        <v>REGIONAL VENDA INTERNA - CONVENIENCIA</v>
      </c>
      <c r="J744" s="2" t="str">
        <f>_xlfn.XLOOKUP($N744,'Base de Grupos'!$A:$A,'Base de Grupos'!$L:$L)</f>
        <v>1000174119</v>
      </c>
      <c r="K744" s="5" t="str">
        <f>_xlfn.XLOOKUP($N744,'Base de Grupos'!$A:$A,'Base de Grupos'!$M:$M)</f>
        <v>REGIONAL VENDA INTERNA - CONVENIENCIA</v>
      </c>
      <c r="L744" s="5" t="str">
        <f t="shared" si="754"/>
        <v/>
      </c>
      <c r="M744" s="5" t="str">
        <f>_xlfn.XLOOKUP($N744,'Base de Grupos'!$A:$A,'Base de Grupos'!$C:$C)</f>
        <v>PI</v>
      </c>
      <c r="N744" s="3">
        <v>1505</v>
      </c>
      <c r="O744" s="4" t="s">
        <v>265</v>
      </c>
      <c r="P744" s="5" t="s">
        <v>84</v>
      </c>
      <c r="Q744" s="56">
        <v>0</v>
      </c>
      <c r="R744" s="56">
        <v>0</v>
      </c>
      <c r="S744" s="56">
        <v>0</v>
      </c>
      <c r="T744" s="56">
        <f>_xlfn.XLOOKUP($N744,'Calculo Leads Conveniencia'!$A$77:$A$104,'Calculo Leads Conveniencia'!G$77:G$104)*_xlfn.XLOOKUP($P744,'Base Grupo de Produtos'!$E$23:$E$39,'Base Grupo de Produtos'!$F$23:$F$39)</f>
        <v>0</v>
      </c>
      <c r="U744" s="56">
        <f>_xlfn.XLOOKUP($N744,'Calculo Leads Conveniencia'!$A$77:$A$104,'Calculo Leads Conveniencia'!H$77:H$104)*_xlfn.XLOOKUP($P744,'Base Grupo de Produtos'!$E$23:$E$39,'Base Grupo de Produtos'!$F$23:$F$39)</f>
        <v>0</v>
      </c>
      <c r="V744" s="56">
        <f>_xlfn.XLOOKUP($N744,'Calculo Leads Conveniencia'!$A$77:$A$104,'Calculo Leads Conveniencia'!I$77:I$104)*_xlfn.XLOOKUP($P744,'Base Grupo de Produtos'!$E$23:$E$39,'Base Grupo de Produtos'!$F$23:$F$39)</f>
        <v>0</v>
      </c>
      <c r="W744" s="56">
        <f>_xlfn.XLOOKUP($N744,'Calculo Leads Conveniencia'!$A$77:$A$104,'Calculo Leads Conveniencia'!J$77:J$104)*_xlfn.XLOOKUP($P744,'Base Grupo de Produtos'!$E$23:$E$39,'Base Grupo de Produtos'!$F$23:$F$39)</f>
        <v>0</v>
      </c>
      <c r="X744" s="56">
        <f>_xlfn.XLOOKUP($N744,'Calculo Leads Conveniencia'!$A$77:$A$104,'Calculo Leads Conveniencia'!K$77:K$104)*_xlfn.XLOOKUP($P744,'Base Grupo de Produtos'!$E$23:$E$39,'Base Grupo de Produtos'!$F$23:$F$39)</f>
        <v>0</v>
      </c>
      <c r="Y744" s="56">
        <f>_xlfn.XLOOKUP($N744,'Calculo Leads Conveniencia'!$A$77:$A$104,'Calculo Leads Conveniencia'!L$77:L$104)*_xlfn.XLOOKUP($P744,'Base Grupo de Produtos'!$E$23:$E$39,'Base Grupo de Produtos'!$F$23:$F$39)</f>
        <v>0</v>
      </c>
      <c r="Z744" s="56">
        <f>_xlfn.XLOOKUP($N744,'Calculo Leads Conveniencia'!$A$77:$A$104,'Calculo Leads Conveniencia'!M$77:M$104)*_xlfn.XLOOKUP($P744,'Base Grupo de Produtos'!$E$23:$E$39,'Base Grupo de Produtos'!$F$23:$F$39)</f>
        <v>0</v>
      </c>
      <c r="AA744" s="56">
        <f>_xlfn.XLOOKUP($N744,'Calculo Leads Conveniencia'!$A$77:$A$104,'Calculo Leads Conveniencia'!N$77:N$104)*_xlfn.XLOOKUP($P744,'Base Grupo de Produtos'!$E$23:$E$39,'Base Grupo de Produtos'!$F$23:$F$39)</f>
        <v>0</v>
      </c>
      <c r="AB744" s="56">
        <f>_xlfn.XLOOKUP($N744,'Calculo Leads Conveniencia'!$A$77:$A$104,'Calculo Leads Conveniencia'!O$77:O$104)*_xlfn.XLOOKUP($P744,'Base Grupo de Produtos'!$E$23:$E$39,'Base Grupo de Produtos'!$F$23:$F$39)</f>
        <v>0</v>
      </c>
      <c r="AC744" s="61">
        <f t="shared" si="752"/>
        <v>0</v>
      </c>
      <c r="AD744" s="28"/>
      <c r="AE744" s="12"/>
      <c r="AF744" s="29"/>
      <c r="AG744" s="9"/>
      <c r="AH744" s="10"/>
      <c r="AI744" s="9"/>
      <c r="AJ744" s="11"/>
      <c r="AK744" s="9"/>
      <c r="AL744" s="13"/>
      <c r="AM744" s="9"/>
    </row>
    <row r="745" spans="1:39" x14ac:dyDescent="0.3">
      <c r="A745" s="2" t="str">
        <f t="shared" si="753"/>
        <v>NÃO</v>
      </c>
      <c r="B745" s="2" t="str">
        <f>_xlfn.XLOOKUP($N745,'Base de Grupos'!$A:$A,'Base de Grupos'!$D:$D)</f>
        <v>1000065763</v>
      </c>
      <c r="C745" s="5" t="str">
        <f>_xlfn.XLOOKUP($N745,'Base de Grupos'!$A:$A,'Base de Grupos'!$E:$E)</f>
        <v>CANAL VENDA INTERNA</v>
      </c>
      <c r="D745" s="5" t="str">
        <f>_xlfn.XLOOKUP($N745,'Base de Grupos'!$A:$A,'Base de Grupos'!$F:$F)</f>
        <v>1000065763</v>
      </c>
      <c r="E745" s="2" t="str">
        <f>_xlfn.XLOOKUP($N745,'Base de Grupos'!$A:$A,'Base de Grupos'!$G:$G)</f>
        <v>CANAL VENDA INTERNA</v>
      </c>
      <c r="F745" s="2" t="str">
        <f>_xlfn.XLOOKUP($N745,'Base de Grupos'!$A:$A,'Base de Grupos'!$H:$H)</f>
        <v>1000174119</v>
      </c>
      <c r="G745" s="5" t="str">
        <f>_xlfn.XLOOKUP($N745,'Base de Grupos'!$A:$A,'Base de Grupos'!$I:$I)</f>
        <v>REGIONAL VENDA INTERNA - CONVENIENCIA</v>
      </c>
      <c r="H745" s="5" t="str">
        <f>_xlfn.XLOOKUP($N745,'Base de Grupos'!$A:$A,'Base de Grupos'!$J:$J)</f>
        <v>1000174119</v>
      </c>
      <c r="I745" s="2" t="str">
        <f>_xlfn.XLOOKUP($N745,'Base de Grupos'!$A:$A,'Base de Grupos'!$K:$K)</f>
        <v>REGIONAL VENDA INTERNA - CONVENIENCIA</v>
      </c>
      <c r="J745" s="2" t="str">
        <f>_xlfn.XLOOKUP($N745,'Base de Grupos'!$A:$A,'Base de Grupos'!$L:$L)</f>
        <v>1000174119</v>
      </c>
      <c r="K745" s="5" t="str">
        <f>_xlfn.XLOOKUP($N745,'Base de Grupos'!$A:$A,'Base de Grupos'!$M:$M)</f>
        <v>REGIONAL VENDA INTERNA - CONVENIENCIA</v>
      </c>
      <c r="L745" s="5" t="str">
        <f t="shared" si="754"/>
        <v/>
      </c>
      <c r="M745" s="5" t="str">
        <f>_xlfn.XLOOKUP($N745,'Base de Grupos'!$A:$A,'Base de Grupos'!$C:$C)</f>
        <v>PI</v>
      </c>
      <c r="N745" s="3">
        <v>1505</v>
      </c>
      <c r="O745" s="4" t="s">
        <v>265</v>
      </c>
      <c r="P745" s="5" t="s">
        <v>83</v>
      </c>
      <c r="Q745" s="56">
        <v>0</v>
      </c>
      <c r="R745" s="56">
        <v>0</v>
      </c>
      <c r="S745" s="56">
        <v>0</v>
      </c>
      <c r="T745" s="56">
        <f>_xlfn.XLOOKUP($N745,'Calculo Leads Conveniencia'!$A$77:$A$104,'Calculo Leads Conveniencia'!G$77:G$104)*_xlfn.XLOOKUP($P745,'Base Grupo de Produtos'!$E$23:$E$39,'Base Grupo de Produtos'!$F$23:$F$39)</f>
        <v>0</v>
      </c>
      <c r="U745" s="56">
        <f>_xlfn.XLOOKUP($N745,'Calculo Leads Conveniencia'!$A$77:$A$104,'Calculo Leads Conveniencia'!H$77:H$104)*_xlfn.XLOOKUP($P745,'Base Grupo de Produtos'!$E$23:$E$39,'Base Grupo de Produtos'!$F$23:$F$39)</f>
        <v>0</v>
      </c>
      <c r="V745" s="56">
        <f>_xlfn.XLOOKUP($N745,'Calculo Leads Conveniencia'!$A$77:$A$104,'Calculo Leads Conveniencia'!I$77:I$104)*_xlfn.XLOOKUP($P745,'Base Grupo de Produtos'!$E$23:$E$39,'Base Grupo de Produtos'!$F$23:$F$39)</f>
        <v>0</v>
      </c>
      <c r="W745" s="56">
        <f>_xlfn.XLOOKUP($N745,'Calculo Leads Conveniencia'!$A$77:$A$104,'Calculo Leads Conveniencia'!J$77:J$104)*_xlfn.XLOOKUP($P745,'Base Grupo de Produtos'!$E$23:$E$39,'Base Grupo de Produtos'!$F$23:$F$39)</f>
        <v>0</v>
      </c>
      <c r="X745" s="56">
        <f>_xlfn.XLOOKUP($N745,'Calculo Leads Conveniencia'!$A$77:$A$104,'Calculo Leads Conveniencia'!K$77:K$104)*_xlfn.XLOOKUP($P745,'Base Grupo de Produtos'!$E$23:$E$39,'Base Grupo de Produtos'!$F$23:$F$39)</f>
        <v>0</v>
      </c>
      <c r="Y745" s="56">
        <f>_xlfn.XLOOKUP($N745,'Calculo Leads Conveniencia'!$A$77:$A$104,'Calculo Leads Conveniencia'!L$77:L$104)*_xlfn.XLOOKUP($P745,'Base Grupo de Produtos'!$E$23:$E$39,'Base Grupo de Produtos'!$F$23:$F$39)</f>
        <v>0</v>
      </c>
      <c r="Z745" s="56">
        <f>_xlfn.XLOOKUP($N745,'Calculo Leads Conveniencia'!$A$77:$A$104,'Calculo Leads Conveniencia'!M$77:M$104)*_xlfn.XLOOKUP($P745,'Base Grupo de Produtos'!$E$23:$E$39,'Base Grupo de Produtos'!$F$23:$F$39)</f>
        <v>0</v>
      </c>
      <c r="AA745" s="56">
        <f>_xlfn.XLOOKUP($N745,'Calculo Leads Conveniencia'!$A$77:$A$104,'Calculo Leads Conveniencia'!N$77:N$104)*_xlfn.XLOOKUP($P745,'Base Grupo de Produtos'!$E$23:$E$39,'Base Grupo de Produtos'!$F$23:$F$39)</f>
        <v>0</v>
      </c>
      <c r="AB745" s="56">
        <f>_xlfn.XLOOKUP($N745,'Calculo Leads Conveniencia'!$A$77:$A$104,'Calculo Leads Conveniencia'!O$77:O$104)*_xlfn.XLOOKUP($P745,'Base Grupo de Produtos'!$E$23:$E$39,'Base Grupo de Produtos'!$F$23:$F$39)</f>
        <v>0</v>
      </c>
      <c r="AC745" s="61">
        <f t="shared" si="752"/>
        <v>0</v>
      </c>
      <c r="AD745" s="28"/>
      <c r="AE745" s="12"/>
      <c r="AF745" s="29"/>
      <c r="AG745" s="9"/>
      <c r="AH745" s="10"/>
      <c r="AI745" s="9"/>
      <c r="AJ745" s="11"/>
      <c r="AK745" s="9"/>
      <c r="AL745" s="13"/>
      <c r="AM745" s="9"/>
    </row>
    <row r="746" spans="1:39" x14ac:dyDescent="0.3">
      <c r="A746" s="2" t="str">
        <f t="shared" si="753"/>
        <v>NÃO</v>
      </c>
      <c r="B746" s="2" t="str">
        <f>_xlfn.XLOOKUP($N746,'Base de Grupos'!$A:$A,'Base de Grupos'!$D:$D)</f>
        <v>1000065763</v>
      </c>
      <c r="C746" s="5" t="str">
        <f>_xlfn.XLOOKUP($N746,'Base de Grupos'!$A:$A,'Base de Grupos'!$E:$E)</f>
        <v>CANAL VENDA INTERNA</v>
      </c>
      <c r="D746" s="5" t="str">
        <f>_xlfn.XLOOKUP($N746,'Base de Grupos'!$A:$A,'Base de Grupos'!$F:$F)</f>
        <v>1000065763</v>
      </c>
      <c r="E746" s="2" t="str">
        <f>_xlfn.XLOOKUP($N746,'Base de Grupos'!$A:$A,'Base de Grupos'!$G:$G)</f>
        <v>CANAL VENDA INTERNA</v>
      </c>
      <c r="F746" s="2" t="str">
        <f>_xlfn.XLOOKUP($N746,'Base de Grupos'!$A:$A,'Base de Grupos'!$H:$H)</f>
        <v>1000174119</v>
      </c>
      <c r="G746" s="5" t="str">
        <f>_xlfn.XLOOKUP($N746,'Base de Grupos'!$A:$A,'Base de Grupos'!$I:$I)</f>
        <v>REGIONAL VENDA INTERNA - CONVENIENCIA</v>
      </c>
      <c r="H746" s="5" t="str">
        <f>_xlfn.XLOOKUP($N746,'Base de Grupos'!$A:$A,'Base de Grupos'!$J:$J)</f>
        <v>1000174119</v>
      </c>
      <c r="I746" s="2" t="str">
        <f>_xlfn.XLOOKUP($N746,'Base de Grupos'!$A:$A,'Base de Grupos'!$K:$K)</f>
        <v>REGIONAL VENDA INTERNA - CONVENIENCIA</v>
      </c>
      <c r="J746" s="2" t="str">
        <f>_xlfn.XLOOKUP($N746,'Base de Grupos'!$A:$A,'Base de Grupos'!$L:$L)</f>
        <v>1000174119</v>
      </c>
      <c r="K746" s="5" t="str">
        <f>_xlfn.XLOOKUP($N746,'Base de Grupos'!$A:$A,'Base de Grupos'!$M:$M)</f>
        <v>REGIONAL VENDA INTERNA - CONVENIENCIA</v>
      </c>
      <c r="L746" s="5" t="str">
        <f t="shared" si="754"/>
        <v/>
      </c>
      <c r="M746" s="5" t="str">
        <f>_xlfn.XLOOKUP($N746,'Base de Grupos'!$A:$A,'Base de Grupos'!$C:$C)</f>
        <v>PI</v>
      </c>
      <c r="N746" s="3">
        <v>1505</v>
      </c>
      <c r="O746" s="4" t="s">
        <v>265</v>
      </c>
      <c r="P746" s="5" t="s">
        <v>87</v>
      </c>
      <c r="Q746" s="56">
        <v>0</v>
      </c>
      <c r="R746" s="56">
        <v>0</v>
      </c>
      <c r="S746" s="56">
        <v>0</v>
      </c>
      <c r="T746" s="56">
        <f>_xlfn.XLOOKUP($N746,'Calculo Leads Conveniencia'!$A$77:$A$104,'Calculo Leads Conveniencia'!G$77:G$104)*_xlfn.XLOOKUP($P746,'Base Grupo de Produtos'!$E$23:$E$39,'Base Grupo de Produtos'!$F$23:$F$39)</f>
        <v>0</v>
      </c>
      <c r="U746" s="56">
        <f>_xlfn.XLOOKUP($N746,'Calculo Leads Conveniencia'!$A$77:$A$104,'Calculo Leads Conveniencia'!H$77:H$104)*_xlfn.XLOOKUP($P746,'Base Grupo de Produtos'!$E$23:$E$39,'Base Grupo de Produtos'!$F$23:$F$39)</f>
        <v>0</v>
      </c>
      <c r="V746" s="56">
        <f>_xlfn.XLOOKUP($N746,'Calculo Leads Conveniencia'!$A$77:$A$104,'Calculo Leads Conveniencia'!I$77:I$104)*_xlfn.XLOOKUP($P746,'Base Grupo de Produtos'!$E$23:$E$39,'Base Grupo de Produtos'!$F$23:$F$39)</f>
        <v>0</v>
      </c>
      <c r="W746" s="56">
        <f>_xlfn.XLOOKUP($N746,'Calculo Leads Conveniencia'!$A$77:$A$104,'Calculo Leads Conveniencia'!J$77:J$104)*_xlfn.XLOOKUP($P746,'Base Grupo de Produtos'!$E$23:$E$39,'Base Grupo de Produtos'!$F$23:$F$39)</f>
        <v>0</v>
      </c>
      <c r="X746" s="56">
        <f>_xlfn.XLOOKUP($N746,'Calculo Leads Conveniencia'!$A$77:$A$104,'Calculo Leads Conveniencia'!K$77:K$104)*_xlfn.XLOOKUP($P746,'Base Grupo de Produtos'!$E$23:$E$39,'Base Grupo de Produtos'!$F$23:$F$39)</f>
        <v>0</v>
      </c>
      <c r="Y746" s="56">
        <f>_xlfn.XLOOKUP($N746,'Calculo Leads Conveniencia'!$A$77:$A$104,'Calculo Leads Conveniencia'!L$77:L$104)*_xlfn.XLOOKUP($P746,'Base Grupo de Produtos'!$E$23:$E$39,'Base Grupo de Produtos'!$F$23:$F$39)</f>
        <v>0</v>
      </c>
      <c r="Z746" s="56">
        <f>_xlfn.XLOOKUP($N746,'Calculo Leads Conveniencia'!$A$77:$A$104,'Calculo Leads Conveniencia'!M$77:M$104)*_xlfn.XLOOKUP($P746,'Base Grupo de Produtos'!$E$23:$E$39,'Base Grupo de Produtos'!$F$23:$F$39)</f>
        <v>0</v>
      </c>
      <c r="AA746" s="56">
        <f>_xlfn.XLOOKUP($N746,'Calculo Leads Conveniencia'!$A$77:$A$104,'Calculo Leads Conveniencia'!N$77:N$104)*_xlfn.XLOOKUP($P746,'Base Grupo de Produtos'!$E$23:$E$39,'Base Grupo de Produtos'!$F$23:$F$39)</f>
        <v>0</v>
      </c>
      <c r="AB746" s="56">
        <f>_xlfn.XLOOKUP($N746,'Calculo Leads Conveniencia'!$A$77:$A$104,'Calculo Leads Conveniencia'!O$77:O$104)*_xlfn.XLOOKUP($P746,'Base Grupo de Produtos'!$E$23:$E$39,'Base Grupo de Produtos'!$F$23:$F$39)</f>
        <v>0</v>
      </c>
      <c r="AC746" s="61">
        <f t="shared" si="752"/>
        <v>0</v>
      </c>
      <c r="AD746" s="28"/>
      <c r="AE746" s="12"/>
      <c r="AF746" s="29"/>
      <c r="AG746" s="9"/>
      <c r="AH746" s="10"/>
      <c r="AI746" s="9"/>
      <c r="AJ746" s="11"/>
      <c r="AK746" s="9"/>
      <c r="AL746" s="13"/>
      <c r="AM746" s="9"/>
    </row>
    <row r="747" spans="1:39" x14ac:dyDescent="0.3">
      <c r="A747" s="2" t="str">
        <f t="shared" si="753"/>
        <v>NÃO</v>
      </c>
      <c r="B747" s="2" t="str">
        <f>_xlfn.XLOOKUP($N747,'Base de Grupos'!$A:$A,'Base de Grupos'!$D:$D)</f>
        <v>1000065763</v>
      </c>
      <c r="C747" s="5" t="str">
        <f>_xlfn.XLOOKUP($N747,'Base de Grupos'!$A:$A,'Base de Grupos'!$E:$E)</f>
        <v>CANAL VENDA INTERNA</v>
      </c>
      <c r="D747" s="5" t="str">
        <f>_xlfn.XLOOKUP($N747,'Base de Grupos'!$A:$A,'Base de Grupos'!$F:$F)</f>
        <v>1000065763</v>
      </c>
      <c r="E747" s="2" t="str">
        <f>_xlfn.XLOOKUP($N747,'Base de Grupos'!$A:$A,'Base de Grupos'!$G:$G)</f>
        <v>CANAL VENDA INTERNA</v>
      </c>
      <c r="F747" s="2" t="str">
        <f>_xlfn.XLOOKUP($N747,'Base de Grupos'!$A:$A,'Base de Grupos'!$H:$H)</f>
        <v>1000174119</v>
      </c>
      <c r="G747" s="5" t="str">
        <f>_xlfn.XLOOKUP($N747,'Base de Grupos'!$A:$A,'Base de Grupos'!$I:$I)</f>
        <v>REGIONAL VENDA INTERNA - CONVENIENCIA</v>
      </c>
      <c r="H747" s="5" t="str">
        <f>_xlfn.XLOOKUP($N747,'Base de Grupos'!$A:$A,'Base de Grupos'!$J:$J)</f>
        <v>1000174119</v>
      </c>
      <c r="I747" s="2" t="str">
        <f>_xlfn.XLOOKUP($N747,'Base de Grupos'!$A:$A,'Base de Grupos'!$K:$K)</f>
        <v>REGIONAL VENDA INTERNA - CONVENIENCIA</v>
      </c>
      <c r="J747" s="2" t="str">
        <f>_xlfn.XLOOKUP($N747,'Base de Grupos'!$A:$A,'Base de Grupos'!$L:$L)</f>
        <v>1000174119</v>
      </c>
      <c r="K747" s="5" t="str">
        <f>_xlfn.XLOOKUP($N747,'Base de Grupos'!$A:$A,'Base de Grupos'!$M:$M)</f>
        <v>REGIONAL VENDA INTERNA - CONVENIENCIA</v>
      </c>
      <c r="L747" s="5" t="str">
        <f t="shared" si="754"/>
        <v/>
      </c>
      <c r="M747" s="5" t="str">
        <f>_xlfn.XLOOKUP($N747,'Base de Grupos'!$A:$A,'Base de Grupos'!$C:$C)</f>
        <v>PI</v>
      </c>
      <c r="N747" s="3">
        <v>1505</v>
      </c>
      <c r="O747" s="4" t="s">
        <v>265</v>
      </c>
      <c r="P747" s="5" t="s">
        <v>85</v>
      </c>
      <c r="Q747" s="56">
        <v>0</v>
      </c>
      <c r="R747" s="56">
        <v>0</v>
      </c>
      <c r="S747" s="56">
        <v>0</v>
      </c>
      <c r="T747" s="56">
        <f>_xlfn.XLOOKUP($N747,'Calculo Leads Conveniencia'!$A$77:$A$104,'Calculo Leads Conveniencia'!G$77:G$104)*_xlfn.XLOOKUP($P747,'Base Grupo de Produtos'!$E$23:$E$39,'Base Grupo de Produtos'!$F$23:$F$39)</f>
        <v>0</v>
      </c>
      <c r="U747" s="56">
        <f>_xlfn.XLOOKUP($N747,'Calculo Leads Conveniencia'!$A$77:$A$104,'Calculo Leads Conveniencia'!H$77:H$104)*_xlfn.XLOOKUP($P747,'Base Grupo de Produtos'!$E$23:$E$39,'Base Grupo de Produtos'!$F$23:$F$39)</f>
        <v>0</v>
      </c>
      <c r="V747" s="56">
        <f>_xlfn.XLOOKUP($N747,'Calculo Leads Conveniencia'!$A$77:$A$104,'Calculo Leads Conveniencia'!I$77:I$104)*_xlfn.XLOOKUP($P747,'Base Grupo de Produtos'!$E$23:$E$39,'Base Grupo de Produtos'!$F$23:$F$39)</f>
        <v>0</v>
      </c>
      <c r="W747" s="56">
        <f>_xlfn.XLOOKUP($N747,'Calculo Leads Conveniencia'!$A$77:$A$104,'Calculo Leads Conveniencia'!J$77:J$104)*_xlfn.XLOOKUP($P747,'Base Grupo de Produtos'!$E$23:$E$39,'Base Grupo de Produtos'!$F$23:$F$39)</f>
        <v>0</v>
      </c>
      <c r="X747" s="56">
        <f>_xlfn.XLOOKUP($N747,'Calculo Leads Conveniencia'!$A$77:$A$104,'Calculo Leads Conveniencia'!K$77:K$104)*_xlfn.XLOOKUP($P747,'Base Grupo de Produtos'!$E$23:$E$39,'Base Grupo de Produtos'!$F$23:$F$39)</f>
        <v>0</v>
      </c>
      <c r="Y747" s="56">
        <f>_xlfn.XLOOKUP($N747,'Calculo Leads Conveniencia'!$A$77:$A$104,'Calculo Leads Conveniencia'!L$77:L$104)*_xlfn.XLOOKUP($P747,'Base Grupo de Produtos'!$E$23:$E$39,'Base Grupo de Produtos'!$F$23:$F$39)</f>
        <v>0</v>
      </c>
      <c r="Z747" s="56">
        <f>_xlfn.XLOOKUP($N747,'Calculo Leads Conveniencia'!$A$77:$A$104,'Calculo Leads Conveniencia'!M$77:M$104)*_xlfn.XLOOKUP($P747,'Base Grupo de Produtos'!$E$23:$E$39,'Base Grupo de Produtos'!$F$23:$F$39)</f>
        <v>0</v>
      </c>
      <c r="AA747" s="56">
        <f>_xlfn.XLOOKUP($N747,'Calculo Leads Conveniencia'!$A$77:$A$104,'Calculo Leads Conveniencia'!N$77:N$104)*_xlfn.XLOOKUP($P747,'Base Grupo de Produtos'!$E$23:$E$39,'Base Grupo de Produtos'!$F$23:$F$39)</f>
        <v>0</v>
      </c>
      <c r="AB747" s="56">
        <f>_xlfn.XLOOKUP($N747,'Calculo Leads Conveniencia'!$A$77:$A$104,'Calculo Leads Conveniencia'!O$77:O$104)*_xlfn.XLOOKUP($P747,'Base Grupo de Produtos'!$E$23:$E$39,'Base Grupo de Produtos'!$F$23:$F$39)</f>
        <v>0</v>
      </c>
      <c r="AC747" s="61">
        <f t="shared" si="752"/>
        <v>0</v>
      </c>
      <c r="AD747" s="28"/>
      <c r="AE747" s="12"/>
      <c r="AF747" s="29"/>
      <c r="AG747" s="9"/>
      <c r="AH747" s="10"/>
      <c r="AI747" s="9"/>
      <c r="AJ747" s="11"/>
      <c r="AK747" s="9"/>
      <c r="AL747" s="13"/>
      <c r="AM747" s="9"/>
    </row>
    <row r="748" spans="1:39" x14ac:dyDescent="0.3">
      <c r="A748" s="2" t="str">
        <f t="shared" si="753"/>
        <v>NÃO</v>
      </c>
      <c r="B748" s="2" t="str">
        <f>_xlfn.XLOOKUP($N748,'Base de Grupos'!$A:$A,'Base de Grupos'!$D:$D)</f>
        <v>1000065763</v>
      </c>
      <c r="C748" s="5" t="str">
        <f>_xlfn.XLOOKUP($N748,'Base de Grupos'!$A:$A,'Base de Grupos'!$E:$E)</f>
        <v>CANAL VENDA INTERNA</v>
      </c>
      <c r="D748" s="5" t="str">
        <f>_xlfn.XLOOKUP($N748,'Base de Grupos'!$A:$A,'Base de Grupos'!$F:$F)</f>
        <v>1000065763</v>
      </c>
      <c r="E748" s="2" t="str">
        <f>_xlfn.XLOOKUP($N748,'Base de Grupos'!$A:$A,'Base de Grupos'!$G:$G)</f>
        <v>CANAL VENDA INTERNA</v>
      </c>
      <c r="F748" s="2" t="str">
        <f>_xlfn.XLOOKUP($N748,'Base de Grupos'!$A:$A,'Base de Grupos'!$H:$H)</f>
        <v>1000174119</v>
      </c>
      <c r="G748" s="5" t="str">
        <f>_xlfn.XLOOKUP($N748,'Base de Grupos'!$A:$A,'Base de Grupos'!$I:$I)</f>
        <v>REGIONAL VENDA INTERNA - CONVENIENCIA</v>
      </c>
      <c r="H748" s="5" t="str">
        <f>_xlfn.XLOOKUP($N748,'Base de Grupos'!$A:$A,'Base de Grupos'!$J:$J)</f>
        <v>1000174119</v>
      </c>
      <c r="I748" s="2" t="str">
        <f>_xlfn.XLOOKUP($N748,'Base de Grupos'!$A:$A,'Base de Grupos'!$K:$K)</f>
        <v>REGIONAL VENDA INTERNA - CONVENIENCIA</v>
      </c>
      <c r="J748" s="2" t="str">
        <f>_xlfn.XLOOKUP($N748,'Base de Grupos'!$A:$A,'Base de Grupos'!$L:$L)</f>
        <v>1000174119</v>
      </c>
      <c r="K748" s="5" t="str">
        <f>_xlfn.XLOOKUP($N748,'Base de Grupos'!$A:$A,'Base de Grupos'!$M:$M)</f>
        <v>REGIONAL VENDA INTERNA - CONVENIENCIA</v>
      </c>
      <c r="L748" s="5" t="str">
        <f t="shared" si="754"/>
        <v/>
      </c>
      <c r="M748" s="5" t="str">
        <f>_xlfn.XLOOKUP($N748,'Base de Grupos'!$A:$A,'Base de Grupos'!$C:$C)</f>
        <v>PI</v>
      </c>
      <c r="N748" s="3">
        <v>1505</v>
      </c>
      <c r="O748" s="4" t="s">
        <v>265</v>
      </c>
      <c r="P748" s="5" t="s">
        <v>92</v>
      </c>
      <c r="Q748" s="56">
        <v>0</v>
      </c>
      <c r="R748" s="56">
        <v>0</v>
      </c>
      <c r="S748" s="56">
        <v>0</v>
      </c>
      <c r="T748" s="56">
        <f>_xlfn.XLOOKUP($N748,'Calculo Leads Conveniencia'!$A$77:$A$104,'Calculo Leads Conveniencia'!G$77:G$104)*_xlfn.XLOOKUP($P748,'Base Grupo de Produtos'!$E$23:$E$39,'Base Grupo de Produtos'!$F$23:$F$39)</f>
        <v>0</v>
      </c>
      <c r="U748" s="56">
        <f>_xlfn.XLOOKUP($N748,'Calculo Leads Conveniencia'!$A$77:$A$104,'Calculo Leads Conveniencia'!H$77:H$104)*_xlfn.XLOOKUP($P748,'Base Grupo de Produtos'!$E$23:$E$39,'Base Grupo de Produtos'!$F$23:$F$39)</f>
        <v>0</v>
      </c>
      <c r="V748" s="56">
        <f>_xlfn.XLOOKUP($N748,'Calculo Leads Conveniencia'!$A$77:$A$104,'Calculo Leads Conveniencia'!I$77:I$104)*_xlfn.XLOOKUP($P748,'Base Grupo de Produtos'!$E$23:$E$39,'Base Grupo de Produtos'!$F$23:$F$39)</f>
        <v>0</v>
      </c>
      <c r="W748" s="56">
        <f>_xlfn.XLOOKUP($N748,'Calculo Leads Conveniencia'!$A$77:$A$104,'Calculo Leads Conveniencia'!J$77:J$104)*_xlfn.XLOOKUP($P748,'Base Grupo de Produtos'!$E$23:$E$39,'Base Grupo de Produtos'!$F$23:$F$39)</f>
        <v>0</v>
      </c>
      <c r="X748" s="56">
        <f>_xlfn.XLOOKUP($N748,'Calculo Leads Conveniencia'!$A$77:$A$104,'Calculo Leads Conveniencia'!K$77:K$104)*_xlfn.XLOOKUP($P748,'Base Grupo de Produtos'!$E$23:$E$39,'Base Grupo de Produtos'!$F$23:$F$39)</f>
        <v>0</v>
      </c>
      <c r="Y748" s="56">
        <f>_xlfn.XLOOKUP($N748,'Calculo Leads Conveniencia'!$A$77:$A$104,'Calculo Leads Conveniencia'!L$77:L$104)*_xlfn.XLOOKUP($P748,'Base Grupo de Produtos'!$E$23:$E$39,'Base Grupo de Produtos'!$F$23:$F$39)</f>
        <v>0</v>
      </c>
      <c r="Z748" s="56">
        <f>_xlfn.XLOOKUP($N748,'Calculo Leads Conveniencia'!$A$77:$A$104,'Calculo Leads Conveniencia'!M$77:M$104)*_xlfn.XLOOKUP($P748,'Base Grupo de Produtos'!$E$23:$E$39,'Base Grupo de Produtos'!$F$23:$F$39)</f>
        <v>0</v>
      </c>
      <c r="AA748" s="56">
        <f>_xlfn.XLOOKUP($N748,'Calculo Leads Conveniencia'!$A$77:$A$104,'Calculo Leads Conveniencia'!N$77:N$104)*_xlfn.XLOOKUP($P748,'Base Grupo de Produtos'!$E$23:$E$39,'Base Grupo de Produtos'!$F$23:$F$39)</f>
        <v>0</v>
      </c>
      <c r="AB748" s="56">
        <f>_xlfn.XLOOKUP($N748,'Calculo Leads Conveniencia'!$A$77:$A$104,'Calculo Leads Conveniencia'!O$77:O$104)*_xlfn.XLOOKUP($P748,'Base Grupo de Produtos'!$E$23:$E$39,'Base Grupo de Produtos'!$F$23:$F$39)</f>
        <v>0</v>
      </c>
      <c r="AC748" s="61">
        <f t="shared" si="752"/>
        <v>0</v>
      </c>
      <c r="AD748" s="28"/>
      <c r="AE748" s="12"/>
      <c r="AF748" s="29"/>
      <c r="AG748" s="9"/>
      <c r="AH748" s="10"/>
      <c r="AI748" s="9"/>
      <c r="AJ748" s="11"/>
      <c r="AK748" s="9"/>
      <c r="AL748" s="13"/>
      <c r="AM748" s="9"/>
    </row>
    <row r="749" spans="1:39" x14ac:dyDescent="0.3">
      <c r="A749" s="2" t="str">
        <f t="shared" si="753"/>
        <v>NÃO</v>
      </c>
      <c r="B749" s="2" t="str">
        <f>_xlfn.XLOOKUP($N749,'Base de Grupos'!$A:$A,'Base de Grupos'!$D:$D)</f>
        <v>1000065763</v>
      </c>
      <c r="C749" s="5" t="str">
        <f>_xlfn.XLOOKUP($N749,'Base de Grupos'!$A:$A,'Base de Grupos'!$E:$E)</f>
        <v>CANAL VENDA INTERNA</v>
      </c>
      <c r="D749" s="5" t="str">
        <f>_xlfn.XLOOKUP($N749,'Base de Grupos'!$A:$A,'Base de Grupos'!$F:$F)</f>
        <v>1000065763</v>
      </c>
      <c r="E749" s="2" t="str">
        <f>_xlfn.XLOOKUP($N749,'Base de Grupos'!$A:$A,'Base de Grupos'!$G:$G)</f>
        <v>CANAL VENDA INTERNA</v>
      </c>
      <c r="F749" s="2" t="str">
        <f>_xlfn.XLOOKUP($N749,'Base de Grupos'!$A:$A,'Base de Grupos'!$H:$H)</f>
        <v>1000174119</v>
      </c>
      <c r="G749" s="5" t="str">
        <f>_xlfn.XLOOKUP($N749,'Base de Grupos'!$A:$A,'Base de Grupos'!$I:$I)</f>
        <v>REGIONAL VENDA INTERNA - CONVENIENCIA</v>
      </c>
      <c r="H749" s="5" t="str">
        <f>_xlfn.XLOOKUP($N749,'Base de Grupos'!$A:$A,'Base de Grupos'!$J:$J)</f>
        <v>1000174119</v>
      </c>
      <c r="I749" s="2" t="str">
        <f>_xlfn.XLOOKUP($N749,'Base de Grupos'!$A:$A,'Base de Grupos'!$K:$K)</f>
        <v>REGIONAL VENDA INTERNA - CONVENIENCIA</v>
      </c>
      <c r="J749" s="2" t="str">
        <f>_xlfn.XLOOKUP($N749,'Base de Grupos'!$A:$A,'Base de Grupos'!$L:$L)</f>
        <v>1000174119</v>
      </c>
      <c r="K749" s="5" t="str">
        <f>_xlfn.XLOOKUP($N749,'Base de Grupos'!$A:$A,'Base de Grupos'!$M:$M)</f>
        <v>REGIONAL VENDA INTERNA - CONVENIENCIA</v>
      </c>
      <c r="L749" s="5" t="str">
        <f t="shared" si="754"/>
        <v/>
      </c>
      <c r="M749" s="5" t="str">
        <f>_xlfn.XLOOKUP($N749,'Base de Grupos'!$A:$A,'Base de Grupos'!$C:$C)</f>
        <v>PI</v>
      </c>
      <c r="N749" s="3">
        <v>1505</v>
      </c>
      <c r="O749" s="4" t="s">
        <v>265</v>
      </c>
      <c r="P749" s="5" t="s">
        <v>86</v>
      </c>
      <c r="Q749" s="56">
        <v>0</v>
      </c>
      <c r="R749" s="56">
        <v>0</v>
      </c>
      <c r="S749" s="56">
        <v>0</v>
      </c>
      <c r="T749" s="56">
        <f>_xlfn.XLOOKUP($N749,'Calculo Leads Conveniencia'!$A$77:$A$104,'Calculo Leads Conveniencia'!G$77:G$104)*_xlfn.XLOOKUP($P749,'Base Grupo de Produtos'!$E$23:$E$39,'Base Grupo de Produtos'!$F$23:$F$39)</f>
        <v>0</v>
      </c>
      <c r="U749" s="56">
        <f>_xlfn.XLOOKUP($N749,'Calculo Leads Conveniencia'!$A$77:$A$104,'Calculo Leads Conveniencia'!H$77:H$104)*_xlfn.XLOOKUP($P749,'Base Grupo de Produtos'!$E$23:$E$39,'Base Grupo de Produtos'!$F$23:$F$39)</f>
        <v>0</v>
      </c>
      <c r="V749" s="56">
        <f>_xlfn.XLOOKUP($N749,'Calculo Leads Conveniencia'!$A$77:$A$104,'Calculo Leads Conveniencia'!I$77:I$104)*_xlfn.XLOOKUP($P749,'Base Grupo de Produtos'!$E$23:$E$39,'Base Grupo de Produtos'!$F$23:$F$39)</f>
        <v>0</v>
      </c>
      <c r="W749" s="56">
        <f>_xlfn.XLOOKUP($N749,'Calculo Leads Conveniencia'!$A$77:$A$104,'Calculo Leads Conveniencia'!J$77:J$104)*_xlfn.XLOOKUP($P749,'Base Grupo de Produtos'!$E$23:$E$39,'Base Grupo de Produtos'!$F$23:$F$39)</f>
        <v>0</v>
      </c>
      <c r="X749" s="56">
        <f>_xlfn.XLOOKUP($N749,'Calculo Leads Conveniencia'!$A$77:$A$104,'Calculo Leads Conveniencia'!K$77:K$104)*_xlfn.XLOOKUP($P749,'Base Grupo de Produtos'!$E$23:$E$39,'Base Grupo de Produtos'!$F$23:$F$39)</f>
        <v>0</v>
      </c>
      <c r="Y749" s="56">
        <f>_xlfn.XLOOKUP($N749,'Calculo Leads Conveniencia'!$A$77:$A$104,'Calculo Leads Conveniencia'!L$77:L$104)*_xlfn.XLOOKUP($P749,'Base Grupo de Produtos'!$E$23:$E$39,'Base Grupo de Produtos'!$F$23:$F$39)</f>
        <v>0</v>
      </c>
      <c r="Z749" s="56">
        <f>_xlfn.XLOOKUP($N749,'Calculo Leads Conveniencia'!$A$77:$A$104,'Calculo Leads Conveniencia'!M$77:M$104)*_xlfn.XLOOKUP($P749,'Base Grupo de Produtos'!$E$23:$E$39,'Base Grupo de Produtos'!$F$23:$F$39)</f>
        <v>0</v>
      </c>
      <c r="AA749" s="56">
        <f>_xlfn.XLOOKUP($N749,'Calculo Leads Conveniencia'!$A$77:$A$104,'Calculo Leads Conveniencia'!N$77:N$104)*_xlfn.XLOOKUP($P749,'Base Grupo de Produtos'!$E$23:$E$39,'Base Grupo de Produtos'!$F$23:$F$39)</f>
        <v>0</v>
      </c>
      <c r="AB749" s="56">
        <f>_xlfn.XLOOKUP($N749,'Calculo Leads Conveniencia'!$A$77:$A$104,'Calculo Leads Conveniencia'!O$77:O$104)*_xlfn.XLOOKUP($P749,'Base Grupo de Produtos'!$E$23:$E$39,'Base Grupo de Produtos'!$F$23:$F$39)</f>
        <v>0</v>
      </c>
      <c r="AC749" s="61">
        <f t="shared" si="752"/>
        <v>0</v>
      </c>
      <c r="AD749" s="28"/>
      <c r="AE749" s="12"/>
      <c r="AF749" s="29"/>
      <c r="AG749" s="9"/>
      <c r="AH749" s="10"/>
      <c r="AI749" s="9"/>
      <c r="AJ749" s="11"/>
      <c r="AK749" s="9"/>
      <c r="AL749" s="13"/>
      <c r="AM749" s="9"/>
    </row>
    <row r="750" spans="1:39" x14ac:dyDescent="0.3">
      <c r="A750" s="2" t="str">
        <f t="shared" si="753"/>
        <v>NÃO</v>
      </c>
      <c r="B750" s="2" t="str">
        <f>_xlfn.XLOOKUP($N750,'Base de Grupos'!$A:$A,'Base de Grupos'!$D:$D)</f>
        <v>1000065763</v>
      </c>
      <c r="C750" s="5" t="str">
        <f>_xlfn.XLOOKUP($N750,'Base de Grupos'!$A:$A,'Base de Grupos'!$E:$E)</f>
        <v>CANAL VENDA INTERNA</v>
      </c>
      <c r="D750" s="5" t="str">
        <f>_xlfn.XLOOKUP($N750,'Base de Grupos'!$A:$A,'Base de Grupos'!$F:$F)</f>
        <v>1000065763</v>
      </c>
      <c r="E750" s="2" t="str">
        <f>_xlfn.XLOOKUP($N750,'Base de Grupos'!$A:$A,'Base de Grupos'!$G:$G)</f>
        <v>CANAL VENDA INTERNA</v>
      </c>
      <c r="F750" s="2" t="str">
        <f>_xlfn.XLOOKUP($N750,'Base de Grupos'!$A:$A,'Base de Grupos'!$H:$H)</f>
        <v>1000174119</v>
      </c>
      <c r="G750" s="5" t="str">
        <f>_xlfn.XLOOKUP($N750,'Base de Grupos'!$A:$A,'Base de Grupos'!$I:$I)</f>
        <v>REGIONAL VENDA INTERNA - CONVENIENCIA</v>
      </c>
      <c r="H750" s="5" t="str">
        <f>_xlfn.XLOOKUP($N750,'Base de Grupos'!$A:$A,'Base de Grupos'!$J:$J)</f>
        <v>1000174119</v>
      </c>
      <c r="I750" s="2" t="str">
        <f>_xlfn.XLOOKUP($N750,'Base de Grupos'!$A:$A,'Base de Grupos'!$K:$K)</f>
        <v>REGIONAL VENDA INTERNA - CONVENIENCIA</v>
      </c>
      <c r="J750" s="2" t="str">
        <f>_xlfn.XLOOKUP($N750,'Base de Grupos'!$A:$A,'Base de Grupos'!$L:$L)</f>
        <v>1000174119</v>
      </c>
      <c r="K750" s="5" t="str">
        <f>_xlfn.XLOOKUP($N750,'Base de Grupos'!$A:$A,'Base de Grupos'!$M:$M)</f>
        <v>REGIONAL VENDA INTERNA - CONVENIENCIA</v>
      </c>
      <c r="L750" s="5" t="str">
        <f t="shared" si="754"/>
        <v/>
      </c>
      <c r="M750" s="5" t="str">
        <f>_xlfn.XLOOKUP($N750,'Base de Grupos'!$A:$A,'Base de Grupos'!$C:$C)</f>
        <v>PI</v>
      </c>
      <c r="N750" s="3">
        <v>1505</v>
      </c>
      <c r="O750" s="4" t="s">
        <v>265</v>
      </c>
      <c r="P750" s="5" t="s">
        <v>108</v>
      </c>
      <c r="Q750" s="56">
        <v>0</v>
      </c>
      <c r="R750" s="56">
        <v>0</v>
      </c>
      <c r="S750" s="56">
        <v>0</v>
      </c>
      <c r="T750" s="56">
        <f>_xlfn.XLOOKUP($N750,'Calculo Leads Conveniencia'!$A$77:$A$104,'Calculo Leads Conveniencia'!G$77:G$104)*_xlfn.XLOOKUP($P750,'Base Grupo de Produtos'!$E$23:$E$39,'Base Grupo de Produtos'!$F$23:$F$39)</f>
        <v>0</v>
      </c>
      <c r="U750" s="56">
        <f>_xlfn.XLOOKUP($N750,'Calculo Leads Conveniencia'!$A$77:$A$104,'Calculo Leads Conveniencia'!H$77:H$104)*_xlfn.XLOOKUP($P750,'Base Grupo de Produtos'!$E$23:$E$39,'Base Grupo de Produtos'!$F$23:$F$39)</f>
        <v>0</v>
      </c>
      <c r="V750" s="56">
        <f>_xlfn.XLOOKUP($N750,'Calculo Leads Conveniencia'!$A$77:$A$104,'Calculo Leads Conveniencia'!I$77:I$104)*_xlfn.XLOOKUP($P750,'Base Grupo de Produtos'!$E$23:$E$39,'Base Grupo de Produtos'!$F$23:$F$39)</f>
        <v>0</v>
      </c>
      <c r="W750" s="56">
        <f>_xlfn.XLOOKUP($N750,'Calculo Leads Conveniencia'!$A$77:$A$104,'Calculo Leads Conveniencia'!J$77:J$104)*_xlfn.XLOOKUP($P750,'Base Grupo de Produtos'!$E$23:$E$39,'Base Grupo de Produtos'!$F$23:$F$39)</f>
        <v>0</v>
      </c>
      <c r="X750" s="56">
        <f>_xlfn.XLOOKUP($N750,'Calculo Leads Conveniencia'!$A$77:$A$104,'Calculo Leads Conveniencia'!K$77:K$104)*_xlfn.XLOOKUP($P750,'Base Grupo de Produtos'!$E$23:$E$39,'Base Grupo de Produtos'!$F$23:$F$39)</f>
        <v>0</v>
      </c>
      <c r="Y750" s="56">
        <f>_xlfn.XLOOKUP($N750,'Calculo Leads Conveniencia'!$A$77:$A$104,'Calculo Leads Conveniencia'!L$77:L$104)*_xlfn.XLOOKUP($P750,'Base Grupo de Produtos'!$E$23:$E$39,'Base Grupo de Produtos'!$F$23:$F$39)</f>
        <v>0</v>
      </c>
      <c r="Z750" s="56">
        <f>_xlfn.XLOOKUP($N750,'Calculo Leads Conveniencia'!$A$77:$A$104,'Calculo Leads Conveniencia'!M$77:M$104)*_xlfn.XLOOKUP($P750,'Base Grupo de Produtos'!$E$23:$E$39,'Base Grupo de Produtos'!$F$23:$F$39)</f>
        <v>0</v>
      </c>
      <c r="AA750" s="56">
        <f>_xlfn.XLOOKUP($N750,'Calculo Leads Conveniencia'!$A$77:$A$104,'Calculo Leads Conveniencia'!N$77:N$104)*_xlfn.XLOOKUP($P750,'Base Grupo de Produtos'!$E$23:$E$39,'Base Grupo de Produtos'!$F$23:$F$39)</f>
        <v>0</v>
      </c>
      <c r="AB750" s="56">
        <f>_xlfn.XLOOKUP($N750,'Calculo Leads Conveniencia'!$A$77:$A$104,'Calculo Leads Conveniencia'!O$77:O$104)*_xlfn.XLOOKUP($P750,'Base Grupo de Produtos'!$E$23:$E$39,'Base Grupo de Produtos'!$F$23:$F$39)</f>
        <v>0</v>
      </c>
      <c r="AC750" s="61">
        <f t="shared" si="752"/>
        <v>0</v>
      </c>
      <c r="AD750" s="28"/>
      <c r="AE750" s="12"/>
      <c r="AF750" s="29"/>
      <c r="AG750" s="9"/>
      <c r="AH750" s="10"/>
      <c r="AI750" s="9"/>
      <c r="AJ750" s="11"/>
      <c r="AK750" s="9"/>
      <c r="AL750" s="13"/>
      <c r="AM750" s="9"/>
    </row>
    <row r="751" spans="1:39" x14ac:dyDescent="0.3">
      <c r="A751" s="2" t="str">
        <f t="shared" si="753"/>
        <v>NÃO</v>
      </c>
      <c r="B751" s="2" t="str">
        <f>_xlfn.XLOOKUP($N751,'Base de Grupos'!$A:$A,'Base de Grupos'!$D:$D)</f>
        <v>1000065763</v>
      </c>
      <c r="C751" s="5" t="str">
        <f>_xlfn.XLOOKUP($N751,'Base de Grupos'!$A:$A,'Base de Grupos'!$E:$E)</f>
        <v>CANAL VENDA INTERNA</v>
      </c>
      <c r="D751" s="5" t="str">
        <f>_xlfn.XLOOKUP($N751,'Base de Grupos'!$A:$A,'Base de Grupos'!$F:$F)</f>
        <v>1000065763</v>
      </c>
      <c r="E751" s="2" t="str">
        <f>_xlfn.XLOOKUP($N751,'Base de Grupos'!$A:$A,'Base de Grupos'!$G:$G)</f>
        <v>CANAL VENDA INTERNA</v>
      </c>
      <c r="F751" s="2" t="str">
        <f>_xlfn.XLOOKUP($N751,'Base de Grupos'!$A:$A,'Base de Grupos'!$H:$H)</f>
        <v>1000174119</v>
      </c>
      <c r="G751" s="5" t="str">
        <f>_xlfn.XLOOKUP($N751,'Base de Grupos'!$A:$A,'Base de Grupos'!$I:$I)</f>
        <v>REGIONAL VENDA INTERNA - CONVENIENCIA</v>
      </c>
      <c r="H751" s="5" t="str">
        <f>_xlfn.XLOOKUP($N751,'Base de Grupos'!$A:$A,'Base de Grupos'!$J:$J)</f>
        <v>1000174119</v>
      </c>
      <c r="I751" s="2" t="str">
        <f>_xlfn.XLOOKUP($N751,'Base de Grupos'!$A:$A,'Base de Grupos'!$K:$K)</f>
        <v>REGIONAL VENDA INTERNA - CONVENIENCIA</v>
      </c>
      <c r="J751" s="2" t="str">
        <f>_xlfn.XLOOKUP($N751,'Base de Grupos'!$A:$A,'Base de Grupos'!$L:$L)</f>
        <v>1000174119</v>
      </c>
      <c r="K751" s="5" t="str">
        <f>_xlfn.XLOOKUP($N751,'Base de Grupos'!$A:$A,'Base de Grupos'!$M:$M)</f>
        <v>REGIONAL VENDA INTERNA - CONVENIENCIA</v>
      </c>
      <c r="L751" s="5" t="str">
        <f t="shared" si="754"/>
        <v/>
      </c>
      <c r="M751" s="5" t="str">
        <f>_xlfn.XLOOKUP($N751,'Base de Grupos'!$A:$A,'Base de Grupos'!$C:$C)</f>
        <v>PI</v>
      </c>
      <c r="N751" s="3">
        <v>1505</v>
      </c>
      <c r="O751" s="4" t="s">
        <v>265</v>
      </c>
      <c r="P751" s="5" t="s">
        <v>89</v>
      </c>
      <c r="Q751" s="56">
        <v>0</v>
      </c>
      <c r="R751" s="56">
        <v>0</v>
      </c>
      <c r="S751" s="56">
        <v>0</v>
      </c>
      <c r="T751" s="56">
        <f>_xlfn.XLOOKUP($N751,'Calculo Leads Conveniencia'!$A$77:$A$104,'Calculo Leads Conveniencia'!G$77:G$104)*_xlfn.XLOOKUP($P751,'Base Grupo de Produtos'!$E$23:$E$39,'Base Grupo de Produtos'!$F$23:$F$39)</f>
        <v>0</v>
      </c>
      <c r="U751" s="56">
        <f>_xlfn.XLOOKUP($N751,'Calculo Leads Conveniencia'!$A$77:$A$104,'Calculo Leads Conveniencia'!H$77:H$104)*_xlfn.XLOOKUP($P751,'Base Grupo de Produtos'!$E$23:$E$39,'Base Grupo de Produtos'!$F$23:$F$39)</f>
        <v>0</v>
      </c>
      <c r="V751" s="56">
        <f>_xlfn.XLOOKUP($N751,'Calculo Leads Conveniencia'!$A$77:$A$104,'Calculo Leads Conveniencia'!I$77:I$104)*_xlfn.XLOOKUP($P751,'Base Grupo de Produtos'!$E$23:$E$39,'Base Grupo de Produtos'!$F$23:$F$39)</f>
        <v>0</v>
      </c>
      <c r="W751" s="56">
        <f>_xlfn.XLOOKUP($N751,'Calculo Leads Conveniencia'!$A$77:$A$104,'Calculo Leads Conveniencia'!J$77:J$104)*_xlfn.XLOOKUP($P751,'Base Grupo de Produtos'!$E$23:$E$39,'Base Grupo de Produtos'!$F$23:$F$39)</f>
        <v>0</v>
      </c>
      <c r="X751" s="56">
        <f>_xlfn.XLOOKUP($N751,'Calculo Leads Conveniencia'!$A$77:$A$104,'Calculo Leads Conveniencia'!K$77:K$104)*_xlfn.XLOOKUP($P751,'Base Grupo de Produtos'!$E$23:$E$39,'Base Grupo de Produtos'!$F$23:$F$39)</f>
        <v>0</v>
      </c>
      <c r="Y751" s="56">
        <f>_xlfn.XLOOKUP($N751,'Calculo Leads Conveniencia'!$A$77:$A$104,'Calculo Leads Conveniencia'!L$77:L$104)*_xlfn.XLOOKUP($P751,'Base Grupo de Produtos'!$E$23:$E$39,'Base Grupo de Produtos'!$F$23:$F$39)</f>
        <v>0</v>
      </c>
      <c r="Z751" s="56">
        <f>_xlfn.XLOOKUP($N751,'Calculo Leads Conveniencia'!$A$77:$A$104,'Calculo Leads Conveniencia'!M$77:M$104)*_xlfn.XLOOKUP($P751,'Base Grupo de Produtos'!$E$23:$E$39,'Base Grupo de Produtos'!$F$23:$F$39)</f>
        <v>0</v>
      </c>
      <c r="AA751" s="56">
        <f>_xlfn.XLOOKUP($N751,'Calculo Leads Conveniencia'!$A$77:$A$104,'Calculo Leads Conveniencia'!N$77:N$104)*_xlfn.XLOOKUP($P751,'Base Grupo de Produtos'!$E$23:$E$39,'Base Grupo de Produtos'!$F$23:$F$39)</f>
        <v>0</v>
      </c>
      <c r="AB751" s="56">
        <f>_xlfn.XLOOKUP($N751,'Calculo Leads Conveniencia'!$A$77:$A$104,'Calculo Leads Conveniencia'!O$77:O$104)*_xlfn.XLOOKUP($P751,'Base Grupo de Produtos'!$E$23:$E$39,'Base Grupo de Produtos'!$F$23:$F$39)</f>
        <v>0</v>
      </c>
      <c r="AC751" s="61">
        <f t="shared" si="752"/>
        <v>0</v>
      </c>
      <c r="AD751" s="28"/>
      <c r="AE751" s="12"/>
      <c r="AF751" s="29"/>
      <c r="AG751" s="9"/>
      <c r="AH751" s="10"/>
      <c r="AI751" s="9"/>
      <c r="AJ751" s="11"/>
      <c r="AK751" s="9"/>
      <c r="AL751" s="13"/>
      <c r="AM751" s="9"/>
    </row>
    <row r="752" spans="1:39" x14ac:dyDescent="0.3">
      <c r="A752" s="2" t="str">
        <f t="shared" si="753"/>
        <v>NÃO</v>
      </c>
      <c r="B752" s="2" t="str">
        <f>_xlfn.XLOOKUP($N752,'Base de Grupos'!$A:$A,'Base de Grupos'!$D:$D)</f>
        <v>1000065763</v>
      </c>
      <c r="C752" s="5" t="str">
        <f>_xlfn.XLOOKUP($N752,'Base de Grupos'!$A:$A,'Base de Grupos'!$E:$E)</f>
        <v>CANAL VENDA INTERNA</v>
      </c>
      <c r="D752" s="5" t="str">
        <f>_xlfn.XLOOKUP($N752,'Base de Grupos'!$A:$A,'Base de Grupos'!$F:$F)</f>
        <v>1000065763</v>
      </c>
      <c r="E752" s="2" t="str">
        <f>_xlfn.XLOOKUP($N752,'Base de Grupos'!$A:$A,'Base de Grupos'!$G:$G)</f>
        <v>CANAL VENDA INTERNA</v>
      </c>
      <c r="F752" s="2" t="str">
        <f>_xlfn.XLOOKUP($N752,'Base de Grupos'!$A:$A,'Base de Grupos'!$H:$H)</f>
        <v>1000174119</v>
      </c>
      <c r="G752" s="5" t="str">
        <f>_xlfn.XLOOKUP($N752,'Base de Grupos'!$A:$A,'Base de Grupos'!$I:$I)</f>
        <v>REGIONAL VENDA INTERNA - CONVENIENCIA</v>
      </c>
      <c r="H752" s="5" t="str">
        <f>_xlfn.XLOOKUP($N752,'Base de Grupos'!$A:$A,'Base de Grupos'!$J:$J)</f>
        <v>1000174119</v>
      </c>
      <c r="I752" s="2" t="str">
        <f>_xlfn.XLOOKUP($N752,'Base de Grupos'!$A:$A,'Base de Grupos'!$K:$K)</f>
        <v>REGIONAL VENDA INTERNA - CONVENIENCIA</v>
      </c>
      <c r="J752" s="2" t="str">
        <f>_xlfn.XLOOKUP($N752,'Base de Grupos'!$A:$A,'Base de Grupos'!$L:$L)</f>
        <v>1000174119</v>
      </c>
      <c r="K752" s="5" t="str">
        <f>_xlfn.XLOOKUP($N752,'Base de Grupos'!$A:$A,'Base de Grupos'!$M:$M)</f>
        <v>REGIONAL VENDA INTERNA - CONVENIENCIA</v>
      </c>
      <c r="L752" s="5" t="str">
        <f t="shared" si="754"/>
        <v/>
      </c>
      <c r="M752" s="5" t="str">
        <f>_xlfn.XLOOKUP($N752,'Base de Grupos'!$A:$A,'Base de Grupos'!$C:$C)</f>
        <v>PI</v>
      </c>
      <c r="N752" s="3">
        <v>1505</v>
      </c>
      <c r="O752" s="4" t="s">
        <v>265</v>
      </c>
      <c r="P752" s="5" t="s">
        <v>88</v>
      </c>
      <c r="Q752" s="56">
        <v>0</v>
      </c>
      <c r="R752" s="56">
        <v>0</v>
      </c>
      <c r="S752" s="56">
        <v>0</v>
      </c>
      <c r="T752" s="56">
        <f>_xlfn.XLOOKUP($N752,'Calculo Leads Conveniencia'!$A$77:$A$104,'Calculo Leads Conveniencia'!G$77:G$104)*_xlfn.XLOOKUP($P752,'Base Grupo de Produtos'!$E$23:$E$39,'Base Grupo de Produtos'!$F$23:$F$39)</f>
        <v>0</v>
      </c>
      <c r="U752" s="56">
        <f>_xlfn.XLOOKUP($N752,'Calculo Leads Conveniencia'!$A$77:$A$104,'Calculo Leads Conveniencia'!H$77:H$104)*_xlfn.XLOOKUP($P752,'Base Grupo de Produtos'!$E$23:$E$39,'Base Grupo de Produtos'!$F$23:$F$39)</f>
        <v>0</v>
      </c>
      <c r="V752" s="56">
        <f>_xlfn.XLOOKUP($N752,'Calculo Leads Conveniencia'!$A$77:$A$104,'Calculo Leads Conveniencia'!I$77:I$104)*_xlfn.XLOOKUP($P752,'Base Grupo de Produtos'!$E$23:$E$39,'Base Grupo de Produtos'!$F$23:$F$39)</f>
        <v>0</v>
      </c>
      <c r="W752" s="56">
        <f>_xlfn.XLOOKUP($N752,'Calculo Leads Conveniencia'!$A$77:$A$104,'Calculo Leads Conveniencia'!J$77:J$104)*_xlfn.XLOOKUP($P752,'Base Grupo de Produtos'!$E$23:$E$39,'Base Grupo de Produtos'!$F$23:$F$39)</f>
        <v>0</v>
      </c>
      <c r="X752" s="56">
        <f>_xlfn.XLOOKUP($N752,'Calculo Leads Conveniencia'!$A$77:$A$104,'Calculo Leads Conveniencia'!K$77:K$104)*_xlfn.XLOOKUP($P752,'Base Grupo de Produtos'!$E$23:$E$39,'Base Grupo de Produtos'!$F$23:$F$39)</f>
        <v>0</v>
      </c>
      <c r="Y752" s="56">
        <f>_xlfn.XLOOKUP($N752,'Calculo Leads Conveniencia'!$A$77:$A$104,'Calculo Leads Conveniencia'!L$77:L$104)*_xlfn.XLOOKUP($P752,'Base Grupo de Produtos'!$E$23:$E$39,'Base Grupo de Produtos'!$F$23:$F$39)</f>
        <v>0</v>
      </c>
      <c r="Z752" s="56">
        <f>_xlfn.XLOOKUP($N752,'Calculo Leads Conveniencia'!$A$77:$A$104,'Calculo Leads Conveniencia'!M$77:M$104)*_xlfn.XLOOKUP($P752,'Base Grupo de Produtos'!$E$23:$E$39,'Base Grupo de Produtos'!$F$23:$F$39)</f>
        <v>0</v>
      </c>
      <c r="AA752" s="56">
        <f>_xlfn.XLOOKUP($N752,'Calculo Leads Conveniencia'!$A$77:$A$104,'Calculo Leads Conveniencia'!N$77:N$104)*_xlfn.XLOOKUP($P752,'Base Grupo de Produtos'!$E$23:$E$39,'Base Grupo de Produtos'!$F$23:$F$39)</f>
        <v>0</v>
      </c>
      <c r="AB752" s="56">
        <f>_xlfn.XLOOKUP($N752,'Calculo Leads Conveniencia'!$A$77:$A$104,'Calculo Leads Conveniencia'!O$77:O$104)*_xlfn.XLOOKUP($P752,'Base Grupo de Produtos'!$E$23:$E$39,'Base Grupo de Produtos'!$F$23:$F$39)</f>
        <v>0</v>
      </c>
      <c r="AC752" s="61">
        <f t="shared" si="752"/>
        <v>0</v>
      </c>
      <c r="AD752" s="28"/>
      <c r="AE752" s="12"/>
      <c r="AF752" s="29"/>
      <c r="AG752" s="9"/>
      <c r="AH752" s="10"/>
      <c r="AI752" s="9"/>
      <c r="AJ752" s="11"/>
      <c r="AK752" s="9"/>
      <c r="AL752" s="13"/>
      <c r="AM752" s="9"/>
    </row>
    <row r="753" spans="1:39" x14ac:dyDescent="0.3">
      <c r="A753" s="2" t="str">
        <f t="shared" si="753"/>
        <v>NÃO</v>
      </c>
      <c r="B753" s="2" t="str">
        <f>_xlfn.XLOOKUP($N753,'Base de Grupos'!$A:$A,'Base de Grupos'!$D:$D)</f>
        <v>1000065763</v>
      </c>
      <c r="C753" s="5" t="str">
        <f>_xlfn.XLOOKUP($N753,'Base de Grupos'!$A:$A,'Base de Grupos'!$E:$E)</f>
        <v>CANAL VENDA INTERNA</v>
      </c>
      <c r="D753" s="5" t="str">
        <f>_xlfn.XLOOKUP($N753,'Base de Grupos'!$A:$A,'Base de Grupos'!$F:$F)</f>
        <v>1000065763</v>
      </c>
      <c r="E753" s="2" t="str">
        <f>_xlfn.XLOOKUP($N753,'Base de Grupos'!$A:$A,'Base de Grupos'!$G:$G)</f>
        <v>CANAL VENDA INTERNA</v>
      </c>
      <c r="F753" s="2" t="str">
        <f>_xlfn.XLOOKUP($N753,'Base de Grupos'!$A:$A,'Base de Grupos'!$H:$H)</f>
        <v>1000174119</v>
      </c>
      <c r="G753" s="5" t="str">
        <f>_xlfn.XLOOKUP($N753,'Base de Grupos'!$A:$A,'Base de Grupos'!$I:$I)</f>
        <v>REGIONAL VENDA INTERNA - CONVENIENCIA</v>
      </c>
      <c r="H753" s="5" t="str">
        <f>_xlfn.XLOOKUP($N753,'Base de Grupos'!$A:$A,'Base de Grupos'!$J:$J)</f>
        <v>1000174119</v>
      </c>
      <c r="I753" s="2" t="str">
        <f>_xlfn.XLOOKUP($N753,'Base de Grupos'!$A:$A,'Base de Grupos'!$K:$K)</f>
        <v>REGIONAL VENDA INTERNA - CONVENIENCIA</v>
      </c>
      <c r="J753" s="2" t="str">
        <f>_xlfn.XLOOKUP($N753,'Base de Grupos'!$A:$A,'Base de Grupos'!$L:$L)</f>
        <v>1000174119</v>
      </c>
      <c r="K753" s="5" t="str">
        <f>_xlfn.XLOOKUP($N753,'Base de Grupos'!$A:$A,'Base de Grupos'!$M:$M)</f>
        <v>REGIONAL VENDA INTERNA - CONVENIENCIA</v>
      </c>
      <c r="L753" s="5" t="str">
        <f t="shared" si="754"/>
        <v/>
      </c>
      <c r="M753" s="5" t="str">
        <f>_xlfn.XLOOKUP($N753,'Base de Grupos'!$A:$A,'Base de Grupos'!$C:$C)</f>
        <v>PI</v>
      </c>
      <c r="N753" s="3">
        <v>1505</v>
      </c>
      <c r="O753" s="4" t="s">
        <v>265</v>
      </c>
      <c r="P753" s="5" t="s">
        <v>90</v>
      </c>
      <c r="Q753" s="56">
        <v>0</v>
      </c>
      <c r="R753" s="56">
        <v>0</v>
      </c>
      <c r="S753" s="56">
        <v>0</v>
      </c>
      <c r="T753" s="56">
        <f>_xlfn.XLOOKUP($N753,'Calculo Leads Conveniencia'!$A$77:$A$104,'Calculo Leads Conveniencia'!G$77:G$104)*_xlfn.XLOOKUP($P753,'Base Grupo de Produtos'!$E$23:$E$39,'Base Grupo de Produtos'!$F$23:$F$39)</f>
        <v>0</v>
      </c>
      <c r="U753" s="56">
        <f>_xlfn.XLOOKUP($N753,'Calculo Leads Conveniencia'!$A$77:$A$104,'Calculo Leads Conveniencia'!H$77:H$104)*_xlfn.XLOOKUP($P753,'Base Grupo de Produtos'!$E$23:$E$39,'Base Grupo de Produtos'!$F$23:$F$39)</f>
        <v>0</v>
      </c>
      <c r="V753" s="56">
        <f>_xlfn.XLOOKUP($N753,'Calculo Leads Conveniencia'!$A$77:$A$104,'Calculo Leads Conveniencia'!I$77:I$104)*_xlfn.XLOOKUP($P753,'Base Grupo de Produtos'!$E$23:$E$39,'Base Grupo de Produtos'!$F$23:$F$39)</f>
        <v>0</v>
      </c>
      <c r="W753" s="56">
        <f>_xlfn.XLOOKUP($N753,'Calculo Leads Conveniencia'!$A$77:$A$104,'Calculo Leads Conveniencia'!J$77:J$104)*_xlfn.XLOOKUP($P753,'Base Grupo de Produtos'!$E$23:$E$39,'Base Grupo de Produtos'!$F$23:$F$39)</f>
        <v>0</v>
      </c>
      <c r="X753" s="56">
        <f>_xlfn.XLOOKUP($N753,'Calculo Leads Conveniencia'!$A$77:$A$104,'Calculo Leads Conveniencia'!K$77:K$104)*_xlfn.XLOOKUP($P753,'Base Grupo de Produtos'!$E$23:$E$39,'Base Grupo de Produtos'!$F$23:$F$39)</f>
        <v>0</v>
      </c>
      <c r="Y753" s="56">
        <f>_xlfn.XLOOKUP($N753,'Calculo Leads Conveniencia'!$A$77:$A$104,'Calculo Leads Conveniencia'!L$77:L$104)*_xlfn.XLOOKUP($P753,'Base Grupo de Produtos'!$E$23:$E$39,'Base Grupo de Produtos'!$F$23:$F$39)</f>
        <v>0</v>
      </c>
      <c r="Z753" s="56">
        <f>_xlfn.XLOOKUP($N753,'Calculo Leads Conveniencia'!$A$77:$A$104,'Calculo Leads Conveniencia'!M$77:M$104)*_xlfn.XLOOKUP($P753,'Base Grupo de Produtos'!$E$23:$E$39,'Base Grupo de Produtos'!$F$23:$F$39)</f>
        <v>0</v>
      </c>
      <c r="AA753" s="56">
        <f>_xlfn.XLOOKUP($N753,'Calculo Leads Conveniencia'!$A$77:$A$104,'Calculo Leads Conveniencia'!N$77:N$104)*_xlfn.XLOOKUP($P753,'Base Grupo de Produtos'!$E$23:$E$39,'Base Grupo de Produtos'!$F$23:$F$39)</f>
        <v>0</v>
      </c>
      <c r="AB753" s="56">
        <f>_xlfn.XLOOKUP($N753,'Calculo Leads Conveniencia'!$A$77:$A$104,'Calculo Leads Conveniencia'!O$77:O$104)*_xlfn.XLOOKUP($P753,'Base Grupo de Produtos'!$E$23:$E$39,'Base Grupo de Produtos'!$F$23:$F$39)</f>
        <v>0</v>
      </c>
      <c r="AC753" s="61">
        <f t="shared" si="752"/>
        <v>0</v>
      </c>
      <c r="AD753" s="28"/>
      <c r="AE753" s="12"/>
      <c r="AF753" s="29"/>
      <c r="AG753" s="9"/>
      <c r="AH753" s="10"/>
      <c r="AI753" s="9"/>
      <c r="AJ753" s="11"/>
      <c r="AK753" s="9"/>
      <c r="AL753" s="13"/>
      <c r="AM753" s="9"/>
    </row>
    <row r="754" spans="1:39" x14ac:dyDescent="0.3">
      <c r="A754" s="2" t="str">
        <f t="shared" si="753"/>
        <v>NÃO</v>
      </c>
      <c r="B754" s="2" t="str">
        <f>_xlfn.XLOOKUP($N754,'Base de Grupos'!$A:$A,'Base de Grupos'!$D:$D)</f>
        <v>1000065763</v>
      </c>
      <c r="C754" s="5" t="str">
        <f>_xlfn.XLOOKUP($N754,'Base de Grupos'!$A:$A,'Base de Grupos'!$E:$E)</f>
        <v>CANAL VENDA INTERNA</v>
      </c>
      <c r="D754" s="5" t="str">
        <f>_xlfn.XLOOKUP($N754,'Base de Grupos'!$A:$A,'Base de Grupos'!$F:$F)</f>
        <v>1000065763</v>
      </c>
      <c r="E754" s="2" t="str">
        <f>_xlfn.XLOOKUP($N754,'Base de Grupos'!$A:$A,'Base de Grupos'!$G:$G)</f>
        <v>CANAL VENDA INTERNA</v>
      </c>
      <c r="F754" s="2" t="str">
        <f>_xlfn.XLOOKUP($N754,'Base de Grupos'!$A:$A,'Base de Grupos'!$H:$H)</f>
        <v>1000174119</v>
      </c>
      <c r="G754" s="5" t="str">
        <f>_xlfn.XLOOKUP($N754,'Base de Grupos'!$A:$A,'Base de Grupos'!$I:$I)</f>
        <v>REGIONAL VENDA INTERNA - CONVENIENCIA</v>
      </c>
      <c r="H754" s="5" t="str">
        <f>_xlfn.XLOOKUP($N754,'Base de Grupos'!$A:$A,'Base de Grupos'!$J:$J)</f>
        <v>1000174119</v>
      </c>
      <c r="I754" s="2" t="str">
        <f>_xlfn.XLOOKUP($N754,'Base de Grupos'!$A:$A,'Base de Grupos'!$K:$K)</f>
        <v>REGIONAL VENDA INTERNA - CONVENIENCIA</v>
      </c>
      <c r="J754" s="2" t="str">
        <f>_xlfn.XLOOKUP($N754,'Base de Grupos'!$A:$A,'Base de Grupos'!$L:$L)</f>
        <v>1000174119</v>
      </c>
      <c r="K754" s="5" t="str">
        <f>_xlfn.XLOOKUP($N754,'Base de Grupos'!$A:$A,'Base de Grupos'!$M:$M)</f>
        <v>REGIONAL VENDA INTERNA - CONVENIENCIA</v>
      </c>
      <c r="L754" s="5" t="str">
        <f t="shared" si="754"/>
        <v/>
      </c>
      <c r="M754" s="5" t="str">
        <f>_xlfn.XLOOKUP($N754,'Base de Grupos'!$A:$A,'Base de Grupos'!$C:$C)</f>
        <v>PI</v>
      </c>
      <c r="N754" s="3">
        <v>1505</v>
      </c>
      <c r="O754" s="4" t="s">
        <v>265</v>
      </c>
      <c r="P754" s="5" t="s">
        <v>91</v>
      </c>
      <c r="Q754" s="56">
        <v>0</v>
      </c>
      <c r="R754" s="56">
        <v>0</v>
      </c>
      <c r="S754" s="56">
        <v>0</v>
      </c>
      <c r="T754" s="56">
        <f>_xlfn.XLOOKUP($N754,'Calculo Leads Conveniencia'!$A$77:$A$104,'Calculo Leads Conveniencia'!G$77:G$104)*_xlfn.XLOOKUP($P754,'Base Grupo de Produtos'!$E$23:$E$39,'Base Grupo de Produtos'!$F$23:$F$39)</f>
        <v>0</v>
      </c>
      <c r="U754" s="56">
        <f>_xlfn.XLOOKUP($N754,'Calculo Leads Conveniencia'!$A$77:$A$104,'Calculo Leads Conveniencia'!H$77:H$104)*_xlfn.XLOOKUP($P754,'Base Grupo de Produtos'!$E$23:$E$39,'Base Grupo de Produtos'!$F$23:$F$39)</f>
        <v>0</v>
      </c>
      <c r="V754" s="56">
        <f>_xlfn.XLOOKUP($N754,'Calculo Leads Conveniencia'!$A$77:$A$104,'Calculo Leads Conveniencia'!I$77:I$104)*_xlfn.XLOOKUP($P754,'Base Grupo de Produtos'!$E$23:$E$39,'Base Grupo de Produtos'!$F$23:$F$39)</f>
        <v>0</v>
      </c>
      <c r="W754" s="56">
        <f>_xlfn.XLOOKUP($N754,'Calculo Leads Conveniencia'!$A$77:$A$104,'Calculo Leads Conveniencia'!J$77:J$104)*_xlfn.XLOOKUP($P754,'Base Grupo de Produtos'!$E$23:$E$39,'Base Grupo de Produtos'!$F$23:$F$39)</f>
        <v>0</v>
      </c>
      <c r="X754" s="56">
        <f>_xlfn.XLOOKUP($N754,'Calculo Leads Conveniencia'!$A$77:$A$104,'Calculo Leads Conveniencia'!K$77:K$104)*_xlfn.XLOOKUP($P754,'Base Grupo de Produtos'!$E$23:$E$39,'Base Grupo de Produtos'!$F$23:$F$39)</f>
        <v>0</v>
      </c>
      <c r="Y754" s="56">
        <f>_xlfn.XLOOKUP($N754,'Calculo Leads Conveniencia'!$A$77:$A$104,'Calculo Leads Conveniencia'!L$77:L$104)*_xlfn.XLOOKUP($P754,'Base Grupo de Produtos'!$E$23:$E$39,'Base Grupo de Produtos'!$F$23:$F$39)</f>
        <v>0</v>
      </c>
      <c r="Z754" s="56">
        <f>_xlfn.XLOOKUP($N754,'Calculo Leads Conveniencia'!$A$77:$A$104,'Calculo Leads Conveniencia'!M$77:M$104)*_xlfn.XLOOKUP($P754,'Base Grupo de Produtos'!$E$23:$E$39,'Base Grupo de Produtos'!$F$23:$F$39)</f>
        <v>0</v>
      </c>
      <c r="AA754" s="56">
        <f>_xlfn.XLOOKUP($N754,'Calculo Leads Conveniencia'!$A$77:$A$104,'Calculo Leads Conveniencia'!N$77:N$104)*_xlfn.XLOOKUP($P754,'Base Grupo de Produtos'!$E$23:$E$39,'Base Grupo de Produtos'!$F$23:$F$39)</f>
        <v>0</v>
      </c>
      <c r="AB754" s="56">
        <f>_xlfn.XLOOKUP($N754,'Calculo Leads Conveniencia'!$A$77:$A$104,'Calculo Leads Conveniencia'!O$77:O$104)*_xlfn.XLOOKUP($P754,'Base Grupo de Produtos'!$E$23:$E$39,'Base Grupo de Produtos'!$F$23:$F$39)</f>
        <v>0</v>
      </c>
      <c r="AC754" s="61">
        <f t="shared" si="752"/>
        <v>0</v>
      </c>
      <c r="AD754" s="28"/>
      <c r="AE754" s="12"/>
      <c r="AF754" s="29"/>
      <c r="AG754" s="9"/>
      <c r="AH754" s="10"/>
      <c r="AI754" s="9"/>
      <c r="AJ754" s="11"/>
      <c r="AK754" s="9"/>
      <c r="AL754" s="13"/>
      <c r="AM754" s="9"/>
    </row>
    <row r="755" spans="1:39" x14ac:dyDescent="0.3">
      <c r="A755" s="2" t="str">
        <f t="shared" si="753"/>
        <v>NÃO</v>
      </c>
      <c r="B755" s="2" t="str">
        <f>_xlfn.XLOOKUP($N755,'Base de Grupos'!$A:$A,'Base de Grupos'!$D:$D)</f>
        <v>1000065763</v>
      </c>
      <c r="C755" s="5" t="str">
        <f>_xlfn.XLOOKUP($N755,'Base de Grupos'!$A:$A,'Base de Grupos'!$E:$E)</f>
        <v>CANAL VENDA INTERNA</v>
      </c>
      <c r="D755" s="5" t="str">
        <f>_xlfn.XLOOKUP($N755,'Base de Grupos'!$A:$A,'Base de Grupos'!$F:$F)</f>
        <v>1000065763</v>
      </c>
      <c r="E755" s="2" t="str">
        <f>_xlfn.XLOOKUP($N755,'Base de Grupos'!$A:$A,'Base de Grupos'!$G:$G)</f>
        <v>CANAL VENDA INTERNA</v>
      </c>
      <c r="F755" s="2" t="str">
        <f>_xlfn.XLOOKUP($N755,'Base de Grupos'!$A:$A,'Base de Grupos'!$H:$H)</f>
        <v>1000174119</v>
      </c>
      <c r="G755" s="5" t="str">
        <f>_xlfn.XLOOKUP($N755,'Base de Grupos'!$A:$A,'Base de Grupos'!$I:$I)</f>
        <v>REGIONAL VENDA INTERNA - CONVENIENCIA</v>
      </c>
      <c r="H755" s="5" t="str">
        <f>_xlfn.XLOOKUP($N755,'Base de Grupos'!$A:$A,'Base de Grupos'!$J:$J)</f>
        <v>1000174119</v>
      </c>
      <c r="I755" s="2" t="str">
        <f>_xlfn.XLOOKUP($N755,'Base de Grupos'!$A:$A,'Base de Grupos'!$K:$K)</f>
        <v>REGIONAL VENDA INTERNA - CONVENIENCIA</v>
      </c>
      <c r="J755" s="2" t="str">
        <f>_xlfn.XLOOKUP($N755,'Base de Grupos'!$A:$A,'Base de Grupos'!$L:$L)</f>
        <v>1000174119</v>
      </c>
      <c r="K755" s="5" t="str">
        <f>_xlfn.XLOOKUP($N755,'Base de Grupos'!$A:$A,'Base de Grupos'!$M:$M)</f>
        <v>REGIONAL VENDA INTERNA - CONVENIENCIA</v>
      </c>
      <c r="L755" s="5" t="str">
        <f t="shared" si="754"/>
        <v/>
      </c>
      <c r="M755" s="5" t="str">
        <f>_xlfn.XLOOKUP($N755,'Base de Grupos'!$A:$A,'Base de Grupos'!$C:$C)</f>
        <v>PI</v>
      </c>
      <c r="N755" s="3">
        <v>1505</v>
      </c>
      <c r="O755" s="4" t="s">
        <v>265</v>
      </c>
      <c r="P755" s="5" t="s">
        <v>96</v>
      </c>
      <c r="Q755" s="56">
        <v>0</v>
      </c>
      <c r="R755" s="56">
        <v>0</v>
      </c>
      <c r="S755" s="56">
        <v>0</v>
      </c>
      <c r="T755" s="56">
        <f>_xlfn.XLOOKUP($N755,'Calculo Leads Conveniencia'!$A$77:$A$104,'Calculo Leads Conveniencia'!G$77:G$104)*_xlfn.XLOOKUP($P755,'Base Grupo de Produtos'!$E$23:$E$39,'Base Grupo de Produtos'!$F$23:$F$39)</f>
        <v>0</v>
      </c>
      <c r="U755" s="56">
        <f>_xlfn.XLOOKUP($N755,'Calculo Leads Conveniencia'!$A$77:$A$104,'Calculo Leads Conveniencia'!H$77:H$104)*_xlfn.XLOOKUP($P755,'Base Grupo de Produtos'!$E$23:$E$39,'Base Grupo de Produtos'!$F$23:$F$39)</f>
        <v>0</v>
      </c>
      <c r="V755" s="56">
        <f>_xlfn.XLOOKUP($N755,'Calculo Leads Conveniencia'!$A$77:$A$104,'Calculo Leads Conveniencia'!I$77:I$104)*_xlfn.XLOOKUP($P755,'Base Grupo de Produtos'!$E$23:$E$39,'Base Grupo de Produtos'!$F$23:$F$39)</f>
        <v>0</v>
      </c>
      <c r="W755" s="56">
        <f>_xlfn.XLOOKUP($N755,'Calculo Leads Conveniencia'!$A$77:$A$104,'Calculo Leads Conveniencia'!J$77:J$104)*_xlfn.XLOOKUP($P755,'Base Grupo de Produtos'!$E$23:$E$39,'Base Grupo de Produtos'!$F$23:$F$39)</f>
        <v>0</v>
      </c>
      <c r="X755" s="56">
        <f>_xlfn.XLOOKUP($N755,'Calculo Leads Conveniencia'!$A$77:$A$104,'Calculo Leads Conveniencia'!K$77:K$104)*_xlfn.XLOOKUP($P755,'Base Grupo de Produtos'!$E$23:$E$39,'Base Grupo de Produtos'!$F$23:$F$39)</f>
        <v>0</v>
      </c>
      <c r="Y755" s="56">
        <f>_xlfn.XLOOKUP($N755,'Calculo Leads Conveniencia'!$A$77:$A$104,'Calculo Leads Conveniencia'!L$77:L$104)*_xlfn.XLOOKUP($P755,'Base Grupo de Produtos'!$E$23:$E$39,'Base Grupo de Produtos'!$F$23:$F$39)</f>
        <v>0</v>
      </c>
      <c r="Z755" s="56">
        <f>_xlfn.XLOOKUP($N755,'Calculo Leads Conveniencia'!$A$77:$A$104,'Calculo Leads Conveniencia'!M$77:M$104)*_xlfn.XLOOKUP($P755,'Base Grupo de Produtos'!$E$23:$E$39,'Base Grupo de Produtos'!$F$23:$F$39)</f>
        <v>0</v>
      </c>
      <c r="AA755" s="56">
        <f>_xlfn.XLOOKUP($N755,'Calculo Leads Conveniencia'!$A$77:$A$104,'Calculo Leads Conveniencia'!N$77:N$104)*_xlfn.XLOOKUP($P755,'Base Grupo de Produtos'!$E$23:$E$39,'Base Grupo de Produtos'!$F$23:$F$39)</f>
        <v>0</v>
      </c>
      <c r="AB755" s="56">
        <f>_xlfn.XLOOKUP($N755,'Calculo Leads Conveniencia'!$A$77:$A$104,'Calculo Leads Conveniencia'!O$77:O$104)*_xlfn.XLOOKUP($P755,'Base Grupo de Produtos'!$E$23:$E$39,'Base Grupo de Produtos'!$F$23:$F$39)</f>
        <v>0</v>
      </c>
      <c r="AC755" s="61">
        <f t="shared" si="752"/>
        <v>0</v>
      </c>
      <c r="AD755" s="28"/>
      <c r="AE755" s="12"/>
      <c r="AF755" s="29"/>
      <c r="AG755" s="9"/>
      <c r="AH755" s="10"/>
      <c r="AI755" s="9"/>
      <c r="AJ755" s="11"/>
      <c r="AK755" s="9"/>
      <c r="AL755" s="13"/>
      <c r="AM755" s="9"/>
    </row>
    <row r="756" spans="1:39" x14ac:dyDescent="0.3">
      <c r="A756" s="2" t="str">
        <f t="shared" si="753"/>
        <v>NÃO</v>
      </c>
      <c r="B756" s="2" t="str">
        <f>_xlfn.XLOOKUP($N756,'Base de Grupos'!$A:$A,'Base de Grupos'!$D:$D)</f>
        <v>1000065763</v>
      </c>
      <c r="C756" s="5" t="str">
        <f>_xlfn.XLOOKUP($N756,'Base de Grupos'!$A:$A,'Base de Grupos'!$E:$E)</f>
        <v>CANAL VENDA INTERNA</v>
      </c>
      <c r="D756" s="5" t="str">
        <f>_xlfn.XLOOKUP($N756,'Base de Grupos'!$A:$A,'Base de Grupos'!$F:$F)</f>
        <v>1000065763</v>
      </c>
      <c r="E756" s="2" t="str">
        <f>_xlfn.XLOOKUP($N756,'Base de Grupos'!$A:$A,'Base de Grupos'!$G:$G)</f>
        <v>CANAL VENDA INTERNA</v>
      </c>
      <c r="F756" s="2" t="str">
        <f>_xlfn.XLOOKUP($N756,'Base de Grupos'!$A:$A,'Base de Grupos'!$H:$H)</f>
        <v>1000174119</v>
      </c>
      <c r="G756" s="5" t="str">
        <f>_xlfn.XLOOKUP($N756,'Base de Grupos'!$A:$A,'Base de Grupos'!$I:$I)</f>
        <v>REGIONAL VENDA INTERNA - CONVENIENCIA</v>
      </c>
      <c r="H756" s="5" t="str">
        <f>_xlfn.XLOOKUP($N756,'Base de Grupos'!$A:$A,'Base de Grupos'!$J:$J)</f>
        <v>1000174119</v>
      </c>
      <c r="I756" s="2" t="str">
        <f>_xlfn.XLOOKUP($N756,'Base de Grupos'!$A:$A,'Base de Grupos'!$K:$K)</f>
        <v>REGIONAL VENDA INTERNA - CONVENIENCIA</v>
      </c>
      <c r="J756" s="2" t="str">
        <f>_xlfn.XLOOKUP($N756,'Base de Grupos'!$A:$A,'Base de Grupos'!$L:$L)</f>
        <v>1000174119</v>
      </c>
      <c r="K756" s="5" t="str">
        <f>_xlfn.XLOOKUP($N756,'Base de Grupos'!$A:$A,'Base de Grupos'!$M:$M)</f>
        <v>REGIONAL VENDA INTERNA - CONVENIENCIA</v>
      </c>
      <c r="L756" s="5" t="str">
        <f t="shared" si="754"/>
        <v/>
      </c>
      <c r="M756" s="5" t="str">
        <f>_xlfn.XLOOKUP($N756,'Base de Grupos'!$A:$A,'Base de Grupos'!$C:$C)</f>
        <v>PI</v>
      </c>
      <c r="N756" s="3">
        <v>1505</v>
      </c>
      <c r="O756" s="4" t="s">
        <v>265</v>
      </c>
      <c r="P756" s="5" t="s">
        <v>94</v>
      </c>
      <c r="Q756" s="56">
        <v>0</v>
      </c>
      <c r="R756" s="56">
        <v>0</v>
      </c>
      <c r="S756" s="56">
        <v>0</v>
      </c>
      <c r="T756" s="56">
        <f>_xlfn.XLOOKUP($N756,'Calculo Leads Conveniencia'!$A$77:$A$104,'Calculo Leads Conveniencia'!G$77:G$104)*_xlfn.XLOOKUP($P756,'Base Grupo de Produtos'!$E$23:$E$39,'Base Grupo de Produtos'!$F$23:$F$39)</f>
        <v>0</v>
      </c>
      <c r="U756" s="56">
        <f>_xlfn.XLOOKUP($N756,'Calculo Leads Conveniencia'!$A$77:$A$104,'Calculo Leads Conveniencia'!H$77:H$104)*_xlfn.XLOOKUP($P756,'Base Grupo de Produtos'!$E$23:$E$39,'Base Grupo de Produtos'!$F$23:$F$39)</f>
        <v>0</v>
      </c>
      <c r="V756" s="56">
        <f>_xlfn.XLOOKUP($N756,'Calculo Leads Conveniencia'!$A$77:$A$104,'Calculo Leads Conveniencia'!I$77:I$104)*_xlfn.XLOOKUP($P756,'Base Grupo de Produtos'!$E$23:$E$39,'Base Grupo de Produtos'!$F$23:$F$39)</f>
        <v>0</v>
      </c>
      <c r="W756" s="56">
        <f>_xlfn.XLOOKUP($N756,'Calculo Leads Conveniencia'!$A$77:$A$104,'Calculo Leads Conveniencia'!J$77:J$104)*_xlfn.XLOOKUP($P756,'Base Grupo de Produtos'!$E$23:$E$39,'Base Grupo de Produtos'!$F$23:$F$39)</f>
        <v>0</v>
      </c>
      <c r="X756" s="56">
        <f>_xlfn.XLOOKUP($N756,'Calculo Leads Conveniencia'!$A$77:$A$104,'Calculo Leads Conveniencia'!K$77:K$104)*_xlfn.XLOOKUP($P756,'Base Grupo de Produtos'!$E$23:$E$39,'Base Grupo de Produtos'!$F$23:$F$39)</f>
        <v>0</v>
      </c>
      <c r="Y756" s="56">
        <f>_xlfn.XLOOKUP($N756,'Calculo Leads Conveniencia'!$A$77:$A$104,'Calculo Leads Conveniencia'!L$77:L$104)*_xlfn.XLOOKUP($P756,'Base Grupo de Produtos'!$E$23:$E$39,'Base Grupo de Produtos'!$F$23:$F$39)</f>
        <v>0</v>
      </c>
      <c r="Z756" s="56">
        <f>_xlfn.XLOOKUP($N756,'Calculo Leads Conveniencia'!$A$77:$A$104,'Calculo Leads Conveniencia'!M$77:M$104)*_xlfn.XLOOKUP($P756,'Base Grupo de Produtos'!$E$23:$E$39,'Base Grupo de Produtos'!$F$23:$F$39)</f>
        <v>0</v>
      </c>
      <c r="AA756" s="56">
        <f>_xlfn.XLOOKUP($N756,'Calculo Leads Conveniencia'!$A$77:$A$104,'Calculo Leads Conveniencia'!N$77:N$104)*_xlfn.XLOOKUP($P756,'Base Grupo de Produtos'!$E$23:$E$39,'Base Grupo de Produtos'!$F$23:$F$39)</f>
        <v>0</v>
      </c>
      <c r="AB756" s="56">
        <f>_xlfn.XLOOKUP($N756,'Calculo Leads Conveniencia'!$A$77:$A$104,'Calculo Leads Conveniencia'!O$77:O$104)*_xlfn.XLOOKUP($P756,'Base Grupo de Produtos'!$E$23:$E$39,'Base Grupo de Produtos'!$F$23:$F$39)</f>
        <v>0</v>
      </c>
      <c r="AC756" s="61">
        <f t="shared" si="752"/>
        <v>0</v>
      </c>
      <c r="AD756" s="28"/>
      <c r="AE756" s="12"/>
      <c r="AF756" s="29"/>
      <c r="AG756" s="9"/>
      <c r="AH756" s="10"/>
      <c r="AI756" s="9"/>
      <c r="AJ756" s="11"/>
      <c r="AK756" s="9"/>
      <c r="AL756" s="13"/>
      <c r="AM756" s="9"/>
    </row>
    <row r="757" spans="1:39" x14ac:dyDescent="0.3">
      <c r="A757" s="2" t="str">
        <f t="shared" si="753"/>
        <v>NÃO</v>
      </c>
      <c r="B757" s="2" t="str">
        <f>_xlfn.XLOOKUP($N757,'Base de Grupos'!$A:$A,'Base de Grupos'!$D:$D)</f>
        <v>1000065763</v>
      </c>
      <c r="C757" s="5" t="str">
        <f>_xlfn.XLOOKUP($N757,'Base de Grupos'!$A:$A,'Base de Grupos'!$E:$E)</f>
        <v>CANAL VENDA INTERNA</v>
      </c>
      <c r="D757" s="5" t="str">
        <f>_xlfn.XLOOKUP($N757,'Base de Grupos'!$A:$A,'Base de Grupos'!$F:$F)</f>
        <v>1000065763</v>
      </c>
      <c r="E757" s="2" t="str">
        <f>_xlfn.XLOOKUP($N757,'Base de Grupos'!$A:$A,'Base de Grupos'!$G:$G)</f>
        <v>CANAL VENDA INTERNA</v>
      </c>
      <c r="F757" s="2" t="str">
        <f>_xlfn.XLOOKUP($N757,'Base de Grupos'!$A:$A,'Base de Grupos'!$H:$H)</f>
        <v>1000174119</v>
      </c>
      <c r="G757" s="5" t="str">
        <f>_xlfn.XLOOKUP($N757,'Base de Grupos'!$A:$A,'Base de Grupos'!$I:$I)</f>
        <v>REGIONAL VENDA INTERNA - CONVENIENCIA</v>
      </c>
      <c r="H757" s="5" t="str">
        <f>_xlfn.XLOOKUP($N757,'Base de Grupos'!$A:$A,'Base de Grupos'!$J:$J)</f>
        <v>1000174119</v>
      </c>
      <c r="I757" s="2" t="str">
        <f>_xlfn.XLOOKUP($N757,'Base de Grupos'!$A:$A,'Base de Grupos'!$K:$K)</f>
        <v>REGIONAL VENDA INTERNA - CONVENIENCIA</v>
      </c>
      <c r="J757" s="2" t="str">
        <f>_xlfn.XLOOKUP($N757,'Base de Grupos'!$A:$A,'Base de Grupos'!$L:$L)</f>
        <v>1000174119</v>
      </c>
      <c r="K757" s="5" t="str">
        <f>_xlfn.XLOOKUP($N757,'Base de Grupos'!$A:$A,'Base de Grupos'!$M:$M)</f>
        <v>REGIONAL VENDA INTERNA - CONVENIENCIA</v>
      </c>
      <c r="L757" s="5" t="str">
        <f t="shared" si="754"/>
        <v/>
      </c>
      <c r="M757" s="5" t="str">
        <f>_xlfn.XLOOKUP($N757,'Base de Grupos'!$A:$A,'Base de Grupos'!$C:$C)</f>
        <v>PI</v>
      </c>
      <c r="N757" s="3">
        <v>1505</v>
      </c>
      <c r="O757" s="4" t="s">
        <v>265</v>
      </c>
      <c r="P757" s="5" t="s">
        <v>95</v>
      </c>
      <c r="Q757" s="56">
        <v>0</v>
      </c>
      <c r="R757" s="56">
        <v>0</v>
      </c>
      <c r="S757" s="56">
        <v>0</v>
      </c>
      <c r="T757" s="56">
        <f>_xlfn.XLOOKUP($N757,'Calculo Leads Conveniencia'!$A$77:$A$104,'Calculo Leads Conveniencia'!G$77:G$104)*_xlfn.XLOOKUP($P757,'Base Grupo de Produtos'!$E$23:$E$39,'Base Grupo de Produtos'!$F$23:$F$39)</f>
        <v>0</v>
      </c>
      <c r="U757" s="56">
        <f>_xlfn.XLOOKUP($N757,'Calculo Leads Conveniencia'!$A$77:$A$104,'Calculo Leads Conveniencia'!H$77:H$104)*_xlfn.XLOOKUP($P757,'Base Grupo de Produtos'!$E$23:$E$39,'Base Grupo de Produtos'!$F$23:$F$39)</f>
        <v>0</v>
      </c>
      <c r="V757" s="56">
        <f>_xlfn.XLOOKUP($N757,'Calculo Leads Conveniencia'!$A$77:$A$104,'Calculo Leads Conveniencia'!I$77:I$104)*_xlfn.XLOOKUP($P757,'Base Grupo de Produtos'!$E$23:$E$39,'Base Grupo de Produtos'!$F$23:$F$39)</f>
        <v>0</v>
      </c>
      <c r="W757" s="56">
        <f>_xlfn.XLOOKUP($N757,'Calculo Leads Conveniencia'!$A$77:$A$104,'Calculo Leads Conveniencia'!J$77:J$104)*_xlfn.XLOOKUP($P757,'Base Grupo de Produtos'!$E$23:$E$39,'Base Grupo de Produtos'!$F$23:$F$39)</f>
        <v>0</v>
      </c>
      <c r="X757" s="56">
        <f>_xlfn.XLOOKUP($N757,'Calculo Leads Conveniencia'!$A$77:$A$104,'Calculo Leads Conveniencia'!K$77:K$104)*_xlfn.XLOOKUP($P757,'Base Grupo de Produtos'!$E$23:$E$39,'Base Grupo de Produtos'!$F$23:$F$39)</f>
        <v>0</v>
      </c>
      <c r="Y757" s="56">
        <f>_xlfn.XLOOKUP($N757,'Calculo Leads Conveniencia'!$A$77:$A$104,'Calculo Leads Conveniencia'!L$77:L$104)*_xlfn.XLOOKUP($P757,'Base Grupo de Produtos'!$E$23:$E$39,'Base Grupo de Produtos'!$F$23:$F$39)</f>
        <v>0</v>
      </c>
      <c r="Z757" s="56">
        <f>_xlfn.XLOOKUP($N757,'Calculo Leads Conveniencia'!$A$77:$A$104,'Calculo Leads Conveniencia'!M$77:M$104)*_xlfn.XLOOKUP($P757,'Base Grupo de Produtos'!$E$23:$E$39,'Base Grupo de Produtos'!$F$23:$F$39)</f>
        <v>0</v>
      </c>
      <c r="AA757" s="56">
        <f>_xlfn.XLOOKUP($N757,'Calculo Leads Conveniencia'!$A$77:$A$104,'Calculo Leads Conveniencia'!N$77:N$104)*_xlfn.XLOOKUP($P757,'Base Grupo de Produtos'!$E$23:$E$39,'Base Grupo de Produtos'!$F$23:$F$39)</f>
        <v>0</v>
      </c>
      <c r="AB757" s="56">
        <f>_xlfn.XLOOKUP($N757,'Calculo Leads Conveniencia'!$A$77:$A$104,'Calculo Leads Conveniencia'!O$77:O$104)*_xlfn.XLOOKUP($P757,'Base Grupo de Produtos'!$E$23:$E$39,'Base Grupo de Produtos'!$F$23:$F$39)</f>
        <v>0</v>
      </c>
      <c r="AC757" s="61">
        <f t="shared" si="752"/>
        <v>0</v>
      </c>
      <c r="AD757" s="28"/>
      <c r="AE757" s="12"/>
      <c r="AF757" s="29"/>
      <c r="AG757" s="9"/>
      <c r="AH757" s="10"/>
      <c r="AI757" s="9"/>
      <c r="AJ757" s="11"/>
      <c r="AK757" s="9"/>
      <c r="AL757" s="13"/>
      <c r="AM757" s="9"/>
    </row>
    <row r="758" spans="1:39" x14ac:dyDescent="0.3">
      <c r="A758" s="2" t="str">
        <f t="shared" si="753"/>
        <v>NÃO</v>
      </c>
      <c r="B758" s="2" t="str">
        <f>_xlfn.XLOOKUP($N758,'Base de Grupos'!$A:$A,'Base de Grupos'!$D:$D)</f>
        <v>1000065763</v>
      </c>
      <c r="C758" s="5" t="str">
        <f>_xlfn.XLOOKUP($N758,'Base de Grupos'!$A:$A,'Base de Grupos'!$E:$E)</f>
        <v>CANAL VENDA INTERNA</v>
      </c>
      <c r="D758" s="5" t="str">
        <f>_xlfn.XLOOKUP($N758,'Base de Grupos'!$A:$A,'Base de Grupos'!$F:$F)</f>
        <v>1000065763</v>
      </c>
      <c r="E758" s="2" t="str">
        <f>_xlfn.XLOOKUP($N758,'Base de Grupos'!$A:$A,'Base de Grupos'!$G:$G)</f>
        <v>CANAL VENDA INTERNA</v>
      </c>
      <c r="F758" s="2" t="str">
        <f>_xlfn.XLOOKUP($N758,'Base de Grupos'!$A:$A,'Base de Grupos'!$H:$H)</f>
        <v>1000174119</v>
      </c>
      <c r="G758" s="5" t="str">
        <f>_xlfn.XLOOKUP($N758,'Base de Grupos'!$A:$A,'Base de Grupos'!$I:$I)</f>
        <v>REGIONAL VENDA INTERNA - CONVENIENCIA</v>
      </c>
      <c r="H758" s="5" t="str">
        <f>_xlfn.XLOOKUP($N758,'Base de Grupos'!$A:$A,'Base de Grupos'!$J:$J)</f>
        <v>1000174119</v>
      </c>
      <c r="I758" s="2" t="str">
        <f>_xlfn.XLOOKUP($N758,'Base de Grupos'!$A:$A,'Base de Grupos'!$K:$K)</f>
        <v>REGIONAL VENDA INTERNA - CONVENIENCIA</v>
      </c>
      <c r="J758" s="2" t="str">
        <f>_xlfn.XLOOKUP($N758,'Base de Grupos'!$A:$A,'Base de Grupos'!$L:$L)</f>
        <v>1000174119</v>
      </c>
      <c r="K758" s="5" t="str">
        <f>_xlfn.XLOOKUP($N758,'Base de Grupos'!$A:$A,'Base de Grupos'!$M:$M)</f>
        <v>REGIONAL VENDA INTERNA - CONVENIENCIA</v>
      </c>
      <c r="L758" s="5" t="str">
        <f t="shared" si="754"/>
        <v/>
      </c>
      <c r="M758" s="5" t="str">
        <f>_xlfn.XLOOKUP($N758,'Base de Grupos'!$A:$A,'Base de Grupos'!$C:$C)</f>
        <v>PI</v>
      </c>
      <c r="N758" s="3">
        <v>1505</v>
      </c>
      <c r="O758" s="4" t="s">
        <v>265</v>
      </c>
      <c r="P758" s="5" t="s">
        <v>93</v>
      </c>
      <c r="Q758" s="56">
        <v>0</v>
      </c>
      <c r="R758" s="56">
        <v>0</v>
      </c>
      <c r="S758" s="56">
        <v>0</v>
      </c>
      <c r="T758" s="56">
        <f>_xlfn.XLOOKUP($N758,'Calculo Leads Conveniencia'!$A$77:$A$104,'Calculo Leads Conveniencia'!G$77:G$104)*_xlfn.XLOOKUP($P758,'Base Grupo de Produtos'!$E$23:$E$39,'Base Grupo de Produtos'!$F$23:$F$39)</f>
        <v>0</v>
      </c>
      <c r="U758" s="56">
        <f>_xlfn.XLOOKUP($N758,'Calculo Leads Conveniencia'!$A$77:$A$104,'Calculo Leads Conveniencia'!H$77:H$104)*_xlfn.XLOOKUP($P758,'Base Grupo de Produtos'!$E$23:$E$39,'Base Grupo de Produtos'!$F$23:$F$39)</f>
        <v>0</v>
      </c>
      <c r="V758" s="56">
        <f>_xlfn.XLOOKUP($N758,'Calculo Leads Conveniencia'!$A$77:$A$104,'Calculo Leads Conveniencia'!I$77:I$104)*_xlfn.XLOOKUP($P758,'Base Grupo de Produtos'!$E$23:$E$39,'Base Grupo de Produtos'!$F$23:$F$39)</f>
        <v>0</v>
      </c>
      <c r="W758" s="56">
        <f>_xlfn.XLOOKUP($N758,'Calculo Leads Conveniencia'!$A$77:$A$104,'Calculo Leads Conveniencia'!J$77:J$104)*_xlfn.XLOOKUP($P758,'Base Grupo de Produtos'!$E$23:$E$39,'Base Grupo de Produtos'!$F$23:$F$39)</f>
        <v>0</v>
      </c>
      <c r="X758" s="56">
        <f>_xlfn.XLOOKUP($N758,'Calculo Leads Conveniencia'!$A$77:$A$104,'Calculo Leads Conveniencia'!K$77:K$104)*_xlfn.XLOOKUP($P758,'Base Grupo de Produtos'!$E$23:$E$39,'Base Grupo de Produtos'!$F$23:$F$39)</f>
        <v>0</v>
      </c>
      <c r="Y758" s="56">
        <f>_xlfn.XLOOKUP($N758,'Calculo Leads Conveniencia'!$A$77:$A$104,'Calculo Leads Conveniencia'!L$77:L$104)*_xlfn.XLOOKUP($P758,'Base Grupo de Produtos'!$E$23:$E$39,'Base Grupo de Produtos'!$F$23:$F$39)</f>
        <v>0</v>
      </c>
      <c r="Z758" s="56">
        <f>_xlfn.XLOOKUP($N758,'Calculo Leads Conveniencia'!$A$77:$A$104,'Calculo Leads Conveniencia'!M$77:M$104)*_xlfn.XLOOKUP($P758,'Base Grupo de Produtos'!$E$23:$E$39,'Base Grupo de Produtos'!$F$23:$F$39)</f>
        <v>0</v>
      </c>
      <c r="AA758" s="56">
        <f>_xlfn.XLOOKUP($N758,'Calculo Leads Conveniencia'!$A$77:$A$104,'Calculo Leads Conveniencia'!N$77:N$104)*_xlfn.XLOOKUP($P758,'Base Grupo de Produtos'!$E$23:$E$39,'Base Grupo de Produtos'!$F$23:$F$39)</f>
        <v>0</v>
      </c>
      <c r="AB758" s="56">
        <f>_xlfn.XLOOKUP($N758,'Calculo Leads Conveniencia'!$A$77:$A$104,'Calculo Leads Conveniencia'!O$77:O$104)*_xlfn.XLOOKUP($P758,'Base Grupo de Produtos'!$E$23:$E$39,'Base Grupo de Produtos'!$F$23:$F$39)</f>
        <v>0</v>
      </c>
      <c r="AC758" s="61">
        <f t="shared" si="752"/>
        <v>0</v>
      </c>
      <c r="AD758" s="28"/>
      <c r="AE758" s="12"/>
      <c r="AF758" s="29"/>
      <c r="AG758" s="9"/>
      <c r="AH758" s="10"/>
      <c r="AI758" s="9"/>
      <c r="AJ758" s="11"/>
      <c r="AK758" s="9"/>
      <c r="AL758" s="13"/>
      <c r="AM758" s="9"/>
    </row>
    <row r="759" spans="1:39" x14ac:dyDescent="0.3">
      <c r="A759" s="2" t="str">
        <f t="shared" si="753"/>
        <v>SIM</v>
      </c>
      <c r="B759" s="2" t="str">
        <f>_xlfn.XLOOKUP($N759,'Base de Grupos'!$A:$A,'Base de Grupos'!$D:$D)</f>
        <v>1000065763</v>
      </c>
      <c r="C759" s="5" t="str">
        <f>_xlfn.XLOOKUP($N759,'Base de Grupos'!$A:$A,'Base de Grupos'!$E:$E)</f>
        <v>CANAL VENDA INTERNA</v>
      </c>
      <c r="D759" s="5" t="str">
        <f>_xlfn.XLOOKUP($N759,'Base de Grupos'!$A:$A,'Base de Grupos'!$F:$F)</f>
        <v>1000065763</v>
      </c>
      <c r="E759" s="2" t="str">
        <f>_xlfn.XLOOKUP($N759,'Base de Grupos'!$A:$A,'Base de Grupos'!$G:$G)</f>
        <v>CANAL VENDA INTERNA</v>
      </c>
      <c r="F759" s="2" t="str">
        <f>_xlfn.XLOOKUP($N759,'Base de Grupos'!$A:$A,'Base de Grupos'!$H:$H)</f>
        <v>1000174119</v>
      </c>
      <c r="G759" s="5" t="str">
        <f>_xlfn.XLOOKUP($N759,'Base de Grupos'!$A:$A,'Base de Grupos'!$I:$I)</f>
        <v>REGIONAL VENDA INTERNA - CONVENIENCIA</v>
      </c>
      <c r="H759" s="5" t="str">
        <f>_xlfn.XLOOKUP($N759,'Base de Grupos'!$A:$A,'Base de Grupos'!$J:$J)</f>
        <v>1000174119</v>
      </c>
      <c r="I759" s="2" t="str">
        <f>_xlfn.XLOOKUP($N759,'Base de Grupos'!$A:$A,'Base de Grupos'!$K:$K)</f>
        <v>REGIONAL VENDA INTERNA - CONVENIENCIA</v>
      </c>
      <c r="J759" s="2" t="str">
        <f>_xlfn.XLOOKUP($N759,'Base de Grupos'!$A:$A,'Base de Grupos'!$L:$L)</f>
        <v>1000174119</v>
      </c>
      <c r="K759" s="5" t="str">
        <f>_xlfn.XLOOKUP($N759,'Base de Grupos'!$A:$A,'Base de Grupos'!$M:$M)</f>
        <v>REGIONAL VENDA INTERNA - CONVENIENCIA</v>
      </c>
      <c r="L759" s="5">
        <f t="shared" si="754"/>
        <v>1</v>
      </c>
      <c r="M759" s="5" t="str">
        <f>_xlfn.XLOOKUP($N759,'Base de Grupos'!$A:$A,'Base de Grupos'!$C:$C)</f>
        <v>PE</v>
      </c>
      <c r="N759" s="3">
        <v>1507</v>
      </c>
      <c r="O759" s="4" t="s">
        <v>266</v>
      </c>
      <c r="P759" s="5" t="s">
        <v>336</v>
      </c>
      <c r="Q759" s="56">
        <f t="shared" ref="Q759" si="781">SUM(Q760:Q776)</f>
        <v>0</v>
      </c>
      <c r="R759" s="56">
        <f t="shared" ref="R759" si="782">SUM(R760:R776)</f>
        <v>0</v>
      </c>
      <c r="S759" s="56">
        <f t="shared" ref="S759" si="783">SUM(S760:S776)</f>
        <v>0</v>
      </c>
      <c r="T759" s="56">
        <f t="shared" ref="T759" si="784">SUM(T760:T776)</f>
        <v>0</v>
      </c>
      <c r="U759" s="56">
        <f t="shared" ref="U759" si="785">SUM(U760:U776)</f>
        <v>0</v>
      </c>
      <c r="V759" s="56">
        <f t="shared" ref="V759" si="786">SUM(V760:V776)</f>
        <v>0</v>
      </c>
      <c r="W759" s="56">
        <f t="shared" ref="W759" si="787">SUM(W760:W776)</f>
        <v>0</v>
      </c>
      <c r="X759" s="56">
        <f t="shared" ref="X759" si="788">SUM(X760:X776)</f>
        <v>0</v>
      </c>
      <c r="Y759" s="56">
        <f t="shared" ref="Y759" si="789">SUM(Y760:Y776)</f>
        <v>0</v>
      </c>
      <c r="Z759" s="56">
        <f t="shared" ref="Z759" si="790">SUM(Z760:Z776)</f>
        <v>0</v>
      </c>
      <c r="AA759" s="56">
        <f t="shared" ref="AA759" si="791">SUM(AA760:AA776)</f>
        <v>0</v>
      </c>
      <c r="AB759" s="56">
        <f t="shared" ref="AB759" si="792">SUM(AB760:AB776)</f>
        <v>0</v>
      </c>
      <c r="AC759" s="56">
        <f t="shared" ref="AC759" si="793">SUM(AC760:AC776)</f>
        <v>0</v>
      </c>
      <c r="AD759" s="28"/>
      <c r="AE759" s="12"/>
      <c r="AF759" s="29"/>
      <c r="AG759" s="9"/>
      <c r="AH759" s="10"/>
      <c r="AI759" s="9"/>
      <c r="AJ759" s="11"/>
      <c r="AK759" s="9"/>
      <c r="AL759" s="13"/>
      <c r="AM759" s="9"/>
    </row>
    <row r="760" spans="1:39" x14ac:dyDescent="0.3">
      <c r="A760" s="2" t="str">
        <f t="shared" si="753"/>
        <v>NÃO</v>
      </c>
      <c r="B760" s="2" t="str">
        <f>_xlfn.XLOOKUP($N760,'Base de Grupos'!$A:$A,'Base de Grupos'!$D:$D)</f>
        <v>1000065763</v>
      </c>
      <c r="C760" s="5" t="str">
        <f>_xlfn.XLOOKUP($N760,'Base de Grupos'!$A:$A,'Base de Grupos'!$E:$E)</f>
        <v>CANAL VENDA INTERNA</v>
      </c>
      <c r="D760" s="5" t="str">
        <f>_xlfn.XLOOKUP($N760,'Base de Grupos'!$A:$A,'Base de Grupos'!$F:$F)</f>
        <v>1000065763</v>
      </c>
      <c r="E760" s="2" t="str">
        <f>_xlfn.XLOOKUP($N760,'Base de Grupos'!$A:$A,'Base de Grupos'!$G:$G)</f>
        <v>CANAL VENDA INTERNA</v>
      </c>
      <c r="F760" s="2" t="str">
        <f>_xlfn.XLOOKUP($N760,'Base de Grupos'!$A:$A,'Base de Grupos'!$H:$H)</f>
        <v>1000174119</v>
      </c>
      <c r="G760" s="5" t="str">
        <f>_xlfn.XLOOKUP($N760,'Base de Grupos'!$A:$A,'Base de Grupos'!$I:$I)</f>
        <v>REGIONAL VENDA INTERNA - CONVENIENCIA</v>
      </c>
      <c r="H760" s="5" t="str">
        <f>_xlfn.XLOOKUP($N760,'Base de Grupos'!$A:$A,'Base de Grupos'!$J:$J)</f>
        <v>1000174119</v>
      </c>
      <c r="I760" s="2" t="str">
        <f>_xlfn.XLOOKUP($N760,'Base de Grupos'!$A:$A,'Base de Grupos'!$K:$K)</f>
        <v>REGIONAL VENDA INTERNA - CONVENIENCIA</v>
      </c>
      <c r="J760" s="2" t="str">
        <f>_xlfn.XLOOKUP($N760,'Base de Grupos'!$A:$A,'Base de Grupos'!$L:$L)</f>
        <v>1000174119</v>
      </c>
      <c r="K760" s="5" t="str">
        <f>_xlfn.XLOOKUP($N760,'Base de Grupos'!$A:$A,'Base de Grupos'!$M:$M)</f>
        <v>REGIONAL VENDA INTERNA - CONVENIENCIA</v>
      </c>
      <c r="L760" s="5" t="str">
        <f t="shared" si="754"/>
        <v/>
      </c>
      <c r="M760" s="5" t="str">
        <f>_xlfn.XLOOKUP($N760,'Base de Grupos'!$A:$A,'Base de Grupos'!$C:$C)</f>
        <v>PE</v>
      </c>
      <c r="N760" s="3">
        <v>1507</v>
      </c>
      <c r="O760" s="4" t="s">
        <v>266</v>
      </c>
      <c r="P760" s="5" t="s">
        <v>81</v>
      </c>
      <c r="Q760" s="56">
        <v>0</v>
      </c>
      <c r="R760" s="56">
        <v>0</v>
      </c>
      <c r="S760" s="56">
        <v>0</v>
      </c>
      <c r="T760" s="56">
        <f>_xlfn.XLOOKUP($N760,'Calculo Leads Conveniencia'!$A$77:$A$104,'Calculo Leads Conveniencia'!G$77:G$104)*_xlfn.XLOOKUP($P760,'Base Grupo de Produtos'!$E$23:$E$39,'Base Grupo de Produtos'!$F$23:$F$39)</f>
        <v>0</v>
      </c>
      <c r="U760" s="56">
        <f>_xlfn.XLOOKUP($N760,'Calculo Leads Conveniencia'!$A$77:$A$104,'Calculo Leads Conveniencia'!H$77:H$104)*_xlfn.XLOOKUP($P760,'Base Grupo de Produtos'!$E$23:$E$39,'Base Grupo de Produtos'!$F$23:$F$39)</f>
        <v>0</v>
      </c>
      <c r="V760" s="56">
        <f>_xlfn.XLOOKUP($N760,'Calculo Leads Conveniencia'!$A$77:$A$104,'Calculo Leads Conveniencia'!I$77:I$104)*_xlfn.XLOOKUP($P760,'Base Grupo de Produtos'!$E$23:$E$39,'Base Grupo de Produtos'!$F$23:$F$39)</f>
        <v>0</v>
      </c>
      <c r="W760" s="56">
        <f>_xlfn.XLOOKUP($N760,'Calculo Leads Conveniencia'!$A$77:$A$104,'Calculo Leads Conveniencia'!J$77:J$104)*_xlfn.XLOOKUP($P760,'Base Grupo de Produtos'!$E$23:$E$39,'Base Grupo de Produtos'!$F$23:$F$39)</f>
        <v>0</v>
      </c>
      <c r="X760" s="56">
        <f>_xlfn.XLOOKUP($N760,'Calculo Leads Conveniencia'!$A$77:$A$104,'Calculo Leads Conveniencia'!K$77:K$104)*_xlfn.XLOOKUP($P760,'Base Grupo de Produtos'!$E$23:$E$39,'Base Grupo de Produtos'!$F$23:$F$39)</f>
        <v>0</v>
      </c>
      <c r="Y760" s="56">
        <f>_xlfn.XLOOKUP($N760,'Calculo Leads Conveniencia'!$A$77:$A$104,'Calculo Leads Conveniencia'!L$77:L$104)*_xlfn.XLOOKUP($P760,'Base Grupo de Produtos'!$E$23:$E$39,'Base Grupo de Produtos'!$F$23:$F$39)</f>
        <v>0</v>
      </c>
      <c r="Z760" s="56">
        <f>_xlfn.XLOOKUP($N760,'Calculo Leads Conveniencia'!$A$77:$A$104,'Calculo Leads Conveniencia'!M$77:M$104)*_xlfn.XLOOKUP($P760,'Base Grupo de Produtos'!$E$23:$E$39,'Base Grupo de Produtos'!$F$23:$F$39)</f>
        <v>0</v>
      </c>
      <c r="AA760" s="56">
        <f>_xlfn.XLOOKUP($N760,'Calculo Leads Conveniencia'!$A$77:$A$104,'Calculo Leads Conveniencia'!N$77:N$104)*_xlfn.XLOOKUP($P760,'Base Grupo de Produtos'!$E$23:$E$39,'Base Grupo de Produtos'!$F$23:$F$39)</f>
        <v>0</v>
      </c>
      <c r="AB760" s="56">
        <f>_xlfn.XLOOKUP($N760,'Calculo Leads Conveniencia'!$A$77:$A$104,'Calculo Leads Conveniencia'!O$77:O$104)*_xlfn.XLOOKUP($P760,'Base Grupo de Produtos'!$E$23:$E$39,'Base Grupo de Produtos'!$F$23:$F$39)</f>
        <v>0</v>
      </c>
      <c r="AC760" s="61">
        <f t="shared" si="752"/>
        <v>0</v>
      </c>
      <c r="AD760" s="28"/>
      <c r="AE760" s="12"/>
      <c r="AF760" s="29"/>
      <c r="AG760" s="9"/>
      <c r="AH760" s="10"/>
      <c r="AI760" s="9"/>
      <c r="AJ760" s="11"/>
      <c r="AK760" s="9"/>
      <c r="AL760" s="13"/>
      <c r="AM760" s="9"/>
    </row>
    <row r="761" spans="1:39" x14ac:dyDescent="0.3">
      <c r="A761" s="2" t="str">
        <f t="shared" si="753"/>
        <v>NÃO</v>
      </c>
      <c r="B761" s="2" t="str">
        <f>_xlfn.XLOOKUP($N761,'Base de Grupos'!$A:$A,'Base de Grupos'!$D:$D)</f>
        <v>1000065763</v>
      </c>
      <c r="C761" s="5" t="str">
        <f>_xlfn.XLOOKUP($N761,'Base de Grupos'!$A:$A,'Base de Grupos'!$E:$E)</f>
        <v>CANAL VENDA INTERNA</v>
      </c>
      <c r="D761" s="5" t="str">
        <f>_xlfn.XLOOKUP($N761,'Base de Grupos'!$A:$A,'Base de Grupos'!$F:$F)</f>
        <v>1000065763</v>
      </c>
      <c r="E761" s="2" t="str">
        <f>_xlfn.XLOOKUP($N761,'Base de Grupos'!$A:$A,'Base de Grupos'!$G:$G)</f>
        <v>CANAL VENDA INTERNA</v>
      </c>
      <c r="F761" s="2" t="str">
        <f>_xlfn.XLOOKUP($N761,'Base de Grupos'!$A:$A,'Base de Grupos'!$H:$H)</f>
        <v>1000174119</v>
      </c>
      <c r="G761" s="5" t="str">
        <f>_xlfn.XLOOKUP($N761,'Base de Grupos'!$A:$A,'Base de Grupos'!$I:$I)</f>
        <v>REGIONAL VENDA INTERNA - CONVENIENCIA</v>
      </c>
      <c r="H761" s="5" t="str">
        <f>_xlfn.XLOOKUP($N761,'Base de Grupos'!$A:$A,'Base de Grupos'!$J:$J)</f>
        <v>1000174119</v>
      </c>
      <c r="I761" s="2" t="str">
        <f>_xlfn.XLOOKUP($N761,'Base de Grupos'!$A:$A,'Base de Grupos'!$K:$K)</f>
        <v>REGIONAL VENDA INTERNA - CONVENIENCIA</v>
      </c>
      <c r="J761" s="2" t="str">
        <f>_xlfn.XLOOKUP($N761,'Base de Grupos'!$A:$A,'Base de Grupos'!$L:$L)</f>
        <v>1000174119</v>
      </c>
      <c r="K761" s="5" t="str">
        <f>_xlfn.XLOOKUP($N761,'Base de Grupos'!$A:$A,'Base de Grupos'!$M:$M)</f>
        <v>REGIONAL VENDA INTERNA - CONVENIENCIA</v>
      </c>
      <c r="L761" s="5" t="str">
        <f t="shared" si="754"/>
        <v/>
      </c>
      <c r="M761" s="5" t="str">
        <f>_xlfn.XLOOKUP($N761,'Base de Grupos'!$A:$A,'Base de Grupos'!$C:$C)</f>
        <v>PE</v>
      </c>
      <c r="N761" s="3">
        <v>1507</v>
      </c>
      <c r="O761" s="4" t="s">
        <v>266</v>
      </c>
      <c r="P761" s="5" t="s">
        <v>82</v>
      </c>
      <c r="Q761" s="56">
        <v>0</v>
      </c>
      <c r="R761" s="56">
        <v>0</v>
      </c>
      <c r="S761" s="56">
        <v>0</v>
      </c>
      <c r="T761" s="56">
        <f>_xlfn.XLOOKUP($N761,'Calculo Leads Conveniencia'!$A$77:$A$104,'Calculo Leads Conveniencia'!G$77:G$104)*_xlfn.XLOOKUP($P761,'Base Grupo de Produtos'!$E$23:$E$39,'Base Grupo de Produtos'!$F$23:$F$39)</f>
        <v>0</v>
      </c>
      <c r="U761" s="56">
        <f>_xlfn.XLOOKUP($N761,'Calculo Leads Conveniencia'!$A$77:$A$104,'Calculo Leads Conveniencia'!H$77:H$104)*_xlfn.XLOOKUP($P761,'Base Grupo de Produtos'!$E$23:$E$39,'Base Grupo de Produtos'!$F$23:$F$39)</f>
        <v>0</v>
      </c>
      <c r="V761" s="56">
        <f>_xlfn.XLOOKUP($N761,'Calculo Leads Conveniencia'!$A$77:$A$104,'Calculo Leads Conveniencia'!I$77:I$104)*_xlfn.XLOOKUP($P761,'Base Grupo de Produtos'!$E$23:$E$39,'Base Grupo de Produtos'!$F$23:$F$39)</f>
        <v>0</v>
      </c>
      <c r="W761" s="56">
        <f>_xlfn.XLOOKUP($N761,'Calculo Leads Conveniencia'!$A$77:$A$104,'Calculo Leads Conveniencia'!J$77:J$104)*_xlfn.XLOOKUP($P761,'Base Grupo de Produtos'!$E$23:$E$39,'Base Grupo de Produtos'!$F$23:$F$39)</f>
        <v>0</v>
      </c>
      <c r="X761" s="56">
        <f>_xlfn.XLOOKUP($N761,'Calculo Leads Conveniencia'!$A$77:$A$104,'Calculo Leads Conveniencia'!K$77:K$104)*_xlfn.XLOOKUP($P761,'Base Grupo de Produtos'!$E$23:$E$39,'Base Grupo de Produtos'!$F$23:$F$39)</f>
        <v>0</v>
      </c>
      <c r="Y761" s="56">
        <f>_xlfn.XLOOKUP($N761,'Calculo Leads Conveniencia'!$A$77:$A$104,'Calculo Leads Conveniencia'!L$77:L$104)*_xlfn.XLOOKUP($P761,'Base Grupo de Produtos'!$E$23:$E$39,'Base Grupo de Produtos'!$F$23:$F$39)</f>
        <v>0</v>
      </c>
      <c r="Z761" s="56">
        <f>_xlfn.XLOOKUP($N761,'Calculo Leads Conveniencia'!$A$77:$A$104,'Calculo Leads Conveniencia'!M$77:M$104)*_xlfn.XLOOKUP($P761,'Base Grupo de Produtos'!$E$23:$E$39,'Base Grupo de Produtos'!$F$23:$F$39)</f>
        <v>0</v>
      </c>
      <c r="AA761" s="56">
        <f>_xlfn.XLOOKUP($N761,'Calculo Leads Conveniencia'!$A$77:$A$104,'Calculo Leads Conveniencia'!N$77:N$104)*_xlfn.XLOOKUP($P761,'Base Grupo de Produtos'!$E$23:$E$39,'Base Grupo de Produtos'!$F$23:$F$39)</f>
        <v>0</v>
      </c>
      <c r="AB761" s="56">
        <f>_xlfn.XLOOKUP($N761,'Calculo Leads Conveniencia'!$A$77:$A$104,'Calculo Leads Conveniencia'!O$77:O$104)*_xlfn.XLOOKUP($P761,'Base Grupo de Produtos'!$E$23:$E$39,'Base Grupo de Produtos'!$F$23:$F$39)</f>
        <v>0</v>
      </c>
      <c r="AC761" s="61">
        <f t="shared" si="752"/>
        <v>0</v>
      </c>
      <c r="AD761" s="28"/>
      <c r="AE761" s="12"/>
      <c r="AF761" s="29"/>
      <c r="AG761" s="9"/>
      <c r="AH761" s="10"/>
      <c r="AI761" s="9"/>
      <c r="AJ761" s="11"/>
      <c r="AK761" s="9"/>
      <c r="AL761" s="13"/>
      <c r="AM761" s="9"/>
    </row>
    <row r="762" spans="1:39" x14ac:dyDescent="0.3">
      <c r="A762" s="2" t="str">
        <f t="shared" si="753"/>
        <v>NÃO</v>
      </c>
      <c r="B762" s="2" t="str">
        <f>_xlfn.XLOOKUP($N762,'Base de Grupos'!$A:$A,'Base de Grupos'!$D:$D)</f>
        <v>1000065763</v>
      </c>
      <c r="C762" s="5" t="str">
        <f>_xlfn.XLOOKUP($N762,'Base de Grupos'!$A:$A,'Base de Grupos'!$E:$E)</f>
        <v>CANAL VENDA INTERNA</v>
      </c>
      <c r="D762" s="5" t="str">
        <f>_xlfn.XLOOKUP($N762,'Base de Grupos'!$A:$A,'Base de Grupos'!$F:$F)</f>
        <v>1000065763</v>
      </c>
      <c r="E762" s="2" t="str">
        <f>_xlfn.XLOOKUP($N762,'Base de Grupos'!$A:$A,'Base de Grupos'!$G:$G)</f>
        <v>CANAL VENDA INTERNA</v>
      </c>
      <c r="F762" s="2" t="str">
        <f>_xlfn.XLOOKUP($N762,'Base de Grupos'!$A:$A,'Base de Grupos'!$H:$H)</f>
        <v>1000174119</v>
      </c>
      <c r="G762" s="5" t="str">
        <f>_xlfn.XLOOKUP($N762,'Base de Grupos'!$A:$A,'Base de Grupos'!$I:$I)</f>
        <v>REGIONAL VENDA INTERNA - CONVENIENCIA</v>
      </c>
      <c r="H762" s="5" t="str">
        <f>_xlfn.XLOOKUP($N762,'Base de Grupos'!$A:$A,'Base de Grupos'!$J:$J)</f>
        <v>1000174119</v>
      </c>
      <c r="I762" s="2" t="str">
        <f>_xlfn.XLOOKUP($N762,'Base de Grupos'!$A:$A,'Base de Grupos'!$K:$K)</f>
        <v>REGIONAL VENDA INTERNA - CONVENIENCIA</v>
      </c>
      <c r="J762" s="2" t="str">
        <f>_xlfn.XLOOKUP($N762,'Base de Grupos'!$A:$A,'Base de Grupos'!$L:$L)</f>
        <v>1000174119</v>
      </c>
      <c r="K762" s="5" t="str">
        <f>_xlfn.XLOOKUP($N762,'Base de Grupos'!$A:$A,'Base de Grupos'!$M:$M)</f>
        <v>REGIONAL VENDA INTERNA - CONVENIENCIA</v>
      </c>
      <c r="L762" s="5" t="str">
        <f t="shared" si="754"/>
        <v/>
      </c>
      <c r="M762" s="5" t="str">
        <f>_xlfn.XLOOKUP($N762,'Base de Grupos'!$A:$A,'Base de Grupos'!$C:$C)</f>
        <v>PE</v>
      </c>
      <c r="N762" s="3">
        <v>1507</v>
      </c>
      <c r="O762" s="4" t="s">
        <v>266</v>
      </c>
      <c r="P762" s="5" t="s">
        <v>84</v>
      </c>
      <c r="Q762" s="56">
        <v>0</v>
      </c>
      <c r="R762" s="56">
        <v>0</v>
      </c>
      <c r="S762" s="56">
        <v>0</v>
      </c>
      <c r="T762" s="56">
        <f>_xlfn.XLOOKUP($N762,'Calculo Leads Conveniencia'!$A$77:$A$104,'Calculo Leads Conveniencia'!G$77:G$104)*_xlfn.XLOOKUP($P762,'Base Grupo de Produtos'!$E$23:$E$39,'Base Grupo de Produtos'!$F$23:$F$39)</f>
        <v>0</v>
      </c>
      <c r="U762" s="56">
        <f>_xlfn.XLOOKUP($N762,'Calculo Leads Conveniencia'!$A$77:$A$104,'Calculo Leads Conveniencia'!H$77:H$104)*_xlfn.XLOOKUP($P762,'Base Grupo de Produtos'!$E$23:$E$39,'Base Grupo de Produtos'!$F$23:$F$39)</f>
        <v>0</v>
      </c>
      <c r="V762" s="56">
        <f>_xlfn.XLOOKUP($N762,'Calculo Leads Conveniencia'!$A$77:$A$104,'Calculo Leads Conveniencia'!I$77:I$104)*_xlfn.XLOOKUP($P762,'Base Grupo de Produtos'!$E$23:$E$39,'Base Grupo de Produtos'!$F$23:$F$39)</f>
        <v>0</v>
      </c>
      <c r="W762" s="56">
        <f>_xlfn.XLOOKUP($N762,'Calculo Leads Conveniencia'!$A$77:$A$104,'Calculo Leads Conveniencia'!J$77:J$104)*_xlfn.XLOOKUP($P762,'Base Grupo de Produtos'!$E$23:$E$39,'Base Grupo de Produtos'!$F$23:$F$39)</f>
        <v>0</v>
      </c>
      <c r="X762" s="56">
        <f>_xlfn.XLOOKUP($N762,'Calculo Leads Conveniencia'!$A$77:$A$104,'Calculo Leads Conveniencia'!K$77:K$104)*_xlfn.XLOOKUP($P762,'Base Grupo de Produtos'!$E$23:$E$39,'Base Grupo de Produtos'!$F$23:$F$39)</f>
        <v>0</v>
      </c>
      <c r="Y762" s="56">
        <f>_xlfn.XLOOKUP($N762,'Calculo Leads Conveniencia'!$A$77:$A$104,'Calculo Leads Conveniencia'!L$77:L$104)*_xlfn.XLOOKUP($P762,'Base Grupo de Produtos'!$E$23:$E$39,'Base Grupo de Produtos'!$F$23:$F$39)</f>
        <v>0</v>
      </c>
      <c r="Z762" s="56">
        <f>_xlfn.XLOOKUP($N762,'Calculo Leads Conveniencia'!$A$77:$A$104,'Calculo Leads Conveniencia'!M$77:M$104)*_xlfn.XLOOKUP($P762,'Base Grupo de Produtos'!$E$23:$E$39,'Base Grupo de Produtos'!$F$23:$F$39)</f>
        <v>0</v>
      </c>
      <c r="AA762" s="56">
        <f>_xlfn.XLOOKUP($N762,'Calculo Leads Conveniencia'!$A$77:$A$104,'Calculo Leads Conveniencia'!N$77:N$104)*_xlfn.XLOOKUP($P762,'Base Grupo de Produtos'!$E$23:$E$39,'Base Grupo de Produtos'!$F$23:$F$39)</f>
        <v>0</v>
      </c>
      <c r="AB762" s="56">
        <f>_xlfn.XLOOKUP($N762,'Calculo Leads Conveniencia'!$A$77:$A$104,'Calculo Leads Conveniencia'!O$77:O$104)*_xlfn.XLOOKUP($P762,'Base Grupo de Produtos'!$E$23:$E$39,'Base Grupo de Produtos'!$F$23:$F$39)</f>
        <v>0</v>
      </c>
      <c r="AC762" s="61">
        <f t="shared" si="752"/>
        <v>0</v>
      </c>
      <c r="AD762" s="28"/>
      <c r="AE762" s="12"/>
      <c r="AF762" s="29"/>
      <c r="AG762" s="9"/>
      <c r="AH762" s="10"/>
      <c r="AI762" s="9"/>
      <c r="AJ762" s="11"/>
      <c r="AK762" s="9"/>
      <c r="AL762" s="13"/>
      <c r="AM762" s="9"/>
    </row>
    <row r="763" spans="1:39" x14ac:dyDescent="0.3">
      <c r="A763" s="2" t="str">
        <f t="shared" si="753"/>
        <v>NÃO</v>
      </c>
      <c r="B763" s="2" t="str">
        <f>_xlfn.XLOOKUP($N763,'Base de Grupos'!$A:$A,'Base de Grupos'!$D:$D)</f>
        <v>1000065763</v>
      </c>
      <c r="C763" s="5" t="str">
        <f>_xlfn.XLOOKUP($N763,'Base de Grupos'!$A:$A,'Base de Grupos'!$E:$E)</f>
        <v>CANAL VENDA INTERNA</v>
      </c>
      <c r="D763" s="5" t="str">
        <f>_xlfn.XLOOKUP($N763,'Base de Grupos'!$A:$A,'Base de Grupos'!$F:$F)</f>
        <v>1000065763</v>
      </c>
      <c r="E763" s="2" t="str">
        <f>_xlfn.XLOOKUP($N763,'Base de Grupos'!$A:$A,'Base de Grupos'!$G:$G)</f>
        <v>CANAL VENDA INTERNA</v>
      </c>
      <c r="F763" s="2" t="str">
        <f>_xlfn.XLOOKUP($N763,'Base de Grupos'!$A:$A,'Base de Grupos'!$H:$H)</f>
        <v>1000174119</v>
      </c>
      <c r="G763" s="5" t="str">
        <f>_xlfn.XLOOKUP($N763,'Base de Grupos'!$A:$A,'Base de Grupos'!$I:$I)</f>
        <v>REGIONAL VENDA INTERNA - CONVENIENCIA</v>
      </c>
      <c r="H763" s="5" t="str">
        <f>_xlfn.XLOOKUP($N763,'Base de Grupos'!$A:$A,'Base de Grupos'!$J:$J)</f>
        <v>1000174119</v>
      </c>
      <c r="I763" s="2" t="str">
        <f>_xlfn.XLOOKUP($N763,'Base de Grupos'!$A:$A,'Base de Grupos'!$K:$K)</f>
        <v>REGIONAL VENDA INTERNA - CONVENIENCIA</v>
      </c>
      <c r="J763" s="2" t="str">
        <f>_xlfn.XLOOKUP($N763,'Base de Grupos'!$A:$A,'Base de Grupos'!$L:$L)</f>
        <v>1000174119</v>
      </c>
      <c r="K763" s="5" t="str">
        <f>_xlfn.XLOOKUP($N763,'Base de Grupos'!$A:$A,'Base de Grupos'!$M:$M)</f>
        <v>REGIONAL VENDA INTERNA - CONVENIENCIA</v>
      </c>
      <c r="L763" s="5" t="str">
        <f t="shared" si="754"/>
        <v/>
      </c>
      <c r="M763" s="5" t="str">
        <f>_xlfn.XLOOKUP($N763,'Base de Grupos'!$A:$A,'Base de Grupos'!$C:$C)</f>
        <v>PE</v>
      </c>
      <c r="N763" s="3">
        <v>1507</v>
      </c>
      <c r="O763" s="4" t="s">
        <v>266</v>
      </c>
      <c r="P763" s="5" t="s">
        <v>83</v>
      </c>
      <c r="Q763" s="56">
        <v>0</v>
      </c>
      <c r="R763" s="56">
        <v>0</v>
      </c>
      <c r="S763" s="56">
        <v>0</v>
      </c>
      <c r="T763" s="56">
        <f>_xlfn.XLOOKUP($N763,'Calculo Leads Conveniencia'!$A$77:$A$104,'Calculo Leads Conveniencia'!G$77:G$104)*_xlfn.XLOOKUP($P763,'Base Grupo de Produtos'!$E$23:$E$39,'Base Grupo de Produtos'!$F$23:$F$39)</f>
        <v>0</v>
      </c>
      <c r="U763" s="56">
        <f>_xlfn.XLOOKUP($N763,'Calculo Leads Conveniencia'!$A$77:$A$104,'Calculo Leads Conveniencia'!H$77:H$104)*_xlfn.XLOOKUP($P763,'Base Grupo de Produtos'!$E$23:$E$39,'Base Grupo de Produtos'!$F$23:$F$39)</f>
        <v>0</v>
      </c>
      <c r="V763" s="56">
        <f>_xlfn.XLOOKUP($N763,'Calculo Leads Conveniencia'!$A$77:$A$104,'Calculo Leads Conveniencia'!I$77:I$104)*_xlfn.XLOOKUP($P763,'Base Grupo de Produtos'!$E$23:$E$39,'Base Grupo de Produtos'!$F$23:$F$39)</f>
        <v>0</v>
      </c>
      <c r="W763" s="56">
        <f>_xlfn.XLOOKUP($N763,'Calculo Leads Conveniencia'!$A$77:$A$104,'Calculo Leads Conveniencia'!J$77:J$104)*_xlfn.XLOOKUP($P763,'Base Grupo de Produtos'!$E$23:$E$39,'Base Grupo de Produtos'!$F$23:$F$39)</f>
        <v>0</v>
      </c>
      <c r="X763" s="56">
        <f>_xlfn.XLOOKUP($N763,'Calculo Leads Conveniencia'!$A$77:$A$104,'Calculo Leads Conveniencia'!K$77:K$104)*_xlfn.XLOOKUP($P763,'Base Grupo de Produtos'!$E$23:$E$39,'Base Grupo de Produtos'!$F$23:$F$39)</f>
        <v>0</v>
      </c>
      <c r="Y763" s="56">
        <f>_xlfn.XLOOKUP($N763,'Calculo Leads Conveniencia'!$A$77:$A$104,'Calculo Leads Conveniencia'!L$77:L$104)*_xlfn.XLOOKUP($P763,'Base Grupo de Produtos'!$E$23:$E$39,'Base Grupo de Produtos'!$F$23:$F$39)</f>
        <v>0</v>
      </c>
      <c r="Z763" s="56">
        <f>_xlfn.XLOOKUP($N763,'Calculo Leads Conveniencia'!$A$77:$A$104,'Calculo Leads Conveniencia'!M$77:M$104)*_xlfn.XLOOKUP($P763,'Base Grupo de Produtos'!$E$23:$E$39,'Base Grupo de Produtos'!$F$23:$F$39)</f>
        <v>0</v>
      </c>
      <c r="AA763" s="56">
        <f>_xlfn.XLOOKUP($N763,'Calculo Leads Conveniencia'!$A$77:$A$104,'Calculo Leads Conveniencia'!N$77:N$104)*_xlfn.XLOOKUP($P763,'Base Grupo de Produtos'!$E$23:$E$39,'Base Grupo de Produtos'!$F$23:$F$39)</f>
        <v>0</v>
      </c>
      <c r="AB763" s="56">
        <f>_xlfn.XLOOKUP($N763,'Calculo Leads Conveniencia'!$A$77:$A$104,'Calculo Leads Conveniencia'!O$77:O$104)*_xlfn.XLOOKUP($P763,'Base Grupo de Produtos'!$E$23:$E$39,'Base Grupo de Produtos'!$F$23:$F$39)</f>
        <v>0</v>
      </c>
      <c r="AC763" s="61">
        <f t="shared" si="752"/>
        <v>0</v>
      </c>
      <c r="AD763" s="28"/>
      <c r="AE763" s="12"/>
      <c r="AF763" s="29"/>
      <c r="AG763" s="9"/>
      <c r="AH763" s="10"/>
      <c r="AI763" s="9"/>
      <c r="AJ763" s="11"/>
      <c r="AK763" s="9"/>
      <c r="AL763" s="13"/>
      <c r="AM763" s="9"/>
    </row>
    <row r="764" spans="1:39" x14ac:dyDescent="0.3">
      <c r="A764" s="2" t="str">
        <f t="shared" si="753"/>
        <v>NÃO</v>
      </c>
      <c r="B764" s="2" t="str">
        <f>_xlfn.XLOOKUP($N764,'Base de Grupos'!$A:$A,'Base de Grupos'!$D:$D)</f>
        <v>1000065763</v>
      </c>
      <c r="C764" s="5" t="str">
        <f>_xlfn.XLOOKUP($N764,'Base de Grupos'!$A:$A,'Base de Grupos'!$E:$E)</f>
        <v>CANAL VENDA INTERNA</v>
      </c>
      <c r="D764" s="5" t="str">
        <f>_xlfn.XLOOKUP($N764,'Base de Grupos'!$A:$A,'Base de Grupos'!$F:$F)</f>
        <v>1000065763</v>
      </c>
      <c r="E764" s="2" t="str">
        <f>_xlfn.XLOOKUP($N764,'Base de Grupos'!$A:$A,'Base de Grupos'!$G:$G)</f>
        <v>CANAL VENDA INTERNA</v>
      </c>
      <c r="F764" s="2" t="str">
        <f>_xlfn.XLOOKUP($N764,'Base de Grupos'!$A:$A,'Base de Grupos'!$H:$H)</f>
        <v>1000174119</v>
      </c>
      <c r="G764" s="5" t="str">
        <f>_xlfn.XLOOKUP($N764,'Base de Grupos'!$A:$A,'Base de Grupos'!$I:$I)</f>
        <v>REGIONAL VENDA INTERNA - CONVENIENCIA</v>
      </c>
      <c r="H764" s="5" t="str">
        <f>_xlfn.XLOOKUP($N764,'Base de Grupos'!$A:$A,'Base de Grupos'!$J:$J)</f>
        <v>1000174119</v>
      </c>
      <c r="I764" s="2" t="str">
        <f>_xlfn.XLOOKUP($N764,'Base de Grupos'!$A:$A,'Base de Grupos'!$K:$K)</f>
        <v>REGIONAL VENDA INTERNA - CONVENIENCIA</v>
      </c>
      <c r="J764" s="2" t="str">
        <f>_xlfn.XLOOKUP($N764,'Base de Grupos'!$A:$A,'Base de Grupos'!$L:$L)</f>
        <v>1000174119</v>
      </c>
      <c r="K764" s="5" t="str">
        <f>_xlfn.XLOOKUP($N764,'Base de Grupos'!$A:$A,'Base de Grupos'!$M:$M)</f>
        <v>REGIONAL VENDA INTERNA - CONVENIENCIA</v>
      </c>
      <c r="L764" s="5" t="str">
        <f t="shared" si="754"/>
        <v/>
      </c>
      <c r="M764" s="5" t="str">
        <f>_xlfn.XLOOKUP($N764,'Base de Grupos'!$A:$A,'Base de Grupos'!$C:$C)</f>
        <v>PE</v>
      </c>
      <c r="N764" s="3">
        <v>1507</v>
      </c>
      <c r="O764" s="4" t="s">
        <v>266</v>
      </c>
      <c r="P764" s="5" t="s">
        <v>87</v>
      </c>
      <c r="Q764" s="56">
        <v>0</v>
      </c>
      <c r="R764" s="56">
        <v>0</v>
      </c>
      <c r="S764" s="56">
        <v>0</v>
      </c>
      <c r="T764" s="56">
        <f>_xlfn.XLOOKUP($N764,'Calculo Leads Conveniencia'!$A$77:$A$104,'Calculo Leads Conveniencia'!G$77:G$104)*_xlfn.XLOOKUP($P764,'Base Grupo de Produtos'!$E$23:$E$39,'Base Grupo de Produtos'!$F$23:$F$39)</f>
        <v>0</v>
      </c>
      <c r="U764" s="56">
        <f>_xlfn.XLOOKUP($N764,'Calculo Leads Conveniencia'!$A$77:$A$104,'Calculo Leads Conveniencia'!H$77:H$104)*_xlfn.XLOOKUP($P764,'Base Grupo de Produtos'!$E$23:$E$39,'Base Grupo de Produtos'!$F$23:$F$39)</f>
        <v>0</v>
      </c>
      <c r="V764" s="56">
        <f>_xlfn.XLOOKUP($N764,'Calculo Leads Conveniencia'!$A$77:$A$104,'Calculo Leads Conveniencia'!I$77:I$104)*_xlfn.XLOOKUP($P764,'Base Grupo de Produtos'!$E$23:$E$39,'Base Grupo de Produtos'!$F$23:$F$39)</f>
        <v>0</v>
      </c>
      <c r="W764" s="56">
        <f>_xlfn.XLOOKUP($N764,'Calculo Leads Conveniencia'!$A$77:$A$104,'Calculo Leads Conveniencia'!J$77:J$104)*_xlfn.XLOOKUP($P764,'Base Grupo de Produtos'!$E$23:$E$39,'Base Grupo de Produtos'!$F$23:$F$39)</f>
        <v>0</v>
      </c>
      <c r="X764" s="56">
        <f>_xlfn.XLOOKUP($N764,'Calculo Leads Conveniencia'!$A$77:$A$104,'Calculo Leads Conveniencia'!K$77:K$104)*_xlfn.XLOOKUP($P764,'Base Grupo de Produtos'!$E$23:$E$39,'Base Grupo de Produtos'!$F$23:$F$39)</f>
        <v>0</v>
      </c>
      <c r="Y764" s="56">
        <f>_xlfn.XLOOKUP($N764,'Calculo Leads Conveniencia'!$A$77:$A$104,'Calculo Leads Conveniencia'!L$77:L$104)*_xlfn.XLOOKUP($P764,'Base Grupo de Produtos'!$E$23:$E$39,'Base Grupo de Produtos'!$F$23:$F$39)</f>
        <v>0</v>
      </c>
      <c r="Z764" s="56">
        <f>_xlfn.XLOOKUP($N764,'Calculo Leads Conveniencia'!$A$77:$A$104,'Calculo Leads Conveniencia'!M$77:M$104)*_xlfn.XLOOKUP($P764,'Base Grupo de Produtos'!$E$23:$E$39,'Base Grupo de Produtos'!$F$23:$F$39)</f>
        <v>0</v>
      </c>
      <c r="AA764" s="56">
        <f>_xlfn.XLOOKUP($N764,'Calculo Leads Conveniencia'!$A$77:$A$104,'Calculo Leads Conveniencia'!N$77:N$104)*_xlfn.XLOOKUP($P764,'Base Grupo de Produtos'!$E$23:$E$39,'Base Grupo de Produtos'!$F$23:$F$39)</f>
        <v>0</v>
      </c>
      <c r="AB764" s="56">
        <f>_xlfn.XLOOKUP($N764,'Calculo Leads Conveniencia'!$A$77:$A$104,'Calculo Leads Conveniencia'!O$77:O$104)*_xlfn.XLOOKUP($P764,'Base Grupo de Produtos'!$E$23:$E$39,'Base Grupo de Produtos'!$F$23:$F$39)</f>
        <v>0</v>
      </c>
      <c r="AC764" s="61">
        <f t="shared" si="752"/>
        <v>0</v>
      </c>
      <c r="AD764" s="28"/>
      <c r="AE764" s="12"/>
      <c r="AF764" s="29"/>
      <c r="AG764" s="9"/>
      <c r="AH764" s="10"/>
      <c r="AI764" s="9"/>
      <c r="AJ764" s="11"/>
      <c r="AK764" s="9"/>
      <c r="AL764" s="13"/>
      <c r="AM764" s="9"/>
    </row>
    <row r="765" spans="1:39" x14ac:dyDescent="0.3">
      <c r="A765" s="2" t="str">
        <f t="shared" si="753"/>
        <v>NÃO</v>
      </c>
      <c r="B765" s="2" t="str">
        <f>_xlfn.XLOOKUP($N765,'Base de Grupos'!$A:$A,'Base de Grupos'!$D:$D)</f>
        <v>1000065763</v>
      </c>
      <c r="C765" s="5" t="str">
        <f>_xlfn.XLOOKUP($N765,'Base de Grupos'!$A:$A,'Base de Grupos'!$E:$E)</f>
        <v>CANAL VENDA INTERNA</v>
      </c>
      <c r="D765" s="5" t="str">
        <f>_xlfn.XLOOKUP($N765,'Base de Grupos'!$A:$A,'Base de Grupos'!$F:$F)</f>
        <v>1000065763</v>
      </c>
      <c r="E765" s="2" t="str">
        <f>_xlfn.XLOOKUP($N765,'Base de Grupos'!$A:$A,'Base de Grupos'!$G:$G)</f>
        <v>CANAL VENDA INTERNA</v>
      </c>
      <c r="F765" s="2" t="str">
        <f>_xlfn.XLOOKUP($N765,'Base de Grupos'!$A:$A,'Base de Grupos'!$H:$H)</f>
        <v>1000174119</v>
      </c>
      <c r="G765" s="5" t="str">
        <f>_xlfn.XLOOKUP($N765,'Base de Grupos'!$A:$A,'Base de Grupos'!$I:$I)</f>
        <v>REGIONAL VENDA INTERNA - CONVENIENCIA</v>
      </c>
      <c r="H765" s="5" t="str">
        <f>_xlfn.XLOOKUP($N765,'Base de Grupos'!$A:$A,'Base de Grupos'!$J:$J)</f>
        <v>1000174119</v>
      </c>
      <c r="I765" s="2" t="str">
        <f>_xlfn.XLOOKUP($N765,'Base de Grupos'!$A:$A,'Base de Grupos'!$K:$K)</f>
        <v>REGIONAL VENDA INTERNA - CONVENIENCIA</v>
      </c>
      <c r="J765" s="2" t="str">
        <f>_xlfn.XLOOKUP($N765,'Base de Grupos'!$A:$A,'Base de Grupos'!$L:$L)</f>
        <v>1000174119</v>
      </c>
      <c r="K765" s="5" t="str">
        <f>_xlfn.XLOOKUP($N765,'Base de Grupos'!$A:$A,'Base de Grupos'!$M:$M)</f>
        <v>REGIONAL VENDA INTERNA - CONVENIENCIA</v>
      </c>
      <c r="L765" s="5" t="str">
        <f t="shared" si="754"/>
        <v/>
      </c>
      <c r="M765" s="5" t="str">
        <f>_xlfn.XLOOKUP($N765,'Base de Grupos'!$A:$A,'Base de Grupos'!$C:$C)</f>
        <v>PE</v>
      </c>
      <c r="N765" s="3">
        <v>1507</v>
      </c>
      <c r="O765" s="4" t="s">
        <v>266</v>
      </c>
      <c r="P765" s="5" t="s">
        <v>85</v>
      </c>
      <c r="Q765" s="56">
        <v>0</v>
      </c>
      <c r="R765" s="56">
        <v>0</v>
      </c>
      <c r="S765" s="56">
        <v>0</v>
      </c>
      <c r="T765" s="56">
        <f>_xlfn.XLOOKUP($N765,'Calculo Leads Conveniencia'!$A$77:$A$104,'Calculo Leads Conveniencia'!G$77:G$104)*_xlfn.XLOOKUP($P765,'Base Grupo de Produtos'!$E$23:$E$39,'Base Grupo de Produtos'!$F$23:$F$39)</f>
        <v>0</v>
      </c>
      <c r="U765" s="56">
        <f>_xlfn.XLOOKUP($N765,'Calculo Leads Conveniencia'!$A$77:$A$104,'Calculo Leads Conveniencia'!H$77:H$104)*_xlfn.XLOOKUP($P765,'Base Grupo de Produtos'!$E$23:$E$39,'Base Grupo de Produtos'!$F$23:$F$39)</f>
        <v>0</v>
      </c>
      <c r="V765" s="56">
        <f>_xlfn.XLOOKUP($N765,'Calculo Leads Conveniencia'!$A$77:$A$104,'Calculo Leads Conveniencia'!I$77:I$104)*_xlfn.XLOOKUP($P765,'Base Grupo de Produtos'!$E$23:$E$39,'Base Grupo de Produtos'!$F$23:$F$39)</f>
        <v>0</v>
      </c>
      <c r="W765" s="56">
        <f>_xlfn.XLOOKUP($N765,'Calculo Leads Conveniencia'!$A$77:$A$104,'Calculo Leads Conveniencia'!J$77:J$104)*_xlfn.XLOOKUP($P765,'Base Grupo de Produtos'!$E$23:$E$39,'Base Grupo de Produtos'!$F$23:$F$39)</f>
        <v>0</v>
      </c>
      <c r="X765" s="56">
        <f>_xlfn.XLOOKUP($N765,'Calculo Leads Conveniencia'!$A$77:$A$104,'Calculo Leads Conveniencia'!K$77:K$104)*_xlfn.XLOOKUP($P765,'Base Grupo de Produtos'!$E$23:$E$39,'Base Grupo de Produtos'!$F$23:$F$39)</f>
        <v>0</v>
      </c>
      <c r="Y765" s="56">
        <f>_xlfn.XLOOKUP($N765,'Calculo Leads Conveniencia'!$A$77:$A$104,'Calculo Leads Conveniencia'!L$77:L$104)*_xlfn.XLOOKUP($P765,'Base Grupo de Produtos'!$E$23:$E$39,'Base Grupo de Produtos'!$F$23:$F$39)</f>
        <v>0</v>
      </c>
      <c r="Z765" s="56">
        <f>_xlfn.XLOOKUP($N765,'Calculo Leads Conveniencia'!$A$77:$A$104,'Calculo Leads Conveniencia'!M$77:M$104)*_xlfn.XLOOKUP($P765,'Base Grupo de Produtos'!$E$23:$E$39,'Base Grupo de Produtos'!$F$23:$F$39)</f>
        <v>0</v>
      </c>
      <c r="AA765" s="56">
        <f>_xlfn.XLOOKUP($N765,'Calculo Leads Conveniencia'!$A$77:$A$104,'Calculo Leads Conveniencia'!N$77:N$104)*_xlfn.XLOOKUP($P765,'Base Grupo de Produtos'!$E$23:$E$39,'Base Grupo de Produtos'!$F$23:$F$39)</f>
        <v>0</v>
      </c>
      <c r="AB765" s="56">
        <f>_xlfn.XLOOKUP($N765,'Calculo Leads Conveniencia'!$A$77:$A$104,'Calculo Leads Conveniencia'!O$77:O$104)*_xlfn.XLOOKUP($P765,'Base Grupo de Produtos'!$E$23:$E$39,'Base Grupo de Produtos'!$F$23:$F$39)</f>
        <v>0</v>
      </c>
      <c r="AC765" s="61">
        <f t="shared" si="752"/>
        <v>0</v>
      </c>
      <c r="AD765" s="28"/>
      <c r="AE765" s="12"/>
      <c r="AF765" s="29"/>
      <c r="AG765" s="9"/>
      <c r="AH765" s="10"/>
      <c r="AI765" s="9"/>
      <c r="AJ765" s="11"/>
      <c r="AK765" s="9"/>
      <c r="AL765" s="13"/>
      <c r="AM765" s="9"/>
    </row>
    <row r="766" spans="1:39" x14ac:dyDescent="0.3">
      <c r="A766" s="2" t="str">
        <f t="shared" si="753"/>
        <v>NÃO</v>
      </c>
      <c r="B766" s="2" t="str">
        <f>_xlfn.XLOOKUP($N766,'Base de Grupos'!$A:$A,'Base de Grupos'!$D:$D)</f>
        <v>1000065763</v>
      </c>
      <c r="C766" s="5" t="str">
        <f>_xlfn.XLOOKUP($N766,'Base de Grupos'!$A:$A,'Base de Grupos'!$E:$E)</f>
        <v>CANAL VENDA INTERNA</v>
      </c>
      <c r="D766" s="5" t="str">
        <f>_xlfn.XLOOKUP($N766,'Base de Grupos'!$A:$A,'Base de Grupos'!$F:$F)</f>
        <v>1000065763</v>
      </c>
      <c r="E766" s="2" t="str">
        <f>_xlfn.XLOOKUP($N766,'Base de Grupos'!$A:$A,'Base de Grupos'!$G:$G)</f>
        <v>CANAL VENDA INTERNA</v>
      </c>
      <c r="F766" s="2" t="str">
        <f>_xlfn.XLOOKUP($N766,'Base de Grupos'!$A:$A,'Base de Grupos'!$H:$H)</f>
        <v>1000174119</v>
      </c>
      <c r="G766" s="5" t="str">
        <f>_xlfn.XLOOKUP($N766,'Base de Grupos'!$A:$A,'Base de Grupos'!$I:$I)</f>
        <v>REGIONAL VENDA INTERNA - CONVENIENCIA</v>
      </c>
      <c r="H766" s="5" t="str">
        <f>_xlfn.XLOOKUP($N766,'Base de Grupos'!$A:$A,'Base de Grupos'!$J:$J)</f>
        <v>1000174119</v>
      </c>
      <c r="I766" s="2" t="str">
        <f>_xlfn.XLOOKUP($N766,'Base de Grupos'!$A:$A,'Base de Grupos'!$K:$K)</f>
        <v>REGIONAL VENDA INTERNA - CONVENIENCIA</v>
      </c>
      <c r="J766" s="2" t="str">
        <f>_xlfn.XLOOKUP($N766,'Base de Grupos'!$A:$A,'Base de Grupos'!$L:$L)</f>
        <v>1000174119</v>
      </c>
      <c r="K766" s="5" t="str">
        <f>_xlfn.XLOOKUP($N766,'Base de Grupos'!$A:$A,'Base de Grupos'!$M:$M)</f>
        <v>REGIONAL VENDA INTERNA - CONVENIENCIA</v>
      </c>
      <c r="L766" s="5" t="str">
        <f t="shared" si="754"/>
        <v/>
      </c>
      <c r="M766" s="5" t="str">
        <f>_xlfn.XLOOKUP($N766,'Base de Grupos'!$A:$A,'Base de Grupos'!$C:$C)</f>
        <v>PE</v>
      </c>
      <c r="N766" s="3">
        <v>1507</v>
      </c>
      <c r="O766" s="4" t="s">
        <v>266</v>
      </c>
      <c r="P766" s="5" t="s">
        <v>92</v>
      </c>
      <c r="Q766" s="56">
        <v>0</v>
      </c>
      <c r="R766" s="56">
        <v>0</v>
      </c>
      <c r="S766" s="56">
        <v>0</v>
      </c>
      <c r="T766" s="56">
        <f>_xlfn.XLOOKUP($N766,'Calculo Leads Conveniencia'!$A$77:$A$104,'Calculo Leads Conveniencia'!G$77:G$104)*_xlfn.XLOOKUP($P766,'Base Grupo de Produtos'!$E$23:$E$39,'Base Grupo de Produtos'!$F$23:$F$39)</f>
        <v>0</v>
      </c>
      <c r="U766" s="56">
        <f>_xlfn.XLOOKUP($N766,'Calculo Leads Conveniencia'!$A$77:$A$104,'Calculo Leads Conveniencia'!H$77:H$104)*_xlfn.XLOOKUP($P766,'Base Grupo de Produtos'!$E$23:$E$39,'Base Grupo de Produtos'!$F$23:$F$39)</f>
        <v>0</v>
      </c>
      <c r="V766" s="56">
        <f>_xlfn.XLOOKUP($N766,'Calculo Leads Conveniencia'!$A$77:$A$104,'Calculo Leads Conveniencia'!I$77:I$104)*_xlfn.XLOOKUP($P766,'Base Grupo de Produtos'!$E$23:$E$39,'Base Grupo de Produtos'!$F$23:$F$39)</f>
        <v>0</v>
      </c>
      <c r="W766" s="56">
        <f>_xlfn.XLOOKUP($N766,'Calculo Leads Conveniencia'!$A$77:$A$104,'Calculo Leads Conveniencia'!J$77:J$104)*_xlfn.XLOOKUP($P766,'Base Grupo de Produtos'!$E$23:$E$39,'Base Grupo de Produtos'!$F$23:$F$39)</f>
        <v>0</v>
      </c>
      <c r="X766" s="56">
        <f>_xlfn.XLOOKUP($N766,'Calculo Leads Conveniencia'!$A$77:$A$104,'Calculo Leads Conveniencia'!K$77:K$104)*_xlfn.XLOOKUP($P766,'Base Grupo de Produtos'!$E$23:$E$39,'Base Grupo de Produtos'!$F$23:$F$39)</f>
        <v>0</v>
      </c>
      <c r="Y766" s="56">
        <f>_xlfn.XLOOKUP($N766,'Calculo Leads Conveniencia'!$A$77:$A$104,'Calculo Leads Conveniencia'!L$77:L$104)*_xlfn.XLOOKUP($P766,'Base Grupo de Produtos'!$E$23:$E$39,'Base Grupo de Produtos'!$F$23:$F$39)</f>
        <v>0</v>
      </c>
      <c r="Z766" s="56">
        <f>_xlfn.XLOOKUP($N766,'Calculo Leads Conveniencia'!$A$77:$A$104,'Calculo Leads Conveniencia'!M$77:M$104)*_xlfn.XLOOKUP($P766,'Base Grupo de Produtos'!$E$23:$E$39,'Base Grupo de Produtos'!$F$23:$F$39)</f>
        <v>0</v>
      </c>
      <c r="AA766" s="56">
        <f>_xlfn.XLOOKUP($N766,'Calculo Leads Conveniencia'!$A$77:$A$104,'Calculo Leads Conveniencia'!N$77:N$104)*_xlfn.XLOOKUP($P766,'Base Grupo de Produtos'!$E$23:$E$39,'Base Grupo de Produtos'!$F$23:$F$39)</f>
        <v>0</v>
      </c>
      <c r="AB766" s="56">
        <f>_xlfn.XLOOKUP($N766,'Calculo Leads Conveniencia'!$A$77:$A$104,'Calculo Leads Conveniencia'!O$77:O$104)*_xlfn.XLOOKUP($P766,'Base Grupo de Produtos'!$E$23:$E$39,'Base Grupo de Produtos'!$F$23:$F$39)</f>
        <v>0</v>
      </c>
      <c r="AC766" s="61">
        <f t="shared" si="752"/>
        <v>0</v>
      </c>
      <c r="AD766" s="28"/>
      <c r="AE766" s="12"/>
      <c r="AF766" s="29"/>
      <c r="AG766" s="9"/>
      <c r="AH766" s="10"/>
      <c r="AI766" s="9"/>
      <c r="AJ766" s="11"/>
      <c r="AK766" s="9"/>
      <c r="AL766" s="13"/>
      <c r="AM766" s="9"/>
    </row>
    <row r="767" spans="1:39" x14ac:dyDescent="0.3">
      <c r="A767" s="2" t="str">
        <f t="shared" si="753"/>
        <v>NÃO</v>
      </c>
      <c r="B767" s="2" t="str">
        <f>_xlfn.XLOOKUP($N767,'Base de Grupos'!$A:$A,'Base de Grupos'!$D:$D)</f>
        <v>1000065763</v>
      </c>
      <c r="C767" s="5" t="str">
        <f>_xlfn.XLOOKUP($N767,'Base de Grupos'!$A:$A,'Base de Grupos'!$E:$E)</f>
        <v>CANAL VENDA INTERNA</v>
      </c>
      <c r="D767" s="5" t="str">
        <f>_xlfn.XLOOKUP($N767,'Base de Grupos'!$A:$A,'Base de Grupos'!$F:$F)</f>
        <v>1000065763</v>
      </c>
      <c r="E767" s="2" t="str">
        <f>_xlfn.XLOOKUP($N767,'Base de Grupos'!$A:$A,'Base de Grupos'!$G:$G)</f>
        <v>CANAL VENDA INTERNA</v>
      </c>
      <c r="F767" s="2" t="str">
        <f>_xlfn.XLOOKUP($N767,'Base de Grupos'!$A:$A,'Base de Grupos'!$H:$H)</f>
        <v>1000174119</v>
      </c>
      <c r="G767" s="5" t="str">
        <f>_xlfn.XLOOKUP($N767,'Base de Grupos'!$A:$A,'Base de Grupos'!$I:$I)</f>
        <v>REGIONAL VENDA INTERNA - CONVENIENCIA</v>
      </c>
      <c r="H767" s="5" t="str">
        <f>_xlfn.XLOOKUP($N767,'Base de Grupos'!$A:$A,'Base de Grupos'!$J:$J)</f>
        <v>1000174119</v>
      </c>
      <c r="I767" s="2" t="str">
        <f>_xlfn.XLOOKUP($N767,'Base de Grupos'!$A:$A,'Base de Grupos'!$K:$K)</f>
        <v>REGIONAL VENDA INTERNA - CONVENIENCIA</v>
      </c>
      <c r="J767" s="2" t="str">
        <f>_xlfn.XLOOKUP($N767,'Base de Grupos'!$A:$A,'Base de Grupos'!$L:$L)</f>
        <v>1000174119</v>
      </c>
      <c r="K767" s="5" t="str">
        <f>_xlfn.XLOOKUP($N767,'Base de Grupos'!$A:$A,'Base de Grupos'!$M:$M)</f>
        <v>REGIONAL VENDA INTERNA - CONVENIENCIA</v>
      </c>
      <c r="L767" s="5" t="str">
        <f t="shared" si="754"/>
        <v/>
      </c>
      <c r="M767" s="5" t="str">
        <f>_xlfn.XLOOKUP($N767,'Base de Grupos'!$A:$A,'Base de Grupos'!$C:$C)</f>
        <v>PE</v>
      </c>
      <c r="N767" s="3">
        <v>1507</v>
      </c>
      <c r="O767" s="4" t="s">
        <v>266</v>
      </c>
      <c r="P767" s="5" t="s">
        <v>86</v>
      </c>
      <c r="Q767" s="56">
        <v>0</v>
      </c>
      <c r="R767" s="56">
        <v>0</v>
      </c>
      <c r="S767" s="56">
        <v>0</v>
      </c>
      <c r="T767" s="56">
        <f>_xlfn.XLOOKUP($N767,'Calculo Leads Conveniencia'!$A$77:$A$104,'Calculo Leads Conveniencia'!G$77:G$104)*_xlfn.XLOOKUP($P767,'Base Grupo de Produtos'!$E$23:$E$39,'Base Grupo de Produtos'!$F$23:$F$39)</f>
        <v>0</v>
      </c>
      <c r="U767" s="56">
        <f>_xlfn.XLOOKUP($N767,'Calculo Leads Conveniencia'!$A$77:$A$104,'Calculo Leads Conveniencia'!H$77:H$104)*_xlfn.XLOOKUP($P767,'Base Grupo de Produtos'!$E$23:$E$39,'Base Grupo de Produtos'!$F$23:$F$39)</f>
        <v>0</v>
      </c>
      <c r="V767" s="56">
        <f>_xlfn.XLOOKUP($N767,'Calculo Leads Conveniencia'!$A$77:$A$104,'Calculo Leads Conveniencia'!I$77:I$104)*_xlfn.XLOOKUP($P767,'Base Grupo de Produtos'!$E$23:$E$39,'Base Grupo de Produtos'!$F$23:$F$39)</f>
        <v>0</v>
      </c>
      <c r="W767" s="56">
        <f>_xlfn.XLOOKUP($N767,'Calculo Leads Conveniencia'!$A$77:$A$104,'Calculo Leads Conveniencia'!J$77:J$104)*_xlfn.XLOOKUP($P767,'Base Grupo de Produtos'!$E$23:$E$39,'Base Grupo de Produtos'!$F$23:$F$39)</f>
        <v>0</v>
      </c>
      <c r="X767" s="56">
        <f>_xlfn.XLOOKUP($N767,'Calculo Leads Conveniencia'!$A$77:$A$104,'Calculo Leads Conveniencia'!K$77:K$104)*_xlfn.XLOOKUP($P767,'Base Grupo de Produtos'!$E$23:$E$39,'Base Grupo de Produtos'!$F$23:$F$39)</f>
        <v>0</v>
      </c>
      <c r="Y767" s="56">
        <f>_xlfn.XLOOKUP($N767,'Calculo Leads Conveniencia'!$A$77:$A$104,'Calculo Leads Conveniencia'!L$77:L$104)*_xlfn.XLOOKUP($P767,'Base Grupo de Produtos'!$E$23:$E$39,'Base Grupo de Produtos'!$F$23:$F$39)</f>
        <v>0</v>
      </c>
      <c r="Z767" s="56">
        <f>_xlfn.XLOOKUP($N767,'Calculo Leads Conveniencia'!$A$77:$A$104,'Calculo Leads Conveniencia'!M$77:M$104)*_xlfn.XLOOKUP($P767,'Base Grupo de Produtos'!$E$23:$E$39,'Base Grupo de Produtos'!$F$23:$F$39)</f>
        <v>0</v>
      </c>
      <c r="AA767" s="56">
        <f>_xlfn.XLOOKUP($N767,'Calculo Leads Conveniencia'!$A$77:$A$104,'Calculo Leads Conveniencia'!N$77:N$104)*_xlfn.XLOOKUP($P767,'Base Grupo de Produtos'!$E$23:$E$39,'Base Grupo de Produtos'!$F$23:$F$39)</f>
        <v>0</v>
      </c>
      <c r="AB767" s="56">
        <f>_xlfn.XLOOKUP($N767,'Calculo Leads Conveniencia'!$A$77:$A$104,'Calculo Leads Conveniencia'!O$77:O$104)*_xlfn.XLOOKUP($P767,'Base Grupo de Produtos'!$E$23:$E$39,'Base Grupo de Produtos'!$F$23:$F$39)</f>
        <v>0</v>
      </c>
      <c r="AC767" s="61">
        <f t="shared" si="752"/>
        <v>0</v>
      </c>
      <c r="AD767" s="28"/>
      <c r="AE767" s="12"/>
      <c r="AF767" s="29"/>
      <c r="AG767" s="9"/>
      <c r="AH767" s="10"/>
      <c r="AI767" s="9"/>
      <c r="AJ767" s="11"/>
      <c r="AK767" s="9"/>
      <c r="AL767" s="13"/>
      <c r="AM767" s="9"/>
    </row>
    <row r="768" spans="1:39" x14ac:dyDescent="0.3">
      <c r="A768" s="2" t="str">
        <f t="shared" si="753"/>
        <v>NÃO</v>
      </c>
      <c r="B768" s="2" t="str">
        <f>_xlfn.XLOOKUP($N768,'Base de Grupos'!$A:$A,'Base de Grupos'!$D:$D)</f>
        <v>1000065763</v>
      </c>
      <c r="C768" s="5" t="str">
        <f>_xlfn.XLOOKUP($N768,'Base de Grupos'!$A:$A,'Base de Grupos'!$E:$E)</f>
        <v>CANAL VENDA INTERNA</v>
      </c>
      <c r="D768" s="5" t="str">
        <f>_xlfn.XLOOKUP($N768,'Base de Grupos'!$A:$A,'Base de Grupos'!$F:$F)</f>
        <v>1000065763</v>
      </c>
      <c r="E768" s="2" t="str">
        <f>_xlfn.XLOOKUP($N768,'Base de Grupos'!$A:$A,'Base de Grupos'!$G:$G)</f>
        <v>CANAL VENDA INTERNA</v>
      </c>
      <c r="F768" s="2" t="str">
        <f>_xlfn.XLOOKUP($N768,'Base de Grupos'!$A:$A,'Base de Grupos'!$H:$H)</f>
        <v>1000174119</v>
      </c>
      <c r="G768" s="5" t="str">
        <f>_xlfn.XLOOKUP($N768,'Base de Grupos'!$A:$A,'Base de Grupos'!$I:$I)</f>
        <v>REGIONAL VENDA INTERNA - CONVENIENCIA</v>
      </c>
      <c r="H768" s="5" t="str">
        <f>_xlfn.XLOOKUP($N768,'Base de Grupos'!$A:$A,'Base de Grupos'!$J:$J)</f>
        <v>1000174119</v>
      </c>
      <c r="I768" s="2" t="str">
        <f>_xlfn.XLOOKUP($N768,'Base de Grupos'!$A:$A,'Base de Grupos'!$K:$K)</f>
        <v>REGIONAL VENDA INTERNA - CONVENIENCIA</v>
      </c>
      <c r="J768" s="2" t="str">
        <f>_xlfn.XLOOKUP($N768,'Base de Grupos'!$A:$A,'Base de Grupos'!$L:$L)</f>
        <v>1000174119</v>
      </c>
      <c r="K768" s="5" t="str">
        <f>_xlfn.XLOOKUP($N768,'Base de Grupos'!$A:$A,'Base de Grupos'!$M:$M)</f>
        <v>REGIONAL VENDA INTERNA - CONVENIENCIA</v>
      </c>
      <c r="L768" s="5" t="str">
        <f t="shared" si="754"/>
        <v/>
      </c>
      <c r="M768" s="5" t="str">
        <f>_xlfn.XLOOKUP($N768,'Base de Grupos'!$A:$A,'Base de Grupos'!$C:$C)</f>
        <v>PE</v>
      </c>
      <c r="N768" s="3">
        <v>1507</v>
      </c>
      <c r="O768" s="4" t="s">
        <v>266</v>
      </c>
      <c r="P768" s="5" t="s">
        <v>108</v>
      </c>
      <c r="Q768" s="56">
        <v>0</v>
      </c>
      <c r="R768" s="56">
        <v>0</v>
      </c>
      <c r="S768" s="56">
        <v>0</v>
      </c>
      <c r="T768" s="56">
        <f>_xlfn.XLOOKUP($N768,'Calculo Leads Conveniencia'!$A$77:$A$104,'Calculo Leads Conveniencia'!G$77:G$104)*_xlfn.XLOOKUP($P768,'Base Grupo de Produtos'!$E$23:$E$39,'Base Grupo de Produtos'!$F$23:$F$39)</f>
        <v>0</v>
      </c>
      <c r="U768" s="56">
        <f>_xlfn.XLOOKUP($N768,'Calculo Leads Conveniencia'!$A$77:$A$104,'Calculo Leads Conveniencia'!H$77:H$104)*_xlfn.XLOOKUP($P768,'Base Grupo de Produtos'!$E$23:$E$39,'Base Grupo de Produtos'!$F$23:$F$39)</f>
        <v>0</v>
      </c>
      <c r="V768" s="56">
        <f>_xlfn.XLOOKUP($N768,'Calculo Leads Conveniencia'!$A$77:$A$104,'Calculo Leads Conveniencia'!I$77:I$104)*_xlfn.XLOOKUP($P768,'Base Grupo de Produtos'!$E$23:$E$39,'Base Grupo de Produtos'!$F$23:$F$39)</f>
        <v>0</v>
      </c>
      <c r="W768" s="56">
        <f>_xlfn.XLOOKUP($N768,'Calculo Leads Conveniencia'!$A$77:$A$104,'Calculo Leads Conveniencia'!J$77:J$104)*_xlfn.XLOOKUP($P768,'Base Grupo de Produtos'!$E$23:$E$39,'Base Grupo de Produtos'!$F$23:$F$39)</f>
        <v>0</v>
      </c>
      <c r="X768" s="56">
        <f>_xlfn.XLOOKUP($N768,'Calculo Leads Conveniencia'!$A$77:$A$104,'Calculo Leads Conveniencia'!K$77:K$104)*_xlfn.XLOOKUP($P768,'Base Grupo de Produtos'!$E$23:$E$39,'Base Grupo de Produtos'!$F$23:$F$39)</f>
        <v>0</v>
      </c>
      <c r="Y768" s="56">
        <f>_xlfn.XLOOKUP($N768,'Calculo Leads Conveniencia'!$A$77:$A$104,'Calculo Leads Conveniencia'!L$77:L$104)*_xlfn.XLOOKUP($P768,'Base Grupo de Produtos'!$E$23:$E$39,'Base Grupo de Produtos'!$F$23:$F$39)</f>
        <v>0</v>
      </c>
      <c r="Z768" s="56">
        <f>_xlfn.XLOOKUP($N768,'Calculo Leads Conveniencia'!$A$77:$A$104,'Calculo Leads Conveniencia'!M$77:M$104)*_xlfn.XLOOKUP($P768,'Base Grupo de Produtos'!$E$23:$E$39,'Base Grupo de Produtos'!$F$23:$F$39)</f>
        <v>0</v>
      </c>
      <c r="AA768" s="56">
        <f>_xlfn.XLOOKUP($N768,'Calculo Leads Conveniencia'!$A$77:$A$104,'Calculo Leads Conveniencia'!N$77:N$104)*_xlfn.XLOOKUP($P768,'Base Grupo de Produtos'!$E$23:$E$39,'Base Grupo de Produtos'!$F$23:$F$39)</f>
        <v>0</v>
      </c>
      <c r="AB768" s="56">
        <f>_xlfn.XLOOKUP($N768,'Calculo Leads Conveniencia'!$A$77:$A$104,'Calculo Leads Conveniencia'!O$77:O$104)*_xlfn.XLOOKUP($P768,'Base Grupo de Produtos'!$E$23:$E$39,'Base Grupo de Produtos'!$F$23:$F$39)</f>
        <v>0</v>
      </c>
      <c r="AC768" s="61">
        <f t="shared" si="752"/>
        <v>0</v>
      </c>
      <c r="AD768" s="28"/>
      <c r="AE768" s="12"/>
      <c r="AF768" s="29"/>
      <c r="AG768" s="9"/>
      <c r="AH768" s="10"/>
      <c r="AI768" s="9"/>
      <c r="AJ768" s="11"/>
      <c r="AK768" s="9"/>
      <c r="AL768" s="13"/>
      <c r="AM768" s="9"/>
    </row>
    <row r="769" spans="1:39" x14ac:dyDescent="0.3">
      <c r="A769" s="2" t="str">
        <f t="shared" si="753"/>
        <v>NÃO</v>
      </c>
      <c r="B769" s="2" t="str">
        <f>_xlfn.XLOOKUP($N769,'Base de Grupos'!$A:$A,'Base de Grupos'!$D:$D)</f>
        <v>1000065763</v>
      </c>
      <c r="C769" s="5" t="str">
        <f>_xlfn.XLOOKUP($N769,'Base de Grupos'!$A:$A,'Base de Grupos'!$E:$E)</f>
        <v>CANAL VENDA INTERNA</v>
      </c>
      <c r="D769" s="5" t="str">
        <f>_xlfn.XLOOKUP($N769,'Base de Grupos'!$A:$A,'Base de Grupos'!$F:$F)</f>
        <v>1000065763</v>
      </c>
      <c r="E769" s="2" t="str">
        <f>_xlfn.XLOOKUP($N769,'Base de Grupos'!$A:$A,'Base de Grupos'!$G:$G)</f>
        <v>CANAL VENDA INTERNA</v>
      </c>
      <c r="F769" s="2" t="str">
        <f>_xlfn.XLOOKUP($N769,'Base de Grupos'!$A:$A,'Base de Grupos'!$H:$H)</f>
        <v>1000174119</v>
      </c>
      <c r="G769" s="5" t="str">
        <f>_xlfn.XLOOKUP($N769,'Base de Grupos'!$A:$A,'Base de Grupos'!$I:$I)</f>
        <v>REGIONAL VENDA INTERNA - CONVENIENCIA</v>
      </c>
      <c r="H769" s="5" t="str">
        <f>_xlfn.XLOOKUP($N769,'Base de Grupos'!$A:$A,'Base de Grupos'!$J:$J)</f>
        <v>1000174119</v>
      </c>
      <c r="I769" s="2" t="str">
        <f>_xlfn.XLOOKUP($N769,'Base de Grupos'!$A:$A,'Base de Grupos'!$K:$K)</f>
        <v>REGIONAL VENDA INTERNA - CONVENIENCIA</v>
      </c>
      <c r="J769" s="2" t="str">
        <f>_xlfn.XLOOKUP($N769,'Base de Grupos'!$A:$A,'Base de Grupos'!$L:$L)</f>
        <v>1000174119</v>
      </c>
      <c r="K769" s="5" t="str">
        <f>_xlfn.XLOOKUP($N769,'Base de Grupos'!$A:$A,'Base de Grupos'!$M:$M)</f>
        <v>REGIONAL VENDA INTERNA - CONVENIENCIA</v>
      </c>
      <c r="L769" s="5" t="str">
        <f t="shared" si="754"/>
        <v/>
      </c>
      <c r="M769" s="5" t="str">
        <f>_xlfn.XLOOKUP($N769,'Base de Grupos'!$A:$A,'Base de Grupos'!$C:$C)</f>
        <v>PE</v>
      </c>
      <c r="N769" s="3">
        <v>1507</v>
      </c>
      <c r="O769" s="4" t="s">
        <v>266</v>
      </c>
      <c r="P769" s="5" t="s">
        <v>89</v>
      </c>
      <c r="Q769" s="56">
        <v>0</v>
      </c>
      <c r="R769" s="56">
        <v>0</v>
      </c>
      <c r="S769" s="56">
        <v>0</v>
      </c>
      <c r="T769" s="56">
        <f>_xlfn.XLOOKUP($N769,'Calculo Leads Conveniencia'!$A$77:$A$104,'Calculo Leads Conveniencia'!G$77:G$104)*_xlfn.XLOOKUP($P769,'Base Grupo de Produtos'!$E$23:$E$39,'Base Grupo de Produtos'!$F$23:$F$39)</f>
        <v>0</v>
      </c>
      <c r="U769" s="56">
        <f>_xlfn.XLOOKUP($N769,'Calculo Leads Conveniencia'!$A$77:$A$104,'Calculo Leads Conveniencia'!H$77:H$104)*_xlfn.XLOOKUP($P769,'Base Grupo de Produtos'!$E$23:$E$39,'Base Grupo de Produtos'!$F$23:$F$39)</f>
        <v>0</v>
      </c>
      <c r="V769" s="56">
        <f>_xlfn.XLOOKUP($N769,'Calculo Leads Conveniencia'!$A$77:$A$104,'Calculo Leads Conveniencia'!I$77:I$104)*_xlfn.XLOOKUP($P769,'Base Grupo de Produtos'!$E$23:$E$39,'Base Grupo de Produtos'!$F$23:$F$39)</f>
        <v>0</v>
      </c>
      <c r="W769" s="56">
        <f>_xlfn.XLOOKUP($N769,'Calculo Leads Conveniencia'!$A$77:$A$104,'Calculo Leads Conveniencia'!J$77:J$104)*_xlfn.XLOOKUP($P769,'Base Grupo de Produtos'!$E$23:$E$39,'Base Grupo de Produtos'!$F$23:$F$39)</f>
        <v>0</v>
      </c>
      <c r="X769" s="56">
        <f>_xlfn.XLOOKUP($N769,'Calculo Leads Conveniencia'!$A$77:$A$104,'Calculo Leads Conveniencia'!K$77:K$104)*_xlfn.XLOOKUP($P769,'Base Grupo de Produtos'!$E$23:$E$39,'Base Grupo de Produtos'!$F$23:$F$39)</f>
        <v>0</v>
      </c>
      <c r="Y769" s="56">
        <f>_xlfn.XLOOKUP($N769,'Calculo Leads Conveniencia'!$A$77:$A$104,'Calculo Leads Conveniencia'!L$77:L$104)*_xlfn.XLOOKUP($P769,'Base Grupo de Produtos'!$E$23:$E$39,'Base Grupo de Produtos'!$F$23:$F$39)</f>
        <v>0</v>
      </c>
      <c r="Z769" s="56">
        <f>_xlfn.XLOOKUP($N769,'Calculo Leads Conveniencia'!$A$77:$A$104,'Calculo Leads Conveniencia'!M$77:M$104)*_xlfn.XLOOKUP($P769,'Base Grupo de Produtos'!$E$23:$E$39,'Base Grupo de Produtos'!$F$23:$F$39)</f>
        <v>0</v>
      </c>
      <c r="AA769" s="56">
        <f>_xlfn.XLOOKUP($N769,'Calculo Leads Conveniencia'!$A$77:$A$104,'Calculo Leads Conveniencia'!N$77:N$104)*_xlfn.XLOOKUP($P769,'Base Grupo de Produtos'!$E$23:$E$39,'Base Grupo de Produtos'!$F$23:$F$39)</f>
        <v>0</v>
      </c>
      <c r="AB769" s="56">
        <f>_xlfn.XLOOKUP($N769,'Calculo Leads Conveniencia'!$A$77:$A$104,'Calculo Leads Conveniencia'!O$77:O$104)*_xlfn.XLOOKUP($P769,'Base Grupo de Produtos'!$E$23:$E$39,'Base Grupo de Produtos'!$F$23:$F$39)</f>
        <v>0</v>
      </c>
      <c r="AC769" s="61">
        <f t="shared" si="752"/>
        <v>0</v>
      </c>
      <c r="AD769" s="28"/>
      <c r="AE769" s="12"/>
      <c r="AF769" s="29"/>
      <c r="AG769" s="9"/>
      <c r="AH769" s="10"/>
      <c r="AI769" s="9"/>
      <c r="AJ769" s="11"/>
      <c r="AK769" s="9"/>
      <c r="AL769" s="13"/>
      <c r="AM769" s="9"/>
    </row>
    <row r="770" spans="1:39" x14ac:dyDescent="0.3">
      <c r="A770" s="2" t="str">
        <f t="shared" si="753"/>
        <v>NÃO</v>
      </c>
      <c r="B770" s="2" t="str">
        <f>_xlfn.XLOOKUP($N770,'Base de Grupos'!$A:$A,'Base de Grupos'!$D:$D)</f>
        <v>1000065763</v>
      </c>
      <c r="C770" s="5" t="str">
        <f>_xlfn.XLOOKUP($N770,'Base de Grupos'!$A:$A,'Base de Grupos'!$E:$E)</f>
        <v>CANAL VENDA INTERNA</v>
      </c>
      <c r="D770" s="5" t="str">
        <f>_xlfn.XLOOKUP($N770,'Base de Grupos'!$A:$A,'Base de Grupos'!$F:$F)</f>
        <v>1000065763</v>
      </c>
      <c r="E770" s="2" t="str">
        <f>_xlfn.XLOOKUP($N770,'Base de Grupos'!$A:$A,'Base de Grupos'!$G:$G)</f>
        <v>CANAL VENDA INTERNA</v>
      </c>
      <c r="F770" s="2" t="str">
        <f>_xlfn.XLOOKUP($N770,'Base de Grupos'!$A:$A,'Base de Grupos'!$H:$H)</f>
        <v>1000174119</v>
      </c>
      <c r="G770" s="5" t="str">
        <f>_xlfn.XLOOKUP($N770,'Base de Grupos'!$A:$A,'Base de Grupos'!$I:$I)</f>
        <v>REGIONAL VENDA INTERNA - CONVENIENCIA</v>
      </c>
      <c r="H770" s="5" t="str">
        <f>_xlfn.XLOOKUP($N770,'Base de Grupos'!$A:$A,'Base de Grupos'!$J:$J)</f>
        <v>1000174119</v>
      </c>
      <c r="I770" s="2" t="str">
        <f>_xlfn.XLOOKUP($N770,'Base de Grupos'!$A:$A,'Base de Grupos'!$K:$K)</f>
        <v>REGIONAL VENDA INTERNA - CONVENIENCIA</v>
      </c>
      <c r="J770" s="2" t="str">
        <f>_xlfn.XLOOKUP($N770,'Base de Grupos'!$A:$A,'Base de Grupos'!$L:$L)</f>
        <v>1000174119</v>
      </c>
      <c r="K770" s="5" t="str">
        <f>_xlfn.XLOOKUP($N770,'Base de Grupos'!$A:$A,'Base de Grupos'!$M:$M)</f>
        <v>REGIONAL VENDA INTERNA - CONVENIENCIA</v>
      </c>
      <c r="L770" s="5" t="str">
        <f t="shared" si="754"/>
        <v/>
      </c>
      <c r="M770" s="5" t="str">
        <f>_xlfn.XLOOKUP($N770,'Base de Grupos'!$A:$A,'Base de Grupos'!$C:$C)</f>
        <v>PE</v>
      </c>
      <c r="N770" s="3">
        <v>1507</v>
      </c>
      <c r="O770" s="4" t="s">
        <v>266</v>
      </c>
      <c r="P770" s="5" t="s">
        <v>88</v>
      </c>
      <c r="Q770" s="56">
        <v>0</v>
      </c>
      <c r="R770" s="56">
        <v>0</v>
      </c>
      <c r="S770" s="56">
        <v>0</v>
      </c>
      <c r="T770" s="56">
        <f>_xlfn.XLOOKUP($N770,'Calculo Leads Conveniencia'!$A$77:$A$104,'Calculo Leads Conveniencia'!G$77:G$104)*_xlfn.XLOOKUP($P770,'Base Grupo de Produtos'!$E$23:$E$39,'Base Grupo de Produtos'!$F$23:$F$39)</f>
        <v>0</v>
      </c>
      <c r="U770" s="56">
        <f>_xlfn.XLOOKUP($N770,'Calculo Leads Conveniencia'!$A$77:$A$104,'Calculo Leads Conveniencia'!H$77:H$104)*_xlfn.XLOOKUP($P770,'Base Grupo de Produtos'!$E$23:$E$39,'Base Grupo de Produtos'!$F$23:$F$39)</f>
        <v>0</v>
      </c>
      <c r="V770" s="56">
        <f>_xlfn.XLOOKUP($N770,'Calculo Leads Conveniencia'!$A$77:$A$104,'Calculo Leads Conveniencia'!I$77:I$104)*_xlfn.XLOOKUP($P770,'Base Grupo de Produtos'!$E$23:$E$39,'Base Grupo de Produtos'!$F$23:$F$39)</f>
        <v>0</v>
      </c>
      <c r="W770" s="56">
        <f>_xlfn.XLOOKUP($N770,'Calculo Leads Conveniencia'!$A$77:$A$104,'Calculo Leads Conveniencia'!J$77:J$104)*_xlfn.XLOOKUP($P770,'Base Grupo de Produtos'!$E$23:$E$39,'Base Grupo de Produtos'!$F$23:$F$39)</f>
        <v>0</v>
      </c>
      <c r="X770" s="56">
        <f>_xlfn.XLOOKUP($N770,'Calculo Leads Conveniencia'!$A$77:$A$104,'Calculo Leads Conveniencia'!K$77:K$104)*_xlfn.XLOOKUP($P770,'Base Grupo de Produtos'!$E$23:$E$39,'Base Grupo de Produtos'!$F$23:$F$39)</f>
        <v>0</v>
      </c>
      <c r="Y770" s="56">
        <f>_xlfn.XLOOKUP($N770,'Calculo Leads Conveniencia'!$A$77:$A$104,'Calculo Leads Conveniencia'!L$77:L$104)*_xlfn.XLOOKUP($P770,'Base Grupo de Produtos'!$E$23:$E$39,'Base Grupo de Produtos'!$F$23:$F$39)</f>
        <v>0</v>
      </c>
      <c r="Z770" s="56">
        <f>_xlfn.XLOOKUP($N770,'Calculo Leads Conveniencia'!$A$77:$A$104,'Calculo Leads Conveniencia'!M$77:M$104)*_xlfn.XLOOKUP($P770,'Base Grupo de Produtos'!$E$23:$E$39,'Base Grupo de Produtos'!$F$23:$F$39)</f>
        <v>0</v>
      </c>
      <c r="AA770" s="56">
        <f>_xlfn.XLOOKUP($N770,'Calculo Leads Conveniencia'!$A$77:$A$104,'Calculo Leads Conveniencia'!N$77:N$104)*_xlfn.XLOOKUP($P770,'Base Grupo de Produtos'!$E$23:$E$39,'Base Grupo de Produtos'!$F$23:$F$39)</f>
        <v>0</v>
      </c>
      <c r="AB770" s="56">
        <f>_xlfn.XLOOKUP($N770,'Calculo Leads Conveniencia'!$A$77:$A$104,'Calculo Leads Conveniencia'!O$77:O$104)*_xlfn.XLOOKUP($P770,'Base Grupo de Produtos'!$E$23:$E$39,'Base Grupo de Produtos'!$F$23:$F$39)</f>
        <v>0</v>
      </c>
      <c r="AC770" s="61">
        <f t="shared" si="752"/>
        <v>0</v>
      </c>
      <c r="AD770" s="28"/>
      <c r="AE770" s="12"/>
      <c r="AF770" s="29"/>
      <c r="AG770" s="9"/>
      <c r="AH770" s="10"/>
      <c r="AI770" s="9"/>
      <c r="AJ770" s="11"/>
      <c r="AK770" s="9"/>
      <c r="AL770" s="13"/>
      <c r="AM770" s="9"/>
    </row>
    <row r="771" spans="1:39" x14ac:dyDescent="0.3">
      <c r="A771" s="2" t="str">
        <f t="shared" si="753"/>
        <v>NÃO</v>
      </c>
      <c r="B771" s="2" t="str">
        <f>_xlfn.XLOOKUP($N771,'Base de Grupos'!$A:$A,'Base de Grupos'!$D:$D)</f>
        <v>1000065763</v>
      </c>
      <c r="C771" s="5" t="str">
        <f>_xlfn.XLOOKUP($N771,'Base de Grupos'!$A:$A,'Base de Grupos'!$E:$E)</f>
        <v>CANAL VENDA INTERNA</v>
      </c>
      <c r="D771" s="5" t="str">
        <f>_xlfn.XLOOKUP($N771,'Base de Grupos'!$A:$A,'Base de Grupos'!$F:$F)</f>
        <v>1000065763</v>
      </c>
      <c r="E771" s="2" t="str">
        <f>_xlfn.XLOOKUP($N771,'Base de Grupos'!$A:$A,'Base de Grupos'!$G:$G)</f>
        <v>CANAL VENDA INTERNA</v>
      </c>
      <c r="F771" s="2" t="str">
        <f>_xlfn.XLOOKUP($N771,'Base de Grupos'!$A:$A,'Base de Grupos'!$H:$H)</f>
        <v>1000174119</v>
      </c>
      <c r="G771" s="5" t="str">
        <f>_xlfn.XLOOKUP($N771,'Base de Grupos'!$A:$A,'Base de Grupos'!$I:$I)</f>
        <v>REGIONAL VENDA INTERNA - CONVENIENCIA</v>
      </c>
      <c r="H771" s="5" t="str">
        <f>_xlfn.XLOOKUP($N771,'Base de Grupos'!$A:$A,'Base de Grupos'!$J:$J)</f>
        <v>1000174119</v>
      </c>
      <c r="I771" s="2" t="str">
        <f>_xlfn.XLOOKUP($N771,'Base de Grupos'!$A:$A,'Base de Grupos'!$K:$K)</f>
        <v>REGIONAL VENDA INTERNA - CONVENIENCIA</v>
      </c>
      <c r="J771" s="2" t="str">
        <f>_xlfn.XLOOKUP($N771,'Base de Grupos'!$A:$A,'Base de Grupos'!$L:$L)</f>
        <v>1000174119</v>
      </c>
      <c r="K771" s="5" t="str">
        <f>_xlfn.XLOOKUP($N771,'Base de Grupos'!$A:$A,'Base de Grupos'!$M:$M)</f>
        <v>REGIONAL VENDA INTERNA - CONVENIENCIA</v>
      </c>
      <c r="L771" s="5" t="str">
        <f t="shared" si="754"/>
        <v/>
      </c>
      <c r="M771" s="5" t="str">
        <f>_xlfn.XLOOKUP($N771,'Base de Grupos'!$A:$A,'Base de Grupos'!$C:$C)</f>
        <v>PE</v>
      </c>
      <c r="N771" s="3">
        <v>1507</v>
      </c>
      <c r="O771" s="4" t="s">
        <v>266</v>
      </c>
      <c r="P771" s="5" t="s">
        <v>90</v>
      </c>
      <c r="Q771" s="56">
        <v>0</v>
      </c>
      <c r="R771" s="56">
        <v>0</v>
      </c>
      <c r="S771" s="56">
        <v>0</v>
      </c>
      <c r="T771" s="56">
        <f>_xlfn.XLOOKUP($N771,'Calculo Leads Conveniencia'!$A$77:$A$104,'Calculo Leads Conveniencia'!G$77:G$104)*_xlfn.XLOOKUP($P771,'Base Grupo de Produtos'!$E$23:$E$39,'Base Grupo de Produtos'!$F$23:$F$39)</f>
        <v>0</v>
      </c>
      <c r="U771" s="56">
        <f>_xlfn.XLOOKUP($N771,'Calculo Leads Conveniencia'!$A$77:$A$104,'Calculo Leads Conveniencia'!H$77:H$104)*_xlfn.XLOOKUP($P771,'Base Grupo de Produtos'!$E$23:$E$39,'Base Grupo de Produtos'!$F$23:$F$39)</f>
        <v>0</v>
      </c>
      <c r="V771" s="56">
        <f>_xlfn.XLOOKUP($N771,'Calculo Leads Conveniencia'!$A$77:$A$104,'Calculo Leads Conveniencia'!I$77:I$104)*_xlfn.XLOOKUP($P771,'Base Grupo de Produtos'!$E$23:$E$39,'Base Grupo de Produtos'!$F$23:$F$39)</f>
        <v>0</v>
      </c>
      <c r="W771" s="56">
        <f>_xlfn.XLOOKUP($N771,'Calculo Leads Conveniencia'!$A$77:$A$104,'Calculo Leads Conveniencia'!J$77:J$104)*_xlfn.XLOOKUP($P771,'Base Grupo de Produtos'!$E$23:$E$39,'Base Grupo de Produtos'!$F$23:$F$39)</f>
        <v>0</v>
      </c>
      <c r="X771" s="56">
        <f>_xlfn.XLOOKUP($N771,'Calculo Leads Conveniencia'!$A$77:$A$104,'Calculo Leads Conveniencia'!K$77:K$104)*_xlfn.XLOOKUP($P771,'Base Grupo de Produtos'!$E$23:$E$39,'Base Grupo de Produtos'!$F$23:$F$39)</f>
        <v>0</v>
      </c>
      <c r="Y771" s="56">
        <f>_xlfn.XLOOKUP($N771,'Calculo Leads Conveniencia'!$A$77:$A$104,'Calculo Leads Conveniencia'!L$77:L$104)*_xlfn.XLOOKUP($P771,'Base Grupo de Produtos'!$E$23:$E$39,'Base Grupo de Produtos'!$F$23:$F$39)</f>
        <v>0</v>
      </c>
      <c r="Z771" s="56">
        <f>_xlfn.XLOOKUP($N771,'Calculo Leads Conveniencia'!$A$77:$A$104,'Calculo Leads Conveniencia'!M$77:M$104)*_xlfn.XLOOKUP($P771,'Base Grupo de Produtos'!$E$23:$E$39,'Base Grupo de Produtos'!$F$23:$F$39)</f>
        <v>0</v>
      </c>
      <c r="AA771" s="56">
        <f>_xlfn.XLOOKUP($N771,'Calculo Leads Conveniencia'!$A$77:$A$104,'Calculo Leads Conveniencia'!N$77:N$104)*_xlfn.XLOOKUP($P771,'Base Grupo de Produtos'!$E$23:$E$39,'Base Grupo de Produtos'!$F$23:$F$39)</f>
        <v>0</v>
      </c>
      <c r="AB771" s="56">
        <f>_xlfn.XLOOKUP($N771,'Calculo Leads Conveniencia'!$A$77:$A$104,'Calculo Leads Conveniencia'!O$77:O$104)*_xlfn.XLOOKUP($P771,'Base Grupo de Produtos'!$E$23:$E$39,'Base Grupo de Produtos'!$F$23:$F$39)</f>
        <v>0</v>
      </c>
      <c r="AC771" s="61">
        <f t="shared" si="752"/>
        <v>0</v>
      </c>
      <c r="AD771" s="28"/>
      <c r="AE771" s="12"/>
      <c r="AF771" s="29"/>
      <c r="AG771" s="9"/>
      <c r="AH771" s="10"/>
      <c r="AI771" s="9"/>
      <c r="AJ771" s="11"/>
      <c r="AK771" s="9"/>
      <c r="AL771" s="13"/>
      <c r="AM771" s="9"/>
    </row>
    <row r="772" spans="1:39" x14ac:dyDescent="0.3">
      <c r="A772" s="2" t="str">
        <f t="shared" si="753"/>
        <v>NÃO</v>
      </c>
      <c r="B772" s="2" t="str">
        <f>_xlfn.XLOOKUP($N772,'Base de Grupos'!$A:$A,'Base de Grupos'!$D:$D)</f>
        <v>1000065763</v>
      </c>
      <c r="C772" s="5" t="str">
        <f>_xlfn.XLOOKUP($N772,'Base de Grupos'!$A:$A,'Base de Grupos'!$E:$E)</f>
        <v>CANAL VENDA INTERNA</v>
      </c>
      <c r="D772" s="5" t="str">
        <f>_xlfn.XLOOKUP($N772,'Base de Grupos'!$A:$A,'Base de Grupos'!$F:$F)</f>
        <v>1000065763</v>
      </c>
      <c r="E772" s="2" t="str">
        <f>_xlfn.XLOOKUP($N772,'Base de Grupos'!$A:$A,'Base de Grupos'!$G:$G)</f>
        <v>CANAL VENDA INTERNA</v>
      </c>
      <c r="F772" s="2" t="str">
        <f>_xlfn.XLOOKUP($N772,'Base de Grupos'!$A:$A,'Base de Grupos'!$H:$H)</f>
        <v>1000174119</v>
      </c>
      <c r="G772" s="5" t="str">
        <f>_xlfn.XLOOKUP($N772,'Base de Grupos'!$A:$A,'Base de Grupos'!$I:$I)</f>
        <v>REGIONAL VENDA INTERNA - CONVENIENCIA</v>
      </c>
      <c r="H772" s="5" t="str">
        <f>_xlfn.XLOOKUP($N772,'Base de Grupos'!$A:$A,'Base de Grupos'!$J:$J)</f>
        <v>1000174119</v>
      </c>
      <c r="I772" s="2" t="str">
        <f>_xlfn.XLOOKUP($N772,'Base de Grupos'!$A:$A,'Base de Grupos'!$K:$K)</f>
        <v>REGIONAL VENDA INTERNA - CONVENIENCIA</v>
      </c>
      <c r="J772" s="2" t="str">
        <f>_xlfn.XLOOKUP($N772,'Base de Grupos'!$A:$A,'Base de Grupos'!$L:$L)</f>
        <v>1000174119</v>
      </c>
      <c r="K772" s="5" t="str">
        <f>_xlfn.XLOOKUP($N772,'Base de Grupos'!$A:$A,'Base de Grupos'!$M:$M)</f>
        <v>REGIONAL VENDA INTERNA - CONVENIENCIA</v>
      </c>
      <c r="L772" s="5" t="str">
        <f t="shared" si="754"/>
        <v/>
      </c>
      <c r="M772" s="5" t="str">
        <f>_xlfn.XLOOKUP($N772,'Base de Grupos'!$A:$A,'Base de Grupos'!$C:$C)</f>
        <v>PE</v>
      </c>
      <c r="N772" s="3">
        <v>1507</v>
      </c>
      <c r="O772" s="4" t="s">
        <v>266</v>
      </c>
      <c r="P772" s="5" t="s">
        <v>91</v>
      </c>
      <c r="Q772" s="56">
        <v>0</v>
      </c>
      <c r="R772" s="56">
        <v>0</v>
      </c>
      <c r="S772" s="56">
        <v>0</v>
      </c>
      <c r="T772" s="56">
        <f>_xlfn.XLOOKUP($N772,'Calculo Leads Conveniencia'!$A$77:$A$104,'Calculo Leads Conveniencia'!G$77:G$104)*_xlfn.XLOOKUP($P772,'Base Grupo de Produtos'!$E$23:$E$39,'Base Grupo de Produtos'!$F$23:$F$39)</f>
        <v>0</v>
      </c>
      <c r="U772" s="56">
        <f>_xlfn.XLOOKUP($N772,'Calculo Leads Conveniencia'!$A$77:$A$104,'Calculo Leads Conveniencia'!H$77:H$104)*_xlfn.XLOOKUP($P772,'Base Grupo de Produtos'!$E$23:$E$39,'Base Grupo de Produtos'!$F$23:$F$39)</f>
        <v>0</v>
      </c>
      <c r="V772" s="56">
        <f>_xlfn.XLOOKUP($N772,'Calculo Leads Conveniencia'!$A$77:$A$104,'Calculo Leads Conveniencia'!I$77:I$104)*_xlfn.XLOOKUP($P772,'Base Grupo de Produtos'!$E$23:$E$39,'Base Grupo de Produtos'!$F$23:$F$39)</f>
        <v>0</v>
      </c>
      <c r="W772" s="56">
        <f>_xlfn.XLOOKUP($N772,'Calculo Leads Conveniencia'!$A$77:$A$104,'Calculo Leads Conveniencia'!J$77:J$104)*_xlfn.XLOOKUP($P772,'Base Grupo de Produtos'!$E$23:$E$39,'Base Grupo de Produtos'!$F$23:$F$39)</f>
        <v>0</v>
      </c>
      <c r="X772" s="56">
        <f>_xlfn.XLOOKUP($N772,'Calculo Leads Conveniencia'!$A$77:$A$104,'Calculo Leads Conveniencia'!K$77:K$104)*_xlfn.XLOOKUP($P772,'Base Grupo de Produtos'!$E$23:$E$39,'Base Grupo de Produtos'!$F$23:$F$39)</f>
        <v>0</v>
      </c>
      <c r="Y772" s="56">
        <f>_xlfn.XLOOKUP($N772,'Calculo Leads Conveniencia'!$A$77:$A$104,'Calculo Leads Conveniencia'!L$77:L$104)*_xlfn.XLOOKUP($P772,'Base Grupo de Produtos'!$E$23:$E$39,'Base Grupo de Produtos'!$F$23:$F$39)</f>
        <v>0</v>
      </c>
      <c r="Z772" s="56">
        <f>_xlfn.XLOOKUP($N772,'Calculo Leads Conveniencia'!$A$77:$A$104,'Calculo Leads Conveniencia'!M$77:M$104)*_xlfn.XLOOKUP($P772,'Base Grupo de Produtos'!$E$23:$E$39,'Base Grupo de Produtos'!$F$23:$F$39)</f>
        <v>0</v>
      </c>
      <c r="AA772" s="56">
        <f>_xlfn.XLOOKUP($N772,'Calculo Leads Conveniencia'!$A$77:$A$104,'Calculo Leads Conveniencia'!N$77:N$104)*_xlfn.XLOOKUP($P772,'Base Grupo de Produtos'!$E$23:$E$39,'Base Grupo de Produtos'!$F$23:$F$39)</f>
        <v>0</v>
      </c>
      <c r="AB772" s="56">
        <f>_xlfn.XLOOKUP($N772,'Calculo Leads Conveniencia'!$A$77:$A$104,'Calculo Leads Conveniencia'!O$77:O$104)*_xlfn.XLOOKUP($P772,'Base Grupo de Produtos'!$E$23:$E$39,'Base Grupo de Produtos'!$F$23:$F$39)</f>
        <v>0</v>
      </c>
      <c r="AC772" s="61">
        <f t="shared" si="752"/>
        <v>0</v>
      </c>
      <c r="AD772" s="28"/>
      <c r="AE772" s="12"/>
      <c r="AF772" s="29"/>
      <c r="AG772" s="9"/>
      <c r="AH772" s="10"/>
      <c r="AI772" s="9"/>
      <c r="AJ772" s="11"/>
      <c r="AK772" s="9"/>
      <c r="AL772" s="13"/>
      <c r="AM772" s="9"/>
    </row>
    <row r="773" spans="1:39" x14ac:dyDescent="0.3">
      <c r="A773" s="2" t="str">
        <f t="shared" si="753"/>
        <v>NÃO</v>
      </c>
      <c r="B773" s="2" t="str">
        <f>_xlfn.XLOOKUP($N773,'Base de Grupos'!$A:$A,'Base de Grupos'!$D:$D)</f>
        <v>1000065763</v>
      </c>
      <c r="C773" s="5" t="str">
        <f>_xlfn.XLOOKUP($N773,'Base de Grupos'!$A:$A,'Base de Grupos'!$E:$E)</f>
        <v>CANAL VENDA INTERNA</v>
      </c>
      <c r="D773" s="5" t="str">
        <f>_xlfn.XLOOKUP($N773,'Base de Grupos'!$A:$A,'Base de Grupos'!$F:$F)</f>
        <v>1000065763</v>
      </c>
      <c r="E773" s="2" t="str">
        <f>_xlfn.XLOOKUP($N773,'Base de Grupos'!$A:$A,'Base de Grupos'!$G:$G)</f>
        <v>CANAL VENDA INTERNA</v>
      </c>
      <c r="F773" s="2" t="str">
        <f>_xlfn.XLOOKUP($N773,'Base de Grupos'!$A:$A,'Base de Grupos'!$H:$H)</f>
        <v>1000174119</v>
      </c>
      <c r="G773" s="5" t="str">
        <f>_xlfn.XLOOKUP($N773,'Base de Grupos'!$A:$A,'Base de Grupos'!$I:$I)</f>
        <v>REGIONAL VENDA INTERNA - CONVENIENCIA</v>
      </c>
      <c r="H773" s="5" t="str">
        <f>_xlfn.XLOOKUP($N773,'Base de Grupos'!$A:$A,'Base de Grupos'!$J:$J)</f>
        <v>1000174119</v>
      </c>
      <c r="I773" s="2" t="str">
        <f>_xlfn.XLOOKUP($N773,'Base de Grupos'!$A:$A,'Base de Grupos'!$K:$K)</f>
        <v>REGIONAL VENDA INTERNA - CONVENIENCIA</v>
      </c>
      <c r="J773" s="2" t="str">
        <f>_xlfn.XLOOKUP($N773,'Base de Grupos'!$A:$A,'Base de Grupos'!$L:$L)</f>
        <v>1000174119</v>
      </c>
      <c r="K773" s="5" t="str">
        <f>_xlfn.XLOOKUP($N773,'Base de Grupos'!$A:$A,'Base de Grupos'!$M:$M)</f>
        <v>REGIONAL VENDA INTERNA - CONVENIENCIA</v>
      </c>
      <c r="L773" s="5" t="str">
        <f t="shared" si="754"/>
        <v/>
      </c>
      <c r="M773" s="5" t="str">
        <f>_xlfn.XLOOKUP($N773,'Base de Grupos'!$A:$A,'Base de Grupos'!$C:$C)</f>
        <v>PE</v>
      </c>
      <c r="N773" s="3">
        <v>1507</v>
      </c>
      <c r="O773" s="4" t="s">
        <v>266</v>
      </c>
      <c r="P773" s="5" t="s">
        <v>96</v>
      </c>
      <c r="Q773" s="56">
        <v>0</v>
      </c>
      <c r="R773" s="56">
        <v>0</v>
      </c>
      <c r="S773" s="56">
        <v>0</v>
      </c>
      <c r="T773" s="56">
        <f>_xlfn.XLOOKUP($N773,'Calculo Leads Conveniencia'!$A$77:$A$104,'Calculo Leads Conveniencia'!G$77:G$104)*_xlfn.XLOOKUP($P773,'Base Grupo de Produtos'!$E$23:$E$39,'Base Grupo de Produtos'!$F$23:$F$39)</f>
        <v>0</v>
      </c>
      <c r="U773" s="56">
        <f>_xlfn.XLOOKUP($N773,'Calculo Leads Conveniencia'!$A$77:$A$104,'Calculo Leads Conveniencia'!H$77:H$104)*_xlfn.XLOOKUP($P773,'Base Grupo de Produtos'!$E$23:$E$39,'Base Grupo de Produtos'!$F$23:$F$39)</f>
        <v>0</v>
      </c>
      <c r="V773" s="56">
        <f>_xlfn.XLOOKUP($N773,'Calculo Leads Conveniencia'!$A$77:$A$104,'Calculo Leads Conveniencia'!I$77:I$104)*_xlfn.XLOOKUP($P773,'Base Grupo de Produtos'!$E$23:$E$39,'Base Grupo de Produtos'!$F$23:$F$39)</f>
        <v>0</v>
      </c>
      <c r="W773" s="56">
        <f>_xlfn.XLOOKUP($N773,'Calculo Leads Conveniencia'!$A$77:$A$104,'Calculo Leads Conveniencia'!J$77:J$104)*_xlfn.XLOOKUP($P773,'Base Grupo de Produtos'!$E$23:$E$39,'Base Grupo de Produtos'!$F$23:$F$39)</f>
        <v>0</v>
      </c>
      <c r="X773" s="56">
        <f>_xlfn.XLOOKUP($N773,'Calculo Leads Conveniencia'!$A$77:$A$104,'Calculo Leads Conveniencia'!K$77:K$104)*_xlfn.XLOOKUP($P773,'Base Grupo de Produtos'!$E$23:$E$39,'Base Grupo de Produtos'!$F$23:$F$39)</f>
        <v>0</v>
      </c>
      <c r="Y773" s="56">
        <f>_xlfn.XLOOKUP($N773,'Calculo Leads Conveniencia'!$A$77:$A$104,'Calculo Leads Conveniencia'!L$77:L$104)*_xlfn.XLOOKUP($P773,'Base Grupo de Produtos'!$E$23:$E$39,'Base Grupo de Produtos'!$F$23:$F$39)</f>
        <v>0</v>
      </c>
      <c r="Z773" s="56">
        <f>_xlfn.XLOOKUP($N773,'Calculo Leads Conveniencia'!$A$77:$A$104,'Calculo Leads Conveniencia'!M$77:M$104)*_xlfn.XLOOKUP($P773,'Base Grupo de Produtos'!$E$23:$E$39,'Base Grupo de Produtos'!$F$23:$F$39)</f>
        <v>0</v>
      </c>
      <c r="AA773" s="56">
        <f>_xlfn.XLOOKUP($N773,'Calculo Leads Conveniencia'!$A$77:$A$104,'Calculo Leads Conveniencia'!N$77:N$104)*_xlfn.XLOOKUP($P773,'Base Grupo de Produtos'!$E$23:$E$39,'Base Grupo de Produtos'!$F$23:$F$39)</f>
        <v>0</v>
      </c>
      <c r="AB773" s="56">
        <f>_xlfn.XLOOKUP($N773,'Calculo Leads Conveniencia'!$A$77:$A$104,'Calculo Leads Conveniencia'!O$77:O$104)*_xlfn.XLOOKUP($P773,'Base Grupo de Produtos'!$E$23:$E$39,'Base Grupo de Produtos'!$F$23:$F$39)</f>
        <v>0</v>
      </c>
      <c r="AC773" s="61">
        <f t="shared" ref="AC773:AC836" si="794">SUM(T773:AB773)</f>
        <v>0</v>
      </c>
      <c r="AD773" s="28"/>
      <c r="AE773" s="12"/>
      <c r="AF773" s="29"/>
      <c r="AG773" s="9"/>
      <c r="AH773" s="10"/>
      <c r="AI773" s="9"/>
      <c r="AJ773" s="11"/>
      <c r="AK773" s="9"/>
      <c r="AL773" s="13"/>
      <c r="AM773" s="9"/>
    </row>
    <row r="774" spans="1:39" x14ac:dyDescent="0.3">
      <c r="A774" s="2" t="str">
        <f t="shared" si="753"/>
        <v>NÃO</v>
      </c>
      <c r="B774" s="2" t="str">
        <f>_xlfn.XLOOKUP($N774,'Base de Grupos'!$A:$A,'Base de Grupos'!$D:$D)</f>
        <v>1000065763</v>
      </c>
      <c r="C774" s="5" t="str">
        <f>_xlfn.XLOOKUP($N774,'Base de Grupos'!$A:$A,'Base de Grupos'!$E:$E)</f>
        <v>CANAL VENDA INTERNA</v>
      </c>
      <c r="D774" s="5" t="str">
        <f>_xlfn.XLOOKUP($N774,'Base de Grupos'!$A:$A,'Base de Grupos'!$F:$F)</f>
        <v>1000065763</v>
      </c>
      <c r="E774" s="2" t="str">
        <f>_xlfn.XLOOKUP($N774,'Base de Grupos'!$A:$A,'Base de Grupos'!$G:$G)</f>
        <v>CANAL VENDA INTERNA</v>
      </c>
      <c r="F774" s="2" t="str">
        <f>_xlfn.XLOOKUP($N774,'Base de Grupos'!$A:$A,'Base de Grupos'!$H:$H)</f>
        <v>1000174119</v>
      </c>
      <c r="G774" s="5" t="str">
        <f>_xlfn.XLOOKUP($N774,'Base de Grupos'!$A:$A,'Base de Grupos'!$I:$I)</f>
        <v>REGIONAL VENDA INTERNA - CONVENIENCIA</v>
      </c>
      <c r="H774" s="5" t="str">
        <f>_xlfn.XLOOKUP($N774,'Base de Grupos'!$A:$A,'Base de Grupos'!$J:$J)</f>
        <v>1000174119</v>
      </c>
      <c r="I774" s="2" t="str">
        <f>_xlfn.XLOOKUP($N774,'Base de Grupos'!$A:$A,'Base de Grupos'!$K:$K)</f>
        <v>REGIONAL VENDA INTERNA - CONVENIENCIA</v>
      </c>
      <c r="J774" s="2" t="str">
        <f>_xlfn.XLOOKUP($N774,'Base de Grupos'!$A:$A,'Base de Grupos'!$L:$L)</f>
        <v>1000174119</v>
      </c>
      <c r="K774" s="5" t="str">
        <f>_xlfn.XLOOKUP($N774,'Base de Grupos'!$A:$A,'Base de Grupos'!$M:$M)</f>
        <v>REGIONAL VENDA INTERNA - CONVENIENCIA</v>
      </c>
      <c r="L774" s="5" t="str">
        <f t="shared" si="754"/>
        <v/>
      </c>
      <c r="M774" s="5" t="str">
        <f>_xlfn.XLOOKUP($N774,'Base de Grupos'!$A:$A,'Base de Grupos'!$C:$C)</f>
        <v>PE</v>
      </c>
      <c r="N774" s="3">
        <v>1507</v>
      </c>
      <c r="O774" s="4" t="s">
        <v>266</v>
      </c>
      <c r="P774" s="5" t="s">
        <v>94</v>
      </c>
      <c r="Q774" s="56">
        <v>0</v>
      </c>
      <c r="R774" s="56">
        <v>0</v>
      </c>
      <c r="S774" s="56">
        <v>0</v>
      </c>
      <c r="T774" s="56">
        <f>_xlfn.XLOOKUP($N774,'Calculo Leads Conveniencia'!$A$77:$A$104,'Calculo Leads Conveniencia'!G$77:G$104)*_xlfn.XLOOKUP($P774,'Base Grupo de Produtos'!$E$23:$E$39,'Base Grupo de Produtos'!$F$23:$F$39)</f>
        <v>0</v>
      </c>
      <c r="U774" s="56">
        <f>_xlfn.XLOOKUP($N774,'Calculo Leads Conveniencia'!$A$77:$A$104,'Calculo Leads Conveniencia'!H$77:H$104)*_xlfn.XLOOKUP($P774,'Base Grupo de Produtos'!$E$23:$E$39,'Base Grupo de Produtos'!$F$23:$F$39)</f>
        <v>0</v>
      </c>
      <c r="V774" s="56">
        <f>_xlfn.XLOOKUP($N774,'Calculo Leads Conveniencia'!$A$77:$A$104,'Calculo Leads Conveniencia'!I$77:I$104)*_xlfn.XLOOKUP($P774,'Base Grupo de Produtos'!$E$23:$E$39,'Base Grupo de Produtos'!$F$23:$F$39)</f>
        <v>0</v>
      </c>
      <c r="W774" s="56">
        <f>_xlfn.XLOOKUP($N774,'Calculo Leads Conveniencia'!$A$77:$A$104,'Calculo Leads Conveniencia'!J$77:J$104)*_xlfn.XLOOKUP($P774,'Base Grupo de Produtos'!$E$23:$E$39,'Base Grupo de Produtos'!$F$23:$F$39)</f>
        <v>0</v>
      </c>
      <c r="X774" s="56">
        <f>_xlfn.XLOOKUP($N774,'Calculo Leads Conveniencia'!$A$77:$A$104,'Calculo Leads Conveniencia'!K$77:K$104)*_xlfn.XLOOKUP($P774,'Base Grupo de Produtos'!$E$23:$E$39,'Base Grupo de Produtos'!$F$23:$F$39)</f>
        <v>0</v>
      </c>
      <c r="Y774" s="56">
        <f>_xlfn.XLOOKUP($N774,'Calculo Leads Conveniencia'!$A$77:$A$104,'Calculo Leads Conveniencia'!L$77:L$104)*_xlfn.XLOOKUP($P774,'Base Grupo de Produtos'!$E$23:$E$39,'Base Grupo de Produtos'!$F$23:$F$39)</f>
        <v>0</v>
      </c>
      <c r="Z774" s="56">
        <f>_xlfn.XLOOKUP($N774,'Calculo Leads Conveniencia'!$A$77:$A$104,'Calculo Leads Conveniencia'!M$77:M$104)*_xlfn.XLOOKUP($P774,'Base Grupo de Produtos'!$E$23:$E$39,'Base Grupo de Produtos'!$F$23:$F$39)</f>
        <v>0</v>
      </c>
      <c r="AA774" s="56">
        <f>_xlfn.XLOOKUP($N774,'Calculo Leads Conveniencia'!$A$77:$A$104,'Calculo Leads Conveniencia'!N$77:N$104)*_xlfn.XLOOKUP($P774,'Base Grupo de Produtos'!$E$23:$E$39,'Base Grupo de Produtos'!$F$23:$F$39)</f>
        <v>0</v>
      </c>
      <c r="AB774" s="56">
        <f>_xlfn.XLOOKUP($N774,'Calculo Leads Conveniencia'!$A$77:$A$104,'Calculo Leads Conveniencia'!O$77:O$104)*_xlfn.XLOOKUP($P774,'Base Grupo de Produtos'!$E$23:$E$39,'Base Grupo de Produtos'!$F$23:$F$39)</f>
        <v>0</v>
      </c>
      <c r="AC774" s="61">
        <f t="shared" si="794"/>
        <v>0</v>
      </c>
      <c r="AD774" s="28"/>
      <c r="AE774" s="12"/>
      <c r="AF774" s="29"/>
      <c r="AG774" s="9"/>
      <c r="AH774" s="10"/>
      <c r="AI774" s="9"/>
      <c r="AJ774" s="11"/>
      <c r="AK774" s="9"/>
      <c r="AL774" s="13"/>
      <c r="AM774" s="9"/>
    </row>
    <row r="775" spans="1:39" x14ac:dyDescent="0.3">
      <c r="A775" s="2" t="str">
        <f t="shared" si="753"/>
        <v>NÃO</v>
      </c>
      <c r="B775" s="2" t="str">
        <f>_xlfn.XLOOKUP($N775,'Base de Grupos'!$A:$A,'Base de Grupos'!$D:$D)</f>
        <v>1000065763</v>
      </c>
      <c r="C775" s="5" t="str">
        <f>_xlfn.XLOOKUP($N775,'Base de Grupos'!$A:$A,'Base de Grupos'!$E:$E)</f>
        <v>CANAL VENDA INTERNA</v>
      </c>
      <c r="D775" s="5" t="str">
        <f>_xlfn.XLOOKUP($N775,'Base de Grupos'!$A:$A,'Base de Grupos'!$F:$F)</f>
        <v>1000065763</v>
      </c>
      <c r="E775" s="2" t="str">
        <f>_xlfn.XLOOKUP($N775,'Base de Grupos'!$A:$A,'Base de Grupos'!$G:$G)</f>
        <v>CANAL VENDA INTERNA</v>
      </c>
      <c r="F775" s="2" t="str">
        <f>_xlfn.XLOOKUP($N775,'Base de Grupos'!$A:$A,'Base de Grupos'!$H:$H)</f>
        <v>1000174119</v>
      </c>
      <c r="G775" s="5" t="str">
        <f>_xlfn.XLOOKUP($N775,'Base de Grupos'!$A:$A,'Base de Grupos'!$I:$I)</f>
        <v>REGIONAL VENDA INTERNA - CONVENIENCIA</v>
      </c>
      <c r="H775" s="5" t="str">
        <f>_xlfn.XLOOKUP($N775,'Base de Grupos'!$A:$A,'Base de Grupos'!$J:$J)</f>
        <v>1000174119</v>
      </c>
      <c r="I775" s="2" t="str">
        <f>_xlfn.XLOOKUP($N775,'Base de Grupos'!$A:$A,'Base de Grupos'!$K:$K)</f>
        <v>REGIONAL VENDA INTERNA - CONVENIENCIA</v>
      </c>
      <c r="J775" s="2" t="str">
        <f>_xlfn.XLOOKUP($N775,'Base de Grupos'!$A:$A,'Base de Grupos'!$L:$L)</f>
        <v>1000174119</v>
      </c>
      <c r="K775" s="5" t="str">
        <f>_xlfn.XLOOKUP($N775,'Base de Grupos'!$A:$A,'Base de Grupos'!$M:$M)</f>
        <v>REGIONAL VENDA INTERNA - CONVENIENCIA</v>
      </c>
      <c r="L775" s="5" t="str">
        <f t="shared" si="754"/>
        <v/>
      </c>
      <c r="M775" s="5" t="str">
        <f>_xlfn.XLOOKUP($N775,'Base de Grupos'!$A:$A,'Base de Grupos'!$C:$C)</f>
        <v>PE</v>
      </c>
      <c r="N775" s="3">
        <v>1507</v>
      </c>
      <c r="O775" s="4" t="s">
        <v>266</v>
      </c>
      <c r="P775" s="5" t="s">
        <v>95</v>
      </c>
      <c r="Q775" s="56">
        <v>0</v>
      </c>
      <c r="R775" s="56">
        <v>0</v>
      </c>
      <c r="S775" s="56">
        <v>0</v>
      </c>
      <c r="T775" s="56">
        <f>_xlfn.XLOOKUP($N775,'Calculo Leads Conveniencia'!$A$77:$A$104,'Calculo Leads Conveniencia'!G$77:G$104)*_xlfn.XLOOKUP($P775,'Base Grupo de Produtos'!$E$23:$E$39,'Base Grupo de Produtos'!$F$23:$F$39)</f>
        <v>0</v>
      </c>
      <c r="U775" s="56">
        <f>_xlfn.XLOOKUP($N775,'Calculo Leads Conveniencia'!$A$77:$A$104,'Calculo Leads Conveniencia'!H$77:H$104)*_xlfn.XLOOKUP($P775,'Base Grupo de Produtos'!$E$23:$E$39,'Base Grupo de Produtos'!$F$23:$F$39)</f>
        <v>0</v>
      </c>
      <c r="V775" s="56">
        <f>_xlfn.XLOOKUP($N775,'Calculo Leads Conveniencia'!$A$77:$A$104,'Calculo Leads Conveniencia'!I$77:I$104)*_xlfn.XLOOKUP($P775,'Base Grupo de Produtos'!$E$23:$E$39,'Base Grupo de Produtos'!$F$23:$F$39)</f>
        <v>0</v>
      </c>
      <c r="W775" s="56">
        <f>_xlfn.XLOOKUP($N775,'Calculo Leads Conveniencia'!$A$77:$A$104,'Calculo Leads Conveniencia'!J$77:J$104)*_xlfn.XLOOKUP($P775,'Base Grupo de Produtos'!$E$23:$E$39,'Base Grupo de Produtos'!$F$23:$F$39)</f>
        <v>0</v>
      </c>
      <c r="X775" s="56">
        <f>_xlfn.XLOOKUP($N775,'Calculo Leads Conveniencia'!$A$77:$A$104,'Calculo Leads Conveniencia'!K$77:K$104)*_xlfn.XLOOKUP($P775,'Base Grupo de Produtos'!$E$23:$E$39,'Base Grupo de Produtos'!$F$23:$F$39)</f>
        <v>0</v>
      </c>
      <c r="Y775" s="56">
        <f>_xlfn.XLOOKUP($N775,'Calculo Leads Conveniencia'!$A$77:$A$104,'Calculo Leads Conveniencia'!L$77:L$104)*_xlfn.XLOOKUP($P775,'Base Grupo de Produtos'!$E$23:$E$39,'Base Grupo de Produtos'!$F$23:$F$39)</f>
        <v>0</v>
      </c>
      <c r="Z775" s="56">
        <f>_xlfn.XLOOKUP($N775,'Calculo Leads Conveniencia'!$A$77:$A$104,'Calculo Leads Conveniencia'!M$77:M$104)*_xlfn.XLOOKUP($P775,'Base Grupo de Produtos'!$E$23:$E$39,'Base Grupo de Produtos'!$F$23:$F$39)</f>
        <v>0</v>
      </c>
      <c r="AA775" s="56">
        <f>_xlfn.XLOOKUP($N775,'Calculo Leads Conveniencia'!$A$77:$A$104,'Calculo Leads Conveniencia'!N$77:N$104)*_xlfn.XLOOKUP($P775,'Base Grupo de Produtos'!$E$23:$E$39,'Base Grupo de Produtos'!$F$23:$F$39)</f>
        <v>0</v>
      </c>
      <c r="AB775" s="56">
        <f>_xlfn.XLOOKUP($N775,'Calculo Leads Conveniencia'!$A$77:$A$104,'Calculo Leads Conveniencia'!O$77:O$104)*_xlfn.XLOOKUP($P775,'Base Grupo de Produtos'!$E$23:$E$39,'Base Grupo de Produtos'!$F$23:$F$39)</f>
        <v>0</v>
      </c>
      <c r="AC775" s="61">
        <f t="shared" si="794"/>
        <v>0</v>
      </c>
      <c r="AD775" s="28"/>
      <c r="AE775" s="12"/>
      <c r="AF775" s="29"/>
      <c r="AG775" s="9"/>
      <c r="AH775" s="10"/>
      <c r="AI775" s="9"/>
      <c r="AJ775" s="11"/>
      <c r="AK775" s="9"/>
      <c r="AL775" s="13"/>
      <c r="AM775" s="9"/>
    </row>
    <row r="776" spans="1:39" x14ac:dyDescent="0.3">
      <c r="A776" s="2" t="str">
        <f t="shared" si="753"/>
        <v>NÃO</v>
      </c>
      <c r="B776" s="2" t="str">
        <f>_xlfn.XLOOKUP($N776,'Base de Grupos'!$A:$A,'Base de Grupos'!$D:$D)</f>
        <v>1000065763</v>
      </c>
      <c r="C776" s="5" t="str">
        <f>_xlfn.XLOOKUP($N776,'Base de Grupos'!$A:$A,'Base de Grupos'!$E:$E)</f>
        <v>CANAL VENDA INTERNA</v>
      </c>
      <c r="D776" s="5" t="str">
        <f>_xlfn.XLOOKUP($N776,'Base de Grupos'!$A:$A,'Base de Grupos'!$F:$F)</f>
        <v>1000065763</v>
      </c>
      <c r="E776" s="2" t="str">
        <f>_xlfn.XLOOKUP($N776,'Base de Grupos'!$A:$A,'Base de Grupos'!$G:$G)</f>
        <v>CANAL VENDA INTERNA</v>
      </c>
      <c r="F776" s="2" t="str">
        <f>_xlfn.XLOOKUP($N776,'Base de Grupos'!$A:$A,'Base de Grupos'!$H:$H)</f>
        <v>1000174119</v>
      </c>
      <c r="G776" s="5" t="str">
        <f>_xlfn.XLOOKUP($N776,'Base de Grupos'!$A:$A,'Base de Grupos'!$I:$I)</f>
        <v>REGIONAL VENDA INTERNA - CONVENIENCIA</v>
      </c>
      <c r="H776" s="5" t="str">
        <f>_xlfn.XLOOKUP($N776,'Base de Grupos'!$A:$A,'Base de Grupos'!$J:$J)</f>
        <v>1000174119</v>
      </c>
      <c r="I776" s="2" t="str">
        <f>_xlfn.XLOOKUP($N776,'Base de Grupos'!$A:$A,'Base de Grupos'!$K:$K)</f>
        <v>REGIONAL VENDA INTERNA - CONVENIENCIA</v>
      </c>
      <c r="J776" s="2" t="str">
        <f>_xlfn.XLOOKUP($N776,'Base de Grupos'!$A:$A,'Base de Grupos'!$L:$L)</f>
        <v>1000174119</v>
      </c>
      <c r="K776" s="5" t="str">
        <f>_xlfn.XLOOKUP($N776,'Base de Grupos'!$A:$A,'Base de Grupos'!$M:$M)</f>
        <v>REGIONAL VENDA INTERNA - CONVENIENCIA</v>
      </c>
      <c r="L776" s="5" t="str">
        <f t="shared" si="754"/>
        <v/>
      </c>
      <c r="M776" s="5" t="str">
        <f>_xlfn.XLOOKUP($N776,'Base de Grupos'!$A:$A,'Base de Grupos'!$C:$C)</f>
        <v>PE</v>
      </c>
      <c r="N776" s="3">
        <v>1507</v>
      </c>
      <c r="O776" s="4" t="s">
        <v>266</v>
      </c>
      <c r="P776" s="5" t="s">
        <v>93</v>
      </c>
      <c r="Q776" s="56">
        <v>0</v>
      </c>
      <c r="R776" s="56">
        <v>0</v>
      </c>
      <c r="S776" s="56">
        <v>0</v>
      </c>
      <c r="T776" s="56">
        <f>_xlfn.XLOOKUP($N776,'Calculo Leads Conveniencia'!$A$77:$A$104,'Calculo Leads Conveniencia'!G$77:G$104)*_xlfn.XLOOKUP($P776,'Base Grupo de Produtos'!$E$23:$E$39,'Base Grupo de Produtos'!$F$23:$F$39)</f>
        <v>0</v>
      </c>
      <c r="U776" s="56">
        <f>_xlfn.XLOOKUP($N776,'Calculo Leads Conveniencia'!$A$77:$A$104,'Calculo Leads Conveniencia'!H$77:H$104)*_xlfn.XLOOKUP($P776,'Base Grupo de Produtos'!$E$23:$E$39,'Base Grupo de Produtos'!$F$23:$F$39)</f>
        <v>0</v>
      </c>
      <c r="V776" s="56">
        <f>_xlfn.XLOOKUP($N776,'Calculo Leads Conveniencia'!$A$77:$A$104,'Calculo Leads Conveniencia'!I$77:I$104)*_xlfn.XLOOKUP($P776,'Base Grupo de Produtos'!$E$23:$E$39,'Base Grupo de Produtos'!$F$23:$F$39)</f>
        <v>0</v>
      </c>
      <c r="W776" s="56">
        <f>_xlfn.XLOOKUP($N776,'Calculo Leads Conveniencia'!$A$77:$A$104,'Calculo Leads Conveniencia'!J$77:J$104)*_xlfn.XLOOKUP($P776,'Base Grupo de Produtos'!$E$23:$E$39,'Base Grupo de Produtos'!$F$23:$F$39)</f>
        <v>0</v>
      </c>
      <c r="X776" s="56">
        <f>_xlfn.XLOOKUP($N776,'Calculo Leads Conveniencia'!$A$77:$A$104,'Calculo Leads Conveniencia'!K$77:K$104)*_xlfn.XLOOKUP($P776,'Base Grupo de Produtos'!$E$23:$E$39,'Base Grupo de Produtos'!$F$23:$F$39)</f>
        <v>0</v>
      </c>
      <c r="Y776" s="56">
        <f>_xlfn.XLOOKUP($N776,'Calculo Leads Conveniencia'!$A$77:$A$104,'Calculo Leads Conveniencia'!L$77:L$104)*_xlfn.XLOOKUP($P776,'Base Grupo de Produtos'!$E$23:$E$39,'Base Grupo de Produtos'!$F$23:$F$39)</f>
        <v>0</v>
      </c>
      <c r="Z776" s="56">
        <f>_xlfn.XLOOKUP($N776,'Calculo Leads Conveniencia'!$A$77:$A$104,'Calculo Leads Conveniencia'!M$77:M$104)*_xlfn.XLOOKUP($P776,'Base Grupo de Produtos'!$E$23:$E$39,'Base Grupo de Produtos'!$F$23:$F$39)</f>
        <v>0</v>
      </c>
      <c r="AA776" s="56">
        <f>_xlfn.XLOOKUP($N776,'Calculo Leads Conveniencia'!$A$77:$A$104,'Calculo Leads Conveniencia'!N$77:N$104)*_xlfn.XLOOKUP($P776,'Base Grupo de Produtos'!$E$23:$E$39,'Base Grupo de Produtos'!$F$23:$F$39)</f>
        <v>0</v>
      </c>
      <c r="AB776" s="56">
        <f>_xlfn.XLOOKUP($N776,'Calculo Leads Conveniencia'!$A$77:$A$104,'Calculo Leads Conveniencia'!O$77:O$104)*_xlfn.XLOOKUP($P776,'Base Grupo de Produtos'!$E$23:$E$39,'Base Grupo de Produtos'!$F$23:$F$39)</f>
        <v>0</v>
      </c>
      <c r="AC776" s="61">
        <f t="shared" si="794"/>
        <v>0</v>
      </c>
      <c r="AD776" s="28"/>
      <c r="AE776" s="12"/>
      <c r="AF776" s="29"/>
      <c r="AG776" s="9"/>
      <c r="AH776" s="10"/>
      <c r="AI776" s="9"/>
      <c r="AJ776" s="11"/>
      <c r="AK776" s="9"/>
      <c r="AL776" s="13"/>
      <c r="AM776" s="9"/>
    </row>
    <row r="777" spans="1:39" x14ac:dyDescent="0.3">
      <c r="A777" s="2" t="str">
        <f t="shared" si="753"/>
        <v>SIM</v>
      </c>
      <c r="B777" s="2" t="str">
        <f>_xlfn.XLOOKUP($N777,'Base de Grupos'!$A:$A,'Base de Grupos'!$D:$D)</f>
        <v>1000065763</v>
      </c>
      <c r="C777" s="5" t="str">
        <f>_xlfn.XLOOKUP($N777,'Base de Grupos'!$A:$A,'Base de Grupos'!$E:$E)</f>
        <v>CANAL VENDA INTERNA</v>
      </c>
      <c r="D777" s="5" t="str">
        <f>_xlfn.XLOOKUP($N777,'Base de Grupos'!$A:$A,'Base de Grupos'!$F:$F)</f>
        <v>1000065763</v>
      </c>
      <c r="E777" s="2" t="str">
        <f>_xlfn.XLOOKUP($N777,'Base de Grupos'!$A:$A,'Base de Grupos'!$G:$G)</f>
        <v>CANAL VENDA INTERNA</v>
      </c>
      <c r="F777" s="2" t="str">
        <f>_xlfn.XLOOKUP($N777,'Base de Grupos'!$A:$A,'Base de Grupos'!$H:$H)</f>
        <v>1000174119</v>
      </c>
      <c r="G777" s="5" t="str">
        <f>_xlfn.XLOOKUP($N777,'Base de Grupos'!$A:$A,'Base de Grupos'!$I:$I)</f>
        <v>REGIONAL VENDA INTERNA - CONVENIENCIA</v>
      </c>
      <c r="H777" s="5" t="str">
        <f>_xlfn.XLOOKUP($N777,'Base de Grupos'!$A:$A,'Base de Grupos'!$J:$J)</f>
        <v>1000174119</v>
      </c>
      <c r="I777" s="2" t="str">
        <f>_xlfn.XLOOKUP($N777,'Base de Grupos'!$A:$A,'Base de Grupos'!$K:$K)</f>
        <v>REGIONAL VENDA INTERNA - CONVENIENCIA</v>
      </c>
      <c r="J777" s="2" t="str">
        <f>_xlfn.XLOOKUP($N777,'Base de Grupos'!$A:$A,'Base de Grupos'!$L:$L)</f>
        <v>1000174119</v>
      </c>
      <c r="K777" s="5" t="str">
        <f>_xlfn.XLOOKUP($N777,'Base de Grupos'!$A:$A,'Base de Grupos'!$M:$M)</f>
        <v>REGIONAL VENDA INTERNA - CONVENIENCIA</v>
      </c>
      <c r="L777" s="5">
        <f t="shared" si="754"/>
        <v>1</v>
      </c>
      <c r="M777" s="5" t="str">
        <f>_xlfn.XLOOKUP($N777,'Base de Grupos'!$A:$A,'Base de Grupos'!$C:$C)</f>
        <v>SE</v>
      </c>
      <c r="N777" s="3">
        <v>1508</v>
      </c>
      <c r="O777" s="4" t="s">
        <v>267</v>
      </c>
      <c r="P777" s="5" t="s">
        <v>337</v>
      </c>
      <c r="Q777" s="56">
        <f t="shared" ref="Q777" si="795">SUM(Q778:Q794)</f>
        <v>0</v>
      </c>
      <c r="R777" s="56">
        <f t="shared" ref="R777" si="796">SUM(R778:R794)</f>
        <v>0</v>
      </c>
      <c r="S777" s="56">
        <f t="shared" ref="S777" si="797">SUM(S778:S794)</f>
        <v>0</v>
      </c>
      <c r="T777" s="56">
        <f t="shared" ref="T777" si="798">SUM(T778:T794)</f>
        <v>0</v>
      </c>
      <c r="U777" s="56">
        <f t="shared" ref="U777" si="799">SUM(U778:U794)</f>
        <v>0</v>
      </c>
      <c r="V777" s="56">
        <f t="shared" ref="V777" si="800">SUM(V778:V794)</f>
        <v>0</v>
      </c>
      <c r="W777" s="56">
        <f t="shared" ref="W777" si="801">SUM(W778:W794)</f>
        <v>0</v>
      </c>
      <c r="X777" s="56">
        <f t="shared" ref="X777" si="802">SUM(X778:X794)</f>
        <v>0</v>
      </c>
      <c r="Y777" s="56">
        <f t="shared" ref="Y777" si="803">SUM(Y778:Y794)</f>
        <v>0</v>
      </c>
      <c r="Z777" s="56">
        <f t="shared" ref="Z777" si="804">SUM(Z778:Z794)</f>
        <v>0</v>
      </c>
      <c r="AA777" s="56">
        <f t="shared" ref="AA777" si="805">SUM(AA778:AA794)</f>
        <v>0</v>
      </c>
      <c r="AB777" s="56">
        <f t="shared" ref="AB777" si="806">SUM(AB778:AB794)</f>
        <v>0</v>
      </c>
      <c r="AC777" s="56">
        <f t="shared" ref="AC777" si="807">SUM(AC778:AC794)</f>
        <v>0</v>
      </c>
      <c r="AD777" s="28"/>
      <c r="AE777" s="12"/>
      <c r="AF777" s="29"/>
      <c r="AG777" s="9"/>
      <c r="AH777" s="10"/>
      <c r="AI777" s="9"/>
      <c r="AJ777" s="11"/>
      <c r="AK777" s="9"/>
      <c r="AL777" s="13"/>
      <c r="AM777" s="9"/>
    </row>
    <row r="778" spans="1:39" x14ac:dyDescent="0.3">
      <c r="A778" s="2" t="str">
        <f t="shared" si="753"/>
        <v>NÃO</v>
      </c>
      <c r="B778" s="2" t="str">
        <f>_xlfn.XLOOKUP($N778,'Base de Grupos'!$A:$A,'Base de Grupos'!$D:$D)</f>
        <v>1000065763</v>
      </c>
      <c r="C778" s="5" t="str">
        <f>_xlfn.XLOOKUP($N778,'Base de Grupos'!$A:$A,'Base de Grupos'!$E:$E)</f>
        <v>CANAL VENDA INTERNA</v>
      </c>
      <c r="D778" s="5" t="str">
        <f>_xlfn.XLOOKUP($N778,'Base de Grupos'!$A:$A,'Base de Grupos'!$F:$F)</f>
        <v>1000065763</v>
      </c>
      <c r="E778" s="2" t="str">
        <f>_xlfn.XLOOKUP($N778,'Base de Grupos'!$A:$A,'Base de Grupos'!$G:$G)</f>
        <v>CANAL VENDA INTERNA</v>
      </c>
      <c r="F778" s="2" t="str">
        <f>_xlfn.XLOOKUP($N778,'Base de Grupos'!$A:$A,'Base de Grupos'!$H:$H)</f>
        <v>1000174119</v>
      </c>
      <c r="G778" s="5" t="str">
        <f>_xlfn.XLOOKUP($N778,'Base de Grupos'!$A:$A,'Base de Grupos'!$I:$I)</f>
        <v>REGIONAL VENDA INTERNA - CONVENIENCIA</v>
      </c>
      <c r="H778" s="5" t="str">
        <f>_xlfn.XLOOKUP($N778,'Base de Grupos'!$A:$A,'Base de Grupos'!$J:$J)</f>
        <v>1000174119</v>
      </c>
      <c r="I778" s="2" t="str">
        <f>_xlfn.XLOOKUP($N778,'Base de Grupos'!$A:$A,'Base de Grupos'!$K:$K)</f>
        <v>REGIONAL VENDA INTERNA - CONVENIENCIA</v>
      </c>
      <c r="J778" s="2" t="str">
        <f>_xlfn.XLOOKUP($N778,'Base de Grupos'!$A:$A,'Base de Grupos'!$L:$L)</f>
        <v>1000174119</v>
      </c>
      <c r="K778" s="5" t="str">
        <f>_xlfn.XLOOKUP($N778,'Base de Grupos'!$A:$A,'Base de Grupos'!$M:$M)</f>
        <v>REGIONAL VENDA INTERNA - CONVENIENCIA</v>
      </c>
      <c r="L778" s="5" t="str">
        <f t="shared" si="754"/>
        <v/>
      </c>
      <c r="M778" s="5" t="str">
        <f>_xlfn.XLOOKUP($N778,'Base de Grupos'!$A:$A,'Base de Grupos'!$C:$C)</f>
        <v>SE</v>
      </c>
      <c r="N778" s="3">
        <v>1508</v>
      </c>
      <c r="O778" s="4" t="s">
        <v>267</v>
      </c>
      <c r="P778" s="5" t="s">
        <v>81</v>
      </c>
      <c r="Q778" s="56">
        <v>0</v>
      </c>
      <c r="R778" s="56">
        <v>0</v>
      </c>
      <c r="S778" s="56">
        <v>0</v>
      </c>
      <c r="T778" s="56">
        <f>_xlfn.XLOOKUP($N778,'Calculo Leads Conveniencia'!$A$77:$A$104,'Calculo Leads Conveniencia'!G$77:G$104)*_xlfn.XLOOKUP($P778,'Base Grupo de Produtos'!$E$23:$E$39,'Base Grupo de Produtos'!$F$23:$F$39)</f>
        <v>0</v>
      </c>
      <c r="U778" s="56">
        <f>_xlfn.XLOOKUP($N778,'Calculo Leads Conveniencia'!$A$77:$A$104,'Calculo Leads Conveniencia'!H$77:H$104)*_xlfn.XLOOKUP($P778,'Base Grupo de Produtos'!$E$23:$E$39,'Base Grupo de Produtos'!$F$23:$F$39)</f>
        <v>0</v>
      </c>
      <c r="V778" s="56">
        <f>_xlfn.XLOOKUP($N778,'Calculo Leads Conveniencia'!$A$77:$A$104,'Calculo Leads Conveniencia'!I$77:I$104)*_xlfn.XLOOKUP($P778,'Base Grupo de Produtos'!$E$23:$E$39,'Base Grupo de Produtos'!$F$23:$F$39)</f>
        <v>0</v>
      </c>
      <c r="W778" s="56">
        <f>_xlfn.XLOOKUP($N778,'Calculo Leads Conveniencia'!$A$77:$A$104,'Calculo Leads Conveniencia'!J$77:J$104)*_xlfn.XLOOKUP($P778,'Base Grupo de Produtos'!$E$23:$E$39,'Base Grupo de Produtos'!$F$23:$F$39)</f>
        <v>0</v>
      </c>
      <c r="X778" s="56">
        <f>_xlfn.XLOOKUP($N778,'Calculo Leads Conveniencia'!$A$77:$A$104,'Calculo Leads Conveniencia'!K$77:K$104)*_xlfn.XLOOKUP($P778,'Base Grupo de Produtos'!$E$23:$E$39,'Base Grupo de Produtos'!$F$23:$F$39)</f>
        <v>0</v>
      </c>
      <c r="Y778" s="56">
        <f>_xlfn.XLOOKUP($N778,'Calculo Leads Conveniencia'!$A$77:$A$104,'Calculo Leads Conveniencia'!L$77:L$104)*_xlfn.XLOOKUP($P778,'Base Grupo de Produtos'!$E$23:$E$39,'Base Grupo de Produtos'!$F$23:$F$39)</f>
        <v>0</v>
      </c>
      <c r="Z778" s="56">
        <f>_xlfn.XLOOKUP($N778,'Calculo Leads Conveniencia'!$A$77:$A$104,'Calculo Leads Conveniencia'!M$77:M$104)*_xlfn.XLOOKUP($P778,'Base Grupo de Produtos'!$E$23:$E$39,'Base Grupo de Produtos'!$F$23:$F$39)</f>
        <v>0</v>
      </c>
      <c r="AA778" s="56">
        <f>_xlfn.XLOOKUP($N778,'Calculo Leads Conveniencia'!$A$77:$A$104,'Calculo Leads Conveniencia'!N$77:N$104)*_xlfn.XLOOKUP($P778,'Base Grupo de Produtos'!$E$23:$E$39,'Base Grupo de Produtos'!$F$23:$F$39)</f>
        <v>0</v>
      </c>
      <c r="AB778" s="56">
        <f>_xlfn.XLOOKUP($N778,'Calculo Leads Conveniencia'!$A$77:$A$104,'Calculo Leads Conveniencia'!O$77:O$104)*_xlfn.XLOOKUP($P778,'Base Grupo de Produtos'!$E$23:$E$39,'Base Grupo de Produtos'!$F$23:$F$39)</f>
        <v>0</v>
      </c>
      <c r="AC778" s="61">
        <f t="shared" si="794"/>
        <v>0</v>
      </c>
      <c r="AD778" s="28"/>
      <c r="AE778" s="12"/>
      <c r="AF778" s="29"/>
      <c r="AG778" s="9"/>
      <c r="AH778" s="10"/>
      <c r="AI778" s="9"/>
      <c r="AJ778" s="11"/>
      <c r="AK778" s="9"/>
      <c r="AL778" s="13"/>
      <c r="AM778" s="9"/>
    </row>
    <row r="779" spans="1:39" x14ac:dyDescent="0.3">
      <c r="A779" s="2" t="str">
        <f t="shared" ref="A779:A794" si="808">IF(L779=1,"SIM","NÃO")</f>
        <v>NÃO</v>
      </c>
      <c r="B779" s="2" t="str">
        <f>_xlfn.XLOOKUP($N779,'Base de Grupos'!$A:$A,'Base de Grupos'!$D:$D)</f>
        <v>1000065763</v>
      </c>
      <c r="C779" s="5" t="str">
        <f>_xlfn.XLOOKUP($N779,'Base de Grupos'!$A:$A,'Base de Grupos'!$E:$E)</f>
        <v>CANAL VENDA INTERNA</v>
      </c>
      <c r="D779" s="5" t="str">
        <f>_xlfn.XLOOKUP($N779,'Base de Grupos'!$A:$A,'Base de Grupos'!$F:$F)</f>
        <v>1000065763</v>
      </c>
      <c r="E779" s="2" t="str">
        <f>_xlfn.XLOOKUP($N779,'Base de Grupos'!$A:$A,'Base de Grupos'!$G:$G)</f>
        <v>CANAL VENDA INTERNA</v>
      </c>
      <c r="F779" s="2" t="str">
        <f>_xlfn.XLOOKUP($N779,'Base de Grupos'!$A:$A,'Base de Grupos'!$H:$H)</f>
        <v>1000174119</v>
      </c>
      <c r="G779" s="5" t="str">
        <f>_xlfn.XLOOKUP($N779,'Base de Grupos'!$A:$A,'Base de Grupos'!$I:$I)</f>
        <v>REGIONAL VENDA INTERNA - CONVENIENCIA</v>
      </c>
      <c r="H779" s="5" t="str">
        <f>_xlfn.XLOOKUP($N779,'Base de Grupos'!$A:$A,'Base de Grupos'!$J:$J)</f>
        <v>1000174119</v>
      </c>
      <c r="I779" s="2" t="str">
        <f>_xlfn.XLOOKUP($N779,'Base de Grupos'!$A:$A,'Base de Grupos'!$K:$K)</f>
        <v>REGIONAL VENDA INTERNA - CONVENIENCIA</v>
      </c>
      <c r="J779" s="2" t="str">
        <f>_xlfn.XLOOKUP($N779,'Base de Grupos'!$A:$A,'Base de Grupos'!$L:$L)</f>
        <v>1000174119</v>
      </c>
      <c r="K779" s="5" t="str">
        <f>_xlfn.XLOOKUP($N779,'Base de Grupos'!$A:$A,'Base de Grupos'!$M:$M)</f>
        <v>REGIONAL VENDA INTERNA - CONVENIENCIA</v>
      </c>
      <c r="L779" s="5" t="str">
        <f t="shared" ref="L779:L794" si="809">IF(N779&lt;&gt;N778,1,"")</f>
        <v/>
      </c>
      <c r="M779" s="5" t="str">
        <f>_xlfn.XLOOKUP($N779,'Base de Grupos'!$A:$A,'Base de Grupos'!$C:$C)</f>
        <v>SE</v>
      </c>
      <c r="N779" s="3">
        <v>1508</v>
      </c>
      <c r="O779" s="4" t="s">
        <v>267</v>
      </c>
      <c r="P779" s="5" t="s">
        <v>82</v>
      </c>
      <c r="Q779" s="56">
        <v>0</v>
      </c>
      <c r="R779" s="56">
        <v>0</v>
      </c>
      <c r="S779" s="56">
        <v>0</v>
      </c>
      <c r="T779" s="56">
        <f>_xlfn.XLOOKUP($N779,'Calculo Leads Conveniencia'!$A$77:$A$104,'Calculo Leads Conveniencia'!G$77:G$104)*_xlfn.XLOOKUP($P779,'Base Grupo de Produtos'!$E$23:$E$39,'Base Grupo de Produtos'!$F$23:$F$39)</f>
        <v>0</v>
      </c>
      <c r="U779" s="56">
        <f>_xlfn.XLOOKUP($N779,'Calculo Leads Conveniencia'!$A$77:$A$104,'Calculo Leads Conveniencia'!H$77:H$104)*_xlfn.XLOOKUP($P779,'Base Grupo de Produtos'!$E$23:$E$39,'Base Grupo de Produtos'!$F$23:$F$39)</f>
        <v>0</v>
      </c>
      <c r="V779" s="56">
        <f>_xlfn.XLOOKUP($N779,'Calculo Leads Conveniencia'!$A$77:$A$104,'Calculo Leads Conveniencia'!I$77:I$104)*_xlfn.XLOOKUP($P779,'Base Grupo de Produtos'!$E$23:$E$39,'Base Grupo de Produtos'!$F$23:$F$39)</f>
        <v>0</v>
      </c>
      <c r="W779" s="56">
        <f>_xlfn.XLOOKUP($N779,'Calculo Leads Conveniencia'!$A$77:$A$104,'Calculo Leads Conveniencia'!J$77:J$104)*_xlfn.XLOOKUP($P779,'Base Grupo de Produtos'!$E$23:$E$39,'Base Grupo de Produtos'!$F$23:$F$39)</f>
        <v>0</v>
      </c>
      <c r="X779" s="56">
        <f>_xlfn.XLOOKUP($N779,'Calculo Leads Conveniencia'!$A$77:$A$104,'Calculo Leads Conveniencia'!K$77:K$104)*_xlfn.XLOOKUP($P779,'Base Grupo de Produtos'!$E$23:$E$39,'Base Grupo de Produtos'!$F$23:$F$39)</f>
        <v>0</v>
      </c>
      <c r="Y779" s="56">
        <f>_xlfn.XLOOKUP($N779,'Calculo Leads Conveniencia'!$A$77:$A$104,'Calculo Leads Conveniencia'!L$77:L$104)*_xlfn.XLOOKUP($P779,'Base Grupo de Produtos'!$E$23:$E$39,'Base Grupo de Produtos'!$F$23:$F$39)</f>
        <v>0</v>
      </c>
      <c r="Z779" s="56">
        <f>_xlfn.XLOOKUP($N779,'Calculo Leads Conveniencia'!$A$77:$A$104,'Calculo Leads Conveniencia'!M$77:M$104)*_xlfn.XLOOKUP($P779,'Base Grupo de Produtos'!$E$23:$E$39,'Base Grupo de Produtos'!$F$23:$F$39)</f>
        <v>0</v>
      </c>
      <c r="AA779" s="56">
        <f>_xlfn.XLOOKUP($N779,'Calculo Leads Conveniencia'!$A$77:$A$104,'Calculo Leads Conveniencia'!N$77:N$104)*_xlfn.XLOOKUP($P779,'Base Grupo de Produtos'!$E$23:$E$39,'Base Grupo de Produtos'!$F$23:$F$39)</f>
        <v>0</v>
      </c>
      <c r="AB779" s="56">
        <f>_xlfn.XLOOKUP($N779,'Calculo Leads Conveniencia'!$A$77:$A$104,'Calculo Leads Conveniencia'!O$77:O$104)*_xlfn.XLOOKUP($P779,'Base Grupo de Produtos'!$E$23:$E$39,'Base Grupo de Produtos'!$F$23:$F$39)</f>
        <v>0</v>
      </c>
      <c r="AC779" s="61">
        <f t="shared" si="794"/>
        <v>0</v>
      </c>
      <c r="AD779" s="28"/>
      <c r="AE779" s="12"/>
      <c r="AF779" s="29"/>
      <c r="AG779" s="9"/>
      <c r="AH779" s="10"/>
      <c r="AI779" s="9"/>
      <c r="AJ779" s="11"/>
      <c r="AK779" s="9"/>
      <c r="AL779" s="13"/>
      <c r="AM779" s="9"/>
    </row>
    <row r="780" spans="1:39" x14ac:dyDescent="0.3">
      <c r="A780" s="2" t="str">
        <f t="shared" si="808"/>
        <v>NÃO</v>
      </c>
      <c r="B780" s="2" t="str">
        <f>_xlfn.XLOOKUP($N780,'Base de Grupos'!$A:$A,'Base de Grupos'!$D:$D)</f>
        <v>1000065763</v>
      </c>
      <c r="C780" s="5" t="str">
        <f>_xlfn.XLOOKUP($N780,'Base de Grupos'!$A:$A,'Base de Grupos'!$E:$E)</f>
        <v>CANAL VENDA INTERNA</v>
      </c>
      <c r="D780" s="5" t="str">
        <f>_xlfn.XLOOKUP($N780,'Base de Grupos'!$A:$A,'Base de Grupos'!$F:$F)</f>
        <v>1000065763</v>
      </c>
      <c r="E780" s="2" t="str">
        <f>_xlfn.XLOOKUP($N780,'Base de Grupos'!$A:$A,'Base de Grupos'!$G:$G)</f>
        <v>CANAL VENDA INTERNA</v>
      </c>
      <c r="F780" s="2" t="str">
        <f>_xlfn.XLOOKUP($N780,'Base de Grupos'!$A:$A,'Base de Grupos'!$H:$H)</f>
        <v>1000174119</v>
      </c>
      <c r="G780" s="5" t="str">
        <f>_xlfn.XLOOKUP($N780,'Base de Grupos'!$A:$A,'Base de Grupos'!$I:$I)</f>
        <v>REGIONAL VENDA INTERNA - CONVENIENCIA</v>
      </c>
      <c r="H780" s="5" t="str">
        <f>_xlfn.XLOOKUP($N780,'Base de Grupos'!$A:$A,'Base de Grupos'!$J:$J)</f>
        <v>1000174119</v>
      </c>
      <c r="I780" s="2" t="str">
        <f>_xlfn.XLOOKUP($N780,'Base de Grupos'!$A:$A,'Base de Grupos'!$K:$K)</f>
        <v>REGIONAL VENDA INTERNA - CONVENIENCIA</v>
      </c>
      <c r="J780" s="2" t="str">
        <f>_xlfn.XLOOKUP($N780,'Base de Grupos'!$A:$A,'Base de Grupos'!$L:$L)</f>
        <v>1000174119</v>
      </c>
      <c r="K780" s="5" t="str">
        <f>_xlfn.XLOOKUP($N780,'Base de Grupos'!$A:$A,'Base de Grupos'!$M:$M)</f>
        <v>REGIONAL VENDA INTERNA - CONVENIENCIA</v>
      </c>
      <c r="L780" s="5" t="str">
        <f t="shared" si="809"/>
        <v/>
      </c>
      <c r="M780" s="5" t="str">
        <f>_xlfn.XLOOKUP($N780,'Base de Grupos'!$A:$A,'Base de Grupos'!$C:$C)</f>
        <v>SE</v>
      </c>
      <c r="N780" s="3">
        <v>1508</v>
      </c>
      <c r="O780" s="4" t="s">
        <v>267</v>
      </c>
      <c r="P780" s="5" t="s">
        <v>84</v>
      </c>
      <c r="Q780" s="56">
        <v>0</v>
      </c>
      <c r="R780" s="56">
        <v>0</v>
      </c>
      <c r="S780" s="56">
        <v>0</v>
      </c>
      <c r="T780" s="56">
        <f>_xlfn.XLOOKUP($N780,'Calculo Leads Conveniencia'!$A$77:$A$104,'Calculo Leads Conveniencia'!G$77:G$104)*_xlfn.XLOOKUP($P780,'Base Grupo de Produtos'!$E$23:$E$39,'Base Grupo de Produtos'!$F$23:$F$39)</f>
        <v>0</v>
      </c>
      <c r="U780" s="56">
        <f>_xlfn.XLOOKUP($N780,'Calculo Leads Conveniencia'!$A$77:$A$104,'Calculo Leads Conveniencia'!H$77:H$104)*_xlfn.XLOOKUP($P780,'Base Grupo de Produtos'!$E$23:$E$39,'Base Grupo de Produtos'!$F$23:$F$39)</f>
        <v>0</v>
      </c>
      <c r="V780" s="56">
        <f>_xlfn.XLOOKUP($N780,'Calculo Leads Conveniencia'!$A$77:$A$104,'Calculo Leads Conveniencia'!I$77:I$104)*_xlfn.XLOOKUP($P780,'Base Grupo de Produtos'!$E$23:$E$39,'Base Grupo de Produtos'!$F$23:$F$39)</f>
        <v>0</v>
      </c>
      <c r="W780" s="56">
        <f>_xlfn.XLOOKUP($N780,'Calculo Leads Conveniencia'!$A$77:$A$104,'Calculo Leads Conveniencia'!J$77:J$104)*_xlfn.XLOOKUP($P780,'Base Grupo de Produtos'!$E$23:$E$39,'Base Grupo de Produtos'!$F$23:$F$39)</f>
        <v>0</v>
      </c>
      <c r="X780" s="56">
        <f>_xlfn.XLOOKUP($N780,'Calculo Leads Conveniencia'!$A$77:$A$104,'Calculo Leads Conveniencia'!K$77:K$104)*_xlfn.XLOOKUP($P780,'Base Grupo de Produtos'!$E$23:$E$39,'Base Grupo de Produtos'!$F$23:$F$39)</f>
        <v>0</v>
      </c>
      <c r="Y780" s="56">
        <f>_xlfn.XLOOKUP($N780,'Calculo Leads Conveniencia'!$A$77:$A$104,'Calculo Leads Conveniencia'!L$77:L$104)*_xlfn.XLOOKUP($P780,'Base Grupo de Produtos'!$E$23:$E$39,'Base Grupo de Produtos'!$F$23:$F$39)</f>
        <v>0</v>
      </c>
      <c r="Z780" s="56">
        <f>_xlfn.XLOOKUP($N780,'Calculo Leads Conveniencia'!$A$77:$A$104,'Calculo Leads Conveniencia'!M$77:M$104)*_xlfn.XLOOKUP($P780,'Base Grupo de Produtos'!$E$23:$E$39,'Base Grupo de Produtos'!$F$23:$F$39)</f>
        <v>0</v>
      </c>
      <c r="AA780" s="56">
        <f>_xlfn.XLOOKUP($N780,'Calculo Leads Conveniencia'!$A$77:$A$104,'Calculo Leads Conveniencia'!N$77:N$104)*_xlfn.XLOOKUP($P780,'Base Grupo de Produtos'!$E$23:$E$39,'Base Grupo de Produtos'!$F$23:$F$39)</f>
        <v>0</v>
      </c>
      <c r="AB780" s="56">
        <f>_xlfn.XLOOKUP($N780,'Calculo Leads Conveniencia'!$A$77:$A$104,'Calculo Leads Conveniencia'!O$77:O$104)*_xlfn.XLOOKUP($P780,'Base Grupo de Produtos'!$E$23:$E$39,'Base Grupo de Produtos'!$F$23:$F$39)</f>
        <v>0</v>
      </c>
      <c r="AC780" s="61">
        <f t="shared" si="794"/>
        <v>0</v>
      </c>
      <c r="AD780" s="28"/>
      <c r="AE780" s="12"/>
      <c r="AF780" s="29"/>
      <c r="AG780" s="9"/>
      <c r="AH780" s="10"/>
      <c r="AI780" s="9"/>
      <c r="AJ780" s="11"/>
      <c r="AK780" s="9"/>
      <c r="AL780" s="13"/>
      <c r="AM780" s="9"/>
    </row>
    <row r="781" spans="1:39" x14ac:dyDescent="0.3">
      <c r="A781" s="2" t="str">
        <f t="shared" si="808"/>
        <v>NÃO</v>
      </c>
      <c r="B781" s="2" t="str">
        <f>_xlfn.XLOOKUP($N781,'Base de Grupos'!$A:$A,'Base de Grupos'!$D:$D)</f>
        <v>1000065763</v>
      </c>
      <c r="C781" s="5" t="str">
        <f>_xlfn.XLOOKUP($N781,'Base de Grupos'!$A:$A,'Base de Grupos'!$E:$E)</f>
        <v>CANAL VENDA INTERNA</v>
      </c>
      <c r="D781" s="5" t="str">
        <f>_xlfn.XLOOKUP($N781,'Base de Grupos'!$A:$A,'Base de Grupos'!$F:$F)</f>
        <v>1000065763</v>
      </c>
      <c r="E781" s="2" t="str">
        <f>_xlfn.XLOOKUP($N781,'Base de Grupos'!$A:$A,'Base de Grupos'!$G:$G)</f>
        <v>CANAL VENDA INTERNA</v>
      </c>
      <c r="F781" s="2" t="str">
        <f>_xlfn.XLOOKUP($N781,'Base de Grupos'!$A:$A,'Base de Grupos'!$H:$H)</f>
        <v>1000174119</v>
      </c>
      <c r="G781" s="5" t="str">
        <f>_xlfn.XLOOKUP($N781,'Base de Grupos'!$A:$A,'Base de Grupos'!$I:$I)</f>
        <v>REGIONAL VENDA INTERNA - CONVENIENCIA</v>
      </c>
      <c r="H781" s="5" t="str">
        <f>_xlfn.XLOOKUP($N781,'Base de Grupos'!$A:$A,'Base de Grupos'!$J:$J)</f>
        <v>1000174119</v>
      </c>
      <c r="I781" s="2" t="str">
        <f>_xlfn.XLOOKUP($N781,'Base de Grupos'!$A:$A,'Base de Grupos'!$K:$K)</f>
        <v>REGIONAL VENDA INTERNA - CONVENIENCIA</v>
      </c>
      <c r="J781" s="2" t="str">
        <f>_xlfn.XLOOKUP($N781,'Base de Grupos'!$A:$A,'Base de Grupos'!$L:$L)</f>
        <v>1000174119</v>
      </c>
      <c r="K781" s="5" t="str">
        <f>_xlfn.XLOOKUP($N781,'Base de Grupos'!$A:$A,'Base de Grupos'!$M:$M)</f>
        <v>REGIONAL VENDA INTERNA - CONVENIENCIA</v>
      </c>
      <c r="L781" s="5" t="str">
        <f t="shared" si="809"/>
        <v/>
      </c>
      <c r="M781" s="5" t="str">
        <f>_xlfn.XLOOKUP($N781,'Base de Grupos'!$A:$A,'Base de Grupos'!$C:$C)</f>
        <v>SE</v>
      </c>
      <c r="N781" s="3">
        <v>1508</v>
      </c>
      <c r="O781" s="4" t="s">
        <v>267</v>
      </c>
      <c r="P781" s="5" t="s">
        <v>83</v>
      </c>
      <c r="Q781" s="56">
        <v>0</v>
      </c>
      <c r="R781" s="56">
        <v>0</v>
      </c>
      <c r="S781" s="56">
        <v>0</v>
      </c>
      <c r="T781" s="56">
        <f>_xlfn.XLOOKUP($N781,'Calculo Leads Conveniencia'!$A$77:$A$104,'Calculo Leads Conveniencia'!G$77:G$104)*_xlfn.XLOOKUP($P781,'Base Grupo de Produtos'!$E$23:$E$39,'Base Grupo de Produtos'!$F$23:$F$39)</f>
        <v>0</v>
      </c>
      <c r="U781" s="56">
        <f>_xlfn.XLOOKUP($N781,'Calculo Leads Conveniencia'!$A$77:$A$104,'Calculo Leads Conveniencia'!H$77:H$104)*_xlfn.XLOOKUP($P781,'Base Grupo de Produtos'!$E$23:$E$39,'Base Grupo de Produtos'!$F$23:$F$39)</f>
        <v>0</v>
      </c>
      <c r="V781" s="56">
        <f>_xlfn.XLOOKUP($N781,'Calculo Leads Conveniencia'!$A$77:$A$104,'Calculo Leads Conveniencia'!I$77:I$104)*_xlfn.XLOOKUP($P781,'Base Grupo de Produtos'!$E$23:$E$39,'Base Grupo de Produtos'!$F$23:$F$39)</f>
        <v>0</v>
      </c>
      <c r="W781" s="56">
        <f>_xlfn.XLOOKUP($N781,'Calculo Leads Conveniencia'!$A$77:$A$104,'Calculo Leads Conveniencia'!J$77:J$104)*_xlfn.XLOOKUP($P781,'Base Grupo de Produtos'!$E$23:$E$39,'Base Grupo de Produtos'!$F$23:$F$39)</f>
        <v>0</v>
      </c>
      <c r="X781" s="56">
        <f>_xlfn.XLOOKUP($N781,'Calculo Leads Conveniencia'!$A$77:$A$104,'Calculo Leads Conveniencia'!K$77:K$104)*_xlfn.XLOOKUP($P781,'Base Grupo de Produtos'!$E$23:$E$39,'Base Grupo de Produtos'!$F$23:$F$39)</f>
        <v>0</v>
      </c>
      <c r="Y781" s="56">
        <f>_xlfn.XLOOKUP($N781,'Calculo Leads Conveniencia'!$A$77:$A$104,'Calculo Leads Conveniencia'!L$77:L$104)*_xlfn.XLOOKUP($P781,'Base Grupo de Produtos'!$E$23:$E$39,'Base Grupo de Produtos'!$F$23:$F$39)</f>
        <v>0</v>
      </c>
      <c r="Z781" s="56">
        <f>_xlfn.XLOOKUP($N781,'Calculo Leads Conveniencia'!$A$77:$A$104,'Calculo Leads Conveniencia'!M$77:M$104)*_xlfn.XLOOKUP($P781,'Base Grupo de Produtos'!$E$23:$E$39,'Base Grupo de Produtos'!$F$23:$F$39)</f>
        <v>0</v>
      </c>
      <c r="AA781" s="56">
        <f>_xlfn.XLOOKUP($N781,'Calculo Leads Conveniencia'!$A$77:$A$104,'Calculo Leads Conveniencia'!N$77:N$104)*_xlfn.XLOOKUP($P781,'Base Grupo de Produtos'!$E$23:$E$39,'Base Grupo de Produtos'!$F$23:$F$39)</f>
        <v>0</v>
      </c>
      <c r="AB781" s="56">
        <f>_xlfn.XLOOKUP($N781,'Calculo Leads Conveniencia'!$A$77:$A$104,'Calculo Leads Conveniencia'!O$77:O$104)*_xlfn.XLOOKUP($P781,'Base Grupo de Produtos'!$E$23:$E$39,'Base Grupo de Produtos'!$F$23:$F$39)</f>
        <v>0</v>
      </c>
      <c r="AC781" s="61">
        <f t="shared" si="794"/>
        <v>0</v>
      </c>
      <c r="AD781" s="28"/>
      <c r="AE781" s="12"/>
      <c r="AF781" s="29"/>
      <c r="AG781" s="9"/>
      <c r="AH781" s="10"/>
      <c r="AI781" s="9"/>
      <c r="AJ781" s="11"/>
      <c r="AK781" s="9"/>
      <c r="AL781" s="13"/>
      <c r="AM781" s="9"/>
    </row>
    <row r="782" spans="1:39" x14ac:dyDescent="0.3">
      <c r="A782" s="2" t="str">
        <f t="shared" si="808"/>
        <v>NÃO</v>
      </c>
      <c r="B782" s="2" t="str">
        <f>_xlfn.XLOOKUP($N782,'Base de Grupos'!$A:$A,'Base de Grupos'!$D:$D)</f>
        <v>1000065763</v>
      </c>
      <c r="C782" s="5" t="str">
        <f>_xlfn.XLOOKUP($N782,'Base de Grupos'!$A:$A,'Base de Grupos'!$E:$E)</f>
        <v>CANAL VENDA INTERNA</v>
      </c>
      <c r="D782" s="5" t="str">
        <f>_xlfn.XLOOKUP($N782,'Base de Grupos'!$A:$A,'Base de Grupos'!$F:$F)</f>
        <v>1000065763</v>
      </c>
      <c r="E782" s="2" t="str">
        <f>_xlfn.XLOOKUP($N782,'Base de Grupos'!$A:$A,'Base de Grupos'!$G:$G)</f>
        <v>CANAL VENDA INTERNA</v>
      </c>
      <c r="F782" s="2" t="str">
        <f>_xlfn.XLOOKUP($N782,'Base de Grupos'!$A:$A,'Base de Grupos'!$H:$H)</f>
        <v>1000174119</v>
      </c>
      <c r="G782" s="5" t="str">
        <f>_xlfn.XLOOKUP($N782,'Base de Grupos'!$A:$A,'Base de Grupos'!$I:$I)</f>
        <v>REGIONAL VENDA INTERNA - CONVENIENCIA</v>
      </c>
      <c r="H782" s="5" t="str">
        <f>_xlfn.XLOOKUP($N782,'Base de Grupos'!$A:$A,'Base de Grupos'!$J:$J)</f>
        <v>1000174119</v>
      </c>
      <c r="I782" s="2" t="str">
        <f>_xlfn.XLOOKUP($N782,'Base de Grupos'!$A:$A,'Base de Grupos'!$K:$K)</f>
        <v>REGIONAL VENDA INTERNA - CONVENIENCIA</v>
      </c>
      <c r="J782" s="2" t="str">
        <f>_xlfn.XLOOKUP($N782,'Base de Grupos'!$A:$A,'Base de Grupos'!$L:$L)</f>
        <v>1000174119</v>
      </c>
      <c r="K782" s="5" t="str">
        <f>_xlfn.XLOOKUP($N782,'Base de Grupos'!$A:$A,'Base de Grupos'!$M:$M)</f>
        <v>REGIONAL VENDA INTERNA - CONVENIENCIA</v>
      </c>
      <c r="L782" s="5" t="str">
        <f t="shared" si="809"/>
        <v/>
      </c>
      <c r="M782" s="5" t="str">
        <f>_xlfn.XLOOKUP($N782,'Base de Grupos'!$A:$A,'Base de Grupos'!$C:$C)</f>
        <v>SE</v>
      </c>
      <c r="N782" s="3">
        <v>1508</v>
      </c>
      <c r="O782" s="4" t="s">
        <v>267</v>
      </c>
      <c r="P782" s="5" t="s">
        <v>87</v>
      </c>
      <c r="Q782" s="56">
        <v>0</v>
      </c>
      <c r="R782" s="56">
        <v>0</v>
      </c>
      <c r="S782" s="56">
        <v>0</v>
      </c>
      <c r="T782" s="56">
        <f>_xlfn.XLOOKUP($N782,'Calculo Leads Conveniencia'!$A$77:$A$104,'Calculo Leads Conveniencia'!G$77:G$104)*_xlfn.XLOOKUP($P782,'Base Grupo de Produtos'!$E$23:$E$39,'Base Grupo de Produtos'!$F$23:$F$39)</f>
        <v>0</v>
      </c>
      <c r="U782" s="56">
        <f>_xlfn.XLOOKUP($N782,'Calculo Leads Conveniencia'!$A$77:$A$104,'Calculo Leads Conveniencia'!H$77:H$104)*_xlfn.XLOOKUP($P782,'Base Grupo de Produtos'!$E$23:$E$39,'Base Grupo de Produtos'!$F$23:$F$39)</f>
        <v>0</v>
      </c>
      <c r="V782" s="56">
        <f>_xlfn.XLOOKUP($N782,'Calculo Leads Conveniencia'!$A$77:$A$104,'Calculo Leads Conveniencia'!I$77:I$104)*_xlfn.XLOOKUP($P782,'Base Grupo de Produtos'!$E$23:$E$39,'Base Grupo de Produtos'!$F$23:$F$39)</f>
        <v>0</v>
      </c>
      <c r="W782" s="56">
        <f>_xlfn.XLOOKUP($N782,'Calculo Leads Conveniencia'!$A$77:$A$104,'Calculo Leads Conveniencia'!J$77:J$104)*_xlfn.XLOOKUP($P782,'Base Grupo de Produtos'!$E$23:$E$39,'Base Grupo de Produtos'!$F$23:$F$39)</f>
        <v>0</v>
      </c>
      <c r="X782" s="56">
        <f>_xlfn.XLOOKUP($N782,'Calculo Leads Conveniencia'!$A$77:$A$104,'Calculo Leads Conveniencia'!K$77:K$104)*_xlfn.XLOOKUP($P782,'Base Grupo de Produtos'!$E$23:$E$39,'Base Grupo de Produtos'!$F$23:$F$39)</f>
        <v>0</v>
      </c>
      <c r="Y782" s="56">
        <f>_xlfn.XLOOKUP($N782,'Calculo Leads Conveniencia'!$A$77:$A$104,'Calculo Leads Conveniencia'!L$77:L$104)*_xlfn.XLOOKUP($P782,'Base Grupo de Produtos'!$E$23:$E$39,'Base Grupo de Produtos'!$F$23:$F$39)</f>
        <v>0</v>
      </c>
      <c r="Z782" s="56">
        <f>_xlfn.XLOOKUP($N782,'Calculo Leads Conveniencia'!$A$77:$A$104,'Calculo Leads Conveniencia'!M$77:M$104)*_xlfn.XLOOKUP($P782,'Base Grupo de Produtos'!$E$23:$E$39,'Base Grupo de Produtos'!$F$23:$F$39)</f>
        <v>0</v>
      </c>
      <c r="AA782" s="56">
        <f>_xlfn.XLOOKUP($N782,'Calculo Leads Conveniencia'!$A$77:$A$104,'Calculo Leads Conveniencia'!N$77:N$104)*_xlfn.XLOOKUP($P782,'Base Grupo de Produtos'!$E$23:$E$39,'Base Grupo de Produtos'!$F$23:$F$39)</f>
        <v>0</v>
      </c>
      <c r="AB782" s="56">
        <f>_xlfn.XLOOKUP($N782,'Calculo Leads Conveniencia'!$A$77:$A$104,'Calculo Leads Conveniencia'!O$77:O$104)*_xlfn.XLOOKUP($P782,'Base Grupo de Produtos'!$E$23:$E$39,'Base Grupo de Produtos'!$F$23:$F$39)</f>
        <v>0</v>
      </c>
      <c r="AC782" s="61">
        <f t="shared" si="794"/>
        <v>0</v>
      </c>
      <c r="AD782" s="28"/>
      <c r="AE782" s="12"/>
      <c r="AF782" s="29"/>
      <c r="AG782" s="9"/>
      <c r="AH782" s="10"/>
      <c r="AI782" s="9"/>
      <c r="AJ782" s="11"/>
      <c r="AK782" s="9"/>
      <c r="AL782" s="13"/>
      <c r="AM782" s="9"/>
    </row>
    <row r="783" spans="1:39" x14ac:dyDescent="0.3">
      <c r="A783" s="2" t="str">
        <f t="shared" si="808"/>
        <v>NÃO</v>
      </c>
      <c r="B783" s="2" t="str">
        <f>_xlfn.XLOOKUP($N783,'Base de Grupos'!$A:$A,'Base de Grupos'!$D:$D)</f>
        <v>1000065763</v>
      </c>
      <c r="C783" s="5" t="str">
        <f>_xlfn.XLOOKUP($N783,'Base de Grupos'!$A:$A,'Base de Grupos'!$E:$E)</f>
        <v>CANAL VENDA INTERNA</v>
      </c>
      <c r="D783" s="5" t="str">
        <f>_xlfn.XLOOKUP($N783,'Base de Grupos'!$A:$A,'Base de Grupos'!$F:$F)</f>
        <v>1000065763</v>
      </c>
      <c r="E783" s="2" t="str">
        <f>_xlfn.XLOOKUP($N783,'Base de Grupos'!$A:$A,'Base de Grupos'!$G:$G)</f>
        <v>CANAL VENDA INTERNA</v>
      </c>
      <c r="F783" s="2" t="str">
        <f>_xlfn.XLOOKUP($N783,'Base de Grupos'!$A:$A,'Base de Grupos'!$H:$H)</f>
        <v>1000174119</v>
      </c>
      <c r="G783" s="5" t="str">
        <f>_xlfn.XLOOKUP($N783,'Base de Grupos'!$A:$A,'Base de Grupos'!$I:$I)</f>
        <v>REGIONAL VENDA INTERNA - CONVENIENCIA</v>
      </c>
      <c r="H783" s="5" t="str">
        <f>_xlfn.XLOOKUP($N783,'Base de Grupos'!$A:$A,'Base de Grupos'!$J:$J)</f>
        <v>1000174119</v>
      </c>
      <c r="I783" s="2" t="str">
        <f>_xlfn.XLOOKUP($N783,'Base de Grupos'!$A:$A,'Base de Grupos'!$K:$K)</f>
        <v>REGIONAL VENDA INTERNA - CONVENIENCIA</v>
      </c>
      <c r="J783" s="2" t="str">
        <f>_xlfn.XLOOKUP($N783,'Base de Grupos'!$A:$A,'Base de Grupos'!$L:$L)</f>
        <v>1000174119</v>
      </c>
      <c r="K783" s="5" t="str">
        <f>_xlfn.XLOOKUP($N783,'Base de Grupos'!$A:$A,'Base de Grupos'!$M:$M)</f>
        <v>REGIONAL VENDA INTERNA - CONVENIENCIA</v>
      </c>
      <c r="L783" s="5" t="str">
        <f t="shared" si="809"/>
        <v/>
      </c>
      <c r="M783" s="5" t="str">
        <f>_xlfn.XLOOKUP($N783,'Base de Grupos'!$A:$A,'Base de Grupos'!$C:$C)</f>
        <v>SE</v>
      </c>
      <c r="N783" s="3">
        <v>1508</v>
      </c>
      <c r="O783" s="4" t="s">
        <v>267</v>
      </c>
      <c r="P783" s="5" t="s">
        <v>85</v>
      </c>
      <c r="Q783" s="56">
        <v>0</v>
      </c>
      <c r="R783" s="56">
        <v>0</v>
      </c>
      <c r="S783" s="56">
        <v>0</v>
      </c>
      <c r="T783" s="56">
        <f>_xlfn.XLOOKUP($N783,'Calculo Leads Conveniencia'!$A$77:$A$104,'Calculo Leads Conveniencia'!G$77:G$104)*_xlfn.XLOOKUP($P783,'Base Grupo de Produtos'!$E$23:$E$39,'Base Grupo de Produtos'!$F$23:$F$39)</f>
        <v>0</v>
      </c>
      <c r="U783" s="56">
        <f>_xlfn.XLOOKUP($N783,'Calculo Leads Conveniencia'!$A$77:$A$104,'Calculo Leads Conveniencia'!H$77:H$104)*_xlfn.XLOOKUP($P783,'Base Grupo de Produtos'!$E$23:$E$39,'Base Grupo de Produtos'!$F$23:$F$39)</f>
        <v>0</v>
      </c>
      <c r="V783" s="56">
        <f>_xlfn.XLOOKUP($N783,'Calculo Leads Conveniencia'!$A$77:$A$104,'Calculo Leads Conveniencia'!I$77:I$104)*_xlfn.XLOOKUP($P783,'Base Grupo de Produtos'!$E$23:$E$39,'Base Grupo de Produtos'!$F$23:$F$39)</f>
        <v>0</v>
      </c>
      <c r="W783" s="56">
        <f>_xlfn.XLOOKUP($N783,'Calculo Leads Conveniencia'!$A$77:$A$104,'Calculo Leads Conveniencia'!J$77:J$104)*_xlfn.XLOOKUP($P783,'Base Grupo de Produtos'!$E$23:$E$39,'Base Grupo de Produtos'!$F$23:$F$39)</f>
        <v>0</v>
      </c>
      <c r="X783" s="56">
        <f>_xlfn.XLOOKUP($N783,'Calculo Leads Conveniencia'!$A$77:$A$104,'Calculo Leads Conveniencia'!K$77:K$104)*_xlfn.XLOOKUP($P783,'Base Grupo de Produtos'!$E$23:$E$39,'Base Grupo de Produtos'!$F$23:$F$39)</f>
        <v>0</v>
      </c>
      <c r="Y783" s="56">
        <f>_xlfn.XLOOKUP($N783,'Calculo Leads Conveniencia'!$A$77:$A$104,'Calculo Leads Conveniencia'!L$77:L$104)*_xlfn.XLOOKUP($P783,'Base Grupo de Produtos'!$E$23:$E$39,'Base Grupo de Produtos'!$F$23:$F$39)</f>
        <v>0</v>
      </c>
      <c r="Z783" s="56">
        <f>_xlfn.XLOOKUP($N783,'Calculo Leads Conveniencia'!$A$77:$A$104,'Calculo Leads Conveniencia'!M$77:M$104)*_xlfn.XLOOKUP($P783,'Base Grupo de Produtos'!$E$23:$E$39,'Base Grupo de Produtos'!$F$23:$F$39)</f>
        <v>0</v>
      </c>
      <c r="AA783" s="56">
        <f>_xlfn.XLOOKUP($N783,'Calculo Leads Conveniencia'!$A$77:$A$104,'Calculo Leads Conveniencia'!N$77:N$104)*_xlfn.XLOOKUP($P783,'Base Grupo de Produtos'!$E$23:$E$39,'Base Grupo de Produtos'!$F$23:$F$39)</f>
        <v>0</v>
      </c>
      <c r="AB783" s="56">
        <f>_xlfn.XLOOKUP($N783,'Calculo Leads Conveniencia'!$A$77:$A$104,'Calculo Leads Conveniencia'!O$77:O$104)*_xlfn.XLOOKUP($P783,'Base Grupo de Produtos'!$E$23:$E$39,'Base Grupo de Produtos'!$F$23:$F$39)</f>
        <v>0</v>
      </c>
      <c r="AC783" s="61">
        <f t="shared" si="794"/>
        <v>0</v>
      </c>
      <c r="AD783" s="28"/>
      <c r="AE783" s="12"/>
      <c r="AF783" s="29"/>
      <c r="AG783" s="9"/>
      <c r="AH783" s="10"/>
      <c r="AI783" s="9"/>
      <c r="AJ783" s="11"/>
      <c r="AK783" s="9"/>
      <c r="AL783" s="13"/>
      <c r="AM783" s="9"/>
    </row>
    <row r="784" spans="1:39" x14ac:dyDescent="0.3">
      <c r="A784" s="2" t="str">
        <f t="shared" si="808"/>
        <v>NÃO</v>
      </c>
      <c r="B784" s="2" t="str">
        <f>_xlfn.XLOOKUP($N784,'Base de Grupos'!$A:$A,'Base de Grupos'!$D:$D)</f>
        <v>1000065763</v>
      </c>
      <c r="C784" s="5" t="str">
        <f>_xlfn.XLOOKUP($N784,'Base de Grupos'!$A:$A,'Base de Grupos'!$E:$E)</f>
        <v>CANAL VENDA INTERNA</v>
      </c>
      <c r="D784" s="5" t="str">
        <f>_xlfn.XLOOKUP($N784,'Base de Grupos'!$A:$A,'Base de Grupos'!$F:$F)</f>
        <v>1000065763</v>
      </c>
      <c r="E784" s="2" t="str">
        <f>_xlfn.XLOOKUP($N784,'Base de Grupos'!$A:$A,'Base de Grupos'!$G:$G)</f>
        <v>CANAL VENDA INTERNA</v>
      </c>
      <c r="F784" s="2" t="str">
        <f>_xlfn.XLOOKUP($N784,'Base de Grupos'!$A:$A,'Base de Grupos'!$H:$H)</f>
        <v>1000174119</v>
      </c>
      <c r="G784" s="5" t="str">
        <f>_xlfn.XLOOKUP($N784,'Base de Grupos'!$A:$A,'Base de Grupos'!$I:$I)</f>
        <v>REGIONAL VENDA INTERNA - CONVENIENCIA</v>
      </c>
      <c r="H784" s="5" t="str">
        <f>_xlfn.XLOOKUP($N784,'Base de Grupos'!$A:$A,'Base de Grupos'!$J:$J)</f>
        <v>1000174119</v>
      </c>
      <c r="I784" s="2" t="str">
        <f>_xlfn.XLOOKUP($N784,'Base de Grupos'!$A:$A,'Base de Grupos'!$K:$K)</f>
        <v>REGIONAL VENDA INTERNA - CONVENIENCIA</v>
      </c>
      <c r="J784" s="2" t="str">
        <f>_xlfn.XLOOKUP($N784,'Base de Grupos'!$A:$A,'Base de Grupos'!$L:$L)</f>
        <v>1000174119</v>
      </c>
      <c r="K784" s="5" t="str">
        <f>_xlfn.XLOOKUP($N784,'Base de Grupos'!$A:$A,'Base de Grupos'!$M:$M)</f>
        <v>REGIONAL VENDA INTERNA - CONVENIENCIA</v>
      </c>
      <c r="L784" s="5" t="str">
        <f t="shared" si="809"/>
        <v/>
      </c>
      <c r="M784" s="5" t="str">
        <f>_xlfn.XLOOKUP($N784,'Base de Grupos'!$A:$A,'Base de Grupos'!$C:$C)</f>
        <v>SE</v>
      </c>
      <c r="N784" s="3">
        <v>1508</v>
      </c>
      <c r="O784" s="4" t="s">
        <v>267</v>
      </c>
      <c r="P784" s="5" t="s">
        <v>92</v>
      </c>
      <c r="Q784" s="56">
        <v>0</v>
      </c>
      <c r="R784" s="56">
        <v>0</v>
      </c>
      <c r="S784" s="56">
        <v>0</v>
      </c>
      <c r="T784" s="56">
        <f>_xlfn.XLOOKUP($N784,'Calculo Leads Conveniencia'!$A$77:$A$104,'Calculo Leads Conveniencia'!G$77:G$104)*_xlfn.XLOOKUP($P784,'Base Grupo de Produtos'!$E$23:$E$39,'Base Grupo de Produtos'!$F$23:$F$39)</f>
        <v>0</v>
      </c>
      <c r="U784" s="56">
        <f>_xlfn.XLOOKUP($N784,'Calculo Leads Conveniencia'!$A$77:$A$104,'Calculo Leads Conveniencia'!H$77:H$104)*_xlfn.XLOOKUP($P784,'Base Grupo de Produtos'!$E$23:$E$39,'Base Grupo de Produtos'!$F$23:$F$39)</f>
        <v>0</v>
      </c>
      <c r="V784" s="56">
        <f>_xlfn.XLOOKUP($N784,'Calculo Leads Conveniencia'!$A$77:$A$104,'Calculo Leads Conveniencia'!I$77:I$104)*_xlfn.XLOOKUP($P784,'Base Grupo de Produtos'!$E$23:$E$39,'Base Grupo de Produtos'!$F$23:$F$39)</f>
        <v>0</v>
      </c>
      <c r="W784" s="56">
        <f>_xlfn.XLOOKUP($N784,'Calculo Leads Conveniencia'!$A$77:$A$104,'Calculo Leads Conveniencia'!J$77:J$104)*_xlfn.XLOOKUP($P784,'Base Grupo de Produtos'!$E$23:$E$39,'Base Grupo de Produtos'!$F$23:$F$39)</f>
        <v>0</v>
      </c>
      <c r="X784" s="56">
        <f>_xlfn.XLOOKUP($N784,'Calculo Leads Conveniencia'!$A$77:$A$104,'Calculo Leads Conveniencia'!K$77:K$104)*_xlfn.XLOOKUP($P784,'Base Grupo de Produtos'!$E$23:$E$39,'Base Grupo de Produtos'!$F$23:$F$39)</f>
        <v>0</v>
      </c>
      <c r="Y784" s="56">
        <f>_xlfn.XLOOKUP($N784,'Calculo Leads Conveniencia'!$A$77:$A$104,'Calculo Leads Conveniencia'!L$77:L$104)*_xlfn.XLOOKUP($P784,'Base Grupo de Produtos'!$E$23:$E$39,'Base Grupo de Produtos'!$F$23:$F$39)</f>
        <v>0</v>
      </c>
      <c r="Z784" s="56">
        <f>_xlfn.XLOOKUP($N784,'Calculo Leads Conveniencia'!$A$77:$A$104,'Calculo Leads Conveniencia'!M$77:M$104)*_xlfn.XLOOKUP($P784,'Base Grupo de Produtos'!$E$23:$E$39,'Base Grupo de Produtos'!$F$23:$F$39)</f>
        <v>0</v>
      </c>
      <c r="AA784" s="56">
        <f>_xlfn.XLOOKUP($N784,'Calculo Leads Conveniencia'!$A$77:$A$104,'Calculo Leads Conveniencia'!N$77:N$104)*_xlfn.XLOOKUP($P784,'Base Grupo de Produtos'!$E$23:$E$39,'Base Grupo de Produtos'!$F$23:$F$39)</f>
        <v>0</v>
      </c>
      <c r="AB784" s="56">
        <f>_xlfn.XLOOKUP($N784,'Calculo Leads Conveniencia'!$A$77:$A$104,'Calculo Leads Conveniencia'!O$77:O$104)*_xlfn.XLOOKUP($P784,'Base Grupo de Produtos'!$E$23:$E$39,'Base Grupo de Produtos'!$F$23:$F$39)</f>
        <v>0</v>
      </c>
      <c r="AC784" s="61">
        <f t="shared" si="794"/>
        <v>0</v>
      </c>
      <c r="AD784" s="28"/>
      <c r="AE784" s="12"/>
      <c r="AF784" s="29"/>
      <c r="AG784" s="9"/>
      <c r="AH784" s="10"/>
      <c r="AI784" s="9"/>
      <c r="AJ784" s="11"/>
      <c r="AK784" s="9"/>
      <c r="AL784" s="13"/>
      <c r="AM784" s="9"/>
    </row>
    <row r="785" spans="1:39" x14ac:dyDescent="0.3">
      <c r="A785" s="2" t="str">
        <f t="shared" si="808"/>
        <v>NÃO</v>
      </c>
      <c r="B785" s="2" t="str">
        <f>_xlfn.XLOOKUP($N785,'Base de Grupos'!$A:$A,'Base de Grupos'!$D:$D)</f>
        <v>1000065763</v>
      </c>
      <c r="C785" s="5" t="str">
        <f>_xlfn.XLOOKUP($N785,'Base de Grupos'!$A:$A,'Base de Grupos'!$E:$E)</f>
        <v>CANAL VENDA INTERNA</v>
      </c>
      <c r="D785" s="5" t="str">
        <f>_xlfn.XLOOKUP($N785,'Base de Grupos'!$A:$A,'Base de Grupos'!$F:$F)</f>
        <v>1000065763</v>
      </c>
      <c r="E785" s="2" t="str">
        <f>_xlfn.XLOOKUP($N785,'Base de Grupos'!$A:$A,'Base de Grupos'!$G:$G)</f>
        <v>CANAL VENDA INTERNA</v>
      </c>
      <c r="F785" s="2" t="str">
        <f>_xlfn.XLOOKUP($N785,'Base de Grupos'!$A:$A,'Base de Grupos'!$H:$H)</f>
        <v>1000174119</v>
      </c>
      <c r="G785" s="5" t="str">
        <f>_xlfn.XLOOKUP($N785,'Base de Grupos'!$A:$A,'Base de Grupos'!$I:$I)</f>
        <v>REGIONAL VENDA INTERNA - CONVENIENCIA</v>
      </c>
      <c r="H785" s="5" t="str">
        <f>_xlfn.XLOOKUP($N785,'Base de Grupos'!$A:$A,'Base de Grupos'!$J:$J)</f>
        <v>1000174119</v>
      </c>
      <c r="I785" s="2" t="str">
        <f>_xlfn.XLOOKUP($N785,'Base de Grupos'!$A:$A,'Base de Grupos'!$K:$K)</f>
        <v>REGIONAL VENDA INTERNA - CONVENIENCIA</v>
      </c>
      <c r="J785" s="2" t="str">
        <f>_xlfn.XLOOKUP($N785,'Base de Grupos'!$A:$A,'Base de Grupos'!$L:$L)</f>
        <v>1000174119</v>
      </c>
      <c r="K785" s="5" t="str">
        <f>_xlfn.XLOOKUP($N785,'Base de Grupos'!$A:$A,'Base de Grupos'!$M:$M)</f>
        <v>REGIONAL VENDA INTERNA - CONVENIENCIA</v>
      </c>
      <c r="L785" s="5" t="str">
        <f t="shared" si="809"/>
        <v/>
      </c>
      <c r="M785" s="5" t="str">
        <f>_xlfn.XLOOKUP($N785,'Base de Grupos'!$A:$A,'Base de Grupos'!$C:$C)</f>
        <v>SE</v>
      </c>
      <c r="N785" s="3">
        <v>1508</v>
      </c>
      <c r="O785" s="4" t="s">
        <v>267</v>
      </c>
      <c r="P785" s="5" t="s">
        <v>86</v>
      </c>
      <c r="Q785" s="56">
        <v>0</v>
      </c>
      <c r="R785" s="56">
        <v>0</v>
      </c>
      <c r="S785" s="56">
        <v>0</v>
      </c>
      <c r="T785" s="56">
        <f>_xlfn.XLOOKUP($N785,'Calculo Leads Conveniencia'!$A$77:$A$104,'Calculo Leads Conveniencia'!G$77:G$104)*_xlfn.XLOOKUP($P785,'Base Grupo de Produtos'!$E$23:$E$39,'Base Grupo de Produtos'!$F$23:$F$39)</f>
        <v>0</v>
      </c>
      <c r="U785" s="56">
        <f>_xlfn.XLOOKUP($N785,'Calculo Leads Conveniencia'!$A$77:$A$104,'Calculo Leads Conveniencia'!H$77:H$104)*_xlfn.XLOOKUP($P785,'Base Grupo de Produtos'!$E$23:$E$39,'Base Grupo de Produtos'!$F$23:$F$39)</f>
        <v>0</v>
      </c>
      <c r="V785" s="56">
        <f>_xlfn.XLOOKUP($N785,'Calculo Leads Conveniencia'!$A$77:$A$104,'Calculo Leads Conveniencia'!I$77:I$104)*_xlfn.XLOOKUP($P785,'Base Grupo de Produtos'!$E$23:$E$39,'Base Grupo de Produtos'!$F$23:$F$39)</f>
        <v>0</v>
      </c>
      <c r="W785" s="56">
        <f>_xlfn.XLOOKUP($N785,'Calculo Leads Conveniencia'!$A$77:$A$104,'Calculo Leads Conveniencia'!J$77:J$104)*_xlfn.XLOOKUP($P785,'Base Grupo de Produtos'!$E$23:$E$39,'Base Grupo de Produtos'!$F$23:$F$39)</f>
        <v>0</v>
      </c>
      <c r="X785" s="56">
        <f>_xlfn.XLOOKUP($N785,'Calculo Leads Conveniencia'!$A$77:$A$104,'Calculo Leads Conveniencia'!K$77:K$104)*_xlfn.XLOOKUP($P785,'Base Grupo de Produtos'!$E$23:$E$39,'Base Grupo de Produtos'!$F$23:$F$39)</f>
        <v>0</v>
      </c>
      <c r="Y785" s="56">
        <f>_xlfn.XLOOKUP($N785,'Calculo Leads Conveniencia'!$A$77:$A$104,'Calculo Leads Conveniencia'!L$77:L$104)*_xlfn.XLOOKUP($P785,'Base Grupo de Produtos'!$E$23:$E$39,'Base Grupo de Produtos'!$F$23:$F$39)</f>
        <v>0</v>
      </c>
      <c r="Z785" s="56">
        <f>_xlfn.XLOOKUP($N785,'Calculo Leads Conveniencia'!$A$77:$A$104,'Calculo Leads Conveniencia'!M$77:M$104)*_xlfn.XLOOKUP($P785,'Base Grupo de Produtos'!$E$23:$E$39,'Base Grupo de Produtos'!$F$23:$F$39)</f>
        <v>0</v>
      </c>
      <c r="AA785" s="56">
        <f>_xlfn.XLOOKUP($N785,'Calculo Leads Conveniencia'!$A$77:$A$104,'Calculo Leads Conveniencia'!N$77:N$104)*_xlfn.XLOOKUP($P785,'Base Grupo de Produtos'!$E$23:$E$39,'Base Grupo de Produtos'!$F$23:$F$39)</f>
        <v>0</v>
      </c>
      <c r="AB785" s="56">
        <f>_xlfn.XLOOKUP($N785,'Calculo Leads Conveniencia'!$A$77:$A$104,'Calculo Leads Conveniencia'!O$77:O$104)*_xlfn.XLOOKUP($P785,'Base Grupo de Produtos'!$E$23:$E$39,'Base Grupo de Produtos'!$F$23:$F$39)</f>
        <v>0</v>
      </c>
      <c r="AC785" s="61">
        <f t="shared" si="794"/>
        <v>0</v>
      </c>
      <c r="AD785" s="28"/>
      <c r="AE785" s="12"/>
      <c r="AF785" s="29"/>
      <c r="AG785" s="9"/>
      <c r="AH785" s="10"/>
      <c r="AI785" s="9"/>
      <c r="AJ785" s="11"/>
      <c r="AK785" s="9"/>
      <c r="AL785" s="13"/>
      <c r="AM785" s="9"/>
    </row>
    <row r="786" spans="1:39" x14ac:dyDescent="0.3">
      <c r="A786" s="2" t="str">
        <f t="shared" si="808"/>
        <v>NÃO</v>
      </c>
      <c r="B786" s="2" t="str">
        <f>_xlfn.XLOOKUP($N786,'Base de Grupos'!$A:$A,'Base de Grupos'!$D:$D)</f>
        <v>1000065763</v>
      </c>
      <c r="C786" s="5" t="str">
        <f>_xlfn.XLOOKUP($N786,'Base de Grupos'!$A:$A,'Base de Grupos'!$E:$E)</f>
        <v>CANAL VENDA INTERNA</v>
      </c>
      <c r="D786" s="5" t="str">
        <f>_xlfn.XLOOKUP($N786,'Base de Grupos'!$A:$A,'Base de Grupos'!$F:$F)</f>
        <v>1000065763</v>
      </c>
      <c r="E786" s="2" t="str">
        <f>_xlfn.XLOOKUP($N786,'Base de Grupos'!$A:$A,'Base de Grupos'!$G:$G)</f>
        <v>CANAL VENDA INTERNA</v>
      </c>
      <c r="F786" s="2" t="str">
        <f>_xlfn.XLOOKUP($N786,'Base de Grupos'!$A:$A,'Base de Grupos'!$H:$H)</f>
        <v>1000174119</v>
      </c>
      <c r="G786" s="5" t="str">
        <f>_xlfn.XLOOKUP($N786,'Base de Grupos'!$A:$A,'Base de Grupos'!$I:$I)</f>
        <v>REGIONAL VENDA INTERNA - CONVENIENCIA</v>
      </c>
      <c r="H786" s="5" t="str">
        <f>_xlfn.XLOOKUP($N786,'Base de Grupos'!$A:$A,'Base de Grupos'!$J:$J)</f>
        <v>1000174119</v>
      </c>
      <c r="I786" s="2" t="str">
        <f>_xlfn.XLOOKUP($N786,'Base de Grupos'!$A:$A,'Base de Grupos'!$K:$K)</f>
        <v>REGIONAL VENDA INTERNA - CONVENIENCIA</v>
      </c>
      <c r="J786" s="2" t="str">
        <f>_xlfn.XLOOKUP($N786,'Base de Grupos'!$A:$A,'Base de Grupos'!$L:$L)</f>
        <v>1000174119</v>
      </c>
      <c r="K786" s="5" t="str">
        <f>_xlfn.XLOOKUP($N786,'Base de Grupos'!$A:$A,'Base de Grupos'!$M:$M)</f>
        <v>REGIONAL VENDA INTERNA - CONVENIENCIA</v>
      </c>
      <c r="L786" s="5" t="str">
        <f t="shared" si="809"/>
        <v/>
      </c>
      <c r="M786" s="5" t="str">
        <f>_xlfn.XLOOKUP($N786,'Base de Grupos'!$A:$A,'Base de Grupos'!$C:$C)</f>
        <v>SE</v>
      </c>
      <c r="N786" s="3">
        <v>1508</v>
      </c>
      <c r="O786" s="4" t="s">
        <v>267</v>
      </c>
      <c r="P786" s="5" t="s">
        <v>108</v>
      </c>
      <c r="Q786" s="56">
        <v>0</v>
      </c>
      <c r="R786" s="56">
        <v>0</v>
      </c>
      <c r="S786" s="56">
        <v>0</v>
      </c>
      <c r="T786" s="56">
        <f>_xlfn.XLOOKUP($N786,'Calculo Leads Conveniencia'!$A$77:$A$104,'Calculo Leads Conveniencia'!G$77:G$104)*_xlfn.XLOOKUP($P786,'Base Grupo de Produtos'!$E$23:$E$39,'Base Grupo de Produtos'!$F$23:$F$39)</f>
        <v>0</v>
      </c>
      <c r="U786" s="56">
        <f>_xlfn.XLOOKUP($N786,'Calculo Leads Conveniencia'!$A$77:$A$104,'Calculo Leads Conveniencia'!H$77:H$104)*_xlfn.XLOOKUP($P786,'Base Grupo de Produtos'!$E$23:$E$39,'Base Grupo de Produtos'!$F$23:$F$39)</f>
        <v>0</v>
      </c>
      <c r="V786" s="56">
        <f>_xlfn.XLOOKUP($N786,'Calculo Leads Conveniencia'!$A$77:$A$104,'Calculo Leads Conveniencia'!I$77:I$104)*_xlfn.XLOOKUP($P786,'Base Grupo de Produtos'!$E$23:$E$39,'Base Grupo de Produtos'!$F$23:$F$39)</f>
        <v>0</v>
      </c>
      <c r="W786" s="56">
        <f>_xlfn.XLOOKUP($N786,'Calculo Leads Conveniencia'!$A$77:$A$104,'Calculo Leads Conveniencia'!J$77:J$104)*_xlfn.XLOOKUP($P786,'Base Grupo de Produtos'!$E$23:$E$39,'Base Grupo de Produtos'!$F$23:$F$39)</f>
        <v>0</v>
      </c>
      <c r="X786" s="56">
        <f>_xlfn.XLOOKUP($N786,'Calculo Leads Conveniencia'!$A$77:$A$104,'Calculo Leads Conveniencia'!K$77:K$104)*_xlfn.XLOOKUP($P786,'Base Grupo de Produtos'!$E$23:$E$39,'Base Grupo de Produtos'!$F$23:$F$39)</f>
        <v>0</v>
      </c>
      <c r="Y786" s="56">
        <f>_xlfn.XLOOKUP($N786,'Calculo Leads Conveniencia'!$A$77:$A$104,'Calculo Leads Conveniencia'!L$77:L$104)*_xlfn.XLOOKUP($P786,'Base Grupo de Produtos'!$E$23:$E$39,'Base Grupo de Produtos'!$F$23:$F$39)</f>
        <v>0</v>
      </c>
      <c r="Z786" s="56">
        <f>_xlfn.XLOOKUP($N786,'Calculo Leads Conveniencia'!$A$77:$A$104,'Calculo Leads Conveniencia'!M$77:M$104)*_xlfn.XLOOKUP($P786,'Base Grupo de Produtos'!$E$23:$E$39,'Base Grupo de Produtos'!$F$23:$F$39)</f>
        <v>0</v>
      </c>
      <c r="AA786" s="56">
        <f>_xlfn.XLOOKUP($N786,'Calculo Leads Conveniencia'!$A$77:$A$104,'Calculo Leads Conveniencia'!N$77:N$104)*_xlfn.XLOOKUP($P786,'Base Grupo de Produtos'!$E$23:$E$39,'Base Grupo de Produtos'!$F$23:$F$39)</f>
        <v>0</v>
      </c>
      <c r="AB786" s="56">
        <f>_xlfn.XLOOKUP($N786,'Calculo Leads Conveniencia'!$A$77:$A$104,'Calculo Leads Conveniencia'!O$77:O$104)*_xlfn.XLOOKUP($P786,'Base Grupo de Produtos'!$E$23:$E$39,'Base Grupo de Produtos'!$F$23:$F$39)</f>
        <v>0</v>
      </c>
      <c r="AC786" s="61">
        <f t="shared" si="794"/>
        <v>0</v>
      </c>
      <c r="AD786" s="28"/>
      <c r="AE786" s="12"/>
      <c r="AF786" s="29"/>
      <c r="AG786" s="9"/>
      <c r="AH786" s="10"/>
      <c r="AI786" s="9"/>
      <c r="AJ786" s="11"/>
      <c r="AK786" s="9"/>
      <c r="AL786" s="13"/>
      <c r="AM786" s="9"/>
    </row>
    <row r="787" spans="1:39" x14ac:dyDescent="0.3">
      <c r="A787" s="2" t="str">
        <f t="shared" si="808"/>
        <v>NÃO</v>
      </c>
      <c r="B787" s="2" t="str">
        <f>_xlfn.XLOOKUP($N787,'Base de Grupos'!$A:$A,'Base de Grupos'!$D:$D)</f>
        <v>1000065763</v>
      </c>
      <c r="C787" s="5" t="str">
        <f>_xlfn.XLOOKUP($N787,'Base de Grupos'!$A:$A,'Base de Grupos'!$E:$E)</f>
        <v>CANAL VENDA INTERNA</v>
      </c>
      <c r="D787" s="5" t="str">
        <f>_xlfn.XLOOKUP($N787,'Base de Grupos'!$A:$A,'Base de Grupos'!$F:$F)</f>
        <v>1000065763</v>
      </c>
      <c r="E787" s="2" t="str">
        <f>_xlfn.XLOOKUP($N787,'Base de Grupos'!$A:$A,'Base de Grupos'!$G:$G)</f>
        <v>CANAL VENDA INTERNA</v>
      </c>
      <c r="F787" s="2" t="str">
        <f>_xlfn.XLOOKUP($N787,'Base de Grupos'!$A:$A,'Base de Grupos'!$H:$H)</f>
        <v>1000174119</v>
      </c>
      <c r="G787" s="5" t="str">
        <f>_xlfn.XLOOKUP($N787,'Base de Grupos'!$A:$A,'Base de Grupos'!$I:$I)</f>
        <v>REGIONAL VENDA INTERNA - CONVENIENCIA</v>
      </c>
      <c r="H787" s="5" t="str">
        <f>_xlfn.XLOOKUP($N787,'Base de Grupos'!$A:$A,'Base de Grupos'!$J:$J)</f>
        <v>1000174119</v>
      </c>
      <c r="I787" s="2" t="str">
        <f>_xlfn.XLOOKUP($N787,'Base de Grupos'!$A:$A,'Base de Grupos'!$K:$K)</f>
        <v>REGIONAL VENDA INTERNA - CONVENIENCIA</v>
      </c>
      <c r="J787" s="2" t="str">
        <f>_xlfn.XLOOKUP($N787,'Base de Grupos'!$A:$A,'Base de Grupos'!$L:$L)</f>
        <v>1000174119</v>
      </c>
      <c r="K787" s="5" t="str">
        <f>_xlfn.XLOOKUP($N787,'Base de Grupos'!$A:$A,'Base de Grupos'!$M:$M)</f>
        <v>REGIONAL VENDA INTERNA - CONVENIENCIA</v>
      </c>
      <c r="L787" s="5" t="str">
        <f t="shared" si="809"/>
        <v/>
      </c>
      <c r="M787" s="5" t="str">
        <f>_xlfn.XLOOKUP($N787,'Base de Grupos'!$A:$A,'Base de Grupos'!$C:$C)</f>
        <v>SE</v>
      </c>
      <c r="N787" s="3">
        <v>1508</v>
      </c>
      <c r="O787" s="4" t="s">
        <v>267</v>
      </c>
      <c r="P787" s="5" t="s">
        <v>89</v>
      </c>
      <c r="Q787" s="56">
        <v>0</v>
      </c>
      <c r="R787" s="56">
        <v>0</v>
      </c>
      <c r="S787" s="56">
        <v>0</v>
      </c>
      <c r="T787" s="56">
        <f>_xlfn.XLOOKUP($N787,'Calculo Leads Conveniencia'!$A$77:$A$104,'Calculo Leads Conveniencia'!G$77:G$104)*_xlfn.XLOOKUP($P787,'Base Grupo de Produtos'!$E$23:$E$39,'Base Grupo de Produtos'!$F$23:$F$39)</f>
        <v>0</v>
      </c>
      <c r="U787" s="56">
        <f>_xlfn.XLOOKUP($N787,'Calculo Leads Conveniencia'!$A$77:$A$104,'Calculo Leads Conveniencia'!H$77:H$104)*_xlfn.XLOOKUP($P787,'Base Grupo de Produtos'!$E$23:$E$39,'Base Grupo de Produtos'!$F$23:$F$39)</f>
        <v>0</v>
      </c>
      <c r="V787" s="56">
        <f>_xlfn.XLOOKUP($N787,'Calculo Leads Conveniencia'!$A$77:$A$104,'Calculo Leads Conveniencia'!I$77:I$104)*_xlfn.XLOOKUP($P787,'Base Grupo de Produtos'!$E$23:$E$39,'Base Grupo de Produtos'!$F$23:$F$39)</f>
        <v>0</v>
      </c>
      <c r="W787" s="56">
        <f>_xlfn.XLOOKUP($N787,'Calculo Leads Conveniencia'!$A$77:$A$104,'Calculo Leads Conveniencia'!J$77:J$104)*_xlfn.XLOOKUP($P787,'Base Grupo de Produtos'!$E$23:$E$39,'Base Grupo de Produtos'!$F$23:$F$39)</f>
        <v>0</v>
      </c>
      <c r="X787" s="56">
        <f>_xlfn.XLOOKUP($N787,'Calculo Leads Conveniencia'!$A$77:$A$104,'Calculo Leads Conveniencia'!K$77:K$104)*_xlfn.XLOOKUP($P787,'Base Grupo de Produtos'!$E$23:$E$39,'Base Grupo de Produtos'!$F$23:$F$39)</f>
        <v>0</v>
      </c>
      <c r="Y787" s="56">
        <f>_xlfn.XLOOKUP($N787,'Calculo Leads Conveniencia'!$A$77:$A$104,'Calculo Leads Conveniencia'!L$77:L$104)*_xlfn.XLOOKUP($P787,'Base Grupo de Produtos'!$E$23:$E$39,'Base Grupo de Produtos'!$F$23:$F$39)</f>
        <v>0</v>
      </c>
      <c r="Z787" s="56">
        <f>_xlfn.XLOOKUP($N787,'Calculo Leads Conveniencia'!$A$77:$A$104,'Calculo Leads Conveniencia'!M$77:M$104)*_xlfn.XLOOKUP($P787,'Base Grupo de Produtos'!$E$23:$E$39,'Base Grupo de Produtos'!$F$23:$F$39)</f>
        <v>0</v>
      </c>
      <c r="AA787" s="56">
        <f>_xlfn.XLOOKUP($N787,'Calculo Leads Conveniencia'!$A$77:$A$104,'Calculo Leads Conveniencia'!N$77:N$104)*_xlfn.XLOOKUP($P787,'Base Grupo de Produtos'!$E$23:$E$39,'Base Grupo de Produtos'!$F$23:$F$39)</f>
        <v>0</v>
      </c>
      <c r="AB787" s="56">
        <f>_xlfn.XLOOKUP($N787,'Calculo Leads Conveniencia'!$A$77:$A$104,'Calculo Leads Conveniencia'!O$77:O$104)*_xlfn.XLOOKUP($P787,'Base Grupo de Produtos'!$E$23:$E$39,'Base Grupo de Produtos'!$F$23:$F$39)</f>
        <v>0</v>
      </c>
      <c r="AC787" s="61">
        <f t="shared" si="794"/>
        <v>0</v>
      </c>
      <c r="AD787" s="28"/>
      <c r="AE787" s="12"/>
      <c r="AF787" s="29"/>
      <c r="AG787" s="9"/>
      <c r="AH787" s="10"/>
      <c r="AI787" s="9"/>
      <c r="AJ787" s="11"/>
      <c r="AK787" s="9"/>
      <c r="AL787" s="13"/>
      <c r="AM787" s="9"/>
    </row>
    <row r="788" spans="1:39" x14ac:dyDescent="0.3">
      <c r="A788" s="2" t="str">
        <f t="shared" si="808"/>
        <v>NÃO</v>
      </c>
      <c r="B788" s="2" t="str">
        <f>_xlfn.XLOOKUP($N788,'Base de Grupos'!$A:$A,'Base de Grupos'!$D:$D)</f>
        <v>1000065763</v>
      </c>
      <c r="C788" s="5" t="str">
        <f>_xlfn.XLOOKUP($N788,'Base de Grupos'!$A:$A,'Base de Grupos'!$E:$E)</f>
        <v>CANAL VENDA INTERNA</v>
      </c>
      <c r="D788" s="5" t="str">
        <f>_xlfn.XLOOKUP($N788,'Base de Grupos'!$A:$A,'Base de Grupos'!$F:$F)</f>
        <v>1000065763</v>
      </c>
      <c r="E788" s="2" t="str">
        <f>_xlfn.XLOOKUP($N788,'Base de Grupos'!$A:$A,'Base de Grupos'!$G:$G)</f>
        <v>CANAL VENDA INTERNA</v>
      </c>
      <c r="F788" s="2" t="str">
        <f>_xlfn.XLOOKUP($N788,'Base de Grupos'!$A:$A,'Base de Grupos'!$H:$H)</f>
        <v>1000174119</v>
      </c>
      <c r="G788" s="5" t="str">
        <f>_xlfn.XLOOKUP($N788,'Base de Grupos'!$A:$A,'Base de Grupos'!$I:$I)</f>
        <v>REGIONAL VENDA INTERNA - CONVENIENCIA</v>
      </c>
      <c r="H788" s="5" t="str">
        <f>_xlfn.XLOOKUP($N788,'Base de Grupos'!$A:$A,'Base de Grupos'!$J:$J)</f>
        <v>1000174119</v>
      </c>
      <c r="I788" s="2" t="str">
        <f>_xlfn.XLOOKUP($N788,'Base de Grupos'!$A:$A,'Base de Grupos'!$K:$K)</f>
        <v>REGIONAL VENDA INTERNA - CONVENIENCIA</v>
      </c>
      <c r="J788" s="2" t="str">
        <f>_xlfn.XLOOKUP($N788,'Base de Grupos'!$A:$A,'Base de Grupos'!$L:$L)</f>
        <v>1000174119</v>
      </c>
      <c r="K788" s="5" t="str">
        <f>_xlfn.XLOOKUP($N788,'Base de Grupos'!$A:$A,'Base de Grupos'!$M:$M)</f>
        <v>REGIONAL VENDA INTERNA - CONVENIENCIA</v>
      </c>
      <c r="L788" s="5" t="str">
        <f t="shared" si="809"/>
        <v/>
      </c>
      <c r="M788" s="5" t="str">
        <f>_xlfn.XLOOKUP($N788,'Base de Grupos'!$A:$A,'Base de Grupos'!$C:$C)</f>
        <v>SE</v>
      </c>
      <c r="N788" s="3">
        <v>1508</v>
      </c>
      <c r="O788" s="4" t="s">
        <v>267</v>
      </c>
      <c r="P788" s="5" t="s">
        <v>88</v>
      </c>
      <c r="Q788" s="56">
        <v>0</v>
      </c>
      <c r="R788" s="56">
        <v>0</v>
      </c>
      <c r="S788" s="56">
        <v>0</v>
      </c>
      <c r="T788" s="56">
        <f>_xlfn.XLOOKUP($N788,'Calculo Leads Conveniencia'!$A$77:$A$104,'Calculo Leads Conveniencia'!G$77:G$104)*_xlfn.XLOOKUP($P788,'Base Grupo de Produtos'!$E$23:$E$39,'Base Grupo de Produtos'!$F$23:$F$39)</f>
        <v>0</v>
      </c>
      <c r="U788" s="56">
        <f>_xlfn.XLOOKUP($N788,'Calculo Leads Conveniencia'!$A$77:$A$104,'Calculo Leads Conveniencia'!H$77:H$104)*_xlfn.XLOOKUP($P788,'Base Grupo de Produtos'!$E$23:$E$39,'Base Grupo de Produtos'!$F$23:$F$39)</f>
        <v>0</v>
      </c>
      <c r="V788" s="56">
        <f>_xlfn.XLOOKUP($N788,'Calculo Leads Conveniencia'!$A$77:$A$104,'Calculo Leads Conveniencia'!I$77:I$104)*_xlfn.XLOOKUP($P788,'Base Grupo de Produtos'!$E$23:$E$39,'Base Grupo de Produtos'!$F$23:$F$39)</f>
        <v>0</v>
      </c>
      <c r="W788" s="56">
        <f>_xlfn.XLOOKUP($N788,'Calculo Leads Conveniencia'!$A$77:$A$104,'Calculo Leads Conveniencia'!J$77:J$104)*_xlfn.XLOOKUP($P788,'Base Grupo de Produtos'!$E$23:$E$39,'Base Grupo de Produtos'!$F$23:$F$39)</f>
        <v>0</v>
      </c>
      <c r="X788" s="56">
        <f>_xlfn.XLOOKUP($N788,'Calculo Leads Conveniencia'!$A$77:$A$104,'Calculo Leads Conveniencia'!K$77:K$104)*_xlfn.XLOOKUP($P788,'Base Grupo de Produtos'!$E$23:$E$39,'Base Grupo de Produtos'!$F$23:$F$39)</f>
        <v>0</v>
      </c>
      <c r="Y788" s="56">
        <f>_xlfn.XLOOKUP($N788,'Calculo Leads Conveniencia'!$A$77:$A$104,'Calculo Leads Conveniencia'!L$77:L$104)*_xlfn.XLOOKUP($P788,'Base Grupo de Produtos'!$E$23:$E$39,'Base Grupo de Produtos'!$F$23:$F$39)</f>
        <v>0</v>
      </c>
      <c r="Z788" s="56">
        <f>_xlfn.XLOOKUP($N788,'Calculo Leads Conveniencia'!$A$77:$A$104,'Calculo Leads Conveniencia'!M$77:M$104)*_xlfn.XLOOKUP($P788,'Base Grupo de Produtos'!$E$23:$E$39,'Base Grupo de Produtos'!$F$23:$F$39)</f>
        <v>0</v>
      </c>
      <c r="AA788" s="56">
        <f>_xlfn.XLOOKUP($N788,'Calculo Leads Conveniencia'!$A$77:$A$104,'Calculo Leads Conveniencia'!N$77:N$104)*_xlfn.XLOOKUP($P788,'Base Grupo de Produtos'!$E$23:$E$39,'Base Grupo de Produtos'!$F$23:$F$39)</f>
        <v>0</v>
      </c>
      <c r="AB788" s="56">
        <f>_xlfn.XLOOKUP($N788,'Calculo Leads Conveniencia'!$A$77:$A$104,'Calculo Leads Conveniencia'!O$77:O$104)*_xlfn.XLOOKUP($P788,'Base Grupo de Produtos'!$E$23:$E$39,'Base Grupo de Produtos'!$F$23:$F$39)</f>
        <v>0</v>
      </c>
      <c r="AC788" s="61">
        <f t="shared" si="794"/>
        <v>0</v>
      </c>
      <c r="AD788" s="28"/>
      <c r="AE788" s="12"/>
      <c r="AF788" s="29"/>
      <c r="AG788" s="9"/>
      <c r="AH788" s="10"/>
      <c r="AI788" s="9"/>
      <c r="AJ788" s="11"/>
      <c r="AK788" s="9"/>
      <c r="AL788" s="13"/>
      <c r="AM788" s="9"/>
    </row>
    <row r="789" spans="1:39" x14ac:dyDescent="0.3">
      <c r="A789" s="2" t="str">
        <f t="shared" si="808"/>
        <v>NÃO</v>
      </c>
      <c r="B789" s="2" t="str">
        <f>_xlfn.XLOOKUP($N789,'Base de Grupos'!$A:$A,'Base de Grupos'!$D:$D)</f>
        <v>1000065763</v>
      </c>
      <c r="C789" s="5" t="str">
        <f>_xlfn.XLOOKUP($N789,'Base de Grupos'!$A:$A,'Base de Grupos'!$E:$E)</f>
        <v>CANAL VENDA INTERNA</v>
      </c>
      <c r="D789" s="5" t="str">
        <f>_xlfn.XLOOKUP($N789,'Base de Grupos'!$A:$A,'Base de Grupos'!$F:$F)</f>
        <v>1000065763</v>
      </c>
      <c r="E789" s="2" t="str">
        <f>_xlfn.XLOOKUP($N789,'Base de Grupos'!$A:$A,'Base de Grupos'!$G:$G)</f>
        <v>CANAL VENDA INTERNA</v>
      </c>
      <c r="F789" s="2" t="str">
        <f>_xlfn.XLOOKUP($N789,'Base de Grupos'!$A:$A,'Base de Grupos'!$H:$H)</f>
        <v>1000174119</v>
      </c>
      <c r="G789" s="5" t="str">
        <f>_xlfn.XLOOKUP($N789,'Base de Grupos'!$A:$A,'Base de Grupos'!$I:$I)</f>
        <v>REGIONAL VENDA INTERNA - CONVENIENCIA</v>
      </c>
      <c r="H789" s="5" t="str">
        <f>_xlfn.XLOOKUP($N789,'Base de Grupos'!$A:$A,'Base de Grupos'!$J:$J)</f>
        <v>1000174119</v>
      </c>
      <c r="I789" s="2" t="str">
        <f>_xlfn.XLOOKUP($N789,'Base de Grupos'!$A:$A,'Base de Grupos'!$K:$K)</f>
        <v>REGIONAL VENDA INTERNA - CONVENIENCIA</v>
      </c>
      <c r="J789" s="2" t="str">
        <f>_xlfn.XLOOKUP($N789,'Base de Grupos'!$A:$A,'Base de Grupos'!$L:$L)</f>
        <v>1000174119</v>
      </c>
      <c r="K789" s="5" t="str">
        <f>_xlfn.XLOOKUP($N789,'Base de Grupos'!$A:$A,'Base de Grupos'!$M:$M)</f>
        <v>REGIONAL VENDA INTERNA - CONVENIENCIA</v>
      </c>
      <c r="L789" s="5" t="str">
        <f t="shared" si="809"/>
        <v/>
      </c>
      <c r="M789" s="5" t="str">
        <f>_xlfn.XLOOKUP($N789,'Base de Grupos'!$A:$A,'Base de Grupos'!$C:$C)</f>
        <v>SE</v>
      </c>
      <c r="N789" s="3">
        <v>1508</v>
      </c>
      <c r="O789" s="4" t="s">
        <v>267</v>
      </c>
      <c r="P789" s="5" t="s">
        <v>90</v>
      </c>
      <c r="Q789" s="56">
        <v>0</v>
      </c>
      <c r="R789" s="56">
        <v>0</v>
      </c>
      <c r="S789" s="56">
        <v>0</v>
      </c>
      <c r="T789" s="56">
        <f>_xlfn.XLOOKUP($N789,'Calculo Leads Conveniencia'!$A$77:$A$104,'Calculo Leads Conveniencia'!G$77:G$104)*_xlfn.XLOOKUP($P789,'Base Grupo de Produtos'!$E$23:$E$39,'Base Grupo de Produtos'!$F$23:$F$39)</f>
        <v>0</v>
      </c>
      <c r="U789" s="56">
        <f>_xlfn.XLOOKUP($N789,'Calculo Leads Conveniencia'!$A$77:$A$104,'Calculo Leads Conveniencia'!H$77:H$104)*_xlfn.XLOOKUP($P789,'Base Grupo de Produtos'!$E$23:$E$39,'Base Grupo de Produtos'!$F$23:$F$39)</f>
        <v>0</v>
      </c>
      <c r="V789" s="56">
        <f>_xlfn.XLOOKUP($N789,'Calculo Leads Conveniencia'!$A$77:$A$104,'Calculo Leads Conveniencia'!I$77:I$104)*_xlfn.XLOOKUP($P789,'Base Grupo de Produtos'!$E$23:$E$39,'Base Grupo de Produtos'!$F$23:$F$39)</f>
        <v>0</v>
      </c>
      <c r="W789" s="56">
        <f>_xlfn.XLOOKUP($N789,'Calculo Leads Conveniencia'!$A$77:$A$104,'Calculo Leads Conveniencia'!J$77:J$104)*_xlfn.XLOOKUP($P789,'Base Grupo de Produtos'!$E$23:$E$39,'Base Grupo de Produtos'!$F$23:$F$39)</f>
        <v>0</v>
      </c>
      <c r="X789" s="56">
        <f>_xlfn.XLOOKUP($N789,'Calculo Leads Conveniencia'!$A$77:$A$104,'Calculo Leads Conveniencia'!K$77:K$104)*_xlfn.XLOOKUP($P789,'Base Grupo de Produtos'!$E$23:$E$39,'Base Grupo de Produtos'!$F$23:$F$39)</f>
        <v>0</v>
      </c>
      <c r="Y789" s="56">
        <f>_xlfn.XLOOKUP($N789,'Calculo Leads Conveniencia'!$A$77:$A$104,'Calculo Leads Conveniencia'!L$77:L$104)*_xlfn.XLOOKUP($P789,'Base Grupo de Produtos'!$E$23:$E$39,'Base Grupo de Produtos'!$F$23:$F$39)</f>
        <v>0</v>
      </c>
      <c r="Z789" s="56">
        <f>_xlfn.XLOOKUP($N789,'Calculo Leads Conveniencia'!$A$77:$A$104,'Calculo Leads Conveniencia'!M$77:M$104)*_xlfn.XLOOKUP($P789,'Base Grupo de Produtos'!$E$23:$E$39,'Base Grupo de Produtos'!$F$23:$F$39)</f>
        <v>0</v>
      </c>
      <c r="AA789" s="56">
        <f>_xlfn.XLOOKUP($N789,'Calculo Leads Conveniencia'!$A$77:$A$104,'Calculo Leads Conveniencia'!N$77:N$104)*_xlfn.XLOOKUP($P789,'Base Grupo de Produtos'!$E$23:$E$39,'Base Grupo de Produtos'!$F$23:$F$39)</f>
        <v>0</v>
      </c>
      <c r="AB789" s="56">
        <f>_xlfn.XLOOKUP($N789,'Calculo Leads Conveniencia'!$A$77:$A$104,'Calculo Leads Conveniencia'!O$77:O$104)*_xlfn.XLOOKUP($P789,'Base Grupo de Produtos'!$E$23:$E$39,'Base Grupo de Produtos'!$F$23:$F$39)</f>
        <v>0</v>
      </c>
      <c r="AC789" s="61">
        <f t="shared" si="794"/>
        <v>0</v>
      </c>
      <c r="AD789" s="28"/>
      <c r="AE789" s="12"/>
      <c r="AF789" s="29"/>
      <c r="AG789" s="9"/>
      <c r="AH789" s="10"/>
      <c r="AI789" s="9"/>
      <c r="AJ789" s="11"/>
      <c r="AK789" s="9"/>
      <c r="AL789" s="13"/>
      <c r="AM789" s="9"/>
    </row>
    <row r="790" spans="1:39" x14ac:dyDescent="0.3">
      <c r="A790" s="2" t="str">
        <f t="shared" si="808"/>
        <v>NÃO</v>
      </c>
      <c r="B790" s="2" t="str">
        <f>_xlfn.XLOOKUP($N790,'Base de Grupos'!$A:$A,'Base de Grupos'!$D:$D)</f>
        <v>1000065763</v>
      </c>
      <c r="C790" s="5" t="str">
        <f>_xlfn.XLOOKUP($N790,'Base de Grupos'!$A:$A,'Base de Grupos'!$E:$E)</f>
        <v>CANAL VENDA INTERNA</v>
      </c>
      <c r="D790" s="5" t="str">
        <f>_xlfn.XLOOKUP($N790,'Base de Grupos'!$A:$A,'Base de Grupos'!$F:$F)</f>
        <v>1000065763</v>
      </c>
      <c r="E790" s="2" t="str">
        <f>_xlfn.XLOOKUP($N790,'Base de Grupos'!$A:$A,'Base de Grupos'!$G:$G)</f>
        <v>CANAL VENDA INTERNA</v>
      </c>
      <c r="F790" s="2" t="str">
        <f>_xlfn.XLOOKUP($N790,'Base de Grupos'!$A:$A,'Base de Grupos'!$H:$H)</f>
        <v>1000174119</v>
      </c>
      <c r="G790" s="5" t="str">
        <f>_xlfn.XLOOKUP($N790,'Base de Grupos'!$A:$A,'Base de Grupos'!$I:$I)</f>
        <v>REGIONAL VENDA INTERNA - CONVENIENCIA</v>
      </c>
      <c r="H790" s="5" t="str">
        <f>_xlfn.XLOOKUP($N790,'Base de Grupos'!$A:$A,'Base de Grupos'!$J:$J)</f>
        <v>1000174119</v>
      </c>
      <c r="I790" s="2" t="str">
        <f>_xlfn.XLOOKUP($N790,'Base de Grupos'!$A:$A,'Base de Grupos'!$K:$K)</f>
        <v>REGIONAL VENDA INTERNA - CONVENIENCIA</v>
      </c>
      <c r="J790" s="2" t="str">
        <f>_xlfn.XLOOKUP($N790,'Base de Grupos'!$A:$A,'Base de Grupos'!$L:$L)</f>
        <v>1000174119</v>
      </c>
      <c r="K790" s="5" t="str">
        <f>_xlfn.XLOOKUP($N790,'Base de Grupos'!$A:$A,'Base de Grupos'!$M:$M)</f>
        <v>REGIONAL VENDA INTERNA - CONVENIENCIA</v>
      </c>
      <c r="L790" s="5" t="str">
        <f t="shared" si="809"/>
        <v/>
      </c>
      <c r="M790" s="5" t="str">
        <f>_xlfn.XLOOKUP($N790,'Base de Grupos'!$A:$A,'Base de Grupos'!$C:$C)</f>
        <v>SE</v>
      </c>
      <c r="N790" s="3">
        <v>1508</v>
      </c>
      <c r="O790" s="4" t="s">
        <v>267</v>
      </c>
      <c r="P790" s="5" t="s">
        <v>91</v>
      </c>
      <c r="Q790" s="56">
        <v>0</v>
      </c>
      <c r="R790" s="56">
        <v>0</v>
      </c>
      <c r="S790" s="56">
        <v>0</v>
      </c>
      <c r="T790" s="56">
        <f>_xlfn.XLOOKUP($N790,'Calculo Leads Conveniencia'!$A$77:$A$104,'Calculo Leads Conveniencia'!G$77:G$104)*_xlfn.XLOOKUP($P790,'Base Grupo de Produtos'!$E$23:$E$39,'Base Grupo de Produtos'!$F$23:$F$39)</f>
        <v>0</v>
      </c>
      <c r="U790" s="56">
        <f>_xlfn.XLOOKUP($N790,'Calculo Leads Conveniencia'!$A$77:$A$104,'Calculo Leads Conveniencia'!H$77:H$104)*_xlfn.XLOOKUP($P790,'Base Grupo de Produtos'!$E$23:$E$39,'Base Grupo de Produtos'!$F$23:$F$39)</f>
        <v>0</v>
      </c>
      <c r="V790" s="56">
        <f>_xlfn.XLOOKUP($N790,'Calculo Leads Conveniencia'!$A$77:$A$104,'Calculo Leads Conveniencia'!I$77:I$104)*_xlfn.XLOOKUP($P790,'Base Grupo de Produtos'!$E$23:$E$39,'Base Grupo de Produtos'!$F$23:$F$39)</f>
        <v>0</v>
      </c>
      <c r="W790" s="56">
        <f>_xlfn.XLOOKUP($N790,'Calculo Leads Conveniencia'!$A$77:$A$104,'Calculo Leads Conveniencia'!J$77:J$104)*_xlfn.XLOOKUP($P790,'Base Grupo de Produtos'!$E$23:$E$39,'Base Grupo de Produtos'!$F$23:$F$39)</f>
        <v>0</v>
      </c>
      <c r="X790" s="56">
        <f>_xlfn.XLOOKUP($N790,'Calculo Leads Conveniencia'!$A$77:$A$104,'Calculo Leads Conveniencia'!K$77:K$104)*_xlfn.XLOOKUP($P790,'Base Grupo de Produtos'!$E$23:$E$39,'Base Grupo de Produtos'!$F$23:$F$39)</f>
        <v>0</v>
      </c>
      <c r="Y790" s="56">
        <f>_xlfn.XLOOKUP($N790,'Calculo Leads Conveniencia'!$A$77:$A$104,'Calculo Leads Conveniencia'!L$77:L$104)*_xlfn.XLOOKUP($P790,'Base Grupo de Produtos'!$E$23:$E$39,'Base Grupo de Produtos'!$F$23:$F$39)</f>
        <v>0</v>
      </c>
      <c r="Z790" s="56">
        <f>_xlfn.XLOOKUP($N790,'Calculo Leads Conveniencia'!$A$77:$A$104,'Calculo Leads Conveniencia'!M$77:M$104)*_xlfn.XLOOKUP($P790,'Base Grupo de Produtos'!$E$23:$E$39,'Base Grupo de Produtos'!$F$23:$F$39)</f>
        <v>0</v>
      </c>
      <c r="AA790" s="56">
        <f>_xlfn.XLOOKUP($N790,'Calculo Leads Conveniencia'!$A$77:$A$104,'Calculo Leads Conveniencia'!N$77:N$104)*_xlfn.XLOOKUP($P790,'Base Grupo de Produtos'!$E$23:$E$39,'Base Grupo de Produtos'!$F$23:$F$39)</f>
        <v>0</v>
      </c>
      <c r="AB790" s="56">
        <f>_xlfn.XLOOKUP($N790,'Calculo Leads Conveniencia'!$A$77:$A$104,'Calculo Leads Conveniencia'!O$77:O$104)*_xlfn.XLOOKUP($P790,'Base Grupo de Produtos'!$E$23:$E$39,'Base Grupo de Produtos'!$F$23:$F$39)</f>
        <v>0</v>
      </c>
      <c r="AC790" s="61">
        <f t="shared" si="794"/>
        <v>0</v>
      </c>
      <c r="AD790" s="28"/>
      <c r="AE790" s="12"/>
      <c r="AF790" s="29"/>
      <c r="AG790" s="9"/>
      <c r="AH790" s="10"/>
      <c r="AI790" s="9"/>
      <c r="AJ790" s="11"/>
      <c r="AK790" s="9"/>
      <c r="AL790" s="13"/>
      <c r="AM790" s="9"/>
    </row>
    <row r="791" spans="1:39" x14ac:dyDescent="0.3">
      <c r="A791" s="2" t="str">
        <f t="shared" si="808"/>
        <v>NÃO</v>
      </c>
      <c r="B791" s="2" t="str">
        <f>_xlfn.XLOOKUP($N791,'Base de Grupos'!$A:$A,'Base de Grupos'!$D:$D)</f>
        <v>1000065763</v>
      </c>
      <c r="C791" s="5" t="str">
        <f>_xlfn.XLOOKUP($N791,'Base de Grupos'!$A:$A,'Base de Grupos'!$E:$E)</f>
        <v>CANAL VENDA INTERNA</v>
      </c>
      <c r="D791" s="5" t="str">
        <f>_xlfn.XLOOKUP($N791,'Base de Grupos'!$A:$A,'Base de Grupos'!$F:$F)</f>
        <v>1000065763</v>
      </c>
      <c r="E791" s="2" t="str">
        <f>_xlfn.XLOOKUP($N791,'Base de Grupos'!$A:$A,'Base de Grupos'!$G:$G)</f>
        <v>CANAL VENDA INTERNA</v>
      </c>
      <c r="F791" s="2" t="str">
        <f>_xlfn.XLOOKUP($N791,'Base de Grupos'!$A:$A,'Base de Grupos'!$H:$H)</f>
        <v>1000174119</v>
      </c>
      <c r="G791" s="5" t="str">
        <f>_xlfn.XLOOKUP($N791,'Base de Grupos'!$A:$A,'Base de Grupos'!$I:$I)</f>
        <v>REGIONAL VENDA INTERNA - CONVENIENCIA</v>
      </c>
      <c r="H791" s="5" t="str">
        <f>_xlfn.XLOOKUP($N791,'Base de Grupos'!$A:$A,'Base de Grupos'!$J:$J)</f>
        <v>1000174119</v>
      </c>
      <c r="I791" s="2" t="str">
        <f>_xlfn.XLOOKUP($N791,'Base de Grupos'!$A:$A,'Base de Grupos'!$K:$K)</f>
        <v>REGIONAL VENDA INTERNA - CONVENIENCIA</v>
      </c>
      <c r="J791" s="2" t="str">
        <f>_xlfn.XLOOKUP($N791,'Base de Grupos'!$A:$A,'Base de Grupos'!$L:$L)</f>
        <v>1000174119</v>
      </c>
      <c r="K791" s="5" t="str">
        <f>_xlfn.XLOOKUP($N791,'Base de Grupos'!$A:$A,'Base de Grupos'!$M:$M)</f>
        <v>REGIONAL VENDA INTERNA - CONVENIENCIA</v>
      </c>
      <c r="L791" s="5" t="str">
        <f t="shared" si="809"/>
        <v/>
      </c>
      <c r="M791" s="5" t="str">
        <f>_xlfn.XLOOKUP($N791,'Base de Grupos'!$A:$A,'Base de Grupos'!$C:$C)</f>
        <v>SE</v>
      </c>
      <c r="N791" s="3">
        <v>1508</v>
      </c>
      <c r="O791" s="4" t="s">
        <v>267</v>
      </c>
      <c r="P791" s="5" t="s">
        <v>96</v>
      </c>
      <c r="Q791" s="56">
        <v>0</v>
      </c>
      <c r="R791" s="56">
        <v>0</v>
      </c>
      <c r="S791" s="56">
        <v>0</v>
      </c>
      <c r="T791" s="56">
        <f>_xlfn.XLOOKUP($N791,'Calculo Leads Conveniencia'!$A$77:$A$104,'Calculo Leads Conveniencia'!G$77:G$104)*_xlfn.XLOOKUP($P791,'Base Grupo de Produtos'!$E$23:$E$39,'Base Grupo de Produtos'!$F$23:$F$39)</f>
        <v>0</v>
      </c>
      <c r="U791" s="56">
        <f>_xlfn.XLOOKUP($N791,'Calculo Leads Conveniencia'!$A$77:$A$104,'Calculo Leads Conveniencia'!H$77:H$104)*_xlfn.XLOOKUP($P791,'Base Grupo de Produtos'!$E$23:$E$39,'Base Grupo de Produtos'!$F$23:$F$39)</f>
        <v>0</v>
      </c>
      <c r="V791" s="56">
        <f>_xlfn.XLOOKUP($N791,'Calculo Leads Conveniencia'!$A$77:$A$104,'Calculo Leads Conveniencia'!I$77:I$104)*_xlfn.XLOOKUP($P791,'Base Grupo de Produtos'!$E$23:$E$39,'Base Grupo de Produtos'!$F$23:$F$39)</f>
        <v>0</v>
      </c>
      <c r="W791" s="56">
        <f>_xlfn.XLOOKUP($N791,'Calculo Leads Conveniencia'!$A$77:$A$104,'Calculo Leads Conveniencia'!J$77:J$104)*_xlfn.XLOOKUP($P791,'Base Grupo de Produtos'!$E$23:$E$39,'Base Grupo de Produtos'!$F$23:$F$39)</f>
        <v>0</v>
      </c>
      <c r="X791" s="56">
        <f>_xlfn.XLOOKUP($N791,'Calculo Leads Conveniencia'!$A$77:$A$104,'Calculo Leads Conveniencia'!K$77:K$104)*_xlfn.XLOOKUP($P791,'Base Grupo de Produtos'!$E$23:$E$39,'Base Grupo de Produtos'!$F$23:$F$39)</f>
        <v>0</v>
      </c>
      <c r="Y791" s="56">
        <f>_xlfn.XLOOKUP($N791,'Calculo Leads Conveniencia'!$A$77:$A$104,'Calculo Leads Conveniencia'!L$77:L$104)*_xlfn.XLOOKUP($P791,'Base Grupo de Produtos'!$E$23:$E$39,'Base Grupo de Produtos'!$F$23:$F$39)</f>
        <v>0</v>
      </c>
      <c r="Z791" s="56">
        <f>_xlfn.XLOOKUP($N791,'Calculo Leads Conveniencia'!$A$77:$A$104,'Calculo Leads Conveniencia'!M$77:M$104)*_xlfn.XLOOKUP($P791,'Base Grupo de Produtos'!$E$23:$E$39,'Base Grupo de Produtos'!$F$23:$F$39)</f>
        <v>0</v>
      </c>
      <c r="AA791" s="56">
        <f>_xlfn.XLOOKUP($N791,'Calculo Leads Conveniencia'!$A$77:$A$104,'Calculo Leads Conveniencia'!N$77:N$104)*_xlfn.XLOOKUP($P791,'Base Grupo de Produtos'!$E$23:$E$39,'Base Grupo de Produtos'!$F$23:$F$39)</f>
        <v>0</v>
      </c>
      <c r="AB791" s="56">
        <f>_xlfn.XLOOKUP($N791,'Calculo Leads Conveniencia'!$A$77:$A$104,'Calculo Leads Conveniencia'!O$77:O$104)*_xlfn.XLOOKUP($P791,'Base Grupo de Produtos'!$E$23:$E$39,'Base Grupo de Produtos'!$F$23:$F$39)</f>
        <v>0</v>
      </c>
      <c r="AC791" s="61">
        <f t="shared" si="794"/>
        <v>0</v>
      </c>
      <c r="AD791" s="28"/>
      <c r="AE791" s="12"/>
      <c r="AF791" s="29"/>
      <c r="AG791" s="9"/>
      <c r="AH791" s="10"/>
      <c r="AI791" s="9"/>
      <c r="AJ791" s="11"/>
      <c r="AK791" s="9"/>
      <c r="AL791" s="13"/>
      <c r="AM791" s="9"/>
    </row>
    <row r="792" spans="1:39" x14ac:dyDescent="0.3">
      <c r="A792" s="2" t="str">
        <f t="shared" si="808"/>
        <v>NÃO</v>
      </c>
      <c r="B792" s="2" t="str">
        <f>_xlfn.XLOOKUP($N792,'Base de Grupos'!$A:$A,'Base de Grupos'!$D:$D)</f>
        <v>1000065763</v>
      </c>
      <c r="C792" s="5" t="str">
        <f>_xlfn.XLOOKUP($N792,'Base de Grupos'!$A:$A,'Base de Grupos'!$E:$E)</f>
        <v>CANAL VENDA INTERNA</v>
      </c>
      <c r="D792" s="5" t="str">
        <f>_xlfn.XLOOKUP($N792,'Base de Grupos'!$A:$A,'Base de Grupos'!$F:$F)</f>
        <v>1000065763</v>
      </c>
      <c r="E792" s="2" t="str">
        <f>_xlfn.XLOOKUP($N792,'Base de Grupos'!$A:$A,'Base de Grupos'!$G:$G)</f>
        <v>CANAL VENDA INTERNA</v>
      </c>
      <c r="F792" s="2" t="str">
        <f>_xlfn.XLOOKUP($N792,'Base de Grupos'!$A:$A,'Base de Grupos'!$H:$H)</f>
        <v>1000174119</v>
      </c>
      <c r="G792" s="5" t="str">
        <f>_xlfn.XLOOKUP($N792,'Base de Grupos'!$A:$A,'Base de Grupos'!$I:$I)</f>
        <v>REGIONAL VENDA INTERNA - CONVENIENCIA</v>
      </c>
      <c r="H792" s="5" t="str">
        <f>_xlfn.XLOOKUP($N792,'Base de Grupos'!$A:$A,'Base de Grupos'!$J:$J)</f>
        <v>1000174119</v>
      </c>
      <c r="I792" s="2" t="str">
        <f>_xlfn.XLOOKUP($N792,'Base de Grupos'!$A:$A,'Base de Grupos'!$K:$K)</f>
        <v>REGIONAL VENDA INTERNA - CONVENIENCIA</v>
      </c>
      <c r="J792" s="2" t="str">
        <f>_xlfn.XLOOKUP($N792,'Base de Grupos'!$A:$A,'Base de Grupos'!$L:$L)</f>
        <v>1000174119</v>
      </c>
      <c r="K792" s="5" t="str">
        <f>_xlfn.XLOOKUP($N792,'Base de Grupos'!$A:$A,'Base de Grupos'!$M:$M)</f>
        <v>REGIONAL VENDA INTERNA - CONVENIENCIA</v>
      </c>
      <c r="L792" s="5" t="str">
        <f t="shared" si="809"/>
        <v/>
      </c>
      <c r="M792" s="5" t="str">
        <f>_xlfn.XLOOKUP($N792,'Base de Grupos'!$A:$A,'Base de Grupos'!$C:$C)</f>
        <v>SE</v>
      </c>
      <c r="N792" s="3">
        <v>1508</v>
      </c>
      <c r="O792" s="4" t="s">
        <v>267</v>
      </c>
      <c r="P792" s="5" t="s">
        <v>94</v>
      </c>
      <c r="Q792" s="56">
        <v>0</v>
      </c>
      <c r="R792" s="56">
        <v>0</v>
      </c>
      <c r="S792" s="56">
        <v>0</v>
      </c>
      <c r="T792" s="56">
        <f>_xlfn.XLOOKUP($N792,'Calculo Leads Conveniencia'!$A$77:$A$104,'Calculo Leads Conveniencia'!G$77:G$104)*_xlfn.XLOOKUP($P792,'Base Grupo de Produtos'!$E$23:$E$39,'Base Grupo de Produtos'!$F$23:$F$39)</f>
        <v>0</v>
      </c>
      <c r="U792" s="56">
        <f>_xlfn.XLOOKUP($N792,'Calculo Leads Conveniencia'!$A$77:$A$104,'Calculo Leads Conveniencia'!H$77:H$104)*_xlfn.XLOOKUP($P792,'Base Grupo de Produtos'!$E$23:$E$39,'Base Grupo de Produtos'!$F$23:$F$39)</f>
        <v>0</v>
      </c>
      <c r="V792" s="56">
        <f>_xlfn.XLOOKUP($N792,'Calculo Leads Conveniencia'!$A$77:$A$104,'Calculo Leads Conveniencia'!I$77:I$104)*_xlfn.XLOOKUP($P792,'Base Grupo de Produtos'!$E$23:$E$39,'Base Grupo de Produtos'!$F$23:$F$39)</f>
        <v>0</v>
      </c>
      <c r="W792" s="56">
        <f>_xlfn.XLOOKUP($N792,'Calculo Leads Conveniencia'!$A$77:$A$104,'Calculo Leads Conveniencia'!J$77:J$104)*_xlfn.XLOOKUP($P792,'Base Grupo de Produtos'!$E$23:$E$39,'Base Grupo de Produtos'!$F$23:$F$39)</f>
        <v>0</v>
      </c>
      <c r="X792" s="56">
        <f>_xlfn.XLOOKUP($N792,'Calculo Leads Conveniencia'!$A$77:$A$104,'Calculo Leads Conveniencia'!K$77:K$104)*_xlfn.XLOOKUP($P792,'Base Grupo de Produtos'!$E$23:$E$39,'Base Grupo de Produtos'!$F$23:$F$39)</f>
        <v>0</v>
      </c>
      <c r="Y792" s="56">
        <f>_xlfn.XLOOKUP($N792,'Calculo Leads Conveniencia'!$A$77:$A$104,'Calculo Leads Conveniencia'!L$77:L$104)*_xlfn.XLOOKUP($P792,'Base Grupo de Produtos'!$E$23:$E$39,'Base Grupo de Produtos'!$F$23:$F$39)</f>
        <v>0</v>
      </c>
      <c r="Z792" s="56">
        <f>_xlfn.XLOOKUP($N792,'Calculo Leads Conveniencia'!$A$77:$A$104,'Calculo Leads Conveniencia'!M$77:M$104)*_xlfn.XLOOKUP($P792,'Base Grupo de Produtos'!$E$23:$E$39,'Base Grupo de Produtos'!$F$23:$F$39)</f>
        <v>0</v>
      </c>
      <c r="AA792" s="56">
        <f>_xlfn.XLOOKUP($N792,'Calculo Leads Conveniencia'!$A$77:$A$104,'Calculo Leads Conveniencia'!N$77:N$104)*_xlfn.XLOOKUP($P792,'Base Grupo de Produtos'!$E$23:$E$39,'Base Grupo de Produtos'!$F$23:$F$39)</f>
        <v>0</v>
      </c>
      <c r="AB792" s="56">
        <f>_xlfn.XLOOKUP($N792,'Calculo Leads Conveniencia'!$A$77:$A$104,'Calculo Leads Conveniencia'!O$77:O$104)*_xlfn.XLOOKUP($P792,'Base Grupo de Produtos'!$E$23:$E$39,'Base Grupo de Produtos'!$F$23:$F$39)</f>
        <v>0</v>
      </c>
      <c r="AC792" s="61">
        <f t="shared" si="794"/>
        <v>0</v>
      </c>
      <c r="AD792" s="28"/>
      <c r="AE792" s="12"/>
      <c r="AF792" s="29"/>
      <c r="AG792" s="9"/>
      <c r="AH792" s="10"/>
      <c r="AI792" s="9"/>
      <c r="AJ792" s="11"/>
      <c r="AK792" s="9"/>
      <c r="AL792" s="13"/>
      <c r="AM792" s="9"/>
    </row>
    <row r="793" spans="1:39" x14ac:dyDescent="0.3">
      <c r="A793" s="2" t="str">
        <f t="shared" si="808"/>
        <v>NÃO</v>
      </c>
      <c r="B793" s="2" t="str">
        <f>_xlfn.XLOOKUP($N793,'Base de Grupos'!$A:$A,'Base de Grupos'!$D:$D)</f>
        <v>1000065763</v>
      </c>
      <c r="C793" s="5" t="str">
        <f>_xlfn.XLOOKUP($N793,'Base de Grupos'!$A:$A,'Base de Grupos'!$E:$E)</f>
        <v>CANAL VENDA INTERNA</v>
      </c>
      <c r="D793" s="5" t="str">
        <f>_xlfn.XLOOKUP($N793,'Base de Grupos'!$A:$A,'Base de Grupos'!$F:$F)</f>
        <v>1000065763</v>
      </c>
      <c r="E793" s="2" t="str">
        <f>_xlfn.XLOOKUP($N793,'Base de Grupos'!$A:$A,'Base de Grupos'!$G:$G)</f>
        <v>CANAL VENDA INTERNA</v>
      </c>
      <c r="F793" s="2" t="str">
        <f>_xlfn.XLOOKUP($N793,'Base de Grupos'!$A:$A,'Base de Grupos'!$H:$H)</f>
        <v>1000174119</v>
      </c>
      <c r="G793" s="5" t="str">
        <f>_xlfn.XLOOKUP($N793,'Base de Grupos'!$A:$A,'Base de Grupos'!$I:$I)</f>
        <v>REGIONAL VENDA INTERNA - CONVENIENCIA</v>
      </c>
      <c r="H793" s="5" t="str">
        <f>_xlfn.XLOOKUP($N793,'Base de Grupos'!$A:$A,'Base de Grupos'!$J:$J)</f>
        <v>1000174119</v>
      </c>
      <c r="I793" s="2" t="str">
        <f>_xlfn.XLOOKUP($N793,'Base de Grupos'!$A:$A,'Base de Grupos'!$K:$K)</f>
        <v>REGIONAL VENDA INTERNA - CONVENIENCIA</v>
      </c>
      <c r="J793" s="2" t="str">
        <f>_xlfn.XLOOKUP($N793,'Base de Grupos'!$A:$A,'Base de Grupos'!$L:$L)</f>
        <v>1000174119</v>
      </c>
      <c r="K793" s="5" t="str">
        <f>_xlfn.XLOOKUP($N793,'Base de Grupos'!$A:$A,'Base de Grupos'!$M:$M)</f>
        <v>REGIONAL VENDA INTERNA - CONVENIENCIA</v>
      </c>
      <c r="L793" s="5" t="str">
        <f t="shared" si="809"/>
        <v/>
      </c>
      <c r="M793" s="5" t="str">
        <f>_xlfn.XLOOKUP($N793,'Base de Grupos'!$A:$A,'Base de Grupos'!$C:$C)</f>
        <v>SE</v>
      </c>
      <c r="N793" s="3">
        <v>1508</v>
      </c>
      <c r="O793" s="4" t="s">
        <v>267</v>
      </c>
      <c r="P793" s="5" t="s">
        <v>95</v>
      </c>
      <c r="Q793" s="56">
        <v>0</v>
      </c>
      <c r="R793" s="56">
        <v>0</v>
      </c>
      <c r="S793" s="56">
        <v>0</v>
      </c>
      <c r="T793" s="56">
        <f>_xlfn.XLOOKUP($N793,'Calculo Leads Conveniencia'!$A$77:$A$104,'Calculo Leads Conveniencia'!G$77:G$104)*_xlfn.XLOOKUP($P793,'Base Grupo de Produtos'!$E$23:$E$39,'Base Grupo de Produtos'!$F$23:$F$39)</f>
        <v>0</v>
      </c>
      <c r="U793" s="56">
        <f>_xlfn.XLOOKUP($N793,'Calculo Leads Conveniencia'!$A$77:$A$104,'Calculo Leads Conveniencia'!H$77:H$104)*_xlfn.XLOOKUP($P793,'Base Grupo de Produtos'!$E$23:$E$39,'Base Grupo de Produtos'!$F$23:$F$39)</f>
        <v>0</v>
      </c>
      <c r="V793" s="56">
        <f>_xlfn.XLOOKUP($N793,'Calculo Leads Conveniencia'!$A$77:$A$104,'Calculo Leads Conveniencia'!I$77:I$104)*_xlfn.XLOOKUP($P793,'Base Grupo de Produtos'!$E$23:$E$39,'Base Grupo de Produtos'!$F$23:$F$39)</f>
        <v>0</v>
      </c>
      <c r="W793" s="56">
        <f>_xlfn.XLOOKUP($N793,'Calculo Leads Conveniencia'!$A$77:$A$104,'Calculo Leads Conveniencia'!J$77:J$104)*_xlfn.XLOOKUP($P793,'Base Grupo de Produtos'!$E$23:$E$39,'Base Grupo de Produtos'!$F$23:$F$39)</f>
        <v>0</v>
      </c>
      <c r="X793" s="56">
        <f>_xlfn.XLOOKUP($N793,'Calculo Leads Conveniencia'!$A$77:$A$104,'Calculo Leads Conveniencia'!K$77:K$104)*_xlfn.XLOOKUP($P793,'Base Grupo de Produtos'!$E$23:$E$39,'Base Grupo de Produtos'!$F$23:$F$39)</f>
        <v>0</v>
      </c>
      <c r="Y793" s="56">
        <f>_xlfn.XLOOKUP($N793,'Calculo Leads Conveniencia'!$A$77:$A$104,'Calculo Leads Conveniencia'!L$77:L$104)*_xlfn.XLOOKUP($P793,'Base Grupo de Produtos'!$E$23:$E$39,'Base Grupo de Produtos'!$F$23:$F$39)</f>
        <v>0</v>
      </c>
      <c r="Z793" s="56">
        <f>_xlfn.XLOOKUP($N793,'Calculo Leads Conveniencia'!$A$77:$A$104,'Calculo Leads Conveniencia'!M$77:M$104)*_xlfn.XLOOKUP($P793,'Base Grupo de Produtos'!$E$23:$E$39,'Base Grupo de Produtos'!$F$23:$F$39)</f>
        <v>0</v>
      </c>
      <c r="AA793" s="56">
        <f>_xlfn.XLOOKUP($N793,'Calculo Leads Conveniencia'!$A$77:$A$104,'Calculo Leads Conveniencia'!N$77:N$104)*_xlfn.XLOOKUP($P793,'Base Grupo de Produtos'!$E$23:$E$39,'Base Grupo de Produtos'!$F$23:$F$39)</f>
        <v>0</v>
      </c>
      <c r="AB793" s="56">
        <f>_xlfn.XLOOKUP($N793,'Calculo Leads Conveniencia'!$A$77:$A$104,'Calculo Leads Conveniencia'!O$77:O$104)*_xlfn.XLOOKUP($P793,'Base Grupo de Produtos'!$E$23:$E$39,'Base Grupo de Produtos'!$F$23:$F$39)</f>
        <v>0</v>
      </c>
      <c r="AC793" s="61">
        <f t="shared" si="794"/>
        <v>0</v>
      </c>
      <c r="AD793" s="28"/>
      <c r="AE793" s="12"/>
      <c r="AF793" s="29"/>
      <c r="AG793" s="9"/>
      <c r="AH793" s="10"/>
      <c r="AI793" s="9"/>
      <c r="AJ793" s="11"/>
      <c r="AK793" s="9"/>
      <c r="AL793" s="13"/>
      <c r="AM793" s="9"/>
    </row>
    <row r="794" spans="1:39" x14ac:dyDescent="0.3">
      <c r="A794" s="2" t="str">
        <f t="shared" si="808"/>
        <v>NÃO</v>
      </c>
      <c r="B794" s="2" t="str">
        <f>_xlfn.XLOOKUP($N794,'Base de Grupos'!$A:$A,'Base de Grupos'!$D:$D)</f>
        <v>1000065763</v>
      </c>
      <c r="C794" s="5" t="str">
        <f>_xlfn.XLOOKUP($N794,'Base de Grupos'!$A:$A,'Base de Grupos'!$E:$E)</f>
        <v>CANAL VENDA INTERNA</v>
      </c>
      <c r="D794" s="5" t="str">
        <f>_xlfn.XLOOKUP($N794,'Base de Grupos'!$A:$A,'Base de Grupos'!$F:$F)</f>
        <v>1000065763</v>
      </c>
      <c r="E794" s="2" t="str">
        <f>_xlfn.XLOOKUP($N794,'Base de Grupos'!$A:$A,'Base de Grupos'!$G:$G)</f>
        <v>CANAL VENDA INTERNA</v>
      </c>
      <c r="F794" s="2" t="str">
        <f>_xlfn.XLOOKUP($N794,'Base de Grupos'!$A:$A,'Base de Grupos'!$H:$H)</f>
        <v>1000174119</v>
      </c>
      <c r="G794" s="5" t="str">
        <f>_xlfn.XLOOKUP($N794,'Base de Grupos'!$A:$A,'Base de Grupos'!$I:$I)</f>
        <v>REGIONAL VENDA INTERNA - CONVENIENCIA</v>
      </c>
      <c r="H794" s="5" t="str">
        <f>_xlfn.XLOOKUP($N794,'Base de Grupos'!$A:$A,'Base de Grupos'!$J:$J)</f>
        <v>1000174119</v>
      </c>
      <c r="I794" s="2" t="str">
        <f>_xlfn.XLOOKUP($N794,'Base de Grupos'!$A:$A,'Base de Grupos'!$K:$K)</f>
        <v>REGIONAL VENDA INTERNA - CONVENIENCIA</v>
      </c>
      <c r="J794" s="2" t="str">
        <f>_xlfn.XLOOKUP($N794,'Base de Grupos'!$A:$A,'Base de Grupos'!$L:$L)</f>
        <v>1000174119</v>
      </c>
      <c r="K794" s="5" t="str">
        <f>_xlfn.XLOOKUP($N794,'Base de Grupos'!$A:$A,'Base de Grupos'!$M:$M)</f>
        <v>REGIONAL VENDA INTERNA - CONVENIENCIA</v>
      </c>
      <c r="L794" s="5" t="str">
        <f t="shared" si="809"/>
        <v/>
      </c>
      <c r="M794" s="5" t="str">
        <f>_xlfn.XLOOKUP($N794,'Base de Grupos'!$A:$A,'Base de Grupos'!$C:$C)</f>
        <v>SE</v>
      </c>
      <c r="N794" s="3">
        <v>1508</v>
      </c>
      <c r="O794" s="4" t="s">
        <v>267</v>
      </c>
      <c r="P794" s="5" t="s">
        <v>93</v>
      </c>
      <c r="Q794" s="56">
        <v>0</v>
      </c>
      <c r="R794" s="56">
        <v>0</v>
      </c>
      <c r="S794" s="56">
        <v>0</v>
      </c>
      <c r="T794" s="56">
        <f>_xlfn.XLOOKUP($N794,'Calculo Leads Conveniencia'!$A$77:$A$104,'Calculo Leads Conveniencia'!G$77:G$104)*_xlfn.XLOOKUP($P794,'Base Grupo de Produtos'!$E$23:$E$39,'Base Grupo de Produtos'!$F$23:$F$39)</f>
        <v>0</v>
      </c>
      <c r="U794" s="56">
        <f>_xlfn.XLOOKUP($N794,'Calculo Leads Conveniencia'!$A$77:$A$104,'Calculo Leads Conveniencia'!H$77:H$104)*_xlfn.XLOOKUP($P794,'Base Grupo de Produtos'!$E$23:$E$39,'Base Grupo de Produtos'!$F$23:$F$39)</f>
        <v>0</v>
      </c>
      <c r="V794" s="56">
        <f>_xlfn.XLOOKUP($N794,'Calculo Leads Conveniencia'!$A$77:$A$104,'Calculo Leads Conveniencia'!I$77:I$104)*_xlfn.XLOOKUP($P794,'Base Grupo de Produtos'!$E$23:$E$39,'Base Grupo de Produtos'!$F$23:$F$39)</f>
        <v>0</v>
      </c>
      <c r="W794" s="56">
        <f>_xlfn.XLOOKUP($N794,'Calculo Leads Conveniencia'!$A$77:$A$104,'Calculo Leads Conveniencia'!J$77:J$104)*_xlfn.XLOOKUP($P794,'Base Grupo de Produtos'!$E$23:$E$39,'Base Grupo de Produtos'!$F$23:$F$39)</f>
        <v>0</v>
      </c>
      <c r="X794" s="56">
        <f>_xlfn.XLOOKUP($N794,'Calculo Leads Conveniencia'!$A$77:$A$104,'Calculo Leads Conveniencia'!K$77:K$104)*_xlfn.XLOOKUP($P794,'Base Grupo de Produtos'!$E$23:$E$39,'Base Grupo de Produtos'!$F$23:$F$39)</f>
        <v>0</v>
      </c>
      <c r="Y794" s="56">
        <f>_xlfn.XLOOKUP($N794,'Calculo Leads Conveniencia'!$A$77:$A$104,'Calculo Leads Conveniencia'!L$77:L$104)*_xlfn.XLOOKUP($P794,'Base Grupo de Produtos'!$E$23:$E$39,'Base Grupo de Produtos'!$F$23:$F$39)</f>
        <v>0</v>
      </c>
      <c r="Z794" s="56">
        <f>_xlfn.XLOOKUP($N794,'Calculo Leads Conveniencia'!$A$77:$A$104,'Calculo Leads Conveniencia'!M$77:M$104)*_xlfn.XLOOKUP($P794,'Base Grupo de Produtos'!$E$23:$E$39,'Base Grupo de Produtos'!$F$23:$F$39)</f>
        <v>0</v>
      </c>
      <c r="AA794" s="56">
        <f>_xlfn.XLOOKUP($N794,'Calculo Leads Conveniencia'!$A$77:$A$104,'Calculo Leads Conveniencia'!N$77:N$104)*_xlfn.XLOOKUP($P794,'Base Grupo de Produtos'!$E$23:$E$39,'Base Grupo de Produtos'!$F$23:$F$39)</f>
        <v>0</v>
      </c>
      <c r="AB794" s="56">
        <f>_xlfn.XLOOKUP($N794,'Calculo Leads Conveniencia'!$A$77:$A$104,'Calculo Leads Conveniencia'!O$77:O$104)*_xlfn.XLOOKUP($P794,'Base Grupo de Produtos'!$E$23:$E$39,'Base Grupo de Produtos'!$F$23:$F$39)</f>
        <v>0</v>
      </c>
      <c r="AC794" s="61">
        <f t="shared" si="794"/>
        <v>0</v>
      </c>
      <c r="AD794" s="28"/>
      <c r="AE794" s="12"/>
      <c r="AF794" s="29"/>
      <c r="AG794" s="9"/>
      <c r="AH794" s="10"/>
      <c r="AI794" s="9"/>
      <c r="AJ794" s="11"/>
      <c r="AK794" s="9"/>
      <c r="AL794" s="13"/>
      <c r="AM794" s="9"/>
    </row>
    <row r="795" spans="1:39" x14ac:dyDescent="0.3">
      <c r="A795" s="2" t="str">
        <f t="shared" ref="A795:A858" si="810">IF(L795=1,"SIM","NÃO")</f>
        <v>SIM</v>
      </c>
      <c r="B795" s="2" t="str">
        <f>_xlfn.XLOOKUP($N795,'Base de Grupos'!$A:$A,'Base de Grupos'!$D:$D)</f>
        <v>1000065763</v>
      </c>
      <c r="C795" s="5" t="str">
        <f>_xlfn.XLOOKUP($N795,'Base de Grupos'!$A:$A,'Base de Grupos'!$E:$E)</f>
        <v>CANAL VENDA INTERNA</v>
      </c>
      <c r="D795" s="5" t="str">
        <f>_xlfn.XLOOKUP($N795,'Base de Grupos'!$A:$A,'Base de Grupos'!$F:$F)</f>
        <v>1000065763</v>
      </c>
      <c r="E795" s="2" t="str">
        <f>_xlfn.XLOOKUP($N795,'Base de Grupos'!$A:$A,'Base de Grupos'!$G:$G)</f>
        <v>CANAL VENDA INTERNA</v>
      </c>
      <c r="F795" s="2" t="str">
        <f>_xlfn.XLOOKUP($N795,'Base de Grupos'!$A:$A,'Base de Grupos'!$H:$H)</f>
        <v>1000174119</v>
      </c>
      <c r="G795" s="5" t="str">
        <f>_xlfn.XLOOKUP($N795,'Base de Grupos'!$A:$A,'Base de Grupos'!$I:$I)</f>
        <v>REGIONAL VENDA INTERNA - CONVENIENCIA</v>
      </c>
      <c r="H795" s="5" t="str">
        <f>_xlfn.XLOOKUP($N795,'Base de Grupos'!$A:$A,'Base de Grupos'!$J:$J)</f>
        <v>1000174119</v>
      </c>
      <c r="I795" s="2" t="str">
        <f>_xlfn.XLOOKUP($N795,'Base de Grupos'!$A:$A,'Base de Grupos'!$K:$K)</f>
        <v>REGIONAL VENDA INTERNA - CONVENIENCIA</v>
      </c>
      <c r="J795" s="2" t="str">
        <f>_xlfn.XLOOKUP($N795,'Base de Grupos'!$A:$A,'Base de Grupos'!$L:$L)</f>
        <v>1000174119</v>
      </c>
      <c r="K795" s="5" t="str">
        <f>_xlfn.XLOOKUP($N795,'Base de Grupos'!$A:$A,'Base de Grupos'!$M:$M)</f>
        <v>REGIONAL VENDA INTERNA - CONVENIENCIA</v>
      </c>
      <c r="L795" s="5">
        <f t="shared" ref="L795:L858" si="811">IF(N795&lt;&gt;N794,1,"")</f>
        <v>1</v>
      </c>
      <c r="M795" s="5" t="str">
        <f>_xlfn.XLOOKUP($N795,'Base de Grupos'!$A:$A,'Base de Grupos'!$C:$C)</f>
        <v>PB</v>
      </c>
      <c r="N795" s="3">
        <v>1509</v>
      </c>
      <c r="O795" s="4" t="s">
        <v>268</v>
      </c>
      <c r="P795" s="5" t="s">
        <v>338</v>
      </c>
      <c r="Q795" s="56">
        <f t="shared" ref="Q795" si="812">SUM(Q796:Q812)</f>
        <v>0</v>
      </c>
      <c r="R795" s="56">
        <f t="shared" ref="R795" si="813">SUM(R796:R812)</f>
        <v>0</v>
      </c>
      <c r="S795" s="56">
        <f t="shared" ref="S795" si="814">SUM(S796:S812)</f>
        <v>0</v>
      </c>
      <c r="T795" s="56">
        <f t="shared" ref="T795" si="815">SUM(T796:T812)</f>
        <v>0</v>
      </c>
      <c r="U795" s="56">
        <f t="shared" ref="U795" si="816">SUM(U796:U812)</f>
        <v>0</v>
      </c>
      <c r="V795" s="56">
        <f t="shared" ref="V795" si="817">SUM(V796:V812)</f>
        <v>0</v>
      </c>
      <c r="W795" s="56">
        <f t="shared" ref="W795" si="818">SUM(W796:W812)</f>
        <v>0</v>
      </c>
      <c r="X795" s="56">
        <f t="shared" ref="X795" si="819">SUM(X796:X812)</f>
        <v>0</v>
      </c>
      <c r="Y795" s="56">
        <f t="shared" ref="Y795" si="820">SUM(Y796:Y812)</f>
        <v>0</v>
      </c>
      <c r="Z795" s="56">
        <f t="shared" ref="Z795" si="821">SUM(Z796:Z812)</f>
        <v>0</v>
      </c>
      <c r="AA795" s="56">
        <f t="shared" ref="AA795" si="822">SUM(AA796:AA812)</f>
        <v>0</v>
      </c>
      <c r="AB795" s="56">
        <f t="shared" ref="AB795" si="823">SUM(AB796:AB812)</f>
        <v>0</v>
      </c>
      <c r="AC795" s="56">
        <f t="shared" ref="AC795" si="824">SUM(AC796:AC812)</f>
        <v>0</v>
      </c>
      <c r="AD795" s="28"/>
      <c r="AE795" s="12"/>
      <c r="AF795" s="29"/>
      <c r="AG795" s="9"/>
      <c r="AH795" s="10"/>
      <c r="AI795" s="9"/>
      <c r="AJ795" s="11"/>
      <c r="AK795" s="9"/>
      <c r="AL795" s="13"/>
      <c r="AM795" s="9"/>
    </row>
    <row r="796" spans="1:39" x14ac:dyDescent="0.3">
      <c r="A796" s="2" t="str">
        <f t="shared" si="810"/>
        <v>NÃO</v>
      </c>
      <c r="B796" s="2" t="str">
        <f>_xlfn.XLOOKUP($N796,'Base de Grupos'!$A:$A,'Base de Grupos'!$D:$D)</f>
        <v>1000065763</v>
      </c>
      <c r="C796" s="5" t="str">
        <f>_xlfn.XLOOKUP($N796,'Base de Grupos'!$A:$A,'Base de Grupos'!$E:$E)</f>
        <v>CANAL VENDA INTERNA</v>
      </c>
      <c r="D796" s="5" t="str">
        <f>_xlfn.XLOOKUP($N796,'Base de Grupos'!$A:$A,'Base de Grupos'!$F:$F)</f>
        <v>1000065763</v>
      </c>
      <c r="E796" s="2" t="str">
        <f>_xlfn.XLOOKUP($N796,'Base de Grupos'!$A:$A,'Base de Grupos'!$G:$G)</f>
        <v>CANAL VENDA INTERNA</v>
      </c>
      <c r="F796" s="2" t="str">
        <f>_xlfn.XLOOKUP($N796,'Base de Grupos'!$A:$A,'Base de Grupos'!$H:$H)</f>
        <v>1000174119</v>
      </c>
      <c r="G796" s="5" t="str">
        <f>_xlfn.XLOOKUP($N796,'Base de Grupos'!$A:$A,'Base de Grupos'!$I:$I)</f>
        <v>REGIONAL VENDA INTERNA - CONVENIENCIA</v>
      </c>
      <c r="H796" s="5" t="str">
        <f>_xlfn.XLOOKUP($N796,'Base de Grupos'!$A:$A,'Base de Grupos'!$J:$J)</f>
        <v>1000174119</v>
      </c>
      <c r="I796" s="2" t="str">
        <f>_xlfn.XLOOKUP($N796,'Base de Grupos'!$A:$A,'Base de Grupos'!$K:$K)</f>
        <v>REGIONAL VENDA INTERNA - CONVENIENCIA</v>
      </c>
      <c r="J796" s="2" t="str">
        <f>_xlfn.XLOOKUP($N796,'Base de Grupos'!$A:$A,'Base de Grupos'!$L:$L)</f>
        <v>1000174119</v>
      </c>
      <c r="K796" s="5" t="str">
        <f>_xlfn.XLOOKUP($N796,'Base de Grupos'!$A:$A,'Base de Grupos'!$M:$M)</f>
        <v>REGIONAL VENDA INTERNA - CONVENIENCIA</v>
      </c>
      <c r="L796" s="5" t="str">
        <f t="shared" si="811"/>
        <v/>
      </c>
      <c r="M796" s="5" t="str">
        <f>_xlfn.XLOOKUP($N796,'Base de Grupos'!$A:$A,'Base de Grupos'!$C:$C)</f>
        <v>PB</v>
      </c>
      <c r="N796" s="3">
        <v>1509</v>
      </c>
      <c r="O796" s="4" t="s">
        <v>268</v>
      </c>
      <c r="P796" s="5" t="s">
        <v>81</v>
      </c>
      <c r="Q796" s="56">
        <v>0</v>
      </c>
      <c r="R796" s="56">
        <v>0</v>
      </c>
      <c r="S796" s="56">
        <v>0</v>
      </c>
      <c r="T796" s="56">
        <f>_xlfn.XLOOKUP($N796,'Calculo Leads Conveniencia'!$A$77:$A$104,'Calculo Leads Conveniencia'!G$77:G$104)*_xlfn.XLOOKUP($P796,'Base Grupo de Produtos'!$E$23:$E$39,'Base Grupo de Produtos'!$F$23:$F$39)</f>
        <v>0</v>
      </c>
      <c r="U796" s="56">
        <f>_xlfn.XLOOKUP($N796,'Calculo Leads Conveniencia'!$A$77:$A$104,'Calculo Leads Conveniencia'!H$77:H$104)*_xlfn.XLOOKUP($P796,'Base Grupo de Produtos'!$E$23:$E$39,'Base Grupo de Produtos'!$F$23:$F$39)</f>
        <v>0</v>
      </c>
      <c r="V796" s="56">
        <f>_xlfn.XLOOKUP($N796,'Calculo Leads Conveniencia'!$A$77:$A$104,'Calculo Leads Conveniencia'!I$77:I$104)*_xlfn.XLOOKUP($P796,'Base Grupo de Produtos'!$E$23:$E$39,'Base Grupo de Produtos'!$F$23:$F$39)</f>
        <v>0</v>
      </c>
      <c r="W796" s="56">
        <f>_xlfn.XLOOKUP($N796,'Calculo Leads Conveniencia'!$A$77:$A$104,'Calculo Leads Conveniencia'!J$77:J$104)*_xlfn.XLOOKUP($P796,'Base Grupo de Produtos'!$E$23:$E$39,'Base Grupo de Produtos'!$F$23:$F$39)</f>
        <v>0</v>
      </c>
      <c r="X796" s="56">
        <f>_xlfn.XLOOKUP($N796,'Calculo Leads Conveniencia'!$A$77:$A$104,'Calculo Leads Conveniencia'!K$77:K$104)*_xlfn.XLOOKUP($P796,'Base Grupo de Produtos'!$E$23:$E$39,'Base Grupo de Produtos'!$F$23:$F$39)</f>
        <v>0</v>
      </c>
      <c r="Y796" s="56">
        <f>_xlfn.XLOOKUP($N796,'Calculo Leads Conveniencia'!$A$77:$A$104,'Calculo Leads Conveniencia'!L$77:L$104)*_xlfn.XLOOKUP($P796,'Base Grupo de Produtos'!$E$23:$E$39,'Base Grupo de Produtos'!$F$23:$F$39)</f>
        <v>0</v>
      </c>
      <c r="Z796" s="56">
        <f>_xlfn.XLOOKUP($N796,'Calculo Leads Conveniencia'!$A$77:$A$104,'Calculo Leads Conveniencia'!M$77:M$104)*_xlfn.XLOOKUP($P796,'Base Grupo de Produtos'!$E$23:$E$39,'Base Grupo de Produtos'!$F$23:$F$39)</f>
        <v>0</v>
      </c>
      <c r="AA796" s="56">
        <f>_xlfn.XLOOKUP($N796,'Calculo Leads Conveniencia'!$A$77:$A$104,'Calculo Leads Conveniencia'!N$77:N$104)*_xlfn.XLOOKUP($P796,'Base Grupo de Produtos'!$E$23:$E$39,'Base Grupo de Produtos'!$F$23:$F$39)</f>
        <v>0</v>
      </c>
      <c r="AB796" s="56">
        <f>_xlfn.XLOOKUP($N796,'Calculo Leads Conveniencia'!$A$77:$A$104,'Calculo Leads Conveniencia'!O$77:O$104)*_xlfn.XLOOKUP($P796,'Base Grupo de Produtos'!$E$23:$E$39,'Base Grupo de Produtos'!$F$23:$F$39)</f>
        <v>0</v>
      </c>
      <c r="AC796" s="61">
        <f t="shared" si="794"/>
        <v>0</v>
      </c>
      <c r="AD796" s="28"/>
      <c r="AE796" s="12"/>
      <c r="AF796" s="29"/>
      <c r="AG796" s="9"/>
      <c r="AH796" s="10"/>
      <c r="AI796" s="9"/>
      <c r="AJ796" s="11"/>
      <c r="AK796" s="9"/>
      <c r="AL796" s="13"/>
      <c r="AM796" s="9"/>
    </row>
    <row r="797" spans="1:39" x14ac:dyDescent="0.3">
      <c r="A797" s="2" t="str">
        <f t="shared" si="810"/>
        <v>NÃO</v>
      </c>
      <c r="B797" s="2" t="str">
        <f>_xlfn.XLOOKUP($N797,'Base de Grupos'!$A:$A,'Base de Grupos'!$D:$D)</f>
        <v>1000065763</v>
      </c>
      <c r="C797" s="5" t="str">
        <f>_xlfn.XLOOKUP($N797,'Base de Grupos'!$A:$A,'Base de Grupos'!$E:$E)</f>
        <v>CANAL VENDA INTERNA</v>
      </c>
      <c r="D797" s="5" t="str">
        <f>_xlfn.XLOOKUP($N797,'Base de Grupos'!$A:$A,'Base de Grupos'!$F:$F)</f>
        <v>1000065763</v>
      </c>
      <c r="E797" s="2" t="str">
        <f>_xlfn.XLOOKUP($N797,'Base de Grupos'!$A:$A,'Base de Grupos'!$G:$G)</f>
        <v>CANAL VENDA INTERNA</v>
      </c>
      <c r="F797" s="2" t="str">
        <f>_xlfn.XLOOKUP($N797,'Base de Grupos'!$A:$A,'Base de Grupos'!$H:$H)</f>
        <v>1000174119</v>
      </c>
      <c r="G797" s="5" t="str">
        <f>_xlfn.XLOOKUP($N797,'Base de Grupos'!$A:$A,'Base de Grupos'!$I:$I)</f>
        <v>REGIONAL VENDA INTERNA - CONVENIENCIA</v>
      </c>
      <c r="H797" s="5" t="str">
        <f>_xlfn.XLOOKUP($N797,'Base de Grupos'!$A:$A,'Base de Grupos'!$J:$J)</f>
        <v>1000174119</v>
      </c>
      <c r="I797" s="2" t="str">
        <f>_xlfn.XLOOKUP($N797,'Base de Grupos'!$A:$A,'Base de Grupos'!$K:$K)</f>
        <v>REGIONAL VENDA INTERNA - CONVENIENCIA</v>
      </c>
      <c r="J797" s="2" t="str">
        <f>_xlfn.XLOOKUP($N797,'Base de Grupos'!$A:$A,'Base de Grupos'!$L:$L)</f>
        <v>1000174119</v>
      </c>
      <c r="K797" s="5" t="str">
        <f>_xlfn.XLOOKUP($N797,'Base de Grupos'!$A:$A,'Base de Grupos'!$M:$M)</f>
        <v>REGIONAL VENDA INTERNA - CONVENIENCIA</v>
      </c>
      <c r="L797" s="5" t="str">
        <f t="shared" si="811"/>
        <v/>
      </c>
      <c r="M797" s="5" t="str">
        <f>_xlfn.XLOOKUP($N797,'Base de Grupos'!$A:$A,'Base de Grupos'!$C:$C)</f>
        <v>PB</v>
      </c>
      <c r="N797" s="3">
        <v>1509</v>
      </c>
      <c r="O797" s="4" t="s">
        <v>268</v>
      </c>
      <c r="P797" s="5" t="s">
        <v>82</v>
      </c>
      <c r="Q797" s="56">
        <v>0</v>
      </c>
      <c r="R797" s="56">
        <v>0</v>
      </c>
      <c r="S797" s="56">
        <v>0</v>
      </c>
      <c r="T797" s="56">
        <f>_xlfn.XLOOKUP($N797,'Calculo Leads Conveniencia'!$A$77:$A$104,'Calculo Leads Conveniencia'!G$77:G$104)*_xlfn.XLOOKUP($P797,'Base Grupo de Produtos'!$E$23:$E$39,'Base Grupo de Produtos'!$F$23:$F$39)</f>
        <v>0</v>
      </c>
      <c r="U797" s="56">
        <f>_xlfn.XLOOKUP($N797,'Calculo Leads Conveniencia'!$A$77:$A$104,'Calculo Leads Conveniencia'!H$77:H$104)*_xlfn.XLOOKUP($P797,'Base Grupo de Produtos'!$E$23:$E$39,'Base Grupo de Produtos'!$F$23:$F$39)</f>
        <v>0</v>
      </c>
      <c r="V797" s="56">
        <f>_xlfn.XLOOKUP($N797,'Calculo Leads Conveniencia'!$A$77:$A$104,'Calculo Leads Conveniencia'!I$77:I$104)*_xlfn.XLOOKUP($P797,'Base Grupo de Produtos'!$E$23:$E$39,'Base Grupo de Produtos'!$F$23:$F$39)</f>
        <v>0</v>
      </c>
      <c r="W797" s="56">
        <f>_xlfn.XLOOKUP($N797,'Calculo Leads Conveniencia'!$A$77:$A$104,'Calculo Leads Conveniencia'!J$77:J$104)*_xlfn.XLOOKUP($P797,'Base Grupo de Produtos'!$E$23:$E$39,'Base Grupo de Produtos'!$F$23:$F$39)</f>
        <v>0</v>
      </c>
      <c r="X797" s="56">
        <f>_xlfn.XLOOKUP($N797,'Calculo Leads Conveniencia'!$A$77:$A$104,'Calculo Leads Conveniencia'!K$77:K$104)*_xlfn.XLOOKUP($P797,'Base Grupo de Produtos'!$E$23:$E$39,'Base Grupo de Produtos'!$F$23:$F$39)</f>
        <v>0</v>
      </c>
      <c r="Y797" s="56">
        <f>_xlfn.XLOOKUP($N797,'Calculo Leads Conveniencia'!$A$77:$A$104,'Calculo Leads Conveniencia'!L$77:L$104)*_xlfn.XLOOKUP($P797,'Base Grupo de Produtos'!$E$23:$E$39,'Base Grupo de Produtos'!$F$23:$F$39)</f>
        <v>0</v>
      </c>
      <c r="Z797" s="56">
        <f>_xlfn.XLOOKUP($N797,'Calculo Leads Conveniencia'!$A$77:$A$104,'Calculo Leads Conveniencia'!M$77:M$104)*_xlfn.XLOOKUP($P797,'Base Grupo de Produtos'!$E$23:$E$39,'Base Grupo de Produtos'!$F$23:$F$39)</f>
        <v>0</v>
      </c>
      <c r="AA797" s="56">
        <f>_xlfn.XLOOKUP($N797,'Calculo Leads Conveniencia'!$A$77:$A$104,'Calculo Leads Conveniencia'!N$77:N$104)*_xlfn.XLOOKUP($P797,'Base Grupo de Produtos'!$E$23:$E$39,'Base Grupo de Produtos'!$F$23:$F$39)</f>
        <v>0</v>
      </c>
      <c r="AB797" s="56">
        <f>_xlfn.XLOOKUP($N797,'Calculo Leads Conveniencia'!$A$77:$A$104,'Calculo Leads Conveniencia'!O$77:O$104)*_xlfn.XLOOKUP($P797,'Base Grupo de Produtos'!$E$23:$E$39,'Base Grupo de Produtos'!$F$23:$F$39)</f>
        <v>0</v>
      </c>
      <c r="AC797" s="61">
        <f t="shared" si="794"/>
        <v>0</v>
      </c>
      <c r="AD797" s="28"/>
      <c r="AE797" s="12"/>
      <c r="AF797" s="29"/>
      <c r="AG797" s="9"/>
      <c r="AH797" s="10"/>
      <c r="AI797" s="9"/>
      <c r="AJ797" s="11"/>
      <c r="AK797" s="9"/>
      <c r="AL797" s="13"/>
      <c r="AM797" s="9"/>
    </row>
    <row r="798" spans="1:39" x14ac:dyDescent="0.3">
      <c r="A798" s="2" t="str">
        <f t="shared" si="810"/>
        <v>NÃO</v>
      </c>
      <c r="B798" s="2" t="str">
        <f>_xlfn.XLOOKUP($N798,'Base de Grupos'!$A:$A,'Base de Grupos'!$D:$D)</f>
        <v>1000065763</v>
      </c>
      <c r="C798" s="5" t="str">
        <f>_xlfn.XLOOKUP($N798,'Base de Grupos'!$A:$A,'Base de Grupos'!$E:$E)</f>
        <v>CANAL VENDA INTERNA</v>
      </c>
      <c r="D798" s="5" t="str">
        <f>_xlfn.XLOOKUP($N798,'Base de Grupos'!$A:$A,'Base de Grupos'!$F:$F)</f>
        <v>1000065763</v>
      </c>
      <c r="E798" s="2" t="str">
        <f>_xlfn.XLOOKUP($N798,'Base de Grupos'!$A:$A,'Base de Grupos'!$G:$G)</f>
        <v>CANAL VENDA INTERNA</v>
      </c>
      <c r="F798" s="2" t="str">
        <f>_xlfn.XLOOKUP($N798,'Base de Grupos'!$A:$A,'Base de Grupos'!$H:$H)</f>
        <v>1000174119</v>
      </c>
      <c r="G798" s="5" t="str">
        <f>_xlfn.XLOOKUP($N798,'Base de Grupos'!$A:$A,'Base de Grupos'!$I:$I)</f>
        <v>REGIONAL VENDA INTERNA - CONVENIENCIA</v>
      </c>
      <c r="H798" s="5" t="str">
        <f>_xlfn.XLOOKUP($N798,'Base de Grupos'!$A:$A,'Base de Grupos'!$J:$J)</f>
        <v>1000174119</v>
      </c>
      <c r="I798" s="2" t="str">
        <f>_xlfn.XLOOKUP($N798,'Base de Grupos'!$A:$A,'Base de Grupos'!$K:$K)</f>
        <v>REGIONAL VENDA INTERNA - CONVENIENCIA</v>
      </c>
      <c r="J798" s="2" t="str">
        <f>_xlfn.XLOOKUP($N798,'Base de Grupos'!$A:$A,'Base de Grupos'!$L:$L)</f>
        <v>1000174119</v>
      </c>
      <c r="K798" s="5" t="str">
        <f>_xlfn.XLOOKUP($N798,'Base de Grupos'!$A:$A,'Base de Grupos'!$M:$M)</f>
        <v>REGIONAL VENDA INTERNA - CONVENIENCIA</v>
      </c>
      <c r="L798" s="5" t="str">
        <f t="shared" si="811"/>
        <v/>
      </c>
      <c r="M798" s="5" t="str">
        <f>_xlfn.XLOOKUP($N798,'Base de Grupos'!$A:$A,'Base de Grupos'!$C:$C)</f>
        <v>PB</v>
      </c>
      <c r="N798" s="3">
        <v>1509</v>
      </c>
      <c r="O798" s="4" t="s">
        <v>268</v>
      </c>
      <c r="P798" s="5" t="s">
        <v>84</v>
      </c>
      <c r="Q798" s="56">
        <v>0</v>
      </c>
      <c r="R798" s="56">
        <v>0</v>
      </c>
      <c r="S798" s="56">
        <v>0</v>
      </c>
      <c r="T798" s="56">
        <f>_xlfn.XLOOKUP($N798,'Calculo Leads Conveniencia'!$A$77:$A$104,'Calculo Leads Conveniencia'!G$77:G$104)*_xlfn.XLOOKUP($P798,'Base Grupo de Produtos'!$E$23:$E$39,'Base Grupo de Produtos'!$F$23:$F$39)</f>
        <v>0</v>
      </c>
      <c r="U798" s="56">
        <f>_xlfn.XLOOKUP($N798,'Calculo Leads Conveniencia'!$A$77:$A$104,'Calculo Leads Conveniencia'!H$77:H$104)*_xlfn.XLOOKUP($P798,'Base Grupo de Produtos'!$E$23:$E$39,'Base Grupo de Produtos'!$F$23:$F$39)</f>
        <v>0</v>
      </c>
      <c r="V798" s="56">
        <f>_xlfn.XLOOKUP($N798,'Calculo Leads Conveniencia'!$A$77:$A$104,'Calculo Leads Conveniencia'!I$77:I$104)*_xlfn.XLOOKUP($P798,'Base Grupo de Produtos'!$E$23:$E$39,'Base Grupo de Produtos'!$F$23:$F$39)</f>
        <v>0</v>
      </c>
      <c r="W798" s="56">
        <f>_xlfn.XLOOKUP($N798,'Calculo Leads Conveniencia'!$A$77:$A$104,'Calculo Leads Conveniencia'!J$77:J$104)*_xlfn.XLOOKUP($P798,'Base Grupo de Produtos'!$E$23:$E$39,'Base Grupo de Produtos'!$F$23:$F$39)</f>
        <v>0</v>
      </c>
      <c r="X798" s="56">
        <f>_xlfn.XLOOKUP($N798,'Calculo Leads Conveniencia'!$A$77:$A$104,'Calculo Leads Conveniencia'!K$77:K$104)*_xlfn.XLOOKUP($P798,'Base Grupo de Produtos'!$E$23:$E$39,'Base Grupo de Produtos'!$F$23:$F$39)</f>
        <v>0</v>
      </c>
      <c r="Y798" s="56">
        <f>_xlfn.XLOOKUP($N798,'Calculo Leads Conveniencia'!$A$77:$A$104,'Calculo Leads Conveniencia'!L$77:L$104)*_xlfn.XLOOKUP($P798,'Base Grupo de Produtos'!$E$23:$E$39,'Base Grupo de Produtos'!$F$23:$F$39)</f>
        <v>0</v>
      </c>
      <c r="Z798" s="56">
        <f>_xlfn.XLOOKUP($N798,'Calculo Leads Conveniencia'!$A$77:$A$104,'Calculo Leads Conveniencia'!M$77:M$104)*_xlfn.XLOOKUP($P798,'Base Grupo de Produtos'!$E$23:$E$39,'Base Grupo de Produtos'!$F$23:$F$39)</f>
        <v>0</v>
      </c>
      <c r="AA798" s="56">
        <f>_xlfn.XLOOKUP($N798,'Calculo Leads Conveniencia'!$A$77:$A$104,'Calculo Leads Conveniencia'!N$77:N$104)*_xlfn.XLOOKUP($P798,'Base Grupo de Produtos'!$E$23:$E$39,'Base Grupo de Produtos'!$F$23:$F$39)</f>
        <v>0</v>
      </c>
      <c r="AB798" s="56">
        <f>_xlfn.XLOOKUP($N798,'Calculo Leads Conveniencia'!$A$77:$A$104,'Calculo Leads Conveniencia'!O$77:O$104)*_xlfn.XLOOKUP($P798,'Base Grupo de Produtos'!$E$23:$E$39,'Base Grupo de Produtos'!$F$23:$F$39)</f>
        <v>0</v>
      </c>
      <c r="AC798" s="61">
        <f t="shared" si="794"/>
        <v>0</v>
      </c>
      <c r="AD798" s="28"/>
      <c r="AE798" s="12"/>
      <c r="AF798" s="29"/>
      <c r="AG798" s="9"/>
      <c r="AH798" s="10"/>
      <c r="AI798" s="9"/>
      <c r="AJ798" s="11"/>
      <c r="AK798" s="9"/>
      <c r="AL798" s="13"/>
      <c r="AM798" s="9"/>
    </row>
    <row r="799" spans="1:39" x14ac:dyDescent="0.3">
      <c r="A799" s="2" t="str">
        <f t="shared" si="810"/>
        <v>NÃO</v>
      </c>
      <c r="B799" s="2" t="str">
        <f>_xlfn.XLOOKUP($N799,'Base de Grupos'!$A:$A,'Base de Grupos'!$D:$D)</f>
        <v>1000065763</v>
      </c>
      <c r="C799" s="5" t="str">
        <f>_xlfn.XLOOKUP($N799,'Base de Grupos'!$A:$A,'Base de Grupos'!$E:$E)</f>
        <v>CANAL VENDA INTERNA</v>
      </c>
      <c r="D799" s="5" t="str">
        <f>_xlfn.XLOOKUP($N799,'Base de Grupos'!$A:$A,'Base de Grupos'!$F:$F)</f>
        <v>1000065763</v>
      </c>
      <c r="E799" s="2" t="str">
        <f>_xlfn.XLOOKUP($N799,'Base de Grupos'!$A:$A,'Base de Grupos'!$G:$G)</f>
        <v>CANAL VENDA INTERNA</v>
      </c>
      <c r="F799" s="2" t="str">
        <f>_xlfn.XLOOKUP($N799,'Base de Grupos'!$A:$A,'Base de Grupos'!$H:$H)</f>
        <v>1000174119</v>
      </c>
      <c r="G799" s="5" t="str">
        <f>_xlfn.XLOOKUP($N799,'Base de Grupos'!$A:$A,'Base de Grupos'!$I:$I)</f>
        <v>REGIONAL VENDA INTERNA - CONVENIENCIA</v>
      </c>
      <c r="H799" s="5" t="str">
        <f>_xlfn.XLOOKUP($N799,'Base de Grupos'!$A:$A,'Base de Grupos'!$J:$J)</f>
        <v>1000174119</v>
      </c>
      <c r="I799" s="2" t="str">
        <f>_xlfn.XLOOKUP($N799,'Base de Grupos'!$A:$A,'Base de Grupos'!$K:$K)</f>
        <v>REGIONAL VENDA INTERNA - CONVENIENCIA</v>
      </c>
      <c r="J799" s="2" t="str">
        <f>_xlfn.XLOOKUP($N799,'Base de Grupos'!$A:$A,'Base de Grupos'!$L:$L)</f>
        <v>1000174119</v>
      </c>
      <c r="K799" s="5" t="str">
        <f>_xlfn.XLOOKUP($N799,'Base de Grupos'!$A:$A,'Base de Grupos'!$M:$M)</f>
        <v>REGIONAL VENDA INTERNA - CONVENIENCIA</v>
      </c>
      <c r="L799" s="5" t="str">
        <f t="shared" si="811"/>
        <v/>
      </c>
      <c r="M799" s="5" t="str">
        <f>_xlfn.XLOOKUP($N799,'Base de Grupos'!$A:$A,'Base de Grupos'!$C:$C)</f>
        <v>PB</v>
      </c>
      <c r="N799" s="3">
        <v>1509</v>
      </c>
      <c r="O799" s="4" t="s">
        <v>268</v>
      </c>
      <c r="P799" s="5" t="s">
        <v>83</v>
      </c>
      <c r="Q799" s="56">
        <v>0</v>
      </c>
      <c r="R799" s="56">
        <v>0</v>
      </c>
      <c r="S799" s="56">
        <v>0</v>
      </c>
      <c r="T799" s="56">
        <f>_xlfn.XLOOKUP($N799,'Calculo Leads Conveniencia'!$A$77:$A$104,'Calculo Leads Conveniencia'!G$77:G$104)*_xlfn.XLOOKUP($P799,'Base Grupo de Produtos'!$E$23:$E$39,'Base Grupo de Produtos'!$F$23:$F$39)</f>
        <v>0</v>
      </c>
      <c r="U799" s="56">
        <f>_xlfn.XLOOKUP($N799,'Calculo Leads Conveniencia'!$A$77:$A$104,'Calculo Leads Conveniencia'!H$77:H$104)*_xlfn.XLOOKUP($P799,'Base Grupo de Produtos'!$E$23:$E$39,'Base Grupo de Produtos'!$F$23:$F$39)</f>
        <v>0</v>
      </c>
      <c r="V799" s="56">
        <f>_xlfn.XLOOKUP($N799,'Calculo Leads Conveniencia'!$A$77:$A$104,'Calculo Leads Conveniencia'!I$77:I$104)*_xlfn.XLOOKUP($P799,'Base Grupo de Produtos'!$E$23:$E$39,'Base Grupo de Produtos'!$F$23:$F$39)</f>
        <v>0</v>
      </c>
      <c r="W799" s="56">
        <f>_xlfn.XLOOKUP($N799,'Calculo Leads Conveniencia'!$A$77:$A$104,'Calculo Leads Conveniencia'!J$77:J$104)*_xlfn.XLOOKUP($P799,'Base Grupo de Produtos'!$E$23:$E$39,'Base Grupo de Produtos'!$F$23:$F$39)</f>
        <v>0</v>
      </c>
      <c r="X799" s="56">
        <f>_xlfn.XLOOKUP($N799,'Calculo Leads Conveniencia'!$A$77:$A$104,'Calculo Leads Conveniencia'!K$77:K$104)*_xlfn.XLOOKUP($P799,'Base Grupo de Produtos'!$E$23:$E$39,'Base Grupo de Produtos'!$F$23:$F$39)</f>
        <v>0</v>
      </c>
      <c r="Y799" s="56">
        <f>_xlfn.XLOOKUP($N799,'Calculo Leads Conveniencia'!$A$77:$A$104,'Calculo Leads Conveniencia'!L$77:L$104)*_xlfn.XLOOKUP($P799,'Base Grupo de Produtos'!$E$23:$E$39,'Base Grupo de Produtos'!$F$23:$F$39)</f>
        <v>0</v>
      </c>
      <c r="Z799" s="56">
        <f>_xlfn.XLOOKUP($N799,'Calculo Leads Conveniencia'!$A$77:$A$104,'Calculo Leads Conveniencia'!M$77:M$104)*_xlfn.XLOOKUP($P799,'Base Grupo de Produtos'!$E$23:$E$39,'Base Grupo de Produtos'!$F$23:$F$39)</f>
        <v>0</v>
      </c>
      <c r="AA799" s="56">
        <f>_xlfn.XLOOKUP($N799,'Calculo Leads Conveniencia'!$A$77:$A$104,'Calculo Leads Conveniencia'!N$77:N$104)*_xlfn.XLOOKUP($P799,'Base Grupo de Produtos'!$E$23:$E$39,'Base Grupo de Produtos'!$F$23:$F$39)</f>
        <v>0</v>
      </c>
      <c r="AB799" s="56">
        <f>_xlfn.XLOOKUP($N799,'Calculo Leads Conveniencia'!$A$77:$A$104,'Calculo Leads Conveniencia'!O$77:O$104)*_xlfn.XLOOKUP($P799,'Base Grupo de Produtos'!$E$23:$E$39,'Base Grupo de Produtos'!$F$23:$F$39)</f>
        <v>0</v>
      </c>
      <c r="AC799" s="61">
        <f t="shared" si="794"/>
        <v>0</v>
      </c>
      <c r="AD799" s="28"/>
      <c r="AE799" s="12"/>
      <c r="AF799" s="29"/>
      <c r="AG799" s="9"/>
      <c r="AH799" s="10"/>
      <c r="AI799" s="9"/>
      <c r="AJ799" s="11"/>
      <c r="AK799" s="9"/>
      <c r="AL799" s="13"/>
      <c r="AM799" s="9"/>
    </row>
    <row r="800" spans="1:39" x14ac:dyDescent="0.3">
      <c r="A800" s="2" t="str">
        <f t="shared" si="810"/>
        <v>NÃO</v>
      </c>
      <c r="B800" s="2" t="str">
        <f>_xlfn.XLOOKUP($N800,'Base de Grupos'!$A:$A,'Base de Grupos'!$D:$D)</f>
        <v>1000065763</v>
      </c>
      <c r="C800" s="5" t="str">
        <f>_xlfn.XLOOKUP($N800,'Base de Grupos'!$A:$A,'Base de Grupos'!$E:$E)</f>
        <v>CANAL VENDA INTERNA</v>
      </c>
      <c r="D800" s="5" t="str">
        <f>_xlfn.XLOOKUP($N800,'Base de Grupos'!$A:$A,'Base de Grupos'!$F:$F)</f>
        <v>1000065763</v>
      </c>
      <c r="E800" s="2" t="str">
        <f>_xlfn.XLOOKUP($N800,'Base de Grupos'!$A:$A,'Base de Grupos'!$G:$G)</f>
        <v>CANAL VENDA INTERNA</v>
      </c>
      <c r="F800" s="2" t="str">
        <f>_xlfn.XLOOKUP($N800,'Base de Grupos'!$A:$A,'Base de Grupos'!$H:$H)</f>
        <v>1000174119</v>
      </c>
      <c r="G800" s="5" t="str">
        <f>_xlfn.XLOOKUP($N800,'Base de Grupos'!$A:$A,'Base de Grupos'!$I:$I)</f>
        <v>REGIONAL VENDA INTERNA - CONVENIENCIA</v>
      </c>
      <c r="H800" s="5" t="str">
        <f>_xlfn.XLOOKUP($N800,'Base de Grupos'!$A:$A,'Base de Grupos'!$J:$J)</f>
        <v>1000174119</v>
      </c>
      <c r="I800" s="2" t="str">
        <f>_xlfn.XLOOKUP($N800,'Base de Grupos'!$A:$A,'Base de Grupos'!$K:$K)</f>
        <v>REGIONAL VENDA INTERNA - CONVENIENCIA</v>
      </c>
      <c r="J800" s="2" t="str">
        <f>_xlfn.XLOOKUP($N800,'Base de Grupos'!$A:$A,'Base de Grupos'!$L:$L)</f>
        <v>1000174119</v>
      </c>
      <c r="K800" s="5" t="str">
        <f>_xlfn.XLOOKUP($N800,'Base de Grupos'!$A:$A,'Base de Grupos'!$M:$M)</f>
        <v>REGIONAL VENDA INTERNA - CONVENIENCIA</v>
      </c>
      <c r="L800" s="5" t="str">
        <f t="shared" si="811"/>
        <v/>
      </c>
      <c r="M800" s="5" t="str">
        <f>_xlfn.XLOOKUP($N800,'Base de Grupos'!$A:$A,'Base de Grupos'!$C:$C)</f>
        <v>PB</v>
      </c>
      <c r="N800" s="3">
        <v>1509</v>
      </c>
      <c r="O800" s="4" t="s">
        <v>268</v>
      </c>
      <c r="P800" s="5" t="s">
        <v>87</v>
      </c>
      <c r="Q800" s="56">
        <v>0</v>
      </c>
      <c r="R800" s="56">
        <v>0</v>
      </c>
      <c r="S800" s="56">
        <v>0</v>
      </c>
      <c r="T800" s="56">
        <f>_xlfn.XLOOKUP($N800,'Calculo Leads Conveniencia'!$A$77:$A$104,'Calculo Leads Conveniencia'!G$77:G$104)*_xlfn.XLOOKUP($P800,'Base Grupo de Produtos'!$E$23:$E$39,'Base Grupo de Produtos'!$F$23:$F$39)</f>
        <v>0</v>
      </c>
      <c r="U800" s="56">
        <f>_xlfn.XLOOKUP($N800,'Calculo Leads Conveniencia'!$A$77:$A$104,'Calculo Leads Conveniencia'!H$77:H$104)*_xlfn.XLOOKUP($P800,'Base Grupo de Produtos'!$E$23:$E$39,'Base Grupo de Produtos'!$F$23:$F$39)</f>
        <v>0</v>
      </c>
      <c r="V800" s="56">
        <f>_xlfn.XLOOKUP($N800,'Calculo Leads Conveniencia'!$A$77:$A$104,'Calculo Leads Conveniencia'!I$77:I$104)*_xlfn.XLOOKUP($P800,'Base Grupo de Produtos'!$E$23:$E$39,'Base Grupo de Produtos'!$F$23:$F$39)</f>
        <v>0</v>
      </c>
      <c r="W800" s="56">
        <f>_xlfn.XLOOKUP($N800,'Calculo Leads Conveniencia'!$A$77:$A$104,'Calculo Leads Conveniencia'!J$77:J$104)*_xlfn.XLOOKUP($P800,'Base Grupo de Produtos'!$E$23:$E$39,'Base Grupo de Produtos'!$F$23:$F$39)</f>
        <v>0</v>
      </c>
      <c r="X800" s="56">
        <f>_xlfn.XLOOKUP($N800,'Calculo Leads Conveniencia'!$A$77:$A$104,'Calculo Leads Conveniencia'!K$77:K$104)*_xlfn.XLOOKUP($P800,'Base Grupo de Produtos'!$E$23:$E$39,'Base Grupo de Produtos'!$F$23:$F$39)</f>
        <v>0</v>
      </c>
      <c r="Y800" s="56">
        <f>_xlfn.XLOOKUP($N800,'Calculo Leads Conveniencia'!$A$77:$A$104,'Calculo Leads Conveniencia'!L$77:L$104)*_xlfn.XLOOKUP($P800,'Base Grupo de Produtos'!$E$23:$E$39,'Base Grupo de Produtos'!$F$23:$F$39)</f>
        <v>0</v>
      </c>
      <c r="Z800" s="56">
        <f>_xlfn.XLOOKUP($N800,'Calculo Leads Conveniencia'!$A$77:$A$104,'Calculo Leads Conveniencia'!M$77:M$104)*_xlfn.XLOOKUP($P800,'Base Grupo de Produtos'!$E$23:$E$39,'Base Grupo de Produtos'!$F$23:$F$39)</f>
        <v>0</v>
      </c>
      <c r="AA800" s="56">
        <f>_xlfn.XLOOKUP($N800,'Calculo Leads Conveniencia'!$A$77:$A$104,'Calculo Leads Conveniencia'!N$77:N$104)*_xlfn.XLOOKUP($P800,'Base Grupo de Produtos'!$E$23:$E$39,'Base Grupo de Produtos'!$F$23:$F$39)</f>
        <v>0</v>
      </c>
      <c r="AB800" s="56">
        <f>_xlfn.XLOOKUP($N800,'Calculo Leads Conveniencia'!$A$77:$A$104,'Calculo Leads Conveniencia'!O$77:O$104)*_xlfn.XLOOKUP($P800,'Base Grupo de Produtos'!$E$23:$E$39,'Base Grupo de Produtos'!$F$23:$F$39)</f>
        <v>0</v>
      </c>
      <c r="AC800" s="61">
        <f t="shared" si="794"/>
        <v>0</v>
      </c>
      <c r="AD800" s="28"/>
      <c r="AE800" s="12"/>
      <c r="AF800" s="29"/>
      <c r="AG800" s="9"/>
      <c r="AH800" s="10"/>
      <c r="AI800" s="9"/>
      <c r="AJ800" s="11"/>
      <c r="AK800" s="9"/>
      <c r="AL800" s="13"/>
      <c r="AM800" s="9"/>
    </row>
    <row r="801" spans="1:39" x14ac:dyDescent="0.3">
      <c r="A801" s="2" t="str">
        <f t="shared" si="810"/>
        <v>NÃO</v>
      </c>
      <c r="B801" s="2" t="str">
        <f>_xlfn.XLOOKUP($N801,'Base de Grupos'!$A:$A,'Base de Grupos'!$D:$D)</f>
        <v>1000065763</v>
      </c>
      <c r="C801" s="5" t="str">
        <f>_xlfn.XLOOKUP($N801,'Base de Grupos'!$A:$A,'Base de Grupos'!$E:$E)</f>
        <v>CANAL VENDA INTERNA</v>
      </c>
      <c r="D801" s="5" t="str">
        <f>_xlfn.XLOOKUP($N801,'Base de Grupos'!$A:$A,'Base de Grupos'!$F:$F)</f>
        <v>1000065763</v>
      </c>
      <c r="E801" s="2" t="str">
        <f>_xlfn.XLOOKUP($N801,'Base de Grupos'!$A:$A,'Base de Grupos'!$G:$G)</f>
        <v>CANAL VENDA INTERNA</v>
      </c>
      <c r="F801" s="2" t="str">
        <f>_xlfn.XLOOKUP($N801,'Base de Grupos'!$A:$A,'Base de Grupos'!$H:$H)</f>
        <v>1000174119</v>
      </c>
      <c r="G801" s="5" t="str">
        <f>_xlfn.XLOOKUP($N801,'Base de Grupos'!$A:$A,'Base de Grupos'!$I:$I)</f>
        <v>REGIONAL VENDA INTERNA - CONVENIENCIA</v>
      </c>
      <c r="H801" s="5" t="str">
        <f>_xlfn.XLOOKUP($N801,'Base de Grupos'!$A:$A,'Base de Grupos'!$J:$J)</f>
        <v>1000174119</v>
      </c>
      <c r="I801" s="2" t="str">
        <f>_xlfn.XLOOKUP($N801,'Base de Grupos'!$A:$A,'Base de Grupos'!$K:$K)</f>
        <v>REGIONAL VENDA INTERNA - CONVENIENCIA</v>
      </c>
      <c r="J801" s="2" t="str">
        <f>_xlfn.XLOOKUP($N801,'Base de Grupos'!$A:$A,'Base de Grupos'!$L:$L)</f>
        <v>1000174119</v>
      </c>
      <c r="K801" s="5" t="str">
        <f>_xlfn.XLOOKUP($N801,'Base de Grupos'!$A:$A,'Base de Grupos'!$M:$M)</f>
        <v>REGIONAL VENDA INTERNA - CONVENIENCIA</v>
      </c>
      <c r="L801" s="5" t="str">
        <f t="shared" si="811"/>
        <v/>
      </c>
      <c r="M801" s="5" t="str">
        <f>_xlfn.XLOOKUP($N801,'Base de Grupos'!$A:$A,'Base de Grupos'!$C:$C)</f>
        <v>PB</v>
      </c>
      <c r="N801" s="3">
        <v>1509</v>
      </c>
      <c r="O801" s="4" t="s">
        <v>268</v>
      </c>
      <c r="P801" s="5" t="s">
        <v>85</v>
      </c>
      <c r="Q801" s="56">
        <v>0</v>
      </c>
      <c r="R801" s="56">
        <v>0</v>
      </c>
      <c r="S801" s="56">
        <v>0</v>
      </c>
      <c r="T801" s="56">
        <f>_xlfn.XLOOKUP($N801,'Calculo Leads Conveniencia'!$A$77:$A$104,'Calculo Leads Conveniencia'!G$77:G$104)*_xlfn.XLOOKUP($P801,'Base Grupo de Produtos'!$E$23:$E$39,'Base Grupo de Produtos'!$F$23:$F$39)</f>
        <v>0</v>
      </c>
      <c r="U801" s="56">
        <f>_xlfn.XLOOKUP($N801,'Calculo Leads Conveniencia'!$A$77:$A$104,'Calculo Leads Conveniencia'!H$77:H$104)*_xlfn.XLOOKUP($P801,'Base Grupo de Produtos'!$E$23:$E$39,'Base Grupo de Produtos'!$F$23:$F$39)</f>
        <v>0</v>
      </c>
      <c r="V801" s="56">
        <f>_xlfn.XLOOKUP($N801,'Calculo Leads Conveniencia'!$A$77:$A$104,'Calculo Leads Conveniencia'!I$77:I$104)*_xlfn.XLOOKUP($P801,'Base Grupo de Produtos'!$E$23:$E$39,'Base Grupo de Produtos'!$F$23:$F$39)</f>
        <v>0</v>
      </c>
      <c r="W801" s="56">
        <f>_xlfn.XLOOKUP($N801,'Calculo Leads Conveniencia'!$A$77:$A$104,'Calculo Leads Conveniencia'!J$77:J$104)*_xlfn.XLOOKUP($P801,'Base Grupo de Produtos'!$E$23:$E$39,'Base Grupo de Produtos'!$F$23:$F$39)</f>
        <v>0</v>
      </c>
      <c r="X801" s="56">
        <f>_xlfn.XLOOKUP($N801,'Calculo Leads Conveniencia'!$A$77:$A$104,'Calculo Leads Conveniencia'!K$77:K$104)*_xlfn.XLOOKUP($P801,'Base Grupo de Produtos'!$E$23:$E$39,'Base Grupo de Produtos'!$F$23:$F$39)</f>
        <v>0</v>
      </c>
      <c r="Y801" s="56">
        <f>_xlfn.XLOOKUP($N801,'Calculo Leads Conveniencia'!$A$77:$A$104,'Calculo Leads Conveniencia'!L$77:L$104)*_xlfn.XLOOKUP($P801,'Base Grupo de Produtos'!$E$23:$E$39,'Base Grupo de Produtos'!$F$23:$F$39)</f>
        <v>0</v>
      </c>
      <c r="Z801" s="56">
        <f>_xlfn.XLOOKUP($N801,'Calculo Leads Conveniencia'!$A$77:$A$104,'Calculo Leads Conveniencia'!M$77:M$104)*_xlfn.XLOOKUP($P801,'Base Grupo de Produtos'!$E$23:$E$39,'Base Grupo de Produtos'!$F$23:$F$39)</f>
        <v>0</v>
      </c>
      <c r="AA801" s="56">
        <f>_xlfn.XLOOKUP($N801,'Calculo Leads Conveniencia'!$A$77:$A$104,'Calculo Leads Conveniencia'!N$77:N$104)*_xlfn.XLOOKUP($P801,'Base Grupo de Produtos'!$E$23:$E$39,'Base Grupo de Produtos'!$F$23:$F$39)</f>
        <v>0</v>
      </c>
      <c r="AB801" s="56">
        <f>_xlfn.XLOOKUP($N801,'Calculo Leads Conveniencia'!$A$77:$A$104,'Calculo Leads Conveniencia'!O$77:O$104)*_xlfn.XLOOKUP($P801,'Base Grupo de Produtos'!$E$23:$E$39,'Base Grupo de Produtos'!$F$23:$F$39)</f>
        <v>0</v>
      </c>
      <c r="AC801" s="61">
        <f t="shared" si="794"/>
        <v>0</v>
      </c>
      <c r="AD801" s="28"/>
      <c r="AE801" s="12"/>
      <c r="AF801" s="29"/>
      <c r="AG801" s="9"/>
      <c r="AH801" s="10"/>
      <c r="AI801" s="9"/>
      <c r="AJ801" s="11"/>
      <c r="AK801" s="9"/>
      <c r="AL801" s="13"/>
      <c r="AM801" s="9"/>
    </row>
    <row r="802" spans="1:39" x14ac:dyDescent="0.3">
      <c r="A802" s="2" t="str">
        <f t="shared" si="810"/>
        <v>NÃO</v>
      </c>
      <c r="B802" s="2" t="str">
        <f>_xlfn.XLOOKUP($N802,'Base de Grupos'!$A:$A,'Base de Grupos'!$D:$D)</f>
        <v>1000065763</v>
      </c>
      <c r="C802" s="5" t="str">
        <f>_xlfn.XLOOKUP($N802,'Base de Grupos'!$A:$A,'Base de Grupos'!$E:$E)</f>
        <v>CANAL VENDA INTERNA</v>
      </c>
      <c r="D802" s="5" t="str">
        <f>_xlfn.XLOOKUP($N802,'Base de Grupos'!$A:$A,'Base de Grupos'!$F:$F)</f>
        <v>1000065763</v>
      </c>
      <c r="E802" s="2" t="str">
        <f>_xlfn.XLOOKUP($N802,'Base de Grupos'!$A:$A,'Base de Grupos'!$G:$G)</f>
        <v>CANAL VENDA INTERNA</v>
      </c>
      <c r="F802" s="2" t="str">
        <f>_xlfn.XLOOKUP($N802,'Base de Grupos'!$A:$A,'Base de Grupos'!$H:$H)</f>
        <v>1000174119</v>
      </c>
      <c r="G802" s="5" t="str">
        <f>_xlfn.XLOOKUP($N802,'Base de Grupos'!$A:$A,'Base de Grupos'!$I:$I)</f>
        <v>REGIONAL VENDA INTERNA - CONVENIENCIA</v>
      </c>
      <c r="H802" s="5" t="str">
        <f>_xlfn.XLOOKUP($N802,'Base de Grupos'!$A:$A,'Base de Grupos'!$J:$J)</f>
        <v>1000174119</v>
      </c>
      <c r="I802" s="2" t="str">
        <f>_xlfn.XLOOKUP($N802,'Base de Grupos'!$A:$A,'Base de Grupos'!$K:$K)</f>
        <v>REGIONAL VENDA INTERNA - CONVENIENCIA</v>
      </c>
      <c r="J802" s="2" t="str">
        <f>_xlfn.XLOOKUP($N802,'Base de Grupos'!$A:$A,'Base de Grupos'!$L:$L)</f>
        <v>1000174119</v>
      </c>
      <c r="K802" s="5" t="str">
        <f>_xlfn.XLOOKUP($N802,'Base de Grupos'!$A:$A,'Base de Grupos'!$M:$M)</f>
        <v>REGIONAL VENDA INTERNA - CONVENIENCIA</v>
      </c>
      <c r="L802" s="5" t="str">
        <f t="shared" si="811"/>
        <v/>
      </c>
      <c r="M802" s="5" t="str">
        <f>_xlfn.XLOOKUP($N802,'Base de Grupos'!$A:$A,'Base de Grupos'!$C:$C)</f>
        <v>PB</v>
      </c>
      <c r="N802" s="3">
        <v>1509</v>
      </c>
      <c r="O802" s="4" t="s">
        <v>268</v>
      </c>
      <c r="P802" s="5" t="s">
        <v>92</v>
      </c>
      <c r="Q802" s="56">
        <v>0</v>
      </c>
      <c r="R802" s="56">
        <v>0</v>
      </c>
      <c r="S802" s="56">
        <v>0</v>
      </c>
      <c r="T802" s="56">
        <f>_xlfn.XLOOKUP($N802,'Calculo Leads Conveniencia'!$A$77:$A$104,'Calculo Leads Conveniencia'!G$77:G$104)*_xlfn.XLOOKUP($P802,'Base Grupo de Produtos'!$E$23:$E$39,'Base Grupo de Produtos'!$F$23:$F$39)</f>
        <v>0</v>
      </c>
      <c r="U802" s="56">
        <f>_xlfn.XLOOKUP($N802,'Calculo Leads Conveniencia'!$A$77:$A$104,'Calculo Leads Conveniencia'!H$77:H$104)*_xlfn.XLOOKUP($P802,'Base Grupo de Produtos'!$E$23:$E$39,'Base Grupo de Produtos'!$F$23:$F$39)</f>
        <v>0</v>
      </c>
      <c r="V802" s="56">
        <f>_xlfn.XLOOKUP($N802,'Calculo Leads Conveniencia'!$A$77:$A$104,'Calculo Leads Conveniencia'!I$77:I$104)*_xlfn.XLOOKUP($P802,'Base Grupo de Produtos'!$E$23:$E$39,'Base Grupo de Produtos'!$F$23:$F$39)</f>
        <v>0</v>
      </c>
      <c r="W802" s="56">
        <f>_xlfn.XLOOKUP($N802,'Calculo Leads Conveniencia'!$A$77:$A$104,'Calculo Leads Conveniencia'!J$77:J$104)*_xlfn.XLOOKUP($P802,'Base Grupo de Produtos'!$E$23:$E$39,'Base Grupo de Produtos'!$F$23:$F$39)</f>
        <v>0</v>
      </c>
      <c r="X802" s="56">
        <f>_xlfn.XLOOKUP($N802,'Calculo Leads Conveniencia'!$A$77:$A$104,'Calculo Leads Conveniencia'!K$77:K$104)*_xlfn.XLOOKUP($P802,'Base Grupo de Produtos'!$E$23:$E$39,'Base Grupo de Produtos'!$F$23:$F$39)</f>
        <v>0</v>
      </c>
      <c r="Y802" s="56">
        <f>_xlfn.XLOOKUP($N802,'Calculo Leads Conveniencia'!$A$77:$A$104,'Calculo Leads Conveniencia'!L$77:L$104)*_xlfn.XLOOKUP($P802,'Base Grupo de Produtos'!$E$23:$E$39,'Base Grupo de Produtos'!$F$23:$F$39)</f>
        <v>0</v>
      </c>
      <c r="Z802" s="56">
        <f>_xlfn.XLOOKUP($N802,'Calculo Leads Conveniencia'!$A$77:$A$104,'Calculo Leads Conveniencia'!M$77:M$104)*_xlfn.XLOOKUP($P802,'Base Grupo de Produtos'!$E$23:$E$39,'Base Grupo de Produtos'!$F$23:$F$39)</f>
        <v>0</v>
      </c>
      <c r="AA802" s="56">
        <f>_xlfn.XLOOKUP($N802,'Calculo Leads Conveniencia'!$A$77:$A$104,'Calculo Leads Conveniencia'!N$77:N$104)*_xlfn.XLOOKUP($P802,'Base Grupo de Produtos'!$E$23:$E$39,'Base Grupo de Produtos'!$F$23:$F$39)</f>
        <v>0</v>
      </c>
      <c r="AB802" s="56">
        <f>_xlfn.XLOOKUP($N802,'Calculo Leads Conveniencia'!$A$77:$A$104,'Calculo Leads Conveniencia'!O$77:O$104)*_xlfn.XLOOKUP($P802,'Base Grupo de Produtos'!$E$23:$E$39,'Base Grupo de Produtos'!$F$23:$F$39)</f>
        <v>0</v>
      </c>
      <c r="AC802" s="61">
        <f t="shared" si="794"/>
        <v>0</v>
      </c>
      <c r="AD802" s="28"/>
      <c r="AE802" s="12"/>
      <c r="AF802" s="29"/>
      <c r="AG802" s="9"/>
      <c r="AH802" s="10"/>
      <c r="AI802" s="9"/>
      <c r="AJ802" s="11"/>
      <c r="AK802" s="9"/>
      <c r="AL802" s="13"/>
      <c r="AM802" s="9"/>
    </row>
    <row r="803" spans="1:39" x14ac:dyDescent="0.3">
      <c r="A803" s="2" t="str">
        <f t="shared" si="810"/>
        <v>NÃO</v>
      </c>
      <c r="B803" s="2" t="str">
        <f>_xlfn.XLOOKUP($N803,'Base de Grupos'!$A:$A,'Base de Grupos'!$D:$D)</f>
        <v>1000065763</v>
      </c>
      <c r="C803" s="5" t="str">
        <f>_xlfn.XLOOKUP($N803,'Base de Grupos'!$A:$A,'Base de Grupos'!$E:$E)</f>
        <v>CANAL VENDA INTERNA</v>
      </c>
      <c r="D803" s="5" t="str">
        <f>_xlfn.XLOOKUP($N803,'Base de Grupos'!$A:$A,'Base de Grupos'!$F:$F)</f>
        <v>1000065763</v>
      </c>
      <c r="E803" s="2" t="str">
        <f>_xlfn.XLOOKUP($N803,'Base de Grupos'!$A:$A,'Base de Grupos'!$G:$G)</f>
        <v>CANAL VENDA INTERNA</v>
      </c>
      <c r="F803" s="2" t="str">
        <f>_xlfn.XLOOKUP($N803,'Base de Grupos'!$A:$A,'Base de Grupos'!$H:$H)</f>
        <v>1000174119</v>
      </c>
      <c r="G803" s="5" t="str">
        <f>_xlfn.XLOOKUP($N803,'Base de Grupos'!$A:$A,'Base de Grupos'!$I:$I)</f>
        <v>REGIONAL VENDA INTERNA - CONVENIENCIA</v>
      </c>
      <c r="H803" s="5" t="str">
        <f>_xlfn.XLOOKUP($N803,'Base de Grupos'!$A:$A,'Base de Grupos'!$J:$J)</f>
        <v>1000174119</v>
      </c>
      <c r="I803" s="2" t="str">
        <f>_xlfn.XLOOKUP($N803,'Base de Grupos'!$A:$A,'Base de Grupos'!$K:$K)</f>
        <v>REGIONAL VENDA INTERNA - CONVENIENCIA</v>
      </c>
      <c r="J803" s="2" t="str">
        <f>_xlfn.XLOOKUP($N803,'Base de Grupos'!$A:$A,'Base de Grupos'!$L:$L)</f>
        <v>1000174119</v>
      </c>
      <c r="K803" s="5" t="str">
        <f>_xlfn.XLOOKUP($N803,'Base de Grupos'!$A:$A,'Base de Grupos'!$M:$M)</f>
        <v>REGIONAL VENDA INTERNA - CONVENIENCIA</v>
      </c>
      <c r="L803" s="5" t="str">
        <f t="shared" si="811"/>
        <v/>
      </c>
      <c r="M803" s="5" t="str">
        <f>_xlfn.XLOOKUP($N803,'Base de Grupos'!$A:$A,'Base de Grupos'!$C:$C)</f>
        <v>PB</v>
      </c>
      <c r="N803" s="3">
        <v>1509</v>
      </c>
      <c r="O803" s="4" t="s">
        <v>268</v>
      </c>
      <c r="P803" s="5" t="s">
        <v>86</v>
      </c>
      <c r="Q803" s="56">
        <v>0</v>
      </c>
      <c r="R803" s="56">
        <v>0</v>
      </c>
      <c r="S803" s="56">
        <v>0</v>
      </c>
      <c r="T803" s="56">
        <f>_xlfn.XLOOKUP($N803,'Calculo Leads Conveniencia'!$A$77:$A$104,'Calculo Leads Conveniencia'!G$77:G$104)*_xlfn.XLOOKUP($P803,'Base Grupo de Produtos'!$E$23:$E$39,'Base Grupo de Produtos'!$F$23:$F$39)</f>
        <v>0</v>
      </c>
      <c r="U803" s="56">
        <f>_xlfn.XLOOKUP($N803,'Calculo Leads Conveniencia'!$A$77:$A$104,'Calculo Leads Conveniencia'!H$77:H$104)*_xlfn.XLOOKUP($P803,'Base Grupo de Produtos'!$E$23:$E$39,'Base Grupo de Produtos'!$F$23:$F$39)</f>
        <v>0</v>
      </c>
      <c r="V803" s="56">
        <f>_xlfn.XLOOKUP($N803,'Calculo Leads Conveniencia'!$A$77:$A$104,'Calculo Leads Conveniencia'!I$77:I$104)*_xlfn.XLOOKUP($P803,'Base Grupo de Produtos'!$E$23:$E$39,'Base Grupo de Produtos'!$F$23:$F$39)</f>
        <v>0</v>
      </c>
      <c r="W803" s="56">
        <f>_xlfn.XLOOKUP($N803,'Calculo Leads Conveniencia'!$A$77:$A$104,'Calculo Leads Conveniencia'!J$77:J$104)*_xlfn.XLOOKUP($P803,'Base Grupo de Produtos'!$E$23:$E$39,'Base Grupo de Produtos'!$F$23:$F$39)</f>
        <v>0</v>
      </c>
      <c r="X803" s="56">
        <f>_xlfn.XLOOKUP($N803,'Calculo Leads Conveniencia'!$A$77:$A$104,'Calculo Leads Conveniencia'!K$77:K$104)*_xlfn.XLOOKUP($P803,'Base Grupo de Produtos'!$E$23:$E$39,'Base Grupo de Produtos'!$F$23:$F$39)</f>
        <v>0</v>
      </c>
      <c r="Y803" s="56">
        <f>_xlfn.XLOOKUP($N803,'Calculo Leads Conveniencia'!$A$77:$A$104,'Calculo Leads Conveniencia'!L$77:L$104)*_xlfn.XLOOKUP($P803,'Base Grupo de Produtos'!$E$23:$E$39,'Base Grupo de Produtos'!$F$23:$F$39)</f>
        <v>0</v>
      </c>
      <c r="Z803" s="56">
        <f>_xlfn.XLOOKUP($N803,'Calculo Leads Conveniencia'!$A$77:$A$104,'Calculo Leads Conveniencia'!M$77:M$104)*_xlfn.XLOOKUP($P803,'Base Grupo de Produtos'!$E$23:$E$39,'Base Grupo de Produtos'!$F$23:$F$39)</f>
        <v>0</v>
      </c>
      <c r="AA803" s="56">
        <f>_xlfn.XLOOKUP($N803,'Calculo Leads Conveniencia'!$A$77:$A$104,'Calculo Leads Conveniencia'!N$77:N$104)*_xlfn.XLOOKUP($P803,'Base Grupo de Produtos'!$E$23:$E$39,'Base Grupo de Produtos'!$F$23:$F$39)</f>
        <v>0</v>
      </c>
      <c r="AB803" s="56">
        <f>_xlfn.XLOOKUP($N803,'Calculo Leads Conveniencia'!$A$77:$A$104,'Calculo Leads Conveniencia'!O$77:O$104)*_xlfn.XLOOKUP($P803,'Base Grupo de Produtos'!$E$23:$E$39,'Base Grupo de Produtos'!$F$23:$F$39)</f>
        <v>0</v>
      </c>
      <c r="AC803" s="61">
        <f t="shared" si="794"/>
        <v>0</v>
      </c>
      <c r="AD803" s="28"/>
      <c r="AE803" s="12"/>
      <c r="AF803" s="29"/>
      <c r="AG803" s="9"/>
      <c r="AH803" s="10"/>
      <c r="AI803" s="9"/>
      <c r="AJ803" s="11"/>
      <c r="AK803" s="9"/>
      <c r="AL803" s="13"/>
      <c r="AM803" s="9"/>
    </row>
    <row r="804" spans="1:39" x14ac:dyDescent="0.3">
      <c r="A804" s="2" t="str">
        <f t="shared" si="810"/>
        <v>NÃO</v>
      </c>
      <c r="B804" s="2" t="str">
        <f>_xlfn.XLOOKUP($N804,'Base de Grupos'!$A:$A,'Base de Grupos'!$D:$D)</f>
        <v>1000065763</v>
      </c>
      <c r="C804" s="5" t="str">
        <f>_xlfn.XLOOKUP($N804,'Base de Grupos'!$A:$A,'Base de Grupos'!$E:$E)</f>
        <v>CANAL VENDA INTERNA</v>
      </c>
      <c r="D804" s="5" t="str">
        <f>_xlfn.XLOOKUP($N804,'Base de Grupos'!$A:$A,'Base de Grupos'!$F:$F)</f>
        <v>1000065763</v>
      </c>
      <c r="E804" s="2" t="str">
        <f>_xlfn.XLOOKUP($N804,'Base de Grupos'!$A:$A,'Base de Grupos'!$G:$G)</f>
        <v>CANAL VENDA INTERNA</v>
      </c>
      <c r="F804" s="2" t="str">
        <f>_xlfn.XLOOKUP($N804,'Base de Grupos'!$A:$A,'Base de Grupos'!$H:$H)</f>
        <v>1000174119</v>
      </c>
      <c r="G804" s="5" t="str">
        <f>_xlfn.XLOOKUP($N804,'Base de Grupos'!$A:$A,'Base de Grupos'!$I:$I)</f>
        <v>REGIONAL VENDA INTERNA - CONVENIENCIA</v>
      </c>
      <c r="H804" s="5" t="str">
        <f>_xlfn.XLOOKUP($N804,'Base de Grupos'!$A:$A,'Base de Grupos'!$J:$J)</f>
        <v>1000174119</v>
      </c>
      <c r="I804" s="2" t="str">
        <f>_xlfn.XLOOKUP($N804,'Base de Grupos'!$A:$A,'Base de Grupos'!$K:$K)</f>
        <v>REGIONAL VENDA INTERNA - CONVENIENCIA</v>
      </c>
      <c r="J804" s="2" t="str">
        <f>_xlfn.XLOOKUP($N804,'Base de Grupos'!$A:$A,'Base de Grupos'!$L:$L)</f>
        <v>1000174119</v>
      </c>
      <c r="K804" s="5" t="str">
        <f>_xlfn.XLOOKUP($N804,'Base de Grupos'!$A:$A,'Base de Grupos'!$M:$M)</f>
        <v>REGIONAL VENDA INTERNA - CONVENIENCIA</v>
      </c>
      <c r="L804" s="5" t="str">
        <f t="shared" si="811"/>
        <v/>
      </c>
      <c r="M804" s="5" t="str">
        <f>_xlfn.XLOOKUP($N804,'Base de Grupos'!$A:$A,'Base de Grupos'!$C:$C)</f>
        <v>PB</v>
      </c>
      <c r="N804" s="3">
        <v>1509</v>
      </c>
      <c r="O804" s="4" t="s">
        <v>268</v>
      </c>
      <c r="P804" s="5" t="s">
        <v>108</v>
      </c>
      <c r="Q804" s="56">
        <v>0</v>
      </c>
      <c r="R804" s="56">
        <v>0</v>
      </c>
      <c r="S804" s="56">
        <v>0</v>
      </c>
      <c r="T804" s="56">
        <f>_xlfn.XLOOKUP($N804,'Calculo Leads Conveniencia'!$A$77:$A$104,'Calculo Leads Conveniencia'!G$77:G$104)*_xlfn.XLOOKUP($P804,'Base Grupo de Produtos'!$E$23:$E$39,'Base Grupo de Produtos'!$F$23:$F$39)</f>
        <v>0</v>
      </c>
      <c r="U804" s="56">
        <f>_xlfn.XLOOKUP($N804,'Calculo Leads Conveniencia'!$A$77:$A$104,'Calculo Leads Conveniencia'!H$77:H$104)*_xlfn.XLOOKUP($P804,'Base Grupo de Produtos'!$E$23:$E$39,'Base Grupo de Produtos'!$F$23:$F$39)</f>
        <v>0</v>
      </c>
      <c r="V804" s="56">
        <f>_xlfn.XLOOKUP($N804,'Calculo Leads Conveniencia'!$A$77:$A$104,'Calculo Leads Conveniencia'!I$77:I$104)*_xlfn.XLOOKUP($P804,'Base Grupo de Produtos'!$E$23:$E$39,'Base Grupo de Produtos'!$F$23:$F$39)</f>
        <v>0</v>
      </c>
      <c r="W804" s="56">
        <f>_xlfn.XLOOKUP($N804,'Calculo Leads Conveniencia'!$A$77:$A$104,'Calculo Leads Conveniencia'!J$77:J$104)*_xlfn.XLOOKUP($P804,'Base Grupo de Produtos'!$E$23:$E$39,'Base Grupo de Produtos'!$F$23:$F$39)</f>
        <v>0</v>
      </c>
      <c r="X804" s="56">
        <f>_xlfn.XLOOKUP($N804,'Calculo Leads Conveniencia'!$A$77:$A$104,'Calculo Leads Conveniencia'!K$77:K$104)*_xlfn.XLOOKUP($P804,'Base Grupo de Produtos'!$E$23:$E$39,'Base Grupo de Produtos'!$F$23:$F$39)</f>
        <v>0</v>
      </c>
      <c r="Y804" s="56">
        <f>_xlfn.XLOOKUP($N804,'Calculo Leads Conveniencia'!$A$77:$A$104,'Calculo Leads Conveniencia'!L$77:L$104)*_xlfn.XLOOKUP($P804,'Base Grupo de Produtos'!$E$23:$E$39,'Base Grupo de Produtos'!$F$23:$F$39)</f>
        <v>0</v>
      </c>
      <c r="Z804" s="56">
        <f>_xlfn.XLOOKUP($N804,'Calculo Leads Conveniencia'!$A$77:$A$104,'Calculo Leads Conveniencia'!M$77:M$104)*_xlfn.XLOOKUP($P804,'Base Grupo de Produtos'!$E$23:$E$39,'Base Grupo de Produtos'!$F$23:$F$39)</f>
        <v>0</v>
      </c>
      <c r="AA804" s="56">
        <f>_xlfn.XLOOKUP($N804,'Calculo Leads Conveniencia'!$A$77:$A$104,'Calculo Leads Conveniencia'!N$77:N$104)*_xlfn.XLOOKUP($P804,'Base Grupo de Produtos'!$E$23:$E$39,'Base Grupo de Produtos'!$F$23:$F$39)</f>
        <v>0</v>
      </c>
      <c r="AB804" s="56">
        <f>_xlfn.XLOOKUP($N804,'Calculo Leads Conveniencia'!$A$77:$A$104,'Calculo Leads Conveniencia'!O$77:O$104)*_xlfn.XLOOKUP($P804,'Base Grupo de Produtos'!$E$23:$E$39,'Base Grupo de Produtos'!$F$23:$F$39)</f>
        <v>0</v>
      </c>
      <c r="AC804" s="61">
        <f t="shared" si="794"/>
        <v>0</v>
      </c>
      <c r="AD804" s="28"/>
      <c r="AE804" s="12"/>
      <c r="AF804" s="29"/>
      <c r="AG804" s="9"/>
      <c r="AH804" s="10"/>
      <c r="AI804" s="9"/>
      <c r="AJ804" s="11"/>
      <c r="AK804" s="9"/>
      <c r="AL804" s="13"/>
      <c r="AM804" s="9"/>
    </row>
    <row r="805" spans="1:39" x14ac:dyDescent="0.3">
      <c r="A805" s="2" t="str">
        <f t="shared" si="810"/>
        <v>NÃO</v>
      </c>
      <c r="B805" s="2" t="str">
        <f>_xlfn.XLOOKUP($N805,'Base de Grupos'!$A:$A,'Base de Grupos'!$D:$D)</f>
        <v>1000065763</v>
      </c>
      <c r="C805" s="5" t="str">
        <f>_xlfn.XLOOKUP($N805,'Base de Grupos'!$A:$A,'Base de Grupos'!$E:$E)</f>
        <v>CANAL VENDA INTERNA</v>
      </c>
      <c r="D805" s="5" t="str">
        <f>_xlfn.XLOOKUP($N805,'Base de Grupos'!$A:$A,'Base de Grupos'!$F:$F)</f>
        <v>1000065763</v>
      </c>
      <c r="E805" s="2" t="str">
        <f>_xlfn.XLOOKUP($N805,'Base de Grupos'!$A:$A,'Base de Grupos'!$G:$G)</f>
        <v>CANAL VENDA INTERNA</v>
      </c>
      <c r="F805" s="2" t="str">
        <f>_xlfn.XLOOKUP($N805,'Base de Grupos'!$A:$A,'Base de Grupos'!$H:$H)</f>
        <v>1000174119</v>
      </c>
      <c r="G805" s="5" t="str">
        <f>_xlfn.XLOOKUP($N805,'Base de Grupos'!$A:$A,'Base de Grupos'!$I:$I)</f>
        <v>REGIONAL VENDA INTERNA - CONVENIENCIA</v>
      </c>
      <c r="H805" s="5" t="str">
        <f>_xlfn.XLOOKUP($N805,'Base de Grupos'!$A:$A,'Base de Grupos'!$J:$J)</f>
        <v>1000174119</v>
      </c>
      <c r="I805" s="2" t="str">
        <f>_xlfn.XLOOKUP($N805,'Base de Grupos'!$A:$A,'Base de Grupos'!$K:$K)</f>
        <v>REGIONAL VENDA INTERNA - CONVENIENCIA</v>
      </c>
      <c r="J805" s="2" t="str">
        <f>_xlfn.XLOOKUP($N805,'Base de Grupos'!$A:$A,'Base de Grupos'!$L:$L)</f>
        <v>1000174119</v>
      </c>
      <c r="K805" s="5" t="str">
        <f>_xlfn.XLOOKUP($N805,'Base de Grupos'!$A:$A,'Base de Grupos'!$M:$M)</f>
        <v>REGIONAL VENDA INTERNA - CONVENIENCIA</v>
      </c>
      <c r="L805" s="5" t="str">
        <f t="shared" si="811"/>
        <v/>
      </c>
      <c r="M805" s="5" t="str">
        <f>_xlfn.XLOOKUP($N805,'Base de Grupos'!$A:$A,'Base de Grupos'!$C:$C)</f>
        <v>PB</v>
      </c>
      <c r="N805" s="3">
        <v>1509</v>
      </c>
      <c r="O805" s="4" t="s">
        <v>268</v>
      </c>
      <c r="P805" s="5" t="s">
        <v>89</v>
      </c>
      <c r="Q805" s="56">
        <v>0</v>
      </c>
      <c r="R805" s="56">
        <v>0</v>
      </c>
      <c r="S805" s="56">
        <v>0</v>
      </c>
      <c r="T805" s="56">
        <f>_xlfn.XLOOKUP($N805,'Calculo Leads Conveniencia'!$A$77:$A$104,'Calculo Leads Conveniencia'!G$77:G$104)*_xlfn.XLOOKUP($P805,'Base Grupo de Produtos'!$E$23:$E$39,'Base Grupo de Produtos'!$F$23:$F$39)</f>
        <v>0</v>
      </c>
      <c r="U805" s="56">
        <f>_xlfn.XLOOKUP($N805,'Calculo Leads Conveniencia'!$A$77:$A$104,'Calculo Leads Conveniencia'!H$77:H$104)*_xlfn.XLOOKUP($P805,'Base Grupo de Produtos'!$E$23:$E$39,'Base Grupo de Produtos'!$F$23:$F$39)</f>
        <v>0</v>
      </c>
      <c r="V805" s="56">
        <f>_xlfn.XLOOKUP($N805,'Calculo Leads Conveniencia'!$A$77:$A$104,'Calculo Leads Conveniencia'!I$77:I$104)*_xlfn.XLOOKUP($P805,'Base Grupo de Produtos'!$E$23:$E$39,'Base Grupo de Produtos'!$F$23:$F$39)</f>
        <v>0</v>
      </c>
      <c r="W805" s="56">
        <f>_xlfn.XLOOKUP($N805,'Calculo Leads Conveniencia'!$A$77:$A$104,'Calculo Leads Conveniencia'!J$77:J$104)*_xlfn.XLOOKUP($P805,'Base Grupo de Produtos'!$E$23:$E$39,'Base Grupo de Produtos'!$F$23:$F$39)</f>
        <v>0</v>
      </c>
      <c r="X805" s="56">
        <f>_xlfn.XLOOKUP($N805,'Calculo Leads Conveniencia'!$A$77:$A$104,'Calculo Leads Conveniencia'!K$77:K$104)*_xlfn.XLOOKUP($P805,'Base Grupo de Produtos'!$E$23:$E$39,'Base Grupo de Produtos'!$F$23:$F$39)</f>
        <v>0</v>
      </c>
      <c r="Y805" s="56">
        <f>_xlfn.XLOOKUP($N805,'Calculo Leads Conveniencia'!$A$77:$A$104,'Calculo Leads Conveniencia'!L$77:L$104)*_xlfn.XLOOKUP($P805,'Base Grupo de Produtos'!$E$23:$E$39,'Base Grupo de Produtos'!$F$23:$F$39)</f>
        <v>0</v>
      </c>
      <c r="Z805" s="56">
        <f>_xlfn.XLOOKUP($N805,'Calculo Leads Conveniencia'!$A$77:$A$104,'Calculo Leads Conveniencia'!M$77:M$104)*_xlfn.XLOOKUP($P805,'Base Grupo de Produtos'!$E$23:$E$39,'Base Grupo de Produtos'!$F$23:$F$39)</f>
        <v>0</v>
      </c>
      <c r="AA805" s="56">
        <f>_xlfn.XLOOKUP($N805,'Calculo Leads Conveniencia'!$A$77:$A$104,'Calculo Leads Conveniencia'!N$77:N$104)*_xlfn.XLOOKUP($P805,'Base Grupo de Produtos'!$E$23:$E$39,'Base Grupo de Produtos'!$F$23:$F$39)</f>
        <v>0</v>
      </c>
      <c r="AB805" s="56">
        <f>_xlfn.XLOOKUP($N805,'Calculo Leads Conveniencia'!$A$77:$A$104,'Calculo Leads Conveniencia'!O$77:O$104)*_xlfn.XLOOKUP($P805,'Base Grupo de Produtos'!$E$23:$E$39,'Base Grupo de Produtos'!$F$23:$F$39)</f>
        <v>0</v>
      </c>
      <c r="AC805" s="61">
        <f t="shared" si="794"/>
        <v>0</v>
      </c>
      <c r="AD805" s="28"/>
      <c r="AE805" s="12"/>
      <c r="AF805" s="29"/>
      <c r="AG805" s="9"/>
      <c r="AH805" s="10"/>
      <c r="AI805" s="9"/>
      <c r="AJ805" s="11"/>
      <c r="AK805" s="9"/>
      <c r="AL805" s="13"/>
      <c r="AM805" s="9"/>
    </row>
    <row r="806" spans="1:39" x14ac:dyDescent="0.3">
      <c r="A806" s="2" t="str">
        <f t="shared" si="810"/>
        <v>NÃO</v>
      </c>
      <c r="B806" s="2" t="str">
        <f>_xlfn.XLOOKUP($N806,'Base de Grupos'!$A:$A,'Base de Grupos'!$D:$D)</f>
        <v>1000065763</v>
      </c>
      <c r="C806" s="5" t="str">
        <f>_xlfn.XLOOKUP($N806,'Base de Grupos'!$A:$A,'Base de Grupos'!$E:$E)</f>
        <v>CANAL VENDA INTERNA</v>
      </c>
      <c r="D806" s="5" t="str">
        <f>_xlfn.XLOOKUP($N806,'Base de Grupos'!$A:$A,'Base de Grupos'!$F:$F)</f>
        <v>1000065763</v>
      </c>
      <c r="E806" s="2" t="str">
        <f>_xlfn.XLOOKUP($N806,'Base de Grupos'!$A:$A,'Base de Grupos'!$G:$G)</f>
        <v>CANAL VENDA INTERNA</v>
      </c>
      <c r="F806" s="2" t="str">
        <f>_xlfn.XLOOKUP($N806,'Base de Grupos'!$A:$A,'Base de Grupos'!$H:$H)</f>
        <v>1000174119</v>
      </c>
      <c r="G806" s="5" t="str">
        <f>_xlfn.XLOOKUP($N806,'Base de Grupos'!$A:$A,'Base de Grupos'!$I:$I)</f>
        <v>REGIONAL VENDA INTERNA - CONVENIENCIA</v>
      </c>
      <c r="H806" s="5" t="str">
        <f>_xlfn.XLOOKUP($N806,'Base de Grupos'!$A:$A,'Base de Grupos'!$J:$J)</f>
        <v>1000174119</v>
      </c>
      <c r="I806" s="2" t="str">
        <f>_xlfn.XLOOKUP($N806,'Base de Grupos'!$A:$A,'Base de Grupos'!$K:$K)</f>
        <v>REGIONAL VENDA INTERNA - CONVENIENCIA</v>
      </c>
      <c r="J806" s="2" t="str">
        <f>_xlfn.XLOOKUP($N806,'Base de Grupos'!$A:$A,'Base de Grupos'!$L:$L)</f>
        <v>1000174119</v>
      </c>
      <c r="K806" s="5" t="str">
        <f>_xlfn.XLOOKUP($N806,'Base de Grupos'!$A:$A,'Base de Grupos'!$M:$M)</f>
        <v>REGIONAL VENDA INTERNA - CONVENIENCIA</v>
      </c>
      <c r="L806" s="5" t="str">
        <f t="shared" si="811"/>
        <v/>
      </c>
      <c r="M806" s="5" t="str">
        <f>_xlfn.XLOOKUP($N806,'Base de Grupos'!$A:$A,'Base de Grupos'!$C:$C)</f>
        <v>PB</v>
      </c>
      <c r="N806" s="3">
        <v>1509</v>
      </c>
      <c r="O806" s="4" t="s">
        <v>268</v>
      </c>
      <c r="P806" s="5" t="s">
        <v>88</v>
      </c>
      <c r="Q806" s="56">
        <v>0</v>
      </c>
      <c r="R806" s="56">
        <v>0</v>
      </c>
      <c r="S806" s="56">
        <v>0</v>
      </c>
      <c r="T806" s="56">
        <f>_xlfn.XLOOKUP($N806,'Calculo Leads Conveniencia'!$A$77:$A$104,'Calculo Leads Conveniencia'!G$77:G$104)*_xlfn.XLOOKUP($P806,'Base Grupo de Produtos'!$E$23:$E$39,'Base Grupo de Produtos'!$F$23:$F$39)</f>
        <v>0</v>
      </c>
      <c r="U806" s="56">
        <f>_xlfn.XLOOKUP($N806,'Calculo Leads Conveniencia'!$A$77:$A$104,'Calculo Leads Conveniencia'!H$77:H$104)*_xlfn.XLOOKUP($P806,'Base Grupo de Produtos'!$E$23:$E$39,'Base Grupo de Produtos'!$F$23:$F$39)</f>
        <v>0</v>
      </c>
      <c r="V806" s="56">
        <f>_xlfn.XLOOKUP($N806,'Calculo Leads Conveniencia'!$A$77:$A$104,'Calculo Leads Conveniencia'!I$77:I$104)*_xlfn.XLOOKUP($P806,'Base Grupo de Produtos'!$E$23:$E$39,'Base Grupo de Produtos'!$F$23:$F$39)</f>
        <v>0</v>
      </c>
      <c r="W806" s="56">
        <f>_xlfn.XLOOKUP($N806,'Calculo Leads Conveniencia'!$A$77:$A$104,'Calculo Leads Conveniencia'!J$77:J$104)*_xlfn.XLOOKUP($P806,'Base Grupo de Produtos'!$E$23:$E$39,'Base Grupo de Produtos'!$F$23:$F$39)</f>
        <v>0</v>
      </c>
      <c r="X806" s="56">
        <f>_xlfn.XLOOKUP($N806,'Calculo Leads Conveniencia'!$A$77:$A$104,'Calculo Leads Conveniencia'!K$77:K$104)*_xlfn.XLOOKUP($P806,'Base Grupo de Produtos'!$E$23:$E$39,'Base Grupo de Produtos'!$F$23:$F$39)</f>
        <v>0</v>
      </c>
      <c r="Y806" s="56">
        <f>_xlfn.XLOOKUP($N806,'Calculo Leads Conveniencia'!$A$77:$A$104,'Calculo Leads Conveniencia'!L$77:L$104)*_xlfn.XLOOKUP($P806,'Base Grupo de Produtos'!$E$23:$E$39,'Base Grupo de Produtos'!$F$23:$F$39)</f>
        <v>0</v>
      </c>
      <c r="Z806" s="56">
        <f>_xlfn.XLOOKUP($N806,'Calculo Leads Conveniencia'!$A$77:$A$104,'Calculo Leads Conveniencia'!M$77:M$104)*_xlfn.XLOOKUP($P806,'Base Grupo de Produtos'!$E$23:$E$39,'Base Grupo de Produtos'!$F$23:$F$39)</f>
        <v>0</v>
      </c>
      <c r="AA806" s="56">
        <f>_xlfn.XLOOKUP($N806,'Calculo Leads Conveniencia'!$A$77:$A$104,'Calculo Leads Conveniencia'!N$77:N$104)*_xlfn.XLOOKUP($P806,'Base Grupo de Produtos'!$E$23:$E$39,'Base Grupo de Produtos'!$F$23:$F$39)</f>
        <v>0</v>
      </c>
      <c r="AB806" s="56">
        <f>_xlfn.XLOOKUP($N806,'Calculo Leads Conveniencia'!$A$77:$A$104,'Calculo Leads Conveniencia'!O$77:O$104)*_xlfn.XLOOKUP($P806,'Base Grupo de Produtos'!$E$23:$E$39,'Base Grupo de Produtos'!$F$23:$F$39)</f>
        <v>0</v>
      </c>
      <c r="AC806" s="61">
        <f t="shared" si="794"/>
        <v>0</v>
      </c>
      <c r="AD806" s="28"/>
      <c r="AE806" s="12"/>
      <c r="AF806" s="29"/>
      <c r="AG806" s="9"/>
      <c r="AH806" s="10"/>
      <c r="AI806" s="9"/>
      <c r="AJ806" s="11"/>
      <c r="AK806" s="9"/>
      <c r="AL806" s="13"/>
      <c r="AM806" s="9"/>
    </row>
    <row r="807" spans="1:39" x14ac:dyDescent="0.3">
      <c r="A807" s="2" t="str">
        <f t="shared" si="810"/>
        <v>NÃO</v>
      </c>
      <c r="B807" s="2" t="str">
        <f>_xlfn.XLOOKUP($N807,'Base de Grupos'!$A:$A,'Base de Grupos'!$D:$D)</f>
        <v>1000065763</v>
      </c>
      <c r="C807" s="5" t="str">
        <f>_xlfn.XLOOKUP($N807,'Base de Grupos'!$A:$A,'Base de Grupos'!$E:$E)</f>
        <v>CANAL VENDA INTERNA</v>
      </c>
      <c r="D807" s="5" t="str">
        <f>_xlfn.XLOOKUP($N807,'Base de Grupos'!$A:$A,'Base de Grupos'!$F:$F)</f>
        <v>1000065763</v>
      </c>
      <c r="E807" s="2" t="str">
        <f>_xlfn.XLOOKUP($N807,'Base de Grupos'!$A:$A,'Base de Grupos'!$G:$G)</f>
        <v>CANAL VENDA INTERNA</v>
      </c>
      <c r="F807" s="2" t="str">
        <f>_xlfn.XLOOKUP($N807,'Base de Grupos'!$A:$A,'Base de Grupos'!$H:$H)</f>
        <v>1000174119</v>
      </c>
      <c r="G807" s="5" t="str">
        <f>_xlfn.XLOOKUP($N807,'Base de Grupos'!$A:$A,'Base de Grupos'!$I:$I)</f>
        <v>REGIONAL VENDA INTERNA - CONVENIENCIA</v>
      </c>
      <c r="H807" s="5" t="str">
        <f>_xlfn.XLOOKUP($N807,'Base de Grupos'!$A:$A,'Base de Grupos'!$J:$J)</f>
        <v>1000174119</v>
      </c>
      <c r="I807" s="2" t="str">
        <f>_xlfn.XLOOKUP($N807,'Base de Grupos'!$A:$A,'Base de Grupos'!$K:$K)</f>
        <v>REGIONAL VENDA INTERNA - CONVENIENCIA</v>
      </c>
      <c r="J807" s="2" t="str">
        <f>_xlfn.XLOOKUP($N807,'Base de Grupos'!$A:$A,'Base de Grupos'!$L:$L)</f>
        <v>1000174119</v>
      </c>
      <c r="K807" s="5" t="str">
        <f>_xlfn.XLOOKUP($N807,'Base de Grupos'!$A:$A,'Base de Grupos'!$M:$M)</f>
        <v>REGIONAL VENDA INTERNA - CONVENIENCIA</v>
      </c>
      <c r="L807" s="5" t="str">
        <f t="shared" si="811"/>
        <v/>
      </c>
      <c r="M807" s="5" t="str">
        <f>_xlfn.XLOOKUP($N807,'Base de Grupos'!$A:$A,'Base de Grupos'!$C:$C)</f>
        <v>PB</v>
      </c>
      <c r="N807" s="3">
        <v>1509</v>
      </c>
      <c r="O807" s="4" t="s">
        <v>268</v>
      </c>
      <c r="P807" s="5" t="s">
        <v>90</v>
      </c>
      <c r="Q807" s="56">
        <v>0</v>
      </c>
      <c r="R807" s="56">
        <v>0</v>
      </c>
      <c r="S807" s="56">
        <v>0</v>
      </c>
      <c r="T807" s="56">
        <f>_xlfn.XLOOKUP($N807,'Calculo Leads Conveniencia'!$A$77:$A$104,'Calculo Leads Conveniencia'!G$77:G$104)*_xlfn.XLOOKUP($P807,'Base Grupo de Produtos'!$E$23:$E$39,'Base Grupo de Produtos'!$F$23:$F$39)</f>
        <v>0</v>
      </c>
      <c r="U807" s="56">
        <f>_xlfn.XLOOKUP($N807,'Calculo Leads Conveniencia'!$A$77:$A$104,'Calculo Leads Conveniencia'!H$77:H$104)*_xlfn.XLOOKUP($P807,'Base Grupo de Produtos'!$E$23:$E$39,'Base Grupo de Produtos'!$F$23:$F$39)</f>
        <v>0</v>
      </c>
      <c r="V807" s="56">
        <f>_xlfn.XLOOKUP($N807,'Calculo Leads Conveniencia'!$A$77:$A$104,'Calculo Leads Conveniencia'!I$77:I$104)*_xlfn.XLOOKUP($P807,'Base Grupo de Produtos'!$E$23:$E$39,'Base Grupo de Produtos'!$F$23:$F$39)</f>
        <v>0</v>
      </c>
      <c r="W807" s="56">
        <f>_xlfn.XLOOKUP($N807,'Calculo Leads Conveniencia'!$A$77:$A$104,'Calculo Leads Conveniencia'!J$77:J$104)*_xlfn.XLOOKUP($P807,'Base Grupo de Produtos'!$E$23:$E$39,'Base Grupo de Produtos'!$F$23:$F$39)</f>
        <v>0</v>
      </c>
      <c r="X807" s="56">
        <f>_xlfn.XLOOKUP($N807,'Calculo Leads Conveniencia'!$A$77:$A$104,'Calculo Leads Conveniencia'!K$77:K$104)*_xlfn.XLOOKUP($P807,'Base Grupo de Produtos'!$E$23:$E$39,'Base Grupo de Produtos'!$F$23:$F$39)</f>
        <v>0</v>
      </c>
      <c r="Y807" s="56">
        <f>_xlfn.XLOOKUP($N807,'Calculo Leads Conveniencia'!$A$77:$A$104,'Calculo Leads Conveniencia'!L$77:L$104)*_xlfn.XLOOKUP($P807,'Base Grupo de Produtos'!$E$23:$E$39,'Base Grupo de Produtos'!$F$23:$F$39)</f>
        <v>0</v>
      </c>
      <c r="Z807" s="56">
        <f>_xlfn.XLOOKUP($N807,'Calculo Leads Conveniencia'!$A$77:$A$104,'Calculo Leads Conveniencia'!M$77:M$104)*_xlfn.XLOOKUP($P807,'Base Grupo de Produtos'!$E$23:$E$39,'Base Grupo de Produtos'!$F$23:$F$39)</f>
        <v>0</v>
      </c>
      <c r="AA807" s="56">
        <f>_xlfn.XLOOKUP($N807,'Calculo Leads Conveniencia'!$A$77:$A$104,'Calculo Leads Conveniencia'!N$77:N$104)*_xlfn.XLOOKUP($P807,'Base Grupo de Produtos'!$E$23:$E$39,'Base Grupo de Produtos'!$F$23:$F$39)</f>
        <v>0</v>
      </c>
      <c r="AB807" s="56">
        <f>_xlfn.XLOOKUP($N807,'Calculo Leads Conveniencia'!$A$77:$A$104,'Calculo Leads Conveniencia'!O$77:O$104)*_xlfn.XLOOKUP($P807,'Base Grupo de Produtos'!$E$23:$E$39,'Base Grupo de Produtos'!$F$23:$F$39)</f>
        <v>0</v>
      </c>
      <c r="AC807" s="61">
        <f t="shared" si="794"/>
        <v>0</v>
      </c>
      <c r="AD807" s="28"/>
      <c r="AE807" s="12"/>
      <c r="AF807" s="29"/>
      <c r="AG807" s="9"/>
      <c r="AH807" s="10"/>
      <c r="AI807" s="9"/>
      <c r="AJ807" s="11"/>
      <c r="AK807" s="9"/>
      <c r="AL807" s="13"/>
      <c r="AM807" s="9"/>
    </row>
    <row r="808" spans="1:39" x14ac:dyDescent="0.3">
      <c r="A808" s="2" t="str">
        <f t="shared" si="810"/>
        <v>NÃO</v>
      </c>
      <c r="B808" s="2" t="str">
        <f>_xlfn.XLOOKUP($N808,'Base de Grupos'!$A:$A,'Base de Grupos'!$D:$D)</f>
        <v>1000065763</v>
      </c>
      <c r="C808" s="5" t="str">
        <f>_xlfn.XLOOKUP($N808,'Base de Grupos'!$A:$A,'Base de Grupos'!$E:$E)</f>
        <v>CANAL VENDA INTERNA</v>
      </c>
      <c r="D808" s="5" t="str">
        <f>_xlfn.XLOOKUP($N808,'Base de Grupos'!$A:$A,'Base de Grupos'!$F:$F)</f>
        <v>1000065763</v>
      </c>
      <c r="E808" s="2" t="str">
        <f>_xlfn.XLOOKUP($N808,'Base de Grupos'!$A:$A,'Base de Grupos'!$G:$G)</f>
        <v>CANAL VENDA INTERNA</v>
      </c>
      <c r="F808" s="2" t="str">
        <f>_xlfn.XLOOKUP($N808,'Base de Grupos'!$A:$A,'Base de Grupos'!$H:$H)</f>
        <v>1000174119</v>
      </c>
      <c r="G808" s="5" t="str">
        <f>_xlfn.XLOOKUP($N808,'Base de Grupos'!$A:$A,'Base de Grupos'!$I:$I)</f>
        <v>REGIONAL VENDA INTERNA - CONVENIENCIA</v>
      </c>
      <c r="H808" s="5" t="str">
        <f>_xlfn.XLOOKUP($N808,'Base de Grupos'!$A:$A,'Base de Grupos'!$J:$J)</f>
        <v>1000174119</v>
      </c>
      <c r="I808" s="2" t="str">
        <f>_xlfn.XLOOKUP($N808,'Base de Grupos'!$A:$A,'Base de Grupos'!$K:$K)</f>
        <v>REGIONAL VENDA INTERNA - CONVENIENCIA</v>
      </c>
      <c r="J808" s="2" t="str">
        <f>_xlfn.XLOOKUP($N808,'Base de Grupos'!$A:$A,'Base de Grupos'!$L:$L)</f>
        <v>1000174119</v>
      </c>
      <c r="K808" s="5" t="str">
        <f>_xlfn.XLOOKUP($N808,'Base de Grupos'!$A:$A,'Base de Grupos'!$M:$M)</f>
        <v>REGIONAL VENDA INTERNA - CONVENIENCIA</v>
      </c>
      <c r="L808" s="5" t="str">
        <f t="shared" si="811"/>
        <v/>
      </c>
      <c r="M808" s="5" t="str">
        <f>_xlfn.XLOOKUP($N808,'Base de Grupos'!$A:$A,'Base de Grupos'!$C:$C)</f>
        <v>PB</v>
      </c>
      <c r="N808" s="3">
        <v>1509</v>
      </c>
      <c r="O808" s="4" t="s">
        <v>268</v>
      </c>
      <c r="P808" s="5" t="s">
        <v>91</v>
      </c>
      <c r="Q808" s="56">
        <v>0</v>
      </c>
      <c r="R808" s="56">
        <v>0</v>
      </c>
      <c r="S808" s="56">
        <v>0</v>
      </c>
      <c r="T808" s="56">
        <f>_xlfn.XLOOKUP($N808,'Calculo Leads Conveniencia'!$A$77:$A$104,'Calculo Leads Conveniencia'!G$77:G$104)*_xlfn.XLOOKUP($P808,'Base Grupo de Produtos'!$E$23:$E$39,'Base Grupo de Produtos'!$F$23:$F$39)</f>
        <v>0</v>
      </c>
      <c r="U808" s="56">
        <f>_xlfn.XLOOKUP($N808,'Calculo Leads Conveniencia'!$A$77:$A$104,'Calculo Leads Conveniencia'!H$77:H$104)*_xlfn.XLOOKUP($P808,'Base Grupo de Produtos'!$E$23:$E$39,'Base Grupo de Produtos'!$F$23:$F$39)</f>
        <v>0</v>
      </c>
      <c r="V808" s="56">
        <f>_xlfn.XLOOKUP($N808,'Calculo Leads Conveniencia'!$A$77:$A$104,'Calculo Leads Conveniencia'!I$77:I$104)*_xlfn.XLOOKUP($P808,'Base Grupo de Produtos'!$E$23:$E$39,'Base Grupo de Produtos'!$F$23:$F$39)</f>
        <v>0</v>
      </c>
      <c r="W808" s="56">
        <f>_xlfn.XLOOKUP($N808,'Calculo Leads Conveniencia'!$A$77:$A$104,'Calculo Leads Conveniencia'!J$77:J$104)*_xlfn.XLOOKUP($P808,'Base Grupo de Produtos'!$E$23:$E$39,'Base Grupo de Produtos'!$F$23:$F$39)</f>
        <v>0</v>
      </c>
      <c r="X808" s="56">
        <f>_xlfn.XLOOKUP($N808,'Calculo Leads Conveniencia'!$A$77:$A$104,'Calculo Leads Conveniencia'!K$77:K$104)*_xlfn.XLOOKUP($P808,'Base Grupo de Produtos'!$E$23:$E$39,'Base Grupo de Produtos'!$F$23:$F$39)</f>
        <v>0</v>
      </c>
      <c r="Y808" s="56">
        <f>_xlfn.XLOOKUP($N808,'Calculo Leads Conveniencia'!$A$77:$A$104,'Calculo Leads Conveniencia'!L$77:L$104)*_xlfn.XLOOKUP($P808,'Base Grupo de Produtos'!$E$23:$E$39,'Base Grupo de Produtos'!$F$23:$F$39)</f>
        <v>0</v>
      </c>
      <c r="Z808" s="56">
        <f>_xlfn.XLOOKUP($N808,'Calculo Leads Conveniencia'!$A$77:$A$104,'Calculo Leads Conveniencia'!M$77:M$104)*_xlfn.XLOOKUP($P808,'Base Grupo de Produtos'!$E$23:$E$39,'Base Grupo de Produtos'!$F$23:$F$39)</f>
        <v>0</v>
      </c>
      <c r="AA808" s="56">
        <f>_xlfn.XLOOKUP($N808,'Calculo Leads Conveniencia'!$A$77:$A$104,'Calculo Leads Conveniencia'!N$77:N$104)*_xlfn.XLOOKUP($P808,'Base Grupo de Produtos'!$E$23:$E$39,'Base Grupo de Produtos'!$F$23:$F$39)</f>
        <v>0</v>
      </c>
      <c r="AB808" s="56">
        <f>_xlfn.XLOOKUP($N808,'Calculo Leads Conveniencia'!$A$77:$A$104,'Calculo Leads Conveniencia'!O$77:O$104)*_xlfn.XLOOKUP($P808,'Base Grupo de Produtos'!$E$23:$E$39,'Base Grupo de Produtos'!$F$23:$F$39)</f>
        <v>0</v>
      </c>
      <c r="AC808" s="61">
        <f t="shared" si="794"/>
        <v>0</v>
      </c>
      <c r="AD808" s="28"/>
      <c r="AE808" s="12"/>
      <c r="AF808" s="29"/>
      <c r="AG808" s="9"/>
      <c r="AH808" s="10"/>
      <c r="AI808" s="9"/>
      <c r="AJ808" s="11"/>
      <c r="AK808" s="9"/>
      <c r="AL808" s="13"/>
      <c r="AM808" s="9"/>
    </row>
    <row r="809" spans="1:39" x14ac:dyDescent="0.3">
      <c r="A809" s="2" t="str">
        <f t="shared" si="810"/>
        <v>NÃO</v>
      </c>
      <c r="B809" s="2" t="str">
        <f>_xlfn.XLOOKUP($N809,'Base de Grupos'!$A:$A,'Base de Grupos'!$D:$D)</f>
        <v>1000065763</v>
      </c>
      <c r="C809" s="5" t="str">
        <f>_xlfn.XLOOKUP($N809,'Base de Grupos'!$A:$A,'Base de Grupos'!$E:$E)</f>
        <v>CANAL VENDA INTERNA</v>
      </c>
      <c r="D809" s="5" t="str">
        <f>_xlfn.XLOOKUP($N809,'Base de Grupos'!$A:$A,'Base de Grupos'!$F:$F)</f>
        <v>1000065763</v>
      </c>
      <c r="E809" s="2" t="str">
        <f>_xlfn.XLOOKUP($N809,'Base de Grupos'!$A:$A,'Base de Grupos'!$G:$G)</f>
        <v>CANAL VENDA INTERNA</v>
      </c>
      <c r="F809" s="2" t="str">
        <f>_xlfn.XLOOKUP($N809,'Base de Grupos'!$A:$A,'Base de Grupos'!$H:$H)</f>
        <v>1000174119</v>
      </c>
      <c r="G809" s="5" t="str">
        <f>_xlfn.XLOOKUP($N809,'Base de Grupos'!$A:$A,'Base de Grupos'!$I:$I)</f>
        <v>REGIONAL VENDA INTERNA - CONVENIENCIA</v>
      </c>
      <c r="H809" s="5" t="str">
        <f>_xlfn.XLOOKUP($N809,'Base de Grupos'!$A:$A,'Base de Grupos'!$J:$J)</f>
        <v>1000174119</v>
      </c>
      <c r="I809" s="2" t="str">
        <f>_xlfn.XLOOKUP($N809,'Base de Grupos'!$A:$A,'Base de Grupos'!$K:$K)</f>
        <v>REGIONAL VENDA INTERNA - CONVENIENCIA</v>
      </c>
      <c r="J809" s="2" t="str">
        <f>_xlfn.XLOOKUP($N809,'Base de Grupos'!$A:$A,'Base de Grupos'!$L:$L)</f>
        <v>1000174119</v>
      </c>
      <c r="K809" s="5" t="str">
        <f>_xlfn.XLOOKUP($N809,'Base de Grupos'!$A:$A,'Base de Grupos'!$M:$M)</f>
        <v>REGIONAL VENDA INTERNA - CONVENIENCIA</v>
      </c>
      <c r="L809" s="5" t="str">
        <f t="shared" si="811"/>
        <v/>
      </c>
      <c r="M809" s="5" t="str">
        <f>_xlfn.XLOOKUP($N809,'Base de Grupos'!$A:$A,'Base de Grupos'!$C:$C)</f>
        <v>PB</v>
      </c>
      <c r="N809" s="3">
        <v>1509</v>
      </c>
      <c r="O809" s="4" t="s">
        <v>268</v>
      </c>
      <c r="P809" s="5" t="s">
        <v>96</v>
      </c>
      <c r="Q809" s="56">
        <v>0</v>
      </c>
      <c r="R809" s="56">
        <v>0</v>
      </c>
      <c r="S809" s="56">
        <v>0</v>
      </c>
      <c r="T809" s="56">
        <f>_xlfn.XLOOKUP($N809,'Calculo Leads Conveniencia'!$A$77:$A$104,'Calculo Leads Conveniencia'!G$77:G$104)*_xlfn.XLOOKUP($P809,'Base Grupo de Produtos'!$E$23:$E$39,'Base Grupo de Produtos'!$F$23:$F$39)</f>
        <v>0</v>
      </c>
      <c r="U809" s="56">
        <f>_xlfn.XLOOKUP($N809,'Calculo Leads Conveniencia'!$A$77:$A$104,'Calculo Leads Conveniencia'!H$77:H$104)*_xlfn.XLOOKUP($P809,'Base Grupo de Produtos'!$E$23:$E$39,'Base Grupo de Produtos'!$F$23:$F$39)</f>
        <v>0</v>
      </c>
      <c r="V809" s="56">
        <f>_xlfn.XLOOKUP($N809,'Calculo Leads Conveniencia'!$A$77:$A$104,'Calculo Leads Conveniencia'!I$77:I$104)*_xlfn.XLOOKUP($P809,'Base Grupo de Produtos'!$E$23:$E$39,'Base Grupo de Produtos'!$F$23:$F$39)</f>
        <v>0</v>
      </c>
      <c r="W809" s="56">
        <f>_xlfn.XLOOKUP($N809,'Calculo Leads Conveniencia'!$A$77:$A$104,'Calculo Leads Conveniencia'!J$77:J$104)*_xlfn.XLOOKUP($P809,'Base Grupo de Produtos'!$E$23:$E$39,'Base Grupo de Produtos'!$F$23:$F$39)</f>
        <v>0</v>
      </c>
      <c r="X809" s="56">
        <f>_xlfn.XLOOKUP($N809,'Calculo Leads Conveniencia'!$A$77:$A$104,'Calculo Leads Conveniencia'!K$77:K$104)*_xlfn.XLOOKUP($P809,'Base Grupo de Produtos'!$E$23:$E$39,'Base Grupo de Produtos'!$F$23:$F$39)</f>
        <v>0</v>
      </c>
      <c r="Y809" s="56">
        <f>_xlfn.XLOOKUP($N809,'Calculo Leads Conveniencia'!$A$77:$A$104,'Calculo Leads Conveniencia'!L$77:L$104)*_xlfn.XLOOKUP($P809,'Base Grupo de Produtos'!$E$23:$E$39,'Base Grupo de Produtos'!$F$23:$F$39)</f>
        <v>0</v>
      </c>
      <c r="Z809" s="56">
        <f>_xlfn.XLOOKUP($N809,'Calculo Leads Conveniencia'!$A$77:$A$104,'Calculo Leads Conveniencia'!M$77:M$104)*_xlfn.XLOOKUP($P809,'Base Grupo de Produtos'!$E$23:$E$39,'Base Grupo de Produtos'!$F$23:$F$39)</f>
        <v>0</v>
      </c>
      <c r="AA809" s="56">
        <f>_xlfn.XLOOKUP($N809,'Calculo Leads Conveniencia'!$A$77:$A$104,'Calculo Leads Conveniencia'!N$77:N$104)*_xlfn.XLOOKUP($P809,'Base Grupo de Produtos'!$E$23:$E$39,'Base Grupo de Produtos'!$F$23:$F$39)</f>
        <v>0</v>
      </c>
      <c r="AB809" s="56">
        <f>_xlfn.XLOOKUP($N809,'Calculo Leads Conveniencia'!$A$77:$A$104,'Calculo Leads Conveniencia'!O$77:O$104)*_xlfn.XLOOKUP($P809,'Base Grupo de Produtos'!$E$23:$E$39,'Base Grupo de Produtos'!$F$23:$F$39)</f>
        <v>0</v>
      </c>
      <c r="AC809" s="61">
        <f t="shared" si="794"/>
        <v>0</v>
      </c>
      <c r="AD809" s="28"/>
      <c r="AE809" s="12"/>
      <c r="AF809" s="29"/>
      <c r="AG809" s="9"/>
      <c r="AH809" s="10"/>
      <c r="AI809" s="9"/>
      <c r="AJ809" s="11"/>
      <c r="AK809" s="9"/>
      <c r="AL809" s="13"/>
      <c r="AM809" s="9"/>
    </row>
    <row r="810" spans="1:39" x14ac:dyDescent="0.3">
      <c r="A810" s="2" t="str">
        <f t="shared" si="810"/>
        <v>NÃO</v>
      </c>
      <c r="B810" s="2" t="str">
        <f>_xlfn.XLOOKUP($N810,'Base de Grupos'!$A:$A,'Base de Grupos'!$D:$D)</f>
        <v>1000065763</v>
      </c>
      <c r="C810" s="5" t="str">
        <f>_xlfn.XLOOKUP($N810,'Base de Grupos'!$A:$A,'Base de Grupos'!$E:$E)</f>
        <v>CANAL VENDA INTERNA</v>
      </c>
      <c r="D810" s="5" t="str">
        <f>_xlfn.XLOOKUP($N810,'Base de Grupos'!$A:$A,'Base de Grupos'!$F:$F)</f>
        <v>1000065763</v>
      </c>
      <c r="E810" s="2" t="str">
        <f>_xlfn.XLOOKUP($N810,'Base de Grupos'!$A:$A,'Base de Grupos'!$G:$G)</f>
        <v>CANAL VENDA INTERNA</v>
      </c>
      <c r="F810" s="2" t="str">
        <f>_xlfn.XLOOKUP($N810,'Base de Grupos'!$A:$A,'Base de Grupos'!$H:$H)</f>
        <v>1000174119</v>
      </c>
      <c r="G810" s="5" t="str">
        <f>_xlfn.XLOOKUP($N810,'Base de Grupos'!$A:$A,'Base de Grupos'!$I:$I)</f>
        <v>REGIONAL VENDA INTERNA - CONVENIENCIA</v>
      </c>
      <c r="H810" s="5" t="str">
        <f>_xlfn.XLOOKUP($N810,'Base de Grupos'!$A:$A,'Base de Grupos'!$J:$J)</f>
        <v>1000174119</v>
      </c>
      <c r="I810" s="2" t="str">
        <f>_xlfn.XLOOKUP($N810,'Base de Grupos'!$A:$A,'Base de Grupos'!$K:$K)</f>
        <v>REGIONAL VENDA INTERNA - CONVENIENCIA</v>
      </c>
      <c r="J810" s="2" t="str">
        <f>_xlfn.XLOOKUP($N810,'Base de Grupos'!$A:$A,'Base de Grupos'!$L:$L)</f>
        <v>1000174119</v>
      </c>
      <c r="K810" s="5" t="str">
        <f>_xlfn.XLOOKUP($N810,'Base de Grupos'!$A:$A,'Base de Grupos'!$M:$M)</f>
        <v>REGIONAL VENDA INTERNA - CONVENIENCIA</v>
      </c>
      <c r="L810" s="5" t="str">
        <f t="shared" si="811"/>
        <v/>
      </c>
      <c r="M810" s="5" t="str">
        <f>_xlfn.XLOOKUP($N810,'Base de Grupos'!$A:$A,'Base de Grupos'!$C:$C)</f>
        <v>PB</v>
      </c>
      <c r="N810" s="3">
        <v>1509</v>
      </c>
      <c r="O810" s="4" t="s">
        <v>268</v>
      </c>
      <c r="P810" s="5" t="s">
        <v>94</v>
      </c>
      <c r="Q810" s="56">
        <v>0</v>
      </c>
      <c r="R810" s="56">
        <v>0</v>
      </c>
      <c r="S810" s="56">
        <v>0</v>
      </c>
      <c r="T810" s="56">
        <f>_xlfn.XLOOKUP($N810,'Calculo Leads Conveniencia'!$A$77:$A$104,'Calculo Leads Conveniencia'!G$77:G$104)*_xlfn.XLOOKUP($P810,'Base Grupo de Produtos'!$E$23:$E$39,'Base Grupo de Produtos'!$F$23:$F$39)</f>
        <v>0</v>
      </c>
      <c r="U810" s="56">
        <f>_xlfn.XLOOKUP($N810,'Calculo Leads Conveniencia'!$A$77:$A$104,'Calculo Leads Conveniencia'!H$77:H$104)*_xlfn.XLOOKUP($P810,'Base Grupo de Produtos'!$E$23:$E$39,'Base Grupo de Produtos'!$F$23:$F$39)</f>
        <v>0</v>
      </c>
      <c r="V810" s="56">
        <f>_xlfn.XLOOKUP($N810,'Calculo Leads Conveniencia'!$A$77:$A$104,'Calculo Leads Conveniencia'!I$77:I$104)*_xlfn.XLOOKUP($P810,'Base Grupo de Produtos'!$E$23:$E$39,'Base Grupo de Produtos'!$F$23:$F$39)</f>
        <v>0</v>
      </c>
      <c r="W810" s="56">
        <f>_xlfn.XLOOKUP($N810,'Calculo Leads Conveniencia'!$A$77:$A$104,'Calculo Leads Conveniencia'!J$77:J$104)*_xlfn.XLOOKUP($P810,'Base Grupo de Produtos'!$E$23:$E$39,'Base Grupo de Produtos'!$F$23:$F$39)</f>
        <v>0</v>
      </c>
      <c r="X810" s="56">
        <f>_xlfn.XLOOKUP($N810,'Calculo Leads Conveniencia'!$A$77:$A$104,'Calculo Leads Conveniencia'!K$77:K$104)*_xlfn.XLOOKUP($P810,'Base Grupo de Produtos'!$E$23:$E$39,'Base Grupo de Produtos'!$F$23:$F$39)</f>
        <v>0</v>
      </c>
      <c r="Y810" s="56">
        <f>_xlfn.XLOOKUP($N810,'Calculo Leads Conveniencia'!$A$77:$A$104,'Calculo Leads Conveniencia'!L$77:L$104)*_xlfn.XLOOKUP($P810,'Base Grupo de Produtos'!$E$23:$E$39,'Base Grupo de Produtos'!$F$23:$F$39)</f>
        <v>0</v>
      </c>
      <c r="Z810" s="56">
        <f>_xlfn.XLOOKUP($N810,'Calculo Leads Conveniencia'!$A$77:$A$104,'Calculo Leads Conveniencia'!M$77:M$104)*_xlfn.XLOOKUP($P810,'Base Grupo de Produtos'!$E$23:$E$39,'Base Grupo de Produtos'!$F$23:$F$39)</f>
        <v>0</v>
      </c>
      <c r="AA810" s="56">
        <f>_xlfn.XLOOKUP($N810,'Calculo Leads Conveniencia'!$A$77:$A$104,'Calculo Leads Conveniencia'!N$77:N$104)*_xlfn.XLOOKUP($P810,'Base Grupo de Produtos'!$E$23:$E$39,'Base Grupo de Produtos'!$F$23:$F$39)</f>
        <v>0</v>
      </c>
      <c r="AB810" s="56">
        <f>_xlfn.XLOOKUP($N810,'Calculo Leads Conveniencia'!$A$77:$A$104,'Calculo Leads Conveniencia'!O$77:O$104)*_xlfn.XLOOKUP($P810,'Base Grupo de Produtos'!$E$23:$E$39,'Base Grupo de Produtos'!$F$23:$F$39)</f>
        <v>0</v>
      </c>
      <c r="AC810" s="61">
        <f t="shared" si="794"/>
        <v>0</v>
      </c>
      <c r="AD810" s="28"/>
      <c r="AE810" s="12"/>
      <c r="AF810" s="29"/>
      <c r="AG810" s="9"/>
      <c r="AH810" s="10"/>
      <c r="AI810" s="9"/>
      <c r="AJ810" s="11"/>
      <c r="AK810" s="9"/>
      <c r="AL810" s="13"/>
      <c r="AM810" s="9"/>
    </row>
    <row r="811" spans="1:39" x14ac:dyDescent="0.3">
      <c r="A811" s="2" t="str">
        <f t="shared" si="810"/>
        <v>NÃO</v>
      </c>
      <c r="B811" s="2" t="str">
        <f>_xlfn.XLOOKUP($N811,'Base de Grupos'!$A:$A,'Base de Grupos'!$D:$D)</f>
        <v>1000065763</v>
      </c>
      <c r="C811" s="5" t="str">
        <f>_xlfn.XLOOKUP($N811,'Base de Grupos'!$A:$A,'Base de Grupos'!$E:$E)</f>
        <v>CANAL VENDA INTERNA</v>
      </c>
      <c r="D811" s="5" t="str">
        <f>_xlfn.XLOOKUP($N811,'Base de Grupos'!$A:$A,'Base de Grupos'!$F:$F)</f>
        <v>1000065763</v>
      </c>
      <c r="E811" s="2" t="str">
        <f>_xlfn.XLOOKUP($N811,'Base de Grupos'!$A:$A,'Base de Grupos'!$G:$G)</f>
        <v>CANAL VENDA INTERNA</v>
      </c>
      <c r="F811" s="2" t="str">
        <f>_xlfn.XLOOKUP($N811,'Base de Grupos'!$A:$A,'Base de Grupos'!$H:$H)</f>
        <v>1000174119</v>
      </c>
      <c r="G811" s="5" t="str">
        <f>_xlfn.XLOOKUP($N811,'Base de Grupos'!$A:$A,'Base de Grupos'!$I:$I)</f>
        <v>REGIONAL VENDA INTERNA - CONVENIENCIA</v>
      </c>
      <c r="H811" s="5" t="str">
        <f>_xlfn.XLOOKUP($N811,'Base de Grupos'!$A:$A,'Base de Grupos'!$J:$J)</f>
        <v>1000174119</v>
      </c>
      <c r="I811" s="2" t="str">
        <f>_xlfn.XLOOKUP($N811,'Base de Grupos'!$A:$A,'Base de Grupos'!$K:$K)</f>
        <v>REGIONAL VENDA INTERNA - CONVENIENCIA</v>
      </c>
      <c r="J811" s="2" t="str">
        <f>_xlfn.XLOOKUP($N811,'Base de Grupos'!$A:$A,'Base de Grupos'!$L:$L)</f>
        <v>1000174119</v>
      </c>
      <c r="K811" s="5" t="str">
        <f>_xlfn.XLOOKUP($N811,'Base de Grupos'!$A:$A,'Base de Grupos'!$M:$M)</f>
        <v>REGIONAL VENDA INTERNA - CONVENIENCIA</v>
      </c>
      <c r="L811" s="5" t="str">
        <f t="shared" si="811"/>
        <v/>
      </c>
      <c r="M811" s="5" t="str">
        <f>_xlfn.XLOOKUP($N811,'Base de Grupos'!$A:$A,'Base de Grupos'!$C:$C)</f>
        <v>PB</v>
      </c>
      <c r="N811" s="3">
        <v>1509</v>
      </c>
      <c r="O811" s="4" t="s">
        <v>268</v>
      </c>
      <c r="P811" s="5" t="s">
        <v>95</v>
      </c>
      <c r="Q811" s="56">
        <v>0</v>
      </c>
      <c r="R811" s="56">
        <v>0</v>
      </c>
      <c r="S811" s="56">
        <v>0</v>
      </c>
      <c r="T811" s="56">
        <f>_xlfn.XLOOKUP($N811,'Calculo Leads Conveniencia'!$A$77:$A$104,'Calculo Leads Conveniencia'!G$77:G$104)*_xlfn.XLOOKUP($P811,'Base Grupo de Produtos'!$E$23:$E$39,'Base Grupo de Produtos'!$F$23:$F$39)</f>
        <v>0</v>
      </c>
      <c r="U811" s="56">
        <f>_xlfn.XLOOKUP($N811,'Calculo Leads Conveniencia'!$A$77:$A$104,'Calculo Leads Conveniencia'!H$77:H$104)*_xlfn.XLOOKUP($P811,'Base Grupo de Produtos'!$E$23:$E$39,'Base Grupo de Produtos'!$F$23:$F$39)</f>
        <v>0</v>
      </c>
      <c r="V811" s="56">
        <f>_xlfn.XLOOKUP($N811,'Calculo Leads Conveniencia'!$A$77:$A$104,'Calculo Leads Conveniencia'!I$77:I$104)*_xlfn.XLOOKUP($P811,'Base Grupo de Produtos'!$E$23:$E$39,'Base Grupo de Produtos'!$F$23:$F$39)</f>
        <v>0</v>
      </c>
      <c r="W811" s="56">
        <f>_xlfn.XLOOKUP($N811,'Calculo Leads Conveniencia'!$A$77:$A$104,'Calculo Leads Conveniencia'!J$77:J$104)*_xlfn.XLOOKUP($P811,'Base Grupo de Produtos'!$E$23:$E$39,'Base Grupo de Produtos'!$F$23:$F$39)</f>
        <v>0</v>
      </c>
      <c r="X811" s="56">
        <f>_xlfn.XLOOKUP($N811,'Calculo Leads Conveniencia'!$A$77:$A$104,'Calculo Leads Conveniencia'!K$77:K$104)*_xlfn.XLOOKUP($P811,'Base Grupo de Produtos'!$E$23:$E$39,'Base Grupo de Produtos'!$F$23:$F$39)</f>
        <v>0</v>
      </c>
      <c r="Y811" s="56">
        <f>_xlfn.XLOOKUP($N811,'Calculo Leads Conveniencia'!$A$77:$A$104,'Calculo Leads Conveniencia'!L$77:L$104)*_xlfn.XLOOKUP($P811,'Base Grupo de Produtos'!$E$23:$E$39,'Base Grupo de Produtos'!$F$23:$F$39)</f>
        <v>0</v>
      </c>
      <c r="Z811" s="56">
        <f>_xlfn.XLOOKUP($N811,'Calculo Leads Conveniencia'!$A$77:$A$104,'Calculo Leads Conveniencia'!M$77:M$104)*_xlfn.XLOOKUP($P811,'Base Grupo de Produtos'!$E$23:$E$39,'Base Grupo de Produtos'!$F$23:$F$39)</f>
        <v>0</v>
      </c>
      <c r="AA811" s="56">
        <f>_xlfn.XLOOKUP($N811,'Calculo Leads Conveniencia'!$A$77:$A$104,'Calculo Leads Conveniencia'!N$77:N$104)*_xlfn.XLOOKUP($P811,'Base Grupo de Produtos'!$E$23:$E$39,'Base Grupo de Produtos'!$F$23:$F$39)</f>
        <v>0</v>
      </c>
      <c r="AB811" s="56">
        <f>_xlfn.XLOOKUP($N811,'Calculo Leads Conveniencia'!$A$77:$A$104,'Calculo Leads Conveniencia'!O$77:O$104)*_xlfn.XLOOKUP($P811,'Base Grupo de Produtos'!$E$23:$E$39,'Base Grupo de Produtos'!$F$23:$F$39)</f>
        <v>0</v>
      </c>
      <c r="AC811" s="61">
        <f t="shared" si="794"/>
        <v>0</v>
      </c>
      <c r="AD811" s="28"/>
      <c r="AE811" s="12"/>
      <c r="AF811" s="29"/>
      <c r="AG811" s="9"/>
      <c r="AH811" s="10"/>
      <c r="AI811" s="9"/>
      <c r="AJ811" s="11"/>
      <c r="AK811" s="9"/>
      <c r="AL811" s="13"/>
      <c r="AM811" s="9"/>
    </row>
    <row r="812" spans="1:39" x14ac:dyDescent="0.3">
      <c r="A812" s="2" t="str">
        <f t="shared" si="810"/>
        <v>NÃO</v>
      </c>
      <c r="B812" s="2" t="str">
        <f>_xlfn.XLOOKUP($N812,'Base de Grupos'!$A:$A,'Base de Grupos'!$D:$D)</f>
        <v>1000065763</v>
      </c>
      <c r="C812" s="5" t="str">
        <f>_xlfn.XLOOKUP($N812,'Base de Grupos'!$A:$A,'Base de Grupos'!$E:$E)</f>
        <v>CANAL VENDA INTERNA</v>
      </c>
      <c r="D812" s="5" t="str">
        <f>_xlfn.XLOOKUP($N812,'Base de Grupos'!$A:$A,'Base de Grupos'!$F:$F)</f>
        <v>1000065763</v>
      </c>
      <c r="E812" s="2" t="str">
        <f>_xlfn.XLOOKUP($N812,'Base de Grupos'!$A:$A,'Base de Grupos'!$G:$G)</f>
        <v>CANAL VENDA INTERNA</v>
      </c>
      <c r="F812" s="2" t="str">
        <f>_xlfn.XLOOKUP($N812,'Base de Grupos'!$A:$A,'Base de Grupos'!$H:$H)</f>
        <v>1000174119</v>
      </c>
      <c r="G812" s="5" t="str">
        <f>_xlfn.XLOOKUP($N812,'Base de Grupos'!$A:$A,'Base de Grupos'!$I:$I)</f>
        <v>REGIONAL VENDA INTERNA - CONVENIENCIA</v>
      </c>
      <c r="H812" s="5" t="str">
        <f>_xlfn.XLOOKUP($N812,'Base de Grupos'!$A:$A,'Base de Grupos'!$J:$J)</f>
        <v>1000174119</v>
      </c>
      <c r="I812" s="2" t="str">
        <f>_xlfn.XLOOKUP($N812,'Base de Grupos'!$A:$A,'Base de Grupos'!$K:$K)</f>
        <v>REGIONAL VENDA INTERNA - CONVENIENCIA</v>
      </c>
      <c r="J812" s="2" t="str">
        <f>_xlfn.XLOOKUP($N812,'Base de Grupos'!$A:$A,'Base de Grupos'!$L:$L)</f>
        <v>1000174119</v>
      </c>
      <c r="K812" s="5" t="str">
        <f>_xlfn.XLOOKUP($N812,'Base de Grupos'!$A:$A,'Base de Grupos'!$M:$M)</f>
        <v>REGIONAL VENDA INTERNA - CONVENIENCIA</v>
      </c>
      <c r="L812" s="5" t="str">
        <f t="shared" si="811"/>
        <v/>
      </c>
      <c r="M812" s="5" t="str">
        <f>_xlfn.XLOOKUP($N812,'Base de Grupos'!$A:$A,'Base de Grupos'!$C:$C)</f>
        <v>PB</v>
      </c>
      <c r="N812" s="3">
        <v>1509</v>
      </c>
      <c r="O812" s="4" t="s">
        <v>268</v>
      </c>
      <c r="P812" s="5" t="s">
        <v>93</v>
      </c>
      <c r="Q812" s="56">
        <v>0</v>
      </c>
      <c r="R812" s="56">
        <v>0</v>
      </c>
      <c r="S812" s="56">
        <v>0</v>
      </c>
      <c r="T812" s="56">
        <f>_xlfn.XLOOKUP($N812,'Calculo Leads Conveniencia'!$A$77:$A$104,'Calculo Leads Conveniencia'!G$77:G$104)*_xlfn.XLOOKUP($P812,'Base Grupo de Produtos'!$E$23:$E$39,'Base Grupo de Produtos'!$F$23:$F$39)</f>
        <v>0</v>
      </c>
      <c r="U812" s="56">
        <f>_xlfn.XLOOKUP($N812,'Calculo Leads Conveniencia'!$A$77:$A$104,'Calculo Leads Conveniencia'!H$77:H$104)*_xlfn.XLOOKUP($P812,'Base Grupo de Produtos'!$E$23:$E$39,'Base Grupo de Produtos'!$F$23:$F$39)</f>
        <v>0</v>
      </c>
      <c r="V812" s="56">
        <f>_xlfn.XLOOKUP($N812,'Calculo Leads Conveniencia'!$A$77:$A$104,'Calculo Leads Conveniencia'!I$77:I$104)*_xlfn.XLOOKUP($P812,'Base Grupo de Produtos'!$E$23:$E$39,'Base Grupo de Produtos'!$F$23:$F$39)</f>
        <v>0</v>
      </c>
      <c r="W812" s="56">
        <f>_xlfn.XLOOKUP($N812,'Calculo Leads Conveniencia'!$A$77:$A$104,'Calculo Leads Conveniencia'!J$77:J$104)*_xlfn.XLOOKUP($P812,'Base Grupo de Produtos'!$E$23:$E$39,'Base Grupo de Produtos'!$F$23:$F$39)</f>
        <v>0</v>
      </c>
      <c r="X812" s="56">
        <f>_xlfn.XLOOKUP($N812,'Calculo Leads Conveniencia'!$A$77:$A$104,'Calculo Leads Conveniencia'!K$77:K$104)*_xlfn.XLOOKUP($P812,'Base Grupo de Produtos'!$E$23:$E$39,'Base Grupo de Produtos'!$F$23:$F$39)</f>
        <v>0</v>
      </c>
      <c r="Y812" s="56">
        <f>_xlfn.XLOOKUP($N812,'Calculo Leads Conveniencia'!$A$77:$A$104,'Calculo Leads Conveniencia'!L$77:L$104)*_xlfn.XLOOKUP($P812,'Base Grupo de Produtos'!$E$23:$E$39,'Base Grupo de Produtos'!$F$23:$F$39)</f>
        <v>0</v>
      </c>
      <c r="Z812" s="56">
        <f>_xlfn.XLOOKUP($N812,'Calculo Leads Conveniencia'!$A$77:$A$104,'Calculo Leads Conveniencia'!M$77:M$104)*_xlfn.XLOOKUP($P812,'Base Grupo de Produtos'!$E$23:$E$39,'Base Grupo de Produtos'!$F$23:$F$39)</f>
        <v>0</v>
      </c>
      <c r="AA812" s="56">
        <f>_xlfn.XLOOKUP($N812,'Calculo Leads Conveniencia'!$A$77:$A$104,'Calculo Leads Conveniencia'!N$77:N$104)*_xlfn.XLOOKUP($P812,'Base Grupo de Produtos'!$E$23:$E$39,'Base Grupo de Produtos'!$F$23:$F$39)</f>
        <v>0</v>
      </c>
      <c r="AB812" s="56">
        <f>_xlfn.XLOOKUP($N812,'Calculo Leads Conveniencia'!$A$77:$A$104,'Calculo Leads Conveniencia'!O$77:O$104)*_xlfn.XLOOKUP($P812,'Base Grupo de Produtos'!$E$23:$E$39,'Base Grupo de Produtos'!$F$23:$F$39)</f>
        <v>0</v>
      </c>
      <c r="AC812" s="61">
        <f t="shared" si="794"/>
        <v>0</v>
      </c>
      <c r="AD812" s="28"/>
      <c r="AE812" s="12"/>
      <c r="AF812" s="29"/>
      <c r="AG812" s="9"/>
      <c r="AH812" s="10"/>
      <c r="AI812" s="9"/>
      <c r="AJ812" s="11"/>
      <c r="AK812" s="9"/>
      <c r="AL812" s="13"/>
      <c r="AM812" s="9"/>
    </row>
    <row r="813" spans="1:39" x14ac:dyDescent="0.3">
      <c r="A813" s="2" t="str">
        <f t="shared" si="810"/>
        <v>SIM</v>
      </c>
      <c r="B813" s="2" t="str">
        <f>_xlfn.XLOOKUP($N813,'Base de Grupos'!$A:$A,'Base de Grupos'!$D:$D)</f>
        <v>1000065763</v>
      </c>
      <c r="C813" s="5" t="str">
        <f>_xlfn.XLOOKUP($N813,'Base de Grupos'!$A:$A,'Base de Grupos'!$E:$E)</f>
        <v>CANAL VENDA INTERNA</v>
      </c>
      <c r="D813" s="5" t="str">
        <f>_xlfn.XLOOKUP($N813,'Base de Grupos'!$A:$A,'Base de Grupos'!$F:$F)</f>
        <v>1000065763</v>
      </c>
      <c r="E813" s="2" t="str">
        <f>_xlfn.XLOOKUP($N813,'Base de Grupos'!$A:$A,'Base de Grupos'!$G:$G)</f>
        <v>CANAL VENDA INTERNA</v>
      </c>
      <c r="F813" s="2" t="str">
        <f>_xlfn.XLOOKUP($N813,'Base de Grupos'!$A:$A,'Base de Grupos'!$H:$H)</f>
        <v>1000174119</v>
      </c>
      <c r="G813" s="5" t="str">
        <f>_xlfn.XLOOKUP($N813,'Base de Grupos'!$A:$A,'Base de Grupos'!$I:$I)</f>
        <v>REGIONAL VENDA INTERNA - CONVENIENCIA</v>
      </c>
      <c r="H813" s="5" t="str">
        <f>_xlfn.XLOOKUP($N813,'Base de Grupos'!$A:$A,'Base de Grupos'!$J:$J)</f>
        <v>1000174119</v>
      </c>
      <c r="I813" s="2" t="str">
        <f>_xlfn.XLOOKUP($N813,'Base de Grupos'!$A:$A,'Base de Grupos'!$K:$K)</f>
        <v>REGIONAL VENDA INTERNA - CONVENIENCIA</v>
      </c>
      <c r="J813" s="2" t="str">
        <f>_xlfn.XLOOKUP($N813,'Base de Grupos'!$A:$A,'Base de Grupos'!$L:$L)</f>
        <v>1000174119</v>
      </c>
      <c r="K813" s="5" t="str">
        <f>_xlfn.XLOOKUP($N813,'Base de Grupos'!$A:$A,'Base de Grupos'!$M:$M)</f>
        <v>REGIONAL VENDA INTERNA - CONVENIENCIA</v>
      </c>
      <c r="L813" s="5">
        <f t="shared" si="811"/>
        <v>1</v>
      </c>
      <c r="M813" s="5" t="str">
        <f>_xlfn.XLOOKUP($N813,'Base de Grupos'!$A:$A,'Base de Grupos'!$C:$C)</f>
        <v>BA</v>
      </c>
      <c r="N813" s="3">
        <v>1510</v>
      </c>
      <c r="O813" s="4" t="s">
        <v>269</v>
      </c>
      <c r="P813" s="5" t="s">
        <v>339</v>
      </c>
      <c r="Q813" s="56">
        <f t="shared" ref="Q813" si="825">SUM(Q814:Q830)</f>
        <v>0</v>
      </c>
      <c r="R813" s="56">
        <f t="shared" ref="R813" si="826">SUM(R814:R830)</f>
        <v>0</v>
      </c>
      <c r="S813" s="56">
        <f t="shared" ref="S813" si="827">SUM(S814:S830)</f>
        <v>0</v>
      </c>
      <c r="T813" s="56">
        <f t="shared" ref="T813" si="828">SUM(T814:T830)</f>
        <v>0</v>
      </c>
      <c r="U813" s="56">
        <f t="shared" ref="U813" si="829">SUM(U814:U830)</f>
        <v>0</v>
      </c>
      <c r="V813" s="56">
        <f t="shared" ref="V813" si="830">SUM(V814:V830)</f>
        <v>0</v>
      </c>
      <c r="W813" s="56">
        <f t="shared" ref="W813" si="831">SUM(W814:W830)</f>
        <v>0</v>
      </c>
      <c r="X813" s="56">
        <f t="shared" ref="X813" si="832">SUM(X814:X830)</f>
        <v>0</v>
      </c>
      <c r="Y813" s="56">
        <f t="shared" ref="Y813" si="833">SUM(Y814:Y830)</f>
        <v>0</v>
      </c>
      <c r="Z813" s="56">
        <f t="shared" ref="Z813" si="834">SUM(Z814:Z830)</f>
        <v>0</v>
      </c>
      <c r="AA813" s="56">
        <f t="shared" ref="AA813" si="835">SUM(AA814:AA830)</f>
        <v>0</v>
      </c>
      <c r="AB813" s="56">
        <f t="shared" ref="AB813" si="836">SUM(AB814:AB830)</f>
        <v>0</v>
      </c>
      <c r="AC813" s="56">
        <f t="shared" ref="AC813" si="837">SUM(AC814:AC830)</f>
        <v>0</v>
      </c>
      <c r="AD813" s="28"/>
      <c r="AE813" s="12"/>
      <c r="AF813" s="29"/>
      <c r="AG813" s="9"/>
      <c r="AH813" s="10"/>
      <c r="AI813" s="9"/>
      <c r="AJ813" s="11"/>
      <c r="AK813" s="9"/>
      <c r="AL813" s="13"/>
      <c r="AM813" s="9"/>
    </row>
    <row r="814" spans="1:39" x14ac:dyDescent="0.3">
      <c r="A814" s="2" t="str">
        <f t="shared" si="810"/>
        <v>NÃO</v>
      </c>
      <c r="B814" s="2" t="str">
        <f>_xlfn.XLOOKUP($N814,'Base de Grupos'!$A:$A,'Base de Grupos'!$D:$D)</f>
        <v>1000065763</v>
      </c>
      <c r="C814" s="5" t="str">
        <f>_xlfn.XLOOKUP($N814,'Base de Grupos'!$A:$A,'Base de Grupos'!$E:$E)</f>
        <v>CANAL VENDA INTERNA</v>
      </c>
      <c r="D814" s="5" t="str">
        <f>_xlfn.XLOOKUP($N814,'Base de Grupos'!$A:$A,'Base de Grupos'!$F:$F)</f>
        <v>1000065763</v>
      </c>
      <c r="E814" s="2" t="str">
        <f>_xlfn.XLOOKUP($N814,'Base de Grupos'!$A:$A,'Base de Grupos'!$G:$G)</f>
        <v>CANAL VENDA INTERNA</v>
      </c>
      <c r="F814" s="2" t="str">
        <f>_xlfn.XLOOKUP($N814,'Base de Grupos'!$A:$A,'Base de Grupos'!$H:$H)</f>
        <v>1000174119</v>
      </c>
      <c r="G814" s="5" t="str">
        <f>_xlfn.XLOOKUP($N814,'Base de Grupos'!$A:$A,'Base de Grupos'!$I:$I)</f>
        <v>REGIONAL VENDA INTERNA - CONVENIENCIA</v>
      </c>
      <c r="H814" s="5" t="str">
        <f>_xlfn.XLOOKUP($N814,'Base de Grupos'!$A:$A,'Base de Grupos'!$J:$J)</f>
        <v>1000174119</v>
      </c>
      <c r="I814" s="2" t="str">
        <f>_xlfn.XLOOKUP($N814,'Base de Grupos'!$A:$A,'Base de Grupos'!$K:$K)</f>
        <v>REGIONAL VENDA INTERNA - CONVENIENCIA</v>
      </c>
      <c r="J814" s="2" t="str">
        <f>_xlfn.XLOOKUP($N814,'Base de Grupos'!$A:$A,'Base de Grupos'!$L:$L)</f>
        <v>1000174119</v>
      </c>
      <c r="K814" s="5" t="str">
        <f>_xlfn.XLOOKUP($N814,'Base de Grupos'!$A:$A,'Base de Grupos'!$M:$M)</f>
        <v>REGIONAL VENDA INTERNA - CONVENIENCIA</v>
      </c>
      <c r="L814" s="5" t="str">
        <f t="shared" si="811"/>
        <v/>
      </c>
      <c r="M814" s="5" t="str">
        <f>_xlfn.XLOOKUP($N814,'Base de Grupos'!$A:$A,'Base de Grupos'!$C:$C)</f>
        <v>BA</v>
      </c>
      <c r="N814" s="3">
        <v>1510</v>
      </c>
      <c r="O814" s="4" t="s">
        <v>269</v>
      </c>
      <c r="P814" s="5" t="s">
        <v>81</v>
      </c>
      <c r="Q814" s="56">
        <v>0</v>
      </c>
      <c r="R814" s="56">
        <v>0</v>
      </c>
      <c r="S814" s="56">
        <v>0</v>
      </c>
      <c r="T814" s="56">
        <f>_xlfn.XLOOKUP($N814,'Calculo Leads Conveniencia'!$A$77:$A$104,'Calculo Leads Conveniencia'!G$77:G$104)*_xlfn.XLOOKUP($P814,'Base Grupo de Produtos'!$E$23:$E$39,'Base Grupo de Produtos'!$F$23:$F$39)</f>
        <v>0</v>
      </c>
      <c r="U814" s="56">
        <f>_xlfn.XLOOKUP($N814,'Calculo Leads Conveniencia'!$A$77:$A$104,'Calculo Leads Conveniencia'!H$77:H$104)*_xlfn.XLOOKUP($P814,'Base Grupo de Produtos'!$E$23:$E$39,'Base Grupo de Produtos'!$F$23:$F$39)</f>
        <v>0</v>
      </c>
      <c r="V814" s="56">
        <f>_xlfn.XLOOKUP($N814,'Calculo Leads Conveniencia'!$A$77:$A$104,'Calculo Leads Conveniencia'!I$77:I$104)*_xlfn.XLOOKUP($P814,'Base Grupo de Produtos'!$E$23:$E$39,'Base Grupo de Produtos'!$F$23:$F$39)</f>
        <v>0</v>
      </c>
      <c r="W814" s="56">
        <f>_xlfn.XLOOKUP($N814,'Calculo Leads Conveniencia'!$A$77:$A$104,'Calculo Leads Conveniencia'!J$77:J$104)*_xlfn.XLOOKUP($P814,'Base Grupo de Produtos'!$E$23:$E$39,'Base Grupo de Produtos'!$F$23:$F$39)</f>
        <v>0</v>
      </c>
      <c r="X814" s="56">
        <f>_xlfn.XLOOKUP($N814,'Calculo Leads Conveniencia'!$A$77:$A$104,'Calculo Leads Conveniencia'!K$77:K$104)*_xlfn.XLOOKUP($P814,'Base Grupo de Produtos'!$E$23:$E$39,'Base Grupo de Produtos'!$F$23:$F$39)</f>
        <v>0</v>
      </c>
      <c r="Y814" s="56">
        <f>_xlfn.XLOOKUP($N814,'Calculo Leads Conveniencia'!$A$77:$A$104,'Calculo Leads Conveniencia'!L$77:L$104)*_xlfn.XLOOKUP($P814,'Base Grupo de Produtos'!$E$23:$E$39,'Base Grupo de Produtos'!$F$23:$F$39)</f>
        <v>0</v>
      </c>
      <c r="Z814" s="56">
        <f>_xlfn.XLOOKUP($N814,'Calculo Leads Conveniencia'!$A$77:$A$104,'Calculo Leads Conveniencia'!M$77:M$104)*_xlfn.XLOOKUP($P814,'Base Grupo de Produtos'!$E$23:$E$39,'Base Grupo de Produtos'!$F$23:$F$39)</f>
        <v>0</v>
      </c>
      <c r="AA814" s="56">
        <f>_xlfn.XLOOKUP($N814,'Calculo Leads Conveniencia'!$A$77:$A$104,'Calculo Leads Conveniencia'!N$77:N$104)*_xlfn.XLOOKUP($P814,'Base Grupo de Produtos'!$E$23:$E$39,'Base Grupo de Produtos'!$F$23:$F$39)</f>
        <v>0</v>
      </c>
      <c r="AB814" s="56">
        <f>_xlfn.XLOOKUP($N814,'Calculo Leads Conveniencia'!$A$77:$A$104,'Calculo Leads Conveniencia'!O$77:O$104)*_xlfn.XLOOKUP($P814,'Base Grupo de Produtos'!$E$23:$E$39,'Base Grupo de Produtos'!$F$23:$F$39)</f>
        <v>0</v>
      </c>
      <c r="AC814" s="61">
        <f t="shared" si="794"/>
        <v>0</v>
      </c>
      <c r="AD814" s="28"/>
      <c r="AE814" s="12"/>
      <c r="AF814" s="29"/>
      <c r="AG814" s="9"/>
      <c r="AH814" s="10"/>
      <c r="AI814" s="9"/>
      <c r="AJ814" s="11"/>
      <c r="AK814" s="9"/>
      <c r="AL814" s="13"/>
      <c r="AM814" s="9"/>
    </row>
    <row r="815" spans="1:39" x14ac:dyDescent="0.3">
      <c r="A815" s="2" t="str">
        <f t="shared" si="810"/>
        <v>NÃO</v>
      </c>
      <c r="B815" s="2" t="str">
        <f>_xlfn.XLOOKUP($N815,'Base de Grupos'!$A:$A,'Base de Grupos'!$D:$D)</f>
        <v>1000065763</v>
      </c>
      <c r="C815" s="5" t="str">
        <f>_xlfn.XLOOKUP($N815,'Base de Grupos'!$A:$A,'Base de Grupos'!$E:$E)</f>
        <v>CANAL VENDA INTERNA</v>
      </c>
      <c r="D815" s="5" t="str">
        <f>_xlfn.XLOOKUP($N815,'Base de Grupos'!$A:$A,'Base de Grupos'!$F:$F)</f>
        <v>1000065763</v>
      </c>
      <c r="E815" s="2" t="str">
        <f>_xlfn.XLOOKUP($N815,'Base de Grupos'!$A:$A,'Base de Grupos'!$G:$G)</f>
        <v>CANAL VENDA INTERNA</v>
      </c>
      <c r="F815" s="2" t="str">
        <f>_xlfn.XLOOKUP($N815,'Base de Grupos'!$A:$A,'Base de Grupos'!$H:$H)</f>
        <v>1000174119</v>
      </c>
      <c r="G815" s="5" t="str">
        <f>_xlfn.XLOOKUP($N815,'Base de Grupos'!$A:$A,'Base de Grupos'!$I:$I)</f>
        <v>REGIONAL VENDA INTERNA - CONVENIENCIA</v>
      </c>
      <c r="H815" s="5" t="str">
        <f>_xlfn.XLOOKUP($N815,'Base de Grupos'!$A:$A,'Base de Grupos'!$J:$J)</f>
        <v>1000174119</v>
      </c>
      <c r="I815" s="2" t="str">
        <f>_xlfn.XLOOKUP($N815,'Base de Grupos'!$A:$A,'Base de Grupos'!$K:$K)</f>
        <v>REGIONAL VENDA INTERNA - CONVENIENCIA</v>
      </c>
      <c r="J815" s="2" t="str">
        <f>_xlfn.XLOOKUP($N815,'Base de Grupos'!$A:$A,'Base de Grupos'!$L:$L)</f>
        <v>1000174119</v>
      </c>
      <c r="K815" s="5" t="str">
        <f>_xlfn.XLOOKUP($N815,'Base de Grupos'!$A:$A,'Base de Grupos'!$M:$M)</f>
        <v>REGIONAL VENDA INTERNA - CONVENIENCIA</v>
      </c>
      <c r="L815" s="5" t="str">
        <f t="shared" si="811"/>
        <v/>
      </c>
      <c r="M815" s="5" t="str">
        <f>_xlfn.XLOOKUP($N815,'Base de Grupos'!$A:$A,'Base de Grupos'!$C:$C)</f>
        <v>BA</v>
      </c>
      <c r="N815" s="3">
        <v>1510</v>
      </c>
      <c r="O815" s="4" t="s">
        <v>269</v>
      </c>
      <c r="P815" s="5" t="s">
        <v>82</v>
      </c>
      <c r="Q815" s="56">
        <v>0</v>
      </c>
      <c r="R815" s="56">
        <v>0</v>
      </c>
      <c r="S815" s="56">
        <v>0</v>
      </c>
      <c r="T815" s="56">
        <f>_xlfn.XLOOKUP($N815,'Calculo Leads Conveniencia'!$A$77:$A$104,'Calculo Leads Conveniencia'!G$77:G$104)*_xlfn.XLOOKUP($P815,'Base Grupo de Produtos'!$E$23:$E$39,'Base Grupo de Produtos'!$F$23:$F$39)</f>
        <v>0</v>
      </c>
      <c r="U815" s="56">
        <f>_xlfn.XLOOKUP($N815,'Calculo Leads Conveniencia'!$A$77:$A$104,'Calculo Leads Conveniencia'!H$77:H$104)*_xlfn.XLOOKUP($P815,'Base Grupo de Produtos'!$E$23:$E$39,'Base Grupo de Produtos'!$F$23:$F$39)</f>
        <v>0</v>
      </c>
      <c r="V815" s="56">
        <f>_xlfn.XLOOKUP($N815,'Calculo Leads Conveniencia'!$A$77:$A$104,'Calculo Leads Conveniencia'!I$77:I$104)*_xlfn.XLOOKUP($P815,'Base Grupo de Produtos'!$E$23:$E$39,'Base Grupo de Produtos'!$F$23:$F$39)</f>
        <v>0</v>
      </c>
      <c r="W815" s="56">
        <f>_xlfn.XLOOKUP($N815,'Calculo Leads Conveniencia'!$A$77:$A$104,'Calculo Leads Conveniencia'!J$77:J$104)*_xlfn.XLOOKUP($P815,'Base Grupo de Produtos'!$E$23:$E$39,'Base Grupo de Produtos'!$F$23:$F$39)</f>
        <v>0</v>
      </c>
      <c r="X815" s="56">
        <f>_xlfn.XLOOKUP($N815,'Calculo Leads Conveniencia'!$A$77:$A$104,'Calculo Leads Conveniencia'!K$77:K$104)*_xlfn.XLOOKUP($P815,'Base Grupo de Produtos'!$E$23:$E$39,'Base Grupo de Produtos'!$F$23:$F$39)</f>
        <v>0</v>
      </c>
      <c r="Y815" s="56">
        <f>_xlfn.XLOOKUP($N815,'Calculo Leads Conveniencia'!$A$77:$A$104,'Calculo Leads Conveniencia'!L$77:L$104)*_xlfn.XLOOKUP($P815,'Base Grupo de Produtos'!$E$23:$E$39,'Base Grupo de Produtos'!$F$23:$F$39)</f>
        <v>0</v>
      </c>
      <c r="Z815" s="56">
        <f>_xlfn.XLOOKUP($N815,'Calculo Leads Conveniencia'!$A$77:$A$104,'Calculo Leads Conveniencia'!M$77:M$104)*_xlfn.XLOOKUP($P815,'Base Grupo de Produtos'!$E$23:$E$39,'Base Grupo de Produtos'!$F$23:$F$39)</f>
        <v>0</v>
      </c>
      <c r="AA815" s="56">
        <f>_xlfn.XLOOKUP($N815,'Calculo Leads Conveniencia'!$A$77:$A$104,'Calculo Leads Conveniencia'!N$77:N$104)*_xlfn.XLOOKUP($P815,'Base Grupo de Produtos'!$E$23:$E$39,'Base Grupo de Produtos'!$F$23:$F$39)</f>
        <v>0</v>
      </c>
      <c r="AB815" s="56">
        <f>_xlfn.XLOOKUP($N815,'Calculo Leads Conveniencia'!$A$77:$A$104,'Calculo Leads Conveniencia'!O$77:O$104)*_xlfn.XLOOKUP($P815,'Base Grupo de Produtos'!$E$23:$E$39,'Base Grupo de Produtos'!$F$23:$F$39)</f>
        <v>0</v>
      </c>
      <c r="AC815" s="61">
        <f t="shared" si="794"/>
        <v>0</v>
      </c>
      <c r="AD815" s="28"/>
      <c r="AE815" s="12"/>
      <c r="AF815" s="29"/>
      <c r="AG815" s="9"/>
      <c r="AH815" s="10"/>
      <c r="AI815" s="9"/>
      <c r="AJ815" s="11"/>
      <c r="AK815" s="9"/>
      <c r="AL815" s="13"/>
      <c r="AM815" s="9"/>
    </row>
    <row r="816" spans="1:39" x14ac:dyDescent="0.3">
      <c r="A816" s="2" t="str">
        <f t="shared" si="810"/>
        <v>NÃO</v>
      </c>
      <c r="B816" s="2" t="str">
        <f>_xlfn.XLOOKUP($N816,'Base de Grupos'!$A:$A,'Base de Grupos'!$D:$D)</f>
        <v>1000065763</v>
      </c>
      <c r="C816" s="5" t="str">
        <f>_xlfn.XLOOKUP($N816,'Base de Grupos'!$A:$A,'Base de Grupos'!$E:$E)</f>
        <v>CANAL VENDA INTERNA</v>
      </c>
      <c r="D816" s="5" t="str">
        <f>_xlfn.XLOOKUP($N816,'Base de Grupos'!$A:$A,'Base de Grupos'!$F:$F)</f>
        <v>1000065763</v>
      </c>
      <c r="E816" s="2" t="str">
        <f>_xlfn.XLOOKUP($N816,'Base de Grupos'!$A:$A,'Base de Grupos'!$G:$G)</f>
        <v>CANAL VENDA INTERNA</v>
      </c>
      <c r="F816" s="2" t="str">
        <f>_xlfn.XLOOKUP($N816,'Base de Grupos'!$A:$A,'Base de Grupos'!$H:$H)</f>
        <v>1000174119</v>
      </c>
      <c r="G816" s="5" t="str">
        <f>_xlfn.XLOOKUP($N816,'Base de Grupos'!$A:$A,'Base de Grupos'!$I:$I)</f>
        <v>REGIONAL VENDA INTERNA - CONVENIENCIA</v>
      </c>
      <c r="H816" s="5" t="str">
        <f>_xlfn.XLOOKUP($N816,'Base de Grupos'!$A:$A,'Base de Grupos'!$J:$J)</f>
        <v>1000174119</v>
      </c>
      <c r="I816" s="2" t="str">
        <f>_xlfn.XLOOKUP($N816,'Base de Grupos'!$A:$A,'Base de Grupos'!$K:$K)</f>
        <v>REGIONAL VENDA INTERNA - CONVENIENCIA</v>
      </c>
      <c r="J816" s="2" t="str">
        <f>_xlfn.XLOOKUP($N816,'Base de Grupos'!$A:$A,'Base de Grupos'!$L:$L)</f>
        <v>1000174119</v>
      </c>
      <c r="K816" s="5" t="str">
        <f>_xlfn.XLOOKUP($N816,'Base de Grupos'!$A:$A,'Base de Grupos'!$M:$M)</f>
        <v>REGIONAL VENDA INTERNA - CONVENIENCIA</v>
      </c>
      <c r="L816" s="5" t="str">
        <f t="shared" si="811"/>
        <v/>
      </c>
      <c r="M816" s="5" t="str">
        <f>_xlfn.XLOOKUP($N816,'Base de Grupos'!$A:$A,'Base de Grupos'!$C:$C)</f>
        <v>BA</v>
      </c>
      <c r="N816" s="3">
        <v>1510</v>
      </c>
      <c r="O816" s="4" t="s">
        <v>269</v>
      </c>
      <c r="P816" s="5" t="s">
        <v>84</v>
      </c>
      <c r="Q816" s="56">
        <v>0</v>
      </c>
      <c r="R816" s="56">
        <v>0</v>
      </c>
      <c r="S816" s="56">
        <v>0</v>
      </c>
      <c r="T816" s="56">
        <f>_xlfn.XLOOKUP($N816,'Calculo Leads Conveniencia'!$A$77:$A$104,'Calculo Leads Conveniencia'!G$77:G$104)*_xlfn.XLOOKUP($P816,'Base Grupo de Produtos'!$E$23:$E$39,'Base Grupo de Produtos'!$F$23:$F$39)</f>
        <v>0</v>
      </c>
      <c r="U816" s="56">
        <f>_xlfn.XLOOKUP($N816,'Calculo Leads Conveniencia'!$A$77:$A$104,'Calculo Leads Conveniencia'!H$77:H$104)*_xlfn.XLOOKUP($P816,'Base Grupo de Produtos'!$E$23:$E$39,'Base Grupo de Produtos'!$F$23:$F$39)</f>
        <v>0</v>
      </c>
      <c r="V816" s="56">
        <f>_xlfn.XLOOKUP($N816,'Calculo Leads Conveniencia'!$A$77:$A$104,'Calculo Leads Conveniencia'!I$77:I$104)*_xlfn.XLOOKUP($P816,'Base Grupo de Produtos'!$E$23:$E$39,'Base Grupo de Produtos'!$F$23:$F$39)</f>
        <v>0</v>
      </c>
      <c r="W816" s="56">
        <f>_xlfn.XLOOKUP($N816,'Calculo Leads Conveniencia'!$A$77:$A$104,'Calculo Leads Conveniencia'!J$77:J$104)*_xlfn.XLOOKUP($P816,'Base Grupo de Produtos'!$E$23:$E$39,'Base Grupo de Produtos'!$F$23:$F$39)</f>
        <v>0</v>
      </c>
      <c r="X816" s="56">
        <f>_xlfn.XLOOKUP($N816,'Calculo Leads Conveniencia'!$A$77:$A$104,'Calculo Leads Conveniencia'!K$77:K$104)*_xlfn.XLOOKUP($P816,'Base Grupo de Produtos'!$E$23:$E$39,'Base Grupo de Produtos'!$F$23:$F$39)</f>
        <v>0</v>
      </c>
      <c r="Y816" s="56">
        <f>_xlfn.XLOOKUP($N816,'Calculo Leads Conveniencia'!$A$77:$A$104,'Calculo Leads Conveniencia'!L$77:L$104)*_xlfn.XLOOKUP($P816,'Base Grupo de Produtos'!$E$23:$E$39,'Base Grupo de Produtos'!$F$23:$F$39)</f>
        <v>0</v>
      </c>
      <c r="Z816" s="56">
        <f>_xlfn.XLOOKUP($N816,'Calculo Leads Conveniencia'!$A$77:$A$104,'Calculo Leads Conveniencia'!M$77:M$104)*_xlfn.XLOOKUP($P816,'Base Grupo de Produtos'!$E$23:$E$39,'Base Grupo de Produtos'!$F$23:$F$39)</f>
        <v>0</v>
      </c>
      <c r="AA816" s="56">
        <f>_xlfn.XLOOKUP($N816,'Calculo Leads Conveniencia'!$A$77:$A$104,'Calculo Leads Conveniencia'!N$77:N$104)*_xlfn.XLOOKUP($P816,'Base Grupo de Produtos'!$E$23:$E$39,'Base Grupo de Produtos'!$F$23:$F$39)</f>
        <v>0</v>
      </c>
      <c r="AB816" s="56">
        <f>_xlfn.XLOOKUP($N816,'Calculo Leads Conveniencia'!$A$77:$A$104,'Calculo Leads Conveniencia'!O$77:O$104)*_xlfn.XLOOKUP($P816,'Base Grupo de Produtos'!$E$23:$E$39,'Base Grupo de Produtos'!$F$23:$F$39)</f>
        <v>0</v>
      </c>
      <c r="AC816" s="61">
        <f t="shared" si="794"/>
        <v>0</v>
      </c>
      <c r="AD816" s="28"/>
      <c r="AE816" s="12"/>
      <c r="AF816" s="29"/>
      <c r="AG816" s="9"/>
      <c r="AH816" s="10"/>
      <c r="AI816" s="9"/>
      <c r="AJ816" s="11"/>
      <c r="AK816" s="9"/>
      <c r="AL816" s="13"/>
      <c r="AM816" s="9"/>
    </row>
    <row r="817" spans="1:39" x14ac:dyDescent="0.3">
      <c r="A817" s="2" t="str">
        <f t="shared" si="810"/>
        <v>NÃO</v>
      </c>
      <c r="B817" s="2" t="str">
        <f>_xlfn.XLOOKUP($N817,'Base de Grupos'!$A:$A,'Base de Grupos'!$D:$D)</f>
        <v>1000065763</v>
      </c>
      <c r="C817" s="5" t="str">
        <f>_xlfn.XLOOKUP($N817,'Base de Grupos'!$A:$A,'Base de Grupos'!$E:$E)</f>
        <v>CANAL VENDA INTERNA</v>
      </c>
      <c r="D817" s="5" t="str">
        <f>_xlfn.XLOOKUP($N817,'Base de Grupos'!$A:$A,'Base de Grupos'!$F:$F)</f>
        <v>1000065763</v>
      </c>
      <c r="E817" s="2" t="str">
        <f>_xlfn.XLOOKUP($N817,'Base de Grupos'!$A:$A,'Base de Grupos'!$G:$G)</f>
        <v>CANAL VENDA INTERNA</v>
      </c>
      <c r="F817" s="2" t="str">
        <f>_xlfn.XLOOKUP($N817,'Base de Grupos'!$A:$A,'Base de Grupos'!$H:$H)</f>
        <v>1000174119</v>
      </c>
      <c r="G817" s="5" t="str">
        <f>_xlfn.XLOOKUP($N817,'Base de Grupos'!$A:$A,'Base de Grupos'!$I:$I)</f>
        <v>REGIONAL VENDA INTERNA - CONVENIENCIA</v>
      </c>
      <c r="H817" s="5" t="str">
        <f>_xlfn.XLOOKUP($N817,'Base de Grupos'!$A:$A,'Base de Grupos'!$J:$J)</f>
        <v>1000174119</v>
      </c>
      <c r="I817" s="2" t="str">
        <f>_xlfn.XLOOKUP($N817,'Base de Grupos'!$A:$A,'Base de Grupos'!$K:$K)</f>
        <v>REGIONAL VENDA INTERNA - CONVENIENCIA</v>
      </c>
      <c r="J817" s="2" t="str">
        <f>_xlfn.XLOOKUP($N817,'Base de Grupos'!$A:$A,'Base de Grupos'!$L:$L)</f>
        <v>1000174119</v>
      </c>
      <c r="K817" s="5" t="str">
        <f>_xlfn.XLOOKUP($N817,'Base de Grupos'!$A:$A,'Base de Grupos'!$M:$M)</f>
        <v>REGIONAL VENDA INTERNA - CONVENIENCIA</v>
      </c>
      <c r="L817" s="5" t="str">
        <f t="shared" si="811"/>
        <v/>
      </c>
      <c r="M817" s="5" t="str">
        <f>_xlfn.XLOOKUP($N817,'Base de Grupos'!$A:$A,'Base de Grupos'!$C:$C)</f>
        <v>BA</v>
      </c>
      <c r="N817" s="3">
        <v>1510</v>
      </c>
      <c r="O817" s="4" t="s">
        <v>269</v>
      </c>
      <c r="P817" s="5" t="s">
        <v>83</v>
      </c>
      <c r="Q817" s="56">
        <v>0</v>
      </c>
      <c r="R817" s="56">
        <v>0</v>
      </c>
      <c r="S817" s="56">
        <v>0</v>
      </c>
      <c r="T817" s="56">
        <f>_xlfn.XLOOKUP($N817,'Calculo Leads Conveniencia'!$A$77:$A$104,'Calculo Leads Conveniencia'!G$77:G$104)*_xlfn.XLOOKUP($P817,'Base Grupo de Produtos'!$E$23:$E$39,'Base Grupo de Produtos'!$F$23:$F$39)</f>
        <v>0</v>
      </c>
      <c r="U817" s="56">
        <f>_xlfn.XLOOKUP($N817,'Calculo Leads Conveniencia'!$A$77:$A$104,'Calculo Leads Conveniencia'!H$77:H$104)*_xlfn.XLOOKUP($P817,'Base Grupo de Produtos'!$E$23:$E$39,'Base Grupo de Produtos'!$F$23:$F$39)</f>
        <v>0</v>
      </c>
      <c r="V817" s="56">
        <f>_xlfn.XLOOKUP($N817,'Calculo Leads Conveniencia'!$A$77:$A$104,'Calculo Leads Conveniencia'!I$77:I$104)*_xlfn.XLOOKUP($P817,'Base Grupo de Produtos'!$E$23:$E$39,'Base Grupo de Produtos'!$F$23:$F$39)</f>
        <v>0</v>
      </c>
      <c r="W817" s="56">
        <f>_xlfn.XLOOKUP($N817,'Calculo Leads Conveniencia'!$A$77:$A$104,'Calculo Leads Conveniencia'!J$77:J$104)*_xlfn.XLOOKUP($P817,'Base Grupo de Produtos'!$E$23:$E$39,'Base Grupo de Produtos'!$F$23:$F$39)</f>
        <v>0</v>
      </c>
      <c r="X817" s="56">
        <f>_xlfn.XLOOKUP($N817,'Calculo Leads Conveniencia'!$A$77:$A$104,'Calculo Leads Conveniencia'!K$77:K$104)*_xlfn.XLOOKUP($P817,'Base Grupo de Produtos'!$E$23:$E$39,'Base Grupo de Produtos'!$F$23:$F$39)</f>
        <v>0</v>
      </c>
      <c r="Y817" s="56">
        <f>_xlfn.XLOOKUP($N817,'Calculo Leads Conveniencia'!$A$77:$A$104,'Calculo Leads Conveniencia'!L$77:L$104)*_xlfn.XLOOKUP($P817,'Base Grupo de Produtos'!$E$23:$E$39,'Base Grupo de Produtos'!$F$23:$F$39)</f>
        <v>0</v>
      </c>
      <c r="Z817" s="56">
        <f>_xlfn.XLOOKUP($N817,'Calculo Leads Conveniencia'!$A$77:$A$104,'Calculo Leads Conveniencia'!M$77:M$104)*_xlfn.XLOOKUP($P817,'Base Grupo de Produtos'!$E$23:$E$39,'Base Grupo de Produtos'!$F$23:$F$39)</f>
        <v>0</v>
      </c>
      <c r="AA817" s="56">
        <f>_xlfn.XLOOKUP($N817,'Calculo Leads Conveniencia'!$A$77:$A$104,'Calculo Leads Conveniencia'!N$77:N$104)*_xlfn.XLOOKUP($P817,'Base Grupo de Produtos'!$E$23:$E$39,'Base Grupo de Produtos'!$F$23:$F$39)</f>
        <v>0</v>
      </c>
      <c r="AB817" s="56">
        <f>_xlfn.XLOOKUP($N817,'Calculo Leads Conveniencia'!$A$77:$A$104,'Calculo Leads Conveniencia'!O$77:O$104)*_xlfn.XLOOKUP($P817,'Base Grupo de Produtos'!$E$23:$E$39,'Base Grupo de Produtos'!$F$23:$F$39)</f>
        <v>0</v>
      </c>
      <c r="AC817" s="61">
        <f t="shared" si="794"/>
        <v>0</v>
      </c>
      <c r="AD817" s="28"/>
      <c r="AE817" s="12"/>
      <c r="AF817" s="29"/>
      <c r="AG817" s="9"/>
      <c r="AH817" s="10"/>
      <c r="AI817" s="9"/>
      <c r="AJ817" s="11"/>
      <c r="AK817" s="9"/>
      <c r="AL817" s="13"/>
      <c r="AM817" s="9"/>
    </row>
    <row r="818" spans="1:39" x14ac:dyDescent="0.3">
      <c r="A818" s="2" t="str">
        <f t="shared" si="810"/>
        <v>NÃO</v>
      </c>
      <c r="B818" s="2" t="str">
        <f>_xlfn.XLOOKUP($N818,'Base de Grupos'!$A:$A,'Base de Grupos'!$D:$D)</f>
        <v>1000065763</v>
      </c>
      <c r="C818" s="5" t="str">
        <f>_xlfn.XLOOKUP($N818,'Base de Grupos'!$A:$A,'Base de Grupos'!$E:$E)</f>
        <v>CANAL VENDA INTERNA</v>
      </c>
      <c r="D818" s="5" t="str">
        <f>_xlfn.XLOOKUP($N818,'Base de Grupos'!$A:$A,'Base de Grupos'!$F:$F)</f>
        <v>1000065763</v>
      </c>
      <c r="E818" s="2" t="str">
        <f>_xlfn.XLOOKUP($N818,'Base de Grupos'!$A:$A,'Base de Grupos'!$G:$G)</f>
        <v>CANAL VENDA INTERNA</v>
      </c>
      <c r="F818" s="2" t="str">
        <f>_xlfn.XLOOKUP($N818,'Base de Grupos'!$A:$A,'Base de Grupos'!$H:$H)</f>
        <v>1000174119</v>
      </c>
      <c r="G818" s="5" t="str">
        <f>_xlfn.XLOOKUP($N818,'Base de Grupos'!$A:$A,'Base de Grupos'!$I:$I)</f>
        <v>REGIONAL VENDA INTERNA - CONVENIENCIA</v>
      </c>
      <c r="H818" s="5" t="str">
        <f>_xlfn.XLOOKUP($N818,'Base de Grupos'!$A:$A,'Base de Grupos'!$J:$J)</f>
        <v>1000174119</v>
      </c>
      <c r="I818" s="2" t="str">
        <f>_xlfn.XLOOKUP($N818,'Base de Grupos'!$A:$A,'Base de Grupos'!$K:$K)</f>
        <v>REGIONAL VENDA INTERNA - CONVENIENCIA</v>
      </c>
      <c r="J818" s="2" t="str">
        <f>_xlfn.XLOOKUP($N818,'Base de Grupos'!$A:$A,'Base de Grupos'!$L:$L)</f>
        <v>1000174119</v>
      </c>
      <c r="K818" s="5" t="str">
        <f>_xlfn.XLOOKUP($N818,'Base de Grupos'!$A:$A,'Base de Grupos'!$M:$M)</f>
        <v>REGIONAL VENDA INTERNA - CONVENIENCIA</v>
      </c>
      <c r="L818" s="5" t="str">
        <f t="shared" si="811"/>
        <v/>
      </c>
      <c r="M818" s="5" t="str">
        <f>_xlfn.XLOOKUP($N818,'Base de Grupos'!$A:$A,'Base de Grupos'!$C:$C)</f>
        <v>BA</v>
      </c>
      <c r="N818" s="3">
        <v>1510</v>
      </c>
      <c r="O818" s="4" t="s">
        <v>269</v>
      </c>
      <c r="P818" s="5" t="s">
        <v>87</v>
      </c>
      <c r="Q818" s="56">
        <v>0</v>
      </c>
      <c r="R818" s="56">
        <v>0</v>
      </c>
      <c r="S818" s="56">
        <v>0</v>
      </c>
      <c r="T818" s="56">
        <f>_xlfn.XLOOKUP($N818,'Calculo Leads Conveniencia'!$A$77:$A$104,'Calculo Leads Conveniencia'!G$77:G$104)*_xlfn.XLOOKUP($P818,'Base Grupo de Produtos'!$E$23:$E$39,'Base Grupo de Produtos'!$F$23:$F$39)</f>
        <v>0</v>
      </c>
      <c r="U818" s="56">
        <f>_xlfn.XLOOKUP($N818,'Calculo Leads Conveniencia'!$A$77:$A$104,'Calculo Leads Conveniencia'!H$77:H$104)*_xlfn.XLOOKUP($P818,'Base Grupo de Produtos'!$E$23:$E$39,'Base Grupo de Produtos'!$F$23:$F$39)</f>
        <v>0</v>
      </c>
      <c r="V818" s="56">
        <f>_xlfn.XLOOKUP($N818,'Calculo Leads Conveniencia'!$A$77:$A$104,'Calculo Leads Conveniencia'!I$77:I$104)*_xlfn.XLOOKUP($P818,'Base Grupo de Produtos'!$E$23:$E$39,'Base Grupo de Produtos'!$F$23:$F$39)</f>
        <v>0</v>
      </c>
      <c r="W818" s="56">
        <f>_xlfn.XLOOKUP($N818,'Calculo Leads Conveniencia'!$A$77:$A$104,'Calculo Leads Conveniencia'!J$77:J$104)*_xlfn.XLOOKUP($P818,'Base Grupo de Produtos'!$E$23:$E$39,'Base Grupo de Produtos'!$F$23:$F$39)</f>
        <v>0</v>
      </c>
      <c r="X818" s="56">
        <f>_xlfn.XLOOKUP($N818,'Calculo Leads Conveniencia'!$A$77:$A$104,'Calculo Leads Conveniencia'!K$77:K$104)*_xlfn.XLOOKUP($P818,'Base Grupo de Produtos'!$E$23:$E$39,'Base Grupo de Produtos'!$F$23:$F$39)</f>
        <v>0</v>
      </c>
      <c r="Y818" s="56">
        <f>_xlfn.XLOOKUP($N818,'Calculo Leads Conveniencia'!$A$77:$A$104,'Calculo Leads Conveniencia'!L$77:L$104)*_xlfn.XLOOKUP($P818,'Base Grupo de Produtos'!$E$23:$E$39,'Base Grupo de Produtos'!$F$23:$F$39)</f>
        <v>0</v>
      </c>
      <c r="Z818" s="56">
        <f>_xlfn.XLOOKUP($N818,'Calculo Leads Conveniencia'!$A$77:$A$104,'Calculo Leads Conveniencia'!M$77:M$104)*_xlfn.XLOOKUP($P818,'Base Grupo de Produtos'!$E$23:$E$39,'Base Grupo de Produtos'!$F$23:$F$39)</f>
        <v>0</v>
      </c>
      <c r="AA818" s="56">
        <f>_xlfn.XLOOKUP($N818,'Calculo Leads Conveniencia'!$A$77:$A$104,'Calculo Leads Conveniencia'!N$77:N$104)*_xlfn.XLOOKUP($P818,'Base Grupo de Produtos'!$E$23:$E$39,'Base Grupo de Produtos'!$F$23:$F$39)</f>
        <v>0</v>
      </c>
      <c r="AB818" s="56">
        <f>_xlfn.XLOOKUP($N818,'Calculo Leads Conveniencia'!$A$77:$A$104,'Calculo Leads Conveniencia'!O$77:O$104)*_xlfn.XLOOKUP($P818,'Base Grupo de Produtos'!$E$23:$E$39,'Base Grupo de Produtos'!$F$23:$F$39)</f>
        <v>0</v>
      </c>
      <c r="AC818" s="61">
        <f t="shared" si="794"/>
        <v>0</v>
      </c>
      <c r="AD818" s="28"/>
      <c r="AE818" s="12"/>
      <c r="AF818" s="29"/>
      <c r="AG818" s="9"/>
      <c r="AH818" s="10"/>
      <c r="AI818" s="9"/>
      <c r="AJ818" s="11"/>
      <c r="AK818" s="9"/>
      <c r="AL818" s="13"/>
      <c r="AM818" s="9"/>
    </row>
    <row r="819" spans="1:39" x14ac:dyDescent="0.3">
      <c r="A819" s="2" t="str">
        <f t="shared" si="810"/>
        <v>NÃO</v>
      </c>
      <c r="B819" s="2" t="str">
        <f>_xlfn.XLOOKUP($N819,'Base de Grupos'!$A:$A,'Base de Grupos'!$D:$D)</f>
        <v>1000065763</v>
      </c>
      <c r="C819" s="5" t="str">
        <f>_xlfn.XLOOKUP($N819,'Base de Grupos'!$A:$A,'Base de Grupos'!$E:$E)</f>
        <v>CANAL VENDA INTERNA</v>
      </c>
      <c r="D819" s="5" t="str">
        <f>_xlfn.XLOOKUP($N819,'Base de Grupos'!$A:$A,'Base de Grupos'!$F:$F)</f>
        <v>1000065763</v>
      </c>
      <c r="E819" s="2" t="str">
        <f>_xlfn.XLOOKUP($N819,'Base de Grupos'!$A:$A,'Base de Grupos'!$G:$G)</f>
        <v>CANAL VENDA INTERNA</v>
      </c>
      <c r="F819" s="2" t="str">
        <f>_xlfn.XLOOKUP($N819,'Base de Grupos'!$A:$A,'Base de Grupos'!$H:$H)</f>
        <v>1000174119</v>
      </c>
      <c r="G819" s="5" t="str">
        <f>_xlfn.XLOOKUP($N819,'Base de Grupos'!$A:$A,'Base de Grupos'!$I:$I)</f>
        <v>REGIONAL VENDA INTERNA - CONVENIENCIA</v>
      </c>
      <c r="H819" s="5" t="str">
        <f>_xlfn.XLOOKUP($N819,'Base de Grupos'!$A:$A,'Base de Grupos'!$J:$J)</f>
        <v>1000174119</v>
      </c>
      <c r="I819" s="2" t="str">
        <f>_xlfn.XLOOKUP($N819,'Base de Grupos'!$A:$A,'Base de Grupos'!$K:$K)</f>
        <v>REGIONAL VENDA INTERNA - CONVENIENCIA</v>
      </c>
      <c r="J819" s="2" t="str">
        <f>_xlfn.XLOOKUP($N819,'Base de Grupos'!$A:$A,'Base de Grupos'!$L:$L)</f>
        <v>1000174119</v>
      </c>
      <c r="K819" s="5" t="str">
        <f>_xlfn.XLOOKUP($N819,'Base de Grupos'!$A:$A,'Base de Grupos'!$M:$M)</f>
        <v>REGIONAL VENDA INTERNA - CONVENIENCIA</v>
      </c>
      <c r="L819" s="5" t="str">
        <f t="shared" si="811"/>
        <v/>
      </c>
      <c r="M819" s="5" t="str">
        <f>_xlfn.XLOOKUP($N819,'Base de Grupos'!$A:$A,'Base de Grupos'!$C:$C)</f>
        <v>BA</v>
      </c>
      <c r="N819" s="3">
        <v>1510</v>
      </c>
      <c r="O819" s="4" t="s">
        <v>269</v>
      </c>
      <c r="P819" s="5" t="s">
        <v>85</v>
      </c>
      <c r="Q819" s="56">
        <v>0</v>
      </c>
      <c r="R819" s="56">
        <v>0</v>
      </c>
      <c r="S819" s="56">
        <v>0</v>
      </c>
      <c r="T819" s="56">
        <f>_xlfn.XLOOKUP($N819,'Calculo Leads Conveniencia'!$A$77:$A$104,'Calculo Leads Conveniencia'!G$77:G$104)*_xlfn.XLOOKUP($P819,'Base Grupo de Produtos'!$E$23:$E$39,'Base Grupo de Produtos'!$F$23:$F$39)</f>
        <v>0</v>
      </c>
      <c r="U819" s="56">
        <f>_xlfn.XLOOKUP($N819,'Calculo Leads Conveniencia'!$A$77:$A$104,'Calculo Leads Conveniencia'!H$77:H$104)*_xlfn.XLOOKUP($P819,'Base Grupo de Produtos'!$E$23:$E$39,'Base Grupo de Produtos'!$F$23:$F$39)</f>
        <v>0</v>
      </c>
      <c r="V819" s="56">
        <f>_xlfn.XLOOKUP($N819,'Calculo Leads Conveniencia'!$A$77:$A$104,'Calculo Leads Conveniencia'!I$77:I$104)*_xlfn.XLOOKUP($P819,'Base Grupo de Produtos'!$E$23:$E$39,'Base Grupo de Produtos'!$F$23:$F$39)</f>
        <v>0</v>
      </c>
      <c r="W819" s="56">
        <f>_xlfn.XLOOKUP($N819,'Calculo Leads Conveniencia'!$A$77:$A$104,'Calculo Leads Conveniencia'!J$77:J$104)*_xlfn.XLOOKUP($P819,'Base Grupo de Produtos'!$E$23:$E$39,'Base Grupo de Produtos'!$F$23:$F$39)</f>
        <v>0</v>
      </c>
      <c r="X819" s="56">
        <f>_xlfn.XLOOKUP($N819,'Calculo Leads Conveniencia'!$A$77:$A$104,'Calculo Leads Conveniencia'!K$77:K$104)*_xlfn.XLOOKUP($P819,'Base Grupo de Produtos'!$E$23:$E$39,'Base Grupo de Produtos'!$F$23:$F$39)</f>
        <v>0</v>
      </c>
      <c r="Y819" s="56">
        <f>_xlfn.XLOOKUP($N819,'Calculo Leads Conveniencia'!$A$77:$A$104,'Calculo Leads Conveniencia'!L$77:L$104)*_xlfn.XLOOKUP($P819,'Base Grupo de Produtos'!$E$23:$E$39,'Base Grupo de Produtos'!$F$23:$F$39)</f>
        <v>0</v>
      </c>
      <c r="Z819" s="56">
        <f>_xlfn.XLOOKUP($N819,'Calculo Leads Conveniencia'!$A$77:$A$104,'Calculo Leads Conveniencia'!M$77:M$104)*_xlfn.XLOOKUP($P819,'Base Grupo de Produtos'!$E$23:$E$39,'Base Grupo de Produtos'!$F$23:$F$39)</f>
        <v>0</v>
      </c>
      <c r="AA819" s="56">
        <f>_xlfn.XLOOKUP($N819,'Calculo Leads Conveniencia'!$A$77:$A$104,'Calculo Leads Conveniencia'!N$77:N$104)*_xlfn.XLOOKUP($P819,'Base Grupo de Produtos'!$E$23:$E$39,'Base Grupo de Produtos'!$F$23:$F$39)</f>
        <v>0</v>
      </c>
      <c r="AB819" s="56">
        <f>_xlfn.XLOOKUP($N819,'Calculo Leads Conveniencia'!$A$77:$A$104,'Calculo Leads Conveniencia'!O$77:O$104)*_xlfn.XLOOKUP($P819,'Base Grupo de Produtos'!$E$23:$E$39,'Base Grupo de Produtos'!$F$23:$F$39)</f>
        <v>0</v>
      </c>
      <c r="AC819" s="61">
        <f t="shared" si="794"/>
        <v>0</v>
      </c>
      <c r="AD819" s="28"/>
      <c r="AE819" s="12"/>
      <c r="AF819" s="29"/>
      <c r="AG819" s="9"/>
      <c r="AH819" s="10"/>
      <c r="AI819" s="9"/>
      <c r="AJ819" s="11"/>
      <c r="AK819" s="9"/>
      <c r="AL819" s="13"/>
      <c r="AM819" s="9"/>
    </row>
    <row r="820" spans="1:39" x14ac:dyDescent="0.3">
      <c r="A820" s="2" t="str">
        <f t="shared" si="810"/>
        <v>NÃO</v>
      </c>
      <c r="B820" s="2" t="str">
        <f>_xlfn.XLOOKUP($N820,'Base de Grupos'!$A:$A,'Base de Grupos'!$D:$D)</f>
        <v>1000065763</v>
      </c>
      <c r="C820" s="5" t="str">
        <f>_xlfn.XLOOKUP($N820,'Base de Grupos'!$A:$A,'Base de Grupos'!$E:$E)</f>
        <v>CANAL VENDA INTERNA</v>
      </c>
      <c r="D820" s="5" t="str">
        <f>_xlfn.XLOOKUP($N820,'Base de Grupos'!$A:$A,'Base de Grupos'!$F:$F)</f>
        <v>1000065763</v>
      </c>
      <c r="E820" s="2" t="str">
        <f>_xlfn.XLOOKUP($N820,'Base de Grupos'!$A:$A,'Base de Grupos'!$G:$G)</f>
        <v>CANAL VENDA INTERNA</v>
      </c>
      <c r="F820" s="2" t="str">
        <f>_xlfn.XLOOKUP($N820,'Base de Grupos'!$A:$A,'Base de Grupos'!$H:$H)</f>
        <v>1000174119</v>
      </c>
      <c r="G820" s="5" t="str">
        <f>_xlfn.XLOOKUP($N820,'Base de Grupos'!$A:$A,'Base de Grupos'!$I:$I)</f>
        <v>REGIONAL VENDA INTERNA - CONVENIENCIA</v>
      </c>
      <c r="H820" s="5" t="str">
        <f>_xlfn.XLOOKUP($N820,'Base de Grupos'!$A:$A,'Base de Grupos'!$J:$J)</f>
        <v>1000174119</v>
      </c>
      <c r="I820" s="2" t="str">
        <f>_xlfn.XLOOKUP($N820,'Base de Grupos'!$A:$A,'Base de Grupos'!$K:$K)</f>
        <v>REGIONAL VENDA INTERNA - CONVENIENCIA</v>
      </c>
      <c r="J820" s="2" t="str">
        <f>_xlfn.XLOOKUP($N820,'Base de Grupos'!$A:$A,'Base de Grupos'!$L:$L)</f>
        <v>1000174119</v>
      </c>
      <c r="K820" s="5" t="str">
        <f>_xlfn.XLOOKUP($N820,'Base de Grupos'!$A:$A,'Base de Grupos'!$M:$M)</f>
        <v>REGIONAL VENDA INTERNA - CONVENIENCIA</v>
      </c>
      <c r="L820" s="5" t="str">
        <f t="shared" si="811"/>
        <v/>
      </c>
      <c r="M820" s="5" t="str">
        <f>_xlfn.XLOOKUP($N820,'Base de Grupos'!$A:$A,'Base de Grupos'!$C:$C)</f>
        <v>BA</v>
      </c>
      <c r="N820" s="3">
        <v>1510</v>
      </c>
      <c r="O820" s="4" t="s">
        <v>269</v>
      </c>
      <c r="P820" s="5" t="s">
        <v>92</v>
      </c>
      <c r="Q820" s="56">
        <v>0</v>
      </c>
      <c r="R820" s="56">
        <v>0</v>
      </c>
      <c r="S820" s="56">
        <v>0</v>
      </c>
      <c r="T820" s="56">
        <f>_xlfn.XLOOKUP($N820,'Calculo Leads Conveniencia'!$A$77:$A$104,'Calculo Leads Conveniencia'!G$77:G$104)*_xlfn.XLOOKUP($P820,'Base Grupo de Produtos'!$E$23:$E$39,'Base Grupo de Produtos'!$F$23:$F$39)</f>
        <v>0</v>
      </c>
      <c r="U820" s="56">
        <f>_xlfn.XLOOKUP($N820,'Calculo Leads Conveniencia'!$A$77:$A$104,'Calculo Leads Conveniencia'!H$77:H$104)*_xlfn.XLOOKUP($P820,'Base Grupo de Produtos'!$E$23:$E$39,'Base Grupo de Produtos'!$F$23:$F$39)</f>
        <v>0</v>
      </c>
      <c r="V820" s="56">
        <f>_xlfn.XLOOKUP($N820,'Calculo Leads Conveniencia'!$A$77:$A$104,'Calculo Leads Conveniencia'!I$77:I$104)*_xlfn.XLOOKUP($P820,'Base Grupo de Produtos'!$E$23:$E$39,'Base Grupo de Produtos'!$F$23:$F$39)</f>
        <v>0</v>
      </c>
      <c r="W820" s="56">
        <f>_xlfn.XLOOKUP($N820,'Calculo Leads Conveniencia'!$A$77:$A$104,'Calculo Leads Conveniencia'!J$77:J$104)*_xlfn.XLOOKUP($P820,'Base Grupo de Produtos'!$E$23:$E$39,'Base Grupo de Produtos'!$F$23:$F$39)</f>
        <v>0</v>
      </c>
      <c r="X820" s="56">
        <f>_xlfn.XLOOKUP($N820,'Calculo Leads Conveniencia'!$A$77:$A$104,'Calculo Leads Conveniencia'!K$77:K$104)*_xlfn.XLOOKUP($P820,'Base Grupo de Produtos'!$E$23:$E$39,'Base Grupo de Produtos'!$F$23:$F$39)</f>
        <v>0</v>
      </c>
      <c r="Y820" s="56">
        <f>_xlfn.XLOOKUP($N820,'Calculo Leads Conveniencia'!$A$77:$A$104,'Calculo Leads Conveniencia'!L$77:L$104)*_xlfn.XLOOKUP($P820,'Base Grupo de Produtos'!$E$23:$E$39,'Base Grupo de Produtos'!$F$23:$F$39)</f>
        <v>0</v>
      </c>
      <c r="Z820" s="56">
        <f>_xlfn.XLOOKUP($N820,'Calculo Leads Conveniencia'!$A$77:$A$104,'Calculo Leads Conveniencia'!M$77:M$104)*_xlfn.XLOOKUP($P820,'Base Grupo de Produtos'!$E$23:$E$39,'Base Grupo de Produtos'!$F$23:$F$39)</f>
        <v>0</v>
      </c>
      <c r="AA820" s="56">
        <f>_xlfn.XLOOKUP($N820,'Calculo Leads Conveniencia'!$A$77:$A$104,'Calculo Leads Conveniencia'!N$77:N$104)*_xlfn.XLOOKUP($P820,'Base Grupo de Produtos'!$E$23:$E$39,'Base Grupo de Produtos'!$F$23:$F$39)</f>
        <v>0</v>
      </c>
      <c r="AB820" s="56">
        <f>_xlfn.XLOOKUP($N820,'Calculo Leads Conveniencia'!$A$77:$A$104,'Calculo Leads Conveniencia'!O$77:O$104)*_xlfn.XLOOKUP($P820,'Base Grupo de Produtos'!$E$23:$E$39,'Base Grupo de Produtos'!$F$23:$F$39)</f>
        <v>0</v>
      </c>
      <c r="AC820" s="61">
        <f t="shared" si="794"/>
        <v>0</v>
      </c>
      <c r="AD820" s="28"/>
      <c r="AE820" s="12"/>
      <c r="AF820" s="29"/>
      <c r="AG820" s="9"/>
      <c r="AH820" s="10"/>
      <c r="AI820" s="9"/>
      <c r="AJ820" s="11"/>
      <c r="AK820" s="9"/>
      <c r="AL820" s="13"/>
      <c r="AM820" s="9"/>
    </row>
    <row r="821" spans="1:39" x14ac:dyDescent="0.3">
      <c r="A821" s="2" t="str">
        <f t="shared" si="810"/>
        <v>NÃO</v>
      </c>
      <c r="B821" s="2" t="str">
        <f>_xlfn.XLOOKUP($N821,'Base de Grupos'!$A:$A,'Base de Grupos'!$D:$D)</f>
        <v>1000065763</v>
      </c>
      <c r="C821" s="5" t="str">
        <f>_xlfn.XLOOKUP($N821,'Base de Grupos'!$A:$A,'Base de Grupos'!$E:$E)</f>
        <v>CANAL VENDA INTERNA</v>
      </c>
      <c r="D821" s="5" t="str">
        <f>_xlfn.XLOOKUP($N821,'Base de Grupos'!$A:$A,'Base de Grupos'!$F:$F)</f>
        <v>1000065763</v>
      </c>
      <c r="E821" s="2" t="str">
        <f>_xlfn.XLOOKUP($N821,'Base de Grupos'!$A:$A,'Base de Grupos'!$G:$G)</f>
        <v>CANAL VENDA INTERNA</v>
      </c>
      <c r="F821" s="2" t="str">
        <f>_xlfn.XLOOKUP($N821,'Base de Grupos'!$A:$A,'Base de Grupos'!$H:$H)</f>
        <v>1000174119</v>
      </c>
      <c r="G821" s="5" t="str">
        <f>_xlfn.XLOOKUP($N821,'Base de Grupos'!$A:$A,'Base de Grupos'!$I:$I)</f>
        <v>REGIONAL VENDA INTERNA - CONVENIENCIA</v>
      </c>
      <c r="H821" s="5" t="str">
        <f>_xlfn.XLOOKUP($N821,'Base de Grupos'!$A:$A,'Base de Grupos'!$J:$J)</f>
        <v>1000174119</v>
      </c>
      <c r="I821" s="2" t="str">
        <f>_xlfn.XLOOKUP($N821,'Base de Grupos'!$A:$A,'Base de Grupos'!$K:$K)</f>
        <v>REGIONAL VENDA INTERNA - CONVENIENCIA</v>
      </c>
      <c r="J821" s="2" t="str">
        <f>_xlfn.XLOOKUP($N821,'Base de Grupos'!$A:$A,'Base de Grupos'!$L:$L)</f>
        <v>1000174119</v>
      </c>
      <c r="K821" s="5" t="str">
        <f>_xlfn.XLOOKUP($N821,'Base de Grupos'!$A:$A,'Base de Grupos'!$M:$M)</f>
        <v>REGIONAL VENDA INTERNA - CONVENIENCIA</v>
      </c>
      <c r="L821" s="5" t="str">
        <f t="shared" si="811"/>
        <v/>
      </c>
      <c r="M821" s="5" t="str">
        <f>_xlfn.XLOOKUP($N821,'Base de Grupos'!$A:$A,'Base de Grupos'!$C:$C)</f>
        <v>BA</v>
      </c>
      <c r="N821" s="3">
        <v>1510</v>
      </c>
      <c r="O821" s="4" t="s">
        <v>269</v>
      </c>
      <c r="P821" s="5" t="s">
        <v>86</v>
      </c>
      <c r="Q821" s="56">
        <v>0</v>
      </c>
      <c r="R821" s="56">
        <v>0</v>
      </c>
      <c r="S821" s="56">
        <v>0</v>
      </c>
      <c r="T821" s="56">
        <f>_xlfn.XLOOKUP($N821,'Calculo Leads Conveniencia'!$A$77:$A$104,'Calculo Leads Conveniencia'!G$77:G$104)*_xlfn.XLOOKUP($P821,'Base Grupo de Produtos'!$E$23:$E$39,'Base Grupo de Produtos'!$F$23:$F$39)</f>
        <v>0</v>
      </c>
      <c r="U821" s="56">
        <f>_xlfn.XLOOKUP($N821,'Calculo Leads Conveniencia'!$A$77:$A$104,'Calculo Leads Conveniencia'!H$77:H$104)*_xlfn.XLOOKUP($P821,'Base Grupo de Produtos'!$E$23:$E$39,'Base Grupo de Produtos'!$F$23:$F$39)</f>
        <v>0</v>
      </c>
      <c r="V821" s="56">
        <f>_xlfn.XLOOKUP($N821,'Calculo Leads Conveniencia'!$A$77:$A$104,'Calculo Leads Conveniencia'!I$77:I$104)*_xlfn.XLOOKUP($P821,'Base Grupo de Produtos'!$E$23:$E$39,'Base Grupo de Produtos'!$F$23:$F$39)</f>
        <v>0</v>
      </c>
      <c r="W821" s="56">
        <f>_xlfn.XLOOKUP($N821,'Calculo Leads Conveniencia'!$A$77:$A$104,'Calculo Leads Conveniencia'!J$77:J$104)*_xlfn.XLOOKUP($P821,'Base Grupo de Produtos'!$E$23:$E$39,'Base Grupo de Produtos'!$F$23:$F$39)</f>
        <v>0</v>
      </c>
      <c r="X821" s="56">
        <f>_xlfn.XLOOKUP($N821,'Calculo Leads Conveniencia'!$A$77:$A$104,'Calculo Leads Conveniencia'!K$77:K$104)*_xlfn.XLOOKUP($P821,'Base Grupo de Produtos'!$E$23:$E$39,'Base Grupo de Produtos'!$F$23:$F$39)</f>
        <v>0</v>
      </c>
      <c r="Y821" s="56">
        <f>_xlfn.XLOOKUP($N821,'Calculo Leads Conveniencia'!$A$77:$A$104,'Calculo Leads Conveniencia'!L$77:L$104)*_xlfn.XLOOKUP($P821,'Base Grupo de Produtos'!$E$23:$E$39,'Base Grupo de Produtos'!$F$23:$F$39)</f>
        <v>0</v>
      </c>
      <c r="Z821" s="56">
        <f>_xlfn.XLOOKUP($N821,'Calculo Leads Conveniencia'!$A$77:$A$104,'Calculo Leads Conveniencia'!M$77:M$104)*_xlfn.XLOOKUP($P821,'Base Grupo de Produtos'!$E$23:$E$39,'Base Grupo de Produtos'!$F$23:$F$39)</f>
        <v>0</v>
      </c>
      <c r="AA821" s="56">
        <f>_xlfn.XLOOKUP($N821,'Calculo Leads Conveniencia'!$A$77:$A$104,'Calculo Leads Conveniencia'!N$77:N$104)*_xlfn.XLOOKUP($P821,'Base Grupo de Produtos'!$E$23:$E$39,'Base Grupo de Produtos'!$F$23:$F$39)</f>
        <v>0</v>
      </c>
      <c r="AB821" s="56">
        <f>_xlfn.XLOOKUP($N821,'Calculo Leads Conveniencia'!$A$77:$A$104,'Calculo Leads Conveniencia'!O$77:O$104)*_xlfn.XLOOKUP($P821,'Base Grupo de Produtos'!$E$23:$E$39,'Base Grupo de Produtos'!$F$23:$F$39)</f>
        <v>0</v>
      </c>
      <c r="AC821" s="61">
        <f t="shared" si="794"/>
        <v>0</v>
      </c>
      <c r="AD821" s="28"/>
      <c r="AE821" s="12"/>
      <c r="AF821" s="29"/>
      <c r="AG821" s="9"/>
      <c r="AH821" s="10"/>
      <c r="AI821" s="9"/>
      <c r="AJ821" s="11"/>
      <c r="AK821" s="9"/>
      <c r="AL821" s="13"/>
      <c r="AM821" s="9"/>
    </row>
    <row r="822" spans="1:39" x14ac:dyDescent="0.3">
      <c r="A822" s="2" t="str">
        <f t="shared" si="810"/>
        <v>NÃO</v>
      </c>
      <c r="B822" s="2" t="str">
        <f>_xlfn.XLOOKUP($N822,'Base de Grupos'!$A:$A,'Base de Grupos'!$D:$D)</f>
        <v>1000065763</v>
      </c>
      <c r="C822" s="5" t="str">
        <f>_xlfn.XLOOKUP($N822,'Base de Grupos'!$A:$A,'Base de Grupos'!$E:$E)</f>
        <v>CANAL VENDA INTERNA</v>
      </c>
      <c r="D822" s="5" t="str">
        <f>_xlfn.XLOOKUP($N822,'Base de Grupos'!$A:$A,'Base de Grupos'!$F:$F)</f>
        <v>1000065763</v>
      </c>
      <c r="E822" s="2" t="str">
        <f>_xlfn.XLOOKUP($N822,'Base de Grupos'!$A:$A,'Base de Grupos'!$G:$G)</f>
        <v>CANAL VENDA INTERNA</v>
      </c>
      <c r="F822" s="2" t="str">
        <f>_xlfn.XLOOKUP($N822,'Base de Grupos'!$A:$A,'Base de Grupos'!$H:$H)</f>
        <v>1000174119</v>
      </c>
      <c r="G822" s="5" t="str">
        <f>_xlfn.XLOOKUP($N822,'Base de Grupos'!$A:$A,'Base de Grupos'!$I:$I)</f>
        <v>REGIONAL VENDA INTERNA - CONVENIENCIA</v>
      </c>
      <c r="H822" s="5" t="str">
        <f>_xlfn.XLOOKUP($N822,'Base de Grupos'!$A:$A,'Base de Grupos'!$J:$J)</f>
        <v>1000174119</v>
      </c>
      <c r="I822" s="2" t="str">
        <f>_xlfn.XLOOKUP($N822,'Base de Grupos'!$A:$A,'Base de Grupos'!$K:$K)</f>
        <v>REGIONAL VENDA INTERNA - CONVENIENCIA</v>
      </c>
      <c r="J822" s="2" t="str">
        <f>_xlfn.XLOOKUP($N822,'Base de Grupos'!$A:$A,'Base de Grupos'!$L:$L)</f>
        <v>1000174119</v>
      </c>
      <c r="K822" s="5" t="str">
        <f>_xlfn.XLOOKUP($N822,'Base de Grupos'!$A:$A,'Base de Grupos'!$M:$M)</f>
        <v>REGIONAL VENDA INTERNA - CONVENIENCIA</v>
      </c>
      <c r="L822" s="5" t="str">
        <f t="shared" si="811"/>
        <v/>
      </c>
      <c r="M822" s="5" t="str">
        <f>_xlfn.XLOOKUP($N822,'Base de Grupos'!$A:$A,'Base de Grupos'!$C:$C)</f>
        <v>BA</v>
      </c>
      <c r="N822" s="3">
        <v>1510</v>
      </c>
      <c r="O822" s="4" t="s">
        <v>269</v>
      </c>
      <c r="P822" s="5" t="s">
        <v>108</v>
      </c>
      <c r="Q822" s="56">
        <v>0</v>
      </c>
      <c r="R822" s="56">
        <v>0</v>
      </c>
      <c r="S822" s="56">
        <v>0</v>
      </c>
      <c r="T822" s="56">
        <f>_xlfn.XLOOKUP($N822,'Calculo Leads Conveniencia'!$A$77:$A$104,'Calculo Leads Conveniencia'!G$77:G$104)*_xlfn.XLOOKUP($P822,'Base Grupo de Produtos'!$E$23:$E$39,'Base Grupo de Produtos'!$F$23:$F$39)</f>
        <v>0</v>
      </c>
      <c r="U822" s="56">
        <f>_xlfn.XLOOKUP($N822,'Calculo Leads Conveniencia'!$A$77:$A$104,'Calculo Leads Conveniencia'!H$77:H$104)*_xlfn.XLOOKUP($P822,'Base Grupo de Produtos'!$E$23:$E$39,'Base Grupo de Produtos'!$F$23:$F$39)</f>
        <v>0</v>
      </c>
      <c r="V822" s="56">
        <f>_xlfn.XLOOKUP($N822,'Calculo Leads Conveniencia'!$A$77:$A$104,'Calculo Leads Conveniencia'!I$77:I$104)*_xlfn.XLOOKUP($P822,'Base Grupo de Produtos'!$E$23:$E$39,'Base Grupo de Produtos'!$F$23:$F$39)</f>
        <v>0</v>
      </c>
      <c r="W822" s="56">
        <f>_xlfn.XLOOKUP($N822,'Calculo Leads Conveniencia'!$A$77:$A$104,'Calculo Leads Conveniencia'!J$77:J$104)*_xlfn.XLOOKUP($P822,'Base Grupo de Produtos'!$E$23:$E$39,'Base Grupo de Produtos'!$F$23:$F$39)</f>
        <v>0</v>
      </c>
      <c r="X822" s="56">
        <f>_xlfn.XLOOKUP($N822,'Calculo Leads Conveniencia'!$A$77:$A$104,'Calculo Leads Conveniencia'!K$77:K$104)*_xlfn.XLOOKUP($P822,'Base Grupo de Produtos'!$E$23:$E$39,'Base Grupo de Produtos'!$F$23:$F$39)</f>
        <v>0</v>
      </c>
      <c r="Y822" s="56">
        <f>_xlfn.XLOOKUP($N822,'Calculo Leads Conveniencia'!$A$77:$A$104,'Calculo Leads Conveniencia'!L$77:L$104)*_xlfn.XLOOKUP($P822,'Base Grupo de Produtos'!$E$23:$E$39,'Base Grupo de Produtos'!$F$23:$F$39)</f>
        <v>0</v>
      </c>
      <c r="Z822" s="56">
        <f>_xlfn.XLOOKUP($N822,'Calculo Leads Conveniencia'!$A$77:$A$104,'Calculo Leads Conveniencia'!M$77:M$104)*_xlfn.XLOOKUP($P822,'Base Grupo de Produtos'!$E$23:$E$39,'Base Grupo de Produtos'!$F$23:$F$39)</f>
        <v>0</v>
      </c>
      <c r="AA822" s="56">
        <f>_xlfn.XLOOKUP($N822,'Calculo Leads Conveniencia'!$A$77:$A$104,'Calculo Leads Conveniencia'!N$77:N$104)*_xlfn.XLOOKUP($P822,'Base Grupo de Produtos'!$E$23:$E$39,'Base Grupo de Produtos'!$F$23:$F$39)</f>
        <v>0</v>
      </c>
      <c r="AB822" s="56">
        <f>_xlfn.XLOOKUP($N822,'Calculo Leads Conveniencia'!$A$77:$A$104,'Calculo Leads Conveniencia'!O$77:O$104)*_xlfn.XLOOKUP($P822,'Base Grupo de Produtos'!$E$23:$E$39,'Base Grupo de Produtos'!$F$23:$F$39)</f>
        <v>0</v>
      </c>
      <c r="AC822" s="61">
        <f t="shared" si="794"/>
        <v>0</v>
      </c>
      <c r="AD822" s="28"/>
      <c r="AE822" s="12"/>
      <c r="AF822" s="29"/>
      <c r="AG822" s="9"/>
      <c r="AH822" s="10"/>
      <c r="AI822" s="9"/>
      <c r="AJ822" s="11"/>
      <c r="AK822" s="9"/>
      <c r="AL822" s="13"/>
      <c r="AM822" s="9"/>
    </row>
    <row r="823" spans="1:39" x14ac:dyDescent="0.3">
      <c r="A823" s="2" t="str">
        <f t="shared" si="810"/>
        <v>NÃO</v>
      </c>
      <c r="B823" s="2" t="str">
        <f>_xlfn.XLOOKUP($N823,'Base de Grupos'!$A:$A,'Base de Grupos'!$D:$D)</f>
        <v>1000065763</v>
      </c>
      <c r="C823" s="5" t="str">
        <f>_xlfn.XLOOKUP($N823,'Base de Grupos'!$A:$A,'Base de Grupos'!$E:$E)</f>
        <v>CANAL VENDA INTERNA</v>
      </c>
      <c r="D823" s="5" t="str">
        <f>_xlfn.XLOOKUP($N823,'Base de Grupos'!$A:$A,'Base de Grupos'!$F:$F)</f>
        <v>1000065763</v>
      </c>
      <c r="E823" s="2" t="str">
        <f>_xlfn.XLOOKUP($N823,'Base de Grupos'!$A:$A,'Base de Grupos'!$G:$G)</f>
        <v>CANAL VENDA INTERNA</v>
      </c>
      <c r="F823" s="2" t="str">
        <f>_xlfn.XLOOKUP($N823,'Base de Grupos'!$A:$A,'Base de Grupos'!$H:$H)</f>
        <v>1000174119</v>
      </c>
      <c r="G823" s="5" t="str">
        <f>_xlfn.XLOOKUP($N823,'Base de Grupos'!$A:$A,'Base de Grupos'!$I:$I)</f>
        <v>REGIONAL VENDA INTERNA - CONVENIENCIA</v>
      </c>
      <c r="H823" s="5" t="str">
        <f>_xlfn.XLOOKUP($N823,'Base de Grupos'!$A:$A,'Base de Grupos'!$J:$J)</f>
        <v>1000174119</v>
      </c>
      <c r="I823" s="2" t="str">
        <f>_xlfn.XLOOKUP($N823,'Base de Grupos'!$A:$A,'Base de Grupos'!$K:$K)</f>
        <v>REGIONAL VENDA INTERNA - CONVENIENCIA</v>
      </c>
      <c r="J823" s="2" t="str">
        <f>_xlfn.XLOOKUP($N823,'Base de Grupos'!$A:$A,'Base de Grupos'!$L:$L)</f>
        <v>1000174119</v>
      </c>
      <c r="K823" s="5" t="str">
        <f>_xlfn.XLOOKUP($N823,'Base de Grupos'!$A:$A,'Base de Grupos'!$M:$M)</f>
        <v>REGIONAL VENDA INTERNA - CONVENIENCIA</v>
      </c>
      <c r="L823" s="5" t="str">
        <f t="shared" si="811"/>
        <v/>
      </c>
      <c r="M823" s="5" t="str">
        <f>_xlfn.XLOOKUP($N823,'Base de Grupos'!$A:$A,'Base de Grupos'!$C:$C)</f>
        <v>BA</v>
      </c>
      <c r="N823" s="3">
        <v>1510</v>
      </c>
      <c r="O823" s="4" t="s">
        <v>269</v>
      </c>
      <c r="P823" s="5" t="s">
        <v>89</v>
      </c>
      <c r="Q823" s="56">
        <v>0</v>
      </c>
      <c r="R823" s="56">
        <v>0</v>
      </c>
      <c r="S823" s="56">
        <v>0</v>
      </c>
      <c r="T823" s="56">
        <f>_xlfn.XLOOKUP($N823,'Calculo Leads Conveniencia'!$A$77:$A$104,'Calculo Leads Conveniencia'!G$77:G$104)*_xlfn.XLOOKUP($P823,'Base Grupo de Produtos'!$E$23:$E$39,'Base Grupo de Produtos'!$F$23:$F$39)</f>
        <v>0</v>
      </c>
      <c r="U823" s="56">
        <f>_xlfn.XLOOKUP($N823,'Calculo Leads Conveniencia'!$A$77:$A$104,'Calculo Leads Conveniencia'!H$77:H$104)*_xlfn.XLOOKUP($P823,'Base Grupo de Produtos'!$E$23:$E$39,'Base Grupo de Produtos'!$F$23:$F$39)</f>
        <v>0</v>
      </c>
      <c r="V823" s="56">
        <f>_xlfn.XLOOKUP($N823,'Calculo Leads Conveniencia'!$A$77:$A$104,'Calculo Leads Conveniencia'!I$77:I$104)*_xlfn.XLOOKUP($P823,'Base Grupo de Produtos'!$E$23:$E$39,'Base Grupo de Produtos'!$F$23:$F$39)</f>
        <v>0</v>
      </c>
      <c r="W823" s="56">
        <f>_xlfn.XLOOKUP($N823,'Calculo Leads Conveniencia'!$A$77:$A$104,'Calculo Leads Conveniencia'!J$77:J$104)*_xlfn.XLOOKUP($P823,'Base Grupo de Produtos'!$E$23:$E$39,'Base Grupo de Produtos'!$F$23:$F$39)</f>
        <v>0</v>
      </c>
      <c r="X823" s="56">
        <f>_xlfn.XLOOKUP($N823,'Calculo Leads Conveniencia'!$A$77:$A$104,'Calculo Leads Conveniencia'!K$77:K$104)*_xlfn.XLOOKUP($P823,'Base Grupo de Produtos'!$E$23:$E$39,'Base Grupo de Produtos'!$F$23:$F$39)</f>
        <v>0</v>
      </c>
      <c r="Y823" s="56">
        <f>_xlfn.XLOOKUP($N823,'Calculo Leads Conveniencia'!$A$77:$A$104,'Calculo Leads Conveniencia'!L$77:L$104)*_xlfn.XLOOKUP($P823,'Base Grupo de Produtos'!$E$23:$E$39,'Base Grupo de Produtos'!$F$23:$F$39)</f>
        <v>0</v>
      </c>
      <c r="Z823" s="56">
        <f>_xlfn.XLOOKUP($N823,'Calculo Leads Conveniencia'!$A$77:$A$104,'Calculo Leads Conveniencia'!M$77:M$104)*_xlfn.XLOOKUP($P823,'Base Grupo de Produtos'!$E$23:$E$39,'Base Grupo de Produtos'!$F$23:$F$39)</f>
        <v>0</v>
      </c>
      <c r="AA823" s="56">
        <f>_xlfn.XLOOKUP($N823,'Calculo Leads Conveniencia'!$A$77:$A$104,'Calculo Leads Conveniencia'!N$77:N$104)*_xlfn.XLOOKUP($P823,'Base Grupo de Produtos'!$E$23:$E$39,'Base Grupo de Produtos'!$F$23:$F$39)</f>
        <v>0</v>
      </c>
      <c r="AB823" s="56">
        <f>_xlfn.XLOOKUP($N823,'Calculo Leads Conveniencia'!$A$77:$A$104,'Calculo Leads Conveniencia'!O$77:O$104)*_xlfn.XLOOKUP($P823,'Base Grupo de Produtos'!$E$23:$E$39,'Base Grupo de Produtos'!$F$23:$F$39)</f>
        <v>0</v>
      </c>
      <c r="AC823" s="61">
        <f t="shared" si="794"/>
        <v>0</v>
      </c>
      <c r="AD823" s="28"/>
      <c r="AE823" s="12"/>
      <c r="AF823" s="29"/>
      <c r="AG823" s="9"/>
      <c r="AH823" s="10"/>
      <c r="AI823" s="9"/>
      <c r="AJ823" s="11"/>
      <c r="AK823" s="9"/>
      <c r="AL823" s="13"/>
      <c r="AM823" s="9"/>
    </row>
    <row r="824" spans="1:39" x14ac:dyDescent="0.3">
      <c r="A824" s="2" t="str">
        <f t="shared" si="810"/>
        <v>NÃO</v>
      </c>
      <c r="B824" s="2" t="str">
        <f>_xlfn.XLOOKUP($N824,'Base de Grupos'!$A:$A,'Base de Grupos'!$D:$D)</f>
        <v>1000065763</v>
      </c>
      <c r="C824" s="5" t="str">
        <f>_xlfn.XLOOKUP($N824,'Base de Grupos'!$A:$A,'Base de Grupos'!$E:$E)</f>
        <v>CANAL VENDA INTERNA</v>
      </c>
      <c r="D824" s="5" t="str">
        <f>_xlfn.XLOOKUP($N824,'Base de Grupos'!$A:$A,'Base de Grupos'!$F:$F)</f>
        <v>1000065763</v>
      </c>
      <c r="E824" s="2" t="str">
        <f>_xlfn.XLOOKUP($N824,'Base de Grupos'!$A:$A,'Base de Grupos'!$G:$G)</f>
        <v>CANAL VENDA INTERNA</v>
      </c>
      <c r="F824" s="2" t="str">
        <f>_xlfn.XLOOKUP($N824,'Base de Grupos'!$A:$A,'Base de Grupos'!$H:$H)</f>
        <v>1000174119</v>
      </c>
      <c r="G824" s="5" t="str">
        <f>_xlfn.XLOOKUP($N824,'Base de Grupos'!$A:$A,'Base de Grupos'!$I:$I)</f>
        <v>REGIONAL VENDA INTERNA - CONVENIENCIA</v>
      </c>
      <c r="H824" s="5" t="str">
        <f>_xlfn.XLOOKUP($N824,'Base de Grupos'!$A:$A,'Base de Grupos'!$J:$J)</f>
        <v>1000174119</v>
      </c>
      <c r="I824" s="2" t="str">
        <f>_xlfn.XLOOKUP($N824,'Base de Grupos'!$A:$A,'Base de Grupos'!$K:$K)</f>
        <v>REGIONAL VENDA INTERNA - CONVENIENCIA</v>
      </c>
      <c r="J824" s="2" t="str">
        <f>_xlfn.XLOOKUP($N824,'Base de Grupos'!$A:$A,'Base de Grupos'!$L:$L)</f>
        <v>1000174119</v>
      </c>
      <c r="K824" s="5" t="str">
        <f>_xlfn.XLOOKUP($N824,'Base de Grupos'!$A:$A,'Base de Grupos'!$M:$M)</f>
        <v>REGIONAL VENDA INTERNA - CONVENIENCIA</v>
      </c>
      <c r="L824" s="5" t="str">
        <f t="shared" si="811"/>
        <v/>
      </c>
      <c r="M824" s="5" t="str">
        <f>_xlfn.XLOOKUP($N824,'Base de Grupos'!$A:$A,'Base de Grupos'!$C:$C)</f>
        <v>BA</v>
      </c>
      <c r="N824" s="3">
        <v>1510</v>
      </c>
      <c r="O824" s="4" t="s">
        <v>269</v>
      </c>
      <c r="P824" s="5" t="s">
        <v>88</v>
      </c>
      <c r="Q824" s="56">
        <v>0</v>
      </c>
      <c r="R824" s="56">
        <v>0</v>
      </c>
      <c r="S824" s="56">
        <v>0</v>
      </c>
      <c r="T824" s="56">
        <f>_xlfn.XLOOKUP($N824,'Calculo Leads Conveniencia'!$A$77:$A$104,'Calculo Leads Conveniencia'!G$77:G$104)*_xlfn.XLOOKUP($P824,'Base Grupo de Produtos'!$E$23:$E$39,'Base Grupo de Produtos'!$F$23:$F$39)</f>
        <v>0</v>
      </c>
      <c r="U824" s="56">
        <f>_xlfn.XLOOKUP($N824,'Calculo Leads Conveniencia'!$A$77:$A$104,'Calculo Leads Conveniencia'!H$77:H$104)*_xlfn.XLOOKUP($P824,'Base Grupo de Produtos'!$E$23:$E$39,'Base Grupo de Produtos'!$F$23:$F$39)</f>
        <v>0</v>
      </c>
      <c r="V824" s="56">
        <f>_xlfn.XLOOKUP($N824,'Calculo Leads Conveniencia'!$A$77:$A$104,'Calculo Leads Conveniencia'!I$77:I$104)*_xlfn.XLOOKUP($P824,'Base Grupo de Produtos'!$E$23:$E$39,'Base Grupo de Produtos'!$F$23:$F$39)</f>
        <v>0</v>
      </c>
      <c r="W824" s="56">
        <f>_xlfn.XLOOKUP($N824,'Calculo Leads Conveniencia'!$A$77:$A$104,'Calculo Leads Conveniencia'!J$77:J$104)*_xlfn.XLOOKUP($P824,'Base Grupo de Produtos'!$E$23:$E$39,'Base Grupo de Produtos'!$F$23:$F$39)</f>
        <v>0</v>
      </c>
      <c r="X824" s="56">
        <f>_xlfn.XLOOKUP($N824,'Calculo Leads Conveniencia'!$A$77:$A$104,'Calculo Leads Conveniencia'!K$77:K$104)*_xlfn.XLOOKUP($P824,'Base Grupo de Produtos'!$E$23:$E$39,'Base Grupo de Produtos'!$F$23:$F$39)</f>
        <v>0</v>
      </c>
      <c r="Y824" s="56">
        <f>_xlfn.XLOOKUP($N824,'Calculo Leads Conveniencia'!$A$77:$A$104,'Calculo Leads Conveniencia'!L$77:L$104)*_xlfn.XLOOKUP($P824,'Base Grupo de Produtos'!$E$23:$E$39,'Base Grupo de Produtos'!$F$23:$F$39)</f>
        <v>0</v>
      </c>
      <c r="Z824" s="56">
        <f>_xlfn.XLOOKUP($N824,'Calculo Leads Conveniencia'!$A$77:$A$104,'Calculo Leads Conveniencia'!M$77:M$104)*_xlfn.XLOOKUP($P824,'Base Grupo de Produtos'!$E$23:$E$39,'Base Grupo de Produtos'!$F$23:$F$39)</f>
        <v>0</v>
      </c>
      <c r="AA824" s="56">
        <f>_xlfn.XLOOKUP($N824,'Calculo Leads Conveniencia'!$A$77:$A$104,'Calculo Leads Conveniencia'!N$77:N$104)*_xlfn.XLOOKUP($P824,'Base Grupo de Produtos'!$E$23:$E$39,'Base Grupo de Produtos'!$F$23:$F$39)</f>
        <v>0</v>
      </c>
      <c r="AB824" s="56">
        <f>_xlfn.XLOOKUP($N824,'Calculo Leads Conveniencia'!$A$77:$A$104,'Calculo Leads Conveniencia'!O$77:O$104)*_xlfn.XLOOKUP($P824,'Base Grupo de Produtos'!$E$23:$E$39,'Base Grupo de Produtos'!$F$23:$F$39)</f>
        <v>0</v>
      </c>
      <c r="AC824" s="61">
        <f t="shared" si="794"/>
        <v>0</v>
      </c>
      <c r="AD824" s="28"/>
      <c r="AE824" s="12"/>
      <c r="AF824" s="29"/>
      <c r="AG824" s="9"/>
      <c r="AH824" s="10"/>
      <c r="AI824" s="9"/>
      <c r="AJ824" s="11"/>
      <c r="AK824" s="9"/>
      <c r="AL824" s="13"/>
      <c r="AM824" s="9"/>
    </row>
    <row r="825" spans="1:39" x14ac:dyDescent="0.3">
      <c r="A825" s="2" t="str">
        <f t="shared" si="810"/>
        <v>NÃO</v>
      </c>
      <c r="B825" s="2" t="str">
        <f>_xlfn.XLOOKUP($N825,'Base de Grupos'!$A:$A,'Base de Grupos'!$D:$D)</f>
        <v>1000065763</v>
      </c>
      <c r="C825" s="5" t="str">
        <f>_xlfn.XLOOKUP($N825,'Base de Grupos'!$A:$A,'Base de Grupos'!$E:$E)</f>
        <v>CANAL VENDA INTERNA</v>
      </c>
      <c r="D825" s="5" t="str">
        <f>_xlfn.XLOOKUP($N825,'Base de Grupos'!$A:$A,'Base de Grupos'!$F:$F)</f>
        <v>1000065763</v>
      </c>
      <c r="E825" s="2" t="str">
        <f>_xlfn.XLOOKUP($N825,'Base de Grupos'!$A:$A,'Base de Grupos'!$G:$G)</f>
        <v>CANAL VENDA INTERNA</v>
      </c>
      <c r="F825" s="2" t="str">
        <f>_xlfn.XLOOKUP($N825,'Base de Grupos'!$A:$A,'Base de Grupos'!$H:$H)</f>
        <v>1000174119</v>
      </c>
      <c r="G825" s="5" t="str">
        <f>_xlfn.XLOOKUP($N825,'Base de Grupos'!$A:$A,'Base de Grupos'!$I:$I)</f>
        <v>REGIONAL VENDA INTERNA - CONVENIENCIA</v>
      </c>
      <c r="H825" s="5" t="str">
        <f>_xlfn.XLOOKUP($N825,'Base de Grupos'!$A:$A,'Base de Grupos'!$J:$J)</f>
        <v>1000174119</v>
      </c>
      <c r="I825" s="2" t="str">
        <f>_xlfn.XLOOKUP($N825,'Base de Grupos'!$A:$A,'Base de Grupos'!$K:$K)</f>
        <v>REGIONAL VENDA INTERNA - CONVENIENCIA</v>
      </c>
      <c r="J825" s="2" t="str">
        <f>_xlfn.XLOOKUP($N825,'Base de Grupos'!$A:$A,'Base de Grupos'!$L:$L)</f>
        <v>1000174119</v>
      </c>
      <c r="K825" s="5" t="str">
        <f>_xlfn.XLOOKUP($N825,'Base de Grupos'!$A:$A,'Base de Grupos'!$M:$M)</f>
        <v>REGIONAL VENDA INTERNA - CONVENIENCIA</v>
      </c>
      <c r="L825" s="5" t="str">
        <f t="shared" si="811"/>
        <v/>
      </c>
      <c r="M825" s="5" t="str">
        <f>_xlfn.XLOOKUP($N825,'Base de Grupos'!$A:$A,'Base de Grupos'!$C:$C)</f>
        <v>BA</v>
      </c>
      <c r="N825" s="3">
        <v>1510</v>
      </c>
      <c r="O825" s="4" t="s">
        <v>269</v>
      </c>
      <c r="P825" s="5" t="s">
        <v>90</v>
      </c>
      <c r="Q825" s="56">
        <v>0</v>
      </c>
      <c r="R825" s="56">
        <v>0</v>
      </c>
      <c r="S825" s="56">
        <v>0</v>
      </c>
      <c r="T825" s="56">
        <f>_xlfn.XLOOKUP($N825,'Calculo Leads Conveniencia'!$A$77:$A$104,'Calculo Leads Conveniencia'!G$77:G$104)*_xlfn.XLOOKUP($P825,'Base Grupo de Produtos'!$E$23:$E$39,'Base Grupo de Produtos'!$F$23:$F$39)</f>
        <v>0</v>
      </c>
      <c r="U825" s="56">
        <f>_xlfn.XLOOKUP($N825,'Calculo Leads Conveniencia'!$A$77:$A$104,'Calculo Leads Conveniencia'!H$77:H$104)*_xlfn.XLOOKUP($P825,'Base Grupo de Produtos'!$E$23:$E$39,'Base Grupo de Produtos'!$F$23:$F$39)</f>
        <v>0</v>
      </c>
      <c r="V825" s="56">
        <f>_xlfn.XLOOKUP($N825,'Calculo Leads Conveniencia'!$A$77:$A$104,'Calculo Leads Conveniencia'!I$77:I$104)*_xlfn.XLOOKUP($P825,'Base Grupo de Produtos'!$E$23:$E$39,'Base Grupo de Produtos'!$F$23:$F$39)</f>
        <v>0</v>
      </c>
      <c r="W825" s="56">
        <f>_xlfn.XLOOKUP($N825,'Calculo Leads Conveniencia'!$A$77:$A$104,'Calculo Leads Conveniencia'!J$77:J$104)*_xlfn.XLOOKUP($P825,'Base Grupo de Produtos'!$E$23:$E$39,'Base Grupo de Produtos'!$F$23:$F$39)</f>
        <v>0</v>
      </c>
      <c r="X825" s="56">
        <f>_xlfn.XLOOKUP($N825,'Calculo Leads Conveniencia'!$A$77:$A$104,'Calculo Leads Conveniencia'!K$77:K$104)*_xlfn.XLOOKUP($P825,'Base Grupo de Produtos'!$E$23:$E$39,'Base Grupo de Produtos'!$F$23:$F$39)</f>
        <v>0</v>
      </c>
      <c r="Y825" s="56">
        <f>_xlfn.XLOOKUP($N825,'Calculo Leads Conveniencia'!$A$77:$A$104,'Calculo Leads Conveniencia'!L$77:L$104)*_xlfn.XLOOKUP($P825,'Base Grupo de Produtos'!$E$23:$E$39,'Base Grupo de Produtos'!$F$23:$F$39)</f>
        <v>0</v>
      </c>
      <c r="Z825" s="56">
        <f>_xlfn.XLOOKUP($N825,'Calculo Leads Conveniencia'!$A$77:$A$104,'Calculo Leads Conveniencia'!M$77:M$104)*_xlfn.XLOOKUP($P825,'Base Grupo de Produtos'!$E$23:$E$39,'Base Grupo de Produtos'!$F$23:$F$39)</f>
        <v>0</v>
      </c>
      <c r="AA825" s="56">
        <f>_xlfn.XLOOKUP($N825,'Calculo Leads Conveniencia'!$A$77:$A$104,'Calculo Leads Conveniencia'!N$77:N$104)*_xlfn.XLOOKUP($P825,'Base Grupo de Produtos'!$E$23:$E$39,'Base Grupo de Produtos'!$F$23:$F$39)</f>
        <v>0</v>
      </c>
      <c r="AB825" s="56">
        <f>_xlfn.XLOOKUP($N825,'Calculo Leads Conveniencia'!$A$77:$A$104,'Calculo Leads Conveniencia'!O$77:O$104)*_xlfn.XLOOKUP($P825,'Base Grupo de Produtos'!$E$23:$E$39,'Base Grupo de Produtos'!$F$23:$F$39)</f>
        <v>0</v>
      </c>
      <c r="AC825" s="61">
        <f t="shared" si="794"/>
        <v>0</v>
      </c>
      <c r="AD825" s="28"/>
      <c r="AE825" s="12"/>
      <c r="AF825" s="29"/>
      <c r="AG825" s="9"/>
      <c r="AH825" s="10"/>
      <c r="AI825" s="9"/>
      <c r="AJ825" s="11"/>
      <c r="AK825" s="9"/>
      <c r="AL825" s="13"/>
      <c r="AM825" s="9"/>
    </row>
    <row r="826" spans="1:39" x14ac:dyDescent="0.3">
      <c r="A826" s="2" t="str">
        <f t="shared" si="810"/>
        <v>NÃO</v>
      </c>
      <c r="B826" s="2" t="str">
        <f>_xlfn.XLOOKUP($N826,'Base de Grupos'!$A:$A,'Base de Grupos'!$D:$D)</f>
        <v>1000065763</v>
      </c>
      <c r="C826" s="5" t="str">
        <f>_xlfn.XLOOKUP($N826,'Base de Grupos'!$A:$A,'Base de Grupos'!$E:$E)</f>
        <v>CANAL VENDA INTERNA</v>
      </c>
      <c r="D826" s="5" t="str">
        <f>_xlfn.XLOOKUP($N826,'Base de Grupos'!$A:$A,'Base de Grupos'!$F:$F)</f>
        <v>1000065763</v>
      </c>
      <c r="E826" s="2" t="str">
        <f>_xlfn.XLOOKUP($N826,'Base de Grupos'!$A:$A,'Base de Grupos'!$G:$G)</f>
        <v>CANAL VENDA INTERNA</v>
      </c>
      <c r="F826" s="2" t="str">
        <f>_xlfn.XLOOKUP($N826,'Base de Grupos'!$A:$A,'Base de Grupos'!$H:$H)</f>
        <v>1000174119</v>
      </c>
      <c r="G826" s="5" t="str">
        <f>_xlfn.XLOOKUP($N826,'Base de Grupos'!$A:$A,'Base de Grupos'!$I:$I)</f>
        <v>REGIONAL VENDA INTERNA - CONVENIENCIA</v>
      </c>
      <c r="H826" s="5" t="str">
        <f>_xlfn.XLOOKUP($N826,'Base de Grupos'!$A:$A,'Base de Grupos'!$J:$J)</f>
        <v>1000174119</v>
      </c>
      <c r="I826" s="2" t="str">
        <f>_xlfn.XLOOKUP($N826,'Base de Grupos'!$A:$A,'Base de Grupos'!$K:$K)</f>
        <v>REGIONAL VENDA INTERNA - CONVENIENCIA</v>
      </c>
      <c r="J826" s="2" t="str">
        <f>_xlfn.XLOOKUP($N826,'Base de Grupos'!$A:$A,'Base de Grupos'!$L:$L)</f>
        <v>1000174119</v>
      </c>
      <c r="K826" s="5" t="str">
        <f>_xlfn.XLOOKUP($N826,'Base de Grupos'!$A:$A,'Base de Grupos'!$M:$M)</f>
        <v>REGIONAL VENDA INTERNA - CONVENIENCIA</v>
      </c>
      <c r="L826" s="5" t="str">
        <f t="shared" si="811"/>
        <v/>
      </c>
      <c r="M826" s="5" t="str">
        <f>_xlfn.XLOOKUP($N826,'Base de Grupos'!$A:$A,'Base de Grupos'!$C:$C)</f>
        <v>BA</v>
      </c>
      <c r="N826" s="3">
        <v>1510</v>
      </c>
      <c r="O826" s="4" t="s">
        <v>269</v>
      </c>
      <c r="P826" s="5" t="s">
        <v>91</v>
      </c>
      <c r="Q826" s="56">
        <v>0</v>
      </c>
      <c r="R826" s="56">
        <v>0</v>
      </c>
      <c r="S826" s="56">
        <v>0</v>
      </c>
      <c r="T826" s="56">
        <f>_xlfn.XLOOKUP($N826,'Calculo Leads Conveniencia'!$A$77:$A$104,'Calculo Leads Conveniencia'!G$77:G$104)*_xlfn.XLOOKUP($P826,'Base Grupo de Produtos'!$E$23:$E$39,'Base Grupo de Produtos'!$F$23:$F$39)</f>
        <v>0</v>
      </c>
      <c r="U826" s="56">
        <f>_xlfn.XLOOKUP($N826,'Calculo Leads Conveniencia'!$A$77:$A$104,'Calculo Leads Conveniencia'!H$77:H$104)*_xlfn.XLOOKUP($P826,'Base Grupo de Produtos'!$E$23:$E$39,'Base Grupo de Produtos'!$F$23:$F$39)</f>
        <v>0</v>
      </c>
      <c r="V826" s="56">
        <f>_xlfn.XLOOKUP($N826,'Calculo Leads Conveniencia'!$A$77:$A$104,'Calculo Leads Conveniencia'!I$77:I$104)*_xlfn.XLOOKUP($P826,'Base Grupo de Produtos'!$E$23:$E$39,'Base Grupo de Produtos'!$F$23:$F$39)</f>
        <v>0</v>
      </c>
      <c r="W826" s="56">
        <f>_xlfn.XLOOKUP($N826,'Calculo Leads Conveniencia'!$A$77:$A$104,'Calculo Leads Conveniencia'!J$77:J$104)*_xlfn.XLOOKUP($P826,'Base Grupo de Produtos'!$E$23:$E$39,'Base Grupo de Produtos'!$F$23:$F$39)</f>
        <v>0</v>
      </c>
      <c r="X826" s="56">
        <f>_xlfn.XLOOKUP($N826,'Calculo Leads Conveniencia'!$A$77:$A$104,'Calculo Leads Conveniencia'!K$77:K$104)*_xlfn.XLOOKUP($P826,'Base Grupo de Produtos'!$E$23:$E$39,'Base Grupo de Produtos'!$F$23:$F$39)</f>
        <v>0</v>
      </c>
      <c r="Y826" s="56">
        <f>_xlfn.XLOOKUP($N826,'Calculo Leads Conveniencia'!$A$77:$A$104,'Calculo Leads Conveniencia'!L$77:L$104)*_xlfn.XLOOKUP($P826,'Base Grupo de Produtos'!$E$23:$E$39,'Base Grupo de Produtos'!$F$23:$F$39)</f>
        <v>0</v>
      </c>
      <c r="Z826" s="56">
        <f>_xlfn.XLOOKUP($N826,'Calculo Leads Conveniencia'!$A$77:$A$104,'Calculo Leads Conveniencia'!M$77:M$104)*_xlfn.XLOOKUP($P826,'Base Grupo de Produtos'!$E$23:$E$39,'Base Grupo de Produtos'!$F$23:$F$39)</f>
        <v>0</v>
      </c>
      <c r="AA826" s="56">
        <f>_xlfn.XLOOKUP($N826,'Calculo Leads Conveniencia'!$A$77:$A$104,'Calculo Leads Conveniencia'!N$77:N$104)*_xlfn.XLOOKUP($P826,'Base Grupo de Produtos'!$E$23:$E$39,'Base Grupo de Produtos'!$F$23:$F$39)</f>
        <v>0</v>
      </c>
      <c r="AB826" s="56">
        <f>_xlfn.XLOOKUP($N826,'Calculo Leads Conveniencia'!$A$77:$A$104,'Calculo Leads Conveniencia'!O$77:O$104)*_xlfn.XLOOKUP($P826,'Base Grupo de Produtos'!$E$23:$E$39,'Base Grupo de Produtos'!$F$23:$F$39)</f>
        <v>0</v>
      </c>
      <c r="AC826" s="61">
        <f t="shared" si="794"/>
        <v>0</v>
      </c>
      <c r="AD826" s="28"/>
      <c r="AE826" s="12"/>
      <c r="AF826" s="29"/>
      <c r="AG826" s="9"/>
      <c r="AH826" s="10"/>
      <c r="AI826" s="9"/>
      <c r="AJ826" s="11"/>
      <c r="AK826" s="9"/>
      <c r="AL826" s="13"/>
      <c r="AM826" s="9"/>
    </row>
    <row r="827" spans="1:39" x14ac:dyDescent="0.3">
      <c r="A827" s="2" t="str">
        <f t="shared" si="810"/>
        <v>NÃO</v>
      </c>
      <c r="B827" s="2" t="str">
        <f>_xlfn.XLOOKUP($N827,'Base de Grupos'!$A:$A,'Base de Grupos'!$D:$D)</f>
        <v>1000065763</v>
      </c>
      <c r="C827" s="5" t="str">
        <f>_xlfn.XLOOKUP($N827,'Base de Grupos'!$A:$A,'Base de Grupos'!$E:$E)</f>
        <v>CANAL VENDA INTERNA</v>
      </c>
      <c r="D827" s="5" t="str">
        <f>_xlfn.XLOOKUP($N827,'Base de Grupos'!$A:$A,'Base de Grupos'!$F:$F)</f>
        <v>1000065763</v>
      </c>
      <c r="E827" s="2" t="str">
        <f>_xlfn.XLOOKUP($N827,'Base de Grupos'!$A:$A,'Base de Grupos'!$G:$G)</f>
        <v>CANAL VENDA INTERNA</v>
      </c>
      <c r="F827" s="2" t="str">
        <f>_xlfn.XLOOKUP($N827,'Base de Grupos'!$A:$A,'Base de Grupos'!$H:$H)</f>
        <v>1000174119</v>
      </c>
      <c r="G827" s="5" t="str">
        <f>_xlfn.XLOOKUP($N827,'Base de Grupos'!$A:$A,'Base de Grupos'!$I:$I)</f>
        <v>REGIONAL VENDA INTERNA - CONVENIENCIA</v>
      </c>
      <c r="H827" s="5" t="str">
        <f>_xlfn.XLOOKUP($N827,'Base de Grupos'!$A:$A,'Base de Grupos'!$J:$J)</f>
        <v>1000174119</v>
      </c>
      <c r="I827" s="2" t="str">
        <f>_xlfn.XLOOKUP($N827,'Base de Grupos'!$A:$A,'Base de Grupos'!$K:$K)</f>
        <v>REGIONAL VENDA INTERNA - CONVENIENCIA</v>
      </c>
      <c r="J827" s="2" t="str">
        <f>_xlfn.XLOOKUP($N827,'Base de Grupos'!$A:$A,'Base de Grupos'!$L:$L)</f>
        <v>1000174119</v>
      </c>
      <c r="K827" s="5" t="str">
        <f>_xlfn.XLOOKUP($N827,'Base de Grupos'!$A:$A,'Base de Grupos'!$M:$M)</f>
        <v>REGIONAL VENDA INTERNA - CONVENIENCIA</v>
      </c>
      <c r="L827" s="5" t="str">
        <f t="shared" si="811"/>
        <v/>
      </c>
      <c r="M827" s="5" t="str">
        <f>_xlfn.XLOOKUP($N827,'Base de Grupos'!$A:$A,'Base de Grupos'!$C:$C)</f>
        <v>BA</v>
      </c>
      <c r="N827" s="3">
        <v>1510</v>
      </c>
      <c r="O827" s="4" t="s">
        <v>269</v>
      </c>
      <c r="P827" s="5" t="s">
        <v>96</v>
      </c>
      <c r="Q827" s="56">
        <v>0</v>
      </c>
      <c r="R827" s="56">
        <v>0</v>
      </c>
      <c r="S827" s="56">
        <v>0</v>
      </c>
      <c r="T827" s="56">
        <f>_xlfn.XLOOKUP($N827,'Calculo Leads Conveniencia'!$A$77:$A$104,'Calculo Leads Conveniencia'!G$77:G$104)*_xlfn.XLOOKUP($P827,'Base Grupo de Produtos'!$E$23:$E$39,'Base Grupo de Produtos'!$F$23:$F$39)</f>
        <v>0</v>
      </c>
      <c r="U827" s="56">
        <f>_xlfn.XLOOKUP($N827,'Calculo Leads Conveniencia'!$A$77:$A$104,'Calculo Leads Conveniencia'!H$77:H$104)*_xlfn.XLOOKUP($P827,'Base Grupo de Produtos'!$E$23:$E$39,'Base Grupo de Produtos'!$F$23:$F$39)</f>
        <v>0</v>
      </c>
      <c r="V827" s="56">
        <f>_xlfn.XLOOKUP($N827,'Calculo Leads Conveniencia'!$A$77:$A$104,'Calculo Leads Conveniencia'!I$77:I$104)*_xlfn.XLOOKUP($P827,'Base Grupo de Produtos'!$E$23:$E$39,'Base Grupo de Produtos'!$F$23:$F$39)</f>
        <v>0</v>
      </c>
      <c r="W827" s="56">
        <f>_xlfn.XLOOKUP($N827,'Calculo Leads Conveniencia'!$A$77:$A$104,'Calculo Leads Conveniencia'!J$77:J$104)*_xlfn.XLOOKUP($P827,'Base Grupo de Produtos'!$E$23:$E$39,'Base Grupo de Produtos'!$F$23:$F$39)</f>
        <v>0</v>
      </c>
      <c r="X827" s="56">
        <f>_xlfn.XLOOKUP($N827,'Calculo Leads Conveniencia'!$A$77:$A$104,'Calculo Leads Conveniencia'!K$77:K$104)*_xlfn.XLOOKUP($P827,'Base Grupo de Produtos'!$E$23:$E$39,'Base Grupo de Produtos'!$F$23:$F$39)</f>
        <v>0</v>
      </c>
      <c r="Y827" s="56">
        <f>_xlfn.XLOOKUP($N827,'Calculo Leads Conveniencia'!$A$77:$A$104,'Calculo Leads Conveniencia'!L$77:L$104)*_xlfn.XLOOKUP($P827,'Base Grupo de Produtos'!$E$23:$E$39,'Base Grupo de Produtos'!$F$23:$F$39)</f>
        <v>0</v>
      </c>
      <c r="Z827" s="56">
        <f>_xlfn.XLOOKUP($N827,'Calculo Leads Conveniencia'!$A$77:$A$104,'Calculo Leads Conveniencia'!M$77:M$104)*_xlfn.XLOOKUP($P827,'Base Grupo de Produtos'!$E$23:$E$39,'Base Grupo de Produtos'!$F$23:$F$39)</f>
        <v>0</v>
      </c>
      <c r="AA827" s="56">
        <f>_xlfn.XLOOKUP($N827,'Calculo Leads Conveniencia'!$A$77:$A$104,'Calculo Leads Conveniencia'!N$77:N$104)*_xlfn.XLOOKUP($P827,'Base Grupo de Produtos'!$E$23:$E$39,'Base Grupo de Produtos'!$F$23:$F$39)</f>
        <v>0</v>
      </c>
      <c r="AB827" s="56">
        <f>_xlfn.XLOOKUP($N827,'Calculo Leads Conveniencia'!$A$77:$A$104,'Calculo Leads Conveniencia'!O$77:O$104)*_xlfn.XLOOKUP($P827,'Base Grupo de Produtos'!$E$23:$E$39,'Base Grupo de Produtos'!$F$23:$F$39)</f>
        <v>0</v>
      </c>
      <c r="AC827" s="61">
        <f t="shared" si="794"/>
        <v>0</v>
      </c>
      <c r="AD827" s="28"/>
      <c r="AE827" s="12"/>
      <c r="AF827" s="29"/>
      <c r="AG827" s="9"/>
      <c r="AH827" s="10"/>
      <c r="AI827" s="9"/>
      <c r="AJ827" s="11"/>
      <c r="AK827" s="9"/>
      <c r="AL827" s="13"/>
      <c r="AM827" s="9"/>
    </row>
    <row r="828" spans="1:39" x14ac:dyDescent="0.3">
      <c r="A828" s="2" t="str">
        <f t="shared" si="810"/>
        <v>NÃO</v>
      </c>
      <c r="B828" s="2" t="str">
        <f>_xlfn.XLOOKUP($N828,'Base de Grupos'!$A:$A,'Base de Grupos'!$D:$D)</f>
        <v>1000065763</v>
      </c>
      <c r="C828" s="5" t="str">
        <f>_xlfn.XLOOKUP($N828,'Base de Grupos'!$A:$A,'Base de Grupos'!$E:$E)</f>
        <v>CANAL VENDA INTERNA</v>
      </c>
      <c r="D828" s="5" t="str">
        <f>_xlfn.XLOOKUP($N828,'Base de Grupos'!$A:$A,'Base de Grupos'!$F:$F)</f>
        <v>1000065763</v>
      </c>
      <c r="E828" s="2" t="str">
        <f>_xlfn.XLOOKUP($N828,'Base de Grupos'!$A:$A,'Base de Grupos'!$G:$G)</f>
        <v>CANAL VENDA INTERNA</v>
      </c>
      <c r="F828" s="2" t="str">
        <f>_xlfn.XLOOKUP($N828,'Base de Grupos'!$A:$A,'Base de Grupos'!$H:$H)</f>
        <v>1000174119</v>
      </c>
      <c r="G828" s="5" t="str">
        <f>_xlfn.XLOOKUP($N828,'Base de Grupos'!$A:$A,'Base de Grupos'!$I:$I)</f>
        <v>REGIONAL VENDA INTERNA - CONVENIENCIA</v>
      </c>
      <c r="H828" s="5" t="str">
        <f>_xlfn.XLOOKUP($N828,'Base de Grupos'!$A:$A,'Base de Grupos'!$J:$J)</f>
        <v>1000174119</v>
      </c>
      <c r="I828" s="2" t="str">
        <f>_xlfn.XLOOKUP($N828,'Base de Grupos'!$A:$A,'Base de Grupos'!$K:$K)</f>
        <v>REGIONAL VENDA INTERNA - CONVENIENCIA</v>
      </c>
      <c r="J828" s="2" t="str">
        <f>_xlfn.XLOOKUP($N828,'Base de Grupos'!$A:$A,'Base de Grupos'!$L:$L)</f>
        <v>1000174119</v>
      </c>
      <c r="K828" s="5" t="str">
        <f>_xlfn.XLOOKUP($N828,'Base de Grupos'!$A:$A,'Base de Grupos'!$M:$M)</f>
        <v>REGIONAL VENDA INTERNA - CONVENIENCIA</v>
      </c>
      <c r="L828" s="5" t="str">
        <f t="shared" si="811"/>
        <v/>
      </c>
      <c r="M828" s="5" t="str">
        <f>_xlfn.XLOOKUP($N828,'Base de Grupos'!$A:$A,'Base de Grupos'!$C:$C)</f>
        <v>BA</v>
      </c>
      <c r="N828" s="3">
        <v>1510</v>
      </c>
      <c r="O828" s="4" t="s">
        <v>269</v>
      </c>
      <c r="P828" s="5" t="s">
        <v>94</v>
      </c>
      <c r="Q828" s="56">
        <v>0</v>
      </c>
      <c r="R828" s="56">
        <v>0</v>
      </c>
      <c r="S828" s="56">
        <v>0</v>
      </c>
      <c r="T828" s="56">
        <f>_xlfn.XLOOKUP($N828,'Calculo Leads Conveniencia'!$A$77:$A$104,'Calculo Leads Conveniencia'!G$77:G$104)*_xlfn.XLOOKUP($P828,'Base Grupo de Produtos'!$E$23:$E$39,'Base Grupo de Produtos'!$F$23:$F$39)</f>
        <v>0</v>
      </c>
      <c r="U828" s="56">
        <f>_xlfn.XLOOKUP($N828,'Calculo Leads Conveniencia'!$A$77:$A$104,'Calculo Leads Conveniencia'!H$77:H$104)*_xlfn.XLOOKUP($P828,'Base Grupo de Produtos'!$E$23:$E$39,'Base Grupo de Produtos'!$F$23:$F$39)</f>
        <v>0</v>
      </c>
      <c r="V828" s="56">
        <f>_xlfn.XLOOKUP($N828,'Calculo Leads Conveniencia'!$A$77:$A$104,'Calculo Leads Conveniencia'!I$77:I$104)*_xlfn.XLOOKUP($P828,'Base Grupo de Produtos'!$E$23:$E$39,'Base Grupo de Produtos'!$F$23:$F$39)</f>
        <v>0</v>
      </c>
      <c r="W828" s="56">
        <f>_xlfn.XLOOKUP($N828,'Calculo Leads Conveniencia'!$A$77:$A$104,'Calculo Leads Conveniencia'!J$77:J$104)*_xlfn.XLOOKUP($P828,'Base Grupo de Produtos'!$E$23:$E$39,'Base Grupo de Produtos'!$F$23:$F$39)</f>
        <v>0</v>
      </c>
      <c r="X828" s="56">
        <f>_xlfn.XLOOKUP($N828,'Calculo Leads Conveniencia'!$A$77:$A$104,'Calculo Leads Conveniencia'!K$77:K$104)*_xlfn.XLOOKUP($P828,'Base Grupo de Produtos'!$E$23:$E$39,'Base Grupo de Produtos'!$F$23:$F$39)</f>
        <v>0</v>
      </c>
      <c r="Y828" s="56">
        <f>_xlfn.XLOOKUP($N828,'Calculo Leads Conveniencia'!$A$77:$A$104,'Calculo Leads Conveniencia'!L$77:L$104)*_xlfn.XLOOKUP($P828,'Base Grupo de Produtos'!$E$23:$E$39,'Base Grupo de Produtos'!$F$23:$F$39)</f>
        <v>0</v>
      </c>
      <c r="Z828" s="56">
        <f>_xlfn.XLOOKUP($N828,'Calculo Leads Conveniencia'!$A$77:$A$104,'Calculo Leads Conveniencia'!M$77:M$104)*_xlfn.XLOOKUP($P828,'Base Grupo de Produtos'!$E$23:$E$39,'Base Grupo de Produtos'!$F$23:$F$39)</f>
        <v>0</v>
      </c>
      <c r="AA828" s="56">
        <f>_xlfn.XLOOKUP($N828,'Calculo Leads Conveniencia'!$A$77:$A$104,'Calculo Leads Conveniencia'!N$77:N$104)*_xlfn.XLOOKUP($P828,'Base Grupo de Produtos'!$E$23:$E$39,'Base Grupo de Produtos'!$F$23:$F$39)</f>
        <v>0</v>
      </c>
      <c r="AB828" s="56">
        <f>_xlfn.XLOOKUP($N828,'Calculo Leads Conveniencia'!$A$77:$A$104,'Calculo Leads Conveniencia'!O$77:O$104)*_xlfn.XLOOKUP($P828,'Base Grupo de Produtos'!$E$23:$E$39,'Base Grupo de Produtos'!$F$23:$F$39)</f>
        <v>0</v>
      </c>
      <c r="AC828" s="61">
        <f t="shared" si="794"/>
        <v>0</v>
      </c>
      <c r="AD828" s="28"/>
      <c r="AE828" s="12"/>
      <c r="AF828" s="29"/>
      <c r="AG828" s="9"/>
      <c r="AH828" s="10"/>
      <c r="AI828" s="9"/>
      <c r="AJ828" s="11"/>
      <c r="AK828" s="9"/>
      <c r="AL828" s="13"/>
      <c r="AM828" s="9"/>
    </row>
    <row r="829" spans="1:39" x14ac:dyDescent="0.3">
      <c r="A829" s="2" t="str">
        <f t="shared" si="810"/>
        <v>NÃO</v>
      </c>
      <c r="B829" s="2" t="str">
        <f>_xlfn.XLOOKUP($N829,'Base de Grupos'!$A:$A,'Base de Grupos'!$D:$D)</f>
        <v>1000065763</v>
      </c>
      <c r="C829" s="5" t="str">
        <f>_xlfn.XLOOKUP($N829,'Base de Grupos'!$A:$A,'Base de Grupos'!$E:$E)</f>
        <v>CANAL VENDA INTERNA</v>
      </c>
      <c r="D829" s="5" t="str">
        <f>_xlfn.XLOOKUP($N829,'Base de Grupos'!$A:$A,'Base de Grupos'!$F:$F)</f>
        <v>1000065763</v>
      </c>
      <c r="E829" s="2" t="str">
        <f>_xlfn.XLOOKUP($N829,'Base de Grupos'!$A:$A,'Base de Grupos'!$G:$G)</f>
        <v>CANAL VENDA INTERNA</v>
      </c>
      <c r="F829" s="2" t="str">
        <f>_xlfn.XLOOKUP($N829,'Base de Grupos'!$A:$A,'Base de Grupos'!$H:$H)</f>
        <v>1000174119</v>
      </c>
      <c r="G829" s="5" t="str">
        <f>_xlfn.XLOOKUP($N829,'Base de Grupos'!$A:$A,'Base de Grupos'!$I:$I)</f>
        <v>REGIONAL VENDA INTERNA - CONVENIENCIA</v>
      </c>
      <c r="H829" s="5" t="str">
        <f>_xlfn.XLOOKUP($N829,'Base de Grupos'!$A:$A,'Base de Grupos'!$J:$J)</f>
        <v>1000174119</v>
      </c>
      <c r="I829" s="2" t="str">
        <f>_xlfn.XLOOKUP($N829,'Base de Grupos'!$A:$A,'Base de Grupos'!$K:$K)</f>
        <v>REGIONAL VENDA INTERNA - CONVENIENCIA</v>
      </c>
      <c r="J829" s="2" t="str">
        <f>_xlfn.XLOOKUP($N829,'Base de Grupos'!$A:$A,'Base de Grupos'!$L:$L)</f>
        <v>1000174119</v>
      </c>
      <c r="K829" s="5" t="str">
        <f>_xlfn.XLOOKUP($N829,'Base de Grupos'!$A:$A,'Base de Grupos'!$M:$M)</f>
        <v>REGIONAL VENDA INTERNA - CONVENIENCIA</v>
      </c>
      <c r="L829" s="5" t="str">
        <f t="shared" si="811"/>
        <v/>
      </c>
      <c r="M829" s="5" t="str">
        <f>_xlfn.XLOOKUP($N829,'Base de Grupos'!$A:$A,'Base de Grupos'!$C:$C)</f>
        <v>BA</v>
      </c>
      <c r="N829" s="3">
        <v>1510</v>
      </c>
      <c r="O829" s="4" t="s">
        <v>269</v>
      </c>
      <c r="P829" s="5" t="s">
        <v>95</v>
      </c>
      <c r="Q829" s="56">
        <v>0</v>
      </c>
      <c r="R829" s="56">
        <v>0</v>
      </c>
      <c r="S829" s="56">
        <v>0</v>
      </c>
      <c r="T829" s="56">
        <f>_xlfn.XLOOKUP($N829,'Calculo Leads Conveniencia'!$A$77:$A$104,'Calculo Leads Conveniencia'!G$77:G$104)*_xlfn.XLOOKUP($P829,'Base Grupo de Produtos'!$E$23:$E$39,'Base Grupo de Produtos'!$F$23:$F$39)</f>
        <v>0</v>
      </c>
      <c r="U829" s="56">
        <f>_xlfn.XLOOKUP($N829,'Calculo Leads Conveniencia'!$A$77:$A$104,'Calculo Leads Conveniencia'!H$77:H$104)*_xlfn.XLOOKUP($P829,'Base Grupo de Produtos'!$E$23:$E$39,'Base Grupo de Produtos'!$F$23:$F$39)</f>
        <v>0</v>
      </c>
      <c r="V829" s="56">
        <f>_xlfn.XLOOKUP($N829,'Calculo Leads Conveniencia'!$A$77:$A$104,'Calculo Leads Conveniencia'!I$77:I$104)*_xlfn.XLOOKUP($P829,'Base Grupo de Produtos'!$E$23:$E$39,'Base Grupo de Produtos'!$F$23:$F$39)</f>
        <v>0</v>
      </c>
      <c r="W829" s="56">
        <f>_xlfn.XLOOKUP($N829,'Calculo Leads Conveniencia'!$A$77:$A$104,'Calculo Leads Conveniencia'!J$77:J$104)*_xlfn.XLOOKUP($P829,'Base Grupo de Produtos'!$E$23:$E$39,'Base Grupo de Produtos'!$F$23:$F$39)</f>
        <v>0</v>
      </c>
      <c r="X829" s="56">
        <f>_xlfn.XLOOKUP($N829,'Calculo Leads Conveniencia'!$A$77:$A$104,'Calculo Leads Conveniencia'!K$77:K$104)*_xlfn.XLOOKUP($P829,'Base Grupo de Produtos'!$E$23:$E$39,'Base Grupo de Produtos'!$F$23:$F$39)</f>
        <v>0</v>
      </c>
      <c r="Y829" s="56">
        <f>_xlfn.XLOOKUP($N829,'Calculo Leads Conveniencia'!$A$77:$A$104,'Calculo Leads Conveniencia'!L$77:L$104)*_xlfn.XLOOKUP($P829,'Base Grupo de Produtos'!$E$23:$E$39,'Base Grupo de Produtos'!$F$23:$F$39)</f>
        <v>0</v>
      </c>
      <c r="Z829" s="56">
        <f>_xlfn.XLOOKUP($N829,'Calculo Leads Conveniencia'!$A$77:$A$104,'Calculo Leads Conveniencia'!M$77:M$104)*_xlfn.XLOOKUP($P829,'Base Grupo de Produtos'!$E$23:$E$39,'Base Grupo de Produtos'!$F$23:$F$39)</f>
        <v>0</v>
      </c>
      <c r="AA829" s="56">
        <f>_xlfn.XLOOKUP($N829,'Calculo Leads Conveniencia'!$A$77:$A$104,'Calculo Leads Conveniencia'!N$77:N$104)*_xlfn.XLOOKUP($P829,'Base Grupo de Produtos'!$E$23:$E$39,'Base Grupo de Produtos'!$F$23:$F$39)</f>
        <v>0</v>
      </c>
      <c r="AB829" s="56">
        <f>_xlfn.XLOOKUP($N829,'Calculo Leads Conveniencia'!$A$77:$A$104,'Calculo Leads Conveniencia'!O$77:O$104)*_xlfn.XLOOKUP($P829,'Base Grupo de Produtos'!$E$23:$E$39,'Base Grupo de Produtos'!$F$23:$F$39)</f>
        <v>0</v>
      </c>
      <c r="AC829" s="61">
        <f t="shared" si="794"/>
        <v>0</v>
      </c>
      <c r="AD829" s="28"/>
      <c r="AE829" s="12"/>
      <c r="AF829" s="29"/>
      <c r="AG829" s="9"/>
      <c r="AH829" s="10"/>
      <c r="AI829" s="9"/>
      <c r="AJ829" s="11"/>
      <c r="AK829" s="9"/>
      <c r="AL829" s="13"/>
      <c r="AM829" s="9"/>
    </row>
    <row r="830" spans="1:39" x14ac:dyDescent="0.3">
      <c r="A830" s="2" t="str">
        <f t="shared" si="810"/>
        <v>NÃO</v>
      </c>
      <c r="B830" s="2" t="str">
        <f>_xlfn.XLOOKUP($N830,'Base de Grupos'!$A:$A,'Base de Grupos'!$D:$D)</f>
        <v>1000065763</v>
      </c>
      <c r="C830" s="5" t="str">
        <f>_xlfn.XLOOKUP($N830,'Base de Grupos'!$A:$A,'Base de Grupos'!$E:$E)</f>
        <v>CANAL VENDA INTERNA</v>
      </c>
      <c r="D830" s="5" t="str">
        <f>_xlfn.XLOOKUP($N830,'Base de Grupos'!$A:$A,'Base de Grupos'!$F:$F)</f>
        <v>1000065763</v>
      </c>
      <c r="E830" s="2" t="str">
        <f>_xlfn.XLOOKUP($N830,'Base de Grupos'!$A:$A,'Base de Grupos'!$G:$G)</f>
        <v>CANAL VENDA INTERNA</v>
      </c>
      <c r="F830" s="2" t="str">
        <f>_xlfn.XLOOKUP($N830,'Base de Grupos'!$A:$A,'Base de Grupos'!$H:$H)</f>
        <v>1000174119</v>
      </c>
      <c r="G830" s="5" t="str">
        <f>_xlfn.XLOOKUP($N830,'Base de Grupos'!$A:$A,'Base de Grupos'!$I:$I)</f>
        <v>REGIONAL VENDA INTERNA - CONVENIENCIA</v>
      </c>
      <c r="H830" s="5" t="str">
        <f>_xlfn.XLOOKUP($N830,'Base de Grupos'!$A:$A,'Base de Grupos'!$J:$J)</f>
        <v>1000174119</v>
      </c>
      <c r="I830" s="2" t="str">
        <f>_xlfn.XLOOKUP($N830,'Base de Grupos'!$A:$A,'Base de Grupos'!$K:$K)</f>
        <v>REGIONAL VENDA INTERNA - CONVENIENCIA</v>
      </c>
      <c r="J830" s="2" t="str">
        <f>_xlfn.XLOOKUP($N830,'Base de Grupos'!$A:$A,'Base de Grupos'!$L:$L)</f>
        <v>1000174119</v>
      </c>
      <c r="K830" s="5" t="str">
        <f>_xlfn.XLOOKUP($N830,'Base de Grupos'!$A:$A,'Base de Grupos'!$M:$M)</f>
        <v>REGIONAL VENDA INTERNA - CONVENIENCIA</v>
      </c>
      <c r="L830" s="5" t="str">
        <f t="shared" si="811"/>
        <v/>
      </c>
      <c r="M830" s="5" t="str">
        <f>_xlfn.XLOOKUP($N830,'Base de Grupos'!$A:$A,'Base de Grupos'!$C:$C)</f>
        <v>BA</v>
      </c>
      <c r="N830" s="3">
        <v>1510</v>
      </c>
      <c r="O830" s="4" t="s">
        <v>269</v>
      </c>
      <c r="P830" s="5" t="s">
        <v>93</v>
      </c>
      <c r="Q830" s="56">
        <v>0</v>
      </c>
      <c r="R830" s="56">
        <v>0</v>
      </c>
      <c r="S830" s="56">
        <v>0</v>
      </c>
      <c r="T830" s="56">
        <f>_xlfn.XLOOKUP($N830,'Calculo Leads Conveniencia'!$A$77:$A$104,'Calculo Leads Conveniencia'!G$77:G$104)*_xlfn.XLOOKUP($P830,'Base Grupo de Produtos'!$E$23:$E$39,'Base Grupo de Produtos'!$F$23:$F$39)</f>
        <v>0</v>
      </c>
      <c r="U830" s="56">
        <f>_xlfn.XLOOKUP($N830,'Calculo Leads Conveniencia'!$A$77:$A$104,'Calculo Leads Conveniencia'!H$77:H$104)*_xlfn.XLOOKUP($P830,'Base Grupo de Produtos'!$E$23:$E$39,'Base Grupo de Produtos'!$F$23:$F$39)</f>
        <v>0</v>
      </c>
      <c r="V830" s="56">
        <f>_xlfn.XLOOKUP($N830,'Calculo Leads Conveniencia'!$A$77:$A$104,'Calculo Leads Conveniencia'!I$77:I$104)*_xlfn.XLOOKUP($P830,'Base Grupo de Produtos'!$E$23:$E$39,'Base Grupo de Produtos'!$F$23:$F$39)</f>
        <v>0</v>
      </c>
      <c r="W830" s="56">
        <f>_xlfn.XLOOKUP($N830,'Calculo Leads Conveniencia'!$A$77:$A$104,'Calculo Leads Conveniencia'!J$77:J$104)*_xlfn.XLOOKUP($P830,'Base Grupo de Produtos'!$E$23:$E$39,'Base Grupo de Produtos'!$F$23:$F$39)</f>
        <v>0</v>
      </c>
      <c r="X830" s="56">
        <f>_xlfn.XLOOKUP($N830,'Calculo Leads Conveniencia'!$A$77:$A$104,'Calculo Leads Conveniencia'!K$77:K$104)*_xlfn.XLOOKUP($P830,'Base Grupo de Produtos'!$E$23:$E$39,'Base Grupo de Produtos'!$F$23:$F$39)</f>
        <v>0</v>
      </c>
      <c r="Y830" s="56">
        <f>_xlfn.XLOOKUP($N830,'Calculo Leads Conveniencia'!$A$77:$A$104,'Calculo Leads Conveniencia'!L$77:L$104)*_xlfn.XLOOKUP($P830,'Base Grupo de Produtos'!$E$23:$E$39,'Base Grupo de Produtos'!$F$23:$F$39)</f>
        <v>0</v>
      </c>
      <c r="Z830" s="56">
        <f>_xlfn.XLOOKUP($N830,'Calculo Leads Conveniencia'!$A$77:$A$104,'Calculo Leads Conveniencia'!M$77:M$104)*_xlfn.XLOOKUP($P830,'Base Grupo de Produtos'!$E$23:$E$39,'Base Grupo de Produtos'!$F$23:$F$39)</f>
        <v>0</v>
      </c>
      <c r="AA830" s="56">
        <f>_xlfn.XLOOKUP($N830,'Calculo Leads Conveniencia'!$A$77:$A$104,'Calculo Leads Conveniencia'!N$77:N$104)*_xlfn.XLOOKUP($P830,'Base Grupo de Produtos'!$E$23:$E$39,'Base Grupo de Produtos'!$F$23:$F$39)</f>
        <v>0</v>
      </c>
      <c r="AB830" s="56">
        <f>_xlfn.XLOOKUP($N830,'Calculo Leads Conveniencia'!$A$77:$A$104,'Calculo Leads Conveniencia'!O$77:O$104)*_xlfn.XLOOKUP($P830,'Base Grupo de Produtos'!$E$23:$E$39,'Base Grupo de Produtos'!$F$23:$F$39)</f>
        <v>0</v>
      </c>
      <c r="AC830" s="61">
        <f t="shared" si="794"/>
        <v>0</v>
      </c>
      <c r="AD830" s="28"/>
      <c r="AE830" s="12"/>
      <c r="AF830" s="29"/>
      <c r="AG830" s="9"/>
      <c r="AH830" s="10"/>
      <c r="AI830" s="9"/>
      <c r="AJ830" s="11"/>
      <c r="AK830" s="9"/>
      <c r="AL830" s="13"/>
      <c r="AM830" s="9"/>
    </row>
    <row r="831" spans="1:39" x14ac:dyDescent="0.3">
      <c r="A831" s="2" t="str">
        <f t="shared" si="810"/>
        <v>SIM</v>
      </c>
      <c r="B831" s="2" t="str">
        <f>_xlfn.XLOOKUP($N831,'Base de Grupos'!$A:$A,'Base de Grupos'!$D:$D)</f>
        <v>1000065763</v>
      </c>
      <c r="C831" s="5" t="str">
        <f>_xlfn.XLOOKUP($N831,'Base de Grupos'!$A:$A,'Base de Grupos'!$E:$E)</f>
        <v>CANAL VENDA INTERNA</v>
      </c>
      <c r="D831" s="5" t="str">
        <f>_xlfn.XLOOKUP($N831,'Base de Grupos'!$A:$A,'Base de Grupos'!$F:$F)</f>
        <v>1000065763</v>
      </c>
      <c r="E831" s="2" t="str">
        <f>_xlfn.XLOOKUP($N831,'Base de Grupos'!$A:$A,'Base de Grupos'!$G:$G)</f>
        <v>CANAL VENDA INTERNA</v>
      </c>
      <c r="F831" s="2" t="str">
        <f>_xlfn.XLOOKUP($N831,'Base de Grupos'!$A:$A,'Base de Grupos'!$H:$H)</f>
        <v>1000174119</v>
      </c>
      <c r="G831" s="5" t="str">
        <f>_xlfn.XLOOKUP($N831,'Base de Grupos'!$A:$A,'Base de Grupos'!$I:$I)</f>
        <v>REGIONAL VENDA INTERNA - CONVENIENCIA</v>
      </c>
      <c r="H831" s="5" t="str">
        <f>_xlfn.XLOOKUP($N831,'Base de Grupos'!$A:$A,'Base de Grupos'!$J:$J)</f>
        <v>1000174119</v>
      </c>
      <c r="I831" s="2" t="str">
        <f>_xlfn.XLOOKUP($N831,'Base de Grupos'!$A:$A,'Base de Grupos'!$K:$K)</f>
        <v>REGIONAL VENDA INTERNA - CONVENIENCIA</v>
      </c>
      <c r="J831" s="2" t="str">
        <f>_xlfn.XLOOKUP($N831,'Base de Grupos'!$A:$A,'Base de Grupos'!$L:$L)</f>
        <v>1000174119</v>
      </c>
      <c r="K831" s="5" t="str">
        <f>_xlfn.XLOOKUP($N831,'Base de Grupos'!$A:$A,'Base de Grupos'!$M:$M)</f>
        <v>REGIONAL VENDA INTERNA - CONVENIENCIA</v>
      </c>
      <c r="L831" s="5">
        <f t="shared" si="811"/>
        <v>1</v>
      </c>
      <c r="M831" s="5" t="str">
        <f>_xlfn.XLOOKUP($N831,'Base de Grupos'!$A:$A,'Base de Grupos'!$C:$C)</f>
        <v>MA</v>
      </c>
      <c r="N831" s="3">
        <v>1511</v>
      </c>
      <c r="O831" s="4" t="s">
        <v>270</v>
      </c>
      <c r="P831" s="5" t="s">
        <v>340</v>
      </c>
      <c r="Q831" s="56">
        <f t="shared" ref="Q831" si="838">SUM(Q832:Q848)</f>
        <v>0</v>
      </c>
      <c r="R831" s="56">
        <f t="shared" ref="R831" si="839">SUM(R832:R848)</f>
        <v>0</v>
      </c>
      <c r="S831" s="56">
        <f t="shared" ref="S831" si="840">SUM(S832:S848)</f>
        <v>0</v>
      </c>
      <c r="T831" s="56">
        <f t="shared" ref="T831" si="841">SUM(T832:T848)</f>
        <v>0</v>
      </c>
      <c r="U831" s="56">
        <f t="shared" ref="U831" si="842">SUM(U832:U848)</f>
        <v>0</v>
      </c>
      <c r="V831" s="56">
        <f t="shared" ref="V831" si="843">SUM(V832:V848)</f>
        <v>0</v>
      </c>
      <c r="W831" s="56">
        <f t="shared" ref="W831" si="844">SUM(W832:W848)</f>
        <v>0</v>
      </c>
      <c r="X831" s="56">
        <f t="shared" ref="X831" si="845">SUM(X832:X848)</f>
        <v>0</v>
      </c>
      <c r="Y831" s="56">
        <f t="shared" ref="Y831" si="846">SUM(Y832:Y848)</f>
        <v>0</v>
      </c>
      <c r="Z831" s="56">
        <f t="shared" ref="Z831" si="847">SUM(Z832:Z848)</f>
        <v>0</v>
      </c>
      <c r="AA831" s="56">
        <f t="shared" ref="AA831" si="848">SUM(AA832:AA848)</f>
        <v>0</v>
      </c>
      <c r="AB831" s="56">
        <f t="shared" ref="AB831" si="849">SUM(AB832:AB848)</f>
        <v>0</v>
      </c>
      <c r="AC831" s="56">
        <f t="shared" ref="AC831" si="850">SUM(AC832:AC848)</f>
        <v>0</v>
      </c>
      <c r="AD831" s="28"/>
      <c r="AE831" s="12"/>
      <c r="AF831" s="29"/>
      <c r="AG831" s="9"/>
      <c r="AH831" s="10"/>
      <c r="AI831" s="9"/>
      <c r="AJ831" s="11"/>
      <c r="AK831" s="9"/>
      <c r="AL831" s="13"/>
      <c r="AM831" s="9"/>
    </row>
    <row r="832" spans="1:39" x14ac:dyDescent="0.3">
      <c r="A832" s="2" t="str">
        <f t="shared" si="810"/>
        <v>NÃO</v>
      </c>
      <c r="B832" s="2" t="str">
        <f>_xlfn.XLOOKUP($N832,'Base de Grupos'!$A:$A,'Base de Grupos'!$D:$D)</f>
        <v>1000065763</v>
      </c>
      <c r="C832" s="5" t="str">
        <f>_xlfn.XLOOKUP($N832,'Base de Grupos'!$A:$A,'Base de Grupos'!$E:$E)</f>
        <v>CANAL VENDA INTERNA</v>
      </c>
      <c r="D832" s="5" t="str">
        <f>_xlfn.XLOOKUP($N832,'Base de Grupos'!$A:$A,'Base de Grupos'!$F:$F)</f>
        <v>1000065763</v>
      </c>
      <c r="E832" s="2" t="str">
        <f>_xlfn.XLOOKUP($N832,'Base de Grupos'!$A:$A,'Base de Grupos'!$G:$G)</f>
        <v>CANAL VENDA INTERNA</v>
      </c>
      <c r="F832" s="2" t="str">
        <f>_xlfn.XLOOKUP($N832,'Base de Grupos'!$A:$A,'Base de Grupos'!$H:$H)</f>
        <v>1000174119</v>
      </c>
      <c r="G832" s="5" t="str">
        <f>_xlfn.XLOOKUP($N832,'Base de Grupos'!$A:$A,'Base de Grupos'!$I:$I)</f>
        <v>REGIONAL VENDA INTERNA - CONVENIENCIA</v>
      </c>
      <c r="H832" s="5" t="str">
        <f>_xlfn.XLOOKUP($N832,'Base de Grupos'!$A:$A,'Base de Grupos'!$J:$J)</f>
        <v>1000174119</v>
      </c>
      <c r="I832" s="2" t="str">
        <f>_xlfn.XLOOKUP($N832,'Base de Grupos'!$A:$A,'Base de Grupos'!$K:$K)</f>
        <v>REGIONAL VENDA INTERNA - CONVENIENCIA</v>
      </c>
      <c r="J832" s="2" t="str">
        <f>_xlfn.XLOOKUP($N832,'Base de Grupos'!$A:$A,'Base de Grupos'!$L:$L)</f>
        <v>1000174119</v>
      </c>
      <c r="K832" s="5" t="str">
        <f>_xlfn.XLOOKUP($N832,'Base de Grupos'!$A:$A,'Base de Grupos'!$M:$M)</f>
        <v>REGIONAL VENDA INTERNA - CONVENIENCIA</v>
      </c>
      <c r="L832" s="5" t="str">
        <f t="shared" si="811"/>
        <v/>
      </c>
      <c r="M832" s="5" t="str">
        <f>_xlfn.XLOOKUP($N832,'Base de Grupos'!$A:$A,'Base de Grupos'!$C:$C)</f>
        <v>MA</v>
      </c>
      <c r="N832" s="3">
        <v>1511</v>
      </c>
      <c r="O832" s="4" t="s">
        <v>270</v>
      </c>
      <c r="P832" s="5" t="s">
        <v>81</v>
      </c>
      <c r="Q832" s="56">
        <v>0</v>
      </c>
      <c r="R832" s="56">
        <v>0</v>
      </c>
      <c r="S832" s="56">
        <v>0</v>
      </c>
      <c r="T832" s="56">
        <f>_xlfn.XLOOKUP($N832,'Calculo Leads Conveniencia'!$A$77:$A$104,'Calculo Leads Conveniencia'!G$77:G$104)*_xlfn.XLOOKUP($P832,'Base Grupo de Produtos'!$E$23:$E$39,'Base Grupo de Produtos'!$F$23:$F$39)</f>
        <v>0</v>
      </c>
      <c r="U832" s="56">
        <f>_xlfn.XLOOKUP($N832,'Calculo Leads Conveniencia'!$A$77:$A$104,'Calculo Leads Conveniencia'!H$77:H$104)*_xlfn.XLOOKUP($P832,'Base Grupo de Produtos'!$E$23:$E$39,'Base Grupo de Produtos'!$F$23:$F$39)</f>
        <v>0</v>
      </c>
      <c r="V832" s="56">
        <f>_xlfn.XLOOKUP($N832,'Calculo Leads Conveniencia'!$A$77:$A$104,'Calculo Leads Conveniencia'!I$77:I$104)*_xlfn.XLOOKUP($P832,'Base Grupo de Produtos'!$E$23:$E$39,'Base Grupo de Produtos'!$F$23:$F$39)</f>
        <v>0</v>
      </c>
      <c r="W832" s="56">
        <f>_xlfn.XLOOKUP($N832,'Calculo Leads Conveniencia'!$A$77:$A$104,'Calculo Leads Conveniencia'!J$77:J$104)*_xlfn.XLOOKUP($P832,'Base Grupo de Produtos'!$E$23:$E$39,'Base Grupo de Produtos'!$F$23:$F$39)</f>
        <v>0</v>
      </c>
      <c r="X832" s="56">
        <f>_xlfn.XLOOKUP($N832,'Calculo Leads Conveniencia'!$A$77:$A$104,'Calculo Leads Conveniencia'!K$77:K$104)*_xlfn.XLOOKUP($P832,'Base Grupo de Produtos'!$E$23:$E$39,'Base Grupo de Produtos'!$F$23:$F$39)</f>
        <v>0</v>
      </c>
      <c r="Y832" s="56">
        <f>_xlfn.XLOOKUP($N832,'Calculo Leads Conveniencia'!$A$77:$A$104,'Calculo Leads Conveniencia'!L$77:L$104)*_xlfn.XLOOKUP($P832,'Base Grupo de Produtos'!$E$23:$E$39,'Base Grupo de Produtos'!$F$23:$F$39)</f>
        <v>0</v>
      </c>
      <c r="Z832" s="56">
        <f>_xlfn.XLOOKUP($N832,'Calculo Leads Conveniencia'!$A$77:$A$104,'Calculo Leads Conveniencia'!M$77:M$104)*_xlfn.XLOOKUP($P832,'Base Grupo de Produtos'!$E$23:$E$39,'Base Grupo de Produtos'!$F$23:$F$39)</f>
        <v>0</v>
      </c>
      <c r="AA832" s="56">
        <f>_xlfn.XLOOKUP($N832,'Calculo Leads Conveniencia'!$A$77:$A$104,'Calculo Leads Conveniencia'!N$77:N$104)*_xlfn.XLOOKUP($P832,'Base Grupo de Produtos'!$E$23:$E$39,'Base Grupo de Produtos'!$F$23:$F$39)</f>
        <v>0</v>
      </c>
      <c r="AB832" s="56">
        <f>_xlfn.XLOOKUP($N832,'Calculo Leads Conveniencia'!$A$77:$A$104,'Calculo Leads Conveniencia'!O$77:O$104)*_xlfn.XLOOKUP($P832,'Base Grupo de Produtos'!$E$23:$E$39,'Base Grupo de Produtos'!$F$23:$F$39)</f>
        <v>0</v>
      </c>
      <c r="AC832" s="61">
        <f t="shared" si="794"/>
        <v>0</v>
      </c>
      <c r="AD832" s="28"/>
      <c r="AE832" s="12"/>
      <c r="AF832" s="29"/>
      <c r="AG832" s="9"/>
      <c r="AH832" s="10"/>
      <c r="AI832" s="9"/>
      <c r="AJ832" s="11"/>
      <c r="AK832" s="9"/>
      <c r="AL832" s="13"/>
      <c r="AM832" s="9"/>
    </row>
    <row r="833" spans="1:39" x14ac:dyDescent="0.3">
      <c r="A833" s="2" t="str">
        <f t="shared" si="810"/>
        <v>NÃO</v>
      </c>
      <c r="B833" s="2" t="str">
        <f>_xlfn.XLOOKUP($N833,'Base de Grupos'!$A:$A,'Base de Grupos'!$D:$D)</f>
        <v>1000065763</v>
      </c>
      <c r="C833" s="5" t="str">
        <f>_xlfn.XLOOKUP($N833,'Base de Grupos'!$A:$A,'Base de Grupos'!$E:$E)</f>
        <v>CANAL VENDA INTERNA</v>
      </c>
      <c r="D833" s="5" t="str">
        <f>_xlfn.XLOOKUP($N833,'Base de Grupos'!$A:$A,'Base de Grupos'!$F:$F)</f>
        <v>1000065763</v>
      </c>
      <c r="E833" s="2" t="str">
        <f>_xlfn.XLOOKUP($N833,'Base de Grupos'!$A:$A,'Base de Grupos'!$G:$G)</f>
        <v>CANAL VENDA INTERNA</v>
      </c>
      <c r="F833" s="2" t="str">
        <f>_xlfn.XLOOKUP($N833,'Base de Grupos'!$A:$A,'Base de Grupos'!$H:$H)</f>
        <v>1000174119</v>
      </c>
      <c r="G833" s="5" t="str">
        <f>_xlfn.XLOOKUP($N833,'Base de Grupos'!$A:$A,'Base de Grupos'!$I:$I)</f>
        <v>REGIONAL VENDA INTERNA - CONVENIENCIA</v>
      </c>
      <c r="H833" s="5" t="str">
        <f>_xlfn.XLOOKUP($N833,'Base de Grupos'!$A:$A,'Base de Grupos'!$J:$J)</f>
        <v>1000174119</v>
      </c>
      <c r="I833" s="2" t="str">
        <f>_xlfn.XLOOKUP($N833,'Base de Grupos'!$A:$A,'Base de Grupos'!$K:$K)</f>
        <v>REGIONAL VENDA INTERNA - CONVENIENCIA</v>
      </c>
      <c r="J833" s="2" t="str">
        <f>_xlfn.XLOOKUP($N833,'Base de Grupos'!$A:$A,'Base de Grupos'!$L:$L)</f>
        <v>1000174119</v>
      </c>
      <c r="K833" s="5" t="str">
        <f>_xlfn.XLOOKUP($N833,'Base de Grupos'!$A:$A,'Base de Grupos'!$M:$M)</f>
        <v>REGIONAL VENDA INTERNA - CONVENIENCIA</v>
      </c>
      <c r="L833" s="5" t="str">
        <f t="shared" si="811"/>
        <v/>
      </c>
      <c r="M833" s="5" t="str">
        <f>_xlfn.XLOOKUP($N833,'Base de Grupos'!$A:$A,'Base de Grupos'!$C:$C)</f>
        <v>MA</v>
      </c>
      <c r="N833" s="3">
        <v>1511</v>
      </c>
      <c r="O833" s="4" t="s">
        <v>270</v>
      </c>
      <c r="P833" s="5" t="s">
        <v>82</v>
      </c>
      <c r="Q833" s="56">
        <v>0</v>
      </c>
      <c r="R833" s="56">
        <v>0</v>
      </c>
      <c r="S833" s="56">
        <v>0</v>
      </c>
      <c r="T833" s="56">
        <f>_xlfn.XLOOKUP($N833,'Calculo Leads Conveniencia'!$A$77:$A$104,'Calculo Leads Conveniencia'!G$77:G$104)*_xlfn.XLOOKUP($P833,'Base Grupo de Produtos'!$E$23:$E$39,'Base Grupo de Produtos'!$F$23:$F$39)</f>
        <v>0</v>
      </c>
      <c r="U833" s="56">
        <f>_xlfn.XLOOKUP($N833,'Calculo Leads Conveniencia'!$A$77:$A$104,'Calculo Leads Conveniencia'!H$77:H$104)*_xlfn.XLOOKUP($P833,'Base Grupo de Produtos'!$E$23:$E$39,'Base Grupo de Produtos'!$F$23:$F$39)</f>
        <v>0</v>
      </c>
      <c r="V833" s="56">
        <f>_xlfn.XLOOKUP($N833,'Calculo Leads Conveniencia'!$A$77:$A$104,'Calculo Leads Conveniencia'!I$77:I$104)*_xlfn.XLOOKUP($P833,'Base Grupo de Produtos'!$E$23:$E$39,'Base Grupo de Produtos'!$F$23:$F$39)</f>
        <v>0</v>
      </c>
      <c r="W833" s="56">
        <f>_xlfn.XLOOKUP($N833,'Calculo Leads Conveniencia'!$A$77:$A$104,'Calculo Leads Conveniencia'!J$77:J$104)*_xlfn.XLOOKUP($P833,'Base Grupo de Produtos'!$E$23:$E$39,'Base Grupo de Produtos'!$F$23:$F$39)</f>
        <v>0</v>
      </c>
      <c r="X833" s="56">
        <f>_xlfn.XLOOKUP($N833,'Calculo Leads Conveniencia'!$A$77:$A$104,'Calculo Leads Conveniencia'!K$77:K$104)*_xlfn.XLOOKUP($P833,'Base Grupo de Produtos'!$E$23:$E$39,'Base Grupo de Produtos'!$F$23:$F$39)</f>
        <v>0</v>
      </c>
      <c r="Y833" s="56">
        <f>_xlfn.XLOOKUP($N833,'Calculo Leads Conveniencia'!$A$77:$A$104,'Calculo Leads Conveniencia'!L$77:L$104)*_xlfn.XLOOKUP($P833,'Base Grupo de Produtos'!$E$23:$E$39,'Base Grupo de Produtos'!$F$23:$F$39)</f>
        <v>0</v>
      </c>
      <c r="Z833" s="56">
        <f>_xlfn.XLOOKUP($N833,'Calculo Leads Conveniencia'!$A$77:$A$104,'Calculo Leads Conveniencia'!M$77:M$104)*_xlfn.XLOOKUP($P833,'Base Grupo de Produtos'!$E$23:$E$39,'Base Grupo de Produtos'!$F$23:$F$39)</f>
        <v>0</v>
      </c>
      <c r="AA833" s="56">
        <f>_xlfn.XLOOKUP($N833,'Calculo Leads Conveniencia'!$A$77:$A$104,'Calculo Leads Conveniencia'!N$77:N$104)*_xlfn.XLOOKUP($P833,'Base Grupo de Produtos'!$E$23:$E$39,'Base Grupo de Produtos'!$F$23:$F$39)</f>
        <v>0</v>
      </c>
      <c r="AB833" s="56">
        <f>_xlfn.XLOOKUP($N833,'Calculo Leads Conveniencia'!$A$77:$A$104,'Calculo Leads Conveniencia'!O$77:O$104)*_xlfn.XLOOKUP($P833,'Base Grupo de Produtos'!$E$23:$E$39,'Base Grupo de Produtos'!$F$23:$F$39)</f>
        <v>0</v>
      </c>
      <c r="AC833" s="61">
        <f t="shared" si="794"/>
        <v>0</v>
      </c>
      <c r="AD833" s="28"/>
      <c r="AE833" s="12"/>
      <c r="AF833" s="29"/>
      <c r="AG833" s="9"/>
      <c r="AH833" s="10"/>
      <c r="AI833" s="9"/>
      <c r="AJ833" s="11"/>
      <c r="AK833" s="9"/>
      <c r="AL833" s="13"/>
      <c r="AM833" s="9"/>
    </row>
    <row r="834" spans="1:39" x14ac:dyDescent="0.3">
      <c r="A834" s="2" t="str">
        <f t="shared" si="810"/>
        <v>NÃO</v>
      </c>
      <c r="B834" s="2" t="str">
        <f>_xlfn.XLOOKUP($N834,'Base de Grupos'!$A:$A,'Base de Grupos'!$D:$D)</f>
        <v>1000065763</v>
      </c>
      <c r="C834" s="5" t="str">
        <f>_xlfn.XLOOKUP($N834,'Base de Grupos'!$A:$A,'Base de Grupos'!$E:$E)</f>
        <v>CANAL VENDA INTERNA</v>
      </c>
      <c r="D834" s="5" t="str">
        <f>_xlfn.XLOOKUP($N834,'Base de Grupos'!$A:$A,'Base de Grupos'!$F:$F)</f>
        <v>1000065763</v>
      </c>
      <c r="E834" s="2" t="str">
        <f>_xlfn.XLOOKUP($N834,'Base de Grupos'!$A:$A,'Base de Grupos'!$G:$G)</f>
        <v>CANAL VENDA INTERNA</v>
      </c>
      <c r="F834" s="2" t="str">
        <f>_xlfn.XLOOKUP($N834,'Base de Grupos'!$A:$A,'Base de Grupos'!$H:$H)</f>
        <v>1000174119</v>
      </c>
      <c r="G834" s="5" t="str">
        <f>_xlfn.XLOOKUP($N834,'Base de Grupos'!$A:$A,'Base de Grupos'!$I:$I)</f>
        <v>REGIONAL VENDA INTERNA - CONVENIENCIA</v>
      </c>
      <c r="H834" s="5" t="str">
        <f>_xlfn.XLOOKUP($N834,'Base de Grupos'!$A:$A,'Base de Grupos'!$J:$J)</f>
        <v>1000174119</v>
      </c>
      <c r="I834" s="2" t="str">
        <f>_xlfn.XLOOKUP($N834,'Base de Grupos'!$A:$A,'Base de Grupos'!$K:$K)</f>
        <v>REGIONAL VENDA INTERNA - CONVENIENCIA</v>
      </c>
      <c r="J834" s="2" t="str">
        <f>_xlfn.XLOOKUP($N834,'Base de Grupos'!$A:$A,'Base de Grupos'!$L:$L)</f>
        <v>1000174119</v>
      </c>
      <c r="K834" s="5" t="str">
        <f>_xlfn.XLOOKUP($N834,'Base de Grupos'!$A:$A,'Base de Grupos'!$M:$M)</f>
        <v>REGIONAL VENDA INTERNA - CONVENIENCIA</v>
      </c>
      <c r="L834" s="5" t="str">
        <f t="shared" si="811"/>
        <v/>
      </c>
      <c r="M834" s="5" t="str">
        <f>_xlfn.XLOOKUP($N834,'Base de Grupos'!$A:$A,'Base de Grupos'!$C:$C)</f>
        <v>MA</v>
      </c>
      <c r="N834" s="3">
        <v>1511</v>
      </c>
      <c r="O834" s="4" t="s">
        <v>270</v>
      </c>
      <c r="P834" s="5" t="s">
        <v>84</v>
      </c>
      <c r="Q834" s="56">
        <v>0</v>
      </c>
      <c r="R834" s="56">
        <v>0</v>
      </c>
      <c r="S834" s="56">
        <v>0</v>
      </c>
      <c r="T834" s="56">
        <f>_xlfn.XLOOKUP($N834,'Calculo Leads Conveniencia'!$A$77:$A$104,'Calculo Leads Conveniencia'!G$77:G$104)*_xlfn.XLOOKUP($P834,'Base Grupo de Produtos'!$E$23:$E$39,'Base Grupo de Produtos'!$F$23:$F$39)</f>
        <v>0</v>
      </c>
      <c r="U834" s="56">
        <f>_xlfn.XLOOKUP($N834,'Calculo Leads Conveniencia'!$A$77:$A$104,'Calculo Leads Conveniencia'!H$77:H$104)*_xlfn.XLOOKUP($P834,'Base Grupo de Produtos'!$E$23:$E$39,'Base Grupo de Produtos'!$F$23:$F$39)</f>
        <v>0</v>
      </c>
      <c r="V834" s="56">
        <f>_xlfn.XLOOKUP($N834,'Calculo Leads Conveniencia'!$A$77:$A$104,'Calculo Leads Conveniencia'!I$77:I$104)*_xlfn.XLOOKUP($P834,'Base Grupo de Produtos'!$E$23:$E$39,'Base Grupo de Produtos'!$F$23:$F$39)</f>
        <v>0</v>
      </c>
      <c r="W834" s="56">
        <f>_xlfn.XLOOKUP($N834,'Calculo Leads Conveniencia'!$A$77:$A$104,'Calculo Leads Conveniencia'!J$77:J$104)*_xlfn.XLOOKUP($P834,'Base Grupo de Produtos'!$E$23:$E$39,'Base Grupo de Produtos'!$F$23:$F$39)</f>
        <v>0</v>
      </c>
      <c r="X834" s="56">
        <f>_xlfn.XLOOKUP($N834,'Calculo Leads Conveniencia'!$A$77:$A$104,'Calculo Leads Conveniencia'!K$77:K$104)*_xlfn.XLOOKUP($P834,'Base Grupo de Produtos'!$E$23:$E$39,'Base Grupo de Produtos'!$F$23:$F$39)</f>
        <v>0</v>
      </c>
      <c r="Y834" s="56">
        <f>_xlfn.XLOOKUP($N834,'Calculo Leads Conveniencia'!$A$77:$A$104,'Calculo Leads Conveniencia'!L$77:L$104)*_xlfn.XLOOKUP($P834,'Base Grupo de Produtos'!$E$23:$E$39,'Base Grupo de Produtos'!$F$23:$F$39)</f>
        <v>0</v>
      </c>
      <c r="Z834" s="56">
        <f>_xlfn.XLOOKUP($N834,'Calculo Leads Conveniencia'!$A$77:$A$104,'Calculo Leads Conveniencia'!M$77:M$104)*_xlfn.XLOOKUP($P834,'Base Grupo de Produtos'!$E$23:$E$39,'Base Grupo de Produtos'!$F$23:$F$39)</f>
        <v>0</v>
      </c>
      <c r="AA834" s="56">
        <f>_xlfn.XLOOKUP($N834,'Calculo Leads Conveniencia'!$A$77:$A$104,'Calculo Leads Conveniencia'!N$77:N$104)*_xlfn.XLOOKUP($P834,'Base Grupo de Produtos'!$E$23:$E$39,'Base Grupo de Produtos'!$F$23:$F$39)</f>
        <v>0</v>
      </c>
      <c r="AB834" s="56">
        <f>_xlfn.XLOOKUP($N834,'Calculo Leads Conveniencia'!$A$77:$A$104,'Calculo Leads Conveniencia'!O$77:O$104)*_xlfn.XLOOKUP($P834,'Base Grupo de Produtos'!$E$23:$E$39,'Base Grupo de Produtos'!$F$23:$F$39)</f>
        <v>0</v>
      </c>
      <c r="AC834" s="61">
        <f t="shared" si="794"/>
        <v>0</v>
      </c>
      <c r="AD834" s="28"/>
      <c r="AE834" s="12"/>
      <c r="AF834" s="29"/>
      <c r="AG834" s="9"/>
      <c r="AH834" s="10"/>
      <c r="AI834" s="9"/>
      <c r="AJ834" s="11"/>
      <c r="AK834" s="9"/>
      <c r="AL834" s="13"/>
      <c r="AM834" s="9"/>
    </row>
    <row r="835" spans="1:39" x14ac:dyDescent="0.3">
      <c r="A835" s="2" t="str">
        <f t="shared" si="810"/>
        <v>NÃO</v>
      </c>
      <c r="B835" s="2" t="str">
        <f>_xlfn.XLOOKUP($N835,'Base de Grupos'!$A:$A,'Base de Grupos'!$D:$D)</f>
        <v>1000065763</v>
      </c>
      <c r="C835" s="5" t="str">
        <f>_xlfn.XLOOKUP($N835,'Base de Grupos'!$A:$A,'Base de Grupos'!$E:$E)</f>
        <v>CANAL VENDA INTERNA</v>
      </c>
      <c r="D835" s="5" t="str">
        <f>_xlfn.XLOOKUP($N835,'Base de Grupos'!$A:$A,'Base de Grupos'!$F:$F)</f>
        <v>1000065763</v>
      </c>
      <c r="E835" s="2" t="str">
        <f>_xlfn.XLOOKUP($N835,'Base de Grupos'!$A:$A,'Base de Grupos'!$G:$G)</f>
        <v>CANAL VENDA INTERNA</v>
      </c>
      <c r="F835" s="2" t="str">
        <f>_xlfn.XLOOKUP($N835,'Base de Grupos'!$A:$A,'Base de Grupos'!$H:$H)</f>
        <v>1000174119</v>
      </c>
      <c r="G835" s="5" t="str">
        <f>_xlfn.XLOOKUP($N835,'Base de Grupos'!$A:$A,'Base de Grupos'!$I:$I)</f>
        <v>REGIONAL VENDA INTERNA - CONVENIENCIA</v>
      </c>
      <c r="H835" s="5" t="str">
        <f>_xlfn.XLOOKUP($N835,'Base de Grupos'!$A:$A,'Base de Grupos'!$J:$J)</f>
        <v>1000174119</v>
      </c>
      <c r="I835" s="2" t="str">
        <f>_xlfn.XLOOKUP($N835,'Base de Grupos'!$A:$A,'Base de Grupos'!$K:$K)</f>
        <v>REGIONAL VENDA INTERNA - CONVENIENCIA</v>
      </c>
      <c r="J835" s="2" t="str">
        <f>_xlfn.XLOOKUP($N835,'Base de Grupos'!$A:$A,'Base de Grupos'!$L:$L)</f>
        <v>1000174119</v>
      </c>
      <c r="K835" s="5" t="str">
        <f>_xlfn.XLOOKUP($N835,'Base de Grupos'!$A:$A,'Base de Grupos'!$M:$M)</f>
        <v>REGIONAL VENDA INTERNA - CONVENIENCIA</v>
      </c>
      <c r="L835" s="5" t="str">
        <f t="shared" si="811"/>
        <v/>
      </c>
      <c r="M835" s="5" t="str">
        <f>_xlfn.XLOOKUP($N835,'Base de Grupos'!$A:$A,'Base de Grupos'!$C:$C)</f>
        <v>MA</v>
      </c>
      <c r="N835" s="3">
        <v>1511</v>
      </c>
      <c r="O835" s="4" t="s">
        <v>270</v>
      </c>
      <c r="P835" s="5" t="s">
        <v>83</v>
      </c>
      <c r="Q835" s="56">
        <v>0</v>
      </c>
      <c r="R835" s="56">
        <v>0</v>
      </c>
      <c r="S835" s="56">
        <v>0</v>
      </c>
      <c r="T835" s="56">
        <f>_xlfn.XLOOKUP($N835,'Calculo Leads Conveniencia'!$A$77:$A$104,'Calculo Leads Conveniencia'!G$77:G$104)*_xlfn.XLOOKUP($P835,'Base Grupo de Produtos'!$E$23:$E$39,'Base Grupo de Produtos'!$F$23:$F$39)</f>
        <v>0</v>
      </c>
      <c r="U835" s="56">
        <f>_xlfn.XLOOKUP($N835,'Calculo Leads Conveniencia'!$A$77:$A$104,'Calculo Leads Conveniencia'!H$77:H$104)*_xlfn.XLOOKUP($P835,'Base Grupo de Produtos'!$E$23:$E$39,'Base Grupo de Produtos'!$F$23:$F$39)</f>
        <v>0</v>
      </c>
      <c r="V835" s="56">
        <f>_xlfn.XLOOKUP($N835,'Calculo Leads Conveniencia'!$A$77:$A$104,'Calculo Leads Conveniencia'!I$77:I$104)*_xlfn.XLOOKUP($P835,'Base Grupo de Produtos'!$E$23:$E$39,'Base Grupo de Produtos'!$F$23:$F$39)</f>
        <v>0</v>
      </c>
      <c r="W835" s="56">
        <f>_xlfn.XLOOKUP($N835,'Calculo Leads Conveniencia'!$A$77:$A$104,'Calculo Leads Conveniencia'!J$77:J$104)*_xlfn.XLOOKUP($P835,'Base Grupo de Produtos'!$E$23:$E$39,'Base Grupo de Produtos'!$F$23:$F$39)</f>
        <v>0</v>
      </c>
      <c r="X835" s="56">
        <f>_xlfn.XLOOKUP($N835,'Calculo Leads Conveniencia'!$A$77:$A$104,'Calculo Leads Conveniencia'!K$77:K$104)*_xlfn.XLOOKUP($P835,'Base Grupo de Produtos'!$E$23:$E$39,'Base Grupo de Produtos'!$F$23:$F$39)</f>
        <v>0</v>
      </c>
      <c r="Y835" s="56">
        <f>_xlfn.XLOOKUP($N835,'Calculo Leads Conveniencia'!$A$77:$A$104,'Calculo Leads Conveniencia'!L$77:L$104)*_xlfn.XLOOKUP($P835,'Base Grupo de Produtos'!$E$23:$E$39,'Base Grupo de Produtos'!$F$23:$F$39)</f>
        <v>0</v>
      </c>
      <c r="Z835" s="56">
        <f>_xlfn.XLOOKUP($N835,'Calculo Leads Conveniencia'!$A$77:$A$104,'Calculo Leads Conveniencia'!M$77:M$104)*_xlfn.XLOOKUP($P835,'Base Grupo de Produtos'!$E$23:$E$39,'Base Grupo de Produtos'!$F$23:$F$39)</f>
        <v>0</v>
      </c>
      <c r="AA835" s="56">
        <f>_xlfn.XLOOKUP($N835,'Calculo Leads Conveniencia'!$A$77:$A$104,'Calculo Leads Conveniencia'!N$77:N$104)*_xlfn.XLOOKUP($P835,'Base Grupo de Produtos'!$E$23:$E$39,'Base Grupo de Produtos'!$F$23:$F$39)</f>
        <v>0</v>
      </c>
      <c r="AB835" s="56">
        <f>_xlfn.XLOOKUP($N835,'Calculo Leads Conveniencia'!$A$77:$A$104,'Calculo Leads Conveniencia'!O$77:O$104)*_xlfn.XLOOKUP($P835,'Base Grupo de Produtos'!$E$23:$E$39,'Base Grupo de Produtos'!$F$23:$F$39)</f>
        <v>0</v>
      </c>
      <c r="AC835" s="61">
        <f t="shared" si="794"/>
        <v>0</v>
      </c>
      <c r="AD835" s="28"/>
      <c r="AE835" s="12"/>
      <c r="AF835" s="29"/>
      <c r="AG835" s="9"/>
      <c r="AH835" s="10"/>
      <c r="AI835" s="9"/>
      <c r="AJ835" s="11"/>
      <c r="AK835" s="9"/>
      <c r="AL835" s="13"/>
      <c r="AM835" s="9"/>
    </row>
    <row r="836" spans="1:39" x14ac:dyDescent="0.3">
      <c r="A836" s="2" t="str">
        <f t="shared" si="810"/>
        <v>NÃO</v>
      </c>
      <c r="B836" s="2" t="str">
        <f>_xlfn.XLOOKUP($N836,'Base de Grupos'!$A:$A,'Base de Grupos'!$D:$D)</f>
        <v>1000065763</v>
      </c>
      <c r="C836" s="5" t="str">
        <f>_xlfn.XLOOKUP($N836,'Base de Grupos'!$A:$A,'Base de Grupos'!$E:$E)</f>
        <v>CANAL VENDA INTERNA</v>
      </c>
      <c r="D836" s="5" t="str">
        <f>_xlfn.XLOOKUP($N836,'Base de Grupos'!$A:$A,'Base de Grupos'!$F:$F)</f>
        <v>1000065763</v>
      </c>
      <c r="E836" s="2" t="str">
        <f>_xlfn.XLOOKUP($N836,'Base de Grupos'!$A:$A,'Base de Grupos'!$G:$G)</f>
        <v>CANAL VENDA INTERNA</v>
      </c>
      <c r="F836" s="2" t="str">
        <f>_xlfn.XLOOKUP($N836,'Base de Grupos'!$A:$A,'Base de Grupos'!$H:$H)</f>
        <v>1000174119</v>
      </c>
      <c r="G836" s="5" t="str">
        <f>_xlfn.XLOOKUP($N836,'Base de Grupos'!$A:$A,'Base de Grupos'!$I:$I)</f>
        <v>REGIONAL VENDA INTERNA - CONVENIENCIA</v>
      </c>
      <c r="H836" s="5" t="str">
        <f>_xlfn.XLOOKUP($N836,'Base de Grupos'!$A:$A,'Base de Grupos'!$J:$J)</f>
        <v>1000174119</v>
      </c>
      <c r="I836" s="2" t="str">
        <f>_xlfn.XLOOKUP($N836,'Base de Grupos'!$A:$A,'Base de Grupos'!$K:$K)</f>
        <v>REGIONAL VENDA INTERNA - CONVENIENCIA</v>
      </c>
      <c r="J836" s="2" t="str">
        <f>_xlfn.XLOOKUP($N836,'Base de Grupos'!$A:$A,'Base de Grupos'!$L:$L)</f>
        <v>1000174119</v>
      </c>
      <c r="K836" s="5" t="str">
        <f>_xlfn.XLOOKUP($N836,'Base de Grupos'!$A:$A,'Base de Grupos'!$M:$M)</f>
        <v>REGIONAL VENDA INTERNA - CONVENIENCIA</v>
      </c>
      <c r="L836" s="5" t="str">
        <f t="shared" si="811"/>
        <v/>
      </c>
      <c r="M836" s="5" t="str">
        <f>_xlfn.XLOOKUP($N836,'Base de Grupos'!$A:$A,'Base de Grupos'!$C:$C)</f>
        <v>MA</v>
      </c>
      <c r="N836" s="3">
        <v>1511</v>
      </c>
      <c r="O836" s="4" t="s">
        <v>270</v>
      </c>
      <c r="P836" s="5" t="s">
        <v>87</v>
      </c>
      <c r="Q836" s="56">
        <v>0</v>
      </c>
      <c r="R836" s="56">
        <v>0</v>
      </c>
      <c r="S836" s="56">
        <v>0</v>
      </c>
      <c r="T836" s="56">
        <f>_xlfn.XLOOKUP($N836,'Calculo Leads Conveniencia'!$A$77:$A$104,'Calculo Leads Conveniencia'!G$77:G$104)*_xlfn.XLOOKUP($P836,'Base Grupo de Produtos'!$E$23:$E$39,'Base Grupo de Produtos'!$F$23:$F$39)</f>
        <v>0</v>
      </c>
      <c r="U836" s="56">
        <f>_xlfn.XLOOKUP($N836,'Calculo Leads Conveniencia'!$A$77:$A$104,'Calculo Leads Conveniencia'!H$77:H$104)*_xlfn.XLOOKUP($P836,'Base Grupo de Produtos'!$E$23:$E$39,'Base Grupo de Produtos'!$F$23:$F$39)</f>
        <v>0</v>
      </c>
      <c r="V836" s="56">
        <f>_xlfn.XLOOKUP($N836,'Calculo Leads Conveniencia'!$A$77:$A$104,'Calculo Leads Conveniencia'!I$77:I$104)*_xlfn.XLOOKUP($P836,'Base Grupo de Produtos'!$E$23:$E$39,'Base Grupo de Produtos'!$F$23:$F$39)</f>
        <v>0</v>
      </c>
      <c r="W836" s="56">
        <f>_xlfn.XLOOKUP($N836,'Calculo Leads Conveniencia'!$A$77:$A$104,'Calculo Leads Conveniencia'!J$77:J$104)*_xlfn.XLOOKUP($P836,'Base Grupo de Produtos'!$E$23:$E$39,'Base Grupo de Produtos'!$F$23:$F$39)</f>
        <v>0</v>
      </c>
      <c r="X836" s="56">
        <f>_xlfn.XLOOKUP($N836,'Calculo Leads Conveniencia'!$A$77:$A$104,'Calculo Leads Conveniencia'!K$77:K$104)*_xlfn.XLOOKUP($P836,'Base Grupo de Produtos'!$E$23:$E$39,'Base Grupo de Produtos'!$F$23:$F$39)</f>
        <v>0</v>
      </c>
      <c r="Y836" s="56">
        <f>_xlfn.XLOOKUP($N836,'Calculo Leads Conveniencia'!$A$77:$A$104,'Calculo Leads Conveniencia'!L$77:L$104)*_xlfn.XLOOKUP($P836,'Base Grupo de Produtos'!$E$23:$E$39,'Base Grupo de Produtos'!$F$23:$F$39)</f>
        <v>0</v>
      </c>
      <c r="Z836" s="56">
        <f>_xlfn.XLOOKUP($N836,'Calculo Leads Conveniencia'!$A$77:$A$104,'Calculo Leads Conveniencia'!M$77:M$104)*_xlfn.XLOOKUP($P836,'Base Grupo de Produtos'!$E$23:$E$39,'Base Grupo de Produtos'!$F$23:$F$39)</f>
        <v>0</v>
      </c>
      <c r="AA836" s="56">
        <f>_xlfn.XLOOKUP($N836,'Calculo Leads Conveniencia'!$A$77:$A$104,'Calculo Leads Conveniencia'!N$77:N$104)*_xlfn.XLOOKUP($P836,'Base Grupo de Produtos'!$E$23:$E$39,'Base Grupo de Produtos'!$F$23:$F$39)</f>
        <v>0</v>
      </c>
      <c r="AB836" s="56">
        <f>_xlfn.XLOOKUP($N836,'Calculo Leads Conveniencia'!$A$77:$A$104,'Calculo Leads Conveniencia'!O$77:O$104)*_xlfn.XLOOKUP($P836,'Base Grupo de Produtos'!$E$23:$E$39,'Base Grupo de Produtos'!$F$23:$F$39)</f>
        <v>0</v>
      </c>
      <c r="AC836" s="61">
        <f t="shared" si="794"/>
        <v>0</v>
      </c>
      <c r="AD836" s="28"/>
      <c r="AE836" s="12"/>
      <c r="AF836" s="29"/>
      <c r="AG836" s="9"/>
      <c r="AH836" s="10"/>
      <c r="AI836" s="9"/>
      <c r="AJ836" s="11"/>
      <c r="AK836" s="9"/>
      <c r="AL836" s="13"/>
      <c r="AM836" s="9"/>
    </row>
    <row r="837" spans="1:39" x14ac:dyDescent="0.3">
      <c r="A837" s="2" t="str">
        <f t="shared" si="810"/>
        <v>NÃO</v>
      </c>
      <c r="B837" s="2" t="str">
        <f>_xlfn.XLOOKUP($N837,'Base de Grupos'!$A:$A,'Base de Grupos'!$D:$D)</f>
        <v>1000065763</v>
      </c>
      <c r="C837" s="5" t="str">
        <f>_xlfn.XLOOKUP($N837,'Base de Grupos'!$A:$A,'Base de Grupos'!$E:$E)</f>
        <v>CANAL VENDA INTERNA</v>
      </c>
      <c r="D837" s="5" t="str">
        <f>_xlfn.XLOOKUP($N837,'Base de Grupos'!$A:$A,'Base de Grupos'!$F:$F)</f>
        <v>1000065763</v>
      </c>
      <c r="E837" s="2" t="str">
        <f>_xlfn.XLOOKUP($N837,'Base de Grupos'!$A:$A,'Base de Grupos'!$G:$G)</f>
        <v>CANAL VENDA INTERNA</v>
      </c>
      <c r="F837" s="2" t="str">
        <f>_xlfn.XLOOKUP($N837,'Base de Grupos'!$A:$A,'Base de Grupos'!$H:$H)</f>
        <v>1000174119</v>
      </c>
      <c r="G837" s="5" t="str">
        <f>_xlfn.XLOOKUP($N837,'Base de Grupos'!$A:$A,'Base de Grupos'!$I:$I)</f>
        <v>REGIONAL VENDA INTERNA - CONVENIENCIA</v>
      </c>
      <c r="H837" s="5" t="str">
        <f>_xlfn.XLOOKUP($N837,'Base de Grupos'!$A:$A,'Base de Grupos'!$J:$J)</f>
        <v>1000174119</v>
      </c>
      <c r="I837" s="2" t="str">
        <f>_xlfn.XLOOKUP($N837,'Base de Grupos'!$A:$A,'Base de Grupos'!$K:$K)</f>
        <v>REGIONAL VENDA INTERNA - CONVENIENCIA</v>
      </c>
      <c r="J837" s="2" t="str">
        <f>_xlfn.XLOOKUP($N837,'Base de Grupos'!$A:$A,'Base de Grupos'!$L:$L)</f>
        <v>1000174119</v>
      </c>
      <c r="K837" s="5" t="str">
        <f>_xlfn.XLOOKUP($N837,'Base de Grupos'!$A:$A,'Base de Grupos'!$M:$M)</f>
        <v>REGIONAL VENDA INTERNA - CONVENIENCIA</v>
      </c>
      <c r="L837" s="5" t="str">
        <f t="shared" si="811"/>
        <v/>
      </c>
      <c r="M837" s="5" t="str">
        <f>_xlfn.XLOOKUP($N837,'Base de Grupos'!$A:$A,'Base de Grupos'!$C:$C)</f>
        <v>MA</v>
      </c>
      <c r="N837" s="3">
        <v>1511</v>
      </c>
      <c r="O837" s="4" t="s">
        <v>270</v>
      </c>
      <c r="P837" s="5" t="s">
        <v>85</v>
      </c>
      <c r="Q837" s="56">
        <v>0</v>
      </c>
      <c r="R837" s="56">
        <v>0</v>
      </c>
      <c r="S837" s="56">
        <v>0</v>
      </c>
      <c r="T837" s="56">
        <f>_xlfn.XLOOKUP($N837,'Calculo Leads Conveniencia'!$A$77:$A$104,'Calculo Leads Conveniencia'!G$77:G$104)*_xlfn.XLOOKUP($P837,'Base Grupo de Produtos'!$E$23:$E$39,'Base Grupo de Produtos'!$F$23:$F$39)</f>
        <v>0</v>
      </c>
      <c r="U837" s="56">
        <f>_xlfn.XLOOKUP($N837,'Calculo Leads Conveniencia'!$A$77:$A$104,'Calculo Leads Conveniencia'!H$77:H$104)*_xlfn.XLOOKUP($P837,'Base Grupo de Produtos'!$E$23:$E$39,'Base Grupo de Produtos'!$F$23:$F$39)</f>
        <v>0</v>
      </c>
      <c r="V837" s="56">
        <f>_xlfn.XLOOKUP($N837,'Calculo Leads Conveniencia'!$A$77:$A$104,'Calculo Leads Conveniencia'!I$77:I$104)*_xlfn.XLOOKUP($P837,'Base Grupo de Produtos'!$E$23:$E$39,'Base Grupo de Produtos'!$F$23:$F$39)</f>
        <v>0</v>
      </c>
      <c r="W837" s="56">
        <f>_xlfn.XLOOKUP($N837,'Calculo Leads Conveniencia'!$A$77:$A$104,'Calculo Leads Conveniencia'!J$77:J$104)*_xlfn.XLOOKUP($P837,'Base Grupo de Produtos'!$E$23:$E$39,'Base Grupo de Produtos'!$F$23:$F$39)</f>
        <v>0</v>
      </c>
      <c r="X837" s="56">
        <f>_xlfn.XLOOKUP($N837,'Calculo Leads Conveniencia'!$A$77:$A$104,'Calculo Leads Conveniencia'!K$77:K$104)*_xlfn.XLOOKUP($P837,'Base Grupo de Produtos'!$E$23:$E$39,'Base Grupo de Produtos'!$F$23:$F$39)</f>
        <v>0</v>
      </c>
      <c r="Y837" s="56">
        <f>_xlfn.XLOOKUP($N837,'Calculo Leads Conveniencia'!$A$77:$A$104,'Calculo Leads Conveniencia'!L$77:L$104)*_xlfn.XLOOKUP($P837,'Base Grupo de Produtos'!$E$23:$E$39,'Base Grupo de Produtos'!$F$23:$F$39)</f>
        <v>0</v>
      </c>
      <c r="Z837" s="56">
        <f>_xlfn.XLOOKUP($N837,'Calculo Leads Conveniencia'!$A$77:$A$104,'Calculo Leads Conveniencia'!M$77:M$104)*_xlfn.XLOOKUP($P837,'Base Grupo de Produtos'!$E$23:$E$39,'Base Grupo de Produtos'!$F$23:$F$39)</f>
        <v>0</v>
      </c>
      <c r="AA837" s="56">
        <f>_xlfn.XLOOKUP($N837,'Calculo Leads Conveniencia'!$A$77:$A$104,'Calculo Leads Conveniencia'!N$77:N$104)*_xlfn.XLOOKUP($P837,'Base Grupo de Produtos'!$E$23:$E$39,'Base Grupo de Produtos'!$F$23:$F$39)</f>
        <v>0</v>
      </c>
      <c r="AB837" s="56">
        <f>_xlfn.XLOOKUP($N837,'Calculo Leads Conveniencia'!$A$77:$A$104,'Calculo Leads Conveniencia'!O$77:O$104)*_xlfn.XLOOKUP($P837,'Base Grupo de Produtos'!$E$23:$E$39,'Base Grupo de Produtos'!$F$23:$F$39)</f>
        <v>0</v>
      </c>
      <c r="AC837" s="61">
        <f t="shared" ref="AC837:AC900" si="851">SUM(T837:AB837)</f>
        <v>0</v>
      </c>
      <c r="AD837" s="28"/>
      <c r="AE837" s="12"/>
      <c r="AF837" s="29"/>
      <c r="AG837" s="9"/>
      <c r="AH837" s="10"/>
      <c r="AI837" s="9"/>
      <c r="AJ837" s="11"/>
      <c r="AK837" s="9"/>
      <c r="AL837" s="13"/>
      <c r="AM837" s="9"/>
    </row>
    <row r="838" spans="1:39" x14ac:dyDescent="0.3">
      <c r="A838" s="2" t="str">
        <f t="shared" si="810"/>
        <v>NÃO</v>
      </c>
      <c r="B838" s="2" t="str">
        <f>_xlfn.XLOOKUP($N838,'Base de Grupos'!$A:$A,'Base de Grupos'!$D:$D)</f>
        <v>1000065763</v>
      </c>
      <c r="C838" s="5" t="str">
        <f>_xlfn.XLOOKUP($N838,'Base de Grupos'!$A:$A,'Base de Grupos'!$E:$E)</f>
        <v>CANAL VENDA INTERNA</v>
      </c>
      <c r="D838" s="5" t="str">
        <f>_xlfn.XLOOKUP($N838,'Base de Grupos'!$A:$A,'Base de Grupos'!$F:$F)</f>
        <v>1000065763</v>
      </c>
      <c r="E838" s="2" t="str">
        <f>_xlfn.XLOOKUP($N838,'Base de Grupos'!$A:$A,'Base de Grupos'!$G:$G)</f>
        <v>CANAL VENDA INTERNA</v>
      </c>
      <c r="F838" s="2" t="str">
        <f>_xlfn.XLOOKUP($N838,'Base de Grupos'!$A:$A,'Base de Grupos'!$H:$H)</f>
        <v>1000174119</v>
      </c>
      <c r="G838" s="5" t="str">
        <f>_xlfn.XLOOKUP($N838,'Base de Grupos'!$A:$A,'Base de Grupos'!$I:$I)</f>
        <v>REGIONAL VENDA INTERNA - CONVENIENCIA</v>
      </c>
      <c r="H838" s="5" t="str">
        <f>_xlfn.XLOOKUP($N838,'Base de Grupos'!$A:$A,'Base de Grupos'!$J:$J)</f>
        <v>1000174119</v>
      </c>
      <c r="I838" s="2" t="str">
        <f>_xlfn.XLOOKUP($N838,'Base de Grupos'!$A:$A,'Base de Grupos'!$K:$K)</f>
        <v>REGIONAL VENDA INTERNA - CONVENIENCIA</v>
      </c>
      <c r="J838" s="2" t="str">
        <f>_xlfn.XLOOKUP($N838,'Base de Grupos'!$A:$A,'Base de Grupos'!$L:$L)</f>
        <v>1000174119</v>
      </c>
      <c r="K838" s="5" t="str">
        <f>_xlfn.XLOOKUP($N838,'Base de Grupos'!$A:$A,'Base de Grupos'!$M:$M)</f>
        <v>REGIONAL VENDA INTERNA - CONVENIENCIA</v>
      </c>
      <c r="L838" s="5" t="str">
        <f t="shared" si="811"/>
        <v/>
      </c>
      <c r="M838" s="5" t="str">
        <f>_xlfn.XLOOKUP($N838,'Base de Grupos'!$A:$A,'Base de Grupos'!$C:$C)</f>
        <v>MA</v>
      </c>
      <c r="N838" s="3">
        <v>1511</v>
      </c>
      <c r="O838" s="4" t="s">
        <v>270</v>
      </c>
      <c r="P838" s="5" t="s">
        <v>92</v>
      </c>
      <c r="Q838" s="56">
        <v>0</v>
      </c>
      <c r="R838" s="56">
        <v>0</v>
      </c>
      <c r="S838" s="56">
        <v>0</v>
      </c>
      <c r="T838" s="56">
        <f>_xlfn.XLOOKUP($N838,'Calculo Leads Conveniencia'!$A$77:$A$104,'Calculo Leads Conveniencia'!G$77:G$104)*_xlfn.XLOOKUP($P838,'Base Grupo de Produtos'!$E$23:$E$39,'Base Grupo de Produtos'!$F$23:$F$39)</f>
        <v>0</v>
      </c>
      <c r="U838" s="56">
        <f>_xlfn.XLOOKUP($N838,'Calculo Leads Conveniencia'!$A$77:$A$104,'Calculo Leads Conveniencia'!H$77:H$104)*_xlfn.XLOOKUP($P838,'Base Grupo de Produtos'!$E$23:$E$39,'Base Grupo de Produtos'!$F$23:$F$39)</f>
        <v>0</v>
      </c>
      <c r="V838" s="56">
        <f>_xlfn.XLOOKUP($N838,'Calculo Leads Conveniencia'!$A$77:$A$104,'Calculo Leads Conveniencia'!I$77:I$104)*_xlfn.XLOOKUP($P838,'Base Grupo de Produtos'!$E$23:$E$39,'Base Grupo de Produtos'!$F$23:$F$39)</f>
        <v>0</v>
      </c>
      <c r="W838" s="56">
        <f>_xlfn.XLOOKUP($N838,'Calculo Leads Conveniencia'!$A$77:$A$104,'Calculo Leads Conveniencia'!J$77:J$104)*_xlfn.XLOOKUP($P838,'Base Grupo de Produtos'!$E$23:$E$39,'Base Grupo de Produtos'!$F$23:$F$39)</f>
        <v>0</v>
      </c>
      <c r="X838" s="56">
        <f>_xlfn.XLOOKUP($N838,'Calculo Leads Conveniencia'!$A$77:$A$104,'Calculo Leads Conveniencia'!K$77:K$104)*_xlfn.XLOOKUP($P838,'Base Grupo de Produtos'!$E$23:$E$39,'Base Grupo de Produtos'!$F$23:$F$39)</f>
        <v>0</v>
      </c>
      <c r="Y838" s="56">
        <f>_xlfn.XLOOKUP($N838,'Calculo Leads Conveniencia'!$A$77:$A$104,'Calculo Leads Conveniencia'!L$77:L$104)*_xlfn.XLOOKUP($P838,'Base Grupo de Produtos'!$E$23:$E$39,'Base Grupo de Produtos'!$F$23:$F$39)</f>
        <v>0</v>
      </c>
      <c r="Z838" s="56">
        <f>_xlfn.XLOOKUP($N838,'Calculo Leads Conveniencia'!$A$77:$A$104,'Calculo Leads Conveniencia'!M$77:M$104)*_xlfn.XLOOKUP($P838,'Base Grupo de Produtos'!$E$23:$E$39,'Base Grupo de Produtos'!$F$23:$F$39)</f>
        <v>0</v>
      </c>
      <c r="AA838" s="56">
        <f>_xlfn.XLOOKUP($N838,'Calculo Leads Conveniencia'!$A$77:$A$104,'Calculo Leads Conveniencia'!N$77:N$104)*_xlfn.XLOOKUP($P838,'Base Grupo de Produtos'!$E$23:$E$39,'Base Grupo de Produtos'!$F$23:$F$39)</f>
        <v>0</v>
      </c>
      <c r="AB838" s="56">
        <f>_xlfn.XLOOKUP($N838,'Calculo Leads Conveniencia'!$A$77:$A$104,'Calculo Leads Conveniencia'!O$77:O$104)*_xlfn.XLOOKUP($P838,'Base Grupo de Produtos'!$E$23:$E$39,'Base Grupo de Produtos'!$F$23:$F$39)</f>
        <v>0</v>
      </c>
      <c r="AC838" s="61">
        <f t="shared" si="851"/>
        <v>0</v>
      </c>
      <c r="AD838" s="28"/>
      <c r="AE838" s="12"/>
      <c r="AF838" s="29"/>
      <c r="AG838" s="9"/>
      <c r="AH838" s="10"/>
      <c r="AI838" s="9"/>
      <c r="AJ838" s="11"/>
      <c r="AK838" s="9"/>
      <c r="AL838" s="13"/>
      <c r="AM838" s="9"/>
    </row>
    <row r="839" spans="1:39" x14ac:dyDescent="0.3">
      <c r="A839" s="2" t="str">
        <f t="shared" si="810"/>
        <v>NÃO</v>
      </c>
      <c r="B839" s="2" t="str">
        <f>_xlfn.XLOOKUP($N839,'Base de Grupos'!$A:$A,'Base de Grupos'!$D:$D)</f>
        <v>1000065763</v>
      </c>
      <c r="C839" s="5" t="str">
        <f>_xlfn.XLOOKUP($N839,'Base de Grupos'!$A:$A,'Base de Grupos'!$E:$E)</f>
        <v>CANAL VENDA INTERNA</v>
      </c>
      <c r="D839" s="5" t="str">
        <f>_xlfn.XLOOKUP($N839,'Base de Grupos'!$A:$A,'Base de Grupos'!$F:$F)</f>
        <v>1000065763</v>
      </c>
      <c r="E839" s="2" t="str">
        <f>_xlfn.XLOOKUP($N839,'Base de Grupos'!$A:$A,'Base de Grupos'!$G:$G)</f>
        <v>CANAL VENDA INTERNA</v>
      </c>
      <c r="F839" s="2" t="str">
        <f>_xlfn.XLOOKUP($N839,'Base de Grupos'!$A:$A,'Base de Grupos'!$H:$H)</f>
        <v>1000174119</v>
      </c>
      <c r="G839" s="5" t="str">
        <f>_xlfn.XLOOKUP($N839,'Base de Grupos'!$A:$A,'Base de Grupos'!$I:$I)</f>
        <v>REGIONAL VENDA INTERNA - CONVENIENCIA</v>
      </c>
      <c r="H839" s="5" t="str">
        <f>_xlfn.XLOOKUP($N839,'Base de Grupos'!$A:$A,'Base de Grupos'!$J:$J)</f>
        <v>1000174119</v>
      </c>
      <c r="I839" s="2" t="str">
        <f>_xlfn.XLOOKUP($N839,'Base de Grupos'!$A:$A,'Base de Grupos'!$K:$K)</f>
        <v>REGIONAL VENDA INTERNA - CONVENIENCIA</v>
      </c>
      <c r="J839" s="2" t="str">
        <f>_xlfn.XLOOKUP($N839,'Base de Grupos'!$A:$A,'Base de Grupos'!$L:$L)</f>
        <v>1000174119</v>
      </c>
      <c r="K839" s="5" t="str">
        <f>_xlfn.XLOOKUP($N839,'Base de Grupos'!$A:$A,'Base de Grupos'!$M:$M)</f>
        <v>REGIONAL VENDA INTERNA - CONVENIENCIA</v>
      </c>
      <c r="L839" s="5" t="str">
        <f t="shared" si="811"/>
        <v/>
      </c>
      <c r="M839" s="5" t="str">
        <f>_xlfn.XLOOKUP($N839,'Base de Grupos'!$A:$A,'Base de Grupos'!$C:$C)</f>
        <v>MA</v>
      </c>
      <c r="N839" s="3">
        <v>1511</v>
      </c>
      <c r="O839" s="4" t="s">
        <v>270</v>
      </c>
      <c r="P839" s="5" t="s">
        <v>86</v>
      </c>
      <c r="Q839" s="56">
        <v>0</v>
      </c>
      <c r="R839" s="56">
        <v>0</v>
      </c>
      <c r="S839" s="56">
        <v>0</v>
      </c>
      <c r="T839" s="56">
        <f>_xlfn.XLOOKUP($N839,'Calculo Leads Conveniencia'!$A$77:$A$104,'Calculo Leads Conveniencia'!G$77:G$104)*_xlfn.XLOOKUP($P839,'Base Grupo de Produtos'!$E$23:$E$39,'Base Grupo de Produtos'!$F$23:$F$39)</f>
        <v>0</v>
      </c>
      <c r="U839" s="56">
        <f>_xlfn.XLOOKUP($N839,'Calculo Leads Conveniencia'!$A$77:$A$104,'Calculo Leads Conveniencia'!H$77:H$104)*_xlfn.XLOOKUP($P839,'Base Grupo de Produtos'!$E$23:$E$39,'Base Grupo de Produtos'!$F$23:$F$39)</f>
        <v>0</v>
      </c>
      <c r="V839" s="56">
        <f>_xlfn.XLOOKUP($N839,'Calculo Leads Conveniencia'!$A$77:$A$104,'Calculo Leads Conveniencia'!I$77:I$104)*_xlfn.XLOOKUP($P839,'Base Grupo de Produtos'!$E$23:$E$39,'Base Grupo de Produtos'!$F$23:$F$39)</f>
        <v>0</v>
      </c>
      <c r="W839" s="56">
        <f>_xlfn.XLOOKUP($N839,'Calculo Leads Conveniencia'!$A$77:$A$104,'Calculo Leads Conveniencia'!J$77:J$104)*_xlfn.XLOOKUP($P839,'Base Grupo de Produtos'!$E$23:$E$39,'Base Grupo de Produtos'!$F$23:$F$39)</f>
        <v>0</v>
      </c>
      <c r="X839" s="56">
        <f>_xlfn.XLOOKUP($N839,'Calculo Leads Conveniencia'!$A$77:$A$104,'Calculo Leads Conveniencia'!K$77:K$104)*_xlfn.XLOOKUP($P839,'Base Grupo de Produtos'!$E$23:$E$39,'Base Grupo de Produtos'!$F$23:$F$39)</f>
        <v>0</v>
      </c>
      <c r="Y839" s="56">
        <f>_xlfn.XLOOKUP($N839,'Calculo Leads Conveniencia'!$A$77:$A$104,'Calculo Leads Conveniencia'!L$77:L$104)*_xlfn.XLOOKUP($P839,'Base Grupo de Produtos'!$E$23:$E$39,'Base Grupo de Produtos'!$F$23:$F$39)</f>
        <v>0</v>
      </c>
      <c r="Z839" s="56">
        <f>_xlfn.XLOOKUP($N839,'Calculo Leads Conveniencia'!$A$77:$A$104,'Calculo Leads Conveniencia'!M$77:M$104)*_xlfn.XLOOKUP($P839,'Base Grupo de Produtos'!$E$23:$E$39,'Base Grupo de Produtos'!$F$23:$F$39)</f>
        <v>0</v>
      </c>
      <c r="AA839" s="56">
        <f>_xlfn.XLOOKUP($N839,'Calculo Leads Conveniencia'!$A$77:$A$104,'Calculo Leads Conveniencia'!N$77:N$104)*_xlfn.XLOOKUP($P839,'Base Grupo de Produtos'!$E$23:$E$39,'Base Grupo de Produtos'!$F$23:$F$39)</f>
        <v>0</v>
      </c>
      <c r="AB839" s="56">
        <f>_xlfn.XLOOKUP($N839,'Calculo Leads Conveniencia'!$A$77:$A$104,'Calculo Leads Conveniencia'!O$77:O$104)*_xlfn.XLOOKUP($P839,'Base Grupo de Produtos'!$E$23:$E$39,'Base Grupo de Produtos'!$F$23:$F$39)</f>
        <v>0</v>
      </c>
      <c r="AC839" s="61">
        <f t="shared" si="851"/>
        <v>0</v>
      </c>
      <c r="AD839" s="28"/>
      <c r="AE839" s="12"/>
      <c r="AF839" s="29"/>
      <c r="AG839" s="9"/>
      <c r="AH839" s="10"/>
      <c r="AI839" s="9"/>
      <c r="AJ839" s="11"/>
      <c r="AK839" s="9"/>
      <c r="AL839" s="13"/>
      <c r="AM839" s="9"/>
    </row>
    <row r="840" spans="1:39" x14ac:dyDescent="0.3">
      <c r="A840" s="2" t="str">
        <f t="shared" si="810"/>
        <v>NÃO</v>
      </c>
      <c r="B840" s="2" t="str">
        <f>_xlfn.XLOOKUP($N840,'Base de Grupos'!$A:$A,'Base de Grupos'!$D:$D)</f>
        <v>1000065763</v>
      </c>
      <c r="C840" s="5" t="str">
        <f>_xlfn.XLOOKUP($N840,'Base de Grupos'!$A:$A,'Base de Grupos'!$E:$E)</f>
        <v>CANAL VENDA INTERNA</v>
      </c>
      <c r="D840" s="5" t="str">
        <f>_xlfn.XLOOKUP($N840,'Base de Grupos'!$A:$A,'Base de Grupos'!$F:$F)</f>
        <v>1000065763</v>
      </c>
      <c r="E840" s="2" t="str">
        <f>_xlfn.XLOOKUP($N840,'Base de Grupos'!$A:$A,'Base de Grupos'!$G:$G)</f>
        <v>CANAL VENDA INTERNA</v>
      </c>
      <c r="F840" s="2" t="str">
        <f>_xlfn.XLOOKUP($N840,'Base de Grupos'!$A:$A,'Base de Grupos'!$H:$H)</f>
        <v>1000174119</v>
      </c>
      <c r="G840" s="5" t="str">
        <f>_xlfn.XLOOKUP($N840,'Base de Grupos'!$A:$A,'Base de Grupos'!$I:$I)</f>
        <v>REGIONAL VENDA INTERNA - CONVENIENCIA</v>
      </c>
      <c r="H840" s="5" t="str">
        <f>_xlfn.XLOOKUP($N840,'Base de Grupos'!$A:$A,'Base de Grupos'!$J:$J)</f>
        <v>1000174119</v>
      </c>
      <c r="I840" s="2" t="str">
        <f>_xlfn.XLOOKUP($N840,'Base de Grupos'!$A:$A,'Base de Grupos'!$K:$K)</f>
        <v>REGIONAL VENDA INTERNA - CONVENIENCIA</v>
      </c>
      <c r="J840" s="2" t="str">
        <f>_xlfn.XLOOKUP($N840,'Base de Grupos'!$A:$A,'Base de Grupos'!$L:$L)</f>
        <v>1000174119</v>
      </c>
      <c r="K840" s="5" t="str">
        <f>_xlfn.XLOOKUP($N840,'Base de Grupos'!$A:$A,'Base de Grupos'!$M:$M)</f>
        <v>REGIONAL VENDA INTERNA - CONVENIENCIA</v>
      </c>
      <c r="L840" s="5" t="str">
        <f t="shared" si="811"/>
        <v/>
      </c>
      <c r="M840" s="5" t="str">
        <f>_xlfn.XLOOKUP($N840,'Base de Grupos'!$A:$A,'Base de Grupos'!$C:$C)</f>
        <v>MA</v>
      </c>
      <c r="N840" s="3">
        <v>1511</v>
      </c>
      <c r="O840" s="4" t="s">
        <v>270</v>
      </c>
      <c r="P840" s="5" t="s">
        <v>108</v>
      </c>
      <c r="Q840" s="56">
        <v>0</v>
      </c>
      <c r="R840" s="56">
        <v>0</v>
      </c>
      <c r="S840" s="56">
        <v>0</v>
      </c>
      <c r="T840" s="56">
        <f>_xlfn.XLOOKUP($N840,'Calculo Leads Conveniencia'!$A$77:$A$104,'Calculo Leads Conveniencia'!G$77:G$104)*_xlfn.XLOOKUP($P840,'Base Grupo de Produtos'!$E$23:$E$39,'Base Grupo de Produtos'!$F$23:$F$39)</f>
        <v>0</v>
      </c>
      <c r="U840" s="56">
        <f>_xlfn.XLOOKUP($N840,'Calculo Leads Conveniencia'!$A$77:$A$104,'Calculo Leads Conveniencia'!H$77:H$104)*_xlfn.XLOOKUP($P840,'Base Grupo de Produtos'!$E$23:$E$39,'Base Grupo de Produtos'!$F$23:$F$39)</f>
        <v>0</v>
      </c>
      <c r="V840" s="56">
        <f>_xlfn.XLOOKUP($N840,'Calculo Leads Conveniencia'!$A$77:$A$104,'Calculo Leads Conveniencia'!I$77:I$104)*_xlfn.XLOOKUP($P840,'Base Grupo de Produtos'!$E$23:$E$39,'Base Grupo de Produtos'!$F$23:$F$39)</f>
        <v>0</v>
      </c>
      <c r="W840" s="56">
        <f>_xlfn.XLOOKUP($N840,'Calculo Leads Conveniencia'!$A$77:$A$104,'Calculo Leads Conveniencia'!J$77:J$104)*_xlfn.XLOOKUP($P840,'Base Grupo de Produtos'!$E$23:$E$39,'Base Grupo de Produtos'!$F$23:$F$39)</f>
        <v>0</v>
      </c>
      <c r="X840" s="56">
        <f>_xlfn.XLOOKUP($N840,'Calculo Leads Conveniencia'!$A$77:$A$104,'Calculo Leads Conveniencia'!K$77:K$104)*_xlfn.XLOOKUP($P840,'Base Grupo de Produtos'!$E$23:$E$39,'Base Grupo de Produtos'!$F$23:$F$39)</f>
        <v>0</v>
      </c>
      <c r="Y840" s="56">
        <f>_xlfn.XLOOKUP($N840,'Calculo Leads Conveniencia'!$A$77:$A$104,'Calculo Leads Conveniencia'!L$77:L$104)*_xlfn.XLOOKUP($P840,'Base Grupo de Produtos'!$E$23:$E$39,'Base Grupo de Produtos'!$F$23:$F$39)</f>
        <v>0</v>
      </c>
      <c r="Z840" s="56">
        <f>_xlfn.XLOOKUP($N840,'Calculo Leads Conveniencia'!$A$77:$A$104,'Calculo Leads Conveniencia'!M$77:M$104)*_xlfn.XLOOKUP($P840,'Base Grupo de Produtos'!$E$23:$E$39,'Base Grupo de Produtos'!$F$23:$F$39)</f>
        <v>0</v>
      </c>
      <c r="AA840" s="56">
        <f>_xlfn.XLOOKUP($N840,'Calculo Leads Conveniencia'!$A$77:$A$104,'Calculo Leads Conveniencia'!N$77:N$104)*_xlfn.XLOOKUP($P840,'Base Grupo de Produtos'!$E$23:$E$39,'Base Grupo de Produtos'!$F$23:$F$39)</f>
        <v>0</v>
      </c>
      <c r="AB840" s="56">
        <f>_xlfn.XLOOKUP($N840,'Calculo Leads Conveniencia'!$A$77:$A$104,'Calculo Leads Conveniencia'!O$77:O$104)*_xlfn.XLOOKUP($P840,'Base Grupo de Produtos'!$E$23:$E$39,'Base Grupo de Produtos'!$F$23:$F$39)</f>
        <v>0</v>
      </c>
      <c r="AC840" s="61">
        <f t="shared" si="851"/>
        <v>0</v>
      </c>
      <c r="AD840" s="28"/>
      <c r="AE840" s="12"/>
      <c r="AF840" s="29"/>
      <c r="AG840" s="9"/>
      <c r="AH840" s="10"/>
      <c r="AI840" s="9"/>
      <c r="AJ840" s="11"/>
      <c r="AK840" s="9"/>
      <c r="AL840" s="13"/>
      <c r="AM840" s="9"/>
    </row>
    <row r="841" spans="1:39" x14ac:dyDescent="0.3">
      <c r="A841" s="2" t="str">
        <f t="shared" si="810"/>
        <v>NÃO</v>
      </c>
      <c r="B841" s="2" t="str">
        <f>_xlfn.XLOOKUP($N841,'Base de Grupos'!$A:$A,'Base de Grupos'!$D:$D)</f>
        <v>1000065763</v>
      </c>
      <c r="C841" s="5" t="str">
        <f>_xlfn.XLOOKUP($N841,'Base de Grupos'!$A:$A,'Base de Grupos'!$E:$E)</f>
        <v>CANAL VENDA INTERNA</v>
      </c>
      <c r="D841" s="5" t="str">
        <f>_xlfn.XLOOKUP($N841,'Base de Grupos'!$A:$A,'Base de Grupos'!$F:$F)</f>
        <v>1000065763</v>
      </c>
      <c r="E841" s="2" t="str">
        <f>_xlfn.XLOOKUP($N841,'Base de Grupos'!$A:$A,'Base de Grupos'!$G:$G)</f>
        <v>CANAL VENDA INTERNA</v>
      </c>
      <c r="F841" s="2" t="str">
        <f>_xlfn.XLOOKUP($N841,'Base de Grupos'!$A:$A,'Base de Grupos'!$H:$H)</f>
        <v>1000174119</v>
      </c>
      <c r="G841" s="5" t="str">
        <f>_xlfn.XLOOKUP($N841,'Base de Grupos'!$A:$A,'Base de Grupos'!$I:$I)</f>
        <v>REGIONAL VENDA INTERNA - CONVENIENCIA</v>
      </c>
      <c r="H841" s="5" t="str">
        <f>_xlfn.XLOOKUP($N841,'Base de Grupos'!$A:$A,'Base de Grupos'!$J:$J)</f>
        <v>1000174119</v>
      </c>
      <c r="I841" s="2" t="str">
        <f>_xlfn.XLOOKUP($N841,'Base de Grupos'!$A:$A,'Base de Grupos'!$K:$K)</f>
        <v>REGIONAL VENDA INTERNA - CONVENIENCIA</v>
      </c>
      <c r="J841" s="2" t="str">
        <f>_xlfn.XLOOKUP($N841,'Base de Grupos'!$A:$A,'Base de Grupos'!$L:$L)</f>
        <v>1000174119</v>
      </c>
      <c r="K841" s="5" t="str">
        <f>_xlfn.XLOOKUP($N841,'Base de Grupos'!$A:$A,'Base de Grupos'!$M:$M)</f>
        <v>REGIONAL VENDA INTERNA - CONVENIENCIA</v>
      </c>
      <c r="L841" s="5" t="str">
        <f t="shared" si="811"/>
        <v/>
      </c>
      <c r="M841" s="5" t="str">
        <f>_xlfn.XLOOKUP($N841,'Base de Grupos'!$A:$A,'Base de Grupos'!$C:$C)</f>
        <v>MA</v>
      </c>
      <c r="N841" s="3">
        <v>1511</v>
      </c>
      <c r="O841" s="4" t="s">
        <v>270</v>
      </c>
      <c r="P841" s="5" t="s">
        <v>89</v>
      </c>
      <c r="Q841" s="56">
        <v>0</v>
      </c>
      <c r="R841" s="56">
        <v>0</v>
      </c>
      <c r="S841" s="56">
        <v>0</v>
      </c>
      <c r="T841" s="56">
        <f>_xlfn.XLOOKUP($N841,'Calculo Leads Conveniencia'!$A$77:$A$104,'Calculo Leads Conveniencia'!G$77:G$104)*_xlfn.XLOOKUP($P841,'Base Grupo de Produtos'!$E$23:$E$39,'Base Grupo de Produtos'!$F$23:$F$39)</f>
        <v>0</v>
      </c>
      <c r="U841" s="56">
        <f>_xlfn.XLOOKUP($N841,'Calculo Leads Conveniencia'!$A$77:$A$104,'Calculo Leads Conveniencia'!H$77:H$104)*_xlfn.XLOOKUP($P841,'Base Grupo de Produtos'!$E$23:$E$39,'Base Grupo de Produtos'!$F$23:$F$39)</f>
        <v>0</v>
      </c>
      <c r="V841" s="56">
        <f>_xlfn.XLOOKUP($N841,'Calculo Leads Conveniencia'!$A$77:$A$104,'Calculo Leads Conveniencia'!I$77:I$104)*_xlfn.XLOOKUP($P841,'Base Grupo de Produtos'!$E$23:$E$39,'Base Grupo de Produtos'!$F$23:$F$39)</f>
        <v>0</v>
      </c>
      <c r="W841" s="56">
        <f>_xlfn.XLOOKUP($N841,'Calculo Leads Conveniencia'!$A$77:$A$104,'Calculo Leads Conveniencia'!J$77:J$104)*_xlfn.XLOOKUP($P841,'Base Grupo de Produtos'!$E$23:$E$39,'Base Grupo de Produtos'!$F$23:$F$39)</f>
        <v>0</v>
      </c>
      <c r="X841" s="56">
        <f>_xlfn.XLOOKUP($N841,'Calculo Leads Conveniencia'!$A$77:$A$104,'Calculo Leads Conveniencia'!K$77:K$104)*_xlfn.XLOOKUP($P841,'Base Grupo de Produtos'!$E$23:$E$39,'Base Grupo de Produtos'!$F$23:$F$39)</f>
        <v>0</v>
      </c>
      <c r="Y841" s="56">
        <f>_xlfn.XLOOKUP($N841,'Calculo Leads Conveniencia'!$A$77:$A$104,'Calculo Leads Conveniencia'!L$77:L$104)*_xlfn.XLOOKUP($P841,'Base Grupo de Produtos'!$E$23:$E$39,'Base Grupo de Produtos'!$F$23:$F$39)</f>
        <v>0</v>
      </c>
      <c r="Z841" s="56">
        <f>_xlfn.XLOOKUP($N841,'Calculo Leads Conveniencia'!$A$77:$A$104,'Calculo Leads Conveniencia'!M$77:M$104)*_xlfn.XLOOKUP($P841,'Base Grupo de Produtos'!$E$23:$E$39,'Base Grupo de Produtos'!$F$23:$F$39)</f>
        <v>0</v>
      </c>
      <c r="AA841" s="56">
        <f>_xlfn.XLOOKUP($N841,'Calculo Leads Conveniencia'!$A$77:$A$104,'Calculo Leads Conveniencia'!N$77:N$104)*_xlfn.XLOOKUP($P841,'Base Grupo de Produtos'!$E$23:$E$39,'Base Grupo de Produtos'!$F$23:$F$39)</f>
        <v>0</v>
      </c>
      <c r="AB841" s="56">
        <f>_xlfn.XLOOKUP($N841,'Calculo Leads Conveniencia'!$A$77:$A$104,'Calculo Leads Conveniencia'!O$77:O$104)*_xlfn.XLOOKUP($P841,'Base Grupo de Produtos'!$E$23:$E$39,'Base Grupo de Produtos'!$F$23:$F$39)</f>
        <v>0</v>
      </c>
      <c r="AC841" s="61">
        <f t="shared" si="851"/>
        <v>0</v>
      </c>
      <c r="AD841" s="28"/>
      <c r="AE841" s="12"/>
      <c r="AF841" s="29"/>
      <c r="AG841" s="9"/>
      <c r="AH841" s="10"/>
      <c r="AI841" s="9"/>
      <c r="AJ841" s="11"/>
      <c r="AK841" s="9"/>
      <c r="AL841" s="13"/>
      <c r="AM841" s="9"/>
    </row>
    <row r="842" spans="1:39" x14ac:dyDescent="0.3">
      <c r="A842" s="2" t="str">
        <f t="shared" si="810"/>
        <v>NÃO</v>
      </c>
      <c r="B842" s="2" t="str">
        <f>_xlfn.XLOOKUP($N842,'Base de Grupos'!$A:$A,'Base de Grupos'!$D:$D)</f>
        <v>1000065763</v>
      </c>
      <c r="C842" s="5" t="str">
        <f>_xlfn.XLOOKUP($N842,'Base de Grupos'!$A:$A,'Base de Grupos'!$E:$E)</f>
        <v>CANAL VENDA INTERNA</v>
      </c>
      <c r="D842" s="5" t="str">
        <f>_xlfn.XLOOKUP($N842,'Base de Grupos'!$A:$A,'Base de Grupos'!$F:$F)</f>
        <v>1000065763</v>
      </c>
      <c r="E842" s="2" t="str">
        <f>_xlfn.XLOOKUP($N842,'Base de Grupos'!$A:$A,'Base de Grupos'!$G:$G)</f>
        <v>CANAL VENDA INTERNA</v>
      </c>
      <c r="F842" s="2" t="str">
        <f>_xlfn.XLOOKUP($N842,'Base de Grupos'!$A:$A,'Base de Grupos'!$H:$H)</f>
        <v>1000174119</v>
      </c>
      <c r="G842" s="5" t="str">
        <f>_xlfn.XLOOKUP($N842,'Base de Grupos'!$A:$A,'Base de Grupos'!$I:$I)</f>
        <v>REGIONAL VENDA INTERNA - CONVENIENCIA</v>
      </c>
      <c r="H842" s="5" t="str">
        <f>_xlfn.XLOOKUP($N842,'Base de Grupos'!$A:$A,'Base de Grupos'!$J:$J)</f>
        <v>1000174119</v>
      </c>
      <c r="I842" s="2" t="str">
        <f>_xlfn.XLOOKUP($N842,'Base de Grupos'!$A:$A,'Base de Grupos'!$K:$K)</f>
        <v>REGIONAL VENDA INTERNA - CONVENIENCIA</v>
      </c>
      <c r="J842" s="2" t="str">
        <f>_xlfn.XLOOKUP($N842,'Base de Grupos'!$A:$A,'Base de Grupos'!$L:$L)</f>
        <v>1000174119</v>
      </c>
      <c r="K842" s="5" t="str">
        <f>_xlfn.XLOOKUP($N842,'Base de Grupos'!$A:$A,'Base de Grupos'!$M:$M)</f>
        <v>REGIONAL VENDA INTERNA - CONVENIENCIA</v>
      </c>
      <c r="L842" s="5" t="str">
        <f t="shared" si="811"/>
        <v/>
      </c>
      <c r="M842" s="5" t="str">
        <f>_xlfn.XLOOKUP($N842,'Base de Grupos'!$A:$A,'Base de Grupos'!$C:$C)</f>
        <v>MA</v>
      </c>
      <c r="N842" s="3">
        <v>1511</v>
      </c>
      <c r="O842" s="4" t="s">
        <v>270</v>
      </c>
      <c r="P842" s="5" t="s">
        <v>88</v>
      </c>
      <c r="Q842" s="56">
        <v>0</v>
      </c>
      <c r="R842" s="56">
        <v>0</v>
      </c>
      <c r="S842" s="56">
        <v>0</v>
      </c>
      <c r="T842" s="56">
        <f>_xlfn.XLOOKUP($N842,'Calculo Leads Conveniencia'!$A$77:$A$104,'Calculo Leads Conveniencia'!G$77:G$104)*_xlfn.XLOOKUP($P842,'Base Grupo de Produtos'!$E$23:$E$39,'Base Grupo de Produtos'!$F$23:$F$39)</f>
        <v>0</v>
      </c>
      <c r="U842" s="56">
        <f>_xlfn.XLOOKUP($N842,'Calculo Leads Conveniencia'!$A$77:$A$104,'Calculo Leads Conveniencia'!H$77:H$104)*_xlfn.XLOOKUP($P842,'Base Grupo de Produtos'!$E$23:$E$39,'Base Grupo de Produtos'!$F$23:$F$39)</f>
        <v>0</v>
      </c>
      <c r="V842" s="56">
        <f>_xlfn.XLOOKUP($N842,'Calculo Leads Conveniencia'!$A$77:$A$104,'Calculo Leads Conveniencia'!I$77:I$104)*_xlfn.XLOOKUP($P842,'Base Grupo de Produtos'!$E$23:$E$39,'Base Grupo de Produtos'!$F$23:$F$39)</f>
        <v>0</v>
      </c>
      <c r="W842" s="56">
        <f>_xlfn.XLOOKUP($N842,'Calculo Leads Conveniencia'!$A$77:$A$104,'Calculo Leads Conveniencia'!J$77:J$104)*_xlfn.XLOOKUP($P842,'Base Grupo de Produtos'!$E$23:$E$39,'Base Grupo de Produtos'!$F$23:$F$39)</f>
        <v>0</v>
      </c>
      <c r="X842" s="56">
        <f>_xlfn.XLOOKUP($N842,'Calculo Leads Conveniencia'!$A$77:$A$104,'Calculo Leads Conveniencia'!K$77:K$104)*_xlfn.XLOOKUP($P842,'Base Grupo de Produtos'!$E$23:$E$39,'Base Grupo de Produtos'!$F$23:$F$39)</f>
        <v>0</v>
      </c>
      <c r="Y842" s="56">
        <f>_xlfn.XLOOKUP($N842,'Calculo Leads Conveniencia'!$A$77:$A$104,'Calculo Leads Conveniencia'!L$77:L$104)*_xlfn.XLOOKUP($P842,'Base Grupo de Produtos'!$E$23:$E$39,'Base Grupo de Produtos'!$F$23:$F$39)</f>
        <v>0</v>
      </c>
      <c r="Z842" s="56">
        <f>_xlfn.XLOOKUP($N842,'Calculo Leads Conveniencia'!$A$77:$A$104,'Calculo Leads Conveniencia'!M$77:M$104)*_xlfn.XLOOKUP($P842,'Base Grupo de Produtos'!$E$23:$E$39,'Base Grupo de Produtos'!$F$23:$F$39)</f>
        <v>0</v>
      </c>
      <c r="AA842" s="56">
        <f>_xlfn.XLOOKUP($N842,'Calculo Leads Conveniencia'!$A$77:$A$104,'Calculo Leads Conveniencia'!N$77:N$104)*_xlfn.XLOOKUP($P842,'Base Grupo de Produtos'!$E$23:$E$39,'Base Grupo de Produtos'!$F$23:$F$39)</f>
        <v>0</v>
      </c>
      <c r="AB842" s="56">
        <f>_xlfn.XLOOKUP($N842,'Calculo Leads Conveniencia'!$A$77:$A$104,'Calculo Leads Conveniencia'!O$77:O$104)*_xlfn.XLOOKUP($P842,'Base Grupo de Produtos'!$E$23:$E$39,'Base Grupo de Produtos'!$F$23:$F$39)</f>
        <v>0</v>
      </c>
      <c r="AC842" s="61">
        <f t="shared" si="851"/>
        <v>0</v>
      </c>
      <c r="AD842" s="28"/>
      <c r="AE842" s="12"/>
      <c r="AF842" s="29"/>
      <c r="AG842" s="9"/>
      <c r="AH842" s="10"/>
      <c r="AI842" s="9"/>
      <c r="AJ842" s="11"/>
      <c r="AK842" s="9"/>
      <c r="AL842" s="13"/>
      <c r="AM842" s="9"/>
    </row>
    <row r="843" spans="1:39" x14ac:dyDescent="0.3">
      <c r="A843" s="2" t="str">
        <f t="shared" si="810"/>
        <v>NÃO</v>
      </c>
      <c r="B843" s="2" t="str">
        <f>_xlfn.XLOOKUP($N843,'Base de Grupos'!$A:$A,'Base de Grupos'!$D:$D)</f>
        <v>1000065763</v>
      </c>
      <c r="C843" s="5" t="str">
        <f>_xlfn.XLOOKUP($N843,'Base de Grupos'!$A:$A,'Base de Grupos'!$E:$E)</f>
        <v>CANAL VENDA INTERNA</v>
      </c>
      <c r="D843" s="5" t="str">
        <f>_xlfn.XLOOKUP($N843,'Base de Grupos'!$A:$A,'Base de Grupos'!$F:$F)</f>
        <v>1000065763</v>
      </c>
      <c r="E843" s="2" t="str">
        <f>_xlfn.XLOOKUP($N843,'Base de Grupos'!$A:$A,'Base de Grupos'!$G:$G)</f>
        <v>CANAL VENDA INTERNA</v>
      </c>
      <c r="F843" s="2" t="str">
        <f>_xlfn.XLOOKUP($N843,'Base de Grupos'!$A:$A,'Base de Grupos'!$H:$H)</f>
        <v>1000174119</v>
      </c>
      <c r="G843" s="5" t="str">
        <f>_xlfn.XLOOKUP($N843,'Base de Grupos'!$A:$A,'Base de Grupos'!$I:$I)</f>
        <v>REGIONAL VENDA INTERNA - CONVENIENCIA</v>
      </c>
      <c r="H843" s="5" t="str">
        <f>_xlfn.XLOOKUP($N843,'Base de Grupos'!$A:$A,'Base de Grupos'!$J:$J)</f>
        <v>1000174119</v>
      </c>
      <c r="I843" s="2" t="str">
        <f>_xlfn.XLOOKUP($N843,'Base de Grupos'!$A:$A,'Base de Grupos'!$K:$K)</f>
        <v>REGIONAL VENDA INTERNA - CONVENIENCIA</v>
      </c>
      <c r="J843" s="2" t="str">
        <f>_xlfn.XLOOKUP($N843,'Base de Grupos'!$A:$A,'Base de Grupos'!$L:$L)</f>
        <v>1000174119</v>
      </c>
      <c r="K843" s="5" t="str">
        <f>_xlfn.XLOOKUP($N843,'Base de Grupos'!$A:$A,'Base de Grupos'!$M:$M)</f>
        <v>REGIONAL VENDA INTERNA - CONVENIENCIA</v>
      </c>
      <c r="L843" s="5" t="str">
        <f t="shared" si="811"/>
        <v/>
      </c>
      <c r="M843" s="5" t="str">
        <f>_xlfn.XLOOKUP($N843,'Base de Grupos'!$A:$A,'Base de Grupos'!$C:$C)</f>
        <v>MA</v>
      </c>
      <c r="N843" s="3">
        <v>1511</v>
      </c>
      <c r="O843" s="4" t="s">
        <v>270</v>
      </c>
      <c r="P843" s="5" t="s">
        <v>90</v>
      </c>
      <c r="Q843" s="56">
        <v>0</v>
      </c>
      <c r="R843" s="56">
        <v>0</v>
      </c>
      <c r="S843" s="56">
        <v>0</v>
      </c>
      <c r="T843" s="56">
        <f>_xlfn.XLOOKUP($N843,'Calculo Leads Conveniencia'!$A$77:$A$104,'Calculo Leads Conveniencia'!G$77:G$104)*_xlfn.XLOOKUP($P843,'Base Grupo de Produtos'!$E$23:$E$39,'Base Grupo de Produtos'!$F$23:$F$39)</f>
        <v>0</v>
      </c>
      <c r="U843" s="56">
        <f>_xlfn.XLOOKUP($N843,'Calculo Leads Conveniencia'!$A$77:$A$104,'Calculo Leads Conveniencia'!H$77:H$104)*_xlfn.XLOOKUP($P843,'Base Grupo de Produtos'!$E$23:$E$39,'Base Grupo de Produtos'!$F$23:$F$39)</f>
        <v>0</v>
      </c>
      <c r="V843" s="56">
        <f>_xlfn.XLOOKUP($N843,'Calculo Leads Conveniencia'!$A$77:$A$104,'Calculo Leads Conveniencia'!I$77:I$104)*_xlfn.XLOOKUP($P843,'Base Grupo de Produtos'!$E$23:$E$39,'Base Grupo de Produtos'!$F$23:$F$39)</f>
        <v>0</v>
      </c>
      <c r="W843" s="56">
        <f>_xlfn.XLOOKUP($N843,'Calculo Leads Conveniencia'!$A$77:$A$104,'Calculo Leads Conveniencia'!J$77:J$104)*_xlfn.XLOOKUP($P843,'Base Grupo de Produtos'!$E$23:$E$39,'Base Grupo de Produtos'!$F$23:$F$39)</f>
        <v>0</v>
      </c>
      <c r="X843" s="56">
        <f>_xlfn.XLOOKUP($N843,'Calculo Leads Conveniencia'!$A$77:$A$104,'Calculo Leads Conveniencia'!K$77:K$104)*_xlfn.XLOOKUP($P843,'Base Grupo de Produtos'!$E$23:$E$39,'Base Grupo de Produtos'!$F$23:$F$39)</f>
        <v>0</v>
      </c>
      <c r="Y843" s="56">
        <f>_xlfn.XLOOKUP($N843,'Calculo Leads Conveniencia'!$A$77:$A$104,'Calculo Leads Conveniencia'!L$77:L$104)*_xlfn.XLOOKUP($P843,'Base Grupo de Produtos'!$E$23:$E$39,'Base Grupo de Produtos'!$F$23:$F$39)</f>
        <v>0</v>
      </c>
      <c r="Z843" s="56">
        <f>_xlfn.XLOOKUP($N843,'Calculo Leads Conveniencia'!$A$77:$A$104,'Calculo Leads Conveniencia'!M$77:M$104)*_xlfn.XLOOKUP($P843,'Base Grupo de Produtos'!$E$23:$E$39,'Base Grupo de Produtos'!$F$23:$F$39)</f>
        <v>0</v>
      </c>
      <c r="AA843" s="56">
        <f>_xlfn.XLOOKUP($N843,'Calculo Leads Conveniencia'!$A$77:$A$104,'Calculo Leads Conveniencia'!N$77:N$104)*_xlfn.XLOOKUP($P843,'Base Grupo de Produtos'!$E$23:$E$39,'Base Grupo de Produtos'!$F$23:$F$39)</f>
        <v>0</v>
      </c>
      <c r="AB843" s="56">
        <f>_xlfn.XLOOKUP($N843,'Calculo Leads Conveniencia'!$A$77:$A$104,'Calculo Leads Conveniencia'!O$77:O$104)*_xlfn.XLOOKUP($P843,'Base Grupo de Produtos'!$E$23:$E$39,'Base Grupo de Produtos'!$F$23:$F$39)</f>
        <v>0</v>
      </c>
      <c r="AC843" s="61">
        <f t="shared" si="851"/>
        <v>0</v>
      </c>
      <c r="AD843" s="28"/>
      <c r="AE843" s="12"/>
      <c r="AF843" s="29"/>
      <c r="AG843" s="9"/>
      <c r="AH843" s="10"/>
      <c r="AI843" s="9"/>
      <c r="AJ843" s="11"/>
      <c r="AK843" s="9"/>
      <c r="AL843" s="13"/>
      <c r="AM843" s="9"/>
    </row>
    <row r="844" spans="1:39" x14ac:dyDescent="0.3">
      <c r="A844" s="2" t="str">
        <f t="shared" si="810"/>
        <v>NÃO</v>
      </c>
      <c r="B844" s="2" t="str">
        <f>_xlfn.XLOOKUP($N844,'Base de Grupos'!$A:$A,'Base de Grupos'!$D:$D)</f>
        <v>1000065763</v>
      </c>
      <c r="C844" s="5" t="str">
        <f>_xlfn.XLOOKUP($N844,'Base de Grupos'!$A:$A,'Base de Grupos'!$E:$E)</f>
        <v>CANAL VENDA INTERNA</v>
      </c>
      <c r="D844" s="5" t="str">
        <f>_xlfn.XLOOKUP($N844,'Base de Grupos'!$A:$A,'Base de Grupos'!$F:$F)</f>
        <v>1000065763</v>
      </c>
      <c r="E844" s="2" t="str">
        <f>_xlfn.XLOOKUP($N844,'Base de Grupos'!$A:$A,'Base de Grupos'!$G:$G)</f>
        <v>CANAL VENDA INTERNA</v>
      </c>
      <c r="F844" s="2" t="str">
        <f>_xlfn.XLOOKUP($N844,'Base de Grupos'!$A:$A,'Base de Grupos'!$H:$H)</f>
        <v>1000174119</v>
      </c>
      <c r="G844" s="5" t="str">
        <f>_xlfn.XLOOKUP($N844,'Base de Grupos'!$A:$A,'Base de Grupos'!$I:$I)</f>
        <v>REGIONAL VENDA INTERNA - CONVENIENCIA</v>
      </c>
      <c r="H844" s="5" t="str">
        <f>_xlfn.XLOOKUP($N844,'Base de Grupos'!$A:$A,'Base de Grupos'!$J:$J)</f>
        <v>1000174119</v>
      </c>
      <c r="I844" s="2" t="str">
        <f>_xlfn.XLOOKUP($N844,'Base de Grupos'!$A:$A,'Base de Grupos'!$K:$K)</f>
        <v>REGIONAL VENDA INTERNA - CONVENIENCIA</v>
      </c>
      <c r="J844" s="2" t="str">
        <f>_xlfn.XLOOKUP($N844,'Base de Grupos'!$A:$A,'Base de Grupos'!$L:$L)</f>
        <v>1000174119</v>
      </c>
      <c r="K844" s="5" t="str">
        <f>_xlfn.XLOOKUP($N844,'Base de Grupos'!$A:$A,'Base de Grupos'!$M:$M)</f>
        <v>REGIONAL VENDA INTERNA - CONVENIENCIA</v>
      </c>
      <c r="L844" s="5" t="str">
        <f t="shared" si="811"/>
        <v/>
      </c>
      <c r="M844" s="5" t="str">
        <f>_xlfn.XLOOKUP($N844,'Base de Grupos'!$A:$A,'Base de Grupos'!$C:$C)</f>
        <v>MA</v>
      </c>
      <c r="N844" s="3">
        <v>1511</v>
      </c>
      <c r="O844" s="4" t="s">
        <v>270</v>
      </c>
      <c r="P844" s="5" t="s">
        <v>91</v>
      </c>
      <c r="Q844" s="56">
        <v>0</v>
      </c>
      <c r="R844" s="56">
        <v>0</v>
      </c>
      <c r="S844" s="56">
        <v>0</v>
      </c>
      <c r="T844" s="56">
        <f>_xlfn.XLOOKUP($N844,'Calculo Leads Conveniencia'!$A$77:$A$104,'Calculo Leads Conveniencia'!G$77:G$104)*_xlfn.XLOOKUP($P844,'Base Grupo de Produtos'!$E$23:$E$39,'Base Grupo de Produtos'!$F$23:$F$39)</f>
        <v>0</v>
      </c>
      <c r="U844" s="56">
        <f>_xlfn.XLOOKUP($N844,'Calculo Leads Conveniencia'!$A$77:$A$104,'Calculo Leads Conveniencia'!H$77:H$104)*_xlfn.XLOOKUP($P844,'Base Grupo de Produtos'!$E$23:$E$39,'Base Grupo de Produtos'!$F$23:$F$39)</f>
        <v>0</v>
      </c>
      <c r="V844" s="56">
        <f>_xlfn.XLOOKUP($N844,'Calculo Leads Conveniencia'!$A$77:$A$104,'Calculo Leads Conveniencia'!I$77:I$104)*_xlfn.XLOOKUP($P844,'Base Grupo de Produtos'!$E$23:$E$39,'Base Grupo de Produtos'!$F$23:$F$39)</f>
        <v>0</v>
      </c>
      <c r="W844" s="56">
        <f>_xlfn.XLOOKUP($N844,'Calculo Leads Conveniencia'!$A$77:$A$104,'Calculo Leads Conveniencia'!J$77:J$104)*_xlfn.XLOOKUP($P844,'Base Grupo de Produtos'!$E$23:$E$39,'Base Grupo de Produtos'!$F$23:$F$39)</f>
        <v>0</v>
      </c>
      <c r="X844" s="56">
        <f>_xlfn.XLOOKUP($N844,'Calculo Leads Conveniencia'!$A$77:$A$104,'Calculo Leads Conveniencia'!K$77:K$104)*_xlfn.XLOOKUP($P844,'Base Grupo de Produtos'!$E$23:$E$39,'Base Grupo de Produtos'!$F$23:$F$39)</f>
        <v>0</v>
      </c>
      <c r="Y844" s="56">
        <f>_xlfn.XLOOKUP($N844,'Calculo Leads Conveniencia'!$A$77:$A$104,'Calculo Leads Conveniencia'!L$77:L$104)*_xlfn.XLOOKUP($P844,'Base Grupo de Produtos'!$E$23:$E$39,'Base Grupo de Produtos'!$F$23:$F$39)</f>
        <v>0</v>
      </c>
      <c r="Z844" s="56">
        <f>_xlfn.XLOOKUP($N844,'Calculo Leads Conveniencia'!$A$77:$A$104,'Calculo Leads Conveniencia'!M$77:M$104)*_xlfn.XLOOKUP($P844,'Base Grupo de Produtos'!$E$23:$E$39,'Base Grupo de Produtos'!$F$23:$F$39)</f>
        <v>0</v>
      </c>
      <c r="AA844" s="56">
        <f>_xlfn.XLOOKUP($N844,'Calculo Leads Conveniencia'!$A$77:$A$104,'Calculo Leads Conveniencia'!N$77:N$104)*_xlfn.XLOOKUP($P844,'Base Grupo de Produtos'!$E$23:$E$39,'Base Grupo de Produtos'!$F$23:$F$39)</f>
        <v>0</v>
      </c>
      <c r="AB844" s="56">
        <f>_xlfn.XLOOKUP($N844,'Calculo Leads Conveniencia'!$A$77:$A$104,'Calculo Leads Conveniencia'!O$77:O$104)*_xlfn.XLOOKUP($P844,'Base Grupo de Produtos'!$E$23:$E$39,'Base Grupo de Produtos'!$F$23:$F$39)</f>
        <v>0</v>
      </c>
      <c r="AC844" s="61">
        <f t="shared" si="851"/>
        <v>0</v>
      </c>
      <c r="AD844" s="28"/>
      <c r="AE844" s="12"/>
      <c r="AF844" s="29"/>
      <c r="AG844" s="9"/>
      <c r="AH844" s="10"/>
      <c r="AI844" s="9"/>
      <c r="AJ844" s="11"/>
      <c r="AK844" s="9"/>
      <c r="AL844" s="13"/>
      <c r="AM844" s="9"/>
    </row>
    <row r="845" spans="1:39" x14ac:dyDescent="0.3">
      <c r="A845" s="2" t="str">
        <f t="shared" si="810"/>
        <v>NÃO</v>
      </c>
      <c r="B845" s="2" t="str">
        <f>_xlfn.XLOOKUP($N845,'Base de Grupos'!$A:$A,'Base de Grupos'!$D:$D)</f>
        <v>1000065763</v>
      </c>
      <c r="C845" s="5" t="str">
        <f>_xlfn.XLOOKUP($N845,'Base de Grupos'!$A:$A,'Base de Grupos'!$E:$E)</f>
        <v>CANAL VENDA INTERNA</v>
      </c>
      <c r="D845" s="5" t="str">
        <f>_xlfn.XLOOKUP($N845,'Base de Grupos'!$A:$A,'Base de Grupos'!$F:$F)</f>
        <v>1000065763</v>
      </c>
      <c r="E845" s="2" t="str">
        <f>_xlfn.XLOOKUP($N845,'Base de Grupos'!$A:$A,'Base de Grupos'!$G:$G)</f>
        <v>CANAL VENDA INTERNA</v>
      </c>
      <c r="F845" s="2" t="str">
        <f>_xlfn.XLOOKUP($N845,'Base de Grupos'!$A:$A,'Base de Grupos'!$H:$H)</f>
        <v>1000174119</v>
      </c>
      <c r="G845" s="5" t="str">
        <f>_xlfn.XLOOKUP($N845,'Base de Grupos'!$A:$A,'Base de Grupos'!$I:$I)</f>
        <v>REGIONAL VENDA INTERNA - CONVENIENCIA</v>
      </c>
      <c r="H845" s="5" t="str">
        <f>_xlfn.XLOOKUP($N845,'Base de Grupos'!$A:$A,'Base de Grupos'!$J:$J)</f>
        <v>1000174119</v>
      </c>
      <c r="I845" s="2" t="str">
        <f>_xlfn.XLOOKUP($N845,'Base de Grupos'!$A:$A,'Base de Grupos'!$K:$K)</f>
        <v>REGIONAL VENDA INTERNA - CONVENIENCIA</v>
      </c>
      <c r="J845" s="2" t="str">
        <f>_xlfn.XLOOKUP($N845,'Base de Grupos'!$A:$A,'Base de Grupos'!$L:$L)</f>
        <v>1000174119</v>
      </c>
      <c r="K845" s="5" t="str">
        <f>_xlfn.XLOOKUP($N845,'Base de Grupos'!$A:$A,'Base de Grupos'!$M:$M)</f>
        <v>REGIONAL VENDA INTERNA - CONVENIENCIA</v>
      </c>
      <c r="L845" s="5" t="str">
        <f t="shared" si="811"/>
        <v/>
      </c>
      <c r="M845" s="5" t="str">
        <f>_xlfn.XLOOKUP($N845,'Base de Grupos'!$A:$A,'Base de Grupos'!$C:$C)</f>
        <v>MA</v>
      </c>
      <c r="N845" s="3">
        <v>1511</v>
      </c>
      <c r="O845" s="4" t="s">
        <v>270</v>
      </c>
      <c r="P845" s="5" t="s">
        <v>96</v>
      </c>
      <c r="Q845" s="56">
        <v>0</v>
      </c>
      <c r="R845" s="56">
        <v>0</v>
      </c>
      <c r="S845" s="56">
        <v>0</v>
      </c>
      <c r="T845" s="56">
        <f>_xlfn.XLOOKUP($N845,'Calculo Leads Conveniencia'!$A$77:$A$104,'Calculo Leads Conveniencia'!G$77:G$104)*_xlfn.XLOOKUP($P845,'Base Grupo de Produtos'!$E$23:$E$39,'Base Grupo de Produtos'!$F$23:$F$39)</f>
        <v>0</v>
      </c>
      <c r="U845" s="56">
        <f>_xlfn.XLOOKUP($N845,'Calculo Leads Conveniencia'!$A$77:$A$104,'Calculo Leads Conveniencia'!H$77:H$104)*_xlfn.XLOOKUP($P845,'Base Grupo de Produtos'!$E$23:$E$39,'Base Grupo de Produtos'!$F$23:$F$39)</f>
        <v>0</v>
      </c>
      <c r="V845" s="56">
        <f>_xlfn.XLOOKUP($N845,'Calculo Leads Conveniencia'!$A$77:$A$104,'Calculo Leads Conveniencia'!I$77:I$104)*_xlfn.XLOOKUP($P845,'Base Grupo de Produtos'!$E$23:$E$39,'Base Grupo de Produtos'!$F$23:$F$39)</f>
        <v>0</v>
      </c>
      <c r="W845" s="56">
        <f>_xlfn.XLOOKUP($N845,'Calculo Leads Conveniencia'!$A$77:$A$104,'Calculo Leads Conveniencia'!J$77:J$104)*_xlfn.XLOOKUP($P845,'Base Grupo de Produtos'!$E$23:$E$39,'Base Grupo de Produtos'!$F$23:$F$39)</f>
        <v>0</v>
      </c>
      <c r="X845" s="56">
        <f>_xlfn.XLOOKUP($N845,'Calculo Leads Conveniencia'!$A$77:$A$104,'Calculo Leads Conveniencia'!K$77:K$104)*_xlfn.XLOOKUP($P845,'Base Grupo de Produtos'!$E$23:$E$39,'Base Grupo de Produtos'!$F$23:$F$39)</f>
        <v>0</v>
      </c>
      <c r="Y845" s="56">
        <f>_xlfn.XLOOKUP($N845,'Calculo Leads Conveniencia'!$A$77:$A$104,'Calculo Leads Conveniencia'!L$77:L$104)*_xlfn.XLOOKUP($P845,'Base Grupo de Produtos'!$E$23:$E$39,'Base Grupo de Produtos'!$F$23:$F$39)</f>
        <v>0</v>
      </c>
      <c r="Z845" s="56">
        <f>_xlfn.XLOOKUP($N845,'Calculo Leads Conveniencia'!$A$77:$A$104,'Calculo Leads Conveniencia'!M$77:M$104)*_xlfn.XLOOKUP($P845,'Base Grupo de Produtos'!$E$23:$E$39,'Base Grupo de Produtos'!$F$23:$F$39)</f>
        <v>0</v>
      </c>
      <c r="AA845" s="56">
        <f>_xlfn.XLOOKUP($N845,'Calculo Leads Conveniencia'!$A$77:$A$104,'Calculo Leads Conveniencia'!N$77:N$104)*_xlfn.XLOOKUP($P845,'Base Grupo de Produtos'!$E$23:$E$39,'Base Grupo de Produtos'!$F$23:$F$39)</f>
        <v>0</v>
      </c>
      <c r="AB845" s="56">
        <f>_xlfn.XLOOKUP($N845,'Calculo Leads Conveniencia'!$A$77:$A$104,'Calculo Leads Conveniencia'!O$77:O$104)*_xlfn.XLOOKUP($P845,'Base Grupo de Produtos'!$E$23:$E$39,'Base Grupo de Produtos'!$F$23:$F$39)</f>
        <v>0</v>
      </c>
      <c r="AC845" s="61">
        <f t="shared" si="851"/>
        <v>0</v>
      </c>
      <c r="AD845" s="28"/>
      <c r="AE845" s="12"/>
      <c r="AF845" s="29"/>
      <c r="AG845" s="9"/>
      <c r="AH845" s="10"/>
      <c r="AI845" s="9"/>
      <c r="AJ845" s="11"/>
      <c r="AK845" s="9"/>
      <c r="AL845" s="13"/>
      <c r="AM845" s="9"/>
    </row>
    <row r="846" spans="1:39" x14ac:dyDescent="0.3">
      <c r="A846" s="2" t="str">
        <f t="shared" si="810"/>
        <v>NÃO</v>
      </c>
      <c r="B846" s="2" t="str">
        <f>_xlfn.XLOOKUP($N846,'Base de Grupos'!$A:$A,'Base de Grupos'!$D:$D)</f>
        <v>1000065763</v>
      </c>
      <c r="C846" s="5" t="str">
        <f>_xlfn.XLOOKUP($N846,'Base de Grupos'!$A:$A,'Base de Grupos'!$E:$E)</f>
        <v>CANAL VENDA INTERNA</v>
      </c>
      <c r="D846" s="5" t="str">
        <f>_xlfn.XLOOKUP($N846,'Base de Grupos'!$A:$A,'Base de Grupos'!$F:$F)</f>
        <v>1000065763</v>
      </c>
      <c r="E846" s="2" t="str">
        <f>_xlfn.XLOOKUP($N846,'Base de Grupos'!$A:$A,'Base de Grupos'!$G:$G)</f>
        <v>CANAL VENDA INTERNA</v>
      </c>
      <c r="F846" s="2" t="str">
        <f>_xlfn.XLOOKUP($N846,'Base de Grupos'!$A:$A,'Base de Grupos'!$H:$H)</f>
        <v>1000174119</v>
      </c>
      <c r="G846" s="5" t="str">
        <f>_xlfn.XLOOKUP($N846,'Base de Grupos'!$A:$A,'Base de Grupos'!$I:$I)</f>
        <v>REGIONAL VENDA INTERNA - CONVENIENCIA</v>
      </c>
      <c r="H846" s="5" t="str">
        <f>_xlfn.XLOOKUP($N846,'Base de Grupos'!$A:$A,'Base de Grupos'!$J:$J)</f>
        <v>1000174119</v>
      </c>
      <c r="I846" s="2" t="str">
        <f>_xlfn.XLOOKUP($N846,'Base de Grupos'!$A:$A,'Base de Grupos'!$K:$K)</f>
        <v>REGIONAL VENDA INTERNA - CONVENIENCIA</v>
      </c>
      <c r="J846" s="2" t="str">
        <f>_xlfn.XLOOKUP($N846,'Base de Grupos'!$A:$A,'Base de Grupos'!$L:$L)</f>
        <v>1000174119</v>
      </c>
      <c r="K846" s="5" t="str">
        <f>_xlfn.XLOOKUP($N846,'Base de Grupos'!$A:$A,'Base de Grupos'!$M:$M)</f>
        <v>REGIONAL VENDA INTERNA - CONVENIENCIA</v>
      </c>
      <c r="L846" s="5" t="str">
        <f t="shared" si="811"/>
        <v/>
      </c>
      <c r="M846" s="5" t="str">
        <f>_xlfn.XLOOKUP($N846,'Base de Grupos'!$A:$A,'Base de Grupos'!$C:$C)</f>
        <v>MA</v>
      </c>
      <c r="N846" s="3">
        <v>1511</v>
      </c>
      <c r="O846" s="4" t="s">
        <v>270</v>
      </c>
      <c r="P846" s="5" t="s">
        <v>94</v>
      </c>
      <c r="Q846" s="56">
        <v>0</v>
      </c>
      <c r="R846" s="56">
        <v>0</v>
      </c>
      <c r="S846" s="56">
        <v>0</v>
      </c>
      <c r="T846" s="56">
        <f>_xlfn.XLOOKUP($N846,'Calculo Leads Conveniencia'!$A$77:$A$104,'Calculo Leads Conveniencia'!G$77:G$104)*_xlfn.XLOOKUP($P846,'Base Grupo de Produtos'!$E$23:$E$39,'Base Grupo de Produtos'!$F$23:$F$39)</f>
        <v>0</v>
      </c>
      <c r="U846" s="56">
        <f>_xlfn.XLOOKUP($N846,'Calculo Leads Conveniencia'!$A$77:$A$104,'Calculo Leads Conveniencia'!H$77:H$104)*_xlfn.XLOOKUP($P846,'Base Grupo de Produtos'!$E$23:$E$39,'Base Grupo de Produtos'!$F$23:$F$39)</f>
        <v>0</v>
      </c>
      <c r="V846" s="56">
        <f>_xlfn.XLOOKUP($N846,'Calculo Leads Conveniencia'!$A$77:$A$104,'Calculo Leads Conveniencia'!I$77:I$104)*_xlfn.XLOOKUP($P846,'Base Grupo de Produtos'!$E$23:$E$39,'Base Grupo de Produtos'!$F$23:$F$39)</f>
        <v>0</v>
      </c>
      <c r="W846" s="56">
        <f>_xlfn.XLOOKUP($N846,'Calculo Leads Conveniencia'!$A$77:$A$104,'Calculo Leads Conveniencia'!J$77:J$104)*_xlfn.XLOOKUP($P846,'Base Grupo de Produtos'!$E$23:$E$39,'Base Grupo de Produtos'!$F$23:$F$39)</f>
        <v>0</v>
      </c>
      <c r="X846" s="56">
        <f>_xlfn.XLOOKUP($N846,'Calculo Leads Conveniencia'!$A$77:$A$104,'Calculo Leads Conveniencia'!K$77:K$104)*_xlfn.XLOOKUP($P846,'Base Grupo de Produtos'!$E$23:$E$39,'Base Grupo de Produtos'!$F$23:$F$39)</f>
        <v>0</v>
      </c>
      <c r="Y846" s="56">
        <f>_xlfn.XLOOKUP($N846,'Calculo Leads Conveniencia'!$A$77:$A$104,'Calculo Leads Conveniencia'!L$77:L$104)*_xlfn.XLOOKUP($P846,'Base Grupo de Produtos'!$E$23:$E$39,'Base Grupo de Produtos'!$F$23:$F$39)</f>
        <v>0</v>
      </c>
      <c r="Z846" s="56">
        <f>_xlfn.XLOOKUP($N846,'Calculo Leads Conveniencia'!$A$77:$A$104,'Calculo Leads Conveniencia'!M$77:M$104)*_xlfn.XLOOKUP($P846,'Base Grupo de Produtos'!$E$23:$E$39,'Base Grupo de Produtos'!$F$23:$F$39)</f>
        <v>0</v>
      </c>
      <c r="AA846" s="56">
        <f>_xlfn.XLOOKUP($N846,'Calculo Leads Conveniencia'!$A$77:$A$104,'Calculo Leads Conveniencia'!N$77:N$104)*_xlfn.XLOOKUP($P846,'Base Grupo de Produtos'!$E$23:$E$39,'Base Grupo de Produtos'!$F$23:$F$39)</f>
        <v>0</v>
      </c>
      <c r="AB846" s="56">
        <f>_xlfn.XLOOKUP($N846,'Calculo Leads Conveniencia'!$A$77:$A$104,'Calculo Leads Conveniencia'!O$77:O$104)*_xlfn.XLOOKUP($P846,'Base Grupo de Produtos'!$E$23:$E$39,'Base Grupo de Produtos'!$F$23:$F$39)</f>
        <v>0</v>
      </c>
      <c r="AC846" s="61">
        <f t="shared" si="851"/>
        <v>0</v>
      </c>
      <c r="AD846" s="28"/>
      <c r="AE846" s="12"/>
      <c r="AF846" s="29"/>
      <c r="AG846" s="9"/>
      <c r="AH846" s="10"/>
      <c r="AI846" s="9"/>
      <c r="AJ846" s="11"/>
      <c r="AK846" s="9"/>
      <c r="AL846" s="13"/>
      <c r="AM846" s="9"/>
    </row>
    <row r="847" spans="1:39" x14ac:dyDescent="0.3">
      <c r="A847" s="2" t="str">
        <f t="shared" si="810"/>
        <v>NÃO</v>
      </c>
      <c r="B847" s="2" t="str">
        <f>_xlfn.XLOOKUP($N847,'Base de Grupos'!$A:$A,'Base de Grupos'!$D:$D)</f>
        <v>1000065763</v>
      </c>
      <c r="C847" s="5" t="str">
        <f>_xlfn.XLOOKUP($N847,'Base de Grupos'!$A:$A,'Base de Grupos'!$E:$E)</f>
        <v>CANAL VENDA INTERNA</v>
      </c>
      <c r="D847" s="5" t="str">
        <f>_xlfn.XLOOKUP($N847,'Base de Grupos'!$A:$A,'Base de Grupos'!$F:$F)</f>
        <v>1000065763</v>
      </c>
      <c r="E847" s="2" t="str">
        <f>_xlfn.XLOOKUP($N847,'Base de Grupos'!$A:$A,'Base de Grupos'!$G:$G)</f>
        <v>CANAL VENDA INTERNA</v>
      </c>
      <c r="F847" s="2" t="str">
        <f>_xlfn.XLOOKUP($N847,'Base de Grupos'!$A:$A,'Base de Grupos'!$H:$H)</f>
        <v>1000174119</v>
      </c>
      <c r="G847" s="5" t="str">
        <f>_xlfn.XLOOKUP($N847,'Base de Grupos'!$A:$A,'Base de Grupos'!$I:$I)</f>
        <v>REGIONAL VENDA INTERNA - CONVENIENCIA</v>
      </c>
      <c r="H847" s="5" t="str">
        <f>_xlfn.XLOOKUP($N847,'Base de Grupos'!$A:$A,'Base de Grupos'!$J:$J)</f>
        <v>1000174119</v>
      </c>
      <c r="I847" s="2" t="str">
        <f>_xlfn.XLOOKUP($N847,'Base de Grupos'!$A:$A,'Base de Grupos'!$K:$K)</f>
        <v>REGIONAL VENDA INTERNA - CONVENIENCIA</v>
      </c>
      <c r="J847" s="2" t="str">
        <f>_xlfn.XLOOKUP($N847,'Base de Grupos'!$A:$A,'Base de Grupos'!$L:$L)</f>
        <v>1000174119</v>
      </c>
      <c r="K847" s="5" t="str">
        <f>_xlfn.XLOOKUP($N847,'Base de Grupos'!$A:$A,'Base de Grupos'!$M:$M)</f>
        <v>REGIONAL VENDA INTERNA - CONVENIENCIA</v>
      </c>
      <c r="L847" s="5" t="str">
        <f t="shared" si="811"/>
        <v/>
      </c>
      <c r="M847" s="5" t="str">
        <f>_xlfn.XLOOKUP($N847,'Base de Grupos'!$A:$A,'Base de Grupos'!$C:$C)</f>
        <v>MA</v>
      </c>
      <c r="N847" s="3">
        <v>1511</v>
      </c>
      <c r="O847" s="4" t="s">
        <v>270</v>
      </c>
      <c r="P847" s="5" t="s">
        <v>95</v>
      </c>
      <c r="Q847" s="56">
        <v>0</v>
      </c>
      <c r="R847" s="56">
        <v>0</v>
      </c>
      <c r="S847" s="56">
        <v>0</v>
      </c>
      <c r="T847" s="56">
        <f>_xlfn.XLOOKUP($N847,'Calculo Leads Conveniencia'!$A$77:$A$104,'Calculo Leads Conveniencia'!G$77:G$104)*_xlfn.XLOOKUP($P847,'Base Grupo de Produtos'!$E$23:$E$39,'Base Grupo de Produtos'!$F$23:$F$39)</f>
        <v>0</v>
      </c>
      <c r="U847" s="56">
        <f>_xlfn.XLOOKUP($N847,'Calculo Leads Conveniencia'!$A$77:$A$104,'Calculo Leads Conveniencia'!H$77:H$104)*_xlfn.XLOOKUP($P847,'Base Grupo de Produtos'!$E$23:$E$39,'Base Grupo de Produtos'!$F$23:$F$39)</f>
        <v>0</v>
      </c>
      <c r="V847" s="56">
        <f>_xlfn.XLOOKUP($N847,'Calculo Leads Conveniencia'!$A$77:$A$104,'Calculo Leads Conveniencia'!I$77:I$104)*_xlfn.XLOOKUP($P847,'Base Grupo de Produtos'!$E$23:$E$39,'Base Grupo de Produtos'!$F$23:$F$39)</f>
        <v>0</v>
      </c>
      <c r="W847" s="56">
        <f>_xlfn.XLOOKUP($N847,'Calculo Leads Conveniencia'!$A$77:$A$104,'Calculo Leads Conveniencia'!J$77:J$104)*_xlfn.XLOOKUP($P847,'Base Grupo de Produtos'!$E$23:$E$39,'Base Grupo de Produtos'!$F$23:$F$39)</f>
        <v>0</v>
      </c>
      <c r="X847" s="56">
        <f>_xlfn.XLOOKUP($N847,'Calculo Leads Conveniencia'!$A$77:$A$104,'Calculo Leads Conveniencia'!K$77:K$104)*_xlfn.XLOOKUP($P847,'Base Grupo de Produtos'!$E$23:$E$39,'Base Grupo de Produtos'!$F$23:$F$39)</f>
        <v>0</v>
      </c>
      <c r="Y847" s="56">
        <f>_xlfn.XLOOKUP($N847,'Calculo Leads Conveniencia'!$A$77:$A$104,'Calculo Leads Conveniencia'!L$77:L$104)*_xlfn.XLOOKUP($P847,'Base Grupo de Produtos'!$E$23:$E$39,'Base Grupo de Produtos'!$F$23:$F$39)</f>
        <v>0</v>
      </c>
      <c r="Z847" s="56">
        <f>_xlfn.XLOOKUP($N847,'Calculo Leads Conveniencia'!$A$77:$A$104,'Calculo Leads Conveniencia'!M$77:M$104)*_xlfn.XLOOKUP($P847,'Base Grupo de Produtos'!$E$23:$E$39,'Base Grupo de Produtos'!$F$23:$F$39)</f>
        <v>0</v>
      </c>
      <c r="AA847" s="56">
        <f>_xlfn.XLOOKUP($N847,'Calculo Leads Conveniencia'!$A$77:$A$104,'Calculo Leads Conveniencia'!N$77:N$104)*_xlfn.XLOOKUP($P847,'Base Grupo de Produtos'!$E$23:$E$39,'Base Grupo de Produtos'!$F$23:$F$39)</f>
        <v>0</v>
      </c>
      <c r="AB847" s="56">
        <f>_xlfn.XLOOKUP($N847,'Calculo Leads Conveniencia'!$A$77:$A$104,'Calculo Leads Conveniencia'!O$77:O$104)*_xlfn.XLOOKUP($P847,'Base Grupo de Produtos'!$E$23:$E$39,'Base Grupo de Produtos'!$F$23:$F$39)</f>
        <v>0</v>
      </c>
      <c r="AC847" s="61">
        <f t="shared" si="851"/>
        <v>0</v>
      </c>
      <c r="AD847" s="28"/>
      <c r="AE847" s="12"/>
      <c r="AF847" s="29"/>
      <c r="AG847" s="9"/>
      <c r="AH847" s="10"/>
      <c r="AI847" s="9"/>
      <c r="AJ847" s="11"/>
      <c r="AK847" s="9"/>
      <c r="AL847" s="13"/>
      <c r="AM847" s="9"/>
    </row>
    <row r="848" spans="1:39" x14ac:dyDescent="0.3">
      <c r="A848" s="2" t="str">
        <f t="shared" si="810"/>
        <v>NÃO</v>
      </c>
      <c r="B848" s="2" t="str">
        <f>_xlfn.XLOOKUP($N848,'Base de Grupos'!$A:$A,'Base de Grupos'!$D:$D)</f>
        <v>1000065763</v>
      </c>
      <c r="C848" s="5" t="str">
        <f>_xlfn.XLOOKUP($N848,'Base de Grupos'!$A:$A,'Base de Grupos'!$E:$E)</f>
        <v>CANAL VENDA INTERNA</v>
      </c>
      <c r="D848" s="5" t="str">
        <f>_xlfn.XLOOKUP($N848,'Base de Grupos'!$A:$A,'Base de Grupos'!$F:$F)</f>
        <v>1000065763</v>
      </c>
      <c r="E848" s="2" t="str">
        <f>_xlfn.XLOOKUP($N848,'Base de Grupos'!$A:$A,'Base de Grupos'!$G:$G)</f>
        <v>CANAL VENDA INTERNA</v>
      </c>
      <c r="F848" s="2" t="str">
        <f>_xlfn.XLOOKUP($N848,'Base de Grupos'!$A:$A,'Base de Grupos'!$H:$H)</f>
        <v>1000174119</v>
      </c>
      <c r="G848" s="5" t="str">
        <f>_xlfn.XLOOKUP($N848,'Base de Grupos'!$A:$A,'Base de Grupos'!$I:$I)</f>
        <v>REGIONAL VENDA INTERNA - CONVENIENCIA</v>
      </c>
      <c r="H848" s="5" t="str">
        <f>_xlfn.XLOOKUP($N848,'Base de Grupos'!$A:$A,'Base de Grupos'!$J:$J)</f>
        <v>1000174119</v>
      </c>
      <c r="I848" s="2" t="str">
        <f>_xlfn.XLOOKUP($N848,'Base de Grupos'!$A:$A,'Base de Grupos'!$K:$K)</f>
        <v>REGIONAL VENDA INTERNA - CONVENIENCIA</v>
      </c>
      <c r="J848" s="2" t="str">
        <f>_xlfn.XLOOKUP($N848,'Base de Grupos'!$A:$A,'Base de Grupos'!$L:$L)</f>
        <v>1000174119</v>
      </c>
      <c r="K848" s="5" t="str">
        <f>_xlfn.XLOOKUP($N848,'Base de Grupos'!$A:$A,'Base de Grupos'!$M:$M)</f>
        <v>REGIONAL VENDA INTERNA - CONVENIENCIA</v>
      </c>
      <c r="L848" s="5" t="str">
        <f t="shared" si="811"/>
        <v/>
      </c>
      <c r="M848" s="5" t="str">
        <f>_xlfn.XLOOKUP($N848,'Base de Grupos'!$A:$A,'Base de Grupos'!$C:$C)</f>
        <v>MA</v>
      </c>
      <c r="N848" s="3">
        <v>1511</v>
      </c>
      <c r="O848" s="4" t="s">
        <v>270</v>
      </c>
      <c r="P848" s="5" t="s">
        <v>93</v>
      </c>
      <c r="Q848" s="56">
        <v>0</v>
      </c>
      <c r="R848" s="56">
        <v>0</v>
      </c>
      <c r="S848" s="56">
        <v>0</v>
      </c>
      <c r="T848" s="56">
        <f>_xlfn.XLOOKUP($N848,'Calculo Leads Conveniencia'!$A$77:$A$104,'Calculo Leads Conveniencia'!G$77:G$104)*_xlfn.XLOOKUP($P848,'Base Grupo de Produtos'!$E$23:$E$39,'Base Grupo de Produtos'!$F$23:$F$39)</f>
        <v>0</v>
      </c>
      <c r="U848" s="56">
        <f>_xlfn.XLOOKUP($N848,'Calculo Leads Conveniencia'!$A$77:$A$104,'Calculo Leads Conveniencia'!H$77:H$104)*_xlfn.XLOOKUP($P848,'Base Grupo de Produtos'!$E$23:$E$39,'Base Grupo de Produtos'!$F$23:$F$39)</f>
        <v>0</v>
      </c>
      <c r="V848" s="56">
        <f>_xlfn.XLOOKUP($N848,'Calculo Leads Conveniencia'!$A$77:$A$104,'Calculo Leads Conveniencia'!I$77:I$104)*_xlfn.XLOOKUP($P848,'Base Grupo de Produtos'!$E$23:$E$39,'Base Grupo de Produtos'!$F$23:$F$39)</f>
        <v>0</v>
      </c>
      <c r="W848" s="56">
        <f>_xlfn.XLOOKUP($N848,'Calculo Leads Conveniencia'!$A$77:$A$104,'Calculo Leads Conveniencia'!J$77:J$104)*_xlfn.XLOOKUP($P848,'Base Grupo de Produtos'!$E$23:$E$39,'Base Grupo de Produtos'!$F$23:$F$39)</f>
        <v>0</v>
      </c>
      <c r="X848" s="56">
        <f>_xlfn.XLOOKUP($N848,'Calculo Leads Conveniencia'!$A$77:$A$104,'Calculo Leads Conveniencia'!K$77:K$104)*_xlfn.XLOOKUP($P848,'Base Grupo de Produtos'!$E$23:$E$39,'Base Grupo de Produtos'!$F$23:$F$39)</f>
        <v>0</v>
      </c>
      <c r="Y848" s="56">
        <f>_xlfn.XLOOKUP($N848,'Calculo Leads Conveniencia'!$A$77:$A$104,'Calculo Leads Conveniencia'!L$77:L$104)*_xlfn.XLOOKUP($P848,'Base Grupo de Produtos'!$E$23:$E$39,'Base Grupo de Produtos'!$F$23:$F$39)</f>
        <v>0</v>
      </c>
      <c r="Z848" s="56">
        <f>_xlfn.XLOOKUP($N848,'Calculo Leads Conveniencia'!$A$77:$A$104,'Calculo Leads Conveniencia'!M$77:M$104)*_xlfn.XLOOKUP($P848,'Base Grupo de Produtos'!$E$23:$E$39,'Base Grupo de Produtos'!$F$23:$F$39)</f>
        <v>0</v>
      </c>
      <c r="AA848" s="56">
        <f>_xlfn.XLOOKUP($N848,'Calculo Leads Conveniencia'!$A$77:$A$104,'Calculo Leads Conveniencia'!N$77:N$104)*_xlfn.XLOOKUP($P848,'Base Grupo de Produtos'!$E$23:$E$39,'Base Grupo de Produtos'!$F$23:$F$39)</f>
        <v>0</v>
      </c>
      <c r="AB848" s="56">
        <f>_xlfn.XLOOKUP($N848,'Calculo Leads Conveniencia'!$A$77:$A$104,'Calculo Leads Conveniencia'!O$77:O$104)*_xlfn.XLOOKUP($P848,'Base Grupo de Produtos'!$E$23:$E$39,'Base Grupo de Produtos'!$F$23:$F$39)</f>
        <v>0</v>
      </c>
      <c r="AC848" s="61">
        <f t="shared" si="851"/>
        <v>0</v>
      </c>
      <c r="AD848" s="28"/>
      <c r="AE848" s="12"/>
      <c r="AF848" s="29"/>
      <c r="AG848" s="9"/>
      <c r="AH848" s="10"/>
      <c r="AI848" s="9"/>
      <c r="AJ848" s="11"/>
      <c r="AK848" s="9"/>
      <c r="AL848" s="13"/>
      <c r="AM848" s="9"/>
    </row>
    <row r="849" spans="1:39" x14ac:dyDescent="0.3">
      <c r="A849" s="2" t="str">
        <f t="shared" si="810"/>
        <v>SIM</v>
      </c>
      <c r="B849" s="2" t="str">
        <f>_xlfn.XLOOKUP($N849,'Base de Grupos'!$A:$A,'Base de Grupos'!$D:$D)</f>
        <v>1000065763</v>
      </c>
      <c r="C849" s="5" t="str">
        <f>_xlfn.XLOOKUP($N849,'Base de Grupos'!$A:$A,'Base de Grupos'!$E:$E)</f>
        <v>CANAL VENDA INTERNA</v>
      </c>
      <c r="D849" s="5" t="str">
        <f>_xlfn.XLOOKUP($N849,'Base de Grupos'!$A:$A,'Base de Grupos'!$F:$F)</f>
        <v>1000065763</v>
      </c>
      <c r="E849" s="2" t="str">
        <f>_xlfn.XLOOKUP($N849,'Base de Grupos'!$A:$A,'Base de Grupos'!$G:$G)</f>
        <v>CANAL VENDA INTERNA</v>
      </c>
      <c r="F849" s="2" t="str">
        <f>_xlfn.XLOOKUP($N849,'Base de Grupos'!$A:$A,'Base de Grupos'!$H:$H)</f>
        <v>1000174119</v>
      </c>
      <c r="G849" s="5" t="str">
        <f>_xlfn.XLOOKUP($N849,'Base de Grupos'!$A:$A,'Base de Grupos'!$I:$I)</f>
        <v>REGIONAL VENDA INTERNA - CONVENIENCIA</v>
      </c>
      <c r="H849" s="5" t="str">
        <f>_xlfn.XLOOKUP($N849,'Base de Grupos'!$A:$A,'Base de Grupos'!$J:$J)</f>
        <v>1000174119</v>
      </c>
      <c r="I849" s="2" t="str">
        <f>_xlfn.XLOOKUP($N849,'Base de Grupos'!$A:$A,'Base de Grupos'!$K:$K)</f>
        <v>REGIONAL VENDA INTERNA - CONVENIENCIA</v>
      </c>
      <c r="J849" s="2" t="str">
        <f>_xlfn.XLOOKUP($N849,'Base de Grupos'!$A:$A,'Base de Grupos'!$L:$L)</f>
        <v>1000174119</v>
      </c>
      <c r="K849" s="5" t="str">
        <f>_xlfn.XLOOKUP($N849,'Base de Grupos'!$A:$A,'Base de Grupos'!$M:$M)</f>
        <v>REGIONAL VENDA INTERNA - CONVENIENCIA</v>
      </c>
      <c r="L849" s="5">
        <f t="shared" si="811"/>
        <v>1</v>
      </c>
      <c r="M849" s="5" t="str">
        <f>_xlfn.XLOOKUP($N849,'Base de Grupos'!$A:$A,'Base de Grupos'!$C:$C)</f>
        <v>TO</v>
      </c>
      <c r="N849" s="3">
        <v>1512</v>
      </c>
      <c r="O849" s="4" t="s">
        <v>271</v>
      </c>
      <c r="P849" s="5" t="s">
        <v>341</v>
      </c>
      <c r="Q849" s="56">
        <f t="shared" ref="Q849" si="852">SUM(Q850:Q866)</f>
        <v>0</v>
      </c>
      <c r="R849" s="56">
        <f t="shared" ref="R849" si="853">SUM(R850:R866)</f>
        <v>0</v>
      </c>
      <c r="S849" s="56">
        <f t="shared" ref="S849" si="854">SUM(S850:S866)</f>
        <v>0</v>
      </c>
      <c r="T849" s="56">
        <f t="shared" ref="T849" si="855">SUM(T850:T866)</f>
        <v>0</v>
      </c>
      <c r="U849" s="56">
        <f t="shared" ref="U849" si="856">SUM(U850:U866)</f>
        <v>0</v>
      </c>
      <c r="V849" s="56">
        <f t="shared" ref="V849" si="857">SUM(V850:V866)</f>
        <v>0</v>
      </c>
      <c r="W849" s="56">
        <f t="shared" ref="W849" si="858">SUM(W850:W866)</f>
        <v>0</v>
      </c>
      <c r="X849" s="56">
        <f t="shared" ref="X849" si="859">SUM(X850:X866)</f>
        <v>0</v>
      </c>
      <c r="Y849" s="56">
        <f t="shared" ref="Y849" si="860">SUM(Y850:Y866)</f>
        <v>0</v>
      </c>
      <c r="Z849" s="56">
        <f t="shared" ref="Z849" si="861">SUM(Z850:Z866)</f>
        <v>0</v>
      </c>
      <c r="AA849" s="56">
        <f t="shared" ref="AA849" si="862">SUM(AA850:AA866)</f>
        <v>0</v>
      </c>
      <c r="AB849" s="56">
        <f t="shared" ref="AB849" si="863">SUM(AB850:AB866)</f>
        <v>0</v>
      </c>
      <c r="AC849" s="56">
        <f t="shared" ref="AC849" si="864">SUM(AC850:AC866)</f>
        <v>0</v>
      </c>
      <c r="AD849" s="28"/>
      <c r="AE849" s="12"/>
      <c r="AF849" s="29"/>
      <c r="AG849" s="9"/>
      <c r="AH849" s="10"/>
      <c r="AI849" s="9"/>
      <c r="AJ849" s="11"/>
      <c r="AK849" s="9"/>
      <c r="AL849" s="13"/>
      <c r="AM849" s="9"/>
    </row>
    <row r="850" spans="1:39" x14ac:dyDescent="0.3">
      <c r="A850" s="2" t="str">
        <f t="shared" si="810"/>
        <v>NÃO</v>
      </c>
      <c r="B850" s="2" t="str">
        <f>_xlfn.XLOOKUP($N850,'Base de Grupos'!$A:$A,'Base de Grupos'!$D:$D)</f>
        <v>1000065763</v>
      </c>
      <c r="C850" s="5" t="str">
        <f>_xlfn.XLOOKUP($N850,'Base de Grupos'!$A:$A,'Base de Grupos'!$E:$E)</f>
        <v>CANAL VENDA INTERNA</v>
      </c>
      <c r="D850" s="5" t="str">
        <f>_xlfn.XLOOKUP($N850,'Base de Grupos'!$A:$A,'Base de Grupos'!$F:$F)</f>
        <v>1000065763</v>
      </c>
      <c r="E850" s="2" t="str">
        <f>_xlfn.XLOOKUP($N850,'Base de Grupos'!$A:$A,'Base de Grupos'!$G:$G)</f>
        <v>CANAL VENDA INTERNA</v>
      </c>
      <c r="F850" s="2" t="str">
        <f>_xlfn.XLOOKUP($N850,'Base de Grupos'!$A:$A,'Base de Grupos'!$H:$H)</f>
        <v>1000174119</v>
      </c>
      <c r="G850" s="5" t="str">
        <f>_xlfn.XLOOKUP($N850,'Base de Grupos'!$A:$A,'Base de Grupos'!$I:$I)</f>
        <v>REGIONAL VENDA INTERNA - CONVENIENCIA</v>
      </c>
      <c r="H850" s="5" t="str">
        <f>_xlfn.XLOOKUP($N850,'Base de Grupos'!$A:$A,'Base de Grupos'!$J:$J)</f>
        <v>1000174119</v>
      </c>
      <c r="I850" s="2" t="str">
        <f>_xlfn.XLOOKUP($N850,'Base de Grupos'!$A:$A,'Base de Grupos'!$K:$K)</f>
        <v>REGIONAL VENDA INTERNA - CONVENIENCIA</v>
      </c>
      <c r="J850" s="2" t="str">
        <f>_xlfn.XLOOKUP($N850,'Base de Grupos'!$A:$A,'Base de Grupos'!$L:$L)</f>
        <v>1000174119</v>
      </c>
      <c r="K850" s="5" t="str">
        <f>_xlfn.XLOOKUP($N850,'Base de Grupos'!$A:$A,'Base de Grupos'!$M:$M)</f>
        <v>REGIONAL VENDA INTERNA - CONVENIENCIA</v>
      </c>
      <c r="L850" s="5" t="str">
        <f t="shared" si="811"/>
        <v/>
      </c>
      <c r="M850" s="5" t="str">
        <f>_xlfn.XLOOKUP($N850,'Base de Grupos'!$A:$A,'Base de Grupos'!$C:$C)</f>
        <v>TO</v>
      </c>
      <c r="N850" s="3">
        <v>1512</v>
      </c>
      <c r="O850" s="4" t="s">
        <v>271</v>
      </c>
      <c r="P850" s="5" t="s">
        <v>81</v>
      </c>
      <c r="Q850" s="56">
        <v>0</v>
      </c>
      <c r="R850" s="56">
        <v>0</v>
      </c>
      <c r="S850" s="56">
        <v>0</v>
      </c>
      <c r="T850" s="56">
        <f>_xlfn.XLOOKUP($N850,'Calculo Leads Conveniencia'!$A$77:$A$104,'Calculo Leads Conveniencia'!G$77:G$104)*_xlfn.XLOOKUP($P850,'Base Grupo de Produtos'!$E$23:$E$39,'Base Grupo de Produtos'!$F$23:$F$39)</f>
        <v>0</v>
      </c>
      <c r="U850" s="56">
        <f>_xlfn.XLOOKUP($N850,'Calculo Leads Conveniencia'!$A$77:$A$104,'Calculo Leads Conveniencia'!H$77:H$104)*_xlfn.XLOOKUP($P850,'Base Grupo de Produtos'!$E$23:$E$39,'Base Grupo de Produtos'!$F$23:$F$39)</f>
        <v>0</v>
      </c>
      <c r="V850" s="56">
        <f>_xlfn.XLOOKUP($N850,'Calculo Leads Conveniencia'!$A$77:$A$104,'Calculo Leads Conveniencia'!I$77:I$104)*_xlfn.XLOOKUP($P850,'Base Grupo de Produtos'!$E$23:$E$39,'Base Grupo de Produtos'!$F$23:$F$39)</f>
        <v>0</v>
      </c>
      <c r="W850" s="56">
        <f>_xlfn.XLOOKUP($N850,'Calculo Leads Conveniencia'!$A$77:$A$104,'Calculo Leads Conveniencia'!J$77:J$104)*_xlfn.XLOOKUP($P850,'Base Grupo de Produtos'!$E$23:$E$39,'Base Grupo de Produtos'!$F$23:$F$39)</f>
        <v>0</v>
      </c>
      <c r="X850" s="56">
        <f>_xlfn.XLOOKUP($N850,'Calculo Leads Conveniencia'!$A$77:$A$104,'Calculo Leads Conveniencia'!K$77:K$104)*_xlfn.XLOOKUP($P850,'Base Grupo de Produtos'!$E$23:$E$39,'Base Grupo de Produtos'!$F$23:$F$39)</f>
        <v>0</v>
      </c>
      <c r="Y850" s="56">
        <f>_xlfn.XLOOKUP($N850,'Calculo Leads Conveniencia'!$A$77:$A$104,'Calculo Leads Conveniencia'!L$77:L$104)*_xlfn.XLOOKUP($P850,'Base Grupo de Produtos'!$E$23:$E$39,'Base Grupo de Produtos'!$F$23:$F$39)</f>
        <v>0</v>
      </c>
      <c r="Z850" s="56">
        <f>_xlfn.XLOOKUP($N850,'Calculo Leads Conveniencia'!$A$77:$A$104,'Calculo Leads Conveniencia'!M$77:M$104)*_xlfn.XLOOKUP($P850,'Base Grupo de Produtos'!$E$23:$E$39,'Base Grupo de Produtos'!$F$23:$F$39)</f>
        <v>0</v>
      </c>
      <c r="AA850" s="56">
        <f>_xlfn.XLOOKUP($N850,'Calculo Leads Conveniencia'!$A$77:$A$104,'Calculo Leads Conveniencia'!N$77:N$104)*_xlfn.XLOOKUP($P850,'Base Grupo de Produtos'!$E$23:$E$39,'Base Grupo de Produtos'!$F$23:$F$39)</f>
        <v>0</v>
      </c>
      <c r="AB850" s="56">
        <f>_xlfn.XLOOKUP($N850,'Calculo Leads Conveniencia'!$A$77:$A$104,'Calculo Leads Conveniencia'!O$77:O$104)*_xlfn.XLOOKUP($P850,'Base Grupo de Produtos'!$E$23:$E$39,'Base Grupo de Produtos'!$F$23:$F$39)</f>
        <v>0</v>
      </c>
      <c r="AC850" s="61">
        <f t="shared" si="851"/>
        <v>0</v>
      </c>
      <c r="AD850" s="28"/>
      <c r="AE850" s="12"/>
      <c r="AF850" s="29"/>
      <c r="AG850" s="9"/>
      <c r="AH850" s="10"/>
      <c r="AI850" s="9"/>
      <c r="AJ850" s="11"/>
      <c r="AK850" s="9"/>
      <c r="AL850" s="13"/>
      <c r="AM850" s="9"/>
    </row>
    <row r="851" spans="1:39" x14ac:dyDescent="0.3">
      <c r="A851" s="2" t="str">
        <f t="shared" si="810"/>
        <v>NÃO</v>
      </c>
      <c r="B851" s="2" t="str">
        <f>_xlfn.XLOOKUP($N851,'Base de Grupos'!$A:$A,'Base de Grupos'!$D:$D)</f>
        <v>1000065763</v>
      </c>
      <c r="C851" s="5" t="str">
        <f>_xlfn.XLOOKUP($N851,'Base de Grupos'!$A:$A,'Base de Grupos'!$E:$E)</f>
        <v>CANAL VENDA INTERNA</v>
      </c>
      <c r="D851" s="5" t="str">
        <f>_xlfn.XLOOKUP($N851,'Base de Grupos'!$A:$A,'Base de Grupos'!$F:$F)</f>
        <v>1000065763</v>
      </c>
      <c r="E851" s="2" t="str">
        <f>_xlfn.XLOOKUP($N851,'Base de Grupos'!$A:$A,'Base de Grupos'!$G:$G)</f>
        <v>CANAL VENDA INTERNA</v>
      </c>
      <c r="F851" s="2" t="str">
        <f>_xlfn.XLOOKUP($N851,'Base de Grupos'!$A:$A,'Base de Grupos'!$H:$H)</f>
        <v>1000174119</v>
      </c>
      <c r="G851" s="5" t="str">
        <f>_xlfn.XLOOKUP($N851,'Base de Grupos'!$A:$A,'Base de Grupos'!$I:$I)</f>
        <v>REGIONAL VENDA INTERNA - CONVENIENCIA</v>
      </c>
      <c r="H851" s="5" t="str">
        <f>_xlfn.XLOOKUP($N851,'Base de Grupos'!$A:$A,'Base de Grupos'!$J:$J)</f>
        <v>1000174119</v>
      </c>
      <c r="I851" s="2" t="str">
        <f>_xlfn.XLOOKUP($N851,'Base de Grupos'!$A:$A,'Base de Grupos'!$K:$K)</f>
        <v>REGIONAL VENDA INTERNA - CONVENIENCIA</v>
      </c>
      <c r="J851" s="2" t="str">
        <f>_xlfn.XLOOKUP($N851,'Base de Grupos'!$A:$A,'Base de Grupos'!$L:$L)</f>
        <v>1000174119</v>
      </c>
      <c r="K851" s="5" t="str">
        <f>_xlfn.XLOOKUP($N851,'Base de Grupos'!$A:$A,'Base de Grupos'!$M:$M)</f>
        <v>REGIONAL VENDA INTERNA - CONVENIENCIA</v>
      </c>
      <c r="L851" s="5" t="str">
        <f t="shared" si="811"/>
        <v/>
      </c>
      <c r="M851" s="5" t="str">
        <f>_xlfn.XLOOKUP($N851,'Base de Grupos'!$A:$A,'Base de Grupos'!$C:$C)</f>
        <v>TO</v>
      </c>
      <c r="N851" s="3">
        <v>1512</v>
      </c>
      <c r="O851" s="4" t="s">
        <v>271</v>
      </c>
      <c r="P851" s="5" t="s">
        <v>82</v>
      </c>
      <c r="Q851" s="56">
        <v>0</v>
      </c>
      <c r="R851" s="56">
        <v>0</v>
      </c>
      <c r="S851" s="56">
        <v>0</v>
      </c>
      <c r="T851" s="56">
        <f>_xlfn.XLOOKUP($N851,'Calculo Leads Conveniencia'!$A$77:$A$104,'Calculo Leads Conveniencia'!G$77:G$104)*_xlfn.XLOOKUP($P851,'Base Grupo de Produtos'!$E$23:$E$39,'Base Grupo de Produtos'!$F$23:$F$39)</f>
        <v>0</v>
      </c>
      <c r="U851" s="56">
        <f>_xlfn.XLOOKUP($N851,'Calculo Leads Conveniencia'!$A$77:$A$104,'Calculo Leads Conveniencia'!H$77:H$104)*_xlfn.XLOOKUP($P851,'Base Grupo de Produtos'!$E$23:$E$39,'Base Grupo de Produtos'!$F$23:$F$39)</f>
        <v>0</v>
      </c>
      <c r="V851" s="56">
        <f>_xlfn.XLOOKUP($N851,'Calculo Leads Conveniencia'!$A$77:$A$104,'Calculo Leads Conveniencia'!I$77:I$104)*_xlfn.XLOOKUP($P851,'Base Grupo de Produtos'!$E$23:$E$39,'Base Grupo de Produtos'!$F$23:$F$39)</f>
        <v>0</v>
      </c>
      <c r="W851" s="56">
        <f>_xlfn.XLOOKUP($N851,'Calculo Leads Conveniencia'!$A$77:$A$104,'Calculo Leads Conveniencia'!J$77:J$104)*_xlfn.XLOOKUP($P851,'Base Grupo de Produtos'!$E$23:$E$39,'Base Grupo de Produtos'!$F$23:$F$39)</f>
        <v>0</v>
      </c>
      <c r="X851" s="56">
        <f>_xlfn.XLOOKUP($N851,'Calculo Leads Conveniencia'!$A$77:$A$104,'Calculo Leads Conveniencia'!K$77:K$104)*_xlfn.XLOOKUP($P851,'Base Grupo de Produtos'!$E$23:$E$39,'Base Grupo de Produtos'!$F$23:$F$39)</f>
        <v>0</v>
      </c>
      <c r="Y851" s="56">
        <f>_xlfn.XLOOKUP($N851,'Calculo Leads Conveniencia'!$A$77:$A$104,'Calculo Leads Conveniencia'!L$77:L$104)*_xlfn.XLOOKUP($P851,'Base Grupo de Produtos'!$E$23:$E$39,'Base Grupo de Produtos'!$F$23:$F$39)</f>
        <v>0</v>
      </c>
      <c r="Z851" s="56">
        <f>_xlfn.XLOOKUP($N851,'Calculo Leads Conveniencia'!$A$77:$A$104,'Calculo Leads Conveniencia'!M$77:M$104)*_xlfn.XLOOKUP($P851,'Base Grupo de Produtos'!$E$23:$E$39,'Base Grupo de Produtos'!$F$23:$F$39)</f>
        <v>0</v>
      </c>
      <c r="AA851" s="56">
        <f>_xlfn.XLOOKUP($N851,'Calculo Leads Conveniencia'!$A$77:$A$104,'Calculo Leads Conveniencia'!N$77:N$104)*_xlfn.XLOOKUP($P851,'Base Grupo de Produtos'!$E$23:$E$39,'Base Grupo de Produtos'!$F$23:$F$39)</f>
        <v>0</v>
      </c>
      <c r="AB851" s="56">
        <f>_xlfn.XLOOKUP($N851,'Calculo Leads Conveniencia'!$A$77:$A$104,'Calculo Leads Conveniencia'!O$77:O$104)*_xlfn.XLOOKUP($P851,'Base Grupo de Produtos'!$E$23:$E$39,'Base Grupo de Produtos'!$F$23:$F$39)</f>
        <v>0</v>
      </c>
      <c r="AC851" s="61">
        <f t="shared" si="851"/>
        <v>0</v>
      </c>
      <c r="AD851" s="28"/>
      <c r="AE851" s="12"/>
      <c r="AF851" s="29"/>
      <c r="AG851" s="9"/>
      <c r="AH851" s="10"/>
      <c r="AI851" s="9"/>
      <c r="AJ851" s="11"/>
      <c r="AK851" s="9"/>
      <c r="AL851" s="13"/>
      <c r="AM851" s="9"/>
    </row>
    <row r="852" spans="1:39" x14ac:dyDescent="0.3">
      <c r="A852" s="2" t="str">
        <f t="shared" si="810"/>
        <v>NÃO</v>
      </c>
      <c r="B852" s="2" t="str">
        <f>_xlfn.XLOOKUP($N852,'Base de Grupos'!$A:$A,'Base de Grupos'!$D:$D)</f>
        <v>1000065763</v>
      </c>
      <c r="C852" s="5" t="str">
        <f>_xlfn.XLOOKUP($N852,'Base de Grupos'!$A:$A,'Base de Grupos'!$E:$E)</f>
        <v>CANAL VENDA INTERNA</v>
      </c>
      <c r="D852" s="5" t="str">
        <f>_xlfn.XLOOKUP($N852,'Base de Grupos'!$A:$A,'Base de Grupos'!$F:$F)</f>
        <v>1000065763</v>
      </c>
      <c r="E852" s="2" t="str">
        <f>_xlfn.XLOOKUP($N852,'Base de Grupos'!$A:$A,'Base de Grupos'!$G:$G)</f>
        <v>CANAL VENDA INTERNA</v>
      </c>
      <c r="F852" s="2" t="str">
        <f>_xlfn.XLOOKUP($N852,'Base de Grupos'!$A:$A,'Base de Grupos'!$H:$H)</f>
        <v>1000174119</v>
      </c>
      <c r="G852" s="5" t="str">
        <f>_xlfn.XLOOKUP($N852,'Base de Grupos'!$A:$A,'Base de Grupos'!$I:$I)</f>
        <v>REGIONAL VENDA INTERNA - CONVENIENCIA</v>
      </c>
      <c r="H852" s="5" t="str">
        <f>_xlfn.XLOOKUP($N852,'Base de Grupos'!$A:$A,'Base de Grupos'!$J:$J)</f>
        <v>1000174119</v>
      </c>
      <c r="I852" s="2" t="str">
        <f>_xlfn.XLOOKUP($N852,'Base de Grupos'!$A:$A,'Base de Grupos'!$K:$K)</f>
        <v>REGIONAL VENDA INTERNA - CONVENIENCIA</v>
      </c>
      <c r="J852" s="2" t="str">
        <f>_xlfn.XLOOKUP($N852,'Base de Grupos'!$A:$A,'Base de Grupos'!$L:$L)</f>
        <v>1000174119</v>
      </c>
      <c r="K852" s="5" t="str">
        <f>_xlfn.XLOOKUP($N852,'Base de Grupos'!$A:$A,'Base de Grupos'!$M:$M)</f>
        <v>REGIONAL VENDA INTERNA - CONVENIENCIA</v>
      </c>
      <c r="L852" s="5" t="str">
        <f t="shared" si="811"/>
        <v/>
      </c>
      <c r="M852" s="5" t="str">
        <f>_xlfn.XLOOKUP($N852,'Base de Grupos'!$A:$A,'Base de Grupos'!$C:$C)</f>
        <v>TO</v>
      </c>
      <c r="N852" s="3">
        <v>1512</v>
      </c>
      <c r="O852" s="4" t="s">
        <v>271</v>
      </c>
      <c r="P852" s="5" t="s">
        <v>84</v>
      </c>
      <c r="Q852" s="56">
        <v>0</v>
      </c>
      <c r="R852" s="56">
        <v>0</v>
      </c>
      <c r="S852" s="56">
        <v>0</v>
      </c>
      <c r="T852" s="56">
        <f>_xlfn.XLOOKUP($N852,'Calculo Leads Conveniencia'!$A$77:$A$104,'Calculo Leads Conveniencia'!G$77:G$104)*_xlfn.XLOOKUP($P852,'Base Grupo de Produtos'!$E$23:$E$39,'Base Grupo de Produtos'!$F$23:$F$39)</f>
        <v>0</v>
      </c>
      <c r="U852" s="56">
        <f>_xlfn.XLOOKUP($N852,'Calculo Leads Conveniencia'!$A$77:$A$104,'Calculo Leads Conveniencia'!H$77:H$104)*_xlfn.XLOOKUP($P852,'Base Grupo de Produtos'!$E$23:$E$39,'Base Grupo de Produtos'!$F$23:$F$39)</f>
        <v>0</v>
      </c>
      <c r="V852" s="56">
        <f>_xlfn.XLOOKUP($N852,'Calculo Leads Conveniencia'!$A$77:$A$104,'Calculo Leads Conveniencia'!I$77:I$104)*_xlfn.XLOOKUP($P852,'Base Grupo de Produtos'!$E$23:$E$39,'Base Grupo de Produtos'!$F$23:$F$39)</f>
        <v>0</v>
      </c>
      <c r="W852" s="56">
        <f>_xlfn.XLOOKUP($N852,'Calculo Leads Conveniencia'!$A$77:$A$104,'Calculo Leads Conveniencia'!J$77:J$104)*_xlfn.XLOOKUP($P852,'Base Grupo de Produtos'!$E$23:$E$39,'Base Grupo de Produtos'!$F$23:$F$39)</f>
        <v>0</v>
      </c>
      <c r="X852" s="56">
        <f>_xlfn.XLOOKUP($N852,'Calculo Leads Conveniencia'!$A$77:$A$104,'Calculo Leads Conveniencia'!K$77:K$104)*_xlfn.XLOOKUP($P852,'Base Grupo de Produtos'!$E$23:$E$39,'Base Grupo de Produtos'!$F$23:$F$39)</f>
        <v>0</v>
      </c>
      <c r="Y852" s="56">
        <f>_xlfn.XLOOKUP($N852,'Calculo Leads Conveniencia'!$A$77:$A$104,'Calculo Leads Conveniencia'!L$77:L$104)*_xlfn.XLOOKUP($P852,'Base Grupo de Produtos'!$E$23:$E$39,'Base Grupo de Produtos'!$F$23:$F$39)</f>
        <v>0</v>
      </c>
      <c r="Z852" s="56">
        <f>_xlfn.XLOOKUP($N852,'Calculo Leads Conveniencia'!$A$77:$A$104,'Calculo Leads Conveniencia'!M$77:M$104)*_xlfn.XLOOKUP($P852,'Base Grupo de Produtos'!$E$23:$E$39,'Base Grupo de Produtos'!$F$23:$F$39)</f>
        <v>0</v>
      </c>
      <c r="AA852" s="56">
        <f>_xlfn.XLOOKUP($N852,'Calculo Leads Conveniencia'!$A$77:$A$104,'Calculo Leads Conveniencia'!N$77:N$104)*_xlfn.XLOOKUP($P852,'Base Grupo de Produtos'!$E$23:$E$39,'Base Grupo de Produtos'!$F$23:$F$39)</f>
        <v>0</v>
      </c>
      <c r="AB852" s="56">
        <f>_xlfn.XLOOKUP($N852,'Calculo Leads Conveniencia'!$A$77:$A$104,'Calculo Leads Conveniencia'!O$77:O$104)*_xlfn.XLOOKUP($P852,'Base Grupo de Produtos'!$E$23:$E$39,'Base Grupo de Produtos'!$F$23:$F$39)</f>
        <v>0</v>
      </c>
      <c r="AC852" s="61">
        <f t="shared" si="851"/>
        <v>0</v>
      </c>
      <c r="AD852" s="28"/>
      <c r="AE852" s="12"/>
      <c r="AF852" s="29"/>
      <c r="AG852" s="9"/>
      <c r="AH852" s="10"/>
      <c r="AI852" s="9"/>
      <c r="AJ852" s="11"/>
      <c r="AK852" s="9"/>
      <c r="AL852" s="13"/>
      <c r="AM852" s="9"/>
    </row>
    <row r="853" spans="1:39" x14ac:dyDescent="0.3">
      <c r="A853" s="2" t="str">
        <f t="shared" si="810"/>
        <v>NÃO</v>
      </c>
      <c r="B853" s="2" t="str">
        <f>_xlfn.XLOOKUP($N853,'Base de Grupos'!$A:$A,'Base de Grupos'!$D:$D)</f>
        <v>1000065763</v>
      </c>
      <c r="C853" s="5" t="str">
        <f>_xlfn.XLOOKUP($N853,'Base de Grupos'!$A:$A,'Base de Grupos'!$E:$E)</f>
        <v>CANAL VENDA INTERNA</v>
      </c>
      <c r="D853" s="5" t="str">
        <f>_xlfn.XLOOKUP($N853,'Base de Grupos'!$A:$A,'Base de Grupos'!$F:$F)</f>
        <v>1000065763</v>
      </c>
      <c r="E853" s="2" t="str">
        <f>_xlfn.XLOOKUP($N853,'Base de Grupos'!$A:$A,'Base de Grupos'!$G:$G)</f>
        <v>CANAL VENDA INTERNA</v>
      </c>
      <c r="F853" s="2" t="str">
        <f>_xlfn.XLOOKUP($N853,'Base de Grupos'!$A:$A,'Base de Grupos'!$H:$H)</f>
        <v>1000174119</v>
      </c>
      <c r="G853" s="5" t="str">
        <f>_xlfn.XLOOKUP($N853,'Base de Grupos'!$A:$A,'Base de Grupos'!$I:$I)</f>
        <v>REGIONAL VENDA INTERNA - CONVENIENCIA</v>
      </c>
      <c r="H853" s="5" t="str">
        <f>_xlfn.XLOOKUP($N853,'Base de Grupos'!$A:$A,'Base de Grupos'!$J:$J)</f>
        <v>1000174119</v>
      </c>
      <c r="I853" s="2" t="str">
        <f>_xlfn.XLOOKUP($N853,'Base de Grupos'!$A:$A,'Base de Grupos'!$K:$K)</f>
        <v>REGIONAL VENDA INTERNA - CONVENIENCIA</v>
      </c>
      <c r="J853" s="2" t="str">
        <f>_xlfn.XLOOKUP($N853,'Base de Grupos'!$A:$A,'Base de Grupos'!$L:$L)</f>
        <v>1000174119</v>
      </c>
      <c r="K853" s="5" t="str">
        <f>_xlfn.XLOOKUP($N853,'Base de Grupos'!$A:$A,'Base de Grupos'!$M:$M)</f>
        <v>REGIONAL VENDA INTERNA - CONVENIENCIA</v>
      </c>
      <c r="L853" s="5" t="str">
        <f t="shared" si="811"/>
        <v/>
      </c>
      <c r="M853" s="5" t="str">
        <f>_xlfn.XLOOKUP($N853,'Base de Grupos'!$A:$A,'Base de Grupos'!$C:$C)</f>
        <v>TO</v>
      </c>
      <c r="N853" s="3">
        <v>1512</v>
      </c>
      <c r="O853" s="4" t="s">
        <v>271</v>
      </c>
      <c r="P853" s="5" t="s">
        <v>83</v>
      </c>
      <c r="Q853" s="56">
        <v>0</v>
      </c>
      <c r="R853" s="56">
        <v>0</v>
      </c>
      <c r="S853" s="56">
        <v>0</v>
      </c>
      <c r="T853" s="56">
        <f>_xlfn.XLOOKUP($N853,'Calculo Leads Conveniencia'!$A$77:$A$104,'Calculo Leads Conveniencia'!G$77:G$104)*_xlfn.XLOOKUP($P853,'Base Grupo de Produtos'!$E$23:$E$39,'Base Grupo de Produtos'!$F$23:$F$39)</f>
        <v>0</v>
      </c>
      <c r="U853" s="56">
        <f>_xlfn.XLOOKUP($N853,'Calculo Leads Conveniencia'!$A$77:$A$104,'Calculo Leads Conveniencia'!H$77:H$104)*_xlfn.XLOOKUP($P853,'Base Grupo de Produtos'!$E$23:$E$39,'Base Grupo de Produtos'!$F$23:$F$39)</f>
        <v>0</v>
      </c>
      <c r="V853" s="56">
        <f>_xlfn.XLOOKUP($N853,'Calculo Leads Conveniencia'!$A$77:$A$104,'Calculo Leads Conveniencia'!I$77:I$104)*_xlfn.XLOOKUP($P853,'Base Grupo de Produtos'!$E$23:$E$39,'Base Grupo de Produtos'!$F$23:$F$39)</f>
        <v>0</v>
      </c>
      <c r="W853" s="56">
        <f>_xlfn.XLOOKUP($N853,'Calculo Leads Conveniencia'!$A$77:$A$104,'Calculo Leads Conveniencia'!J$77:J$104)*_xlfn.XLOOKUP($P853,'Base Grupo de Produtos'!$E$23:$E$39,'Base Grupo de Produtos'!$F$23:$F$39)</f>
        <v>0</v>
      </c>
      <c r="X853" s="56">
        <f>_xlfn.XLOOKUP($N853,'Calculo Leads Conveniencia'!$A$77:$A$104,'Calculo Leads Conveniencia'!K$77:K$104)*_xlfn.XLOOKUP($P853,'Base Grupo de Produtos'!$E$23:$E$39,'Base Grupo de Produtos'!$F$23:$F$39)</f>
        <v>0</v>
      </c>
      <c r="Y853" s="56">
        <f>_xlfn.XLOOKUP($N853,'Calculo Leads Conveniencia'!$A$77:$A$104,'Calculo Leads Conveniencia'!L$77:L$104)*_xlfn.XLOOKUP($P853,'Base Grupo de Produtos'!$E$23:$E$39,'Base Grupo de Produtos'!$F$23:$F$39)</f>
        <v>0</v>
      </c>
      <c r="Z853" s="56">
        <f>_xlfn.XLOOKUP($N853,'Calculo Leads Conveniencia'!$A$77:$A$104,'Calculo Leads Conveniencia'!M$77:M$104)*_xlfn.XLOOKUP($P853,'Base Grupo de Produtos'!$E$23:$E$39,'Base Grupo de Produtos'!$F$23:$F$39)</f>
        <v>0</v>
      </c>
      <c r="AA853" s="56">
        <f>_xlfn.XLOOKUP($N853,'Calculo Leads Conveniencia'!$A$77:$A$104,'Calculo Leads Conveniencia'!N$77:N$104)*_xlfn.XLOOKUP($P853,'Base Grupo de Produtos'!$E$23:$E$39,'Base Grupo de Produtos'!$F$23:$F$39)</f>
        <v>0</v>
      </c>
      <c r="AB853" s="56">
        <f>_xlfn.XLOOKUP($N853,'Calculo Leads Conveniencia'!$A$77:$A$104,'Calculo Leads Conveniencia'!O$77:O$104)*_xlfn.XLOOKUP($P853,'Base Grupo de Produtos'!$E$23:$E$39,'Base Grupo de Produtos'!$F$23:$F$39)</f>
        <v>0</v>
      </c>
      <c r="AC853" s="61">
        <f t="shared" si="851"/>
        <v>0</v>
      </c>
      <c r="AD853" s="28"/>
      <c r="AE853" s="12"/>
      <c r="AF853" s="29"/>
      <c r="AG853" s="9"/>
      <c r="AH853" s="10"/>
      <c r="AI853" s="9"/>
      <c r="AJ853" s="11"/>
      <c r="AK853" s="9"/>
      <c r="AL853" s="13"/>
      <c r="AM853" s="9"/>
    </row>
    <row r="854" spans="1:39" x14ac:dyDescent="0.3">
      <c r="A854" s="2" t="str">
        <f t="shared" si="810"/>
        <v>NÃO</v>
      </c>
      <c r="B854" s="2" t="str">
        <f>_xlfn.XLOOKUP($N854,'Base de Grupos'!$A:$A,'Base de Grupos'!$D:$D)</f>
        <v>1000065763</v>
      </c>
      <c r="C854" s="5" t="str">
        <f>_xlfn.XLOOKUP($N854,'Base de Grupos'!$A:$A,'Base de Grupos'!$E:$E)</f>
        <v>CANAL VENDA INTERNA</v>
      </c>
      <c r="D854" s="5" t="str">
        <f>_xlfn.XLOOKUP($N854,'Base de Grupos'!$A:$A,'Base de Grupos'!$F:$F)</f>
        <v>1000065763</v>
      </c>
      <c r="E854" s="2" t="str">
        <f>_xlfn.XLOOKUP($N854,'Base de Grupos'!$A:$A,'Base de Grupos'!$G:$G)</f>
        <v>CANAL VENDA INTERNA</v>
      </c>
      <c r="F854" s="2" t="str">
        <f>_xlfn.XLOOKUP($N854,'Base de Grupos'!$A:$A,'Base de Grupos'!$H:$H)</f>
        <v>1000174119</v>
      </c>
      <c r="G854" s="5" t="str">
        <f>_xlfn.XLOOKUP($N854,'Base de Grupos'!$A:$A,'Base de Grupos'!$I:$I)</f>
        <v>REGIONAL VENDA INTERNA - CONVENIENCIA</v>
      </c>
      <c r="H854" s="5" t="str">
        <f>_xlfn.XLOOKUP($N854,'Base de Grupos'!$A:$A,'Base de Grupos'!$J:$J)</f>
        <v>1000174119</v>
      </c>
      <c r="I854" s="2" t="str">
        <f>_xlfn.XLOOKUP($N854,'Base de Grupos'!$A:$A,'Base de Grupos'!$K:$K)</f>
        <v>REGIONAL VENDA INTERNA - CONVENIENCIA</v>
      </c>
      <c r="J854" s="2" t="str">
        <f>_xlfn.XLOOKUP($N854,'Base de Grupos'!$A:$A,'Base de Grupos'!$L:$L)</f>
        <v>1000174119</v>
      </c>
      <c r="K854" s="5" t="str">
        <f>_xlfn.XLOOKUP($N854,'Base de Grupos'!$A:$A,'Base de Grupos'!$M:$M)</f>
        <v>REGIONAL VENDA INTERNA - CONVENIENCIA</v>
      </c>
      <c r="L854" s="5" t="str">
        <f t="shared" si="811"/>
        <v/>
      </c>
      <c r="M854" s="5" t="str">
        <f>_xlfn.XLOOKUP($N854,'Base de Grupos'!$A:$A,'Base de Grupos'!$C:$C)</f>
        <v>TO</v>
      </c>
      <c r="N854" s="3">
        <v>1512</v>
      </c>
      <c r="O854" s="4" t="s">
        <v>271</v>
      </c>
      <c r="P854" s="5" t="s">
        <v>87</v>
      </c>
      <c r="Q854" s="56">
        <v>0</v>
      </c>
      <c r="R854" s="56">
        <v>0</v>
      </c>
      <c r="S854" s="56">
        <v>0</v>
      </c>
      <c r="T854" s="56">
        <f>_xlfn.XLOOKUP($N854,'Calculo Leads Conveniencia'!$A$77:$A$104,'Calculo Leads Conveniencia'!G$77:G$104)*_xlfn.XLOOKUP($P854,'Base Grupo de Produtos'!$E$23:$E$39,'Base Grupo de Produtos'!$F$23:$F$39)</f>
        <v>0</v>
      </c>
      <c r="U854" s="56">
        <f>_xlfn.XLOOKUP($N854,'Calculo Leads Conveniencia'!$A$77:$A$104,'Calculo Leads Conveniencia'!H$77:H$104)*_xlfn.XLOOKUP($P854,'Base Grupo de Produtos'!$E$23:$E$39,'Base Grupo de Produtos'!$F$23:$F$39)</f>
        <v>0</v>
      </c>
      <c r="V854" s="56">
        <f>_xlfn.XLOOKUP($N854,'Calculo Leads Conveniencia'!$A$77:$A$104,'Calculo Leads Conveniencia'!I$77:I$104)*_xlfn.XLOOKUP($P854,'Base Grupo de Produtos'!$E$23:$E$39,'Base Grupo de Produtos'!$F$23:$F$39)</f>
        <v>0</v>
      </c>
      <c r="W854" s="56">
        <f>_xlfn.XLOOKUP($N854,'Calculo Leads Conveniencia'!$A$77:$A$104,'Calculo Leads Conveniencia'!J$77:J$104)*_xlfn.XLOOKUP($P854,'Base Grupo de Produtos'!$E$23:$E$39,'Base Grupo de Produtos'!$F$23:$F$39)</f>
        <v>0</v>
      </c>
      <c r="X854" s="56">
        <f>_xlfn.XLOOKUP($N854,'Calculo Leads Conveniencia'!$A$77:$A$104,'Calculo Leads Conveniencia'!K$77:K$104)*_xlfn.XLOOKUP($P854,'Base Grupo de Produtos'!$E$23:$E$39,'Base Grupo de Produtos'!$F$23:$F$39)</f>
        <v>0</v>
      </c>
      <c r="Y854" s="56">
        <f>_xlfn.XLOOKUP($N854,'Calculo Leads Conveniencia'!$A$77:$A$104,'Calculo Leads Conveniencia'!L$77:L$104)*_xlfn.XLOOKUP($P854,'Base Grupo de Produtos'!$E$23:$E$39,'Base Grupo de Produtos'!$F$23:$F$39)</f>
        <v>0</v>
      </c>
      <c r="Z854" s="56">
        <f>_xlfn.XLOOKUP($N854,'Calculo Leads Conveniencia'!$A$77:$A$104,'Calculo Leads Conveniencia'!M$77:M$104)*_xlfn.XLOOKUP($P854,'Base Grupo de Produtos'!$E$23:$E$39,'Base Grupo de Produtos'!$F$23:$F$39)</f>
        <v>0</v>
      </c>
      <c r="AA854" s="56">
        <f>_xlfn.XLOOKUP($N854,'Calculo Leads Conveniencia'!$A$77:$A$104,'Calculo Leads Conveniencia'!N$77:N$104)*_xlfn.XLOOKUP($P854,'Base Grupo de Produtos'!$E$23:$E$39,'Base Grupo de Produtos'!$F$23:$F$39)</f>
        <v>0</v>
      </c>
      <c r="AB854" s="56">
        <f>_xlfn.XLOOKUP($N854,'Calculo Leads Conveniencia'!$A$77:$A$104,'Calculo Leads Conveniencia'!O$77:O$104)*_xlfn.XLOOKUP($P854,'Base Grupo de Produtos'!$E$23:$E$39,'Base Grupo de Produtos'!$F$23:$F$39)</f>
        <v>0</v>
      </c>
      <c r="AC854" s="61">
        <f t="shared" si="851"/>
        <v>0</v>
      </c>
      <c r="AD854" s="28"/>
      <c r="AE854" s="12"/>
      <c r="AF854" s="29"/>
      <c r="AG854" s="9"/>
      <c r="AH854" s="10"/>
      <c r="AI854" s="9"/>
      <c r="AJ854" s="11"/>
      <c r="AK854" s="9"/>
      <c r="AL854" s="13"/>
      <c r="AM854" s="9"/>
    </row>
    <row r="855" spans="1:39" x14ac:dyDescent="0.3">
      <c r="A855" s="2" t="str">
        <f t="shared" si="810"/>
        <v>NÃO</v>
      </c>
      <c r="B855" s="2" t="str">
        <f>_xlfn.XLOOKUP($N855,'Base de Grupos'!$A:$A,'Base de Grupos'!$D:$D)</f>
        <v>1000065763</v>
      </c>
      <c r="C855" s="5" t="str">
        <f>_xlfn.XLOOKUP($N855,'Base de Grupos'!$A:$A,'Base de Grupos'!$E:$E)</f>
        <v>CANAL VENDA INTERNA</v>
      </c>
      <c r="D855" s="5" t="str">
        <f>_xlfn.XLOOKUP($N855,'Base de Grupos'!$A:$A,'Base de Grupos'!$F:$F)</f>
        <v>1000065763</v>
      </c>
      <c r="E855" s="2" t="str">
        <f>_xlfn.XLOOKUP($N855,'Base de Grupos'!$A:$A,'Base de Grupos'!$G:$G)</f>
        <v>CANAL VENDA INTERNA</v>
      </c>
      <c r="F855" s="2" t="str">
        <f>_xlfn.XLOOKUP($N855,'Base de Grupos'!$A:$A,'Base de Grupos'!$H:$H)</f>
        <v>1000174119</v>
      </c>
      <c r="G855" s="5" t="str">
        <f>_xlfn.XLOOKUP($N855,'Base de Grupos'!$A:$A,'Base de Grupos'!$I:$I)</f>
        <v>REGIONAL VENDA INTERNA - CONVENIENCIA</v>
      </c>
      <c r="H855" s="5" t="str">
        <f>_xlfn.XLOOKUP($N855,'Base de Grupos'!$A:$A,'Base de Grupos'!$J:$J)</f>
        <v>1000174119</v>
      </c>
      <c r="I855" s="2" t="str">
        <f>_xlfn.XLOOKUP($N855,'Base de Grupos'!$A:$A,'Base de Grupos'!$K:$K)</f>
        <v>REGIONAL VENDA INTERNA - CONVENIENCIA</v>
      </c>
      <c r="J855" s="2" t="str">
        <f>_xlfn.XLOOKUP($N855,'Base de Grupos'!$A:$A,'Base de Grupos'!$L:$L)</f>
        <v>1000174119</v>
      </c>
      <c r="K855" s="5" t="str">
        <f>_xlfn.XLOOKUP($N855,'Base de Grupos'!$A:$A,'Base de Grupos'!$M:$M)</f>
        <v>REGIONAL VENDA INTERNA - CONVENIENCIA</v>
      </c>
      <c r="L855" s="5" t="str">
        <f t="shared" si="811"/>
        <v/>
      </c>
      <c r="M855" s="5" t="str">
        <f>_xlfn.XLOOKUP($N855,'Base de Grupos'!$A:$A,'Base de Grupos'!$C:$C)</f>
        <v>TO</v>
      </c>
      <c r="N855" s="3">
        <v>1512</v>
      </c>
      <c r="O855" s="4" t="s">
        <v>271</v>
      </c>
      <c r="P855" s="5" t="s">
        <v>85</v>
      </c>
      <c r="Q855" s="56">
        <v>0</v>
      </c>
      <c r="R855" s="56">
        <v>0</v>
      </c>
      <c r="S855" s="56">
        <v>0</v>
      </c>
      <c r="T855" s="56">
        <f>_xlfn.XLOOKUP($N855,'Calculo Leads Conveniencia'!$A$77:$A$104,'Calculo Leads Conveniencia'!G$77:G$104)*_xlfn.XLOOKUP($P855,'Base Grupo de Produtos'!$E$23:$E$39,'Base Grupo de Produtos'!$F$23:$F$39)</f>
        <v>0</v>
      </c>
      <c r="U855" s="56">
        <f>_xlfn.XLOOKUP($N855,'Calculo Leads Conveniencia'!$A$77:$A$104,'Calculo Leads Conveniencia'!H$77:H$104)*_xlfn.XLOOKUP($P855,'Base Grupo de Produtos'!$E$23:$E$39,'Base Grupo de Produtos'!$F$23:$F$39)</f>
        <v>0</v>
      </c>
      <c r="V855" s="56">
        <f>_xlfn.XLOOKUP($N855,'Calculo Leads Conveniencia'!$A$77:$A$104,'Calculo Leads Conveniencia'!I$77:I$104)*_xlfn.XLOOKUP($P855,'Base Grupo de Produtos'!$E$23:$E$39,'Base Grupo de Produtos'!$F$23:$F$39)</f>
        <v>0</v>
      </c>
      <c r="W855" s="56">
        <f>_xlfn.XLOOKUP($N855,'Calculo Leads Conveniencia'!$A$77:$A$104,'Calculo Leads Conveniencia'!J$77:J$104)*_xlfn.XLOOKUP($P855,'Base Grupo de Produtos'!$E$23:$E$39,'Base Grupo de Produtos'!$F$23:$F$39)</f>
        <v>0</v>
      </c>
      <c r="X855" s="56">
        <f>_xlfn.XLOOKUP($N855,'Calculo Leads Conveniencia'!$A$77:$A$104,'Calculo Leads Conveniencia'!K$77:K$104)*_xlfn.XLOOKUP($P855,'Base Grupo de Produtos'!$E$23:$E$39,'Base Grupo de Produtos'!$F$23:$F$39)</f>
        <v>0</v>
      </c>
      <c r="Y855" s="56">
        <f>_xlfn.XLOOKUP($N855,'Calculo Leads Conveniencia'!$A$77:$A$104,'Calculo Leads Conveniencia'!L$77:L$104)*_xlfn.XLOOKUP($P855,'Base Grupo de Produtos'!$E$23:$E$39,'Base Grupo de Produtos'!$F$23:$F$39)</f>
        <v>0</v>
      </c>
      <c r="Z855" s="56">
        <f>_xlfn.XLOOKUP($N855,'Calculo Leads Conveniencia'!$A$77:$A$104,'Calculo Leads Conveniencia'!M$77:M$104)*_xlfn.XLOOKUP($P855,'Base Grupo de Produtos'!$E$23:$E$39,'Base Grupo de Produtos'!$F$23:$F$39)</f>
        <v>0</v>
      </c>
      <c r="AA855" s="56">
        <f>_xlfn.XLOOKUP($N855,'Calculo Leads Conveniencia'!$A$77:$A$104,'Calculo Leads Conveniencia'!N$77:N$104)*_xlfn.XLOOKUP($P855,'Base Grupo de Produtos'!$E$23:$E$39,'Base Grupo de Produtos'!$F$23:$F$39)</f>
        <v>0</v>
      </c>
      <c r="AB855" s="56">
        <f>_xlfn.XLOOKUP($N855,'Calculo Leads Conveniencia'!$A$77:$A$104,'Calculo Leads Conveniencia'!O$77:O$104)*_xlfn.XLOOKUP($P855,'Base Grupo de Produtos'!$E$23:$E$39,'Base Grupo de Produtos'!$F$23:$F$39)</f>
        <v>0</v>
      </c>
      <c r="AC855" s="61">
        <f t="shared" si="851"/>
        <v>0</v>
      </c>
      <c r="AD855" s="28"/>
      <c r="AE855" s="12"/>
      <c r="AF855" s="29"/>
      <c r="AG855" s="9"/>
      <c r="AH855" s="10"/>
      <c r="AI855" s="9"/>
      <c r="AJ855" s="11"/>
      <c r="AK855" s="9"/>
      <c r="AL855" s="13"/>
      <c r="AM855" s="9"/>
    </row>
    <row r="856" spans="1:39" x14ac:dyDescent="0.3">
      <c r="A856" s="2" t="str">
        <f t="shared" si="810"/>
        <v>NÃO</v>
      </c>
      <c r="B856" s="2" t="str">
        <f>_xlfn.XLOOKUP($N856,'Base de Grupos'!$A:$A,'Base de Grupos'!$D:$D)</f>
        <v>1000065763</v>
      </c>
      <c r="C856" s="5" t="str">
        <f>_xlfn.XLOOKUP($N856,'Base de Grupos'!$A:$A,'Base de Grupos'!$E:$E)</f>
        <v>CANAL VENDA INTERNA</v>
      </c>
      <c r="D856" s="5" t="str">
        <f>_xlfn.XLOOKUP($N856,'Base de Grupos'!$A:$A,'Base de Grupos'!$F:$F)</f>
        <v>1000065763</v>
      </c>
      <c r="E856" s="2" t="str">
        <f>_xlfn.XLOOKUP($N856,'Base de Grupos'!$A:$A,'Base de Grupos'!$G:$G)</f>
        <v>CANAL VENDA INTERNA</v>
      </c>
      <c r="F856" s="2" t="str">
        <f>_xlfn.XLOOKUP($N856,'Base de Grupos'!$A:$A,'Base de Grupos'!$H:$H)</f>
        <v>1000174119</v>
      </c>
      <c r="G856" s="5" t="str">
        <f>_xlfn.XLOOKUP($N856,'Base de Grupos'!$A:$A,'Base de Grupos'!$I:$I)</f>
        <v>REGIONAL VENDA INTERNA - CONVENIENCIA</v>
      </c>
      <c r="H856" s="5" t="str">
        <f>_xlfn.XLOOKUP($N856,'Base de Grupos'!$A:$A,'Base de Grupos'!$J:$J)</f>
        <v>1000174119</v>
      </c>
      <c r="I856" s="2" t="str">
        <f>_xlfn.XLOOKUP($N856,'Base de Grupos'!$A:$A,'Base de Grupos'!$K:$K)</f>
        <v>REGIONAL VENDA INTERNA - CONVENIENCIA</v>
      </c>
      <c r="J856" s="2" t="str">
        <f>_xlfn.XLOOKUP($N856,'Base de Grupos'!$A:$A,'Base de Grupos'!$L:$L)</f>
        <v>1000174119</v>
      </c>
      <c r="K856" s="5" t="str">
        <f>_xlfn.XLOOKUP($N856,'Base de Grupos'!$A:$A,'Base de Grupos'!$M:$M)</f>
        <v>REGIONAL VENDA INTERNA - CONVENIENCIA</v>
      </c>
      <c r="L856" s="5" t="str">
        <f t="shared" si="811"/>
        <v/>
      </c>
      <c r="M856" s="5" t="str">
        <f>_xlfn.XLOOKUP($N856,'Base de Grupos'!$A:$A,'Base de Grupos'!$C:$C)</f>
        <v>TO</v>
      </c>
      <c r="N856" s="3">
        <v>1512</v>
      </c>
      <c r="O856" s="4" t="s">
        <v>271</v>
      </c>
      <c r="P856" s="5" t="s">
        <v>92</v>
      </c>
      <c r="Q856" s="56">
        <v>0</v>
      </c>
      <c r="R856" s="56">
        <v>0</v>
      </c>
      <c r="S856" s="56">
        <v>0</v>
      </c>
      <c r="T856" s="56">
        <f>_xlfn.XLOOKUP($N856,'Calculo Leads Conveniencia'!$A$77:$A$104,'Calculo Leads Conveniencia'!G$77:G$104)*_xlfn.XLOOKUP($P856,'Base Grupo de Produtos'!$E$23:$E$39,'Base Grupo de Produtos'!$F$23:$F$39)</f>
        <v>0</v>
      </c>
      <c r="U856" s="56">
        <f>_xlfn.XLOOKUP($N856,'Calculo Leads Conveniencia'!$A$77:$A$104,'Calculo Leads Conveniencia'!H$77:H$104)*_xlfn.XLOOKUP($P856,'Base Grupo de Produtos'!$E$23:$E$39,'Base Grupo de Produtos'!$F$23:$F$39)</f>
        <v>0</v>
      </c>
      <c r="V856" s="56">
        <f>_xlfn.XLOOKUP($N856,'Calculo Leads Conveniencia'!$A$77:$A$104,'Calculo Leads Conveniencia'!I$77:I$104)*_xlfn.XLOOKUP($P856,'Base Grupo de Produtos'!$E$23:$E$39,'Base Grupo de Produtos'!$F$23:$F$39)</f>
        <v>0</v>
      </c>
      <c r="W856" s="56">
        <f>_xlfn.XLOOKUP($N856,'Calculo Leads Conveniencia'!$A$77:$A$104,'Calculo Leads Conveniencia'!J$77:J$104)*_xlfn.XLOOKUP($P856,'Base Grupo de Produtos'!$E$23:$E$39,'Base Grupo de Produtos'!$F$23:$F$39)</f>
        <v>0</v>
      </c>
      <c r="X856" s="56">
        <f>_xlfn.XLOOKUP($N856,'Calculo Leads Conveniencia'!$A$77:$A$104,'Calculo Leads Conveniencia'!K$77:K$104)*_xlfn.XLOOKUP($P856,'Base Grupo de Produtos'!$E$23:$E$39,'Base Grupo de Produtos'!$F$23:$F$39)</f>
        <v>0</v>
      </c>
      <c r="Y856" s="56">
        <f>_xlfn.XLOOKUP($N856,'Calculo Leads Conveniencia'!$A$77:$A$104,'Calculo Leads Conveniencia'!L$77:L$104)*_xlfn.XLOOKUP($P856,'Base Grupo de Produtos'!$E$23:$E$39,'Base Grupo de Produtos'!$F$23:$F$39)</f>
        <v>0</v>
      </c>
      <c r="Z856" s="56">
        <f>_xlfn.XLOOKUP($N856,'Calculo Leads Conveniencia'!$A$77:$A$104,'Calculo Leads Conveniencia'!M$77:M$104)*_xlfn.XLOOKUP($P856,'Base Grupo de Produtos'!$E$23:$E$39,'Base Grupo de Produtos'!$F$23:$F$39)</f>
        <v>0</v>
      </c>
      <c r="AA856" s="56">
        <f>_xlfn.XLOOKUP($N856,'Calculo Leads Conveniencia'!$A$77:$A$104,'Calculo Leads Conveniencia'!N$77:N$104)*_xlfn.XLOOKUP($P856,'Base Grupo de Produtos'!$E$23:$E$39,'Base Grupo de Produtos'!$F$23:$F$39)</f>
        <v>0</v>
      </c>
      <c r="AB856" s="56">
        <f>_xlfn.XLOOKUP($N856,'Calculo Leads Conveniencia'!$A$77:$A$104,'Calculo Leads Conveniencia'!O$77:O$104)*_xlfn.XLOOKUP($P856,'Base Grupo de Produtos'!$E$23:$E$39,'Base Grupo de Produtos'!$F$23:$F$39)</f>
        <v>0</v>
      </c>
      <c r="AC856" s="61">
        <f t="shared" si="851"/>
        <v>0</v>
      </c>
      <c r="AD856" s="28"/>
      <c r="AE856" s="12"/>
      <c r="AF856" s="29"/>
      <c r="AG856" s="9"/>
      <c r="AH856" s="10"/>
      <c r="AI856" s="9"/>
      <c r="AJ856" s="11"/>
      <c r="AK856" s="9"/>
      <c r="AL856" s="13"/>
      <c r="AM856" s="9"/>
    </row>
    <row r="857" spans="1:39" x14ac:dyDescent="0.3">
      <c r="A857" s="2" t="str">
        <f t="shared" si="810"/>
        <v>NÃO</v>
      </c>
      <c r="B857" s="2" t="str">
        <f>_xlfn.XLOOKUP($N857,'Base de Grupos'!$A:$A,'Base de Grupos'!$D:$D)</f>
        <v>1000065763</v>
      </c>
      <c r="C857" s="5" t="str">
        <f>_xlfn.XLOOKUP($N857,'Base de Grupos'!$A:$A,'Base de Grupos'!$E:$E)</f>
        <v>CANAL VENDA INTERNA</v>
      </c>
      <c r="D857" s="5" t="str">
        <f>_xlfn.XLOOKUP($N857,'Base de Grupos'!$A:$A,'Base de Grupos'!$F:$F)</f>
        <v>1000065763</v>
      </c>
      <c r="E857" s="2" t="str">
        <f>_xlfn.XLOOKUP($N857,'Base de Grupos'!$A:$A,'Base de Grupos'!$G:$G)</f>
        <v>CANAL VENDA INTERNA</v>
      </c>
      <c r="F857" s="2" t="str">
        <f>_xlfn.XLOOKUP($N857,'Base de Grupos'!$A:$A,'Base de Grupos'!$H:$H)</f>
        <v>1000174119</v>
      </c>
      <c r="G857" s="5" t="str">
        <f>_xlfn.XLOOKUP($N857,'Base de Grupos'!$A:$A,'Base de Grupos'!$I:$I)</f>
        <v>REGIONAL VENDA INTERNA - CONVENIENCIA</v>
      </c>
      <c r="H857" s="5" t="str">
        <f>_xlfn.XLOOKUP($N857,'Base de Grupos'!$A:$A,'Base de Grupos'!$J:$J)</f>
        <v>1000174119</v>
      </c>
      <c r="I857" s="2" t="str">
        <f>_xlfn.XLOOKUP($N857,'Base de Grupos'!$A:$A,'Base de Grupos'!$K:$K)</f>
        <v>REGIONAL VENDA INTERNA - CONVENIENCIA</v>
      </c>
      <c r="J857" s="2" t="str">
        <f>_xlfn.XLOOKUP($N857,'Base de Grupos'!$A:$A,'Base de Grupos'!$L:$L)</f>
        <v>1000174119</v>
      </c>
      <c r="K857" s="5" t="str">
        <f>_xlfn.XLOOKUP($N857,'Base de Grupos'!$A:$A,'Base de Grupos'!$M:$M)</f>
        <v>REGIONAL VENDA INTERNA - CONVENIENCIA</v>
      </c>
      <c r="L857" s="5" t="str">
        <f t="shared" si="811"/>
        <v/>
      </c>
      <c r="M857" s="5" t="str">
        <f>_xlfn.XLOOKUP($N857,'Base de Grupos'!$A:$A,'Base de Grupos'!$C:$C)</f>
        <v>TO</v>
      </c>
      <c r="N857" s="3">
        <v>1512</v>
      </c>
      <c r="O857" s="4" t="s">
        <v>271</v>
      </c>
      <c r="P857" s="5" t="s">
        <v>86</v>
      </c>
      <c r="Q857" s="56">
        <v>0</v>
      </c>
      <c r="R857" s="56">
        <v>0</v>
      </c>
      <c r="S857" s="56">
        <v>0</v>
      </c>
      <c r="T857" s="56">
        <f>_xlfn.XLOOKUP($N857,'Calculo Leads Conveniencia'!$A$77:$A$104,'Calculo Leads Conveniencia'!G$77:G$104)*_xlfn.XLOOKUP($P857,'Base Grupo de Produtos'!$E$23:$E$39,'Base Grupo de Produtos'!$F$23:$F$39)</f>
        <v>0</v>
      </c>
      <c r="U857" s="56">
        <f>_xlfn.XLOOKUP($N857,'Calculo Leads Conveniencia'!$A$77:$A$104,'Calculo Leads Conveniencia'!H$77:H$104)*_xlfn.XLOOKUP($P857,'Base Grupo de Produtos'!$E$23:$E$39,'Base Grupo de Produtos'!$F$23:$F$39)</f>
        <v>0</v>
      </c>
      <c r="V857" s="56">
        <f>_xlfn.XLOOKUP($N857,'Calculo Leads Conveniencia'!$A$77:$A$104,'Calculo Leads Conveniencia'!I$77:I$104)*_xlfn.XLOOKUP($P857,'Base Grupo de Produtos'!$E$23:$E$39,'Base Grupo de Produtos'!$F$23:$F$39)</f>
        <v>0</v>
      </c>
      <c r="W857" s="56">
        <f>_xlfn.XLOOKUP($N857,'Calculo Leads Conveniencia'!$A$77:$A$104,'Calculo Leads Conveniencia'!J$77:J$104)*_xlfn.XLOOKUP($P857,'Base Grupo de Produtos'!$E$23:$E$39,'Base Grupo de Produtos'!$F$23:$F$39)</f>
        <v>0</v>
      </c>
      <c r="X857" s="56">
        <f>_xlfn.XLOOKUP($N857,'Calculo Leads Conveniencia'!$A$77:$A$104,'Calculo Leads Conveniencia'!K$77:K$104)*_xlfn.XLOOKUP($P857,'Base Grupo de Produtos'!$E$23:$E$39,'Base Grupo de Produtos'!$F$23:$F$39)</f>
        <v>0</v>
      </c>
      <c r="Y857" s="56">
        <f>_xlfn.XLOOKUP($N857,'Calculo Leads Conveniencia'!$A$77:$A$104,'Calculo Leads Conveniencia'!L$77:L$104)*_xlfn.XLOOKUP($P857,'Base Grupo de Produtos'!$E$23:$E$39,'Base Grupo de Produtos'!$F$23:$F$39)</f>
        <v>0</v>
      </c>
      <c r="Z857" s="56">
        <f>_xlfn.XLOOKUP($N857,'Calculo Leads Conveniencia'!$A$77:$A$104,'Calculo Leads Conveniencia'!M$77:M$104)*_xlfn.XLOOKUP($P857,'Base Grupo de Produtos'!$E$23:$E$39,'Base Grupo de Produtos'!$F$23:$F$39)</f>
        <v>0</v>
      </c>
      <c r="AA857" s="56">
        <f>_xlfn.XLOOKUP($N857,'Calculo Leads Conveniencia'!$A$77:$A$104,'Calculo Leads Conveniencia'!N$77:N$104)*_xlfn.XLOOKUP($P857,'Base Grupo de Produtos'!$E$23:$E$39,'Base Grupo de Produtos'!$F$23:$F$39)</f>
        <v>0</v>
      </c>
      <c r="AB857" s="56">
        <f>_xlfn.XLOOKUP($N857,'Calculo Leads Conveniencia'!$A$77:$A$104,'Calculo Leads Conveniencia'!O$77:O$104)*_xlfn.XLOOKUP($P857,'Base Grupo de Produtos'!$E$23:$E$39,'Base Grupo de Produtos'!$F$23:$F$39)</f>
        <v>0</v>
      </c>
      <c r="AC857" s="61">
        <f t="shared" si="851"/>
        <v>0</v>
      </c>
      <c r="AD857" s="28"/>
      <c r="AE857" s="12"/>
      <c r="AF857" s="29"/>
      <c r="AG857" s="9"/>
      <c r="AH857" s="10"/>
      <c r="AI857" s="9"/>
      <c r="AJ857" s="11"/>
      <c r="AK857" s="9"/>
      <c r="AL857" s="13"/>
      <c r="AM857" s="9"/>
    </row>
    <row r="858" spans="1:39" x14ac:dyDescent="0.3">
      <c r="A858" s="2" t="str">
        <f t="shared" si="810"/>
        <v>NÃO</v>
      </c>
      <c r="B858" s="2" t="str">
        <f>_xlfn.XLOOKUP($N858,'Base de Grupos'!$A:$A,'Base de Grupos'!$D:$D)</f>
        <v>1000065763</v>
      </c>
      <c r="C858" s="5" t="str">
        <f>_xlfn.XLOOKUP($N858,'Base de Grupos'!$A:$A,'Base de Grupos'!$E:$E)</f>
        <v>CANAL VENDA INTERNA</v>
      </c>
      <c r="D858" s="5" t="str">
        <f>_xlfn.XLOOKUP($N858,'Base de Grupos'!$A:$A,'Base de Grupos'!$F:$F)</f>
        <v>1000065763</v>
      </c>
      <c r="E858" s="2" t="str">
        <f>_xlfn.XLOOKUP($N858,'Base de Grupos'!$A:$A,'Base de Grupos'!$G:$G)</f>
        <v>CANAL VENDA INTERNA</v>
      </c>
      <c r="F858" s="2" t="str">
        <f>_xlfn.XLOOKUP($N858,'Base de Grupos'!$A:$A,'Base de Grupos'!$H:$H)</f>
        <v>1000174119</v>
      </c>
      <c r="G858" s="5" t="str">
        <f>_xlfn.XLOOKUP($N858,'Base de Grupos'!$A:$A,'Base de Grupos'!$I:$I)</f>
        <v>REGIONAL VENDA INTERNA - CONVENIENCIA</v>
      </c>
      <c r="H858" s="5" t="str">
        <f>_xlfn.XLOOKUP($N858,'Base de Grupos'!$A:$A,'Base de Grupos'!$J:$J)</f>
        <v>1000174119</v>
      </c>
      <c r="I858" s="2" t="str">
        <f>_xlfn.XLOOKUP($N858,'Base de Grupos'!$A:$A,'Base de Grupos'!$K:$K)</f>
        <v>REGIONAL VENDA INTERNA - CONVENIENCIA</v>
      </c>
      <c r="J858" s="2" t="str">
        <f>_xlfn.XLOOKUP($N858,'Base de Grupos'!$A:$A,'Base de Grupos'!$L:$L)</f>
        <v>1000174119</v>
      </c>
      <c r="K858" s="5" t="str">
        <f>_xlfn.XLOOKUP($N858,'Base de Grupos'!$A:$A,'Base de Grupos'!$M:$M)</f>
        <v>REGIONAL VENDA INTERNA - CONVENIENCIA</v>
      </c>
      <c r="L858" s="5" t="str">
        <f t="shared" si="811"/>
        <v/>
      </c>
      <c r="M858" s="5" t="str">
        <f>_xlfn.XLOOKUP($N858,'Base de Grupos'!$A:$A,'Base de Grupos'!$C:$C)</f>
        <v>TO</v>
      </c>
      <c r="N858" s="3">
        <v>1512</v>
      </c>
      <c r="O858" s="4" t="s">
        <v>271</v>
      </c>
      <c r="P858" s="5" t="s">
        <v>108</v>
      </c>
      <c r="Q858" s="56">
        <v>0</v>
      </c>
      <c r="R858" s="56">
        <v>0</v>
      </c>
      <c r="S858" s="56">
        <v>0</v>
      </c>
      <c r="T858" s="56">
        <f>_xlfn.XLOOKUP($N858,'Calculo Leads Conveniencia'!$A$77:$A$104,'Calculo Leads Conveniencia'!G$77:G$104)*_xlfn.XLOOKUP($P858,'Base Grupo de Produtos'!$E$23:$E$39,'Base Grupo de Produtos'!$F$23:$F$39)</f>
        <v>0</v>
      </c>
      <c r="U858" s="56">
        <f>_xlfn.XLOOKUP($N858,'Calculo Leads Conveniencia'!$A$77:$A$104,'Calculo Leads Conveniencia'!H$77:H$104)*_xlfn.XLOOKUP($P858,'Base Grupo de Produtos'!$E$23:$E$39,'Base Grupo de Produtos'!$F$23:$F$39)</f>
        <v>0</v>
      </c>
      <c r="V858" s="56">
        <f>_xlfn.XLOOKUP($N858,'Calculo Leads Conveniencia'!$A$77:$A$104,'Calculo Leads Conveniencia'!I$77:I$104)*_xlfn.XLOOKUP($P858,'Base Grupo de Produtos'!$E$23:$E$39,'Base Grupo de Produtos'!$F$23:$F$39)</f>
        <v>0</v>
      </c>
      <c r="W858" s="56">
        <f>_xlfn.XLOOKUP($N858,'Calculo Leads Conveniencia'!$A$77:$A$104,'Calculo Leads Conveniencia'!J$77:J$104)*_xlfn.XLOOKUP($P858,'Base Grupo de Produtos'!$E$23:$E$39,'Base Grupo de Produtos'!$F$23:$F$39)</f>
        <v>0</v>
      </c>
      <c r="X858" s="56">
        <f>_xlfn.XLOOKUP($N858,'Calculo Leads Conveniencia'!$A$77:$A$104,'Calculo Leads Conveniencia'!K$77:K$104)*_xlfn.XLOOKUP($P858,'Base Grupo de Produtos'!$E$23:$E$39,'Base Grupo de Produtos'!$F$23:$F$39)</f>
        <v>0</v>
      </c>
      <c r="Y858" s="56">
        <f>_xlfn.XLOOKUP($N858,'Calculo Leads Conveniencia'!$A$77:$A$104,'Calculo Leads Conveniencia'!L$77:L$104)*_xlfn.XLOOKUP($P858,'Base Grupo de Produtos'!$E$23:$E$39,'Base Grupo de Produtos'!$F$23:$F$39)</f>
        <v>0</v>
      </c>
      <c r="Z858" s="56">
        <f>_xlfn.XLOOKUP($N858,'Calculo Leads Conveniencia'!$A$77:$A$104,'Calculo Leads Conveniencia'!M$77:M$104)*_xlfn.XLOOKUP($P858,'Base Grupo de Produtos'!$E$23:$E$39,'Base Grupo de Produtos'!$F$23:$F$39)</f>
        <v>0</v>
      </c>
      <c r="AA858" s="56">
        <f>_xlfn.XLOOKUP($N858,'Calculo Leads Conveniencia'!$A$77:$A$104,'Calculo Leads Conveniencia'!N$77:N$104)*_xlfn.XLOOKUP($P858,'Base Grupo de Produtos'!$E$23:$E$39,'Base Grupo de Produtos'!$F$23:$F$39)</f>
        <v>0</v>
      </c>
      <c r="AB858" s="56">
        <f>_xlfn.XLOOKUP($N858,'Calculo Leads Conveniencia'!$A$77:$A$104,'Calculo Leads Conveniencia'!O$77:O$104)*_xlfn.XLOOKUP($P858,'Base Grupo de Produtos'!$E$23:$E$39,'Base Grupo de Produtos'!$F$23:$F$39)</f>
        <v>0</v>
      </c>
      <c r="AC858" s="61">
        <f t="shared" si="851"/>
        <v>0</v>
      </c>
      <c r="AD858" s="28"/>
      <c r="AE858" s="12"/>
      <c r="AF858" s="29"/>
      <c r="AG858" s="9"/>
      <c r="AH858" s="10"/>
      <c r="AI858" s="9"/>
      <c r="AJ858" s="11"/>
      <c r="AK858" s="9"/>
      <c r="AL858" s="13"/>
      <c r="AM858" s="9"/>
    </row>
    <row r="859" spans="1:39" x14ac:dyDescent="0.3">
      <c r="A859" s="2" t="str">
        <f t="shared" ref="A859:A922" si="865">IF(L859=1,"SIM","NÃO")</f>
        <v>NÃO</v>
      </c>
      <c r="B859" s="2" t="str">
        <f>_xlfn.XLOOKUP($N859,'Base de Grupos'!$A:$A,'Base de Grupos'!$D:$D)</f>
        <v>1000065763</v>
      </c>
      <c r="C859" s="5" t="str">
        <f>_xlfn.XLOOKUP($N859,'Base de Grupos'!$A:$A,'Base de Grupos'!$E:$E)</f>
        <v>CANAL VENDA INTERNA</v>
      </c>
      <c r="D859" s="5" t="str">
        <f>_xlfn.XLOOKUP($N859,'Base de Grupos'!$A:$A,'Base de Grupos'!$F:$F)</f>
        <v>1000065763</v>
      </c>
      <c r="E859" s="2" t="str">
        <f>_xlfn.XLOOKUP($N859,'Base de Grupos'!$A:$A,'Base de Grupos'!$G:$G)</f>
        <v>CANAL VENDA INTERNA</v>
      </c>
      <c r="F859" s="2" t="str">
        <f>_xlfn.XLOOKUP($N859,'Base de Grupos'!$A:$A,'Base de Grupos'!$H:$H)</f>
        <v>1000174119</v>
      </c>
      <c r="G859" s="5" t="str">
        <f>_xlfn.XLOOKUP($N859,'Base de Grupos'!$A:$A,'Base de Grupos'!$I:$I)</f>
        <v>REGIONAL VENDA INTERNA - CONVENIENCIA</v>
      </c>
      <c r="H859" s="5" t="str">
        <f>_xlfn.XLOOKUP($N859,'Base de Grupos'!$A:$A,'Base de Grupos'!$J:$J)</f>
        <v>1000174119</v>
      </c>
      <c r="I859" s="2" t="str">
        <f>_xlfn.XLOOKUP($N859,'Base de Grupos'!$A:$A,'Base de Grupos'!$K:$K)</f>
        <v>REGIONAL VENDA INTERNA - CONVENIENCIA</v>
      </c>
      <c r="J859" s="2" t="str">
        <f>_xlfn.XLOOKUP($N859,'Base de Grupos'!$A:$A,'Base de Grupos'!$L:$L)</f>
        <v>1000174119</v>
      </c>
      <c r="K859" s="5" t="str">
        <f>_xlfn.XLOOKUP($N859,'Base de Grupos'!$A:$A,'Base de Grupos'!$M:$M)</f>
        <v>REGIONAL VENDA INTERNA - CONVENIENCIA</v>
      </c>
      <c r="L859" s="5" t="str">
        <f t="shared" ref="L859:L922" si="866">IF(N859&lt;&gt;N858,1,"")</f>
        <v/>
      </c>
      <c r="M859" s="5" t="str">
        <f>_xlfn.XLOOKUP($N859,'Base de Grupos'!$A:$A,'Base de Grupos'!$C:$C)</f>
        <v>TO</v>
      </c>
      <c r="N859" s="3">
        <v>1512</v>
      </c>
      <c r="O859" s="4" t="s">
        <v>271</v>
      </c>
      <c r="P859" s="5" t="s">
        <v>89</v>
      </c>
      <c r="Q859" s="56">
        <v>0</v>
      </c>
      <c r="R859" s="56">
        <v>0</v>
      </c>
      <c r="S859" s="56">
        <v>0</v>
      </c>
      <c r="T859" s="56">
        <f>_xlfn.XLOOKUP($N859,'Calculo Leads Conveniencia'!$A$77:$A$104,'Calculo Leads Conveniencia'!G$77:G$104)*_xlfn.XLOOKUP($P859,'Base Grupo de Produtos'!$E$23:$E$39,'Base Grupo de Produtos'!$F$23:$F$39)</f>
        <v>0</v>
      </c>
      <c r="U859" s="56">
        <f>_xlfn.XLOOKUP($N859,'Calculo Leads Conveniencia'!$A$77:$A$104,'Calculo Leads Conveniencia'!H$77:H$104)*_xlfn.XLOOKUP($P859,'Base Grupo de Produtos'!$E$23:$E$39,'Base Grupo de Produtos'!$F$23:$F$39)</f>
        <v>0</v>
      </c>
      <c r="V859" s="56">
        <f>_xlfn.XLOOKUP($N859,'Calculo Leads Conveniencia'!$A$77:$A$104,'Calculo Leads Conveniencia'!I$77:I$104)*_xlfn.XLOOKUP($P859,'Base Grupo de Produtos'!$E$23:$E$39,'Base Grupo de Produtos'!$F$23:$F$39)</f>
        <v>0</v>
      </c>
      <c r="W859" s="56">
        <f>_xlfn.XLOOKUP($N859,'Calculo Leads Conveniencia'!$A$77:$A$104,'Calculo Leads Conveniencia'!J$77:J$104)*_xlfn.XLOOKUP($P859,'Base Grupo de Produtos'!$E$23:$E$39,'Base Grupo de Produtos'!$F$23:$F$39)</f>
        <v>0</v>
      </c>
      <c r="X859" s="56">
        <f>_xlfn.XLOOKUP($N859,'Calculo Leads Conveniencia'!$A$77:$A$104,'Calculo Leads Conveniencia'!K$77:K$104)*_xlfn.XLOOKUP($P859,'Base Grupo de Produtos'!$E$23:$E$39,'Base Grupo de Produtos'!$F$23:$F$39)</f>
        <v>0</v>
      </c>
      <c r="Y859" s="56">
        <f>_xlfn.XLOOKUP($N859,'Calculo Leads Conveniencia'!$A$77:$A$104,'Calculo Leads Conveniencia'!L$77:L$104)*_xlfn.XLOOKUP($P859,'Base Grupo de Produtos'!$E$23:$E$39,'Base Grupo de Produtos'!$F$23:$F$39)</f>
        <v>0</v>
      </c>
      <c r="Z859" s="56">
        <f>_xlfn.XLOOKUP($N859,'Calculo Leads Conveniencia'!$A$77:$A$104,'Calculo Leads Conveniencia'!M$77:M$104)*_xlfn.XLOOKUP($P859,'Base Grupo de Produtos'!$E$23:$E$39,'Base Grupo de Produtos'!$F$23:$F$39)</f>
        <v>0</v>
      </c>
      <c r="AA859" s="56">
        <f>_xlfn.XLOOKUP($N859,'Calculo Leads Conveniencia'!$A$77:$A$104,'Calculo Leads Conveniencia'!N$77:N$104)*_xlfn.XLOOKUP($P859,'Base Grupo de Produtos'!$E$23:$E$39,'Base Grupo de Produtos'!$F$23:$F$39)</f>
        <v>0</v>
      </c>
      <c r="AB859" s="56">
        <f>_xlfn.XLOOKUP($N859,'Calculo Leads Conveniencia'!$A$77:$A$104,'Calculo Leads Conveniencia'!O$77:O$104)*_xlfn.XLOOKUP($P859,'Base Grupo de Produtos'!$E$23:$E$39,'Base Grupo de Produtos'!$F$23:$F$39)</f>
        <v>0</v>
      </c>
      <c r="AC859" s="61">
        <f t="shared" si="851"/>
        <v>0</v>
      </c>
      <c r="AD859" s="28"/>
      <c r="AE859" s="12"/>
      <c r="AF859" s="29"/>
      <c r="AG859" s="9"/>
      <c r="AH859" s="10"/>
      <c r="AI859" s="9"/>
      <c r="AJ859" s="11"/>
      <c r="AK859" s="9"/>
      <c r="AL859" s="13"/>
      <c r="AM859" s="9"/>
    </row>
    <row r="860" spans="1:39" x14ac:dyDescent="0.3">
      <c r="A860" s="2" t="str">
        <f t="shared" si="865"/>
        <v>NÃO</v>
      </c>
      <c r="B860" s="2" t="str">
        <f>_xlfn.XLOOKUP($N860,'Base de Grupos'!$A:$A,'Base de Grupos'!$D:$D)</f>
        <v>1000065763</v>
      </c>
      <c r="C860" s="5" t="str">
        <f>_xlfn.XLOOKUP($N860,'Base de Grupos'!$A:$A,'Base de Grupos'!$E:$E)</f>
        <v>CANAL VENDA INTERNA</v>
      </c>
      <c r="D860" s="5" t="str">
        <f>_xlfn.XLOOKUP($N860,'Base de Grupos'!$A:$A,'Base de Grupos'!$F:$F)</f>
        <v>1000065763</v>
      </c>
      <c r="E860" s="2" t="str">
        <f>_xlfn.XLOOKUP($N860,'Base de Grupos'!$A:$A,'Base de Grupos'!$G:$G)</f>
        <v>CANAL VENDA INTERNA</v>
      </c>
      <c r="F860" s="2" t="str">
        <f>_xlfn.XLOOKUP($N860,'Base de Grupos'!$A:$A,'Base de Grupos'!$H:$H)</f>
        <v>1000174119</v>
      </c>
      <c r="G860" s="5" t="str">
        <f>_xlfn.XLOOKUP($N860,'Base de Grupos'!$A:$A,'Base de Grupos'!$I:$I)</f>
        <v>REGIONAL VENDA INTERNA - CONVENIENCIA</v>
      </c>
      <c r="H860" s="5" t="str">
        <f>_xlfn.XLOOKUP($N860,'Base de Grupos'!$A:$A,'Base de Grupos'!$J:$J)</f>
        <v>1000174119</v>
      </c>
      <c r="I860" s="2" t="str">
        <f>_xlfn.XLOOKUP($N860,'Base de Grupos'!$A:$A,'Base de Grupos'!$K:$K)</f>
        <v>REGIONAL VENDA INTERNA - CONVENIENCIA</v>
      </c>
      <c r="J860" s="2" t="str">
        <f>_xlfn.XLOOKUP($N860,'Base de Grupos'!$A:$A,'Base de Grupos'!$L:$L)</f>
        <v>1000174119</v>
      </c>
      <c r="K860" s="5" t="str">
        <f>_xlfn.XLOOKUP($N860,'Base de Grupos'!$A:$A,'Base de Grupos'!$M:$M)</f>
        <v>REGIONAL VENDA INTERNA - CONVENIENCIA</v>
      </c>
      <c r="L860" s="5" t="str">
        <f t="shared" si="866"/>
        <v/>
      </c>
      <c r="M860" s="5" t="str">
        <f>_xlfn.XLOOKUP($N860,'Base de Grupos'!$A:$A,'Base de Grupos'!$C:$C)</f>
        <v>TO</v>
      </c>
      <c r="N860" s="3">
        <v>1512</v>
      </c>
      <c r="O860" s="4" t="s">
        <v>271</v>
      </c>
      <c r="P860" s="5" t="s">
        <v>88</v>
      </c>
      <c r="Q860" s="56">
        <v>0</v>
      </c>
      <c r="R860" s="56">
        <v>0</v>
      </c>
      <c r="S860" s="56">
        <v>0</v>
      </c>
      <c r="T860" s="56">
        <f>_xlfn.XLOOKUP($N860,'Calculo Leads Conveniencia'!$A$77:$A$104,'Calculo Leads Conveniencia'!G$77:G$104)*_xlfn.XLOOKUP($P860,'Base Grupo de Produtos'!$E$23:$E$39,'Base Grupo de Produtos'!$F$23:$F$39)</f>
        <v>0</v>
      </c>
      <c r="U860" s="56">
        <f>_xlfn.XLOOKUP($N860,'Calculo Leads Conveniencia'!$A$77:$A$104,'Calculo Leads Conveniencia'!H$77:H$104)*_xlfn.XLOOKUP($P860,'Base Grupo de Produtos'!$E$23:$E$39,'Base Grupo de Produtos'!$F$23:$F$39)</f>
        <v>0</v>
      </c>
      <c r="V860" s="56">
        <f>_xlfn.XLOOKUP($N860,'Calculo Leads Conveniencia'!$A$77:$A$104,'Calculo Leads Conveniencia'!I$77:I$104)*_xlfn.XLOOKUP($P860,'Base Grupo de Produtos'!$E$23:$E$39,'Base Grupo de Produtos'!$F$23:$F$39)</f>
        <v>0</v>
      </c>
      <c r="W860" s="56">
        <f>_xlfn.XLOOKUP($N860,'Calculo Leads Conveniencia'!$A$77:$A$104,'Calculo Leads Conveniencia'!J$77:J$104)*_xlfn.XLOOKUP($P860,'Base Grupo de Produtos'!$E$23:$E$39,'Base Grupo de Produtos'!$F$23:$F$39)</f>
        <v>0</v>
      </c>
      <c r="X860" s="56">
        <f>_xlfn.XLOOKUP($N860,'Calculo Leads Conveniencia'!$A$77:$A$104,'Calculo Leads Conveniencia'!K$77:K$104)*_xlfn.XLOOKUP($P860,'Base Grupo de Produtos'!$E$23:$E$39,'Base Grupo de Produtos'!$F$23:$F$39)</f>
        <v>0</v>
      </c>
      <c r="Y860" s="56">
        <f>_xlfn.XLOOKUP($N860,'Calculo Leads Conveniencia'!$A$77:$A$104,'Calculo Leads Conveniencia'!L$77:L$104)*_xlfn.XLOOKUP($P860,'Base Grupo de Produtos'!$E$23:$E$39,'Base Grupo de Produtos'!$F$23:$F$39)</f>
        <v>0</v>
      </c>
      <c r="Z860" s="56">
        <f>_xlfn.XLOOKUP($N860,'Calculo Leads Conveniencia'!$A$77:$A$104,'Calculo Leads Conveniencia'!M$77:M$104)*_xlfn.XLOOKUP($P860,'Base Grupo de Produtos'!$E$23:$E$39,'Base Grupo de Produtos'!$F$23:$F$39)</f>
        <v>0</v>
      </c>
      <c r="AA860" s="56">
        <f>_xlfn.XLOOKUP($N860,'Calculo Leads Conveniencia'!$A$77:$A$104,'Calculo Leads Conveniencia'!N$77:N$104)*_xlfn.XLOOKUP($P860,'Base Grupo de Produtos'!$E$23:$E$39,'Base Grupo de Produtos'!$F$23:$F$39)</f>
        <v>0</v>
      </c>
      <c r="AB860" s="56">
        <f>_xlfn.XLOOKUP($N860,'Calculo Leads Conveniencia'!$A$77:$A$104,'Calculo Leads Conveniencia'!O$77:O$104)*_xlfn.XLOOKUP($P860,'Base Grupo de Produtos'!$E$23:$E$39,'Base Grupo de Produtos'!$F$23:$F$39)</f>
        <v>0</v>
      </c>
      <c r="AC860" s="61">
        <f t="shared" si="851"/>
        <v>0</v>
      </c>
      <c r="AD860" s="28"/>
      <c r="AE860" s="12"/>
      <c r="AF860" s="29"/>
      <c r="AG860" s="9"/>
      <c r="AH860" s="10"/>
      <c r="AI860" s="9"/>
      <c r="AJ860" s="11"/>
      <c r="AK860" s="9"/>
      <c r="AL860" s="13"/>
      <c r="AM860" s="9"/>
    </row>
    <row r="861" spans="1:39" x14ac:dyDescent="0.3">
      <c r="A861" s="2" t="str">
        <f t="shared" si="865"/>
        <v>NÃO</v>
      </c>
      <c r="B861" s="2" t="str">
        <f>_xlfn.XLOOKUP($N861,'Base de Grupos'!$A:$A,'Base de Grupos'!$D:$D)</f>
        <v>1000065763</v>
      </c>
      <c r="C861" s="5" t="str">
        <f>_xlfn.XLOOKUP($N861,'Base de Grupos'!$A:$A,'Base de Grupos'!$E:$E)</f>
        <v>CANAL VENDA INTERNA</v>
      </c>
      <c r="D861" s="5" t="str">
        <f>_xlfn.XLOOKUP($N861,'Base de Grupos'!$A:$A,'Base de Grupos'!$F:$F)</f>
        <v>1000065763</v>
      </c>
      <c r="E861" s="2" t="str">
        <f>_xlfn.XLOOKUP($N861,'Base de Grupos'!$A:$A,'Base de Grupos'!$G:$G)</f>
        <v>CANAL VENDA INTERNA</v>
      </c>
      <c r="F861" s="2" t="str">
        <f>_xlfn.XLOOKUP($N861,'Base de Grupos'!$A:$A,'Base de Grupos'!$H:$H)</f>
        <v>1000174119</v>
      </c>
      <c r="G861" s="5" t="str">
        <f>_xlfn.XLOOKUP($N861,'Base de Grupos'!$A:$A,'Base de Grupos'!$I:$I)</f>
        <v>REGIONAL VENDA INTERNA - CONVENIENCIA</v>
      </c>
      <c r="H861" s="5" t="str">
        <f>_xlfn.XLOOKUP($N861,'Base de Grupos'!$A:$A,'Base de Grupos'!$J:$J)</f>
        <v>1000174119</v>
      </c>
      <c r="I861" s="2" t="str">
        <f>_xlfn.XLOOKUP($N861,'Base de Grupos'!$A:$A,'Base de Grupos'!$K:$K)</f>
        <v>REGIONAL VENDA INTERNA - CONVENIENCIA</v>
      </c>
      <c r="J861" s="2" t="str">
        <f>_xlfn.XLOOKUP($N861,'Base de Grupos'!$A:$A,'Base de Grupos'!$L:$L)</f>
        <v>1000174119</v>
      </c>
      <c r="K861" s="5" t="str">
        <f>_xlfn.XLOOKUP($N861,'Base de Grupos'!$A:$A,'Base de Grupos'!$M:$M)</f>
        <v>REGIONAL VENDA INTERNA - CONVENIENCIA</v>
      </c>
      <c r="L861" s="5" t="str">
        <f t="shared" si="866"/>
        <v/>
      </c>
      <c r="M861" s="5" t="str">
        <f>_xlfn.XLOOKUP($N861,'Base de Grupos'!$A:$A,'Base de Grupos'!$C:$C)</f>
        <v>TO</v>
      </c>
      <c r="N861" s="3">
        <v>1512</v>
      </c>
      <c r="O861" s="4" t="s">
        <v>271</v>
      </c>
      <c r="P861" s="5" t="s">
        <v>90</v>
      </c>
      <c r="Q861" s="56">
        <v>0</v>
      </c>
      <c r="R861" s="56">
        <v>0</v>
      </c>
      <c r="S861" s="56">
        <v>0</v>
      </c>
      <c r="T861" s="56">
        <f>_xlfn.XLOOKUP($N861,'Calculo Leads Conveniencia'!$A$77:$A$104,'Calculo Leads Conveniencia'!G$77:G$104)*_xlfn.XLOOKUP($P861,'Base Grupo de Produtos'!$E$23:$E$39,'Base Grupo de Produtos'!$F$23:$F$39)</f>
        <v>0</v>
      </c>
      <c r="U861" s="56">
        <f>_xlfn.XLOOKUP($N861,'Calculo Leads Conveniencia'!$A$77:$A$104,'Calculo Leads Conveniencia'!H$77:H$104)*_xlfn.XLOOKUP($P861,'Base Grupo de Produtos'!$E$23:$E$39,'Base Grupo de Produtos'!$F$23:$F$39)</f>
        <v>0</v>
      </c>
      <c r="V861" s="56">
        <f>_xlfn.XLOOKUP($N861,'Calculo Leads Conveniencia'!$A$77:$A$104,'Calculo Leads Conveniencia'!I$77:I$104)*_xlfn.XLOOKUP($P861,'Base Grupo de Produtos'!$E$23:$E$39,'Base Grupo de Produtos'!$F$23:$F$39)</f>
        <v>0</v>
      </c>
      <c r="W861" s="56">
        <f>_xlfn.XLOOKUP($N861,'Calculo Leads Conveniencia'!$A$77:$A$104,'Calculo Leads Conveniencia'!J$77:J$104)*_xlfn.XLOOKUP($P861,'Base Grupo de Produtos'!$E$23:$E$39,'Base Grupo de Produtos'!$F$23:$F$39)</f>
        <v>0</v>
      </c>
      <c r="X861" s="56">
        <f>_xlfn.XLOOKUP($N861,'Calculo Leads Conveniencia'!$A$77:$A$104,'Calculo Leads Conveniencia'!K$77:K$104)*_xlfn.XLOOKUP($P861,'Base Grupo de Produtos'!$E$23:$E$39,'Base Grupo de Produtos'!$F$23:$F$39)</f>
        <v>0</v>
      </c>
      <c r="Y861" s="56">
        <f>_xlfn.XLOOKUP($N861,'Calculo Leads Conveniencia'!$A$77:$A$104,'Calculo Leads Conveniencia'!L$77:L$104)*_xlfn.XLOOKUP($P861,'Base Grupo de Produtos'!$E$23:$E$39,'Base Grupo de Produtos'!$F$23:$F$39)</f>
        <v>0</v>
      </c>
      <c r="Z861" s="56">
        <f>_xlfn.XLOOKUP($N861,'Calculo Leads Conveniencia'!$A$77:$A$104,'Calculo Leads Conveniencia'!M$77:M$104)*_xlfn.XLOOKUP($P861,'Base Grupo de Produtos'!$E$23:$E$39,'Base Grupo de Produtos'!$F$23:$F$39)</f>
        <v>0</v>
      </c>
      <c r="AA861" s="56">
        <f>_xlfn.XLOOKUP($N861,'Calculo Leads Conveniencia'!$A$77:$A$104,'Calculo Leads Conveniencia'!N$77:N$104)*_xlfn.XLOOKUP($P861,'Base Grupo de Produtos'!$E$23:$E$39,'Base Grupo de Produtos'!$F$23:$F$39)</f>
        <v>0</v>
      </c>
      <c r="AB861" s="56">
        <f>_xlfn.XLOOKUP($N861,'Calculo Leads Conveniencia'!$A$77:$A$104,'Calculo Leads Conveniencia'!O$77:O$104)*_xlfn.XLOOKUP($P861,'Base Grupo de Produtos'!$E$23:$E$39,'Base Grupo de Produtos'!$F$23:$F$39)</f>
        <v>0</v>
      </c>
      <c r="AC861" s="61">
        <f t="shared" si="851"/>
        <v>0</v>
      </c>
      <c r="AD861" s="28"/>
      <c r="AE861" s="12"/>
      <c r="AF861" s="29"/>
      <c r="AG861" s="9"/>
      <c r="AH861" s="10"/>
      <c r="AI861" s="9"/>
      <c r="AJ861" s="11"/>
      <c r="AK861" s="9"/>
      <c r="AL861" s="13"/>
      <c r="AM861" s="9"/>
    </row>
    <row r="862" spans="1:39" x14ac:dyDescent="0.3">
      <c r="A862" s="2" t="str">
        <f t="shared" si="865"/>
        <v>NÃO</v>
      </c>
      <c r="B862" s="2" t="str">
        <f>_xlfn.XLOOKUP($N862,'Base de Grupos'!$A:$A,'Base de Grupos'!$D:$D)</f>
        <v>1000065763</v>
      </c>
      <c r="C862" s="5" t="str">
        <f>_xlfn.XLOOKUP($N862,'Base de Grupos'!$A:$A,'Base de Grupos'!$E:$E)</f>
        <v>CANAL VENDA INTERNA</v>
      </c>
      <c r="D862" s="5" t="str">
        <f>_xlfn.XLOOKUP($N862,'Base de Grupos'!$A:$A,'Base de Grupos'!$F:$F)</f>
        <v>1000065763</v>
      </c>
      <c r="E862" s="2" t="str">
        <f>_xlfn.XLOOKUP($N862,'Base de Grupos'!$A:$A,'Base de Grupos'!$G:$G)</f>
        <v>CANAL VENDA INTERNA</v>
      </c>
      <c r="F862" s="2" t="str">
        <f>_xlfn.XLOOKUP($N862,'Base de Grupos'!$A:$A,'Base de Grupos'!$H:$H)</f>
        <v>1000174119</v>
      </c>
      <c r="G862" s="5" t="str">
        <f>_xlfn.XLOOKUP($N862,'Base de Grupos'!$A:$A,'Base de Grupos'!$I:$I)</f>
        <v>REGIONAL VENDA INTERNA - CONVENIENCIA</v>
      </c>
      <c r="H862" s="5" t="str">
        <f>_xlfn.XLOOKUP($N862,'Base de Grupos'!$A:$A,'Base de Grupos'!$J:$J)</f>
        <v>1000174119</v>
      </c>
      <c r="I862" s="2" t="str">
        <f>_xlfn.XLOOKUP($N862,'Base de Grupos'!$A:$A,'Base de Grupos'!$K:$K)</f>
        <v>REGIONAL VENDA INTERNA - CONVENIENCIA</v>
      </c>
      <c r="J862" s="2" t="str">
        <f>_xlfn.XLOOKUP($N862,'Base de Grupos'!$A:$A,'Base de Grupos'!$L:$L)</f>
        <v>1000174119</v>
      </c>
      <c r="K862" s="5" t="str">
        <f>_xlfn.XLOOKUP($N862,'Base de Grupos'!$A:$A,'Base de Grupos'!$M:$M)</f>
        <v>REGIONAL VENDA INTERNA - CONVENIENCIA</v>
      </c>
      <c r="L862" s="5" t="str">
        <f t="shared" si="866"/>
        <v/>
      </c>
      <c r="M862" s="5" t="str">
        <f>_xlfn.XLOOKUP($N862,'Base de Grupos'!$A:$A,'Base de Grupos'!$C:$C)</f>
        <v>TO</v>
      </c>
      <c r="N862" s="3">
        <v>1512</v>
      </c>
      <c r="O862" s="4" t="s">
        <v>271</v>
      </c>
      <c r="P862" s="5" t="s">
        <v>91</v>
      </c>
      <c r="Q862" s="56">
        <v>0</v>
      </c>
      <c r="R862" s="56">
        <v>0</v>
      </c>
      <c r="S862" s="56">
        <v>0</v>
      </c>
      <c r="T862" s="56">
        <f>_xlfn.XLOOKUP($N862,'Calculo Leads Conveniencia'!$A$77:$A$104,'Calculo Leads Conveniencia'!G$77:G$104)*_xlfn.XLOOKUP($P862,'Base Grupo de Produtos'!$E$23:$E$39,'Base Grupo de Produtos'!$F$23:$F$39)</f>
        <v>0</v>
      </c>
      <c r="U862" s="56">
        <f>_xlfn.XLOOKUP($N862,'Calculo Leads Conveniencia'!$A$77:$A$104,'Calculo Leads Conveniencia'!H$77:H$104)*_xlfn.XLOOKUP($P862,'Base Grupo de Produtos'!$E$23:$E$39,'Base Grupo de Produtos'!$F$23:$F$39)</f>
        <v>0</v>
      </c>
      <c r="V862" s="56">
        <f>_xlfn.XLOOKUP($N862,'Calculo Leads Conveniencia'!$A$77:$A$104,'Calculo Leads Conveniencia'!I$77:I$104)*_xlfn.XLOOKUP($P862,'Base Grupo de Produtos'!$E$23:$E$39,'Base Grupo de Produtos'!$F$23:$F$39)</f>
        <v>0</v>
      </c>
      <c r="W862" s="56">
        <f>_xlfn.XLOOKUP($N862,'Calculo Leads Conveniencia'!$A$77:$A$104,'Calculo Leads Conveniencia'!J$77:J$104)*_xlfn.XLOOKUP($P862,'Base Grupo de Produtos'!$E$23:$E$39,'Base Grupo de Produtos'!$F$23:$F$39)</f>
        <v>0</v>
      </c>
      <c r="X862" s="56">
        <f>_xlfn.XLOOKUP($N862,'Calculo Leads Conveniencia'!$A$77:$A$104,'Calculo Leads Conveniencia'!K$77:K$104)*_xlfn.XLOOKUP($P862,'Base Grupo de Produtos'!$E$23:$E$39,'Base Grupo de Produtos'!$F$23:$F$39)</f>
        <v>0</v>
      </c>
      <c r="Y862" s="56">
        <f>_xlfn.XLOOKUP($N862,'Calculo Leads Conveniencia'!$A$77:$A$104,'Calculo Leads Conveniencia'!L$77:L$104)*_xlfn.XLOOKUP($P862,'Base Grupo de Produtos'!$E$23:$E$39,'Base Grupo de Produtos'!$F$23:$F$39)</f>
        <v>0</v>
      </c>
      <c r="Z862" s="56">
        <f>_xlfn.XLOOKUP($N862,'Calculo Leads Conveniencia'!$A$77:$A$104,'Calculo Leads Conveniencia'!M$77:M$104)*_xlfn.XLOOKUP($P862,'Base Grupo de Produtos'!$E$23:$E$39,'Base Grupo de Produtos'!$F$23:$F$39)</f>
        <v>0</v>
      </c>
      <c r="AA862" s="56">
        <f>_xlfn.XLOOKUP($N862,'Calculo Leads Conveniencia'!$A$77:$A$104,'Calculo Leads Conveniencia'!N$77:N$104)*_xlfn.XLOOKUP($P862,'Base Grupo de Produtos'!$E$23:$E$39,'Base Grupo de Produtos'!$F$23:$F$39)</f>
        <v>0</v>
      </c>
      <c r="AB862" s="56">
        <f>_xlfn.XLOOKUP($N862,'Calculo Leads Conveniencia'!$A$77:$A$104,'Calculo Leads Conveniencia'!O$77:O$104)*_xlfn.XLOOKUP($P862,'Base Grupo de Produtos'!$E$23:$E$39,'Base Grupo de Produtos'!$F$23:$F$39)</f>
        <v>0</v>
      </c>
      <c r="AC862" s="61">
        <f t="shared" si="851"/>
        <v>0</v>
      </c>
      <c r="AD862" s="28"/>
      <c r="AE862" s="12"/>
      <c r="AF862" s="29"/>
      <c r="AG862" s="9"/>
      <c r="AH862" s="10"/>
      <c r="AI862" s="9"/>
      <c r="AJ862" s="11"/>
      <c r="AK862" s="9"/>
      <c r="AL862" s="13"/>
      <c r="AM862" s="9"/>
    </row>
    <row r="863" spans="1:39" x14ac:dyDescent="0.3">
      <c r="A863" s="2" t="str">
        <f t="shared" si="865"/>
        <v>NÃO</v>
      </c>
      <c r="B863" s="2" t="str">
        <f>_xlfn.XLOOKUP($N863,'Base de Grupos'!$A:$A,'Base de Grupos'!$D:$D)</f>
        <v>1000065763</v>
      </c>
      <c r="C863" s="5" t="str">
        <f>_xlfn.XLOOKUP($N863,'Base de Grupos'!$A:$A,'Base de Grupos'!$E:$E)</f>
        <v>CANAL VENDA INTERNA</v>
      </c>
      <c r="D863" s="5" t="str">
        <f>_xlfn.XLOOKUP($N863,'Base de Grupos'!$A:$A,'Base de Grupos'!$F:$F)</f>
        <v>1000065763</v>
      </c>
      <c r="E863" s="2" t="str">
        <f>_xlfn.XLOOKUP($N863,'Base de Grupos'!$A:$A,'Base de Grupos'!$G:$G)</f>
        <v>CANAL VENDA INTERNA</v>
      </c>
      <c r="F863" s="2" t="str">
        <f>_xlfn.XLOOKUP($N863,'Base de Grupos'!$A:$A,'Base de Grupos'!$H:$H)</f>
        <v>1000174119</v>
      </c>
      <c r="G863" s="5" t="str">
        <f>_xlfn.XLOOKUP($N863,'Base de Grupos'!$A:$A,'Base de Grupos'!$I:$I)</f>
        <v>REGIONAL VENDA INTERNA - CONVENIENCIA</v>
      </c>
      <c r="H863" s="5" t="str">
        <f>_xlfn.XLOOKUP($N863,'Base de Grupos'!$A:$A,'Base de Grupos'!$J:$J)</f>
        <v>1000174119</v>
      </c>
      <c r="I863" s="2" t="str">
        <f>_xlfn.XLOOKUP($N863,'Base de Grupos'!$A:$A,'Base de Grupos'!$K:$K)</f>
        <v>REGIONAL VENDA INTERNA - CONVENIENCIA</v>
      </c>
      <c r="J863" s="2" t="str">
        <f>_xlfn.XLOOKUP($N863,'Base de Grupos'!$A:$A,'Base de Grupos'!$L:$L)</f>
        <v>1000174119</v>
      </c>
      <c r="K863" s="5" t="str">
        <f>_xlfn.XLOOKUP($N863,'Base de Grupos'!$A:$A,'Base de Grupos'!$M:$M)</f>
        <v>REGIONAL VENDA INTERNA - CONVENIENCIA</v>
      </c>
      <c r="L863" s="5" t="str">
        <f t="shared" si="866"/>
        <v/>
      </c>
      <c r="M863" s="5" t="str">
        <f>_xlfn.XLOOKUP($N863,'Base de Grupos'!$A:$A,'Base de Grupos'!$C:$C)</f>
        <v>TO</v>
      </c>
      <c r="N863" s="3">
        <v>1512</v>
      </c>
      <c r="O863" s="4" t="s">
        <v>271</v>
      </c>
      <c r="P863" s="5" t="s">
        <v>96</v>
      </c>
      <c r="Q863" s="56">
        <v>0</v>
      </c>
      <c r="R863" s="56">
        <v>0</v>
      </c>
      <c r="S863" s="56">
        <v>0</v>
      </c>
      <c r="T863" s="56">
        <f>_xlfn.XLOOKUP($N863,'Calculo Leads Conveniencia'!$A$77:$A$104,'Calculo Leads Conveniencia'!G$77:G$104)*_xlfn.XLOOKUP($P863,'Base Grupo de Produtos'!$E$23:$E$39,'Base Grupo de Produtos'!$F$23:$F$39)</f>
        <v>0</v>
      </c>
      <c r="U863" s="56">
        <f>_xlfn.XLOOKUP($N863,'Calculo Leads Conveniencia'!$A$77:$A$104,'Calculo Leads Conveniencia'!H$77:H$104)*_xlfn.XLOOKUP($P863,'Base Grupo de Produtos'!$E$23:$E$39,'Base Grupo de Produtos'!$F$23:$F$39)</f>
        <v>0</v>
      </c>
      <c r="V863" s="56">
        <f>_xlfn.XLOOKUP($N863,'Calculo Leads Conveniencia'!$A$77:$A$104,'Calculo Leads Conveniencia'!I$77:I$104)*_xlfn.XLOOKUP($P863,'Base Grupo de Produtos'!$E$23:$E$39,'Base Grupo de Produtos'!$F$23:$F$39)</f>
        <v>0</v>
      </c>
      <c r="W863" s="56">
        <f>_xlfn.XLOOKUP($N863,'Calculo Leads Conveniencia'!$A$77:$A$104,'Calculo Leads Conveniencia'!J$77:J$104)*_xlfn.XLOOKUP($P863,'Base Grupo de Produtos'!$E$23:$E$39,'Base Grupo de Produtos'!$F$23:$F$39)</f>
        <v>0</v>
      </c>
      <c r="X863" s="56">
        <f>_xlfn.XLOOKUP($N863,'Calculo Leads Conveniencia'!$A$77:$A$104,'Calculo Leads Conveniencia'!K$77:K$104)*_xlfn.XLOOKUP($P863,'Base Grupo de Produtos'!$E$23:$E$39,'Base Grupo de Produtos'!$F$23:$F$39)</f>
        <v>0</v>
      </c>
      <c r="Y863" s="56">
        <f>_xlfn.XLOOKUP($N863,'Calculo Leads Conveniencia'!$A$77:$A$104,'Calculo Leads Conveniencia'!L$77:L$104)*_xlfn.XLOOKUP($P863,'Base Grupo de Produtos'!$E$23:$E$39,'Base Grupo de Produtos'!$F$23:$F$39)</f>
        <v>0</v>
      </c>
      <c r="Z863" s="56">
        <f>_xlfn.XLOOKUP($N863,'Calculo Leads Conveniencia'!$A$77:$A$104,'Calculo Leads Conveniencia'!M$77:M$104)*_xlfn.XLOOKUP($P863,'Base Grupo de Produtos'!$E$23:$E$39,'Base Grupo de Produtos'!$F$23:$F$39)</f>
        <v>0</v>
      </c>
      <c r="AA863" s="56">
        <f>_xlfn.XLOOKUP($N863,'Calculo Leads Conveniencia'!$A$77:$A$104,'Calculo Leads Conveniencia'!N$77:N$104)*_xlfn.XLOOKUP($P863,'Base Grupo de Produtos'!$E$23:$E$39,'Base Grupo de Produtos'!$F$23:$F$39)</f>
        <v>0</v>
      </c>
      <c r="AB863" s="56">
        <f>_xlfn.XLOOKUP($N863,'Calculo Leads Conveniencia'!$A$77:$A$104,'Calculo Leads Conveniencia'!O$77:O$104)*_xlfn.XLOOKUP($P863,'Base Grupo de Produtos'!$E$23:$E$39,'Base Grupo de Produtos'!$F$23:$F$39)</f>
        <v>0</v>
      </c>
      <c r="AC863" s="61">
        <f t="shared" si="851"/>
        <v>0</v>
      </c>
      <c r="AD863" s="28"/>
      <c r="AE863" s="12"/>
      <c r="AF863" s="29"/>
      <c r="AG863" s="9"/>
      <c r="AH863" s="10"/>
      <c r="AI863" s="9"/>
      <c r="AJ863" s="11"/>
      <c r="AK863" s="9"/>
      <c r="AL863" s="13"/>
      <c r="AM863" s="9"/>
    </row>
    <row r="864" spans="1:39" x14ac:dyDescent="0.3">
      <c r="A864" s="2" t="str">
        <f t="shared" si="865"/>
        <v>NÃO</v>
      </c>
      <c r="B864" s="2" t="str">
        <f>_xlfn.XLOOKUP($N864,'Base de Grupos'!$A:$A,'Base de Grupos'!$D:$D)</f>
        <v>1000065763</v>
      </c>
      <c r="C864" s="5" t="str">
        <f>_xlfn.XLOOKUP($N864,'Base de Grupos'!$A:$A,'Base de Grupos'!$E:$E)</f>
        <v>CANAL VENDA INTERNA</v>
      </c>
      <c r="D864" s="5" t="str">
        <f>_xlfn.XLOOKUP($N864,'Base de Grupos'!$A:$A,'Base de Grupos'!$F:$F)</f>
        <v>1000065763</v>
      </c>
      <c r="E864" s="2" t="str">
        <f>_xlfn.XLOOKUP($N864,'Base de Grupos'!$A:$A,'Base de Grupos'!$G:$G)</f>
        <v>CANAL VENDA INTERNA</v>
      </c>
      <c r="F864" s="2" t="str">
        <f>_xlfn.XLOOKUP($N864,'Base de Grupos'!$A:$A,'Base de Grupos'!$H:$H)</f>
        <v>1000174119</v>
      </c>
      <c r="G864" s="5" t="str">
        <f>_xlfn.XLOOKUP($N864,'Base de Grupos'!$A:$A,'Base de Grupos'!$I:$I)</f>
        <v>REGIONAL VENDA INTERNA - CONVENIENCIA</v>
      </c>
      <c r="H864" s="5" t="str">
        <f>_xlfn.XLOOKUP($N864,'Base de Grupos'!$A:$A,'Base de Grupos'!$J:$J)</f>
        <v>1000174119</v>
      </c>
      <c r="I864" s="2" t="str">
        <f>_xlfn.XLOOKUP($N864,'Base de Grupos'!$A:$A,'Base de Grupos'!$K:$K)</f>
        <v>REGIONAL VENDA INTERNA - CONVENIENCIA</v>
      </c>
      <c r="J864" s="2" t="str">
        <f>_xlfn.XLOOKUP($N864,'Base de Grupos'!$A:$A,'Base de Grupos'!$L:$L)</f>
        <v>1000174119</v>
      </c>
      <c r="K864" s="5" t="str">
        <f>_xlfn.XLOOKUP($N864,'Base de Grupos'!$A:$A,'Base de Grupos'!$M:$M)</f>
        <v>REGIONAL VENDA INTERNA - CONVENIENCIA</v>
      </c>
      <c r="L864" s="5" t="str">
        <f t="shared" si="866"/>
        <v/>
      </c>
      <c r="M864" s="5" t="str">
        <f>_xlfn.XLOOKUP($N864,'Base de Grupos'!$A:$A,'Base de Grupos'!$C:$C)</f>
        <v>TO</v>
      </c>
      <c r="N864" s="3">
        <v>1512</v>
      </c>
      <c r="O864" s="4" t="s">
        <v>271</v>
      </c>
      <c r="P864" s="5" t="s">
        <v>94</v>
      </c>
      <c r="Q864" s="56">
        <v>0</v>
      </c>
      <c r="R864" s="56">
        <v>0</v>
      </c>
      <c r="S864" s="56">
        <v>0</v>
      </c>
      <c r="T864" s="56">
        <f>_xlfn.XLOOKUP($N864,'Calculo Leads Conveniencia'!$A$77:$A$104,'Calculo Leads Conveniencia'!G$77:G$104)*_xlfn.XLOOKUP($P864,'Base Grupo de Produtos'!$E$23:$E$39,'Base Grupo de Produtos'!$F$23:$F$39)</f>
        <v>0</v>
      </c>
      <c r="U864" s="56">
        <f>_xlfn.XLOOKUP($N864,'Calculo Leads Conveniencia'!$A$77:$A$104,'Calculo Leads Conveniencia'!H$77:H$104)*_xlfn.XLOOKUP($P864,'Base Grupo de Produtos'!$E$23:$E$39,'Base Grupo de Produtos'!$F$23:$F$39)</f>
        <v>0</v>
      </c>
      <c r="V864" s="56">
        <f>_xlfn.XLOOKUP($N864,'Calculo Leads Conveniencia'!$A$77:$A$104,'Calculo Leads Conveniencia'!I$77:I$104)*_xlfn.XLOOKUP($P864,'Base Grupo de Produtos'!$E$23:$E$39,'Base Grupo de Produtos'!$F$23:$F$39)</f>
        <v>0</v>
      </c>
      <c r="W864" s="56">
        <f>_xlfn.XLOOKUP($N864,'Calculo Leads Conveniencia'!$A$77:$A$104,'Calculo Leads Conveniencia'!J$77:J$104)*_xlfn.XLOOKUP($P864,'Base Grupo de Produtos'!$E$23:$E$39,'Base Grupo de Produtos'!$F$23:$F$39)</f>
        <v>0</v>
      </c>
      <c r="X864" s="56">
        <f>_xlfn.XLOOKUP($N864,'Calculo Leads Conveniencia'!$A$77:$A$104,'Calculo Leads Conveniencia'!K$77:K$104)*_xlfn.XLOOKUP($P864,'Base Grupo de Produtos'!$E$23:$E$39,'Base Grupo de Produtos'!$F$23:$F$39)</f>
        <v>0</v>
      </c>
      <c r="Y864" s="56">
        <f>_xlfn.XLOOKUP($N864,'Calculo Leads Conveniencia'!$A$77:$A$104,'Calculo Leads Conveniencia'!L$77:L$104)*_xlfn.XLOOKUP($P864,'Base Grupo de Produtos'!$E$23:$E$39,'Base Grupo de Produtos'!$F$23:$F$39)</f>
        <v>0</v>
      </c>
      <c r="Z864" s="56">
        <f>_xlfn.XLOOKUP($N864,'Calculo Leads Conveniencia'!$A$77:$A$104,'Calculo Leads Conveniencia'!M$77:M$104)*_xlfn.XLOOKUP($P864,'Base Grupo de Produtos'!$E$23:$E$39,'Base Grupo de Produtos'!$F$23:$F$39)</f>
        <v>0</v>
      </c>
      <c r="AA864" s="56">
        <f>_xlfn.XLOOKUP($N864,'Calculo Leads Conveniencia'!$A$77:$A$104,'Calculo Leads Conveniencia'!N$77:N$104)*_xlfn.XLOOKUP($P864,'Base Grupo de Produtos'!$E$23:$E$39,'Base Grupo de Produtos'!$F$23:$F$39)</f>
        <v>0</v>
      </c>
      <c r="AB864" s="56">
        <f>_xlfn.XLOOKUP($N864,'Calculo Leads Conveniencia'!$A$77:$A$104,'Calculo Leads Conveniencia'!O$77:O$104)*_xlfn.XLOOKUP($P864,'Base Grupo de Produtos'!$E$23:$E$39,'Base Grupo de Produtos'!$F$23:$F$39)</f>
        <v>0</v>
      </c>
      <c r="AC864" s="61">
        <f t="shared" si="851"/>
        <v>0</v>
      </c>
      <c r="AD864" s="28"/>
      <c r="AE864" s="12"/>
      <c r="AF864" s="29"/>
      <c r="AG864" s="9"/>
      <c r="AH864" s="10"/>
      <c r="AI864" s="9"/>
      <c r="AJ864" s="11"/>
      <c r="AK864" s="9"/>
      <c r="AL864" s="13"/>
      <c r="AM864" s="9"/>
    </row>
    <row r="865" spans="1:39" x14ac:dyDescent="0.3">
      <c r="A865" s="2" t="str">
        <f t="shared" si="865"/>
        <v>NÃO</v>
      </c>
      <c r="B865" s="2" t="str">
        <f>_xlfn.XLOOKUP($N865,'Base de Grupos'!$A:$A,'Base de Grupos'!$D:$D)</f>
        <v>1000065763</v>
      </c>
      <c r="C865" s="5" t="str">
        <f>_xlfn.XLOOKUP($N865,'Base de Grupos'!$A:$A,'Base de Grupos'!$E:$E)</f>
        <v>CANAL VENDA INTERNA</v>
      </c>
      <c r="D865" s="5" t="str">
        <f>_xlfn.XLOOKUP($N865,'Base de Grupos'!$A:$A,'Base de Grupos'!$F:$F)</f>
        <v>1000065763</v>
      </c>
      <c r="E865" s="2" t="str">
        <f>_xlfn.XLOOKUP($N865,'Base de Grupos'!$A:$A,'Base de Grupos'!$G:$G)</f>
        <v>CANAL VENDA INTERNA</v>
      </c>
      <c r="F865" s="2" t="str">
        <f>_xlfn.XLOOKUP($N865,'Base de Grupos'!$A:$A,'Base de Grupos'!$H:$H)</f>
        <v>1000174119</v>
      </c>
      <c r="G865" s="5" t="str">
        <f>_xlfn.XLOOKUP($N865,'Base de Grupos'!$A:$A,'Base de Grupos'!$I:$I)</f>
        <v>REGIONAL VENDA INTERNA - CONVENIENCIA</v>
      </c>
      <c r="H865" s="5" t="str">
        <f>_xlfn.XLOOKUP($N865,'Base de Grupos'!$A:$A,'Base de Grupos'!$J:$J)</f>
        <v>1000174119</v>
      </c>
      <c r="I865" s="2" t="str">
        <f>_xlfn.XLOOKUP($N865,'Base de Grupos'!$A:$A,'Base de Grupos'!$K:$K)</f>
        <v>REGIONAL VENDA INTERNA - CONVENIENCIA</v>
      </c>
      <c r="J865" s="2" t="str">
        <f>_xlfn.XLOOKUP($N865,'Base de Grupos'!$A:$A,'Base de Grupos'!$L:$L)</f>
        <v>1000174119</v>
      </c>
      <c r="K865" s="5" t="str">
        <f>_xlfn.XLOOKUP($N865,'Base de Grupos'!$A:$A,'Base de Grupos'!$M:$M)</f>
        <v>REGIONAL VENDA INTERNA - CONVENIENCIA</v>
      </c>
      <c r="L865" s="5" t="str">
        <f t="shared" si="866"/>
        <v/>
      </c>
      <c r="M865" s="5" t="str">
        <f>_xlfn.XLOOKUP($N865,'Base de Grupos'!$A:$A,'Base de Grupos'!$C:$C)</f>
        <v>TO</v>
      </c>
      <c r="N865" s="3">
        <v>1512</v>
      </c>
      <c r="O865" s="4" t="s">
        <v>271</v>
      </c>
      <c r="P865" s="5" t="s">
        <v>95</v>
      </c>
      <c r="Q865" s="56">
        <v>0</v>
      </c>
      <c r="R865" s="56">
        <v>0</v>
      </c>
      <c r="S865" s="56">
        <v>0</v>
      </c>
      <c r="T865" s="56">
        <f>_xlfn.XLOOKUP($N865,'Calculo Leads Conveniencia'!$A$77:$A$104,'Calculo Leads Conveniencia'!G$77:G$104)*_xlfn.XLOOKUP($P865,'Base Grupo de Produtos'!$E$23:$E$39,'Base Grupo de Produtos'!$F$23:$F$39)</f>
        <v>0</v>
      </c>
      <c r="U865" s="56">
        <f>_xlfn.XLOOKUP($N865,'Calculo Leads Conveniencia'!$A$77:$A$104,'Calculo Leads Conveniencia'!H$77:H$104)*_xlfn.XLOOKUP($P865,'Base Grupo de Produtos'!$E$23:$E$39,'Base Grupo de Produtos'!$F$23:$F$39)</f>
        <v>0</v>
      </c>
      <c r="V865" s="56">
        <f>_xlfn.XLOOKUP($N865,'Calculo Leads Conveniencia'!$A$77:$A$104,'Calculo Leads Conveniencia'!I$77:I$104)*_xlfn.XLOOKUP($P865,'Base Grupo de Produtos'!$E$23:$E$39,'Base Grupo de Produtos'!$F$23:$F$39)</f>
        <v>0</v>
      </c>
      <c r="W865" s="56">
        <f>_xlfn.XLOOKUP($N865,'Calculo Leads Conveniencia'!$A$77:$A$104,'Calculo Leads Conveniencia'!J$77:J$104)*_xlfn.XLOOKUP($P865,'Base Grupo de Produtos'!$E$23:$E$39,'Base Grupo de Produtos'!$F$23:$F$39)</f>
        <v>0</v>
      </c>
      <c r="X865" s="56">
        <f>_xlfn.XLOOKUP($N865,'Calculo Leads Conveniencia'!$A$77:$A$104,'Calculo Leads Conveniencia'!K$77:K$104)*_xlfn.XLOOKUP($P865,'Base Grupo de Produtos'!$E$23:$E$39,'Base Grupo de Produtos'!$F$23:$F$39)</f>
        <v>0</v>
      </c>
      <c r="Y865" s="56">
        <f>_xlfn.XLOOKUP($N865,'Calculo Leads Conveniencia'!$A$77:$A$104,'Calculo Leads Conveniencia'!L$77:L$104)*_xlfn.XLOOKUP($P865,'Base Grupo de Produtos'!$E$23:$E$39,'Base Grupo de Produtos'!$F$23:$F$39)</f>
        <v>0</v>
      </c>
      <c r="Z865" s="56">
        <f>_xlfn.XLOOKUP($N865,'Calculo Leads Conveniencia'!$A$77:$A$104,'Calculo Leads Conveniencia'!M$77:M$104)*_xlfn.XLOOKUP($P865,'Base Grupo de Produtos'!$E$23:$E$39,'Base Grupo de Produtos'!$F$23:$F$39)</f>
        <v>0</v>
      </c>
      <c r="AA865" s="56">
        <f>_xlfn.XLOOKUP($N865,'Calculo Leads Conveniencia'!$A$77:$A$104,'Calculo Leads Conveniencia'!N$77:N$104)*_xlfn.XLOOKUP($P865,'Base Grupo de Produtos'!$E$23:$E$39,'Base Grupo de Produtos'!$F$23:$F$39)</f>
        <v>0</v>
      </c>
      <c r="AB865" s="56">
        <f>_xlfn.XLOOKUP($N865,'Calculo Leads Conveniencia'!$A$77:$A$104,'Calculo Leads Conveniencia'!O$77:O$104)*_xlfn.XLOOKUP($P865,'Base Grupo de Produtos'!$E$23:$E$39,'Base Grupo de Produtos'!$F$23:$F$39)</f>
        <v>0</v>
      </c>
      <c r="AC865" s="61">
        <f t="shared" si="851"/>
        <v>0</v>
      </c>
      <c r="AD865" s="28"/>
      <c r="AE865" s="12"/>
      <c r="AF865" s="29"/>
      <c r="AG865" s="9"/>
      <c r="AH865" s="10"/>
      <c r="AI865" s="9"/>
      <c r="AJ865" s="11"/>
      <c r="AK865" s="9"/>
      <c r="AL865" s="13"/>
      <c r="AM865" s="9"/>
    </row>
    <row r="866" spans="1:39" x14ac:dyDescent="0.3">
      <c r="A866" s="2" t="str">
        <f t="shared" si="865"/>
        <v>NÃO</v>
      </c>
      <c r="B866" s="2" t="str">
        <f>_xlfn.XLOOKUP($N866,'Base de Grupos'!$A:$A,'Base de Grupos'!$D:$D)</f>
        <v>1000065763</v>
      </c>
      <c r="C866" s="5" t="str">
        <f>_xlfn.XLOOKUP($N866,'Base de Grupos'!$A:$A,'Base de Grupos'!$E:$E)</f>
        <v>CANAL VENDA INTERNA</v>
      </c>
      <c r="D866" s="5" t="str">
        <f>_xlfn.XLOOKUP($N866,'Base de Grupos'!$A:$A,'Base de Grupos'!$F:$F)</f>
        <v>1000065763</v>
      </c>
      <c r="E866" s="2" t="str">
        <f>_xlfn.XLOOKUP($N866,'Base de Grupos'!$A:$A,'Base de Grupos'!$G:$G)</f>
        <v>CANAL VENDA INTERNA</v>
      </c>
      <c r="F866" s="2" t="str">
        <f>_xlfn.XLOOKUP($N866,'Base de Grupos'!$A:$A,'Base de Grupos'!$H:$H)</f>
        <v>1000174119</v>
      </c>
      <c r="G866" s="5" t="str">
        <f>_xlfn.XLOOKUP($N866,'Base de Grupos'!$A:$A,'Base de Grupos'!$I:$I)</f>
        <v>REGIONAL VENDA INTERNA - CONVENIENCIA</v>
      </c>
      <c r="H866" s="5" t="str">
        <f>_xlfn.XLOOKUP($N866,'Base de Grupos'!$A:$A,'Base de Grupos'!$J:$J)</f>
        <v>1000174119</v>
      </c>
      <c r="I866" s="2" t="str">
        <f>_xlfn.XLOOKUP($N866,'Base de Grupos'!$A:$A,'Base de Grupos'!$K:$K)</f>
        <v>REGIONAL VENDA INTERNA - CONVENIENCIA</v>
      </c>
      <c r="J866" s="2" t="str">
        <f>_xlfn.XLOOKUP($N866,'Base de Grupos'!$A:$A,'Base de Grupos'!$L:$L)</f>
        <v>1000174119</v>
      </c>
      <c r="K866" s="5" t="str">
        <f>_xlfn.XLOOKUP($N866,'Base de Grupos'!$A:$A,'Base de Grupos'!$M:$M)</f>
        <v>REGIONAL VENDA INTERNA - CONVENIENCIA</v>
      </c>
      <c r="L866" s="5" t="str">
        <f t="shared" si="866"/>
        <v/>
      </c>
      <c r="M866" s="5" t="str">
        <f>_xlfn.XLOOKUP($N866,'Base de Grupos'!$A:$A,'Base de Grupos'!$C:$C)</f>
        <v>TO</v>
      </c>
      <c r="N866" s="3">
        <v>1512</v>
      </c>
      <c r="O866" s="4" t="s">
        <v>271</v>
      </c>
      <c r="P866" s="5" t="s">
        <v>93</v>
      </c>
      <c r="Q866" s="56">
        <v>0</v>
      </c>
      <c r="R866" s="56">
        <v>0</v>
      </c>
      <c r="S866" s="56">
        <v>0</v>
      </c>
      <c r="T866" s="56">
        <f>_xlfn.XLOOKUP($N866,'Calculo Leads Conveniencia'!$A$77:$A$104,'Calculo Leads Conveniencia'!G$77:G$104)*_xlfn.XLOOKUP($P866,'Base Grupo de Produtos'!$E$23:$E$39,'Base Grupo de Produtos'!$F$23:$F$39)</f>
        <v>0</v>
      </c>
      <c r="U866" s="56">
        <f>_xlfn.XLOOKUP($N866,'Calculo Leads Conveniencia'!$A$77:$A$104,'Calculo Leads Conveniencia'!H$77:H$104)*_xlfn.XLOOKUP($P866,'Base Grupo de Produtos'!$E$23:$E$39,'Base Grupo de Produtos'!$F$23:$F$39)</f>
        <v>0</v>
      </c>
      <c r="V866" s="56">
        <f>_xlfn.XLOOKUP($N866,'Calculo Leads Conveniencia'!$A$77:$A$104,'Calculo Leads Conveniencia'!I$77:I$104)*_xlfn.XLOOKUP($P866,'Base Grupo de Produtos'!$E$23:$E$39,'Base Grupo de Produtos'!$F$23:$F$39)</f>
        <v>0</v>
      </c>
      <c r="W866" s="56">
        <f>_xlfn.XLOOKUP($N866,'Calculo Leads Conveniencia'!$A$77:$A$104,'Calculo Leads Conveniencia'!J$77:J$104)*_xlfn.XLOOKUP($P866,'Base Grupo de Produtos'!$E$23:$E$39,'Base Grupo de Produtos'!$F$23:$F$39)</f>
        <v>0</v>
      </c>
      <c r="X866" s="56">
        <f>_xlfn.XLOOKUP($N866,'Calculo Leads Conveniencia'!$A$77:$A$104,'Calculo Leads Conveniencia'!K$77:K$104)*_xlfn.XLOOKUP($P866,'Base Grupo de Produtos'!$E$23:$E$39,'Base Grupo de Produtos'!$F$23:$F$39)</f>
        <v>0</v>
      </c>
      <c r="Y866" s="56">
        <f>_xlfn.XLOOKUP($N866,'Calculo Leads Conveniencia'!$A$77:$A$104,'Calculo Leads Conveniencia'!L$77:L$104)*_xlfn.XLOOKUP($P866,'Base Grupo de Produtos'!$E$23:$E$39,'Base Grupo de Produtos'!$F$23:$F$39)</f>
        <v>0</v>
      </c>
      <c r="Z866" s="56">
        <f>_xlfn.XLOOKUP($N866,'Calculo Leads Conveniencia'!$A$77:$A$104,'Calculo Leads Conveniencia'!M$77:M$104)*_xlfn.XLOOKUP($P866,'Base Grupo de Produtos'!$E$23:$E$39,'Base Grupo de Produtos'!$F$23:$F$39)</f>
        <v>0</v>
      </c>
      <c r="AA866" s="56">
        <f>_xlfn.XLOOKUP($N866,'Calculo Leads Conveniencia'!$A$77:$A$104,'Calculo Leads Conveniencia'!N$77:N$104)*_xlfn.XLOOKUP($P866,'Base Grupo de Produtos'!$E$23:$E$39,'Base Grupo de Produtos'!$F$23:$F$39)</f>
        <v>0</v>
      </c>
      <c r="AB866" s="56">
        <f>_xlfn.XLOOKUP($N866,'Calculo Leads Conveniencia'!$A$77:$A$104,'Calculo Leads Conveniencia'!O$77:O$104)*_xlfn.XLOOKUP($P866,'Base Grupo de Produtos'!$E$23:$E$39,'Base Grupo de Produtos'!$F$23:$F$39)</f>
        <v>0</v>
      </c>
      <c r="AC866" s="61">
        <f t="shared" si="851"/>
        <v>0</v>
      </c>
      <c r="AD866" s="28"/>
      <c r="AE866" s="12"/>
      <c r="AF866" s="29"/>
      <c r="AG866" s="9"/>
      <c r="AH866" s="10"/>
      <c r="AI866" s="9"/>
      <c r="AJ866" s="11"/>
      <c r="AK866" s="9"/>
      <c r="AL866" s="13"/>
      <c r="AM866" s="9"/>
    </row>
    <row r="867" spans="1:39" x14ac:dyDescent="0.3">
      <c r="A867" s="2" t="str">
        <f t="shared" si="865"/>
        <v>SIM</v>
      </c>
      <c r="B867" s="2" t="str">
        <f>_xlfn.XLOOKUP($N867,'Base de Grupos'!$A:$A,'Base de Grupos'!$D:$D)</f>
        <v>1000065763</v>
      </c>
      <c r="C867" s="5" t="str">
        <f>_xlfn.XLOOKUP($N867,'Base de Grupos'!$A:$A,'Base de Grupos'!$E:$E)</f>
        <v>CANAL VENDA INTERNA</v>
      </c>
      <c r="D867" s="5" t="str">
        <f>_xlfn.XLOOKUP($N867,'Base de Grupos'!$A:$A,'Base de Grupos'!$F:$F)</f>
        <v>1000065763</v>
      </c>
      <c r="E867" s="2" t="str">
        <f>_xlfn.XLOOKUP($N867,'Base de Grupos'!$A:$A,'Base de Grupos'!$G:$G)</f>
        <v>CANAL VENDA INTERNA</v>
      </c>
      <c r="F867" s="2" t="str">
        <f>_xlfn.XLOOKUP($N867,'Base de Grupos'!$A:$A,'Base de Grupos'!$H:$H)</f>
        <v>1000174119</v>
      </c>
      <c r="G867" s="5" t="str">
        <f>_xlfn.XLOOKUP($N867,'Base de Grupos'!$A:$A,'Base de Grupos'!$I:$I)</f>
        <v>REGIONAL VENDA INTERNA - CONVENIENCIA</v>
      </c>
      <c r="H867" s="5" t="str">
        <f>_xlfn.XLOOKUP($N867,'Base de Grupos'!$A:$A,'Base de Grupos'!$J:$J)</f>
        <v>1000174119</v>
      </c>
      <c r="I867" s="2" t="str">
        <f>_xlfn.XLOOKUP($N867,'Base de Grupos'!$A:$A,'Base de Grupos'!$K:$K)</f>
        <v>REGIONAL VENDA INTERNA - CONVENIENCIA</v>
      </c>
      <c r="J867" s="2" t="str">
        <f>_xlfn.XLOOKUP($N867,'Base de Grupos'!$A:$A,'Base de Grupos'!$L:$L)</f>
        <v>1000174119</v>
      </c>
      <c r="K867" s="5" t="str">
        <f>_xlfn.XLOOKUP($N867,'Base de Grupos'!$A:$A,'Base de Grupos'!$M:$M)</f>
        <v>REGIONAL VENDA INTERNA - CONVENIENCIA</v>
      </c>
      <c r="L867" s="5">
        <f t="shared" si="866"/>
        <v>1</v>
      </c>
      <c r="M867" s="5" t="str">
        <f>_xlfn.XLOOKUP($N867,'Base de Grupos'!$A:$A,'Base de Grupos'!$C:$C)</f>
        <v>RO</v>
      </c>
      <c r="N867" s="3">
        <v>1513</v>
      </c>
      <c r="O867" s="4" t="s">
        <v>272</v>
      </c>
      <c r="P867" s="5" t="s">
        <v>342</v>
      </c>
      <c r="Q867" s="56">
        <f t="shared" ref="Q867" si="867">SUM(Q868:Q884)</f>
        <v>0</v>
      </c>
      <c r="R867" s="56">
        <f t="shared" ref="R867" si="868">SUM(R868:R884)</f>
        <v>0</v>
      </c>
      <c r="S867" s="56">
        <f t="shared" ref="S867" si="869">SUM(S868:S884)</f>
        <v>0</v>
      </c>
      <c r="T867" s="56">
        <f t="shared" ref="T867" si="870">SUM(T868:T884)</f>
        <v>0</v>
      </c>
      <c r="U867" s="56">
        <f t="shared" ref="U867" si="871">SUM(U868:U884)</f>
        <v>0</v>
      </c>
      <c r="V867" s="56">
        <f t="shared" ref="V867" si="872">SUM(V868:V884)</f>
        <v>0</v>
      </c>
      <c r="W867" s="56">
        <f t="shared" ref="W867" si="873">SUM(W868:W884)</f>
        <v>0</v>
      </c>
      <c r="X867" s="56">
        <f t="shared" ref="X867" si="874">SUM(X868:X884)</f>
        <v>0</v>
      </c>
      <c r="Y867" s="56">
        <f t="shared" ref="Y867" si="875">SUM(Y868:Y884)</f>
        <v>0</v>
      </c>
      <c r="Z867" s="56">
        <f t="shared" ref="Z867" si="876">SUM(Z868:Z884)</f>
        <v>0</v>
      </c>
      <c r="AA867" s="56">
        <f t="shared" ref="AA867" si="877">SUM(AA868:AA884)</f>
        <v>0</v>
      </c>
      <c r="AB867" s="56">
        <f t="shared" ref="AB867" si="878">SUM(AB868:AB884)</f>
        <v>0</v>
      </c>
      <c r="AC867" s="56">
        <f t="shared" ref="AC867" si="879">SUM(AC868:AC884)</f>
        <v>0</v>
      </c>
      <c r="AD867" s="28"/>
      <c r="AE867" s="12"/>
      <c r="AF867" s="29"/>
      <c r="AG867" s="9"/>
      <c r="AH867" s="10"/>
      <c r="AI867" s="9"/>
      <c r="AJ867" s="11"/>
      <c r="AK867" s="9"/>
      <c r="AL867" s="13"/>
      <c r="AM867" s="9"/>
    </row>
    <row r="868" spans="1:39" x14ac:dyDescent="0.3">
      <c r="A868" s="2" t="str">
        <f t="shared" si="865"/>
        <v>NÃO</v>
      </c>
      <c r="B868" s="2" t="str">
        <f>_xlfn.XLOOKUP($N868,'Base de Grupos'!$A:$A,'Base de Grupos'!$D:$D)</f>
        <v>1000065763</v>
      </c>
      <c r="C868" s="5" t="str">
        <f>_xlfn.XLOOKUP($N868,'Base de Grupos'!$A:$A,'Base de Grupos'!$E:$E)</f>
        <v>CANAL VENDA INTERNA</v>
      </c>
      <c r="D868" s="5" t="str">
        <f>_xlfn.XLOOKUP($N868,'Base de Grupos'!$A:$A,'Base de Grupos'!$F:$F)</f>
        <v>1000065763</v>
      </c>
      <c r="E868" s="2" t="str">
        <f>_xlfn.XLOOKUP($N868,'Base de Grupos'!$A:$A,'Base de Grupos'!$G:$G)</f>
        <v>CANAL VENDA INTERNA</v>
      </c>
      <c r="F868" s="2" t="str">
        <f>_xlfn.XLOOKUP($N868,'Base de Grupos'!$A:$A,'Base de Grupos'!$H:$H)</f>
        <v>1000174119</v>
      </c>
      <c r="G868" s="5" t="str">
        <f>_xlfn.XLOOKUP($N868,'Base de Grupos'!$A:$A,'Base de Grupos'!$I:$I)</f>
        <v>REGIONAL VENDA INTERNA - CONVENIENCIA</v>
      </c>
      <c r="H868" s="5" t="str">
        <f>_xlfn.XLOOKUP($N868,'Base de Grupos'!$A:$A,'Base de Grupos'!$J:$J)</f>
        <v>1000174119</v>
      </c>
      <c r="I868" s="2" t="str">
        <f>_xlfn.XLOOKUP($N868,'Base de Grupos'!$A:$A,'Base de Grupos'!$K:$K)</f>
        <v>REGIONAL VENDA INTERNA - CONVENIENCIA</v>
      </c>
      <c r="J868" s="2" t="str">
        <f>_xlfn.XLOOKUP($N868,'Base de Grupos'!$A:$A,'Base de Grupos'!$L:$L)</f>
        <v>1000174119</v>
      </c>
      <c r="K868" s="5" t="str">
        <f>_xlfn.XLOOKUP($N868,'Base de Grupos'!$A:$A,'Base de Grupos'!$M:$M)</f>
        <v>REGIONAL VENDA INTERNA - CONVENIENCIA</v>
      </c>
      <c r="L868" s="5" t="str">
        <f t="shared" si="866"/>
        <v/>
      </c>
      <c r="M868" s="5" t="str">
        <f>_xlfn.XLOOKUP($N868,'Base de Grupos'!$A:$A,'Base de Grupos'!$C:$C)</f>
        <v>RO</v>
      </c>
      <c r="N868" s="3">
        <v>1513</v>
      </c>
      <c r="O868" s="4" t="s">
        <v>272</v>
      </c>
      <c r="P868" s="5" t="s">
        <v>81</v>
      </c>
      <c r="Q868" s="56">
        <v>0</v>
      </c>
      <c r="R868" s="56">
        <v>0</v>
      </c>
      <c r="S868" s="56">
        <v>0</v>
      </c>
      <c r="T868" s="56">
        <f>_xlfn.XLOOKUP($N868,'Calculo Leads Conveniencia'!$A$77:$A$104,'Calculo Leads Conveniencia'!G$77:G$104)*_xlfn.XLOOKUP($P868,'Base Grupo de Produtos'!$E$23:$E$39,'Base Grupo de Produtos'!$F$23:$F$39)</f>
        <v>0</v>
      </c>
      <c r="U868" s="56">
        <f>_xlfn.XLOOKUP($N868,'Calculo Leads Conveniencia'!$A$77:$A$104,'Calculo Leads Conveniencia'!H$77:H$104)*_xlfn.XLOOKUP($P868,'Base Grupo de Produtos'!$E$23:$E$39,'Base Grupo de Produtos'!$F$23:$F$39)</f>
        <v>0</v>
      </c>
      <c r="V868" s="56">
        <f>_xlfn.XLOOKUP($N868,'Calculo Leads Conveniencia'!$A$77:$A$104,'Calculo Leads Conveniencia'!I$77:I$104)*_xlfn.XLOOKUP($P868,'Base Grupo de Produtos'!$E$23:$E$39,'Base Grupo de Produtos'!$F$23:$F$39)</f>
        <v>0</v>
      </c>
      <c r="W868" s="56">
        <f>_xlfn.XLOOKUP($N868,'Calculo Leads Conveniencia'!$A$77:$A$104,'Calculo Leads Conveniencia'!J$77:J$104)*_xlfn.XLOOKUP($P868,'Base Grupo de Produtos'!$E$23:$E$39,'Base Grupo de Produtos'!$F$23:$F$39)</f>
        <v>0</v>
      </c>
      <c r="X868" s="56">
        <f>_xlfn.XLOOKUP($N868,'Calculo Leads Conveniencia'!$A$77:$A$104,'Calculo Leads Conveniencia'!K$77:K$104)*_xlfn.XLOOKUP($P868,'Base Grupo de Produtos'!$E$23:$E$39,'Base Grupo de Produtos'!$F$23:$F$39)</f>
        <v>0</v>
      </c>
      <c r="Y868" s="56">
        <f>_xlfn.XLOOKUP($N868,'Calculo Leads Conveniencia'!$A$77:$A$104,'Calculo Leads Conveniencia'!L$77:L$104)*_xlfn.XLOOKUP($P868,'Base Grupo de Produtos'!$E$23:$E$39,'Base Grupo de Produtos'!$F$23:$F$39)</f>
        <v>0</v>
      </c>
      <c r="Z868" s="56">
        <f>_xlfn.XLOOKUP($N868,'Calculo Leads Conveniencia'!$A$77:$A$104,'Calculo Leads Conveniencia'!M$77:M$104)*_xlfn.XLOOKUP($P868,'Base Grupo de Produtos'!$E$23:$E$39,'Base Grupo de Produtos'!$F$23:$F$39)</f>
        <v>0</v>
      </c>
      <c r="AA868" s="56">
        <f>_xlfn.XLOOKUP($N868,'Calculo Leads Conveniencia'!$A$77:$A$104,'Calculo Leads Conveniencia'!N$77:N$104)*_xlfn.XLOOKUP($P868,'Base Grupo de Produtos'!$E$23:$E$39,'Base Grupo de Produtos'!$F$23:$F$39)</f>
        <v>0</v>
      </c>
      <c r="AB868" s="56">
        <f>_xlfn.XLOOKUP($N868,'Calculo Leads Conveniencia'!$A$77:$A$104,'Calculo Leads Conveniencia'!O$77:O$104)*_xlfn.XLOOKUP($P868,'Base Grupo de Produtos'!$E$23:$E$39,'Base Grupo de Produtos'!$F$23:$F$39)</f>
        <v>0</v>
      </c>
      <c r="AC868" s="61">
        <f t="shared" si="851"/>
        <v>0</v>
      </c>
      <c r="AD868" s="28"/>
      <c r="AE868" s="12"/>
      <c r="AF868" s="29"/>
      <c r="AG868" s="9"/>
      <c r="AH868" s="10"/>
      <c r="AI868" s="9"/>
      <c r="AJ868" s="11"/>
      <c r="AK868" s="9"/>
      <c r="AL868" s="13"/>
      <c r="AM868" s="9"/>
    </row>
    <row r="869" spans="1:39" x14ac:dyDescent="0.3">
      <c r="A869" s="2" t="str">
        <f t="shared" si="865"/>
        <v>NÃO</v>
      </c>
      <c r="B869" s="2" t="str">
        <f>_xlfn.XLOOKUP($N869,'Base de Grupos'!$A:$A,'Base de Grupos'!$D:$D)</f>
        <v>1000065763</v>
      </c>
      <c r="C869" s="5" t="str">
        <f>_xlfn.XLOOKUP($N869,'Base de Grupos'!$A:$A,'Base de Grupos'!$E:$E)</f>
        <v>CANAL VENDA INTERNA</v>
      </c>
      <c r="D869" s="5" t="str">
        <f>_xlfn.XLOOKUP($N869,'Base de Grupos'!$A:$A,'Base de Grupos'!$F:$F)</f>
        <v>1000065763</v>
      </c>
      <c r="E869" s="2" t="str">
        <f>_xlfn.XLOOKUP($N869,'Base de Grupos'!$A:$A,'Base de Grupos'!$G:$G)</f>
        <v>CANAL VENDA INTERNA</v>
      </c>
      <c r="F869" s="2" t="str">
        <f>_xlfn.XLOOKUP($N869,'Base de Grupos'!$A:$A,'Base de Grupos'!$H:$H)</f>
        <v>1000174119</v>
      </c>
      <c r="G869" s="5" t="str">
        <f>_xlfn.XLOOKUP($N869,'Base de Grupos'!$A:$A,'Base de Grupos'!$I:$I)</f>
        <v>REGIONAL VENDA INTERNA - CONVENIENCIA</v>
      </c>
      <c r="H869" s="5" t="str">
        <f>_xlfn.XLOOKUP($N869,'Base de Grupos'!$A:$A,'Base de Grupos'!$J:$J)</f>
        <v>1000174119</v>
      </c>
      <c r="I869" s="2" t="str">
        <f>_xlfn.XLOOKUP($N869,'Base de Grupos'!$A:$A,'Base de Grupos'!$K:$K)</f>
        <v>REGIONAL VENDA INTERNA - CONVENIENCIA</v>
      </c>
      <c r="J869" s="2" t="str">
        <f>_xlfn.XLOOKUP($N869,'Base de Grupos'!$A:$A,'Base de Grupos'!$L:$L)</f>
        <v>1000174119</v>
      </c>
      <c r="K869" s="5" t="str">
        <f>_xlfn.XLOOKUP($N869,'Base de Grupos'!$A:$A,'Base de Grupos'!$M:$M)</f>
        <v>REGIONAL VENDA INTERNA - CONVENIENCIA</v>
      </c>
      <c r="L869" s="5" t="str">
        <f t="shared" si="866"/>
        <v/>
      </c>
      <c r="M869" s="5" t="str">
        <f>_xlfn.XLOOKUP($N869,'Base de Grupos'!$A:$A,'Base de Grupos'!$C:$C)</f>
        <v>RO</v>
      </c>
      <c r="N869" s="3">
        <v>1513</v>
      </c>
      <c r="O869" s="4" t="s">
        <v>272</v>
      </c>
      <c r="P869" s="5" t="s">
        <v>82</v>
      </c>
      <c r="Q869" s="56">
        <v>0</v>
      </c>
      <c r="R869" s="56">
        <v>0</v>
      </c>
      <c r="S869" s="56">
        <v>0</v>
      </c>
      <c r="T869" s="56">
        <f>_xlfn.XLOOKUP($N869,'Calculo Leads Conveniencia'!$A$77:$A$104,'Calculo Leads Conveniencia'!G$77:G$104)*_xlfn.XLOOKUP($P869,'Base Grupo de Produtos'!$E$23:$E$39,'Base Grupo de Produtos'!$F$23:$F$39)</f>
        <v>0</v>
      </c>
      <c r="U869" s="56">
        <f>_xlfn.XLOOKUP($N869,'Calculo Leads Conveniencia'!$A$77:$A$104,'Calculo Leads Conveniencia'!H$77:H$104)*_xlfn.XLOOKUP($P869,'Base Grupo de Produtos'!$E$23:$E$39,'Base Grupo de Produtos'!$F$23:$F$39)</f>
        <v>0</v>
      </c>
      <c r="V869" s="56">
        <f>_xlfn.XLOOKUP($N869,'Calculo Leads Conveniencia'!$A$77:$A$104,'Calculo Leads Conveniencia'!I$77:I$104)*_xlfn.XLOOKUP($P869,'Base Grupo de Produtos'!$E$23:$E$39,'Base Grupo de Produtos'!$F$23:$F$39)</f>
        <v>0</v>
      </c>
      <c r="W869" s="56">
        <f>_xlfn.XLOOKUP($N869,'Calculo Leads Conveniencia'!$A$77:$A$104,'Calculo Leads Conveniencia'!J$77:J$104)*_xlfn.XLOOKUP($P869,'Base Grupo de Produtos'!$E$23:$E$39,'Base Grupo de Produtos'!$F$23:$F$39)</f>
        <v>0</v>
      </c>
      <c r="X869" s="56">
        <f>_xlfn.XLOOKUP($N869,'Calculo Leads Conveniencia'!$A$77:$A$104,'Calculo Leads Conveniencia'!K$77:K$104)*_xlfn.XLOOKUP($P869,'Base Grupo de Produtos'!$E$23:$E$39,'Base Grupo de Produtos'!$F$23:$F$39)</f>
        <v>0</v>
      </c>
      <c r="Y869" s="56">
        <f>_xlfn.XLOOKUP($N869,'Calculo Leads Conveniencia'!$A$77:$A$104,'Calculo Leads Conveniencia'!L$77:L$104)*_xlfn.XLOOKUP($P869,'Base Grupo de Produtos'!$E$23:$E$39,'Base Grupo de Produtos'!$F$23:$F$39)</f>
        <v>0</v>
      </c>
      <c r="Z869" s="56">
        <f>_xlfn.XLOOKUP($N869,'Calculo Leads Conveniencia'!$A$77:$A$104,'Calculo Leads Conveniencia'!M$77:M$104)*_xlfn.XLOOKUP($P869,'Base Grupo de Produtos'!$E$23:$E$39,'Base Grupo de Produtos'!$F$23:$F$39)</f>
        <v>0</v>
      </c>
      <c r="AA869" s="56">
        <f>_xlfn.XLOOKUP($N869,'Calculo Leads Conveniencia'!$A$77:$A$104,'Calculo Leads Conveniencia'!N$77:N$104)*_xlfn.XLOOKUP($P869,'Base Grupo de Produtos'!$E$23:$E$39,'Base Grupo de Produtos'!$F$23:$F$39)</f>
        <v>0</v>
      </c>
      <c r="AB869" s="56">
        <f>_xlfn.XLOOKUP($N869,'Calculo Leads Conveniencia'!$A$77:$A$104,'Calculo Leads Conveniencia'!O$77:O$104)*_xlfn.XLOOKUP($P869,'Base Grupo de Produtos'!$E$23:$E$39,'Base Grupo de Produtos'!$F$23:$F$39)</f>
        <v>0</v>
      </c>
      <c r="AC869" s="61">
        <f t="shared" si="851"/>
        <v>0</v>
      </c>
      <c r="AD869" s="28"/>
      <c r="AE869" s="12"/>
      <c r="AF869" s="29"/>
      <c r="AG869" s="9"/>
      <c r="AH869" s="10"/>
      <c r="AI869" s="9"/>
      <c r="AJ869" s="11"/>
      <c r="AK869" s="9"/>
      <c r="AL869" s="13"/>
      <c r="AM869" s="9"/>
    </row>
    <row r="870" spans="1:39" x14ac:dyDescent="0.3">
      <c r="A870" s="2" t="str">
        <f t="shared" si="865"/>
        <v>NÃO</v>
      </c>
      <c r="B870" s="2" t="str">
        <f>_xlfn.XLOOKUP($N870,'Base de Grupos'!$A:$A,'Base de Grupos'!$D:$D)</f>
        <v>1000065763</v>
      </c>
      <c r="C870" s="5" t="str">
        <f>_xlfn.XLOOKUP($N870,'Base de Grupos'!$A:$A,'Base de Grupos'!$E:$E)</f>
        <v>CANAL VENDA INTERNA</v>
      </c>
      <c r="D870" s="5" t="str">
        <f>_xlfn.XLOOKUP($N870,'Base de Grupos'!$A:$A,'Base de Grupos'!$F:$F)</f>
        <v>1000065763</v>
      </c>
      <c r="E870" s="2" t="str">
        <f>_xlfn.XLOOKUP($N870,'Base de Grupos'!$A:$A,'Base de Grupos'!$G:$G)</f>
        <v>CANAL VENDA INTERNA</v>
      </c>
      <c r="F870" s="2" t="str">
        <f>_xlfn.XLOOKUP($N870,'Base de Grupos'!$A:$A,'Base de Grupos'!$H:$H)</f>
        <v>1000174119</v>
      </c>
      <c r="G870" s="5" t="str">
        <f>_xlfn.XLOOKUP($N870,'Base de Grupos'!$A:$A,'Base de Grupos'!$I:$I)</f>
        <v>REGIONAL VENDA INTERNA - CONVENIENCIA</v>
      </c>
      <c r="H870" s="5" t="str">
        <f>_xlfn.XLOOKUP($N870,'Base de Grupos'!$A:$A,'Base de Grupos'!$J:$J)</f>
        <v>1000174119</v>
      </c>
      <c r="I870" s="2" t="str">
        <f>_xlfn.XLOOKUP($N870,'Base de Grupos'!$A:$A,'Base de Grupos'!$K:$K)</f>
        <v>REGIONAL VENDA INTERNA - CONVENIENCIA</v>
      </c>
      <c r="J870" s="2" t="str">
        <f>_xlfn.XLOOKUP($N870,'Base de Grupos'!$A:$A,'Base de Grupos'!$L:$L)</f>
        <v>1000174119</v>
      </c>
      <c r="K870" s="5" t="str">
        <f>_xlfn.XLOOKUP($N870,'Base de Grupos'!$A:$A,'Base de Grupos'!$M:$M)</f>
        <v>REGIONAL VENDA INTERNA - CONVENIENCIA</v>
      </c>
      <c r="L870" s="5" t="str">
        <f t="shared" si="866"/>
        <v/>
      </c>
      <c r="M870" s="5" t="str">
        <f>_xlfn.XLOOKUP($N870,'Base de Grupos'!$A:$A,'Base de Grupos'!$C:$C)</f>
        <v>RO</v>
      </c>
      <c r="N870" s="3">
        <v>1513</v>
      </c>
      <c r="O870" s="4" t="s">
        <v>272</v>
      </c>
      <c r="P870" s="5" t="s">
        <v>84</v>
      </c>
      <c r="Q870" s="56">
        <v>0</v>
      </c>
      <c r="R870" s="56">
        <v>0</v>
      </c>
      <c r="S870" s="56">
        <v>0</v>
      </c>
      <c r="T870" s="56">
        <f>_xlfn.XLOOKUP($N870,'Calculo Leads Conveniencia'!$A$77:$A$104,'Calculo Leads Conveniencia'!G$77:G$104)*_xlfn.XLOOKUP($P870,'Base Grupo de Produtos'!$E$23:$E$39,'Base Grupo de Produtos'!$F$23:$F$39)</f>
        <v>0</v>
      </c>
      <c r="U870" s="56">
        <f>_xlfn.XLOOKUP($N870,'Calculo Leads Conveniencia'!$A$77:$A$104,'Calculo Leads Conveniencia'!H$77:H$104)*_xlfn.XLOOKUP($P870,'Base Grupo de Produtos'!$E$23:$E$39,'Base Grupo de Produtos'!$F$23:$F$39)</f>
        <v>0</v>
      </c>
      <c r="V870" s="56">
        <f>_xlfn.XLOOKUP($N870,'Calculo Leads Conveniencia'!$A$77:$A$104,'Calculo Leads Conveniencia'!I$77:I$104)*_xlfn.XLOOKUP($P870,'Base Grupo de Produtos'!$E$23:$E$39,'Base Grupo de Produtos'!$F$23:$F$39)</f>
        <v>0</v>
      </c>
      <c r="W870" s="56">
        <f>_xlfn.XLOOKUP($N870,'Calculo Leads Conveniencia'!$A$77:$A$104,'Calculo Leads Conveniencia'!J$77:J$104)*_xlfn.XLOOKUP($P870,'Base Grupo de Produtos'!$E$23:$E$39,'Base Grupo de Produtos'!$F$23:$F$39)</f>
        <v>0</v>
      </c>
      <c r="X870" s="56">
        <f>_xlfn.XLOOKUP($N870,'Calculo Leads Conveniencia'!$A$77:$A$104,'Calculo Leads Conveniencia'!K$77:K$104)*_xlfn.XLOOKUP($P870,'Base Grupo de Produtos'!$E$23:$E$39,'Base Grupo de Produtos'!$F$23:$F$39)</f>
        <v>0</v>
      </c>
      <c r="Y870" s="56">
        <f>_xlfn.XLOOKUP($N870,'Calculo Leads Conveniencia'!$A$77:$A$104,'Calculo Leads Conveniencia'!L$77:L$104)*_xlfn.XLOOKUP($P870,'Base Grupo de Produtos'!$E$23:$E$39,'Base Grupo de Produtos'!$F$23:$F$39)</f>
        <v>0</v>
      </c>
      <c r="Z870" s="56">
        <f>_xlfn.XLOOKUP($N870,'Calculo Leads Conveniencia'!$A$77:$A$104,'Calculo Leads Conveniencia'!M$77:M$104)*_xlfn.XLOOKUP($P870,'Base Grupo de Produtos'!$E$23:$E$39,'Base Grupo de Produtos'!$F$23:$F$39)</f>
        <v>0</v>
      </c>
      <c r="AA870" s="56">
        <f>_xlfn.XLOOKUP($N870,'Calculo Leads Conveniencia'!$A$77:$A$104,'Calculo Leads Conveniencia'!N$77:N$104)*_xlfn.XLOOKUP($P870,'Base Grupo de Produtos'!$E$23:$E$39,'Base Grupo de Produtos'!$F$23:$F$39)</f>
        <v>0</v>
      </c>
      <c r="AB870" s="56">
        <f>_xlfn.XLOOKUP($N870,'Calculo Leads Conveniencia'!$A$77:$A$104,'Calculo Leads Conveniencia'!O$77:O$104)*_xlfn.XLOOKUP($P870,'Base Grupo de Produtos'!$E$23:$E$39,'Base Grupo de Produtos'!$F$23:$F$39)</f>
        <v>0</v>
      </c>
      <c r="AC870" s="61">
        <f t="shared" si="851"/>
        <v>0</v>
      </c>
      <c r="AD870" s="28"/>
      <c r="AE870" s="12"/>
      <c r="AF870" s="29"/>
      <c r="AG870" s="9"/>
      <c r="AH870" s="10"/>
      <c r="AI870" s="9"/>
      <c r="AJ870" s="11"/>
      <c r="AK870" s="9"/>
      <c r="AL870" s="13"/>
      <c r="AM870" s="9"/>
    </row>
    <row r="871" spans="1:39" x14ac:dyDescent="0.3">
      <c r="A871" s="2" t="str">
        <f t="shared" si="865"/>
        <v>NÃO</v>
      </c>
      <c r="B871" s="2" t="str">
        <f>_xlfn.XLOOKUP($N871,'Base de Grupos'!$A:$A,'Base de Grupos'!$D:$D)</f>
        <v>1000065763</v>
      </c>
      <c r="C871" s="5" t="str">
        <f>_xlfn.XLOOKUP($N871,'Base de Grupos'!$A:$A,'Base de Grupos'!$E:$E)</f>
        <v>CANAL VENDA INTERNA</v>
      </c>
      <c r="D871" s="5" t="str">
        <f>_xlfn.XLOOKUP($N871,'Base de Grupos'!$A:$A,'Base de Grupos'!$F:$F)</f>
        <v>1000065763</v>
      </c>
      <c r="E871" s="2" t="str">
        <f>_xlfn.XLOOKUP($N871,'Base de Grupos'!$A:$A,'Base de Grupos'!$G:$G)</f>
        <v>CANAL VENDA INTERNA</v>
      </c>
      <c r="F871" s="2" t="str">
        <f>_xlfn.XLOOKUP($N871,'Base de Grupos'!$A:$A,'Base de Grupos'!$H:$H)</f>
        <v>1000174119</v>
      </c>
      <c r="G871" s="5" t="str">
        <f>_xlfn.XLOOKUP($N871,'Base de Grupos'!$A:$A,'Base de Grupos'!$I:$I)</f>
        <v>REGIONAL VENDA INTERNA - CONVENIENCIA</v>
      </c>
      <c r="H871" s="5" t="str">
        <f>_xlfn.XLOOKUP($N871,'Base de Grupos'!$A:$A,'Base de Grupos'!$J:$J)</f>
        <v>1000174119</v>
      </c>
      <c r="I871" s="2" t="str">
        <f>_xlfn.XLOOKUP($N871,'Base de Grupos'!$A:$A,'Base de Grupos'!$K:$K)</f>
        <v>REGIONAL VENDA INTERNA - CONVENIENCIA</v>
      </c>
      <c r="J871" s="2" t="str">
        <f>_xlfn.XLOOKUP($N871,'Base de Grupos'!$A:$A,'Base de Grupos'!$L:$L)</f>
        <v>1000174119</v>
      </c>
      <c r="K871" s="5" t="str">
        <f>_xlfn.XLOOKUP($N871,'Base de Grupos'!$A:$A,'Base de Grupos'!$M:$M)</f>
        <v>REGIONAL VENDA INTERNA - CONVENIENCIA</v>
      </c>
      <c r="L871" s="5" t="str">
        <f t="shared" si="866"/>
        <v/>
      </c>
      <c r="M871" s="5" t="str">
        <f>_xlfn.XLOOKUP($N871,'Base de Grupos'!$A:$A,'Base de Grupos'!$C:$C)</f>
        <v>RO</v>
      </c>
      <c r="N871" s="3">
        <v>1513</v>
      </c>
      <c r="O871" s="4" t="s">
        <v>272</v>
      </c>
      <c r="P871" s="5" t="s">
        <v>83</v>
      </c>
      <c r="Q871" s="56">
        <v>0</v>
      </c>
      <c r="R871" s="56">
        <v>0</v>
      </c>
      <c r="S871" s="56">
        <v>0</v>
      </c>
      <c r="T871" s="56">
        <f>_xlfn.XLOOKUP($N871,'Calculo Leads Conveniencia'!$A$77:$A$104,'Calculo Leads Conveniencia'!G$77:G$104)*_xlfn.XLOOKUP($P871,'Base Grupo de Produtos'!$E$23:$E$39,'Base Grupo de Produtos'!$F$23:$F$39)</f>
        <v>0</v>
      </c>
      <c r="U871" s="56">
        <f>_xlfn.XLOOKUP($N871,'Calculo Leads Conveniencia'!$A$77:$A$104,'Calculo Leads Conveniencia'!H$77:H$104)*_xlfn.XLOOKUP($P871,'Base Grupo de Produtos'!$E$23:$E$39,'Base Grupo de Produtos'!$F$23:$F$39)</f>
        <v>0</v>
      </c>
      <c r="V871" s="56">
        <f>_xlfn.XLOOKUP($N871,'Calculo Leads Conveniencia'!$A$77:$A$104,'Calculo Leads Conveniencia'!I$77:I$104)*_xlfn.XLOOKUP($P871,'Base Grupo de Produtos'!$E$23:$E$39,'Base Grupo de Produtos'!$F$23:$F$39)</f>
        <v>0</v>
      </c>
      <c r="W871" s="56">
        <f>_xlfn.XLOOKUP($N871,'Calculo Leads Conveniencia'!$A$77:$A$104,'Calculo Leads Conveniencia'!J$77:J$104)*_xlfn.XLOOKUP($P871,'Base Grupo de Produtos'!$E$23:$E$39,'Base Grupo de Produtos'!$F$23:$F$39)</f>
        <v>0</v>
      </c>
      <c r="X871" s="56">
        <f>_xlfn.XLOOKUP($N871,'Calculo Leads Conveniencia'!$A$77:$A$104,'Calculo Leads Conveniencia'!K$77:K$104)*_xlfn.XLOOKUP($P871,'Base Grupo de Produtos'!$E$23:$E$39,'Base Grupo de Produtos'!$F$23:$F$39)</f>
        <v>0</v>
      </c>
      <c r="Y871" s="56">
        <f>_xlfn.XLOOKUP($N871,'Calculo Leads Conveniencia'!$A$77:$A$104,'Calculo Leads Conveniencia'!L$77:L$104)*_xlfn.XLOOKUP($P871,'Base Grupo de Produtos'!$E$23:$E$39,'Base Grupo de Produtos'!$F$23:$F$39)</f>
        <v>0</v>
      </c>
      <c r="Z871" s="56">
        <f>_xlfn.XLOOKUP($N871,'Calculo Leads Conveniencia'!$A$77:$A$104,'Calculo Leads Conveniencia'!M$77:M$104)*_xlfn.XLOOKUP($P871,'Base Grupo de Produtos'!$E$23:$E$39,'Base Grupo de Produtos'!$F$23:$F$39)</f>
        <v>0</v>
      </c>
      <c r="AA871" s="56">
        <f>_xlfn.XLOOKUP($N871,'Calculo Leads Conveniencia'!$A$77:$A$104,'Calculo Leads Conveniencia'!N$77:N$104)*_xlfn.XLOOKUP($P871,'Base Grupo de Produtos'!$E$23:$E$39,'Base Grupo de Produtos'!$F$23:$F$39)</f>
        <v>0</v>
      </c>
      <c r="AB871" s="56">
        <f>_xlfn.XLOOKUP($N871,'Calculo Leads Conveniencia'!$A$77:$A$104,'Calculo Leads Conveniencia'!O$77:O$104)*_xlfn.XLOOKUP($P871,'Base Grupo de Produtos'!$E$23:$E$39,'Base Grupo de Produtos'!$F$23:$F$39)</f>
        <v>0</v>
      </c>
      <c r="AC871" s="61">
        <f t="shared" si="851"/>
        <v>0</v>
      </c>
      <c r="AD871" s="28"/>
      <c r="AE871" s="12"/>
      <c r="AF871" s="29"/>
      <c r="AG871" s="9"/>
      <c r="AH871" s="10"/>
      <c r="AI871" s="9"/>
      <c r="AJ871" s="11"/>
      <c r="AK871" s="9"/>
      <c r="AL871" s="13"/>
      <c r="AM871" s="9"/>
    </row>
    <row r="872" spans="1:39" x14ac:dyDescent="0.3">
      <c r="A872" s="2" t="str">
        <f t="shared" si="865"/>
        <v>NÃO</v>
      </c>
      <c r="B872" s="2" t="str">
        <f>_xlfn.XLOOKUP($N872,'Base de Grupos'!$A:$A,'Base de Grupos'!$D:$D)</f>
        <v>1000065763</v>
      </c>
      <c r="C872" s="5" t="str">
        <f>_xlfn.XLOOKUP($N872,'Base de Grupos'!$A:$A,'Base de Grupos'!$E:$E)</f>
        <v>CANAL VENDA INTERNA</v>
      </c>
      <c r="D872" s="5" t="str">
        <f>_xlfn.XLOOKUP($N872,'Base de Grupos'!$A:$A,'Base de Grupos'!$F:$F)</f>
        <v>1000065763</v>
      </c>
      <c r="E872" s="2" t="str">
        <f>_xlfn.XLOOKUP($N872,'Base de Grupos'!$A:$A,'Base de Grupos'!$G:$G)</f>
        <v>CANAL VENDA INTERNA</v>
      </c>
      <c r="F872" s="2" t="str">
        <f>_xlfn.XLOOKUP($N872,'Base de Grupos'!$A:$A,'Base de Grupos'!$H:$H)</f>
        <v>1000174119</v>
      </c>
      <c r="G872" s="5" t="str">
        <f>_xlfn.XLOOKUP($N872,'Base de Grupos'!$A:$A,'Base de Grupos'!$I:$I)</f>
        <v>REGIONAL VENDA INTERNA - CONVENIENCIA</v>
      </c>
      <c r="H872" s="5" t="str">
        <f>_xlfn.XLOOKUP($N872,'Base de Grupos'!$A:$A,'Base de Grupos'!$J:$J)</f>
        <v>1000174119</v>
      </c>
      <c r="I872" s="2" t="str">
        <f>_xlfn.XLOOKUP($N872,'Base de Grupos'!$A:$A,'Base de Grupos'!$K:$K)</f>
        <v>REGIONAL VENDA INTERNA - CONVENIENCIA</v>
      </c>
      <c r="J872" s="2" t="str">
        <f>_xlfn.XLOOKUP($N872,'Base de Grupos'!$A:$A,'Base de Grupos'!$L:$L)</f>
        <v>1000174119</v>
      </c>
      <c r="K872" s="5" t="str">
        <f>_xlfn.XLOOKUP($N872,'Base de Grupos'!$A:$A,'Base de Grupos'!$M:$M)</f>
        <v>REGIONAL VENDA INTERNA - CONVENIENCIA</v>
      </c>
      <c r="L872" s="5" t="str">
        <f t="shared" si="866"/>
        <v/>
      </c>
      <c r="M872" s="5" t="str">
        <f>_xlfn.XLOOKUP($N872,'Base de Grupos'!$A:$A,'Base de Grupos'!$C:$C)</f>
        <v>RO</v>
      </c>
      <c r="N872" s="3">
        <v>1513</v>
      </c>
      <c r="O872" s="4" t="s">
        <v>272</v>
      </c>
      <c r="P872" s="5" t="s">
        <v>87</v>
      </c>
      <c r="Q872" s="56">
        <v>0</v>
      </c>
      <c r="R872" s="56">
        <v>0</v>
      </c>
      <c r="S872" s="56">
        <v>0</v>
      </c>
      <c r="T872" s="56">
        <f>_xlfn.XLOOKUP($N872,'Calculo Leads Conveniencia'!$A$77:$A$104,'Calculo Leads Conveniencia'!G$77:G$104)*_xlfn.XLOOKUP($P872,'Base Grupo de Produtos'!$E$23:$E$39,'Base Grupo de Produtos'!$F$23:$F$39)</f>
        <v>0</v>
      </c>
      <c r="U872" s="56">
        <f>_xlfn.XLOOKUP($N872,'Calculo Leads Conveniencia'!$A$77:$A$104,'Calculo Leads Conveniencia'!H$77:H$104)*_xlfn.XLOOKUP($P872,'Base Grupo de Produtos'!$E$23:$E$39,'Base Grupo de Produtos'!$F$23:$F$39)</f>
        <v>0</v>
      </c>
      <c r="V872" s="56">
        <f>_xlfn.XLOOKUP($N872,'Calculo Leads Conveniencia'!$A$77:$A$104,'Calculo Leads Conveniencia'!I$77:I$104)*_xlfn.XLOOKUP($P872,'Base Grupo de Produtos'!$E$23:$E$39,'Base Grupo de Produtos'!$F$23:$F$39)</f>
        <v>0</v>
      </c>
      <c r="W872" s="56">
        <f>_xlfn.XLOOKUP($N872,'Calculo Leads Conveniencia'!$A$77:$A$104,'Calculo Leads Conveniencia'!J$77:J$104)*_xlfn.XLOOKUP($P872,'Base Grupo de Produtos'!$E$23:$E$39,'Base Grupo de Produtos'!$F$23:$F$39)</f>
        <v>0</v>
      </c>
      <c r="X872" s="56">
        <f>_xlfn.XLOOKUP($N872,'Calculo Leads Conveniencia'!$A$77:$A$104,'Calculo Leads Conveniencia'!K$77:K$104)*_xlfn.XLOOKUP($P872,'Base Grupo de Produtos'!$E$23:$E$39,'Base Grupo de Produtos'!$F$23:$F$39)</f>
        <v>0</v>
      </c>
      <c r="Y872" s="56">
        <f>_xlfn.XLOOKUP($N872,'Calculo Leads Conveniencia'!$A$77:$A$104,'Calculo Leads Conveniencia'!L$77:L$104)*_xlfn.XLOOKUP($P872,'Base Grupo de Produtos'!$E$23:$E$39,'Base Grupo de Produtos'!$F$23:$F$39)</f>
        <v>0</v>
      </c>
      <c r="Z872" s="56">
        <f>_xlfn.XLOOKUP($N872,'Calculo Leads Conveniencia'!$A$77:$A$104,'Calculo Leads Conveniencia'!M$77:M$104)*_xlfn.XLOOKUP($P872,'Base Grupo de Produtos'!$E$23:$E$39,'Base Grupo de Produtos'!$F$23:$F$39)</f>
        <v>0</v>
      </c>
      <c r="AA872" s="56">
        <f>_xlfn.XLOOKUP($N872,'Calculo Leads Conveniencia'!$A$77:$A$104,'Calculo Leads Conveniencia'!N$77:N$104)*_xlfn.XLOOKUP($P872,'Base Grupo de Produtos'!$E$23:$E$39,'Base Grupo de Produtos'!$F$23:$F$39)</f>
        <v>0</v>
      </c>
      <c r="AB872" s="56">
        <f>_xlfn.XLOOKUP($N872,'Calculo Leads Conveniencia'!$A$77:$A$104,'Calculo Leads Conveniencia'!O$77:O$104)*_xlfn.XLOOKUP($P872,'Base Grupo de Produtos'!$E$23:$E$39,'Base Grupo de Produtos'!$F$23:$F$39)</f>
        <v>0</v>
      </c>
      <c r="AC872" s="61">
        <f t="shared" si="851"/>
        <v>0</v>
      </c>
      <c r="AD872" s="28"/>
      <c r="AE872" s="12"/>
      <c r="AF872" s="29"/>
      <c r="AG872" s="9"/>
      <c r="AH872" s="10"/>
      <c r="AI872" s="9"/>
      <c r="AJ872" s="11"/>
      <c r="AK872" s="9"/>
      <c r="AL872" s="13"/>
      <c r="AM872" s="9"/>
    </row>
    <row r="873" spans="1:39" x14ac:dyDescent="0.3">
      <c r="A873" s="2" t="str">
        <f t="shared" si="865"/>
        <v>NÃO</v>
      </c>
      <c r="B873" s="2" t="str">
        <f>_xlfn.XLOOKUP($N873,'Base de Grupos'!$A:$A,'Base de Grupos'!$D:$D)</f>
        <v>1000065763</v>
      </c>
      <c r="C873" s="5" t="str">
        <f>_xlfn.XLOOKUP($N873,'Base de Grupos'!$A:$A,'Base de Grupos'!$E:$E)</f>
        <v>CANAL VENDA INTERNA</v>
      </c>
      <c r="D873" s="5" t="str">
        <f>_xlfn.XLOOKUP($N873,'Base de Grupos'!$A:$A,'Base de Grupos'!$F:$F)</f>
        <v>1000065763</v>
      </c>
      <c r="E873" s="2" t="str">
        <f>_xlfn.XLOOKUP($N873,'Base de Grupos'!$A:$A,'Base de Grupos'!$G:$G)</f>
        <v>CANAL VENDA INTERNA</v>
      </c>
      <c r="F873" s="2" t="str">
        <f>_xlfn.XLOOKUP($N873,'Base de Grupos'!$A:$A,'Base de Grupos'!$H:$H)</f>
        <v>1000174119</v>
      </c>
      <c r="G873" s="5" t="str">
        <f>_xlfn.XLOOKUP($N873,'Base de Grupos'!$A:$A,'Base de Grupos'!$I:$I)</f>
        <v>REGIONAL VENDA INTERNA - CONVENIENCIA</v>
      </c>
      <c r="H873" s="5" t="str">
        <f>_xlfn.XLOOKUP($N873,'Base de Grupos'!$A:$A,'Base de Grupos'!$J:$J)</f>
        <v>1000174119</v>
      </c>
      <c r="I873" s="2" t="str">
        <f>_xlfn.XLOOKUP($N873,'Base de Grupos'!$A:$A,'Base de Grupos'!$K:$K)</f>
        <v>REGIONAL VENDA INTERNA - CONVENIENCIA</v>
      </c>
      <c r="J873" s="2" t="str">
        <f>_xlfn.XLOOKUP($N873,'Base de Grupos'!$A:$A,'Base de Grupos'!$L:$L)</f>
        <v>1000174119</v>
      </c>
      <c r="K873" s="5" t="str">
        <f>_xlfn.XLOOKUP($N873,'Base de Grupos'!$A:$A,'Base de Grupos'!$M:$M)</f>
        <v>REGIONAL VENDA INTERNA - CONVENIENCIA</v>
      </c>
      <c r="L873" s="5" t="str">
        <f t="shared" si="866"/>
        <v/>
      </c>
      <c r="M873" s="5" t="str">
        <f>_xlfn.XLOOKUP($N873,'Base de Grupos'!$A:$A,'Base de Grupos'!$C:$C)</f>
        <v>RO</v>
      </c>
      <c r="N873" s="3">
        <v>1513</v>
      </c>
      <c r="O873" s="4" t="s">
        <v>272</v>
      </c>
      <c r="P873" s="5" t="s">
        <v>85</v>
      </c>
      <c r="Q873" s="56">
        <v>0</v>
      </c>
      <c r="R873" s="56">
        <v>0</v>
      </c>
      <c r="S873" s="56">
        <v>0</v>
      </c>
      <c r="T873" s="56">
        <f>_xlfn.XLOOKUP($N873,'Calculo Leads Conveniencia'!$A$77:$A$104,'Calculo Leads Conveniencia'!G$77:G$104)*_xlfn.XLOOKUP($P873,'Base Grupo de Produtos'!$E$23:$E$39,'Base Grupo de Produtos'!$F$23:$F$39)</f>
        <v>0</v>
      </c>
      <c r="U873" s="56">
        <f>_xlfn.XLOOKUP($N873,'Calculo Leads Conveniencia'!$A$77:$A$104,'Calculo Leads Conveniencia'!H$77:H$104)*_xlfn.XLOOKUP($P873,'Base Grupo de Produtos'!$E$23:$E$39,'Base Grupo de Produtos'!$F$23:$F$39)</f>
        <v>0</v>
      </c>
      <c r="V873" s="56">
        <f>_xlfn.XLOOKUP($N873,'Calculo Leads Conveniencia'!$A$77:$A$104,'Calculo Leads Conveniencia'!I$77:I$104)*_xlfn.XLOOKUP($P873,'Base Grupo de Produtos'!$E$23:$E$39,'Base Grupo de Produtos'!$F$23:$F$39)</f>
        <v>0</v>
      </c>
      <c r="W873" s="56">
        <f>_xlfn.XLOOKUP($N873,'Calculo Leads Conveniencia'!$A$77:$A$104,'Calculo Leads Conveniencia'!J$77:J$104)*_xlfn.XLOOKUP($P873,'Base Grupo de Produtos'!$E$23:$E$39,'Base Grupo de Produtos'!$F$23:$F$39)</f>
        <v>0</v>
      </c>
      <c r="X873" s="56">
        <f>_xlfn.XLOOKUP($N873,'Calculo Leads Conveniencia'!$A$77:$A$104,'Calculo Leads Conveniencia'!K$77:K$104)*_xlfn.XLOOKUP($P873,'Base Grupo de Produtos'!$E$23:$E$39,'Base Grupo de Produtos'!$F$23:$F$39)</f>
        <v>0</v>
      </c>
      <c r="Y873" s="56">
        <f>_xlfn.XLOOKUP($N873,'Calculo Leads Conveniencia'!$A$77:$A$104,'Calculo Leads Conveniencia'!L$77:L$104)*_xlfn.XLOOKUP($P873,'Base Grupo de Produtos'!$E$23:$E$39,'Base Grupo de Produtos'!$F$23:$F$39)</f>
        <v>0</v>
      </c>
      <c r="Z873" s="56">
        <f>_xlfn.XLOOKUP($N873,'Calculo Leads Conveniencia'!$A$77:$A$104,'Calculo Leads Conveniencia'!M$77:M$104)*_xlfn.XLOOKUP($P873,'Base Grupo de Produtos'!$E$23:$E$39,'Base Grupo de Produtos'!$F$23:$F$39)</f>
        <v>0</v>
      </c>
      <c r="AA873" s="56">
        <f>_xlfn.XLOOKUP($N873,'Calculo Leads Conveniencia'!$A$77:$A$104,'Calculo Leads Conveniencia'!N$77:N$104)*_xlfn.XLOOKUP($P873,'Base Grupo de Produtos'!$E$23:$E$39,'Base Grupo de Produtos'!$F$23:$F$39)</f>
        <v>0</v>
      </c>
      <c r="AB873" s="56">
        <f>_xlfn.XLOOKUP($N873,'Calculo Leads Conveniencia'!$A$77:$A$104,'Calculo Leads Conveniencia'!O$77:O$104)*_xlfn.XLOOKUP($P873,'Base Grupo de Produtos'!$E$23:$E$39,'Base Grupo de Produtos'!$F$23:$F$39)</f>
        <v>0</v>
      </c>
      <c r="AC873" s="61">
        <f t="shared" si="851"/>
        <v>0</v>
      </c>
      <c r="AD873" s="28"/>
      <c r="AE873" s="12"/>
      <c r="AF873" s="29"/>
      <c r="AG873" s="9"/>
      <c r="AH873" s="10"/>
      <c r="AI873" s="9"/>
      <c r="AJ873" s="11"/>
      <c r="AK873" s="9"/>
      <c r="AL873" s="13"/>
      <c r="AM873" s="9"/>
    </row>
    <row r="874" spans="1:39" x14ac:dyDescent="0.3">
      <c r="A874" s="2" t="str">
        <f t="shared" si="865"/>
        <v>NÃO</v>
      </c>
      <c r="B874" s="2" t="str">
        <f>_xlfn.XLOOKUP($N874,'Base de Grupos'!$A:$A,'Base de Grupos'!$D:$D)</f>
        <v>1000065763</v>
      </c>
      <c r="C874" s="5" t="str">
        <f>_xlfn.XLOOKUP($N874,'Base de Grupos'!$A:$A,'Base de Grupos'!$E:$E)</f>
        <v>CANAL VENDA INTERNA</v>
      </c>
      <c r="D874" s="5" t="str">
        <f>_xlfn.XLOOKUP($N874,'Base de Grupos'!$A:$A,'Base de Grupos'!$F:$F)</f>
        <v>1000065763</v>
      </c>
      <c r="E874" s="2" t="str">
        <f>_xlfn.XLOOKUP($N874,'Base de Grupos'!$A:$A,'Base de Grupos'!$G:$G)</f>
        <v>CANAL VENDA INTERNA</v>
      </c>
      <c r="F874" s="2" t="str">
        <f>_xlfn.XLOOKUP($N874,'Base de Grupos'!$A:$A,'Base de Grupos'!$H:$H)</f>
        <v>1000174119</v>
      </c>
      <c r="G874" s="5" t="str">
        <f>_xlfn.XLOOKUP($N874,'Base de Grupos'!$A:$A,'Base de Grupos'!$I:$I)</f>
        <v>REGIONAL VENDA INTERNA - CONVENIENCIA</v>
      </c>
      <c r="H874" s="5" t="str">
        <f>_xlfn.XLOOKUP($N874,'Base de Grupos'!$A:$A,'Base de Grupos'!$J:$J)</f>
        <v>1000174119</v>
      </c>
      <c r="I874" s="2" t="str">
        <f>_xlfn.XLOOKUP($N874,'Base de Grupos'!$A:$A,'Base de Grupos'!$K:$K)</f>
        <v>REGIONAL VENDA INTERNA - CONVENIENCIA</v>
      </c>
      <c r="J874" s="2" t="str">
        <f>_xlfn.XLOOKUP($N874,'Base de Grupos'!$A:$A,'Base de Grupos'!$L:$L)</f>
        <v>1000174119</v>
      </c>
      <c r="K874" s="5" t="str">
        <f>_xlfn.XLOOKUP($N874,'Base de Grupos'!$A:$A,'Base de Grupos'!$M:$M)</f>
        <v>REGIONAL VENDA INTERNA - CONVENIENCIA</v>
      </c>
      <c r="L874" s="5" t="str">
        <f t="shared" si="866"/>
        <v/>
      </c>
      <c r="M874" s="5" t="str">
        <f>_xlfn.XLOOKUP($N874,'Base de Grupos'!$A:$A,'Base de Grupos'!$C:$C)</f>
        <v>RO</v>
      </c>
      <c r="N874" s="3">
        <v>1513</v>
      </c>
      <c r="O874" s="4" t="s">
        <v>272</v>
      </c>
      <c r="P874" s="5" t="s">
        <v>92</v>
      </c>
      <c r="Q874" s="56">
        <v>0</v>
      </c>
      <c r="R874" s="56">
        <v>0</v>
      </c>
      <c r="S874" s="56">
        <v>0</v>
      </c>
      <c r="T874" s="56">
        <f>_xlfn.XLOOKUP($N874,'Calculo Leads Conveniencia'!$A$77:$A$104,'Calculo Leads Conveniencia'!G$77:G$104)*_xlfn.XLOOKUP($P874,'Base Grupo de Produtos'!$E$23:$E$39,'Base Grupo de Produtos'!$F$23:$F$39)</f>
        <v>0</v>
      </c>
      <c r="U874" s="56">
        <f>_xlfn.XLOOKUP($N874,'Calculo Leads Conveniencia'!$A$77:$A$104,'Calculo Leads Conveniencia'!H$77:H$104)*_xlfn.XLOOKUP($P874,'Base Grupo de Produtos'!$E$23:$E$39,'Base Grupo de Produtos'!$F$23:$F$39)</f>
        <v>0</v>
      </c>
      <c r="V874" s="56">
        <f>_xlfn.XLOOKUP($N874,'Calculo Leads Conveniencia'!$A$77:$A$104,'Calculo Leads Conveniencia'!I$77:I$104)*_xlfn.XLOOKUP($P874,'Base Grupo de Produtos'!$E$23:$E$39,'Base Grupo de Produtos'!$F$23:$F$39)</f>
        <v>0</v>
      </c>
      <c r="W874" s="56">
        <f>_xlfn.XLOOKUP($N874,'Calculo Leads Conveniencia'!$A$77:$A$104,'Calculo Leads Conveniencia'!J$77:J$104)*_xlfn.XLOOKUP($P874,'Base Grupo de Produtos'!$E$23:$E$39,'Base Grupo de Produtos'!$F$23:$F$39)</f>
        <v>0</v>
      </c>
      <c r="X874" s="56">
        <f>_xlfn.XLOOKUP($N874,'Calculo Leads Conveniencia'!$A$77:$A$104,'Calculo Leads Conveniencia'!K$77:K$104)*_xlfn.XLOOKUP($P874,'Base Grupo de Produtos'!$E$23:$E$39,'Base Grupo de Produtos'!$F$23:$F$39)</f>
        <v>0</v>
      </c>
      <c r="Y874" s="56">
        <f>_xlfn.XLOOKUP($N874,'Calculo Leads Conveniencia'!$A$77:$A$104,'Calculo Leads Conveniencia'!L$77:L$104)*_xlfn.XLOOKUP($P874,'Base Grupo de Produtos'!$E$23:$E$39,'Base Grupo de Produtos'!$F$23:$F$39)</f>
        <v>0</v>
      </c>
      <c r="Z874" s="56">
        <f>_xlfn.XLOOKUP($N874,'Calculo Leads Conveniencia'!$A$77:$A$104,'Calculo Leads Conveniencia'!M$77:M$104)*_xlfn.XLOOKUP($P874,'Base Grupo de Produtos'!$E$23:$E$39,'Base Grupo de Produtos'!$F$23:$F$39)</f>
        <v>0</v>
      </c>
      <c r="AA874" s="56">
        <f>_xlfn.XLOOKUP($N874,'Calculo Leads Conveniencia'!$A$77:$A$104,'Calculo Leads Conveniencia'!N$77:N$104)*_xlfn.XLOOKUP($P874,'Base Grupo de Produtos'!$E$23:$E$39,'Base Grupo de Produtos'!$F$23:$F$39)</f>
        <v>0</v>
      </c>
      <c r="AB874" s="56">
        <f>_xlfn.XLOOKUP($N874,'Calculo Leads Conveniencia'!$A$77:$A$104,'Calculo Leads Conveniencia'!O$77:O$104)*_xlfn.XLOOKUP($P874,'Base Grupo de Produtos'!$E$23:$E$39,'Base Grupo de Produtos'!$F$23:$F$39)</f>
        <v>0</v>
      </c>
      <c r="AC874" s="61">
        <f t="shared" si="851"/>
        <v>0</v>
      </c>
      <c r="AD874" s="28"/>
      <c r="AE874" s="12"/>
      <c r="AF874" s="29"/>
      <c r="AG874" s="9"/>
      <c r="AH874" s="10"/>
      <c r="AI874" s="9"/>
      <c r="AJ874" s="11"/>
      <c r="AK874" s="9"/>
      <c r="AL874" s="13"/>
      <c r="AM874" s="9"/>
    </row>
    <row r="875" spans="1:39" x14ac:dyDescent="0.3">
      <c r="A875" s="2" t="str">
        <f t="shared" si="865"/>
        <v>NÃO</v>
      </c>
      <c r="B875" s="2" t="str">
        <f>_xlfn.XLOOKUP($N875,'Base de Grupos'!$A:$A,'Base de Grupos'!$D:$D)</f>
        <v>1000065763</v>
      </c>
      <c r="C875" s="5" t="str">
        <f>_xlfn.XLOOKUP($N875,'Base de Grupos'!$A:$A,'Base de Grupos'!$E:$E)</f>
        <v>CANAL VENDA INTERNA</v>
      </c>
      <c r="D875" s="5" t="str">
        <f>_xlfn.XLOOKUP($N875,'Base de Grupos'!$A:$A,'Base de Grupos'!$F:$F)</f>
        <v>1000065763</v>
      </c>
      <c r="E875" s="2" t="str">
        <f>_xlfn.XLOOKUP($N875,'Base de Grupos'!$A:$A,'Base de Grupos'!$G:$G)</f>
        <v>CANAL VENDA INTERNA</v>
      </c>
      <c r="F875" s="2" t="str">
        <f>_xlfn.XLOOKUP($N875,'Base de Grupos'!$A:$A,'Base de Grupos'!$H:$H)</f>
        <v>1000174119</v>
      </c>
      <c r="G875" s="5" t="str">
        <f>_xlfn.XLOOKUP($N875,'Base de Grupos'!$A:$A,'Base de Grupos'!$I:$I)</f>
        <v>REGIONAL VENDA INTERNA - CONVENIENCIA</v>
      </c>
      <c r="H875" s="5" t="str">
        <f>_xlfn.XLOOKUP($N875,'Base de Grupos'!$A:$A,'Base de Grupos'!$J:$J)</f>
        <v>1000174119</v>
      </c>
      <c r="I875" s="2" t="str">
        <f>_xlfn.XLOOKUP($N875,'Base de Grupos'!$A:$A,'Base de Grupos'!$K:$K)</f>
        <v>REGIONAL VENDA INTERNA - CONVENIENCIA</v>
      </c>
      <c r="J875" s="2" t="str">
        <f>_xlfn.XLOOKUP($N875,'Base de Grupos'!$A:$A,'Base de Grupos'!$L:$L)</f>
        <v>1000174119</v>
      </c>
      <c r="K875" s="5" t="str">
        <f>_xlfn.XLOOKUP($N875,'Base de Grupos'!$A:$A,'Base de Grupos'!$M:$M)</f>
        <v>REGIONAL VENDA INTERNA - CONVENIENCIA</v>
      </c>
      <c r="L875" s="5" t="str">
        <f t="shared" si="866"/>
        <v/>
      </c>
      <c r="M875" s="5" t="str">
        <f>_xlfn.XLOOKUP($N875,'Base de Grupos'!$A:$A,'Base de Grupos'!$C:$C)</f>
        <v>RO</v>
      </c>
      <c r="N875" s="3">
        <v>1513</v>
      </c>
      <c r="O875" s="4" t="s">
        <v>272</v>
      </c>
      <c r="P875" s="5" t="s">
        <v>86</v>
      </c>
      <c r="Q875" s="56">
        <v>0</v>
      </c>
      <c r="R875" s="56">
        <v>0</v>
      </c>
      <c r="S875" s="56">
        <v>0</v>
      </c>
      <c r="T875" s="56">
        <f>_xlfn.XLOOKUP($N875,'Calculo Leads Conveniencia'!$A$77:$A$104,'Calculo Leads Conveniencia'!G$77:G$104)*_xlfn.XLOOKUP($P875,'Base Grupo de Produtos'!$E$23:$E$39,'Base Grupo de Produtos'!$F$23:$F$39)</f>
        <v>0</v>
      </c>
      <c r="U875" s="56">
        <f>_xlfn.XLOOKUP($N875,'Calculo Leads Conveniencia'!$A$77:$A$104,'Calculo Leads Conveniencia'!H$77:H$104)*_xlfn.XLOOKUP($P875,'Base Grupo de Produtos'!$E$23:$E$39,'Base Grupo de Produtos'!$F$23:$F$39)</f>
        <v>0</v>
      </c>
      <c r="V875" s="56">
        <f>_xlfn.XLOOKUP($N875,'Calculo Leads Conveniencia'!$A$77:$A$104,'Calculo Leads Conveniencia'!I$77:I$104)*_xlfn.XLOOKUP($P875,'Base Grupo de Produtos'!$E$23:$E$39,'Base Grupo de Produtos'!$F$23:$F$39)</f>
        <v>0</v>
      </c>
      <c r="W875" s="56">
        <f>_xlfn.XLOOKUP($N875,'Calculo Leads Conveniencia'!$A$77:$A$104,'Calculo Leads Conveniencia'!J$77:J$104)*_xlfn.XLOOKUP($P875,'Base Grupo de Produtos'!$E$23:$E$39,'Base Grupo de Produtos'!$F$23:$F$39)</f>
        <v>0</v>
      </c>
      <c r="X875" s="56">
        <f>_xlfn.XLOOKUP($N875,'Calculo Leads Conveniencia'!$A$77:$A$104,'Calculo Leads Conveniencia'!K$77:K$104)*_xlfn.XLOOKUP($P875,'Base Grupo de Produtos'!$E$23:$E$39,'Base Grupo de Produtos'!$F$23:$F$39)</f>
        <v>0</v>
      </c>
      <c r="Y875" s="56">
        <f>_xlfn.XLOOKUP($N875,'Calculo Leads Conveniencia'!$A$77:$A$104,'Calculo Leads Conveniencia'!L$77:L$104)*_xlfn.XLOOKUP($P875,'Base Grupo de Produtos'!$E$23:$E$39,'Base Grupo de Produtos'!$F$23:$F$39)</f>
        <v>0</v>
      </c>
      <c r="Z875" s="56">
        <f>_xlfn.XLOOKUP($N875,'Calculo Leads Conveniencia'!$A$77:$A$104,'Calculo Leads Conveniencia'!M$77:M$104)*_xlfn.XLOOKUP($P875,'Base Grupo de Produtos'!$E$23:$E$39,'Base Grupo de Produtos'!$F$23:$F$39)</f>
        <v>0</v>
      </c>
      <c r="AA875" s="56">
        <f>_xlfn.XLOOKUP($N875,'Calculo Leads Conveniencia'!$A$77:$A$104,'Calculo Leads Conveniencia'!N$77:N$104)*_xlfn.XLOOKUP($P875,'Base Grupo de Produtos'!$E$23:$E$39,'Base Grupo de Produtos'!$F$23:$F$39)</f>
        <v>0</v>
      </c>
      <c r="AB875" s="56">
        <f>_xlfn.XLOOKUP($N875,'Calculo Leads Conveniencia'!$A$77:$A$104,'Calculo Leads Conveniencia'!O$77:O$104)*_xlfn.XLOOKUP($P875,'Base Grupo de Produtos'!$E$23:$E$39,'Base Grupo de Produtos'!$F$23:$F$39)</f>
        <v>0</v>
      </c>
      <c r="AC875" s="61">
        <f t="shared" si="851"/>
        <v>0</v>
      </c>
      <c r="AD875" s="28"/>
      <c r="AE875" s="12"/>
      <c r="AF875" s="29"/>
      <c r="AG875" s="9"/>
      <c r="AH875" s="10"/>
      <c r="AI875" s="9"/>
      <c r="AJ875" s="11"/>
      <c r="AK875" s="9"/>
      <c r="AL875" s="13"/>
      <c r="AM875" s="9"/>
    </row>
    <row r="876" spans="1:39" x14ac:dyDescent="0.3">
      <c r="A876" s="2" t="str">
        <f t="shared" si="865"/>
        <v>NÃO</v>
      </c>
      <c r="B876" s="2" t="str">
        <f>_xlfn.XLOOKUP($N876,'Base de Grupos'!$A:$A,'Base de Grupos'!$D:$D)</f>
        <v>1000065763</v>
      </c>
      <c r="C876" s="5" t="str">
        <f>_xlfn.XLOOKUP($N876,'Base de Grupos'!$A:$A,'Base de Grupos'!$E:$E)</f>
        <v>CANAL VENDA INTERNA</v>
      </c>
      <c r="D876" s="5" t="str">
        <f>_xlfn.XLOOKUP($N876,'Base de Grupos'!$A:$A,'Base de Grupos'!$F:$F)</f>
        <v>1000065763</v>
      </c>
      <c r="E876" s="2" t="str">
        <f>_xlfn.XLOOKUP($N876,'Base de Grupos'!$A:$A,'Base de Grupos'!$G:$G)</f>
        <v>CANAL VENDA INTERNA</v>
      </c>
      <c r="F876" s="2" t="str">
        <f>_xlfn.XLOOKUP($N876,'Base de Grupos'!$A:$A,'Base de Grupos'!$H:$H)</f>
        <v>1000174119</v>
      </c>
      <c r="G876" s="5" t="str">
        <f>_xlfn.XLOOKUP($N876,'Base de Grupos'!$A:$A,'Base de Grupos'!$I:$I)</f>
        <v>REGIONAL VENDA INTERNA - CONVENIENCIA</v>
      </c>
      <c r="H876" s="5" t="str">
        <f>_xlfn.XLOOKUP($N876,'Base de Grupos'!$A:$A,'Base de Grupos'!$J:$J)</f>
        <v>1000174119</v>
      </c>
      <c r="I876" s="2" t="str">
        <f>_xlfn.XLOOKUP($N876,'Base de Grupos'!$A:$A,'Base de Grupos'!$K:$K)</f>
        <v>REGIONAL VENDA INTERNA - CONVENIENCIA</v>
      </c>
      <c r="J876" s="2" t="str">
        <f>_xlfn.XLOOKUP($N876,'Base de Grupos'!$A:$A,'Base de Grupos'!$L:$L)</f>
        <v>1000174119</v>
      </c>
      <c r="K876" s="5" t="str">
        <f>_xlfn.XLOOKUP($N876,'Base de Grupos'!$A:$A,'Base de Grupos'!$M:$M)</f>
        <v>REGIONAL VENDA INTERNA - CONVENIENCIA</v>
      </c>
      <c r="L876" s="5" t="str">
        <f t="shared" si="866"/>
        <v/>
      </c>
      <c r="M876" s="5" t="str">
        <f>_xlfn.XLOOKUP($N876,'Base de Grupos'!$A:$A,'Base de Grupos'!$C:$C)</f>
        <v>RO</v>
      </c>
      <c r="N876" s="3">
        <v>1513</v>
      </c>
      <c r="O876" s="4" t="s">
        <v>272</v>
      </c>
      <c r="P876" s="5" t="s">
        <v>108</v>
      </c>
      <c r="Q876" s="56">
        <v>0</v>
      </c>
      <c r="R876" s="56">
        <v>0</v>
      </c>
      <c r="S876" s="56">
        <v>0</v>
      </c>
      <c r="T876" s="56">
        <f>_xlfn.XLOOKUP($N876,'Calculo Leads Conveniencia'!$A$77:$A$104,'Calculo Leads Conveniencia'!G$77:G$104)*_xlfn.XLOOKUP($P876,'Base Grupo de Produtos'!$E$23:$E$39,'Base Grupo de Produtos'!$F$23:$F$39)</f>
        <v>0</v>
      </c>
      <c r="U876" s="56">
        <f>_xlfn.XLOOKUP($N876,'Calculo Leads Conveniencia'!$A$77:$A$104,'Calculo Leads Conveniencia'!H$77:H$104)*_xlfn.XLOOKUP($P876,'Base Grupo de Produtos'!$E$23:$E$39,'Base Grupo de Produtos'!$F$23:$F$39)</f>
        <v>0</v>
      </c>
      <c r="V876" s="56">
        <f>_xlfn.XLOOKUP($N876,'Calculo Leads Conveniencia'!$A$77:$A$104,'Calculo Leads Conveniencia'!I$77:I$104)*_xlfn.XLOOKUP($P876,'Base Grupo de Produtos'!$E$23:$E$39,'Base Grupo de Produtos'!$F$23:$F$39)</f>
        <v>0</v>
      </c>
      <c r="W876" s="56">
        <f>_xlfn.XLOOKUP($N876,'Calculo Leads Conveniencia'!$A$77:$A$104,'Calculo Leads Conveniencia'!J$77:J$104)*_xlfn.XLOOKUP($P876,'Base Grupo de Produtos'!$E$23:$E$39,'Base Grupo de Produtos'!$F$23:$F$39)</f>
        <v>0</v>
      </c>
      <c r="X876" s="56">
        <f>_xlfn.XLOOKUP($N876,'Calculo Leads Conveniencia'!$A$77:$A$104,'Calculo Leads Conveniencia'!K$77:K$104)*_xlfn.XLOOKUP($P876,'Base Grupo de Produtos'!$E$23:$E$39,'Base Grupo de Produtos'!$F$23:$F$39)</f>
        <v>0</v>
      </c>
      <c r="Y876" s="56">
        <f>_xlfn.XLOOKUP($N876,'Calculo Leads Conveniencia'!$A$77:$A$104,'Calculo Leads Conveniencia'!L$77:L$104)*_xlfn.XLOOKUP($P876,'Base Grupo de Produtos'!$E$23:$E$39,'Base Grupo de Produtos'!$F$23:$F$39)</f>
        <v>0</v>
      </c>
      <c r="Z876" s="56">
        <f>_xlfn.XLOOKUP($N876,'Calculo Leads Conveniencia'!$A$77:$A$104,'Calculo Leads Conveniencia'!M$77:M$104)*_xlfn.XLOOKUP($P876,'Base Grupo de Produtos'!$E$23:$E$39,'Base Grupo de Produtos'!$F$23:$F$39)</f>
        <v>0</v>
      </c>
      <c r="AA876" s="56">
        <f>_xlfn.XLOOKUP($N876,'Calculo Leads Conveniencia'!$A$77:$A$104,'Calculo Leads Conveniencia'!N$77:N$104)*_xlfn.XLOOKUP($P876,'Base Grupo de Produtos'!$E$23:$E$39,'Base Grupo de Produtos'!$F$23:$F$39)</f>
        <v>0</v>
      </c>
      <c r="AB876" s="56">
        <f>_xlfn.XLOOKUP($N876,'Calculo Leads Conveniencia'!$A$77:$A$104,'Calculo Leads Conveniencia'!O$77:O$104)*_xlfn.XLOOKUP($P876,'Base Grupo de Produtos'!$E$23:$E$39,'Base Grupo de Produtos'!$F$23:$F$39)</f>
        <v>0</v>
      </c>
      <c r="AC876" s="61">
        <f t="shared" si="851"/>
        <v>0</v>
      </c>
      <c r="AD876" s="28"/>
      <c r="AE876" s="12"/>
      <c r="AF876" s="29"/>
      <c r="AG876" s="9"/>
      <c r="AH876" s="10"/>
      <c r="AI876" s="9"/>
      <c r="AJ876" s="11"/>
      <c r="AK876" s="9"/>
      <c r="AL876" s="13"/>
      <c r="AM876" s="9"/>
    </row>
    <row r="877" spans="1:39" x14ac:dyDescent="0.3">
      <c r="A877" s="2" t="str">
        <f t="shared" si="865"/>
        <v>NÃO</v>
      </c>
      <c r="B877" s="2" t="str">
        <f>_xlfn.XLOOKUP($N877,'Base de Grupos'!$A:$A,'Base de Grupos'!$D:$D)</f>
        <v>1000065763</v>
      </c>
      <c r="C877" s="5" t="str">
        <f>_xlfn.XLOOKUP($N877,'Base de Grupos'!$A:$A,'Base de Grupos'!$E:$E)</f>
        <v>CANAL VENDA INTERNA</v>
      </c>
      <c r="D877" s="5" t="str">
        <f>_xlfn.XLOOKUP($N877,'Base de Grupos'!$A:$A,'Base de Grupos'!$F:$F)</f>
        <v>1000065763</v>
      </c>
      <c r="E877" s="2" t="str">
        <f>_xlfn.XLOOKUP($N877,'Base de Grupos'!$A:$A,'Base de Grupos'!$G:$G)</f>
        <v>CANAL VENDA INTERNA</v>
      </c>
      <c r="F877" s="2" t="str">
        <f>_xlfn.XLOOKUP($N877,'Base de Grupos'!$A:$A,'Base de Grupos'!$H:$H)</f>
        <v>1000174119</v>
      </c>
      <c r="G877" s="5" t="str">
        <f>_xlfn.XLOOKUP($N877,'Base de Grupos'!$A:$A,'Base de Grupos'!$I:$I)</f>
        <v>REGIONAL VENDA INTERNA - CONVENIENCIA</v>
      </c>
      <c r="H877" s="5" t="str">
        <f>_xlfn.XLOOKUP($N877,'Base de Grupos'!$A:$A,'Base de Grupos'!$J:$J)</f>
        <v>1000174119</v>
      </c>
      <c r="I877" s="2" t="str">
        <f>_xlfn.XLOOKUP($N877,'Base de Grupos'!$A:$A,'Base de Grupos'!$K:$K)</f>
        <v>REGIONAL VENDA INTERNA - CONVENIENCIA</v>
      </c>
      <c r="J877" s="2" t="str">
        <f>_xlfn.XLOOKUP($N877,'Base de Grupos'!$A:$A,'Base de Grupos'!$L:$L)</f>
        <v>1000174119</v>
      </c>
      <c r="K877" s="5" t="str">
        <f>_xlfn.XLOOKUP($N877,'Base de Grupos'!$A:$A,'Base de Grupos'!$M:$M)</f>
        <v>REGIONAL VENDA INTERNA - CONVENIENCIA</v>
      </c>
      <c r="L877" s="5" t="str">
        <f t="shared" si="866"/>
        <v/>
      </c>
      <c r="M877" s="5" t="str">
        <f>_xlfn.XLOOKUP($N877,'Base de Grupos'!$A:$A,'Base de Grupos'!$C:$C)</f>
        <v>RO</v>
      </c>
      <c r="N877" s="3">
        <v>1513</v>
      </c>
      <c r="O877" s="4" t="s">
        <v>272</v>
      </c>
      <c r="P877" s="5" t="s">
        <v>89</v>
      </c>
      <c r="Q877" s="56">
        <v>0</v>
      </c>
      <c r="R877" s="56">
        <v>0</v>
      </c>
      <c r="S877" s="56">
        <v>0</v>
      </c>
      <c r="T877" s="56">
        <f>_xlfn.XLOOKUP($N877,'Calculo Leads Conveniencia'!$A$77:$A$104,'Calculo Leads Conveniencia'!G$77:G$104)*_xlfn.XLOOKUP($P877,'Base Grupo de Produtos'!$E$23:$E$39,'Base Grupo de Produtos'!$F$23:$F$39)</f>
        <v>0</v>
      </c>
      <c r="U877" s="56">
        <f>_xlfn.XLOOKUP($N877,'Calculo Leads Conveniencia'!$A$77:$A$104,'Calculo Leads Conveniencia'!H$77:H$104)*_xlfn.XLOOKUP($P877,'Base Grupo de Produtos'!$E$23:$E$39,'Base Grupo de Produtos'!$F$23:$F$39)</f>
        <v>0</v>
      </c>
      <c r="V877" s="56">
        <f>_xlfn.XLOOKUP($N877,'Calculo Leads Conveniencia'!$A$77:$A$104,'Calculo Leads Conveniencia'!I$77:I$104)*_xlfn.XLOOKUP($P877,'Base Grupo de Produtos'!$E$23:$E$39,'Base Grupo de Produtos'!$F$23:$F$39)</f>
        <v>0</v>
      </c>
      <c r="W877" s="56">
        <f>_xlfn.XLOOKUP($N877,'Calculo Leads Conveniencia'!$A$77:$A$104,'Calculo Leads Conveniencia'!J$77:J$104)*_xlfn.XLOOKUP($P877,'Base Grupo de Produtos'!$E$23:$E$39,'Base Grupo de Produtos'!$F$23:$F$39)</f>
        <v>0</v>
      </c>
      <c r="X877" s="56">
        <f>_xlfn.XLOOKUP($N877,'Calculo Leads Conveniencia'!$A$77:$A$104,'Calculo Leads Conveniencia'!K$77:K$104)*_xlfn.XLOOKUP($P877,'Base Grupo de Produtos'!$E$23:$E$39,'Base Grupo de Produtos'!$F$23:$F$39)</f>
        <v>0</v>
      </c>
      <c r="Y877" s="56">
        <f>_xlfn.XLOOKUP($N877,'Calculo Leads Conveniencia'!$A$77:$A$104,'Calculo Leads Conveniencia'!L$77:L$104)*_xlfn.XLOOKUP($P877,'Base Grupo de Produtos'!$E$23:$E$39,'Base Grupo de Produtos'!$F$23:$F$39)</f>
        <v>0</v>
      </c>
      <c r="Z877" s="56">
        <f>_xlfn.XLOOKUP($N877,'Calculo Leads Conveniencia'!$A$77:$A$104,'Calculo Leads Conveniencia'!M$77:M$104)*_xlfn.XLOOKUP($P877,'Base Grupo de Produtos'!$E$23:$E$39,'Base Grupo de Produtos'!$F$23:$F$39)</f>
        <v>0</v>
      </c>
      <c r="AA877" s="56">
        <f>_xlfn.XLOOKUP($N877,'Calculo Leads Conveniencia'!$A$77:$A$104,'Calculo Leads Conveniencia'!N$77:N$104)*_xlfn.XLOOKUP($P877,'Base Grupo de Produtos'!$E$23:$E$39,'Base Grupo de Produtos'!$F$23:$F$39)</f>
        <v>0</v>
      </c>
      <c r="AB877" s="56">
        <f>_xlfn.XLOOKUP($N877,'Calculo Leads Conveniencia'!$A$77:$A$104,'Calculo Leads Conveniencia'!O$77:O$104)*_xlfn.XLOOKUP($P877,'Base Grupo de Produtos'!$E$23:$E$39,'Base Grupo de Produtos'!$F$23:$F$39)</f>
        <v>0</v>
      </c>
      <c r="AC877" s="61">
        <f t="shared" si="851"/>
        <v>0</v>
      </c>
      <c r="AD877" s="28"/>
      <c r="AE877" s="12"/>
      <c r="AF877" s="29"/>
      <c r="AG877" s="9"/>
      <c r="AH877" s="10"/>
      <c r="AI877" s="9"/>
      <c r="AJ877" s="11"/>
      <c r="AK877" s="9"/>
      <c r="AL877" s="13"/>
      <c r="AM877" s="9"/>
    </row>
    <row r="878" spans="1:39" x14ac:dyDescent="0.3">
      <c r="A878" s="2" t="str">
        <f t="shared" si="865"/>
        <v>NÃO</v>
      </c>
      <c r="B878" s="2" t="str">
        <f>_xlfn.XLOOKUP($N878,'Base de Grupos'!$A:$A,'Base de Grupos'!$D:$D)</f>
        <v>1000065763</v>
      </c>
      <c r="C878" s="5" t="str">
        <f>_xlfn.XLOOKUP($N878,'Base de Grupos'!$A:$A,'Base de Grupos'!$E:$E)</f>
        <v>CANAL VENDA INTERNA</v>
      </c>
      <c r="D878" s="5" t="str">
        <f>_xlfn.XLOOKUP($N878,'Base de Grupos'!$A:$A,'Base de Grupos'!$F:$F)</f>
        <v>1000065763</v>
      </c>
      <c r="E878" s="2" t="str">
        <f>_xlfn.XLOOKUP($N878,'Base de Grupos'!$A:$A,'Base de Grupos'!$G:$G)</f>
        <v>CANAL VENDA INTERNA</v>
      </c>
      <c r="F878" s="2" t="str">
        <f>_xlfn.XLOOKUP($N878,'Base de Grupos'!$A:$A,'Base de Grupos'!$H:$H)</f>
        <v>1000174119</v>
      </c>
      <c r="G878" s="5" t="str">
        <f>_xlfn.XLOOKUP($N878,'Base de Grupos'!$A:$A,'Base de Grupos'!$I:$I)</f>
        <v>REGIONAL VENDA INTERNA - CONVENIENCIA</v>
      </c>
      <c r="H878" s="5" t="str">
        <f>_xlfn.XLOOKUP($N878,'Base de Grupos'!$A:$A,'Base de Grupos'!$J:$J)</f>
        <v>1000174119</v>
      </c>
      <c r="I878" s="2" t="str">
        <f>_xlfn.XLOOKUP($N878,'Base de Grupos'!$A:$A,'Base de Grupos'!$K:$K)</f>
        <v>REGIONAL VENDA INTERNA - CONVENIENCIA</v>
      </c>
      <c r="J878" s="2" t="str">
        <f>_xlfn.XLOOKUP($N878,'Base de Grupos'!$A:$A,'Base de Grupos'!$L:$L)</f>
        <v>1000174119</v>
      </c>
      <c r="K878" s="5" t="str">
        <f>_xlfn.XLOOKUP($N878,'Base de Grupos'!$A:$A,'Base de Grupos'!$M:$M)</f>
        <v>REGIONAL VENDA INTERNA - CONVENIENCIA</v>
      </c>
      <c r="L878" s="5" t="str">
        <f t="shared" si="866"/>
        <v/>
      </c>
      <c r="M878" s="5" t="str">
        <f>_xlfn.XLOOKUP($N878,'Base de Grupos'!$A:$A,'Base de Grupos'!$C:$C)</f>
        <v>RO</v>
      </c>
      <c r="N878" s="3">
        <v>1513</v>
      </c>
      <c r="O878" s="4" t="s">
        <v>272</v>
      </c>
      <c r="P878" s="5" t="s">
        <v>88</v>
      </c>
      <c r="Q878" s="56">
        <v>0</v>
      </c>
      <c r="R878" s="56">
        <v>0</v>
      </c>
      <c r="S878" s="56">
        <v>0</v>
      </c>
      <c r="T878" s="56">
        <f>_xlfn.XLOOKUP($N878,'Calculo Leads Conveniencia'!$A$77:$A$104,'Calculo Leads Conveniencia'!G$77:G$104)*_xlfn.XLOOKUP($P878,'Base Grupo de Produtos'!$E$23:$E$39,'Base Grupo de Produtos'!$F$23:$F$39)</f>
        <v>0</v>
      </c>
      <c r="U878" s="56">
        <f>_xlfn.XLOOKUP($N878,'Calculo Leads Conveniencia'!$A$77:$A$104,'Calculo Leads Conveniencia'!H$77:H$104)*_xlfn.XLOOKUP($P878,'Base Grupo de Produtos'!$E$23:$E$39,'Base Grupo de Produtos'!$F$23:$F$39)</f>
        <v>0</v>
      </c>
      <c r="V878" s="56">
        <f>_xlfn.XLOOKUP($N878,'Calculo Leads Conveniencia'!$A$77:$A$104,'Calculo Leads Conveniencia'!I$77:I$104)*_xlfn.XLOOKUP($P878,'Base Grupo de Produtos'!$E$23:$E$39,'Base Grupo de Produtos'!$F$23:$F$39)</f>
        <v>0</v>
      </c>
      <c r="W878" s="56">
        <f>_xlfn.XLOOKUP($N878,'Calculo Leads Conveniencia'!$A$77:$A$104,'Calculo Leads Conveniencia'!J$77:J$104)*_xlfn.XLOOKUP($P878,'Base Grupo de Produtos'!$E$23:$E$39,'Base Grupo de Produtos'!$F$23:$F$39)</f>
        <v>0</v>
      </c>
      <c r="X878" s="56">
        <f>_xlfn.XLOOKUP($N878,'Calculo Leads Conveniencia'!$A$77:$A$104,'Calculo Leads Conveniencia'!K$77:K$104)*_xlfn.XLOOKUP($P878,'Base Grupo de Produtos'!$E$23:$E$39,'Base Grupo de Produtos'!$F$23:$F$39)</f>
        <v>0</v>
      </c>
      <c r="Y878" s="56">
        <f>_xlfn.XLOOKUP($N878,'Calculo Leads Conveniencia'!$A$77:$A$104,'Calculo Leads Conveniencia'!L$77:L$104)*_xlfn.XLOOKUP($P878,'Base Grupo de Produtos'!$E$23:$E$39,'Base Grupo de Produtos'!$F$23:$F$39)</f>
        <v>0</v>
      </c>
      <c r="Z878" s="56">
        <f>_xlfn.XLOOKUP($N878,'Calculo Leads Conveniencia'!$A$77:$A$104,'Calculo Leads Conveniencia'!M$77:M$104)*_xlfn.XLOOKUP($P878,'Base Grupo de Produtos'!$E$23:$E$39,'Base Grupo de Produtos'!$F$23:$F$39)</f>
        <v>0</v>
      </c>
      <c r="AA878" s="56">
        <f>_xlfn.XLOOKUP($N878,'Calculo Leads Conveniencia'!$A$77:$A$104,'Calculo Leads Conveniencia'!N$77:N$104)*_xlfn.XLOOKUP($P878,'Base Grupo de Produtos'!$E$23:$E$39,'Base Grupo de Produtos'!$F$23:$F$39)</f>
        <v>0</v>
      </c>
      <c r="AB878" s="56">
        <f>_xlfn.XLOOKUP($N878,'Calculo Leads Conveniencia'!$A$77:$A$104,'Calculo Leads Conveniencia'!O$77:O$104)*_xlfn.XLOOKUP($P878,'Base Grupo de Produtos'!$E$23:$E$39,'Base Grupo de Produtos'!$F$23:$F$39)</f>
        <v>0</v>
      </c>
      <c r="AC878" s="61">
        <f t="shared" si="851"/>
        <v>0</v>
      </c>
      <c r="AD878" s="28"/>
      <c r="AE878" s="12"/>
      <c r="AF878" s="29"/>
      <c r="AG878" s="9"/>
      <c r="AH878" s="10"/>
      <c r="AI878" s="9"/>
      <c r="AJ878" s="11"/>
      <c r="AK878" s="9"/>
      <c r="AL878" s="13"/>
      <c r="AM878" s="9"/>
    </row>
    <row r="879" spans="1:39" x14ac:dyDescent="0.3">
      <c r="A879" s="2" t="str">
        <f t="shared" si="865"/>
        <v>NÃO</v>
      </c>
      <c r="B879" s="2" t="str">
        <f>_xlfn.XLOOKUP($N879,'Base de Grupos'!$A:$A,'Base de Grupos'!$D:$D)</f>
        <v>1000065763</v>
      </c>
      <c r="C879" s="5" t="str">
        <f>_xlfn.XLOOKUP($N879,'Base de Grupos'!$A:$A,'Base de Grupos'!$E:$E)</f>
        <v>CANAL VENDA INTERNA</v>
      </c>
      <c r="D879" s="5" t="str">
        <f>_xlfn.XLOOKUP($N879,'Base de Grupos'!$A:$A,'Base de Grupos'!$F:$F)</f>
        <v>1000065763</v>
      </c>
      <c r="E879" s="2" t="str">
        <f>_xlfn.XLOOKUP($N879,'Base de Grupos'!$A:$A,'Base de Grupos'!$G:$G)</f>
        <v>CANAL VENDA INTERNA</v>
      </c>
      <c r="F879" s="2" t="str">
        <f>_xlfn.XLOOKUP($N879,'Base de Grupos'!$A:$A,'Base de Grupos'!$H:$H)</f>
        <v>1000174119</v>
      </c>
      <c r="G879" s="5" t="str">
        <f>_xlfn.XLOOKUP($N879,'Base de Grupos'!$A:$A,'Base de Grupos'!$I:$I)</f>
        <v>REGIONAL VENDA INTERNA - CONVENIENCIA</v>
      </c>
      <c r="H879" s="5" t="str">
        <f>_xlfn.XLOOKUP($N879,'Base de Grupos'!$A:$A,'Base de Grupos'!$J:$J)</f>
        <v>1000174119</v>
      </c>
      <c r="I879" s="2" t="str">
        <f>_xlfn.XLOOKUP($N879,'Base de Grupos'!$A:$A,'Base de Grupos'!$K:$K)</f>
        <v>REGIONAL VENDA INTERNA - CONVENIENCIA</v>
      </c>
      <c r="J879" s="2" t="str">
        <f>_xlfn.XLOOKUP($N879,'Base de Grupos'!$A:$A,'Base de Grupos'!$L:$L)</f>
        <v>1000174119</v>
      </c>
      <c r="K879" s="5" t="str">
        <f>_xlfn.XLOOKUP($N879,'Base de Grupos'!$A:$A,'Base de Grupos'!$M:$M)</f>
        <v>REGIONAL VENDA INTERNA - CONVENIENCIA</v>
      </c>
      <c r="L879" s="5" t="str">
        <f t="shared" si="866"/>
        <v/>
      </c>
      <c r="M879" s="5" t="str">
        <f>_xlfn.XLOOKUP($N879,'Base de Grupos'!$A:$A,'Base de Grupos'!$C:$C)</f>
        <v>RO</v>
      </c>
      <c r="N879" s="3">
        <v>1513</v>
      </c>
      <c r="O879" s="4" t="s">
        <v>272</v>
      </c>
      <c r="P879" s="5" t="s">
        <v>90</v>
      </c>
      <c r="Q879" s="56">
        <v>0</v>
      </c>
      <c r="R879" s="56">
        <v>0</v>
      </c>
      <c r="S879" s="56">
        <v>0</v>
      </c>
      <c r="T879" s="56">
        <f>_xlfn.XLOOKUP($N879,'Calculo Leads Conveniencia'!$A$77:$A$104,'Calculo Leads Conveniencia'!G$77:G$104)*_xlfn.XLOOKUP($P879,'Base Grupo de Produtos'!$E$23:$E$39,'Base Grupo de Produtos'!$F$23:$F$39)</f>
        <v>0</v>
      </c>
      <c r="U879" s="56">
        <f>_xlfn.XLOOKUP($N879,'Calculo Leads Conveniencia'!$A$77:$A$104,'Calculo Leads Conveniencia'!H$77:H$104)*_xlfn.XLOOKUP($P879,'Base Grupo de Produtos'!$E$23:$E$39,'Base Grupo de Produtos'!$F$23:$F$39)</f>
        <v>0</v>
      </c>
      <c r="V879" s="56">
        <f>_xlfn.XLOOKUP($N879,'Calculo Leads Conveniencia'!$A$77:$A$104,'Calculo Leads Conveniencia'!I$77:I$104)*_xlfn.XLOOKUP($P879,'Base Grupo de Produtos'!$E$23:$E$39,'Base Grupo de Produtos'!$F$23:$F$39)</f>
        <v>0</v>
      </c>
      <c r="W879" s="56">
        <f>_xlfn.XLOOKUP($N879,'Calculo Leads Conveniencia'!$A$77:$A$104,'Calculo Leads Conveniencia'!J$77:J$104)*_xlfn.XLOOKUP($P879,'Base Grupo de Produtos'!$E$23:$E$39,'Base Grupo de Produtos'!$F$23:$F$39)</f>
        <v>0</v>
      </c>
      <c r="X879" s="56">
        <f>_xlfn.XLOOKUP($N879,'Calculo Leads Conveniencia'!$A$77:$A$104,'Calculo Leads Conveniencia'!K$77:K$104)*_xlfn.XLOOKUP($P879,'Base Grupo de Produtos'!$E$23:$E$39,'Base Grupo de Produtos'!$F$23:$F$39)</f>
        <v>0</v>
      </c>
      <c r="Y879" s="56">
        <f>_xlfn.XLOOKUP($N879,'Calculo Leads Conveniencia'!$A$77:$A$104,'Calculo Leads Conveniencia'!L$77:L$104)*_xlfn.XLOOKUP($P879,'Base Grupo de Produtos'!$E$23:$E$39,'Base Grupo de Produtos'!$F$23:$F$39)</f>
        <v>0</v>
      </c>
      <c r="Z879" s="56">
        <f>_xlfn.XLOOKUP($N879,'Calculo Leads Conveniencia'!$A$77:$A$104,'Calculo Leads Conveniencia'!M$77:M$104)*_xlfn.XLOOKUP($P879,'Base Grupo de Produtos'!$E$23:$E$39,'Base Grupo de Produtos'!$F$23:$F$39)</f>
        <v>0</v>
      </c>
      <c r="AA879" s="56">
        <f>_xlfn.XLOOKUP($N879,'Calculo Leads Conveniencia'!$A$77:$A$104,'Calculo Leads Conveniencia'!N$77:N$104)*_xlfn.XLOOKUP($P879,'Base Grupo de Produtos'!$E$23:$E$39,'Base Grupo de Produtos'!$F$23:$F$39)</f>
        <v>0</v>
      </c>
      <c r="AB879" s="56">
        <f>_xlfn.XLOOKUP($N879,'Calculo Leads Conveniencia'!$A$77:$A$104,'Calculo Leads Conveniencia'!O$77:O$104)*_xlfn.XLOOKUP($P879,'Base Grupo de Produtos'!$E$23:$E$39,'Base Grupo de Produtos'!$F$23:$F$39)</f>
        <v>0</v>
      </c>
      <c r="AC879" s="61">
        <f t="shared" si="851"/>
        <v>0</v>
      </c>
      <c r="AD879" s="28"/>
      <c r="AE879" s="12"/>
      <c r="AF879" s="29"/>
      <c r="AG879" s="9"/>
      <c r="AH879" s="10"/>
      <c r="AI879" s="9"/>
      <c r="AJ879" s="11"/>
      <c r="AK879" s="9"/>
      <c r="AL879" s="13"/>
      <c r="AM879" s="9"/>
    </row>
    <row r="880" spans="1:39" x14ac:dyDescent="0.3">
      <c r="A880" s="2" t="str">
        <f t="shared" si="865"/>
        <v>NÃO</v>
      </c>
      <c r="B880" s="2" t="str">
        <f>_xlfn.XLOOKUP($N880,'Base de Grupos'!$A:$A,'Base de Grupos'!$D:$D)</f>
        <v>1000065763</v>
      </c>
      <c r="C880" s="5" t="str">
        <f>_xlfn.XLOOKUP($N880,'Base de Grupos'!$A:$A,'Base de Grupos'!$E:$E)</f>
        <v>CANAL VENDA INTERNA</v>
      </c>
      <c r="D880" s="5" t="str">
        <f>_xlfn.XLOOKUP($N880,'Base de Grupos'!$A:$A,'Base de Grupos'!$F:$F)</f>
        <v>1000065763</v>
      </c>
      <c r="E880" s="2" t="str">
        <f>_xlfn.XLOOKUP($N880,'Base de Grupos'!$A:$A,'Base de Grupos'!$G:$G)</f>
        <v>CANAL VENDA INTERNA</v>
      </c>
      <c r="F880" s="2" t="str">
        <f>_xlfn.XLOOKUP($N880,'Base de Grupos'!$A:$A,'Base de Grupos'!$H:$H)</f>
        <v>1000174119</v>
      </c>
      <c r="G880" s="5" t="str">
        <f>_xlfn.XLOOKUP($N880,'Base de Grupos'!$A:$A,'Base de Grupos'!$I:$I)</f>
        <v>REGIONAL VENDA INTERNA - CONVENIENCIA</v>
      </c>
      <c r="H880" s="5" t="str">
        <f>_xlfn.XLOOKUP($N880,'Base de Grupos'!$A:$A,'Base de Grupos'!$J:$J)</f>
        <v>1000174119</v>
      </c>
      <c r="I880" s="2" t="str">
        <f>_xlfn.XLOOKUP($N880,'Base de Grupos'!$A:$A,'Base de Grupos'!$K:$K)</f>
        <v>REGIONAL VENDA INTERNA - CONVENIENCIA</v>
      </c>
      <c r="J880" s="2" t="str">
        <f>_xlfn.XLOOKUP($N880,'Base de Grupos'!$A:$A,'Base de Grupos'!$L:$L)</f>
        <v>1000174119</v>
      </c>
      <c r="K880" s="5" t="str">
        <f>_xlfn.XLOOKUP($N880,'Base de Grupos'!$A:$A,'Base de Grupos'!$M:$M)</f>
        <v>REGIONAL VENDA INTERNA - CONVENIENCIA</v>
      </c>
      <c r="L880" s="5" t="str">
        <f t="shared" si="866"/>
        <v/>
      </c>
      <c r="M880" s="5" t="str">
        <f>_xlfn.XLOOKUP($N880,'Base de Grupos'!$A:$A,'Base de Grupos'!$C:$C)</f>
        <v>RO</v>
      </c>
      <c r="N880" s="3">
        <v>1513</v>
      </c>
      <c r="O880" s="4" t="s">
        <v>272</v>
      </c>
      <c r="P880" s="5" t="s">
        <v>91</v>
      </c>
      <c r="Q880" s="56">
        <v>0</v>
      </c>
      <c r="R880" s="56">
        <v>0</v>
      </c>
      <c r="S880" s="56">
        <v>0</v>
      </c>
      <c r="T880" s="56">
        <f>_xlfn.XLOOKUP($N880,'Calculo Leads Conveniencia'!$A$77:$A$104,'Calculo Leads Conveniencia'!G$77:G$104)*_xlfn.XLOOKUP($P880,'Base Grupo de Produtos'!$E$23:$E$39,'Base Grupo de Produtos'!$F$23:$F$39)</f>
        <v>0</v>
      </c>
      <c r="U880" s="56">
        <f>_xlfn.XLOOKUP($N880,'Calculo Leads Conveniencia'!$A$77:$A$104,'Calculo Leads Conveniencia'!H$77:H$104)*_xlfn.XLOOKUP($P880,'Base Grupo de Produtos'!$E$23:$E$39,'Base Grupo de Produtos'!$F$23:$F$39)</f>
        <v>0</v>
      </c>
      <c r="V880" s="56">
        <f>_xlfn.XLOOKUP($N880,'Calculo Leads Conveniencia'!$A$77:$A$104,'Calculo Leads Conveniencia'!I$77:I$104)*_xlfn.XLOOKUP($P880,'Base Grupo de Produtos'!$E$23:$E$39,'Base Grupo de Produtos'!$F$23:$F$39)</f>
        <v>0</v>
      </c>
      <c r="W880" s="56">
        <f>_xlfn.XLOOKUP($N880,'Calculo Leads Conveniencia'!$A$77:$A$104,'Calculo Leads Conveniencia'!J$77:J$104)*_xlfn.XLOOKUP($P880,'Base Grupo de Produtos'!$E$23:$E$39,'Base Grupo de Produtos'!$F$23:$F$39)</f>
        <v>0</v>
      </c>
      <c r="X880" s="56">
        <f>_xlfn.XLOOKUP($N880,'Calculo Leads Conveniencia'!$A$77:$A$104,'Calculo Leads Conveniencia'!K$77:K$104)*_xlfn.XLOOKUP($P880,'Base Grupo de Produtos'!$E$23:$E$39,'Base Grupo de Produtos'!$F$23:$F$39)</f>
        <v>0</v>
      </c>
      <c r="Y880" s="56">
        <f>_xlfn.XLOOKUP($N880,'Calculo Leads Conveniencia'!$A$77:$A$104,'Calculo Leads Conveniencia'!L$77:L$104)*_xlfn.XLOOKUP($P880,'Base Grupo de Produtos'!$E$23:$E$39,'Base Grupo de Produtos'!$F$23:$F$39)</f>
        <v>0</v>
      </c>
      <c r="Z880" s="56">
        <f>_xlfn.XLOOKUP($N880,'Calculo Leads Conveniencia'!$A$77:$A$104,'Calculo Leads Conveniencia'!M$77:M$104)*_xlfn.XLOOKUP($P880,'Base Grupo de Produtos'!$E$23:$E$39,'Base Grupo de Produtos'!$F$23:$F$39)</f>
        <v>0</v>
      </c>
      <c r="AA880" s="56">
        <f>_xlfn.XLOOKUP($N880,'Calculo Leads Conveniencia'!$A$77:$A$104,'Calculo Leads Conveniencia'!N$77:N$104)*_xlfn.XLOOKUP($P880,'Base Grupo de Produtos'!$E$23:$E$39,'Base Grupo de Produtos'!$F$23:$F$39)</f>
        <v>0</v>
      </c>
      <c r="AB880" s="56">
        <f>_xlfn.XLOOKUP($N880,'Calculo Leads Conveniencia'!$A$77:$A$104,'Calculo Leads Conveniencia'!O$77:O$104)*_xlfn.XLOOKUP($P880,'Base Grupo de Produtos'!$E$23:$E$39,'Base Grupo de Produtos'!$F$23:$F$39)</f>
        <v>0</v>
      </c>
      <c r="AC880" s="61">
        <f t="shared" si="851"/>
        <v>0</v>
      </c>
      <c r="AD880" s="28"/>
      <c r="AE880" s="12"/>
      <c r="AF880" s="29"/>
      <c r="AG880" s="9"/>
      <c r="AH880" s="10"/>
      <c r="AI880" s="9"/>
      <c r="AJ880" s="11"/>
      <c r="AK880" s="9"/>
      <c r="AL880" s="13"/>
      <c r="AM880" s="9"/>
    </row>
    <row r="881" spans="1:39" x14ac:dyDescent="0.3">
      <c r="A881" s="2" t="str">
        <f t="shared" si="865"/>
        <v>NÃO</v>
      </c>
      <c r="B881" s="2" t="str">
        <f>_xlfn.XLOOKUP($N881,'Base de Grupos'!$A:$A,'Base de Grupos'!$D:$D)</f>
        <v>1000065763</v>
      </c>
      <c r="C881" s="5" t="str">
        <f>_xlfn.XLOOKUP($N881,'Base de Grupos'!$A:$A,'Base de Grupos'!$E:$E)</f>
        <v>CANAL VENDA INTERNA</v>
      </c>
      <c r="D881" s="5" t="str">
        <f>_xlfn.XLOOKUP($N881,'Base de Grupos'!$A:$A,'Base de Grupos'!$F:$F)</f>
        <v>1000065763</v>
      </c>
      <c r="E881" s="2" t="str">
        <f>_xlfn.XLOOKUP($N881,'Base de Grupos'!$A:$A,'Base de Grupos'!$G:$G)</f>
        <v>CANAL VENDA INTERNA</v>
      </c>
      <c r="F881" s="2" t="str">
        <f>_xlfn.XLOOKUP($N881,'Base de Grupos'!$A:$A,'Base de Grupos'!$H:$H)</f>
        <v>1000174119</v>
      </c>
      <c r="G881" s="5" t="str">
        <f>_xlfn.XLOOKUP($N881,'Base de Grupos'!$A:$A,'Base de Grupos'!$I:$I)</f>
        <v>REGIONAL VENDA INTERNA - CONVENIENCIA</v>
      </c>
      <c r="H881" s="5" t="str">
        <f>_xlfn.XLOOKUP($N881,'Base de Grupos'!$A:$A,'Base de Grupos'!$J:$J)</f>
        <v>1000174119</v>
      </c>
      <c r="I881" s="2" t="str">
        <f>_xlfn.XLOOKUP($N881,'Base de Grupos'!$A:$A,'Base de Grupos'!$K:$K)</f>
        <v>REGIONAL VENDA INTERNA - CONVENIENCIA</v>
      </c>
      <c r="J881" s="2" t="str">
        <f>_xlfn.XLOOKUP($N881,'Base de Grupos'!$A:$A,'Base de Grupos'!$L:$L)</f>
        <v>1000174119</v>
      </c>
      <c r="K881" s="5" t="str">
        <f>_xlfn.XLOOKUP($N881,'Base de Grupos'!$A:$A,'Base de Grupos'!$M:$M)</f>
        <v>REGIONAL VENDA INTERNA - CONVENIENCIA</v>
      </c>
      <c r="L881" s="5" t="str">
        <f t="shared" si="866"/>
        <v/>
      </c>
      <c r="M881" s="5" t="str">
        <f>_xlfn.XLOOKUP($N881,'Base de Grupos'!$A:$A,'Base de Grupos'!$C:$C)</f>
        <v>RO</v>
      </c>
      <c r="N881" s="3">
        <v>1513</v>
      </c>
      <c r="O881" s="4" t="s">
        <v>272</v>
      </c>
      <c r="P881" s="5" t="s">
        <v>96</v>
      </c>
      <c r="Q881" s="56">
        <v>0</v>
      </c>
      <c r="R881" s="56">
        <v>0</v>
      </c>
      <c r="S881" s="56">
        <v>0</v>
      </c>
      <c r="T881" s="56">
        <f>_xlfn.XLOOKUP($N881,'Calculo Leads Conveniencia'!$A$77:$A$104,'Calculo Leads Conveniencia'!G$77:G$104)*_xlfn.XLOOKUP($P881,'Base Grupo de Produtos'!$E$23:$E$39,'Base Grupo de Produtos'!$F$23:$F$39)</f>
        <v>0</v>
      </c>
      <c r="U881" s="56">
        <f>_xlfn.XLOOKUP($N881,'Calculo Leads Conveniencia'!$A$77:$A$104,'Calculo Leads Conveniencia'!H$77:H$104)*_xlfn.XLOOKUP($P881,'Base Grupo de Produtos'!$E$23:$E$39,'Base Grupo de Produtos'!$F$23:$F$39)</f>
        <v>0</v>
      </c>
      <c r="V881" s="56">
        <f>_xlfn.XLOOKUP($N881,'Calculo Leads Conveniencia'!$A$77:$A$104,'Calculo Leads Conveniencia'!I$77:I$104)*_xlfn.XLOOKUP($P881,'Base Grupo de Produtos'!$E$23:$E$39,'Base Grupo de Produtos'!$F$23:$F$39)</f>
        <v>0</v>
      </c>
      <c r="W881" s="56">
        <f>_xlfn.XLOOKUP($N881,'Calculo Leads Conveniencia'!$A$77:$A$104,'Calculo Leads Conveniencia'!J$77:J$104)*_xlfn.XLOOKUP($P881,'Base Grupo de Produtos'!$E$23:$E$39,'Base Grupo de Produtos'!$F$23:$F$39)</f>
        <v>0</v>
      </c>
      <c r="X881" s="56">
        <f>_xlfn.XLOOKUP($N881,'Calculo Leads Conveniencia'!$A$77:$A$104,'Calculo Leads Conveniencia'!K$77:K$104)*_xlfn.XLOOKUP($P881,'Base Grupo de Produtos'!$E$23:$E$39,'Base Grupo de Produtos'!$F$23:$F$39)</f>
        <v>0</v>
      </c>
      <c r="Y881" s="56">
        <f>_xlfn.XLOOKUP($N881,'Calculo Leads Conveniencia'!$A$77:$A$104,'Calculo Leads Conveniencia'!L$77:L$104)*_xlfn.XLOOKUP($P881,'Base Grupo de Produtos'!$E$23:$E$39,'Base Grupo de Produtos'!$F$23:$F$39)</f>
        <v>0</v>
      </c>
      <c r="Z881" s="56">
        <f>_xlfn.XLOOKUP($N881,'Calculo Leads Conveniencia'!$A$77:$A$104,'Calculo Leads Conveniencia'!M$77:M$104)*_xlfn.XLOOKUP($P881,'Base Grupo de Produtos'!$E$23:$E$39,'Base Grupo de Produtos'!$F$23:$F$39)</f>
        <v>0</v>
      </c>
      <c r="AA881" s="56">
        <f>_xlfn.XLOOKUP($N881,'Calculo Leads Conveniencia'!$A$77:$A$104,'Calculo Leads Conveniencia'!N$77:N$104)*_xlfn.XLOOKUP($P881,'Base Grupo de Produtos'!$E$23:$E$39,'Base Grupo de Produtos'!$F$23:$F$39)</f>
        <v>0</v>
      </c>
      <c r="AB881" s="56">
        <f>_xlfn.XLOOKUP($N881,'Calculo Leads Conveniencia'!$A$77:$A$104,'Calculo Leads Conveniencia'!O$77:O$104)*_xlfn.XLOOKUP($P881,'Base Grupo de Produtos'!$E$23:$E$39,'Base Grupo de Produtos'!$F$23:$F$39)</f>
        <v>0</v>
      </c>
      <c r="AC881" s="61">
        <f t="shared" si="851"/>
        <v>0</v>
      </c>
      <c r="AD881" s="28"/>
      <c r="AE881" s="12"/>
      <c r="AF881" s="29"/>
      <c r="AG881" s="9"/>
      <c r="AH881" s="10"/>
      <c r="AI881" s="9"/>
      <c r="AJ881" s="11"/>
      <c r="AK881" s="9"/>
      <c r="AL881" s="13"/>
      <c r="AM881" s="9"/>
    </row>
    <row r="882" spans="1:39" x14ac:dyDescent="0.3">
      <c r="A882" s="2" t="str">
        <f t="shared" si="865"/>
        <v>NÃO</v>
      </c>
      <c r="B882" s="2" t="str">
        <f>_xlfn.XLOOKUP($N882,'Base de Grupos'!$A:$A,'Base de Grupos'!$D:$D)</f>
        <v>1000065763</v>
      </c>
      <c r="C882" s="5" t="str">
        <f>_xlfn.XLOOKUP($N882,'Base de Grupos'!$A:$A,'Base de Grupos'!$E:$E)</f>
        <v>CANAL VENDA INTERNA</v>
      </c>
      <c r="D882" s="5" t="str">
        <f>_xlfn.XLOOKUP($N882,'Base de Grupos'!$A:$A,'Base de Grupos'!$F:$F)</f>
        <v>1000065763</v>
      </c>
      <c r="E882" s="2" t="str">
        <f>_xlfn.XLOOKUP($N882,'Base de Grupos'!$A:$A,'Base de Grupos'!$G:$G)</f>
        <v>CANAL VENDA INTERNA</v>
      </c>
      <c r="F882" s="2" t="str">
        <f>_xlfn.XLOOKUP($N882,'Base de Grupos'!$A:$A,'Base de Grupos'!$H:$H)</f>
        <v>1000174119</v>
      </c>
      <c r="G882" s="5" t="str">
        <f>_xlfn.XLOOKUP($N882,'Base de Grupos'!$A:$A,'Base de Grupos'!$I:$I)</f>
        <v>REGIONAL VENDA INTERNA - CONVENIENCIA</v>
      </c>
      <c r="H882" s="5" t="str">
        <f>_xlfn.XLOOKUP($N882,'Base de Grupos'!$A:$A,'Base de Grupos'!$J:$J)</f>
        <v>1000174119</v>
      </c>
      <c r="I882" s="2" t="str">
        <f>_xlfn.XLOOKUP($N882,'Base de Grupos'!$A:$A,'Base de Grupos'!$K:$K)</f>
        <v>REGIONAL VENDA INTERNA - CONVENIENCIA</v>
      </c>
      <c r="J882" s="2" t="str">
        <f>_xlfn.XLOOKUP($N882,'Base de Grupos'!$A:$A,'Base de Grupos'!$L:$L)</f>
        <v>1000174119</v>
      </c>
      <c r="K882" s="5" t="str">
        <f>_xlfn.XLOOKUP($N882,'Base de Grupos'!$A:$A,'Base de Grupos'!$M:$M)</f>
        <v>REGIONAL VENDA INTERNA - CONVENIENCIA</v>
      </c>
      <c r="L882" s="5" t="str">
        <f t="shared" si="866"/>
        <v/>
      </c>
      <c r="M882" s="5" t="str">
        <f>_xlfn.XLOOKUP($N882,'Base de Grupos'!$A:$A,'Base de Grupos'!$C:$C)</f>
        <v>RO</v>
      </c>
      <c r="N882" s="3">
        <v>1513</v>
      </c>
      <c r="O882" s="4" t="s">
        <v>272</v>
      </c>
      <c r="P882" s="5" t="s">
        <v>94</v>
      </c>
      <c r="Q882" s="56">
        <v>0</v>
      </c>
      <c r="R882" s="56">
        <v>0</v>
      </c>
      <c r="S882" s="56">
        <v>0</v>
      </c>
      <c r="T882" s="56">
        <f>_xlfn.XLOOKUP($N882,'Calculo Leads Conveniencia'!$A$77:$A$104,'Calculo Leads Conveniencia'!G$77:G$104)*_xlfn.XLOOKUP($P882,'Base Grupo de Produtos'!$E$23:$E$39,'Base Grupo de Produtos'!$F$23:$F$39)</f>
        <v>0</v>
      </c>
      <c r="U882" s="56">
        <f>_xlfn.XLOOKUP($N882,'Calculo Leads Conveniencia'!$A$77:$A$104,'Calculo Leads Conveniencia'!H$77:H$104)*_xlfn.XLOOKUP($P882,'Base Grupo de Produtos'!$E$23:$E$39,'Base Grupo de Produtos'!$F$23:$F$39)</f>
        <v>0</v>
      </c>
      <c r="V882" s="56">
        <f>_xlfn.XLOOKUP($N882,'Calculo Leads Conveniencia'!$A$77:$A$104,'Calculo Leads Conveniencia'!I$77:I$104)*_xlfn.XLOOKUP($P882,'Base Grupo de Produtos'!$E$23:$E$39,'Base Grupo de Produtos'!$F$23:$F$39)</f>
        <v>0</v>
      </c>
      <c r="W882" s="56">
        <f>_xlfn.XLOOKUP($N882,'Calculo Leads Conveniencia'!$A$77:$A$104,'Calculo Leads Conveniencia'!J$77:J$104)*_xlfn.XLOOKUP($P882,'Base Grupo de Produtos'!$E$23:$E$39,'Base Grupo de Produtos'!$F$23:$F$39)</f>
        <v>0</v>
      </c>
      <c r="X882" s="56">
        <f>_xlfn.XLOOKUP($N882,'Calculo Leads Conveniencia'!$A$77:$A$104,'Calculo Leads Conveniencia'!K$77:K$104)*_xlfn.XLOOKUP($P882,'Base Grupo de Produtos'!$E$23:$E$39,'Base Grupo de Produtos'!$F$23:$F$39)</f>
        <v>0</v>
      </c>
      <c r="Y882" s="56">
        <f>_xlfn.XLOOKUP($N882,'Calculo Leads Conveniencia'!$A$77:$A$104,'Calculo Leads Conveniencia'!L$77:L$104)*_xlfn.XLOOKUP($P882,'Base Grupo de Produtos'!$E$23:$E$39,'Base Grupo de Produtos'!$F$23:$F$39)</f>
        <v>0</v>
      </c>
      <c r="Z882" s="56">
        <f>_xlfn.XLOOKUP($N882,'Calculo Leads Conveniencia'!$A$77:$A$104,'Calculo Leads Conveniencia'!M$77:M$104)*_xlfn.XLOOKUP($P882,'Base Grupo de Produtos'!$E$23:$E$39,'Base Grupo de Produtos'!$F$23:$F$39)</f>
        <v>0</v>
      </c>
      <c r="AA882" s="56">
        <f>_xlfn.XLOOKUP($N882,'Calculo Leads Conveniencia'!$A$77:$A$104,'Calculo Leads Conveniencia'!N$77:N$104)*_xlfn.XLOOKUP($P882,'Base Grupo de Produtos'!$E$23:$E$39,'Base Grupo de Produtos'!$F$23:$F$39)</f>
        <v>0</v>
      </c>
      <c r="AB882" s="56">
        <f>_xlfn.XLOOKUP($N882,'Calculo Leads Conveniencia'!$A$77:$A$104,'Calculo Leads Conveniencia'!O$77:O$104)*_xlfn.XLOOKUP($P882,'Base Grupo de Produtos'!$E$23:$E$39,'Base Grupo de Produtos'!$F$23:$F$39)</f>
        <v>0</v>
      </c>
      <c r="AC882" s="61">
        <f t="shared" si="851"/>
        <v>0</v>
      </c>
      <c r="AD882" s="28"/>
      <c r="AE882" s="12"/>
      <c r="AF882" s="29"/>
      <c r="AG882" s="9"/>
      <c r="AH882" s="10"/>
      <c r="AI882" s="9"/>
      <c r="AJ882" s="11"/>
      <c r="AK882" s="9"/>
      <c r="AL882" s="13"/>
      <c r="AM882" s="9"/>
    </row>
    <row r="883" spans="1:39" x14ac:dyDescent="0.3">
      <c r="A883" s="2" t="str">
        <f t="shared" si="865"/>
        <v>NÃO</v>
      </c>
      <c r="B883" s="2" t="str">
        <f>_xlfn.XLOOKUP($N883,'Base de Grupos'!$A:$A,'Base de Grupos'!$D:$D)</f>
        <v>1000065763</v>
      </c>
      <c r="C883" s="5" t="str">
        <f>_xlfn.XLOOKUP($N883,'Base de Grupos'!$A:$A,'Base de Grupos'!$E:$E)</f>
        <v>CANAL VENDA INTERNA</v>
      </c>
      <c r="D883" s="5" t="str">
        <f>_xlfn.XLOOKUP($N883,'Base de Grupos'!$A:$A,'Base de Grupos'!$F:$F)</f>
        <v>1000065763</v>
      </c>
      <c r="E883" s="2" t="str">
        <f>_xlfn.XLOOKUP($N883,'Base de Grupos'!$A:$A,'Base de Grupos'!$G:$G)</f>
        <v>CANAL VENDA INTERNA</v>
      </c>
      <c r="F883" s="2" t="str">
        <f>_xlfn.XLOOKUP($N883,'Base de Grupos'!$A:$A,'Base de Grupos'!$H:$H)</f>
        <v>1000174119</v>
      </c>
      <c r="G883" s="5" t="str">
        <f>_xlfn.XLOOKUP($N883,'Base de Grupos'!$A:$A,'Base de Grupos'!$I:$I)</f>
        <v>REGIONAL VENDA INTERNA - CONVENIENCIA</v>
      </c>
      <c r="H883" s="5" t="str">
        <f>_xlfn.XLOOKUP($N883,'Base de Grupos'!$A:$A,'Base de Grupos'!$J:$J)</f>
        <v>1000174119</v>
      </c>
      <c r="I883" s="2" t="str">
        <f>_xlfn.XLOOKUP($N883,'Base de Grupos'!$A:$A,'Base de Grupos'!$K:$K)</f>
        <v>REGIONAL VENDA INTERNA - CONVENIENCIA</v>
      </c>
      <c r="J883" s="2" t="str">
        <f>_xlfn.XLOOKUP($N883,'Base de Grupos'!$A:$A,'Base de Grupos'!$L:$L)</f>
        <v>1000174119</v>
      </c>
      <c r="K883" s="5" t="str">
        <f>_xlfn.XLOOKUP($N883,'Base de Grupos'!$A:$A,'Base de Grupos'!$M:$M)</f>
        <v>REGIONAL VENDA INTERNA - CONVENIENCIA</v>
      </c>
      <c r="L883" s="5" t="str">
        <f t="shared" si="866"/>
        <v/>
      </c>
      <c r="M883" s="5" t="str">
        <f>_xlfn.XLOOKUP($N883,'Base de Grupos'!$A:$A,'Base de Grupos'!$C:$C)</f>
        <v>RO</v>
      </c>
      <c r="N883" s="3">
        <v>1513</v>
      </c>
      <c r="O883" s="4" t="s">
        <v>272</v>
      </c>
      <c r="P883" s="5" t="s">
        <v>95</v>
      </c>
      <c r="Q883" s="56">
        <v>0</v>
      </c>
      <c r="R883" s="56">
        <v>0</v>
      </c>
      <c r="S883" s="56">
        <v>0</v>
      </c>
      <c r="T883" s="56">
        <f>_xlfn.XLOOKUP($N883,'Calculo Leads Conveniencia'!$A$77:$A$104,'Calculo Leads Conveniencia'!G$77:G$104)*_xlfn.XLOOKUP($P883,'Base Grupo de Produtos'!$E$23:$E$39,'Base Grupo de Produtos'!$F$23:$F$39)</f>
        <v>0</v>
      </c>
      <c r="U883" s="56">
        <f>_xlfn.XLOOKUP($N883,'Calculo Leads Conveniencia'!$A$77:$A$104,'Calculo Leads Conveniencia'!H$77:H$104)*_xlfn.XLOOKUP($P883,'Base Grupo de Produtos'!$E$23:$E$39,'Base Grupo de Produtos'!$F$23:$F$39)</f>
        <v>0</v>
      </c>
      <c r="V883" s="56">
        <f>_xlfn.XLOOKUP($N883,'Calculo Leads Conveniencia'!$A$77:$A$104,'Calculo Leads Conveniencia'!I$77:I$104)*_xlfn.XLOOKUP($P883,'Base Grupo de Produtos'!$E$23:$E$39,'Base Grupo de Produtos'!$F$23:$F$39)</f>
        <v>0</v>
      </c>
      <c r="W883" s="56">
        <f>_xlfn.XLOOKUP($N883,'Calculo Leads Conveniencia'!$A$77:$A$104,'Calculo Leads Conveniencia'!J$77:J$104)*_xlfn.XLOOKUP($P883,'Base Grupo de Produtos'!$E$23:$E$39,'Base Grupo de Produtos'!$F$23:$F$39)</f>
        <v>0</v>
      </c>
      <c r="X883" s="56">
        <f>_xlfn.XLOOKUP($N883,'Calculo Leads Conveniencia'!$A$77:$A$104,'Calculo Leads Conveniencia'!K$77:K$104)*_xlfn.XLOOKUP($P883,'Base Grupo de Produtos'!$E$23:$E$39,'Base Grupo de Produtos'!$F$23:$F$39)</f>
        <v>0</v>
      </c>
      <c r="Y883" s="56">
        <f>_xlfn.XLOOKUP($N883,'Calculo Leads Conveniencia'!$A$77:$A$104,'Calculo Leads Conveniencia'!L$77:L$104)*_xlfn.XLOOKUP($P883,'Base Grupo de Produtos'!$E$23:$E$39,'Base Grupo de Produtos'!$F$23:$F$39)</f>
        <v>0</v>
      </c>
      <c r="Z883" s="56">
        <f>_xlfn.XLOOKUP($N883,'Calculo Leads Conveniencia'!$A$77:$A$104,'Calculo Leads Conveniencia'!M$77:M$104)*_xlfn.XLOOKUP($P883,'Base Grupo de Produtos'!$E$23:$E$39,'Base Grupo de Produtos'!$F$23:$F$39)</f>
        <v>0</v>
      </c>
      <c r="AA883" s="56">
        <f>_xlfn.XLOOKUP($N883,'Calculo Leads Conveniencia'!$A$77:$A$104,'Calculo Leads Conveniencia'!N$77:N$104)*_xlfn.XLOOKUP($P883,'Base Grupo de Produtos'!$E$23:$E$39,'Base Grupo de Produtos'!$F$23:$F$39)</f>
        <v>0</v>
      </c>
      <c r="AB883" s="56">
        <f>_xlfn.XLOOKUP($N883,'Calculo Leads Conveniencia'!$A$77:$A$104,'Calculo Leads Conveniencia'!O$77:O$104)*_xlfn.XLOOKUP($P883,'Base Grupo de Produtos'!$E$23:$E$39,'Base Grupo de Produtos'!$F$23:$F$39)</f>
        <v>0</v>
      </c>
      <c r="AC883" s="61">
        <f t="shared" si="851"/>
        <v>0</v>
      </c>
      <c r="AD883" s="28"/>
      <c r="AE883" s="12"/>
      <c r="AF883" s="29"/>
      <c r="AG883" s="9"/>
      <c r="AH883" s="10"/>
      <c r="AI883" s="9"/>
      <c r="AJ883" s="11"/>
      <c r="AK883" s="9"/>
      <c r="AL883" s="13"/>
      <c r="AM883" s="9"/>
    </row>
    <row r="884" spans="1:39" x14ac:dyDescent="0.3">
      <c r="A884" s="2" t="str">
        <f t="shared" si="865"/>
        <v>NÃO</v>
      </c>
      <c r="B884" s="2" t="str">
        <f>_xlfn.XLOOKUP($N884,'Base de Grupos'!$A:$A,'Base de Grupos'!$D:$D)</f>
        <v>1000065763</v>
      </c>
      <c r="C884" s="5" t="str">
        <f>_xlfn.XLOOKUP($N884,'Base de Grupos'!$A:$A,'Base de Grupos'!$E:$E)</f>
        <v>CANAL VENDA INTERNA</v>
      </c>
      <c r="D884" s="5" t="str">
        <f>_xlfn.XLOOKUP($N884,'Base de Grupos'!$A:$A,'Base de Grupos'!$F:$F)</f>
        <v>1000065763</v>
      </c>
      <c r="E884" s="2" t="str">
        <f>_xlfn.XLOOKUP($N884,'Base de Grupos'!$A:$A,'Base de Grupos'!$G:$G)</f>
        <v>CANAL VENDA INTERNA</v>
      </c>
      <c r="F884" s="2" t="str">
        <f>_xlfn.XLOOKUP($N884,'Base de Grupos'!$A:$A,'Base de Grupos'!$H:$H)</f>
        <v>1000174119</v>
      </c>
      <c r="G884" s="5" t="str">
        <f>_xlfn.XLOOKUP($N884,'Base de Grupos'!$A:$A,'Base de Grupos'!$I:$I)</f>
        <v>REGIONAL VENDA INTERNA - CONVENIENCIA</v>
      </c>
      <c r="H884" s="5" t="str">
        <f>_xlfn.XLOOKUP($N884,'Base de Grupos'!$A:$A,'Base de Grupos'!$J:$J)</f>
        <v>1000174119</v>
      </c>
      <c r="I884" s="2" t="str">
        <f>_xlfn.XLOOKUP($N884,'Base de Grupos'!$A:$A,'Base de Grupos'!$K:$K)</f>
        <v>REGIONAL VENDA INTERNA - CONVENIENCIA</v>
      </c>
      <c r="J884" s="2" t="str">
        <f>_xlfn.XLOOKUP($N884,'Base de Grupos'!$A:$A,'Base de Grupos'!$L:$L)</f>
        <v>1000174119</v>
      </c>
      <c r="K884" s="5" t="str">
        <f>_xlfn.XLOOKUP($N884,'Base de Grupos'!$A:$A,'Base de Grupos'!$M:$M)</f>
        <v>REGIONAL VENDA INTERNA - CONVENIENCIA</v>
      </c>
      <c r="L884" s="5" t="str">
        <f t="shared" si="866"/>
        <v/>
      </c>
      <c r="M884" s="5" t="str">
        <f>_xlfn.XLOOKUP($N884,'Base de Grupos'!$A:$A,'Base de Grupos'!$C:$C)</f>
        <v>RO</v>
      </c>
      <c r="N884" s="3">
        <v>1513</v>
      </c>
      <c r="O884" s="4" t="s">
        <v>272</v>
      </c>
      <c r="P884" s="5" t="s">
        <v>93</v>
      </c>
      <c r="Q884" s="56">
        <v>0</v>
      </c>
      <c r="R884" s="56">
        <v>0</v>
      </c>
      <c r="S884" s="56">
        <v>0</v>
      </c>
      <c r="T884" s="56">
        <f>_xlfn.XLOOKUP($N884,'Calculo Leads Conveniencia'!$A$77:$A$104,'Calculo Leads Conveniencia'!G$77:G$104)*_xlfn.XLOOKUP($P884,'Base Grupo de Produtos'!$E$23:$E$39,'Base Grupo de Produtos'!$F$23:$F$39)</f>
        <v>0</v>
      </c>
      <c r="U884" s="56">
        <f>_xlfn.XLOOKUP($N884,'Calculo Leads Conveniencia'!$A$77:$A$104,'Calculo Leads Conveniencia'!H$77:H$104)*_xlfn.XLOOKUP($P884,'Base Grupo de Produtos'!$E$23:$E$39,'Base Grupo de Produtos'!$F$23:$F$39)</f>
        <v>0</v>
      </c>
      <c r="V884" s="56">
        <f>_xlfn.XLOOKUP($N884,'Calculo Leads Conveniencia'!$A$77:$A$104,'Calculo Leads Conveniencia'!I$77:I$104)*_xlfn.XLOOKUP($P884,'Base Grupo de Produtos'!$E$23:$E$39,'Base Grupo de Produtos'!$F$23:$F$39)</f>
        <v>0</v>
      </c>
      <c r="W884" s="56">
        <f>_xlfn.XLOOKUP($N884,'Calculo Leads Conveniencia'!$A$77:$A$104,'Calculo Leads Conveniencia'!J$77:J$104)*_xlfn.XLOOKUP($P884,'Base Grupo de Produtos'!$E$23:$E$39,'Base Grupo de Produtos'!$F$23:$F$39)</f>
        <v>0</v>
      </c>
      <c r="X884" s="56">
        <f>_xlfn.XLOOKUP($N884,'Calculo Leads Conveniencia'!$A$77:$A$104,'Calculo Leads Conveniencia'!K$77:K$104)*_xlfn.XLOOKUP($P884,'Base Grupo de Produtos'!$E$23:$E$39,'Base Grupo de Produtos'!$F$23:$F$39)</f>
        <v>0</v>
      </c>
      <c r="Y884" s="56">
        <f>_xlfn.XLOOKUP($N884,'Calculo Leads Conveniencia'!$A$77:$A$104,'Calculo Leads Conveniencia'!L$77:L$104)*_xlfn.XLOOKUP($P884,'Base Grupo de Produtos'!$E$23:$E$39,'Base Grupo de Produtos'!$F$23:$F$39)</f>
        <v>0</v>
      </c>
      <c r="Z884" s="56">
        <f>_xlfn.XLOOKUP($N884,'Calculo Leads Conveniencia'!$A$77:$A$104,'Calculo Leads Conveniencia'!M$77:M$104)*_xlfn.XLOOKUP($P884,'Base Grupo de Produtos'!$E$23:$E$39,'Base Grupo de Produtos'!$F$23:$F$39)</f>
        <v>0</v>
      </c>
      <c r="AA884" s="56">
        <f>_xlfn.XLOOKUP($N884,'Calculo Leads Conveniencia'!$A$77:$A$104,'Calculo Leads Conveniencia'!N$77:N$104)*_xlfn.XLOOKUP($P884,'Base Grupo de Produtos'!$E$23:$E$39,'Base Grupo de Produtos'!$F$23:$F$39)</f>
        <v>0</v>
      </c>
      <c r="AB884" s="56">
        <f>_xlfn.XLOOKUP($N884,'Calculo Leads Conveniencia'!$A$77:$A$104,'Calculo Leads Conveniencia'!O$77:O$104)*_xlfn.XLOOKUP($P884,'Base Grupo de Produtos'!$E$23:$E$39,'Base Grupo de Produtos'!$F$23:$F$39)</f>
        <v>0</v>
      </c>
      <c r="AC884" s="61">
        <f t="shared" si="851"/>
        <v>0</v>
      </c>
      <c r="AD884" s="28"/>
      <c r="AE884" s="12"/>
      <c r="AF884" s="29"/>
      <c r="AG884" s="9"/>
      <c r="AH884" s="10"/>
      <c r="AI884" s="9"/>
      <c r="AJ884" s="11"/>
      <c r="AK884" s="9"/>
      <c r="AL884" s="13"/>
      <c r="AM884" s="9"/>
    </row>
    <row r="885" spans="1:39" x14ac:dyDescent="0.3">
      <c r="A885" s="2" t="str">
        <f t="shared" si="865"/>
        <v>SIM</v>
      </c>
      <c r="B885" s="2" t="str">
        <f>_xlfn.XLOOKUP($N885,'Base de Grupos'!$A:$A,'Base de Grupos'!$D:$D)</f>
        <v>1000065763</v>
      </c>
      <c r="C885" s="5" t="str">
        <f>_xlfn.XLOOKUP($N885,'Base de Grupos'!$A:$A,'Base de Grupos'!$E:$E)</f>
        <v>CANAL VENDA INTERNA</v>
      </c>
      <c r="D885" s="5" t="str">
        <f>_xlfn.XLOOKUP($N885,'Base de Grupos'!$A:$A,'Base de Grupos'!$F:$F)</f>
        <v>1000065763</v>
      </c>
      <c r="E885" s="2" t="str">
        <f>_xlfn.XLOOKUP($N885,'Base de Grupos'!$A:$A,'Base de Grupos'!$G:$G)</f>
        <v>CANAL VENDA INTERNA</v>
      </c>
      <c r="F885" s="2" t="str">
        <f>_xlfn.XLOOKUP($N885,'Base de Grupos'!$A:$A,'Base de Grupos'!$H:$H)</f>
        <v>1000174119</v>
      </c>
      <c r="G885" s="5" t="str">
        <f>_xlfn.XLOOKUP($N885,'Base de Grupos'!$A:$A,'Base de Grupos'!$I:$I)</f>
        <v>REGIONAL VENDA INTERNA - CONVENIENCIA</v>
      </c>
      <c r="H885" s="5" t="str">
        <f>_xlfn.XLOOKUP($N885,'Base de Grupos'!$A:$A,'Base de Grupos'!$J:$J)</f>
        <v>1000174119</v>
      </c>
      <c r="I885" s="2" t="str">
        <f>_xlfn.XLOOKUP($N885,'Base de Grupos'!$A:$A,'Base de Grupos'!$K:$K)</f>
        <v>REGIONAL VENDA INTERNA - CONVENIENCIA</v>
      </c>
      <c r="J885" s="2" t="str">
        <f>_xlfn.XLOOKUP($N885,'Base de Grupos'!$A:$A,'Base de Grupos'!$L:$L)</f>
        <v>1000174119</v>
      </c>
      <c r="K885" s="5" t="str">
        <f>_xlfn.XLOOKUP($N885,'Base de Grupos'!$A:$A,'Base de Grupos'!$M:$M)</f>
        <v>REGIONAL VENDA INTERNA - CONVENIENCIA</v>
      </c>
      <c r="L885" s="5">
        <f t="shared" si="866"/>
        <v>1</v>
      </c>
      <c r="M885" s="5" t="str">
        <f>_xlfn.XLOOKUP($N885,'Base de Grupos'!$A:$A,'Base de Grupos'!$C:$C)</f>
        <v>RR</v>
      </c>
      <c r="N885" s="3">
        <v>1514</v>
      </c>
      <c r="O885" s="4" t="s">
        <v>273</v>
      </c>
      <c r="P885" s="5" t="s">
        <v>343</v>
      </c>
      <c r="Q885" s="56">
        <f t="shared" ref="Q885" si="880">SUM(Q886:Q902)</f>
        <v>0</v>
      </c>
      <c r="R885" s="56">
        <f t="shared" ref="R885" si="881">SUM(R886:R902)</f>
        <v>0</v>
      </c>
      <c r="S885" s="56">
        <f t="shared" ref="S885" si="882">SUM(S886:S902)</f>
        <v>0</v>
      </c>
      <c r="T885" s="56">
        <f t="shared" ref="T885" si="883">SUM(T886:T902)</f>
        <v>0</v>
      </c>
      <c r="U885" s="56">
        <f t="shared" ref="U885" si="884">SUM(U886:U902)</f>
        <v>0</v>
      </c>
      <c r="V885" s="56">
        <f t="shared" ref="V885" si="885">SUM(V886:V902)</f>
        <v>0</v>
      </c>
      <c r="W885" s="56">
        <f t="shared" ref="W885" si="886">SUM(W886:W902)</f>
        <v>0</v>
      </c>
      <c r="X885" s="56">
        <f t="shared" ref="X885" si="887">SUM(X886:X902)</f>
        <v>0</v>
      </c>
      <c r="Y885" s="56">
        <f t="shared" ref="Y885" si="888">SUM(Y886:Y902)</f>
        <v>0</v>
      </c>
      <c r="Z885" s="56">
        <f t="shared" ref="Z885" si="889">SUM(Z886:Z902)</f>
        <v>0</v>
      </c>
      <c r="AA885" s="56">
        <f t="shared" ref="AA885" si="890">SUM(AA886:AA902)</f>
        <v>0</v>
      </c>
      <c r="AB885" s="56">
        <f t="shared" ref="AB885" si="891">SUM(AB886:AB902)</f>
        <v>0</v>
      </c>
      <c r="AC885" s="56">
        <f t="shared" ref="AC885" si="892">SUM(AC886:AC902)</f>
        <v>0</v>
      </c>
      <c r="AD885" s="28"/>
      <c r="AE885" s="12"/>
      <c r="AF885" s="29"/>
      <c r="AG885" s="9"/>
      <c r="AH885" s="10"/>
      <c r="AI885" s="9"/>
      <c r="AJ885" s="11"/>
      <c r="AK885" s="9"/>
      <c r="AL885" s="13"/>
      <c r="AM885" s="9"/>
    </row>
    <row r="886" spans="1:39" x14ac:dyDescent="0.3">
      <c r="A886" s="2" t="str">
        <f t="shared" si="865"/>
        <v>NÃO</v>
      </c>
      <c r="B886" s="2" t="str">
        <f>_xlfn.XLOOKUP($N886,'Base de Grupos'!$A:$A,'Base de Grupos'!$D:$D)</f>
        <v>1000065763</v>
      </c>
      <c r="C886" s="5" t="str">
        <f>_xlfn.XLOOKUP($N886,'Base de Grupos'!$A:$A,'Base de Grupos'!$E:$E)</f>
        <v>CANAL VENDA INTERNA</v>
      </c>
      <c r="D886" s="5" t="str">
        <f>_xlfn.XLOOKUP($N886,'Base de Grupos'!$A:$A,'Base de Grupos'!$F:$F)</f>
        <v>1000065763</v>
      </c>
      <c r="E886" s="2" t="str">
        <f>_xlfn.XLOOKUP($N886,'Base de Grupos'!$A:$A,'Base de Grupos'!$G:$G)</f>
        <v>CANAL VENDA INTERNA</v>
      </c>
      <c r="F886" s="2" t="str">
        <f>_xlfn.XLOOKUP($N886,'Base de Grupos'!$A:$A,'Base de Grupos'!$H:$H)</f>
        <v>1000174119</v>
      </c>
      <c r="G886" s="5" t="str">
        <f>_xlfn.XLOOKUP($N886,'Base de Grupos'!$A:$A,'Base de Grupos'!$I:$I)</f>
        <v>REGIONAL VENDA INTERNA - CONVENIENCIA</v>
      </c>
      <c r="H886" s="5" t="str">
        <f>_xlfn.XLOOKUP($N886,'Base de Grupos'!$A:$A,'Base de Grupos'!$J:$J)</f>
        <v>1000174119</v>
      </c>
      <c r="I886" s="2" t="str">
        <f>_xlfn.XLOOKUP($N886,'Base de Grupos'!$A:$A,'Base de Grupos'!$K:$K)</f>
        <v>REGIONAL VENDA INTERNA - CONVENIENCIA</v>
      </c>
      <c r="J886" s="2" t="str">
        <f>_xlfn.XLOOKUP($N886,'Base de Grupos'!$A:$A,'Base de Grupos'!$L:$L)</f>
        <v>1000174119</v>
      </c>
      <c r="K886" s="5" t="str">
        <f>_xlfn.XLOOKUP($N886,'Base de Grupos'!$A:$A,'Base de Grupos'!$M:$M)</f>
        <v>REGIONAL VENDA INTERNA - CONVENIENCIA</v>
      </c>
      <c r="L886" s="5" t="str">
        <f t="shared" si="866"/>
        <v/>
      </c>
      <c r="M886" s="5" t="str">
        <f>_xlfn.XLOOKUP($N886,'Base de Grupos'!$A:$A,'Base de Grupos'!$C:$C)</f>
        <v>RR</v>
      </c>
      <c r="N886" s="3">
        <v>1514</v>
      </c>
      <c r="O886" s="4" t="s">
        <v>273</v>
      </c>
      <c r="P886" s="5" t="s">
        <v>81</v>
      </c>
      <c r="Q886" s="56">
        <v>0</v>
      </c>
      <c r="R886" s="56">
        <v>0</v>
      </c>
      <c r="S886" s="56">
        <v>0</v>
      </c>
      <c r="T886" s="56">
        <f>_xlfn.XLOOKUP($N886,'Calculo Leads Conveniencia'!$A$77:$A$104,'Calculo Leads Conveniencia'!G$77:G$104)*_xlfn.XLOOKUP($P886,'Base Grupo de Produtos'!$E$23:$E$39,'Base Grupo de Produtos'!$F$23:$F$39)</f>
        <v>0</v>
      </c>
      <c r="U886" s="56">
        <f>_xlfn.XLOOKUP($N886,'Calculo Leads Conveniencia'!$A$77:$A$104,'Calculo Leads Conveniencia'!H$77:H$104)*_xlfn.XLOOKUP($P886,'Base Grupo de Produtos'!$E$23:$E$39,'Base Grupo de Produtos'!$F$23:$F$39)</f>
        <v>0</v>
      </c>
      <c r="V886" s="56">
        <f>_xlfn.XLOOKUP($N886,'Calculo Leads Conveniencia'!$A$77:$A$104,'Calculo Leads Conveniencia'!I$77:I$104)*_xlfn.XLOOKUP($P886,'Base Grupo de Produtos'!$E$23:$E$39,'Base Grupo de Produtos'!$F$23:$F$39)</f>
        <v>0</v>
      </c>
      <c r="W886" s="56">
        <f>_xlfn.XLOOKUP($N886,'Calculo Leads Conveniencia'!$A$77:$A$104,'Calculo Leads Conveniencia'!J$77:J$104)*_xlfn.XLOOKUP($P886,'Base Grupo de Produtos'!$E$23:$E$39,'Base Grupo de Produtos'!$F$23:$F$39)</f>
        <v>0</v>
      </c>
      <c r="X886" s="56">
        <f>_xlfn.XLOOKUP($N886,'Calculo Leads Conveniencia'!$A$77:$A$104,'Calculo Leads Conveniencia'!K$77:K$104)*_xlfn.XLOOKUP($P886,'Base Grupo de Produtos'!$E$23:$E$39,'Base Grupo de Produtos'!$F$23:$F$39)</f>
        <v>0</v>
      </c>
      <c r="Y886" s="56">
        <f>_xlfn.XLOOKUP($N886,'Calculo Leads Conveniencia'!$A$77:$A$104,'Calculo Leads Conveniencia'!L$77:L$104)*_xlfn.XLOOKUP($P886,'Base Grupo de Produtos'!$E$23:$E$39,'Base Grupo de Produtos'!$F$23:$F$39)</f>
        <v>0</v>
      </c>
      <c r="Z886" s="56">
        <f>_xlfn.XLOOKUP($N886,'Calculo Leads Conveniencia'!$A$77:$A$104,'Calculo Leads Conveniencia'!M$77:M$104)*_xlfn.XLOOKUP($P886,'Base Grupo de Produtos'!$E$23:$E$39,'Base Grupo de Produtos'!$F$23:$F$39)</f>
        <v>0</v>
      </c>
      <c r="AA886" s="56">
        <f>_xlfn.XLOOKUP($N886,'Calculo Leads Conveniencia'!$A$77:$A$104,'Calculo Leads Conveniencia'!N$77:N$104)*_xlfn.XLOOKUP($P886,'Base Grupo de Produtos'!$E$23:$E$39,'Base Grupo de Produtos'!$F$23:$F$39)</f>
        <v>0</v>
      </c>
      <c r="AB886" s="56">
        <f>_xlfn.XLOOKUP($N886,'Calculo Leads Conveniencia'!$A$77:$A$104,'Calculo Leads Conveniencia'!O$77:O$104)*_xlfn.XLOOKUP($P886,'Base Grupo de Produtos'!$E$23:$E$39,'Base Grupo de Produtos'!$F$23:$F$39)</f>
        <v>0</v>
      </c>
      <c r="AC886" s="61">
        <f t="shared" si="851"/>
        <v>0</v>
      </c>
      <c r="AD886" s="28"/>
      <c r="AE886" s="12"/>
      <c r="AF886" s="29"/>
      <c r="AG886" s="9"/>
      <c r="AH886" s="10"/>
      <c r="AI886" s="9"/>
      <c r="AJ886" s="11"/>
      <c r="AK886" s="9"/>
      <c r="AL886" s="13"/>
      <c r="AM886" s="9"/>
    </row>
    <row r="887" spans="1:39" x14ac:dyDescent="0.3">
      <c r="A887" s="2" t="str">
        <f t="shared" si="865"/>
        <v>NÃO</v>
      </c>
      <c r="B887" s="2" t="str">
        <f>_xlfn.XLOOKUP($N887,'Base de Grupos'!$A:$A,'Base de Grupos'!$D:$D)</f>
        <v>1000065763</v>
      </c>
      <c r="C887" s="5" t="str">
        <f>_xlfn.XLOOKUP($N887,'Base de Grupos'!$A:$A,'Base de Grupos'!$E:$E)</f>
        <v>CANAL VENDA INTERNA</v>
      </c>
      <c r="D887" s="5" t="str">
        <f>_xlfn.XLOOKUP($N887,'Base de Grupos'!$A:$A,'Base de Grupos'!$F:$F)</f>
        <v>1000065763</v>
      </c>
      <c r="E887" s="2" t="str">
        <f>_xlfn.XLOOKUP($N887,'Base de Grupos'!$A:$A,'Base de Grupos'!$G:$G)</f>
        <v>CANAL VENDA INTERNA</v>
      </c>
      <c r="F887" s="2" t="str">
        <f>_xlfn.XLOOKUP($N887,'Base de Grupos'!$A:$A,'Base de Grupos'!$H:$H)</f>
        <v>1000174119</v>
      </c>
      <c r="G887" s="5" t="str">
        <f>_xlfn.XLOOKUP($N887,'Base de Grupos'!$A:$A,'Base de Grupos'!$I:$I)</f>
        <v>REGIONAL VENDA INTERNA - CONVENIENCIA</v>
      </c>
      <c r="H887" s="5" t="str">
        <f>_xlfn.XLOOKUP($N887,'Base de Grupos'!$A:$A,'Base de Grupos'!$J:$J)</f>
        <v>1000174119</v>
      </c>
      <c r="I887" s="2" t="str">
        <f>_xlfn.XLOOKUP($N887,'Base de Grupos'!$A:$A,'Base de Grupos'!$K:$K)</f>
        <v>REGIONAL VENDA INTERNA - CONVENIENCIA</v>
      </c>
      <c r="J887" s="2" t="str">
        <f>_xlfn.XLOOKUP($N887,'Base de Grupos'!$A:$A,'Base de Grupos'!$L:$L)</f>
        <v>1000174119</v>
      </c>
      <c r="K887" s="5" t="str">
        <f>_xlfn.XLOOKUP($N887,'Base de Grupos'!$A:$A,'Base de Grupos'!$M:$M)</f>
        <v>REGIONAL VENDA INTERNA - CONVENIENCIA</v>
      </c>
      <c r="L887" s="5" t="str">
        <f t="shared" si="866"/>
        <v/>
      </c>
      <c r="M887" s="5" t="str">
        <f>_xlfn.XLOOKUP($N887,'Base de Grupos'!$A:$A,'Base de Grupos'!$C:$C)</f>
        <v>RR</v>
      </c>
      <c r="N887" s="3">
        <v>1514</v>
      </c>
      <c r="O887" s="4" t="s">
        <v>273</v>
      </c>
      <c r="P887" s="5" t="s">
        <v>82</v>
      </c>
      <c r="Q887" s="56">
        <v>0</v>
      </c>
      <c r="R887" s="56">
        <v>0</v>
      </c>
      <c r="S887" s="56">
        <v>0</v>
      </c>
      <c r="T887" s="56">
        <f>_xlfn.XLOOKUP($N887,'Calculo Leads Conveniencia'!$A$77:$A$104,'Calculo Leads Conveniencia'!G$77:G$104)*_xlfn.XLOOKUP($P887,'Base Grupo de Produtos'!$E$23:$E$39,'Base Grupo de Produtos'!$F$23:$F$39)</f>
        <v>0</v>
      </c>
      <c r="U887" s="56">
        <f>_xlfn.XLOOKUP($N887,'Calculo Leads Conveniencia'!$A$77:$A$104,'Calculo Leads Conveniencia'!H$77:H$104)*_xlfn.XLOOKUP($P887,'Base Grupo de Produtos'!$E$23:$E$39,'Base Grupo de Produtos'!$F$23:$F$39)</f>
        <v>0</v>
      </c>
      <c r="V887" s="56">
        <f>_xlfn.XLOOKUP($N887,'Calculo Leads Conveniencia'!$A$77:$A$104,'Calculo Leads Conveniencia'!I$77:I$104)*_xlfn.XLOOKUP($P887,'Base Grupo de Produtos'!$E$23:$E$39,'Base Grupo de Produtos'!$F$23:$F$39)</f>
        <v>0</v>
      </c>
      <c r="W887" s="56">
        <f>_xlfn.XLOOKUP($N887,'Calculo Leads Conveniencia'!$A$77:$A$104,'Calculo Leads Conveniencia'!J$77:J$104)*_xlfn.XLOOKUP($P887,'Base Grupo de Produtos'!$E$23:$E$39,'Base Grupo de Produtos'!$F$23:$F$39)</f>
        <v>0</v>
      </c>
      <c r="X887" s="56">
        <f>_xlfn.XLOOKUP($N887,'Calculo Leads Conveniencia'!$A$77:$A$104,'Calculo Leads Conveniencia'!K$77:K$104)*_xlfn.XLOOKUP($P887,'Base Grupo de Produtos'!$E$23:$E$39,'Base Grupo de Produtos'!$F$23:$F$39)</f>
        <v>0</v>
      </c>
      <c r="Y887" s="56">
        <f>_xlfn.XLOOKUP($N887,'Calculo Leads Conveniencia'!$A$77:$A$104,'Calculo Leads Conveniencia'!L$77:L$104)*_xlfn.XLOOKUP($P887,'Base Grupo de Produtos'!$E$23:$E$39,'Base Grupo de Produtos'!$F$23:$F$39)</f>
        <v>0</v>
      </c>
      <c r="Z887" s="56">
        <f>_xlfn.XLOOKUP($N887,'Calculo Leads Conveniencia'!$A$77:$A$104,'Calculo Leads Conveniencia'!M$77:M$104)*_xlfn.XLOOKUP($P887,'Base Grupo de Produtos'!$E$23:$E$39,'Base Grupo de Produtos'!$F$23:$F$39)</f>
        <v>0</v>
      </c>
      <c r="AA887" s="56">
        <f>_xlfn.XLOOKUP($N887,'Calculo Leads Conveniencia'!$A$77:$A$104,'Calculo Leads Conveniencia'!N$77:N$104)*_xlfn.XLOOKUP($P887,'Base Grupo de Produtos'!$E$23:$E$39,'Base Grupo de Produtos'!$F$23:$F$39)</f>
        <v>0</v>
      </c>
      <c r="AB887" s="56">
        <f>_xlfn.XLOOKUP($N887,'Calculo Leads Conveniencia'!$A$77:$A$104,'Calculo Leads Conveniencia'!O$77:O$104)*_xlfn.XLOOKUP($P887,'Base Grupo de Produtos'!$E$23:$E$39,'Base Grupo de Produtos'!$F$23:$F$39)</f>
        <v>0</v>
      </c>
      <c r="AC887" s="61">
        <f t="shared" si="851"/>
        <v>0</v>
      </c>
      <c r="AD887" s="28"/>
      <c r="AE887" s="12"/>
      <c r="AF887" s="29"/>
      <c r="AG887" s="9"/>
      <c r="AH887" s="10"/>
      <c r="AI887" s="9"/>
      <c r="AJ887" s="11"/>
      <c r="AK887" s="9"/>
      <c r="AL887" s="13"/>
      <c r="AM887" s="9"/>
    </row>
    <row r="888" spans="1:39" x14ac:dyDescent="0.3">
      <c r="A888" s="2" t="str">
        <f t="shared" si="865"/>
        <v>NÃO</v>
      </c>
      <c r="B888" s="2" t="str">
        <f>_xlfn.XLOOKUP($N888,'Base de Grupos'!$A:$A,'Base de Grupos'!$D:$D)</f>
        <v>1000065763</v>
      </c>
      <c r="C888" s="5" t="str">
        <f>_xlfn.XLOOKUP($N888,'Base de Grupos'!$A:$A,'Base de Grupos'!$E:$E)</f>
        <v>CANAL VENDA INTERNA</v>
      </c>
      <c r="D888" s="5" t="str">
        <f>_xlfn.XLOOKUP($N888,'Base de Grupos'!$A:$A,'Base de Grupos'!$F:$F)</f>
        <v>1000065763</v>
      </c>
      <c r="E888" s="2" t="str">
        <f>_xlfn.XLOOKUP($N888,'Base de Grupos'!$A:$A,'Base de Grupos'!$G:$G)</f>
        <v>CANAL VENDA INTERNA</v>
      </c>
      <c r="F888" s="2" t="str">
        <f>_xlfn.XLOOKUP($N888,'Base de Grupos'!$A:$A,'Base de Grupos'!$H:$H)</f>
        <v>1000174119</v>
      </c>
      <c r="G888" s="5" t="str">
        <f>_xlfn.XLOOKUP($N888,'Base de Grupos'!$A:$A,'Base de Grupos'!$I:$I)</f>
        <v>REGIONAL VENDA INTERNA - CONVENIENCIA</v>
      </c>
      <c r="H888" s="5" t="str">
        <f>_xlfn.XLOOKUP($N888,'Base de Grupos'!$A:$A,'Base de Grupos'!$J:$J)</f>
        <v>1000174119</v>
      </c>
      <c r="I888" s="2" t="str">
        <f>_xlfn.XLOOKUP($N888,'Base de Grupos'!$A:$A,'Base de Grupos'!$K:$K)</f>
        <v>REGIONAL VENDA INTERNA - CONVENIENCIA</v>
      </c>
      <c r="J888" s="2" t="str">
        <f>_xlfn.XLOOKUP($N888,'Base de Grupos'!$A:$A,'Base de Grupos'!$L:$L)</f>
        <v>1000174119</v>
      </c>
      <c r="K888" s="5" t="str">
        <f>_xlfn.XLOOKUP($N888,'Base de Grupos'!$A:$A,'Base de Grupos'!$M:$M)</f>
        <v>REGIONAL VENDA INTERNA - CONVENIENCIA</v>
      </c>
      <c r="L888" s="5" t="str">
        <f t="shared" si="866"/>
        <v/>
      </c>
      <c r="M888" s="5" t="str">
        <f>_xlfn.XLOOKUP($N888,'Base de Grupos'!$A:$A,'Base de Grupos'!$C:$C)</f>
        <v>RR</v>
      </c>
      <c r="N888" s="3">
        <v>1514</v>
      </c>
      <c r="O888" s="4" t="s">
        <v>273</v>
      </c>
      <c r="P888" s="5" t="s">
        <v>84</v>
      </c>
      <c r="Q888" s="56">
        <v>0</v>
      </c>
      <c r="R888" s="56">
        <v>0</v>
      </c>
      <c r="S888" s="56">
        <v>0</v>
      </c>
      <c r="T888" s="56">
        <f>_xlfn.XLOOKUP($N888,'Calculo Leads Conveniencia'!$A$77:$A$104,'Calculo Leads Conveniencia'!G$77:G$104)*_xlfn.XLOOKUP($P888,'Base Grupo de Produtos'!$E$23:$E$39,'Base Grupo de Produtos'!$F$23:$F$39)</f>
        <v>0</v>
      </c>
      <c r="U888" s="56">
        <f>_xlfn.XLOOKUP($N888,'Calculo Leads Conveniencia'!$A$77:$A$104,'Calculo Leads Conveniencia'!H$77:H$104)*_xlfn.XLOOKUP($P888,'Base Grupo de Produtos'!$E$23:$E$39,'Base Grupo de Produtos'!$F$23:$F$39)</f>
        <v>0</v>
      </c>
      <c r="V888" s="56">
        <f>_xlfn.XLOOKUP($N888,'Calculo Leads Conveniencia'!$A$77:$A$104,'Calculo Leads Conveniencia'!I$77:I$104)*_xlfn.XLOOKUP($P888,'Base Grupo de Produtos'!$E$23:$E$39,'Base Grupo de Produtos'!$F$23:$F$39)</f>
        <v>0</v>
      </c>
      <c r="W888" s="56">
        <f>_xlfn.XLOOKUP($N888,'Calculo Leads Conveniencia'!$A$77:$A$104,'Calculo Leads Conveniencia'!J$77:J$104)*_xlfn.XLOOKUP($P888,'Base Grupo de Produtos'!$E$23:$E$39,'Base Grupo de Produtos'!$F$23:$F$39)</f>
        <v>0</v>
      </c>
      <c r="X888" s="56">
        <f>_xlfn.XLOOKUP($N888,'Calculo Leads Conveniencia'!$A$77:$A$104,'Calculo Leads Conveniencia'!K$77:K$104)*_xlfn.XLOOKUP($P888,'Base Grupo de Produtos'!$E$23:$E$39,'Base Grupo de Produtos'!$F$23:$F$39)</f>
        <v>0</v>
      </c>
      <c r="Y888" s="56">
        <f>_xlfn.XLOOKUP($N888,'Calculo Leads Conveniencia'!$A$77:$A$104,'Calculo Leads Conveniencia'!L$77:L$104)*_xlfn.XLOOKUP($P888,'Base Grupo de Produtos'!$E$23:$E$39,'Base Grupo de Produtos'!$F$23:$F$39)</f>
        <v>0</v>
      </c>
      <c r="Z888" s="56">
        <f>_xlfn.XLOOKUP($N888,'Calculo Leads Conveniencia'!$A$77:$A$104,'Calculo Leads Conveniencia'!M$77:M$104)*_xlfn.XLOOKUP($P888,'Base Grupo de Produtos'!$E$23:$E$39,'Base Grupo de Produtos'!$F$23:$F$39)</f>
        <v>0</v>
      </c>
      <c r="AA888" s="56">
        <f>_xlfn.XLOOKUP($N888,'Calculo Leads Conveniencia'!$A$77:$A$104,'Calculo Leads Conveniencia'!N$77:N$104)*_xlfn.XLOOKUP($P888,'Base Grupo de Produtos'!$E$23:$E$39,'Base Grupo de Produtos'!$F$23:$F$39)</f>
        <v>0</v>
      </c>
      <c r="AB888" s="56">
        <f>_xlfn.XLOOKUP($N888,'Calculo Leads Conveniencia'!$A$77:$A$104,'Calculo Leads Conveniencia'!O$77:O$104)*_xlfn.XLOOKUP($P888,'Base Grupo de Produtos'!$E$23:$E$39,'Base Grupo de Produtos'!$F$23:$F$39)</f>
        <v>0</v>
      </c>
      <c r="AC888" s="61">
        <f t="shared" si="851"/>
        <v>0</v>
      </c>
      <c r="AD888" s="28"/>
      <c r="AE888" s="12"/>
      <c r="AF888" s="29"/>
      <c r="AG888" s="9"/>
      <c r="AH888" s="10"/>
      <c r="AI888" s="9"/>
      <c r="AJ888" s="11"/>
      <c r="AK888" s="9"/>
      <c r="AL888" s="13"/>
      <c r="AM888" s="9"/>
    </row>
    <row r="889" spans="1:39" x14ac:dyDescent="0.3">
      <c r="A889" s="2" t="str">
        <f t="shared" si="865"/>
        <v>NÃO</v>
      </c>
      <c r="B889" s="2" t="str">
        <f>_xlfn.XLOOKUP($N889,'Base de Grupos'!$A:$A,'Base de Grupos'!$D:$D)</f>
        <v>1000065763</v>
      </c>
      <c r="C889" s="5" t="str">
        <f>_xlfn.XLOOKUP($N889,'Base de Grupos'!$A:$A,'Base de Grupos'!$E:$E)</f>
        <v>CANAL VENDA INTERNA</v>
      </c>
      <c r="D889" s="5" t="str">
        <f>_xlfn.XLOOKUP($N889,'Base de Grupos'!$A:$A,'Base de Grupos'!$F:$F)</f>
        <v>1000065763</v>
      </c>
      <c r="E889" s="2" t="str">
        <f>_xlfn.XLOOKUP($N889,'Base de Grupos'!$A:$A,'Base de Grupos'!$G:$G)</f>
        <v>CANAL VENDA INTERNA</v>
      </c>
      <c r="F889" s="2" t="str">
        <f>_xlfn.XLOOKUP($N889,'Base de Grupos'!$A:$A,'Base de Grupos'!$H:$H)</f>
        <v>1000174119</v>
      </c>
      <c r="G889" s="5" t="str">
        <f>_xlfn.XLOOKUP($N889,'Base de Grupos'!$A:$A,'Base de Grupos'!$I:$I)</f>
        <v>REGIONAL VENDA INTERNA - CONVENIENCIA</v>
      </c>
      <c r="H889" s="5" t="str">
        <f>_xlfn.XLOOKUP($N889,'Base de Grupos'!$A:$A,'Base de Grupos'!$J:$J)</f>
        <v>1000174119</v>
      </c>
      <c r="I889" s="2" t="str">
        <f>_xlfn.XLOOKUP($N889,'Base de Grupos'!$A:$A,'Base de Grupos'!$K:$K)</f>
        <v>REGIONAL VENDA INTERNA - CONVENIENCIA</v>
      </c>
      <c r="J889" s="2" t="str">
        <f>_xlfn.XLOOKUP($N889,'Base de Grupos'!$A:$A,'Base de Grupos'!$L:$L)</f>
        <v>1000174119</v>
      </c>
      <c r="K889" s="5" t="str">
        <f>_xlfn.XLOOKUP($N889,'Base de Grupos'!$A:$A,'Base de Grupos'!$M:$M)</f>
        <v>REGIONAL VENDA INTERNA - CONVENIENCIA</v>
      </c>
      <c r="L889" s="5" t="str">
        <f t="shared" si="866"/>
        <v/>
      </c>
      <c r="M889" s="5" t="str">
        <f>_xlfn.XLOOKUP($N889,'Base de Grupos'!$A:$A,'Base de Grupos'!$C:$C)</f>
        <v>RR</v>
      </c>
      <c r="N889" s="3">
        <v>1514</v>
      </c>
      <c r="O889" s="4" t="s">
        <v>273</v>
      </c>
      <c r="P889" s="5" t="s">
        <v>83</v>
      </c>
      <c r="Q889" s="56">
        <v>0</v>
      </c>
      <c r="R889" s="56">
        <v>0</v>
      </c>
      <c r="S889" s="56">
        <v>0</v>
      </c>
      <c r="T889" s="56">
        <f>_xlfn.XLOOKUP($N889,'Calculo Leads Conveniencia'!$A$77:$A$104,'Calculo Leads Conveniencia'!G$77:G$104)*_xlfn.XLOOKUP($P889,'Base Grupo de Produtos'!$E$23:$E$39,'Base Grupo de Produtos'!$F$23:$F$39)</f>
        <v>0</v>
      </c>
      <c r="U889" s="56">
        <f>_xlfn.XLOOKUP($N889,'Calculo Leads Conveniencia'!$A$77:$A$104,'Calculo Leads Conveniencia'!H$77:H$104)*_xlfn.XLOOKUP($P889,'Base Grupo de Produtos'!$E$23:$E$39,'Base Grupo de Produtos'!$F$23:$F$39)</f>
        <v>0</v>
      </c>
      <c r="V889" s="56">
        <f>_xlfn.XLOOKUP($N889,'Calculo Leads Conveniencia'!$A$77:$A$104,'Calculo Leads Conveniencia'!I$77:I$104)*_xlfn.XLOOKUP($P889,'Base Grupo de Produtos'!$E$23:$E$39,'Base Grupo de Produtos'!$F$23:$F$39)</f>
        <v>0</v>
      </c>
      <c r="W889" s="56">
        <f>_xlfn.XLOOKUP($N889,'Calculo Leads Conveniencia'!$A$77:$A$104,'Calculo Leads Conveniencia'!J$77:J$104)*_xlfn.XLOOKUP($P889,'Base Grupo de Produtos'!$E$23:$E$39,'Base Grupo de Produtos'!$F$23:$F$39)</f>
        <v>0</v>
      </c>
      <c r="X889" s="56">
        <f>_xlfn.XLOOKUP($N889,'Calculo Leads Conveniencia'!$A$77:$A$104,'Calculo Leads Conveniencia'!K$77:K$104)*_xlfn.XLOOKUP($P889,'Base Grupo de Produtos'!$E$23:$E$39,'Base Grupo de Produtos'!$F$23:$F$39)</f>
        <v>0</v>
      </c>
      <c r="Y889" s="56">
        <f>_xlfn.XLOOKUP($N889,'Calculo Leads Conveniencia'!$A$77:$A$104,'Calculo Leads Conveniencia'!L$77:L$104)*_xlfn.XLOOKUP($P889,'Base Grupo de Produtos'!$E$23:$E$39,'Base Grupo de Produtos'!$F$23:$F$39)</f>
        <v>0</v>
      </c>
      <c r="Z889" s="56">
        <f>_xlfn.XLOOKUP($N889,'Calculo Leads Conveniencia'!$A$77:$A$104,'Calculo Leads Conveniencia'!M$77:M$104)*_xlfn.XLOOKUP($P889,'Base Grupo de Produtos'!$E$23:$E$39,'Base Grupo de Produtos'!$F$23:$F$39)</f>
        <v>0</v>
      </c>
      <c r="AA889" s="56">
        <f>_xlfn.XLOOKUP($N889,'Calculo Leads Conveniencia'!$A$77:$A$104,'Calculo Leads Conveniencia'!N$77:N$104)*_xlfn.XLOOKUP($P889,'Base Grupo de Produtos'!$E$23:$E$39,'Base Grupo de Produtos'!$F$23:$F$39)</f>
        <v>0</v>
      </c>
      <c r="AB889" s="56">
        <f>_xlfn.XLOOKUP($N889,'Calculo Leads Conveniencia'!$A$77:$A$104,'Calculo Leads Conveniencia'!O$77:O$104)*_xlfn.XLOOKUP($P889,'Base Grupo de Produtos'!$E$23:$E$39,'Base Grupo de Produtos'!$F$23:$F$39)</f>
        <v>0</v>
      </c>
      <c r="AC889" s="61">
        <f t="shared" si="851"/>
        <v>0</v>
      </c>
      <c r="AD889" s="28"/>
      <c r="AE889" s="12"/>
      <c r="AF889" s="29"/>
      <c r="AG889" s="9"/>
      <c r="AH889" s="10"/>
      <c r="AI889" s="9"/>
      <c r="AJ889" s="11"/>
      <c r="AK889" s="9"/>
      <c r="AL889" s="13"/>
      <c r="AM889" s="9"/>
    </row>
    <row r="890" spans="1:39" x14ac:dyDescent="0.3">
      <c r="A890" s="2" t="str">
        <f t="shared" si="865"/>
        <v>NÃO</v>
      </c>
      <c r="B890" s="2" t="str">
        <f>_xlfn.XLOOKUP($N890,'Base de Grupos'!$A:$A,'Base de Grupos'!$D:$D)</f>
        <v>1000065763</v>
      </c>
      <c r="C890" s="5" t="str">
        <f>_xlfn.XLOOKUP($N890,'Base de Grupos'!$A:$A,'Base de Grupos'!$E:$E)</f>
        <v>CANAL VENDA INTERNA</v>
      </c>
      <c r="D890" s="5" t="str">
        <f>_xlfn.XLOOKUP($N890,'Base de Grupos'!$A:$A,'Base de Grupos'!$F:$F)</f>
        <v>1000065763</v>
      </c>
      <c r="E890" s="2" t="str">
        <f>_xlfn.XLOOKUP($N890,'Base de Grupos'!$A:$A,'Base de Grupos'!$G:$G)</f>
        <v>CANAL VENDA INTERNA</v>
      </c>
      <c r="F890" s="2" t="str">
        <f>_xlfn.XLOOKUP($N890,'Base de Grupos'!$A:$A,'Base de Grupos'!$H:$H)</f>
        <v>1000174119</v>
      </c>
      <c r="G890" s="5" t="str">
        <f>_xlfn.XLOOKUP($N890,'Base de Grupos'!$A:$A,'Base de Grupos'!$I:$I)</f>
        <v>REGIONAL VENDA INTERNA - CONVENIENCIA</v>
      </c>
      <c r="H890" s="5" t="str">
        <f>_xlfn.XLOOKUP($N890,'Base de Grupos'!$A:$A,'Base de Grupos'!$J:$J)</f>
        <v>1000174119</v>
      </c>
      <c r="I890" s="2" t="str">
        <f>_xlfn.XLOOKUP($N890,'Base de Grupos'!$A:$A,'Base de Grupos'!$K:$K)</f>
        <v>REGIONAL VENDA INTERNA - CONVENIENCIA</v>
      </c>
      <c r="J890" s="2" t="str">
        <f>_xlfn.XLOOKUP($N890,'Base de Grupos'!$A:$A,'Base de Grupos'!$L:$L)</f>
        <v>1000174119</v>
      </c>
      <c r="K890" s="5" t="str">
        <f>_xlfn.XLOOKUP($N890,'Base de Grupos'!$A:$A,'Base de Grupos'!$M:$M)</f>
        <v>REGIONAL VENDA INTERNA - CONVENIENCIA</v>
      </c>
      <c r="L890" s="5" t="str">
        <f t="shared" si="866"/>
        <v/>
      </c>
      <c r="M890" s="5" t="str">
        <f>_xlfn.XLOOKUP($N890,'Base de Grupos'!$A:$A,'Base de Grupos'!$C:$C)</f>
        <v>RR</v>
      </c>
      <c r="N890" s="3">
        <v>1514</v>
      </c>
      <c r="O890" s="4" t="s">
        <v>273</v>
      </c>
      <c r="P890" s="5" t="s">
        <v>87</v>
      </c>
      <c r="Q890" s="56">
        <v>0</v>
      </c>
      <c r="R890" s="56">
        <v>0</v>
      </c>
      <c r="S890" s="56">
        <v>0</v>
      </c>
      <c r="T890" s="56">
        <f>_xlfn.XLOOKUP($N890,'Calculo Leads Conveniencia'!$A$77:$A$104,'Calculo Leads Conveniencia'!G$77:G$104)*_xlfn.XLOOKUP($P890,'Base Grupo de Produtos'!$E$23:$E$39,'Base Grupo de Produtos'!$F$23:$F$39)</f>
        <v>0</v>
      </c>
      <c r="U890" s="56">
        <f>_xlfn.XLOOKUP($N890,'Calculo Leads Conveniencia'!$A$77:$A$104,'Calculo Leads Conveniencia'!H$77:H$104)*_xlfn.XLOOKUP($P890,'Base Grupo de Produtos'!$E$23:$E$39,'Base Grupo de Produtos'!$F$23:$F$39)</f>
        <v>0</v>
      </c>
      <c r="V890" s="56">
        <f>_xlfn.XLOOKUP($N890,'Calculo Leads Conveniencia'!$A$77:$A$104,'Calculo Leads Conveniencia'!I$77:I$104)*_xlfn.XLOOKUP($P890,'Base Grupo de Produtos'!$E$23:$E$39,'Base Grupo de Produtos'!$F$23:$F$39)</f>
        <v>0</v>
      </c>
      <c r="W890" s="56">
        <f>_xlfn.XLOOKUP($N890,'Calculo Leads Conveniencia'!$A$77:$A$104,'Calculo Leads Conveniencia'!J$77:J$104)*_xlfn.XLOOKUP($P890,'Base Grupo de Produtos'!$E$23:$E$39,'Base Grupo de Produtos'!$F$23:$F$39)</f>
        <v>0</v>
      </c>
      <c r="X890" s="56">
        <f>_xlfn.XLOOKUP($N890,'Calculo Leads Conveniencia'!$A$77:$A$104,'Calculo Leads Conveniencia'!K$77:K$104)*_xlfn.XLOOKUP($P890,'Base Grupo de Produtos'!$E$23:$E$39,'Base Grupo de Produtos'!$F$23:$F$39)</f>
        <v>0</v>
      </c>
      <c r="Y890" s="56">
        <f>_xlfn.XLOOKUP($N890,'Calculo Leads Conveniencia'!$A$77:$A$104,'Calculo Leads Conveniencia'!L$77:L$104)*_xlfn.XLOOKUP($P890,'Base Grupo de Produtos'!$E$23:$E$39,'Base Grupo de Produtos'!$F$23:$F$39)</f>
        <v>0</v>
      </c>
      <c r="Z890" s="56">
        <f>_xlfn.XLOOKUP($N890,'Calculo Leads Conveniencia'!$A$77:$A$104,'Calculo Leads Conveniencia'!M$77:M$104)*_xlfn.XLOOKUP($P890,'Base Grupo de Produtos'!$E$23:$E$39,'Base Grupo de Produtos'!$F$23:$F$39)</f>
        <v>0</v>
      </c>
      <c r="AA890" s="56">
        <f>_xlfn.XLOOKUP($N890,'Calculo Leads Conveniencia'!$A$77:$A$104,'Calculo Leads Conveniencia'!N$77:N$104)*_xlfn.XLOOKUP($P890,'Base Grupo de Produtos'!$E$23:$E$39,'Base Grupo de Produtos'!$F$23:$F$39)</f>
        <v>0</v>
      </c>
      <c r="AB890" s="56">
        <f>_xlfn.XLOOKUP($N890,'Calculo Leads Conveniencia'!$A$77:$A$104,'Calculo Leads Conveniencia'!O$77:O$104)*_xlfn.XLOOKUP($P890,'Base Grupo de Produtos'!$E$23:$E$39,'Base Grupo de Produtos'!$F$23:$F$39)</f>
        <v>0</v>
      </c>
      <c r="AC890" s="61">
        <f t="shared" si="851"/>
        <v>0</v>
      </c>
      <c r="AD890" s="28"/>
      <c r="AE890" s="12"/>
      <c r="AF890" s="29"/>
      <c r="AG890" s="9"/>
      <c r="AH890" s="10"/>
      <c r="AI890" s="9"/>
      <c r="AJ890" s="11"/>
      <c r="AK890" s="9"/>
      <c r="AL890" s="13"/>
      <c r="AM890" s="9"/>
    </row>
    <row r="891" spans="1:39" x14ac:dyDescent="0.3">
      <c r="A891" s="2" t="str">
        <f t="shared" si="865"/>
        <v>NÃO</v>
      </c>
      <c r="B891" s="2" t="str">
        <f>_xlfn.XLOOKUP($N891,'Base de Grupos'!$A:$A,'Base de Grupos'!$D:$D)</f>
        <v>1000065763</v>
      </c>
      <c r="C891" s="5" t="str">
        <f>_xlfn.XLOOKUP($N891,'Base de Grupos'!$A:$A,'Base de Grupos'!$E:$E)</f>
        <v>CANAL VENDA INTERNA</v>
      </c>
      <c r="D891" s="5" t="str">
        <f>_xlfn.XLOOKUP($N891,'Base de Grupos'!$A:$A,'Base de Grupos'!$F:$F)</f>
        <v>1000065763</v>
      </c>
      <c r="E891" s="2" t="str">
        <f>_xlfn.XLOOKUP($N891,'Base de Grupos'!$A:$A,'Base de Grupos'!$G:$G)</f>
        <v>CANAL VENDA INTERNA</v>
      </c>
      <c r="F891" s="2" t="str">
        <f>_xlfn.XLOOKUP($N891,'Base de Grupos'!$A:$A,'Base de Grupos'!$H:$H)</f>
        <v>1000174119</v>
      </c>
      <c r="G891" s="5" t="str">
        <f>_xlfn.XLOOKUP($N891,'Base de Grupos'!$A:$A,'Base de Grupos'!$I:$I)</f>
        <v>REGIONAL VENDA INTERNA - CONVENIENCIA</v>
      </c>
      <c r="H891" s="5" t="str">
        <f>_xlfn.XLOOKUP($N891,'Base de Grupos'!$A:$A,'Base de Grupos'!$J:$J)</f>
        <v>1000174119</v>
      </c>
      <c r="I891" s="2" t="str">
        <f>_xlfn.XLOOKUP($N891,'Base de Grupos'!$A:$A,'Base de Grupos'!$K:$K)</f>
        <v>REGIONAL VENDA INTERNA - CONVENIENCIA</v>
      </c>
      <c r="J891" s="2" t="str">
        <f>_xlfn.XLOOKUP($N891,'Base de Grupos'!$A:$A,'Base de Grupos'!$L:$L)</f>
        <v>1000174119</v>
      </c>
      <c r="K891" s="5" t="str">
        <f>_xlfn.XLOOKUP($N891,'Base de Grupos'!$A:$A,'Base de Grupos'!$M:$M)</f>
        <v>REGIONAL VENDA INTERNA - CONVENIENCIA</v>
      </c>
      <c r="L891" s="5" t="str">
        <f t="shared" si="866"/>
        <v/>
      </c>
      <c r="M891" s="5" t="str">
        <f>_xlfn.XLOOKUP($N891,'Base de Grupos'!$A:$A,'Base de Grupos'!$C:$C)</f>
        <v>RR</v>
      </c>
      <c r="N891" s="3">
        <v>1514</v>
      </c>
      <c r="O891" s="4" t="s">
        <v>273</v>
      </c>
      <c r="P891" s="5" t="s">
        <v>85</v>
      </c>
      <c r="Q891" s="56">
        <v>0</v>
      </c>
      <c r="R891" s="56">
        <v>0</v>
      </c>
      <c r="S891" s="56">
        <v>0</v>
      </c>
      <c r="T891" s="56">
        <f>_xlfn.XLOOKUP($N891,'Calculo Leads Conveniencia'!$A$77:$A$104,'Calculo Leads Conveniencia'!G$77:G$104)*_xlfn.XLOOKUP($P891,'Base Grupo de Produtos'!$E$23:$E$39,'Base Grupo de Produtos'!$F$23:$F$39)</f>
        <v>0</v>
      </c>
      <c r="U891" s="56">
        <f>_xlfn.XLOOKUP($N891,'Calculo Leads Conveniencia'!$A$77:$A$104,'Calculo Leads Conveniencia'!H$77:H$104)*_xlfn.XLOOKUP($P891,'Base Grupo de Produtos'!$E$23:$E$39,'Base Grupo de Produtos'!$F$23:$F$39)</f>
        <v>0</v>
      </c>
      <c r="V891" s="56">
        <f>_xlfn.XLOOKUP($N891,'Calculo Leads Conveniencia'!$A$77:$A$104,'Calculo Leads Conveniencia'!I$77:I$104)*_xlfn.XLOOKUP($P891,'Base Grupo de Produtos'!$E$23:$E$39,'Base Grupo de Produtos'!$F$23:$F$39)</f>
        <v>0</v>
      </c>
      <c r="W891" s="56">
        <f>_xlfn.XLOOKUP($N891,'Calculo Leads Conveniencia'!$A$77:$A$104,'Calculo Leads Conveniencia'!J$77:J$104)*_xlfn.XLOOKUP($P891,'Base Grupo de Produtos'!$E$23:$E$39,'Base Grupo de Produtos'!$F$23:$F$39)</f>
        <v>0</v>
      </c>
      <c r="X891" s="56">
        <f>_xlfn.XLOOKUP($N891,'Calculo Leads Conveniencia'!$A$77:$A$104,'Calculo Leads Conveniencia'!K$77:K$104)*_xlfn.XLOOKUP($P891,'Base Grupo de Produtos'!$E$23:$E$39,'Base Grupo de Produtos'!$F$23:$F$39)</f>
        <v>0</v>
      </c>
      <c r="Y891" s="56">
        <f>_xlfn.XLOOKUP($N891,'Calculo Leads Conveniencia'!$A$77:$A$104,'Calculo Leads Conveniencia'!L$77:L$104)*_xlfn.XLOOKUP($P891,'Base Grupo de Produtos'!$E$23:$E$39,'Base Grupo de Produtos'!$F$23:$F$39)</f>
        <v>0</v>
      </c>
      <c r="Z891" s="56">
        <f>_xlfn.XLOOKUP($N891,'Calculo Leads Conveniencia'!$A$77:$A$104,'Calculo Leads Conveniencia'!M$77:M$104)*_xlfn.XLOOKUP($P891,'Base Grupo de Produtos'!$E$23:$E$39,'Base Grupo de Produtos'!$F$23:$F$39)</f>
        <v>0</v>
      </c>
      <c r="AA891" s="56">
        <f>_xlfn.XLOOKUP($N891,'Calculo Leads Conveniencia'!$A$77:$A$104,'Calculo Leads Conveniencia'!N$77:N$104)*_xlfn.XLOOKUP($P891,'Base Grupo de Produtos'!$E$23:$E$39,'Base Grupo de Produtos'!$F$23:$F$39)</f>
        <v>0</v>
      </c>
      <c r="AB891" s="56">
        <f>_xlfn.XLOOKUP($N891,'Calculo Leads Conveniencia'!$A$77:$A$104,'Calculo Leads Conveniencia'!O$77:O$104)*_xlfn.XLOOKUP($P891,'Base Grupo de Produtos'!$E$23:$E$39,'Base Grupo de Produtos'!$F$23:$F$39)</f>
        <v>0</v>
      </c>
      <c r="AC891" s="61">
        <f t="shared" si="851"/>
        <v>0</v>
      </c>
      <c r="AD891" s="28"/>
      <c r="AE891" s="12"/>
      <c r="AF891" s="29"/>
      <c r="AG891" s="9"/>
      <c r="AH891" s="10"/>
      <c r="AI891" s="9"/>
      <c r="AJ891" s="11"/>
      <c r="AK891" s="9"/>
      <c r="AL891" s="13"/>
      <c r="AM891" s="9"/>
    </row>
    <row r="892" spans="1:39" x14ac:dyDescent="0.3">
      <c r="A892" s="2" t="str">
        <f t="shared" si="865"/>
        <v>NÃO</v>
      </c>
      <c r="B892" s="2" t="str">
        <f>_xlfn.XLOOKUP($N892,'Base de Grupos'!$A:$A,'Base de Grupos'!$D:$D)</f>
        <v>1000065763</v>
      </c>
      <c r="C892" s="5" t="str">
        <f>_xlfn.XLOOKUP($N892,'Base de Grupos'!$A:$A,'Base de Grupos'!$E:$E)</f>
        <v>CANAL VENDA INTERNA</v>
      </c>
      <c r="D892" s="5" t="str">
        <f>_xlfn.XLOOKUP($N892,'Base de Grupos'!$A:$A,'Base de Grupos'!$F:$F)</f>
        <v>1000065763</v>
      </c>
      <c r="E892" s="2" t="str">
        <f>_xlfn.XLOOKUP($N892,'Base de Grupos'!$A:$A,'Base de Grupos'!$G:$G)</f>
        <v>CANAL VENDA INTERNA</v>
      </c>
      <c r="F892" s="2" t="str">
        <f>_xlfn.XLOOKUP($N892,'Base de Grupos'!$A:$A,'Base de Grupos'!$H:$H)</f>
        <v>1000174119</v>
      </c>
      <c r="G892" s="5" t="str">
        <f>_xlfn.XLOOKUP($N892,'Base de Grupos'!$A:$A,'Base de Grupos'!$I:$I)</f>
        <v>REGIONAL VENDA INTERNA - CONVENIENCIA</v>
      </c>
      <c r="H892" s="5" t="str">
        <f>_xlfn.XLOOKUP($N892,'Base de Grupos'!$A:$A,'Base de Grupos'!$J:$J)</f>
        <v>1000174119</v>
      </c>
      <c r="I892" s="2" t="str">
        <f>_xlfn.XLOOKUP($N892,'Base de Grupos'!$A:$A,'Base de Grupos'!$K:$K)</f>
        <v>REGIONAL VENDA INTERNA - CONVENIENCIA</v>
      </c>
      <c r="J892" s="2" t="str">
        <f>_xlfn.XLOOKUP($N892,'Base de Grupos'!$A:$A,'Base de Grupos'!$L:$L)</f>
        <v>1000174119</v>
      </c>
      <c r="K892" s="5" t="str">
        <f>_xlfn.XLOOKUP($N892,'Base de Grupos'!$A:$A,'Base de Grupos'!$M:$M)</f>
        <v>REGIONAL VENDA INTERNA - CONVENIENCIA</v>
      </c>
      <c r="L892" s="5" t="str">
        <f t="shared" si="866"/>
        <v/>
      </c>
      <c r="M892" s="5" t="str">
        <f>_xlfn.XLOOKUP($N892,'Base de Grupos'!$A:$A,'Base de Grupos'!$C:$C)</f>
        <v>RR</v>
      </c>
      <c r="N892" s="3">
        <v>1514</v>
      </c>
      <c r="O892" s="4" t="s">
        <v>273</v>
      </c>
      <c r="P892" s="5" t="s">
        <v>92</v>
      </c>
      <c r="Q892" s="56">
        <v>0</v>
      </c>
      <c r="R892" s="56">
        <v>0</v>
      </c>
      <c r="S892" s="56">
        <v>0</v>
      </c>
      <c r="T892" s="56">
        <f>_xlfn.XLOOKUP($N892,'Calculo Leads Conveniencia'!$A$77:$A$104,'Calculo Leads Conveniencia'!G$77:G$104)*_xlfn.XLOOKUP($P892,'Base Grupo de Produtos'!$E$23:$E$39,'Base Grupo de Produtos'!$F$23:$F$39)</f>
        <v>0</v>
      </c>
      <c r="U892" s="56">
        <f>_xlfn.XLOOKUP($N892,'Calculo Leads Conveniencia'!$A$77:$A$104,'Calculo Leads Conveniencia'!H$77:H$104)*_xlfn.XLOOKUP($P892,'Base Grupo de Produtos'!$E$23:$E$39,'Base Grupo de Produtos'!$F$23:$F$39)</f>
        <v>0</v>
      </c>
      <c r="V892" s="56">
        <f>_xlfn.XLOOKUP($N892,'Calculo Leads Conveniencia'!$A$77:$A$104,'Calculo Leads Conveniencia'!I$77:I$104)*_xlfn.XLOOKUP($P892,'Base Grupo de Produtos'!$E$23:$E$39,'Base Grupo de Produtos'!$F$23:$F$39)</f>
        <v>0</v>
      </c>
      <c r="W892" s="56">
        <f>_xlfn.XLOOKUP($N892,'Calculo Leads Conveniencia'!$A$77:$A$104,'Calculo Leads Conveniencia'!J$77:J$104)*_xlfn.XLOOKUP($P892,'Base Grupo de Produtos'!$E$23:$E$39,'Base Grupo de Produtos'!$F$23:$F$39)</f>
        <v>0</v>
      </c>
      <c r="X892" s="56">
        <f>_xlfn.XLOOKUP($N892,'Calculo Leads Conveniencia'!$A$77:$A$104,'Calculo Leads Conveniencia'!K$77:K$104)*_xlfn.XLOOKUP($P892,'Base Grupo de Produtos'!$E$23:$E$39,'Base Grupo de Produtos'!$F$23:$F$39)</f>
        <v>0</v>
      </c>
      <c r="Y892" s="56">
        <f>_xlfn.XLOOKUP($N892,'Calculo Leads Conveniencia'!$A$77:$A$104,'Calculo Leads Conveniencia'!L$77:L$104)*_xlfn.XLOOKUP($P892,'Base Grupo de Produtos'!$E$23:$E$39,'Base Grupo de Produtos'!$F$23:$F$39)</f>
        <v>0</v>
      </c>
      <c r="Z892" s="56">
        <f>_xlfn.XLOOKUP($N892,'Calculo Leads Conveniencia'!$A$77:$A$104,'Calculo Leads Conveniencia'!M$77:M$104)*_xlfn.XLOOKUP($P892,'Base Grupo de Produtos'!$E$23:$E$39,'Base Grupo de Produtos'!$F$23:$F$39)</f>
        <v>0</v>
      </c>
      <c r="AA892" s="56">
        <f>_xlfn.XLOOKUP($N892,'Calculo Leads Conveniencia'!$A$77:$A$104,'Calculo Leads Conveniencia'!N$77:N$104)*_xlfn.XLOOKUP($P892,'Base Grupo de Produtos'!$E$23:$E$39,'Base Grupo de Produtos'!$F$23:$F$39)</f>
        <v>0</v>
      </c>
      <c r="AB892" s="56">
        <f>_xlfn.XLOOKUP($N892,'Calculo Leads Conveniencia'!$A$77:$A$104,'Calculo Leads Conveniencia'!O$77:O$104)*_xlfn.XLOOKUP($P892,'Base Grupo de Produtos'!$E$23:$E$39,'Base Grupo de Produtos'!$F$23:$F$39)</f>
        <v>0</v>
      </c>
      <c r="AC892" s="61">
        <f t="shared" si="851"/>
        <v>0</v>
      </c>
      <c r="AD892" s="28"/>
      <c r="AE892" s="12"/>
      <c r="AF892" s="29"/>
      <c r="AG892" s="9"/>
      <c r="AH892" s="10"/>
      <c r="AI892" s="9"/>
      <c r="AJ892" s="11"/>
      <c r="AK892" s="9"/>
      <c r="AL892" s="13"/>
      <c r="AM892" s="9"/>
    </row>
    <row r="893" spans="1:39" x14ac:dyDescent="0.3">
      <c r="A893" s="2" t="str">
        <f t="shared" si="865"/>
        <v>NÃO</v>
      </c>
      <c r="B893" s="2" t="str">
        <f>_xlfn.XLOOKUP($N893,'Base de Grupos'!$A:$A,'Base de Grupos'!$D:$D)</f>
        <v>1000065763</v>
      </c>
      <c r="C893" s="5" t="str">
        <f>_xlfn.XLOOKUP($N893,'Base de Grupos'!$A:$A,'Base de Grupos'!$E:$E)</f>
        <v>CANAL VENDA INTERNA</v>
      </c>
      <c r="D893" s="5" t="str">
        <f>_xlfn.XLOOKUP($N893,'Base de Grupos'!$A:$A,'Base de Grupos'!$F:$F)</f>
        <v>1000065763</v>
      </c>
      <c r="E893" s="2" t="str">
        <f>_xlfn.XLOOKUP($N893,'Base de Grupos'!$A:$A,'Base de Grupos'!$G:$G)</f>
        <v>CANAL VENDA INTERNA</v>
      </c>
      <c r="F893" s="2" t="str">
        <f>_xlfn.XLOOKUP($N893,'Base de Grupos'!$A:$A,'Base de Grupos'!$H:$H)</f>
        <v>1000174119</v>
      </c>
      <c r="G893" s="5" t="str">
        <f>_xlfn.XLOOKUP($N893,'Base de Grupos'!$A:$A,'Base de Grupos'!$I:$I)</f>
        <v>REGIONAL VENDA INTERNA - CONVENIENCIA</v>
      </c>
      <c r="H893" s="5" t="str">
        <f>_xlfn.XLOOKUP($N893,'Base de Grupos'!$A:$A,'Base de Grupos'!$J:$J)</f>
        <v>1000174119</v>
      </c>
      <c r="I893" s="2" t="str">
        <f>_xlfn.XLOOKUP($N893,'Base de Grupos'!$A:$A,'Base de Grupos'!$K:$K)</f>
        <v>REGIONAL VENDA INTERNA - CONVENIENCIA</v>
      </c>
      <c r="J893" s="2" t="str">
        <f>_xlfn.XLOOKUP($N893,'Base de Grupos'!$A:$A,'Base de Grupos'!$L:$L)</f>
        <v>1000174119</v>
      </c>
      <c r="K893" s="5" t="str">
        <f>_xlfn.XLOOKUP($N893,'Base de Grupos'!$A:$A,'Base de Grupos'!$M:$M)</f>
        <v>REGIONAL VENDA INTERNA - CONVENIENCIA</v>
      </c>
      <c r="L893" s="5" t="str">
        <f t="shared" si="866"/>
        <v/>
      </c>
      <c r="M893" s="5" t="str">
        <f>_xlfn.XLOOKUP($N893,'Base de Grupos'!$A:$A,'Base de Grupos'!$C:$C)</f>
        <v>RR</v>
      </c>
      <c r="N893" s="3">
        <v>1514</v>
      </c>
      <c r="O893" s="4" t="s">
        <v>273</v>
      </c>
      <c r="P893" s="5" t="s">
        <v>86</v>
      </c>
      <c r="Q893" s="56">
        <v>0</v>
      </c>
      <c r="R893" s="56">
        <v>0</v>
      </c>
      <c r="S893" s="56">
        <v>0</v>
      </c>
      <c r="T893" s="56">
        <f>_xlfn.XLOOKUP($N893,'Calculo Leads Conveniencia'!$A$77:$A$104,'Calculo Leads Conveniencia'!G$77:G$104)*_xlfn.XLOOKUP($P893,'Base Grupo de Produtos'!$E$23:$E$39,'Base Grupo de Produtos'!$F$23:$F$39)</f>
        <v>0</v>
      </c>
      <c r="U893" s="56">
        <f>_xlfn.XLOOKUP($N893,'Calculo Leads Conveniencia'!$A$77:$A$104,'Calculo Leads Conveniencia'!H$77:H$104)*_xlfn.XLOOKUP($P893,'Base Grupo de Produtos'!$E$23:$E$39,'Base Grupo de Produtos'!$F$23:$F$39)</f>
        <v>0</v>
      </c>
      <c r="V893" s="56">
        <f>_xlfn.XLOOKUP($N893,'Calculo Leads Conveniencia'!$A$77:$A$104,'Calculo Leads Conveniencia'!I$77:I$104)*_xlfn.XLOOKUP($P893,'Base Grupo de Produtos'!$E$23:$E$39,'Base Grupo de Produtos'!$F$23:$F$39)</f>
        <v>0</v>
      </c>
      <c r="W893" s="56">
        <f>_xlfn.XLOOKUP($N893,'Calculo Leads Conveniencia'!$A$77:$A$104,'Calculo Leads Conveniencia'!J$77:J$104)*_xlfn.XLOOKUP($P893,'Base Grupo de Produtos'!$E$23:$E$39,'Base Grupo de Produtos'!$F$23:$F$39)</f>
        <v>0</v>
      </c>
      <c r="X893" s="56">
        <f>_xlfn.XLOOKUP($N893,'Calculo Leads Conveniencia'!$A$77:$A$104,'Calculo Leads Conveniencia'!K$77:K$104)*_xlfn.XLOOKUP($P893,'Base Grupo de Produtos'!$E$23:$E$39,'Base Grupo de Produtos'!$F$23:$F$39)</f>
        <v>0</v>
      </c>
      <c r="Y893" s="56">
        <f>_xlfn.XLOOKUP($N893,'Calculo Leads Conveniencia'!$A$77:$A$104,'Calculo Leads Conveniencia'!L$77:L$104)*_xlfn.XLOOKUP($P893,'Base Grupo de Produtos'!$E$23:$E$39,'Base Grupo de Produtos'!$F$23:$F$39)</f>
        <v>0</v>
      </c>
      <c r="Z893" s="56">
        <f>_xlfn.XLOOKUP($N893,'Calculo Leads Conveniencia'!$A$77:$A$104,'Calculo Leads Conveniencia'!M$77:M$104)*_xlfn.XLOOKUP($P893,'Base Grupo de Produtos'!$E$23:$E$39,'Base Grupo de Produtos'!$F$23:$F$39)</f>
        <v>0</v>
      </c>
      <c r="AA893" s="56">
        <f>_xlfn.XLOOKUP($N893,'Calculo Leads Conveniencia'!$A$77:$A$104,'Calculo Leads Conveniencia'!N$77:N$104)*_xlfn.XLOOKUP($P893,'Base Grupo de Produtos'!$E$23:$E$39,'Base Grupo de Produtos'!$F$23:$F$39)</f>
        <v>0</v>
      </c>
      <c r="AB893" s="56">
        <f>_xlfn.XLOOKUP($N893,'Calculo Leads Conveniencia'!$A$77:$A$104,'Calculo Leads Conveniencia'!O$77:O$104)*_xlfn.XLOOKUP($P893,'Base Grupo de Produtos'!$E$23:$E$39,'Base Grupo de Produtos'!$F$23:$F$39)</f>
        <v>0</v>
      </c>
      <c r="AC893" s="61">
        <f t="shared" si="851"/>
        <v>0</v>
      </c>
      <c r="AD893" s="28"/>
      <c r="AE893" s="12"/>
      <c r="AF893" s="29"/>
      <c r="AG893" s="9"/>
      <c r="AH893" s="10"/>
      <c r="AI893" s="9"/>
      <c r="AJ893" s="11"/>
      <c r="AK893" s="9"/>
      <c r="AL893" s="13"/>
      <c r="AM893" s="9"/>
    </row>
    <row r="894" spans="1:39" x14ac:dyDescent="0.3">
      <c r="A894" s="2" t="str">
        <f t="shared" si="865"/>
        <v>NÃO</v>
      </c>
      <c r="B894" s="2" t="str">
        <f>_xlfn.XLOOKUP($N894,'Base de Grupos'!$A:$A,'Base de Grupos'!$D:$D)</f>
        <v>1000065763</v>
      </c>
      <c r="C894" s="5" t="str">
        <f>_xlfn.XLOOKUP($N894,'Base de Grupos'!$A:$A,'Base de Grupos'!$E:$E)</f>
        <v>CANAL VENDA INTERNA</v>
      </c>
      <c r="D894" s="5" t="str">
        <f>_xlfn.XLOOKUP($N894,'Base de Grupos'!$A:$A,'Base de Grupos'!$F:$F)</f>
        <v>1000065763</v>
      </c>
      <c r="E894" s="2" t="str">
        <f>_xlfn.XLOOKUP($N894,'Base de Grupos'!$A:$A,'Base de Grupos'!$G:$G)</f>
        <v>CANAL VENDA INTERNA</v>
      </c>
      <c r="F894" s="2" t="str">
        <f>_xlfn.XLOOKUP($N894,'Base de Grupos'!$A:$A,'Base de Grupos'!$H:$H)</f>
        <v>1000174119</v>
      </c>
      <c r="G894" s="5" t="str">
        <f>_xlfn.XLOOKUP($N894,'Base de Grupos'!$A:$A,'Base de Grupos'!$I:$I)</f>
        <v>REGIONAL VENDA INTERNA - CONVENIENCIA</v>
      </c>
      <c r="H894" s="5" t="str">
        <f>_xlfn.XLOOKUP($N894,'Base de Grupos'!$A:$A,'Base de Grupos'!$J:$J)</f>
        <v>1000174119</v>
      </c>
      <c r="I894" s="2" t="str">
        <f>_xlfn.XLOOKUP($N894,'Base de Grupos'!$A:$A,'Base de Grupos'!$K:$K)</f>
        <v>REGIONAL VENDA INTERNA - CONVENIENCIA</v>
      </c>
      <c r="J894" s="2" t="str">
        <f>_xlfn.XLOOKUP($N894,'Base de Grupos'!$A:$A,'Base de Grupos'!$L:$L)</f>
        <v>1000174119</v>
      </c>
      <c r="K894" s="5" t="str">
        <f>_xlfn.XLOOKUP($N894,'Base de Grupos'!$A:$A,'Base de Grupos'!$M:$M)</f>
        <v>REGIONAL VENDA INTERNA - CONVENIENCIA</v>
      </c>
      <c r="L894" s="5" t="str">
        <f t="shared" si="866"/>
        <v/>
      </c>
      <c r="M894" s="5" t="str">
        <f>_xlfn.XLOOKUP($N894,'Base de Grupos'!$A:$A,'Base de Grupos'!$C:$C)</f>
        <v>RR</v>
      </c>
      <c r="N894" s="3">
        <v>1514</v>
      </c>
      <c r="O894" s="4" t="s">
        <v>273</v>
      </c>
      <c r="P894" s="5" t="s">
        <v>108</v>
      </c>
      <c r="Q894" s="56">
        <v>0</v>
      </c>
      <c r="R894" s="56">
        <v>0</v>
      </c>
      <c r="S894" s="56">
        <v>0</v>
      </c>
      <c r="T894" s="56">
        <f>_xlfn.XLOOKUP($N894,'Calculo Leads Conveniencia'!$A$77:$A$104,'Calculo Leads Conveniencia'!G$77:G$104)*_xlfn.XLOOKUP($P894,'Base Grupo de Produtos'!$E$23:$E$39,'Base Grupo de Produtos'!$F$23:$F$39)</f>
        <v>0</v>
      </c>
      <c r="U894" s="56">
        <f>_xlfn.XLOOKUP($N894,'Calculo Leads Conveniencia'!$A$77:$A$104,'Calculo Leads Conveniencia'!H$77:H$104)*_xlfn.XLOOKUP($P894,'Base Grupo de Produtos'!$E$23:$E$39,'Base Grupo de Produtos'!$F$23:$F$39)</f>
        <v>0</v>
      </c>
      <c r="V894" s="56">
        <f>_xlfn.XLOOKUP($N894,'Calculo Leads Conveniencia'!$A$77:$A$104,'Calculo Leads Conveniencia'!I$77:I$104)*_xlfn.XLOOKUP($P894,'Base Grupo de Produtos'!$E$23:$E$39,'Base Grupo de Produtos'!$F$23:$F$39)</f>
        <v>0</v>
      </c>
      <c r="W894" s="56">
        <f>_xlfn.XLOOKUP($N894,'Calculo Leads Conveniencia'!$A$77:$A$104,'Calculo Leads Conveniencia'!J$77:J$104)*_xlfn.XLOOKUP($P894,'Base Grupo de Produtos'!$E$23:$E$39,'Base Grupo de Produtos'!$F$23:$F$39)</f>
        <v>0</v>
      </c>
      <c r="X894" s="56">
        <f>_xlfn.XLOOKUP($N894,'Calculo Leads Conveniencia'!$A$77:$A$104,'Calculo Leads Conveniencia'!K$77:K$104)*_xlfn.XLOOKUP($P894,'Base Grupo de Produtos'!$E$23:$E$39,'Base Grupo de Produtos'!$F$23:$F$39)</f>
        <v>0</v>
      </c>
      <c r="Y894" s="56">
        <f>_xlfn.XLOOKUP($N894,'Calculo Leads Conveniencia'!$A$77:$A$104,'Calculo Leads Conveniencia'!L$77:L$104)*_xlfn.XLOOKUP($P894,'Base Grupo de Produtos'!$E$23:$E$39,'Base Grupo de Produtos'!$F$23:$F$39)</f>
        <v>0</v>
      </c>
      <c r="Z894" s="56">
        <f>_xlfn.XLOOKUP($N894,'Calculo Leads Conveniencia'!$A$77:$A$104,'Calculo Leads Conveniencia'!M$77:M$104)*_xlfn.XLOOKUP($P894,'Base Grupo de Produtos'!$E$23:$E$39,'Base Grupo de Produtos'!$F$23:$F$39)</f>
        <v>0</v>
      </c>
      <c r="AA894" s="56">
        <f>_xlfn.XLOOKUP($N894,'Calculo Leads Conveniencia'!$A$77:$A$104,'Calculo Leads Conveniencia'!N$77:N$104)*_xlfn.XLOOKUP($P894,'Base Grupo de Produtos'!$E$23:$E$39,'Base Grupo de Produtos'!$F$23:$F$39)</f>
        <v>0</v>
      </c>
      <c r="AB894" s="56">
        <f>_xlfn.XLOOKUP($N894,'Calculo Leads Conveniencia'!$A$77:$A$104,'Calculo Leads Conveniencia'!O$77:O$104)*_xlfn.XLOOKUP($P894,'Base Grupo de Produtos'!$E$23:$E$39,'Base Grupo de Produtos'!$F$23:$F$39)</f>
        <v>0</v>
      </c>
      <c r="AC894" s="61">
        <f t="shared" si="851"/>
        <v>0</v>
      </c>
      <c r="AD894" s="28"/>
      <c r="AE894" s="12"/>
      <c r="AF894" s="29"/>
      <c r="AG894" s="9"/>
      <c r="AH894" s="10"/>
      <c r="AI894" s="9"/>
      <c r="AJ894" s="11"/>
      <c r="AK894" s="9"/>
      <c r="AL894" s="13"/>
      <c r="AM894" s="9"/>
    </row>
    <row r="895" spans="1:39" x14ac:dyDescent="0.3">
      <c r="A895" s="2" t="str">
        <f t="shared" si="865"/>
        <v>NÃO</v>
      </c>
      <c r="B895" s="2" t="str">
        <f>_xlfn.XLOOKUP($N895,'Base de Grupos'!$A:$A,'Base de Grupos'!$D:$D)</f>
        <v>1000065763</v>
      </c>
      <c r="C895" s="5" t="str">
        <f>_xlfn.XLOOKUP($N895,'Base de Grupos'!$A:$A,'Base de Grupos'!$E:$E)</f>
        <v>CANAL VENDA INTERNA</v>
      </c>
      <c r="D895" s="5" t="str">
        <f>_xlfn.XLOOKUP($N895,'Base de Grupos'!$A:$A,'Base de Grupos'!$F:$F)</f>
        <v>1000065763</v>
      </c>
      <c r="E895" s="2" t="str">
        <f>_xlfn.XLOOKUP($N895,'Base de Grupos'!$A:$A,'Base de Grupos'!$G:$G)</f>
        <v>CANAL VENDA INTERNA</v>
      </c>
      <c r="F895" s="2" t="str">
        <f>_xlfn.XLOOKUP($N895,'Base de Grupos'!$A:$A,'Base de Grupos'!$H:$H)</f>
        <v>1000174119</v>
      </c>
      <c r="G895" s="5" t="str">
        <f>_xlfn.XLOOKUP($N895,'Base de Grupos'!$A:$A,'Base de Grupos'!$I:$I)</f>
        <v>REGIONAL VENDA INTERNA - CONVENIENCIA</v>
      </c>
      <c r="H895" s="5" t="str">
        <f>_xlfn.XLOOKUP($N895,'Base de Grupos'!$A:$A,'Base de Grupos'!$J:$J)</f>
        <v>1000174119</v>
      </c>
      <c r="I895" s="2" t="str">
        <f>_xlfn.XLOOKUP($N895,'Base de Grupos'!$A:$A,'Base de Grupos'!$K:$K)</f>
        <v>REGIONAL VENDA INTERNA - CONVENIENCIA</v>
      </c>
      <c r="J895" s="2" t="str">
        <f>_xlfn.XLOOKUP($N895,'Base de Grupos'!$A:$A,'Base de Grupos'!$L:$L)</f>
        <v>1000174119</v>
      </c>
      <c r="K895" s="5" t="str">
        <f>_xlfn.XLOOKUP($N895,'Base de Grupos'!$A:$A,'Base de Grupos'!$M:$M)</f>
        <v>REGIONAL VENDA INTERNA - CONVENIENCIA</v>
      </c>
      <c r="L895" s="5" t="str">
        <f t="shared" si="866"/>
        <v/>
      </c>
      <c r="M895" s="5" t="str">
        <f>_xlfn.XLOOKUP($N895,'Base de Grupos'!$A:$A,'Base de Grupos'!$C:$C)</f>
        <v>RR</v>
      </c>
      <c r="N895" s="3">
        <v>1514</v>
      </c>
      <c r="O895" s="4" t="s">
        <v>273</v>
      </c>
      <c r="P895" s="5" t="s">
        <v>89</v>
      </c>
      <c r="Q895" s="56">
        <v>0</v>
      </c>
      <c r="R895" s="56">
        <v>0</v>
      </c>
      <c r="S895" s="56">
        <v>0</v>
      </c>
      <c r="T895" s="56">
        <f>_xlfn.XLOOKUP($N895,'Calculo Leads Conveniencia'!$A$77:$A$104,'Calculo Leads Conveniencia'!G$77:G$104)*_xlfn.XLOOKUP($P895,'Base Grupo de Produtos'!$E$23:$E$39,'Base Grupo de Produtos'!$F$23:$F$39)</f>
        <v>0</v>
      </c>
      <c r="U895" s="56">
        <f>_xlfn.XLOOKUP($N895,'Calculo Leads Conveniencia'!$A$77:$A$104,'Calculo Leads Conveniencia'!H$77:H$104)*_xlfn.XLOOKUP($P895,'Base Grupo de Produtos'!$E$23:$E$39,'Base Grupo de Produtos'!$F$23:$F$39)</f>
        <v>0</v>
      </c>
      <c r="V895" s="56">
        <f>_xlfn.XLOOKUP($N895,'Calculo Leads Conveniencia'!$A$77:$A$104,'Calculo Leads Conveniencia'!I$77:I$104)*_xlfn.XLOOKUP($P895,'Base Grupo de Produtos'!$E$23:$E$39,'Base Grupo de Produtos'!$F$23:$F$39)</f>
        <v>0</v>
      </c>
      <c r="W895" s="56">
        <f>_xlfn.XLOOKUP($N895,'Calculo Leads Conveniencia'!$A$77:$A$104,'Calculo Leads Conveniencia'!J$77:J$104)*_xlfn.XLOOKUP($P895,'Base Grupo de Produtos'!$E$23:$E$39,'Base Grupo de Produtos'!$F$23:$F$39)</f>
        <v>0</v>
      </c>
      <c r="X895" s="56">
        <f>_xlfn.XLOOKUP($N895,'Calculo Leads Conveniencia'!$A$77:$A$104,'Calculo Leads Conveniencia'!K$77:K$104)*_xlfn.XLOOKUP($P895,'Base Grupo de Produtos'!$E$23:$E$39,'Base Grupo de Produtos'!$F$23:$F$39)</f>
        <v>0</v>
      </c>
      <c r="Y895" s="56">
        <f>_xlfn.XLOOKUP($N895,'Calculo Leads Conveniencia'!$A$77:$A$104,'Calculo Leads Conveniencia'!L$77:L$104)*_xlfn.XLOOKUP($P895,'Base Grupo de Produtos'!$E$23:$E$39,'Base Grupo de Produtos'!$F$23:$F$39)</f>
        <v>0</v>
      </c>
      <c r="Z895" s="56">
        <f>_xlfn.XLOOKUP($N895,'Calculo Leads Conveniencia'!$A$77:$A$104,'Calculo Leads Conveniencia'!M$77:M$104)*_xlfn.XLOOKUP($P895,'Base Grupo de Produtos'!$E$23:$E$39,'Base Grupo de Produtos'!$F$23:$F$39)</f>
        <v>0</v>
      </c>
      <c r="AA895" s="56">
        <f>_xlfn.XLOOKUP($N895,'Calculo Leads Conveniencia'!$A$77:$A$104,'Calculo Leads Conveniencia'!N$77:N$104)*_xlfn.XLOOKUP($P895,'Base Grupo de Produtos'!$E$23:$E$39,'Base Grupo de Produtos'!$F$23:$F$39)</f>
        <v>0</v>
      </c>
      <c r="AB895" s="56">
        <f>_xlfn.XLOOKUP($N895,'Calculo Leads Conveniencia'!$A$77:$A$104,'Calculo Leads Conveniencia'!O$77:O$104)*_xlfn.XLOOKUP($P895,'Base Grupo de Produtos'!$E$23:$E$39,'Base Grupo de Produtos'!$F$23:$F$39)</f>
        <v>0</v>
      </c>
      <c r="AC895" s="61">
        <f t="shared" si="851"/>
        <v>0</v>
      </c>
      <c r="AD895" s="28"/>
      <c r="AE895" s="12"/>
      <c r="AF895" s="29"/>
      <c r="AG895" s="9"/>
      <c r="AH895" s="10"/>
      <c r="AI895" s="9"/>
      <c r="AJ895" s="11"/>
      <c r="AK895" s="9"/>
      <c r="AL895" s="13"/>
      <c r="AM895" s="9"/>
    </row>
    <row r="896" spans="1:39" x14ac:dyDescent="0.3">
      <c r="A896" s="2" t="str">
        <f t="shared" si="865"/>
        <v>NÃO</v>
      </c>
      <c r="B896" s="2" t="str">
        <f>_xlfn.XLOOKUP($N896,'Base de Grupos'!$A:$A,'Base de Grupos'!$D:$D)</f>
        <v>1000065763</v>
      </c>
      <c r="C896" s="5" t="str">
        <f>_xlfn.XLOOKUP($N896,'Base de Grupos'!$A:$A,'Base de Grupos'!$E:$E)</f>
        <v>CANAL VENDA INTERNA</v>
      </c>
      <c r="D896" s="5" t="str">
        <f>_xlfn.XLOOKUP($N896,'Base de Grupos'!$A:$A,'Base de Grupos'!$F:$F)</f>
        <v>1000065763</v>
      </c>
      <c r="E896" s="2" t="str">
        <f>_xlfn.XLOOKUP($N896,'Base de Grupos'!$A:$A,'Base de Grupos'!$G:$G)</f>
        <v>CANAL VENDA INTERNA</v>
      </c>
      <c r="F896" s="2" t="str">
        <f>_xlfn.XLOOKUP($N896,'Base de Grupos'!$A:$A,'Base de Grupos'!$H:$H)</f>
        <v>1000174119</v>
      </c>
      <c r="G896" s="5" t="str">
        <f>_xlfn.XLOOKUP($N896,'Base de Grupos'!$A:$A,'Base de Grupos'!$I:$I)</f>
        <v>REGIONAL VENDA INTERNA - CONVENIENCIA</v>
      </c>
      <c r="H896" s="5" t="str">
        <f>_xlfn.XLOOKUP($N896,'Base de Grupos'!$A:$A,'Base de Grupos'!$J:$J)</f>
        <v>1000174119</v>
      </c>
      <c r="I896" s="2" t="str">
        <f>_xlfn.XLOOKUP($N896,'Base de Grupos'!$A:$A,'Base de Grupos'!$K:$K)</f>
        <v>REGIONAL VENDA INTERNA - CONVENIENCIA</v>
      </c>
      <c r="J896" s="2" t="str">
        <f>_xlfn.XLOOKUP($N896,'Base de Grupos'!$A:$A,'Base de Grupos'!$L:$L)</f>
        <v>1000174119</v>
      </c>
      <c r="K896" s="5" t="str">
        <f>_xlfn.XLOOKUP($N896,'Base de Grupos'!$A:$A,'Base de Grupos'!$M:$M)</f>
        <v>REGIONAL VENDA INTERNA - CONVENIENCIA</v>
      </c>
      <c r="L896" s="5" t="str">
        <f t="shared" si="866"/>
        <v/>
      </c>
      <c r="M896" s="5" t="str">
        <f>_xlfn.XLOOKUP($N896,'Base de Grupos'!$A:$A,'Base de Grupos'!$C:$C)</f>
        <v>RR</v>
      </c>
      <c r="N896" s="3">
        <v>1514</v>
      </c>
      <c r="O896" s="4" t="s">
        <v>273</v>
      </c>
      <c r="P896" s="5" t="s">
        <v>88</v>
      </c>
      <c r="Q896" s="56">
        <v>0</v>
      </c>
      <c r="R896" s="56">
        <v>0</v>
      </c>
      <c r="S896" s="56">
        <v>0</v>
      </c>
      <c r="T896" s="56">
        <f>_xlfn.XLOOKUP($N896,'Calculo Leads Conveniencia'!$A$77:$A$104,'Calculo Leads Conveniencia'!G$77:G$104)*_xlfn.XLOOKUP($P896,'Base Grupo de Produtos'!$E$23:$E$39,'Base Grupo de Produtos'!$F$23:$F$39)</f>
        <v>0</v>
      </c>
      <c r="U896" s="56">
        <f>_xlfn.XLOOKUP($N896,'Calculo Leads Conveniencia'!$A$77:$A$104,'Calculo Leads Conveniencia'!H$77:H$104)*_xlfn.XLOOKUP($P896,'Base Grupo de Produtos'!$E$23:$E$39,'Base Grupo de Produtos'!$F$23:$F$39)</f>
        <v>0</v>
      </c>
      <c r="V896" s="56">
        <f>_xlfn.XLOOKUP($N896,'Calculo Leads Conveniencia'!$A$77:$A$104,'Calculo Leads Conveniencia'!I$77:I$104)*_xlfn.XLOOKUP($P896,'Base Grupo de Produtos'!$E$23:$E$39,'Base Grupo de Produtos'!$F$23:$F$39)</f>
        <v>0</v>
      </c>
      <c r="W896" s="56">
        <f>_xlfn.XLOOKUP($N896,'Calculo Leads Conveniencia'!$A$77:$A$104,'Calculo Leads Conveniencia'!J$77:J$104)*_xlfn.XLOOKUP($P896,'Base Grupo de Produtos'!$E$23:$E$39,'Base Grupo de Produtos'!$F$23:$F$39)</f>
        <v>0</v>
      </c>
      <c r="X896" s="56">
        <f>_xlfn.XLOOKUP($N896,'Calculo Leads Conveniencia'!$A$77:$A$104,'Calculo Leads Conveniencia'!K$77:K$104)*_xlfn.XLOOKUP($P896,'Base Grupo de Produtos'!$E$23:$E$39,'Base Grupo de Produtos'!$F$23:$F$39)</f>
        <v>0</v>
      </c>
      <c r="Y896" s="56">
        <f>_xlfn.XLOOKUP($N896,'Calculo Leads Conveniencia'!$A$77:$A$104,'Calculo Leads Conveniencia'!L$77:L$104)*_xlfn.XLOOKUP($P896,'Base Grupo de Produtos'!$E$23:$E$39,'Base Grupo de Produtos'!$F$23:$F$39)</f>
        <v>0</v>
      </c>
      <c r="Z896" s="56">
        <f>_xlfn.XLOOKUP($N896,'Calculo Leads Conveniencia'!$A$77:$A$104,'Calculo Leads Conveniencia'!M$77:M$104)*_xlfn.XLOOKUP($P896,'Base Grupo de Produtos'!$E$23:$E$39,'Base Grupo de Produtos'!$F$23:$F$39)</f>
        <v>0</v>
      </c>
      <c r="AA896" s="56">
        <f>_xlfn.XLOOKUP($N896,'Calculo Leads Conveniencia'!$A$77:$A$104,'Calculo Leads Conveniencia'!N$77:N$104)*_xlfn.XLOOKUP($P896,'Base Grupo de Produtos'!$E$23:$E$39,'Base Grupo de Produtos'!$F$23:$F$39)</f>
        <v>0</v>
      </c>
      <c r="AB896" s="56">
        <f>_xlfn.XLOOKUP($N896,'Calculo Leads Conveniencia'!$A$77:$A$104,'Calculo Leads Conveniencia'!O$77:O$104)*_xlfn.XLOOKUP($P896,'Base Grupo de Produtos'!$E$23:$E$39,'Base Grupo de Produtos'!$F$23:$F$39)</f>
        <v>0</v>
      </c>
      <c r="AC896" s="61">
        <f t="shared" si="851"/>
        <v>0</v>
      </c>
      <c r="AD896" s="28"/>
      <c r="AE896" s="12"/>
      <c r="AF896" s="29"/>
      <c r="AG896" s="9"/>
      <c r="AH896" s="10"/>
      <c r="AI896" s="9"/>
      <c r="AJ896" s="11"/>
      <c r="AK896" s="9"/>
      <c r="AL896" s="13"/>
      <c r="AM896" s="9"/>
    </row>
    <row r="897" spans="1:39" x14ac:dyDescent="0.3">
      <c r="A897" s="2" t="str">
        <f t="shared" si="865"/>
        <v>NÃO</v>
      </c>
      <c r="B897" s="2" t="str">
        <f>_xlfn.XLOOKUP($N897,'Base de Grupos'!$A:$A,'Base de Grupos'!$D:$D)</f>
        <v>1000065763</v>
      </c>
      <c r="C897" s="5" t="str">
        <f>_xlfn.XLOOKUP($N897,'Base de Grupos'!$A:$A,'Base de Grupos'!$E:$E)</f>
        <v>CANAL VENDA INTERNA</v>
      </c>
      <c r="D897" s="5" t="str">
        <f>_xlfn.XLOOKUP($N897,'Base de Grupos'!$A:$A,'Base de Grupos'!$F:$F)</f>
        <v>1000065763</v>
      </c>
      <c r="E897" s="2" t="str">
        <f>_xlfn.XLOOKUP($N897,'Base de Grupos'!$A:$A,'Base de Grupos'!$G:$G)</f>
        <v>CANAL VENDA INTERNA</v>
      </c>
      <c r="F897" s="2" t="str">
        <f>_xlfn.XLOOKUP($N897,'Base de Grupos'!$A:$A,'Base de Grupos'!$H:$H)</f>
        <v>1000174119</v>
      </c>
      <c r="G897" s="5" t="str">
        <f>_xlfn.XLOOKUP($N897,'Base de Grupos'!$A:$A,'Base de Grupos'!$I:$I)</f>
        <v>REGIONAL VENDA INTERNA - CONVENIENCIA</v>
      </c>
      <c r="H897" s="5" t="str">
        <f>_xlfn.XLOOKUP($N897,'Base de Grupos'!$A:$A,'Base de Grupos'!$J:$J)</f>
        <v>1000174119</v>
      </c>
      <c r="I897" s="2" t="str">
        <f>_xlfn.XLOOKUP($N897,'Base de Grupos'!$A:$A,'Base de Grupos'!$K:$K)</f>
        <v>REGIONAL VENDA INTERNA - CONVENIENCIA</v>
      </c>
      <c r="J897" s="2" t="str">
        <f>_xlfn.XLOOKUP($N897,'Base de Grupos'!$A:$A,'Base de Grupos'!$L:$L)</f>
        <v>1000174119</v>
      </c>
      <c r="K897" s="5" t="str">
        <f>_xlfn.XLOOKUP($N897,'Base de Grupos'!$A:$A,'Base de Grupos'!$M:$M)</f>
        <v>REGIONAL VENDA INTERNA - CONVENIENCIA</v>
      </c>
      <c r="L897" s="5" t="str">
        <f t="shared" si="866"/>
        <v/>
      </c>
      <c r="M897" s="5" t="str">
        <f>_xlfn.XLOOKUP($N897,'Base de Grupos'!$A:$A,'Base de Grupos'!$C:$C)</f>
        <v>RR</v>
      </c>
      <c r="N897" s="3">
        <v>1514</v>
      </c>
      <c r="O897" s="4" t="s">
        <v>273</v>
      </c>
      <c r="P897" s="5" t="s">
        <v>90</v>
      </c>
      <c r="Q897" s="56">
        <v>0</v>
      </c>
      <c r="R897" s="56">
        <v>0</v>
      </c>
      <c r="S897" s="56">
        <v>0</v>
      </c>
      <c r="T897" s="56">
        <f>_xlfn.XLOOKUP($N897,'Calculo Leads Conveniencia'!$A$77:$A$104,'Calculo Leads Conveniencia'!G$77:G$104)*_xlfn.XLOOKUP($P897,'Base Grupo de Produtos'!$E$23:$E$39,'Base Grupo de Produtos'!$F$23:$F$39)</f>
        <v>0</v>
      </c>
      <c r="U897" s="56">
        <f>_xlfn.XLOOKUP($N897,'Calculo Leads Conveniencia'!$A$77:$A$104,'Calculo Leads Conveniencia'!H$77:H$104)*_xlfn.XLOOKUP($P897,'Base Grupo de Produtos'!$E$23:$E$39,'Base Grupo de Produtos'!$F$23:$F$39)</f>
        <v>0</v>
      </c>
      <c r="V897" s="56">
        <f>_xlfn.XLOOKUP($N897,'Calculo Leads Conveniencia'!$A$77:$A$104,'Calculo Leads Conveniencia'!I$77:I$104)*_xlfn.XLOOKUP($P897,'Base Grupo de Produtos'!$E$23:$E$39,'Base Grupo de Produtos'!$F$23:$F$39)</f>
        <v>0</v>
      </c>
      <c r="W897" s="56">
        <f>_xlfn.XLOOKUP($N897,'Calculo Leads Conveniencia'!$A$77:$A$104,'Calculo Leads Conveniencia'!J$77:J$104)*_xlfn.XLOOKUP($P897,'Base Grupo de Produtos'!$E$23:$E$39,'Base Grupo de Produtos'!$F$23:$F$39)</f>
        <v>0</v>
      </c>
      <c r="X897" s="56">
        <f>_xlfn.XLOOKUP($N897,'Calculo Leads Conveniencia'!$A$77:$A$104,'Calculo Leads Conveniencia'!K$77:K$104)*_xlfn.XLOOKUP($P897,'Base Grupo de Produtos'!$E$23:$E$39,'Base Grupo de Produtos'!$F$23:$F$39)</f>
        <v>0</v>
      </c>
      <c r="Y897" s="56">
        <f>_xlfn.XLOOKUP($N897,'Calculo Leads Conveniencia'!$A$77:$A$104,'Calculo Leads Conveniencia'!L$77:L$104)*_xlfn.XLOOKUP($P897,'Base Grupo de Produtos'!$E$23:$E$39,'Base Grupo de Produtos'!$F$23:$F$39)</f>
        <v>0</v>
      </c>
      <c r="Z897" s="56">
        <f>_xlfn.XLOOKUP($N897,'Calculo Leads Conveniencia'!$A$77:$A$104,'Calculo Leads Conveniencia'!M$77:M$104)*_xlfn.XLOOKUP($P897,'Base Grupo de Produtos'!$E$23:$E$39,'Base Grupo de Produtos'!$F$23:$F$39)</f>
        <v>0</v>
      </c>
      <c r="AA897" s="56">
        <f>_xlfn.XLOOKUP($N897,'Calculo Leads Conveniencia'!$A$77:$A$104,'Calculo Leads Conveniencia'!N$77:N$104)*_xlfn.XLOOKUP($P897,'Base Grupo de Produtos'!$E$23:$E$39,'Base Grupo de Produtos'!$F$23:$F$39)</f>
        <v>0</v>
      </c>
      <c r="AB897" s="56">
        <f>_xlfn.XLOOKUP($N897,'Calculo Leads Conveniencia'!$A$77:$A$104,'Calculo Leads Conveniencia'!O$77:O$104)*_xlfn.XLOOKUP($P897,'Base Grupo de Produtos'!$E$23:$E$39,'Base Grupo de Produtos'!$F$23:$F$39)</f>
        <v>0</v>
      </c>
      <c r="AC897" s="61">
        <f t="shared" si="851"/>
        <v>0</v>
      </c>
      <c r="AD897" s="28"/>
      <c r="AE897" s="12"/>
      <c r="AF897" s="29"/>
      <c r="AG897" s="9"/>
      <c r="AH897" s="10"/>
      <c r="AI897" s="9"/>
      <c r="AJ897" s="11"/>
      <c r="AK897" s="9"/>
      <c r="AL897" s="13"/>
      <c r="AM897" s="9"/>
    </row>
    <row r="898" spans="1:39" x14ac:dyDescent="0.3">
      <c r="A898" s="2" t="str">
        <f t="shared" si="865"/>
        <v>NÃO</v>
      </c>
      <c r="B898" s="2" t="str">
        <f>_xlfn.XLOOKUP($N898,'Base de Grupos'!$A:$A,'Base de Grupos'!$D:$D)</f>
        <v>1000065763</v>
      </c>
      <c r="C898" s="5" t="str">
        <f>_xlfn.XLOOKUP($N898,'Base de Grupos'!$A:$A,'Base de Grupos'!$E:$E)</f>
        <v>CANAL VENDA INTERNA</v>
      </c>
      <c r="D898" s="5" t="str">
        <f>_xlfn.XLOOKUP($N898,'Base de Grupos'!$A:$A,'Base de Grupos'!$F:$F)</f>
        <v>1000065763</v>
      </c>
      <c r="E898" s="2" t="str">
        <f>_xlfn.XLOOKUP($N898,'Base de Grupos'!$A:$A,'Base de Grupos'!$G:$G)</f>
        <v>CANAL VENDA INTERNA</v>
      </c>
      <c r="F898" s="2" t="str">
        <f>_xlfn.XLOOKUP($N898,'Base de Grupos'!$A:$A,'Base de Grupos'!$H:$H)</f>
        <v>1000174119</v>
      </c>
      <c r="G898" s="5" t="str">
        <f>_xlfn.XLOOKUP($N898,'Base de Grupos'!$A:$A,'Base de Grupos'!$I:$I)</f>
        <v>REGIONAL VENDA INTERNA - CONVENIENCIA</v>
      </c>
      <c r="H898" s="5" t="str">
        <f>_xlfn.XLOOKUP($N898,'Base de Grupos'!$A:$A,'Base de Grupos'!$J:$J)</f>
        <v>1000174119</v>
      </c>
      <c r="I898" s="2" t="str">
        <f>_xlfn.XLOOKUP($N898,'Base de Grupos'!$A:$A,'Base de Grupos'!$K:$K)</f>
        <v>REGIONAL VENDA INTERNA - CONVENIENCIA</v>
      </c>
      <c r="J898" s="2" t="str">
        <f>_xlfn.XLOOKUP($N898,'Base de Grupos'!$A:$A,'Base de Grupos'!$L:$L)</f>
        <v>1000174119</v>
      </c>
      <c r="K898" s="5" t="str">
        <f>_xlfn.XLOOKUP($N898,'Base de Grupos'!$A:$A,'Base de Grupos'!$M:$M)</f>
        <v>REGIONAL VENDA INTERNA - CONVENIENCIA</v>
      </c>
      <c r="L898" s="5" t="str">
        <f t="shared" si="866"/>
        <v/>
      </c>
      <c r="M898" s="5" t="str">
        <f>_xlfn.XLOOKUP($N898,'Base de Grupos'!$A:$A,'Base de Grupos'!$C:$C)</f>
        <v>RR</v>
      </c>
      <c r="N898" s="3">
        <v>1514</v>
      </c>
      <c r="O898" s="4" t="s">
        <v>273</v>
      </c>
      <c r="P898" s="5" t="s">
        <v>91</v>
      </c>
      <c r="Q898" s="56">
        <v>0</v>
      </c>
      <c r="R898" s="56">
        <v>0</v>
      </c>
      <c r="S898" s="56">
        <v>0</v>
      </c>
      <c r="T898" s="56">
        <f>_xlfn.XLOOKUP($N898,'Calculo Leads Conveniencia'!$A$77:$A$104,'Calculo Leads Conveniencia'!G$77:G$104)*_xlfn.XLOOKUP($P898,'Base Grupo de Produtos'!$E$23:$E$39,'Base Grupo de Produtos'!$F$23:$F$39)</f>
        <v>0</v>
      </c>
      <c r="U898" s="56">
        <f>_xlfn.XLOOKUP($N898,'Calculo Leads Conveniencia'!$A$77:$A$104,'Calculo Leads Conveniencia'!H$77:H$104)*_xlfn.XLOOKUP($P898,'Base Grupo de Produtos'!$E$23:$E$39,'Base Grupo de Produtos'!$F$23:$F$39)</f>
        <v>0</v>
      </c>
      <c r="V898" s="56">
        <f>_xlfn.XLOOKUP($N898,'Calculo Leads Conveniencia'!$A$77:$A$104,'Calculo Leads Conveniencia'!I$77:I$104)*_xlfn.XLOOKUP($P898,'Base Grupo de Produtos'!$E$23:$E$39,'Base Grupo de Produtos'!$F$23:$F$39)</f>
        <v>0</v>
      </c>
      <c r="W898" s="56">
        <f>_xlfn.XLOOKUP($N898,'Calculo Leads Conveniencia'!$A$77:$A$104,'Calculo Leads Conveniencia'!J$77:J$104)*_xlfn.XLOOKUP($P898,'Base Grupo de Produtos'!$E$23:$E$39,'Base Grupo de Produtos'!$F$23:$F$39)</f>
        <v>0</v>
      </c>
      <c r="X898" s="56">
        <f>_xlfn.XLOOKUP($N898,'Calculo Leads Conveniencia'!$A$77:$A$104,'Calculo Leads Conveniencia'!K$77:K$104)*_xlfn.XLOOKUP($P898,'Base Grupo de Produtos'!$E$23:$E$39,'Base Grupo de Produtos'!$F$23:$F$39)</f>
        <v>0</v>
      </c>
      <c r="Y898" s="56">
        <f>_xlfn.XLOOKUP($N898,'Calculo Leads Conveniencia'!$A$77:$A$104,'Calculo Leads Conveniencia'!L$77:L$104)*_xlfn.XLOOKUP($P898,'Base Grupo de Produtos'!$E$23:$E$39,'Base Grupo de Produtos'!$F$23:$F$39)</f>
        <v>0</v>
      </c>
      <c r="Z898" s="56">
        <f>_xlfn.XLOOKUP($N898,'Calculo Leads Conveniencia'!$A$77:$A$104,'Calculo Leads Conveniencia'!M$77:M$104)*_xlfn.XLOOKUP($P898,'Base Grupo de Produtos'!$E$23:$E$39,'Base Grupo de Produtos'!$F$23:$F$39)</f>
        <v>0</v>
      </c>
      <c r="AA898" s="56">
        <f>_xlfn.XLOOKUP($N898,'Calculo Leads Conveniencia'!$A$77:$A$104,'Calculo Leads Conveniencia'!N$77:N$104)*_xlfn.XLOOKUP($P898,'Base Grupo de Produtos'!$E$23:$E$39,'Base Grupo de Produtos'!$F$23:$F$39)</f>
        <v>0</v>
      </c>
      <c r="AB898" s="56">
        <f>_xlfn.XLOOKUP($N898,'Calculo Leads Conveniencia'!$A$77:$A$104,'Calculo Leads Conveniencia'!O$77:O$104)*_xlfn.XLOOKUP($P898,'Base Grupo de Produtos'!$E$23:$E$39,'Base Grupo de Produtos'!$F$23:$F$39)</f>
        <v>0</v>
      </c>
      <c r="AC898" s="61">
        <f t="shared" si="851"/>
        <v>0</v>
      </c>
      <c r="AD898" s="28"/>
      <c r="AE898" s="12"/>
      <c r="AF898" s="29"/>
      <c r="AG898" s="9"/>
      <c r="AH898" s="10"/>
      <c r="AI898" s="9"/>
      <c r="AJ898" s="11"/>
      <c r="AK898" s="9"/>
      <c r="AL898" s="13"/>
      <c r="AM898" s="9"/>
    </row>
    <row r="899" spans="1:39" x14ac:dyDescent="0.3">
      <c r="A899" s="2" t="str">
        <f t="shared" si="865"/>
        <v>NÃO</v>
      </c>
      <c r="B899" s="2" t="str">
        <f>_xlfn.XLOOKUP($N899,'Base de Grupos'!$A:$A,'Base de Grupos'!$D:$D)</f>
        <v>1000065763</v>
      </c>
      <c r="C899" s="5" t="str">
        <f>_xlfn.XLOOKUP($N899,'Base de Grupos'!$A:$A,'Base de Grupos'!$E:$E)</f>
        <v>CANAL VENDA INTERNA</v>
      </c>
      <c r="D899" s="5" t="str">
        <f>_xlfn.XLOOKUP($N899,'Base de Grupos'!$A:$A,'Base de Grupos'!$F:$F)</f>
        <v>1000065763</v>
      </c>
      <c r="E899" s="2" t="str">
        <f>_xlfn.XLOOKUP($N899,'Base de Grupos'!$A:$A,'Base de Grupos'!$G:$G)</f>
        <v>CANAL VENDA INTERNA</v>
      </c>
      <c r="F899" s="2" t="str">
        <f>_xlfn.XLOOKUP($N899,'Base de Grupos'!$A:$A,'Base de Grupos'!$H:$H)</f>
        <v>1000174119</v>
      </c>
      <c r="G899" s="5" t="str">
        <f>_xlfn.XLOOKUP($N899,'Base de Grupos'!$A:$A,'Base de Grupos'!$I:$I)</f>
        <v>REGIONAL VENDA INTERNA - CONVENIENCIA</v>
      </c>
      <c r="H899" s="5" t="str">
        <f>_xlfn.XLOOKUP($N899,'Base de Grupos'!$A:$A,'Base de Grupos'!$J:$J)</f>
        <v>1000174119</v>
      </c>
      <c r="I899" s="2" t="str">
        <f>_xlfn.XLOOKUP($N899,'Base de Grupos'!$A:$A,'Base de Grupos'!$K:$K)</f>
        <v>REGIONAL VENDA INTERNA - CONVENIENCIA</v>
      </c>
      <c r="J899" s="2" t="str">
        <f>_xlfn.XLOOKUP($N899,'Base de Grupos'!$A:$A,'Base de Grupos'!$L:$L)</f>
        <v>1000174119</v>
      </c>
      <c r="K899" s="5" t="str">
        <f>_xlfn.XLOOKUP($N899,'Base de Grupos'!$A:$A,'Base de Grupos'!$M:$M)</f>
        <v>REGIONAL VENDA INTERNA - CONVENIENCIA</v>
      </c>
      <c r="L899" s="5" t="str">
        <f t="shared" si="866"/>
        <v/>
      </c>
      <c r="M899" s="5" t="str">
        <f>_xlfn.XLOOKUP($N899,'Base de Grupos'!$A:$A,'Base de Grupos'!$C:$C)</f>
        <v>RR</v>
      </c>
      <c r="N899" s="3">
        <v>1514</v>
      </c>
      <c r="O899" s="4" t="s">
        <v>273</v>
      </c>
      <c r="P899" s="5" t="s">
        <v>96</v>
      </c>
      <c r="Q899" s="56">
        <v>0</v>
      </c>
      <c r="R899" s="56">
        <v>0</v>
      </c>
      <c r="S899" s="56">
        <v>0</v>
      </c>
      <c r="T899" s="56">
        <f>_xlfn.XLOOKUP($N899,'Calculo Leads Conveniencia'!$A$77:$A$104,'Calculo Leads Conveniencia'!G$77:G$104)*_xlfn.XLOOKUP($P899,'Base Grupo de Produtos'!$E$23:$E$39,'Base Grupo de Produtos'!$F$23:$F$39)</f>
        <v>0</v>
      </c>
      <c r="U899" s="56">
        <f>_xlfn.XLOOKUP($N899,'Calculo Leads Conveniencia'!$A$77:$A$104,'Calculo Leads Conveniencia'!H$77:H$104)*_xlfn.XLOOKUP($P899,'Base Grupo de Produtos'!$E$23:$E$39,'Base Grupo de Produtos'!$F$23:$F$39)</f>
        <v>0</v>
      </c>
      <c r="V899" s="56">
        <f>_xlfn.XLOOKUP($N899,'Calculo Leads Conveniencia'!$A$77:$A$104,'Calculo Leads Conveniencia'!I$77:I$104)*_xlfn.XLOOKUP($P899,'Base Grupo de Produtos'!$E$23:$E$39,'Base Grupo de Produtos'!$F$23:$F$39)</f>
        <v>0</v>
      </c>
      <c r="W899" s="56">
        <f>_xlfn.XLOOKUP($N899,'Calculo Leads Conveniencia'!$A$77:$A$104,'Calculo Leads Conveniencia'!J$77:J$104)*_xlfn.XLOOKUP($P899,'Base Grupo de Produtos'!$E$23:$E$39,'Base Grupo de Produtos'!$F$23:$F$39)</f>
        <v>0</v>
      </c>
      <c r="X899" s="56">
        <f>_xlfn.XLOOKUP($N899,'Calculo Leads Conveniencia'!$A$77:$A$104,'Calculo Leads Conveniencia'!K$77:K$104)*_xlfn.XLOOKUP($P899,'Base Grupo de Produtos'!$E$23:$E$39,'Base Grupo de Produtos'!$F$23:$F$39)</f>
        <v>0</v>
      </c>
      <c r="Y899" s="56">
        <f>_xlfn.XLOOKUP($N899,'Calculo Leads Conveniencia'!$A$77:$A$104,'Calculo Leads Conveniencia'!L$77:L$104)*_xlfn.XLOOKUP($P899,'Base Grupo de Produtos'!$E$23:$E$39,'Base Grupo de Produtos'!$F$23:$F$39)</f>
        <v>0</v>
      </c>
      <c r="Z899" s="56">
        <f>_xlfn.XLOOKUP($N899,'Calculo Leads Conveniencia'!$A$77:$A$104,'Calculo Leads Conveniencia'!M$77:M$104)*_xlfn.XLOOKUP($P899,'Base Grupo de Produtos'!$E$23:$E$39,'Base Grupo de Produtos'!$F$23:$F$39)</f>
        <v>0</v>
      </c>
      <c r="AA899" s="56">
        <f>_xlfn.XLOOKUP($N899,'Calculo Leads Conveniencia'!$A$77:$A$104,'Calculo Leads Conveniencia'!N$77:N$104)*_xlfn.XLOOKUP($P899,'Base Grupo de Produtos'!$E$23:$E$39,'Base Grupo de Produtos'!$F$23:$F$39)</f>
        <v>0</v>
      </c>
      <c r="AB899" s="56">
        <f>_xlfn.XLOOKUP($N899,'Calculo Leads Conveniencia'!$A$77:$A$104,'Calculo Leads Conveniencia'!O$77:O$104)*_xlfn.XLOOKUP($P899,'Base Grupo de Produtos'!$E$23:$E$39,'Base Grupo de Produtos'!$F$23:$F$39)</f>
        <v>0</v>
      </c>
      <c r="AC899" s="61">
        <f t="shared" si="851"/>
        <v>0</v>
      </c>
      <c r="AD899" s="28"/>
      <c r="AE899" s="12"/>
      <c r="AF899" s="29"/>
      <c r="AG899" s="9"/>
      <c r="AH899" s="10"/>
      <c r="AI899" s="9"/>
      <c r="AJ899" s="11"/>
      <c r="AK899" s="9"/>
      <c r="AL899" s="13"/>
      <c r="AM899" s="9"/>
    </row>
    <row r="900" spans="1:39" x14ac:dyDescent="0.3">
      <c r="A900" s="2" t="str">
        <f t="shared" si="865"/>
        <v>NÃO</v>
      </c>
      <c r="B900" s="2" t="str">
        <f>_xlfn.XLOOKUP($N900,'Base de Grupos'!$A:$A,'Base de Grupos'!$D:$D)</f>
        <v>1000065763</v>
      </c>
      <c r="C900" s="5" t="str">
        <f>_xlfn.XLOOKUP($N900,'Base de Grupos'!$A:$A,'Base de Grupos'!$E:$E)</f>
        <v>CANAL VENDA INTERNA</v>
      </c>
      <c r="D900" s="5" t="str">
        <f>_xlfn.XLOOKUP($N900,'Base de Grupos'!$A:$A,'Base de Grupos'!$F:$F)</f>
        <v>1000065763</v>
      </c>
      <c r="E900" s="2" t="str">
        <f>_xlfn.XLOOKUP($N900,'Base de Grupos'!$A:$A,'Base de Grupos'!$G:$G)</f>
        <v>CANAL VENDA INTERNA</v>
      </c>
      <c r="F900" s="2" t="str">
        <f>_xlfn.XLOOKUP($N900,'Base de Grupos'!$A:$A,'Base de Grupos'!$H:$H)</f>
        <v>1000174119</v>
      </c>
      <c r="G900" s="5" t="str">
        <f>_xlfn.XLOOKUP($N900,'Base de Grupos'!$A:$A,'Base de Grupos'!$I:$I)</f>
        <v>REGIONAL VENDA INTERNA - CONVENIENCIA</v>
      </c>
      <c r="H900" s="5" t="str">
        <f>_xlfn.XLOOKUP($N900,'Base de Grupos'!$A:$A,'Base de Grupos'!$J:$J)</f>
        <v>1000174119</v>
      </c>
      <c r="I900" s="2" t="str">
        <f>_xlfn.XLOOKUP($N900,'Base de Grupos'!$A:$A,'Base de Grupos'!$K:$K)</f>
        <v>REGIONAL VENDA INTERNA - CONVENIENCIA</v>
      </c>
      <c r="J900" s="2" t="str">
        <f>_xlfn.XLOOKUP($N900,'Base de Grupos'!$A:$A,'Base de Grupos'!$L:$L)</f>
        <v>1000174119</v>
      </c>
      <c r="K900" s="5" t="str">
        <f>_xlfn.XLOOKUP($N900,'Base de Grupos'!$A:$A,'Base de Grupos'!$M:$M)</f>
        <v>REGIONAL VENDA INTERNA - CONVENIENCIA</v>
      </c>
      <c r="L900" s="5" t="str">
        <f t="shared" si="866"/>
        <v/>
      </c>
      <c r="M900" s="5" t="str">
        <f>_xlfn.XLOOKUP($N900,'Base de Grupos'!$A:$A,'Base de Grupos'!$C:$C)</f>
        <v>RR</v>
      </c>
      <c r="N900" s="3">
        <v>1514</v>
      </c>
      <c r="O900" s="4" t="s">
        <v>273</v>
      </c>
      <c r="P900" s="5" t="s">
        <v>94</v>
      </c>
      <c r="Q900" s="56">
        <v>0</v>
      </c>
      <c r="R900" s="56">
        <v>0</v>
      </c>
      <c r="S900" s="56">
        <v>0</v>
      </c>
      <c r="T900" s="56">
        <f>_xlfn.XLOOKUP($N900,'Calculo Leads Conveniencia'!$A$77:$A$104,'Calculo Leads Conveniencia'!G$77:G$104)*_xlfn.XLOOKUP($P900,'Base Grupo de Produtos'!$E$23:$E$39,'Base Grupo de Produtos'!$F$23:$F$39)</f>
        <v>0</v>
      </c>
      <c r="U900" s="56">
        <f>_xlfn.XLOOKUP($N900,'Calculo Leads Conveniencia'!$A$77:$A$104,'Calculo Leads Conveniencia'!H$77:H$104)*_xlfn.XLOOKUP($P900,'Base Grupo de Produtos'!$E$23:$E$39,'Base Grupo de Produtos'!$F$23:$F$39)</f>
        <v>0</v>
      </c>
      <c r="V900" s="56">
        <f>_xlfn.XLOOKUP($N900,'Calculo Leads Conveniencia'!$A$77:$A$104,'Calculo Leads Conveniencia'!I$77:I$104)*_xlfn.XLOOKUP($P900,'Base Grupo de Produtos'!$E$23:$E$39,'Base Grupo de Produtos'!$F$23:$F$39)</f>
        <v>0</v>
      </c>
      <c r="W900" s="56">
        <f>_xlfn.XLOOKUP($N900,'Calculo Leads Conveniencia'!$A$77:$A$104,'Calculo Leads Conveniencia'!J$77:J$104)*_xlfn.XLOOKUP($P900,'Base Grupo de Produtos'!$E$23:$E$39,'Base Grupo de Produtos'!$F$23:$F$39)</f>
        <v>0</v>
      </c>
      <c r="X900" s="56">
        <f>_xlfn.XLOOKUP($N900,'Calculo Leads Conveniencia'!$A$77:$A$104,'Calculo Leads Conveniencia'!K$77:K$104)*_xlfn.XLOOKUP($P900,'Base Grupo de Produtos'!$E$23:$E$39,'Base Grupo de Produtos'!$F$23:$F$39)</f>
        <v>0</v>
      </c>
      <c r="Y900" s="56">
        <f>_xlfn.XLOOKUP($N900,'Calculo Leads Conveniencia'!$A$77:$A$104,'Calculo Leads Conveniencia'!L$77:L$104)*_xlfn.XLOOKUP($P900,'Base Grupo de Produtos'!$E$23:$E$39,'Base Grupo de Produtos'!$F$23:$F$39)</f>
        <v>0</v>
      </c>
      <c r="Z900" s="56">
        <f>_xlfn.XLOOKUP($N900,'Calculo Leads Conveniencia'!$A$77:$A$104,'Calculo Leads Conveniencia'!M$77:M$104)*_xlfn.XLOOKUP($P900,'Base Grupo de Produtos'!$E$23:$E$39,'Base Grupo de Produtos'!$F$23:$F$39)</f>
        <v>0</v>
      </c>
      <c r="AA900" s="56">
        <f>_xlfn.XLOOKUP($N900,'Calculo Leads Conveniencia'!$A$77:$A$104,'Calculo Leads Conveniencia'!N$77:N$104)*_xlfn.XLOOKUP($P900,'Base Grupo de Produtos'!$E$23:$E$39,'Base Grupo de Produtos'!$F$23:$F$39)</f>
        <v>0</v>
      </c>
      <c r="AB900" s="56">
        <f>_xlfn.XLOOKUP($N900,'Calculo Leads Conveniencia'!$A$77:$A$104,'Calculo Leads Conveniencia'!O$77:O$104)*_xlfn.XLOOKUP($P900,'Base Grupo de Produtos'!$E$23:$E$39,'Base Grupo de Produtos'!$F$23:$F$39)</f>
        <v>0</v>
      </c>
      <c r="AC900" s="61">
        <f t="shared" si="851"/>
        <v>0</v>
      </c>
      <c r="AD900" s="28"/>
      <c r="AE900" s="12"/>
      <c r="AF900" s="29"/>
      <c r="AG900" s="9"/>
      <c r="AH900" s="10"/>
      <c r="AI900" s="9"/>
      <c r="AJ900" s="11"/>
      <c r="AK900" s="9"/>
      <c r="AL900" s="13"/>
      <c r="AM900" s="9"/>
    </row>
    <row r="901" spans="1:39" x14ac:dyDescent="0.3">
      <c r="A901" s="2" t="str">
        <f t="shared" si="865"/>
        <v>NÃO</v>
      </c>
      <c r="B901" s="2" t="str">
        <f>_xlfn.XLOOKUP($N901,'Base de Grupos'!$A:$A,'Base de Grupos'!$D:$D)</f>
        <v>1000065763</v>
      </c>
      <c r="C901" s="5" t="str">
        <f>_xlfn.XLOOKUP($N901,'Base de Grupos'!$A:$A,'Base de Grupos'!$E:$E)</f>
        <v>CANAL VENDA INTERNA</v>
      </c>
      <c r="D901" s="5" t="str">
        <f>_xlfn.XLOOKUP($N901,'Base de Grupos'!$A:$A,'Base de Grupos'!$F:$F)</f>
        <v>1000065763</v>
      </c>
      <c r="E901" s="2" t="str">
        <f>_xlfn.XLOOKUP($N901,'Base de Grupos'!$A:$A,'Base de Grupos'!$G:$G)</f>
        <v>CANAL VENDA INTERNA</v>
      </c>
      <c r="F901" s="2" t="str">
        <f>_xlfn.XLOOKUP($N901,'Base de Grupos'!$A:$A,'Base de Grupos'!$H:$H)</f>
        <v>1000174119</v>
      </c>
      <c r="G901" s="5" t="str">
        <f>_xlfn.XLOOKUP($N901,'Base de Grupos'!$A:$A,'Base de Grupos'!$I:$I)</f>
        <v>REGIONAL VENDA INTERNA - CONVENIENCIA</v>
      </c>
      <c r="H901" s="5" t="str">
        <f>_xlfn.XLOOKUP($N901,'Base de Grupos'!$A:$A,'Base de Grupos'!$J:$J)</f>
        <v>1000174119</v>
      </c>
      <c r="I901" s="2" t="str">
        <f>_xlfn.XLOOKUP($N901,'Base de Grupos'!$A:$A,'Base de Grupos'!$K:$K)</f>
        <v>REGIONAL VENDA INTERNA - CONVENIENCIA</v>
      </c>
      <c r="J901" s="2" t="str">
        <f>_xlfn.XLOOKUP($N901,'Base de Grupos'!$A:$A,'Base de Grupos'!$L:$L)</f>
        <v>1000174119</v>
      </c>
      <c r="K901" s="5" t="str">
        <f>_xlfn.XLOOKUP($N901,'Base de Grupos'!$A:$A,'Base de Grupos'!$M:$M)</f>
        <v>REGIONAL VENDA INTERNA - CONVENIENCIA</v>
      </c>
      <c r="L901" s="5" t="str">
        <f t="shared" si="866"/>
        <v/>
      </c>
      <c r="M901" s="5" t="str">
        <f>_xlfn.XLOOKUP($N901,'Base de Grupos'!$A:$A,'Base de Grupos'!$C:$C)</f>
        <v>RR</v>
      </c>
      <c r="N901" s="3">
        <v>1514</v>
      </c>
      <c r="O901" s="4" t="s">
        <v>273</v>
      </c>
      <c r="P901" s="5" t="s">
        <v>95</v>
      </c>
      <c r="Q901" s="56">
        <v>0</v>
      </c>
      <c r="R901" s="56">
        <v>0</v>
      </c>
      <c r="S901" s="56">
        <v>0</v>
      </c>
      <c r="T901" s="56">
        <f>_xlfn.XLOOKUP($N901,'Calculo Leads Conveniencia'!$A$77:$A$104,'Calculo Leads Conveniencia'!G$77:G$104)*_xlfn.XLOOKUP($P901,'Base Grupo de Produtos'!$E$23:$E$39,'Base Grupo de Produtos'!$F$23:$F$39)</f>
        <v>0</v>
      </c>
      <c r="U901" s="56">
        <f>_xlfn.XLOOKUP($N901,'Calculo Leads Conveniencia'!$A$77:$A$104,'Calculo Leads Conveniencia'!H$77:H$104)*_xlfn.XLOOKUP($P901,'Base Grupo de Produtos'!$E$23:$E$39,'Base Grupo de Produtos'!$F$23:$F$39)</f>
        <v>0</v>
      </c>
      <c r="V901" s="56">
        <f>_xlfn.XLOOKUP($N901,'Calculo Leads Conveniencia'!$A$77:$A$104,'Calculo Leads Conveniencia'!I$77:I$104)*_xlfn.XLOOKUP($P901,'Base Grupo de Produtos'!$E$23:$E$39,'Base Grupo de Produtos'!$F$23:$F$39)</f>
        <v>0</v>
      </c>
      <c r="W901" s="56">
        <f>_xlfn.XLOOKUP($N901,'Calculo Leads Conveniencia'!$A$77:$A$104,'Calculo Leads Conveniencia'!J$77:J$104)*_xlfn.XLOOKUP($P901,'Base Grupo de Produtos'!$E$23:$E$39,'Base Grupo de Produtos'!$F$23:$F$39)</f>
        <v>0</v>
      </c>
      <c r="X901" s="56">
        <f>_xlfn.XLOOKUP($N901,'Calculo Leads Conveniencia'!$A$77:$A$104,'Calculo Leads Conveniencia'!K$77:K$104)*_xlfn.XLOOKUP($P901,'Base Grupo de Produtos'!$E$23:$E$39,'Base Grupo de Produtos'!$F$23:$F$39)</f>
        <v>0</v>
      </c>
      <c r="Y901" s="56">
        <f>_xlfn.XLOOKUP($N901,'Calculo Leads Conveniencia'!$A$77:$A$104,'Calculo Leads Conveniencia'!L$77:L$104)*_xlfn.XLOOKUP($P901,'Base Grupo de Produtos'!$E$23:$E$39,'Base Grupo de Produtos'!$F$23:$F$39)</f>
        <v>0</v>
      </c>
      <c r="Z901" s="56">
        <f>_xlfn.XLOOKUP($N901,'Calculo Leads Conveniencia'!$A$77:$A$104,'Calculo Leads Conveniencia'!M$77:M$104)*_xlfn.XLOOKUP($P901,'Base Grupo de Produtos'!$E$23:$E$39,'Base Grupo de Produtos'!$F$23:$F$39)</f>
        <v>0</v>
      </c>
      <c r="AA901" s="56">
        <f>_xlfn.XLOOKUP($N901,'Calculo Leads Conveniencia'!$A$77:$A$104,'Calculo Leads Conveniencia'!N$77:N$104)*_xlfn.XLOOKUP($P901,'Base Grupo de Produtos'!$E$23:$E$39,'Base Grupo de Produtos'!$F$23:$F$39)</f>
        <v>0</v>
      </c>
      <c r="AB901" s="56">
        <f>_xlfn.XLOOKUP($N901,'Calculo Leads Conveniencia'!$A$77:$A$104,'Calculo Leads Conveniencia'!O$77:O$104)*_xlfn.XLOOKUP($P901,'Base Grupo de Produtos'!$E$23:$E$39,'Base Grupo de Produtos'!$F$23:$F$39)</f>
        <v>0</v>
      </c>
      <c r="AC901" s="61">
        <f t="shared" ref="AC901:AC964" si="893">SUM(T901:AB901)</f>
        <v>0</v>
      </c>
      <c r="AD901" s="28"/>
      <c r="AE901" s="12"/>
      <c r="AF901" s="29"/>
      <c r="AG901" s="9"/>
      <c r="AH901" s="10"/>
      <c r="AI901" s="9"/>
      <c r="AJ901" s="11"/>
      <c r="AK901" s="9"/>
      <c r="AL901" s="13"/>
      <c r="AM901" s="9"/>
    </row>
    <row r="902" spans="1:39" x14ac:dyDescent="0.3">
      <c r="A902" s="2" t="str">
        <f t="shared" si="865"/>
        <v>NÃO</v>
      </c>
      <c r="B902" s="2" t="str">
        <f>_xlfn.XLOOKUP($N902,'Base de Grupos'!$A:$A,'Base de Grupos'!$D:$D)</f>
        <v>1000065763</v>
      </c>
      <c r="C902" s="5" t="str">
        <f>_xlfn.XLOOKUP($N902,'Base de Grupos'!$A:$A,'Base de Grupos'!$E:$E)</f>
        <v>CANAL VENDA INTERNA</v>
      </c>
      <c r="D902" s="5" t="str">
        <f>_xlfn.XLOOKUP($N902,'Base de Grupos'!$A:$A,'Base de Grupos'!$F:$F)</f>
        <v>1000065763</v>
      </c>
      <c r="E902" s="2" t="str">
        <f>_xlfn.XLOOKUP($N902,'Base de Grupos'!$A:$A,'Base de Grupos'!$G:$G)</f>
        <v>CANAL VENDA INTERNA</v>
      </c>
      <c r="F902" s="2" t="str">
        <f>_xlfn.XLOOKUP($N902,'Base de Grupos'!$A:$A,'Base de Grupos'!$H:$H)</f>
        <v>1000174119</v>
      </c>
      <c r="G902" s="5" t="str">
        <f>_xlfn.XLOOKUP($N902,'Base de Grupos'!$A:$A,'Base de Grupos'!$I:$I)</f>
        <v>REGIONAL VENDA INTERNA - CONVENIENCIA</v>
      </c>
      <c r="H902" s="5" t="str">
        <f>_xlfn.XLOOKUP($N902,'Base de Grupos'!$A:$A,'Base de Grupos'!$J:$J)</f>
        <v>1000174119</v>
      </c>
      <c r="I902" s="2" t="str">
        <f>_xlfn.XLOOKUP($N902,'Base de Grupos'!$A:$A,'Base de Grupos'!$K:$K)</f>
        <v>REGIONAL VENDA INTERNA - CONVENIENCIA</v>
      </c>
      <c r="J902" s="2" t="str">
        <f>_xlfn.XLOOKUP($N902,'Base de Grupos'!$A:$A,'Base de Grupos'!$L:$L)</f>
        <v>1000174119</v>
      </c>
      <c r="K902" s="5" t="str">
        <f>_xlfn.XLOOKUP($N902,'Base de Grupos'!$A:$A,'Base de Grupos'!$M:$M)</f>
        <v>REGIONAL VENDA INTERNA - CONVENIENCIA</v>
      </c>
      <c r="L902" s="5" t="str">
        <f t="shared" si="866"/>
        <v/>
      </c>
      <c r="M902" s="5" t="str">
        <f>_xlfn.XLOOKUP($N902,'Base de Grupos'!$A:$A,'Base de Grupos'!$C:$C)</f>
        <v>RR</v>
      </c>
      <c r="N902" s="3">
        <v>1514</v>
      </c>
      <c r="O902" s="4" t="s">
        <v>273</v>
      </c>
      <c r="P902" s="5" t="s">
        <v>93</v>
      </c>
      <c r="Q902" s="56">
        <v>0</v>
      </c>
      <c r="R902" s="56">
        <v>0</v>
      </c>
      <c r="S902" s="56">
        <v>0</v>
      </c>
      <c r="T902" s="56">
        <f>_xlfn.XLOOKUP($N902,'Calculo Leads Conveniencia'!$A$77:$A$104,'Calculo Leads Conveniencia'!G$77:G$104)*_xlfn.XLOOKUP($P902,'Base Grupo de Produtos'!$E$23:$E$39,'Base Grupo de Produtos'!$F$23:$F$39)</f>
        <v>0</v>
      </c>
      <c r="U902" s="56">
        <f>_xlfn.XLOOKUP($N902,'Calculo Leads Conveniencia'!$A$77:$A$104,'Calculo Leads Conveniencia'!H$77:H$104)*_xlfn.XLOOKUP($P902,'Base Grupo de Produtos'!$E$23:$E$39,'Base Grupo de Produtos'!$F$23:$F$39)</f>
        <v>0</v>
      </c>
      <c r="V902" s="56">
        <f>_xlfn.XLOOKUP($N902,'Calculo Leads Conveniencia'!$A$77:$A$104,'Calculo Leads Conveniencia'!I$77:I$104)*_xlfn.XLOOKUP($P902,'Base Grupo de Produtos'!$E$23:$E$39,'Base Grupo de Produtos'!$F$23:$F$39)</f>
        <v>0</v>
      </c>
      <c r="W902" s="56">
        <f>_xlfn.XLOOKUP($N902,'Calculo Leads Conveniencia'!$A$77:$A$104,'Calculo Leads Conveniencia'!J$77:J$104)*_xlfn.XLOOKUP($P902,'Base Grupo de Produtos'!$E$23:$E$39,'Base Grupo de Produtos'!$F$23:$F$39)</f>
        <v>0</v>
      </c>
      <c r="X902" s="56">
        <f>_xlfn.XLOOKUP($N902,'Calculo Leads Conveniencia'!$A$77:$A$104,'Calculo Leads Conveniencia'!K$77:K$104)*_xlfn.XLOOKUP($P902,'Base Grupo de Produtos'!$E$23:$E$39,'Base Grupo de Produtos'!$F$23:$F$39)</f>
        <v>0</v>
      </c>
      <c r="Y902" s="56">
        <f>_xlfn.XLOOKUP($N902,'Calculo Leads Conveniencia'!$A$77:$A$104,'Calculo Leads Conveniencia'!L$77:L$104)*_xlfn.XLOOKUP($P902,'Base Grupo de Produtos'!$E$23:$E$39,'Base Grupo de Produtos'!$F$23:$F$39)</f>
        <v>0</v>
      </c>
      <c r="Z902" s="56">
        <f>_xlfn.XLOOKUP($N902,'Calculo Leads Conveniencia'!$A$77:$A$104,'Calculo Leads Conveniencia'!M$77:M$104)*_xlfn.XLOOKUP($P902,'Base Grupo de Produtos'!$E$23:$E$39,'Base Grupo de Produtos'!$F$23:$F$39)</f>
        <v>0</v>
      </c>
      <c r="AA902" s="56">
        <f>_xlfn.XLOOKUP($N902,'Calculo Leads Conveniencia'!$A$77:$A$104,'Calculo Leads Conveniencia'!N$77:N$104)*_xlfn.XLOOKUP($P902,'Base Grupo de Produtos'!$E$23:$E$39,'Base Grupo de Produtos'!$F$23:$F$39)</f>
        <v>0</v>
      </c>
      <c r="AB902" s="56">
        <f>_xlfn.XLOOKUP($N902,'Calculo Leads Conveniencia'!$A$77:$A$104,'Calculo Leads Conveniencia'!O$77:O$104)*_xlfn.XLOOKUP($P902,'Base Grupo de Produtos'!$E$23:$E$39,'Base Grupo de Produtos'!$F$23:$F$39)</f>
        <v>0</v>
      </c>
      <c r="AC902" s="61">
        <f t="shared" si="893"/>
        <v>0</v>
      </c>
      <c r="AD902" s="28"/>
      <c r="AE902" s="12"/>
      <c r="AF902" s="29"/>
      <c r="AG902" s="9"/>
      <c r="AH902" s="10"/>
      <c r="AI902" s="9"/>
      <c r="AJ902" s="11"/>
      <c r="AK902" s="9"/>
      <c r="AL902" s="13"/>
      <c r="AM902" s="9"/>
    </row>
    <row r="903" spans="1:39" x14ac:dyDescent="0.3">
      <c r="A903" s="2" t="str">
        <f t="shared" si="865"/>
        <v>SIM</v>
      </c>
      <c r="B903" s="2" t="str">
        <f>_xlfn.XLOOKUP($N903,'Base de Grupos'!$A:$A,'Base de Grupos'!$D:$D)</f>
        <v>1000065763</v>
      </c>
      <c r="C903" s="5" t="str">
        <f>_xlfn.XLOOKUP($N903,'Base de Grupos'!$A:$A,'Base de Grupos'!$E:$E)</f>
        <v>CANAL VENDA INTERNA</v>
      </c>
      <c r="D903" s="5" t="str">
        <f>_xlfn.XLOOKUP($N903,'Base de Grupos'!$A:$A,'Base de Grupos'!$F:$F)</f>
        <v>1000065763</v>
      </c>
      <c r="E903" s="2" t="str">
        <f>_xlfn.XLOOKUP($N903,'Base de Grupos'!$A:$A,'Base de Grupos'!$G:$G)</f>
        <v>CANAL VENDA INTERNA</v>
      </c>
      <c r="F903" s="2" t="str">
        <f>_xlfn.XLOOKUP($N903,'Base de Grupos'!$A:$A,'Base de Grupos'!$H:$H)</f>
        <v>1000174119</v>
      </c>
      <c r="G903" s="5" t="str">
        <f>_xlfn.XLOOKUP($N903,'Base de Grupos'!$A:$A,'Base de Grupos'!$I:$I)</f>
        <v>REGIONAL VENDA INTERNA - CONVENIENCIA</v>
      </c>
      <c r="H903" s="5" t="str">
        <f>_xlfn.XLOOKUP($N903,'Base de Grupos'!$A:$A,'Base de Grupos'!$J:$J)</f>
        <v>1000174119</v>
      </c>
      <c r="I903" s="2" t="str">
        <f>_xlfn.XLOOKUP($N903,'Base de Grupos'!$A:$A,'Base de Grupos'!$K:$K)</f>
        <v>REGIONAL VENDA INTERNA - CONVENIENCIA</v>
      </c>
      <c r="J903" s="2" t="str">
        <f>_xlfn.XLOOKUP($N903,'Base de Grupos'!$A:$A,'Base de Grupos'!$L:$L)</f>
        <v>1000174119</v>
      </c>
      <c r="K903" s="5" t="str">
        <f>_xlfn.XLOOKUP($N903,'Base de Grupos'!$A:$A,'Base de Grupos'!$M:$M)</f>
        <v>REGIONAL VENDA INTERNA - CONVENIENCIA</v>
      </c>
      <c r="L903" s="5">
        <f t="shared" si="866"/>
        <v>1</v>
      </c>
      <c r="M903" s="5" t="str">
        <f>_xlfn.XLOOKUP($N903,'Base de Grupos'!$A:$A,'Base de Grupos'!$C:$C)</f>
        <v>PA</v>
      </c>
      <c r="N903" s="3">
        <v>1515</v>
      </c>
      <c r="O903" s="4" t="s">
        <v>274</v>
      </c>
      <c r="P903" s="5" t="s">
        <v>344</v>
      </c>
      <c r="Q903" s="56">
        <f t="shared" ref="Q903" si="894">SUM(Q904:Q920)</f>
        <v>0</v>
      </c>
      <c r="R903" s="56">
        <f t="shared" ref="R903" si="895">SUM(R904:R920)</f>
        <v>0</v>
      </c>
      <c r="S903" s="56">
        <f t="shared" ref="S903" si="896">SUM(S904:S920)</f>
        <v>0</v>
      </c>
      <c r="T903" s="56">
        <f t="shared" ref="T903" si="897">SUM(T904:T920)</f>
        <v>0</v>
      </c>
      <c r="U903" s="56">
        <f t="shared" ref="U903" si="898">SUM(U904:U920)</f>
        <v>0</v>
      </c>
      <c r="V903" s="56">
        <f t="shared" ref="V903" si="899">SUM(V904:V920)</f>
        <v>0</v>
      </c>
      <c r="W903" s="56">
        <f t="shared" ref="W903" si="900">SUM(W904:W920)</f>
        <v>0</v>
      </c>
      <c r="X903" s="56">
        <f t="shared" ref="X903" si="901">SUM(X904:X920)</f>
        <v>0</v>
      </c>
      <c r="Y903" s="56">
        <f t="shared" ref="Y903" si="902">SUM(Y904:Y920)</f>
        <v>0</v>
      </c>
      <c r="Z903" s="56">
        <f t="shared" ref="Z903" si="903">SUM(Z904:Z920)</f>
        <v>0</v>
      </c>
      <c r="AA903" s="56">
        <f t="shared" ref="AA903" si="904">SUM(AA904:AA920)</f>
        <v>0</v>
      </c>
      <c r="AB903" s="56">
        <f t="shared" ref="AB903" si="905">SUM(AB904:AB920)</f>
        <v>0</v>
      </c>
      <c r="AC903" s="56">
        <f t="shared" ref="AC903" si="906">SUM(AC904:AC920)</f>
        <v>0</v>
      </c>
      <c r="AD903" s="28"/>
      <c r="AE903" s="12"/>
      <c r="AF903" s="29"/>
      <c r="AG903" s="9"/>
      <c r="AH903" s="10"/>
      <c r="AI903" s="9"/>
      <c r="AJ903" s="11"/>
      <c r="AK903" s="9"/>
      <c r="AL903" s="13"/>
      <c r="AM903" s="9"/>
    </row>
    <row r="904" spans="1:39" x14ac:dyDescent="0.3">
      <c r="A904" s="2" t="str">
        <f t="shared" si="865"/>
        <v>NÃO</v>
      </c>
      <c r="B904" s="2" t="str">
        <f>_xlfn.XLOOKUP($N904,'Base de Grupos'!$A:$A,'Base de Grupos'!$D:$D)</f>
        <v>1000065763</v>
      </c>
      <c r="C904" s="5" t="str">
        <f>_xlfn.XLOOKUP($N904,'Base de Grupos'!$A:$A,'Base de Grupos'!$E:$E)</f>
        <v>CANAL VENDA INTERNA</v>
      </c>
      <c r="D904" s="5" t="str">
        <f>_xlfn.XLOOKUP($N904,'Base de Grupos'!$A:$A,'Base de Grupos'!$F:$F)</f>
        <v>1000065763</v>
      </c>
      <c r="E904" s="2" t="str">
        <f>_xlfn.XLOOKUP($N904,'Base de Grupos'!$A:$A,'Base de Grupos'!$G:$G)</f>
        <v>CANAL VENDA INTERNA</v>
      </c>
      <c r="F904" s="2" t="str">
        <f>_xlfn.XLOOKUP($N904,'Base de Grupos'!$A:$A,'Base de Grupos'!$H:$H)</f>
        <v>1000174119</v>
      </c>
      <c r="G904" s="5" t="str">
        <f>_xlfn.XLOOKUP($N904,'Base de Grupos'!$A:$A,'Base de Grupos'!$I:$I)</f>
        <v>REGIONAL VENDA INTERNA - CONVENIENCIA</v>
      </c>
      <c r="H904" s="5" t="str">
        <f>_xlfn.XLOOKUP($N904,'Base de Grupos'!$A:$A,'Base de Grupos'!$J:$J)</f>
        <v>1000174119</v>
      </c>
      <c r="I904" s="2" t="str">
        <f>_xlfn.XLOOKUP($N904,'Base de Grupos'!$A:$A,'Base de Grupos'!$K:$K)</f>
        <v>REGIONAL VENDA INTERNA - CONVENIENCIA</v>
      </c>
      <c r="J904" s="2" t="str">
        <f>_xlfn.XLOOKUP($N904,'Base de Grupos'!$A:$A,'Base de Grupos'!$L:$L)</f>
        <v>1000174119</v>
      </c>
      <c r="K904" s="5" t="str">
        <f>_xlfn.XLOOKUP($N904,'Base de Grupos'!$A:$A,'Base de Grupos'!$M:$M)</f>
        <v>REGIONAL VENDA INTERNA - CONVENIENCIA</v>
      </c>
      <c r="L904" s="5" t="str">
        <f t="shared" si="866"/>
        <v/>
      </c>
      <c r="M904" s="5" t="str">
        <f>_xlfn.XLOOKUP($N904,'Base de Grupos'!$A:$A,'Base de Grupos'!$C:$C)</f>
        <v>PA</v>
      </c>
      <c r="N904" s="3">
        <v>1515</v>
      </c>
      <c r="O904" s="4" t="s">
        <v>274</v>
      </c>
      <c r="P904" s="5" t="s">
        <v>81</v>
      </c>
      <c r="Q904" s="56">
        <v>0</v>
      </c>
      <c r="R904" s="56">
        <v>0</v>
      </c>
      <c r="S904" s="56">
        <v>0</v>
      </c>
      <c r="T904" s="56">
        <f>_xlfn.XLOOKUP($N904,'Calculo Leads Conveniencia'!$A$77:$A$104,'Calculo Leads Conveniencia'!G$77:G$104)*_xlfn.XLOOKUP($P904,'Base Grupo de Produtos'!$E$23:$E$39,'Base Grupo de Produtos'!$F$23:$F$39)</f>
        <v>0</v>
      </c>
      <c r="U904" s="56">
        <f>_xlfn.XLOOKUP($N904,'Calculo Leads Conveniencia'!$A$77:$A$104,'Calculo Leads Conveniencia'!H$77:H$104)*_xlfn.XLOOKUP($P904,'Base Grupo de Produtos'!$E$23:$E$39,'Base Grupo de Produtos'!$F$23:$F$39)</f>
        <v>0</v>
      </c>
      <c r="V904" s="56">
        <f>_xlfn.XLOOKUP($N904,'Calculo Leads Conveniencia'!$A$77:$A$104,'Calculo Leads Conveniencia'!I$77:I$104)*_xlfn.XLOOKUP($P904,'Base Grupo de Produtos'!$E$23:$E$39,'Base Grupo de Produtos'!$F$23:$F$39)</f>
        <v>0</v>
      </c>
      <c r="W904" s="56">
        <f>_xlfn.XLOOKUP($N904,'Calculo Leads Conveniencia'!$A$77:$A$104,'Calculo Leads Conveniencia'!J$77:J$104)*_xlfn.XLOOKUP($P904,'Base Grupo de Produtos'!$E$23:$E$39,'Base Grupo de Produtos'!$F$23:$F$39)</f>
        <v>0</v>
      </c>
      <c r="X904" s="56">
        <f>_xlfn.XLOOKUP($N904,'Calculo Leads Conveniencia'!$A$77:$A$104,'Calculo Leads Conveniencia'!K$77:K$104)*_xlfn.XLOOKUP($P904,'Base Grupo de Produtos'!$E$23:$E$39,'Base Grupo de Produtos'!$F$23:$F$39)</f>
        <v>0</v>
      </c>
      <c r="Y904" s="56">
        <f>_xlfn.XLOOKUP($N904,'Calculo Leads Conveniencia'!$A$77:$A$104,'Calculo Leads Conveniencia'!L$77:L$104)*_xlfn.XLOOKUP($P904,'Base Grupo de Produtos'!$E$23:$E$39,'Base Grupo de Produtos'!$F$23:$F$39)</f>
        <v>0</v>
      </c>
      <c r="Z904" s="56">
        <f>_xlfn.XLOOKUP($N904,'Calculo Leads Conveniencia'!$A$77:$A$104,'Calculo Leads Conveniencia'!M$77:M$104)*_xlfn.XLOOKUP($P904,'Base Grupo de Produtos'!$E$23:$E$39,'Base Grupo de Produtos'!$F$23:$F$39)</f>
        <v>0</v>
      </c>
      <c r="AA904" s="56">
        <f>_xlfn.XLOOKUP($N904,'Calculo Leads Conveniencia'!$A$77:$A$104,'Calculo Leads Conveniencia'!N$77:N$104)*_xlfn.XLOOKUP($P904,'Base Grupo de Produtos'!$E$23:$E$39,'Base Grupo de Produtos'!$F$23:$F$39)</f>
        <v>0</v>
      </c>
      <c r="AB904" s="56">
        <f>_xlfn.XLOOKUP($N904,'Calculo Leads Conveniencia'!$A$77:$A$104,'Calculo Leads Conveniencia'!O$77:O$104)*_xlfn.XLOOKUP($P904,'Base Grupo de Produtos'!$E$23:$E$39,'Base Grupo de Produtos'!$F$23:$F$39)</f>
        <v>0</v>
      </c>
      <c r="AC904" s="61">
        <f t="shared" si="893"/>
        <v>0</v>
      </c>
      <c r="AD904" s="28"/>
      <c r="AE904" s="12"/>
      <c r="AF904" s="29"/>
      <c r="AG904" s="9"/>
      <c r="AH904" s="10"/>
      <c r="AI904" s="9"/>
      <c r="AJ904" s="11"/>
      <c r="AK904" s="9"/>
      <c r="AL904" s="13"/>
      <c r="AM904" s="9"/>
    </row>
    <row r="905" spans="1:39" x14ac:dyDescent="0.3">
      <c r="A905" s="2" t="str">
        <f t="shared" si="865"/>
        <v>NÃO</v>
      </c>
      <c r="B905" s="2" t="str">
        <f>_xlfn.XLOOKUP($N905,'Base de Grupos'!$A:$A,'Base de Grupos'!$D:$D)</f>
        <v>1000065763</v>
      </c>
      <c r="C905" s="5" t="str">
        <f>_xlfn.XLOOKUP($N905,'Base de Grupos'!$A:$A,'Base de Grupos'!$E:$E)</f>
        <v>CANAL VENDA INTERNA</v>
      </c>
      <c r="D905" s="5" t="str">
        <f>_xlfn.XLOOKUP($N905,'Base de Grupos'!$A:$A,'Base de Grupos'!$F:$F)</f>
        <v>1000065763</v>
      </c>
      <c r="E905" s="2" t="str">
        <f>_xlfn.XLOOKUP($N905,'Base de Grupos'!$A:$A,'Base de Grupos'!$G:$G)</f>
        <v>CANAL VENDA INTERNA</v>
      </c>
      <c r="F905" s="2" t="str">
        <f>_xlfn.XLOOKUP($N905,'Base de Grupos'!$A:$A,'Base de Grupos'!$H:$H)</f>
        <v>1000174119</v>
      </c>
      <c r="G905" s="5" t="str">
        <f>_xlfn.XLOOKUP($N905,'Base de Grupos'!$A:$A,'Base de Grupos'!$I:$I)</f>
        <v>REGIONAL VENDA INTERNA - CONVENIENCIA</v>
      </c>
      <c r="H905" s="5" t="str">
        <f>_xlfn.XLOOKUP($N905,'Base de Grupos'!$A:$A,'Base de Grupos'!$J:$J)</f>
        <v>1000174119</v>
      </c>
      <c r="I905" s="2" t="str">
        <f>_xlfn.XLOOKUP($N905,'Base de Grupos'!$A:$A,'Base de Grupos'!$K:$K)</f>
        <v>REGIONAL VENDA INTERNA - CONVENIENCIA</v>
      </c>
      <c r="J905" s="2" t="str">
        <f>_xlfn.XLOOKUP($N905,'Base de Grupos'!$A:$A,'Base de Grupos'!$L:$L)</f>
        <v>1000174119</v>
      </c>
      <c r="K905" s="5" t="str">
        <f>_xlfn.XLOOKUP($N905,'Base de Grupos'!$A:$A,'Base de Grupos'!$M:$M)</f>
        <v>REGIONAL VENDA INTERNA - CONVENIENCIA</v>
      </c>
      <c r="L905" s="5" t="str">
        <f t="shared" si="866"/>
        <v/>
      </c>
      <c r="M905" s="5" t="str">
        <f>_xlfn.XLOOKUP($N905,'Base de Grupos'!$A:$A,'Base de Grupos'!$C:$C)</f>
        <v>PA</v>
      </c>
      <c r="N905" s="3">
        <v>1515</v>
      </c>
      <c r="O905" s="4" t="s">
        <v>274</v>
      </c>
      <c r="P905" s="5" t="s">
        <v>82</v>
      </c>
      <c r="Q905" s="56">
        <v>0</v>
      </c>
      <c r="R905" s="56">
        <v>0</v>
      </c>
      <c r="S905" s="56">
        <v>0</v>
      </c>
      <c r="T905" s="56">
        <f>_xlfn.XLOOKUP($N905,'Calculo Leads Conveniencia'!$A$77:$A$104,'Calculo Leads Conveniencia'!G$77:G$104)*_xlfn.XLOOKUP($P905,'Base Grupo de Produtos'!$E$23:$E$39,'Base Grupo de Produtos'!$F$23:$F$39)</f>
        <v>0</v>
      </c>
      <c r="U905" s="56">
        <f>_xlfn.XLOOKUP($N905,'Calculo Leads Conveniencia'!$A$77:$A$104,'Calculo Leads Conveniencia'!H$77:H$104)*_xlfn.XLOOKUP($P905,'Base Grupo de Produtos'!$E$23:$E$39,'Base Grupo de Produtos'!$F$23:$F$39)</f>
        <v>0</v>
      </c>
      <c r="V905" s="56">
        <f>_xlfn.XLOOKUP($N905,'Calculo Leads Conveniencia'!$A$77:$A$104,'Calculo Leads Conveniencia'!I$77:I$104)*_xlfn.XLOOKUP($P905,'Base Grupo de Produtos'!$E$23:$E$39,'Base Grupo de Produtos'!$F$23:$F$39)</f>
        <v>0</v>
      </c>
      <c r="W905" s="56">
        <f>_xlfn.XLOOKUP($N905,'Calculo Leads Conveniencia'!$A$77:$A$104,'Calculo Leads Conveniencia'!J$77:J$104)*_xlfn.XLOOKUP($P905,'Base Grupo de Produtos'!$E$23:$E$39,'Base Grupo de Produtos'!$F$23:$F$39)</f>
        <v>0</v>
      </c>
      <c r="X905" s="56">
        <f>_xlfn.XLOOKUP($N905,'Calculo Leads Conveniencia'!$A$77:$A$104,'Calculo Leads Conveniencia'!K$77:K$104)*_xlfn.XLOOKUP($P905,'Base Grupo de Produtos'!$E$23:$E$39,'Base Grupo de Produtos'!$F$23:$F$39)</f>
        <v>0</v>
      </c>
      <c r="Y905" s="56">
        <f>_xlfn.XLOOKUP($N905,'Calculo Leads Conveniencia'!$A$77:$A$104,'Calculo Leads Conveniencia'!L$77:L$104)*_xlfn.XLOOKUP($P905,'Base Grupo de Produtos'!$E$23:$E$39,'Base Grupo de Produtos'!$F$23:$F$39)</f>
        <v>0</v>
      </c>
      <c r="Z905" s="56">
        <f>_xlfn.XLOOKUP($N905,'Calculo Leads Conveniencia'!$A$77:$A$104,'Calculo Leads Conveniencia'!M$77:M$104)*_xlfn.XLOOKUP($P905,'Base Grupo de Produtos'!$E$23:$E$39,'Base Grupo de Produtos'!$F$23:$F$39)</f>
        <v>0</v>
      </c>
      <c r="AA905" s="56">
        <f>_xlfn.XLOOKUP($N905,'Calculo Leads Conveniencia'!$A$77:$A$104,'Calculo Leads Conveniencia'!N$77:N$104)*_xlfn.XLOOKUP($P905,'Base Grupo de Produtos'!$E$23:$E$39,'Base Grupo de Produtos'!$F$23:$F$39)</f>
        <v>0</v>
      </c>
      <c r="AB905" s="56">
        <f>_xlfn.XLOOKUP($N905,'Calculo Leads Conveniencia'!$A$77:$A$104,'Calculo Leads Conveniencia'!O$77:O$104)*_xlfn.XLOOKUP($P905,'Base Grupo de Produtos'!$E$23:$E$39,'Base Grupo de Produtos'!$F$23:$F$39)</f>
        <v>0</v>
      </c>
      <c r="AC905" s="61">
        <f t="shared" si="893"/>
        <v>0</v>
      </c>
      <c r="AD905" s="28"/>
      <c r="AE905" s="12"/>
      <c r="AF905" s="29"/>
      <c r="AG905" s="9"/>
      <c r="AH905" s="10"/>
      <c r="AI905" s="9"/>
      <c r="AJ905" s="11"/>
      <c r="AK905" s="9"/>
      <c r="AL905" s="13"/>
      <c r="AM905" s="9"/>
    </row>
    <row r="906" spans="1:39" x14ac:dyDescent="0.3">
      <c r="A906" s="2" t="str">
        <f t="shared" si="865"/>
        <v>NÃO</v>
      </c>
      <c r="B906" s="2" t="str">
        <f>_xlfn.XLOOKUP($N906,'Base de Grupos'!$A:$A,'Base de Grupos'!$D:$D)</f>
        <v>1000065763</v>
      </c>
      <c r="C906" s="5" t="str">
        <f>_xlfn.XLOOKUP($N906,'Base de Grupos'!$A:$A,'Base de Grupos'!$E:$E)</f>
        <v>CANAL VENDA INTERNA</v>
      </c>
      <c r="D906" s="5" t="str">
        <f>_xlfn.XLOOKUP($N906,'Base de Grupos'!$A:$A,'Base de Grupos'!$F:$F)</f>
        <v>1000065763</v>
      </c>
      <c r="E906" s="2" t="str">
        <f>_xlfn.XLOOKUP($N906,'Base de Grupos'!$A:$A,'Base de Grupos'!$G:$G)</f>
        <v>CANAL VENDA INTERNA</v>
      </c>
      <c r="F906" s="2" t="str">
        <f>_xlfn.XLOOKUP($N906,'Base de Grupos'!$A:$A,'Base de Grupos'!$H:$H)</f>
        <v>1000174119</v>
      </c>
      <c r="G906" s="5" t="str">
        <f>_xlfn.XLOOKUP($N906,'Base de Grupos'!$A:$A,'Base de Grupos'!$I:$I)</f>
        <v>REGIONAL VENDA INTERNA - CONVENIENCIA</v>
      </c>
      <c r="H906" s="5" t="str">
        <f>_xlfn.XLOOKUP($N906,'Base de Grupos'!$A:$A,'Base de Grupos'!$J:$J)</f>
        <v>1000174119</v>
      </c>
      <c r="I906" s="2" t="str">
        <f>_xlfn.XLOOKUP($N906,'Base de Grupos'!$A:$A,'Base de Grupos'!$K:$K)</f>
        <v>REGIONAL VENDA INTERNA - CONVENIENCIA</v>
      </c>
      <c r="J906" s="2" t="str">
        <f>_xlfn.XLOOKUP($N906,'Base de Grupos'!$A:$A,'Base de Grupos'!$L:$L)</f>
        <v>1000174119</v>
      </c>
      <c r="K906" s="5" t="str">
        <f>_xlfn.XLOOKUP($N906,'Base de Grupos'!$A:$A,'Base de Grupos'!$M:$M)</f>
        <v>REGIONAL VENDA INTERNA - CONVENIENCIA</v>
      </c>
      <c r="L906" s="5" t="str">
        <f t="shared" si="866"/>
        <v/>
      </c>
      <c r="M906" s="5" t="str">
        <f>_xlfn.XLOOKUP($N906,'Base de Grupos'!$A:$A,'Base de Grupos'!$C:$C)</f>
        <v>PA</v>
      </c>
      <c r="N906" s="3">
        <v>1515</v>
      </c>
      <c r="O906" s="4" t="s">
        <v>274</v>
      </c>
      <c r="P906" s="5" t="s">
        <v>84</v>
      </c>
      <c r="Q906" s="56">
        <v>0</v>
      </c>
      <c r="R906" s="56">
        <v>0</v>
      </c>
      <c r="S906" s="56">
        <v>0</v>
      </c>
      <c r="T906" s="56">
        <f>_xlfn.XLOOKUP($N906,'Calculo Leads Conveniencia'!$A$77:$A$104,'Calculo Leads Conveniencia'!G$77:G$104)*_xlfn.XLOOKUP($P906,'Base Grupo de Produtos'!$E$23:$E$39,'Base Grupo de Produtos'!$F$23:$F$39)</f>
        <v>0</v>
      </c>
      <c r="U906" s="56">
        <f>_xlfn.XLOOKUP($N906,'Calculo Leads Conveniencia'!$A$77:$A$104,'Calculo Leads Conveniencia'!H$77:H$104)*_xlfn.XLOOKUP($P906,'Base Grupo de Produtos'!$E$23:$E$39,'Base Grupo de Produtos'!$F$23:$F$39)</f>
        <v>0</v>
      </c>
      <c r="V906" s="56">
        <f>_xlfn.XLOOKUP($N906,'Calculo Leads Conveniencia'!$A$77:$A$104,'Calculo Leads Conveniencia'!I$77:I$104)*_xlfn.XLOOKUP($P906,'Base Grupo de Produtos'!$E$23:$E$39,'Base Grupo de Produtos'!$F$23:$F$39)</f>
        <v>0</v>
      </c>
      <c r="W906" s="56">
        <f>_xlfn.XLOOKUP($N906,'Calculo Leads Conveniencia'!$A$77:$A$104,'Calculo Leads Conveniencia'!J$77:J$104)*_xlfn.XLOOKUP($P906,'Base Grupo de Produtos'!$E$23:$E$39,'Base Grupo de Produtos'!$F$23:$F$39)</f>
        <v>0</v>
      </c>
      <c r="X906" s="56">
        <f>_xlfn.XLOOKUP($N906,'Calculo Leads Conveniencia'!$A$77:$A$104,'Calculo Leads Conveniencia'!K$77:K$104)*_xlfn.XLOOKUP($P906,'Base Grupo de Produtos'!$E$23:$E$39,'Base Grupo de Produtos'!$F$23:$F$39)</f>
        <v>0</v>
      </c>
      <c r="Y906" s="56">
        <f>_xlfn.XLOOKUP($N906,'Calculo Leads Conveniencia'!$A$77:$A$104,'Calculo Leads Conveniencia'!L$77:L$104)*_xlfn.XLOOKUP($P906,'Base Grupo de Produtos'!$E$23:$E$39,'Base Grupo de Produtos'!$F$23:$F$39)</f>
        <v>0</v>
      </c>
      <c r="Z906" s="56">
        <f>_xlfn.XLOOKUP($N906,'Calculo Leads Conveniencia'!$A$77:$A$104,'Calculo Leads Conveniencia'!M$77:M$104)*_xlfn.XLOOKUP($P906,'Base Grupo de Produtos'!$E$23:$E$39,'Base Grupo de Produtos'!$F$23:$F$39)</f>
        <v>0</v>
      </c>
      <c r="AA906" s="56">
        <f>_xlfn.XLOOKUP($N906,'Calculo Leads Conveniencia'!$A$77:$A$104,'Calculo Leads Conveniencia'!N$77:N$104)*_xlfn.XLOOKUP($P906,'Base Grupo de Produtos'!$E$23:$E$39,'Base Grupo de Produtos'!$F$23:$F$39)</f>
        <v>0</v>
      </c>
      <c r="AB906" s="56">
        <f>_xlfn.XLOOKUP($N906,'Calculo Leads Conveniencia'!$A$77:$A$104,'Calculo Leads Conveniencia'!O$77:O$104)*_xlfn.XLOOKUP($P906,'Base Grupo de Produtos'!$E$23:$E$39,'Base Grupo de Produtos'!$F$23:$F$39)</f>
        <v>0</v>
      </c>
      <c r="AC906" s="61">
        <f t="shared" si="893"/>
        <v>0</v>
      </c>
      <c r="AD906" s="28"/>
      <c r="AE906" s="12"/>
      <c r="AF906" s="29"/>
      <c r="AG906" s="9"/>
      <c r="AH906" s="10"/>
      <c r="AI906" s="9"/>
      <c r="AJ906" s="11"/>
      <c r="AK906" s="9"/>
      <c r="AL906" s="13"/>
      <c r="AM906" s="9"/>
    </row>
    <row r="907" spans="1:39" x14ac:dyDescent="0.3">
      <c r="A907" s="2" t="str">
        <f t="shared" si="865"/>
        <v>NÃO</v>
      </c>
      <c r="B907" s="2" t="str">
        <f>_xlfn.XLOOKUP($N907,'Base de Grupos'!$A:$A,'Base de Grupos'!$D:$D)</f>
        <v>1000065763</v>
      </c>
      <c r="C907" s="5" t="str">
        <f>_xlfn.XLOOKUP($N907,'Base de Grupos'!$A:$A,'Base de Grupos'!$E:$E)</f>
        <v>CANAL VENDA INTERNA</v>
      </c>
      <c r="D907" s="5" t="str">
        <f>_xlfn.XLOOKUP($N907,'Base de Grupos'!$A:$A,'Base de Grupos'!$F:$F)</f>
        <v>1000065763</v>
      </c>
      <c r="E907" s="2" t="str">
        <f>_xlfn.XLOOKUP($N907,'Base de Grupos'!$A:$A,'Base de Grupos'!$G:$G)</f>
        <v>CANAL VENDA INTERNA</v>
      </c>
      <c r="F907" s="2" t="str">
        <f>_xlfn.XLOOKUP($N907,'Base de Grupos'!$A:$A,'Base de Grupos'!$H:$H)</f>
        <v>1000174119</v>
      </c>
      <c r="G907" s="5" t="str">
        <f>_xlfn.XLOOKUP($N907,'Base de Grupos'!$A:$A,'Base de Grupos'!$I:$I)</f>
        <v>REGIONAL VENDA INTERNA - CONVENIENCIA</v>
      </c>
      <c r="H907" s="5" t="str">
        <f>_xlfn.XLOOKUP($N907,'Base de Grupos'!$A:$A,'Base de Grupos'!$J:$J)</f>
        <v>1000174119</v>
      </c>
      <c r="I907" s="2" t="str">
        <f>_xlfn.XLOOKUP($N907,'Base de Grupos'!$A:$A,'Base de Grupos'!$K:$K)</f>
        <v>REGIONAL VENDA INTERNA - CONVENIENCIA</v>
      </c>
      <c r="J907" s="2" t="str">
        <f>_xlfn.XLOOKUP($N907,'Base de Grupos'!$A:$A,'Base de Grupos'!$L:$L)</f>
        <v>1000174119</v>
      </c>
      <c r="K907" s="5" t="str">
        <f>_xlfn.XLOOKUP($N907,'Base de Grupos'!$A:$A,'Base de Grupos'!$M:$M)</f>
        <v>REGIONAL VENDA INTERNA - CONVENIENCIA</v>
      </c>
      <c r="L907" s="5" t="str">
        <f t="shared" si="866"/>
        <v/>
      </c>
      <c r="M907" s="5" t="str">
        <f>_xlfn.XLOOKUP($N907,'Base de Grupos'!$A:$A,'Base de Grupos'!$C:$C)</f>
        <v>PA</v>
      </c>
      <c r="N907" s="3">
        <v>1515</v>
      </c>
      <c r="O907" s="4" t="s">
        <v>274</v>
      </c>
      <c r="P907" s="5" t="s">
        <v>83</v>
      </c>
      <c r="Q907" s="56">
        <v>0</v>
      </c>
      <c r="R907" s="56">
        <v>0</v>
      </c>
      <c r="S907" s="56">
        <v>0</v>
      </c>
      <c r="T907" s="56">
        <f>_xlfn.XLOOKUP($N907,'Calculo Leads Conveniencia'!$A$77:$A$104,'Calculo Leads Conveniencia'!G$77:G$104)*_xlfn.XLOOKUP($P907,'Base Grupo de Produtos'!$E$23:$E$39,'Base Grupo de Produtos'!$F$23:$F$39)</f>
        <v>0</v>
      </c>
      <c r="U907" s="56">
        <f>_xlfn.XLOOKUP($N907,'Calculo Leads Conveniencia'!$A$77:$A$104,'Calculo Leads Conveniencia'!H$77:H$104)*_xlfn.XLOOKUP($P907,'Base Grupo de Produtos'!$E$23:$E$39,'Base Grupo de Produtos'!$F$23:$F$39)</f>
        <v>0</v>
      </c>
      <c r="V907" s="56">
        <f>_xlfn.XLOOKUP($N907,'Calculo Leads Conveniencia'!$A$77:$A$104,'Calculo Leads Conveniencia'!I$77:I$104)*_xlfn.XLOOKUP($P907,'Base Grupo de Produtos'!$E$23:$E$39,'Base Grupo de Produtos'!$F$23:$F$39)</f>
        <v>0</v>
      </c>
      <c r="W907" s="56">
        <f>_xlfn.XLOOKUP($N907,'Calculo Leads Conveniencia'!$A$77:$A$104,'Calculo Leads Conveniencia'!J$77:J$104)*_xlfn.XLOOKUP($P907,'Base Grupo de Produtos'!$E$23:$E$39,'Base Grupo de Produtos'!$F$23:$F$39)</f>
        <v>0</v>
      </c>
      <c r="X907" s="56">
        <f>_xlfn.XLOOKUP($N907,'Calculo Leads Conveniencia'!$A$77:$A$104,'Calculo Leads Conveniencia'!K$77:K$104)*_xlfn.XLOOKUP($P907,'Base Grupo de Produtos'!$E$23:$E$39,'Base Grupo de Produtos'!$F$23:$F$39)</f>
        <v>0</v>
      </c>
      <c r="Y907" s="56">
        <f>_xlfn.XLOOKUP($N907,'Calculo Leads Conveniencia'!$A$77:$A$104,'Calculo Leads Conveniencia'!L$77:L$104)*_xlfn.XLOOKUP($P907,'Base Grupo de Produtos'!$E$23:$E$39,'Base Grupo de Produtos'!$F$23:$F$39)</f>
        <v>0</v>
      </c>
      <c r="Z907" s="56">
        <f>_xlfn.XLOOKUP($N907,'Calculo Leads Conveniencia'!$A$77:$A$104,'Calculo Leads Conveniencia'!M$77:M$104)*_xlfn.XLOOKUP($P907,'Base Grupo de Produtos'!$E$23:$E$39,'Base Grupo de Produtos'!$F$23:$F$39)</f>
        <v>0</v>
      </c>
      <c r="AA907" s="56">
        <f>_xlfn.XLOOKUP($N907,'Calculo Leads Conveniencia'!$A$77:$A$104,'Calculo Leads Conveniencia'!N$77:N$104)*_xlfn.XLOOKUP($P907,'Base Grupo de Produtos'!$E$23:$E$39,'Base Grupo de Produtos'!$F$23:$F$39)</f>
        <v>0</v>
      </c>
      <c r="AB907" s="56">
        <f>_xlfn.XLOOKUP($N907,'Calculo Leads Conveniencia'!$A$77:$A$104,'Calculo Leads Conveniencia'!O$77:O$104)*_xlfn.XLOOKUP($P907,'Base Grupo de Produtos'!$E$23:$E$39,'Base Grupo de Produtos'!$F$23:$F$39)</f>
        <v>0</v>
      </c>
      <c r="AC907" s="61">
        <f t="shared" si="893"/>
        <v>0</v>
      </c>
      <c r="AD907" s="28"/>
      <c r="AE907" s="12"/>
      <c r="AF907" s="29"/>
      <c r="AG907" s="9"/>
      <c r="AH907" s="10"/>
      <c r="AI907" s="9"/>
      <c r="AJ907" s="11"/>
      <c r="AK907" s="9"/>
      <c r="AL907" s="13"/>
      <c r="AM907" s="9"/>
    </row>
    <row r="908" spans="1:39" x14ac:dyDescent="0.3">
      <c r="A908" s="2" t="str">
        <f t="shared" si="865"/>
        <v>NÃO</v>
      </c>
      <c r="B908" s="2" t="str">
        <f>_xlfn.XLOOKUP($N908,'Base de Grupos'!$A:$A,'Base de Grupos'!$D:$D)</f>
        <v>1000065763</v>
      </c>
      <c r="C908" s="5" t="str">
        <f>_xlfn.XLOOKUP($N908,'Base de Grupos'!$A:$A,'Base de Grupos'!$E:$E)</f>
        <v>CANAL VENDA INTERNA</v>
      </c>
      <c r="D908" s="5" t="str">
        <f>_xlfn.XLOOKUP($N908,'Base de Grupos'!$A:$A,'Base de Grupos'!$F:$F)</f>
        <v>1000065763</v>
      </c>
      <c r="E908" s="2" t="str">
        <f>_xlfn.XLOOKUP($N908,'Base de Grupos'!$A:$A,'Base de Grupos'!$G:$G)</f>
        <v>CANAL VENDA INTERNA</v>
      </c>
      <c r="F908" s="2" t="str">
        <f>_xlfn.XLOOKUP($N908,'Base de Grupos'!$A:$A,'Base de Grupos'!$H:$H)</f>
        <v>1000174119</v>
      </c>
      <c r="G908" s="5" t="str">
        <f>_xlfn.XLOOKUP($N908,'Base de Grupos'!$A:$A,'Base de Grupos'!$I:$I)</f>
        <v>REGIONAL VENDA INTERNA - CONVENIENCIA</v>
      </c>
      <c r="H908" s="5" t="str">
        <f>_xlfn.XLOOKUP($N908,'Base de Grupos'!$A:$A,'Base de Grupos'!$J:$J)</f>
        <v>1000174119</v>
      </c>
      <c r="I908" s="2" t="str">
        <f>_xlfn.XLOOKUP($N908,'Base de Grupos'!$A:$A,'Base de Grupos'!$K:$K)</f>
        <v>REGIONAL VENDA INTERNA - CONVENIENCIA</v>
      </c>
      <c r="J908" s="2" t="str">
        <f>_xlfn.XLOOKUP($N908,'Base de Grupos'!$A:$A,'Base de Grupos'!$L:$L)</f>
        <v>1000174119</v>
      </c>
      <c r="K908" s="5" t="str">
        <f>_xlfn.XLOOKUP($N908,'Base de Grupos'!$A:$A,'Base de Grupos'!$M:$M)</f>
        <v>REGIONAL VENDA INTERNA - CONVENIENCIA</v>
      </c>
      <c r="L908" s="5" t="str">
        <f t="shared" si="866"/>
        <v/>
      </c>
      <c r="M908" s="5" t="str">
        <f>_xlfn.XLOOKUP($N908,'Base de Grupos'!$A:$A,'Base de Grupos'!$C:$C)</f>
        <v>PA</v>
      </c>
      <c r="N908" s="3">
        <v>1515</v>
      </c>
      <c r="O908" s="4" t="s">
        <v>274</v>
      </c>
      <c r="P908" s="5" t="s">
        <v>87</v>
      </c>
      <c r="Q908" s="56">
        <v>0</v>
      </c>
      <c r="R908" s="56">
        <v>0</v>
      </c>
      <c r="S908" s="56">
        <v>0</v>
      </c>
      <c r="T908" s="56">
        <f>_xlfn.XLOOKUP($N908,'Calculo Leads Conveniencia'!$A$77:$A$104,'Calculo Leads Conveniencia'!G$77:G$104)*_xlfn.XLOOKUP($P908,'Base Grupo de Produtos'!$E$23:$E$39,'Base Grupo de Produtos'!$F$23:$F$39)</f>
        <v>0</v>
      </c>
      <c r="U908" s="56">
        <f>_xlfn.XLOOKUP($N908,'Calculo Leads Conveniencia'!$A$77:$A$104,'Calculo Leads Conveniencia'!H$77:H$104)*_xlfn.XLOOKUP($P908,'Base Grupo de Produtos'!$E$23:$E$39,'Base Grupo de Produtos'!$F$23:$F$39)</f>
        <v>0</v>
      </c>
      <c r="V908" s="56">
        <f>_xlfn.XLOOKUP($N908,'Calculo Leads Conveniencia'!$A$77:$A$104,'Calculo Leads Conveniencia'!I$77:I$104)*_xlfn.XLOOKUP($P908,'Base Grupo de Produtos'!$E$23:$E$39,'Base Grupo de Produtos'!$F$23:$F$39)</f>
        <v>0</v>
      </c>
      <c r="W908" s="56">
        <f>_xlfn.XLOOKUP($N908,'Calculo Leads Conveniencia'!$A$77:$A$104,'Calculo Leads Conveniencia'!J$77:J$104)*_xlfn.XLOOKUP($P908,'Base Grupo de Produtos'!$E$23:$E$39,'Base Grupo de Produtos'!$F$23:$F$39)</f>
        <v>0</v>
      </c>
      <c r="X908" s="56">
        <f>_xlfn.XLOOKUP($N908,'Calculo Leads Conveniencia'!$A$77:$A$104,'Calculo Leads Conveniencia'!K$77:K$104)*_xlfn.XLOOKUP($P908,'Base Grupo de Produtos'!$E$23:$E$39,'Base Grupo de Produtos'!$F$23:$F$39)</f>
        <v>0</v>
      </c>
      <c r="Y908" s="56">
        <f>_xlfn.XLOOKUP($N908,'Calculo Leads Conveniencia'!$A$77:$A$104,'Calculo Leads Conveniencia'!L$77:L$104)*_xlfn.XLOOKUP($P908,'Base Grupo de Produtos'!$E$23:$E$39,'Base Grupo de Produtos'!$F$23:$F$39)</f>
        <v>0</v>
      </c>
      <c r="Z908" s="56">
        <f>_xlfn.XLOOKUP($N908,'Calculo Leads Conveniencia'!$A$77:$A$104,'Calculo Leads Conveniencia'!M$77:M$104)*_xlfn.XLOOKUP($P908,'Base Grupo de Produtos'!$E$23:$E$39,'Base Grupo de Produtos'!$F$23:$F$39)</f>
        <v>0</v>
      </c>
      <c r="AA908" s="56">
        <f>_xlfn.XLOOKUP($N908,'Calculo Leads Conveniencia'!$A$77:$A$104,'Calculo Leads Conveniencia'!N$77:N$104)*_xlfn.XLOOKUP($P908,'Base Grupo de Produtos'!$E$23:$E$39,'Base Grupo de Produtos'!$F$23:$F$39)</f>
        <v>0</v>
      </c>
      <c r="AB908" s="56">
        <f>_xlfn.XLOOKUP($N908,'Calculo Leads Conveniencia'!$A$77:$A$104,'Calculo Leads Conveniencia'!O$77:O$104)*_xlfn.XLOOKUP($P908,'Base Grupo de Produtos'!$E$23:$E$39,'Base Grupo de Produtos'!$F$23:$F$39)</f>
        <v>0</v>
      </c>
      <c r="AC908" s="61">
        <f t="shared" si="893"/>
        <v>0</v>
      </c>
      <c r="AD908" s="28"/>
      <c r="AE908" s="12"/>
      <c r="AF908" s="29"/>
      <c r="AG908" s="9"/>
      <c r="AH908" s="10"/>
      <c r="AI908" s="9"/>
      <c r="AJ908" s="11"/>
      <c r="AK908" s="9"/>
      <c r="AL908" s="13"/>
      <c r="AM908" s="9"/>
    </row>
    <row r="909" spans="1:39" x14ac:dyDescent="0.3">
      <c r="A909" s="2" t="str">
        <f t="shared" si="865"/>
        <v>NÃO</v>
      </c>
      <c r="B909" s="2" t="str">
        <f>_xlfn.XLOOKUP($N909,'Base de Grupos'!$A:$A,'Base de Grupos'!$D:$D)</f>
        <v>1000065763</v>
      </c>
      <c r="C909" s="5" t="str">
        <f>_xlfn.XLOOKUP($N909,'Base de Grupos'!$A:$A,'Base de Grupos'!$E:$E)</f>
        <v>CANAL VENDA INTERNA</v>
      </c>
      <c r="D909" s="5" t="str">
        <f>_xlfn.XLOOKUP($N909,'Base de Grupos'!$A:$A,'Base de Grupos'!$F:$F)</f>
        <v>1000065763</v>
      </c>
      <c r="E909" s="2" t="str">
        <f>_xlfn.XLOOKUP($N909,'Base de Grupos'!$A:$A,'Base de Grupos'!$G:$G)</f>
        <v>CANAL VENDA INTERNA</v>
      </c>
      <c r="F909" s="2" t="str">
        <f>_xlfn.XLOOKUP($N909,'Base de Grupos'!$A:$A,'Base de Grupos'!$H:$H)</f>
        <v>1000174119</v>
      </c>
      <c r="G909" s="5" t="str">
        <f>_xlfn.XLOOKUP($N909,'Base de Grupos'!$A:$A,'Base de Grupos'!$I:$I)</f>
        <v>REGIONAL VENDA INTERNA - CONVENIENCIA</v>
      </c>
      <c r="H909" s="5" t="str">
        <f>_xlfn.XLOOKUP($N909,'Base de Grupos'!$A:$A,'Base de Grupos'!$J:$J)</f>
        <v>1000174119</v>
      </c>
      <c r="I909" s="2" t="str">
        <f>_xlfn.XLOOKUP($N909,'Base de Grupos'!$A:$A,'Base de Grupos'!$K:$K)</f>
        <v>REGIONAL VENDA INTERNA - CONVENIENCIA</v>
      </c>
      <c r="J909" s="2" t="str">
        <f>_xlfn.XLOOKUP($N909,'Base de Grupos'!$A:$A,'Base de Grupos'!$L:$L)</f>
        <v>1000174119</v>
      </c>
      <c r="K909" s="5" t="str">
        <f>_xlfn.XLOOKUP($N909,'Base de Grupos'!$A:$A,'Base de Grupos'!$M:$M)</f>
        <v>REGIONAL VENDA INTERNA - CONVENIENCIA</v>
      </c>
      <c r="L909" s="5" t="str">
        <f t="shared" si="866"/>
        <v/>
      </c>
      <c r="M909" s="5" t="str">
        <f>_xlfn.XLOOKUP($N909,'Base de Grupos'!$A:$A,'Base de Grupos'!$C:$C)</f>
        <v>PA</v>
      </c>
      <c r="N909" s="3">
        <v>1515</v>
      </c>
      <c r="O909" s="4" t="s">
        <v>274</v>
      </c>
      <c r="P909" s="5" t="s">
        <v>85</v>
      </c>
      <c r="Q909" s="56">
        <v>0</v>
      </c>
      <c r="R909" s="56">
        <v>0</v>
      </c>
      <c r="S909" s="56">
        <v>0</v>
      </c>
      <c r="T909" s="56">
        <f>_xlfn.XLOOKUP($N909,'Calculo Leads Conveniencia'!$A$77:$A$104,'Calculo Leads Conveniencia'!G$77:G$104)*_xlfn.XLOOKUP($P909,'Base Grupo de Produtos'!$E$23:$E$39,'Base Grupo de Produtos'!$F$23:$F$39)</f>
        <v>0</v>
      </c>
      <c r="U909" s="56">
        <f>_xlfn.XLOOKUP($N909,'Calculo Leads Conveniencia'!$A$77:$A$104,'Calculo Leads Conveniencia'!H$77:H$104)*_xlfn.XLOOKUP($P909,'Base Grupo de Produtos'!$E$23:$E$39,'Base Grupo de Produtos'!$F$23:$F$39)</f>
        <v>0</v>
      </c>
      <c r="V909" s="56">
        <f>_xlfn.XLOOKUP($N909,'Calculo Leads Conveniencia'!$A$77:$A$104,'Calculo Leads Conveniencia'!I$77:I$104)*_xlfn.XLOOKUP($P909,'Base Grupo de Produtos'!$E$23:$E$39,'Base Grupo de Produtos'!$F$23:$F$39)</f>
        <v>0</v>
      </c>
      <c r="W909" s="56">
        <f>_xlfn.XLOOKUP($N909,'Calculo Leads Conveniencia'!$A$77:$A$104,'Calculo Leads Conveniencia'!J$77:J$104)*_xlfn.XLOOKUP($P909,'Base Grupo de Produtos'!$E$23:$E$39,'Base Grupo de Produtos'!$F$23:$F$39)</f>
        <v>0</v>
      </c>
      <c r="X909" s="56">
        <f>_xlfn.XLOOKUP($N909,'Calculo Leads Conveniencia'!$A$77:$A$104,'Calculo Leads Conveniencia'!K$77:K$104)*_xlfn.XLOOKUP($P909,'Base Grupo de Produtos'!$E$23:$E$39,'Base Grupo de Produtos'!$F$23:$F$39)</f>
        <v>0</v>
      </c>
      <c r="Y909" s="56">
        <f>_xlfn.XLOOKUP($N909,'Calculo Leads Conveniencia'!$A$77:$A$104,'Calculo Leads Conveniencia'!L$77:L$104)*_xlfn.XLOOKUP($P909,'Base Grupo de Produtos'!$E$23:$E$39,'Base Grupo de Produtos'!$F$23:$F$39)</f>
        <v>0</v>
      </c>
      <c r="Z909" s="56">
        <f>_xlfn.XLOOKUP($N909,'Calculo Leads Conveniencia'!$A$77:$A$104,'Calculo Leads Conveniencia'!M$77:M$104)*_xlfn.XLOOKUP($P909,'Base Grupo de Produtos'!$E$23:$E$39,'Base Grupo de Produtos'!$F$23:$F$39)</f>
        <v>0</v>
      </c>
      <c r="AA909" s="56">
        <f>_xlfn.XLOOKUP($N909,'Calculo Leads Conveniencia'!$A$77:$A$104,'Calculo Leads Conveniencia'!N$77:N$104)*_xlfn.XLOOKUP($P909,'Base Grupo de Produtos'!$E$23:$E$39,'Base Grupo de Produtos'!$F$23:$F$39)</f>
        <v>0</v>
      </c>
      <c r="AB909" s="56">
        <f>_xlfn.XLOOKUP($N909,'Calculo Leads Conveniencia'!$A$77:$A$104,'Calculo Leads Conveniencia'!O$77:O$104)*_xlfn.XLOOKUP($P909,'Base Grupo de Produtos'!$E$23:$E$39,'Base Grupo de Produtos'!$F$23:$F$39)</f>
        <v>0</v>
      </c>
      <c r="AC909" s="61">
        <f t="shared" si="893"/>
        <v>0</v>
      </c>
      <c r="AD909" s="28"/>
      <c r="AE909" s="12"/>
      <c r="AF909" s="29"/>
      <c r="AG909" s="9"/>
      <c r="AH909" s="10"/>
      <c r="AI909" s="9"/>
      <c r="AJ909" s="11"/>
      <c r="AK909" s="9"/>
      <c r="AL909" s="13"/>
      <c r="AM909" s="9"/>
    </row>
    <row r="910" spans="1:39" x14ac:dyDescent="0.3">
      <c r="A910" s="2" t="str">
        <f t="shared" si="865"/>
        <v>NÃO</v>
      </c>
      <c r="B910" s="2" t="str">
        <f>_xlfn.XLOOKUP($N910,'Base de Grupos'!$A:$A,'Base de Grupos'!$D:$D)</f>
        <v>1000065763</v>
      </c>
      <c r="C910" s="5" t="str">
        <f>_xlfn.XLOOKUP($N910,'Base de Grupos'!$A:$A,'Base de Grupos'!$E:$E)</f>
        <v>CANAL VENDA INTERNA</v>
      </c>
      <c r="D910" s="5" t="str">
        <f>_xlfn.XLOOKUP($N910,'Base de Grupos'!$A:$A,'Base de Grupos'!$F:$F)</f>
        <v>1000065763</v>
      </c>
      <c r="E910" s="2" t="str">
        <f>_xlfn.XLOOKUP($N910,'Base de Grupos'!$A:$A,'Base de Grupos'!$G:$G)</f>
        <v>CANAL VENDA INTERNA</v>
      </c>
      <c r="F910" s="2" t="str">
        <f>_xlfn.XLOOKUP($N910,'Base de Grupos'!$A:$A,'Base de Grupos'!$H:$H)</f>
        <v>1000174119</v>
      </c>
      <c r="G910" s="5" t="str">
        <f>_xlfn.XLOOKUP($N910,'Base de Grupos'!$A:$A,'Base de Grupos'!$I:$I)</f>
        <v>REGIONAL VENDA INTERNA - CONVENIENCIA</v>
      </c>
      <c r="H910" s="5" t="str">
        <f>_xlfn.XLOOKUP($N910,'Base de Grupos'!$A:$A,'Base de Grupos'!$J:$J)</f>
        <v>1000174119</v>
      </c>
      <c r="I910" s="2" t="str">
        <f>_xlfn.XLOOKUP($N910,'Base de Grupos'!$A:$A,'Base de Grupos'!$K:$K)</f>
        <v>REGIONAL VENDA INTERNA - CONVENIENCIA</v>
      </c>
      <c r="J910" s="2" t="str">
        <f>_xlfn.XLOOKUP($N910,'Base de Grupos'!$A:$A,'Base de Grupos'!$L:$L)</f>
        <v>1000174119</v>
      </c>
      <c r="K910" s="5" t="str">
        <f>_xlfn.XLOOKUP($N910,'Base de Grupos'!$A:$A,'Base de Grupos'!$M:$M)</f>
        <v>REGIONAL VENDA INTERNA - CONVENIENCIA</v>
      </c>
      <c r="L910" s="5" t="str">
        <f t="shared" si="866"/>
        <v/>
      </c>
      <c r="M910" s="5" t="str">
        <f>_xlfn.XLOOKUP($N910,'Base de Grupos'!$A:$A,'Base de Grupos'!$C:$C)</f>
        <v>PA</v>
      </c>
      <c r="N910" s="3">
        <v>1515</v>
      </c>
      <c r="O910" s="4" t="s">
        <v>274</v>
      </c>
      <c r="P910" s="5" t="s">
        <v>92</v>
      </c>
      <c r="Q910" s="56">
        <v>0</v>
      </c>
      <c r="R910" s="56">
        <v>0</v>
      </c>
      <c r="S910" s="56">
        <v>0</v>
      </c>
      <c r="T910" s="56">
        <f>_xlfn.XLOOKUP($N910,'Calculo Leads Conveniencia'!$A$77:$A$104,'Calculo Leads Conveniencia'!G$77:G$104)*_xlfn.XLOOKUP($P910,'Base Grupo de Produtos'!$E$23:$E$39,'Base Grupo de Produtos'!$F$23:$F$39)</f>
        <v>0</v>
      </c>
      <c r="U910" s="56">
        <f>_xlfn.XLOOKUP($N910,'Calculo Leads Conveniencia'!$A$77:$A$104,'Calculo Leads Conveniencia'!H$77:H$104)*_xlfn.XLOOKUP($P910,'Base Grupo de Produtos'!$E$23:$E$39,'Base Grupo de Produtos'!$F$23:$F$39)</f>
        <v>0</v>
      </c>
      <c r="V910" s="56">
        <f>_xlfn.XLOOKUP($N910,'Calculo Leads Conveniencia'!$A$77:$A$104,'Calculo Leads Conveniencia'!I$77:I$104)*_xlfn.XLOOKUP($P910,'Base Grupo de Produtos'!$E$23:$E$39,'Base Grupo de Produtos'!$F$23:$F$39)</f>
        <v>0</v>
      </c>
      <c r="W910" s="56">
        <f>_xlfn.XLOOKUP($N910,'Calculo Leads Conveniencia'!$A$77:$A$104,'Calculo Leads Conveniencia'!J$77:J$104)*_xlfn.XLOOKUP($P910,'Base Grupo de Produtos'!$E$23:$E$39,'Base Grupo de Produtos'!$F$23:$F$39)</f>
        <v>0</v>
      </c>
      <c r="X910" s="56">
        <f>_xlfn.XLOOKUP($N910,'Calculo Leads Conveniencia'!$A$77:$A$104,'Calculo Leads Conveniencia'!K$77:K$104)*_xlfn.XLOOKUP($P910,'Base Grupo de Produtos'!$E$23:$E$39,'Base Grupo de Produtos'!$F$23:$F$39)</f>
        <v>0</v>
      </c>
      <c r="Y910" s="56">
        <f>_xlfn.XLOOKUP($N910,'Calculo Leads Conveniencia'!$A$77:$A$104,'Calculo Leads Conveniencia'!L$77:L$104)*_xlfn.XLOOKUP($P910,'Base Grupo de Produtos'!$E$23:$E$39,'Base Grupo de Produtos'!$F$23:$F$39)</f>
        <v>0</v>
      </c>
      <c r="Z910" s="56">
        <f>_xlfn.XLOOKUP($N910,'Calculo Leads Conveniencia'!$A$77:$A$104,'Calculo Leads Conveniencia'!M$77:M$104)*_xlfn.XLOOKUP($P910,'Base Grupo de Produtos'!$E$23:$E$39,'Base Grupo de Produtos'!$F$23:$F$39)</f>
        <v>0</v>
      </c>
      <c r="AA910" s="56">
        <f>_xlfn.XLOOKUP($N910,'Calculo Leads Conveniencia'!$A$77:$A$104,'Calculo Leads Conveniencia'!N$77:N$104)*_xlfn.XLOOKUP($P910,'Base Grupo de Produtos'!$E$23:$E$39,'Base Grupo de Produtos'!$F$23:$F$39)</f>
        <v>0</v>
      </c>
      <c r="AB910" s="56">
        <f>_xlfn.XLOOKUP($N910,'Calculo Leads Conveniencia'!$A$77:$A$104,'Calculo Leads Conveniencia'!O$77:O$104)*_xlfn.XLOOKUP($P910,'Base Grupo de Produtos'!$E$23:$E$39,'Base Grupo de Produtos'!$F$23:$F$39)</f>
        <v>0</v>
      </c>
      <c r="AC910" s="61">
        <f t="shared" si="893"/>
        <v>0</v>
      </c>
      <c r="AD910" s="28"/>
      <c r="AE910" s="12"/>
      <c r="AF910" s="29"/>
      <c r="AG910" s="9"/>
      <c r="AH910" s="10"/>
      <c r="AI910" s="9"/>
      <c r="AJ910" s="11"/>
      <c r="AK910" s="9"/>
      <c r="AL910" s="13"/>
      <c r="AM910" s="9"/>
    </row>
    <row r="911" spans="1:39" x14ac:dyDescent="0.3">
      <c r="A911" s="2" t="str">
        <f t="shared" si="865"/>
        <v>NÃO</v>
      </c>
      <c r="B911" s="2" t="str">
        <f>_xlfn.XLOOKUP($N911,'Base de Grupos'!$A:$A,'Base de Grupos'!$D:$D)</f>
        <v>1000065763</v>
      </c>
      <c r="C911" s="5" t="str">
        <f>_xlfn.XLOOKUP($N911,'Base de Grupos'!$A:$A,'Base de Grupos'!$E:$E)</f>
        <v>CANAL VENDA INTERNA</v>
      </c>
      <c r="D911" s="5" t="str">
        <f>_xlfn.XLOOKUP($N911,'Base de Grupos'!$A:$A,'Base de Grupos'!$F:$F)</f>
        <v>1000065763</v>
      </c>
      <c r="E911" s="2" t="str">
        <f>_xlfn.XLOOKUP($N911,'Base de Grupos'!$A:$A,'Base de Grupos'!$G:$G)</f>
        <v>CANAL VENDA INTERNA</v>
      </c>
      <c r="F911" s="2" t="str">
        <f>_xlfn.XLOOKUP($N911,'Base de Grupos'!$A:$A,'Base de Grupos'!$H:$H)</f>
        <v>1000174119</v>
      </c>
      <c r="G911" s="5" t="str">
        <f>_xlfn.XLOOKUP($N911,'Base de Grupos'!$A:$A,'Base de Grupos'!$I:$I)</f>
        <v>REGIONAL VENDA INTERNA - CONVENIENCIA</v>
      </c>
      <c r="H911" s="5" t="str">
        <f>_xlfn.XLOOKUP($N911,'Base de Grupos'!$A:$A,'Base de Grupos'!$J:$J)</f>
        <v>1000174119</v>
      </c>
      <c r="I911" s="2" t="str">
        <f>_xlfn.XLOOKUP($N911,'Base de Grupos'!$A:$A,'Base de Grupos'!$K:$K)</f>
        <v>REGIONAL VENDA INTERNA - CONVENIENCIA</v>
      </c>
      <c r="J911" s="2" t="str">
        <f>_xlfn.XLOOKUP($N911,'Base de Grupos'!$A:$A,'Base de Grupos'!$L:$L)</f>
        <v>1000174119</v>
      </c>
      <c r="K911" s="5" t="str">
        <f>_xlfn.XLOOKUP($N911,'Base de Grupos'!$A:$A,'Base de Grupos'!$M:$M)</f>
        <v>REGIONAL VENDA INTERNA - CONVENIENCIA</v>
      </c>
      <c r="L911" s="5" t="str">
        <f t="shared" si="866"/>
        <v/>
      </c>
      <c r="M911" s="5" t="str">
        <f>_xlfn.XLOOKUP($N911,'Base de Grupos'!$A:$A,'Base de Grupos'!$C:$C)</f>
        <v>PA</v>
      </c>
      <c r="N911" s="3">
        <v>1515</v>
      </c>
      <c r="O911" s="4" t="s">
        <v>274</v>
      </c>
      <c r="P911" s="5" t="s">
        <v>86</v>
      </c>
      <c r="Q911" s="56">
        <v>0</v>
      </c>
      <c r="R911" s="56">
        <v>0</v>
      </c>
      <c r="S911" s="56">
        <v>0</v>
      </c>
      <c r="T911" s="56">
        <f>_xlfn.XLOOKUP($N911,'Calculo Leads Conveniencia'!$A$77:$A$104,'Calculo Leads Conveniencia'!G$77:G$104)*_xlfn.XLOOKUP($P911,'Base Grupo de Produtos'!$E$23:$E$39,'Base Grupo de Produtos'!$F$23:$F$39)</f>
        <v>0</v>
      </c>
      <c r="U911" s="56">
        <f>_xlfn.XLOOKUP($N911,'Calculo Leads Conveniencia'!$A$77:$A$104,'Calculo Leads Conveniencia'!H$77:H$104)*_xlfn.XLOOKUP($P911,'Base Grupo de Produtos'!$E$23:$E$39,'Base Grupo de Produtos'!$F$23:$F$39)</f>
        <v>0</v>
      </c>
      <c r="V911" s="56">
        <f>_xlfn.XLOOKUP($N911,'Calculo Leads Conveniencia'!$A$77:$A$104,'Calculo Leads Conveniencia'!I$77:I$104)*_xlfn.XLOOKUP($P911,'Base Grupo de Produtos'!$E$23:$E$39,'Base Grupo de Produtos'!$F$23:$F$39)</f>
        <v>0</v>
      </c>
      <c r="W911" s="56">
        <f>_xlfn.XLOOKUP($N911,'Calculo Leads Conveniencia'!$A$77:$A$104,'Calculo Leads Conveniencia'!J$77:J$104)*_xlfn.XLOOKUP($P911,'Base Grupo de Produtos'!$E$23:$E$39,'Base Grupo de Produtos'!$F$23:$F$39)</f>
        <v>0</v>
      </c>
      <c r="X911" s="56">
        <f>_xlfn.XLOOKUP($N911,'Calculo Leads Conveniencia'!$A$77:$A$104,'Calculo Leads Conveniencia'!K$77:K$104)*_xlfn.XLOOKUP($P911,'Base Grupo de Produtos'!$E$23:$E$39,'Base Grupo de Produtos'!$F$23:$F$39)</f>
        <v>0</v>
      </c>
      <c r="Y911" s="56">
        <f>_xlfn.XLOOKUP($N911,'Calculo Leads Conveniencia'!$A$77:$A$104,'Calculo Leads Conveniencia'!L$77:L$104)*_xlfn.XLOOKUP($P911,'Base Grupo de Produtos'!$E$23:$E$39,'Base Grupo de Produtos'!$F$23:$F$39)</f>
        <v>0</v>
      </c>
      <c r="Z911" s="56">
        <f>_xlfn.XLOOKUP($N911,'Calculo Leads Conveniencia'!$A$77:$A$104,'Calculo Leads Conveniencia'!M$77:M$104)*_xlfn.XLOOKUP($P911,'Base Grupo de Produtos'!$E$23:$E$39,'Base Grupo de Produtos'!$F$23:$F$39)</f>
        <v>0</v>
      </c>
      <c r="AA911" s="56">
        <f>_xlfn.XLOOKUP($N911,'Calculo Leads Conveniencia'!$A$77:$A$104,'Calculo Leads Conveniencia'!N$77:N$104)*_xlfn.XLOOKUP($P911,'Base Grupo de Produtos'!$E$23:$E$39,'Base Grupo de Produtos'!$F$23:$F$39)</f>
        <v>0</v>
      </c>
      <c r="AB911" s="56">
        <f>_xlfn.XLOOKUP($N911,'Calculo Leads Conveniencia'!$A$77:$A$104,'Calculo Leads Conveniencia'!O$77:O$104)*_xlfn.XLOOKUP($P911,'Base Grupo de Produtos'!$E$23:$E$39,'Base Grupo de Produtos'!$F$23:$F$39)</f>
        <v>0</v>
      </c>
      <c r="AC911" s="61">
        <f t="shared" si="893"/>
        <v>0</v>
      </c>
      <c r="AD911" s="28"/>
      <c r="AE911" s="12"/>
      <c r="AF911" s="29"/>
      <c r="AG911" s="9"/>
      <c r="AH911" s="10"/>
      <c r="AI911" s="9"/>
      <c r="AJ911" s="11"/>
      <c r="AK911" s="9"/>
      <c r="AL911" s="13"/>
      <c r="AM911" s="9"/>
    </row>
    <row r="912" spans="1:39" x14ac:dyDescent="0.3">
      <c r="A912" s="2" t="str">
        <f t="shared" si="865"/>
        <v>NÃO</v>
      </c>
      <c r="B912" s="2" t="str">
        <f>_xlfn.XLOOKUP($N912,'Base de Grupos'!$A:$A,'Base de Grupos'!$D:$D)</f>
        <v>1000065763</v>
      </c>
      <c r="C912" s="5" t="str">
        <f>_xlfn.XLOOKUP($N912,'Base de Grupos'!$A:$A,'Base de Grupos'!$E:$E)</f>
        <v>CANAL VENDA INTERNA</v>
      </c>
      <c r="D912" s="5" t="str">
        <f>_xlfn.XLOOKUP($N912,'Base de Grupos'!$A:$A,'Base de Grupos'!$F:$F)</f>
        <v>1000065763</v>
      </c>
      <c r="E912" s="2" t="str">
        <f>_xlfn.XLOOKUP($N912,'Base de Grupos'!$A:$A,'Base de Grupos'!$G:$G)</f>
        <v>CANAL VENDA INTERNA</v>
      </c>
      <c r="F912" s="2" t="str">
        <f>_xlfn.XLOOKUP($N912,'Base de Grupos'!$A:$A,'Base de Grupos'!$H:$H)</f>
        <v>1000174119</v>
      </c>
      <c r="G912" s="5" t="str">
        <f>_xlfn.XLOOKUP($N912,'Base de Grupos'!$A:$A,'Base de Grupos'!$I:$I)</f>
        <v>REGIONAL VENDA INTERNA - CONVENIENCIA</v>
      </c>
      <c r="H912" s="5" t="str">
        <f>_xlfn.XLOOKUP($N912,'Base de Grupos'!$A:$A,'Base de Grupos'!$J:$J)</f>
        <v>1000174119</v>
      </c>
      <c r="I912" s="2" t="str">
        <f>_xlfn.XLOOKUP($N912,'Base de Grupos'!$A:$A,'Base de Grupos'!$K:$K)</f>
        <v>REGIONAL VENDA INTERNA - CONVENIENCIA</v>
      </c>
      <c r="J912" s="2" t="str">
        <f>_xlfn.XLOOKUP($N912,'Base de Grupos'!$A:$A,'Base de Grupos'!$L:$L)</f>
        <v>1000174119</v>
      </c>
      <c r="K912" s="5" t="str">
        <f>_xlfn.XLOOKUP($N912,'Base de Grupos'!$A:$A,'Base de Grupos'!$M:$M)</f>
        <v>REGIONAL VENDA INTERNA - CONVENIENCIA</v>
      </c>
      <c r="L912" s="5" t="str">
        <f t="shared" si="866"/>
        <v/>
      </c>
      <c r="M912" s="5" t="str">
        <f>_xlfn.XLOOKUP($N912,'Base de Grupos'!$A:$A,'Base de Grupos'!$C:$C)</f>
        <v>PA</v>
      </c>
      <c r="N912" s="3">
        <v>1515</v>
      </c>
      <c r="O912" s="4" t="s">
        <v>274</v>
      </c>
      <c r="P912" s="5" t="s">
        <v>108</v>
      </c>
      <c r="Q912" s="56">
        <v>0</v>
      </c>
      <c r="R912" s="56">
        <v>0</v>
      </c>
      <c r="S912" s="56">
        <v>0</v>
      </c>
      <c r="T912" s="56">
        <f>_xlfn.XLOOKUP($N912,'Calculo Leads Conveniencia'!$A$77:$A$104,'Calculo Leads Conveniencia'!G$77:G$104)*_xlfn.XLOOKUP($P912,'Base Grupo de Produtos'!$E$23:$E$39,'Base Grupo de Produtos'!$F$23:$F$39)</f>
        <v>0</v>
      </c>
      <c r="U912" s="56">
        <f>_xlfn.XLOOKUP($N912,'Calculo Leads Conveniencia'!$A$77:$A$104,'Calculo Leads Conveniencia'!H$77:H$104)*_xlfn.XLOOKUP($P912,'Base Grupo de Produtos'!$E$23:$E$39,'Base Grupo de Produtos'!$F$23:$F$39)</f>
        <v>0</v>
      </c>
      <c r="V912" s="56">
        <f>_xlfn.XLOOKUP($N912,'Calculo Leads Conveniencia'!$A$77:$A$104,'Calculo Leads Conveniencia'!I$77:I$104)*_xlfn.XLOOKUP($P912,'Base Grupo de Produtos'!$E$23:$E$39,'Base Grupo de Produtos'!$F$23:$F$39)</f>
        <v>0</v>
      </c>
      <c r="W912" s="56">
        <f>_xlfn.XLOOKUP($N912,'Calculo Leads Conveniencia'!$A$77:$A$104,'Calculo Leads Conveniencia'!J$77:J$104)*_xlfn.XLOOKUP($P912,'Base Grupo de Produtos'!$E$23:$E$39,'Base Grupo de Produtos'!$F$23:$F$39)</f>
        <v>0</v>
      </c>
      <c r="X912" s="56">
        <f>_xlfn.XLOOKUP($N912,'Calculo Leads Conveniencia'!$A$77:$A$104,'Calculo Leads Conveniencia'!K$77:K$104)*_xlfn.XLOOKUP($P912,'Base Grupo de Produtos'!$E$23:$E$39,'Base Grupo de Produtos'!$F$23:$F$39)</f>
        <v>0</v>
      </c>
      <c r="Y912" s="56">
        <f>_xlfn.XLOOKUP($N912,'Calculo Leads Conveniencia'!$A$77:$A$104,'Calculo Leads Conveniencia'!L$77:L$104)*_xlfn.XLOOKUP($P912,'Base Grupo de Produtos'!$E$23:$E$39,'Base Grupo de Produtos'!$F$23:$F$39)</f>
        <v>0</v>
      </c>
      <c r="Z912" s="56">
        <f>_xlfn.XLOOKUP($N912,'Calculo Leads Conveniencia'!$A$77:$A$104,'Calculo Leads Conveniencia'!M$77:M$104)*_xlfn.XLOOKUP($P912,'Base Grupo de Produtos'!$E$23:$E$39,'Base Grupo de Produtos'!$F$23:$F$39)</f>
        <v>0</v>
      </c>
      <c r="AA912" s="56">
        <f>_xlfn.XLOOKUP($N912,'Calculo Leads Conveniencia'!$A$77:$A$104,'Calculo Leads Conveniencia'!N$77:N$104)*_xlfn.XLOOKUP($P912,'Base Grupo de Produtos'!$E$23:$E$39,'Base Grupo de Produtos'!$F$23:$F$39)</f>
        <v>0</v>
      </c>
      <c r="AB912" s="56">
        <f>_xlfn.XLOOKUP($N912,'Calculo Leads Conveniencia'!$A$77:$A$104,'Calculo Leads Conveniencia'!O$77:O$104)*_xlfn.XLOOKUP($P912,'Base Grupo de Produtos'!$E$23:$E$39,'Base Grupo de Produtos'!$F$23:$F$39)</f>
        <v>0</v>
      </c>
      <c r="AC912" s="61">
        <f t="shared" si="893"/>
        <v>0</v>
      </c>
      <c r="AD912" s="28"/>
      <c r="AE912" s="12"/>
      <c r="AF912" s="29"/>
      <c r="AG912" s="9"/>
      <c r="AH912" s="10"/>
      <c r="AI912" s="9"/>
      <c r="AJ912" s="11"/>
      <c r="AK912" s="9"/>
      <c r="AL912" s="13"/>
      <c r="AM912" s="9"/>
    </row>
    <row r="913" spans="1:39" x14ac:dyDescent="0.3">
      <c r="A913" s="2" t="str">
        <f t="shared" si="865"/>
        <v>NÃO</v>
      </c>
      <c r="B913" s="2" t="str">
        <f>_xlfn.XLOOKUP($N913,'Base de Grupos'!$A:$A,'Base de Grupos'!$D:$D)</f>
        <v>1000065763</v>
      </c>
      <c r="C913" s="5" t="str">
        <f>_xlfn.XLOOKUP($N913,'Base de Grupos'!$A:$A,'Base de Grupos'!$E:$E)</f>
        <v>CANAL VENDA INTERNA</v>
      </c>
      <c r="D913" s="5" t="str">
        <f>_xlfn.XLOOKUP($N913,'Base de Grupos'!$A:$A,'Base de Grupos'!$F:$F)</f>
        <v>1000065763</v>
      </c>
      <c r="E913" s="2" t="str">
        <f>_xlfn.XLOOKUP($N913,'Base de Grupos'!$A:$A,'Base de Grupos'!$G:$G)</f>
        <v>CANAL VENDA INTERNA</v>
      </c>
      <c r="F913" s="2" t="str">
        <f>_xlfn.XLOOKUP($N913,'Base de Grupos'!$A:$A,'Base de Grupos'!$H:$H)</f>
        <v>1000174119</v>
      </c>
      <c r="G913" s="5" t="str">
        <f>_xlfn.XLOOKUP($N913,'Base de Grupos'!$A:$A,'Base de Grupos'!$I:$I)</f>
        <v>REGIONAL VENDA INTERNA - CONVENIENCIA</v>
      </c>
      <c r="H913" s="5" t="str">
        <f>_xlfn.XLOOKUP($N913,'Base de Grupos'!$A:$A,'Base de Grupos'!$J:$J)</f>
        <v>1000174119</v>
      </c>
      <c r="I913" s="2" t="str">
        <f>_xlfn.XLOOKUP($N913,'Base de Grupos'!$A:$A,'Base de Grupos'!$K:$K)</f>
        <v>REGIONAL VENDA INTERNA - CONVENIENCIA</v>
      </c>
      <c r="J913" s="2" t="str">
        <f>_xlfn.XLOOKUP($N913,'Base de Grupos'!$A:$A,'Base de Grupos'!$L:$L)</f>
        <v>1000174119</v>
      </c>
      <c r="K913" s="5" t="str">
        <f>_xlfn.XLOOKUP($N913,'Base de Grupos'!$A:$A,'Base de Grupos'!$M:$M)</f>
        <v>REGIONAL VENDA INTERNA - CONVENIENCIA</v>
      </c>
      <c r="L913" s="5" t="str">
        <f t="shared" si="866"/>
        <v/>
      </c>
      <c r="M913" s="5" t="str">
        <f>_xlfn.XLOOKUP($N913,'Base de Grupos'!$A:$A,'Base de Grupos'!$C:$C)</f>
        <v>PA</v>
      </c>
      <c r="N913" s="3">
        <v>1515</v>
      </c>
      <c r="O913" s="4" t="s">
        <v>274</v>
      </c>
      <c r="P913" s="5" t="s">
        <v>89</v>
      </c>
      <c r="Q913" s="56">
        <v>0</v>
      </c>
      <c r="R913" s="56">
        <v>0</v>
      </c>
      <c r="S913" s="56">
        <v>0</v>
      </c>
      <c r="T913" s="56">
        <f>_xlfn.XLOOKUP($N913,'Calculo Leads Conveniencia'!$A$77:$A$104,'Calculo Leads Conveniencia'!G$77:G$104)*_xlfn.XLOOKUP($P913,'Base Grupo de Produtos'!$E$23:$E$39,'Base Grupo de Produtos'!$F$23:$F$39)</f>
        <v>0</v>
      </c>
      <c r="U913" s="56">
        <f>_xlfn.XLOOKUP($N913,'Calculo Leads Conveniencia'!$A$77:$A$104,'Calculo Leads Conveniencia'!H$77:H$104)*_xlfn.XLOOKUP($P913,'Base Grupo de Produtos'!$E$23:$E$39,'Base Grupo de Produtos'!$F$23:$F$39)</f>
        <v>0</v>
      </c>
      <c r="V913" s="56">
        <f>_xlfn.XLOOKUP($N913,'Calculo Leads Conveniencia'!$A$77:$A$104,'Calculo Leads Conveniencia'!I$77:I$104)*_xlfn.XLOOKUP($P913,'Base Grupo de Produtos'!$E$23:$E$39,'Base Grupo de Produtos'!$F$23:$F$39)</f>
        <v>0</v>
      </c>
      <c r="W913" s="56">
        <f>_xlfn.XLOOKUP($N913,'Calculo Leads Conveniencia'!$A$77:$A$104,'Calculo Leads Conveniencia'!J$77:J$104)*_xlfn.XLOOKUP($P913,'Base Grupo de Produtos'!$E$23:$E$39,'Base Grupo de Produtos'!$F$23:$F$39)</f>
        <v>0</v>
      </c>
      <c r="X913" s="56">
        <f>_xlfn.XLOOKUP($N913,'Calculo Leads Conveniencia'!$A$77:$A$104,'Calculo Leads Conveniencia'!K$77:K$104)*_xlfn.XLOOKUP($P913,'Base Grupo de Produtos'!$E$23:$E$39,'Base Grupo de Produtos'!$F$23:$F$39)</f>
        <v>0</v>
      </c>
      <c r="Y913" s="56">
        <f>_xlfn.XLOOKUP($N913,'Calculo Leads Conveniencia'!$A$77:$A$104,'Calculo Leads Conveniencia'!L$77:L$104)*_xlfn.XLOOKUP($P913,'Base Grupo de Produtos'!$E$23:$E$39,'Base Grupo de Produtos'!$F$23:$F$39)</f>
        <v>0</v>
      </c>
      <c r="Z913" s="56">
        <f>_xlfn.XLOOKUP($N913,'Calculo Leads Conveniencia'!$A$77:$A$104,'Calculo Leads Conveniencia'!M$77:M$104)*_xlfn.XLOOKUP($P913,'Base Grupo de Produtos'!$E$23:$E$39,'Base Grupo de Produtos'!$F$23:$F$39)</f>
        <v>0</v>
      </c>
      <c r="AA913" s="56">
        <f>_xlfn.XLOOKUP($N913,'Calculo Leads Conveniencia'!$A$77:$A$104,'Calculo Leads Conveniencia'!N$77:N$104)*_xlfn.XLOOKUP($P913,'Base Grupo de Produtos'!$E$23:$E$39,'Base Grupo de Produtos'!$F$23:$F$39)</f>
        <v>0</v>
      </c>
      <c r="AB913" s="56">
        <f>_xlfn.XLOOKUP($N913,'Calculo Leads Conveniencia'!$A$77:$A$104,'Calculo Leads Conveniencia'!O$77:O$104)*_xlfn.XLOOKUP($P913,'Base Grupo de Produtos'!$E$23:$E$39,'Base Grupo de Produtos'!$F$23:$F$39)</f>
        <v>0</v>
      </c>
      <c r="AC913" s="61">
        <f t="shared" si="893"/>
        <v>0</v>
      </c>
      <c r="AD913" s="28"/>
      <c r="AE913" s="12"/>
      <c r="AF913" s="29"/>
      <c r="AG913" s="9"/>
      <c r="AH913" s="10"/>
      <c r="AI913" s="9"/>
      <c r="AJ913" s="11"/>
      <c r="AK913" s="9"/>
      <c r="AL913" s="13"/>
      <c r="AM913" s="9"/>
    </row>
    <row r="914" spans="1:39" x14ac:dyDescent="0.3">
      <c r="A914" s="2" t="str">
        <f t="shared" si="865"/>
        <v>NÃO</v>
      </c>
      <c r="B914" s="2" t="str">
        <f>_xlfn.XLOOKUP($N914,'Base de Grupos'!$A:$A,'Base de Grupos'!$D:$D)</f>
        <v>1000065763</v>
      </c>
      <c r="C914" s="5" t="str">
        <f>_xlfn.XLOOKUP($N914,'Base de Grupos'!$A:$A,'Base de Grupos'!$E:$E)</f>
        <v>CANAL VENDA INTERNA</v>
      </c>
      <c r="D914" s="5" t="str">
        <f>_xlfn.XLOOKUP($N914,'Base de Grupos'!$A:$A,'Base de Grupos'!$F:$F)</f>
        <v>1000065763</v>
      </c>
      <c r="E914" s="2" t="str">
        <f>_xlfn.XLOOKUP($N914,'Base de Grupos'!$A:$A,'Base de Grupos'!$G:$G)</f>
        <v>CANAL VENDA INTERNA</v>
      </c>
      <c r="F914" s="2" t="str">
        <f>_xlfn.XLOOKUP($N914,'Base de Grupos'!$A:$A,'Base de Grupos'!$H:$H)</f>
        <v>1000174119</v>
      </c>
      <c r="G914" s="5" t="str">
        <f>_xlfn.XLOOKUP($N914,'Base de Grupos'!$A:$A,'Base de Grupos'!$I:$I)</f>
        <v>REGIONAL VENDA INTERNA - CONVENIENCIA</v>
      </c>
      <c r="H914" s="5" t="str">
        <f>_xlfn.XLOOKUP($N914,'Base de Grupos'!$A:$A,'Base de Grupos'!$J:$J)</f>
        <v>1000174119</v>
      </c>
      <c r="I914" s="2" t="str">
        <f>_xlfn.XLOOKUP($N914,'Base de Grupos'!$A:$A,'Base de Grupos'!$K:$K)</f>
        <v>REGIONAL VENDA INTERNA - CONVENIENCIA</v>
      </c>
      <c r="J914" s="2" t="str">
        <f>_xlfn.XLOOKUP($N914,'Base de Grupos'!$A:$A,'Base de Grupos'!$L:$L)</f>
        <v>1000174119</v>
      </c>
      <c r="K914" s="5" t="str">
        <f>_xlfn.XLOOKUP($N914,'Base de Grupos'!$A:$A,'Base de Grupos'!$M:$M)</f>
        <v>REGIONAL VENDA INTERNA - CONVENIENCIA</v>
      </c>
      <c r="L914" s="5" t="str">
        <f t="shared" si="866"/>
        <v/>
      </c>
      <c r="M914" s="5" t="str">
        <f>_xlfn.XLOOKUP($N914,'Base de Grupos'!$A:$A,'Base de Grupos'!$C:$C)</f>
        <v>PA</v>
      </c>
      <c r="N914" s="3">
        <v>1515</v>
      </c>
      <c r="O914" s="4" t="s">
        <v>274</v>
      </c>
      <c r="P914" s="5" t="s">
        <v>88</v>
      </c>
      <c r="Q914" s="56">
        <v>0</v>
      </c>
      <c r="R914" s="56">
        <v>0</v>
      </c>
      <c r="S914" s="56">
        <v>0</v>
      </c>
      <c r="T914" s="56">
        <f>_xlfn.XLOOKUP($N914,'Calculo Leads Conveniencia'!$A$77:$A$104,'Calculo Leads Conveniencia'!G$77:G$104)*_xlfn.XLOOKUP($P914,'Base Grupo de Produtos'!$E$23:$E$39,'Base Grupo de Produtos'!$F$23:$F$39)</f>
        <v>0</v>
      </c>
      <c r="U914" s="56">
        <f>_xlfn.XLOOKUP($N914,'Calculo Leads Conveniencia'!$A$77:$A$104,'Calculo Leads Conveniencia'!H$77:H$104)*_xlfn.XLOOKUP($P914,'Base Grupo de Produtos'!$E$23:$E$39,'Base Grupo de Produtos'!$F$23:$F$39)</f>
        <v>0</v>
      </c>
      <c r="V914" s="56">
        <f>_xlfn.XLOOKUP($N914,'Calculo Leads Conveniencia'!$A$77:$A$104,'Calculo Leads Conveniencia'!I$77:I$104)*_xlfn.XLOOKUP($P914,'Base Grupo de Produtos'!$E$23:$E$39,'Base Grupo de Produtos'!$F$23:$F$39)</f>
        <v>0</v>
      </c>
      <c r="W914" s="56">
        <f>_xlfn.XLOOKUP($N914,'Calculo Leads Conveniencia'!$A$77:$A$104,'Calculo Leads Conveniencia'!J$77:J$104)*_xlfn.XLOOKUP($P914,'Base Grupo de Produtos'!$E$23:$E$39,'Base Grupo de Produtos'!$F$23:$F$39)</f>
        <v>0</v>
      </c>
      <c r="X914" s="56">
        <f>_xlfn.XLOOKUP($N914,'Calculo Leads Conveniencia'!$A$77:$A$104,'Calculo Leads Conveniencia'!K$77:K$104)*_xlfn.XLOOKUP($P914,'Base Grupo de Produtos'!$E$23:$E$39,'Base Grupo de Produtos'!$F$23:$F$39)</f>
        <v>0</v>
      </c>
      <c r="Y914" s="56">
        <f>_xlfn.XLOOKUP($N914,'Calculo Leads Conveniencia'!$A$77:$A$104,'Calculo Leads Conveniencia'!L$77:L$104)*_xlfn.XLOOKUP($P914,'Base Grupo de Produtos'!$E$23:$E$39,'Base Grupo de Produtos'!$F$23:$F$39)</f>
        <v>0</v>
      </c>
      <c r="Z914" s="56">
        <f>_xlfn.XLOOKUP($N914,'Calculo Leads Conveniencia'!$A$77:$A$104,'Calculo Leads Conveniencia'!M$77:M$104)*_xlfn.XLOOKUP($P914,'Base Grupo de Produtos'!$E$23:$E$39,'Base Grupo de Produtos'!$F$23:$F$39)</f>
        <v>0</v>
      </c>
      <c r="AA914" s="56">
        <f>_xlfn.XLOOKUP($N914,'Calculo Leads Conveniencia'!$A$77:$A$104,'Calculo Leads Conveniencia'!N$77:N$104)*_xlfn.XLOOKUP($P914,'Base Grupo de Produtos'!$E$23:$E$39,'Base Grupo de Produtos'!$F$23:$F$39)</f>
        <v>0</v>
      </c>
      <c r="AB914" s="56">
        <f>_xlfn.XLOOKUP($N914,'Calculo Leads Conveniencia'!$A$77:$A$104,'Calculo Leads Conveniencia'!O$77:O$104)*_xlfn.XLOOKUP($P914,'Base Grupo de Produtos'!$E$23:$E$39,'Base Grupo de Produtos'!$F$23:$F$39)</f>
        <v>0</v>
      </c>
      <c r="AC914" s="61">
        <f t="shared" si="893"/>
        <v>0</v>
      </c>
      <c r="AD914" s="28"/>
      <c r="AE914" s="12"/>
      <c r="AF914" s="29"/>
      <c r="AG914" s="9"/>
      <c r="AH914" s="10"/>
      <c r="AI914" s="9"/>
      <c r="AJ914" s="11"/>
      <c r="AK914" s="9"/>
      <c r="AL914" s="13"/>
      <c r="AM914" s="9"/>
    </row>
    <row r="915" spans="1:39" x14ac:dyDescent="0.3">
      <c r="A915" s="2" t="str">
        <f t="shared" si="865"/>
        <v>NÃO</v>
      </c>
      <c r="B915" s="2" t="str">
        <f>_xlfn.XLOOKUP($N915,'Base de Grupos'!$A:$A,'Base de Grupos'!$D:$D)</f>
        <v>1000065763</v>
      </c>
      <c r="C915" s="5" t="str">
        <f>_xlfn.XLOOKUP($N915,'Base de Grupos'!$A:$A,'Base de Grupos'!$E:$E)</f>
        <v>CANAL VENDA INTERNA</v>
      </c>
      <c r="D915" s="5" t="str">
        <f>_xlfn.XLOOKUP($N915,'Base de Grupos'!$A:$A,'Base de Grupos'!$F:$F)</f>
        <v>1000065763</v>
      </c>
      <c r="E915" s="2" t="str">
        <f>_xlfn.XLOOKUP($N915,'Base de Grupos'!$A:$A,'Base de Grupos'!$G:$G)</f>
        <v>CANAL VENDA INTERNA</v>
      </c>
      <c r="F915" s="2" t="str">
        <f>_xlfn.XLOOKUP($N915,'Base de Grupos'!$A:$A,'Base de Grupos'!$H:$H)</f>
        <v>1000174119</v>
      </c>
      <c r="G915" s="5" t="str">
        <f>_xlfn.XLOOKUP($N915,'Base de Grupos'!$A:$A,'Base de Grupos'!$I:$I)</f>
        <v>REGIONAL VENDA INTERNA - CONVENIENCIA</v>
      </c>
      <c r="H915" s="5" t="str">
        <f>_xlfn.XLOOKUP($N915,'Base de Grupos'!$A:$A,'Base de Grupos'!$J:$J)</f>
        <v>1000174119</v>
      </c>
      <c r="I915" s="2" t="str">
        <f>_xlfn.XLOOKUP($N915,'Base de Grupos'!$A:$A,'Base de Grupos'!$K:$K)</f>
        <v>REGIONAL VENDA INTERNA - CONVENIENCIA</v>
      </c>
      <c r="J915" s="2" t="str">
        <f>_xlfn.XLOOKUP($N915,'Base de Grupos'!$A:$A,'Base de Grupos'!$L:$L)</f>
        <v>1000174119</v>
      </c>
      <c r="K915" s="5" t="str">
        <f>_xlfn.XLOOKUP($N915,'Base de Grupos'!$A:$A,'Base de Grupos'!$M:$M)</f>
        <v>REGIONAL VENDA INTERNA - CONVENIENCIA</v>
      </c>
      <c r="L915" s="5" t="str">
        <f t="shared" si="866"/>
        <v/>
      </c>
      <c r="M915" s="5" t="str">
        <f>_xlfn.XLOOKUP($N915,'Base de Grupos'!$A:$A,'Base de Grupos'!$C:$C)</f>
        <v>PA</v>
      </c>
      <c r="N915" s="3">
        <v>1515</v>
      </c>
      <c r="O915" s="4" t="s">
        <v>274</v>
      </c>
      <c r="P915" s="5" t="s">
        <v>90</v>
      </c>
      <c r="Q915" s="56">
        <v>0</v>
      </c>
      <c r="R915" s="56">
        <v>0</v>
      </c>
      <c r="S915" s="56">
        <v>0</v>
      </c>
      <c r="T915" s="56">
        <f>_xlfn.XLOOKUP($N915,'Calculo Leads Conveniencia'!$A$77:$A$104,'Calculo Leads Conveniencia'!G$77:G$104)*_xlfn.XLOOKUP($P915,'Base Grupo de Produtos'!$E$23:$E$39,'Base Grupo de Produtos'!$F$23:$F$39)</f>
        <v>0</v>
      </c>
      <c r="U915" s="56">
        <f>_xlfn.XLOOKUP($N915,'Calculo Leads Conveniencia'!$A$77:$A$104,'Calculo Leads Conveniencia'!H$77:H$104)*_xlfn.XLOOKUP($P915,'Base Grupo de Produtos'!$E$23:$E$39,'Base Grupo de Produtos'!$F$23:$F$39)</f>
        <v>0</v>
      </c>
      <c r="V915" s="56">
        <f>_xlfn.XLOOKUP($N915,'Calculo Leads Conveniencia'!$A$77:$A$104,'Calculo Leads Conveniencia'!I$77:I$104)*_xlfn.XLOOKUP($P915,'Base Grupo de Produtos'!$E$23:$E$39,'Base Grupo de Produtos'!$F$23:$F$39)</f>
        <v>0</v>
      </c>
      <c r="W915" s="56">
        <f>_xlfn.XLOOKUP($N915,'Calculo Leads Conveniencia'!$A$77:$A$104,'Calculo Leads Conveniencia'!J$77:J$104)*_xlfn.XLOOKUP($P915,'Base Grupo de Produtos'!$E$23:$E$39,'Base Grupo de Produtos'!$F$23:$F$39)</f>
        <v>0</v>
      </c>
      <c r="X915" s="56">
        <f>_xlfn.XLOOKUP($N915,'Calculo Leads Conveniencia'!$A$77:$A$104,'Calculo Leads Conveniencia'!K$77:K$104)*_xlfn.XLOOKUP($P915,'Base Grupo de Produtos'!$E$23:$E$39,'Base Grupo de Produtos'!$F$23:$F$39)</f>
        <v>0</v>
      </c>
      <c r="Y915" s="56">
        <f>_xlfn.XLOOKUP($N915,'Calculo Leads Conveniencia'!$A$77:$A$104,'Calculo Leads Conveniencia'!L$77:L$104)*_xlfn.XLOOKUP($P915,'Base Grupo de Produtos'!$E$23:$E$39,'Base Grupo de Produtos'!$F$23:$F$39)</f>
        <v>0</v>
      </c>
      <c r="Z915" s="56">
        <f>_xlfn.XLOOKUP($N915,'Calculo Leads Conveniencia'!$A$77:$A$104,'Calculo Leads Conveniencia'!M$77:M$104)*_xlfn.XLOOKUP($P915,'Base Grupo de Produtos'!$E$23:$E$39,'Base Grupo de Produtos'!$F$23:$F$39)</f>
        <v>0</v>
      </c>
      <c r="AA915" s="56">
        <f>_xlfn.XLOOKUP($N915,'Calculo Leads Conveniencia'!$A$77:$A$104,'Calculo Leads Conveniencia'!N$77:N$104)*_xlfn.XLOOKUP($P915,'Base Grupo de Produtos'!$E$23:$E$39,'Base Grupo de Produtos'!$F$23:$F$39)</f>
        <v>0</v>
      </c>
      <c r="AB915" s="56">
        <f>_xlfn.XLOOKUP($N915,'Calculo Leads Conveniencia'!$A$77:$A$104,'Calculo Leads Conveniencia'!O$77:O$104)*_xlfn.XLOOKUP($P915,'Base Grupo de Produtos'!$E$23:$E$39,'Base Grupo de Produtos'!$F$23:$F$39)</f>
        <v>0</v>
      </c>
      <c r="AC915" s="61">
        <f t="shared" si="893"/>
        <v>0</v>
      </c>
      <c r="AD915" s="28"/>
      <c r="AE915" s="12"/>
      <c r="AF915" s="29"/>
      <c r="AG915" s="9"/>
      <c r="AH915" s="10"/>
      <c r="AI915" s="9"/>
      <c r="AJ915" s="11"/>
      <c r="AK915" s="9"/>
      <c r="AL915" s="13"/>
      <c r="AM915" s="9"/>
    </row>
    <row r="916" spans="1:39" x14ac:dyDescent="0.3">
      <c r="A916" s="2" t="str">
        <f t="shared" si="865"/>
        <v>NÃO</v>
      </c>
      <c r="B916" s="2" t="str">
        <f>_xlfn.XLOOKUP($N916,'Base de Grupos'!$A:$A,'Base de Grupos'!$D:$D)</f>
        <v>1000065763</v>
      </c>
      <c r="C916" s="5" t="str">
        <f>_xlfn.XLOOKUP($N916,'Base de Grupos'!$A:$A,'Base de Grupos'!$E:$E)</f>
        <v>CANAL VENDA INTERNA</v>
      </c>
      <c r="D916" s="5" t="str">
        <f>_xlfn.XLOOKUP($N916,'Base de Grupos'!$A:$A,'Base de Grupos'!$F:$F)</f>
        <v>1000065763</v>
      </c>
      <c r="E916" s="2" t="str">
        <f>_xlfn.XLOOKUP($N916,'Base de Grupos'!$A:$A,'Base de Grupos'!$G:$G)</f>
        <v>CANAL VENDA INTERNA</v>
      </c>
      <c r="F916" s="2" t="str">
        <f>_xlfn.XLOOKUP($N916,'Base de Grupos'!$A:$A,'Base de Grupos'!$H:$H)</f>
        <v>1000174119</v>
      </c>
      <c r="G916" s="5" t="str">
        <f>_xlfn.XLOOKUP($N916,'Base de Grupos'!$A:$A,'Base de Grupos'!$I:$I)</f>
        <v>REGIONAL VENDA INTERNA - CONVENIENCIA</v>
      </c>
      <c r="H916" s="5" t="str">
        <f>_xlfn.XLOOKUP($N916,'Base de Grupos'!$A:$A,'Base de Grupos'!$J:$J)</f>
        <v>1000174119</v>
      </c>
      <c r="I916" s="2" t="str">
        <f>_xlfn.XLOOKUP($N916,'Base de Grupos'!$A:$A,'Base de Grupos'!$K:$K)</f>
        <v>REGIONAL VENDA INTERNA - CONVENIENCIA</v>
      </c>
      <c r="J916" s="2" t="str">
        <f>_xlfn.XLOOKUP($N916,'Base de Grupos'!$A:$A,'Base de Grupos'!$L:$L)</f>
        <v>1000174119</v>
      </c>
      <c r="K916" s="5" t="str">
        <f>_xlfn.XLOOKUP($N916,'Base de Grupos'!$A:$A,'Base de Grupos'!$M:$M)</f>
        <v>REGIONAL VENDA INTERNA - CONVENIENCIA</v>
      </c>
      <c r="L916" s="5" t="str">
        <f t="shared" si="866"/>
        <v/>
      </c>
      <c r="M916" s="5" t="str">
        <f>_xlfn.XLOOKUP($N916,'Base de Grupos'!$A:$A,'Base de Grupos'!$C:$C)</f>
        <v>PA</v>
      </c>
      <c r="N916" s="3">
        <v>1515</v>
      </c>
      <c r="O916" s="4" t="s">
        <v>274</v>
      </c>
      <c r="P916" s="5" t="s">
        <v>91</v>
      </c>
      <c r="Q916" s="56">
        <v>0</v>
      </c>
      <c r="R916" s="56">
        <v>0</v>
      </c>
      <c r="S916" s="56">
        <v>0</v>
      </c>
      <c r="T916" s="56">
        <f>_xlfn.XLOOKUP($N916,'Calculo Leads Conveniencia'!$A$77:$A$104,'Calculo Leads Conveniencia'!G$77:G$104)*_xlfn.XLOOKUP($P916,'Base Grupo de Produtos'!$E$23:$E$39,'Base Grupo de Produtos'!$F$23:$F$39)</f>
        <v>0</v>
      </c>
      <c r="U916" s="56">
        <f>_xlfn.XLOOKUP($N916,'Calculo Leads Conveniencia'!$A$77:$A$104,'Calculo Leads Conveniencia'!H$77:H$104)*_xlfn.XLOOKUP($P916,'Base Grupo de Produtos'!$E$23:$E$39,'Base Grupo de Produtos'!$F$23:$F$39)</f>
        <v>0</v>
      </c>
      <c r="V916" s="56">
        <f>_xlfn.XLOOKUP($N916,'Calculo Leads Conveniencia'!$A$77:$A$104,'Calculo Leads Conveniencia'!I$77:I$104)*_xlfn.XLOOKUP($P916,'Base Grupo de Produtos'!$E$23:$E$39,'Base Grupo de Produtos'!$F$23:$F$39)</f>
        <v>0</v>
      </c>
      <c r="W916" s="56">
        <f>_xlfn.XLOOKUP($N916,'Calculo Leads Conveniencia'!$A$77:$A$104,'Calculo Leads Conveniencia'!J$77:J$104)*_xlfn.XLOOKUP($P916,'Base Grupo de Produtos'!$E$23:$E$39,'Base Grupo de Produtos'!$F$23:$F$39)</f>
        <v>0</v>
      </c>
      <c r="X916" s="56">
        <f>_xlfn.XLOOKUP($N916,'Calculo Leads Conveniencia'!$A$77:$A$104,'Calculo Leads Conveniencia'!K$77:K$104)*_xlfn.XLOOKUP($P916,'Base Grupo de Produtos'!$E$23:$E$39,'Base Grupo de Produtos'!$F$23:$F$39)</f>
        <v>0</v>
      </c>
      <c r="Y916" s="56">
        <f>_xlfn.XLOOKUP($N916,'Calculo Leads Conveniencia'!$A$77:$A$104,'Calculo Leads Conveniencia'!L$77:L$104)*_xlfn.XLOOKUP($P916,'Base Grupo de Produtos'!$E$23:$E$39,'Base Grupo de Produtos'!$F$23:$F$39)</f>
        <v>0</v>
      </c>
      <c r="Z916" s="56">
        <f>_xlfn.XLOOKUP($N916,'Calculo Leads Conveniencia'!$A$77:$A$104,'Calculo Leads Conveniencia'!M$77:M$104)*_xlfn.XLOOKUP($P916,'Base Grupo de Produtos'!$E$23:$E$39,'Base Grupo de Produtos'!$F$23:$F$39)</f>
        <v>0</v>
      </c>
      <c r="AA916" s="56">
        <f>_xlfn.XLOOKUP($N916,'Calculo Leads Conveniencia'!$A$77:$A$104,'Calculo Leads Conveniencia'!N$77:N$104)*_xlfn.XLOOKUP($P916,'Base Grupo de Produtos'!$E$23:$E$39,'Base Grupo de Produtos'!$F$23:$F$39)</f>
        <v>0</v>
      </c>
      <c r="AB916" s="56">
        <f>_xlfn.XLOOKUP($N916,'Calculo Leads Conveniencia'!$A$77:$A$104,'Calculo Leads Conveniencia'!O$77:O$104)*_xlfn.XLOOKUP($P916,'Base Grupo de Produtos'!$E$23:$E$39,'Base Grupo de Produtos'!$F$23:$F$39)</f>
        <v>0</v>
      </c>
      <c r="AC916" s="61">
        <f t="shared" si="893"/>
        <v>0</v>
      </c>
      <c r="AD916" s="28"/>
      <c r="AE916" s="12"/>
      <c r="AF916" s="29"/>
      <c r="AG916" s="9"/>
      <c r="AH916" s="10"/>
      <c r="AI916" s="9"/>
      <c r="AJ916" s="11"/>
      <c r="AK916" s="9"/>
      <c r="AL916" s="13"/>
      <c r="AM916" s="9"/>
    </row>
    <row r="917" spans="1:39" x14ac:dyDescent="0.3">
      <c r="A917" s="2" t="str">
        <f t="shared" si="865"/>
        <v>NÃO</v>
      </c>
      <c r="B917" s="2" t="str">
        <f>_xlfn.XLOOKUP($N917,'Base de Grupos'!$A:$A,'Base de Grupos'!$D:$D)</f>
        <v>1000065763</v>
      </c>
      <c r="C917" s="5" t="str">
        <f>_xlfn.XLOOKUP($N917,'Base de Grupos'!$A:$A,'Base de Grupos'!$E:$E)</f>
        <v>CANAL VENDA INTERNA</v>
      </c>
      <c r="D917" s="5" t="str">
        <f>_xlfn.XLOOKUP($N917,'Base de Grupos'!$A:$A,'Base de Grupos'!$F:$F)</f>
        <v>1000065763</v>
      </c>
      <c r="E917" s="2" t="str">
        <f>_xlfn.XLOOKUP($N917,'Base de Grupos'!$A:$A,'Base de Grupos'!$G:$G)</f>
        <v>CANAL VENDA INTERNA</v>
      </c>
      <c r="F917" s="2" t="str">
        <f>_xlfn.XLOOKUP($N917,'Base de Grupos'!$A:$A,'Base de Grupos'!$H:$H)</f>
        <v>1000174119</v>
      </c>
      <c r="G917" s="5" t="str">
        <f>_xlfn.XLOOKUP($N917,'Base de Grupos'!$A:$A,'Base de Grupos'!$I:$I)</f>
        <v>REGIONAL VENDA INTERNA - CONVENIENCIA</v>
      </c>
      <c r="H917" s="5" t="str">
        <f>_xlfn.XLOOKUP($N917,'Base de Grupos'!$A:$A,'Base de Grupos'!$J:$J)</f>
        <v>1000174119</v>
      </c>
      <c r="I917" s="2" t="str">
        <f>_xlfn.XLOOKUP($N917,'Base de Grupos'!$A:$A,'Base de Grupos'!$K:$K)</f>
        <v>REGIONAL VENDA INTERNA - CONVENIENCIA</v>
      </c>
      <c r="J917" s="2" t="str">
        <f>_xlfn.XLOOKUP($N917,'Base de Grupos'!$A:$A,'Base de Grupos'!$L:$L)</f>
        <v>1000174119</v>
      </c>
      <c r="K917" s="5" t="str">
        <f>_xlfn.XLOOKUP($N917,'Base de Grupos'!$A:$A,'Base de Grupos'!$M:$M)</f>
        <v>REGIONAL VENDA INTERNA - CONVENIENCIA</v>
      </c>
      <c r="L917" s="5" t="str">
        <f t="shared" si="866"/>
        <v/>
      </c>
      <c r="M917" s="5" t="str">
        <f>_xlfn.XLOOKUP($N917,'Base de Grupos'!$A:$A,'Base de Grupos'!$C:$C)</f>
        <v>PA</v>
      </c>
      <c r="N917" s="3">
        <v>1515</v>
      </c>
      <c r="O917" s="4" t="s">
        <v>274</v>
      </c>
      <c r="P917" s="5" t="s">
        <v>96</v>
      </c>
      <c r="Q917" s="56">
        <v>0</v>
      </c>
      <c r="R917" s="56">
        <v>0</v>
      </c>
      <c r="S917" s="56">
        <v>0</v>
      </c>
      <c r="T917" s="56">
        <f>_xlfn.XLOOKUP($N917,'Calculo Leads Conveniencia'!$A$77:$A$104,'Calculo Leads Conveniencia'!G$77:G$104)*_xlfn.XLOOKUP($P917,'Base Grupo de Produtos'!$E$23:$E$39,'Base Grupo de Produtos'!$F$23:$F$39)</f>
        <v>0</v>
      </c>
      <c r="U917" s="56">
        <f>_xlfn.XLOOKUP($N917,'Calculo Leads Conveniencia'!$A$77:$A$104,'Calculo Leads Conveniencia'!H$77:H$104)*_xlfn.XLOOKUP($P917,'Base Grupo de Produtos'!$E$23:$E$39,'Base Grupo de Produtos'!$F$23:$F$39)</f>
        <v>0</v>
      </c>
      <c r="V917" s="56">
        <f>_xlfn.XLOOKUP($N917,'Calculo Leads Conveniencia'!$A$77:$A$104,'Calculo Leads Conveniencia'!I$77:I$104)*_xlfn.XLOOKUP($P917,'Base Grupo de Produtos'!$E$23:$E$39,'Base Grupo de Produtos'!$F$23:$F$39)</f>
        <v>0</v>
      </c>
      <c r="W917" s="56">
        <f>_xlfn.XLOOKUP($N917,'Calculo Leads Conveniencia'!$A$77:$A$104,'Calculo Leads Conveniencia'!J$77:J$104)*_xlfn.XLOOKUP($P917,'Base Grupo de Produtos'!$E$23:$E$39,'Base Grupo de Produtos'!$F$23:$F$39)</f>
        <v>0</v>
      </c>
      <c r="X917" s="56">
        <f>_xlfn.XLOOKUP($N917,'Calculo Leads Conveniencia'!$A$77:$A$104,'Calculo Leads Conveniencia'!K$77:K$104)*_xlfn.XLOOKUP($P917,'Base Grupo de Produtos'!$E$23:$E$39,'Base Grupo de Produtos'!$F$23:$F$39)</f>
        <v>0</v>
      </c>
      <c r="Y917" s="56">
        <f>_xlfn.XLOOKUP($N917,'Calculo Leads Conveniencia'!$A$77:$A$104,'Calculo Leads Conveniencia'!L$77:L$104)*_xlfn.XLOOKUP($P917,'Base Grupo de Produtos'!$E$23:$E$39,'Base Grupo de Produtos'!$F$23:$F$39)</f>
        <v>0</v>
      </c>
      <c r="Z917" s="56">
        <f>_xlfn.XLOOKUP($N917,'Calculo Leads Conveniencia'!$A$77:$A$104,'Calculo Leads Conveniencia'!M$77:M$104)*_xlfn.XLOOKUP($P917,'Base Grupo de Produtos'!$E$23:$E$39,'Base Grupo de Produtos'!$F$23:$F$39)</f>
        <v>0</v>
      </c>
      <c r="AA917" s="56">
        <f>_xlfn.XLOOKUP($N917,'Calculo Leads Conveniencia'!$A$77:$A$104,'Calculo Leads Conveniencia'!N$77:N$104)*_xlfn.XLOOKUP($P917,'Base Grupo de Produtos'!$E$23:$E$39,'Base Grupo de Produtos'!$F$23:$F$39)</f>
        <v>0</v>
      </c>
      <c r="AB917" s="56">
        <f>_xlfn.XLOOKUP($N917,'Calculo Leads Conveniencia'!$A$77:$A$104,'Calculo Leads Conveniencia'!O$77:O$104)*_xlfn.XLOOKUP($P917,'Base Grupo de Produtos'!$E$23:$E$39,'Base Grupo de Produtos'!$F$23:$F$39)</f>
        <v>0</v>
      </c>
      <c r="AC917" s="61">
        <f t="shared" si="893"/>
        <v>0</v>
      </c>
      <c r="AD917" s="28"/>
      <c r="AE917" s="12"/>
      <c r="AF917" s="29"/>
      <c r="AG917" s="9"/>
      <c r="AH917" s="10"/>
      <c r="AI917" s="9"/>
      <c r="AJ917" s="11"/>
      <c r="AK917" s="9"/>
      <c r="AL917" s="13"/>
      <c r="AM917" s="9"/>
    </row>
    <row r="918" spans="1:39" x14ac:dyDescent="0.3">
      <c r="A918" s="2" t="str">
        <f t="shared" si="865"/>
        <v>NÃO</v>
      </c>
      <c r="B918" s="2" t="str">
        <f>_xlfn.XLOOKUP($N918,'Base de Grupos'!$A:$A,'Base de Grupos'!$D:$D)</f>
        <v>1000065763</v>
      </c>
      <c r="C918" s="5" t="str">
        <f>_xlfn.XLOOKUP($N918,'Base de Grupos'!$A:$A,'Base de Grupos'!$E:$E)</f>
        <v>CANAL VENDA INTERNA</v>
      </c>
      <c r="D918" s="5" t="str">
        <f>_xlfn.XLOOKUP($N918,'Base de Grupos'!$A:$A,'Base de Grupos'!$F:$F)</f>
        <v>1000065763</v>
      </c>
      <c r="E918" s="2" t="str">
        <f>_xlfn.XLOOKUP($N918,'Base de Grupos'!$A:$A,'Base de Grupos'!$G:$G)</f>
        <v>CANAL VENDA INTERNA</v>
      </c>
      <c r="F918" s="2" t="str">
        <f>_xlfn.XLOOKUP($N918,'Base de Grupos'!$A:$A,'Base de Grupos'!$H:$H)</f>
        <v>1000174119</v>
      </c>
      <c r="G918" s="5" t="str">
        <f>_xlfn.XLOOKUP($N918,'Base de Grupos'!$A:$A,'Base de Grupos'!$I:$I)</f>
        <v>REGIONAL VENDA INTERNA - CONVENIENCIA</v>
      </c>
      <c r="H918" s="5" t="str">
        <f>_xlfn.XLOOKUP($N918,'Base de Grupos'!$A:$A,'Base de Grupos'!$J:$J)</f>
        <v>1000174119</v>
      </c>
      <c r="I918" s="2" t="str">
        <f>_xlfn.XLOOKUP($N918,'Base de Grupos'!$A:$A,'Base de Grupos'!$K:$K)</f>
        <v>REGIONAL VENDA INTERNA - CONVENIENCIA</v>
      </c>
      <c r="J918" s="2" t="str">
        <f>_xlfn.XLOOKUP($N918,'Base de Grupos'!$A:$A,'Base de Grupos'!$L:$L)</f>
        <v>1000174119</v>
      </c>
      <c r="K918" s="5" t="str">
        <f>_xlfn.XLOOKUP($N918,'Base de Grupos'!$A:$A,'Base de Grupos'!$M:$M)</f>
        <v>REGIONAL VENDA INTERNA - CONVENIENCIA</v>
      </c>
      <c r="L918" s="5" t="str">
        <f t="shared" si="866"/>
        <v/>
      </c>
      <c r="M918" s="5" t="str">
        <f>_xlfn.XLOOKUP($N918,'Base de Grupos'!$A:$A,'Base de Grupos'!$C:$C)</f>
        <v>PA</v>
      </c>
      <c r="N918" s="3">
        <v>1515</v>
      </c>
      <c r="O918" s="4" t="s">
        <v>274</v>
      </c>
      <c r="P918" s="5" t="s">
        <v>94</v>
      </c>
      <c r="Q918" s="56">
        <v>0</v>
      </c>
      <c r="R918" s="56">
        <v>0</v>
      </c>
      <c r="S918" s="56">
        <v>0</v>
      </c>
      <c r="T918" s="56">
        <f>_xlfn.XLOOKUP($N918,'Calculo Leads Conveniencia'!$A$77:$A$104,'Calculo Leads Conveniencia'!G$77:G$104)*_xlfn.XLOOKUP($P918,'Base Grupo de Produtos'!$E$23:$E$39,'Base Grupo de Produtos'!$F$23:$F$39)</f>
        <v>0</v>
      </c>
      <c r="U918" s="56">
        <f>_xlfn.XLOOKUP($N918,'Calculo Leads Conveniencia'!$A$77:$A$104,'Calculo Leads Conveniencia'!H$77:H$104)*_xlfn.XLOOKUP($P918,'Base Grupo de Produtos'!$E$23:$E$39,'Base Grupo de Produtos'!$F$23:$F$39)</f>
        <v>0</v>
      </c>
      <c r="V918" s="56">
        <f>_xlfn.XLOOKUP($N918,'Calculo Leads Conveniencia'!$A$77:$A$104,'Calculo Leads Conveniencia'!I$77:I$104)*_xlfn.XLOOKUP($P918,'Base Grupo de Produtos'!$E$23:$E$39,'Base Grupo de Produtos'!$F$23:$F$39)</f>
        <v>0</v>
      </c>
      <c r="W918" s="56">
        <f>_xlfn.XLOOKUP($N918,'Calculo Leads Conveniencia'!$A$77:$A$104,'Calculo Leads Conveniencia'!J$77:J$104)*_xlfn.XLOOKUP($P918,'Base Grupo de Produtos'!$E$23:$E$39,'Base Grupo de Produtos'!$F$23:$F$39)</f>
        <v>0</v>
      </c>
      <c r="X918" s="56">
        <f>_xlfn.XLOOKUP($N918,'Calculo Leads Conveniencia'!$A$77:$A$104,'Calculo Leads Conveniencia'!K$77:K$104)*_xlfn.XLOOKUP($P918,'Base Grupo de Produtos'!$E$23:$E$39,'Base Grupo de Produtos'!$F$23:$F$39)</f>
        <v>0</v>
      </c>
      <c r="Y918" s="56">
        <f>_xlfn.XLOOKUP($N918,'Calculo Leads Conveniencia'!$A$77:$A$104,'Calculo Leads Conveniencia'!L$77:L$104)*_xlfn.XLOOKUP($P918,'Base Grupo de Produtos'!$E$23:$E$39,'Base Grupo de Produtos'!$F$23:$F$39)</f>
        <v>0</v>
      </c>
      <c r="Z918" s="56">
        <f>_xlfn.XLOOKUP($N918,'Calculo Leads Conveniencia'!$A$77:$A$104,'Calculo Leads Conveniencia'!M$77:M$104)*_xlfn.XLOOKUP($P918,'Base Grupo de Produtos'!$E$23:$E$39,'Base Grupo de Produtos'!$F$23:$F$39)</f>
        <v>0</v>
      </c>
      <c r="AA918" s="56">
        <f>_xlfn.XLOOKUP($N918,'Calculo Leads Conveniencia'!$A$77:$A$104,'Calculo Leads Conveniencia'!N$77:N$104)*_xlfn.XLOOKUP($P918,'Base Grupo de Produtos'!$E$23:$E$39,'Base Grupo de Produtos'!$F$23:$F$39)</f>
        <v>0</v>
      </c>
      <c r="AB918" s="56">
        <f>_xlfn.XLOOKUP($N918,'Calculo Leads Conveniencia'!$A$77:$A$104,'Calculo Leads Conveniencia'!O$77:O$104)*_xlfn.XLOOKUP($P918,'Base Grupo de Produtos'!$E$23:$E$39,'Base Grupo de Produtos'!$F$23:$F$39)</f>
        <v>0</v>
      </c>
      <c r="AC918" s="61">
        <f t="shared" si="893"/>
        <v>0</v>
      </c>
      <c r="AD918" s="28"/>
      <c r="AE918" s="12"/>
      <c r="AF918" s="29"/>
      <c r="AG918" s="9"/>
      <c r="AH918" s="10"/>
      <c r="AI918" s="9"/>
      <c r="AJ918" s="11"/>
      <c r="AK918" s="9"/>
      <c r="AL918" s="13"/>
      <c r="AM918" s="9"/>
    </row>
    <row r="919" spans="1:39" x14ac:dyDescent="0.3">
      <c r="A919" s="2" t="str">
        <f t="shared" si="865"/>
        <v>NÃO</v>
      </c>
      <c r="B919" s="2" t="str">
        <f>_xlfn.XLOOKUP($N919,'Base de Grupos'!$A:$A,'Base de Grupos'!$D:$D)</f>
        <v>1000065763</v>
      </c>
      <c r="C919" s="5" t="str">
        <f>_xlfn.XLOOKUP($N919,'Base de Grupos'!$A:$A,'Base de Grupos'!$E:$E)</f>
        <v>CANAL VENDA INTERNA</v>
      </c>
      <c r="D919" s="5" t="str">
        <f>_xlfn.XLOOKUP($N919,'Base de Grupos'!$A:$A,'Base de Grupos'!$F:$F)</f>
        <v>1000065763</v>
      </c>
      <c r="E919" s="2" t="str">
        <f>_xlfn.XLOOKUP($N919,'Base de Grupos'!$A:$A,'Base de Grupos'!$G:$G)</f>
        <v>CANAL VENDA INTERNA</v>
      </c>
      <c r="F919" s="2" t="str">
        <f>_xlfn.XLOOKUP($N919,'Base de Grupos'!$A:$A,'Base de Grupos'!$H:$H)</f>
        <v>1000174119</v>
      </c>
      <c r="G919" s="5" t="str">
        <f>_xlfn.XLOOKUP($N919,'Base de Grupos'!$A:$A,'Base de Grupos'!$I:$I)</f>
        <v>REGIONAL VENDA INTERNA - CONVENIENCIA</v>
      </c>
      <c r="H919" s="5" t="str">
        <f>_xlfn.XLOOKUP($N919,'Base de Grupos'!$A:$A,'Base de Grupos'!$J:$J)</f>
        <v>1000174119</v>
      </c>
      <c r="I919" s="2" t="str">
        <f>_xlfn.XLOOKUP($N919,'Base de Grupos'!$A:$A,'Base de Grupos'!$K:$K)</f>
        <v>REGIONAL VENDA INTERNA - CONVENIENCIA</v>
      </c>
      <c r="J919" s="2" t="str">
        <f>_xlfn.XLOOKUP($N919,'Base de Grupos'!$A:$A,'Base de Grupos'!$L:$L)</f>
        <v>1000174119</v>
      </c>
      <c r="K919" s="5" t="str">
        <f>_xlfn.XLOOKUP($N919,'Base de Grupos'!$A:$A,'Base de Grupos'!$M:$M)</f>
        <v>REGIONAL VENDA INTERNA - CONVENIENCIA</v>
      </c>
      <c r="L919" s="5" t="str">
        <f t="shared" si="866"/>
        <v/>
      </c>
      <c r="M919" s="5" t="str">
        <f>_xlfn.XLOOKUP($N919,'Base de Grupos'!$A:$A,'Base de Grupos'!$C:$C)</f>
        <v>PA</v>
      </c>
      <c r="N919" s="3">
        <v>1515</v>
      </c>
      <c r="O919" s="4" t="s">
        <v>274</v>
      </c>
      <c r="P919" s="5" t="s">
        <v>95</v>
      </c>
      <c r="Q919" s="56">
        <v>0</v>
      </c>
      <c r="R919" s="56">
        <v>0</v>
      </c>
      <c r="S919" s="56">
        <v>0</v>
      </c>
      <c r="T919" s="56">
        <f>_xlfn.XLOOKUP($N919,'Calculo Leads Conveniencia'!$A$77:$A$104,'Calculo Leads Conveniencia'!G$77:G$104)*_xlfn.XLOOKUP($P919,'Base Grupo de Produtos'!$E$23:$E$39,'Base Grupo de Produtos'!$F$23:$F$39)</f>
        <v>0</v>
      </c>
      <c r="U919" s="56">
        <f>_xlfn.XLOOKUP($N919,'Calculo Leads Conveniencia'!$A$77:$A$104,'Calculo Leads Conveniencia'!H$77:H$104)*_xlfn.XLOOKUP($P919,'Base Grupo de Produtos'!$E$23:$E$39,'Base Grupo de Produtos'!$F$23:$F$39)</f>
        <v>0</v>
      </c>
      <c r="V919" s="56">
        <f>_xlfn.XLOOKUP($N919,'Calculo Leads Conveniencia'!$A$77:$A$104,'Calculo Leads Conveniencia'!I$77:I$104)*_xlfn.XLOOKUP($P919,'Base Grupo de Produtos'!$E$23:$E$39,'Base Grupo de Produtos'!$F$23:$F$39)</f>
        <v>0</v>
      </c>
      <c r="W919" s="56">
        <f>_xlfn.XLOOKUP($N919,'Calculo Leads Conveniencia'!$A$77:$A$104,'Calculo Leads Conveniencia'!J$77:J$104)*_xlfn.XLOOKUP($P919,'Base Grupo de Produtos'!$E$23:$E$39,'Base Grupo de Produtos'!$F$23:$F$39)</f>
        <v>0</v>
      </c>
      <c r="X919" s="56">
        <f>_xlfn.XLOOKUP($N919,'Calculo Leads Conveniencia'!$A$77:$A$104,'Calculo Leads Conveniencia'!K$77:K$104)*_xlfn.XLOOKUP($P919,'Base Grupo de Produtos'!$E$23:$E$39,'Base Grupo de Produtos'!$F$23:$F$39)</f>
        <v>0</v>
      </c>
      <c r="Y919" s="56">
        <f>_xlfn.XLOOKUP($N919,'Calculo Leads Conveniencia'!$A$77:$A$104,'Calculo Leads Conveniencia'!L$77:L$104)*_xlfn.XLOOKUP($P919,'Base Grupo de Produtos'!$E$23:$E$39,'Base Grupo de Produtos'!$F$23:$F$39)</f>
        <v>0</v>
      </c>
      <c r="Z919" s="56">
        <f>_xlfn.XLOOKUP($N919,'Calculo Leads Conveniencia'!$A$77:$A$104,'Calculo Leads Conveniencia'!M$77:M$104)*_xlfn.XLOOKUP($P919,'Base Grupo de Produtos'!$E$23:$E$39,'Base Grupo de Produtos'!$F$23:$F$39)</f>
        <v>0</v>
      </c>
      <c r="AA919" s="56">
        <f>_xlfn.XLOOKUP($N919,'Calculo Leads Conveniencia'!$A$77:$A$104,'Calculo Leads Conveniencia'!N$77:N$104)*_xlfn.XLOOKUP($P919,'Base Grupo de Produtos'!$E$23:$E$39,'Base Grupo de Produtos'!$F$23:$F$39)</f>
        <v>0</v>
      </c>
      <c r="AB919" s="56">
        <f>_xlfn.XLOOKUP($N919,'Calculo Leads Conveniencia'!$A$77:$A$104,'Calculo Leads Conveniencia'!O$77:O$104)*_xlfn.XLOOKUP($P919,'Base Grupo de Produtos'!$E$23:$E$39,'Base Grupo de Produtos'!$F$23:$F$39)</f>
        <v>0</v>
      </c>
      <c r="AC919" s="61">
        <f t="shared" si="893"/>
        <v>0</v>
      </c>
      <c r="AD919" s="28"/>
      <c r="AE919" s="12"/>
      <c r="AF919" s="29"/>
      <c r="AG919" s="9"/>
      <c r="AH919" s="10"/>
      <c r="AI919" s="9"/>
      <c r="AJ919" s="11"/>
      <c r="AK919" s="9"/>
      <c r="AL919" s="13"/>
      <c r="AM919" s="9"/>
    </row>
    <row r="920" spans="1:39" x14ac:dyDescent="0.3">
      <c r="A920" s="2" t="str">
        <f t="shared" si="865"/>
        <v>NÃO</v>
      </c>
      <c r="B920" s="2" t="str">
        <f>_xlfn.XLOOKUP($N920,'Base de Grupos'!$A:$A,'Base de Grupos'!$D:$D)</f>
        <v>1000065763</v>
      </c>
      <c r="C920" s="5" t="str">
        <f>_xlfn.XLOOKUP($N920,'Base de Grupos'!$A:$A,'Base de Grupos'!$E:$E)</f>
        <v>CANAL VENDA INTERNA</v>
      </c>
      <c r="D920" s="5" t="str">
        <f>_xlfn.XLOOKUP($N920,'Base de Grupos'!$A:$A,'Base de Grupos'!$F:$F)</f>
        <v>1000065763</v>
      </c>
      <c r="E920" s="2" t="str">
        <f>_xlfn.XLOOKUP($N920,'Base de Grupos'!$A:$A,'Base de Grupos'!$G:$G)</f>
        <v>CANAL VENDA INTERNA</v>
      </c>
      <c r="F920" s="2" t="str">
        <f>_xlfn.XLOOKUP($N920,'Base de Grupos'!$A:$A,'Base de Grupos'!$H:$H)</f>
        <v>1000174119</v>
      </c>
      <c r="G920" s="5" t="str">
        <f>_xlfn.XLOOKUP($N920,'Base de Grupos'!$A:$A,'Base de Grupos'!$I:$I)</f>
        <v>REGIONAL VENDA INTERNA - CONVENIENCIA</v>
      </c>
      <c r="H920" s="5" t="str">
        <f>_xlfn.XLOOKUP($N920,'Base de Grupos'!$A:$A,'Base de Grupos'!$J:$J)</f>
        <v>1000174119</v>
      </c>
      <c r="I920" s="2" t="str">
        <f>_xlfn.XLOOKUP($N920,'Base de Grupos'!$A:$A,'Base de Grupos'!$K:$K)</f>
        <v>REGIONAL VENDA INTERNA - CONVENIENCIA</v>
      </c>
      <c r="J920" s="2" t="str">
        <f>_xlfn.XLOOKUP($N920,'Base de Grupos'!$A:$A,'Base de Grupos'!$L:$L)</f>
        <v>1000174119</v>
      </c>
      <c r="K920" s="5" t="str">
        <f>_xlfn.XLOOKUP($N920,'Base de Grupos'!$A:$A,'Base de Grupos'!$M:$M)</f>
        <v>REGIONAL VENDA INTERNA - CONVENIENCIA</v>
      </c>
      <c r="L920" s="5" t="str">
        <f t="shared" si="866"/>
        <v/>
      </c>
      <c r="M920" s="5" t="str">
        <f>_xlfn.XLOOKUP($N920,'Base de Grupos'!$A:$A,'Base de Grupos'!$C:$C)</f>
        <v>PA</v>
      </c>
      <c r="N920" s="3">
        <v>1515</v>
      </c>
      <c r="O920" s="4" t="s">
        <v>274</v>
      </c>
      <c r="P920" s="5" t="s">
        <v>93</v>
      </c>
      <c r="Q920" s="56">
        <v>0</v>
      </c>
      <c r="R920" s="56">
        <v>0</v>
      </c>
      <c r="S920" s="56">
        <v>0</v>
      </c>
      <c r="T920" s="56">
        <f>_xlfn.XLOOKUP($N920,'Calculo Leads Conveniencia'!$A$77:$A$104,'Calculo Leads Conveniencia'!G$77:G$104)*_xlfn.XLOOKUP($P920,'Base Grupo de Produtos'!$E$23:$E$39,'Base Grupo de Produtos'!$F$23:$F$39)</f>
        <v>0</v>
      </c>
      <c r="U920" s="56">
        <f>_xlfn.XLOOKUP($N920,'Calculo Leads Conveniencia'!$A$77:$A$104,'Calculo Leads Conveniencia'!H$77:H$104)*_xlfn.XLOOKUP($P920,'Base Grupo de Produtos'!$E$23:$E$39,'Base Grupo de Produtos'!$F$23:$F$39)</f>
        <v>0</v>
      </c>
      <c r="V920" s="56">
        <f>_xlfn.XLOOKUP($N920,'Calculo Leads Conveniencia'!$A$77:$A$104,'Calculo Leads Conveniencia'!I$77:I$104)*_xlfn.XLOOKUP($P920,'Base Grupo de Produtos'!$E$23:$E$39,'Base Grupo de Produtos'!$F$23:$F$39)</f>
        <v>0</v>
      </c>
      <c r="W920" s="56">
        <f>_xlfn.XLOOKUP($N920,'Calculo Leads Conveniencia'!$A$77:$A$104,'Calculo Leads Conveniencia'!J$77:J$104)*_xlfn.XLOOKUP($P920,'Base Grupo de Produtos'!$E$23:$E$39,'Base Grupo de Produtos'!$F$23:$F$39)</f>
        <v>0</v>
      </c>
      <c r="X920" s="56">
        <f>_xlfn.XLOOKUP($N920,'Calculo Leads Conveniencia'!$A$77:$A$104,'Calculo Leads Conveniencia'!K$77:K$104)*_xlfn.XLOOKUP($P920,'Base Grupo de Produtos'!$E$23:$E$39,'Base Grupo de Produtos'!$F$23:$F$39)</f>
        <v>0</v>
      </c>
      <c r="Y920" s="56">
        <f>_xlfn.XLOOKUP($N920,'Calculo Leads Conveniencia'!$A$77:$A$104,'Calculo Leads Conveniencia'!L$77:L$104)*_xlfn.XLOOKUP($P920,'Base Grupo de Produtos'!$E$23:$E$39,'Base Grupo de Produtos'!$F$23:$F$39)</f>
        <v>0</v>
      </c>
      <c r="Z920" s="56">
        <f>_xlfn.XLOOKUP($N920,'Calculo Leads Conveniencia'!$A$77:$A$104,'Calculo Leads Conveniencia'!M$77:M$104)*_xlfn.XLOOKUP($P920,'Base Grupo de Produtos'!$E$23:$E$39,'Base Grupo de Produtos'!$F$23:$F$39)</f>
        <v>0</v>
      </c>
      <c r="AA920" s="56">
        <f>_xlfn.XLOOKUP($N920,'Calculo Leads Conveniencia'!$A$77:$A$104,'Calculo Leads Conveniencia'!N$77:N$104)*_xlfn.XLOOKUP($P920,'Base Grupo de Produtos'!$E$23:$E$39,'Base Grupo de Produtos'!$F$23:$F$39)</f>
        <v>0</v>
      </c>
      <c r="AB920" s="56">
        <f>_xlfn.XLOOKUP($N920,'Calculo Leads Conveniencia'!$A$77:$A$104,'Calculo Leads Conveniencia'!O$77:O$104)*_xlfn.XLOOKUP($P920,'Base Grupo de Produtos'!$E$23:$E$39,'Base Grupo de Produtos'!$F$23:$F$39)</f>
        <v>0</v>
      </c>
      <c r="AC920" s="61">
        <f t="shared" si="893"/>
        <v>0</v>
      </c>
      <c r="AD920" s="28"/>
      <c r="AE920" s="12"/>
      <c r="AF920" s="29"/>
      <c r="AG920" s="9"/>
      <c r="AH920" s="10"/>
      <c r="AI920" s="9"/>
      <c r="AJ920" s="11"/>
      <c r="AK920" s="9"/>
      <c r="AL920" s="13"/>
      <c r="AM920" s="9"/>
    </row>
    <row r="921" spans="1:39" x14ac:dyDescent="0.3">
      <c r="A921" s="2" t="str">
        <f t="shared" si="865"/>
        <v>SIM</v>
      </c>
      <c r="B921" s="2" t="str">
        <f>_xlfn.XLOOKUP($N921,'Base de Grupos'!$A:$A,'Base de Grupos'!$D:$D)</f>
        <v>1000065763</v>
      </c>
      <c r="C921" s="5" t="str">
        <f>_xlfn.XLOOKUP($N921,'Base de Grupos'!$A:$A,'Base de Grupos'!$E:$E)</f>
        <v>CANAL VENDA INTERNA</v>
      </c>
      <c r="D921" s="5" t="str">
        <f>_xlfn.XLOOKUP($N921,'Base de Grupos'!$A:$A,'Base de Grupos'!$F:$F)</f>
        <v>1000065763</v>
      </c>
      <c r="E921" s="2" t="str">
        <f>_xlfn.XLOOKUP($N921,'Base de Grupos'!$A:$A,'Base de Grupos'!$G:$G)</f>
        <v>CANAL VENDA INTERNA</v>
      </c>
      <c r="F921" s="2" t="str">
        <f>_xlfn.XLOOKUP($N921,'Base de Grupos'!$A:$A,'Base de Grupos'!$H:$H)</f>
        <v>1000174119</v>
      </c>
      <c r="G921" s="5" t="str">
        <f>_xlfn.XLOOKUP($N921,'Base de Grupos'!$A:$A,'Base de Grupos'!$I:$I)</f>
        <v>REGIONAL VENDA INTERNA - CONVENIENCIA</v>
      </c>
      <c r="H921" s="5" t="str">
        <f>_xlfn.XLOOKUP($N921,'Base de Grupos'!$A:$A,'Base de Grupos'!$J:$J)</f>
        <v>1000174119</v>
      </c>
      <c r="I921" s="2" t="str">
        <f>_xlfn.XLOOKUP($N921,'Base de Grupos'!$A:$A,'Base de Grupos'!$K:$K)</f>
        <v>REGIONAL VENDA INTERNA - CONVENIENCIA</v>
      </c>
      <c r="J921" s="2" t="str">
        <f>_xlfn.XLOOKUP($N921,'Base de Grupos'!$A:$A,'Base de Grupos'!$L:$L)</f>
        <v>1000174119</v>
      </c>
      <c r="K921" s="5" t="str">
        <f>_xlfn.XLOOKUP($N921,'Base de Grupos'!$A:$A,'Base de Grupos'!$M:$M)</f>
        <v>REGIONAL VENDA INTERNA - CONVENIENCIA</v>
      </c>
      <c r="L921" s="5">
        <f t="shared" si="866"/>
        <v>1</v>
      </c>
      <c r="M921" s="5" t="str">
        <f>_xlfn.XLOOKUP($N921,'Base de Grupos'!$A:$A,'Base de Grupos'!$C:$C)</f>
        <v>AL</v>
      </c>
      <c r="N921" s="3">
        <v>1516</v>
      </c>
      <c r="O921" s="4" t="s">
        <v>275</v>
      </c>
      <c r="P921" s="5" t="s">
        <v>345</v>
      </c>
      <c r="Q921" s="56">
        <f t="shared" ref="Q921" si="907">SUM(Q922:Q938)</f>
        <v>0</v>
      </c>
      <c r="R921" s="56">
        <f t="shared" ref="R921" si="908">SUM(R922:R938)</f>
        <v>0</v>
      </c>
      <c r="S921" s="56">
        <f t="shared" ref="S921" si="909">SUM(S922:S938)</f>
        <v>0</v>
      </c>
      <c r="T921" s="56">
        <f t="shared" ref="T921" si="910">SUM(T922:T938)</f>
        <v>0</v>
      </c>
      <c r="U921" s="56">
        <f t="shared" ref="U921" si="911">SUM(U922:U938)</f>
        <v>0</v>
      </c>
      <c r="V921" s="56">
        <f t="shared" ref="V921" si="912">SUM(V922:V938)</f>
        <v>0</v>
      </c>
      <c r="W921" s="56">
        <f t="shared" ref="W921" si="913">SUM(W922:W938)</f>
        <v>0</v>
      </c>
      <c r="X921" s="56">
        <f t="shared" ref="X921" si="914">SUM(X922:X938)</f>
        <v>0</v>
      </c>
      <c r="Y921" s="56">
        <f t="shared" ref="Y921" si="915">SUM(Y922:Y938)</f>
        <v>0</v>
      </c>
      <c r="Z921" s="56">
        <f t="shared" ref="Z921" si="916">SUM(Z922:Z938)</f>
        <v>0</v>
      </c>
      <c r="AA921" s="56">
        <f t="shared" ref="AA921" si="917">SUM(AA922:AA938)</f>
        <v>0</v>
      </c>
      <c r="AB921" s="56">
        <f t="shared" ref="AB921" si="918">SUM(AB922:AB938)</f>
        <v>0</v>
      </c>
      <c r="AC921" s="56">
        <f t="shared" ref="AC921" si="919">SUM(AC922:AC938)</f>
        <v>0</v>
      </c>
      <c r="AD921" s="28"/>
      <c r="AE921" s="12"/>
      <c r="AF921" s="29"/>
      <c r="AG921" s="9"/>
      <c r="AH921" s="10"/>
      <c r="AI921" s="9"/>
      <c r="AJ921" s="11"/>
      <c r="AK921" s="9"/>
      <c r="AL921" s="13"/>
      <c r="AM921" s="9"/>
    </row>
    <row r="922" spans="1:39" x14ac:dyDescent="0.3">
      <c r="A922" s="2" t="str">
        <f t="shared" si="865"/>
        <v>NÃO</v>
      </c>
      <c r="B922" s="2" t="str">
        <f>_xlfn.XLOOKUP($N922,'Base de Grupos'!$A:$A,'Base de Grupos'!$D:$D)</f>
        <v>1000065763</v>
      </c>
      <c r="C922" s="5" t="str">
        <f>_xlfn.XLOOKUP($N922,'Base de Grupos'!$A:$A,'Base de Grupos'!$E:$E)</f>
        <v>CANAL VENDA INTERNA</v>
      </c>
      <c r="D922" s="5" t="str">
        <f>_xlfn.XLOOKUP($N922,'Base de Grupos'!$A:$A,'Base de Grupos'!$F:$F)</f>
        <v>1000065763</v>
      </c>
      <c r="E922" s="2" t="str">
        <f>_xlfn.XLOOKUP($N922,'Base de Grupos'!$A:$A,'Base de Grupos'!$G:$G)</f>
        <v>CANAL VENDA INTERNA</v>
      </c>
      <c r="F922" s="2" t="str">
        <f>_xlfn.XLOOKUP($N922,'Base de Grupos'!$A:$A,'Base de Grupos'!$H:$H)</f>
        <v>1000174119</v>
      </c>
      <c r="G922" s="5" t="str">
        <f>_xlfn.XLOOKUP($N922,'Base de Grupos'!$A:$A,'Base de Grupos'!$I:$I)</f>
        <v>REGIONAL VENDA INTERNA - CONVENIENCIA</v>
      </c>
      <c r="H922" s="5" t="str">
        <f>_xlfn.XLOOKUP($N922,'Base de Grupos'!$A:$A,'Base de Grupos'!$J:$J)</f>
        <v>1000174119</v>
      </c>
      <c r="I922" s="2" t="str">
        <f>_xlfn.XLOOKUP($N922,'Base de Grupos'!$A:$A,'Base de Grupos'!$K:$K)</f>
        <v>REGIONAL VENDA INTERNA - CONVENIENCIA</v>
      </c>
      <c r="J922" s="2" t="str">
        <f>_xlfn.XLOOKUP($N922,'Base de Grupos'!$A:$A,'Base de Grupos'!$L:$L)</f>
        <v>1000174119</v>
      </c>
      <c r="K922" s="5" t="str">
        <f>_xlfn.XLOOKUP($N922,'Base de Grupos'!$A:$A,'Base de Grupos'!$M:$M)</f>
        <v>REGIONAL VENDA INTERNA - CONVENIENCIA</v>
      </c>
      <c r="L922" s="5" t="str">
        <f t="shared" si="866"/>
        <v/>
      </c>
      <c r="M922" s="5" t="str">
        <f>_xlfn.XLOOKUP($N922,'Base de Grupos'!$A:$A,'Base de Grupos'!$C:$C)</f>
        <v>AL</v>
      </c>
      <c r="N922" s="3">
        <v>1516</v>
      </c>
      <c r="O922" s="4" t="s">
        <v>275</v>
      </c>
      <c r="P922" s="5" t="s">
        <v>81</v>
      </c>
      <c r="Q922" s="56">
        <v>0</v>
      </c>
      <c r="R922" s="56">
        <v>0</v>
      </c>
      <c r="S922" s="56">
        <v>0</v>
      </c>
      <c r="T922" s="56">
        <f>_xlfn.XLOOKUP($N922,'Calculo Leads Conveniencia'!$A$77:$A$104,'Calculo Leads Conveniencia'!G$77:G$104)*_xlfn.XLOOKUP($P922,'Base Grupo de Produtos'!$E$23:$E$39,'Base Grupo de Produtos'!$F$23:$F$39)</f>
        <v>0</v>
      </c>
      <c r="U922" s="56">
        <f>_xlfn.XLOOKUP($N922,'Calculo Leads Conveniencia'!$A$77:$A$104,'Calculo Leads Conveniencia'!H$77:H$104)*_xlfn.XLOOKUP($P922,'Base Grupo de Produtos'!$E$23:$E$39,'Base Grupo de Produtos'!$F$23:$F$39)</f>
        <v>0</v>
      </c>
      <c r="V922" s="56">
        <f>_xlfn.XLOOKUP($N922,'Calculo Leads Conveniencia'!$A$77:$A$104,'Calculo Leads Conveniencia'!I$77:I$104)*_xlfn.XLOOKUP($P922,'Base Grupo de Produtos'!$E$23:$E$39,'Base Grupo de Produtos'!$F$23:$F$39)</f>
        <v>0</v>
      </c>
      <c r="W922" s="56">
        <f>_xlfn.XLOOKUP($N922,'Calculo Leads Conveniencia'!$A$77:$A$104,'Calculo Leads Conveniencia'!J$77:J$104)*_xlfn.XLOOKUP($P922,'Base Grupo de Produtos'!$E$23:$E$39,'Base Grupo de Produtos'!$F$23:$F$39)</f>
        <v>0</v>
      </c>
      <c r="X922" s="56">
        <f>_xlfn.XLOOKUP($N922,'Calculo Leads Conveniencia'!$A$77:$A$104,'Calculo Leads Conveniencia'!K$77:K$104)*_xlfn.XLOOKUP($P922,'Base Grupo de Produtos'!$E$23:$E$39,'Base Grupo de Produtos'!$F$23:$F$39)</f>
        <v>0</v>
      </c>
      <c r="Y922" s="56">
        <f>_xlfn.XLOOKUP($N922,'Calculo Leads Conveniencia'!$A$77:$A$104,'Calculo Leads Conveniencia'!L$77:L$104)*_xlfn.XLOOKUP($P922,'Base Grupo de Produtos'!$E$23:$E$39,'Base Grupo de Produtos'!$F$23:$F$39)</f>
        <v>0</v>
      </c>
      <c r="Z922" s="56">
        <f>_xlfn.XLOOKUP($N922,'Calculo Leads Conveniencia'!$A$77:$A$104,'Calculo Leads Conveniencia'!M$77:M$104)*_xlfn.XLOOKUP($P922,'Base Grupo de Produtos'!$E$23:$E$39,'Base Grupo de Produtos'!$F$23:$F$39)</f>
        <v>0</v>
      </c>
      <c r="AA922" s="56">
        <f>_xlfn.XLOOKUP($N922,'Calculo Leads Conveniencia'!$A$77:$A$104,'Calculo Leads Conveniencia'!N$77:N$104)*_xlfn.XLOOKUP($P922,'Base Grupo de Produtos'!$E$23:$E$39,'Base Grupo de Produtos'!$F$23:$F$39)</f>
        <v>0</v>
      </c>
      <c r="AB922" s="56">
        <f>_xlfn.XLOOKUP($N922,'Calculo Leads Conveniencia'!$A$77:$A$104,'Calculo Leads Conveniencia'!O$77:O$104)*_xlfn.XLOOKUP($P922,'Base Grupo de Produtos'!$E$23:$E$39,'Base Grupo de Produtos'!$F$23:$F$39)</f>
        <v>0</v>
      </c>
      <c r="AC922" s="61">
        <f t="shared" si="893"/>
        <v>0</v>
      </c>
      <c r="AD922" s="28"/>
      <c r="AE922" s="12"/>
      <c r="AF922" s="29"/>
      <c r="AG922" s="9"/>
      <c r="AH922" s="10"/>
      <c r="AI922" s="9"/>
      <c r="AJ922" s="11"/>
      <c r="AK922" s="9"/>
      <c r="AL922" s="13"/>
      <c r="AM922" s="9"/>
    </row>
    <row r="923" spans="1:39" x14ac:dyDescent="0.3">
      <c r="A923" s="2" t="str">
        <f t="shared" ref="A923:A986" si="920">IF(L923=1,"SIM","NÃO")</f>
        <v>NÃO</v>
      </c>
      <c r="B923" s="2" t="str">
        <f>_xlfn.XLOOKUP($N923,'Base de Grupos'!$A:$A,'Base de Grupos'!$D:$D)</f>
        <v>1000065763</v>
      </c>
      <c r="C923" s="5" t="str">
        <f>_xlfn.XLOOKUP($N923,'Base de Grupos'!$A:$A,'Base de Grupos'!$E:$E)</f>
        <v>CANAL VENDA INTERNA</v>
      </c>
      <c r="D923" s="5" t="str">
        <f>_xlfn.XLOOKUP($N923,'Base de Grupos'!$A:$A,'Base de Grupos'!$F:$F)</f>
        <v>1000065763</v>
      </c>
      <c r="E923" s="2" t="str">
        <f>_xlfn.XLOOKUP($N923,'Base de Grupos'!$A:$A,'Base de Grupos'!$G:$G)</f>
        <v>CANAL VENDA INTERNA</v>
      </c>
      <c r="F923" s="2" t="str">
        <f>_xlfn.XLOOKUP($N923,'Base de Grupos'!$A:$A,'Base de Grupos'!$H:$H)</f>
        <v>1000174119</v>
      </c>
      <c r="G923" s="5" t="str">
        <f>_xlfn.XLOOKUP($N923,'Base de Grupos'!$A:$A,'Base de Grupos'!$I:$I)</f>
        <v>REGIONAL VENDA INTERNA - CONVENIENCIA</v>
      </c>
      <c r="H923" s="5" t="str">
        <f>_xlfn.XLOOKUP($N923,'Base de Grupos'!$A:$A,'Base de Grupos'!$J:$J)</f>
        <v>1000174119</v>
      </c>
      <c r="I923" s="2" t="str">
        <f>_xlfn.XLOOKUP($N923,'Base de Grupos'!$A:$A,'Base de Grupos'!$K:$K)</f>
        <v>REGIONAL VENDA INTERNA - CONVENIENCIA</v>
      </c>
      <c r="J923" s="2" t="str">
        <f>_xlfn.XLOOKUP($N923,'Base de Grupos'!$A:$A,'Base de Grupos'!$L:$L)</f>
        <v>1000174119</v>
      </c>
      <c r="K923" s="5" t="str">
        <f>_xlfn.XLOOKUP($N923,'Base de Grupos'!$A:$A,'Base de Grupos'!$M:$M)</f>
        <v>REGIONAL VENDA INTERNA - CONVENIENCIA</v>
      </c>
      <c r="L923" s="5" t="str">
        <f t="shared" ref="L923:L986" si="921">IF(N923&lt;&gt;N922,1,"")</f>
        <v/>
      </c>
      <c r="M923" s="5" t="str">
        <f>_xlfn.XLOOKUP($N923,'Base de Grupos'!$A:$A,'Base de Grupos'!$C:$C)</f>
        <v>AL</v>
      </c>
      <c r="N923" s="3">
        <v>1516</v>
      </c>
      <c r="O923" s="4" t="s">
        <v>275</v>
      </c>
      <c r="P923" s="5" t="s">
        <v>82</v>
      </c>
      <c r="Q923" s="56">
        <v>0</v>
      </c>
      <c r="R923" s="56">
        <v>0</v>
      </c>
      <c r="S923" s="56">
        <v>0</v>
      </c>
      <c r="T923" s="56">
        <f>_xlfn.XLOOKUP($N923,'Calculo Leads Conveniencia'!$A$77:$A$104,'Calculo Leads Conveniencia'!G$77:G$104)*_xlfn.XLOOKUP($P923,'Base Grupo de Produtos'!$E$23:$E$39,'Base Grupo de Produtos'!$F$23:$F$39)</f>
        <v>0</v>
      </c>
      <c r="U923" s="56">
        <f>_xlfn.XLOOKUP($N923,'Calculo Leads Conveniencia'!$A$77:$A$104,'Calculo Leads Conveniencia'!H$77:H$104)*_xlfn.XLOOKUP($P923,'Base Grupo de Produtos'!$E$23:$E$39,'Base Grupo de Produtos'!$F$23:$F$39)</f>
        <v>0</v>
      </c>
      <c r="V923" s="56">
        <f>_xlfn.XLOOKUP($N923,'Calculo Leads Conveniencia'!$A$77:$A$104,'Calculo Leads Conveniencia'!I$77:I$104)*_xlfn.XLOOKUP($P923,'Base Grupo de Produtos'!$E$23:$E$39,'Base Grupo de Produtos'!$F$23:$F$39)</f>
        <v>0</v>
      </c>
      <c r="W923" s="56">
        <f>_xlfn.XLOOKUP($N923,'Calculo Leads Conveniencia'!$A$77:$A$104,'Calculo Leads Conveniencia'!J$77:J$104)*_xlfn.XLOOKUP($P923,'Base Grupo de Produtos'!$E$23:$E$39,'Base Grupo de Produtos'!$F$23:$F$39)</f>
        <v>0</v>
      </c>
      <c r="X923" s="56">
        <f>_xlfn.XLOOKUP($N923,'Calculo Leads Conveniencia'!$A$77:$A$104,'Calculo Leads Conveniencia'!K$77:K$104)*_xlfn.XLOOKUP($P923,'Base Grupo de Produtos'!$E$23:$E$39,'Base Grupo de Produtos'!$F$23:$F$39)</f>
        <v>0</v>
      </c>
      <c r="Y923" s="56">
        <f>_xlfn.XLOOKUP($N923,'Calculo Leads Conveniencia'!$A$77:$A$104,'Calculo Leads Conveniencia'!L$77:L$104)*_xlfn.XLOOKUP($P923,'Base Grupo de Produtos'!$E$23:$E$39,'Base Grupo de Produtos'!$F$23:$F$39)</f>
        <v>0</v>
      </c>
      <c r="Z923" s="56">
        <f>_xlfn.XLOOKUP($N923,'Calculo Leads Conveniencia'!$A$77:$A$104,'Calculo Leads Conveniencia'!M$77:M$104)*_xlfn.XLOOKUP($P923,'Base Grupo de Produtos'!$E$23:$E$39,'Base Grupo de Produtos'!$F$23:$F$39)</f>
        <v>0</v>
      </c>
      <c r="AA923" s="56">
        <f>_xlfn.XLOOKUP($N923,'Calculo Leads Conveniencia'!$A$77:$A$104,'Calculo Leads Conveniencia'!N$77:N$104)*_xlfn.XLOOKUP($P923,'Base Grupo de Produtos'!$E$23:$E$39,'Base Grupo de Produtos'!$F$23:$F$39)</f>
        <v>0</v>
      </c>
      <c r="AB923" s="56">
        <f>_xlfn.XLOOKUP($N923,'Calculo Leads Conveniencia'!$A$77:$A$104,'Calculo Leads Conveniencia'!O$77:O$104)*_xlfn.XLOOKUP($P923,'Base Grupo de Produtos'!$E$23:$E$39,'Base Grupo de Produtos'!$F$23:$F$39)</f>
        <v>0</v>
      </c>
      <c r="AC923" s="61">
        <f t="shared" si="893"/>
        <v>0</v>
      </c>
      <c r="AD923" s="28"/>
      <c r="AE923" s="12"/>
      <c r="AF923" s="29"/>
      <c r="AG923" s="9"/>
      <c r="AH923" s="10"/>
      <c r="AI923" s="9"/>
      <c r="AJ923" s="11"/>
      <c r="AK923" s="9"/>
      <c r="AL923" s="13"/>
      <c r="AM923" s="9"/>
    </row>
    <row r="924" spans="1:39" x14ac:dyDescent="0.3">
      <c r="A924" s="2" t="str">
        <f t="shared" si="920"/>
        <v>NÃO</v>
      </c>
      <c r="B924" s="2" t="str">
        <f>_xlfn.XLOOKUP($N924,'Base de Grupos'!$A:$A,'Base de Grupos'!$D:$D)</f>
        <v>1000065763</v>
      </c>
      <c r="C924" s="5" t="str">
        <f>_xlfn.XLOOKUP($N924,'Base de Grupos'!$A:$A,'Base de Grupos'!$E:$E)</f>
        <v>CANAL VENDA INTERNA</v>
      </c>
      <c r="D924" s="5" t="str">
        <f>_xlfn.XLOOKUP($N924,'Base de Grupos'!$A:$A,'Base de Grupos'!$F:$F)</f>
        <v>1000065763</v>
      </c>
      <c r="E924" s="2" t="str">
        <f>_xlfn.XLOOKUP($N924,'Base de Grupos'!$A:$A,'Base de Grupos'!$G:$G)</f>
        <v>CANAL VENDA INTERNA</v>
      </c>
      <c r="F924" s="2" t="str">
        <f>_xlfn.XLOOKUP($N924,'Base de Grupos'!$A:$A,'Base de Grupos'!$H:$H)</f>
        <v>1000174119</v>
      </c>
      <c r="G924" s="5" t="str">
        <f>_xlfn.XLOOKUP($N924,'Base de Grupos'!$A:$A,'Base de Grupos'!$I:$I)</f>
        <v>REGIONAL VENDA INTERNA - CONVENIENCIA</v>
      </c>
      <c r="H924" s="5" t="str">
        <f>_xlfn.XLOOKUP($N924,'Base de Grupos'!$A:$A,'Base de Grupos'!$J:$J)</f>
        <v>1000174119</v>
      </c>
      <c r="I924" s="2" t="str">
        <f>_xlfn.XLOOKUP($N924,'Base de Grupos'!$A:$A,'Base de Grupos'!$K:$K)</f>
        <v>REGIONAL VENDA INTERNA - CONVENIENCIA</v>
      </c>
      <c r="J924" s="2" t="str">
        <f>_xlfn.XLOOKUP($N924,'Base de Grupos'!$A:$A,'Base de Grupos'!$L:$L)</f>
        <v>1000174119</v>
      </c>
      <c r="K924" s="5" t="str">
        <f>_xlfn.XLOOKUP($N924,'Base de Grupos'!$A:$A,'Base de Grupos'!$M:$M)</f>
        <v>REGIONAL VENDA INTERNA - CONVENIENCIA</v>
      </c>
      <c r="L924" s="5" t="str">
        <f t="shared" si="921"/>
        <v/>
      </c>
      <c r="M924" s="5" t="str">
        <f>_xlfn.XLOOKUP($N924,'Base de Grupos'!$A:$A,'Base de Grupos'!$C:$C)</f>
        <v>AL</v>
      </c>
      <c r="N924" s="3">
        <v>1516</v>
      </c>
      <c r="O924" s="4" t="s">
        <v>275</v>
      </c>
      <c r="P924" s="5" t="s">
        <v>84</v>
      </c>
      <c r="Q924" s="56">
        <v>0</v>
      </c>
      <c r="R924" s="56">
        <v>0</v>
      </c>
      <c r="S924" s="56">
        <v>0</v>
      </c>
      <c r="T924" s="56">
        <f>_xlfn.XLOOKUP($N924,'Calculo Leads Conveniencia'!$A$77:$A$104,'Calculo Leads Conveniencia'!G$77:G$104)*_xlfn.XLOOKUP($P924,'Base Grupo de Produtos'!$E$23:$E$39,'Base Grupo de Produtos'!$F$23:$F$39)</f>
        <v>0</v>
      </c>
      <c r="U924" s="56">
        <f>_xlfn.XLOOKUP($N924,'Calculo Leads Conveniencia'!$A$77:$A$104,'Calculo Leads Conveniencia'!H$77:H$104)*_xlfn.XLOOKUP($P924,'Base Grupo de Produtos'!$E$23:$E$39,'Base Grupo de Produtos'!$F$23:$F$39)</f>
        <v>0</v>
      </c>
      <c r="V924" s="56">
        <f>_xlfn.XLOOKUP($N924,'Calculo Leads Conveniencia'!$A$77:$A$104,'Calculo Leads Conveniencia'!I$77:I$104)*_xlfn.XLOOKUP($P924,'Base Grupo de Produtos'!$E$23:$E$39,'Base Grupo de Produtos'!$F$23:$F$39)</f>
        <v>0</v>
      </c>
      <c r="W924" s="56">
        <f>_xlfn.XLOOKUP($N924,'Calculo Leads Conveniencia'!$A$77:$A$104,'Calculo Leads Conveniencia'!J$77:J$104)*_xlfn.XLOOKUP($P924,'Base Grupo de Produtos'!$E$23:$E$39,'Base Grupo de Produtos'!$F$23:$F$39)</f>
        <v>0</v>
      </c>
      <c r="X924" s="56">
        <f>_xlfn.XLOOKUP($N924,'Calculo Leads Conveniencia'!$A$77:$A$104,'Calculo Leads Conveniencia'!K$77:K$104)*_xlfn.XLOOKUP($P924,'Base Grupo de Produtos'!$E$23:$E$39,'Base Grupo de Produtos'!$F$23:$F$39)</f>
        <v>0</v>
      </c>
      <c r="Y924" s="56">
        <f>_xlfn.XLOOKUP($N924,'Calculo Leads Conveniencia'!$A$77:$A$104,'Calculo Leads Conveniencia'!L$77:L$104)*_xlfn.XLOOKUP($P924,'Base Grupo de Produtos'!$E$23:$E$39,'Base Grupo de Produtos'!$F$23:$F$39)</f>
        <v>0</v>
      </c>
      <c r="Z924" s="56">
        <f>_xlfn.XLOOKUP($N924,'Calculo Leads Conveniencia'!$A$77:$A$104,'Calculo Leads Conveniencia'!M$77:M$104)*_xlfn.XLOOKUP($P924,'Base Grupo de Produtos'!$E$23:$E$39,'Base Grupo de Produtos'!$F$23:$F$39)</f>
        <v>0</v>
      </c>
      <c r="AA924" s="56">
        <f>_xlfn.XLOOKUP($N924,'Calculo Leads Conveniencia'!$A$77:$A$104,'Calculo Leads Conveniencia'!N$77:N$104)*_xlfn.XLOOKUP($P924,'Base Grupo de Produtos'!$E$23:$E$39,'Base Grupo de Produtos'!$F$23:$F$39)</f>
        <v>0</v>
      </c>
      <c r="AB924" s="56">
        <f>_xlfn.XLOOKUP($N924,'Calculo Leads Conveniencia'!$A$77:$A$104,'Calculo Leads Conveniencia'!O$77:O$104)*_xlfn.XLOOKUP($P924,'Base Grupo de Produtos'!$E$23:$E$39,'Base Grupo de Produtos'!$F$23:$F$39)</f>
        <v>0</v>
      </c>
      <c r="AC924" s="61">
        <f t="shared" si="893"/>
        <v>0</v>
      </c>
      <c r="AD924" s="28"/>
      <c r="AE924" s="12"/>
      <c r="AF924" s="29"/>
      <c r="AG924" s="9"/>
      <c r="AH924" s="10"/>
      <c r="AI924" s="9"/>
      <c r="AJ924" s="11"/>
      <c r="AK924" s="9"/>
      <c r="AL924" s="13"/>
      <c r="AM924" s="9"/>
    </row>
    <row r="925" spans="1:39" x14ac:dyDescent="0.3">
      <c r="A925" s="2" t="str">
        <f t="shared" si="920"/>
        <v>NÃO</v>
      </c>
      <c r="B925" s="2" t="str">
        <f>_xlfn.XLOOKUP($N925,'Base de Grupos'!$A:$A,'Base de Grupos'!$D:$D)</f>
        <v>1000065763</v>
      </c>
      <c r="C925" s="5" t="str">
        <f>_xlfn.XLOOKUP($N925,'Base de Grupos'!$A:$A,'Base de Grupos'!$E:$E)</f>
        <v>CANAL VENDA INTERNA</v>
      </c>
      <c r="D925" s="5" t="str">
        <f>_xlfn.XLOOKUP($N925,'Base de Grupos'!$A:$A,'Base de Grupos'!$F:$F)</f>
        <v>1000065763</v>
      </c>
      <c r="E925" s="2" t="str">
        <f>_xlfn.XLOOKUP($N925,'Base de Grupos'!$A:$A,'Base de Grupos'!$G:$G)</f>
        <v>CANAL VENDA INTERNA</v>
      </c>
      <c r="F925" s="2" t="str">
        <f>_xlfn.XLOOKUP($N925,'Base de Grupos'!$A:$A,'Base de Grupos'!$H:$H)</f>
        <v>1000174119</v>
      </c>
      <c r="G925" s="5" t="str">
        <f>_xlfn.XLOOKUP($N925,'Base de Grupos'!$A:$A,'Base de Grupos'!$I:$I)</f>
        <v>REGIONAL VENDA INTERNA - CONVENIENCIA</v>
      </c>
      <c r="H925" s="5" t="str">
        <f>_xlfn.XLOOKUP($N925,'Base de Grupos'!$A:$A,'Base de Grupos'!$J:$J)</f>
        <v>1000174119</v>
      </c>
      <c r="I925" s="2" t="str">
        <f>_xlfn.XLOOKUP($N925,'Base de Grupos'!$A:$A,'Base de Grupos'!$K:$K)</f>
        <v>REGIONAL VENDA INTERNA - CONVENIENCIA</v>
      </c>
      <c r="J925" s="2" t="str">
        <f>_xlfn.XLOOKUP($N925,'Base de Grupos'!$A:$A,'Base de Grupos'!$L:$L)</f>
        <v>1000174119</v>
      </c>
      <c r="K925" s="5" t="str">
        <f>_xlfn.XLOOKUP($N925,'Base de Grupos'!$A:$A,'Base de Grupos'!$M:$M)</f>
        <v>REGIONAL VENDA INTERNA - CONVENIENCIA</v>
      </c>
      <c r="L925" s="5" t="str">
        <f t="shared" si="921"/>
        <v/>
      </c>
      <c r="M925" s="5" t="str">
        <f>_xlfn.XLOOKUP($N925,'Base de Grupos'!$A:$A,'Base de Grupos'!$C:$C)</f>
        <v>AL</v>
      </c>
      <c r="N925" s="3">
        <v>1516</v>
      </c>
      <c r="O925" s="4" t="s">
        <v>275</v>
      </c>
      <c r="P925" s="5" t="s">
        <v>83</v>
      </c>
      <c r="Q925" s="56">
        <v>0</v>
      </c>
      <c r="R925" s="56">
        <v>0</v>
      </c>
      <c r="S925" s="56">
        <v>0</v>
      </c>
      <c r="T925" s="56">
        <f>_xlfn.XLOOKUP($N925,'Calculo Leads Conveniencia'!$A$77:$A$104,'Calculo Leads Conveniencia'!G$77:G$104)*_xlfn.XLOOKUP($P925,'Base Grupo de Produtos'!$E$23:$E$39,'Base Grupo de Produtos'!$F$23:$F$39)</f>
        <v>0</v>
      </c>
      <c r="U925" s="56">
        <f>_xlfn.XLOOKUP($N925,'Calculo Leads Conveniencia'!$A$77:$A$104,'Calculo Leads Conveniencia'!H$77:H$104)*_xlfn.XLOOKUP($P925,'Base Grupo de Produtos'!$E$23:$E$39,'Base Grupo de Produtos'!$F$23:$F$39)</f>
        <v>0</v>
      </c>
      <c r="V925" s="56">
        <f>_xlfn.XLOOKUP($N925,'Calculo Leads Conveniencia'!$A$77:$A$104,'Calculo Leads Conveniencia'!I$77:I$104)*_xlfn.XLOOKUP($P925,'Base Grupo de Produtos'!$E$23:$E$39,'Base Grupo de Produtos'!$F$23:$F$39)</f>
        <v>0</v>
      </c>
      <c r="W925" s="56">
        <f>_xlfn.XLOOKUP($N925,'Calculo Leads Conveniencia'!$A$77:$A$104,'Calculo Leads Conveniencia'!J$77:J$104)*_xlfn.XLOOKUP($P925,'Base Grupo de Produtos'!$E$23:$E$39,'Base Grupo de Produtos'!$F$23:$F$39)</f>
        <v>0</v>
      </c>
      <c r="X925" s="56">
        <f>_xlfn.XLOOKUP($N925,'Calculo Leads Conveniencia'!$A$77:$A$104,'Calculo Leads Conveniencia'!K$77:K$104)*_xlfn.XLOOKUP($P925,'Base Grupo de Produtos'!$E$23:$E$39,'Base Grupo de Produtos'!$F$23:$F$39)</f>
        <v>0</v>
      </c>
      <c r="Y925" s="56">
        <f>_xlfn.XLOOKUP($N925,'Calculo Leads Conveniencia'!$A$77:$A$104,'Calculo Leads Conveniencia'!L$77:L$104)*_xlfn.XLOOKUP($P925,'Base Grupo de Produtos'!$E$23:$E$39,'Base Grupo de Produtos'!$F$23:$F$39)</f>
        <v>0</v>
      </c>
      <c r="Z925" s="56">
        <f>_xlfn.XLOOKUP($N925,'Calculo Leads Conveniencia'!$A$77:$A$104,'Calculo Leads Conveniencia'!M$77:M$104)*_xlfn.XLOOKUP($P925,'Base Grupo de Produtos'!$E$23:$E$39,'Base Grupo de Produtos'!$F$23:$F$39)</f>
        <v>0</v>
      </c>
      <c r="AA925" s="56">
        <f>_xlfn.XLOOKUP($N925,'Calculo Leads Conveniencia'!$A$77:$A$104,'Calculo Leads Conveniencia'!N$77:N$104)*_xlfn.XLOOKUP($P925,'Base Grupo de Produtos'!$E$23:$E$39,'Base Grupo de Produtos'!$F$23:$F$39)</f>
        <v>0</v>
      </c>
      <c r="AB925" s="56">
        <f>_xlfn.XLOOKUP($N925,'Calculo Leads Conveniencia'!$A$77:$A$104,'Calculo Leads Conveniencia'!O$77:O$104)*_xlfn.XLOOKUP($P925,'Base Grupo de Produtos'!$E$23:$E$39,'Base Grupo de Produtos'!$F$23:$F$39)</f>
        <v>0</v>
      </c>
      <c r="AC925" s="61">
        <f t="shared" si="893"/>
        <v>0</v>
      </c>
      <c r="AD925" s="28"/>
      <c r="AE925" s="12"/>
      <c r="AF925" s="29"/>
      <c r="AG925" s="9"/>
      <c r="AH925" s="10"/>
      <c r="AI925" s="9"/>
      <c r="AJ925" s="11"/>
      <c r="AK925" s="9"/>
      <c r="AL925" s="13"/>
      <c r="AM925" s="9"/>
    </row>
    <row r="926" spans="1:39" x14ac:dyDescent="0.3">
      <c r="A926" s="2" t="str">
        <f t="shared" si="920"/>
        <v>NÃO</v>
      </c>
      <c r="B926" s="2" t="str">
        <f>_xlfn.XLOOKUP($N926,'Base de Grupos'!$A:$A,'Base de Grupos'!$D:$D)</f>
        <v>1000065763</v>
      </c>
      <c r="C926" s="5" t="str">
        <f>_xlfn.XLOOKUP($N926,'Base de Grupos'!$A:$A,'Base de Grupos'!$E:$E)</f>
        <v>CANAL VENDA INTERNA</v>
      </c>
      <c r="D926" s="5" t="str">
        <f>_xlfn.XLOOKUP($N926,'Base de Grupos'!$A:$A,'Base de Grupos'!$F:$F)</f>
        <v>1000065763</v>
      </c>
      <c r="E926" s="2" t="str">
        <f>_xlfn.XLOOKUP($N926,'Base de Grupos'!$A:$A,'Base de Grupos'!$G:$G)</f>
        <v>CANAL VENDA INTERNA</v>
      </c>
      <c r="F926" s="2" t="str">
        <f>_xlfn.XLOOKUP($N926,'Base de Grupos'!$A:$A,'Base de Grupos'!$H:$H)</f>
        <v>1000174119</v>
      </c>
      <c r="G926" s="5" t="str">
        <f>_xlfn.XLOOKUP($N926,'Base de Grupos'!$A:$A,'Base de Grupos'!$I:$I)</f>
        <v>REGIONAL VENDA INTERNA - CONVENIENCIA</v>
      </c>
      <c r="H926" s="5" t="str">
        <f>_xlfn.XLOOKUP($N926,'Base de Grupos'!$A:$A,'Base de Grupos'!$J:$J)</f>
        <v>1000174119</v>
      </c>
      <c r="I926" s="2" t="str">
        <f>_xlfn.XLOOKUP($N926,'Base de Grupos'!$A:$A,'Base de Grupos'!$K:$K)</f>
        <v>REGIONAL VENDA INTERNA - CONVENIENCIA</v>
      </c>
      <c r="J926" s="2" t="str">
        <f>_xlfn.XLOOKUP($N926,'Base de Grupos'!$A:$A,'Base de Grupos'!$L:$L)</f>
        <v>1000174119</v>
      </c>
      <c r="K926" s="5" t="str">
        <f>_xlfn.XLOOKUP($N926,'Base de Grupos'!$A:$A,'Base de Grupos'!$M:$M)</f>
        <v>REGIONAL VENDA INTERNA - CONVENIENCIA</v>
      </c>
      <c r="L926" s="5" t="str">
        <f t="shared" si="921"/>
        <v/>
      </c>
      <c r="M926" s="5" t="str">
        <f>_xlfn.XLOOKUP($N926,'Base de Grupos'!$A:$A,'Base de Grupos'!$C:$C)</f>
        <v>AL</v>
      </c>
      <c r="N926" s="3">
        <v>1516</v>
      </c>
      <c r="O926" s="4" t="s">
        <v>275</v>
      </c>
      <c r="P926" s="5" t="s">
        <v>87</v>
      </c>
      <c r="Q926" s="56">
        <v>0</v>
      </c>
      <c r="R926" s="56">
        <v>0</v>
      </c>
      <c r="S926" s="56">
        <v>0</v>
      </c>
      <c r="T926" s="56">
        <f>_xlfn.XLOOKUP($N926,'Calculo Leads Conveniencia'!$A$77:$A$104,'Calculo Leads Conveniencia'!G$77:G$104)*_xlfn.XLOOKUP($P926,'Base Grupo de Produtos'!$E$23:$E$39,'Base Grupo de Produtos'!$F$23:$F$39)</f>
        <v>0</v>
      </c>
      <c r="U926" s="56">
        <f>_xlfn.XLOOKUP($N926,'Calculo Leads Conveniencia'!$A$77:$A$104,'Calculo Leads Conveniencia'!H$77:H$104)*_xlfn.XLOOKUP($P926,'Base Grupo de Produtos'!$E$23:$E$39,'Base Grupo de Produtos'!$F$23:$F$39)</f>
        <v>0</v>
      </c>
      <c r="V926" s="56">
        <f>_xlfn.XLOOKUP($N926,'Calculo Leads Conveniencia'!$A$77:$A$104,'Calculo Leads Conveniencia'!I$77:I$104)*_xlfn.XLOOKUP($P926,'Base Grupo de Produtos'!$E$23:$E$39,'Base Grupo de Produtos'!$F$23:$F$39)</f>
        <v>0</v>
      </c>
      <c r="W926" s="56">
        <f>_xlfn.XLOOKUP($N926,'Calculo Leads Conveniencia'!$A$77:$A$104,'Calculo Leads Conveniencia'!J$77:J$104)*_xlfn.XLOOKUP($P926,'Base Grupo de Produtos'!$E$23:$E$39,'Base Grupo de Produtos'!$F$23:$F$39)</f>
        <v>0</v>
      </c>
      <c r="X926" s="56">
        <f>_xlfn.XLOOKUP($N926,'Calculo Leads Conveniencia'!$A$77:$A$104,'Calculo Leads Conveniencia'!K$77:K$104)*_xlfn.XLOOKUP($P926,'Base Grupo de Produtos'!$E$23:$E$39,'Base Grupo de Produtos'!$F$23:$F$39)</f>
        <v>0</v>
      </c>
      <c r="Y926" s="56">
        <f>_xlfn.XLOOKUP($N926,'Calculo Leads Conveniencia'!$A$77:$A$104,'Calculo Leads Conveniencia'!L$77:L$104)*_xlfn.XLOOKUP($P926,'Base Grupo de Produtos'!$E$23:$E$39,'Base Grupo de Produtos'!$F$23:$F$39)</f>
        <v>0</v>
      </c>
      <c r="Z926" s="56">
        <f>_xlfn.XLOOKUP($N926,'Calculo Leads Conveniencia'!$A$77:$A$104,'Calculo Leads Conveniencia'!M$77:M$104)*_xlfn.XLOOKUP($P926,'Base Grupo de Produtos'!$E$23:$E$39,'Base Grupo de Produtos'!$F$23:$F$39)</f>
        <v>0</v>
      </c>
      <c r="AA926" s="56">
        <f>_xlfn.XLOOKUP($N926,'Calculo Leads Conveniencia'!$A$77:$A$104,'Calculo Leads Conveniencia'!N$77:N$104)*_xlfn.XLOOKUP($P926,'Base Grupo de Produtos'!$E$23:$E$39,'Base Grupo de Produtos'!$F$23:$F$39)</f>
        <v>0</v>
      </c>
      <c r="AB926" s="56">
        <f>_xlfn.XLOOKUP($N926,'Calculo Leads Conveniencia'!$A$77:$A$104,'Calculo Leads Conveniencia'!O$77:O$104)*_xlfn.XLOOKUP($P926,'Base Grupo de Produtos'!$E$23:$E$39,'Base Grupo de Produtos'!$F$23:$F$39)</f>
        <v>0</v>
      </c>
      <c r="AC926" s="61">
        <f t="shared" si="893"/>
        <v>0</v>
      </c>
      <c r="AD926" s="28"/>
      <c r="AE926" s="12"/>
      <c r="AF926" s="29"/>
      <c r="AG926" s="9"/>
      <c r="AH926" s="10"/>
      <c r="AI926" s="9"/>
      <c r="AJ926" s="11"/>
      <c r="AK926" s="9"/>
      <c r="AL926" s="13"/>
      <c r="AM926" s="9"/>
    </row>
    <row r="927" spans="1:39" x14ac:dyDescent="0.3">
      <c r="A927" s="2" t="str">
        <f t="shared" si="920"/>
        <v>NÃO</v>
      </c>
      <c r="B927" s="2" t="str">
        <f>_xlfn.XLOOKUP($N927,'Base de Grupos'!$A:$A,'Base de Grupos'!$D:$D)</f>
        <v>1000065763</v>
      </c>
      <c r="C927" s="5" t="str">
        <f>_xlfn.XLOOKUP($N927,'Base de Grupos'!$A:$A,'Base de Grupos'!$E:$E)</f>
        <v>CANAL VENDA INTERNA</v>
      </c>
      <c r="D927" s="5" t="str">
        <f>_xlfn.XLOOKUP($N927,'Base de Grupos'!$A:$A,'Base de Grupos'!$F:$F)</f>
        <v>1000065763</v>
      </c>
      <c r="E927" s="2" t="str">
        <f>_xlfn.XLOOKUP($N927,'Base de Grupos'!$A:$A,'Base de Grupos'!$G:$G)</f>
        <v>CANAL VENDA INTERNA</v>
      </c>
      <c r="F927" s="2" t="str">
        <f>_xlfn.XLOOKUP($N927,'Base de Grupos'!$A:$A,'Base de Grupos'!$H:$H)</f>
        <v>1000174119</v>
      </c>
      <c r="G927" s="5" t="str">
        <f>_xlfn.XLOOKUP($N927,'Base de Grupos'!$A:$A,'Base de Grupos'!$I:$I)</f>
        <v>REGIONAL VENDA INTERNA - CONVENIENCIA</v>
      </c>
      <c r="H927" s="5" t="str">
        <f>_xlfn.XLOOKUP($N927,'Base de Grupos'!$A:$A,'Base de Grupos'!$J:$J)</f>
        <v>1000174119</v>
      </c>
      <c r="I927" s="2" t="str">
        <f>_xlfn.XLOOKUP($N927,'Base de Grupos'!$A:$A,'Base de Grupos'!$K:$K)</f>
        <v>REGIONAL VENDA INTERNA - CONVENIENCIA</v>
      </c>
      <c r="J927" s="2" t="str">
        <f>_xlfn.XLOOKUP($N927,'Base de Grupos'!$A:$A,'Base de Grupos'!$L:$L)</f>
        <v>1000174119</v>
      </c>
      <c r="K927" s="5" t="str">
        <f>_xlfn.XLOOKUP($N927,'Base de Grupos'!$A:$A,'Base de Grupos'!$M:$M)</f>
        <v>REGIONAL VENDA INTERNA - CONVENIENCIA</v>
      </c>
      <c r="L927" s="5" t="str">
        <f t="shared" si="921"/>
        <v/>
      </c>
      <c r="M927" s="5" t="str">
        <f>_xlfn.XLOOKUP($N927,'Base de Grupos'!$A:$A,'Base de Grupos'!$C:$C)</f>
        <v>AL</v>
      </c>
      <c r="N927" s="3">
        <v>1516</v>
      </c>
      <c r="O927" s="4" t="s">
        <v>275</v>
      </c>
      <c r="P927" s="5" t="s">
        <v>85</v>
      </c>
      <c r="Q927" s="56">
        <v>0</v>
      </c>
      <c r="R927" s="56">
        <v>0</v>
      </c>
      <c r="S927" s="56">
        <v>0</v>
      </c>
      <c r="T927" s="56">
        <f>_xlfn.XLOOKUP($N927,'Calculo Leads Conveniencia'!$A$77:$A$104,'Calculo Leads Conveniencia'!G$77:G$104)*_xlfn.XLOOKUP($P927,'Base Grupo de Produtos'!$E$23:$E$39,'Base Grupo de Produtos'!$F$23:$F$39)</f>
        <v>0</v>
      </c>
      <c r="U927" s="56">
        <f>_xlfn.XLOOKUP($N927,'Calculo Leads Conveniencia'!$A$77:$A$104,'Calculo Leads Conveniencia'!H$77:H$104)*_xlfn.XLOOKUP($P927,'Base Grupo de Produtos'!$E$23:$E$39,'Base Grupo de Produtos'!$F$23:$F$39)</f>
        <v>0</v>
      </c>
      <c r="V927" s="56">
        <f>_xlfn.XLOOKUP($N927,'Calculo Leads Conveniencia'!$A$77:$A$104,'Calculo Leads Conveniencia'!I$77:I$104)*_xlfn.XLOOKUP($P927,'Base Grupo de Produtos'!$E$23:$E$39,'Base Grupo de Produtos'!$F$23:$F$39)</f>
        <v>0</v>
      </c>
      <c r="W927" s="56">
        <f>_xlfn.XLOOKUP($N927,'Calculo Leads Conveniencia'!$A$77:$A$104,'Calculo Leads Conveniencia'!J$77:J$104)*_xlfn.XLOOKUP($P927,'Base Grupo de Produtos'!$E$23:$E$39,'Base Grupo de Produtos'!$F$23:$F$39)</f>
        <v>0</v>
      </c>
      <c r="X927" s="56">
        <f>_xlfn.XLOOKUP($N927,'Calculo Leads Conveniencia'!$A$77:$A$104,'Calculo Leads Conveniencia'!K$77:K$104)*_xlfn.XLOOKUP($P927,'Base Grupo de Produtos'!$E$23:$E$39,'Base Grupo de Produtos'!$F$23:$F$39)</f>
        <v>0</v>
      </c>
      <c r="Y927" s="56">
        <f>_xlfn.XLOOKUP($N927,'Calculo Leads Conveniencia'!$A$77:$A$104,'Calculo Leads Conveniencia'!L$77:L$104)*_xlfn.XLOOKUP($P927,'Base Grupo de Produtos'!$E$23:$E$39,'Base Grupo de Produtos'!$F$23:$F$39)</f>
        <v>0</v>
      </c>
      <c r="Z927" s="56">
        <f>_xlfn.XLOOKUP($N927,'Calculo Leads Conveniencia'!$A$77:$A$104,'Calculo Leads Conveniencia'!M$77:M$104)*_xlfn.XLOOKUP($P927,'Base Grupo de Produtos'!$E$23:$E$39,'Base Grupo de Produtos'!$F$23:$F$39)</f>
        <v>0</v>
      </c>
      <c r="AA927" s="56">
        <f>_xlfn.XLOOKUP($N927,'Calculo Leads Conveniencia'!$A$77:$A$104,'Calculo Leads Conveniencia'!N$77:N$104)*_xlfn.XLOOKUP($P927,'Base Grupo de Produtos'!$E$23:$E$39,'Base Grupo de Produtos'!$F$23:$F$39)</f>
        <v>0</v>
      </c>
      <c r="AB927" s="56">
        <f>_xlfn.XLOOKUP($N927,'Calculo Leads Conveniencia'!$A$77:$A$104,'Calculo Leads Conveniencia'!O$77:O$104)*_xlfn.XLOOKUP($P927,'Base Grupo de Produtos'!$E$23:$E$39,'Base Grupo de Produtos'!$F$23:$F$39)</f>
        <v>0</v>
      </c>
      <c r="AC927" s="61">
        <f t="shared" si="893"/>
        <v>0</v>
      </c>
      <c r="AD927" s="28"/>
      <c r="AE927" s="12"/>
      <c r="AF927" s="29"/>
      <c r="AG927" s="9"/>
      <c r="AH927" s="10"/>
      <c r="AI927" s="9"/>
      <c r="AJ927" s="11"/>
      <c r="AK927" s="9"/>
      <c r="AL927" s="13"/>
      <c r="AM927" s="9"/>
    </row>
    <row r="928" spans="1:39" x14ac:dyDescent="0.3">
      <c r="A928" s="2" t="str">
        <f t="shared" si="920"/>
        <v>NÃO</v>
      </c>
      <c r="B928" s="2" t="str">
        <f>_xlfn.XLOOKUP($N928,'Base de Grupos'!$A:$A,'Base de Grupos'!$D:$D)</f>
        <v>1000065763</v>
      </c>
      <c r="C928" s="5" t="str">
        <f>_xlfn.XLOOKUP($N928,'Base de Grupos'!$A:$A,'Base de Grupos'!$E:$E)</f>
        <v>CANAL VENDA INTERNA</v>
      </c>
      <c r="D928" s="5" t="str">
        <f>_xlfn.XLOOKUP($N928,'Base de Grupos'!$A:$A,'Base de Grupos'!$F:$F)</f>
        <v>1000065763</v>
      </c>
      <c r="E928" s="2" t="str">
        <f>_xlfn.XLOOKUP($N928,'Base de Grupos'!$A:$A,'Base de Grupos'!$G:$G)</f>
        <v>CANAL VENDA INTERNA</v>
      </c>
      <c r="F928" s="2" t="str">
        <f>_xlfn.XLOOKUP($N928,'Base de Grupos'!$A:$A,'Base de Grupos'!$H:$H)</f>
        <v>1000174119</v>
      </c>
      <c r="G928" s="5" t="str">
        <f>_xlfn.XLOOKUP($N928,'Base de Grupos'!$A:$A,'Base de Grupos'!$I:$I)</f>
        <v>REGIONAL VENDA INTERNA - CONVENIENCIA</v>
      </c>
      <c r="H928" s="5" t="str">
        <f>_xlfn.XLOOKUP($N928,'Base de Grupos'!$A:$A,'Base de Grupos'!$J:$J)</f>
        <v>1000174119</v>
      </c>
      <c r="I928" s="2" t="str">
        <f>_xlfn.XLOOKUP($N928,'Base de Grupos'!$A:$A,'Base de Grupos'!$K:$K)</f>
        <v>REGIONAL VENDA INTERNA - CONVENIENCIA</v>
      </c>
      <c r="J928" s="2" t="str">
        <f>_xlfn.XLOOKUP($N928,'Base de Grupos'!$A:$A,'Base de Grupos'!$L:$L)</f>
        <v>1000174119</v>
      </c>
      <c r="K928" s="5" t="str">
        <f>_xlfn.XLOOKUP($N928,'Base de Grupos'!$A:$A,'Base de Grupos'!$M:$M)</f>
        <v>REGIONAL VENDA INTERNA - CONVENIENCIA</v>
      </c>
      <c r="L928" s="5" t="str">
        <f t="shared" si="921"/>
        <v/>
      </c>
      <c r="M928" s="5" t="str">
        <f>_xlfn.XLOOKUP($N928,'Base de Grupos'!$A:$A,'Base de Grupos'!$C:$C)</f>
        <v>AL</v>
      </c>
      <c r="N928" s="3">
        <v>1516</v>
      </c>
      <c r="O928" s="4" t="s">
        <v>275</v>
      </c>
      <c r="P928" s="5" t="s">
        <v>92</v>
      </c>
      <c r="Q928" s="56">
        <v>0</v>
      </c>
      <c r="R928" s="56">
        <v>0</v>
      </c>
      <c r="S928" s="56">
        <v>0</v>
      </c>
      <c r="T928" s="56">
        <f>_xlfn.XLOOKUP($N928,'Calculo Leads Conveniencia'!$A$77:$A$104,'Calculo Leads Conveniencia'!G$77:G$104)*_xlfn.XLOOKUP($P928,'Base Grupo de Produtos'!$E$23:$E$39,'Base Grupo de Produtos'!$F$23:$F$39)</f>
        <v>0</v>
      </c>
      <c r="U928" s="56">
        <f>_xlfn.XLOOKUP($N928,'Calculo Leads Conveniencia'!$A$77:$A$104,'Calculo Leads Conveniencia'!H$77:H$104)*_xlfn.XLOOKUP($P928,'Base Grupo de Produtos'!$E$23:$E$39,'Base Grupo de Produtos'!$F$23:$F$39)</f>
        <v>0</v>
      </c>
      <c r="V928" s="56">
        <f>_xlfn.XLOOKUP($N928,'Calculo Leads Conveniencia'!$A$77:$A$104,'Calculo Leads Conveniencia'!I$77:I$104)*_xlfn.XLOOKUP($P928,'Base Grupo de Produtos'!$E$23:$E$39,'Base Grupo de Produtos'!$F$23:$F$39)</f>
        <v>0</v>
      </c>
      <c r="W928" s="56">
        <f>_xlfn.XLOOKUP($N928,'Calculo Leads Conveniencia'!$A$77:$A$104,'Calculo Leads Conveniencia'!J$77:J$104)*_xlfn.XLOOKUP($P928,'Base Grupo de Produtos'!$E$23:$E$39,'Base Grupo de Produtos'!$F$23:$F$39)</f>
        <v>0</v>
      </c>
      <c r="X928" s="56">
        <f>_xlfn.XLOOKUP($N928,'Calculo Leads Conveniencia'!$A$77:$A$104,'Calculo Leads Conveniencia'!K$77:K$104)*_xlfn.XLOOKUP($P928,'Base Grupo de Produtos'!$E$23:$E$39,'Base Grupo de Produtos'!$F$23:$F$39)</f>
        <v>0</v>
      </c>
      <c r="Y928" s="56">
        <f>_xlfn.XLOOKUP($N928,'Calculo Leads Conveniencia'!$A$77:$A$104,'Calculo Leads Conveniencia'!L$77:L$104)*_xlfn.XLOOKUP($P928,'Base Grupo de Produtos'!$E$23:$E$39,'Base Grupo de Produtos'!$F$23:$F$39)</f>
        <v>0</v>
      </c>
      <c r="Z928" s="56">
        <f>_xlfn.XLOOKUP($N928,'Calculo Leads Conveniencia'!$A$77:$A$104,'Calculo Leads Conveniencia'!M$77:M$104)*_xlfn.XLOOKUP($P928,'Base Grupo de Produtos'!$E$23:$E$39,'Base Grupo de Produtos'!$F$23:$F$39)</f>
        <v>0</v>
      </c>
      <c r="AA928" s="56">
        <f>_xlfn.XLOOKUP($N928,'Calculo Leads Conveniencia'!$A$77:$A$104,'Calculo Leads Conveniencia'!N$77:N$104)*_xlfn.XLOOKUP($P928,'Base Grupo de Produtos'!$E$23:$E$39,'Base Grupo de Produtos'!$F$23:$F$39)</f>
        <v>0</v>
      </c>
      <c r="AB928" s="56">
        <f>_xlfn.XLOOKUP($N928,'Calculo Leads Conveniencia'!$A$77:$A$104,'Calculo Leads Conveniencia'!O$77:O$104)*_xlfn.XLOOKUP($P928,'Base Grupo de Produtos'!$E$23:$E$39,'Base Grupo de Produtos'!$F$23:$F$39)</f>
        <v>0</v>
      </c>
      <c r="AC928" s="61">
        <f t="shared" si="893"/>
        <v>0</v>
      </c>
      <c r="AD928" s="28"/>
      <c r="AE928" s="12"/>
      <c r="AF928" s="29"/>
      <c r="AG928" s="9"/>
      <c r="AH928" s="10"/>
      <c r="AI928" s="9"/>
      <c r="AJ928" s="11"/>
      <c r="AK928" s="9"/>
      <c r="AL928" s="13"/>
      <c r="AM928" s="9"/>
    </row>
    <row r="929" spans="1:39" x14ac:dyDescent="0.3">
      <c r="A929" s="2" t="str">
        <f t="shared" si="920"/>
        <v>NÃO</v>
      </c>
      <c r="B929" s="2" t="str">
        <f>_xlfn.XLOOKUP($N929,'Base de Grupos'!$A:$A,'Base de Grupos'!$D:$D)</f>
        <v>1000065763</v>
      </c>
      <c r="C929" s="5" t="str">
        <f>_xlfn.XLOOKUP($N929,'Base de Grupos'!$A:$A,'Base de Grupos'!$E:$E)</f>
        <v>CANAL VENDA INTERNA</v>
      </c>
      <c r="D929" s="5" t="str">
        <f>_xlfn.XLOOKUP($N929,'Base de Grupos'!$A:$A,'Base de Grupos'!$F:$F)</f>
        <v>1000065763</v>
      </c>
      <c r="E929" s="2" t="str">
        <f>_xlfn.XLOOKUP($N929,'Base de Grupos'!$A:$A,'Base de Grupos'!$G:$G)</f>
        <v>CANAL VENDA INTERNA</v>
      </c>
      <c r="F929" s="2" t="str">
        <f>_xlfn.XLOOKUP($N929,'Base de Grupos'!$A:$A,'Base de Grupos'!$H:$H)</f>
        <v>1000174119</v>
      </c>
      <c r="G929" s="5" t="str">
        <f>_xlfn.XLOOKUP($N929,'Base de Grupos'!$A:$A,'Base de Grupos'!$I:$I)</f>
        <v>REGIONAL VENDA INTERNA - CONVENIENCIA</v>
      </c>
      <c r="H929" s="5" t="str">
        <f>_xlfn.XLOOKUP($N929,'Base de Grupos'!$A:$A,'Base de Grupos'!$J:$J)</f>
        <v>1000174119</v>
      </c>
      <c r="I929" s="2" t="str">
        <f>_xlfn.XLOOKUP($N929,'Base de Grupos'!$A:$A,'Base de Grupos'!$K:$K)</f>
        <v>REGIONAL VENDA INTERNA - CONVENIENCIA</v>
      </c>
      <c r="J929" s="2" t="str">
        <f>_xlfn.XLOOKUP($N929,'Base de Grupos'!$A:$A,'Base de Grupos'!$L:$L)</f>
        <v>1000174119</v>
      </c>
      <c r="K929" s="5" t="str">
        <f>_xlfn.XLOOKUP($N929,'Base de Grupos'!$A:$A,'Base de Grupos'!$M:$M)</f>
        <v>REGIONAL VENDA INTERNA - CONVENIENCIA</v>
      </c>
      <c r="L929" s="5" t="str">
        <f t="shared" si="921"/>
        <v/>
      </c>
      <c r="M929" s="5" t="str">
        <f>_xlfn.XLOOKUP($N929,'Base de Grupos'!$A:$A,'Base de Grupos'!$C:$C)</f>
        <v>AL</v>
      </c>
      <c r="N929" s="3">
        <v>1516</v>
      </c>
      <c r="O929" s="4" t="s">
        <v>275</v>
      </c>
      <c r="P929" s="5" t="s">
        <v>86</v>
      </c>
      <c r="Q929" s="56">
        <v>0</v>
      </c>
      <c r="R929" s="56">
        <v>0</v>
      </c>
      <c r="S929" s="56">
        <v>0</v>
      </c>
      <c r="T929" s="56">
        <f>_xlfn.XLOOKUP($N929,'Calculo Leads Conveniencia'!$A$77:$A$104,'Calculo Leads Conveniencia'!G$77:G$104)*_xlfn.XLOOKUP($P929,'Base Grupo de Produtos'!$E$23:$E$39,'Base Grupo de Produtos'!$F$23:$F$39)</f>
        <v>0</v>
      </c>
      <c r="U929" s="56">
        <f>_xlfn.XLOOKUP($N929,'Calculo Leads Conveniencia'!$A$77:$A$104,'Calculo Leads Conveniencia'!H$77:H$104)*_xlfn.XLOOKUP($P929,'Base Grupo de Produtos'!$E$23:$E$39,'Base Grupo de Produtos'!$F$23:$F$39)</f>
        <v>0</v>
      </c>
      <c r="V929" s="56">
        <f>_xlfn.XLOOKUP($N929,'Calculo Leads Conveniencia'!$A$77:$A$104,'Calculo Leads Conveniencia'!I$77:I$104)*_xlfn.XLOOKUP($P929,'Base Grupo de Produtos'!$E$23:$E$39,'Base Grupo de Produtos'!$F$23:$F$39)</f>
        <v>0</v>
      </c>
      <c r="W929" s="56">
        <f>_xlfn.XLOOKUP($N929,'Calculo Leads Conveniencia'!$A$77:$A$104,'Calculo Leads Conveniencia'!J$77:J$104)*_xlfn.XLOOKUP($P929,'Base Grupo de Produtos'!$E$23:$E$39,'Base Grupo de Produtos'!$F$23:$F$39)</f>
        <v>0</v>
      </c>
      <c r="X929" s="56">
        <f>_xlfn.XLOOKUP($N929,'Calculo Leads Conveniencia'!$A$77:$A$104,'Calculo Leads Conveniencia'!K$77:K$104)*_xlfn.XLOOKUP($P929,'Base Grupo de Produtos'!$E$23:$E$39,'Base Grupo de Produtos'!$F$23:$F$39)</f>
        <v>0</v>
      </c>
      <c r="Y929" s="56">
        <f>_xlfn.XLOOKUP($N929,'Calculo Leads Conveniencia'!$A$77:$A$104,'Calculo Leads Conveniencia'!L$77:L$104)*_xlfn.XLOOKUP($P929,'Base Grupo de Produtos'!$E$23:$E$39,'Base Grupo de Produtos'!$F$23:$F$39)</f>
        <v>0</v>
      </c>
      <c r="Z929" s="56">
        <f>_xlfn.XLOOKUP($N929,'Calculo Leads Conveniencia'!$A$77:$A$104,'Calculo Leads Conveniencia'!M$77:M$104)*_xlfn.XLOOKUP($P929,'Base Grupo de Produtos'!$E$23:$E$39,'Base Grupo de Produtos'!$F$23:$F$39)</f>
        <v>0</v>
      </c>
      <c r="AA929" s="56">
        <f>_xlfn.XLOOKUP($N929,'Calculo Leads Conveniencia'!$A$77:$A$104,'Calculo Leads Conveniencia'!N$77:N$104)*_xlfn.XLOOKUP($P929,'Base Grupo de Produtos'!$E$23:$E$39,'Base Grupo de Produtos'!$F$23:$F$39)</f>
        <v>0</v>
      </c>
      <c r="AB929" s="56">
        <f>_xlfn.XLOOKUP($N929,'Calculo Leads Conveniencia'!$A$77:$A$104,'Calculo Leads Conveniencia'!O$77:O$104)*_xlfn.XLOOKUP($P929,'Base Grupo de Produtos'!$E$23:$E$39,'Base Grupo de Produtos'!$F$23:$F$39)</f>
        <v>0</v>
      </c>
      <c r="AC929" s="61">
        <f t="shared" si="893"/>
        <v>0</v>
      </c>
      <c r="AD929" s="28"/>
      <c r="AE929" s="12"/>
      <c r="AF929" s="29"/>
      <c r="AG929" s="9"/>
      <c r="AH929" s="10"/>
      <c r="AI929" s="9"/>
      <c r="AJ929" s="11"/>
      <c r="AK929" s="9"/>
      <c r="AL929" s="13"/>
      <c r="AM929" s="9"/>
    </row>
    <row r="930" spans="1:39" x14ac:dyDescent="0.3">
      <c r="A930" s="2" t="str">
        <f t="shared" si="920"/>
        <v>NÃO</v>
      </c>
      <c r="B930" s="2" t="str">
        <f>_xlfn.XLOOKUP($N930,'Base de Grupos'!$A:$A,'Base de Grupos'!$D:$D)</f>
        <v>1000065763</v>
      </c>
      <c r="C930" s="5" t="str">
        <f>_xlfn.XLOOKUP($N930,'Base de Grupos'!$A:$A,'Base de Grupos'!$E:$E)</f>
        <v>CANAL VENDA INTERNA</v>
      </c>
      <c r="D930" s="5" t="str">
        <f>_xlfn.XLOOKUP($N930,'Base de Grupos'!$A:$A,'Base de Grupos'!$F:$F)</f>
        <v>1000065763</v>
      </c>
      <c r="E930" s="2" t="str">
        <f>_xlfn.XLOOKUP($N930,'Base de Grupos'!$A:$A,'Base de Grupos'!$G:$G)</f>
        <v>CANAL VENDA INTERNA</v>
      </c>
      <c r="F930" s="2" t="str">
        <f>_xlfn.XLOOKUP($N930,'Base de Grupos'!$A:$A,'Base de Grupos'!$H:$H)</f>
        <v>1000174119</v>
      </c>
      <c r="G930" s="5" t="str">
        <f>_xlfn.XLOOKUP($N930,'Base de Grupos'!$A:$A,'Base de Grupos'!$I:$I)</f>
        <v>REGIONAL VENDA INTERNA - CONVENIENCIA</v>
      </c>
      <c r="H930" s="5" t="str">
        <f>_xlfn.XLOOKUP($N930,'Base de Grupos'!$A:$A,'Base de Grupos'!$J:$J)</f>
        <v>1000174119</v>
      </c>
      <c r="I930" s="2" t="str">
        <f>_xlfn.XLOOKUP($N930,'Base de Grupos'!$A:$A,'Base de Grupos'!$K:$K)</f>
        <v>REGIONAL VENDA INTERNA - CONVENIENCIA</v>
      </c>
      <c r="J930" s="2" t="str">
        <f>_xlfn.XLOOKUP($N930,'Base de Grupos'!$A:$A,'Base de Grupos'!$L:$L)</f>
        <v>1000174119</v>
      </c>
      <c r="K930" s="5" t="str">
        <f>_xlfn.XLOOKUP($N930,'Base de Grupos'!$A:$A,'Base de Grupos'!$M:$M)</f>
        <v>REGIONAL VENDA INTERNA - CONVENIENCIA</v>
      </c>
      <c r="L930" s="5" t="str">
        <f t="shared" si="921"/>
        <v/>
      </c>
      <c r="M930" s="5" t="str">
        <f>_xlfn.XLOOKUP($N930,'Base de Grupos'!$A:$A,'Base de Grupos'!$C:$C)</f>
        <v>AL</v>
      </c>
      <c r="N930" s="3">
        <v>1516</v>
      </c>
      <c r="O930" s="4" t="s">
        <v>275</v>
      </c>
      <c r="P930" s="5" t="s">
        <v>108</v>
      </c>
      <c r="Q930" s="56">
        <v>0</v>
      </c>
      <c r="R930" s="56">
        <v>0</v>
      </c>
      <c r="S930" s="56">
        <v>0</v>
      </c>
      <c r="T930" s="56">
        <f>_xlfn.XLOOKUP($N930,'Calculo Leads Conveniencia'!$A$77:$A$104,'Calculo Leads Conveniencia'!G$77:G$104)*_xlfn.XLOOKUP($P930,'Base Grupo de Produtos'!$E$23:$E$39,'Base Grupo de Produtos'!$F$23:$F$39)</f>
        <v>0</v>
      </c>
      <c r="U930" s="56">
        <f>_xlfn.XLOOKUP($N930,'Calculo Leads Conveniencia'!$A$77:$A$104,'Calculo Leads Conveniencia'!H$77:H$104)*_xlfn.XLOOKUP($P930,'Base Grupo de Produtos'!$E$23:$E$39,'Base Grupo de Produtos'!$F$23:$F$39)</f>
        <v>0</v>
      </c>
      <c r="V930" s="56">
        <f>_xlfn.XLOOKUP($N930,'Calculo Leads Conveniencia'!$A$77:$A$104,'Calculo Leads Conveniencia'!I$77:I$104)*_xlfn.XLOOKUP($P930,'Base Grupo de Produtos'!$E$23:$E$39,'Base Grupo de Produtos'!$F$23:$F$39)</f>
        <v>0</v>
      </c>
      <c r="W930" s="56">
        <f>_xlfn.XLOOKUP($N930,'Calculo Leads Conveniencia'!$A$77:$A$104,'Calculo Leads Conveniencia'!J$77:J$104)*_xlfn.XLOOKUP($P930,'Base Grupo de Produtos'!$E$23:$E$39,'Base Grupo de Produtos'!$F$23:$F$39)</f>
        <v>0</v>
      </c>
      <c r="X930" s="56">
        <f>_xlfn.XLOOKUP($N930,'Calculo Leads Conveniencia'!$A$77:$A$104,'Calculo Leads Conveniencia'!K$77:K$104)*_xlfn.XLOOKUP($P930,'Base Grupo de Produtos'!$E$23:$E$39,'Base Grupo de Produtos'!$F$23:$F$39)</f>
        <v>0</v>
      </c>
      <c r="Y930" s="56">
        <f>_xlfn.XLOOKUP($N930,'Calculo Leads Conveniencia'!$A$77:$A$104,'Calculo Leads Conveniencia'!L$77:L$104)*_xlfn.XLOOKUP($P930,'Base Grupo de Produtos'!$E$23:$E$39,'Base Grupo de Produtos'!$F$23:$F$39)</f>
        <v>0</v>
      </c>
      <c r="Z930" s="56">
        <f>_xlfn.XLOOKUP($N930,'Calculo Leads Conveniencia'!$A$77:$A$104,'Calculo Leads Conveniencia'!M$77:M$104)*_xlfn.XLOOKUP($P930,'Base Grupo de Produtos'!$E$23:$E$39,'Base Grupo de Produtos'!$F$23:$F$39)</f>
        <v>0</v>
      </c>
      <c r="AA930" s="56">
        <f>_xlfn.XLOOKUP($N930,'Calculo Leads Conveniencia'!$A$77:$A$104,'Calculo Leads Conveniencia'!N$77:N$104)*_xlfn.XLOOKUP($P930,'Base Grupo de Produtos'!$E$23:$E$39,'Base Grupo de Produtos'!$F$23:$F$39)</f>
        <v>0</v>
      </c>
      <c r="AB930" s="56">
        <f>_xlfn.XLOOKUP($N930,'Calculo Leads Conveniencia'!$A$77:$A$104,'Calculo Leads Conveniencia'!O$77:O$104)*_xlfn.XLOOKUP($P930,'Base Grupo de Produtos'!$E$23:$E$39,'Base Grupo de Produtos'!$F$23:$F$39)</f>
        <v>0</v>
      </c>
      <c r="AC930" s="61">
        <f t="shared" si="893"/>
        <v>0</v>
      </c>
      <c r="AD930" s="28"/>
      <c r="AE930" s="12"/>
      <c r="AF930" s="29"/>
      <c r="AG930" s="9"/>
      <c r="AH930" s="10"/>
      <c r="AI930" s="9"/>
      <c r="AJ930" s="11"/>
      <c r="AK930" s="9"/>
      <c r="AL930" s="13"/>
      <c r="AM930" s="9"/>
    </row>
    <row r="931" spans="1:39" x14ac:dyDescent="0.3">
      <c r="A931" s="2" t="str">
        <f t="shared" si="920"/>
        <v>NÃO</v>
      </c>
      <c r="B931" s="2" t="str">
        <f>_xlfn.XLOOKUP($N931,'Base de Grupos'!$A:$A,'Base de Grupos'!$D:$D)</f>
        <v>1000065763</v>
      </c>
      <c r="C931" s="5" t="str">
        <f>_xlfn.XLOOKUP($N931,'Base de Grupos'!$A:$A,'Base de Grupos'!$E:$E)</f>
        <v>CANAL VENDA INTERNA</v>
      </c>
      <c r="D931" s="5" t="str">
        <f>_xlfn.XLOOKUP($N931,'Base de Grupos'!$A:$A,'Base de Grupos'!$F:$F)</f>
        <v>1000065763</v>
      </c>
      <c r="E931" s="2" t="str">
        <f>_xlfn.XLOOKUP($N931,'Base de Grupos'!$A:$A,'Base de Grupos'!$G:$G)</f>
        <v>CANAL VENDA INTERNA</v>
      </c>
      <c r="F931" s="2" t="str">
        <f>_xlfn.XLOOKUP($N931,'Base de Grupos'!$A:$A,'Base de Grupos'!$H:$H)</f>
        <v>1000174119</v>
      </c>
      <c r="G931" s="5" t="str">
        <f>_xlfn.XLOOKUP($N931,'Base de Grupos'!$A:$A,'Base de Grupos'!$I:$I)</f>
        <v>REGIONAL VENDA INTERNA - CONVENIENCIA</v>
      </c>
      <c r="H931" s="5" t="str">
        <f>_xlfn.XLOOKUP($N931,'Base de Grupos'!$A:$A,'Base de Grupos'!$J:$J)</f>
        <v>1000174119</v>
      </c>
      <c r="I931" s="2" t="str">
        <f>_xlfn.XLOOKUP($N931,'Base de Grupos'!$A:$A,'Base de Grupos'!$K:$K)</f>
        <v>REGIONAL VENDA INTERNA - CONVENIENCIA</v>
      </c>
      <c r="J931" s="2" t="str">
        <f>_xlfn.XLOOKUP($N931,'Base de Grupos'!$A:$A,'Base de Grupos'!$L:$L)</f>
        <v>1000174119</v>
      </c>
      <c r="K931" s="5" t="str">
        <f>_xlfn.XLOOKUP($N931,'Base de Grupos'!$A:$A,'Base de Grupos'!$M:$M)</f>
        <v>REGIONAL VENDA INTERNA - CONVENIENCIA</v>
      </c>
      <c r="L931" s="5" t="str">
        <f t="shared" si="921"/>
        <v/>
      </c>
      <c r="M931" s="5" t="str">
        <f>_xlfn.XLOOKUP($N931,'Base de Grupos'!$A:$A,'Base de Grupos'!$C:$C)</f>
        <v>AL</v>
      </c>
      <c r="N931" s="3">
        <v>1516</v>
      </c>
      <c r="O931" s="4" t="s">
        <v>275</v>
      </c>
      <c r="P931" s="5" t="s">
        <v>89</v>
      </c>
      <c r="Q931" s="56">
        <v>0</v>
      </c>
      <c r="R931" s="56">
        <v>0</v>
      </c>
      <c r="S931" s="56">
        <v>0</v>
      </c>
      <c r="T931" s="56">
        <f>_xlfn.XLOOKUP($N931,'Calculo Leads Conveniencia'!$A$77:$A$104,'Calculo Leads Conveniencia'!G$77:G$104)*_xlfn.XLOOKUP($P931,'Base Grupo de Produtos'!$E$23:$E$39,'Base Grupo de Produtos'!$F$23:$F$39)</f>
        <v>0</v>
      </c>
      <c r="U931" s="56">
        <f>_xlfn.XLOOKUP($N931,'Calculo Leads Conveniencia'!$A$77:$A$104,'Calculo Leads Conveniencia'!H$77:H$104)*_xlfn.XLOOKUP($P931,'Base Grupo de Produtos'!$E$23:$E$39,'Base Grupo de Produtos'!$F$23:$F$39)</f>
        <v>0</v>
      </c>
      <c r="V931" s="56">
        <f>_xlfn.XLOOKUP($N931,'Calculo Leads Conveniencia'!$A$77:$A$104,'Calculo Leads Conveniencia'!I$77:I$104)*_xlfn.XLOOKUP($P931,'Base Grupo de Produtos'!$E$23:$E$39,'Base Grupo de Produtos'!$F$23:$F$39)</f>
        <v>0</v>
      </c>
      <c r="W931" s="56">
        <f>_xlfn.XLOOKUP($N931,'Calculo Leads Conveniencia'!$A$77:$A$104,'Calculo Leads Conveniencia'!J$77:J$104)*_xlfn.XLOOKUP($P931,'Base Grupo de Produtos'!$E$23:$E$39,'Base Grupo de Produtos'!$F$23:$F$39)</f>
        <v>0</v>
      </c>
      <c r="X931" s="56">
        <f>_xlfn.XLOOKUP($N931,'Calculo Leads Conveniencia'!$A$77:$A$104,'Calculo Leads Conveniencia'!K$77:K$104)*_xlfn.XLOOKUP($P931,'Base Grupo de Produtos'!$E$23:$E$39,'Base Grupo de Produtos'!$F$23:$F$39)</f>
        <v>0</v>
      </c>
      <c r="Y931" s="56">
        <f>_xlfn.XLOOKUP($N931,'Calculo Leads Conveniencia'!$A$77:$A$104,'Calculo Leads Conveniencia'!L$77:L$104)*_xlfn.XLOOKUP($P931,'Base Grupo de Produtos'!$E$23:$E$39,'Base Grupo de Produtos'!$F$23:$F$39)</f>
        <v>0</v>
      </c>
      <c r="Z931" s="56">
        <f>_xlfn.XLOOKUP($N931,'Calculo Leads Conveniencia'!$A$77:$A$104,'Calculo Leads Conveniencia'!M$77:M$104)*_xlfn.XLOOKUP($P931,'Base Grupo de Produtos'!$E$23:$E$39,'Base Grupo de Produtos'!$F$23:$F$39)</f>
        <v>0</v>
      </c>
      <c r="AA931" s="56">
        <f>_xlfn.XLOOKUP($N931,'Calculo Leads Conveniencia'!$A$77:$A$104,'Calculo Leads Conveniencia'!N$77:N$104)*_xlfn.XLOOKUP($P931,'Base Grupo de Produtos'!$E$23:$E$39,'Base Grupo de Produtos'!$F$23:$F$39)</f>
        <v>0</v>
      </c>
      <c r="AB931" s="56">
        <f>_xlfn.XLOOKUP($N931,'Calculo Leads Conveniencia'!$A$77:$A$104,'Calculo Leads Conveniencia'!O$77:O$104)*_xlfn.XLOOKUP($P931,'Base Grupo de Produtos'!$E$23:$E$39,'Base Grupo de Produtos'!$F$23:$F$39)</f>
        <v>0</v>
      </c>
      <c r="AC931" s="61">
        <f t="shared" si="893"/>
        <v>0</v>
      </c>
      <c r="AD931" s="28"/>
      <c r="AE931" s="12"/>
      <c r="AF931" s="29"/>
      <c r="AG931" s="9"/>
      <c r="AH931" s="10"/>
      <c r="AI931" s="9"/>
      <c r="AJ931" s="11"/>
      <c r="AK931" s="9"/>
      <c r="AL931" s="13"/>
      <c r="AM931" s="9"/>
    </row>
    <row r="932" spans="1:39" x14ac:dyDescent="0.3">
      <c r="A932" s="2" t="str">
        <f t="shared" si="920"/>
        <v>NÃO</v>
      </c>
      <c r="B932" s="2" t="str">
        <f>_xlfn.XLOOKUP($N932,'Base de Grupos'!$A:$A,'Base de Grupos'!$D:$D)</f>
        <v>1000065763</v>
      </c>
      <c r="C932" s="5" t="str">
        <f>_xlfn.XLOOKUP($N932,'Base de Grupos'!$A:$A,'Base de Grupos'!$E:$E)</f>
        <v>CANAL VENDA INTERNA</v>
      </c>
      <c r="D932" s="5" t="str">
        <f>_xlfn.XLOOKUP($N932,'Base de Grupos'!$A:$A,'Base de Grupos'!$F:$F)</f>
        <v>1000065763</v>
      </c>
      <c r="E932" s="2" t="str">
        <f>_xlfn.XLOOKUP($N932,'Base de Grupos'!$A:$A,'Base de Grupos'!$G:$G)</f>
        <v>CANAL VENDA INTERNA</v>
      </c>
      <c r="F932" s="2" t="str">
        <f>_xlfn.XLOOKUP($N932,'Base de Grupos'!$A:$A,'Base de Grupos'!$H:$H)</f>
        <v>1000174119</v>
      </c>
      <c r="G932" s="5" t="str">
        <f>_xlfn.XLOOKUP($N932,'Base de Grupos'!$A:$A,'Base de Grupos'!$I:$I)</f>
        <v>REGIONAL VENDA INTERNA - CONVENIENCIA</v>
      </c>
      <c r="H932" s="5" t="str">
        <f>_xlfn.XLOOKUP($N932,'Base de Grupos'!$A:$A,'Base de Grupos'!$J:$J)</f>
        <v>1000174119</v>
      </c>
      <c r="I932" s="2" t="str">
        <f>_xlfn.XLOOKUP($N932,'Base de Grupos'!$A:$A,'Base de Grupos'!$K:$K)</f>
        <v>REGIONAL VENDA INTERNA - CONVENIENCIA</v>
      </c>
      <c r="J932" s="2" t="str">
        <f>_xlfn.XLOOKUP($N932,'Base de Grupos'!$A:$A,'Base de Grupos'!$L:$L)</f>
        <v>1000174119</v>
      </c>
      <c r="K932" s="5" t="str">
        <f>_xlfn.XLOOKUP($N932,'Base de Grupos'!$A:$A,'Base de Grupos'!$M:$M)</f>
        <v>REGIONAL VENDA INTERNA - CONVENIENCIA</v>
      </c>
      <c r="L932" s="5" t="str">
        <f t="shared" si="921"/>
        <v/>
      </c>
      <c r="M932" s="5" t="str">
        <f>_xlfn.XLOOKUP($N932,'Base de Grupos'!$A:$A,'Base de Grupos'!$C:$C)</f>
        <v>AL</v>
      </c>
      <c r="N932" s="3">
        <v>1516</v>
      </c>
      <c r="O932" s="4" t="s">
        <v>275</v>
      </c>
      <c r="P932" s="5" t="s">
        <v>88</v>
      </c>
      <c r="Q932" s="56">
        <v>0</v>
      </c>
      <c r="R932" s="56">
        <v>0</v>
      </c>
      <c r="S932" s="56">
        <v>0</v>
      </c>
      <c r="T932" s="56">
        <f>_xlfn.XLOOKUP($N932,'Calculo Leads Conveniencia'!$A$77:$A$104,'Calculo Leads Conveniencia'!G$77:G$104)*_xlfn.XLOOKUP($P932,'Base Grupo de Produtos'!$E$23:$E$39,'Base Grupo de Produtos'!$F$23:$F$39)</f>
        <v>0</v>
      </c>
      <c r="U932" s="56">
        <f>_xlfn.XLOOKUP($N932,'Calculo Leads Conveniencia'!$A$77:$A$104,'Calculo Leads Conveniencia'!H$77:H$104)*_xlfn.XLOOKUP($P932,'Base Grupo de Produtos'!$E$23:$E$39,'Base Grupo de Produtos'!$F$23:$F$39)</f>
        <v>0</v>
      </c>
      <c r="V932" s="56">
        <f>_xlfn.XLOOKUP($N932,'Calculo Leads Conveniencia'!$A$77:$A$104,'Calculo Leads Conveniencia'!I$77:I$104)*_xlfn.XLOOKUP($P932,'Base Grupo de Produtos'!$E$23:$E$39,'Base Grupo de Produtos'!$F$23:$F$39)</f>
        <v>0</v>
      </c>
      <c r="W932" s="56">
        <f>_xlfn.XLOOKUP($N932,'Calculo Leads Conveniencia'!$A$77:$A$104,'Calculo Leads Conveniencia'!J$77:J$104)*_xlfn.XLOOKUP($P932,'Base Grupo de Produtos'!$E$23:$E$39,'Base Grupo de Produtos'!$F$23:$F$39)</f>
        <v>0</v>
      </c>
      <c r="X932" s="56">
        <f>_xlfn.XLOOKUP($N932,'Calculo Leads Conveniencia'!$A$77:$A$104,'Calculo Leads Conveniencia'!K$77:K$104)*_xlfn.XLOOKUP($P932,'Base Grupo de Produtos'!$E$23:$E$39,'Base Grupo de Produtos'!$F$23:$F$39)</f>
        <v>0</v>
      </c>
      <c r="Y932" s="56">
        <f>_xlfn.XLOOKUP($N932,'Calculo Leads Conveniencia'!$A$77:$A$104,'Calculo Leads Conveniencia'!L$77:L$104)*_xlfn.XLOOKUP($P932,'Base Grupo de Produtos'!$E$23:$E$39,'Base Grupo de Produtos'!$F$23:$F$39)</f>
        <v>0</v>
      </c>
      <c r="Z932" s="56">
        <f>_xlfn.XLOOKUP($N932,'Calculo Leads Conveniencia'!$A$77:$A$104,'Calculo Leads Conveniencia'!M$77:M$104)*_xlfn.XLOOKUP($P932,'Base Grupo de Produtos'!$E$23:$E$39,'Base Grupo de Produtos'!$F$23:$F$39)</f>
        <v>0</v>
      </c>
      <c r="AA932" s="56">
        <f>_xlfn.XLOOKUP($N932,'Calculo Leads Conveniencia'!$A$77:$A$104,'Calculo Leads Conveniencia'!N$77:N$104)*_xlfn.XLOOKUP($P932,'Base Grupo de Produtos'!$E$23:$E$39,'Base Grupo de Produtos'!$F$23:$F$39)</f>
        <v>0</v>
      </c>
      <c r="AB932" s="56">
        <f>_xlfn.XLOOKUP($N932,'Calculo Leads Conveniencia'!$A$77:$A$104,'Calculo Leads Conveniencia'!O$77:O$104)*_xlfn.XLOOKUP($P932,'Base Grupo de Produtos'!$E$23:$E$39,'Base Grupo de Produtos'!$F$23:$F$39)</f>
        <v>0</v>
      </c>
      <c r="AC932" s="61">
        <f t="shared" si="893"/>
        <v>0</v>
      </c>
      <c r="AD932" s="28"/>
      <c r="AE932" s="12"/>
      <c r="AF932" s="29"/>
      <c r="AG932" s="9"/>
      <c r="AH932" s="10"/>
      <c r="AI932" s="9"/>
      <c r="AJ932" s="11"/>
      <c r="AK932" s="9"/>
      <c r="AL932" s="13"/>
      <c r="AM932" s="9"/>
    </row>
    <row r="933" spans="1:39" x14ac:dyDescent="0.3">
      <c r="A933" s="2" t="str">
        <f t="shared" si="920"/>
        <v>NÃO</v>
      </c>
      <c r="B933" s="2" t="str">
        <f>_xlfn.XLOOKUP($N933,'Base de Grupos'!$A:$A,'Base de Grupos'!$D:$D)</f>
        <v>1000065763</v>
      </c>
      <c r="C933" s="5" t="str">
        <f>_xlfn.XLOOKUP($N933,'Base de Grupos'!$A:$A,'Base de Grupos'!$E:$E)</f>
        <v>CANAL VENDA INTERNA</v>
      </c>
      <c r="D933" s="5" t="str">
        <f>_xlfn.XLOOKUP($N933,'Base de Grupos'!$A:$A,'Base de Grupos'!$F:$F)</f>
        <v>1000065763</v>
      </c>
      <c r="E933" s="2" t="str">
        <f>_xlfn.XLOOKUP($N933,'Base de Grupos'!$A:$A,'Base de Grupos'!$G:$G)</f>
        <v>CANAL VENDA INTERNA</v>
      </c>
      <c r="F933" s="2" t="str">
        <f>_xlfn.XLOOKUP($N933,'Base de Grupos'!$A:$A,'Base de Grupos'!$H:$H)</f>
        <v>1000174119</v>
      </c>
      <c r="G933" s="5" t="str">
        <f>_xlfn.XLOOKUP($N933,'Base de Grupos'!$A:$A,'Base de Grupos'!$I:$I)</f>
        <v>REGIONAL VENDA INTERNA - CONVENIENCIA</v>
      </c>
      <c r="H933" s="5" t="str">
        <f>_xlfn.XLOOKUP($N933,'Base de Grupos'!$A:$A,'Base de Grupos'!$J:$J)</f>
        <v>1000174119</v>
      </c>
      <c r="I933" s="2" t="str">
        <f>_xlfn.XLOOKUP($N933,'Base de Grupos'!$A:$A,'Base de Grupos'!$K:$K)</f>
        <v>REGIONAL VENDA INTERNA - CONVENIENCIA</v>
      </c>
      <c r="J933" s="2" t="str">
        <f>_xlfn.XLOOKUP($N933,'Base de Grupos'!$A:$A,'Base de Grupos'!$L:$L)</f>
        <v>1000174119</v>
      </c>
      <c r="K933" s="5" t="str">
        <f>_xlfn.XLOOKUP($N933,'Base de Grupos'!$A:$A,'Base de Grupos'!$M:$M)</f>
        <v>REGIONAL VENDA INTERNA - CONVENIENCIA</v>
      </c>
      <c r="L933" s="5" t="str">
        <f t="shared" si="921"/>
        <v/>
      </c>
      <c r="M933" s="5" t="str">
        <f>_xlfn.XLOOKUP($N933,'Base de Grupos'!$A:$A,'Base de Grupos'!$C:$C)</f>
        <v>AL</v>
      </c>
      <c r="N933" s="3">
        <v>1516</v>
      </c>
      <c r="O933" s="4" t="s">
        <v>275</v>
      </c>
      <c r="P933" s="5" t="s">
        <v>90</v>
      </c>
      <c r="Q933" s="56">
        <v>0</v>
      </c>
      <c r="R933" s="56">
        <v>0</v>
      </c>
      <c r="S933" s="56">
        <v>0</v>
      </c>
      <c r="T933" s="56">
        <f>_xlfn.XLOOKUP($N933,'Calculo Leads Conveniencia'!$A$77:$A$104,'Calculo Leads Conveniencia'!G$77:G$104)*_xlfn.XLOOKUP($P933,'Base Grupo de Produtos'!$E$23:$E$39,'Base Grupo de Produtos'!$F$23:$F$39)</f>
        <v>0</v>
      </c>
      <c r="U933" s="56">
        <f>_xlfn.XLOOKUP($N933,'Calculo Leads Conveniencia'!$A$77:$A$104,'Calculo Leads Conveniencia'!H$77:H$104)*_xlfn.XLOOKUP($P933,'Base Grupo de Produtos'!$E$23:$E$39,'Base Grupo de Produtos'!$F$23:$F$39)</f>
        <v>0</v>
      </c>
      <c r="V933" s="56">
        <f>_xlfn.XLOOKUP($N933,'Calculo Leads Conveniencia'!$A$77:$A$104,'Calculo Leads Conveniencia'!I$77:I$104)*_xlfn.XLOOKUP($P933,'Base Grupo de Produtos'!$E$23:$E$39,'Base Grupo de Produtos'!$F$23:$F$39)</f>
        <v>0</v>
      </c>
      <c r="W933" s="56">
        <f>_xlfn.XLOOKUP($N933,'Calculo Leads Conveniencia'!$A$77:$A$104,'Calculo Leads Conveniencia'!J$77:J$104)*_xlfn.XLOOKUP($P933,'Base Grupo de Produtos'!$E$23:$E$39,'Base Grupo de Produtos'!$F$23:$F$39)</f>
        <v>0</v>
      </c>
      <c r="X933" s="56">
        <f>_xlfn.XLOOKUP($N933,'Calculo Leads Conveniencia'!$A$77:$A$104,'Calculo Leads Conveniencia'!K$77:K$104)*_xlfn.XLOOKUP($P933,'Base Grupo de Produtos'!$E$23:$E$39,'Base Grupo de Produtos'!$F$23:$F$39)</f>
        <v>0</v>
      </c>
      <c r="Y933" s="56">
        <f>_xlfn.XLOOKUP($N933,'Calculo Leads Conveniencia'!$A$77:$A$104,'Calculo Leads Conveniencia'!L$77:L$104)*_xlfn.XLOOKUP($P933,'Base Grupo de Produtos'!$E$23:$E$39,'Base Grupo de Produtos'!$F$23:$F$39)</f>
        <v>0</v>
      </c>
      <c r="Z933" s="56">
        <f>_xlfn.XLOOKUP($N933,'Calculo Leads Conveniencia'!$A$77:$A$104,'Calculo Leads Conveniencia'!M$77:M$104)*_xlfn.XLOOKUP($P933,'Base Grupo de Produtos'!$E$23:$E$39,'Base Grupo de Produtos'!$F$23:$F$39)</f>
        <v>0</v>
      </c>
      <c r="AA933" s="56">
        <f>_xlfn.XLOOKUP($N933,'Calculo Leads Conveniencia'!$A$77:$A$104,'Calculo Leads Conveniencia'!N$77:N$104)*_xlfn.XLOOKUP($P933,'Base Grupo de Produtos'!$E$23:$E$39,'Base Grupo de Produtos'!$F$23:$F$39)</f>
        <v>0</v>
      </c>
      <c r="AB933" s="56">
        <f>_xlfn.XLOOKUP($N933,'Calculo Leads Conveniencia'!$A$77:$A$104,'Calculo Leads Conveniencia'!O$77:O$104)*_xlfn.XLOOKUP($P933,'Base Grupo de Produtos'!$E$23:$E$39,'Base Grupo de Produtos'!$F$23:$F$39)</f>
        <v>0</v>
      </c>
      <c r="AC933" s="61">
        <f t="shared" si="893"/>
        <v>0</v>
      </c>
      <c r="AD933" s="28"/>
      <c r="AE933" s="12"/>
      <c r="AF933" s="29"/>
      <c r="AG933" s="9"/>
      <c r="AH933" s="10"/>
      <c r="AI933" s="9"/>
      <c r="AJ933" s="11"/>
      <c r="AK933" s="9"/>
      <c r="AL933" s="13"/>
      <c r="AM933" s="9"/>
    </row>
    <row r="934" spans="1:39" x14ac:dyDescent="0.3">
      <c r="A934" s="2" t="str">
        <f t="shared" si="920"/>
        <v>NÃO</v>
      </c>
      <c r="B934" s="2" t="str">
        <f>_xlfn.XLOOKUP($N934,'Base de Grupos'!$A:$A,'Base de Grupos'!$D:$D)</f>
        <v>1000065763</v>
      </c>
      <c r="C934" s="5" t="str">
        <f>_xlfn.XLOOKUP($N934,'Base de Grupos'!$A:$A,'Base de Grupos'!$E:$E)</f>
        <v>CANAL VENDA INTERNA</v>
      </c>
      <c r="D934" s="5" t="str">
        <f>_xlfn.XLOOKUP($N934,'Base de Grupos'!$A:$A,'Base de Grupos'!$F:$F)</f>
        <v>1000065763</v>
      </c>
      <c r="E934" s="2" t="str">
        <f>_xlfn.XLOOKUP($N934,'Base de Grupos'!$A:$A,'Base de Grupos'!$G:$G)</f>
        <v>CANAL VENDA INTERNA</v>
      </c>
      <c r="F934" s="2" t="str">
        <f>_xlfn.XLOOKUP($N934,'Base de Grupos'!$A:$A,'Base de Grupos'!$H:$H)</f>
        <v>1000174119</v>
      </c>
      <c r="G934" s="5" t="str">
        <f>_xlfn.XLOOKUP($N934,'Base de Grupos'!$A:$A,'Base de Grupos'!$I:$I)</f>
        <v>REGIONAL VENDA INTERNA - CONVENIENCIA</v>
      </c>
      <c r="H934" s="5" t="str">
        <f>_xlfn.XLOOKUP($N934,'Base de Grupos'!$A:$A,'Base de Grupos'!$J:$J)</f>
        <v>1000174119</v>
      </c>
      <c r="I934" s="2" t="str">
        <f>_xlfn.XLOOKUP($N934,'Base de Grupos'!$A:$A,'Base de Grupos'!$K:$K)</f>
        <v>REGIONAL VENDA INTERNA - CONVENIENCIA</v>
      </c>
      <c r="J934" s="2" t="str">
        <f>_xlfn.XLOOKUP($N934,'Base de Grupos'!$A:$A,'Base de Grupos'!$L:$L)</f>
        <v>1000174119</v>
      </c>
      <c r="K934" s="5" t="str">
        <f>_xlfn.XLOOKUP($N934,'Base de Grupos'!$A:$A,'Base de Grupos'!$M:$M)</f>
        <v>REGIONAL VENDA INTERNA - CONVENIENCIA</v>
      </c>
      <c r="L934" s="5" t="str">
        <f t="shared" si="921"/>
        <v/>
      </c>
      <c r="M934" s="5" t="str">
        <f>_xlfn.XLOOKUP($N934,'Base de Grupos'!$A:$A,'Base de Grupos'!$C:$C)</f>
        <v>AL</v>
      </c>
      <c r="N934" s="3">
        <v>1516</v>
      </c>
      <c r="O934" s="4" t="s">
        <v>275</v>
      </c>
      <c r="P934" s="5" t="s">
        <v>91</v>
      </c>
      <c r="Q934" s="56">
        <v>0</v>
      </c>
      <c r="R934" s="56">
        <v>0</v>
      </c>
      <c r="S934" s="56">
        <v>0</v>
      </c>
      <c r="T934" s="56">
        <f>_xlfn.XLOOKUP($N934,'Calculo Leads Conveniencia'!$A$77:$A$104,'Calculo Leads Conveniencia'!G$77:G$104)*_xlfn.XLOOKUP($P934,'Base Grupo de Produtos'!$E$23:$E$39,'Base Grupo de Produtos'!$F$23:$F$39)</f>
        <v>0</v>
      </c>
      <c r="U934" s="56">
        <f>_xlfn.XLOOKUP($N934,'Calculo Leads Conveniencia'!$A$77:$A$104,'Calculo Leads Conveniencia'!H$77:H$104)*_xlfn.XLOOKUP($P934,'Base Grupo de Produtos'!$E$23:$E$39,'Base Grupo de Produtos'!$F$23:$F$39)</f>
        <v>0</v>
      </c>
      <c r="V934" s="56">
        <f>_xlfn.XLOOKUP($N934,'Calculo Leads Conveniencia'!$A$77:$A$104,'Calculo Leads Conveniencia'!I$77:I$104)*_xlfn.XLOOKUP($P934,'Base Grupo de Produtos'!$E$23:$E$39,'Base Grupo de Produtos'!$F$23:$F$39)</f>
        <v>0</v>
      </c>
      <c r="W934" s="56">
        <f>_xlfn.XLOOKUP($N934,'Calculo Leads Conveniencia'!$A$77:$A$104,'Calculo Leads Conveniencia'!J$77:J$104)*_xlfn.XLOOKUP($P934,'Base Grupo de Produtos'!$E$23:$E$39,'Base Grupo de Produtos'!$F$23:$F$39)</f>
        <v>0</v>
      </c>
      <c r="X934" s="56">
        <f>_xlfn.XLOOKUP($N934,'Calculo Leads Conveniencia'!$A$77:$A$104,'Calculo Leads Conveniencia'!K$77:K$104)*_xlfn.XLOOKUP($P934,'Base Grupo de Produtos'!$E$23:$E$39,'Base Grupo de Produtos'!$F$23:$F$39)</f>
        <v>0</v>
      </c>
      <c r="Y934" s="56">
        <f>_xlfn.XLOOKUP($N934,'Calculo Leads Conveniencia'!$A$77:$A$104,'Calculo Leads Conveniencia'!L$77:L$104)*_xlfn.XLOOKUP($P934,'Base Grupo de Produtos'!$E$23:$E$39,'Base Grupo de Produtos'!$F$23:$F$39)</f>
        <v>0</v>
      </c>
      <c r="Z934" s="56">
        <f>_xlfn.XLOOKUP($N934,'Calculo Leads Conveniencia'!$A$77:$A$104,'Calculo Leads Conveniencia'!M$77:M$104)*_xlfn.XLOOKUP($P934,'Base Grupo de Produtos'!$E$23:$E$39,'Base Grupo de Produtos'!$F$23:$F$39)</f>
        <v>0</v>
      </c>
      <c r="AA934" s="56">
        <f>_xlfn.XLOOKUP($N934,'Calculo Leads Conveniencia'!$A$77:$A$104,'Calculo Leads Conveniencia'!N$77:N$104)*_xlfn.XLOOKUP($P934,'Base Grupo de Produtos'!$E$23:$E$39,'Base Grupo de Produtos'!$F$23:$F$39)</f>
        <v>0</v>
      </c>
      <c r="AB934" s="56">
        <f>_xlfn.XLOOKUP($N934,'Calculo Leads Conveniencia'!$A$77:$A$104,'Calculo Leads Conveniencia'!O$77:O$104)*_xlfn.XLOOKUP($P934,'Base Grupo de Produtos'!$E$23:$E$39,'Base Grupo de Produtos'!$F$23:$F$39)</f>
        <v>0</v>
      </c>
      <c r="AC934" s="61">
        <f t="shared" si="893"/>
        <v>0</v>
      </c>
      <c r="AD934" s="28"/>
      <c r="AE934" s="12"/>
      <c r="AF934" s="29"/>
      <c r="AG934" s="9"/>
      <c r="AH934" s="10"/>
      <c r="AI934" s="9"/>
      <c r="AJ934" s="11"/>
      <c r="AK934" s="9"/>
      <c r="AL934" s="13"/>
      <c r="AM934" s="9"/>
    </row>
    <row r="935" spans="1:39" x14ac:dyDescent="0.3">
      <c r="A935" s="2" t="str">
        <f t="shared" si="920"/>
        <v>NÃO</v>
      </c>
      <c r="B935" s="2" t="str">
        <f>_xlfn.XLOOKUP($N935,'Base de Grupos'!$A:$A,'Base de Grupos'!$D:$D)</f>
        <v>1000065763</v>
      </c>
      <c r="C935" s="5" t="str">
        <f>_xlfn.XLOOKUP($N935,'Base de Grupos'!$A:$A,'Base de Grupos'!$E:$E)</f>
        <v>CANAL VENDA INTERNA</v>
      </c>
      <c r="D935" s="5" t="str">
        <f>_xlfn.XLOOKUP($N935,'Base de Grupos'!$A:$A,'Base de Grupos'!$F:$F)</f>
        <v>1000065763</v>
      </c>
      <c r="E935" s="2" t="str">
        <f>_xlfn.XLOOKUP($N935,'Base de Grupos'!$A:$A,'Base de Grupos'!$G:$G)</f>
        <v>CANAL VENDA INTERNA</v>
      </c>
      <c r="F935" s="2" t="str">
        <f>_xlfn.XLOOKUP($N935,'Base de Grupos'!$A:$A,'Base de Grupos'!$H:$H)</f>
        <v>1000174119</v>
      </c>
      <c r="G935" s="5" t="str">
        <f>_xlfn.XLOOKUP($N935,'Base de Grupos'!$A:$A,'Base de Grupos'!$I:$I)</f>
        <v>REGIONAL VENDA INTERNA - CONVENIENCIA</v>
      </c>
      <c r="H935" s="5" t="str">
        <f>_xlfn.XLOOKUP($N935,'Base de Grupos'!$A:$A,'Base de Grupos'!$J:$J)</f>
        <v>1000174119</v>
      </c>
      <c r="I935" s="2" t="str">
        <f>_xlfn.XLOOKUP($N935,'Base de Grupos'!$A:$A,'Base de Grupos'!$K:$K)</f>
        <v>REGIONAL VENDA INTERNA - CONVENIENCIA</v>
      </c>
      <c r="J935" s="2" t="str">
        <f>_xlfn.XLOOKUP($N935,'Base de Grupos'!$A:$A,'Base de Grupos'!$L:$L)</f>
        <v>1000174119</v>
      </c>
      <c r="K935" s="5" t="str">
        <f>_xlfn.XLOOKUP($N935,'Base de Grupos'!$A:$A,'Base de Grupos'!$M:$M)</f>
        <v>REGIONAL VENDA INTERNA - CONVENIENCIA</v>
      </c>
      <c r="L935" s="5" t="str">
        <f t="shared" si="921"/>
        <v/>
      </c>
      <c r="M935" s="5" t="str">
        <f>_xlfn.XLOOKUP($N935,'Base de Grupos'!$A:$A,'Base de Grupos'!$C:$C)</f>
        <v>AL</v>
      </c>
      <c r="N935" s="3">
        <v>1516</v>
      </c>
      <c r="O935" s="4" t="s">
        <v>275</v>
      </c>
      <c r="P935" s="5" t="s">
        <v>96</v>
      </c>
      <c r="Q935" s="56">
        <v>0</v>
      </c>
      <c r="R935" s="56">
        <v>0</v>
      </c>
      <c r="S935" s="56">
        <v>0</v>
      </c>
      <c r="T935" s="56">
        <f>_xlfn.XLOOKUP($N935,'Calculo Leads Conveniencia'!$A$77:$A$104,'Calculo Leads Conveniencia'!G$77:G$104)*_xlfn.XLOOKUP($P935,'Base Grupo de Produtos'!$E$23:$E$39,'Base Grupo de Produtos'!$F$23:$F$39)</f>
        <v>0</v>
      </c>
      <c r="U935" s="56">
        <f>_xlfn.XLOOKUP($N935,'Calculo Leads Conveniencia'!$A$77:$A$104,'Calculo Leads Conveniencia'!H$77:H$104)*_xlfn.XLOOKUP($P935,'Base Grupo de Produtos'!$E$23:$E$39,'Base Grupo de Produtos'!$F$23:$F$39)</f>
        <v>0</v>
      </c>
      <c r="V935" s="56">
        <f>_xlfn.XLOOKUP($N935,'Calculo Leads Conveniencia'!$A$77:$A$104,'Calculo Leads Conveniencia'!I$77:I$104)*_xlfn.XLOOKUP($P935,'Base Grupo de Produtos'!$E$23:$E$39,'Base Grupo de Produtos'!$F$23:$F$39)</f>
        <v>0</v>
      </c>
      <c r="W935" s="56">
        <f>_xlfn.XLOOKUP($N935,'Calculo Leads Conveniencia'!$A$77:$A$104,'Calculo Leads Conveniencia'!J$77:J$104)*_xlfn.XLOOKUP($P935,'Base Grupo de Produtos'!$E$23:$E$39,'Base Grupo de Produtos'!$F$23:$F$39)</f>
        <v>0</v>
      </c>
      <c r="X935" s="56">
        <f>_xlfn.XLOOKUP($N935,'Calculo Leads Conveniencia'!$A$77:$A$104,'Calculo Leads Conveniencia'!K$77:K$104)*_xlfn.XLOOKUP($P935,'Base Grupo de Produtos'!$E$23:$E$39,'Base Grupo de Produtos'!$F$23:$F$39)</f>
        <v>0</v>
      </c>
      <c r="Y935" s="56">
        <f>_xlfn.XLOOKUP($N935,'Calculo Leads Conveniencia'!$A$77:$A$104,'Calculo Leads Conveniencia'!L$77:L$104)*_xlfn.XLOOKUP($P935,'Base Grupo de Produtos'!$E$23:$E$39,'Base Grupo de Produtos'!$F$23:$F$39)</f>
        <v>0</v>
      </c>
      <c r="Z935" s="56">
        <f>_xlfn.XLOOKUP($N935,'Calculo Leads Conveniencia'!$A$77:$A$104,'Calculo Leads Conveniencia'!M$77:M$104)*_xlfn.XLOOKUP($P935,'Base Grupo de Produtos'!$E$23:$E$39,'Base Grupo de Produtos'!$F$23:$F$39)</f>
        <v>0</v>
      </c>
      <c r="AA935" s="56">
        <f>_xlfn.XLOOKUP($N935,'Calculo Leads Conveniencia'!$A$77:$A$104,'Calculo Leads Conveniencia'!N$77:N$104)*_xlfn.XLOOKUP($P935,'Base Grupo de Produtos'!$E$23:$E$39,'Base Grupo de Produtos'!$F$23:$F$39)</f>
        <v>0</v>
      </c>
      <c r="AB935" s="56">
        <f>_xlfn.XLOOKUP($N935,'Calculo Leads Conveniencia'!$A$77:$A$104,'Calculo Leads Conveniencia'!O$77:O$104)*_xlfn.XLOOKUP($P935,'Base Grupo de Produtos'!$E$23:$E$39,'Base Grupo de Produtos'!$F$23:$F$39)</f>
        <v>0</v>
      </c>
      <c r="AC935" s="61">
        <f t="shared" si="893"/>
        <v>0</v>
      </c>
      <c r="AD935" s="28"/>
      <c r="AE935" s="12"/>
      <c r="AF935" s="29"/>
      <c r="AG935" s="9"/>
      <c r="AH935" s="10"/>
      <c r="AI935" s="9"/>
      <c r="AJ935" s="11"/>
      <c r="AK935" s="9"/>
      <c r="AL935" s="13"/>
      <c r="AM935" s="9"/>
    </row>
    <row r="936" spans="1:39" x14ac:dyDescent="0.3">
      <c r="A936" s="2" t="str">
        <f t="shared" si="920"/>
        <v>NÃO</v>
      </c>
      <c r="B936" s="2" t="str">
        <f>_xlfn.XLOOKUP($N936,'Base de Grupos'!$A:$A,'Base de Grupos'!$D:$D)</f>
        <v>1000065763</v>
      </c>
      <c r="C936" s="5" t="str">
        <f>_xlfn.XLOOKUP($N936,'Base de Grupos'!$A:$A,'Base de Grupos'!$E:$E)</f>
        <v>CANAL VENDA INTERNA</v>
      </c>
      <c r="D936" s="5" t="str">
        <f>_xlfn.XLOOKUP($N936,'Base de Grupos'!$A:$A,'Base de Grupos'!$F:$F)</f>
        <v>1000065763</v>
      </c>
      <c r="E936" s="2" t="str">
        <f>_xlfn.XLOOKUP($N936,'Base de Grupos'!$A:$A,'Base de Grupos'!$G:$G)</f>
        <v>CANAL VENDA INTERNA</v>
      </c>
      <c r="F936" s="2" t="str">
        <f>_xlfn.XLOOKUP($N936,'Base de Grupos'!$A:$A,'Base de Grupos'!$H:$H)</f>
        <v>1000174119</v>
      </c>
      <c r="G936" s="5" t="str">
        <f>_xlfn.XLOOKUP($N936,'Base de Grupos'!$A:$A,'Base de Grupos'!$I:$I)</f>
        <v>REGIONAL VENDA INTERNA - CONVENIENCIA</v>
      </c>
      <c r="H936" s="5" t="str">
        <f>_xlfn.XLOOKUP($N936,'Base de Grupos'!$A:$A,'Base de Grupos'!$J:$J)</f>
        <v>1000174119</v>
      </c>
      <c r="I936" s="2" t="str">
        <f>_xlfn.XLOOKUP($N936,'Base de Grupos'!$A:$A,'Base de Grupos'!$K:$K)</f>
        <v>REGIONAL VENDA INTERNA - CONVENIENCIA</v>
      </c>
      <c r="J936" s="2" t="str">
        <f>_xlfn.XLOOKUP($N936,'Base de Grupos'!$A:$A,'Base de Grupos'!$L:$L)</f>
        <v>1000174119</v>
      </c>
      <c r="K936" s="5" t="str">
        <f>_xlfn.XLOOKUP($N936,'Base de Grupos'!$A:$A,'Base de Grupos'!$M:$M)</f>
        <v>REGIONAL VENDA INTERNA - CONVENIENCIA</v>
      </c>
      <c r="L936" s="5" t="str">
        <f t="shared" si="921"/>
        <v/>
      </c>
      <c r="M936" s="5" t="str">
        <f>_xlfn.XLOOKUP($N936,'Base de Grupos'!$A:$A,'Base de Grupos'!$C:$C)</f>
        <v>AL</v>
      </c>
      <c r="N936" s="3">
        <v>1516</v>
      </c>
      <c r="O936" s="4" t="s">
        <v>275</v>
      </c>
      <c r="P936" s="5" t="s">
        <v>94</v>
      </c>
      <c r="Q936" s="56">
        <v>0</v>
      </c>
      <c r="R936" s="56">
        <v>0</v>
      </c>
      <c r="S936" s="56">
        <v>0</v>
      </c>
      <c r="T936" s="56">
        <f>_xlfn.XLOOKUP($N936,'Calculo Leads Conveniencia'!$A$77:$A$104,'Calculo Leads Conveniencia'!G$77:G$104)*_xlfn.XLOOKUP($P936,'Base Grupo de Produtos'!$E$23:$E$39,'Base Grupo de Produtos'!$F$23:$F$39)</f>
        <v>0</v>
      </c>
      <c r="U936" s="56">
        <f>_xlfn.XLOOKUP($N936,'Calculo Leads Conveniencia'!$A$77:$A$104,'Calculo Leads Conveniencia'!H$77:H$104)*_xlfn.XLOOKUP($P936,'Base Grupo de Produtos'!$E$23:$E$39,'Base Grupo de Produtos'!$F$23:$F$39)</f>
        <v>0</v>
      </c>
      <c r="V936" s="56">
        <f>_xlfn.XLOOKUP($N936,'Calculo Leads Conveniencia'!$A$77:$A$104,'Calculo Leads Conveniencia'!I$77:I$104)*_xlfn.XLOOKUP($P936,'Base Grupo de Produtos'!$E$23:$E$39,'Base Grupo de Produtos'!$F$23:$F$39)</f>
        <v>0</v>
      </c>
      <c r="W936" s="56">
        <f>_xlfn.XLOOKUP($N936,'Calculo Leads Conveniencia'!$A$77:$A$104,'Calculo Leads Conveniencia'!J$77:J$104)*_xlfn.XLOOKUP($P936,'Base Grupo de Produtos'!$E$23:$E$39,'Base Grupo de Produtos'!$F$23:$F$39)</f>
        <v>0</v>
      </c>
      <c r="X936" s="56">
        <f>_xlfn.XLOOKUP($N936,'Calculo Leads Conveniencia'!$A$77:$A$104,'Calculo Leads Conveniencia'!K$77:K$104)*_xlfn.XLOOKUP($P936,'Base Grupo de Produtos'!$E$23:$E$39,'Base Grupo de Produtos'!$F$23:$F$39)</f>
        <v>0</v>
      </c>
      <c r="Y936" s="56">
        <f>_xlfn.XLOOKUP($N936,'Calculo Leads Conveniencia'!$A$77:$A$104,'Calculo Leads Conveniencia'!L$77:L$104)*_xlfn.XLOOKUP($P936,'Base Grupo de Produtos'!$E$23:$E$39,'Base Grupo de Produtos'!$F$23:$F$39)</f>
        <v>0</v>
      </c>
      <c r="Z936" s="56">
        <f>_xlfn.XLOOKUP($N936,'Calculo Leads Conveniencia'!$A$77:$A$104,'Calculo Leads Conveniencia'!M$77:M$104)*_xlfn.XLOOKUP($P936,'Base Grupo de Produtos'!$E$23:$E$39,'Base Grupo de Produtos'!$F$23:$F$39)</f>
        <v>0</v>
      </c>
      <c r="AA936" s="56">
        <f>_xlfn.XLOOKUP($N936,'Calculo Leads Conveniencia'!$A$77:$A$104,'Calculo Leads Conveniencia'!N$77:N$104)*_xlfn.XLOOKUP($P936,'Base Grupo de Produtos'!$E$23:$E$39,'Base Grupo de Produtos'!$F$23:$F$39)</f>
        <v>0</v>
      </c>
      <c r="AB936" s="56">
        <f>_xlfn.XLOOKUP($N936,'Calculo Leads Conveniencia'!$A$77:$A$104,'Calculo Leads Conveniencia'!O$77:O$104)*_xlfn.XLOOKUP($P936,'Base Grupo de Produtos'!$E$23:$E$39,'Base Grupo de Produtos'!$F$23:$F$39)</f>
        <v>0</v>
      </c>
      <c r="AC936" s="61">
        <f t="shared" si="893"/>
        <v>0</v>
      </c>
      <c r="AD936" s="28"/>
      <c r="AE936" s="12"/>
      <c r="AF936" s="29"/>
      <c r="AG936" s="9"/>
      <c r="AH936" s="10"/>
      <c r="AI936" s="9"/>
      <c r="AJ936" s="11"/>
      <c r="AK936" s="9"/>
      <c r="AL936" s="13"/>
      <c r="AM936" s="9"/>
    </row>
    <row r="937" spans="1:39" x14ac:dyDescent="0.3">
      <c r="A937" s="2" t="str">
        <f t="shared" si="920"/>
        <v>NÃO</v>
      </c>
      <c r="B937" s="2" t="str">
        <f>_xlfn.XLOOKUP($N937,'Base de Grupos'!$A:$A,'Base de Grupos'!$D:$D)</f>
        <v>1000065763</v>
      </c>
      <c r="C937" s="5" t="str">
        <f>_xlfn.XLOOKUP($N937,'Base de Grupos'!$A:$A,'Base de Grupos'!$E:$E)</f>
        <v>CANAL VENDA INTERNA</v>
      </c>
      <c r="D937" s="5" t="str">
        <f>_xlfn.XLOOKUP($N937,'Base de Grupos'!$A:$A,'Base de Grupos'!$F:$F)</f>
        <v>1000065763</v>
      </c>
      <c r="E937" s="2" t="str">
        <f>_xlfn.XLOOKUP($N937,'Base de Grupos'!$A:$A,'Base de Grupos'!$G:$G)</f>
        <v>CANAL VENDA INTERNA</v>
      </c>
      <c r="F937" s="2" t="str">
        <f>_xlfn.XLOOKUP($N937,'Base de Grupos'!$A:$A,'Base de Grupos'!$H:$H)</f>
        <v>1000174119</v>
      </c>
      <c r="G937" s="5" t="str">
        <f>_xlfn.XLOOKUP($N937,'Base de Grupos'!$A:$A,'Base de Grupos'!$I:$I)</f>
        <v>REGIONAL VENDA INTERNA - CONVENIENCIA</v>
      </c>
      <c r="H937" s="5" t="str">
        <f>_xlfn.XLOOKUP($N937,'Base de Grupos'!$A:$A,'Base de Grupos'!$J:$J)</f>
        <v>1000174119</v>
      </c>
      <c r="I937" s="2" t="str">
        <f>_xlfn.XLOOKUP($N937,'Base de Grupos'!$A:$A,'Base de Grupos'!$K:$K)</f>
        <v>REGIONAL VENDA INTERNA - CONVENIENCIA</v>
      </c>
      <c r="J937" s="2" t="str">
        <f>_xlfn.XLOOKUP($N937,'Base de Grupos'!$A:$A,'Base de Grupos'!$L:$L)</f>
        <v>1000174119</v>
      </c>
      <c r="K937" s="5" t="str">
        <f>_xlfn.XLOOKUP($N937,'Base de Grupos'!$A:$A,'Base de Grupos'!$M:$M)</f>
        <v>REGIONAL VENDA INTERNA - CONVENIENCIA</v>
      </c>
      <c r="L937" s="5" t="str">
        <f t="shared" si="921"/>
        <v/>
      </c>
      <c r="M937" s="5" t="str">
        <f>_xlfn.XLOOKUP($N937,'Base de Grupos'!$A:$A,'Base de Grupos'!$C:$C)</f>
        <v>AL</v>
      </c>
      <c r="N937" s="3">
        <v>1516</v>
      </c>
      <c r="O937" s="4" t="s">
        <v>275</v>
      </c>
      <c r="P937" s="5" t="s">
        <v>95</v>
      </c>
      <c r="Q937" s="56">
        <v>0</v>
      </c>
      <c r="R937" s="56">
        <v>0</v>
      </c>
      <c r="S937" s="56">
        <v>0</v>
      </c>
      <c r="T937" s="56">
        <f>_xlfn.XLOOKUP($N937,'Calculo Leads Conveniencia'!$A$77:$A$104,'Calculo Leads Conveniencia'!G$77:G$104)*_xlfn.XLOOKUP($P937,'Base Grupo de Produtos'!$E$23:$E$39,'Base Grupo de Produtos'!$F$23:$F$39)</f>
        <v>0</v>
      </c>
      <c r="U937" s="56">
        <f>_xlfn.XLOOKUP($N937,'Calculo Leads Conveniencia'!$A$77:$A$104,'Calculo Leads Conveniencia'!H$77:H$104)*_xlfn.XLOOKUP($P937,'Base Grupo de Produtos'!$E$23:$E$39,'Base Grupo de Produtos'!$F$23:$F$39)</f>
        <v>0</v>
      </c>
      <c r="V937" s="56">
        <f>_xlfn.XLOOKUP($N937,'Calculo Leads Conveniencia'!$A$77:$A$104,'Calculo Leads Conveniencia'!I$77:I$104)*_xlfn.XLOOKUP($P937,'Base Grupo de Produtos'!$E$23:$E$39,'Base Grupo de Produtos'!$F$23:$F$39)</f>
        <v>0</v>
      </c>
      <c r="W937" s="56">
        <f>_xlfn.XLOOKUP($N937,'Calculo Leads Conveniencia'!$A$77:$A$104,'Calculo Leads Conveniencia'!J$77:J$104)*_xlfn.XLOOKUP($P937,'Base Grupo de Produtos'!$E$23:$E$39,'Base Grupo de Produtos'!$F$23:$F$39)</f>
        <v>0</v>
      </c>
      <c r="X937" s="56">
        <f>_xlfn.XLOOKUP($N937,'Calculo Leads Conveniencia'!$A$77:$A$104,'Calculo Leads Conveniencia'!K$77:K$104)*_xlfn.XLOOKUP($P937,'Base Grupo de Produtos'!$E$23:$E$39,'Base Grupo de Produtos'!$F$23:$F$39)</f>
        <v>0</v>
      </c>
      <c r="Y937" s="56">
        <f>_xlfn.XLOOKUP($N937,'Calculo Leads Conveniencia'!$A$77:$A$104,'Calculo Leads Conveniencia'!L$77:L$104)*_xlfn.XLOOKUP($P937,'Base Grupo de Produtos'!$E$23:$E$39,'Base Grupo de Produtos'!$F$23:$F$39)</f>
        <v>0</v>
      </c>
      <c r="Z937" s="56">
        <f>_xlfn.XLOOKUP($N937,'Calculo Leads Conveniencia'!$A$77:$A$104,'Calculo Leads Conveniencia'!M$77:M$104)*_xlfn.XLOOKUP($P937,'Base Grupo de Produtos'!$E$23:$E$39,'Base Grupo de Produtos'!$F$23:$F$39)</f>
        <v>0</v>
      </c>
      <c r="AA937" s="56">
        <f>_xlfn.XLOOKUP($N937,'Calculo Leads Conveniencia'!$A$77:$A$104,'Calculo Leads Conveniencia'!N$77:N$104)*_xlfn.XLOOKUP($P937,'Base Grupo de Produtos'!$E$23:$E$39,'Base Grupo de Produtos'!$F$23:$F$39)</f>
        <v>0</v>
      </c>
      <c r="AB937" s="56">
        <f>_xlfn.XLOOKUP($N937,'Calculo Leads Conveniencia'!$A$77:$A$104,'Calculo Leads Conveniencia'!O$77:O$104)*_xlfn.XLOOKUP($P937,'Base Grupo de Produtos'!$E$23:$E$39,'Base Grupo de Produtos'!$F$23:$F$39)</f>
        <v>0</v>
      </c>
      <c r="AC937" s="61">
        <f t="shared" si="893"/>
        <v>0</v>
      </c>
      <c r="AD937" s="28"/>
      <c r="AE937" s="12"/>
      <c r="AF937" s="29"/>
      <c r="AG937" s="9"/>
      <c r="AH937" s="10"/>
      <c r="AI937" s="9"/>
      <c r="AJ937" s="11"/>
      <c r="AK937" s="9"/>
      <c r="AL937" s="13"/>
      <c r="AM937" s="9"/>
    </row>
    <row r="938" spans="1:39" x14ac:dyDescent="0.3">
      <c r="A938" s="2" t="str">
        <f t="shared" si="920"/>
        <v>NÃO</v>
      </c>
      <c r="B938" s="2" t="str">
        <f>_xlfn.XLOOKUP($N938,'Base de Grupos'!$A:$A,'Base de Grupos'!$D:$D)</f>
        <v>1000065763</v>
      </c>
      <c r="C938" s="5" t="str">
        <f>_xlfn.XLOOKUP($N938,'Base de Grupos'!$A:$A,'Base de Grupos'!$E:$E)</f>
        <v>CANAL VENDA INTERNA</v>
      </c>
      <c r="D938" s="5" t="str">
        <f>_xlfn.XLOOKUP($N938,'Base de Grupos'!$A:$A,'Base de Grupos'!$F:$F)</f>
        <v>1000065763</v>
      </c>
      <c r="E938" s="2" t="str">
        <f>_xlfn.XLOOKUP($N938,'Base de Grupos'!$A:$A,'Base de Grupos'!$G:$G)</f>
        <v>CANAL VENDA INTERNA</v>
      </c>
      <c r="F938" s="2" t="str">
        <f>_xlfn.XLOOKUP($N938,'Base de Grupos'!$A:$A,'Base de Grupos'!$H:$H)</f>
        <v>1000174119</v>
      </c>
      <c r="G938" s="5" t="str">
        <f>_xlfn.XLOOKUP($N938,'Base de Grupos'!$A:$A,'Base de Grupos'!$I:$I)</f>
        <v>REGIONAL VENDA INTERNA - CONVENIENCIA</v>
      </c>
      <c r="H938" s="5" t="str">
        <f>_xlfn.XLOOKUP($N938,'Base de Grupos'!$A:$A,'Base de Grupos'!$J:$J)</f>
        <v>1000174119</v>
      </c>
      <c r="I938" s="2" t="str">
        <f>_xlfn.XLOOKUP($N938,'Base de Grupos'!$A:$A,'Base de Grupos'!$K:$K)</f>
        <v>REGIONAL VENDA INTERNA - CONVENIENCIA</v>
      </c>
      <c r="J938" s="2" t="str">
        <f>_xlfn.XLOOKUP($N938,'Base de Grupos'!$A:$A,'Base de Grupos'!$L:$L)</f>
        <v>1000174119</v>
      </c>
      <c r="K938" s="5" t="str">
        <f>_xlfn.XLOOKUP($N938,'Base de Grupos'!$A:$A,'Base de Grupos'!$M:$M)</f>
        <v>REGIONAL VENDA INTERNA - CONVENIENCIA</v>
      </c>
      <c r="L938" s="5" t="str">
        <f t="shared" si="921"/>
        <v/>
      </c>
      <c r="M938" s="5" t="str">
        <f>_xlfn.XLOOKUP($N938,'Base de Grupos'!$A:$A,'Base de Grupos'!$C:$C)</f>
        <v>AL</v>
      </c>
      <c r="N938" s="3">
        <v>1516</v>
      </c>
      <c r="O938" s="4" t="s">
        <v>275</v>
      </c>
      <c r="P938" s="5" t="s">
        <v>93</v>
      </c>
      <c r="Q938" s="56">
        <v>0</v>
      </c>
      <c r="R938" s="56">
        <v>0</v>
      </c>
      <c r="S938" s="56">
        <v>0</v>
      </c>
      <c r="T938" s="56">
        <f>_xlfn.XLOOKUP($N938,'Calculo Leads Conveniencia'!$A$77:$A$104,'Calculo Leads Conveniencia'!G$77:G$104)*_xlfn.XLOOKUP($P938,'Base Grupo de Produtos'!$E$23:$E$39,'Base Grupo de Produtos'!$F$23:$F$39)</f>
        <v>0</v>
      </c>
      <c r="U938" s="56">
        <f>_xlfn.XLOOKUP($N938,'Calculo Leads Conveniencia'!$A$77:$A$104,'Calculo Leads Conveniencia'!H$77:H$104)*_xlfn.XLOOKUP($P938,'Base Grupo de Produtos'!$E$23:$E$39,'Base Grupo de Produtos'!$F$23:$F$39)</f>
        <v>0</v>
      </c>
      <c r="V938" s="56">
        <f>_xlfn.XLOOKUP($N938,'Calculo Leads Conveniencia'!$A$77:$A$104,'Calculo Leads Conveniencia'!I$77:I$104)*_xlfn.XLOOKUP($P938,'Base Grupo de Produtos'!$E$23:$E$39,'Base Grupo de Produtos'!$F$23:$F$39)</f>
        <v>0</v>
      </c>
      <c r="W938" s="56">
        <f>_xlfn.XLOOKUP($N938,'Calculo Leads Conveniencia'!$A$77:$A$104,'Calculo Leads Conveniencia'!J$77:J$104)*_xlfn.XLOOKUP($P938,'Base Grupo de Produtos'!$E$23:$E$39,'Base Grupo de Produtos'!$F$23:$F$39)</f>
        <v>0</v>
      </c>
      <c r="X938" s="56">
        <f>_xlfn.XLOOKUP($N938,'Calculo Leads Conveniencia'!$A$77:$A$104,'Calculo Leads Conveniencia'!K$77:K$104)*_xlfn.XLOOKUP($P938,'Base Grupo de Produtos'!$E$23:$E$39,'Base Grupo de Produtos'!$F$23:$F$39)</f>
        <v>0</v>
      </c>
      <c r="Y938" s="56">
        <f>_xlfn.XLOOKUP($N938,'Calculo Leads Conveniencia'!$A$77:$A$104,'Calculo Leads Conveniencia'!L$77:L$104)*_xlfn.XLOOKUP($P938,'Base Grupo de Produtos'!$E$23:$E$39,'Base Grupo de Produtos'!$F$23:$F$39)</f>
        <v>0</v>
      </c>
      <c r="Z938" s="56">
        <f>_xlfn.XLOOKUP($N938,'Calculo Leads Conveniencia'!$A$77:$A$104,'Calculo Leads Conveniencia'!M$77:M$104)*_xlfn.XLOOKUP($P938,'Base Grupo de Produtos'!$E$23:$E$39,'Base Grupo de Produtos'!$F$23:$F$39)</f>
        <v>0</v>
      </c>
      <c r="AA938" s="56">
        <f>_xlfn.XLOOKUP($N938,'Calculo Leads Conveniencia'!$A$77:$A$104,'Calculo Leads Conveniencia'!N$77:N$104)*_xlfn.XLOOKUP($P938,'Base Grupo de Produtos'!$E$23:$E$39,'Base Grupo de Produtos'!$F$23:$F$39)</f>
        <v>0</v>
      </c>
      <c r="AB938" s="56">
        <f>_xlfn.XLOOKUP($N938,'Calculo Leads Conveniencia'!$A$77:$A$104,'Calculo Leads Conveniencia'!O$77:O$104)*_xlfn.XLOOKUP($P938,'Base Grupo de Produtos'!$E$23:$E$39,'Base Grupo de Produtos'!$F$23:$F$39)</f>
        <v>0</v>
      </c>
      <c r="AC938" s="61">
        <f t="shared" si="893"/>
        <v>0</v>
      </c>
      <c r="AD938" s="28"/>
      <c r="AE938" s="12"/>
      <c r="AF938" s="29"/>
      <c r="AG938" s="9"/>
      <c r="AH938" s="10"/>
      <c r="AI938" s="9"/>
      <c r="AJ938" s="11"/>
      <c r="AK938" s="9"/>
      <c r="AL938" s="13"/>
      <c r="AM938" s="9"/>
    </row>
    <row r="939" spans="1:39" x14ac:dyDescent="0.3">
      <c r="A939" s="2" t="str">
        <f t="shared" si="920"/>
        <v>SIM</v>
      </c>
      <c r="B939" s="2" t="str">
        <f>_xlfn.XLOOKUP($N939,'Base de Grupos'!$A:$A,'Base de Grupos'!$D:$D)</f>
        <v>1000065763</v>
      </c>
      <c r="C939" s="5" t="str">
        <f>_xlfn.XLOOKUP($N939,'Base de Grupos'!$A:$A,'Base de Grupos'!$E:$E)</f>
        <v>CANAL VENDA INTERNA</v>
      </c>
      <c r="D939" s="5" t="str">
        <f>_xlfn.XLOOKUP($N939,'Base de Grupos'!$A:$A,'Base de Grupos'!$F:$F)</f>
        <v>1000065763</v>
      </c>
      <c r="E939" s="2" t="str">
        <f>_xlfn.XLOOKUP($N939,'Base de Grupos'!$A:$A,'Base de Grupos'!$G:$G)</f>
        <v>CANAL VENDA INTERNA</v>
      </c>
      <c r="F939" s="2" t="str">
        <f>_xlfn.XLOOKUP($N939,'Base de Grupos'!$A:$A,'Base de Grupos'!$H:$H)</f>
        <v>1000174119</v>
      </c>
      <c r="G939" s="5" t="str">
        <f>_xlfn.XLOOKUP($N939,'Base de Grupos'!$A:$A,'Base de Grupos'!$I:$I)</f>
        <v>REGIONAL VENDA INTERNA - CONVENIENCIA</v>
      </c>
      <c r="H939" s="5" t="str">
        <f>_xlfn.XLOOKUP($N939,'Base de Grupos'!$A:$A,'Base de Grupos'!$J:$J)</f>
        <v>1000174119</v>
      </c>
      <c r="I939" s="2" t="str">
        <f>_xlfn.XLOOKUP($N939,'Base de Grupos'!$A:$A,'Base de Grupos'!$K:$K)</f>
        <v>REGIONAL VENDA INTERNA - CONVENIENCIA</v>
      </c>
      <c r="J939" s="2" t="str">
        <f>_xlfn.XLOOKUP($N939,'Base de Grupos'!$A:$A,'Base de Grupos'!$L:$L)</f>
        <v>1000174119</v>
      </c>
      <c r="K939" s="5" t="str">
        <f>_xlfn.XLOOKUP($N939,'Base de Grupos'!$A:$A,'Base de Grupos'!$M:$M)</f>
        <v>REGIONAL VENDA INTERNA - CONVENIENCIA</v>
      </c>
      <c r="L939" s="5">
        <f t="shared" si="921"/>
        <v>1</v>
      </c>
      <c r="M939" s="5" t="str">
        <f>_xlfn.XLOOKUP($N939,'Base de Grupos'!$A:$A,'Base de Grupos'!$C:$C)</f>
        <v>AM</v>
      </c>
      <c r="N939" s="3">
        <v>1517</v>
      </c>
      <c r="O939" s="4" t="s">
        <v>276</v>
      </c>
      <c r="P939" s="5" t="s">
        <v>346</v>
      </c>
      <c r="Q939" s="56">
        <f t="shared" ref="Q939" si="922">SUM(Q940:Q956)</f>
        <v>0</v>
      </c>
      <c r="R939" s="56">
        <f t="shared" ref="R939" si="923">SUM(R940:R956)</f>
        <v>0</v>
      </c>
      <c r="S939" s="56">
        <f t="shared" ref="S939" si="924">SUM(S940:S956)</f>
        <v>0</v>
      </c>
      <c r="T939" s="56">
        <f t="shared" ref="T939" si="925">SUM(T940:T956)</f>
        <v>0</v>
      </c>
      <c r="U939" s="56">
        <f t="shared" ref="U939" si="926">SUM(U940:U956)</f>
        <v>0</v>
      </c>
      <c r="V939" s="56">
        <f t="shared" ref="V939" si="927">SUM(V940:V956)</f>
        <v>0</v>
      </c>
      <c r="W939" s="56">
        <f t="shared" ref="W939" si="928">SUM(W940:W956)</f>
        <v>0</v>
      </c>
      <c r="X939" s="56">
        <f t="shared" ref="X939" si="929">SUM(X940:X956)</f>
        <v>0</v>
      </c>
      <c r="Y939" s="56">
        <f t="shared" ref="Y939" si="930">SUM(Y940:Y956)</f>
        <v>0</v>
      </c>
      <c r="Z939" s="56">
        <f t="shared" ref="Z939" si="931">SUM(Z940:Z956)</f>
        <v>0</v>
      </c>
      <c r="AA939" s="56">
        <f t="shared" ref="AA939" si="932">SUM(AA940:AA956)</f>
        <v>0</v>
      </c>
      <c r="AB939" s="56">
        <f t="shared" ref="AB939" si="933">SUM(AB940:AB956)</f>
        <v>0</v>
      </c>
      <c r="AC939" s="56">
        <f t="shared" ref="AC939" si="934">SUM(AC940:AC956)</f>
        <v>0</v>
      </c>
      <c r="AD939" s="28"/>
      <c r="AE939" s="12"/>
      <c r="AF939" s="29"/>
      <c r="AG939" s="9"/>
      <c r="AH939" s="10"/>
      <c r="AI939" s="9"/>
      <c r="AJ939" s="11"/>
      <c r="AK939" s="9"/>
      <c r="AL939" s="13"/>
      <c r="AM939" s="9"/>
    </row>
    <row r="940" spans="1:39" x14ac:dyDescent="0.3">
      <c r="A940" s="2" t="str">
        <f t="shared" si="920"/>
        <v>NÃO</v>
      </c>
      <c r="B940" s="2" t="str">
        <f>_xlfn.XLOOKUP($N940,'Base de Grupos'!$A:$A,'Base de Grupos'!$D:$D)</f>
        <v>1000065763</v>
      </c>
      <c r="C940" s="5" t="str">
        <f>_xlfn.XLOOKUP($N940,'Base de Grupos'!$A:$A,'Base de Grupos'!$E:$E)</f>
        <v>CANAL VENDA INTERNA</v>
      </c>
      <c r="D940" s="5" t="str">
        <f>_xlfn.XLOOKUP($N940,'Base de Grupos'!$A:$A,'Base de Grupos'!$F:$F)</f>
        <v>1000065763</v>
      </c>
      <c r="E940" s="2" t="str">
        <f>_xlfn.XLOOKUP($N940,'Base de Grupos'!$A:$A,'Base de Grupos'!$G:$G)</f>
        <v>CANAL VENDA INTERNA</v>
      </c>
      <c r="F940" s="2" t="str">
        <f>_xlfn.XLOOKUP($N940,'Base de Grupos'!$A:$A,'Base de Grupos'!$H:$H)</f>
        <v>1000174119</v>
      </c>
      <c r="G940" s="5" t="str">
        <f>_xlfn.XLOOKUP($N940,'Base de Grupos'!$A:$A,'Base de Grupos'!$I:$I)</f>
        <v>REGIONAL VENDA INTERNA - CONVENIENCIA</v>
      </c>
      <c r="H940" s="5" t="str">
        <f>_xlfn.XLOOKUP($N940,'Base de Grupos'!$A:$A,'Base de Grupos'!$J:$J)</f>
        <v>1000174119</v>
      </c>
      <c r="I940" s="2" t="str">
        <f>_xlfn.XLOOKUP($N940,'Base de Grupos'!$A:$A,'Base de Grupos'!$K:$K)</f>
        <v>REGIONAL VENDA INTERNA - CONVENIENCIA</v>
      </c>
      <c r="J940" s="2" t="str">
        <f>_xlfn.XLOOKUP($N940,'Base de Grupos'!$A:$A,'Base de Grupos'!$L:$L)</f>
        <v>1000174119</v>
      </c>
      <c r="K940" s="5" t="str">
        <f>_xlfn.XLOOKUP($N940,'Base de Grupos'!$A:$A,'Base de Grupos'!$M:$M)</f>
        <v>REGIONAL VENDA INTERNA - CONVENIENCIA</v>
      </c>
      <c r="L940" s="5" t="str">
        <f t="shared" si="921"/>
        <v/>
      </c>
      <c r="M940" s="5" t="str">
        <f>_xlfn.XLOOKUP($N940,'Base de Grupos'!$A:$A,'Base de Grupos'!$C:$C)</f>
        <v>AM</v>
      </c>
      <c r="N940" s="3">
        <v>1517</v>
      </c>
      <c r="O940" s="4" t="s">
        <v>276</v>
      </c>
      <c r="P940" s="5" t="s">
        <v>81</v>
      </c>
      <c r="Q940" s="56">
        <v>0</v>
      </c>
      <c r="R940" s="56">
        <v>0</v>
      </c>
      <c r="S940" s="56">
        <v>0</v>
      </c>
      <c r="T940" s="56">
        <f>_xlfn.XLOOKUP($N940,'Calculo Leads Conveniencia'!$A$77:$A$104,'Calculo Leads Conveniencia'!G$77:G$104)*_xlfn.XLOOKUP($P940,'Base Grupo de Produtos'!$E$23:$E$39,'Base Grupo de Produtos'!$F$23:$F$39)</f>
        <v>0</v>
      </c>
      <c r="U940" s="56">
        <f>_xlfn.XLOOKUP($N940,'Calculo Leads Conveniencia'!$A$77:$A$104,'Calculo Leads Conveniencia'!H$77:H$104)*_xlfn.XLOOKUP($P940,'Base Grupo de Produtos'!$E$23:$E$39,'Base Grupo de Produtos'!$F$23:$F$39)</f>
        <v>0</v>
      </c>
      <c r="V940" s="56">
        <f>_xlfn.XLOOKUP($N940,'Calculo Leads Conveniencia'!$A$77:$A$104,'Calculo Leads Conveniencia'!I$77:I$104)*_xlfn.XLOOKUP($P940,'Base Grupo de Produtos'!$E$23:$E$39,'Base Grupo de Produtos'!$F$23:$F$39)</f>
        <v>0</v>
      </c>
      <c r="W940" s="56">
        <f>_xlfn.XLOOKUP($N940,'Calculo Leads Conveniencia'!$A$77:$A$104,'Calculo Leads Conveniencia'!J$77:J$104)*_xlfn.XLOOKUP($P940,'Base Grupo de Produtos'!$E$23:$E$39,'Base Grupo de Produtos'!$F$23:$F$39)</f>
        <v>0</v>
      </c>
      <c r="X940" s="56">
        <f>_xlfn.XLOOKUP($N940,'Calculo Leads Conveniencia'!$A$77:$A$104,'Calculo Leads Conveniencia'!K$77:K$104)*_xlfn.XLOOKUP($P940,'Base Grupo de Produtos'!$E$23:$E$39,'Base Grupo de Produtos'!$F$23:$F$39)</f>
        <v>0</v>
      </c>
      <c r="Y940" s="56">
        <f>_xlfn.XLOOKUP($N940,'Calculo Leads Conveniencia'!$A$77:$A$104,'Calculo Leads Conveniencia'!L$77:L$104)*_xlfn.XLOOKUP($P940,'Base Grupo de Produtos'!$E$23:$E$39,'Base Grupo de Produtos'!$F$23:$F$39)</f>
        <v>0</v>
      </c>
      <c r="Z940" s="56">
        <f>_xlfn.XLOOKUP($N940,'Calculo Leads Conveniencia'!$A$77:$A$104,'Calculo Leads Conveniencia'!M$77:M$104)*_xlfn.XLOOKUP($P940,'Base Grupo de Produtos'!$E$23:$E$39,'Base Grupo de Produtos'!$F$23:$F$39)</f>
        <v>0</v>
      </c>
      <c r="AA940" s="56">
        <f>_xlfn.XLOOKUP($N940,'Calculo Leads Conveniencia'!$A$77:$A$104,'Calculo Leads Conveniencia'!N$77:N$104)*_xlfn.XLOOKUP($P940,'Base Grupo de Produtos'!$E$23:$E$39,'Base Grupo de Produtos'!$F$23:$F$39)</f>
        <v>0</v>
      </c>
      <c r="AB940" s="56">
        <f>_xlfn.XLOOKUP($N940,'Calculo Leads Conveniencia'!$A$77:$A$104,'Calculo Leads Conveniencia'!O$77:O$104)*_xlfn.XLOOKUP($P940,'Base Grupo de Produtos'!$E$23:$E$39,'Base Grupo de Produtos'!$F$23:$F$39)</f>
        <v>0</v>
      </c>
      <c r="AC940" s="61">
        <f t="shared" si="893"/>
        <v>0</v>
      </c>
      <c r="AD940" s="28"/>
      <c r="AE940" s="12"/>
      <c r="AF940" s="29"/>
      <c r="AG940" s="9"/>
      <c r="AH940" s="10"/>
      <c r="AI940" s="9"/>
      <c r="AJ940" s="11"/>
      <c r="AK940" s="9"/>
      <c r="AL940" s="13"/>
      <c r="AM940" s="9"/>
    </row>
    <row r="941" spans="1:39" x14ac:dyDescent="0.3">
      <c r="A941" s="2" t="str">
        <f t="shared" si="920"/>
        <v>NÃO</v>
      </c>
      <c r="B941" s="2" t="str">
        <f>_xlfn.XLOOKUP($N941,'Base de Grupos'!$A:$A,'Base de Grupos'!$D:$D)</f>
        <v>1000065763</v>
      </c>
      <c r="C941" s="5" t="str">
        <f>_xlfn.XLOOKUP($N941,'Base de Grupos'!$A:$A,'Base de Grupos'!$E:$E)</f>
        <v>CANAL VENDA INTERNA</v>
      </c>
      <c r="D941" s="5" t="str">
        <f>_xlfn.XLOOKUP($N941,'Base de Grupos'!$A:$A,'Base de Grupos'!$F:$F)</f>
        <v>1000065763</v>
      </c>
      <c r="E941" s="2" t="str">
        <f>_xlfn.XLOOKUP($N941,'Base de Grupos'!$A:$A,'Base de Grupos'!$G:$G)</f>
        <v>CANAL VENDA INTERNA</v>
      </c>
      <c r="F941" s="2" t="str">
        <f>_xlfn.XLOOKUP($N941,'Base de Grupos'!$A:$A,'Base de Grupos'!$H:$H)</f>
        <v>1000174119</v>
      </c>
      <c r="G941" s="5" t="str">
        <f>_xlfn.XLOOKUP($N941,'Base de Grupos'!$A:$A,'Base de Grupos'!$I:$I)</f>
        <v>REGIONAL VENDA INTERNA - CONVENIENCIA</v>
      </c>
      <c r="H941" s="5" t="str">
        <f>_xlfn.XLOOKUP($N941,'Base de Grupos'!$A:$A,'Base de Grupos'!$J:$J)</f>
        <v>1000174119</v>
      </c>
      <c r="I941" s="2" t="str">
        <f>_xlfn.XLOOKUP($N941,'Base de Grupos'!$A:$A,'Base de Grupos'!$K:$K)</f>
        <v>REGIONAL VENDA INTERNA - CONVENIENCIA</v>
      </c>
      <c r="J941" s="2" t="str">
        <f>_xlfn.XLOOKUP($N941,'Base de Grupos'!$A:$A,'Base de Grupos'!$L:$L)</f>
        <v>1000174119</v>
      </c>
      <c r="K941" s="5" t="str">
        <f>_xlfn.XLOOKUP($N941,'Base de Grupos'!$A:$A,'Base de Grupos'!$M:$M)</f>
        <v>REGIONAL VENDA INTERNA - CONVENIENCIA</v>
      </c>
      <c r="L941" s="5" t="str">
        <f t="shared" si="921"/>
        <v/>
      </c>
      <c r="M941" s="5" t="str">
        <f>_xlfn.XLOOKUP($N941,'Base de Grupos'!$A:$A,'Base de Grupos'!$C:$C)</f>
        <v>AM</v>
      </c>
      <c r="N941" s="3">
        <v>1517</v>
      </c>
      <c r="O941" s="4" t="s">
        <v>276</v>
      </c>
      <c r="P941" s="5" t="s">
        <v>82</v>
      </c>
      <c r="Q941" s="56">
        <v>0</v>
      </c>
      <c r="R941" s="56">
        <v>0</v>
      </c>
      <c r="S941" s="56">
        <v>0</v>
      </c>
      <c r="T941" s="56">
        <f>_xlfn.XLOOKUP($N941,'Calculo Leads Conveniencia'!$A$77:$A$104,'Calculo Leads Conveniencia'!G$77:G$104)*_xlfn.XLOOKUP($P941,'Base Grupo de Produtos'!$E$23:$E$39,'Base Grupo de Produtos'!$F$23:$F$39)</f>
        <v>0</v>
      </c>
      <c r="U941" s="56">
        <f>_xlfn.XLOOKUP($N941,'Calculo Leads Conveniencia'!$A$77:$A$104,'Calculo Leads Conveniencia'!H$77:H$104)*_xlfn.XLOOKUP($P941,'Base Grupo de Produtos'!$E$23:$E$39,'Base Grupo de Produtos'!$F$23:$F$39)</f>
        <v>0</v>
      </c>
      <c r="V941" s="56">
        <f>_xlfn.XLOOKUP($N941,'Calculo Leads Conveniencia'!$A$77:$A$104,'Calculo Leads Conveniencia'!I$77:I$104)*_xlfn.XLOOKUP($P941,'Base Grupo de Produtos'!$E$23:$E$39,'Base Grupo de Produtos'!$F$23:$F$39)</f>
        <v>0</v>
      </c>
      <c r="W941" s="56">
        <f>_xlfn.XLOOKUP($N941,'Calculo Leads Conveniencia'!$A$77:$A$104,'Calculo Leads Conveniencia'!J$77:J$104)*_xlfn.XLOOKUP($P941,'Base Grupo de Produtos'!$E$23:$E$39,'Base Grupo de Produtos'!$F$23:$F$39)</f>
        <v>0</v>
      </c>
      <c r="X941" s="56">
        <f>_xlfn.XLOOKUP($N941,'Calculo Leads Conveniencia'!$A$77:$A$104,'Calculo Leads Conveniencia'!K$77:K$104)*_xlfn.XLOOKUP($P941,'Base Grupo de Produtos'!$E$23:$E$39,'Base Grupo de Produtos'!$F$23:$F$39)</f>
        <v>0</v>
      </c>
      <c r="Y941" s="56">
        <f>_xlfn.XLOOKUP($N941,'Calculo Leads Conveniencia'!$A$77:$A$104,'Calculo Leads Conveniencia'!L$77:L$104)*_xlfn.XLOOKUP($P941,'Base Grupo de Produtos'!$E$23:$E$39,'Base Grupo de Produtos'!$F$23:$F$39)</f>
        <v>0</v>
      </c>
      <c r="Z941" s="56">
        <f>_xlfn.XLOOKUP($N941,'Calculo Leads Conveniencia'!$A$77:$A$104,'Calculo Leads Conveniencia'!M$77:M$104)*_xlfn.XLOOKUP($P941,'Base Grupo de Produtos'!$E$23:$E$39,'Base Grupo de Produtos'!$F$23:$F$39)</f>
        <v>0</v>
      </c>
      <c r="AA941" s="56">
        <f>_xlfn.XLOOKUP($N941,'Calculo Leads Conveniencia'!$A$77:$A$104,'Calculo Leads Conveniencia'!N$77:N$104)*_xlfn.XLOOKUP($P941,'Base Grupo de Produtos'!$E$23:$E$39,'Base Grupo de Produtos'!$F$23:$F$39)</f>
        <v>0</v>
      </c>
      <c r="AB941" s="56">
        <f>_xlfn.XLOOKUP($N941,'Calculo Leads Conveniencia'!$A$77:$A$104,'Calculo Leads Conveniencia'!O$77:O$104)*_xlfn.XLOOKUP($P941,'Base Grupo de Produtos'!$E$23:$E$39,'Base Grupo de Produtos'!$F$23:$F$39)</f>
        <v>0</v>
      </c>
      <c r="AC941" s="61">
        <f t="shared" si="893"/>
        <v>0</v>
      </c>
      <c r="AD941" s="28"/>
      <c r="AE941" s="12"/>
      <c r="AF941" s="29"/>
      <c r="AG941" s="9"/>
      <c r="AH941" s="10"/>
      <c r="AI941" s="9"/>
      <c r="AJ941" s="11"/>
      <c r="AK941" s="9"/>
      <c r="AL941" s="13"/>
      <c r="AM941" s="9"/>
    </row>
    <row r="942" spans="1:39" x14ac:dyDescent="0.3">
      <c r="A942" s="2" t="str">
        <f t="shared" si="920"/>
        <v>NÃO</v>
      </c>
      <c r="B942" s="2" t="str">
        <f>_xlfn.XLOOKUP($N942,'Base de Grupos'!$A:$A,'Base de Grupos'!$D:$D)</f>
        <v>1000065763</v>
      </c>
      <c r="C942" s="5" t="str">
        <f>_xlfn.XLOOKUP($N942,'Base de Grupos'!$A:$A,'Base de Grupos'!$E:$E)</f>
        <v>CANAL VENDA INTERNA</v>
      </c>
      <c r="D942" s="5" t="str">
        <f>_xlfn.XLOOKUP($N942,'Base de Grupos'!$A:$A,'Base de Grupos'!$F:$F)</f>
        <v>1000065763</v>
      </c>
      <c r="E942" s="2" t="str">
        <f>_xlfn.XLOOKUP($N942,'Base de Grupos'!$A:$A,'Base de Grupos'!$G:$G)</f>
        <v>CANAL VENDA INTERNA</v>
      </c>
      <c r="F942" s="2" t="str">
        <f>_xlfn.XLOOKUP($N942,'Base de Grupos'!$A:$A,'Base de Grupos'!$H:$H)</f>
        <v>1000174119</v>
      </c>
      <c r="G942" s="5" t="str">
        <f>_xlfn.XLOOKUP($N942,'Base de Grupos'!$A:$A,'Base de Grupos'!$I:$I)</f>
        <v>REGIONAL VENDA INTERNA - CONVENIENCIA</v>
      </c>
      <c r="H942" s="5" t="str">
        <f>_xlfn.XLOOKUP($N942,'Base de Grupos'!$A:$A,'Base de Grupos'!$J:$J)</f>
        <v>1000174119</v>
      </c>
      <c r="I942" s="2" t="str">
        <f>_xlfn.XLOOKUP($N942,'Base de Grupos'!$A:$A,'Base de Grupos'!$K:$K)</f>
        <v>REGIONAL VENDA INTERNA - CONVENIENCIA</v>
      </c>
      <c r="J942" s="2" t="str">
        <f>_xlfn.XLOOKUP($N942,'Base de Grupos'!$A:$A,'Base de Grupos'!$L:$L)</f>
        <v>1000174119</v>
      </c>
      <c r="K942" s="5" t="str">
        <f>_xlfn.XLOOKUP($N942,'Base de Grupos'!$A:$A,'Base de Grupos'!$M:$M)</f>
        <v>REGIONAL VENDA INTERNA - CONVENIENCIA</v>
      </c>
      <c r="L942" s="5" t="str">
        <f t="shared" si="921"/>
        <v/>
      </c>
      <c r="M942" s="5" t="str">
        <f>_xlfn.XLOOKUP($N942,'Base de Grupos'!$A:$A,'Base de Grupos'!$C:$C)</f>
        <v>AM</v>
      </c>
      <c r="N942" s="3">
        <v>1517</v>
      </c>
      <c r="O942" s="4" t="s">
        <v>276</v>
      </c>
      <c r="P942" s="5" t="s">
        <v>84</v>
      </c>
      <c r="Q942" s="56">
        <v>0</v>
      </c>
      <c r="R942" s="56">
        <v>0</v>
      </c>
      <c r="S942" s="56">
        <v>0</v>
      </c>
      <c r="T942" s="56">
        <f>_xlfn.XLOOKUP($N942,'Calculo Leads Conveniencia'!$A$77:$A$104,'Calculo Leads Conveniencia'!G$77:G$104)*_xlfn.XLOOKUP($P942,'Base Grupo de Produtos'!$E$23:$E$39,'Base Grupo de Produtos'!$F$23:$F$39)</f>
        <v>0</v>
      </c>
      <c r="U942" s="56">
        <f>_xlfn.XLOOKUP($N942,'Calculo Leads Conveniencia'!$A$77:$A$104,'Calculo Leads Conveniencia'!H$77:H$104)*_xlfn.XLOOKUP($P942,'Base Grupo de Produtos'!$E$23:$E$39,'Base Grupo de Produtos'!$F$23:$F$39)</f>
        <v>0</v>
      </c>
      <c r="V942" s="56">
        <f>_xlfn.XLOOKUP($N942,'Calculo Leads Conveniencia'!$A$77:$A$104,'Calculo Leads Conveniencia'!I$77:I$104)*_xlfn.XLOOKUP($P942,'Base Grupo de Produtos'!$E$23:$E$39,'Base Grupo de Produtos'!$F$23:$F$39)</f>
        <v>0</v>
      </c>
      <c r="W942" s="56">
        <f>_xlfn.XLOOKUP($N942,'Calculo Leads Conveniencia'!$A$77:$A$104,'Calculo Leads Conveniencia'!J$77:J$104)*_xlfn.XLOOKUP($P942,'Base Grupo de Produtos'!$E$23:$E$39,'Base Grupo de Produtos'!$F$23:$F$39)</f>
        <v>0</v>
      </c>
      <c r="X942" s="56">
        <f>_xlfn.XLOOKUP($N942,'Calculo Leads Conveniencia'!$A$77:$A$104,'Calculo Leads Conveniencia'!K$77:K$104)*_xlfn.XLOOKUP($P942,'Base Grupo de Produtos'!$E$23:$E$39,'Base Grupo de Produtos'!$F$23:$F$39)</f>
        <v>0</v>
      </c>
      <c r="Y942" s="56">
        <f>_xlfn.XLOOKUP($N942,'Calculo Leads Conveniencia'!$A$77:$A$104,'Calculo Leads Conveniencia'!L$77:L$104)*_xlfn.XLOOKUP($P942,'Base Grupo de Produtos'!$E$23:$E$39,'Base Grupo de Produtos'!$F$23:$F$39)</f>
        <v>0</v>
      </c>
      <c r="Z942" s="56">
        <f>_xlfn.XLOOKUP($N942,'Calculo Leads Conveniencia'!$A$77:$A$104,'Calculo Leads Conveniencia'!M$77:M$104)*_xlfn.XLOOKUP($P942,'Base Grupo de Produtos'!$E$23:$E$39,'Base Grupo de Produtos'!$F$23:$F$39)</f>
        <v>0</v>
      </c>
      <c r="AA942" s="56">
        <f>_xlfn.XLOOKUP($N942,'Calculo Leads Conveniencia'!$A$77:$A$104,'Calculo Leads Conveniencia'!N$77:N$104)*_xlfn.XLOOKUP($P942,'Base Grupo de Produtos'!$E$23:$E$39,'Base Grupo de Produtos'!$F$23:$F$39)</f>
        <v>0</v>
      </c>
      <c r="AB942" s="56">
        <f>_xlfn.XLOOKUP($N942,'Calculo Leads Conveniencia'!$A$77:$A$104,'Calculo Leads Conveniencia'!O$77:O$104)*_xlfn.XLOOKUP($P942,'Base Grupo de Produtos'!$E$23:$E$39,'Base Grupo de Produtos'!$F$23:$F$39)</f>
        <v>0</v>
      </c>
      <c r="AC942" s="61">
        <f t="shared" si="893"/>
        <v>0</v>
      </c>
      <c r="AD942" s="28"/>
      <c r="AE942" s="12"/>
      <c r="AF942" s="29"/>
      <c r="AG942" s="9"/>
      <c r="AH942" s="10"/>
      <c r="AI942" s="9"/>
      <c r="AJ942" s="11"/>
      <c r="AK942" s="9"/>
      <c r="AL942" s="13"/>
      <c r="AM942" s="9"/>
    </row>
    <row r="943" spans="1:39" x14ac:dyDescent="0.3">
      <c r="A943" s="2" t="str">
        <f t="shared" si="920"/>
        <v>NÃO</v>
      </c>
      <c r="B943" s="2" t="str">
        <f>_xlfn.XLOOKUP($N943,'Base de Grupos'!$A:$A,'Base de Grupos'!$D:$D)</f>
        <v>1000065763</v>
      </c>
      <c r="C943" s="5" t="str">
        <f>_xlfn.XLOOKUP($N943,'Base de Grupos'!$A:$A,'Base de Grupos'!$E:$E)</f>
        <v>CANAL VENDA INTERNA</v>
      </c>
      <c r="D943" s="5" t="str">
        <f>_xlfn.XLOOKUP($N943,'Base de Grupos'!$A:$A,'Base de Grupos'!$F:$F)</f>
        <v>1000065763</v>
      </c>
      <c r="E943" s="2" t="str">
        <f>_xlfn.XLOOKUP($N943,'Base de Grupos'!$A:$A,'Base de Grupos'!$G:$G)</f>
        <v>CANAL VENDA INTERNA</v>
      </c>
      <c r="F943" s="2" t="str">
        <f>_xlfn.XLOOKUP($N943,'Base de Grupos'!$A:$A,'Base de Grupos'!$H:$H)</f>
        <v>1000174119</v>
      </c>
      <c r="G943" s="5" t="str">
        <f>_xlfn.XLOOKUP($N943,'Base de Grupos'!$A:$A,'Base de Grupos'!$I:$I)</f>
        <v>REGIONAL VENDA INTERNA - CONVENIENCIA</v>
      </c>
      <c r="H943" s="5" t="str">
        <f>_xlfn.XLOOKUP($N943,'Base de Grupos'!$A:$A,'Base de Grupos'!$J:$J)</f>
        <v>1000174119</v>
      </c>
      <c r="I943" s="2" t="str">
        <f>_xlfn.XLOOKUP($N943,'Base de Grupos'!$A:$A,'Base de Grupos'!$K:$K)</f>
        <v>REGIONAL VENDA INTERNA - CONVENIENCIA</v>
      </c>
      <c r="J943" s="2" t="str">
        <f>_xlfn.XLOOKUP($N943,'Base de Grupos'!$A:$A,'Base de Grupos'!$L:$L)</f>
        <v>1000174119</v>
      </c>
      <c r="K943" s="5" t="str">
        <f>_xlfn.XLOOKUP($N943,'Base de Grupos'!$A:$A,'Base de Grupos'!$M:$M)</f>
        <v>REGIONAL VENDA INTERNA - CONVENIENCIA</v>
      </c>
      <c r="L943" s="5" t="str">
        <f t="shared" si="921"/>
        <v/>
      </c>
      <c r="M943" s="5" t="str">
        <f>_xlfn.XLOOKUP($N943,'Base de Grupos'!$A:$A,'Base de Grupos'!$C:$C)</f>
        <v>AM</v>
      </c>
      <c r="N943" s="3">
        <v>1517</v>
      </c>
      <c r="O943" s="4" t="s">
        <v>276</v>
      </c>
      <c r="P943" s="5" t="s">
        <v>83</v>
      </c>
      <c r="Q943" s="56">
        <v>0</v>
      </c>
      <c r="R943" s="56">
        <v>0</v>
      </c>
      <c r="S943" s="56">
        <v>0</v>
      </c>
      <c r="T943" s="56">
        <f>_xlfn.XLOOKUP($N943,'Calculo Leads Conveniencia'!$A$77:$A$104,'Calculo Leads Conveniencia'!G$77:G$104)*_xlfn.XLOOKUP($P943,'Base Grupo de Produtos'!$E$23:$E$39,'Base Grupo de Produtos'!$F$23:$F$39)</f>
        <v>0</v>
      </c>
      <c r="U943" s="56">
        <f>_xlfn.XLOOKUP($N943,'Calculo Leads Conveniencia'!$A$77:$A$104,'Calculo Leads Conveniencia'!H$77:H$104)*_xlfn.XLOOKUP($P943,'Base Grupo de Produtos'!$E$23:$E$39,'Base Grupo de Produtos'!$F$23:$F$39)</f>
        <v>0</v>
      </c>
      <c r="V943" s="56">
        <f>_xlfn.XLOOKUP($N943,'Calculo Leads Conveniencia'!$A$77:$A$104,'Calculo Leads Conveniencia'!I$77:I$104)*_xlfn.XLOOKUP($P943,'Base Grupo de Produtos'!$E$23:$E$39,'Base Grupo de Produtos'!$F$23:$F$39)</f>
        <v>0</v>
      </c>
      <c r="W943" s="56">
        <f>_xlfn.XLOOKUP($N943,'Calculo Leads Conveniencia'!$A$77:$A$104,'Calculo Leads Conveniencia'!J$77:J$104)*_xlfn.XLOOKUP($P943,'Base Grupo de Produtos'!$E$23:$E$39,'Base Grupo de Produtos'!$F$23:$F$39)</f>
        <v>0</v>
      </c>
      <c r="X943" s="56">
        <f>_xlfn.XLOOKUP($N943,'Calculo Leads Conveniencia'!$A$77:$A$104,'Calculo Leads Conveniencia'!K$77:K$104)*_xlfn.XLOOKUP($P943,'Base Grupo de Produtos'!$E$23:$E$39,'Base Grupo de Produtos'!$F$23:$F$39)</f>
        <v>0</v>
      </c>
      <c r="Y943" s="56">
        <f>_xlfn.XLOOKUP($N943,'Calculo Leads Conveniencia'!$A$77:$A$104,'Calculo Leads Conveniencia'!L$77:L$104)*_xlfn.XLOOKUP($P943,'Base Grupo de Produtos'!$E$23:$E$39,'Base Grupo de Produtos'!$F$23:$F$39)</f>
        <v>0</v>
      </c>
      <c r="Z943" s="56">
        <f>_xlfn.XLOOKUP($N943,'Calculo Leads Conveniencia'!$A$77:$A$104,'Calculo Leads Conveniencia'!M$77:M$104)*_xlfn.XLOOKUP($P943,'Base Grupo de Produtos'!$E$23:$E$39,'Base Grupo de Produtos'!$F$23:$F$39)</f>
        <v>0</v>
      </c>
      <c r="AA943" s="56">
        <f>_xlfn.XLOOKUP($N943,'Calculo Leads Conveniencia'!$A$77:$A$104,'Calculo Leads Conveniencia'!N$77:N$104)*_xlfn.XLOOKUP($P943,'Base Grupo de Produtos'!$E$23:$E$39,'Base Grupo de Produtos'!$F$23:$F$39)</f>
        <v>0</v>
      </c>
      <c r="AB943" s="56">
        <f>_xlfn.XLOOKUP($N943,'Calculo Leads Conveniencia'!$A$77:$A$104,'Calculo Leads Conveniencia'!O$77:O$104)*_xlfn.XLOOKUP($P943,'Base Grupo de Produtos'!$E$23:$E$39,'Base Grupo de Produtos'!$F$23:$F$39)</f>
        <v>0</v>
      </c>
      <c r="AC943" s="61">
        <f t="shared" si="893"/>
        <v>0</v>
      </c>
      <c r="AD943" s="28"/>
      <c r="AE943" s="12"/>
      <c r="AF943" s="29"/>
      <c r="AG943" s="9"/>
      <c r="AH943" s="10"/>
      <c r="AI943" s="9"/>
      <c r="AJ943" s="11"/>
      <c r="AK943" s="9"/>
      <c r="AL943" s="13"/>
      <c r="AM943" s="9"/>
    </row>
    <row r="944" spans="1:39" x14ac:dyDescent="0.3">
      <c r="A944" s="2" t="str">
        <f t="shared" si="920"/>
        <v>NÃO</v>
      </c>
      <c r="B944" s="2" t="str">
        <f>_xlfn.XLOOKUP($N944,'Base de Grupos'!$A:$A,'Base de Grupos'!$D:$D)</f>
        <v>1000065763</v>
      </c>
      <c r="C944" s="5" t="str">
        <f>_xlfn.XLOOKUP($N944,'Base de Grupos'!$A:$A,'Base de Grupos'!$E:$E)</f>
        <v>CANAL VENDA INTERNA</v>
      </c>
      <c r="D944" s="5" t="str">
        <f>_xlfn.XLOOKUP($N944,'Base de Grupos'!$A:$A,'Base de Grupos'!$F:$F)</f>
        <v>1000065763</v>
      </c>
      <c r="E944" s="2" t="str">
        <f>_xlfn.XLOOKUP($N944,'Base de Grupos'!$A:$A,'Base de Grupos'!$G:$G)</f>
        <v>CANAL VENDA INTERNA</v>
      </c>
      <c r="F944" s="2" t="str">
        <f>_xlfn.XLOOKUP($N944,'Base de Grupos'!$A:$A,'Base de Grupos'!$H:$H)</f>
        <v>1000174119</v>
      </c>
      <c r="G944" s="5" t="str">
        <f>_xlfn.XLOOKUP($N944,'Base de Grupos'!$A:$A,'Base de Grupos'!$I:$I)</f>
        <v>REGIONAL VENDA INTERNA - CONVENIENCIA</v>
      </c>
      <c r="H944" s="5" t="str">
        <f>_xlfn.XLOOKUP($N944,'Base de Grupos'!$A:$A,'Base de Grupos'!$J:$J)</f>
        <v>1000174119</v>
      </c>
      <c r="I944" s="2" t="str">
        <f>_xlfn.XLOOKUP($N944,'Base de Grupos'!$A:$A,'Base de Grupos'!$K:$K)</f>
        <v>REGIONAL VENDA INTERNA - CONVENIENCIA</v>
      </c>
      <c r="J944" s="2" t="str">
        <f>_xlfn.XLOOKUP($N944,'Base de Grupos'!$A:$A,'Base de Grupos'!$L:$L)</f>
        <v>1000174119</v>
      </c>
      <c r="K944" s="5" t="str">
        <f>_xlfn.XLOOKUP($N944,'Base de Grupos'!$A:$A,'Base de Grupos'!$M:$M)</f>
        <v>REGIONAL VENDA INTERNA - CONVENIENCIA</v>
      </c>
      <c r="L944" s="5" t="str">
        <f t="shared" si="921"/>
        <v/>
      </c>
      <c r="M944" s="5" t="str">
        <f>_xlfn.XLOOKUP($N944,'Base de Grupos'!$A:$A,'Base de Grupos'!$C:$C)</f>
        <v>AM</v>
      </c>
      <c r="N944" s="3">
        <v>1517</v>
      </c>
      <c r="O944" s="4" t="s">
        <v>276</v>
      </c>
      <c r="P944" s="5" t="s">
        <v>87</v>
      </c>
      <c r="Q944" s="56">
        <v>0</v>
      </c>
      <c r="R944" s="56">
        <v>0</v>
      </c>
      <c r="S944" s="56">
        <v>0</v>
      </c>
      <c r="T944" s="56">
        <f>_xlfn.XLOOKUP($N944,'Calculo Leads Conveniencia'!$A$77:$A$104,'Calculo Leads Conveniencia'!G$77:G$104)*_xlfn.XLOOKUP($P944,'Base Grupo de Produtos'!$E$23:$E$39,'Base Grupo de Produtos'!$F$23:$F$39)</f>
        <v>0</v>
      </c>
      <c r="U944" s="56">
        <f>_xlfn.XLOOKUP($N944,'Calculo Leads Conveniencia'!$A$77:$A$104,'Calculo Leads Conveniencia'!H$77:H$104)*_xlfn.XLOOKUP($P944,'Base Grupo de Produtos'!$E$23:$E$39,'Base Grupo de Produtos'!$F$23:$F$39)</f>
        <v>0</v>
      </c>
      <c r="V944" s="56">
        <f>_xlfn.XLOOKUP($N944,'Calculo Leads Conveniencia'!$A$77:$A$104,'Calculo Leads Conveniencia'!I$77:I$104)*_xlfn.XLOOKUP($P944,'Base Grupo de Produtos'!$E$23:$E$39,'Base Grupo de Produtos'!$F$23:$F$39)</f>
        <v>0</v>
      </c>
      <c r="W944" s="56">
        <f>_xlfn.XLOOKUP($N944,'Calculo Leads Conveniencia'!$A$77:$A$104,'Calculo Leads Conveniencia'!J$77:J$104)*_xlfn.XLOOKUP($P944,'Base Grupo de Produtos'!$E$23:$E$39,'Base Grupo de Produtos'!$F$23:$F$39)</f>
        <v>0</v>
      </c>
      <c r="X944" s="56">
        <f>_xlfn.XLOOKUP($N944,'Calculo Leads Conveniencia'!$A$77:$A$104,'Calculo Leads Conveniencia'!K$77:K$104)*_xlfn.XLOOKUP($P944,'Base Grupo de Produtos'!$E$23:$E$39,'Base Grupo de Produtos'!$F$23:$F$39)</f>
        <v>0</v>
      </c>
      <c r="Y944" s="56">
        <f>_xlfn.XLOOKUP($N944,'Calculo Leads Conveniencia'!$A$77:$A$104,'Calculo Leads Conveniencia'!L$77:L$104)*_xlfn.XLOOKUP($P944,'Base Grupo de Produtos'!$E$23:$E$39,'Base Grupo de Produtos'!$F$23:$F$39)</f>
        <v>0</v>
      </c>
      <c r="Z944" s="56">
        <f>_xlfn.XLOOKUP($N944,'Calculo Leads Conveniencia'!$A$77:$A$104,'Calculo Leads Conveniencia'!M$77:M$104)*_xlfn.XLOOKUP($P944,'Base Grupo de Produtos'!$E$23:$E$39,'Base Grupo de Produtos'!$F$23:$F$39)</f>
        <v>0</v>
      </c>
      <c r="AA944" s="56">
        <f>_xlfn.XLOOKUP($N944,'Calculo Leads Conveniencia'!$A$77:$A$104,'Calculo Leads Conveniencia'!N$77:N$104)*_xlfn.XLOOKUP($P944,'Base Grupo de Produtos'!$E$23:$E$39,'Base Grupo de Produtos'!$F$23:$F$39)</f>
        <v>0</v>
      </c>
      <c r="AB944" s="56">
        <f>_xlfn.XLOOKUP($N944,'Calculo Leads Conveniencia'!$A$77:$A$104,'Calculo Leads Conveniencia'!O$77:O$104)*_xlfn.XLOOKUP($P944,'Base Grupo de Produtos'!$E$23:$E$39,'Base Grupo de Produtos'!$F$23:$F$39)</f>
        <v>0</v>
      </c>
      <c r="AC944" s="61">
        <f t="shared" si="893"/>
        <v>0</v>
      </c>
      <c r="AD944" s="28"/>
      <c r="AE944" s="12"/>
      <c r="AF944" s="29"/>
      <c r="AG944" s="9"/>
      <c r="AH944" s="10"/>
      <c r="AI944" s="9"/>
      <c r="AJ944" s="11"/>
      <c r="AK944" s="9"/>
      <c r="AL944" s="13"/>
      <c r="AM944" s="9"/>
    </row>
    <row r="945" spans="1:39" x14ac:dyDescent="0.3">
      <c r="A945" s="2" t="str">
        <f t="shared" si="920"/>
        <v>NÃO</v>
      </c>
      <c r="B945" s="2" t="str">
        <f>_xlfn.XLOOKUP($N945,'Base de Grupos'!$A:$A,'Base de Grupos'!$D:$D)</f>
        <v>1000065763</v>
      </c>
      <c r="C945" s="5" t="str">
        <f>_xlfn.XLOOKUP($N945,'Base de Grupos'!$A:$A,'Base de Grupos'!$E:$E)</f>
        <v>CANAL VENDA INTERNA</v>
      </c>
      <c r="D945" s="5" t="str">
        <f>_xlfn.XLOOKUP($N945,'Base de Grupos'!$A:$A,'Base de Grupos'!$F:$F)</f>
        <v>1000065763</v>
      </c>
      <c r="E945" s="2" t="str">
        <f>_xlfn.XLOOKUP($N945,'Base de Grupos'!$A:$A,'Base de Grupos'!$G:$G)</f>
        <v>CANAL VENDA INTERNA</v>
      </c>
      <c r="F945" s="2" t="str">
        <f>_xlfn.XLOOKUP($N945,'Base de Grupos'!$A:$A,'Base de Grupos'!$H:$H)</f>
        <v>1000174119</v>
      </c>
      <c r="G945" s="5" t="str">
        <f>_xlfn.XLOOKUP($N945,'Base de Grupos'!$A:$A,'Base de Grupos'!$I:$I)</f>
        <v>REGIONAL VENDA INTERNA - CONVENIENCIA</v>
      </c>
      <c r="H945" s="5" t="str">
        <f>_xlfn.XLOOKUP($N945,'Base de Grupos'!$A:$A,'Base de Grupos'!$J:$J)</f>
        <v>1000174119</v>
      </c>
      <c r="I945" s="2" t="str">
        <f>_xlfn.XLOOKUP($N945,'Base de Grupos'!$A:$A,'Base de Grupos'!$K:$K)</f>
        <v>REGIONAL VENDA INTERNA - CONVENIENCIA</v>
      </c>
      <c r="J945" s="2" t="str">
        <f>_xlfn.XLOOKUP($N945,'Base de Grupos'!$A:$A,'Base de Grupos'!$L:$L)</f>
        <v>1000174119</v>
      </c>
      <c r="K945" s="5" t="str">
        <f>_xlfn.XLOOKUP($N945,'Base de Grupos'!$A:$A,'Base de Grupos'!$M:$M)</f>
        <v>REGIONAL VENDA INTERNA - CONVENIENCIA</v>
      </c>
      <c r="L945" s="5" t="str">
        <f t="shared" si="921"/>
        <v/>
      </c>
      <c r="M945" s="5" t="str">
        <f>_xlfn.XLOOKUP($N945,'Base de Grupos'!$A:$A,'Base de Grupos'!$C:$C)</f>
        <v>AM</v>
      </c>
      <c r="N945" s="3">
        <v>1517</v>
      </c>
      <c r="O945" s="4" t="s">
        <v>276</v>
      </c>
      <c r="P945" s="5" t="s">
        <v>85</v>
      </c>
      <c r="Q945" s="56">
        <v>0</v>
      </c>
      <c r="R945" s="56">
        <v>0</v>
      </c>
      <c r="S945" s="56">
        <v>0</v>
      </c>
      <c r="T945" s="56">
        <f>_xlfn.XLOOKUP($N945,'Calculo Leads Conveniencia'!$A$77:$A$104,'Calculo Leads Conveniencia'!G$77:G$104)*_xlfn.XLOOKUP($P945,'Base Grupo de Produtos'!$E$23:$E$39,'Base Grupo de Produtos'!$F$23:$F$39)</f>
        <v>0</v>
      </c>
      <c r="U945" s="56">
        <f>_xlfn.XLOOKUP($N945,'Calculo Leads Conveniencia'!$A$77:$A$104,'Calculo Leads Conveniencia'!H$77:H$104)*_xlfn.XLOOKUP($P945,'Base Grupo de Produtos'!$E$23:$E$39,'Base Grupo de Produtos'!$F$23:$F$39)</f>
        <v>0</v>
      </c>
      <c r="V945" s="56">
        <f>_xlfn.XLOOKUP($N945,'Calculo Leads Conveniencia'!$A$77:$A$104,'Calculo Leads Conveniencia'!I$77:I$104)*_xlfn.XLOOKUP($P945,'Base Grupo de Produtos'!$E$23:$E$39,'Base Grupo de Produtos'!$F$23:$F$39)</f>
        <v>0</v>
      </c>
      <c r="W945" s="56">
        <f>_xlfn.XLOOKUP($N945,'Calculo Leads Conveniencia'!$A$77:$A$104,'Calculo Leads Conveniencia'!J$77:J$104)*_xlfn.XLOOKUP($P945,'Base Grupo de Produtos'!$E$23:$E$39,'Base Grupo de Produtos'!$F$23:$F$39)</f>
        <v>0</v>
      </c>
      <c r="X945" s="56">
        <f>_xlfn.XLOOKUP($N945,'Calculo Leads Conveniencia'!$A$77:$A$104,'Calculo Leads Conveniencia'!K$77:K$104)*_xlfn.XLOOKUP($P945,'Base Grupo de Produtos'!$E$23:$E$39,'Base Grupo de Produtos'!$F$23:$F$39)</f>
        <v>0</v>
      </c>
      <c r="Y945" s="56">
        <f>_xlfn.XLOOKUP($N945,'Calculo Leads Conveniencia'!$A$77:$A$104,'Calculo Leads Conveniencia'!L$77:L$104)*_xlfn.XLOOKUP($P945,'Base Grupo de Produtos'!$E$23:$E$39,'Base Grupo de Produtos'!$F$23:$F$39)</f>
        <v>0</v>
      </c>
      <c r="Z945" s="56">
        <f>_xlfn.XLOOKUP($N945,'Calculo Leads Conveniencia'!$A$77:$A$104,'Calculo Leads Conveniencia'!M$77:M$104)*_xlfn.XLOOKUP($P945,'Base Grupo de Produtos'!$E$23:$E$39,'Base Grupo de Produtos'!$F$23:$F$39)</f>
        <v>0</v>
      </c>
      <c r="AA945" s="56">
        <f>_xlfn.XLOOKUP($N945,'Calculo Leads Conveniencia'!$A$77:$A$104,'Calculo Leads Conveniencia'!N$77:N$104)*_xlfn.XLOOKUP($P945,'Base Grupo de Produtos'!$E$23:$E$39,'Base Grupo de Produtos'!$F$23:$F$39)</f>
        <v>0</v>
      </c>
      <c r="AB945" s="56">
        <f>_xlfn.XLOOKUP($N945,'Calculo Leads Conveniencia'!$A$77:$A$104,'Calculo Leads Conveniencia'!O$77:O$104)*_xlfn.XLOOKUP($P945,'Base Grupo de Produtos'!$E$23:$E$39,'Base Grupo de Produtos'!$F$23:$F$39)</f>
        <v>0</v>
      </c>
      <c r="AC945" s="61">
        <f t="shared" si="893"/>
        <v>0</v>
      </c>
      <c r="AD945" s="28"/>
      <c r="AE945" s="12"/>
      <c r="AF945" s="29"/>
      <c r="AG945" s="9"/>
      <c r="AH945" s="10"/>
      <c r="AI945" s="9"/>
      <c r="AJ945" s="11"/>
      <c r="AK945" s="9"/>
      <c r="AL945" s="13"/>
      <c r="AM945" s="9"/>
    </row>
    <row r="946" spans="1:39" x14ac:dyDescent="0.3">
      <c r="A946" s="2" t="str">
        <f t="shared" si="920"/>
        <v>NÃO</v>
      </c>
      <c r="B946" s="2" t="str">
        <f>_xlfn.XLOOKUP($N946,'Base de Grupos'!$A:$A,'Base de Grupos'!$D:$D)</f>
        <v>1000065763</v>
      </c>
      <c r="C946" s="5" t="str">
        <f>_xlfn.XLOOKUP($N946,'Base de Grupos'!$A:$A,'Base de Grupos'!$E:$E)</f>
        <v>CANAL VENDA INTERNA</v>
      </c>
      <c r="D946" s="5" t="str">
        <f>_xlfn.XLOOKUP($N946,'Base de Grupos'!$A:$A,'Base de Grupos'!$F:$F)</f>
        <v>1000065763</v>
      </c>
      <c r="E946" s="2" t="str">
        <f>_xlfn.XLOOKUP($N946,'Base de Grupos'!$A:$A,'Base de Grupos'!$G:$G)</f>
        <v>CANAL VENDA INTERNA</v>
      </c>
      <c r="F946" s="2" t="str">
        <f>_xlfn.XLOOKUP($N946,'Base de Grupos'!$A:$A,'Base de Grupos'!$H:$H)</f>
        <v>1000174119</v>
      </c>
      <c r="G946" s="5" t="str">
        <f>_xlfn.XLOOKUP($N946,'Base de Grupos'!$A:$A,'Base de Grupos'!$I:$I)</f>
        <v>REGIONAL VENDA INTERNA - CONVENIENCIA</v>
      </c>
      <c r="H946" s="5" t="str">
        <f>_xlfn.XLOOKUP($N946,'Base de Grupos'!$A:$A,'Base de Grupos'!$J:$J)</f>
        <v>1000174119</v>
      </c>
      <c r="I946" s="2" t="str">
        <f>_xlfn.XLOOKUP($N946,'Base de Grupos'!$A:$A,'Base de Grupos'!$K:$K)</f>
        <v>REGIONAL VENDA INTERNA - CONVENIENCIA</v>
      </c>
      <c r="J946" s="2" t="str">
        <f>_xlfn.XLOOKUP($N946,'Base de Grupos'!$A:$A,'Base de Grupos'!$L:$L)</f>
        <v>1000174119</v>
      </c>
      <c r="K946" s="5" t="str">
        <f>_xlfn.XLOOKUP($N946,'Base de Grupos'!$A:$A,'Base de Grupos'!$M:$M)</f>
        <v>REGIONAL VENDA INTERNA - CONVENIENCIA</v>
      </c>
      <c r="L946" s="5" t="str">
        <f t="shared" si="921"/>
        <v/>
      </c>
      <c r="M946" s="5" t="str">
        <f>_xlfn.XLOOKUP($N946,'Base de Grupos'!$A:$A,'Base de Grupos'!$C:$C)</f>
        <v>AM</v>
      </c>
      <c r="N946" s="3">
        <v>1517</v>
      </c>
      <c r="O946" s="4" t="s">
        <v>276</v>
      </c>
      <c r="P946" s="5" t="s">
        <v>92</v>
      </c>
      <c r="Q946" s="56">
        <v>0</v>
      </c>
      <c r="R946" s="56">
        <v>0</v>
      </c>
      <c r="S946" s="56">
        <v>0</v>
      </c>
      <c r="T946" s="56">
        <f>_xlfn.XLOOKUP($N946,'Calculo Leads Conveniencia'!$A$77:$A$104,'Calculo Leads Conveniencia'!G$77:G$104)*_xlfn.XLOOKUP($P946,'Base Grupo de Produtos'!$E$23:$E$39,'Base Grupo de Produtos'!$F$23:$F$39)</f>
        <v>0</v>
      </c>
      <c r="U946" s="56">
        <f>_xlfn.XLOOKUP($N946,'Calculo Leads Conveniencia'!$A$77:$A$104,'Calculo Leads Conveniencia'!H$77:H$104)*_xlfn.XLOOKUP($P946,'Base Grupo de Produtos'!$E$23:$E$39,'Base Grupo de Produtos'!$F$23:$F$39)</f>
        <v>0</v>
      </c>
      <c r="V946" s="56">
        <f>_xlfn.XLOOKUP($N946,'Calculo Leads Conveniencia'!$A$77:$A$104,'Calculo Leads Conveniencia'!I$77:I$104)*_xlfn.XLOOKUP($P946,'Base Grupo de Produtos'!$E$23:$E$39,'Base Grupo de Produtos'!$F$23:$F$39)</f>
        <v>0</v>
      </c>
      <c r="W946" s="56">
        <f>_xlfn.XLOOKUP($N946,'Calculo Leads Conveniencia'!$A$77:$A$104,'Calculo Leads Conveniencia'!J$77:J$104)*_xlfn.XLOOKUP($P946,'Base Grupo de Produtos'!$E$23:$E$39,'Base Grupo de Produtos'!$F$23:$F$39)</f>
        <v>0</v>
      </c>
      <c r="X946" s="56">
        <f>_xlfn.XLOOKUP($N946,'Calculo Leads Conveniencia'!$A$77:$A$104,'Calculo Leads Conveniencia'!K$77:K$104)*_xlfn.XLOOKUP($P946,'Base Grupo de Produtos'!$E$23:$E$39,'Base Grupo de Produtos'!$F$23:$F$39)</f>
        <v>0</v>
      </c>
      <c r="Y946" s="56">
        <f>_xlfn.XLOOKUP($N946,'Calculo Leads Conveniencia'!$A$77:$A$104,'Calculo Leads Conveniencia'!L$77:L$104)*_xlfn.XLOOKUP($P946,'Base Grupo de Produtos'!$E$23:$E$39,'Base Grupo de Produtos'!$F$23:$F$39)</f>
        <v>0</v>
      </c>
      <c r="Z946" s="56">
        <f>_xlfn.XLOOKUP($N946,'Calculo Leads Conveniencia'!$A$77:$A$104,'Calculo Leads Conveniencia'!M$77:M$104)*_xlfn.XLOOKUP($P946,'Base Grupo de Produtos'!$E$23:$E$39,'Base Grupo de Produtos'!$F$23:$F$39)</f>
        <v>0</v>
      </c>
      <c r="AA946" s="56">
        <f>_xlfn.XLOOKUP($N946,'Calculo Leads Conveniencia'!$A$77:$A$104,'Calculo Leads Conveniencia'!N$77:N$104)*_xlfn.XLOOKUP($P946,'Base Grupo de Produtos'!$E$23:$E$39,'Base Grupo de Produtos'!$F$23:$F$39)</f>
        <v>0</v>
      </c>
      <c r="AB946" s="56">
        <f>_xlfn.XLOOKUP($N946,'Calculo Leads Conveniencia'!$A$77:$A$104,'Calculo Leads Conveniencia'!O$77:O$104)*_xlfn.XLOOKUP($P946,'Base Grupo de Produtos'!$E$23:$E$39,'Base Grupo de Produtos'!$F$23:$F$39)</f>
        <v>0</v>
      </c>
      <c r="AC946" s="61">
        <f t="shared" si="893"/>
        <v>0</v>
      </c>
      <c r="AD946" s="28"/>
      <c r="AE946" s="12"/>
      <c r="AF946" s="29"/>
      <c r="AG946" s="9"/>
      <c r="AH946" s="10"/>
      <c r="AI946" s="9"/>
      <c r="AJ946" s="11"/>
      <c r="AK946" s="9"/>
      <c r="AL946" s="13"/>
      <c r="AM946" s="9"/>
    </row>
    <row r="947" spans="1:39" x14ac:dyDescent="0.3">
      <c r="A947" s="2" t="str">
        <f t="shared" si="920"/>
        <v>NÃO</v>
      </c>
      <c r="B947" s="2" t="str">
        <f>_xlfn.XLOOKUP($N947,'Base de Grupos'!$A:$A,'Base de Grupos'!$D:$D)</f>
        <v>1000065763</v>
      </c>
      <c r="C947" s="5" t="str">
        <f>_xlfn.XLOOKUP($N947,'Base de Grupos'!$A:$A,'Base de Grupos'!$E:$E)</f>
        <v>CANAL VENDA INTERNA</v>
      </c>
      <c r="D947" s="5" t="str">
        <f>_xlfn.XLOOKUP($N947,'Base de Grupos'!$A:$A,'Base de Grupos'!$F:$F)</f>
        <v>1000065763</v>
      </c>
      <c r="E947" s="2" t="str">
        <f>_xlfn.XLOOKUP($N947,'Base de Grupos'!$A:$A,'Base de Grupos'!$G:$G)</f>
        <v>CANAL VENDA INTERNA</v>
      </c>
      <c r="F947" s="2" t="str">
        <f>_xlfn.XLOOKUP($N947,'Base de Grupos'!$A:$A,'Base de Grupos'!$H:$H)</f>
        <v>1000174119</v>
      </c>
      <c r="G947" s="5" t="str">
        <f>_xlfn.XLOOKUP($N947,'Base de Grupos'!$A:$A,'Base de Grupos'!$I:$I)</f>
        <v>REGIONAL VENDA INTERNA - CONVENIENCIA</v>
      </c>
      <c r="H947" s="5" t="str">
        <f>_xlfn.XLOOKUP($N947,'Base de Grupos'!$A:$A,'Base de Grupos'!$J:$J)</f>
        <v>1000174119</v>
      </c>
      <c r="I947" s="2" t="str">
        <f>_xlfn.XLOOKUP($N947,'Base de Grupos'!$A:$A,'Base de Grupos'!$K:$K)</f>
        <v>REGIONAL VENDA INTERNA - CONVENIENCIA</v>
      </c>
      <c r="J947" s="2" t="str">
        <f>_xlfn.XLOOKUP($N947,'Base de Grupos'!$A:$A,'Base de Grupos'!$L:$L)</f>
        <v>1000174119</v>
      </c>
      <c r="K947" s="5" t="str">
        <f>_xlfn.XLOOKUP($N947,'Base de Grupos'!$A:$A,'Base de Grupos'!$M:$M)</f>
        <v>REGIONAL VENDA INTERNA - CONVENIENCIA</v>
      </c>
      <c r="L947" s="5" t="str">
        <f t="shared" si="921"/>
        <v/>
      </c>
      <c r="M947" s="5" t="str">
        <f>_xlfn.XLOOKUP($N947,'Base de Grupos'!$A:$A,'Base de Grupos'!$C:$C)</f>
        <v>AM</v>
      </c>
      <c r="N947" s="3">
        <v>1517</v>
      </c>
      <c r="O947" s="4" t="s">
        <v>276</v>
      </c>
      <c r="P947" s="5" t="s">
        <v>86</v>
      </c>
      <c r="Q947" s="56">
        <v>0</v>
      </c>
      <c r="R947" s="56">
        <v>0</v>
      </c>
      <c r="S947" s="56">
        <v>0</v>
      </c>
      <c r="T947" s="56">
        <f>_xlfn.XLOOKUP($N947,'Calculo Leads Conveniencia'!$A$77:$A$104,'Calculo Leads Conveniencia'!G$77:G$104)*_xlfn.XLOOKUP($P947,'Base Grupo de Produtos'!$E$23:$E$39,'Base Grupo de Produtos'!$F$23:$F$39)</f>
        <v>0</v>
      </c>
      <c r="U947" s="56">
        <f>_xlfn.XLOOKUP($N947,'Calculo Leads Conveniencia'!$A$77:$A$104,'Calculo Leads Conveniencia'!H$77:H$104)*_xlfn.XLOOKUP($P947,'Base Grupo de Produtos'!$E$23:$E$39,'Base Grupo de Produtos'!$F$23:$F$39)</f>
        <v>0</v>
      </c>
      <c r="V947" s="56">
        <f>_xlfn.XLOOKUP($N947,'Calculo Leads Conveniencia'!$A$77:$A$104,'Calculo Leads Conveniencia'!I$77:I$104)*_xlfn.XLOOKUP($P947,'Base Grupo de Produtos'!$E$23:$E$39,'Base Grupo de Produtos'!$F$23:$F$39)</f>
        <v>0</v>
      </c>
      <c r="W947" s="56">
        <f>_xlfn.XLOOKUP($N947,'Calculo Leads Conveniencia'!$A$77:$A$104,'Calculo Leads Conveniencia'!J$77:J$104)*_xlfn.XLOOKUP($P947,'Base Grupo de Produtos'!$E$23:$E$39,'Base Grupo de Produtos'!$F$23:$F$39)</f>
        <v>0</v>
      </c>
      <c r="X947" s="56">
        <f>_xlfn.XLOOKUP($N947,'Calculo Leads Conveniencia'!$A$77:$A$104,'Calculo Leads Conveniencia'!K$77:K$104)*_xlfn.XLOOKUP($P947,'Base Grupo de Produtos'!$E$23:$E$39,'Base Grupo de Produtos'!$F$23:$F$39)</f>
        <v>0</v>
      </c>
      <c r="Y947" s="56">
        <f>_xlfn.XLOOKUP($N947,'Calculo Leads Conveniencia'!$A$77:$A$104,'Calculo Leads Conveniencia'!L$77:L$104)*_xlfn.XLOOKUP($P947,'Base Grupo de Produtos'!$E$23:$E$39,'Base Grupo de Produtos'!$F$23:$F$39)</f>
        <v>0</v>
      </c>
      <c r="Z947" s="56">
        <f>_xlfn.XLOOKUP($N947,'Calculo Leads Conveniencia'!$A$77:$A$104,'Calculo Leads Conveniencia'!M$77:M$104)*_xlfn.XLOOKUP($P947,'Base Grupo de Produtos'!$E$23:$E$39,'Base Grupo de Produtos'!$F$23:$F$39)</f>
        <v>0</v>
      </c>
      <c r="AA947" s="56">
        <f>_xlfn.XLOOKUP($N947,'Calculo Leads Conveniencia'!$A$77:$A$104,'Calculo Leads Conveniencia'!N$77:N$104)*_xlfn.XLOOKUP($P947,'Base Grupo de Produtos'!$E$23:$E$39,'Base Grupo de Produtos'!$F$23:$F$39)</f>
        <v>0</v>
      </c>
      <c r="AB947" s="56">
        <f>_xlfn.XLOOKUP($N947,'Calculo Leads Conveniencia'!$A$77:$A$104,'Calculo Leads Conveniencia'!O$77:O$104)*_xlfn.XLOOKUP($P947,'Base Grupo de Produtos'!$E$23:$E$39,'Base Grupo de Produtos'!$F$23:$F$39)</f>
        <v>0</v>
      </c>
      <c r="AC947" s="61">
        <f t="shared" si="893"/>
        <v>0</v>
      </c>
      <c r="AD947" s="28"/>
      <c r="AE947" s="12"/>
      <c r="AF947" s="29"/>
      <c r="AG947" s="9"/>
      <c r="AH947" s="10"/>
      <c r="AI947" s="9"/>
      <c r="AJ947" s="11"/>
      <c r="AK947" s="9"/>
      <c r="AL947" s="13"/>
      <c r="AM947" s="9"/>
    </row>
    <row r="948" spans="1:39" x14ac:dyDescent="0.3">
      <c r="A948" s="2" t="str">
        <f t="shared" si="920"/>
        <v>NÃO</v>
      </c>
      <c r="B948" s="2" t="str">
        <f>_xlfn.XLOOKUP($N948,'Base de Grupos'!$A:$A,'Base de Grupos'!$D:$D)</f>
        <v>1000065763</v>
      </c>
      <c r="C948" s="5" t="str">
        <f>_xlfn.XLOOKUP($N948,'Base de Grupos'!$A:$A,'Base de Grupos'!$E:$E)</f>
        <v>CANAL VENDA INTERNA</v>
      </c>
      <c r="D948" s="5" t="str">
        <f>_xlfn.XLOOKUP($N948,'Base de Grupos'!$A:$A,'Base de Grupos'!$F:$F)</f>
        <v>1000065763</v>
      </c>
      <c r="E948" s="2" t="str">
        <f>_xlfn.XLOOKUP($N948,'Base de Grupos'!$A:$A,'Base de Grupos'!$G:$G)</f>
        <v>CANAL VENDA INTERNA</v>
      </c>
      <c r="F948" s="2" t="str">
        <f>_xlfn.XLOOKUP($N948,'Base de Grupos'!$A:$A,'Base de Grupos'!$H:$H)</f>
        <v>1000174119</v>
      </c>
      <c r="G948" s="5" t="str">
        <f>_xlfn.XLOOKUP($N948,'Base de Grupos'!$A:$A,'Base de Grupos'!$I:$I)</f>
        <v>REGIONAL VENDA INTERNA - CONVENIENCIA</v>
      </c>
      <c r="H948" s="5" t="str">
        <f>_xlfn.XLOOKUP($N948,'Base de Grupos'!$A:$A,'Base de Grupos'!$J:$J)</f>
        <v>1000174119</v>
      </c>
      <c r="I948" s="2" t="str">
        <f>_xlfn.XLOOKUP($N948,'Base de Grupos'!$A:$A,'Base de Grupos'!$K:$K)</f>
        <v>REGIONAL VENDA INTERNA - CONVENIENCIA</v>
      </c>
      <c r="J948" s="2" t="str">
        <f>_xlfn.XLOOKUP($N948,'Base de Grupos'!$A:$A,'Base de Grupos'!$L:$L)</f>
        <v>1000174119</v>
      </c>
      <c r="K948" s="5" t="str">
        <f>_xlfn.XLOOKUP($N948,'Base de Grupos'!$A:$A,'Base de Grupos'!$M:$M)</f>
        <v>REGIONAL VENDA INTERNA - CONVENIENCIA</v>
      </c>
      <c r="L948" s="5" t="str">
        <f t="shared" si="921"/>
        <v/>
      </c>
      <c r="M948" s="5" t="str">
        <f>_xlfn.XLOOKUP($N948,'Base de Grupos'!$A:$A,'Base de Grupos'!$C:$C)</f>
        <v>AM</v>
      </c>
      <c r="N948" s="3">
        <v>1517</v>
      </c>
      <c r="O948" s="4" t="s">
        <v>276</v>
      </c>
      <c r="P948" s="5" t="s">
        <v>108</v>
      </c>
      <c r="Q948" s="56">
        <v>0</v>
      </c>
      <c r="R948" s="56">
        <v>0</v>
      </c>
      <c r="S948" s="56">
        <v>0</v>
      </c>
      <c r="T948" s="56">
        <f>_xlfn.XLOOKUP($N948,'Calculo Leads Conveniencia'!$A$77:$A$104,'Calculo Leads Conveniencia'!G$77:G$104)*_xlfn.XLOOKUP($P948,'Base Grupo de Produtos'!$E$23:$E$39,'Base Grupo de Produtos'!$F$23:$F$39)</f>
        <v>0</v>
      </c>
      <c r="U948" s="56">
        <f>_xlfn.XLOOKUP($N948,'Calculo Leads Conveniencia'!$A$77:$A$104,'Calculo Leads Conveniencia'!H$77:H$104)*_xlfn.XLOOKUP($P948,'Base Grupo de Produtos'!$E$23:$E$39,'Base Grupo de Produtos'!$F$23:$F$39)</f>
        <v>0</v>
      </c>
      <c r="V948" s="56">
        <f>_xlfn.XLOOKUP($N948,'Calculo Leads Conveniencia'!$A$77:$A$104,'Calculo Leads Conveniencia'!I$77:I$104)*_xlfn.XLOOKUP($P948,'Base Grupo de Produtos'!$E$23:$E$39,'Base Grupo de Produtos'!$F$23:$F$39)</f>
        <v>0</v>
      </c>
      <c r="W948" s="56">
        <f>_xlfn.XLOOKUP($N948,'Calculo Leads Conveniencia'!$A$77:$A$104,'Calculo Leads Conveniencia'!J$77:J$104)*_xlfn.XLOOKUP($P948,'Base Grupo de Produtos'!$E$23:$E$39,'Base Grupo de Produtos'!$F$23:$F$39)</f>
        <v>0</v>
      </c>
      <c r="X948" s="56">
        <f>_xlfn.XLOOKUP($N948,'Calculo Leads Conveniencia'!$A$77:$A$104,'Calculo Leads Conveniencia'!K$77:K$104)*_xlfn.XLOOKUP($P948,'Base Grupo de Produtos'!$E$23:$E$39,'Base Grupo de Produtos'!$F$23:$F$39)</f>
        <v>0</v>
      </c>
      <c r="Y948" s="56">
        <f>_xlfn.XLOOKUP($N948,'Calculo Leads Conveniencia'!$A$77:$A$104,'Calculo Leads Conveniencia'!L$77:L$104)*_xlfn.XLOOKUP($P948,'Base Grupo de Produtos'!$E$23:$E$39,'Base Grupo de Produtos'!$F$23:$F$39)</f>
        <v>0</v>
      </c>
      <c r="Z948" s="56">
        <f>_xlfn.XLOOKUP($N948,'Calculo Leads Conveniencia'!$A$77:$A$104,'Calculo Leads Conveniencia'!M$77:M$104)*_xlfn.XLOOKUP($P948,'Base Grupo de Produtos'!$E$23:$E$39,'Base Grupo de Produtos'!$F$23:$F$39)</f>
        <v>0</v>
      </c>
      <c r="AA948" s="56">
        <f>_xlfn.XLOOKUP($N948,'Calculo Leads Conveniencia'!$A$77:$A$104,'Calculo Leads Conveniencia'!N$77:N$104)*_xlfn.XLOOKUP($P948,'Base Grupo de Produtos'!$E$23:$E$39,'Base Grupo de Produtos'!$F$23:$F$39)</f>
        <v>0</v>
      </c>
      <c r="AB948" s="56">
        <f>_xlfn.XLOOKUP($N948,'Calculo Leads Conveniencia'!$A$77:$A$104,'Calculo Leads Conveniencia'!O$77:O$104)*_xlfn.XLOOKUP($P948,'Base Grupo de Produtos'!$E$23:$E$39,'Base Grupo de Produtos'!$F$23:$F$39)</f>
        <v>0</v>
      </c>
      <c r="AC948" s="61">
        <f t="shared" si="893"/>
        <v>0</v>
      </c>
      <c r="AD948" s="28"/>
      <c r="AE948" s="12"/>
      <c r="AF948" s="29"/>
      <c r="AG948" s="9"/>
      <c r="AH948" s="10"/>
      <c r="AI948" s="9"/>
      <c r="AJ948" s="11"/>
      <c r="AK948" s="9"/>
      <c r="AL948" s="13"/>
      <c r="AM948" s="9"/>
    </row>
    <row r="949" spans="1:39" x14ac:dyDescent="0.3">
      <c r="A949" s="2" t="str">
        <f t="shared" si="920"/>
        <v>NÃO</v>
      </c>
      <c r="B949" s="2" t="str">
        <f>_xlfn.XLOOKUP($N949,'Base de Grupos'!$A:$A,'Base de Grupos'!$D:$D)</f>
        <v>1000065763</v>
      </c>
      <c r="C949" s="5" t="str">
        <f>_xlfn.XLOOKUP($N949,'Base de Grupos'!$A:$A,'Base de Grupos'!$E:$E)</f>
        <v>CANAL VENDA INTERNA</v>
      </c>
      <c r="D949" s="5" t="str">
        <f>_xlfn.XLOOKUP($N949,'Base de Grupos'!$A:$A,'Base de Grupos'!$F:$F)</f>
        <v>1000065763</v>
      </c>
      <c r="E949" s="2" t="str">
        <f>_xlfn.XLOOKUP($N949,'Base de Grupos'!$A:$A,'Base de Grupos'!$G:$G)</f>
        <v>CANAL VENDA INTERNA</v>
      </c>
      <c r="F949" s="2" t="str">
        <f>_xlfn.XLOOKUP($N949,'Base de Grupos'!$A:$A,'Base de Grupos'!$H:$H)</f>
        <v>1000174119</v>
      </c>
      <c r="G949" s="5" t="str">
        <f>_xlfn.XLOOKUP($N949,'Base de Grupos'!$A:$A,'Base de Grupos'!$I:$I)</f>
        <v>REGIONAL VENDA INTERNA - CONVENIENCIA</v>
      </c>
      <c r="H949" s="5" t="str">
        <f>_xlfn.XLOOKUP($N949,'Base de Grupos'!$A:$A,'Base de Grupos'!$J:$J)</f>
        <v>1000174119</v>
      </c>
      <c r="I949" s="2" t="str">
        <f>_xlfn.XLOOKUP($N949,'Base de Grupos'!$A:$A,'Base de Grupos'!$K:$K)</f>
        <v>REGIONAL VENDA INTERNA - CONVENIENCIA</v>
      </c>
      <c r="J949" s="2" t="str">
        <f>_xlfn.XLOOKUP($N949,'Base de Grupos'!$A:$A,'Base de Grupos'!$L:$L)</f>
        <v>1000174119</v>
      </c>
      <c r="K949" s="5" t="str">
        <f>_xlfn.XLOOKUP($N949,'Base de Grupos'!$A:$A,'Base de Grupos'!$M:$M)</f>
        <v>REGIONAL VENDA INTERNA - CONVENIENCIA</v>
      </c>
      <c r="L949" s="5" t="str">
        <f t="shared" si="921"/>
        <v/>
      </c>
      <c r="M949" s="5" t="str">
        <f>_xlfn.XLOOKUP($N949,'Base de Grupos'!$A:$A,'Base de Grupos'!$C:$C)</f>
        <v>AM</v>
      </c>
      <c r="N949" s="3">
        <v>1517</v>
      </c>
      <c r="O949" s="4" t="s">
        <v>276</v>
      </c>
      <c r="P949" s="5" t="s">
        <v>89</v>
      </c>
      <c r="Q949" s="56">
        <v>0</v>
      </c>
      <c r="R949" s="56">
        <v>0</v>
      </c>
      <c r="S949" s="56">
        <v>0</v>
      </c>
      <c r="T949" s="56">
        <f>_xlfn.XLOOKUP($N949,'Calculo Leads Conveniencia'!$A$77:$A$104,'Calculo Leads Conveniencia'!G$77:G$104)*_xlfn.XLOOKUP($P949,'Base Grupo de Produtos'!$E$23:$E$39,'Base Grupo de Produtos'!$F$23:$F$39)</f>
        <v>0</v>
      </c>
      <c r="U949" s="56">
        <f>_xlfn.XLOOKUP($N949,'Calculo Leads Conveniencia'!$A$77:$A$104,'Calculo Leads Conveniencia'!H$77:H$104)*_xlfn.XLOOKUP($P949,'Base Grupo de Produtos'!$E$23:$E$39,'Base Grupo de Produtos'!$F$23:$F$39)</f>
        <v>0</v>
      </c>
      <c r="V949" s="56">
        <f>_xlfn.XLOOKUP($N949,'Calculo Leads Conveniencia'!$A$77:$A$104,'Calculo Leads Conveniencia'!I$77:I$104)*_xlfn.XLOOKUP($P949,'Base Grupo de Produtos'!$E$23:$E$39,'Base Grupo de Produtos'!$F$23:$F$39)</f>
        <v>0</v>
      </c>
      <c r="W949" s="56">
        <f>_xlfn.XLOOKUP($N949,'Calculo Leads Conveniencia'!$A$77:$A$104,'Calculo Leads Conveniencia'!J$77:J$104)*_xlfn.XLOOKUP($P949,'Base Grupo de Produtos'!$E$23:$E$39,'Base Grupo de Produtos'!$F$23:$F$39)</f>
        <v>0</v>
      </c>
      <c r="X949" s="56">
        <f>_xlfn.XLOOKUP($N949,'Calculo Leads Conveniencia'!$A$77:$A$104,'Calculo Leads Conveniencia'!K$77:K$104)*_xlfn.XLOOKUP($P949,'Base Grupo de Produtos'!$E$23:$E$39,'Base Grupo de Produtos'!$F$23:$F$39)</f>
        <v>0</v>
      </c>
      <c r="Y949" s="56">
        <f>_xlfn.XLOOKUP($N949,'Calculo Leads Conveniencia'!$A$77:$A$104,'Calculo Leads Conveniencia'!L$77:L$104)*_xlfn.XLOOKUP($P949,'Base Grupo de Produtos'!$E$23:$E$39,'Base Grupo de Produtos'!$F$23:$F$39)</f>
        <v>0</v>
      </c>
      <c r="Z949" s="56">
        <f>_xlfn.XLOOKUP($N949,'Calculo Leads Conveniencia'!$A$77:$A$104,'Calculo Leads Conveniencia'!M$77:M$104)*_xlfn.XLOOKUP($P949,'Base Grupo de Produtos'!$E$23:$E$39,'Base Grupo de Produtos'!$F$23:$F$39)</f>
        <v>0</v>
      </c>
      <c r="AA949" s="56">
        <f>_xlfn.XLOOKUP($N949,'Calculo Leads Conveniencia'!$A$77:$A$104,'Calculo Leads Conveniencia'!N$77:N$104)*_xlfn.XLOOKUP($P949,'Base Grupo de Produtos'!$E$23:$E$39,'Base Grupo de Produtos'!$F$23:$F$39)</f>
        <v>0</v>
      </c>
      <c r="AB949" s="56">
        <f>_xlfn.XLOOKUP($N949,'Calculo Leads Conveniencia'!$A$77:$A$104,'Calculo Leads Conveniencia'!O$77:O$104)*_xlfn.XLOOKUP($P949,'Base Grupo de Produtos'!$E$23:$E$39,'Base Grupo de Produtos'!$F$23:$F$39)</f>
        <v>0</v>
      </c>
      <c r="AC949" s="61">
        <f t="shared" si="893"/>
        <v>0</v>
      </c>
      <c r="AD949" s="28"/>
      <c r="AE949" s="12"/>
      <c r="AF949" s="29"/>
      <c r="AG949" s="9"/>
      <c r="AH949" s="10"/>
      <c r="AI949" s="9"/>
      <c r="AJ949" s="11"/>
      <c r="AK949" s="9"/>
      <c r="AL949" s="13"/>
      <c r="AM949" s="9"/>
    </row>
    <row r="950" spans="1:39" x14ac:dyDescent="0.3">
      <c r="A950" s="2" t="str">
        <f t="shared" si="920"/>
        <v>NÃO</v>
      </c>
      <c r="B950" s="2" t="str">
        <f>_xlfn.XLOOKUP($N950,'Base de Grupos'!$A:$A,'Base de Grupos'!$D:$D)</f>
        <v>1000065763</v>
      </c>
      <c r="C950" s="5" t="str">
        <f>_xlfn.XLOOKUP($N950,'Base de Grupos'!$A:$A,'Base de Grupos'!$E:$E)</f>
        <v>CANAL VENDA INTERNA</v>
      </c>
      <c r="D950" s="5" t="str">
        <f>_xlfn.XLOOKUP($N950,'Base de Grupos'!$A:$A,'Base de Grupos'!$F:$F)</f>
        <v>1000065763</v>
      </c>
      <c r="E950" s="2" t="str">
        <f>_xlfn.XLOOKUP($N950,'Base de Grupos'!$A:$A,'Base de Grupos'!$G:$G)</f>
        <v>CANAL VENDA INTERNA</v>
      </c>
      <c r="F950" s="2" t="str">
        <f>_xlfn.XLOOKUP($N950,'Base de Grupos'!$A:$A,'Base de Grupos'!$H:$H)</f>
        <v>1000174119</v>
      </c>
      <c r="G950" s="5" t="str">
        <f>_xlfn.XLOOKUP($N950,'Base de Grupos'!$A:$A,'Base de Grupos'!$I:$I)</f>
        <v>REGIONAL VENDA INTERNA - CONVENIENCIA</v>
      </c>
      <c r="H950" s="5" t="str">
        <f>_xlfn.XLOOKUP($N950,'Base de Grupos'!$A:$A,'Base de Grupos'!$J:$J)</f>
        <v>1000174119</v>
      </c>
      <c r="I950" s="2" t="str">
        <f>_xlfn.XLOOKUP($N950,'Base de Grupos'!$A:$A,'Base de Grupos'!$K:$K)</f>
        <v>REGIONAL VENDA INTERNA - CONVENIENCIA</v>
      </c>
      <c r="J950" s="2" t="str">
        <f>_xlfn.XLOOKUP($N950,'Base de Grupos'!$A:$A,'Base de Grupos'!$L:$L)</f>
        <v>1000174119</v>
      </c>
      <c r="K950" s="5" t="str">
        <f>_xlfn.XLOOKUP($N950,'Base de Grupos'!$A:$A,'Base de Grupos'!$M:$M)</f>
        <v>REGIONAL VENDA INTERNA - CONVENIENCIA</v>
      </c>
      <c r="L950" s="5" t="str">
        <f t="shared" si="921"/>
        <v/>
      </c>
      <c r="M950" s="5" t="str">
        <f>_xlfn.XLOOKUP($N950,'Base de Grupos'!$A:$A,'Base de Grupos'!$C:$C)</f>
        <v>AM</v>
      </c>
      <c r="N950" s="3">
        <v>1517</v>
      </c>
      <c r="O950" s="4" t="s">
        <v>276</v>
      </c>
      <c r="P950" s="5" t="s">
        <v>88</v>
      </c>
      <c r="Q950" s="56">
        <v>0</v>
      </c>
      <c r="R950" s="56">
        <v>0</v>
      </c>
      <c r="S950" s="56">
        <v>0</v>
      </c>
      <c r="T950" s="56">
        <f>_xlfn.XLOOKUP($N950,'Calculo Leads Conveniencia'!$A$77:$A$104,'Calculo Leads Conveniencia'!G$77:G$104)*_xlfn.XLOOKUP($P950,'Base Grupo de Produtos'!$E$23:$E$39,'Base Grupo de Produtos'!$F$23:$F$39)</f>
        <v>0</v>
      </c>
      <c r="U950" s="56">
        <f>_xlfn.XLOOKUP($N950,'Calculo Leads Conveniencia'!$A$77:$A$104,'Calculo Leads Conveniencia'!H$77:H$104)*_xlfn.XLOOKUP($P950,'Base Grupo de Produtos'!$E$23:$E$39,'Base Grupo de Produtos'!$F$23:$F$39)</f>
        <v>0</v>
      </c>
      <c r="V950" s="56">
        <f>_xlfn.XLOOKUP($N950,'Calculo Leads Conveniencia'!$A$77:$A$104,'Calculo Leads Conveniencia'!I$77:I$104)*_xlfn.XLOOKUP($P950,'Base Grupo de Produtos'!$E$23:$E$39,'Base Grupo de Produtos'!$F$23:$F$39)</f>
        <v>0</v>
      </c>
      <c r="W950" s="56">
        <f>_xlfn.XLOOKUP($N950,'Calculo Leads Conveniencia'!$A$77:$A$104,'Calculo Leads Conveniencia'!J$77:J$104)*_xlfn.XLOOKUP($P950,'Base Grupo de Produtos'!$E$23:$E$39,'Base Grupo de Produtos'!$F$23:$F$39)</f>
        <v>0</v>
      </c>
      <c r="X950" s="56">
        <f>_xlfn.XLOOKUP($N950,'Calculo Leads Conveniencia'!$A$77:$A$104,'Calculo Leads Conveniencia'!K$77:K$104)*_xlfn.XLOOKUP($P950,'Base Grupo de Produtos'!$E$23:$E$39,'Base Grupo de Produtos'!$F$23:$F$39)</f>
        <v>0</v>
      </c>
      <c r="Y950" s="56">
        <f>_xlfn.XLOOKUP($N950,'Calculo Leads Conveniencia'!$A$77:$A$104,'Calculo Leads Conveniencia'!L$77:L$104)*_xlfn.XLOOKUP($P950,'Base Grupo de Produtos'!$E$23:$E$39,'Base Grupo de Produtos'!$F$23:$F$39)</f>
        <v>0</v>
      </c>
      <c r="Z950" s="56">
        <f>_xlfn.XLOOKUP($N950,'Calculo Leads Conveniencia'!$A$77:$A$104,'Calculo Leads Conveniencia'!M$77:M$104)*_xlfn.XLOOKUP($P950,'Base Grupo de Produtos'!$E$23:$E$39,'Base Grupo de Produtos'!$F$23:$F$39)</f>
        <v>0</v>
      </c>
      <c r="AA950" s="56">
        <f>_xlfn.XLOOKUP($N950,'Calculo Leads Conveniencia'!$A$77:$A$104,'Calculo Leads Conveniencia'!N$77:N$104)*_xlfn.XLOOKUP($P950,'Base Grupo de Produtos'!$E$23:$E$39,'Base Grupo de Produtos'!$F$23:$F$39)</f>
        <v>0</v>
      </c>
      <c r="AB950" s="56">
        <f>_xlfn.XLOOKUP($N950,'Calculo Leads Conveniencia'!$A$77:$A$104,'Calculo Leads Conveniencia'!O$77:O$104)*_xlfn.XLOOKUP($P950,'Base Grupo de Produtos'!$E$23:$E$39,'Base Grupo de Produtos'!$F$23:$F$39)</f>
        <v>0</v>
      </c>
      <c r="AC950" s="61">
        <f t="shared" si="893"/>
        <v>0</v>
      </c>
      <c r="AD950" s="28"/>
      <c r="AE950" s="12"/>
      <c r="AF950" s="29"/>
      <c r="AG950" s="9"/>
      <c r="AH950" s="10"/>
      <c r="AI950" s="9"/>
      <c r="AJ950" s="11"/>
      <c r="AK950" s="9"/>
      <c r="AL950" s="13"/>
      <c r="AM950" s="9"/>
    </row>
    <row r="951" spans="1:39" x14ac:dyDescent="0.3">
      <c r="A951" s="2" t="str">
        <f t="shared" si="920"/>
        <v>NÃO</v>
      </c>
      <c r="B951" s="2" t="str">
        <f>_xlfn.XLOOKUP($N951,'Base de Grupos'!$A:$A,'Base de Grupos'!$D:$D)</f>
        <v>1000065763</v>
      </c>
      <c r="C951" s="5" t="str">
        <f>_xlfn.XLOOKUP($N951,'Base de Grupos'!$A:$A,'Base de Grupos'!$E:$E)</f>
        <v>CANAL VENDA INTERNA</v>
      </c>
      <c r="D951" s="5" t="str">
        <f>_xlfn.XLOOKUP($N951,'Base de Grupos'!$A:$A,'Base de Grupos'!$F:$F)</f>
        <v>1000065763</v>
      </c>
      <c r="E951" s="2" t="str">
        <f>_xlfn.XLOOKUP($N951,'Base de Grupos'!$A:$A,'Base de Grupos'!$G:$G)</f>
        <v>CANAL VENDA INTERNA</v>
      </c>
      <c r="F951" s="2" t="str">
        <f>_xlfn.XLOOKUP($N951,'Base de Grupos'!$A:$A,'Base de Grupos'!$H:$H)</f>
        <v>1000174119</v>
      </c>
      <c r="G951" s="5" t="str">
        <f>_xlfn.XLOOKUP($N951,'Base de Grupos'!$A:$A,'Base de Grupos'!$I:$I)</f>
        <v>REGIONAL VENDA INTERNA - CONVENIENCIA</v>
      </c>
      <c r="H951" s="5" t="str">
        <f>_xlfn.XLOOKUP($N951,'Base de Grupos'!$A:$A,'Base de Grupos'!$J:$J)</f>
        <v>1000174119</v>
      </c>
      <c r="I951" s="2" t="str">
        <f>_xlfn.XLOOKUP($N951,'Base de Grupos'!$A:$A,'Base de Grupos'!$K:$K)</f>
        <v>REGIONAL VENDA INTERNA - CONVENIENCIA</v>
      </c>
      <c r="J951" s="2" t="str">
        <f>_xlfn.XLOOKUP($N951,'Base de Grupos'!$A:$A,'Base de Grupos'!$L:$L)</f>
        <v>1000174119</v>
      </c>
      <c r="K951" s="5" t="str">
        <f>_xlfn.XLOOKUP($N951,'Base de Grupos'!$A:$A,'Base de Grupos'!$M:$M)</f>
        <v>REGIONAL VENDA INTERNA - CONVENIENCIA</v>
      </c>
      <c r="L951" s="5" t="str">
        <f t="shared" si="921"/>
        <v/>
      </c>
      <c r="M951" s="5" t="str">
        <f>_xlfn.XLOOKUP($N951,'Base de Grupos'!$A:$A,'Base de Grupos'!$C:$C)</f>
        <v>AM</v>
      </c>
      <c r="N951" s="3">
        <v>1517</v>
      </c>
      <c r="O951" s="4" t="s">
        <v>276</v>
      </c>
      <c r="P951" s="5" t="s">
        <v>90</v>
      </c>
      <c r="Q951" s="56">
        <v>0</v>
      </c>
      <c r="R951" s="56">
        <v>0</v>
      </c>
      <c r="S951" s="56">
        <v>0</v>
      </c>
      <c r="T951" s="56">
        <f>_xlfn.XLOOKUP($N951,'Calculo Leads Conveniencia'!$A$77:$A$104,'Calculo Leads Conveniencia'!G$77:G$104)*_xlfn.XLOOKUP($P951,'Base Grupo de Produtos'!$E$23:$E$39,'Base Grupo de Produtos'!$F$23:$F$39)</f>
        <v>0</v>
      </c>
      <c r="U951" s="56">
        <f>_xlfn.XLOOKUP($N951,'Calculo Leads Conveniencia'!$A$77:$A$104,'Calculo Leads Conveniencia'!H$77:H$104)*_xlfn.XLOOKUP($P951,'Base Grupo de Produtos'!$E$23:$E$39,'Base Grupo de Produtos'!$F$23:$F$39)</f>
        <v>0</v>
      </c>
      <c r="V951" s="56">
        <f>_xlfn.XLOOKUP($N951,'Calculo Leads Conveniencia'!$A$77:$A$104,'Calculo Leads Conveniencia'!I$77:I$104)*_xlfn.XLOOKUP($P951,'Base Grupo de Produtos'!$E$23:$E$39,'Base Grupo de Produtos'!$F$23:$F$39)</f>
        <v>0</v>
      </c>
      <c r="W951" s="56">
        <f>_xlfn.XLOOKUP($N951,'Calculo Leads Conveniencia'!$A$77:$A$104,'Calculo Leads Conveniencia'!J$77:J$104)*_xlfn.XLOOKUP($P951,'Base Grupo de Produtos'!$E$23:$E$39,'Base Grupo de Produtos'!$F$23:$F$39)</f>
        <v>0</v>
      </c>
      <c r="X951" s="56">
        <f>_xlfn.XLOOKUP($N951,'Calculo Leads Conveniencia'!$A$77:$A$104,'Calculo Leads Conveniencia'!K$77:K$104)*_xlfn.XLOOKUP($P951,'Base Grupo de Produtos'!$E$23:$E$39,'Base Grupo de Produtos'!$F$23:$F$39)</f>
        <v>0</v>
      </c>
      <c r="Y951" s="56">
        <f>_xlfn.XLOOKUP($N951,'Calculo Leads Conveniencia'!$A$77:$A$104,'Calculo Leads Conveniencia'!L$77:L$104)*_xlfn.XLOOKUP($P951,'Base Grupo de Produtos'!$E$23:$E$39,'Base Grupo de Produtos'!$F$23:$F$39)</f>
        <v>0</v>
      </c>
      <c r="Z951" s="56">
        <f>_xlfn.XLOOKUP($N951,'Calculo Leads Conveniencia'!$A$77:$A$104,'Calculo Leads Conveniencia'!M$77:M$104)*_xlfn.XLOOKUP($P951,'Base Grupo de Produtos'!$E$23:$E$39,'Base Grupo de Produtos'!$F$23:$F$39)</f>
        <v>0</v>
      </c>
      <c r="AA951" s="56">
        <f>_xlfn.XLOOKUP($N951,'Calculo Leads Conveniencia'!$A$77:$A$104,'Calculo Leads Conveniencia'!N$77:N$104)*_xlfn.XLOOKUP($P951,'Base Grupo de Produtos'!$E$23:$E$39,'Base Grupo de Produtos'!$F$23:$F$39)</f>
        <v>0</v>
      </c>
      <c r="AB951" s="56">
        <f>_xlfn.XLOOKUP($N951,'Calculo Leads Conveniencia'!$A$77:$A$104,'Calculo Leads Conveniencia'!O$77:O$104)*_xlfn.XLOOKUP($P951,'Base Grupo de Produtos'!$E$23:$E$39,'Base Grupo de Produtos'!$F$23:$F$39)</f>
        <v>0</v>
      </c>
      <c r="AC951" s="61">
        <f t="shared" si="893"/>
        <v>0</v>
      </c>
      <c r="AD951" s="28"/>
      <c r="AE951" s="12"/>
      <c r="AF951" s="29"/>
      <c r="AG951" s="9"/>
      <c r="AH951" s="10"/>
      <c r="AI951" s="9"/>
      <c r="AJ951" s="11"/>
      <c r="AK951" s="9"/>
      <c r="AL951" s="13"/>
      <c r="AM951" s="9"/>
    </row>
    <row r="952" spans="1:39" x14ac:dyDescent="0.3">
      <c r="A952" s="2" t="str">
        <f t="shared" si="920"/>
        <v>NÃO</v>
      </c>
      <c r="B952" s="2" t="str">
        <f>_xlfn.XLOOKUP($N952,'Base de Grupos'!$A:$A,'Base de Grupos'!$D:$D)</f>
        <v>1000065763</v>
      </c>
      <c r="C952" s="5" t="str">
        <f>_xlfn.XLOOKUP($N952,'Base de Grupos'!$A:$A,'Base de Grupos'!$E:$E)</f>
        <v>CANAL VENDA INTERNA</v>
      </c>
      <c r="D952" s="5" t="str">
        <f>_xlfn.XLOOKUP($N952,'Base de Grupos'!$A:$A,'Base de Grupos'!$F:$F)</f>
        <v>1000065763</v>
      </c>
      <c r="E952" s="2" t="str">
        <f>_xlfn.XLOOKUP($N952,'Base de Grupos'!$A:$A,'Base de Grupos'!$G:$G)</f>
        <v>CANAL VENDA INTERNA</v>
      </c>
      <c r="F952" s="2" t="str">
        <f>_xlfn.XLOOKUP($N952,'Base de Grupos'!$A:$A,'Base de Grupos'!$H:$H)</f>
        <v>1000174119</v>
      </c>
      <c r="G952" s="5" t="str">
        <f>_xlfn.XLOOKUP($N952,'Base de Grupos'!$A:$A,'Base de Grupos'!$I:$I)</f>
        <v>REGIONAL VENDA INTERNA - CONVENIENCIA</v>
      </c>
      <c r="H952" s="5" t="str">
        <f>_xlfn.XLOOKUP($N952,'Base de Grupos'!$A:$A,'Base de Grupos'!$J:$J)</f>
        <v>1000174119</v>
      </c>
      <c r="I952" s="2" t="str">
        <f>_xlfn.XLOOKUP($N952,'Base de Grupos'!$A:$A,'Base de Grupos'!$K:$K)</f>
        <v>REGIONAL VENDA INTERNA - CONVENIENCIA</v>
      </c>
      <c r="J952" s="2" t="str">
        <f>_xlfn.XLOOKUP($N952,'Base de Grupos'!$A:$A,'Base de Grupos'!$L:$L)</f>
        <v>1000174119</v>
      </c>
      <c r="K952" s="5" t="str">
        <f>_xlfn.XLOOKUP($N952,'Base de Grupos'!$A:$A,'Base de Grupos'!$M:$M)</f>
        <v>REGIONAL VENDA INTERNA - CONVENIENCIA</v>
      </c>
      <c r="L952" s="5" t="str">
        <f t="shared" si="921"/>
        <v/>
      </c>
      <c r="M952" s="5" t="str">
        <f>_xlfn.XLOOKUP($N952,'Base de Grupos'!$A:$A,'Base de Grupos'!$C:$C)</f>
        <v>AM</v>
      </c>
      <c r="N952" s="3">
        <v>1517</v>
      </c>
      <c r="O952" s="4" t="s">
        <v>276</v>
      </c>
      <c r="P952" s="5" t="s">
        <v>91</v>
      </c>
      <c r="Q952" s="56">
        <v>0</v>
      </c>
      <c r="R952" s="56">
        <v>0</v>
      </c>
      <c r="S952" s="56">
        <v>0</v>
      </c>
      <c r="T952" s="56">
        <f>_xlfn.XLOOKUP($N952,'Calculo Leads Conveniencia'!$A$77:$A$104,'Calculo Leads Conveniencia'!G$77:G$104)*_xlfn.XLOOKUP($P952,'Base Grupo de Produtos'!$E$23:$E$39,'Base Grupo de Produtos'!$F$23:$F$39)</f>
        <v>0</v>
      </c>
      <c r="U952" s="56">
        <f>_xlfn.XLOOKUP($N952,'Calculo Leads Conveniencia'!$A$77:$A$104,'Calculo Leads Conveniencia'!H$77:H$104)*_xlfn.XLOOKUP($P952,'Base Grupo de Produtos'!$E$23:$E$39,'Base Grupo de Produtos'!$F$23:$F$39)</f>
        <v>0</v>
      </c>
      <c r="V952" s="56">
        <f>_xlfn.XLOOKUP($N952,'Calculo Leads Conveniencia'!$A$77:$A$104,'Calculo Leads Conveniencia'!I$77:I$104)*_xlfn.XLOOKUP($P952,'Base Grupo de Produtos'!$E$23:$E$39,'Base Grupo de Produtos'!$F$23:$F$39)</f>
        <v>0</v>
      </c>
      <c r="W952" s="56">
        <f>_xlfn.XLOOKUP($N952,'Calculo Leads Conveniencia'!$A$77:$A$104,'Calculo Leads Conveniencia'!J$77:J$104)*_xlfn.XLOOKUP($P952,'Base Grupo de Produtos'!$E$23:$E$39,'Base Grupo de Produtos'!$F$23:$F$39)</f>
        <v>0</v>
      </c>
      <c r="X952" s="56">
        <f>_xlfn.XLOOKUP($N952,'Calculo Leads Conveniencia'!$A$77:$A$104,'Calculo Leads Conveniencia'!K$77:K$104)*_xlfn.XLOOKUP($P952,'Base Grupo de Produtos'!$E$23:$E$39,'Base Grupo de Produtos'!$F$23:$F$39)</f>
        <v>0</v>
      </c>
      <c r="Y952" s="56">
        <f>_xlfn.XLOOKUP($N952,'Calculo Leads Conveniencia'!$A$77:$A$104,'Calculo Leads Conveniencia'!L$77:L$104)*_xlfn.XLOOKUP($P952,'Base Grupo de Produtos'!$E$23:$E$39,'Base Grupo de Produtos'!$F$23:$F$39)</f>
        <v>0</v>
      </c>
      <c r="Z952" s="56">
        <f>_xlfn.XLOOKUP($N952,'Calculo Leads Conveniencia'!$A$77:$A$104,'Calculo Leads Conveniencia'!M$77:M$104)*_xlfn.XLOOKUP($P952,'Base Grupo de Produtos'!$E$23:$E$39,'Base Grupo de Produtos'!$F$23:$F$39)</f>
        <v>0</v>
      </c>
      <c r="AA952" s="56">
        <f>_xlfn.XLOOKUP($N952,'Calculo Leads Conveniencia'!$A$77:$A$104,'Calculo Leads Conveniencia'!N$77:N$104)*_xlfn.XLOOKUP($P952,'Base Grupo de Produtos'!$E$23:$E$39,'Base Grupo de Produtos'!$F$23:$F$39)</f>
        <v>0</v>
      </c>
      <c r="AB952" s="56">
        <f>_xlfn.XLOOKUP($N952,'Calculo Leads Conveniencia'!$A$77:$A$104,'Calculo Leads Conveniencia'!O$77:O$104)*_xlfn.XLOOKUP($P952,'Base Grupo de Produtos'!$E$23:$E$39,'Base Grupo de Produtos'!$F$23:$F$39)</f>
        <v>0</v>
      </c>
      <c r="AC952" s="61">
        <f t="shared" si="893"/>
        <v>0</v>
      </c>
      <c r="AD952" s="28"/>
      <c r="AE952" s="12"/>
      <c r="AF952" s="29"/>
      <c r="AG952" s="9"/>
      <c r="AH952" s="10"/>
      <c r="AI952" s="9"/>
      <c r="AJ952" s="11"/>
      <c r="AK952" s="9"/>
      <c r="AL952" s="13"/>
      <c r="AM952" s="9"/>
    </row>
    <row r="953" spans="1:39" x14ac:dyDescent="0.3">
      <c r="A953" s="2" t="str">
        <f t="shared" si="920"/>
        <v>NÃO</v>
      </c>
      <c r="B953" s="2" t="str">
        <f>_xlfn.XLOOKUP($N953,'Base de Grupos'!$A:$A,'Base de Grupos'!$D:$D)</f>
        <v>1000065763</v>
      </c>
      <c r="C953" s="5" t="str">
        <f>_xlfn.XLOOKUP($N953,'Base de Grupos'!$A:$A,'Base de Grupos'!$E:$E)</f>
        <v>CANAL VENDA INTERNA</v>
      </c>
      <c r="D953" s="5" t="str">
        <f>_xlfn.XLOOKUP($N953,'Base de Grupos'!$A:$A,'Base de Grupos'!$F:$F)</f>
        <v>1000065763</v>
      </c>
      <c r="E953" s="2" t="str">
        <f>_xlfn.XLOOKUP($N953,'Base de Grupos'!$A:$A,'Base de Grupos'!$G:$G)</f>
        <v>CANAL VENDA INTERNA</v>
      </c>
      <c r="F953" s="2" t="str">
        <f>_xlfn.XLOOKUP($N953,'Base de Grupos'!$A:$A,'Base de Grupos'!$H:$H)</f>
        <v>1000174119</v>
      </c>
      <c r="G953" s="5" t="str">
        <f>_xlfn.XLOOKUP($N953,'Base de Grupos'!$A:$A,'Base de Grupos'!$I:$I)</f>
        <v>REGIONAL VENDA INTERNA - CONVENIENCIA</v>
      </c>
      <c r="H953" s="5" t="str">
        <f>_xlfn.XLOOKUP($N953,'Base de Grupos'!$A:$A,'Base de Grupos'!$J:$J)</f>
        <v>1000174119</v>
      </c>
      <c r="I953" s="2" t="str">
        <f>_xlfn.XLOOKUP($N953,'Base de Grupos'!$A:$A,'Base de Grupos'!$K:$K)</f>
        <v>REGIONAL VENDA INTERNA - CONVENIENCIA</v>
      </c>
      <c r="J953" s="2" t="str">
        <f>_xlfn.XLOOKUP($N953,'Base de Grupos'!$A:$A,'Base de Grupos'!$L:$L)</f>
        <v>1000174119</v>
      </c>
      <c r="K953" s="5" t="str">
        <f>_xlfn.XLOOKUP($N953,'Base de Grupos'!$A:$A,'Base de Grupos'!$M:$M)</f>
        <v>REGIONAL VENDA INTERNA - CONVENIENCIA</v>
      </c>
      <c r="L953" s="5" t="str">
        <f t="shared" si="921"/>
        <v/>
      </c>
      <c r="M953" s="5" t="str">
        <f>_xlfn.XLOOKUP($N953,'Base de Grupos'!$A:$A,'Base de Grupos'!$C:$C)</f>
        <v>AM</v>
      </c>
      <c r="N953" s="3">
        <v>1517</v>
      </c>
      <c r="O953" s="4" t="s">
        <v>276</v>
      </c>
      <c r="P953" s="5" t="s">
        <v>96</v>
      </c>
      <c r="Q953" s="56">
        <v>0</v>
      </c>
      <c r="R953" s="56">
        <v>0</v>
      </c>
      <c r="S953" s="56">
        <v>0</v>
      </c>
      <c r="T953" s="56">
        <f>_xlfn.XLOOKUP($N953,'Calculo Leads Conveniencia'!$A$77:$A$104,'Calculo Leads Conveniencia'!G$77:G$104)*_xlfn.XLOOKUP($P953,'Base Grupo de Produtos'!$E$23:$E$39,'Base Grupo de Produtos'!$F$23:$F$39)</f>
        <v>0</v>
      </c>
      <c r="U953" s="56">
        <f>_xlfn.XLOOKUP($N953,'Calculo Leads Conveniencia'!$A$77:$A$104,'Calculo Leads Conveniencia'!H$77:H$104)*_xlfn.XLOOKUP($P953,'Base Grupo de Produtos'!$E$23:$E$39,'Base Grupo de Produtos'!$F$23:$F$39)</f>
        <v>0</v>
      </c>
      <c r="V953" s="56">
        <f>_xlfn.XLOOKUP($N953,'Calculo Leads Conveniencia'!$A$77:$A$104,'Calculo Leads Conveniencia'!I$77:I$104)*_xlfn.XLOOKUP($P953,'Base Grupo de Produtos'!$E$23:$E$39,'Base Grupo de Produtos'!$F$23:$F$39)</f>
        <v>0</v>
      </c>
      <c r="W953" s="56">
        <f>_xlfn.XLOOKUP($N953,'Calculo Leads Conveniencia'!$A$77:$A$104,'Calculo Leads Conveniencia'!J$77:J$104)*_xlfn.XLOOKUP($P953,'Base Grupo de Produtos'!$E$23:$E$39,'Base Grupo de Produtos'!$F$23:$F$39)</f>
        <v>0</v>
      </c>
      <c r="X953" s="56">
        <f>_xlfn.XLOOKUP($N953,'Calculo Leads Conveniencia'!$A$77:$A$104,'Calculo Leads Conveniencia'!K$77:K$104)*_xlfn.XLOOKUP($P953,'Base Grupo de Produtos'!$E$23:$E$39,'Base Grupo de Produtos'!$F$23:$F$39)</f>
        <v>0</v>
      </c>
      <c r="Y953" s="56">
        <f>_xlfn.XLOOKUP($N953,'Calculo Leads Conveniencia'!$A$77:$A$104,'Calculo Leads Conveniencia'!L$77:L$104)*_xlfn.XLOOKUP($P953,'Base Grupo de Produtos'!$E$23:$E$39,'Base Grupo de Produtos'!$F$23:$F$39)</f>
        <v>0</v>
      </c>
      <c r="Z953" s="56">
        <f>_xlfn.XLOOKUP($N953,'Calculo Leads Conveniencia'!$A$77:$A$104,'Calculo Leads Conveniencia'!M$77:M$104)*_xlfn.XLOOKUP($P953,'Base Grupo de Produtos'!$E$23:$E$39,'Base Grupo de Produtos'!$F$23:$F$39)</f>
        <v>0</v>
      </c>
      <c r="AA953" s="56">
        <f>_xlfn.XLOOKUP($N953,'Calculo Leads Conveniencia'!$A$77:$A$104,'Calculo Leads Conveniencia'!N$77:N$104)*_xlfn.XLOOKUP($P953,'Base Grupo de Produtos'!$E$23:$E$39,'Base Grupo de Produtos'!$F$23:$F$39)</f>
        <v>0</v>
      </c>
      <c r="AB953" s="56">
        <f>_xlfn.XLOOKUP($N953,'Calculo Leads Conveniencia'!$A$77:$A$104,'Calculo Leads Conveniencia'!O$77:O$104)*_xlfn.XLOOKUP($P953,'Base Grupo de Produtos'!$E$23:$E$39,'Base Grupo de Produtos'!$F$23:$F$39)</f>
        <v>0</v>
      </c>
      <c r="AC953" s="61">
        <f t="shared" si="893"/>
        <v>0</v>
      </c>
      <c r="AD953" s="28"/>
      <c r="AE953" s="12"/>
      <c r="AF953" s="29"/>
      <c r="AG953" s="9"/>
      <c r="AH953" s="10"/>
      <c r="AI953" s="9"/>
      <c r="AJ953" s="11"/>
      <c r="AK953" s="9"/>
      <c r="AL953" s="13"/>
      <c r="AM953" s="9"/>
    </row>
    <row r="954" spans="1:39" x14ac:dyDescent="0.3">
      <c r="A954" s="2" t="str">
        <f t="shared" si="920"/>
        <v>NÃO</v>
      </c>
      <c r="B954" s="2" t="str">
        <f>_xlfn.XLOOKUP($N954,'Base de Grupos'!$A:$A,'Base de Grupos'!$D:$D)</f>
        <v>1000065763</v>
      </c>
      <c r="C954" s="5" t="str">
        <f>_xlfn.XLOOKUP($N954,'Base de Grupos'!$A:$A,'Base de Grupos'!$E:$E)</f>
        <v>CANAL VENDA INTERNA</v>
      </c>
      <c r="D954" s="5" t="str">
        <f>_xlfn.XLOOKUP($N954,'Base de Grupos'!$A:$A,'Base de Grupos'!$F:$F)</f>
        <v>1000065763</v>
      </c>
      <c r="E954" s="2" t="str">
        <f>_xlfn.XLOOKUP($N954,'Base de Grupos'!$A:$A,'Base de Grupos'!$G:$G)</f>
        <v>CANAL VENDA INTERNA</v>
      </c>
      <c r="F954" s="2" t="str">
        <f>_xlfn.XLOOKUP($N954,'Base de Grupos'!$A:$A,'Base de Grupos'!$H:$H)</f>
        <v>1000174119</v>
      </c>
      <c r="G954" s="5" t="str">
        <f>_xlfn.XLOOKUP($N954,'Base de Grupos'!$A:$A,'Base de Grupos'!$I:$I)</f>
        <v>REGIONAL VENDA INTERNA - CONVENIENCIA</v>
      </c>
      <c r="H954" s="5" t="str">
        <f>_xlfn.XLOOKUP($N954,'Base de Grupos'!$A:$A,'Base de Grupos'!$J:$J)</f>
        <v>1000174119</v>
      </c>
      <c r="I954" s="2" t="str">
        <f>_xlfn.XLOOKUP($N954,'Base de Grupos'!$A:$A,'Base de Grupos'!$K:$K)</f>
        <v>REGIONAL VENDA INTERNA - CONVENIENCIA</v>
      </c>
      <c r="J954" s="2" t="str">
        <f>_xlfn.XLOOKUP($N954,'Base de Grupos'!$A:$A,'Base de Grupos'!$L:$L)</f>
        <v>1000174119</v>
      </c>
      <c r="K954" s="5" t="str">
        <f>_xlfn.XLOOKUP($N954,'Base de Grupos'!$A:$A,'Base de Grupos'!$M:$M)</f>
        <v>REGIONAL VENDA INTERNA - CONVENIENCIA</v>
      </c>
      <c r="L954" s="5" t="str">
        <f t="shared" si="921"/>
        <v/>
      </c>
      <c r="M954" s="5" t="str">
        <f>_xlfn.XLOOKUP($N954,'Base de Grupos'!$A:$A,'Base de Grupos'!$C:$C)</f>
        <v>AM</v>
      </c>
      <c r="N954" s="3">
        <v>1517</v>
      </c>
      <c r="O954" s="4" t="s">
        <v>276</v>
      </c>
      <c r="P954" s="5" t="s">
        <v>94</v>
      </c>
      <c r="Q954" s="56">
        <v>0</v>
      </c>
      <c r="R954" s="56">
        <v>0</v>
      </c>
      <c r="S954" s="56">
        <v>0</v>
      </c>
      <c r="T954" s="56">
        <f>_xlfn.XLOOKUP($N954,'Calculo Leads Conveniencia'!$A$77:$A$104,'Calculo Leads Conveniencia'!G$77:G$104)*_xlfn.XLOOKUP($P954,'Base Grupo de Produtos'!$E$23:$E$39,'Base Grupo de Produtos'!$F$23:$F$39)</f>
        <v>0</v>
      </c>
      <c r="U954" s="56">
        <f>_xlfn.XLOOKUP($N954,'Calculo Leads Conveniencia'!$A$77:$A$104,'Calculo Leads Conveniencia'!H$77:H$104)*_xlfn.XLOOKUP($P954,'Base Grupo de Produtos'!$E$23:$E$39,'Base Grupo de Produtos'!$F$23:$F$39)</f>
        <v>0</v>
      </c>
      <c r="V954" s="56">
        <f>_xlfn.XLOOKUP($N954,'Calculo Leads Conveniencia'!$A$77:$A$104,'Calculo Leads Conveniencia'!I$77:I$104)*_xlfn.XLOOKUP($P954,'Base Grupo de Produtos'!$E$23:$E$39,'Base Grupo de Produtos'!$F$23:$F$39)</f>
        <v>0</v>
      </c>
      <c r="W954" s="56">
        <f>_xlfn.XLOOKUP($N954,'Calculo Leads Conveniencia'!$A$77:$A$104,'Calculo Leads Conveniencia'!J$77:J$104)*_xlfn.XLOOKUP($P954,'Base Grupo de Produtos'!$E$23:$E$39,'Base Grupo de Produtos'!$F$23:$F$39)</f>
        <v>0</v>
      </c>
      <c r="X954" s="56">
        <f>_xlfn.XLOOKUP($N954,'Calculo Leads Conveniencia'!$A$77:$A$104,'Calculo Leads Conveniencia'!K$77:K$104)*_xlfn.XLOOKUP($P954,'Base Grupo de Produtos'!$E$23:$E$39,'Base Grupo de Produtos'!$F$23:$F$39)</f>
        <v>0</v>
      </c>
      <c r="Y954" s="56">
        <f>_xlfn.XLOOKUP($N954,'Calculo Leads Conveniencia'!$A$77:$A$104,'Calculo Leads Conveniencia'!L$77:L$104)*_xlfn.XLOOKUP($P954,'Base Grupo de Produtos'!$E$23:$E$39,'Base Grupo de Produtos'!$F$23:$F$39)</f>
        <v>0</v>
      </c>
      <c r="Z954" s="56">
        <f>_xlfn.XLOOKUP($N954,'Calculo Leads Conveniencia'!$A$77:$A$104,'Calculo Leads Conveniencia'!M$77:M$104)*_xlfn.XLOOKUP($P954,'Base Grupo de Produtos'!$E$23:$E$39,'Base Grupo de Produtos'!$F$23:$F$39)</f>
        <v>0</v>
      </c>
      <c r="AA954" s="56">
        <f>_xlfn.XLOOKUP($N954,'Calculo Leads Conveniencia'!$A$77:$A$104,'Calculo Leads Conveniencia'!N$77:N$104)*_xlfn.XLOOKUP($P954,'Base Grupo de Produtos'!$E$23:$E$39,'Base Grupo de Produtos'!$F$23:$F$39)</f>
        <v>0</v>
      </c>
      <c r="AB954" s="56">
        <f>_xlfn.XLOOKUP($N954,'Calculo Leads Conveniencia'!$A$77:$A$104,'Calculo Leads Conveniencia'!O$77:O$104)*_xlfn.XLOOKUP($P954,'Base Grupo de Produtos'!$E$23:$E$39,'Base Grupo de Produtos'!$F$23:$F$39)</f>
        <v>0</v>
      </c>
      <c r="AC954" s="61">
        <f t="shared" si="893"/>
        <v>0</v>
      </c>
      <c r="AD954" s="28"/>
      <c r="AE954" s="12"/>
      <c r="AF954" s="29"/>
      <c r="AG954" s="9"/>
      <c r="AH954" s="10"/>
      <c r="AI954" s="9"/>
      <c r="AJ954" s="11"/>
      <c r="AK954" s="9"/>
      <c r="AL954" s="13"/>
      <c r="AM954" s="9"/>
    </row>
    <row r="955" spans="1:39" x14ac:dyDescent="0.3">
      <c r="A955" s="2" t="str">
        <f t="shared" si="920"/>
        <v>NÃO</v>
      </c>
      <c r="B955" s="2" t="str">
        <f>_xlfn.XLOOKUP($N955,'Base de Grupos'!$A:$A,'Base de Grupos'!$D:$D)</f>
        <v>1000065763</v>
      </c>
      <c r="C955" s="5" t="str">
        <f>_xlfn.XLOOKUP($N955,'Base de Grupos'!$A:$A,'Base de Grupos'!$E:$E)</f>
        <v>CANAL VENDA INTERNA</v>
      </c>
      <c r="D955" s="5" t="str">
        <f>_xlfn.XLOOKUP($N955,'Base de Grupos'!$A:$A,'Base de Grupos'!$F:$F)</f>
        <v>1000065763</v>
      </c>
      <c r="E955" s="2" t="str">
        <f>_xlfn.XLOOKUP($N955,'Base de Grupos'!$A:$A,'Base de Grupos'!$G:$G)</f>
        <v>CANAL VENDA INTERNA</v>
      </c>
      <c r="F955" s="2" t="str">
        <f>_xlfn.XLOOKUP($N955,'Base de Grupos'!$A:$A,'Base de Grupos'!$H:$H)</f>
        <v>1000174119</v>
      </c>
      <c r="G955" s="5" t="str">
        <f>_xlfn.XLOOKUP($N955,'Base de Grupos'!$A:$A,'Base de Grupos'!$I:$I)</f>
        <v>REGIONAL VENDA INTERNA - CONVENIENCIA</v>
      </c>
      <c r="H955" s="5" t="str">
        <f>_xlfn.XLOOKUP($N955,'Base de Grupos'!$A:$A,'Base de Grupos'!$J:$J)</f>
        <v>1000174119</v>
      </c>
      <c r="I955" s="2" t="str">
        <f>_xlfn.XLOOKUP($N955,'Base de Grupos'!$A:$A,'Base de Grupos'!$K:$K)</f>
        <v>REGIONAL VENDA INTERNA - CONVENIENCIA</v>
      </c>
      <c r="J955" s="2" t="str">
        <f>_xlfn.XLOOKUP($N955,'Base de Grupos'!$A:$A,'Base de Grupos'!$L:$L)</f>
        <v>1000174119</v>
      </c>
      <c r="K955" s="5" t="str">
        <f>_xlfn.XLOOKUP($N955,'Base de Grupos'!$A:$A,'Base de Grupos'!$M:$M)</f>
        <v>REGIONAL VENDA INTERNA - CONVENIENCIA</v>
      </c>
      <c r="L955" s="5" t="str">
        <f t="shared" si="921"/>
        <v/>
      </c>
      <c r="M955" s="5" t="str">
        <f>_xlfn.XLOOKUP($N955,'Base de Grupos'!$A:$A,'Base de Grupos'!$C:$C)</f>
        <v>AM</v>
      </c>
      <c r="N955" s="3">
        <v>1517</v>
      </c>
      <c r="O955" s="4" t="s">
        <v>276</v>
      </c>
      <c r="P955" s="5" t="s">
        <v>95</v>
      </c>
      <c r="Q955" s="56">
        <v>0</v>
      </c>
      <c r="R955" s="56">
        <v>0</v>
      </c>
      <c r="S955" s="56">
        <v>0</v>
      </c>
      <c r="T955" s="56">
        <f>_xlfn.XLOOKUP($N955,'Calculo Leads Conveniencia'!$A$77:$A$104,'Calculo Leads Conveniencia'!G$77:G$104)*_xlfn.XLOOKUP($P955,'Base Grupo de Produtos'!$E$23:$E$39,'Base Grupo de Produtos'!$F$23:$F$39)</f>
        <v>0</v>
      </c>
      <c r="U955" s="56">
        <f>_xlfn.XLOOKUP($N955,'Calculo Leads Conveniencia'!$A$77:$A$104,'Calculo Leads Conveniencia'!H$77:H$104)*_xlfn.XLOOKUP($P955,'Base Grupo de Produtos'!$E$23:$E$39,'Base Grupo de Produtos'!$F$23:$F$39)</f>
        <v>0</v>
      </c>
      <c r="V955" s="56">
        <f>_xlfn.XLOOKUP($N955,'Calculo Leads Conveniencia'!$A$77:$A$104,'Calculo Leads Conveniencia'!I$77:I$104)*_xlfn.XLOOKUP($P955,'Base Grupo de Produtos'!$E$23:$E$39,'Base Grupo de Produtos'!$F$23:$F$39)</f>
        <v>0</v>
      </c>
      <c r="W955" s="56">
        <f>_xlfn.XLOOKUP($N955,'Calculo Leads Conveniencia'!$A$77:$A$104,'Calculo Leads Conveniencia'!J$77:J$104)*_xlfn.XLOOKUP($P955,'Base Grupo de Produtos'!$E$23:$E$39,'Base Grupo de Produtos'!$F$23:$F$39)</f>
        <v>0</v>
      </c>
      <c r="X955" s="56">
        <f>_xlfn.XLOOKUP($N955,'Calculo Leads Conveniencia'!$A$77:$A$104,'Calculo Leads Conveniencia'!K$77:K$104)*_xlfn.XLOOKUP($P955,'Base Grupo de Produtos'!$E$23:$E$39,'Base Grupo de Produtos'!$F$23:$F$39)</f>
        <v>0</v>
      </c>
      <c r="Y955" s="56">
        <f>_xlfn.XLOOKUP($N955,'Calculo Leads Conveniencia'!$A$77:$A$104,'Calculo Leads Conveniencia'!L$77:L$104)*_xlfn.XLOOKUP($P955,'Base Grupo de Produtos'!$E$23:$E$39,'Base Grupo de Produtos'!$F$23:$F$39)</f>
        <v>0</v>
      </c>
      <c r="Z955" s="56">
        <f>_xlfn.XLOOKUP($N955,'Calculo Leads Conveniencia'!$A$77:$A$104,'Calculo Leads Conveniencia'!M$77:M$104)*_xlfn.XLOOKUP($P955,'Base Grupo de Produtos'!$E$23:$E$39,'Base Grupo de Produtos'!$F$23:$F$39)</f>
        <v>0</v>
      </c>
      <c r="AA955" s="56">
        <f>_xlfn.XLOOKUP($N955,'Calculo Leads Conveniencia'!$A$77:$A$104,'Calculo Leads Conveniencia'!N$77:N$104)*_xlfn.XLOOKUP($P955,'Base Grupo de Produtos'!$E$23:$E$39,'Base Grupo de Produtos'!$F$23:$F$39)</f>
        <v>0</v>
      </c>
      <c r="AB955" s="56">
        <f>_xlfn.XLOOKUP($N955,'Calculo Leads Conveniencia'!$A$77:$A$104,'Calculo Leads Conveniencia'!O$77:O$104)*_xlfn.XLOOKUP($P955,'Base Grupo de Produtos'!$E$23:$E$39,'Base Grupo de Produtos'!$F$23:$F$39)</f>
        <v>0</v>
      </c>
      <c r="AC955" s="61">
        <f t="shared" si="893"/>
        <v>0</v>
      </c>
      <c r="AD955" s="28"/>
      <c r="AE955" s="12"/>
      <c r="AF955" s="29"/>
      <c r="AG955" s="9"/>
      <c r="AH955" s="10"/>
      <c r="AI955" s="9"/>
      <c r="AJ955" s="11"/>
      <c r="AK955" s="9"/>
      <c r="AL955" s="13"/>
      <c r="AM955" s="9"/>
    </row>
    <row r="956" spans="1:39" x14ac:dyDescent="0.3">
      <c r="A956" s="2" t="str">
        <f t="shared" si="920"/>
        <v>NÃO</v>
      </c>
      <c r="B956" s="2" t="str">
        <f>_xlfn.XLOOKUP($N956,'Base de Grupos'!$A:$A,'Base de Grupos'!$D:$D)</f>
        <v>1000065763</v>
      </c>
      <c r="C956" s="5" t="str">
        <f>_xlfn.XLOOKUP($N956,'Base de Grupos'!$A:$A,'Base de Grupos'!$E:$E)</f>
        <v>CANAL VENDA INTERNA</v>
      </c>
      <c r="D956" s="5" t="str">
        <f>_xlfn.XLOOKUP($N956,'Base de Grupos'!$A:$A,'Base de Grupos'!$F:$F)</f>
        <v>1000065763</v>
      </c>
      <c r="E956" s="2" t="str">
        <f>_xlfn.XLOOKUP($N956,'Base de Grupos'!$A:$A,'Base de Grupos'!$G:$G)</f>
        <v>CANAL VENDA INTERNA</v>
      </c>
      <c r="F956" s="2" t="str">
        <f>_xlfn.XLOOKUP($N956,'Base de Grupos'!$A:$A,'Base de Grupos'!$H:$H)</f>
        <v>1000174119</v>
      </c>
      <c r="G956" s="5" t="str">
        <f>_xlfn.XLOOKUP($N956,'Base de Grupos'!$A:$A,'Base de Grupos'!$I:$I)</f>
        <v>REGIONAL VENDA INTERNA - CONVENIENCIA</v>
      </c>
      <c r="H956" s="5" t="str">
        <f>_xlfn.XLOOKUP($N956,'Base de Grupos'!$A:$A,'Base de Grupos'!$J:$J)</f>
        <v>1000174119</v>
      </c>
      <c r="I956" s="2" t="str">
        <f>_xlfn.XLOOKUP($N956,'Base de Grupos'!$A:$A,'Base de Grupos'!$K:$K)</f>
        <v>REGIONAL VENDA INTERNA - CONVENIENCIA</v>
      </c>
      <c r="J956" s="2" t="str">
        <f>_xlfn.XLOOKUP($N956,'Base de Grupos'!$A:$A,'Base de Grupos'!$L:$L)</f>
        <v>1000174119</v>
      </c>
      <c r="K956" s="5" t="str">
        <f>_xlfn.XLOOKUP($N956,'Base de Grupos'!$A:$A,'Base de Grupos'!$M:$M)</f>
        <v>REGIONAL VENDA INTERNA - CONVENIENCIA</v>
      </c>
      <c r="L956" s="5" t="str">
        <f t="shared" si="921"/>
        <v/>
      </c>
      <c r="M956" s="5" t="str">
        <f>_xlfn.XLOOKUP($N956,'Base de Grupos'!$A:$A,'Base de Grupos'!$C:$C)</f>
        <v>AM</v>
      </c>
      <c r="N956" s="3">
        <v>1517</v>
      </c>
      <c r="O956" s="4" t="s">
        <v>276</v>
      </c>
      <c r="P956" s="5" t="s">
        <v>93</v>
      </c>
      <c r="Q956" s="56">
        <v>0</v>
      </c>
      <c r="R956" s="56">
        <v>0</v>
      </c>
      <c r="S956" s="56">
        <v>0</v>
      </c>
      <c r="T956" s="56">
        <f>_xlfn.XLOOKUP($N956,'Calculo Leads Conveniencia'!$A$77:$A$104,'Calculo Leads Conveniencia'!G$77:G$104)*_xlfn.XLOOKUP($P956,'Base Grupo de Produtos'!$E$23:$E$39,'Base Grupo de Produtos'!$F$23:$F$39)</f>
        <v>0</v>
      </c>
      <c r="U956" s="56">
        <f>_xlfn.XLOOKUP($N956,'Calculo Leads Conveniencia'!$A$77:$A$104,'Calculo Leads Conveniencia'!H$77:H$104)*_xlfn.XLOOKUP($P956,'Base Grupo de Produtos'!$E$23:$E$39,'Base Grupo de Produtos'!$F$23:$F$39)</f>
        <v>0</v>
      </c>
      <c r="V956" s="56">
        <f>_xlfn.XLOOKUP($N956,'Calculo Leads Conveniencia'!$A$77:$A$104,'Calculo Leads Conveniencia'!I$77:I$104)*_xlfn.XLOOKUP($P956,'Base Grupo de Produtos'!$E$23:$E$39,'Base Grupo de Produtos'!$F$23:$F$39)</f>
        <v>0</v>
      </c>
      <c r="W956" s="56">
        <f>_xlfn.XLOOKUP($N956,'Calculo Leads Conveniencia'!$A$77:$A$104,'Calculo Leads Conveniencia'!J$77:J$104)*_xlfn.XLOOKUP($P956,'Base Grupo de Produtos'!$E$23:$E$39,'Base Grupo de Produtos'!$F$23:$F$39)</f>
        <v>0</v>
      </c>
      <c r="X956" s="56">
        <f>_xlfn.XLOOKUP($N956,'Calculo Leads Conveniencia'!$A$77:$A$104,'Calculo Leads Conveniencia'!K$77:K$104)*_xlfn.XLOOKUP($P956,'Base Grupo de Produtos'!$E$23:$E$39,'Base Grupo de Produtos'!$F$23:$F$39)</f>
        <v>0</v>
      </c>
      <c r="Y956" s="56">
        <f>_xlfn.XLOOKUP($N956,'Calculo Leads Conveniencia'!$A$77:$A$104,'Calculo Leads Conveniencia'!L$77:L$104)*_xlfn.XLOOKUP($P956,'Base Grupo de Produtos'!$E$23:$E$39,'Base Grupo de Produtos'!$F$23:$F$39)</f>
        <v>0</v>
      </c>
      <c r="Z956" s="56">
        <f>_xlfn.XLOOKUP($N956,'Calculo Leads Conveniencia'!$A$77:$A$104,'Calculo Leads Conveniencia'!M$77:M$104)*_xlfn.XLOOKUP($P956,'Base Grupo de Produtos'!$E$23:$E$39,'Base Grupo de Produtos'!$F$23:$F$39)</f>
        <v>0</v>
      </c>
      <c r="AA956" s="56">
        <f>_xlfn.XLOOKUP($N956,'Calculo Leads Conveniencia'!$A$77:$A$104,'Calculo Leads Conveniencia'!N$77:N$104)*_xlfn.XLOOKUP($P956,'Base Grupo de Produtos'!$E$23:$E$39,'Base Grupo de Produtos'!$F$23:$F$39)</f>
        <v>0</v>
      </c>
      <c r="AB956" s="56">
        <f>_xlfn.XLOOKUP($N956,'Calculo Leads Conveniencia'!$A$77:$A$104,'Calculo Leads Conveniencia'!O$77:O$104)*_xlfn.XLOOKUP($P956,'Base Grupo de Produtos'!$E$23:$E$39,'Base Grupo de Produtos'!$F$23:$F$39)</f>
        <v>0</v>
      </c>
      <c r="AC956" s="61">
        <f t="shared" si="893"/>
        <v>0</v>
      </c>
      <c r="AD956" s="28"/>
      <c r="AE956" s="12"/>
      <c r="AF956" s="29"/>
      <c r="AG956" s="9"/>
      <c r="AH956" s="10"/>
      <c r="AI956" s="9"/>
      <c r="AJ956" s="11"/>
      <c r="AK956" s="9"/>
      <c r="AL956" s="13"/>
      <c r="AM956" s="9"/>
    </row>
    <row r="957" spans="1:39" x14ac:dyDescent="0.3">
      <c r="A957" s="2" t="str">
        <f t="shared" si="920"/>
        <v>SIM</v>
      </c>
      <c r="B957" s="2" t="str">
        <f>_xlfn.XLOOKUP($N957,'Base de Grupos'!$A:$A,'Base de Grupos'!$D:$D)</f>
        <v>1000065763</v>
      </c>
      <c r="C957" s="5" t="str">
        <f>_xlfn.XLOOKUP($N957,'Base de Grupos'!$A:$A,'Base de Grupos'!$E:$E)</f>
        <v>CANAL VENDA INTERNA</v>
      </c>
      <c r="D957" s="5" t="str">
        <f>_xlfn.XLOOKUP($N957,'Base de Grupos'!$A:$A,'Base de Grupos'!$F:$F)</f>
        <v>1000065763</v>
      </c>
      <c r="E957" s="2" t="str">
        <f>_xlfn.XLOOKUP($N957,'Base de Grupos'!$A:$A,'Base de Grupos'!$G:$G)</f>
        <v>CANAL VENDA INTERNA</v>
      </c>
      <c r="F957" s="2" t="str">
        <f>_xlfn.XLOOKUP($N957,'Base de Grupos'!$A:$A,'Base de Grupos'!$H:$H)</f>
        <v>1000174119</v>
      </c>
      <c r="G957" s="5" t="str">
        <f>_xlfn.XLOOKUP($N957,'Base de Grupos'!$A:$A,'Base de Grupos'!$I:$I)</f>
        <v>REGIONAL VENDA INTERNA - CONVENIENCIA</v>
      </c>
      <c r="H957" s="5" t="str">
        <f>_xlfn.XLOOKUP($N957,'Base de Grupos'!$A:$A,'Base de Grupos'!$J:$J)</f>
        <v>1000174119</v>
      </c>
      <c r="I957" s="2" t="str">
        <f>_xlfn.XLOOKUP($N957,'Base de Grupos'!$A:$A,'Base de Grupos'!$K:$K)</f>
        <v>REGIONAL VENDA INTERNA - CONVENIENCIA</v>
      </c>
      <c r="J957" s="2" t="str">
        <f>_xlfn.XLOOKUP($N957,'Base de Grupos'!$A:$A,'Base de Grupos'!$L:$L)</f>
        <v>1000174119</v>
      </c>
      <c r="K957" s="5" t="str">
        <f>_xlfn.XLOOKUP($N957,'Base de Grupos'!$A:$A,'Base de Grupos'!$M:$M)</f>
        <v>REGIONAL VENDA INTERNA - CONVENIENCIA</v>
      </c>
      <c r="L957" s="5">
        <f t="shared" si="921"/>
        <v>1</v>
      </c>
      <c r="M957" s="5" t="str">
        <f>_xlfn.XLOOKUP($N957,'Base de Grupos'!$A:$A,'Base de Grupos'!$C:$C)</f>
        <v>DF</v>
      </c>
      <c r="N957" s="3">
        <v>1518</v>
      </c>
      <c r="O957" s="4" t="s">
        <v>277</v>
      </c>
      <c r="P957" s="5" t="s">
        <v>347</v>
      </c>
      <c r="Q957" s="56">
        <f t="shared" ref="Q957" si="935">SUM(Q958:Q974)</f>
        <v>0</v>
      </c>
      <c r="R957" s="56">
        <f t="shared" ref="R957" si="936">SUM(R958:R974)</f>
        <v>0</v>
      </c>
      <c r="S957" s="56">
        <f t="shared" ref="S957" si="937">SUM(S958:S974)</f>
        <v>0</v>
      </c>
      <c r="T957" s="56">
        <f t="shared" ref="T957" si="938">SUM(T958:T974)</f>
        <v>0</v>
      </c>
      <c r="U957" s="56">
        <f t="shared" ref="U957" si="939">SUM(U958:U974)</f>
        <v>0</v>
      </c>
      <c r="V957" s="56">
        <f t="shared" ref="V957" si="940">SUM(V958:V974)</f>
        <v>0</v>
      </c>
      <c r="W957" s="56">
        <f t="shared" ref="W957" si="941">SUM(W958:W974)</f>
        <v>0</v>
      </c>
      <c r="X957" s="56">
        <f t="shared" ref="X957" si="942">SUM(X958:X974)</f>
        <v>0</v>
      </c>
      <c r="Y957" s="56">
        <f t="shared" ref="Y957" si="943">SUM(Y958:Y974)</f>
        <v>0</v>
      </c>
      <c r="Z957" s="56">
        <f t="shared" ref="Z957" si="944">SUM(Z958:Z974)</f>
        <v>0</v>
      </c>
      <c r="AA957" s="56">
        <f t="shared" ref="AA957" si="945">SUM(AA958:AA974)</f>
        <v>0</v>
      </c>
      <c r="AB957" s="56">
        <f t="shared" ref="AB957" si="946">SUM(AB958:AB974)</f>
        <v>0</v>
      </c>
      <c r="AC957" s="56">
        <f t="shared" ref="AC957" si="947">SUM(AC958:AC974)</f>
        <v>0</v>
      </c>
      <c r="AD957" s="28"/>
      <c r="AE957" s="12"/>
      <c r="AF957" s="29"/>
      <c r="AG957" s="9"/>
      <c r="AH957" s="10"/>
      <c r="AI957" s="9"/>
      <c r="AJ957" s="11"/>
      <c r="AK957" s="9"/>
      <c r="AL957" s="13"/>
      <c r="AM957" s="9"/>
    </row>
    <row r="958" spans="1:39" x14ac:dyDescent="0.3">
      <c r="A958" s="2" t="str">
        <f t="shared" si="920"/>
        <v>NÃO</v>
      </c>
      <c r="B958" s="2" t="str">
        <f>_xlfn.XLOOKUP($N958,'Base de Grupos'!$A:$A,'Base de Grupos'!$D:$D)</f>
        <v>1000065763</v>
      </c>
      <c r="C958" s="5" t="str">
        <f>_xlfn.XLOOKUP($N958,'Base de Grupos'!$A:$A,'Base de Grupos'!$E:$E)</f>
        <v>CANAL VENDA INTERNA</v>
      </c>
      <c r="D958" s="5" t="str">
        <f>_xlfn.XLOOKUP($N958,'Base de Grupos'!$A:$A,'Base de Grupos'!$F:$F)</f>
        <v>1000065763</v>
      </c>
      <c r="E958" s="2" t="str">
        <f>_xlfn.XLOOKUP($N958,'Base de Grupos'!$A:$A,'Base de Grupos'!$G:$G)</f>
        <v>CANAL VENDA INTERNA</v>
      </c>
      <c r="F958" s="2" t="str">
        <f>_xlfn.XLOOKUP($N958,'Base de Grupos'!$A:$A,'Base de Grupos'!$H:$H)</f>
        <v>1000174119</v>
      </c>
      <c r="G958" s="5" t="str">
        <f>_xlfn.XLOOKUP($N958,'Base de Grupos'!$A:$A,'Base de Grupos'!$I:$I)</f>
        <v>REGIONAL VENDA INTERNA - CONVENIENCIA</v>
      </c>
      <c r="H958" s="5" t="str">
        <f>_xlfn.XLOOKUP($N958,'Base de Grupos'!$A:$A,'Base de Grupos'!$J:$J)</f>
        <v>1000174119</v>
      </c>
      <c r="I958" s="2" t="str">
        <f>_xlfn.XLOOKUP($N958,'Base de Grupos'!$A:$A,'Base de Grupos'!$K:$K)</f>
        <v>REGIONAL VENDA INTERNA - CONVENIENCIA</v>
      </c>
      <c r="J958" s="2" t="str">
        <f>_xlfn.XLOOKUP($N958,'Base de Grupos'!$A:$A,'Base de Grupos'!$L:$L)</f>
        <v>1000174119</v>
      </c>
      <c r="K958" s="5" t="str">
        <f>_xlfn.XLOOKUP($N958,'Base de Grupos'!$A:$A,'Base de Grupos'!$M:$M)</f>
        <v>REGIONAL VENDA INTERNA - CONVENIENCIA</v>
      </c>
      <c r="L958" s="5" t="str">
        <f t="shared" si="921"/>
        <v/>
      </c>
      <c r="M958" s="5" t="str">
        <f>_xlfn.XLOOKUP($N958,'Base de Grupos'!$A:$A,'Base de Grupos'!$C:$C)</f>
        <v>DF</v>
      </c>
      <c r="N958" s="3">
        <v>1518</v>
      </c>
      <c r="O958" s="4" t="s">
        <v>277</v>
      </c>
      <c r="P958" s="5" t="s">
        <v>81</v>
      </c>
      <c r="Q958" s="56">
        <v>0</v>
      </c>
      <c r="R958" s="56">
        <v>0</v>
      </c>
      <c r="S958" s="56">
        <v>0</v>
      </c>
      <c r="T958" s="56">
        <f>_xlfn.XLOOKUP($N958,'Calculo Leads Conveniencia'!$A$77:$A$104,'Calculo Leads Conveniencia'!G$77:G$104)*_xlfn.XLOOKUP($P958,'Base Grupo de Produtos'!$E$23:$E$39,'Base Grupo de Produtos'!$F$23:$F$39)</f>
        <v>0</v>
      </c>
      <c r="U958" s="56">
        <f>_xlfn.XLOOKUP($N958,'Calculo Leads Conveniencia'!$A$77:$A$104,'Calculo Leads Conveniencia'!H$77:H$104)*_xlfn.XLOOKUP($P958,'Base Grupo de Produtos'!$E$23:$E$39,'Base Grupo de Produtos'!$F$23:$F$39)</f>
        <v>0</v>
      </c>
      <c r="V958" s="56">
        <f>_xlfn.XLOOKUP($N958,'Calculo Leads Conveniencia'!$A$77:$A$104,'Calculo Leads Conveniencia'!I$77:I$104)*_xlfn.XLOOKUP($P958,'Base Grupo de Produtos'!$E$23:$E$39,'Base Grupo de Produtos'!$F$23:$F$39)</f>
        <v>0</v>
      </c>
      <c r="W958" s="56">
        <f>_xlfn.XLOOKUP($N958,'Calculo Leads Conveniencia'!$A$77:$A$104,'Calculo Leads Conveniencia'!J$77:J$104)*_xlfn.XLOOKUP($P958,'Base Grupo de Produtos'!$E$23:$E$39,'Base Grupo de Produtos'!$F$23:$F$39)</f>
        <v>0</v>
      </c>
      <c r="X958" s="56">
        <f>_xlfn.XLOOKUP($N958,'Calculo Leads Conveniencia'!$A$77:$A$104,'Calculo Leads Conveniencia'!K$77:K$104)*_xlfn.XLOOKUP($P958,'Base Grupo de Produtos'!$E$23:$E$39,'Base Grupo de Produtos'!$F$23:$F$39)</f>
        <v>0</v>
      </c>
      <c r="Y958" s="56">
        <f>_xlfn.XLOOKUP($N958,'Calculo Leads Conveniencia'!$A$77:$A$104,'Calculo Leads Conveniencia'!L$77:L$104)*_xlfn.XLOOKUP($P958,'Base Grupo de Produtos'!$E$23:$E$39,'Base Grupo de Produtos'!$F$23:$F$39)</f>
        <v>0</v>
      </c>
      <c r="Z958" s="56">
        <f>_xlfn.XLOOKUP($N958,'Calculo Leads Conveniencia'!$A$77:$A$104,'Calculo Leads Conveniencia'!M$77:M$104)*_xlfn.XLOOKUP($P958,'Base Grupo de Produtos'!$E$23:$E$39,'Base Grupo de Produtos'!$F$23:$F$39)</f>
        <v>0</v>
      </c>
      <c r="AA958" s="56">
        <f>_xlfn.XLOOKUP($N958,'Calculo Leads Conveniencia'!$A$77:$A$104,'Calculo Leads Conveniencia'!N$77:N$104)*_xlfn.XLOOKUP($P958,'Base Grupo de Produtos'!$E$23:$E$39,'Base Grupo de Produtos'!$F$23:$F$39)</f>
        <v>0</v>
      </c>
      <c r="AB958" s="56">
        <f>_xlfn.XLOOKUP($N958,'Calculo Leads Conveniencia'!$A$77:$A$104,'Calculo Leads Conveniencia'!O$77:O$104)*_xlfn.XLOOKUP($P958,'Base Grupo de Produtos'!$E$23:$E$39,'Base Grupo de Produtos'!$F$23:$F$39)</f>
        <v>0</v>
      </c>
      <c r="AC958" s="61">
        <f t="shared" si="893"/>
        <v>0</v>
      </c>
      <c r="AD958" s="28"/>
      <c r="AE958" s="12"/>
      <c r="AF958" s="29"/>
      <c r="AG958" s="9"/>
      <c r="AH958" s="10"/>
      <c r="AI958" s="9"/>
      <c r="AJ958" s="11"/>
      <c r="AK958" s="9"/>
      <c r="AL958" s="13"/>
      <c r="AM958" s="9"/>
    </row>
    <row r="959" spans="1:39" x14ac:dyDescent="0.3">
      <c r="A959" s="2" t="str">
        <f t="shared" si="920"/>
        <v>NÃO</v>
      </c>
      <c r="B959" s="2" t="str">
        <f>_xlfn.XLOOKUP($N959,'Base de Grupos'!$A:$A,'Base de Grupos'!$D:$D)</f>
        <v>1000065763</v>
      </c>
      <c r="C959" s="5" t="str">
        <f>_xlfn.XLOOKUP($N959,'Base de Grupos'!$A:$A,'Base de Grupos'!$E:$E)</f>
        <v>CANAL VENDA INTERNA</v>
      </c>
      <c r="D959" s="5" t="str">
        <f>_xlfn.XLOOKUP($N959,'Base de Grupos'!$A:$A,'Base de Grupos'!$F:$F)</f>
        <v>1000065763</v>
      </c>
      <c r="E959" s="2" t="str">
        <f>_xlfn.XLOOKUP($N959,'Base de Grupos'!$A:$A,'Base de Grupos'!$G:$G)</f>
        <v>CANAL VENDA INTERNA</v>
      </c>
      <c r="F959" s="2" t="str">
        <f>_xlfn.XLOOKUP($N959,'Base de Grupos'!$A:$A,'Base de Grupos'!$H:$H)</f>
        <v>1000174119</v>
      </c>
      <c r="G959" s="5" t="str">
        <f>_xlfn.XLOOKUP($N959,'Base de Grupos'!$A:$A,'Base de Grupos'!$I:$I)</f>
        <v>REGIONAL VENDA INTERNA - CONVENIENCIA</v>
      </c>
      <c r="H959" s="5" t="str">
        <f>_xlfn.XLOOKUP($N959,'Base de Grupos'!$A:$A,'Base de Grupos'!$J:$J)</f>
        <v>1000174119</v>
      </c>
      <c r="I959" s="2" t="str">
        <f>_xlfn.XLOOKUP($N959,'Base de Grupos'!$A:$A,'Base de Grupos'!$K:$K)</f>
        <v>REGIONAL VENDA INTERNA - CONVENIENCIA</v>
      </c>
      <c r="J959" s="2" t="str">
        <f>_xlfn.XLOOKUP($N959,'Base de Grupos'!$A:$A,'Base de Grupos'!$L:$L)</f>
        <v>1000174119</v>
      </c>
      <c r="K959" s="5" t="str">
        <f>_xlfn.XLOOKUP($N959,'Base de Grupos'!$A:$A,'Base de Grupos'!$M:$M)</f>
        <v>REGIONAL VENDA INTERNA - CONVENIENCIA</v>
      </c>
      <c r="L959" s="5" t="str">
        <f t="shared" si="921"/>
        <v/>
      </c>
      <c r="M959" s="5" t="str">
        <f>_xlfn.XLOOKUP($N959,'Base de Grupos'!$A:$A,'Base de Grupos'!$C:$C)</f>
        <v>DF</v>
      </c>
      <c r="N959" s="3">
        <v>1518</v>
      </c>
      <c r="O959" s="4" t="s">
        <v>277</v>
      </c>
      <c r="P959" s="5" t="s">
        <v>82</v>
      </c>
      <c r="Q959" s="56">
        <v>0</v>
      </c>
      <c r="R959" s="56">
        <v>0</v>
      </c>
      <c r="S959" s="56">
        <v>0</v>
      </c>
      <c r="T959" s="56">
        <f>_xlfn.XLOOKUP($N959,'Calculo Leads Conveniencia'!$A$77:$A$104,'Calculo Leads Conveniencia'!G$77:G$104)*_xlfn.XLOOKUP($P959,'Base Grupo de Produtos'!$E$23:$E$39,'Base Grupo de Produtos'!$F$23:$F$39)</f>
        <v>0</v>
      </c>
      <c r="U959" s="56">
        <f>_xlfn.XLOOKUP($N959,'Calculo Leads Conveniencia'!$A$77:$A$104,'Calculo Leads Conveniencia'!H$77:H$104)*_xlfn.XLOOKUP($P959,'Base Grupo de Produtos'!$E$23:$E$39,'Base Grupo de Produtos'!$F$23:$F$39)</f>
        <v>0</v>
      </c>
      <c r="V959" s="56">
        <f>_xlfn.XLOOKUP($N959,'Calculo Leads Conveniencia'!$A$77:$A$104,'Calculo Leads Conveniencia'!I$77:I$104)*_xlfn.XLOOKUP($P959,'Base Grupo de Produtos'!$E$23:$E$39,'Base Grupo de Produtos'!$F$23:$F$39)</f>
        <v>0</v>
      </c>
      <c r="W959" s="56">
        <f>_xlfn.XLOOKUP($N959,'Calculo Leads Conveniencia'!$A$77:$A$104,'Calculo Leads Conveniencia'!J$77:J$104)*_xlfn.XLOOKUP($P959,'Base Grupo de Produtos'!$E$23:$E$39,'Base Grupo de Produtos'!$F$23:$F$39)</f>
        <v>0</v>
      </c>
      <c r="X959" s="56">
        <f>_xlfn.XLOOKUP($N959,'Calculo Leads Conveniencia'!$A$77:$A$104,'Calculo Leads Conveniencia'!K$77:K$104)*_xlfn.XLOOKUP($P959,'Base Grupo de Produtos'!$E$23:$E$39,'Base Grupo de Produtos'!$F$23:$F$39)</f>
        <v>0</v>
      </c>
      <c r="Y959" s="56">
        <f>_xlfn.XLOOKUP($N959,'Calculo Leads Conveniencia'!$A$77:$A$104,'Calculo Leads Conveniencia'!L$77:L$104)*_xlfn.XLOOKUP($P959,'Base Grupo de Produtos'!$E$23:$E$39,'Base Grupo de Produtos'!$F$23:$F$39)</f>
        <v>0</v>
      </c>
      <c r="Z959" s="56">
        <f>_xlfn.XLOOKUP($N959,'Calculo Leads Conveniencia'!$A$77:$A$104,'Calculo Leads Conveniencia'!M$77:M$104)*_xlfn.XLOOKUP($P959,'Base Grupo de Produtos'!$E$23:$E$39,'Base Grupo de Produtos'!$F$23:$F$39)</f>
        <v>0</v>
      </c>
      <c r="AA959" s="56">
        <f>_xlfn.XLOOKUP($N959,'Calculo Leads Conveniencia'!$A$77:$A$104,'Calculo Leads Conveniencia'!N$77:N$104)*_xlfn.XLOOKUP($P959,'Base Grupo de Produtos'!$E$23:$E$39,'Base Grupo de Produtos'!$F$23:$F$39)</f>
        <v>0</v>
      </c>
      <c r="AB959" s="56">
        <f>_xlfn.XLOOKUP($N959,'Calculo Leads Conveniencia'!$A$77:$A$104,'Calculo Leads Conveniencia'!O$77:O$104)*_xlfn.XLOOKUP($P959,'Base Grupo de Produtos'!$E$23:$E$39,'Base Grupo de Produtos'!$F$23:$F$39)</f>
        <v>0</v>
      </c>
      <c r="AC959" s="61">
        <f t="shared" si="893"/>
        <v>0</v>
      </c>
      <c r="AD959" s="28"/>
      <c r="AE959" s="12"/>
      <c r="AF959" s="29"/>
      <c r="AG959" s="9"/>
      <c r="AH959" s="10"/>
      <c r="AI959" s="9"/>
      <c r="AJ959" s="11"/>
      <c r="AK959" s="9"/>
      <c r="AL959" s="13"/>
      <c r="AM959" s="9"/>
    </row>
    <row r="960" spans="1:39" x14ac:dyDescent="0.3">
      <c r="A960" s="2" t="str">
        <f t="shared" si="920"/>
        <v>NÃO</v>
      </c>
      <c r="B960" s="2" t="str">
        <f>_xlfn.XLOOKUP($N960,'Base de Grupos'!$A:$A,'Base de Grupos'!$D:$D)</f>
        <v>1000065763</v>
      </c>
      <c r="C960" s="5" t="str">
        <f>_xlfn.XLOOKUP($N960,'Base de Grupos'!$A:$A,'Base de Grupos'!$E:$E)</f>
        <v>CANAL VENDA INTERNA</v>
      </c>
      <c r="D960" s="5" t="str">
        <f>_xlfn.XLOOKUP($N960,'Base de Grupos'!$A:$A,'Base de Grupos'!$F:$F)</f>
        <v>1000065763</v>
      </c>
      <c r="E960" s="2" t="str">
        <f>_xlfn.XLOOKUP($N960,'Base de Grupos'!$A:$A,'Base de Grupos'!$G:$G)</f>
        <v>CANAL VENDA INTERNA</v>
      </c>
      <c r="F960" s="2" t="str">
        <f>_xlfn.XLOOKUP($N960,'Base de Grupos'!$A:$A,'Base de Grupos'!$H:$H)</f>
        <v>1000174119</v>
      </c>
      <c r="G960" s="5" t="str">
        <f>_xlfn.XLOOKUP($N960,'Base de Grupos'!$A:$A,'Base de Grupos'!$I:$I)</f>
        <v>REGIONAL VENDA INTERNA - CONVENIENCIA</v>
      </c>
      <c r="H960" s="5" t="str">
        <f>_xlfn.XLOOKUP($N960,'Base de Grupos'!$A:$A,'Base de Grupos'!$J:$J)</f>
        <v>1000174119</v>
      </c>
      <c r="I960" s="2" t="str">
        <f>_xlfn.XLOOKUP($N960,'Base de Grupos'!$A:$A,'Base de Grupos'!$K:$K)</f>
        <v>REGIONAL VENDA INTERNA - CONVENIENCIA</v>
      </c>
      <c r="J960" s="2" t="str">
        <f>_xlfn.XLOOKUP($N960,'Base de Grupos'!$A:$A,'Base de Grupos'!$L:$L)</f>
        <v>1000174119</v>
      </c>
      <c r="K960" s="5" t="str">
        <f>_xlfn.XLOOKUP($N960,'Base de Grupos'!$A:$A,'Base de Grupos'!$M:$M)</f>
        <v>REGIONAL VENDA INTERNA - CONVENIENCIA</v>
      </c>
      <c r="L960" s="5" t="str">
        <f t="shared" si="921"/>
        <v/>
      </c>
      <c r="M960" s="5" t="str">
        <f>_xlfn.XLOOKUP($N960,'Base de Grupos'!$A:$A,'Base de Grupos'!$C:$C)</f>
        <v>DF</v>
      </c>
      <c r="N960" s="3">
        <v>1518</v>
      </c>
      <c r="O960" s="4" t="s">
        <v>277</v>
      </c>
      <c r="P960" s="5" t="s">
        <v>84</v>
      </c>
      <c r="Q960" s="56">
        <v>0</v>
      </c>
      <c r="R960" s="56">
        <v>0</v>
      </c>
      <c r="S960" s="56">
        <v>0</v>
      </c>
      <c r="T960" s="56">
        <f>_xlfn.XLOOKUP($N960,'Calculo Leads Conveniencia'!$A$77:$A$104,'Calculo Leads Conveniencia'!G$77:G$104)*_xlfn.XLOOKUP($P960,'Base Grupo de Produtos'!$E$23:$E$39,'Base Grupo de Produtos'!$F$23:$F$39)</f>
        <v>0</v>
      </c>
      <c r="U960" s="56">
        <f>_xlfn.XLOOKUP($N960,'Calculo Leads Conveniencia'!$A$77:$A$104,'Calculo Leads Conveniencia'!H$77:H$104)*_xlfn.XLOOKUP($P960,'Base Grupo de Produtos'!$E$23:$E$39,'Base Grupo de Produtos'!$F$23:$F$39)</f>
        <v>0</v>
      </c>
      <c r="V960" s="56">
        <f>_xlfn.XLOOKUP($N960,'Calculo Leads Conveniencia'!$A$77:$A$104,'Calculo Leads Conveniencia'!I$77:I$104)*_xlfn.XLOOKUP($P960,'Base Grupo de Produtos'!$E$23:$E$39,'Base Grupo de Produtos'!$F$23:$F$39)</f>
        <v>0</v>
      </c>
      <c r="W960" s="56">
        <f>_xlfn.XLOOKUP($N960,'Calculo Leads Conveniencia'!$A$77:$A$104,'Calculo Leads Conveniencia'!J$77:J$104)*_xlfn.XLOOKUP($P960,'Base Grupo de Produtos'!$E$23:$E$39,'Base Grupo de Produtos'!$F$23:$F$39)</f>
        <v>0</v>
      </c>
      <c r="X960" s="56">
        <f>_xlfn.XLOOKUP($N960,'Calculo Leads Conveniencia'!$A$77:$A$104,'Calculo Leads Conveniencia'!K$77:K$104)*_xlfn.XLOOKUP($P960,'Base Grupo de Produtos'!$E$23:$E$39,'Base Grupo de Produtos'!$F$23:$F$39)</f>
        <v>0</v>
      </c>
      <c r="Y960" s="56">
        <f>_xlfn.XLOOKUP($N960,'Calculo Leads Conveniencia'!$A$77:$A$104,'Calculo Leads Conveniencia'!L$77:L$104)*_xlfn.XLOOKUP($P960,'Base Grupo de Produtos'!$E$23:$E$39,'Base Grupo de Produtos'!$F$23:$F$39)</f>
        <v>0</v>
      </c>
      <c r="Z960" s="56">
        <f>_xlfn.XLOOKUP($N960,'Calculo Leads Conveniencia'!$A$77:$A$104,'Calculo Leads Conveniencia'!M$77:M$104)*_xlfn.XLOOKUP($P960,'Base Grupo de Produtos'!$E$23:$E$39,'Base Grupo de Produtos'!$F$23:$F$39)</f>
        <v>0</v>
      </c>
      <c r="AA960" s="56">
        <f>_xlfn.XLOOKUP($N960,'Calculo Leads Conveniencia'!$A$77:$A$104,'Calculo Leads Conveniencia'!N$77:N$104)*_xlfn.XLOOKUP($P960,'Base Grupo de Produtos'!$E$23:$E$39,'Base Grupo de Produtos'!$F$23:$F$39)</f>
        <v>0</v>
      </c>
      <c r="AB960" s="56">
        <f>_xlfn.XLOOKUP($N960,'Calculo Leads Conveniencia'!$A$77:$A$104,'Calculo Leads Conveniencia'!O$77:O$104)*_xlfn.XLOOKUP($P960,'Base Grupo de Produtos'!$E$23:$E$39,'Base Grupo de Produtos'!$F$23:$F$39)</f>
        <v>0</v>
      </c>
      <c r="AC960" s="61">
        <f t="shared" si="893"/>
        <v>0</v>
      </c>
      <c r="AD960" s="28"/>
      <c r="AE960" s="12"/>
      <c r="AF960" s="29"/>
      <c r="AG960" s="9"/>
      <c r="AH960" s="10"/>
      <c r="AI960" s="9"/>
      <c r="AJ960" s="11"/>
      <c r="AK960" s="9"/>
      <c r="AL960" s="13"/>
      <c r="AM960" s="9"/>
    </row>
    <row r="961" spans="1:39" x14ac:dyDescent="0.3">
      <c r="A961" s="2" t="str">
        <f t="shared" si="920"/>
        <v>NÃO</v>
      </c>
      <c r="B961" s="2" t="str">
        <f>_xlfn.XLOOKUP($N961,'Base de Grupos'!$A:$A,'Base de Grupos'!$D:$D)</f>
        <v>1000065763</v>
      </c>
      <c r="C961" s="5" t="str">
        <f>_xlfn.XLOOKUP($N961,'Base de Grupos'!$A:$A,'Base de Grupos'!$E:$E)</f>
        <v>CANAL VENDA INTERNA</v>
      </c>
      <c r="D961" s="5" t="str">
        <f>_xlfn.XLOOKUP($N961,'Base de Grupos'!$A:$A,'Base de Grupos'!$F:$F)</f>
        <v>1000065763</v>
      </c>
      <c r="E961" s="2" t="str">
        <f>_xlfn.XLOOKUP($N961,'Base de Grupos'!$A:$A,'Base de Grupos'!$G:$G)</f>
        <v>CANAL VENDA INTERNA</v>
      </c>
      <c r="F961" s="2" t="str">
        <f>_xlfn.XLOOKUP($N961,'Base de Grupos'!$A:$A,'Base de Grupos'!$H:$H)</f>
        <v>1000174119</v>
      </c>
      <c r="G961" s="5" t="str">
        <f>_xlfn.XLOOKUP($N961,'Base de Grupos'!$A:$A,'Base de Grupos'!$I:$I)</f>
        <v>REGIONAL VENDA INTERNA - CONVENIENCIA</v>
      </c>
      <c r="H961" s="5" t="str">
        <f>_xlfn.XLOOKUP($N961,'Base de Grupos'!$A:$A,'Base de Grupos'!$J:$J)</f>
        <v>1000174119</v>
      </c>
      <c r="I961" s="2" t="str">
        <f>_xlfn.XLOOKUP($N961,'Base de Grupos'!$A:$A,'Base de Grupos'!$K:$K)</f>
        <v>REGIONAL VENDA INTERNA - CONVENIENCIA</v>
      </c>
      <c r="J961" s="2" t="str">
        <f>_xlfn.XLOOKUP($N961,'Base de Grupos'!$A:$A,'Base de Grupos'!$L:$L)</f>
        <v>1000174119</v>
      </c>
      <c r="K961" s="5" t="str">
        <f>_xlfn.XLOOKUP($N961,'Base de Grupos'!$A:$A,'Base de Grupos'!$M:$M)</f>
        <v>REGIONAL VENDA INTERNA - CONVENIENCIA</v>
      </c>
      <c r="L961" s="5" t="str">
        <f t="shared" si="921"/>
        <v/>
      </c>
      <c r="M961" s="5" t="str">
        <f>_xlfn.XLOOKUP($N961,'Base de Grupos'!$A:$A,'Base de Grupos'!$C:$C)</f>
        <v>DF</v>
      </c>
      <c r="N961" s="3">
        <v>1518</v>
      </c>
      <c r="O961" s="4" t="s">
        <v>277</v>
      </c>
      <c r="P961" s="5" t="s">
        <v>83</v>
      </c>
      <c r="Q961" s="56">
        <v>0</v>
      </c>
      <c r="R961" s="56">
        <v>0</v>
      </c>
      <c r="S961" s="56">
        <v>0</v>
      </c>
      <c r="T961" s="56">
        <f>_xlfn.XLOOKUP($N961,'Calculo Leads Conveniencia'!$A$77:$A$104,'Calculo Leads Conveniencia'!G$77:G$104)*_xlfn.XLOOKUP($P961,'Base Grupo de Produtos'!$E$23:$E$39,'Base Grupo de Produtos'!$F$23:$F$39)</f>
        <v>0</v>
      </c>
      <c r="U961" s="56">
        <f>_xlfn.XLOOKUP($N961,'Calculo Leads Conveniencia'!$A$77:$A$104,'Calculo Leads Conveniencia'!H$77:H$104)*_xlfn.XLOOKUP($P961,'Base Grupo de Produtos'!$E$23:$E$39,'Base Grupo de Produtos'!$F$23:$F$39)</f>
        <v>0</v>
      </c>
      <c r="V961" s="56">
        <f>_xlfn.XLOOKUP($N961,'Calculo Leads Conveniencia'!$A$77:$A$104,'Calculo Leads Conveniencia'!I$77:I$104)*_xlfn.XLOOKUP($P961,'Base Grupo de Produtos'!$E$23:$E$39,'Base Grupo de Produtos'!$F$23:$F$39)</f>
        <v>0</v>
      </c>
      <c r="W961" s="56">
        <f>_xlfn.XLOOKUP($N961,'Calculo Leads Conveniencia'!$A$77:$A$104,'Calculo Leads Conveniencia'!J$77:J$104)*_xlfn.XLOOKUP($P961,'Base Grupo de Produtos'!$E$23:$E$39,'Base Grupo de Produtos'!$F$23:$F$39)</f>
        <v>0</v>
      </c>
      <c r="X961" s="56">
        <f>_xlfn.XLOOKUP($N961,'Calculo Leads Conveniencia'!$A$77:$A$104,'Calculo Leads Conveniencia'!K$77:K$104)*_xlfn.XLOOKUP($P961,'Base Grupo de Produtos'!$E$23:$E$39,'Base Grupo de Produtos'!$F$23:$F$39)</f>
        <v>0</v>
      </c>
      <c r="Y961" s="56">
        <f>_xlfn.XLOOKUP($N961,'Calculo Leads Conveniencia'!$A$77:$A$104,'Calculo Leads Conveniencia'!L$77:L$104)*_xlfn.XLOOKUP($P961,'Base Grupo de Produtos'!$E$23:$E$39,'Base Grupo de Produtos'!$F$23:$F$39)</f>
        <v>0</v>
      </c>
      <c r="Z961" s="56">
        <f>_xlfn.XLOOKUP($N961,'Calculo Leads Conveniencia'!$A$77:$A$104,'Calculo Leads Conveniencia'!M$77:M$104)*_xlfn.XLOOKUP($P961,'Base Grupo de Produtos'!$E$23:$E$39,'Base Grupo de Produtos'!$F$23:$F$39)</f>
        <v>0</v>
      </c>
      <c r="AA961" s="56">
        <f>_xlfn.XLOOKUP($N961,'Calculo Leads Conveniencia'!$A$77:$A$104,'Calculo Leads Conveniencia'!N$77:N$104)*_xlfn.XLOOKUP($P961,'Base Grupo de Produtos'!$E$23:$E$39,'Base Grupo de Produtos'!$F$23:$F$39)</f>
        <v>0</v>
      </c>
      <c r="AB961" s="56">
        <f>_xlfn.XLOOKUP($N961,'Calculo Leads Conveniencia'!$A$77:$A$104,'Calculo Leads Conveniencia'!O$77:O$104)*_xlfn.XLOOKUP($P961,'Base Grupo de Produtos'!$E$23:$E$39,'Base Grupo de Produtos'!$F$23:$F$39)</f>
        <v>0</v>
      </c>
      <c r="AC961" s="61">
        <f t="shared" si="893"/>
        <v>0</v>
      </c>
      <c r="AD961" s="28"/>
      <c r="AE961" s="12"/>
      <c r="AF961" s="29"/>
      <c r="AG961" s="9"/>
      <c r="AH961" s="10"/>
      <c r="AI961" s="9"/>
      <c r="AJ961" s="11"/>
      <c r="AK961" s="9"/>
      <c r="AL961" s="13"/>
      <c r="AM961" s="9"/>
    </row>
    <row r="962" spans="1:39" x14ac:dyDescent="0.3">
      <c r="A962" s="2" t="str">
        <f t="shared" si="920"/>
        <v>NÃO</v>
      </c>
      <c r="B962" s="2" t="str">
        <f>_xlfn.XLOOKUP($N962,'Base de Grupos'!$A:$A,'Base de Grupos'!$D:$D)</f>
        <v>1000065763</v>
      </c>
      <c r="C962" s="5" t="str">
        <f>_xlfn.XLOOKUP($N962,'Base de Grupos'!$A:$A,'Base de Grupos'!$E:$E)</f>
        <v>CANAL VENDA INTERNA</v>
      </c>
      <c r="D962" s="5" t="str">
        <f>_xlfn.XLOOKUP($N962,'Base de Grupos'!$A:$A,'Base de Grupos'!$F:$F)</f>
        <v>1000065763</v>
      </c>
      <c r="E962" s="2" t="str">
        <f>_xlfn.XLOOKUP($N962,'Base de Grupos'!$A:$A,'Base de Grupos'!$G:$G)</f>
        <v>CANAL VENDA INTERNA</v>
      </c>
      <c r="F962" s="2" t="str">
        <f>_xlfn.XLOOKUP($N962,'Base de Grupos'!$A:$A,'Base de Grupos'!$H:$H)</f>
        <v>1000174119</v>
      </c>
      <c r="G962" s="5" t="str">
        <f>_xlfn.XLOOKUP($N962,'Base de Grupos'!$A:$A,'Base de Grupos'!$I:$I)</f>
        <v>REGIONAL VENDA INTERNA - CONVENIENCIA</v>
      </c>
      <c r="H962" s="5" t="str">
        <f>_xlfn.XLOOKUP($N962,'Base de Grupos'!$A:$A,'Base de Grupos'!$J:$J)</f>
        <v>1000174119</v>
      </c>
      <c r="I962" s="2" t="str">
        <f>_xlfn.XLOOKUP($N962,'Base de Grupos'!$A:$A,'Base de Grupos'!$K:$K)</f>
        <v>REGIONAL VENDA INTERNA - CONVENIENCIA</v>
      </c>
      <c r="J962" s="2" t="str">
        <f>_xlfn.XLOOKUP($N962,'Base de Grupos'!$A:$A,'Base de Grupos'!$L:$L)</f>
        <v>1000174119</v>
      </c>
      <c r="K962" s="5" t="str">
        <f>_xlfn.XLOOKUP($N962,'Base de Grupos'!$A:$A,'Base de Grupos'!$M:$M)</f>
        <v>REGIONAL VENDA INTERNA - CONVENIENCIA</v>
      </c>
      <c r="L962" s="5" t="str">
        <f t="shared" si="921"/>
        <v/>
      </c>
      <c r="M962" s="5" t="str">
        <f>_xlfn.XLOOKUP($N962,'Base de Grupos'!$A:$A,'Base de Grupos'!$C:$C)</f>
        <v>DF</v>
      </c>
      <c r="N962" s="3">
        <v>1518</v>
      </c>
      <c r="O962" s="4" t="s">
        <v>277</v>
      </c>
      <c r="P962" s="5" t="s">
        <v>87</v>
      </c>
      <c r="Q962" s="56">
        <v>0</v>
      </c>
      <c r="R962" s="56">
        <v>0</v>
      </c>
      <c r="S962" s="56">
        <v>0</v>
      </c>
      <c r="T962" s="56">
        <f>_xlfn.XLOOKUP($N962,'Calculo Leads Conveniencia'!$A$77:$A$104,'Calculo Leads Conveniencia'!G$77:G$104)*_xlfn.XLOOKUP($P962,'Base Grupo de Produtos'!$E$23:$E$39,'Base Grupo de Produtos'!$F$23:$F$39)</f>
        <v>0</v>
      </c>
      <c r="U962" s="56">
        <f>_xlfn.XLOOKUP($N962,'Calculo Leads Conveniencia'!$A$77:$A$104,'Calculo Leads Conveniencia'!H$77:H$104)*_xlfn.XLOOKUP($P962,'Base Grupo de Produtos'!$E$23:$E$39,'Base Grupo de Produtos'!$F$23:$F$39)</f>
        <v>0</v>
      </c>
      <c r="V962" s="56">
        <f>_xlfn.XLOOKUP($N962,'Calculo Leads Conveniencia'!$A$77:$A$104,'Calculo Leads Conveniencia'!I$77:I$104)*_xlfn.XLOOKUP($P962,'Base Grupo de Produtos'!$E$23:$E$39,'Base Grupo de Produtos'!$F$23:$F$39)</f>
        <v>0</v>
      </c>
      <c r="W962" s="56">
        <f>_xlfn.XLOOKUP($N962,'Calculo Leads Conveniencia'!$A$77:$A$104,'Calculo Leads Conveniencia'!J$77:J$104)*_xlfn.XLOOKUP($P962,'Base Grupo de Produtos'!$E$23:$E$39,'Base Grupo de Produtos'!$F$23:$F$39)</f>
        <v>0</v>
      </c>
      <c r="X962" s="56">
        <f>_xlfn.XLOOKUP($N962,'Calculo Leads Conveniencia'!$A$77:$A$104,'Calculo Leads Conveniencia'!K$77:K$104)*_xlfn.XLOOKUP($P962,'Base Grupo de Produtos'!$E$23:$E$39,'Base Grupo de Produtos'!$F$23:$F$39)</f>
        <v>0</v>
      </c>
      <c r="Y962" s="56">
        <f>_xlfn.XLOOKUP($N962,'Calculo Leads Conveniencia'!$A$77:$A$104,'Calculo Leads Conveniencia'!L$77:L$104)*_xlfn.XLOOKUP($P962,'Base Grupo de Produtos'!$E$23:$E$39,'Base Grupo de Produtos'!$F$23:$F$39)</f>
        <v>0</v>
      </c>
      <c r="Z962" s="56">
        <f>_xlfn.XLOOKUP($N962,'Calculo Leads Conveniencia'!$A$77:$A$104,'Calculo Leads Conveniencia'!M$77:M$104)*_xlfn.XLOOKUP($P962,'Base Grupo de Produtos'!$E$23:$E$39,'Base Grupo de Produtos'!$F$23:$F$39)</f>
        <v>0</v>
      </c>
      <c r="AA962" s="56">
        <f>_xlfn.XLOOKUP($N962,'Calculo Leads Conveniencia'!$A$77:$A$104,'Calculo Leads Conveniencia'!N$77:N$104)*_xlfn.XLOOKUP($P962,'Base Grupo de Produtos'!$E$23:$E$39,'Base Grupo de Produtos'!$F$23:$F$39)</f>
        <v>0</v>
      </c>
      <c r="AB962" s="56">
        <f>_xlfn.XLOOKUP($N962,'Calculo Leads Conveniencia'!$A$77:$A$104,'Calculo Leads Conveniencia'!O$77:O$104)*_xlfn.XLOOKUP($P962,'Base Grupo de Produtos'!$E$23:$E$39,'Base Grupo de Produtos'!$F$23:$F$39)</f>
        <v>0</v>
      </c>
      <c r="AC962" s="61">
        <f t="shared" si="893"/>
        <v>0</v>
      </c>
      <c r="AD962" s="28"/>
      <c r="AE962" s="12"/>
      <c r="AF962" s="29"/>
      <c r="AG962" s="9"/>
      <c r="AH962" s="10"/>
      <c r="AI962" s="9"/>
      <c r="AJ962" s="11"/>
      <c r="AK962" s="9"/>
      <c r="AL962" s="13"/>
      <c r="AM962" s="9"/>
    </row>
    <row r="963" spans="1:39" x14ac:dyDescent="0.3">
      <c r="A963" s="2" t="str">
        <f t="shared" si="920"/>
        <v>NÃO</v>
      </c>
      <c r="B963" s="2" t="str">
        <f>_xlfn.XLOOKUP($N963,'Base de Grupos'!$A:$A,'Base de Grupos'!$D:$D)</f>
        <v>1000065763</v>
      </c>
      <c r="C963" s="5" t="str">
        <f>_xlfn.XLOOKUP($N963,'Base de Grupos'!$A:$A,'Base de Grupos'!$E:$E)</f>
        <v>CANAL VENDA INTERNA</v>
      </c>
      <c r="D963" s="5" t="str">
        <f>_xlfn.XLOOKUP($N963,'Base de Grupos'!$A:$A,'Base de Grupos'!$F:$F)</f>
        <v>1000065763</v>
      </c>
      <c r="E963" s="2" t="str">
        <f>_xlfn.XLOOKUP($N963,'Base de Grupos'!$A:$A,'Base de Grupos'!$G:$G)</f>
        <v>CANAL VENDA INTERNA</v>
      </c>
      <c r="F963" s="2" t="str">
        <f>_xlfn.XLOOKUP($N963,'Base de Grupos'!$A:$A,'Base de Grupos'!$H:$H)</f>
        <v>1000174119</v>
      </c>
      <c r="G963" s="5" t="str">
        <f>_xlfn.XLOOKUP($N963,'Base de Grupos'!$A:$A,'Base de Grupos'!$I:$I)</f>
        <v>REGIONAL VENDA INTERNA - CONVENIENCIA</v>
      </c>
      <c r="H963" s="5" t="str">
        <f>_xlfn.XLOOKUP($N963,'Base de Grupos'!$A:$A,'Base de Grupos'!$J:$J)</f>
        <v>1000174119</v>
      </c>
      <c r="I963" s="2" t="str">
        <f>_xlfn.XLOOKUP($N963,'Base de Grupos'!$A:$A,'Base de Grupos'!$K:$K)</f>
        <v>REGIONAL VENDA INTERNA - CONVENIENCIA</v>
      </c>
      <c r="J963" s="2" t="str">
        <f>_xlfn.XLOOKUP($N963,'Base de Grupos'!$A:$A,'Base de Grupos'!$L:$L)</f>
        <v>1000174119</v>
      </c>
      <c r="K963" s="5" t="str">
        <f>_xlfn.XLOOKUP($N963,'Base de Grupos'!$A:$A,'Base de Grupos'!$M:$M)</f>
        <v>REGIONAL VENDA INTERNA - CONVENIENCIA</v>
      </c>
      <c r="L963" s="5" t="str">
        <f t="shared" si="921"/>
        <v/>
      </c>
      <c r="M963" s="5" t="str">
        <f>_xlfn.XLOOKUP($N963,'Base de Grupos'!$A:$A,'Base de Grupos'!$C:$C)</f>
        <v>DF</v>
      </c>
      <c r="N963" s="3">
        <v>1518</v>
      </c>
      <c r="O963" s="4" t="s">
        <v>277</v>
      </c>
      <c r="P963" s="5" t="s">
        <v>85</v>
      </c>
      <c r="Q963" s="56">
        <v>0</v>
      </c>
      <c r="R963" s="56">
        <v>0</v>
      </c>
      <c r="S963" s="56">
        <v>0</v>
      </c>
      <c r="T963" s="56">
        <f>_xlfn.XLOOKUP($N963,'Calculo Leads Conveniencia'!$A$77:$A$104,'Calculo Leads Conveniencia'!G$77:G$104)*_xlfn.XLOOKUP($P963,'Base Grupo de Produtos'!$E$23:$E$39,'Base Grupo de Produtos'!$F$23:$F$39)</f>
        <v>0</v>
      </c>
      <c r="U963" s="56">
        <f>_xlfn.XLOOKUP($N963,'Calculo Leads Conveniencia'!$A$77:$A$104,'Calculo Leads Conveniencia'!H$77:H$104)*_xlfn.XLOOKUP($P963,'Base Grupo de Produtos'!$E$23:$E$39,'Base Grupo de Produtos'!$F$23:$F$39)</f>
        <v>0</v>
      </c>
      <c r="V963" s="56">
        <f>_xlfn.XLOOKUP($N963,'Calculo Leads Conveniencia'!$A$77:$A$104,'Calculo Leads Conveniencia'!I$77:I$104)*_xlfn.XLOOKUP($P963,'Base Grupo de Produtos'!$E$23:$E$39,'Base Grupo de Produtos'!$F$23:$F$39)</f>
        <v>0</v>
      </c>
      <c r="W963" s="56">
        <f>_xlfn.XLOOKUP($N963,'Calculo Leads Conveniencia'!$A$77:$A$104,'Calculo Leads Conveniencia'!J$77:J$104)*_xlfn.XLOOKUP($P963,'Base Grupo de Produtos'!$E$23:$E$39,'Base Grupo de Produtos'!$F$23:$F$39)</f>
        <v>0</v>
      </c>
      <c r="X963" s="56">
        <f>_xlfn.XLOOKUP($N963,'Calculo Leads Conveniencia'!$A$77:$A$104,'Calculo Leads Conveniencia'!K$77:K$104)*_xlfn.XLOOKUP($P963,'Base Grupo de Produtos'!$E$23:$E$39,'Base Grupo de Produtos'!$F$23:$F$39)</f>
        <v>0</v>
      </c>
      <c r="Y963" s="56">
        <f>_xlfn.XLOOKUP($N963,'Calculo Leads Conveniencia'!$A$77:$A$104,'Calculo Leads Conveniencia'!L$77:L$104)*_xlfn.XLOOKUP($P963,'Base Grupo de Produtos'!$E$23:$E$39,'Base Grupo de Produtos'!$F$23:$F$39)</f>
        <v>0</v>
      </c>
      <c r="Z963" s="56">
        <f>_xlfn.XLOOKUP($N963,'Calculo Leads Conveniencia'!$A$77:$A$104,'Calculo Leads Conveniencia'!M$77:M$104)*_xlfn.XLOOKUP($P963,'Base Grupo de Produtos'!$E$23:$E$39,'Base Grupo de Produtos'!$F$23:$F$39)</f>
        <v>0</v>
      </c>
      <c r="AA963" s="56">
        <f>_xlfn.XLOOKUP($N963,'Calculo Leads Conveniencia'!$A$77:$A$104,'Calculo Leads Conveniencia'!N$77:N$104)*_xlfn.XLOOKUP($P963,'Base Grupo de Produtos'!$E$23:$E$39,'Base Grupo de Produtos'!$F$23:$F$39)</f>
        <v>0</v>
      </c>
      <c r="AB963" s="56">
        <f>_xlfn.XLOOKUP($N963,'Calculo Leads Conveniencia'!$A$77:$A$104,'Calculo Leads Conveniencia'!O$77:O$104)*_xlfn.XLOOKUP($P963,'Base Grupo de Produtos'!$E$23:$E$39,'Base Grupo de Produtos'!$F$23:$F$39)</f>
        <v>0</v>
      </c>
      <c r="AC963" s="61">
        <f t="shared" si="893"/>
        <v>0</v>
      </c>
      <c r="AD963" s="28"/>
      <c r="AE963" s="12"/>
      <c r="AF963" s="29"/>
      <c r="AG963" s="9"/>
      <c r="AH963" s="10"/>
      <c r="AI963" s="9"/>
      <c r="AJ963" s="11"/>
      <c r="AK963" s="9"/>
      <c r="AL963" s="13"/>
      <c r="AM963" s="9"/>
    </row>
    <row r="964" spans="1:39" x14ac:dyDescent="0.3">
      <c r="A964" s="2" t="str">
        <f t="shared" si="920"/>
        <v>NÃO</v>
      </c>
      <c r="B964" s="2" t="str">
        <f>_xlfn.XLOOKUP($N964,'Base de Grupos'!$A:$A,'Base de Grupos'!$D:$D)</f>
        <v>1000065763</v>
      </c>
      <c r="C964" s="5" t="str">
        <f>_xlfn.XLOOKUP($N964,'Base de Grupos'!$A:$A,'Base de Grupos'!$E:$E)</f>
        <v>CANAL VENDA INTERNA</v>
      </c>
      <c r="D964" s="5" t="str">
        <f>_xlfn.XLOOKUP($N964,'Base de Grupos'!$A:$A,'Base de Grupos'!$F:$F)</f>
        <v>1000065763</v>
      </c>
      <c r="E964" s="2" t="str">
        <f>_xlfn.XLOOKUP($N964,'Base de Grupos'!$A:$A,'Base de Grupos'!$G:$G)</f>
        <v>CANAL VENDA INTERNA</v>
      </c>
      <c r="F964" s="2" t="str">
        <f>_xlfn.XLOOKUP($N964,'Base de Grupos'!$A:$A,'Base de Grupos'!$H:$H)</f>
        <v>1000174119</v>
      </c>
      <c r="G964" s="5" t="str">
        <f>_xlfn.XLOOKUP($N964,'Base de Grupos'!$A:$A,'Base de Grupos'!$I:$I)</f>
        <v>REGIONAL VENDA INTERNA - CONVENIENCIA</v>
      </c>
      <c r="H964" s="5" t="str">
        <f>_xlfn.XLOOKUP($N964,'Base de Grupos'!$A:$A,'Base de Grupos'!$J:$J)</f>
        <v>1000174119</v>
      </c>
      <c r="I964" s="2" t="str">
        <f>_xlfn.XLOOKUP($N964,'Base de Grupos'!$A:$A,'Base de Grupos'!$K:$K)</f>
        <v>REGIONAL VENDA INTERNA - CONVENIENCIA</v>
      </c>
      <c r="J964" s="2" t="str">
        <f>_xlfn.XLOOKUP($N964,'Base de Grupos'!$A:$A,'Base de Grupos'!$L:$L)</f>
        <v>1000174119</v>
      </c>
      <c r="K964" s="5" t="str">
        <f>_xlfn.XLOOKUP($N964,'Base de Grupos'!$A:$A,'Base de Grupos'!$M:$M)</f>
        <v>REGIONAL VENDA INTERNA - CONVENIENCIA</v>
      </c>
      <c r="L964" s="5" t="str">
        <f t="shared" si="921"/>
        <v/>
      </c>
      <c r="M964" s="5" t="str">
        <f>_xlfn.XLOOKUP($N964,'Base de Grupos'!$A:$A,'Base de Grupos'!$C:$C)</f>
        <v>DF</v>
      </c>
      <c r="N964" s="3">
        <v>1518</v>
      </c>
      <c r="O964" s="4" t="s">
        <v>277</v>
      </c>
      <c r="P964" s="5" t="s">
        <v>92</v>
      </c>
      <c r="Q964" s="56">
        <v>0</v>
      </c>
      <c r="R964" s="56">
        <v>0</v>
      </c>
      <c r="S964" s="56">
        <v>0</v>
      </c>
      <c r="T964" s="56">
        <f>_xlfn.XLOOKUP($N964,'Calculo Leads Conveniencia'!$A$77:$A$104,'Calculo Leads Conveniencia'!G$77:G$104)*_xlfn.XLOOKUP($P964,'Base Grupo de Produtos'!$E$23:$E$39,'Base Grupo de Produtos'!$F$23:$F$39)</f>
        <v>0</v>
      </c>
      <c r="U964" s="56">
        <f>_xlfn.XLOOKUP($N964,'Calculo Leads Conveniencia'!$A$77:$A$104,'Calculo Leads Conveniencia'!H$77:H$104)*_xlfn.XLOOKUP($P964,'Base Grupo de Produtos'!$E$23:$E$39,'Base Grupo de Produtos'!$F$23:$F$39)</f>
        <v>0</v>
      </c>
      <c r="V964" s="56">
        <f>_xlfn.XLOOKUP($N964,'Calculo Leads Conveniencia'!$A$77:$A$104,'Calculo Leads Conveniencia'!I$77:I$104)*_xlfn.XLOOKUP($P964,'Base Grupo de Produtos'!$E$23:$E$39,'Base Grupo de Produtos'!$F$23:$F$39)</f>
        <v>0</v>
      </c>
      <c r="W964" s="56">
        <f>_xlfn.XLOOKUP($N964,'Calculo Leads Conveniencia'!$A$77:$A$104,'Calculo Leads Conveniencia'!J$77:J$104)*_xlfn.XLOOKUP($P964,'Base Grupo de Produtos'!$E$23:$E$39,'Base Grupo de Produtos'!$F$23:$F$39)</f>
        <v>0</v>
      </c>
      <c r="X964" s="56">
        <f>_xlfn.XLOOKUP($N964,'Calculo Leads Conveniencia'!$A$77:$A$104,'Calculo Leads Conveniencia'!K$77:K$104)*_xlfn.XLOOKUP($P964,'Base Grupo de Produtos'!$E$23:$E$39,'Base Grupo de Produtos'!$F$23:$F$39)</f>
        <v>0</v>
      </c>
      <c r="Y964" s="56">
        <f>_xlfn.XLOOKUP($N964,'Calculo Leads Conveniencia'!$A$77:$A$104,'Calculo Leads Conveniencia'!L$77:L$104)*_xlfn.XLOOKUP($P964,'Base Grupo de Produtos'!$E$23:$E$39,'Base Grupo de Produtos'!$F$23:$F$39)</f>
        <v>0</v>
      </c>
      <c r="Z964" s="56">
        <f>_xlfn.XLOOKUP($N964,'Calculo Leads Conveniencia'!$A$77:$A$104,'Calculo Leads Conveniencia'!M$77:M$104)*_xlfn.XLOOKUP($P964,'Base Grupo de Produtos'!$E$23:$E$39,'Base Grupo de Produtos'!$F$23:$F$39)</f>
        <v>0</v>
      </c>
      <c r="AA964" s="56">
        <f>_xlfn.XLOOKUP($N964,'Calculo Leads Conveniencia'!$A$77:$A$104,'Calculo Leads Conveniencia'!N$77:N$104)*_xlfn.XLOOKUP($P964,'Base Grupo de Produtos'!$E$23:$E$39,'Base Grupo de Produtos'!$F$23:$F$39)</f>
        <v>0</v>
      </c>
      <c r="AB964" s="56">
        <f>_xlfn.XLOOKUP($N964,'Calculo Leads Conveniencia'!$A$77:$A$104,'Calculo Leads Conveniencia'!O$77:O$104)*_xlfn.XLOOKUP($P964,'Base Grupo de Produtos'!$E$23:$E$39,'Base Grupo de Produtos'!$F$23:$F$39)</f>
        <v>0</v>
      </c>
      <c r="AC964" s="61">
        <f t="shared" si="893"/>
        <v>0</v>
      </c>
      <c r="AD964" s="28"/>
      <c r="AE964" s="12"/>
      <c r="AF964" s="29"/>
      <c r="AG964" s="9"/>
      <c r="AH964" s="10"/>
      <c r="AI964" s="9"/>
      <c r="AJ964" s="11"/>
      <c r="AK964" s="9"/>
      <c r="AL964" s="13"/>
      <c r="AM964" s="9"/>
    </row>
    <row r="965" spans="1:39" x14ac:dyDescent="0.3">
      <c r="A965" s="2" t="str">
        <f t="shared" si="920"/>
        <v>NÃO</v>
      </c>
      <c r="B965" s="2" t="str">
        <f>_xlfn.XLOOKUP($N965,'Base de Grupos'!$A:$A,'Base de Grupos'!$D:$D)</f>
        <v>1000065763</v>
      </c>
      <c r="C965" s="5" t="str">
        <f>_xlfn.XLOOKUP($N965,'Base de Grupos'!$A:$A,'Base de Grupos'!$E:$E)</f>
        <v>CANAL VENDA INTERNA</v>
      </c>
      <c r="D965" s="5" t="str">
        <f>_xlfn.XLOOKUP($N965,'Base de Grupos'!$A:$A,'Base de Grupos'!$F:$F)</f>
        <v>1000065763</v>
      </c>
      <c r="E965" s="2" t="str">
        <f>_xlfn.XLOOKUP($N965,'Base de Grupos'!$A:$A,'Base de Grupos'!$G:$G)</f>
        <v>CANAL VENDA INTERNA</v>
      </c>
      <c r="F965" s="2" t="str">
        <f>_xlfn.XLOOKUP($N965,'Base de Grupos'!$A:$A,'Base de Grupos'!$H:$H)</f>
        <v>1000174119</v>
      </c>
      <c r="G965" s="5" t="str">
        <f>_xlfn.XLOOKUP($N965,'Base de Grupos'!$A:$A,'Base de Grupos'!$I:$I)</f>
        <v>REGIONAL VENDA INTERNA - CONVENIENCIA</v>
      </c>
      <c r="H965" s="5" t="str">
        <f>_xlfn.XLOOKUP($N965,'Base de Grupos'!$A:$A,'Base de Grupos'!$J:$J)</f>
        <v>1000174119</v>
      </c>
      <c r="I965" s="2" t="str">
        <f>_xlfn.XLOOKUP($N965,'Base de Grupos'!$A:$A,'Base de Grupos'!$K:$K)</f>
        <v>REGIONAL VENDA INTERNA - CONVENIENCIA</v>
      </c>
      <c r="J965" s="2" t="str">
        <f>_xlfn.XLOOKUP($N965,'Base de Grupos'!$A:$A,'Base de Grupos'!$L:$L)</f>
        <v>1000174119</v>
      </c>
      <c r="K965" s="5" t="str">
        <f>_xlfn.XLOOKUP($N965,'Base de Grupos'!$A:$A,'Base de Grupos'!$M:$M)</f>
        <v>REGIONAL VENDA INTERNA - CONVENIENCIA</v>
      </c>
      <c r="L965" s="5" t="str">
        <f t="shared" si="921"/>
        <v/>
      </c>
      <c r="M965" s="5" t="str">
        <f>_xlfn.XLOOKUP($N965,'Base de Grupos'!$A:$A,'Base de Grupos'!$C:$C)</f>
        <v>DF</v>
      </c>
      <c r="N965" s="3">
        <v>1518</v>
      </c>
      <c r="O965" s="4" t="s">
        <v>277</v>
      </c>
      <c r="P965" s="5" t="s">
        <v>86</v>
      </c>
      <c r="Q965" s="56">
        <v>0</v>
      </c>
      <c r="R965" s="56">
        <v>0</v>
      </c>
      <c r="S965" s="56">
        <v>0</v>
      </c>
      <c r="T965" s="56">
        <f>_xlfn.XLOOKUP($N965,'Calculo Leads Conveniencia'!$A$77:$A$104,'Calculo Leads Conveniencia'!G$77:G$104)*_xlfn.XLOOKUP($P965,'Base Grupo de Produtos'!$E$23:$E$39,'Base Grupo de Produtos'!$F$23:$F$39)</f>
        <v>0</v>
      </c>
      <c r="U965" s="56">
        <f>_xlfn.XLOOKUP($N965,'Calculo Leads Conveniencia'!$A$77:$A$104,'Calculo Leads Conveniencia'!H$77:H$104)*_xlfn.XLOOKUP($P965,'Base Grupo de Produtos'!$E$23:$E$39,'Base Grupo de Produtos'!$F$23:$F$39)</f>
        <v>0</v>
      </c>
      <c r="V965" s="56">
        <f>_xlfn.XLOOKUP($N965,'Calculo Leads Conveniencia'!$A$77:$A$104,'Calculo Leads Conveniencia'!I$77:I$104)*_xlfn.XLOOKUP($P965,'Base Grupo de Produtos'!$E$23:$E$39,'Base Grupo de Produtos'!$F$23:$F$39)</f>
        <v>0</v>
      </c>
      <c r="W965" s="56">
        <f>_xlfn.XLOOKUP($N965,'Calculo Leads Conveniencia'!$A$77:$A$104,'Calculo Leads Conveniencia'!J$77:J$104)*_xlfn.XLOOKUP($P965,'Base Grupo de Produtos'!$E$23:$E$39,'Base Grupo de Produtos'!$F$23:$F$39)</f>
        <v>0</v>
      </c>
      <c r="X965" s="56">
        <f>_xlfn.XLOOKUP($N965,'Calculo Leads Conveniencia'!$A$77:$A$104,'Calculo Leads Conveniencia'!K$77:K$104)*_xlfn.XLOOKUP($P965,'Base Grupo de Produtos'!$E$23:$E$39,'Base Grupo de Produtos'!$F$23:$F$39)</f>
        <v>0</v>
      </c>
      <c r="Y965" s="56">
        <f>_xlfn.XLOOKUP($N965,'Calculo Leads Conveniencia'!$A$77:$A$104,'Calculo Leads Conveniencia'!L$77:L$104)*_xlfn.XLOOKUP($P965,'Base Grupo de Produtos'!$E$23:$E$39,'Base Grupo de Produtos'!$F$23:$F$39)</f>
        <v>0</v>
      </c>
      <c r="Z965" s="56">
        <f>_xlfn.XLOOKUP($N965,'Calculo Leads Conveniencia'!$A$77:$A$104,'Calculo Leads Conveniencia'!M$77:M$104)*_xlfn.XLOOKUP($P965,'Base Grupo de Produtos'!$E$23:$E$39,'Base Grupo de Produtos'!$F$23:$F$39)</f>
        <v>0</v>
      </c>
      <c r="AA965" s="56">
        <f>_xlfn.XLOOKUP($N965,'Calculo Leads Conveniencia'!$A$77:$A$104,'Calculo Leads Conveniencia'!N$77:N$104)*_xlfn.XLOOKUP($P965,'Base Grupo de Produtos'!$E$23:$E$39,'Base Grupo de Produtos'!$F$23:$F$39)</f>
        <v>0</v>
      </c>
      <c r="AB965" s="56">
        <f>_xlfn.XLOOKUP($N965,'Calculo Leads Conveniencia'!$A$77:$A$104,'Calculo Leads Conveniencia'!O$77:O$104)*_xlfn.XLOOKUP($P965,'Base Grupo de Produtos'!$E$23:$E$39,'Base Grupo de Produtos'!$F$23:$F$39)</f>
        <v>0</v>
      </c>
      <c r="AC965" s="61">
        <f t="shared" ref="AC965:AC1028" si="948">SUM(T965:AB965)</f>
        <v>0</v>
      </c>
      <c r="AD965" s="28"/>
      <c r="AE965" s="12"/>
      <c r="AF965" s="29"/>
      <c r="AG965" s="9"/>
      <c r="AH965" s="10"/>
      <c r="AI965" s="9"/>
      <c r="AJ965" s="11"/>
      <c r="AK965" s="9"/>
      <c r="AL965" s="13"/>
      <c r="AM965" s="9"/>
    </row>
    <row r="966" spans="1:39" x14ac:dyDescent="0.3">
      <c r="A966" s="2" t="str">
        <f t="shared" si="920"/>
        <v>NÃO</v>
      </c>
      <c r="B966" s="2" t="str">
        <f>_xlfn.XLOOKUP($N966,'Base de Grupos'!$A:$A,'Base de Grupos'!$D:$D)</f>
        <v>1000065763</v>
      </c>
      <c r="C966" s="5" t="str">
        <f>_xlfn.XLOOKUP($N966,'Base de Grupos'!$A:$A,'Base de Grupos'!$E:$E)</f>
        <v>CANAL VENDA INTERNA</v>
      </c>
      <c r="D966" s="5" t="str">
        <f>_xlfn.XLOOKUP($N966,'Base de Grupos'!$A:$A,'Base de Grupos'!$F:$F)</f>
        <v>1000065763</v>
      </c>
      <c r="E966" s="2" t="str">
        <f>_xlfn.XLOOKUP($N966,'Base de Grupos'!$A:$A,'Base de Grupos'!$G:$G)</f>
        <v>CANAL VENDA INTERNA</v>
      </c>
      <c r="F966" s="2" t="str">
        <f>_xlfn.XLOOKUP($N966,'Base de Grupos'!$A:$A,'Base de Grupos'!$H:$H)</f>
        <v>1000174119</v>
      </c>
      <c r="G966" s="5" t="str">
        <f>_xlfn.XLOOKUP($N966,'Base de Grupos'!$A:$A,'Base de Grupos'!$I:$I)</f>
        <v>REGIONAL VENDA INTERNA - CONVENIENCIA</v>
      </c>
      <c r="H966" s="5" t="str">
        <f>_xlfn.XLOOKUP($N966,'Base de Grupos'!$A:$A,'Base de Grupos'!$J:$J)</f>
        <v>1000174119</v>
      </c>
      <c r="I966" s="2" t="str">
        <f>_xlfn.XLOOKUP($N966,'Base de Grupos'!$A:$A,'Base de Grupos'!$K:$K)</f>
        <v>REGIONAL VENDA INTERNA - CONVENIENCIA</v>
      </c>
      <c r="J966" s="2" t="str">
        <f>_xlfn.XLOOKUP($N966,'Base de Grupos'!$A:$A,'Base de Grupos'!$L:$L)</f>
        <v>1000174119</v>
      </c>
      <c r="K966" s="5" t="str">
        <f>_xlfn.XLOOKUP($N966,'Base de Grupos'!$A:$A,'Base de Grupos'!$M:$M)</f>
        <v>REGIONAL VENDA INTERNA - CONVENIENCIA</v>
      </c>
      <c r="L966" s="5" t="str">
        <f t="shared" si="921"/>
        <v/>
      </c>
      <c r="M966" s="5" t="str">
        <f>_xlfn.XLOOKUP($N966,'Base de Grupos'!$A:$A,'Base de Grupos'!$C:$C)</f>
        <v>DF</v>
      </c>
      <c r="N966" s="3">
        <v>1518</v>
      </c>
      <c r="O966" s="4" t="s">
        <v>277</v>
      </c>
      <c r="P966" s="5" t="s">
        <v>108</v>
      </c>
      <c r="Q966" s="56">
        <v>0</v>
      </c>
      <c r="R966" s="56">
        <v>0</v>
      </c>
      <c r="S966" s="56">
        <v>0</v>
      </c>
      <c r="T966" s="56">
        <f>_xlfn.XLOOKUP($N966,'Calculo Leads Conveniencia'!$A$77:$A$104,'Calculo Leads Conveniencia'!G$77:G$104)*_xlfn.XLOOKUP($P966,'Base Grupo de Produtos'!$E$23:$E$39,'Base Grupo de Produtos'!$F$23:$F$39)</f>
        <v>0</v>
      </c>
      <c r="U966" s="56">
        <f>_xlfn.XLOOKUP($N966,'Calculo Leads Conveniencia'!$A$77:$A$104,'Calculo Leads Conveniencia'!H$77:H$104)*_xlfn.XLOOKUP($P966,'Base Grupo de Produtos'!$E$23:$E$39,'Base Grupo de Produtos'!$F$23:$F$39)</f>
        <v>0</v>
      </c>
      <c r="V966" s="56">
        <f>_xlfn.XLOOKUP($N966,'Calculo Leads Conveniencia'!$A$77:$A$104,'Calculo Leads Conveniencia'!I$77:I$104)*_xlfn.XLOOKUP($P966,'Base Grupo de Produtos'!$E$23:$E$39,'Base Grupo de Produtos'!$F$23:$F$39)</f>
        <v>0</v>
      </c>
      <c r="W966" s="56">
        <f>_xlfn.XLOOKUP($N966,'Calculo Leads Conveniencia'!$A$77:$A$104,'Calculo Leads Conveniencia'!J$77:J$104)*_xlfn.XLOOKUP($P966,'Base Grupo de Produtos'!$E$23:$E$39,'Base Grupo de Produtos'!$F$23:$F$39)</f>
        <v>0</v>
      </c>
      <c r="X966" s="56">
        <f>_xlfn.XLOOKUP($N966,'Calculo Leads Conveniencia'!$A$77:$A$104,'Calculo Leads Conveniencia'!K$77:K$104)*_xlfn.XLOOKUP($P966,'Base Grupo de Produtos'!$E$23:$E$39,'Base Grupo de Produtos'!$F$23:$F$39)</f>
        <v>0</v>
      </c>
      <c r="Y966" s="56">
        <f>_xlfn.XLOOKUP($N966,'Calculo Leads Conveniencia'!$A$77:$A$104,'Calculo Leads Conveniencia'!L$77:L$104)*_xlfn.XLOOKUP($P966,'Base Grupo de Produtos'!$E$23:$E$39,'Base Grupo de Produtos'!$F$23:$F$39)</f>
        <v>0</v>
      </c>
      <c r="Z966" s="56">
        <f>_xlfn.XLOOKUP($N966,'Calculo Leads Conveniencia'!$A$77:$A$104,'Calculo Leads Conveniencia'!M$77:M$104)*_xlfn.XLOOKUP($P966,'Base Grupo de Produtos'!$E$23:$E$39,'Base Grupo de Produtos'!$F$23:$F$39)</f>
        <v>0</v>
      </c>
      <c r="AA966" s="56">
        <f>_xlfn.XLOOKUP($N966,'Calculo Leads Conveniencia'!$A$77:$A$104,'Calculo Leads Conveniencia'!N$77:N$104)*_xlfn.XLOOKUP($P966,'Base Grupo de Produtos'!$E$23:$E$39,'Base Grupo de Produtos'!$F$23:$F$39)</f>
        <v>0</v>
      </c>
      <c r="AB966" s="56">
        <f>_xlfn.XLOOKUP($N966,'Calculo Leads Conveniencia'!$A$77:$A$104,'Calculo Leads Conveniencia'!O$77:O$104)*_xlfn.XLOOKUP($P966,'Base Grupo de Produtos'!$E$23:$E$39,'Base Grupo de Produtos'!$F$23:$F$39)</f>
        <v>0</v>
      </c>
      <c r="AC966" s="61">
        <f t="shared" si="948"/>
        <v>0</v>
      </c>
      <c r="AD966" s="28"/>
      <c r="AE966" s="12"/>
      <c r="AF966" s="29"/>
      <c r="AG966" s="9"/>
      <c r="AH966" s="10"/>
      <c r="AI966" s="9"/>
      <c r="AJ966" s="11"/>
      <c r="AK966" s="9"/>
      <c r="AL966" s="13"/>
      <c r="AM966" s="9"/>
    </row>
    <row r="967" spans="1:39" x14ac:dyDescent="0.3">
      <c r="A967" s="2" t="str">
        <f t="shared" si="920"/>
        <v>NÃO</v>
      </c>
      <c r="B967" s="2" t="str">
        <f>_xlfn.XLOOKUP($N967,'Base de Grupos'!$A:$A,'Base de Grupos'!$D:$D)</f>
        <v>1000065763</v>
      </c>
      <c r="C967" s="5" t="str">
        <f>_xlfn.XLOOKUP($N967,'Base de Grupos'!$A:$A,'Base de Grupos'!$E:$E)</f>
        <v>CANAL VENDA INTERNA</v>
      </c>
      <c r="D967" s="5" t="str">
        <f>_xlfn.XLOOKUP($N967,'Base de Grupos'!$A:$A,'Base de Grupos'!$F:$F)</f>
        <v>1000065763</v>
      </c>
      <c r="E967" s="2" t="str">
        <f>_xlfn.XLOOKUP($N967,'Base de Grupos'!$A:$A,'Base de Grupos'!$G:$G)</f>
        <v>CANAL VENDA INTERNA</v>
      </c>
      <c r="F967" s="2" t="str">
        <f>_xlfn.XLOOKUP($N967,'Base de Grupos'!$A:$A,'Base de Grupos'!$H:$H)</f>
        <v>1000174119</v>
      </c>
      <c r="G967" s="5" t="str">
        <f>_xlfn.XLOOKUP($N967,'Base de Grupos'!$A:$A,'Base de Grupos'!$I:$I)</f>
        <v>REGIONAL VENDA INTERNA - CONVENIENCIA</v>
      </c>
      <c r="H967" s="5" t="str">
        <f>_xlfn.XLOOKUP($N967,'Base de Grupos'!$A:$A,'Base de Grupos'!$J:$J)</f>
        <v>1000174119</v>
      </c>
      <c r="I967" s="2" t="str">
        <f>_xlfn.XLOOKUP($N967,'Base de Grupos'!$A:$A,'Base de Grupos'!$K:$K)</f>
        <v>REGIONAL VENDA INTERNA - CONVENIENCIA</v>
      </c>
      <c r="J967" s="2" t="str">
        <f>_xlfn.XLOOKUP($N967,'Base de Grupos'!$A:$A,'Base de Grupos'!$L:$L)</f>
        <v>1000174119</v>
      </c>
      <c r="K967" s="5" t="str">
        <f>_xlfn.XLOOKUP($N967,'Base de Grupos'!$A:$A,'Base de Grupos'!$M:$M)</f>
        <v>REGIONAL VENDA INTERNA - CONVENIENCIA</v>
      </c>
      <c r="L967" s="5" t="str">
        <f t="shared" si="921"/>
        <v/>
      </c>
      <c r="M967" s="5" t="str">
        <f>_xlfn.XLOOKUP($N967,'Base de Grupos'!$A:$A,'Base de Grupos'!$C:$C)</f>
        <v>DF</v>
      </c>
      <c r="N967" s="3">
        <v>1518</v>
      </c>
      <c r="O967" s="4" t="s">
        <v>277</v>
      </c>
      <c r="P967" s="5" t="s">
        <v>89</v>
      </c>
      <c r="Q967" s="56">
        <v>0</v>
      </c>
      <c r="R967" s="56">
        <v>0</v>
      </c>
      <c r="S967" s="56">
        <v>0</v>
      </c>
      <c r="T967" s="56">
        <f>_xlfn.XLOOKUP($N967,'Calculo Leads Conveniencia'!$A$77:$A$104,'Calculo Leads Conveniencia'!G$77:G$104)*_xlfn.XLOOKUP($P967,'Base Grupo de Produtos'!$E$23:$E$39,'Base Grupo de Produtos'!$F$23:$F$39)</f>
        <v>0</v>
      </c>
      <c r="U967" s="56">
        <f>_xlfn.XLOOKUP($N967,'Calculo Leads Conveniencia'!$A$77:$A$104,'Calculo Leads Conveniencia'!H$77:H$104)*_xlfn.XLOOKUP($P967,'Base Grupo de Produtos'!$E$23:$E$39,'Base Grupo de Produtos'!$F$23:$F$39)</f>
        <v>0</v>
      </c>
      <c r="V967" s="56">
        <f>_xlfn.XLOOKUP($N967,'Calculo Leads Conveniencia'!$A$77:$A$104,'Calculo Leads Conveniencia'!I$77:I$104)*_xlfn.XLOOKUP($P967,'Base Grupo de Produtos'!$E$23:$E$39,'Base Grupo de Produtos'!$F$23:$F$39)</f>
        <v>0</v>
      </c>
      <c r="W967" s="56">
        <f>_xlfn.XLOOKUP($N967,'Calculo Leads Conveniencia'!$A$77:$A$104,'Calculo Leads Conveniencia'!J$77:J$104)*_xlfn.XLOOKUP($P967,'Base Grupo de Produtos'!$E$23:$E$39,'Base Grupo de Produtos'!$F$23:$F$39)</f>
        <v>0</v>
      </c>
      <c r="X967" s="56">
        <f>_xlfn.XLOOKUP($N967,'Calculo Leads Conveniencia'!$A$77:$A$104,'Calculo Leads Conveniencia'!K$77:K$104)*_xlfn.XLOOKUP($P967,'Base Grupo de Produtos'!$E$23:$E$39,'Base Grupo de Produtos'!$F$23:$F$39)</f>
        <v>0</v>
      </c>
      <c r="Y967" s="56">
        <f>_xlfn.XLOOKUP($N967,'Calculo Leads Conveniencia'!$A$77:$A$104,'Calculo Leads Conveniencia'!L$77:L$104)*_xlfn.XLOOKUP($P967,'Base Grupo de Produtos'!$E$23:$E$39,'Base Grupo de Produtos'!$F$23:$F$39)</f>
        <v>0</v>
      </c>
      <c r="Z967" s="56">
        <f>_xlfn.XLOOKUP($N967,'Calculo Leads Conveniencia'!$A$77:$A$104,'Calculo Leads Conveniencia'!M$77:M$104)*_xlfn.XLOOKUP($P967,'Base Grupo de Produtos'!$E$23:$E$39,'Base Grupo de Produtos'!$F$23:$F$39)</f>
        <v>0</v>
      </c>
      <c r="AA967" s="56">
        <f>_xlfn.XLOOKUP($N967,'Calculo Leads Conveniencia'!$A$77:$A$104,'Calculo Leads Conveniencia'!N$77:N$104)*_xlfn.XLOOKUP($P967,'Base Grupo de Produtos'!$E$23:$E$39,'Base Grupo de Produtos'!$F$23:$F$39)</f>
        <v>0</v>
      </c>
      <c r="AB967" s="56">
        <f>_xlfn.XLOOKUP($N967,'Calculo Leads Conveniencia'!$A$77:$A$104,'Calculo Leads Conveniencia'!O$77:O$104)*_xlfn.XLOOKUP($P967,'Base Grupo de Produtos'!$E$23:$E$39,'Base Grupo de Produtos'!$F$23:$F$39)</f>
        <v>0</v>
      </c>
      <c r="AC967" s="61">
        <f t="shared" si="948"/>
        <v>0</v>
      </c>
      <c r="AD967" s="28"/>
      <c r="AE967" s="12"/>
      <c r="AF967" s="29"/>
      <c r="AG967" s="9"/>
      <c r="AH967" s="10"/>
      <c r="AI967" s="9"/>
      <c r="AJ967" s="11"/>
      <c r="AK967" s="9"/>
      <c r="AL967" s="13"/>
      <c r="AM967" s="9"/>
    </row>
    <row r="968" spans="1:39" x14ac:dyDescent="0.3">
      <c r="A968" s="2" t="str">
        <f t="shared" si="920"/>
        <v>NÃO</v>
      </c>
      <c r="B968" s="2" t="str">
        <f>_xlfn.XLOOKUP($N968,'Base de Grupos'!$A:$A,'Base de Grupos'!$D:$D)</f>
        <v>1000065763</v>
      </c>
      <c r="C968" s="5" t="str">
        <f>_xlfn.XLOOKUP($N968,'Base de Grupos'!$A:$A,'Base de Grupos'!$E:$E)</f>
        <v>CANAL VENDA INTERNA</v>
      </c>
      <c r="D968" s="5" t="str">
        <f>_xlfn.XLOOKUP($N968,'Base de Grupos'!$A:$A,'Base de Grupos'!$F:$F)</f>
        <v>1000065763</v>
      </c>
      <c r="E968" s="2" t="str">
        <f>_xlfn.XLOOKUP($N968,'Base de Grupos'!$A:$A,'Base de Grupos'!$G:$G)</f>
        <v>CANAL VENDA INTERNA</v>
      </c>
      <c r="F968" s="2" t="str">
        <f>_xlfn.XLOOKUP($N968,'Base de Grupos'!$A:$A,'Base de Grupos'!$H:$H)</f>
        <v>1000174119</v>
      </c>
      <c r="G968" s="5" t="str">
        <f>_xlfn.XLOOKUP($N968,'Base de Grupos'!$A:$A,'Base de Grupos'!$I:$I)</f>
        <v>REGIONAL VENDA INTERNA - CONVENIENCIA</v>
      </c>
      <c r="H968" s="5" t="str">
        <f>_xlfn.XLOOKUP($N968,'Base de Grupos'!$A:$A,'Base de Grupos'!$J:$J)</f>
        <v>1000174119</v>
      </c>
      <c r="I968" s="2" t="str">
        <f>_xlfn.XLOOKUP($N968,'Base de Grupos'!$A:$A,'Base de Grupos'!$K:$K)</f>
        <v>REGIONAL VENDA INTERNA - CONVENIENCIA</v>
      </c>
      <c r="J968" s="2" t="str">
        <f>_xlfn.XLOOKUP($N968,'Base de Grupos'!$A:$A,'Base de Grupos'!$L:$L)</f>
        <v>1000174119</v>
      </c>
      <c r="K968" s="5" t="str">
        <f>_xlfn.XLOOKUP($N968,'Base de Grupos'!$A:$A,'Base de Grupos'!$M:$M)</f>
        <v>REGIONAL VENDA INTERNA - CONVENIENCIA</v>
      </c>
      <c r="L968" s="5" t="str">
        <f t="shared" si="921"/>
        <v/>
      </c>
      <c r="M968" s="5" t="str">
        <f>_xlfn.XLOOKUP($N968,'Base de Grupos'!$A:$A,'Base de Grupos'!$C:$C)</f>
        <v>DF</v>
      </c>
      <c r="N968" s="3">
        <v>1518</v>
      </c>
      <c r="O968" s="4" t="s">
        <v>277</v>
      </c>
      <c r="P968" s="5" t="s">
        <v>88</v>
      </c>
      <c r="Q968" s="56">
        <v>0</v>
      </c>
      <c r="R968" s="56">
        <v>0</v>
      </c>
      <c r="S968" s="56">
        <v>0</v>
      </c>
      <c r="T968" s="56">
        <f>_xlfn.XLOOKUP($N968,'Calculo Leads Conveniencia'!$A$77:$A$104,'Calculo Leads Conveniencia'!G$77:G$104)*_xlfn.XLOOKUP($P968,'Base Grupo de Produtos'!$E$23:$E$39,'Base Grupo de Produtos'!$F$23:$F$39)</f>
        <v>0</v>
      </c>
      <c r="U968" s="56">
        <f>_xlfn.XLOOKUP($N968,'Calculo Leads Conveniencia'!$A$77:$A$104,'Calculo Leads Conveniencia'!H$77:H$104)*_xlfn.XLOOKUP($P968,'Base Grupo de Produtos'!$E$23:$E$39,'Base Grupo de Produtos'!$F$23:$F$39)</f>
        <v>0</v>
      </c>
      <c r="V968" s="56">
        <f>_xlfn.XLOOKUP($N968,'Calculo Leads Conveniencia'!$A$77:$A$104,'Calculo Leads Conveniencia'!I$77:I$104)*_xlfn.XLOOKUP($P968,'Base Grupo de Produtos'!$E$23:$E$39,'Base Grupo de Produtos'!$F$23:$F$39)</f>
        <v>0</v>
      </c>
      <c r="W968" s="56">
        <f>_xlfn.XLOOKUP($N968,'Calculo Leads Conveniencia'!$A$77:$A$104,'Calculo Leads Conveniencia'!J$77:J$104)*_xlfn.XLOOKUP($P968,'Base Grupo de Produtos'!$E$23:$E$39,'Base Grupo de Produtos'!$F$23:$F$39)</f>
        <v>0</v>
      </c>
      <c r="X968" s="56">
        <f>_xlfn.XLOOKUP($N968,'Calculo Leads Conveniencia'!$A$77:$A$104,'Calculo Leads Conveniencia'!K$77:K$104)*_xlfn.XLOOKUP($P968,'Base Grupo de Produtos'!$E$23:$E$39,'Base Grupo de Produtos'!$F$23:$F$39)</f>
        <v>0</v>
      </c>
      <c r="Y968" s="56">
        <f>_xlfn.XLOOKUP($N968,'Calculo Leads Conveniencia'!$A$77:$A$104,'Calculo Leads Conveniencia'!L$77:L$104)*_xlfn.XLOOKUP($P968,'Base Grupo de Produtos'!$E$23:$E$39,'Base Grupo de Produtos'!$F$23:$F$39)</f>
        <v>0</v>
      </c>
      <c r="Z968" s="56">
        <f>_xlfn.XLOOKUP($N968,'Calculo Leads Conveniencia'!$A$77:$A$104,'Calculo Leads Conveniencia'!M$77:M$104)*_xlfn.XLOOKUP($P968,'Base Grupo de Produtos'!$E$23:$E$39,'Base Grupo de Produtos'!$F$23:$F$39)</f>
        <v>0</v>
      </c>
      <c r="AA968" s="56">
        <f>_xlfn.XLOOKUP($N968,'Calculo Leads Conveniencia'!$A$77:$A$104,'Calculo Leads Conveniencia'!N$77:N$104)*_xlfn.XLOOKUP($P968,'Base Grupo de Produtos'!$E$23:$E$39,'Base Grupo de Produtos'!$F$23:$F$39)</f>
        <v>0</v>
      </c>
      <c r="AB968" s="56">
        <f>_xlfn.XLOOKUP($N968,'Calculo Leads Conveniencia'!$A$77:$A$104,'Calculo Leads Conveniencia'!O$77:O$104)*_xlfn.XLOOKUP($P968,'Base Grupo de Produtos'!$E$23:$E$39,'Base Grupo de Produtos'!$F$23:$F$39)</f>
        <v>0</v>
      </c>
      <c r="AC968" s="61">
        <f t="shared" si="948"/>
        <v>0</v>
      </c>
      <c r="AD968" s="28"/>
      <c r="AE968" s="12"/>
      <c r="AF968" s="29"/>
      <c r="AG968" s="9"/>
      <c r="AH968" s="10"/>
      <c r="AI968" s="9"/>
      <c r="AJ968" s="11"/>
      <c r="AK968" s="9"/>
      <c r="AL968" s="13"/>
      <c r="AM968" s="9"/>
    </row>
    <row r="969" spans="1:39" x14ac:dyDescent="0.3">
      <c r="A969" s="2" t="str">
        <f t="shared" si="920"/>
        <v>NÃO</v>
      </c>
      <c r="B969" s="2" t="str">
        <f>_xlfn.XLOOKUP($N969,'Base de Grupos'!$A:$A,'Base de Grupos'!$D:$D)</f>
        <v>1000065763</v>
      </c>
      <c r="C969" s="5" t="str">
        <f>_xlfn.XLOOKUP($N969,'Base de Grupos'!$A:$A,'Base de Grupos'!$E:$E)</f>
        <v>CANAL VENDA INTERNA</v>
      </c>
      <c r="D969" s="5" t="str">
        <f>_xlfn.XLOOKUP($N969,'Base de Grupos'!$A:$A,'Base de Grupos'!$F:$F)</f>
        <v>1000065763</v>
      </c>
      <c r="E969" s="2" t="str">
        <f>_xlfn.XLOOKUP($N969,'Base de Grupos'!$A:$A,'Base de Grupos'!$G:$G)</f>
        <v>CANAL VENDA INTERNA</v>
      </c>
      <c r="F969" s="2" t="str">
        <f>_xlfn.XLOOKUP($N969,'Base de Grupos'!$A:$A,'Base de Grupos'!$H:$H)</f>
        <v>1000174119</v>
      </c>
      <c r="G969" s="5" t="str">
        <f>_xlfn.XLOOKUP($N969,'Base de Grupos'!$A:$A,'Base de Grupos'!$I:$I)</f>
        <v>REGIONAL VENDA INTERNA - CONVENIENCIA</v>
      </c>
      <c r="H969" s="5" t="str">
        <f>_xlfn.XLOOKUP($N969,'Base de Grupos'!$A:$A,'Base de Grupos'!$J:$J)</f>
        <v>1000174119</v>
      </c>
      <c r="I969" s="2" t="str">
        <f>_xlfn.XLOOKUP($N969,'Base de Grupos'!$A:$A,'Base de Grupos'!$K:$K)</f>
        <v>REGIONAL VENDA INTERNA - CONVENIENCIA</v>
      </c>
      <c r="J969" s="2" t="str">
        <f>_xlfn.XLOOKUP($N969,'Base de Grupos'!$A:$A,'Base de Grupos'!$L:$L)</f>
        <v>1000174119</v>
      </c>
      <c r="K969" s="5" t="str">
        <f>_xlfn.XLOOKUP($N969,'Base de Grupos'!$A:$A,'Base de Grupos'!$M:$M)</f>
        <v>REGIONAL VENDA INTERNA - CONVENIENCIA</v>
      </c>
      <c r="L969" s="5" t="str">
        <f t="shared" si="921"/>
        <v/>
      </c>
      <c r="M969" s="5" t="str">
        <f>_xlfn.XLOOKUP($N969,'Base de Grupos'!$A:$A,'Base de Grupos'!$C:$C)</f>
        <v>DF</v>
      </c>
      <c r="N969" s="3">
        <v>1518</v>
      </c>
      <c r="O969" s="4" t="s">
        <v>277</v>
      </c>
      <c r="P969" s="5" t="s">
        <v>90</v>
      </c>
      <c r="Q969" s="56">
        <v>0</v>
      </c>
      <c r="R969" s="56">
        <v>0</v>
      </c>
      <c r="S969" s="56">
        <v>0</v>
      </c>
      <c r="T969" s="56">
        <f>_xlfn.XLOOKUP($N969,'Calculo Leads Conveniencia'!$A$77:$A$104,'Calculo Leads Conveniencia'!G$77:G$104)*_xlfn.XLOOKUP($P969,'Base Grupo de Produtos'!$E$23:$E$39,'Base Grupo de Produtos'!$F$23:$F$39)</f>
        <v>0</v>
      </c>
      <c r="U969" s="56">
        <f>_xlfn.XLOOKUP($N969,'Calculo Leads Conveniencia'!$A$77:$A$104,'Calculo Leads Conveniencia'!H$77:H$104)*_xlfn.XLOOKUP($P969,'Base Grupo de Produtos'!$E$23:$E$39,'Base Grupo de Produtos'!$F$23:$F$39)</f>
        <v>0</v>
      </c>
      <c r="V969" s="56">
        <f>_xlfn.XLOOKUP($N969,'Calculo Leads Conveniencia'!$A$77:$A$104,'Calculo Leads Conveniencia'!I$77:I$104)*_xlfn.XLOOKUP($P969,'Base Grupo de Produtos'!$E$23:$E$39,'Base Grupo de Produtos'!$F$23:$F$39)</f>
        <v>0</v>
      </c>
      <c r="W969" s="56">
        <f>_xlfn.XLOOKUP($N969,'Calculo Leads Conveniencia'!$A$77:$A$104,'Calculo Leads Conveniencia'!J$77:J$104)*_xlfn.XLOOKUP($P969,'Base Grupo de Produtos'!$E$23:$E$39,'Base Grupo de Produtos'!$F$23:$F$39)</f>
        <v>0</v>
      </c>
      <c r="X969" s="56">
        <f>_xlfn.XLOOKUP($N969,'Calculo Leads Conveniencia'!$A$77:$A$104,'Calculo Leads Conveniencia'!K$77:K$104)*_xlfn.XLOOKUP($P969,'Base Grupo de Produtos'!$E$23:$E$39,'Base Grupo de Produtos'!$F$23:$F$39)</f>
        <v>0</v>
      </c>
      <c r="Y969" s="56">
        <f>_xlfn.XLOOKUP($N969,'Calculo Leads Conveniencia'!$A$77:$A$104,'Calculo Leads Conveniencia'!L$77:L$104)*_xlfn.XLOOKUP($P969,'Base Grupo de Produtos'!$E$23:$E$39,'Base Grupo de Produtos'!$F$23:$F$39)</f>
        <v>0</v>
      </c>
      <c r="Z969" s="56">
        <f>_xlfn.XLOOKUP($N969,'Calculo Leads Conveniencia'!$A$77:$A$104,'Calculo Leads Conveniencia'!M$77:M$104)*_xlfn.XLOOKUP($P969,'Base Grupo de Produtos'!$E$23:$E$39,'Base Grupo de Produtos'!$F$23:$F$39)</f>
        <v>0</v>
      </c>
      <c r="AA969" s="56">
        <f>_xlfn.XLOOKUP($N969,'Calculo Leads Conveniencia'!$A$77:$A$104,'Calculo Leads Conveniencia'!N$77:N$104)*_xlfn.XLOOKUP($P969,'Base Grupo de Produtos'!$E$23:$E$39,'Base Grupo de Produtos'!$F$23:$F$39)</f>
        <v>0</v>
      </c>
      <c r="AB969" s="56">
        <f>_xlfn.XLOOKUP($N969,'Calculo Leads Conveniencia'!$A$77:$A$104,'Calculo Leads Conveniencia'!O$77:O$104)*_xlfn.XLOOKUP($P969,'Base Grupo de Produtos'!$E$23:$E$39,'Base Grupo de Produtos'!$F$23:$F$39)</f>
        <v>0</v>
      </c>
      <c r="AC969" s="61">
        <f t="shared" si="948"/>
        <v>0</v>
      </c>
      <c r="AD969" s="28"/>
      <c r="AE969" s="12"/>
      <c r="AF969" s="29"/>
      <c r="AG969" s="9"/>
      <c r="AH969" s="10"/>
      <c r="AI969" s="9"/>
      <c r="AJ969" s="11"/>
      <c r="AK969" s="9"/>
      <c r="AL969" s="13"/>
      <c r="AM969" s="9"/>
    </row>
    <row r="970" spans="1:39" x14ac:dyDescent="0.3">
      <c r="A970" s="2" t="str">
        <f t="shared" si="920"/>
        <v>NÃO</v>
      </c>
      <c r="B970" s="2" t="str">
        <f>_xlfn.XLOOKUP($N970,'Base de Grupos'!$A:$A,'Base de Grupos'!$D:$D)</f>
        <v>1000065763</v>
      </c>
      <c r="C970" s="5" t="str">
        <f>_xlfn.XLOOKUP($N970,'Base de Grupos'!$A:$A,'Base de Grupos'!$E:$E)</f>
        <v>CANAL VENDA INTERNA</v>
      </c>
      <c r="D970" s="5" t="str">
        <f>_xlfn.XLOOKUP($N970,'Base de Grupos'!$A:$A,'Base de Grupos'!$F:$F)</f>
        <v>1000065763</v>
      </c>
      <c r="E970" s="2" t="str">
        <f>_xlfn.XLOOKUP($N970,'Base de Grupos'!$A:$A,'Base de Grupos'!$G:$G)</f>
        <v>CANAL VENDA INTERNA</v>
      </c>
      <c r="F970" s="2" t="str">
        <f>_xlfn.XLOOKUP($N970,'Base de Grupos'!$A:$A,'Base de Grupos'!$H:$H)</f>
        <v>1000174119</v>
      </c>
      <c r="G970" s="5" t="str">
        <f>_xlfn.XLOOKUP($N970,'Base de Grupos'!$A:$A,'Base de Grupos'!$I:$I)</f>
        <v>REGIONAL VENDA INTERNA - CONVENIENCIA</v>
      </c>
      <c r="H970" s="5" t="str">
        <f>_xlfn.XLOOKUP($N970,'Base de Grupos'!$A:$A,'Base de Grupos'!$J:$J)</f>
        <v>1000174119</v>
      </c>
      <c r="I970" s="2" t="str">
        <f>_xlfn.XLOOKUP($N970,'Base de Grupos'!$A:$A,'Base de Grupos'!$K:$K)</f>
        <v>REGIONAL VENDA INTERNA - CONVENIENCIA</v>
      </c>
      <c r="J970" s="2" t="str">
        <f>_xlfn.XLOOKUP($N970,'Base de Grupos'!$A:$A,'Base de Grupos'!$L:$L)</f>
        <v>1000174119</v>
      </c>
      <c r="K970" s="5" t="str">
        <f>_xlfn.XLOOKUP($N970,'Base de Grupos'!$A:$A,'Base de Grupos'!$M:$M)</f>
        <v>REGIONAL VENDA INTERNA - CONVENIENCIA</v>
      </c>
      <c r="L970" s="5" t="str">
        <f t="shared" si="921"/>
        <v/>
      </c>
      <c r="M970" s="5" t="str">
        <f>_xlfn.XLOOKUP($N970,'Base de Grupos'!$A:$A,'Base de Grupos'!$C:$C)</f>
        <v>DF</v>
      </c>
      <c r="N970" s="3">
        <v>1518</v>
      </c>
      <c r="O970" s="4" t="s">
        <v>277</v>
      </c>
      <c r="P970" s="5" t="s">
        <v>91</v>
      </c>
      <c r="Q970" s="56">
        <v>0</v>
      </c>
      <c r="R970" s="56">
        <v>0</v>
      </c>
      <c r="S970" s="56">
        <v>0</v>
      </c>
      <c r="T970" s="56">
        <f>_xlfn.XLOOKUP($N970,'Calculo Leads Conveniencia'!$A$77:$A$104,'Calculo Leads Conveniencia'!G$77:G$104)*_xlfn.XLOOKUP($P970,'Base Grupo de Produtos'!$E$23:$E$39,'Base Grupo de Produtos'!$F$23:$F$39)</f>
        <v>0</v>
      </c>
      <c r="U970" s="56">
        <f>_xlfn.XLOOKUP($N970,'Calculo Leads Conveniencia'!$A$77:$A$104,'Calculo Leads Conveniencia'!H$77:H$104)*_xlfn.XLOOKUP($P970,'Base Grupo de Produtos'!$E$23:$E$39,'Base Grupo de Produtos'!$F$23:$F$39)</f>
        <v>0</v>
      </c>
      <c r="V970" s="56">
        <f>_xlfn.XLOOKUP($N970,'Calculo Leads Conveniencia'!$A$77:$A$104,'Calculo Leads Conveniencia'!I$77:I$104)*_xlfn.XLOOKUP($P970,'Base Grupo de Produtos'!$E$23:$E$39,'Base Grupo de Produtos'!$F$23:$F$39)</f>
        <v>0</v>
      </c>
      <c r="W970" s="56">
        <f>_xlfn.XLOOKUP($N970,'Calculo Leads Conveniencia'!$A$77:$A$104,'Calculo Leads Conveniencia'!J$77:J$104)*_xlfn.XLOOKUP($P970,'Base Grupo de Produtos'!$E$23:$E$39,'Base Grupo de Produtos'!$F$23:$F$39)</f>
        <v>0</v>
      </c>
      <c r="X970" s="56">
        <f>_xlfn.XLOOKUP($N970,'Calculo Leads Conveniencia'!$A$77:$A$104,'Calculo Leads Conveniencia'!K$77:K$104)*_xlfn.XLOOKUP($P970,'Base Grupo de Produtos'!$E$23:$E$39,'Base Grupo de Produtos'!$F$23:$F$39)</f>
        <v>0</v>
      </c>
      <c r="Y970" s="56">
        <f>_xlfn.XLOOKUP($N970,'Calculo Leads Conveniencia'!$A$77:$A$104,'Calculo Leads Conveniencia'!L$77:L$104)*_xlfn.XLOOKUP($P970,'Base Grupo de Produtos'!$E$23:$E$39,'Base Grupo de Produtos'!$F$23:$F$39)</f>
        <v>0</v>
      </c>
      <c r="Z970" s="56">
        <f>_xlfn.XLOOKUP($N970,'Calculo Leads Conveniencia'!$A$77:$A$104,'Calculo Leads Conveniencia'!M$77:M$104)*_xlfn.XLOOKUP($P970,'Base Grupo de Produtos'!$E$23:$E$39,'Base Grupo de Produtos'!$F$23:$F$39)</f>
        <v>0</v>
      </c>
      <c r="AA970" s="56">
        <f>_xlfn.XLOOKUP($N970,'Calculo Leads Conveniencia'!$A$77:$A$104,'Calculo Leads Conveniencia'!N$77:N$104)*_xlfn.XLOOKUP($P970,'Base Grupo de Produtos'!$E$23:$E$39,'Base Grupo de Produtos'!$F$23:$F$39)</f>
        <v>0</v>
      </c>
      <c r="AB970" s="56">
        <f>_xlfn.XLOOKUP($N970,'Calculo Leads Conveniencia'!$A$77:$A$104,'Calculo Leads Conveniencia'!O$77:O$104)*_xlfn.XLOOKUP($P970,'Base Grupo de Produtos'!$E$23:$E$39,'Base Grupo de Produtos'!$F$23:$F$39)</f>
        <v>0</v>
      </c>
      <c r="AC970" s="61">
        <f t="shared" si="948"/>
        <v>0</v>
      </c>
      <c r="AD970" s="28"/>
      <c r="AE970" s="12"/>
      <c r="AF970" s="29"/>
      <c r="AG970" s="9"/>
      <c r="AH970" s="10"/>
      <c r="AI970" s="9"/>
      <c r="AJ970" s="11"/>
      <c r="AK970" s="9"/>
      <c r="AL970" s="13"/>
      <c r="AM970" s="9"/>
    </row>
    <row r="971" spans="1:39" x14ac:dyDescent="0.3">
      <c r="A971" s="2" t="str">
        <f t="shared" si="920"/>
        <v>NÃO</v>
      </c>
      <c r="B971" s="2" t="str">
        <f>_xlfn.XLOOKUP($N971,'Base de Grupos'!$A:$A,'Base de Grupos'!$D:$D)</f>
        <v>1000065763</v>
      </c>
      <c r="C971" s="5" t="str">
        <f>_xlfn.XLOOKUP($N971,'Base de Grupos'!$A:$A,'Base de Grupos'!$E:$E)</f>
        <v>CANAL VENDA INTERNA</v>
      </c>
      <c r="D971" s="5" t="str">
        <f>_xlfn.XLOOKUP($N971,'Base de Grupos'!$A:$A,'Base de Grupos'!$F:$F)</f>
        <v>1000065763</v>
      </c>
      <c r="E971" s="2" t="str">
        <f>_xlfn.XLOOKUP($N971,'Base de Grupos'!$A:$A,'Base de Grupos'!$G:$G)</f>
        <v>CANAL VENDA INTERNA</v>
      </c>
      <c r="F971" s="2" t="str">
        <f>_xlfn.XLOOKUP($N971,'Base de Grupos'!$A:$A,'Base de Grupos'!$H:$H)</f>
        <v>1000174119</v>
      </c>
      <c r="G971" s="5" t="str">
        <f>_xlfn.XLOOKUP($N971,'Base de Grupos'!$A:$A,'Base de Grupos'!$I:$I)</f>
        <v>REGIONAL VENDA INTERNA - CONVENIENCIA</v>
      </c>
      <c r="H971" s="5" t="str">
        <f>_xlfn.XLOOKUP($N971,'Base de Grupos'!$A:$A,'Base de Grupos'!$J:$J)</f>
        <v>1000174119</v>
      </c>
      <c r="I971" s="2" t="str">
        <f>_xlfn.XLOOKUP($N971,'Base de Grupos'!$A:$A,'Base de Grupos'!$K:$K)</f>
        <v>REGIONAL VENDA INTERNA - CONVENIENCIA</v>
      </c>
      <c r="J971" s="2" t="str">
        <f>_xlfn.XLOOKUP($N971,'Base de Grupos'!$A:$A,'Base de Grupos'!$L:$L)</f>
        <v>1000174119</v>
      </c>
      <c r="K971" s="5" t="str">
        <f>_xlfn.XLOOKUP($N971,'Base de Grupos'!$A:$A,'Base de Grupos'!$M:$M)</f>
        <v>REGIONAL VENDA INTERNA - CONVENIENCIA</v>
      </c>
      <c r="L971" s="5" t="str">
        <f t="shared" si="921"/>
        <v/>
      </c>
      <c r="M971" s="5" t="str">
        <f>_xlfn.XLOOKUP($N971,'Base de Grupos'!$A:$A,'Base de Grupos'!$C:$C)</f>
        <v>DF</v>
      </c>
      <c r="N971" s="3">
        <v>1518</v>
      </c>
      <c r="O971" s="4" t="s">
        <v>277</v>
      </c>
      <c r="P971" s="5" t="s">
        <v>96</v>
      </c>
      <c r="Q971" s="56">
        <v>0</v>
      </c>
      <c r="R971" s="56">
        <v>0</v>
      </c>
      <c r="S971" s="56">
        <v>0</v>
      </c>
      <c r="T971" s="56">
        <f>_xlfn.XLOOKUP($N971,'Calculo Leads Conveniencia'!$A$77:$A$104,'Calculo Leads Conveniencia'!G$77:G$104)*_xlfn.XLOOKUP($P971,'Base Grupo de Produtos'!$E$23:$E$39,'Base Grupo de Produtos'!$F$23:$F$39)</f>
        <v>0</v>
      </c>
      <c r="U971" s="56">
        <f>_xlfn.XLOOKUP($N971,'Calculo Leads Conveniencia'!$A$77:$A$104,'Calculo Leads Conveniencia'!H$77:H$104)*_xlfn.XLOOKUP($P971,'Base Grupo de Produtos'!$E$23:$E$39,'Base Grupo de Produtos'!$F$23:$F$39)</f>
        <v>0</v>
      </c>
      <c r="V971" s="56">
        <f>_xlfn.XLOOKUP($N971,'Calculo Leads Conveniencia'!$A$77:$A$104,'Calculo Leads Conveniencia'!I$77:I$104)*_xlfn.XLOOKUP($P971,'Base Grupo de Produtos'!$E$23:$E$39,'Base Grupo de Produtos'!$F$23:$F$39)</f>
        <v>0</v>
      </c>
      <c r="W971" s="56">
        <f>_xlfn.XLOOKUP($N971,'Calculo Leads Conveniencia'!$A$77:$A$104,'Calculo Leads Conveniencia'!J$77:J$104)*_xlfn.XLOOKUP($P971,'Base Grupo de Produtos'!$E$23:$E$39,'Base Grupo de Produtos'!$F$23:$F$39)</f>
        <v>0</v>
      </c>
      <c r="X971" s="56">
        <f>_xlfn.XLOOKUP($N971,'Calculo Leads Conveniencia'!$A$77:$A$104,'Calculo Leads Conveniencia'!K$77:K$104)*_xlfn.XLOOKUP($P971,'Base Grupo de Produtos'!$E$23:$E$39,'Base Grupo de Produtos'!$F$23:$F$39)</f>
        <v>0</v>
      </c>
      <c r="Y971" s="56">
        <f>_xlfn.XLOOKUP($N971,'Calculo Leads Conveniencia'!$A$77:$A$104,'Calculo Leads Conveniencia'!L$77:L$104)*_xlfn.XLOOKUP($P971,'Base Grupo de Produtos'!$E$23:$E$39,'Base Grupo de Produtos'!$F$23:$F$39)</f>
        <v>0</v>
      </c>
      <c r="Z971" s="56">
        <f>_xlfn.XLOOKUP($N971,'Calculo Leads Conveniencia'!$A$77:$A$104,'Calculo Leads Conveniencia'!M$77:M$104)*_xlfn.XLOOKUP($P971,'Base Grupo de Produtos'!$E$23:$E$39,'Base Grupo de Produtos'!$F$23:$F$39)</f>
        <v>0</v>
      </c>
      <c r="AA971" s="56">
        <f>_xlfn.XLOOKUP($N971,'Calculo Leads Conveniencia'!$A$77:$A$104,'Calculo Leads Conveniencia'!N$77:N$104)*_xlfn.XLOOKUP($P971,'Base Grupo de Produtos'!$E$23:$E$39,'Base Grupo de Produtos'!$F$23:$F$39)</f>
        <v>0</v>
      </c>
      <c r="AB971" s="56">
        <f>_xlfn.XLOOKUP($N971,'Calculo Leads Conveniencia'!$A$77:$A$104,'Calculo Leads Conveniencia'!O$77:O$104)*_xlfn.XLOOKUP($P971,'Base Grupo de Produtos'!$E$23:$E$39,'Base Grupo de Produtos'!$F$23:$F$39)</f>
        <v>0</v>
      </c>
      <c r="AC971" s="61">
        <f t="shared" si="948"/>
        <v>0</v>
      </c>
      <c r="AD971" s="28"/>
      <c r="AE971" s="12"/>
      <c r="AF971" s="29"/>
      <c r="AG971" s="9"/>
      <c r="AH971" s="10"/>
      <c r="AI971" s="9"/>
      <c r="AJ971" s="11"/>
      <c r="AK971" s="9"/>
      <c r="AL971" s="13"/>
      <c r="AM971" s="9"/>
    </row>
    <row r="972" spans="1:39" x14ac:dyDescent="0.3">
      <c r="A972" s="2" t="str">
        <f t="shared" si="920"/>
        <v>NÃO</v>
      </c>
      <c r="B972" s="2" t="str">
        <f>_xlfn.XLOOKUP($N972,'Base de Grupos'!$A:$A,'Base de Grupos'!$D:$D)</f>
        <v>1000065763</v>
      </c>
      <c r="C972" s="5" t="str">
        <f>_xlfn.XLOOKUP($N972,'Base de Grupos'!$A:$A,'Base de Grupos'!$E:$E)</f>
        <v>CANAL VENDA INTERNA</v>
      </c>
      <c r="D972" s="5" t="str">
        <f>_xlfn.XLOOKUP($N972,'Base de Grupos'!$A:$A,'Base de Grupos'!$F:$F)</f>
        <v>1000065763</v>
      </c>
      <c r="E972" s="2" t="str">
        <f>_xlfn.XLOOKUP($N972,'Base de Grupos'!$A:$A,'Base de Grupos'!$G:$G)</f>
        <v>CANAL VENDA INTERNA</v>
      </c>
      <c r="F972" s="2" t="str">
        <f>_xlfn.XLOOKUP($N972,'Base de Grupos'!$A:$A,'Base de Grupos'!$H:$H)</f>
        <v>1000174119</v>
      </c>
      <c r="G972" s="5" t="str">
        <f>_xlfn.XLOOKUP($N972,'Base de Grupos'!$A:$A,'Base de Grupos'!$I:$I)</f>
        <v>REGIONAL VENDA INTERNA - CONVENIENCIA</v>
      </c>
      <c r="H972" s="5" t="str">
        <f>_xlfn.XLOOKUP($N972,'Base de Grupos'!$A:$A,'Base de Grupos'!$J:$J)</f>
        <v>1000174119</v>
      </c>
      <c r="I972" s="2" t="str">
        <f>_xlfn.XLOOKUP($N972,'Base de Grupos'!$A:$A,'Base de Grupos'!$K:$K)</f>
        <v>REGIONAL VENDA INTERNA - CONVENIENCIA</v>
      </c>
      <c r="J972" s="2" t="str">
        <f>_xlfn.XLOOKUP($N972,'Base de Grupos'!$A:$A,'Base de Grupos'!$L:$L)</f>
        <v>1000174119</v>
      </c>
      <c r="K972" s="5" t="str">
        <f>_xlfn.XLOOKUP($N972,'Base de Grupos'!$A:$A,'Base de Grupos'!$M:$M)</f>
        <v>REGIONAL VENDA INTERNA - CONVENIENCIA</v>
      </c>
      <c r="L972" s="5" t="str">
        <f t="shared" si="921"/>
        <v/>
      </c>
      <c r="M972" s="5" t="str">
        <f>_xlfn.XLOOKUP($N972,'Base de Grupos'!$A:$A,'Base de Grupos'!$C:$C)</f>
        <v>DF</v>
      </c>
      <c r="N972" s="3">
        <v>1518</v>
      </c>
      <c r="O972" s="4" t="s">
        <v>277</v>
      </c>
      <c r="P972" s="5" t="s">
        <v>94</v>
      </c>
      <c r="Q972" s="56">
        <v>0</v>
      </c>
      <c r="R972" s="56">
        <v>0</v>
      </c>
      <c r="S972" s="56">
        <v>0</v>
      </c>
      <c r="T972" s="56">
        <f>_xlfn.XLOOKUP($N972,'Calculo Leads Conveniencia'!$A$77:$A$104,'Calculo Leads Conveniencia'!G$77:G$104)*_xlfn.XLOOKUP($P972,'Base Grupo de Produtos'!$E$23:$E$39,'Base Grupo de Produtos'!$F$23:$F$39)</f>
        <v>0</v>
      </c>
      <c r="U972" s="56">
        <f>_xlfn.XLOOKUP($N972,'Calculo Leads Conveniencia'!$A$77:$A$104,'Calculo Leads Conveniencia'!H$77:H$104)*_xlfn.XLOOKUP($P972,'Base Grupo de Produtos'!$E$23:$E$39,'Base Grupo de Produtos'!$F$23:$F$39)</f>
        <v>0</v>
      </c>
      <c r="V972" s="56">
        <f>_xlfn.XLOOKUP($N972,'Calculo Leads Conveniencia'!$A$77:$A$104,'Calculo Leads Conveniencia'!I$77:I$104)*_xlfn.XLOOKUP($P972,'Base Grupo de Produtos'!$E$23:$E$39,'Base Grupo de Produtos'!$F$23:$F$39)</f>
        <v>0</v>
      </c>
      <c r="W972" s="56">
        <f>_xlfn.XLOOKUP($N972,'Calculo Leads Conveniencia'!$A$77:$A$104,'Calculo Leads Conveniencia'!J$77:J$104)*_xlfn.XLOOKUP($P972,'Base Grupo de Produtos'!$E$23:$E$39,'Base Grupo de Produtos'!$F$23:$F$39)</f>
        <v>0</v>
      </c>
      <c r="X972" s="56">
        <f>_xlfn.XLOOKUP($N972,'Calculo Leads Conveniencia'!$A$77:$A$104,'Calculo Leads Conveniencia'!K$77:K$104)*_xlfn.XLOOKUP($P972,'Base Grupo de Produtos'!$E$23:$E$39,'Base Grupo de Produtos'!$F$23:$F$39)</f>
        <v>0</v>
      </c>
      <c r="Y972" s="56">
        <f>_xlfn.XLOOKUP($N972,'Calculo Leads Conveniencia'!$A$77:$A$104,'Calculo Leads Conveniencia'!L$77:L$104)*_xlfn.XLOOKUP($P972,'Base Grupo de Produtos'!$E$23:$E$39,'Base Grupo de Produtos'!$F$23:$F$39)</f>
        <v>0</v>
      </c>
      <c r="Z972" s="56">
        <f>_xlfn.XLOOKUP($N972,'Calculo Leads Conveniencia'!$A$77:$A$104,'Calculo Leads Conveniencia'!M$77:M$104)*_xlfn.XLOOKUP($P972,'Base Grupo de Produtos'!$E$23:$E$39,'Base Grupo de Produtos'!$F$23:$F$39)</f>
        <v>0</v>
      </c>
      <c r="AA972" s="56">
        <f>_xlfn.XLOOKUP($N972,'Calculo Leads Conveniencia'!$A$77:$A$104,'Calculo Leads Conveniencia'!N$77:N$104)*_xlfn.XLOOKUP($P972,'Base Grupo de Produtos'!$E$23:$E$39,'Base Grupo de Produtos'!$F$23:$F$39)</f>
        <v>0</v>
      </c>
      <c r="AB972" s="56">
        <f>_xlfn.XLOOKUP($N972,'Calculo Leads Conveniencia'!$A$77:$A$104,'Calculo Leads Conveniencia'!O$77:O$104)*_xlfn.XLOOKUP($P972,'Base Grupo de Produtos'!$E$23:$E$39,'Base Grupo de Produtos'!$F$23:$F$39)</f>
        <v>0</v>
      </c>
      <c r="AC972" s="61">
        <f t="shared" si="948"/>
        <v>0</v>
      </c>
      <c r="AD972" s="28"/>
      <c r="AE972" s="12"/>
      <c r="AF972" s="29"/>
      <c r="AG972" s="9"/>
      <c r="AH972" s="10"/>
      <c r="AI972" s="9"/>
      <c r="AJ972" s="11"/>
      <c r="AK972" s="9"/>
      <c r="AL972" s="13"/>
      <c r="AM972" s="9"/>
    </row>
    <row r="973" spans="1:39" x14ac:dyDescent="0.3">
      <c r="A973" s="2" t="str">
        <f t="shared" si="920"/>
        <v>NÃO</v>
      </c>
      <c r="B973" s="2" t="str">
        <f>_xlfn.XLOOKUP($N973,'Base de Grupos'!$A:$A,'Base de Grupos'!$D:$D)</f>
        <v>1000065763</v>
      </c>
      <c r="C973" s="5" t="str">
        <f>_xlfn.XLOOKUP($N973,'Base de Grupos'!$A:$A,'Base de Grupos'!$E:$E)</f>
        <v>CANAL VENDA INTERNA</v>
      </c>
      <c r="D973" s="5" t="str">
        <f>_xlfn.XLOOKUP($N973,'Base de Grupos'!$A:$A,'Base de Grupos'!$F:$F)</f>
        <v>1000065763</v>
      </c>
      <c r="E973" s="2" t="str">
        <f>_xlfn.XLOOKUP($N973,'Base de Grupos'!$A:$A,'Base de Grupos'!$G:$G)</f>
        <v>CANAL VENDA INTERNA</v>
      </c>
      <c r="F973" s="2" t="str">
        <f>_xlfn.XLOOKUP($N973,'Base de Grupos'!$A:$A,'Base de Grupos'!$H:$H)</f>
        <v>1000174119</v>
      </c>
      <c r="G973" s="5" t="str">
        <f>_xlfn.XLOOKUP($N973,'Base de Grupos'!$A:$A,'Base de Grupos'!$I:$I)</f>
        <v>REGIONAL VENDA INTERNA - CONVENIENCIA</v>
      </c>
      <c r="H973" s="5" t="str">
        <f>_xlfn.XLOOKUP($N973,'Base de Grupos'!$A:$A,'Base de Grupos'!$J:$J)</f>
        <v>1000174119</v>
      </c>
      <c r="I973" s="2" t="str">
        <f>_xlfn.XLOOKUP($N973,'Base de Grupos'!$A:$A,'Base de Grupos'!$K:$K)</f>
        <v>REGIONAL VENDA INTERNA - CONVENIENCIA</v>
      </c>
      <c r="J973" s="2" t="str">
        <f>_xlfn.XLOOKUP($N973,'Base de Grupos'!$A:$A,'Base de Grupos'!$L:$L)</f>
        <v>1000174119</v>
      </c>
      <c r="K973" s="5" t="str">
        <f>_xlfn.XLOOKUP($N973,'Base de Grupos'!$A:$A,'Base de Grupos'!$M:$M)</f>
        <v>REGIONAL VENDA INTERNA - CONVENIENCIA</v>
      </c>
      <c r="L973" s="5" t="str">
        <f t="shared" si="921"/>
        <v/>
      </c>
      <c r="M973" s="5" t="str">
        <f>_xlfn.XLOOKUP($N973,'Base de Grupos'!$A:$A,'Base de Grupos'!$C:$C)</f>
        <v>DF</v>
      </c>
      <c r="N973" s="3">
        <v>1518</v>
      </c>
      <c r="O973" s="4" t="s">
        <v>277</v>
      </c>
      <c r="P973" s="5" t="s">
        <v>95</v>
      </c>
      <c r="Q973" s="56">
        <v>0</v>
      </c>
      <c r="R973" s="56">
        <v>0</v>
      </c>
      <c r="S973" s="56">
        <v>0</v>
      </c>
      <c r="T973" s="56">
        <f>_xlfn.XLOOKUP($N973,'Calculo Leads Conveniencia'!$A$77:$A$104,'Calculo Leads Conveniencia'!G$77:G$104)*_xlfn.XLOOKUP($P973,'Base Grupo de Produtos'!$E$23:$E$39,'Base Grupo de Produtos'!$F$23:$F$39)</f>
        <v>0</v>
      </c>
      <c r="U973" s="56">
        <f>_xlfn.XLOOKUP($N973,'Calculo Leads Conveniencia'!$A$77:$A$104,'Calculo Leads Conveniencia'!H$77:H$104)*_xlfn.XLOOKUP($P973,'Base Grupo de Produtos'!$E$23:$E$39,'Base Grupo de Produtos'!$F$23:$F$39)</f>
        <v>0</v>
      </c>
      <c r="V973" s="56">
        <f>_xlfn.XLOOKUP($N973,'Calculo Leads Conveniencia'!$A$77:$A$104,'Calculo Leads Conveniencia'!I$77:I$104)*_xlfn.XLOOKUP($P973,'Base Grupo de Produtos'!$E$23:$E$39,'Base Grupo de Produtos'!$F$23:$F$39)</f>
        <v>0</v>
      </c>
      <c r="W973" s="56">
        <f>_xlfn.XLOOKUP($N973,'Calculo Leads Conveniencia'!$A$77:$A$104,'Calculo Leads Conveniencia'!J$77:J$104)*_xlfn.XLOOKUP($P973,'Base Grupo de Produtos'!$E$23:$E$39,'Base Grupo de Produtos'!$F$23:$F$39)</f>
        <v>0</v>
      </c>
      <c r="X973" s="56">
        <f>_xlfn.XLOOKUP($N973,'Calculo Leads Conveniencia'!$A$77:$A$104,'Calculo Leads Conveniencia'!K$77:K$104)*_xlfn.XLOOKUP($P973,'Base Grupo de Produtos'!$E$23:$E$39,'Base Grupo de Produtos'!$F$23:$F$39)</f>
        <v>0</v>
      </c>
      <c r="Y973" s="56">
        <f>_xlfn.XLOOKUP($N973,'Calculo Leads Conveniencia'!$A$77:$A$104,'Calculo Leads Conveniencia'!L$77:L$104)*_xlfn.XLOOKUP($P973,'Base Grupo de Produtos'!$E$23:$E$39,'Base Grupo de Produtos'!$F$23:$F$39)</f>
        <v>0</v>
      </c>
      <c r="Z973" s="56">
        <f>_xlfn.XLOOKUP($N973,'Calculo Leads Conveniencia'!$A$77:$A$104,'Calculo Leads Conveniencia'!M$77:M$104)*_xlfn.XLOOKUP($P973,'Base Grupo de Produtos'!$E$23:$E$39,'Base Grupo de Produtos'!$F$23:$F$39)</f>
        <v>0</v>
      </c>
      <c r="AA973" s="56">
        <f>_xlfn.XLOOKUP($N973,'Calculo Leads Conveniencia'!$A$77:$A$104,'Calculo Leads Conveniencia'!N$77:N$104)*_xlfn.XLOOKUP($P973,'Base Grupo de Produtos'!$E$23:$E$39,'Base Grupo de Produtos'!$F$23:$F$39)</f>
        <v>0</v>
      </c>
      <c r="AB973" s="56">
        <f>_xlfn.XLOOKUP($N973,'Calculo Leads Conveniencia'!$A$77:$A$104,'Calculo Leads Conveniencia'!O$77:O$104)*_xlfn.XLOOKUP($P973,'Base Grupo de Produtos'!$E$23:$E$39,'Base Grupo de Produtos'!$F$23:$F$39)</f>
        <v>0</v>
      </c>
      <c r="AC973" s="61">
        <f t="shared" si="948"/>
        <v>0</v>
      </c>
      <c r="AD973" s="28"/>
      <c r="AE973" s="12"/>
      <c r="AF973" s="29"/>
      <c r="AG973" s="9"/>
      <c r="AH973" s="10"/>
      <c r="AI973" s="9"/>
      <c r="AJ973" s="11"/>
      <c r="AK973" s="9"/>
      <c r="AL973" s="13"/>
      <c r="AM973" s="9"/>
    </row>
    <row r="974" spans="1:39" x14ac:dyDescent="0.3">
      <c r="A974" s="2" t="str">
        <f t="shared" si="920"/>
        <v>NÃO</v>
      </c>
      <c r="B974" s="2" t="str">
        <f>_xlfn.XLOOKUP($N974,'Base de Grupos'!$A:$A,'Base de Grupos'!$D:$D)</f>
        <v>1000065763</v>
      </c>
      <c r="C974" s="5" t="str">
        <f>_xlfn.XLOOKUP($N974,'Base de Grupos'!$A:$A,'Base de Grupos'!$E:$E)</f>
        <v>CANAL VENDA INTERNA</v>
      </c>
      <c r="D974" s="5" t="str">
        <f>_xlfn.XLOOKUP($N974,'Base de Grupos'!$A:$A,'Base de Grupos'!$F:$F)</f>
        <v>1000065763</v>
      </c>
      <c r="E974" s="2" t="str">
        <f>_xlfn.XLOOKUP($N974,'Base de Grupos'!$A:$A,'Base de Grupos'!$G:$G)</f>
        <v>CANAL VENDA INTERNA</v>
      </c>
      <c r="F974" s="2" t="str">
        <f>_xlfn.XLOOKUP($N974,'Base de Grupos'!$A:$A,'Base de Grupos'!$H:$H)</f>
        <v>1000174119</v>
      </c>
      <c r="G974" s="5" t="str">
        <f>_xlfn.XLOOKUP($N974,'Base de Grupos'!$A:$A,'Base de Grupos'!$I:$I)</f>
        <v>REGIONAL VENDA INTERNA - CONVENIENCIA</v>
      </c>
      <c r="H974" s="5" t="str">
        <f>_xlfn.XLOOKUP($N974,'Base de Grupos'!$A:$A,'Base de Grupos'!$J:$J)</f>
        <v>1000174119</v>
      </c>
      <c r="I974" s="2" t="str">
        <f>_xlfn.XLOOKUP($N974,'Base de Grupos'!$A:$A,'Base de Grupos'!$K:$K)</f>
        <v>REGIONAL VENDA INTERNA - CONVENIENCIA</v>
      </c>
      <c r="J974" s="2" t="str">
        <f>_xlfn.XLOOKUP($N974,'Base de Grupos'!$A:$A,'Base de Grupos'!$L:$L)</f>
        <v>1000174119</v>
      </c>
      <c r="K974" s="5" t="str">
        <f>_xlfn.XLOOKUP($N974,'Base de Grupos'!$A:$A,'Base de Grupos'!$M:$M)</f>
        <v>REGIONAL VENDA INTERNA - CONVENIENCIA</v>
      </c>
      <c r="L974" s="5" t="str">
        <f t="shared" si="921"/>
        <v/>
      </c>
      <c r="M974" s="5" t="str">
        <f>_xlfn.XLOOKUP($N974,'Base de Grupos'!$A:$A,'Base de Grupos'!$C:$C)</f>
        <v>DF</v>
      </c>
      <c r="N974" s="3">
        <v>1518</v>
      </c>
      <c r="O974" s="4" t="s">
        <v>277</v>
      </c>
      <c r="P974" s="5" t="s">
        <v>93</v>
      </c>
      <c r="Q974" s="56">
        <v>0</v>
      </c>
      <c r="R974" s="56">
        <v>0</v>
      </c>
      <c r="S974" s="56">
        <v>0</v>
      </c>
      <c r="T974" s="56">
        <f>_xlfn.XLOOKUP($N974,'Calculo Leads Conveniencia'!$A$77:$A$104,'Calculo Leads Conveniencia'!G$77:G$104)*_xlfn.XLOOKUP($P974,'Base Grupo de Produtos'!$E$23:$E$39,'Base Grupo de Produtos'!$F$23:$F$39)</f>
        <v>0</v>
      </c>
      <c r="U974" s="56">
        <f>_xlfn.XLOOKUP($N974,'Calculo Leads Conveniencia'!$A$77:$A$104,'Calculo Leads Conveniencia'!H$77:H$104)*_xlfn.XLOOKUP($P974,'Base Grupo de Produtos'!$E$23:$E$39,'Base Grupo de Produtos'!$F$23:$F$39)</f>
        <v>0</v>
      </c>
      <c r="V974" s="56">
        <f>_xlfn.XLOOKUP($N974,'Calculo Leads Conveniencia'!$A$77:$A$104,'Calculo Leads Conveniencia'!I$77:I$104)*_xlfn.XLOOKUP($P974,'Base Grupo de Produtos'!$E$23:$E$39,'Base Grupo de Produtos'!$F$23:$F$39)</f>
        <v>0</v>
      </c>
      <c r="W974" s="56">
        <f>_xlfn.XLOOKUP($N974,'Calculo Leads Conveniencia'!$A$77:$A$104,'Calculo Leads Conveniencia'!J$77:J$104)*_xlfn.XLOOKUP($P974,'Base Grupo de Produtos'!$E$23:$E$39,'Base Grupo de Produtos'!$F$23:$F$39)</f>
        <v>0</v>
      </c>
      <c r="X974" s="56">
        <f>_xlfn.XLOOKUP($N974,'Calculo Leads Conveniencia'!$A$77:$A$104,'Calculo Leads Conveniencia'!K$77:K$104)*_xlfn.XLOOKUP($P974,'Base Grupo de Produtos'!$E$23:$E$39,'Base Grupo de Produtos'!$F$23:$F$39)</f>
        <v>0</v>
      </c>
      <c r="Y974" s="56">
        <f>_xlfn.XLOOKUP($N974,'Calculo Leads Conveniencia'!$A$77:$A$104,'Calculo Leads Conveniencia'!L$77:L$104)*_xlfn.XLOOKUP($P974,'Base Grupo de Produtos'!$E$23:$E$39,'Base Grupo de Produtos'!$F$23:$F$39)</f>
        <v>0</v>
      </c>
      <c r="Z974" s="56">
        <f>_xlfn.XLOOKUP($N974,'Calculo Leads Conveniencia'!$A$77:$A$104,'Calculo Leads Conveniencia'!M$77:M$104)*_xlfn.XLOOKUP($P974,'Base Grupo de Produtos'!$E$23:$E$39,'Base Grupo de Produtos'!$F$23:$F$39)</f>
        <v>0</v>
      </c>
      <c r="AA974" s="56">
        <f>_xlfn.XLOOKUP($N974,'Calculo Leads Conveniencia'!$A$77:$A$104,'Calculo Leads Conveniencia'!N$77:N$104)*_xlfn.XLOOKUP($P974,'Base Grupo de Produtos'!$E$23:$E$39,'Base Grupo de Produtos'!$F$23:$F$39)</f>
        <v>0</v>
      </c>
      <c r="AB974" s="56">
        <f>_xlfn.XLOOKUP($N974,'Calculo Leads Conveniencia'!$A$77:$A$104,'Calculo Leads Conveniencia'!O$77:O$104)*_xlfn.XLOOKUP($P974,'Base Grupo de Produtos'!$E$23:$E$39,'Base Grupo de Produtos'!$F$23:$F$39)</f>
        <v>0</v>
      </c>
      <c r="AC974" s="61">
        <f t="shared" si="948"/>
        <v>0</v>
      </c>
      <c r="AD974" s="28"/>
      <c r="AE974" s="12"/>
      <c r="AF974" s="29"/>
      <c r="AG974" s="9"/>
      <c r="AH974" s="10"/>
      <c r="AI974" s="9"/>
      <c r="AJ974" s="11"/>
      <c r="AK974" s="9"/>
      <c r="AL974" s="13"/>
      <c r="AM974" s="9"/>
    </row>
    <row r="975" spans="1:39" x14ac:dyDescent="0.3">
      <c r="A975" s="2" t="str">
        <f t="shared" si="920"/>
        <v>SIM</v>
      </c>
      <c r="B975" s="2" t="str">
        <f>_xlfn.XLOOKUP($N975,'Base de Grupos'!$A:$A,'Base de Grupos'!$D:$D)</f>
        <v>1000065763</v>
      </c>
      <c r="C975" s="5" t="str">
        <f>_xlfn.XLOOKUP($N975,'Base de Grupos'!$A:$A,'Base de Grupos'!$E:$E)</f>
        <v>CANAL VENDA INTERNA</v>
      </c>
      <c r="D975" s="5" t="str">
        <f>_xlfn.XLOOKUP($N975,'Base de Grupos'!$A:$A,'Base de Grupos'!$F:$F)</f>
        <v>1000065763</v>
      </c>
      <c r="E975" s="2" t="str">
        <f>_xlfn.XLOOKUP($N975,'Base de Grupos'!$A:$A,'Base de Grupos'!$G:$G)</f>
        <v>CANAL VENDA INTERNA</v>
      </c>
      <c r="F975" s="2" t="str">
        <f>_xlfn.XLOOKUP($N975,'Base de Grupos'!$A:$A,'Base de Grupos'!$H:$H)</f>
        <v>1000174119</v>
      </c>
      <c r="G975" s="5" t="str">
        <f>_xlfn.XLOOKUP($N975,'Base de Grupos'!$A:$A,'Base de Grupos'!$I:$I)</f>
        <v>REGIONAL VENDA INTERNA - CONVENIENCIA</v>
      </c>
      <c r="H975" s="5" t="str">
        <f>_xlfn.XLOOKUP($N975,'Base de Grupos'!$A:$A,'Base de Grupos'!$J:$J)</f>
        <v>1000174119</v>
      </c>
      <c r="I975" s="2" t="str">
        <f>_xlfn.XLOOKUP($N975,'Base de Grupos'!$A:$A,'Base de Grupos'!$K:$K)</f>
        <v>REGIONAL VENDA INTERNA - CONVENIENCIA</v>
      </c>
      <c r="J975" s="2" t="str">
        <f>_xlfn.XLOOKUP($N975,'Base de Grupos'!$A:$A,'Base de Grupos'!$L:$L)</f>
        <v>1000174119</v>
      </c>
      <c r="K975" s="5" t="str">
        <f>_xlfn.XLOOKUP($N975,'Base de Grupos'!$A:$A,'Base de Grupos'!$M:$M)</f>
        <v>REGIONAL VENDA INTERNA - CONVENIENCIA</v>
      </c>
      <c r="L975" s="5">
        <f t="shared" si="921"/>
        <v>1</v>
      </c>
      <c r="M975" s="5" t="str">
        <f>_xlfn.XLOOKUP($N975,'Base de Grupos'!$A:$A,'Base de Grupos'!$C:$C)</f>
        <v>MS</v>
      </c>
      <c r="N975" s="3">
        <v>1519</v>
      </c>
      <c r="O975" s="4" t="s">
        <v>278</v>
      </c>
      <c r="P975" s="5" t="s">
        <v>348</v>
      </c>
      <c r="Q975" s="56">
        <f t="shared" ref="Q975" si="949">SUM(Q976:Q992)</f>
        <v>0</v>
      </c>
      <c r="R975" s="56">
        <f t="shared" ref="R975" si="950">SUM(R976:R992)</f>
        <v>0</v>
      </c>
      <c r="S975" s="56">
        <f t="shared" ref="S975" si="951">SUM(S976:S992)</f>
        <v>0</v>
      </c>
      <c r="T975" s="56">
        <f t="shared" ref="T975" si="952">SUM(T976:T992)</f>
        <v>0</v>
      </c>
      <c r="U975" s="56">
        <f t="shared" ref="U975" si="953">SUM(U976:U992)</f>
        <v>0</v>
      </c>
      <c r="V975" s="56">
        <f t="shared" ref="V975" si="954">SUM(V976:V992)</f>
        <v>0</v>
      </c>
      <c r="W975" s="56">
        <f t="shared" ref="W975" si="955">SUM(W976:W992)</f>
        <v>0</v>
      </c>
      <c r="X975" s="56">
        <f t="shared" ref="X975" si="956">SUM(X976:X992)</f>
        <v>0</v>
      </c>
      <c r="Y975" s="56">
        <f t="shared" ref="Y975" si="957">SUM(Y976:Y992)</f>
        <v>0</v>
      </c>
      <c r="Z975" s="56">
        <f t="shared" ref="Z975" si="958">SUM(Z976:Z992)</f>
        <v>0</v>
      </c>
      <c r="AA975" s="56">
        <f t="shared" ref="AA975" si="959">SUM(AA976:AA992)</f>
        <v>0</v>
      </c>
      <c r="AB975" s="56">
        <f t="shared" ref="AB975" si="960">SUM(AB976:AB992)</f>
        <v>0</v>
      </c>
      <c r="AC975" s="56">
        <f t="shared" ref="AC975" si="961">SUM(AC976:AC992)</f>
        <v>0</v>
      </c>
      <c r="AD975" s="28"/>
      <c r="AE975" s="12"/>
      <c r="AF975" s="29"/>
      <c r="AG975" s="9"/>
      <c r="AH975" s="10"/>
      <c r="AI975" s="9"/>
      <c r="AJ975" s="11"/>
      <c r="AK975" s="9"/>
      <c r="AL975" s="13"/>
      <c r="AM975" s="9"/>
    </row>
    <row r="976" spans="1:39" x14ac:dyDescent="0.3">
      <c r="A976" s="2" t="str">
        <f t="shared" si="920"/>
        <v>NÃO</v>
      </c>
      <c r="B976" s="2" t="str">
        <f>_xlfn.XLOOKUP($N976,'Base de Grupos'!$A:$A,'Base de Grupos'!$D:$D)</f>
        <v>1000065763</v>
      </c>
      <c r="C976" s="5" t="str">
        <f>_xlfn.XLOOKUP($N976,'Base de Grupos'!$A:$A,'Base de Grupos'!$E:$E)</f>
        <v>CANAL VENDA INTERNA</v>
      </c>
      <c r="D976" s="5" t="str">
        <f>_xlfn.XLOOKUP($N976,'Base de Grupos'!$A:$A,'Base de Grupos'!$F:$F)</f>
        <v>1000065763</v>
      </c>
      <c r="E976" s="2" t="str">
        <f>_xlfn.XLOOKUP($N976,'Base de Grupos'!$A:$A,'Base de Grupos'!$G:$G)</f>
        <v>CANAL VENDA INTERNA</v>
      </c>
      <c r="F976" s="2" t="str">
        <f>_xlfn.XLOOKUP($N976,'Base de Grupos'!$A:$A,'Base de Grupos'!$H:$H)</f>
        <v>1000174119</v>
      </c>
      <c r="G976" s="5" t="str">
        <f>_xlfn.XLOOKUP($N976,'Base de Grupos'!$A:$A,'Base de Grupos'!$I:$I)</f>
        <v>REGIONAL VENDA INTERNA - CONVENIENCIA</v>
      </c>
      <c r="H976" s="5" t="str">
        <f>_xlfn.XLOOKUP($N976,'Base de Grupos'!$A:$A,'Base de Grupos'!$J:$J)</f>
        <v>1000174119</v>
      </c>
      <c r="I976" s="2" t="str">
        <f>_xlfn.XLOOKUP($N976,'Base de Grupos'!$A:$A,'Base de Grupos'!$K:$K)</f>
        <v>REGIONAL VENDA INTERNA - CONVENIENCIA</v>
      </c>
      <c r="J976" s="2" t="str">
        <f>_xlfn.XLOOKUP($N976,'Base de Grupos'!$A:$A,'Base de Grupos'!$L:$L)</f>
        <v>1000174119</v>
      </c>
      <c r="K976" s="5" t="str">
        <f>_xlfn.XLOOKUP($N976,'Base de Grupos'!$A:$A,'Base de Grupos'!$M:$M)</f>
        <v>REGIONAL VENDA INTERNA - CONVENIENCIA</v>
      </c>
      <c r="L976" s="5" t="str">
        <f t="shared" si="921"/>
        <v/>
      </c>
      <c r="M976" s="5" t="str">
        <f>_xlfn.XLOOKUP($N976,'Base de Grupos'!$A:$A,'Base de Grupos'!$C:$C)</f>
        <v>MS</v>
      </c>
      <c r="N976" s="3">
        <v>1519</v>
      </c>
      <c r="O976" s="4" t="s">
        <v>278</v>
      </c>
      <c r="P976" s="5" t="s">
        <v>81</v>
      </c>
      <c r="Q976" s="56">
        <v>0</v>
      </c>
      <c r="R976" s="56">
        <v>0</v>
      </c>
      <c r="S976" s="56">
        <v>0</v>
      </c>
      <c r="T976" s="56">
        <f>_xlfn.XLOOKUP($N976,'Calculo Leads Conveniencia'!$A$77:$A$104,'Calculo Leads Conveniencia'!G$77:G$104)*_xlfn.XLOOKUP($P976,'Base Grupo de Produtos'!$E$23:$E$39,'Base Grupo de Produtos'!$F$23:$F$39)</f>
        <v>0</v>
      </c>
      <c r="U976" s="56">
        <f>_xlfn.XLOOKUP($N976,'Calculo Leads Conveniencia'!$A$77:$A$104,'Calculo Leads Conveniencia'!H$77:H$104)*_xlfn.XLOOKUP($P976,'Base Grupo de Produtos'!$E$23:$E$39,'Base Grupo de Produtos'!$F$23:$F$39)</f>
        <v>0</v>
      </c>
      <c r="V976" s="56">
        <f>_xlfn.XLOOKUP($N976,'Calculo Leads Conveniencia'!$A$77:$A$104,'Calculo Leads Conveniencia'!I$77:I$104)*_xlfn.XLOOKUP($P976,'Base Grupo de Produtos'!$E$23:$E$39,'Base Grupo de Produtos'!$F$23:$F$39)</f>
        <v>0</v>
      </c>
      <c r="W976" s="56">
        <f>_xlfn.XLOOKUP($N976,'Calculo Leads Conveniencia'!$A$77:$A$104,'Calculo Leads Conveniencia'!J$77:J$104)*_xlfn.XLOOKUP($P976,'Base Grupo de Produtos'!$E$23:$E$39,'Base Grupo de Produtos'!$F$23:$F$39)</f>
        <v>0</v>
      </c>
      <c r="X976" s="56">
        <f>_xlfn.XLOOKUP($N976,'Calculo Leads Conveniencia'!$A$77:$A$104,'Calculo Leads Conveniencia'!K$77:K$104)*_xlfn.XLOOKUP($P976,'Base Grupo de Produtos'!$E$23:$E$39,'Base Grupo de Produtos'!$F$23:$F$39)</f>
        <v>0</v>
      </c>
      <c r="Y976" s="56">
        <f>_xlfn.XLOOKUP($N976,'Calculo Leads Conveniencia'!$A$77:$A$104,'Calculo Leads Conveniencia'!L$77:L$104)*_xlfn.XLOOKUP($P976,'Base Grupo de Produtos'!$E$23:$E$39,'Base Grupo de Produtos'!$F$23:$F$39)</f>
        <v>0</v>
      </c>
      <c r="Z976" s="56">
        <f>_xlfn.XLOOKUP($N976,'Calculo Leads Conveniencia'!$A$77:$A$104,'Calculo Leads Conveniencia'!M$77:M$104)*_xlfn.XLOOKUP($P976,'Base Grupo de Produtos'!$E$23:$E$39,'Base Grupo de Produtos'!$F$23:$F$39)</f>
        <v>0</v>
      </c>
      <c r="AA976" s="56">
        <f>_xlfn.XLOOKUP($N976,'Calculo Leads Conveniencia'!$A$77:$A$104,'Calculo Leads Conveniencia'!N$77:N$104)*_xlfn.XLOOKUP($P976,'Base Grupo de Produtos'!$E$23:$E$39,'Base Grupo de Produtos'!$F$23:$F$39)</f>
        <v>0</v>
      </c>
      <c r="AB976" s="56">
        <f>_xlfn.XLOOKUP($N976,'Calculo Leads Conveniencia'!$A$77:$A$104,'Calculo Leads Conveniencia'!O$77:O$104)*_xlfn.XLOOKUP($P976,'Base Grupo de Produtos'!$E$23:$E$39,'Base Grupo de Produtos'!$F$23:$F$39)</f>
        <v>0</v>
      </c>
      <c r="AC976" s="61">
        <f t="shared" si="948"/>
        <v>0</v>
      </c>
      <c r="AD976" s="28"/>
      <c r="AE976" s="12"/>
      <c r="AF976" s="29"/>
      <c r="AG976" s="9"/>
      <c r="AH976" s="10"/>
      <c r="AI976" s="9"/>
      <c r="AJ976" s="11"/>
      <c r="AK976" s="9"/>
      <c r="AL976" s="13"/>
      <c r="AM976" s="9"/>
    </row>
    <row r="977" spans="1:39" x14ac:dyDescent="0.3">
      <c r="A977" s="2" t="str">
        <f t="shared" si="920"/>
        <v>NÃO</v>
      </c>
      <c r="B977" s="2" t="str">
        <f>_xlfn.XLOOKUP($N977,'Base de Grupos'!$A:$A,'Base de Grupos'!$D:$D)</f>
        <v>1000065763</v>
      </c>
      <c r="C977" s="5" t="str">
        <f>_xlfn.XLOOKUP($N977,'Base de Grupos'!$A:$A,'Base de Grupos'!$E:$E)</f>
        <v>CANAL VENDA INTERNA</v>
      </c>
      <c r="D977" s="5" t="str">
        <f>_xlfn.XLOOKUP($N977,'Base de Grupos'!$A:$A,'Base de Grupos'!$F:$F)</f>
        <v>1000065763</v>
      </c>
      <c r="E977" s="2" t="str">
        <f>_xlfn.XLOOKUP($N977,'Base de Grupos'!$A:$A,'Base de Grupos'!$G:$G)</f>
        <v>CANAL VENDA INTERNA</v>
      </c>
      <c r="F977" s="2" t="str">
        <f>_xlfn.XLOOKUP($N977,'Base de Grupos'!$A:$A,'Base de Grupos'!$H:$H)</f>
        <v>1000174119</v>
      </c>
      <c r="G977" s="5" t="str">
        <f>_xlfn.XLOOKUP($N977,'Base de Grupos'!$A:$A,'Base de Grupos'!$I:$I)</f>
        <v>REGIONAL VENDA INTERNA - CONVENIENCIA</v>
      </c>
      <c r="H977" s="5" t="str">
        <f>_xlfn.XLOOKUP($N977,'Base de Grupos'!$A:$A,'Base de Grupos'!$J:$J)</f>
        <v>1000174119</v>
      </c>
      <c r="I977" s="2" t="str">
        <f>_xlfn.XLOOKUP($N977,'Base de Grupos'!$A:$A,'Base de Grupos'!$K:$K)</f>
        <v>REGIONAL VENDA INTERNA - CONVENIENCIA</v>
      </c>
      <c r="J977" s="2" t="str">
        <f>_xlfn.XLOOKUP($N977,'Base de Grupos'!$A:$A,'Base de Grupos'!$L:$L)</f>
        <v>1000174119</v>
      </c>
      <c r="K977" s="5" t="str">
        <f>_xlfn.XLOOKUP($N977,'Base de Grupos'!$A:$A,'Base de Grupos'!$M:$M)</f>
        <v>REGIONAL VENDA INTERNA - CONVENIENCIA</v>
      </c>
      <c r="L977" s="5" t="str">
        <f t="shared" si="921"/>
        <v/>
      </c>
      <c r="M977" s="5" t="str">
        <f>_xlfn.XLOOKUP($N977,'Base de Grupos'!$A:$A,'Base de Grupos'!$C:$C)</f>
        <v>MS</v>
      </c>
      <c r="N977" s="3">
        <v>1519</v>
      </c>
      <c r="O977" s="4" t="s">
        <v>278</v>
      </c>
      <c r="P977" s="5" t="s">
        <v>82</v>
      </c>
      <c r="Q977" s="56">
        <v>0</v>
      </c>
      <c r="R977" s="56">
        <v>0</v>
      </c>
      <c r="S977" s="56">
        <v>0</v>
      </c>
      <c r="T977" s="56">
        <f>_xlfn.XLOOKUP($N977,'Calculo Leads Conveniencia'!$A$77:$A$104,'Calculo Leads Conveniencia'!G$77:G$104)*_xlfn.XLOOKUP($P977,'Base Grupo de Produtos'!$E$23:$E$39,'Base Grupo de Produtos'!$F$23:$F$39)</f>
        <v>0</v>
      </c>
      <c r="U977" s="56">
        <f>_xlfn.XLOOKUP($N977,'Calculo Leads Conveniencia'!$A$77:$A$104,'Calculo Leads Conveniencia'!H$77:H$104)*_xlfn.XLOOKUP($P977,'Base Grupo de Produtos'!$E$23:$E$39,'Base Grupo de Produtos'!$F$23:$F$39)</f>
        <v>0</v>
      </c>
      <c r="V977" s="56">
        <f>_xlfn.XLOOKUP($N977,'Calculo Leads Conveniencia'!$A$77:$A$104,'Calculo Leads Conveniencia'!I$77:I$104)*_xlfn.XLOOKUP($P977,'Base Grupo de Produtos'!$E$23:$E$39,'Base Grupo de Produtos'!$F$23:$F$39)</f>
        <v>0</v>
      </c>
      <c r="W977" s="56">
        <f>_xlfn.XLOOKUP($N977,'Calculo Leads Conveniencia'!$A$77:$A$104,'Calculo Leads Conveniencia'!J$77:J$104)*_xlfn.XLOOKUP($P977,'Base Grupo de Produtos'!$E$23:$E$39,'Base Grupo de Produtos'!$F$23:$F$39)</f>
        <v>0</v>
      </c>
      <c r="X977" s="56">
        <f>_xlfn.XLOOKUP($N977,'Calculo Leads Conveniencia'!$A$77:$A$104,'Calculo Leads Conveniencia'!K$77:K$104)*_xlfn.XLOOKUP($P977,'Base Grupo de Produtos'!$E$23:$E$39,'Base Grupo de Produtos'!$F$23:$F$39)</f>
        <v>0</v>
      </c>
      <c r="Y977" s="56">
        <f>_xlfn.XLOOKUP($N977,'Calculo Leads Conveniencia'!$A$77:$A$104,'Calculo Leads Conveniencia'!L$77:L$104)*_xlfn.XLOOKUP($P977,'Base Grupo de Produtos'!$E$23:$E$39,'Base Grupo de Produtos'!$F$23:$F$39)</f>
        <v>0</v>
      </c>
      <c r="Z977" s="56">
        <f>_xlfn.XLOOKUP($N977,'Calculo Leads Conveniencia'!$A$77:$A$104,'Calculo Leads Conveniencia'!M$77:M$104)*_xlfn.XLOOKUP($P977,'Base Grupo de Produtos'!$E$23:$E$39,'Base Grupo de Produtos'!$F$23:$F$39)</f>
        <v>0</v>
      </c>
      <c r="AA977" s="56">
        <f>_xlfn.XLOOKUP($N977,'Calculo Leads Conveniencia'!$A$77:$A$104,'Calculo Leads Conveniencia'!N$77:N$104)*_xlfn.XLOOKUP($P977,'Base Grupo de Produtos'!$E$23:$E$39,'Base Grupo de Produtos'!$F$23:$F$39)</f>
        <v>0</v>
      </c>
      <c r="AB977" s="56">
        <f>_xlfn.XLOOKUP($N977,'Calculo Leads Conveniencia'!$A$77:$A$104,'Calculo Leads Conveniencia'!O$77:O$104)*_xlfn.XLOOKUP($P977,'Base Grupo de Produtos'!$E$23:$E$39,'Base Grupo de Produtos'!$F$23:$F$39)</f>
        <v>0</v>
      </c>
      <c r="AC977" s="61">
        <f t="shared" si="948"/>
        <v>0</v>
      </c>
      <c r="AD977" s="28"/>
      <c r="AE977" s="12"/>
      <c r="AF977" s="29"/>
      <c r="AG977" s="9"/>
      <c r="AH977" s="10"/>
      <c r="AI977" s="9"/>
      <c r="AJ977" s="11"/>
      <c r="AK977" s="9"/>
      <c r="AL977" s="13"/>
      <c r="AM977" s="9"/>
    </row>
    <row r="978" spans="1:39" x14ac:dyDescent="0.3">
      <c r="A978" s="2" t="str">
        <f t="shared" si="920"/>
        <v>NÃO</v>
      </c>
      <c r="B978" s="2" t="str">
        <f>_xlfn.XLOOKUP($N978,'Base de Grupos'!$A:$A,'Base de Grupos'!$D:$D)</f>
        <v>1000065763</v>
      </c>
      <c r="C978" s="5" t="str">
        <f>_xlfn.XLOOKUP($N978,'Base de Grupos'!$A:$A,'Base de Grupos'!$E:$E)</f>
        <v>CANAL VENDA INTERNA</v>
      </c>
      <c r="D978" s="5" t="str">
        <f>_xlfn.XLOOKUP($N978,'Base de Grupos'!$A:$A,'Base de Grupos'!$F:$F)</f>
        <v>1000065763</v>
      </c>
      <c r="E978" s="2" t="str">
        <f>_xlfn.XLOOKUP($N978,'Base de Grupos'!$A:$A,'Base de Grupos'!$G:$G)</f>
        <v>CANAL VENDA INTERNA</v>
      </c>
      <c r="F978" s="2" t="str">
        <f>_xlfn.XLOOKUP($N978,'Base de Grupos'!$A:$A,'Base de Grupos'!$H:$H)</f>
        <v>1000174119</v>
      </c>
      <c r="G978" s="5" t="str">
        <f>_xlfn.XLOOKUP($N978,'Base de Grupos'!$A:$A,'Base de Grupos'!$I:$I)</f>
        <v>REGIONAL VENDA INTERNA - CONVENIENCIA</v>
      </c>
      <c r="H978" s="5" t="str">
        <f>_xlfn.XLOOKUP($N978,'Base de Grupos'!$A:$A,'Base de Grupos'!$J:$J)</f>
        <v>1000174119</v>
      </c>
      <c r="I978" s="2" t="str">
        <f>_xlfn.XLOOKUP($N978,'Base de Grupos'!$A:$A,'Base de Grupos'!$K:$K)</f>
        <v>REGIONAL VENDA INTERNA - CONVENIENCIA</v>
      </c>
      <c r="J978" s="2" t="str">
        <f>_xlfn.XLOOKUP($N978,'Base de Grupos'!$A:$A,'Base de Grupos'!$L:$L)</f>
        <v>1000174119</v>
      </c>
      <c r="K978" s="5" t="str">
        <f>_xlfn.XLOOKUP($N978,'Base de Grupos'!$A:$A,'Base de Grupos'!$M:$M)</f>
        <v>REGIONAL VENDA INTERNA - CONVENIENCIA</v>
      </c>
      <c r="L978" s="5" t="str">
        <f t="shared" si="921"/>
        <v/>
      </c>
      <c r="M978" s="5" t="str">
        <f>_xlfn.XLOOKUP($N978,'Base de Grupos'!$A:$A,'Base de Grupos'!$C:$C)</f>
        <v>MS</v>
      </c>
      <c r="N978" s="3">
        <v>1519</v>
      </c>
      <c r="O978" s="4" t="s">
        <v>278</v>
      </c>
      <c r="P978" s="5" t="s">
        <v>84</v>
      </c>
      <c r="Q978" s="56">
        <v>0</v>
      </c>
      <c r="R978" s="56">
        <v>0</v>
      </c>
      <c r="S978" s="56">
        <v>0</v>
      </c>
      <c r="T978" s="56">
        <f>_xlfn.XLOOKUP($N978,'Calculo Leads Conveniencia'!$A$77:$A$104,'Calculo Leads Conveniencia'!G$77:G$104)*_xlfn.XLOOKUP($P978,'Base Grupo de Produtos'!$E$23:$E$39,'Base Grupo de Produtos'!$F$23:$F$39)</f>
        <v>0</v>
      </c>
      <c r="U978" s="56">
        <f>_xlfn.XLOOKUP($N978,'Calculo Leads Conveniencia'!$A$77:$A$104,'Calculo Leads Conveniencia'!H$77:H$104)*_xlfn.XLOOKUP($P978,'Base Grupo de Produtos'!$E$23:$E$39,'Base Grupo de Produtos'!$F$23:$F$39)</f>
        <v>0</v>
      </c>
      <c r="V978" s="56">
        <f>_xlfn.XLOOKUP($N978,'Calculo Leads Conveniencia'!$A$77:$A$104,'Calculo Leads Conveniencia'!I$77:I$104)*_xlfn.XLOOKUP($P978,'Base Grupo de Produtos'!$E$23:$E$39,'Base Grupo de Produtos'!$F$23:$F$39)</f>
        <v>0</v>
      </c>
      <c r="W978" s="56">
        <f>_xlfn.XLOOKUP($N978,'Calculo Leads Conveniencia'!$A$77:$A$104,'Calculo Leads Conveniencia'!J$77:J$104)*_xlfn.XLOOKUP($P978,'Base Grupo de Produtos'!$E$23:$E$39,'Base Grupo de Produtos'!$F$23:$F$39)</f>
        <v>0</v>
      </c>
      <c r="X978" s="56">
        <f>_xlfn.XLOOKUP($N978,'Calculo Leads Conveniencia'!$A$77:$A$104,'Calculo Leads Conveniencia'!K$77:K$104)*_xlfn.XLOOKUP($P978,'Base Grupo de Produtos'!$E$23:$E$39,'Base Grupo de Produtos'!$F$23:$F$39)</f>
        <v>0</v>
      </c>
      <c r="Y978" s="56">
        <f>_xlfn.XLOOKUP($N978,'Calculo Leads Conveniencia'!$A$77:$A$104,'Calculo Leads Conveniencia'!L$77:L$104)*_xlfn.XLOOKUP($P978,'Base Grupo de Produtos'!$E$23:$E$39,'Base Grupo de Produtos'!$F$23:$F$39)</f>
        <v>0</v>
      </c>
      <c r="Z978" s="56">
        <f>_xlfn.XLOOKUP($N978,'Calculo Leads Conveniencia'!$A$77:$A$104,'Calculo Leads Conveniencia'!M$77:M$104)*_xlfn.XLOOKUP($P978,'Base Grupo de Produtos'!$E$23:$E$39,'Base Grupo de Produtos'!$F$23:$F$39)</f>
        <v>0</v>
      </c>
      <c r="AA978" s="56">
        <f>_xlfn.XLOOKUP($N978,'Calculo Leads Conveniencia'!$A$77:$A$104,'Calculo Leads Conveniencia'!N$77:N$104)*_xlfn.XLOOKUP($P978,'Base Grupo de Produtos'!$E$23:$E$39,'Base Grupo de Produtos'!$F$23:$F$39)</f>
        <v>0</v>
      </c>
      <c r="AB978" s="56">
        <f>_xlfn.XLOOKUP($N978,'Calculo Leads Conveniencia'!$A$77:$A$104,'Calculo Leads Conveniencia'!O$77:O$104)*_xlfn.XLOOKUP($P978,'Base Grupo de Produtos'!$E$23:$E$39,'Base Grupo de Produtos'!$F$23:$F$39)</f>
        <v>0</v>
      </c>
      <c r="AC978" s="61">
        <f t="shared" si="948"/>
        <v>0</v>
      </c>
      <c r="AD978" s="28"/>
      <c r="AE978" s="12"/>
      <c r="AF978" s="29"/>
      <c r="AG978" s="9"/>
      <c r="AH978" s="10"/>
      <c r="AI978" s="9"/>
      <c r="AJ978" s="11"/>
      <c r="AK978" s="9"/>
      <c r="AL978" s="13"/>
      <c r="AM978" s="9"/>
    </row>
    <row r="979" spans="1:39" x14ac:dyDescent="0.3">
      <c r="A979" s="2" t="str">
        <f t="shared" si="920"/>
        <v>NÃO</v>
      </c>
      <c r="B979" s="2" t="str">
        <f>_xlfn.XLOOKUP($N979,'Base de Grupos'!$A:$A,'Base de Grupos'!$D:$D)</f>
        <v>1000065763</v>
      </c>
      <c r="C979" s="5" t="str">
        <f>_xlfn.XLOOKUP($N979,'Base de Grupos'!$A:$A,'Base de Grupos'!$E:$E)</f>
        <v>CANAL VENDA INTERNA</v>
      </c>
      <c r="D979" s="5" t="str">
        <f>_xlfn.XLOOKUP($N979,'Base de Grupos'!$A:$A,'Base de Grupos'!$F:$F)</f>
        <v>1000065763</v>
      </c>
      <c r="E979" s="2" t="str">
        <f>_xlfn.XLOOKUP($N979,'Base de Grupos'!$A:$A,'Base de Grupos'!$G:$G)</f>
        <v>CANAL VENDA INTERNA</v>
      </c>
      <c r="F979" s="2" t="str">
        <f>_xlfn.XLOOKUP($N979,'Base de Grupos'!$A:$A,'Base de Grupos'!$H:$H)</f>
        <v>1000174119</v>
      </c>
      <c r="G979" s="5" t="str">
        <f>_xlfn.XLOOKUP($N979,'Base de Grupos'!$A:$A,'Base de Grupos'!$I:$I)</f>
        <v>REGIONAL VENDA INTERNA - CONVENIENCIA</v>
      </c>
      <c r="H979" s="5" t="str">
        <f>_xlfn.XLOOKUP($N979,'Base de Grupos'!$A:$A,'Base de Grupos'!$J:$J)</f>
        <v>1000174119</v>
      </c>
      <c r="I979" s="2" t="str">
        <f>_xlfn.XLOOKUP($N979,'Base de Grupos'!$A:$A,'Base de Grupos'!$K:$K)</f>
        <v>REGIONAL VENDA INTERNA - CONVENIENCIA</v>
      </c>
      <c r="J979" s="2" t="str">
        <f>_xlfn.XLOOKUP($N979,'Base de Grupos'!$A:$A,'Base de Grupos'!$L:$L)</f>
        <v>1000174119</v>
      </c>
      <c r="K979" s="5" t="str">
        <f>_xlfn.XLOOKUP($N979,'Base de Grupos'!$A:$A,'Base de Grupos'!$M:$M)</f>
        <v>REGIONAL VENDA INTERNA - CONVENIENCIA</v>
      </c>
      <c r="L979" s="5" t="str">
        <f t="shared" si="921"/>
        <v/>
      </c>
      <c r="M979" s="5" t="str">
        <f>_xlfn.XLOOKUP($N979,'Base de Grupos'!$A:$A,'Base de Grupos'!$C:$C)</f>
        <v>MS</v>
      </c>
      <c r="N979" s="3">
        <v>1519</v>
      </c>
      <c r="O979" s="4" t="s">
        <v>278</v>
      </c>
      <c r="P979" s="5" t="s">
        <v>83</v>
      </c>
      <c r="Q979" s="56">
        <v>0</v>
      </c>
      <c r="R979" s="56">
        <v>0</v>
      </c>
      <c r="S979" s="56">
        <v>0</v>
      </c>
      <c r="T979" s="56">
        <f>_xlfn.XLOOKUP($N979,'Calculo Leads Conveniencia'!$A$77:$A$104,'Calculo Leads Conveniencia'!G$77:G$104)*_xlfn.XLOOKUP($P979,'Base Grupo de Produtos'!$E$23:$E$39,'Base Grupo de Produtos'!$F$23:$F$39)</f>
        <v>0</v>
      </c>
      <c r="U979" s="56">
        <f>_xlfn.XLOOKUP($N979,'Calculo Leads Conveniencia'!$A$77:$A$104,'Calculo Leads Conveniencia'!H$77:H$104)*_xlfn.XLOOKUP($P979,'Base Grupo de Produtos'!$E$23:$E$39,'Base Grupo de Produtos'!$F$23:$F$39)</f>
        <v>0</v>
      </c>
      <c r="V979" s="56">
        <f>_xlfn.XLOOKUP($N979,'Calculo Leads Conveniencia'!$A$77:$A$104,'Calculo Leads Conveniencia'!I$77:I$104)*_xlfn.XLOOKUP($P979,'Base Grupo de Produtos'!$E$23:$E$39,'Base Grupo de Produtos'!$F$23:$F$39)</f>
        <v>0</v>
      </c>
      <c r="W979" s="56">
        <f>_xlfn.XLOOKUP($N979,'Calculo Leads Conveniencia'!$A$77:$A$104,'Calculo Leads Conveniencia'!J$77:J$104)*_xlfn.XLOOKUP($P979,'Base Grupo de Produtos'!$E$23:$E$39,'Base Grupo de Produtos'!$F$23:$F$39)</f>
        <v>0</v>
      </c>
      <c r="X979" s="56">
        <f>_xlfn.XLOOKUP($N979,'Calculo Leads Conveniencia'!$A$77:$A$104,'Calculo Leads Conveniencia'!K$77:K$104)*_xlfn.XLOOKUP($P979,'Base Grupo de Produtos'!$E$23:$E$39,'Base Grupo de Produtos'!$F$23:$F$39)</f>
        <v>0</v>
      </c>
      <c r="Y979" s="56">
        <f>_xlfn.XLOOKUP($N979,'Calculo Leads Conveniencia'!$A$77:$A$104,'Calculo Leads Conveniencia'!L$77:L$104)*_xlfn.XLOOKUP($P979,'Base Grupo de Produtos'!$E$23:$E$39,'Base Grupo de Produtos'!$F$23:$F$39)</f>
        <v>0</v>
      </c>
      <c r="Z979" s="56">
        <f>_xlfn.XLOOKUP($N979,'Calculo Leads Conveniencia'!$A$77:$A$104,'Calculo Leads Conveniencia'!M$77:M$104)*_xlfn.XLOOKUP($P979,'Base Grupo de Produtos'!$E$23:$E$39,'Base Grupo de Produtos'!$F$23:$F$39)</f>
        <v>0</v>
      </c>
      <c r="AA979" s="56">
        <f>_xlfn.XLOOKUP($N979,'Calculo Leads Conveniencia'!$A$77:$A$104,'Calculo Leads Conveniencia'!N$77:N$104)*_xlfn.XLOOKUP($P979,'Base Grupo de Produtos'!$E$23:$E$39,'Base Grupo de Produtos'!$F$23:$F$39)</f>
        <v>0</v>
      </c>
      <c r="AB979" s="56">
        <f>_xlfn.XLOOKUP($N979,'Calculo Leads Conveniencia'!$A$77:$A$104,'Calculo Leads Conveniencia'!O$77:O$104)*_xlfn.XLOOKUP($P979,'Base Grupo de Produtos'!$E$23:$E$39,'Base Grupo de Produtos'!$F$23:$F$39)</f>
        <v>0</v>
      </c>
      <c r="AC979" s="61">
        <f t="shared" si="948"/>
        <v>0</v>
      </c>
      <c r="AD979" s="28"/>
      <c r="AE979" s="12"/>
      <c r="AF979" s="29"/>
      <c r="AG979" s="9"/>
      <c r="AH979" s="10"/>
      <c r="AI979" s="9"/>
      <c r="AJ979" s="11"/>
      <c r="AK979" s="9"/>
      <c r="AL979" s="13"/>
      <c r="AM979" s="9"/>
    </row>
    <row r="980" spans="1:39" x14ac:dyDescent="0.3">
      <c r="A980" s="2" t="str">
        <f t="shared" si="920"/>
        <v>NÃO</v>
      </c>
      <c r="B980" s="2" t="str">
        <f>_xlfn.XLOOKUP($N980,'Base de Grupos'!$A:$A,'Base de Grupos'!$D:$D)</f>
        <v>1000065763</v>
      </c>
      <c r="C980" s="5" t="str">
        <f>_xlfn.XLOOKUP($N980,'Base de Grupos'!$A:$A,'Base de Grupos'!$E:$E)</f>
        <v>CANAL VENDA INTERNA</v>
      </c>
      <c r="D980" s="5" t="str">
        <f>_xlfn.XLOOKUP($N980,'Base de Grupos'!$A:$A,'Base de Grupos'!$F:$F)</f>
        <v>1000065763</v>
      </c>
      <c r="E980" s="2" t="str">
        <f>_xlfn.XLOOKUP($N980,'Base de Grupos'!$A:$A,'Base de Grupos'!$G:$G)</f>
        <v>CANAL VENDA INTERNA</v>
      </c>
      <c r="F980" s="2" t="str">
        <f>_xlfn.XLOOKUP($N980,'Base de Grupos'!$A:$A,'Base de Grupos'!$H:$H)</f>
        <v>1000174119</v>
      </c>
      <c r="G980" s="5" t="str">
        <f>_xlfn.XLOOKUP($N980,'Base de Grupos'!$A:$A,'Base de Grupos'!$I:$I)</f>
        <v>REGIONAL VENDA INTERNA - CONVENIENCIA</v>
      </c>
      <c r="H980" s="5" t="str">
        <f>_xlfn.XLOOKUP($N980,'Base de Grupos'!$A:$A,'Base de Grupos'!$J:$J)</f>
        <v>1000174119</v>
      </c>
      <c r="I980" s="2" t="str">
        <f>_xlfn.XLOOKUP($N980,'Base de Grupos'!$A:$A,'Base de Grupos'!$K:$K)</f>
        <v>REGIONAL VENDA INTERNA - CONVENIENCIA</v>
      </c>
      <c r="J980" s="2" t="str">
        <f>_xlfn.XLOOKUP($N980,'Base de Grupos'!$A:$A,'Base de Grupos'!$L:$L)</f>
        <v>1000174119</v>
      </c>
      <c r="K980" s="5" t="str">
        <f>_xlfn.XLOOKUP($N980,'Base de Grupos'!$A:$A,'Base de Grupos'!$M:$M)</f>
        <v>REGIONAL VENDA INTERNA - CONVENIENCIA</v>
      </c>
      <c r="L980" s="5" t="str">
        <f t="shared" si="921"/>
        <v/>
      </c>
      <c r="M980" s="5" t="str">
        <f>_xlfn.XLOOKUP($N980,'Base de Grupos'!$A:$A,'Base de Grupos'!$C:$C)</f>
        <v>MS</v>
      </c>
      <c r="N980" s="3">
        <v>1519</v>
      </c>
      <c r="O980" s="4" t="s">
        <v>278</v>
      </c>
      <c r="P980" s="5" t="s">
        <v>87</v>
      </c>
      <c r="Q980" s="56">
        <v>0</v>
      </c>
      <c r="R980" s="56">
        <v>0</v>
      </c>
      <c r="S980" s="56">
        <v>0</v>
      </c>
      <c r="T980" s="56">
        <f>_xlfn.XLOOKUP($N980,'Calculo Leads Conveniencia'!$A$77:$A$104,'Calculo Leads Conveniencia'!G$77:G$104)*_xlfn.XLOOKUP($P980,'Base Grupo de Produtos'!$E$23:$E$39,'Base Grupo de Produtos'!$F$23:$F$39)</f>
        <v>0</v>
      </c>
      <c r="U980" s="56">
        <f>_xlfn.XLOOKUP($N980,'Calculo Leads Conveniencia'!$A$77:$A$104,'Calculo Leads Conveniencia'!H$77:H$104)*_xlfn.XLOOKUP($P980,'Base Grupo de Produtos'!$E$23:$E$39,'Base Grupo de Produtos'!$F$23:$F$39)</f>
        <v>0</v>
      </c>
      <c r="V980" s="56">
        <f>_xlfn.XLOOKUP($N980,'Calculo Leads Conveniencia'!$A$77:$A$104,'Calculo Leads Conveniencia'!I$77:I$104)*_xlfn.XLOOKUP($P980,'Base Grupo de Produtos'!$E$23:$E$39,'Base Grupo de Produtos'!$F$23:$F$39)</f>
        <v>0</v>
      </c>
      <c r="W980" s="56">
        <f>_xlfn.XLOOKUP($N980,'Calculo Leads Conveniencia'!$A$77:$A$104,'Calculo Leads Conveniencia'!J$77:J$104)*_xlfn.XLOOKUP($P980,'Base Grupo de Produtos'!$E$23:$E$39,'Base Grupo de Produtos'!$F$23:$F$39)</f>
        <v>0</v>
      </c>
      <c r="X980" s="56">
        <f>_xlfn.XLOOKUP($N980,'Calculo Leads Conveniencia'!$A$77:$A$104,'Calculo Leads Conveniencia'!K$77:K$104)*_xlfn.XLOOKUP($P980,'Base Grupo de Produtos'!$E$23:$E$39,'Base Grupo de Produtos'!$F$23:$F$39)</f>
        <v>0</v>
      </c>
      <c r="Y980" s="56">
        <f>_xlfn.XLOOKUP($N980,'Calculo Leads Conveniencia'!$A$77:$A$104,'Calculo Leads Conveniencia'!L$77:L$104)*_xlfn.XLOOKUP($P980,'Base Grupo de Produtos'!$E$23:$E$39,'Base Grupo de Produtos'!$F$23:$F$39)</f>
        <v>0</v>
      </c>
      <c r="Z980" s="56">
        <f>_xlfn.XLOOKUP($N980,'Calculo Leads Conveniencia'!$A$77:$A$104,'Calculo Leads Conveniencia'!M$77:M$104)*_xlfn.XLOOKUP($P980,'Base Grupo de Produtos'!$E$23:$E$39,'Base Grupo de Produtos'!$F$23:$F$39)</f>
        <v>0</v>
      </c>
      <c r="AA980" s="56">
        <f>_xlfn.XLOOKUP($N980,'Calculo Leads Conveniencia'!$A$77:$A$104,'Calculo Leads Conveniencia'!N$77:N$104)*_xlfn.XLOOKUP($P980,'Base Grupo de Produtos'!$E$23:$E$39,'Base Grupo de Produtos'!$F$23:$F$39)</f>
        <v>0</v>
      </c>
      <c r="AB980" s="56">
        <f>_xlfn.XLOOKUP($N980,'Calculo Leads Conveniencia'!$A$77:$A$104,'Calculo Leads Conveniencia'!O$77:O$104)*_xlfn.XLOOKUP($P980,'Base Grupo de Produtos'!$E$23:$E$39,'Base Grupo de Produtos'!$F$23:$F$39)</f>
        <v>0</v>
      </c>
      <c r="AC980" s="61">
        <f t="shared" si="948"/>
        <v>0</v>
      </c>
      <c r="AD980" s="28"/>
      <c r="AE980" s="12"/>
      <c r="AF980" s="29"/>
      <c r="AG980" s="9"/>
      <c r="AH980" s="10"/>
      <c r="AI980" s="9"/>
      <c r="AJ980" s="11"/>
      <c r="AK980" s="9"/>
      <c r="AL980" s="13"/>
      <c r="AM980" s="9"/>
    </row>
    <row r="981" spans="1:39" x14ac:dyDescent="0.3">
      <c r="A981" s="2" t="str">
        <f t="shared" si="920"/>
        <v>NÃO</v>
      </c>
      <c r="B981" s="2" t="str">
        <f>_xlfn.XLOOKUP($N981,'Base de Grupos'!$A:$A,'Base de Grupos'!$D:$D)</f>
        <v>1000065763</v>
      </c>
      <c r="C981" s="5" t="str">
        <f>_xlfn.XLOOKUP($N981,'Base de Grupos'!$A:$A,'Base de Grupos'!$E:$E)</f>
        <v>CANAL VENDA INTERNA</v>
      </c>
      <c r="D981" s="5" t="str">
        <f>_xlfn.XLOOKUP($N981,'Base de Grupos'!$A:$A,'Base de Grupos'!$F:$F)</f>
        <v>1000065763</v>
      </c>
      <c r="E981" s="2" t="str">
        <f>_xlfn.XLOOKUP($N981,'Base de Grupos'!$A:$A,'Base de Grupos'!$G:$G)</f>
        <v>CANAL VENDA INTERNA</v>
      </c>
      <c r="F981" s="2" t="str">
        <f>_xlfn.XLOOKUP($N981,'Base de Grupos'!$A:$A,'Base de Grupos'!$H:$H)</f>
        <v>1000174119</v>
      </c>
      <c r="G981" s="5" t="str">
        <f>_xlfn.XLOOKUP($N981,'Base de Grupos'!$A:$A,'Base de Grupos'!$I:$I)</f>
        <v>REGIONAL VENDA INTERNA - CONVENIENCIA</v>
      </c>
      <c r="H981" s="5" t="str">
        <f>_xlfn.XLOOKUP($N981,'Base de Grupos'!$A:$A,'Base de Grupos'!$J:$J)</f>
        <v>1000174119</v>
      </c>
      <c r="I981" s="2" t="str">
        <f>_xlfn.XLOOKUP($N981,'Base de Grupos'!$A:$A,'Base de Grupos'!$K:$K)</f>
        <v>REGIONAL VENDA INTERNA - CONVENIENCIA</v>
      </c>
      <c r="J981" s="2" t="str">
        <f>_xlfn.XLOOKUP($N981,'Base de Grupos'!$A:$A,'Base de Grupos'!$L:$L)</f>
        <v>1000174119</v>
      </c>
      <c r="K981" s="5" t="str">
        <f>_xlfn.XLOOKUP($N981,'Base de Grupos'!$A:$A,'Base de Grupos'!$M:$M)</f>
        <v>REGIONAL VENDA INTERNA - CONVENIENCIA</v>
      </c>
      <c r="L981" s="5" t="str">
        <f t="shared" si="921"/>
        <v/>
      </c>
      <c r="M981" s="5" t="str">
        <f>_xlfn.XLOOKUP($N981,'Base de Grupos'!$A:$A,'Base de Grupos'!$C:$C)</f>
        <v>MS</v>
      </c>
      <c r="N981" s="3">
        <v>1519</v>
      </c>
      <c r="O981" s="4" t="s">
        <v>278</v>
      </c>
      <c r="P981" s="5" t="s">
        <v>85</v>
      </c>
      <c r="Q981" s="56">
        <v>0</v>
      </c>
      <c r="R981" s="56">
        <v>0</v>
      </c>
      <c r="S981" s="56">
        <v>0</v>
      </c>
      <c r="T981" s="56">
        <f>_xlfn.XLOOKUP($N981,'Calculo Leads Conveniencia'!$A$77:$A$104,'Calculo Leads Conveniencia'!G$77:G$104)*_xlfn.XLOOKUP($P981,'Base Grupo de Produtos'!$E$23:$E$39,'Base Grupo de Produtos'!$F$23:$F$39)</f>
        <v>0</v>
      </c>
      <c r="U981" s="56">
        <f>_xlfn.XLOOKUP($N981,'Calculo Leads Conveniencia'!$A$77:$A$104,'Calculo Leads Conveniencia'!H$77:H$104)*_xlfn.XLOOKUP($P981,'Base Grupo de Produtos'!$E$23:$E$39,'Base Grupo de Produtos'!$F$23:$F$39)</f>
        <v>0</v>
      </c>
      <c r="V981" s="56">
        <f>_xlfn.XLOOKUP($N981,'Calculo Leads Conveniencia'!$A$77:$A$104,'Calculo Leads Conveniencia'!I$77:I$104)*_xlfn.XLOOKUP($P981,'Base Grupo de Produtos'!$E$23:$E$39,'Base Grupo de Produtos'!$F$23:$F$39)</f>
        <v>0</v>
      </c>
      <c r="W981" s="56">
        <f>_xlfn.XLOOKUP($N981,'Calculo Leads Conveniencia'!$A$77:$A$104,'Calculo Leads Conveniencia'!J$77:J$104)*_xlfn.XLOOKUP($P981,'Base Grupo de Produtos'!$E$23:$E$39,'Base Grupo de Produtos'!$F$23:$F$39)</f>
        <v>0</v>
      </c>
      <c r="X981" s="56">
        <f>_xlfn.XLOOKUP($N981,'Calculo Leads Conveniencia'!$A$77:$A$104,'Calculo Leads Conveniencia'!K$77:K$104)*_xlfn.XLOOKUP($P981,'Base Grupo de Produtos'!$E$23:$E$39,'Base Grupo de Produtos'!$F$23:$F$39)</f>
        <v>0</v>
      </c>
      <c r="Y981" s="56">
        <f>_xlfn.XLOOKUP($N981,'Calculo Leads Conveniencia'!$A$77:$A$104,'Calculo Leads Conveniencia'!L$77:L$104)*_xlfn.XLOOKUP($P981,'Base Grupo de Produtos'!$E$23:$E$39,'Base Grupo de Produtos'!$F$23:$F$39)</f>
        <v>0</v>
      </c>
      <c r="Z981" s="56">
        <f>_xlfn.XLOOKUP($N981,'Calculo Leads Conveniencia'!$A$77:$A$104,'Calculo Leads Conveniencia'!M$77:M$104)*_xlfn.XLOOKUP($P981,'Base Grupo de Produtos'!$E$23:$E$39,'Base Grupo de Produtos'!$F$23:$F$39)</f>
        <v>0</v>
      </c>
      <c r="AA981" s="56">
        <f>_xlfn.XLOOKUP($N981,'Calculo Leads Conveniencia'!$A$77:$A$104,'Calculo Leads Conveniencia'!N$77:N$104)*_xlfn.XLOOKUP($P981,'Base Grupo de Produtos'!$E$23:$E$39,'Base Grupo de Produtos'!$F$23:$F$39)</f>
        <v>0</v>
      </c>
      <c r="AB981" s="56">
        <f>_xlfn.XLOOKUP($N981,'Calculo Leads Conveniencia'!$A$77:$A$104,'Calculo Leads Conveniencia'!O$77:O$104)*_xlfn.XLOOKUP($P981,'Base Grupo de Produtos'!$E$23:$E$39,'Base Grupo de Produtos'!$F$23:$F$39)</f>
        <v>0</v>
      </c>
      <c r="AC981" s="61">
        <f t="shared" si="948"/>
        <v>0</v>
      </c>
      <c r="AD981" s="28"/>
      <c r="AE981" s="12"/>
      <c r="AF981" s="29"/>
      <c r="AG981" s="9"/>
      <c r="AH981" s="10"/>
      <c r="AI981" s="9"/>
      <c r="AJ981" s="11"/>
      <c r="AK981" s="9"/>
      <c r="AL981" s="13"/>
      <c r="AM981" s="9"/>
    </row>
    <row r="982" spans="1:39" x14ac:dyDescent="0.3">
      <c r="A982" s="2" t="str">
        <f t="shared" si="920"/>
        <v>NÃO</v>
      </c>
      <c r="B982" s="2" t="str">
        <f>_xlfn.XLOOKUP($N982,'Base de Grupos'!$A:$A,'Base de Grupos'!$D:$D)</f>
        <v>1000065763</v>
      </c>
      <c r="C982" s="5" t="str">
        <f>_xlfn.XLOOKUP($N982,'Base de Grupos'!$A:$A,'Base de Grupos'!$E:$E)</f>
        <v>CANAL VENDA INTERNA</v>
      </c>
      <c r="D982" s="5" t="str">
        <f>_xlfn.XLOOKUP($N982,'Base de Grupos'!$A:$A,'Base de Grupos'!$F:$F)</f>
        <v>1000065763</v>
      </c>
      <c r="E982" s="2" t="str">
        <f>_xlfn.XLOOKUP($N982,'Base de Grupos'!$A:$A,'Base de Grupos'!$G:$G)</f>
        <v>CANAL VENDA INTERNA</v>
      </c>
      <c r="F982" s="2" t="str">
        <f>_xlfn.XLOOKUP($N982,'Base de Grupos'!$A:$A,'Base de Grupos'!$H:$H)</f>
        <v>1000174119</v>
      </c>
      <c r="G982" s="5" t="str">
        <f>_xlfn.XLOOKUP($N982,'Base de Grupos'!$A:$A,'Base de Grupos'!$I:$I)</f>
        <v>REGIONAL VENDA INTERNA - CONVENIENCIA</v>
      </c>
      <c r="H982" s="5" t="str">
        <f>_xlfn.XLOOKUP($N982,'Base de Grupos'!$A:$A,'Base de Grupos'!$J:$J)</f>
        <v>1000174119</v>
      </c>
      <c r="I982" s="2" t="str">
        <f>_xlfn.XLOOKUP($N982,'Base de Grupos'!$A:$A,'Base de Grupos'!$K:$K)</f>
        <v>REGIONAL VENDA INTERNA - CONVENIENCIA</v>
      </c>
      <c r="J982" s="2" t="str">
        <f>_xlfn.XLOOKUP($N982,'Base de Grupos'!$A:$A,'Base de Grupos'!$L:$L)</f>
        <v>1000174119</v>
      </c>
      <c r="K982" s="5" t="str">
        <f>_xlfn.XLOOKUP($N982,'Base de Grupos'!$A:$A,'Base de Grupos'!$M:$M)</f>
        <v>REGIONAL VENDA INTERNA - CONVENIENCIA</v>
      </c>
      <c r="L982" s="5" t="str">
        <f t="shared" si="921"/>
        <v/>
      </c>
      <c r="M982" s="5" t="str">
        <f>_xlfn.XLOOKUP($N982,'Base de Grupos'!$A:$A,'Base de Grupos'!$C:$C)</f>
        <v>MS</v>
      </c>
      <c r="N982" s="3">
        <v>1519</v>
      </c>
      <c r="O982" s="4" t="s">
        <v>278</v>
      </c>
      <c r="P982" s="5" t="s">
        <v>92</v>
      </c>
      <c r="Q982" s="56">
        <v>0</v>
      </c>
      <c r="R982" s="56">
        <v>0</v>
      </c>
      <c r="S982" s="56">
        <v>0</v>
      </c>
      <c r="T982" s="56">
        <f>_xlfn.XLOOKUP($N982,'Calculo Leads Conveniencia'!$A$77:$A$104,'Calculo Leads Conveniencia'!G$77:G$104)*_xlfn.XLOOKUP($P982,'Base Grupo de Produtos'!$E$23:$E$39,'Base Grupo de Produtos'!$F$23:$F$39)</f>
        <v>0</v>
      </c>
      <c r="U982" s="56">
        <f>_xlfn.XLOOKUP($N982,'Calculo Leads Conveniencia'!$A$77:$A$104,'Calculo Leads Conveniencia'!H$77:H$104)*_xlfn.XLOOKUP($P982,'Base Grupo de Produtos'!$E$23:$E$39,'Base Grupo de Produtos'!$F$23:$F$39)</f>
        <v>0</v>
      </c>
      <c r="V982" s="56">
        <f>_xlfn.XLOOKUP($N982,'Calculo Leads Conveniencia'!$A$77:$A$104,'Calculo Leads Conveniencia'!I$77:I$104)*_xlfn.XLOOKUP($P982,'Base Grupo de Produtos'!$E$23:$E$39,'Base Grupo de Produtos'!$F$23:$F$39)</f>
        <v>0</v>
      </c>
      <c r="W982" s="56">
        <f>_xlfn.XLOOKUP($N982,'Calculo Leads Conveniencia'!$A$77:$A$104,'Calculo Leads Conveniencia'!J$77:J$104)*_xlfn.XLOOKUP($P982,'Base Grupo de Produtos'!$E$23:$E$39,'Base Grupo de Produtos'!$F$23:$F$39)</f>
        <v>0</v>
      </c>
      <c r="X982" s="56">
        <f>_xlfn.XLOOKUP($N982,'Calculo Leads Conveniencia'!$A$77:$A$104,'Calculo Leads Conveniencia'!K$77:K$104)*_xlfn.XLOOKUP($P982,'Base Grupo de Produtos'!$E$23:$E$39,'Base Grupo de Produtos'!$F$23:$F$39)</f>
        <v>0</v>
      </c>
      <c r="Y982" s="56">
        <f>_xlfn.XLOOKUP($N982,'Calculo Leads Conveniencia'!$A$77:$A$104,'Calculo Leads Conveniencia'!L$77:L$104)*_xlfn.XLOOKUP($P982,'Base Grupo de Produtos'!$E$23:$E$39,'Base Grupo de Produtos'!$F$23:$F$39)</f>
        <v>0</v>
      </c>
      <c r="Z982" s="56">
        <f>_xlfn.XLOOKUP($N982,'Calculo Leads Conveniencia'!$A$77:$A$104,'Calculo Leads Conveniencia'!M$77:M$104)*_xlfn.XLOOKUP($P982,'Base Grupo de Produtos'!$E$23:$E$39,'Base Grupo de Produtos'!$F$23:$F$39)</f>
        <v>0</v>
      </c>
      <c r="AA982" s="56">
        <f>_xlfn.XLOOKUP($N982,'Calculo Leads Conveniencia'!$A$77:$A$104,'Calculo Leads Conveniencia'!N$77:N$104)*_xlfn.XLOOKUP($P982,'Base Grupo de Produtos'!$E$23:$E$39,'Base Grupo de Produtos'!$F$23:$F$39)</f>
        <v>0</v>
      </c>
      <c r="AB982" s="56">
        <f>_xlfn.XLOOKUP($N982,'Calculo Leads Conveniencia'!$A$77:$A$104,'Calculo Leads Conveniencia'!O$77:O$104)*_xlfn.XLOOKUP($P982,'Base Grupo de Produtos'!$E$23:$E$39,'Base Grupo de Produtos'!$F$23:$F$39)</f>
        <v>0</v>
      </c>
      <c r="AC982" s="61">
        <f t="shared" si="948"/>
        <v>0</v>
      </c>
      <c r="AD982" s="28"/>
      <c r="AE982" s="12"/>
      <c r="AF982" s="29"/>
      <c r="AG982" s="9"/>
      <c r="AH982" s="10"/>
      <c r="AI982" s="9"/>
      <c r="AJ982" s="11"/>
      <c r="AK982" s="9"/>
      <c r="AL982" s="13"/>
      <c r="AM982" s="9"/>
    </row>
    <row r="983" spans="1:39" x14ac:dyDescent="0.3">
      <c r="A983" s="2" t="str">
        <f t="shared" si="920"/>
        <v>NÃO</v>
      </c>
      <c r="B983" s="2" t="str">
        <f>_xlfn.XLOOKUP($N983,'Base de Grupos'!$A:$A,'Base de Grupos'!$D:$D)</f>
        <v>1000065763</v>
      </c>
      <c r="C983" s="5" t="str">
        <f>_xlfn.XLOOKUP($N983,'Base de Grupos'!$A:$A,'Base de Grupos'!$E:$E)</f>
        <v>CANAL VENDA INTERNA</v>
      </c>
      <c r="D983" s="5" t="str">
        <f>_xlfn.XLOOKUP($N983,'Base de Grupos'!$A:$A,'Base de Grupos'!$F:$F)</f>
        <v>1000065763</v>
      </c>
      <c r="E983" s="2" t="str">
        <f>_xlfn.XLOOKUP($N983,'Base de Grupos'!$A:$A,'Base de Grupos'!$G:$G)</f>
        <v>CANAL VENDA INTERNA</v>
      </c>
      <c r="F983" s="2" t="str">
        <f>_xlfn.XLOOKUP($N983,'Base de Grupos'!$A:$A,'Base de Grupos'!$H:$H)</f>
        <v>1000174119</v>
      </c>
      <c r="G983" s="5" t="str">
        <f>_xlfn.XLOOKUP($N983,'Base de Grupos'!$A:$A,'Base de Grupos'!$I:$I)</f>
        <v>REGIONAL VENDA INTERNA - CONVENIENCIA</v>
      </c>
      <c r="H983" s="5" t="str">
        <f>_xlfn.XLOOKUP($N983,'Base de Grupos'!$A:$A,'Base de Grupos'!$J:$J)</f>
        <v>1000174119</v>
      </c>
      <c r="I983" s="2" t="str">
        <f>_xlfn.XLOOKUP($N983,'Base de Grupos'!$A:$A,'Base de Grupos'!$K:$K)</f>
        <v>REGIONAL VENDA INTERNA - CONVENIENCIA</v>
      </c>
      <c r="J983" s="2" t="str">
        <f>_xlfn.XLOOKUP($N983,'Base de Grupos'!$A:$A,'Base de Grupos'!$L:$L)</f>
        <v>1000174119</v>
      </c>
      <c r="K983" s="5" t="str">
        <f>_xlfn.XLOOKUP($N983,'Base de Grupos'!$A:$A,'Base de Grupos'!$M:$M)</f>
        <v>REGIONAL VENDA INTERNA - CONVENIENCIA</v>
      </c>
      <c r="L983" s="5" t="str">
        <f t="shared" si="921"/>
        <v/>
      </c>
      <c r="M983" s="5" t="str">
        <f>_xlfn.XLOOKUP($N983,'Base de Grupos'!$A:$A,'Base de Grupos'!$C:$C)</f>
        <v>MS</v>
      </c>
      <c r="N983" s="3">
        <v>1519</v>
      </c>
      <c r="O983" s="4" t="s">
        <v>278</v>
      </c>
      <c r="P983" s="5" t="s">
        <v>86</v>
      </c>
      <c r="Q983" s="56">
        <v>0</v>
      </c>
      <c r="R983" s="56">
        <v>0</v>
      </c>
      <c r="S983" s="56">
        <v>0</v>
      </c>
      <c r="T983" s="56">
        <f>_xlfn.XLOOKUP($N983,'Calculo Leads Conveniencia'!$A$77:$A$104,'Calculo Leads Conveniencia'!G$77:G$104)*_xlfn.XLOOKUP($P983,'Base Grupo de Produtos'!$E$23:$E$39,'Base Grupo de Produtos'!$F$23:$F$39)</f>
        <v>0</v>
      </c>
      <c r="U983" s="56">
        <f>_xlfn.XLOOKUP($N983,'Calculo Leads Conveniencia'!$A$77:$A$104,'Calculo Leads Conveniencia'!H$77:H$104)*_xlfn.XLOOKUP($P983,'Base Grupo de Produtos'!$E$23:$E$39,'Base Grupo de Produtos'!$F$23:$F$39)</f>
        <v>0</v>
      </c>
      <c r="V983" s="56">
        <f>_xlfn.XLOOKUP($N983,'Calculo Leads Conveniencia'!$A$77:$A$104,'Calculo Leads Conveniencia'!I$77:I$104)*_xlfn.XLOOKUP($P983,'Base Grupo de Produtos'!$E$23:$E$39,'Base Grupo de Produtos'!$F$23:$F$39)</f>
        <v>0</v>
      </c>
      <c r="W983" s="56">
        <f>_xlfn.XLOOKUP($N983,'Calculo Leads Conveniencia'!$A$77:$A$104,'Calculo Leads Conveniencia'!J$77:J$104)*_xlfn.XLOOKUP($P983,'Base Grupo de Produtos'!$E$23:$E$39,'Base Grupo de Produtos'!$F$23:$F$39)</f>
        <v>0</v>
      </c>
      <c r="X983" s="56">
        <f>_xlfn.XLOOKUP($N983,'Calculo Leads Conveniencia'!$A$77:$A$104,'Calculo Leads Conveniencia'!K$77:K$104)*_xlfn.XLOOKUP($P983,'Base Grupo de Produtos'!$E$23:$E$39,'Base Grupo de Produtos'!$F$23:$F$39)</f>
        <v>0</v>
      </c>
      <c r="Y983" s="56">
        <f>_xlfn.XLOOKUP($N983,'Calculo Leads Conveniencia'!$A$77:$A$104,'Calculo Leads Conveniencia'!L$77:L$104)*_xlfn.XLOOKUP($P983,'Base Grupo de Produtos'!$E$23:$E$39,'Base Grupo de Produtos'!$F$23:$F$39)</f>
        <v>0</v>
      </c>
      <c r="Z983" s="56">
        <f>_xlfn.XLOOKUP($N983,'Calculo Leads Conveniencia'!$A$77:$A$104,'Calculo Leads Conveniencia'!M$77:M$104)*_xlfn.XLOOKUP($P983,'Base Grupo de Produtos'!$E$23:$E$39,'Base Grupo de Produtos'!$F$23:$F$39)</f>
        <v>0</v>
      </c>
      <c r="AA983" s="56">
        <f>_xlfn.XLOOKUP($N983,'Calculo Leads Conveniencia'!$A$77:$A$104,'Calculo Leads Conveniencia'!N$77:N$104)*_xlfn.XLOOKUP($P983,'Base Grupo de Produtos'!$E$23:$E$39,'Base Grupo de Produtos'!$F$23:$F$39)</f>
        <v>0</v>
      </c>
      <c r="AB983" s="56">
        <f>_xlfn.XLOOKUP($N983,'Calculo Leads Conveniencia'!$A$77:$A$104,'Calculo Leads Conveniencia'!O$77:O$104)*_xlfn.XLOOKUP($P983,'Base Grupo de Produtos'!$E$23:$E$39,'Base Grupo de Produtos'!$F$23:$F$39)</f>
        <v>0</v>
      </c>
      <c r="AC983" s="61">
        <f t="shared" si="948"/>
        <v>0</v>
      </c>
      <c r="AD983" s="28"/>
      <c r="AE983" s="12"/>
      <c r="AF983" s="29"/>
      <c r="AG983" s="9"/>
      <c r="AH983" s="10"/>
      <c r="AI983" s="9"/>
      <c r="AJ983" s="11"/>
      <c r="AK983" s="9"/>
      <c r="AL983" s="13"/>
      <c r="AM983" s="9"/>
    </row>
    <row r="984" spans="1:39" x14ac:dyDescent="0.3">
      <c r="A984" s="2" t="str">
        <f t="shared" si="920"/>
        <v>NÃO</v>
      </c>
      <c r="B984" s="2" t="str">
        <f>_xlfn.XLOOKUP($N984,'Base de Grupos'!$A:$A,'Base de Grupos'!$D:$D)</f>
        <v>1000065763</v>
      </c>
      <c r="C984" s="5" t="str">
        <f>_xlfn.XLOOKUP($N984,'Base de Grupos'!$A:$A,'Base de Grupos'!$E:$E)</f>
        <v>CANAL VENDA INTERNA</v>
      </c>
      <c r="D984" s="5" t="str">
        <f>_xlfn.XLOOKUP($N984,'Base de Grupos'!$A:$A,'Base de Grupos'!$F:$F)</f>
        <v>1000065763</v>
      </c>
      <c r="E984" s="2" t="str">
        <f>_xlfn.XLOOKUP($N984,'Base de Grupos'!$A:$A,'Base de Grupos'!$G:$G)</f>
        <v>CANAL VENDA INTERNA</v>
      </c>
      <c r="F984" s="2" t="str">
        <f>_xlfn.XLOOKUP($N984,'Base de Grupos'!$A:$A,'Base de Grupos'!$H:$H)</f>
        <v>1000174119</v>
      </c>
      <c r="G984" s="5" t="str">
        <f>_xlfn.XLOOKUP($N984,'Base de Grupos'!$A:$A,'Base de Grupos'!$I:$I)</f>
        <v>REGIONAL VENDA INTERNA - CONVENIENCIA</v>
      </c>
      <c r="H984" s="5" t="str">
        <f>_xlfn.XLOOKUP($N984,'Base de Grupos'!$A:$A,'Base de Grupos'!$J:$J)</f>
        <v>1000174119</v>
      </c>
      <c r="I984" s="2" t="str">
        <f>_xlfn.XLOOKUP($N984,'Base de Grupos'!$A:$A,'Base de Grupos'!$K:$K)</f>
        <v>REGIONAL VENDA INTERNA - CONVENIENCIA</v>
      </c>
      <c r="J984" s="2" t="str">
        <f>_xlfn.XLOOKUP($N984,'Base de Grupos'!$A:$A,'Base de Grupos'!$L:$L)</f>
        <v>1000174119</v>
      </c>
      <c r="K984" s="5" t="str">
        <f>_xlfn.XLOOKUP($N984,'Base de Grupos'!$A:$A,'Base de Grupos'!$M:$M)</f>
        <v>REGIONAL VENDA INTERNA - CONVENIENCIA</v>
      </c>
      <c r="L984" s="5" t="str">
        <f t="shared" si="921"/>
        <v/>
      </c>
      <c r="M984" s="5" t="str">
        <f>_xlfn.XLOOKUP($N984,'Base de Grupos'!$A:$A,'Base de Grupos'!$C:$C)</f>
        <v>MS</v>
      </c>
      <c r="N984" s="3">
        <v>1519</v>
      </c>
      <c r="O984" s="4" t="s">
        <v>278</v>
      </c>
      <c r="P984" s="5" t="s">
        <v>108</v>
      </c>
      <c r="Q984" s="56">
        <v>0</v>
      </c>
      <c r="R984" s="56">
        <v>0</v>
      </c>
      <c r="S984" s="56">
        <v>0</v>
      </c>
      <c r="T984" s="56">
        <f>_xlfn.XLOOKUP($N984,'Calculo Leads Conveniencia'!$A$77:$A$104,'Calculo Leads Conveniencia'!G$77:G$104)*_xlfn.XLOOKUP($P984,'Base Grupo de Produtos'!$E$23:$E$39,'Base Grupo de Produtos'!$F$23:$F$39)</f>
        <v>0</v>
      </c>
      <c r="U984" s="56">
        <f>_xlfn.XLOOKUP($N984,'Calculo Leads Conveniencia'!$A$77:$A$104,'Calculo Leads Conveniencia'!H$77:H$104)*_xlfn.XLOOKUP($P984,'Base Grupo de Produtos'!$E$23:$E$39,'Base Grupo de Produtos'!$F$23:$F$39)</f>
        <v>0</v>
      </c>
      <c r="V984" s="56">
        <f>_xlfn.XLOOKUP($N984,'Calculo Leads Conveniencia'!$A$77:$A$104,'Calculo Leads Conveniencia'!I$77:I$104)*_xlfn.XLOOKUP($P984,'Base Grupo de Produtos'!$E$23:$E$39,'Base Grupo de Produtos'!$F$23:$F$39)</f>
        <v>0</v>
      </c>
      <c r="W984" s="56">
        <f>_xlfn.XLOOKUP($N984,'Calculo Leads Conveniencia'!$A$77:$A$104,'Calculo Leads Conveniencia'!J$77:J$104)*_xlfn.XLOOKUP($P984,'Base Grupo de Produtos'!$E$23:$E$39,'Base Grupo de Produtos'!$F$23:$F$39)</f>
        <v>0</v>
      </c>
      <c r="X984" s="56">
        <f>_xlfn.XLOOKUP($N984,'Calculo Leads Conveniencia'!$A$77:$A$104,'Calculo Leads Conveniencia'!K$77:K$104)*_xlfn.XLOOKUP($P984,'Base Grupo de Produtos'!$E$23:$E$39,'Base Grupo de Produtos'!$F$23:$F$39)</f>
        <v>0</v>
      </c>
      <c r="Y984" s="56">
        <f>_xlfn.XLOOKUP($N984,'Calculo Leads Conveniencia'!$A$77:$A$104,'Calculo Leads Conveniencia'!L$77:L$104)*_xlfn.XLOOKUP($P984,'Base Grupo de Produtos'!$E$23:$E$39,'Base Grupo de Produtos'!$F$23:$F$39)</f>
        <v>0</v>
      </c>
      <c r="Z984" s="56">
        <f>_xlfn.XLOOKUP($N984,'Calculo Leads Conveniencia'!$A$77:$A$104,'Calculo Leads Conveniencia'!M$77:M$104)*_xlfn.XLOOKUP($P984,'Base Grupo de Produtos'!$E$23:$E$39,'Base Grupo de Produtos'!$F$23:$F$39)</f>
        <v>0</v>
      </c>
      <c r="AA984" s="56">
        <f>_xlfn.XLOOKUP($N984,'Calculo Leads Conveniencia'!$A$77:$A$104,'Calculo Leads Conveniencia'!N$77:N$104)*_xlfn.XLOOKUP($P984,'Base Grupo de Produtos'!$E$23:$E$39,'Base Grupo de Produtos'!$F$23:$F$39)</f>
        <v>0</v>
      </c>
      <c r="AB984" s="56">
        <f>_xlfn.XLOOKUP($N984,'Calculo Leads Conveniencia'!$A$77:$A$104,'Calculo Leads Conveniencia'!O$77:O$104)*_xlfn.XLOOKUP($P984,'Base Grupo de Produtos'!$E$23:$E$39,'Base Grupo de Produtos'!$F$23:$F$39)</f>
        <v>0</v>
      </c>
      <c r="AC984" s="61">
        <f t="shared" si="948"/>
        <v>0</v>
      </c>
      <c r="AD984" s="28"/>
      <c r="AE984" s="12"/>
      <c r="AF984" s="29"/>
      <c r="AG984" s="9"/>
      <c r="AH984" s="10"/>
      <c r="AI984" s="9"/>
      <c r="AJ984" s="11"/>
      <c r="AK984" s="9"/>
      <c r="AL984" s="13"/>
      <c r="AM984" s="9"/>
    </row>
    <row r="985" spans="1:39" x14ac:dyDescent="0.3">
      <c r="A985" s="2" t="str">
        <f t="shared" si="920"/>
        <v>NÃO</v>
      </c>
      <c r="B985" s="2" t="str">
        <f>_xlfn.XLOOKUP($N985,'Base de Grupos'!$A:$A,'Base de Grupos'!$D:$D)</f>
        <v>1000065763</v>
      </c>
      <c r="C985" s="5" t="str">
        <f>_xlfn.XLOOKUP($N985,'Base de Grupos'!$A:$A,'Base de Grupos'!$E:$E)</f>
        <v>CANAL VENDA INTERNA</v>
      </c>
      <c r="D985" s="5" t="str">
        <f>_xlfn.XLOOKUP($N985,'Base de Grupos'!$A:$A,'Base de Grupos'!$F:$F)</f>
        <v>1000065763</v>
      </c>
      <c r="E985" s="2" t="str">
        <f>_xlfn.XLOOKUP($N985,'Base de Grupos'!$A:$A,'Base de Grupos'!$G:$G)</f>
        <v>CANAL VENDA INTERNA</v>
      </c>
      <c r="F985" s="2" t="str">
        <f>_xlfn.XLOOKUP($N985,'Base de Grupos'!$A:$A,'Base de Grupos'!$H:$H)</f>
        <v>1000174119</v>
      </c>
      <c r="G985" s="5" t="str">
        <f>_xlfn.XLOOKUP($N985,'Base de Grupos'!$A:$A,'Base de Grupos'!$I:$I)</f>
        <v>REGIONAL VENDA INTERNA - CONVENIENCIA</v>
      </c>
      <c r="H985" s="5" t="str">
        <f>_xlfn.XLOOKUP($N985,'Base de Grupos'!$A:$A,'Base de Grupos'!$J:$J)</f>
        <v>1000174119</v>
      </c>
      <c r="I985" s="2" t="str">
        <f>_xlfn.XLOOKUP($N985,'Base de Grupos'!$A:$A,'Base de Grupos'!$K:$K)</f>
        <v>REGIONAL VENDA INTERNA - CONVENIENCIA</v>
      </c>
      <c r="J985" s="2" t="str">
        <f>_xlfn.XLOOKUP($N985,'Base de Grupos'!$A:$A,'Base de Grupos'!$L:$L)</f>
        <v>1000174119</v>
      </c>
      <c r="K985" s="5" t="str">
        <f>_xlfn.XLOOKUP($N985,'Base de Grupos'!$A:$A,'Base de Grupos'!$M:$M)</f>
        <v>REGIONAL VENDA INTERNA - CONVENIENCIA</v>
      </c>
      <c r="L985" s="5" t="str">
        <f t="shared" si="921"/>
        <v/>
      </c>
      <c r="M985" s="5" t="str">
        <f>_xlfn.XLOOKUP($N985,'Base de Grupos'!$A:$A,'Base de Grupos'!$C:$C)</f>
        <v>MS</v>
      </c>
      <c r="N985" s="3">
        <v>1519</v>
      </c>
      <c r="O985" s="4" t="s">
        <v>278</v>
      </c>
      <c r="P985" s="5" t="s">
        <v>89</v>
      </c>
      <c r="Q985" s="56">
        <v>0</v>
      </c>
      <c r="R985" s="56">
        <v>0</v>
      </c>
      <c r="S985" s="56">
        <v>0</v>
      </c>
      <c r="T985" s="56">
        <f>_xlfn.XLOOKUP($N985,'Calculo Leads Conveniencia'!$A$77:$A$104,'Calculo Leads Conveniencia'!G$77:G$104)*_xlfn.XLOOKUP($P985,'Base Grupo de Produtos'!$E$23:$E$39,'Base Grupo de Produtos'!$F$23:$F$39)</f>
        <v>0</v>
      </c>
      <c r="U985" s="56">
        <f>_xlfn.XLOOKUP($N985,'Calculo Leads Conveniencia'!$A$77:$A$104,'Calculo Leads Conveniencia'!H$77:H$104)*_xlfn.XLOOKUP($P985,'Base Grupo de Produtos'!$E$23:$E$39,'Base Grupo de Produtos'!$F$23:$F$39)</f>
        <v>0</v>
      </c>
      <c r="V985" s="56">
        <f>_xlfn.XLOOKUP($N985,'Calculo Leads Conveniencia'!$A$77:$A$104,'Calculo Leads Conveniencia'!I$77:I$104)*_xlfn.XLOOKUP($P985,'Base Grupo de Produtos'!$E$23:$E$39,'Base Grupo de Produtos'!$F$23:$F$39)</f>
        <v>0</v>
      </c>
      <c r="W985" s="56">
        <f>_xlfn.XLOOKUP($N985,'Calculo Leads Conveniencia'!$A$77:$A$104,'Calculo Leads Conveniencia'!J$77:J$104)*_xlfn.XLOOKUP($P985,'Base Grupo de Produtos'!$E$23:$E$39,'Base Grupo de Produtos'!$F$23:$F$39)</f>
        <v>0</v>
      </c>
      <c r="X985" s="56">
        <f>_xlfn.XLOOKUP($N985,'Calculo Leads Conveniencia'!$A$77:$A$104,'Calculo Leads Conveniencia'!K$77:K$104)*_xlfn.XLOOKUP($P985,'Base Grupo de Produtos'!$E$23:$E$39,'Base Grupo de Produtos'!$F$23:$F$39)</f>
        <v>0</v>
      </c>
      <c r="Y985" s="56">
        <f>_xlfn.XLOOKUP($N985,'Calculo Leads Conveniencia'!$A$77:$A$104,'Calculo Leads Conveniencia'!L$77:L$104)*_xlfn.XLOOKUP($P985,'Base Grupo de Produtos'!$E$23:$E$39,'Base Grupo de Produtos'!$F$23:$F$39)</f>
        <v>0</v>
      </c>
      <c r="Z985" s="56">
        <f>_xlfn.XLOOKUP($N985,'Calculo Leads Conveniencia'!$A$77:$A$104,'Calculo Leads Conveniencia'!M$77:M$104)*_xlfn.XLOOKUP($P985,'Base Grupo de Produtos'!$E$23:$E$39,'Base Grupo de Produtos'!$F$23:$F$39)</f>
        <v>0</v>
      </c>
      <c r="AA985" s="56">
        <f>_xlfn.XLOOKUP($N985,'Calculo Leads Conveniencia'!$A$77:$A$104,'Calculo Leads Conveniencia'!N$77:N$104)*_xlfn.XLOOKUP($P985,'Base Grupo de Produtos'!$E$23:$E$39,'Base Grupo de Produtos'!$F$23:$F$39)</f>
        <v>0</v>
      </c>
      <c r="AB985" s="56">
        <f>_xlfn.XLOOKUP($N985,'Calculo Leads Conveniencia'!$A$77:$A$104,'Calculo Leads Conveniencia'!O$77:O$104)*_xlfn.XLOOKUP($P985,'Base Grupo de Produtos'!$E$23:$E$39,'Base Grupo de Produtos'!$F$23:$F$39)</f>
        <v>0</v>
      </c>
      <c r="AC985" s="61">
        <f t="shared" si="948"/>
        <v>0</v>
      </c>
      <c r="AD985" s="28"/>
      <c r="AE985" s="12"/>
      <c r="AF985" s="29"/>
      <c r="AG985" s="9"/>
      <c r="AH985" s="10"/>
      <c r="AI985" s="9"/>
      <c r="AJ985" s="11"/>
      <c r="AK985" s="9"/>
      <c r="AL985" s="13"/>
      <c r="AM985" s="9"/>
    </row>
    <row r="986" spans="1:39" x14ac:dyDescent="0.3">
      <c r="A986" s="2" t="str">
        <f t="shared" si="920"/>
        <v>NÃO</v>
      </c>
      <c r="B986" s="2" t="str">
        <f>_xlfn.XLOOKUP($N986,'Base de Grupos'!$A:$A,'Base de Grupos'!$D:$D)</f>
        <v>1000065763</v>
      </c>
      <c r="C986" s="5" t="str">
        <f>_xlfn.XLOOKUP($N986,'Base de Grupos'!$A:$A,'Base de Grupos'!$E:$E)</f>
        <v>CANAL VENDA INTERNA</v>
      </c>
      <c r="D986" s="5" t="str">
        <f>_xlfn.XLOOKUP($N986,'Base de Grupos'!$A:$A,'Base de Grupos'!$F:$F)</f>
        <v>1000065763</v>
      </c>
      <c r="E986" s="2" t="str">
        <f>_xlfn.XLOOKUP($N986,'Base de Grupos'!$A:$A,'Base de Grupos'!$G:$G)</f>
        <v>CANAL VENDA INTERNA</v>
      </c>
      <c r="F986" s="2" t="str">
        <f>_xlfn.XLOOKUP($N986,'Base de Grupos'!$A:$A,'Base de Grupos'!$H:$H)</f>
        <v>1000174119</v>
      </c>
      <c r="G986" s="5" t="str">
        <f>_xlfn.XLOOKUP($N986,'Base de Grupos'!$A:$A,'Base de Grupos'!$I:$I)</f>
        <v>REGIONAL VENDA INTERNA - CONVENIENCIA</v>
      </c>
      <c r="H986" s="5" t="str">
        <f>_xlfn.XLOOKUP($N986,'Base de Grupos'!$A:$A,'Base de Grupos'!$J:$J)</f>
        <v>1000174119</v>
      </c>
      <c r="I986" s="2" t="str">
        <f>_xlfn.XLOOKUP($N986,'Base de Grupos'!$A:$A,'Base de Grupos'!$K:$K)</f>
        <v>REGIONAL VENDA INTERNA - CONVENIENCIA</v>
      </c>
      <c r="J986" s="2" t="str">
        <f>_xlfn.XLOOKUP($N986,'Base de Grupos'!$A:$A,'Base de Grupos'!$L:$L)</f>
        <v>1000174119</v>
      </c>
      <c r="K986" s="5" t="str">
        <f>_xlfn.XLOOKUP($N986,'Base de Grupos'!$A:$A,'Base de Grupos'!$M:$M)</f>
        <v>REGIONAL VENDA INTERNA - CONVENIENCIA</v>
      </c>
      <c r="L986" s="5" t="str">
        <f t="shared" si="921"/>
        <v/>
      </c>
      <c r="M986" s="5" t="str">
        <f>_xlfn.XLOOKUP($N986,'Base de Grupos'!$A:$A,'Base de Grupos'!$C:$C)</f>
        <v>MS</v>
      </c>
      <c r="N986" s="3">
        <v>1519</v>
      </c>
      <c r="O986" s="4" t="s">
        <v>278</v>
      </c>
      <c r="P986" s="5" t="s">
        <v>88</v>
      </c>
      <c r="Q986" s="56">
        <v>0</v>
      </c>
      <c r="R986" s="56">
        <v>0</v>
      </c>
      <c r="S986" s="56">
        <v>0</v>
      </c>
      <c r="T986" s="56">
        <f>_xlfn.XLOOKUP($N986,'Calculo Leads Conveniencia'!$A$77:$A$104,'Calculo Leads Conveniencia'!G$77:G$104)*_xlfn.XLOOKUP($P986,'Base Grupo de Produtos'!$E$23:$E$39,'Base Grupo de Produtos'!$F$23:$F$39)</f>
        <v>0</v>
      </c>
      <c r="U986" s="56">
        <f>_xlfn.XLOOKUP($N986,'Calculo Leads Conveniencia'!$A$77:$A$104,'Calculo Leads Conveniencia'!H$77:H$104)*_xlfn.XLOOKUP($P986,'Base Grupo de Produtos'!$E$23:$E$39,'Base Grupo de Produtos'!$F$23:$F$39)</f>
        <v>0</v>
      </c>
      <c r="V986" s="56">
        <f>_xlfn.XLOOKUP($N986,'Calculo Leads Conveniencia'!$A$77:$A$104,'Calculo Leads Conveniencia'!I$77:I$104)*_xlfn.XLOOKUP($P986,'Base Grupo de Produtos'!$E$23:$E$39,'Base Grupo de Produtos'!$F$23:$F$39)</f>
        <v>0</v>
      </c>
      <c r="W986" s="56">
        <f>_xlfn.XLOOKUP($N986,'Calculo Leads Conveniencia'!$A$77:$A$104,'Calculo Leads Conveniencia'!J$77:J$104)*_xlfn.XLOOKUP($P986,'Base Grupo de Produtos'!$E$23:$E$39,'Base Grupo de Produtos'!$F$23:$F$39)</f>
        <v>0</v>
      </c>
      <c r="X986" s="56">
        <f>_xlfn.XLOOKUP($N986,'Calculo Leads Conveniencia'!$A$77:$A$104,'Calculo Leads Conveniencia'!K$77:K$104)*_xlfn.XLOOKUP($P986,'Base Grupo de Produtos'!$E$23:$E$39,'Base Grupo de Produtos'!$F$23:$F$39)</f>
        <v>0</v>
      </c>
      <c r="Y986" s="56">
        <f>_xlfn.XLOOKUP($N986,'Calculo Leads Conveniencia'!$A$77:$A$104,'Calculo Leads Conveniencia'!L$77:L$104)*_xlfn.XLOOKUP($P986,'Base Grupo de Produtos'!$E$23:$E$39,'Base Grupo de Produtos'!$F$23:$F$39)</f>
        <v>0</v>
      </c>
      <c r="Z986" s="56">
        <f>_xlfn.XLOOKUP($N986,'Calculo Leads Conveniencia'!$A$77:$A$104,'Calculo Leads Conveniencia'!M$77:M$104)*_xlfn.XLOOKUP($P986,'Base Grupo de Produtos'!$E$23:$E$39,'Base Grupo de Produtos'!$F$23:$F$39)</f>
        <v>0</v>
      </c>
      <c r="AA986" s="56">
        <f>_xlfn.XLOOKUP($N986,'Calculo Leads Conveniencia'!$A$77:$A$104,'Calculo Leads Conveniencia'!N$77:N$104)*_xlfn.XLOOKUP($P986,'Base Grupo de Produtos'!$E$23:$E$39,'Base Grupo de Produtos'!$F$23:$F$39)</f>
        <v>0</v>
      </c>
      <c r="AB986" s="56">
        <f>_xlfn.XLOOKUP($N986,'Calculo Leads Conveniencia'!$A$77:$A$104,'Calculo Leads Conveniencia'!O$77:O$104)*_xlfn.XLOOKUP($P986,'Base Grupo de Produtos'!$E$23:$E$39,'Base Grupo de Produtos'!$F$23:$F$39)</f>
        <v>0</v>
      </c>
      <c r="AC986" s="61">
        <f t="shared" si="948"/>
        <v>0</v>
      </c>
      <c r="AD986" s="28"/>
      <c r="AE986" s="12"/>
      <c r="AF986" s="29"/>
      <c r="AG986" s="9"/>
      <c r="AH986" s="10"/>
      <c r="AI986" s="9"/>
      <c r="AJ986" s="11"/>
      <c r="AK986" s="9"/>
      <c r="AL986" s="13"/>
      <c r="AM986" s="9"/>
    </row>
    <row r="987" spans="1:39" x14ac:dyDescent="0.3">
      <c r="A987" s="2" t="str">
        <f t="shared" ref="A987:A1050" si="962">IF(L987=1,"SIM","NÃO")</f>
        <v>NÃO</v>
      </c>
      <c r="B987" s="2" t="str">
        <f>_xlfn.XLOOKUP($N987,'Base de Grupos'!$A:$A,'Base de Grupos'!$D:$D)</f>
        <v>1000065763</v>
      </c>
      <c r="C987" s="5" t="str">
        <f>_xlfn.XLOOKUP($N987,'Base de Grupos'!$A:$A,'Base de Grupos'!$E:$E)</f>
        <v>CANAL VENDA INTERNA</v>
      </c>
      <c r="D987" s="5" t="str">
        <f>_xlfn.XLOOKUP($N987,'Base de Grupos'!$A:$A,'Base de Grupos'!$F:$F)</f>
        <v>1000065763</v>
      </c>
      <c r="E987" s="2" t="str">
        <f>_xlfn.XLOOKUP($N987,'Base de Grupos'!$A:$A,'Base de Grupos'!$G:$G)</f>
        <v>CANAL VENDA INTERNA</v>
      </c>
      <c r="F987" s="2" t="str">
        <f>_xlfn.XLOOKUP($N987,'Base de Grupos'!$A:$A,'Base de Grupos'!$H:$H)</f>
        <v>1000174119</v>
      </c>
      <c r="G987" s="5" t="str">
        <f>_xlfn.XLOOKUP($N987,'Base de Grupos'!$A:$A,'Base de Grupos'!$I:$I)</f>
        <v>REGIONAL VENDA INTERNA - CONVENIENCIA</v>
      </c>
      <c r="H987" s="5" t="str">
        <f>_xlfn.XLOOKUP($N987,'Base de Grupos'!$A:$A,'Base de Grupos'!$J:$J)</f>
        <v>1000174119</v>
      </c>
      <c r="I987" s="2" t="str">
        <f>_xlfn.XLOOKUP($N987,'Base de Grupos'!$A:$A,'Base de Grupos'!$K:$K)</f>
        <v>REGIONAL VENDA INTERNA - CONVENIENCIA</v>
      </c>
      <c r="J987" s="2" t="str">
        <f>_xlfn.XLOOKUP($N987,'Base de Grupos'!$A:$A,'Base de Grupos'!$L:$L)</f>
        <v>1000174119</v>
      </c>
      <c r="K987" s="5" t="str">
        <f>_xlfn.XLOOKUP($N987,'Base de Grupos'!$A:$A,'Base de Grupos'!$M:$M)</f>
        <v>REGIONAL VENDA INTERNA - CONVENIENCIA</v>
      </c>
      <c r="L987" s="5" t="str">
        <f t="shared" ref="L987:L1050" si="963">IF(N987&lt;&gt;N986,1,"")</f>
        <v/>
      </c>
      <c r="M987" s="5" t="str">
        <f>_xlfn.XLOOKUP($N987,'Base de Grupos'!$A:$A,'Base de Grupos'!$C:$C)</f>
        <v>MS</v>
      </c>
      <c r="N987" s="3">
        <v>1519</v>
      </c>
      <c r="O987" s="4" t="s">
        <v>278</v>
      </c>
      <c r="P987" s="5" t="s">
        <v>90</v>
      </c>
      <c r="Q987" s="56">
        <v>0</v>
      </c>
      <c r="R987" s="56">
        <v>0</v>
      </c>
      <c r="S987" s="56">
        <v>0</v>
      </c>
      <c r="T987" s="56">
        <f>_xlfn.XLOOKUP($N987,'Calculo Leads Conveniencia'!$A$77:$A$104,'Calculo Leads Conveniencia'!G$77:G$104)*_xlfn.XLOOKUP($P987,'Base Grupo de Produtos'!$E$23:$E$39,'Base Grupo de Produtos'!$F$23:$F$39)</f>
        <v>0</v>
      </c>
      <c r="U987" s="56">
        <f>_xlfn.XLOOKUP($N987,'Calculo Leads Conveniencia'!$A$77:$A$104,'Calculo Leads Conveniencia'!H$77:H$104)*_xlfn.XLOOKUP($P987,'Base Grupo de Produtos'!$E$23:$E$39,'Base Grupo de Produtos'!$F$23:$F$39)</f>
        <v>0</v>
      </c>
      <c r="V987" s="56">
        <f>_xlfn.XLOOKUP($N987,'Calculo Leads Conveniencia'!$A$77:$A$104,'Calculo Leads Conveniencia'!I$77:I$104)*_xlfn.XLOOKUP($P987,'Base Grupo de Produtos'!$E$23:$E$39,'Base Grupo de Produtos'!$F$23:$F$39)</f>
        <v>0</v>
      </c>
      <c r="W987" s="56">
        <f>_xlfn.XLOOKUP($N987,'Calculo Leads Conveniencia'!$A$77:$A$104,'Calculo Leads Conveniencia'!J$77:J$104)*_xlfn.XLOOKUP($P987,'Base Grupo de Produtos'!$E$23:$E$39,'Base Grupo de Produtos'!$F$23:$F$39)</f>
        <v>0</v>
      </c>
      <c r="X987" s="56">
        <f>_xlfn.XLOOKUP($N987,'Calculo Leads Conveniencia'!$A$77:$A$104,'Calculo Leads Conveniencia'!K$77:K$104)*_xlfn.XLOOKUP($P987,'Base Grupo de Produtos'!$E$23:$E$39,'Base Grupo de Produtos'!$F$23:$F$39)</f>
        <v>0</v>
      </c>
      <c r="Y987" s="56">
        <f>_xlfn.XLOOKUP($N987,'Calculo Leads Conveniencia'!$A$77:$A$104,'Calculo Leads Conveniencia'!L$77:L$104)*_xlfn.XLOOKUP($P987,'Base Grupo de Produtos'!$E$23:$E$39,'Base Grupo de Produtos'!$F$23:$F$39)</f>
        <v>0</v>
      </c>
      <c r="Z987" s="56">
        <f>_xlfn.XLOOKUP($N987,'Calculo Leads Conveniencia'!$A$77:$A$104,'Calculo Leads Conveniencia'!M$77:M$104)*_xlfn.XLOOKUP($P987,'Base Grupo de Produtos'!$E$23:$E$39,'Base Grupo de Produtos'!$F$23:$F$39)</f>
        <v>0</v>
      </c>
      <c r="AA987" s="56">
        <f>_xlfn.XLOOKUP($N987,'Calculo Leads Conveniencia'!$A$77:$A$104,'Calculo Leads Conveniencia'!N$77:N$104)*_xlfn.XLOOKUP($P987,'Base Grupo de Produtos'!$E$23:$E$39,'Base Grupo de Produtos'!$F$23:$F$39)</f>
        <v>0</v>
      </c>
      <c r="AB987" s="56">
        <f>_xlfn.XLOOKUP($N987,'Calculo Leads Conveniencia'!$A$77:$A$104,'Calculo Leads Conveniencia'!O$77:O$104)*_xlfn.XLOOKUP($P987,'Base Grupo de Produtos'!$E$23:$E$39,'Base Grupo de Produtos'!$F$23:$F$39)</f>
        <v>0</v>
      </c>
      <c r="AC987" s="61">
        <f t="shared" si="948"/>
        <v>0</v>
      </c>
      <c r="AD987" s="28"/>
      <c r="AE987" s="12"/>
      <c r="AF987" s="29"/>
      <c r="AG987" s="9"/>
      <c r="AH987" s="10"/>
      <c r="AI987" s="9"/>
      <c r="AJ987" s="11"/>
      <c r="AK987" s="9"/>
      <c r="AL987" s="13"/>
      <c r="AM987" s="9"/>
    </row>
    <row r="988" spans="1:39" x14ac:dyDescent="0.3">
      <c r="A988" s="2" t="str">
        <f t="shared" si="962"/>
        <v>NÃO</v>
      </c>
      <c r="B988" s="2" t="str">
        <f>_xlfn.XLOOKUP($N988,'Base de Grupos'!$A:$A,'Base de Grupos'!$D:$D)</f>
        <v>1000065763</v>
      </c>
      <c r="C988" s="5" t="str">
        <f>_xlfn.XLOOKUP($N988,'Base de Grupos'!$A:$A,'Base de Grupos'!$E:$E)</f>
        <v>CANAL VENDA INTERNA</v>
      </c>
      <c r="D988" s="5" t="str">
        <f>_xlfn.XLOOKUP($N988,'Base de Grupos'!$A:$A,'Base de Grupos'!$F:$F)</f>
        <v>1000065763</v>
      </c>
      <c r="E988" s="2" t="str">
        <f>_xlfn.XLOOKUP($N988,'Base de Grupos'!$A:$A,'Base de Grupos'!$G:$G)</f>
        <v>CANAL VENDA INTERNA</v>
      </c>
      <c r="F988" s="2" t="str">
        <f>_xlfn.XLOOKUP($N988,'Base de Grupos'!$A:$A,'Base de Grupos'!$H:$H)</f>
        <v>1000174119</v>
      </c>
      <c r="G988" s="5" t="str">
        <f>_xlfn.XLOOKUP($N988,'Base de Grupos'!$A:$A,'Base de Grupos'!$I:$I)</f>
        <v>REGIONAL VENDA INTERNA - CONVENIENCIA</v>
      </c>
      <c r="H988" s="5" t="str">
        <f>_xlfn.XLOOKUP($N988,'Base de Grupos'!$A:$A,'Base de Grupos'!$J:$J)</f>
        <v>1000174119</v>
      </c>
      <c r="I988" s="2" t="str">
        <f>_xlfn.XLOOKUP($N988,'Base de Grupos'!$A:$A,'Base de Grupos'!$K:$K)</f>
        <v>REGIONAL VENDA INTERNA - CONVENIENCIA</v>
      </c>
      <c r="J988" s="2" t="str">
        <f>_xlfn.XLOOKUP($N988,'Base de Grupos'!$A:$A,'Base de Grupos'!$L:$L)</f>
        <v>1000174119</v>
      </c>
      <c r="K988" s="5" t="str">
        <f>_xlfn.XLOOKUP($N988,'Base de Grupos'!$A:$A,'Base de Grupos'!$M:$M)</f>
        <v>REGIONAL VENDA INTERNA - CONVENIENCIA</v>
      </c>
      <c r="L988" s="5" t="str">
        <f t="shared" si="963"/>
        <v/>
      </c>
      <c r="M988" s="5" t="str">
        <f>_xlfn.XLOOKUP($N988,'Base de Grupos'!$A:$A,'Base de Grupos'!$C:$C)</f>
        <v>MS</v>
      </c>
      <c r="N988" s="3">
        <v>1519</v>
      </c>
      <c r="O988" s="4" t="s">
        <v>278</v>
      </c>
      <c r="P988" s="5" t="s">
        <v>91</v>
      </c>
      <c r="Q988" s="56">
        <v>0</v>
      </c>
      <c r="R988" s="56">
        <v>0</v>
      </c>
      <c r="S988" s="56">
        <v>0</v>
      </c>
      <c r="T988" s="56">
        <f>_xlfn.XLOOKUP($N988,'Calculo Leads Conveniencia'!$A$77:$A$104,'Calculo Leads Conveniencia'!G$77:G$104)*_xlfn.XLOOKUP($P988,'Base Grupo de Produtos'!$E$23:$E$39,'Base Grupo de Produtos'!$F$23:$F$39)</f>
        <v>0</v>
      </c>
      <c r="U988" s="56">
        <f>_xlfn.XLOOKUP($N988,'Calculo Leads Conveniencia'!$A$77:$A$104,'Calculo Leads Conveniencia'!H$77:H$104)*_xlfn.XLOOKUP($P988,'Base Grupo de Produtos'!$E$23:$E$39,'Base Grupo de Produtos'!$F$23:$F$39)</f>
        <v>0</v>
      </c>
      <c r="V988" s="56">
        <f>_xlfn.XLOOKUP($N988,'Calculo Leads Conveniencia'!$A$77:$A$104,'Calculo Leads Conveniencia'!I$77:I$104)*_xlfn.XLOOKUP($P988,'Base Grupo de Produtos'!$E$23:$E$39,'Base Grupo de Produtos'!$F$23:$F$39)</f>
        <v>0</v>
      </c>
      <c r="W988" s="56">
        <f>_xlfn.XLOOKUP($N988,'Calculo Leads Conveniencia'!$A$77:$A$104,'Calculo Leads Conveniencia'!J$77:J$104)*_xlfn.XLOOKUP($P988,'Base Grupo de Produtos'!$E$23:$E$39,'Base Grupo de Produtos'!$F$23:$F$39)</f>
        <v>0</v>
      </c>
      <c r="X988" s="56">
        <f>_xlfn.XLOOKUP($N988,'Calculo Leads Conveniencia'!$A$77:$A$104,'Calculo Leads Conveniencia'!K$77:K$104)*_xlfn.XLOOKUP($P988,'Base Grupo de Produtos'!$E$23:$E$39,'Base Grupo de Produtos'!$F$23:$F$39)</f>
        <v>0</v>
      </c>
      <c r="Y988" s="56">
        <f>_xlfn.XLOOKUP($N988,'Calculo Leads Conveniencia'!$A$77:$A$104,'Calculo Leads Conveniencia'!L$77:L$104)*_xlfn.XLOOKUP($P988,'Base Grupo de Produtos'!$E$23:$E$39,'Base Grupo de Produtos'!$F$23:$F$39)</f>
        <v>0</v>
      </c>
      <c r="Z988" s="56">
        <f>_xlfn.XLOOKUP($N988,'Calculo Leads Conveniencia'!$A$77:$A$104,'Calculo Leads Conveniencia'!M$77:M$104)*_xlfn.XLOOKUP($P988,'Base Grupo de Produtos'!$E$23:$E$39,'Base Grupo de Produtos'!$F$23:$F$39)</f>
        <v>0</v>
      </c>
      <c r="AA988" s="56">
        <f>_xlfn.XLOOKUP($N988,'Calculo Leads Conveniencia'!$A$77:$A$104,'Calculo Leads Conveniencia'!N$77:N$104)*_xlfn.XLOOKUP($P988,'Base Grupo de Produtos'!$E$23:$E$39,'Base Grupo de Produtos'!$F$23:$F$39)</f>
        <v>0</v>
      </c>
      <c r="AB988" s="56">
        <f>_xlfn.XLOOKUP($N988,'Calculo Leads Conveniencia'!$A$77:$A$104,'Calculo Leads Conveniencia'!O$77:O$104)*_xlfn.XLOOKUP($P988,'Base Grupo de Produtos'!$E$23:$E$39,'Base Grupo de Produtos'!$F$23:$F$39)</f>
        <v>0</v>
      </c>
      <c r="AC988" s="61">
        <f t="shared" si="948"/>
        <v>0</v>
      </c>
      <c r="AD988" s="28"/>
      <c r="AE988" s="12"/>
      <c r="AF988" s="29"/>
      <c r="AG988" s="9"/>
      <c r="AH988" s="10"/>
      <c r="AI988" s="9"/>
      <c r="AJ988" s="11"/>
      <c r="AK988" s="9"/>
      <c r="AL988" s="13"/>
      <c r="AM988" s="9"/>
    </row>
    <row r="989" spans="1:39" x14ac:dyDescent="0.3">
      <c r="A989" s="2" t="str">
        <f t="shared" si="962"/>
        <v>NÃO</v>
      </c>
      <c r="B989" s="2" t="str">
        <f>_xlfn.XLOOKUP($N989,'Base de Grupos'!$A:$A,'Base de Grupos'!$D:$D)</f>
        <v>1000065763</v>
      </c>
      <c r="C989" s="5" t="str">
        <f>_xlfn.XLOOKUP($N989,'Base de Grupos'!$A:$A,'Base de Grupos'!$E:$E)</f>
        <v>CANAL VENDA INTERNA</v>
      </c>
      <c r="D989" s="5" t="str">
        <f>_xlfn.XLOOKUP($N989,'Base de Grupos'!$A:$A,'Base de Grupos'!$F:$F)</f>
        <v>1000065763</v>
      </c>
      <c r="E989" s="2" t="str">
        <f>_xlfn.XLOOKUP($N989,'Base de Grupos'!$A:$A,'Base de Grupos'!$G:$G)</f>
        <v>CANAL VENDA INTERNA</v>
      </c>
      <c r="F989" s="2" t="str">
        <f>_xlfn.XLOOKUP($N989,'Base de Grupos'!$A:$A,'Base de Grupos'!$H:$H)</f>
        <v>1000174119</v>
      </c>
      <c r="G989" s="5" t="str">
        <f>_xlfn.XLOOKUP($N989,'Base de Grupos'!$A:$A,'Base de Grupos'!$I:$I)</f>
        <v>REGIONAL VENDA INTERNA - CONVENIENCIA</v>
      </c>
      <c r="H989" s="5" t="str">
        <f>_xlfn.XLOOKUP($N989,'Base de Grupos'!$A:$A,'Base de Grupos'!$J:$J)</f>
        <v>1000174119</v>
      </c>
      <c r="I989" s="2" t="str">
        <f>_xlfn.XLOOKUP($N989,'Base de Grupos'!$A:$A,'Base de Grupos'!$K:$K)</f>
        <v>REGIONAL VENDA INTERNA - CONVENIENCIA</v>
      </c>
      <c r="J989" s="2" t="str">
        <f>_xlfn.XLOOKUP($N989,'Base de Grupos'!$A:$A,'Base de Grupos'!$L:$L)</f>
        <v>1000174119</v>
      </c>
      <c r="K989" s="5" t="str">
        <f>_xlfn.XLOOKUP($N989,'Base de Grupos'!$A:$A,'Base de Grupos'!$M:$M)</f>
        <v>REGIONAL VENDA INTERNA - CONVENIENCIA</v>
      </c>
      <c r="L989" s="5" t="str">
        <f t="shared" si="963"/>
        <v/>
      </c>
      <c r="M989" s="5" t="str">
        <f>_xlfn.XLOOKUP($N989,'Base de Grupos'!$A:$A,'Base de Grupos'!$C:$C)</f>
        <v>MS</v>
      </c>
      <c r="N989" s="3">
        <v>1519</v>
      </c>
      <c r="O989" s="4" t="s">
        <v>278</v>
      </c>
      <c r="P989" s="5" t="s">
        <v>96</v>
      </c>
      <c r="Q989" s="56">
        <v>0</v>
      </c>
      <c r="R989" s="56">
        <v>0</v>
      </c>
      <c r="S989" s="56">
        <v>0</v>
      </c>
      <c r="T989" s="56">
        <f>_xlfn.XLOOKUP($N989,'Calculo Leads Conveniencia'!$A$77:$A$104,'Calculo Leads Conveniencia'!G$77:G$104)*_xlfn.XLOOKUP($P989,'Base Grupo de Produtos'!$E$23:$E$39,'Base Grupo de Produtos'!$F$23:$F$39)</f>
        <v>0</v>
      </c>
      <c r="U989" s="56">
        <f>_xlfn.XLOOKUP($N989,'Calculo Leads Conveniencia'!$A$77:$A$104,'Calculo Leads Conveniencia'!H$77:H$104)*_xlfn.XLOOKUP($P989,'Base Grupo de Produtos'!$E$23:$E$39,'Base Grupo de Produtos'!$F$23:$F$39)</f>
        <v>0</v>
      </c>
      <c r="V989" s="56">
        <f>_xlfn.XLOOKUP($N989,'Calculo Leads Conveniencia'!$A$77:$A$104,'Calculo Leads Conveniencia'!I$77:I$104)*_xlfn.XLOOKUP($P989,'Base Grupo de Produtos'!$E$23:$E$39,'Base Grupo de Produtos'!$F$23:$F$39)</f>
        <v>0</v>
      </c>
      <c r="W989" s="56">
        <f>_xlfn.XLOOKUP($N989,'Calculo Leads Conveniencia'!$A$77:$A$104,'Calculo Leads Conveniencia'!J$77:J$104)*_xlfn.XLOOKUP($P989,'Base Grupo de Produtos'!$E$23:$E$39,'Base Grupo de Produtos'!$F$23:$F$39)</f>
        <v>0</v>
      </c>
      <c r="X989" s="56">
        <f>_xlfn.XLOOKUP($N989,'Calculo Leads Conveniencia'!$A$77:$A$104,'Calculo Leads Conveniencia'!K$77:K$104)*_xlfn.XLOOKUP($P989,'Base Grupo de Produtos'!$E$23:$E$39,'Base Grupo de Produtos'!$F$23:$F$39)</f>
        <v>0</v>
      </c>
      <c r="Y989" s="56">
        <f>_xlfn.XLOOKUP($N989,'Calculo Leads Conveniencia'!$A$77:$A$104,'Calculo Leads Conveniencia'!L$77:L$104)*_xlfn.XLOOKUP($P989,'Base Grupo de Produtos'!$E$23:$E$39,'Base Grupo de Produtos'!$F$23:$F$39)</f>
        <v>0</v>
      </c>
      <c r="Z989" s="56">
        <f>_xlfn.XLOOKUP($N989,'Calculo Leads Conveniencia'!$A$77:$A$104,'Calculo Leads Conveniencia'!M$77:M$104)*_xlfn.XLOOKUP($P989,'Base Grupo de Produtos'!$E$23:$E$39,'Base Grupo de Produtos'!$F$23:$F$39)</f>
        <v>0</v>
      </c>
      <c r="AA989" s="56">
        <f>_xlfn.XLOOKUP($N989,'Calculo Leads Conveniencia'!$A$77:$A$104,'Calculo Leads Conveniencia'!N$77:N$104)*_xlfn.XLOOKUP($P989,'Base Grupo de Produtos'!$E$23:$E$39,'Base Grupo de Produtos'!$F$23:$F$39)</f>
        <v>0</v>
      </c>
      <c r="AB989" s="56">
        <f>_xlfn.XLOOKUP($N989,'Calculo Leads Conveniencia'!$A$77:$A$104,'Calculo Leads Conveniencia'!O$77:O$104)*_xlfn.XLOOKUP($P989,'Base Grupo de Produtos'!$E$23:$E$39,'Base Grupo de Produtos'!$F$23:$F$39)</f>
        <v>0</v>
      </c>
      <c r="AC989" s="61">
        <f t="shared" si="948"/>
        <v>0</v>
      </c>
      <c r="AD989" s="28"/>
      <c r="AE989" s="12"/>
      <c r="AF989" s="29"/>
      <c r="AG989" s="9"/>
      <c r="AH989" s="10"/>
      <c r="AI989" s="9"/>
      <c r="AJ989" s="11"/>
      <c r="AK989" s="9"/>
      <c r="AL989" s="13"/>
      <c r="AM989" s="9"/>
    </row>
    <row r="990" spans="1:39" x14ac:dyDescent="0.3">
      <c r="A990" s="2" t="str">
        <f t="shared" si="962"/>
        <v>NÃO</v>
      </c>
      <c r="B990" s="2" t="str">
        <f>_xlfn.XLOOKUP($N990,'Base de Grupos'!$A:$A,'Base de Grupos'!$D:$D)</f>
        <v>1000065763</v>
      </c>
      <c r="C990" s="5" t="str">
        <f>_xlfn.XLOOKUP($N990,'Base de Grupos'!$A:$A,'Base de Grupos'!$E:$E)</f>
        <v>CANAL VENDA INTERNA</v>
      </c>
      <c r="D990" s="5" t="str">
        <f>_xlfn.XLOOKUP($N990,'Base de Grupos'!$A:$A,'Base de Grupos'!$F:$F)</f>
        <v>1000065763</v>
      </c>
      <c r="E990" s="2" t="str">
        <f>_xlfn.XLOOKUP($N990,'Base de Grupos'!$A:$A,'Base de Grupos'!$G:$G)</f>
        <v>CANAL VENDA INTERNA</v>
      </c>
      <c r="F990" s="2" t="str">
        <f>_xlfn.XLOOKUP($N990,'Base de Grupos'!$A:$A,'Base de Grupos'!$H:$H)</f>
        <v>1000174119</v>
      </c>
      <c r="G990" s="5" t="str">
        <f>_xlfn.XLOOKUP($N990,'Base de Grupos'!$A:$A,'Base de Grupos'!$I:$I)</f>
        <v>REGIONAL VENDA INTERNA - CONVENIENCIA</v>
      </c>
      <c r="H990" s="5" t="str">
        <f>_xlfn.XLOOKUP($N990,'Base de Grupos'!$A:$A,'Base de Grupos'!$J:$J)</f>
        <v>1000174119</v>
      </c>
      <c r="I990" s="2" t="str">
        <f>_xlfn.XLOOKUP($N990,'Base de Grupos'!$A:$A,'Base de Grupos'!$K:$K)</f>
        <v>REGIONAL VENDA INTERNA - CONVENIENCIA</v>
      </c>
      <c r="J990" s="2" t="str">
        <f>_xlfn.XLOOKUP($N990,'Base de Grupos'!$A:$A,'Base de Grupos'!$L:$L)</f>
        <v>1000174119</v>
      </c>
      <c r="K990" s="5" t="str">
        <f>_xlfn.XLOOKUP($N990,'Base de Grupos'!$A:$A,'Base de Grupos'!$M:$M)</f>
        <v>REGIONAL VENDA INTERNA - CONVENIENCIA</v>
      </c>
      <c r="L990" s="5" t="str">
        <f t="shared" si="963"/>
        <v/>
      </c>
      <c r="M990" s="5" t="str">
        <f>_xlfn.XLOOKUP($N990,'Base de Grupos'!$A:$A,'Base de Grupos'!$C:$C)</f>
        <v>MS</v>
      </c>
      <c r="N990" s="3">
        <v>1519</v>
      </c>
      <c r="O990" s="4" t="s">
        <v>278</v>
      </c>
      <c r="P990" s="5" t="s">
        <v>94</v>
      </c>
      <c r="Q990" s="56">
        <v>0</v>
      </c>
      <c r="R990" s="56">
        <v>0</v>
      </c>
      <c r="S990" s="56">
        <v>0</v>
      </c>
      <c r="T990" s="56">
        <f>_xlfn.XLOOKUP($N990,'Calculo Leads Conveniencia'!$A$77:$A$104,'Calculo Leads Conveniencia'!G$77:G$104)*_xlfn.XLOOKUP($P990,'Base Grupo de Produtos'!$E$23:$E$39,'Base Grupo de Produtos'!$F$23:$F$39)</f>
        <v>0</v>
      </c>
      <c r="U990" s="56">
        <f>_xlfn.XLOOKUP($N990,'Calculo Leads Conveniencia'!$A$77:$A$104,'Calculo Leads Conveniencia'!H$77:H$104)*_xlfn.XLOOKUP($P990,'Base Grupo de Produtos'!$E$23:$E$39,'Base Grupo de Produtos'!$F$23:$F$39)</f>
        <v>0</v>
      </c>
      <c r="V990" s="56">
        <f>_xlfn.XLOOKUP($N990,'Calculo Leads Conveniencia'!$A$77:$A$104,'Calculo Leads Conveniencia'!I$77:I$104)*_xlfn.XLOOKUP($P990,'Base Grupo de Produtos'!$E$23:$E$39,'Base Grupo de Produtos'!$F$23:$F$39)</f>
        <v>0</v>
      </c>
      <c r="W990" s="56">
        <f>_xlfn.XLOOKUP($N990,'Calculo Leads Conveniencia'!$A$77:$A$104,'Calculo Leads Conveniencia'!J$77:J$104)*_xlfn.XLOOKUP($P990,'Base Grupo de Produtos'!$E$23:$E$39,'Base Grupo de Produtos'!$F$23:$F$39)</f>
        <v>0</v>
      </c>
      <c r="X990" s="56">
        <f>_xlfn.XLOOKUP($N990,'Calculo Leads Conveniencia'!$A$77:$A$104,'Calculo Leads Conveniencia'!K$77:K$104)*_xlfn.XLOOKUP($P990,'Base Grupo de Produtos'!$E$23:$E$39,'Base Grupo de Produtos'!$F$23:$F$39)</f>
        <v>0</v>
      </c>
      <c r="Y990" s="56">
        <f>_xlfn.XLOOKUP($N990,'Calculo Leads Conveniencia'!$A$77:$A$104,'Calculo Leads Conveniencia'!L$77:L$104)*_xlfn.XLOOKUP($P990,'Base Grupo de Produtos'!$E$23:$E$39,'Base Grupo de Produtos'!$F$23:$F$39)</f>
        <v>0</v>
      </c>
      <c r="Z990" s="56">
        <f>_xlfn.XLOOKUP($N990,'Calculo Leads Conveniencia'!$A$77:$A$104,'Calculo Leads Conveniencia'!M$77:M$104)*_xlfn.XLOOKUP($P990,'Base Grupo de Produtos'!$E$23:$E$39,'Base Grupo de Produtos'!$F$23:$F$39)</f>
        <v>0</v>
      </c>
      <c r="AA990" s="56">
        <f>_xlfn.XLOOKUP($N990,'Calculo Leads Conveniencia'!$A$77:$A$104,'Calculo Leads Conveniencia'!N$77:N$104)*_xlfn.XLOOKUP($P990,'Base Grupo de Produtos'!$E$23:$E$39,'Base Grupo de Produtos'!$F$23:$F$39)</f>
        <v>0</v>
      </c>
      <c r="AB990" s="56">
        <f>_xlfn.XLOOKUP($N990,'Calculo Leads Conveniencia'!$A$77:$A$104,'Calculo Leads Conveniencia'!O$77:O$104)*_xlfn.XLOOKUP($P990,'Base Grupo de Produtos'!$E$23:$E$39,'Base Grupo de Produtos'!$F$23:$F$39)</f>
        <v>0</v>
      </c>
      <c r="AC990" s="61">
        <f t="shared" si="948"/>
        <v>0</v>
      </c>
      <c r="AD990" s="28"/>
      <c r="AE990" s="12"/>
      <c r="AF990" s="29"/>
      <c r="AG990" s="9"/>
      <c r="AH990" s="10"/>
      <c r="AI990" s="9"/>
      <c r="AJ990" s="11"/>
      <c r="AK990" s="9"/>
      <c r="AL990" s="13"/>
      <c r="AM990" s="9"/>
    </row>
    <row r="991" spans="1:39" x14ac:dyDescent="0.3">
      <c r="A991" s="2" t="str">
        <f t="shared" si="962"/>
        <v>NÃO</v>
      </c>
      <c r="B991" s="2" t="str">
        <f>_xlfn.XLOOKUP($N991,'Base de Grupos'!$A:$A,'Base de Grupos'!$D:$D)</f>
        <v>1000065763</v>
      </c>
      <c r="C991" s="5" t="str">
        <f>_xlfn.XLOOKUP($N991,'Base de Grupos'!$A:$A,'Base de Grupos'!$E:$E)</f>
        <v>CANAL VENDA INTERNA</v>
      </c>
      <c r="D991" s="5" t="str">
        <f>_xlfn.XLOOKUP($N991,'Base de Grupos'!$A:$A,'Base de Grupos'!$F:$F)</f>
        <v>1000065763</v>
      </c>
      <c r="E991" s="2" t="str">
        <f>_xlfn.XLOOKUP($N991,'Base de Grupos'!$A:$A,'Base de Grupos'!$G:$G)</f>
        <v>CANAL VENDA INTERNA</v>
      </c>
      <c r="F991" s="2" t="str">
        <f>_xlfn.XLOOKUP($N991,'Base de Grupos'!$A:$A,'Base de Grupos'!$H:$H)</f>
        <v>1000174119</v>
      </c>
      <c r="G991" s="5" t="str">
        <f>_xlfn.XLOOKUP($N991,'Base de Grupos'!$A:$A,'Base de Grupos'!$I:$I)</f>
        <v>REGIONAL VENDA INTERNA - CONVENIENCIA</v>
      </c>
      <c r="H991" s="5" t="str">
        <f>_xlfn.XLOOKUP($N991,'Base de Grupos'!$A:$A,'Base de Grupos'!$J:$J)</f>
        <v>1000174119</v>
      </c>
      <c r="I991" s="2" t="str">
        <f>_xlfn.XLOOKUP($N991,'Base de Grupos'!$A:$A,'Base de Grupos'!$K:$K)</f>
        <v>REGIONAL VENDA INTERNA - CONVENIENCIA</v>
      </c>
      <c r="J991" s="2" t="str">
        <f>_xlfn.XLOOKUP($N991,'Base de Grupos'!$A:$A,'Base de Grupos'!$L:$L)</f>
        <v>1000174119</v>
      </c>
      <c r="K991" s="5" t="str">
        <f>_xlfn.XLOOKUP($N991,'Base de Grupos'!$A:$A,'Base de Grupos'!$M:$M)</f>
        <v>REGIONAL VENDA INTERNA - CONVENIENCIA</v>
      </c>
      <c r="L991" s="5" t="str">
        <f t="shared" si="963"/>
        <v/>
      </c>
      <c r="M991" s="5" t="str">
        <f>_xlfn.XLOOKUP($N991,'Base de Grupos'!$A:$A,'Base de Grupos'!$C:$C)</f>
        <v>MS</v>
      </c>
      <c r="N991" s="3">
        <v>1519</v>
      </c>
      <c r="O991" s="4" t="s">
        <v>278</v>
      </c>
      <c r="P991" s="5" t="s">
        <v>95</v>
      </c>
      <c r="Q991" s="56">
        <v>0</v>
      </c>
      <c r="R991" s="56">
        <v>0</v>
      </c>
      <c r="S991" s="56">
        <v>0</v>
      </c>
      <c r="T991" s="56">
        <f>_xlfn.XLOOKUP($N991,'Calculo Leads Conveniencia'!$A$77:$A$104,'Calculo Leads Conveniencia'!G$77:G$104)*_xlfn.XLOOKUP($P991,'Base Grupo de Produtos'!$E$23:$E$39,'Base Grupo de Produtos'!$F$23:$F$39)</f>
        <v>0</v>
      </c>
      <c r="U991" s="56">
        <f>_xlfn.XLOOKUP($N991,'Calculo Leads Conveniencia'!$A$77:$A$104,'Calculo Leads Conveniencia'!H$77:H$104)*_xlfn.XLOOKUP($P991,'Base Grupo de Produtos'!$E$23:$E$39,'Base Grupo de Produtos'!$F$23:$F$39)</f>
        <v>0</v>
      </c>
      <c r="V991" s="56">
        <f>_xlfn.XLOOKUP($N991,'Calculo Leads Conveniencia'!$A$77:$A$104,'Calculo Leads Conveniencia'!I$77:I$104)*_xlfn.XLOOKUP($P991,'Base Grupo de Produtos'!$E$23:$E$39,'Base Grupo de Produtos'!$F$23:$F$39)</f>
        <v>0</v>
      </c>
      <c r="W991" s="56">
        <f>_xlfn.XLOOKUP($N991,'Calculo Leads Conveniencia'!$A$77:$A$104,'Calculo Leads Conveniencia'!J$77:J$104)*_xlfn.XLOOKUP($P991,'Base Grupo de Produtos'!$E$23:$E$39,'Base Grupo de Produtos'!$F$23:$F$39)</f>
        <v>0</v>
      </c>
      <c r="X991" s="56">
        <f>_xlfn.XLOOKUP($N991,'Calculo Leads Conveniencia'!$A$77:$A$104,'Calculo Leads Conveniencia'!K$77:K$104)*_xlfn.XLOOKUP($P991,'Base Grupo de Produtos'!$E$23:$E$39,'Base Grupo de Produtos'!$F$23:$F$39)</f>
        <v>0</v>
      </c>
      <c r="Y991" s="56">
        <f>_xlfn.XLOOKUP($N991,'Calculo Leads Conveniencia'!$A$77:$A$104,'Calculo Leads Conveniencia'!L$77:L$104)*_xlfn.XLOOKUP($P991,'Base Grupo de Produtos'!$E$23:$E$39,'Base Grupo de Produtos'!$F$23:$F$39)</f>
        <v>0</v>
      </c>
      <c r="Z991" s="56">
        <f>_xlfn.XLOOKUP($N991,'Calculo Leads Conveniencia'!$A$77:$A$104,'Calculo Leads Conveniencia'!M$77:M$104)*_xlfn.XLOOKUP($P991,'Base Grupo de Produtos'!$E$23:$E$39,'Base Grupo de Produtos'!$F$23:$F$39)</f>
        <v>0</v>
      </c>
      <c r="AA991" s="56">
        <f>_xlfn.XLOOKUP($N991,'Calculo Leads Conveniencia'!$A$77:$A$104,'Calculo Leads Conveniencia'!N$77:N$104)*_xlfn.XLOOKUP($P991,'Base Grupo de Produtos'!$E$23:$E$39,'Base Grupo de Produtos'!$F$23:$F$39)</f>
        <v>0</v>
      </c>
      <c r="AB991" s="56">
        <f>_xlfn.XLOOKUP($N991,'Calculo Leads Conveniencia'!$A$77:$A$104,'Calculo Leads Conveniencia'!O$77:O$104)*_xlfn.XLOOKUP($P991,'Base Grupo de Produtos'!$E$23:$E$39,'Base Grupo de Produtos'!$F$23:$F$39)</f>
        <v>0</v>
      </c>
      <c r="AC991" s="61">
        <f t="shared" si="948"/>
        <v>0</v>
      </c>
      <c r="AD991" s="28"/>
      <c r="AE991" s="12"/>
      <c r="AF991" s="29"/>
      <c r="AG991" s="9"/>
      <c r="AH991" s="10"/>
      <c r="AI991" s="9"/>
      <c r="AJ991" s="11"/>
      <c r="AK991" s="9"/>
      <c r="AL991" s="13"/>
      <c r="AM991" s="9"/>
    </row>
    <row r="992" spans="1:39" x14ac:dyDescent="0.3">
      <c r="A992" s="2" t="str">
        <f t="shared" si="962"/>
        <v>NÃO</v>
      </c>
      <c r="B992" s="2" t="str">
        <f>_xlfn.XLOOKUP($N992,'Base de Grupos'!$A:$A,'Base de Grupos'!$D:$D)</f>
        <v>1000065763</v>
      </c>
      <c r="C992" s="5" t="str">
        <f>_xlfn.XLOOKUP($N992,'Base de Grupos'!$A:$A,'Base de Grupos'!$E:$E)</f>
        <v>CANAL VENDA INTERNA</v>
      </c>
      <c r="D992" s="5" t="str">
        <f>_xlfn.XLOOKUP($N992,'Base de Grupos'!$A:$A,'Base de Grupos'!$F:$F)</f>
        <v>1000065763</v>
      </c>
      <c r="E992" s="2" t="str">
        <f>_xlfn.XLOOKUP($N992,'Base de Grupos'!$A:$A,'Base de Grupos'!$G:$G)</f>
        <v>CANAL VENDA INTERNA</v>
      </c>
      <c r="F992" s="2" t="str">
        <f>_xlfn.XLOOKUP($N992,'Base de Grupos'!$A:$A,'Base de Grupos'!$H:$H)</f>
        <v>1000174119</v>
      </c>
      <c r="G992" s="5" t="str">
        <f>_xlfn.XLOOKUP($N992,'Base de Grupos'!$A:$A,'Base de Grupos'!$I:$I)</f>
        <v>REGIONAL VENDA INTERNA - CONVENIENCIA</v>
      </c>
      <c r="H992" s="5" t="str">
        <f>_xlfn.XLOOKUP($N992,'Base de Grupos'!$A:$A,'Base de Grupos'!$J:$J)</f>
        <v>1000174119</v>
      </c>
      <c r="I992" s="2" t="str">
        <f>_xlfn.XLOOKUP($N992,'Base de Grupos'!$A:$A,'Base de Grupos'!$K:$K)</f>
        <v>REGIONAL VENDA INTERNA - CONVENIENCIA</v>
      </c>
      <c r="J992" s="2" t="str">
        <f>_xlfn.XLOOKUP($N992,'Base de Grupos'!$A:$A,'Base de Grupos'!$L:$L)</f>
        <v>1000174119</v>
      </c>
      <c r="K992" s="5" t="str">
        <f>_xlfn.XLOOKUP($N992,'Base de Grupos'!$A:$A,'Base de Grupos'!$M:$M)</f>
        <v>REGIONAL VENDA INTERNA - CONVENIENCIA</v>
      </c>
      <c r="L992" s="5" t="str">
        <f t="shared" si="963"/>
        <v/>
      </c>
      <c r="M992" s="5" t="str">
        <f>_xlfn.XLOOKUP($N992,'Base de Grupos'!$A:$A,'Base de Grupos'!$C:$C)</f>
        <v>MS</v>
      </c>
      <c r="N992" s="3">
        <v>1519</v>
      </c>
      <c r="O992" s="4" t="s">
        <v>278</v>
      </c>
      <c r="P992" s="5" t="s">
        <v>93</v>
      </c>
      <c r="Q992" s="56">
        <v>0</v>
      </c>
      <c r="R992" s="56">
        <v>0</v>
      </c>
      <c r="S992" s="56">
        <v>0</v>
      </c>
      <c r="T992" s="56">
        <f>_xlfn.XLOOKUP($N992,'Calculo Leads Conveniencia'!$A$77:$A$104,'Calculo Leads Conveniencia'!G$77:G$104)*_xlfn.XLOOKUP($P992,'Base Grupo de Produtos'!$E$23:$E$39,'Base Grupo de Produtos'!$F$23:$F$39)</f>
        <v>0</v>
      </c>
      <c r="U992" s="56">
        <f>_xlfn.XLOOKUP($N992,'Calculo Leads Conveniencia'!$A$77:$A$104,'Calculo Leads Conveniencia'!H$77:H$104)*_xlfn.XLOOKUP($P992,'Base Grupo de Produtos'!$E$23:$E$39,'Base Grupo de Produtos'!$F$23:$F$39)</f>
        <v>0</v>
      </c>
      <c r="V992" s="56">
        <f>_xlfn.XLOOKUP($N992,'Calculo Leads Conveniencia'!$A$77:$A$104,'Calculo Leads Conveniencia'!I$77:I$104)*_xlfn.XLOOKUP($P992,'Base Grupo de Produtos'!$E$23:$E$39,'Base Grupo de Produtos'!$F$23:$F$39)</f>
        <v>0</v>
      </c>
      <c r="W992" s="56">
        <f>_xlfn.XLOOKUP($N992,'Calculo Leads Conveniencia'!$A$77:$A$104,'Calculo Leads Conveniencia'!J$77:J$104)*_xlfn.XLOOKUP($P992,'Base Grupo de Produtos'!$E$23:$E$39,'Base Grupo de Produtos'!$F$23:$F$39)</f>
        <v>0</v>
      </c>
      <c r="X992" s="56">
        <f>_xlfn.XLOOKUP($N992,'Calculo Leads Conveniencia'!$A$77:$A$104,'Calculo Leads Conveniencia'!K$77:K$104)*_xlfn.XLOOKUP($P992,'Base Grupo de Produtos'!$E$23:$E$39,'Base Grupo de Produtos'!$F$23:$F$39)</f>
        <v>0</v>
      </c>
      <c r="Y992" s="56">
        <f>_xlfn.XLOOKUP($N992,'Calculo Leads Conveniencia'!$A$77:$A$104,'Calculo Leads Conveniencia'!L$77:L$104)*_xlfn.XLOOKUP($P992,'Base Grupo de Produtos'!$E$23:$E$39,'Base Grupo de Produtos'!$F$23:$F$39)</f>
        <v>0</v>
      </c>
      <c r="Z992" s="56">
        <f>_xlfn.XLOOKUP($N992,'Calculo Leads Conveniencia'!$A$77:$A$104,'Calculo Leads Conveniencia'!M$77:M$104)*_xlfn.XLOOKUP($P992,'Base Grupo de Produtos'!$E$23:$E$39,'Base Grupo de Produtos'!$F$23:$F$39)</f>
        <v>0</v>
      </c>
      <c r="AA992" s="56">
        <f>_xlfn.XLOOKUP($N992,'Calculo Leads Conveniencia'!$A$77:$A$104,'Calculo Leads Conveniencia'!N$77:N$104)*_xlfn.XLOOKUP($P992,'Base Grupo de Produtos'!$E$23:$E$39,'Base Grupo de Produtos'!$F$23:$F$39)</f>
        <v>0</v>
      </c>
      <c r="AB992" s="56">
        <f>_xlfn.XLOOKUP($N992,'Calculo Leads Conveniencia'!$A$77:$A$104,'Calculo Leads Conveniencia'!O$77:O$104)*_xlfn.XLOOKUP($P992,'Base Grupo de Produtos'!$E$23:$E$39,'Base Grupo de Produtos'!$F$23:$F$39)</f>
        <v>0</v>
      </c>
      <c r="AC992" s="61">
        <f t="shared" si="948"/>
        <v>0</v>
      </c>
      <c r="AD992" s="28"/>
      <c r="AE992" s="12"/>
      <c r="AF992" s="29"/>
      <c r="AG992" s="9"/>
      <c r="AH992" s="10"/>
      <c r="AI992" s="9"/>
      <c r="AJ992" s="11"/>
      <c r="AK992" s="9"/>
      <c r="AL992" s="13"/>
      <c r="AM992" s="9"/>
    </row>
    <row r="993" spans="1:39" x14ac:dyDescent="0.3">
      <c r="A993" s="2" t="str">
        <f t="shared" si="962"/>
        <v>SIM</v>
      </c>
      <c r="B993" s="2" t="str">
        <f>_xlfn.XLOOKUP($N993,'Base de Grupos'!$A:$A,'Base de Grupos'!$D:$D)</f>
        <v>1000065763</v>
      </c>
      <c r="C993" s="5" t="str">
        <f>_xlfn.XLOOKUP($N993,'Base de Grupos'!$A:$A,'Base de Grupos'!$E:$E)</f>
        <v>CANAL VENDA INTERNA</v>
      </c>
      <c r="D993" s="5" t="str">
        <f>_xlfn.XLOOKUP($N993,'Base de Grupos'!$A:$A,'Base de Grupos'!$F:$F)</f>
        <v>1000065763</v>
      </c>
      <c r="E993" s="2" t="str">
        <f>_xlfn.XLOOKUP($N993,'Base de Grupos'!$A:$A,'Base de Grupos'!$G:$G)</f>
        <v>CANAL VENDA INTERNA</v>
      </c>
      <c r="F993" s="2" t="str">
        <f>_xlfn.XLOOKUP($N993,'Base de Grupos'!$A:$A,'Base de Grupos'!$H:$H)</f>
        <v>1000174119</v>
      </c>
      <c r="G993" s="5" t="str">
        <f>_xlfn.XLOOKUP($N993,'Base de Grupos'!$A:$A,'Base de Grupos'!$I:$I)</f>
        <v>REGIONAL VENDA INTERNA - CONVENIENCIA</v>
      </c>
      <c r="H993" s="5" t="str">
        <f>_xlfn.XLOOKUP($N993,'Base de Grupos'!$A:$A,'Base de Grupos'!$J:$J)</f>
        <v>1000174119</v>
      </c>
      <c r="I993" s="2" t="str">
        <f>_xlfn.XLOOKUP($N993,'Base de Grupos'!$A:$A,'Base de Grupos'!$K:$K)</f>
        <v>REGIONAL VENDA INTERNA - CONVENIENCIA</v>
      </c>
      <c r="J993" s="2" t="str">
        <f>_xlfn.XLOOKUP($N993,'Base de Grupos'!$A:$A,'Base de Grupos'!$L:$L)</f>
        <v>1000174119</v>
      </c>
      <c r="K993" s="5" t="str">
        <f>_xlfn.XLOOKUP($N993,'Base de Grupos'!$A:$A,'Base de Grupos'!$M:$M)</f>
        <v>REGIONAL VENDA INTERNA - CONVENIENCIA</v>
      </c>
      <c r="L993" s="5">
        <f t="shared" si="963"/>
        <v>1</v>
      </c>
      <c r="M993" s="5" t="str">
        <f>_xlfn.XLOOKUP($N993,'Base de Grupos'!$A:$A,'Base de Grupos'!$C:$C)</f>
        <v>MT</v>
      </c>
      <c r="N993" s="3">
        <v>1520</v>
      </c>
      <c r="O993" s="4" t="s">
        <v>279</v>
      </c>
      <c r="P993" s="5" t="s">
        <v>349</v>
      </c>
      <c r="Q993" s="56">
        <f t="shared" ref="Q993" si="964">SUM(Q994:Q1010)</f>
        <v>0</v>
      </c>
      <c r="R993" s="56">
        <f t="shared" ref="R993" si="965">SUM(R994:R1010)</f>
        <v>0</v>
      </c>
      <c r="S993" s="56">
        <f t="shared" ref="S993" si="966">SUM(S994:S1010)</f>
        <v>0</v>
      </c>
      <c r="T993" s="56">
        <f t="shared" ref="T993" si="967">SUM(T994:T1010)</f>
        <v>0</v>
      </c>
      <c r="U993" s="56">
        <f t="shared" ref="U993" si="968">SUM(U994:U1010)</f>
        <v>0</v>
      </c>
      <c r="V993" s="56">
        <f t="shared" ref="V993" si="969">SUM(V994:V1010)</f>
        <v>0</v>
      </c>
      <c r="W993" s="56">
        <f t="shared" ref="W993" si="970">SUM(W994:W1010)</f>
        <v>0</v>
      </c>
      <c r="X993" s="56">
        <f t="shared" ref="X993" si="971">SUM(X994:X1010)</f>
        <v>0</v>
      </c>
      <c r="Y993" s="56">
        <f t="shared" ref="Y993" si="972">SUM(Y994:Y1010)</f>
        <v>0</v>
      </c>
      <c r="Z993" s="56">
        <f t="shared" ref="Z993" si="973">SUM(Z994:Z1010)</f>
        <v>0</v>
      </c>
      <c r="AA993" s="56">
        <f t="shared" ref="AA993" si="974">SUM(AA994:AA1010)</f>
        <v>0</v>
      </c>
      <c r="AB993" s="56">
        <f t="shared" ref="AB993" si="975">SUM(AB994:AB1010)</f>
        <v>0</v>
      </c>
      <c r="AC993" s="56">
        <f t="shared" ref="AC993" si="976">SUM(AC994:AC1010)</f>
        <v>0</v>
      </c>
      <c r="AD993" s="28"/>
      <c r="AE993" s="12"/>
      <c r="AF993" s="29"/>
      <c r="AG993" s="9"/>
      <c r="AH993" s="10"/>
      <c r="AI993" s="9"/>
      <c r="AJ993" s="11"/>
      <c r="AK993" s="9"/>
      <c r="AL993" s="13"/>
      <c r="AM993" s="9"/>
    </row>
    <row r="994" spans="1:39" x14ac:dyDescent="0.3">
      <c r="A994" s="2" t="str">
        <f t="shared" si="962"/>
        <v>NÃO</v>
      </c>
      <c r="B994" s="2" t="str">
        <f>_xlfn.XLOOKUP($N994,'Base de Grupos'!$A:$A,'Base de Grupos'!$D:$D)</f>
        <v>1000065763</v>
      </c>
      <c r="C994" s="5" t="str">
        <f>_xlfn.XLOOKUP($N994,'Base de Grupos'!$A:$A,'Base de Grupos'!$E:$E)</f>
        <v>CANAL VENDA INTERNA</v>
      </c>
      <c r="D994" s="5" t="str">
        <f>_xlfn.XLOOKUP($N994,'Base de Grupos'!$A:$A,'Base de Grupos'!$F:$F)</f>
        <v>1000065763</v>
      </c>
      <c r="E994" s="2" t="str">
        <f>_xlfn.XLOOKUP($N994,'Base de Grupos'!$A:$A,'Base de Grupos'!$G:$G)</f>
        <v>CANAL VENDA INTERNA</v>
      </c>
      <c r="F994" s="2" t="str">
        <f>_xlfn.XLOOKUP($N994,'Base de Grupos'!$A:$A,'Base de Grupos'!$H:$H)</f>
        <v>1000174119</v>
      </c>
      <c r="G994" s="5" t="str">
        <f>_xlfn.XLOOKUP($N994,'Base de Grupos'!$A:$A,'Base de Grupos'!$I:$I)</f>
        <v>REGIONAL VENDA INTERNA - CONVENIENCIA</v>
      </c>
      <c r="H994" s="5" t="str">
        <f>_xlfn.XLOOKUP($N994,'Base de Grupos'!$A:$A,'Base de Grupos'!$J:$J)</f>
        <v>1000174119</v>
      </c>
      <c r="I994" s="2" t="str">
        <f>_xlfn.XLOOKUP($N994,'Base de Grupos'!$A:$A,'Base de Grupos'!$K:$K)</f>
        <v>REGIONAL VENDA INTERNA - CONVENIENCIA</v>
      </c>
      <c r="J994" s="2" t="str">
        <f>_xlfn.XLOOKUP($N994,'Base de Grupos'!$A:$A,'Base de Grupos'!$L:$L)</f>
        <v>1000174119</v>
      </c>
      <c r="K994" s="5" t="str">
        <f>_xlfn.XLOOKUP($N994,'Base de Grupos'!$A:$A,'Base de Grupos'!$M:$M)</f>
        <v>REGIONAL VENDA INTERNA - CONVENIENCIA</v>
      </c>
      <c r="L994" s="5" t="str">
        <f t="shared" si="963"/>
        <v/>
      </c>
      <c r="M994" s="5" t="str">
        <f>_xlfn.XLOOKUP($N994,'Base de Grupos'!$A:$A,'Base de Grupos'!$C:$C)</f>
        <v>MT</v>
      </c>
      <c r="N994" s="3">
        <v>1520</v>
      </c>
      <c r="O994" s="4" t="s">
        <v>279</v>
      </c>
      <c r="P994" s="5" t="s">
        <v>81</v>
      </c>
      <c r="Q994" s="56">
        <v>0</v>
      </c>
      <c r="R994" s="56">
        <v>0</v>
      </c>
      <c r="S994" s="56">
        <v>0</v>
      </c>
      <c r="T994" s="56">
        <f>_xlfn.XLOOKUP($N994,'Calculo Leads Conveniencia'!$A$77:$A$104,'Calculo Leads Conveniencia'!G$77:G$104)*_xlfn.XLOOKUP($P994,'Base Grupo de Produtos'!$E$23:$E$39,'Base Grupo de Produtos'!$F$23:$F$39)</f>
        <v>0</v>
      </c>
      <c r="U994" s="56">
        <f>_xlfn.XLOOKUP($N994,'Calculo Leads Conveniencia'!$A$77:$A$104,'Calculo Leads Conveniencia'!H$77:H$104)*_xlfn.XLOOKUP($P994,'Base Grupo de Produtos'!$E$23:$E$39,'Base Grupo de Produtos'!$F$23:$F$39)</f>
        <v>0</v>
      </c>
      <c r="V994" s="56">
        <f>_xlfn.XLOOKUP($N994,'Calculo Leads Conveniencia'!$A$77:$A$104,'Calculo Leads Conveniencia'!I$77:I$104)*_xlfn.XLOOKUP($P994,'Base Grupo de Produtos'!$E$23:$E$39,'Base Grupo de Produtos'!$F$23:$F$39)</f>
        <v>0</v>
      </c>
      <c r="W994" s="56">
        <f>_xlfn.XLOOKUP($N994,'Calculo Leads Conveniencia'!$A$77:$A$104,'Calculo Leads Conveniencia'!J$77:J$104)*_xlfn.XLOOKUP($P994,'Base Grupo de Produtos'!$E$23:$E$39,'Base Grupo de Produtos'!$F$23:$F$39)</f>
        <v>0</v>
      </c>
      <c r="X994" s="56">
        <f>_xlfn.XLOOKUP($N994,'Calculo Leads Conveniencia'!$A$77:$A$104,'Calculo Leads Conveniencia'!K$77:K$104)*_xlfn.XLOOKUP($P994,'Base Grupo de Produtos'!$E$23:$E$39,'Base Grupo de Produtos'!$F$23:$F$39)</f>
        <v>0</v>
      </c>
      <c r="Y994" s="56">
        <f>_xlfn.XLOOKUP($N994,'Calculo Leads Conveniencia'!$A$77:$A$104,'Calculo Leads Conveniencia'!L$77:L$104)*_xlfn.XLOOKUP($P994,'Base Grupo de Produtos'!$E$23:$E$39,'Base Grupo de Produtos'!$F$23:$F$39)</f>
        <v>0</v>
      </c>
      <c r="Z994" s="56">
        <f>_xlfn.XLOOKUP($N994,'Calculo Leads Conveniencia'!$A$77:$A$104,'Calculo Leads Conveniencia'!M$77:M$104)*_xlfn.XLOOKUP($P994,'Base Grupo de Produtos'!$E$23:$E$39,'Base Grupo de Produtos'!$F$23:$F$39)</f>
        <v>0</v>
      </c>
      <c r="AA994" s="56">
        <f>_xlfn.XLOOKUP($N994,'Calculo Leads Conveniencia'!$A$77:$A$104,'Calculo Leads Conveniencia'!N$77:N$104)*_xlfn.XLOOKUP($P994,'Base Grupo de Produtos'!$E$23:$E$39,'Base Grupo de Produtos'!$F$23:$F$39)</f>
        <v>0</v>
      </c>
      <c r="AB994" s="56">
        <f>_xlfn.XLOOKUP($N994,'Calculo Leads Conveniencia'!$A$77:$A$104,'Calculo Leads Conveniencia'!O$77:O$104)*_xlfn.XLOOKUP($P994,'Base Grupo de Produtos'!$E$23:$E$39,'Base Grupo de Produtos'!$F$23:$F$39)</f>
        <v>0</v>
      </c>
      <c r="AC994" s="61">
        <f t="shared" si="948"/>
        <v>0</v>
      </c>
      <c r="AD994" s="28"/>
      <c r="AE994" s="12"/>
      <c r="AF994" s="29"/>
      <c r="AG994" s="9"/>
      <c r="AH994" s="10"/>
      <c r="AI994" s="9"/>
      <c r="AJ994" s="11"/>
      <c r="AK994" s="9"/>
      <c r="AL994" s="13"/>
      <c r="AM994" s="9"/>
    </row>
    <row r="995" spans="1:39" x14ac:dyDescent="0.3">
      <c r="A995" s="2" t="str">
        <f t="shared" si="962"/>
        <v>NÃO</v>
      </c>
      <c r="B995" s="2" t="str">
        <f>_xlfn.XLOOKUP($N995,'Base de Grupos'!$A:$A,'Base de Grupos'!$D:$D)</f>
        <v>1000065763</v>
      </c>
      <c r="C995" s="5" t="str">
        <f>_xlfn.XLOOKUP($N995,'Base de Grupos'!$A:$A,'Base de Grupos'!$E:$E)</f>
        <v>CANAL VENDA INTERNA</v>
      </c>
      <c r="D995" s="5" t="str">
        <f>_xlfn.XLOOKUP($N995,'Base de Grupos'!$A:$A,'Base de Grupos'!$F:$F)</f>
        <v>1000065763</v>
      </c>
      <c r="E995" s="2" t="str">
        <f>_xlfn.XLOOKUP($N995,'Base de Grupos'!$A:$A,'Base de Grupos'!$G:$G)</f>
        <v>CANAL VENDA INTERNA</v>
      </c>
      <c r="F995" s="2" t="str">
        <f>_xlfn.XLOOKUP($N995,'Base de Grupos'!$A:$A,'Base de Grupos'!$H:$H)</f>
        <v>1000174119</v>
      </c>
      <c r="G995" s="5" t="str">
        <f>_xlfn.XLOOKUP($N995,'Base de Grupos'!$A:$A,'Base de Grupos'!$I:$I)</f>
        <v>REGIONAL VENDA INTERNA - CONVENIENCIA</v>
      </c>
      <c r="H995" s="5" t="str">
        <f>_xlfn.XLOOKUP($N995,'Base de Grupos'!$A:$A,'Base de Grupos'!$J:$J)</f>
        <v>1000174119</v>
      </c>
      <c r="I995" s="2" t="str">
        <f>_xlfn.XLOOKUP($N995,'Base de Grupos'!$A:$A,'Base de Grupos'!$K:$K)</f>
        <v>REGIONAL VENDA INTERNA - CONVENIENCIA</v>
      </c>
      <c r="J995" s="2" t="str">
        <f>_xlfn.XLOOKUP($N995,'Base de Grupos'!$A:$A,'Base de Grupos'!$L:$L)</f>
        <v>1000174119</v>
      </c>
      <c r="K995" s="5" t="str">
        <f>_xlfn.XLOOKUP($N995,'Base de Grupos'!$A:$A,'Base de Grupos'!$M:$M)</f>
        <v>REGIONAL VENDA INTERNA - CONVENIENCIA</v>
      </c>
      <c r="L995" s="5" t="str">
        <f t="shared" si="963"/>
        <v/>
      </c>
      <c r="M995" s="5" t="str">
        <f>_xlfn.XLOOKUP($N995,'Base de Grupos'!$A:$A,'Base de Grupos'!$C:$C)</f>
        <v>MT</v>
      </c>
      <c r="N995" s="3">
        <v>1520</v>
      </c>
      <c r="O995" s="4" t="s">
        <v>279</v>
      </c>
      <c r="P995" s="5" t="s">
        <v>82</v>
      </c>
      <c r="Q995" s="56">
        <v>0</v>
      </c>
      <c r="R995" s="56">
        <v>0</v>
      </c>
      <c r="S995" s="56">
        <v>0</v>
      </c>
      <c r="T995" s="56">
        <f>_xlfn.XLOOKUP($N995,'Calculo Leads Conveniencia'!$A$77:$A$104,'Calculo Leads Conveniencia'!G$77:G$104)*_xlfn.XLOOKUP($P995,'Base Grupo de Produtos'!$E$23:$E$39,'Base Grupo de Produtos'!$F$23:$F$39)</f>
        <v>0</v>
      </c>
      <c r="U995" s="56">
        <f>_xlfn.XLOOKUP($N995,'Calculo Leads Conveniencia'!$A$77:$A$104,'Calculo Leads Conveniencia'!H$77:H$104)*_xlfn.XLOOKUP($P995,'Base Grupo de Produtos'!$E$23:$E$39,'Base Grupo de Produtos'!$F$23:$F$39)</f>
        <v>0</v>
      </c>
      <c r="V995" s="56">
        <f>_xlfn.XLOOKUP($N995,'Calculo Leads Conveniencia'!$A$77:$A$104,'Calculo Leads Conveniencia'!I$77:I$104)*_xlfn.XLOOKUP($P995,'Base Grupo de Produtos'!$E$23:$E$39,'Base Grupo de Produtos'!$F$23:$F$39)</f>
        <v>0</v>
      </c>
      <c r="W995" s="56">
        <f>_xlfn.XLOOKUP($N995,'Calculo Leads Conveniencia'!$A$77:$A$104,'Calculo Leads Conveniencia'!J$77:J$104)*_xlfn.XLOOKUP($P995,'Base Grupo de Produtos'!$E$23:$E$39,'Base Grupo de Produtos'!$F$23:$F$39)</f>
        <v>0</v>
      </c>
      <c r="X995" s="56">
        <f>_xlfn.XLOOKUP($N995,'Calculo Leads Conveniencia'!$A$77:$A$104,'Calculo Leads Conveniencia'!K$77:K$104)*_xlfn.XLOOKUP($P995,'Base Grupo de Produtos'!$E$23:$E$39,'Base Grupo de Produtos'!$F$23:$F$39)</f>
        <v>0</v>
      </c>
      <c r="Y995" s="56">
        <f>_xlfn.XLOOKUP($N995,'Calculo Leads Conveniencia'!$A$77:$A$104,'Calculo Leads Conveniencia'!L$77:L$104)*_xlfn.XLOOKUP($P995,'Base Grupo de Produtos'!$E$23:$E$39,'Base Grupo de Produtos'!$F$23:$F$39)</f>
        <v>0</v>
      </c>
      <c r="Z995" s="56">
        <f>_xlfn.XLOOKUP($N995,'Calculo Leads Conveniencia'!$A$77:$A$104,'Calculo Leads Conveniencia'!M$77:M$104)*_xlfn.XLOOKUP($P995,'Base Grupo de Produtos'!$E$23:$E$39,'Base Grupo de Produtos'!$F$23:$F$39)</f>
        <v>0</v>
      </c>
      <c r="AA995" s="56">
        <f>_xlfn.XLOOKUP($N995,'Calculo Leads Conveniencia'!$A$77:$A$104,'Calculo Leads Conveniencia'!N$77:N$104)*_xlfn.XLOOKUP($P995,'Base Grupo de Produtos'!$E$23:$E$39,'Base Grupo de Produtos'!$F$23:$F$39)</f>
        <v>0</v>
      </c>
      <c r="AB995" s="56">
        <f>_xlfn.XLOOKUP($N995,'Calculo Leads Conveniencia'!$A$77:$A$104,'Calculo Leads Conveniencia'!O$77:O$104)*_xlfn.XLOOKUP($P995,'Base Grupo de Produtos'!$E$23:$E$39,'Base Grupo de Produtos'!$F$23:$F$39)</f>
        <v>0</v>
      </c>
      <c r="AC995" s="61">
        <f t="shared" si="948"/>
        <v>0</v>
      </c>
      <c r="AD995" s="28"/>
      <c r="AE995" s="12"/>
      <c r="AF995" s="29"/>
      <c r="AG995" s="9"/>
      <c r="AH995" s="10"/>
      <c r="AI995" s="9"/>
      <c r="AJ995" s="11"/>
      <c r="AK995" s="9"/>
      <c r="AL995" s="13"/>
      <c r="AM995" s="9"/>
    </row>
    <row r="996" spans="1:39" x14ac:dyDescent="0.3">
      <c r="A996" s="2" t="str">
        <f t="shared" si="962"/>
        <v>NÃO</v>
      </c>
      <c r="B996" s="2" t="str">
        <f>_xlfn.XLOOKUP($N996,'Base de Grupos'!$A:$A,'Base de Grupos'!$D:$D)</f>
        <v>1000065763</v>
      </c>
      <c r="C996" s="5" t="str">
        <f>_xlfn.XLOOKUP($N996,'Base de Grupos'!$A:$A,'Base de Grupos'!$E:$E)</f>
        <v>CANAL VENDA INTERNA</v>
      </c>
      <c r="D996" s="5" t="str">
        <f>_xlfn.XLOOKUP($N996,'Base de Grupos'!$A:$A,'Base de Grupos'!$F:$F)</f>
        <v>1000065763</v>
      </c>
      <c r="E996" s="2" t="str">
        <f>_xlfn.XLOOKUP($N996,'Base de Grupos'!$A:$A,'Base de Grupos'!$G:$G)</f>
        <v>CANAL VENDA INTERNA</v>
      </c>
      <c r="F996" s="2" t="str">
        <f>_xlfn.XLOOKUP($N996,'Base de Grupos'!$A:$A,'Base de Grupos'!$H:$H)</f>
        <v>1000174119</v>
      </c>
      <c r="G996" s="5" t="str">
        <f>_xlfn.XLOOKUP($N996,'Base de Grupos'!$A:$A,'Base de Grupos'!$I:$I)</f>
        <v>REGIONAL VENDA INTERNA - CONVENIENCIA</v>
      </c>
      <c r="H996" s="5" t="str">
        <f>_xlfn.XLOOKUP($N996,'Base de Grupos'!$A:$A,'Base de Grupos'!$J:$J)</f>
        <v>1000174119</v>
      </c>
      <c r="I996" s="2" t="str">
        <f>_xlfn.XLOOKUP($N996,'Base de Grupos'!$A:$A,'Base de Grupos'!$K:$K)</f>
        <v>REGIONAL VENDA INTERNA - CONVENIENCIA</v>
      </c>
      <c r="J996" s="2" t="str">
        <f>_xlfn.XLOOKUP($N996,'Base de Grupos'!$A:$A,'Base de Grupos'!$L:$L)</f>
        <v>1000174119</v>
      </c>
      <c r="K996" s="5" t="str">
        <f>_xlfn.XLOOKUP($N996,'Base de Grupos'!$A:$A,'Base de Grupos'!$M:$M)</f>
        <v>REGIONAL VENDA INTERNA - CONVENIENCIA</v>
      </c>
      <c r="L996" s="5" t="str">
        <f t="shared" si="963"/>
        <v/>
      </c>
      <c r="M996" s="5" t="str">
        <f>_xlfn.XLOOKUP($N996,'Base de Grupos'!$A:$A,'Base de Grupos'!$C:$C)</f>
        <v>MT</v>
      </c>
      <c r="N996" s="3">
        <v>1520</v>
      </c>
      <c r="O996" s="4" t="s">
        <v>279</v>
      </c>
      <c r="P996" s="5" t="s">
        <v>84</v>
      </c>
      <c r="Q996" s="56">
        <v>0</v>
      </c>
      <c r="R996" s="56">
        <v>0</v>
      </c>
      <c r="S996" s="56">
        <v>0</v>
      </c>
      <c r="T996" s="56">
        <f>_xlfn.XLOOKUP($N996,'Calculo Leads Conveniencia'!$A$77:$A$104,'Calculo Leads Conveniencia'!G$77:G$104)*_xlfn.XLOOKUP($P996,'Base Grupo de Produtos'!$E$23:$E$39,'Base Grupo de Produtos'!$F$23:$F$39)</f>
        <v>0</v>
      </c>
      <c r="U996" s="56">
        <f>_xlfn.XLOOKUP($N996,'Calculo Leads Conveniencia'!$A$77:$A$104,'Calculo Leads Conveniencia'!H$77:H$104)*_xlfn.XLOOKUP($P996,'Base Grupo de Produtos'!$E$23:$E$39,'Base Grupo de Produtos'!$F$23:$F$39)</f>
        <v>0</v>
      </c>
      <c r="V996" s="56">
        <f>_xlfn.XLOOKUP($N996,'Calculo Leads Conveniencia'!$A$77:$A$104,'Calculo Leads Conveniencia'!I$77:I$104)*_xlfn.XLOOKUP($P996,'Base Grupo de Produtos'!$E$23:$E$39,'Base Grupo de Produtos'!$F$23:$F$39)</f>
        <v>0</v>
      </c>
      <c r="W996" s="56">
        <f>_xlfn.XLOOKUP($N996,'Calculo Leads Conveniencia'!$A$77:$A$104,'Calculo Leads Conveniencia'!J$77:J$104)*_xlfn.XLOOKUP($P996,'Base Grupo de Produtos'!$E$23:$E$39,'Base Grupo de Produtos'!$F$23:$F$39)</f>
        <v>0</v>
      </c>
      <c r="X996" s="56">
        <f>_xlfn.XLOOKUP($N996,'Calculo Leads Conveniencia'!$A$77:$A$104,'Calculo Leads Conveniencia'!K$77:K$104)*_xlfn.XLOOKUP($P996,'Base Grupo de Produtos'!$E$23:$E$39,'Base Grupo de Produtos'!$F$23:$F$39)</f>
        <v>0</v>
      </c>
      <c r="Y996" s="56">
        <f>_xlfn.XLOOKUP($N996,'Calculo Leads Conveniencia'!$A$77:$A$104,'Calculo Leads Conveniencia'!L$77:L$104)*_xlfn.XLOOKUP($P996,'Base Grupo de Produtos'!$E$23:$E$39,'Base Grupo de Produtos'!$F$23:$F$39)</f>
        <v>0</v>
      </c>
      <c r="Z996" s="56">
        <f>_xlfn.XLOOKUP($N996,'Calculo Leads Conveniencia'!$A$77:$A$104,'Calculo Leads Conveniencia'!M$77:M$104)*_xlfn.XLOOKUP($P996,'Base Grupo de Produtos'!$E$23:$E$39,'Base Grupo de Produtos'!$F$23:$F$39)</f>
        <v>0</v>
      </c>
      <c r="AA996" s="56">
        <f>_xlfn.XLOOKUP($N996,'Calculo Leads Conveniencia'!$A$77:$A$104,'Calculo Leads Conveniencia'!N$77:N$104)*_xlfn.XLOOKUP($P996,'Base Grupo de Produtos'!$E$23:$E$39,'Base Grupo de Produtos'!$F$23:$F$39)</f>
        <v>0</v>
      </c>
      <c r="AB996" s="56">
        <f>_xlfn.XLOOKUP($N996,'Calculo Leads Conveniencia'!$A$77:$A$104,'Calculo Leads Conveniencia'!O$77:O$104)*_xlfn.XLOOKUP($P996,'Base Grupo de Produtos'!$E$23:$E$39,'Base Grupo de Produtos'!$F$23:$F$39)</f>
        <v>0</v>
      </c>
      <c r="AC996" s="61">
        <f t="shared" si="948"/>
        <v>0</v>
      </c>
      <c r="AD996" s="28"/>
      <c r="AE996" s="12"/>
      <c r="AF996" s="29"/>
      <c r="AG996" s="9"/>
      <c r="AH996" s="10"/>
      <c r="AI996" s="9"/>
      <c r="AJ996" s="11"/>
      <c r="AK996" s="9"/>
      <c r="AL996" s="13"/>
      <c r="AM996" s="9"/>
    </row>
    <row r="997" spans="1:39" x14ac:dyDescent="0.3">
      <c r="A997" s="2" t="str">
        <f t="shared" si="962"/>
        <v>NÃO</v>
      </c>
      <c r="B997" s="2" t="str">
        <f>_xlfn.XLOOKUP($N997,'Base de Grupos'!$A:$A,'Base de Grupos'!$D:$D)</f>
        <v>1000065763</v>
      </c>
      <c r="C997" s="5" t="str">
        <f>_xlfn.XLOOKUP($N997,'Base de Grupos'!$A:$A,'Base de Grupos'!$E:$E)</f>
        <v>CANAL VENDA INTERNA</v>
      </c>
      <c r="D997" s="5" t="str">
        <f>_xlfn.XLOOKUP($N997,'Base de Grupos'!$A:$A,'Base de Grupos'!$F:$F)</f>
        <v>1000065763</v>
      </c>
      <c r="E997" s="2" t="str">
        <f>_xlfn.XLOOKUP($N997,'Base de Grupos'!$A:$A,'Base de Grupos'!$G:$G)</f>
        <v>CANAL VENDA INTERNA</v>
      </c>
      <c r="F997" s="2" t="str">
        <f>_xlfn.XLOOKUP($N997,'Base de Grupos'!$A:$A,'Base de Grupos'!$H:$H)</f>
        <v>1000174119</v>
      </c>
      <c r="G997" s="5" t="str">
        <f>_xlfn.XLOOKUP($N997,'Base de Grupos'!$A:$A,'Base de Grupos'!$I:$I)</f>
        <v>REGIONAL VENDA INTERNA - CONVENIENCIA</v>
      </c>
      <c r="H997" s="5" t="str">
        <f>_xlfn.XLOOKUP($N997,'Base de Grupos'!$A:$A,'Base de Grupos'!$J:$J)</f>
        <v>1000174119</v>
      </c>
      <c r="I997" s="2" t="str">
        <f>_xlfn.XLOOKUP($N997,'Base de Grupos'!$A:$A,'Base de Grupos'!$K:$K)</f>
        <v>REGIONAL VENDA INTERNA - CONVENIENCIA</v>
      </c>
      <c r="J997" s="2" t="str">
        <f>_xlfn.XLOOKUP($N997,'Base de Grupos'!$A:$A,'Base de Grupos'!$L:$L)</f>
        <v>1000174119</v>
      </c>
      <c r="K997" s="5" t="str">
        <f>_xlfn.XLOOKUP($N997,'Base de Grupos'!$A:$A,'Base de Grupos'!$M:$M)</f>
        <v>REGIONAL VENDA INTERNA - CONVENIENCIA</v>
      </c>
      <c r="L997" s="5" t="str">
        <f t="shared" si="963"/>
        <v/>
      </c>
      <c r="M997" s="5" t="str">
        <f>_xlfn.XLOOKUP($N997,'Base de Grupos'!$A:$A,'Base de Grupos'!$C:$C)</f>
        <v>MT</v>
      </c>
      <c r="N997" s="3">
        <v>1520</v>
      </c>
      <c r="O997" s="4" t="s">
        <v>279</v>
      </c>
      <c r="P997" s="5" t="s">
        <v>83</v>
      </c>
      <c r="Q997" s="56">
        <v>0</v>
      </c>
      <c r="R997" s="56">
        <v>0</v>
      </c>
      <c r="S997" s="56">
        <v>0</v>
      </c>
      <c r="T997" s="56">
        <f>_xlfn.XLOOKUP($N997,'Calculo Leads Conveniencia'!$A$77:$A$104,'Calculo Leads Conveniencia'!G$77:G$104)*_xlfn.XLOOKUP($P997,'Base Grupo de Produtos'!$E$23:$E$39,'Base Grupo de Produtos'!$F$23:$F$39)</f>
        <v>0</v>
      </c>
      <c r="U997" s="56">
        <f>_xlfn.XLOOKUP($N997,'Calculo Leads Conveniencia'!$A$77:$A$104,'Calculo Leads Conveniencia'!H$77:H$104)*_xlfn.XLOOKUP($P997,'Base Grupo de Produtos'!$E$23:$E$39,'Base Grupo de Produtos'!$F$23:$F$39)</f>
        <v>0</v>
      </c>
      <c r="V997" s="56">
        <f>_xlfn.XLOOKUP($N997,'Calculo Leads Conveniencia'!$A$77:$A$104,'Calculo Leads Conveniencia'!I$77:I$104)*_xlfn.XLOOKUP($P997,'Base Grupo de Produtos'!$E$23:$E$39,'Base Grupo de Produtos'!$F$23:$F$39)</f>
        <v>0</v>
      </c>
      <c r="W997" s="56">
        <f>_xlfn.XLOOKUP($N997,'Calculo Leads Conveniencia'!$A$77:$A$104,'Calculo Leads Conveniencia'!J$77:J$104)*_xlfn.XLOOKUP($P997,'Base Grupo de Produtos'!$E$23:$E$39,'Base Grupo de Produtos'!$F$23:$F$39)</f>
        <v>0</v>
      </c>
      <c r="X997" s="56">
        <f>_xlfn.XLOOKUP($N997,'Calculo Leads Conveniencia'!$A$77:$A$104,'Calculo Leads Conveniencia'!K$77:K$104)*_xlfn.XLOOKUP($P997,'Base Grupo de Produtos'!$E$23:$E$39,'Base Grupo de Produtos'!$F$23:$F$39)</f>
        <v>0</v>
      </c>
      <c r="Y997" s="56">
        <f>_xlfn.XLOOKUP($N997,'Calculo Leads Conveniencia'!$A$77:$A$104,'Calculo Leads Conveniencia'!L$77:L$104)*_xlfn.XLOOKUP($P997,'Base Grupo de Produtos'!$E$23:$E$39,'Base Grupo de Produtos'!$F$23:$F$39)</f>
        <v>0</v>
      </c>
      <c r="Z997" s="56">
        <f>_xlfn.XLOOKUP($N997,'Calculo Leads Conveniencia'!$A$77:$A$104,'Calculo Leads Conveniencia'!M$77:M$104)*_xlfn.XLOOKUP($P997,'Base Grupo de Produtos'!$E$23:$E$39,'Base Grupo de Produtos'!$F$23:$F$39)</f>
        <v>0</v>
      </c>
      <c r="AA997" s="56">
        <f>_xlfn.XLOOKUP($N997,'Calculo Leads Conveniencia'!$A$77:$A$104,'Calculo Leads Conveniencia'!N$77:N$104)*_xlfn.XLOOKUP($P997,'Base Grupo de Produtos'!$E$23:$E$39,'Base Grupo de Produtos'!$F$23:$F$39)</f>
        <v>0</v>
      </c>
      <c r="AB997" s="56">
        <f>_xlfn.XLOOKUP($N997,'Calculo Leads Conveniencia'!$A$77:$A$104,'Calculo Leads Conveniencia'!O$77:O$104)*_xlfn.XLOOKUP($P997,'Base Grupo de Produtos'!$E$23:$E$39,'Base Grupo de Produtos'!$F$23:$F$39)</f>
        <v>0</v>
      </c>
      <c r="AC997" s="61">
        <f t="shared" si="948"/>
        <v>0</v>
      </c>
      <c r="AD997" s="28"/>
      <c r="AE997" s="12"/>
      <c r="AF997" s="29"/>
      <c r="AG997" s="9"/>
      <c r="AH997" s="10"/>
      <c r="AI997" s="9"/>
      <c r="AJ997" s="11"/>
      <c r="AK997" s="9"/>
      <c r="AL997" s="13"/>
      <c r="AM997" s="9"/>
    </row>
    <row r="998" spans="1:39" x14ac:dyDescent="0.3">
      <c r="A998" s="2" t="str">
        <f t="shared" si="962"/>
        <v>NÃO</v>
      </c>
      <c r="B998" s="2" t="str">
        <f>_xlfn.XLOOKUP($N998,'Base de Grupos'!$A:$A,'Base de Grupos'!$D:$D)</f>
        <v>1000065763</v>
      </c>
      <c r="C998" s="5" t="str">
        <f>_xlfn.XLOOKUP($N998,'Base de Grupos'!$A:$A,'Base de Grupos'!$E:$E)</f>
        <v>CANAL VENDA INTERNA</v>
      </c>
      <c r="D998" s="5" t="str">
        <f>_xlfn.XLOOKUP($N998,'Base de Grupos'!$A:$A,'Base de Grupos'!$F:$F)</f>
        <v>1000065763</v>
      </c>
      <c r="E998" s="2" t="str">
        <f>_xlfn.XLOOKUP($N998,'Base de Grupos'!$A:$A,'Base de Grupos'!$G:$G)</f>
        <v>CANAL VENDA INTERNA</v>
      </c>
      <c r="F998" s="2" t="str">
        <f>_xlfn.XLOOKUP($N998,'Base de Grupos'!$A:$A,'Base de Grupos'!$H:$H)</f>
        <v>1000174119</v>
      </c>
      <c r="G998" s="5" t="str">
        <f>_xlfn.XLOOKUP($N998,'Base de Grupos'!$A:$A,'Base de Grupos'!$I:$I)</f>
        <v>REGIONAL VENDA INTERNA - CONVENIENCIA</v>
      </c>
      <c r="H998" s="5" t="str">
        <f>_xlfn.XLOOKUP($N998,'Base de Grupos'!$A:$A,'Base de Grupos'!$J:$J)</f>
        <v>1000174119</v>
      </c>
      <c r="I998" s="2" t="str">
        <f>_xlfn.XLOOKUP($N998,'Base de Grupos'!$A:$A,'Base de Grupos'!$K:$K)</f>
        <v>REGIONAL VENDA INTERNA - CONVENIENCIA</v>
      </c>
      <c r="J998" s="2" t="str">
        <f>_xlfn.XLOOKUP($N998,'Base de Grupos'!$A:$A,'Base de Grupos'!$L:$L)</f>
        <v>1000174119</v>
      </c>
      <c r="K998" s="5" t="str">
        <f>_xlfn.XLOOKUP($N998,'Base de Grupos'!$A:$A,'Base de Grupos'!$M:$M)</f>
        <v>REGIONAL VENDA INTERNA - CONVENIENCIA</v>
      </c>
      <c r="L998" s="5" t="str">
        <f t="shared" si="963"/>
        <v/>
      </c>
      <c r="M998" s="5" t="str">
        <f>_xlfn.XLOOKUP($N998,'Base de Grupos'!$A:$A,'Base de Grupos'!$C:$C)</f>
        <v>MT</v>
      </c>
      <c r="N998" s="3">
        <v>1520</v>
      </c>
      <c r="O998" s="4" t="s">
        <v>279</v>
      </c>
      <c r="P998" s="5" t="s">
        <v>87</v>
      </c>
      <c r="Q998" s="56">
        <v>0</v>
      </c>
      <c r="R998" s="56">
        <v>0</v>
      </c>
      <c r="S998" s="56">
        <v>0</v>
      </c>
      <c r="T998" s="56">
        <f>_xlfn.XLOOKUP($N998,'Calculo Leads Conveniencia'!$A$77:$A$104,'Calculo Leads Conveniencia'!G$77:G$104)*_xlfn.XLOOKUP($P998,'Base Grupo de Produtos'!$E$23:$E$39,'Base Grupo de Produtos'!$F$23:$F$39)</f>
        <v>0</v>
      </c>
      <c r="U998" s="56">
        <f>_xlfn.XLOOKUP($N998,'Calculo Leads Conveniencia'!$A$77:$A$104,'Calculo Leads Conveniencia'!H$77:H$104)*_xlfn.XLOOKUP($P998,'Base Grupo de Produtos'!$E$23:$E$39,'Base Grupo de Produtos'!$F$23:$F$39)</f>
        <v>0</v>
      </c>
      <c r="V998" s="56">
        <f>_xlfn.XLOOKUP($N998,'Calculo Leads Conveniencia'!$A$77:$A$104,'Calculo Leads Conveniencia'!I$77:I$104)*_xlfn.XLOOKUP($P998,'Base Grupo de Produtos'!$E$23:$E$39,'Base Grupo de Produtos'!$F$23:$F$39)</f>
        <v>0</v>
      </c>
      <c r="W998" s="56">
        <f>_xlfn.XLOOKUP($N998,'Calculo Leads Conveniencia'!$A$77:$A$104,'Calculo Leads Conveniencia'!J$77:J$104)*_xlfn.XLOOKUP($P998,'Base Grupo de Produtos'!$E$23:$E$39,'Base Grupo de Produtos'!$F$23:$F$39)</f>
        <v>0</v>
      </c>
      <c r="X998" s="56">
        <f>_xlfn.XLOOKUP($N998,'Calculo Leads Conveniencia'!$A$77:$A$104,'Calculo Leads Conveniencia'!K$77:K$104)*_xlfn.XLOOKUP($P998,'Base Grupo de Produtos'!$E$23:$E$39,'Base Grupo de Produtos'!$F$23:$F$39)</f>
        <v>0</v>
      </c>
      <c r="Y998" s="56">
        <f>_xlfn.XLOOKUP($N998,'Calculo Leads Conveniencia'!$A$77:$A$104,'Calculo Leads Conveniencia'!L$77:L$104)*_xlfn.XLOOKUP($P998,'Base Grupo de Produtos'!$E$23:$E$39,'Base Grupo de Produtos'!$F$23:$F$39)</f>
        <v>0</v>
      </c>
      <c r="Z998" s="56">
        <f>_xlfn.XLOOKUP($N998,'Calculo Leads Conveniencia'!$A$77:$A$104,'Calculo Leads Conveniencia'!M$77:M$104)*_xlfn.XLOOKUP($P998,'Base Grupo de Produtos'!$E$23:$E$39,'Base Grupo de Produtos'!$F$23:$F$39)</f>
        <v>0</v>
      </c>
      <c r="AA998" s="56">
        <f>_xlfn.XLOOKUP($N998,'Calculo Leads Conveniencia'!$A$77:$A$104,'Calculo Leads Conveniencia'!N$77:N$104)*_xlfn.XLOOKUP($P998,'Base Grupo de Produtos'!$E$23:$E$39,'Base Grupo de Produtos'!$F$23:$F$39)</f>
        <v>0</v>
      </c>
      <c r="AB998" s="56">
        <f>_xlfn.XLOOKUP($N998,'Calculo Leads Conveniencia'!$A$77:$A$104,'Calculo Leads Conveniencia'!O$77:O$104)*_xlfn.XLOOKUP($P998,'Base Grupo de Produtos'!$E$23:$E$39,'Base Grupo de Produtos'!$F$23:$F$39)</f>
        <v>0</v>
      </c>
      <c r="AC998" s="61">
        <f t="shared" si="948"/>
        <v>0</v>
      </c>
      <c r="AD998" s="28"/>
      <c r="AE998" s="12"/>
      <c r="AF998" s="29"/>
      <c r="AG998" s="9"/>
      <c r="AH998" s="10"/>
      <c r="AI998" s="9"/>
      <c r="AJ998" s="11"/>
      <c r="AK998" s="9"/>
      <c r="AL998" s="13"/>
      <c r="AM998" s="9"/>
    </row>
    <row r="999" spans="1:39" x14ac:dyDescent="0.3">
      <c r="A999" s="2" t="str">
        <f t="shared" si="962"/>
        <v>NÃO</v>
      </c>
      <c r="B999" s="2" t="str">
        <f>_xlfn.XLOOKUP($N999,'Base de Grupos'!$A:$A,'Base de Grupos'!$D:$D)</f>
        <v>1000065763</v>
      </c>
      <c r="C999" s="5" t="str">
        <f>_xlfn.XLOOKUP($N999,'Base de Grupos'!$A:$A,'Base de Grupos'!$E:$E)</f>
        <v>CANAL VENDA INTERNA</v>
      </c>
      <c r="D999" s="5" t="str">
        <f>_xlfn.XLOOKUP($N999,'Base de Grupos'!$A:$A,'Base de Grupos'!$F:$F)</f>
        <v>1000065763</v>
      </c>
      <c r="E999" s="2" t="str">
        <f>_xlfn.XLOOKUP($N999,'Base de Grupos'!$A:$A,'Base de Grupos'!$G:$G)</f>
        <v>CANAL VENDA INTERNA</v>
      </c>
      <c r="F999" s="2" t="str">
        <f>_xlfn.XLOOKUP($N999,'Base de Grupos'!$A:$A,'Base de Grupos'!$H:$H)</f>
        <v>1000174119</v>
      </c>
      <c r="G999" s="5" t="str">
        <f>_xlfn.XLOOKUP($N999,'Base de Grupos'!$A:$A,'Base de Grupos'!$I:$I)</f>
        <v>REGIONAL VENDA INTERNA - CONVENIENCIA</v>
      </c>
      <c r="H999" s="5" t="str">
        <f>_xlfn.XLOOKUP($N999,'Base de Grupos'!$A:$A,'Base de Grupos'!$J:$J)</f>
        <v>1000174119</v>
      </c>
      <c r="I999" s="2" t="str">
        <f>_xlfn.XLOOKUP($N999,'Base de Grupos'!$A:$A,'Base de Grupos'!$K:$K)</f>
        <v>REGIONAL VENDA INTERNA - CONVENIENCIA</v>
      </c>
      <c r="J999" s="2" t="str">
        <f>_xlfn.XLOOKUP($N999,'Base de Grupos'!$A:$A,'Base de Grupos'!$L:$L)</f>
        <v>1000174119</v>
      </c>
      <c r="K999" s="5" t="str">
        <f>_xlfn.XLOOKUP($N999,'Base de Grupos'!$A:$A,'Base de Grupos'!$M:$M)</f>
        <v>REGIONAL VENDA INTERNA - CONVENIENCIA</v>
      </c>
      <c r="L999" s="5" t="str">
        <f t="shared" si="963"/>
        <v/>
      </c>
      <c r="M999" s="5" t="str">
        <f>_xlfn.XLOOKUP($N999,'Base de Grupos'!$A:$A,'Base de Grupos'!$C:$C)</f>
        <v>MT</v>
      </c>
      <c r="N999" s="3">
        <v>1520</v>
      </c>
      <c r="O999" s="4" t="s">
        <v>279</v>
      </c>
      <c r="P999" s="5" t="s">
        <v>85</v>
      </c>
      <c r="Q999" s="56">
        <v>0</v>
      </c>
      <c r="R999" s="56">
        <v>0</v>
      </c>
      <c r="S999" s="56">
        <v>0</v>
      </c>
      <c r="T999" s="56">
        <f>_xlfn.XLOOKUP($N999,'Calculo Leads Conveniencia'!$A$77:$A$104,'Calculo Leads Conveniencia'!G$77:G$104)*_xlfn.XLOOKUP($P999,'Base Grupo de Produtos'!$E$23:$E$39,'Base Grupo de Produtos'!$F$23:$F$39)</f>
        <v>0</v>
      </c>
      <c r="U999" s="56">
        <f>_xlfn.XLOOKUP($N999,'Calculo Leads Conveniencia'!$A$77:$A$104,'Calculo Leads Conveniencia'!H$77:H$104)*_xlfn.XLOOKUP($P999,'Base Grupo de Produtos'!$E$23:$E$39,'Base Grupo de Produtos'!$F$23:$F$39)</f>
        <v>0</v>
      </c>
      <c r="V999" s="56">
        <f>_xlfn.XLOOKUP($N999,'Calculo Leads Conveniencia'!$A$77:$A$104,'Calculo Leads Conveniencia'!I$77:I$104)*_xlfn.XLOOKUP($P999,'Base Grupo de Produtos'!$E$23:$E$39,'Base Grupo de Produtos'!$F$23:$F$39)</f>
        <v>0</v>
      </c>
      <c r="W999" s="56">
        <f>_xlfn.XLOOKUP($N999,'Calculo Leads Conveniencia'!$A$77:$A$104,'Calculo Leads Conveniencia'!J$77:J$104)*_xlfn.XLOOKUP($P999,'Base Grupo de Produtos'!$E$23:$E$39,'Base Grupo de Produtos'!$F$23:$F$39)</f>
        <v>0</v>
      </c>
      <c r="X999" s="56">
        <f>_xlfn.XLOOKUP($N999,'Calculo Leads Conveniencia'!$A$77:$A$104,'Calculo Leads Conveniencia'!K$77:K$104)*_xlfn.XLOOKUP($P999,'Base Grupo de Produtos'!$E$23:$E$39,'Base Grupo de Produtos'!$F$23:$F$39)</f>
        <v>0</v>
      </c>
      <c r="Y999" s="56">
        <f>_xlfn.XLOOKUP($N999,'Calculo Leads Conveniencia'!$A$77:$A$104,'Calculo Leads Conveniencia'!L$77:L$104)*_xlfn.XLOOKUP($P999,'Base Grupo de Produtos'!$E$23:$E$39,'Base Grupo de Produtos'!$F$23:$F$39)</f>
        <v>0</v>
      </c>
      <c r="Z999" s="56">
        <f>_xlfn.XLOOKUP($N999,'Calculo Leads Conveniencia'!$A$77:$A$104,'Calculo Leads Conveniencia'!M$77:M$104)*_xlfn.XLOOKUP($P999,'Base Grupo de Produtos'!$E$23:$E$39,'Base Grupo de Produtos'!$F$23:$F$39)</f>
        <v>0</v>
      </c>
      <c r="AA999" s="56">
        <f>_xlfn.XLOOKUP($N999,'Calculo Leads Conveniencia'!$A$77:$A$104,'Calculo Leads Conveniencia'!N$77:N$104)*_xlfn.XLOOKUP($P999,'Base Grupo de Produtos'!$E$23:$E$39,'Base Grupo de Produtos'!$F$23:$F$39)</f>
        <v>0</v>
      </c>
      <c r="AB999" s="56">
        <f>_xlfn.XLOOKUP($N999,'Calculo Leads Conveniencia'!$A$77:$A$104,'Calculo Leads Conveniencia'!O$77:O$104)*_xlfn.XLOOKUP($P999,'Base Grupo de Produtos'!$E$23:$E$39,'Base Grupo de Produtos'!$F$23:$F$39)</f>
        <v>0</v>
      </c>
      <c r="AC999" s="61">
        <f t="shared" si="948"/>
        <v>0</v>
      </c>
      <c r="AD999" s="28"/>
      <c r="AE999" s="12"/>
      <c r="AF999" s="29"/>
      <c r="AG999" s="9"/>
      <c r="AH999" s="10"/>
      <c r="AI999" s="9"/>
      <c r="AJ999" s="11"/>
      <c r="AK999" s="9"/>
      <c r="AL999" s="13"/>
      <c r="AM999" s="9"/>
    </row>
    <row r="1000" spans="1:39" x14ac:dyDescent="0.3">
      <c r="A1000" s="2" t="str">
        <f t="shared" si="962"/>
        <v>NÃO</v>
      </c>
      <c r="B1000" s="2" t="str">
        <f>_xlfn.XLOOKUP($N1000,'Base de Grupos'!$A:$A,'Base de Grupos'!$D:$D)</f>
        <v>1000065763</v>
      </c>
      <c r="C1000" s="5" t="str">
        <f>_xlfn.XLOOKUP($N1000,'Base de Grupos'!$A:$A,'Base de Grupos'!$E:$E)</f>
        <v>CANAL VENDA INTERNA</v>
      </c>
      <c r="D1000" s="5" t="str">
        <f>_xlfn.XLOOKUP($N1000,'Base de Grupos'!$A:$A,'Base de Grupos'!$F:$F)</f>
        <v>1000065763</v>
      </c>
      <c r="E1000" s="2" t="str">
        <f>_xlfn.XLOOKUP($N1000,'Base de Grupos'!$A:$A,'Base de Grupos'!$G:$G)</f>
        <v>CANAL VENDA INTERNA</v>
      </c>
      <c r="F1000" s="2" t="str">
        <f>_xlfn.XLOOKUP($N1000,'Base de Grupos'!$A:$A,'Base de Grupos'!$H:$H)</f>
        <v>1000174119</v>
      </c>
      <c r="G1000" s="5" t="str">
        <f>_xlfn.XLOOKUP($N1000,'Base de Grupos'!$A:$A,'Base de Grupos'!$I:$I)</f>
        <v>REGIONAL VENDA INTERNA - CONVENIENCIA</v>
      </c>
      <c r="H1000" s="5" t="str">
        <f>_xlfn.XLOOKUP($N1000,'Base de Grupos'!$A:$A,'Base de Grupos'!$J:$J)</f>
        <v>1000174119</v>
      </c>
      <c r="I1000" s="2" t="str">
        <f>_xlfn.XLOOKUP($N1000,'Base de Grupos'!$A:$A,'Base de Grupos'!$K:$K)</f>
        <v>REGIONAL VENDA INTERNA - CONVENIENCIA</v>
      </c>
      <c r="J1000" s="2" t="str">
        <f>_xlfn.XLOOKUP($N1000,'Base de Grupos'!$A:$A,'Base de Grupos'!$L:$L)</f>
        <v>1000174119</v>
      </c>
      <c r="K1000" s="5" t="str">
        <f>_xlfn.XLOOKUP($N1000,'Base de Grupos'!$A:$A,'Base de Grupos'!$M:$M)</f>
        <v>REGIONAL VENDA INTERNA - CONVENIENCIA</v>
      </c>
      <c r="L1000" s="5" t="str">
        <f t="shared" si="963"/>
        <v/>
      </c>
      <c r="M1000" s="5" t="str">
        <f>_xlfn.XLOOKUP($N1000,'Base de Grupos'!$A:$A,'Base de Grupos'!$C:$C)</f>
        <v>MT</v>
      </c>
      <c r="N1000" s="3">
        <v>1520</v>
      </c>
      <c r="O1000" s="4" t="s">
        <v>279</v>
      </c>
      <c r="P1000" s="5" t="s">
        <v>92</v>
      </c>
      <c r="Q1000" s="56">
        <v>0</v>
      </c>
      <c r="R1000" s="56">
        <v>0</v>
      </c>
      <c r="S1000" s="56">
        <v>0</v>
      </c>
      <c r="T1000" s="56">
        <f>_xlfn.XLOOKUP($N1000,'Calculo Leads Conveniencia'!$A$77:$A$104,'Calculo Leads Conveniencia'!G$77:G$104)*_xlfn.XLOOKUP($P1000,'Base Grupo de Produtos'!$E$23:$E$39,'Base Grupo de Produtos'!$F$23:$F$39)</f>
        <v>0</v>
      </c>
      <c r="U1000" s="56">
        <f>_xlfn.XLOOKUP($N1000,'Calculo Leads Conveniencia'!$A$77:$A$104,'Calculo Leads Conveniencia'!H$77:H$104)*_xlfn.XLOOKUP($P1000,'Base Grupo de Produtos'!$E$23:$E$39,'Base Grupo de Produtos'!$F$23:$F$39)</f>
        <v>0</v>
      </c>
      <c r="V1000" s="56">
        <f>_xlfn.XLOOKUP($N1000,'Calculo Leads Conveniencia'!$A$77:$A$104,'Calculo Leads Conveniencia'!I$77:I$104)*_xlfn.XLOOKUP($P1000,'Base Grupo de Produtos'!$E$23:$E$39,'Base Grupo de Produtos'!$F$23:$F$39)</f>
        <v>0</v>
      </c>
      <c r="W1000" s="56">
        <f>_xlfn.XLOOKUP($N1000,'Calculo Leads Conveniencia'!$A$77:$A$104,'Calculo Leads Conveniencia'!J$77:J$104)*_xlfn.XLOOKUP($P1000,'Base Grupo de Produtos'!$E$23:$E$39,'Base Grupo de Produtos'!$F$23:$F$39)</f>
        <v>0</v>
      </c>
      <c r="X1000" s="56">
        <f>_xlfn.XLOOKUP($N1000,'Calculo Leads Conveniencia'!$A$77:$A$104,'Calculo Leads Conveniencia'!K$77:K$104)*_xlfn.XLOOKUP($P1000,'Base Grupo de Produtos'!$E$23:$E$39,'Base Grupo de Produtos'!$F$23:$F$39)</f>
        <v>0</v>
      </c>
      <c r="Y1000" s="56">
        <f>_xlfn.XLOOKUP($N1000,'Calculo Leads Conveniencia'!$A$77:$A$104,'Calculo Leads Conveniencia'!L$77:L$104)*_xlfn.XLOOKUP($P1000,'Base Grupo de Produtos'!$E$23:$E$39,'Base Grupo de Produtos'!$F$23:$F$39)</f>
        <v>0</v>
      </c>
      <c r="Z1000" s="56">
        <f>_xlfn.XLOOKUP($N1000,'Calculo Leads Conveniencia'!$A$77:$A$104,'Calculo Leads Conveniencia'!M$77:M$104)*_xlfn.XLOOKUP($P1000,'Base Grupo de Produtos'!$E$23:$E$39,'Base Grupo de Produtos'!$F$23:$F$39)</f>
        <v>0</v>
      </c>
      <c r="AA1000" s="56">
        <f>_xlfn.XLOOKUP($N1000,'Calculo Leads Conveniencia'!$A$77:$A$104,'Calculo Leads Conveniencia'!N$77:N$104)*_xlfn.XLOOKUP($P1000,'Base Grupo de Produtos'!$E$23:$E$39,'Base Grupo de Produtos'!$F$23:$F$39)</f>
        <v>0</v>
      </c>
      <c r="AB1000" s="56">
        <f>_xlfn.XLOOKUP($N1000,'Calculo Leads Conveniencia'!$A$77:$A$104,'Calculo Leads Conveniencia'!O$77:O$104)*_xlfn.XLOOKUP($P1000,'Base Grupo de Produtos'!$E$23:$E$39,'Base Grupo de Produtos'!$F$23:$F$39)</f>
        <v>0</v>
      </c>
      <c r="AC1000" s="61">
        <f t="shared" si="948"/>
        <v>0</v>
      </c>
      <c r="AD1000" s="28"/>
      <c r="AE1000" s="12"/>
      <c r="AF1000" s="29"/>
      <c r="AG1000" s="9"/>
      <c r="AH1000" s="10"/>
      <c r="AI1000" s="9"/>
      <c r="AJ1000" s="11"/>
      <c r="AK1000" s="9"/>
      <c r="AL1000" s="13"/>
      <c r="AM1000" s="9"/>
    </row>
    <row r="1001" spans="1:39" x14ac:dyDescent="0.3">
      <c r="A1001" s="2" t="str">
        <f t="shared" si="962"/>
        <v>NÃO</v>
      </c>
      <c r="B1001" s="2" t="str">
        <f>_xlfn.XLOOKUP($N1001,'Base de Grupos'!$A:$A,'Base de Grupos'!$D:$D)</f>
        <v>1000065763</v>
      </c>
      <c r="C1001" s="5" t="str">
        <f>_xlfn.XLOOKUP($N1001,'Base de Grupos'!$A:$A,'Base de Grupos'!$E:$E)</f>
        <v>CANAL VENDA INTERNA</v>
      </c>
      <c r="D1001" s="5" t="str">
        <f>_xlfn.XLOOKUP($N1001,'Base de Grupos'!$A:$A,'Base de Grupos'!$F:$F)</f>
        <v>1000065763</v>
      </c>
      <c r="E1001" s="2" t="str">
        <f>_xlfn.XLOOKUP($N1001,'Base de Grupos'!$A:$A,'Base de Grupos'!$G:$G)</f>
        <v>CANAL VENDA INTERNA</v>
      </c>
      <c r="F1001" s="2" t="str">
        <f>_xlfn.XLOOKUP($N1001,'Base de Grupos'!$A:$A,'Base de Grupos'!$H:$H)</f>
        <v>1000174119</v>
      </c>
      <c r="G1001" s="5" t="str">
        <f>_xlfn.XLOOKUP($N1001,'Base de Grupos'!$A:$A,'Base de Grupos'!$I:$I)</f>
        <v>REGIONAL VENDA INTERNA - CONVENIENCIA</v>
      </c>
      <c r="H1001" s="5" t="str">
        <f>_xlfn.XLOOKUP($N1001,'Base de Grupos'!$A:$A,'Base de Grupos'!$J:$J)</f>
        <v>1000174119</v>
      </c>
      <c r="I1001" s="2" t="str">
        <f>_xlfn.XLOOKUP($N1001,'Base de Grupos'!$A:$A,'Base de Grupos'!$K:$K)</f>
        <v>REGIONAL VENDA INTERNA - CONVENIENCIA</v>
      </c>
      <c r="J1001" s="2" t="str">
        <f>_xlfn.XLOOKUP($N1001,'Base de Grupos'!$A:$A,'Base de Grupos'!$L:$L)</f>
        <v>1000174119</v>
      </c>
      <c r="K1001" s="5" t="str">
        <f>_xlfn.XLOOKUP($N1001,'Base de Grupos'!$A:$A,'Base de Grupos'!$M:$M)</f>
        <v>REGIONAL VENDA INTERNA - CONVENIENCIA</v>
      </c>
      <c r="L1001" s="5" t="str">
        <f t="shared" si="963"/>
        <v/>
      </c>
      <c r="M1001" s="5" t="str">
        <f>_xlfn.XLOOKUP($N1001,'Base de Grupos'!$A:$A,'Base de Grupos'!$C:$C)</f>
        <v>MT</v>
      </c>
      <c r="N1001" s="3">
        <v>1520</v>
      </c>
      <c r="O1001" s="4" t="s">
        <v>279</v>
      </c>
      <c r="P1001" s="5" t="s">
        <v>86</v>
      </c>
      <c r="Q1001" s="56">
        <v>0</v>
      </c>
      <c r="R1001" s="56">
        <v>0</v>
      </c>
      <c r="S1001" s="56">
        <v>0</v>
      </c>
      <c r="T1001" s="56">
        <f>_xlfn.XLOOKUP($N1001,'Calculo Leads Conveniencia'!$A$77:$A$104,'Calculo Leads Conveniencia'!G$77:G$104)*_xlfn.XLOOKUP($P1001,'Base Grupo de Produtos'!$E$23:$E$39,'Base Grupo de Produtos'!$F$23:$F$39)</f>
        <v>0</v>
      </c>
      <c r="U1001" s="56">
        <f>_xlfn.XLOOKUP($N1001,'Calculo Leads Conveniencia'!$A$77:$A$104,'Calculo Leads Conveniencia'!H$77:H$104)*_xlfn.XLOOKUP($P1001,'Base Grupo de Produtos'!$E$23:$E$39,'Base Grupo de Produtos'!$F$23:$F$39)</f>
        <v>0</v>
      </c>
      <c r="V1001" s="56">
        <f>_xlfn.XLOOKUP($N1001,'Calculo Leads Conveniencia'!$A$77:$A$104,'Calculo Leads Conveniencia'!I$77:I$104)*_xlfn.XLOOKUP($P1001,'Base Grupo de Produtos'!$E$23:$E$39,'Base Grupo de Produtos'!$F$23:$F$39)</f>
        <v>0</v>
      </c>
      <c r="W1001" s="56">
        <f>_xlfn.XLOOKUP($N1001,'Calculo Leads Conveniencia'!$A$77:$A$104,'Calculo Leads Conveniencia'!J$77:J$104)*_xlfn.XLOOKUP($P1001,'Base Grupo de Produtos'!$E$23:$E$39,'Base Grupo de Produtos'!$F$23:$F$39)</f>
        <v>0</v>
      </c>
      <c r="X1001" s="56">
        <f>_xlfn.XLOOKUP($N1001,'Calculo Leads Conveniencia'!$A$77:$A$104,'Calculo Leads Conveniencia'!K$77:K$104)*_xlfn.XLOOKUP($P1001,'Base Grupo de Produtos'!$E$23:$E$39,'Base Grupo de Produtos'!$F$23:$F$39)</f>
        <v>0</v>
      </c>
      <c r="Y1001" s="56">
        <f>_xlfn.XLOOKUP($N1001,'Calculo Leads Conveniencia'!$A$77:$A$104,'Calculo Leads Conveniencia'!L$77:L$104)*_xlfn.XLOOKUP($P1001,'Base Grupo de Produtos'!$E$23:$E$39,'Base Grupo de Produtos'!$F$23:$F$39)</f>
        <v>0</v>
      </c>
      <c r="Z1001" s="56">
        <f>_xlfn.XLOOKUP($N1001,'Calculo Leads Conveniencia'!$A$77:$A$104,'Calculo Leads Conveniencia'!M$77:M$104)*_xlfn.XLOOKUP($P1001,'Base Grupo de Produtos'!$E$23:$E$39,'Base Grupo de Produtos'!$F$23:$F$39)</f>
        <v>0</v>
      </c>
      <c r="AA1001" s="56">
        <f>_xlfn.XLOOKUP($N1001,'Calculo Leads Conveniencia'!$A$77:$A$104,'Calculo Leads Conveniencia'!N$77:N$104)*_xlfn.XLOOKUP($P1001,'Base Grupo de Produtos'!$E$23:$E$39,'Base Grupo de Produtos'!$F$23:$F$39)</f>
        <v>0</v>
      </c>
      <c r="AB1001" s="56">
        <f>_xlfn.XLOOKUP($N1001,'Calculo Leads Conveniencia'!$A$77:$A$104,'Calculo Leads Conveniencia'!O$77:O$104)*_xlfn.XLOOKUP($P1001,'Base Grupo de Produtos'!$E$23:$E$39,'Base Grupo de Produtos'!$F$23:$F$39)</f>
        <v>0</v>
      </c>
      <c r="AC1001" s="61">
        <f t="shared" si="948"/>
        <v>0</v>
      </c>
      <c r="AD1001" s="28"/>
      <c r="AE1001" s="12"/>
      <c r="AF1001" s="29"/>
      <c r="AG1001" s="9"/>
      <c r="AH1001" s="10"/>
      <c r="AI1001" s="9"/>
      <c r="AJ1001" s="11"/>
      <c r="AK1001" s="9"/>
      <c r="AL1001" s="13"/>
      <c r="AM1001" s="9"/>
    </row>
    <row r="1002" spans="1:39" x14ac:dyDescent="0.3">
      <c r="A1002" s="2" t="str">
        <f t="shared" si="962"/>
        <v>NÃO</v>
      </c>
      <c r="B1002" s="2" t="str">
        <f>_xlfn.XLOOKUP($N1002,'Base de Grupos'!$A:$A,'Base de Grupos'!$D:$D)</f>
        <v>1000065763</v>
      </c>
      <c r="C1002" s="5" t="str">
        <f>_xlfn.XLOOKUP($N1002,'Base de Grupos'!$A:$A,'Base de Grupos'!$E:$E)</f>
        <v>CANAL VENDA INTERNA</v>
      </c>
      <c r="D1002" s="5" t="str">
        <f>_xlfn.XLOOKUP($N1002,'Base de Grupos'!$A:$A,'Base de Grupos'!$F:$F)</f>
        <v>1000065763</v>
      </c>
      <c r="E1002" s="2" t="str">
        <f>_xlfn.XLOOKUP($N1002,'Base de Grupos'!$A:$A,'Base de Grupos'!$G:$G)</f>
        <v>CANAL VENDA INTERNA</v>
      </c>
      <c r="F1002" s="2" t="str">
        <f>_xlfn.XLOOKUP($N1002,'Base de Grupos'!$A:$A,'Base de Grupos'!$H:$H)</f>
        <v>1000174119</v>
      </c>
      <c r="G1002" s="5" t="str">
        <f>_xlfn.XLOOKUP($N1002,'Base de Grupos'!$A:$A,'Base de Grupos'!$I:$I)</f>
        <v>REGIONAL VENDA INTERNA - CONVENIENCIA</v>
      </c>
      <c r="H1002" s="5" t="str">
        <f>_xlfn.XLOOKUP($N1002,'Base de Grupos'!$A:$A,'Base de Grupos'!$J:$J)</f>
        <v>1000174119</v>
      </c>
      <c r="I1002" s="2" t="str">
        <f>_xlfn.XLOOKUP($N1002,'Base de Grupos'!$A:$A,'Base de Grupos'!$K:$K)</f>
        <v>REGIONAL VENDA INTERNA - CONVENIENCIA</v>
      </c>
      <c r="J1002" s="2" t="str">
        <f>_xlfn.XLOOKUP($N1002,'Base de Grupos'!$A:$A,'Base de Grupos'!$L:$L)</f>
        <v>1000174119</v>
      </c>
      <c r="K1002" s="5" t="str">
        <f>_xlfn.XLOOKUP($N1002,'Base de Grupos'!$A:$A,'Base de Grupos'!$M:$M)</f>
        <v>REGIONAL VENDA INTERNA - CONVENIENCIA</v>
      </c>
      <c r="L1002" s="5" t="str">
        <f t="shared" si="963"/>
        <v/>
      </c>
      <c r="M1002" s="5" t="str">
        <f>_xlfn.XLOOKUP($N1002,'Base de Grupos'!$A:$A,'Base de Grupos'!$C:$C)</f>
        <v>MT</v>
      </c>
      <c r="N1002" s="3">
        <v>1520</v>
      </c>
      <c r="O1002" s="4" t="s">
        <v>279</v>
      </c>
      <c r="P1002" s="5" t="s">
        <v>108</v>
      </c>
      <c r="Q1002" s="56">
        <v>0</v>
      </c>
      <c r="R1002" s="56">
        <v>0</v>
      </c>
      <c r="S1002" s="56">
        <v>0</v>
      </c>
      <c r="T1002" s="56">
        <f>_xlfn.XLOOKUP($N1002,'Calculo Leads Conveniencia'!$A$77:$A$104,'Calculo Leads Conveniencia'!G$77:G$104)*_xlfn.XLOOKUP($P1002,'Base Grupo de Produtos'!$E$23:$E$39,'Base Grupo de Produtos'!$F$23:$F$39)</f>
        <v>0</v>
      </c>
      <c r="U1002" s="56">
        <f>_xlfn.XLOOKUP($N1002,'Calculo Leads Conveniencia'!$A$77:$A$104,'Calculo Leads Conveniencia'!H$77:H$104)*_xlfn.XLOOKUP($P1002,'Base Grupo de Produtos'!$E$23:$E$39,'Base Grupo de Produtos'!$F$23:$F$39)</f>
        <v>0</v>
      </c>
      <c r="V1002" s="56">
        <f>_xlfn.XLOOKUP($N1002,'Calculo Leads Conveniencia'!$A$77:$A$104,'Calculo Leads Conveniencia'!I$77:I$104)*_xlfn.XLOOKUP($P1002,'Base Grupo de Produtos'!$E$23:$E$39,'Base Grupo de Produtos'!$F$23:$F$39)</f>
        <v>0</v>
      </c>
      <c r="W1002" s="56">
        <f>_xlfn.XLOOKUP($N1002,'Calculo Leads Conveniencia'!$A$77:$A$104,'Calculo Leads Conveniencia'!J$77:J$104)*_xlfn.XLOOKUP($P1002,'Base Grupo de Produtos'!$E$23:$E$39,'Base Grupo de Produtos'!$F$23:$F$39)</f>
        <v>0</v>
      </c>
      <c r="X1002" s="56">
        <f>_xlfn.XLOOKUP($N1002,'Calculo Leads Conveniencia'!$A$77:$A$104,'Calculo Leads Conveniencia'!K$77:K$104)*_xlfn.XLOOKUP($P1002,'Base Grupo de Produtos'!$E$23:$E$39,'Base Grupo de Produtos'!$F$23:$F$39)</f>
        <v>0</v>
      </c>
      <c r="Y1002" s="56">
        <f>_xlfn.XLOOKUP($N1002,'Calculo Leads Conveniencia'!$A$77:$A$104,'Calculo Leads Conveniencia'!L$77:L$104)*_xlfn.XLOOKUP($P1002,'Base Grupo de Produtos'!$E$23:$E$39,'Base Grupo de Produtos'!$F$23:$F$39)</f>
        <v>0</v>
      </c>
      <c r="Z1002" s="56">
        <f>_xlfn.XLOOKUP($N1002,'Calculo Leads Conveniencia'!$A$77:$A$104,'Calculo Leads Conveniencia'!M$77:M$104)*_xlfn.XLOOKUP($P1002,'Base Grupo de Produtos'!$E$23:$E$39,'Base Grupo de Produtos'!$F$23:$F$39)</f>
        <v>0</v>
      </c>
      <c r="AA1002" s="56">
        <f>_xlfn.XLOOKUP($N1002,'Calculo Leads Conveniencia'!$A$77:$A$104,'Calculo Leads Conveniencia'!N$77:N$104)*_xlfn.XLOOKUP($P1002,'Base Grupo de Produtos'!$E$23:$E$39,'Base Grupo de Produtos'!$F$23:$F$39)</f>
        <v>0</v>
      </c>
      <c r="AB1002" s="56">
        <f>_xlfn.XLOOKUP($N1002,'Calculo Leads Conveniencia'!$A$77:$A$104,'Calculo Leads Conveniencia'!O$77:O$104)*_xlfn.XLOOKUP($P1002,'Base Grupo de Produtos'!$E$23:$E$39,'Base Grupo de Produtos'!$F$23:$F$39)</f>
        <v>0</v>
      </c>
      <c r="AC1002" s="61">
        <f t="shared" si="948"/>
        <v>0</v>
      </c>
      <c r="AD1002" s="28"/>
      <c r="AE1002" s="12"/>
      <c r="AF1002" s="29"/>
      <c r="AG1002" s="9"/>
      <c r="AH1002" s="10"/>
      <c r="AI1002" s="9"/>
      <c r="AJ1002" s="11"/>
      <c r="AK1002" s="9"/>
      <c r="AL1002" s="13"/>
      <c r="AM1002" s="9"/>
    </row>
    <row r="1003" spans="1:39" x14ac:dyDescent="0.3">
      <c r="A1003" s="2" t="str">
        <f t="shared" si="962"/>
        <v>NÃO</v>
      </c>
      <c r="B1003" s="2" t="str">
        <f>_xlfn.XLOOKUP($N1003,'Base de Grupos'!$A:$A,'Base de Grupos'!$D:$D)</f>
        <v>1000065763</v>
      </c>
      <c r="C1003" s="5" t="str">
        <f>_xlfn.XLOOKUP($N1003,'Base de Grupos'!$A:$A,'Base de Grupos'!$E:$E)</f>
        <v>CANAL VENDA INTERNA</v>
      </c>
      <c r="D1003" s="5" t="str">
        <f>_xlfn.XLOOKUP($N1003,'Base de Grupos'!$A:$A,'Base de Grupos'!$F:$F)</f>
        <v>1000065763</v>
      </c>
      <c r="E1003" s="2" t="str">
        <f>_xlfn.XLOOKUP($N1003,'Base de Grupos'!$A:$A,'Base de Grupos'!$G:$G)</f>
        <v>CANAL VENDA INTERNA</v>
      </c>
      <c r="F1003" s="2" t="str">
        <f>_xlfn.XLOOKUP($N1003,'Base de Grupos'!$A:$A,'Base de Grupos'!$H:$H)</f>
        <v>1000174119</v>
      </c>
      <c r="G1003" s="5" t="str">
        <f>_xlfn.XLOOKUP($N1003,'Base de Grupos'!$A:$A,'Base de Grupos'!$I:$I)</f>
        <v>REGIONAL VENDA INTERNA - CONVENIENCIA</v>
      </c>
      <c r="H1003" s="5" t="str">
        <f>_xlfn.XLOOKUP($N1003,'Base de Grupos'!$A:$A,'Base de Grupos'!$J:$J)</f>
        <v>1000174119</v>
      </c>
      <c r="I1003" s="2" t="str">
        <f>_xlfn.XLOOKUP($N1003,'Base de Grupos'!$A:$A,'Base de Grupos'!$K:$K)</f>
        <v>REGIONAL VENDA INTERNA - CONVENIENCIA</v>
      </c>
      <c r="J1003" s="2" t="str">
        <f>_xlfn.XLOOKUP($N1003,'Base de Grupos'!$A:$A,'Base de Grupos'!$L:$L)</f>
        <v>1000174119</v>
      </c>
      <c r="K1003" s="5" t="str">
        <f>_xlfn.XLOOKUP($N1003,'Base de Grupos'!$A:$A,'Base de Grupos'!$M:$M)</f>
        <v>REGIONAL VENDA INTERNA - CONVENIENCIA</v>
      </c>
      <c r="L1003" s="5" t="str">
        <f t="shared" si="963"/>
        <v/>
      </c>
      <c r="M1003" s="5" t="str">
        <f>_xlfn.XLOOKUP($N1003,'Base de Grupos'!$A:$A,'Base de Grupos'!$C:$C)</f>
        <v>MT</v>
      </c>
      <c r="N1003" s="3">
        <v>1520</v>
      </c>
      <c r="O1003" s="4" t="s">
        <v>279</v>
      </c>
      <c r="P1003" s="5" t="s">
        <v>89</v>
      </c>
      <c r="Q1003" s="56">
        <v>0</v>
      </c>
      <c r="R1003" s="56">
        <v>0</v>
      </c>
      <c r="S1003" s="56">
        <v>0</v>
      </c>
      <c r="T1003" s="56">
        <f>_xlfn.XLOOKUP($N1003,'Calculo Leads Conveniencia'!$A$77:$A$104,'Calculo Leads Conveniencia'!G$77:G$104)*_xlfn.XLOOKUP($P1003,'Base Grupo de Produtos'!$E$23:$E$39,'Base Grupo de Produtos'!$F$23:$F$39)</f>
        <v>0</v>
      </c>
      <c r="U1003" s="56">
        <f>_xlfn.XLOOKUP($N1003,'Calculo Leads Conveniencia'!$A$77:$A$104,'Calculo Leads Conveniencia'!H$77:H$104)*_xlfn.XLOOKUP($P1003,'Base Grupo de Produtos'!$E$23:$E$39,'Base Grupo de Produtos'!$F$23:$F$39)</f>
        <v>0</v>
      </c>
      <c r="V1003" s="56">
        <f>_xlfn.XLOOKUP($N1003,'Calculo Leads Conveniencia'!$A$77:$A$104,'Calculo Leads Conveniencia'!I$77:I$104)*_xlfn.XLOOKUP($P1003,'Base Grupo de Produtos'!$E$23:$E$39,'Base Grupo de Produtos'!$F$23:$F$39)</f>
        <v>0</v>
      </c>
      <c r="W1003" s="56">
        <f>_xlfn.XLOOKUP($N1003,'Calculo Leads Conveniencia'!$A$77:$A$104,'Calculo Leads Conveniencia'!J$77:J$104)*_xlfn.XLOOKUP($P1003,'Base Grupo de Produtos'!$E$23:$E$39,'Base Grupo de Produtos'!$F$23:$F$39)</f>
        <v>0</v>
      </c>
      <c r="X1003" s="56">
        <f>_xlfn.XLOOKUP($N1003,'Calculo Leads Conveniencia'!$A$77:$A$104,'Calculo Leads Conveniencia'!K$77:K$104)*_xlfn.XLOOKUP($P1003,'Base Grupo de Produtos'!$E$23:$E$39,'Base Grupo de Produtos'!$F$23:$F$39)</f>
        <v>0</v>
      </c>
      <c r="Y1003" s="56">
        <f>_xlfn.XLOOKUP($N1003,'Calculo Leads Conveniencia'!$A$77:$A$104,'Calculo Leads Conveniencia'!L$77:L$104)*_xlfn.XLOOKUP($P1003,'Base Grupo de Produtos'!$E$23:$E$39,'Base Grupo de Produtos'!$F$23:$F$39)</f>
        <v>0</v>
      </c>
      <c r="Z1003" s="56">
        <f>_xlfn.XLOOKUP($N1003,'Calculo Leads Conveniencia'!$A$77:$A$104,'Calculo Leads Conveniencia'!M$77:M$104)*_xlfn.XLOOKUP($P1003,'Base Grupo de Produtos'!$E$23:$E$39,'Base Grupo de Produtos'!$F$23:$F$39)</f>
        <v>0</v>
      </c>
      <c r="AA1003" s="56">
        <f>_xlfn.XLOOKUP($N1003,'Calculo Leads Conveniencia'!$A$77:$A$104,'Calculo Leads Conveniencia'!N$77:N$104)*_xlfn.XLOOKUP($P1003,'Base Grupo de Produtos'!$E$23:$E$39,'Base Grupo de Produtos'!$F$23:$F$39)</f>
        <v>0</v>
      </c>
      <c r="AB1003" s="56">
        <f>_xlfn.XLOOKUP($N1003,'Calculo Leads Conveniencia'!$A$77:$A$104,'Calculo Leads Conveniencia'!O$77:O$104)*_xlfn.XLOOKUP($P1003,'Base Grupo de Produtos'!$E$23:$E$39,'Base Grupo de Produtos'!$F$23:$F$39)</f>
        <v>0</v>
      </c>
      <c r="AC1003" s="61">
        <f t="shared" si="948"/>
        <v>0</v>
      </c>
      <c r="AD1003" s="28"/>
      <c r="AE1003" s="12"/>
      <c r="AF1003" s="29"/>
      <c r="AG1003" s="9"/>
      <c r="AH1003" s="10"/>
      <c r="AI1003" s="9"/>
      <c r="AJ1003" s="11"/>
      <c r="AK1003" s="9"/>
      <c r="AL1003" s="13"/>
      <c r="AM1003" s="9"/>
    </row>
    <row r="1004" spans="1:39" x14ac:dyDescent="0.3">
      <c r="A1004" s="2" t="str">
        <f t="shared" si="962"/>
        <v>NÃO</v>
      </c>
      <c r="B1004" s="2" t="str">
        <f>_xlfn.XLOOKUP($N1004,'Base de Grupos'!$A:$A,'Base de Grupos'!$D:$D)</f>
        <v>1000065763</v>
      </c>
      <c r="C1004" s="5" t="str">
        <f>_xlfn.XLOOKUP($N1004,'Base de Grupos'!$A:$A,'Base de Grupos'!$E:$E)</f>
        <v>CANAL VENDA INTERNA</v>
      </c>
      <c r="D1004" s="5" t="str">
        <f>_xlfn.XLOOKUP($N1004,'Base de Grupos'!$A:$A,'Base de Grupos'!$F:$F)</f>
        <v>1000065763</v>
      </c>
      <c r="E1004" s="2" t="str">
        <f>_xlfn.XLOOKUP($N1004,'Base de Grupos'!$A:$A,'Base de Grupos'!$G:$G)</f>
        <v>CANAL VENDA INTERNA</v>
      </c>
      <c r="F1004" s="2" t="str">
        <f>_xlfn.XLOOKUP($N1004,'Base de Grupos'!$A:$A,'Base de Grupos'!$H:$H)</f>
        <v>1000174119</v>
      </c>
      <c r="G1004" s="5" t="str">
        <f>_xlfn.XLOOKUP($N1004,'Base de Grupos'!$A:$A,'Base de Grupos'!$I:$I)</f>
        <v>REGIONAL VENDA INTERNA - CONVENIENCIA</v>
      </c>
      <c r="H1004" s="5" t="str">
        <f>_xlfn.XLOOKUP($N1004,'Base de Grupos'!$A:$A,'Base de Grupos'!$J:$J)</f>
        <v>1000174119</v>
      </c>
      <c r="I1004" s="2" t="str">
        <f>_xlfn.XLOOKUP($N1004,'Base de Grupos'!$A:$A,'Base de Grupos'!$K:$K)</f>
        <v>REGIONAL VENDA INTERNA - CONVENIENCIA</v>
      </c>
      <c r="J1004" s="2" t="str">
        <f>_xlfn.XLOOKUP($N1004,'Base de Grupos'!$A:$A,'Base de Grupos'!$L:$L)</f>
        <v>1000174119</v>
      </c>
      <c r="K1004" s="5" t="str">
        <f>_xlfn.XLOOKUP($N1004,'Base de Grupos'!$A:$A,'Base de Grupos'!$M:$M)</f>
        <v>REGIONAL VENDA INTERNA - CONVENIENCIA</v>
      </c>
      <c r="L1004" s="5" t="str">
        <f t="shared" si="963"/>
        <v/>
      </c>
      <c r="M1004" s="5" t="str">
        <f>_xlfn.XLOOKUP($N1004,'Base de Grupos'!$A:$A,'Base de Grupos'!$C:$C)</f>
        <v>MT</v>
      </c>
      <c r="N1004" s="3">
        <v>1520</v>
      </c>
      <c r="O1004" s="4" t="s">
        <v>279</v>
      </c>
      <c r="P1004" s="5" t="s">
        <v>88</v>
      </c>
      <c r="Q1004" s="56">
        <v>0</v>
      </c>
      <c r="R1004" s="56">
        <v>0</v>
      </c>
      <c r="S1004" s="56">
        <v>0</v>
      </c>
      <c r="T1004" s="56">
        <f>_xlfn.XLOOKUP($N1004,'Calculo Leads Conveniencia'!$A$77:$A$104,'Calculo Leads Conveniencia'!G$77:G$104)*_xlfn.XLOOKUP($P1004,'Base Grupo de Produtos'!$E$23:$E$39,'Base Grupo de Produtos'!$F$23:$F$39)</f>
        <v>0</v>
      </c>
      <c r="U1004" s="56">
        <f>_xlfn.XLOOKUP($N1004,'Calculo Leads Conveniencia'!$A$77:$A$104,'Calculo Leads Conveniencia'!H$77:H$104)*_xlfn.XLOOKUP($P1004,'Base Grupo de Produtos'!$E$23:$E$39,'Base Grupo de Produtos'!$F$23:$F$39)</f>
        <v>0</v>
      </c>
      <c r="V1004" s="56">
        <f>_xlfn.XLOOKUP($N1004,'Calculo Leads Conveniencia'!$A$77:$A$104,'Calculo Leads Conveniencia'!I$77:I$104)*_xlfn.XLOOKUP($P1004,'Base Grupo de Produtos'!$E$23:$E$39,'Base Grupo de Produtos'!$F$23:$F$39)</f>
        <v>0</v>
      </c>
      <c r="W1004" s="56">
        <f>_xlfn.XLOOKUP($N1004,'Calculo Leads Conveniencia'!$A$77:$A$104,'Calculo Leads Conveniencia'!J$77:J$104)*_xlfn.XLOOKUP($P1004,'Base Grupo de Produtos'!$E$23:$E$39,'Base Grupo de Produtos'!$F$23:$F$39)</f>
        <v>0</v>
      </c>
      <c r="X1004" s="56">
        <f>_xlfn.XLOOKUP($N1004,'Calculo Leads Conveniencia'!$A$77:$A$104,'Calculo Leads Conveniencia'!K$77:K$104)*_xlfn.XLOOKUP($P1004,'Base Grupo de Produtos'!$E$23:$E$39,'Base Grupo de Produtos'!$F$23:$F$39)</f>
        <v>0</v>
      </c>
      <c r="Y1004" s="56">
        <f>_xlfn.XLOOKUP($N1004,'Calculo Leads Conveniencia'!$A$77:$A$104,'Calculo Leads Conveniencia'!L$77:L$104)*_xlfn.XLOOKUP($P1004,'Base Grupo de Produtos'!$E$23:$E$39,'Base Grupo de Produtos'!$F$23:$F$39)</f>
        <v>0</v>
      </c>
      <c r="Z1004" s="56">
        <f>_xlfn.XLOOKUP($N1004,'Calculo Leads Conveniencia'!$A$77:$A$104,'Calculo Leads Conveniencia'!M$77:M$104)*_xlfn.XLOOKUP($P1004,'Base Grupo de Produtos'!$E$23:$E$39,'Base Grupo de Produtos'!$F$23:$F$39)</f>
        <v>0</v>
      </c>
      <c r="AA1004" s="56">
        <f>_xlfn.XLOOKUP($N1004,'Calculo Leads Conveniencia'!$A$77:$A$104,'Calculo Leads Conveniencia'!N$77:N$104)*_xlfn.XLOOKUP($P1004,'Base Grupo de Produtos'!$E$23:$E$39,'Base Grupo de Produtos'!$F$23:$F$39)</f>
        <v>0</v>
      </c>
      <c r="AB1004" s="56">
        <f>_xlfn.XLOOKUP($N1004,'Calculo Leads Conveniencia'!$A$77:$A$104,'Calculo Leads Conveniencia'!O$77:O$104)*_xlfn.XLOOKUP($P1004,'Base Grupo de Produtos'!$E$23:$E$39,'Base Grupo de Produtos'!$F$23:$F$39)</f>
        <v>0</v>
      </c>
      <c r="AC1004" s="61">
        <f t="shared" si="948"/>
        <v>0</v>
      </c>
      <c r="AD1004" s="28"/>
      <c r="AE1004" s="12"/>
      <c r="AF1004" s="29"/>
      <c r="AG1004" s="9"/>
      <c r="AH1004" s="10"/>
      <c r="AI1004" s="9"/>
      <c r="AJ1004" s="11"/>
      <c r="AK1004" s="9"/>
      <c r="AL1004" s="13"/>
      <c r="AM1004" s="9"/>
    </row>
    <row r="1005" spans="1:39" x14ac:dyDescent="0.3">
      <c r="A1005" s="2" t="str">
        <f t="shared" si="962"/>
        <v>NÃO</v>
      </c>
      <c r="B1005" s="2" t="str">
        <f>_xlfn.XLOOKUP($N1005,'Base de Grupos'!$A:$A,'Base de Grupos'!$D:$D)</f>
        <v>1000065763</v>
      </c>
      <c r="C1005" s="5" t="str">
        <f>_xlfn.XLOOKUP($N1005,'Base de Grupos'!$A:$A,'Base de Grupos'!$E:$E)</f>
        <v>CANAL VENDA INTERNA</v>
      </c>
      <c r="D1005" s="5" t="str">
        <f>_xlfn.XLOOKUP($N1005,'Base de Grupos'!$A:$A,'Base de Grupos'!$F:$F)</f>
        <v>1000065763</v>
      </c>
      <c r="E1005" s="2" t="str">
        <f>_xlfn.XLOOKUP($N1005,'Base de Grupos'!$A:$A,'Base de Grupos'!$G:$G)</f>
        <v>CANAL VENDA INTERNA</v>
      </c>
      <c r="F1005" s="2" t="str">
        <f>_xlfn.XLOOKUP($N1005,'Base de Grupos'!$A:$A,'Base de Grupos'!$H:$H)</f>
        <v>1000174119</v>
      </c>
      <c r="G1005" s="5" t="str">
        <f>_xlfn.XLOOKUP($N1005,'Base de Grupos'!$A:$A,'Base de Grupos'!$I:$I)</f>
        <v>REGIONAL VENDA INTERNA - CONVENIENCIA</v>
      </c>
      <c r="H1005" s="5" t="str">
        <f>_xlfn.XLOOKUP($N1005,'Base de Grupos'!$A:$A,'Base de Grupos'!$J:$J)</f>
        <v>1000174119</v>
      </c>
      <c r="I1005" s="2" t="str">
        <f>_xlfn.XLOOKUP($N1005,'Base de Grupos'!$A:$A,'Base de Grupos'!$K:$K)</f>
        <v>REGIONAL VENDA INTERNA - CONVENIENCIA</v>
      </c>
      <c r="J1005" s="2" t="str">
        <f>_xlfn.XLOOKUP($N1005,'Base de Grupos'!$A:$A,'Base de Grupos'!$L:$L)</f>
        <v>1000174119</v>
      </c>
      <c r="K1005" s="5" t="str">
        <f>_xlfn.XLOOKUP($N1005,'Base de Grupos'!$A:$A,'Base de Grupos'!$M:$M)</f>
        <v>REGIONAL VENDA INTERNA - CONVENIENCIA</v>
      </c>
      <c r="L1005" s="5" t="str">
        <f t="shared" si="963"/>
        <v/>
      </c>
      <c r="M1005" s="5" t="str">
        <f>_xlfn.XLOOKUP($N1005,'Base de Grupos'!$A:$A,'Base de Grupos'!$C:$C)</f>
        <v>MT</v>
      </c>
      <c r="N1005" s="3">
        <v>1520</v>
      </c>
      <c r="O1005" s="4" t="s">
        <v>279</v>
      </c>
      <c r="P1005" s="5" t="s">
        <v>90</v>
      </c>
      <c r="Q1005" s="56">
        <v>0</v>
      </c>
      <c r="R1005" s="56">
        <v>0</v>
      </c>
      <c r="S1005" s="56">
        <v>0</v>
      </c>
      <c r="T1005" s="56">
        <f>_xlfn.XLOOKUP($N1005,'Calculo Leads Conveniencia'!$A$77:$A$104,'Calculo Leads Conveniencia'!G$77:G$104)*_xlfn.XLOOKUP($P1005,'Base Grupo de Produtos'!$E$23:$E$39,'Base Grupo de Produtos'!$F$23:$F$39)</f>
        <v>0</v>
      </c>
      <c r="U1005" s="56">
        <f>_xlfn.XLOOKUP($N1005,'Calculo Leads Conveniencia'!$A$77:$A$104,'Calculo Leads Conveniencia'!H$77:H$104)*_xlfn.XLOOKUP($P1005,'Base Grupo de Produtos'!$E$23:$E$39,'Base Grupo de Produtos'!$F$23:$F$39)</f>
        <v>0</v>
      </c>
      <c r="V1005" s="56">
        <f>_xlfn.XLOOKUP($N1005,'Calculo Leads Conveniencia'!$A$77:$A$104,'Calculo Leads Conveniencia'!I$77:I$104)*_xlfn.XLOOKUP($P1005,'Base Grupo de Produtos'!$E$23:$E$39,'Base Grupo de Produtos'!$F$23:$F$39)</f>
        <v>0</v>
      </c>
      <c r="W1005" s="56">
        <f>_xlfn.XLOOKUP($N1005,'Calculo Leads Conveniencia'!$A$77:$A$104,'Calculo Leads Conveniencia'!J$77:J$104)*_xlfn.XLOOKUP($P1005,'Base Grupo de Produtos'!$E$23:$E$39,'Base Grupo de Produtos'!$F$23:$F$39)</f>
        <v>0</v>
      </c>
      <c r="X1005" s="56">
        <f>_xlfn.XLOOKUP($N1005,'Calculo Leads Conveniencia'!$A$77:$A$104,'Calculo Leads Conveniencia'!K$77:K$104)*_xlfn.XLOOKUP($P1005,'Base Grupo de Produtos'!$E$23:$E$39,'Base Grupo de Produtos'!$F$23:$F$39)</f>
        <v>0</v>
      </c>
      <c r="Y1005" s="56">
        <f>_xlfn.XLOOKUP($N1005,'Calculo Leads Conveniencia'!$A$77:$A$104,'Calculo Leads Conveniencia'!L$77:L$104)*_xlfn.XLOOKUP($P1005,'Base Grupo de Produtos'!$E$23:$E$39,'Base Grupo de Produtos'!$F$23:$F$39)</f>
        <v>0</v>
      </c>
      <c r="Z1005" s="56">
        <f>_xlfn.XLOOKUP($N1005,'Calculo Leads Conveniencia'!$A$77:$A$104,'Calculo Leads Conveniencia'!M$77:M$104)*_xlfn.XLOOKUP($P1005,'Base Grupo de Produtos'!$E$23:$E$39,'Base Grupo de Produtos'!$F$23:$F$39)</f>
        <v>0</v>
      </c>
      <c r="AA1005" s="56">
        <f>_xlfn.XLOOKUP($N1005,'Calculo Leads Conveniencia'!$A$77:$A$104,'Calculo Leads Conveniencia'!N$77:N$104)*_xlfn.XLOOKUP($P1005,'Base Grupo de Produtos'!$E$23:$E$39,'Base Grupo de Produtos'!$F$23:$F$39)</f>
        <v>0</v>
      </c>
      <c r="AB1005" s="56">
        <f>_xlfn.XLOOKUP($N1005,'Calculo Leads Conveniencia'!$A$77:$A$104,'Calculo Leads Conveniencia'!O$77:O$104)*_xlfn.XLOOKUP($P1005,'Base Grupo de Produtos'!$E$23:$E$39,'Base Grupo de Produtos'!$F$23:$F$39)</f>
        <v>0</v>
      </c>
      <c r="AC1005" s="61">
        <f t="shared" si="948"/>
        <v>0</v>
      </c>
      <c r="AD1005" s="28"/>
      <c r="AE1005" s="12"/>
      <c r="AF1005" s="29"/>
      <c r="AG1005" s="9"/>
      <c r="AH1005" s="10"/>
      <c r="AI1005" s="9"/>
      <c r="AJ1005" s="11"/>
      <c r="AK1005" s="9"/>
      <c r="AL1005" s="13"/>
      <c r="AM1005" s="9"/>
    </row>
    <row r="1006" spans="1:39" x14ac:dyDescent="0.3">
      <c r="A1006" s="2" t="str">
        <f t="shared" si="962"/>
        <v>NÃO</v>
      </c>
      <c r="B1006" s="2" t="str">
        <f>_xlfn.XLOOKUP($N1006,'Base de Grupos'!$A:$A,'Base de Grupos'!$D:$D)</f>
        <v>1000065763</v>
      </c>
      <c r="C1006" s="5" t="str">
        <f>_xlfn.XLOOKUP($N1006,'Base de Grupos'!$A:$A,'Base de Grupos'!$E:$E)</f>
        <v>CANAL VENDA INTERNA</v>
      </c>
      <c r="D1006" s="5" t="str">
        <f>_xlfn.XLOOKUP($N1006,'Base de Grupos'!$A:$A,'Base de Grupos'!$F:$F)</f>
        <v>1000065763</v>
      </c>
      <c r="E1006" s="2" t="str">
        <f>_xlfn.XLOOKUP($N1006,'Base de Grupos'!$A:$A,'Base de Grupos'!$G:$G)</f>
        <v>CANAL VENDA INTERNA</v>
      </c>
      <c r="F1006" s="2" t="str">
        <f>_xlfn.XLOOKUP($N1006,'Base de Grupos'!$A:$A,'Base de Grupos'!$H:$H)</f>
        <v>1000174119</v>
      </c>
      <c r="G1006" s="5" t="str">
        <f>_xlfn.XLOOKUP($N1006,'Base de Grupos'!$A:$A,'Base de Grupos'!$I:$I)</f>
        <v>REGIONAL VENDA INTERNA - CONVENIENCIA</v>
      </c>
      <c r="H1006" s="5" t="str">
        <f>_xlfn.XLOOKUP($N1006,'Base de Grupos'!$A:$A,'Base de Grupos'!$J:$J)</f>
        <v>1000174119</v>
      </c>
      <c r="I1006" s="2" t="str">
        <f>_xlfn.XLOOKUP($N1006,'Base de Grupos'!$A:$A,'Base de Grupos'!$K:$K)</f>
        <v>REGIONAL VENDA INTERNA - CONVENIENCIA</v>
      </c>
      <c r="J1006" s="2" t="str">
        <f>_xlfn.XLOOKUP($N1006,'Base de Grupos'!$A:$A,'Base de Grupos'!$L:$L)</f>
        <v>1000174119</v>
      </c>
      <c r="K1006" s="5" t="str">
        <f>_xlfn.XLOOKUP($N1006,'Base de Grupos'!$A:$A,'Base de Grupos'!$M:$M)</f>
        <v>REGIONAL VENDA INTERNA - CONVENIENCIA</v>
      </c>
      <c r="L1006" s="5" t="str">
        <f t="shared" si="963"/>
        <v/>
      </c>
      <c r="M1006" s="5" t="str">
        <f>_xlfn.XLOOKUP($N1006,'Base de Grupos'!$A:$A,'Base de Grupos'!$C:$C)</f>
        <v>MT</v>
      </c>
      <c r="N1006" s="3">
        <v>1520</v>
      </c>
      <c r="O1006" s="4" t="s">
        <v>279</v>
      </c>
      <c r="P1006" s="5" t="s">
        <v>91</v>
      </c>
      <c r="Q1006" s="56">
        <v>0</v>
      </c>
      <c r="R1006" s="56">
        <v>0</v>
      </c>
      <c r="S1006" s="56">
        <v>0</v>
      </c>
      <c r="T1006" s="56">
        <f>_xlfn.XLOOKUP($N1006,'Calculo Leads Conveniencia'!$A$77:$A$104,'Calculo Leads Conveniencia'!G$77:G$104)*_xlfn.XLOOKUP($P1006,'Base Grupo de Produtos'!$E$23:$E$39,'Base Grupo de Produtos'!$F$23:$F$39)</f>
        <v>0</v>
      </c>
      <c r="U1006" s="56">
        <f>_xlfn.XLOOKUP($N1006,'Calculo Leads Conveniencia'!$A$77:$A$104,'Calculo Leads Conveniencia'!H$77:H$104)*_xlfn.XLOOKUP($P1006,'Base Grupo de Produtos'!$E$23:$E$39,'Base Grupo de Produtos'!$F$23:$F$39)</f>
        <v>0</v>
      </c>
      <c r="V1006" s="56">
        <f>_xlfn.XLOOKUP($N1006,'Calculo Leads Conveniencia'!$A$77:$A$104,'Calculo Leads Conveniencia'!I$77:I$104)*_xlfn.XLOOKUP($P1006,'Base Grupo de Produtos'!$E$23:$E$39,'Base Grupo de Produtos'!$F$23:$F$39)</f>
        <v>0</v>
      </c>
      <c r="W1006" s="56">
        <f>_xlfn.XLOOKUP($N1006,'Calculo Leads Conveniencia'!$A$77:$A$104,'Calculo Leads Conveniencia'!J$77:J$104)*_xlfn.XLOOKUP($P1006,'Base Grupo de Produtos'!$E$23:$E$39,'Base Grupo de Produtos'!$F$23:$F$39)</f>
        <v>0</v>
      </c>
      <c r="X1006" s="56">
        <f>_xlfn.XLOOKUP($N1006,'Calculo Leads Conveniencia'!$A$77:$A$104,'Calculo Leads Conveniencia'!K$77:K$104)*_xlfn.XLOOKUP($P1006,'Base Grupo de Produtos'!$E$23:$E$39,'Base Grupo de Produtos'!$F$23:$F$39)</f>
        <v>0</v>
      </c>
      <c r="Y1006" s="56">
        <f>_xlfn.XLOOKUP($N1006,'Calculo Leads Conveniencia'!$A$77:$A$104,'Calculo Leads Conveniencia'!L$77:L$104)*_xlfn.XLOOKUP($P1006,'Base Grupo de Produtos'!$E$23:$E$39,'Base Grupo de Produtos'!$F$23:$F$39)</f>
        <v>0</v>
      </c>
      <c r="Z1006" s="56">
        <f>_xlfn.XLOOKUP($N1006,'Calculo Leads Conveniencia'!$A$77:$A$104,'Calculo Leads Conveniencia'!M$77:M$104)*_xlfn.XLOOKUP($P1006,'Base Grupo de Produtos'!$E$23:$E$39,'Base Grupo de Produtos'!$F$23:$F$39)</f>
        <v>0</v>
      </c>
      <c r="AA1006" s="56">
        <f>_xlfn.XLOOKUP($N1006,'Calculo Leads Conveniencia'!$A$77:$A$104,'Calculo Leads Conveniencia'!N$77:N$104)*_xlfn.XLOOKUP($P1006,'Base Grupo de Produtos'!$E$23:$E$39,'Base Grupo de Produtos'!$F$23:$F$39)</f>
        <v>0</v>
      </c>
      <c r="AB1006" s="56">
        <f>_xlfn.XLOOKUP($N1006,'Calculo Leads Conveniencia'!$A$77:$A$104,'Calculo Leads Conveniencia'!O$77:O$104)*_xlfn.XLOOKUP($P1006,'Base Grupo de Produtos'!$E$23:$E$39,'Base Grupo de Produtos'!$F$23:$F$39)</f>
        <v>0</v>
      </c>
      <c r="AC1006" s="61">
        <f t="shared" si="948"/>
        <v>0</v>
      </c>
      <c r="AD1006" s="28"/>
      <c r="AE1006" s="12"/>
      <c r="AF1006" s="29"/>
      <c r="AG1006" s="9"/>
      <c r="AH1006" s="10"/>
      <c r="AI1006" s="9"/>
      <c r="AJ1006" s="11"/>
      <c r="AK1006" s="9"/>
      <c r="AL1006" s="13"/>
      <c r="AM1006" s="9"/>
    </row>
    <row r="1007" spans="1:39" x14ac:dyDescent="0.3">
      <c r="A1007" s="2" t="str">
        <f t="shared" si="962"/>
        <v>NÃO</v>
      </c>
      <c r="B1007" s="2" t="str">
        <f>_xlfn.XLOOKUP($N1007,'Base de Grupos'!$A:$A,'Base de Grupos'!$D:$D)</f>
        <v>1000065763</v>
      </c>
      <c r="C1007" s="5" t="str">
        <f>_xlfn.XLOOKUP($N1007,'Base de Grupos'!$A:$A,'Base de Grupos'!$E:$E)</f>
        <v>CANAL VENDA INTERNA</v>
      </c>
      <c r="D1007" s="5" t="str">
        <f>_xlfn.XLOOKUP($N1007,'Base de Grupos'!$A:$A,'Base de Grupos'!$F:$F)</f>
        <v>1000065763</v>
      </c>
      <c r="E1007" s="2" t="str">
        <f>_xlfn.XLOOKUP($N1007,'Base de Grupos'!$A:$A,'Base de Grupos'!$G:$G)</f>
        <v>CANAL VENDA INTERNA</v>
      </c>
      <c r="F1007" s="2" t="str">
        <f>_xlfn.XLOOKUP($N1007,'Base de Grupos'!$A:$A,'Base de Grupos'!$H:$H)</f>
        <v>1000174119</v>
      </c>
      <c r="G1007" s="5" t="str">
        <f>_xlfn.XLOOKUP($N1007,'Base de Grupos'!$A:$A,'Base de Grupos'!$I:$I)</f>
        <v>REGIONAL VENDA INTERNA - CONVENIENCIA</v>
      </c>
      <c r="H1007" s="5" t="str">
        <f>_xlfn.XLOOKUP($N1007,'Base de Grupos'!$A:$A,'Base de Grupos'!$J:$J)</f>
        <v>1000174119</v>
      </c>
      <c r="I1007" s="2" t="str">
        <f>_xlfn.XLOOKUP($N1007,'Base de Grupos'!$A:$A,'Base de Grupos'!$K:$K)</f>
        <v>REGIONAL VENDA INTERNA - CONVENIENCIA</v>
      </c>
      <c r="J1007" s="2" t="str">
        <f>_xlfn.XLOOKUP($N1007,'Base de Grupos'!$A:$A,'Base de Grupos'!$L:$L)</f>
        <v>1000174119</v>
      </c>
      <c r="K1007" s="5" t="str">
        <f>_xlfn.XLOOKUP($N1007,'Base de Grupos'!$A:$A,'Base de Grupos'!$M:$M)</f>
        <v>REGIONAL VENDA INTERNA - CONVENIENCIA</v>
      </c>
      <c r="L1007" s="5" t="str">
        <f t="shared" si="963"/>
        <v/>
      </c>
      <c r="M1007" s="5" t="str">
        <f>_xlfn.XLOOKUP($N1007,'Base de Grupos'!$A:$A,'Base de Grupos'!$C:$C)</f>
        <v>MT</v>
      </c>
      <c r="N1007" s="3">
        <v>1520</v>
      </c>
      <c r="O1007" s="4" t="s">
        <v>279</v>
      </c>
      <c r="P1007" s="5" t="s">
        <v>96</v>
      </c>
      <c r="Q1007" s="56">
        <v>0</v>
      </c>
      <c r="R1007" s="56">
        <v>0</v>
      </c>
      <c r="S1007" s="56">
        <v>0</v>
      </c>
      <c r="T1007" s="56">
        <f>_xlfn.XLOOKUP($N1007,'Calculo Leads Conveniencia'!$A$77:$A$104,'Calculo Leads Conveniencia'!G$77:G$104)*_xlfn.XLOOKUP($P1007,'Base Grupo de Produtos'!$E$23:$E$39,'Base Grupo de Produtos'!$F$23:$F$39)</f>
        <v>0</v>
      </c>
      <c r="U1007" s="56">
        <f>_xlfn.XLOOKUP($N1007,'Calculo Leads Conveniencia'!$A$77:$A$104,'Calculo Leads Conveniencia'!H$77:H$104)*_xlfn.XLOOKUP($P1007,'Base Grupo de Produtos'!$E$23:$E$39,'Base Grupo de Produtos'!$F$23:$F$39)</f>
        <v>0</v>
      </c>
      <c r="V1007" s="56">
        <f>_xlfn.XLOOKUP($N1007,'Calculo Leads Conveniencia'!$A$77:$A$104,'Calculo Leads Conveniencia'!I$77:I$104)*_xlfn.XLOOKUP($P1007,'Base Grupo de Produtos'!$E$23:$E$39,'Base Grupo de Produtos'!$F$23:$F$39)</f>
        <v>0</v>
      </c>
      <c r="W1007" s="56">
        <f>_xlfn.XLOOKUP($N1007,'Calculo Leads Conveniencia'!$A$77:$A$104,'Calculo Leads Conveniencia'!J$77:J$104)*_xlfn.XLOOKUP($P1007,'Base Grupo de Produtos'!$E$23:$E$39,'Base Grupo de Produtos'!$F$23:$F$39)</f>
        <v>0</v>
      </c>
      <c r="X1007" s="56">
        <f>_xlfn.XLOOKUP($N1007,'Calculo Leads Conveniencia'!$A$77:$A$104,'Calculo Leads Conveniencia'!K$77:K$104)*_xlfn.XLOOKUP($P1007,'Base Grupo de Produtos'!$E$23:$E$39,'Base Grupo de Produtos'!$F$23:$F$39)</f>
        <v>0</v>
      </c>
      <c r="Y1007" s="56">
        <f>_xlfn.XLOOKUP($N1007,'Calculo Leads Conveniencia'!$A$77:$A$104,'Calculo Leads Conveniencia'!L$77:L$104)*_xlfn.XLOOKUP($P1007,'Base Grupo de Produtos'!$E$23:$E$39,'Base Grupo de Produtos'!$F$23:$F$39)</f>
        <v>0</v>
      </c>
      <c r="Z1007" s="56">
        <f>_xlfn.XLOOKUP($N1007,'Calculo Leads Conveniencia'!$A$77:$A$104,'Calculo Leads Conveniencia'!M$77:M$104)*_xlfn.XLOOKUP($P1007,'Base Grupo de Produtos'!$E$23:$E$39,'Base Grupo de Produtos'!$F$23:$F$39)</f>
        <v>0</v>
      </c>
      <c r="AA1007" s="56">
        <f>_xlfn.XLOOKUP($N1007,'Calculo Leads Conveniencia'!$A$77:$A$104,'Calculo Leads Conveniencia'!N$77:N$104)*_xlfn.XLOOKUP($P1007,'Base Grupo de Produtos'!$E$23:$E$39,'Base Grupo de Produtos'!$F$23:$F$39)</f>
        <v>0</v>
      </c>
      <c r="AB1007" s="56">
        <f>_xlfn.XLOOKUP($N1007,'Calculo Leads Conveniencia'!$A$77:$A$104,'Calculo Leads Conveniencia'!O$77:O$104)*_xlfn.XLOOKUP($P1007,'Base Grupo de Produtos'!$E$23:$E$39,'Base Grupo de Produtos'!$F$23:$F$39)</f>
        <v>0</v>
      </c>
      <c r="AC1007" s="61">
        <f t="shared" si="948"/>
        <v>0</v>
      </c>
      <c r="AD1007" s="28"/>
      <c r="AE1007" s="12"/>
      <c r="AF1007" s="29"/>
      <c r="AG1007" s="9"/>
      <c r="AH1007" s="10"/>
      <c r="AI1007" s="9"/>
      <c r="AJ1007" s="11"/>
      <c r="AK1007" s="9"/>
      <c r="AL1007" s="13"/>
      <c r="AM1007" s="9"/>
    </row>
    <row r="1008" spans="1:39" x14ac:dyDescent="0.3">
      <c r="A1008" s="2" t="str">
        <f t="shared" si="962"/>
        <v>NÃO</v>
      </c>
      <c r="B1008" s="2" t="str">
        <f>_xlfn.XLOOKUP($N1008,'Base de Grupos'!$A:$A,'Base de Grupos'!$D:$D)</f>
        <v>1000065763</v>
      </c>
      <c r="C1008" s="5" t="str">
        <f>_xlfn.XLOOKUP($N1008,'Base de Grupos'!$A:$A,'Base de Grupos'!$E:$E)</f>
        <v>CANAL VENDA INTERNA</v>
      </c>
      <c r="D1008" s="5" t="str">
        <f>_xlfn.XLOOKUP($N1008,'Base de Grupos'!$A:$A,'Base de Grupos'!$F:$F)</f>
        <v>1000065763</v>
      </c>
      <c r="E1008" s="2" t="str">
        <f>_xlfn.XLOOKUP($N1008,'Base de Grupos'!$A:$A,'Base de Grupos'!$G:$G)</f>
        <v>CANAL VENDA INTERNA</v>
      </c>
      <c r="F1008" s="2" t="str">
        <f>_xlfn.XLOOKUP($N1008,'Base de Grupos'!$A:$A,'Base de Grupos'!$H:$H)</f>
        <v>1000174119</v>
      </c>
      <c r="G1008" s="5" t="str">
        <f>_xlfn.XLOOKUP($N1008,'Base de Grupos'!$A:$A,'Base de Grupos'!$I:$I)</f>
        <v>REGIONAL VENDA INTERNA - CONVENIENCIA</v>
      </c>
      <c r="H1008" s="5" t="str">
        <f>_xlfn.XLOOKUP($N1008,'Base de Grupos'!$A:$A,'Base de Grupos'!$J:$J)</f>
        <v>1000174119</v>
      </c>
      <c r="I1008" s="2" t="str">
        <f>_xlfn.XLOOKUP($N1008,'Base de Grupos'!$A:$A,'Base de Grupos'!$K:$K)</f>
        <v>REGIONAL VENDA INTERNA - CONVENIENCIA</v>
      </c>
      <c r="J1008" s="2" t="str">
        <f>_xlfn.XLOOKUP($N1008,'Base de Grupos'!$A:$A,'Base de Grupos'!$L:$L)</f>
        <v>1000174119</v>
      </c>
      <c r="K1008" s="5" t="str">
        <f>_xlfn.XLOOKUP($N1008,'Base de Grupos'!$A:$A,'Base de Grupos'!$M:$M)</f>
        <v>REGIONAL VENDA INTERNA - CONVENIENCIA</v>
      </c>
      <c r="L1008" s="5" t="str">
        <f t="shared" si="963"/>
        <v/>
      </c>
      <c r="M1008" s="5" t="str">
        <f>_xlfn.XLOOKUP($N1008,'Base de Grupos'!$A:$A,'Base de Grupos'!$C:$C)</f>
        <v>MT</v>
      </c>
      <c r="N1008" s="3">
        <v>1520</v>
      </c>
      <c r="O1008" s="4" t="s">
        <v>279</v>
      </c>
      <c r="P1008" s="5" t="s">
        <v>94</v>
      </c>
      <c r="Q1008" s="56">
        <v>0</v>
      </c>
      <c r="R1008" s="56">
        <v>0</v>
      </c>
      <c r="S1008" s="56">
        <v>0</v>
      </c>
      <c r="T1008" s="56">
        <f>_xlfn.XLOOKUP($N1008,'Calculo Leads Conveniencia'!$A$77:$A$104,'Calculo Leads Conveniencia'!G$77:G$104)*_xlfn.XLOOKUP($P1008,'Base Grupo de Produtos'!$E$23:$E$39,'Base Grupo de Produtos'!$F$23:$F$39)</f>
        <v>0</v>
      </c>
      <c r="U1008" s="56">
        <f>_xlfn.XLOOKUP($N1008,'Calculo Leads Conveniencia'!$A$77:$A$104,'Calculo Leads Conveniencia'!H$77:H$104)*_xlfn.XLOOKUP($P1008,'Base Grupo de Produtos'!$E$23:$E$39,'Base Grupo de Produtos'!$F$23:$F$39)</f>
        <v>0</v>
      </c>
      <c r="V1008" s="56">
        <f>_xlfn.XLOOKUP($N1008,'Calculo Leads Conveniencia'!$A$77:$A$104,'Calculo Leads Conveniencia'!I$77:I$104)*_xlfn.XLOOKUP($P1008,'Base Grupo de Produtos'!$E$23:$E$39,'Base Grupo de Produtos'!$F$23:$F$39)</f>
        <v>0</v>
      </c>
      <c r="W1008" s="56">
        <f>_xlfn.XLOOKUP($N1008,'Calculo Leads Conveniencia'!$A$77:$A$104,'Calculo Leads Conveniencia'!J$77:J$104)*_xlfn.XLOOKUP($P1008,'Base Grupo de Produtos'!$E$23:$E$39,'Base Grupo de Produtos'!$F$23:$F$39)</f>
        <v>0</v>
      </c>
      <c r="X1008" s="56">
        <f>_xlfn.XLOOKUP($N1008,'Calculo Leads Conveniencia'!$A$77:$A$104,'Calculo Leads Conveniencia'!K$77:K$104)*_xlfn.XLOOKUP($P1008,'Base Grupo de Produtos'!$E$23:$E$39,'Base Grupo de Produtos'!$F$23:$F$39)</f>
        <v>0</v>
      </c>
      <c r="Y1008" s="56">
        <f>_xlfn.XLOOKUP($N1008,'Calculo Leads Conveniencia'!$A$77:$A$104,'Calculo Leads Conveniencia'!L$77:L$104)*_xlfn.XLOOKUP($P1008,'Base Grupo de Produtos'!$E$23:$E$39,'Base Grupo de Produtos'!$F$23:$F$39)</f>
        <v>0</v>
      </c>
      <c r="Z1008" s="56">
        <f>_xlfn.XLOOKUP($N1008,'Calculo Leads Conveniencia'!$A$77:$A$104,'Calculo Leads Conveniencia'!M$77:M$104)*_xlfn.XLOOKUP($P1008,'Base Grupo de Produtos'!$E$23:$E$39,'Base Grupo de Produtos'!$F$23:$F$39)</f>
        <v>0</v>
      </c>
      <c r="AA1008" s="56">
        <f>_xlfn.XLOOKUP($N1008,'Calculo Leads Conveniencia'!$A$77:$A$104,'Calculo Leads Conveniencia'!N$77:N$104)*_xlfn.XLOOKUP($P1008,'Base Grupo de Produtos'!$E$23:$E$39,'Base Grupo de Produtos'!$F$23:$F$39)</f>
        <v>0</v>
      </c>
      <c r="AB1008" s="56">
        <f>_xlfn.XLOOKUP($N1008,'Calculo Leads Conveniencia'!$A$77:$A$104,'Calculo Leads Conveniencia'!O$77:O$104)*_xlfn.XLOOKUP($P1008,'Base Grupo de Produtos'!$E$23:$E$39,'Base Grupo de Produtos'!$F$23:$F$39)</f>
        <v>0</v>
      </c>
      <c r="AC1008" s="61">
        <f t="shared" si="948"/>
        <v>0</v>
      </c>
      <c r="AD1008" s="28"/>
      <c r="AE1008" s="12"/>
      <c r="AF1008" s="29"/>
      <c r="AG1008" s="9"/>
      <c r="AH1008" s="10"/>
      <c r="AI1008" s="9"/>
      <c r="AJ1008" s="11"/>
      <c r="AK1008" s="9"/>
      <c r="AL1008" s="13"/>
      <c r="AM1008" s="9"/>
    </row>
    <row r="1009" spans="1:39" x14ac:dyDescent="0.3">
      <c r="A1009" s="2" t="str">
        <f t="shared" si="962"/>
        <v>NÃO</v>
      </c>
      <c r="B1009" s="2" t="str">
        <f>_xlfn.XLOOKUP($N1009,'Base de Grupos'!$A:$A,'Base de Grupos'!$D:$D)</f>
        <v>1000065763</v>
      </c>
      <c r="C1009" s="5" t="str">
        <f>_xlfn.XLOOKUP($N1009,'Base de Grupos'!$A:$A,'Base de Grupos'!$E:$E)</f>
        <v>CANAL VENDA INTERNA</v>
      </c>
      <c r="D1009" s="5" t="str">
        <f>_xlfn.XLOOKUP($N1009,'Base de Grupos'!$A:$A,'Base de Grupos'!$F:$F)</f>
        <v>1000065763</v>
      </c>
      <c r="E1009" s="2" t="str">
        <f>_xlfn.XLOOKUP($N1009,'Base de Grupos'!$A:$A,'Base de Grupos'!$G:$G)</f>
        <v>CANAL VENDA INTERNA</v>
      </c>
      <c r="F1009" s="2" t="str">
        <f>_xlfn.XLOOKUP($N1009,'Base de Grupos'!$A:$A,'Base de Grupos'!$H:$H)</f>
        <v>1000174119</v>
      </c>
      <c r="G1009" s="5" t="str">
        <f>_xlfn.XLOOKUP($N1009,'Base de Grupos'!$A:$A,'Base de Grupos'!$I:$I)</f>
        <v>REGIONAL VENDA INTERNA - CONVENIENCIA</v>
      </c>
      <c r="H1009" s="5" t="str">
        <f>_xlfn.XLOOKUP($N1009,'Base de Grupos'!$A:$A,'Base de Grupos'!$J:$J)</f>
        <v>1000174119</v>
      </c>
      <c r="I1009" s="2" t="str">
        <f>_xlfn.XLOOKUP($N1009,'Base de Grupos'!$A:$A,'Base de Grupos'!$K:$K)</f>
        <v>REGIONAL VENDA INTERNA - CONVENIENCIA</v>
      </c>
      <c r="J1009" s="2" t="str">
        <f>_xlfn.XLOOKUP($N1009,'Base de Grupos'!$A:$A,'Base de Grupos'!$L:$L)</f>
        <v>1000174119</v>
      </c>
      <c r="K1009" s="5" t="str">
        <f>_xlfn.XLOOKUP($N1009,'Base de Grupos'!$A:$A,'Base de Grupos'!$M:$M)</f>
        <v>REGIONAL VENDA INTERNA - CONVENIENCIA</v>
      </c>
      <c r="L1009" s="5" t="str">
        <f t="shared" si="963"/>
        <v/>
      </c>
      <c r="M1009" s="5" t="str">
        <f>_xlfn.XLOOKUP($N1009,'Base de Grupos'!$A:$A,'Base de Grupos'!$C:$C)</f>
        <v>MT</v>
      </c>
      <c r="N1009" s="3">
        <v>1520</v>
      </c>
      <c r="O1009" s="4" t="s">
        <v>279</v>
      </c>
      <c r="P1009" s="5" t="s">
        <v>95</v>
      </c>
      <c r="Q1009" s="56">
        <v>0</v>
      </c>
      <c r="R1009" s="56">
        <v>0</v>
      </c>
      <c r="S1009" s="56">
        <v>0</v>
      </c>
      <c r="T1009" s="56">
        <f>_xlfn.XLOOKUP($N1009,'Calculo Leads Conveniencia'!$A$77:$A$104,'Calculo Leads Conveniencia'!G$77:G$104)*_xlfn.XLOOKUP($P1009,'Base Grupo de Produtos'!$E$23:$E$39,'Base Grupo de Produtos'!$F$23:$F$39)</f>
        <v>0</v>
      </c>
      <c r="U1009" s="56">
        <f>_xlfn.XLOOKUP($N1009,'Calculo Leads Conveniencia'!$A$77:$A$104,'Calculo Leads Conveniencia'!H$77:H$104)*_xlfn.XLOOKUP($P1009,'Base Grupo de Produtos'!$E$23:$E$39,'Base Grupo de Produtos'!$F$23:$F$39)</f>
        <v>0</v>
      </c>
      <c r="V1009" s="56">
        <f>_xlfn.XLOOKUP($N1009,'Calculo Leads Conveniencia'!$A$77:$A$104,'Calculo Leads Conveniencia'!I$77:I$104)*_xlfn.XLOOKUP($P1009,'Base Grupo de Produtos'!$E$23:$E$39,'Base Grupo de Produtos'!$F$23:$F$39)</f>
        <v>0</v>
      </c>
      <c r="W1009" s="56">
        <f>_xlfn.XLOOKUP($N1009,'Calculo Leads Conveniencia'!$A$77:$A$104,'Calculo Leads Conveniencia'!J$77:J$104)*_xlfn.XLOOKUP($P1009,'Base Grupo de Produtos'!$E$23:$E$39,'Base Grupo de Produtos'!$F$23:$F$39)</f>
        <v>0</v>
      </c>
      <c r="X1009" s="56">
        <f>_xlfn.XLOOKUP($N1009,'Calculo Leads Conveniencia'!$A$77:$A$104,'Calculo Leads Conveniencia'!K$77:K$104)*_xlfn.XLOOKUP($P1009,'Base Grupo de Produtos'!$E$23:$E$39,'Base Grupo de Produtos'!$F$23:$F$39)</f>
        <v>0</v>
      </c>
      <c r="Y1009" s="56">
        <f>_xlfn.XLOOKUP($N1009,'Calculo Leads Conveniencia'!$A$77:$A$104,'Calculo Leads Conveniencia'!L$77:L$104)*_xlfn.XLOOKUP($P1009,'Base Grupo de Produtos'!$E$23:$E$39,'Base Grupo de Produtos'!$F$23:$F$39)</f>
        <v>0</v>
      </c>
      <c r="Z1009" s="56">
        <f>_xlfn.XLOOKUP($N1009,'Calculo Leads Conveniencia'!$A$77:$A$104,'Calculo Leads Conveniencia'!M$77:M$104)*_xlfn.XLOOKUP($P1009,'Base Grupo de Produtos'!$E$23:$E$39,'Base Grupo de Produtos'!$F$23:$F$39)</f>
        <v>0</v>
      </c>
      <c r="AA1009" s="56">
        <f>_xlfn.XLOOKUP($N1009,'Calculo Leads Conveniencia'!$A$77:$A$104,'Calculo Leads Conveniencia'!N$77:N$104)*_xlfn.XLOOKUP($P1009,'Base Grupo de Produtos'!$E$23:$E$39,'Base Grupo de Produtos'!$F$23:$F$39)</f>
        <v>0</v>
      </c>
      <c r="AB1009" s="56">
        <f>_xlfn.XLOOKUP($N1009,'Calculo Leads Conveniencia'!$A$77:$A$104,'Calculo Leads Conveniencia'!O$77:O$104)*_xlfn.XLOOKUP($P1009,'Base Grupo de Produtos'!$E$23:$E$39,'Base Grupo de Produtos'!$F$23:$F$39)</f>
        <v>0</v>
      </c>
      <c r="AC1009" s="61">
        <f t="shared" si="948"/>
        <v>0</v>
      </c>
      <c r="AD1009" s="28"/>
      <c r="AE1009" s="12"/>
      <c r="AF1009" s="29"/>
      <c r="AG1009" s="9"/>
      <c r="AH1009" s="10"/>
      <c r="AI1009" s="9"/>
      <c r="AJ1009" s="11"/>
      <c r="AK1009" s="9"/>
      <c r="AL1009" s="13"/>
      <c r="AM1009" s="9"/>
    </row>
    <row r="1010" spans="1:39" x14ac:dyDescent="0.3">
      <c r="A1010" s="2" t="str">
        <f t="shared" si="962"/>
        <v>NÃO</v>
      </c>
      <c r="B1010" s="2" t="str">
        <f>_xlfn.XLOOKUP($N1010,'Base de Grupos'!$A:$A,'Base de Grupos'!$D:$D)</f>
        <v>1000065763</v>
      </c>
      <c r="C1010" s="5" t="str">
        <f>_xlfn.XLOOKUP($N1010,'Base de Grupos'!$A:$A,'Base de Grupos'!$E:$E)</f>
        <v>CANAL VENDA INTERNA</v>
      </c>
      <c r="D1010" s="5" t="str">
        <f>_xlfn.XLOOKUP($N1010,'Base de Grupos'!$A:$A,'Base de Grupos'!$F:$F)</f>
        <v>1000065763</v>
      </c>
      <c r="E1010" s="2" t="str">
        <f>_xlfn.XLOOKUP($N1010,'Base de Grupos'!$A:$A,'Base de Grupos'!$G:$G)</f>
        <v>CANAL VENDA INTERNA</v>
      </c>
      <c r="F1010" s="2" t="str">
        <f>_xlfn.XLOOKUP($N1010,'Base de Grupos'!$A:$A,'Base de Grupos'!$H:$H)</f>
        <v>1000174119</v>
      </c>
      <c r="G1010" s="5" t="str">
        <f>_xlfn.XLOOKUP($N1010,'Base de Grupos'!$A:$A,'Base de Grupos'!$I:$I)</f>
        <v>REGIONAL VENDA INTERNA - CONVENIENCIA</v>
      </c>
      <c r="H1010" s="5" t="str">
        <f>_xlfn.XLOOKUP($N1010,'Base de Grupos'!$A:$A,'Base de Grupos'!$J:$J)</f>
        <v>1000174119</v>
      </c>
      <c r="I1010" s="2" t="str">
        <f>_xlfn.XLOOKUP($N1010,'Base de Grupos'!$A:$A,'Base de Grupos'!$K:$K)</f>
        <v>REGIONAL VENDA INTERNA - CONVENIENCIA</v>
      </c>
      <c r="J1010" s="2" t="str">
        <f>_xlfn.XLOOKUP($N1010,'Base de Grupos'!$A:$A,'Base de Grupos'!$L:$L)</f>
        <v>1000174119</v>
      </c>
      <c r="K1010" s="5" t="str">
        <f>_xlfn.XLOOKUP($N1010,'Base de Grupos'!$A:$A,'Base de Grupos'!$M:$M)</f>
        <v>REGIONAL VENDA INTERNA - CONVENIENCIA</v>
      </c>
      <c r="L1010" s="5" t="str">
        <f t="shared" si="963"/>
        <v/>
      </c>
      <c r="M1010" s="5" t="str">
        <f>_xlfn.XLOOKUP($N1010,'Base de Grupos'!$A:$A,'Base de Grupos'!$C:$C)</f>
        <v>MT</v>
      </c>
      <c r="N1010" s="3">
        <v>1520</v>
      </c>
      <c r="O1010" s="4" t="s">
        <v>279</v>
      </c>
      <c r="P1010" s="5" t="s">
        <v>93</v>
      </c>
      <c r="Q1010" s="56">
        <v>0</v>
      </c>
      <c r="R1010" s="56">
        <v>0</v>
      </c>
      <c r="S1010" s="56">
        <v>0</v>
      </c>
      <c r="T1010" s="56">
        <f>_xlfn.XLOOKUP($N1010,'Calculo Leads Conveniencia'!$A$77:$A$104,'Calculo Leads Conveniencia'!G$77:G$104)*_xlfn.XLOOKUP($P1010,'Base Grupo de Produtos'!$E$23:$E$39,'Base Grupo de Produtos'!$F$23:$F$39)</f>
        <v>0</v>
      </c>
      <c r="U1010" s="56">
        <f>_xlfn.XLOOKUP($N1010,'Calculo Leads Conveniencia'!$A$77:$A$104,'Calculo Leads Conveniencia'!H$77:H$104)*_xlfn.XLOOKUP($P1010,'Base Grupo de Produtos'!$E$23:$E$39,'Base Grupo de Produtos'!$F$23:$F$39)</f>
        <v>0</v>
      </c>
      <c r="V1010" s="56">
        <f>_xlfn.XLOOKUP($N1010,'Calculo Leads Conveniencia'!$A$77:$A$104,'Calculo Leads Conveniencia'!I$77:I$104)*_xlfn.XLOOKUP($P1010,'Base Grupo de Produtos'!$E$23:$E$39,'Base Grupo de Produtos'!$F$23:$F$39)</f>
        <v>0</v>
      </c>
      <c r="W1010" s="56">
        <f>_xlfn.XLOOKUP($N1010,'Calculo Leads Conveniencia'!$A$77:$A$104,'Calculo Leads Conveniencia'!J$77:J$104)*_xlfn.XLOOKUP($P1010,'Base Grupo de Produtos'!$E$23:$E$39,'Base Grupo de Produtos'!$F$23:$F$39)</f>
        <v>0</v>
      </c>
      <c r="X1010" s="56">
        <f>_xlfn.XLOOKUP($N1010,'Calculo Leads Conveniencia'!$A$77:$A$104,'Calculo Leads Conveniencia'!K$77:K$104)*_xlfn.XLOOKUP($P1010,'Base Grupo de Produtos'!$E$23:$E$39,'Base Grupo de Produtos'!$F$23:$F$39)</f>
        <v>0</v>
      </c>
      <c r="Y1010" s="56">
        <f>_xlfn.XLOOKUP($N1010,'Calculo Leads Conveniencia'!$A$77:$A$104,'Calculo Leads Conveniencia'!L$77:L$104)*_xlfn.XLOOKUP($P1010,'Base Grupo de Produtos'!$E$23:$E$39,'Base Grupo de Produtos'!$F$23:$F$39)</f>
        <v>0</v>
      </c>
      <c r="Z1010" s="56">
        <f>_xlfn.XLOOKUP($N1010,'Calculo Leads Conveniencia'!$A$77:$A$104,'Calculo Leads Conveniencia'!M$77:M$104)*_xlfn.XLOOKUP($P1010,'Base Grupo de Produtos'!$E$23:$E$39,'Base Grupo de Produtos'!$F$23:$F$39)</f>
        <v>0</v>
      </c>
      <c r="AA1010" s="56">
        <f>_xlfn.XLOOKUP($N1010,'Calculo Leads Conveniencia'!$A$77:$A$104,'Calculo Leads Conveniencia'!N$77:N$104)*_xlfn.XLOOKUP($P1010,'Base Grupo de Produtos'!$E$23:$E$39,'Base Grupo de Produtos'!$F$23:$F$39)</f>
        <v>0</v>
      </c>
      <c r="AB1010" s="56">
        <f>_xlfn.XLOOKUP($N1010,'Calculo Leads Conveniencia'!$A$77:$A$104,'Calculo Leads Conveniencia'!O$77:O$104)*_xlfn.XLOOKUP($P1010,'Base Grupo de Produtos'!$E$23:$E$39,'Base Grupo de Produtos'!$F$23:$F$39)</f>
        <v>0</v>
      </c>
      <c r="AC1010" s="61">
        <f t="shared" si="948"/>
        <v>0</v>
      </c>
      <c r="AD1010" s="28"/>
      <c r="AE1010" s="12"/>
      <c r="AF1010" s="29"/>
      <c r="AG1010" s="9"/>
      <c r="AH1010" s="10"/>
      <c r="AI1010" s="9"/>
      <c r="AJ1010" s="11"/>
      <c r="AK1010" s="9"/>
      <c r="AL1010" s="13"/>
      <c r="AM1010" s="9"/>
    </row>
    <row r="1011" spans="1:39" x14ac:dyDescent="0.3">
      <c r="A1011" s="2" t="str">
        <f t="shared" si="962"/>
        <v>SIM</v>
      </c>
      <c r="B1011" s="2" t="str">
        <f>_xlfn.XLOOKUP($N1011,'Base de Grupos'!$A:$A,'Base de Grupos'!$D:$D)</f>
        <v>1000065763</v>
      </c>
      <c r="C1011" s="5" t="str">
        <f>_xlfn.XLOOKUP($N1011,'Base de Grupos'!$A:$A,'Base de Grupos'!$E:$E)</f>
        <v>CANAL VENDA INTERNA</v>
      </c>
      <c r="D1011" s="5" t="str">
        <f>_xlfn.XLOOKUP($N1011,'Base de Grupos'!$A:$A,'Base de Grupos'!$F:$F)</f>
        <v>1000065763</v>
      </c>
      <c r="E1011" s="2" t="str">
        <f>_xlfn.XLOOKUP($N1011,'Base de Grupos'!$A:$A,'Base de Grupos'!$G:$G)</f>
        <v>CANAL VENDA INTERNA</v>
      </c>
      <c r="F1011" s="2" t="str">
        <f>_xlfn.XLOOKUP($N1011,'Base de Grupos'!$A:$A,'Base de Grupos'!$H:$H)</f>
        <v>1000174119</v>
      </c>
      <c r="G1011" s="5" t="str">
        <f>_xlfn.XLOOKUP($N1011,'Base de Grupos'!$A:$A,'Base de Grupos'!$I:$I)</f>
        <v>REGIONAL VENDA INTERNA - CONVENIENCIA</v>
      </c>
      <c r="H1011" s="5" t="str">
        <f>_xlfn.XLOOKUP($N1011,'Base de Grupos'!$A:$A,'Base de Grupos'!$J:$J)</f>
        <v>1000174119</v>
      </c>
      <c r="I1011" s="2" t="str">
        <f>_xlfn.XLOOKUP($N1011,'Base de Grupos'!$A:$A,'Base de Grupos'!$K:$K)</f>
        <v>REGIONAL VENDA INTERNA - CONVENIENCIA</v>
      </c>
      <c r="J1011" s="2" t="str">
        <f>_xlfn.XLOOKUP($N1011,'Base de Grupos'!$A:$A,'Base de Grupos'!$L:$L)</f>
        <v>1000174119</v>
      </c>
      <c r="K1011" s="5" t="str">
        <f>_xlfn.XLOOKUP($N1011,'Base de Grupos'!$A:$A,'Base de Grupos'!$M:$M)</f>
        <v>REGIONAL VENDA INTERNA - CONVENIENCIA</v>
      </c>
      <c r="L1011" s="5">
        <f t="shared" si="963"/>
        <v>1</v>
      </c>
      <c r="M1011" s="5" t="str">
        <f>_xlfn.XLOOKUP($N1011,'Base de Grupos'!$A:$A,'Base de Grupos'!$C:$C)</f>
        <v>GO</v>
      </c>
      <c r="N1011" s="3">
        <v>1521</v>
      </c>
      <c r="O1011" s="4" t="s">
        <v>280</v>
      </c>
      <c r="P1011" s="5" t="s">
        <v>350</v>
      </c>
      <c r="Q1011" s="56">
        <f t="shared" ref="Q1011" si="977">SUM(Q1012:Q1028)</f>
        <v>0</v>
      </c>
      <c r="R1011" s="56">
        <f t="shared" ref="R1011" si="978">SUM(R1012:R1028)</f>
        <v>0</v>
      </c>
      <c r="S1011" s="56">
        <f t="shared" ref="S1011" si="979">SUM(S1012:S1028)</f>
        <v>0</v>
      </c>
      <c r="T1011" s="56">
        <f t="shared" ref="T1011" si="980">SUM(T1012:T1028)</f>
        <v>0</v>
      </c>
      <c r="U1011" s="56">
        <f t="shared" ref="U1011" si="981">SUM(U1012:U1028)</f>
        <v>0</v>
      </c>
      <c r="V1011" s="56">
        <f t="shared" ref="V1011" si="982">SUM(V1012:V1028)</f>
        <v>0</v>
      </c>
      <c r="W1011" s="56">
        <f t="shared" ref="W1011" si="983">SUM(W1012:W1028)</f>
        <v>0</v>
      </c>
      <c r="X1011" s="56">
        <f t="shared" ref="X1011" si="984">SUM(X1012:X1028)</f>
        <v>0</v>
      </c>
      <c r="Y1011" s="56">
        <f t="shared" ref="Y1011" si="985">SUM(Y1012:Y1028)</f>
        <v>0</v>
      </c>
      <c r="Z1011" s="56">
        <f t="shared" ref="Z1011" si="986">SUM(Z1012:Z1028)</f>
        <v>0</v>
      </c>
      <c r="AA1011" s="56">
        <f t="shared" ref="AA1011" si="987">SUM(AA1012:AA1028)</f>
        <v>0</v>
      </c>
      <c r="AB1011" s="56">
        <f t="shared" ref="AB1011" si="988">SUM(AB1012:AB1028)</f>
        <v>0</v>
      </c>
      <c r="AC1011" s="56">
        <f t="shared" ref="AC1011" si="989">SUM(AC1012:AC1028)</f>
        <v>0</v>
      </c>
      <c r="AD1011" s="28"/>
      <c r="AE1011" s="12"/>
      <c r="AF1011" s="29"/>
      <c r="AG1011" s="9"/>
      <c r="AH1011" s="10"/>
      <c r="AI1011" s="9"/>
      <c r="AJ1011" s="11"/>
      <c r="AK1011" s="9"/>
      <c r="AL1011" s="13"/>
      <c r="AM1011" s="9"/>
    </row>
    <row r="1012" spans="1:39" x14ac:dyDescent="0.3">
      <c r="A1012" s="2" t="str">
        <f t="shared" si="962"/>
        <v>NÃO</v>
      </c>
      <c r="B1012" s="2" t="str">
        <f>_xlfn.XLOOKUP($N1012,'Base de Grupos'!$A:$A,'Base de Grupos'!$D:$D)</f>
        <v>1000065763</v>
      </c>
      <c r="C1012" s="5" t="str">
        <f>_xlfn.XLOOKUP($N1012,'Base de Grupos'!$A:$A,'Base de Grupos'!$E:$E)</f>
        <v>CANAL VENDA INTERNA</v>
      </c>
      <c r="D1012" s="5" t="str">
        <f>_xlfn.XLOOKUP($N1012,'Base de Grupos'!$A:$A,'Base de Grupos'!$F:$F)</f>
        <v>1000065763</v>
      </c>
      <c r="E1012" s="2" t="str">
        <f>_xlfn.XLOOKUP($N1012,'Base de Grupos'!$A:$A,'Base de Grupos'!$G:$G)</f>
        <v>CANAL VENDA INTERNA</v>
      </c>
      <c r="F1012" s="2" t="str">
        <f>_xlfn.XLOOKUP($N1012,'Base de Grupos'!$A:$A,'Base de Grupos'!$H:$H)</f>
        <v>1000174119</v>
      </c>
      <c r="G1012" s="5" t="str">
        <f>_xlfn.XLOOKUP($N1012,'Base de Grupos'!$A:$A,'Base de Grupos'!$I:$I)</f>
        <v>REGIONAL VENDA INTERNA - CONVENIENCIA</v>
      </c>
      <c r="H1012" s="5" t="str">
        <f>_xlfn.XLOOKUP($N1012,'Base de Grupos'!$A:$A,'Base de Grupos'!$J:$J)</f>
        <v>1000174119</v>
      </c>
      <c r="I1012" s="2" t="str">
        <f>_xlfn.XLOOKUP($N1012,'Base de Grupos'!$A:$A,'Base de Grupos'!$K:$K)</f>
        <v>REGIONAL VENDA INTERNA - CONVENIENCIA</v>
      </c>
      <c r="J1012" s="2" t="str">
        <f>_xlfn.XLOOKUP($N1012,'Base de Grupos'!$A:$A,'Base de Grupos'!$L:$L)</f>
        <v>1000174119</v>
      </c>
      <c r="K1012" s="5" t="str">
        <f>_xlfn.XLOOKUP($N1012,'Base de Grupos'!$A:$A,'Base de Grupos'!$M:$M)</f>
        <v>REGIONAL VENDA INTERNA - CONVENIENCIA</v>
      </c>
      <c r="L1012" s="5" t="str">
        <f t="shared" si="963"/>
        <v/>
      </c>
      <c r="M1012" s="5" t="str">
        <f>_xlfn.XLOOKUP($N1012,'Base de Grupos'!$A:$A,'Base de Grupos'!$C:$C)</f>
        <v>GO</v>
      </c>
      <c r="N1012" s="3">
        <v>1521</v>
      </c>
      <c r="O1012" s="4" t="s">
        <v>280</v>
      </c>
      <c r="P1012" s="5" t="s">
        <v>81</v>
      </c>
      <c r="Q1012" s="56">
        <v>0</v>
      </c>
      <c r="R1012" s="56">
        <v>0</v>
      </c>
      <c r="S1012" s="56">
        <v>0</v>
      </c>
      <c r="T1012" s="56">
        <f>_xlfn.XLOOKUP($N1012,'Calculo Leads Conveniencia'!$A$77:$A$104,'Calculo Leads Conveniencia'!G$77:G$104)*_xlfn.XLOOKUP($P1012,'Base Grupo de Produtos'!$E$23:$E$39,'Base Grupo de Produtos'!$F$23:$F$39)</f>
        <v>0</v>
      </c>
      <c r="U1012" s="56">
        <f>_xlfn.XLOOKUP($N1012,'Calculo Leads Conveniencia'!$A$77:$A$104,'Calculo Leads Conveniencia'!H$77:H$104)*_xlfn.XLOOKUP($P1012,'Base Grupo de Produtos'!$E$23:$E$39,'Base Grupo de Produtos'!$F$23:$F$39)</f>
        <v>0</v>
      </c>
      <c r="V1012" s="56">
        <f>_xlfn.XLOOKUP($N1012,'Calculo Leads Conveniencia'!$A$77:$A$104,'Calculo Leads Conveniencia'!I$77:I$104)*_xlfn.XLOOKUP($P1012,'Base Grupo de Produtos'!$E$23:$E$39,'Base Grupo de Produtos'!$F$23:$F$39)</f>
        <v>0</v>
      </c>
      <c r="W1012" s="56">
        <f>_xlfn.XLOOKUP($N1012,'Calculo Leads Conveniencia'!$A$77:$A$104,'Calculo Leads Conveniencia'!J$77:J$104)*_xlfn.XLOOKUP($P1012,'Base Grupo de Produtos'!$E$23:$E$39,'Base Grupo de Produtos'!$F$23:$F$39)</f>
        <v>0</v>
      </c>
      <c r="X1012" s="56">
        <f>_xlfn.XLOOKUP($N1012,'Calculo Leads Conveniencia'!$A$77:$A$104,'Calculo Leads Conveniencia'!K$77:K$104)*_xlfn.XLOOKUP($P1012,'Base Grupo de Produtos'!$E$23:$E$39,'Base Grupo de Produtos'!$F$23:$F$39)</f>
        <v>0</v>
      </c>
      <c r="Y1012" s="56">
        <f>_xlfn.XLOOKUP($N1012,'Calculo Leads Conveniencia'!$A$77:$A$104,'Calculo Leads Conveniencia'!L$77:L$104)*_xlfn.XLOOKUP($P1012,'Base Grupo de Produtos'!$E$23:$E$39,'Base Grupo de Produtos'!$F$23:$F$39)</f>
        <v>0</v>
      </c>
      <c r="Z1012" s="56">
        <f>_xlfn.XLOOKUP($N1012,'Calculo Leads Conveniencia'!$A$77:$A$104,'Calculo Leads Conveniencia'!M$77:M$104)*_xlfn.XLOOKUP($P1012,'Base Grupo de Produtos'!$E$23:$E$39,'Base Grupo de Produtos'!$F$23:$F$39)</f>
        <v>0</v>
      </c>
      <c r="AA1012" s="56">
        <f>_xlfn.XLOOKUP($N1012,'Calculo Leads Conveniencia'!$A$77:$A$104,'Calculo Leads Conveniencia'!N$77:N$104)*_xlfn.XLOOKUP($P1012,'Base Grupo de Produtos'!$E$23:$E$39,'Base Grupo de Produtos'!$F$23:$F$39)</f>
        <v>0</v>
      </c>
      <c r="AB1012" s="56">
        <f>_xlfn.XLOOKUP($N1012,'Calculo Leads Conveniencia'!$A$77:$A$104,'Calculo Leads Conveniencia'!O$77:O$104)*_xlfn.XLOOKUP($P1012,'Base Grupo de Produtos'!$E$23:$E$39,'Base Grupo de Produtos'!$F$23:$F$39)</f>
        <v>0</v>
      </c>
      <c r="AC1012" s="61">
        <f t="shared" si="948"/>
        <v>0</v>
      </c>
      <c r="AD1012" s="28"/>
      <c r="AE1012" s="12"/>
      <c r="AF1012" s="29"/>
      <c r="AG1012" s="9"/>
      <c r="AH1012" s="10"/>
      <c r="AI1012" s="9"/>
      <c r="AJ1012" s="11"/>
      <c r="AK1012" s="9"/>
      <c r="AL1012" s="13"/>
      <c r="AM1012" s="9"/>
    </row>
    <row r="1013" spans="1:39" x14ac:dyDescent="0.3">
      <c r="A1013" s="2" t="str">
        <f t="shared" si="962"/>
        <v>NÃO</v>
      </c>
      <c r="B1013" s="2" t="str">
        <f>_xlfn.XLOOKUP($N1013,'Base de Grupos'!$A:$A,'Base de Grupos'!$D:$D)</f>
        <v>1000065763</v>
      </c>
      <c r="C1013" s="5" t="str">
        <f>_xlfn.XLOOKUP($N1013,'Base de Grupos'!$A:$A,'Base de Grupos'!$E:$E)</f>
        <v>CANAL VENDA INTERNA</v>
      </c>
      <c r="D1013" s="5" t="str">
        <f>_xlfn.XLOOKUP($N1013,'Base de Grupos'!$A:$A,'Base de Grupos'!$F:$F)</f>
        <v>1000065763</v>
      </c>
      <c r="E1013" s="2" t="str">
        <f>_xlfn.XLOOKUP($N1013,'Base de Grupos'!$A:$A,'Base de Grupos'!$G:$G)</f>
        <v>CANAL VENDA INTERNA</v>
      </c>
      <c r="F1013" s="2" t="str">
        <f>_xlfn.XLOOKUP($N1013,'Base de Grupos'!$A:$A,'Base de Grupos'!$H:$H)</f>
        <v>1000174119</v>
      </c>
      <c r="G1013" s="5" t="str">
        <f>_xlfn.XLOOKUP($N1013,'Base de Grupos'!$A:$A,'Base de Grupos'!$I:$I)</f>
        <v>REGIONAL VENDA INTERNA - CONVENIENCIA</v>
      </c>
      <c r="H1013" s="5" t="str">
        <f>_xlfn.XLOOKUP($N1013,'Base de Grupos'!$A:$A,'Base de Grupos'!$J:$J)</f>
        <v>1000174119</v>
      </c>
      <c r="I1013" s="2" t="str">
        <f>_xlfn.XLOOKUP($N1013,'Base de Grupos'!$A:$A,'Base de Grupos'!$K:$K)</f>
        <v>REGIONAL VENDA INTERNA - CONVENIENCIA</v>
      </c>
      <c r="J1013" s="2" t="str">
        <f>_xlfn.XLOOKUP($N1013,'Base de Grupos'!$A:$A,'Base de Grupos'!$L:$L)</f>
        <v>1000174119</v>
      </c>
      <c r="K1013" s="5" t="str">
        <f>_xlfn.XLOOKUP($N1013,'Base de Grupos'!$A:$A,'Base de Grupos'!$M:$M)</f>
        <v>REGIONAL VENDA INTERNA - CONVENIENCIA</v>
      </c>
      <c r="L1013" s="5" t="str">
        <f t="shared" si="963"/>
        <v/>
      </c>
      <c r="M1013" s="5" t="str">
        <f>_xlfn.XLOOKUP($N1013,'Base de Grupos'!$A:$A,'Base de Grupos'!$C:$C)</f>
        <v>GO</v>
      </c>
      <c r="N1013" s="3">
        <v>1521</v>
      </c>
      <c r="O1013" s="4" t="s">
        <v>280</v>
      </c>
      <c r="P1013" s="5" t="s">
        <v>82</v>
      </c>
      <c r="Q1013" s="56">
        <v>0</v>
      </c>
      <c r="R1013" s="56">
        <v>0</v>
      </c>
      <c r="S1013" s="56">
        <v>0</v>
      </c>
      <c r="T1013" s="56">
        <f>_xlfn.XLOOKUP($N1013,'Calculo Leads Conveniencia'!$A$77:$A$104,'Calculo Leads Conveniencia'!G$77:G$104)*_xlfn.XLOOKUP($P1013,'Base Grupo de Produtos'!$E$23:$E$39,'Base Grupo de Produtos'!$F$23:$F$39)</f>
        <v>0</v>
      </c>
      <c r="U1013" s="56">
        <f>_xlfn.XLOOKUP($N1013,'Calculo Leads Conveniencia'!$A$77:$A$104,'Calculo Leads Conveniencia'!H$77:H$104)*_xlfn.XLOOKUP($P1013,'Base Grupo de Produtos'!$E$23:$E$39,'Base Grupo de Produtos'!$F$23:$F$39)</f>
        <v>0</v>
      </c>
      <c r="V1013" s="56">
        <f>_xlfn.XLOOKUP($N1013,'Calculo Leads Conveniencia'!$A$77:$A$104,'Calculo Leads Conveniencia'!I$77:I$104)*_xlfn.XLOOKUP($P1013,'Base Grupo de Produtos'!$E$23:$E$39,'Base Grupo de Produtos'!$F$23:$F$39)</f>
        <v>0</v>
      </c>
      <c r="W1013" s="56">
        <f>_xlfn.XLOOKUP($N1013,'Calculo Leads Conveniencia'!$A$77:$A$104,'Calculo Leads Conveniencia'!J$77:J$104)*_xlfn.XLOOKUP($P1013,'Base Grupo de Produtos'!$E$23:$E$39,'Base Grupo de Produtos'!$F$23:$F$39)</f>
        <v>0</v>
      </c>
      <c r="X1013" s="56">
        <f>_xlfn.XLOOKUP($N1013,'Calculo Leads Conveniencia'!$A$77:$A$104,'Calculo Leads Conveniencia'!K$77:K$104)*_xlfn.XLOOKUP($P1013,'Base Grupo de Produtos'!$E$23:$E$39,'Base Grupo de Produtos'!$F$23:$F$39)</f>
        <v>0</v>
      </c>
      <c r="Y1013" s="56">
        <f>_xlfn.XLOOKUP($N1013,'Calculo Leads Conveniencia'!$A$77:$A$104,'Calculo Leads Conveniencia'!L$77:L$104)*_xlfn.XLOOKUP($P1013,'Base Grupo de Produtos'!$E$23:$E$39,'Base Grupo de Produtos'!$F$23:$F$39)</f>
        <v>0</v>
      </c>
      <c r="Z1013" s="56">
        <f>_xlfn.XLOOKUP($N1013,'Calculo Leads Conveniencia'!$A$77:$A$104,'Calculo Leads Conveniencia'!M$77:M$104)*_xlfn.XLOOKUP($P1013,'Base Grupo de Produtos'!$E$23:$E$39,'Base Grupo de Produtos'!$F$23:$F$39)</f>
        <v>0</v>
      </c>
      <c r="AA1013" s="56">
        <f>_xlfn.XLOOKUP($N1013,'Calculo Leads Conveniencia'!$A$77:$A$104,'Calculo Leads Conveniencia'!N$77:N$104)*_xlfn.XLOOKUP($P1013,'Base Grupo de Produtos'!$E$23:$E$39,'Base Grupo de Produtos'!$F$23:$F$39)</f>
        <v>0</v>
      </c>
      <c r="AB1013" s="56">
        <f>_xlfn.XLOOKUP($N1013,'Calculo Leads Conveniencia'!$A$77:$A$104,'Calculo Leads Conveniencia'!O$77:O$104)*_xlfn.XLOOKUP($P1013,'Base Grupo de Produtos'!$E$23:$E$39,'Base Grupo de Produtos'!$F$23:$F$39)</f>
        <v>0</v>
      </c>
      <c r="AC1013" s="61">
        <f t="shared" si="948"/>
        <v>0</v>
      </c>
      <c r="AD1013" s="28"/>
      <c r="AE1013" s="12"/>
      <c r="AF1013" s="29"/>
      <c r="AG1013" s="9"/>
      <c r="AH1013" s="10"/>
      <c r="AI1013" s="9"/>
      <c r="AJ1013" s="11"/>
      <c r="AK1013" s="9"/>
      <c r="AL1013" s="13"/>
      <c r="AM1013" s="9"/>
    </row>
    <row r="1014" spans="1:39" x14ac:dyDescent="0.3">
      <c r="A1014" s="2" t="str">
        <f t="shared" si="962"/>
        <v>NÃO</v>
      </c>
      <c r="B1014" s="2" t="str">
        <f>_xlfn.XLOOKUP($N1014,'Base de Grupos'!$A:$A,'Base de Grupos'!$D:$D)</f>
        <v>1000065763</v>
      </c>
      <c r="C1014" s="5" t="str">
        <f>_xlfn.XLOOKUP($N1014,'Base de Grupos'!$A:$A,'Base de Grupos'!$E:$E)</f>
        <v>CANAL VENDA INTERNA</v>
      </c>
      <c r="D1014" s="5" t="str">
        <f>_xlfn.XLOOKUP($N1014,'Base de Grupos'!$A:$A,'Base de Grupos'!$F:$F)</f>
        <v>1000065763</v>
      </c>
      <c r="E1014" s="2" t="str">
        <f>_xlfn.XLOOKUP($N1014,'Base de Grupos'!$A:$A,'Base de Grupos'!$G:$G)</f>
        <v>CANAL VENDA INTERNA</v>
      </c>
      <c r="F1014" s="2" t="str">
        <f>_xlfn.XLOOKUP($N1014,'Base de Grupos'!$A:$A,'Base de Grupos'!$H:$H)</f>
        <v>1000174119</v>
      </c>
      <c r="G1014" s="5" t="str">
        <f>_xlfn.XLOOKUP($N1014,'Base de Grupos'!$A:$A,'Base de Grupos'!$I:$I)</f>
        <v>REGIONAL VENDA INTERNA - CONVENIENCIA</v>
      </c>
      <c r="H1014" s="5" t="str">
        <f>_xlfn.XLOOKUP($N1014,'Base de Grupos'!$A:$A,'Base de Grupos'!$J:$J)</f>
        <v>1000174119</v>
      </c>
      <c r="I1014" s="2" t="str">
        <f>_xlfn.XLOOKUP($N1014,'Base de Grupos'!$A:$A,'Base de Grupos'!$K:$K)</f>
        <v>REGIONAL VENDA INTERNA - CONVENIENCIA</v>
      </c>
      <c r="J1014" s="2" t="str">
        <f>_xlfn.XLOOKUP($N1014,'Base de Grupos'!$A:$A,'Base de Grupos'!$L:$L)</f>
        <v>1000174119</v>
      </c>
      <c r="K1014" s="5" t="str">
        <f>_xlfn.XLOOKUP($N1014,'Base de Grupos'!$A:$A,'Base de Grupos'!$M:$M)</f>
        <v>REGIONAL VENDA INTERNA - CONVENIENCIA</v>
      </c>
      <c r="L1014" s="5" t="str">
        <f t="shared" si="963"/>
        <v/>
      </c>
      <c r="M1014" s="5" t="str">
        <f>_xlfn.XLOOKUP($N1014,'Base de Grupos'!$A:$A,'Base de Grupos'!$C:$C)</f>
        <v>GO</v>
      </c>
      <c r="N1014" s="3">
        <v>1521</v>
      </c>
      <c r="O1014" s="4" t="s">
        <v>280</v>
      </c>
      <c r="P1014" s="5" t="s">
        <v>84</v>
      </c>
      <c r="Q1014" s="56">
        <v>0</v>
      </c>
      <c r="R1014" s="56">
        <v>0</v>
      </c>
      <c r="S1014" s="56">
        <v>0</v>
      </c>
      <c r="T1014" s="56">
        <f>_xlfn.XLOOKUP($N1014,'Calculo Leads Conveniencia'!$A$77:$A$104,'Calculo Leads Conveniencia'!G$77:G$104)*_xlfn.XLOOKUP($P1014,'Base Grupo de Produtos'!$E$23:$E$39,'Base Grupo de Produtos'!$F$23:$F$39)</f>
        <v>0</v>
      </c>
      <c r="U1014" s="56">
        <f>_xlfn.XLOOKUP($N1014,'Calculo Leads Conveniencia'!$A$77:$A$104,'Calculo Leads Conveniencia'!H$77:H$104)*_xlfn.XLOOKUP($P1014,'Base Grupo de Produtos'!$E$23:$E$39,'Base Grupo de Produtos'!$F$23:$F$39)</f>
        <v>0</v>
      </c>
      <c r="V1014" s="56">
        <f>_xlfn.XLOOKUP($N1014,'Calculo Leads Conveniencia'!$A$77:$A$104,'Calculo Leads Conveniencia'!I$77:I$104)*_xlfn.XLOOKUP($P1014,'Base Grupo de Produtos'!$E$23:$E$39,'Base Grupo de Produtos'!$F$23:$F$39)</f>
        <v>0</v>
      </c>
      <c r="W1014" s="56">
        <f>_xlfn.XLOOKUP($N1014,'Calculo Leads Conveniencia'!$A$77:$A$104,'Calculo Leads Conveniencia'!J$77:J$104)*_xlfn.XLOOKUP($P1014,'Base Grupo de Produtos'!$E$23:$E$39,'Base Grupo de Produtos'!$F$23:$F$39)</f>
        <v>0</v>
      </c>
      <c r="X1014" s="56">
        <f>_xlfn.XLOOKUP($N1014,'Calculo Leads Conveniencia'!$A$77:$A$104,'Calculo Leads Conveniencia'!K$77:K$104)*_xlfn.XLOOKUP($P1014,'Base Grupo de Produtos'!$E$23:$E$39,'Base Grupo de Produtos'!$F$23:$F$39)</f>
        <v>0</v>
      </c>
      <c r="Y1014" s="56">
        <f>_xlfn.XLOOKUP($N1014,'Calculo Leads Conveniencia'!$A$77:$A$104,'Calculo Leads Conveniencia'!L$77:L$104)*_xlfn.XLOOKUP($P1014,'Base Grupo de Produtos'!$E$23:$E$39,'Base Grupo de Produtos'!$F$23:$F$39)</f>
        <v>0</v>
      </c>
      <c r="Z1014" s="56">
        <f>_xlfn.XLOOKUP($N1014,'Calculo Leads Conveniencia'!$A$77:$A$104,'Calculo Leads Conveniencia'!M$77:M$104)*_xlfn.XLOOKUP($P1014,'Base Grupo de Produtos'!$E$23:$E$39,'Base Grupo de Produtos'!$F$23:$F$39)</f>
        <v>0</v>
      </c>
      <c r="AA1014" s="56">
        <f>_xlfn.XLOOKUP($N1014,'Calculo Leads Conveniencia'!$A$77:$A$104,'Calculo Leads Conveniencia'!N$77:N$104)*_xlfn.XLOOKUP($P1014,'Base Grupo de Produtos'!$E$23:$E$39,'Base Grupo de Produtos'!$F$23:$F$39)</f>
        <v>0</v>
      </c>
      <c r="AB1014" s="56">
        <f>_xlfn.XLOOKUP($N1014,'Calculo Leads Conveniencia'!$A$77:$A$104,'Calculo Leads Conveniencia'!O$77:O$104)*_xlfn.XLOOKUP($P1014,'Base Grupo de Produtos'!$E$23:$E$39,'Base Grupo de Produtos'!$F$23:$F$39)</f>
        <v>0</v>
      </c>
      <c r="AC1014" s="61">
        <f t="shared" si="948"/>
        <v>0</v>
      </c>
      <c r="AD1014" s="28"/>
      <c r="AE1014" s="12"/>
      <c r="AF1014" s="29"/>
      <c r="AG1014" s="9"/>
      <c r="AH1014" s="10"/>
      <c r="AI1014" s="9"/>
      <c r="AJ1014" s="11"/>
      <c r="AK1014" s="9"/>
      <c r="AL1014" s="13"/>
      <c r="AM1014" s="9"/>
    </row>
    <row r="1015" spans="1:39" x14ac:dyDescent="0.3">
      <c r="A1015" s="2" t="str">
        <f t="shared" si="962"/>
        <v>NÃO</v>
      </c>
      <c r="B1015" s="2" t="str">
        <f>_xlfn.XLOOKUP($N1015,'Base de Grupos'!$A:$A,'Base de Grupos'!$D:$D)</f>
        <v>1000065763</v>
      </c>
      <c r="C1015" s="5" t="str">
        <f>_xlfn.XLOOKUP($N1015,'Base de Grupos'!$A:$A,'Base de Grupos'!$E:$E)</f>
        <v>CANAL VENDA INTERNA</v>
      </c>
      <c r="D1015" s="5" t="str">
        <f>_xlfn.XLOOKUP($N1015,'Base de Grupos'!$A:$A,'Base de Grupos'!$F:$F)</f>
        <v>1000065763</v>
      </c>
      <c r="E1015" s="2" t="str">
        <f>_xlfn.XLOOKUP($N1015,'Base de Grupos'!$A:$A,'Base de Grupos'!$G:$G)</f>
        <v>CANAL VENDA INTERNA</v>
      </c>
      <c r="F1015" s="2" t="str">
        <f>_xlfn.XLOOKUP($N1015,'Base de Grupos'!$A:$A,'Base de Grupos'!$H:$H)</f>
        <v>1000174119</v>
      </c>
      <c r="G1015" s="5" t="str">
        <f>_xlfn.XLOOKUP($N1015,'Base de Grupos'!$A:$A,'Base de Grupos'!$I:$I)</f>
        <v>REGIONAL VENDA INTERNA - CONVENIENCIA</v>
      </c>
      <c r="H1015" s="5" t="str">
        <f>_xlfn.XLOOKUP($N1015,'Base de Grupos'!$A:$A,'Base de Grupos'!$J:$J)</f>
        <v>1000174119</v>
      </c>
      <c r="I1015" s="2" t="str">
        <f>_xlfn.XLOOKUP($N1015,'Base de Grupos'!$A:$A,'Base de Grupos'!$K:$K)</f>
        <v>REGIONAL VENDA INTERNA - CONVENIENCIA</v>
      </c>
      <c r="J1015" s="2" t="str">
        <f>_xlfn.XLOOKUP($N1015,'Base de Grupos'!$A:$A,'Base de Grupos'!$L:$L)</f>
        <v>1000174119</v>
      </c>
      <c r="K1015" s="5" t="str">
        <f>_xlfn.XLOOKUP($N1015,'Base de Grupos'!$A:$A,'Base de Grupos'!$M:$M)</f>
        <v>REGIONAL VENDA INTERNA - CONVENIENCIA</v>
      </c>
      <c r="L1015" s="5" t="str">
        <f t="shared" si="963"/>
        <v/>
      </c>
      <c r="M1015" s="5" t="str">
        <f>_xlfn.XLOOKUP($N1015,'Base de Grupos'!$A:$A,'Base de Grupos'!$C:$C)</f>
        <v>GO</v>
      </c>
      <c r="N1015" s="3">
        <v>1521</v>
      </c>
      <c r="O1015" s="4" t="s">
        <v>280</v>
      </c>
      <c r="P1015" s="5" t="s">
        <v>83</v>
      </c>
      <c r="Q1015" s="56">
        <v>0</v>
      </c>
      <c r="R1015" s="56">
        <v>0</v>
      </c>
      <c r="S1015" s="56">
        <v>0</v>
      </c>
      <c r="T1015" s="56">
        <f>_xlfn.XLOOKUP($N1015,'Calculo Leads Conveniencia'!$A$77:$A$104,'Calculo Leads Conveniencia'!G$77:G$104)*_xlfn.XLOOKUP($P1015,'Base Grupo de Produtos'!$E$23:$E$39,'Base Grupo de Produtos'!$F$23:$F$39)</f>
        <v>0</v>
      </c>
      <c r="U1015" s="56">
        <f>_xlfn.XLOOKUP($N1015,'Calculo Leads Conveniencia'!$A$77:$A$104,'Calculo Leads Conveniencia'!H$77:H$104)*_xlfn.XLOOKUP($P1015,'Base Grupo de Produtos'!$E$23:$E$39,'Base Grupo de Produtos'!$F$23:$F$39)</f>
        <v>0</v>
      </c>
      <c r="V1015" s="56">
        <f>_xlfn.XLOOKUP($N1015,'Calculo Leads Conveniencia'!$A$77:$A$104,'Calculo Leads Conveniencia'!I$77:I$104)*_xlfn.XLOOKUP($P1015,'Base Grupo de Produtos'!$E$23:$E$39,'Base Grupo de Produtos'!$F$23:$F$39)</f>
        <v>0</v>
      </c>
      <c r="W1015" s="56">
        <f>_xlfn.XLOOKUP($N1015,'Calculo Leads Conveniencia'!$A$77:$A$104,'Calculo Leads Conveniencia'!J$77:J$104)*_xlfn.XLOOKUP($P1015,'Base Grupo de Produtos'!$E$23:$E$39,'Base Grupo de Produtos'!$F$23:$F$39)</f>
        <v>0</v>
      </c>
      <c r="X1015" s="56">
        <f>_xlfn.XLOOKUP($N1015,'Calculo Leads Conveniencia'!$A$77:$A$104,'Calculo Leads Conveniencia'!K$77:K$104)*_xlfn.XLOOKUP($P1015,'Base Grupo de Produtos'!$E$23:$E$39,'Base Grupo de Produtos'!$F$23:$F$39)</f>
        <v>0</v>
      </c>
      <c r="Y1015" s="56">
        <f>_xlfn.XLOOKUP($N1015,'Calculo Leads Conveniencia'!$A$77:$A$104,'Calculo Leads Conveniencia'!L$77:L$104)*_xlfn.XLOOKUP($P1015,'Base Grupo de Produtos'!$E$23:$E$39,'Base Grupo de Produtos'!$F$23:$F$39)</f>
        <v>0</v>
      </c>
      <c r="Z1015" s="56">
        <f>_xlfn.XLOOKUP($N1015,'Calculo Leads Conveniencia'!$A$77:$A$104,'Calculo Leads Conveniencia'!M$77:M$104)*_xlfn.XLOOKUP($P1015,'Base Grupo de Produtos'!$E$23:$E$39,'Base Grupo de Produtos'!$F$23:$F$39)</f>
        <v>0</v>
      </c>
      <c r="AA1015" s="56">
        <f>_xlfn.XLOOKUP($N1015,'Calculo Leads Conveniencia'!$A$77:$A$104,'Calculo Leads Conveniencia'!N$77:N$104)*_xlfn.XLOOKUP($P1015,'Base Grupo de Produtos'!$E$23:$E$39,'Base Grupo de Produtos'!$F$23:$F$39)</f>
        <v>0</v>
      </c>
      <c r="AB1015" s="56">
        <f>_xlfn.XLOOKUP($N1015,'Calculo Leads Conveniencia'!$A$77:$A$104,'Calculo Leads Conveniencia'!O$77:O$104)*_xlfn.XLOOKUP($P1015,'Base Grupo de Produtos'!$E$23:$E$39,'Base Grupo de Produtos'!$F$23:$F$39)</f>
        <v>0</v>
      </c>
      <c r="AC1015" s="61">
        <f t="shared" si="948"/>
        <v>0</v>
      </c>
      <c r="AD1015" s="28"/>
      <c r="AE1015" s="12"/>
      <c r="AF1015" s="29"/>
      <c r="AG1015" s="9"/>
      <c r="AH1015" s="10"/>
      <c r="AI1015" s="9"/>
      <c r="AJ1015" s="11"/>
      <c r="AK1015" s="9"/>
      <c r="AL1015" s="13"/>
      <c r="AM1015" s="9"/>
    </row>
    <row r="1016" spans="1:39" x14ac:dyDescent="0.3">
      <c r="A1016" s="2" t="str">
        <f t="shared" si="962"/>
        <v>NÃO</v>
      </c>
      <c r="B1016" s="2" t="str">
        <f>_xlfn.XLOOKUP($N1016,'Base de Grupos'!$A:$A,'Base de Grupos'!$D:$D)</f>
        <v>1000065763</v>
      </c>
      <c r="C1016" s="5" t="str">
        <f>_xlfn.XLOOKUP($N1016,'Base de Grupos'!$A:$A,'Base de Grupos'!$E:$E)</f>
        <v>CANAL VENDA INTERNA</v>
      </c>
      <c r="D1016" s="5" t="str">
        <f>_xlfn.XLOOKUP($N1016,'Base de Grupos'!$A:$A,'Base de Grupos'!$F:$F)</f>
        <v>1000065763</v>
      </c>
      <c r="E1016" s="2" t="str">
        <f>_xlfn.XLOOKUP($N1016,'Base de Grupos'!$A:$A,'Base de Grupos'!$G:$G)</f>
        <v>CANAL VENDA INTERNA</v>
      </c>
      <c r="F1016" s="2" t="str">
        <f>_xlfn.XLOOKUP($N1016,'Base de Grupos'!$A:$A,'Base de Grupos'!$H:$H)</f>
        <v>1000174119</v>
      </c>
      <c r="G1016" s="5" t="str">
        <f>_xlfn.XLOOKUP($N1016,'Base de Grupos'!$A:$A,'Base de Grupos'!$I:$I)</f>
        <v>REGIONAL VENDA INTERNA - CONVENIENCIA</v>
      </c>
      <c r="H1016" s="5" t="str">
        <f>_xlfn.XLOOKUP($N1016,'Base de Grupos'!$A:$A,'Base de Grupos'!$J:$J)</f>
        <v>1000174119</v>
      </c>
      <c r="I1016" s="2" t="str">
        <f>_xlfn.XLOOKUP($N1016,'Base de Grupos'!$A:$A,'Base de Grupos'!$K:$K)</f>
        <v>REGIONAL VENDA INTERNA - CONVENIENCIA</v>
      </c>
      <c r="J1016" s="2" t="str">
        <f>_xlfn.XLOOKUP($N1016,'Base de Grupos'!$A:$A,'Base de Grupos'!$L:$L)</f>
        <v>1000174119</v>
      </c>
      <c r="K1016" s="5" t="str">
        <f>_xlfn.XLOOKUP($N1016,'Base de Grupos'!$A:$A,'Base de Grupos'!$M:$M)</f>
        <v>REGIONAL VENDA INTERNA - CONVENIENCIA</v>
      </c>
      <c r="L1016" s="5" t="str">
        <f t="shared" si="963"/>
        <v/>
      </c>
      <c r="M1016" s="5" t="str">
        <f>_xlfn.XLOOKUP($N1016,'Base de Grupos'!$A:$A,'Base de Grupos'!$C:$C)</f>
        <v>GO</v>
      </c>
      <c r="N1016" s="3">
        <v>1521</v>
      </c>
      <c r="O1016" s="4" t="s">
        <v>280</v>
      </c>
      <c r="P1016" s="5" t="s">
        <v>87</v>
      </c>
      <c r="Q1016" s="56">
        <v>0</v>
      </c>
      <c r="R1016" s="56">
        <v>0</v>
      </c>
      <c r="S1016" s="56">
        <v>0</v>
      </c>
      <c r="T1016" s="56">
        <f>_xlfn.XLOOKUP($N1016,'Calculo Leads Conveniencia'!$A$77:$A$104,'Calculo Leads Conveniencia'!G$77:G$104)*_xlfn.XLOOKUP($P1016,'Base Grupo de Produtos'!$E$23:$E$39,'Base Grupo de Produtos'!$F$23:$F$39)</f>
        <v>0</v>
      </c>
      <c r="U1016" s="56">
        <f>_xlfn.XLOOKUP($N1016,'Calculo Leads Conveniencia'!$A$77:$A$104,'Calculo Leads Conveniencia'!H$77:H$104)*_xlfn.XLOOKUP($P1016,'Base Grupo de Produtos'!$E$23:$E$39,'Base Grupo de Produtos'!$F$23:$F$39)</f>
        <v>0</v>
      </c>
      <c r="V1016" s="56">
        <f>_xlfn.XLOOKUP($N1016,'Calculo Leads Conveniencia'!$A$77:$A$104,'Calculo Leads Conveniencia'!I$77:I$104)*_xlfn.XLOOKUP($P1016,'Base Grupo de Produtos'!$E$23:$E$39,'Base Grupo de Produtos'!$F$23:$F$39)</f>
        <v>0</v>
      </c>
      <c r="W1016" s="56">
        <f>_xlfn.XLOOKUP($N1016,'Calculo Leads Conveniencia'!$A$77:$A$104,'Calculo Leads Conveniencia'!J$77:J$104)*_xlfn.XLOOKUP($P1016,'Base Grupo de Produtos'!$E$23:$E$39,'Base Grupo de Produtos'!$F$23:$F$39)</f>
        <v>0</v>
      </c>
      <c r="X1016" s="56">
        <f>_xlfn.XLOOKUP($N1016,'Calculo Leads Conveniencia'!$A$77:$A$104,'Calculo Leads Conveniencia'!K$77:K$104)*_xlfn.XLOOKUP($P1016,'Base Grupo de Produtos'!$E$23:$E$39,'Base Grupo de Produtos'!$F$23:$F$39)</f>
        <v>0</v>
      </c>
      <c r="Y1016" s="56">
        <f>_xlfn.XLOOKUP($N1016,'Calculo Leads Conveniencia'!$A$77:$A$104,'Calculo Leads Conveniencia'!L$77:L$104)*_xlfn.XLOOKUP($P1016,'Base Grupo de Produtos'!$E$23:$E$39,'Base Grupo de Produtos'!$F$23:$F$39)</f>
        <v>0</v>
      </c>
      <c r="Z1016" s="56">
        <f>_xlfn.XLOOKUP($N1016,'Calculo Leads Conveniencia'!$A$77:$A$104,'Calculo Leads Conveniencia'!M$77:M$104)*_xlfn.XLOOKUP($P1016,'Base Grupo de Produtos'!$E$23:$E$39,'Base Grupo de Produtos'!$F$23:$F$39)</f>
        <v>0</v>
      </c>
      <c r="AA1016" s="56">
        <f>_xlfn.XLOOKUP($N1016,'Calculo Leads Conveniencia'!$A$77:$A$104,'Calculo Leads Conveniencia'!N$77:N$104)*_xlfn.XLOOKUP($P1016,'Base Grupo de Produtos'!$E$23:$E$39,'Base Grupo de Produtos'!$F$23:$F$39)</f>
        <v>0</v>
      </c>
      <c r="AB1016" s="56">
        <f>_xlfn.XLOOKUP($N1016,'Calculo Leads Conveniencia'!$A$77:$A$104,'Calculo Leads Conveniencia'!O$77:O$104)*_xlfn.XLOOKUP($P1016,'Base Grupo de Produtos'!$E$23:$E$39,'Base Grupo de Produtos'!$F$23:$F$39)</f>
        <v>0</v>
      </c>
      <c r="AC1016" s="61">
        <f t="shared" si="948"/>
        <v>0</v>
      </c>
      <c r="AD1016" s="28"/>
      <c r="AE1016" s="12"/>
      <c r="AF1016" s="29"/>
      <c r="AG1016" s="9"/>
      <c r="AH1016" s="10"/>
      <c r="AI1016" s="9"/>
      <c r="AJ1016" s="11"/>
      <c r="AK1016" s="9"/>
      <c r="AL1016" s="13"/>
      <c r="AM1016" s="9"/>
    </row>
    <row r="1017" spans="1:39" x14ac:dyDescent="0.3">
      <c r="A1017" s="2" t="str">
        <f t="shared" si="962"/>
        <v>NÃO</v>
      </c>
      <c r="B1017" s="2" t="str">
        <f>_xlfn.XLOOKUP($N1017,'Base de Grupos'!$A:$A,'Base de Grupos'!$D:$D)</f>
        <v>1000065763</v>
      </c>
      <c r="C1017" s="5" t="str">
        <f>_xlfn.XLOOKUP($N1017,'Base de Grupos'!$A:$A,'Base de Grupos'!$E:$E)</f>
        <v>CANAL VENDA INTERNA</v>
      </c>
      <c r="D1017" s="5" t="str">
        <f>_xlfn.XLOOKUP($N1017,'Base de Grupos'!$A:$A,'Base de Grupos'!$F:$F)</f>
        <v>1000065763</v>
      </c>
      <c r="E1017" s="2" t="str">
        <f>_xlfn.XLOOKUP($N1017,'Base de Grupos'!$A:$A,'Base de Grupos'!$G:$G)</f>
        <v>CANAL VENDA INTERNA</v>
      </c>
      <c r="F1017" s="2" t="str">
        <f>_xlfn.XLOOKUP($N1017,'Base de Grupos'!$A:$A,'Base de Grupos'!$H:$H)</f>
        <v>1000174119</v>
      </c>
      <c r="G1017" s="5" t="str">
        <f>_xlfn.XLOOKUP($N1017,'Base de Grupos'!$A:$A,'Base de Grupos'!$I:$I)</f>
        <v>REGIONAL VENDA INTERNA - CONVENIENCIA</v>
      </c>
      <c r="H1017" s="5" t="str">
        <f>_xlfn.XLOOKUP($N1017,'Base de Grupos'!$A:$A,'Base de Grupos'!$J:$J)</f>
        <v>1000174119</v>
      </c>
      <c r="I1017" s="2" t="str">
        <f>_xlfn.XLOOKUP($N1017,'Base de Grupos'!$A:$A,'Base de Grupos'!$K:$K)</f>
        <v>REGIONAL VENDA INTERNA - CONVENIENCIA</v>
      </c>
      <c r="J1017" s="2" t="str">
        <f>_xlfn.XLOOKUP($N1017,'Base de Grupos'!$A:$A,'Base de Grupos'!$L:$L)</f>
        <v>1000174119</v>
      </c>
      <c r="K1017" s="5" t="str">
        <f>_xlfn.XLOOKUP($N1017,'Base de Grupos'!$A:$A,'Base de Grupos'!$M:$M)</f>
        <v>REGIONAL VENDA INTERNA - CONVENIENCIA</v>
      </c>
      <c r="L1017" s="5" t="str">
        <f t="shared" si="963"/>
        <v/>
      </c>
      <c r="M1017" s="5" t="str">
        <f>_xlfn.XLOOKUP($N1017,'Base de Grupos'!$A:$A,'Base de Grupos'!$C:$C)</f>
        <v>GO</v>
      </c>
      <c r="N1017" s="3">
        <v>1521</v>
      </c>
      <c r="O1017" s="4" t="s">
        <v>280</v>
      </c>
      <c r="P1017" s="5" t="s">
        <v>85</v>
      </c>
      <c r="Q1017" s="56">
        <v>0</v>
      </c>
      <c r="R1017" s="56">
        <v>0</v>
      </c>
      <c r="S1017" s="56">
        <v>0</v>
      </c>
      <c r="T1017" s="56">
        <f>_xlfn.XLOOKUP($N1017,'Calculo Leads Conveniencia'!$A$77:$A$104,'Calculo Leads Conveniencia'!G$77:G$104)*_xlfn.XLOOKUP($P1017,'Base Grupo de Produtos'!$E$23:$E$39,'Base Grupo de Produtos'!$F$23:$F$39)</f>
        <v>0</v>
      </c>
      <c r="U1017" s="56">
        <f>_xlfn.XLOOKUP($N1017,'Calculo Leads Conveniencia'!$A$77:$A$104,'Calculo Leads Conveniencia'!H$77:H$104)*_xlfn.XLOOKUP($P1017,'Base Grupo de Produtos'!$E$23:$E$39,'Base Grupo de Produtos'!$F$23:$F$39)</f>
        <v>0</v>
      </c>
      <c r="V1017" s="56">
        <f>_xlfn.XLOOKUP($N1017,'Calculo Leads Conveniencia'!$A$77:$A$104,'Calculo Leads Conveniencia'!I$77:I$104)*_xlfn.XLOOKUP($P1017,'Base Grupo de Produtos'!$E$23:$E$39,'Base Grupo de Produtos'!$F$23:$F$39)</f>
        <v>0</v>
      </c>
      <c r="W1017" s="56">
        <f>_xlfn.XLOOKUP($N1017,'Calculo Leads Conveniencia'!$A$77:$A$104,'Calculo Leads Conveniencia'!J$77:J$104)*_xlfn.XLOOKUP($P1017,'Base Grupo de Produtos'!$E$23:$E$39,'Base Grupo de Produtos'!$F$23:$F$39)</f>
        <v>0</v>
      </c>
      <c r="X1017" s="56">
        <f>_xlfn.XLOOKUP($N1017,'Calculo Leads Conveniencia'!$A$77:$A$104,'Calculo Leads Conveniencia'!K$77:K$104)*_xlfn.XLOOKUP($P1017,'Base Grupo de Produtos'!$E$23:$E$39,'Base Grupo de Produtos'!$F$23:$F$39)</f>
        <v>0</v>
      </c>
      <c r="Y1017" s="56">
        <f>_xlfn.XLOOKUP($N1017,'Calculo Leads Conveniencia'!$A$77:$A$104,'Calculo Leads Conveniencia'!L$77:L$104)*_xlfn.XLOOKUP($P1017,'Base Grupo de Produtos'!$E$23:$E$39,'Base Grupo de Produtos'!$F$23:$F$39)</f>
        <v>0</v>
      </c>
      <c r="Z1017" s="56">
        <f>_xlfn.XLOOKUP($N1017,'Calculo Leads Conveniencia'!$A$77:$A$104,'Calculo Leads Conveniencia'!M$77:M$104)*_xlfn.XLOOKUP($P1017,'Base Grupo de Produtos'!$E$23:$E$39,'Base Grupo de Produtos'!$F$23:$F$39)</f>
        <v>0</v>
      </c>
      <c r="AA1017" s="56">
        <f>_xlfn.XLOOKUP($N1017,'Calculo Leads Conveniencia'!$A$77:$A$104,'Calculo Leads Conveniencia'!N$77:N$104)*_xlfn.XLOOKUP($P1017,'Base Grupo de Produtos'!$E$23:$E$39,'Base Grupo de Produtos'!$F$23:$F$39)</f>
        <v>0</v>
      </c>
      <c r="AB1017" s="56">
        <f>_xlfn.XLOOKUP($N1017,'Calculo Leads Conveniencia'!$A$77:$A$104,'Calculo Leads Conveniencia'!O$77:O$104)*_xlfn.XLOOKUP($P1017,'Base Grupo de Produtos'!$E$23:$E$39,'Base Grupo de Produtos'!$F$23:$F$39)</f>
        <v>0</v>
      </c>
      <c r="AC1017" s="61">
        <f t="shared" si="948"/>
        <v>0</v>
      </c>
      <c r="AD1017" s="28"/>
      <c r="AE1017" s="12"/>
      <c r="AF1017" s="29"/>
      <c r="AG1017" s="9"/>
      <c r="AH1017" s="10"/>
      <c r="AI1017" s="9"/>
      <c r="AJ1017" s="11"/>
      <c r="AK1017" s="9"/>
      <c r="AL1017" s="13"/>
      <c r="AM1017" s="9"/>
    </row>
    <row r="1018" spans="1:39" x14ac:dyDescent="0.3">
      <c r="A1018" s="2" t="str">
        <f t="shared" si="962"/>
        <v>NÃO</v>
      </c>
      <c r="B1018" s="2" t="str">
        <f>_xlfn.XLOOKUP($N1018,'Base de Grupos'!$A:$A,'Base de Grupos'!$D:$D)</f>
        <v>1000065763</v>
      </c>
      <c r="C1018" s="5" t="str">
        <f>_xlfn.XLOOKUP($N1018,'Base de Grupos'!$A:$A,'Base de Grupos'!$E:$E)</f>
        <v>CANAL VENDA INTERNA</v>
      </c>
      <c r="D1018" s="5" t="str">
        <f>_xlfn.XLOOKUP($N1018,'Base de Grupos'!$A:$A,'Base de Grupos'!$F:$F)</f>
        <v>1000065763</v>
      </c>
      <c r="E1018" s="2" t="str">
        <f>_xlfn.XLOOKUP($N1018,'Base de Grupos'!$A:$A,'Base de Grupos'!$G:$G)</f>
        <v>CANAL VENDA INTERNA</v>
      </c>
      <c r="F1018" s="2" t="str">
        <f>_xlfn.XLOOKUP($N1018,'Base de Grupos'!$A:$A,'Base de Grupos'!$H:$H)</f>
        <v>1000174119</v>
      </c>
      <c r="G1018" s="5" t="str">
        <f>_xlfn.XLOOKUP($N1018,'Base de Grupos'!$A:$A,'Base de Grupos'!$I:$I)</f>
        <v>REGIONAL VENDA INTERNA - CONVENIENCIA</v>
      </c>
      <c r="H1018" s="5" t="str">
        <f>_xlfn.XLOOKUP($N1018,'Base de Grupos'!$A:$A,'Base de Grupos'!$J:$J)</f>
        <v>1000174119</v>
      </c>
      <c r="I1018" s="2" t="str">
        <f>_xlfn.XLOOKUP($N1018,'Base de Grupos'!$A:$A,'Base de Grupos'!$K:$K)</f>
        <v>REGIONAL VENDA INTERNA - CONVENIENCIA</v>
      </c>
      <c r="J1018" s="2" t="str">
        <f>_xlfn.XLOOKUP($N1018,'Base de Grupos'!$A:$A,'Base de Grupos'!$L:$L)</f>
        <v>1000174119</v>
      </c>
      <c r="K1018" s="5" t="str">
        <f>_xlfn.XLOOKUP($N1018,'Base de Grupos'!$A:$A,'Base de Grupos'!$M:$M)</f>
        <v>REGIONAL VENDA INTERNA - CONVENIENCIA</v>
      </c>
      <c r="L1018" s="5" t="str">
        <f t="shared" si="963"/>
        <v/>
      </c>
      <c r="M1018" s="5" t="str">
        <f>_xlfn.XLOOKUP($N1018,'Base de Grupos'!$A:$A,'Base de Grupos'!$C:$C)</f>
        <v>GO</v>
      </c>
      <c r="N1018" s="3">
        <v>1521</v>
      </c>
      <c r="O1018" s="4" t="s">
        <v>280</v>
      </c>
      <c r="P1018" s="5" t="s">
        <v>92</v>
      </c>
      <c r="Q1018" s="56">
        <v>0</v>
      </c>
      <c r="R1018" s="56">
        <v>0</v>
      </c>
      <c r="S1018" s="56">
        <v>0</v>
      </c>
      <c r="T1018" s="56">
        <f>_xlfn.XLOOKUP($N1018,'Calculo Leads Conveniencia'!$A$77:$A$104,'Calculo Leads Conveniencia'!G$77:G$104)*_xlfn.XLOOKUP($P1018,'Base Grupo de Produtos'!$E$23:$E$39,'Base Grupo de Produtos'!$F$23:$F$39)</f>
        <v>0</v>
      </c>
      <c r="U1018" s="56">
        <f>_xlfn.XLOOKUP($N1018,'Calculo Leads Conveniencia'!$A$77:$A$104,'Calculo Leads Conveniencia'!H$77:H$104)*_xlfn.XLOOKUP($P1018,'Base Grupo de Produtos'!$E$23:$E$39,'Base Grupo de Produtos'!$F$23:$F$39)</f>
        <v>0</v>
      </c>
      <c r="V1018" s="56">
        <f>_xlfn.XLOOKUP($N1018,'Calculo Leads Conveniencia'!$A$77:$A$104,'Calculo Leads Conveniencia'!I$77:I$104)*_xlfn.XLOOKUP($P1018,'Base Grupo de Produtos'!$E$23:$E$39,'Base Grupo de Produtos'!$F$23:$F$39)</f>
        <v>0</v>
      </c>
      <c r="W1018" s="56">
        <f>_xlfn.XLOOKUP($N1018,'Calculo Leads Conveniencia'!$A$77:$A$104,'Calculo Leads Conveniencia'!J$77:J$104)*_xlfn.XLOOKUP($P1018,'Base Grupo de Produtos'!$E$23:$E$39,'Base Grupo de Produtos'!$F$23:$F$39)</f>
        <v>0</v>
      </c>
      <c r="X1018" s="56">
        <f>_xlfn.XLOOKUP($N1018,'Calculo Leads Conveniencia'!$A$77:$A$104,'Calculo Leads Conveniencia'!K$77:K$104)*_xlfn.XLOOKUP($P1018,'Base Grupo de Produtos'!$E$23:$E$39,'Base Grupo de Produtos'!$F$23:$F$39)</f>
        <v>0</v>
      </c>
      <c r="Y1018" s="56">
        <f>_xlfn.XLOOKUP($N1018,'Calculo Leads Conveniencia'!$A$77:$A$104,'Calculo Leads Conveniencia'!L$77:L$104)*_xlfn.XLOOKUP($P1018,'Base Grupo de Produtos'!$E$23:$E$39,'Base Grupo de Produtos'!$F$23:$F$39)</f>
        <v>0</v>
      </c>
      <c r="Z1018" s="56">
        <f>_xlfn.XLOOKUP($N1018,'Calculo Leads Conveniencia'!$A$77:$A$104,'Calculo Leads Conveniencia'!M$77:M$104)*_xlfn.XLOOKUP($P1018,'Base Grupo de Produtos'!$E$23:$E$39,'Base Grupo de Produtos'!$F$23:$F$39)</f>
        <v>0</v>
      </c>
      <c r="AA1018" s="56">
        <f>_xlfn.XLOOKUP($N1018,'Calculo Leads Conveniencia'!$A$77:$A$104,'Calculo Leads Conveniencia'!N$77:N$104)*_xlfn.XLOOKUP($P1018,'Base Grupo de Produtos'!$E$23:$E$39,'Base Grupo de Produtos'!$F$23:$F$39)</f>
        <v>0</v>
      </c>
      <c r="AB1018" s="56">
        <f>_xlfn.XLOOKUP($N1018,'Calculo Leads Conveniencia'!$A$77:$A$104,'Calculo Leads Conveniencia'!O$77:O$104)*_xlfn.XLOOKUP($P1018,'Base Grupo de Produtos'!$E$23:$E$39,'Base Grupo de Produtos'!$F$23:$F$39)</f>
        <v>0</v>
      </c>
      <c r="AC1018" s="61">
        <f t="shared" si="948"/>
        <v>0</v>
      </c>
      <c r="AD1018" s="28"/>
      <c r="AE1018" s="12"/>
      <c r="AF1018" s="29"/>
      <c r="AG1018" s="9"/>
      <c r="AH1018" s="10"/>
      <c r="AI1018" s="9"/>
      <c r="AJ1018" s="11"/>
      <c r="AK1018" s="9"/>
      <c r="AL1018" s="13"/>
      <c r="AM1018" s="9"/>
    </row>
    <row r="1019" spans="1:39" x14ac:dyDescent="0.3">
      <c r="A1019" s="2" t="str">
        <f t="shared" si="962"/>
        <v>NÃO</v>
      </c>
      <c r="B1019" s="2" t="str">
        <f>_xlfn.XLOOKUP($N1019,'Base de Grupos'!$A:$A,'Base de Grupos'!$D:$D)</f>
        <v>1000065763</v>
      </c>
      <c r="C1019" s="5" t="str">
        <f>_xlfn.XLOOKUP($N1019,'Base de Grupos'!$A:$A,'Base de Grupos'!$E:$E)</f>
        <v>CANAL VENDA INTERNA</v>
      </c>
      <c r="D1019" s="5" t="str">
        <f>_xlfn.XLOOKUP($N1019,'Base de Grupos'!$A:$A,'Base de Grupos'!$F:$F)</f>
        <v>1000065763</v>
      </c>
      <c r="E1019" s="2" t="str">
        <f>_xlfn.XLOOKUP($N1019,'Base de Grupos'!$A:$A,'Base de Grupos'!$G:$G)</f>
        <v>CANAL VENDA INTERNA</v>
      </c>
      <c r="F1019" s="2" t="str">
        <f>_xlfn.XLOOKUP($N1019,'Base de Grupos'!$A:$A,'Base de Grupos'!$H:$H)</f>
        <v>1000174119</v>
      </c>
      <c r="G1019" s="5" t="str">
        <f>_xlfn.XLOOKUP($N1019,'Base de Grupos'!$A:$A,'Base de Grupos'!$I:$I)</f>
        <v>REGIONAL VENDA INTERNA - CONVENIENCIA</v>
      </c>
      <c r="H1019" s="5" t="str">
        <f>_xlfn.XLOOKUP($N1019,'Base de Grupos'!$A:$A,'Base de Grupos'!$J:$J)</f>
        <v>1000174119</v>
      </c>
      <c r="I1019" s="2" t="str">
        <f>_xlfn.XLOOKUP($N1019,'Base de Grupos'!$A:$A,'Base de Grupos'!$K:$K)</f>
        <v>REGIONAL VENDA INTERNA - CONVENIENCIA</v>
      </c>
      <c r="J1019" s="2" t="str">
        <f>_xlfn.XLOOKUP($N1019,'Base de Grupos'!$A:$A,'Base de Grupos'!$L:$L)</f>
        <v>1000174119</v>
      </c>
      <c r="K1019" s="5" t="str">
        <f>_xlfn.XLOOKUP($N1019,'Base de Grupos'!$A:$A,'Base de Grupos'!$M:$M)</f>
        <v>REGIONAL VENDA INTERNA - CONVENIENCIA</v>
      </c>
      <c r="L1019" s="5" t="str">
        <f t="shared" si="963"/>
        <v/>
      </c>
      <c r="M1019" s="5" t="str">
        <f>_xlfn.XLOOKUP($N1019,'Base de Grupos'!$A:$A,'Base de Grupos'!$C:$C)</f>
        <v>GO</v>
      </c>
      <c r="N1019" s="3">
        <v>1521</v>
      </c>
      <c r="O1019" s="4" t="s">
        <v>280</v>
      </c>
      <c r="P1019" s="5" t="s">
        <v>86</v>
      </c>
      <c r="Q1019" s="56">
        <v>0</v>
      </c>
      <c r="R1019" s="56">
        <v>0</v>
      </c>
      <c r="S1019" s="56">
        <v>0</v>
      </c>
      <c r="T1019" s="56">
        <f>_xlfn.XLOOKUP($N1019,'Calculo Leads Conveniencia'!$A$77:$A$104,'Calculo Leads Conveniencia'!G$77:G$104)*_xlfn.XLOOKUP($P1019,'Base Grupo de Produtos'!$E$23:$E$39,'Base Grupo de Produtos'!$F$23:$F$39)</f>
        <v>0</v>
      </c>
      <c r="U1019" s="56">
        <f>_xlfn.XLOOKUP($N1019,'Calculo Leads Conveniencia'!$A$77:$A$104,'Calculo Leads Conveniencia'!H$77:H$104)*_xlfn.XLOOKUP($P1019,'Base Grupo de Produtos'!$E$23:$E$39,'Base Grupo de Produtos'!$F$23:$F$39)</f>
        <v>0</v>
      </c>
      <c r="V1019" s="56">
        <f>_xlfn.XLOOKUP($N1019,'Calculo Leads Conveniencia'!$A$77:$A$104,'Calculo Leads Conveniencia'!I$77:I$104)*_xlfn.XLOOKUP($P1019,'Base Grupo de Produtos'!$E$23:$E$39,'Base Grupo de Produtos'!$F$23:$F$39)</f>
        <v>0</v>
      </c>
      <c r="W1019" s="56">
        <f>_xlfn.XLOOKUP($N1019,'Calculo Leads Conveniencia'!$A$77:$A$104,'Calculo Leads Conveniencia'!J$77:J$104)*_xlfn.XLOOKUP($P1019,'Base Grupo de Produtos'!$E$23:$E$39,'Base Grupo de Produtos'!$F$23:$F$39)</f>
        <v>0</v>
      </c>
      <c r="X1019" s="56">
        <f>_xlfn.XLOOKUP($N1019,'Calculo Leads Conveniencia'!$A$77:$A$104,'Calculo Leads Conveniencia'!K$77:K$104)*_xlfn.XLOOKUP($P1019,'Base Grupo de Produtos'!$E$23:$E$39,'Base Grupo de Produtos'!$F$23:$F$39)</f>
        <v>0</v>
      </c>
      <c r="Y1019" s="56">
        <f>_xlfn.XLOOKUP($N1019,'Calculo Leads Conveniencia'!$A$77:$A$104,'Calculo Leads Conveniencia'!L$77:L$104)*_xlfn.XLOOKUP($P1019,'Base Grupo de Produtos'!$E$23:$E$39,'Base Grupo de Produtos'!$F$23:$F$39)</f>
        <v>0</v>
      </c>
      <c r="Z1019" s="56">
        <f>_xlfn.XLOOKUP($N1019,'Calculo Leads Conveniencia'!$A$77:$A$104,'Calculo Leads Conveniencia'!M$77:M$104)*_xlfn.XLOOKUP($P1019,'Base Grupo de Produtos'!$E$23:$E$39,'Base Grupo de Produtos'!$F$23:$F$39)</f>
        <v>0</v>
      </c>
      <c r="AA1019" s="56">
        <f>_xlfn.XLOOKUP($N1019,'Calculo Leads Conveniencia'!$A$77:$A$104,'Calculo Leads Conveniencia'!N$77:N$104)*_xlfn.XLOOKUP($P1019,'Base Grupo de Produtos'!$E$23:$E$39,'Base Grupo de Produtos'!$F$23:$F$39)</f>
        <v>0</v>
      </c>
      <c r="AB1019" s="56">
        <f>_xlfn.XLOOKUP($N1019,'Calculo Leads Conveniencia'!$A$77:$A$104,'Calculo Leads Conveniencia'!O$77:O$104)*_xlfn.XLOOKUP($P1019,'Base Grupo de Produtos'!$E$23:$E$39,'Base Grupo de Produtos'!$F$23:$F$39)</f>
        <v>0</v>
      </c>
      <c r="AC1019" s="61">
        <f t="shared" si="948"/>
        <v>0</v>
      </c>
      <c r="AD1019" s="28"/>
      <c r="AE1019" s="12"/>
      <c r="AF1019" s="29"/>
      <c r="AG1019" s="9"/>
      <c r="AH1019" s="10"/>
      <c r="AI1019" s="9"/>
      <c r="AJ1019" s="11"/>
      <c r="AK1019" s="9"/>
      <c r="AL1019" s="13"/>
      <c r="AM1019" s="9"/>
    </row>
    <row r="1020" spans="1:39" x14ac:dyDescent="0.3">
      <c r="A1020" s="2" t="str">
        <f t="shared" si="962"/>
        <v>NÃO</v>
      </c>
      <c r="B1020" s="2" t="str">
        <f>_xlfn.XLOOKUP($N1020,'Base de Grupos'!$A:$A,'Base de Grupos'!$D:$D)</f>
        <v>1000065763</v>
      </c>
      <c r="C1020" s="5" t="str">
        <f>_xlfn.XLOOKUP($N1020,'Base de Grupos'!$A:$A,'Base de Grupos'!$E:$E)</f>
        <v>CANAL VENDA INTERNA</v>
      </c>
      <c r="D1020" s="5" t="str">
        <f>_xlfn.XLOOKUP($N1020,'Base de Grupos'!$A:$A,'Base de Grupos'!$F:$F)</f>
        <v>1000065763</v>
      </c>
      <c r="E1020" s="2" t="str">
        <f>_xlfn.XLOOKUP($N1020,'Base de Grupos'!$A:$A,'Base de Grupos'!$G:$G)</f>
        <v>CANAL VENDA INTERNA</v>
      </c>
      <c r="F1020" s="2" t="str">
        <f>_xlfn.XLOOKUP($N1020,'Base de Grupos'!$A:$A,'Base de Grupos'!$H:$H)</f>
        <v>1000174119</v>
      </c>
      <c r="G1020" s="5" t="str">
        <f>_xlfn.XLOOKUP($N1020,'Base de Grupos'!$A:$A,'Base de Grupos'!$I:$I)</f>
        <v>REGIONAL VENDA INTERNA - CONVENIENCIA</v>
      </c>
      <c r="H1020" s="5" t="str">
        <f>_xlfn.XLOOKUP($N1020,'Base de Grupos'!$A:$A,'Base de Grupos'!$J:$J)</f>
        <v>1000174119</v>
      </c>
      <c r="I1020" s="2" t="str">
        <f>_xlfn.XLOOKUP($N1020,'Base de Grupos'!$A:$A,'Base de Grupos'!$K:$K)</f>
        <v>REGIONAL VENDA INTERNA - CONVENIENCIA</v>
      </c>
      <c r="J1020" s="2" t="str">
        <f>_xlfn.XLOOKUP($N1020,'Base de Grupos'!$A:$A,'Base de Grupos'!$L:$L)</f>
        <v>1000174119</v>
      </c>
      <c r="K1020" s="5" t="str">
        <f>_xlfn.XLOOKUP($N1020,'Base de Grupos'!$A:$A,'Base de Grupos'!$M:$M)</f>
        <v>REGIONAL VENDA INTERNA - CONVENIENCIA</v>
      </c>
      <c r="L1020" s="5" t="str">
        <f t="shared" si="963"/>
        <v/>
      </c>
      <c r="M1020" s="5" t="str">
        <f>_xlfn.XLOOKUP($N1020,'Base de Grupos'!$A:$A,'Base de Grupos'!$C:$C)</f>
        <v>GO</v>
      </c>
      <c r="N1020" s="3">
        <v>1521</v>
      </c>
      <c r="O1020" s="4" t="s">
        <v>280</v>
      </c>
      <c r="P1020" s="5" t="s">
        <v>108</v>
      </c>
      <c r="Q1020" s="56">
        <v>0</v>
      </c>
      <c r="R1020" s="56">
        <v>0</v>
      </c>
      <c r="S1020" s="56">
        <v>0</v>
      </c>
      <c r="T1020" s="56">
        <f>_xlfn.XLOOKUP($N1020,'Calculo Leads Conveniencia'!$A$77:$A$104,'Calculo Leads Conveniencia'!G$77:G$104)*_xlfn.XLOOKUP($P1020,'Base Grupo de Produtos'!$E$23:$E$39,'Base Grupo de Produtos'!$F$23:$F$39)</f>
        <v>0</v>
      </c>
      <c r="U1020" s="56">
        <f>_xlfn.XLOOKUP($N1020,'Calculo Leads Conveniencia'!$A$77:$A$104,'Calculo Leads Conveniencia'!H$77:H$104)*_xlfn.XLOOKUP($P1020,'Base Grupo de Produtos'!$E$23:$E$39,'Base Grupo de Produtos'!$F$23:$F$39)</f>
        <v>0</v>
      </c>
      <c r="V1020" s="56">
        <f>_xlfn.XLOOKUP($N1020,'Calculo Leads Conveniencia'!$A$77:$A$104,'Calculo Leads Conveniencia'!I$77:I$104)*_xlfn.XLOOKUP($P1020,'Base Grupo de Produtos'!$E$23:$E$39,'Base Grupo de Produtos'!$F$23:$F$39)</f>
        <v>0</v>
      </c>
      <c r="W1020" s="56">
        <f>_xlfn.XLOOKUP($N1020,'Calculo Leads Conveniencia'!$A$77:$A$104,'Calculo Leads Conveniencia'!J$77:J$104)*_xlfn.XLOOKUP($P1020,'Base Grupo de Produtos'!$E$23:$E$39,'Base Grupo de Produtos'!$F$23:$F$39)</f>
        <v>0</v>
      </c>
      <c r="X1020" s="56">
        <f>_xlfn.XLOOKUP($N1020,'Calculo Leads Conveniencia'!$A$77:$A$104,'Calculo Leads Conveniencia'!K$77:K$104)*_xlfn.XLOOKUP($P1020,'Base Grupo de Produtos'!$E$23:$E$39,'Base Grupo de Produtos'!$F$23:$F$39)</f>
        <v>0</v>
      </c>
      <c r="Y1020" s="56">
        <f>_xlfn.XLOOKUP($N1020,'Calculo Leads Conveniencia'!$A$77:$A$104,'Calculo Leads Conveniencia'!L$77:L$104)*_xlfn.XLOOKUP($P1020,'Base Grupo de Produtos'!$E$23:$E$39,'Base Grupo de Produtos'!$F$23:$F$39)</f>
        <v>0</v>
      </c>
      <c r="Z1020" s="56">
        <f>_xlfn.XLOOKUP($N1020,'Calculo Leads Conveniencia'!$A$77:$A$104,'Calculo Leads Conveniencia'!M$77:M$104)*_xlfn.XLOOKUP($P1020,'Base Grupo de Produtos'!$E$23:$E$39,'Base Grupo de Produtos'!$F$23:$F$39)</f>
        <v>0</v>
      </c>
      <c r="AA1020" s="56">
        <f>_xlfn.XLOOKUP($N1020,'Calculo Leads Conveniencia'!$A$77:$A$104,'Calculo Leads Conveniencia'!N$77:N$104)*_xlfn.XLOOKUP($P1020,'Base Grupo de Produtos'!$E$23:$E$39,'Base Grupo de Produtos'!$F$23:$F$39)</f>
        <v>0</v>
      </c>
      <c r="AB1020" s="56">
        <f>_xlfn.XLOOKUP($N1020,'Calculo Leads Conveniencia'!$A$77:$A$104,'Calculo Leads Conveniencia'!O$77:O$104)*_xlfn.XLOOKUP($P1020,'Base Grupo de Produtos'!$E$23:$E$39,'Base Grupo de Produtos'!$F$23:$F$39)</f>
        <v>0</v>
      </c>
      <c r="AC1020" s="61">
        <f t="shared" si="948"/>
        <v>0</v>
      </c>
      <c r="AD1020" s="28"/>
      <c r="AE1020" s="12"/>
      <c r="AF1020" s="29"/>
      <c r="AG1020" s="9"/>
      <c r="AH1020" s="10"/>
      <c r="AI1020" s="9"/>
      <c r="AJ1020" s="11"/>
      <c r="AK1020" s="9"/>
      <c r="AL1020" s="13"/>
      <c r="AM1020" s="9"/>
    </row>
    <row r="1021" spans="1:39" x14ac:dyDescent="0.3">
      <c r="A1021" s="2" t="str">
        <f t="shared" si="962"/>
        <v>NÃO</v>
      </c>
      <c r="B1021" s="2" t="str">
        <f>_xlfn.XLOOKUP($N1021,'Base de Grupos'!$A:$A,'Base de Grupos'!$D:$D)</f>
        <v>1000065763</v>
      </c>
      <c r="C1021" s="5" t="str">
        <f>_xlfn.XLOOKUP($N1021,'Base de Grupos'!$A:$A,'Base de Grupos'!$E:$E)</f>
        <v>CANAL VENDA INTERNA</v>
      </c>
      <c r="D1021" s="5" t="str">
        <f>_xlfn.XLOOKUP($N1021,'Base de Grupos'!$A:$A,'Base de Grupos'!$F:$F)</f>
        <v>1000065763</v>
      </c>
      <c r="E1021" s="2" t="str">
        <f>_xlfn.XLOOKUP($N1021,'Base de Grupos'!$A:$A,'Base de Grupos'!$G:$G)</f>
        <v>CANAL VENDA INTERNA</v>
      </c>
      <c r="F1021" s="2" t="str">
        <f>_xlfn.XLOOKUP($N1021,'Base de Grupos'!$A:$A,'Base de Grupos'!$H:$H)</f>
        <v>1000174119</v>
      </c>
      <c r="G1021" s="5" t="str">
        <f>_xlfn.XLOOKUP($N1021,'Base de Grupos'!$A:$A,'Base de Grupos'!$I:$I)</f>
        <v>REGIONAL VENDA INTERNA - CONVENIENCIA</v>
      </c>
      <c r="H1021" s="5" t="str">
        <f>_xlfn.XLOOKUP($N1021,'Base de Grupos'!$A:$A,'Base de Grupos'!$J:$J)</f>
        <v>1000174119</v>
      </c>
      <c r="I1021" s="2" t="str">
        <f>_xlfn.XLOOKUP($N1021,'Base de Grupos'!$A:$A,'Base de Grupos'!$K:$K)</f>
        <v>REGIONAL VENDA INTERNA - CONVENIENCIA</v>
      </c>
      <c r="J1021" s="2" t="str">
        <f>_xlfn.XLOOKUP($N1021,'Base de Grupos'!$A:$A,'Base de Grupos'!$L:$L)</f>
        <v>1000174119</v>
      </c>
      <c r="K1021" s="5" t="str">
        <f>_xlfn.XLOOKUP($N1021,'Base de Grupos'!$A:$A,'Base de Grupos'!$M:$M)</f>
        <v>REGIONAL VENDA INTERNA - CONVENIENCIA</v>
      </c>
      <c r="L1021" s="5" t="str">
        <f t="shared" si="963"/>
        <v/>
      </c>
      <c r="M1021" s="5" t="str">
        <f>_xlfn.XLOOKUP($N1021,'Base de Grupos'!$A:$A,'Base de Grupos'!$C:$C)</f>
        <v>GO</v>
      </c>
      <c r="N1021" s="3">
        <v>1521</v>
      </c>
      <c r="O1021" s="4" t="s">
        <v>280</v>
      </c>
      <c r="P1021" s="5" t="s">
        <v>89</v>
      </c>
      <c r="Q1021" s="56">
        <v>0</v>
      </c>
      <c r="R1021" s="56">
        <v>0</v>
      </c>
      <c r="S1021" s="56">
        <v>0</v>
      </c>
      <c r="T1021" s="56">
        <f>_xlfn.XLOOKUP($N1021,'Calculo Leads Conveniencia'!$A$77:$A$104,'Calculo Leads Conveniencia'!G$77:G$104)*_xlfn.XLOOKUP($P1021,'Base Grupo de Produtos'!$E$23:$E$39,'Base Grupo de Produtos'!$F$23:$F$39)</f>
        <v>0</v>
      </c>
      <c r="U1021" s="56">
        <f>_xlfn.XLOOKUP($N1021,'Calculo Leads Conveniencia'!$A$77:$A$104,'Calculo Leads Conveniencia'!H$77:H$104)*_xlfn.XLOOKUP($P1021,'Base Grupo de Produtos'!$E$23:$E$39,'Base Grupo de Produtos'!$F$23:$F$39)</f>
        <v>0</v>
      </c>
      <c r="V1021" s="56">
        <f>_xlfn.XLOOKUP($N1021,'Calculo Leads Conveniencia'!$A$77:$A$104,'Calculo Leads Conveniencia'!I$77:I$104)*_xlfn.XLOOKUP($P1021,'Base Grupo de Produtos'!$E$23:$E$39,'Base Grupo de Produtos'!$F$23:$F$39)</f>
        <v>0</v>
      </c>
      <c r="W1021" s="56">
        <f>_xlfn.XLOOKUP($N1021,'Calculo Leads Conveniencia'!$A$77:$A$104,'Calculo Leads Conveniencia'!J$77:J$104)*_xlfn.XLOOKUP($P1021,'Base Grupo de Produtos'!$E$23:$E$39,'Base Grupo de Produtos'!$F$23:$F$39)</f>
        <v>0</v>
      </c>
      <c r="X1021" s="56">
        <f>_xlfn.XLOOKUP($N1021,'Calculo Leads Conveniencia'!$A$77:$A$104,'Calculo Leads Conveniencia'!K$77:K$104)*_xlfn.XLOOKUP($P1021,'Base Grupo de Produtos'!$E$23:$E$39,'Base Grupo de Produtos'!$F$23:$F$39)</f>
        <v>0</v>
      </c>
      <c r="Y1021" s="56">
        <f>_xlfn.XLOOKUP($N1021,'Calculo Leads Conveniencia'!$A$77:$A$104,'Calculo Leads Conveniencia'!L$77:L$104)*_xlfn.XLOOKUP($P1021,'Base Grupo de Produtos'!$E$23:$E$39,'Base Grupo de Produtos'!$F$23:$F$39)</f>
        <v>0</v>
      </c>
      <c r="Z1021" s="56">
        <f>_xlfn.XLOOKUP($N1021,'Calculo Leads Conveniencia'!$A$77:$A$104,'Calculo Leads Conveniencia'!M$77:M$104)*_xlfn.XLOOKUP($P1021,'Base Grupo de Produtos'!$E$23:$E$39,'Base Grupo de Produtos'!$F$23:$F$39)</f>
        <v>0</v>
      </c>
      <c r="AA1021" s="56">
        <f>_xlfn.XLOOKUP($N1021,'Calculo Leads Conveniencia'!$A$77:$A$104,'Calculo Leads Conveniencia'!N$77:N$104)*_xlfn.XLOOKUP($P1021,'Base Grupo de Produtos'!$E$23:$E$39,'Base Grupo de Produtos'!$F$23:$F$39)</f>
        <v>0</v>
      </c>
      <c r="AB1021" s="56">
        <f>_xlfn.XLOOKUP($N1021,'Calculo Leads Conveniencia'!$A$77:$A$104,'Calculo Leads Conveniencia'!O$77:O$104)*_xlfn.XLOOKUP($P1021,'Base Grupo de Produtos'!$E$23:$E$39,'Base Grupo de Produtos'!$F$23:$F$39)</f>
        <v>0</v>
      </c>
      <c r="AC1021" s="61">
        <f t="shared" si="948"/>
        <v>0</v>
      </c>
      <c r="AD1021" s="28"/>
      <c r="AE1021" s="12"/>
      <c r="AF1021" s="29"/>
      <c r="AG1021" s="9"/>
      <c r="AH1021" s="10"/>
      <c r="AI1021" s="9"/>
      <c r="AJ1021" s="11"/>
      <c r="AK1021" s="9"/>
      <c r="AL1021" s="13"/>
      <c r="AM1021" s="9"/>
    </row>
    <row r="1022" spans="1:39" x14ac:dyDescent="0.3">
      <c r="A1022" s="2" t="str">
        <f t="shared" si="962"/>
        <v>NÃO</v>
      </c>
      <c r="B1022" s="2" t="str">
        <f>_xlfn.XLOOKUP($N1022,'Base de Grupos'!$A:$A,'Base de Grupos'!$D:$D)</f>
        <v>1000065763</v>
      </c>
      <c r="C1022" s="5" t="str">
        <f>_xlfn.XLOOKUP($N1022,'Base de Grupos'!$A:$A,'Base de Grupos'!$E:$E)</f>
        <v>CANAL VENDA INTERNA</v>
      </c>
      <c r="D1022" s="5" t="str">
        <f>_xlfn.XLOOKUP($N1022,'Base de Grupos'!$A:$A,'Base de Grupos'!$F:$F)</f>
        <v>1000065763</v>
      </c>
      <c r="E1022" s="2" t="str">
        <f>_xlfn.XLOOKUP($N1022,'Base de Grupos'!$A:$A,'Base de Grupos'!$G:$G)</f>
        <v>CANAL VENDA INTERNA</v>
      </c>
      <c r="F1022" s="2" t="str">
        <f>_xlfn.XLOOKUP($N1022,'Base de Grupos'!$A:$A,'Base de Grupos'!$H:$H)</f>
        <v>1000174119</v>
      </c>
      <c r="G1022" s="5" t="str">
        <f>_xlfn.XLOOKUP($N1022,'Base de Grupos'!$A:$A,'Base de Grupos'!$I:$I)</f>
        <v>REGIONAL VENDA INTERNA - CONVENIENCIA</v>
      </c>
      <c r="H1022" s="5" t="str">
        <f>_xlfn.XLOOKUP($N1022,'Base de Grupos'!$A:$A,'Base de Grupos'!$J:$J)</f>
        <v>1000174119</v>
      </c>
      <c r="I1022" s="2" t="str">
        <f>_xlfn.XLOOKUP($N1022,'Base de Grupos'!$A:$A,'Base de Grupos'!$K:$K)</f>
        <v>REGIONAL VENDA INTERNA - CONVENIENCIA</v>
      </c>
      <c r="J1022" s="2" t="str">
        <f>_xlfn.XLOOKUP($N1022,'Base de Grupos'!$A:$A,'Base de Grupos'!$L:$L)</f>
        <v>1000174119</v>
      </c>
      <c r="K1022" s="5" t="str">
        <f>_xlfn.XLOOKUP($N1022,'Base de Grupos'!$A:$A,'Base de Grupos'!$M:$M)</f>
        <v>REGIONAL VENDA INTERNA - CONVENIENCIA</v>
      </c>
      <c r="L1022" s="5" t="str">
        <f t="shared" si="963"/>
        <v/>
      </c>
      <c r="M1022" s="5" t="str">
        <f>_xlfn.XLOOKUP($N1022,'Base de Grupos'!$A:$A,'Base de Grupos'!$C:$C)</f>
        <v>GO</v>
      </c>
      <c r="N1022" s="3">
        <v>1521</v>
      </c>
      <c r="O1022" s="4" t="s">
        <v>280</v>
      </c>
      <c r="P1022" s="5" t="s">
        <v>88</v>
      </c>
      <c r="Q1022" s="56">
        <v>0</v>
      </c>
      <c r="R1022" s="56">
        <v>0</v>
      </c>
      <c r="S1022" s="56">
        <v>0</v>
      </c>
      <c r="T1022" s="56">
        <f>_xlfn.XLOOKUP($N1022,'Calculo Leads Conveniencia'!$A$77:$A$104,'Calculo Leads Conveniencia'!G$77:G$104)*_xlfn.XLOOKUP($P1022,'Base Grupo de Produtos'!$E$23:$E$39,'Base Grupo de Produtos'!$F$23:$F$39)</f>
        <v>0</v>
      </c>
      <c r="U1022" s="56">
        <f>_xlfn.XLOOKUP($N1022,'Calculo Leads Conveniencia'!$A$77:$A$104,'Calculo Leads Conveniencia'!H$77:H$104)*_xlfn.XLOOKUP($P1022,'Base Grupo de Produtos'!$E$23:$E$39,'Base Grupo de Produtos'!$F$23:$F$39)</f>
        <v>0</v>
      </c>
      <c r="V1022" s="56">
        <f>_xlfn.XLOOKUP($N1022,'Calculo Leads Conveniencia'!$A$77:$A$104,'Calculo Leads Conveniencia'!I$77:I$104)*_xlfn.XLOOKUP($P1022,'Base Grupo de Produtos'!$E$23:$E$39,'Base Grupo de Produtos'!$F$23:$F$39)</f>
        <v>0</v>
      </c>
      <c r="W1022" s="56">
        <f>_xlfn.XLOOKUP($N1022,'Calculo Leads Conveniencia'!$A$77:$A$104,'Calculo Leads Conveniencia'!J$77:J$104)*_xlfn.XLOOKUP($P1022,'Base Grupo de Produtos'!$E$23:$E$39,'Base Grupo de Produtos'!$F$23:$F$39)</f>
        <v>0</v>
      </c>
      <c r="X1022" s="56">
        <f>_xlfn.XLOOKUP($N1022,'Calculo Leads Conveniencia'!$A$77:$A$104,'Calculo Leads Conveniencia'!K$77:K$104)*_xlfn.XLOOKUP($P1022,'Base Grupo de Produtos'!$E$23:$E$39,'Base Grupo de Produtos'!$F$23:$F$39)</f>
        <v>0</v>
      </c>
      <c r="Y1022" s="56">
        <f>_xlfn.XLOOKUP($N1022,'Calculo Leads Conveniencia'!$A$77:$A$104,'Calculo Leads Conveniencia'!L$77:L$104)*_xlfn.XLOOKUP($P1022,'Base Grupo de Produtos'!$E$23:$E$39,'Base Grupo de Produtos'!$F$23:$F$39)</f>
        <v>0</v>
      </c>
      <c r="Z1022" s="56">
        <f>_xlfn.XLOOKUP($N1022,'Calculo Leads Conveniencia'!$A$77:$A$104,'Calculo Leads Conveniencia'!M$77:M$104)*_xlfn.XLOOKUP($P1022,'Base Grupo de Produtos'!$E$23:$E$39,'Base Grupo de Produtos'!$F$23:$F$39)</f>
        <v>0</v>
      </c>
      <c r="AA1022" s="56">
        <f>_xlfn.XLOOKUP($N1022,'Calculo Leads Conveniencia'!$A$77:$A$104,'Calculo Leads Conveniencia'!N$77:N$104)*_xlfn.XLOOKUP($P1022,'Base Grupo de Produtos'!$E$23:$E$39,'Base Grupo de Produtos'!$F$23:$F$39)</f>
        <v>0</v>
      </c>
      <c r="AB1022" s="56">
        <f>_xlfn.XLOOKUP($N1022,'Calculo Leads Conveniencia'!$A$77:$A$104,'Calculo Leads Conveniencia'!O$77:O$104)*_xlfn.XLOOKUP($P1022,'Base Grupo de Produtos'!$E$23:$E$39,'Base Grupo de Produtos'!$F$23:$F$39)</f>
        <v>0</v>
      </c>
      <c r="AC1022" s="61">
        <f t="shared" si="948"/>
        <v>0</v>
      </c>
      <c r="AD1022" s="28"/>
      <c r="AE1022" s="12"/>
      <c r="AF1022" s="29"/>
      <c r="AG1022" s="9"/>
      <c r="AH1022" s="10"/>
      <c r="AI1022" s="9"/>
      <c r="AJ1022" s="11"/>
      <c r="AK1022" s="9"/>
      <c r="AL1022" s="13"/>
      <c r="AM1022" s="9"/>
    </row>
    <row r="1023" spans="1:39" x14ac:dyDescent="0.3">
      <c r="A1023" s="2" t="str">
        <f t="shared" si="962"/>
        <v>NÃO</v>
      </c>
      <c r="B1023" s="2" t="str">
        <f>_xlfn.XLOOKUP($N1023,'Base de Grupos'!$A:$A,'Base de Grupos'!$D:$D)</f>
        <v>1000065763</v>
      </c>
      <c r="C1023" s="5" t="str">
        <f>_xlfn.XLOOKUP($N1023,'Base de Grupos'!$A:$A,'Base de Grupos'!$E:$E)</f>
        <v>CANAL VENDA INTERNA</v>
      </c>
      <c r="D1023" s="5" t="str">
        <f>_xlfn.XLOOKUP($N1023,'Base de Grupos'!$A:$A,'Base de Grupos'!$F:$F)</f>
        <v>1000065763</v>
      </c>
      <c r="E1023" s="2" t="str">
        <f>_xlfn.XLOOKUP($N1023,'Base de Grupos'!$A:$A,'Base de Grupos'!$G:$G)</f>
        <v>CANAL VENDA INTERNA</v>
      </c>
      <c r="F1023" s="2" t="str">
        <f>_xlfn.XLOOKUP($N1023,'Base de Grupos'!$A:$A,'Base de Grupos'!$H:$H)</f>
        <v>1000174119</v>
      </c>
      <c r="G1023" s="5" t="str">
        <f>_xlfn.XLOOKUP($N1023,'Base de Grupos'!$A:$A,'Base de Grupos'!$I:$I)</f>
        <v>REGIONAL VENDA INTERNA - CONVENIENCIA</v>
      </c>
      <c r="H1023" s="5" t="str">
        <f>_xlfn.XLOOKUP($N1023,'Base de Grupos'!$A:$A,'Base de Grupos'!$J:$J)</f>
        <v>1000174119</v>
      </c>
      <c r="I1023" s="2" t="str">
        <f>_xlfn.XLOOKUP($N1023,'Base de Grupos'!$A:$A,'Base de Grupos'!$K:$K)</f>
        <v>REGIONAL VENDA INTERNA - CONVENIENCIA</v>
      </c>
      <c r="J1023" s="2" t="str">
        <f>_xlfn.XLOOKUP($N1023,'Base de Grupos'!$A:$A,'Base de Grupos'!$L:$L)</f>
        <v>1000174119</v>
      </c>
      <c r="K1023" s="5" t="str">
        <f>_xlfn.XLOOKUP($N1023,'Base de Grupos'!$A:$A,'Base de Grupos'!$M:$M)</f>
        <v>REGIONAL VENDA INTERNA - CONVENIENCIA</v>
      </c>
      <c r="L1023" s="5" t="str">
        <f t="shared" si="963"/>
        <v/>
      </c>
      <c r="M1023" s="5" t="str">
        <f>_xlfn.XLOOKUP($N1023,'Base de Grupos'!$A:$A,'Base de Grupos'!$C:$C)</f>
        <v>GO</v>
      </c>
      <c r="N1023" s="3">
        <v>1521</v>
      </c>
      <c r="O1023" s="4" t="s">
        <v>280</v>
      </c>
      <c r="P1023" s="5" t="s">
        <v>90</v>
      </c>
      <c r="Q1023" s="56">
        <v>0</v>
      </c>
      <c r="R1023" s="56">
        <v>0</v>
      </c>
      <c r="S1023" s="56">
        <v>0</v>
      </c>
      <c r="T1023" s="56">
        <f>_xlfn.XLOOKUP($N1023,'Calculo Leads Conveniencia'!$A$77:$A$104,'Calculo Leads Conveniencia'!G$77:G$104)*_xlfn.XLOOKUP($P1023,'Base Grupo de Produtos'!$E$23:$E$39,'Base Grupo de Produtos'!$F$23:$F$39)</f>
        <v>0</v>
      </c>
      <c r="U1023" s="56">
        <f>_xlfn.XLOOKUP($N1023,'Calculo Leads Conveniencia'!$A$77:$A$104,'Calculo Leads Conveniencia'!H$77:H$104)*_xlfn.XLOOKUP($P1023,'Base Grupo de Produtos'!$E$23:$E$39,'Base Grupo de Produtos'!$F$23:$F$39)</f>
        <v>0</v>
      </c>
      <c r="V1023" s="56">
        <f>_xlfn.XLOOKUP($N1023,'Calculo Leads Conveniencia'!$A$77:$A$104,'Calculo Leads Conveniencia'!I$77:I$104)*_xlfn.XLOOKUP($P1023,'Base Grupo de Produtos'!$E$23:$E$39,'Base Grupo de Produtos'!$F$23:$F$39)</f>
        <v>0</v>
      </c>
      <c r="W1023" s="56">
        <f>_xlfn.XLOOKUP($N1023,'Calculo Leads Conveniencia'!$A$77:$A$104,'Calculo Leads Conveniencia'!J$77:J$104)*_xlfn.XLOOKUP($P1023,'Base Grupo de Produtos'!$E$23:$E$39,'Base Grupo de Produtos'!$F$23:$F$39)</f>
        <v>0</v>
      </c>
      <c r="X1023" s="56">
        <f>_xlfn.XLOOKUP($N1023,'Calculo Leads Conveniencia'!$A$77:$A$104,'Calculo Leads Conveniencia'!K$77:K$104)*_xlfn.XLOOKUP($P1023,'Base Grupo de Produtos'!$E$23:$E$39,'Base Grupo de Produtos'!$F$23:$F$39)</f>
        <v>0</v>
      </c>
      <c r="Y1023" s="56">
        <f>_xlfn.XLOOKUP($N1023,'Calculo Leads Conveniencia'!$A$77:$A$104,'Calculo Leads Conveniencia'!L$77:L$104)*_xlfn.XLOOKUP($P1023,'Base Grupo de Produtos'!$E$23:$E$39,'Base Grupo de Produtos'!$F$23:$F$39)</f>
        <v>0</v>
      </c>
      <c r="Z1023" s="56">
        <f>_xlfn.XLOOKUP($N1023,'Calculo Leads Conveniencia'!$A$77:$A$104,'Calculo Leads Conveniencia'!M$77:M$104)*_xlfn.XLOOKUP($P1023,'Base Grupo de Produtos'!$E$23:$E$39,'Base Grupo de Produtos'!$F$23:$F$39)</f>
        <v>0</v>
      </c>
      <c r="AA1023" s="56">
        <f>_xlfn.XLOOKUP($N1023,'Calculo Leads Conveniencia'!$A$77:$A$104,'Calculo Leads Conveniencia'!N$77:N$104)*_xlfn.XLOOKUP($P1023,'Base Grupo de Produtos'!$E$23:$E$39,'Base Grupo de Produtos'!$F$23:$F$39)</f>
        <v>0</v>
      </c>
      <c r="AB1023" s="56">
        <f>_xlfn.XLOOKUP($N1023,'Calculo Leads Conveniencia'!$A$77:$A$104,'Calculo Leads Conveniencia'!O$77:O$104)*_xlfn.XLOOKUP($P1023,'Base Grupo de Produtos'!$E$23:$E$39,'Base Grupo de Produtos'!$F$23:$F$39)</f>
        <v>0</v>
      </c>
      <c r="AC1023" s="61">
        <f t="shared" si="948"/>
        <v>0</v>
      </c>
      <c r="AD1023" s="28"/>
      <c r="AE1023" s="12"/>
      <c r="AF1023" s="29"/>
      <c r="AG1023" s="9"/>
      <c r="AH1023" s="10"/>
      <c r="AI1023" s="9"/>
      <c r="AJ1023" s="11"/>
      <c r="AK1023" s="9"/>
      <c r="AL1023" s="13"/>
      <c r="AM1023" s="9"/>
    </row>
    <row r="1024" spans="1:39" x14ac:dyDescent="0.3">
      <c r="A1024" s="2" t="str">
        <f t="shared" si="962"/>
        <v>NÃO</v>
      </c>
      <c r="B1024" s="2" t="str">
        <f>_xlfn.XLOOKUP($N1024,'Base de Grupos'!$A:$A,'Base de Grupos'!$D:$D)</f>
        <v>1000065763</v>
      </c>
      <c r="C1024" s="5" t="str">
        <f>_xlfn.XLOOKUP($N1024,'Base de Grupos'!$A:$A,'Base de Grupos'!$E:$E)</f>
        <v>CANAL VENDA INTERNA</v>
      </c>
      <c r="D1024" s="5" t="str">
        <f>_xlfn.XLOOKUP($N1024,'Base de Grupos'!$A:$A,'Base de Grupos'!$F:$F)</f>
        <v>1000065763</v>
      </c>
      <c r="E1024" s="2" t="str">
        <f>_xlfn.XLOOKUP($N1024,'Base de Grupos'!$A:$A,'Base de Grupos'!$G:$G)</f>
        <v>CANAL VENDA INTERNA</v>
      </c>
      <c r="F1024" s="2" t="str">
        <f>_xlfn.XLOOKUP($N1024,'Base de Grupos'!$A:$A,'Base de Grupos'!$H:$H)</f>
        <v>1000174119</v>
      </c>
      <c r="G1024" s="5" t="str">
        <f>_xlfn.XLOOKUP($N1024,'Base de Grupos'!$A:$A,'Base de Grupos'!$I:$I)</f>
        <v>REGIONAL VENDA INTERNA - CONVENIENCIA</v>
      </c>
      <c r="H1024" s="5" t="str">
        <f>_xlfn.XLOOKUP($N1024,'Base de Grupos'!$A:$A,'Base de Grupos'!$J:$J)</f>
        <v>1000174119</v>
      </c>
      <c r="I1024" s="2" t="str">
        <f>_xlfn.XLOOKUP($N1024,'Base de Grupos'!$A:$A,'Base de Grupos'!$K:$K)</f>
        <v>REGIONAL VENDA INTERNA - CONVENIENCIA</v>
      </c>
      <c r="J1024" s="2" t="str">
        <f>_xlfn.XLOOKUP($N1024,'Base de Grupos'!$A:$A,'Base de Grupos'!$L:$L)</f>
        <v>1000174119</v>
      </c>
      <c r="K1024" s="5" t="str">
        <f>_xlfn.XLOOKUP($N1024,'Base de Grupos'!$A:$A,'Base de Grupos'!$M:$M)</f>
        <v>REGIONAL VENDA INTERNA - CONVENIENCIA</v>
      </c>
      <c r="L1024" s="5" t="str">
        <f t="shared" si="963"/>
        <v/>
      </c>
      <c r="M1024" s="5" t="str">
        <f>_xlfn.XLOOKUP($N1024,'Base de Grupos'!$A:$A,'Base de Grupos'!$C:$C)</f>
        <v>GO</v>
      </c>
      <c r="N1024" s="3">
        <v>1521</v>
      </c>
      <c r="O1024" s="4" t="s">
        <v>280</v>
      </c>
      <c r="P1024" s="5" t="s">
        <v>91</v>
      </c>
      <c r="Q1024" s="56">
        <v>0</v>
      </c>
      <c r="R1024" s="56">
        <v>0</v>
      </c>
      <c r="S1024" s="56">
        <v>0</v>
      </c>
      <c r="T1024" s="56">
        <f>_xlfn.XLOOKUP($N1024,'Calculo Leads Conveniencia'!$A$77:$A$104,'Calculo Leads Conveniencia'!G$77:G$104)*_xlfn.XLOOKUP($P1024,'Base Grupo de Produtos'!$E$23:$E$39,'Base Grupo de Produtos'!$F$23:$F$39)</f>
        <v>0</v>
      </c>
      <c r="U1024" s="56">
        <f>_xlfn.XLOOKUP($N1024,'Calculo Leads Conveniencia'!$A$77:$A$104,'Calculo Leads Conveniencia'!H$77:H$104)*_xlfn.XLOOKUP($P1024,'Base Grupo de Produtos'!$E$23:$E$39,'Base Grupo de Produtos'!$F$23:$F$39)</f>
        <v>0</v>
      </c>
      <c r="V1024" s="56">
        <f>_xlfn.XLOOKUP($N1024,'Calculo Leads Conveniencia'!$A$77:$A$104,'Calculo Leads Conveniencia'!I$77:I$104)*_xlfn.XLOOKUP($P1024,'Base Grupo de Produtos'!$E$23:$E$39,'Base Grupo de Produtos'!$F$23:$F$39)</f>
        <v>0</v>
      </c>
      <c r="W1024" s="56">
        <f>_xlfn.XLOOKUP($N1024,'Calculo Leads Conveniencia'!$A$77:$A$104,'Calculo Leads Conveniencia'!J$77:J$104)*_xlfn.XLOOKUP($P1024,'Base Grupo de Produtos'!$E$23:$E$39,'Base Grupo de Produtos'!$F$23:$F$39)</f>
        <v>0</v>
      </c>
      <c r="X1024" s="56">
        <f>_xlfn.XLOOKUP($N1024,'Calculo Leads Conveniencia'!$A$77:$A$104,'Calculo Leads Conveniencia'!K$77:K$104)*_xlfn.XLOOKUP($P1024,'Base Grupo de Produtos'!$E$23:$E$39,'Base Grupo de Produtos'!$F$23:$F$39)</f>
        <v>0</v>
      </c>
      <c r="Y1024" s="56">
        <f>_xlfn.XLOOKUP($N1024,'Calculo Leads Conveniencia'!$A$77:$A$104,'Calculo Leads Conveniencia'!L$77:L$104)*_xlfn.XLOOKUP($P1024,'Base Grupo de Produtos'!$E$23:$E$39,'Base Grupo de Produtos'!$F$23:$F$39)</f>
        <v>0</v>
      </c>
      <c r="Z1024" s="56">
        <f>_xlfn.XLOOKUP($N1024,'Calculo Leads Conveniencia'!$A$77:$A$104,'Calculo Leads Conveniencia'!M$77:M$104)*_xlfn.XLOOKUP($P1024,'Base Grupo de Produtos'!$E$23:$E$39,'Base Grupo de Produtos'!$F$23:$F$39)</f>
        <v>0</v>
      </c>
      <c r="AA1024" s="56">
        <f>_xlfn.XLOOKUP($N1024,'Calculo Leads Conveniencia'!$A$77:$A$104,'Calculo Leads Conveniencia'!N$77:N$104)*_xlfn.XLOOKUP($P1024,'Base Grupo de Produtos'!$E$23:$E$39,'Base Grupo de Produtos'!$F$23:$F$39)</f>
        <v>0</v>
      </c>
      <c r="AB1024" s="56">
        <f>_xlfn.XLOOKUP($N1024,'Calculo Leads Conveniencia'!$A$77:$A$104,'Calculo Leads Conveniencia'!O$77:O$104)*_xlfn.XLOOKUP($P1024,'Base Grupo de Produtos'!$E$23:$E$39,'Base Grupo de Produtos'!$F$23:$F$39)</f>
        <v>0</v>
      </c>
      <c r="AC1024" s="61">
        <f t="shared" si="948"/>
        <v>0</v>
      </c>
      <c r="AD1024" s="28"/>
      <c r="AE1024" s="12"/>
      <c r="AF1024" s="29"/>
      <c r="AG1024" s="9"/>
      <c r="AH1024" s="10"/>
      <c r="AI1024" s="9"/>
      <c r="AJ1024" s="11"/>
      <c r="AK1024" s="9"/>
      <c r="AL1024" s="13"/>
      <c r="AM1024" s="9"/>
    </row>
    <row r="1025" spans="1:39" x14ac:dyDescent="0.3">
      <c r="A1025" s="2" t="str">
        <f t="shared" si="962"/>
        <v>NÃO</v>
      </c>
      <c r="B1025" s="2" t="str">
        <f>_xlfn.XLOOKUP($N1025,'Base de Grupos'!$A:$A,'Base de Grupos'!$D:$D)</f>
        <v>1000065763</v>
      </c>
      <c r="C1025" s="5" t="str">
        <f>_xlfn.XLOOKUP($N1025,'Base de Grupos'!$A:$A,'Base de Grupos'!$E:$E)</f>
        <v>CANAL VENDA INTERNA</v>
      </c>
      <c r="D1025" s="5" t="str">
        <f>_xlfn.XLOOKUP($N1025,'Base de Grupos'!$A:$A,'Base de Grupos'!$F:$F)</f>
        <v>1000065763</v>
      </c>
      <c r="E1025" s="2" t="str">
        <f>_xlfn.XLOOKUP($N1025,'Base de Grupos'!$A:$A,'Base de Grupos'!$G:$G)</f>
        <v>CANAL VENDA INTERNA</v>
      </c>
      <c r="F1025" s="2" t="str">
        <f>_xlfn.XLOOKUP($N1025,'Base de Grupos'!$A:$A,'Base de Grupos'!$H:$H)</f>
        <v>1000174119</v>
      </c>
      <c r="G1025" s="5" t="str">
        <f>_xlfn.XLOOKUP($N1025,'Base de Grupos'!$A:$A,'Base de Grupos'!$I:$I)</f>
        <v>REGIONAL VENDA INTERNA - CONVENIENCIA</v>
      </c>
      <c r="H1025" s="5" t="str">
        <f>_xlfn.XLOOKUP($N1025,'Base de Grupos'!$A:$A,'Base de Grupos'!$J:$J)</f>
        <v>1000174119</v>
      </c>
      <c r="I1025" s="2" t="str">
        <f>_xlfn.XLOOKUP($N1025,'Base de Grupos'!$A:$A,'Base de Grupos'!$K:$K)</f>
        <v>REGIONAL VENDA INTERNA - CONVENIENCIA</v>
      </c>
      <c r="J1025" s="2" t="str">
        <f>_xlfn.XLOOKUP($N1025,'Base de Grupos'!$A:$A,'Base de Grupos'!$L:$L)</f>
        <v>1000174119</v>
      </c>
      <c r="K1025" s="5" t="str">
        <f>_xlfn.XLOOKUP($N1025,'Base de Grupos'!$A:$A,'Base de Grupos'!$M:$M)</f>
        <v>REGIONAL VENDA INTERNA - CONVENIENCIA</v>
      </c>
      <c r="L1025" s="5" t="str">
        <f t="shared" si="963"/>
        <v/>
      </c>
      <c r="M1025" s="5" t="str">
        <f>_xlfn.XLOOKUP($N1025,'Base de Grupos'!$A:$A,'Base de Grupos'!$C:$C)</f>
        <v>GO</v>
      </c>
      <c r="N1025" s="3">
        <v>1521</v>
      </c>
      <c r="O1025" s="4" t="s">
        <v>280</v>
      </c>
      <c r="P1025" s="5" t="s">
        <v>96</v>
      </c>
      <c r="Q1025" s="56">
        <v>0</v>
      </c>
      <c r="R1025" s="56">
        <v>0</v>
      </c>
      <c r="S1025" s="56">
        <v>0</v>
      </c>
      <c r="T1025" s="56">
        <f>_xlfn.XLOOKUP($N1025,'Calculo Leads Conveniencia'!$A$77:$A$104,'Calculo Leads Conveniencia'!G$77:G$104)*_xlfn.XLOOKUP($P1025,'Base Grupo de Produtos'!$E$23:$E$39,'Base Grupo de Produtos'!$F$23:$F$39)</f>
        <v>0</v>
      </c>
      <c r="U1025" s="56">
        <f>_xlfn.XLOOKUP($N1025,'Calculo Leads Conveniencia'!$A$77:$A$104,'Calculo Leads Conveniencia'!H$77:H$104)*_xlfn.XLOOKUP($P1025,'Base Grupo de Produtos'!$E$23:$E$39,'Base Grupo de Produtos'!$F$23:$F$39)</f>
        <v>0</v>
      </c>
      <c r="V1025" s="56">
        <f>_xlfn.XLOOKUP($N1025,'Calculo Leads Conveniencia'!$A$77:$A$104,'Calculo Leads Conveniencia'!I$77:I$104)*_xlfn.XLOOKUP($P1025,'Base Grupo de Produtos'!$E$23:$E$39,'Base Grupo de Produtos'!$F$23:$F$39)</f>
        <v>0</v>
      </c>
      <c r="W1025" s="56">
        <f>_xlfn.XLOOKUP($N1025,'Calculo Leads Conveniencia'!$A$77:$A$104,'Calculo Leads Conveniencia'!J$77:J$104)*_xlfn.XLOOKUP($P1025,'Base Grupo de Produtos'!$E$23:$E$39,'Base Grupo de Produtos'!$F$23:$F$39)</f>
        <v>0</v>
      </c>
      <c r="X1025" s="56">
        <f>_xlfn.XLOOKUP($N1025,'Calculo Leads Conveniencia'!$A$77:$A$104,'Calculo Leads Conveniencia'!K$77:K$104)*_xlfn.XLOOKUP($P1025,'Base Grupo de Produtos'!$E$23:$E$39,'Base Grupo de Produtos'!$F$23:$F$39)</f>
        <v>0</v>
      </c>
      <c r="Y1025" s="56">
        <f>_xlfn.XLOOKUP($N1025,'Calculo Leads Conveniencia'!$A$77:$A$104,'Calculo Leads Conveniencia'!L$77:L$104)*_xlfn.XLOOKUP($P1025,'Base Grupo de Produtos'!$E$23:$E$39,'Base Grupo de Produtos'!$F$23:$F$39)</f>
        <v>0</v>
      </c>
      <c r="Z1025" s="56">
        <f>_xlfn.XLOOKUP($N1025,'Calculo Leads Conveniencia'!$A$77:$A$104,'Calculo Leads Conveniencia'!M$77:M$104)*_xlfn.XLOOKUP($P1025,'Base Grupo de Produtos'!$E$23:$E$39,'Base Grupo de Produtos'!$F$23:$F$39)</f>
        <v>0</v>
      </c>
      <c r="AA1025" s="56">
        <f>_xlfn.XLOOKUP($N1025,'Calculo Leads Conveniencia'!$A$77:$A$104,'Calculo Leads Conveniencia'!N$77:N$104)*_xlfn.XLOOKUP($P1025,'Base Grupo de Produtos'!$E$23:$E$39,'Base Grupo de Produtos'!$F$23:$F$39)</f>
        <v>0</v>
      </c>
      <c r="AB1025" s="56">
        <f>_xlfn.XLOOKUP($N1025,'Calculo Leads Conveniencia'!$A$77:$A$104,'Calculo Leads Conveniencia'!O$77:O$104)*_xlfn.XLOOKUP($P1025,'Base Grupo de Produtos'!$E$23:$E$39,'Base Grupo de Produtos'!$F$23:$F$39)</f>
        <v>0</v>
      </c>
      <c r="AC1025" s="61">
        <f t="shared" si="948"/>
        <v>0</v>
      </c>
      <c r="AD1025" s="28"/>
      <c r="AE1025" s="12"/>
      <c r="AF1025" s="29"/>
      <c r="AG1025" s="9"/>
      <c r="AH1025" s="10"/>
      <c r="AI1025" s="9"/>
      <c r="AJ1025" s="11"/>
      <c r="AK1025" s="9"/>
      <c r="AL1025" s="13"/>
      <c r="AM1025" s="9"/>
    </row>
    <row r="1026" spans="1:39" x14ac:dyDescent="0.3">
      <c r="A1026" s="2" t="str">
        <f t="shared" si="962"/>
        <v>NÃO</v>
      </c>
      <c r="B1026" s="2" t="str">
        <f>_xlfn.XLOOKUP($N1026,'Base de Grupos'!$A:$A,'Base de Grupos'!$D:$D)</f>
        <v>1000065763</v>
      </c>
      <c r="C1026" s="5" t="str">
        <f>_xlfn.XLOOKUP($N1026,'Base de Grupos'!$A:$A,'Base de Grupos'!$E:$E)</f>
        <v>CANAL VENDA INTERNA</v>
      </c>
      <c r="D1026" s="5" t="str">
        <f>_xlfn.XLOOKUP($N1026,'Base de Grupos'!$A:$A,'Base de Grupos'!$F:$F)</f>
        <v>1000065763</v>
      </c>
      <c r="E1026" s="2" t="str">
        <f>_xlfn.XLOOKUP($N1026,'Base de Grupos'!$A:$A,'Base de Grupos'!$G:$G)</f>
        <v>CANAL VENDA INTERNA</v>
      </c>
      <c r="F1026" s="2" t="str">
        <f>_xlfn.XLOOKUP($N1026,'Base de Grupos'!$A:$A,'Base de Grupos'!$H:$H)</f>
        <v>1000174119</v>
      </c>
      <c r="G1026" s="5" t="str">
        <f>_xlfn.XLOOKUP($N1026,'Base de Grupos'!$A:$A,'Base de Grupos'!$I:$I)</f>
        <v>REGIONAL VENDA INTERNA - CONVENIENCIA</v>
      </c>
      <c r="H1026" s="5" t="str">
        <f>_xlfn.XLOOKUP($N1026,'Base de Grupos'!$A:$A,'Base de Grupos'!$J:$J)</f>
        <v>1000174119</v>
      </c>
      <c r="I1026" s="2" t="str">
        <f>_xlfn.XLOOKUP($N1026,'Base de Grupos'!$A:$A,'Base de Grupos'!$K:$K)</f>
        <v>REGIONAL VENDA INTERNA - CONVENIENCIA</v>
      </c>
      <c r="J1026" s="2" t="str">
        <f>_xlfn.XLOOKUP($N1026,'Base de Grupos'!$A:$A,'Base de Grupos'!$L:$L)</f>
        <v>1000174119</v>
      </c>
      <c r="K1026" s="5" t="str">
        <f>_xlfn.XLOOKUP($N1026,'Base de Grupos'!$A:$A,'Base de Grupos'!$M:$M)</f>
        <v>REGIONAL VENDA INTERNA - CONVENIENCIA</v>
      </c>
      <c r="L1026" s="5" t="str">
        <f t="shared" si="963"/>
        <v/>
      </c>
      <c r="M1026" s="5" t="str">
        <f>_xlfn.XLOOKUP($N1026,'Base de Grupos'!$A:$A,'Base de Grupos'!$C:$C)</f>
        <v>GO</v>
      </c>
      <c r="N1026" s="3">
        <v>1521</v>
      </c>
      <c r="O1026" s="4" t="s">
        <v>280</v>
      </c>
      <c r="P1026" s="5" t="s">
        <v>94</v>
      </c>
      <c r="Q1026" s="56">
        <v>0</v>
      </c>
      <c r="R1026" s="56">
        <v>0</v>
      </c>
      <c r="S1026" s="56">
        <v>0</v>
      </c>
      <c r="T1026" s="56">
        <f>_xlfn.XLOOKUP($N1026,'Calculo Leads Conveniencia'!$A$77:$A$104,'Calculo Leads Conveniencia'!G$77:G$104)*_xlfn.XLOOKUP($P1026,'Base Grupo de Produtos'!$E$23:$E$39,'Base Grupo de Produtos'!$F$23:$F$39)</f>
        <v>0</v>
      </c>
      <c r="U1026" s="56">
        <f>_xlfn.XLOOKUP($N1026,'Calculo Leads Conveniencia'!$A$77:$A$104,'Calculo Leads Conveniencia'!H$77:H$104)*_xlfn.XLOOKUP($P1026,'Base Grupo de Produtos'!$E$23:$E$39,'Base Grupo de Produtos'!$F$23:$F$39)</f>
        <v>0</v>
      </c>
      <c r="V1026" s="56">
        <f>_xlfn.XLOOKUP($N1026,'Calculo Leads Conveniencia'!$A$77:$A$104,'Calculo Leads Conveniencia'!I$77:I$104)*_xlfn.XLOOKUP($P1026,'Base Grupo de Produtos'!$E$23:$E$39,'Base Grupo de Produtos'!$F$23:$F$39)</f>
        <v>0</v>
      </c>
      <c r="W1026" s="56">
        <f>_xlfn.XLOOKUP($N1026,'Calculo Leads Conveniencia'!$A$77:$A$104,'Calculo Leads Conveniencia'!J$77:J$104)*_xlfn.XLOOKUP($P1026,'Base Grupo de Produtos'!$E$23:$E$39,'Base Grupo de Produtos'!$F$23:$F$39)</f>
        <v>0</v>
      </c>
      <c r="X1026" s="56">
        <f>_xlfn.XLOOKUP($N1026,'Calculo Leads Conveniencia'!$A$77:$A$104,'Calculo Leads Conveniencia'!K$77:K$104)*_xlfn.XLOOKUP($P1026,'Base Grupo de Produtos'!$E$23:$E$39,'Base Grupo de Produtos'!$F$23:$F$39)</f>
        <v>0</v>
      </c>
      <c r="Y1026" s="56">
        <f>_xlfn.XLOOKUP($N1026,'Calculo Leads Conveniencia'!$A$77:$A$104,'Calculo Leads Conveniencia'!L$77:L$104)*_xlfn.XLOOKUP($P1026,'Base Grupo de Produtos'!$E$23:$E$39,'Base Grupo de Produtos'!$F$23:$F$39)</f>
        <v>0</v>
      </c>
      <c r="Z1026" s="56">
        <f>_xlfn.XLOOKUP($N1026,'Calculo Leads Conveniencia'!$A$77:$A$104,'Calculo Leads Conveniencia'!M$77:M$104)*_xlfn.XLOOKUP($P1026,'Base Grupo de Produtos'!$E$23:$E$39,'Base Grupo de Produtos'!$F$23:$F$39)</f>
        <v>0</v>
      </c>
      <c r="AA1026" s="56">
        <f>_xlfn.XLOOKUP($N1026,'Calculo Leads Conveniencia'!$A$77:$A$104,'Calculo Leads Conveniencia'!N$77:N$104)*_xlfn.XLOOKUP($P1026,'Base Grupo de Produtos'!$E$23:$E$39,'Base Grupo de Produtos'!$F$23:$F$39)</f>
        <v>0</v>
      </c>
      <c r="AB1026" s="56">
        <f>_xlfn.XLOOKUP($N1026,'Calculo Leads Conveniencia'!$A$77:$A$104,'Calculo Leads Conveniencia'!O$77:O$104)*_xlfn.XLOOKUP($P1026,'Base Grupo de Produtos'!$E$23:$E$39,'Base Grupo de Produtos'!$F$23:$F$39)</f>
        <v>0</v>
      </c>
      <c r="AC1026" s="61">
        <f t="shared" si="948"/>
        <v>0</v>
      </c>
      <c r="AD1026" s="28"/>
      <c r="AE1026" s="12"/>
      <c r="AF1026" s="29"/>
      <c r="AG1026" s="9"/>
      <c r="AH1026" s="10"/>
      <c r="AI1026" s="9"/>
      <c r="AJ1026" s="11"/>
      <c r="AK1026" s="9"/>
      <c r="AL1026" s="13"/>
      <c r="AM1026" s="9"/>
    </row>
    <row r="1027" spans="1:39" x14ac:dyDescent="0.3">
      <c r="A1027" s="2" t="str">
        <f t="shared" si="962"/>
        <v>NÃO</v>
      </c>
      <c r="B1027" s="2" t="str">
        <f>_xlfn.XLOOKUP($N1027,'Base de Grupos'!$A:$A,'Base de Grupos'!$D:$D)</f>
        <v>1000065763</v>
      </c>
      <c r="C1027" s="5" t="str">
        <f>_xlfn.XLOOKUP($N1027,'Base de Grupos'!$A:$A,'Base de Grupos'!$E:$E)</f>
        <v>CANAL VENDA INTERNA</v>
      </c>
      <c r="D1027" s="5" t="str">
        <f>_xlfn.XLOOKUP($N1027,'Base de Grupos'!$A:$A,'Base de Grupos'!$F:$F)</f>
        <v>1000065763</v>
      </c>
      <c r="E1027" s="2" t="str">
        <f>_xlfn.XLOOKUP($N1027,'Base de Grupos'!$A:$A,'Base de Grupos'!$G:$G)</f>
        <v>CANAL VENDA INTERNA</v>
      </c>
      <c r="F1027" s="2" t="str">
        <f>_xlfn.XLOOKUP($N1027,'Base de Grupos'!$A:$A,'Base de Grupos'!$H:$H)</f>
        <v>1000174119</v>
      </c>
      <c r="G1027" s="5" t="str">
        <f>_xlfn.XLOOKUP($N1027,'Base de Grupos'!$A:$A,'Base de Grupos'!$I:$I)</f>
        <v>REGIONAL VENDA INTERNA - CONVENIENCIA</v>
      </c>
      <c r="H1027" s="5" t="str">
        <f>_xlfn.XLOOKUP($N1027,'Base de Grupos'!$A:$A,'Base de Grupos'!$J:$J)</f>
        <v>1000174119</v>
      </c>
      <c r="I1027" s="2" t="str">
        <f>_xlfn.XLOOKUP($N1027,'Base de Grupos'!$A:$A,'Base de Grupos'!$K:$K)</f>
        <v>REGIONAL VENDA INTERNA - CONVENIENCIA</v>
      </c>
      <c r="J1027" s="2" t="str">
        <f>_xlfn.XLOOKUP($N1027,'Base de Grupos'!$A:$A,'Base de Grupos'!$L:$L)</f>
        <v>1000174119</v>
      </c>
      <c r="K1027" s="5" t="str">
        <f>_xlfn.XLOOKUP($N1027,'Base de Grupos'!$A:$A,'Base de Grupos'!$M:$M)</f>
        <v>REGIONAL VENDA INTERNA - CONVENIENCIA</v>
      </c>
      <c r="L1027" s="5" t="str">
        <f t="shared" si="963"/>
        <v/>
      </c>
      <c r="M1027" s="5" t="str">
        <f>_xlfn.XLOOKUP($N1027,'Base de Grupos'!$A:$A,'Base de Grupos'!$C:$C)</f>
        <v>GO</v>
      </c>
      <c r="N1027" s="3">
        <v>1521</v>
      </c>
      <c r="O1027" s="4" t="s">
        <v>280</v>
      </c>
      <c r="P1027" s="5" t="s">
        <v>95</v>
      </c>
      <c r="Q1027" s="56">
        <v>0</v>
      </c>
      <c r="R1027" s="56">
        <v>0</v>
      </c>
      <c r="S1027" s="56">
        <v>0</v>
      </c>
      <c r="T1027" s="56">
        <f>_xlfn.XLOOKUP($N1027,'Calculo Leads Conveniencia'!$A$77:$A$104,'Calculo Leads Conveniencia'!G$77:G$104)*_xlfn.XLOOKUP($P1027,'Base Grupo de Produtos'!$E$23:$E$39,'Base Grupo de Produtos'!$F$23:$F$39)</f>
        <v>0</v>
      </c>
      <c r="U1027" s="56">
        <f>_xlfn.XLOOKUP($N1027,'Calculo Leads Conveniencia'!$A$77:$A$104,'Calculo Leads Conveniencia'!H$77:H$104)*_xlfn.XLOOKUP($P1027,'Base Grupo de Produtos'!$E$23:$E$39,'Base Grupo de Produtos'!$F$23:$F$39)</f>
        <v>0</v>
      </c>
      <c r="V1027" s="56">
        <f>_xlfn.XLOOKUP($N1027,'Calculo Leads Conveniencia'!$A$77:$A$104,'Calculo Leads Conveniencia'!I$77:I$104)*_xlfn.XLOOKUP($P1027,'Base Grupo de Produtos'!$E$23:$E$39,'Base Grupo de Produtos'!$F$23:$F$39)</f>
        <v>0</v>
      </c>
      <c r="W1027" s="56">
        <f>_xlfn.XLOOKUP($N1027,'Calculo Leads Conveniencia'!$A$77:$A$104,'Calculo Leads Conveniencia'!J$77:J$104)*_xlfn.XLOOKUP($P1027,'Base Grupo de Produtos'!$E$23:$E$39,'Base Grupo de Produtos'!$F$23:$F$39)</f>
        <v>0</v>
      </c>
      <c r="X1027" s="56">
        <f>_xlfn.XLOOKUP($N1027,'Calculo Leads Conveniencia'!$A$77:$A$104,'Calculo Leads Conveniencia'!K$77:K$104)*_xlfn.XLOOKUP($P1027,'Base Grupo de Produtos'!$E$23:$E$39,'Base Grupo de Produtos'!$F$23:$F$39)</f>
        <v>0</v>
      </c>
      <c r="Y1027" s="56">
        <f>_xlfn.XLOOKUP($N1027,'Calculo Leads Conveniencia'!$A$77:$A$104,'Calculo Leads Conveniencia'!L$77:L$104)*_xlfn.XLOOKUP($P1027,'Base Grupo de Produtos'!$E$23:$E$39,'Base Grupo de Produtos'!$F$23:$F$39)</f>
        <v>0</v>
      </c>
      <c r="Z1027" s="56">
        <f>_xlfn.XLOOKUP($N1027,'Calculo Leads Conveniencia'!$A$77:$A$104,'Calculo Leads Conveniencia'!M$77:M$104)*_xlfn.XLOOKUP($P1027,'Base Grupo de Produtos'!$E$23:$E$39,'Base Grupo de Produtos'!$F$23:$F$39)</f>
        <v>0</v>
      </c>
      <c r="AA1027" s="56">
        <f>_xlfn.XLOOKUP($N1027,'Calculo Leads Conveniencia'!$A$77:$A$104,'Calculo Leads Conveniencia'!N$77:N$104)*_xlfn.XLOOKUP($P1027,'Base Grupo de Produtos'!$E$23:$E$39,'Base Grupo de Produtos'!$F$23:$F$39)</f>
        <v>0</v>
      </c>
      <c r="AB1027" s="56">
        <f>_xlfn.XLOOKUP($N1027,'Calculo Leads Conveniencia'!$A$77:$A$104,'Calculo Leads Conveniencia'!O$77:O$104)*_xlfn.XLOOKUP($P1027,'Base Grupo de Produtos'!$E$23:$E$39,'Base Grupo de Produtos'!$F$23:$F$39)</f>
        <v>0</v>
      </c>
      <c r="AC1027" s="61">
        <f t="shared" si="948"/>
        <v>0</v>
      </c>
      <c r="AD1027" s="28"/>
      <c r="AE1027" s="12"/>
      <c r="AF1027" s="29"/>
      <c r="AG1027" s="9"/>
      <c r="AH1027" s="10"/>
      <c r="AI1027" s="9"/>
      <c r="AJ1027" s="11"/>
      <c r="AK1027" s="9"/>
      <c r="AL1027" s="13"/>
      <c r="AM1027" s="9"/>
    </row>
    <row r="1028" spans="1:39" x14ac:dyDescent="0.3">
      <c r="A1028" s="2" t="str">
        <f t="shared" si="962"/>
        <v>NÃO</v>
      </c>
      <c r="B1028" s="2" t="str">
        <f>_xlfn.XLOOKUP($N1028,'Base de Grupos'!$A:$A,'Base de Grupos'!$D:$D)</f>
        <v>1000065763</v>
      </c>
      <c r="C1028" s="5" t="str">
        <f>_xlfn.XLOOKUP($N1028,'Base de Grupos'!$A:$A,'Base de Grupos'!$E:$E)</f>
        <v>CANAL VENDA INTERNA</v>
      </c>
      <c r="D1028" s="5" t="str">
        <f>_xlfn.XLOOKUP($N1028,'Base de Grupos'!$A:$A,'Base de Grupos'!$F:$F)</f>
        <v>1000065763</v>
      </c>
      <c r="E1028" s="2" t="str">
        <f>_xlfn.XLOOKUP($N1028,'Base de Grupos'!$A:$A,'Base de Grupos'!$G:$G)</f>
        <v>CANAL VENDA INTERNA</v>
      </c>
      <c r="F1028" s="2" t="str">
        <f>_xlfn.XLOOKUP($N1028,'Base de Grupos'!$A:$A,'Base de Grupos'!$H:$H)</f>
        <v>1000174119</v>
      </c>
      <c r="G1028" s="5" t="str">
        <f>_xlfn.XLOOKUP($N1028,'Base de Grupos'!$A:$A,'Base de Grupos'!$I:$I)</f>
        <v>REGIONAL VENDA INTERNA - CONVENIENCIA</v>
      </c>
      <c r="H1028" s="5" t="str">
        <f>_xlfn.XLOOKUP($N1028,'Base de Grupos'!$A:$A,'Base de Grupos'!$J:$J)</f>
        <v>1000174119</v>
      </c>
      <c r="I1028" s="2" t="str">
        <f>_xlfn.XLOOKUP($N1028,'Base de Grupos'!$A:$A,'Base de Grupos'!$K:$K)</f>
        <v>REGIONAL VENDA INTERNA - CONVENIENCIA</v>
      </c>
      <c r="J1028" s="2" t="str">
        <f>_xlfn.XLOOKUP($N1028,'Base de Grupos'!$A:$A,'Base de Grupos'!$L:$L)</f>
        <v>1000174119</v>
      </c>
      <c r="K1028" s="5" t="str">
        <f>_xlfn.XLOOKUP($N1028,'Base de Grupos'!$A:$A,'Base de Grupos'!$M:$M)</f>
        <v>REGIONAL VENDA INTERNA - CONVENIENCIA</v>
      </c>
      <c r="L1028" s="5" t="str">
        <f t="shared" si="963"/>
        <v/>
      </c>
      <c r="M1028" s="5" t="str">
        <f>_xlfn.XLOOKUP($N1028,'Base de Grupos'!$A:$A,'Base de Grupos'!$C:$C)</f>
        <v>GO</v>
      </c>
      <c r="N1028" s="3">
        <v>1521</v>
      </c>
      <c r="O1028" s="4" t="s">
        <v>280</v>
      </c>
      <c r="P1028" s="5" t="s">
        <v>93</v>
      </c>
      <c r="Q1028" s="56">
        <v>0</v>
      </c>
      <c r="R1028" s="56">
        <v>0</v>
      </c>
      <c r="S1028" s="56">
        <v>0</v>
      </c>
      <c r="T1028" s="56">
        <f>_xlfn.XLOOKUP($N1028,'Calculo Leads Conveniencia'!$A$77:$A$104,'Calculo Leads Conveniencia'!G$77:G$104)*_xlfn.XLOOKUP($P1028,'Base Grupo de Produtos'!$E$23:$E$39,'Base Grupo de Produtos'!$F$23:$F$39)</f>
        <v>0</v>
      </c>
      <c r="U1028" s="56">
        <f>_xlfn.XLOOKUP($N1028,'Calculo Leads Conveniencia'!$A$77:$A$104,'Calculo Leads Conveniencia'!H$77:H$104)*_xlfn.XLOOKUP($P1028,'Base Grupo de Produtos'!$E$23:$E$39,'Base Grupo de Produtos'!$F$23:$F$39)</f>
        <v>0</v>
      </c>
      <c r="V1028" s="56">
        <f>_xlfn.XLOOKUP($N1028,'Calculo Leads Conveniencia'!$A$77:$A$104,'Calculo Leads Conveniencia'!I$77:I$104)*_xlfn.XLOOKUP($P1028,'Base Grupo de Produtos'!$E$23:$E$39,'Base Grupo de Produtos'!$F$23:$F$39)</f>
        <v>0</v>
      </c>
      <c r="W1028" s="56">
        <f>_xlfn.XLOOKUP($N1028,'Calculo Leads Conveniencia'!$A$77:$A$104,'Calculo Leads Conveniencia'!J$77:J$104)*_xlfn.XLOOKUP($P1028,'Base Grupo de Produtos'!$E$23:$E$39,'Base Grupo de Produtos'!$F$23:$F$39)</f>
        <v>0</v>
      </c>
      <c r="X1028" s="56">
        <f>_xlfn.XLOOKUP($N1028,'Calculo Leads Conveniencia'!$A$77:$A$104,'Calculo Leads Conveniencia'!K$77:K$104)*_xlfn.XLOOKUP($P1028,'Base Grupo de Produtos'!$E$23:$E$39,'Base Grupo de Produtos'!$F$23:$F$39)</f>
        <v>0</v>
      </c>
      <c r="Y1028" s="56">
        <f>_xlfn.XLOOKUP($N1028,'Calculo Leads Conveniencia'!$A$77:$A$104,'Calculo Leads Conveniencia'!L$77:L$104)*_xlfn.XLOOKUP($P1028,'Base Grupo de Produtos'!$E$23:$E$39,'Base Grupo de Produtos'!$F$23:$F$39)</f>
        <v>0</v>
      </c>
      <c r="Z1028" s="56">
        <f>_xlfn.XLOOKUP($N1028,'Calculo Leads Conveniencia'!$A$77:$A$104,'Calculo Leads Conveniencia'!M$77:M$104)*_xlfn.XLOOKUP($P1028,'Base Grupo de Produtos'!$E$23:$E$39,'Base Grupo de Produtos'!$F$23:$F$39)</f>
        <v>0</v>
      </c>
      <c r="AA1028" s="56">
        <f>_xlfn.XLOOKUP($N1028,'Calculo Leads Conveniencia'!$A$77:$A$104,'Calculo Leads Conveniencia'!N$77:N$104)*_xlfn.XLOOKUP($P1028,'Base Grupo de Produtos'!$E$23:$E$39,'Base Grupo de Produtos'!$F$23:$F$39)</f>
        <v>0</v>
      </c>
      <c r="AB1028" s="56">
        <f>_xlfn.XLOOKUP($N1028,'Calculo Leads Conveniencia'!$A$77:$A$104,'Calculo Leads Conveniencia'!O$77:O$104)*_xlfn.XLOOKUP($P1028,'Base Grupo de Produtos'!$E$23:$E$39,'Base Grupo de Produtos'!$F$23:$F$39)</f>
        <v>0</v>
      </c>
      <c r="AC1028" s="61">
        <f t="shared" si="948"/>
        <v>0</v>
      </c>
      <c r="AD1028" s="28"/>
      <c r="AE1028" s="12"/>
      <c r="AF1028" s="29"/>
      <c r="AG1028" s="9"/>
      <c r="AH1028" s="10"/>
      <c r="AI1028" s="9"/>
      <c r="AJ1028" s="11"/>
      <c r="AK1028" s="9"/>
      <c r="AL1028" s="13"/>
      <c r="AM1028" s="9"/>
    </row>
    <row r="1029" spans="1:39" x14ac:dyDescent="0.3">
      <c r="A1029" s="2" t="str">
        <f t="shared" si="962"/>
        <v>SIM</v>
      </c>
      <c r="B1029" s="2" t="str">
        <f>_xlfn.XLOOKUP($N1029,'Base de Grupos'!$A:$A,'Base de Grupos'!$D:$D)</f>
        <v>1000065763</v>
      </c>
      <c r="C1029" s="5" t="str">
        <f>_xlfn.XLOOKUP($N1029,'Base de Grupos'!$A:$A,'Base de Grupos'!$E:$E)</f>
        <v>CANAL VENDA INTERNA</v>
      </c>
      <c r="D1029" s="5" t="str">
        <f>_xlfn.XLOOKUP($N1029,'Base de Grupos'!$A:$A,'Base de Grupos'!$F:$F)</f>
        <v>1000065763</v>
      </c>
      <c r="E1029" s="2" t="str">
        <f>_xlfn.XLOOKUP($N1029,'Base de Grupos'!$A:$A,'Base de Grupos'!$G:$G)</f>
        <v>CANAL VENDA INTERNA</v>
      </c>
      <c r="F1029" s="2" t="str">
        <f>_xlfn.XLOOKUP($N1029,'Base de Grupos'!$A:$A,'Base de Grupos'!$H:$H)</f>
        <v>1000174119</v>
      </c>
      <c r="G1029" s="5" t="str">
        <f>_xlfn.XLOOKUP($N1029,'Base de Grupos'!$A:$A,'Base de Grupos'!$I:$I)</f>
        <v>REGIONAL VENDA INTERNA - CONVENIENCIA</v>
      </c>
      <c r="H1029" s="5" t="str">
        <f>_xlfn.XLOOKUP($N1029,'Base de Grupos'!$A:$A,'Base de Grupos'!$J:$J)</f>
        <v>1000174119</v>
      </c>
      <c r="I1029" s="2" t="str">
        <f>_xlfn.XLOOKUP($N1029,'Base de Grupos'!$A:$A,'Base de Grupos'!$K:$K)</f>
        <v>REGIONAL VENDA INTERNA - CONVENIENCIA</v>
      </c>
      <c r="J1029" s="2" t="str">
        <f>_xlfn.XLOOKUP($N1029,'Base de Grupos'!$A:$A,'Base de Grupos'!$L:$L)</f>
        <v>1000174119</v>
      </c>
      <c r="K1029" s="5" t="str">
        <f>_xlfn.XLOOKUP($N1029,'Base de Grupos'!$A:$A,'Base de Grupos'!$M:$M)</f>
        <v>REGIONAL VENDA INTERNA - CONVENIENCIA</v>
      </c>
      <c r="L1029" s="5">
        <f t="shared" si="963"/>
        <v>1</v>
      </c>
      <c r="M1029" s="5" t="str">
        <f>_xlfn.XLOOKUP($N1029,'Base de Grupos'!$A:$A,'Base de Grupos'!$C:$C)</f>
        <v>ES</v>
      </c>
      <c r="N1029" s="3">
        <v>1522</v>
      </c>
      <c r="O1029" s="4" t="s">
        <v>281</v>
      </c>
      <c r="P1029" s="5" t="s">
        <v>351</v>
      </c>
      <c r="Q1029" s="56">
        <f t="shared" ref="Q1029" si="990">SUM(Q1030:Q1046)</f>
        <v>0</v>
      </c>
      <c r="R1029" s="56">
        <f t="shared" ref="R1029" si="991">SUM(R1030:R1046)</f>
        <v>0</v>
      </c>
      <c r="S1029" s="56">
        <f t="shared" ref="S1029" si="992">SUM(S1030:S1046)</f>
        <v>0</v>
      </c>
      <c r="T1029" s="56">
        <f t="shared" ref="T1029" si="993">SUM(T1030:T1046)</f>
        <v>0</v>
      </c>
      <c r="U1029" s="56">
        <f t="shared" ref="U1029" si="994">SUM(U1030:U1046)</f>
        <v>0</v>
      </c>
      <c r="V1029" s="56">
        <f t="shared" ref="V1029" si="995">SUM(V1030:V1046)</f>
        <v>0</v>
      </c>
      <c r="W1029" s="56">
        <f t="shared" ref="W1029" si="996">SUM(W1030:W1046)</f>
        <v>0</v>
      </c>
      <c r="X1029" s="56">
        <f t="shared" ref="X1029" si="997">SUM(X1030:X1046)</f>
        <v>0</v>
      </c>
      <c r="Y1029" s="56">
        <f t="shared" ref="Y1029" si="998">SUM(Y1030:Y1046)</f>
        <v>0</v>
      </c>
      <c r="Z1029" s="56">
        <f t="shared" ref="Z1029" si="999">SUM(Z1030:Z1046)</f>
        <v>0</v>
      </c>
      <c r="AA1029" s="56">
        <f t="shared" ref="AA1029" si="1000">SUM(AA1030:AA1046)</f>
        <v>0</v>
      </c>
      <c r="AB1029" s="56">
        <f t="shared" ref="AB1029" si="1001">SUM(AB1030:AB1046)</f>
        <v>0</v>
      </c>
      <c r="AC1029" s="56">
        <f t="shared" ref="AC1029" si="1002">SUM(AC1030:AC1046)</f>
        <v>0</v>
      </c>
      <c r="AD1029" s="28"/>
      <c r="AE1029" s="12"/>
      <c r="AF1029" s="29"/>
      <c r="AG1029" s="9"/>
      <c r="AH1029" s="10"/>
      <c r="AI1029" s="9"/>
      <c r="AJ1029" s="11"/>
      <c r="AK1029" s="9"/>
      <c r="AL1029" s="13"/>
      <c r="AM1029" s="9"/>
    </row>
    <row r="1030" spans="1:39" x14ac:dyDescent="0.3">
      <c r="A1030" s="2" t="str">
        <f t="shared" si="962"/>
        <v>NÃO</v>
      </c>
      <c r="B1030" s="2" t="str">
        <f>_xlfn.XLOOKUP($N1030,'Base de Grupos'!$A:$A,'Base de Grupos'!$D:$D)</f>
        <v>1000065763</v>
      </c>
      <c r="C1030" s="5" t="str">
        <f>_xlfn.XLOOKUP($N1030,'Base de Grupos'!$A:$A,'Base de Grupos'!$E:$E)</f>
        <v>CANAL VENDA INTERNA</v>
      </c>
      <c r="D1030" s="5" t="str">
        <f>_xlfn.XLOOKUP($N1030,'Base de Grupos'!$A:$A,'Base de Grupos'!$F:$F)</f>
        <v>1000065763</v>
      </c>
      <c r="E1030" s="2" t="str">
        <f>_xlfn.XLOOKUP($N1030,'Base de Grupos'!$A:$A,'Base de Grupos'!$G:$G)</f>
        <v>CANAL VENDA INTERNA</v>
      </c>
      <c r="F1030" s="2" t="str">
        <f>_xlfn.XLOOKUP($N1030,'Base de Grupos'!$A:$A,'Base de Grupos'!$H:$H)</f>
        <v>1000174119</v>
      </c>
      <c r="G1030" s="5" t="str">
        <f>_xlfn.XLOOKUP($N1030,'Base de Grupos'!$A:$A,'Base de Grupos'!$I:$I)</f>
        <v>REGIONAL VENDA INTERNA - CONVENIENCIA</v>
      </c>
      <c r="H1030" s="5" t="str">
        <f>_xlfn.XLOOKUP($N1030,'Base de Grupos'!$A:$A,'Base de Grupos'!$J:$J)</f>
        <v>1000174119</v>
      </c>
      <c r="I1030" s="2" t="str">
        <f>_xlfn.XLOOKUP($N1030,'Base de Grupos'!$A:$A,'Base de Grupos'!$K:$K)</f>
        <v>REGIONAL VENDA INTERNA - CONVENIENCIA</v>
      </c>
      <c r="J1030" s="2" t="str">
        <f>_xlfn.XLOOKUP($N1030,'Base de Grupos'!$A:$A,'Base de Grupos'!$L:$L)</f>
        <v>1000174119</v>
      </c>
      <c r="K1030" s="5" t="str">
        <f>_xlfn.XLOOKUP($N1030,'Base de Grupos'!$A:$A,'Base de Grupos'!$M:$M)</f>
        <v>REGIONAL VENDA INTERNA - CONVENIENCIA</v>
      </c>
      <c r="L1030" s="5" t="str">
        <f t="shared" si="963"/>
        <v/>
      </c>
      <c r="M1030" s="5" t="str">
        <f>_xlfn.XLOOKUP($N1030,'Base de Grupos'!$A:$A,'Base de Grupos'!$C:$C)</f>
        <v>ES</v>
      </c>
      <c r="N1030" s="3">
        <v>1522</v>
      </c>
      <c r="O1030" s="4" t="s">
        <v>281</v>
      </c>
      <c r="P1030" s="5" t="s">
        <v>81</v>
      </c>
      <c r="Q1030" s="56">
        <v>0</v>
      </c>
      <c r="R1030" s="56">
        <v>0</v>
      </c>
      <c r="S1030" s="56">
        <v>0</v>
      </c>
      <c r="T1030" s="56">
        <f>_xlfn.XLOOKUP($N1030,'Calculo Leads Conveniencia'!$A$77:$A$104,'Calculo Leads Conveniencia'!G$77:G$104)*_xlfn.XLOOKUP($P1030,'Base Grupo de Produtos'!$E$23:$E$39,'Base Grupo de Produtos'!$F$23:$F$39)</f>
        <v>0</v>
      </c>
      <c r="U1030" s="56">
        <f>_xlfn.XLOOKUP($N1030,'Calculo Leads Conveniencia'!$A$77:$A$104,'Calculo Leads Conveniencia'!H$77:H$104)*_xlfn.XLOOKUP($P1030,'Base Grupo de Produtos'!$E$23:$E$39,'Base Grupo de Produtos'!$F$23:$F$39)</f>
        <v>0</v>
      </c>
      <c r="V1030" s="56">
        <f>_xlfn.XLOOKUP($N1030,'Calculo Leads Conveniencia'!$A$77:$A$104,'Calculo Leads Conveniencia'!I$77:I$104)*_xlfn.XLOOKUP($P1030,'Base Grupo de Produtos'!$E$23:$E$39,'Base Grupo de Produtos'!$F$23:$F$39)</f>
        <v>0</v>
      </c>
      <c r="W1030" s="56">
        <f>_xlfn.XLOOKUP($N1030,'Calculo Leads Conveniencia'!$A$77:$A$104,'Calculo Leads Conveniencia'!J$77:J$104)*_xlfn.XLOOKUP($P1030,'Base Grupo de Produtos'!$E$23:$E$39,'Base Grupo de Produtos'!$F$23:$F$39)</f>
        <v>0</v>
      </c>
      <c r="X1030" s="56">
        <f>_xlfn.XLOOKUP($N1030,'Calculo Leads Conveniencia'!$A$77:$A$104,'Calculo Leads Conveniencia'!K$77:K$104)*_xlfn.XLOOKUP($P1030,'Base Grupo de Produtos'!$E$23:$E$39,'Base Grupo de Produtos'!$F$23:$F$39)</f>
        <v>0</v>
      </c>
      <c r="Y1030" s="56">
        <f>_xlfn.XLOOKUP($N1030,'Calculo Leads Conveniencia'!$A$77:$A$104,'Calculo Leads Conveniencia'!L$77:L$104)*_xlfn.XLOOKUP($P1030,'Base Grupo de Produtos'!$E$23:$E$39,'Base Grupo de Produtos'!$F$23:$F$39)</f>
        <v>0</v>
      </c>
      <c r="Z1030" s="56">
        <f>_xlfn.XLOOKUP($N1030,'Calculo Leads Conveniencia'!$A$77:$A$104,'Calculo Leads Conveniencia'!M$77:M$104)*_xlfn.XLOOKUP($P1030,'Base Grupo de Produtos'!$E$23:$E$39,'Base Grupo de Produtos'!$F$23:$F$39)</f>
        <v>0</v>
      </c>
      <c r="AA1030" s="56">
        <f>_xlfn.XLOOKUP($N1030,'Calculo Leads Conveniencia'!$A$77:$A$104,'Calculo Leads Conveniencia'!N$77:N$104)*_xlfn.XLOOKUP($P1030,'Base Grupo de Produtos'!$E$23:$E$39,'Base Grupo de Produtos'!$F$23:$F$39)</f>
        <v>0</v>
      </c>
      <c r="AB1030" s="56">
        <f>_xlfn.XLOOKUP($N1030,'Calculo Leads Conveniencia'!$A$77:$A$104,'Calculo Leads Conveniencia'!O$77:O$104)*_xlfn.XLOOKUP($P1030,'Base Grupo de Produtos'!$E$23:$E$39,'Base Grupo de Produtos'!$F$23:$F$39)</f>
        <v>0</v>
      </c>
      <c r="AC1030" s="61">
        <f t="shared" ref="AC1030:AC1092" si="1003">SUM(T1030:AB1030)</f>
        <v>0</v>
      </c>
      <c r="AD1030" s="28"/>
      <c r="AE1030" s="12"/>
      <c r="AF1030" s="29"/>
      <c r="AG1030" s="9"/>
      <c r="AH1030" s="10"/>
      <c r="AI1030" s="9"/>
      <c r="AJ1030" s="11"/>
      <c r="AK1030" s="9"/>
      <c r="AL1030" s="13"/>
      <c r="AM1030" s="9"/>
    </row>
    <row r="1031" spans="1:39" x14ac:dyDescent="0.3">
      <c r="A1031" s="2" t="str">
        <f t="shared" si="962"/>
        <v>NÃO</v>
      </c>
      <c r="B1031" s="2" t="str">
        <f>_xlfn.XLOOKUP($N1031,'Base de Grupos'!$A:$A,'Base de Grupos'!$D:$D)</f>
        <v>1000065763</v>
      </c>
      <c r="C1031" s="5" t="str">
        <f>_xlfn.XLOOKUP($N1031,'Base de Grupos'!$A:$A,'Base de Grupos'!$E:$E)</f>
        <v>CANAL VENDA INTERNA</v>
      </c>
      <c r="D1031" s="5" t="str">
        <f>_xlfn.XLOOKUP($N1031,'Base de Grupos'!$A:$A,'Base de Grupos'!$F:$F)</f>
        <v>1000065763</v>
      </c>
      <c r="E1031" s="2" t="str">
        <f>_xlfn.XLOOKUP($N1031,'Base de Grupos'!$A:$A,'Base de Grupos'!$G:$G)</f>
        <v>CANAL VENDA INTERNA</v>
      </c>
      <c r="F1031" s="2" t="str">
        <f>_xlfn.XLOOKUP($N1031,'Base de Grupos'!$A:$A,'Base de Grupos'!$H:$H)</f>
        <v>1000174119</v>
      </c>
      <c r="G1031" s="5" t="str">
        <f>_xlfn.XLOOKUP($N1031,'Base de Grupos'!$A:$A,'Base de Grupos'!$I:$I)</f>
        <v>REGIONAL VENDA INTERNA - CONVENIENCIA</v>
      </c>
      <c r="H1031" s="5" t="str">
        <f>_xlfn.XLOOKUP($N1031,'Base de Grupos'!$A:$A,'Base de Grupos'!$J:$J)</f>
        <v>1000174119</v>
      </c>
      <c r="I1031" s="2" t="str">
        <f>_xlfn.XLOOKUP($N1031,'Base de Grupos'!$A:$A,'Base de Grupos'!$K:$K)</f>
        <v>REGIONAL VENDA INTERNA - CONVENIENCIA</v>
      </c>
      <c r="J1031" s="2" t="str">
        <f>_xlfn.XLOOKUP($N1031,'Base de Grupos'!$A:$A,'Base de Grupos'!$L:$L)</f>
        <v>1000174119</v>
      </c>
      <c r="K1031" s="5" t="str">
        <f>_xlfn.XLOOKUP($N1031,'Base de Grupos'!$A:$A,'Base de Grupos'!$M:$M)</f>
        <v>REGIONAL VENDA INTERNA - CONVENIENCIA</v>
      </c>
      <c r="L1031" s="5" t="str">
        <f t="shared" si="963"/>
        <v/>
      </c>
      <c r="M1031" s="5" t="str">
        <f>_xlfn.XLOOKUP($N1031,'Base de Grupos'!$A:$A,'Base de Grupos'!$C:$C)</f>
        <v>ES</v>
      </c>
      <c r="N1031" s="3">
        <v>1522</v>
      </c>
      <c r="O1031" s="4" t="s">
        <v>281</v>
      </c>
      <c r="P1031" s="5" t="s">
        <v>82</v>
      </c>
      <c r="Q1031" s="56">
        <v>0</v>
      </c>
      <c r="R1031" s="56">
        <v>0</v>
      </c>
      <c r="S1031" s="56">
        <v>0</v>
      </c>
      <c r="T1031" s="56">
        <f>_xlfn.XLOOKUP($N1031,'Calculo Leads Conveniencia'!$A$77:$A$104,'Calculo Leads Conveniencia'!G$77:G$104)*_xlfn.XLOOKUP($P1031,'Base Grupo de Produtos'!$E$23:$E$39,'Base Grupo de Produtos'!$F$23:$F$39)</f>
        <v>0</v>
      </c>
      <c r="U1031" s="56">
        <f>_xlfn.XLOOKUP($N1031,'Calculo Leads Conveniencia'!$A$77:$A$104,'Calculo Leads Conveniencia'!H$77:H$104)*_xlfn.XLOOKUP($P1031,'Base Grupo de Produtos'!$E$23:$E$39,'Base Grupo de Produtos'!$F$23:$F$39)</f>
        <v>0</v>
      </c>
      <c r="V1031" s="56">
        <f>_xlfn.XLOOKUP($N1031,'Calculo Leads Conveniencia'!$A$77:$A$104,'Calculo Leads Conveniencia'!I$77:I$104)*_xlfn.XLOOKUP($P1031,'Base Grupo de Produtos'!$E$23:$E$39,'Base Grupo de Produtos'!$F$23:$F$39)</f>
        <v>0</v>
      </c>
      <c r="W1031" s="56">
        <f>_xlfn.XLOOKUP($N1031,'Calculo Leads Conveniencia'!$A$77:$A$104,'Calculo Leads Conveniencia'!J$77:J$104)*_xlfn.XLOOKUP($P1031,'Base Grupo de Produtos'!$E$23:$E$39,'Base Grupo de Produtos'!$F$23:$F$39)</f>
        <v>0</v>
      </c>
      <c r="X1031" s="56">
        <f>_xlfn.XLOOKUP($N1031,'Calculo Leads Conveniencia'!$A$77:$A$104,'Calculo Leads Conveniencia'!K$77:K$104)*_xlfn.XLOOKUP($P1031,'Base Grupo de Produtos'!$E$23:$E$39,'Base Grupo de Produtos'!$F$23:$F$39)</f>
        <v>0</v>
      </c>
      <c r="Y1031" s="56">
        <f>_xlfn.XLOOKUP($N1031,'Calculo Leads Conveniencia'!$A$77:$A$104,'Calculo Leads Conveniencia'!L$77:L$104)*_xlfn.XLOOKUP($P1031,'Base Grupo de Produtos'!$E$23:$E$39,'Base Grupo de Produtos'!$F$23:$F$39)</f>
        <v>0</v>
      </c>
      <c r="Z1031" s="56">
        <f>_xlfn.XLOOKUP($N1031,'Calculo Leads Conveniencia'!$A$77:$A$104,'Calculo Leads Conveniencia'!M$77:M$104)*_xlfn.XLOOKUP($P1031,'Base Grupo de Produtos'!$E$23:$E$39,'Base Grupo de Produtos'!$F$23:$F$39)</f>
        <v>0</v>
      </c>
      <c r="AA1031" s="56">
        <f>_xlfn.XLOOKUP($N1031,'Calculo Leads Conveniencia'!$A$77:$A$104,'Calculo Leads Conveniencia'!N$77:N$104)*_xlfn.XLOOKUP($P1031,'Base Grupo de Produtos'!$E$23:$E$39,'Base Grupo de Produtos'!$F$23:$F$39)</f>
        <v>0</v>
      </c>
      <c r="AB1031" s="56">
        <f>_xlfn.XLOOKUP($N1031,'Calculo Leads Conveniencia'!$A$77:$A$104,'Calculo Leads Conveniencia'!O$77:O$104)*_xlfn.XLOOKUP($P1031,'Base Grupo de Produtos'!$E$23:$E$39,'Base Grupo de Produtos'!$F$23:$F$39)</f>
        <v>0</v>
      </c>
      <c r="AC1031" s="61">
        <f t="shared" si="1003"/>
        <v>0</v>
      </c>
      <c r="AD1031" s="28"/>
      <c r="AE1031" s="12"/>
      <c r="AF1031" s="29"/>
      <c r="AG1031" s="9"/>
      <c r="AH1031" s="10"/>
      <c r="AI1031" s="9"/>
      <c r="AJ1031" s="11"/>
      <c r="AK1031" s="9"/>
      <c r="AL1031" s="13"/>
      <c r="AM1031" s="9"/>
    </row>
    <row r="1032" spans="1:39" x14ac:dyDescent="0.3">
      <c r="A1032" s="2" t="str">
        <f t="shared" si="962"/>
        <v>NÃO</v>
      </c>
      <c r="B1032" s="2" t="str">
        <f>_xlfn.XLOOKUP($N1032,'Base de Grupos'!$A:$A,'Base de Grupos'!$D:$D)</f>
        <v>1000065763</v>
      </c>
      <c r="C1032" s="5" t="str">
        <f>_xlfn.XLOOKUP($N1032,'Base de Grupos'!$A:$A,'Base de Grupos'!$E:$E)</f>
        <v>CANAL VENDA INTERNA</v>
      </c>
      <c r="D1032" s="5" t="str">
        <f>_xlfn.XLOOKUP($N1032,'Base de Grupos'!$A:$A,'Base de Grupos'!$F:$F)</f>
        <v>1000065763</v>
      </c>
      <c r="E1032" s="2" t="str">
        <f>_xlfn.XLOOKUP($N1032,'Base de Grupos'!$A:$A,'Base de Grupos'!$G:$G)</f>
        <v>CANAL VENDA INTERNA</v>
      </c>
      <c r="F1032" s="2" t="str">
        <f>_xlfn.XLOOKUP($N1032,'Base de Grupos'!$A:$A,'Base de Grupos'!$H:$H)</f>
        <v>1000174119</v>
      </c>
      <c r="G1032" s="5" t="str">
        <f>_xlfn.XLOOKUP($N1032,'Base de Grupos'!$A:$A,'Base de Grupos'!$I:$I)</f>
        <v>REGIONAL VENDA INTERNA - CONVENIENCIA</v>
      </c>
      <c r="H1032" s="5" t="str">
        <f>_xlfn.XLOOKUP($N1032,'Base de Grupos'!$A:$A,'Base de Grupos'!$J:$J)</f>
        <v>1000174119</v>
      </c>
      <c r="I1032" s="2" t="str">
        <f>_xlfn.XLOOKUP($N1032,'Base de Grupos'!$A:$A,'Base de Grupos'!$K:$K)</f>
        <v>REGIONAL VENDA INTERNA - CONVENIENCIA</v>
      </c>
      <c r="J1032" s="2" t="str">
        <f>_xlfn.XLOOKUP($N1032,'Base de Grupos'!$A:$A,'Base de Grupos'!$L:$L)</f>
        <v>1000174119</v>
      </c>
      <c r="K1032" s="5" t="str">
        <f>_xlfn.XLOOKUP($N1032,'Base de Grupos'!$A:$A,'Base de Grupos'!$M:$M)</f>
        <v>REGIONAL VENDA INTERNA - CONVENIENCIA</v>
      </c>
      <c r="L1032" s="5" t="str">
        <f t="shared" si="963"/>
        <v/>
      </c>
      <c r="M1032" s="5" t="str">
        <f>_xlfn.XLOOKUP($N1032,'Base de Grupos'!$A:$A,'Base de Grupos'!$C:$C)</f>
        <v>ES</v>
      </c>
      <c r="N1032" s="3">
        <v>1522</v>
      </c>
      <c r="O1032" s="4" t="s">
        <v>281</v>
      </c>
      <c r="P1032" s="5" t="s">
        <v>84</v>
      </c>
      <c r="Q1032" s="56">
        <v>0</v>
      </c>
      <c r="R1032" s="56">
        <v>0</v>
      </c>
      <c r="S1032" s="56">
        <v>0</v>
      </c>
      <c r="T1032" s="56">
        <f>_xlfn.XLOOKUP($N1032,'Calculo Leads Conveniencia'!$A$77:$A$104,'Calculo Leads Conveniencia'!G$77:G$104)*_xlfn.XLOOKUP($P1032,'Base Grupo de Produtos'!$E$23:$E$39,'Base Grupo de Produtos'!$F$23:$F$39)</f>
        <v>0</v>
      </c>
      <c r="U1032" s="56">
        <f>_xlfn.XLOOKUP($N1032,'Calculo Leads Conveniencia'!$A$77:$A$104,'Calculo Leads Conveniencia'!H$77:H$104)*_xlfn.XLOOKUP($P1032,'Base Grupo de Produtos'!$E$23:$E$39,'Base Grupo de Produtos'!$F$23:$F$39)</f>
        <v>0</v>
      </c>
      <c r="V1032" s="56">
        <f>_xlfn.XLOOKUP($N1032,'Calculo Leads Conveniencia'!$A$77:$A$104,'Calculo Leads Conveniencia'!I$77:I$104)*_xlfn.XLOOKUP($P1032,'Base Grupo de Produtos'!$E$23:$E$39,'Base Grupo de Produtos'!$F$23:$F$39)</f>
        <v>0</v>
      </c>
      <c r="W1032" s="56">
        <f>_xlfn.XLOOKUP($N1032,'Calculo Leads Conveniencia'!$A$77:$A$104,'Calculo Leads Conveniencia'!J$77:J$104)*_xlfn.XLOOKUP($P1032,'Base Grupo de Produtos'!$E$23:$E$39,'Base Grupo de Produtos'!$F$23:$F$39)</f>
        <v>0</v>
      </c>
      <c r="X1032" s="56">
        <f>_xlfn.XLOOKUP($N1032,'Calculo Leads Conveniencia'!$A$77:$A$104,'Calculo Leads Conveniencia'!K$77:K$104)*_xlfn.XLOOKUP($P1032,'Base Grupo de Produtos'!$E$23:$E$39,'Base Grupo de Produtos'!$F$23:$F$39)</f>
        <v>0</v>
      </c>
      <c r="Y1032" s="56">
        <f>_xlfn.XLOOKUP($N1032,'Calculo Leads Conveniencia'!$A$77:$A$104,'Calculo Leads Conveniencia'!L$77:L$104)*_xlfn.XLOOKUP($P1032,'Base Grupo de Produtos'!$E$23:$E$39,'Base Grupo de Produtos'!$F$23:$F$39)</f>
        <v>0</v>
      </c>
      <c r="Z1032" s="56">
        <f>_xlfn.XLOOKUP($N1032,'Calculo Leads Conveniencia'!$A$77:$A$104,'Calculo Leads Conveniencia'!M$77:M$104)*_xlfn.XLOOKUP($P1032,'Base Grupo de Produtos'!$E$23:$E$39,'Base Grupo de Produtos'!$F$23:$F$39)</f>
        <v>0</v>
      </c>
      <c r="AA1032" s="56">
        <f>_xlfn.XLOOKUP($N1032,'Calculo Leads Conveniencia'!$A$77:$A$104,'Calculo Leads Conveniencia'!N$77:N$104)*_xlfn.XLOOKUP($P1032,'Base Grupo de Produtos'!$E$23:$E$39,'Base Grupo de Produtos'!$F$23:$F$39)</f>
        <v>0</v>
      </c>
      <c r="AB1032" s="56">
        <f>_xlfn.XLOOKUP($N1032,'Calculo Leads Conveniencia'!$A$77:$A$104,'Calculo Leads Conveniencia'!O$77:O$104)*_xlfn.XLOOKUP($P1032,'Base Grupo de Produtos'!$E$23:$E$39,'Base Grupo de Produtos'!$F$23:$F$39)</f>
        <v>0</v>
      </c>
      <c r="AC1032" s="61">
        <f t="shared" si="1003"/>
        <v>0</v>
      </c>
      <c r="AD1032" s="28"/>
      <c r="AE1032" s="12"/>
      <c r="AF1032" s="29"/>
      <c r="AG1032" s="9"/>
      <c r="AH1032" s="10"/>
      <c r="AI1032" s="9"/>
      <c r="AJ1032" s="11"/>
      <c r="AK1032" s="9"/>
      <c r="AL1032" s="13"/>
      <c r="AM1032" s="9"/>
    </row>
    <row r="1033" spans="1:39" x14ac:dyDescent="0.3">
      <c r="A1033" s="2" t="str">
        <f t="shared" si="962"/>
        <v>NÃO</v>
      </c>
      <c r="B1033" s="2" t="str">
        <f>_xlfn.XLOOKUP($N1033,'Base de Grupos'!$A:$A,'Base de Grupos'!$D:$D)</f>
        <v>1000065763</v>
      </c>
      <c r="C1033" s="5" t="str">
        <f>_xlfn.XLOOKUP($N1033,'Base de Grupos'!$A:$A,'Base de Grupos'!$E:$E)</f>
        <v>CANAL VENDA INTERNA</v>
      </c>
      <c r="D1033" s="5" t="str">
        <f>_xlfn.XLOOKUP($N1033,'Base de Grupos'!$A:$A,'Base de Grupos'!$F:$F)</f>
        <v>1000065763</v>
      </c>
      <c r="E1033" s="2" t="str">
        <f>_xlfn.XLOOKUP($N1033,'Base de Grupos'!$A:$A,'Base de Grupos'!$G:$G)</f>
        <v>CANAL VENDA INTERNA</v>
      </c>
      <c r="F1033" s="2" t="str">
        <f>_xlfn.XLOOKUP($N1033,'Base de Grupos'!$A:$A,'Base de Grupos'!$H:$H)</f>
        <v>1000174119</v>
      </c>
      <c r="G1033" s="5" t="str">
        <f>_xlfn.XLOOKUP($N1033,'Base de Grupos'!$A:$A,'Base de Grupos'!$I:$I)</f>
        <v>REGIONAL VENDA INTERNA - CONVENIENCIA</v>
      </c>
      <c r="H1033" s="5" t="str">
        <f>_xlfn.XLOOKUP($N1033,'Base de Grupos'!$A:$A,'Base de Grupos'!$J:$J)</f>
        <v>1000174119</v>
      </c>
      <c r="I1033" s="2" t="str">
        <f>_xlfn.XLOOKUP($N1033,'Base de Grupos'!$A:$A,'Base de Grupos'!$K:$K)</f>
        <v>REGIONAL VENDA INTERNA - CONVENIENCIA</v>
      </c>
      <c r="J1033" s="2" t="str">
        <f>_xlfn.XLOOKUP($N1033,'Base de Grupos'!$A:$A,'Base de Grupos'!$L:$L)</f>
        <v>1000174119</v>
      </c>
      <c r="K1033" s="5" t="str">
        <f>_xlfn.XLOOKUP($N1033,'Base de Grupos'!$A:$A,'Base de Grupos'!$M:$M)</f>
        <v>REGIONAL VENDA INTERNA - CONVENIENCIA</v>
      </c>
      <c r="L1033" s="5" t="str">
        <f t="shared" si="963"/>
        <v/>
      </c>
      <c r="M1033" s="5" t="str">
        <f>_xlfn.XLOOKUP($N1033,'Base de Grupos'!$A:$A,'Base de Grupos'!$C:$C)</f>
        <v>ES</v>
      </c>
      <c r="N1033" s="3">
        <v>1522</v>
      </c>
      <c r="O1033" s="4" t="s">
        <v>281</v>
      </c>
      <c r="P1033" s="5" t="s">
        <v>83</v>
      </c>
      <c r="Q1033" s="56">
        <v>0</v>
      </c>
      <c r="R1033" s="56">
        <v>0</v>
      </c>
      <c r="S1033" s="56">
        <v>0</v>
      </c>
      <c r="T1033" s="56">
        <f>_xlfn.XLOOKUP($N1033,'Calculo Leads Conveniencia'!$A$77:$A$104,'Calculo Leads Conveniencia'!G$77:G$104)*_xlfn.XLOOKUP($P1033,'Base Grupo de Produtos'!$E$23:$E$39,'Base Grupo de Produtos'!$F$23:$F$39)</f>
        <v>0</v>
      </c>
      <c r="U1033" s="56">
        <f>_xlfn.XLOOKUP($N1033,'Calculo Leads Conveniencia'!$A$77:$A$104,'Calculo Leads Conveniencia'!H$77:H$104)*_xlfn.XLOOKUP($P1033,'Base Grupo de Produtos'!$E$23:$E$39,'Base Grupo de Produtos'!$F$23:$F$39)</f>
        <v>0</v>
      </c>
      <c r="V1033" s="56">
        <f>_xlfn.XLOOKUP($N1033,'Calculo Leads Conveniencia'!$A$77:$A$104,'Calculo Leads Conveniencia'!I$77:I$104)*_xlfn.XLOOKUP($P1033,'Base Grupo de Produtos'!$E$23:$E$39,'Base Grupo de Produtos'!$F$23:$F$39)</f>
        <v>0</v>
      </c>
      <c r="W1033" s="56">
        <f>_xlfn.XLOOKUP($N1033,'Calculo Leads Conveniencia'!$A$77:$A$104,'Calculo Leads Conveniencia'!J$77:J$104)*_xlfn.XLOOKUP($P1033,'Base Grupo de Produtos'!$E$23:$E$39,'Base Grupo de Produtos'!$F$23:$F$39)</f>
        <v>0</v>
      </c>
      <c r="X1033" s="56">
        <f>_xlfn.XLOOKUP($N1033,'Calculo Leads Conveniencia'!$A$77:$A$104,'Calculo Leads Conveniencia'!K$77:K$104)*_xlfn.XLOOKUP($P1033,'Base Grupo de Produtos'!$E$23:$E$39,'Base Grupo de Produtos'!$F$23:$F$39)</f>
        <v>0</v>
      </c>
      <c r="Y1033" s="56">
        <f>_xlfn.XLOOKUP($N1033,'Calculo Leads Conveniencia'!$A$77:$A$104,'Calculo Leads Conveniencia'!L$77:L$104)*_xlfn.XLOOKUP($P1033,'Base Grupo de Produtos'!$E$23:$E$39,'Base Grupo de Produtos'!$F$23:$F$39)</f>
        <v>0</v>
      </c>
      <c r="Z1033" s="56">
        <f>_xlfn.XLOOKUP($N1033,'Calculo Leads Conveniencia'!$A$77:$A$104,'Calculo Leads Conveniencia'!M$77:M$104)*_xlfn.XLOOKUP($P1033,'Base Grupo de Produtos'!$E$23:$E$39,'Base Grupo de Produtos'!$F$23:$F$39)</f>
        <v>0</v>
      </c>
      <c r="AA1033" s="56">
        <f>_xlfn.XLOOKUP($N1033,'Calculo Leads Conveniencia'!$A$77:$A$104,'Calculo Leads Conveniencia'!N$77:N$104)*_xlfn.XLOOKUP($P1033,'Base Grupo de Produtos'!$E$23:$E$39,'Base Grupo de Produtos'!$F$23:$F$39)</f>
        <v>0</v>
      </c>
      <c r="AB1033" s="56">
        <f>_xlfn.XLOOKUP($N1033,'Calculo Leads Conveniencia'!$A$77:$A$104,'Calculo Leads Conveniencia'!O$77:O$104)*_xlfn.XLOOKUP($P1033,'Base Grupo de Produtos'!$E$23:$E$39,'Base Grupo de Produtos'!$F$23:$F$39)</f>
        <v>0</v>
      </c>
      <c r="AC1033" s="61">
        <f t="shared" si="1003"/>
        <v>0</v>
      </c>
      <c r="AD1033" s="28"/>
      <c r="AE1033" s="12"/>
      <c r="AF1033" s="29"/>
      <c r="AG1033" s="9"/>
      <c r="AH1033" s="10"/>
      <c r="AI1033" s="9"/>
      <c r="AJ1033" s="11"/>
      <c r="AK1033" s="9"/>
      <c r="AL1033" s="13"/>
      <c r="AM1033" s="9"/>
    </row>
    <row r="1034" spans="1:39" x14ac:dyDescent="0.3">
      <c r="A1034" s="2" t="str">
        <f t="shared" si="962"/>
        <v>NÃO</v>
      </c>
      <c r="B1034" s="2" t="str">
        <f>_xlfn.XLOOKUP($N1034,'Base de Grupos'!$A:$A,'Base de Grupos'!$D:$D)</f>
        <v>1000065763</v>
      </c>
      <c r="C1034" s="5" t="str">
        <f>_xlfn.XLOOKUP($N1034,'Base de Grupos'!$A:$A,'Base de Grupos'!$E:$E)</f>
        <v>CANAL VENDA INTERNA</v>
      </c>
      <c r="D1034" s="5" t="str">
        <f>_xlfn.XLOOKUP($N1034,'Base de Grupos'!$A:$A,'Base de Grupos'!$F:$F)</f>
        <v>1000065763</v>
      </c>
      <c r="E1034" s="2" t="str">
        <f>_xlfn.XLOOKUP($N1034,'Base de Grupos'!$A:$A,'Base de Grupos'!$G:$G)</f>
        <v>CANAL VENDA INTERNA</v>
      </c>
      <c r="F1034" s="2" t="str">
        <f>_xlfn.XLOOKUP($N1034,'Base de Grupos'!$A:$A,'Base de Grupos'!$H:$H)</f>
        <v>1000174119</v>
      </c>
      <c r="G1034" s="5" t="str">
        <f>_xlfn.XLOOKUP($N1034,'Base de Grupos'!$A:$A,'Base de Grupos'!$I:$I)</f>
        <v>REGIONAL VENDA INTERNA - CONVENIENCIA</v>
      </c>
      <c r="H1034" s="5" t="str">
        <f>_xlfn.XLOOKUP($N1034,'Base de Grupos'!$A:$A,'Base de Grupos'!$J:$J)</f>
        <v>1000174119</v>
      </c>
      <c r="I1034" s="2" t="str">
        <f>_xlfn.XLOOKUP($N1034,'Base de Grupos'!$A:$A,'Base de Grupos'!$K:$K)</f>
        <v>REGIONAL VENDA INTERNA - CONVENIENCIA</v>
      </c>
      <c r="J1034" s="2" t="str">
        <f>_xlfn.XLOOKUP($N1034,'Base de Grupos'!$A:$A,'Base de Grupos'!$L:$L)</f>
        <v>1000174119</v>
      </c>
      <c r="K1034" s="5" t="str">
        <f>_xlfn.XLOOKUP($N1034,'Base de Grupos'!$A:$A,'Base de Grupos'!$M:$M)</f>
        <v>REGIONAL VENDA INTERNA - CONVENIENCIA</v>
      </c>
      <c r="L1034" s="5" t="str">
        <f t="shared" si="963"/>
        <v/>
      </c>
      <c r="M1034" s="5" t="str">
        <f>_xlfn.XLOOKUP($N1034,'Base de Grupos'!$A:$A,'Base de Grupos'!$C:$C)</f>
        <v>ES</v>
      </c>
      <c r="N1034" s="3">
        <v>1522</v>
      </c>
      <c r="O1034" s="4" t="s">
        <v>281</v>
      </c>
      <c r="P1034" s="5" t="s">
        <v>87</v>
      </c>
      <c r="Q1034" s="56">
        <v>0</v>
      </c>
      <c r="R1034" s="56">
        <v>0</v>
      </c>
      <c r="S1034" s="56">
        <v>0</v>
      </c>
      <c r="T1034" s="56">
        <f>_xlfn.XLOOKUP($N1034,'Calculo Leads Conveniencia'!$A$77:$A$104,'Calculo Leads Conveniencia'!G$77:G$104)*_xlfn.XLOOKUP($P1034,'Base Grupo de Produtos'!$E$23:$E$39,'Base Grupo de Produtos'!$F$23:$F$39)</f>
        <v>0</v>
      </c>
      <c r="U1034" s="56">
        <f>_xlfn.XLOOKUP($N1034,'Calculo Leads Conveniencia'!$A$77:$A$104,'Calculo Leads Conveniencia'!H$77:H$104)*_xlfn.XLOOKUP($P1034,'Base Grupo de Produtos'!$E$23:$E$39,'Base Grupo de Produtos'!$F$23:$F$39)</f>
        <v>0</v>
      </c>
      <c r="V1034" s="56">
        <f>_xlfn.XLOOKUP($N1034,'Calculo Leads Conveniencia'!$A$77:$A$104,'Calculo Leads Conveniencia'!I$77:I$104)*_xlfn.XLOOKUP($P1034,'Base Grupo de Produtos'!$E$23:$E$39,'Base Grupo de Produtos'!$F$23:$F$39)</f>
        <v>0</v>
      </c>
      <c r="W1034" s="56">
        <f>_xlfn.XLOOKUP($N1034,'Calculo Leads Conveniencia'!$A$77:$A$104,'Calculo Leads Conveniencia'!J$77:J$104)*_xlfn.XLOOKUP($P1034,'Base Grupo de Produtos'!$E$23:$E$39,'Base Grupo de Produtos'!$F$23:$F$39)</f>
        <v>0</v>
      </c>
      <c r="X1034" s="56">
        <f>_xlfn.XLOOKUP($N1034,'Calculo Leads Conveniencia'!$A$77:$A$104,'Calculo Leads Conveniencia'!K$77:K$104)*_xlfn.XLOOKUP($P1034,'Base Grupo de Produtos'!$E$23:$E$39,'Base Grupo de Produtos'!$F$23:$F$39)</f>
        <v>0</v>
      </c>
      <c r="Y1034" s="56">
        <f>_xlfn.XLOOKUP($N1034,'Calculo Leads Conveniencia'!$A$77:$A$104,'Calculo Leads Conveniencia'!L$77:L$104)*_xlfn.XLOOKUP($P1034,'Base Grupo de Produtos'!$E$23:$E$39,'Base Grupo de Produtos'!$F$23:$F$39)</f>
        <v>0</v>
      </c>
      <c r="Z1034" s="56">
        <f>_xlfn.XLOOKUP($N1034,'Calculo Leads Conveniencia'!$A$77:$A$104,'Calculo Leads Conveniencia'!M$77:M$104)*_xlfn.XLOOKUP($P1034,'Base Grupo de Produtos'!$E$23:$E$39,'Base Grupo de Produtos'!$F$23:$F$39)</f>
        <v>0</v>
      </c>
      <c r="AA1034" s="56">
        <f>_xlfn.XLOOKUP($N1034,'Calculo Leads Conveniencia'!$A$77:$A$104,'Calculo Leads Conveniencia'!N$77:N$104)*_xlfn.XLOOKUP($P1034,'Base Grupo de Produtos'!$E$23:$E$39,'Base Grupo de Produtos'!$F$23:$F$39)</f>
        <v>0</v>
      </c>
      <c r="AB1034" s="56">
        <f>_xlfn.XLOOKUP($N1034,'Calculo Leads Conveniencia'!$A$77:$A$104,'Calculo Leads Conveniencia'!O$77:O$104)*_xlfn.XLOOKUP($P1034,'Base Grupo de Produtos'!$E$23:$E$39,'Base Grupo de Produtos'!$F$23:$F$39)</f>
        <v>0</v>
      </c>
      <c r="AC1034" s="61">
        <f t="shared" si="1003"/>
        <v>0</v>
      </c>
      <c r="AD1034" s="28"/>
      <c r="AE1034" s="12"/>
      <c r="AF1034" s="29"/>
      <c r="AG1034" s="9"/>
      <c r="AH1034" s="10"/>
      <c r="AI1034" s="9"/>
      <c r="AJ1034" s="11"/>
      <c r="AK1034" s="9"/>
      <c r="AL1034" s="13"/>
      <c r="AM1034" s="9"/>
    </row>
    <row r="1035" spans="1:39" x14ac:dyDescent="0.3">
      <c r="A1035" s="2" t="str">
        <f t="shared" si="962"/>
        <v>NÃO</v>
      </c>
      <c r="B1035" s="2" t="str">
        <f>_xlfn.XLOOKUP($N1035,'Base de Grupos'!$A:$A,'Base de Grupos'!$D:$D)</f>
        <v>1000065763</v>
      </c>
      <c r="C1035" s="5" t="str">
        <f>_xlfn.XLOOKUP($N1035,'Base de Grupos'!$A:$A,'Base de Grupos'!$E:$E)</f>
        <v>CANAL VENDA INTERNA</v>
      </c>
      <c r="D1035" s="5" t="str">
        <f>_xlfn.XLOOKUP($N1035,'Base de Grupos'!$A:$A,'Base de Grupos'!$F:$F)</f>
        <v>1000065763</v>
      </c>
      <c r="E1035" s="2" t="str">
        <f>_xlfn.XLOOKUP($N1035,'Base de Grupos'!$A:$A,'Base de Grupos'!$G:$G)</f>
        <v>CANAL VENDA INTERNA</v>
      </c>
      <c r="F1035" s="2" t="str">
        <f>_xlfn.XLOOKUP($N1035,'Base de Grupos'!$A:$A,'Base de Grupos'!$H:$H)</f>
        <v>1000174119</v>
      </c>
      <c r="G1035" s="5" t="str">
        <f>_xlfn.XLOOKUP($N1035,'Base de Grupos'!$A:$A,'Base de Grupos'!$I:$I)</f>
        <v>REGIONAL VENDA INTERNA - CONVENIENCIA</v>
      </c>
      <c r="H1035" s="5" t="str">
        <f>_xlfn.XLOOKUP($N1035,'Base de Grupos'!$A:$A,'Base de Grupos'!$J:$J)</f>
        <v>1000174119</v>
      </c>
      <c r="I1035" s="2" t="str">
        <f>_xlfn.XLOOKUP($N1035,'Base de Grupos'!$A:$A,'Base de Grupos'!$K:$K)</f>
        <v>REGIONAL VENDA INTERNA - CONVENIENCIA</v>
      </c>
      <c r="J1035" s="2" t="str">
        <f>_xlfn.XLOOKUP($N1035,'Base de Grupos'!$A:$A,'Base de Grupos'!$L:$L)</f>
        <v>1000174119</v>
      </c>
      <c r="K1035" s="5" t="str">
        <f>_xlfn.XLOOKUP($N1035,'Base de Grupos'!$A:$A,'Base de Grupos'!$M:$M)</f>
        <v>REGIONAL VENDA INTERNA - CONVENIENCIA</v>
      </c>
      <c r="L1035" s="5" t="str">
        <f t="shared" si="963"/>
        <v/>
      </c>
      <c r="M1035" s="5" t="str">
        <f>_xlfn.XLOOKUP($N1035,'Base de Grupos'!$A:$A,'Base de Grupos'!$C:$C)</f>
        <v>ES</v>
      </c>
      <c r="N1035" s="3">
        <v>1522</v>
      </c>
      <c r="O1035" s="4" t="s">
        <v>281</v>
      </c>
      <c r="P1035" s="5" t="s">
        <v>85</v>
      </c>
      <c r="Q1035" s="56">
        <v>0</v>
      </c>
      <c r="R1035" s="56">
        <v>0</v>
      </c>
      <c r="S1035" s="56">
        <v>0</v>
      </c>
      <c r="T1035" s="56">
        <f>_xlfn.XLOOKUP($N1035,'Calculo Leads Conveniencia'!$A$77:$A$104,'Calculo Leads Conveniencia'!G$77:G$104)*_xlfn.XLOOKUP($P1035,'Base Grupo de Produtos'!$E$23:$E$39,'Base Grupo de Produtos'!$F$23:$F$39)</f>
        <v>0</v>
      </c>
      <c r="U1035" s="56">
        <f>_xlfn.XLOOKUP($N1035,'Calculo Leads Conveniencia'!$A$77:$A$104,'Calculo Leads Conveniencia'!H$77:H$104)*_xlfn.XLOOKUP($P1035,'Base Grupo de Produtos'!$E$23:$E$39,'Base Grupo de Produtos'!$F$23:$F$39)</f>
        <v>0</v>
      </c>
      <c r="V1035" s="56">
        <f>_xlfn.XLOOKUP($N1035,'Calculo Leads Conveniencia'!$A$77:$A$104,'Calculo Leads Conveniencia'!I$77:I$104)*_xlfn.XLOOKUP($P1035,'Base Grupo de Produtos'!$E$23:$E$39,'Base Grupo de Produtos'!$F$23:$F$39)</f>
        <v>0</v>
      </c>
      <c r="W1035" s="56">
        <f>_xlfn.XLOOKUP($N1035,'Calculo Leads Conveniencia'!$A$77:$A$104,'Calculo Leads Conveniencia'!J$77:J$104)*_xlfn.XLOOKUP($P1035,'Base Grupo de Produtos'!$E$23:$E$39,'Base Grupo de Produtos'!$F$23:$F$39)</f>
        <v>0</v>
      </c>
      <c r="X1035" s="56">
        <f>_xlfn.XLOOKUP($N1035,'Calculo Leads Conveniencia'!$A$77:$A$104,'Calculo Leads Conveniencia'!K$77:K$104)*_xlfn.XLOOKUP($P1035,'Base Grupo de Produtos'!$E$23:$E$39,'Base Grupo de Produtos'!$F$23:$F$39)</f>
        <v>0</v>
      </c>
      <c r="Y1035" s="56">
        <f>_xlfn.XLOOKUP($N1035,'Calculo Leads Conveniencia'!$A$77:$A$104,'Calculo Leads Conveniencia'!L$77:L$104)*_xlfn.XLOOKUP($P1035,'Base Grupo de Produtos'!$E$23:$E$39,'Base Grupo de Produtos'!$F$23:$F$39)</f>
        <v>0</v>
      </c>
      <c r="Z1035" s="56">
        <f>_xlfn.XLOOKUP($N1035,'Calculo Leads Conveniencia'!$A$77:$A$104,'Calculo Leads Conveniencia'!M$77:M$104)*_xlfn.XLOOKUP($P1035,'Base Grupo de Produtos'!$E$23:$E$39,'Base Grupo de Produtos'!$F$23:$F$39)</f>
        <v>0</v>
      </c>
      <c r="AA1035" s="56">
        <f>_xlfn.XLOOKUP($N1035,'Calculo Leads Conveniencia'!$A$77:$A$104,'Calculo Leads Conveniencia'!N$77:N$104)*_xlfn.XLOOKUP($P1035,'Base Grupo de Produtos'!$E$23:$E$39,'Base Grupo de Produtos'!$F$23:$F$39)</f>
        <v>0</v>
      </c>
      <c r="AB1035" s="56">
        <f>_xlfn.XLOOKUP($N1035,'Calculo Leads Conveniencia'!$A$77:$A$104,'Calculo Leads Conveniencia'!O$77:O$104)*_xlfn.XLOOKUP($P1035,'Base Grupo de Produtos'!$E$23:$E$39,'Base Grupo de Produtos'!$F$23:$F$39)</f>
        <v>0</v>
      </c>
      <c r="AC1035" s="61">
        <f t="shared" si="1003"/>
        <v>0</v>
      </c>
      <c r="AD1035" s="28"/>
      <c r="AE1035" s="12"/>
      <c r="AF1035" s="29"/>
      <c r="AG1035" s="9"/>
      <c r="AH1035" s="10"/>
      <c r="AI1035" s="9"/>
      <c r="AJ1035" s="11"/>
      <c r="AK1035" s="9"/>
      <c r="AL1035" s="13"/>
      <c r="AM1035" s="9"/>
    </row>
    <row r="1036" spans="1:39" x14ac:dyDescent="0.3">
      <c r="A1036" s="2" t="str">
        <f t="shared" si="962"/>
        <v>NÃO</v>
      </c>
      <c r="B1036" s="2" t="str">
        <f>_xlfn.XLOOKUP($N1036,'Base de Grupos'!$A:$A,'Base de Grupos'!$D:$D)</f>
        <v>1000065763</v>
      </c>
      <c r="C1036" s="5" t="str">
        <f>_xlfn.XLOOKUP($N1036,'Base de Grupos'!$A:$A,'Base de Grupos'!$E:$E)</f>
        <v>CANAL VENDA INTERNA</v>
      </c>
      <c r="D1036" s="5" t="str">
        <f>_xlfn.XLOOKUP($N1036,'Base de Grupos'!$A:$A,'Base de Grupos'!$F:$F)</f>
        <v>1000065763</v>
      </c>
      <c r="E1036" s="2" t="str">
        <f>_xlfn.XLOOKUP($N1036,'Base de Grupos'!$A:$A,'Base de Grupos'!$G:$G)</f>
        <v>CANAL VENDA INTERNA</v>
      </c>
      <c r="F1036" s="2" t="str">
        <f>_xlfn.XLOOKUP($N1036,'Base de Grupos'!$A:$A,'Base de Grupos'!$H:$H)</f>
        <v>1000174119</v>
      </c>
      <c r="G1036" s="5" t="str">
        <f>_xlfn.XLOOKUP($N1036,'Base de Grupos'!$A:$A,'Base de Grupos'!$I:$I)</f>
        <v>REGIONAL VENDA INTERNA - CONVENIENCIA</v>
      </c>
      <c r="H1036" s="5" t="str">
        <f>_xlfn.XLOOKUP($N1036,'Base de Grupos'!$A:$A,'Base de Grupos'!$J:$J)</f>
        <v>1000174119</v>
      </c>
      <c r="I1036" s="2" t="str">
        <f>_xlfn.XLOOKUP($N1036,'Base de Grupos'!$A:$A,'Base de Grupos'!$K:$K)</f>
        <v>REGIONAL VENDA INTERNA - CONVENIENCIA</v>
      </c>
      <c r="J1036" s="2" t="str">
        <f>_xlfn.XLOOKUP($N1036,'Base de Grupos'!$A:$A,'Base de Grupos'!$L:$L)</f>
        <v>1000174119</v>
      </c>
      <c r="K1036" s="5" t="str">
        <f>_xlfn.XLOOKUP($N1036,'Base de Grupos'!$A:$A,'Base de Grupos'!$M:$M)</f>
        <v>REGIONAL VENDA INTERNA - CONVENIENCIA</v>
      </c>
      <c r="L1036" s="5" t="str">
        <f t="shared" si="963"/>
        <v/>
      </c>
      <c r="M1036" s="5" t="str">
        <f>_xlfn.XLOOKUP($N1036,'Base de Grupos'!$A:$A,'Base de Grupos'!$C:$C)</f>
        <v>ES</v>
      </c>
      <c r="N1036" s="3">
        <v>1522</v>
      </c>
      <c r="O1036" s="4" t="s">
        <v>281</v>
      </c>
      <c r="P1036" s="5" t="s">
        <v>92</v>
      </c>
      <c r="Q1036" s="56">
        <v>0</v>
      </c>
      <c r="R1036" s="56">
        <v>0</v>
      </c>
      <c r="S1036" s="56">
        <v>0</v>
      </c>
      <c r="T1036" s="56">
        <f>_xlfn.XLOOKUP($N1036,'Calculo Leads Conveniencia'!$A$77:$A$104,'Calculo Leads Conveniencia'!G$77:G$104)*_xlfn.XLOOKUP($P1036,'Base Grupo de Produtos'!$E$23:$E$39,'Base Grupo de Produtos'!$F$23:$F$39)</f>
        <v>0</v>
      </c>
      <c r="U1036" s="56">
        <f>_xlfn.XLOOKUP($N1036,'Calculo Leads Conveniencia'!$A$77:$A$104,'Calculo Leads Conveniencia'!H$77:H$104)*_xlfn.XLOOKUP($P1036,'Base Grupo de Produtos'!$E$23:$E$39,'Base Grupo de Produtos'!$F$23:$F$39)</f>
        <v>0</v>
      </c>
      <c r="V1036" s="56">
        <f>_xlfn.XLOOKUP($N1036,'Calculo Leads Conveniencia'!$A$77:$A$104,'Calculo Leads Conveniencia'!I$77:I$104)*_xlfn.XLOOKUP($P1036,'Base Grupo de Produtos'!$E$23:$E$39,'Base Grupo de Produtos'!$F$23:$F$39)</f>
        <v>0</v>
      </c>
      <c r="W1036" s="56">
        <f>_xlfn.XLOOKUP($N1036,'Calculo Leads Conveniencia'!$A$77:$A$104,'Calculo Leads Conveniencia'!J$77:J$104)*_xlfn.XLOOKUP($P1036,'Base Grupo de Produtos'!$E$23:$E$39,'Base Grupo de Produtos'!$F$23:$F$39)</f>
        <v>0</v>
      </c>
      <c r="X1036" s="56">
        <f>_xlfn.XLOOKUP($N1036,'Calculo Leads Conveniencia'!$A$77:$A$104,'Calculo Leads Conveniencia'!K$77:K$104)*_xlfn.XLOOKUP($P1036,'Base Grupo de Produtos'!$E$23:$E$39,'Base Grupo de Produtos'!$F$23:$F$39)</f>
        <v>0</v>
      </c>
      <c r="Y1036" s="56">
        <f>_xlfn.XLOOKUP($N1036,'Calculo Leads Conveniencia'!$A$77:$A$104,'Calculo Leads Conveniencia'!L$77:L$104)*_xlfn.XLOOKUP($P1036,'Base Grupo de Produtos'!$E$23:$E$39,'Base Grupo de Produtos'!$F$23:$F$39)</f>
        <v>0</v>
      </c>
      <c r="Z1036" s="56">
        <f>_xlfn.XLOOKUP($N1036,'Calculo Leads Conveniencia'!$A$77:$A$104,'Calculo Leads Conveniencia'!M$77:M$104)*_xlfn.XLOOKUP($P1036,'Base Grupo de Produtos'!$E$23:$E$39,'Base Grupo de Produtos'!$F$23:$F$39)</f>
        <v>0</v>
      </c>
      <c r="AA1036" s="56">
        <f>_xlfn.XLOOKUP($N1036,'Calculo Leads Conveniencia'!$A$77:$A$104,'Calculo Leads Conveniencia'!N$77:N$104)*_xlfn.XLOOKUP($P1036,'Base Grupo de Produtos'!$E$23:$E$39,'Base Grupo de Produtos'!$F$23:$F$39)</f>
        <v>0</v>
      </c>
      <c r="AB1036" s="56">
        <f>_xlfn.XLOOKUP($N1036,'Calculo Leads Conveniencia'!$A$77:$A$104,'Calculo Leads Conveniencia'!O$77:O$104)*_xlfn.XLOOKUP($P1036,'Base Grupo de Produtos'!$E$23:$E$39,'Base Grupo de Produtos'!$F$23:$F$39)</f>
        <v>0</v>
      </c>
      <c r="AC1036" s="61">
        <f t="shared" si="1003"/>
        <v>0</v>
      </c>
      <c r="AD1036" s="28"/>
      <c r="AE1036" s="12"/>
      <c r="AF1036" s="29"/>
      <c r="AG1036" s="9"/>
      <c r="AH1036" s="10"/>
      <c r="AI1036" s="9"/>
      <c r="AJ1036" s="11"/>
      <c r="AK1036" s="9"/>
      <c r="AL1036" s="13"/>
      <c r="AM1036" s="9"/>
    </row>
    <row r="1037" spans="1:39" x14ac:dyDescent="0.3">
      <c r="A1037" s="2" t="str">
        <f t="shared" si="962"/>
        <v>NÃO</v>
      </c>
      <c r="B1037" s="2" t="str">
        <f>_xlfn.XLOOKUP($N1037,'Base de Grupos'!$A:$A,'Base de Grupos'!$D:$D)</f>
        <v>1000065763</v>
      </c>
      <c r="C1037" s="5" t="str">
        <f>_xlfn.XLOOKUP($N1037,'Base de Grupos'!$A:$A,'Base de Grupos'!$E:$E)</f>
        <v>CANAL VENDA INTERNA</v>
      </c>
      <c r="D1037" s="5" t="str">
        <f>_xlfn.XLOOKUP($N1037,'Base de Grupos'!$A:$A,'Base de Grupos'!$F:$F)</f>
        <v>1000065763</v>
      </c>
      <c r="E1037" s="2" t="str">
        <f>_xlfn.XLOOKUP($N1037,'Base de Grupos'!$A:$A,'Base de Grupos'!$G:$G)</f>
        <v>CANAL VENDA INTERNA</v>
      </c>
      <c r="F1037" s="2" t="str">
        <f>_xlfn.XLOOKUP($N1037,'Base de Grupos'!$A:$A,'Base de Grupos'!$H:$H)</f>
        <v>1000174119</v>
      </c>
      <c r="G1037" s="5" t="str">
        <f>_xlfn.XLOOKUP($N1037,'Base de Grupos'!$A:$A,'Base de Grupos'!$I:$I)</f>
        <v>REGIONAL VENDA INTERNA - CONVENIENCIA</v>
      </c>
      <c r="H1037" s="5" t="str">
        <f>_xlfn.XLOOKUP($N1037,'Base de Grupos'!$A:$A,'Base de Grupos'!$J:$J)</f>
        <v>1000174119</v>
      </c>
      <c r="I1037" s="2" t="str">
        <f>_xlfn.XLOOKUP($N1037,'Base de Grupos'!$A:$A,'Base de Grupos'!$K:$K)</f>
        <v>REGIONAL VENDA INTERNA - CONVENIENCIA</v>
      </c>
      <c r="J1037" s="2" t="str">
        <f>_xlfn.XLOOKUP($N1037,'Base de Grupos'!$A:$A,'Base de Grupos'!$L:$L)</f>
        <v>1000174119</v>
      </c>
      <c r="K1037" s="5" t="str">
        <f>_xlfn.XLOOKUP($N1037,'Base de Grupos'!$A:$A,'Base de Grupos'!$M:$M)</f>
        <v>REGIONAL VENDA INTERNA - CONVENIENCIA</v>
      </c>
      <c r="L1037" s="5" t="str">
        <f t="shared" si="963"/>
        <v/>
      </c>
      <c r="M1037" s="5" t="str">
        <f>_xlfn.XLOOKUP($N1037,'Base de Grupos'!$A:$A,'Base de Grupos'!$C:$C)</f>
        <v>ES</v>
      </c>
      <c r="N1037" s="3">
        <v>1522</v>
      </c>
      <c r="O1037" s="4" t="s">
        <v>281</v>
      </c>
      <c r="P1037" s="5" t="s">
        <v>86</v>
      </c>
      <c r="Q1037" s="56">
        <v>0</v>
      </c>
      <c r="R1037" s="56">
        <v>0</v>
      </c>
      <c r="S1037" s="56">
        <v>0</v>
      </c>
      <c r="T1037" s="56">
        <f>_xlfn.XLOOKUP($N1037,'Calculo Leads Conveniencia'!$A$77:$A$104,'Calculo Leads Conveniencia'!G$77:G$104)*_xlfn.XLOOKUP($P1037,'Base Grupo de Produtos'!$E$23:$E$39,'Base Grupo de Produtos'!$F$23:$F$39)</f>
        <v>0</v>
      </c>
      <c r="U1037" s="56">
        <f>_xlfn.XLOOKUP($N1037,'Calculo Leads Conveniencia'!$A$77:$A$104,'Calculo Leads Conveniencia'!H$77:H$104)*_xlfn.XLOOKUP($P1037,'Base Grupo de Produtos'!$E$23:$E$39,'Base Grupo de Produtos'!$F$23:$F$39)</f>
        <v>0</v>
      </c>
      <c r="V1037" s="56">
        <f>_xlfn.XLOOKUP($N1037,'Calculo Leads Conveniencia'!$A$77:$A$104,'Calculo Leads Conveniencia'!I$77:I$104)*_xlfn.XLOOKUP($P1037,'Base Grupo de Produtos'!$E$23:$E$39,'Base Grupo de Produtos'!$F$23:$F$39)</f>
        <v>0</v>
      </c>
      <c r="W1037" s="56">
        <f>_xlfn.XLOOKUP($N1037,'Calculo Leads Conveniencia'!$A$77:$A$104,'Calculo Leads Conveniencia'!J$77:J$104)*_xlfn.XLOOKUP($P1037,'Base Grupo de Produtos'!$E$23:$E$39,'Base Grupo de Produtos'!$F$23:$F$39)</f>
        <v>0</v>
      </c>
      <c r="X1037" s="56">
        <f>_xlfn.XLOOKUP($N1037,'Calculo Leads Conveniencia'!$A$77:$A$104,'Calculo Leads Conveniencia'!K$77:K$104)*_xlfn.XLOOKUP($P1037,'Base Grupo de Produtos'!$E$23:$E$39,'Base Grupo de Produtos'!$F$23:$F$39)</f>
        <v>0</v>
      </c>
      <c r="Y1037" s="56">
        <f>_xlfn.XLOOKUP($N1037,'Calculo Leads Conveniencia'!$A$77:$A$104,'Calculo Leads Conveniencia'!L$77:L$104)*_xlfn.XLOOKUP($P1037,'Base Grupo de Produtos'!$E$23:$E$39,'Base Grupo de Produtos'!$F$23:$F$39)</f>
        <v>0</v>
      </c>
      <c r="Z1037" s="56">
        <f>_xlfn.XLOOKUP($N1037,'Calculo Leads Conveniencia'!$A$77:$A$104,'Calculo Leads Conveniencia'!M$77:M$104)*_xlfn.XLOOKUP($P1037,'Base Grupo de Produtos'!$E$23:$E$39,'Base Grupo de Produtos'!$F$23:$F$39)</f>
        <v>0</v>
      </c>
      <c r="AA1037" s="56">
        <f>_xlfn.XLOOKUP($N1037,'Calculo Leads Conveniencia'!$A$77:$A$104,'Calculo Leads Conveniencia'!N$77:N$104)*_xlfn.XLOOKUP($P1037,'Base Grupo de Produtos'!$E$23:$E$39,'Base Grupo de Produtos'!$F$23:$F$39)</f>
        <v>0</v>
      </c>
      <c r="AB1037" s="56">
        <f>_xlfn.XLOOKUP($N1037,'Calculo Leads Conveniencia'!$A$77:$A$104,'Calculo Leads Conveniencia'!O$77:O$104)*_xlfn.XLOOKUP($P1037,'Base Grupo de Produtos'!$E$23:$E$39,'Base Grupo de Produtos'!$F$23:$F$39)</f>
        <v>0</v>
      </c>
      <c r="AC1037" s="61">
        <f t="shared" si="1003"/>
        <v>0</v>
      </c>
      <c r="AD1037" s="28"/>
      <c r="AE1037" s="12"/>
      <c r="AF1037" s="29"/>
      <c r="AG1037" s="9"/>
      <c r="AH1037" s="10"/>
      <c r="AI1037" s="9"/>
      <c r="AJ1037" s="11"/>
      <c r="AK1037" s="9"/>
      <c r="AL1037" s="13"/>
      <c r="AM1037" s="9"/>
    </row>
    <row r="1038" spans="1:39" x14ac:dyDescent="0.3">
      <c r="A1038" s="2" t="str">
        <f t="shared" si="962"/>
        <v>NÃO</v>
      </c>
      <c r="B1038" s="2" t="str">
        <f>_xlfn.XLOOKUP($N1038,'Base de Grupos'!$A:$A,'Base de Grupos'!$D:$D)</f>
        <v>1000065763</v>
      </c>
      <c r="C1038" s="5" t="str">
        <f>_xlfn.XLOOKUP($N1038,'Base de Grupos'!$A:$A,'Base de Grupos'!$E:$E)</f>
        <v>CANAL VENDA INTERNA</v>
      </c>
      <c r="D1038" s="5" t="str">
        <f>_xlfn.XLOOKUP($N1038,'Base de Grupos'!$A:$A,'Base de Grupos'!$F:$F)</f>
        <v>1000065763</v>
      </c>
      <c r="E1038" s="2" t="str">
        <f>_xlfn.XLOOKUP($N1038,'Base de Grupos'!$A:$A,'Base de Grupos'!$G:$G)</f>
        <v>CANAL VENDA INTERNA</v>
      </c>
      <c r="F1038" s="2" t="str">
        <f>_xlfn.XLOOKUP($N1038,'Base de Grupos'!$A:$A,'Base de Grupos'!$H:$H)</f>
        <v>1000174119</v>
      </c>
      <c r="G1038" s="5" t="str">
        <f>_xlfn.XLOOKUP($N1038,'Base de Grupos'!$A:$A,'Base de Grupos'!$I:$I)</f>
        <v>REGIONAL VENDA INTERNA - CONVENIENCIA</v>
      </c>
      <c r="H1038" s="5" t="str">
        <f>_xlfn.XLOOKUP($N1038,'Base de Grupos'!$A:$A,'Base de Grupos'!$J:$J)</f>
        <v>1000174119</v>
      </c>
      <c r="I1038" s="2" t="str">
        <f>_xlfn.XLOOKUP($N1038,'Base de Grupos'!$A:$A,'Base de Grupos'!$K:$K)</f>
        <v>REGIONAL VENDA INTERNA - CONVENIENCIA</v>
      </c>
      <c r="J1038" s="2" t="str">
        <f>_xlfn.XLOOKUP($N1038,'Base de Grupos'!$A:$A,'Base de Grupos'!$L:$L)</f>
        <v>1000174119</v>
      </c>
      <c r="K1038" s="5" t="str">
        <f>_xlfn.XLOOKUP($N1038,'Base de Grupos'!$A:$A,'Base de Grupos'!$M:$M)</f>
        <v>REGIONAL VENDA INTERNA - CONVENIENCIA</v>
      </c>
      <c r="L1038" s="5" t="str">
        <f t="shared" si="963"/>
        <v/>
      </c>
      <c r="M1038" s="5" t="str">
        <f>_xlfn.XLOOKUP($N1038,'Base de Grupos'!$A:$A,'Base de Grupos'!$C:$C)</f>
        <v>ES</v>
      </c>
      <c r="N1038" s="3">
        <v>1522</v>
      </c>
      <c r="O1038" s="4" t="s">
        <v>281</v>
      </c>
      <c r="P1038" s="5" t="s">
        <v>108</v>
      </c>
      <c r="Q1038" s="56">
        <v>0</v>
      </c>
      <c r="R1038" s="56">
        <v>0</v>
      </c>
      <c r="S1038" s="56">
        <v>0</v>
      </c>
      <c r="T1038" s="56">
        <f>_xlfn.XLOOKUP($N1038,'Calculo Leads Conveniencia'!$A$77:$A$104,'Calculo Leads Conveniencia'!G$77:G$104)*_xlfn.XLOOKUP($P1038,'Base Grupo de Produtos'!$E$23:$E$39,'Base Grupo de Produtos'!$F$23:$F$39)</f>
        <v>0</v>
      </c>
      <c r="U1038" s="56">
        <f>_xlfn.XLOOKUP($N1038,'Calculo Leads Conveniencia'!$A$77:$A$104,'Calculo Leads Conveniencia'!H$77:H$104)*_xlfn.XLOOKUP($P1038,'Base Grupo de Produtos'!$E$23:$E$39,'Base Grupo de Produtos'!$F$23:$F$39)</f>
        <v>0</v>
      </c>
      <c r="V1038" s="56">
        <f>_xlfn.XLOOKUP($N1038,'Calculo Leads Conveniencia'!$A$77:$A$104,'Calculo Leads Conveniencia'!I$77:I$104)*_xlfn.XLOOKUP($P1038,'Base Grupo de Produtos'!$E$23:$E$39,'Base Grupo de Produtos'!$F$23:$F$39)</f>
        <v>0</v>
      </c>
      <c r="W1038" s="56">
        <f>_xlfn.XLOOKUP($N1038,'Calculo Leads Conveniencia'!$A$77:$A$104,'Calculo Leads Conveniencia'!J$77:J$104)*_xlfn.XLOOKUP($P1038,'Base Grupo de Produtos'!$E$23:$E$39,'Base Grupo de Produtos'!$F$23:$F$39)</f>
        <v>0</v>
      </c>
      <c r="X1038" s="56">
        <f>_xlfn.XLOOKUP($N1038,'Calculo Leads Conveniencia'!$A$77:$A$104,'Calculo Leads Conveniencia'!K$77:K$104)*_xlfn.XLOOKUP($P1038,'Base Grupo de Produtos'!$E$23:$E$39,'Base Grupo de Produtos'!$F$23:$F$39)</f>
        <v>0</v>
      </c>
      <c r="Y1038" s="56">
        <f>_xlfn.XLOOKUP($N1038,'Calculo Leads Conveniencia'!$A$77:$A$104,'Calculo Leads Conveniencia'!L$77:L$104)*_xlfn.XLOOKUP($P1038,'Base Grupo de Produtos'!$E$23:$E$39,'Base Grupo de Produtos'!$F$23:$F$39)</f>
        <v>0</v>
      </c>
      <c r="Z1038" s="56">
        <f>_xlfn.XLOOKUP($N1038,'Calculo Leads Conveniencia'!$A$77:$A$104,'Calculo Leads Conveniencia'!M$77:M$104)*_xlfn.XLOOKUP($P1038,'Base Grupo de Produtos'!$E$23:$E$39,'Base Grupo de Produtos'!$F$23:$F$39)</f>
        <v>0</v>
      </c>
      <c r="AA1038" s="56">
        <f>_xlfn.XLOOKUP($N1038,'Calculo Leads Conveniencia'!$A$77:$A$104,'Calculo Leads Conveniencia'!N$77:N$104)*_xlfn.XLOOKUP($P1038,'Base Grupo de Produtos'!$E$23:$E$39,'Base Grupo de Produtos'!$F$23:$F$39)</f>
        <v>0</v>
      </c>
      <c r="AB1038" s="56">
        <f>_xlfn.XLOOKUP($N1038,'Calculo Leads Conveniencia'!$A$77:$A$104,'Calculo Leads Conveniencia'!O$77:O$104)*_xlfn.XLOOKUP($P1038,'Base Grupo de Produtos'!$E$23:$E$39,'Base Grupo de Produtos'!$F$23:$F$39)</f>
        <v>0</v>
      </c>
      <c r="AC1038" s="61">
        <f t="shared" si="1003"/>
        <v>0</v>
      </c>
      <c r="AD1038" s="28"/>
      <c r="AE1038" s="12"/>
      <c r="AF1038" s="29"/>
      <c r="AG1038" s="9"/>
      <c r="AH1038" s="10"/>
      <c r="AI1038" s="9"/>
      <c r="AJ1038" s="11"/>
      <c r="AK1038" s="9"/>
      <c r="AL1038" s="13"/>
      <c r="AM1038" s="9"/>
    </row>
    <row r="1039" spans="1:39" x14ac:dyDescent="0.3">
      <c r="A1039" s="2" t="str">
        <f t="shared" si="962"/>
        <v>NÃO</v>
      </c>
      <c r="B1039" s="2" t="str">
        <f>_xlfn.XLOOKUP($N1039,'Base de Grupos'!$A:$A,'Base de Grupos'!$D:$D)</f>
        <v>1000065763</v>
      </c>
      <c r="C1039" s="5" t="str">
        <f>_xlfn.XLOOKUP($N1039,'Base de Grupos'!$A:$A,'Base de Grupos'!$E:$E)</f>
        <v>CANAL VENDA INTERNA</v>
      </c>
      <c r="D1039" s="5" t="str">
        <f>_xlfn.XLOOKUP($N1039,'Base de Grupos'!$A:$A,'Base de Grupos'!$F:$F)</f>
        <v>1000065763</v>
      </c>
      <c r="E1039" s="2" t="str">
        <f>_xlfn.XLOOKUP($N1039,'Base de Grupos'!$A:$A,'Base de Grupos'!$G:$G)</f>
        <v>CANAL VENDA INTERNA</v>
      </c>
      <c r="F1039" s="2" t="str">
        <f>_xlfn.XLOOKUP($N1039,'Base de Grupos'!$A:$A,'Base de Grupos'!$H:$H)</f>
        <v>1000174119</v>
      </c>
      <c r="G1039" s="5" t="str">
        <f>_xlfn.XLOOKUP($N1039,'Base de Grupos'!$A:$A,'Base de Grupos'!$I:$I)</f>
        <v>REGIONAL VENDA INTERNA - CONVENIENCIA</v>
      </c>
      <c r="H1039" s="5" t="str">
        <f>_xlfn.XLOOKUP($N1039,'Base de Grupos'!$A:$A,'Base de Grupos'!$J:$J)</f>
        <v>1000174119</v>
      </c>
      <c r="I1039" s="2" t="str">
        <f>_xlfn.XLOOKUP($N1039,'Base de Grupos'!$A:$A,'Base de Grupos'!$K:$K)</f>
        <v>REGIONAL VENDA INTERNA - CONVENIENCIA</v>
      </c>
      <c r="J1039" s="2" t="str">
        <f>_xlfn.XLOOKUP($N1039,'Base de Grupos'!$A:$A,'Base de Grupos'!$L:$L)</f>
        <v>1000174119</v>
      </c>
      <c r="K1039" s="5" t="str">
        <f>_xlfn.XLOOKUP($N1039,'Base de Grupos'!$A:$A,'Base de Grupos'!$M:$M)</f>
        <v>REGIONAL VENDA INTERNA - CONVENIENCIA</v>
      </c>
      <c r="L1039" s="5" t="str">
        <f t="shared" si="963"/>
        <v/>
      </c>
      <c r="M1039" s="5" t="str">
        <f>_xlfn.XLOOKUP($N1039,'Base de Grupos'!$A:$A,'Base de Grupos'!$C:$C)</f>
        <v>ES</v>
      </c>
      <c r="N1039" s="3">
        <v>1522</v>
      </c>
      <c r="O1039" s="4" t="s">
        <v>281</v>
      </c>
      <c r="P1039" s="5" t="s">
        <v>89</v>
      </c>
      <c r="Q1039" s="56">
        <v>0</v>
      </c>
      <c r="R1039" s="56">
        <v>0</v>
      </c>
      <c r="S1039" s="56">
        <v>0</v>
      </c>
      <c r="T1039" s="56">
        <f>_xlfn.XLOOKUP($N1039,'Calculo Leads Conveniencia'!$A$77:$A$104,'Calculo Leads Conveniencia'!G$77:G$104)*_xlfn.XLOOKUP($P1039,'Base Grupo de Produtos'!$E$23:$E$39,'Base Grupo de Produtos'!$F$23:$F$39)</f>
        <v>0</v>
      </c>
      <c r="U1039" s="56">
        <f>_xlfn.XLOOKUP($N1039,'Calculo Leads Conveniencia'!$A$77:$A$104,'Calculo Leads Conveniencia'!H$77:H$104)*_xlfn.XLOOKUP($P1039,'Base Grupo de Produtos'!$E$23:$E$39,'Base Grupo de Produtos'!$F$23:$F$39)</f>
        <v>0</v>
      </c>
      <c r="V1039" s="56">
        <f>_xlfn.XLOOKUP($N1039,'Calculo Leads Conveniencia'!$A$77:$A$104,'Calculo Leads Conveniencia'!I$77:I$104)*_xlfn.XLOOKUP($P1039,'Base Grupo de Produtos'!$E$23:$E$39,'Base Grupo de Produtos'!$F$23:$F$39)</f>
        <v>0</v>
      </c>
      <c r="W1039" s="56">
        <f>_xlfn.XLOOKUP($N1039,'Calculo Leads Conveniencia'!$A$77:$A$104,'Calculo Leads Conveniencia'!J$77:J$104)*_xlfn.XLOOKUP($P1039,'Base Grupo de Produtos'!$E$23:$E$39,'Base Grupo de Produtos'!$F$23:$F$39)</f>
        <v>0</v>
      </c>
      <c r="X1039" s="56">
        <f>_xlfn.XLOOKUP($N1039,'Calculo Leads Conveniencia'!$A$77:$A$104,'Calculo Leads Conveniencia'!K$77:K$104)*_xlfn.XLOOKUP($P1039,'Base Grupo de Produtos'!$E$23:$E$39,'Base Grupo de Produtos'!$F$23:$F$39)</f>
        <v>0</v>
      </c>
      <c r="Y1039" s="56">
        <f>_xlfn.XLOOKUP($N1039,'Calculo Leads Conveniencia'!$A$77:$A$104,'Calculo Leads Conveniencia'!L$77:L$104)*_xlfn.XLOOKUP($P1039,'Base Grupo de Produtos'!$E$23:$E$39,'Base Grupo de Produtos'!$F$23:$F$39)</f>
        <v>0</v>
      </c>
      <c r="Z1039" s="56">
        <f>_xlfn.XLOOKUP($N1039,'Calculo Leads Conveniencia'!$A$77:$A$104,'Calculo Leads Conveniencia'!M$77:M$104)*_xlfn.XLOOKUP($P1039,'Base Grupo de Produtos'!$E$23:$E$39,'Base Grupo de Produtos'!$F$23:$F$39)</f>
        <v>0</v>
      </c>
      <c r="AA1039" s="56">
        <f>_xlfn.XLOOKUP($N1039,'Calculo Leads Conveniencia'!$A$77:$A$104,'Calculo Leads Conveniencia'!N$77:N$104)*_xlfn.XLOOKUP($P1039,'Base Grupo de Produtos'!$E$23:$E$39,'Base Grupo de Produtos'!$F$23:$F$39)</f>
        <v>0</v>
      </c>
      <c r="AB1039" s="56">
        <f>_xlfn.XLOOKUP($N1039,'Calculo Leads Conveniencia'!$A$77:$A$104,'Calculo Leads Conveniencia'!O$77:O$104)*_xlfn.XLOOKUP($P1039,'Base Grupo de Produtos'!$E$23:$E$39,'Base Grupo de Produtos'!$F$23:$F$39)</f>
        <v>0</v>
      </c>
      <c r="AC1039" s="61">
        <f t="shared" si="1003"/>
        <v>0</v>
      </c>
      <c r="AD1039" s="28"/>
      <c r="AE1039" s="12"/>
      <c r="AF1039" s="29"/>
      <c r="AG1039" s="9"/>
      <c r="AH1039" s="10"/>
      <c r="AI1039" s="9"/>
      <c r="AJ1039" s="11"/>
      <c r="AK1039" s="9"/>
      <c r="AL1039" s="13"/>
      <c r="AM1039" s="9"/>
    </row>
    <row r="1040" spans="1:39" x14ac:dyDescent="0.3">
      <c r="A1040" s="2" t="str">
        <f t="shared" si="962"/>
        <v>NÃO</v>
      </c>
      <c r="B1040" s="2" t="str">
        <f>_xlfn.XLOOKUP($N1040,'Base de Grupos'!$A:$A,'Base de Grupos'!$D:$D)</f>
        <v>1000065763</v>
      </c>
      <c r="C1040" s="5" t="str">
        <f>_xlfn.XLOOKUP($N1040,'Base de Grupos'!$A:$A,'Base de Grupos'!$E:$E)</f>
        <v>CANAL VENDA INTERNA</v>
      </c>
      <c r="D1040" s="5" t="str">
        <f>_xlfn.XLOOKUP($N1040,'Base de Grupos'!$A:$A,'Base de Grupos'!$F:$F)</f>
        <v>1000065763</v>
      </c>
      <c r="E1040" s="2" t="str">
        <f>_xlfn.XLOOKUP($N1040,'Base de Grupos'!$A:$A,'Base de Grupos'!$G:$G)</f>
        <v>CANAL VENDA INTERNA</v>
      </c>
      <c r="F1040" s="2" t="str">
        <f>_xlfn.XLOOKUP($N1040,'Base de Grupos'!$A:$A,'Base de Grupos'!$H:$H)</f>
        <v>1000174119</v>
      </c>
      <c r="G1040" s="5" t="str">
        <f>_xlfn.XLOOKUP($N1040,'Base de Grupos'!$A:$A,'Base de Grupos'!$I:$I)</f>
        <v>REGIONAL VENDA INTERNA - CONVENIENCIA</v>
      </c>
      <c r="H1040" s="5" t="str">
        <f>_xlfn.XLOOKUP($N1040,'Base de Grupos'!$A:$A,'Base de Grupos'!$J:$J)</f>
        <v>1000174119</v>
      </c>
      <c r="I1040" s="2" t="str">
        <f>_xlfn.XLOOKUP($N1040,'Base de Grupos'!$A:$A,'Base de Grupos'!$K:$K)</f>
        <v>REGIONAL VENDA INTERNA - CONVENIENCIA</v>
      </c>
      <c r="J1040" s="2" t="str">
        <f>_xlfn.XLOOKUP($N1040,'Base de Grupos'!$A:$A,'Base de Grupos'!$L:$L)</f>
        <v>1000174119</v>
      </c>
      <c r="K1040" s="5" t="str">
        <f>_xlfn.XLOOKUP($N1040,'Base de Grupos'!$A:$A,'Base de Grupos'!$M:$M)</f>
        <v>REGIONAL VENDA INTERNA - CONVENIENCIA</v>
      </c>
      <c r="L1040" s="5" t="str">
        <f t="shared" si="963"/>
        <v/>
      </c>
      <c r="M1040" s="5" t="str">
        <f>_xlfn.XLOOKUP($N1040,'Base de Grupos'!$A:$A,'Base de Grupos'!$C:$C)</f>
        <v>ES</v>
      </c>
      <c r="N1040" s="3">
        <v>1522</v>
      </c>
      <c r="O1040" s="4" t="s">
        <v>281</v>
      </c>
      <c r="P1040" s="5" t="s">
        <v>88</v>
      </c>
      <c r="Q1040" s="56">
        <v>0</v>
      </c>
      <c r="R1040" s="56">
        <v>0</v>
      </c>
      <c r="S1040" s="56">
        <v>0</v>
      </c>
      <c r="T1040" s="56">
        <f>_xlfn.XLOOKUP($N1040,'Calculo Leads Conveniencia'!$A$77:$A$104,'Calculo Leads Conveniencia'!G$77:G$104)*_xlfn.XLOOKUP($P1040,'Base Grupo de Produtos'!$E$23:$E$39,'Base Grupo de Produtos'!$F$23:$F$39)</f>
        <v>0</v>
      </c>
      <c r="U1040" s="56">
        <f>_xlfn.XLOOKUP($N1040,'Calculo Leads Conveniencia'!$A$77:$A$104,'Calculo Leads Conveniencia'!H$77:H$104)*_xlfn.XLOOKUP($P1040,'Base Grupo de Produtos'!$E$23:$E$39,'Base Grupo de Produtos'!$F$23:$F$39)</f>
        <v>0</v>
      </c>
      <c r="V1040" s="56">
        <f>_xlfn.XLOOKUP($N1040,'Calculo Leads Conveniencia'!$A$77:$A$104,'Calculo Leads Conveniencia'!I$77:I$104)*_xlfn.XLOOKUP($P1040,'Base Grupo de Produtos'!$E$23:$E$39,'Base Grupo de Produtos'!$F$23:$F$39)</f>
        <v>0</v>
      </c>
      <c r="W1040" s="56">
        <f>_xlfn.XLOOKUP($N1040,'Calculo Leads Conveniencia'!$A$77:$A$104,'Calculo Leads Conveniencia'!J$77:J$104)*_xlfn.XLOOKUP($P1040,'Base Grupo de Produtos'!$E$23:$E$39,'Base Grupo de Produtos'!$F$23:$F$39)</f>
        <v>0</v>
      </c>
      <c r="X1040" s="56">
        <f>_xlfn.XLOOKUP($N1040,'Calculo Leads Conveniencia'!$A$77:$A$104,'Calculo Leads Conveniencia'!K$77:K$104)*_xlfn.XLOOKUP($P1040,'Base Grupo de Produtos'!$E$23:$E$39,'Base Grupo de Produtos'!$F$23:$F$39)</f>
        <v>0</v>
      </c>
      <c r="Y1040" s="56">
        <f>_xlfn.XLOOKUP($N1040,'Calculo Leads Conveniencia'!$A$77:$A$104,'Calculo Leads Conveniencia'!L$77:L$104)*_xlfn.XLOOKUP($P1040,'Base Grupo de Produtos'!$E$23:$E$39,'Base Grupo de Produtos'!$F$23:$F$39)</f>
        <v>0</v>
      </c>
      <c r="Z1040" s="56">
        <f>_xlfn.XLOOKUP($N1040,'Calculo Leads Conveniencia'!$A$77:$A$104,'Calculo Leads Conveniencia'!M$77:M$104)*_xlfn.XLOOKUP($P1040,'Base Grupo de Produtos'!$E$23:$E$39,'Base Grupo de Produtos'!$F$23:$F$39)</f>
        <v>0</v>
      </c>
      <c r="AA1040" s="56">
        <f>_xlfn.XLOOKUP($N1040,'Calculo Leads Conveniencia'!$A$77:$A$104,'Calculo Leads Conveniencia'!N$77:N$104)*_xlfn.XLOOKUP($P1040,'Base Grupo de Produtos'!$E$23:$E$39,'Base Grupo de Produtos'!$F$23:$F$39)</f>
        <v>0</v>
      </c>
      <c r="AB1040" s="56">
        <f>_xlfn.XLOOKUP($N1040,'Calculo Leads Conveniencia'!$A$77:$A$104,'Calculo Leads Conveniencia'!O$77:O$104)*_xlfn.XLOOKUP($P1040,'Base Grupo de Produtos'!$E$23:$E$39,'Base Grupo de Produtos'!$F$23:$F$39)</f>
        <v>0</v>
      </c>
      <c r="AC1040" s="61">
        <f t="shared" si="1003"/>
        <v>0</v>
      </c>
      <c r="AD1040" s="28"/>
      <c r="AE1040" s="12"/>
      <c r="AF1040" s="29"/>
      <c r="AG1040" s="9"/>
      <c r="AH1040" s="10"/>
      <c r="AI1040" s="9"/>
      <c r="AJ1040" s="11"/>
      <c r="AK1040" s="9"/>
      <c r="AL1040" s="13"/>
      <c r="AM1040" s="9"/>
    </row>
    <row r="1041" spans="1:39" x14ac:dyDescent="0.3">
      <c r="A1041" s="2" t="str">
        <f t="shared" si="962"/>
        <v>NÃO</v>
      </c>
      <c r="B1041" s="2" t="str">
        <f>_xlfn.XLOOKUP($N1041,'Base de Grupos'!$A:$A,'Base de Grupos'!$D:$D)</f>
        <v>1000065763</v>
      </c>
      <c r="C1041" s="5" t="str">
        <f>_xlfn.XLOOKUP($N1041,'Base de Grupos'!$A:$A,'Base de Grupos'!$E:$E)</f>
        <v>CANAL VENDA INTERNA</v>
      </c>
      <c r="D1041" s="5" t="str">
        <f>_xlfn.XLOOKUP($N1041,'Base de Grupos'!$A:$A,'Base de Grupos'!$F:$F)</f>
        <v>1000065763</v>
      </c>
      <c r="E1041" s="2" t="str">
        <f>_xlfn.XLOOKUP($N1041,'Base de Grupos'!$A:$A,'Base de Grupos'!$G:$G)</f>
        <v>CANAL VENDA INTERNA</v>
      </c>
      <c r="F1041" s="2" t="str">
        <f>_xlfn.XLOOKUP($N1041,'Base de Grupos'!$A:$A,'Base de Grupos'!$H:$H)</f>
        <v>1000174119</v>
      </c>
      <c r="G1041" s="5" t="str">
        <f>_xlfn.XLOOKUP($N1041,'Base de Grupos'!$A:$A,'Base de Grupos'!$I:$I)</f>
        <v>REGIONAL VENDA INTERNA - CONVENIENCIA</v>
      </c>
      <c r="H1041" s="5" t="str">
        <f>_xlfn.XLOOKUP($N1041,'Base de Grupos'!$A:$A,'Base de Grupos'!$J:$J)</f>
        <v>1000174119</v>
      </c>
      <c r="I1041" s="2" t="str">
        <f>_xlfn.XLOOKUP($N1041,'Base de Grupos'!$A:$A,'Base de Grupos'!$K:$K)</f>
        <v>REGIONAL VENDA INTERNA - CONVENIENCIA</v>
      </c>
      <c r="J1041" s="2" t="str">
        <f>_xlfn.XLOOKUP($N1041,'Base de Grupos'!$A:$A,'Base de Grupos'!$L:$L)</f>
        <v>1000174119</v>
      </c>
      <c r="K1041" s="5" t="str">
        <f>_xlfn.XLOOKUP($N1041,'Base de Grupos'!$A:$A,'Base de Grupos'!$M:$M)</f>
        <v>REGIONAL VENDA INTERNA - CONVENIENCIA</v>
      </c>
      <c r="L1041" s="5" t="str">
        <f t="shared" si="963"/>
        <v/>
      </c>
      <c r="M1041" s="5" t="str">
        <f>_xlfn.XLOOKUP($N1041,'Base de Grupos'!$A:$A,'Base de Grupos'!$C:$C)</f>
        <v>ES</v>
      </c>
      <c r="N1041" s="3">
        <v>1522</v>
      </c>
      <c r="O1041" s="4" t="s">
        <v>281</v>
      </c>
      <c r="P1041" s="5" t="s">
        <v>90</v>
      </c>
      <c r="Q1041" s="56">
        <v>0</v>
      </c>
      <c r="R1041" s="56">
        <v>0</v>
      </c>
      <c r="S1041" s="56">
        <v>0</v>
      </c>
      <c r="T1041" s="56">
        <f>_xlfn.XLOOKUP($N1041,'Calculo Leads Conveniencia'!$A$77:$A$104,'Calculo Leads Conveniencia'!G$77:G$104)*_xlfn.XLOOKUP($P1041,'Base Grupo de Produtos'!$E$23:$E$39,'Base Grupo de Produtos'!$F$23:$F$39)</f>
        <v>0</v>
      </c>
      <c r="U1041" s="56">
        <f>_xlfn.XLOOKUP($N1041,'Calculo Leads Conveniencia'!$A$77:$A$104,'Calculo Leads Conveniencia'!H$77:H$104)*_xlfn.XLOOKUP($P1041,'Base Grupo de Produtos'!$E$23:$E$39,'Base Grupo de Produtos'!$F$23:$F$39)</f>
        <v>0</v>
      </c>
      <c r="V1041" s="56">
        <f>_xlfn.XLOOKUP($N1041,'Calculo Leads Conveniencia'!$A$77:$A$104,'Calculo Leads Conveniencia'!I$77:I$104)*_xlfn.XLOOKUP($P1041,'Base Grupo de Produtos'!$E$23:$E$39,'Base Grupo de Produtos'!$F$23:$F$39)</f>
        <v>0</v>
      </c>
      <c r="W1041" s="56">
        <f>_xlfn.XLOOKUP($N1041,'Calculo Leads Conveniencia'!$A$77:$A$104,'Calculo Leads Conveniencia'!J$77:J$104)*_xlfn.XLOOKUP($P1041,'Base Grupo de Produtos'!$E$23:$E$39,'Base Grupo de Produtos'!$F$23:$F$39)</f>
        <v>0</v>
      </c>
      <c r="X1041" s="56">
        <f>_xlfn.XLOOKUP($N1041,'Calculo Leads Conveniencia'!$A$77:$A$104,'Calculo Leads Conveniencia'!K$77:K$104)*_xlfn.XLOOKUP($P1041,'Base Grupo de Produtos'!$E$23:$E$39,'Base Grupo de Produtos'!$F$23:$F$39)</f>
        <v>0</v>
      </c>
      <c r="Y1041" s="56">
        <f>_xlfn.XLOOKUP($N1041,'Calculo Leads Conveniencia'!$A$77:$A$104,'Calculo Leads Conveniencia'!L$77:L$104)*_xlfn.XLOOKUP($P1041,'Base Grupo de Produtos'!$E$23:$E$39,'Base Grupo de Produtos'!$F$23:$F$39)</f>
        <v>0</v>
      </c>
      <c r="Z1041" s="56">
        <f>_xlfn.XLOOKUP($N1041,'Calculo Leads Conveniencia'!$A$77:$A$104,'Calculo Leads Conveniencia'!M$77:M$104)*_xlfn.XLOOKUP($P1041,'Base Grupo de Produtos'!$E$23:$E$39,'Base Grupo de Produtos'!$F$23:$F$39)</f>
        <v>0</v>
      </c>
      <c r="AA1041" s="56">
        <f>_xlfn.XLOOKUP($N1041,'Calculo Leads Conveniencia'!$A$77:$A$104,'Calculo Leads Conveniencia'!N$77:N$104)*_xlfn.XLOOKUP($P1041,'Base Grupo de Produtos'!$E$23:$E$39,'Base Grupo de Produtos'!$F$23:$F$39)</f>
        <v>0</v>
      </c>
      <c r="AB1041" s="56">
        <f>_xlfn.XLOOKUP($N1041,'Calculo Leads Conveniencia'!$A$77:$A$104,'Calculo Leads Conveniencia'!O$77:O$104)*_xlfn.XLOOKUP($P1041,'Base Grupo de Produtos'!$E$23:$E$39,'Base Grupo de Produtos'!$F$23:$F$39)</f>
        <v>0</v>
      </c>
      <c r="AC1041" s="61">
        <f t="shared" si="1003"/>
        <v>0</v>
      </c>
      <c r="AD1041" s="28"/>
      <c r="AE1041" s="12"/>
      <c r="AF1041" s="29"/>
      <c r="AG1041" s="9"/>
      <c r="AH1041" s="10"/>
      <c r="AI1041" s="9"/>
      <c r="AJ1041" s="11"/>
      <c r="AK1041" s="9"/>
      <c r="AL1041" s="13"/>
      <c r="AM1041" s="9"/>
    </row>
    <row r="1042" spans="1:39" x14ac:dyDescent="0.3">
      <c r="A1042" s="2" t="str">
        <f t="shared" si="962"/>
        <v>NÃO</v>
      </c>
      <c r="B1042" s="2" t="str">
        <f>_xlfn.XLOOKUP($N1042,'Base de Grupos'!$A:$A,'Base de Grupos'!$D:$D)</f>
        <v>1000065763</v>
      </c>
      <c r="C1042" s="5" t="str">
        <f>_xlfn.XLOOKUP($N1042,'Base de Grupos'!$A:$A,'Base de Grupos'!$E:$E)</f>
        <v>CANAL VENDA INTERNA</v>
      </c>
      <c r="D1042" s="5" t="str">
        <f>_xlfn.XLOOKUP($N1042,'Base de Grupos'!$A:$A,'Base de Grupos'!$F:$F)</f>
        <v>1000065763</v>
      </c>
      <c r="E1042" s="2" t="str">
        <f>_xlfn.XLOOKUP($N1042,'Base de Grupos'!$A:$A,'Base de Grupos'!$G:$G)</f>
        <v>CANAL VENDA INTERNA</v>
      </c>
      <c r="F1042" s="2" t="str">
        <f>_xlfn.XLOOKUP($N1042,'Base de Grupos'!$A:$A,'Base de Grupos'!$H:$H)</f>
        <v>1000174119</v>
      </c>
      <c r="G1042" s="5" t="str">
        <f>_xlfn.XLOOKUP($N1042,'Base de Grupos'!$A:$A,'Base de Grupos'!$I:$I)</f>
        <v>REGIONAL VENDA INTERNA - CONVENIENCIA</v>
      </c>
      <c r="H1042" s="5" t="str">
        <f>_xlfn.XLOOKUP($N1042,'Base de Grupos'!$A:$A,'Base de Grupos'!$J:$J)</f>
        <v>1000174119</v>
      </c>
      <c r="I1042" s="2" t="str">
        <f>_xlfn.XLOOKUP($N1042,'Base de Grupos'!$A:$A,'Base de Grupos'!$K:$K)</f>
        <v>REGIONAL VENDA INTERNA - CONVENIENCIA</v>
      </c>
      <c r="J1042" s="2" t="str">
        <f>_xlfn.XLOOKUP($N1042,'Base de Grupos'!$A:$A,'Base de Grupos'!$L:$L)</f>
        <v>1000174119</v>
      </c>
      <c r="K1042" s="5" t="str">
        <f>_xlfn.XLOOKUP($N1042,'Base de Grupos'!$A:$A,'Base de Grupos'!$M:$M)</f>
        <v>REGIONAL VENDA INTERNA - CONVENIENCIA</v>
      </c>
      <c r="L1042" s="5" t="str">
        <f t="shared" si="963"/>
        <v/>
      </c>
      <c r="M1042" s="5" t="str">
        <f>_xlfn.XLOOKUP($N1042,'Base de Grupos'!$A:$A,'Base de Grupos'!$C:$C)</f>
        <v>ES</v>
      </c>
      <c r="N1042" s="3">
        <v>1522</v>
      </c>
      <c r="O1042" s="4" t="s">
        <v>281</v>
      </c>
      <c r="P1042" s="5" t="s">
        <v>91</v>
      </c>
      <c r="Q1042" s="56">
        <v>0</v>
      </c>
      <c r="R1042" s="56">
        <v>0</v>
      </c>
      <c r="S1042" s="56">
        <v>0</v>
      </c>
      <c r="T1042" s="56">
        <f>_xlfn.XLOOKUP($N1042,'Calculo Leads Conveniencia'!$A$77:$A$104,'Calculo Leads Conveniencia'!G$77:G$104)*_xlfn.XLOOKUP($P1042,'Base Grupo de Produtos'!$E$23:$E$39,'Base Grupo de Produtos'!$F$23:$F$39)</f>
        <v>0</v>
      </c>
      <c r="U1042" s="56">
        <f>_xlfn.XLOOKUP($N1042,'Calculo Leads Conveniencia'!$A$77:$A$104,'Calculo Leads Conveniencia'!H$77:H$104)*_xlfn.XLOOKUP($P1042,'Base Grupo de Produtos'!$E$23:$E$39,'Base Grupo de Produtos'!$F$23:$F$39)</f>
        <v>0</v>
      </c>
      <c r="V1042" s="56">
        <f>_xlfn.XLOOKUP($N1042,'Calculo Leads Conveniencia'!$A$77:$A$104,'Calculo Leads Conveniencia'!I$77:I$104)*_xlfn.XLOOKUP($P1042,'Base Grupo de Produtos'!$E$23:$E$39,'Base Grupo de Produtos'!$F$23:$F$39)</f>
        <v>0</v>
      </c>
      <c r="W1042" s="56">
        <f>_xlfn.XLOOKUP($N1042,'Calculo Leads Conveniencia'!$A$77:$A$104,'Calculo Leads Conveniencia'!J$77:J$104)*_xlfn.XLOOKUP($P1042,'Base Grupo de Produtos'!$E$23:$E$39,'Base Grupo de Produtos'!$F$23:$F$39)</f>
        <v>0</v>
      </c>
      <c r="X1042" s="56">
        <f>_xlfn.XLOOKUP($N1042,'Calculo Leads Conveniencia'!$A$77:$A$104,'Calculo Leads Conveniencia'!K$77:K$104)*_xlfn.XLOOKUP($P1042,'Base Grupo de Produtos'!$E$23:$E$39,'Base Grupo de Produtos'!$F$23:$F$39)</f>
        <v>0</v>
      </c>
      <c r="Y1042" s="56">
        <f>_xlfn.XLOOKUP($N1042,'Calculo Leads Conveniencia'!$A$77:$A$104,'Calculo Leads Conveniencia'!L$77:L$104)*_xlfn.XLOOKUP($P1042,'Base Grupo de Produtos'!$E$23:$E$39,'Base Grupo de Produtos'!$F$23:$F$39)</f>
        <v>0</v>
      </c>
      <c r="Z1042" s="56">
        <f>_xlfn.XLOOKUP($N1042,'Calculo Leads Conveniencia'!$A$77:$A$104,'Calculo Leads Conveniencia'!M$77:M$104)*_xlfn.XLOOKUP($P1042,'Base Grupo de Produtos'!$E$23:$E$39,'Base Grupo de Produtos'!$F$23:$F$39)</f>
        <v>0</v>
      </c>
      <c r="AA1042" s="56">
        <f>_xlfn.XLOOKUP($N1042,'Calculo Leads Conveniencia'!$A$77:$A$104,'Calculo Leads Conveniencia'!N$77:N$104)*_xlfn.XLOOKUP($P1042,'Base Grupo de Produtos'!$E$23:$E$39,'Base Grupo de Produtos'!$F$23:$F$39)</f>
        <v>0</v>
      </c>
      <c r="AB1042" s="56">
        <f>_xlfn.XLOOKUP($N1042,'Calculo Leads Conveniencia'!$A$77:$A$104,'Calculo Leads Conveniencia'!O$77:O$104)*_xlfn.XLOOKUP($P1042,'Base Grupo de Produtos'!$E$23:$E$39,'Base Grupo de Produtos'!$F$23:$F$39)</f>
        <v>0</v>
      </c>
      <c r="AC1042" s="61">
        <f t="shared" si="1003"/>
        <v>0</v>
      </c>
      <c r="AD1042" s="28"/>
      <c r="AE1042" s="12"/>
      <c r="AF1042" s="29"/>
      <c r="AG1042" s="9"/>
      <c r="AH1042" s="10"/>
      <c r="AI1042" s="9"/>
      <c r="AJ1042" s="11"/>
      <c r="AK1042" s="9"/>
      <c r="AL1042" s="13"/>
      <c r="AM1042" s="9"/>
    </row>
    <row r="1043" spans="1:39" x14ac:dyDescent="0.3">
      <c r="A1043" s="2" t="str">
        <f t="shared" si="962"/>
        <v>NÃO</v>
      </c>
      <c r="B1043" s="2" t="str">
        <f>_xlfn.XLOOKUP($N1043,'Base de Grupos'!$A:$A,'Base de Grupos'!$D:$D)</f>
        <v>1000065763</v>
      </c>
      <c r="C1043" s="5" t="str">
        <f>_xlfn.XLOOKUP($N1043,'Base de Grupos'!$A:$A,'Base de Grupos'!$E:$E)</f>
        <v>CANAL VENDA INTERNA</v>
      </c>
      <c r="D1043" s="5" t="str">
        <f>_xlfn.XLOOKUP($N1043,'Base de Grupos'!$A:$A,'Base de Grupos'!$F:$F)</f>
        <v>1000065763</v>
      </c>
      <c r="E1043" s="2" t="str">
        <f>_xlfn.XLOOKUP($N1043,'Base de Grupos'!$A:$A,'Base de Grupos'!$G:$G)</f>
        <v>CANAL VENDA INTERNA</v>
      </c>
      <c r="F1043" s="2" t="str">
        <f>_xlfn.XLOOKUP($N1043,'Base de Grupos'!$A:$A,'Base de Grupos'!$H:$H)</f>
        <v>1000174119</v>
      </c>
      <c r="G1043" s="5" t="str">
        <f>_xlfn.XLOOKUP($N1043,'Base de Grupos'!$A:$A,'Base de Grupos'!$I:$I)</f>
        <v>REGIONAL VENDA INTERNA - CONVENIENCIA</v>
      </c>
      <c r="H1043" s="5" t="str">
        <f>_xlfn.XLOOKUP($N1043,'Base de Grupos'!$A:$A,'Base de Grupos'!$J:$J)</f>
        <v>1000174119</v>
      </c>
      <c r="I1043" s="2" t="str">
        <f>_xlfn.XLOOKUP($N1043,'Base de Grupos'!$A:$A,'Base de Grupos'!$K:$K)</f>
        <v>REGIONAL VENDA INTERNA - CONVENIENCIA</v>
      </c>
      <c r="J1043" s="2" t="str">
        <f>_xlfn.XLOOKUP($N1043,'Base de Grupos'!$A:$A,'Base de Grupos'!$L:$L)</f>
        <v>1000174119</v>
      </c>
      <c r="K1043" s="5" t="str">
        <f>_xlfn.XLOOKUP($N1043,'Base de Grupos'!$A:$A,'Base de Grupos'!$M:$M)</f>
        <v>REGIONAL VENDA INTERNA - CONVENIENCIA</v>
      </c>
      <c r="L1043" s="5" t="str">
        <f t="shared" si="963"/>
        <v/>
      </c>
      <c r="M1043" s="5" t="str">
        <f>_xlfn.XLOOKUP($N1043,'Base de Grupos'!$A:$A,'Base de Grupos'!$C:$C)</f>
        <v>ES</v>
      </c>
      <c r="N1043" s="3">
        <v>1522</v>
      </c>
      <c r="O1043" s="4" t="s">
        <v>281</v>
      </c>
      <c r="P1043" s="5" t="s">
        <v>96</v>
      </c>
      <c r="Q1043" s="56">
        <v>0</v>
      </c>
      <c r="R1043" s="56">
        <v>0</v>
      </c>
      <c r="S1043" s="56">
        <v>0</v>
      </c>
      <c r="T1043" s="56">
        <f>_xlfn.XLOOKUP($N1043,'Calculo Leads Conveniencia'!$A$77:$A$104,'Calculo Leads Conveniencia'!G$77:G$104)*_xlfn.XLOOKUP($P1043,'Base Grupo de Produtos'!$E$23:$E$39,'Base Grupo de Produtos'!$F$23:$F$39)</f>
        <v>0</v>
      </c>
      <c r="U1043" s="56">
        <f>_xlfn.XLOOKUP($N1043,'Calculo Leads Conveniencia'!$A$77:$A$104,'Calculo Leads Conveniencia'!H$77:H$104)*_xlfn.XLOOKUP($P1043,'Base Grupo de Produtos'!$E$23:$E$39,'Base Grupo de Produtos'!$F$23:$F$39)</f>
        <v>0</v>
      </c>
      <c r="V1043" s="56">
        <f>_xlfn.XLOOKUP($N1043,'Calculo Leads Conveniencia'!$A$77:$A$104,'Calculo Leads Conveniencia'!I$77:I$104)*_xlfn.XLOOKUP($P1043,'Base Grupo de Produtos'!$E$23:$E$39,'Base Grupo de Produtos'!$F$23:$F$39)</f>
        <v>0</v>
      </c>
      <c r="W1043" s="56">
        <f>_xlfn.XLOOKUP($N1043,'Calculo Leads Conveniencia'!$A$77:$A$104,'Calculo Leads Conveniencia'!J$77:J$104)*_xlfn.XLOOKUP($P1043,'Base Grupo de Produtos'!$E$23:$E$39,'Base Grupo de Produtos'!$F$23:$F$39)</f>
        <v>0</v>
      </c>
      <c r="X1043" s="56">
        <f>_xlfn.XLOOKUP($N1043,'Calculo Leads Conveniencia'!$A$77:$A$104,'Calculo Leads Conveniencia'!K$77:K$104)*_xlfn.XLOOKUP($P1043,'Base Grupo de Produtos'!$E$23:$E$39,'Base Grupo de Produtos'!$F$23:$F$39)</f>
        <v>0</v>
      </c>
      <c r="Y1043" s="56">
        <f>_xlfn.XLOOKUP($N1043,'Calculo Leads Conveniencia'!$A$77:$A$104,'Calculo Leads Conveniencia'!L$77:L$104)*_xlfn.XLOOKUP($P1043,'Base Grupo de Produtos'!$E$23:$E$39,'Base Grupo de Produtos'!$F$23:$F$39)</f>
        <v>0</v>
      </c>
      <c r="Z1043" s="56">
        <f>_xlfn.XLOOKUP($N1043,'Calculo Leads Conveniencia'!$A$77:$A$104,'Calculo Leads Conveniencia'!M$77:M$104)*_xlfn.XLOOKUP($P1043,'Base Grupo de Produtos'!$E$23:$E$39,'Base Grupo de Produtos'!$F$23:$F$39)</f>
        <v>0</v>
      </c>
      <c r="AA1043" s="56">
        <f>_xlfn.XLOOKUP($N1043,'Calculo Leads Conveniencia'!$A$77:$A$104,'Calculo Leads Conveniencia'!N$77:N$104)*_xlfn.XLOOKUP($P1043,'Base Grupo de Produtos'!$E$23:$E$39,'Base Grupo de Produtos'!$F$23:$F$39)</f>
        <v>0</v>
      </c>
      <c r="AB1043" s="56">
        <f>_xlfn.XLOOKUP($N1043,'Calculo Leads Conveniencia'!$A$77:$A$104,'Calculo Leads Conveniencia'!O$77:O$104)*_xlfn.XLOOKUP($P1043,'Base Grupo de Produtos'!$E$23:$E$39,'Base Grupo de Produtos'!$F$23:$F$39)</f>
        <v>0</v>
      </c>
      <c r="AC1043" s="61">
        <f t="shared" si="1003"/>
        <v>0</v>
      </c>
      <c r="AD1043" s="28"/>
      <c r="AE1043" s="12"/>
      <c r="AF1043" s="29"/>
      <c r="AG1043" s="9"/>
      <c r="AH1043" s="10"/>
      <c r="AI1043" s="9"/>
      <c r="AJ1043" s="11"/>
      <c r="AK1043" s="9"/>
      <c r="AL1043" s="13"/>
      <c r="AM1043" s="9"/>
    </row>
    <row r="1044" spans="1:39" x14ac:dyDescent="0.3">
      <c r="A1044" s="2" t="str">
        <f t="shared" si="962"/>
        <v>NÃO</v>
      </c>
      <c r="B1044" s="2" t="str">
        <f>_xlfn.XLOOKUP($N1044,'Base de Grupos'!$A:$A,'Base de Grupos'!$D:$D)</f>
        <v>1000065763</v>
      </c>
      <c r="C1044" s="5" t="str">
        <f>_xlfn.XLOOKUP($N1044,'Base de Grupos'!$A:$A,'Base de Grupos'!$E:$E)</f>
        <v>CANAL VENDA INTERNA</v>
      </c>
      <c r="D1044" s="5" t="str">
        <f>_xlfn.XLOOKUP($N1044,'Base de Grupos'!$A:$A,'Base de Grupos'!$F:$F)</f>
        <v>1000065763</v>
      </c>
      <c r="E1044" s="2" t="str">
        <f>_xlfn.XLOOKUP($N1044,'Base de Grupos'!$A:$A,'Base de Grupos'!$G:$G)</f>
        <v>CANAL VENDA INTERNA</v>
      </c>
      <c r="F1044" s="2" t="str">
        <f>_xlfn.XLOOKUP($N1044,'Base de Grupos'!$A:$A,'Base de Grupos'!$H:$H)</f>
        <v>1000174119</v>
      </c>
      <c r="G1044" s="5" t="str">
        <f>_xlfn.XLOOKUP($N1044,'Base de Grupos'!$A:$A,'Base de Grupos'!$I:$I)</f>
        <v>REGIONAL VENDA INTERNA - CONVENIENCIA</v>
      </c>
      <c r="H1044" s="5" t="str">
        <f>_xlfn.XLOOKUP($N1044,'Base de Grupos'!$A:$A,'Base de Grupos'!$J:$J)</f>
        <v>1000174119</v>
      </c>
      <c r="I1044" s="2" t="str">
        <f>_xlfn.XLOOKUP($N1044,'Base de Grupos'!$A:$A,'Base de Grupos'!$K:$K)</f>
        <v>REGIONAL VENDA INTERNA - CONVENIENCIA</v>
      </c>
      <c r="J1044" s="2" t="str">
        <f>_xlfn.XLOOKUP($N1044,'Base de Grupos'!$A:$A,'Base de Grupos'!$L:$L)</f>
        <v>1000174119</v>
      </c>
      <c r="K1044" s="5" t="str">
        <f>_xlfn.XLOOKUP($N1044,'Base de Grupos'!$A:$A,'Base de Grupos'!$M:$M)</f>
        <v>REGIONAL VENDA INTERNA - CONVENIENCIA</v>
      </c>
      <c r="L1044" s="5" t="str">
        <f t="shared" si="963"/>
        <v/>
      </c>
      <c r="M1044" s="5" t="str">
        <f>_xlfn.XLOOKUP($N1044,'Base de Grupos'!$A:$A,'Base de Grupos'!$C:$C)</f>
        <v>ES</v>
      </c>
      <c r="N1044" s="3">
        <v>1522</v>
      </c>
      <c r="O1044" s="4" t="s">
        <v>281</v>
      </c>
      <c r="P1044" s="5" t="s">
        <v>94</v>
      </c>
      <c r="Q1044" s="56">
        <v>0</v>
      </c>
      <c r="R1044" s="56">
        <v>0</v>
      </c>
      <c r="S1044" s="56">
        <v>0</v>
      </c>
      <c r="T1044" s="56">
        <f>_xlfn.XLOOKUP($N1044,'Calculo Leads Conveniencia'!$A$77:$A$104,'Calculo Leads Conveniencia'!G$77:G$104)*_xlfn.XLOOKUP($P1044,'Base Grupo de Produtos'!$E$23:$E$39,'Base Grupo de Produtos'!$F$23:$F$39)</f>
        <v>0</v>
      </c>
      <c r="U1044" s="56">
        <f>_xlfn.XLOOKUP($N1044,'Calculo Leads Conveniencia'!$A$77:$A$104,'Calculo Leads Conveniencia'!H$77:H$104)*_xlfn.XLOOKUP($P1044,'Base Grupo de Produtos'!$E$23:$E$39,'Base Grupo de Produtos'!$F$23:$F$39)</f>
        <v>0</v>
      </c>
      <c r="V1044" s="56">
        <f>_xlfn.XLOOKUP($N1044,'Calculo Leads Conveniencia'!$A$77:$A$104,'Calculo Leads Conveniencia'!I$77:I$104)*_xlfn.XLOOKUP($P1044,'Base Grupo de Produtos'!$E$23:$E$39,'Base Grupo de Produtos'!$F$23:$F$39)</f>
        <v>0</v>
      </c>
      <c r="W1044" s="56">
        <f>_xlfn.XLOOKUP($N1044,'Calculo Leads Conveniencia'!$A$77:$A$104,'Calculo Leads Conveniencia'!J$77:J$104)*_xlfn.XLOOKUP($P1044,'Base Grupo de Produtos'!$E$23:$E$39,'Base Grupo de Produtos'!$F$23:$F$39)</f>
        <v>0</v>
      </c>
      <c r="X1044" s="56">
        <f>_xlfn.XLOOKUP($N1044,'Calculo Leads Conveniencia'!$A$77:$A$104,'Calculo Leads Conveniencia'!K$77:K$104)*_xlfn.XLOOKUP($P1044,'Base Grupo de Produtos'!$E$23:$E$39,'Base Grupo de Produtos'!$F$23:$F$39)</f>
        <v>0</v>
      </c>
      <c r="Y1044" s="56">
        <f>_xlfn.XLOOKUP($N1044,'Calculo Leads Conveniencia'!$A$77:$A$104,'Calculo Leads Conveniencia'!L$77:L$104)*_xlfn.XLOOKUP($P1044,'Base Grupo de Produtos'!$E$23:$E$39,'Base Grupo de Produtos'!$F$23:$F$39)</f>
        <v>0</v>
      </c>
      <c r="Z1044" s="56">
        <f>_xlfn.XLOOKUP($N1044,'Calculo Leads Conveniencia'!$A$77:$A$104,'Calculo Leads Conveniencia'!M$77:M$104)*_xlfn.XLOOKUP($P1044,'Base Grupo de Produtos'!$E$23:$E$39,'Base Grupo de Produtos'!$F$23:$F$39)</f>
        <v>0</v>
      </c>
      <c r="AA1044" s="56">
        <f>_xlfn.XLOOKUP($N1044,'Calculo Leads Conveniencia'!$A$77:$A$104,'Calculo Leads Conveniencia'!N$77:N$104)*_xlfn.XLOOKUP($P1044,'Base Grupo de Produtos'!$E$23:$E$39,'Base Grupo de Produtos'!$F$23:$F$39)</f>
        <v>0</v>
      </c>
      <c r="AB1044" s="56">
        <f>_xlfn.XLOOKUP($N1044,'Calculo Leads Conveniencia'!$A$77:$A$104,'Calculo Leads Conveniencia'!O$77:O$104)*_xlfn.XLOOKUP($P1044,'Base Grupo de Produtos'!$E$23:$E$39,'Base Grupo de Produtos'!$F$23:$F$39)</f>
        <v>0</v>
      </c>
      <c r="AC1044" s="61">
        <f t="shared" si="1003"/>
        <v>0</v>
      </c>
      <c r="AD1044" s="28"/>
      <c r="AE1044" s="12"/>
      <c r="AF1044" s="29"/>
      <c r="AG1044" s="9"/>
      <c r="AH1044" s="10"/>
      <c r="AI1044" s="9"/>
      <c r="AJ1044" s="11"/>
      <c r="AK1044" s="9"/>
      <c r="AL1044" s="13"/>
      <c r="AM1044" s="9"/>
    </row>
    <row r="1045" spans="1:39" x14ac:dyDescent="0.3">
      <c r="A1045" s="2" t="str">
        <f t="shared" si="962"/>
        <v>NÃO</v>
      </c>
      <c r="B1045" s="2" t="str">
        <f>_xlfn.XLOOKUP($N1045,'Base de Grupos'!$A:$A,'Base de Grupos'!$D:$D)</f>
        <v>1000065763</v>
      </c>
      <c r="C1045" s="5" t="str">
        <f>_xlfn.XLOOKUP($N1045,'Base de Grupos'!$A:$A,'Base de Grupos'!$E:$E)</f>
        <v>CANAL VENDA INTERNA</v>
      </c>
      <c r="D1045" s="5" t="str">
        <f>_xlfn.XLOOKUP($N1045,'Base de Grupos'!$A:$A,'Base de Grupos'!$F:$F)</f>
        <v>1000065763</v>
      </c>
      <c r="E1045" s="2" t="str">
        <f>_xlfn.XLOOKUP($N1045,'Base de Grupos'!$A:$A,'Base de Grupos'!$G:$G)</f>
        <v>CANAL VENDA INTERNA</v>
      </c>
      <c r="F1045" s="2" t="str">
        <f>_xlfn.XLOOKUP($N1045,'Base de Grupos'!$A:$A,'Base de Grupos'!$H:$H)</f>
        <v>1000174119</v>
      </c>
      <c r="G1045" s="5" t="str">
        <f>_xlfn.XLOOKUP($N1045,'Base de Grupos'!$A:$A,'Base de Grupos'!$I:$I)</f>
        <v>REGIONAL VENDA INTERNA - CONVENIENCIA</v>
      </c>
      <c r="H1045" s="5" t="str">
        <f>_xlfn.XLOOKUP($N1045,'Base de Grupos'!$A:$A,'Base de Grupos'!$J:$J)</f>
        <v>1000174119</v>
      </c>
      <c r="I1045" s="2" t="str">
        <f>_xlfn.XLOOKUP($N1045,'Base de Grupos'!$A:$A,'Base de Grupos'!$K:$K)</f>
        <v>REGIONAL VENDA INTERNA - CONVENIENCIA</v>
      </c>
      <c r="J1045" s="2" t="str">
        <f>_xlfn.XLOOKUP($N1045,'Base de Grupos'!$A:$A,'Base de Grupos'!$L:$L)</f>
        <v>1000174119</v>
      </c>
      <c r="K1045" s="5" t="str">
        <f>_xlfn.XLOOKUP($N1045,'Base de Grupos'!$A:$A,'Base de Grupos'!$M:$M)</f>
        <v>REGIONAL VENDA INTERNA - CONVENIENCIA</v>
      </c>
      <c r="L1045" s="5" t="str">
        <f t="shared" si="963"/>
        <v/>
      </c>
      <c r="M1045" s="5" t="str">
        <f>_xlfn.XLOOKUP($N1045,'Base de Grupos'!$A:$A,'Base de Grupos'!$C:$C)</f>
        <v>ES</v>
      </c>
      <c r="N1045" s="3">
        <v>1522</v>
      </c>
      <c r="O1045" s="4" t="s">
        <v>281</v>
      </c>
      <c r="P1045" s="5" t="s">
        <v>95</v>
      </c>
      <c r="Q1045" s="56">
        <v>0</v>
      </c>
      <c r="R1045" s="56">
        <v>0</v>
      </c>
      <c r="S1045" s="56">
        <v>0</v>
      </c>
      <c r="T1045" s="56">
        <f>_xlfn.XLOOKUP($N1045,'Calculo Leads Conveniencia'!$A$77:$A$104,'Calculo Leads Conveniencia'!G$77:G$104)*_xlfn.XLOOKUP($P1045,'Base Grupo de Produtos'!$E$23:$E$39,'Base Grupo de Produtos'!$F$23:$F$39)</f>
        <v>0</v>
      </c>
      <c r="U1045" s="56">
        <f>_xlfn.XLOOKUP($N1045,'Calculo Leads Conveniencia'!$A$77:$A$104,'Calculo Leads Conveniencia'!H$77:H$104)*_xlfn.XLOOKUP($P1045,'Base Grupo de Produtos'!$E$23:$E$39,'Base Grupo de Produtos'!$F$23:$F$39)</f>
        <v>0</v>
      </c>
      <c r="V1045" s="56">
        <f>_xlfn.XLOOKUP($N1045,'Calculo Leads Conveniencia'!$A$77:$A$104,'Calculo Leads Conveniencia'!I$77:I$104)*_xlfn.XLOOKUP($P1045,'Base Grupo de Produtos'!$E$23:$E$39,'Base Grupo de Produtos'!$F$23:$F$39)</f>
        <v>0</v>
      </c>
      <c r="W1045" s="56">
        <f>_xlfn.XLOOKUP($N1045,'Calculo Leads Conveniencia'!$A$77:$A$104,'Calculo Leads Conveniencia'!J$77:J$104)*_xlfn.XLOOKUP($P1045,'Base Grupo de Produtos'!$E$23:$E$39,'Base Grupo de Produtos'!$F$23:$F$39)</f>
        <v>0</v>
      </c>
      <c r="X1045" s="56">
        <f>_xlfn.XLOOKUP($N1045,'Calculo Leads Conveniencia'!$A$77:$A$104,'Calculo Leads Conveniencia'!K$77:K$104)*_xlfn.XLOOKUP($P1045,'Base Grupo de Produtos'!$E$23:$E$39,'Base Grupo de Produtos'!$F$23:$F$39)</f>
        <v>0</v>
      </c>
      <c r="Y1045" s="56">
        <f>_xlfn.XLOOKUP($N1045,'Calculo Leads Conveniencia'!$A$77:$A$104,'Calculo Leads Conveniencia'!L$77:L$104)*_xlfn.XLOOKUP($P1045,'Base Grupo de Produtos'!$E$23:$E$39,'Base Grupo de Produtos'!$F$23:$F$39)</f>
        <v>0</v>
      </c>
      <c r="Z1045" s="56">
        <f>_xlfn.XLOOKUP($N1045,'Calculo Leads Conveniencia'!$A$77:$A$104,'Calculo Leads Conveniencia'!M$77:M$104)*_xlfn.XLOOKUP($P1045,'Base Grupo de Produtos'!$E$23:$E$39,'Base Grupo de Produtos'!$F$23:$F$39)</f>
        <v>0</v>
      </c>
      <c r="AA1045" s="56">
        <f>_xlfn.XLOOKUP($N1045,'Calculo Leads Conveniencia'!$A$77:$A$104,'Calculo Leads Conveniencia'!N$77:N$104)*_xlfn.XLOOKUP($P1045,'Base Grupo de Produtos'!$E$23:$E$39,'Base Grupo de Produtos'!$F$23:$F$39)</f>
        <v>0</v>
      </c>
      <c r="AB1045" s="56">
        <f>_xlfn.XLOOKUP($N1045,'Calculo Leads Conveniencia'!$A$77:$A$104,'Calculo Leads Conveniencia'!O$77:O$104)*_xlfn.XLOOKUP($P1045,'Base Grupo de Produtos'!$E$23:$E$39,'Base Grupo de Produtos'!$F$23:$F$39)</f>
        <v>0</v>
      </c>
      <c r="AC1045" s="61">
        <f t="shared" si="1003"/>
        <v>0</v>
      </c>
      <c r="AD1045" s="28"/>
      <c r="AE1045" s="12"/>
      <c r="AF1045" s="29"/>
      <c r="AG1045" s="9"/>
      <c r="AH1045" s="10"/>
      <c r="AI1045" s="9"/>
      <c r="AJ1045" s="11"/>
      <c r="AK1045" s="9"/>
      <c r="AL1045" s="13"/>
      <c r="AM1045" s="9"/>
    </row>
    <row r="1046" spans="1:39" x14ac:dyDescent="0.3">
      <c r="A1046" s="2" t="str">
        <f t="shared" si="962"/>
        <v>NÃO</v>
      </c>
      <c r="B1046" s="2" t="str">
        <f>_xlfn.XLOOKUP($N1046,'Base de Grupos'!$A:$A,'Base de Grupos'!$D:$D)</f>
        <v>1000065763</v>
      </c>
      <c r="C1046" s="5" t="str">
        <f>_xlfn.XLOOKUP($N1046,'Base de Grupos'!$A:$A,'Base de Grupos'!$E:$E)</f>
        <v>CANAL VENDA INTERNA</v>
      </c>
      <c r="D1046" s="5" t="str">
        <f>_xlfn.XLOOKUP($N1046,'Base de Grupos'!$A:$A,'Base de Grupos'!$F:$F)</f>
        <v>1000065763</v>
      </c>
      <c r="E1046" s="2" t="str">
        <f>_xlfn.XLOOKUP($N1046,'Base de Grupos'!$A:$A,'Base de Grupos'!$G:$G)</f>
        <v>CANAL VENDA INTERNA</v>
      </c>
      <c r="F1046" s="2" t="str">
        <f>_xlfn.XLOOKUP($N1046,'Base de Grupos'!$A:$A,'Base de Grupos'!$H:$H)</f>
        <v>1000174119</v>
      </c>
      <c r="G1046" s="5" t="str">
        <f>_xlfn.XLOOKUP($N1046,'Base de Grupos'!$A:$A,'Base de Grupos'!$I:$I)</f>
        <v>REGIONAL VENDA INTERNA - CONVENIENCIA</v>
      </c>
      <c r="H1046" s="5" t="str">
        <f>_xlfn.XLOOKUP($N1046,'Base de Grupos'!$A:$A,'Base de Grupos'!$J:$J)</f>
        <v>1000174119</v>
      </c>
      <c r="I1046" s="2" t="str">
        <f>_xlfn.XLOOKUP($N1046,'Base de Grupos'!$A:$A,'Base de Grupos'!$K:$K)</f>
        <v>REGIONAL VENDA INTERNA - CONVENIENCIA</v>
      </c>
      <c r="J1046" s="2" t="str">
        <f>_xlfn.XLOOKUP($N1046,'Base de Grupos'!$A:$A,'Base de Grupos'!$L:$L)</f>
        <v>1000174119</v>
      </c>
      <c r="K1046" s="5" t="str">
        <f>_xlfn.XLOOKUP($N1046,'Base de Grupos'!$A:$A,'Base de Grupos'!$M:$M)</f>
        <v>REGIONAL VENDA INTERNA - CONVENIENCIA</v>
      </c>
      <c r="L1046" s="5" t="str">
        <f t="shared" si="963"/>
        <v/>
      </c>
      <c r="M1046" s="5" t="str">
        <f>_xlfn.XLOOKUP($N1046,'Base de Grupos'!$A:$A,'Base de Grupos'!$C:$C)</f>
        <v>ES</v>
      </c>
      <c r="N1046" s="3">
        <v>1522</v>
      </c>
      <c r="O1046" s="4" t="s">
        <v>281</v>
      </c>
      <c r="P1046" s="5" t="s">
        <v>93</v>
      </c>
      <c r="Q1046" s="56">
        <v>0</v>
      </c>
      <c r="R1046" s="56">
        <v>0</v>
      </c>
      <c r="S1046" s="56">
        <v>0</v>
      </c>
      <c r="T1046" s="56">
        <f>_xlfn.XLOOKUP($N1046,'Calculo Leads Conveniencia'!$A$77:$A$104,'Calculo Leads Conveniencia'!G$77:G$104)*_xlfn.XLOOKUP($P1046,'Base Grupo de Produtos'!$E$23:$E$39,'Base Grupo de Produtos'!$F$23:$F$39)</f>
        <v>0</v>
      </c>
      <c r="U1046" s="56">
        <f>_xlfn.XLOOKUP($N1046,'Calculo Leads Conveniencia'!$A$77:$A$104,'Calculo Leads Conveniencia'!H$77:H$104)*_xlfn.XLOOKUP($P1046,'Base Grupo de Produtos'!$E$23:$E$39,'Base Grupo de Produtos'!$F$23:$F$39)</f>
        <v>0</v>
      </c>
      <c r="V1046" s="56">
        <f>_xlfn.XLOOKUP($N1046,'Calculo Leads Conveniencia'!$A$77:$A$104,'Calculo Leads Conveniencia'!I$77:I$104)*_xlfn.XLOOKUP($P1046,'Base Grupo de Produtos'!$E$23:$E$39,'Base Grupo de Produtos'!$F$23:$F$39)</f>
        <v>0</v>
      </c>
      <c r="W1046" s="56">
        <f>_xlfn.XLOOKUP($N1046,'Calculo Leads Conveniencia'!$A$77:$A$104,'Calculo Leads Conveniencia'!J$77:J$104)*_xlfn.XLOOKUP($P1046,'Base Grupo de Produtos'!$E$23:$E$39,'Base Grupo de Produtos'!$F$23:$F$39)</f>
        <v>0</v>
      </c>
      <c r="X1046" s="56">
        <f>_xlfn.XLOOKUP($N1046,'Calculo Leads Conveniencia'!$A$77:$A$104,'Calculo Leads Conveniencia'!K$77:K$104)*_xlfn.XLOOKUP($P1046,'Base Grupo de Produtos'!$E$23:$E$39,'Base Grupo de Produtos'!$F$23:$F$39)</f>
        <v>0</v>
      </c>
      <c r="Y1046" s="56">
        <f>_xlfn.XLOOKUP($N1046,'Calculo Leads Conveniencia'!$A$77:$A$104,'Calculo Leads Conveniencia'!L$77:L$104)*_xlfn.XLOOKUP($P1046,'Base Grupo de Produtos'!$E$23:$E$39,'Base Grupo de Produtos'!$F$23:$F$39)</f>
        <v>0</v>
      </c>
      <c r="Z1046" s="56">
        <f>_xlfn.XLOOKUP($N1046,'Calculo Leads Conveniencia'!$A$77:$A$104,'Calculo Leads Conveniencia'!M$77:M$104)*_xlfn.XLOOKUP($P1046,'Base Grupo de Produtos'!$E$23:$E$39,'Base Grupo de Produtos'!$F$23:$F$39)</f>
        <v>0</v>
      </c>
      <c r="AA1046" s="56">
        <f>_xlfn.XLOOKUP($N1046,'Calculo Leads Conveniencia'!$A$77:$A$104,'Calculo Leads Conveniencia'!N$77:N$104)*_xlfn.XLOOKUP($P1046,'Base Grupo de Produtos'!$E$23:$E$39,'Base Grupo de Produtos'!$F$23:$F$39)</f>
        <v>0</v>
      </c>
      <c r="AB1046" s="56">
        <f>_xlfn.XLOOKUP($N1046,'Calculo Leads Conveniencia'!$A$77:$A$104,'Calculo Leads Conveniencia'!O$77:O$104)*_xlfn.XLOOKUP($P1046,'Base Grupo de Produtos'!$E$23:$E$39,'Base Grupo de Produtos'!$F$23:$F$39)</f>
        <v>0</v>
      </c>
      <c r="AC1046" s="61">
        <f t="shared" si="1003"/>
        <v>0</v>
      </c>
      <c r="AD1046" s="28"/>
      <c r="AE1046" s="12"/>
      <c r="AF1046" s="29"/>
      <c r="AG1046" s="9"/>
      <c r="AH1046" s="10"/>
      <c r="AI1046" s="9"/>
      <c r="AJ1046" s="11"/>
      <c r="AK1046" s="9"/>
      <c r="AL1046" s="13"/>
      <c r="AM1046" s="9"/>
    </row>
    <row r="1047" spans="1:39" x14ac:dyDescent="0.3">
      <c r="A1047" s="2" t="str">
        <f t="shared" si="962"/>
        <v>SIM</v>
      </c>
      <c r="B1047" s="2" t="str">
        <f>_xlfn.XLOOKUP($N1047,'Base de Grupos'!$A:$A,'Base de Grupos'!$D:$D)</f>
        <v>1000065763</v>
      </c>
      <c r="C1047" s="5" t="str">
        <f>_xlfn.XLOOKUP($N1047,'Base de Grupos'!$A:$A,'Base de Grupos'!$E:$E)</f>
        <v>CANAL VENDA INTERNA</v>
      </c>
      <c r="D1047" s="5" t="str">
        <f>_xlfn.XLOOKUP($N1047,'Base de Grupos'!$A:$A,'Base de Grupos'!$F:$F)</f>
        <v>1000065763</v>
      </c>
      <c r="E1047" s="2" t="str">
        <f>_xlfn.XLOOKUP($N1047,'Base de Grupos'!$A:$A,'Base de Grupos'!$G:$G)</f>
        <v>CANAL VENDA INTERNA</v>
      </c>
      <c r="F1047" s="2" t="str">
        <f>_xlfn.XLOOKUP($N1047,'Base de Grupos'!$A:$A,'Base de Grupos'!$H:$H)</f>
        <v>1000174119</v>
      </c>
      <c r="G1047" s="5" t="str">
        <f>_xlfn.XLOOKUP($N1047,'Base de Grupos'!$A:$A,'Base de Grupos'!$I:$I)</f>
        <v>REGIONAL VENDA INTERNA - CONVENIENCIA</v>
      </c>
      <c r="H1047" s="5" t="str">
        <f>_xlfn.XLOOKUP($N1047,'Base de Grupos'!$A:$A,'Base de Grupos'!$J:$J)</f>
        <v>1000174119</v>
      </c>
      <c r="I1047" s="2" t="str">
        <f>_xlfn.XLOOKUP($N1047,'Base de Grupos'!$A:$A,'Base de Grupos'!$K:$K)</f>
        <v>REGIONAL VENDA INTERNA - CONVENIENCIA</v>
      </c>
      <c r="J1047" s="2" t="str">
        <f>_xlfn.XLOOKUP($N1047,'Base de Grupos'!$A:$A,'Base de Grupos'!$L:$L)</f>
        <v>1000174119</v>
      </c>
      <c r="K1047" s="5" t="str">
        <f>_xlfn.XLOOKUP($N1047,'Base de Grupos'!$A:$A,'Base de Grupos'!$M:$M)</f>
        <v>REGIONAL VENDA INTERNA - CONVENIENCIA</v>
      </c>
      <c r="L1047" s="5">
        <f t="shared" si="963"/>
        <v>1</v>
      </c>
      <c r="M1047" s="5" t="str">
        <f>_xlfn.XLOOKUP($N1047,'Base de Grupos'!$A:$A,'Base de Grupos'!$C:$C)</f>
        <v>RJ</v>
      </c>
      <c r="N1047" s="3">
        <v>1523</v>
      </c>
      <c r="O1047" s="4" t="s">
        <v>282</v>
      </c>
      <c r="P1047" s="5" t="s">
        <v>352</v>
      </c>
      <c r="Q1047" s="56">
        <f t="shared" ref="Q1047" si="1004">SUM(Q1048:Q1064)</f>
        <v>0</v>
      </c>
      <c r="R1047" s="56">
        <f t="shared" ref="R1047" si="1005">SUM(R1048:R1064)</f>
        <v>0</v>
      </c>
      <c r="S1047" s="56">
        <f t="shared" ref="S1047" si="1006">SUM(S1048:S1064)</f>
        <v>0</v>
      </c>
      <c r="T1047" s="56">
        <f t="shared" ref="T1047" si="1007">SUM(T1048:T1064)</f>
        <v>0</v>
      </c>
      <c r="U1047" s="56">
        <f t="shared" ref="U1047" si="1008">SUM(U1048:U1064)</f>
        <v>0</v>
      </c>
      <c r="V1047" s="56">
        <f t="shared" ref="V1047" si="1009">SUM(V1048:V1064)</f>
        <v>0</v>
      </c>
      <c r="W1047" s="56">
        <f t="shared" ref="W1047" si="1010">SUM(W1048:W1064)</f>
        <v>0</v>
      </c>
      <c r="X1047" s="56">
        <f t="shared" ref="X1047" si="1011">SUM(X1048:X1064)</f>
        <v>0</v>
      </c>
      <c r="Y1047" s="56">
        <f t="shared" ref="Y1047" si="1012">SUM(Y1048:Y1064)</f>
        <v>0</v>
      </c>
      <c r="Z1047" s="56">
        <f t="shared" ref="Z1047" si="1013">SUM(Z1048:Z1064)</f>
        <v>0</v>
      </c>
      <c r="AA1047" s="56">
        <f t="shared" ref="AA1047" si="1014">SUM(AA1048:AA1064)</f>
        <v>0</v>
      </c>
      <c r="AB1047" s="56">
        <f t="shared" ref="AB1047" si="1015">SUM(AB1048:AB1064)</f>
        <v>0</v>
      </c>
      <c r="AC1047" s="56">
        <f t="shared" ref="AC1047" si="1016">SUM(AC1048:AC1064)</f>
        <v>0</v>
      </c>
      <c r="AD1047" s="28"/>
      <c r="AE1047" s="12"/>
      <c r="AF1047" s="29"/>
      <c r="AG1047" s="9"/>
      <c r="AH1047" s="10"/>
      <c r="AI1047" s="9"/>
      <c r="AJ1047" s="11"/>
      <c r="AK1047" s="9"/>
      <c r="AL1047" s="13"/>
      <c r="AM1047" s="9"/>
    </row>
    <row r="1048" spans="1:39" x14ac:dyDescent="0.3">
      <c r="A1048" s="2" t="str">
        <f t="shared" si="962"/>
        <v>NÃO</v>
      </c>
      <c r="B1048" s="2" t="str">
        <f>_xlfn.XLOOKUP($N1048,'Base de Grupos'!$A:$A,'Base de Grupos'!$D:$D)</f>
        <v>1000065763</v>
      </c>
      <c r="C1048" s="5" t="str">
        <f>_xlfn.XLOOKUP($N1048,'Base de Grupos'!$A:$A,'Base de Grupos'!$E:$E)</f>
        <v>CANAL VENDA INTERNA</v>
      </c>
      <c r="D1048" s="5" t="str">
        <f>_xlfn.XLOOKUP($N1048,'Base de Grupos'!$A:$A,'Base de Grupos'!$F:$F)</f>
        <v>1000065763</v>
      </c>
      <c r="E1048" s="2" t="str">
        <f>_xlfn.XLOOKUP($N1048,'Base de Grupos'!$A:$A,'Base de Grupos'!$G:$G)</f>
        <v>CANAL VENDA INTERNA</v>
      </c>
      <c r="F1048" s="2" t="str">
        <f>_xlfn.XLOOKUP($N1048,'Base de Grupos'!$A:$A,'Base de Grupos'!$H:$H)</f>
        <v>1000174119</v>
      </c>
      <c r="G1048" s="5" t="str">
        <f>_xlfn.XLOOKUP($N1048,'Base de Grupos'!$A:$A,'Base de Grupos'!$I:$I)</f>
        <v>REGIONAL VENDA INTERNA - CONVENIENCIA</v>
      </c>
      <c r="H1048" s="5" t="str">
        <f>_xlfn.XLOOKUP($N1048,'Base de Grupos'!$A:$A,'Base de Grupos'!$J:$J)</f>
        <v>1000174119</v>
      </c>
      <c r="I1048" s="2" t="str">
        <f>_xlfn.XLOOKUP($N1048,'Base de Grupos'!$A:$A,'Base de Grupos'!$K:$K)</f>
        <v>REGIONAL VENDA INTERNA - CONVENIENCIA</v>
      </c>
      <c r="J1048" s="2" t="str">
        <f>_xlfn.XLOOKUP($N1048,'Base de Grupos'!$A:$A,'Base de Grupos'!$L:$L)</f>
        <v>1000174119</v>
      </c>
      <c r="K1048" s="5" t="str">
        <f>_xlfn.XLOOKUP($N1048,'Base de Grupos'!$A:$A,'Base de Grupos'!$M:$M)</f>
        <v>REGIONAL VENDA INTERNA - CONVENIENCIA</v>
      </c>
      <c r="L1048" s="5" t="str">
        <f t="shared" si="963"/>
        <v/>
      </c>
      <c r="M1048" s="5" t="str">
        <f>_xlfn.XLOOKUP($N1048,'Base de Grupos'!$A:$A,'Base de Grupos'!$C:$C)</f>
        <v>RJ</v>
      </c>
      <c r="N1048" s="3">
        <v>1523</v>
      </c>
      <c r="O1048" s="4" t="s">
        <v>282</v>
      </c>
      <c r="P1048" s="5" t="s">
        <v>81</v>
      </c>
      <c r="Q1048" s="56">
        <v>0</v>
      </c>
      <c r="R1048" s="56">
        <v>0</v>
      </c>
      <c r="S1048" s="56">
        <v>0</v>
      </c>
      <c r="T1048" s="56">
        <f>_xlfn.XLOOKUP($N1048,'Calculo Leads Conveniencia'!$A$77:$A$104,'Calculo Leads Conveniencia'!G$77:G$104)*_xlfn.XLOOKUP($P1048,'Base Grupo de Produtos'!$E$23:$E$39,'Base Grupo de Produtos'!$F$23:$F$39)</f>
        <v>0</v>
      </c>
      <c r="U1048" s="56">
        <f>_xlfn.XLOOKUP($N1048,'Calculo Leads Conveniencia'!$A$77:$A$104,'Calculo Leads Conveniencia'!H$77:H$104)*_xlfn.XLOOKUP($P1048,'Base Grupo de Produtos'!$E$23:$E$39,'Base Grupo de Produtos'!$F$23:$F$39)</f>
        <v>0</v>
      </c>
      <c r="V1048" s="56">
        <f>_xlfn.XLOOKUP($N1048,'Calculo Leads Conveniencia'!$A$77:$A$104,'Calculo Leads Conveniencia'!I$77:I$104)*_xlfn.XLOOKUP($P1048,'Base Grupo de Produtos'!$E$23:$E$39,'Base Grupo de Produtos'!$F$23:$F$39)</f>
        <v>0</v>
      </c>
      <c r="W1048" s="56">
        <f>_xlfn.XLOOKUP($N1048,'Calculo Leads Conveniencia'!$A$77:$A$104,'Calculo Leads Conveniencia'!J$77:J$104)*_xlfn.XLOOKUP($P1048,'Base Grupo de Produtos'!$E$23:$E$39,'Base Grupo de Produtos'!$F$23:$F$39)</f>
        <v>0</v>
      </c>
      <c r="X1048" s="56">
        <f>_xlfn.XLOOKUP($N1048,'Calculo Leads Conveniencia'!$A$77:$A$104,'Calculo Leads Conveniencia'!K$77:K$104)*_xlfn.XLOOKUP($P1048,'Base Grupo de Produtos'!$E$23:$E$39,'Base Grupo de Produtos'!$F$23:$F$39)</f>
        <v>0</v>
      </c>
      <c r="Y1048" s="56">
        <f>_xlfn.XLOOKUP($N1048,'Calculo Leads Conveniencia'!$A$77:$A$104,'Calculo Leads Conveniencia'!L$77:L$104)*_xlfn.XLOOKUP($P1048,'Base Grupo de Produtos'!$E$23:$E$39,'Base Grupo de Produtos'!$F$23:$F$39)</f>
        <v>0</v>
      </c>
      <c r="Z1048" s="56">
        <f>_xlfn.XLOOKUP($N1048,'Calculo Leads Conveniencia'!$A$77:$A$104,'Calculo Leads Conveniencia'!M$77:M$104)*_xlfn.XLOOKUP($P1048,'Base Grupo de Produtos'!$E$23:$E$39,'Base Grupo de Produtos'!$F$23:$F$39)</f>
        <v>0</v>
      </c>
      <c r="AA1048" s="56">
        <f>_xlfn.XLOOKUP($N1048,'Calculo Leads Conveniencia'!$A$77:$A$104,'Calculo Leads Conveniencia'!N$77:N$104)*_xlfn.XLOOKUP($P1048,'Base Grupo de Produtos'!$E$23:$E$39,'Base Grupo de Produtos'!$F$23:$F$39)</f>
        <v>0</v>
      </c>
      <c r="AB1048" s="56">
        <f>_xlfn.XLOOKUP($N1048,'Calculo Leads Conveniencia'!$A$77:$A$104,'Calculo Leads Conveniencia'!O$77:O$104)*_xlfn.XLOOKUP($P1048,'Base Grupo de Produtos'!$E$23:$E$39,'Base Grupo de Produtos'!$F$23:$F$39)</f>
        <v>0</v>
      </c>
      <c r="AC1048" s="61">
        <f t="shared" si="1003"/>
        <v>0</v>
      </c>
      <c r="AD1048" s="28"/>
      <c r="AE1048" s="12"/>
      <c r="AF1048" s="29"/>
      <c r="AG1048" s="9"/>
      <c r="AH1048" s="10"/>
      <c r="AI1048" s="9"/>
      <c r="AJ1048" s="11"/>
      <c r="AK1048" s="9"/>
      <c r="AL1048" s="13"/>
      <c r="AM1048" s="9"/>
    </row>
    <row r="1049" spans="1:39" x14ac:dyDescent="0.3">
      <c r="A1049" s="2" t="str">
        <f t="shared" si="962"/>
        <v>NÃO</v>
      </c>
      <c r="B1049" s="2" t="str">
        <f>_xlfn.XLOOKUP($N1049,'Base de Grupos'!$A:$A,'Base de Grupos'!$D:$D)</f>
        <v>1000065763</v>
      </c>
      <c r="C1049" s="5" t="str">
        <f>_xlfn.XLOOKUP($N1049,'Base de Grupos'!$A:$A,'Base de Grupos'!$E:$E)</f>
        <v>CANAL VENDA INTERNA</v>
      </c>
      <c r="D1049" s="5" t="str">
        <f>_xlfn.XLOOKUP($N1049,'Base de Grupos'!$A:$A,'Base de Grupos'!$F:$F)</f>
        <v>1000065763</v>
      </c>
      <c r="E1049" s="2" t="str">
        <f>_xlfn.XLOOKUP($N1049,'Base de Grupos'!$A:$A,'Base de Grupos'!$G:$G)</f>
        <v>CANAL VENDA INTERNA</v>
      </c>
      <c r="F1049" s="2" t="str">
        <f>_xlfn.XLOOKUP($N1049,'Base de Grupos'!$A:$A,'Base de Grupos'!$H:$H)</f>
        <v>1000174119</v>
      </c>
      <c r="G1049" s="5" t="str">
        <f>_xlfn.XLOOKUP($N1049,'Base de Grupos'!$A:$A,'Base de Grupos'!$I:$I)</f>
        <v>REGIONAL VENDA INTERNA - CONVENIENCIA</v>
      </c>
      <c r="H1049" s="5" t="str">
        <f>_xlfn.XLOOKUP($N1049,'Base de Grupos'!$A:$A,'Base de Grupos'!$J:$J)</f>
        <v>1000174119</v>
      </c>
      <c r="I1049" s="2" t="str">
        <f>_xlfn.XLOOKUP($N1049,'Base de Grupos'!$A:$A,'Base de Grupos'!$K:$K)</f>
        <v>REGIONAL VENDA INTERNA - CONVENIENCIA</v>
      </c>
      <c r="J1049" s="2" t="str">
        <f>_xlfn.XLOOKUP($N1049,'Base de Grupos'!$A:$A,'Base de Grupos'!$L:$L)</f>
        <v>1000174119</v>
      </c>
      <c r="K1049" s="5" t="str">
        <f>_xlfn.XLOOKUP($N1049,'Base de Grupos'!$A:$A,'Base de Grupos'!$M:$M)</f>
        <v>REGIONAL VENDA INTERNA - CONVENIENCIA</v>
      </c>
      <c r="L1049" s="5" t="str">
        <f t="shared" si="963"/>
        <v/>
      </c>
      <c r="M1049" s="5" t="str">
        <f>_xlfn.XLOOKUP($N1049,'Base de Grupos'!$A:$A,'Base de Grupos'!$C:$C)</f>
        <v>RJ</v>
      </c>
      <c r="N1049" s="3">
        <v>1523</v>
      </c>
      <c r="O1049" s="4" t="s">
        <v>282</v>
      </c>
      <c r="P1049" s="5" t="s">
        <v>82</v>
      </c>
      <c r="Q1049" s="56">
        <v>0</v>
      </c>
      <c r="R1049" s="56">
        <v>0</v>
      </c>
      <c r="S1049" s="56">
        <v>0</v>
      </c>
      <c r="T1049" s="56">
        <f>_xlfn.XLOOKUP($N1049,'Calculo Leads Conveniencia'!$A$77:$A$104,'Calculo Leads Conveniencia'!G$77:G$104)*_xlfn.XLOOKUP($P1049,'Base Grupo de Produtos'!$E$23:$E$39,'Base Grupo de Produtos'!$F$23:$F$39)</f>
        <v>0</v>
      </c>
      <c r="U1049" s="56">
        <f>_xlfn.XLOOKUP($N1049,'Calculo Leads Conveniencia'!$A$77:$A$104,'Calculo Leads Conveniencia'!H$77:H$104)*_xlfn.XLOOKUP($P1049,'Base Grupo de Produtos'!$E$23:$E$39,'Base Grupo de Produtos'!$F$23:$F$39)</f>
        <v>0</v>
      </c>
      <c r="V1049" s="56">
        <f>_xlfn.XLOOKUP($N1049,'Calculo Leads Conveniencia'!$A$77:$A$104,'Calculo Leads Conveniencia'!I$77:I$104)*_xlfn.XLOOKUP($P1049,'Base Grupo de Produtos'!$E$23:$E$39,'Base Grupo de Produtos'!$F$23:$F$39)</f>
        <v>0</v>
      </c>
      <c r="W1049" s="56">
        <f>_xlfn.XLOOKUP($N1049,'Calculo Leads Conveniencia'!$A$77:$A$104,'Calculo Leads Conveniencia'!J$77:J$104)*_xlfn.XLOOKUP($P1049,'Base Grupo de Produtos'!$E$23:$E$39,'Base Grupo de Produtos'!$F$23:$F$39)</f>
        <v>0</v>
      </c>
      <c r="X1049" s="56">
        <f>_xlfn.XLOOKUP($N1049,'Calculo Leads Conveniencia'!$A$77:$A$104,'Calculo Leads Conveniencia'!K$77:K$104)*_xlfn.XLOOKUP($P1049,'Base Grupo de Produtos'!$E$23:$E$39,'Base Grupo de Produtos'!$F$23:$F$39)</f>
        <v>0</v>
      </c>
      <c r="Y1049" s="56">
        <f>_xlfn.XLOOKUP($N1049,'Calculo Leads Conveniencia'!$A$77:$A$104,'Calculo Leads Conveniencia'!L$77:L$104)*_xlfn.XLOOKUP($P1049,'Base Grupo de Produtos'!$E$23:$E$39,'Base Grupo de Produtos'!$F$23:$F$39)</f>
        <v>0</v>
      </c>
      <c r="Z1049" s="56">
        <f>_xlfn.XLOOKUP($N1049,'Calculo Leads Conveniencia'!$A$77:$A$104,'Calculo Leads Conveniencia'!M$77:M$104)*_xlfn.XLOOKUP($P1049,'Base Grupo de Produtos'!$E$23:$E$39,'Base Grupo de Produtos'!$F$23:$F$39)</f>
        <v>0</v>
      </c>
      <c r="AA1049" s="56">
        <f>_xlfn.XLOOKUP($N1049,'Calculo Leads Conveniencia'!$A$77:$A$104,'Calculo Leads Conveniencia'!N$77:N$104)*_xlfn.XLOOKUP($P1049,'Base Grupo de Produtos'!$E$23:$E$39,'Base Grupo de Produtos'!$F$23:$F$39)</f>
        <v>0</v>
      </c>
      <c r="AB1049" s="56">
        <f>_xlfn.XLOOKUP($N1049,'Calculo Leads Conveniencia'!$A$77:$A$104,'Calculo Leads Conveniencia'!O$77:O$104)*_xlfn.XLOOKUP($P1049,'Base Grupo de Produtos'!$E$23:$E$39,'Base Grupo de Produtos'!$F$23:$F$39)</f>
        <v>0</v>
      </c>
      <c r="AC1049" s="61">
        <f t="shared" si="1003"/>
        <v>0</v>
      </c>
      <c r="AD1049" s="28"/>
      <c r="AE1049" s="12"/>
      <c r="AF1049" s="29"/>
      <c r="AG1049" s="9"/>
      <c r="AH1049" s="10"/>
      <c r="AI1049" s="9"/>
      <c r="AJ1049" s="11"/>
      <c r="AK1049" s="9"/>
      <c r="AL1049" s="13"/>
      <c r="AM1049" s="9"/>
    </row>
    <row r="1050" spans="1:39" x14ac:dyDescent="0.3">
      <c r="A1050" s="2" t="str">
        <f t="shared" si="962"/>
        <v>NÃO</v>
      </c>
      <c r="B1050" s="2" t="str">
        <f>_xlfn.XLOOKUP($N1050,'Base de Grupos'!$A:$A,'Base de Grupos'!$D:$D)</f>
        <v>1000065763</v>
      </c>
      <c r="C1050" s="5" t="str">
        <f>_xlfn.XLOOKUP($N1050,'Base de Grupos'!$A:$A,'Base de Grupos'!$E:$E)</f>
        <v>CANAL VENDA INTERNA</v>
      </c>
      <c r="D1050" s="5" t="str">
        <f>_xlfn.XLOOKUP($N1050,'Base de Grupos'!$A:$A,'Base de Grupos'!$F:$F)</f>
        <v>1000065763</v>
      </c>
      <c r="E1050" s="2" t="str">
        <f>_xlfn.XLOOKUP($N1050,'Base de Grupos'!$A:$A,'Base de Grupos'!$G:$G)</f>
        <v>CANAL VENDA INTERNA</v>
      </c>
      <c r="F1050" s="2" t="str">
        <f>_xlfn.XLOOKUP($N1050,'Base de Grupos'!$A:$A,'Base de Grupos'!$H:$H)</f>
        <v>1000174119</v>
      </c>
      <c r="G1050" s="5" t="str">
        <f>_xlfn.XLOOKUP($N1050,'Base de Grupos'!$A:$A,'Base de Grupos'!$I:$I)</f>
        <v>REGIONAL VENDA INTERNA - CONVENIENCIA</v>
      </c>
      <c r="H1050" s="5" t="str">
        <f>_xlfn.XLOOKUP($N1050,'Base de Grupos'!$A:$A,'Base de Grupos'!$J:$J)</f>
        <v>1000174119</v>
      </c>
      <c r="I1050" s="2" t="str">
        <f>_xlfn.XLOOKUP($N1050,'Base de Grupos'!$A:$A,'Base de Grupos'!$K:$K)</f>
        <v>REGIONAL VENDA INTERNA - CONVENIENCIA</v>
      </c>
      <c r="J1050" s="2" t="str">
        <f>_xlfn.XLOOKUP($N1050,'Base de Grupos'!$A:$A,'Base de Grupos'!$L:$L)</f>
        <v>1000174119</v>
      </c>
      <c r="K1050" s="5" t="str">
        <f>_xlfn.XLOOKUP($N1050,'Base de Grupos'!$A:$A,'Base de Grupos'!$M:$M)</f>
        <v>REGIONAL VENDA INTERNA - CONVENIENCIA</v>
      </c>
      <c r="L1050" s="5" t="str">
        <f t="shared" si="963"/>
        <v/>
      </c>
      <c r="M1050" s="5" t="str">
        <f>_xlfn.XLOOKUP($N1050,'Base de Grupos'!$A:$A,'Base de Grupos'!$C:$C)</f>
        <v>RJ</v>
      </c>
      <c r="N1050" s="3">
        <v>1523</v>
      </c>
      <c r="O1050" s="4" t="s">
        <v>282</v>
      </c>
      <c r="P1050" s="5" t="s">
        <v>84</v>
      </c>
      <c r="Q1050" s="56">
        <v>0</v>
      </c>
      <c r="R1050" s="56">
        <v>0</v>
      </c>
      <c r="S1050" s="56">
        <v>0</v>
      </c>
      <c r="T1050" s="56">
        <f>_xlfn.XLOOKUP($N1050,'Calculo Leads Conveniencia'!$A$77:$A$104,'Calculo Leads Conveniencia'!G$77:G$104)*_xlfn.XLOOKUP($P1050,'Base Grupo de Produtos'!$E$23:$E$39,'Base Grupo de Produtos'!$F$23:$F$39)</f>
        <v>0</v>
      </c>
      <c r="U1050" s="56">
        <f>_xlfn.XLOOKUP($N1050,'Calculo Leads Conveniencia'!$A$77:$A$104,'Calculo Leads Conveniencia'!H$77:H$104)*_xlfn.XLOOKUP($P1050,'Base Grupo de Produtos'!$E$23:$E$39,'Base Grupo de Produtos'!$F$23:$F$39)</f>
        <v>0</v>
      </c>
      <c r="V1050" s="56">
        <f>_xlfn.XLOOKUP($N1050,'Calculo Leads Conveniencia'!$A$77:$A$104,'Calculo Leads Conveniencia'!I$77:I$104)*_xlfn.XLOOKUP($P1050,'Base Grupo de Produtos'!$E$23:$E$39,'Base Grupo de Produtos'!$F$23:$F$39)</f>
        <v>0</v>
      </c>
      <c r="W1050" s="56">
        <f>_xlfn.XLOOKUP($N1050,'Calculo Leads Conveniencia'!$A$77:$A$104,'Calculo Leads Conveniencia'!J$77:J$104)*_xlfn.XLOOKUP($P1050,'Base Grupo de Produtos'!$E$23:$E$39,'Base Grupo de Produtos'!$F$23:$F$39)</f>
        <v>0</v>
      </c>
      <c r="X1050" s="56">
        <f>_xlfn.XLOOKUP($N1050,'Calculo Leads Conveniencia'!$A$77:$A$104,'Calculo Leads Conveniencia'!K$77:K$104)*_xlfn.XLOOKUP($P1050,'Base Grupo de Produtos'!$E$23:$E$39,'Base Grupo de Produtos'!$F$23:$F$39)</f>
        <v>0</v>
      </c>
      <c r="Y1050" s="56">
        <f>_xlfn.XLOOKUP($N1050,'Calculo Leads Conveniencia'!$A$77:$A$104,'Calculo Leads Conveniencia'!L$77:L$104)*_xlfn.XLOOKUP($P1050,'Base Grupo de Produtos'!$E$23:$E$39,'Base Grupo de Produtos'!$F$23:$F$39)</f>
        <v>0</v>
      </c>
      <c r="Z1050" s="56">
        <f>_xlfn.XLOOKUP($N1050,'Calculo Leads Conveniencia'!$A$77:$A$104,'Calculo Leads Conveniencia'!M$77:M$104)*_xlfn.XLOOKUP($P1050,'Base Grupo de Produtos'!$E$23:$E$39,'Base Grupo de Produtos'!$F$23:$F$39)</f>
        <v>0</v>
      </c>
      <c r="AA1050" s="56">
        <f>_xlfn.XLOOKUP($N1050,'Calculo Leads Conveniencia'!$A$77:$A$104,'Calculo Leads Conveniencia'!N$77:N$104)*_xlfn.XLOOKUP($P1050,'Base Grupo de Produtos'!$E$23:$E$39,'Base Grupo de Produtos'!$F$23:$F$39)</f>
        <v>0</v>
      </c>
      <c r="AB1050" s="56">
        <f>_xlfn.XLOOKUP($N1050,'Calculo Leads Conveniencia'!$A$77:$A$104,'Calculo Leads Conveniencia'!O$77:O$104)*_xlfn.XLOOKUP($P1050,'Base Grupo de Produtos'!$E$23:$E$39,'Base Grupo de Produtos'!$F$23:$F$39)</f>
        <v>0</v>
      </c>
      <c r="AC1050" s="61">
        <f t="shared" si="1003"/>
        <v>0</v>
      </c>
      <c r="AD1050" s="28"/>
      <c r="AE1050" s="12"/>
      <c r="AF1050" s="29"/>
      <c r="AG1050" s="9"/>
      <c r="AH1050" s="10"/>
      <c r="AI1050" s="9"/>
      <c r="AJ1050" s="11"/>
      <c r="AK1050" s="9"/>
      <c r="AL1050" s="13"/>
      <c r="AM1050" s="9"/>
    </row>
    <row r="1051" spans="1:39" x14ac:dyDescent="0.3">
      <c r="A1051" s="2" t="str">
        <f t="shared" ref="A1051:A1114" si="1017">IF(L1051=1,"SIM","NÃO")</f>
        <v>NÃO</v>
      </c>
      <c r="B1051" s="2" t="str">
        <f>_xlfn.XLOOKUP($N1051,'Base de Grupos'!$A:$A,'Base de Grupos'!$D:$D)</f>
        <v>1000065763</v>
      </c>
      <c r="C1051" s="5" t="str">
        <f>_xlfn.XLOOKUP($N1051,'Base de Grupos'!$A:$A,'Base de Grupos'!$E:$E)</f>
        <v>CANAL VENDA INTERNA</v>
      </c>
      <c r="D1051" s="5" t="str">
        <f>_xlfn.XLOOKUP($N1051,'Base de Grupos'!$A:$A,'Base de Grupos'!$F:$F)</f>
        <v>1000065763</v>
      </c>
      <c r="E1051" s="2" t="str">
        <f>_xlfn.XLOOKUP($N1051,'Base de Grupos'!$A:$A,'Base de Grupos'!$G:$G)</f>
        <v>CANAL VENDA INTERNA</v>
      </c>
      <c r="F1051" s="2" t="str">
        <f>_xlfn.XLOOKUP($N1051,'Base de Grupos'!$A:$A,'Base de Grupos'!$H:$H)</f>
        <v>1000174119</v>
      </c>
      <c r="G1051" s="5" t="str">
        <f>_xlfn.XLOOKUP($N1051,'Base de Grupos'!$A:$A,'Base de Grupos'!$I:$I)</f>
        <v>REGIONAL VENDA INTERNA - CONVENIENCIA</v>
      </c>
      <c r="H1051" s="5" t="str">
        <f>_xlfn.XLOOKUP($N1051,'Base de Grupos'!$A:$A,'Base de Grupos'!$J:$J)</f>
        <v>1000174119</v>
      </c>
      <c r="I1051" s="2" t="str">
        <f>_xlfn.XLOOKUP($N1051,'Base de Grupos'!$A:$A,'Base de Grupos'!$K:$K)</f>
        <v>REGIONAL VENDA INTERNA - CONVENIENCIA</v>
      </c>
      <c r="J1051" s="2" t="str">
        <f>_xlfn.XLOOKUP($N1051,'Base de Grupos'!$A:$A,'Base de Grupos'!$L:$L)</f>
        <v>1000174119</v>
      </c>
      <c r="K1051" s="5" t="str">
        <f>_xlfn.XLOOKUP($N1051,'Base de Grupos'!$A:$A,'Base de Grupos'!$M:$M)</f>
        <v>REGIONAL VENDA INTERNA - CONVENIENCIA</v>
      </c>
      <c r="L1051" s="5" t="str">
        <f t="shared" ref="L1051:L1114" si="1018">IF(N1051&lt;&gt;N1050,1,"")</f>
        <v/>
      </c>
      <c r="M1051" s="5" t="str">
        <f>_xlfn.XLOOKUP($N1051,'Base de Grupos'!$A:$A,'Base de Grupos'!$C:$C)</f>
        <v>RJ</v>
      </c>
      <c r="N1051" s="3">
        <v>1523</v>
      </c>
      <c r="O1051" s="4" t="s">
        <v>282</v>
      </c>
      <c r="P1051" s="5" t="s">
        <v>83</v>
      </c>
      <c r="Q1051" s="56">
        <v>0</v>
      </c>
      <c r="R1051" s="56">
        <v>0</v>
      </c>
      <c r="S1051" s="56">
        <v>0</v>
      </c>
      <c r="T1051" s="56">
        <f>_xlfn.XLOOKUP($N1051,'Calculo Leads Conveniencia'!$A$77:$A$104,'Calculo Leads Conveniencia'!G$77:G$104)*_xlfn.XLOOKUP($P1051,'Base Grupo de Produtos'!$E$23:$E$39,'Base Grupo de Produtos'!$F$23:$F$39)</f>
        <v>0</v>
      </c>
      <c r="U1051" s="56">
        <f>_xlfn.XLOOKUP($N1051,'Calculo Leads Conveniencia'!$A$77:$A$104,'Calculo Leads Conveniencia'!H$77:H$104)*_xlfn.XLOOKUP($P1051,'Base Grupo de Produtos'!$E$23:$E$39,'Base Grupo de Produtos'!$F$23:$F$39)</f>
        <v>0</v>
      </c>
      <c r="V1051" s="56">
        <f>_xlfn.XLOOKUP($N1051,'Calculo Leads Conveniencia'!$A$77:$A$104,'Calculo Leads Conveniencia'!I$77:I$104)*_xlfn.XLOOKUP($P1051,'Base Grupo de Produtos'!$E$23:$E$39,'Base Grupo de Produtos'!$F$23:$F$39)</f>
        <v>0</v>
      </c>
      <c r="W1051" s="56">
        <f>_xlfn.XLOOKUP($N1051,'Calculo Leads Conveniencia'!$A$77:$A$104,'Calculo Leads Conveniencia'!J$77:J$104)*_xlfn.XLOOKUP($P1051,'Base Grupo de Produtos'!$E$23:$E$39,'Base Grupo de Produtos'!$F$23:$F$39)</f>
        <v>0</v>
      </c>
      <c r="X1051" s="56">
        <f>_xlfn.XLOOKUP($N1051,'Calculo Leads Conveniencia'!$A$77:$A$104,'Calculo Leads Conveniencia'!K$77:K$104)*_xlfn.XLOOKUP($P1051,'Base Grupo de Produtos'!$E$23:$E$39,'Base Grupo de Produtos'!$F$23:$F$39)</f>
        <v>0</v>
      </c>
      <c r="Y1051" s="56">
        <f>_xlfn.XLOOKUP($N1051,'Calculo Leads Conveniencia'!$A$77:$A$104,'Calculo Leads Conveniencia'!L$77:L$104)*_xlfn.XLOOKUP($P1051,'Base Grupo de Produtos'!$E$23:$E$39,'Base Grupo de Produtos'!$F$23:$F$39)</f>
        <v>0</v>
      </c>
      <c r="Z1051" s="56">
        <f>_xlfn.XLOOKUP($N1051,'Calculo Leads Conveniencia'!$A$77:$A$104,'Calculo Leads Conveniencia'!M$77:M$104)*_xlfn.XLOOKUP($P1051,'Base Grupo de Produtos'!$E$23:$E$39,'Base Grupo de Produtos'!$F$23:$F$39)</f>
        <v>0</v>
      </c>
      <c r="AA1051" s="56">
        <f>_xlfn.XLOOKUP($N1051,'Calculo Leads Conveniencia'!$A$77:$A$104,'Calculo Leads Conveniencia'!N$77:N$104)*_xlfn.XLOOKUP($P1051,'Base Grupo de Produtos'!$E$23:$E$39,'Base Grupo de Produtos'!$F$23:$F$39)</f>
        <v>0</v>
      </c>
      <c r="AB1051" s="56">
        <f>_xlfn.XLOOKUP($N1051,'Calculo Leads Conveniencia'!$A$77:$A$104,'Calculo Leads Conveniencia'!O$77:O$104)*_xlfn.XLOOKUP($P1051,'Base Grupo de Produtos'!$E$23:$E$39,'Base Grupo de Produtos'!$F$23:$F$39)</f>
        <v>0</v>
      </c>
      <c r="AC1051" s="61">
        <f t="shared" si="1003"/>
        <v>0</v>
      </c>
      <c r="AD1051" s="28"/>
      <c r="AE1051" s="12"/>
      <c r="AF1051" s="29"/>
      <c r="AG1051" s="9"/>
      <c r="AH1051" s="10"/>
      <c r="AI1051" s="9"/>
      <c r="AJ1051" s="11"/>
      <c r="AK1051" s="9"/>
      <c r="AL1051" s="13"/>
      <c r="AM1051" s="9"/>
    </row>
    <row r="1052" spans="1:39" x14ac:dyDescent="0.3">
      <c r="A1052" s="2" t="str">
        <f t="shared" si="1017"/>
        <v>NÃO</v>
      </c>
      <c r="B1052" s="2" t="str">
        <f>_xlfn.XLOOKUP($N1052,'Base de Grupos'!$A:$A,'Base de Grupos'!$D:$D)</f>
        <v>1000065763</v>
      </c>
      <c r="C1052" s="5" t="str">
        <f>_xlfn.XLOOKUP($N1052,'Base de Grupos'!$A:$A,'Base de Grupos'!$E:$E)</f>
        <v>CANAL VENDA INTERNA</v>
      </c>
      <c r="D1052" s="5" t="str">
        <f>_xlfn.XLOOKUP($N1052,'Base de Grupos'!$A:$A,'Base de Grupos'!$F:$F)</f>
        <v>1000065763</v>
      </c>
      <c r="E1052" s="2" t="str">
        <f>_xlfn.XLOOKUP($N1052,'Base de Grupos'!$A:$A,'Base de Grupos'!$G:$G)</f>
        <v>CANAL VENDA INTERNA</v>
      </c>
      <c r="F1052" s="2" t="str">
        <f>_xlfn.XLOOKUP($N1052,'Base de Grupos'!$A:$A,'Base de Grupos'!$H:$H)</f>
        <v>1000174119</v>
      </c>
      <c r="G1052" s="5" t="str">
        <f>_xlfn.XLOOKUP($N1052,'Base de Grupos'!$A:$A,'Base de Grupos'!$I:$I)</f>
        <v>REGIONAL VENDA INTERNA - CONVENIENCIA</v>
      </c>
      <c r="H1052" s="5" t="str">
        <f>_xlfn.XLOOKUP($N1052,'Base de Grupos'!$A:$A,'Base de Grupos'!$J:$J)</f>
        <v>1000174119</v>
      </c>
      <c r="I1052" s="2" t="str">
        <f>_xlfn.XLOOKUP($N1052,'Base de Grupos'!$A:$A,'Base de Grupos'!$K:$K)</f>
        <v>REGIONAL VENDA INTERNA - CONVENIENCIA</v>
      </c>
      <c r="J1052" s="2" t="str">
        <f>_xlfn.XLOOKUP($N1052,'Base de Grupos'!$A:$A,'Base de Grupos'!$L:$L)</f>
        <v>1000174119</v>
      </c>
      <c r="K1052" s="5" t="str">
        <f>_xlfn.XLOOKUP($N1052,'Base de Grupos'!$A:$A,'Base de Grupos'!$M:$M)</f>
        <v>REGIONAL VENDA INTERNA - CONVENIENCIA</v>
      </c>
      <c r="L1052" s="5" t="str">
        <f t="shared" si="1018"/>
        <v/>
      </c>
      <c r="M1052" s="5" t="str">
        <f>_xlfn.XLOOKUP($N1052,'Base de Grupos'!$A:$A,'Base de Grupos'!$C:$C)</f>
        <v>RJ</v>
      </c>
      <c r="N1052" s="3">
        <v>1523</v>
      </c>
      <c r="O1052" s="4" t="s">
        <v>282</v>
      </c>
      <c r="P1052" s="5" t="s">
        <v>87</v>
      </c>
      <c r="Q1052" s="56">
        <v>0</v>
      </c>
      <c r="R1052" s="56">
        <v>0</v>
      </c>
      <c r="S1052" s="56">
        <v>0</v>
      </c>
      <c r="T1052" s="56">
        <f>_xlfn.XLOOKUP($N1052,'Calculo Leads Conveniencia'!$A$77:$A$104,'Calculo Leads Conveniencia'!G$77:G$104)*_xlfn.XLOOKUP($P1052,'Base Grupo de Produtos'!$E$23:$E$39,'Base Grupo de Produtos'!$F$23:$F$39)</f>
        <v>0</v>
      </c>
      <c r="U1052" s="56">
        <f>_xlfn.XLOOKUP($N1052,'Calculo Leads Conveniencia'!$A$77:$A$104,'Calculo Leads Conveniencia'!H$77:H$104)*_xlfn.XLOOKUP($P1052,'Base Grupo de Produtos'!$E$23:$E$39,'Base Grupo de Produtos'!$F$23:$F$39)</f>
        <v>0</v>
      </c>
      <c r="V1052" s="56">
        <f>_xlfn.XLOOKUP($N1052,'Calculo Leads Conveniencia'!$A$77:$A$104,'Calculo Leads Conveniencia'!I$77:I$104)*_xlfn.XLOOKUP($P1052,'Base Grupo de Produtos'!$E$23:$E$39,'Base Grupo de Produtos'!$F$23:$F$39)</f>
        <v>0</v>
      </c>
      <c r="W1052" s="56">
        <f>_xlfn.XLOOKUP($N1052,'Calculo Leads Conveniencia'!$A$77:$A$104,'Calculo Leads Conveniencia'!J$77:J$104)*_xlfn.XLOOKUP($P1052,'Base Grupo de Produtos'!$E$23:$E$39,'Base Grupo de Produtos'!$F$23:$F$39)</f>
        <v>0</v>
      </c>
      <c r="X1052" s="56">
        <f>_xlfn.XLOOKUP($N1052,'Calculo Leads Conveniencia'!$A$77:$A$104,'Calculo Leads Conveniencia'!K$77:K$104)*_xlfn.XLOOKUP($P1052,'Base Grupo de Produtos'!$E$23:$E$39,'Base Grupo de Produtos'!$F$23:$F$39)</f>
        <v>0</v>
      </c>
      <c r="Y1052" s="56">
        <f>_xlfn.XLOOKUP($N1052,'Calculo Leads Conveniencia'!$A$77:$A$104,'Calculo Leads Conveniencia'!L$77:L$104)*_xlfn.XLOOKUP($P1052,'Base Grupo de Produtos'!$E$23:$E$39,'Base Grupo de Produtos'!$F$23:$F$39)</f>
        <v>0</v>
      </c>
      <c r="Z1052" s="56">
        <f>_xlfn.XLOOKUP($N1052,'Calculo Leads Conveniencia'!$A$77:$A$104,'Calculo Leads Conveniencia'!M$77:M$104)*_xlfn.XLOOKUP($P1052,'Base Grupo de Produtos'!$E$23:$E$39,'Base Grupo de Produtos'!$F$23:$F$39)</f>
        <v>0</v>
      </c>
      <c r="AA1052" s="56">
        <f>_xlfn.XLOOKUP($N1052,'Calculo Leads Conveniencia'!$A$77:$A$104,'Calculo Leads Conveniencia'!N$77:N$104)*_xlfn.XLOOKUP($P1052,'Base Grupo de Produtos'!$E$23:$E$39,'Base Grupo de Produtos'!$F$23:$F$39)</f>
        <v>0</v>
      </c>
      <c r="AB1052" s="56">
        <f>_xlfn.XLOOKUP($N1052,'Calculo Leads Conveniencia'!$A$77:$A$104,'Calculo Leads Conveniencia'!O$77:O$104)*_xlfn.XLOOKUP($P1052,'Base Grupo de Produtos'!$E$23:$E$39,'Base Grupo de Produtos'!$F$23:$F$39)</f>
        <v>0</v>
      </c>
      <c r="AC1052" s="61">
        <f t="shared" si="1003"/>
        <v>0</v>
      </c>
      <c r="AD1052" s="28"/>
      <c r="AE1052" s="12"/>
      <c r="AF1052" s="29"/>
      <c r="AG1052" s="9"/>
      <c r="AH1052" s="10"/>
      <c r="AI1052" s="9"/>
      <c r="AJ1052" s="11"/>
      <c r="AK1052" s="9"/>
      <c r="AL1052" s="13"/>
      <c r="AM1052" s="9"/>
    </row>
    <row r="1053" spans="1:39" x14ac:dyDescent="0.3">
      <c r="A1053" s="2" t="str">
        <f t="shared" si="1017"/>
        <v>NÃO</v>
      </c>
      <c r="B1053" s="2" t="str">
        <f>_xlfn.XLOOKUP($N1053,'Base de Grupos'!$A:$A,'Base de Grupos'!$D:$D)</f>
        <v>1000065763</v>
      </c>
      <c r="C1053" s="5" t="str">
        <f>_xlfn.XLOOKUP($N1053,'Base de Grupos'!$A:$A,'Base de Grupos'!$E:$E)</f>
        <v>CANAL VENDA INTERNA</v>
      </c>
      <c r="D1053" s="5" t="str">
        <f>_xlfn.XLOOKUP($N1053,'Base de Grupos'!$A:$A,'Base de Grupos'!$F:$F)</f>
        <v>1000065763</v>
      </c>
      <c r="E1053" s="2" t="str">
        <f>_xlfn.XLOOKUP($N1053,'Base de Grupos'!$A:$A,'Base de Grupos'!$G:$G)</f>
        <v>CANAL VENDA INTERNA</v>
      </c>
      <c r="F1053" s="2" t="str">
        <f>_xlfn.XLOOKUP($N1053,'Base de Grupos'!$A:$A,'Base de Grupos'!$H:$H)</f>
        <v>1000174119</v>
      </c>
      <c r="G1053" s="5" t="str">
        <f>_xlfn.XLOOKUP($N1053,'Base de Grupos'!$A:$A,'Base de Grupos'!$I:$I)</f>
        <v>REGIONAL VENDA INTERNA - CONVENIENCIA</v>
      </c>
      <c r="H1053" s="5" t="str">
        <f>_xlfn.XLOOKUP($N1053,'Base de Grupos'!$A:$A,'Base de Grupos'!$J:$J)</f>
        <v>1000174119</v>
      </c>
      <c r="I1053" s="2" t="str">
        <f>_xlfn.XLOOKUP($N1053,'Base de Grupos'!$A:$A,'Base de Grupos'!$K:$K)</f>
        <v>REGIONAL VENDA INTERNA - CONVENIENCIA</v>
      </c>
      <c r="J1053" s="2" t="str">
        <f>_xlfn.XLOOKUP($N1053,'Base de Grupos'!$A:$A,'Base de Grupos'!$L:$L)</f>
        <v>1000174119</v>
      </c>
      <c r="K1053" s="5" t="str">
        <f>_xlfn.XLOOKUP($N1053,'Base de Grupos'!$A:$A,'Base de Grupos'!$M:$M)</f>
        <v>REGIONAL VENDA INTERNA - CONVENIENCIA</v>
      </c>
      <c r="L1053" s="5" t="str">
        <f t="shared" si="1018"/>
        <v/>
      </c>
      <c r="M1053" s="5" t="str">
        <f>_xlfn.XLOOKUP($N1053,'Base de Grupos'!$A:$A,'Base de Grupos'!$C:$C)</f>
        <v>RJ</v>
      </c>
      <c r="N1053" s="3">
        <v>1523</v>
      </c>
      <c r="O1053" s="4" t="s">
        <v>282</v>
      </c>
      <c r="P1053" s="5" t="s">
        <v>85</v>
      </c>
      <c r="Q1053" s="56">
        <v>0</v>
      </c>
      <c r="R1053" s="56">
        <v>0</v>
      </c>
      <c r="S1053" s="56">
        <v>0</v>
      </c>
      <c r="T1053" s="56">
        <f>_xlfn.XLOOKUP($N1053,'Calculo Leads Conveniencia'!$A$77:$A$104,'Calculo Leads Conveniencia'!G$77:G$104)*_xlfn.XLOOKUP($P1053,'Base Grupo de Produtos'!$E$23:$E$39,'Base Grupo de Produtos'!$F$23:$F$39)</f>
        <v>0</v>
      </c>
      <c r="U1053" s="56">
        <f>_xlfn.XLOOKUP($N1053,'Calculo Leads Conveniencia'!$A$77:$A$104,'Calculo Leads Conveniencia'!H$77:H$104)*_xlfn.XLOOKUP($P1053,'Base Grupo de Produtos'!$E$23:$E$39,'Base Grupo de Produtos'!$F$23:$F$39)</f>
        <v>0</v>
      </c>
      <c r="V1053" s="56">
        <f>_xlfn.XLOOKUP($N1053,'Calculo Leads Conveniencia'!$A$77:$A$104,'Calculo Leads Conveniencia'!I$77:I$104)*_xlfn.XLOOKUP($P1053,'Base Grupo de Produtos'!$E$23:$E$39,'Base Grupo de Produtos'!$F$23:$F$39)</f>
        <v>0</v>
      </c>
      <c r="W1053" s="56">
        <f>_xlfn.XLOOKUP($N1053,'Calculo Leads Conveniencia'!$A$77:$A$104,'Calculo Leads Conveniencia'!J$77:J$104)*_xlfn.XLOOKUP($P1053,'Base Grupo de Produtos'!$E$23:$E$39,'Base Grupo de Produtos'!$F$23:$F$39)</f>
        <v>0</v>
      </c>
      <c r="X1053" s="56">
        <f>_xlfn.XLOOKUP($N1053,'Calculo Leads Conveniencia'!$A$77:$A$104,'Calculo Leads Conveniencia'!K$77:K$104)*_xlfn.XLOOKUP($P1053,'Base Grupo de Produtos'!$E$23:$E$39,'Base Grupo de Produtos'!$F$23:$F$39)</f>
        <v>0</v>
      </c>
      <c r="Y1053" s="56">
        <f>_xlfn.XLOOKUP($N1053,'Calculo Leads Conveniencia'!$A$77:$A$104,'Calculo Leads Conveniencia'!L$77:L$104)*_xlfn.XLOOKUP($P1053,'Base Grupo de Produtos'!$E$23:$E$39,'Base Grupo de Produtos'!$F$23:$F$39)</f>
        <v>0</v>
      </c>
      <c r="Z1053" s="56">
        <f>_xlfn.XLOOKUP($N1053,'Calculo Leads Conveniencia'!$A$77:$A$104,'Calculo Leads Conveniencia'!M$77:M$104)*_xlfn.XLOOKUP($P1053,'Base Grupo de Produtos'!$E$23:$E$39,'Base Grupo de Produtos'!$F$23:$F$39)</f>
        <v>0</v>
      </c>
      <c r="AA1053" s="56">
        <f>_xlfn.XLOOKUP($N1053,'Calculo Leads Conveniencia'!$A$77:$A$104,'Calculo Leads Conveniencia'!N$77:N$104)*_xlfn.XLOOKUP($P1053,'Base Grupo de Produtos'!$E$23:$E$39,'Base Grupo de Produtos'!$F$23:$F$39)</f>
        <v>0</v>
      </c>
      <c r="AB1053" s="56">
        <f>_xlfn.XLOOKUP($N1053,'Calculo Leads Conveniencia'!$A$77:$A$104,'Calculo Leads Conveniencia'!O$77:O$104)*_xlfn.XLOOKUP($P1053,'Base Grupo de Produtos'!$E$23:$E$39,'Base Grupo de Produtos'!$F$23:$F$39)</f>
        <v>0</v>
      </c>
      <c r="AC1053" s="61">
        <f t="shared" si="1003"/>
        <v>0</v>
      </c>
      <c r="AD1053" s="28"/>
      <c r="AE1053" s="12"/>
      <c r="AF1053" s="29"/>
      <c r="AG1053" s="9"/>
      <c r="AH1053" s="10"/>
      <c r="AI1053" s="9"/>
      <c r="AJ1053" s="11"/>
      <c r="AK1053" s="9"/>
      <c r="AL1053" s="13"/>
      <c r="AM1053" s="9"/>
    </row>
    <row r="1054" spans="1:39" x14ac:dyDescent="0.3">
      <c r="A1054" s="2" t="str">
        <f t="shared" si="1017"/>
        <v>NÃO</v>
      </c>
      <c r="B1054" s="2" t="str">
        <f>_xlfn.XLOOKUP($N1054,'Base de Grupos'!$A:$A,'Base de Grupos'!$D:$D)</f>
        <v>1000065763</v>
      </c>
      <c r="C1054" s="5" t="str">
        <f>_xlfn.XLOOKUP($N1054,'Base de Grupos'!$A:$A,'Base de Grupos'!$E:$E)</f>
        <v>CANAL VENDA INTERNA</v>
      </c>
      <c r="D1054" s="5" t="str">
        <f>_xlfn.XLOOKUP($N1054,'Base de Grupos'!$A:$A,'Base de Grupos'!$F:$F)</f>
        <v>1000065763</v>
      </c>
      <c r="E1054" s="2" t="str">
        <f>_xlfn.XLOOKUP($N1054,'Base de Grupos'!$A:$A,'Base de Grupos'!$G:$G)</f>
        <v>CANAL VENDA INTERNA</v>
      </c>
      <c r="F1054" s="2" t="str">
        <f>_xlfn.XLOOKUP($N1054,'Base de Grupos'!$A:$A,'Base de Grupos'!$H:$H)</f>
        <v>1000174119</v>
      </c>
      <c r="G1054" s="5" t="str">
        <f>_xlfn.XLOOKUP($N1054,'Base de Grupos'!$A:$A,'Base de Grupos'!$I:$I)</f>
        <v>REGIONAL VENDA INTERNA - CONVENIENCIA</v>
      </c>
      <c r="H1054" s="5" t="str">
        <f>_xlfn.XLOOKUP($N1054,'Base de Grupos'!$A:$A,'Base de Grupos'!$J:$J)</f>
        <v>1000174119</v>
      </c>
      <c r="I1054" s="2" t="str">
        <f>_xlfn.XLOOKUP($N1054,'Base de Grupos'!$A:$A,'Base de Grupos'!$K:$K)</f>
        <v>REGIONAL VENDA INTERNA - CONVENIENCIA</v>
      </c>
      <c r="J1054" s="2" t="str">
        <f>_xlfn.XLOOKUP($N1054,'Base de Grupos'!$A:$A,'Base de Grupos'!$L:$L)</f>
        <v>1000174119</v>
      </c>
      <c r="K1054" s="5" t="str">
        <f>_xlfn.XLOOKUP($N1054,'Base de Grupos'!$A:$A,'Base de Grupos'!$M:$M)</f>
        <v>REGIONAL VENDA INTERNA - CONVENIENCIA</v>
      </c>
      <c r="L1054" s="5" t="str">
        <f t="shared" si="1018"/>
        <v/>
      </c>
      <c r="M1054" s="5" t="str">
        <f>_xlfn.XLOOKUP($N1054,'Base de Grupos'!$A:$A,'Base de Grupos'!$C:$C)</f>
        <v>RJ</v>
      </c>
      <c r="N1054" s="3">
        <v>1523</v>
      </c>
      <c r="O1054" s="4" t="s">
        <v>282</v>
      </c>
      <c r="P1054" s="5" t="s">
        <v>92</v>
      </c>
      <c r="Q1054" s="56">
        <v>0</v>
      </c>
      <c r="R1054" s="56">
        <v>0</v>
      </c>
      <c r="S1054" s="56">
        <v>0</v>
      </c>
      <c r="T1054" s="56">
        <f>_xlfn.XLOOKUP($N1054,'Calculo Leads Conveniencia'!$A$77:$A$104,'Calculo Leads Conveniencia'!G$77:G$104)*_xlfn.XLOOKUP($P1054,'Base Grupo de Produtos'!$E$23:$E$39,'Base Grupo de Produtos'!$F$23:$F$39)</f>
        <v>0</v>
      </c>
      <c r="U1054" s="56">
        <f>_xlfn.XLOOKUP($N1054,'Calculo Leads Conveniencia'!$A$77:$A$104,'Calculo Leads Conveniencia'!H$77:H$104)*_xlfn.XLOOKUP($P1054,'Base Grupo de Produtos'!$E$23:$E$39,'Base Grupo de Produtos'!$F$23:$F$39)</f>
        <v>0</v>
      </c>
      <c r="V1054" s="56">
        <f>_xlfn.XLOOKUP($N1054,'Calculo Leads Conveniencia'!$A$77:$A$104,'Calculo Leads Conveniencia'!I$77:I$104)*_xlfn.XLOOKUP($P1054,'Base Grupo de Produtos'!$E$23:$E$39,'Base Grupo de Produtos'!$F$23:$F$39)</f>
        <v>0</v>
      </c>
      <c r="W1054" s="56">
        <f>_xlfn.XLOOKUP($N1054,'Calculo Leads Conveniencia'!$A$77:$A$104,'Calculo Leads Conveniencia'!J$77:J$104)*_xlfn.XLOOKUP($P1054,'Base Grupo de Produtos'!$E$23:$E$39,'Base Grupo de Produtos'!$F$23:$F$39)</f>
        <v>0</v>
      </c>
      <c r="X1054" s="56">
        <f>_xlfn.XLOOKUP($N1054,'Calculo Leads Conveniencia'!$A$77:$A$104,'Calculo Leads Conveniencia'!K$77:K$104)*_xlfn.XLOOKUP($P1054,'Base Grupo de Produtos'!$E$23:$E$39,'Base Grupo de Produtos'!$F$23:$F$39)</f>
        <v>0</v>
      </c>
      <c r="Y1054" s="56">
        <f>_xlfn.XLOOKUP($N1054,'Calculo Leads Conveniencia'!$A$77:$A$104,'Calculo Leads Conveniencia'!L$77:L$104)*_xlfn.XLOOKUP($P1054,'Base Grupo de Produtos'!$E$23:$E$39,'Base Grupo de Produtos'!$F$23:$F$39)</f>
        <v>0</v>
      </c>
      <c r="Z1054" s="56">
        <f>_xlfn.XLOOKUP($N1054,'Calculo Leads Conveniencia'!$A$77:$A$104,'Calculo Leads Conveniencia'!M$77:M$104)*_xlfn.XLOOKUP($P1054,'Base Grupo de Produtos'!$E$23:$E$39,'Base Grupo de Produtos'!$F$23:$F$39)</f>
        <v>0</v>
      </c>
      <c r="AA1054" s="56">
        <f>_xlfn.XLOOKUP($N1054,'Calculo Leads Conveniencia'!$A$77:$A$104,'Calculo Leads Conveniencia'!N$77:N$104)*_xlfn.XLOOKUP($P1054,'Base Grupo de Produtos'!$E$23:$E$39,'Base Grupo de Produtos'!$F$23:$F$39)</f>
        <v>0</v>
      </c>
      <c r="AB1054" s="56">
        <f>_xlfn.XLOOKUP($N1054,'Calculo Leads Conveniencia'!$A$77:$A$104,'Calculo Leads Conveniencia'!O$77:O$104)*_xlfn.XLOOKUP($P1054,'Base Grupo de Produtos'!$E$23:$E$39,'Base Grupo de Produtos'!$F$23:$F$39)</f>
        <v>0</v>
      </c>
      <c r="AC1054" s="61">
        <f t="shared" si="1003"/>
        <v>0</v>
      </c>
      <c r="AD1054" s="28"/>
      <c r="AE1054" s="12"/>
      <c r="AF1054" s="29"/>
      <c r="AG1054" s="9"/>
      <c r="AH1054" s="10"/>
      <c r="AI1054" s="9"/>
      <c r="AJ1054" s="11"/>
      <c r="AK1054" s="9"/>
      <c r="AL1054" s="13"/>
      <c r="AM1054" s="9"/>
    </row>
    <row r="1055" spans="1:39" x14ac:dyDescent="0.3">
      <c r="A1055" s="2" t="str">
        <f t="shared" si="1017"/>
        <v>NÃO</v>
      </c>
      <c r="B1055" s="2" t="str">
        <f>_xlfn.XLOOKUP($N1055,'Base de Grupos'!$A:$A,'Base de Grupos'!$D:$D)</f>
        <v>1000065763</v>
      </c>
      <c r="C1055" s="5" t="str">
        <f>_xlfn.XLOOKUP($N1055,'Base de Grupos'!$A:$A,'Base de Grupos'!$E:$E)</f>
        <v>CANAL VENDA INTERNA</v>
      </c>
      <c r="D1055" s="5" t="str">
        <f>_xlfn.XLOOKUP($N1055,'Base de Grupos'!$A:$A,'Base de Grupos'!$F:$F)</f>
        <v>1000065763</v>
      </c>
      <c r="E1055" s="2" t="str">
        <f>_xlfn.XLOOKUP($N1055,'Base de Grupos'!$A:$A,'Base de Grupos'!$G:$G)</f>
        <v>CANAL VENDA INTERNA</v>
      </c>
      <c r="F1055" s="2" t="str">
        <f>_xlfn.XLOOKUP($N1055,'Base de Grupos'!$A:$A,'Base de Grupos'!$H:$H)</f>
        <v>1000174119</v>
      </c>
      <c r="G1055" s="5" t="str">
        <f>_xlfn.XLOOKUP($N1055,'Base de Grupos'!$A:$A,'Base de Grupos'!$I:$I)</f>
        <v>REGIONAL VENDA INTERNA - CONVENIENCIA</v>
      </c>
      <c r="H1055" s="5" t="str">
        <f>_xlfn.XLOOKUP($N1055,'Base de Grupos'!$A:$A,'Base de Grupos'!$J:$J)</f>
        <v>1000174119</v>
      </c>
      <c r="I1055" s="2" t="str">
        <f>_xlfn.XLOOKUP($N1055,'Base de Grupos'!$A:$A,'Base de Grupos'!$K:$K)</f>
        <v>REGIONAL VENDA INTERNA - CONVENIENCIA</v>
      </c>
      <c r="J1055" s="2" t="str">
        <f>_xlfn.XLOOKUP($N1055,'Base de Grupos'!$A:$A,'Base de Grupos'!$L:$L)</f>
        <v>1000174119</v>
      </c>
      <c r="K1055" s="5" t="str">
        <f>_xlfn.XLOOKUP($N1055,'Base de Grupos'!$A:$A,'Base de Grupos'!$M:$M)</f>
        <v>REGIONAL VENDA INTERNA - CONVENIENCIA</v>
      </c>
      <c r="L1055" s="5" t="str">
        <f t="shared" si="1018"/>
        <v/>
      </c>
      <c r="M1055" s="5" t="str">
        <f>_xlfn.XLOOKUP($N1055,'Base de Grupos'!$A:$A,'Base de Grupos'!$C:$C)</f>
        <v>RJ</v>
      </c>
      <c r="N1055" s="3">
        <v>1523</v>
      </c>
      <c r="O1055" s="4" t="s">
        <v>282</v>
      </c>
      <c r="P1055" s="5" t="s">
        <v>86</v>
      </c>
      <c r="Q1055" s="56">
        <v>0</v>
      </c>
      <c r="R1055" s="56">
        <v>0</v>
      </c>
      <c r="S1055" s="56">
        <v>0</v>
      </c>
      <c r="T1055" s="56">
        <f>_xlfn.XLOOKUP($N1055,'Calculo Leads Conveniencia'!$A$77:$A$104,'Calculo Leads Conveniencia'!G$77:G$104)*_xlfn.XLOOKUP($P1055,'Base Grupo de Produtos'!$E$23:$E$39,'Base Grupo de Produtos'!$F$23:$F$39)</f>
        <v>0</v>
      </c>
      <c r="U1055" s="56">
        <f>_xlfn.XLOOKUP($N1055,'Calculo Leads Conveniencia'!$A$77:$A$104,'Calculo Leads Conveniencia'!H$77:H$104)*_xlfn.XLOOKUP($P1055,'Base Grupo de Produtos'!$E$23:$E$39,'Base Grupo de Produtos'!$F$23:$F$39)</f>
        <v>0</v>
      </c>
      <c r="V1055" s="56">
        <f>_xlfn.XLOOKUP($N1055,'Calculo Leads Conveniencia'!$A$77:$A$104,'Calculo Leads Conveniencia'!I$77:I$104)*_xlfn.XLOOKUP($P1055,'Base Grupo de Produtos'!$E$23:$E$39,'Base Grupo de Produtos'!$F$23:$F$39)</f>
        <v>0</v>
      </c>
      <c r="W1055" s="56">
        <f>_xlfn.XLOOKUP($N1055,'Calculo Leads Conveniencia'!$A$77:$A$104,'Calculo Leads Conveniencia'!J$77:J$104)*_xlfn.XLOOKUP($P1055,'Base Grupo de Produtos'!$E$23:$E$39,'Base Grupo de Produtos'!$F$23:$F$39)</f>
        <v>0</v>
      </c>
      <c r="X1055" s="56">
        <f>_xlfn.XLOOKUP($N1055,'Calculo Leads Conveniencia'!$A$77:$A$104,'Calculo Leads Conveniencia'!K$77:K$104)*_xlfn.XLOOKUP($P1055,'Base Grupo de Produtos'!$E$23:$E$39,'Base Grupo de Produtos'!$F$23:$F$39)</f>
        <v>0</v>
      </c>
      <c r="Y1055" s="56">
        <f>_xlfn.XLOOKUP($N1055,'Calculo Leads Conveniencia'!$A$77:$A$104,'Calculo Leads Conveniencia'!L$77:L$104)*_xlfn.XLOOKUP($P1055,'Base Grupo de Produtos'!$E$23:$E$39,'Base Grupo de Produtos'!$F$23:$F$39)</f>
        <v>0</v>
      </c>
      <c r="Z1055" s="56">
        <f>_xlfn.XLOOKUP($N1055,'Calculo Leads Conveniencia'!$A$77:$A$104,'Calculo Leads Conveniencia'!M$77:M$104)*_xlfn.XLOOKUP($P1055,'Base Grupo de Produtos'!$E$23:$E$39,'Base Grupo de Produtos'!$F$23:$F$39)</f>
        <v>0</v>
      </c>
      <c r="AA1055" s="56">
        <f>_xlfn.XLOOKUP($N1055,'Calculo Leads Conveniencia'!$A$77:$A$104,'Calculo Leads Conveniencia'!N$77:N$104)*_xlfn.XLOOKUP($P1055,'Base Grupo de Produtos'!$E$23:$E$39,'Base Grupo de Produtos'!$F$23:$F$39)</f>
        <v>0</v>
      </c>
      <c r="AB1055" s="56">
        <f>_xlfn.XLOOKUP($N1055,'Calculo Leads Conveniencia'!$A$77:$A$104,'Calculo Leads Conveniencia'!O$77:O$104)*_xlfn.XLOOKUP($P1055,'Base Grupo de Produtos'!$E$23:$E$39,'Base Grupo de Produtos'!$F$23:$F$39)</f>
        <v>0</v>
      </c>
      <c r="AC1055" s="61">
        <f t="shared" si="1003"/>
        <v>0</v>
      </c>
      <c r="AD1055" s="28"/>
      <c r="AE1055" s="12"/>
      <c r="AF1055" s="29"/>
      <c r="AG1055" s="9"/>
      <c r="AH1055" s="10"/>
      <c r="AI1055" s="9"/>
      <c r="AJ1055" s="11"/>
      <c r="AK1055" s="9"/>
      <c r="AL1055" s="13"/>
      <c r="AM1055" s="9"/>
    </row>
    <row r="1056" spans="1:39" x14ac:dyDescent="0.3">
      <c r="A1056" s="2" t="str">
        <f t="shared" si="1017"/>
        <v>NÃO</v>
      </c>
      <c r="B1056" s="2" t="str">
        <f>_xlfn.XLOOKUP($N1056,'Base de Grupos'!$A:$A,'Base de Grupos'!$D:$D)</f>
        <v>1000065763</v>
      </c>
      <c r="C1056" s="5" t="str">
        <f>_xlfn.XLOOKUP($N1056,'Base de Grupos'!$A:$A,'Base de Grupos'!$E:$E)</f>
        <v>CANAL VENDA INTERNA</v>
      </c>
      <c r="D1056" s="5" t="str">
        <f>_xlfn.XLOOKUP($N1056,'Base de Grupos'!$A:$A,'Base de Grupos'!$F:$F)</f>
        <v>1000065763</v>
      </c>
      <c r="E1056" s="2" t="str">
        <f>_xlfn.XLOOKUP($N1056,'Base de Grupos'!$A:$A,'Base de Grupos'!$G:$G)</f>
        <v>CANAL VENDA INTERNA</v>
      </c>
      <c r="F1056" s="2" t="str">
        <f>_xlfn.XLOOKUP($N1056,'Base de Grupos'!$A:$A,'Base de Grupos'!$H:$H)</f>
        <v>1000174119</v>
      </c>
      <c r="G1056" s="5" t="str">
        <f>_xlfn.XLOOKUP($N1056,'Base de Grupos'!$A:$A,'Base de Grupos'!$I:$I)</f>
        <v>REGIONAL VENDA INTERNA - CONVENIENCIA</v>
      </c>
      <c r="H1056" s="5" t="str">
        <f>_xlfn.XLOOKUP($N1056,'Base de Grupos'!$A:$A,'Base de Grupos'!$J:$J)</f>
        <v>1000174119</v>
      </c>
      <c r="I1056" s="2" t="str">
        <f>_xlfn.XLOOKUP($N1056,'Base de Grupos'!$A:$A,'Base de Grupos'!$K:$K)</f>
        <v>REGIONAL VENDA INTERNA - CONVENIENCIA</v>
      </c>
      <c r="J1056" s="2" t="str">
        <f>_xlfn.XLOOKUP($N1056,'Base de Grupos'!$A:$A,'Base de Grupos'!$L:$L)</f>
        <v>1000174119</v>
      </c>
      <c r="K1056" s="5" t="str">
        <f>_xlfn.XLOOKUP($N1056,'Base de Grupos'!$A:$A,'Base de Grupos'!$M:$M)</f>
        <v>REGIONAL VENDA INTERNA - CONVENIENCIA</v>
      </c>
      <c r="L1056" s="5" t="str">
        <f t="shared" si="1018"/>
        <v/>
      </c>
      <c r="M1056" s="5" t="str">
        <f>_xlfn.XLOOKUP($N1056,'Base de Grupos'!$A:$A,'Base de Grupos'!$C:$C)</f>
        <v>RJ</v>
      </c>
      <c r="N1056" s="3">
        <v>1523</v>
      </c>
      <c r="O1056" s="4" t="s">
        <v>282</v>
      </c>
      <c r="P1056" s="5" t="s">
        <v>108</v>
      </c>
      <c r="Q1056" s="56">
        <v>0</v>
      </c>
      <c r="R1056" s="56">
        <v>0</v>
      </c>
      <c r="S1056" s="56">
        <v>0</v>
      </c>
      <c r="T1056" s="56">
        <f>_xlfn.XLOOKUP($N1056,'Calculo Leads Conveniencia'!$A$77:$A$104,'Calculo Leads Conveniencia'!G$77:G$104)*_xlfn.XLOOKUP($P1056,'Base Grupo de Produtos'!$E$23:$E$39,'Base Grupo de Produtos'!$F$23:$F$39)</f>
        <v>0</v>
      </c>
      <c r="U1056" s="56">
        <f>_xlfn.XLOOKUP($N1056,'Calculo Leads Conveniencia'!$A$77:$A$104,'Calculo Leads Conveniencia'!H$77:H$104)*_xlfn.XLOOKUP($P1056,'Base Grupo de Produtos'!$E$23:$E$39,'Base Grupo de Produtos'!$F$23:$F$39)</f>
        <v>0</v>
      </c>
      <c r="V1056" s="56">
        <f>_xlfn.XLOOKUP($N1056,'Calculo Leads Conveniencia'!$A$77:$A$104,'Calculo Leads Conveniencia'!I$77:I$104)*_xlfn.XLOOKUP($P1056,'Base Grupo de Produtos'!$E$23:$E$39,'Base Grupo de Produtos'!$F$23:$F$39)</f>
        <v>0</v>
      </c>
      <c r="W1056" s="56">
        <f>_xlfn.XLOOKUP($N1056,'Calculo Leads Conveniencia'!$A$77:$A$104,'Calculo Leads Conveniencia'!J$77:J$104)*_xlfn.XLOOKUP($P1056,'Base Grupo de Produtos'!$E$23:$E$39,'Base Grupo de Produtos'!$F$23:$F$39)</f>
        <v>0</v>
      </c>
      <c r="X1056" s="56">
        <f>_xlfn.XLOOKUP($N1056,'Calculo Leads Conveniencia'!$A$77:$A$104,'Calculo Leads Conveniencia'!K$77:K$104)*_xlfn.XLOOKUP($P1056,'Base Grupo de Produtos'!$E$23:$E$39,'Base Grupo de Produtos'!$F$23:$F$39)</f>
        <v>0</v>
      </c>
      <c r="Y1056" s="56">
        <f>_xlfn.XLOOKUP($N1056,'Calculo Leads Conveniencia'!$A$77:$A$104,'Calculo Leads Conveniencia'!L$77:L$104)*_xlfn.XLOOKUP($P1056,'Base Grupo de Produtos'!$E$23:$E$39,'Base Grupo de Produtos'!$F$23:$F$39)</f>
        <v>0</v>
      </c>
      <c r="Z1056" s="56">
        <f>_xlfn.XLOOKUP($N1056,'Calculo Leads Conveniencia'!$A$77:$A$104,'Calculo Leads Conveniencia'!M$77:M$104)*_xlfn.XLOOKUP($P1056,'Base Grupo de Produtos'!$E$23:$E$39,'Base Grupo de Produtos'!$F$23:$F$39)</f>
        <v>0</v>
      </c>
      <c r="AA1056" s="56">
        <f>_xlfn.XLOOKUP($N1056,'Calculo Leads Conveniencia'!$A$77:$A$104,'Calculo Leads Conveniencia'!N$77:N$104)*_xlfn.XLOOKUP($P1056,'Base Grupo de Produtos'!$E$23:$E$39,'Base Grupo de Produtos'!$F$23:$F$39)</f>
        <v>0</v>
      </c>
      <c r="AB1056" s="56">
        <f>_xlfn.XLOOKUP($N1056,'Calculo Leads Conveniencia'!$A$77:$A$104,'Calculo Leads Conveniencia'!O$77:O$104)*_xlfn.XLOOKUP($P1056,'Base Grupo de Produtos'!$E$23:$E$39,'Base Grupo de Produtos'!$F$23:$F$39)</f>
        <v>0</v>
      </c>
      <c r="AC1056" s="61">
        <f t="shared" si="1003"/>
        <v>0</v>
      </c>
      <c r="AD1056" s="28"/>
      <c r="AE1056" s="12"/>
      <c r="AF1056" s="29"/>
      <c r="AG1056" s="9"/>
      <c r="AH1056" s="10"/>
      <c r="AI1056" s="9"/>
      <c r="AJ1056" s="11"/>
      <c r="AK1056" s="9"/>
      <c r="AL1056" s="13"/>
      <c r="AM1056" s="9"/>
    </row>
    <row r="1057" spans="1:39" x14ac:dyDescent="0.3">
      <c r="A1057" s="2" t="str">
        <f t="shared" si="1017"/>
        <v>NÃO</v>
      </c>
      <c r="B1057" s="2" t="str">
        <f>_xlfn.XLOOKUP($N1057,'Base de Grupos'!$A:$A,'Base de Grupos'!$D:$D)</f>
        <v>1000065763</v>
      </c>
      <c r="C1057" s="5" t="str">
        <f>_xlfn.XLOOKUP($N1057,'Base de Grupos'!$A:$A,'Base de Grupos'!$E:$E)</f>
        <v>CANAL VENDA INTERNA</v>
      </c>
      <c r="D1057" s="5" t="str">
        <f>_xlfn.XLOOKUP($N1057,'Base de Grupos'!$A:$A,'Base de Grupos'!$F:$F)</f>
        <v>1000065763</v>
      </c>
      <c r="E1057" s="2" t="str">
        <f>_xlfn.XLOOKUP($N1057,'Base de Grupos'!$A:$A,'Base de Grupos'!$G:$G)</f>
        <v>CANAL VENDA INTERNA</v>
      </c>
      <c r="F1057" s="2" t="str">
        <f>_xlfn.XLOOKUP($N1057,'Base de Grupos'!$A:$A,'Base de Grupos'!$H:$H)</f>
        <v>1000174119</v>
      </c>
      <c r="G1057" s="5" t="str">
        <f>_xlfn.XLOOKUP($N1057,'Base de Grupos'!$A:$A,'Base de Grupos'!$I:$I)</f>
        <v>REGIONAL VENDA INTERNA - CONVENIENCIA</v>
      </c>
      <c r="H1057" s="5" t="str">
        <f>_xlfn.XLOOKUP($N1057,'Base de Grupos'!$A:$A,'Base de Grupos'!$J:$J)</f>
        <v>1000174119</v>
      </c>
      <c r="I1057" s="2" t="str">
        <f>_xlfn.XLOOKUP($N1057,'Base de Grupos'!$A:$A,'Base de Grupos'!$K:$K)</f>
        <v>REGIONAL VENDA INTERNA - CONVENIENCIA</v>
      </c>
      <c r="J1057" s="2" t="str">
        <f>_xlfn.XLOOKUP($N1057,'Base de Grupos'!$A:$A,'Base de Grupos'!$L:$L)</f>
        <v>1000174119</v>
      </c>
      <c r="K1057" s="5" t="str">
        <f>_xlfn.XLOOKUP($N1057,'Base de Grupos'!$A:$A,'Base de Grupos'!$M:$M)</f>
        <v>REGIONAL VENDA INTERNA - CONVENIENCIA</v>
      </c>
      <c r="L1057" s="5" t="str">
        <f t="shared" si="1018"/>
        <v/>
      </c>
      <c r="M1057" s="5" t="str">
        <f>_xlfn.XLOOKUP($N1057,'Base de Grupos'!$A:$A,'Base de Grupos'!$C:$C)</f>
        <v>RJ</v>
      </c>
      <c r="N1057" s="3">
        <v>1523</v>
      </c>
      <c r="O1057" s="4" t="s">
        <v>282</v>
      </c>
      <c r="P1057" s="5" t="s">
        <v>89</v>
      </c>
      <c r="Q1057" s="56">
        <v>0</v>
      </c>
      <c r="R1057" s="56">
        <v>0</v>
      </c>
      <c r="S1057" s="56">
        <v>0</v>
      </c>
      <c r="T1057" s="56">
        <f>_xlfn.XLOOKUP($N1057,'Calculo Leads Conveniencia'!$A$77:$A$104,'Calculo Leads Conveniencia'!G$77:G$104)*_xlfn.XLOOKUP($P1057,'Base Grupo de Produtos'!$E$23:$E$39,'Base Grupo de Produtos'!$F$23:$F$39)</f>
        <v>0</v>
      </c>
      <c r="U1057" s="56">
        <f>_xlfn.XLOOKUP($N1057,'Calculo Leads Conveniencia'!$A$77:$A$104,'Calculo Leads Conveniencia'!H$77:H$104)*_xlfn.XLOOKUP($P1057,'Base Grupo de Produtos'!$E$23:$E$39,'Base Grupo de Produtos'!$F$23:$F$39)</f>
        <v>0</v>
      </c>
      <c r="V1057" s="56">
        <f>_xlfn.XLOOKUP($N1057,'Calculo Leads Conveniencia'!$A$77:$A$104,'Calculo Leads Conveniencia'!I$77:I$104)*_xlfn.XLOOKUP($P1057,'Base Grupo de Produtos'!$E$23:$E$39,'Base Grupo de Produtos'!$F$23:$F$39)</f>
        <v>0</v>
      </c>
      <c r="W1057" s="56">
        <f>_xlfn.XLOOKUP($N1057,'Calculo Leads Conveniencia'!$A$77:$A$104,'Calculo Leads Conveniencia'!J$77:J$104)*_xlfn.XLOOKUP($P1057,'Base Grupo de Produtos'!$E$23:$E$39,'Base Grupo de Produtos'!$F$23:$F$39)</f>
        <v>0</v>
      </c>
      <c r="X1057" s="56">
        <f>_xlfn.XLOOKUP($N1057,'Calculo Leads Conveniencia'!$A$77:$A$104,'Calculo Leads Conveniencia'!K$77:K$104)*_xlfn.XLOOKUP($P1057,'Base Grupo de Produtos'!$E$23:$E$39,'Base Grupo de Produtos'!$F$23:$F$39)</f>
        <v>0</v>
      </c>
      <c r="Y1057" s="56">
        <f>_xlfn.XLOOKUP($N1057,'Calculo Leads Conveniencia'!$A$77:$A$104,'Calculo Leads Conveniencia'!L$77:L$104)*_xlfn.XLOOKUP($P1057,'Base Grupo de Produtos'!$E$23:$E$39,'Base Grupo de Produtos'!$F$23:$F$39)</f>
        <v>0</v>
      </c>
      <c r="Z1057" s="56">
        <f>_xlfn.XLOOKUP($N1057,'Calculo Leads Conveniencia'!$A$77:$A$104,'Calculo Leads Conveniencia'!M$77:M$104)*_xlfn.XLOOKUP($P1057,'Base Grupo de Produtos'!$E$23:$E$39,'Base Grupo de Produtos'!$F$23:$F$39)</f>
        <v>0</v>
      </c>
      <c r="AA1057" s="56">
        <f>_xlfn.XLOOKUP($N1057,'Calculo Leads Conveniencia'!$A$77:$A$104,'Calculo Leads Conveniencia'!N$77:N$104)*_xlfn.XLOOKUP($P1057,'Base Grupo de Produtos'!$E$23:$E$39,'Base Grupo de Produtos'!$F$23:$F$39)</f>
        <v>0</v>
      </c>
      <c r="AB1057" s="56">
        <f>_xlfn.XLOOKUP($N1057,'Calculo Leads Conveniencia'!$A$77:$A$104,'Calculo Leads Conveniencia'!O$77:O$104)*_xlfn.XLOOKUP($P1057,'Base Grupo de Produtos'!$E$23:$E$39,'Base Grupo de Produtos'!$F$23:$F$39)</f>
        <v>0</v>
      </c>
      <c r="AC1057" s="61">
        <f t="shared" si="1003"/>
        <v>0</v>
      </c>
      <c r="AD1057" s="28"/>
      <c r="AE1057" s="12"/>
      <c r="AF1057" s="29"/>
      <c r="AG1057" s="9"/>
      <c r="AH1057" s="10"/>
      <c r="AI1057" s="9"/>
      <c r="AJ1057" s="11"/>
      <c r="AK1057" s="9"/>
      <c r="AL1057" s="13"/>
      <c r="AM1057" s="9"/>
    </row>
    <row r="1058" spans="1:39" x14ac:dyDescent="0.3">
      <c r="A1058" s="2" t="str">
        <f t="shared" si="1017"/>
        <v>NÃO</v>
      </c>
      <c r="B1058" s="2" t="str">
        <f>_xlfn.XLOOKUP($N1058,'Base de Grupos'!$A:$A,'Base de Grupos'!$D:$D)</f>
        <v>1000065763</v>
      </c>
      <c r="C1058" s="5" t="str">
        <f>_xlfn.XLOOKUP($N1058,'Base de Grupos'!$A:$A,'Base de Grupos'!$E:$E)</f>
        <v>CANAL VENDA INTERNA</v>
      </c>
      <c r="D1058" s="5" t="str">
        <f>_xlfn.XLOOKUP($N1058,'Base de Grupos'!$A:$A,'Base de Grupos'!$F:$F)</f>
        <v>1000065763</v>
      </c>
      <c r="E1058" s="2" t="str">
        <f>_xlfn.XLOOKUP($N1058,'Base de Grupos'!$A:$A,'Base de Grupos'!$G:$G)</f>
        <v>CANAL VENDA INTERNA</v>
      </c>
      <c r="F1058" s="2" t="str">
        <f>_xlfn.XLOOKUP($N1058,'Base de Grupos'!$A:$A,'Base de Grupos'!$H:$H)</f>
        <v>1000174119</v>
      </c>
      <c r="G1058" s="5" t="str">
        <f>_xlfn.XLOOKUP($N1058,'Base de Grupos'!$A:$A,'Base de Grupos'!$I:$I)</f>
        <v>REGIONAL VENDA INTERNA - CONVENIENCIA</v>
      </c>
      <c r="H1058" s="5" t="str">
        <f>_xlfn.XLOOKUP($N1058,'Base de Grupos'!$A:$A,'Base de Grupos'!$J:$J)</f>
        <v>1000174119</v>
      </c>
      <c r="I1058" s="2" t="str">
        <f>_xlfn.XLOOKUP($N1058,'Base de Grupos'!$A:$A,'Base de Grupos'!$K:$K)</f>
        <v>REGIONAL VENDA INTERNA - CONVENIENCIA</v>
      </c>
      <c r="J1058" s="2" t="str">
        <f>_xlfn.XLOOKUP($N1058,'Base de Grupos'!$A:$A,'Base de Grupos'!$L:$L)</f>
        <v>1000174119</v>
      </c>
      <c r="K1058" s="5" t="str">
        <f>_xlfn.XLOOKUP($N1058,'Base de Grupos'!$A:$A,'Base de Grupos'!$M:$M)</f>
        <v>REGIONAL VENDA INTERNA - CONVENIENCIA</v>
      </c>
      <c r="L1058" s="5" t="str">
        <f t="shared" si="1018"/>
        <v/>
      </c>
      <c r="M1058" s="5" t="str">
        <f>_xlfn.XLOOKUP($N1058,'Base de Grupos'!$A:$A,'Base de Grupos'!$C:$C)</f>
        <v>RJ</v>
      </c>
      <c r="N1058" s="3">
        <v>1523</v>
      </c>
      <c r="O1058" s="4" t="s">
        <v>282</v>
      </c>
      <c r="P1058" s="5" t="s">
        <v>88</v>
      </c>
      <c r="Q1058" s="56">
        <v>0</v>
      </c>
      <c r="R1058" s="56">
        <v>0</v>
      </c>
      <c r="S1058" s="56">
        <v>0</v>
      </c>
      <c r="T1058" s="56">
        <f>_xlfn.XLOOKUP($N1058,'Calculo Leads Conveniencia'!$A$77:$A$104,'Calculo Leads Conveniencia'!G$77:G$104)*_xlfn.XLOOKUP($P1058,'Base Grupo de Produtos'!$E$23:$E$39,'Base Grupo de Produtos'!$F$23:$F$39)</f>
        <v>0</v>
      </c>
      <c r="U1058" s="56">
        <f>_xlfn.XLOOKUP($N1058,'Calculo Leads Conveniencia'!$A$77:$A$104,'Calculo Leads Conveniencia'!H$77:H$104)*_xlfn.XLOOKUP($P1058,'Base Grupo de Produtos'!$E$23:$E$39,'Base Grupo de Produtos'!$F$23:$F$39)</f>
        <v>0</v>
      </c>
      <c r="V1058" s="56">
        <f>_xlfn.XLOOKUP($N1058,'Calculo Leads Conveniencia'!$A$77:$A$104,'Calculo Leads Conveniencia'!I$77:I$104)*_xlfn.XLOOKUP($P1058,'Base Grupo de Produtos'!$E$23:$E$39,'Base Grupo de Produtos'!$F$23:$F$39)</f>
        <v>0</v>
      </c>
      <c r="W1058" s="56">
        <f>_xlfn.XLOOKUP($N1058,'Calculo Leads Conveniencia'!$A$77:$A$104,'Calculo Leads Conveniencia'!J$77:J$104)*_xlfn.XLOOKUP($P1058,'Base Grupo de Produtos'!$E$23:$E$39,'Base Grupo de Produtos'!$F$23:$F$39)</f>
        <v>0</v>
      </c>
      <c r="X1058" s="56">
        <f>_xlfn.XLOOKUP($N1058,'Calculo Leads Conveniencia'!$A$77:$A$104,'Calculo Leads Conveniencia'!K$77:K$104)*_xlfn.XLOOKUP($P1058,'Base Grupo de Produtos'!$E$23:$E$39,'Base Grupo de Produtos'!$F$23:$F$39)</f>
        <v>0</v>
      </c>
      <c r="Y1058" s="56">
        <f>_xlfn.XLOOKUP($N1058,'Calculo Leads Conveniencia'!$A$77:$A$104,'Calculo Leads Conveniencia'!L$77:L$104)*_xlfn.XLOOKUP($P1058,'Base Grupo de Produtos'!$E$23:$E$39,'Base Grupo de Produtos'!$F$23:$F$39)</f>
        <v>0</v>
      </c>
      <c r="Z1058" s="56">
        <f>_xlfn.XLOOKUP($N1058,'Calculo Leads Conveniencia'!$A$77:$A$104,'Calculo Leads Conveniencia'!M$77:M$104)*_xlfn.XLOOKUP($P1058,'Base Grupo de Produtos'!$E$23:$E$39,'Base Grupo de Produtos'!$F$23:$F$39)</f>
        <v>0</v>
      </c>
      <c r="AA1058" s="56">
        <f>_xlfn.XLOOKUP($N1058,'Calculo Leads Conveniencia'!$A$77:$A$104,'Calculo Leads Conveniencia'!N$77:N$104)*_xlfn.XLOOKUP($P1058,'Base Grupo de Produtos'!$E$23:$E$39,'Base Grupo de Produtos'!$F$23:$F$39)</f>
        <v>0</v>
      </c>
      <c r="AB1058" s="56">
        <f>_xlfn.XLOOKUP($N1058,'Calculo Leads Conveniencia'!$A$77:$A$104,'Calculo Leads Conveniencia'!O$77:O$104)*_xlfn.XLOOKUP($P1058,'Base Grupo de Produtos'!$E$23:$E$39,'Base Grupo de Produtos'!$F$23:$F$39)</f>
        <v>0</v>
      </c>
      <c r="AC1058" s="61">
        <f t="shared" si="1003"/>
        <v>0</v>
      </c>
      <c r="AD1058" s="28"/>
      <c r="AE1058" s="12"/>
      <c r="AF1058" s="29"/>
      <c r="AG1058" s="9"/>
      <c r="AH1058" s="10"/>
      <c r="AI1058" s="9"/>
      <c r="AJ1058" s="11"/>
      <c r="AK1058" s="9"/>
      <c r="AL1058" s="13"/>
      <c r="AM1058" s="9"/>
    </row>
    <row r="1059" spans="1:39" x14ac:dyDescent="0.3">
      <c r="A1059" s="2" t="str">
        <f t="shared" si="1017"/>
        <v>NÃO</v>
      </c>
      <c r="B1059" s="2" t="str">
        <f>_xlfn.XLOOKUP($N1059,'Base de Grupos'!$A:$A,'Base de Grupos'!$D:$D)</f>
        <v>1000065763</v>
      </c>
      <c r="C1059" s="5" t="str">
        <f>_xlfn.XLOOKUP($N1059,'Base de Grupos'!$A:$A,'Base de Grupos'!$E:$E)</f>
        <v>CANAL VENDA INTERNA</v>
      </c>
      <c r="D1059" s="5" t="str">
        <f>_xlfn.XLOOKUP($N1059,'Base de Grupos'!$A:$A,'Base de Grupos'!$F:$F)</f>
        <v>1000065763</v>
      </c>
      <c r="E1059" s="2" t="str">
        <f>_xlfn.XLOOKUP($N1059,'Base de Grupos'!$A:$A,'Base de Grupos'!$G:$G)</f>
        <v>CANAL VENDA INTERNA</v>
      </c>
      <c r="F1059" s="2" t="str">
        <f>_xlfn.XLOOKUP($N1059,'Base de Grupos'!$A:$A,'Base de Grupos'!$H:$H)</f>
        <v>1000174119</v>
      </c>
      <c r="G1059" s="5" t="str">
        <f>_xlfn.XLOOKUP($N1059,'Base de Grupos'!$A:$A,'Base de Grupos'!$I:$I)</f>
        <v>REGIONAL VENDA INTERNA - CONVENIENCIA</v>
      </c>
      <c r="H1059" s="5" t="str">
        <f>_xlfn.XLOOKUP($N1059,'Base de Grupos'!$A:$A,'Base de Grupos'!$J:$J)</f>
        <v>1000174119</v>
      </c>
      <c r="I1059" s="2" t="str">
        <f>_xlfn.XLOOKUP($N1059,'Base de Grupos'!$A:$A,'Base de Grupos'!$K:$K)</f>
        <v>REGIONAL VENDA INTERNA - CONVENIENCIA</v>
      </c>
      <c r="J1059" s="2" t="str">
        <f>_xlfn.XLOOKUP($N1059,'Base de Grupos'!$A:$A,'Base de Grupos'!$L:$L)</f>
        <v>1000174119</v>
      </c>
      <c r="K1059" s="5" t="str">
        <f>_xlfn.XLOOKUP($N1059,'Base de Grupos'!$A:$A,'Base de Grupos'!$M:$M)</f>
        <v>REGIONAL VENDA INTERNA - CONVENIENCIA</v>
      </c>
      <c r="L1059" s="5" t="str">
        <f t="shared" si="1018"/>
        <v/>
      </c>
      <c r="M1059" s="5" t="str">
        <f>_xlfn.XLOOKUP($N1059,'Base de Grupos'!$A:$A,'Base de Grupos'!$C:$C)</f>
        <v>RJ</v>
      </c>
      <c r="N1059" s="3">
        <v>1523</v>
      </c>
      <c r="O1059" s="4" t="s">
        <v>282</v>
      </c>
      <c r="P1059" s="5" t="s">
        <v>90</v>
      </c>
      <c r="Q1059" s="56">
        <v>0</v>
      </c>
      <c r="R1059" s="56">
        <v>0</v>
      </c>
      <c r="S1059" s="56">
        <v>0</v>
      </c>
      <c r="T1059" s="56">
        <f>_xlfn.XLOOKUP($N1059,'Calculo Leads Conveniencia'!$A$77:$A$104,'Calculo Leads Conveniencia'!G$77:G$104)*_xlfn.XLOOKUP($P1059,'Base Grupo de Produtos'!$E$23:$E$39,'Base Grupo de Produtos'!$F$23:$F$39)</f>
        <v>0</v>
      </c>
      <c r="U1059" s="56">
        <f>_xlfn.XLOOKUP($N1059,'Calculo Leads Conveniencia'!$A$77:$A$104,'Calculo Leads Conveniencia'!H$77:H$104)*_xlfn.XLOOKUP($P1059,'Base Grupo de Produtos'!$E$23:$E$39,'Base Grupo de Produtos'!$F$23:$F$39)</f>
        <v>0</v>
      </c>
      <c r="V1059" s="56">
        <f>_xlfn.XLOOKUP($N1059,'Calculo Leads Conveniencia'!$A$77:$A$104,'Calculo Leads Conveniencia'!I$77:I$104)*_xlfn.XLOOKUP($P1059,'Base Grupo de Produtos'!$E$23:$E$39,'Base Grupo de Produtos'!$F$23:$F$39)</f>
        <v>0</v>
      </c>
      <c r="W1059" s="56">
        <f>_xlfn.XLOOKUP($N1059,'Calculo Leads Conveniencia'!$A$77:$A$104,'Calculo Leads Conveniencia'!J$77:J$104)*_xlfn.XLOOKUP($P1059,'Base Grupo de Produtos'!$E$23:$E$39,'Base Grupo de Produtos'!$F$23:$F$39)</f>
        <v>0</v>
      </c>
      <c r="X1059" s="56">
        <f>_xlfn.XLOOKUP($N1059,'Calculo Leads Conveniencia'!$A$77:$A$104,'Calculo Leads Conveniencia'!K$77:K$104)*_xlfn.XLOOKUP($P1059,'Base Grupo de Produtos'!$E$23:$E$39,'Base Grupo de Produtos'!$F$23:$F$39)</f>
        <v>0</v>
      </c>
      <c r="Y1059" s="56">
        <f>_xlfn.XLOOKUP($N1059,'Calculo Leads Conveniencia'!$A$77:$A$104,'Calculo Leads Conveniencia'!L$77:L$104)*_xlfn.XLOOKUP($P1059,'Base Grupo de Produtos'!$E$23:$E$39,'Base Grupo de Produtos'!$F$23:$F$39)</f>
        <v>0</v>
      </c>
      <c r="Z1059" s="56">
        <f>_xlfn.XLOOKUP($N1059,'Calculo Leads Conveniencia'!$A$77:$A$104,'Calculo Leads Conveniencia'!M$77:M$104)*_xlfn.XLOOKUP($P1059,'Base Grupo de Produtos'!$E$23:$E$39,'Base Grupo de Produtos'!$F$23:$F$39)</f>
        <v>0</v>
      </c>
      <c r="AA1059" s="56">
        <f>_xlfn.XLOOKUP($N1059,'Calculo Leads Conveniencia'!$A$77:$A$104,'Calculo Leads Conveniencia'!N$77:N$104)*_xlfn.XLOOKUP($P1059,'Base Grupo de Produtos'!$E$23:$E$39,'Base Grupo de Produtos'!$F$23:$F$39)</f>
        <v>0</v>
      </c>
      <c r="AB1059" s="56">
        <f>_xlfn.XLOOKUP($N1059,'Calculo Leads Conveniencia'!$A$77:$A$104,'Calculo Leads Conveniencia'!O$77:O$104)*_xlfn.XLOOKUP($P1059,'Base Grupo de Produtos'!$E$23:$E$39,'Base Grupo de Produtos'!$F$23:$F$39)</f>
        <v>0</v>
      </c>
      <c r="AC1059" s="61">
        <f t="shared" si="1003"/>
        <v>0</v>
      </c>
      <c r="AD1059" s="28"/>
      <c r="AE1059" s="12"/>
      <c r="AF1059" s="29"/>
      <c r="AG1059" s="9"/>
      <c r="AH1059" s="10"/>
      <c r="AI1059" s="9"/>
      <c r="AJ1059" s="11"/>
      <c r="AK1059" s="9"/>
      <c r="AL1059" s="13"/>
      <c r="AM1059" s="9"/>
    </row>
    <row r="1060" spans="1:39" x14ac:dyDescent="0.3">
      <c r="A1060" s="2" t="str">
        <f t="shared" si="1017"/>
        <v>NÃO</v>
      </c>
      <c r="B1060" s="2" t="str">
        <f>_xlfn.XLOOKUP($N1060,'Base de Grupos'!$A:$A,'Base de Grupos'!$D:$D)</f>
        <v>1000065763</v>
      </c>
      <c r="C1060" s="5" t="str">
        <f>_xlfn.XLOOKUP($N1060,'Base de Grupos'!$A:$A,'Base de Grupos'!$E:$E)</f>
        <v>CANAL VENDA INTERNA</v>
      </c>
      <c r="D1060" s="5" t="str">
        <f>_xlfn.XLOOKUP($N1060,'Base de Grupos'!$A:$A,'Base de Grupos'!$F:$F)</f>
        <v>1000065763</v>
      </c>
      <c r="E1060" s="2" t="str">
        <f>_xlfn.XLOOKUP($N1060,'Base de Grupos'!$A:$A,'Base de Grupos'!$G:$G)</f>
        <v>CANAL VENDA INTERNA</v>
      </c>
      <c r="F1060" s="2" t="str">
        <f>_xlfn.XLOOKUP($N1060,'Base de Grupos'!$A:$A,'Base de Grupos'!$H:$H)</f>
        <v>1000174119</v>
      </c>
      <c r="G1060" s="5" t="str">
        <f>_xlfn.XLOOKUP($N1060,'Base de Grupos'!$A:$A,'Base de Grupos'!$I:$I)</f>
        <v>REGIONAL VENDA INTERNA - CONVENIENCIA</v>
      </c>
      <c r="H1060" s="5" t="str">
        <f>_xlfn.XLOOKUP($N1060,'Base de Grupos'!$A:$A,'Base de Grupos'!$J:$J)</f>
        <v>1000174119</v>
      </c>
      <c r="I1060" s="2" t="str">
        <f>_xlfn.XLOOKUP($N1060,'Base de Grupos'!$A:$A,'Base de Grupos'!$K:$K)</f>
        <v>REGIONAL VENDA INTERNA - CONVENIENCIA</v>
      </c>
      <c r="J1060" s="2" t="str">
        <f>_xlfn.XLOOKUP($N1060,'Base de Grupos'!$A:$A,'Base de Grupos'!$L:$L)</f>
        <v>1000174119</v>
      </c>
      <c r="K1060" s="5" t="str">
        <f>_xlfn.XLOOKUP($N1060,'Base de Grupos'!$A:$A,'Base de Grupos'!$M:$M)</f>
        <v>REGIONAL VENDA INTERNA - CONVENIENCIA</v>
      </c>
      <c r="L1060" s="5" t="str">
        <f t="shared" si="1018"/>
        <v/>
      </c>
      <c r="M1060" s="5" t="str">
        <f>_xlfn.XLOOKUP($N1060,'Base de Grupos'!$A:$A,'Base de Grupos'!$C:$C)</f>
        <v>RJ</v>
      </c>
      <c r="N1060" s="3">
        <v>1523</v>
      </c>
      <c r="O1060" s="4" t="s">
        <v>282</v>
      </c>
      <c r="P1060" s="5" t="s">
        <v>91</v>
      </c>
      <c r="Q1060" s="56">
        <v>0</v>
      </c>
      <c r="R1060" s="56">
        <v>0</v>
      </c>
      <c r="S1060" s="56">
        <v>0</v>
      </c>
      <c r="T1060" s="56">
        <f>_xlfn.XLOOKUP($N1060,'Calculo Leads Conveniencia'!$A$77:$A$104,'Calculo Leads Conveniencia'!G$77:G$104)*_xlfn.XLOOKUP($P1060,'Base Grupo de Produtos'!$E$23:$E$39,'Base Grupo de Produtos'!$F$23:$F$39)</f>
        <v>0</v>
      </c>
      <c r="U1060" s="56">
        <f>_xlfn.XLOOKUP($N1060,'Calculo Leads Conveniencia'!$A$77:$A$104,'Calculo Leads Conveniencia'!H$77:H$104)*_xlfn.XLOOKUP($P1060,'Base Grupo de Produtos'!$E$23:$E$39,'Base Grupo de Produtos'!$F$23:$F$39)</f>
        <v>0</v>
      </c>
      <c r="V1060" s="56">
        <f>_xlfn.XLOOKUP($N1060,'Calculo Leads Conveniencia'!$A$77:$A$104,'Calculo Leads Conveniencia'!I$77:I$104)*_xlfn.XLOOKUP($P1060,'Base Grupo de Produtos'!$E$23:$E$39,'Base Grupo de Produtos'!$F$23:$F$39)</f>
        <v>0</v>
      </c>
      <c r="W1060" s="56">
        <f>_xlfn.XLOOKUP($N1060,'Calculo Leads Conveniencia'!$A$77:$A$104,'Calculo Leads Conveniencia'!J$77:J$104)*_xlfn.XLOOKUP($P1060,'Base Grupo de Produtos'!$E$23:$E$39,'Base Grupo de Produtos'!$F$23:$F$39)</f>
        <v>0</v>
      </c>
      <c r="X1060" s="56">
        <f>_xlfn.XLOOKUP($N1060,'Calculo Leads Conveniencia'!$A$77:$A$104,'Calculo Leads Conveniencia'!K$77:K$104)*_xlfn.XLOOKUP($P1060,'Base Grupo de Produtos'!$E$23:$E$39,'Base Grupo de Produtos'!$F$23:$F$39)</f>
        <v>0</v>
      </c>
      <c r="Y1060" s="56">
        <f>_xlfn.XLOOKUP($N1060,'Calculo Leads Conveniencia'!$A$77:$A$104,'Calculo Leads Conveniencia'!L$77:L$104)*_xlfn.XLOOKUP($P1060,'Base Grupo de Produtos'!$E$23:$E$39,'Base Grupo de Produtos'!$F$23:$F$39)</f>
        <v>0</v>
      </c>
      <c r="Z1060" s="56">
        <f>_xlfn.XLOOKUP($N1060,'Calculo Leads Conveniencia'!$A$77:$A$104,'Calculo Leads Conveniencia'!M$77:M$104)*_xlfn.XLOOKUP($P1060,'Base Grupo de Produtos'!$E$23:$E$39,'Base Grupo de Produtos'!$F$23:$F$39)</f>
        <v>0</v>
      </c>
      <c r="AA1060" s="56">
        <f>_xlfn.XLOOKUP($N1060,'Calculo Leads Conveniencia'!$A$77:$A$104,'Calculo Leads Conveniencia'!N$77:N$104)*_xlfn.XLOOKUP($P1060,'Base Grupo de Produtos'!$E$23:$E$39,'Base Grupo de Produtos'!$F$23:$F$39)</f>
        <v>0</v>
      </c>
      <c r="AB1060" s="56">
        <f>_xlfn.XLOOKUP($N1060,'Calculo Leads Conveniencia'!$A$77:$A$104,'Calculo Leads Conveniencia'!O$77:O$104)*_xlfn.XLOOKUP($P1060,'Base Grupo de Produtos'!$E$23:$E$39,'Base Grupo de Produtos'!$F$23:$F$39)</f>
        <v>0</v>
      </c>
      <c r="AC1060" s="61">
        <f t="shared" si="1003"/>
        <v>0</v>
      </c>
      <c r="AD1060" s="28"/>
      <c r="AE1060" s="12"/>
      <c r="AF1060" s="29"/>
      <c r="AG1060" s="9"/>
      <c r="AH1060" s="10"/>
      <c r="AI1060" s="9"/>
      <c r="AJ1060" s="11"/>
      <c r="AK1060" s="9"/>
      <c r="AL1060" s="13"/>
      <c r="AM1060" s="9"/>
    </row>
    <row r="1061" spans="1:39" x14ac:dyDescent="0.3">
      <c r="A1061" s="2" t="str">
        <f t="shared" si="1017"/>
        <v>NÃO</v>
      </c>
      <c r="B1061" s="2" t="str">
        <f>_xlfn.XLOOKUP($N1061,'Base de Grupos'!$A:$A,'Base de Grupos'!$D:$D)</f>
        <v>1000065763</v>
      </c>
      <c r="C1061" s="5" t="str">
        <f>_xlfn.XLOOKUP($N1061,'Base de Grupos'!$A:$A,'Base de Grupos'!$E:$E)</f>
        <v>CANAL VENDA INTERNA</v>
      </c>
      <c r="D1061" s="5" t="str">
        <f>_xlfn.XLOOKUP($N1061,'Base de Grupos'!$A:$A,'Base de Grupos'!$F:$F)</f>
        <v>1000065763</v>
      </c>
      <c r="E1061" s="2" t="str">
        <f>_xlfn.XLOOKUP($N1061,'Base de Grupos'!$A:$A,'Base de Grupos'!$G:$G)</f>
        <v>CANAL VENDA INTERNA</v>
      </c>
      <c r="F1061" s="2" t="str">
        <f>_xlfn.XLOOKUP($N1061,'Base de Grupos'!$A:$A,'Base de Grupos'!$H:$H)</f>
        <v>1000174119</v>
      </c>
      <c r="G1061" s="5" t="str">
        <f>_xlfn.XLOOKUP($N1061,'Base de Grupos'!$A:$A,'Base de Grupos'!$I:$I)</f>
        <v>REGIONAL VENDA INTERNA - CONVENIENCIA</v>
      </c>
      <c r="H1061" s="5" t="str">
        <f>_xlfn.XLOOKUP($N1061,'Base de Grupos'!$A:$A,'Base de Grupos'!$J:$J)</f>
        <v>1000174119</v>
      </c>
      <c r="I1061" s="2" t="str">
        <f>_xlfn.XLOOKUP($N1061,'Base de Grupos'!$A:$A,'Base de Grupos'!$K:$K)</f>
        <v>REGIONAL VENDA INTERNA - CONVENIENCIA</v>
      </c>
      <c r="J1061" s="2" t="str">
        <f>_xlfn.XLOOKUP($N1061,'Base de Grupos'!$A:$A,'Base de Grupos'!$L:$L)</f>
        <v>1000174119</v>
      </c>
      <c r="K1061" s="5" t="str">
        <f>_xlfn.XLOOKUP($N1061,'Base de Grupos'!$A:$A,'Base de Grupos'!$M:$M)</f>
        <v>REGIONAL VENDA INTERNA - CONVENIENCIA</v>
      </c>
      <c r="L1061" s="5" t="str">
        <f t="shared" si="1018"/>
        <v/>
      </c>
      <c r="M1061" s="5" t="str">
        <f>_xlfn.XLOOKUP($N1061,'Base de Grupos'!$A:$A,'Base de Grupos'!$C:$C)</f>
        <v>RJ</v>
      </c>
      <c r="N1061" s="3">
        <v>1523</v>
      </c>
      <c r="O1061" s="4" t="s">
        <v>282</v>
      </c>
      <c r="P1061" s="5" t="s">
        <v>96</v>
      </c>
      <c r="Q1061" s="56">
        <v>0</v>
      </c>
      <c r="R1061" s="56">
        <v>0</v>
      </c>
      <c r="S1061" s="56">
        <v>0</v>
      </c>
      <c r="T1061" s="56">
        <f>_xlfn.XLOOKUP($N1061,'Calculo Leads Conveniencia'!$A$77:$A$104,'Calculo Leads Conveniencia'!G$77:G$104)*_xlfn.XLOOKUP($P1061,'Base Grupo de Produtos'!$E$23:$E$39,'Base Grupo de Produtos'!$F$23:$F$39)</f>
        <v>0</v>
      </c>
      <c r="U1061" s="56">
        <f>_xlfn.XLOOKUP($N1061,'Calculo Leads Conveniencia'!$A$77:$A$104,'Calculo Leads Conveniencia'!H$77:H$104)*_xlfn.XLOOKUP($P1061,'Base Grupo de Produtos'!$E$23:$E$39,'Base Grupo de Produtos'!$F$23:$F$39)</f>
        <v>0</v>
      </c>
      <c r="V1061" s="56">
        <f>_xlfn.XLOOKUP($N1061,'Calculo Leads Conveniencia'!$A$77:$A$104,'Calculo Leads Conveniencia'!I$77:I$104)*_xlfn.XLOOKUP($P1061,'Base Grupo de Produtos'!$E$23:$E$39,'Base Grupo de Produtos'!$F$23:$F$39)</f>
        <v>0</v>
      </c>
      <c r="W1061" s="56">
        <f>_xlfn.XLOOKUP($N1061,'Calculo Leads Conveniencia'!$A$77:$A$104,'Calculo Leads Conveniencia'!J$77:J$104)*_xlfn.XLOOKUP($P1061,'Base Grupo de Produtos'!$E$23:$E$39,'Base Grupo de Produtos'!$F$23:$F$39)</f>
        <v>0</v>
      </c>
      <c r="X1061" s="56">
        <f>_xlfn.XLOOKUP($N1061,'Calculo Leads Conveniencia'!$A$77:$A$104,'Calculo Leads Conveniencia'!K$77:K$104)*_xlfn.XLOOKUP($P1061,'Base Grupo de Produtos'!$E$23:$E$39,'Base Grupo de Produtos'!$F$23:$F$39)</f>
        <v>0</v>
      </c>
      <c r="Y1061" s="56">
        <f>_xlfn.XLOOKUP($N1061,'Calculo Leads Conveniencia'!$A$77:$A$104,'Calculo Leads Conveniencia'!L$77:L$104)*_xlfn.XLOOKUP($P1061,'Base Grupo de Produtos'!$E$23:$E$39,'Base Grupo de Produtos'!$F$23:$F$39)</f>
        <v>0</v>
      </c>
      <c r="Z1061" s="56">
        <f>_xlfn.XLOOKUP($N1061,'Calculo Leads Conveniencia'!$A$77:$A$104,'Calculo Leads Conveniencia'!M$77:M$104)*_xlfn.XLOOKUP($P1061,'Base Grupo de Produtos'!$E$23:$E$39,'Base Grupo de Produtos'!$F$23:$F$39)</f>
        <v>0</v>
      </c>
      <c r="AA1061" s="56">
        <f>_xlfn.XLOOKUP($N1061,'Calculo Leads Conveniencia'!$A$77:$A$104,'Calculo Leads Conveniencia'!N$77:N$104)*_xlfn.XLOOKUP($P1061,'Base Grupo de Produtos'!$E$23:$E$39,'Base Grupo de Produtos'!$F$23:$F$39)</f>
        <v>0</v>
      </c>
      <c r="AB1061" s="56">
        <f>_xlfn.XLOOKUP($N1061,'Calculo Leads Conveniencia'!$A$77:$A$104,'Calculo Leads Conveniencia'!O$77:O$104)*_xlfn.XLOOKUP($P1061,'Base Grupo de Produtos'!$E$23:$E$39,'Base Grupo de Produtos'!$F$23:$F$39)</f>
        <v>0</v>
      </c>
      <c r="AC1061" s="61">
        <f t="shared" si="1003"/>
        <v>0</v>
      </c>
      <c r="AD1061" s="28"/>
      <c r="AE1061" s="12"/>
      <c r="AF1061" s="29"/>
      <c r="AG1061" s="9"/>
      <c r="AH1061" s="10"/>
      <c r="AI1061" s="9"/>
      <c r="AJ1061" s="11"/>
      <c r="AK1061" s="9"/>
      <c r="AL1061" s="13"/>
      <c r="AM1061" s="9"/>
    </row>
    <row r="1062" spans="1:39" x14ac:dyDescent="0.3">
      <c r="A1062" s="2" t="str">
        <f t="shared" si="1017"/>
        <v>NÃO</v>
      </c>
      <c r="B1062" s="2" t="str">
        <f>_xlfn.XLOOKUP($N1062,'Base de Grupos'!$A:$A,'Base de Grupos'!$D:$D)</f>
        <v>1000065763</v>
      </c>
      <c r="C1062" s="5" t="str">
        <f>_xlfn.XLOOKUP($N1062,'Base de Grupos'!$A:$A,'Base de Grupos'!$E:$E)</f>
        <v>CANAL VENDA INTERNA</v>
      </c>
      <c r="D1062" s="5" t="str">
        <f>_xlfn.XLOOKUP($N1062,'Base de Grupos'!$A:$A,'Base de Grupos'!$F:$F)</f>
        <v>1000065763</v>
      </c>
      <c r="E1062" s="2" t="str">
        <f>_xlfn.XLOOKUP($N1062,'Base de Grupos'!$A:$A,'Base de Grupos'!$G:$G)</f>
        <v>CANAL VENDA INTERNA</v>
      </c>
      <c r="F1062" s="2" t="str">
        <f>_xlfn.XLOOKUP($N1062,'Base de Grupos'!$A:$A,'Base de Grupos'!$H:$H)</f>
        <v>1000174119</v>
      </c>
      <c r="G1062" s="5" t="str">
        <f>_xlfn.XLOOKUP($N1062,'Base de Grupos'!$A:$A,'Base de Grupos'!$I:$I)</f>
        <v>REGIONAL VENDA INTERNA - CONVENIENCIA</v>
      </c>
      <c r="H1062" s="5" t="str">
        <f>_xlfn.XLOOKUP($N1062,'Base de Grupos'!$A:$A,'Base de Grupos'!$J:$J)</f>
        <v>1000174119</v>
      </c>
      <c r="I1062" s="2" t="str">
        <f>_xlfn.XLOOKUP($N1062,'Base de Grupos'!$A:$A,'Base de Grupos'!$K:$K)</f>
        <v>REGIONAL VENDA INTERNA - CONVENIENCIA</v>
      </c>
      <c r="J1062" s="2" t="str">
        <f>_xlfn.XLOOKUP($N1062,'Base de Grupos'!$A:$A,'Base de Grupos'!$L:$L)</f>
        <v>1000174119</v>
      </c>
      <c r="K1062" s="5" t="str">
        <f>_xlfn.XLOOKUP($N1062,'Base de Grupos'!$A:$A,'Base de Grupos'!$M:$M)</f>
        <v>REGIONAL VENDA INTERNA - CONVENIENCIA</v>
      </c>
      <c r="L1062" s="5" t="str">
        <f t="shared" si="1018"/>
        <v/>
      </c>
      <c r="M1062" s="5" t="str">
        <f>_xlfn.XLOOKUP($N1062,'Base de Grupos'!$A:$A,'Base de Grupos'!$C:$C)</f>
        <v>RJ</v>
      </c>
      <c r="N1062" s="3">
        <v>1523</v>
      </c>
      <c r="O1062" s="4" t="s">
        <v>282</v>
      </c>
      <c r="P1062" s="5" t="s">
        <v>94</v>
      </c>
      <c r="Q1062" s="56">
        <v>0</v>
      </c>
      <c r="R1062" s="56">
        <v>0</v>
      </c>
      <c r="S1062" s="56">
        <v>0</v>
      </c>
      <c r="T1062" s="56">
        <f>_xlfn.XLOOKUP($N1062,'Calculo Leads Conveniencia'!$A$77:$A$104,'Calculo Leads Conveniencia'!G$77:G$104)*_xlfn.XLOOKUP($P1062,'Base Grupo de Produtos'!$E$23:$E$39,'Base Grupo de Produtos'!$F$23:$F$39)</f>
        <v>0</v>
      </c>
      <c r="U1062" s="56">
        <f>_xlfn.XLOOKUP($N1062,'Calculo Leads Conveniencia'!$A$77:$A$104,'Calculo Leads Conveniencia'!H$77:H$104)*_xlfn.XLOOKUP($P1062,'Base Grupo de Produtos'!$E$23:$E$39,'Base Grupo de Produtos'!$F$23:$F$39)</f>
        <v>0</v>
      </c>
      <c r="V1062" s="56">
        <f>_xlfn.XLOOKUP($N1062,'Calculo Leads Conveniencia'!$A$77:$A$104,'Calculo Leads Conveniencia'!I$77:I$104)*_xlfn.XLOOKUP($P1062,'Base Grupo de Produtos'!$E$23:$E$39,'Base Grupo de Produtos'!$F$23:$F$39)</f>
        <v>0</v>
      </c>
      <c r="W1062" s="56">
        <f>_xlfn.XLOOKUP($N1062,'Calculo Leads Conveniencia'!$A$77:$A$104,'Calculo Leads Conveniencia'!J$77:J$104)*_xlfn.XLOOKUP($P1062,'Base Grupo de Produtos'!$E$23:$E$39,'Base Grupo de Produtos'!$F$23:$F$39)</f>
        <v>0</v>
      </c>
      <c r="X1062" s="56">
        <f>_xlfn.XLOOKUP($N1062,'Calculo Leads Conveniencia'!$A$77:$A$104,'Calculo Leads Conveniencia'!K$77:K$104)*_xlfn.XLOOKUP($P1062,'Base Grupo de Produtos'!$E$23:$E$39,'Base Grupo de Produtos'!$F$23:$F$39)</f>
        <v>0</v>
      </c>
      <c r="Y1062" s="56">
        <f>_xlfn.XLOOKUP($N1062,'Calculo Leads Conveniencia'!$A$77:$A$104,'Calculo Leads Conveniencia'!L$77:L$104)*_xlfn.XLOOKUP($P1062,'Base Grupo de Produtos'!$E$23:$E$39,'Base Grupo de Produtos'!$F$23:$F$39)</f>
        <v>0</v>
      </c>
      <c r="Z1062" s="56">
        <f>_xlfn.XLOOKUP($N1062,'Calculo Leads Conveniencia'!$A$77:$A$104,'Calculo Leads Conveniencia'!M$77:M$104)*_xlfn.XLOOKUP($P1062,'Base Grupo de Produtos'!$E$23:$E$39,'Base Grupo de Produtos'!$F$23:$F$39)</f>
        <v>0</v>
      </c>
      <c r="AA1062" s="56">
        <f>_xlfn.XLOOKUP($N1062,'Calculo Leads Conveniencia'!$A$77:$A$104,'Calculo Leads Conveniencia'!N$77:N$104)*_xlfn.XLOOKUP($P1062,'Base Grupo de Produtos'!$E$23:$E$39,'Base Grupo de Produtos'!$F$23:$F$39)</f>
        <v>0</v>
      </c>
      <c r="AB1062" s="56">
        <f>_xlfn.XLOOKUP($N1062,'Calculo Leads Conveniencia'!$A$77:$A$104,'Calculo Leads Conveniencia'!O$77:O$104)*_xlfn.XLOOKUP($P1062,'Base Grupo de Produtos'!$E$23:$E$39,'Base Grupo de Produtos'!$F$23:$F$39)</f>
        <v>0</v>
      </c>
      <c r="AC1062" s="61">
        <f t="shared" si="1003"/>
        <v>0</v>
      </c>
      <c r="AD1062" s="28"/>
      <c r="AE1062" s="12"/>
      <c r="AF1062" s="29"/>
      <c r="AG1062" s="9"/>
      <c r="AH1062" s="10"/>
      <c r="AI1062" s="9"/>
      <c r="AJ1062" s="11"/>
      <c r="AK1062" s="9"/>
      <c r="AL1062" s="13"/>
      <c r="AM1062" s="9"/>
    </row>
    <row r="1063" spans="1:39" x14ac:dyDescent="0.3">
      <c r="A1063" s="2" t="str">
        <f t="shared" si="1017"/>
        <v>NÃO</v>
      </c>
      <c r="B1063" s="2" t="str">
        <f>_xlfn.XLOOKUP($N1063,'Base de Grupos'!$A:$A,'Base de Grupos'!$D:$D)</f>
        <v>1000065763</v>
      </c>
      <c r="C1063" s="5" t="str">
        <f>_xlfn.XLOOKUP($N1063,'Base de Grupos'!$A:$A,'Base de Grupos'!$E:$E)</f>
        <v>CANAL VENDA INTERNA</v>
      </c>
      <c r="D1063" s="5" t="str">
        <f>_xlfn.XLOOKUP($N1063,'Base de Grupos'!$A:$A,'Base de Grupos'!$F:$F)</f>
        <v>1000065763</v>
      </c>
      <c r="E1063" s="2" t="str">
        <f>_xlfn.XLOOKUP($N1063,'Base de Grupos'!$A:$A,'Base de Grupos'!$G:$G)</f>
        <v>CANAL VENDA INTERNA</v>
      </c>
      <c r="F1063" s="2" t="str">
        <f>_xlfn.XLOOKUP($N1063,'Base de Grupos'!$A:$A,'Base de Grupos'!$H:$H)</f>
        <v>1000174119</v>
      </c>
      <c r="G1063" s="5" t="str">
        <f>_xlfn.XLOOKUP($N1063,'Base de Grupos'!$A:$A,'Base de Grupos'!$I:$I)</f>
        <v>REGIONAL VENDA INTERNA - CONVENIENCIA</v>
      </c>
      <c r="H1063" s="5" t="str">
        <f>_xlfn.XLOOKUP($N1063,'Base de Grupos'!$A:$A,'Base de Grupos'!$J:$J)</f>
        <v>1000174119</v>
      </c>
      <c r="I1063" s="2" t="str">
        <f>_xlfn.XLOOKUP($N1063,'Base de Grupos'!$A:$A,'Base de Grupos'!$K:$K)</f>
        <v>REGIONAL VENDA INTERNA - CONVENIENCIA</v>
      </c>
      <c r="J1063" s="2" t="str">
        <f>_xlfn.XLOOKUP($N1063,'Base de Grupos'!$A:$A,'Base de Grupos'!$L:$L)</f>
        <v>1000174119</v>
      </c>
      <c r="K1063" s="5" t="str">
        <f>_xlfn.XLOOKUP($N1063,'Base de Grupos'!$A:$A,'Base de Grupos'!$M:$M)</f>
        <v>REGIONAL VENDA INTERNA - CONVENIENCIA</v>
      </c>
      <c r="L1063" s="5" t="str">
        <f t="shared" si="1018"/>
        <v/>
      </c>
      <c r="M1063" s="5" t="str">
        <f>_xlfn.XLOOKUP($N1063,'Base de Grupos'!$A:$A,'Base de Grupos'!$C:$C)</f>
        <v>RJ</v>
      </c>
      <c r="N1063" s="3">
        <v>1523</v>
      </c>
      <c r="O1063" s="4" t="s">
        <v>282</v>
      </c>
      <c r="P1063" s="5" t="s">
        <v>95</v>
      </c>
      <c r="Q1063" s="56">
        <v>0</v>
      </c>
      <c r="R1063" s="56">
        <v>0</v>
      </c>
      <c r="S1063" s="56">
        <v>0</v>
      </c>
      <c r="T1063" s="56">
        <f>_xlfn.XLOOKUP($N1063,'Calculo Leads Conveniencia'!$A$77:$A$104,'Calculo Leads Conveniencia'!G$77:G$104)*_xlfn.XLOOKUP($P1063,'Base Grupo de Produtos'!$E$23:$E$39,'Base Grupo de Produtos'!$F$23:$F$39)</f>
        <v>0</v>
      </c>
      <c r="U1063" s="56">
        <f>_xlfn.XLOOKUP($N1063,'Calculo Leads Conveniencia'!$A$77:$A$104,'Calculo Leads Conveniencia'!H$77:H$104)*_xlfn.XLOOKUP($P1063,'Base Grupo de Produtos'!$E$23:$E$39,'Base Grupo de Produtos'!$F$23:$F$39)</f>
        <v>0</v>
      </c>
      <c r="V1063" s="56">
        <f>_xlfn.XLOOKUP($N1063,'Calculo Leads Conveniencia'!$A$77:$A$104,'Calculo Leads Conveniencia'!I$77:I$104)*_xlfn.XLOOKUP($P1063,'Base Grupo de Produtos'!$E$23:$E$39,'Base Grupo de Produtos'!$F$23:$F$39)</f>
        <v>0</v>
      </c>
      <c r="W1063" s="56">
        <f>_xlfn.XLOOKUP($N1063,'Calculo Leads Conveniencia'!$A$77:$A$104,'Calculo Leads Conveniencia'!J$77:J$104)*_xlfn.XLOOKUP($P1063,'Base Grupo de Produtos'!$E$23:$E$39,'Base Grupo de Produtos'!$F$23:$F$39)</f>
        <v>0</v>
      </c>
      <c r="X1063" s="56">
        <f>_xlfn.XLOOKUP($N1063,'Calculo Leads Conveniencia'!$A$77:$A$104,'Calculo Leads Conveniencia'!K$77:K$104)*_xlfn.XLOOKUP($P1063,'Base Grupo de Produtos'!$E$23:$E$39,'Base Grupo de Produtos'!$F$23:$F$39)</f>
        <v>0</v>
      </c>
      <c r="Y1063" s="56">
        <f>_xlfn.XLOOKUP($N1063,'Calculo Leads Conveniencia'!$A$77:$A$104,'Calculo Leads Conveniencia'!L$77:L$104)*_xlfn.XLOOKUP($P1063,'Base Grupo de Produtos'!$E$23:$E$39,'Base Grupo de Produtos'!$F$23:$F$39)</f>
        <v>0</v>
      </c>
      <c r="Z1063" s="56">
        <f>_xlfn.XLOOKUP($N1063,'Calculo Leads Conveniencia'!$A$77:$A$104,'Calculo Leads Conveniencia'!M$77:M$104)*_xlfn.XLOOKUP($P1063,'Base Grupo de Produtos'!$E$23:$E$39,'Base Grupo de Produtos'!$F$23:$F$39)</f>
        <v>0</v>
      </c>
      <c r="AA1063" s="56">
        <f>_xlfn.XLOOKUP($N1063,'Calculo Leads Conveniencia'!$A$77:$A$104,'Calculo Leads Conveniencia'!N$77:N$104)*_xlfn.XLOOKUP($P1063,'Base Grupo de Produtos'!$E$23:$E$39,'Base Grupo de Produtos'!$F$23:$F$39)</f>
        <v>0</v>
      </c>
      <c r="AB1063" s="56">
        <f>_xlfn.XLOOKUP($N1063,'Calculo Leads Conveniencia'!$A$77:$A$104,'Calculo Leads Conveniencia'!O$77:O$104)*_xlfn.XLOOKUP($P1063,'Base Grupo de Produtos'!$E$23:$E$39,'Base Grupo de Produtos'!$F$23:$F$39)</f>
        <v>0</v>
      </c>
      <c r="AC1063" s="61">
        <f t="shared" si="1003"/>
        <v>0</v>
      </c>
      <c r="AD1063" s="28"/>
      <c r="AE1063" s="12"/>
      <c r="AF1063" s="29"/>
      <c r="AG1063" s="9"/>
      <c r="AH1063" s="10"/>
      <c r="AI1063" s="9"/>
      <c r="AJ1063" s="11"/>
      <c r="AK1063" s="9"/>
      <c r="AL1063" s="13"/>
      <c r="AM1063" s="9"/>
    </row>
    <row r="1064" spans="1:39" x14ac:dyDescent="0.3">
      <c r="A1064" s="2" t="str">
        <f t="shared" si="1017"/>
        <v>NÃO</v>
      </c>
      <c r="B1064" s="2" t="str">
        <f>_xlfn.XLOOKUP($N1064,'Base de Grupos'!$A:$A,'Base de Grupos'!$D:$D)</f>
        <v>1000065763</v>
      </c>
      <c r="C1064" s="5" t="str">
        <f>_xlfn.XLOOKUP($N1064,'Base de Grupos'!$A:$A,'Base de Grupos'!$E:$E)</f>
        <v>CANAL VENDA INTERNA</v>
      </c>
      <c r="D1064" s="5" t="str">
        <f>_xlfn.XLOOKUP($N1064,'Base de Grupos'!$A:$A,'Base de Grupos'!$F:$F)</f>
        <v>1000065763</v>
      </c>
      <c r="E1064" s="2" t="str">
        <f>_xlfn.XLOOKUP($N1064,'Base de Grupos'!$A:$A,'Base de Grupos'!$G:$G)</f>
        <v>CANAL VENDA INTERNA</v>
      </c>
      <c r="F1064" s="2" t="str">
        <f>_xlfn.XLOOKUP($N1064,'Base de Grupos'!$A:$A,'Base de Grupos'!$H:$H)</f>
        <v>1000174119</v>
      </c>
      <c r="G1064" s="5" t="str">
        <f>_xlfn.XLOOKUP($N1064,'Base de Grupos'!$A:$A,'Base de Grupos'!$I:$I)</f>
        <v>REGIONAL VENDA INTERNA - CONVENIENCIA</v>
      </c>
      <c r="H1064" s="5" t="str">
        <f>_xlfn.XLOOKUP($N1064,'Base de Grupos'!$A:$A,'Base de Grupos'!$J:$J)</f>
        <v>1000174119</v>
      </c>
      <c r="I1064" s="2" t="str">
        <f>_xlfn.XLOOKUP($N1064,'Base de Grupos'!$A:$A,'Base de Grupos'!$K:$K)</f>
        <v>REGIONAL VENDA INTERNA - CONVENIENCIA</v>
      </c>
      <c r="J1064" s="2" t="str">
        <f>_xlfn.XLOOKUP($N1064,'Base de Grupos'!$A:$A,'Base de Grupos'!$L:$L)</f>
        <v>1000174119</v>
      </c>
      <c r="K1064" s="5" t="str">
        <f>_xlfn.XLOOKUP($N1064,'Base de Grupos'!$A:$A,'Base de Grupos'!$M:$M)</f>
        <v>REGIONAL VENDA INTERNA - CONVENIENCIA</v>
      </c>
      <c r="L1064" s="5" t="str">
        <f t="shared" si="1018"/>
        <v/>
      </c>
      <c r="M1064" s="5" t="str">
        <f>_xlfn.XLOOKUP($N1064,'Base de Grupos'!$A:$A,'Base de Grupos'!$C:$C)</f>
        <v>RJ</v>
      </c>
      <c r="N1064" s="3">
        <v>1523</v>
      </c>
      <c r="O1064" s="4" t="s">
        <v>282</v>
      </c>
      <c r="P1064" s="5" t="s">
        <v>93</v>
      </c>
      <c r="Q1064" s="56">
        <v>0</v>
      </c>
      <c r="R1064" s="56">
        <v>0</v>
      </c>
      <c r="S1064" s="56">
        <v>0</v>
      </c>
      <c r="T1064" s="56">
        <f>_xlfn.XLOOKUP($N1064,'Calculo Leads Conveniencia'!$A$77:$A$104,'Calculo Leads Conveniencia'!G$77:G$104)*_xlfn.XLOOKUP($P1064,'Base Grupo de Produtos'!$E$23:$E$39,'Base Grupo de Produtos'!$F$23:$F$39)</f>
        <v>0</v>
      </c>
      <c r="U1064" s="56">
        <f>_xlfn.XLOOKUP($N1064,'Calculo Leads Conveniencia'!$A$77:$A$104,'Calculo Leads Conveniencia'!H$77:H$104)*_xlfn.XLOOKUP($P1064,'Base Grupo de Produtos'!$E$23:$E$39,'Base Grupo de Produtos'!$F$23:$F$39)</f>
        <v>0</v>
      </c>
      <c r="V1064" s="56">
        <f>_xlfn.XLOOKUP($N1064,'Calculo Leads Conveniencia'!$A$77:$A$104,'Calculo Leads Conveniencia'!I$77:I$104)*_xlfn.XLOOKUP($P1064,'Base Grupo de Produtos'!$E$23:$E$39,'Base Grupo de Produtos'!$F$23:$F$39)</f>
        <v>0</v>
      </c>
      <c r="W1064" s="56">
        <f>_xlfn.XLOOKUP($N1064,'Calculo Leads Conveniencia'!$A$77:$A$104,'Calculo Leads Conveniencia'!J$77:J$104)*_xlfn.XLOOKUP($P1064,'Base Grupo de Produtos'!$E$23:$E$39,'Base Grupo de Produtos'!$F$23:$F$39)</f>
        <v>0</v>
      </c>
      <c r="X1064" s="56">
        <f>_xlfn.XLOOKUP($N1064,'Calculo Leads Conveniencia'!$A$77:$A$104,'Calculo Leads Conveniencia'!K$77:K$104)*_xlfn.XLOOKUP($P1064,'Base Grupo de Produtos'!$E$23:$E$39,'Base Grupo de Produtos'!$F$23:$F$39)</f>
        <v>0</v>
      </c>
      <c r="Y1064" s="56">
        <f>_xlfn.XLOOKUP($N1064,'Calculo Leads Conveniencia'!$A$77:$A$104,'Calculo Leads Conveniencia'!L$77:L$104)*_xlfn.XLOOKUP($P1064,'Base Grupo de Produtos'!$E$23:$E$39,'Base Grupo de Produtos'!$F$23:$F$39)</f>
        <v>0</v>
      </c>
      <c r="Z1064" s="56">
        <f>_xlfn.XLOOKUP($N1064,'Calculo Leads Conveniencia'!$A$77:$A$104,'Calculo Leads Conveniencia'!M$77:M$104)*_xlfn.XLOOKUP($P1064,'Base Grupo de Produtos'!$E$23:$E$39,'Base Grupo de Produtos'!$F$23:$F$39)</f>
        <v>0</v>
      </c>
      <c r="AA1064" s="56">
        <f>_xlfn.XLOOKUP($N1064,'Calculo Leads Conveniencia'!$A$77:$A$104,'Calculo Leads Conveniencia'!N$77:N$104)*_xlfn.XLOOKUP($P1064,'Base Grupo de Produtos'!$E$23:$E$39,'Base Grupo de Produtos'!$F$23:$F$39)</f>
        <v>0</v>
      </c>
      <c r="AB1064" s="56">
        <f>_xlfn.XLOOKUP($N1064,'Calculo Leads Conveniencia'!$A$77:$A$104,'Calculo Leads Conveniencia'!O$77:O$104)*_xlfn.XLOOKUP($P1064,'Base Grupo de Produtos'!$E$23:$E$39,'Base Grupo de Produtos'!$F$23:$F$39)</f>
        <v>0</v>
      </c>
      <c r="AC1064" s="61">
        <f t="shared" si="1003"/>
        <v>0</v>
      </c>
      <c r="AD1064" s="28"/>
      <c r="AE1064" s="12"/>
      <c r="AF1064" s="29"/>
      <c r="AG1064" s="9"/>
      <c r="AH1064" s="10"/>
      <c r="AI1064" s="9"/>
      <c r="AJ1064" s="11"/>
      <c r="AK1064" s="9"/>
      <c r="AL1064" s="13"/>
      <c r="AM1064" s="9"/>
    </row>
    <row r="1065" spans="1:39" x14ac:dyDescent="0.3">
      <c r="A1065" s="2" t="str">
        <f t="shared" si="1017"/>
        <v>SIM</v>
      </c>
      <c r="B1065" s="2" t="str">
        <f>_xlfn.XLOOKUP($N1065,'Base de Grupos'!$A:$A,'Base de Grupos'!$D:$D)</f>
        <v>1000065763</v>
      </c>
      <c r="C1065" s="5" t="str">
        <f>_xlfn.XLOOKUP($N1065,'Base de Grupos'!$A:$A,'Base de Grupos'!$E:$E)</f>
        <v>CANAL VENDA INTERNA</v>
      </c>
      <c r="D1065" s="5" t="str">
        <f>_xlfn.XLOOKUP($N1065,'Base de Grupos'!$A:$A,'Base de Grupos'!$F:$F)</f>
        <v>1000065763</v>
      </c>
      <c r="E1065" s="2" t="str">
        <f>_xlfn.XLOOKUP($N1065,'Base de Grupos'!$A:$A,'Base de Grupos'!$G:$G)</f>
        <v>CANAL VENDA INTERNA</v>
      </c>
      <c r="F1065" s="2" t="str">
        <f>_xlfn.XLOOKUP($N1065,'Base de Grupos'!$A:$A,'Base de Grupos'!$H:$H)</f>
        <v>1000174119</v>
      </c>
      <c r="G1065" s="5" t="str">
        <f>_xlfn.XLOOKUP($N1065,'Base de Grupos'!$A:$A,'Base de Grupos'!$I:$I)</f>
        <v>REGIONAL VENDA INTERNA - CONVENIENCIA</v>
      </c>
      <c r="H1065" s="5" t="str">
        <f>_xlfn.XLOOKUP($N1065,'Base de Grupos'!$A:$A,'Base de Grupos'!$J:$J)</f>
        <v>1000174119</v>
      </c>
      <c r="I1065" s="2" t="str">
        <f>_xlfn.XLOOKUP($N1065,'Base de Grupos'!$A:$A,'Base de Grupos'!$K:$K)</f>
        <v>REGIONAL VENDA INTERNA - CONVENIENCIA</v>
      </c>
      <c r="J1065" s="2" t="str">
        <f>_xlfn.XLOOKUP($N1065,'Base de Grupos'!$A:$A,'Base de Grupos'!$L:$L)</f>
        <v>1000174119</v>
      </c>
      <c r="K1065" s="5" t="str">
        <f>_xlfn.XLOOKUP($N1065,'Base de Grupos'!$A:$A,'Base de Grupos'!$M:$M)</f>
        <v>REGIONAL VENDA INTERNA - CONVENIENCIA</v>
      </c>
      <c r="L1065" s="5">
        <f t="shared" si="1018"/>
        <v>1</v>
      </c>
      <c r="M1065" s="5" t="str">
        <f>_xlfn.XLOOKUP($N1065,'Base de Grupos'!$A:$A,'Base de Grupos'!$C:$C)</f>
        <v>MG</v>
      </c>
      <c r="N1065" s="3">
        <v>1524</v>
      </c>
      <c r="O1065" s="4" t="s">
        <v>283</v>
      </c>
      <c r="P1065" s="5" t="s">
        <v>353</v>
      </c>
      <c r="Q1065" s="56">
        <f t="shared" ref="Q1065" si="1019">SUM(Q1066:Q1082)</f>
        <v>0</v>
      </c>
      <c r="R1065" s="56">
        <f t="shared" ref="R1065" si="1020">SUM(R1066:R1082)</f>
        <v>0</v>
      </c>
      <c r="S1065" s="56">
        <f t="shared" ref="S1065" si="1021">SUM(S1066:S1082)</f>
        <v>0</v>
      </c>
      <c r="T1065" s="56">
        <f t="shared" ref="T1065" si="1022">SUM(T1066:T1082)</f>
        <v>2400</v>
      </c>
      <c r="U1065" s="56">
        <f t="shared" ref="U1065" si="1023">SUM(U1066:U1082)</f>
        <v>2400</v>
      </c>
      <c r="V1065" s="56">
        <f t="shared" ref="V1065" si="1024">SUM(V1066:V1082)</f>
        <v>3200</v>
      </c>
      <c r="W1065" s="56">
        <f t="shared" ref="W1065" si="1025">SUM(W1066:W1082)</f>
        <v>4000</v>
      </c>
      <c r="X1065" s="56">
        <f t="shared" ref="X1065" si="1026">SUM(X1066:X1082)</f>
        <v>4800</v>
      </c>
      <c r="Y1065" s="56">
        <f t="shared" ref="Y1065" si="1027">SUM(Y1066:Y1082)</f>
        <v>5600</v>
      </c>
      <c r="Z1065" s="56">
        <f t="shared" ref="Z1065" si="1028">SUM(Z1066:Z1082)</f>
        <v>6400</v>
      </c>
      <c r="AA1065" s="56">
        <f t="shared" ref="AA1065" si="1029">SUM(AA1066:AA1082)</f>
        <v>7200</v>
      </c>
      <c r="AB1065" s="56">
        <f t="shared" ref="AB1065" si="1030">SUM(AB1066:AB1082)</f>
        <v>7200</v>
      </c>
      <c r="AC1065" s="56">
        <f t="shared" ref="AC1065" si="1031">SUM(AC1066:AC1082)</f>
        <v>43200</v>
      </c>
      <c r="AD1065" s="28"/>
      <c r="AE1065" s="12"/>
      <c r="AF1065" s="29"/>
      <c r="AG1065" s="9"/>
      <c r="AH1065" s="10"/>
      <c r="AI1065" s="9"/>
      <c r="AJ1065" s="11"/>
      <c r="AK1065" s="9"/>
      <c r="AL1065" s="13"/>
      <c r="AM1065" s="9"/>
    </row>
    <row r="1066" spans="1:39" x14ac:dyDescent="0.3">
      <c r="A1066" s="2" t="str">
        <f t="shared" si="1017"/>
        <v>NÃO</v>
      </c>
      <c r="B1066" s="2" t="str">
        <f>_xlfn.XLOOKUP($N1066,'Base de Grupos'!$A:$A,'Base de Grupos'!$D:$D)</f>
        <v>1000065763</v>
      </c>
      <c r="C1066" s="5" t="str">
        <f>_xlfn.XLOOKUP($N1066,'Base de Grupos'!$A:$A,'Base de Grupos'!$E:$E)</f>
        <v>CANAL VENDA INTERNA</v>
      </c>
      <c r="D1066" s="5" t="str">
        <f>_xlfn.XLOOKUP($N1066,'Base de Grupos'!$A:$A,'Base de Grupos'!$F:$F)</f>
        <v>1000065763</v>
      </c>
      <c r="E1066" s="2" t="str">
        <f>_xlfn.XLOOKUP($N1066,'Base de Grupos'!$A:$A,'Base de Grupos'!$G:$G)</f>
        <v>CANAL VENDA INTERNA</v>
      </c>
      <c r="F1066" s="2" t="str">
        <f>_xlfn.XLOOKUP($N1066,'Base de Grupos'!$A:$A,'Base de Grupos'!$H:$H)</f>
        <v>1000174119</v>
      </c>
      <c r="G1066" s="5" t="str">
        <f>_xlfn.XLOOKUP($N1066,'Base de Grupos'!$A:$A,'Base de Grupos'!$I:$I)</f>
        <v>REGIONAL VENDA INTERNA - CONVENIENCIA</v>
      </c>
      <c r="H1066" s="5" t="str">
        <f>_xlfn.XLOOKUP($N1066,'Base de Grupos'!$A:$A,'Base de Grupos'!$J:$J)</f>
        <v>1000174119</v>
      </c>
      <c r="I1066" s="2" t="str">
        <f>_xlfn.XLOOKUP($N1066,'Base de Grupos'!$A:$A,'Base de Grupos'!$K:$K)</f>
        <v>REGIONAL VENDA INTERNA - CONVENIENCIA</v>
      </c>
      <c r="J1066" s="2" t="str">
        <f>_xlfn.XLOOKUP($N1066,'Base de Grupos'!$A:$A,'Base de Grupos'!$L:$L)</f>
        <v>1000174119</v>
      </c>
      <c r="K1066" s="5" t="str">
        <f>_xlfn.XLOOKUP($N1066,'Base de Grupos'!$A:$A,'Base de Grupos'!$M:$M)</f>
        <v>REGIONAL VENDA INTERNA - CONVENIENCIA</v>
      </c>
      <c r="L1066" s="5" t="str">
        <f t="shared" si="1018"/>
        <v/>
      </c>
      <c r="M1066" s="5" t="str">
        <f>_xlfn.XLOOKUP($N1066,'Base de Grupos'!$A:$A,'Base de Grupos'!$C:$C)</f>
        <v>MG</v>
      </c>
      <c r="N1066" s="3">
        <v>1524</v>
      </c>
      <c r="O1066" s="4" t="s">
        <v>283</v>
      </c>
      <c r="P1066" s="5" t="s">
        <v>81</v>
      </c>
      <c r="Q1066" s="56">
        <v>0</v>
      </c>
      <c r="R1066" s="56">
        <v>0</v>
      </c>
      <c r="S1066" s="56">
        <v>0</v>
      </c>
      <c r="T1066" s="56">
        <f>_xlfn.XLOOKUP($N1066,'Calculo Leads Conveniencia'!$A$77:$A$104,'Calculo Leads Conveniencia'!G$77:G$104)*_xlfn.XLOOKUP($P1066,'Base Grupo de Produtos'!$E$23:$E$39,'Base Grupo de Produtos'!$F$23:$F$39)</f>
        <v>240</v>
      </c>
      <c r="U1066" s="56">
        <f>_xlfn.XLOOKUP($N1066,'Calculo Leads Conveniencia'!$A$77:$A$104,'Calculo Leads Conveniencia'!H$77:H$104)*_xlfn.XLOOKUP($P1066,'Base Grupo de Produtos'!$E$23:$E$39,'Base Grupo de Produtos'!$F$23:$F$39)</f>
        <v>240</v>
      </c>
      <c r="V1066" s="56">
        <f>_xlfn.XLOOKUP($N1066,'Calculo Leads Conveniencia'!$A$77:$A$104,'Calculo Leads Conveniencia'!I$77:I$104)*_xlfn.XLOOKUP($P1066,'Base Grupo de Produtos'!$E$23:$E$39,'Base Grupo de Produtos'!$F$23:$F$39)</f>
        <v>320</v>
      </c>
      <c r="W1066" s="56">
        <f>_xlfn.XLOOKUP($N1066,'Calculo Leads Conveniencia'!$A$77:$A$104,'Calculo Leads Conveniencia'!J$77:J$104)*_xlfn.XLOOKUP($P1066,'Base Grupo de Produtos'!$E$23:$E$39,'Base Grupo de Produtos'!$F$23:$F$39)</f>
        <v>400</v>
      </c>
      <c r="X1066" s="56">
        <f>_xlfn.XLOOKUP($N1066,'Calculo Leads Conveniencia'!$A$77:$A$104,'Calculo Leads Conveniencia'!K$77:K$104)*_xlfn.XLOOKUP($P1066,'Base Grupo de Produtos'!$E$23:$E$39,'Base Grupo de Produtos'!$F$23:$F$39)</f>
        <v>480</v>
      </c>
      <c r="Y1066" s="56">
        <f>_xlfn.XLOOKUP($N1066,'Calculo Leads Conveniencia'!$A$77:$A$104,'Calculo Leads Conveniencia'!L$77:L$104)*_xlfn.XLOOKUP($P1066,'Base Grupo de Produtos'!$E$23:$E$39,'Base Grupo de Produtos'!$F$23:$F$39)</f>
        <v>560</v>
      </c>
      <c r="Z1066" s="56">
        <f>_xlfn.XLOOKUP($N1066,'Calculo Leads Conveniencia'!$A$77:$A$104,'Calculo Leads Conveniencia'!M$77:M$104)*_xlfn.XLOOKUP($P1066,'Base Grupo de Produtos'!$E$23:$E$39,'Base Grupo de Produtos'!$F$23:$F$39)</f>
        <v>640</v>
      </c>
      <c r="AA1066" s="56">
        <f>_xlfn.XLOOKUP($N1066,'Calculo Leads Conveniencia'!$A$77:$A$104,'Calculo Leads Conveniencia'!N$77:N$104)*_xlfn.XLOOKUP($P1066,'Base Grupo de Produtos'!$E$23:$E$39,'Base Grupo de Produtos'!$F$23:$F$39)</f>
        <v>720</v>
      </c>
      <c r="AB1066" s="56">
        <f>_xlfn.XLOOKUP($N1066,'Calculo Leads Conveniencia'!$A$77:$A$104,'Calculo Leads Conveniencia'!O$77:O$104)*_xlfn.XLOOKUP($P1066,'Base Grupo de Produtos'!$E$23:$E$39,'Base Grupo de Produtos'!$F$23:$F$39)</f>
        <v>720</v>
      </c>
      <c r="AC1066" s="61">
        <f t="shared" si="1003"/>
        <v>4320</v>
      </c>
      <c r="AD1066" s="28"/>
      <c r="AE1066" s="12"/>
      <c r="AF1066" s="29"/>
      <c r="AG1066" s="9"/>
      <c r="AH1066" s="10"/>
      <c r="AI1066" s="9"/>
      <c r="AJ1066" s="11"/>
      <c r="AK1066" s="9"/>
      <c r="AL1066" s="13"/>
      <c r="AM1066" s="9"/>
    </row>
    <row r="1067" spans="1:39" x14ac:dyDescent="0.3">
      <c r="A1067" s="2" t="str">
        <f t="shared" si="1017"/>
        <v>NÃO</v>
      </c>
      <c r="B1067" s="2" t="str">
        <f>_xlfn.XLOOKUP($N1067,'Base de Grupos'!$A:$A,'Base de Grupos'!$D:$D)</f>
        <v>1000065763</v>
      </c>
      <c r="C1067" s="5" t="str">
        <f>_xlfn.XLOOKUP($N1067,'Base de Grupos'!$A:$A,'Base de Grupos'!$E:$E)</f>
        <v>CANAL VENDA INTERNA</v>
      </c>
      <c r="D1067" s="5" t="str">
        <f>_xlfn.XLOOKUP($N1067,'Base de Grupos'!$A:$A,'Base de Grupos'!$F:$F)</f>
        <v>1000065763</v>
      </c>
      <c r="E1067" s="2" t="str">
        <f>_xlfn.XLOOKUP($N1067,'Base de Grupos'!$A:$A,'Base de Grupos'!$G:$G)</f>
        <v>CANAL VENDA INTERNA</v>
      </c>
      <c r="F1067" s="2" t="str">
        <f>_xlfn.XLOOKUP($N1067,'Base de Grupos'!$A:$A,'Base de Grupos'!$H:$H)</f>
        <v>1000174119</v>
      </c>
      <c r="G1067" s="5" t="str">
        <f>_xlfn.XLOOKUP($N1067,'Base de Grupos'!$A:$A,'Base de Grupos'!$I:$I)</f>
        <v>REGIONAL VENDA INTERNA - CONVENIENCIA</v>
      </c>
      <c r="H1067" s="5" t="str">
        <f>_xlfn.XLOOKUP($N1067,'Base de Grupos'!$A:$A,'Base de Grupos'!$J:$J)</f>
        <v>1000174119</v>
      </c>
      <c r="I1067" s="2" t="str">
        <f>_xlfn.XLOOKUP($N1067,'Base de Grupos'!$A:$A,'Base de Grupos'!$K:$K)</f>
        <v>REGIONAL VENDA INTERNA - CONVENIENCIA</v>
      </c>
      <c r="J1067" s="2" t="str">
        <f>_xlfn.XLOOKUP($N1067,'Base de Grupos'!$A:$A,'Base de Grupos'!$L:$L)</f>
        <v>1000174119</v>
      </c>
      <c r="K1067" s="5" t="str">
        <f>_xlfn.XLOOKUP($N1067,'Base de Grupos'!$A:$A,'Base de Grupos'!$M:$M)</f>
        <v>REGIONAL VENDA INTERNA - CONVENIENCIA</v>
      </c>
      <c r="L1067" s="5" t="str">
        <f t="shared" si="1018"/>
        <v/>
      </c>
      <c r="M1067" s="5" t="str">
        <f>_xlfn.XLOOKUP($N1067,'Base de Grupos'!$A:$A,'Base de Grupos'!$C:$C)</f>
        <v>MG</v>
      </c>
      <c r="N1067" s="3">
        <v>1524</v>
      </c>
      <c r="O1067" s="4" t="s">
        <v>283</v>
      </c>
      <c r="P1067" s="5" t="s">
        <v>82</v>
      </c>
      <c r="Q1067" s="56">
        <v>0</v>
      </c>
      <c r="R1067" s="56">
        <v>0</v>
      </c>
      <c r="S1067" s="56">
        <v>0</v>
      </c>
      <c r="T1067" s="56">
        <f>_xlfn.XLOOKUP($N1067,'Calculo Leads Conveniencia'!$A$77:$A$104,'Calculo Leads Conveniencia'!G$77:G$104)*_xlfn.XLOOKUP($P1067,'Base Grupo de Produtos'!$E$23:$E$39,'Base Grupo de Produtos'!$F$23:$F$39)</f>
        <v>600</v>
      </c>
      <c r="U1067" s="56">
        <f>_xlfn.XLOOKUP($N1067,'Calculo Leads Conveniencia'!$A$77:$A$104,'Calculo Leads Conveniencia'!H$77:H$104)*_xlfn.XLOOKUP($P1067,'Base Grupo de Produtos'!$E$23:$E$39,'Base Grupo de Produtos'!$F$23:$F$39)</f>
        <v>600</v>
      </c>
      <c r="V1067" s="56">
        <f>_xlfn.XLOOKUP($N1067,'Calculo Leads Conveniencia'!$A$77:$A$104,'Calculo Leads Conveniencia'!I$77:I$104)*_xlfn.XLOOKUP($P1067,'Base Grupo de Produtos'!$E$23:$E$39,'Base Grupo de Produtos'!$F$23:$F$39)</f>
        <v>800</v>
      </c>
      <c r="W1067" s="56">
        <f>_xlfn.XLOOKUP($N1067,'Calculo Leads Conveniencia'!$A$77:$A$104,'Calculo Leads Conveniencia'!J$77:J$104)*_xlfn.XLOOKUP($P1067,'Base Grupo de Produtos'!$E$23:$E$39,'Base Grupo de Produtos'!$F$23:$F$39)</f>
        <v>1000</v>
      </c>
      <c r="X1067" s="56">
        <f>_xlfn.XLOOKUP($N1067,'Calculo Leads Conveniencia'!$A$77:$A$104,'Calculo Leads Conveniencia'!K$77:K$104)*_xlfn.XLOOKUP($P1067,'Base Grupo de Produtos'!$E$23:$E$39,'Base Grupo de Produtos'!$F$23:$F$39)</f>
        <v>1200</v>
      </c>
      <c r="Y1067" s="56">
        <f>_xlfn.XLOOKUP($N1067,'Calculo Leads Conveniencia'!$A$77:$A$104,'Calculo Leads Conveniencia'!L$77:L$104)*_xlfn.XLOOKUP($P1067,'Base Grupo de Produtos'!$E$23:$E$39,'Base Grupo de Produtos'!$F$23:$F$39)</f>
        <v>1400</v>
      </c>
      <c r="Z1067" s="56">
        <f>_xlfn.XLOOKUP($N1067,'Calculo Leads Conveniencia'!$A$77:$A$104,'Calculo Leads Conveniencia'!M$77:M$104)*_xlfn.XLOOKUP($P1067,'Base Grupo de Produtos'!$E$23:$E$39,'Base Grupo de Produtos'!$F$23:$F$39)</f>
        <v>1600</v>
      </c>
      <c r="AA1067" s="56">
        <f>_xlfn.XLOOKUP($N1067,'Calculo Leads Conveniencia'!$A$77:$A$104,'Calculo Leads Conveniencia'!N$77:N$104)*_xlfn.XLOOKUP($P1067,'Base Grupo de Produtos'!$E$23:$E$39,'Base Grupo de Produtos'!$F$23:$F$39)</f>
        <v>1800</v>
      </c>
      <c r="AB1067" s="56">
        <f>_xlfn.XLOOKUP($N1067,'Calculo Leads Conveniencia'!$A$77:$A$104,'Calculo Leads Conveniencia'!O$77:O$104)*_xlfn.XLOOKUP($P1067,'Base Grupo de Produtos'!$E$23:$E$39,'Base Grupo de Produtos'!$F$23:$F$39)</f>
        <v>1800</v>
      </c>
      <c r="AC1067" s="61">
        <f t="shared" si="1003"/>
        <v>10800</v>
      </c>
      <c r="AD1067" s="28"/>
      <c r="AE1067" s="12"/>
      <c r="AF1067" s="29"/>
      <c r="AG1067" s="9"/>
      <c r="AH1067" s="10"/>
      <c r="AI1067" s="9"/>
      <c r="AJ1067" s="11"/>
      <c r="AK1067" s="9"/>
      <c r="AL1067" s="13"/>
      <c r="AM1067" s="9"/>
    </row>
    <row r="1068" spans="1:39" x14ac:dyDescent="0.3">
      <c r="A1068" s="2" t="str">
        <f t="shared" si="1017"/>
        <v>NÃO</v>
      </c>
      <c r="B1068" s="2" t="str">
        <f>_xlfn.XLOOKUP($N1068,'Base de Grupos'!$A:$A,'Base de Grupos'!$D:$D)</f>
        <v>1000065763</v>
      </c>
      <c r="C1068" s="5" t="str">
        <f>_xlfn.XLOOKUP($N1068,'Base de Grupos'!$A:$A,'Base de Grupos'!$E:$E)</f>
        <v>CANAL VENDA INTERNA</v>
      </c>
      <c r="D1068" s="5" t="str">
        <f>_xlfn.XLOOKUP($N1068,'Base de Grupos'!$A:$A,'Base de Grupos'!$F:$F)</f>
        <v>1000065763</v>
      </c>
      <c r="E1068" s="2" t="str">
        <f>_xlfn.XLOOKUP($N1068,'Base de Grupos'!$A:$A,'Base de Grupos'!$G:$G)</f>
        <v>CANAL VENDA INTERNA</v>
      </c>
      <c r="F1068" s="2" t="str">
        <f>_xlfn.XLOOKUP($N1068,'Base de Grupos'!$A:$A,'Base de Grupos'!$H:$H)</f>
        <v>1000174119</v>
      </c>
      <c r="G1068" s="5" t="str">
        <f>_xlfn.XLOOKUP($N1068,'Base de Grupos'!$A:$A,'Base de Grupos'!$I:$I)</f>
        <v>REGIONAL VENDA INTERNA - CONVENIENCIA</v>
      </c>
      <c r="H1068" s="5" t="str">
        <f>_xlfn.XLOOKUP($N1068,'Base de Grupos'!$A:$A,'Base de Grupos'!$J:$J)</f>
        <v>1000174119</v>
      </c>
      <c r="I1068" s="2" t="str">
        <f>_xlfn.XLOOKUP($N1068,'Base de Grupos'!$A:$A,'Base de Grupos'!$K:$K)</f>
        <v>REGIONAL VENDA INTERNA - CONVENIENCIA</v>
      </c>
      <c r="J1068" s="2" t="str">
        <f>_xlfn.XLOOKUP($N1068,'Base de Grupos'!$A:$A,'Base de Grupos'!$L:$L)</f>
        <v>1000174119</v>
      </c>
      <c r="K1068" s="5" t="str">
        <f>_xlfn.XLOOKUP($N1068,'Base de Grupos'!$A:$A,'Base de Grupos'!$M:$M)</f>
        <v>REGIONAL VENDA INTERNA - CONVENIENCIA</v>
      </c>
      <c r="L1068" s="5" t="str">
        <f t="shared" si="1018"/>
        <v/>
      </c>
      <c r="M1068" s="5" t="str">
        <f>_xlfn.XLOOKUP($N1068,'Base de Grupos'!$A:$A,'Base de Grupos'!$C:$C)</f>
        <v>MG</v>
      </c>
      <c r="N1068" s="3">
        <v>1524</v>
      </c>
      <c r="O1068" s="4" t="s">
        <v>283</v>
      </c>
      <c r="P1068" s="5" t="s">
        <v>84</v>
      </c>
      <c r="Q1068" s="56">
        <v>0</v>
      </c>
      <c r="R1068" s="56">
        <v>0</v>
      </c>
      <c r="S1068" s="56">
        <v>0</v>
      </c>
      <c r="T1068" s="56">
        <f>_xlfn.XLOOKUP($N1068,'Calculo Leads Conveniencia'!$A$77:$A$104,'Calculo Leads Conveniencia'!G$77:G$104)*_xlfn.XLOOKUP($P1068,'Base Grupo de Produtos'!$E$23:$E$39,'Base Grupo de Produtos'!$F$23:$F$39)</f>
        <v>360</v>
      </c>
      <c r="U1068" s="56">
        <f>_xlfn.XLOOKUP($N1068,'Calculo Leads Conveniencia'!$A$77:$A$104,'Calculo Leads Conveniencia'!H$77:H$104)*_xlfn.XLOOKUP($P1068,'Base Grupo de Produtos'!$E$23:$E$39,'Base Grupo de Produtos'!$F$23:$F$39)</f>
        <v>360</v>
      </c>
      <c r="V1068" s="56">
        <f>_xlfn.XLOOKUP($N1068,'Calculo Leads Conveniencia'!$A$77:$A$104,'Calculo Leads Conveniencia'!I$77:I$104)*_xlfn.XLOOKUP($P1068,'Base Grupo de Produtos'!$E$23:$E$39,'Base Grupo de Produtos'!$F$23:$F$39)</f>
        <v>480</v>
      </c>
      <c r="W1068" s="56">
        <f>_xlfn.XLOOKUP($N1068,'Calculo Leads Conveniencia'!$A$77:$A$104,'Calculo Leads Conveniencia'!J$77:J$104)*_xlfn.XLOOKUP($P1068,'Base Grupo de Produtos'!$E$23:$E$39,'Base Grupo de Produtos'!$F$23:$F$39)</f>
        <v>600</v>
      </c>
      <c r="X1068" s="56">
        <f>_xlfn.XLOOKUP($N1068,'Calculo Leads Conveniencia'!$A$77:$A$104,'Calculo Leads Conveniencia'!K$77:K$104)*_xlfn.XLOOKUP($P1068,'Base Grupo de Produtos'!$E$23:$E$39,'Base Grupo de Produtos'!$F$23:$F$39)</f>
        <v>720</v>
      </c>
      <c r="Y1068" s="56">
        <f>_xlfn.XLOOKUP($N1068,'Calculo Leads Conveniencia'!$A$77:$A$104,'Calculo Leads Conveniencia'!L$77:L$104)*_xlfn.XLOOKUP($P1068,'Base Grupo de Produtos'!$E$23:$E$39,'Base Grupo de Produtos'!$F$23:$F$39)</f>
        <v>840</v>
      </c>
      <c r="Z1068" s="56">
        <f>_xlfn.XLOOKUP($N1068,'Calculo Leads Conveniencia'!$A$77:$A$104,'Calculo Leads Conveniencia'!M$77:M$104)*_xlfn.XLOOKUP($P1068,'Base Grupo de Produtos'!$E$23:$E$39,'Base Grupo de Produtos'!$F$23:$F$39)</f>
        <v>960</v>
      </c>
      <c r="AA1068" s="56">
        <f>_xlfn.XLOOKUP($N1068,'Calculo Leads Conveniencia'!$A$77:$A$104,'Calculo Leads Conveniencia'!N$77:N$104)*_xlfn.XLOOKUP($P1068,'Base Grupo de Produtos'!$E$23:$E$39,'Base Grupo de Produtos'!$F$23:$F$39)</f>
        <v>1080</v>
      </c>
      <c r="AB1068" s="56">
        <f>_xlfn.XLOOKUP($N1068,'Calculo Leads Conveniencia'!$A$77:$A$104,'Calculo Leads Conveniencia'!O$77:O$104)*_xlfn.XLOOKUP($P1068,'Base Grupo de Produtos'!$E$23:$E$39,'Base Grupo de Produtos'!$F$23:$F$39)</f>
        <v>1080</v>
      </c>
      <c r="AC1068" s="61">
        <f t="shared" si="1003"/>
        <v>6480</v>
      </c>
      <c r="AD1068" s="28"/>
      <c r="AE1068" s="12"/>
      <c r="AF1068" s="29"/>
      <c r="AG1068" s="9"/>
      <c r="AH1068" s="10"/>
      <c r="AI1068" s="9"/>
      <c r="AJ1068" s="11"/>
      <c r="AK1068" s="9"/>
      <c r="AL1068" s="13"/>
      <c r="AM1068" s="9"/>
    </row>
    <row r="1069" spans="1:39" x14ac:dyDescent="0.3">
      <c r="A1069" s="2" t="str">
        <f t="shared" si="1017"/>
        <v>NÃO</v>
      </c>
      <c r="B1069" s="2" t="str">
        <f>_xlfn.XLOOKUP($N1069,'Base de Grupos'!$A:$A,'Base de Grupos'!$D:$D)</f>
        <v>1000065763</v>
      </c>
      <c r="C1069" s="5" t="str">
        <f>_xlfn.XLOOKUP($N1069,'Base de Grupos'!$A:$A,'Base de Grupos'!$E:$E)</f>
        <v>CANAL VENDA INTERNA</v>
      </c>
      <c r="D1069" s="5" t="str">
        <f>_xlfn.XLOOKUP($N1069,'Base de Grupos'!$A:$A,'Base de Grupos'!$F:$F)</f>
        <v>1000065763</v>
      </c>
      <c r="E1069" s="2" t="str">
        <f>_xlfn.XLOOKUP($N1069,'Base de Grupos'!$A:$A,'Base de Grupos'!$G:$G)</f>
        <v>CANAL VENDA INTERNA</v>
      </c>
      <c r="F1069" s="2" t="str">
        <f>_xlfn.XLOOKUP($N1069,'Base de Grupos'!$A:$A,'Base de Grupos'!$H:$H)</f>
        <v>1000174119</v>
      </c>
      <c r="G1069" s="5" t="str">
        <f>_xlfn.XLOOKUP($N1069,'Base de Grupos'!$A:$A,'Base de Grupos'!$I:$I)</f>
        <v>REGIONAL VENDA INTERNA - CONVENIENCIA</v>
      </c>
      <c r="H1069" s="5" t="str">
        <f>_xlfn.XLOOKUP($N1069,'Base de Grupos'!$A:$A,'Base de Grupos'!$J:$J)</f>
        <v>1000174119</v>
      </c>
      <c r="I1069" s="2" t="str">
        <f>_xlfn.XLOOKUP($N1069,'Base de Grupos'!$A:$A,'Base de Grupos'!$K:$K)</f>
        <v>REGIONAL VENDA INTERNA - CONVENIENCIA</v>
      </c>
      <c r="J1069" s="2" t="str">
        <f>_xlfn.XLOOKUP($N1069,'Base de Grupos'!$A:$A,'Base de Grupos'!$L:$L)</f>
        <v>1000174119</v>
      </c>
      <c r="K1069" s="5" t="str">
        <f>_xlfn.XLOOKUP($N1069,'Base de Grupos'!$A:$A,'Base de Grupos'!$M:$M)</f>
        <v>REGIONAL VENDA INTERNA - CONVENIENCIA</v>
      </c>
      <c r="L1069" s="5" t="str">
        <f t="shared" si="1018"/>
        <v/>
      </c>
      <c r="M1069" s="5" t="str">
        <f>_xlfn.XLOOKUP($N1069,'Base de Grupos'!$A:$A,'Base de Grupos'!$C:$C)</f>
        <v>MG</v>
      </c>
      <c r="N1069" s="3">
        <v>1524</v>
      </c>
      <c r="O1069" s="4" t="s">
        <v>283</v>
      </c>
      <c r="P1069" s="5" t="s">
        <v>83</v>
      </c>
      <c r="Q1069" s="56">
        <v>0</v>
      </c>
      <c r="R1069" s="56">
        <v>0</v>
      </c>
      <c r="S1069" s="56">
        <v>0</v>
      </c>
      <c r="T1069" s="56">
        <f>_xlfn.XLOOKUP($N1069,'Calculo Leads Conveniencia'!$A$77:$A$104,'Calculo Leads Conveniencia'!G$77:G$104)*_xlfn.XLOOKUP($P1069,'Base Grupo de Produtos'!$E$23:$E$39,'Base Grupo de Produtos'!$F$23:$F$39)</f>
        <v>48</v>
      </c>
      <c r="U1069" s="56">
        <f>_xlfn.XLOOKUP($N1069,'Calculo Leads Conveniencia'!$A$77:$A$104,'Calculo Leads Conveniencia'!H$77:H$104)*_xlfn.XLOOKUP($P1069,'Base Grupo de Produtos'!$E$23:$E$39,'Base Grupo de Produtos'!$F$23:$F$39)</f>
        <v>48</v>
      </c>
      <c r="V1069" s="56">
        <f>_xlfn.XLOOKUP($N1069,'Calculo Leads Conveniencia'!$A$77:$A$104,'Calculo Leads Conveniencia'!I$77:I$104)*_xlfn.XLOOKUP($P1069,'Base Grupo de Produtos'!$E$23:$E$39,'Base Grupo de Produtos'!$F$23:$F$39)</f>
        <v>64</v>
      </c>
      <c r="W1069" s="56">
        <f>_xlfn.XLOOKUP($N1069,'Calculo Leads Conveniencia'!$A$77:$A$104,'Calculo Leads Conveniencia'!J$77:J$104)*_xlfn.XLOOKUP($P1069,'Base Grupo de Produtos'!$E$23:$E$39,'Base Grupo de Produtos'!$F$23:$F$39)</f>
        <v>80</v>
      </c>
      <c r="X1069" s="56">
        <f>_xlfn.XLOOKUP($N1069,'Calculo Leads Conveniencia'!$A$77:$A$104,'Calculo Leads Conveniencia'!K$77:K$104)*_xlfn.XLOOKUP($P1069,'Base Grupo de Produtos'!$E$23:$E$39,'Base Grupo de Produtos'!$F$23:$F$39)</f>
        <v>96</v>
      </c>
      <c r="Y1069" s="56">
        <f>_xlfn.XLOOKUP($N1069,'Calculo Leads Conveniencia'!$A$77:$A$104,'Calculo Leads Conveniencia'!L$77:L$104)*_xlfn.XLOOKUP($P1069,'Base Grupo de Produtos'!$E$23:$E$39,'Base Grupo de Produtos'!$F$23:$F$39)</f>
        <v>112</v>
      </c>
      <c r="Z1069" s="56">
        <f>_xlfn.XLOOKUP($N1069,'Calculo Leads Conveniencia'!$A$77:$A$104,'Calculo Leads Conveniencia'!M$77:M$104)*_xlfn.XLOOKUP($P1069,'Base Grupo de Produtos'!$E$23:$E$39,'Base Grupo de Produtos'!$F$23:$F$39)</f>
        <v>128</v>
      </c>
      <c r="AA1069" s="56">
        <f>_xlfn.XLOOKUP($N1069,'Calculo Leads Conveniencia'!$A$77:$A$104,'Calculo Leads Conveniencia'!N$77:N$104)*_xlfn.XLOOKUP($P1069,'Base Grupo de Produtos'!$E$23:$E$39,'Base Grupo de Produtos'!$F$23:$F$39)</f>
        <v>144</v>
      </c>
      <c r="AB1069" s="56">
        <f>_xlfn.XLOOKUP($N1069,'Calculo Leads Conveniencia'!$A$77:$A$104,'Calculo Leads Conveniencia'!O$77:O$104)*_xlfn.XLOOKUP($P1069,'Base Grupo de Produtos'!$E$23:$E$39,'Base Grupo de Produtos'!$F$23:$F$39)</f>
        <v>144</v>
      </c>
      <c r="AC1069" s="61">
        <f t="shared" si="1003"/>
        <v>864</v>
      </c>
      <c r="AD1069" s="28"/>
      <c r="AE1069" s="12"/>
      <c r="AF1069" s="29"/>
      <c r="AG1069" s="9"/>
      <c r="AH1069" s="10"/>
      <c r="AI1069" s="9"/>
      <c r="AJ1069" s="11"/>
      <c r="AK1069" s="9"/>
      <c r="AL1069" s="13"/>
      <c r="AM1069" s="9"/>
    </row>
    <row r="1070" spans="1:39" x14ac:dyDescent="0.3">
      <c r="A1070" s="2" t="str">
        <f t="shared" si="1017"/>
        <v>NÃO</v>
      </c>
      <c r="B1070" s="2" t="str">
        <f>_xlfn.XLOOKUP($N1070,'Base de Grupos'!$A:$A,'Base de Grupos'!$D:$D)</f>
        <v>1000065763</v>
      </c>
      <c r="C1070" s="5" t="str">
        <f>_xlfn.XLOOKUP($N1070,'Base de Grupos'!$A:$A,'Base de Grupos'!$E:$E)</f>
        <v>CANAL VENDA INTERNA</v>
      </c>
      <c r="D1070" s="5" t="str">
        <f>_xlfn.XLOOKUP($N1070,'Base de Grupos'!$A:$A,'Base de Grupos'!$F:$F)</f>
        <v>1000065763</v>
      </c>
      <c r="E1070" s="2" t="str">
        <f>_xlfn.XLOOKUP($N1070,'Base de Grupos'!$A:$A,'Base de Grupos'!$G:$G)</f>
        <v>CANAL VENDA INTERNA</v>
      </c>
      <c r="F1070" s="2" t="str">
        <f>_xlfn.XLOOKUP($N1070,'Base de Grupos'!$A:$A,'Base de Grupos'!$H:$H)</f>
        <v>1000174119</v>
      </c>
      <c r="G1070" s="5" t="str">
        <f>_xlfn.XLOOKUP($N1070,'Base de Grupos'!$A:$A,'Base de Grupos'!$I:$I)</f>
        <v>REGIONAL VENDA INTERNA - CONVENIENCIA</v>
      </c>
      <c r="H1070" s="5" t="str">
        <f>_xlfn.XLOOKUP($N1070,'Base de Grupos'!$A:$A,'Base de Grupos'!$J:$J)</f>
        <v>1000174119</v>
      </c>
      <c r="I1070" s="2" t="str">
        <f>_xlfn.XLOOKUP($N1070,'Base de Grupos'!$A:$A,'Base de Grupos'!$K:$K)</f>
        <v>REGIONAL VENDA INTERNA - CONVENIENCIA</v>
      </c>
      <c r="J1070" s="2" t="str">
        <f>_xlfn.XLOOKUP($N1070,'Base de Grupos'!$A:$A,'Base de Grupos'!$L:$L)</f>
        <v>1000174119</v>
      </c>
      <c r="K1070" s="5" t="str">
        <f>_xlfn.XLOOKUP($N1070,'Base de Grupos'!$A:$A,'Base de Grupos'!$M:$M)</f>
        <v>REGIONAL VENDA INTERNA - CONVENIENCIA</v>
      </c>
      <c r="L1070" s="5" t="str">
        <f t="shared" si="1018"/>
        <v/>
      </c>
      <c r="M1070" s="5" t="str">
        <f>_xlfn.XLOOKUP($N1070,'Base de Grupos'!$A:$A,'Base de Grupos'!$C:$C)</f>
        <v>MG</v>
      </c>
      <c r="N1070" s="3">
        <v>1524</v>
      </c>
      <c r="O1070" s="4" t="s">
        <v>283</v>
      </c>
      <c r="P1070" s="5" t="s">
        <v>87</v>
      </c>
      <c r="Q1070" s="56">
        <v>0</v>
      </c>
      <c r="R1070" s="56">
        <v>0</v>
      </c>
      <c r="S1070" s="56">
        <v>0</v>
      </c>
      <c r="T1070" s="56">
        <f>_xlfn.XLOOKUP($N1070,'Calculo Leads Conveniencia'!$A$77:$A$104,'Calculo Leads Conveniencia'!G$77:G$104)*_xlfn.XLOOKUP($P1070,'Base Grupo de Produtos'!$E$23:$E$39,'Base Grupo de Produtos'!$F$23:$F$39)</f>
        <v>24</v>
      </c>
      <c r="U1070" s="56">
        <f>_xlfn.XLOOKUP($N1070,'Calculo Leads Conveniencia'!$A$77:$A$104,'Calculo Leads Conveniencia'!H$77:H$104)*_xlfn.XLOOKUP($P1070,'Base Grupo de Produtos'!$E$23:$E$39,'Base Grupo de Produtos'!$F$23:$F$39)</f>
        <v>24</v>
      </c>
      <c r="V1070" s="56">
        <f>_xlfn.XLOOKUP($N1070,'Calculo Leads Conveniencia'!$A$77:$A$104,'Calculo Leads Conveniencia'!I$77:I$104)*_xlfn.XLOOKUP($P1070,'Base Grupo de Produtos'!$E$23:$E$39,'Base Grupo de Produtos'!$F$23:$F$39)</f>
        <v>32</v>
      </c>
      <c r="W1070" s="56">
        <f>_xlfn.XLOOKUP($N1070,'Calculo Leads Conveniencia'!$A$77:$A$104,'Calculo Leads Conveniencia'!J$77:J$104)*_xlfn.XLOOKUP($P1070,'Base Grupo de Produtos'!$E$23:$E$39,'Base Grupo de Produtos'!$F$23:$F$39)</f>
        <v>40</v>
      </c>
      <c r="X1070" s="56">
        <f>_xlfn.XLOOKUP($N1070,'Calculo Leads Conveniencia'!$A$77:$A$104,'Calculo Leads Conveniencia'!K$77:K$104)*_xlfn.XLOOKUP($P1070,'Base Grupo de Produtos'!$E$23:$E$39,'Base Grupo de Produtos'!$F$23:$F$39)</f>
        <v>48</v>
      </c>
      <c r="Y1070" s="56">
        <f>_xlfn.XLOOKUP($N1070,'Calculo Leads Conveniencia'!$A$77:$A$104,'Calculo Leads Conveniencia'!L$77:L$104)*_xlfn.XLOOKUP($P1070,'Base Grupo de Produtos'!$E$23:$E$39,'Base Grupo de Produtos'!$F$23:$F$39)</f>
        <v>56</v>
      </c>
      <c r="Z1070" s="56">
        <f>_xlfn.XLOOKUP($N1070,'Calculo Leads Conveniencia'!$A$77:$A$104,'Calculo Leads Conveniencia'!M$77:M$104)*_xlfn.XLOOKUP($P1070,'Base Grupo de Produtos'!$E$23:$E$39,'Base Grupo de Produtos'!$F$23:$F$39)</f>
        <v>64</v>
      </c>
      <c r="AA1070" s="56">
        <f>_xlfn.XLOOKUP($N1070,'Calculo Leads Conveniencia'!$A$77:$A$104,'Calculo Leads Conveniencia'!N$77:N$104)*_xlfn.XLOOKUP($P1070,'Base Grupo de Produtos'!$E$23:$E$39,'Base Grupo de Produtos'!$F$23:$F$39)</f>
        <v>72</v>
      </c>
      <c r="AB1070" s="56">
        <f>_xlfn.XLOOKUP($N1070,'Calculo Leads Conveniencia'!$A$77:$A$104,'Calculo Leads Conveniencia'!O$77:O$104)*_xlfn.XLOOKUP($P1070,'Base Grupo de Produtos'!$E$23:$E$39,'Base Grupo de Produtos'!$F$23:$F$39)</f>
        <v>72</v>
      </c>
      <c r="AC1070" s="61">
        <f t="shared" si="1003"/>
        <v>432</v>
      </c>
      <c r="AD1070" s="28"/>
      <c r="AE1070" s="12"/>
      <c r="AF1070" s="29"/>
      <c r="AG1070" s="9"/>
      <c r="AH1070" s="10"/>
      <c r="AI1070" s="9"/>
      <c r="AJ1070" s="11"/>
      <c r="AK1070" s="9"/>
      <c r="AL1070" s="13"/>
      <c r="AM1070" s="9"/>
    </row>
    <row r="1071" spans="1:39" x14ac:dyDescent="0.3">
      <c r="A1071" s="2" t="str">
        <f t="shared" si="1017"/>
        <v>NÃO</v>
      </c>
      <c r="B1071" s="2" t="str">
        <f>_xlfn.XLOOKUP($N1071,'Base de Grupos'!$A:$A,'Base de Grupos'!$D:$D)</f>
        <v>1000065763</v>
      </c>
      <c r="C1071" s="5" t="str">
        <f>_xlfn.XLOOKUP($N1071,'Base de Grupos'!$A:$A,'Base de Grupos'!$E:$E)</f>
        <v>CANAL VENDA INTERNA</v>
      </c>
      <c r="D1071" s="5" t="str">
        <f>_xlfn.XLOOKUP($N1071,'Base de Grupos'!$A:$A,'Base de Grupos'!$F:$F)</f>
        <v>1000065763</v>
      </c>
      <c r="E1071" s="2" t="str">
        <f>_xlfn.XLOOKUP($N1071,'Base de Grupos'!$A:$A,'Base de Grupos'!$G:$G)</f>
        <v>CANAL VENDA INTERNA</v>
      </c>
      <c r="F1071" s="2" t="str">
        <f>_xlfn.XLOOKUP($N1071,'Base de Grupos'!$A:$A,'Base de Grupos'!$H:$H)</f>
        <v>1000174119</v>
      </c>
      <c r="G1071" s="5" t="str">
        <f>_xlfn.XLOOKUP($N1071,'Base de Grupos'!$A:$A,'Base de Grupos'!$I:$I)</f>
        <v>REGIONAL VENDA INTERNA - CONVENIENCIA</v>
      </c>
      <c r="H1071" s="5" t="str">
        <f>_xlfn.XLOOKUP($N1071,'Base de Grupos'!$A:$A,'Base de Grupos'!$J:$J)</f>
        <v>1000174119</v>
      </c>
      <c r="I1071" s="2" t="str">
        <f>_xlfn.XLOOKUP($N1071,'Base de Grupos'!$A:$A,'Base de Grupos'!$K:$K)</f>
        <v>REGIONAL VENDA INTERNA - CONVENIENCIA</v>
      </c>
      <c r="J1071" s="2" t="str">
        <f>_xlfn.XLOOKUP($N1071,'Base de Grupos'!$A:$A,'Base de Grupos'!$L:$L)</f>
        <v>1000174119</v>
      </c>
      <c r="K1071" s="5" t="str">
        <f>_xlfn.XLOOKUP($N1071,'Base de Grupos'!$A:$A,'Base de Grupos'!$M:$M)</f>
        <v>REGIONAL VENDA INTERNA - CONVENIENCIA</v>
      </c>
      <c r="L1071" s="5" t="str">
        <f t="shared" si="1018"/>
        <v/>
      </c>
      <c r="M1071" s="5" t="str">
        <f>_xlfn.XLOOKUP($N1071,'Base de Grupos'!$A:$A,'Base de Grupos'!$C:$C)</f>
        <v>MG</v>
      </c>
      <c r="N1071" s="3">
        <v>1524</v>
      </c>
      <c r="O1071" s="4" t="s">
        <v>283</v>
      </c>
      <c r="P1071" s="5" t="s">
        <v>85</v>
      </c>
      <c r="Q1071" s="56">
        <v>0</v>
      </c>
      <c r="R1071" s="56">
        <v>0</v>
      </c>
      <c r="S1071" s="56">
        <v>0</v>
      </c>
      <c r="T1071" s="56">
        <f>_xlfn.XLOOKUP($N1071,'Calculo Leads Conveniencia'!$A$77:$A$104,'Calculo Leads Conveniencia'!G$77:G$104)*_xlfn.XLOOKUP($P1071,'Base Grupo de Produtos'!$E$23:$E$39,'Base Grupo de Produtos'!$F$23:$F$39)</f>
        <v>24</v>
      </c>
      <c r="U1071" s="56">
        <f>_xlfn.XLOOKUP($N1071,'Calculo Leads Conveniencia'!$A$77:$A$104,'Calculo Leads Conveniencia'!H$77:H$104)*_xlfn.XLOOKUP($P1071,'Base Grupo de Produtos'!$E$23:$E$39,'Base Grupo de Produtos'!$F$23:$F$39)</f>
        <v>24</v>
      </c>
      <c r="V1071" s="56">
        <f>_xlfn.XLOOKUP($N1071,'Calculo Leads Conveniencia'!$A$77:$A$104,'Calculo Leads Conveniencia'!I$77:I$104)*_xlfn.XLOOKUP($P1071,'Base Grupo de Produtos'!$E$23:$E$39,'Base Grupo de Produtos'!$F$23:$F$39)</f>
        <v>32</v>
      </c>
      <c r="W1071" s="56">
        <f>_xlfn.XLOOKUP($N1071,'Calculo Leads Conveniencia'!$A$77:$A$104,'Calculo Leads Conveniencia'!J$77:J$104)*_xlfn.XLOOKUP($P1071,'Base Grupo de Produtos'!$E$23:$E$39,'Base Grupo de Produtos'!$F$23:$F$39)</f>
        <v>40</v>
      </c>
      <c r="X1071" s="56">
        <f>_xlfn.XLOOKUP($N1071,'Calculo Leads Conveniencia'!$A$77:$A$104,'Calculo Leads Conveniencia'!K$77:K$104)*_xlfn.XLOOKUP($P1071,'Base Grupo de Produtos'!$E$23:$E$39,'Base Grupo de Produtos'!$F$23:$F$39)</f>
        <v>48</v>
      </c>
      <c r="Y1071" s="56">
        <f>_xlfn.XLOOKUP($N1071,'Calculo Leads Conveniencia'!$A$77:$A$104,'Calculo Leads Conveniencia'!L$77:L$104)*_xlfn.XLOOKUP($P1071,'Base Grupo de Produtos'!$E$23:$E$39,'Base Grupo de Produtos'!$F$23:$F$39)</f>
        <v>56</v>
      </c>
      <c r="Z1071" s="56">
        <f>_xlfn.XLOOKUP($N1071,'Calculo Leads Conveniencia'!$A$77:$A$104,'Calculo Leads Conveniencia'!M$77:M$104)*_xlfn.XLOOKUP($P1071,'Base Grupo de Produtos'!$E$23:$E$39,'Base Grupo de Produtos'!$F$23:$F$39)</f>
        <v>64</v>
      </c>
      <c r="AA1071" s="56">
        <f>_xlfn.XLOOKUP($N1071,'Calculo Leads Conveniencia'!$A$77:$A$104,'Calculo Leads Conveniencia'!N$77:N$104)*_xlfn.XLOOKUP($P1071,'Base Grupo de Produtos'!$E$23:$E$39,'Base Grupo de Produtos'!$F$23:$F$39)</f>
        <v>72</v>
      </c>
      <c r="AB1071" s="56">
        <f>_xlfn.XLOOKUP($N1071,'Calculo Leads Conveniencia'!$A$77:$A$104,'Calculo Leads Conveniencia'!O$77:O$104)*_xlfn.XLOOKUP($P1071,'Base Grupo de Produtos'!$E$23:$E$39,'Base Grupo de Produtos'!$F$23:$F$39)</f>
        <v>72</v>
      </c>
      <c r="AC1071" s="61">
        <f t="shared" si="1003"/>
        <v>432</v>
      </c>
      <c r="AD1071" s="28"/>
      <c r="AE1071" s="12"/>
      <c r="AF1071" s="29"/>
      <c r="AG1071" s="9"/>
      <c r="AH1071" s="10"/>
      <c r="AI1071" s="9"/>
      <c r="AJ1071" s="11"/>
      <c r="AK1071" s="9"/>
      <c r="AL1071" s="13"/>
      <c r="AM1071" s="9"/>
    </row>
    <row r="1072" spans="1:39" x14ac:dyDescent="0.3">
      <c r="A1072" s="2" t="str">
        <f t="shared" si="1017"/>
        <v>NÃO</v>
      </c>
      <c r="B1072" s="2" t="str">
        <f>_xlfn.XLOOKUP($N1072,'Base de Grupos'!$A:$A,'Base de Grupos'!$D:$D)</f>
        <v>1000065763</v>
      </c>
      <c r="C1072" s="5" t="str">
        <f>_xlfn.XLOOKUP($N1072,'Base de Grupos'!$A:$A,'Base de Grupos'!$E:$E)</f>
        <v>CANAL VENDA INTERNA</v>
      </c>
      <c r="D1072" s="5" t="str">
        <f>_xlfn.XLOOKUP($N1072,'Base de Grupos'!$A:$A,'Base de Grupos'!$F:$F)</f>
        <v>1000065763</v>
      </c>
      <c r="E1072" s="2" t="str">
        <f>_xlfn.XLOOKUP($N1072,'Base de Grupos'!$A:$A,'Base de Grupos'!$G:$G)</f>
        <v>CANAL VENDA INTERNA</v>
      </c>
      <c r="F1072" s="2" t="str">
        <f>_xlfn.XLOOKUP($N1072,'Base de Grupos'!$A:$A,'Base de Grupos'!$H:$H)</f>
        <v>1000174119</v>
      </c>
      <c r="G1072" s="5" t="str">
        <f>_xlfn.XLOOKUP($N1072,'Base de Grupos'!$A:$A,'Base de Grupos'!$I:$I)</f>
        <v>REGIONAL VENDA INTERNA - CONVENIENCIA</v>
      </c>
      <c r="H1072" s="5" t="str">
        <f>_xlfn.XLOOKUP($N1072,'Base de Grupos'!$A:$A,'Base de Grupos'!$J:$J)</f>
        <v>1000174119</v>
      </c>
      <c r="I1072" s="2" t="str">
        <f>_xlfn.XLOOKUP($N1072,'Base de Grupos'!$A:$A,'Base de Grupos'!$K:$K)</f>
        <v>REGIONAL VENDA INTERNA - CONVENIENCIA</v>
      </c>
      <c r="J1072" s="2" t="str">
        <f>_xlfn.XLOOKUP($N1072,'Base de Grupos'!$A:$A,'Base de Grupos'!$L:$L)</f>
        <v>1000174119</v>
      </c>
      <c r="K1072" s="5" t="str">
        <f>_xlfn.XLOOKUP($N1072,'Base de Grupos'!$A:$A,'Base de Grupos'!$M:$M)</f>
        <v>REGIONAL VENDA INTERNA - CONVENIENCIA</v>
      </c>
      <c r="L1072" s="5" t="str">
        <f t="shared" si="1018"/>
        <v/>
      </c>
      <c r="M1072" s="5" t="str">
        <f>_xlfn.XLOOKUP($N1072,'Base de Grupos'!$A:$A,'Base de Grupos'!$C:$C)</f>
        <v>MG</v>
      </c>
      <c r="N1072" s="3">
        <v>1524</v>
      </c>
      <c r="O1072" s="4" t="s">
        <v>283</v>
      </c>
      <c r="P1072" s="5" t="s">
        <v>92</v>
      </c>
      <c r="Q1072" s="56">
        <v>0</v>
      </c>
      <c r="R1072" s="56">
        <v>0</v>
      </c>
      <c r="S1072" s="56">
        <v>0</v>
      </c>
      <c r="T1072" s="56">
        <f>_xlfn.XLOOKUP($N1072,'Calculo Leads Conveniencia'!$A$77:$A$104,'Calculo Leads Conveniencia'!G$77:G$104)*_xlfn.XLOOKUP($P1072,'Base Grupo de Produtos'!$E$23:$E$39,'Base Grupo de Produtos'!$F$23:$F$39)</f>
        <v>24</v>
      </c>
      <c r="U1072" s="56">
        <f>_xlfn.XLOOKUP($N1072,'Calculo Leads Conveniencia'!$A$77:$A$104,'Calculo Leads Conveniencia'!H$77:H$104)*_xlfn.XLOOKUP($P1072,'Base Grupo de Produtos'!$E$23:$E$39,'Base Grupo de Produtos'!$F$23:$F$39)</f>
        <v>24</v>
      </c>
      <c r="V1072" s="56">
        <f>_xlfn.XLOOKUP($N1072,'Calculo Leads Conveniencia'!$A$77:$A$104,'Calculo Leads Conveniencia'!I$77:I$104)*_xlfn.XLOOKUP($P1072,'Base Grupo de Produtos'!$E$23:$E$39,'Base Grupo de Produtos'!$F$23:$F$39)</f>
        <v>32</v>
      </c>
      <c r="W1072" s="56">
        <f>_xlfn.XLOOKUP($N1072,'Calculo Leads Conveniencia'!$A$77:$A$104,'Calculo Leads Conveniencia'!J$77:J$104)*_xlfn.XLOOKUP($P1072,'Base Grupo de Produtos'!$E$23:$E$39,'Base Grupo de Produtos'!$F$23:$F$39)</f>
        <v>40</v>
      </c>
      <c r="X1072" s="56">
        <f>_xlfn.XLOOKUP($N1072,'Calculo Leads Conveniencia'!$A$77:$A$104,'Calculo Leads Conveniencia'!K$77:K$104)*_xlfn.XLOOKUP($P1072,'Base Grupo de Produtos'!$E$23:$E$39,'Base Grupo de Produtos'!$F$23:$F$39)</f>
        <v>48</v>
      </c>
      <c r="Y1072" s="56">
        <f>_xlfn.XLOOKUP($N1072,'Calculo Leads Conveniencia'!$A$77:$A$104,'Calculo Leads Conveniencia'!L$77:L$104)*_xlfn.XLOOKUP($P1072,'Base Grupo de Produtos'!$E$23:$E$39,'Base Grupo de Produtos'!$F$23:$F$39)</f>
        <v>56</v>
      </c>
      <c r="Z1072" s="56">
        <f>_xlfn.XLOOKUP($N1072,'Calculo Leads Conveniencia'!$A$77:$A$104,'Calculo Leads Conveniencia'!M$77:M$104)*_xlfn.XLOOKUP($P1072,'Base Grupo de Produtos'!$E$23:$E$39,'Base Grupo de Produtos'!$F$23:$F$39)</f>
        <v>64</v>
      </c>
      <c r="AA1072" s="56">
        <f>_xlfn.XLOOKUP($N1072,'Calculo Leads Conveniencia'!$A$77:$A$104,'Calculo Leads Conveniencia'!N$77:N$104)*_xlfn.XLOOKUP($P1072,'Base Grupo de Produtos'!$E$23:$E$39,'Base Grupo de Produtos'!$F$23:$F$39)</f>
        <v>72</v>
      </c>
      <c r="AB1072" s="56">
        <f>_xlfn.XLOOKUP($N1072,'Calculo Leads Conveniencia'!$A$77:$A$104,'Calculo Leads Conveniencia'!O$77:O$104)*_xlfn.XLOOKUP($P1072,'Base Grupo de Produtos'!$E$23:$E$39,'Base Grupo de Produtos'!$F$23:$F$39)</f>
        <v>72</v>
      </c>
      <c r="AC1072" s="61">
        <f t="shared" si="1003"/>
        <v>432</v>
      </c>
      <c r="AD1072" s="28"/>
      <c r="AE1072" s="12"/>
      <c r="AF1072" s="29"/>
      <c r="AG1072" s="9"/>
      <c r="AH1072" s="10"/>
      <c r="AI1072" s="9"/>
      <c r="AJ1072" s="11"/>
      <c r="AK1072" s="9"/>
      <c r="AL1072" s="13"/>
      <c r="AM1072" s="9"/>
    </row>
    <row r="1073" spans="1:39" x14ac:dyDescent="0.3">
      <c r="A1073" s="2" t="str">
        <f t="shared" si="1017"/>
        <v>NÃO</v>
      </c>
      <c r="B1073" s="2" t="str">
        <f>_xlfn.XLOOKUP($N1073,'Base de Grupos'!$A:$A,'Base de Grupos'!$D:$D)</f>
        <v>1000065763</v>
      </c>
      <c r="C1073" s="5" t="str">
        <f>_xlfn.XLOOKUP($N1073,'Base de Grupos'!$A:$A,'Base de Grupos'!$E:$E)</f>
        <v>CANAL VENDA INTERNA</v>
      </c>
      <c r="D1073" s="5" t="str">
        <f>_xlfn.XLOOKUP($N1073,'Base de Grupos'!$A:$A,'Base de Grupos'!$F:$F)</f>
        <v>1000065763</v>
      </c>
      <c r="E1073" s="2" t="str">
        <f>_xlfn.XLOOKUP($N1073,'Base de Grupos'!$A:$A,'Base de Grupos'!$G:$G)</f>
        <v>CANAL VENDA INTERNA</v>
      </c>
      <c r="F1073" s="2" t="str">
        <f>_xlfn.XLOOKUP($N1073,'Base de Grupos'!$A:$A,'Base de Grupos'!$H:$H)</f>
        <v>1000174119</v>
      </c>
      <c r="G1073" s="5" t="str">
        <f>_xlfn.XLOOKUP($N1073,'Base de Grupos'!$A:$A,'Base de Grupos'!$I:$I)</f>
        <v>REGIONAL VENDA INTERNA - CONVENIENCIA</v>
      </c>
      <c r="H1073" s="5" t="str">
        <f>_xlfn.XLOOKUP($N1073,'Base de Grupos'!$A:$A,'Base de Grupos'!$J:$J)</f>
        <v>1000174119</v>
      </c>
      <c r="I1073" s="2" t="str">
        <f>_xlfn.XLOOKUP($N1073,'Base de Grupos'!$A:$A,'Base de Grupos'!$K:$K)</f>
        <v>REGIONAL VENDA INTERNA - CONVENIENCIA</v>
      </c>
      <c r="J1073" s="2" t="str">
        <f>_xlfn.XLOOKUP($N1073,'Base de Grupos'!$A:$A,'Base de Grupos'!$L:$L)</f>
        <v>1000174119</v>
      </c>
      <c r="K1073" s="5" t="str">
        <f>_xlfn.XLOOKUP($N1073,'Base de Grupos'!$A:$A,'Base de Grupos'!$M:$M)</f>
        <v>REGIONAL VENDA INTERNA - CONVENIENCIA</v>
      </c>
      <c r="L1073" s="5" t="str">
        <f t="shared" si="1018"/>
        <v/>
      </c>
      <c r="M1073" s="5" t="str">
        <f>_xlfn.XLOOKUP($N1073,'Base de Grupos'!$A:$A,'Base de Grupos'!$C:$C)</f>
        <v>MG</v>
      </c>
      <c r="N1073" s="3">
        <v>1524</v>
      </c>
      <c r="O1073" s="4" t="s">
        <v>283</v>
      </c>
      <c r="P1073" s="5" t="s">
        <v>86</v>
      </c>
      <c r="Q1073" s="56">
        <v>0</v>
      </c>
      <c r="R1073" s="56">
        <v>0</v>
      </c>
      <c r="S1073" s="56">
        <v>0</v>
      </c>
      <c r="T1073" s="56">
        <f>_xlfn.XLOOKUP($N1073,'Calculo Leads Conveniencia'!$A$77:$A$104,'Calculo Leads Conveniencia'!G$77:G$104)*_xlfn.XLOOKUP($P1073,'Base Grupo de Produtos'!$E$23:$E$39,'Base Grupo de Produtos'!$F$23:$F$39)</f>
        <v>144</v>
      </c>
      <c r="U1073" s="56">
        <f>_xlfn.XLOOKUP($N1073,'Calculo Leads Conveniencia'!$A$77:$A$104,'Calculo Leads Conveniencia'!H$77:H$104)*_xlfn.XLOOKUP($P1073,'Base Grupo de Produtos'!$E$23:$E$39,'Base Grupo de Produtos'!$F$23:$F$39)</f>
        <v>144</v>
      </c>
      <c r="V1073" s="56">
        <f>_xlfn.XLOOKUP($N1073,'Calculo Leads Conveniencia'!$A$77:$A$104,'Calculo Leads Conveniencia'!I$77:I$104)*_xlfn.XLOOKUP($P1073,'Base Grupo de Produtos'!$E$23:$E$39,'Base Grupo de Produtos'!$F$23:$F$39)</f>
        <v>192</v>
      </c>
      <c r="W1073" s="56">
        <f>_xlfn.XLOOKUP($N1073,'Calculo Leads Conveniencia'!$A$77:$A$104,'Calculo Leads Conveniencia'!J$77:J$104)*_xlfn.XLOOKUP($P1073,'Base Grupo de Produtos'!$E$23:$E$39,'Base Grupo de Produtos'!$F$23:$F$39)</f>
        <v>240</v>
      </c>
      <c r="X1073" s="56">
        <f>_xlfn.XLOOKUP($N1073,'Calculo Leads Conveniencia'!$A$77:$A$104,'Calculo Leads Conveniencia'!K$77:K$104)*_xlfn.XLOOKUP($P1073,'Base Grupo de Produtos'!$E$23:$E$39,'Base Grupo de Produtos'!$F$23:$F$39)</f>
        <v>288</v>
      </c>
      <c r="Y1073" s="56">
        <f>_xlfn.XLOOKUP($N1073,'Calculo Leads Conveniencia'!$A$77:$A$104,'Calculo Leads Conveniencia'!L$77:L$104)*_xlfn.XLOOKUP($P1073,'Base Grupo de Produtos'!$E$23:$E$39,'Base Grupo de Produtos'!$F$23:$F$39)</f>
        <v>336</v>
      </c>
      <c r="Z1073" s="56">
        <f>_xlfn.XLOOKUP($N1073,'Calculo Leads Conveniencia'!$A$77:$A$104,'Calculo Leads Conveniencia'!M$77:M$104)*_xlfn.XLOOKUP($P1073,'Base Grupo de Produtos'!$E$23:$E$39,'Base Grupo de Produtos'!$F$23:$F$39)</f>
        <v>384</v>
      </c>
      <c r="AA1073" s="56">
        <f>_xlfn.XLOOKUP($N1073,'Calculo Leads Conveniencia'!$A$77:$A$104,'Calculo Leads Conveniencia'!N$77:N$104)*_xlfn.XLOOKUP($P1073,'Base Grupo de Produtos'!$E$23:$E$39,'Base Grupo de Produtos'!$F$23:$F$39)</f>
        <v>432</v>
      </c>
      <c r="AB1073" s="56">
        <f>_xlfn.XLOOKUP($N1073,'Calculo Leads Conveniencia'!$A$77:$A$104,'Calculo Leads Conveniencia'!O$77:O$104)*_xlfn.XLOOKUP($P1073,'Base Grupo de Produtos'!$E$23:$E$39,'Base Grupo de Produtos'!$F$23:$F$39)</f>
        <v>432</v>
      </c>
      <c r="AC1073" s="61">
        <f t="shared" si="1003"/>
        <v>2592</v>
      </c>
      <c r="AD1073" s="28"/>
      <c r="AE1073" s="12"/>
      <c r="AF1073" s="29"/>
      <c r="AG1073" s="9"/>
      <c r="AH1073" s="10"/>
      <c r="AI1073" s="9"/>
      <c r="AJ1073" s="11"/>
      <c r="AK1073" s="9"/>
      <c r="AL1073" s="13"/>
      <c r="AM1073" s="9"/>
    </row>
    <row r="1074" spans="1:39" x14ac:dyDescent="0.3">
      <c r="A1074" s="2" t="str">
        <f t="shared" si="1017"/>
        <v>NÃO</v>
      </c>
      <c r="B1074" s="2" t="str">
        <f>_xlfn.XLOOKUP($N1074,'Base de Grupos'!$A:$A,'Base de Grupos'!$D:$D)</f>
        <v>1000065763</v>
      </c>
      <c r="C1074" s="5" t="str">
        <f>_xlfn.XLOOKUP($N1074,'Base de Grupos'!$A:$A,'Base de Grupos'!$E:$E)</f>
        <v>CANAL VENDA INTERNA</v>
      </c>
      <c r="D1074" s="5" t="str">
        <f>_xlfn.XLOOKUP($N1074,'Base de Grupos'!$A:$A,'Base de Grupos'!$F:$F)</f>
        <v>1000065763</v>
      </c>
      <c r="E1074" s="2" t="str">
        <f>_xlfn.XLOOKUP($N1074,'Base de Grupos'!$A:$A,'Base de Grupos'!$G:$G)</f>
        <v>CANAL VENDA INTERNA</v>
      </c>
      <c r="F1074" s="2" t="str">
        <f>_xlfn.XLOOKUP($N1074,'Base de Grupos'!$A:$A,'Base de Grupos'!$H:$H)</f>
        <v>1000174119</v>
      </c>
      <c r="G1074" s="5" t="str">
        <f>_xlfn.XLOOKUP($N1074,'Base de Grupos'!$A:$A,'Base de Grupos'!$I:$I)</f>
        <v>REGIONAL VENDA INTERNA - CONVENIENCIA</v>
      </c>
      <c r="H1074" s="5" t="str">
        <f>_xlfn.XLOOKUP($N1074,'Base de Grupos'!$A:$A,'Base de Grupos'!$J:$J)</f>
        <v>1000174119</v>
      </c>
      <c r="I1074" s="2" t="str">
        <f>_xlfn.XLOOKUP($N1074,'Base de Grupos'!$A:$A,'Base de Grupos'!$K:$K)</f>
        <v>REGIONAL VENDA INTERNA - CONVENIENCIA</v>
      </c>
      <c r="J1074" s="2" t="str">
        <f>_xlfn.XLOOKUP($N1074,'Base de Grupos'!$A:$A,'Base de Grupos'!$L:$L)</f>
        <v>1000174119</v>
      </c>
      <c r="K1074" s="5" t="str">
        <f>_xlfn.XLOOKUP($N1074,'Base de Grupos'!$A:$A,'Base de Grupos'!$M:$M)</f>
        <v>REGIONAL VENDA INTERNA - CONVENIENCIA</v>
      </c>
      <c r="L1074" s="5" t="str">
        <f t="shared" si="1018"/>
        <v/>
      </c>
      <c r="M1074" s="5" t="str">
        <f>_xlfn.XLOOKUP($N1074,'Base de Grupos'!$A:$A,'Base de Grupos'!$C:$C)</f>
        <v>MG</v>
      </c>
      <c r="N1074" s="3">
        <v>1524</v>
      </c>
      <c r="O1074" s="4" t="s">
        <v>283</v>
      </c>
      <c r="P1074" s="5" t="s">
        <v>108</v>
      </c>
      <c r="Q1074" s="56">
        <v>0</v>
      </c>
      <c r="R1074" s="56">
        <v>0</v>
      </c>
      <c r="S1074" s="56">
        <v>0</v>
      </c>
      <c r="T1074" s="56">
        <f>_xlfn.XLOOKUP($N1074,'Calculo Leads Conveniencia'!$A$77:$A$104,'Calculo Leads Conveniencia'!G$77:G$104)*_xlfn.XLOOKUP($P1074,'Base Grupo de Produtos'!$E$23:$E$39,'Base Grupo de Produtos'!$F$23:$F$39)</f>
        <v>0</v>
      </c>
      <c r="U1074" s="56">
        <f>_xlfn.XLOOKUP($N1074,'Calculo Leads Conveniencia'!$A$77:$A$104,'Calculo Leads Conveniencia'!H$77:H$104)*_xlfn.XLOOKUP($P1074,'Base Grupo de Produtos'!$E$23:$E$39,'Base Grupo de Produtos'!$F$23:$F$39)</f>
        <v>0</v>
      </c>
      <c r="V1074" s="56">
        <f>_xlfn.XLOOKUP($N1074,'Calculo Leads Conveniencia'!$A$77:$A$104,'Calculo Leads Conveniencia'!I$77:I$104)*_xlfn.XLOOKUP($P1074,'Base Grupo de Produtos'!$E$23:$E$39,'Base Grupo de Produtos'!$F$23:$F$39)</f>
        <v>0</v>
      </c>
      <c r="W1074" s="56">
        <f>_xlfn.XLOOKUP($N1074,'Calculo Leads Conveniencia'!$A$77:$A$104,'Calculo Leads Conveniencia'!J$77:J$104)*_xlfn.XLOOKUP($P1074,'Base Grupo de Produtos'!$E$23:$E$39,'Base Grupo de Produtos'!$F$23:$F$39)</f>
        <v>0</v>
      </c>
      <c r="X1074" s="56">
        <f>_xlfn.XLOOKUP($N1074,'Calculo Leads Conveniencia'!$A$77:$A$104,'Calculo Leads Conveniencia'!K$77:K$104)*_xlfn.XLOOKUP($P1074,'Base Grupo de Produtos'!$E$23:$E$39,'Base Grupo de Produtos'!$F$23:$F$39)</f>
        <v>0</v>
      </c>
      <c r="Y1074" s="56">
        <f>_xlfn.XLOOKUP($N1074,'Calculo Leads Conveniencia'!$A$77:$A$104,'Calculo Leads Conveniencia'!L$77:L$104)*_xlfn.XLOOKUP($P1074,'Base Grupo de Produtos'!$E$23:$E$39,'Base Grupo de Produtos'!$F$23:$F$39)</f>
        <v>0</v>
      </c>
      <c r="Z1074" s="56">
        <f>_xlfn.XLOOKUP($N1074,'Calculo Leads Conveniencia'!$A$77:$A$104,'Calculo Leads Conveniencia'!M$77:M$104)*_xlfn.XLOOKUP($P1074,'Base Grupo de Produtos'!$E$23:$E$39,'Base Grupo de Produtos'!$F$23:$F$39)</f>
        <v>0</v>
      </c>
      <c r="AA1074" s="56">
        <f>_xlfn.XLOOKUP($N1074,'Calculo Leads Conveniencia'!$A$77:$A$104,'Calculo Leads Conveniencia'!N$77:N$104)*_xlfn.XLOOKUP($P1074,'Base Grupo de Produtos'!$E$23:$E$39,'Base Grupo de Produtos'!$F$23:$F$39)</f>
        <v>0</v>
      </c>
      <c r="AB1074" s="56">
        <f>_xlfn.XLOOKUP($N1074,'Calculo Leads Conveniencia'!$A$77:$A$104,'Calculo Leads Conveniencia'!O$77:O$104)*_xlfn.XLOOKUP($P1074,'Base Grupo de Produtos'!$E$23:$E$39,'Base Grupo de Produtos'!$F$23:$F$39)</f>
        <v>0</v>
      </c>
      <c r="AC1074" s="61">
        <f t="shared" si="1003"/>
        <v>0</v>
      </c>
      <c r="AD1074" s="28"/>
      <c r="AE1074" s="12"/>
      <c r="AF1074" s="29"/>
      <c r="AG1074" s="9"/>
      <c r="AH1074" s="10"/>
      <c r="AI1074" s="9"/>
      <c r="AJ1074" s="11"/>
      <c r="AK1074" s="9"/>
      <c r="AL1074" s="13"/>
      <c r="AM1074" s="9"/>
    </row>
    <row r="1075" spans="1:39" x14ac:dyDescent="0.3">
      <c r="A1075" s="2" t="str">
        <f t="shared" si="1017"/>
        <v>NÃO</v>
      </c>
      <c r="B1075" s="2" t="str">
        <f>_xlfn.XLOOKUP($N1075,'Base de Grupos'!$A:$A,'Base de Grupos'!$D:$D)</f>
        <v>1000065763</v>
      </c>
      <c r="C1075" s="5" t="str">
        <f>_xlfn.XLOOKUP($N1075,'Base de Grupos'!$A:$A,'Base de Grupos'!$E:$E)</f>
        <v>CANAL VENDA INTERNA</v>
      </c>
      <c r="D1075" s="5" t="str">
        <f>_xlfn.XLOOKUP($N1075,'Base de Grupos'!$A:$A,'Base de Grupos'!$F:$F)</f>
        <v>1000065763</v>
      </c>
      <c r="E1075" s="2" t="str">
        <f>_xlfn.XLOOKUP($N1075,'Base de Grupos'!$A:$A,'Base de Grupos'!$G:$G)</f>
        <v>CANAL VENDA INTERNA</v>
      </c>
      <c r="F1075" s="2" t="str">
        <f>_xlfn.XLOOKUP($N1075,'Base de Grupos'!$A:$A,'Base de Grupos'!$H:$H)</f>
        <v>1000174119</v>
      </c>
      <c r="G1075" s="5" t="str">
        <f>_xlfn.XLOOKUP($N1075,'Base de Grupos'!$A:$A,'Base de Grupos'!$I:$I)</f>
        <v>REGIONAL VENDA INTERNA - CONVENIENCIA</v>
      </c>
      <c r="H1075" s="5" t="str">
        <f>_xlfn.XLOOKUP($N1075,'Base de Grupos'!$A:$A,'Base de Grupos'!$J:$J)</f>
        <v>1000174119</v>
      </c>
      <c r="I1075" s="2" t="str">
        <f>_xlfn.XLOOKUP($N1075,'Base de Grupos'!$A:$A,'Base de Grupos'!$K:$K)</f>
        <v>REGIONAL VENDA INTERNA - CONVENIENCIA</v>
      </c>
      <c r="J1075" s="2" t="str">
        <f>_xlfn.XLOOKUP($N1075,'Base de Grupos'!$A:$A,'Base de Grupos'!$L:$L)</f>
        <v>1000174119</v>
      </c>
      <c r="K1075" s="5" t="str">
        <f>_xlfn.XLOOKUP($N1075,'Base de Grupos'!$A:$A,'Base de Grupos'!$M:$M)</f>
        <v>REGIONAL VENDA INTERNA - CONVENIENCIA</v>
      </c>
      <c r="L1075" s="5" t="str">
        <f t="shared" si="1018"/>
        <v/>
      </c>
      <c r="M1075" s="5" t="str">
        <f>_xlfn.XLOOKUP($N1075,'Base de Grupos'!$A:$A,'Base de Grupos'!$C:$C)</f>
        <v>MG</v>
      </c>
      <c r="N1075" s="3">
        <v>1524</v>
      </c>
      <c r="O1075" s="4" t="s">
        <v>283</v>
      </c>
      <c r="P1075" s="5" t="s">
        <v>89</v>
      </c>
      <c r="Q1075" s="56">
        <v>0</v>
      </c>
      <c r="R1075" s="56">
        <v>0</v>
      </c>
      <c r="S1075" s="56">
        <v>0</v>
      </c>
      <c r="T1075" s="56">
        <f>_xlfn.XLOOKUP($N1075,'Calculo Leads Conveniencia'!$A$77:$A$104,'Calculo Leads Conveniencia'!G$77:G$104)*_xlfn.XLOOKUP($P1075,'Base Grupo de Produtos'!$E$23:$E$39,'Base Grupo de Produtos'!$F$23:$F$39)</f>
        <v>240</v>
      </c>
      <c r="U1075" s="56">
        <f>_xlfn.XLOOKUP($N1075,'Calculo Leads Conveniencia'!$A$77:$A$104,'Calculo Leads Conveniencia'!H$77:H$104)*_xlfn.XLOOKUP($P1075,'Base Grupo de Produtos'!$E$23:$E$39,'Base Grupo de Produtos'!$F$23:$F$39)</f>
        <v>240</v>
      </c>
      <c r="V1075" s="56">
        <f>_xlfn.XLOOKUP($N1075,'Calculo Leads Conveniencia'!$A$77:$A$104,'Calculo Leads Conveniencia'!I$77:I$104)*_xlfn.XLOOKUP($P1075,'Base Grupo de Produtos'!$E$23:$E$39,'Base Grupo de Produtos'!$F$23:$F$39)</f>
        <v>320</v>
      </c>
      <c r="W1075" s="56">
        <f>_xlfn.XLOOKUP($N1075,'Calculo Leads Conveniencia'!$A$77:$A$104,'Calculo Leads Conveniencia'!J$77:J$104)*_xlfn.XLOOKUP($P1075,'Base Grupo de Produtos'!$E$23:$E$39,'Base Grupo de Produtos'!$F$23:$F$39)</f>
        <v>400</v>
      </c>
      <c r="X1075" s="56">
        <f>_xlfn.XLOOKUP($N1075,'Calculo Leads Conveniencia'!$A$77:$A$104,'Calculo Leads Conveniencia'!K$77:K$104)*_xlfn.XLOOKUP($P1075,'Base Grupo de Produtos'!$E$23:$E$39,'Base Grupo de Produtos'!$F$23:$F$39)</f>
        <v>480</v>
      </c>
      <c r="Y1075" s="56">
        <f>_xlfn.XLOOKUP($N1075,'Calculo Leads Conveniencia'!$A$77:$A$104,'Calculo Leads Conveniencia'!L$77:L$104)*_xlfn.XLOOKUP($P1075,'Base Grupo de Produtos'!$E$23:$E$39,'Base Grupo de Produtos'!$F$23:$F$39)</f>
        <v>560</v>
      </c>
      <c r="Z1075" s="56">
        <f>_xlfn.XLOOKUP($N1075,'Calculo Leads Conveniencia'!$A$77:$A$104,'Calculo Leads Conveniencia'!M$77:M$104)*_xlfn.XLOOKUP($P1075,'Base Grupo de Produtos'!$E$23:$E$39,'Base Grupo de Produtos'!$F$23:$F$39)</f>
        <v>640</v>
      </c>
      <c r="AA1075" s="56">
        <f>_xlfn.XLOOKUP($N1075,'Calculo Leads Conveniencia'!$A$77:$A$104,'Calculo Leads Conveniencia'!N$77:N$104)*_xlfn.XLOOKUP($P1075,'Base Grupo de Produtos'!$E$23:$E$39,'Base Grupo de Produtos'!$F$23:$F$39)</f>
        <v>720</v>
      </c>
      <c r="AB1075" s="56">
        <f>_xlfn.XLOOKUP($N1075,'Calculo Leads Conveniencia'!$A$77:$A$104,'Calculo Leads Conveniencia'!O$77:O$104)*_xlfn.XLOOKUP($P1075,'Base Grupo de Produtos'!$E$23:$E$39,'Base Grupo de Produtos'!$F$23:$F$39)</f>
        <v>720</v>
      </c>
      <c r="AC1075" s="61">
        <f t="shared" si="1003"/>
        <v>4320</v>
      </c>
      <c r="AD1075" s="28"/>
      <c r="AE1075" s="12"/>
      <c r="AF1075" s="29"/>
      <c r="AG1075" s="9"/>
      <c r="AH1075" s="10"/>
      <c r="AI1075" s="9"/>
      <c r="AJ1075" s="11"/>
      <c r="AK1075" s="9"/>
      <c r="AL1075" s="13"/>
      <c r="AM1075" s="9"/>
    </row>
    <row r="1076" spans="1:39" x14ac:dyDescent="0.3">
      <c r="A1076" s="2" t="str">
        <f t="shared" si="1017"/>
        <v>NÃO</v>
      </c>
      <c r="B1076" s="2" t="str">
        <f>_xlfn.XLOOKUP($N1076,'Base de Grupos'!$A:$A,'Base de Grupos'!$D:$D)</f>
        <v>1000065763</v>
      </c>
      <c r="C1076" s="5" t="str">
        <f>_xlfn.XLOOKUP($N1076,'Base de Grupos'!$A:$A,'Base de Grupos'!$E:$E)</f>
        <v>CANAL VENDA INTERNA</v>
      </c>
      <c r="D1076" s="5" t="str">
        <f>_xlfn.XLOOKUP($N1076,'Base de Grupos'!$A:$A,'Base de Grupos'!$F:$F)</f>
        <v>1000065763</v>
      </c>
      <c r="E1076" s="2" t="str">
        <f>_xlfn.XLOOKUP($N1076,'Base de Grupos'!$A:$A,'Base de Grupos'!$G:$G)</f>
        <v>CANAL VENDA INTERNA</v>
      </c>
      <c r="F1076" s="2" t="str">
        <f>_xlfn.XLOOKUP($N1076,'Base de Grupos'!$A:$A,'Base de Grupos'!$H:$H)</f>
        <v>1000174119</v>
      </c>
      <c r="G1076" s="5" t="str">
        <f>_xlfn.XLOOKUP($N1076,'Base de Grupos'!$A:$A,'Base de Grupos'!$I:$I)</f>
        <v>REGIONAL VENDA INTERNA - CONVENIENCIA</v>
      </c>
      <c r="H1076" s="5" t="str">
        <f>_xlfn.XLOOKUP($N1076,'Base de Grupos'!$A:$A,'Base de Grupos'!$J:$J)</f>
        <v>1000174119</v>
      </c>
      <c r="I1076" s="2" t="str">
        <f>_xlfn.XLOOKUP($N1076,'Base de Grupos'!$A:$A,'Base de Grupos'!$K:$K)</f>
        <v>REGIONAL VENDA INTERNA - CONVENIENCIA</v>
      </c>
      <c r="J1076" s="2" t="str">
        <f>_xlfn.XLOOKUP($N1076,'Base de Grupos'!$A:$A,'Base de Grupos'!$L:$L)</f>
        <v>1000174119</v>
      </c>
      <c r="K1076" s="5" t="str">
        <f>_xlfn.XLOOKUP($N1076,'Base de Grupos'!$A:$A,'Base de Grupos'!$M:$M)</f>
        <v>REGIONAL VENDA INTERNA - CONVENIENCIA</v>
      </c>
      <c r="L1076" s="5" t="str">
        <f t="shared" si="1018"/>
        <v/>
      </c>
      <c r="M1076" s="5" t="str">
        <f>_xlfn.XLOOKUP($N1076,'Base de Grupos'!$A:$A,'Base de Grupos'!$C:$C)</f>
        <v>MG</v>
      </c>
      <c r="N1076" s="3">
        <v>1524</v>
      </c>
      <c r="O1076" s="4" t="s">
        <v>283</v>
      </c>
      <c r="P1076" s="5" t="s">
        <v>88</v>
      </c>
      <c r="Q1076" s="56">
        <v>0</v>
      </c>
      <c r="R1076" s="56">
        <v>0</v>
      </c>
      <c r="S1076" s="56">
        <v>0</v>
      </c>
      <c r="T1076" s="56">
        <f>_xlfn.XLOOKUP($N1076,'Calculo Leads Conveniencia'!$A$77:$A$104,'Calculo Leads Conveniencia'!G$77:G$104)*_xlfn.XLOOKUP($P1076,'Base Grupo de Produtos'!$E$23:$E$39,'Base Grupo de Produtos'!$F$23:$F$39)</f>
        <v>24</v>
      </c>
      <c r="U1076" s="56">
        <f>_xlfn.XLOOKUP($N1076,'Calculo Leads Conveniencia'!$A$77:$A$104,'Calculo Leads Conveniencia'!H$77:H$104)*_xlfn.XLOOKUP($P1076,'Base Grupo de Produtos'!$E$23:$E$39,'Base Grupo de Produtos'!$F$23:$F$39)</f>
        <v>24</v>
      </c>
      <c r="V1076" s="56">
        <f>_xlfn.XLOOKUP($N1076,'Calculo Leads Conveniencia'!$A$77:$A$104,'Calculo Leads Conveniencia'!I$77:I$104)*_xlfn.XLOOKUP($P1076,'Base Grupo de Produtos'!$E$23:$E$39,'Base Grupo de Produtos'!$F$23:$F$39)</f>
        <v>32</v>
      </c>
      <c r="W1076" s="56">
        <f>_xlfn.XLOOKUP($N1076,'Calculo Leads Conveniencia'!$A$77:$A$104,'Calculo Leads Conveniencia'!J$77:J$104)*_xlfn.XLOOKUP($P1076,'Base Grupo de Produtos'!$E$23:$E$39,'Base Grupo de Produtos'!$F$23:$F$39)</f>
        <v>40</v>
      </c>
      <c r="X1076" s="56">
        <f>_xlfn.XLOOKUP($N1076,'Calculo Leads Conveniencia'!$A$77:$A$104,'Calculo Leads Conveniencia'!K$77:K$104)*_xlfn.XLOOKUP($P1076,'Base Grupo de Produtos'!$E$23:$E$39,'Base Grupo de Produtos'!$F$23:$F$39)</f>
        <v>48</v>
      </c>
      <c r="Y1076" s="56">
        <f>_xlfn.XLOOKUP($N1076,'Calculo Leads Conveniencia'!$A$77:$A$104,'Calculo Leads Conveniencia'!L$77:L$104)*_xlfn.XLOOKUP($P1076,'Base Grupo de Produtos'!$E$23:$E$39,'Base Grupo de Produtos'!$F$23:$F$39)</f>
        <v>56</v>
      </c>
      <c r="Z1076" s="56">
        <f>_xlfn.XLOOKUP($N1076,'Calculo Leads Conveniencia'!$A$77:$A$104,'Calculo Leads Conveniencia'!M$77:M$104)*_xlfn.XLOOKUP($P1076,'Base Grupo de Produtos'!$E$23:$E$39,'Base Grupo de Produtos'!$F$23:$F$39)</f>
        <v>64</v>
      </c>
      <c r="AA1076" s="56">
        <f>_xlfn.XLOOKUP($N1076,'Calculo Leads Conveniencia'!$A$77:$A$104,'Calculo Leads Conveniencia'!N$77:N$104)*_xlfn.XLOOKUP($P1076,'Base Grupo de Produtos'!$E$23:$E$39,'Base Grupo de Produtos'!$F$23:$F$39)</f>
        <v>72</v>
      </c>
      <c r="AB1076" s="56">
        <f>_xlfn.XLOOKUP($N1076,'Calculo Leads Conveniencia'!$A$77:$A$104,'Calculo Leads Conveniencia'!O$77:O$104)*_xlfn.XLOOKUP($P1076,'Base Grupo de Produtos'!$E$23:$E$39,'Base Grupo de Produtos'!$F$23:$F$39)</f>
        <v>72</v>
      </c>
      <c r="AC1076" s="61">
        <f t="shared" si="1003"/>
        <v>432</v>
      </c>
      <c r="AD1076" s="28"/>
      <c r="AE1076" s="12"/>
      <c r="AF1076" s="29"/>
      <c r="AG1076" s="9"/>
      <c r="AH1076" s="10"/>
      <c r="AI1076" s="9"/>
      <c r="AJ1076" s="11"/>
      <c r="AK1076" s="9"/>
      <c r="AL1076" s="13"/>
      <c r="AM1076" s="9"/>
    </row>
    <row r="1077" spans="1:39" x14ac:dyDescent="0.3">
      <c r="A1077" s="2" t="str">
        <f t="shared" si="1017"/>
        <v>NÃO</v>
      </c>
      <c r="B1077" s="2" t="str">
        <f>_xlfn.XLOOKUP($N1077,'Base de Grupos'!$A:$A,'Base de Grupos'!$D:$D)</f>
        <v>1000065763</v>
      </c>
      <c r="C1077" s="5" t="str">
        <f>_xlfn.XLOOKUP($N1077,'Base de Grupos'!$A:$A,'Base de Grupos'!$E:$E)</f>
        <v>CANAL VENDA INTERNA</v>
      </c>
      <c r="D1077" s="5" t="str">
        <f>_xlfn.XLOOKUP($N1077,'Base de Grupos'!$A:$A,'Base de Grupos'!$F:$F)</f>
        <v>1000065763</v>
      </c>
      <c r="E1077" s="2" t="str">
        <f>_xlfn.XLOOKUP($N1077,'Base de Grupos'!$A:$A,'Base de Grupos'!$G:$G)</f>
        <v>CANAL VENDA INTERNA</v>
      </c>
      <c r="F1077" s="2" t="str">
        <f>_xlfn.XLOOKUP($N1077,'Base de Grupos'!$A:$A,'Base de Grupos'!$H:$H)</f>
        <v>1000174119</v>
      </c>
      <c r="G1077" s="5" t="str">
        <f>_xlfn.XLOOKUP($N1077,'Base de Grupos'!$A:$A,'Base de Grupos'!$I:$I)</f>
        <v>REGIONAL VENDA INTERNA - CONVENIENCIA</v>
      </c>
      <c r="H1077" s="5" t="str">
        <f>_xlfn.XLOOKUP($N1077,'Base de Grupos'!$A:$A,'Base de Grupos'!$J:$J)</f>
        <v>1000174119</v>
      </c>
      <c r="I1077" s="2" t="str">
        <f>_xlfn.XLOOKUP($N1077,'Base de Grupos'!$A:$A,'Base de Grupos'!$K:$K)</f>
        <v>REGIONAL VENDA INTERNA - CONVENIENCIA</v>
      </c>
      <c r="J1077" s="2" t="str">
        <f>_xlfn.XLOOKUP($N1077,'Base de Grupos'!$A:$A,'Base de Grupos'!$L:$L)</f>
        <v>1000174119</v>
      </c>
      <c r="K1077" s="5" t="str">
        <f>_xlfn.XLOOKUP($N1077,'Base de Grupos'!$A:$A,'Base de Grupos'!$M:$M)</f>
        <v>REGIONAL VENDA INTERNA - CONVENIENCIA</v>
      </c>
      <c r="L1077" s="5" t="str">
        <f t="shared" si="1018"/>
        <v/>
      </c>
      <c r="M1077" s="5" t="str">
        <f>_xlfn.XLOOKUP($N1077,'Base de Grupos'!$A:$A,'Base de Grupos'!$C:$C)</f>
        <v>MG</v>
      </c>
      <c r="N1077" s="3">
        <v>1524</v>
      </c>
      <c r="O1077" s="4" t="s">
        <v>283</v>
      </c>
      <c r="P1077" s="5" t="s">
        <v>90</v>
      </c>
      <c r="Q1077" s="56">
        <v>0</v>
      </c>
      <c r="R1077" s="56">
        <v>0</v>
      </c>
      <c r="S1077" s="56">
        <v>0</v>
      </c>
      <c r="T1077" s="56">
        <f>_xlfn.XLOOKUP($N1077,'Calculo Leads Conveniencia'!$A$77:$A$104,'Calculo Leads Conveniencia'!G$77:G$104)*_xlfn.XLOOKUP($P1077,'Base Grupo de Produtos'!$E$23:$E$39,'Base Grupo de Produtos'!$F$23:$F$39)</f>
        <v>24</v>
      </c>
      <c r="U1077" s="56">
        <f>_xlfn.XLOOKUP($N1077,'Calculo Leads Conveniencia'!$A$77:$A$104,'Calculo Leads Conveniencia'!H$77:H$104)*_xlfn.XLOOKUP($P1077,'Base Grupo de Produtos'!$E$23:$E$39,'Base Grupo de Produtos'!$F$23:$F$39)</f>
        <v>24</v>
      </c>
      <c r="V1077" s="56">
        <f>_xlfn.XLOOKUP($N1077,'Calculo Leads Conveniencia'!$A$77:$A$104,'Calculo Leads Conveniencia'!I$77:I$104)*_xlfn.XLOOKUP($P1077,'Base Grupo de Produtos'!$E$23:$E$39,'Base Grupo de Produtos'!$F$23:$F$39)</f>
        <v>32</v>
      </c>
      <c r="W1077" s="56">
        <f>_xlfn.XLOOKUP($N1077,'Calculo Leads Conveniencia'!$A$77:$A$104,'Calculo Leads Conveniencia'!J$77:J$104)*_xlfn.XLOOKUP($P1077,'Base Grupo de Produtos'!$E$23:$E$39,'Base Grupo de Produtos'!$F$23:$F$39)</f>
        <v>40</v>
      </c>
      <c r="X1077" s="56">
        <f>_xlfn.XLOOKUP($N1077,'Calculo Leads Conveniencia'!$A$77:$A$104,'Calculo Leads Conveniencia'!K$77:K$104)*_xlfn.XLOOKUP($P1077,'Base Grupo de Produtos'!$E$23:$E$39,'Base Grupo de Produtos'!$F$23:$F$39)</f>
        <v>48</v>
      </c>
      <c r="Y1077" s="56">
        <f>_xlfn.XLOOKUP($N1077,'Calculo Leads Conveniencia'!$A$77:$A$104,'Calculo Leads Conveniencia'!L$77:L$104)*_xlfn.XLOOKUP($P1077,'Base Grupo de Produtos'!$E$23:$E$39,'Base Grupo de Produtos'!$F$23:$F$39)</f>
        <v>56</v>
      </c>
      <c r="Z1077" s="56">
        <f>_xlfn.XLOOKUP($N1077,'Calculo Leads Conveniencia'!$A$77:$A$104,'Calculo Leads Conveniencia'!M$77:M$104)*_xlfn.XLOOKUP($P1077,'Base Grupo de Produtos'!$E$23:$E$39,'Base Grupo de Produtos'!$F$23:$F$39)</f>
        <v>64</v>
      </c>
      <c r="AA1077" s="56">
        <f>_xlfn.XLOOKUP($N1077,'Calculo Leads Conveniencia'!$A$77:$A$104,'Calculo Leads Conveniencia'!N$77:N$104)*_xlfn.XLOOKUP($P1077,'Base Grupo de Produtos'!$E$23:$E$39,'Base Grupo de Produtos'!$F$23:$F$39)</f>
        <v>72</v>
      </c>
      <c r="AB1077" s="56">
        <f>_xlfn.XLOOKUP($N1077,'Calculo Leads Conveniencia'!$A$77:$A$104,'Calculo Leads Conveniencia'!O$77:O$104)*_xlfn.XLOOKUP($P1077,'Base Grupo de Produtos'!$E$23:$E$39,'Base Grupo de Produtos'!$F$23:$F$39)</f>
        <v>72</v>
      </c>
      <c r="AC1077" s="61">
        <f t="shared" si="1003"/>
        <v>432</v>
      </c>
      <c r="AD1077" s="28"/>
      <c r="AE1077" s="12"/>
      <c r="AF1077" s="29"/>
      <c r="AG1077" s="9"/>
      <c r="AH1077" s="10"/>
      <c r="AI1077" s="9"/>
      <c r="AJ1077" s="11"/>
      <c r="AK1077" s="9"/>
      <c r="AL1077" s="13"/>
      <c r="AM1077" s="9"/>
    </row>
    <row r="1078" spans="1:39" x14ac:dyDescent="0.3">
      <c r="A1078" s="2" t="str">
        <f t="shared" si="1017"/>
        <v>NÃO</v>
      </c>
      <c r="B1078" s="2" t="str">
        <f>_xlfn.XLOOKUP($N1078,'Base de Grupos'!$A:$A,'Base de Grupos'!$D:$D)</f>
        <v>1000065763</v>
      </c>
      <c r="C1078" s="5" t="str">
        <f>_xlfn.XLOOKUP($N1078,'Base de Grupos'!$A:$A,'Base de Grupos'!$E:$E)</f>
        <v>CANAL VENDA INTERNA</v>
      </c>
      <c r="D1078" s="5" t="str">
        <f>_xlfn.XLOOKUP($N1078,'Base de Grupos'!$A:$A,'Base de Grupos'!$F:$F)</f>
        <v>1000065763</v>
      </c>
      <c r="E1078" s="2" t="str">
        <f>_xlfn.XLOOKUP($N1078,'Base de Grupos'!$A:$A,'Base de Grupos'!$G:$G)</f>
        <v>CANAL VENDA INTERNA</v>
      </c>
      <c r="F1078" s="2" t="str">
        <f>_xlfn.XLOOKUP($N1078,'Base de Grupos'!$A:$A,'Base de Grupos'!$H:$H)</f>
        <v>1000174119</v>
      </c>
      <c r="G1078" s="5" t="str">
        <f>_xlfn.XLOOKUP($N1078,'Base de Grupos'!$A:$A,'Base de Grupos'!$I:$I)</f>
        <v>REGIONAL VENDA INTERNA - CONVENIENCIA</v>
      </c>
      <c r="H1078" s="5" t="str">
        <f>_xlfn.XLOOKUP($N1078,'Base de Grupos'!$A:$A,'Base de Grupos'!$J:$J)</f>
        <v>1000174119</v>
      </c>
      <c r="I1078" s="2" t="str">
        <f>_xlfn.XLOOKUP($N1078,'Base de Grupos'!$A:$A,'Base de Grupos'!$K:$K)</f>
        <v>REGIONAL VENDA INTERNA - CONVENIENCIA</v>
      </c>
      <c r="J1078" s="2" t="str">
        <f>_xlfn.XLOOKUP($N1078,'Base de Grupos'!$A:$A,'Base de Grupos'!$L:$L)</f>
        <v>1000174119</v>
      </c>
      <c r="K1078" s="5" t="str">
        <f>_xlfn.XLOOKUP($N1078,'Base de Grupos'!$A:$A,'Base de Grupos'!$M:$M)</f>
        <v>REGIONAL VENDA INTERNA - CONVENIENCIA</v>
      </c>
      <c r="L1078" s="5" t="str">
        <f t="shared" si="1018"/>
        <v/>
      </c>
      <c r="M1078" s="5" t="str">
        <f>_xlfn.XLOOKUP($N1078,'Base de Grupos'!$A:$A,'Base de Grupos'!$C:$C)</f>
        <v>MG</v>
      </c>
      <c r="N1078" s="3">
        <v>1524</v>
      </c>
      <c r="O1078" s="4" t="s">
        <v>283</v>
      </c>
      <c r="P1078" s="5" t="s">
        <v>91</v>
      </c>
      <c r="Q1078" s="56">
        <v>0</v>
      </c>
      <c r="R1078" s="56">
        <v>0</v>
      </c>
      <c r="S1078" s="56">
        <v>0</v>
      </c>
      <c r="T1078" s="56">
        <f>_xlfn.XLOOKUP($N1078,'Calculo Leads Conveniencia'!$A$77:$A$104,'Calculo Leads Conveniencia'!G$77:G$104)*_xlfn.XLOOKUP($P1078,'Base Grupo de Produtos'!$E$23:$E$39,'Base Grupo de Produtos'!$F$23:$F$39)</f>
        <v>0</v>
      </c>
      <c r="U1078" s="56">
        <f>_xlfn.XLOOKUP($N1078,'Calculo Leads Conveniencia'!$A$77:$A$104,'Calculo Leads Conveniencia'!H$77:H$104)*_xlfn.XLOOKUP($P1078,'Base Grupo de Produtos'!$E$23:$E$39,'Base Grupo de Produtos'!$F$23:$F$39)</f>
        <v>0</v>
      </c>
      <c r="V1078" s="56">
        <f>_xlfn.XLOOKUP($N1078,'Calculo Leads Conveniencia'!$A$77:$A$104,'Calculo Leads Conveniencia'!I$77:I$104)*_xlfn.XLOOKUP($P1078,'Base Grupo de Produtos'!$E$23:$E$39,'Base Grupo de Produtos'!$F$23:$F$39)</f>
        <v>0</v>
      </c>
      <c r="W1078" s="56">
        <f>_xlfn.XLOOKUP($N1078,'Calculo Leads Conveniencia'!$A$77:$A$104,'Calculo Leads Conveniencia'!J$77:J$104)*_xlfn.XLOOKUP($P1078,'Base Grupo de Produtos'!$E$23:$E$39,'Base Grupo de Produtos'!$F$23:$F$39)</f>
        <v>0</v>
      </c>
      <c r="X1078" s="56">
        <f>_xlfn.XLOOKUP($N1078,'Calculo Leads Conveniencia'!$A$77:$A$104,'Calculo Leads Conveniencia'!K$77:K$104)*_xlfn.XLOOKUP($P1078,'Base Grupo de Produtos'!$E$23:$E$39,'Base Grupo de Produtos'!$F$23:$F$39)</f>
        <v>0</v>
      </c>
      <c r="Y1078" s="56">
        <f>_xlfn.XLOOKUP($N1078,'Calculo Leads Conveniencia'!$A$77:$A$104,'Calculo Leads Conveniencia'!L$77:L$104)*_xlfn.XLOOKUP($P1078,'Base Grupo de Produtos'!$E$23:$E$39,'Base Grupo de Produtos'!$F$23:$F$39)</f>
        <v>0</v>
      </c>
      <c r="Z1078" s="56">
        <f>_xlfn.XLOOKUP($N1078,'Calculo Leads Conveniencia'!$A$77:$A$104,'Calculo Leads Conveniencia'!M$77:M$104)*_xlfn.XLOOKUP($P1078,'Base Grupo de Produtos'!$E$23:$E$39,'Base Grupo de Produtos'!$F$23:$F$39)</f>
        <v>0</v>
      </c>
      <c r="AA1078" s="56">
        <f>_xlfn.XLOOKUP($N1078,'Calculo Leads Conveniencia'!$A$77:$A$104,'Calculo Leads Conveniencia'!N$77:N$104)*_xlfn.XLOOKUP($P1078,'Base Grupo de Produtos'!$E$23:$E$39,'Base Grupo de Produtos'!$F$23:$F$39)</f>
        <v>0</v>
      </c>
      <c r="AB1078" s="56">
        <f>_xlfn.XLOOKUP($N1078,'Calculo Leads Conveniencia'!$A$77:$A$104,'Calculo Leads Conveniencia'!O$77:O$104)*_xlfn.XLOOKUP($P1078,'Base Grupo de Produtos'!$E$23:$E$39,'Base Grupo de Produtos'!$F$23:$F$39)</f>
        <v>0</v>
      </c>
      <c r="AC1078" s="61">
        <f t="shared" si="1003"/>
        <v>0</v>
      </c>
      <c r="AD1078" s="28"/>
      <c r="AE1078" s="12"/>
      <c r="AF1078" s="29"/>
      <c r="AG1078" s="9"/>
      <c r="AH1078" s="10"/>
      <c r="AI1078" s="9"/>
      <c r="AJ1078" s="11"/>
      <c r="AK1078" s="9"/>
      <c r="AL1078" s="13"/>
      <c r="AM1078" s="9"/>
    </row>
    <row r="1079" spans="1:39" x14ac:dyDescent="0.3">
      <c r="A1079" s="2" t="str">
        <f t="shared" si="1017"/>
        <v>NÃO</v>
      </c>
      <c r="B1079" s="2" t="str">
        <f>_xlfn.XLOOKUP($N1079,'Base de Grupos'!$A:$A,'Base de Grupos'!$D:$D)</f>
        <v>1000065763</v>
      </c>
      <c r="C1079" s="5" t="str">
        <f>_xlfn.XLOOKUP($N1079,'Base de Grupos'!$A:$A,'Base de Grupos'!$E:$E)</f>
        <v>CANAL VENDA INTERNA</v>
      </c>
      <c r="D1079" s="5" t="str">
        <f>_xlfn.XLOOKUP($N1079,'Base de Grupos'!$A:$A,'Base de Grupos'!$F:$F)</f>
        <v>1000065763</v>
      </c>
      <c r="E1079" s="2" t="str">
        <f>_xlfn.XLOOKUP($N1079,'Base de Grupos'!$A:$A,'Base de Grupos'!$G:$G)</f>
        <v>CANAL VENDA INTERNA</v>
      </c>
      <c r="F1079" s="2" t="str">
        <f>_xlfn.XLOOKUP($N1079,'Base de Grupos'!$A:$A,'Base de Grupos'!$H:$H)</f>
        <v>1000174119</v>
      </c>
      <c r="G1079" s="5" t="str">
        <f>_xlfn.XLOOKUP($N1079,'Base de Grupos'!$A:$A,'Base de Grupos'!$I:$I)</f>
        <v>REGIONAL VENDA INTERNA - CONVENIENCIA</v>
      </c>
      <c r="H1079" s="5" t="str">
        <f>_xlfn.XLOOKUP($N1079,'Base de Grupos'!$A:$A,'Base de Grupos'!$J:$J)</f>
        <v>1000174119</v>
      </c>
      <c r="I1079" s="2" t="str">
        <f>_xlfn.XLOOKUP($N1079,'Base de Grupos'!$A:$A,'Base de Grupos'!$K:$K)</f>
        <v>REGIONAL VENDA INTERNA - CONVENIENCIA</v>
      </c>
      <c r="J1079" s="2" t="str">
        <f>_xlfn.XLOOKUP($N1079,'Base de Grupos'!$A:$A,'Base de Grupos'!$L:$L)</f>
        <v>1000174119</v>
      </c>
      <c r="K1079" s="5" t="str">
        <f>_xlfn.XLOOKUP($N1079,'Base de Grupos'!$A:$A,'Base de Grupos'!$M:$M)</f>
        <v>REGIONAL VENDA INTERNA - CONVENIENCIA</v>
      </c>
      <c r="L1079" s="5" t="str">
        <f t="shared" si="1018"/>
        <v/>
      </c>
      <c r="M1079" s="5" t="str">
        <f>_xlfn.XLOOKUP($N1079,'Base de Grupos'!$A:$A,'Base de Grupos'!$C:$C)</f>
        <v>MG</v>
      </c>
      <c r="N1079" s="3">
        <v>1524</v>
      </c>
      <c r="O1079" s="4" t="s">
        <v>283</v>
      </c>
      <c r="P1079" s="5" t="s">
        <v>96</v>
      </c>
      <c r="Q1079" s="56">
        <v>0</v>
      </c>
      <c r="R1079" s="56">
        <v>0</v>
      </c>
      <c r="S1079" s="56">
        <v>0</v>
      </c>
      <c r="T1079" s="56">
        <f>_xlfn.XLOOKUP($N1079,'Calculo Leads Conveniencia'!$A$77:$A$104,'Calculo Leads Conveniencia'!G$77:G$104)*_xlfn.XLOOKUP($P1079,'Base Grupo de Produtos'!$E$23:$E$39,'Base Grupo de Produtos'!$F$23:$F$39)</f>
        <v>24</v>
      </c>
      <c r="U1079" s="56">
        <f>_xlfn.XLOOKUP($N1079,'Calculo Leads Conveniencia'!$A$77:$A$104,'Calculo Leads Conveniencia'!H$77:H$104)*_xlfn.XLOOKUP($P1079,'Base Grupo de Produtos'!$E$23:$E$39,'Base Grupo de Produtos'!$F$23:$F$39)</f>
        <v>24</v>
      </c>
      <c r="V1079" s="56">
        <f>_xlfn.XLOOKUP($N1079,'Calculo Leads Conveniencia'!$A$77:$A$104,'Calculo Leads Conveniencia'!I$77:I$104)*_xlfn.XLOOKUP($P1079,'Base Grupo de Produtos'!$E$23:$E$39,'Base Grupo de Produtos'!$F$23:$F$39)</f>
        <v>32</v>
      </c>
      <c r="W1079" s="56">
        <f>_xlfn.XLOOKUP($N1079,'Calculo Leads Conveniencia'!$A$77:$A$104,'Calculo Leads Conveniencia'!J$77:J$104)*_xlfn.XLOOKUP($P1079,'Base Grupo de Produtos'!$E$23:$E$39,'Base Grupo de Produtos'!$F$23:$F$39)</f>
        <v>40</v>
      </c>
      <c r="X1079" s="56">
        <f>_xlfn.XLOOKUP($N1079,'Calculo Leads Conveniencia'!$A$77:$A$104,'Calculo Leads Conveniencia'!K$77:K$104)*_xlfn.XLOOKUP($P1079,'Base Grupo de Produtos'!$E$23:$E$39,'Base Grupo de Produtos'!$F$23:$F$39)</f>
        <v>48</v>
      </c>
      <c r="Y1079" s="56">
        <f>_xlfn.XLOOKUP($N1079,'Calculo Leads Conveniencia'!$A$77:$A$104,'Calculo Leads Conveniencia'!L$77:L$104)*_xlfn.XLOOKUP($P1079,'Base Grupo de Produtos'!$E$23:$E$39,'Base Grupo de Produtos'!$F$23:$F$39)</f>
        <v>56</v>
      </c>
      <c r="Z1079" s="56">
        <f>_xlfn.XLOOKUP($N1079,'Calculo Leads Conveniencia'!$A$77:$A$104,'Calculo Leads Conveniencia'!M$77:M$104)*_xlfn.XLOOKUP($P1079,'Base Grupo de Produtos'!$E$23:$E$39,'Base Grupo de Produtos'!$F$23:$F$39)</f>
        <v>64</v>
      </c>
      <c r="AA1079" s="56">
        <f>_xlfn.XLOOKUP($N1079,'Calculo Leads Conveniencia'!$A$77:$A$104,'Calculo Leads Conveniencia'!N$77:N$104)*_xlfn.XLOOKUP($P1079,'Base Grupo de Produtos'!$E$23:$E$39,'Base Grupo de Produtos'!$F$23:$F$39)</f>
        <v>72</v>
      </c>
      <c r="AB1079" s="56">
        <f>_xlfn.XLOOKUP($N1079,'Calculo Leads Conveniencia'!$A$77:$A$104,'Calculo Leads Conveniencia'!O$77:O$104)*_xlfn.XLOOKUP($P1079,'Base Grupo de Produtos'!$E$23:$E$39,'Base Grupo de Produtos'!$F$23:$F$39)</f>
        <v>72</v>
      </c>
      <c r="AC1079" s="61">
        <f t="shared" si="1003"/>
        <v>432</v>
      </c>
      <c r="AD1079" s="28"/>
      <c r="AE1079" s="12"/>
      <c r="AF1079" s="29"/>
      <c r="AG1079" s="9"/>
      <c r="AH1079" s="10"/>
      <c r="AI1079" s="9"/>
      <c r="AJ1079" s="11"/>
      <c r="AK1079" s="9"/>
      <c r="AL1079" s="13"/>
      <c r="AM1079" s="9"/>
    </row>
    <row r="1080" spans="1:39" x14ac:dyDescent="0.3">
      <c r="A1080" s="2" t="str">
        <f t="shared" si="1017"/>
        <v>NÃO</v>
      </c>
      <c r="B1080" s="2" t="str">
        <f>_xlfn.XLOOKUP($N1080,'Base de Grupos'!$A:$A,'Base de Grupos'!$D:$D)</f>
        <v>1000065763</v>
      </c>
      <c r="C1080" s="5" t="str">
        <f>_xlfn.XLOOKUP($N1080,'Base de Grupos'!$A:$A,'Base de Grupos'!$E:$E)</f>
        <v>CANAL VENDA INTERNA</v>
      </c>
      <c r="D1080" s="5" t="str">
        <f>_xlfn.XLOOKUP($N1080,'Base de Grupos'!$A:$A,'Base de Grupos'!$F:$F)</f>
        <v>1000065763</v>
      </c>
      <c r="E1080" s="2" t="str">
        <f>_xlfn.XLOOKUP($N1080,'Base de Grupos'!$A:$A,'Base de Grupos'!$G:$G)</f>
        <v>CANAL VENDA INTERNA</v>
      </c>
      <c r="F1080" s="2" t="str">
        <f>_xlfn.XLOOKUP($N1080,'Base de Grupos'!$A:$A,'Base de Grupos'!$H:$H)</f>
        <v>1000174119</v>
      </c>
      <c r="G1080" s="5" t="str">
        <f>_xlfn.XLOOKUP($N1080,'Base de Grupos'!$A:$A,'Base de Grupos'!$I:$I)</f>
        <v>REGIONAL VENDA INTERNA - CONVENIENCIA</v>
      </c>
      <c r="H1080" s="5" t="str">
        <f>_xlfn.XLOOKUP($N1080,'Base de Grupos'!$A:$A,'Base de Grupos'!$J:$J)</f>
        <v>1000174119</v>
      </c>
      <c r="I1080" s="2" t="str">
        <f>_xlfn.XLOOKUP($N1080,'Base de Grupos'!$A:$A,'Base de Grupos'!$K:$K)</f>
        <v>REGIONAL VENDA INTERNA - CONVENIENCIA</v>
      </c>
      <c r="J1080" s="2" t="str">
        <f>_xlfn.XLOOKUP($N1080,'Base de Grupos'!$A:$A,'Base de Grupos'!$L:$L)</f>
        <v>1000174119</v>
      </c>
      <c r="K1080" s="5" t="str">
        <f>_xlfn.XLOOKUP($N1080,'Base de Grupos'!$A:$A,'Base de Grupos'!$M:$M)</f>
        <v>REGIONAL VENDA INTERNA - CONVENIENCIA</v>
      </c>
      <c r="L1080" s="5" t="str">
        <f t="shared" si="1018"/>
        <v/>
      </c>
      <c r="M1080" s="5" t="str">
        <f>_xlfn.XLOOKUP($N1080,'Base de Grupos'!$A:$A,'Base de Grupos'!$C:$C)</f>
        <v>MG</v>
      </c>
      <c r="N1080" s="3">
        <v>1524</v>
      </c>
      <c r="O1080" s="4" t="s">
        <v>283</v>
      </c>
      <c r="P1080" s="5" t="s">
        <v>94</v>
      </c>
      <c r="Q1080" s="56">
        <v>0</v>
      </c>
      <c r="R1080" s="56">
        <v>0</v>
      </c>
      <c r="S1080" s="56">
        <v>0</v>
      </c>
      <c r="T1080" s="56">
        <f>_xlfn.XLOOKUP($N1080,'Calculo Leads Conveniencia'!$A$77:$A$104,'Calculo Leads Conveniencia'!G$77:G$104)*_xlfn.XLOOKUP($P1080,'Base Grupo de Produtos'!$E$23:$E$39,'Base Grupo de Produtos'!$F$23:$F$39)</f>
        <v>360</v>
      </c>
      <c r="U1080" s="56">
        <f>_xlfn.XLOOKUP($N1080,'Calculo Leads Conveniencia'!$A$77:$A$104,'Calculo Leads Conveniencia'!H$77:H$104)*_xlfn.XLOOKUP($P1080,'Base Grupo de Produtos'!$E$23:$E$39,'Base Grupo de Produtos'!$F$23:$F$39)</f>
        <v>360</v>
      </c>
      <c r="V1080" s="56">
        <f>_xlfn.XLOOKUP($N1080,'Calculo Leads Conveniencia'!$A$77:$A$104,'Calculo Leads Conveniencia'!I$77:I$104)*_xlfn.XLOOKUP($P1080,'Base Grupo de Produtos'!$E$23:$E$39,'Base Grupo de Produtos'!$F$23:$F$39)</f>
        <v>480</v>
      </c>
      <c r="W1080" s="56">
        <f>_xlfn.XLOOKUP($N1080,'Calculo Leads Conveniencia'!$A$77:$A$104,'Calculo Leads Conveniencia'!J$77:J$104)*_xlfn.XLOOKUP($P1080,'Base Grupo de Produtos'!$E$23:$E$39,'Base Grupo de Produtos'!$F$23:$F$39)</f>
        <v>600</v>
      </c>
      <c r="X1080" s="56">
        <f>_xlfn.XLOOKUP($N1080,'Calculo Leads Conveniencia'!$A$77:$A$104,'Calculo Leads Conveniencia'!K$77:K$104)*_xlfn.XLOOKUP($P1080,'Base Grupo de Produtos'!$E$23:$E$39,'Base Grupo de Produtos'!$F$23:$F$39)</f>
        <v>720</v>
      </c>
      <c r="Y1080" s="56">
        <f>_xlfn.XLOOKUP($N1080,'Calculo Leads Conveniencia'!$A$77:$A$104,'Calculo Leads Conveniencia'!L$77:L$104)*_xlfn.XLOOKUP($P1080,'Base Grupo de Produtos'!$E$23:$E$39,'Base Grupo de Produtos'!$F$23:$F$39)</f>
        <v>840</v>
      </c>
      <c r="Z1080" s="56">
        <f>_xlfn.XLOOKUP($N1080,'Calculo Leads Conveniencia'!$A$77:$A$104,'Calculo Leads Conveniencia'!M$77:M$104)*_xlfn.XLOOKUP($P1080,'Base Grupo de Produtos'!$E$23:$E$39,'Base Grupo de Produtos'!$F$23:$F$39)</f>
        <v>960</v>
      </c>
      <c r="AA1080" s="56">
        <f>_xlfn.XLOOKUP($N1080,'Calculo Leads Conveniencia'!$A$77:$A$104,'Calculo Leads Conveniencia'!N$77:N$104)*_xlfn.XLOOKUP($P1080,'Base Grupo de Produtos'!$E$23:$E$39,'Base Grupo de Produtos'!$F$23:$F$39)</f>
        <v>1080</v>
      </c>
      <c r="AB1080" s="56">
        <f>_xlfn.XLOOKUP($N1080,'Calculo Leads Conveniencia'!$A$77:$A$104,'Calculo Leads Conveniencia'!O$77:O$104)*_xlfn.XLOOKUP($P1080,'Base Grupo de Produtos'!$E$23:$E$39,'Base Grupo de Produtos'!$F$23:$F$39)</f>
        <v>1080</v>
      </c>
      <c r="AC1080" s="61">
        <f t="shared" si="1003"/>
        <v>6480</v>
      </c>
      <c r="AD1080" s="28"/>
      <c r="AE1080" s="12"/>
      <c r="AF1080" s="29"/>
      <c r="AG1080" s="9"/>
      <c r="AH1080" s="10"/>
      <c r="AI1080" s="9"/>
      <c r="AJ1080" s="11"/>
      <c r="AK1080" s="9"/>
      <c r="AL1080" s="13"/>
      <c r="AM1080" s="9"/>
    </row>
    <row r="1081" spans="1:39" x14ac:dyDescent="0.3">
      <c r="A1081" s="2" t="str">
        <f t="shared" si="1017"/>
        <v>NÃO</v>
      </c>
      <c r="B1081" s="2" t="str">
        <f>_xlfn.XLOOKUP($N1081,'Base de Grupos'!$A:$A,'Base de Grupos'!$D:$D)</f>
        <v>1000065763</v>
      </c>
      <c r="C1081" s="5" t="str">
        <f>_xlfn.XLOOKUP($N1081,'Base de Grupos'!$A:$A,'Base de Grupos'!$E:$E)</f>
        <v>CANAL VENDA INTERNA</v>
      </c>
      <c r="D1081" s="5" t="str">
        <f>_xlfn.XLOOKUP($N1081,'Base de Grupos'!$A:$A,'Base de Grupos'!$F:$F)</f>
        <v>1000065763</v>
      </c>
      <c r="E1081" s="2" t="str">
        <f>_xlfn.XLOOKUP($N1081,'Base de Grupos'!$A:$A,'Base de Grupos'!$G:$G)</f>
        <v>CANAL VENDA INTERNA</v>
      </c>
      <c r="F1081" s="2" t="str">
        <f>_xlfn.XLOOKUP($N1081,'Base de Grupos'!$A:$A,'Base de Grupos'!$H:$H)</f>
        <v>1000174119</v>
      </c>
      <c r="G1081" s="5" t="str">
        <f>_xlfn.XLOOKUP($N1081,'Base de Grupos'!$A:$A,'Base de Grupos'!$I:$I)</f>
        <v>REGIONAL VENDA INTERNA - CONVENIENCIA</v>
      </c>
      <c r="H1081" s="5" t="str">
        <f>_xlfn.XLOOKUP($N1081,'Base de Grupos'!$A:$A,'Base de Grupos'!$J:$J)</f>
        <v>1000174119</v>
      </c>
      <c r="I1081" s="2" t="str">
        <f>_xlfn.XLOOKUP($N1081,'Base de Grupos'!$A:$A,'Base de Grupos'!$K:$K)</f>
        <v>REGIONAL VENDA INTERNA - CONVENIENCIA</v>
      </c>
      <c r="J1081" s="2" t="str">
        <f>_xlfn.XLOOKUP($N1081,'Base de Grupos'!$A:$A,'Base de Grupos'!$L:$L)</f>
        <v>1000174119</v>
      </c>
      <c r="K1081" s="5" t="str">
        <f>_xlfn.XLOOKUP($N1081,'Base de Grupos'!$A:$A,'Base de Grupos'!$M:$M)</f>
        <v>REGIONAL VENDA INTERNA - CONVENIENCIA</v>
      </c>
      <c r="L1081" s="5" t="str">
        <f t="shared" si="1018"/>
        <v/>
      </c>
      <c r="M1081" s="5" t="str">
        <f>_xlfn.XLOOKUP($N1081,'Base de Grupos'!$A:$A,'Base de Grupos'!$C:$C)</f>
        <v>MG</v>
      </c>
      <c r="N1081" s="3">
        <v>1524</v>
      </c>
      <c r="O1081" s="4" t="s">
        <v>283</v>
      </c>
      <c r="P1081" s="5" t="s">
        <v>95</v>
      </c>
      <c r="Q1081" s="56">
        <v>0</v>
      </c>
      <c r="R1081" s="56">
        <v>0</v>
      </c>
      <c r="S1081" s="56">
        <v>0</v>
      </c>
      <c r="T1081" s="56">
        <f>_xlfn.XLOOKUP($N1081,'Calculo Leads Conveniencia'!$A$77:$A$104,'Calculo Leads Conveniencia'!G$77:G$104)*_xlfn.XLOOKUP($P1081,'Base Grupo de Produtos'!$E$23:$E$39,'Base Grupo de Produtos'!$F$23:$F$39)</f>
        <v>24</v>
      </c>
      <c r="U1081" s="56">
        <f>_xlfn.XLOOKUP($N1081,'Calculo Leads Conveniencia'!$A$77:$A$104,'Calculo Leads Conveniencia'!H$77:H$104)*_xlfn.XLOOKUP($P1081,'Base Grupo de Produtos'!$E$23:$E$39,'Base Grupo de Produtos'!$F$23:$F$39)</f>
        <v>24</v>
      </c>
      <c r="V1081" s="56">
        <f>_xlfn.XLOOKUP($N1081,'Calculo Leads Conveniencia'!$A$77:$A$104,'Calculo Leads Conveniencia'!I$77:I$104)*_xlfn.XLOOKUP($P1081,'Base Grupo de Produtos'!$E$23:$E$39,'Base Grupo de Produtos'!$F$23:$F$39)</f>
        <v>32</v>
      </c>
      <c r="W1081" s="56">
        <f>_xlfn.XLOOKUP($N1081,'Calculo Leads Conveniencia'!$A$77:$A$104,'Calculo Leads Conveniencia'!J$77:J$104)*_xlfn.XLOOKUP($P1081,'Base Grupo de Produtos'!$E$23:$E$39,'Base Grupo de Produtos'!$F$23:$F$39)</f>
        <v>40</v>
      </c>
      <c r="X1081" s="56">
        <f>_xlfn.XLOOKUP($N1081,'Calculo Leads Conveniencia'!$A$77:$A$104,'Calculo Leads Conveniencia'!K$77:K$104)*_xlfn.XLOOKUP($P1081,'Base Grupo de Produtos'!$E$23:$E$39,'Base Grupo de Produtos'!$F$23:$F$39)</f>
        <v>48</v>
      </c>
      <c r="Y1081" s="56">
        <f>_xlfn.XLOOKUP($N1081,'Calculo Leads Conveniencia'!$A$77:$A$104,'Calculo Leads Conveniencia'!L$77:L$104)*_xlfn.XLOOKUP($P1081,'Base Grupo de Produtos'!$E$23:$E$39,'Base Grupo de Produtos'!$F$23:$F$39)</f>
        <v>56</v>
      </c>
      <c r="Z1081" s="56">
        <f>_xlfn.XLOOKUP($N1081,'Calculo Leads Conveniencia'!$A$77:$A$104,'Calculo Leads Conveniencia'!M$77:M$104)*_xlfn.XLOOKUP($P1081,'Base Grupo de Produtos'!$E$23:$E$39,'Base Grupo de Produtos'!$F$23:$F$39)</f>
        <v>64</v>
      </c>
      <c r="AA1081" s="56">
        <f>_xlfn.XLOOKUP($N1081,'Calculo Leads Conveniencia'!$A$77:$A$104,'Calculo Leads Conveniencia'!N$77:N$104)*_xlfn.XLOOKUP($P1081,'Base Grupo de Produtos'!$E$23:$E$39,'Base Grupo de Produtos'!$F$23:$F$39)</f>
        <v>72</v>
      </c>
      <c r="AB1081" s="56">
        <f>_xlfn.XLOOKUP($N1081,'Calculo Leads Conveniencia'!$A$77:$A$104,'Calculo Leads Conveniencia'!O$77:O$104)*_xlfn.XLOOKUP($P1081,'Base Grupo de Produtos'!$E$23:$E$39,'Base Grupo de Produtos'!$F$23:$F$39)</f>
        <v>72</v>
      </c>
      <c r="AC1081" s="61">
        <f t="shared" si="1003"/>
        <v>432</v>
      </c>
      <c r="AD1081" s="28"/>
      <c r="AE1081" s="12"/>
      <c r="AF1081" s="29"/>
      <c r="AG1081" s="9"/>
      <c r="AH1081" s="10"/>
      <c r="AI1081" s="9"/>
      <c r="AJ1081" s="11"/>
      <c r="AK1081" s="9"/>
      <c r="AL1081" s="13"/>
      <c r="AM1081" s="9"/>
    </row>
    <row r="1082" spans="1:39" x14ac:dyDescent="0.3">
      <c r="A1082" s="2" t="str">
        <f t="shared" si="1017"/>
        <v>NÃO</v>
      </c>
      <c r="B1082" s="2" t="str">
        <f>_xlfn.XLOOKUP($N1082,'Base de Grupos'!$A:$A,'Base de Grupos'!$D:$D)</f>
        <v>1000065763</v>
      </c>
      <c r="C1082" s="5" t="str">
        <f>_xlfn.XLOOKUP($N1082,'Base de Grupos'!$A:$A,'Base de Grupos'!$E:$E)</f>
        <v>CANAL VENDA INTERNA</v>
      </c>
      <c r="D1082" s="5" t="str">
        <f>_xlfn.XLOOKUP($N1082,'Base de Grupos'!$A:$A,'Base de Grupos'!$F:$F)</f>
        <v>1000065763</v>
      </c>
      <c r="E1082" s="2" t="str">
        <f>_xlfn.XLOOKUP($N1082,'Base de Grupos'!$A:$A,'Base de Grupos'!$G:$G)</f>
        <v>CANAL VENDA INTERNA</v>
      </c>
      <c r="F1082" s="2" t="str">
        <f>_xlfn.XLOOKUP($N1082,'Base de Grupos'!$A:$A,'Base de Grupos'!$H:$H)</f>
        <v>1000174119</v>
      </c>
      <c r="G1082" s="5" t="str">
        <f>_xlfn.XLOOKUP($N1082,'Base de Grupos'!$A:$A,'Base de Grupos'!$I:$I)</f>
        <v>REGIONAL VENDA INTERNA - CONVENIENCIA</v>
      </c>
      <c r="H1082" s="5" t="str">
        <f>_xlfn.XLOOKUP($N1082,'Base de Grupos'!$A:$A,'Base de Grupos'!$J:$J)</f>
        <v>1000174119</v>
      </c>
      <c r="I1082" s="2" t="str">
        <f>_xlfn.XLOOKUP($N1082,'Base de Grupos'!$A:$A,'Base de Grupos'!$K:$K)</f>
        <v>REGIONAL VENDA INTERNA - CONVENIENCIA</v>
      </c>
      <c r="J1082" s="2" t="str">
        <f>_xlfn.XLOOKUP($N1082,'Base de Grupos'!$A:$A,'Base de Grupos'!$L:$L)</f>
        <v>1000174119</v>
      </c>
      <c r="K1082" s="5" t="str">
        <f>_xlfn.XLOOKUP($N1082,'Base de Grupos'!$A:$A,'Base de Grupos'!$M:$M)</f>
        <v>REGIONAL VENDA INTERNA - CONVENIENCIA</v>
      </c>
      <c r="L1082" s="5" t="str">
        <f t="shared" si="1018"/>
        <v/>
      </c>
      <c r="M1082" s="5" t="str">
        <f>_xlfn.XLOOKUP($N1082,'Base de Grupos'!$A:$A,'Base de Grupos'!$C:$C)</f>
        <v>MG</v>
      </c>
      <c r="N1082" s="3">
        <v>1524</v>
      </c>
      <c r="O1082" s="4" t="s">
        <v>283</v>
      </c>
      <c r="P1082" s="5" t="s">
        <v>93</v>
      </c>
      <c r="Q1082" s="56">
        <v>0</v>
      </c>
      <c r="R1082" s="56">
        <v>0</v>
      </c>
      <c r="S1082" s="56">
        <v>0</v>
      </c>
      <c r="T1082" s="56">
        <f>_xlfn.XLOOKUP($N1082,'Calculo Leads Conveniencia'!$A$77:$A$104,'Calculo Leads Conveniencia'!G$77:G$104)*_xlfn.XLOOKUP($P1082,'Base Grupo de Produtos'!$E$23:$E$39,'Base Grupo de Produtos'!$F$23:$F$39)</f>
        <v>240</v>
      </c>
      <c r="U1082" s="56">
        <f>_xlfn.XLOOKUP($N1082,'Calculo Leads Conveniencia'!$A$77:$A$104,'Calculo Leads Conveniencia'!H$77:H$104)*_xlfn.XLOOKUP($P1082,'Base Grupo de Produtos'!$E$23:$E$39,'Base Grupo de Produtos'!$F$23:$F$39)</f>
        <v>240</v>
      </c>
      <c r="V1082" s="56">
        <f>_xlfn.XLOOKUP($N1082,'Calculo Leads Conveniencia'!$A$77:$A$104,'Calculo Leads Conveniencia'!I$77:I$104)*_xlfn.XLOOKUP($P1082,'Base Grupo de Produtos'!$E$23:$E$39,'Base Grupo de Produtos'!$F$23:$F$39)</f>
        <v>320</v>
      </c>
      <c r="W1082" s="56">
        <f>_xlfn.XLOOKUP($N1082,'Calculo Leads Conveniencia'!$A$77:$A$104,'Calculo Leads Conveniencia'!J$77:J$104)*_xlfn.XLOOKUP($P1082,'Base Grupo de Produtos'!$E$23:$E$39,'Base Grupo de Produtos'!$F$23:$F$39)</f>
        <v>400</v>
      </c>
      <c r="X1082" s="56">
        <f>_xlfn.XLOOKUP($N1082,'Calculo Leads Conveniencia'!$A$77:$A$104,'Calculo Leads Conveniencia'!K$77:K$104)*_xlfn.XLOOKUP($P1082,'Base Grupo de Produtos'!$E$23:$E$39,'Base Grupo de Produtos'!$F$23:$F$39)</f>
        <v>480</v>
      </c>
      <c r="Y1082" s="56">
        <f>_xlfn.XLOOKUP($N1082,'Calculo Leads Conveniencia'!$A$77:$A$104,'Calculo Leads Conveniencia'!L$77:L$104)*_xlfn.XLOOKUP($P1082,'Base Grupo de Produtos'!$E$23:$E$39,'Base Grupo de Produtos'!$F$23:$F$39)</f>
        <v>560</v>
      </c>
      <c r="Z1082" s="56">
        <f>_xlfn.XLOOKUP($N1082,'Calculo Leads Conveniencia'!$A$77:$A$104,'Calculo Leads Conveniencia'!M$77:M$104)*_xlfn.XLOOKUP($P1082,'Base Grupo de Produtos'!$E$23:$E$39,'Base Grupo de Produtos'!$F$23:$F$39)</f>
        <v>640</v>
      </c>
      <c r="AA1082" s="56">
        <f>_xlfn.XLOOKUP($N1082,'Calculo Leads Conveniencia'!$A$77:$A$104,'Calculo Leads Conveniencia'!N$77:N$104)*_xlfn.XLOOKUP($P1082,'Base Grupo de Produtos'!$E$23:$E$39,'Base Grupo de Produtos'!$F$23:$F$39)</f>
        <v>720</v>
      </c>
      <c r="AB1082" s="56">
        <f>_xlfn.XLOOKUP($N1082,'Calculo Leads Conveniencia'!$A$77:$A$104,'Calculo Leads Conveniencia'!O$77:O$104)*_xlfn.XLOOKUP($P1082,'Base Grupo de Produtos'!$E$23:$E$39,'Base Grupo de Produtos'!$F$23:$F$39)</f>
        <v>720</v>
      </c>
      <c r="AC1082" s="61">
        <f t="shared" si="1003"/>
        <v>4320</v>
      </c>
      <c r="AD1082" s="28"/>
      <c r="AE1082" s="12"/>
      <c r="AF1082" s="29"/>
      <c r="AG1082" s="9"/>
      <c r="AH1082" s="10"/>
      <c r="AI1082" s="9"/>
      <c r="AJ1082" s="11"/>
      <c r="AK1082" s="9"/>
      <c r="AL1082" s="13"/>
      <c r="AM1082" s="9"/>
    </row>
    <row r="1083" spans="1:39" x14ac:dyDescent="0.3">
      <c r="A1083" s="2" t="str">
        <f t="shared" si="1017"/>
        <v>SIM</v>
      </c>
      <c r="B1083" s="2" t="str">
        <f>_xlfn.XLOOKUP($N1083,'Base de Grupos'!$A:$A,'Base de Grupos'!$D:$D)</f>
        <v>1000065763</v>
      </c>
      <c r="C1083" s="5" t="str">
        <f>_xlfn.XLOOKUP($N1083,'Base de Grupos'!$A:$A,'Base de Grupos'!$E:$E)</f>
        <v>CANAL VENDA INTERNA</v>
      </c>
      <c r="D1083" s="5" t="str">
        <f>_xlfn.XLOOKUP($N1083,'Base de Grupos'!$A:$A,'Base de Grupos'!$F:$F)</f>
        <v>1000065763</v>
      </c>
      <c r="E1083" s="2" t="str">
        <f>_xlfn.XLOOKUP($N1083,'Base de Grupos'!$A:$A,'Base de Grupos'!$G:$G)</f>
        <v>CANAL VENDA INTERNA</v>
      </c>
      <c r="F1083" s="2" t="str">
        <f>_xlfn.XLOOKUP($N1083,'Base de Grupos'!$A:$A,'Base de Grupos'!$H:$H)</f>
        <v>1000174119</v>
      </c>
      <c r="G1083" s="5" t="str">
        <f>_xlfn.XLOOKUP($N1083,'Base de Grupos'!$A:$A,'Base de Grupos'!$I:$I)</f>
        <v>REGIONAL VENDA INTERNA - CONVENIENCIA</v>
      </c>
      <c r="H1083" s="5" t="str">
        <f>_xlfn.XLOOKUP($N1083,'Base de Grupos'!$A:$A,'Base de Grupos'!$J:$J)</f>
        <v>1000174119</v>
      </c>
      <c r="I1083" s="2" t="str">
        <f>_xlfn.XLOOKUP($N1083,'Base de Grupos'!$A:$A,'Base de Grupos'!$K:$K)</f>
        <v>REGIONAL VENDA INTERNA - CONVENIENCIA</v>
      </c>
      <c r="J1083" s="2" t="str">
        <f>_xlfn.XLOOKUP($N1083,'Base de Grupos'!$A:$A,'Base de Grupos'!$L:$L)</f>
        <v>1000174119</v>
      </c>
      <c r="K1083" s="5" t="str">
        <f>_xlfn.XLOOKUP($N1083,'Base de Grupos'!$A:$A,'Base de Grupos'!$M:$M)</f>
        <v>REGIONAL VENDA INTERNA - CONVENIENCIA</v>
      </c>
      <c r="L1083" s="5">
        <f t="shared" si="1018"/>
        <v>1</v>
      </c>
      <c r="M1083" s="5" t="str">
        <f>_xlfn.XLOOKUP($N1083,'Base de Grupos'!$A:$A,'Base de Grupos'!$C:$C)</f>
        <v>SP</v>
      </c>
      <c r="N1083" s="3">
        <v>1525</v>
      </c>
      <c r="O1083" s="4" t="s">
        <v>284</v>
      </c>
      <c r="P1083" s="5" t="s">
        <v>354</v>
      </c>
      <c r="Q1083" s="56">
        <f t="shared" ref="Q1083" si="1032">SUM(Q1084:Q1100)</f>
        <v>0</v>
      </c>
      <c r="R1083" s="56">
        <f t="shared" ref="R1083" si="1033">SUM(R1084:R1100)</f>
        <v>0</v>
      </c>
      <c r="S1083" s="56">
        <f t="shared" ref="S1083" si="1034">SUM(S1084:S1100)</f>
        <v>0</v>
      </c>
      <c r="T1083" s="56">
        <f t="shared" ref="T1083" si="1035">SUM(T1084:T1100)</f>
        <v>2400</v>
      </c>
      <c r="U1083" s="56">
        <f t="shared" ref="U1083" si="1036">SUM(U1084:U1100)</f>
        <v>2400</v>
      </c>
      <c r="V1083" s="56">
        <f t="shared" ref="V1083" si="1037">SUM(V1084:V1100)</f>
        <v>3200</v>
      </c>
      <c r="W1083" s="56">
        <f t="shared" ref="W1083" si="1038">SUM(W1084:W1100)</f>
        <v>4000</v>
      </c>
      <c r="X1083" s="56">
        <f t="shared" ref="X1083" si="1039">SUM(X1084:X1100)</f>
        <v>4800</v>
      </c>
      <c r="Y1083" s="56">
        <f t="shared" ref="Y1083" si="1040">SUM(Y1084:Y1100)</f>
        <v>5600</v>
      </c>
      <c r="Z1083" s="56">
        <f t="shared" ref="Z1083" si="1041">SUM(Z1084:Z1100)</f>
        <v>6400</v>
      </c>
      <c r="AA1083" s="56">
        <f t="shared" ref="AA1083" si="1042">SUM(AA1084:AA1100)</f>
        <v>7200</v>
      </c>
      <c r="AB1083" s="56">
        <f t="shared" ref="AB1083" si="1043">SUM(AB1084:AB1100)</f>
        <v>7200</v>
      </c>
      <c r="AC1083" s="56">
        <f t="shared" ref="AC1083" si="1044">SUM(AC1084:AC1100)</f>
        <v>43200</v>
      </c>
      <c r="AD1083" s="28"/>
      <c r="AE1083" s="12"/>
      <c r="AF1083" s="29"/>
      <c r="AG1083" s="9"/>
      <c r="AH1083" s="10"/>
      <c r="AI1083" s="9"/>
      <c r="AJ1083" s="11"/>
      <c r="AK1083" s="9"/>
      <c r="AL1083" s="13"/>
      <c r="AM1083" s="9"/>
    </row>
    <row r="1084" spans="1:39" x14ac:dyDescent="0.3">
      <c r="A1084" s="2" t="str">
        <f t="shared" si="1017"/>
        <v>NÃO</v>
      </c>
      <c r="B1084" s="2" t="str">
        <f>_xlfn.XLOOKUP($N1084,'Base de Grupos'!$A:$A,'Base de Grupos'!$D:$D)</f>
        <v>1000065763</v>
      </c>
      <c r="C1084" s="5" t="str">
        <f>_xlfn.XLOOKUP($N1084,'Base de Grupos'!$A:$A,'Base de Grupos'!$E:$E)</f>
        <v>CANAL VENDA INTERNA</v>
      </c>
      <c r="D1084" s="5" t="str">
        <f>_xlfn.XLOOKUP($N1084,'Base de Grupos'!$A:$A,'Base de Grupos'!$F:$F)</f>
        <v>1000065763</v>
      </c>
      <c r="E1084" s="2" t="str">
        <f>_xlfn.XLOOKUP($N1084,'Base de Grupos'!$A:$A,'Base de Grupos'!$G:$G)</f>
        <v>CANAL VENDA INTERNA</v>
      </c>
      <c r="F1084" s="2" t="str">
        <f>_xlfn.XLOOKUP($N1084,'Base de Grupos'!$A:$A,'Base de Grupos'!$H:$H)</f>
        <v>1000174119</v>
      </c>
      <c r="G1084" s="5" t="str">
        <f>_xlfn.XLOOKUP($N1084,'Base de Grupos'!$A:$A,'Base de Grupos'!$I:$I)</f>
        <v>REGIONAL VENDA INTERNA - CONVENIENCIA</v>
      </c>
      <c r="H1084" s="5" t="str">
        <f>_xlfn.XLOOKUP($N1084,'Base de Grupos'!$A:$A,'Base de Grupos'!$J:$J)</f>
        <v>1000174119</v>
      </c>
      <c r="I1084" s="2" t="str">
        <f>_xlfn.XLOOKUP($N1084,'Base de Grupos'!$A:$A,'Base de Grupos'!$K:$K)</f>
        <v>REGIONAL VENDA INTERNA - CONVENIENCIA</v>
      </c>
      <c r="J1084" s="2" t="str">
        <f>_xlfn.XLOOKUP($N1084,'Base de Grupos'!$A:$A,'Base de Grupos'!$L:$L)</f>
        <v>1000174119</v>
      </c>
      <c r="K1084" s="5" t="str">
        <f>_xlfn.XLOOKUP($N1084,'Base de Grupos'!$A:$A,'Base de Grupos'!$M:$M)</f>
        <v>REGIONAL VENDA INTERNA - CONVENIENCIA</v>
      </c>
      <c r="L1084" s="5" t="str">
        <f t="shared" si="1018"/>
        <v/>
      </c>
      <c r="M1084" s="5" t="str">
        <f>_xlfn.XLOOKUP($N1084,'Base de Grupos'!$A:$A,'Base de Grupos'!$C:$C)</f>
        <v>SP</v>
      </c>
      <c r="N1084" s="3">
        <v>1525</v>
      </c>
      <c r="O1084" s="4" t="s">
        <v>284</v>
      </c>
      <c r="P1084" s="5" t="s">
        <v>81</v>
      </c>
      <c r="Q1084" s="56">
        <v>0</v>
      </c>
      <c r="R1084" s="56">
        <v>0</v>
      </c>
      <c r="S1084" s="56">
        <v>0</v>
      </c>
      <c r="T1084" s="56">
        <f>_xlfn.XLOOKUP($N1084,'Calculo Leads Conveniencia'!$A$77:$A$104,'Calculo Leads Conveniencia'!G$77:G$104)*_xlfn.XLOOKUP($P1084,'Base Grupo de Produtos'!$E$23:$E$39,'Base Grupo de Produtos'!$F$23:$F$39)</f>
        <v>240</v>
      </c>
      <c r="U1084" s="56">
        <f>_xlfn.XLOOKUP($N1084,'Calculo Leads Conveniencia'!$A$77:$A$104,'Calculo Leads Conveniencia'!H$77:H$104)*_xlfn.XLOOKUP($P1084,'Base Grupo de Produtos'!$E$23:$E$39,'Base Grupo de Produtos'!$F$23:$F$39)</f>
        <v>240</v>
      </c>
      <c r="V1084" s="56">
        <f>_xlfn.XLOOKUP($N1084,'Calculo Leads Conveniencia'!$A$77:$A$104,'Calculo Leads Conveniencia'!I$77:I$104)*_xlfn.XLOOKUP($P1084,'Base Grupo de Produtos'!$E$23:$E$39,'Base Grupo de Produtos'!$F$23:$F$39)</f>
        <v>320</v>
      </c>
      <c r="W1084" s="56">
        <f>_xlfn.XLOOKUP($N1084,'Calculo Leads Conveniencia'!$A$77:$A$104,'Calculo Leads Conveniencia'!J$77:J$104)*_xlfn.XLOOKUP($P1084,'Base Grupo de Produtos'!$E$23:$E$39,'Base Grupo de Produtos'!$F$23:$F$39)</f>
        <v>400</v>
      </c>
      <c r="X1084" s="56">
        <f>_xlfn.XLOOKUP($N1084,'Calculo Leads Conveniencia'!$A$77:$A$104,'Calculo Leads Conveniencia'!K$77:K$104)*_xlfn.XLOOKUP($P1084,'Base Grupo de Produtos'!$E$23:$E$39,'Base Grupo de Produtos'!$F$23:$F$39)</f>
        <v>480</v>
      </c>
      <c r="Y1084" s="56">
        <f>_xlfn.XLOOKUP($N1084,'Calculo Leads Conveniencia'!$A$77:$A$104,'Calculo Leads Conveniencia'!L$77:L$104)*_xlfn.XLOOKUP($P1084,'Base Grupo de Produtos'!$E$23:$E$39,'Base Grupo de Produtos'!$F$23:$F$39)</f>
        <v>560</v>
      </c>
      <c r="Z1084" s="56">
        <f>_xlfn.XLOOKUP($N1084,'Calculo Leads Conveniencia'!$A$77:$A$104,'Calculo Leads Conveniencia'!M$77:M$104)*_xlfn.XLOOKUP($P1084,'Base Grupo de Produtos'!$E$23:$E$39,'Base Grupo de Produtos'!$F$23:$F$39)</f>
        <v>640</v>
      </c>
      <c r="AA1084" s="56">
        <f>_xlfn.XLOOKUP($N1084,'Calculo Leads Conveniencia'!$A$77:$A$104,'Calculo Leads Conveniencia'!N$77:N$104)*_xlfn.XLOOKUP($P1084,'Base Grupo de Produtos'!$E$23:$E$39,'Base Grupo de Produtos'!$F$23:$F$39)</f>
        <v>720</v>
      </c>
      <c r="AB1084" s="56">
        <f>_xlfn.XLOOKUP($N1084,'Calculo Leads Conveniencia'!$A$77:$A$104,'Calculo Leads Conveniencia'!O$77:O$104)*_xlfn.XLOOKUP($P1084,'Base Grupo de Produtos'!$E$23:$E$39,'Base Grupo de Produtos'!$F$23:$F$39)</f>
        <v>720</v>
      </c>
      <c r="AC1084" s="61">
        <f t="shared" si="1003"/>
        <v>4320</v>
      </c>
      <c r="AD1084" s="28"/>
      <c r="AE1084" s="12"/>
      <c r="AF1084" s="29"/>
      <c r="AG1084" s="9"/>
      <c r="AH1084" s="10"/>
      <c r="AI1084" s="9"/>
      <c r="AJ1084" s="11"/>
      <c r="AK1084" s="9"/>
      <c r="AL1084" s="13"/>
      <c r="AM1084" s="9"/>
    </row>
    <row r="1085" spans="1:39" x14ac:dyDescent="0.3">
      <c r="A1085" s="2" t="str">
        <f t="shared" si="1017"/>
        <v>NÃO</v>
      </c>
      <c r="B1085" s="2" t="str">
        <f>_xlfn.XLOOKUP($N1085,'Base de Grupos'!$A:$A,'Base de Grupos'!$D:$D)</f>
        <v>1000065763</v>
      </c>
      <c r="C1085" s="5" t="str">
        <f>_xlfn.XLOOKUP($N1085,'Base de Grupos'!$A:$A,'Base de Grupos'!$E:$E)</f>
        <v>CANAL VENDA INTERNA</v>
      </c>
      <c r="D1085" s="5" t="str">
        <f>_xlfn.XLOOKUP($N1085,'Base de Grupos'!$A:$A,'Base de Grupos'!$F:$F)</f>
        <v>1000065763</v>
      </c>
      <c r="E1085" s="2" t="str">
        <f>_xlfn.XLOOKUP($N1085,'Base de Grupos'!$A:$A,'Base de Grupos'!$G:$G)</f>
        <v>CANAL VENDA INTERNA</v>
      </c>
      <c r="F1085" s="2" t="str">
        <f>_xlfn.XLOOKUP($N1085,'Base de Grupos'!$A:$A,'Base de Grupos'!$H:$H)</f>
        <v>1000174119</v>
      </c>
      <c r="G1085" s="5" t="str">
        <f>_xlfn.XLOOKUP($N1085,'Base de Grupos'!$A:$A,'Base de Grupos'!$I:$I)</f>
        <v>REGIONAL VENDA INTERNA - CONVENIENCIA</v>
      </c>
      <c r="H1085" s="5" t="str">
        <f>_xlfn.XLOOKUP($N1085,'Base de Grupos'!$A:$A,'Base de Grupos'!$J:$J)</f>
        <v>1000174119</v>
      </c>
      <c r="I1085" s="2" t="str">
        <f>_xlfn.XLOOKUP($N1085,'Base de Grupos'!$A:$A,'Base de Grupos'!$K:$K)</f>
        <v>REGIONAL VENDA INTERNA - CONVENIENCIA</v>
      </c>
      <c r="J1085" s="2" t="str">
        <f>_xlfn.XLOOKUP($N1085,'Base de Grupos'!$A:$A,'Base de Grupos'!$L:$L)</f>
        <v>1000174119</v>
      </c>
      <c r="K1085" s="5" t="str">
        <f>_xlfn.XLOOKUP($N1085,'Base de Grupos'!$A:$A,'Base de Grupos'!$M:$M)</f>
        <v>REGIONAL VENDA INTERNA - CONVENIENCIA</v>
      </c>
      <c r="L1085" s="5" t="str">
        <f t="shared" si="1018"/>
        <v/>
      </c>
      <c r="M1085" s="5" t="str">
        <f>_xlfn.XLOOKUP($N1085,'Base de Grupos'!$A:$A,'Base de Grupos'!$C:$C)</f>
        <v>SP</v>
      </c>
      <c r="N1085" s="3">
        <v>1525</v>
      </c>
      <c r="O1085" s="4" t="s">
        <v>284</v>
      </c>
      <c r="P1085" s="5" t="s">
        <v>82</v>
      </c>
      <c r="Q1085" s="56">
        <v>0</v>
      </c>
      <c r="R1085" s="56">
        <v>0</v>
      </c>
      <c r="S1085" s="56">
        <v>0</v>
      </c>
      <c r="T1085" s="56">
        <f>_xlfn.XLOOKUP($N1085,'Calculo Leads Conveniencia'!$A$77:$A$104,'Calculo Leads Conveniencia'!G$77:G$104)*_xlfn.XLOOKUP($P1085,'Base Grupo de Produtos'!$E$23:$E$39,'Base Grupo de Produtos'!$F$23:$F$39)</f>
        <v>600</v>
      </c>
      <c r="U1085" s="56">
        <f>_xlfn.XLOOKUP($N1085,'Calculo Leads Conveniencia'!$A$77:$A$104,'Calculo Leads Conveniencia'!H$77:H$104)*_xlfn.XLOOKUP($P1085,'Base Grupo de Produtos'!$E$23:$E$39,'Base Grupo de Produtos'!$F$23:$F$39)</f>
        <v>600</v>
      </c>
      <c r="V1085" s="56">
        <f>_xlfn.XLOOKUP($N1085,'Calculo Leads Conveniencia'!$A$77:$A$104,'Calculo Leads Conveniencia'!I$77:I$104)*_xlfn.XLOOKUP($P1085,'Base Grupo de Produtos'!$E$23:$E$39,'Base Grupo de Produtos'!$F$23:$F$39)</f>
        <v>800</v>
      </c>
      <c r="W1085" s="56">
        <f>_xlfn.XLOOKUP($N1085,'Calculo Leads Conveniencia'!$A$77:$A$104,'Calculo Leads Conveniencia'!J$77:J$104)*_xlfn.XLOOKUP($P1085,'Base Grupo de Produtos'!$E$23:$E$39,'Base Grupo de Produtos'!$F$23:$F$39)</f>
        <v>1000</v>
      </c>
      <c r="X1085" s="56">
        <f>_xlfn.XLOOKUP($N1085,'Calculo Leads Conveniencia'!$A$77:$A$104,'Calculo Leads Conveniencia'!K$77:K$104)*_xlfn.XLOOKUP($P1085,'Base Grupo de Produtos'!$E$23:$E$39,'Base Grupo de Produtos'!$F$23:$F$39)</f>
        <v>1200</v>
      </c>
      <c r="Y1085" s="56">
        <f>_xlfn.XLOOKUP($N1085,'Calculo Leads Conveniencia'!$A$77:$A$104,'Calculo Leads Conveniencia'!L$77:L$104)*_xlfn.XLOOKUP($P1085,'Base Grupo de Produtos'!$E$23:$E$39,'Base Grupo de Produtos'!$F$23:$F$39)</f>
        <v>1400</v>
      </c>
      <c r="Z1085" s="56">
        <f>_xlfn.XLOOKUP($N1085,'Calculo Leads Conveniencia'!$A$77:$A$104,'Calculo Leads Conveniencia'!M$77:M$104)*_xlfn.XLOOKUP($P1085,'Base Grupo de Produtos'!$E$23:$E$39,'Base Grupo de Produtos'!$F$23:$F$39)</f>
        <v>1600</v>
      </c>
      <c r="AA1085" s="56">
        <f>_xlfn.XLOOKUP($N1085,'Calculo Leads Conveniencia'!$A$77:$A$104,'Calculo Leads Conveniencia'!N$77:N$104)*_xlfn.XLOOKUP($P1085,'Base Grupo de Produtos'!$E$23:$E$39,'Base Grupo de Produtos'!$F$23:$F$39)</f>
        <v>1800</v>
      </c>
      <c r="AB1085" s="56">
        <f>_xlfn.XLOOKUP($N1085,'Calculo Leads Conveniencia'!$A$77:$A$104,'Calculo Leads Conveniencia'!O$77:O$104)*_xlfn.XLOOKUP($P1085,'Base Grupo de Produtos'!$E$23:$E$39,'Base Grupo de Produtos'!$F$23:$F$39)</f>
        <v>1800</v>
      </c>
      <c r="AC1085" s="61">
        <f t="shared" si="1003"/>
        <v>10800</v>
      </c>
      <c r="AD1085" s="28"/>
      <c r="AE1085" s="12"/>
      <c r="AF1085" s="29"/>
      <c r="AG1085" s="9"/>
      <c r="AH1085" s="10"/>
      <c r="AI1085" s="9"/>
      <c r="AJ1085" s="11"/>
      <c r="AK1085" s="9"/>
      <c r="AL1085" s="13"/>
      <c r="AM1085" s="9"/>
    </row>
    <row r="1086" spans="1:39" x14ac:dyDescent="0.3">
      <c r="A1086" s="2" t="str">
        <f t="shared" si="1017"/>
        <v>NÃO</v>
      </c>
      <c r="B1086" s="2" t="str">
        <f>_xlfn.XLOOKUP($N1086,'Base de Grupos'!$A:$A,'Base de Grupos'!$D:$D)</f>
        <v>1000065763</v>
      </c>
      <c r="C1086" s="5" t="str">
        <f>_xlfn.XLOOKUP($N1086,'Base de Grupos'!$A:$A,'Base de Grupos'!$E:$E)</f>
        <v>CANAL VENDA INTERNA</v>
      </c>
      <c r="D1086" s="5" t="str">
        <f>_xlfn.XLOOKUP($N1086,'Base de Grupos'!$A:$A,'Base de Grupos'!$F:$F)</f>
        <v>1000065763</v>
      </c>
      <c r="E1086" s="2" t="str">
        <f>_xlfn.XLOOKUP($N1086,'Base de Grupos'!$A:$A,'Base de Grupos'!$G:$G)</f>
        <v>CANAL VENDA INTERNA</v>
      </c>
      <c r="F1086" s="2" t="str">
        <f>_xlfn.XLOOKUP($N1086,'Base de Grupos'!$A:$A,'Base de Grupos'!$H:$H)</f>
        <v>1000174119</v>
      </c>
      <c r="G1086" s="5" t="str">
        <f>_xlfn.XLOOKUP($N1086,'Base de Grupos'!$A:$A,'Base de Grupos'!$I:$I)</f>
        <v>REGIONAL VENDA INTERNA - CONVENIENCIA</v>
      </c>
      <c r="H1086" s="5" t="str">
        <f>_xlfn.XLOOKUP($N1086,'Base de Grupos'!$A:$A,'Base de Grupos'!$J:$J)</f>
        <v>1000174119</v>
      </c>
      <c r="I1086" s="2" t="str">
        <f>_xlfn.XLOOKUP($N1086,'Base de Grupos'!$A:$A,'Base de Grupos'!$K:$K)</f>
        <v>REGIONAL VENDA INTERNA - CONVENIENCIA</v>
      </c>
      <c r="J1086" s="2" t="str">
        <f>_xlfn.XLOOKUP($N1086,'Base de Grupos'!$A:$A,'Base de Grupos'!$L:$L)</f>
        <v>1000174119</v>
      </c>
      <c r="K1086" s="5" t="str">
        <f>_xlfn.XLOOKUP($N1086,'Base de Grupos'!$A:$A,'Base de Grupos'!$M:$M)</f>
        <v>REGIONAL VENDA INTERNA - CONVENIENCIA</v>
      </c>
      <c r="L1086" s="5" t="str">
        <f t="shared" si="1018"/>
        <v/>
      </c>
      <c r="M1086" s="5" t="str">
        <f>_xlfn.XLOOKUP($N1086,'Base de Grupos'!$A:$A,'Base de Grupos'!$C:$C)</f>
        <v>SP</v>
      </c>
      <c r="N1086" s="3">
        <v>1525</v>
      </c>
      <c r="O1086" s="4" t="s">
        <v>284</v>
      </c>
      <c r="P1086" s="5" t="s">
        <v>84</v>
      </c>
      <c r="Q1086" s="56">
        <v>0</v>
      </c>
      <c r="R1086" s="56">
        <v>0</v>
      </c>
      <c r="S1086" s="56">
        <v>0</v>
      </c>
      <c r="T1086" s="56">
        <f>_xlfn.XLOOKUP($N1086,'Calculo Leads Conveniencia'!$A$77:$A$104,'Calculo Leads Conveniencia'!G$77:G$104)*_xlfn.XLOOKUP($P1086,'Base Grupo de Produtos'!$E$23:$E$39,'Base Grupo de Produtos'!$F$23:$F$39)</f>
        <v>360</v>
      </c>
      <c r="U1086" s="56">
        <f>_xlfn.XLOOKUP($N1086,'Calculo Leads Conveniencia'!$A$77:$A$104,'Calculo Leads Conveniencia'!H$77:H$104)*_xlfn.XLOOKUP($P1086,'Base Grupo de Produtos'!$E$23:$E$39,'Base Grupo de Produtos'!$F$23:$F$39)</f>
        <v>360</v>
      </c>
      <c r="V1086" s="56">
        <f>_xlfn.XLOOKUP($N1086,'Calculo Leads Conveniencia'!$A$77:$A$104,'Calculo Leads Conveniencia'!I$77:I$104)*_xlfn.XLOOKUP($P1086,'Base Grupo de Produtos'!$E$23:$E$39,'Base Grupo de Produtos'!$F$23:$F$39)</f>
        <v>480</v>
      </c>
      <c r="W1086" s="56">
        <f>_xlfn.XLOOKUP($N1086,'Calculo Leads Conveniencia'!$A$77:$A$104,'Calculo Leads Conveniencia'!J$77:J$104)*_xlfn.XLOOKUP($P1086,'Base Grupo de Produtos'!$E$23:$E$39,'Base Grupo de Produtos'!$F$23:$F$39)</f>
        <v>600</v>
      </c>
      <c r="X1086" s="56">
        <f>_xlfn.XLOOKUP($N1086,'Calculo Leads Conveniencia'!$A$77:$A$104,'Calculo Leads Conveniencia'!K$77:K$104)*_xlfn.XLOOKUP($P1086,'Base Grupo de Produtos'!$E$23:$E$39,'Base Grupo de Produtos'!$F$23:$F$39)</f>
        <v>720</v>
      </c>
      <c r="Y1086" s="56">
        <f>_xlfn.XLOOKUP($N1086,'Calculo Leads Conveniencia'!$A$77:$A$104,'Calculo Leads Conveniencia'!L$77:L$104)*_xlfn.XLOOKUP($P1086,'Base Grupo de Produtos'!$E$23:$E$39,'Base Grupo de Produtos'!$F$23:$F$39)</f>
        <v>840</v>
      </c>
      <c r="Z1086" s="56">
        <f>_xlfn.XLOOKUP($N1086,'Calculo Leads Conveniencia'!$A$77:$A$104,'Calculo Leads Conveniencia'!M$77:M$104)*_xlfn.XLOOKUP($P1086,'Base Grupo de Produtos'!$E$23:$E$39,'Base Grupo de Produtos'!$F$23:$F$39)</f>
        <v>960</v>
      </c>
      <c r="AA1086" s="56">
        <f>_xlfn.XLOOKUP($N1086,'Calculo Leads Conveniencia'!$A$77:$A$104,'Calculo Leads Conveniencia'!N$77:N$104)*_xlfn.XLOOKUP($P1086,'Base Grupo de Produtos'!$E$23:$E$39,'Base Grupo de Produtos'!$F$23:$F$39)</f>
        <v>1080</v>
      </c>
      <c r="AB1086" s="56">
        <f>_xlfn.XLOOKUP($N1086,'Calculo Leads Conveniencia'!$A$77:$A$104,'Calculo Leads Conveniencia'!O$77:O$104)*_xlfn.XLOOKUP($P1086,'Base Grupo de Produtos'!$E$23:$E$39,'Base Grupo de Produtos'!$F$23:$F$39)</f>
        <v>1080</v>
      </c>
      <c r="AC1086" s="61">
        <f t="shared" si="1003"/>
        <v>6480</v>
      </c>
      <c r="AD1086" s="28"/>
      <c r="AE1086" s="12"/>
      <c r="AF1086" s="29"/>
      <c r="AG1086" s="9"/>
      <c r="AH1086" s="10"/>
      <c r="AI1086" s="9"/>
      <c r="AJ1086" s="11"/>
      <c r="AK1086" s="9"/>
      <c r="AL1086" s="13"/>
      <c r="AM1086" s="9"/>
    </row>
    <row r="1087" spans="1:39" x14ac:dyDescent="0.3">
      <c r="A1087" s="2" t="str">
        <f t="shared" si="1017"/>
        <v>NÃO</v>
      </c>
      <c r="B1087" s="2" t="str">
        <f>_xlfn.XLOOKUP($N1087,'Base de Grupos'!$A:$A,'Base de Grupos'!$D:$D)</f>
        <v>1000065763</v>
      </c>
      <c r="C1087" s="5" t="str">
        <f>_xlfn.XLOOKUP($N1087,'Base de Grupos'!$A:$A,'Base de Grupos'!$E:$E)</f>
        <v>CANAL VENDA INTERNA</v>
      </c>
      <c r="D1087" s="5" t="str">
        <f>_xlfn.XLOOKUP($N1087,'Base de Grupos'!$A:$A,'Base de Grupos'!$F:$F)</f>
        <v>1000065763</v>
      </c>
      <c r="E1087" s="2" t="str">
        <f>_xlfn.XLOOKUP($N1087,'Base de Grupos'!$A:$A,'Base de Grupos'!$G:$G)</f>
        <v>CANAL VENDA INTERNA</v>
      </c>
      <c r="F1087" s="2" t="str">
        <f>_xlfn.XLOOKUP($N1087,'Base de Grupos'!$A:$A,'Base de Grupos'!$H:$H)</f>
        <v>1000174119</v>
      </c>
      <c r="G1087" s="5" t="str">
        <f>_xlfn.XLOOKUP($N1087,'Base de Grupos'!$A:$A,'Base de Grupos'!$I:$I)</f>
        <v>REGIONAL VENDA INTERNA - CONVENIENCIA</v>
      </c>
      <c r="H1087" s="5" t="str">
        <f>_xlfn.XLOOKUP($N1087,'Base de Grupos'!$A:$A,'Base de Grupos'!$J:$J)</f>
        <v>1000174119</v>
      </c>
      <c r="I1087" s="2" t="str">
        <f>_xlfn.XLOOKUP($N1087,'Base de Grupos'!$A:$A,'Base de Grupos'!$K:$K)</f>
        <v>REGIONAL VENDA INTERNA - CONVENIENCIA</v>
      </c>
      <c r="J1087" s="2" t="str">
        <f>_xlfn.XLOOKUP($N1087,'Base de Grupos'!$A:$A,'Base de Grupos'!$L:$L)</f>
        <v>1000174119</v>
      </c>
      <c r="K1087" s="5" t="str">
        <f>_xlfn.XLOOKUP($N1087,'Base de Grupos'!$A:$A,'Base de Grupos'!$M:$M)</f>
        <v>REGIONAL VENDA INTERNA - CONVENIENCIA</v>
      </c>
      <c r="L1087" s="5" t="str">
        <f t="shared" si="1018"/>
        <v/>
      </c>
      <c r="M1087" s="5" t="str">
        <f>_xlfn.XLOOKUP($N1087,'Base de Grupos'!$A:$A,'Base de Grupos'!$C:$C)</f>
        <v>SP</v>
      </c>
      <c r="N1087" s="3">
        <v>1525</v>
      </c>
      <c r="O1087" s="4" t="s">
        <v>284</v>
      </c>
      <c r="P1087" s="5" t="s">
        <v>83</v>
      </c>
      <c r="Q1087" s="56">
        <v>0</v>
      </c>
      <c r="R1087" s="56">
        <v>0</v>
      </c>
      <c r="S1087" s="56">
        <v>0</v>
      </c>
      <c r="T1087" s="56">
        <f>_xlfn.XLOOKUP($N1087,'Calculo Leads Conveniencia'!$A$77:$A$104,'Calculo Leads Conveniencia'!G$77:G$104)*_xlfn.XLOOKUP($P1087,'Base Grupo de Produtos'!$E$23:$E$39,'Base Grupo de Produtos'!$F$23:$F$39)</f>
        <v>48</v>
      </c>
      <c r="U1087" s="56">
        <f>_xlfn.XLOOKUP($N1087,'Calculo Leads Conveniencia'!$A$77:$A$104,'Calculo Leads Conveniencia'!H$77:H$104)*_xlfn.XLOOKUP($P1087,'Base Grupo de Produtos'!$E$23:$E$39,'Base Grupo de Produtos'!$F$23:$F$39)</f>
        <v>48</v>
      </c>
      <c r="V1087" s="56">
        <f>_xlfn.XLOOKUP($N1087,'Calculo Leads Conveniencia'!$A$77:$A$104,'Calculo Leads Conveniencia'!I$77:I$104)*_xlfn.XLOOKUP($P1087,'Base Grupo de Produtos'!$E$23:$E$39,'Base Grupo de Produtos'!$F$23:$F$39)</f>
        <v>64</v>
      </c>
      <c r="W1087" s="56">
        <f>_xlfn.XLOOKUP($N1087,'Calculo Leads Conveniencia'!$A$77:$A$104,'Calculo Leads Conveniencia'!J$77:J$104)*_xlfn.XLOOKUP($P1087,'Base Grupo de Produtos'!$E$23:$E$39,'Base Grupo de Produtos'!$F$23:$F$39)</f>
        <v>80</v>
      </c>
      <c r="X1087" s="56">
        <f>_xlfn.XLOOKUP($N1087,'Calculo Leads Conveniencia'!$A$77:$A$104,'Calculo Leads Conveniencia'!K$77:K$104)*_xlfn.XLOOKUP($P1087,'Base Grupo de Produtos'!$E$23:$E$39,'Base Grupo de Produtos'!$F$23:$F$39)</f>
        <v>96</v>
      </c>
      <c r="Y1087" s="56">
        <f>_xlfn.XLOOKUP($N1087,'Calculo Leads Conveniencia'!$A$77:$A$104,'Calculo Leads Conveniencia'!L$77:L$104)*_xlfn.XLOOKUP($P1087,'Base Grupo de Produtos'!$E$23:$E$39,'Base Grupo de Produtos'!$F$23:$F$39)</f>
        <v>112</v>
      </c>
      <c r="Z1087" s="56">
        <f>_xlfn.XLOOKUP($N1087,'Calculo Leads Conveniencia'!$A$77:$A$104,'Calculo Leads Conveniencia'!M$77:M$104)*_xlfn.XLOOKUP($P1087,'Base Grupo de Produtos'!$E$23:$E$39,'Base Grupo de Produtos'!$F$23:$F$39)</f>
        <v>128</v>
      </c>
      <c r="AA1087" s="56">
        <f>_xlfn.XLOOKUP($N1087,'Calculo Leads Conveniencia'!$A$77:$A$104,'Calculo Leads Conveniencia'!N$77:N$104)*_xlfn.XLOOKUP($P1087,'Base Grupo de Produtos'!$E$23:$E$39,'Base Grupo de Produtos'!$F$23:$F$39)</f>
        <v>144</v>
      </c>
      <c r="AB1087" s="56">
        <f>_xlfn.XLOOKUP($N1087,'Calculo Leads Conveniencia'!$A$77:$A$104,'Calculo Leads Conveniencia'!O$77:O$104)*_xlfn.XLOOKUP($P1087,'Base Grupo de Produtos'!$E$23:$E$39,'Base Grupo de Produtos'!$F$23:$F$39)</f>
        <v>144</v>
      </c>
      <c r="AC1087" s="61">
        <f t="shared" si="1003"/>
        <v>864</v>
      </c>
      <c r="AD1087" s="28"/>
      <c r="AE1087" s="12"/>
      <c r="AF1087" s="29"/>
      <c r="AG1087" s="9"/>
      <c r="AH1087" s="10"/>
      <c r="AI1087" s="9"/>
      <c r="AJ1087" s="11"/>
      <c r="AK1087" s="9"/>
      <c r="AL1087" s="13"/>
      <c r="AM1087" s="9"/>
    </row>
    <row r="1088" spans="1:39" x14ac:dyDescent="0.3">
      <c r="A1088" s="2" t="str">
        <f t="shared" si="1017"/>
        <v>NÃO</v>
      </c>
      <c r="B1088" s="2" t="str">
        <f>_xlfn.XLOOKUP($N1088,'Base de Grupos'!$A:$A,'Base de Grupos'!$D:$D)</f>
        <v>1000065763</v>
      </c>
      <c r="C1088" s="5" t="str">
        <f>_xlfn.XLOOKUP($N1088,'Base de Grupos'!$A:$A,'Base de Grupos'!$E:$E)</f>
        <v>CANAL VENDA INTERNA</v>
      </c>
      <c r="D1088" s="5" t="str">
        <f>_xlfn.XLOOKUP($N1088,'Base de Grupos'!$A:$A,'Base de Grupos'!$F:$F)</f>
        <v>1000065763</v>
      </c>
      <c r="E1088" s="2" t="str">
        <f>_xlfn.XLOOKUP($N1088,'Base de Grupos'!$A:$A,'Base de Grupos'!$G:$G)</f>
        <v>CANAL VENDA INTERNA</v>
      </c>
      <c r="F1088" s="2" t="str">
        <f>_xlfn.XLOOKUP($N1088,'Base de Grupos'!$A:$A,'Base de Grupos'!$H:$H)</f>
        <v>1000174119</v>
      </c>
      <c r="G1088" s="5" t="str">
        <f>_xlfn.XLOOKUP($N1088,'Base de Grupos'!$A:$A,'Base de Grupos'!$I:$I)</f>
        <v>REGIONAL VENDA INTERNA - CONVENIENCIA</v>
      </c>
      <c r="H1088" s="5" t="str">
        <f>_xlfn.XLOOKUP($N1088,'Base de Grupos'!$A:$A,'Base de Grupos'!$J:$J)</f>
        <v>1000174119</v>
      </c>
      <c r="I1088" s="2" t="str">
        <f>_xlfn.XLOOKUP($N1088,'Base de Grupos'!$A:$A,'Base de Grupos'!$K:$K)</f>
        <v>REGIONAL VENDA INTERNA - CONVENIENCIA</v>
      </c>
      <c r="J1088" s="2" t="str">
        <f>_xlfn.XLOOKUP($N1088,'Base de Grupos'!$A:$A,'Base de Grupos'!$L:$L)</f>
        <v>1000174119</v>
      </c>
      <c r="K1088" s="5" t="str">
        <f>_xlfn.XLOOKUP($N1088,'Base de Grupos'!$A:$A,'Base de Grupos'!$M:$M)</f>
        <v>REGIONAL VENDA INTERNA - CONVENIENCIA</v>
      </c>
      <c r="L1088" s="5" t="str">
        <f t="shared" si="1018"/>
        <v/>
      </c>
      <c r="M1088" s="5" t="str">
        <f>_xlfn.XLOOKUP($N1088,'Base de Grupos'!$A:$A,'Base de Grupos'!$C:$C)</f>
        <v>SP</v>
      </c>
      <c r="N1088" s="3">
        <v>1525</v>
      </c>
      <c r="O1088" s="4" t="s">
        <v>284</v>
      </c>
      <c r="P1088" s="5" t="s">
        <v>87</v>
      </c>
      <c r="Q1088" s="56">
        <v>0</v>
      </c>
      <c r="R1088" s="56">
        <v>0</v>
      </c>
      <c r="S1088" s="56">
        <v>0</v>
      </c>
      <c r="T1088" s="56">
        <f>_xlfn.XLOOKUP($N1088,'Calculo Leads Conveniencia'!$A$77:$A$104,'Calculo Leads Conveniencia'!G$77:G$104)*_xlfn.XLOOKUP($P1088,'Base Grupo de Produtos'!$E$23:$E$39,'Base Grupo de Produtos'!$F$23:$F$39)</f>
        <v>24</v>
      </c>
      <c r="U1088" s="56">
        <f>_xlfn.XLOOKUP($N1088,'Calculo Leads Conveniencia'!$A$77:$A$104,'Calculo Leads Conveniencia'!H$77:H$104)*_xlfn.XLOOKUP($P1088,'Base Grupo de Produtos'!$E$23:$E$39,'Base Grupo de Produtos'!$F$23:$F$39)</f>
        <v>24</v>
      </c>
      <c r="V1088" s="56">
        <f>_xlfn.XLOOKUP($N1088,'Calculo Leads Conveniencia'!$A$77:$A$104,'Calculo Leads Conveniencia'!I$77:I$104)*_xlfn.XLOOKUP($P1088,'Base Grupo de Produtos'!$E$23:$E$39,'Base Grupo de Produtos'!$F$23:$F$39)</f>
        <v>32</v>
      </c>
      <c r="W1088" s="56">
        <f>_xlfn.XLOOKUP($N1088,'Calculo Leads Conveniencia'!$A$77:$A$104,'Calculo Leads Conveniencia'!J$77:J$104)*_xlfn.XLOOKUP($P1088,'Base Grupo de Produtos'!$E$23:$E$39,'Base Grupo de Produtos'!$F$23:$F$39)</f>
        <v>40</v>
      </c>
      <c r="X1088" s="56">
        <f>_xlfn.XLOOKUP($N1088,'Calculo Leads Conveniencia'!$A$77:$A$104,'Calculo Leads Conveniencia'!K$77:K$104)*_xlfn.XLOOKUP($P1088,'Base Grupo de Produtos'!$E$23:$E$39,'Base Grupo de Produtos'!$F$23:$F$39)</f>
        <v>48</v>
      </c>
      <c r="Y1088" s="56">
        <f>_xlfn.XLOOKUP($N1088,'Calculo Leads Conveniencia'!$A$77:$A$104,'Calculo Leads Conveniencia'!L$77:L$104)*_xlfn.XLOOKUP($P1088,'Base Grupo de Produtos'!$E$23:$E$39,'Base Grupo de Produtos'!$F$23:$F$39)</f>
        <v>56</v>
      </c>
      <c r="Z1088" s="56">
        <f>_xlfn.XLOOKUP($N1088,'Calculo Leads Conveniencia'!$A$77:$A$104,'Calculo Leads Conveniencia'!M$77:M$104)*_xlfn.XLOOKUP($P1088,'Base Grupo de Produtos'!$E$23:$E$39,'Base Grupo de Produtos'!$F$23:$F$39)</f>
        <v>64</v>
      </c>
      <c r="AA1088" s="56">
        <f>_xlfn.XLOOKUP($N1088,'Calculo Leads Conveniencia'!$A$77:$A$104,'Calculo Leads Conveniencia'!N$77:N$104)*_xlfn.XLOOKUP($P1088,'Base Grupo de Produtos'!$E$23:$E$39,'Base Grupo de Produtos'!$F$23:$F$39)</f>
        <v>72</v>
      </c>
      <c r="AB1088" s="56">
        <f>_xlfn.XLOOKUP($N1088,'Calculo Leads Conveniencia'!$A$77:$A$104,'Calculo Leads Conveniencia'!O$77:O$104)*_xlfn.XLOOKUP($P1088,'Base Grupo de Produtos'!$E$23:$E$39,'Base Grupo de Produtos'!$F$23:$F$39)</f>
        <v>72</v>
      </c>
      <c r="AC1088" s="61">
        <f t="shared" si="1003"/>
        <v>432</v>
      </c>
      <c r="AD1088" s="28"/>
      <c r="AE1088" s="12"/>
      <c r="AF1088" s="29"/>
      <c r="AG1088" s="9"/>
      <c r="AH1088" s="10"/>
      <c r="AI1088" s="9"/>
      <c r="AJ1088" s="11"/>
      <c r="AK1088" s="9"/>
      <c r="AL1088" s="13"/>
      <c r="AM1088" s="9"/>
    </row>
    <row r="1089" spans="1:39" x14ac:dyDescent="0.3">
      <c r="A1089" s="2" t="str">
        <f t="shared" si="1017"/>
        <v>NÃO</v>
      </c>
      <c r="B1089" s="2" t="str">
        <f>_xlfn.XLOOKUP($N1089,'Base de Grupos'!$A:$A,'Base de Grupos'!$D:$D)</f>
        <v>1000065763</v>
      </c>
      <c r="C1089" s="5" t="str">
        <f>_xlfn.XLOOKUP($N1089,'Base de Grupos'!$A:$A,'Base de Grupos'!$E:$E)</f>
        <v>CANAL VENDA INTERNA</v>
      </c>
      <c r="D1089" s="5" t="str">
        <f>_xlfn.XLOOKUP($N1089,'Base de Grupos'!$A:$A,'Base de Grupos'!$F:$F)</f>
        <v>1000065763</v>
      </c>
      <c r="E1089" s="2" t="str">
        <f>_xlfn.XLOOKUP($N1089,'Base de Grupos'!$A:$A,'Base de Grupos'!$G:$G)</f>
        <v>CANAL VENDA INTERNA</v>
      </c>
      <c r="F1089" s="2" t="str">
        <f>_xlfn.XLOOKUP($N1089,'Base de Grupos'!$A:$A,'Base de Grupos'!$H:$H)</f>
        <v>1000174119</v>
      </c>
      <c r="G1089" s="5" t="str">
        <f>_xlfn.XLOOKUP($N1089,'Base de Grupos'!$A:$A,'Base de Grupos'!$I:$I)</f>
        <v>REGIONAL VENDA INTERNA - CONVENIENCIA</v>
      </c>
      <c r="H1089" s="5" t="str">
        <f>_xlfn.XLOOKUP($N1089,'Base de Grupos'!$A:$A,'Base de Grupos'!$J:$J)</f>
        <v>1000174119</v>
      </c>
      <c r="I1089" s="2" t="str">
        <f>_xlfn.XLOOKUP($N1089,'Base de Grupos'!$A:$A,'Base de Grupos'!$K:$K)</f>
        <v>REGIONAL VENDA INTERNA - CONVENIENCIA</v>
      </c>
      <c r="J1089" s="2" t="str">
        <f>_xlfn.XLOOKUP($N1089,'Base de Grupos'!$A:$A,'Base de Grupos'!$L:$L)</f>
        <v>1000174119</v>
      </c>
      <c r="K1089" s="5" t="str">
        <f>_xlfn.XLOOKUP($N1089,'Base de Grupos'!$A:$A,'Base de Grupos'!$M:$M)</f>
        <v>REGIONAL VENDA INTERNA - CONVENIENCIA</v>
      </c>
      <c r="L1089" s="5" t="str">
        <f t="shared" si="1018"/>
        <v/>
      </c>
      <c r="M1089" s="5" t="str">
        <f>_xlfn.XLOOKUP($N1089,'Base de Grupos'!$A:$A,'Base de Grupos'!$C:$C)</f>
        <v>SP</v>
      </c>
      <c r="N1089" s="3">
        <v>1525</v>
      </c>
      <c r="O1089" s="4" t="s">
        <v>284</v>
      </c>
      <c r="P1089" s="5" t="s">
        <v>85</v>
      </c>
      <c r="Q1089" s="56">
        <v>0</v>
      </c>
      <c r="R1089" s="56">
        <v>0</v>
      </c>
      <c r="S1089" s="56">
        <v>0</v>
      </c>
      <c r="T1089" s="56">
        <f>_xlfn.XLOOKUP($N1089,'Calculo Leads Conveniencia'!$A$77:$A$104,'Calculo Leads Conveniencia'!G$77:G$104)*_xlfn.XLOOKUP($P1089,'Base Grupo de Produtos'!$E$23:$E$39,'Base Grupo de Produtos'!$F$23:$F$39)</f>
        <v>24</v>
      </c>
      <c r="U1089" s="56">
        <f>_xlfn.XLOOKUP($N1089,'Calculo Leads Conveniencia'!$A$77:$A$104,'Calculo Leads Conveniencia'!H$77:H$104)*_xlfn.XLOOKUP($P1089,'Base Grupo de Produtos'!$E$23:$E$39,'Base Grupo de Produtos'!$F$23:$F$39)</f>
        <v>24</v>
      </c>
      <c r="V1089" s="56">
        <f>_xlfn.XLOOKUP($N1089,'Calculo Leads Conveniencia'!$A$77:$A$104,'Calculo Leads Conveniencia'!I$77:I$104)*_xlfn.XLOOKUP($P1089,'Base Grupo de Produtos'!$E$23:$E$39,'Base Grupo de Produtos'!$F$23:$F$39)</f>
        <v>32</v>
      </c>
      <c r="W1089" s="56">
        <f>_xlfn.XLOOKUP($N1089,'Calculo Leads Conveniencia'!$A$77:$A$104,'Calculo Leads Conveniencia'!J$77:J$104)*_xlfn.XLOOKUP($P1089,'Base Grupo de Produtos'!$E$23:$E$39,'Base Grupo de Produtos'!$F$23:$F$39)</f>
        <v>40</v>
      </c>
      <c r="X1089" s="56">
        <f>_xlfn.XLOOKUP($N1089,'Calculo Leads Conveniencia'!$A$77:$A$104,'Calculo Leads Conveniencia'!K$77:K$104)*_xlfn.XLOOKUP($P1089,'Base Grupo de Produtos'!$E$23:$E$39,'Base Grupo de Produtos'!$F$23:$F$39)</f>
        <v>48</v>
      </c>
      <c r="Y1089" s="56">
        <f>_xlfn.XLOOKUP($N1089,'Calculo Leads Conveniencia'!$A$77:$A$104,'Calculo Leads Conveniencia'!L$77:L$104)*_xlfn.XLOOKUP($P1089,'Base Grupo de Produtos'!$E$23:$E$39,'Base Grupo de Produtos'!$F$23:$F$39)</f>
        <v>56</v>
      </c>
      <c r="Z1089" s="56">
        <f>_xlfn.XLOOKUP($N1089,'Calculo Leads Conveniencia'!$A$77:$A$104,'Calculo Leads Conveniencia'!M$77:M$104)*_xlfn.XLOOKUP($P1089,'Base Grupo de Produtos'!$E$23:$E$39,'Base Grupo de Produtos'!$F$23:$F$39)</f>
        <v>64</v>
      </c>
      <c r="AA1089" s="56">
        <f>_xlfn.XLOOKUP($N1089,'Calculo Leads Conveniencia'!$A$77:$A$104,'Calculo Leads Conveniencia'!N$77:N$104)*_xlfn.XLOOKUP($P1089,'Base Grupo de Produtos'!$E$23:$E$39,'Base Grupo de Produtos'!$F$23:$F$39)</f>
        <v>72</v>
      </c>
      <c r="AB1089" s="56">
        <f>_xlfn.XLOOKUP($N1089,'Calculo Leads Conveniencia'!$A$77:$A$104,'Calculo Leads Conveniencia'!O$77:O$104)*_xlfn.XLOOKUP($P1089,'Base Grupo de Produtos'!$E$23:$E$39,'Base Grupo de Produtos'!$F$23:$F$39)</f>
        <v>72</v>
      </c>
      <c r="AC1089" s="61">
        <f t="shared" si="1003"/>
        <v>432</v>
      </c>
      <c r="AD1089" s="28"/>
      <c r="AE1089" s="12"/>
      <c r="AF1089" s="29"/>
      <c r="AG1089" s="9"/>
      <c r="AH1089" s="10"/>
      <c r="AI1089" s="9"/>
      <c r="AJ1089" s="11"/>
      <c r="AK1089" s="9"/>
      <c r="AL1089" s="13"/>
      <c r="AM1089" s="9"/>
    </row>
    <row r="1090" spans="1:39" x14ac:dyDescent="0.3">
      <c r="A1090" s="2" t="str">
        <f t="shared" si="1017"/>
        <v>NÃO</v>
      </c>
      <c r="B1090" s="2" t="str">
        <f>_xlfn.XLOOKUP($N1090,'Base de Grupos'!$A:$A,'Base de Grupos'!$D:$D)</f>
        <v>1000065763</v>
      </c>
      <c r="C1090" s="5" t="str">
        <f>_xlfn.XLOOKUP($N1090,'Base de Grupos'!$A:$A,'Base de Grupos'!$E:$E)</f>
        <v>CANAL VENDA INTERNA</v>
      </c>
      <c r="D1090" s="5" t="str">
        <f>_xlfn.XLOOKUP($N1090,'Base de Grupos'!$A:$A,'Base de Grupos'!$F:$F)</f>
        <v>1000065763</v>
      </c>
      <c r="E1090" s="2" t="str">
        <f>_xlfn.XLOOKUP($N1090,'Base de Grupos'!$A:$A,'Base de Grupos'!$G:$G)</f>
        <v>CANAL VENDA INTERNA</v>
      </c>
      <c r="F1090" s="2" t="str">
        <f>_xlfn.XLOOKUP($N1090,'Base de Grupos'!$A:$A,'Base de Grupos'!$H:$H)</f>
        <v>1000174119</v>
      </c>
      <c r="G1090" s="5" t="str">
        <f>_xlfn.XLOOKUP($N1090,'Base de Grupos'!$A:$A,'Base de Grupos'!$I:$I)</f>
        <v>REGIONAL VENDA INTERNA - CONVENIENCIA</v>
      </c>
      <c r="H1090" s="5" t="str">
        <f>_xlfn.XLOOKUP($N1090,'Base de Grupos'!$A:$A,'Base de Grupos'!$J:$J)</f>
        <v>1000174119</v>
      </c>
      <c r="I1090" s="2" t="str">
        <f>_xlfn.XLOOKUP($N1090,'Base de Grupos'!$A:$A,'Base de Grupos'!$K:$K)</f>
        <v>REGIONAL VENDA INTERNA - CONVENIENCIA</v>
      </c>
      <c r="J1090" s="2" t="str">
        <f>_xlfn.XLOOKUP($N1090,'Base de Grupos'!$A:$A,'Base de Grupos'!$L:$L)</f>
        <v>1000174119</v>
      </c>
      <c r="K1090" s="5" t="str">
        <f>_xlfn.XLOOKUP($N1090,'Base de Grupos'!$A:$A,'Base de Grupos'!$M:$M)</f>
        <v>REGIONAL VENDA INTERNA - CONVENIENCIA</v>
      </c>
      <c r="L1090" s="5" t="str">
        <f t="shared" si="1018"/>
        <v/>
      </c>
      <c r="M1090" s="5" t="str">
        <f>_xlfn.XLOOKUP($N1090,'Base de Grupos'!$A:$A,'Base de Grupos'!$C:$C)</f>
        <v>SP</v>
      </c>
      <c r="N1090" s="3">
        <v>1525</v>
      </c>
      <c r="O1090" s="4" t="s">
        <v>284</v>
      </c>
      <c r="P1090" s="5" t="s">
        <v>92</v>
      </c>
      <c r="Q1090" s="56">
        <v>0</v>
      </c>
      <c r="R1090" s="56">
        <v>0</v>
      </c>
      <c r="S1090" s="56">
        <v>0</v>
      </c>
      <c r="T1090" s="56">
        <f>_xlfn.XLOOKUP($N1090,'Calculo Leads Conveniencia'!$A$77:$A$104,'Calculo Leads Conveniencia'!G$77:G$104)*_xlfn.XLOOKUP($P1090,'Base Grupo de Produtos'!$E$23:$E$39,'Base Grupo de Produtos'!$F$23:$F$39)</f>
        <v>24</v>
      </c>
      <c r="U1090" s="56">
        <f>_xlfn.XLOOKUP($N1090,'Calculo Leads Conveniencia'!$A$77:$A$104,'Calculo Leads Conveniencia'!H$77:H$104)*_xlfn.XLOOKUP($P1090,'Base Grupo de Produtos'!$E$23:$E$39,'Base Grupo de Produtos'!$F$23:$F$39)</f>
        <v>24</v>
      </c>
      <c r="V1090" s="56">
        <f>_xlfn.XLOOKUP($N1090,'Calculo Leads Conveniencia'!$A$77:$A$104,'Calculo Leads Conveniencia'!I$77:I$104)*_xlfn.XLOOKUP($P1090,'Base Grupo de Produtos'!$E$23:$E$39,'Base Grupo de Produtos'!$F$23:$F$39)</f>
        <v>32</v>
      </c>
      <c r="W1090" s="56">
        <f>_xlfn.XLOOKUP($N1090,'Calculo Leads Conveniencia'!$A$77:$A$104,'Calculo Leads Conveniencia'!J$77:J$104)*_xlfn.XLOOKUP($P1090,'Base Grupo de Produtos'!$E$23:$E$39,'Base Grupo de Produtos'!$F$23:$F$39)</f>
        <v>40</v>
      </c>
      <c r="X1090" s="56">
        <f>_xlfn.XLOOKUP($N1090,'Calculo Leads Conveniencia'!$A$77:$A$104,'Calculo Leads Conveniencia'!K$77:K$104)*_xlfn.XLOOKUP($P1090,'Base Grupo de Produtos'!$E$23:$E$39,'Base Grupo de Produtos'!$F$23:$F$39)</f>
        <v>48</v>
      </c>
      <c r="Y1090" s="56">
        <f>_xlfn.XLOOKUP($N1090,'Calculo Leads Conveniencia'!$A$77:$A$104,'Calculo Leads Conveniencia'!L$77:L$104)*_xlfn.XLOOKUP($P1090,'Base Grupo de Produtos'!$E$23:$E$39,'Base Grupo de Produtos'!$F$23:$F$39)</f>
        <v>56</v>
      </c>
      <c r="Z1090" s="56">
        <f>_xlfn.XLOOKUP($N1090,'Calculo Leads Conveniencia'!$A$77:$A$104,'Calculo Leads Conveniencia'!M$77:M$104)*_xlfn.XLOOKUP($P1090,'Base Grupo de Produtos'!$E$23:$E$39,'Base Grupo de Produtos'!$F$23:$F$39)</f>
        <v>64</v>
      </c>
      <c r="AA1090" s="56">
        <f>_xlfn.XLOOKUP($N1090,'Calculo Leads Conveniencia'!$A$77:$A$104,'Calculo Leads Conveniencia'!N$77:N$104)*_xlfn.XLOOKUP($P1090,'Base Grupo de Produtos'!$E$23:$E$39,'Base Grupo de Produtos'!$F$23:$F$39)</f>
        <v>72</v>
      </c>
      <c r="AB1090" s="56">
        <f>_xlfn.XLOOKUP($N1090,'Calculo Leads Conveniencia'!$A$77:$A$104,'Calculo Leads Conveniencia'!O$77:O$104)*_xlfn.XLOOKUP($P1090,'Base Grupo de Produtos'!$E$23:$E$39,'Base Grupo de Produtos'!$F$23:$F$39)</f>
        <v>72</v>
      </c>
      <c r="AC1090" s="61">
        <f t="shared" si="1003"/>
        <v>432</v>
      </c>
      <c r="AD1090" s="28"/>
      <c r="AE1090" s="12"/>
      <c r="AF1090" s="29"/>
      <c r="AG1090" s="9"/>
      <c r="AH1090" s="10"/>
      <c r="AI1090" s="9"/>
      <c r="AJ1090" s="11"/>
      <c r="AK1090" s="9"/>
      <c r="AL1090" s="13"/>
      <c r="AM1090" s="9"/>
    </row>
    <row r="1091" spans="1:39" x14ac:dyDescent="0.3">
      <c r="A1091" s="2" t="str">
        <f t="shared" si="1017"/>
        <v>NÃO</v>
      </c>
      <c r="B1091" s="2" t="str">
        <f>_xlfn.XLOOKUP($N1091,'Base de Grupos'!$A:$A,'Base de Grupos'!$D:$D)</f>
        <v>1000065763</v>
      </c>
      <c r="C1091" s="5" t="str">
        <f>_xlfn.XLOOKUP($N1091,'Base de Grupos'!$A:$A,'Base de Grupos'!$E:$E)</f>
        <v>CANAL VENDA INTERNA</v>
      </c>
      <c r="D1091" s="5" t="str">
        <f>_xlfn.XLOOKUP($N1091,'Base de Grupos'!$A:$A,'Base de Grupos'!$F:$F)</f>
        <v>1000065763</v>
      </c>
      <c r="E1091" s="2" t="str">
        <f>_xlfn.XLOOKUP($N1091,'Base de Grupos'!$A:$A,'Base de Grupos'!$G:$G)</f>
        <v>CANAL VENDA INTERNA</v>
      </c>
      <c r="F1091" s="2" t="str">
        <f>_xlfn.XLOOKUP($N1091,'Base de Grupos'!$A:$A,'Base de Grupos'!$H:$H)</f>
        <v>1000174119</v>
      </c>
      <c r="G1091" s="5" t="str">
        <f>_xlfn.XLOOKUP($N1091,'Base de Grupos'!$A:$A,'Base de Grupos'!$I:$I)</f>
        <v>REGIONAL VENDA INTERNA - CONVENIENCIA</v>
      </c>
      <c r="H1091" s="5" t="str">
        <f>_xlfn.XLOOKUP($N1091,'Base de Grupos'!$A:$A,'Base de Grupos'!$J:$J)</f>
        <v>1000174119</v>
      </c>
      <c r="I1091" s="2" t="str">
        <f>_xlfn.XLOOKUP($N1091,'Base de Grupos'!$A:$A,'Base de Grupos'!$K:$K)</f>
        <v>REGIONAL VENDA INTERNA - CONVENIENCIA</v>
      </c>
      <c r="J1091" s="2" t="str">
        <f>_xlfn.XLOOKUP($N1091,'Base de Grupos'!$A:$A,'Base de Grupos'!$L:$L)</f>
        <v>1000174119</v>
      </c>
      <c r="K1091" s="5" t="str">
        <f>_xlfn.XLOOKUP($N1091,'Base de Grupos'!$A:$A,'Base de Grupos'!$M:$M)</f>
        <v>REGIONAL VENDA INTERNA - CONVENIENCIA</v>
      </c>
      <c r="L1091" s="5" t="str">
        <f t="shared" si="1018"/>
        <v/>
      </c>
      <c r="M1091" s="5" t="str">
        <f>_xlfn.XLOOKUP($N1091,'Base de Grupos'!$A:$A,'Base de Grupos'!$C:$C)</f>
        <v>SP</v>
      </c>
      <c r="N1091" s="3">
        <v>1525</v>
      </c>
      <c r="O1091" s="4" t="s">
        <v>284</v>
      </c>
      <c r="P1091" s="5" t="s">
        <v>86</v>
      </c>
      <c r="Q1091" s="56">
        <v>0</v>
      </c>
      <c r="R1091" s="56">
        <v>0</v>
      </c>
      <c r="S1091" s="56">
        <v>0</v>
      </c>
      <c r="T1091" s="56">
        <f>_xlfn.XLOOKUP($N1091,'Calculo Leads Conveniencia'!$A$77:$A$104,'Calculo Leads Conveniencia'!G$77:G$104)*_xlfn.XLOOKUP($P1091,'Base Grupo de Produtos'!$E$23:$E$39,'Base Grupo de Produtos'!$F$23:$F$39)</f>
        <v>144</v>
      </c>
      <c r="U1091" s="56">
        <f>_xlfn.XLOOKUP($N1091,'Calculo Leads Conveniencia'!$A$77:$A$104,'Calculo Leads Conveniencia'!H$77:H$104)*_xlfn.XLOOKUP($P1091,'Base Grupo de Produtos'!$E$23:$E$39,'Base Grupo de Produtos'!$F$23:$F$39)</f>
        <v>144</v>
      </c>
      <c r="V1091" s="56">
        <f>_xlfn.XLOOKUP($N1091,'Calculo Leads Conveniencia'!$A$77:$A$104,'Calculo Leads Conveniencia'!I$77:I$104)*_xlfn.XLOOKUP($P1091,'Base Grupo de Produtos'!$E$23:$E$39,'Base Grupo de Produtos'!$F$23:$F$39)</f>
        <v>192</v>
      </c>
      <c r="W1091" s="56">
        <f>_xlfn.XLOOKUP($N1091,'Calculo Leads Conveniencia'!$A$77:$A$104,'Calculo Leads Conveniencia'!J$77:J$104)*_xlfn.XLOOKUP($P1091,'Base Grupo de Produtos'!$E$23:$E$39,'Base Grupo de Produtos'!$F$23:$F$39)</f>
        <v>240</v>
      </c>
      <c r="X1091" s="56">
        <f>_xlfn.XLOOKUP($N1091,'Calculo Leads Conveniencia'!$A$77:$A$104,'Calculo Leads Conveniencia'!K$77:K$104)*_xlfn.XLOOKUP($P1091,'Base Grupo de Produtos'!$E$23:$E$39,'Base Grupo de Produtos'!$F$23:$F$39)</f>
        <v>288</v>
      </c>
      <c r="Y1091" s="56">
        <f>_xlfn.XLOOKUP($N1091,'Calculo Leads Conveniencia'!$A$77:$A$104,'Calculo Leads Conveniencia'!L$77:L$104)*_xlfn.XLOOKUP($P1091,'Base Grupo de Produtos'!$E$23:$E$39,'Base Grupo de Produtos'!$F$23:$F$39)</f>
        <v>336</v>
      </c>
      <c r="Z1091" s="56">
        <f>_xlfn.XLOOKUP($N1091,'Calculo Leads Conveniencia'!$A$77:$A$104,'Calculo Leads Conveniencia'!M$77:M$104)*_xlfn.XLOOKUP($P1091,'Base Grupo de Produtos'!$E$23:$E$39,'Base Grupo de Produtos'!$F$23:$F$39)</f>
        <v>384</v>
      </c>
      <c r="AA1091" s="56">
        <f>_xlfn.XLOOKUP($N1091,'Calculo Leads Conveniencia'!$A$77:$A$104,'Calculo Leads Conveniencia'!N$77:N$104)*_xlfn.XLOOKUP($P1091,'Base Grupo de Produtos'!$E$23:$E$39,'Base Grupo de Produtos'!$F$23:$F$39)</f>
        <v>432</v>
      </c>
      <c r="AB1091" s="56">
        <f>_xlfn.XLOOKUP($N1091,'Calculo Leads Conveniencia'!$A$77:$A$104,'Calculo Leads Conveniencia'!O$77:O$104)*_xlfn.XLOOKUP($P1091,'Base Grupo de Produtos'!$E$23:$E$39,'Base Grupo de Produtos'!$F$23:$F$39)</f>
        <v>432</v>
      </c>
      <c r="AC1091" s="61">
        <f t="shared" si="1003"/>
        <v>2592</v>
      </c>
      <c r="AD1091" s="28"/>
      <c r="AE1091" s="12"/>
      <c r="AF1091" s="29"/>
      <c r="AG1091" s="9"/>
      <c r="AH1091" s="10"/>
      <c r="AI1091" s="9"/>
      <c r="AJ1091" s="11"/>
      <c r="AK1091" s="9"/>
      <c r="AL1091" s="13"/>
      <c r="AM1091" s="9"/>
    </row>
    <row r="1092" spans="1:39" x14ac:dyDescent="0.3">
      <c r="A1092" s="2" t="str">
        <f t="shared" si="1017"/>
        <v>NÃO</v>
      </c>
      <c r="B1092" s="2" t="str">
        <f>_xlfn.XLOOKUP($N1092,'Base de Grupos'!$A:$A,'Base de Grupos'!$D:$D)</f>
        <v>1000065763</v>
      </c>
      <c r="C1092" s="5" t="str">
        <f>_xlfn.XLOOKUP($N1092,'Base de Grupos'!$A:$A,'Base de Grupos'!$E:$E)</f>
        <v>CANAL VENDA INTERNA</v>
      </c>
      <c r="D1092" s="5" t="str">
        <f>_xlfn.XLOOKUP($N1092,'Base de Grupos'!$A:$A,'Base de Grupos'!$F:$F)</f>
        <v>1000065763</v>
      </c>
      <c r="E1092" s="2" t="str">
        <f>_xlfn.XLOOKUP($N1092,'Base de Grupos'!$A:$A,'Base de Grupos'!$G:$G)</f>
        <v>CANAL VENDA INTERNA</v>
      </c>
      <c r="F1092" s="2" t="str">
        <f>_xlfn.XLOOKUP($N1092,'Base de Grupos'!$A:$A,'Base de Grupos'!$H:$H)</f>
        <v>1000174119</v>
      </c>
      <c r="G1092" s="5" t="str">
        <f>_xlfn.XLOOKUP($N1092,'Base de Grupos'!$A:$A,'Base de Grupos'!$I:$I)</f>
        <v>REGIONAL VENDA INTERNA - CONVENIENCIA</v>
      </c>
      <c r="H1092" s="5" t="str">
        <f>_xlfn.XLOOKUP($N1092,'Base de Grupos'!$A:$A,'Base de Grupos'!$J:$J)</f>
        <v>1000174119</v>
      </c>
      <c r="I1092" s="2" t="str">
        <f>_xlfn.XLOOKUP($N1092,'Base de Grupos'!$A:$A,'Base de Grupos'!$K:$K)</f>
        <v>REGIONAL VENDA INTERNA - CONVENIENCIA</v>
      </c>
      <c r="J1092" s="2" t="str">
        <f>_xlfn.XLOOKUP($N1092,'Base de Grupos'!$A:$A,'Base de Grupos'!$L:$L)</f>
        <v>1000174119</v>
      </c>
      <c r="K1092" s="5" t="str">
        <f>_xlfn.XLOOKUP($N1092,'Base de Grupos'!$A:$A,'Base de Grupos'!$M:$M)</f>
        <v>REGIONAL VENDA INTERNA - CONVENIENCIA</v>
      </c>
      <c r="L1092" s="5" t="str">
        <f t="shared" si="1018"/>
        <v/>
      </c>
      <c r="M1092" s="5" t="str">
        <f>_xlfn.XLOOKUP($N1092,'Base de Grupos'!$A:$A,'Base de Grupos'!$C:$C)</f>
        <v>SP</v>
      </c>
      <c r="N1092" s="3">
        <v>1525</v>
      </c>
      <c r="O1092" s="4" t="s">
        <v>284</v>
      </c>
      <c r="P1092" s="5" t="s">
        <v>108</v>
      </c>
      <c r="Q1092" s="56">
        <v>0</v>
      </c>
      <c r="R1092" s="56">
        <v>0</v>
      </c>
      <c r="S1092" s="56">
        <v>0</v>
      </c>
      <c r="T1092" s="56">
        <f>_xlfn.XLOOKUP($N1092,'Calculo Leads Conveniencia'!$A$77:$A$104,'Calculo Leads Conveniencia'!G$77:G$104)*_xlfn.XLOOKUP($P1092,'Base Grupo de Produtos'!$E$23:$E$39,'Base Grupo de Produtos'!$F$23:$F$39)</f>
        <v>0</v>
      </c>
      <c r="U1092" s="56">
        <f>_xlfn.XLOOKUP($N1092,'Calculo Leads Conveniencia'!$A$77:$A$104,'Calculo Leads Conveniencia'!H$77:H$104)*_xlfn.XLOOKUP($P1092,'Base Grupo de Produtos'!$E$23:$E$39,'Base Grupo de Produtos'!$F$23:$F$39)</f>
        <v>0</v>
      </c>
      <c r="V1092" s="56">
        <f>_xlfn.XLOOKUP($N1092,'Calculo Leads Conveniencia'!$A$77:$A$104,'Calculo Leads Conveniencia'!I$77:I$104)*_xlfn.XLOOKUP($P1092,'Base Grupo de Produtos'!$E$23:$E$39,'Base Grupo de Produtos'!$F$23:$F$39)</f>
        <v>0</v>
      </c>
      <c r="W1092" s="56">
        <f>_xlfn.XLOOKUP($N1092,'Calculo Leads Conveniencia'!$A$77:$A$104,'Calculo Leads Conveniencia'!J$77:J$104)*_xlfn.XLOOKUP($P1092,'Base Grupo de Produtos'!$E$23:$E$39,'Base Grupo de Produtos'!$F$23:$F$39)</f>
        <v>0</v>
      </c>
      <c r="X1092" s="56">
        <f>_xlfn.XLOOKUP($N1092,'Calculo Leads Conveniencia'!$A$77:$A$104,'Calculo Leads Conveniencia'!K$77:K$104)*_xlfn.XLOOKUP($P1092,'Base Grupo de Produtos'!$E$23:$E$39,'Base Grupo de Produtos'!$F$23:$F$39)</f>
        <v>0</v>
      </c>
      <c r="Y1092" s="56">
        <f>_xlfn.XLOOKUP($N1092,'Calculo Leads Conveniencia'!$A$77:$A$104,'Calculo Leads Conveniencia'!L$77:L$104)*_xlfn.XLOOKUP($P1092,'Base Grupo de Produtos'!$E$23:$E$39,'Base Grupo de Produtos'!$F$23:$F$39)</f>
        <v>0</v>
      </c>
      <c r="Z1092" s="56">
        <f>_xlfn.XLOOKUP($N1092,'Calculo Leads Conveniencia'!$A$77:$A$104,'Calculo Leads Conveniencia'!M$77:M$104)*_xlfn.XLOOKUP($P1092,'Base Grupo de Produtos'!$E$23:$E$39,'Base Grupo de Produtos'!$F$23:$F$39)</f>
        <v>0</v>
      </c>
      <c r="AA1092" s="56">
        <f>_xlfn.XLOOKUP($N1092,'Calculo Leads Conveniencia'!$A$77:$A$104,'Calculo Leads Conveniencia'!N$77:N$104)*_xlfn.XLOOKUP($P1092,'Base Grupo de Produtos'!$E$23:$E$39,'Base Grupo de Produtos'!$F$23:$F$39)</f>
        <v>0</v>
      </c>
      <c r="AB1092" s="56">
        <f>_xlfn.XLOOKUP($N1092,'Calculo Leads Conveniencia'!$A$77:$A$104,'Calculo Leads Conveniencia'!O$77:O$104)*_xlfn.XLOOKUP($P1092,'Base Grupo de Produtos'!$E$23:$E$39,'Base Grupo de Produtos'!$F$23:$F$39)</f>
        <v>0</v>
      </c>
      <c r="AC1092" s="61">
        <f t="shared" si="1003"/>
        <v>0</v>
      </c>
      <c r="AD1092" s="28"/>
      <c r="AE1092" s="12"/>
      <c r="AF1092" s="29"/>
      <c r="AG1092" s="9"/>
      <c r="AH1092" s="10"/>
      <c r="AI1092" s="9"/>
      <c r="AJ1092" s="11"/>
      <c r="AK1092" s="9"/>
      <c r="AL1092" s="13"/>
      <c r="AM1092" s="9"/>
    </row>
    <row r="1093" spans="1:39" x14ac:dyDescent="0.3">
      <c r="A1093" s="2" t="str">
        <f t="shared" si="1017"/>
        <v>NÃO</v>
      </c>
      <c r="B1093" s="2" t="str">
        <f>_xlfn.XLOOKUP($N1093,'Base de Grupos'!$A:$A,'Base de Grupos'!$D:$D)</f>
        <v>1000065763</v>
      </c>
      <c r="C1093" s="5" t="str">
        <f>_xlfn.XLOOKUP($N1093,'Base de Grupos'!$A:$A,'Base de Grupos'!$E:$E)</f>
        <v>CANAL VENDA INTERNA</v>
      </c>
      <c r="D1093" s="5" t="str">
        <f>_xlfn.XLOOKUP($N1093,'Base de Grupos'!$A:$A,'Base de Grupos'!$F:$F)</f>
        <v>1000065763</v>
      </c>
      <c r="E1093" s="2" t="str">
        <f>_xlfn.XLOOKUP($N1093,'Base de Grupos'!$A:$A,'Base de Grupos'!$G:$G)</f>
        <v>CANAL VENDA INTERNA</v>
      </c>
      <c r="F1093" s="2" t="str">
        <f>_xlfn.XLOOKUP($N1093,'Base de Grupos'!$A:$A,'Base de Grupos'!$H:$H)</f>
        <v>1000174119</v>
      </c>
      <c r="G1093" s="5" t="str">
        <f>_xlfn.XLOOKUP($N1093,'Base de Grupos'!$A:$A,'Base de Grupos'!$I:$I)</f>
        <v>REGIONAL VENDA INTERNA - CONVENIENCIA</v>
      </c>
      <c r="H1093" s="5" t="str">
        <f>_xlfn.XLOOKUP($N1093,'Base de Grupos'!$A:$A,'Base de Grupos'!$J:$J)</f>
        <v>1000174119</v>
      </c>
      <c r="I1093" s="2" t="str">
        <f>_xlfn.XLOOKUP($N1093,'Base de Grupos'!$A:$A,'Base de Grupos'!$K:$K)</f>
        <v>REGIONAL VENDA INTERNA - CONVENIENCIA</v>
      </c>
      <c r="J1093" s="2" t="str">
        <f>_xlfn.XLOOKUP($N1093,'Base de Grupos'!$A:$A,'Base de Grupos'!$L:$L)</f>
        <v>1000174119</v>
      </c>
      <c r="K1093" s="5" t="str">
        <f>_xlfn.XLOOKUP($N1093,'Base de Grupos'!$A:$A,'Base de Grupos'!$M:$M)</f>
        <v>REGIONAL VENDA INTERNA - CONVENIENCIA</v>
      </c>
      <c r="L1093" s="5" t="str">
        <f t="shared" si="1018"/>
        <v/>
      </c>
      <c r="M1093" s="5" t="str">
        <f>_xlfn.XLOOKUP($N1093,'Base de Grupos'!$A:$A,'Base de Grupos'!$C:$C)</f>
        <v>SP</v>
      </c>
      <c r="N1093" s="3">
        <v>1525</v>
      </c>
      <c r="O1093" s="4" t="s">
        <v>284</v>
      </c>
      <c r="P1093" s="5" t="s">
        <v>89</v>
      </c>
      <c r="Q1093" s="56">
        <v>0</v>
      </c>
      <c r="R1093" s="56">
        <v>0</v>
      </c>
      <c r="S1093" s="56">
        <v>0</v>
      </c>
      <c r="T1093" s="56">
        <f>_xlfn.XLOOKUP($N1093,'Calculo Leads Conveniencia'!$A$77:$A$104,'Calculo Leads Conveniencia'!G$77:G$104)*_xlfn.XLOOKUP($P1093,'Base Grupo de Produtos'!$E$23:$E$39,'Base Grupo de Produtos'!$F$23:$F$39)</f>
        <v>240</v>
      </c>
      <c r="U1093" s="56">
        <f>_xlfn.XLOOKUP($N1093,'Calculo Leads Conveniencia'!$A$77:$A$104,'Calculo Leads Conveniencia'!H$77:H$104)*_xlfn.XLOOKUP($P1093,'Base Grupo de Produtos'!$E$23:$E$39,'Base Grupo de Produtos'!$F$23:$F$39)</f>
        <v>240</v>
      </c>
      <c r="V1093" s="56">
        <f>_xlfn.XLOOKUP($N1093,'Calculo Leads Conveniencia'!$A$77:$A$104,'Calculo Leads Conveniencia'!I$77:I$104)*_xlfn.XLOOKUP($P1093,'Base Grupo de Produtos'!$E$23:$E$39,'Base Grupo de Produtos'!$F$23:$F$39)</f>
        <v>320</v>
      </c>
      <c r="W1093" s="56">
        <f>_xlfn.XLOOKUP($N1093,'Calculo Leads Conveniencia'!$A$77:$A$104,'Calculo Leads Conveniencia'!J$77:J$104)*_xlfn.XLOOKUP($P1093,'Base Grupo de Produtos'!$E$23:$E$39,'Base Grupo de Produtos'!$F$23:$F$39)</f>
        <v>400</v>
      </c>
      <c r="X1093" s="56">
        <f>_xlfn.XLOOKUP($N1093,'Calculo Leads Conveniencia'!$A$77:$A$104,'Calculo Leads Conveniencia'!K$77:K$104)*_xlfn.XLOOKUP($P1093,'Base Grupo de Produtos'!$E$23:$E$39,'Base Grupo de Produtos'!$F$23:$F$39)</f>
        <v>480</v>
      </c>
      <c r="Y1093" s="56">
        <f>_xlfn.XLOOKUP($N1093,'Calculo Leads Conveniencia'!$A$77:$A$104,'Calculo Leads Conveniencia'!L$77:L$104)*_xlfn.XLOOKUP($P1093,'Base Grupo de Produtos'!$E$23:$E$39,'Base Grupo de Produtos'!$F$23:$F$39)</f>
        <v>560</v>
      </c>
      <c r="Z1093" s="56">
        <f>_xlfn.XLOOKUP($N1093,'Calculo Leads Conveniencia'!$A$77:$A$104,'Calculo Leads Conveniencia'!M$77:M$104)*_xlfn.XLOOKUP($P1093,'Base Grupo de Produtos'!$E$23:$E$39,'Base Grupo de Produtos'!$F$23:$F$39)</f>
        <v>640</v>
      </c>
      <c r="AA1093" s="56">
        <f>_xlfn.XLOOKUP($N1093,'Calculo Leads Conveniencia'!$A$77:$A$104,'Calculo Leads Conveniencia'!N$77:N$104)*_xlfn.XLOOKUP($P1093,'Base Grupo de Produtos'!$E$23:$E$39,'Base Grupo de Produtos'!$F$23:$F$39)</f>
        <v>720</v>
      </c>
      <c r="AB1093" s="56">
        <f>_xlfn.XLOOKUP($N1093,'Calculo Leads Conveniencia'!$A$77:$A$104,'Calculo Leads Conveniencia'!O$77:O$104)*_xlfn.XLOOKUP($P1093,'Base Grupo de Produtos'!$E$23:$E$39,'Base Grupo de Produtos'!$F$23:$F$39)</f>
        <v>720</v>
      </c>
      <c r="AC1093" s="61">
        <f t="shared" ref="AC1093:AC1136" si="1045">SUM(T1093:AB1093)</f>
        <v>4320</v>
      </c>
      <c r="AD1093" s="28"/>
      <c r="AE1093" s="12"/>
      <c r="AF1093" s="29"/>
      <c r="AG1093" s="9"/>
      <c r="AH1093" s="10"/>
      <c r="AI1093" s="9"/>
      <c r="AJ1093" s="11"/>
      <c r="AK1093" s="9"/>
      <c r="AL1093" s="13"/>
      <c r="AM1093" s="9"/>
    </row>
    <row r="1094" spans="1:39" x14ac:dyDescent="0.3">
      <c r="A1094" s="2" t="str">
        <f t="shared" si="1017"/>
        <v>NÃO</v>
      </c>
      <c r="B1094" s="2" t="str">
        <f>_xlfn.XLOOKUP($N1094,'Base de Grupos'!$A:$A,'Base de Grupos'!$D:$D)</f>
        <v>1000065763</v>
      </c>
      <c r="C1094" s="5" t="str">
        <f>_xlfn.XLOOKUP($N1094,'Base de Grupos'!$A:$A,'Base de Grupos'!$E:$E)</f>
        <v>CANAL VENDA INTERNA</v>
      </c>
      <c r="D1094" s="5" t="str">
        <f>_xlfn.XLOOKUP($N1094,'Base de Grupos'!$A:$A,'Base de Grupos'!$F:$F)</f>
        <v>1000065763</v>
      </c>
      <c r="E1094" s="2" t="str">
        <f>_xlfn.XLOOKUP($N1094,'Base de Grupos'!$A:$A,'Base de Grupos'!$G:$G)</f>
        <v>CANAL VENDA INTERNA</v>
      </c>
      <c r="F1094" s="2" t="str">
        <f>_xlfn.XLOOKUP($N1094,'Base de Grupos'!$A:$A,'Base de Grupos'!$H:$H)</f>
        <v>1000174119</v>
      </c>
      <c r="G1094" s="5" t="str">
        <f>_xlfn.XLOOKUP($N1094,'Base de Grupos'!$A:$A,'Base de Grupos'!$I:$I)</f>
        <v>REGIONAL VENDA INTERNA - CONVENIENCIA</v>
      </c>
      <c r="H1094" s="5" t="str">
        <f>_xlfn.XLOOKUP($N1094,'Base de Grupos'!$A:$A,'Base de Grupos'!$J:$J)</f>
        <v>1000174119</v>
      </c>
      <c r="I1094" s="2" t="str">
        <f>_xlfn.XLOOKUP($N1094,'Base de Grupos'!$A:$A,'Base de Grupos'!$K:$K)</f>
        <v>REGIONAL VENDA INTERNA - CONVENIENCIA</v>
      </c>
      <c r="J1094" s="2" t="str">
        <f>_xlfn.XLOOKUP($N1094,'Base de Grupos'!$A:$A,'Base de Grupos'!$L:$L)</f>
        <v>1000174119</v>
      </c>
      <c r="K1094" s="5" t="str">
        <f>_xlfn.XLOOKUP($N1094,'Base de Grupos'!$A:$A,'Base de Grupos'!$M:$M)</f>
        <v>REGIONAL VENDA INTERNA - CONVENIENCIA</v>
      </c>
      <c r="L1094" s="5" t="str">
        <f t="shared" si="1018"/>
        <v/>
      </c>
      <c r="M1094" s="5" t="str">
        <f>_xlfn.XLOOKUP($N1094,'Base de Grupos'!$A:$A,'Base de Grupos'!$C:$C)</f>
        <v>SP</v>
      </c>
      <c r="N1094" s="3">
        <v>1525</v>
      </c>
      <c r="O1094" s="4" t="s">
        <v>284</v>
      </c>
      <c r="P1094" s="5" t="s">
        <v>88</v>
      </c>
      <c r="Q1094" s="56">
        <v>0</v>
      </c>
      <c r="R1094" s="56">
        <v>0</v>
      </c>
      <c r="S1094" s="56">
        <v>0</v>
      </c>
      <c r="T1094" s="56">
        <f>_xlfn.XLOOKUP($N1094,'Calculo Leads Conveniencia'!$A$77:$A$104,'Calculo Leads Conveniencia'!G$77:G$104)*_xlfn.XLOOKUP($P1094,'Base Grupo de Produtos'!$E$23:$E$39,'Base Grupo de Produtos'!$F$23:$F$39)</f>
        <v>24</v>
      </c>
      <c r="U1094" s="56">
        <f>_xlfn.XLOOKUP($N1094,'Calculo Leads Conveniencia'!$A$77:$A$104,'Calculo Leads Conveniencia'!H$77:H$104)*_xlfn.XLOOKUP($P1094,'Base Grupo de Produtos'!$E$23:$E$39,'Base Grupo de Produtos'!$F$23:$F$39)</f>
        <v>24</v>
      </c>
      <c r="V1094" s="56">
        <f>_xlfn.XLOOKUP($N1094,'Calculo Leads Conveniencia'!$A$77:$A$104,'Calculo Leads Conveniencia'!I$77:I$104)*_xlfn.XLOOKUP($P1094,'Base Grupo de Produtos'!$E$23:$E$39,'Base Grupo de Produtos'!$F$23:$F$39)</f>
        <v>32</v>
      </c>
      <c r="W1094" s="56">
        <f>_xlfn.XLOOKUP($N1094,'Calculo Leads Conveniencia'!$A$77:$A$104,'Calculo Leads Conveniencia'!J$77:J$104)*_xlfn.XLOOKUP($P1094,'Base Grupo de Produtos'!$E$23:$E$39,'Base Grupo de Produtos'!$F$23:$F$39)</f>
        <v>40</v>
      </c>
      <c r="X1094" s="56">
        <f>_xlfn.XLOOKUP($N1094,'Calculo Leads Conveniencia'!$A$77:$A$104,'Calculo Leads Conveniencia'!K$77:K$104)*_xlfn.XLOOKUP($P1094,'Base Grupo de Produtos'!$E$23:$E$39,'Base Grupo de Produtos'!$F$23:$F$39)</f>
        <v>48</v>
      </c>
      <c r="Y1094" s="56">
        <f>_xlfn.XLOOKUP($N1094,'Calculo Leads Conveniencia'!$A$77:$A$104,'Calculo Leads Conveniencia'!L$77:L$104)*_xlfn.XLOOKUP($P1094,'Base Grupo de Produtos'!$E$23:$E$39,'Base Grupo de Produtos'!$F$23:$F$39)</f>
        <v>56</v>
      </c>
      <c r="Z1094" s="56">
        <f>_xlfn.XLOOKUP($N1094,'Calculo Leads Conveniencia'!$A$77:$A$104,'Calculo Leads Conveniencia'!M$77:M$104)*_xlfn.XLOOKUP($P1094,'Base Grupo de Produtos'!$E$23:$E$39,'Base Grupo de Produtos'!$F$23:$F$39)</f>
        <v>64</v>
      </c>
      <c r="AA1094" s="56">
        <f>_xlfn.XLOOKUP($N1094,'Calculo Leads Conveniencia'!$A$77:$A$104,'Calculo Leads Conveniencia'!N$77:N$104)*_xlfn.XLOOKUP($P1094,'Base Grupo de Produtos'!$E$23:$E$39,'Base Grupo de Produtos'!$F$23:$F$39)</f>
        <v>72</v>
      </c>
      <c r="AB1094" s="56">
        <f>_xlfn.XLOOKUP($N1094,'Calculo Leads Conveniencia'!$A$77:$A$104,'Calculo Leads Conveniencia'!O$77:O$104)*_xlfn.XLOOKUP($P1094,'Base Grupo de Produtos'!$E$23:$E$39,'Base Grupo de Produtos'!$F$23:$F$39)</f>
        <v>72</v>
      </c>
      <c r="AC1094" s="61">
        <f t="shared" si="1045"/>
        <v>432</v>
      </c>
      <c r="AD1094" s="28"/>
      <c r="AE1094" s="12"/>
      <c r="AF1094" s="29"/>
      <c r="AG1094" s="9"/>
      <c r="AH1094" s="10"/>
      <c r="AI1094" s="9"/>
      <c r="AJ1094" s="11"/>
      <c r="AK1094" s="9"/>
      <c r="AL1094" s="13"/>
      <c r="AM1094" s="9"/>
    </row>
    <row r="1095" spans="1:39" x14ac:dyDescent="0.3">
      <c r="A1095" s="2" t="str">
        <f t="shared" si="1017"/>
        <v>NÃO</v>
      </c>
      <c r="B1095" s="2" t="str">
        <f>_xlfn.XLOOKUP($N1095,'Base de Grupos'!$A:$A,'Base de Grupos'!$D:$D)</f>
        <v>1000065763</v>
      </c>
      <c r="C1095" s="5" t="str">
        <f>_xlfn.XLOOKUP($N1095,'Base de Grupos'!$A:$A,'Base de Grupos'!$E:$E)</f>
        <v>CANAL VENDA INTERNA</v>
      </c>
      <c r="D1095" s="5" t="str">
        <f>_xlfn.XLOOKUP($N1095,'Base de Grupos'!$A:$A,'Base de Grupos'!$F:$F)</f>
        <v>1000065763</v>
      </c>
      <c r="E1095" s="2" t="str">
        <f>_xlfn.XLOOKUP($N1095,'Base de Grupos'!$A:$A,'Base de Grupos'!$G:$G)</f>
        <v>CANAL VENDA INTERNA</v>
      </c>
      <c r="F1095" s="2" t="str">
        <f>_xlfn.XLOOKUP($N1095,'Base de Grupos'!$A:$A,'Base de Grupos'!$H:$H)</f>
        <v>1000174119</v>
      </c>
      <c r="G1095" s="5" t="str">
        <f>_xlfn.XLOOKUP($N1095,'Base de Grupos'!$A:$A,'Base de Grupos'!$I:$I)</f>
        <v>REGIONAL VENDA INTERNA - CONVENIENCIA</v>
      </c>
      <c r="H1095" s="5" t="str">
        <f>_xlfn.XLOOKUP($N1095,'Base de Grupos'!$A:$A,'Base de Grupos'!$J:$J)</f>
        <v>1000174119</v>
      </c>
      <c r="I1095" s="2" t="str">
        <f>_xlfn.XLOOKUP($N1095,'Base de Grupos'!$A:$A,'Base de Grupos'!$K:$K)</f>
        <v>REGIONAL VENDA INTERNA - CONVENIENCIA</v>
      </c>
      <c r="J1095" s="2" t="str">
        <f>_xlfn.XLOOKUP($N1095,'Base de Grupos'!$A:$A,'Base de Grupos'!$L:$L)</f>
        <v>1000174119</v>
      </c>
      <c r="K1095" s="5" t="str">
        <f>_xlfn.XLOOKUP($N1095,'Base de Grupos'!$A:$A,'Base de Grupos'!$M:$M)</f>
        <v>REGIONAL VENDA INTERNA - CONVENIENCIA</v>
      </c>
      <c r="L1095" s="5" t="str">
        <f t="shared" si="1018"/>
        <v/>
      </c>
      <c r="M1095" s="5" t="str">
        <f>_xlfn.XLOOKUP($N1095,'Base de Grupos'!$A:$A,'Base de Grupos'!$C:$C)</f>
        <v>SP</v>
      </c>
      <c r="N1095" s="3">
        <v>1525</v>
      </c>
      <c r="O1095" s="4" t="s">
        <v>284</v>
      </c>
      <c r="P1095" s="5" t="s">
        <v>90</v>
      </c>
      <c r="Q1095" s="56">
        <v>0</v>
      </c>
      <c r="R1095" s="56">
        <v>0</v>
      </c>
      <c r="S1095" s="56">
        <v>0</v>
      </c>
      <c r="T1095" s="56">
        <f>_xlfn.XLOOKUP($N1095,'Calculo Leads Conveniencia'!$A$77:$A$104,'Calculo Leads Conveniencia'!G$77:G$104)*_xlfn.XLOOKUP($P1095,'Base Grupo de Produtos'!$E$23:$E$39,'Base Grupo de Produtos'!$F$23:$F$39)</f>
        <v>24</v>
      </c>
      <c r="U1095" s="56">
        <f>_xlfn.XLOOKUP($N1095,'Calculo Leads Conveniencia'!$A$77:$A$104,'Calculo Leads Conveniencia'!H$77:H$104)*_xlfn.XLOOKUP($P1095,'Base Grupo de Produtos'!$E$23:$E$39,'Base Grupo de Produtos'!$F$23:$F$39)</f>
        <v>24</v>
      </c>
      <c r="V1095" s="56">
        <f>_xlfn.XLOOKUP($N1095,'Calculo Leads Conveniencia'!$A$77:$A$104,'Calculo Leads Conveniencia'!I$77:I$104)*_xlfn.XLOOKUP($P1095,'Base Grupo de Produtos'!$E$23:$E$39,'Base Grupo de Produtos'!$F$23:$F$39)</f>
        <v>32</v>
      </c>
      <c r="W1095" s="56">
        <f>_xlfn.XLOOKUP($N1095,'Calculo Leads Conveniencia'!$A$77:$A$104,'Calculo Leads Conveniencia'!J$77:J$104)*_xlfn.XLOOKUP($P1095,'Base Grupo de Produtos'!$E$23:$E$39,'Base Grupo de Produtos'!$F$23:$F$39)</f>
        <v>40</v>
      </c>
      <c r="X1095" s="56">
        <f>_xlfn.XLOOKUP($N1095,'Calculo Leads Conveniencia'!$A$77:$A$104,'Calculo Leads Conveniencia'!K$77:K$104)*_xlfn.XLOOKUP($P1095,'Base Grupo de Produtos'!$E$23:$E$39,'Base Grupo de Produtos'!$F$23:$F$39)</f>
        <v>48</v>
      </c>
      <c r="Y1095" s="56">
        <f>_xlfn.XLOOKUP($N1095,'Calculo Leads Conveniencia'!$A$77:$A$104,'Calculo Leads Conveniencia'!L$77:L$104)*_xlfn.XLOOKUP($P1095,'Base Grupo de Produtos'!$E$23:$E$39,'Base Grupo de Produtos'!$F$23:$F$39)</f>
        <v>56</v>
      </c>
      <c r="Z1095" s="56">
        <f>_xlfn.XLOOKUP($N1095,'Calculo Leads Conveniencia'!$A$77:$A$104,'Calculo Leads Conveniencia'!M$77:M$104)*_xlfn.XLOOKUP($P1095,'Base Grupo de Produtos'!$E$23:$E$39,'Base Grupo de Produtos'!$F$23:$F$39)</f>
        <v>64</v>
      </c>
      <c r="AA1095" s="56">
        <f>_xlfn.XLOOKUP($N1095,'Calculo Leads Conveniencia'!$A$77:$A$104,'Calculo Leads Conveniencia'!N$77:N$104)*_xlfn.XLOOKUP($P1095,'Base Grupo de Produtos'!$E$23:$E$39,'Base Grupo de Produtos'!$F$23:$F$39)</f>
        <v>72</v>
      </c>
      <c r="AB1095" s="56">
        <f>_xlfn.XLOOKUP($N1095,'Calculo Leads Conveniencia'!$A$77:$A$104,'Calculo Leads Conveniencia'!O$77:O$104)*_xlfn.XLOOKUP($P1095,'Base Grupo de Produtos'!$E$23:$E$39,'Base Grupo de Produtos'!$F$23:$F$39)</f>
        <v>72</v>
      </c>
      <c r="AC1095" s="61">
        <f t="shared" si="1045"/>
        <v>432</v>
      </c>
      <c r="AD1095" s="28"/>
      <c r="AE1095" s="12"/>
      <c r="AF1095" s="29"/>
      <c r="AG1095" s="9"/>
      <c r="AH1095" s="10"/>
      <c r="AI1095" s="9"/>
      <c r="AJ1095" s="11"/>
      <c r="AK1095" s="9"/>
      <c r="AL1095" s="13"/>
      <c r="AM1095" s="9"/>
    </row>
    <row r="1096" spans="1:39" x14ac:dyDescent="0.3">
      <c r="A1096" s="2" t="str">
        <f t="shared" si="1017"/>
        <v>NÃO</v>
      </c>
      <c r="B1096" s="2" t="str">
        <f>_xlfn.XLOOKUP($N1096,'Base de Grupos'!$A:$A,'Base de Grupos'!$D:$D)</f>
        <v>1000065763</v>
      </c>
      <c r="C1096" s="5" t="str">
        <f>_xlfn.XLOOKUP($N1096,'Base de Grupos'!$A:$A,'Base de Grupos'!$E:$E)</f>
        <v>CANAL VENDA INTERNA</v>
      </c>
      <c r="D1096" s="5" t="str">
        <f>_xlfn.XLOOKUP($N1096,'Base de Grupos'!$A:$A,'Base de Grupos'!$F:$F)</f>
        <v>1000065763</v>
      </c>
      <c r="E1096" s="2" t="str">
        <f>_xlfn.XLOOKUP($N1096,'Base de Grupos'!$A:$A,'Base de Grupos'!$G:$G)</f>
        <v>CANAL VENDA INTERNA</v>
      </c>
      <c r="F1096" s="2" t="str">
        <f>_xlfn.XLOOKUP($N1096,'Base de Grupos'!$A:$A,'Base de Grupos'!$H:$H)</f>
        <v>1000174119</v>
      </c>
      <c r="G1096" s="5" t="str">
        <f>_xlfn.XLOOKUP($N1096,'Base de Grupos'!$A:$A,'Base de Grupos'!$I:$I)</f>
        <v>REGIONAL VENDA INTERNA - CONVENIENCIA</v>
      </c>
      <c r="H1096" s="5" t="str">
        <f>_xlfn.XLOOKUP($N1096,'Base de Grupos'!$A:$A,'Base de Grupos'!$J:$J)</f>
        <v>1000174119</v>
      </c>
      <c r="I1096" s="2" t="str">
        <f>_xlfn.XLOOKUP($N1096,'Base de Grupos'!$A:$A,'Base de Grupos'!$K:$K)</f>
        <v>REGIONAL VENDA INTERNA - CONVENIENCIA</v>
      </c>
      <c r="J1096" s="2" t="str">
        <f>_xlfn.XLOOKUP($N1096,'Base de Grupos'!$A:$A,'Base de Grupos'!$L:$L)</f>
        <v>1000174119</v>
      </c>
      <c r="K1096" s="5" t="str">
        <f>_xlfn.XLOOKUP($N1096,'Base de Grupos'!$A:$A,'Base de Grupos'!$M:$M)</f>
        <v>REGIONAL VENDA INTERNA - CONVENIENCIA</v>
      </c>
      <c r="L1096" s="5" t="str">
        <f t="shared" si="1018"/>
        <v/>
      </c>
      <c r="M1096" s="5" t="str">
        <f>_xlfn.XLOOKUP($N1096,'Base de Grupos'!$A:$A,'Base de Grupos'!$C:$C)</f>
        <v>SP</v>
      </c>
      <c r="N1096" s="3">
        <v>1525</v>
      </c>
      <c r="O1096" s="4" t="s">
        <v>284</v>
      </c>
      <c r="P1096" s="5" t="s">
        <v>91</v>
      </c>
      <c r="Q1096" s="56">
        <v>0</v>
      </c>
      <c r="R1096" s="56">
        <v>0</v>
      </c>
      <c r="S1096" s="56">
        <v>0</v>
      </c>
      <c r="T1096" s="56">
        <f>_xlfn.XLOOKUP($N1096,'Calculo Leads Conveniencia'!$A$77:$A$104,'Calculo Leads Conveniencia'!G$77:G$104)*_xlfn.XLOOKUP($P1096,'Base Grupo de Produtos'!$E$23:$E$39,'Base Grupo de Produtos'!$F$23:$F$39)</f>
        <v>0</v>
      </c>
      <c r="U1096" s="56">
        <f>_xlfn.XLOOKUP($N1096,'Calculo Leads Conveniencia'!$A$77:$A$104,'Calculo Leads Conveniencia'!H$77:H$104)*_xlfn.XLOOKUP($P1096,'Base Grupo de Produtos'!$E$23:$E$39,'Base Grupo de Produtos'!$F$23:$F$39)</f>
        <v>0</v>
      </c>
      <c r="V1096" s="56">
        <f>_xlfn.XLOOKUP($N1096,'Calculo Leads Conveniencia'!$A$77:$A$104,'Calculo Leads Conveniencia'!I$77:I$104)*_xlfn.XLOOKUP($P1096,'Base Grupo de Produtos'!$E$23:$E$39,'Base Grupo de Produtos'!$F$23:$F$39)</f>
        <v>0</v>
      </c>
      <c r="W1096" s="56">
        <f>_xlfn.XLOOKUP($N1096,'Calculo Leads Conveniencia'!$A$77:$A$104,'Calculo Leads Conveniencia'!J$77:J$104)*_xlfn.XLOOKUP($P1096,'Base Grupo de Produtos'!$E$23:$E$39,'Base Grupo de Produtos'!$F$23:$F$39)</f>
        <v>0</v>
      </c>
      <c r="X1096" s="56">
        <f>_xlfn.XLOOKUP($N1096,'Calculo Leads Conveniencia'!$A$77:$A$104,'Calculo Leads Conveniencia'!K$77:K$104)*_xlfn.XLOOKUP($P1096,'Base Grupo de Produtos'!$E$23:$E$39,'Base Grupo de Produtos'!$F$23:$F$39)</f>
        <v>0</v>
      </c>
      <c r="Y1096" s="56">
        <f>_xlfn.XLOOKUP($N1096,'Calculo Leads Conveniencia'!$A$77:$A$104,'Calculo Leads Conveniencia'!L$77:L$104)*_xlfn.XLOOKUP($P1096,'Base Grupo de Produtos'!$E$23:$E$39,'Base Grupo de Produtos'!$F$23:$F$39)</f>
        <v>0</v>
      </c>
      <c r="Z1096" s="56">
        <f>_xlfn.XLOOKUP($N1096,'Calculo Leads Conveniencia'!$A$77:$A$104,'Calculo Leads Conveniencia'!M$77:M$104)*_xlfn.XLOOKUP($P1096,'Base Grupo de Produtos'!$E$23:$E$39,'Base Grupo de Produtos'!$F$23:$F$39)</f>
        <v>0</v>
      </c>
      <c r="AA1096" s="56">
        <f>_xlfn.XLOOKUP($N1096,'Calculo Leads Conveniencia'!$A$77:$A$104,'Calculo Leads Conveniencia'!N$77:N$104)*_xlfn.XLOOKUP($P1096,'Base Grupo de Produtos'!$E$23:$E$39,'Base Grupo de Produtos'!$F$23:$F$39)</f>
        <v>0</v>
      </c>
      <c r="AB1096" s="56">
        <f>_xlfn.XLOOKUP($N1096,'Calculo Leads Conveniencia'!$A$77:$A$104,'Calculo Leads Conveniencia'!O$77:O$104)*_xlfn.XLOOKUP($P1096,'Base Grupo de Produtos'!$E$23:$E$39,'Base Grupo de Produtos'!$F$23:$F$39)</f>
        <v>0</v>
      </c>
      <c r="AC1096" s="61">
        <f t="shared" si="1045"/>
        <v>0</v>
      </c>
      <c r="AD1096" s="28"/>
      <c r="AE1096" s="12"/>
      <c r="AF1096" s="29"/>
      <c r="AG1096" s="9"/>
      <c r="AH1096" s="10"/>
      <c r="AI1096" s="9"/>
      <c r="AJ1096" s="11"/>
      <c r="AK1096" s="9"/>
      <c r="AL1096" s="13"/>
      <c r="AM1096" s="9"/>
    </row>
    <row r="1097" spans="1:39" x14ac:dyDescent="0.3">
      <c r="A1097" s="2" t="str">
        <f t="shared" si="1017"/>
        <v>NÃO</v>
      </c>
      <c r="B1097" s="2" t="str">
        <f>_xlfn.XLOOKUP($N1097,'Base de Grupos'!$A:$A,'Base de Grupos'!$D:$D)</f>
        <v>1000065763</v>
      </c>
      <c r="C1097" s="5" t="str">
        <f>_xlfn.XLOOKUP($N1097,'Base de Grupos'!$A:$A,'Base de Grupos'!$E:$E)</f>
        <v>CANAL VENDA INTERNA</v>
      </c>
      <c r="D1097" s="5" t="str">
        <f>_xlfn.XLOOKUP($N1097,'Base de Grupos'!$A:$A,'Base de Grupos'!$F:$F)</f>
        <v>1000065763</v>
      </c>
      <c r="E1097" s="2" t="str">
        <f>_xlfn.XLOOKUP($N1097,'Base de Grupos'!$A:$A,'Base de Grupos'!$G:$G)</f>
        <v>CANAL VENDA INTERNA</v>
      </c>
      <c r="F1097" s="2" t="str">
        <f>_xlfn.XLOOKUP($N1097,'Base de Grupos'!$A:$A,'Base de Grupos'!$H:$H)</f>
        <v>1000174119</v>
      </c>
      <c r="G1097" s="5" t="str">
        <f>_xlfn.XLOOKUP($N1097,'Base de Grupos'!$A:$A,'Base de Grupos'!$I:$I)</f>
        <v>REGIONAL VENDA INTERNA - CONVENIENCIA</v>
      </c>
      <c r="H1097" s="5" t="str">
        <f>_xlfn.XLOOKUP($N1097,'Base de Grupos'!$A:$A,'Base de Grupos'!$J:$J)</f>
        <v>1000174119</v>
      </c>
      <c r="I1097" s="2" t="str">
        <f>_xlfn.XLOOKUP($N1097,'Base de Grupos'!$A:$A,'Base de Grupos'!$K:$K)</f>
        <v>REGIONAL VENDA INTERNA - CONVENIENCIA</v>
      </c>
      <c r="J1097" s="2" t="str">
        <f>_xlfn.XLOOKUP($N1097,'Base de Grupos'!$A:$A,'Base de Grupos'!$L:$L)</f>
        <v>1000174119</v>
      </c>
      <c r="K1097" s="5" t="str">
        <f>_xlfn.XLOOKUP($N1097,'Base de Grupos'!$A:$A,'Base de Grupos'!$M:$M)</f>
        <v>REGIONAL VENDA INTERNA - CONVENIENCIA</v>
      </c>
      <c r="L1097" s="5" t="str">
        <f t="shared" si="1018"/>
        <v/>
      </c>
      <c r="M1097" s="5" t="str">
        <f>_xlfn.XLOOKUP($N1097,'Base de Grupos'!$A:$A,'Base de Grupos'!$C:$C)</f>
        <v>SP</v>
      </c>
      <c r="N1097" s="3">
        <v>1525</v>
      </c>
      <c r="O1097" s="4" t="s">
        <v>284</v>
      </c>
      <c r="P1097" s="5" t="s">
        <v>96</v>
      </c>
      <c r="Q1097" s="56">
        <v>0</v>
      </c>
      <c r="R1097" s="56">
        <v>0</v>
      </c>
      <c r="S1097" s="56">
        <v>0</v>
      </c>
      <c r="T1097" s="56">
        <f>_xlfn.XLOOKUP($N1097,'Calculo Leads Conveniencia'!$A$77:$A$104,'Calculo Leads Conveniencia'!G$77:G$104)*_xlfn.XLOOKUP($P1097,'Base Grupo de Produtos'!$E$23:$E$39,'Base Grupo de Produtos'!$F$23:$F$39)</f>
        <v>24</v>
      </c>
      <c r="U1097" s="56">
        <f>_xlfn.XLOOKUP($N1097,'Calculo Leads Conveniencia'!$A$77:$A$104,'Calculo Leads Conveniencia'!H$77:H$104)*_xlfn.XLOOKUP($P1097,'Base Grupo de Produtos'!$E$23:$E$39,'Base Grupo de Produtos'!$F$23:$F$39)</f>
        <v>24</v>
      </c>
      <c r="V1097" s="56">
        <f>_xlfn.XLOOKUP($N1097,'Calculo Leads Conveniencia'!$A$77:$A$104,'Calculo Leads Conveniencia'!I$77:I$104)*_xlfn.XLOOKUP($P1097,'Base Grupo de Produtos'!$E$23:$E$39,'Base Grupo de Produtos'!$F$23:$F$39)</f>
        <v>32</v>
      </c>
      <c r="W1097" s="56">
        <f>_xlfn.XLOOKUP($N1097,'Calculo Leads Conveniencia'!$A$77:$A$104,'Calculo Leads Conveniencia'!J$77:J$104)*_xlfn.XLOOKUP($P1097,'Base Grupo de Produtos'!$E$23:$E$39,'Base Grupo de Produtos'!$F$23:$F$39)</f>
        <v>40</v>
      </c>
      <c r="X1097" s="56">
        <f>_xlfn.XLOOKUP($N1097,'Calculo Leads Conveniencia'!$A$77:$A$104,'Calculo Leads Conveniencia'!K$77:K$104)*_xlfn.XLOOKUP($P1097,'Base Grupo de Produtos'!$E$23:$E$39,'Base Grupo de Produtos'!$F$23:$F$39)</f>
        <v>48</v>
      </c>
      <c r="Y1097" s="56">
        <f>_xlfn.XLOOKUP($N1097,'Calculo Leads Conveniencia'!$A$77:$A$104,'Calculo Leads Conveniencia'!L$77:L$104)*_xlfn.XLOOKUP($P1097,'Base Grupo de Produtos'!$E$23:$E$39,'Base Grupo de Produtos'!$F$23:$F$39)</f>
        <v>56</v>
      </c>
      <c r="Z1097" s="56">
        <f>_xlfn.XLOOKUP($N1097,'Calculo Leads Conveniencia'!$A$77:$A$104,'Calculo Leads Conveniencia'!M$77:M$104)*_xlfn.XLOOKUP($P1097,'Base Grupo de Produtos'!$E$23:$E$39,'Base Grupo de Produtos'!$F$23:$F$39)</f>
        <v>64</v>
      </c>
      <c r="AA1097" s="56">
        <f>_xlfn.XLOOKUP($N1097,'Calculo Leads Conveniencia'!$A$77:$A$104,'Calculo Leads Conveniencia'!N$77:N$104)*_xlfn.XLOOKUP($P1097,'Base Grupo de Produtos'!$E$23:$E$39,'Base Grupo de Produtos'!$F$23:$F$39)</f>
        <v>72</v>
      </c>
      <c r="AB1097" s="56">
        <f>_xlfn.XLOOKUP($N1097,'Calculo Leads Conveniencia'!$A$77:$A$104,'Calculo Leads Conveniencia'!O$77:O$104)*_xlfn.XLOOKUP($P1097,'Base Grupo de Produtos'!$E$23:$E$39,'Base Grupo de Produtos'!$F$23:$F$39)</f>
        <v>72</v>
      </c>
      <c r="AC1097" s="61">
        <f t="shared" si="1045"/>
        <v>432</v>
      </c>
      <c r="AD1097" s="28"/>
      <c r="AE1097" s="12"/>
      <c r="AF1097" s="29"/>
      <c r="AG1097" s="9"/>
      <c r="AH1097" s="10"/>
      <c r="AI1097" s="9"/>
      <c r="AJ1097" s="11"/>
      <c r="AK1097" s="9"/>
      <c r="AL1097" s="13"/>
      <c r="AM1097" s="9"/>
    </row>
    <row r="1098" spans="1:39" x14ac:dyDescent="0.3">
      <c r="A1098" s="2" t="str">
        <f t="shared" si="1017"/>
        <v>NÃO</v>
      </c>
      <c r="B1098" s="2" t="str">
        <f>_xlfn.XLOOKUP($N1098,'Base de Grupos'!$A:$A,'Base de Grupos'!$D:$D)</f>
        <v>1000065763</v>
      </c>
      <c r="C1098" s="5" t="str">
        <f>_xlfn.XLOOKUP($N1098,'Base de Grupos'!$A:$A,'Base de Grupos'!$E:$E)</f>
        <v>CANAL VENDA INTERNA</v>
      </c>
      <c r="D1098" s="5" t="str">
        <f>_xlfn.XLOOKUP($N1098,'Base de Grupos'!$A:$A,'Base de Grupos'!$F:$F)</f>
        <v>1000065763</v>
      </c>
      <c r="E1098" s="2" t="str">
        <f>_xlfn.XLOOKUP($N1098,'Base de Grupos'!$A:$A,'Base de Grupos'!$G:$G)</f>
        <v>CANAL VENDA INTERNA</v>
      </c>
      <c r="F1098" s="2" t="str">
        <f>_xlfn.XLOOKUP($N1098,'Base de Grupos'!$A:$A,'Base de Grupos'!$H:$H)</f>
        <v>1000174119</v>
      </c>
      <c r="G1098" s="5" t="str">
        <f>_xlfn.XLOOKUP($N1098,'Base de Grupos'!$A:$A,'Base de Grupos'!$I:$I)</f>
        <v>REGIONAL VENDA INTERNA - CONVENIENCIA</v>
      </c>
      <c r="H1098" s="5" t="str">
        <f>_xlfn.XLOOKUP($N1098,'Base de Grupos'!$A:$A,'Base de Grupos'!$J:$J)</f>
        <v>1000174119</v>
      </c>
      <c r="I1098" s="2" t="str">
        <f>_xlfn.XLOOKUP($N1098,'Base de Grupos'!$A:$A,'Base de Grupos'!$K:$K)</f>
        <v>REGIONAL VENDA INTERNA - CONVENIENCIA</v>
      </c>
      <c r="J1098" s="2" t="str">
        <f>_xlfn.XLOOKUP($N1098,'Base de Grupos'!$A:$A,'Base de Grupos'!$L:$L)</f>
        <v>1000174119</v>
      </c>
      <c r="K1098" s="5" t="str">
        <f>_xlfn.XLOOKUP($N1098,'Base de Grupos'!$A:$A,'Base de Grupos'!$M:$M)</f>
        <v>REGIONAL VENDA INTERNA - CONVENIENCIA</v>
      </c>
      <c r="L1098" s="5" t="str">
        <f t="shared" si="1018"/>
        <v/>
      </c>
      <c r="M1098" s="5" t="str">
        <f>_xlfn.XLOOKUP($N1098,'Base de Grupos'!$A:$A,'Base de Grupos'!$C:$C)</f>
        <v>SP</v>
      </c>
      <c r="N1098" s="3">
        <v>1525</v>
      </c>
      <c r="O1098" s="4" t="s">
        <v>284</v>
      </c>
      <c r="P1098" s="5" t="s">
        <v>94</v>
      </c>
      <c r="Q1098" s="56">
        <v>0</v>
      </c>
      <c r="R1098" s="56">
        <v>0</v>
      </c>
      <c r="S1098" s="56">
        <v>0</v>
      </c>
      <c r="T1098" s="56">
        <f>_xlfn.XLOOKUP($N1098,'Calculo Leads Conveniencia'!$A$77:$A$104,'Calculo Leads Conveniencia'!G$77:G$104)*_xlfn.XLOOKUP($P1098,'Base Grupo de Produtos'!$E$23:$E$39,'Base Grupo de Produtos'!$F$23:$F$39)</f>
        <v>360</v>
      </c>
      <c r="U1098" s="56">
        <f>_xlfn.XLOOKUP($N1098,'Calculo Leads Conveniencia'!$A$77:$A$104,'Calculo Leads Conveniencia'!H$77:H$104)*_xlfn.XLOOKUP($P1098,'Base Grupo de Produtos'!$E$23:$E$39,'Base Grupo de Produtos'!$F$23:$F$39)</f>
        <v>360</v>
      </c>
      <c r="V1098" s="56">
        <f>_xlfn.XLOOKUP($N1098,'Calculo Leads Conveniencia'!$A$77:$A$104,'Calculo Leads Conveniencia'!I$77:I$104)*_xlfn.XLOOKUP($P1098,'Base Grupo de Produtos'!$E$23:$E$39,'Base Grupo de Produtos'!$F$23:$F$39)</f>
        <v>480</v>
      </c>
      <c r="W1098" s="56">
        <f>_xlfn.XLOOKUP($N1098,'Calculo Leads Conveniencia'!$A$77:$A$104,'Calculo Leads Conveniencia'!J$77:J$104)*_xlfn.XLOOKUP($P1098,'Base Grupo de Produtos'!$E$23:$E$39,'Base Grupo de Produtos'!$F$23:$F$39)</f>
        <v>600</v>
      </c>
      <c r="X1098" s="56">
        <f>_xlfn.XLOOKUP($N1098,'Calculo Leads Conveniencia'!$A$77:$A$104,'Calculo Leads Conveniencia'!K$77:K$104)*_xlfn.XLOOKUP($P1098,'Base Grupo de Produtos'!$E$23:$E$39,'Base Grupo de Produtos'!$F$23:$F$39)</f>
        <v>720</v>
      </c>
      <c r="Y1098" s="56">
        <f>_xlfn.XLOOKUP($N1098,'Calculo Leads Conveniencia'!$A$77:$A$104,'Calculo Leads Conveniencia'!L$77:L$104)*_xlfn.XLOOKUP($P1098,'Base Grupo de Produtos'!$E$23:$E$39,'Base Grupo de Produtos'!$F$23:$F$39)</f>
        <v>840</v>
      </c>
      <c r="Z1098" s="56">
        <f>_xlfn.XLOOKUP($N1098,'Calculo Leads Conveniencia'!$A$77:$A$104,'Calculo Leads Conveniencia'!M$77:M$104)*_xlfn.XLOOKUP($P1098,'Base Grupo de Produtos'!$E$23:$E$39,'Base Grupo de Produtos'!$F$23:$F$39)</f>
        <v>960</v>
      </c>
      <c r="AA1098" s="56">
        <f>_xlfn.XLOOKUP($N1098,'Calculo Leads Conveniencia'!$A$77:$A$104,'Calculo Leads Conveniencia'!N$77:N$104)*_xlfn.XLOOKUP($P1098,'Base Grupo de Produtos'!$E$23:$E$39,'Base Grupo de Produtos'!$F$23:$F$39)</f>
        <v>1080</v>
      </c>
      <c r="AB1098" s="56">
        <f>_xlfn.XLOOKUP($N1098,'Calculo Leads Conveniencia'!$A$77:$A$104,'Calculo Leads Conveniencia'!O$77:O$104)*_xlfn.XLOOKUP($P1098,'Base Grupo de Produtos'!$E$23:$E$39,'Base Grupo de Produtos'!$F$23:$F$39)</f>
        <v>1080</v>
      </c>
      <c r="AC1098" s="61">
        <f t="shared" si="1045"/>
        <v>6480</v>
      </c>
      <c r="AD1098" s="28"/>
      <c r="AE1098" s="12"/>
      <c r="AF1098" s="29"/>
      <c r="AG1098" s="9"/>
      <c r="AH1098" s="10"/>
      <c r="AI1098" s="9"/>
      <c r="AJ1098" s="11"/>
      <c r="AK1098" s="9"/>
      <c r="AL1098" s="13"/>
      <c r="AM1098" s="9"/>
    </row>
    <row r="1099" spans="1:39" x14ac:dyDescent="0.3">
      <c r="A1099" s="2" t="str">
        <f t="shared" si="1017"/>
        <v>NÃO</v>
      </c>
      <c r="B1099" s="2" t="str">
        <f>_xlfn.XLOOKUP($N1099,'Base de Grupos'!$A:$A,'Base de Grupos'!$D:$D)</f>
        <v>1000065763</v>
      </c>
      <c r="C1099" s="5" t="str">
        <f>_xlfn.XLOOKUP($N1099,'Base de Grupos'!$A:$A,'Base de Grupos'!$E:$E)</f>
        <v>CANAL VENDA INTERNA</v>
      </c>
      <c r="D1099" s="5" t="str">
        <f>_xlfn.XLOOKUP($N1099,'Base de Grupos'!$A:$A,'Base de Grupos'!$F:$F)</f>
        <v>1000065763</v>
      </c>
      <c r="E1099" s="2" t="str">
        <f>_xlfn.XLOOKUP($N1099,'Base de Grupos'!$A:$A,'Base de Grupos'!$G:$G)</f>
        <v>CANAL VENDA INTERNA</v>
      </c>
      <c r="F1099" s="2" t="str">
        <f>_xlfn.XLOOKUP($N1099,'Base de Grupos'!$A:$A,'Base de Grupos'!$H:$H)</f>
        <v>1000174119</v>
      </c>
      <c r="G1099" s="5" t="str">
        <f>_xlfn.XLOOKUP($N1099,'Base de Grupos'!$A:$A,'Base de Grupos'!$I:$I)</f>
        <v>REGIONAL VENDA INTERNA - CONVENIENCIA</v>
      </c>
      <c r="H1099" s="5" t="str">
        <f>_xlfn.XLOOKUP($N1099,'Base de Grupos'!$A:$A,'Base de Grupos'!$J:$J)</f>
        <v>1000174119</v>
      </c>
      <c r="I1099" s="2" t="str">
        <f>_xlfn.XLOOKUP($N1099,'Base de Grupos'!$A:$A,'Base de Grupos'!$K:$K)</f>
        <v>REGIONAL VENDA INTERNA - CONVENIENCIA</v>
      </c>
      <c r="J1099" s="2" t="str">
        <f>_xlfn.XLOOKUP($N1099,'Base de Grupos'!$A:$A,'Base de Grupos'!$L:$L)</f>
        <v>1000174119</v>
      </c>
      <c r="K1099" s="5" t="str">
        <f>_xlfn.XLOOKUP($N1099,'Base de Grupos'!$A:$A,'Base de Grupos'!$M:$M)</f>
        <v>REGIONAL VENDA INTERNA - CONVENIENCIA</v>
      </c>
      <c r="L1099" s="5" t="str">
        <f t="shared" si="1018"/>
        <v/>
      </c>
      <c r="M1099" s="5" t="str">
        <f>_xlfn.XLOOKUP($N1099,'Base de Grupos'!$A:$A,'Base de Grupos'!$C:$C)</f>
        <v>SP</v>
      </c>
      <c r="N1099" s="3">
        <v>1525</v>
      </c>
      <c r="O1099" s="4" t="s">
        <v>284</v>
      </c>
      <c r="P1099" s="5" t="s">
        <v>95</v>
      </c>
      <c r="Q1099" s="56">
        <v>0</v>
      </c>
      <c r="R1099" s="56">
        <v>0</v>
      </c>
      <c r="S1099" s="56">
        <v>0</v>
      </c>
      <c r="T1099" s="56">
        <f>_xlfn.XLOOKUP($N1099,'Calculo Leads Conveniencia'!$A$77:$A$104,'Calculo Leads Conveniencia'!G$77:G$104)*_xlfn.XLOOKUP($P1099,'Base Grupo de Produtos'!$E$23:$E$39,'Base Grupo de Produtos'!$F$23:$F$39)</f>
        <v>24</v>
      </c>
      <c r="U1099" s="56">
        <f>_xlfn.XLOOKUP($N1099,'Calculo Leads Conveniencia'!$A$77:$A$104,'Calculo Leads Conveniencia'!H$77:H$104)*_xlfn.XLOOKUP($P1099,'Base Grupo de Produtos'!$E$23:$E$39,'Base Grupo de Produtos'!$F$23:$F$39)</f>
        <v>24</v>
      </c>
      <c r="V1099" s="56">
        <f>_xlfn.XLOOKUP($N1099,'Calculo Leads Conveniencia'!$A$77:$A$104,'Calculo Leads Conveniencia'!I$77:I$104)*_xlfn.XLOOKUP($P1099,'Base Grupo de Produtos'!$E$23:$E$39,'Base Grupo de Produtos'!$F$23:$F$39)</f>
        <v>32</v>
      </c>
      <c r="W1099" s="56">
        <f>_xlfn.XLOOKUP($N1099,'Calculo Leads Conveniencia'!$A$77:$A$104,'Calculo Leads Conveniencia'!J$77:J$104)*_xlfn.XLOOKUP($P1099,'Base Grupo de Produtos'!$E$23:$E$39,'Base Grupo de Produtos'!$F$23:$F$39)</f>
        <v>40</v>
      </c>
      <c r="X1099" s="56">
        <f>_xlfn.XLOOKUP($N1099,'Calculo Leads Conveniencia'!$A$77:$A$104,'Calculo Leads Conveniencia'!K$77:K$104)*_xlfn.XLOOKUP($P1099,'Base Grupo de Produtos'!$E$23:$E$39,'Base Grupo de Produtos'!$F$23:$F$39)</f>
        <v>48</v>
      </c>
      <c r="Y1099" s="56">
        <f>_xlfn.XLOOKUP($N1099,'Calculo Leads Conveniencia'!$A$77:$A$104,'Calculo Leads Conveniencia'!L$77:L$104)*_xlfn.XLOOKUP($P1099,'Base Grupo de Produtos'!$E$23:$E$39,'Base Grupo de Produtos'!$F$23:$F$39)</f>
        <v>56</v>
      </c>
      <c r="Z1099" s="56">
        <f>_xlfn.XLOOKUP($N1099,'Calculo Leads Conveniencia'!$A$77:$A$104,'Calculo Leads Conveniencia'!M$77:M$104)*_xlfn.XLOOKUP($P1099,'Base Grupo de Produtos'!$E$23:$E$39,'Base Grupo de Produtos'!$F$23:$F$39)</f>
        <v>64</v>
      </c>
      <c r="AA1099" s="56">
        <f>_xlfn.XLOOKUP($N1099,'Calculo Leads Conveniencia'!$A$77:$A$104,'Calculo Leads Conveniencia'!N$77:N$104)*_xlfn.XLOOKUP($P1099,'Base Grupo de Produtos'!$E$23:$E$39,'Base Grupo de Produtos'!$F$23:$F$39)</f>
        <v>72</v>
      </c>
      <c r="AB1099" s="56">
        <f>_xlfn.XLOOKUP($N1099,'Calculo Leads Conveniencia'!$A$77:$A$104,'Calculo Leads Conveniencia'!O$77:O$104)*_xlfn.XLOOKUP($P1099,'Base Grupo de Produtos'!$E$23:$E$39,'Base Grupo de Produtos'!$F$23:$F$39)</f>
        <v>72</v>
      </c>
      <c r="AC1099" s="61">
        <f t="shared" si="1045"/>
        <v>432</v>
      </c>
      <c r="AD1099" s="28"/>
      <c r="AE1099" s="12"/>
      <c r="AF1099" s="29"/>
      <c r="AG1099" s="9"/>
      <c r="AH1099" s="10"/>
      <c r="AI1099" s="9"/>
      <c r="AJ1099" s="11"/>
      <c r="AK1099" s="9"/>
      <c r="AL1099" s="13"/>
      <c r="AM1099" s="9"/>
    </row>
    <row r="1100" spans="1:39" x14ac:dyDescent="0.3">
      <c r="A1100" s="2" t="str">
        <f t="shared" si="1017"/>
        <v>NÃO</v>
      </c>
      <c r="B1100" s="2" t="str">
        <f>_xlfn.XLOOKUP($N1100,'Base de Grupos'!$A:$A,'Base de Grupos'!$D:$D)</f>
        <v>1000065763</v>
      </c>
      <c r="C1100" s="5" t="str">
        <f>_xlfn.XLOOKUP($N1100,'Base de Grupos'!$A:$A,'Base de Grupos'!$E:$E)</f>
        <v>CANAL VENDA INTERNA</v>
      </c>
      <c r="D1100" s="5" t="str">
        <f>_xlfn.XLOOKUP($N1100,'Base de Grupos'!$A:$A,'Base de Grupos'!$F:$F)</f>
        <v>1000065763</v>
      </c>
      <c r="E1100" s="2" t="str">
        <f>_xlfn.XLOOKUP($N1100,'Base de Grupos'!$A:$A,'Base de Grupos'!$G:$G)</f>
        <v>CANAL VENDA INTERNA</v>
      </c>
      <c r="F1100" s="2" t="str">
        <f>_xlfn.XLOOKUP($N1100,'Base de Grupos'!$A:$A,'Base de Grupos'!$H:$H)</f>
        <v>1000174119</v>
      </c>
      <c r="G1100" s="5" t="str">
        <f>_xlfn.XLOOKUP($N1100,'Base de Grupos'!$A:$A,'Base de Grupos'!$I:$I)</f>
        <v>REGIONAL VENDA INTERNA - CONVENIENCIA</v>
      </c>
      <c r="H1100" s="5" t="str">
        <f>_xlfn.XLOOKUP($N1100,'Base de Grupos'!$A:$A,'Base de Grupos'!$J:$J)</f>
        <v>1000174119</v>
      </c>
      <c r="I1100" s="2" t="str">
        <f>_xlfn.XLOOKUP($N1100,'Base de Grupos'!$A:$A,'Base de Grupos'!$K:$K)</f>
        <v>REGIONAL VENDA INTERNA - CONVENIENCIA</v>
      </c>
      <c r="J1100" s="2" t="str">
        <f>_xlfn.XLOOKUP($N1100,'Base de Grupos'!$A:$A,'Base de Grupos'!$L:$L)</f>
        <v>1000174119</v>
      </c>
      <c r="K1100" s="5" t="str">
        <f>_xlfn.XLOOKUP($N1100,'Base de Grupos'!$A:$A,'Base de Grupos'!$M:$M)</f>
        <v>REGIONAL VENDA INTERNA - CONVENIENCIA</v>
      </c>
      <c r="L1100" s="5" t="str">
        <f t="shared" si="1018"/>
        <v/>
      </c>
      <c r="M1100" s="5" t="str">
        <f>_xlfn.XLOOKUP($N1100,'Base de Grupos'!$A:$A,'Base de Grupos'!$C:$C)</f>
        <v>SP</v>
      </c>
      <c r="N1100" s="3">
        <v>1525</v>
      </c>
      <c r="O1100" s="4" t="s">
        <v>284</v>
      </c>
      <c r="P1100" s="5" t="s">
        <v>93</v>
      </c>
      <c r="Q1100" s="56">
        <v>0</v>
      </c>
      <c r="R1100" s="56">
        <v>0</v>
      </c>
      <c r="S1100" s="56">
        <v>0</v>
      </c>
      <c r="T1100" s="56">
        <f>_xlfn.XLOOKUP($N1100,'Calculo Leads Conveniencia'!$A$77:$A$104,'Calculo Leads Conveniencia'!G$77:G$104)*_xlfn.XLOOKUP($P1100,'Base Grupo de Produtos'!$E$23:$E$39,'Base Grupo de Produtos'!$F$23:$F$39)</f>
        <v>240</v>
      </c>
      <c r="U1100" s="56">
        <f>_xlfn.XLOOKUP($N1100,'Calculo Leads Conveniencia'!$A$77:$A$104,'Calculo Leads Conveniencia'!H$77:H$104)*_xlfn.XLOOKUP($P1100,'Base Grupo de Produtos'!$E$23:$E$39,'Base Grupo de Produtos'!$F$23:$F$39)</f>
        <v>240</v>
      </c>
      <c r="V1100" s="56">
        <f>_xlfn.XLOOKUP($N1100,'Calculo Leads Conveniencia'!$A$77:$A$104,'Calculo Leads Conveniencia'!I$77:I$104)*_xlfn.XLOOKUP($P1100,'Base Grupo de Produtos'!$E$23:$E$39,'Base Grupo de Produtos'!$F$23:$F$39)</f>
        <v>320</v>
      </c>
      <c r="W1100" s="56">
        <f>_xlfn.XLOOKUP($N1100,'Calculo Leads Conveniencia'!$A$77:$A$104,'Calculo Leads Conveniencia'!J$77:J$104)*_xlfn.XLOOKUP($P1100,'Base Grupo de Produtos'!$E$23:$E$39,'Base Grupo de Produtos'!$F$23:$F$39)</f>
        <v>400</v>
      </c>
      <c r="X1100" s="56">
        <f>_xlfn.XLOOKUP($N1100,'Calculo Leads Conveniencia'!$A$77:$A$104,'Calculo Leads Conveniencia'!K$77:K$104)*_xlfn.XLOOKUP($P1100,'Base Grupo de Produtos'!$E$23:$E$39,'Base Grupo de Produtos'!$F$23:$F$39)</f>
        <v>480</v>
      </c>
      <c r="Y1100" s="56">
        <f>_xlfn.XLOOKUP($N1100,'Calculo Leads Conveniencia'!$A$77:$A$104,'Calculo Leads Conveniencia'!L$77:L$104)*_xlfn.XLOOKUP($P1100,'Base Grupo de Produtos'!$E$23:$E$39,'Base Grupo de Produtos'!$F$23:$F$39)</f>
        <v>560</v>
      </c>
      <c r="Z1100" s="56">
        <f>_xlfn.XLOOKUP($N1100,'Calculo Leads Conveniencia'!$A$77:$A$104,'Calculo Leads Conveniencia'!M$77:M$104)*_xlfn.XLOOKUP($P1100,'Base Grupo de Produtos'!$E$23:$E$39,'Base Grupo de Produtos'!$F$23:$F$39)</f>
        <v>640</v>
      </c>
      <c r="AA1100" s="56">
        <f>_xlfn.XLOOKUP($N1100,'Calculo Leads Conveniencia'!$A$77:$A$104,'Calculo Leads Conveniencia'!N$77:N$104)*_xlfn.XLOOKUP($P1100,'Base Grupo de Produtos'!$E$23:$E$39,'Base Grupo de Produtos'!$F$23:$F$39)</f>
        <v>720</v>
      </c>
      <c r="AB1100" s="56">
        <f>_xlfn.XLOOKUP($N1100,'Calculo Leads Conveniencia'!$A$77:$A$104,'Calculo Leads Conveniencia'!O$77:O$104)*_xlfn.XLOOKUP($P1100,'Base Grupo de Produtos'!$E$23:$E$39,'Base Grupo de Produtos'!$F$23:$F$39)</f>
        <v>720</v>
      </c>
      <c r="AC1100" s="61">
        <f t="shared" si="1045"/>
        <v>4320</v>
      </c>
      <c r="AD1100" s="28"/>
      <c r="AE1100" s="12"/>
      <c r="AF1100" s="29"/>
      <c r="AG1100" s="9"/>
      <c r="AH1100" s="10"/>
      <c r="AI1100" s="9"/>
      <c r="AJ1100" s="11"/>
      <c r="AK1100" s="9"/>
      <c r="AL1100" s="13"/>
      <c r="AM1100" s="9"/>
    </row>
    <row r="1101" spans="1:39" x14ac:dyDescent="0.3">
      <c r="A1101" s="2" t="str">
        <f t="shared" si="1017"/>
        <v>SIM</v>
      </c>
      <c r="B1101" s="2" t="str">
        <f>_xlfn.XLOOKUP($N1101,'Base de Grupos'!$A:$A,'Base de Grupos'!$D:$D)</f>
        <v>1000065763</v>
      </c>
      <c r="C1101" s="5" t="str">
        <f>_xlfn.XLOOKUP($N1101,'Base de Grupos'!$A:$A,'Base de Grupos'!$E:$E)</f>
        <v>CANAL VENDA INTERNA</v>
      </c>
      <c r="D1101" s="5" t="str">
        <f>_xlfn.XLOOKUP($N1101,'Base de Grupos'!$A:$A,'Base de Grupos'!$F:$F)</f>
        <v>1000065763</v>
      </c>
      <c r="E1101" s="2" t="str">
        <f>_xlfn.XLOOKUP($N1101,'Base de Grupos'!$A:$A,'Base de Grupos'!$G:$G)</f>
        <v>CANAL VENDA INTERNA</v>
      </c>
      <c r="F1101" s="2" t="str">
        <f>_xlfn.XLOOKUP($N1101,'Base de Grupos'!$A:$A,'Base de Grupos'!$H:$H)</f>
        <v>1000174119</v>
      </c>
      <c r="G1101" s="5" t="str">
        <f>_xlfn.XLOOKUP($N1101,'Base de Grupos'!$A:$A,'Base de Grupos'!$I:$I)</f>
        <v>REGIONAL VENDA INTERNA - CONVENIENCIA</v>
      </c>
      <c r="H1101" s="5" t="str">
        <f>_xlfn.XLOOKUP($N1101,'Base de Grupos'!$A:$A,'Base de Grupos'!$J:$J)</f>
        <v>1000174119</v>
      </c>
      <c r="I1101" s="2" t="str">
        <f>_xlfn.XLOOKUP($N1101,'Base de Grupos'!$A:$A,'Base de Grupos'!$K:$K)</f>
        <v>REGIONAL VENDA INTERNA - CONVENIENCIA</v>
      </c>
      <c r="J1101" s="2" t="str">
        <f>_xlfn.XLOOKUP($N1101,'Base de Grupos'!$A:$A,'Base de Grupos'!$L:$L)</f>
        <v>1000174119</v>
      </c>
      <c r="K1101" s="5" t="str">
        <f>_xlfn.XLOOKUP($N1101,'Base de Grupos'!$A:$A,'Base de Grupos'!$M:$M)</f>
        <v>REGIONAL VENDA INTERNA - CONVENIENCIA</v>
      </c>
      <c r="L1101" s="5">
        <f t="shared" si="1018"/>
        <v>1</v>
      </c>
      <c r="M1101" s="5" t="str">
        <f>_xlfn.XLOOKUP($N1101,'Base de Grupos'!$A:$A,'Base de Grupos'!$C:$C)</f>
        <v>SP</v>
      </c>
      <c r="N1101" s="3">
        <v>1526</v>
      </c>
      <c r="O1101" s="4" t="s">
        <v>285</v>
      </c>
      <c r="P1101" s="5" t="s">
        <v>355</v>
      </c>
      <c r="Q1101" s="56">
        <f t="shared" ref="Q1101" si="1046">SUM(Q1102:Q1118)</f>
        <v>0</v>
      </c>
      <c r="R1101" s="56">
        <f t="shared" ref="R1101" si="1047">SUM(R1102:R1118)</f>
        <v>0</v>
      </c>
      <c r="S1101" s="56">
        <f t="shared" ref="S1101" si="1048">SUM(S1102:S1118)</f>
        <v>0</v>
      </c>
      <c r="T1101" s="56">
        <f t="shared" ref="T1101" si="1049">SUM(T1102:T1118)</f>
        <v>0</v>
      </c>
      <c r="U1101" s="56">
        <f t="shared" ref="U1101" si="1050">SUM(U1102:U1118)</f>
        <v>0</v>
      </c>
      <c r="V1101" s="56">
        <f t="shared" ref="V1101" si="1051">SUM(V1102:V1118)</f>
        <v>0</v>
      </c>
      <c r="W1101" s="56">
        <f t="shared" ref="W1101" si="1052">SUM(W1102:W1118)</f>
        <v>0</v>
      </c>
      <c r="X1101" s="56">
        <f t="shared" ref="X1101" si="1053">SUM(X1102:X1118)</f>
        <v>0</v>
      </c>
      <c r="Y1101" s="56">
        <f t="shared" ref="Y1101" si="1054">SUM(Y1102:Y1118)</f>
        <v>0</v>
      </c>
      <c r="Z1101" s="56">
        <f t="shared" ref="Z1101" si="1055">SUM(Z1102:Z1118)</f>
        <v>0</v>
      </c>
      <c r="AA1101" s="56">
        <f t="shared" ref="AA1101" si="1056">SUM(AA1102:AA1118)</f>
        <v>0</v>
      </c>
      <c r="AB1101" s="56">
        <f t="shared" ref="AB1101" si="1057">SUM(AB1102:AB1118)</f>
        <v>0</v>
      </c>
      <c r="AC1101" s="56">
        <f t="shared" ref="AC1101" si="1058">SUM(AC1102:AC1118)</f>
        <v>0</v>
      </c>
      <c r="AD1101" s="28"/>
      <c r="AE1101" s="12"/>
      <c r="AF1101" s="29"/>
      <c r="AG1101" s="9"/>
      <c r="AH1101" s="10"/>
      <c r="AI1101" s="9"/>
      <c r="AJ1101" s="11"/>
      <c r="AK1101" s="9"/>
      <c r="AL1101" s="13"/>
      <c r="AM1101" s="9"/>
    </row>
    <row r="1102" spans="1:39" x14ac:dyDescent="0.3">
      <c r="A1102" s="2" t="str">
        <f t="shared" si="1017"/>
        <v>NÃO</v>
      </c>
      <c r="B1102" s="2" t="str">
        <f>_xlfn.XLOOKUP($N1102,'Base de Grupos'!$A:$A,'Base de Grupos'!$D:$D)</f>
        <v>1000065763</v>
      </c>
      <c r="C1102" s="5" t="str">
        <f>_xlfn.XLOOKUP($N1102,'Base de Grupos'!$A:$A,'Base de Grupos'!$E:$E)</f>
        <v>CANAL VENDA INTERNA</v>
      </c>
      <c r="D1102" s="5" t="str">
        <f>_xlfn.XLOOKUP($N1102,'Base de Grupos'!$A:$A,'Base de Grupos'!$F:$F)</f>
        <v>1000065763</v>
      </c>
      <c r="E1102" s="2" t="str">
        <f>_xlfn.XLOOKUP($N1102,'Base de Grupos'!$A:$A,'Base de Grupos'!$G:$G)</f>
        <v>CANAL VENDA INTERNA</v>
      </c>
      <c r="F1102" s="2" t="str">
        <f>_xlfn.XLOOKUP($N1102,'Base de Grupos'!$A:$A,'Base de Grupos'!$H:$H)</f>
        <v>1000174119</v>
      </c>
      <c r="G1102" s="5" t="str">
        <f>_xlfn.XLOOKUP($N1102,'Base de Grupos'!$A:$A,'Base de Grupos'!$I:$I)</f>
        <v>REGIONAL VENDA INTERNA - CONVENIENCIA</v>
      </c>
      <c r="H1102" s="5" t="str">
        <f>_xlfn.XLOOKUP($N1102,'Base de Grupos'!$A:$A,'Base de Grupos'!$J:$J)</f>
        <v>1000174119</v>
      </c>
      <c r="I1102" s="2" t="str">
        <f>_xlfn.XLOOKUP($N1102,'Base de Grupos'!$A:$A,'Base de Grupos'!$K:$K)</f>
        <v>REGIONAL VENDA INTERNA - CONVENIENCIA</v>
      </c>
      <c r="J1102" s="2" t="str">
        <f>_xlfn.XLOOKUP($N1102,'Base de Grupos'!$A:$A,'Base de Grupos'!$L:$L)</f>
        <v>1000174119</v>
      </c>
      <c r="K1102" s="5" t="str">
        <f>_xlfn.XLOOKUP($N1102,'Base de Grupos'!$A:$A,'Base de Grupos'!$M:$M)</f>
        <v>REGIONAL VENDA INTERNA - CONVENIENCIA</v>
      </c>
      <c r="L1102" s="5" t="str">
        <f t="shared" si="1018"/>
        <v/>
      </c>
      <c r="M1102" s="5" t="str">
        <f>_xlfn.XLOOKUP($N1102,'Base de Grupos'!$A:$A,'Base de Grupos'!$C:$C)</f>
        <v>SP</v>
      </c>
      <c r="N1102" s="3">
        <v>1526</v>
      </c>
      <c r="O1102" s="4" t="s">
        <v>285</v>
      </c>
      <c r="P1102" s="5" t="s">
        <v>81</v>
      </c>
      <c r="Q1102" s="56">
        <v>0</v>
      </c>
      <c r="R1102" s="56">
        <v>0</v>
      </c>
      <c r="S1102" s="56">
        <v>0</v>
      </c>
      <c r="T1102" s="56">
        <f>_xlfn.XLOOKUP($N1102,'Calculo Leads Conveniencia'!$A$77:$A$104,'Calculo Leads Conveniencia'!G$77:G$104)*_xlfn.XLOOKUP($P1102,'Base Grupo de Produtos'!$E$23:$E$39,'Base Grupo de Produtos'!$F$23:$F$39)</f>
        <v>0</v>
      </c>
      <c r="U1102" s="56">
        <f>_xlfn.XLOOKUP($N1102,'Calculo Leads Conveniencia'!$A$77:$A$104,'Calculo Leads Conveniencia'!H$77:H$104)*_xlfn.XLOOKUP($P1102,'Base Grupo de Produtos'!$E$23:$E$39,'Base Grupo de Produtos'!$F$23:$F$39)</f>
        <v>0</v>
      </c>
      <c r="V1102" s="56">
        <f>_xlfn.XLOOKUP($N1102,'Calculo Leads Conveniencia'!$A$77:$A$104,'Calculo Leads Conveniencia'!I$77:I$104)*_xlfn.XLOOKUP($P1102,'Base Grupo de Produtos'!$E$23:$E$39,'Base Grupo de Produtos'!$F$23:$F$39)</f>
        <v>0</v>
      </c>
      <c r="W1102" s="56">
        <f>_xlfn.XLOOKUP($N1102,'Calculo Leads Conveniencia'!$A$77:$A$104,'Calculo Leads Conveniencia'!J$77:J$104)*_xlfn.XLOOKUP($P1102,'Base Grupo de Produtos'!$E$23:$E$39,'Base Grupo de Produtos'!$F$23:$F$39)</f>
        <v>0</v>
      </c>
      <c r="X1102" s="56">
        <f>_xlfn.XLOOKUP($N1102,'Calculo Leads Conveniencia'!$A$77:$A$104,'Calculo Leads Conveniencia'!K$77:K$104)*_xlfn.XLOOKUP($P1102,'Base Grupo de Produtos'!$E$23:$E$39,'Base Grupo de Produtos'!$F$23:$F$39)</f>
        <v>0</v>
      </c>
      <c r="Y1102" s="56">
        <f>_xlfn.XLOOKUP($N1102,'Calculo Leads Conveniencia'!$A$77:$A$104,'Calculo Leads Conveniencia'!L$77:L$104)*_xlfn.XLOOKUP($P1102,'Base Grupo de Produtos'!$E$23:$E$39,'Base Grupo de Produtos'!$F$23:$F$39)</f>
        <v>0</v>
      </c>
      <c r="Z1102" s="56">
        <f>_xlfn.XLOOKUP($N1102,'Calculo Leads Conveniencia'!$A$77:$A$104,'Calculo Leads Conveniencia'!M$77:M$104)*_xlfn.XLOOKUP($P1102,'Base Grupo de Produtos'!$E$23:$E$39,'Base Grupo de Produtos'!$F$23:$F$39)</f>
        <v>0</v>
      </c>
      <c r="AA1102" s="56">
        <f>_xlfn.XLOOKUP($N1102,'Calculo Leads Conveniencia'!$A$77:$A$104,'Calculo Leads Conveniencia'!N$77:N$104)*_xlfn.XLOOKUP($P1102,'Base Grupo de Produtos'!$E$23:$E$39,'Base Grupo de Produtos'!$F$23:$F$39)</f>
        <v>0</v>
      </c>
      <c r="AB1102" s="56">
        <f>_xlfn.XLOOKUP($N1102,'Calculo Leads Conveniencia'!$A$77:$A$104,'Calculo Leads Conveniencia'!O$77:O$104)*_xlfn.XLOOKUP($P1102,'Base Grupo de Produtos'!$E$23:$E$39,'Base Grupo de Produtos'!$F$23:$F$39)</f>
        <v>0</v>
      </c>
      <c r="AC1102" s="61">
        <f t="shared" si="1045"/>
        <v>0</v>
      </c>
      <c r="AD1102" s="28"/>
      <c r="AE1102" s="12"/>
      <c r="AF1102" s="29"/>
      <c r="AG1102" s="9"/>
      <c r="AH1102" s="10"/>
      <c r="AI1102" s="9"/>
      <c r="AJ1102" s="11"/>
      <c r="AK1102" s="9"/>
      <c r="AL1102" s="13"/>
      <c r="AM1102" s="9"/>
    </row>
    <row r="1103" spans="1:39" x14ac:dyDescent="0.3">
      <c r="A1103" s="2" t="str">
        <f t="shared" si="1017"/>
        <v>NÃO</v>
      </c>
      <c r="B1103" s="2" t="str">
        <f>_xlfn.XLOOKUP($N1103,'Base de Grupos'!$A:$A,'Base de Grupos'!$D:$D)</f>
        <v>1000065763</v>
      </c>
      <c r="C1103" s="5" t="str">
        <f>_xlfn.XLOOKUP($N1103,'Base de Grupos'!$A:$A,'Base de Grupos'!$E:$E)</f>
        <v>CANAL VENDA INTERNA</v>
      </c>
      <c r="D1103" s="5" t="str">
        <f>_xlfn.XLOOKUP($N1103,'Base de Grupos'!$A:$A,'Base de Grupos'!$F:$F)</f>
        <v>1000065763</v>
      </c>
      <c r="E1103" s="2" t="str">
        <f>_xlfn.XLOOKUP($N1103,'Base de Grupos'!$A:$A,'Base de Grupos'!$G:$G)</f>
        <v>CANAL VENDA INTERNA</v>
      </c>
      <c r="F1103" s="2" t="str">
        <f>_xlfn.XLOOKUP($N1103,'Base de Grupos'!$A:$A,'Base de Grupos'!$H:$H)</f>
        <v>1000174119</v>
      </c>
      <c r="G1103" s="5" t="str">
        <f>_xlfn.XLOOKUP($N1103,'Base de Grupos'!$A:$A,'Base de Grupos'!$I:$I)</f>
        <v>REGIONAL VENDA INTERNA - CONVENIENCIA</v>
      </c>
      <c r="H1103" s="5" t="str">
        <f>_xlfn.XLOOKUP($N1103,'Base de Grupos'!$A:$A,'Base de Grupos'!$J:$J)</f>
        <v>1000174119</v>
      </c>
      <c r="I1103" s="2" t="str">
        <f>_xlfn.XLOOKUP($N1103,'Base de Grupos'!$A:$A,'Base de Grupos'!$K:$K)</f>
        <v>REGIONAL VENDA INTERNA - CONVENIENCIA</v>
      </c>
      <c r="J1103" s="2" t="str">
        <f>_xlfn.XLOOKUP($N1103,'Base de Grupos'!$A:$A,'Base de Grupos'!$L:$L)</f>
        <v>1000174119</v>
      </c>
      <c r="K1103" s="5" t="str">
        <f>_xlfn.XLOOKUP($N1103,'Base de Grupos'!$A:$A,'Base de Grupos'!$M:$M)</f>
        <v>REGIONAL VENDA INTERNA - CONVENIENCIA</v>
      </c>
      <c r="L1103" s="5" t="str">
        <f t="shared" si="1018"/>
        <v/>
      </c>
      <c r="M1103" s="5" t="str">
        <f>_xlfn.XLOOKUP($N1103,'Base de Grupos'!$A:$A,'Base de Grupos'!$C:$C)</f>
        <v>SP</v>
      </c>
      <c r="N1103" s="3">
        <v>1526</v>
      </c>
      <c r="O1103" s="4" t="s">
        <v>285</v>
      </c>
      <c r="P1103" s="5" t="s">
        <v>82</v>
      </c>
      <c r="Q1103" s="56">
        <v>0</v>
      </c>
      <c r="R1103" s="56">
        <v>0</v>
      </c>
      <c r="S1103" s="56">
        <v>0</v>
      </c>
      <c r="T1103" s="56">
        <f>_xlfn.XLOOKUP($N1103,'Calculo Leads Conveniencia'!$A$77:$A$104,'Calculo Leads Conveniencia'!G$77:G$104)*_xlfn.XLOOKUP($P1103,'Base Grupo de Produtos'!$E$23:$E$39,'Base Grupo de Produtos'!$F$23:$F$39)</f>
        <v>0</v>
      </c>
      <c r="U1103" s="56">
        <f>_xlfn.XLOOKUP($N1103,'Calculo Leads Conveniencia'!$A$77:$A$104,'Calculo Leads Conveniencia'!H$77:H$104)*_xlfn.XLOOKUP($P1103,'Base Grupo de Produtos'!$E$23:$E$39,'Base Grupo de Produtos'!$F$23:$F$39)</f>
        <v>0</v>
      </c>
      <c r="V1103" s="56">
        <f>_xlfn.XLOOKUP($N1103,'Calculo Leads Conveniencia'!$A$77:$A$104,'Calculo Leads Conveniencia'!I$77:I$104)*_xlfn.XLOOKUP($P1103,'Base Grupo de Produtos'!$E$23:$E$39,'Base Grupo de Produtos'!$F$23:$F$39)</f>
        <v>0</v>
      </c>
      <c r="W1103" s="56">
        <f>_xlfn.XLOOKUP($N1103,'Calculo Leads Conveniencia'!$A$77:$A$104,'Calculo Leads Conveniencia'!J$77:J$104)*_xlfn.XLOOKUP($P1103,'Base Grupo de Produtos'!$E$23:$E$39,'Base Grupo de Produtos'!$F$23:$F$39)</f>
        <v>0</v>
      </c>
      <c r="X1103" s="56">
        <f>_xlfn.XLOOKUP($N1103,'Calculo Leads Conveniencia'!$A$77:$A$104,'Calculo Leads Conveniencia'!K$77:K$104)*_xlfn.XLOOKUP($P1103,'Base Grupo de Produtos'!$E$23:$E$39,'Base Grupo de Produtos'!$F$23:$F$39)</f>
        <v>0</v>
      </c>
      <c r="Y1103" s="56">
        <f>_xlfn.XLOOKUP($N1103,'Calculo Leads Conveniencia'!$A$77:$A$104,'Calculo Leads Conveniencia'!L$77:L$104)*_xlfn.XLOOKUP($P1103,'Base Grupo de Produtos'!$E$23:$E$39,'Base Grupo de Produtos'!$F$23:$F$39)</f>
        <v>0</v>
      </c>
      <c r="Z1103" s="56">
        <f>_xlfn.XLOOKUP($N1103,'Calculo Leads Conveniencia'!$A$77:$A$104,'Calculo Leads Conveniencia'!M$77:M$104)*_xlfn.XLOOKUP($P1103,'Base Grupo de Produtos'!$E$23:$E$39,'Base Grupo de Produtos'!$F$23:$F$39)</f>
        <v>0</v>
      </c>
      <c r="AA1103" s="56">
        <f>_xlfn.XLOOKUP($N1103,'Calculo Leads Conveniencia'!$A$77:$A$104,'Calculo Leads Conveniencia'!N$77:N$104)*_xlfn.XLOOKUP($P1103,'Base Grupo de Produtos'!$E$23:$E$39,'Base Grupo de Produtos'!$F$23:$F$39)</f>
        <v>0</v>
      </c>
      <c r="AB1103" s="56">
        <f>_xlfn.XLOOKUP($N1103,'Calculo Leads Conveniencia'!$A$77:$A$104,'Calculo Leads Conveniencia'!O$77:O$104)*_xlfn.XLOOKUP($P1103,'Base Grupo de Produtos'!$E$23:$E$39,'Base Grupo de Produtos'!$F$23:$F$39)</f>
        <v>0</v>
      </c>
      <c r="AC1103" s="61">
        <f t="shared" si="1045"/>
        <v>0</v>
      </c>
      <c r="AD1103" s="28"/>
      <c r="AE1103" s="12"/>
      <c r="AF1103" s="29"/>
      <c r="AG1103" s="9"/>
      <c r="AH1103" s="10"/>
      <c r="AI1103" s="9"/>
      <c r="AJ1103" s="11"/>
      <c r="AK1103" s="9"/>
      <c r="AL1103" s="13"/>
      <c r="AM1103" s="9"/>
    </row>
    <row r="1104" spans="1:39" x14ac:dyDescent="0.3">
      <c r="A1104" s="2" t="str">
        <f t="shared" si="1017"/>
        <v>NÃO</v>
      </c>
      <c r="B1104" s="2" t="str">
        <f>_xlfn.XLOOKUP($N1104,'Base de Grupos'!$A:$A,'Base de Grupos'!$D:$D)</f>
        <v>1000065763</v>
      </c>
      <c r="C1104" s="5" t="str">
        <f>_xlfn.XLOOKUP($N1104,'Base de Grupos'!$A:$A,'Base de Grupos'!$E:$E)</f>
        <v>CANAL VENDA INTERNA</v>
      </c>
      <c r="D1104" s="5" t="str">
        <f>_xlfn.XLOOKUP($N1104,'Base de Grupos'!$A:$A,'Base de Grupos'!$F:$F)</f>
        <v>1000065763</v>
      </c>
      <c r="E1104" s="2" t="str">
        <f>_xlfn.XLOOKUP($N1104,'Base de Grupos'!$A:$A,'Base de Grupos'!$G:$G)</f>
        <v>CANAL VENDA INTERNA</v>
      </c>
      <c r="F1104" s="2" t="str">
        <f>_xlfn.XLOOKUP($N1104,'Base de Grupos'!$A:$A,'Base de Grupos'!$H:$H)</f>
        <v>1000174119</v>
      </c>
      <c r="G1104" s="5" t="str">
        <f>_xlfn.XLOOKUP($N1104,'Base de Grupos'!$A:$A,'Base de Grupos'!$I:$I)</f>
        <v>REGIONAL VENDA INTERNA - CONVENIENCIA</v>
      </c>
      <c r="H1104" s="5" t="str">
        <f>_xlfn.XLOOKUP($N1104,'Base de Grupos'!$A:$A,'Base de Grupos'!$J:$J)</f>
        <v>1000174119</v>
      </c>
      <c r="I1104" s="2" t="str">
        <f>_xlfn.XLOOKUP($N1104,'Base de Grupos'!$A:$A,'Base de Grupos'!$K:$K)</f>
        <v>REGIONAL VENDA INTERNA - CONVENIENCIA</v>
      </c>
      <c r="J1104" s="2" t="str">
        <f>_xlfn.XLOOKUP($N1104,'Base de Grupos'!$A:$A,'Base de Grupos'!$L:$L)</f>
        <v>1000174119</v>
      </c>
      <c r="K1104" s="5" t="str">
        <f>_xlfn.XLOOKUP($N1104,'Base de Grupos'!$A:$A,'Base de Grupos'!$M:$M)</f>
        <v>REGIONAL VENDA INTERNA - CONVENIENCIA</v>
      </c>
      <c r="L1104" s="5" t="str">
        <f t="shared" si="1018"/>
        <v/>
      </c>
      <c r="M1104" s="5" t="str">
        <f>_xlfn.XLOOKUP($N1104,'Base de Grupos'!$A:$A,'Base de Grupos'!$C:$C)</f>
        <v>SP</v>
      </c>
      <c r="N1104" s="3">
        <v>1526</v>
      </c>
      <c r="O1104" s="4" t="s">
        <v>285</v>
      </c>
      <c r="P1104" s="5" t="s">
        <v>84</v>
      </c>
      <c r="Q1104" s="56">
        <v>0</v>
      </c>
      <c r="R1104" s="56">
        <v>0</v>
      </c>
      <c r="S1104" s="56">
        <v>0</v>
      </c>
      <c r="T1104" s="56">
        <f>_xlfn.XLOOKUP($N1104,'Calculo Leads Conveniencia'!$A$77:$A$104,'Calculo Leads Conveniencia'!G$77:G$104)*_xlfn.XLOOKUP($P1104,'Base Grupo de Produtos'!$E$23:$E$39,'Base Grupo de Produtos'!$F$23:$F$39)</f>
        <v>0</v>
      </c>
      <c r="U1104" s="56">
        <f>_xlfn.XLOOKUP($N1104,'Calculo Leads Conveniencia'!$A$77:$A$104,'Calculo Leads Conveniencia'!H$77:H$104)*_xlfn.XLOOKUP($P1104,'Base Grupo de Produtos'!$E$23:$E$39,'Base Grupo de Produtos'!$F$23:$F$39)</f>
        <v>0</v>
      </c>
      <c r="V1104" s="56">
        <f>_xlfn.XLOOKUP($N1104,'Calculo Leads Conveniencia'!$A$77:$A$104,'Calculo Leads Conveniencia'!I$77:I$104)*_xlfn.XLOOKUP($P1104,'Base Grupo de Produtos'!$E$23:$E$39,'Base Grupo de Produtos'!$F$23:$F$39)</f>
        <v>0</v>
      </c>
      <c r="W1104" s="56">
        <f>_xlfn.XLOOKUP($N1104,'Calculo Leads Conveniencia'!$A$77:$A$104,'Calculo Leads Conveniencia'!J$77:J$104)*_xlfn.XLOOKUP($P1104,'Base Grupo de Produtos'!$E$23:$E$39,'Base Grupo de Produtos'!$F$23:$F$39)</f>
        <v>0</v>
      </c>
      <c r="X1104" s="56">
        <f>_xlfn.XLOOKUP($N1104,'Calculo Leads Conveniencia'!$A$77:$A$104,'Calculo Leads Conveniencia'!K$77:K$104)*_xlfn.XLOOKUP($P1104,'Base Grupo de Produtos'!$E$23:$E$39,'Base Grupo de Produtos'!$F$23:$F$39)</f>
        <v>0</v>
      </c>
      <c r="Y1104" s="56">
        <f>_xlfn.XLOOKUP($N1104,'Calculo Leads Conveniencia'!$A$77:$A$104,'Calculo Leads Conveniencia'!L$77:L$104)*_xlfn.XLOOKUP($P1104,'Base Grupo de Produtos'!$E$23:$E$39,'Base Grupo de Produtos'!$F$23:$F$39)</f>
        <v>0</v>
      </c>
      <c r="Z1104" s="56">
        <f>_xlfn.XLOOKUP($N1104,'Calculo Leads Conveniencia'!$A$77:$A$104,'Calculo Leads Conveniencia'!M$77:M$104)*_xlfn.XLOOKUP($P1104,'Base Grupo de Produtos'!$E$23:$E$39,'Base Grupo de Produtos'!$F$23:$F$39)</f>
        <v>0</v>
      </c>
      <c r="AA1104" s="56">
        <f>_xlfn.XLOOKUP($N1104,'Calculo Leads Conveniencia'!$A$77:$A$104,'Calculo Leads Conveniencia'!N$77:N$104)*_xlfn.XLOOKUP($P1104,'Base Grupo de Produtos'!$E$23:$E$39,'Base Grupo de Produtos'!$F$23:$F$39)</f>
        <v>0</v>
      </c>
      <c r="AB1104" s="56">
        <f>_xlfn.XLOOKUP($N1104,'Calculo Leads Conveniencia'!$A$77:$A$104,'Calculo Leads Conveniencia'!O$77:O$104)*_xlfn.XLOOKUP($P1104,'Base Grupo de Produtos'!$E$23:$E$39,'Base Grupo de Produtos'!$F$23:$F$39)</f>
        <v>0</v>
      </c>
      <c r="AC1104" s="61">
        <f t="shared" si="1045"/>
        <v>0</v>
      </c>
      <c r="AD1104" s="28"/>
      <c r="AE1104" s="12"/>
      <c r="AF1104" s="29"/>
      <c r="AG1104" s="9"/>
      <c r="AH1104" s="10"/>
      <c r="AI1104" s="9"/>
      <c r="AJ1104" s="11"/>
      <c r="AK1104" s="9"/>
      <c r="AL1104" s="13"/>
      <c r="AM1104" s="9"/>
    </row>
    <row r="1105" spans="1:39" x14ac:dyDescent="0.3">
      <c r="A1105" s="2" t="str">
        <f t="shared" si="1017"/>
        <v>NÃO</v>
      </c>
      <c r="B1105" s="2" t="str">
        <f>_xlfn.XLOOKUP($N1105,'Base de Grupos'!$A:$A,'Base de Grupos'!$D:$D)</f>
        <v>1000065763</v>
      </c>
      <c r="C1105" s="5" t="str">
        <f>_xlfn.XLOOKUP($N1105,'Base de Grupos'!$A:$A,'Base de Grupos'!$E:$E)</f>
        <v>CANAL VENDA INTERNA</v>
      </c>
      <c r="D1105" s="5" t="str">
        <f>_xlfn.XLOOKUP($N1105,'Base de Grupos'!$A:$A,'Base de Grupos'!$F:$F)</f>
        <v>1000065763</v>
      </c>
      <c r="E1105" s="2" t="str">
        <f>_xlfn.XLOOKUP($N1105,'Base de Grupos'!$A:$A,'Base de Grupos'!$G:$G)</f>
        <v>CANAL VENDA INTERNA</v>
      </c>
      <c r="F1105" s="2" t="str">
        <f>_xlfn.XLOOKUP($N1105,'Base de Grupos'!$A:$A,'Base de Grupos'!$H:$H)</f>
        <v>1000174119</v>
      </c>
      <c r="G1105" s="5" t="str">
        <f>_xlfn.XLOOKUP($N1105,'Base de Grupos'!$A:$A,'Base de Grupos'!$I:$I)</f>
        <v>REGIONAL VENDA INTERNA - CONVENIENCIA</v>
      </c>
      <c r="H1105" s="5" t="str">
        <f>_xlfn.XLOOKUP($N1105,'Base de Grupos'!$A:$A,'Base de Grupos'!$J:$J)</f>
        <v>1000174119</v>
      </c>
      <c r="I1105" s="2" t="str">
        <f>_xlfn.XLOOKUP($N1105,'Base de Grupos'!$A:$A,'Base de Grupos'!$K:$K)</f>
        <v>REGIONAL VENDA INTERNA - CONVENIENCIA</v>
      </c>
      <c r="J1105" s="2" t="str">
        <f>_xlfn.XLOOKUP($N1105,'Base de Grupos'!$A:$A,'Base de Grupos'!$L:$L)</f>
        <v>1000174119</v>
      </c>
      <c r="K1105" s="5" t="str">
        <f>_xlfn.XLOOKUP($N1105,'Base de Grupos'!$A:$A,'Base de Grupos'!$M:$M)</f>
        <v>REGIONAL VENDA INTERNA - CONVENIENCIA</v>
      </c>
      <c r="L1105" s="5" t="str">
        <f t="shared" si="1018"/>
        <v/>
      </c>
      <c r="M1105" s="5" t="str">
        <f>_xlfn.XLOOKUP($N1105,'Base de Grupos'!$A:$A,'Base de Grupos'!$C:$C)</f>
        <v>SP</v>
      </c>
      <c r="N1105" s="3">
        <v>1526</v>
      </c>
      <c r="O1105" s="4" t="s">
        <v>285</v>
      </c>
      <c r="P1105" s="5" t="s">
        <v>83</v>
      </c>
      <c r="Q1105" s="56">
        <v>0</v>
      </c>
      <c r="R1105" s="56">
        <v>0</v>
      </c>
      <c r="S1105" s="56">
        <v>0</v>
      </c>
      <c r="T1105" s="56">
        <f>_xlfn.XLOOKUP($N1105,'Calculo Leads Conveniencia'!$A$77:$A$104,'Calculo Leads Conveniencia'!G$77:G$104)*_xlfn.XLOOKUP($P1105,'Base Grupo de Produtos'!$E$23:$E$39,'Base Grupo de Produtos'!$F$23:$F$39)</f>
        <v>0</v>
      </c>
      <c r="U1105" s="56">
        <f>_xlfn.XLOOKUP($N1105,'Calculo Leads Conveniencia'!$A$77:$A$104,'Calculo Leads Conveniencia'!H$77:H$104)*_xlfn.XLOOKUP($P1105,'Base Grupo de Produtos'!$E$23:$E$39,'Base Grupo de Produtos'!$F$23:$F$39)</f>
        <v>0</v>
      </c>
      <c r="V1105" s="56">
        <f>_xlfn.XLOOKUP($N1105,'Calculo Leads Conveniencia'!$A$77:$A$104,'Calculo Leads Conveniencia'!I$77:I$104)*_xlfn.XLOOKUP($P1105,'Base Grupo de Produtos'!$E$23:$E$39,'Base Grupo de Produtos'!$F$23:$F$39)</f>
        <v>0</v>
      </c>
      <c r="W1105" s="56">
        <f>_xlfn.XLOOKUP($N1105,'Calculo Leads Conveniencia'!$A$77:$A$104,'Calculo Leads Conveniencia'!J$77:J$104)*_xlfn.XLOOKUP($P1105,'Base Grupo de Produtos'!$E$23:$E$39,'Base Grupo de Produtos'!$F$23:$F$39)</f>
        <v>0</v>
      </c>
      <c r="X1105" s="56">
        <f>_xlfn.XLOOKUP($N1105,'Calculo Leads Conveniencia'!$A$77:$A$104,'Calculo Leads Conveniencia'!K$77:K$104)*_xlfn.XLOOKUP($P1105,'Base Grupo de Produtos'!$E$23:$E$39,'Base Grupo de Produtos'!$F$23:$F$39)</f>
        <v>0</v>
      </c>
      <c r="Y1105" s="56">
        <f>_xlfn.XLOOKUP($N1105,'Calculo Leads Conveniencia'!$A$77:$A$104,'Calculo Leads Conveniencia'!L$77:L$104)*_xlfn.XLOOKUP($P1105,'Base Grupo de Produtos'!$E$23:$E$39,'Base Grupo de Produtos'!$F$23:$F$39)</f>
        <v>0</v>
      </c>
      <c r="Z1105" s="56">
        <f>_xlfn.XLOOKUP($N1105,'Calculo Leads Conveniencia'!$A$77:$A$104,'Calculo Leads Conveniencia'!M$77:M$104)*_xlfn.XLOOKUP($P1105,'Base Grupo de Produtos'!$E$23:$E$39,'Base Grupo de Produtos'!$F$23:$F$39)</f>
        <v>0</v>
      </c>
      <c r="AA1105" s="56">
        <f>_xlfn.XLOOKUP($N1105,'Calculo Leads Conveniencia'!$A$77:$A$104,'Calculo Leads Conveniencia'!N$77:N$104)*_xlfn.XLOOKUP($P1105,'Base Grupo de Produtos'!$E$23:$E$39,'Base Grupo de Produtos'!$F$23:$F$39)</f>
        <v>0</v>
      </c>
      <c r="AB1105" s="56">
        <f>_xlfn.XLOOKUP($N1105,'Calculo Leads Conveniencia'!$A$77:$A$104,'Calculo Leads Conveniencia'!O$77:O$104)*_xlfn.XLOOKUP($P1105,'Base Grupo de Produtos'!$E$23:$E$39,'Base Grupo de Produtos'!$F$23:$F$39)</f>
        <v>0</v>
      </c>
      <c r="AC1105" s="61">
        <f t="shared" si="1045"/>
        <v>0</v>
      </c>
      <c r="AD1105" s="28"/>
      <c r="AE1105" s="12"/>
      <c r="AF1105" s="29"/>
      <c r="AG1105" s="9"/>
      <c r="AH1105" s="10"/>
      <c r="AI1105" s="9"/>
      <c r="AJ1105" s="11"/>
      <c r="AK1105" s="9"/>
      <c r="AL1105" s="13"/>
      <c r="AM1105" s="9"/>
    </row>
    <row r="1106" spans="1:39" x14ac:dyDescent="0.3">
      <c r="A1106" s="2" t="str">
        <f t="shared" si="1017"/>
        <v>NÃO</v>
      </c>
      <c r="B1106" s="2" t="str">
        <f>_xlfn.XLOOKUP($N1106,'Base de Grupos'!$A:$A,'Base de Grupos'!$D:$D)</f>
        <v>1000065763</v>
      </c>
      <c r="C1106" s="5" t="str">
        <f>_xlfn.XLOOKUP($N1106,'Base de Grupos'!$A:$A,'Base de Grupos'!$E:$E)</f>
        <v>CANAL VENDA INTERNA</v>
      </c>
      <c r="D1106" s="5" t="str">
        <f>_xlfn.XLOOKUP($N1106,'Base de Grupos'!$A:$A,'Base de Grupos'!$F:$F)</f>
        <v>1000065763</v>
      </c>
      <c r="E1106" s="2" t="str">
        <f>_xlfn.XLOOKUP($N1106,'Base de Grupos'!$A:$A,'Base de Grupos'!$G:$G)</f>
        <v>CANAL VENDA INTERNA</v>
      </c>
      <c r="F1106" s="2" t="str">
        <f>_xlfn.XLOOKUP($N1106,'Base de Grupos'!$A:$A,'Base de Grupos'!$H:$H)</f>
        <v>1000174119</v>
      </c>
      <c r="G1106" s="5" t="str">
        <f>_xlfn.XLOOKUP($N1106,'Base de Grupos'!$A:$A,'Base de Grupos'!$I:$I)</f>
        <v>REGIONAL VENDA INTERNA - CONVENIENCIA</v>
      </c>
      <c r="H1106" s="5" t="str">
        <f>_xlfn.XLOOKUP($N1106,'Base de Grupos'!$A:$A,'Base de Grupos'!$J:$J)</f>
        <v>1000174119</v>
      </c>
      <c r="I1106" s="2" t="str">
        <f>_xlfn.XLOOKUP($N1106,'Base de Grupos'!$A:$A,'Base de Grupos'!$K:$K)</f>
        <v>REGIONAL VENDA INTERNA - CONVENIENCIA</v>
      </c>
      <c r="J1106" s="2" t="str">
        <f>_xlfn.XLOOKUP($N1106,'Base de Grupos'!$A:$A,'Base de Grupos'!$L:$L)</f>
        <v>1000174119</v>
      </c>
      <c r="K1106" s="5" t="str">
        <f>_xlfn.XLOOKUP($N1106,'Base de Grupos'!$A:$A,'Base de Grupos'!$M:$M)</f>
        <v>REGIONAL VENDA INTERNA - CONVENIENCIA</v>
      </c>
      <c r="L1106" s="5" t="str">
        <f t="shared" si="1018"/>
        <v/>
      </c>
      <c r="M1106" s="5" t="str">
        <f>_xlfn.XLOOKUP($N1106,'Base de Grupos'!$A:$A,'Base de Grupos'!$C:$C)</f>
        <v>SP</v>
      </c>
      <c r="N1106" s="3">
        <v>1526</v>
      </c>
      <c r="O1106" s="4" t="s">
        <v>285</v>
      </c>
      <c r="P1106" s="5" t="s">
        <v>87</v>
      </c>
      <c r="Q1106" s="56">
        <v>0</v>
      </c>
      <c r="R1106" s="56">
        <v>0</v>
      </c>
      <c r="S1106" s="56">
        <v>0</v>
      </c>
      <c r="T1106" s="56">
        <f>_xlfn.XLOOKUP($N1106,'Calculo Leads Conveniencia'!$A$77:$A$104,'Calculo Leads Conveniencia'!G$77:G$104)*_xlfn.XLOOKUP($P1106,'Base Grupo de Produtos'!$E$23:$E$39,'Base Grupo de Produtos'!$F$23:$F$39)</f>
        <v>0</v>
      </c>
      <c r="U1106" s="56">
        <f>_xlfn.XLOOKUP($N1106,'Calculo Leads Conveniencia'!$A$77:$A$104,'Calculo Leads Conveniencia'!H$77:H$104)*_xlfn.XLOOKUP($P1106,'Base Grupo de Produtos'!$E$23:$E$39,'Base Grupo de Produtos'!$F$23:$F$39)</f>
        <v>0</v>
      </c>
      <c r="V1106" s="56">
        <f>_xlfn.XLOOKUP($N1106,'Calculo Leads Conveniencia'!$A$77:$A$104,'Calculo Leads Conveniencia'!I$77:I$104)*_xlfn.XLOOKUP($P1106,'Base Grupo de Produtos'!$E$23:$E$39,'Base Grupo de Produtos'!$F$23:$F$39)</f>
        <v>0</v>
      </c>
      <c r="W1106" s="56">
        <f>_xlfn.XLOOKUP($N1106,'Calculo Leads Conveniencia'!$A$77:$A$104,'Calculo Leads Conveniencia'!J$77:J$104)*_xlfn.XLOOKUP($P1106,'Base Grupo de Produtos'!$E$23:$E$39,'Base Grupo de Produtos'!$F$23:$F$39)</f>
        <v>0</v>
      </c>
      <c r="X1106" s="56">
        <f>_xlfn.XLOOKUP($N1106,'Calculo Leads Conveniencia'!$A$77:$A$104,'Calculo Leads Conveniencia'!K$77:K$104)*_xlfn.XLOOKUP($P1106,'Base Grupo de Produtos'!$E$23:$E$39,'Base Grupo de Produtos'!$F$23:$F$39)</f>
        <v>0</v>
      </c>
      <c r="Y1106" s="56">
        <f>_xlfn.XLOOKUP($N1106,'Calculo Leads Conveniencia'!$A$77:$A$104,'Calculo Leads Conveniencia'!L$77:L$104)*_xlfn.XLOOKUP($P1106,'Base Grupo de Produtos'!$E$23:$E$39,'Base Grupo de Produtos'!$F$23:$F$39)</f>
        <v>0</v>
      </c>
      <c r="Z1106" s="56">
        <f>_xlfn.XLOOKUP($N1106,'Calculo Leads Conveniencia'!$A$77:$A$104,'Calculo Leads Conveniencia'!M$77:M$104)*_xlfn.XLOOKUP($P1106,'Base Grupo de Produtos'!$E$23:$E$39,'Base Grupo de Produtos'!$F$23:$F$39)</f>
        <v>0</v>
      </c>
      <c r="AA1106" s="56">
        <f>_xlfn.XLOOKUP($N1106,'Calculo Leads Conveniencia'!$A$77:$A$104,'Calculo Leads Conveniencia'!N$77:N$104)*_xlfn.XLOOKUP($P1106,'Base Grupo de Produtos'!$E$23:$E$39,'Base Grupo de Produtos'!$F$23:$F$39)</f>
        <v>0</v>
      </c>
      <c r="AB1106" s="56">
        <f>_xlfn.XLOOKUP($N1106,'Calculo Leads Conveniencia'!$A$77:$A$104,'Calculo Leads Conveniencia'!O$77:O$104)*_xlfn.XLOOKUP($P1106,'Base Grupo de Produtos'!$E$23:$E$39,'Base Grupo de Produtos'!$F$23:$F$39)</f>
        <v>0</v>
      </c>
      <c r="AC1106" s="61">
        <f t="shared" si="1045"/>
        <v>0</v>
      </c>
      <c r="AD1106" s="28"/>
      <c r="AE1106" s="12"/>
      <c r="AF1106" s="29"/>
      <c r="AG1106" s="9"/>
      <c r="AH1106" s="10"/>
      <c r="AI1106" s="9"/>
      <c r="AJ1106" s="11"/>
      <c r="AK1106" s="9"/>
      <c r="AL1106" s="13"/>
      <c r="AM1106" s="9"/>
    </row>
    <row r="1107" spans="1:39" x14ac:dyDescent="0.3">
      <c r="A1107" s="2" t="str">
        <f t="shared" si="1017"/>
        <v>NÃO</v>
      </c>
      <c r="B1107" s="2" t="str">
        <f>_xlfn.XLOOKUP($N1107,'Base de Grupos'!$A:$A,'Base de Grupos'!$D:$D)</f>
        <v>1000065763</v>
      </c>
      <c r="C1107" s="5" t="str">
        <f>_xlfn.XLOOKUP($N1107,'Base de Grupos'!$A:$A,'Base de Grupos'!$E:$E)</f>
        <v>CANAL VENDA INTERNA</v>
      </c>
      <c r="D1107" s="5" t="str">
        <f>_xlfn.XLOOKUP($N1107,'Base de Grupos'!$A:$A,'Base de Grupos'!$F:$F)</f>
        <v>1000065763</v>
      </c>
      <c r="E1107" s="2" t="str">
        <f>_xlfn.XLOOKUP($N1107,'Base de Grupos'!$A:$A,'Base de Grupos'!$G:$G)</f>
        <v>CANAL VENDA INTERNA</v>
      </c>
      <c r="F1107" s="2" t="str">
        <f>_xlfn.XLOOKUP($N1107,'Base de Grupos'!$A:$A,'Base de Grupos'!$H:$H)</f>
        <v>1000174119</v>
      </c>
      <c r="G1107" s="5" t="str">
        <f>_xlfn.XLOOKUP($N1107,'Base de Grupos'!$A:$A,'Base de Grupos'!$I:$I)</f>
        <v>REGIONAL VENDA INTERNA - CONVENIENCIA</v>
      </c>
      <c r="H1107" s="5" t="str">
        <f>_xlfn.XLOOKUP($N1107,'Base de Grupos'!$A:$A,'Base de Grupos'!$J:$J)</f>
        <v>1000174119</v>
      </c>
      <c r="I1107" s="2" t="str">
        <f>_xlfn.XLOOKUP($N1107,'Base de Grupos'!$A:$A,'Base de Grupos'!$K:$K)</f>
        <v>REGIONAL VENDA INTERNA - CONVENIENCIA</v>
      </c>
      <c r="J1107" s="2" t="str">
        <f>_xlfn.XLOOKUP($N1107,'Base de Grupos'!$A:$A,'Base de Grupos'!$L:$L)</f>
        <v>1000174119</v>
      </c>
      <c r="K1107" s="5" t="str">
        <f>_xlfn.XLOOKUP($N1107,'Base de Grupos'!$A:$A,'Base de Grupos'!$M:$M)</f>
        <v>REGIONAL VENDA INTERNA - CONVENIENCIA</v>
      </c>
      <c r="L1107" s="5" t="str">
        <f t="shared" si="1018"/>
        <v/>
      </c>
      <c r="M1107" s="5" t="str">
        <f>_xlfn.XLOOKUP($N1107,'Base de Grupos'!$A:$A,'Base de Grupos'!$C:$C)</f>
        <v>SP</v>
      </c>
      <c r="N1107" s="3">
        <v>1526</v>
      </c>
      <c r="O1107" s="4" t="s">
        <v>285</v>
      </c>
      <c r="P1107" s="5" t="s">
        <v>85</v>
      </c>
      <c r="Q1107" s="56">
        <v>0</v>
      </c>
      <c r="R1107" s="56">
        <v>0</v>
      </c>
      <c r="S1107" s="56">
        <v>0</v>
      </c>
      <c r="T1107" s="56">
        <f>_xlfn.XLOOKUP($N1107,'Calculo Leads Conveniencia'!$A$77:$A$104,'Calculo Leads Conveniencia'!G$77:G$104)*_xlfn.XLOOKUP($P1107,'Base Grupo de Produtos'!$E$23:$E$39,'Base Grupo de Produtos'!$F$23:$F$39)</f>
        <v>0</v>
      </c>
      <c r="U1107" s="56">
        <f>_xlfn.XLOOKUP($N1107,'Calculo Leads Conveniencia'!$A$77:$A$104,'Calculo Leads Conveniencia'!H$77:H$104)*_xlfn.XLOOKUP($P1107,'Base Grupo de Produtos'!$E$23:$E$39,'Base Grupo de Produtos'!$F$23:$F$39)</f>
        <v>0</v>
      </c>
      <c r="V1107" s="56">
        <f>_xlfn.XLOOKUP($N1107,'Calculo Leads Conveniencia'!$A$77:$A$104,'Calculo Leads Conveniencia'!I$77:I$104)*_xlfn.XLOOKUP($P1107,'Base Grupo de Produtos'!$E$23:$E$39,'Base Grupo de Produtos'!$F$23:$F$39)</f>
        <v>0</v>
      </c>
      <c r="W1107" s="56">
        <f>_xlfn.XLOOKUP($N1107,'Calculo Leads Conveniencia'!$A$77:$A$104,'Calculo Leads Conveniencia'!J$77:J$104)*_xlfn.XLOOKUP($P1107,'Base Grupo de Produtos'!$E$23:$E$39,'Base Grupo de Produtos'!$F$23:$F$39)</f>
        <v>0</v>
      </c>
      <c r="X1107" s="56">
        <f>_xlfn.XLOOKUP($N1107,'Calculo Leads Conveniencia'!$A$77:$A$104,'Calculo Leads Conveniencia'!K$77:K$104)*_xlfn.XLOOKUP($P1107,'Base Grupo de Produtos'!$E$23:$E$39,'Base Grupo de Produtos'!$F$23:$F$39)</f>
        <v>0</v>
      </c>
      <c r="Y1107" s="56">
        <f>_xlfn.XLOOKUP($N1107,'Calculo Leads Conveniencia'!$A$77:$A$104,'Calculo Leads Conveniencia'!L$77:L$104)*_xlfn.XLOOKUP($P1107,'Base Grupo de Produtos'!$E$23:$E$39,'Base Grupo de Produtos'!$F$23:$F$39)</f>
        <v>0</v>
      </c>
      <c r="Z1107" s="56">
        <f>_xlfn.XLOOKUP($N1107,'Calculo Leads Conveniencia'!$A$77:$A$104,'Calculo Leads Conveniencia'!M$77:M$104)*_xlfn.XLOOKUP($P1107,'Base Grupo de Produtos'!$E$23:$E$39,'Base Grupo de Produtos'!$F$23:$F$39)</f>
        <v>0</v>
      </c>
      <c r="AA1107" s="56">
        <f>_xlfn.XLOOKUP($N1107,'Calculo Leads Conveniencia'!$A$77:$A$104,'Calculo Leads Conveniencia'!N$77:N$104)*_xlfn.XLOOKUP($P1107,'Base Grupo de Produtos'!$E$23:$E$39,'Base Grupo de Produtos'!$F$23:$F$39)</f>
        <v>0</v>
      </c>
      <c r="AB1107" s="56">
        <f>_xlfn.XLOOKUP($N1107,'Calculo Leads Conveniencia'!$A$77:$A$104,'Calculo Leads Conveniencia'!O$77:O$104)*_xlfn.XLOOKUP($P1107,'Base Grupo de Produtos'!$E$23:$E$39,'Base Grupo de Produtos'!$F$23:$F$39)</f>
        <v>0</v>
      </c>
      <c r="AC1107" s="61">
        <f t="shared" si="1045"/>
        <v>0</v>
      </c>
      <c r="AD1107" s="28"/>
      <c r="AE1107" s="12"/>
      <c r="AF1107" s="29"/>
      <c r="AG1107" s="9"/>
      <c r="AH1107" s="10"/>
      <c r="AI1107" s="9"/>
      <c r="AJ1107" s="11"/>
      <c r="AK1107" s="9"/>
      <c r="AL1107" s="13"/>
      <c r="AM1107" s="9"/>
    </row>
    <row r="1108" spans="1:39" x14ac:dyDescent="0.3">
      <c r="A1108" s="2" t="str">
        <f t="shared" si="1017"/>
        <v>NÃO</v>
      </c>
      <c r="B1108" s="2" t="str">
        <f>_xlfn.XLOOKUP($N1108,'Base de Grupos'!$A:$A,'Base de Grupos'!$D:$D)</f>
        <v>1000065763</v>
      </c>
      <c r="C1108" s="5" t="str">
        <f>_xlfn.XLOOKUP($N1108,'Base de Grupos'!$A:$A,'Base de Grupos'!$E:$E)</f>
        <v>CANAL VENDA INTERNA</v>
      </c>
      <c r="D1108" s="5" t="str">
        <f>_xlfn.XLOOKUP($N1108,'Base de Grupos'!$A:$A,'Base de Grupos'!$F:$F)</f>
        <v>1000065763</v>
      </c>
      <c r="E1108" s="2" t="str">
        <f>_xlfn.XLOOKUP($N1108,'Base de Grupos'!$A:$A,'Base de Grupos'!$G:$G)</f>
        <v>CANAL VENDA INTERNA</v>
      </c>
      <c r="F1108" s="2" t="str">
        <f>_xlfn.XLOOKUP($N1108,'Base de Grupos'!$A:$A,'Base de Grupos'!$H:$H)</f>
        <v>1000174119</v>
      </c>
      <c r="G1108" s="5" t="str">
        <f>_xlfn.XLOOKUP($N1108,'Base de Grupos'!$A:$A,'Base de Grupos'!$I:$I)</f>
        <v>REGIONAL VENDA INTERNA - CONVENIENCIA</v>
      </c>
      <c r="H1108" s="5" t="str">
        <f>_xlfn.XLOOKUP($N1108,'Base de Grupos'!$A:$A,'Base de Grupos'!$J:$J)</f>
        <v>1000174119</v>
      </c>
      <c r="I1108" s="2" t="str">
        <f>_xlfn.XLOOKUP($N1108,'Base de Grupos'!$A:$A,'Base de Grupos'!$K:$K)</f>
        <v>REGIONAL VENDA INTERNA - CONVENIENCIA</v>
      </c>
      <c r="J1108" s="2" t="str">
        <f>_xlfn.XLOOKUP($N1108,'Base de Grupos'!$A:$A,'Base de Grupos'!$L:$L)</f>
        <v>1000174119</v>
      </c>
      <c r="K1108" s="5" t="str">
        <f>_xlfn.XLOOKUP($N1108,'Base de Grupos'!$A:$A,'Base de Grupos'!$M:$M)</f>
        <v>REGIONAL VENDA INTERNA - CONVENIENCIA</v>
      </c>
      <c r="L1108" s="5" t="str">
        <f t="shared" si="1018"/>
        <v/>
      </c>
      <c r="M1108" s="5" t="str">
        <f>_xlfn.XLOOKUP($N1108,'Base de Grupos'!$A:$A,'Base de Grupos'!$C:$C)</f>
        <v>SP</v>
      </c>
      <c r="N1108" s="3">
        <v>1526</v>
      </c>
      <c r="O1108" s="4" t="s">
        <v>285</v>
      </c>
      <c r="P1108" s="5" t="s">
        <v>92</v>
      </c>
      <c r="Q1108" s="56">
        <v>0</v>
      </c>
      <c r="R1108" s="56">
        <v>0</v>
      </c>
      <c r="S1108" s="56">
        <v>0</v>
      </c>
      <c r="T1108" s="56">
        <f>_xlfn.XLOOKUP($N1108,'Calculo Leads Conveniencia'!$A$77:$A$104,'Calculo Leads Conveniencia'!G$77:G$104)*_xlfn.XLOOKUP($P1108,'Base Grupo de Produtos'!$E$23:$E$39,'Base Grupo de Produtos'!$F$23:$F$39)</f>
        <v>0</v>
      </c>
      <c r="U1108" s="56">
        <f>_xlfn.XLOOKUP($N1108,'Calculo Leads Conveniencia'!$A$77:$A$104,'Calculo Leads Conveniencia'!H$77:H$104)*_xlfn.XLOOKUP($P1108,'Base Grupo de Produtos'!$E$23:$E$39,'Base Grupo de Produtos'!$F$23:$F$39)</f>
        <v>0</v>
      </c>
      <c r="V1108" s="56">
        <f>_xlfn.XLOOKUP($N1108,'Calculo Leads Conveniencia'!$A$77:$A$104,'Calculo Leads Conveniencia'!I$77:I$104)*_xlfn.XLOOKUP($P1108,'Base Grupo de Produtos'!$E$23:$E$39,'Base Grupo de Produtos'!$F$23:$F$39)</f>
        <v>0</v>
      </c>
      <c r="W1108" s="56">
        <f>_xlfn.XLOOKUP($N1108,'Calculo Leads Conveniencia'!$A$77:$A$104,'Calculo Leads Conveniencia'!J$77:J$104)*_xlfn.XLOOKUP($P1108,'Base Grupo de Produtos'!$E$23:$E$39,'Base Grupo de Produtos'!$F$23:$F$39)</f>
        <v>0</v>
      </c>
      <c r="X1108" s="56">
        <f>_xlfn.XLOOKUP($N1108,'Calculo Leads Conveniencia'!$A$77:$A$104,'Calculo Leads Conveniencia'!K$77:K$104)*_xlfn.XLOOKUP($P1108,'Base Grupo de Produtos'!$E$23:$E$39,'Base Grupo de Produtos'!$F$23:$F$39)</f>
        <v>0</v>
      </c>
      <c r="Y1108" s="56">
        <f>_xlfn.XLOOKUP($N1108,'Calculo Leads Conveniencia'!$A$77:$A$104,'Calculo Leads Conveniencia'!L$77:L$104)*_xlfn.XLOOKUP($P1108,'Base Grupo de Produtos'!$E$23:$E$39,'Base Grupo de Produtos'!$F$23:$F$39)</f>
        <v>0</v>
      </c>
      <c r="Z1108" s="56">
        <f>_xlfn.XLOOKUP($N1108,'Calculo Leads Conveniencia'!$A$77:$A$104,'Calculo Leads Conveniencia'!M$77:M$104)*_xlfn.XLOOKUP($P1108,'Base Grupo de Produtos'!$E$23:$E$39,'Base Grupo de Produtos'!$F$23:$F$39)</f>
        <v>0</v>
      </c>
      <c r="AA1108" s="56">
        <f>_xlfn.XLOOKUP($N1108,'Calculo Leads Conveniencia'!$A$77:$A$104,'Calculo Leads Conveniencia'!N$77:N$104)*_xlfn.XLOOKUP($P1108,'Base Grupo de Produtos'!$E$23:$E$39,'Base Grupo de Produtos'!$F$23:$F$39)</f>
        <v>0</v>
      </c>
      <c r="AB1108" s="56">
        <f>_xlfn.XLOOKUP($N1108,'Calculo Leads Conveniencia'!$A$77:$A$104,'Calculo Leads Conveniencia'!O$77:O$104)*_xlfn.XLOOKUP($P1108,'Base Grupo de Produtos'!$E$23:$E$39,'Base Grupo de Produtos'!$F$23:$F$39)</f>
        <v>0</v>
      </c>
      <c r="AC1108" s="61">
        <f t="shared" si="1045"/>
        <v>0</v>
      </c>
      <c r="AD1108" s="28"/>
      <c r="AE1108" s="12"/>
      <c r="AF1108" s="29"/>
      <c r="AG1108" s="9"/>
      <c r="AH1108" s="10"/>
      <c r="AI1108" s="9"/>
      <c r="AJ1108" s="11"/>
      <c r="AK1108" s="9"/>
      <c r="AL1108" s="13"/>
      <c r="AM1108" s="9"/>
    </row>
    <row r="1109" spans="1:39" x14ac:dyDescent="0.3">
      <c r="A1109" s="2" t="str">
        <f t="shared" si="1017"/>
        <v>NÃO</v>
      </c>
      <c r="B1109" s="2" t="str">
        <f>_xlfn.XLOOKUP($N1109,'Base de Grupos'!$A:$A,'Base de Grupos'!$D:$D)</f>
        <v>1000065763</v>
      </c>
      <c r="C1109" s="5" t="str">
        <f>_xlfn.XLOOKUP($N1109,'Base de Grupos'!$A:$A,'Base de Grupos'!$E:$E)</f>
        <v>CANAL VENDA INTERNA</v>
      </c>
      <c r="D1109" s="5" t="str">
        <f>_xlfn.XLOOKUP($N1109,'Base de Grupos'!$A:$A,'Base de Grupos'!$F:$F)</f>
        <v>1000065763</v>
      </c>
      <c r="E1109" s="2" t="str">
        <f>_xlfn.XLOOKUP($N1109,'Base de Grupos'!$A:$A,'Base de Grupos'!$G:$G)</f>
        <v>CANAL VENDA INTERNA</v>
      </c>
      <c r="F1109" s="2" t="str">
        <f>_xlfn.XLOOKUP($N1109,'Base de Grupos'!$A:$A,'Base de Grupos'!$H:$H)</f>
        <v>1000174119</v>
      </c>
      <c r="G1109" s="5" t="str">
        <f>_xlfn.XLOOKUP($N1109,'Base de Grupos'!$A:$A,'Base de Grupos'!$I:$I)</f>
        <v>REGIONAL VENDA INTERNA - CONVENIENCIA</v>
      </c>
      <c r="H1109" s="5" t="str">
        <f>_xlfn.XLOOKUP($N1109,'Base de Grupos'!$A:$A,'Base de Grupos'!$J:$J)</f>
        <v>1000174119</v>
      </c>
      <c r="I1109" s="2" t="str">
        <f>_xlfn.XLOOKUP($N1109,'Base de Grupos'!$A:$A,'Base de Grupos'!$K:$K)</f>
        <v>REGIONAL VENDA INTERNA - CONVENIENCIA</v>
      </c>
      <c r="J1109" s="2" t="str">
        <f>_xlfn.XLOOKUP($N1109,'Base de Grupos'!$A:$A,'Base de Grupos'!$L:$L)</f>
        <v>1000174119</v>
      </c>
      <c r="K1109" s="5" t="str">
        <f>_xlfn.XLOOKUP($N1109,'Base de Grupos'!$A:$A,'Base de Grupos'!$M:$M)</f>
        <v>REGIONAL VENDA INTERNA - CONVENIENCIA</v>
      </c>
      <c r="L1109" s="5" t="str">
        <f t="shared" si="1018"/>
        <v/>
      </c>
      <c r="M1109" s="5" t="str">
        <f>_xlfn.XLOOKUP($N1109,'Base de Grupos'!$A:$A,'Base de Grupos'!$C:$C)</f>
        <v>SP</v>
      </c>
      <c r="N1109" s="3">
        <v>1526</v>
      </c>
      <c r="O1109" s="4" t="s">
        <v>285</v>
      </c>
      <c r="P1109" s="5" t="s">
        <v>86</v>
      </c>
      <c r="Q1109" s="56">
        <v>0</v>
      </c>
      <c r="R1109" s="56">
        <v>0</v>
      </c>
      <c r="S1109" s="56">
        <v>0</v>
      </c>
      <c r="T1109" s="56">
        <f>_xlfn.XLOOKUP($N1109,'Calculo Leads Conveniencia'!$A$77:$A$104,'Calculo Leads Conveniencia'!G$77:G$104)*_xlfn.XLOOKUP($P1109,'Base Grupo de Produtos'!$E$23:$E$39,'Base Grupo de Produtos'!$F$23:$F$39)</f>
        <v>0</v>
      </c>
      <c r="U1109" s="56">
        <f>_xlfn.XLOOKUP($N1109,'Calculo Leads Conveniencia'!$A$77:$A$104,'Calculo Leads Conveniencia'!H$77:H$104)*_xlfn.XLOOKUP($P1109,'Base Grupo de Produtos'!$E$23:$E$39,'Base Grupo de Produtos'!$F$23:$F$39)</f>
        <v>0</v>
      </c>
      <c r="V1109" s="56">
        <f>_xlfn.XLOOKUP($N1109,'Calculo Leads Conveniencia'!$A$77:$A$104,'Calculo Leads Conveniencia'!I$77:I$104)*_xlfn.XLOOKUP($P1109,'Base Grupo de Produtos'!$E$23:$E$39,'Base Grupo de Produtos'!$F$23:$F$39)</f>
        <v>0</v>
      </c>
      <c r="W1109" s="56">
        <f>_xlfn.XLOOKUP($N1109,'Calculo Leads Conveniencia'!$A$77:$A$104,'Calculo Leads Conveniencia'!J$77:J$104)*_xlfn.XLOOKUP($P1109,'Base Grupo de Produtos'!$E$23:$E$39,'Base Grupo de Produtos'!$F$23:$F$39)</f>
        <v>0</v>
      </c>
      <c r="X1109" s="56">
        <f>_xlfn.XLOOKUP($N1109,'Calculo Leads Conveniencia'!$A$77:$A$104,'Calculo Leads Conveniencia'!K$77:K$104)*_xlfn.XLOOKUP($P1109,'Base Grupo de Produtos'!$E$23:$E$39,'Base Grupo de Produtos'!$F$23:$F$39)</f>
        <v>0</v>
      </c>
      <c r="Y1109" s="56">
        <f>_xlfn.XLOOKUP($N1109,'Calculo Leads Conveniencia'!$A$77:$A$104,'Calculo Leads Conveniencia'!L$77:L$104)*_xlfn.XLOOKUP($P1109,'Base Grupo de Produtos'!$E$23:$E$39,'Base Grupo de Produtos'!$F$23:$F$39)</f>
        <v>0</v>
      </c>
      <c r="Z1109" s="56">
        <f>_xlfn.XLOOKUP($N1109,'Calculo Leads Conveniencia'!$A$77:$A$104,'Calculo Leads Conveniencia'!M$77:M$104)*_xlfn.XLOOKUP($P1109,'Base Grupo de Produtos'!$E$23:$E$39,'Base Grupo de Produtos'!$F$23:$F$39)</f>
        <v>0</v>
      </c>
      <c r="AA1109" s="56">
        <f>_xlfn.XLOOKUP($N1109,'Calculo Leads Conveniencia'!$A$77:$A$104,'Calculo Leads Conveniencia'!N$77:N$104)*_xlfn.XLOOKUP($P1109,'Base Grupo de Produtos'!$E$23:$E$39,'Base Grupo de Produtos'!$F$23:$F$39)</f>
        <v>0</v>
      </c>
      <c r="AB1109" s="56">
        <f>_xlfn.XLOOKUP($N1109,'Calculo Leads Conveniencia'!$A$77:$A$104,'Calculo Leads Conveniencia'!O$77:O$104)*_xlfn.XLOOKUP($P1109,'Base Grupo de Produtos'!$E$23:$E$39,'Base Grupo de Produtos'!$F$23:$F$39)</f>
        <v>0</v>
      </c>
      <c r="AC1109" s="61">
        <f t="shared" si="1045"/>
        <v>0</v>
      </c>
      <c r="AD1109" s="28"/>
      <c r="AE1109" s="12"/>
      <c r="AF1109" s="29"/>
      <c r="AG1109" s="9"/>
      <c r="AH1109" s="10"/>
      <c r="AI1109" s="9"/>
      <c r="AJ1109" s="11"/>
      <c r="AK1109" s="9"/>
      <c r="AL1109" s="13"/>
      <c r="AM1109" s="9"/>
    </row>
    <row r="1110" spans="1:39" x14ac:dyDescent="0.3">
      <c r="A1110" s="2" t="str">
        <f t="shared" si="1017"/>
        <v>NÃO</v>
      </c>
      <c r="B1110" s="2" t="str">
        <f>_xlfn.XLOOKUP($N1110,'Base de Grupos'!$A:$A,'Base de Grupos'!$D:$D)</f>
        <v>1000065763</v>
      </c>
      <c r="C1110" s="5" t="str">
        <f>_xlfn.XLOOKUP($N1110,'Base de Grupos'!$A:$A,'Base de Grupos'!$E:$E)</f>
        <v>CANAL VENDA INTERNA</v>
      </c>
      <c r="D1110" s="5" t="str">
        <f>_xlfn.XLOOKUP($N1110,'Base de Grupos'!$A:$A,'Base de Grupos'!$F:$F)</f>
        <v>1000065763</v>
      </c>
      <c r="E1110" s="2" t="str">
        <f>_xlfn.XLOOKUP($N1110,'Base de Grupos'!$A:$A,'Base de Grupos'!$G:$G)</f>
        <v>CANAL VENDA INTERNA</v>
      </c>
      <c r="F1110" s="2" t="str">
        <f>_xlfn.XLOOKUP($N1110,'Base de Grupos'!$A:$A,'Base de Grupos'!$H:$H)</f>
        <v>1000174119</v>
      </c>
      <c r="G1110" s="5" t="str">
        <f>_xlfn.XLOOKUP($N1110,'Base de Grupos'!$A:$A,'Base de Grupos'!$I:$I)</f>
        <v>REGIONAL VENDA INTERNA - CONVENIENCIA</v>
      </c>
      <c r="H1110" s="5" t="str">
        <f>_xlfn.XLOOKUP($N1110,'Base de Grupos'!$A:$A,'Base de Grupos'!$J:$J)</f>
        <v>1000174119</v>
      </c>
      <c r="I1110" s="2" t="str">
        <f>_xlfn.XLOOKUP($N1110,'Base de Grupos'!$A:$A,'Base de Grupos'!$K:$K)</f>
        <v>REGIONAL VENDA INTERNA - CONVENIENCIA</v>
      </c>
      <c r="J1110" s="2" t="str">
        <f>_xlfn.XLOOKUP($N1110,'Base de Grupos'!$A:$A,'Base de Grupos'!$L:$L)</f>
        <v>1000174119</v>
      </c>
      <c r="K1110" s="5" t="str">
        <f>_xlfn.XLOOKUP($N1110,'Base de Grupos'!$A:$A,'Base de Grupos'!$M:$M)</f>
        <v>REGIONAL VENDA INTERNA - CONVENIENCIA</v>
      </c>
      <c r="L1110" s="5" t="str">
        <f t="shared" si="1018"/>
        <v/>
      </c>
      <c r="M1110" s="5" t="str">
        <f>_xlfn.XLOOKUP($N1110,'Base de Grupos'!$A:$A,'Base de Grupos'!$C:$C)</f>
        <v>SP</v>
      </c>
      <c r="N1110" s="3">
        <v>1526</v>
      </c>
      <c r="O1110" s="4" t="s">
        <v>285</v>
      </c>
      <c r="P1110" s="5" t="s">
        <v>108</v>
      </c>
      <c r="Q1110" s="56">
        <v>0</v>
      </c>
      <c r="R1110" s="56">
        <v>0</v>
      </c>
      <c r="S1110" s="56">
        <v>0</v>
      </c>
      <c r="T1110" s="56">
        <f>_xlfn.XLOOKUP($N1110,'Calculo Leads Conveniencia'!$A$77:$A$104,'Calculo Leads Conveniencia'!G$77:G$104)*_xlfn.XLOOKUP($P1110,'Base Grupo de Produtos'!$E$23:$E$39,'Base Grupo de Produtos'!$F$23:$F$39)</f>
        <v>0</v>
      </c>
      <c r="U1110" s="56">
        <f>_xlfn.XLOOKUP($N1110,'Calculo Leads Conveniencia'!$A$77:$A$104,'Calculo Leads Conveniencia'!H$77:H$104)*_xlfn.XLOOKUP($P1110,'Base Grupo de Produtos'!$E$23:$E$39,'Base Grupo de Produtos'!$F$23:$F$39)</f>
        <v>0</v>
      </c>
      <c r="V1110" s="56">
        <f>_xlfn.XLOOKUP($N1110,'Calculo Leads Conveniencia'!$A$77:$A$104,'Calculo Leads Conveniencia'!I$77:I$104)*_xlfn.XLOOKUP($P1110,'Base Grupo de Produtos'!$E$23:$E$39,'Base Grupo de Produtos'!$F$23:$F$39)</f>
        <v>0</v>
      </c>
      <c r="W1110" s="56">
        <f>_xlfn.XLOOKUP($N1110,'Calculo Leads Conveniencia'!$A$77:$A$104,'Calculo Leads Conveniencia'!J$77:J$104)*_xlfn.XLOOKUP($P1110,'Base Grupo de Produtos'!$E$23:$E$39,'Base Grupo de Produtos'!$F$23:$F$39)</f>
        <v>0</v>
      </c>
      <c r="X1110" s="56">
        <f>_xlfn.XLOOKUP($N1110,'Calculo Leads Conveniencia'!$A$77:$A$104,'Calculo Leads Conveniencia'!K$77:K$104)*_xlfn.XLOOKUP($P1110,'Base Grupo de Produtos'!$E$23:$E$39,'Base Grupo de Produtos'!$F$23:$F$39)</f>
        <v>0</v>
      </c>
      <c r="Y1110" s="56">
        <f>_xlfn.XLOOKUP($N1110,'Calculo Leads Conveniencia'!$A$77:$A$104,'Calculo Leads Conveniencia'!L$77:L$104)*_xlfn.XLOOKUP($P1110,'Base Grupo de Produtos'!$E$23:$E$39,'Base Grupo de Produtos'!$F$23:$F$39)</f>
        <v>0</v>
      </c>
      <c r="Z1110" s="56">
        <f>_xlfn.XLOOKUP($N1110,'Calculo Leads Conveniencia'!$A$77:$A$104,'Calculo Leads Conveniencia'!M$77:M$104)*_xlfn.XLOOKUP($P1110,'Base Grupo de Produtos'!$E$23:$E$39,'Base Grupo de Produtos'!$F$23:$F$39)</f>
        <v>0</v>
      </c>
      <c r="AA1110" s="56">
        <f>_xlfn.XLOOKUP($N1110,'Calculo Leads Conveniencia'!$A$77:$A$104,'Calculo Leads Conveniencia'!N$77:N$104)*_xlfn.XLOOKUP($P1110,'Base Grupo de Produtos'!$E$23:$E$39,'Base Grupo de Produtos'!$F$23:$F$39)</f>
        <v>0</v>
      </c>
      <c r="AB1110" s="56">
        <f>_xlfn.XLOOKUP($N1110,'Calculo Leads Conveniencia'!$A$77:$A$104,'Calculo Leads Conveniencia'!O$77:O$104)*_xlfn.XLOOKUP($P1110,'Base Grupo de Produtos'!$E$23:$E$39,'Base Grupo de Produtos'!$F$23:$F$39)</f>
        <v>0</v>
      </c>
      <c r="AC1110" s="61">
        <f t="shared" si="1045"/>
        <v>0</v>
      </c>
      <c r="AD1110" s="28"/>
      <c r="AE1110" s="12"/>
      <c r="AF1110" s="29"/>
      <c r="AG1110" s="9"/>
      <c r="AH1110" s="10"/>
      <c r="AI1110" s="9"/>
      <c r="AJ1110" s="11"/>
      <c r="AK1110" s="9"/>
      <c r="AL1110" s="13"/>
      <c r="AM1110" s="9"/>
    </row>
    <row r="1111" spans="1:39" x14ac:dyDescent="0.3">
      <c r="A1111" s="2" t="str">
        <f t="shared" si="1017"/>
        <v>NÃO</v>
      </c>
      <c r="B1111" s="2" t="str">
        <f>_xlfn.XLOOKUP($N1111,'Base de Grupos'!$A:$A,'Base de Grupos'!$D:$D)</f>
        <v>1000065763</v>
      </c>
      <c r="C1111" s="5" t="str">
        <f>_xlfn.XLOOKUP($N1111,'Base de Grupos'!$A:$A,'Base de Grupos'!$E:$E)</f>
        <v>CANAL VENDA INTERNA</v>
      </c>
      <c r="D1111" s="5" t="str">
        <f>_xlfn.XLOOKUP($N1111,'Base de Grupos'!$A:$A,'Base de Grupos'!$F:$F)</f>
        <v>1000065763</v>
      </c>
      <c r="E1111" s="2" t="str">
        <f>_xlfn.XLOOKUP($N1111,'Base de Grupos'!$A:$A,'Base de Grupos'!$G:$G)</f>
        <v>CANAL VENDA INTERNA</v>
      </c>
      <c r="F1111" s="2" t="str">
        <f>_xlfn.XLOOKUP($N1111,'Base de Grupos'!$A:$A,'Base de Grupos'!$H:$H)</f>
        <v>1000174119</v>
      </c>
      <c r="G1111" s="5" t="str">
        <f>_xlfn.XLOOKUP($N1111,'Base de Grupos'!$A:$A,'Base de Grupos'!$I:$I)</f>
        <v>REGIONAL VENDA INTERNA - CONVENIENCIA</v>
      </c>
      <c r="H1111" s="5" t="str">
        <f>_xlfn.XLOOKUP($N1111,'Base de Grupos'!$A:$A,'Base de Grupos'!$J:$J)</f>
        <v>1000174119</v>
      </c>
      <c r="I1111" s="2" t="str">
        <f>_xlfn.XLOOKUP($N1111,'Base de Grupos'!$A:$A,'Base de Grupos'!$K:$K)</f>
        <v>REGIONAL VENDA INTERNA - CONVENIENCIA</v>
      </c>
      <c r="J1111" s="2" t="str">
        <f>_xlfn.XLOOKUP($N1111,'Base de Grupos'!$A:$A,'Base de Grupos'!$L:$L)</f>
        <v>1000174119</v>
      </c>
      <c r="K1111" s="5" t="str">
        <f>_xlfn.XLOOKUP($N1111,'Base de Grupos'!$A:$A,'Base de Grupos'!$M:$M)</f>
        <v>REGIONAL VENDA INTERNA - CONVENIENCIA</v>
      </c>
      <c r="L1111" s="5" t="str">
        <f t="shared" si="1018"/>
        <v/>
      </c>
      <c r="M1111" s="5" t="str">
        <f>_xlfn.XLOOKUP($N1111,'Base de Grupos'!$A:$A,'Base de Grupos'!$C:$C)</f>
        <v>SP</v>
      </c>
      <c r="N1111" s="3">
        <v>1526</v>
      </c>
      <c r="O1111" s="4" t="s">
        <v>285</v>
      </c>
      <c r="P1111" s="5" t="s">
        <v>89</v>
      </c>
      <c r="Q1111" s="56">
        <v>0</v>
      </c>
      <c r="R1111" s="56">
        <v>0</v>
      </c>
      <c r="S1111" s="56">
        <v>0</v>
      </c>
      <c r="T1111" s="56">
        <f>_xlfn.XLOOKUP($N1111,'Calculo Leads Conveniencia'!$A$77:$A$104,'Calculo Leads Conveniencia'!G$77:G$104)*_xlfn.XLOOKUP($P1111,'Base Grupo de Produtos'!$E$23:$E$39,'Base Grupo de Produtos'!$F$23:$F$39)</f>
        <v>0</v>
      </c>
      <c r="U1111" s="56">
        <f>_xlfn.XLOOKUP($N1111,'Calculo Leads Conveniencia'!$A$77:$A$104,'Calculo Leads Conveniencia'!H$77:H$104)*_xlfn.XLOOKUP($P1111,'Base Grupo de Produtos'!$E$23:$E$39,'Base Grupo de Produtos'!$F$23:$F$39)</f>
        <v>0</v>
      </c>
      <c r="V1111" s="56">
        <f>_xlfn.XLOOKUP($N1111,'Calculo Leads Conveniencia'!$A$77:$A$104,'Calculo Leads Conveniencia'!I$77:I$104)*_xlfn.XLOOKUP($P1111,'Base Grupo de Produtos'!$E$23:$E$39,'Base Grupo de Produtos'!$F$23:$F$39)</f>
        <v>0</v>
      </c>
      <c r="W1111" s="56">
        <f>_xlfn.XLOOKUP($N1111,'Calculo Leads Conveniencia'!$A$77:$A$104,'Calculo Leads Conveniencia'!J$77:J$104)*_xlfn.XLOOKUP($P1111,'Base Grupo de Produtos'!$E$23:$E$39,'Base Grupo de Produtos'!$F$23:$F$39)</f>
        <v>0</v>
      </c>
      <c r="X1111" s="56">
        <f>_xlfn.XLOOKUP($N1111,'Calculo Leads Conveniencia'!$A$77:$A$104,'Calculo Leads Conveniencia'!K$77:K$104)*_xlfn.XLOOKUP($P1111,'Base Grupo de Produtos'!$E$23:$E$39,'Base Grupo de Produtos'!$F$23:$F$39)</f>
        <v>0</v>
      </c>
      <c r="Y1111" s="56">
        <f>_xlfn.XLOOKUP($N1111,'Calculo Leads Conveniencia'!$A$77:$A$104,'Calculo Leads Conveniencia'!L$77:L$104)*_xlfn.XLOOKUP($P1111,'Base Grupo de Produtos'!$E$23:$E$39,'Base Grupo de Produtos'!$F$23:$F$39)</f>
        <v>0</v>
      </c>
      <c r="Z1111" s="56">
        <f>_xlfn.XLOOKUP($N1111,'Calculo Leads Conveniencia'!$A$77:$A$104,'Calculo Leads Conveniencia'!M$77:M$104)*_xlfn.XLOOKUP($P1111,'Base Grupo de Produtos'!$E$23:$E$39,'Base Grupo de Produtos'!$F$23:$F$39)</f>
        <v>0</v>
      </c>
      <c r="AA1111" s="56">
        <f>_xlfn.XLOOKUP($N1111,'Calculo Leads Conveniencia'!$A$77:$A$104,'Calculo Leads Conveniencia'!N$77:N$104)*_xlfn.XLOOKUP($P1111,'Base Grupo de Produtos'!$E$23:$E$39,'Base Grupo de Produtos'!$F$23:$F$39)</f>
        <v>0</v>
      </c>
      <c r="AB1111" s="56">
        <f>_xlfn.XLOOKUP($N1111,'Calculo Leads Conveniencia'!$A$77:$A$104,'Calculo Leads Conveniencia'!O$77:O$104)*_xlfn.XLOOKUP($P1111,'Base Grupo de Produtos'!$E$23:$E$39,'Base Grupo de Produtos'!$F$23:$F$39)</f>
        <v>0</v>
      </c>
      <c r="AC1111" s="61">
        <f t="shared" si="1045"/>
        <v>0</v>
      </c>
      <c r="AD1111" s="28"/>
      <c r="AE1111" s="12"/>
      <c r="AF1111" s="29"/>
      <c r="AG1111" s="9"/>
      <c r="AH1111" s="10"/>
      <c r="AI1111" s="9"/>
      <c r="AJ1111" s="11"/>
      <c r="AK1111" s="9"/>
      <c r="AL1111" s="13"/>
      <c r="AM1111" s="9"/>
    </row>
    <row r="1112" spans="1:39" x14ac:dyDescent="0.3">
      <c r="A1112" s="2" t="str">
        <f t="shared" si="1017"/>
        <v>NÃO</v>
      </c>
      <c r="B1112" s="2" t="str">
        <f>_xlfn.XLOOKUP($N1112,'Base de Grupos'!$A:$A,'Base de Grupos'!$D:$D)</f>
        <v>1000065763</v>
      </c>
      <c r="C1112" s="5" t="str">
        <f>_xlfn.XLOOKUP($N1112,'Base de Grupos'!$A:$A,'Base de Grupos'!$E:$E)</f>
        <v>CANAL VENDA INTERNA</v>
      </c>
      <c r="D1112" s="5" t="str">
        <f>_xlfn.XLOOKUP($N1112,'Base de Grupos'!$A:$A,'Base de Grupos'!$F:$F)</f>
        <v>1000065763</v>
      </c>
      <c r="E1112" s="2" t="str">
        <f>_xlfn.XLOOKUP($N1112,'Base de Grupos'!$A:$A,'Base de Grupos'!$G:$G)</f>
        <v>CANAL VENDA INTERNA</v>
      </c>
      <c r="F1112" s="2" t="str">
        <f>_xlfn.XLOOKUP($N1112,'Base de Grupos'!$A:$A,'Base de Grupos'!$H:$H)</f>
        <v>1000174119</v>
      </c>
      <c r="G1112" s="5" t="str">
        <f>_xlfn.XLOOKUP($N1112,'Base de Grupos'!$A:$A,'Base de Grupos'!$I:$I)</f>
        <v>REGIONAL VENDA INTERNA - CONVENIENCIA</v>
      </c>
      <c r="H1112" s="5" t="str">
        <f>_xlfn.XLOOKUP($N1112,'Base de Grupos'!$A:$A,'Base de Grupos'!$J:$J)</f>
        <v>1000174119</v>
      </c>
      <c r="I1112" s="2" t="str">
        <f>_xlfn.XLOOKUP($N1112,'Base de Grupos'!$A:$A,'Base de Grupos'!$K:$K)</f>
        <v>REGIONAL VENDA INTERNA - CONVENIENCIA</v>
      </c>
      <c r="J1112" s="2" t="str">
        <f>_xlfn.XLOOKUP($N1112,'Base de Grupos'!$A:$A,'Base de Grupos'!$L:$L)</f>
        <v>1000174119</v>
      </c>
      <c r="K1112" s="5" t="str">
        <f>_xlfn.XLOOKUP($N1112,'Base de Grupos'!$A:$A,'Base de Grupos'!$M:$M)</f>
        <v>REGIONAL VENDA INTERNA - CONVENIENCIA</v>
      </c>
      <c r="L1112" s="5" t="str">
        <f t="shared" si="1018"/>
        <v/>
      </c>
      <c r="M1112" s="5" t="str">
        <f>_xlfn.XLOOKUP($N1112,'Base de Grupos'!$A:$A,'Base de Grupos'!$C:$C)</f>
        <v>SP</v>
      </c>
      <c r="N1112" s="3">
        <v>1526</v>
      </c>
      <c r="O1112" s="4" t="s">
        <v>285</v>
      </c>
      <c r="P1112" s="5" t="s">
        <v>88</v>
      </c>
      <c r="Q1112" s="56">
        <v>0</v>
      </c>
      <c r="R1112" s="56">
        <v>0</v>
      </c>
      <c r="S1112" s="56">
        <v>0</v>
      </c>
      <c r="T1112" s="56">
        <f>_xlfn.XLOOKUP($N1112,'Calculo Leads Conveniencia'!$A$77:$A$104,'Calculo Leads Conveniencia'!G$77:G$104)*_xlfn.XLOOKUP($P1112,'Base Grupo de Produtos'!$E$23:$E$39,'Base Grupo de Produtos'!$F$23:$F$39)</f>
        <v>0</v>
      </c>
      <c r="U1112" s="56">
        <f>_xlfn.XLOOKUP($N1112,'Calculo Leads Conveniencia'!$A$77:$A$104,'Calculo Leads Conveniencia'!H$77:H$104)*_xlfn.XLOOKUP($P1112,'Base Grupo de Produtos'!$E$23:$E$39,'Base Grupo de Produtos'!$F$23:$F$39)</f>
        <v>0</v>
      </c>
      <c r="V1112" s="56">
        <f>_xlfn.XLOOKUP($N1112,'Calculo Leads Conveniencia'!$A$77:$A$104,'Calculo Leads Conveniencia'!I$77:I$104)*_xlfn.XLOOKUP($P1112,'Base Grupo de Produtos'!$E$23:$E$39,'Base Grupo de Produtos'!$F$23:$F$39)</f>
        <v>0</v>
      </c>
      <c r="W1112" s="56">
        <f>_xlfn.XLOOKUP($N1112,'Calculo Leads Conveniencia'!$A$77:$A$104,'Calculo Leads Conveniencia'!J$77:J$104)*_xlfn.XLOOKUP($P1112,'Base Grupo de Produtos'!$E$23:$E$39,'Base Grupo de Produtos'!$F$23:$F$39)</f>
        <v>0</v>
      </c>
      <c r="X1112" s="56">
        <f>_xlfn.XLOOKUP($N1112,'Calculo Leads Conveniencia'!$A$77:$A$104,'Calculo Leads Conveniencia'!K$77:K$104)*_xlfn.XLOOKUP($P1112,'Base Grupo de Produtos'!$E$23:$E$39,'Base Grupo de Produtos'!$F$23:$F$39)</f>
        <v>0</v>
      </c>
      <c r="Y1112" s="56">
        <f>_xlfn.XLOOKUP($N1112,'Calculo Leads Conveniencia'!$A$77:$A$104,'Calculo Leads Conveniencia'!L$77:L$104)*_xlfn.XLOOKUP($P1112,'Base Grupo de Produtos'!$E$23:$E$39,'Base Grupo de Produtos'!$F$23:$F$39)</f>
        <v>0</v>
      </c>
      <c r="Z1112" s="56">
        <f>_xlfn.XLOOKUP($N1112,'Calculo Leads Conveniencia'!$A$77:$A$104,'Calculo Leads Conveniencia'!M$77:M$104)*_xlfn.XLOOKUP($P1112,'Base Grupo de Produtos'!$E$23:$E$39,'Base Grupo de Produtos'!$F$23:$F$39)</f>
        <v>0</v>
      </c>
      <c r="AA1112" s="56">
        <f>_xlfn.XLOOKUP($N1112,'Calculo Leads Conveniencia'!$A$77:$A$104,'Calculo Leads Conveniencia'!N$77:N$104)*_xlfn.XLOOKUP($P1112,'Base Grupo de Produtos'!$E$23:$E$39,'Base Grupo de Produtos'!$F$23:$F$39)</f>
        <v>0</v>
      </c>
      <c r="AB1112" s="56">
        <f>_xlfn.XLOOKUP($N1112,'Calculo Leads Conveniencia'!$A$77:$A$104,'Calculo Leads Conveniencia'!O$77:O$104)*_xlfn.XLOOKUP($P1112,'Base Grupo de Produtos'!$E$23:$E$39,'Base Grupo de Produtos'!$F$23:$F$39)</f>
        <v>0</v>
      </c>
      <c r="AC1112" s="61">
        <f t="shared" si="1045"/>
        <v>0</v>
      </c>
      <c r="AD1112" s="28"/>
      <c r="AE1112" s="12"/>
      <c r="AF1112" s="29"/>
      <c r="AG1112" s="9"/>
      <c r="AH1112" s="10"/>
      <c r="AI1112" s="9"/>
      <c r="AJ1112" s="11"/>
      <c r="AK1112" s="9"/>
      <c r="AL1112" s="13"/>
      <c r="AM1112" s="9"/>
    </row>
    <row r="1113" spans="1:39" x14ac:dyDescent="0.3">
      <c r="A1113" s="2" t="str">
        <f t="shared" si="1017"/>
        <v>NÃO</v>
      </c>
      <c r="B1113" s="2" t="str">
        <f>_xlfn.XLOOKUP($N1113,'Base de Grupos'!$A:$A,'Base de Grupos'!$D:$D)</f>
        <v>1000065763</v>
      </c>
      <c r="C1113" s="5" t="str">
        <f>_xlfn.XLOOKUP($N1113,'Base de Grupos'!$A:$A,'Base de Grupos'!$E:$E)</f>
        <v>CANAL VENDA INTERNA</v>
      </c>
      <c r="D1113" s="5" t="str">
        <f>_xlfn.XLOOKUP($N1113,'Base de Grupos'!$A:$A,'Base de Grupos'!$F:$F)</f>
        <v>1000065763</v>
      </c>
      <c r="E1113" s="2" t="str">
        <f>_xlfn.XLOOKUP($N1113,'Base de Grupos'!$A:$A,'Base de Grupos'!$G:$G)</f>
        <v>CANAL VENDA INTERNA</v>
      </c>
      <c r="F1113" s="2" t="str">
        <f>_xlfn.XLOOKUP($N1113,'Base de Grupos'!$A:$A,'Base de Grupos'!$H:$H)</f>
        <v>1000174119</v>
      </c>
      <c r="G1113" s="5" t="str">
        <f>_xlfn.XLOOKUP($N1113,'Base de Grupos'!$A:$A,'Base de Grupos'!$I:$I)</f>
        <v>REGIONAL VENDA INTERNA - CONVENIENCIA</v>
      </c>
      <c r="H1113" s="5" t="str">
        <f>_xlfn.XLOOKUP($N1113,'Base de Grupos'!$A:$A,'Base de Grupos'!$J:$J)</f>
        <v>1000174119</v>
      </c>
      <c r="I1113" s="2" t="str">
        <f>_xlfn.XLOOKUP($N1113,'Base de Grupos'!$A:$A,'Base de Grupos'!$K:$K)</f>
        <v>REGIONAL VENDA INTERNA - CONVENIENCIA</v>
      </c>
      <c r="J1113" s="2" t="str">
        <f>_xlfn.XLOOKUP($N1113,'Base de Grupos'!$A:$A,'Base de Grupos'!$L:$L)</f>
        <v>1000174119</v>
      </c>
      <c r="K1113" s="5" t="str">
        <f>_xlfn.XLOOKUP($N1113,'Base de Grupos'!$A:$A,'Base de Grupos'!$M:$M)</f>
        <v>REGIONAL VENDA INTERNA - CONVENIENCIA</v>
      </c>
      <c r="L1113" s="5" t="str">
        <f t="shared" si="1018"/>
        <v/>
      </c>
      <c r="M1113" s="5" t="str">
        <f>_xlfn.XLOOKUP($N1113,'Base de Grupos'!$A:$A,'Base de Grupos'!$C:$C)</f>
        <v>SP</v>
      </c>
      <c r="N1113" s="3">
        <v>1526</v>
      </c>
      <c r="O1113" s="4" t="s">
        <v>285</v>
      </c>
      <c r="P1113" s="5" t="s">
        <v>90</v>
      </c>
      <c r="Q1113" s="56">
        <v>0</v>
      </c>
      <c r="R1113" s="56">
        <v>0</v>
      </c>
      <c r="S1113" s="56">
        <v>0</v>
      </c>
      <c r="T1113" s="56">
        <f>_xlfn.XLOOKUP($N1113,'Calculo Leads Conveniencia'!$A$77:$A$104,'Calculo Leads Conveniencia'!G$77:G$104)*_xlfn.XLOOKUP($P1113,'Base Grupo de Produtos'!$E$23:$E$39,'Base Grupo de Produtos'!$F$23:$F$39)</f>
        <v>0</v>
      </c>
      <c r="U1113" s="56">
        <f>_xlfn.XLOOKUP($N1113,'Calculo Leads Conveniencia'!$A$77:$A$104,'Calculo Leads Conveniencia'!H$77:H$104)*_xlfn.XLOOKUP($P1113,'Base Grupo de Produtos'!$E$23:$E$39,'Base Grupo de Produtos'!$F$23:$F$39)</f>
        <v>0</v>
      </c>
      <c r="V1113" s="56">
        <f>_xlfn.XLOOKUP($N1113,'Calculo Leads Conveniencia'!$A$77:$A$104,'Calculo Leads Conveniencia'!I$77:I$104)*_xlfn.XLOOKUP($P1113,'Base Grupo de Produtos'!$E$23:$E$39,'Base Grupo de Produtos'!$F$23:$F$39)</f>
        <v>0</v>
      </c>
      <c r="W1113" s="56">
        <f>_xlfn.XLOOKUP($N1113,'Calculo Leads Conveniencia'!$A$77:$A$104,'Calculo Leads Conveniencia'!J$77:J$104)*_xlfn.XLOOKUP($P1113,'Base Grupo de Produtos'!$E$23:$E$39,'Base Grupo de Produtos'!$F$23:$F$39)</f>
        <v>0</v>
      </c>
      <c r="X1113" s="56">
        <f>_xlfn.XLOOKUP($N1113,'Calculo Leads Conveniencia'!$A$77:$A$104,'Calculo Leads Conveniencia'!K$77:K$104)*_xlfn.XLOOKUP($P1113,'Base Grupo de Produtos'!$E$23:$E$39,'Base Grupo de Produtos'!$F$23:$F$39)</f>
        <v>0</v>
      </c>
      <c r="Y1113" s="56">
        <f>_xlfn.XLOOKUP($N1113,'Calculo Leads Conveniencia'!$A$77:$A$104,'Calculo Leads Conveniencia'!L$77:L$104)*_xlfn.XLOOKUP($P1113,'Base Grupo de Produtos'!$E$23:$E$39,'Base Grupo de Produtos'!$F$23:$F$39)</f>
        <v>0</v>
      </c>
      <c r="Z1113" s="56">
        <f>_xlfn.XLOOKUP($N1113,'Calculo Leads Conveniencia'!$A$77:$A$104,'Calculo Leads Conveniencia'!M$77:M$104)*_xlfn.XLOOKUP($P1113,'Base Grupo de Produtos'!$E$23:$E$39,'Base Grupo de Produtos'!$F$23:$F$39)</f>
        <v>0</v>
      </c>
      <c r="AA1113" s="56">
        <f>_xlfn.XLOOKUP($N1113,'Calculo Leads Conveniencia'!$A$77:$A$104,'Calculo Leads Conveniencia'!N$77:N$104)*_xlfn.XLOOKUP($P1113,'Base Grupo de Produtos'!$E$23:$E$39,'Base Grupo de Produtos'!$F$23:$F$39)</f>
        <v>0</v>
      </c>
      <c r="AB1113" s="56">
        <f>_xlfn.XLOOKUP($N1113,'Calculo Leads Conveniencia'!$A$77:$A$104,'Calculo Leads Conveniencia'!O$77:O$104)*_xlfn.XLOOKUP($P1113,'Base Grupo de Produtos'!$E$23:$E$39,'Base Grupo de Produtos'!$F$23:$F$39)</f>
        <v>0</v>
      </c>
      <c r="AC1113" s="61">
        <f t="shared" si="1045"/>
        <v>0</v>
      </c>
      <c r="AD1113" s="28"/>
      <c r="AE1113" s="12"/>
      <c r="AF1113" s="29"/>
      <c r="AG1113" s="9"/>
      <c r="AH1113" s="10"/>
      <c r="AI1113" s="9"/>
      <c r="AJ1113" s="11"/>
      <c r="AK1113" s="9"/>
      <c r="AL1113" s="13"/>
      <c r="AM1113" s="9"/>
    </row>
    <row r="1114" spans="1:39" x14ac:dyDescent="0.3">
      <c r="A1114" s="2" t="str">
        <f t="shared" si="1017"/>
        <v>NÃO</v>
      </c>
      <c r="B1114" s="2" t="str">
        <f>_xlfn.XLOOKUP($N1114,'Base de Grupos'!$A:$A,'Base de Grupos'!$D:$D)</f>
        <v>1000065763</v>
      </c>
      <c r="C1114" s="5" t="str">
        <f>_xlfn.XLOOKUP($N1114,'Base de Grupos'!$A:$A,'Base de Grupos'!$E:$E)</f>
        <v>CANAL VENDA INTERNA</v>
      </c>
      <c r="D1114" s="5" t="str">
        <f>_xlfn.XLOOKUP($N1114,'Base de Grupos'!$A:$A,'Base de Grupos'!$F:$F)</f>
        <v>1000065763</v>
      </c>
      <c r="E1114" s="2" t="str">
        <f>_xlfn.XLOOKUP($N1114,'Base de Grupos'!$A:$A,'Base de Grupos'!$G:$G)</f>
        <v>CANAL VENDA INTERNA</v>
      </c>
      <c r="F1114" s="2" t="str">
        <f>_xlfn.XLOOKUP($N1114,'Base de Grupos'!$A:$A,'Base de Grupos'!$H:$H)</f>
        <v>1000174119</v>
      </c>
      <c r="G1114" s="5" t="str">
        <f>_xlfn.XLOOKUP($N1114,'Base de Grupos'!$A:$A,'Base de Grupos'!$I:$I)</f>
        <v>REGIONAL VENDA INTERNA - CONVENIENCIA</v>
      </c>
      <c r="H1114" s="5" t="str">
        <f>_xlfn.XLOOKUP($N1114,'Base de Grupos'!$A:$A,'Base de Grupos'!$J:$J)</f>
        <v>1000174119</v>
      </c>
      <c r="I1114" s="2" t="str">
        <f>_xlfn.XLOOKUP($N1114,'Base de Grupos'!$A:$A,'Base de Grupos'!$K:$K)</f>
        <v>REGIONAL VENDA INTERNA - CONVENIENCIA</v>
      </c>
      <c r="J1114" s="2" t="str">
        <f>_xlfn.XLOOKUP($N1114,'Base de Grupos'!$A:$A,'Base de Grupos'!$L:$L)</f>
        <v>1000174119</v>
      </c>
      <c r="K1114" s="5" t="str">
        <f>_xlfn.XLOOKUP($N1114,'Base de Grupos'!$A:$A,'Base de Grupos'!$M:$M)</f>
        <v>REGIONAL VENDA INTERNA - CONVENIENCIA</v>
      </c>
      <c r="L1114" s="5" t="str">
        <f t="shared" si="1018"/>
        <v/>
      </c>
      <c r="M1114" s="5" t="str">
        <f>_xlfn.XLOOKUP($N1114,'Base de Grupos'!$A:$A,'Base de Grupos'!$C:$C)</f>
        <v>SP</v>
      </c>
      <c r="N1114" s="3">
        <v>1526</v>
      </c>
      <c r="O1114" s="4" t="s">
        <v>285</v>
      </c>
      <c r="P1114" s="5" t="s">
        <v>91</v>
      </c>
      <c r="Q1114" s="56">
        <v>0</v>
      </c>
      <c r="R1114" s="56">
        <v>0</v>
      </c>
      <c r="S1114" s="56">
        <v>0</v>
      </c>
      <c r="T1114" s="56">
        <f>_xlfn.XLOOKUP($N1114,'Calculo Leads Conveniencia'!$A$77:$A$104,'Calculo Leads Conveniencia'!G$77:G$104)*_xlfn.XLOOKUP($P1114,'Base Grupo de Produtos'!$E$23:$E$39,'Base Grupo de Produtos'!$F$23:$F$39)</f>
        <v>0</v>
      </c>
      <c r="U1114" s="56">
        <f>_xlfn.XLOOKUP($N1114,'Calculo Leads Conveniencia'!$A$77:$A$104,'Calculo Leads Conveniencia'!H$77:H$104)*_xlfn.XLOOKUP($P1114,'Base Grupo de Produtos'!$E$23:$E$39,'Base Grupo de Produtos'!$F$23:$F$39)</f>
        <v>0</v>
      </c>
      <c r="V1114" s="56">
        <f>_xlfn.XLOOKUP($N1114,'Calculo Leads Conveniencia'!$A$77:$A$104,'Calculo Leads Conveniencia'!I$77:I$104)*_xlfn.XLOOKUP($P1114,'Base Grupo de Produtos'!$E$23:$E$39,'Base Grupo de Produtos'!$F$23:$F$39)</f>
        <v>0</v>
      </c>
      <c r="W1114" s="56">
        <f>_xlfn.XLOOKUP($N1114,'Calculo Leads Conveniencia'!$A$77:$A$104,'Calculo Leads Conveniencia'!J$77:J$104)*_xlfn.XLOOKUP($P1114,'Base Grupo de Produtos'!$E$23:$E$39,'Base Grupo de Produtos'!$F$23:$F$39)</f>
        <v>0</v>
      </c>
      <c r="X1114" s="56">
        <f>_xlfn.XLOOKUP($N1114,'Calculo Leads Conveniencia'!$A$77:$A$104,'Calculo Leads Conveniencia'!K$77:K$104)*_xlfn.XLOOKUP($P1114,'Base Grupo de Produtos'!$E$23:$E$39,'Base Grupo de Produtos'!$F$23:$F$39)</f>
        <v>0</v>
      </c>
      <c r="Y1114" s="56">
        <f>_xlfn.XLOOKUP($N1114,'Calculo Leads Conveniencia'!$A$77:$A$104,'Calculo Leads Conveniencia'!L$77:L$104)*_xlfn.XLOOKUP($P1114,'Base Grupo de Produtos'!$E$23:$E$39,'Base Grupo de Produtos'!$F$23:$F$39)</f>
        <v>0</v>
      </c>
      <c r="Z1114" s="56">
        <f>_xlfn.XLOOKUP($N1114,'Calculo Leads Conveniencia'!$A$77:$A$104,'Calculo Leads Conveniencia'!M$77:M$104)*_xlfn.XLOOKUP($P1114,'Base Grupo de Produtos'!$E$23:$E$39,'Base Grupo de Produtos'!$F$23:$F$39)</f>
        <v>0</v>
      </c>
      <c r="AA1114" s="56">
        <f>_xlfn.XLOOKUP($N1114,'Calculo Leads Conveniencia'!$A$77:$A$104,'Calculo Leads Conveniencia'!N$77:N$104)*_xlfn.XLOOKUP($P1114,'Base Grupo de Produtos'!$E$23:$E$39,'Base Grupo de Produtos'!$F$23:$F$39)</f>
        <v>0</v>
      </c>
      <c r="AB1114" s="56">
        <f>_xlfn.XLOOKUP($N1114,'Calculo Leads Conveniencia'!$A$77:$A$104,'Calculo Leads Conveniencia'!O$77:O$104)*_xlfn.XLOOKUP($P1114,'Base Grupo de Produtos'!$E$23:$E$39,'Base Grupo de Produtos'!$F$23:$F$39)</f>
        <v>0</v>
      </c>
      <c r="AC1114" s="61">
        <f t="shared" si="1045"/>
        <v>0</v>
      </c>
      <c r="AD1114" s="28"/>
      <c r="AE1114" s="12"/>
      <c r="AF1114" s="29"/>
      <c r="AG1114" s="9"/>
      <c r="AH1114" s="10"/>
      <c r="AI1114" s="9"/>
      <c r="AJ1114" s="11"/>
      <c r="AK1114" s="9"/>
      <c r="AL1114" s="13"/>
      <c r="AM1114" s="9"/>
    </row>
    <row r="1115" spans="1:39" x14ac:dyDescent="0.3">
      <c r="A1115" s="2" t="str">
        <f t="shared" ref="A1115:A1136" si="1059">IF(L1115=1,"SIM","NÃO")</f>
        <v>NÃO</v>
      </c>
      <c r="B1115" s="2" t="str">
        <f>_xlfn.XLOOKUP($N1115,'Base de Grupos'!$A:$A,'Base de Grupos'!$D:$D)</f>
        <v>1000065763</v>
      </c>
      <c r="C1115" s="5" t="str">
        <f>_xlfn.XLOOKUP($N1115,'Base de Grupos'!$A:$A,'Base de Grupos'!$E:$E)</f>
        <v>CANAL VENDA INTERNA</v>
      </c>
      <c r="D1115" s="5" t="str">
        <f>_xlfn.XLOOKUP($N1115,'Base de Grupos'!$A:$A,'Base de Grupos'!$F:$F)</f>
        <v>1000065763</v>
      </c>
      <c r="E1115" s="2" t="str">
        <f>_xlfn.XLOOKUP($N1115,'Base de Grupos'!$A:$A,'Base de Grupos'!$G:$G)</f>
        <v>CANAL VENDA INTERNA</v>
      </c>
      <c r="F1115" s="2" t="str">
        <f>_xlfn.XLOOKUP($N1115,'Base de Grupos'!$A:$A,'Base de Grupos'!$H:$H)</f>
        <v>1000174119</v>
      </c>
      <c r="G1115" s="5" t="str">
        <f>_xlfn.XLOOKUP($N1115,'Base de Grupos'!$A:$A,'Base de Grupos'!$I:$I)</f>
        <v>REGIONAL VENDA INTERNA - CONVENIENCIA</v>
      </c>
      <c r="H1115" s="5" t="str">
        <f>_xlfn.XLOOKUP($N1115,'Base de Grupos'!$A:$A,'Base de Grupos'!$J:$J)</f>
        <v>1000174119</v>
      </c>
      <c r="I1115" s="2" t="str">
        <f>_xlfn.XLOOKUP($N1115,'Base de Grupos'!$A:$A,'Base de Grupos'!$K:$K)</f>
        <v>REGIONAL VENDA INTERNA - CONVENIENCIA</v>
      </c>
      <c r="J1115" s="2" t="str">
        <f>_xlfn.XLOOKUP($N1115,'Base de Grupos'!$A:$A,'Base de Grupos'!$L:$L)</f>
        <v>1000174119</v>
      </c>
      <c r="K1115" s="5" t="str">
        <f>_xlfn.XLOOKUP($N1115,'Base de Grupos'!$A:$A,'Base de Grupos'!$M:$M)</f>
        <v>REGIONAL VENDA INTERNA - CONVENIENCIA</v>
      </c>
      <c r="L1115" s="5" t="str">
        <f t="shared" ref="L1115:L1136" si="1060">IF(N1115&lt;&gt;N1114,1,"")</f>
        <v/>
      </c>
      <c r="M1115" s="5" t="str">
        <f>_xlfn.XLOOKUP($N1115,'Base de Grupos'!$A:$A,'Base de Grupos'!$C:$C)</f>
        <v>SP</v>
      </c>
      <c r="N1115" s="3">
        <v>1526</v>
      </c>
      <c r="O1115" s="4" t="s">
        <v>285</v>
      </c>
      <c r="P1115" s="5" t="s">
        <v>96</v>
      </c>
      <c r="Q1115" s="56">
        <v>0</v>
      </c>
      <c r="R1115" s="56">
        <v>0</v>
      </c>
      <c r="S1115" s="56">
        <v>0</v>
      </c>
      <c r="T1115" s="56">
        <f>_xlfn.XLOOKUP($N1115,'Calculo Leads Conveniencia'!$A$77:$A$104,'Calculo Leads Conveniencia'!G$77:G$104)*_xlfn.XLOOKUP($P1115,'Base Grupo de Produtos'!$E$23:$E$39,'Base Grupo de Produtos'!$F$23:$F$39)</f>
        <v>0</v>
      </c>
      <c r="U1115" s="56">
        <f>_xlfn.XLOOKUP($N1115,'Calculo Leads Conveniencia'!$A$77:$A$104,'Calculo Leads Conveniencia'!H$77:H$104)*_xlfn.XLOOKUP($P1115,'Base Grupo de Produtos'!$E$23:$E$39,'Base Grupo de Produtos'!$F$23:$F$39)</f>
        <v>0</v>
      </c>
      <c r="V1115" s="56">
        <f>_xlfn.XLOOKUP($N1115,'Calculo Leads Conveniencia'!$A$77:$A$104,'Calculo Leads Conveniencia'!I$77:I$104)*_xlfn.XLOOKUP($P1115,'Base Grupo de Produtos'!$E$23:$E$39,'Base Grupo de Produtos'!$F$23:$F$39)</f>
        <v>0</v>
      </c>
      <c r="W1115" s="56">
        <f>_xlfn.XLOOKUP($N1115,'Calculo Leads Conveniencia'!$A$77:$A$104,'Calculo Leads Conveniencia'!J$77:J$104)*_xlfn.XLOOKUP($P1115,'Base Grupo de Produtos'!$E$23:$E$39,'Base Grupo de Produtos'!$F$23:$F$39)</f>
        <v>0</v>
      </c>
      <c r="X1115" s="56">
        <f>_xlfn.XLOOKUP($N1115,'Calculo Leads Conveniencia'!$A$77:$A$104,'Calculo Leads Conveniencia'!K$77:K$104)*_xlfn.XLOOKUP($P1115,'Base Grupo de Produtos'!$E$23:$E$39,'Base Grupo de Produtos'!$F$23:$F$39)</f>
        <v>0</v>
      </c>
      <c r="Y1115" s="56">
        <f>_xlfn.XLOOKUP($N1115,'Calculo Leads Conveniencia'!$A$77:$A$104,'Calculo Leads Conveniencia'!L$77:L$104)*_xlfn.XLOOKUP($P1115,'Base Grupo de Produtos'!$E$23:$E$39,'Base Grupo de Produtos'!$F$23:$F$39)</f>
        <v>0</v>
      </c>
      <c r="Z1115" s="56">
        <f>_xlfn.XLOOKUP($N1115,'Calculo Leads Conveniencia'!$A$77:$A$104,'Calculo Leads Conveniencia'!M$77:M$104)*_xlfn.XLOOKUP($P1115,'Base Grupo de Produtos'!$E$23:$E$39,'Base Grupo de Produtos'!$F$23:$F$39)</f>
        <v>0</v>
      </c>
      <c r="AA1115" s="56">
        <f>_xlfn.XLOOKUP($N1115,'Calculo Leads Conveniencia'!$A$77:$A$104,'Calculo Leads Conveniencia'!N$77:N$104)*_xlfn.XLOOKUP($P1115,'Base Grupo de Produtos'!$E$23:$E$39,'Base Grupo de Produtos'!$F$23:$F$39)</f>
        <v>0</v>
      </c>
      <c r="AB1115" s="56">
        <f>_xlfn.XLOOKUP($N1115,'Calculo Leads Conveniencia'!$A$77:$A$104,'Calculo Leads Conveniencia'!O$77:O$104)*_xlfn.XLOOKUP($P1115,'Base Grupo de Produtos'!$E$23:$E$39,'Base Grupo de Produtos'!$F$23:$F$39)</f>
        <v>0</v>
      </c>
      <c r="AC1115" s="61">
        <f t="shared" si="1045"/>
        <v>0</v>
      </c>
      <c r="AD1115" s="28"/>
      <c r="AE1115" s="12"/>
      <c r="AF1115" s="29"/>
      <c r="AG1115" s="9"/>
      <c r="AH1115" s="10"/>
      <c r="AI1115" s="9"/>
      <c r="AJ1115" s="11"/>
      <c r="AK1115" s="9"/>
      <c r="AL1115" s="13"/>
      <c r="AM1115" s="9"/>
    </row>
    <row r="1116" spans="1:39" x14ac:dyDescent="0.3">
      <c r="A1116" s="2" t="str">
        <f t="shared" si="1059"/>
        <v>NÃO</v>
      </c>
      <c r="B1116" s="2" t="str">
        <f>_xlfn.XLOOKUP($N1116,'Base de Grupos'!$A:$A,'Base de Grupos'!$D:$D)</f>
        <v>1000065763</v>
      </c>
      <c r="C1116" s="5" t="str">
        <f>_xlfn.XLOOKUP($N1116,'Base de Grupos'!$A:$A,'Base de Grupos'!$E:$E)</f>
        <v>CANAL VENDA INTERNA</v>
      </c>
      <c r="D1116" s="5" t="str">
        <f>_xlfn.XLOOKUP($N1116,'Base de Grupos'!$A:$A,'Base de Grupos'!$F:$F)</f>
        <v>1000065763</v>
      </c>
      <c r="E1116" s="2" t="str">
        <f>_xlfn.XLOOKUP($N1116,'Base de Grupos'!$A:$A,'Base de Grupos'!$G:$G)</f>
        <v>CANAL VENDA INTERNA</v>
      </c>
      <c r="F1116" s="2" t="str">
        <f>_xlfn.XLOOKUP($N1116,'Base de Grupos'!$A:$A,'Base de Grupos'!$H:$H)</f>
        <v>1000174119</v>
      </c>
      <c r="G1116" s="5" t="str">
        <f>_xlfn.XLOOKUP($N1116,'Base de Grupos'!$A:$A,'Base de Grupos'!$I:$I)</f>
        <v>REGIONAL VENDA INTERNA - CONVENIENCIA</v>
      </c>
      <c r="H1116" s="5" t="str">
        <f>_xlfn.XLOOKUP($N1116,'Base de Grupos'!$A:$A,'Base de Grupos'!$J:$J)</f>
        <v>1000174119</v>
      </c>
      <c r="I1116" s="2" t="str">
        <f>_xlfn.XLOOKUP($N1116,'Base de Grupos'!$A:$A,'Base de Grupos'!$K:$K)</f>
        <v>REGIONAL VENDA INTERNA - CONVENIENCIA</v>
      </c>
      <c r="J1116" s="2" t="str">
        <f>_xlfn.XLOOKUP($N1116,'Base de Grupos'!$A:$A,'Base de Grupos'!$L:$L)</f>
        <v>1000174119</v>
      </c>
      <c r="K1116" s="5" t="str">
        <f>_xlfn.XLOOKUP($N1116,'Base de Grupos'!$A:$A,'Base de Grupos'!$M:$M)</f>
        <v>REGIONAL VENDA INTERNA - CONVENIENCIA</v>
      </c>
      <c r="L1116" s="5" t="str">
        <f t="shared" si="1060"/>
        <v/>
      </c>
      <c r="M1116" s="5" t="str">
        <f>_xlfn.XLOOKUP($N1116,'Base de Grupos'!$A:$A,'Base de Grupos'!$C:$C)</f>
        <v>SP</v>
      </c>
      <c r="N1116" s="3">
        <v>1526</v>
      </c>
      <c r="O1116" s="4" t="s">
        <v>285</v>
      </c>
      <c r="P1116" s="5" t="s">
        <v>94</v>
      </c>
      <c r="Q1116" s="56">
        <v>0</v>
      </c>
      <c r="R1116" s="56">
        <v>0</v>
      </c>
      <c r="S1116" s="56">
        <v>0</v>
      </c>
      <c r="T1116" s="56">
        <f>_xlfn.XLOOKUP($N1116,'Calculo Leads Conveniencia'!$A$77:$A$104,'Calculo Leads Conveniencia'!G$77:G$104)*_xlfn.XLOOKUP($P1116,'Base Grupo de Produtos'!$E$23:$E$39,'Base Grupo de Produtos'!$F$23:$F$39)</f>
        <v>0</v>
      </c>
      <c r="U1116" s="56">
        <f>_xlfn.XLOOKUP($N1116,'Calculo Leads Conveniencia'!$A$77:$A$104,'Calculo Leads Conveniencia'!H$77:H$104)*_xlfn.XLOOKUP($P1116,'Base Grupo de Produtos'!$E$23:$E$39,'Base Grupo de Produtos'!$F$23:$F$39)</f>
        <v>0</v>
      </c>
      <c r="V1116" s="56">
        <f>_xlfn.XLOOKUP($N1116,'Calculo Leads Conveniencia'!$A$77:$A$104,'Calculo Leads Conveniencia'!I$77:I$104)*_xlfn.XLOOKUP($P1116,'Base Grupo de Produtos'!$E$23:$E$39,'Base Grupo de Produtos'!$F$23:$F$39)</f>
        <v>0</v>
      </c>
      <c r="W1116" s="56">
        <f>_xlfn.XLOOKUP($N1116,'Calculo Leads Conveniencia'!$A$77:$A$104,'Calculo Leads Conveniencia'!J$77:J$104)*_xlfn.XLOOKUP($P1116,'Base Grupo de Produtos'!$E$23:$E$39,'Base Grupo de Produtos'!$F$23:$F$39)</f>
        <v>0</v>
      </c>
      <c r="X1116" s="56">
        <f>_xlfn.XLOOKUP($N1116,'Calculo Leads Conveniencia'!$A$77:$A$104,'Calculo Leads Conveniencia'!K$77:K$104)*_xlfn.XLOOKUP($P1116,'Base Grupo de Produtos'!$E$23:$E$39,'Base Grupo de Produtos'!$F$23:$F$39)</f>
        <v>0</v>
      </c>
      <c r="Y1116" s="56">
        <f>_xlfn.XLOOKUP($N1116,'Calculo Leads Conveniencia'!$A$77:$A$104,'Calculo Leads Conveniencia'!L$77:L$104)*_xlfn.XLOOKUP($P1116,'Base Grupo de Produtos'!$E$23:$E$39,'Base Grupo de Produtos'!$F$23:$F$39)</f>
        <v>0</v>
      </c>
      <c r="Z1116" s="56">
        <f>_xlfn.XLOOKUP($N1116,'Calculo Leads Conveniencia'!$A$77:$A$104,'Calculo Leads Conveniencia'!M$77:M$104)*_xlfn.XLOOKUP($P1116,'Base Grupo de Produtos'!$E$23:$E$39,'Base Grupo de Produtos'!$F$23:$F$39)</f>
        <v>0</v>
      </c>
      <c r="AA1116" s="56">
        <f>_xlfn.XLOOKUP($N1116,'Calculo Leads Conveniencia'!$A$77:$A$104,'Calculo Leads Conveniencia'!N$77:N$104)*_xlfn.XLOOKUP($P1116,'Base Grupo de Produtos'!$E$23:$E$39,'Base Grupo de Produtos'!$F$23:$F$39)</f>
        <v>0</v>
      </c>
      <c r="AB1116" s="56">
        <f>_xlfn.XLOOKUP($N1116,'Calculo Leads Conveniencia'!$A$77:$A$104,'Calculo Leads Conveniencia'!O$77:O$104)*_xlfn.XLOOKUP($P1116,'Base Grupo de Produtos'!$E$23:$E$39,'Base Grupo de Produtos'!$F$23:$F$39)</f>
        <v>0</v>
      </c>
      <c r="AC1116" s="61">
        <f t="shared" si="1045"/>
        <v>0</v>
      </c>
      <c r="AD1116" s="28"/>
      <c r="AE1116" s="12"/>
      <c r="AF1116" s="29"/>
      <c r="AG1116" s="9"/>
      <c r="AH1116" s="10"/>
      <c r="AI1116" s="9"/>
      <c r="AJ1116" s="11"/>
      <c r="AK1116" s="9"/>
      <c r="AL1116" s="13"/>
      <c r="AM1116" s="9"/>
    </row>
    <row r="1117" spans="1:39" x14ac:dyDescent="0.3">
      <c r="A1117" s="2" t="str">
        <f t="shared" si="1059"/>
        <v>NÃO</v>
      </c>
      <c r="B1117" s="2" t="str">
        <f>_xlfn.XLOOKUP($N1117,'Base de Grupos'!$A:$A,'Base de Grupos'!$D:$D)</f>
        <v>1000065763</v>
      </c>
      <c r="C1117" s="5" t="str">
        <f>_xlfn.XLOOKUP($N1117,'Base de Grupos'!$A:$A,'Base de Grupos'!$E:$E)</f>
        <v>CANAL VENDA INTERNA</v>
      </c>
      <c r="D1117" s="5" t="str">
        <f>_xlfn.XLOOKUP($N1117,'Base de Grupos'!$A:$A,'Base de Grupos'!$F:$F)</f>
        <v>1000065763</v>
      </c>
      <c r="E1117" s="2" t="str">
        <f>_xlfn.XLOOKUP($N1117,'Base de Grupos'!$A:$A,'Base de Grupos'!$G:$G)</f>
        <v>CANAL VENDA INTERNA</v>
      </c>
      <c r="F1117" s="2" t="str">
        <f>_xlfn.XLOOKUP($N1117,'Base de Grupos'!$A:$A,'Base de Grupos'!$H:$H)</f>
        <v>1000174119</v>
      </c>
      <c r="G1117" s="5" t="str">
        <f>_xlfn.XLOOKUP($N1117,'Base de Grupos'!$A:$A,'Base de Grupos'!$I:$I)</f>
        <v>REGIONAL VENDA INTERNA - CONVENIENCIA</v>
      </c>
      <c r="H1117" s="5" t="str">
        <f>_xlfn.XLOOKUP($N1117,'Base de Grupos'!$A:$A,'Base de Grupos'!$J:$J)</f>
        <v>1000174119</v>
      </c>
      <c r="I1117" s="2" t="str">
        <f>_xlfn.XLOOKUP($N1117,'Base de Grupos'!$A:$A,'Base de Grupos'!$K:$K)</f>
        <v>REGIONAL VENDA INTERNA - CONVENIENCIA</v>
      </c>
      <c r="J1117" s="2" t="str">
        <f>_xlfn.XLOOKUP($N1117,'Base de Grupos'!$A:$A,'Base de Grupos'!$L:$L)</f>
        <v>1000174119</v>
      </c>
      <c r="K1117" s="5" t="str">
        <f>_xlfn.XLOOKUP($N1117,'Base de Grupos'!$A:$A,'Base de Grupos'!$M:$M)</f>
        <v>REGIONAL VENDA INTERNA - CONVENIENCIA</v>
      </c>
      <c r="L1117" s="5" t="str">
        <f t="shared" si="1060"/>
        <v/>
      </c>
      <c r="M1117" s="5" t="str">
        <f>_xlfn.XLOOKUP($N1117,'Base de Grupos'!$A:$A,'Base de Grupos'!$C:$C)</f>
        <v>SP</v>
      </c>
      <c r="N1117" s="3">
        <v>1526</v>
      </c>
      <c r="O1117" s="4" t="s">
        <v>285</v>
      </c>
      <c r="P1117" s="5" t="s">
        <v>95</v>
      </c>
      <c r="Q1117" s="56">
        <v>0</v>
      </c>
      <c r="R1117" s="56">
        <v>0</v>
      </c>
      <c r="S1117" s="56">
        <v>0</v>
      </c>
      <c r="T1117" s="56">
        <f>_xlfn.XLOOKUP($N1117,'Calculo Leads Conveniencia'!$A$77:$A$104,'Calculo Leads Conveniencia'!G$77:G$104)*_xlfn.XLOOKUP($P1117,'Base Grupo de Produtos'!$E$23:$E$39,'Base Grupo de Produtos'!$F$23:$F$39)</f>
        <v>0</v>
      </c>
      <c r="U1117" s="56">
        <f>_xlfn.XLOOKUP($N1117,'Calculo Leads Conveniencia'!$A$77:$A$104,'Calculo Leads Conveniencia'!H$77:H$104)*_xlfn.XLOOKUP($P1117,'Base Grupo de Produtos'!$E$23:$E$39,'Base Grupo de Produtos'!$F$23:$F$39)</f>
        <v>0</v>
      </c>
      <c r="V1117" s="56">
        <f>_xlfn.XLOOKUP($N1117,'Calculo Leads Conveniencia'!$A$77:$A$104,'Calculo Leads Conveniencia'!I$77:I$104)*_xlfn.XLOOKUP($P1117,'Base Grupo de Produtos'!$E$23:$E$39,'Base Grupo de Produtos'!$F$23:$F$39)</f>
        <v>0</v>
      </c>
      <c r="W1117" s="56">
        <f>_xlfn.XLOOKUP($N1117,'Calculo Leads Conveniencia'!$A$77:$A$104,'Calculo Leads Conveniencia'!J$77:J$104)*_xlfn.XLOOKUP($P1117,'Base Grupo de Produtos'!$E$23:$E$39,'Base Grupo de Produtos'!$F$23:$F$39)</f>
        <v>0</v>
      </c>
      <c r="X1117" s="56">
        <f>_xlfn.XLOOKUP($N1117,'Calculo Leads Conveniencia'!$A$77:$A$104,'Calculo Leads Conveniencia'!K$77:K$104)*_xlfn.XLOOKUP($P1117,'Base Grupo de Produtos'!$E$23:$E$39,'Base Grupo de Produtos'!$F$23:$F$39)</f>
        <v>0</v>
      </c>
      <c r="Y1117" s="56">
        <f>_xlfn.XLOOKUP($N1117,'Calculo Leads Conveniencia'!$A$77:$A$104,'Calculo Leads Conveniencia'!L$77:L$104)*_xlfn.XLOOKUP($P1117,'Base Grupo de Produtos'!$E$23:$E$39,'Base Grupo de Produtos'!$F$23:$F$39)</f>
        <v>0</v>
      </c>
      <c r="Z1117" s="56">
        <f>_xlfn.XLOOKUP($N1117,'Calculo Leads Conveniencia'!$A$77:$A$104,'Calculo Leads Conveniencia'!M$77:M$104)*_xlfn.XLOOKUP($P1117,'Base Grupo de Produtos'!$E$23:$E$39,'Base Grupo de Produtos'!$F$23:$F$39)</f>
        <v>0</v>
      </c>
      <c r="AA1117" s="56">
        <f>_xlfn.XLOOKUP($N1117,'Calculo Leads Conveniencia'!$A$77:$A$104,'Calculo Leads Conveniencia'!N$77:N$104)*_xlfn.XLOOKUP($P1117,'Base Grupo de Produtos'!$E$23:$E$39,'Base Grupo de Produtos'!$F$23:$F$39)</f>
        <v>0</v>
      </c>
      <c r="AB1117" s="56">
        <f>_xlfn.XLOOKUP($N1117,'Calculo Leads Conveniencia'!$A$77:$A$104,'Calculo Leads Conveniencia'!O$77:O$104)*_xlfn.XLOOKUP($P1117,'Base Grupo de Produtos'!$E$23:$E$39,'Base Grupo de Produtos'!$F$23:$F$39)</f>
        <v>0</v>
      </c>
      <c r="AC1117" s="61">
        <f t="shared" si="1045"/>
        <v>0</v>
      </c>
      <c r="AD1117" s="28"/>
      <c r="AE1117" s="12"/>
      <c r="AF1117" s="29"/>
      <c r="AG1117" s="9"/>
      <c r="AH1117" s="10"/>
      <c r="AI1117" s="9"/>
      <c r="AJ1117" s="11"/>
      <c r="AK1117" s="9"/>
      <c r="AL1117" s="13"/>
      <c r="AM1117" s="9"/>
    </row>
    <row r="1118" spans="1:39" x14ac:dyDescent="0.3">
      <c r="A1118" s="2" t="str">
        <f t="shared" si="1059"/>
        <v>NÃO</v>
      </c>
      <c r="B1118" s="2" t="str">
        <f>_xlfn.XLOOKUP($N1118,'Base de Grupos'!$A:$A,'Base de Grupos'!$D:$D)</f>
        <v>1000065763</v>
      </c>
      <c r="C1118" s="5" t="str">
        <f>_xlfn.XLOOKUP($N1118,'Base de Grupos'!$A:$A,'Base de Grupos'!$E:$E)</f>
        <v>CANAL VENDA INTERNA</v>
      </c>
      <c r="D1118" s="5" t="str">
        <f>_xlfn.XLOOKUP($N1118,'Base de Grupos'!$A:$A,'Base de Grupos'!$F:$F)</f>
        <v>1000065763</v>
      </c>
      <c r="E1118" s="2" t="str">
        <f>_xlfn.XLOOKUP($N1118,'Base de Grupos'!$A:$A,'Base de Grupos'!$G:$G)</f>
        <v>CANAL VENDA INTERNA</v>
      </c>
      <c r="F1118" s="2" t="str">
        <f>_xlfn.XLOOKUP($N1118,'Base de Grupos'!$A:$A,'Base de Grupos'!$H:$H)</f>
        <v>1000174119</v>
      </c>
      <c r="G1118" s="5" t="str">
        <f>_xlfn.XLOOKUP($N1118,'Base de Grupos'!$A:$A,'Base de Grupos'!$I:$I)</f>
        <v>REGIONAL VENDA INTERNA - CONVENIENCIA</v>
      </c>
      <c r="H1118" s="5" t="str">
        <f>_xlfn.XLOOKUP($N1118,'Base de Grupos'!$A:$A,'Base de Grupos'!$J:$J)</f>
        <v>1000174119</v>
      </c>
      <c r="I1118" s="2" t="str">
        <f>_xlfn.XLOOKUP($N1118,'Base de Grupos'!$A:$A,'Base de Grupos'!$K:$K)</f>
        <v>REGIONAL VENDA INTERNA - CONVENIENCIA</v>
      </c>
      <c r="J1118" s="2" t="str">
        <f>_xlfn.XLOOKUP($N1118,'Base de Grupos'!$A:$A,'Base de Grupos'!$L:$L)</f>
        <v>1000174119</v>
      </c>
      <c r="K1118" s="5" t="str">
        <f>_xlfn.XLOOKUP($N1118,'Base de Grupos'!$A:$A,'Base de Grupos'!$M:$M)</f>
        <v>REGIONAL VENDA INTERNA - CONVENIENCIA</v>
      </c>
      <c r="L1118" s="5" t="str">
        <f t="shared" si="1060"/>
        <v/>
      </c>
      <c r="M1118" s="5" t="str">
        <f>_xlfn.XLOOKUP($N1118,'Base de Grupos'!$A:$A,'Base de Grupos'!$C:$C)</f>
        <v>SP</v>
      </c>
      <c r="N1118" s="3">
        <v>1526</v>
      </c>
      <c r="O1118" s="4" t="s">
        <v>285</v>
      </c>
      <c r="P1118" s="5" t="s">
        <v>93</v>
      </c>
      <c r="Q1118" s="56">
        <v>0</v>
      </c>
      <c r="R1118" s="56">
        <v>0</v>
      </c>
      <c r="S1118" s="56">
        <v>0</v>
      </c>
      <c r="T1118" s="56">
        <f>_xlfn.XLOOKUP($N1118,'Calculo Leads Conveniencia'!$A$77:$A$104,'Calculo Leads Conveniencia'!G$77:G$104)*_xlfn.XLOOKUP($P1118,'Base Grupo de Produtos'!$E$23:$E$39,'Base Grupo de Produtos'!$F$23:$F$39)</f>
        <v>0</v>
      </c>
      <c r="U1118" s="56">
        <f>_xlfn.XLOOKUP($N1118,'Calculo Leads Conveniencia'!$A$77:$A$104,'Calculo Leads Conveniencia'!H$77:H$104)*_xlfn.XLOOKUP($P1118,'Base Grupo de Produtos'!$E$23:$E$39,'Base Grupo de Produtos'!$F$23:$F$39)</f>
        <v>0</v>
      </c>
      <c r="V1118" s="56">
        <f>_xlfn.XLOOKUP($N1118,'Calculo Leads Conveniencia'!$A$77:$A$104,'Calculo Leads Conveniencia'!I$77:I$104)*_xlfn.XLOOKUP($P1118,'Base Grupo de Produtos'!$E$23:$E$39,'Base Grupo de Produtos'!$F$23:$F$39)</f>
        <v>0</v>
      </c>
      <c r="W1118" s="56">
        <f>_xlfn.XLOOKUP($N1118,'Calculo Leads Conveniencia'!$A$77:$A$104,'Calculo Leads Conveniencia'!J$77:J$104)*_xlfn.XLOOKUP($P1118,'Base Grupo de Produtos'!$E$23:$E$39,'Base Grupo de Produtos'!$F$23:$F$39)</f>
        <v>0</v>
      </c>
      <c r="X1118" s="56">
        <f>_xlfn.XLOOKUP($N1118,'Calculo Leads Conveniencia'!$A$77:$A$104,'Calculo Leads Conveniencia'!K$77:K$104)*_xlfn.XLOOKUP($P1118,'Base Grupo de Produtos'!$E$23:$E$39,'Base Grupo de Produtos'!$F$23:$F$39)</f>
        <v>0</v>
      </c>
      <c r="Y1118" s="56">
        <f>_xlfn.XLOOKUP($N1118,'Calculo Leads Conveniencia'!$A$77:$A$104,'Calculo Leads Conveniencia'!L$77:L$104)*_xlfn.XLOOKUP($P1118,'Base Grupo de Produtos'!$E$23:$E$39,'Base Grupo de Produtos'!$F$23:$F$39)</f>
        <v>0</v>
      </c>
      <c r="Z1118" s="56">
        <f>_xlfn.XLOOKUP($N1118,'Calculo Leads Conveniencia'!$A$77:$A$104,'Calculo Leads Conveniencia'!M$77:M$104)*_xlfn.XLOOKUP($P1118,'Base Grupo de Produtos'!$E$23:$E$39,'Base Grupo de Produtos'!$F$23:$F$39)</f>
        <v>0</v>
      </c>
      <c r="AA1118" s="56">
        <f>_xlfn.XLOOKUP($N1118,'Calculo Leads Conveniencia'!$A$77:$A$104,'Calculo Leads Conveniencia'!N$77:N$104)*_xlfn.XLOOKUP($P1118,'Base Grupo de Produtos'!$E$23:$E$39,'Base Grupo de Produtos'!$F$23:$F$39)</f>
        <v>0</v>
      </c>
      <c r="AB1118" s="56">
        <f>_xlfn.XLOOKUP($N1118,'Calculo Leads Conveniencia'!$A$77:$A$104,'Calculo Leads Conveniencia'!O$77:O$104)*_xlfn.XLOOKUP($P1118,'Base Grupo de Produtos'!$E$23:$E$39,'Base Grupo de Produtos'!$F$23:$F$39)</f>
        <v>0</v>
      </c>
      <c r="AC1118" s="61">
        <f t="shared" si="1045"/>
        <v>0</v>
      </c>
      <c r="AD1118" s="28"/>
      <c r="AE1118" s="12"/>
      <c r="AF1118" s="29"/>
      <c r="AG1118" s="9"/>
      <c r="AH1118" s="10"/>
      <c r="AI1118" s="9"/>
      <c r="AJ1118" s="11"/>
      <c r="AK1118" s="9"/>
      <c r="AL1118" s="13"/>
      <c r="AM1118" s="9"/>
    </row>
    <row r="1119" spans="1:39" x14ac:dyDescent="0.3">
      <c r="A1119" s="2" t="str">
        <f t="shared" si="1059"/>
        <v>SIM</v>
      </c>
      <c r="B1119" s="2" t="str">
        <f>_xlfn.XLOOKUP($N1119,'Base de Grupos'!$A:$A,'Base de Grupos'!$D:$D)</f>
        <v>1000065763</v>
      </c>
      <c r="C1119" s="5" t="str">
        <f>_xlfn.XLOOKUP($N1119,'Base de Grupos'!$A:$A,'Base de Grupos'!$E:$E)</f>
        <v>CANAL VENDA INTERNA</v>
      </c>
      <c r="D1119" s="5" t="str">
        <f>_xlfn.XLOOKUP($N1119,'Base de Grupos'!$A:$A,'Base de Grupos'!$F:$F)</f>
        <v>1000065763</v>
      </c>
      <c r="E1119" s="2" t="str">
        <f>_xlfn.XLOOKUP($N1119,'Base de Grupos'!$A:$A,'Base de Grupos'!$G:$G)</f>
        <v>CANAL VENDA INTERNA</v>
      </c>
      <c r="F1119" s="2" t="str">
        <f>_xlfn.XLOOKUP($N1119,'Base de Grupos'!$A:$A,'Base de Grupos'!$H:$H)</f>
        <v>1000174119</v>
      </c>
      <c r="G1119" s="5" t="str">
        <f>_xlfn.XLOOKUP($N1119,'Base de Grupos'!$A:$A,'Base de Grupos'!$I:$I)</f>
        <v>REGIONAL VENDA INTERNA - CONVENIENCIA</v>
      </c>
      <c r="H1119" s="5" t="str">
        <f>_xlfn.XLOOKUP($N1119,'Base de Grupos'!$A:$A,'Base de Grupos'!$J:$J)</f>
        <v>1000174119</v>
      </c>
      <c r="I1119" s="2" t="str">
        <f>_xlfn.XLOOKUP($N1119,'Base de Grupos'!$A:$A,'Base de Grupos'!$K:$K)</f>
        <v>REGIONAL VENDA INTERNA - CONVENIENCIA</v>
      </c>
      <c r="J1119" s="2" t="str">
        <f>_xlfn.XLOOKUP($N1119,'Base de Grupos'!$A:$A,'Base de Grupos'!$L:$L)</f>
        <v>1000174119</v>
      </c>
      <c r="K1119" s="5" t="str">
        <f>_xlfn.XLOOKUP($N1119,'Base de Grupos'!$A:$A,'Base de Grupos'!$M:$M)</f>
        <v>REGIONAL VENDA INTERNA - CONVENIENCIA</v>
      </c>
      <c r="L1119" s="5">
        <f t="shared" si="1060"/>
        <v>1</v>
      </c>
      <c r="M1119" s="5" t="str">
        <f>_xlfn.XLOOKUP($N1119,'Base de Grupos'!$A:$A,'Base de Grupos'!$C:$C)</f>
        <v>RS</v>
      </c>
      <c r="N1119" s="3">
        <v>1528</v>
      </c>
      <c r="O1119" s="4" t="s">
        <v>286</v>
      </c>
      <c r="P1119" s="5" t="s">
        <v>356</v>
      </c>
      <c r="Q1119" s="56">
        <f t="shared" ref="Q1119" si="1061">SUM(Q1120:Q1136)</f>
        <v>0</v>
      </c>
      <c r="R1119" s="56">
        <f t="shared" ref="R1119" si="1062">SUM(R1120:R1136)</f>
        <v>0</v>
      </c>
      <c r="S1119" s="56">
        <f t="shared" ref="S1119" si="1063">SUM(S1120:S1136)</f>
        <v>0</v>
      </c>
      <c r="T1119" s="56">
        <f t="shared" ref="T1119" si="1064">SUM(T1120:T1136)</f>
        <v>3200</v>
      </c>
      <c r="U1119" s="56">
        <f t="shared" ref="U1119" si="1065">SUM(U1120:U1136)</f>
        <v>4000</v>
      </c>
      <c r="V1119" s="56">
        <f t="shared" ref="V1119" si="1066">SUM(V1120:V1136)</f>
        <v>5600</v>
      </c>
      <c r="W1119" s="56">
        <f t="shared" ref="W1119" si="1067">SUM(W1120:W1136)</f>
        <v>6400</v>
      </c>
      <c r="X1119" s="56">
        <f t="shared" ref="X1119" si="1068">SUM(X1120:X1136)</f>
        <v>8000</v>
      </c>
      <c r="Y1119" s="56">
        <f t="shared" ref="Y1119" si="1069">SUM(Y1120:Y1136)</f>
        <v>8800</v>
      </c>
      <c r="Z1119" s="56">
        <f t="shared" ref="Z1119" si="1070">SUM(Z1120:Z1136)</f>
        <v>9600</v>
      </c>
      <c r="AA1119" s="56">
        <f t="shared" ref="AA1119" si="1071">SUM(AA1120:AA1136)</f>
        <v>11200</v>
      </c>
      <c r="AB1119" s="56">
        <f t="shared" ref="AB1119" si="1072">SUM(AB1120:AB1136)</f>
        <v>12000</v>
      </c>
      <c r="AC1119" s="56">
        <f t="shared" ref="AC1119" si="1073">SUM(AC1120:AC1136)</f>
        <v>68800</v>
      </c>
      <c r="AD1119" s="28"/>
      <c r="AE1119" s="12"/>
      <c r="AF1119" s="29"/>
      <c r="AG1119" s="9"/>
      <c r="AH1119" s="10"/>
      <c r="AI1119" s="9"/>
      <c r="AJ1119" s="11"/>
      <c r="AK1119" s="9"/>
      <c r="AL1119" s="13"/>
      <c r="AM1119" s="9"/>
    </row>
    <row r="1120" spans="1:39" x14ac:dyDescent="0.3">
      <c r="A1120" s="2" t="str">
        <f t="shared" si="1059"/>
        <v>NÃO</v>
      </c>
      <c r="B1120" s="2" t="str">
        <f>_xlfn.XLOOKUP($N1120,'Base de Grupos'!$A:$A,'Base de Grupos'!$D:$D)</f>
        <v>1000065763</v>
      </c>
      <c r="C1120" s="5" t="str">
        <f>_xlfn.XLOOKUP($N1120,'Base de Grupos'!$A:$A,'Base de Grupos'!$E:$E)</f>
        <v>CANAL VENDA INTERNA</v>
      </c>
      <c r="D1120" s="5" t="str">
        <f>_xlfn.XLOOKUP($N1120,'Base de Grupos'!$A:$A,'Base de Grupos'!$F:$F)</f>
        <v>1000065763</v>
      </c>
      <c r="E1120" s="2" t="str">
        <f>_xlfn.XLOOKUP($N1120,'Base de Grupos'!$A:$A,'Base de Grupos'!$G:$G)</f>
        <v>CANAL VENDA INTERNA</v>
      </c>
      <c r="F1120" s="2" t="str">
        <f>_xlfn.XLOOKUP($N1120,'Base de Grupos'!$A:$A,'Base de Grupos'!$H:$H)</f>
        <v>1000174119</v>
      </c>
      <c r="G1120" s="5" t="str">
        <f>_xlfn.XLOOKUP($N1120,'Base de Grupos'!$A:$A,'Base de Grupos'!$I:$I)</f>
        <v>REGIONAL VENDA INTERNA - CONVENIENCIA</v>
      </c>
      <c r="H1120" s="5" t="str">
        <f>_xlfn.XLOOKUP($N1120,'Base de Grupos'!$A:$A,'Base de Grupos'!$J:$J)</f>
        <v>1000174119</v>
      </c>
      <c r="I1120" s="2" t="str">
        <f>_xlfn.XLOOKUP($N1120,'Base de Grupos'!$A:$A,'Base de Grupos'!$K:$K)</f>
        <v>REGIONAL VENDA INTERNA - CONVENIENCIA</v>
      </c>
      <c r="J1120" s="2" t="str">
        <f>_xlfn.XLOOKUP($N1120,'Base de Grupos'!$A:$A,'Base de Grupos'!$L:$L)</f>
        <v>1000174119</v>
      </c>
      <c r="K1120" s="5" t="str">
        <f>_xlfn.XLOOKUP($N1120,'Base de Grupos'!$A:$A,'Base de Grupos'!$M:$M)</f>
        <v>REGIONAL VENDA INTERNA - CONVENIENCIA</v>
      </c>
      <c r="L1120" s="5" t="str">
        <f t="shared" si="1060"/>
        <v/>
      </c>
      <c r="M1120" s="5" t="str">
        <f>_xlfn.XLOOKUP($N1120,'Base de Grupos'!$A:$A,'Base de Grupos'!$C:$C)</f>
        <v>RS</v>
      </c>
      <c r="N1120" s="3">
        <v>1528</v>
      </c>
      <c r="O1120" s="4" t="s">
        <v>286</v>
      </c>
      <c r="P1120" s="5" t="s">
        <v>81</v>
      </c>
      <c r="Q1120" s="56">
        <v>0</v>
      </c>
      <c r="R1120" s="56">
        <v>0</v>
      </c>
      <c r="S1120" s="56">
        <v>0</v>
      </c>
      <c r="T1120" s="56">
        <f>_xlfn.XLOOKUP($N1120,'Calculo Leads Conveniencia'!$A$77:$A$104,'Calculo Leads Conveniencia'!G$77:G$104)*_xlfn.XLOOKUP($P1120,'Base Grupo de Produtos'!$E$23:$E$39,'Base Grupo de Produtos'!$F$23:$F$39)</f>
        <v>320</v>
      </c>
      <c r="U1120" s="56">
        <f>_xlfn.XLOOKUP($N1120,'Calculo Leads Conveniencia'!$A$77:$A$104,'Calculo Leads Conveniencia'!H$77:H$104)*_xlfn.XLOOKUP($P1120,'Base Grupo de Produtos'!$E$23:$E$39,'Base Grupo de Produtos'!$F$23:$F$39)</f>
        <v>400</v>
      </c>
      <c r="V1120" s="56">
        <f>_xlfn.XLOOKUP($N1120,'Calculo Leads Conveniencia'!$A$77:$A$104,'Calculo Leads Conveniencia'!I$77:I$104)*_xlfn.XLOOKUP($P1120,'Base Grupo de Produtos'!$E$23:$E$39,'Base Grupo de Produtos'!$F$23:$F$39)</f>
        <v>560</v>
      </c>
      <c r="W1120" s="56">
        <f>_xlfn.XLOOKUP($N1120,'Calculo Leads Conveniencia'!$A$77:$A$104,'Calculo Leads Conveniencia'!J$77:J$104)*_xlfn.XLOOKUP($P1120,'Base Grupo de Produtos'!$E$23:$E$39,'Base Grupo de Produtos'!$F$23:$F$39)</f>
        <v>640</v>
      </c>
      <c r="X1120" s="56">
        <f>_xlfn.XLOOKUP($N1120,'Calculo Leads Conveniencia'!$A$77:$A$104,'Calculo Leads Conveniencia'!K$77:K$104)*_xlfn.XLOOKUP($P1120,'Base Grupo de Produtos'!$E$23:$E$39,'Base Grupo de Produtos'!$F$23:$F$39)</f>
        <v>800</v>
      </c>
      <c r="Y1120" s="56">
        <f>_xlfn.XLOOKUP($N1120,'Calculo Leads Conveniencia'!$A$77:$A$104,'Calculo Leads Conveniencia'!L$77:L$104)*_xlfn.XLOOKUP($P1120,'Base Grupo de Produtos'!$E$23:$E$39,'Base Grupo de Produtos'!$F$23:$F$39)</f>
        <v>880</v>
      </c>
      <c r="Z1120" s="56">
        <f>_xlfn.XLOOKUP($N1120,'Calculo Leads Conveniencia'!$A$77:$A$104,'Calculo Leads Conveniencia'!M$77:M$104)*_xlfn.XLOOKUP($P1120,'Base Grupo de Produtos'!$E$23:$E$39,'Base Grupo de Produtos'!$F$23:$F$39)</f>
        <v>960</v>
      </c>
      <c r="AA1120" s="56">
        <f>_xlfn.XLOOKUP($N1120,'Calculo Leads Conveniencia'!$A$77:$A$104,'Calculo Leads Conveniencia'!N$77:N$104)*_xlfn.XLOOKUP($P1120,'Base Grupo de Produtos'!$E$23:$E$39,'Base Grupo de Produtos'!$F$23:$F$39)</f>
        <v>1120</v>
      </c>
      <c r="AB1120" s="56">
        <f>_xlfn.XLOOKUP($N1120,'Calculo Leads Conveniencia'!$A$77:$A$104,'Calculo Leads Conveniencia'!O$77:O$104)*_xlfn.XLOOKUP($P1120,'Base Grupo de Produtos'!$E$23:$E$39,'Base Grupo de Produtos'!$F$23:$F$39)</f>
        <v>1200</v>
      </c>
      <c r="AC1120" s="61">
        <f t="shared" si="1045"/>
        <v>6880</v>
      </c>
      <c r="AD1120" s="28"/>
      <c r="AE1120" s="12"/>
      <c r="AF1120" s="29"/>
      <c r="AG1120" s="9"/>
      <c r="AH1120" s="10"/>
      <c r="AI1120" s="9"/>
      <c r="AJ1120" s="11"/>
      <c r="AK1120" s="9"/>
      <c r="AL1120" s="13"/>
      <c r="AM1120" s="9"/>
    </row>
    <row r="1121" spans="1:39" x14ac:dyDescent="0.3">
      <c r="A1121" s="2" t="str">
        <f t="shared" si="1059"/>
        <v>NÃO</v>
      </c>
      <c r="B1121" s="2" t="str">
        <f>_xlfn.XLOOKUP($N1121,'Base de Grupos'!$A:$A,'Base de Grupos'!$D:$D)</f>
        <v>1000065763</v>
      </c>
      <c r="C1121" s="5" t="str">
        <f>_xlfn.XLOOKUP($N1121,'Base de Grupos'!$A:$A,'Base de Grupos'!$E:$E)</f>
        <v>CANAL VENDA INTERNA</v>
      </c>
      <c r="D1121" s="5" t="str">
        <f>_xlfn.XLOOKUP($N1121,'Base de Grupos'!$A:$A,'Base de Grupos'!$F:$F)</f>
        <v>1000065763</v>
      </c>
      <c r="E1121" s="2" t="str">
        <f>_xlfn.XLOOKUP($N1121,'Base de Grupos'!$A:$A,'Base de Grupos'!$G:$G)</f>
        <v>CANAL VENDA INTERNA</v>
      </c>
      <c r="F1121" s="2" t="str">
        <f>_xlfn.XLOOKUP($N1121,'Base de Grupos'!$A:$A,'Base de Grupos'!$H:$H)</f>
        <v>1000174119</v>
      </c>
      <c r="G1121" s="5" t="str">
        <f>_xlfn.XLOOKUP($N1121,'Base de Grupos'!$A:$A,'Base de Grupos'!$I:$I)</f>
        <v>REGIONAL VENDA INTERNA - CONVENIENCIA</v>
      </c>
      <c r="H1121" s="5" t="str">
        <f>_xlfn.XLOOKUP($N1121,'Base de Grupos'!$A:$A,'Base de Grupos'!$J:$J)</f>
        <v>1000174119</v>
      </c>
      <c r="I1121" s="2" t="str">
        <f>_xlfn.XLOOKUP($N1121,'Base de Grupos'!$A:$A,'Base de Grupos'!$K:$K)</f>
        <v>REGIONAL VENDA INTERNA - CONVENIENCIA</v>
      </c>
      <c r="J1121" s="2" t="str">
        <f>_xlfn.XLOOKUP($N1121,'Base de Grupos'!$A:$A,'Base de Grupos'!$L:$L)</f>
        <v>1000174119</v>
      </c>
      <c r="K1121" s="5" t="str">
        <f>_xlfn.XLOOKUP($N1121,'Base de Grupos'!$A:$A,'Base de Grupos'!$M:$M)</f>
        <v>REGIONAL VENDA INTERNA - CONVENIENCIA</v>
      </c>
      <c r="L1121" s="5" t="str">
        <f t="shared" si="1060"/>
        <v/>
      </c>
      <c r="M1121" s="5" t="str">
        <f>_xlfn.XLOOKUP($N1121,'Base de Grupos'!$A:$A,'Base de Grupos'!$C:$C)</f>
        <v>RS</v>
      </c>
      <c r="N1121" s="3">
        <v>1528</v>
      </c>
      <c r="O1121" s="4" t="s">
        <v>286</v>
      </c>
      <c r="P1121" s="5" t="s">
        <v>82</v>
      </c>
      <c r="Q1121" s="56">
        <v>0</v>
      </c>
      <c r="R1121" s="56">
        <v>0</v>
      </c>
      <c r="S1121" s="56">
        <v>0</v>
      </c>
      <c r="T1121" s="56">
        <f>_xlfn.XLOOKUP($N1121,'Calculo Leads Conveniencia'!$A$77:$A$104,'Calculo Leads Conveniencia'!G$77:G$104)*_xlfn.XLOOKUP($P1121,'Base Grupo de Produtos'!$E$23:$E$39,'Base Grupo de Produtos'!$F$23:$F$39)</f>
        <v>800</v>
      </c>
      <c r="U1121" s="56">
        <f>_xlfn.XLOOKUP($N1121,'Calculo Leads Conveniencia'!$A$77:$A$104,'Calculo Leads Conveniencia'!H$77:H$104)*_xlfn.XLOOKUP($P1121,'Base Grupo de Produtos'!$E$23:$E$39,'Base Grupo de Produtos'!$F$23:$F$39)</f>
        <v>1000</v>
      </c>
      <c r="V1121" s="56">
        <f>_xlfn.XLOOKUP($N1121,'Calculo Leads Conveniencia'!$A$77:$A$104,'Calculo Leads Conveniencia'!I$77:I$104)*_xlfn.XLOOKUP($P1121,'Base Grupo de Produtos'!$E$23:$E$39,'Base Grupo de Produtos'!$F$23:$F$39)</f>
        <v>1400</v>
      </c>
      <c r="W1121" s="56">
        <f>_xlfn.XLOOKUP($N1121,'Calculo Leads Conveniencia'!$A$77:$A$104,'Calculo Leads Conveniencia'!J$77:J$104)*_xlfn.XLOOKUP($P1121,'Base Grupo de Produtos'!$E$23:$E$39,'Base Grupo de Produtos'!$F$23:$F$39)</f>
        <v>1600</v>
      </c>
      <c r="X1121" s="56">
        <f>_xlfn.XLOOKUP($N1121,'Calculo Leads Conveniencia'!$A$77:$A$104,'Calculo Leads Conveniencia'!K$77:K$104)*_xlfn.XLOOKUP($P1121,'Base Grupo de Produtos'!$E$23:$E$39,'Base Grupo de Produtos'!$F$23:$F$39)</f>
        <v>2000</v>
      </c>
      <c r="Y1121" s="56">
        <f>_xlfn.XLOOKUP($N1121,'Calculo Leads Conveniencia'!$A$77:$A$104,'Calculo Leads Conveniencia'!L$77:L$104)*_xlfn.XLOOKUP($P1121,'Base Grupo de Produtos'!$E$23:$E$39,'Base Grupo de Produtos'!$F$23:$F$39)</f>
        <v>2200</v>
      </c>
      <c r="Z1121" s="56">
        <f>_xlfn.XLOOKUP($N1121,'Calculo Leads Conveniencia'!$A$77:$A$104,'Calculo Leads Conveniencia'!M$77:M$104)*_xlfn.XLOOKUP($P1121,'Base Grupo de Produtos'!$E$23:$E$39,'Base Grupo de Produtos'!$F$23:$F$39)</f>
        <v>2400</v>
      </c>
      <c r="AA1121" s="56">
        <f>_xlfn.XLOOKUP($N1121,'Calculo Leads Conveniencia'!$A$77:$A$104,'Calculo Leads Conveniencia'!N$77:N$104)*_xlfn.XLOOKUP($P1121,'Base Grupo de Produtos'!$E$23:$E$39,'Base Grupo de Produtos'!$F$23:$F$39)</f>
        <v>2800</v>
      </c>
      <c r="AB1121" s="56">
        <f>_xlfn.XLOOKUP($N1121,'Calculo Leads Conveniencia'!$A$77:$A$104,'Calculo Leads Conveniencia'!O$77:O$104)*_xlfn.XLOOKUP($P1121,'Base Grupo de Produtos'!$E$23:$E$39,'Base Grupo de Produtos'!$F$23:$F$39)</f>
        <v>3000</v>
      </c>
      <c r="AC1121" s="61">
        <f t="shared" si="1045"/>
        <v>17200</v>
      </c>
      <c r="AD1121" s="28"/>
      <c r="AE1121" s="12"/>
      <c r="AF1121" s="29"/>
      <c r="AG1121" s="9"/>
      <c r="AH1121" s="10"/>
      <c r="AI1121" s="9"/>
      <c r="AJ1121" s="11"/>
      <c r="AK1121" s="9"/>
      <c r="AL1121" s="13"/>
      <c r="AM1121" s="9"/>
    </row>
    <row r="1122" spans="1:39" x14ac:dyDescent="0.3">
      <c r="A1122" s="2" t="str">
        <f t="shared" si="1059"/>
        <v>NÃO</v>
      </c>
      <c r="B1122" s="2" t="str">
        <f>_xlfn.XLOOKUP($N1122,'Base de Grupos'!$A:$A,'Base de Grupos'!$D:$D)</f>
        <v>1000065763</v>
      </c>
      <c r="C1122" s="5" t="str">
        <f>_xlfn.XLOOKUP($N1122,'Base de Grupos'!$A:$A,'Base de Grupos'!$E:$E)</f>
        <v>CANAL VENDA INTERNA</v>
      </c>
      <c r="D1122" s="5" t="str">
        <f>_xlfn.XLOOKUP($N1122,'Base de Grupos'!$A:$A,'Base de Grupos'!$F:$F)</f>
        <v>1000065763</v>
      </c>
      <c r="E1122" s="2" t="str">
        <f>_xlfn.XLOOKUP($N1122,'Base de Grupos'!$A:$A,'Base de Grupos'!$G:$G)</f>
        <v>CANAL VENDA INTERNA</v>
      </c>
      <c r="F1122" s="2" t="str">
        <f>_xlfn.XLOOKUP($N1122,'Base de Grupos'!$A:$A,'Base de Grupos'!$H:$H)</f>
        <v>1000174119</v>
      </c>
      <c r="G1122" s="5" t="str">
        <f>_xlfn.XLOOKUP($N1122,'Base de Grupos'!$A:$A,'Base de Grupos'!$I:$I)</f>
        <v>REGIONAL VENDA INTERNA - CONVENIENCIA</v>
      </c>
      <c r="H1122" s="5" t="str">
        <f>_xlfn.XLOOKUP($N1122,'Base de Grupos'!$A:$A,'Base de Grupos'!$J:$J)</f>
        <v>1000174119</v>
      </c>
      <c r="I1122" s="2" t="str">
        <f>_xlfn.XLOOKUP($N1122,'Base de Grupos'!$A:$A,'Base de Grupos'!$K:$K)</f>
        <v>REGIONAL VENDA INTERNA - CONVENIENCIA</v>
      </c>
      <c r="J1122" s="2" t="str">
        <f>_xlfn.XLOOKUP($N1122,'Base de Grupos'!$A:$A,'Base de Grupos'!$L:$L)</f>
        <v>1000174119</v>
      </c>
      <c r="K1122" s="5" t="str">
        <f>_xlfn.XLOOKUP($N1122,'Base de Grupos'!$A:$A,'Base de Grupos'!$M:$M)</f>
        <v>REGIONAL VENDA INTERNA - CONVENIENCIA</v>
      </c>
      <c r="L1122" s="5" t="str">
        <f t="shared" si="1060"/>
        <v/>
      </c>
      <c r="M1122" s="5" t="str">
        <f>_xlfn.XLOOKUP($N1122,'Base de Grupos'!$A:$A,'Base de Grupos'!$C:$C)</f>
        <v>RS</v>
      </c>
      <c r="N1122" s="3">
        <v>1528</v>
      </c>
      <c r="O1122" s="4" t="s">
        <v>286</v>
      </c>
      <c r="P1122" s="5" t="s">
        <v>84</v>
      </c>
      <c r="Q1122" s="56">
        <v>0</v>
      </c>
      <c r="R1122" s="56">
        <v>0</v>
      </c>
      <c r="S1122" s="56">
        <v>0</v>
      </c>
      <c r="T1122" s="56">
        <f>_xlfn.XLOOKUP($N1122,'Calculo Leads Conveniencia'!$A$77:$A$104,'Calculo Leads Conveniencia'!G$77:G$104)*_xlfn.XLOOKUP($P1122,'Base Grupo de Produtos'!$E$23:$E$39,'Base Grupo de Produtos'!$F$23:$F$39)</f>
        <v>480</v>
      </c>
      <c r="U1122" s="56">
        <f>_xlfn.XLOOKUP($N1122,'Calculo Leads Conveniencia'!$A$77:$A$104,'Calculo Leads Conveniencia'!H$77:H$104)*_xlfn.XLOOKUP($P1122,'Base Grupo de Produtos'!$E$23:$E$39,'Base Grupo de Produtos'!$F$23:$F$39)</f>
        <v>600</v>
      </c>
      <c r="V1122" s="56">
        <f>_xlfn.XLOOKUP($N1122,'Calculo Leads Conveniencia'!$A$77:$A$104,'Calculo Leads Conveniencia'!I$77:I$104)*_xlfn.XLOOKUP($P1122,'Base Grupo de Produtos'!$E$23:$E$39,'Base Grupo de Produtos'!$F$23:$F$39)</f>
        <v>840</v>
      </c>
      <c r="W1122" s="56">
        <f>_xlfn.XLOOKUP($N1122,'Calculo Leads Conveniencia'!$A$77:$A$104,'Calculo Leads Conveniencia'!J$77:J$104)*_xlfn.XLOOKUP($P1122,'Base Grupo de Produtos'!$E$23:$E$39,'Base Grupo de Produtos'!$F$23:$F$39)</f>
        <v>960</v>
      </c>
      <c r="X1122" s="56">
        <f>_xlfn.XLOOKUP($N1122,'Calculo Leads Conveniencia'!$A$77:$A$104,'Calculo Leads Conveniencia'!K$77:K$104)*_xlfn.XLOOKUP($P1122,'Base Grupo de Produtos'!$E$23:$E$39,'Base Grupo de Produtos'!$F$23:$F$39)</f>
        <v>1200</v>
      </c>
      <c r="Y1122" s="56">
        <f>_xlfn.XLOOKUP($N1122,'Calculo Leads Conveniencia'!$A$77:$A$104,'Calculo Leads Conveniencia'!L$77:L$104)*_xlfn.XLOOKUP($P1122,'Base Grupo de Produtos'!$E$23:$E$39,'Base Grupo de Produtos'!$F$23:$F$39)</f>
        <v>1320</v>
      </c>
      <c r="Z1122" s="56">
        <f>_xlfn.XLOOKUP($N1122,'Calculo Leads Conveniencia'!$A$77:$A$104,'Calculo Leads Conveniencia'!M$77:M$104)*_xlfn.XLOOKUP($P1122,'Base Grupo de Produtos'!$E$23:$E$39,'Base Grupo de Produtos'!$F$23:$F$39)</f>
        <v>1440</v>
      </c>
      <c r="AA1122" s="56">
        <f>_xlfn.XLOOKUP($N1122,'Calculo Leads Conveniencia'!$A$77:$A$104,'Calculo Leads Conveniencia'!N$77:N$104)*_xlfn.XLOOKUP($P1122,'Base Grupo de Produtos'!$E$23:$E$39,'Base Grupo de Produtos'!$F$23:$F$39)</f>
        <v>1680</v>
      </c>
      <c r="AB1122" s="56">
        <f>_xlfn.XLOOKUP($N1122,'Calculo Leads Conveniencia'!$A$77:$A$104,'Calculo Leads Conveniencia'!O$77:O$104)*_xlfn.XLOOKUP($P1122,'Base Grupo de Produtos'!$E$23:$E$39,'Base Grupo de Produtos'!$F$23:$F$39)</f>
        <v>1800</v>
      </c>
      <c r="AC1122" s="61">
        <f t="shared" si="1045"/>
        <v>10320</v>
      </c>
      <c r="AD1122" s="28"/>
      <c r="AE1122" s="12"/>
      <c r="AF1122" s="29"/>
      <c r="AG1122" s="9"/>
      <c r="AH1122" s="10"/>
      <c r="AI1122" s="9"/>
      <c r="AJ1122" s="11"/>
      <c r="AK1122" s="9"/>
      <c r="AL1122" s="13"/>
      <c r="AM1122" s="9"/>
    </row>
    <row r="1123" spans="1:39" x14ac:dyDescent="0.3">
      <c r="A1123" s="2" t="str">
        <f t="shared" si="1059"/>
        <v>NÃO</v>
      </c>
      <c r="B1123" s="2" t="str">
        <f>_xlfn.XLOOKUP($N1123,'Base de Grupos'!$A:$A,'Base de Grupos'!$D:$D)</f>
        <v>1000065763</v>
      </c>
      <c r="C1123" s="5" t="str">
        <f>_xlfn.XLOOKUP($N1123,'Base de Grupos'!$A:$A,'Base de Grupos'!$E:$E)</f>
        <v>CANAL VENDA INTERNA</v>
      </c>
      <c r="D1123" s="5" t="str">
        <f>_xlfn.XLOOKUP($N1123,'Base de Grupos'!$A:$A,'Base de Grupos'!$F:$F)</f>
        <v>1000065763</v>
      </c>
      <c r="E1123" s="2" t="str">
        <f>_xlfn.XLOOKUP($N1123,'Base de Grupos'!$A:$A,'Base de Grupos'!$G:$G)</f>
        <v>CANAL VENDA INTERNA</v>
      </c>
      <c r="F1123" s="2" t="str">
        <f>_xlfn.XLOOKUP($N1123,'Base de Grupos'!$A:$A,'Base de Grupos'!$H:$H)</f>
        <v>1000174119</v>
      </c>
      <c r="G1123" s="5" t="str">
        <f>_xlfn.XLOOKUP($N1123,'Base de Grupos'!$A:$A,'Base de Grupos'!$I:$I)</f>
        <v>REGIONAL VENDA INTERNA - CONVENIENCIA</v>
      </c>
      <c r="H1123" s="5" t="str">
        <f>_xlfn.XLOOKUP($N1123,'Base de Grupos'!$A:$A,'Base de Grupos'!$J:$J)</f>
        <v>1000174119</v>
      </c>
      <c r="I1123" s="2" t="str">
        <f>_xlfn.XLOOKUP($N1123,'Base de Grupos'!$A:$A,'Base de Grupos'!$K:$K)</f>
        <v>REGIONAL VENDA INTERNA - CONVENIENCIA</v>
      </c>
      <c r="J1123" s="2" t="str">
        <f>_xlfn.XLOOKUP($N1123,'Base de Grupos'!$A:$A,'Base de Grupos'!$L:$L)</f>
        <v>1000174119</v>
      </c>
      <c r="K1123" s="5" t="str">
        <f>_xlfn.XLOOKUP($N1123,'Base de Grupos'!$A:$A,'Base de Grupos'!$M:$M)</f>
        <v>REGIONAL VENDA INTERNA - CONVENIENCIA</v>
      </c>
      <c r="L1123" s="5" t="str">
        <f t="shared" si="1060"/>
        <v/>
      </c>
      <c r="M1123" s="5" t="str">
        <f>_xlfn.XLOOKUP($N1123,'Base de Grupos'!$A:$A,'Base de Grupos'!$C:$C)</f>
        <v>RS</v>
      </c>
      <c r="N1123" s="3">
        <v>1528</v>
      </c>
      <c r="O1123" s="4" t="s">
        <v>286</v>
      </c>
      <c r="P1123" s="5" t="s">
        <v>83</v>
      </c>
      <c r="Q1123" s="56">
        <v>0</v>
      </c>
      <c r="R1123" s="56">
        <v>0</v>
      </c>
      <c r="S1123" s="56">
        <v>0</v>
      </c>
      <c r="T1123" s="56">
        <f>_xlfn.XLOOKUP($N1123,'Calculo Leads Conveniencia'!$A$77:$A$104,'Calculo Leads Conveniencia'!G$77:G$104)*_xlfn.XLOOKUP($P1123,'Base Grupo de Produtos'!$E$23:$E$39,'Base Grupo de Produtos'!$F$23:$F$39)</f>
        <v>64</v>
      </c>
      <c r="U1123" s="56">
        <f>_xlfn.XLOOKUP($N1123,'Calculo Leads Conveniencia'!$A$77:$A$104,'Calculo Leads Conveniencia'!H$77:H$104)*_xlfn.XLOOKUP($P1123,'Base Grupo de Produtos'!$E$23:$E$39,'Base Grupo de Produtos'!$F$23:$F$39)</f>
        <v>80</v>
      </c>
      <c r="V1123" s="56">
        <f>_xlfn.XLOOKUP($N1123,'Calculo Leads Conveniencia'!$A$77:$A$104,'Calculo Leads Conveniencia'!I$77:I$104)*_xlfn.XLOOKUP($P1123,'Base Grupo de Produtos'!$E$23:$E$39,'Base Grupo de Produtos'!$F$23:$F$39)</f>
        <v>112</v>
      </c>
      <c r="W1123" s="56">
        <f>_xlfn.XLOOKUP($N1123,'Calculo Leads Conveniencia'!$A$77:$A$104,'Calculo Leads Conveniencia'!J$77:J$104)*_xlfn.XLOOKUP($P1123,'Base Grupo de Produtos'!$E$23:$E$39,'Base Grupo de Produtos'!$F$23:$F$39)</f>
        <v>128</v>
      </c>
      <c r="X1123" s="56">
        <f>_xlfn.XLOOKUP($N1123,'Calculo Leads Conveniencia'!$A$77:$A$104,'Calculo Leads Conveniencia'!K$77:K$104)*_xlfn.XLOOKUP($P1123,'Base Grupo de Produtos'!$E$23:$E$39,'Base Grupo de Produtos'!$F$23:$F$39)</f>
        <v>160</v>
      </c>
      <c r="Y1123" s="56">
        <f>_xlfn.XLOOKUP($N1123,'Calculo Leads Conveniencia'!$A$77:$A$104,'Calculo Leads Conveniencia'!L$77:L$104)*_xlfn.XLOOKUP($P1123,'Base Grupo de Produtos'!$E$23:$E$39,'Base Grupo de Produtos'!$F$23:$F$39)</f>
        <v>176</v>
      </c>
      <c r="Z1123" s="56">
        <f>_xlfn.XLOOKUP($N1123,'Calculo Leads Conveniencia'!$A$77:$A$104,'Calculo Leads Conveniencia'!M$77:M$104)*_xlfn.XLOOKUP($P1123,'Base Grupo de Produtos'!$E$23:$E$39,'Base Grupo de Produtos'!$F$23:$F$39)</f>
        <v>192</v>
      </c>
      <c r="AA1123" s="56">
        <f>_xlfn.XLOOKUP($N1123,'Calculo Leads Conveniencia'!$A$77:$A$104,'Calculo Leads Conveniencia'!N$77:N$104)*_xlfn.XLOOKUP($P1123,'Base Grupo de Produtos'!$E$23:$E$39,'Base Grupo de Produtos'!$F$23:$F$39)</f>
        <v>224</v>
      </c>
      <c r="AB1123" s="56">
        <f>_xlfn.XLOOKUP($N1123,'Calculo Leads Conveniencia'!$A$77:$A$104,'Calculo Leads Conveniencia'!O$77:O$104)*_xlfn.XLOOKUP($P1123,'Base Grupo de Produtos'!$E$23:$E$39,'Base Grupo de Produtos'!$F$23:$F$39)</f>
        <v>240</v>
      </c>
      <c r="AC1123" s="61">
        <f t="shared" si="1045"/>
        <v>1376</v>
      </c>
      <c r="AD1123" s="28"/>
      <c r="AE1123" s="12"/>
      <c r="AF1123" s="29"/>
      <c r="AG1123" s="9"/>
      <c r="AH1123" s="10"/>
      <c r="AI1123" s="9"/>
      <c r="AJ1123" s="11"/>
      <c r="AK1123" s="9"/>
      <c r="AL1123" s="13"/>
      <c r="AM1123" s="9"/>
    </row>
    <row r="1124" spans="1:39" x14ac:dyDescent="0.3">
      <c r="A1124" s="2" t="str">
        <f t="shared" si="1059"/>
        <v>NÃO</v>
      </c>
      <c r="B1124" s="2" t="str">
        <f>_xlfn.XLOOKUP($N1124,'Base de Grupos'!$A:$A,'Base de Grupos'!$D:$D)</f>
        <v>1000065763</v>
      </c>
      <c r="C1124" s="5" t="str">
        <f>_xlfn.XLOOKUP($N1124,'Base de Grupos'!$A:$A,'Base de Grupos'!$E:$E)</f>
        <v>CANAL VENDA INTERNA</v>
      </c>
      <c r="D1124" s="5" t="str">
        <f>_xlfn.XLOOKUP($N1124,'Base de Grupos'!$A:$A,'Base de Grupos'!$F:$F)</f>
        <v>1000065763</v>
      </c>
      <c r="E1124" s="2" t="str">
        <f>_xlfn.XLOOKUP($N1124,'Base de Grupos'!$A:$A,'Base de Grupos'!$G:$G)</f>
        <v>CANAL VENDA INTERNA</v>
      </c>
      <c r="F1124" s="2" t="str">
        <f>_xlfn.XLOOKUP($N1124,'Base de Grupos'!$A:$A,'Base de Grupos'!$H:$H)</f>
        <v>1000174119</v>
      </c>
      <c r="G1124" s="5" t="str">
        <f>_xlfn.XLOOKUP($N1124,'Base de Grupos'!$A:$A,'Base de Grupos'!$I:$I)</f>
        <v>REGIONAL VENDA INTERNA - CONVENIENCIA</v>
      </c>
      <c r="H1124" s="5" t="str">
        <f>_xlfn.XLOOKUP($N1124,'Base de Grupos'!$A:$A,'Base de Grupos'!$J:$J)</f>
        <v>1000174119</v>
      </c>
      <c r="I1124" s="2" t="str">
        <f>_xlfn.XLOOKUP($N1124,'Base de Grupos'!$A:$A,'Base de Grupos'!$K:$K)</f>
        <v>REGIONAL VENDA INTERNA - CONVENIENCIA</v>
      </c>
      <c r="J1124" s="2" t="str">
        <f>_xlfn.XLOOKUP($N1124,'Base de Grupos'!$A:$A,'Base de Grupos'!$L:$L)</f>
        <v>1000174119</v>
      </c>
      <c r="K1124" s="5" t="str">
        <f>_xlfn.XLOOKUP($N1124,'Base de Grupos'!$A:$A,'Base de Grupos'!$M:$M)</f>
        <v>REGIONAL VENDA INTERNA - CONVENIENCIA</v>
      </c>
      <c r="L1124" s="5" t="str">
        <f t="shared" si="1060"/>
        <v/>
      </c>
      <c r="M1124" s="5" t="str">
        <f>_xlfn.XLOOKUP($N1124,'Base de Grupos'!$A:$A,'Base de Grupos'!$C:$C)</f>
        <v>RS</v>
      </c>
      <c r="N1124" s="3">
        <v>1528</v>
      </c>
      <c r="O1124" s="4" t="s">
        <v>286</v>
      </c>
      <c r="P1124" s="5" t="s">
        <v>87</v>
      </c>
      <c r="Q1124" s="56">
        <v>0</v>
      </c>
      <c r="R1124" s="56">
        <v>0</v>
      </c>
      <c r="S1124" s="56">
        <v>0</v>
      </c>
      <c r="T1124" s="56">
        <f>_xlfn.XLOOKUP($N1124,'Calculo Leads Conveniencia'!$A$77:$A$104,'Calculo Leads Conveniencia'!G$77:G$104)*_xlfn.XLOOKUP($P1124,'Base Grupo de Produtos'!$E$23:$E$39,'Base Grupo de Produtos'!$F$23:$F$39)</f>
        <v>32</v>
      </c>
      <c r="U1124" s="56">
        <f>_xlfn.XLOOKUP($N1124,'Calculo Leads Conveniencia'!$A$77:$A$104,'Calculo Leads Conveniencia'!H$77:H$104)*_xlfn.XLOOKUP($P1124,'Base Grupo de Produtos'!$E$23:$E$39,'Base Grupo de Produtos'!$F$23:$F$39)</f>
        <v>40</v>
      </c>
      <c r="V1124" s="56">
        <f>_xlfn.XLOOKUP($N1124,'Calculo Leads Conveniencia'!$A$77:$A$104,'Calculo Leads Conveniencia'!I$77:I$104)*_xlfn.XLOOKUP($P1124,'Base Grupo de Produtos'!$E$23:$E$39,'Base Grupo de Produtos'!$F$23:$F$39)</f>
        <v>56</v>
      </c>
      <c r="W1124" s="56">
        <f>_xlfn.XLOOKUP($N1124,'Calculo Leads Conveniencia'!$A$77:$A$104,'Calculo Leads Conveniencia'!J$77:J$104)*_xlfn.XLOOKUP($P1124,'Base Grupo de Produtos'!$E$23:$E$39,'Base Grupo de Produtos'!$F$23:$F$39)</f>
        <v>64</v>
      </c>
      <c r="X1124" s="56">
        <f>_xlfn.XLOOKUP($N1124,'Calculo Leads Conveniencia'!$A$77:$A$104,'Calculo Leads Conveniencia'!K$77:K$104)*_xlfn.XLOOKUP($P1124,'Base Grupo de Produtos'!$E$23:$E$39,'Base Grupo de Produtos'!$F$23:$F$39)</f>
        <v>80</v>
      </c>
      <c r="Y1124" s="56">
        <f>_xlfn.XLOOKUP($N1124,'Calculo Leads Conveniencia'!$A$77:$A$104,'Calculo Leads Conveniencia'!L$77:L$104)*_xlfn.XLOOKUP($P1124,'Base Grupo de Produtos'!$E$23:$E$39,'Base Grupo de Produtos'!$F$23:$F$39)</f>
        <v>88</v>
      </c>
      <c r="Z1124" s="56">
        <f>_xlfn.XLOOKUP($N1124,'Calculo Leads Conveniencia'!$A$77:$A$104,'Calculo Leads Conveniencia'!M$77:M$104)*_xlfn.XLOOKUP($P1124,'Base Grupo de Produtos'!$E$23:$E$39,'Base Grupo de Produtos'!$F$23:$F$39)</f>
        <v>96</v>
      </c>
      <c r="AA1124" s="56">
        <f>_xlfn.XLOOKUP($N1124,'Calculo Leads Conveniencia'!$A$77:$A$104,'Calculo Leads Conveniencia'!N$77:N$104)*_xlfn.XLOOKUP($P1124,'Base Grupo de Produtos'!$E$23:$E$39,'Base Grupo de Produtos'!$F$23:$F$39)</f>
        <v>112</v>
      </c>
      <c r="AB1124" s="56">
        <f>_xlfn.XLOOKUP($N1124,'Calculo Leads Conveniencia'!$A$77:$A$104,'Calculo Leads Conveniencia'!O$77:O$104)*_xlfn.XLOOKUP($P1124,'Base Grupo de Produtos'!$E$23:$E$39,'Base Grupo de Produtos'!$F$23:$F$39)</f>
        <v>120</v>
      </c>
      <c r="AC1124" s="61">
        <f t="shared" si="1045"/>
        <v>688</v>
      </c>
      <c r="AD1124" s="28"/>
      <c r="AE1124" s="12"/>
      <c r="AF1124" s="29"/>
      <c r="AG1124" s="9"/>
      <c r="AH1124" s="10"/>
      <c r="AI1124" s="9"/>
      <c r="AJ1124" s="11"/>
      <c r="AK1124" s="9"/>
      <c r="AL1124" s="13"/>
      <c r="AM1124" s="9"/>
    </row>
    <row r="1125" spans="1:39" x14ac:dyDescent="0.3">
      <c r="A1125" s="2" t="str">
        <f t="shared" si="1059"/>
        <v>NÃO</v>
      </c>
      <c r="B1125" s="2" t="str">
        <f>_xlfn.XLOOKUP($N1125,'Base de Grupos'!$A:$A,'Base de Grupos'!$D:$D)</f>
        <v>1000065763</v>
      </c>
      <c r="C1125" s="5" t="str">
        <f>_xlfn.XLOOKUP($N1125,'Base de Grupos'!$A:$A,'Base de Grupos'!$E:$E)</f>
        <v>CANAL VENDA INTERNA</v>
      </c>
      <c r="D1125" s="5" t="str">
        <f>_xlfn.XLOOKUP($N1125,'Base de Grupos'!$A:$A,'Base de Grupos'!$F:$F)</f>
        <v>1000065763</v>
      </c>
      <c r="E1125" s="2" t="str">
        <f>_xlfn.XLOOKUP($N1125,'Base de Grupos'!$A:$A,'Base de Grupos'!$G:$G)</f>
        <v>CANAL VENDA INTERNA</v>
      </c>
      <c r="F1125" s="2" t="str">
        <f>_xlfn.XLOOKUP($N1125,'Base de Grupos'!$A:$A,'Base de Grupos'!$H:$H)</f>
        <v>1000174119</v>
      </c>
      <c r="G1125" s="5" t="str">
        <f>_xlfn.XLOOKUP($N1125,'Base de Grupos'!$A:$A,'Base de Grupos'!$I:$I)</f>
        <v>REGIONAL VENDA INTERNA - CONVENIENCIA</v>
      </c>
      <c r="H1125" s="5" t="str">
        <f>_xlfn.XLOOKUP($N1125,'Base de Grupos'!$A:$A,'Base de Grupos'!$J:$J)</f>
        <v>1000174119</v>
      </c>
      <c r="I1125" s="2" t="str">
        <f>_xlfn.XLOOKUP($N1125,'Base de Grupos'!$A:$A,'Base de Grupos'!$K:$K)</f>
        <v>REGIONAL VENDA INTERNA - CONVENIENCIA</v>
      </c>
      <c r="J1125" s="2" t="str">
        <f>_xlfn.XLOOKUP($N1125,'Base de Grupos'!$A:$A,'Base de Grupos'!$L:$L)</f>
        <v>1000174119</v>
      </c>
      <c r="K1125" s="5" t="str">
        <f>_xlfn.XLOOKUP($N1125,'Base de Grupos'!$A:$A,'Base de Grupos'!$M:$M)</f>
        <v>REGIONAL VENDA INTERNA - CONVENIENCIA</v>
      </c>
      <c r="L1125" s="5" t="str">
        <f t="shared" si="1060"/>
        <v/>
      </c>
      <c r="M1125" s="5" t="str">
        <f>_xlfn.XLOOKUP($N1125,'Base de Grupos'!$A:$A,'Base de Grupos'!$C:$C)</f>
        <v>RS</v>
      </c>
      <c r="N1125" s="3">
        <v>1528</v>
      </c>
      <c r="O1125" s="4" t="s">
        <v>286</v>
      </c>
      <c r="P1125" s="5" t="s">
        <v>85</v>
      </c>
      <c r="Q1125" s="56">
        <v>0</v>
      </c>
      <c r="R1125" s="56">
        <v>0</v>
      </c>
      <c r="S1125" s="56">
        <v>0</v>
      </c>
      <c r="T1125" s="56">
        <f>_xlfn.XLOOKUP($N1125,'Calculo Leads Conveniencia'!$A$77:$A$104,'Calculo Leads Conveniencia'!G$77:G$104)*_xlfn.XLOOKUP($P1125,'Base Grupo de Produtos'!$E$23:$E$39,'Base Grupo de Produtos'!$F$23:$F$39)</f>
        <v>32</v>
      </c>
      <c r="U1125" s="56">
        <f>_xlfn.XLOOKUP($N1125,'Calculo Leads Conveniencia'!$A$77:$A$104,'Calculo Leads Conveniencia'!H$77:H$104)*_xlfn.XLOOKUP($P1125,'Base Grupo de Produtos'!$E$23:$E$39,'Base Grupo de Produtos'!$F$23:$F$39)</f>
        <v>40</v>
      </c>
      <c r="V1125" s="56">
        <f>_xlfn.XLOOKUP($N1125,'Calculo Leads Conveniencia'!$A$77:$A$104,'Calculo Leads Conveniencia'!I$77:I$104)*_xlfn.XLOOKUP($P1125,'Base Grupo de Produtos'!$E$23:$E$39,'Base Grupo de Produtos'!$F$23:$F$39)</f>
        <v>56</v>
      </c>
      <c r="W1125" s="56">
        <f>_xlfn.XLOOKUP($N1125,'Calculo Leads Conveniencia'!$A$77:$A$104,'Calculo Leads Conveniencia'!J$77:J$104)*_xlfn.XLOOKUP($P1125,'Base Grupo de Produtos'!$E$23:$E$39,'Base Grupo de Produtos'!$F$23:$F$39)</f>
        <v>64</v>
      </c>
      <c r="X1125" s="56">
        <f>_xlfn.XLOOKUP($N1125,'Calculo Leads Conveniencia'!$A$77:$A$104,'Calculo Leads Conveniencia'!K$77:K$104)*_xlfn.XLOOKUP($P1125,'Base Grupo de Produtos'!$E$23:$E$39,'Base Grupo de Produtos'!$F$23:$F$39)</f>
        <v>80</v>
      </c>
      <c r="Y1125" s="56">
        <f>_xlfn.XLOOKUP($N1125,'Calculo Leads Conveniencia'!$A$77:$A$104,'Calculo Leads Conveniencia'!L$77:L$104)*_xlfn.XLOOKUP($P1125,'Base Grupo de Produtos'!$E$23:$E$39,'Base Grupo de Produtos'!$F$23:$F$39)</f>
        <v>88</v>
      </c>
      <c r="Z1125" s="56">
        <f>_xlfn.XLOOKUP($N1125,'Calculo Leads Conveniencia'!$A$77:$A$104,'Calculo Leads Conveniencia'!M$77:M$104)*_xlfn.XLOOKUP($P1125,'Base Grupo de Produtos'!$E$23:$E$39,'Base Grupo de Produtos'!$F$23:$F$39)</f>
        <v>96</v>
      </c>
      <c r="AA1125" s="56">
        <f>_xlfn.XLOOKUP($N1125,'Calculo Leads Conveniencia'!$A$77:$A$104,'Calculo Leads Conveniencia'!N$77:N$104)*_xlfn.XLOOKUP($P1125,'Base Grupo de Produtos'!$E$23:$E$39,'Base Grupo de Produtos'!$F$23:$F$39)</f>
        <v>112</v>
      </c>
      <c r="AB1125" s="56">
        <f>_xlfn.XLOOKUP($N1125,'Calculo Leads Conveniencia'!$A$77:$A$104,'Calculo Leads Conveniencia'!O$77:O$104)*_xlfn.XLOOKUP($P1125,'Base Grupo de Produtos'!$E$23:$E$39,'Base Grupo de Produtos'!$F$23:$F$39)</f>
        <v>120</v>
      </c>
      <c r="AC1125" s="61">
        <f t="shared" si="1045"/>
        <v>688</v>
      </c>
      <c r="AD1125" s="28"/>
      <c r="AE1125" s="12"/>
      <c r="AF1125" s="29"/>
      <c r="AG1125" s="9"/>
      <c r="AH1125" s="10"/>
      <c r="AI1125" s="9"/>
      <c r="AJ1125" s="11"/>
      <c r="AK1125" s="9"/>
      <c r="AL1125" s="13"/>
      <c r="AM1125" s="9"/>
    </row>
    <row r="1126" spans="1:39" x14ac:dyDescent="0.3">
      <c r="A1126" s="2" t="str">
        <f t="shared" si="1059"/>
        <v>NÃO</v>
      </c>
      <c r="B1126" s="2" t="str">
        <f>_xlfn.XLOOKUP($N1126,'Base de Grupos'!$A:$A,'Base de Grupos'!$D:$D)</f>
        <v>1000065763</v>
      </c>
      <c r="C1126" s="5" t="str">
        <f>_xlfn.XLOOKUP($N1126,'Base de Grupos'!$A:$A,'Base de Grupos'!$E:$E)</f>
        <v>CANAL VENDA INTERNA</v>
      </c>
      <c r="D1126" s="5" t="str">
        <f>_xlfn.XLOOKUP($N1126,'Base de Grupos'!$A:$A,'Base de Grupos'!$F:$F)</f>
        <v>1000065763</v>
      </c>
      <c r="E1126" s="2" t="str">
        <f>_xlfn.XLOOKUP($N1126,'Base de Grupos'!$A:$A,'Base de Grupos'!$G:$G)</f>
        <v>CANAL VENDA INTERNA</v>
      </c>
      <c r="F1126" s="2" t="str">
        <f>_xlfn.XLOOKUP($N1126,'Base de Grupos'!$A:$A,'Base de Grupos'!$H:$H)</f>
        <v>1000174119</v>
      </c>
      <c r="G1126" s="5" t="str">
        <f>_xlfn.XLOOKUP($N1126,'Base de Grupos'!$A:$A,'Base de Grupos'!$I:$I)</f>
        <v>REGIONAL VENDA INTERNA - CONVENIENCIA</v>
      </c>
      <c r="H1126" s="5" t="str">
        <f>_xlfn.XLOOKUP($N1126,'Base de Grupos'!$A:$A,'Base de Grupos'!$J:$J)</f>
        <v>1000174119</v>
      </c>
      <c r="I1126" s="2" t="str">
        <f>_xlfn.XLOOKUP($N1126,'Base de Grupos'!$A:$A,'Base de Grupos'!$K:$K)</f>
        <v>REGIONAL VENDA INTERNA - CONVENIENCIA</v>
      </c>
      <c r="J1126" s="2" t="str">
        <f>_xlfn.XLOOKUP($N1126,'Base de Grupos'!$A:$A,'Base de Grupos'!$L:$L)</f>
        <v>1000174119</v>
      </c>
      <c r="K1126" s="5" t="str">
        <f>_xlfn.XLOOKUP($N1126,'Base de Grupos'!$A:$A,'Base de Grupos'!$M:$M)</f>
        <v>REGIONAL VENDA INTERNA - CONVENIENCIA</v>
      </c>
      <c r="L1126" s="5" t="str">
        <f t="shared" si="1060"/>
        <v/>
      </c>
      <c r="M1126" s="5" t="str">
        <f>_xlfn.XLOOKUP($N1126,'Base de Grupos'!$A:$A,'Base de Grupos'!$C:$C)</f>
        <v>RS</v>
      </c>
      <c r="N1126" s="3">
        <v>1528</v>
      </c>
      <c r="O1126" s="4" t="s">
        <v>286</v>
      </c>
      <c r="P1126" s="5" t="s">
        <v>92</v>
      </c>
      <c r="Q1126" s="56">
        <v>0</v>
      </c>
      <c r="R1126" s="56">
        <v>0</v>
      </c>
      <c r="S1126" s="56">
        <v>0</v>
      </c>
      <c r="T1126" s="56">
        <f>_xlfn.XLOOKUP($N1126,'Calculo Leads Conveniencia'!$A$77:$A$104,'Calculo Leads Conveniencia'!G$77:G$104)*_xlfn.XLOOKUP($P1126,'Base Grupo de Produtos'!$E$23:$E$39,'Base Grupo de Produtos'!$F$23:$F$39)</f>
        <v>32</v>
      </c>
      <c r="U1126" s="56">
        <f>_xlfn.XLOOKUP($N1126,'Calculo Leads Conveniencia'!$A$77:$A$104,'Calculo Leads Conveniencia'!H$77:H$104)*_xlfn.XLOOKUP($P1126,'Base Grupo de Produtos'!$E$23:$E$39,'Base Grupo de Produtos'!$F$23:$F$39)</f>
        <v>40</v>
      </c>
      <c r="V1126" s="56">
        <f>_xlfn.XLOOKUP($N1126,'Calculo Leads Conveniencia'!$A$77:$A$104,'Calculo Leads Conveniencia'!I$77:I$104)*_xlfn.XLOOKUP($P1126,'Base Grupo de Produtos'!$E$23:$E$39,'Base Grupo de Produtos'!$F$23:$F$39)</f>
        <v>56</v>
      </c>
      <c r="W1126" s="56">
        <f>_xlfn.XLOOKUP($N1126,'Calculo Leads Conveniencia'!$A$77:$A$104,'Calculo Leads Conveniencia'!J$77:J$104)*_xlfn.XLOOKUP($P1126,'Base Grupo de Produtos'!$E$23:$E$39,'Base Grupo de Produtos'!$F$23:$F$39)</f>
        <v>64</v>
      </c>
      <c r="X1126" s="56">
        <f>_xlfn.XLOOKUP($N1126,'Calculo Leads Conveniencia'!$A$77:$A$104,'Calculo Leads Conveniencia'!K$77:K$104)*_xlfn.XLOOKUP($P1126,'Base Grupo de Produtos'!$E$23:$E$39,'Base Grupo de Produtos'!$F$23:$F$39)</f>
        <v>80</v>
      </c>
      <c r="Y1126" s="56">
        <f>_xlfn.XLOOKUP($N1126,'Calculo Leads Conveniencia'!$A$77:$A$104,'Calculo Leads Conveniencia'!L$77:L$104)*_xlfn.XLOOKUP($P1126,'Base Grupo de Produtos'!$E$23:$E$39,'Base Grupo de Produtos'!$F$23:$F$39)</f>
        <v>88</v>
      </c>
      <c r="Z1126" s="56">
        <f>_xlfn.XLOOKUP($N1126,'Calculo Leads Conveniencia'!$A$77:$A$104,'Calculo Leads Conveniencia'!M$77:M$104)*_xlfn.XLOOKUP($P1126,'Base Grupo de Produtos'!$E$23:$E$39,'Base Grupo de Produtos'!$F$23:$F$39)</f>
        <v>96</v>
      </c>
      <c r="AA1126" s="56">
        <f>_xlfn.XLOOKUP($N1126,'Calculo Leads Conveniencia'!$A$77:$A$104,'Calculo Leads Conveniencia'!N$77:N$104)*_xlfn.XLOOKUP($P1126,'Base Grupo de Produtos'!$E$23:$E$39,'Base Grupo de Produtos'!$F$23:$F$39)</f>
        <v>112</v>
      </c>
      <c r="AB1126" s="56">
        <f>_xlfn.XLOOKUP($N1126,'Calculo Leads Conveniencia'!$A$77:$A$104,'Calculo Leads Conveniencia'!O$77:O$104)*_xlfn.XLOOKUP($P1126,'Base Grupo de Produtos'!$E$23:$E$39,'Base Grupo de Produtos'!$F$23:$F$39)</f>
        <v>120</v>
      </c>
      <c r="AC1126" s="61">
        <f t="shared" si="1045"/>
        <v>688</v>
      </c>
      <c r="AD1126" s="28"/>
      <c r="AE1126" s="12"/>
      <c r="AF1126" s="29"/>
      <c r="AG1126" s="9"/>
      <c r="AH1126" s="10"/>
      <c r="AI1126" s="9"/>
      <c r="AJ1126" s="11"/>
      <c r="AK1126" s="9"/>
      <c r="AL1126" s="13"/>
      <c r="AM1126" s="9"/>
    </row>
    <row r="1127" spans="1:39" x14ac:dyDescent="0.3">
      <c r="A1127" s="2" t="str">
        <f t="shared" si="1059"/>
        <v>NÃO</v>
      </c>
      <c r="B1127" s="2" t="str">
        <f>_xlfn.XLOOKUP($N1127,'Base de Grupos'!$A:$A,'Base de Grupos'!$D:$D)</f>
        <v>1000065763</v>
      </c>
      <c r="C1127" s="5" t="str">
        <f>_xlfn.XLOOKUP($N1127,'Base de Grupos'!$A:$A,'Base de Grupos'!$E:$E)</f>
        <v>CANAL VENDA INTERNA</v>
      </c>
      <c r="D1127" s="5" t="str">
        <f>_xlfn.XLOOKUP($N1127,'Base de Grupos'!$A:$A,'Base de Grupos'!$F:$F)</f>
        <v>1000065763</v>
      </c>
      <c r="E1127" s="2" t="str">
        <f>_xlfn.XLOOKUP($N1127,'Base de Grupos'!$A:$A,'Base de Grupos'!$G:$G)</f>
        <v>CANAL VENDA INTERNA</v>
      </c>
      <c r="F1127" s="2" t="str">
        <f>_xlfn.XLOOKUP($N1127,'Base de Grupos'!$A:$A,'Base de Grupos'!$H:$H)</f>
        <v>1000174119</v>
      </c>
      <c r="G1127" s="5" t="str">
        <f>_xlfn.XLOOKUP($N1127,'Base de Grupos'!$A:$A,'Base de Grupos'!$I:$I)</f>
        <v>REGIONAL VENDA INTERNA - CONVENIENCIA</v>
      </c>
      <c r="H1127" s="5" t="str">
        <f>_xlfn.XLOOKUP($N1127,'Base de Grupos'!$A:$A,'Base de Grupos'!$J:$J)</f>
        <v>1000174119</v>
      </c>
      <c r="I1127" s="2" t="str">
        <f>_xlfn.XLOOKUP($N1127,'Base de Grupos'!$A:$A,'Base de Grupos'!$K:$K)</f>
        <v>REGIONAL VENDA INTERNA - CONVENIENCIA</v>
      </c>
      <c r="J1127" s="2" t="str">
        <f>_xlfn.XLOOKUP($N1127,'Base de Grupos'!$A:$A,'Base de Grupos'!$L:$L)</f>
        <v>1000174119</v>
      </c>
      <c r="K1127" s="5" t="str">
        <f>_xlfn.XLOOKUP($N1127,'Base de Grupos'!$A:$A,'Base de Grupos'!$M:$M)</f>
        <v>REGIONAL VENDA INTERNA - CONVENIENCIA</v>
      </c>
      <c r="L1127" s="5" t="str">
        <f t="shared" si="1060"/>
        <v/>
      </c>
      <c r="M1127" s="5" t="str">
        <f>_xlfn.XLOOKUP($N1127,'Base de Grupos'!$A:$A,'Base de Grupos'!$C:$C)</f>
        <v>RS</v>
      </c>
      <c r="N1127" s="3">
        <v>1528</v>
      </c>
      <c r="O1127" s="4" t="s">
        <v>286</v>
      </c>
      <c r="P1127" s="5" t="s">
        <v>86</v>
      </c>
      <c r="Q1127" s="56">
        <v>0</v>
      </c>
      <c r="R1127" s="56">
        <v>0</v>
      </c>
      <c r="S1127" s="56">
        <v>0</v>
      </c>
      <c r="T1127" s="56">
        <f>_xlfn.XLOOKUP($N1127,'Calculo Leads Conveniencia'!$A$77:$A$104,'Calculo Leads Conveniencia'!G$77:G$104)*_xlfn.XLOOKUP($P1127,'Base Grupo de Produtos'!$E$23:$E$39,'Base Grupo de Produtos'!$F$23:$F$39)</f>
        <v>192</v>
      </c>
      <c r="U1127" s="56">
        <f>_xlfn.XLOOKUP($N1127,'Calculo Leads Conveniencia'!$A$77:$A$104,'Calculo Leads Conveniencia'!H$77:H$104)*_xlfn.XLOOKUP($P1127,'Base Grupo de Produtos'!$E$23:$E$39,'Base Grupo de Produtos'!$F$23:$F$39)</f>
        <v>240</v>
      </c>
      <c r="V1127" s="56">
        <f>_xlfn.XLOOKUP($N1127,'Calculo Leads Conveniencia'!$A$77:$A$104,'Calculo Leads Conveniencia'!I$77:I$104)*_xlfn.XLOOKUP($P1127,'Base Grupo de Produtos'!$E$23:$E$39,'Base Grupo de Produtos'!$F$23:$F$39)</f>
        <v>336</v>
      </c>
      <c r="W1127" s="56">
        <f>_xlfn.XLOOKUP($N1127,'Calculo Leads Conveniencia'!$A$77:$A$104,'Calculo Leads Conveniencia'!J$77:J$104)*_xlfn.XLOOKUP($P1127,'Base Grupo de Produtos'!$E$23:$E$39,'Base Grupo de Produtos'!$F$23:$F$39)</f>
        <v>384</v>
      </c>
      <c r="X1127" s="56">
        <f>_xlfn.XLOOKUP($N1127,'Calculo Leads Conveniencia'!$A$77:$A$104,'Calculo Leads Conveniencia'!K$77:K$104)*_xlfn.XLOOKUP($P1127,'Base Grupo de Produtos'!$E$23:$E$39,'Base Grupo de Produtos'!$F$23:$F$39)</f>
        <v>480</v>
      </c>
      <c r="Y1127" s="56">
        <f>_xlfn.XLOOKUP($N1127,'Calculo Leads Conveniencia'!$A$77:$A$104,'Calculo Leads Conveniencia'!L$77:L$104)*_xlfn.XLOOKUP($P1127,'Base Grupo de Produtos'!$E$23:$E$39,'Base Grupo de Produtos'!$F$23:$F$39)</f>
        <v>528</v>
      </c>
      <c r="Z1127" s="56">
        <f>_xlfn.XLOOKUP($N1127,'Calculo Leads Conveniencia'!$A$77:$A$104,'Calculo Leads Conveniencia'!M$77:M$104)*_xlfn.XLOOKUP($P1127,'Base Grupo de Produtos'!$E$23:$E$39,'Base Grupo de Produtos'!$F$23:$F$39)</f>
        <v>576</v>
      </c>
      <c r="AA1127" s="56">
        <f>_xlfn.XLOOKUP($N1127,'Calculo Leads Conveniencia'!$A$77:$A$104,'Calculo Leads Conveniencia'!N$77:N$104)*_xlfn.XLOOKUP($P1127,'Base Grupo de Produtos'!$E$23:$E$39,'Base Grupo de Produtos'!$F$23:$F$39)</f>
        <v>672</v>
      </c>
      <c r="AB1127" s="56">
        <f>_xlfn.XLOOKUP($N1127,'Calculo Leads Conveniencia'!$A$77:$A$104,'Calculo Leads Conveniencia'!O$77:O$104)*_xlfn.XLOOKUP($P1127,'Base Grupo de Produtos'!$E$23:$E$39,'Base Grupo de Produtos'!$F$23:$F$39)</f>
        <v>720</v>
      </c>
      <c r="AC1127" s="61">
        <f t="shared" si="1045"/>
        <v>4128</v>
      </c>
      <c r="AD1127" s="28"/>
      <c r="AE1127" s="12"/>
      <c r="AF1127" s="29"/>
      <c r="AG1127" s="9"/>
      <c r="AH1127" s="10"/>
      <c r="AI1127" s="9"/>
      <c r="AJ1127" s="11"/>
      <c r="AK1127" s="9"/>
      <c r="AL1127" s="13"/>
      <c r="AM1127" s="9"/>
    </row>
    <row r="1128" spans="1:39" x14ac:dyDescent="0.3">
      <c r="A1128" s="2" t="str">
        <f t="shared" si="1059"/>
        <v>NÃO</v>
      </c>
      <c r="B1128" s="2" t="str">
        <f>_xlfn.XLOOKUP($N1128,'Base de Grupos'!$A:$A,'Base de Grupos'!$D:$D)</f>
        <v>1000065763</v>
      </c>
      <c r="C1128" s="5" t="str">
        <f>_xlfn.XLOOKUP($N1128,'Base de Grupos'!$A:$A,'Base de Grupos'!$E:$E)</f>
        <v>CANAL VENDA INTERNA</v>
      </c>
      <c r="D1128" s="5" t="str">
        <f>_xlfn.XLOOKUP($N1128,'Base de Grupos'!$A:$A,'Base de Grupos'!$F:$F)</f>
        <v>1000065763</v>
      </c>
      <c r="E1128" s="2" t="str">
        <f>_xlfn.XLOOKUP($N1128,'Base de Grupos'!$A:$A,'Base de Grupos'!$G:$G)</f>
        <v>CANAL VENDA INTERNA</v>
      </c>
      <c r="F1128" s="2" t="str">
        <f>_xlfn.XLOOKUP($N1128,'Base de Grupos'!$A:$A,'Base de Grupos'!$H:$H)</f>
        <v>1000174119</v>
      </c>
      <c r="G1128" s="5" t="str">
        <f>_xlfn.XLOOKUP($N1128,'Base de Grupos'!$A:$A,'Base de Grupos'!$I:$I)</f>
        <v>REGIONAL VENDA INTERNA - CONVENIENCIA</v>
      </c>
      <c r="H1128" s="5" t="str">
        <f>_xlfn.XLOOKUP($N1128,'Base de Grupos'!$A:$A,'Base de Grupos'!$J:$J)</f>
        <v>1000174119</v>
      </c>
      <c r="I1128" s="2" t="str">
        <f>_xlfn.XLOOKUP($N1128,'Base de Grupos'!$A:$A,'Base de Grupos'!$K:$K)</f>
        <v>REGIONAL VENDA INTERNA - CONVENIENCIA</v>
      </c>
      <c r="J1128" s="2" t="str">
        <f>_xlfn.XLOOKUP($N1128,'Base de Grupos'!$A:$A,'Base de Grupos'!$L:$L)</f>
        <v>1000174119</v>
      </c>
      <c r="K1128" s="5" t="str">
        <f>_xlfn.XLOOKUP($N1128,'Base de Grupos'!$A:$A,'Base de Grupos'!$M:$M)</f>
        <v>REGIONAL VENDA INTERNA - CONVENIENCIA</v>
      </c>
      <c r="L1128" s="5" t="str">
        <f t="shared" si="1060"/>
        <v/>
      </c>
      <c r="M1128" s="5" t="str">
        <f>_xlfn.XLOOKUP($N1128,'Base de Grupos'!$A:$A,'Base de Grupos'!$C:$C)</f>
        <v>RS</v>
      </c>
      <c r="N1128" s="3">
        <v>1528</v>
      </c>
      <c r="O1128" s="4" t="s">
        <v>286</v>
      </c>
      <c r="P1128" s="5" t="s">
        <v>108</v>
      </c>
      <c r="Q1128" s="56">
        <v>0</v>
      </c>
      <c r="R1128" s="56">
        <v>0</v>
      </c>
      <c r="S1128" s="56">
        <v>0</v>
      </c>
      <c r="T1128" s="56">
        <f>_xlfn.XLOOKUP($N1128,'Calculo Leads Conveniencia'!$A$77:$A$104,'Calculo Leads Conveniencia'!G$77:G$104)*_xlfn.XLOOKUP($P1128,'Base Grupo de Produtos'!$E$23:$E$39,'Base Grupo de Produtos'!$F$23:$F$39)</f>
        <v>0</v>
      </c>
      <c r="U1128" s="56">
        <f>_xlfn.XLOOKUP($N1128,'Calculo Leads Conveniencia'!$A$77:$A$104,'Calculo Leads Conveniencia'!H$77:H$104)*_xlfn.XLOOKUP($P1128,'Base Grupo de Produtos'!$E$23:$E$39,'Base Grupo de Produtos'!$F$23:$F$39)</f>
        <v>0</v>
      </c>
      <c r="V1128" s="56">
        <f>_xlfn.XLOOKUP($N1128,'Calculo Leads Conveniencia'!$A$77:$A$104,'Calculo Leads Conveniencia'!I$77:I$104)*_xlfn.XLOOKUP($P1128,'Base Grupo de Produtos'!$E$23:$E$39,'Base Grupo de Produtos'!$F$23:$F$39)</f>
        <v>0</v>
      </c>
      <c r="W1128" s="56">
        <f>_xlfn.XLOOKUP($N1128,'Calculo Leads Conveniencia'!$A$77:$A$104,'Calculo Leads Conveniencia'!J$77:J$104)*_xlfn.XLOOKUP($P1128,'Base Grupo de Produtos'!$E$23:$E$39,'Base Grupo de Produtos'!$F$23:$F$39)</f>
        <v>0</v>
      </c>
      <c r="X1128" s="56">
        <f>_xlfn.XLOOKUP($N1128,'Calculo Leads Conveniencia'!$A$77:$A$104,'Calculo Leads Conveniencia'!K$77:K$104)*_xlfn.XLOOKUP($P1128,'Base Grupo de Produtos'!$E$23:$E$39,'Base Grupo de Produtos'!$F$23:$F$39)</f>
        <v>0</v>
      </c>
      <c r="Y1128" s="56">
        <f>_xlfn.XLOOKUP($N1128,'Calculo Leads Conveniencia'!$A$77:$A$104,'Calculo Leads Conveniencia'!L$77:L$104)*_xlfn.XLOOKUP($P1128,'Base Grupo de Produtos'!$E$23:$E$39,'Base Grupo de Produtos'!$F$23:$F$39)</f>
        <v>0</v>
      </c>
      <c r="Z1128" s="56">
        <f>_xlfn.XLOOKUP($N1128,'Calculo Leads Conveniencia'!$A$77:$A$104,'Calculo Leads Conveniencia'!M$77:M$104)*_xlfn.XLOOKUP($P1128,'Base Grupo de Produtos'!$E$23:$E$39,'Base Grupo de Produtos'!$F$23:$F$39)</f>
        <v>0</v>
      </c>
      <c r="AA1128" s="56">
        <f>_xlfn.XLOOKUP($N1128,'Calculo Leads Conveniencia'!$A$77:$A$104,'Calculo Leads Conveniencia'!N$77:N$104)*_xlfn.XLOOKUP($P1128,'Base Grupo de Produtos'!$E$23:$E$39,'Base Grupo de Produtos'!$F$23:$F$39)</f>
        <v>0</v>
      </c>
      <c r="AB1128" s="56">
        <f>_xlfn.XLOOKUP($N1128,'Calculo Leads Conveniencia'!$A$77:$A$104,'Calculo Leads Conveniencia'!O$77:O$104)*_xlfn.XLOOKUP($P1128,'Base Grupo de Produtos'!$E$23:$E$39,'Base Grupo de Produtos'!$F$23:$F$39)</f>
        <v>0</v>
      </c>
      <c r="AC1128" s="61">
        <f t="shared" si="1045"/>
        <v>0</v>
      </c>
      <c r="AD1128" s="28"/>
      <c r="AE1128" s="12"/>
      <c r="AF1128" s="29"/>
      <c r="AG1128" s="9"/>
      <c r="AH1128" s="10"/>
      <c r="AI1128" s="9"/>
      <c r="AJ1128" s="11"/>
      <c r="AK1128" s="9"/>
      <c r="AL1128" s="13"/>
      <c r="AM1128" s="9"/>
    </row>
    <row r="1129" spans="1:39" x14ac:dyDescent="0.3">
      <c r="A1129" s="2" t="str">
        <f t="shared" si="1059"/>
        <v>NÃO</v>
      </c>
      <c r="B1129" s="2" t="str">
        <f>_xlfn.XLOOKUP($N1129,'Base de Grupos'!$A:$A,'Base de Grupos'!$D:$D)</f>
        <v>1000065763</v>
      </c>
      <c r="C1129" s="5" t="str">
        <f>_xlfn.XLOOKUP($N1129,'Base de Grupos'!$A:$A,'Base de Grupos'!$E:$E)</f>
        <v>CANAL VENDA INTERNA</v>
      </c>
      <c r="D1129" s="5" t="str">
        <f>_xlfn.XLOOKUP($N1129,'Base de Grupos'!$A:$A,'Base de Grupos'!$F:$F)</f>
        <v>1000065763</v>
      </c>
      <c r="E1129" s="2" t="str">
        <f>_xlfn.XLOOKUP($N1129,'Base de Grupos'!$A:$A,'Base de Grupos'!$G:$G)</f>
        <v>CANAL VENDA INTERNA</v>
      </c>
      <c r="F1129" s="2" t="str">
        <f>_xlfn.XLOOKUP($N1129,'Base de Grupos'!$A:$A,'Base de Grupos'!$H:$H)</f>
        <v>1000174119</v>
      </c>
      <c r="G1129" s="5" t="str">
        <f>_xlfn.XLOOKUP($N1129,'Base de Grupos'!$A:$A,'Base de Grupos'!$I:$I)</f>
        <v>REGIONAL VENDA INTERNA - CONVENIENCIA</v>
      </c>
      <c r="H1129" s="5" t="str">
        <f>_xlfn.XLOOKUP($N1129,'Base de Grupos'!$A:$A,'Base de Grupos'!$J:$J)</f>
        <v>1000174119</v>
      </c>
      <c r="I1129" s="2" t="str">
        <f>_xlfn.XLOOKUP($N1129,'Base de Grupos'!$A:$A,'Base de Grupos'!$K:$K)</f>
        <v>REGIONAL VENDA INTERNA - CONVENIENCIA</v>
      </c>
      <c r="J1129" s="2" t="str">
        <f>_xlfn.XLOOKUP($N1129,'Base de Grupos'!$A:$A,'Base de Grupos'!$L:$L)</f>
        <v>1000174119</v>
      </c>
      <c r="K1129" s="5" t="str">
        <f>_xlfn.XLOOKUP($N1129,'Base de Grupos'!$A:$A,'Base de Grupos'!$M:$M)</f>
        <v>REGIONAL VENDA INTERNA - CONVENIENCIA</v>
      </c>
      <c r="L1129" s="5" t="str">
        <f t="shared" si="1060"/>
        <v/>
      </c>
      <c r="M1129" s="5" t="str">
        <f>_xlfn.XLOOKUP($N1129,'Base de Grupos'!$A:$A,'Base de Grupos'!$C:$C)</f>
        <v>RS</v>
      </c>
      <c r="N1129" s="3">
        <v>1528</v>
      </c>
      <c r="O1129" s="4" t="s">
        <v>286</v>
      </c>
      <c r="P1129" s="5" t="s">
        <v>89</v>
      </c>
      <c r="Q1129" s="56">
        <v>0</v>
      </c>
      <c r="R1129" s="56">
        <v>0</v>
      </c>
      <c r="S1129" s="56">
        <v>0</v>
      </c>
      <c r="T1129" s="56">
        <f>_xlfn.XLOOKUP($N1129,'Calculo Leads Conveniencia'!$A$77:$A$104,'Calculo Leads Conveniencia'!G$77:G$104)*_xlfn.XLOOKUP($P1129,'Base Grupo de Produtos'!$E$23:$E$39,'Base Grupo de Produtos'!$F$23:$F$39)</f>
        <v>320</v>
      </c>
      <c r="U1129" s="56">
        <f>_xlfn.XLOOKUP($N1129,'Calculo Leads Conveniencia'!$A$77:$A$104,'Calculo Leads Conveniencia'!H$77:H$104)*_xlfn.XLOOKUP($P1129,'Base Grupo de Produtos'!$E$23:$E$39,'Base Grupo de Produtos'!$F$23:$F$39)</f>
        <v>400</v>
      </c>
      <c r="V1129" s="56">
        <f>_xlfn.XLOOKUP($N1129,'Calculo Leads Conveniencia'!$A$77:$A$104,'Calculo Leads Conveniencia'!I$77:I$104)*_xlfn.XLOOKUP($P1129,'Base Grupo de Produtos'!$E$23:$E$39,'Base Grupo de Produtos'!$F$23:$F$39)</f>
        <v>560</v>
      </c>
      <c r="W1129" s="56">
        <f>_xlfn.XLOOKUP($N1129,'Calculo Leads Conveniencia'!$A$77:$A$104,'Calculo Leads Conveniencia'!J$77:J$104)*_xlfn.XLOOKUP($P1129,'Base Grupo de Produtos'!$E$23:$E$39,'Base Grupo de Produtos'!$F$23:$F$39)</f>
        <v>640</v>
      </c>
      <c r="X1129" s="56">
        <f>_xlfn.XLOOKUP($N1129,'Calculo Leads Conveniencia'!$A$77:$A$104,'Calculo Leads Conveniencia'!K$77:K$104)*_xlfn.XLOOKUP($P1129,'Base Grupo de Produtos'!$E$23:$E$39,'Base Grupo de Produtos'!$F$23:$F$39)</f>
        <v>800</v>
      </c>
      <c r="Y1129" s="56">
        <f>_xlfn.XLOOKUP($N1129,'Calculo Leads Conveniencia'!$A$77:$A$104,'Calculo Leads Conveniencia'!L$77:L$104)*_xlfn.XLOOKUP($P1129,'Base Grupo de Produtos'!$E$23:$E$39,'Base Grupo de Produtos'!$F$23:$F$39)</f>
        <v>880</v>
      </c>
      <c r="Z1129" s="56">
        <f>_xlfn.XLOOKUP($N1129,'Calculo Leads Conveniencia'!$A$77:$A$104,'Calculo Leads Conveniencia'!M$77:M$104)*_xlfn.XLOOKUP($P1129,'Base Grupo de Produtos'!$E$23:$E$39,'Base Grupo de Produtos'!$F$23:$F$39)</f>
        <v>960</v>
      </c>
      <c r="AA1129" s="56">
        <f>_xlfn.XLOOKUP($N1129,'Calculo Leads Conveniencia'!$A$77:$A$104,'Calculo Leads Conveniencia'!N$77:N$104)*_xlfn.XLOOKUP($P1129,'Base Grupo de Produtos'!$E$23:$E$39,'Base Grupo de Produtos'!$F$23:$F$39)</f>
        <v>1120</v>
      </c>
      <c r="AB1129" s="56">
        <f>_xlfn.XLOOKUP($N1129,'Calculo Leads Conveniencia'!$A$77:$A$104,'Calculo Leads Conveniencia'!O$77:O$104)*_xlfn.XLOOKUP($P1129,'Base Grupo de Produtos'!$E$23:$E$39,'Base Grupo de Produtos'!$F$23:$F$39)</f>
        <v>1200</v>
      </c>
      <c r="AC1129" s="61">
        <f t="shared" si="1045"/>
        <v>6880</v>
      </c>
      <c r="AD1129" s="28"/>
      <c r="AE1129" s="12"/>
      <c r="AF1129" s="29"/>
      <c r="AG1129" s="9"/>
      <c r="AH1129" s="10"/>
      <c r="AI1129" s="9"/>
      <c r="AJ1129" s="11"/>
      <c r="AK1129" s="9"/>
      <c r="AL1129" s="13"/>
      <c r="AM1129" s="9"/>
    </row>
    <row r="1130" spans="1:39" x14ac:dyDescent="0.3">
      <c r="A1130" s="2" t="str">
        <f t="shared" si="1059"/>
        <v>NÃO</v>
      </c>
      <c r="B1130" s="2" t="str">
        <f>_xlfn.XLOOKUP($N1130,'Base de Grupos'!$A:$A,'Base de Grupos'!$D:$D)</f>
        <v>1000065763</v>
      </c>
      <c r="C1130" s="5" t="str">
        <f>_xlfn.XLOOKUP($N1130,'Base de Grupos'!$A:$A,'Base de Grupos'!$E:$E)</f>
        <v>CANAL VENDA INTERNA</v>
      </c>
      <c r="D1130" s="5" t="str">
        <f>_xlfn.XLOOKUP($N1130,'Base de Grupos'!$A:$A,'Base de Grupos'!$F:$F)</f>
        <v>1000065763</v>
      </c>
      <c r="E1130" s="2" t="str">
        <f>_xlfn.XLOOKUP($N1130,'Base de Grupos'!$A:$A,'Base de Grupos'!$G:$G)</f>
        <v>CANAL VENDA INTERNA</v>
      </c>
      <c r="F1130" s="2" t="str">
        <f>_xlfn.XLOOKUP($N1130,'Base de Grupos'!$A:$A,'Base de Grupos'!$H:$H)</f>
        <v>1000174119</v>
      </c>
      <c r="G1130" s="5" t="str">
        <f>_xlfn.XLOOKUP($N1130,'Base de Grupos'!$A:$A,'Base de Grupos'!$I:$I)</f>
        <v>REGIONAL VENDA INTERNA - CONVENIENCIA</v>
      </c>
      <c r="H1130" s="5" t="str">
        <f>_xlfn.XLOOKUP($N1130,'Base de Grupos'!$A:$A,'Base de Grupos'!$J:$J)</f>
        <v>1000174119</v>
      </c>
      <c r="I1130" s="2" t="str">
        <f>_xlfn.XLOOKUP($N1130,'Base de Grupos'!$A:$A,'Base de Grupos'!$K:$K)</f>
        <v>REGIONAL VENDA INTERNA - CONVENIENCIA</v>
      </c>
      <c r="J1130" s="2" t="str">
        <f>_xlfn.XLOOKUP($N1130,'Base de Grupos'!$A:$A,'Base de Grupos'!$L:$L)</f>
        <v>1000174119</v>
      </c>
      <c r="K1130" s="5" t="str">
        <f>_xlfn.XLOOKUP($N1130,'Base de Grupos'!$A:$A,'Base de Grupos'!$M:$M)</f>
        <v>REGIONAL VENDA INTERNA - CONVENIENCIA</v>
      </c>
      <c r="L1130" s="5" t="str">
        <f t="shared" si="1060"/>
        <v/>
      </c>
      <c r="M1130" s="5" t="str">
        <f>_xlfn.XLOOKUP($N1130,'Base de Grupos'!$A:$A,'Base de Grupos'!$C:$C)</f>
        <v>RS</v>
      </c>
      <c r="N1130" s="3">
        <v>1528</v>
      </c>
      <c r="O1130" s="4" t="s">
        <v>286</v>
      </c>
      <c r="P1130" s="5" t="s">
        <v>88</v>
      </c>
      <c r="Q1130" s="56">
        <v>0</v>
      </c>
      <c r="R1130" s="56">
        <v>0</v>
      </c>
      <c r="S1130" s="56">
        <v>0</v>
      </c>
      <c r="T1130" s="56">
        <f>_xlfn.XLOOKUP($N1130,'Calculo Leads Conveniencia'!$A$77:$A$104,'Calculo Leads Conveniencia'!G$77:G$104)*_xlfn.XLOOKUP($P1130,'Base Grupo de Produtos'!$E$23:$E$39,'Base Grupo de Produtos'!$F$23:$F$39)</f>
        <v>32</v>
      </c>
      <c r="U1130" s="56">
        <f>_xlfn.XLOOKUP($N1130,'Calculo Leads Conveniencia'!$A$77:$A$104,'Calculo Leads Conveniencia'!H$77:H$104)*_xlfn.XLOOKUP($P1130,'Base Grupo de Produtos'!$E$23:$E$39,'Base Grupo de Produtos'!$F$23:$F$39)</f>
        <v>40</v>
      </c>
      <c r="V1130" s="56">
        <f>_xlfn.XLOOKUP($N1130,'Calculo Leads Conveniencia'!$A$77:$A$104,'Calculo Leads Conveniencia'!I$77:I$104)*_xlfn.XLOOKUP($P1130,'Base Grupo de Produtos'!$E$23:$E$39,'Base Grupo de Produtos'!$F$23:$F$39)</f>
        <v>56</v>
      </c>
      <c r="W1130" s="56">
        <f>_xlfn.XLOOKUP($N1130,'Calculo Leads Conveniencia'!$A$77:$A$104,'Calculo Leads Conveniencia'!J$77:J$104)*_xlfn.XLOOKUP($P1130,'Base Grupo de Produtos'!$E$23:$E$39,'Base Grupo de Produtos'!$F$23:$F$39)</f>
        <v>64</v>
      </c>
      <c r="X1130" s="56">
        <f>_xlfn.XLOOKUP($N1130,'Calculo Leads Conveniencia'!$A$77:$A$104,'Calculo Leads Conveniencia'!K$77:K$104)*_xlfn.XLOOKUP($P1130,'Base Grupo de Produtos'!$E$23:$E$39,'Base Grupo de Produtos'!$F$23:$F$39)</f>
        <v>80</v>
      </c>
      <c r="Y1130" s="56">
        <f>_xlfn.XLOOKUP($N1130,'Calculo Leads Conveniencia'!$A$77:$A$104,'Calculo Leads Conveniencia'!L$77:L$104)*_xlfn.XLOOKUP($P1130,'Base Grupo de Produtos'!$E$23:$E$39,'Base Grupo de Produtos'!$F$23:$F$39)</f>
        <v>88</v>
      </c>
      <c r="Z1130" s="56">
        <f>_xlfn.XLOOKUP($N1130,'Calculo Leads Conveniencia'!$A$77:$A$104,'Calculo Leads Conveniencia'!M$77:M$104)*_xlfn.XLOOKUP($P1130,'Base Grupo de Produtos'!$E$23:$E$39,'Base Grupo de Produtos'!$F$23:$F$39)</f>
        <v>96</v>
      </c>
      <c r="AA1130" s="56">
        <f>_xlfn.XLOOKUP($N1130,'Calculo Leads Conveniencia'!$A$77:$A$104,'Calculo Leads Conveniencia'!N$77:N$104)*_xlfn.XLOOKUP($P1130,'Base Grupo de Produtos'!$E$23:$E$39,'Base Grupo de Produtos'!$F$23:$F$39)</f>
        <v>112</v>
      </c>
      <c r="AB1130" s="56">
        <f>_xlfn.XLOOKUP($N1130,'Calculo Leads Conveniencia'!$A$77:$A$104,'Calculo Leads Conveniencia'!O$77:O$104)*_xlfn.XLOOKUP($P1130,'Base Grupo de Produtos'!$E$23:$E$39,'Base Grupo de Produtos'!$F$23:$F$39)</f>
        <v>120</v>
      </c>
      <c r="AC1130" s="61">
        <f t="shared" si="1045"/>
        <v>688</v>
      </c>
      <c r="AD1130" s="28"/>
      <c r="AE1130" s="12"/>
      <c r="AF1130" s="29"/>
      <c r="AG1130" s="9"/>
      <c r="AH1130" s="10"/>
      <c r="AI1130" s="9"/>
      <c r="AJ1130" s="11"/>
      <c r="AK1130" s="9"/>
      <c r="AL1130" s="13"/>
      <c r="AM1130" s="9"/>
    </row>
    <row r="1131" spans="1:39" x14ac:dyDescent="0.3">
      <c r="A1131" s="2" t="str">
        <f t="shared" si="1059"/>
        <v>NÃO</v>
      </c>
      <c r="B1131" s="2" t="str">
        <f>_xlfn.XLOOKUP($N1131,'Base de Grupos'!$A:$A,'Base de Grupos'!$D:$D)</f>
        <v>1000065763</v>
      </c>
      <c r="C1131" s="5" t="str">
        <f>_xlfn.XLOOKUP($N1131,'Base de Grupos'!$A:$A,'Base de Grupos'!$E:$E)</f>
        <v>CANAL VENDA INTERNA</v>
      </c>
      <c r="D1131" s="5" t="str">
        <f>_xlfn.XLOOKUP($N1131,'Base de Grupos'!$A:$A,'Base de Grupos'!$F:$F)</f>
        <v>1000065763</v>
      </c>
      <c r="E1131" s="2" t="str">
        <f>_xlfn.XLOOKUP($N1131,'Base de Grupos'!$A:$A,'Base de Grupos'!$G:$G)</f>
        <v>CANAL VENDA INTERNA</v>
      </c>
      <c r="F1131" s="2" t="str">
        <f>_xlfn.XLOOKUP($N1131,'Base de Grupos'!$A:$A,'Base de Grupos'!$H:$H)</f>
        <v>1000174119</v>
      </c>
      <c r="G1131" s="5" t="str">
        <f>_xlfn.XLOOKUP($N1131,'Base de Grupos'!$A:$A,'Base de Grupos'!$I:$I)</f>
        <v>REGIONAL VENDA INTERNA - CONVENIENCIA</v>
      </c>
      <c r="H1131" s="5" t="str">
        <f>_xlfn.XLOOKUP($N1131,'Base de Grupos'!$A:$A,'Base de Grupos'!$J:$J)</f>
        <v>1000174119</v>
      </c>
      <c r="I1131" s="2" t="str">
        <f>_xlfn.XLOOKUP($N1131,'Base de Grupos'!$A:$A,'Base de Grupos'!$K:$K)</f>
        <v>REGIONAL VENDA INTERNA - CONVENIENCIA</v>
      </c>
      <c r="J1131" s="2" t="str">
        <f>_xlfn.XLOOKUP($N1131,'Base de Grupos'!$A:$A,'Base de Grupos'!$L:$L)</f>
        <v>1000174119</v>
      </c>
      <c r="K1131" s="5" t="str">
        <f>_xlfn.XLOOKUP($N1131,'Base de Grupos'!$A:$A,'Base de Grupos'!$M:$M)</f>
        <v>REGIONAL VENDA INTERNA - CONVENIENCIA</v>
      </c>
      <c r="L1131" s="5" t="str">
        <f t="shared" si="1060"/>
        <v/>
      </c>
      <c r="M1131" s="5" t="str">
        <f>_xlfn.XLOOKUP($N1131,'Base de Grupos'!$A:$A,'Base de Grupos'!$C:$C)</f>
        <v>RS</v>
      </c>
      <c r="N1131" s="3">
        <v>1528</v>
      </c>
      <c r="O1131" s="4" t="s">
        <v>286</v>
      </c>
      <c r="P1131" s="5" t="s">
        <v>90</v>
      </c>
      <c r="Q1131" s="56">
        <v>0</v>
      </c>
      <c r="R1131" s="56">
        <v>0</v>
      </c>
      <c r="S1131" s="56">
        <v>0</v>
      </c>
      <c r="T1131" s="56">
        <f>_xlfn.XLOOKUP($N1131,'Calculo Leads Conveniencia'!$A$77:$A$104,'Calculo Leads Conveniencia'!G$77:G$104)*_xlfn.XLOOKUP($P1131,'Base Grupo de Produtos'!$E$23:$E$39,'Base Grupo de Produtos'!$F$23:$F$39)</f>
        <v>32</v>
      </c>
      <c r="U1131" s="56">
        <f>_xlfn.XLOOKUP($N1131,'Calculo Leads Conveniencia'!$A$77:$A$104,'Calculo Leads Conveniencia'!H$77:H$104)*_xlfn.XLOOKUP($P1131,'Base Grupo de Produtos'!$E$23:$E$39,'Base Grupo de Produtos'!$F$23:$F$39)</f>
        <v>40</v>
      </c>
      <c r="V1131" s="56">
        <f>_xlfn.XLOOKUP($N1131,'Calculo Leads Conveniencia'!$A$77:$A$104,'Calculo Leads Conveniencia'!I$77:I$104)*_xlfn.XLOOKUP($P1131,'Base Grupo de Produtos'!$E$23:$E$39,'Base Grupo de Produtos'!$F$23:$F$39)</f>
        <v>56</v>
      </c>
      <c r="W1131" s="56">
        <f>_xlfn.XLOOKUP($N1131,'Calculo Leads Conveniencia'!$A$77:$A$104,'Calculo Leads Conveniencia'!J$77:J$104)*_xlfn.XLOOKUP($P1131,'Base Grupo de Produtos'!$E$23:$E$39,'Base Grupo de Produtos'!$F$23:$F$39)</f>
        <v>64</v>
      </c>
      <c r="X1131" s="56">
        <f>_xlfn.XLOOKUP($N1131,'Calculo Leads Conveniencia'!$A$77:$A$104,'Calculo Leads Conveniencia'!K$77:K$104)*_xlfn.XLOOKUP($P1131,'Base Grupo de Produtos'!$E$23:$E$39,'Base Grupo de Produtos'!$F$23:$F$39)</f>
        <v>80</v>
      </c>
      <c r="Y1131" s="56">
        <f>_xlfn.XLOOKUP($N1131,'Calculo Leads Conveniencia'!$A$77:$A$104,'Calculo Leads Conveniencia'!L$77:L$104)*_xlfn.XLOOKUP($P1131,'Base Grupo de Produtos'!$E$23:$E$39,'Base Grupo de Produtos'!$F$23:$F$39)</f>
        <v>88</v>
      </c>
      <c r="Z1131" s="56">
        <f>_xlfn.XLOOKUP($N1131,'Calculo Leads Conveniencia'!$A$77:$A$104,'Calculo Leads Conveniencia'!M$77:M$104)*_xlfn.XLOOKUP($P1131,'Base Grupo de Produtos'!$E$23:$E$39,'Base Grupo de Produtos'!$F$23:$F$39)</f>
        <v>96</v>
      </c>
      <c r="AA1131" s="56">
        <f>_xlfn.XLOOKUP($N1131,'Calculo Leads Conveniencia'!$A$77:$A$104,'Calculo Leads Conveniencia'!N$77:N$104)*_xlfn.XLOOKUP($P1131,'Base Grupo de Produtos'!$E$23:$E$39,'Base Grupo de Produtos'!$F$23:$F$39)</f>
        <v>112</v>
      </c>
      <c r="AB1131" s="56">
        <f>_xlfn.XLOOKUP($N1131,'Calculo Leads Conveniencia'!$A$77:$A$104,'Calculo Leads Conveniencia'!O$77:O$104)*_xlfn.XLOOKUP($P1131,'Base Grupo de Produtos'!$E$23:$E$39,'Base Grupo de Produtos'!$F$23:$F$39)</f>
        <v>120</v>
      </c>
      <c r="AC1131" s="61">
        <f t="shared" si="1045"/>
        <v>688</v>
      </c>
      <c r="AD1131" s="28"/>
      <c r="AE1131" s="12"/>
      <c r="AF1131" s="29"/>
      <c r="AG1131" s="9"/>
      <c r="AH1131" s="10"/>
      <c r="AI1131" s="9"/>
      <c r="AJ1131" s="11"/>
      <c r="AK1131" s="9"/>
      <c r="AL1131" s="13"/>
      <c r="AM1131" s="9"/>
    </row>
    <row r="1132" spans="1:39" x14ac:dyDescent="0.3">
      <c r="A1132" s="2" t="str">
        <f t="shared" si="1059"/>
        <v>NÃO</v>
      </c>
      <c r="B1132" s="2" t="str">
        <f>_xlfn.XLOOKUP($N1132,'Base de Grupos'!$A:$A,'Base de Grupos'!$D:$D)</f>
        <v>1000065763</v>
      </c>
      <c r="C1132" s="5" t="str">
        <f>_xlfn.XLOOKUP($N1132,'Base de Grupos'!$A:$A,'Base de Grupos'!$E:$E)</f>
        <v>CANAL VENDA INTERNA</v>
      </c>
      <c r="D1132" s="5" t="str">
        <f>_xlfn.XLOOKUP($N1132,'Base de Grupos'!$A:$A,'Base de Grupos'!$F:$F)</f>
        <v>1000065763</v>
      </c>
      <c r="E1132" s="2" t="str">
        <f>_xlfn.XLOOKUP($N1132,'Base de Grupos'!$A:$A,'Base de Grupos'!$G:$G)</f>
        <v>CANAL VENDA INTERNA</v>
      </c>
      <c r="F1132" s="2" t="str">
        <f>_xlfn.XLOOKUP($N1132,'Base de Grupos'!$A:$A,'Base de Grupos'!$H:$H)</f>
        <v>1000174119</v>
      </c>
      <c r="G1132" s="5" t="str">
        <f>_xlfn.XLOOKUP($N1132,'Base de Grupos'!$A:$A,'Base de Grupos'!$I:$I)</f>
        <v>REGIONAL VENDA INTERNA - CONVENIENCIA</v>
      </c>
      <c r="H1132" s="5" t="str">
        <f>_xlfn.XLOOKUP($N1132,'Base de Grupos'!$A:$A,'Base de Grupos'!$J:$J)</f>
        <v>1000174119</v>
      </c>
      <c r="I1132" s="2" t="str">
        <f>_xlfn.XLOOKUP($N1132,'Base de Grupos'!$A:$A,'Base de Grupos'!$K:$K)</f>
        <v>REGIONAL VENDA INTERNA - CONVENIENCIA</v>
      </c>
      <c r="J1132" s="2" t="str">
        <f>_xlfn.XLOOKUP($N1132,'Base de Grupos'!$A:$A,'Base de Grupos'!$L:$L)</f>
        <v>1000174119</v>
      </c>
      <c r="K1132" s="5" t="str">
        <f>_xlfn.XLOOKUP($N1132,'Base de Grupos'!$A:$A,'Base de Grupos'!$M:$M)</f>
        <v>REGIONAL VENDA INTERNA - CONVENIENCIA</v>
      </c>
      <c r="L1132" s="5" t="str">
        <f t="shared" si="1060"/>
        <v/>
      </c>
      <c r="M1132" s="5" t="str">
        <f>_xlfn.XLOOKUP($N1132,'Base de Grupos'!$A:$A,'Base de Grupos'!$C:$C)</f>
        <v>RS</v>
      </c>
      <c r="N1132" s="3">
        <v>1528</v>
      </c>
      <c r="O1132" s="4" t="s">
        <v>286</v>
      </c>
      <c r="P1132" s="5" t="s">
        <v>91</v>
      </c>
      <c r="Q1132" s="56">
        <v>0</v>
      </c>
      <c r="R1132" s="56">
        <v>0</v>
      </c>
      <c r="S1132" s="56">
        <v>0</v>
      </c>
      <c r="T1132" s="56">
        <f>_xlfn.XLOOKUP($N1132,'Calculo Leads Conveniencia'!$A$77:$A$104,'Calculo Leads Conveniencia'!G$77:G$104)*_xlfn.XLOOKUP($P1132,'Base Grupo de Produtos'!$E$23:$E$39,'Base Grupo de Produtos'!$F$23:$F$39)</f>
        <v>0</v>
      </c>
      <c r="U1132" s="56">
        <f>_xlfn.XLOOKUP($N1132,'Calculo Leads Conveniencia'!$A$77:$A$104,'Calculo Leads Conveniencia'!H$77:H$104)*_xlfn.XLOOKUP($P1132,'Base Grupo de Produtos'!$E$23:$E$39,'Base Grupo de Produtos'!$F$23:$F$39)</f>
        <v>0</v>
      </c>
      <c r="V1132" s="56">
        <f>_xlfn.XLOOKUP($N1132,'Calculo Leads Conveniencia'!$A$77:$A$104,'Calculo Leads Conveniencia'!I$77:I$104)*_xlfn.XLOOKUP($P1132,'Base Grupo de Produtos'!$E$23:$E$39,'Base Grupo de Produtos'!$F$23:$F$39)</f>
        <v>0</v>
      </c>
      <c r="W1132" s="56">
        <f>_xlfn.XLOOKUP($N1132,'Calculo Leads Conveniencia'!$A$77:$A$104,'Calculo Leads Conveniencia'!J$77:J$104)*_xlfn.XLOOKUP($P1132,'Base Grupo de Produtos'!$E$23:$E$39,'Base Grupo de Produtos'!$F$23:$F$39)</f>
        <v>0</v>
      </c>
      <c r="X1132" s="56">
        <f>_xlfn.XLOOKUP($N1132,'Calculo Leads Conveniencia'!$A$77:$A$104,'Calculo Leads Conveniencia'!K$77:K$104)*_xlfn.XLOOKUP($P1132,'Base Grupo de Produtos'!$E$23:$E$39,'Base Grupo de Produtos'!$F$23:$F$39)</f>
        <v>0</v>
      </c>
      <c r="Y1132" s="56">
        <f>_xlfn.XLOOKUP($N1132,'Calculo Leads Conveniencia'!$A$77:$A$104,'Calculo Leads Conveniencia'!L$77:L$104)*_xlfn.XLOOKUP($P1132,'Base Grupo de Produtos'!$E$23:$E$39,'Base Grupo de Produtos'!$F$23:$F$39)</f>
        <v>0</v>
      </c>
      <c r="Z1132" s="56">
        <f>_xlfn.XLOOKUP($N1132,'Calculo Leads Conveniencia'!$A$77:$A$104,'Calculo Leads Conveniencia'!M$77:M$104)*_xlfn.XLOOKUP($P1132,'Base Grupo de Produtos'!$E$23:$E$39,'Base Grupo de Produtos'!$F$23:$F$39)</f>
        <v>0</v>
      </c>
      <c r="AA1132" s="56">
        <f>_xlfn.XLOOKUP($N1132,'Calculo Leads Conveniencia'!$A$77:$A$104,'Calculo Leads Conveniencia'!N$77:N$104)*_xlfn.XLOOKUP($P1132,'Base Grupo de Produtos'!$E$23:$E$39,'Base Grupo de Produtos'!$F$23:$F$39)</f>
        <v>0</v>
      </c>
      <c r="AB1132" s="56">
        <f>_xlfn.XLOOKUP($N1132,'Calculo Leads Conveniencia'!$A$77:$A$104,'Calculo Leads Conveniencia'!O$77:O$104)*_xlfn.XLOOKUP($P1132,'Base Grupo de Produtos'!$E$23:$E$39,'Base Grupo de Produtos'!$F$23:$F$39)</f>
        <v>0</v>
      </c>
      <c r="AC1132" s="61">
        <f t="shared" si="1045"/>
        <v>0</v>
      </c>
      <c r="AD1132" s="28"/>
      <c r="AE1132" s="12"/>
      <c r="AF1132" s="29"/>
      <c r="AG1132" s="9"/>
      <c r="AH1132" s="10"/>
      <c r="AI1132" s="9"/>
      <c r="AJ1132" s="11"/>
      <c r="AK1132" s="9"/>
      <c r="AL1132" s="13"/>
      <c r="AM1132" s="9"/>
    </row>
    <row r="1133" spans="1:39" x14ac:dyDescent="0.3">
      <c r="A1133" s="2" t="str">
        <f t="shared" si="1059"/>
        <v>NÃO</v>
      </c>
      <c r="B1133" s="2" t="str">
        <f>_xlfn.XLOOKUP($N1133,'Base de Grupos'!$A:$A,'Base de Grupos'!$D:$D)</f>
        <v>1000065763</v>
      </c>
      <c r="C1133" s="5" t="str">
        <f>_xlfn.XLOOKUP($N1133,'Base de Grupos'!$A:$A,'Base de Grupos'!$E:$E)</f>
        <v>CANAL VENDA INTERNA</v>
      </c>
      <c r="D1133" s="5" t="str">
        <f>_xlfn.XLOOKUP($N1133,'Base de Grupos'!$A:$A,'Base de Grupos'!$F:$F)</f>
        <v>1000065763</v>
      </c>
      <c r="E1133" s="2" t="str">
        <f>_xlfn.XLOOKUP($N1133,'Base de Grupos'!$A:$A,'Base de Grupos'!$G:$G)</f>
        <v>CANAL VENDA INTERNA</v>
      </c>
      <c r="F1133" s="2" t="str">
        <f>_xlfn.XLOOKUP($N1133,'Base de Grupos'!$A:$A,'Base de Grupos'!$H:$H)</f>
        <v>1000174119</v>
      </c>
      <c r="G1133" s="5" t="str">
        <f>_xlfn.XLOOKUP($N1133,'Base de Grupos'!$A:$A,'Base de Grupos'!$I:$I)</f>
        <v>REGIONAL VENDA INTERNA - CONVENIENCIA</v>
      </c>
      <c r="H1133" s="5" t="str">
        <f>_xlfn.XLOOKUP($N1133,'Base de Grupos'!$A:$A,'Base de Grupos'!$J:$J)</f>
        <v>1000174119</v>
      </c>
      <c r="I1133" s="2" t="str">
        <f>_xlfn.XLOOKUP($N1133,'Base de Grupos'!$A:$A,'Base de Grupos'!$K:$K)</f>
        <v>REGIONAL VENDA INTERNA - CONVENIENCIA</v>
      </c>
      <c r="J1133" s="2" t="str">
        <f>_xlfn.XLOOKUP($N1133,'Base de Grupos'!$A:$A,'Base de Grupos'!$L:$L)</f>
        <v>1000174119</v>
      </c>
      <c r="K1133" s="5" t="str">
        <f>_xlfn.XLOOKUP($N1133,'Base de Grupos'!$A:$A,'Base de Grupos'!$M:$M)</f>
        <v>REGIONAL VENDA INTERNA - CONVENIENCIA</v>
      </c>
      <c r="L1133" s="5" t="str">
        <f t="shared" si="1060"/>
        <v/>
      </c>
      <c r="M1133" s="5" t="str">
        <f>_xlfn.XLOOKUP($N1133,'Base de Grupos'!$A:$A,'Base de Grupos'!$C:$C)</f>
        <v>RS</v>
      </c>
      <c r="N1133" s="3">
        <v>1528</v>
      </c>
      <c r="O1133" s="4" t="s">
        <v>286</v>
      </c>
      <c r="P1133" s="5" t="s">
        <v>96</v>
      </c>
      <c r="Q1133" s="56">
        <v>0</v>
      </c>
      <c r="R1133" s="56">
        <v>0</v>
      </c>
      <c r="S1133" s="56">
        <v>0</v>
      </c>
      <c r="T1133" s="56">
        <f>_xlfn.XLOOKUP($N1133,'Calculo Leads Conveniencia'!$A$77:$A$104,'Calculo Leads Conveniencia'!G$77:G$104)*_xlfn.XLOOKUP($P1133,'Base Grupo de Produtos'!$E$23:$E$39,'Base Grupo de Produtos'!$F$23:$F$39)</f>
        <v>32</v>
      </c>
      <c r="U1133" s="56">
        <f>_xlfn.XLOOKUP($N1133,'Calculo Leads Conveniencia'!$A$77:$A$104,'Calculo Leads Conveniencia'!H$77:H$104)*_xlfn.XLOOKUP($P1133,'Base Grupo de Produtos'!$E$23:$E$39,'Base Grupo de Produtos'!$F$23:$F$39)</f>
        <v>40</v>
      </c>
      <c r="V1133" s="56">
        <f>_xlfn.XLOOKUP($N1133,'Calculo Leads Conveniencia'!$A$77:$A$104,'Calculo Leads Conveniencia'!I$77:I$104)*_xlfn.XLOOKUP($P1133,'Base Grupo de Produtos'!$E$23:$E$39,'Base Grupo de Produtos'!$F$23:$F$39)</f>
        <v>56</v>
      </c>
      <c r="W1133" s="56">
        <f>_xlfn.XLOOKUP($N1133,'Calculo Leads Conveniencia'!$A$77:$A$104,'Calculo Leads Conveniencia'!J$77:J$104)*_xlfn.XLOOKUP($P1133,'Base Grupo de Produtos'!$E$23:$E$39,'Base Grupo de Produtos'!$F$23:$F$39)</f>
        <v>64</v>
      </c>
      <c r="X1133" s="56">
        <f>_xlfn.XLOOKUP($N1133,'Calculo Leads Conveniencia'!$A$77:$A$104,'Calculo Leads Conveniencia'!K$77:K$104)*_xlfn.XLOOKUP($P1133,'Base Grupo de Produtos'!$E$23:$E$39,'Base Grupo de Produtos'!$F$23:$F$39)</f>
        <v>80</v>
      </c>
      <c r="Y1133" s="56">
        <f>_xlfn.XLOOKUP($N1133,'Calculo Leads Conveniencia'!$A$77:$A$104,'Calculo Leads Conveniencia'!L$77:L$104)*_xlfn.XLOOKUP($P1133,'Base Grupo de Produtos'!$E$23:$E$39,'Base Grupo de Produtos'!$F$23:$F$39)</f>
        <v>88</v>
      </c>
      <c r="Z1133" s="56">
        <f>_xlfn.XLOOKUP($N1133,'Calculo Leads Conveniencia'!$A$77:$A$104,'Calculo Leads Conveniencia'!M$77:M$104)*_xlfn.XLOOKUP($P1133,'Base Grupo de Produtos'!$E$23:$E$39,'Base Grupo de Produtos'!$F$23:$F$39)</f>
        <v>96</v>
      </c>
      <c r="AA1133" s="56">
        <f>_xlfn.XLOOKUP($N1133,'Calculo Leads Conveniencia'!$A$77:$A$104,'Calculo Leads Conveniencia'!N$77:N$104)*_xlfn.XLOOKUP($P1133,'Base Grupo de Produtos'!$E$23:$E$39,'Base Grupo de Produtos'!$F$23:$F$39)</f>
        <v>112</v>
      </c>
      <c r="AB1133" s="56">
        <f>_xlfn.XLOOKUP($N1133,'Calculo Leads Conveniencia'!$A$77:$A$104,'Calculo Leads Conveniencia'!O$77:O$104)*_xlfn.XLOOKUP($P1133,'Base Grupo de Produtos'!$E$23:$E$39,'Base Grupo de Produtos'!$F$23:$F$39)</f>
        <v>120</v>
      </c>
      <c r="AC1133" s="61">
        <f t="shared" si="1045"/>
        <v>688</v>
      </c>
      <c r="AD1133" s="28"/>
      <c r="AE1133" s="12"/>
      <c r="AF1133" s="29"/>
      <c r="AG1133" s="9"/>
      <c r="AH1133" s="10"/>
      <c r="AI1133" s="9"/>
      <c r="AJ1133" s="11"/>
      <c r="AK1133" s="9"/>
      <c r="AL1133" s="13"/>
      <c r="AM1133" s="9"/>
    </row>
    <row r="1134" spans="1:39" x14ac:dyDescent="0.3">
      <c r="A1134" s="2" t="str">
        <f t="shared" si="1059"/>
        <v>NÃO</v>
      </c>
      <c r="B1134" s="2" t="str">
        <f>_xlfn.XLOOKUP($N1134,'Base de Grupos'!$A:$A,'Base de Grupos'!$D:$D)</f>
        <v>1000065763</v>
      </c>
      <c r="C1134" s="5" t="str">
        <f>_xlfn.XLOOKUP($N1134,'Base de Grupos'!$A:$A,'Base de Grupos'!$E:$E)</f>
        <v>CANAL VENDA INTERNA</v>
      </c>
      <c r="D1134" s="5" t="str">
        <f>_xlfn.XLOOKUP($N1134,'Base de Grupos'!$A:$A,'Base de Grupos'!$F:$F)</f>
        <v>1000065763</v>
      </c>
      <c r="E1134" s="2" t="str">
        <f>_xlfn.XLOOKUP($N1134,'Base de Grupos'!$A:$A,'Base de Grupos'!$G:$G)</f>
        <v>CANAL VENDA INTERNA</v>
      </c>
      <c r="F1134" s="2" t="str">
        <f>_xlfn.XLOOKUP($N1134,'Base de Grupos'!$A:$A,'Base de Grupos'!$H:$H)</f>
        <v>1000174119</v>
      </c>
      <c r="G1134" s="5" t="str">
        <f>_xlfn.XLOOKUP($N1134,'Base de Grupos'!$A:$A,'Base de Grupos'!$I:$I)</f>
        <v>REGIONAL VENDA INTERNA - CONVENIENCIA</v>
      </c>
      <c r="H1134" s="5" t="str">
        <f>_xlfn.XLOOKUP($N1134,'Base de Grupos'!$A:$A,'Base de Grupos'!$J:$J)</f>
        <v>1000174119</v>
      </c>
      <c r="I1134" s="2" t="str">
        <f>_xlfn.XLOOKUP($N1134,'Base de Grupos'!$A:$A,'Base de Grupos'!$K:$K)</f>
        <v>REGIONAL VENDA INTERNA - CONVENIENCIA</v>
      </c>
      <c r="J1134" s="2" t="str">
        <f>_xlfn.XLOOKUP($N1134,'Base de Grupos'!$A:$A,'Base de Grupos'!$L:$L)</f>
        <v>1000174119</v>
      </c>
      <c r="K1134" s="5" t="str">
        <f>_xlfn.XLOOKUP($N1134,'Base de Grupos'!$A:$A,'Base de Grupos'!$M:$M)</f>
        <v>REGIONAL VENDA INTERNA - CONVENIENCIA</v>
      </c>
      <c r="L1134" s="5" t="str">
        <f t="shared" si="1060"/>
        <v/>
      </c>
      <c r="M1134" s="5" t="str">
        <f>_xlfn.XLOOKUP($N1134,'Base de Grupos'!$A:$A,'Base de Grupos'!$C:$C)</f>
        <v>RS</v>
      </c>
      <c r="N1134" s="3">
        <v>1528</v>
      </c>
      <c r="O1134" s="4" t="s">
        <v>286</v>
      </c>
      <c r="P1134" s="5" t="s">
        <v>94</v>
      </c>
      <c r="Q1134" s="56">
        <v>0</v>
      </c>
      <c r="R1134" s="56">
        <v>0</v>
      </c>
      <c r="S1134" s="56">
        <v>0</v>
      </c>
      <c r="T1134" s="56">
        <f>_xlfn.XLOOKUP($N1134,'Calculo Leads Conveniencia'!$A$77:$A$104,'Calculo Leads Conveniencia'!G$77:G$104)*_xlfn.XLOOKUP($P1134,'Base Grupo de Produtos'!$E$23:$E$39,'Base Grupo de Produtos'!$F$23:$F$39)</f>
        <v>480</v>
      </c>
      <c r="U1134" s="56">
        <f>_xlfn.XLOOKUP($N1134,'Calculo Leads Conveniencia'!$A$77:$A$104,'Calculo Leads Conveniencia'!H$77:H$104)*_xlfn.XLOOKUP($P1134,'Base Grupo de Produtos'!$E$23:$E$39,'Base Grupo de Produtos'!$F$23:$F$39)</f>
        <v>600</v>
      </c>
      <c r="V1134" s="56">
        <f>_xlfn.XLOOKUP($N1134,'Calculo Leads Conveniencia'!$A$77:$A$104,'Calculo Leads Conveniencia'!I$77:I$104)*_xlfn.XLOOKUP($P1134,'Base Grupo de Produtos'!$E$23:$E$39,'Base Grupo de Produtos'!$F$23:$F$39)</f>
        <v>840</v>
      </c>
      <c r="W1134" s="56">
        <f>_xlfn.XLOOKUP($N1134,'Calculo Leads Conveniencia'!$A$77:$A$104,'Calculo Leads Conveniencia'!J$77:J$104)*_xlfn.XLOOKUP($P1134,'Base Grupo de Produtos'!$E$23:$E$39,'Base Grupo de Produtos'!$F$23:$F$39)</f>
        <v>960</v>
      </c>
      <c r="X1134" s="56">
        <f>_xlfn.XLOOKUP($N1134,'Calculo Leads Conveniencia'!$A$77:$A$104,'Calculo Leads Conveniencia'!K$77:K$104)*_xlfn.XLOOKUP($P1134,'Base Grupo de Produtos'!$E$23:$E$39,'Base Grupo de Produtos'!$F$23:$F$39)</f>
        <v>1200</v>
      </c>
      <c r="Y1134" s="56">
        <f>_xlfn.XLOOKUP($N1134,'Calculo Leads Conveniencia'!$A$77:$A$104,'Calculo Leads Conveniencia'!L$77:L$104)*_xlfn.XLOOKUP($P1134,'Base Grupo de Produtos'!$E$23:$E$39,'Base Grupo de Produtos'!$F$23:$F$39)</f>
        <v>1320</v>
      </c>
      <c r="Z1134" s="56">
        <f>_xlfn.XLOOKUP($N1134,'Calculo Leads Conveniencia'!$A$77:$A$104,'Calculo Leads Conveniencia'!M$77:M$104)*_xlfn.XLOOKUP($P1134,'Base Grupo de Produtos'!$E$23:$E$39,'Base Grupo de Produtos'!$F$23:$F$39)</f>
        <v>1440</v>
      </c>
      <c r="AA1134" s="56">
        <f>_xlfn.XLOOKUP($N1134,'Calculo Leads Conveniencia'!$A$77:$A$104,'Calculo Leads Conveniencia'!N$77:N$104)*_xlfn.XLOOKUP($P1134,'Base Grupo de Produtos'!$E$23:$E$39,'Base Grupo de Produtos'!$F$23:$F$39)</f>
        <v>1680</v>
      </c>
      <c r="AB1134" s="56">
        <f>_xlfn.XLOOKUP($N1134,'Calculo Leads Conveniencia'!$A$77:$A$104,'Calculo Leads Conveniencia'!O$77:O$104)*_xlfn.XLOOKUP($P1134,'Base Grupo de Produtos'!$E$23:$E$39,'Base Grupo de Produtos'!$F$23:$F$39)</f>
        <v>1800</v>
      </c>
      <c r="AC1134" s="61">
        <f t="shared" si="1045"/>
        <v>10320</v>
      </c>
      <c r="AD1134" s="28"/>
      <c r="AE1134" s="12"/>
      <c r="AF1134" s="29"/>
      <c r="AG1134" s="9"/>
      <c r="AH1134" s="10"/>
      <c r="AI1134" s="9"/>
      <c r="AJ1134" s="11"/>
      <c r="AK1134" s="9"/>
      <c r="AL1134" s="13"/>
      <c r="AM1134" s="9"/>
    </row>
    <row r="1135" spans="1:39" x14ac:dyDescent="0.3">
      <c r="A1135" s="2" t="str">
        <f t="shared" si="1059"/>
        <v>NÃO</v>
      </c>
      <c r="B1135" s="2" t="str">
        <f>_xlfn.XLOOKUP($N1135,'Base de Grupos'!$A:$A,'Base de Grupos'!$D:$D)</f>
        <v>1000065763</v>
      </c>
      <c r="C1135" s="5" t="str">
        <f>_xlfn.XLOOKUP($N1135,'Base de Grupos'!$A:$A,'Base de Grupos'!$E:$E)</f>
        <v>CANAL VENDA INTERNA</v>
      </c>
      <c r="D1135" s="5" t="str">
        <f>_xlfn.XLOOKUP($N1135,'Base de Grupos'!$A:$A,'Base de Grupos'!$F:$F)</f>
        <v>1000065763</v>
      </c>
      <c r="E1135" s="2" t="str">
        <f>_xlfn.XLOOKUP($N1135,'Base de Grupos'!$A:$A,'Base de Grupos'!$G:$G)</f>
        <v>CANAL VENDA INTERNA</v>
      </c>
      <c r="F1135" s="2" t="str">
        <f>_xlfn.XLOOKUP($N1135,'Base de Grupos'!$A:$A,'Base de Grupos'!$H:$H)</f>
        <v>1000174119</v>
      </c>
      <c r="G1135" s="5" t="str">
        <f>_xlfn.XLOOKUP($N1135,'Base de Grupos'!$A:$A,'Base de Grupos'!$I:$I)</f>
        <v>REGIONAL VENDA INTERNA - CONVENIENCIA</v>
      </c>
      <c r="H1135" s="5" t="str">
        <f>_xlfn.XLOOKUP($N1135,'Base de Grupos'!$A:$A,'Base de Grupos'!$J:$J)</f>
        <v>1000174119</v>
      </c>
      <c r="I1135" s="2" t="str">
        <f>_xlfn.XLOOKUP($N1135,'Base de Grupos'!$A:$A,'Base de Grupos'!$K:$K)</f>
        <v>REGIONAL VENDA INTERNA - CONVENIENCIA</v>
      </c>
      <c r="J1135" s="2" t="str">
        <f>_xlfn.XLOOKUP($N1135,'Base de Grupos'!$A:$A,'Base de Grupos'!$L:$L)</f>
        <v>1000174119</v>
      </c>
      <c r="K1135" s="5" t="str">
        <f>_xlfn.XLOOKUP($N1135,'Base de Grupos'!$A:$A,'Base de Grupos'!$M:$M)</f>
        <v>REGIONAL VENDA INTERNA - CONVENIENCIA</v>
      </c>
      <c r="L1135" s="5" t="str">
        <f t="shared" si="1060"/>
        <v/>
      </c>
      <c r="M1135" s="5" t="str">
        <f>_xlfn.XLOOKUP($N1135,'Base de Grupos'!$A:$A,'Base de Grupos'!$C:$C)</f>
        <v>RS</v>
      </c>
      <c r="N1135" s="3">
        <v>1528</v>
      </c>
      <c r="O1135" s="4" t="s">
        <v>286</v>
      </c>
      <c r="P1135" s="5" t="s">
        <v>95</v>
      </c>
      <c r="Q1135" s="56">
        <v>0</v>
      </c>
      <c r="R1135" s="56">
        <v>0</v>
      </c>
      <c r="S1135" s="56">
        <v>0</v>
      </c>
      <c r="T1135" s="56">
        <f>_xlfn.XLOOKUP($N1135,'Calculo Leads Conveniencia'!$A$77:$A$104,'Calculo Leads Conveniencia'!G$77:G$104)*_xlfn.XLOOKUP($P1135,'Base Grupo de Produtos'!$E$23:$E$39,'Base Grupo de Produtos'!$F$23:$F$39)</f>
        <v>32</v>
      </c>
      <c r="U1135" s="56">
        <f>_xlfn.XLOOKUP($N1135,'Calculo Leads Conveniencia'!$A$77:$A$104,'Calculo Leads Conveniencia'!H$77:H$104)*_xlfn.XLOOKUP($P1135,'Base Grupo de Produtos'!$E$23:$E$39,'Base Grupo de Produtos'!$F$23:$F$39)</f>
        <v>40</v>
      </c>
      <c r="V1135" s="56">
        <f>_xlfn.XLOOKUP($N1135,'Calculo Leads Conveniencia'!$A$77:$A$104,'Calculo Leads Conveniencia'!I$77:I$104)*_xlfn.XLOOKUP($P1135,'Base Grupo de Produtos'!$E$23:$E$39,'Base Grupo de Produtos'!$F$23:$F$39)</f>
        <v>56</v>
      </c>
      <c r="W1135" s="56">
        <f>_xlfn.XLOOKUP($N1135,'Calculo Leads Conveniencia'!$A$77:$A$104,'Calculo Leads Conveniencia'!J$77:J$104)*_xlfn.XLOOKUP($P1135,'Base Grupo de Produtos'!$E$23:$E$39,'Base Grupo de Produtos'!$F$23:$F$39)</f>
        <v>64</v>
      </c>
      <c r="X1135" s="56">
        <f>_xlfn.XLOOKUP($N1135,'Calculo Leads Conveniencia'!$A$77:$A$104,'Calculo Leads Conveniencia'!K$77:K$104)*_xlfn.XLOOKUP($P1135,'Base Grupo de Produtos'!$E$23:$E$39,'Base Grupo de Produtos'!$F$23:$F$39)</f>
        <v>80</v>
      </c>
      <c r="Y1135" s="56">
        <f>_xlfn.XLOOKUP($N1135,'Calculo Leads Conveniencia'!$A$77:$A$104,'Calculo Leads Conveniencia'!L$77:L$104)*_xlfn.XLOOKUP($P1135,'Base Grupo de Produtos'!$E$23:$E$39,'Base Grupo de Produtos'!$F$23:$F$39)</f>
        <v>88</v>
      </c>
      <c r="Z1135" s="56">
        <f>_xlfn.XLOOKUP($N1135,'Calculo Leads Conveniencia'!$A$77:$A$104,'Calculo Leads Conveniencia'!M$77:M$104)*_xlfn.XLOOKUP($P1135,'Base Grupo de Produtos'!$E$23:$E$39,'Base Grupo de Produtos'!$F$23:$F$39)</f>
        <v>96</v>
      </c>
      <c r="AA1135" s="56">
        <f>_xlfn.XLOOKUP($N1135,'Calculo Leads Conveniencia'!$A$77:$A$104,'Calculo Leads Conveniencia'!N$77:N$104)*_xlfn.XLOOKUP($P1135,'Base Grupo de Produtos'!$E$23:$E$39,'Base Grupo de Produtos'!$F$23:$F$39)</f>
        <v>112</v>
      </c>
      <c r="AB1135" s="56">
        <f>_xlfn.XLOOKUP($N1135,'Calculo Leads Conveniencia'!$A$77:$A$104,'Calculo Leads Conveniencia'!O$77:O$104)*_xlfn.XLOOKUP($P1135,'Base Grupo de Produtos'!$E$23:$E$39,'Base Grupo de Produtos'!$F$23:$F$39)</f>
        <v>120</v>
      </c>
      <c r="AC1135" s="61">
        <f t="shared" si="1045"/>
        <v>688</v>
      </c>
      <c r="AD1135" s="28"/>
      <c r="AE1135" s="12"/>
      <c r="AF1135" s="29"/>
      <c r="AG1135" s="9"/>
      <c r="AH1135" s="10"/>
      <c r="AI1135" s="9"/>
      <c r="AJ1135" s="11"/>
      <c r="AK1135" s="9"/>
      <c r="AL1135" s="13"/>
      <c r="AM1135" s="9"/>
    </row>
    <row r="1136" spans="1:39" x14ac:dyDescent="0.3">
      <c r="A1136" s="2" t="str">
        <f t="shared" si="1059"/>
        <v>NÃO</v>
      </c>
      <c r="B1136" s="2" t="str">
        <f>_xlfn.XLOOKUP($N1136,'Base de Grupos'!$A:$A,'Base de Grupos'!$D:$D)</f>
        <v>1000065763</v>
      </c>
      <c r="C1136" s="5" t="str">
        <f>_xlfn.XLOOKUP($N1136,'Base de Grupos'!$A:$A,'Base de Grupos'!$E:$E)</f>
        <v>CANAL VENDA INTERNA</v>
      </c>
      <c r="D1136" s="5" t="str">
        <f>_xlfn.XLOOKUP($N1136,'Base de Grupos'!$A:$A,'Base de Grupos'!$F:$F)</f>
        <v>1000065763</v>
      </c>
      <c r="E1136" s="2" t="str">
        <f>_xlfn.XLOOKUP($N1136,'Base de Grupos'!$A:$A,'Base de Grupos'!$G:$G)</f>
        <v>CANAL VENDA INTERNA</v>
      </c>
      <c r="F1136" s="2" t="str">
        <f>_xlfn.XLOOKUP($N1136,'Base de Grupos'!$A:$A,'Base de Grupos'!$H:$H)</f>
        <v>1000174119</v>
      </c>
      <c r="G1136" s="5" t="str">
        <f>_xlfn.XLOOKUP($N1136,'Base de Grupos'!$A:$A,'Base de Grupos'!$I:$I)</f>
        <v>REGIONAL VENDA INTERNA - CONVENIENCIA</v>
      </c>
      <c r="H1136" s="5" t="str">
        <f>_xlfn.XLOOKUP($N1136,'Base de Grupos'!$A:$A,'Base de Grupos'!$J:$J)</f>
        <v>1000174119</v>
      </c>
      <c r="I1136" s="2" t="str">
        <f>_xlfn.XLOOKUP($N1136,'Base de Grupos'!$A:$A,'Base de Grupos'!$K:$K)</f>
        <v>REGIONAL VENDA INTERNA - CONVENIENCIA</v>
      </c>
      <c r="J1136" s="2" t="str">
        <f>_xlfn.XLOOKUP($N1136,'Base de Grupos'!$A:$A,'Base de Grupos'!$L:$L)</f>
        <v>1000174119</v>
      </c>
      <c r="K1136" s="5" t="str">
        <f>_xlfn.XLOOKUP($N1136,'Base de Grupos'!$A:$A,'Base de Grupos'!$M:$M)</f>
        <v>REGIONAL VENDA INTERNA - CONVENIENCIA</v>
      </c>
      <c r="L1136" s="5" t="str">
        <f t="shared" si="1060"/>
        <v/>
      </c>
      <c r="M1136" s="5" t="str">
        <f>_xlfn.XLOOKUP($N1136,'Base de Grupos'!$A:$A,'Base de Grupos'!$C:$C)</f>
        <v>RS</v>
      </c>
      <c r="N1136" s="3">
        <v>1528</v>
      </c>
      <c r="O1136" s="4" t="s">
        <v>286</v>
      </c>
      <c r="P1136" s="5" t="s">
        <v>93</v>
      </c>
      <c r="Q1136" s="56">
        <v>0</v>
      </c>
      <c r="R1136" s="56">
        <v>0</v>
      </c>
      <c r="S1136" s="56">
        <v>0</v>
      </c>
      <c r="T1136" s="56">
        <f>_xlfn.XLOOKUP($N1136,'Calculo Leads Conveniencia'!$A$77:$A$104,'Calculo Leads Conveniencia'!G$77:G$104)*_xlfn.XLOOKUP($P1136,'Base Grupo de Produtos'!$E$23:$E$39,'Base Grupo de Produtos'!$F$23:$F$39)</f>
        <v>320</v>
      </c>
      <c r="U1136" s="56">
        <f>_xlfn.XLOOKUP($N1136,'Calculo Leads Conveniencia'!$A$77:$A$104,'Calculo Leads Conveniencia'!H$77:H$104)*_xlfn.XLOOKUP($P1136,'Base Grupo de Produtos'!$E$23:$E$39,'Base Grupo de Produtos'!$F$23:$F$39)</f>
        <v>400</v>
      </c>
      <c r="V1136" s="56">
        <f>_xlfn.XLOOKUP($N1136,'Calculo Leads Conveniencia'!$A$77:$A$104,'Calculo Leads Conveniencia'!I$77:I$104)*_xlfn.XLOOKUP($P1136,'Base Grupo de Produtos'!$E$23:$E$39,'Base Grupo de Produtos'!$F$23:$F$39)</f>
        <v>560</v>
      </c>
      <c r="W1136" s="56">
        <f>_xlfn.XLOOKUP($N1136,'Calculo Leads Conveniencia'!$A$77:$A$104,'Calculo Leads Conveniencia'!J$77:J$104)*_xlfn.XLOOKUP($P1136,'Base Grupo de Produtos'!$E$23:$E$39,'Base Grupo de Produtos'!$F$23:$F$39)</f>
        <v>640</v>
      </c>
      <c r="X1136" s="56">
        <f>_xlfn.XLOOKUP($N1136,'Calculo Leads Conveniencia'!$A$77:$A$104,'Calculo Leads Conveniencia'!K$77:K$104)*_xlfn.XLOOKUP($P1136,'Base Grupo de Produtos'!$E$23:$E$39,'Base Grupo de Produtos'!$F$23:$F$39)</f>
        <v>800</v>
      </c>
      <c r="Y1136" s="56">
        <f>_xlfn.XLOOKUP($N1136,'Calculo Leads Conveniencia'!$A$77:$A$104,'Calculo Leads Conveniencia'!L$77:L$104)*_xlfn.XLOOKUP($P1136,'Base Grupo de Produtos'!$E$23:$E$39,'Base Grupo de Produtos'!$F$23:$F$39)</f>
        <v>880</v>
      </c>
      <c r="Z1136" s="56">
        <f>_xlfn.XLOOKUP($N1136,'Calculo Leads Conveniencia'!$A$77:$A$104,'Calculo Leads Conveniencia'!M$77:M$104)*_xlfn.XLOOKUP($P1136,'Base Grupo de Produtos'!$E$23:$E$39,'Base Grupo de Produtos'!$F$23:$F$39)</f>
        <v>960</v>
      </c>
      <c r="AA1136" s="56">
        <f>_xlfn.XLOOKUP($N1136,'Calculo Leads Conveniencia'!$A$77:$A$104,'Calculo Leads Conveniencia'!N$77:N$104)*_xlfn.XLOOKUP($P1136,'Base Grupo de Produtos'!$E$23:$E$39,'Base Grupo de Produtos'!$F$23:$F$39)</f>
        <v>1120</v>
      </c>
      <c r="AB1136" s="56">
        <f>_xlfn.XLOOKUP($N1136,'Calculo Leads Conveniencia'!$A$77:$A$104,'Calculo Leads Conveniencia'!O$77:O$104)*_xlfn.XLOOKUP($P1136,'Base Grupo de Produtos'!$E$23:$E$39,'Base Grupo de Produtos'!$F$23:$F$39)</f>
        <v>1200</v>
      </c>
      <c r="AC1136" s="61">
        <f t="shared" si="1045"/>
        <v>6880</v>
      </c>
      <c r="AD1136" s="28"/>
      <c r="AE1136" s="12"/>
      <c r="AF1136" s="29"/>
      <c r="AG1136" s="9"/>
      <c r="AH1136" s="10"/>
      <c r="AI1136" s="9"/>
      <c r="AJ1136" s="11"/>
      <c r="AK1136" s="9"/>
      <c r="AL1136" s="13"/>
      <c r="AM1136" s="9"/>
    </row>
    <row r="1137" spans="1:39" x14ac:dyDescent="0.3">
      <c r="A1137" s="2" t="str">
        <f t="shared" ref="A1137:A1154" si="1074">IF(L1137=1,"SIM","NÃO")</f>
        <v>SIM</v>
      </c>
      <c r="B1137" s="2" t="str">
        <f>_xlfn.XLOOKUP($N1137,'Base de Grupos'!$A:$A,'Base de Grupos'!$D:$D)</f>
        <v>1000065763</v>
      </c>
      <c r="C1137" s="5" t="str">
        <f>_xlfn.XLOOKUP($N1137,'Base de Grupos'!$A:$A,'Base de Grupos'!$E:$E)</f>
        <v>CANAL VENDA INTERNA</v>
      </c>
      <c r="D1137" s="5" t="str">
        <f>_xlfn.XLOOKUP($N1137,'Base de Grupos'!$A:$A,'Base de Grupos'!$F:$F)</f>
        <v>1000065763</v>
      </c>
      <c r="E1137" s="2" t="str">
        <f>_xlfn.XLOOKUP($N1137,'Base de Grupos'!$A:$A,'Base de Grupos'!$G:$G)</f>
        <v>CANAL VENDA INTERNA</v>
      </c>
      <c r="F1137" s="2" t="str">
        <f>_xlfn.XLOOKUP($N1137,'Base de Grupos'!$A:$A,'Base de Grupos'!$H:$H)</f>
        <v>1000174119</v>
      </c>
      <c r="G1137" s="5" t="str">
        <f>_xlfn.XLOOKUP($N1137,'Base de Grupos'!$A:$A,'Base de Grupos'!$I:$I)</f>
        <v>REGIONAL VENDA INTERNA - CONVENIENCIA</v>
      </c>
      <c r="H1137" s="5" t="str">
        <f>_xlfn.XLOOKUP($N1137,'Base de Grupos'!$A:$A,'Base de Grupos'!$J:$J)</f>
        <v>1000174119</v>
      </c>
      <c r="I1137" s="2" t="str">
        <f>_xlfn.XLOOKUP($N1137,'Base de Grupos'!$A:$A,'Base de Grupos'!$K:$K)</f>
        <v>REGIONAL VENDA INTERNA - CONVENIENCIA</v>
      </c>
      <c r="J1137" s="2" t="str">
        <f>_xlfn.XLOOKUP($N1137,'Base de Grupos'!$A:$A,'Base de Grupos'!$L:$L)</f>
        <v>1000174119</v>
      </c>
      <c r="K1137" s="5" t="str">
        <f>_xlfn.XLOOKUP($N1137,'Base de Grupos'!$A:$A,'Base de Grupos'!$M:$M)</f>
        <v>REGIONAL VENDA INTERNA - CONVENIENCIA</v>
      </c>
      <c r="L1137" s="5">
        <f t="shared" ref="L1137:L1154" si="1075">IF(N1137&lt;&gt;N1136,1,"")</f>
        <v>1</v>
      </c>
      <c r="M1137" s="5" t="str">
        <f>_xlfn.XLOOKUP($N1137,'Base de Grupos'!$A:$A,'Base de Grupos'!$C:$C)</f>
        <v>SC</v>
      </c>
      <c r="N1137" s="3">
        <v>1530</v>
      </c>
      <c r="O1137" s="4" t="s">
        <v>287</v>
      </c>
      <c r="P1137" s="5" t="s">
        <v>357</v>
      </c>
      <c r="Q1137" s="56">
        <f t="shared" ref="Q1137" si="1076">SUM(Q1138:Q1154)</f>
        <v>0</v>
      </c>
      <c r="R1137" s="56">
        <f t="shared" ref="R1137:AC1137" si="1077">SUM(R1138:R1154)</f>
        <v>0</v>
      </c>
      <c r="S1137" s="56">
        <f t="shared" si="1077"/>
        <v>0</v>
      </c>
      <c r="T1137" s="56">
        <f t="shared" si="1077"/>
        <v>2400</v>
      </c>
      <c r="U1137" s="56">
        <f t="shared" si="1077"/>
        <v>2400</v>
      </c>
      <c r="V1137" s="56">
        <f t="shared" si="1077"/>
        <v>3200</v>
      </c>
      <c r="W1137" s="56">
        <f t="shared" si="1077"/>
        <v>4000</v>
      </c>
      <c r="X1137" s="56">
        <f t="shared" si="1077"/>
        <v>4800</v>
      </c>
      <c r="Y1137" s="56">
        <f t="shared" si="1077"/>
        <v>5600</v>
      </c>
      <c r="Z1137" s="56">
        <f t="shared" si="1077"/>
        <v>6400</v>
      </c>
      <c r="AA1137" s="56">
        <f t="shared" si="1077"/>
        <v>7200</v>
      </c>
      <c r="AB1137" s="56">
        <f t="shared" si="1077"/>
        <v>7200</v>
      </c>
      <c r="AC1137" s="56">
        <f t="shared" si="1077"/>
        <v>43200</v>
      </c>
      <c r="AD1137" s="28"/>
      <c r="AE1137" s="12"/>
      <c r="AF1137" s="29"/>
      <c r="AG1137" s="9"/>
      <c r="AH1137" s="10"/>
      <c r="AI1137" s="9"/>
      <c r="AJ1137" s="11"/>
      <c r="AK1137" s="9"/>
      <c r="AL1137" s="13"/>
      <c r="AM1137" s="9"/>
    </row>
    <row r="1138" spans="1:39" x14ac:dyDescent="0.3">
      <c r="A1138" s="2" t="str">
        <f t="shared" si="1074"/>
        <v>NÃO</v>
      </c>
      <c r="B1138" s="2" t="str">
        <f>_xlfn.XLOOKUP($N1138,'Base de Grupos'!$A:$A,'Base de Grupos'!$D:$D)</f>
        <v>1000065763</v>
      </c>
      <c r="C1138" s="5" t="str">
        <f>_xlfn.XLOOKUP($N1138,'Base de Grupos'!$A:$A,'Base de Grupos'!$E:$E)</f>
        <v>CANAL VENDA INTERNA</v>
      </c>
      <c r="D1138" s="5" t="str">
        <f>_xlfn.XLOOKUP($N1138,'Base de Grupos'!$A:$A,'Base de Grupos'!$F:$F)</f>
        <v>1000065763</v>
      </c>
      <c r="E1138" s="2" t="str">
        <f>_xlfn.XLOOKUP($N1138,'Base de Grupos'!$A:$A,'Base de Grupos'!$G:$G)</f>
        <v>CANAL VENDA INTERNA</v>
      </c>
      <c r="F1138" s="2" t="str">
        <f>_xlfn.XLOOKUP($N1138,'Base de Grupos'!$A:$A,'Base de Grupos'!$H:$H)</f>
        <v>1000174119</v>
      </c>
      <c r="G1138" s="5" t="str">
        <f>_xlfn.XLOOKUP($N1138,'Base de Grupos'!$A:$A,'Base de Grupos'!$I:$I)</f>
        <v>REGIONAL VENDA INTERNA - CONVENIENCIA</v>
      </c>
      <c r="H1138" s="5" t="str">
        <f>_xlfn.XLOOKUP($N1138,'Base de Grupos'!$A:$A,'Base de Grupos'!$J:$J)</f>
        <v>1000174119</v>
      </c>
      <c r="I1138" s="2" t="str">
        <f>_xlfn.XLOOKUP($N1138,'Base de Grupos'!$A:$A,'Base de Grupos'!$K:$K)</f>
        <v>REGIONAL VENDA INTERNA - CONVENIENCIA</v>
      </c>
      <c r="J1138" s="2" t="str">
        <f>_xlfn.XLOOKUP($N1138,'Base de Grupos'!$A:$A,'Base de Grupos'!$L:$L)</f>
        <v>1000174119</v>
      </c>
      <c r="K1138" s="5" t="str">
        <f>_xlfn.XLOOKUP($N1138,'Base de Grupos'!$A:$A,'Base de Grupos'!$M:$M)</f>
        <v>REGIONAL VENDA INTERNA - CONVENIENCIA</v>
      </c>
      <c r="L1138" s="5" t="str">
        <f t="shared" si="1075"/>
        <v/>
      </c>
      <c r="M1138" s="5" t="str">
        <f>_xlfn.XLOOKUP($N1138,'Base de Grupos'!$A:$A,'Base de Grupos'!$C:$C)</f>
        <v>SC</v>
      </c>
      <c r="N1138" s="3">
        <v>1530</v>
      </c>
      <c r="O1138" s="4" t="s">
        <v>287</v>
      </c>
      <c r="P1138" s="5" t="s">
        <v>81</v>
      </c>
      <c r="Q1138" s="56">
        <v>0</v>
      </c>
      <c r="R1138" s="56">
        <v>0</v>
      </c>
      <c r="S1138" s="56">
        <v>0</v>
      </c>
      <c r="T1138" s="56">
        <f>_xlfn.XLOOKUP($N1138,'Calculo Leads Conveniencia'!$A$77:$A$104,'Calculo Leads Conveniencia'!G$77:G$104)*_xlfn.XLOOKUP($P1138,'Base Grupo de Produtos'!$E$23:$E$39,'Base Grupo de Produtos'!$F$23:$F$39)</f>
        <v>240</v>
      </c>
      <c r="U1138" s="56">
        <f>_xlfn.XLOOKUP($N1138,'Calculo Leads Conveniencia'!$A$77:$A$104,'Calculo Leads Conveniencia'!H$77:H$104)*_xlfn.XLOOKUP($P1138,'Base Grupo de Produtos'!$E$23:$E$39,'Base Grupo de Produtos'!$F$23:$F$39)</f>
        <v>240</v>
      </c>
      <c r="V1138" s="56">
        <f>_xlfn.XLOOKUP($N1138,'Calculo Leads Conveniencia'!$A$77:$A$104,'Calculo Leads Conveniencia'!I$77:I$104)*_xlfn.XLOOKUP($P1138,'Base Grupo de Produtos'!$E$23:$E$39,'Base Grupo de Produtos'!$F$23:$F$39)</f>
        <v>320</v>
      </c>
      <c r="W1138" s="56">
        <f>_xlfn.XLOOKUP($N1138,'Calculo Leads Conveniencia'!$A$77:$A$104,'Calculo Leads Conveniencia'!J$77:J$104)*_xlfn.XLOOKUP($P1138,'Base Grupo de Produtos'!$E$23:$E$39,'Base Grupo de Produtos'!$F$23:$F$39)</f>
        <v>400</v>
      </c>
      <c r="X1138" s="56">
        <f>_xlfn.XLOOKUP($N1138,'Calculo Leads Conveniencia'!$A$77:$A$104,'Calculo Leads Conveniencia'!K$77:K$104)*_xlfn.XLOOKUP($P1138,'Base Grupo de Produtos'!$E$23:$E$39,'Base Grupo de Produtos'!$F$23:$F$39)</f>
        <v>480</v>
      </c>
      <c r="Y1138" s="56">
        <f>_xlfn.XLOOKUP($N1138,'Calculo Leads Conveniencia'!$A$77:$A$104,'Calculo Leads Conveniencia'!L$77:L$104)*_xlfn.XLOOKUP($P1138,'Base Grupo de Produtos'!$E$23:$E$39,'Base Grupo de Produtos'!$F$23:$F$39)</f>
        <v>560</v>
      </c>
      <c r="Z1138" s="56">
        <f>_xlfn.XLOOKUP($N1138,'Calculo Leads Conveniencia'!$A$77:$A$104,'Calculo Leads Conveniencia'!M$77:M$104)*_xlfn.XLOOKUP($P1138,'Base Grupo de Produtos'!$E$23:$E$39,'Base Grupo de Produtos'!$F$23:$F$39)</f>
        <v>640</v>
      </c>
      <c r="AA1138" s="56">
        <f>_xlfn.XLOOKUP($N1138,'Calculo Leads Conveniencia'!$A$77:$A$104,'Calculo Leads Conveniencia'!N$77:N$104)*_xlfn.XLOOKUP($P1138,'Base Grupo de Produtos'!$E$23:$E$39,'Base Grupo de Produtos'!$F$23:$F$39)</f>
        <v>720</v>
      </c>
      <c r="AB1138" s="56">
        <f>_xlfn.XLOOKUP($N1138,'Calculo Leads Conveniencia'!$A$77:$A$104,'Calculo Leads Conveniencia'!O$77:O$104)*_xlfn.XLOOKUP($P1138,'Base Grupo de Produtos'!$E$23:$E$39,'Base Grupo de Produtos'!$F$23:$F$39)</f>
        <v>720</v>
      </c>
      <c r="AC1138" s="61">
        <f t="shared" ref="AC1138:AC1154" si="1078">SUM(T1138:AB1138)</f>
        <v>4320</v>
      </c>
      <c r="AD1138" s="28"/>
      <c r="AE1138" s="12"/>
      <c r="AF1138" s="29"/>
      <c r="AG1138" s="9"/>
      <c r="AH1138" s="10"/>
      <c r="AI1138" s="9"/>
      <c r="AJ1138" s="11"/>
      <c r="AK1138" s="9"/>
      <c r="AL1138" s="13"/>
      <c r="AM1138" s="9"/>
    </row>
    <row r="1139" spans="1:39" x14ac:dyDescent="0.3">
      <c r="A1139" s="2" t="str">
        <f t="shared" si="1074"/>
        <v>NÃO</v>
      </c>
      <c r="B1139" s="2" t="str">
        <f>_xlfn.XLOOKUP($N1139,'Base de Grupos'!$A:$A,'Base de Grupos'!$D:$D)</f>
        <v>1000065763</v>
      </c>
      <c r="C1139" s="5" t="str">
        <f>_xlfn.XLOOKUP($N1139,'Base de Grupos'!$A:$A,'Base de Grupos'!$E:$E)</f>
        <v>CANAL VENDA INTERNA</v>
      </c>
      <c r="D1139" s="5" t="str">
        <f>_xlfn.XLOOKUP($N1139,'Base de Grupos'!$A:$A,'Base de Grupos'!$F:$F)</f>
        <v>1000065763</v>
      </c>
      <c r="E1139" s="2" t="str">
        <f>_xlfn.XLOOKUP($N1139,'Base de Grupos'!$A:$A,'Base de Grupos'!$G:$G)</f>
        <v>CANAL VENDA INTERNA</v>
      </c>
      <c r="F1139" s="2" t="str">
        <f>_xlfn.XLOOKUP($N1139,'Base de Grupos'!$A:$A,'Base de Grupos'!$H:$H)</f>
        <v>1000174119</v>
      </c>
      <c r="G1139" s="5" t="str">
        <f>_xlfn.XLOOKUP($N1139,'Base de Grupos'!$A:$A,'Base de Grupos'!$I:$I)</f>
        <v>REGIONAL VENDA INTERNA - CONVENIENCIA</v>
      </c>
      <c r="H1139" s="5" t="str">
        <f>_xlfn.XLOOKUP($N1139,'Base de Grupos'!$A:$A,'Base de Grupos'!$J:$J)</f>
        <v>1000174119</v>
      </c>
      <c r="I1139" s="2" t="str">
        <f>_xlfn.XLOOKUP($N1139,'Base de Grupos'!$A:$A,'Base de Grupos'!$K:$K)</f>
        <v>REGIONAL VENDA INTERNA - CONVENIENCIA</v>
      </c>
      <c r="J1139" s="2" t="str">
        <f>_xlfn.XLOOKUP($N1139,'Base de Grupos'!$A:$A,'Base de Grupos'!$L:$L)</f>
        <v>1000174119</v>
      </c>
      <c r="K1139" s="5" t="str">
        <f>_xlfn.XLOOKUP($N1139,'Base de Grupos'!$A:$A,'Base de Grupos'!$M:$M)</f>
        <v>REGIONAL VENDA INTERNA - CONVENIENCIA</v>
      </c>
      <c r="L1139" s="5" t="str">
        <f t="shared" si="1075"/>
        <v/>
      </c>
      <c r="M1139" s="5" t="str">
        <f>_xlfn.XLOOKUP($N1139,'Base de Grupos'!$A:$A,'Base de Grupos'!$C:$C)</f>
        <v>SC</v>
      </c>
      <c r="N1139" s="3">
        <v>1530</v>
      </c>
      <c r="O1139" s="4" t="s">
        <v>287</v>
      </c>
      <c r="P1139" s="5" t="s">
        <v>82</v>
      </c>
      <c r="Q1139" s="56">
        <v>0</v>
      </c>
      <c r="R1139" s="56">
        <v>0</v>
      </c>
      <c r="S1139" s="56">
        <v>0</v>
      </c>
      <c r="T1139" s="56">
        <f>_xlfn.XLOOKUP($N1139,'Calculo Leads Conveniencia'!$A$77:$A$104,'Calculo Leads Conveniencia'!G$77:G$104)*_xlfn.XLOOKUP($P1139,'Base Grupo de Produtos'!$E$23:$E$39,'Base Grupo de Produtos'!$F$23:$F$39)</f>
        <v>600</v>
      </c>
      <c r="U1139" s="56">
        <f>_xlfn.XLOOKUP($N1139,'Calculo Leads Conveniencia'!$A$77:$A$104,'Calculo Leads Conveniencia'!H$77:H$104)*_xlfn.XLOOKUP($P1139,'Base Grupo de Produtos'!$E$23:$E$39,'Base Grupo de Produtos'!$F$23:$F$39)</f>
        <v>600</v>
      </c>
      <c r="V1139" s="56">
        <f>_xlfn.XLOOKUP($N1139,'Calculo Leads Conveniencia'!$A$77:$A$104,'Calculo Leads Conveniencia'!I$77:I$104)*_xlfn.XLOOKUP($P1139,'Base Grupo de Produtos'!$E$23:$E$39,'Base Grupo de Produtos'!$F$23:$F$39)</f>
        <v>800</v>
      </c>
      <c r="W1139" s="56">
        <f>_xlfn.XLOOKUP($N1139,'Calculo Leads Conveniencia'!$A$77:$A$104,'Calculo Leads Conveniencia'!J$77:J$104)*_xlfn.XLOOKUP($P1139,'Base Grupo de Produtos'!$E$23:$E$39,'Base Grupo de Produtos'!$F$23:$F$39)</f>
        <v>1000</v>
      </c>
      <c r="X1139" s="56">
        <f>_xlfn.XLOOKUP($N1139,'Calculo Leads Conveniencia'!$A$77:$A$104,'Calculo Leads Conveniencia'!K$77:K$104)*_xlfn.XLOOKUP($P1139,'Base Grupo de Produtos'!$E$23:$E$39,'Base Grupo de Produtos'!$F$23:$F$39)</f>
        <v>1200</v>
      </c>
      <c r="Y1139" s="56">
        <f>_xlfn.XLOOKUP($N1139,'Calculo Leads Conveniencia'!$A$77:$A$104,'Calculo Leads Conveniencia'!L$77:L$104)*_xlfn.XLOOKUP($P1139,'Base Grupo de Produtos'!$E$23:$E$39,'Base Grupo de Produtos'!$F$23:$F$39)</f>
        <v>1400</v>
      </c>
      <c r="Z1139" s="56">
        <f>_xlfn.XLOOKUP($N1139,'Calculo Leads Conveniencia'!$A$77:$A$104,'Calculo Leads Conveniencia'!M$77:M$104)*_xlfn.XLOOKUP($P1139,'Base Grupo de Produtos'!$E$23:$E$39,'Base Grupo de Produtos'!$F$23:$F$39)</f>
        <v>1600</v>
      </c>
      <c r="AA1139" s="56">
        <f>_xlfn.XLOOKUP($N1139,'Calculo Leads Conveniencia'!$A$77:$A$104,'Calculo Leads Conveniencia'!N$77:N$104)*_xlfn.XLOOKUP($P1139,'Base Grupo de Produtos'!$E$23:$E$39,'Base Grupo de Produtos'!$F$23:$F$39)</f>
        <v>1800</v>
      </c>
      <c r="AB1139" s="56">
        <f>_xlfn.XLOOKUP($N1139,'Calculo Leads Conveniencia'!$A$77:$A$104,'Calculo Leads Conveniencia'!O$77:O$104)*_xlfn.XLOOKUP($P1139,'Base Grupo de Produtos'!$E$23:$E$39,'Base Grupo de Produtos'!$F$23:$F$39)</f>
        <v>1800</v>
      </c>
      <c r="AC1139" s="61">
        <f t="shared" si="1078"/>
        <v>10800</v>
      </c>
      <c r="AD1139" s="28"/>
      <c r="AE1139" s="12"/>
      <c r="AF1139" s="29"/>
      <c r="AG1139" s="9"/>
      <c r="AH1139" s="10"/>
      <c r="AI1139" s="9"/>
      <c r="AJ1139" s="11"/>
      <c r="AK1139" s="9"/>
      <c r="AL1139" s="13"/>
      <c r="AM1139" s="9"/>
    </row>
    <row r="1140" spans="1:39" x14ac:dyDescent="0.3">
      <c r="A1140" s="2" t="str">
        <f t="shared" si="1074"/>
        <v>NÃO</v>
      </c>
      <c r="B1140" s="2" t="str">
        <f>_xlfn.XLOOKUP($N1140,'Base de Grupos'!$A:$A,'Base de Grupos'!$D:$D)</f>
        <v>1000065763</v>
      </c>
      <c r="C1140" s="5" t="str">
        <f>_xlfn.XLOOKUP($N1140,'Base de Grupos'!$A:$A,'Base de Grupos'!$E:$E)</f>
        <v>CANAL VENDA INTERNA</v>
      </c>
      <c r="D1140" s="5" t="str">
        <f>_xlfn.XLOOKUP($N1140,'Base de Grupos'!$A:$A,'Base de Grupos'!$F:$F)</f>
        <v>1000065763</v>
      </c>
      <c r="E1140" s="2" t="str">
        <f>_xlfn.XLOOKUP($N1140,'Base de Grupos'!$A:$A,'Base de Grupos'!$G:$G)</f>
        <v>CANAL VENDA INTERNA</v>
      </c>
      <c r="F1140" s="2" t="str">
        <f>_xlfn.XLOOKUP($N1140,'Base de Grupos'!$A:$A,'Base de Grupos'!$H:$H)</f>
        <v>1000174119</v>
      </c>
      <c r="G1140" s="5" t="str">
        <f>_xlfn.XLOOKUP($N1140,'Base de Grupos'!$A:$A,'Base de Grupos'!$I:$I)</f>
        <v>REGIONAL VENDA INTERNA - CONVENIENCIA</v>
      </c>
      <c r="H1140" s="5" t="str">
        <f>_xlfn.XLOOKUP($N1140,'Base de Grupos'!$A:$A,'Base de Grupos'!$J:$J)</f>
        <v>1000174119</v>
      </c>
      <c r="I1140" s="2" t="str">
        <f>_xlfn.XLOOKUP($N1140,'Base de Grupos'!$A:$A,'Base de Grupos'!$K:$K)</f>
        <v>REGIONAL VENDA INTERNA - CONVENIENCIA</v>
      </c>
      <c r="J1140" s="2" t="str">
        <f>_xlfn.XLOOKUP($N1140,'Base de Grupos'!$A:$A,'Base de Grupos'!$L:$L)</f>
        <v>1000174119</v>
      </c>
      <c r="K1140" s="5" t="str">
        <f>_xlfn.XLOOKUP($N1140,'Base de Grupos'!$A:$A,'Base de Grupos'!$M:$M)</f>
        <v>REGIONAL VENDA INTERNA - CONVENIENCIA</v>
      </c>
      <c r="L1140" s="5" t="str">
        <f t="shared" si="1075"/>
        <v/>
      </c>
      <c r="M1140" s="5" t="str">
        <f>_xlfn.XLOOKUP($N1140,'Base de Grupos'!$A:$A,'Base de Grupos'!$C:$C)</f>
        <v>SC</v>
      </c>
      <c r="N1140" s="3">
        <v>1530</v>
      </c>
      <c r="O1140" s="4" t="s">
        <v>287</v>
      </c>
      <c r="P1140" s="5" t="s">
        <v>84</v>
      </c>
      <c r="Q1140" s="56">
        <v>0</v>
      </c>
      <c r="R1140" s="56">
        <v>0</v>
      </c>
      <c r="S1140" s="56">
        <v>0</v>
      </c>
      <c r="T1140" s="56">
        <f>_xlfn.XLOOKUP($N1140,'Calculo Leads Conveniencia'!$A$77:$A$104,'Calculo Leads Conveniencia'!G$77:G$104)*_xlfn.XLOOKUP($P1140,'Base Grupo de Produtos'!$E$23:$E$39,'Base Grupo de Produtos'!$F$23:$F$39)</f>
        <v>360</v>
      </c>
      <c r="U1140" s="56">
        <f>_xlfn.XLOOKUP($N1140,'Calculo Leads Conveniencia'!$A$77:$A$104,'Calculo Leads Conveniencia'!H$77:H$104)*_xlfn.XLOOKUP($P1140,'Base Grupo de Produtos'!$E$23:$E$39,'Base Grupo de Produtos'!$F$23:$F$39)</f>
        <v>360</v>
      </c>
      <c r="V1140" s="56">
        <f>_xlfn.XLOOKUP($N1140,'Calculo Leads Conveniencia'!$A$77:$A$104,'Calculo Leads Conveniencia'!I$77:I$104)*_xlfn.XLOOKUP($P1140,'Base Grupo de Produtos'!$E$23:$E$39,'Base Grupo de Produtos'!$F$23:$F$39)</f>
        <v>480</v>
      </c>
      <c r="W1140" s="56">
        <f>_xlfn.XLOOKUP($N1140,'Calculo Leads Conveniencia'!$A$77:$A$104,'Calculo Leads Conveniencia'!J$77:J$104)*_xlfn.XLOOKUP($P1140,'Base Grupo de Produtos'!$E$23:$E$39,'Base Grupo de Produtos'!$F$23:$F$39)</f>
        <v>600</v>
      </c>
      <c r="X1140" s="56">
        <f>_xlfn.XLOOKUP($N1140,'Calculo Leads Conveniencia'!$A$77:$A$104,'Calculo Leads Conveniencia'!K$77:K$104)*_xlfn.XLOOKUP($P1140,'Base Grupo de Produtos'!$E$23:$E$39,'Base Grupo de Produtos'!$F$23:$F$39)</f>
        <v>720</v>
      </c>
      <c r="Y1140" s="56">
        <f>_xlfn.XLOOKUP($N1140,'Calculo Leads Conveniencia'!$A$77:$A$104,'Calculo Leads Conveniencia'!L$77:L$104)*_xlfn.XLOOKUP($P1140,'Base Grupo de Produtos'!$E$23:$E$39,'Base Grupo de Produtos'!$F$23:$F$39)</f>
        <v>840</v>
      </c>
      <c r="Z1140" s="56">
        <f>_xlfn.XLOOKUP($N1140,'Calculo Leads Conveniencia'!$A$77:$A$104,'Calculo Leads Conveniencia'!M$77:M$104)*_xlfn.XLOOKUP($P1140,'Base Grupo de Produtos'!$E$23:$E$39,'Base Grupo de Produtos'!$F$23:$F$39)</f>
        <v>960</v>
      </c>
      <c r="AA1140" s="56">
        <f>_xlfn.XLOOKUP($N1140,'Calculo Leads Conveniencia'!$A$77:$A$104,'Calculo Leads Conveniencia'!N$77:N$104)*_xlfn.XLOOKUP($P1140,'Base Grupo de Produtos'!$E$23:$E$39,'Base Grupo de Produtos'!$F$23:$F$39)</f>
        <v>1080</v>
      </c>
      <c r="AB1140" s="56">
        <f>_xlfn.XLOOKUP($N1140,'Calculo Leads Conveniencia'!$A$77:$A$104,'Calculo Leads Conveniencia'!O$77:O$104)*_xlfn.XLOOKUP($P1140,'Base Grupo de Produtos'!$E$23:$E$39,'Base Grupo de Produtos'!$F$23:$F$39)</f>
        <v>1080</v>
      </c>
      <c r="AC1140" s="61">
        <f t="shared" si="1078"/>
        <v>6480</v>
      </c>
      <c r="AD1140" s="28"/>
      <c r="AE1140" s="12"/>
      <c r="AF1140" s="29"/>
      <c r="AG1140" s="9"/>
      <c r="AH1140" s="10"/>
      <c r="AI1140" s="9"/>
      <c r="AJ1140" s="11"/>
      <c r="AK1140" s="9"/>
      <c r="AL1140" s="13"/>
      <c r="AM1140" s="9"/>
    </row>
    <row r="1141" spans="1:39" x14ac:dyDescent="0.3">
      <c r="A1141" s="2" t="str">
        <f t="shared" si="1074"/>
        <v>NÃO</v>
      </c>
      <c r="B1141" s="2" t="str">
        <f>_xlfn.XLOOKUP($N1141,'Base de Grupos'!$A:$A,'Base de Grupos'!$D:$D)</f>
        <v>1000065763</v>
      </c>
      <c r="C1141" s="5" t="str">
        <f>_xlfn.XLOOKUP($N1141,'Base de Grupos'!$A:$A,'Base de Grupos'!$E:$E)</f>
        <v>CANAL VENDA INTERNA</v>
      </c>
      <c r="D1141" s="5" t="str">
        <f>_xlfn.XLOOKUP($N1141,'Base de Grupos'!$A:$A,'Base de Grupos'!$F:$F)</f>
        <v>1000065763</v>
      </c>
      <c r="E1141" s="2" t="str">
        <f>_xlfn.XLOOKUP($N1141,'Base de Grupos'!$A:$A,'Base de Grupos'!$G:$G)</f>
        <v>CANAL VENDA INTERNA</v>
      </c>
      <c r="F1141" s="2" t="str">
        <f>_xlfn.XLOOKUP($N1141,'Base de Grupos'!$A:$A,'Base de Grupos'!$H:$H)</f>
        <v>1000174119</v>
      </c>
      <c r="G1141" s="5" t="str">
        <f>_xlfn.XLOOKUP($N1141,'Base de Grupos'!$A:$A,'Base de Grupos'!$I:$I)</f>
        <v>REGIONAL VENDA INTERNA - CONVENIENCIA</v>
      </c>
      <c r="H1141" s="5" t="str">
        <f>_xlfn.XLOOKUP($N1141,'Base de Grupos'!$A:$A,'Base de Grupos'!$J:$J)</f>
        <v>1000174119</v>
      </c>
      <c r="I1141" s="2" t="str">
        <f>_xlfn.XLOOKUP($N1141,'Base de Grupos'!$A:$A,'Base de Grupos'!$K:$K)</f>
        <v>REGIONAL VENDA INTERNA - CONVENIENCIA</v>
      </c>
      <c r="J1141" s="2" t="str">
        <f>_xlfn.XLOOKUP($N1141,'Base de Grupos'!$A:$A,'Base de Grupos'!$L:$L)</f>
        <v>1000174119</v>
      </c>
      <c r="K1141" s="5" t="str">
        <f>_xlfn.XLOOKUP($N1141,'Base de Grupos'!$A:$A,'Base de Grupos'!$M:$M)</f>
        <v>REGIONAL VENDA INTERNA - CONVENIENCIA</v>
      </c>
      <c r="L1141" s="5" t="str">
        <f t="shared" si="1075"/>
        <v/>
      </c>
      <c r="M1141" s="5" t="str">
        <f>_xlfn.XLOOKUP($N1141,'Base de Grupos'!$A:$A,'Base de Grupos'!$C:$C)</f>
        <v>SC</v>
      </c>
      <c r="N1141" s="3">
        <v>1530</v>
      </c>
      <c r="O1141" s="4" t="s">
        <v>287</v>
      </c>
      <c r="P1141" s="5" t="s">
        <v>83</v>
      </c>
      <c r="Q1141" s="56">
        <v>0</v>
      </c>
      <c r="R1141" s="56">
        <v>0</v>
      </c>
      <c r="S1141" s="56">
        <v>0</v>
      </c>
      <c r="T1141" s="56">
        <f>_xlfn.XLOOKUP($N1141,'Calculo Leads Conveniencia'!$A$77:$A$104,'Calculo Leads Conveniencia'!G$77:G$104)*_xlfn.XLOOKUP($P1141,'Base Grupo de Produtos'!$E$23:$E$39,'Base Grupo de Produtos'!$F$23:$F$39)</f>
        <v>48</v>
      </c>
      <c r="U1141" s="56">
        <f>_xlfn.XLOOKUP($N1141,'Calculo Leads Conveniencia'!$A$77:$A$104,'Calculo Leads Conveniencia'!H$77:H$104)*_xlfn.XLOOKUP($P1141,'Base Grupo de Produtos'!$E$23:$E$39,'Base Grupo de Produtos'!$F$23:$F$39)</f>
        <v>48</v>
      </c>
      <c r="V1141" s="56">
        <f>_xlfn.XLOOKUP($N1141,'Calculo Leads Conveniencia'!$A$77:$A$104,'Calculo Leads Conveniencia'!I$77:I$104)*_xlfn.XLOOKUP($P1141,'Base Grupo de Produtos'!$E$23:$E$39,'Base Grupo de Produtos'!$F$23:$F$39)</f>
        <v>64</v>
      </c>
      <c r="W1141" s="56">
        <f>_xlfn.XLOOKUP($N1141,'Calculo Leads Conveniencia'!$A$77:$A$104,'Calculo Leads Conveniencia'!J$77:J$104)*_xlfn.XLOOKUP($P1141,'Base Grupo de Produtos'!$E$23:$E$39,'Base Grupo de Produtos'!$F$23:$F$39)</f>
        <v>80</v>
      </c>
      <c r="X1141" s="56">
        <f>_xlfn.XLOOKUP($N1141,'Calculo Leads Conveniencia'!$A$77:$A$104,'Calculo Leads Conveniencia'!K$77:K$104)*_xlfn.XLOOKUP($P1141,'Base Grupo de Produtos'!$E$23:$E$39,'Base Grupo de Produtos'!$F$23:$F$39)</f>
        <v>96</v>
      </c>
      <c r="Y1141" s="56">
        <f>_xlfn.XLOOKUP($N1141,'Calculo Leads Conveniencia'!$A$77:$A$104,'Calculo Leads Conveniencia'!L$77:L$104)*_xlfn.XLOOKUP($P1141,'Base Grupo de Produtos'!$E$23:$E$39,'Base Grupo de Produtos'!$F$23:$F$39)</f>
        <v>112</v>
      </c>
      <c r="Z1141" s="56">
        <f>_xlfn.XLOOKUP($N1141,'Calculo Leads Conveniencia'!$A$77:$A$104,'Calculo Leads Conveniencia'!M$77:M$104)*_xlfn.XLOOKUP($P1141,'Base Grupo de Produtos'!$E$23:$E$39,'Base Grupo de Produtos'!$F$23:$F$39)</f>
        <v>128</v>
      </c>
      <c r="AA1141" s="56">
        <f>_xlfn.XLOOKUP($N1141,'Calculo Leads Conveniencia'!$A$77:$A$104,'Calculo Leads Conveniencia'!N$77:N$104)*_xlfn.XLOOKUP($P1141,'Base Grupo de Produtos'!$E$23:$E$39,'Base Grupo de Produtos'!$F$23:$F$39)</f>
        <v>144</v>
      </c>
      <c r="AB1141" s="56">
        <f>_xlfn.XLOOKUP($N1141,'Calculo Leads Conveniencia'!$A$77:$A$104,'Calculo Leads Conveniencia'!O$77:O$104)*_xlfn.XLOOKUP($P1141,'Base Grupo de Produtos'!$E$23:$E$39,'Base Grupo de Produtos'!$F$23:$F$39)</f>
        <v>144</v>
      </c>
      <c r="AC1141" s="61">
        <f t="shared" si="1078"/>
        <v>864</v>
      </c>
      <c r="AD1141" s="28"/>
      <c r="AE1141" s="12"/>
      <c r="AF1141" s="29"/>
      <c r="AG1141" s="9"/>
      <c r="AH1141" s="10"/>
      <c r="AI1141" s="9"/>
      <c r="AJ1141" s="11"/>
      <c r="AK1141" s="9"/>
      <c r="AL1141" s="13"/>
      <c r="AM1141" s="9"/>
    </row>
    <row r="1142" spans="1:39" x14ac:dyDescent="0.3">
      <c r="A1142" s="2" t="str">
        <f t="shared" si="1074"/>
        <v>NÃO</v>
      </c>
      <c r="B1142" s="2" t="str">
        <f>_xlfn.XLOOKUP($N1142,'Base de Grupos'!$A:$A,'Base de Grupos'!$D:$D)</f>
        <v>1000065763</v>
      </c>
      <c r="C1142" s="5" t="str">
        <f>_xlfn.XLOOKUP($N1142,'Base de Grupos'!$A:$A,'Base de Grupos'!$E:$E)</f>
        <v>CANAL VENDA INTERNA</v>
      </c>
      <c r="D1142" s="5" t="str">
        <f>_xlfn.XLOOKUP($N1142,'Base de Grupos'!$A:$A,'Base de Grupos'!$F:$F)</f>
        <v>1000065763</v>
      </c>
      <c r="E1142" s="2" t="str">
        <f>_xlfn.XLOOKUP($N1142,'Base de Grupos'!$A:$A,'Base de Grupos'!$G:$G)</f>
        <v>CANAL VENDA INTERNA</v>
      </c>
      <c r="F1142" s="2" t="str">
        <f>_xlfn.XLOOKUP($N1142,'Base de Grupos'!$A:$A,'Base de Grupos'!$H:$H)</f>
        <v>1000174119</v>
      </c>
      <c r="G1142" s="5" t="str">
        <f>_xlfn.XLOOKUP($N1142,'Base de Grupos'!$A:$A,'Base de Grupos'!$I:$I)</f>
        <v>REGIONAL VENDA INTERNA - CONVENIENCIA</v>
      </c>
      <c r="H1142" s="5" t="str">
        <f>_xlfn.XLOOKUP($N1142,'Base de Grupos'!$A:$A,'Base de Grupos'!$J:$J)</f>
        <v>1000174119</v>
      </c>
      <c r="I1142" s="2" t="str">
        <f>_xlfn.XLOOKUP($N1142,'Base de Grupos'!$A:$A,'Base de Grupos'!$K:$K)</f>
        <v>REGIONAL VENDA INTERNA - CONVENIENCIA</v>
      </c>
      <c r="J1142" s="2" t="str">
        <f>_xlfn.XLOOKUP($N1142,'Base de Grupos'!$A:$A,'Base de Grupos'!$L:$L)</f>
        <v>1000174119</v>
      </c>
      <c r="K1142" s="5" t="str">
        <f>_xlfn.XLOOKUP($N1142,'Base de Grupos'!$A:$A,'Base de Grupos'!$M:$M)</f>
        <v>REGIONAL VENDA INTERNA - CONVENIENCIA</v>
      </c>
      <c r="L1142" s="5" t="str">
        <f t="shared" si="1075"/>
        <v/>
      </c>
      <c r="M1142" s="5" t="str">
        <f>_xlfn.XLOOKUP($N1142,'Base de Grupos'!$A:$A,'Base de Grupos'!$C:$C)</f>
        <v>SC</v>
      </c>
      <c r="N1142" s="3">
        <v>1530</v>
      </c>
      <c r="O1142" s="4" t="s">
        <v>287</v>
      </c>
      <c r="P1142" s="5" t="s">
        <v>87</v>
      </c>
      <c r="Q1142" s="56">
        <v>0</v>
      </c>
      <c r="R1142" s="56">
        <v>0</v>
      </c>
      <c r="S1142" s="56">
        <v>0</v>
      </c>
      <c r="T1142" s="56">
        <f>_xlfn.XLOOKUP($N1142,'Calculo Leads Conveniencia'!$A$77:$A$104,'Calculo Leads Conveniencia'!G$77:G$104)*_xlfn.XLOOKUP($P1142,'Base Grupo de Produtos'!$E$23:$E$39,'Base Grupo de Produtos'!$F$23:$F$39)</f>
        <v>24</v>
      </c>
      <c r="U1142" s="56">
        <f>_xlfn.XLOOKUP($N1142,'Calculo Leads Conveniencia'!$A$77:$A$104,'Calculo Leads Conveniencia'!H$77:H$104)*_xlfn.XLOOKUP($P1142,'Base Grupo de Produtos'!$E$23:$E$39,'Base Grupo de Produtos'!$F$23:$F$39)</f>
        <v>24</v>
      </c>
      <c r="V1142" s="56">
        <f>_xlfn.XLOOKUP($N1142,'Calculo Leads Conveniencia'!$A$77:$A$104,'Calculo Leads Conveniencia'!I$77:I$104)*_xlfn.XLOOKUP($P1142,'Base Grupo de Produtos'!$E$23:$E$39,'Base Grupo de Produtos'!$F$23:$F$39)</f>
        <v>32</v>
      </c>
      <c r="W1142" s="56">
        <f>_xlfn.XLOOKUP($N1142,'Calculo Leads Conveniencia'!$A$77:$A$104,'Calculo Leads Conveniencia'!J$77:J$104)*_xlfn.XLOOKUP($P1142,'Base Grupo de Produtos'!$E$23:$E$39,'Base Grupo de Produtos'!$F$23:$F$39)</f>
        <v>40</v>
      </c>
      <c r="X1142" s="56">
        <f>_xlfn.XLOOKUP($N1142,'Calculo Leads Conveniencia'!$A$77:$A$104,'Calculo Leads Conveniencia'!K$77:K$104)*_xlfn.XLOOKUP($P1142,'Base Grupo de Produtos'!$E$23:$E$39,'Base Grupo de Produtos'!$F$23:$F$39)</f>
        <v>48</v>
      </c>
      <c r="Y1142" s="56">
        <f>_xlfn.XLOOKUP($N1142,'Calculo Leads Conveniencia'!$A$77:$A$104,'Calculo Leads Conveniencia'!L$77:L$104)*_xlfn.XLOOKUP($P1142,'Base Grupo de Produtos'!$E$23:$E$39,'Base Grupo de Produtos'!$F$23:$F$39)</f>
        <v>56</v>
      </c>
      <c r="Z1142" s="56">
        <f>_xlfn.XLOOKUP($N1142,'Calculo Leads Conveniencia'!$A$77:$A$104,'Calculo Leads Conveniencia'!M$77:M$104)*_xlfn.XLOOKUP($P1142,'Base Grupo de Produtos'!$E$23:$E$39,'Base Grupo de Produtos'!$F$23:$F$39)</f>
        <v>64</v>
      </c>
      <c r="AA1142" s="56">
        <f>_xlfn.XLOOKUP($N1142,'Calculo Leads Conveniencia'!$A$77:$A$104,'Calculo Leads Conveniencia'!N$77:N$104)*_xlfn.XLOOKUP($P1142,'Base Grupo de Produtos'!$E$23:$E$39,'Base Grupo de Produtos'!$F$23:$F$39)</f>
        <v>72</v>
      </c>
      <c r="AB1142" s="56">
        <f>_xlfn.XLOOKUP($N1142,'Calculo Leads Conveniencia'!$A$77:$A$104,'Calculo Leads Conveniencia'!O$77:O$104)*_xlfn.XLOOKUP($P1142,'Base Grupo de Produtos'!$E$23:$E$39,'Base Grupo de Produtos'!$F$23:$F$39)</f>
        <v>72</v>
      </c>
      <c r="AC1142" s="61">
        <f t="shared" si="1078"/>
        <v>432</v>
      </c>
      <c r="AD1142" s="28"/>
      <c r="AE1142" s="12"/>
      <c r="AF1142" s="29"/>
      <c r="AG1142" s="9"/>
      <c r="AH1142" s="10"/>
      <c r="AI1142" s="9"/>
      <c r="AJ1142" s="11"/>
      <c r="AK1142" s="9"/>
      <c r="AL1142" s="13"/>
      <c r="AM1142" s="9"/>
    </row>
    <row r="1143" spans="1:39" x14ac:dyDescent="0.3">
      <c r="A1143" s="2" t="str">
        <f t="shared" si="1074"/>
        <v>NÃO</v>
      </c>
      <c r="B1143" s="2" t="str">
        <f>_xlfn.XLOOKUP($N1143,'Base de Grupos'!$A:$A,'Base de Grupos'!$D:$D)</f>
        <v>1000065763</v>
      </c>
      <c r="C1143" s="5" t="str">
        <f>_xlfn.XLOOKUP($N1143,'Base de Grupos'!$A:$A,'Base de Grupos'!$E:$E)</f>
        <v>CANAL VENDA INTERNA</v>
      </c>
      <c r="D1143" s="5" t="str">
        <f>_xlfn.XLOOKUP($N1143,'Base de Grupos'!$A:$A,'Base de Grupos'!$F:$F)</f>
        <v>1000065763</v>
      </c>
      <c r="E1143" s="2" t="str">
        <f>_xlfn.XLOOKUP($N1143,'Base de Grupos'!$A:$A,'Base de Grupos'!$G:$G)</f>
        <v>CANAL VENDA INTERNA</v>
      </c>
      <c r="F1143" s="2" t="str">
        <f>_xlfn.XLOOKUP($N1143,'Base de Grupos'!$A:$A,'Base de Grupos'!$H:$H)</f>
        <v>1000174119</v>
      </c>
      <c r="G1143" s="5" t="str">
        <f>_xlfn.XLOOKUP($N1143,'Base de Grupos'!$A:$A,'Base de Grupos'!$I:$I)</f>
        <v>REGIONAL VENDA INTERNA - CONVENIENCIA</v>
      </c>
      <c r="H1143" s="5" t="str">
        <f>_xlfn.XLOOKUP($N1143,'Base de Grupos'!$A:$A,'Base de Grupos'!$J:$J)</f>
        <v>1000174119</v>
      </c>
      <c r="I1143" s="2" t="str">
        <f>_xlfn.XLOOKUP($N1143,'Base de Grupos'!$A:$A,'Base de Grupos'!$K:$K)</f>
        <v>REGIONAL VENDA INTERNA - CONVENIENCIA</v>
      </c>
      <c r="J1143" s="2" t="str">
        <f>_xlfn.XLOOKUP($N1143,'Base de Grupos'!$A:$A,'Base de Grupos'!$L:$L)</f>
        <v>1000174119</v>
      </c>
      <c r="K1143" s="5" t="str">
        <f>_xlfn.XLOOKUP($N1143,'Base de Grupos'!$A:$A,'Base de Grupos'!$M:$M)</f>
        <v>REGIONAL VENDA INTERNA - CONVENIENCIA</v>
      </c>
      <c r="L1143" s="5" t="str">
        <f t="shared" si="1075"/>
        <v/>
      </c>
      <c r="M1143" s="5" t="str">
        <f>_xlfn.XLOOKUP($N1143,'Base de Grupos'!$A:$A,'Base de Grupos'!$C:$C)</f>
        <v>SC</v>
      </c>
      <c r="N1143" s="3">
        <v>1530</v>
      </c>
      <c r="O1143" s="4" t="s">
        <v>287</v>
      </c>
      <c r="P1143" s="5" t="s">
        <v>85</v>
      </c>
      <c r="Q1143" s="56">
        <v>0</v>
      </c>
      <c r="R1143" s="56">
        <v>0</v>
      </c>
      <c r="S1143" s="56">
        <v>0</v>
      </c>
      <c r="T1143" s="56">
        <f>_xlfn.XLOOKUP($N1143,'Calculo Leads Conveniencia'!$A$77:$A$104,'Calculo Leads Conveniencia'!G$77:G$104)*_xlfn.XLOOKUP($P1143,'Base Grupo de Produtos'!$E$23:$E$39,'Base Grupo de Produtos'!$F$23:$F$39)</f>
        <v>24</v>
      </c>
      <c r="U1143" s="56">
        <f>_xlfn.XLOOKUP($N1143,'Calculo Leads Conveniencia'!$A$77:$A$104,'Calculo Leads Conveniencia'!H$77:H$104)*_xlfn.XLOOKUP($P1143,'Base Grupo de Produtos'!$E$23:$E$39,'Base Grupo de Produtos'!$F$23:$F$39)</f>
        <v>24</v>
      </c>
      <c r="V1143" s="56">
        <f>_xlfn.XLOOKUP($N1143,'Calculo Leads Conveniencia'!$A$77:$A$104,'Calculo Leads Conveniencia'!I$77:I$104)*_xlfn.XLOOKUP($P1143,'Base Grupo de Produtos'!$E$23:$E$39,'Base Grupo de Produtos'!$F$23:$F$39)</f>
        <v>32</v>
      </c>
      <c r="W1143" s="56">
        <f>_xlfn.XLOOKUP($N1143,'Calculo Leads Conveniencia'!$A$77:$A$104,'Calculo Leads Conveniencia'!J$77:J$104)*_xlfn.XLOOKUP($P1143,'Base Grupo de Produtos'!$E$23:$E$39,'Base Grupo de Produtos'!$F$23:$F$39)</f>
        <v>40</v>
      </c>
      <c r="X1143" s="56">
        <f>_xlfn.XLOOKUP($N1143,'Calculo Leads Conveniencia'!$A$77:$A$104,'Calculo Leads Conveniencia'!K$77:K$104)*_xlfn.XLOOKUP($P1143,'Base Grupo de Produtos'!$E$23:$E$39,'Base Grupo de Produtos'!$F$23:$F$39)</f>
        <v>48</v>
      </c>
      <c r="Y1143" s="56">
        <f>_xlfn.XLOOKUP($N1143,'Calculo Leads Conveniencia'!$A$77:$A$104,'Calculo Leads Conveniencia'!L$77:L$104)*_xlfn.XLOOKUP($P1143,'Base Grupo de Produtos'!$E$23:$E$39,'Base Grupo de Produtos'!$F$23:$F$39)</f>
        <v>56</v>
      </c>
      <c r="Z1143" s="56">
        <f>_xlfn.XLOOKUP($N1143,'Calculo Leads Conveniencia'!$A$77:$A$104,'Calculo Leads Conveniencia'!M$77:M$104)*_xlfn.XLOOKUP($P1143,'Base Grupo de Produtos'!$E$23:$E$39,'Base Grupo de Produtos'!$F$23:$F$39)</f>
        <v>64</v>
      </c>
      <c r="AA1143" s="56">
        <f>_xlfn.XLOOKUP($N1143,'Calculo Leads Conveniencia'!$A$77:$A$104,'Calculo Leads Conveniencia'!N$77:N$104)*_xlfn.XLOOKUP($P1143,'Base Grupo de Produtos'!$E$23:$E$39,'Base Grupo de Produtos'!$F$23:$F$39)</f>
        <v>72</v>
      </c>
      <c r="AB1143" s="56">
        <f>_xlfn.XLOOKUP($N1143,'Calculo Leads Conveniencia'!$A$77:$A$104,'Calculo Leads Conveniencia'!O$77:O$104)*_xlfn.XLOOKUP($P1143,'Base Grupo de Produtos'!$E$23:$E$39,'Base Grupo de Produtos'!$F$23:$F$39)</f>
        <v>72</v>
      </c>
      <c r="AC1143" s="61">
        <f t="shared" si="1078"/>
        <v>432</v>
      </c>
      <c r="AD1143" s="28"/>
      <c r="AE1143" s="12"/>
      <c r="AF1143" s="29"/>
      <c r="AG1143" s="9"/>
      <c r="AH1143" s="10"/>
      <c r="AI1143" s="9"/>
      <c r="AJ1143" s="11"/>
      <c r="AK1143" s="9"/>
      <c r="AL1143" s="13"/>
      <c r="AM1143" s="9"/>
    </row>
    <row r="1144" spans="1:39" x14ac:dyDescent="0.3">
      <c r="A1144" s="2" t="str">
        <f t="shared" si="1074"/>
        <v>NÃO</v>
      </c>
      <c r="B1144" s="2" t="str">
        <f>_xlfn.XLOOKUP($N1144,'Base de Grupos'!$A:$A,'Base de Grupos'!$D:$D)</f>
        <v>1000065763</v>
      </c>
      <c r="C1144" s="5" t="str">
        <f>_xlfn.XLOOKUP($N1144,'Base de Grupos'!$A:$A,'Base de Grupos'!$E:$E)</f>
        <v>CANAL VENDA INTERNA</v>
      </c>
      <c r="D1144" s="5" t="str">
        <f>_xlfn.XLOOKUP($N1144,'Base de Grupos'!$A:$A,'Base de Grupos'!$F:$F)</f>
        <v>1000065763</v>
      </c>
      <c r="E1144" s="2" t="str">
        <f>_xlfn.XLOOKUP($N1144,'Base de Grupos'!$A:$A,'Base de Grupos'!$G:$G)</f>
        <v>CANAL VENDA INTERNA</v>
      </c>
      <c r="F1144" s="2" t="str">
        <f>_xlfn.XLOOKUP($N1144,'Base de Grupos'!$A:$A,'Base de Grupos'!$H:$H)</f>
        <v>1000174119</v>
      </c>
      <c r="G1144" s="5" t="str">
        <f>_xlfn.XLOOKUP($N1144,'Base de Grupos'!$A:$A,'Base de Grupos'!$I:$I)</f>
        <v>REGIONAL VENDA INTERNA - CONVENIENCIA</v>
      </c>
      <c r="H1144" s="5" t="str">
        <f>_xlfn.XLOOKUP($N1144,'Base de Grupos'!$A:$A,'Base de Grupos'!$J:$J)</f>
        <v>1000174119</v>
      </c>
      <c r="I1144" s="2" t="str">
        <f>_xlfn.XLOOKUP($N1144,'Base de Grupos'!$A:$A,'Base de Grupos'!$K:$K)</f>
        <v>REGIONAL VENDA INTERNA - CONVENIENCIA</v>
      </c>
      <c r="J1144" s="2" t="str">
        <f>_xlfn.XLOOKUP($N1144,'Base de Grupos'!$A:$A,'Base de Grupos'!$L:$L)</f>
        <v>1000174119</v>
      </c>
      <c r="K1144" s="5" t="str">
        <f>_xlfn.XLOOKUP($N1144,'Base de Grupos'!$A:$A,'Base de Grupos'!$M:$M)</f>
        <v>REGIONAL VENDA INTERNA - CONVENIENCIA</v>
      </c>
      <c r="L1144" s="5" t="str">
        <f t="shared" si="1075"/>
        <v/>
      </c>
      <c r="M1144" s="5" t="str">
        <f>_xlfn.XLOOKUP($N1144,'Base de Grupos'!$A:$A,'Base de Grupos'!$C:$C)</f>
        <v>SC</v>
      </c>
      <c r="N1144" s="3">
        <v>1530</v>
      </c>
      <c r="O1144" s="4" t="s">
        <v>287</v>
      </c>
      <c r="P1144" s="5" t="s">
        <v>92</v>
      </c>
      <c r="Q1144" s="56">
        <v>0</v>
      </c>
      <c r="R1144" s="56">
        <v>0</v>
      </c>
      <c r="S1144" s="56">
        <v>0</v>
      </c>
      <c r="T1144" s="56">
        <f>_xlfn.XLOOKUP($N1144,'Calculo Leads Conveniencia'!$A$77:$A$104,'Calculo Leads Conveniencia'!G$77:G$104)*_xlfn.XLOOKUP($P1144,'Base Grupo de Produtos'!$E$23:$E$39,'Base Grupo de Produtos'!$F$23:$F$39)</f>
        <v>24</v>
      </c>
      <c r="U1144" s="56">
        <f>_xlfn.XLOOKUP($N1144,'Calculo Leads Conveniencia'!$A$77:$A$104,'Calculo Leads Conveniencia'!H$77:H$104)*_xlfn.XLOOKUP($P1144,'Base Grupo de Produtos'!$E$23:$E$39,'Base Grupo de Produtos'!$F$23:$F$39)</f>
        <v>24</v>
      </c>
      <c r="V1144" s="56">
        <f>_xlfn.XLOOKUP($N1144,'Calculo Leads Conveniencia'!$A$77:$A$104,'Calculo Leads Conveniencia'!I$77:I$104)*_xlfn.XLOOKUP($P1144,'Base Grupo de Produtos'!$E$23:$E$39,'Base Grupo de Produtos'!$F$23:$F$39)</f>
        <v>32</v>
      </c>
      <c r="W1144" s="56">
        <f>_xlfn.XLOOKUP($N1144,'Calculo Leads Conveniencia'!$A$77:$A$104,'Calculo Leads Conveniencia'!J$77:J$104)*_xlfn.XLOOKUP($P1144,'Base Grupo de Produtos'!$E$23:$E$39,'Base Grupo de Produtos'!$F$23:$F$39)</f>
        <v>40</v>
      </c>
      <c r="X1144" s="56">
        <f>_xlfn.XLOOKUP($N1144,'Calculo Leads Conveniencia'!$A$77:$A$104,'Calculo Leads Conveniencia'!K$77:K$104)*_xlfn.XLOOKUP($P1144,'Base Grupo de Produtos'!$E$23:$E$39,'Base Grupo de Produtos'!$F$23:$F$39)</f>
        <v>48</v>
      </c>
      <c r="Y1144" s="56">
        <f>_xlfn.XLOOKUP($N1144,'Calculo Leads Conveniencia'!$A$77:$A$104,'Calculo Leads Conveniencia'!L$77:L$104)*_xlfn.XLOOKUP($P1144,'Base Grupo de Produtos'!$E$23:$E$39,'Base Grupo de Produtos'!$F$23:$F$39)</f>
        <v>56</v>
      </c>
      <c r="Z1144" s="56">
        <f>_xlfn.XLOOKUP($N1144,'Calculo Leads Conveniencia'!$A$77:$A$104,'Calculo Leads Conveniencia'!M$77:M$104)*_xlfn.XLOOKUP($P1144,'Base Grupo de Produtos'!$E$23:$E$39,'Base Grupo de Produtos'!$F$23:$F$39)</f>
        <v>64</v>
      </c>
      <c r="AA1144" s="56">
        <f>_xlfn.XLOOKUP($N1144,'Calculo Leads Conveniencia'!$A$77:$A$104,'Calculo Leads Conveniencia'!N$77:N$104)*_xlfn.XLOOKUP($P1144,'Base Grupo de Produtos'!$E$23:$E$39,'Base Grupo de Produtos'!$F$23:$F$39)</f>
        <v>72</v>
      </c>
      <c r="AB1144" s="56">
        <f>_xlfn.XLOOKUP($N1144,'Calculo Leads Conveniencia'!$A$77:$A$104,'Calculo Leads Conveniencia'!O$77:O$104)*_xlfn.XLOOKUP($P1144,'Base Grupo de Produtos'!$E$23:$E$39,'Base Grupo de Produtos'!$F$23:$F$39)</f>
        <v>72</v>
      </c>
      <c r="AC1144" s="61">
        <f t="shared" si="1078"/>
        <v>432</v>
      </c>
      <c r="AD1144" s="28"/>
      <c r="AE1144" s="12"/>
      <c r="AF1144" s="29"/>
      <c r="AG1144" s="9"/>
      <c r="AH1144" s="10"/>
      <c r="AI1144" s="9"/>
      <c r="AJ1144" s="11"/>
      <c r="AK1144" s="9"/>
      <c r="AL1144" s="13"/>
      <c r="AM1144" s="9"/>
    </row>
    <row r="1145" spans="1:39" x14ac:dyDescent="0.3">
      <c r="A1145" s="2" t="str">
        <f t="shared" si="1074"/>
        <v>NÃO</v>
      </c>
      <c r="B1145" s="2" t="str">
        <f>_xlfn.XLOOKUP($N1145,'Base de Grupos'!$A:$A,'Base de Grupos'!$D:$D)</f>
        <v>1000065763</v>
      </c>
      <c r="C1145" s="5" t="str">
        <f>_xlfn.XLOOKUP($N1145,'Base de Grupos'!$A:$A,'Base de Grupos'!$E:$E)</f>
        <v>CANAL VENDA INTERNA</v>
      </c>
      <c r="D1145" s="5" t="str">
        <f>_xlfn.XLOOKUP($N1145,'Base de Grupos'!$A:$A,'Base de Grupos'!$F:$F)</f>
        <v>1000065763</v>
      </c>
      <c r="E1145" s="2" t="str">
        <f>_xlfn.XLOOKUP($N1145,'Base de Grupos'!$A:$A,'Base de Grupos'!$G:$G)</f>
        <v>CANAL VENDA INTERNA</v>
      </c>
      <c r="F1145" s="2" t="str">
        <f>_xlfn.XLOOKUP($N1145,'Base de Grupos'!$A:$A,'Base de Grupos'!$H:$H)</f>
        <v>1000174119</v>
      </c>
      <c r="G1145" s="5" t="str">
        <f>_xlfn.XLOOKUP($N1145,'Base de Grupos'!$A:$A,'Base de Grupos'!$I:$I)</f>
        <v>REGIONAL VENDA INTERNA - CONVENIENCIA</v>
      </c>
      <c r="H1145" s="5" t="str">
        <f>_xlfn.XLOOKUP($N1145,'Base de Grupos'!$A:$A,'Base de Grupos'!$J:$J)</f>
        <v>1000174119</v>
      </c>
      <c r="I1145" s="2" t="str">
        <f>_xlfn.XLOOKUP($N1145,'Base de Grupos'!$A:$A,'Base de Grupos'!$K:$K)</f>
        <v>REGIONAL VENDA INTERNA - CONVENIENCIA</v>
      </c>
      <c r="J1145" s="2" t="str">
        <f>_xlfn.XLOOKUP($N1145,'Base de Grupos'!$A:$A,'Base de Grupos'!$L:$L)</f>
        <v>1000174119</v>
      </c>
      <c r="K1145" s="5" t="str">
        <f>_xlfn.XLOOKUP($N1145,'Base de Grupos'!$A:$A,'Base de Grupos'!$M:$M)</f>
        <v>REGIONAL VENDA INTERNA - CONVENIENCIA</v>
      </c>
      <c r="L1145" s="5" t="str">
        <f t="shared" si="1075"/>
        <v/>
      </c>
      <c r="M1145" s="5" t="str">
        <f>_xlfn.XLOOKUP($N1145,'Base de Grupos'!$A:$A,'Base de Grupos'!$C:$C)</f>
        <v>SC</v>
      </c>
      <c r="N1145" s="3">
        <v>1530</v>
      </c>
      <c r="O1145" s="4" t="s">
        <v>287</v>
      </c>
      <c r="P1145" s="5" t="s">
        <v>86</v>
      </c>
      <c r="Q1145" s="56">
        <v>0</v>
      </c>
      <c r="R1145" s="56">
        <v>0</v>
      </c>
      <c r="S1145" s="56">
        <v>0</v>
      </c>
      <c r="T1145" s="56">
        <f>_xlfn.XLOOKUP($N1145,'Calculo Leads Conveniencia'!$A$77:$A$104,'Calculo Leads Conveniencia'!G$77:G$104)*_xlfn.XLOOKUP($P1145,'Base Grupo de Produtos'!$E$23:$E$39,'Base Grupo de Produtos'!$F$23:$F$39)</f>
        <v>144</v>
      </c>
      <c r="U1145" s="56">
        <f>_xlfn.XLOOKUP($N1145,'Calculo Leads Conveniencia'!$A$77:$A$104,'Calculo Leads Conveniencia'!H$77:H$104)*_xlfn.XLOOKUP($P1145,'Base Grupo de Produtos'!$E$23:$E$39,'Base Grupo de Produtos'!$F$23:$F$39)</f>
        <v>144</v>
      </c>
      <c r="V1145" s="56">
        <f>_xlfn.XLOOKUP($N1145,'Calculo Leads Conveniencia'!$A$77:$A$104,'Calculo Leads Conveniencia'!I$77:I$104)*_xlfn.XLOOKUP($P1145,'Base Grupo de Produtos'!$E$23:$E$39,'Base Grupo de Produtos'!$F$23:$F$39)</f>
        <v>192</v>
      </c>
      <c r="W1145" s="56">
        <f>_xlfn.XLOOKUP($N1145,'Calculo Leads Conveniencia'!$A$77:$A$104,'Calculo Leads Conveniencia'!J$77:J$104)*_xlfn.XLOOKUP($P1145,'Base Grupo de Produtos'!$E$23:$E$39,'Base Grupo de Produtos'!$F$23:$F$39)</f>
        <v>240</v>
      </c>
      <c r="X1145" s="56">
        <f>_xlfn.XLOOKUP($N1145,'Calculo Leads Conveniencia'!$A$77:$A$104,'Calculo Leads Conveniencia'!K$77:K$104)*_xlfn.XLOOKUP($P1145,'Base Grupo de Produtos'!$E$23:$E$39,'Base Grupo de Produtos'!$F$23:$F$39)</f>
        <v>288</v>
      </c>
      <c r="Y1145" s="56">
        <f>_xlfn.XLOOKUP($N1145,'Calculo Leads Conveniencia'!$A$77:$A$104,'Calculo Leads Conveniencia'!L$77:L$104)*_xlfn.XLOOKUP($P1145,'Base Grupo de Produtos'!$E$23:$E$39,'Base Grupo de Produtos'!$F$23:$F$39)</f>
        <v>336</v>
      </c>
      <c r="Z1145" s="56">
        <f>_xlfn.XLOOKUP($N1145,'Calculo Leads Conveniencia'!$A$77:$A$104,'Calculo Leads Conveniencia'!M$77:M$104)*_xlfn.XLOOKUP($P1145,'Base Grupo de Produtos'!$E$23:$E$39,'Base Grupo de Produtos'!$F$23:$F$39)</f>
        <v>384</v>
      </c>
      <c r="AA1145" s="56">
        <f>_xlfn.XLOOKUP($N1145,'Calculo Leads Conveniencia'!$A$77:$A$104,'Calculo Leads Conveniencia'!N$77:N$104)*_xlfn.XLOOKUP($P1145,'Base Grupo de Produtos'!$E$23:$E$39,'Base Grupo de Produtos'!$F$23:$F$39)</f>
        <v>432</v>
      </c>
      <c r="AB1145" s="56">
        <f>_xlfn.XLOOKUP($N1145,'Calculo Leads Conveniencia'!$A$77:$A$104,'Calculo Leads Conveniencia'!O$77:O$104)*_xlfn.XLOOKUP($P1145,'Base Grupo de Produtos'!$E$23:$E$39,'Base Grupo de Produtos'!$F$23:$F$39)</f>
        <v>432</v>
      </c>
      <c r="AC1145" s="61">
        <f t="shared" si="1078"/>
        <v>2592</v>
      </c>
      <c r="AD1145" s="28"/>
      <c r="AE1145" s="12"/>
      <c r="AF1145" s="29"/>
      <c r="AG1145" s="9"/>
      <c r="AH1145" s="10"/>
      <c r="AI1145" s="9"/>
      <c r="AJ1145" s="11"/>
      <c r="AK1145" s="9"/>
      <c r="AL1145" s="13"/>
      <c r="AM1145" s="9"/>
    </row>
    <row r="1146" spans="1:39" x14ac:dyDescent="0.3">
      <c r="A1146" s="2" t="str">
        <f t="shared" si="1074"/>
        <v>NÃO</v>
      </c>
      <c r="B1146" s="2" t="str">
        <f>_xlfn.XLOOKUP($N1146,'Base de Grupos'!$A:$A,'Base de Grupos'!$D:$D)</f>
        <v>1000065763</v>
      </c>
      <c r="C1146" s="5" t="str">
        <f>_xlfn.XLOOKUP($N1146,'Base de Grupos'!$A:$A,'Base de Grupos'!$E:$E)</f>
        <v>CANAL VENDA INTERNA</v>
      </c>
      <c r="D1146" s="5" t="str">
        <f>_xlfn.XLOOKUP($N1146,'Base de Grupos'!$A:$A,'Base de Grupos'!$F:$F)</f>
        <v>1000065763</v>
      </c>
      <c r="E1146" s="2" t="str">
        <f>_xlfn.XLOOKUP($N1146,'Base de Grupos'!$A:$A,'Base de Grupos'!$G:$G)</f>
        <v>CANAL VENDA INTERNA</v>
      </c>
      <c r="F1146" s="2" t="str">
        <f>_xlfn.XLOOKUP($N1146,'Base de Grupos'!$A:$A,'Base de Grupos'!$H:$H)</f>
        <v>1000174119</v>
      </c>
      <c r="G1146" s="5" t="str">
        <f>_xlfn.XLOOKUP($N1146,'Base de Grupos'!$A:$A,'Base de Grupos'!$I:$I)</f>
        <v>REGIONAL VENDA INTERNA - CONVENIENCIA</v>
      </c>
      <c r="H1146" s="5" t="str">
        <f>_xlfn.XLOOKUP($N1146,'Base de Grupos'!$A:$A,'Base de Grupos'!$J:$J)</f>
        <v>1000174119</v>
      </c>
      <c r="I1146" s="2" t="str">
        <f>_xlfn.XLOOKUP($N1146,'Base de Grupos'!$A:$A,'Base de Grupos'!$K:$K)</f>
        <v>REGIONAL VENDA INTERNA - CONVENIENCIA</v>
      </c>
      <c r="J1146" s="2" t="str">
        <f>_xlfn.XLOOKUP($N1146,'Base de Grupos'!$A:$A,'Base de Grupos'!$L:$L)</f>
        <v>1000174119</v>
      </c>
      <c r="K1146" s="5" t="str">
        <f>_xlfn.XLOOKUP($N1146,'Base de Grupos'!$A:$A,'Base de Grupos'!$M:$M)</f>
        <v>REGIONAL VENDA INTERNA - CONVENIENCIA</v>
      </c>
      <c r="L1146" s="5" t="str">
        <f t="shared" si="1075"/>
        <v/>
      </c>
      <c r="M1146" s="5" t="str">
        <f>_xlfn.XLOOKUP($N1146,'Base de Grupos'!$A:$A,'Base de Grupos'!$C:$C)</f>
        <v>SC</v>
      </c>
      <c r="N1146" s="3">
        <v>1530</v>
      </c>
      <c r="O1146" s="4" t="s">
        <v>287</v>
      </c>
      <c r="P1146" s="5" t="s">
        <v>108</v>
      </c>
      <c r="Q1146" s="56">
        <v>0</v>
      </c>
      <c r="R1146" s="56">
        <v>0</v>
      </c>
      <c r="S1146" s="56">
        <v>0</v>
      </c>
      <c r="T1146" s="56">
        <f>_xlfn.XLOOKUP($N1146,'Calculo Leads Conveniencia'!$A$77:$A$104,'Calculo Leads Conveniencia'!G$77:G$104)*_xlfn.XLOOKUP($P1146,'Base Grupo de Produtos'!$E$23:$E$39,'Base Grupo de Produtos'!$F$23:$F$39)</f>
        <v>0</v>
      </c>
      <c r="U1146" s="56">
        <f>_xlfn.XLOOKUP($N1146,'Calculo Leads Conveniencia'!$A$77:$A$104,'Calculo Leads Conveniencia'!H$77:H$104)*_xlfn.XLOOKUP($P1146,'Base Grupo de Produtos'!$E$23:$E$39,'Base Grupo de Produtos'!$F$23:$F$39)</f>
        <v>0</v>
      </c>
      <c r="V1146" s="56">
        <f>_xlfn.XLOOKUP($N1146,'Calculo Leads Conveniencia'!$A$77:$A$104,'Calculo Leads Conveniencia'!I$77:I$104)*_xlfn.XLOOKUP($P1146,'Base Grupo de Produtos'!$E$23:$E$39,'Base Grupo de Produtos'!$F$23:$F$39)</f>
        <v>0</v>
      </c>
      <c r="W1146" s="56">
        <f>_xlfn.XLOOKUP($N1146,'Calculo Leads Conveniencia'!$A$77:$A$104,'Calculo Leads Conveniencia'!J$77:J$104)*_xlfn.XLOOKUP($P1146,'Base Grupo de Produtos'!$E$23:$E$39,'Base Grupo de Produtos'!$F$23:$F$39)</f>
        <v>0</v>
      </c>
      <c r="X1146" s="56">
        <f>_xlfn.XLOOKUP($N1146,'Calculo Leads Conveniencia'!$A$77:$A$104,'Calculo Leads Conveniencia'!K$77:K$104)*_xlfn.XLOOKUP($P1146,'Base Grupo de Produtos'!$E$23:$E$39,'Base Grupo de Produtos'!$F$23:$F$39)</f>
        <v>0</v>
      </c>
      <c r="Y1146" s="56">
        <f>_xlfn.XLOOKUP($N1146,'Calculo Leads Conveniencia'!$A$77:$A$104,'Calculo Leads Conveniencia'!L$77:L$104)*_xlfn.XLOOKUP($P1146,'Base Grupo de Produtos'!$E$23:$E$39,'Base Grupo de Produtos'!$F$23:$F$39)</f>
        <v>0</v>
      </c>
      <c r="Z1146" s="56">
        <f>_xlfn.XLOOKUP($N1146,'Calculo Leads Conveniencia'!$A$77:$A$104,'Calculo Leads Conveniencia'!M$77:M$104)*_xlfn.XLOOKUP($P1146,'Base Grupo de Produtos'!$E$23:$E$39,'Base Grupo de Produtos'!$F$23:$F$39)</f>
        <v>0</v>
      </c>
      <c r="AA1146" s="56">
        <f>_xlfn.XLOOKUP($N1146,'Calculo Leads Conveniencia'!$A$77:$A$104,'Calculo Leads Conveniencia'!N$77:N$104)*_xlfn.XLOOKUP($P1146,'Base Grupo de Produtos'!$E$23:$E$39,'Base Grupo de Produtos'!$F$23:$F$39)</f>
        <v>0</v>
      </c>
      <c r="AB1146" s="56">
        <f>_xlfn.XLOOKUP($N1146,'Calculo Leads Conveniencia'!$A$77:$A$104,'Calculo Leads Conveniencia'!O$77:O$104)*_xlfn.XLOOKUP($P1146,'Base Grupo de Produtos'!$E$23:$E$39,'Base Grupo de Produtos'!$F$23:$F$39)</f>
        <v>0</v>
      </c>
      <c r="AC1146" s="61">
        <f t="shared" si="1078"/>
        <v>0</v>
      </c>
      <c r="AD1146" s="28"/>
      <c r="AE1146" s="12"/>
      <c r="AF1146" s="29"/>
      <c r="AG1146" s="9"/>
      <c r="AH1146" s="10"/>
      <c r="AI1146" s="9"/>
      <c r="AJ1146" s="11"/>
      <c r="AK1146" s="9"/>
      <c r="AL1146" s="13"/>
      <c r="AM1146" s="9"/>
    </row>
    <row r="1147" spans="1:39" x14ac:dyDescent="0.3">
      <c r="A1147" s="2" t="str">
        <f t="shared" si="1074"/>
        <v>NÃO</v>
      </c>
      <c r="B1147" s="2" t="str">
        <f>_xlfn.XLOOKUP($N1147,'Base de Grupos'!$A:$A,'Base de Grupos'!$D:$D)</f>
        <v>1000065763</v>
      </c>
      <c r="C1147" s="5" t="str">
        <f>_xlfn.XLOOKUP($N1147,'Base de Grupos'!$A:$A,'Base de Grupos'!$E:$E)</f>
        <v>CANAL VENDA INTERNA</v>
      </c>
      <c r="D1147" s="5" t="str">
        <f>_xlfn.XLOOKUP($N1147,'Base de Grupos'!$A:$A,'Base de Grupos'!$F:$F)</f>
        <v>1000065763</v>
      </c>
      <c r="E1147" s="2" t="str">
        <f>_xlfn.XLOOKUP($N1147,'Base de Grupos'!$A:$A,'Base de Grupos'!$G:$G)</f>
        <v>CANAL VENDA INTERNA</v>
      </c>
      <c r="F1147" s="2" t="str">
        <f>_xlfn.XLOOKUP($N1147,'Base de Grupos'!$A:$A,'Base de Grupos'!$H:$H)</f>
        <v>1000174119</v>
      </c>
      <c r="G1147" s="5" t="str">
        <f>_xlfn.XLOOKUP($N1147,'Base de Grupos'!$A:$A,'Base de Grupos'!$I:$I)</f>
        <v>REGIONAL VENDA INTERNA - CONVENIENCIA</v>
      </c>
      <c r="H1147" s="5" t="str">
        <f>_xlfn.XLOOKUP($N1147,'Base de Grupos'!$A:$A,'Base de Grupos'!$J:$J)</f>
        <v>1000174119</v>
      </c>
      <c r="I1147" s="2" t="str">
        <f>_xlfn.XLOOKUP($N1147,'Base de Grupos'!$A:$A,'Base de Grupos'!$K:$K)</f>
        <v>REGIONAL VENDA INTERNA - CONVENIENCIA</v>
      </c>
      <c r="J1147" s="2" t="str">
        <f>_xlfn.XLOOKUP($N1147,'Base de Grupos'!$A:$A,'Base de Grupos'!$L:$L)</f>
        <v>1000174119</v>
      </c>
      <c r="K1147" s="5" t="str">
        <f>_xlfn.XLOOKUP($N1147,'Base de Grupos'!$A:$A,'Base de Grupos'!$M:$M)</f>
        <v>REGIONAL VENDA INTERNA - CONVENIENCIA</v>
      </c>
      <c r="L1147" s="5" t="str">
        <f t="shared" si="1075"/>
        <v/>
      </c>
      <c r="M1147" s="5" t="str">
        <f>_xlfn.XLOOKUP($N1147,'Base de Grupos'!$A:$A,'Base de Grupos'!$C:$C)</f>
        <v>SC</v>
      </c>
      <c r="N1147" s="3">
        <v>1530</v>
      </c>
      <c r="O1147" s="4" t="s">
        <v>287</v>
      </c>
      <c r="P1147" s="5" t="s">
        <v>89</v>
      </c>
      <c r="Q1147" s="56">
        <v>0</v>
      </c>
      <c r="R1147" s="56">
        <v>0</v>
      </c>
      <c r="S1147" s="56">
        <v>0</v>
      </c>
      <c r="T1147" s="56">
        <f>_xlfn.XLOOKUP($N1147,'Calculo Leads Conveniencia'!$A$77:$A$104,'Calculo Leads Conveniencia'!G$77:G$104)*_xlfn.XLOOKUP($P1147,'Base Grupo de Produtos'!$E$23:$E$39,'Base Grupo de Produtos'!$F$23:$F$39)</f>
        <v>240</v>
      </c>
      <c r="U1147" s="56">
        <f>_xlfn.XLOOKUP($N1147,'Calculo Leads Conveniencia'!$A$77:$A$104,'Calculo Leads Conveniencia'!H$77:H$104)*_xlfn.XLOOKUP($P1147,'Base Grupo de Produtos'!$E$23:$E$39,'Base Grupo de Produtos'!$F$23:$F$39)</f>
        <v>240</v>
      </c>
      <c r="V1147" s="56">
        <f>_xlfn.XLOOKUP($N1147,'Calculo Leads Conveniencia'!$A$77:$A$104,'Calculo Leads Conveniencia'!I$77:I$104)*_xlfn.XLOOKUP($P1147,'Base Grupo de Produtos'!$E$23:$E$39,'Base Grupo de Produtos'!$F$23:$F$39)</f>
        <v>320</v>
      </c>
      <c r="W1147" s="56">
        <f>_xlfn.XLOOKUP($N1147,'Calculo Leads Conveniencia'!$A$77:$A$104,'Calculo Leads Conveniencia'!J$77:J$104)*_xlfn.XLOOKUP($P1147,'Base Grupo de Produtos'!$E$23:$E$39,'Base Grupo de Produtos'!$F$23:$F$39)</f>
        <v>400</v>
      </c>
      <c r="X1147" s="56">
        <f>_xlfn.XLOOKUP($N1147,'Calculo Leads Conveniencia'!$A$77:$A$104,'Calculo Leads Conveniencia'!K$77:K$104)*_xlfn.XLOOKUP($P1147,'Base Grupo de Produtos'!$E$23:$E$39,'Base Grupo de Produtos'!$F$23:$F$39)</f>
        <v>480</v>
      </c>
      <c r="Y1147" s="56">
        <f>_xlfn.XLOOKUP($N1147,'Calculo Leads Conveniencia'!$A$77:$A$104,'Calculo Leads Conveniencia'!L$77:L$104)*_xlfn.XLOOKUP($P1147,'Base Grupo de Produtos'!$E$23:$E$39,'Base Grupo de Produtos'!$F$23:$F$39)</f>
        <v>560</v>
      </c>
      <c r="Z1147" s="56">
        <f>_xlfn.XLOOKUP($N1147,'Calculo Leads Conveniencia'!$A$77:$A$104,'Calculo Leads Conveniencia'!M$77:M$104)*_xlfn.XLOOKUP($P1147,'Base Grupo de Produtos'!$E$23:$E$39,'Base Grupo de Produtos'!$F$23:$F$39)</f>
        <v>640</v>
      </c>
      <c r="AA1147" s="56">
        <f>_xlfn.XLOOKUP($N1147,'Calculo Leads Conveniencia'!$A$77:$A$104,'Calculo Leads Conveniencia'!N$77:N$104)*_xlfn.XLOOKUP($P1147,'Base Grupo de Produtos'!$E$23:$E$39,'Base Grupo de Produtos'!$F$23:$F$39)</f>
        <v>720</v>
      </c>
      <c r="AB1147" s="56">
        <f>_xlfn.XLOOKUP($N1147,'Calculo Leads Conveniencia'!$A$77:$A$104,'Calculo Leads Conveniencia'!O$77:O$104)*_xlfn.XLOOKUP($P1147,'Base Grupo de Produtos'!$E$23:$E$39,'Base Grupo de Produtos'!$F$23:$F$39)</f>
        <v>720</v>
      </c>
      <c r="AC1147" s="61">
        <f t="shared" si="1078"/>
        <v>4320</v>
      </c>
      <c r="AD1147" s="28"/>
      <c r="AE1147" s="12"/>
      <c r="AF1147" s="29"/>
      <c r="AG1147" s="9"/>
      <c r="AH1147" s="10"/>
      <c r="AI1147" s="9"/>
      <c r="AJ1147" s="11"/>
      <c r="AK1147" s="9"/>
      <c r="AL1147" s="13"/>
      <c r="AM1147" s="9"/>
    </row>
    <row r="1148" spans="1:39" x14ac:dyDescent="0.3">
      <c r="A1148" s="2" t="str">
        <f t="shared" si="1074"/>
        <v>NÃO</v>
      </c>
      <c r="B1148" s="2" t="str">
        <f>_xlfn.XLOOKUP($N1148,'Base de Grupos'!$A:$A,'Base de Grupos'!$D:$D)</f>
        <v>1000065763</v>
      </c>
      <c r="C1148" s="5" t="str">
        <f>_xlfn.XLOOKUP($N1148,'Base de Grupos'!$A:$A,'Base de Grupos'!$E:$E)</f>
        <v>CANAL VENDA INTERNA</v>
      </c>
      <c r="D1148" s="5" t="str">
        <f>_xlfn.XLOOKUP($N1148,'Base de Grupos'!$A:$A,'Base de Grupos'!$F:$F)</f>
        <v>1000065763</v>
      </c>
      <c r="E1148" s="2" t="str">
        <f>_xlfn.XLOOKUP($N1148,'Base de Grupos'!$A:$A,'Base de Grupos'!$G:$G)</f>
        <v>CANAL VENDA INTERNA</v>
      </c>
      <c r="F1148" s="2" t="str">
        <f>_xlfn.XLOOKUP($N1148,'Base de Grupos'!$A:$A,'Base de Grupos'!$H:$H)</f>
        <v>1000174119</v>
      </c>
      <c r="G1148" s="5" t="str">
        <f>_xlfn.XLOOKUP($N1148,'Base de Grupos'!$A:$A,'Base de Grupos'!$I:$I)</f>
        <v>REGIONAL VENDA INTERNA - CONVENIENCIA</v>
      </c>
      <c r="H1148" s="5" t="str">
        <f>_xlfn.XLOOKUP($N1148,'Base de Grupos'!$A:$A,'Base de Grupos'!$J:$J)</f>
        <v>1000174119</v>
      </c>
      <c r="I1148" s="2" t="str">
        <f>_xlfn.XLOOKUP($N1148,'Base de Grupos'!$A:$A,'Base de Grupos'!$K:$K)</f>
        <v>REGIONAL VENDA INTERNA - CONVENIENCIA</v>
      </c>
      <c r="J1148" s="2" t="str">
        <f>_xlfn.XLOOKUP($N1148,'Base de Grupos'!$A:$A,'Base de Grupos'!$L:$L)</f>
        <v>1000174119</v>
      </c>
      <c r="K1148" s="5" t="str">
        <f>_xlfn.XLOOKUP($N1148,'Base de Grupos'!$A:$A,'Base de Grupos'!$M:$M)</f>
        <v>REGIONAL VENDA INTERNA - CONVENIENCIA</v>
      </c>
      <c r="L1148" s="5" t="str">
        <f t="shared" si="1075"/>
        <v/>
      </c>
      <c r="M1148" s="5" t="str">
        <f>_xlfn.XLOOKUP($N1148,'Base de Grupos'!$A:$A,'Base de Grupos'!$C:$C)</f>
        <v>SC</v>
      </c>
      <c r="N1148" s="3">
        <v>1530</v>
      </c>
      <c r="O1148" s="4" t="s">
        <v>287</v>
      </c>
      <c r="P1148" s="5" t="s">
        <v>88</v>
      </c>
      <c r="Q1148" s="56">
        <v>0</v>
      </c>
      <c r="R1148" s="56">
        <v>0</v>
      </c>
      <c r="S1148" s="56">
        <v>0</v>
      </c>
      <c r="T1148" s="56">
        <f>_xlfn.XLOOKUP($N1148,'Calculo Leads Conveniencia'!$A$77:$A$104,'Calculo Leads Conveniencia'!G$77:G$104)*_xlfn.XLOOKUP($P1148,'Base Grupo de Produtos'!$E$23:$E$39,'Base Grupo de Produtos'!$F$23:$F$39)</f>
        <v>24</v>
      </c>
      <c r="U1148" s="56">
        <f>_xlfn.XLOOKUP($N1148,'Calculo Leads Conveniencia'!$A$77:$A$104,'Calculo Leads Conveniencia'!H$77:H$104)*_xlfn.XLOOKUP($P1148,'Base Grupo de Produtos'!$E$23:$E$39,'Base Grupo de Produtos'!$F$23:$F$39)</f>
        <v>24</v>
      </c>
      <c r="V1148" s="56">
        <f>_xlfn.XLOOKUP($N1148,'Calculo Leads Conveniencia'!$A$77:$A$104,'Calculo Leads Conveniencia'!I$77:I$104)*_xlfn.XLOOKUP($P1148,'Base Grupo de Produtos'!$E$23:$E$39,'Base Grupo de Produtos'!$F$23:$F$39)</f>
        <v>32</v>
      </c>
      <c r="W1148" s="56">
        <f>_xlfn.XLOOKUP($N1148,'Calculo Leads Conveniencia'!$A$77:$A$104,'Calculo Leads Conveniencia'!J$77:J$104)*_xlfn.XLOOKUP($P1148,'Base Grupo de Produtos'!$E$23:$E$39,'Base Grupo de Produtos'!$F$23:$F$39)</f>
        <v>40</v>
      </c>
      <c r="X1148" s="56">
        <f>_xlfn.XLOOKUP($N1148,'Calculo Leads Conveniencia'!$A$77:$A$104,'Calculo Leads Conveniencia'!K$77:K$104)*_xlfn.XLOOKUP($P1148,'Base Grupo de Produtos'!$E$23:$E$39,'Base Grupo de Produtos'!$F$23:$F$39)</f>
        <v>48</v>
      </c>
      <c r="Y1148" s="56">
        <f>_xlfn.XLOOKUP($N1148,'Calculo Leads Conveniencia'!$A$77:$A$104,'Calculo Leads Conveniencia'!L$77:L$104)*_xlfn.XLOOKUP($P1148,'Base Grupo de Produtos'!$E$23:$E$39,'Base Grupo de Produtos'!$F$23:$F$39)</f>
        <v>56</v>
      </c>
      <c r="Z1148" s="56">
        <f>_xlfn.XLOOKUP($N1148,'Calculo Leads Conveniencia'!$A$77:$A$104,'Calculo Leads Conveniencia'!M$77:M$104)*_xlfn.XLOOKUP($P1148,'Base Grupo de Produtos'!$E$23:$E$39,'Base Grupo de Produtos'!$F$23:$F$39)</f>
        <v>64</v>
      </c>
      <c r="AA1148" s="56">
        <f>_xlfn.XLOOKUP($N1148,'Calculo Leads Conveniencia'!$A$77:$A$104,'Calculo Leads Conveniencia'!N$77:N$104)*_xlfn.XLOOKUP($P1148,'Base Grupo de Produtos'!$E$23:$E$39,'Base Grupo de Produtos'!$F$23:$F$39)</f>
        <v>72</v>
      </c>
      <c r="AB1148" s="56">
        <f>_xlfn.XLOOKUP($N1148,'Calculo Leads Conveniencia'!$A$77:$A$104,'Calculo Leads Conveniencia'!O$77:O$104)*_xlfn.XLOOKUP($P1148,'Base Grupo de Produtos'!$E$23:$E$39,'Base Grupo de Produtos'!$F$23:$F$39)</f>
        <v>72</v>
      </c>
      <c r="AC1148" s="61">
        <f t="shared" si="1078"/>
        <v>432</v>
      </c>
      <c r="AD1148" s="28"/>
      <c r="AE1148" s="12"/>
      <c r="AF1148" s="29"/>
      <c r="AG1148" s="9"/>
      <c r="AH1148" s="10"/>
      <c r="AI1148" s="9"/>
      <c r="AJ1148" s="11"/>
      <c r="AK1148" s="9"/>
      <c r="AL1148" s="13"/>
      <c r="AM1148" s="9"/>
    </row>
    <row r="1149" spans="1:39" x14ac:dyDescent="0.3">
      <c r="A1149" s="2" t="str">
        <f t="shared" si="1074"/>
        <v>NÃO</v>
      </c>
      <c r="B1149" s="2" t="str">
        <f>_xlfn.XLOOKUP($N1149,'Base de Grupos'!$A:$A,'Base de Grupos'!$D:$D)</f>
        <v>1000065763</v>
      </c>
      <c r="C1149" s="5" t="str">
        <f>_xlfn.XLOOKUP($N1149,'Base de Grupos'!$A:$A,'Base de Grupos'!$E:$E)</f>
        <v>CANAL VENDA INTERNA</v>
      </c>
      <c r="D1149" s="5" t="str">
        <f>_xlfn.XLOOKUP($N1149,'Base de Grupos'!$A:$A,'Base de Grupos'!$F:$F)</f>
        <v>1000065763</v>
      </c>
      <c r="E1149" s="2" t="str">
        <f>_xlfn.XLOOKUP($N1149,'Base de Grupos'!$A:$A,'Base de Grupos'!$G:$G)</f>
        <v>CANAL VENDA INTERNA</v>
      </c>
      <c r="F1149" s="2" t="str">
        <f>_xlfn.XLOOKUP($N1149,'Base de Grupos'!$A:$A,'Base de Grupos'!$H:$H)</f>
        <v>1000174119</v>
      </c>
      <c r="G1149" s="5" t="str">
        <f>_xlfn.XLOOKUP($N1149,'Base de Grupos'!$A:$A,'Base de Grupos'!$I:$I)</f>
        <v>REGIONAL VENDA INTERNA - CONVENIENCIA</v>
      </c>
      <c r="H1149" s="5" t="str">
        <f>_xlfn.XLOOKUP($N1149,'Base de Grupos'!$A:$A,'Base de Grupos'!$J:$J)</f>
        <v>1000174119</v>
      </c>
      <c r="I1149" s="2" t="str">
        <f>_xlfn.XLOOKUP($N1149,'Base de Grupos'!$A:$A,'Base de Grupos'!$K:$K)</f>
        <v>REGIONAL VENDA INTERNA - CONVENIENCIA</v>
      </c>
      <c r="J1149" s="2" t="str">
        <f>_xlfn.XLOOKUP($N1149,'Base de Grupos'!$A:$A,'Base de Grupos'!$L:$L)</f>
        <v>1000174119</v>
      </c>
      <c r="K1149" s="5" t="str">
        <f>_xlfn.XLOOKUP($N1149,'Base de Grupos'!$A:$A,'Base de Grupos'!$M:$M)</f>
        <v>REGIONAL VENDA INTERNA - CONVENIENCIA</v>
      </c>
      <c r="L1149" s="5" t="str">
        <f t="shared" si="1075"/>
        <v/>
      </c>
      <c r="M1149" s="5" t="str">
        <f>_xlfn.XLOOKUP($N1149,'Base de Grupos'!$A:$A,'Base de Grupos'!$C:$C)</f>
        <v>SC</v>
      </c>
      <c r="N1149" s="3">
        <v>1530</v>
      </c>
      <c r="O1149" s="4" t="s">
        <v>287</v>
      </c>
      <c r="P1149" s="5" t="s">
        <v>90</v>
      </c>
      <c r="Q1149" s="56">
        <v>0</v>
      </c>
      <c r="R1149" s="56">
        <v>0</v>
      </c>
      <c r="S1149" s="56">
        <v>0</v>
      </c>
      <c r="T1149" s="56">
        <f>_xlfn.XLOOKUP($N1149,'Calculo Leads Conveniencia'!$A$77:$A$104,'Calculo Leads Conveniencia'!G$77:G$104)*_xlfn.XLOOKUP($P1149,'Base Grupo de Produtos'!$E$23:$E$39,'Base Grupo de Produtos'!$F$23:$F$39)</f>
        <v>24</v>
      </c>
      <c r="U1149" s="56">
        <f>_xlfn.XLOOKUP($N1149,'Calculo Leads Conveniencia'!$A$77:$A$104,'Calculo Leads Conveniencia'!H$77:H$104)*_xlfn.XLOOKUP($P1149,'Base Grupo de Produtos'!$E$23:$E$39,'Base Grupo de Produtos'!$F$23:$F$39)</f>
        <v>24</v>
      </c>
      <c r="V1149" s="56">
        <f>_xlfn.XLOOKUP($N1149,'Calculo Leads Conveniencia'!$A$77:$A$104,'Calculo Leads Conveniencia'!I$77:I$104)*_xlfn.XLOOKUP($P1149,'Base Grupo de Produtos'!$E$23:$E$39,'Base Grupo de Produtos'!$F$23:$F$39)</f>
        <v>32</v>
      </c>
      <c r="W1149" s="56">
        <f>_xlfn.XLOOKUP($N1149,'Calculo Leads Conveniencia'!$A$77:$A$104,'Calculo Leads Conveniencia'!J$77:J$104)*_xlfn.XLOOKUP($P1149,'Base Grupo de Produtos'!$E$23:$E$39,'Base Grupo de Produtos'!$F$23:$F$39)</f>
        <v>40</v>
      </c>
      <c r="X1149" s="56">
        <f>_xlfn.XLOOKUP($N1149,'Calculo Leads Conveniencia'!$A$77:$A$104,'Calculo Leads Conveniencia'!K$77:K$104)*_xlfn.XLOOKUP($P1149,'Base Grupo de Produtos'!$E$23:$E$39,'Base Grupo de Produtos'!$F$23:$F$39)</f>
        <v>48</v>
      </c>
      <c r="Y1149" s="56">
        <f>_xlfn.XLOOKUP($N1149,'Calculo Leads Conveniencia'!$A$77:$A$104,'Calculo Leads Conveniencia'!L$77:L$104)*_xlfn.XLOOKUP($P1149,'Base Grupo de Produtos'!$E$23:$E$39,'Base Grupo de Produtos'!$F$23:$F$39)</f>
        <v>56</v>
      </c>
      <c r="Z1149" s="56">
        <f>_xlfn.XLOOKUP($N1149,'Calculo Leads Conveniencia'!$A$77:$A$104,'Calculo Leads Conveniencia'!M$77:M$104)*_xlfn.XLOOKUP($P1149,'Base Grupo de Produtos'!$E$23:$E$39,'Base Grupo de Produtos'!$F$23:$F$39)</f>
        <v>64</v>
      </c>
      <c r="AA1149" s="56">
        <f>_xlfn.XLOOKUP($N1149,'Calculo Leads Conveniencia'!$A$77:$A$104,'Calculo Leads Conveniencia'!N$77:N$104)*_xlfn.XLOOKUP($P1149,'Base Grupo de Produtos'!$E$23:$E$39,'Base Grupo de Produtos'!$F$23:$F$39)</f>
        <v>72</v>
      </c>
      <c r="AB1149" s="56">
        <f>_xlfn.XLOOKUP($N1149,'Calculo Leads Conveniencia'!$A$77:$A$104,'Calculo Leads Conveniencia'!O$77:O$104)*_xlfn.XLOOKUP($P1149,'Base Grupo de Produtos'!$E$23:$E$39,'Base Grupo de Produtos'!$F$23:$F$39)</f>
        <v>72</v>
      </c>
      <c r="AC1149" s="61">
        <f t="shared" si="1078"/>
        <v>432</v>
      </c>
      <c r="AD1149" s="28"/>
      <c r="AE1149" s="12"/>
      <c r="AF1149" s="29"/>
      <c r="AG1149" s="9"/>
      <c r="AH1149" s="10"/>
      <c r="AI1149" s="9"/>
      <c r="AJ1149" s="11"/>
      <c r="AK1149" s="9"/>
      <c r="AL1149" s="13"/>
      <c r="AM1149" s="9"/>
    </row>
    <row r="1150" spans="1:39" x14ac:dyDescent="0.3">
      <c r="A1150" s="2" t="str">
        <f t="shared" si="1074"/>
        <v>NÃO</v>
      </c>
      <c r="B1150" s="2" t="str">
        <f>_xlfn.XLOOKUP($N1150,'Base de Grupos'!$A:$A,'Base de Grupos'!$D:$D)</f>
        <v>1000065763</v>
      </c>
      <c r="C1150" s="5" t="str">
        <f>_xlfn.XLOOKUP($N1150,'Base de Grupos'!$A:$A,'Base de Grupos'!$E:$E)</f>
        <v>CANAL VENDA INTERNA</v>
      </c>
      <c r="D1150" s="5" t="str">
        <f>_xlfn.XLOOKUP($N1150,'Base de Grupos'!$A:$A,'Base de Grupos'!$F:$F)</f>
        <v>1000065763</v>
      </c>
      <c r="E1150" s="2" t="str">
        <f>_xlfn.XLOOKUP($N1150,'Base de Grupos'!$A:$A,'Base de Grupos'!$G:$G)</f>
        <v>CANAL VENDA INTERNA</v>
      </c>
      <c r="F1150" s="2" t="str">
        <f>_xlfn.XLOOKUP($N1150,'Base de Grupos'!$A:$A,'Base de Grupos'!$H:$H)</f>
        <v>1000174119</v>
      </c>
      <c r="G1150" s="5" t="str">
        <f>_xlfn.XLOOKUP($N1150,'Base de Grupos'!$A:$A,'Base de Grupos'!$I:$I)</f>
        <v>REGIONAL VENDA INTERNA - CONVENIENCIA</v>
      </c>
      <c r="H1150" s="5" t="str">
        <f>_xlfn.XLOOKUP($N1150,'Base de Grupos'!$A:$A,'Base de Grupos'!$J:$J)</f>
        <v>1000174119</v>
      </c>
      <c r="I1150" s="2" t="str">
        <f>_xlfn.XLOOKUP($N1150,'Base de Grupos'!$A:$A,'Base de Grupos'!$K:$K)</f>
        <v>REGIONAL VENDA INTERNA - CONVENIENCIA</v>
      </c>
      <c r="J1150" s="2" t="str">
        <f>_xlfn.XLOOKUP($N1150,'Base de Grupos'!$A:$A,'Base de Grupos'!$L:$L)</f>
        <v>1000174119</v>
      </c>
      <c r="K1150" s="5" t="str">
        <f>_xlfn.XLOOKUP($N1150,'Base de Grupos'!$A:$A,'Base de Grupos'!$M:$M)</f>
        <v>REGIONAL VENDA INTERNA - CONVENIENCIA</v>
      </c>
      <c r="L1150" s="5" t="str">
        <f t="shared" si="1075"/>
        <v/>
      </c>
      <c r="M1150" s="5" t="str">
        <f>_xlfn.XLOOKUP($N1150,'Base de Grupos'!$A:$A,'Base de Grupos'!$C:$C)</f>
        <v>SC</v>
      </c>
      <c r="N1150" s="3">
        <v>1530</v>
      </c>
      <c r="O1150" s="4" t="s">
        <v>287</v>
      </c>
      <c r="P1150" s="5" t="s">
        <v>91</v>
      </c>
      <c r="Q1150" s="56">
        <v>0</v>
      </c>
      <c r="R1150" s="56">
        <v>0</v>
      </c>
      <c r="S1150" s="56">
        <v>0</v>
      </c>
      <c r="T1150" s="56">
        <f>_xlfn.XLOOKUP($N1150,'Calculo Leads Conveniencia'!$A$77:$A$104,'Calculo Leads Conveniencia'!G$77:G$104)*_xlfn.XLOOKUP($P1150,'Base Grupo de Produtos'!$E$23:$E$39,'Base Grupo de Produtos'!$F$23:$F$39)</f>
        <v>0</v>
      </c>
      <c r="U1150" s="56">
        <f>_xlfn.XLOOKUP($N1150,'Calculo Leads Conveniencia'!$A$77:$A$104,'Calculo Leads Conveniencia'!H$77:H$104)*_xlfn.XLOOKUP($P1150,'Base Grupo de Produtos'!$E$23:$E$39,'Base Grupo de Produtos'!$F$23:$F$39)</f>
        <v>0</v>
      </c>
      <c r="V1150" s="56">
        <f>_xlfn.XLOOKUP($N1150,'Calculo Leads Conveniencia'!$A$77:$A$104,'Calculo Leads Conveniencia'!I$77:I$104)*_xlfn.XLOOKUP($P1150,'Base Grupo de Produtos'!$E$23:$E$39,'Base Grupo de Produtos'!$F$23:$F$39)</f>
        <v>0</v>
      </c>
      <c r="W1150" s="56">
        <f>_xlfn.XLOOKUP($N1150,'Calculo Leads Conveniencia'!$A$77:$A$104,'Calculo Leads Conveniencia'!J$77:J$104)*_xlfn.XLOOKUP($P1150,'Base Grupo de Produtos'!$E$23:$E$39,'Base Grupo de Produtos'!$F$23:$F$39)</f>
        <v>0</v>
      </c>
      <c r="X1150" s="56">
        <f>_xlfn.XLOOKUP($N1150,'Calculo Leads Conveniencia'!$A$77:$A$104,'Calculo Leads Conveniencia'!K$77:K$104)*_xlfn.XLOOKUP($P1150,'Base Grupo de Produtos'!$E$23:$E$39,'Base Grupo de Produtos'!$F$23:$F$39)</f>
        <v>0</v>
      </c>
      <c r="Y1150" s="56">
        <f>_xlfn.XLOOKUP($N1150,'Calculo Leads Conveniencia'!$A$77:$A$104,'Calculo Leads Conveniencia'!L$77:L$104)*_xlfn.XLOOKUP($P1150,'Base Grupo de Produtos'!$E$23:$E$39,'Base Grupo de Produtos'!$F$23:$F$39)</f>
        <v>0</v>
      </c>
      <c r="Z1150" s="56">
        <f>_xlfn.XLOOKUP($N1150,'Calculo Leads Conveniencia'!$A$77:$A$104,'Calculo Leads Conveniencia'!M$77:M$104)*_xlfn.XLOOKUP($P1150,'Base Grupo de Produtos'!$E$23:$E$39,'Base Grupo de Produtos'!$F$23:$F$39)</f>
        <v>0</v>
      </c>
      <c r="AA1150" s="56">
        <f>_xlfn.XLOOKUP($N1150,'Calculo Leads Conveniencia'!$A$77:$A$104,'Calculo Leads Conveniencia'!N$77:N$104)*_xlfn.XLOOKUP($P1150,'Base Grupo de Produtos'!$E$23:$E$39,'Base Grupo de Produtos'!$F$23:$F$39)</f>
        <v>0</v>
      </c>
      <c r="AB1150" s="56">
        <f>_xlfn.XLOOKUP($N1150,'Calculo Leads Conveniencia'!$A$77:$A$104,'Calculo Leads Conveniencia'!O$77:O$104)*_xlfn.XLOOKUP($P1150,'Base Grupo de Produtos'!$E$23:$E$39,'Base Grupo de Produtos'!$F$23:$F$39)</f>
        <v>0</v>
      </c>
      <c r="AC1150" s="61">
        <f t="shared" si="1078"/>
        <v>0</v>
      </c>
      <c r="AD1150" s="28"/>
      <c r="AE1150" s="12"/>
      <c r="AF1150" s="29"/>
      <c r="AG1150" s="9"/>
      <c r="AH1150" s="10"/>
      <c r="AI1150" s="9"/>
      <c r="AJ1150" s="11"/>
      <c r="AK1150" s="9"/>
      <c r="AL1150" s="13"/>
      <c r="AM1150" s="9"/>
    </row>
    <row r="1151" spans="1:39" x14ac:dyDescent="0.3">
      <c r="A1151" s="2" t="str">
        <f t="shared" si="1074"/>
        <v>NÃO</v>
      </c>
      <c r="B1151" s="2" t="str">
        <f>_xlfn.XLOOKUP($N1151,'Base de Grupos'!$A:$A,'Base de Grupos'!$D:$D)</f>
        <v>1000065763</v>
      </c>
      <c r="C1151" s="5" t="str">
        <f>_xlfn.XLOOKUP($N1151,'Base de Grupos'!$A:$A,'Base de Grupos'!$E:$E)</f>
        <v>CANAL VENDA INTERNA</v>
      </c>
      <c r="D1151" s="5" t="str">
        <f>_xlfn.XLOOKUP($N1151,'Base de Grupos'!$A:$A,'Base de Grupos'!$F:$F)</f>
        <v>1000065763</v>
      </c>
      <c r="E1151" s="2" t="str">
        <f>_xlfn.XLOOKUP($N1151,'Base de Grupos'!$A:$A,'Base de Grupos'!$G:$G)</f>
        <v>CANAL VENDA INTERNA</v>
      </c>
      <c r="F1151" s="2" t="str">
        <f>_xlfn.XLOOKUP($N1151,'Base de Grupos'!$A:$A,'Base de Grupos'!$H:$H)</f>
        <v>1000174119</v>
      </c>
      <c r="G1151" s="5" t="str">
        <f>_xlfn.XLOOKUP($N1151,'Base de Grupos'!$A:$A,'Base de Grupos'!$I:$I)</f>
        <v>REGIONAL VENDA INTERNA - CONVENIENCIA</v>
      </c>
      <c r="H1151" s="5" t="str">
        <f>_xlfn.XLOOKUP($N1151,'Base de Grupos'!$A:$A,'Base de Grupos'!$J:$J)</f>
        <v>1000174119</v>
      </c>
      <c r="I1151" s="2" t="str">
        <f>_xlfn.XLOOKUP($N1151,'Base de Grupos'!$A:$A,'Base de Grupos'!$K:$K)</f>
        <v>REGIONAL VENDA INTERNA - CONVENIENCIA</v>
      </c>
      <c r="J1151" s="2" t="str">
        <f>_xlfn.XLOOKUP($N1151,'Base de Grupos'!$A:$A,'Base de Grupos'!$L:$L)</f>
        <v>1000174119</v>
      </c>
      <c r="K1151" s="5" t="str">
        <f>_xlfn.XLOOKUP($N1151,'Base de Grupos'!$A:$A,'Base de Grupos'!$M:$M)</f>
        <v>REGIONAL VENDA INTERNA - CONVENIENCIA</v>
      </c>
      <c r="L1151" s="5" t="str">
        <f t="shared" si="1075"/>
        <v/>
      </c>
      <c r="M1151" s="5" t="str">
        <f>_xlfn.XLOOKUP($N1151,'Base de Grupos'!$A:$A,'Base de Grupos'!$C:$C)</f>
        <v>SC</v>
      </c>
      <c r="N1151" s="3">
        <v>1530</v>
      </c>
      <c r="O1151" s="4" t="s">
        <v>287</v>
      </c>
      <c r="P1151" s="5" t="s">
        <v>96</v>
      </c>
      <c r="Q1151" s="56">
        <v>0</v>
      </c>
      <c r="R1151" s="56">
        <v>0</v>
      </c>
      <c r="S1151" s="56">
        <v>0</v>
      </c>
      <c r="T1151" s="56">
        <f>_xlfn.XLOOKUP($N1151,'Calculo Leads Conveniencia'!$A$77:$A$104,'Calculo Leads Conveniencia'!G$77:G$104)*_xlfn.XLOOKUP($P1151,'Base Grupo de Produtos'!$E$23:$E$39,'Base Grupo de Produtos'!$F$23:$F$39)</f>
        <v>24</v>
      </c>
      <c r="U1151" s="56">
        <f>_xlfn.XLOOKUP($N1151,'Calculo Leads Conveniencia'!$A$77:$A$104,'Calculo Leads Conveniencia'!H$77:H$104)*_xlfn.XLOOKUP($P1151,'Base Grupo de Produtos'!$E$23:$E$39,'Base Grupo de Produtos'!$F$23:$F$39)</f>
        <v>24</v>
      </c>
      <c r="V1151" s="56">
        <f>_xlfn.XLOOKUP($N1151,'Calculo Leads Conveniencia'!$A$77:$A$104,'Calculo Leads Conveniencia'!I$77:I$104)*_xlfn.XLOOKUP($P1151,'Base Grupo de Produtos'!$E$23:$E$39,'Base Grupo de Produtos'!$F$23:$F$39)</f>
        <v>32</v>
      </c>
      <c r="W1151" s="56">
        <f>_xlfn.XLOOKUP($N1151,'Calculo Leads Conveniencia'!$A$77:$A$104,'Calculo Leads Conveniencia'!J$77:J$104)*_xlfn.XLOOKUP($P1151,'Base Grupo de Produtos'!$E$23:$E$39,'Base Grupo de Produtos'!$F$23:$F$39)</f>
        <v>40</v>
      </c>
      <c r="X1151" s="56">
        <f>_xlfn.XLOOKUP($N1151,'Calculo Leads Conveniencia'!$A$77:$A$104,'Calculo Leads Conveniencia'!K$77:K$104)*_xlfn.XLOOKUP($P1151,'Base Grupo de Produtos'!$E$23:$E$39,'Base Grupo de Produtos'!$F$23:$F$39)</f>
        <v>48</v>
      </c>
      <c r="Y1151" s="56">
        <f>_xlfn.XLOOKUP($N1151,'Calculo Leads Conveniencia'!$A$77:$A$104,'Calculo Leads Conveniencia'!L$77:L$104)*_xlfn.XLOOKUP($P1151,'Base Grupo de Produtos'!$E$23:$E$39,'Base Grupo de Produtos'!$F$23:$F$39)</f>
        <v>56</v>
      </c>
      <c r="Z1151" s="56">
        <f>_xlfn.XLOOKUP($N1151,'Calculo Leads Conveniencia'!$A$77:$A$104,'Calculo Leads Conveniencia'!M$77:M$104)*_xlfn.XLOOKUP($P1151,'Base Grupo de Produtos'!$E$23:$E$39,'Base Grupo de Produtos'!$F$23:$F$39)</f>
        <v>64</v>
      </c>
      <c r="AA1151" s="56">
        <f>_xlfn.XLOOKUP($N1151,'Calculo Leads Conveniencia'!$A$77:$A$104,'Calculo Leads Conveniencia'!N$77:N$104)*_xlfn.XLOOKUP($P1151,'Base Grupo de Produtos'!$E$23:$E$39,'Base Grupo de Produtos'!$F$23:$F$39)</f>
        <v>72</v>
      </c>
      <c r="AB1151" s="56">
        <f>_xlfn.XLOOKUP($N1151,'Calculo Leads Conveniencia'!$A$77:$A$104,'Calculo Leads Conveniencia'!O$77:O$104)*_xlfn.XLOOKUP($P1151,'Base Grupo de Produtos'!$E$23:$E$39,'Base Grupo de Produtos'!$F$23:$F$39)</f>
        <v>72</v>
      </c>
      <c r="AC1151" s="61">
        <f t="shared" si="1078"/>
        <v>432</v>
      </c>
      <c r="AD1151" s="28"/>
      <c r="AE1151" s="12"/>
      <c r="AF1151" s="29"/>
      <c r="AG1151" s="9"/>
      <c r="AH1151" s="10"/>
      <c r="AI1151" s="9"/>
      <c r="AJ1151" s="11"/>
      <c r="AK1151" s="9"/>
      <c r="AL1151" s="13"/>
      <c r="AM1151" s="9"/>
    </row>
    <row r="1152" spans="1:39" x14ac:dyDescent="0.3">
      <c r="A1152" s="2" t="str">
        <f t="shared" si="1074"/>
        <v>NÃO</v>
      </c>
      <c r="B1152" s="2" t="str">
        <f>_xlfn.XLOOKUP($N1152,'Base de Grupos'!$A:$A,'Base de Grupos'!$D:$D)</f>
        <v>1000065763</v>
      </c>
      <c r="C1152" s="5" t="str">
        <f>_xlfn.XLOOKUP($N1152,'Base de Grupos'!$A:$A,'Base de Grupos'!$E:$E)</f>
        <v>CANAL VENDA INTERNA</v>
      </c>
      <c r="D1152" s="5" t="str">
        <f>_xlfn.XLOOKUP($N1152,'Base de Grupos'!$A:$A,'Base de Grupos'!$F:$F)</f>
        <v>1000065763</v>
      </c>
      <c r="E1152" s="2" t="str">
        <f>_xlfn.XLOOKUP($N1152,'Base de Grupos'!$A:$A,'Base de Grupos'!$G:$G)</f>
        <v>CANAL VENDA INTERNA</v>
      </c>
      <c r="F1152" s="2" t="str">
        <f>_xlfn.XLOOKUP($N1152,'Base de Grupos'!$A:$A,'Base de Grupos'!$H:$H)</f>
        <v>1000174119</v>
      </c>
      <c r="G1152" s="5" t="str">
        <f>_xlfn.XLOOKUP($N1152,'Base de Grupos'!$A:$A,'Base de Grupos'!$I:$I)</f>
        <v>REGIONAL VENDA INTERNA - CONVENIENCIA</v>
      </c>
      <c r="H1152" s="5" t="str">
        <f>_xlfn.XLOOKUP($N1152,'Base de Grupos'!$A:$A,'Base de Grupos'!$J:$J)</f>
        <v>1000174119</v>
      </c>
      <c r="I1152" s="2" t="str">
        <f>_xlfn.XLOOKUP($N1152,'Base de Grupos'!$A:$A,'Base de Grupos'!$K:$K)</f>
        <v>REGIONAL VENDA INTERNA - CONVENIENCIA</v>
      </c>
      <c r="J1152" s="2" t="str">
        <f>_xlfn.XLOOKUP($N1152,'Base de Grupos'!$A:$A,'Base de Grupos'!$L:$L)</f>
        <v>1000174119</v>
      </c>
      <c r="K1152" s="5" t="str">
        <f>_xlfn.XLOOKUP($N1152,'Base de Grupos'!$A:$A,'Base de Grupos'!$M:$M)</f>
        <v>REGIONAL VENDA INTERNA - CONVENIENCIA</v>
      </c>
      <c r="L1152" s="5" t="str">
        <f t="shared" si="1075"/>
        <v/>
      </c>
      <c r="M1152" s="5" t="str">
        <f>_xlfn.XLOOKUP($N1152,'Base de Grupos'!$A:$A,'Base de Grupos'!$C:$C)</f>
        <v>SC</v>
      </c>
      <c r="N1152" s="3">
        <v>1530</v>
      </c>
      <c r="O1152" s="4" t="s">
        <v>287</v>
      </c>
      <c r="P1152" s="5" t="s">
        <v>94</v>
      </c>
      <c r="Q1152" s="56">
        <v>0</v>
      </c>
      <c r="R1152" s="56">
        <v>0</v>
      </c>
      <c r="S1152" s="56">
        <v>0</v>
      </c>
      <c r="T1152" s="56">
        <f>_xlfn.XLOOKUP($N1152,'Calculo Leads Conveniencia'!$A$77:$A$104,'Calculo Leads Conveniencia'!G$77:G$104)*_xlfn.XLOOKUP($P1152,'Base Grupo de Produtos'!$E$23:$E$39,'Base Grupo de Produtos'!$F$23:$F$39)</f>
        <v>360</v>
      </c>
      <c r="U1152" s="56">
        <f>_xlfn.XLOOKUP($N1152,'Calculo Leads Conveniencia'!$A$77:$A$104,'Calculo Leads Conveniencia'!H$77:H$104)*_xlfn.XLOOKUP($P1152,'Base Grupo de Produtos'!$E$23:$E$39,'Base Grupo de Produtos'!$F$23:$F$39)</f>
        <v>360</v>
      </c>
      <c r="V1152" s="56">
        <f>_xlfn.XLOOKUP($N1152,'Calculo Leads Conveniencia'!$A$77:$A$104,'Calculo Leads Conveniencia'!I$77:I$104)*_xlfn.XLOOKUP($P1152,'Base Grupo de Produtos'!$E$23:$E$39,'Base Grupo de Produtos'!$F$23:$F$39)</f>
        <v>480</v>
      </c>
      <c r="W1152" s="56">
        <f>_xlfn.XLOOKUP($N1152,'Calculo Leads Conveniencia'!$A$77:$A$104,'Calculo Leads Conveniencia'!J$77:J$104)*_xlfn.XLOOKUP($P1152,'Base Grupo de Produtos'!$E$23:$E$39,'Base Grupo de Produtos'!$F$23:$F$39)</f>
        <v>600</v>
      </c>
      <c r="X1152" s="56">
        <f>_xlfn.XLOOKUP($N1152,'Calculo Leads Conveniencia'!$A$77:$A$104,'Calculo Leads Conveniencia'!K$77:K$104)*_xlfn.XLOOKUP($P1152,'Base Grupo de Produtos'!$E$23:$E$39,'Base Grupo de Produtos'!$F$23:$F$39)</f>
        <v>720</v>
      </c>
      <c r="Y1152" s="56">
        <f>_xlfn.XLOOKUP($N1152,'Calculo Leads Conveniencia'!$A$77:$A$104,'Calculo Leads Conveniencia'!L$77:L$104)*_xlfn.XLOOKUP($P1152,'Base Grupo de Produtos'!$E$23:$E$39,'Base Grupo de Produtos'!$F$23:$F$39)</f>
        <v>840</v>
      </c>
      <c r="Z1152" s="56">
        <f>_xlfn.XLOOKUP($N1152,'Calculo Leads Conveniencia'!$A$77:$A$104,'Calculo Leads Conveniencia'!M$77:M$104)*_xlfn.XLOOKUP($P1152,'Base Grupo de Produtos'!$E$23:$E$39,'Base Grupo de Produtos'!$F$23:$F$39)</f>
        <v>960</v>
      </c>
      <c r="AA1152" s="56">
        <f>_xlfn.XLOOKUP($N1152,'Calculo Leads Conveniencia'!$A$77:$A$104,'Calculo Leads Conveniencia'!N$77:N$104)*_xlfn.XLOOKUP($P1152,'Base Grupo de Produtos'!$E$23:$E$39,'Base Grupo de Produtos'!$F$23:$F$39)</f>
        <v>1080</v>
      </c>
      <c r="AB1152" s="56">
        <f>_xlfn.XLOOKUP($N1152,'Calculo Leads Conveniencia'!$A$77:$A$104,'Calculo Leads Conveniencia'!O$77:O$104)*_xlfn.XLOOKUP($P1152,'Base Grupo de Produtos'!$E$23:$E$39,'Base Grupo de Produtos'!$F$23:$F$39)</f>
        <v>1080</v>
      </c>
      <c r="AC1152" s="61">
        <f t="shared" si="1078"/>
        <v>6480</v>
      </c>
      <c r="AD1152" s="28"/>
      <c r="AE1152" s="12"/>
      <c r="AF1152" s="29"/>
      <c r="AG1152" s="9"/>
      <c r="AH1152" s="10"/>
      <c r="AI1152" s="9"/>
      <c r="AJ1152" s="11"/>
      <c r="AK1152" s="9"/>
      <c r="AL1152" s="13"/>
      <c r="AM1152" s="9"/>
    </row>
    <row r="1153" spans="1:39" x14ac:dyDescent="0.3">
      <c r="A1153" s="2" t="str">
        <f t="shared" si="1074"/>
        <v>NÃO</v>
      </c>
      <c r="B1153" s="2" t="str">
        <f>_xlfn.XLOOKUP($N1153,'Base de Grupos'!$A:$A,'Base de Grupos'!$D:$D)</f>
        <v>1000065763</v>
      </c>
      <c r="C1153" s="5" t="str">
        <f>_xlfn.XLOOKUP($N1153,'Base de Grupos'!$A:$A,'Base de Grupos'!$E:$E)</f>
        <v>CANAL VENDA INTERNA</v>
      </c>
      <c r="D1153" s="5" t="str">
        <f>_xlfn.XLOOKUP($N1153,'Base de Grupos'!$A:$A,'Base de Grupos'!$F:$F)</f>
        <v>1000065763</v>
      </c>
      <c r="E1153" s="2" t="str">
        <f>_xlfn.XLOOKUP($N1153,'Base de Grupos'!$A:$A,'Base de Grupos'!$G:$G)</f>
        <v>CANAL VENDA INTERNA</v>
      </c>
      <c r="F1153" s="2" t="str">
        <f>_xlfn.XLOOKUP($N1153,'Base de Grupos'!$A:$A,'Base de Grupos'!$H:$H)</f>
        <v>1000174119</v>
      </c>
      <c r="G1153" s="5" t="str">
        <f>_xlfn.XLOOKUP($N1153,'Base de Grupos'!$A:$A,'Base de Grupos'!$I:$I)</f>
        <v>REGIONAL VENDA INTERNA - CONVENIENCIA</v>
      </c>
      <c r="H1153" s="5" t="str">
        <f>_xlfn.XLOOKUP($N1153,'Base de Grupos'!$A:$A,'Base de Grupos'!$J:$J)</f>
        <v>1000174119</v>
      </c>
      <c r="I1153" s="2" t="str">
        <f>_xlfn.XLOOKUP($N1153,'Base de Grupos'!$A:$A,'Base de Grupos'!$K:$K)</f>
        <v>REGIONAL VENDA INTERNA - CONVENIENCIA</v>
      </c>
      <c r="J1153" s="2" t="str">
        <f>_xlfn.XLOOKUP($N1153,'Base de Grupos'!$A:$A,'Base de Grupos'!$L:$L)</f>
        <v>1000174119</v>
      </c>
      <c r="K1153" s="5" t="str">
        <f>_xlfn.XLOOKUP($N1153,'Base de Grupos'!$A:$A,'Base de Grupos'!$M:$M)</f>
        <v>REGIONAL VENDA INTERNA - CONVENIENCIA</v>
      </c>
      <c r="L1153" s="5" t="str">
        <f t="shared" si="1075"/>
        <v/>
      </c>
      <c r="M1153" s="5" t="str">
        <f>_xlfn.XLOOKUP($N1153,'Base de Grupos'!$A:$A,'Base de Grupos'!$C:$C)</f>
        <v>SC</v>
      </c>
      <c r="N1153" s="3">
        <v>1530</v>
      </c>
      <c r="O1153" s="4" t="s">
        <v>287</v>
      </c>
      <c r="P1153" s="5" t="s">
        <v>95</v>
      </c>
      <c r="Q1153" s="56">
        <v>0</v>
      </c>
      <c r="R1153" s="56">
        <v>0</v>
      </c>
      <c r="S1153" s="56">
        <v>0</v>
      </c>
      <c r="T1153" s="56">
        <f>_xlfn.XLOOKUP($N1153,'Calculo Leads Conveniencia'!$A$77:$A$104,'Calculo Leads Conveniencia'!G$77:G$104)*_xlfn.XLOOKUP($P1153,'Base Grupo de Produtos'!$E$23:$E$39,'Base Grupo de Produtos'!$F$23:$F$39)</f>
        <v>24</v>
      </c>
      <c r="U1153" s="56">
        <f>_xlfn.XLOOKUP($N1153,'Calculo Leads Conveniencia'!$A$77:$A$104,'Calculo Leads Conveniencia'!H$77:H$104)*_xlfn.XLOOKUP($P1153,'Base Grupo de Produtos'!$E$23:$E$39,'Base Grupo de Produtos'!$F$23:$F$39)</f>
        <v>24</v>
      </c>
      <c r="V1153" s="56">
        <f>_xlfn.XLOOKUP($N1153,'Calculo Leads Conveniencia'!$A$77:$A$104,'Calculo Leads Conveniencia'!I$77:I$104)*_xlfn.XLOOKUP($P1153,'Base Grupo de Produtos'!$E$23:$E$39,'Base Grupo de Produtos'!$F$23:$F$39)</f>
        <v>32</v>
      </c>
      <c r="W1153" s="56">
        <f>_xlfn.XLOOKUP($N1153,'Calculo Leads Conveniencia'!$A$77:$A$104,'Calculo Leads Conveniencia'!J$77:J$104)*_xlfn.XLOOKUP($P1153,'Base Grupo de Produtos'!$E$23:$E$39,'Base Grupo de Produtos'!$F$23:$F$39)</f>
        <v>40</v>
      </c>
      <c r="X1153" s="56">
        <f>_xlfn.XLOOKUP($N1153,'Calculo Leads Conveniencia'!$A$77:$A$104,'Calculo Leads Conveniencia'!K$77:K$104)*_xlfn.XLOOKUP($P1153,'Base Grupo de Produtos'!$E$23:$E$39,'Base Grupo de Produtos'!$F$23:$F$39)</f>
        <v>48</v>
      </c>
      <c r="Y1153" s="56">
        <f>_xlfn.XLOOKUP($N1153,'Calculo Leads Conveniencia'!$A$77:$A$104,'Calculo Leads Conveniencia'!L$77:L$104)*_xlfn.XLOOKUP($P1153,'Base Grupo de Produtos'!$E$23:$E$39,'Base Grupo de Produtos'!$F$23:$F$39)</f>
        <v>56</v>
      </c>
      <c r="Z1153" s="56">
        <f>_xlfn.XLOOKUP($N1153,'Calculo Leads Conveniencia'!$A$77:$A$104,'Calculo Leads Conveniencia'!M$77:M$104)*_xlfn.XLOOKUP($P1153,'Base Grupo de Produtos'!$E$23:$E$39,'Base Grupo de Produtos'!$F$23:$F$39)</f>
        <v>64</v>
      </c>
      <c r="AA1153" s="56">
        <f>_xlfn.XLOOKUP($N1153,'Calculo Leads Conveniencia'!$A$77:$A$104,'Calculo Leads Conveniencia'!N$77:N$104)*_xlfn.XLOOKUP($P1153,'Base Grupo de Produtos'!$E$23:$E$39,'Base Grupo de Produtos'!$F$23:$F$39)</f>
        <v>72</v>
      </c>
      <c r="AB1153" s="56">
        <f>_xlfn.XLOOKUP($N1153,'Calculo Leads Conveniencia'!$A$77:$A$104,'Calculo Leads Conveniencia'!O$77:O$104)*_xlfn.XLOOKUP($P1153,'Base Grupo de Produtos'!$E$23:$E$39,'Base Grupo de Produtos'!$F$23:$F$39)</f>
        <v>72</v>
      </c>
      <c r="AC1153" s="61">
        <f t="shared" si="1078"/>
        <v>432</v>
      </c>
      <c r="AD1153" s="28"/>
      <c r="AE1153" s="12"/>
      <c r="AF1153" s="29"/>
      <c r="AG1153" s="9"/>
      <c r="AH1153" s="10"/>
      <c r="AI1153" s="9"/>
      <c r="AJ1153" s="11"/>
      <c r="AK1153" s="9"/>
      <c r="AL1153" s="13"/>
      <c r="AM1153" s="9"/>
    </row>
    <row r="1154" spans="1:39" x14ac:dyDescent="0.3">
      <c r="A1154" s="2" t="str">
        <f t="shared" si="1074"/>
        <v>NÃO</v>
      </c>
      <c r="B1154" s="2" t="str">
        <f>_xlfn.XLOOKUP($N1154,'Base de Grupos'!$A:$A,'Base de Grupos'!$D:$D)</f>
        <v>1000065763</v>
      </c>
      <c r="C1154" s="5" t="str">
        <f>_xlfn.XLOOKUP($N1154,'Base de Grupos'!$A:$A,'Base de Grupos'!$E:$E)</f>
        <v>CANAL VENDA INTERNA</v>
      </c>
      <c r="D1154" s="5" t="str">
        <f>_xlfn.XLOOKUP($N1154,'Base de Grupos'!$A:$A,'Base de Grupos'!$F:$F)</f>
        <v>1000065763</v>
      </c>
      <c r="E1154" s="2" t="str">
        <f>_xlfn.XLOOKUP($N1154,'Base de Grupos'!$A:$A,'Base de Grupos'!$G:$G)</f>
        <v>CANAL VENDA INTERNA</v>
      </c>
      <c r="F1154" s="2" t="str">
        <f>_xlfn.XLOOKUP($N1154,'Base de Grupos'!$A:$A,'Base de Grupos'!$H:$H)</f>
        <v>1000174119</v>
      </c>
      <c r="G1154" s="5" t="str">
        <f>_xlfn.XLOOKUP($N1154,'Base de Grupos'!$A:$A,'Base de Grupos'!$I:$I)</f>
        <v>REGIONAL VENDA INTERNA - CONVENIENCIA</v>
      </c>
      <c r="H1154" s="5" t="str">
        <f>_xlfn.XLOOKUP($N1154,'Base de Grupos'!$A:$A,'Base de Grupos'!$J:$J)</f>
        <v>1000174119</v>
      </c>
      <c r="I1154" s="2" t="str">
        <f>_xlfn.XLOOKUP($N1154,'Base de Grupos'!$A:$A,'Base de Grupos'!$K:$K)</f>
        <v>REGIONAL VENDA INTERNA - CONVENIENCIA</v>
      </c>
      <c r="J1154" s="2" t="str">
        <f>_xlfn.XLOOKUP($N1154,'Base de Grupos'!$A:$A,'Base de Grupos'!$L:$L)</f>
        <v>1000174119</v>
      </c>
      <c r="K1154" s="5" t="str">
        <f>_xlfn.XLOOKUP($N1154,'Base de Grupos'!$A:$A,'Base de Grupos'!$M:$M)</f>
        <v>REGIONAL VENDA INTERNA - CONVENIENCIA</v>
      </c>
      <c r="L1154" s="5" t="str">
        <f t="shared" si="1075"/>
        <v/>
      </c>
      <c r="M1154" s="5" t="str">
        <f>_xlfn.XLOOKUP($N1154,'Base de Grupos'!$A:$A,'Base de Grupos'!$C:$C)</f>
        <v>SC</v>
      </c>
      <c r="N1154" s="3">
        <v>1530</v>
      </c>
      <c r="O1154" s="4" t="s">
        <v>287</v>
      </c>
      <c r="P1154" s="5" t="s">
        <v>93</v>
      </c>
      <c r="Q1154" s="56">
        <v>0</v>
      </c>
      <c r="R1154" s="56">
        <v>0</v>
      </c>
      <c r="S1154" s="56">
        <v>0</v>
      </c>
      <c r="T1154" s="56">
        <f>_xlfn.XLOOKUP($N1154,'Calculo Leads Conveniencia'!$A$77:$A$104,'Calculo Leads Conveniencia'!G$77:G$104)*_xlfn.XLOOKUP($P1154,'Base Grupo de Produtos'!$E$23:$E$39,'Base Grupo de Produtos'!$F$23:$F$39)</f>
        <v>240</v>
      </c>
      <c r="U1154" s="56">
        <f>_xlfn.XLOOKUP($N1154,'Calculo Leads Conveniencia'!$A$77:$A$104,'Calculo Leads Conveniencia'!H$77:H$104)*_xlfn.XLOOKUP($P1154,'Base Grupo de Produtos'!$E$23:$E$39,'Base Grupo de Produtos'!$F$23:$F$39)</f>
        <v>240</v>
      </c>
      <c r="V1154" s="56">
        <f>_xlfn.XLOOKUP($N1154,'Calculo Leads Conveniencia'!$A$77:$A$104,'Calculo Leads Conveniencia'!I$77:I$104)*_xlfn.XLOOKUP($P1154,'Base Grupo de Produtos'!$E$23:$E$39,'Base Grupo de Produtos'!$F$23:$F$39)</f>
        <v>320</v>
      </c>
      <c r="W1154" s="56">
        <f>_xlfn.XLOOKUP($N1154,'Calculo Leads Conveniencia'!$A$77:$A$104,'Calculo Leads Conveniencia'!J$77:J$104)*_xlfn.XLOOKUP($P1154,'Base Grupo de Produtos'!$E$23:$E$39,'Base Grupo de Produtos'!$F$23:$F$39)</f>
        <v>400</v>
      </c>
      <c r="X1154" s="56">
        <f>_xlfn.XLOOKUP($N1154,'Calculo Leads Conveniencia'!$A$77:$A$104,'Calculo Leads Conveniencia'!K$77:K$104)*_xlfn.XLOOKUP($P1154,'Base Grupo de Produtos'!$E$23:$E$39,'Base Grupo de Produtos'!$F$23:$F$39)</f>
        <v>480</v>
      </c>
      <c r="Y1154" s="56">
        <f>_xlfn.XLOOKUP($N1154,'Calculo Leads Conveniencia'!$A$77:$A$104,'Calculo Leads Conveniencia'!L$77:L$104)*_xlfn.XLOOKUP($P1154,'Base Grupo de Produtos'!$E$23:$E$39,'Base Grupo de Produtos'!$F$23:$F$39)</f>
        <v>560</v>
      </c>
      <c r="Z1154" s="56">
        <f>_xlfn.XLOOKUP($N1154,'Calculo Leads Conveniencia'!$A$77:$A$104,'Calculo Leads Conveniencia'!M$77:M$104)*_xlfn.XLOOKUP($P1154,'Base Grupo de Produtos'!$E$23:$E$39,'Base Grupo de Produtos'!$F$23:$F$39)</f>
        <v>640</v>
      </c>
      <c r="AA1154" s="56">
        <f>_xlfn.XLOOKUP($N1154,'Calculo Leads Conveniencia'!$A$77:$A$104,'Calculo Leads Conveniencia'!N$77:N$104)*_xlfn.XLOOKUP($P1154,'Base Grupo de Produtos'!$E$23:$E$39,'Base Grupo de Produtos'!$F$23:$F$39)</f>
        <v>720</v>
      </c>
      <c r="AB1154" s="56">
        <f>_xlfn.XLOOKUP($N1154,'Calculo Leads Conveniencia'!$A$77:$A$104,'Calculo Leads Conveniencia'!O$77:O$104)*_xlfn.XLOOKUP($P1154,'Base Grupo de Produtos'!$E$23:$E$39,'Base Grupo de Produtos'!$F$23:$F$39)</f>
        <v>720</v>
      </c>
      <c r="AC1154" s="61">
        <f t="shared" si="1078"/>
        <v>4320</v>
      </c>
      <c r="AD1154" s="28"/>
      <c r="AE1154" s="12"/>
      <c r="AF1154" s="29"/>
      <c r="AG1154" s="9"/>
      <c r="AH1154" s="10"/>
      <c r="AI1154" s="9"/>
      <c r="AJ1154" s="11"/>
      <c r="AK1154" s="9"/>
      <c r="AL1154" s="13"/>
      <c r="AM1154" s="9"/>
    </row>
    <row r="1155" spans="1:39" x14ac:dyDescent="0.3">
      <c r="A1155" s="2" t="str">
        <f t="shared" ref="A1155:A1190" si="1079">IF(L1155=1,"SIM","NÃO")</f>
        <v>SIM</v>
      </c>
      <c r="B1155" s="2" t="str">
        <f>_xlfn.XLOOKUP($N1155,'Base de Grupos'!$A:$A,'Base de Grupos'!$D:$D)</f>
        <v>1000065763</v>
      </c>
      <c r="C1155" s="5" t="str">
        <f>_xlfn.XLOOKUP($N1155,'Base de Grupos'!$A:$A,'Base de Grupos'!$E:$E)</f>
        <v>CANAL VENDA INTERNA</v>
      </c>
      <c r="D1155" s="5" t="str">
        <f>_xlfn.XLOOKUP($N1155,'Base de Grupos'!$A:$A,'Base de Grupos'!$F:$F)</f>
        <v>1000065763</v>
      </c>
      <c r="E1155" s="2" t="str">
        <f>_xlfn.XLOOKUP($N1155,'Base de Grupos'!$A:$A,'Base de Grupos'!$G:$G)</f>
        <v>CANAL VENDA INTERNA</v>
      </c>
      <c r="F1155" s="2" t="str">
        <f>_xlfn.XLOOKUP($N1155,'Base de Grupos'!$A:$A,'Base de Grupos'!$H:$H)</f>
        <v>1000174119</v>
      </c>
      <c r="G1155" s="5" t="str">
        <f>_xlfn.XLOOKUP($N1155,'Base de Grupos'!$A:$A,'Base de Grupos'!$I:$I)</f>
        <v>REGIONAL VENDA INTERNA - CONVENIENCIA</v>
      </c>
      <c r="H1155" s="5" t="str">
        <f>_xlfn.XLOOKUP($N1155,'Base de Grupos'!$A:$A,'Base de Grupos'!$J:$J)</f>
        <v>1000174119</v>
      </c>
      <c r="I1155" s="2" t="str">
        <f>_xlfn.XLOOKUP($N1155,'Base de Grupos'!$A:$A,'Base de Grupos'!$K:$K)</f>
        <v>REGIONAL VENDA INTERNA - CONVENIENCIA</v>
      </c>
      <c r="J1155" s="2" t="str">
        <f>_xlfn.XLOOKUP($N1155,'Base de Grupos'!$A:$A,'Base de Grupos'!$L:$L)</f>
        <v>1000174119</v>
      </c>
      <c r="K1155" s="5" t="str">
        <f>_xlfn.XLOOKUP($N1155,'Base de Grupos'!$A:$A,'Base de Grupos'!$M:$M)</f>
        <v>REGIONAL VENDA INTERNA - CONVENIENCIA</v>
      </c>
      <c r="L1155" s="5">
        <f t="shared" ref="L1155:L1190" si="1080">IF(N1155&lt;&gt;N1154,1,"")</f>
        <v>1</v>
      </c>
      <c r="M1155" s="5" t="str">
        <f>_xlfn.XLOOKUP($N1155,'Base de Grupos'!$A:$A,'Base de Grupos'!$C:$C)</f>
        <v>AC</v>
      </c>
      <c r="N1155" s="3">
        <v>1532</v>
      </c>
      <c r="O1155" s="4" t="s">
        <v>368</v>
      </c>
      <c r="P1155" s="5" t="s">
        <v>371</v>
      </c>
      <c r="Q1155" s="56">
        <f t="shared" ref="Q1155" si="1081">SUM(Q1156:Q1172)</f>
        <v>0</v>
      </c>
      <c r="R1155" s="56">
        <f t="shared" ref="R1155:AC1155" si="1082">SUM(R1156:R1172)</f>
        <v>0</v>
      </c>
      <c r="S1155" s="56">
        <f t="shared" si="1082"/>
        <v>0</v>
      </c>
      <c r="T1155" s="56">
        <f t="shared" si="1082"/>
        <v>0</v>
      </c>
      <c r="U1155" s="56">
        <f t="shared" si="1082"/>
        <v>0</v>
      </c>
      <c r="V1155" s="56">
        <f t="shared" si="1082"/>
        <v>0</v>
      </c>
      <c r="W1155" s="56">
        <f t="shared" si="1082"/>
        <v>0</v>
      </c>
      <c r="X1155" s="56">
        <f t="shared" si="1082"/>
        <v>0</v>
      </c>
      <c r="Y1155" s="56">
        <f t="shared" si="1082"/>
        <v>0</v>
      </c>
      <c r="Z1155" s="56">
        <f t="shared" si="1082"/>
        <v>0</v>
      </c>
      <c r="AA1155" s="56">
        <f t="shared" si="1082"/>
        <v>0</v>
      </c>
      <c r="AB1155" s="56">
        <f t="shared" si="1082"/>
        <v>0</v>
      </c>
      <c r="AC1155" s="56">
        <f t="shared" si="1082"/>
        <v>0</v>
      </c>
      <c r="AD1155" s="28"/>
      <c r="AE1155" s="12"/>
      <c r="AF1155" s="29"/>
      <c r="AG1155" s="9"/>
      <c r="AH1155" s="10"/>
      <c r="AI1155" s="9"/>
      <c r="AJ1155" s="11"/>
      <c r="AK1155" s="9"/>
      <c r="AL1155" s="13"/>
      <c r="AM1155" s="9"/>
    </row>
    <row r="1156" spans="1:39" x14ac:dyDescent="0.3">
      <c r="A1156" s="2" t="str">
        <f t="shared" si="1079"/>
        <v>NÃO</v>
      </c>
      <c r="B1156" s="2" t="str">
        <f>_xlfn.XLOOKUP($N1156,'Base de Grupos'!$A:$A,'Base de Grupos'!$D:$D)</f>
        <v>1000065763</v>
      </c>
      <c r="C1156" s="5" t="str">
        <f>_xlfn.XLOOKUP($N1156,'Base de Grupos'!$A:$A,'Base de Grupos'!$E:$E)</f>
        <v>CANAL VENDA INTERNA</v>
      </c>
      <c r="D1156" s="5" t="str">
        <f>_xlfn.XLOOKUP($N1156,'Base de Grupos'!$A:$A,'Base de Grupos'!$F:$F)</f>
        <v>1000065763</v>
      </c>
      <c r="E1156" s="2" t="str">
        <f>_xlfn.XLOOKUP($N1156,'Base de Grupos'!$A:$A,'Base de Grupos'!$G:$G)</f>
        <v>CANAL VENDA INTERNA</v>
      </c>
      <c r="F1156" s="2" t="str">
        <f>_xlfn.XLOOKUP($N1156,'Base de Grupos'!$A:$A,'Base de Grupos'!$H:$H)</f>
        <v>1000174119</v>
      </c>
      <c r="G1156" s="5" t="str">
        <f>_xlfn.XLOOKUP($N1156,'Base de Grupos'!$A:$A,'Base de Grupos'!$I:$I)</f>
        <v>REGIONAL VENDA INTERNA - CONVENIENCIA</v>
      </c>
      <c r="H1156" s="5" t="str">
        <f>_xlfn.XLOOKUP($N1156,'Base de Grupos'!$A:$A,'Base de Grupos'!$J:$J)</f>
        <v>1000174119</v>
      </c>
      <c r="I1156" s="2" t="str">
        <f>_xlfn.XLOOKUP($N1156,'Base de Grupos'!$A:$A,'Base de Grupos'!$K:$K)</f>
        <v>REGIONAL VENDA INTERNA - CONVENIENCIA</v>
      </c>
      <c r="J1156" s="2" t="str">
        <f>_xlfn.XLOOKUP($N1156,'Base de Grupos'!$A:$A,'Base de Grupos'!$L:$L)</f>
        <v>1000174119</v>
      </c>
      <c r="K1156" s="5" t="str">
        <f>_xlfn.XLOOKUP($N1156,'Base de Grupos'!$A:$A,'Base de Grupos'!$M:$M)</f>
        <v>REGIONAL VENDA INTERNA - CONVENIENCIA</v>
      </c>
      <c r="L1156" s="5" t="str">
        <f t="shared" si="1080"/>
        <v/>
      </c>
      <c r="M1156" s="5" t="str">
        <f>_xlfn.XLOOKUP($N1156,'Base de Grupos'!$A:$A,'Base de Grupos'!$C:$C)</f>
        <v>AC</v>
      </c>
      <c r="N1156" s="3">
        <v>1532</v>
      </c>
      <c r="O1156" s="4" t="s">
        <v>368</v>
      </c>
      <c r="P1156" s="5" t="s">
        <v>81</v>
      </c>
      <c r="Q1156" s="56">
        <v>0</v>
      </c>
      <c r="R1156" s="56">
        <v>0</v>
      </c>
      <c r="S1156" s="56">
        <v>0</v>
      </c>
      <c r="T1156" s="56">
        <f>_xlfn.XLOOKUP($N1156,'Calculo Leads Conveniencia'!$A$77:$A$104,'Calculo Leads Conveniencia'!G$77:G$104)*_xlfn.XLOOKUP($P1156,'Base Grupo de Produtos'!$E$23:$E$39,'Base Grupo de Produtos'!$F$23:$F$39)</f>
        <v>0</v>
      </c>
      <c r="U1156" s="56">
        <f>_xlfn.XLOOKUP($N1156,'Calculo Leads Conveniencia'!$A$77:$A$104,'Calculo Leads Conveniencia'!H$77:H$104)*_xlfn.XLOOKUP($P1156,'Base Grupo de Produtos'!$E$23:$E$39,'Base Grupo de Produtos'!$F$23:$F$39)</f>
        <v>0</v>
      </c>
      <c r="V1156" s="56">
        <f>_xlfn.XLOOKUP($N1156,'Calculo Leads Conveniencia'!$A$77:$A$104,'Calculo Leads Conveniencia'!I$77:I$104)*_xlfn.XLOOKUP($P1156,'Base Grupo de Produtos'!$E$23:$E$39,'Base Grupo de Produtos'!$F$23:$F$39)</f>
        <v>0</v>
      </c>
      <c r="W1156" s="56">
        <f>_xlfn.XLOOKUP($N1156,'Calculo Leads Conveniencia'!$A$77:$A$104,'Calculo Leads Conveniencia'!J$77:J$104)*_xlfn.XLOOKUP($P1156,'Base Grupo de Produtos'!$E$23:$E$39,'Base Grupo de Produtos'!$F$23:$F$39)</f>
        <v>0</v>
      </c>
      <c r="X1156" s="56">
        <f>_xlfn.XLOOKUP($N1156,'Calculo Leads Conveniencia'!$A$77:$A$104,'Calculo Leads Conveniencia'!K$77:K$104)*_xlfn.XLOOKUP($P1156,'Base Grupo de Produtos'!$E$23:$E$39,'Base Grupo de Produtos'!$F$23:$F$39)</f>
        <v>0</v>
      </c>
      <c r="Y1156" s="56">
        <f>_xlfn.XLOOKUP($N1156,'Calculo Leads Conveniencia'!$A$77:$A$104,'Calculo Leads Conveniencia'!L$77:L$104)*_xlfn.XLOOKUP($P1156,'Base Grupo de Produtos'!$E$23:$E$39,'Base Grupo de Produtos'!$F$23:$F$39)</f>
        <v>0</v>
      </c>
      <c r="Z1156" s="56">
        <f>_xlfn.XLOOKUP($N1156,'Calculo Leads Conveniencia'!$A$77:$A$104,'Calculo Leads Conveniencia'!M$77:M$104)*_xlfn.XLOOKUP($P1156,'Base Grupo de Produtos'!$E$23:$E$39,'Base Grupo de Produtos'!$F$23:$F$39)</f>
        <v>0</v>
      </c>
      <c r="AA1156" s="56">
        <f>_xlfn.XLOOKUP($N1156,'Calculo Leads Conveniencia'!$A$77:$A$104,'Calculo Leads Conveniencia'!N$77:N$104)*_xlfn.XLOOKUP($P1156,'Base Grupo de Produtos'!$E$23:$E$39,'Base Grupo de Produtos'!$F$23:$F$39)</f>
        <v>0</v>
      </c>
      <c r="AB1156" s="56">
        <f>_xlfn.XLOOKUP($N1156,'Calculo Leads Conveniencia'!$A$77:$A$104,'Calculo Leads Conveniencia'!O$77:O$104)*_xlfn.XLOOKUP($P1156,'Base Grupo de Produtos'!$E$23:$E$39,'Base Grupo de Produtos'!$F$23:$F$39)</f>
        <v>0</v>
      </c>
      <c r="AC1156" s="61">
        <f t="shared" ref="AC1156:AC1172" si="1083">SUM(T1156:AB1156)</f>
        <v>0</v>
      </c>
      <c r="AD1156" s="28"/>
      <c r="AE1156" s="12"/>
      <c r="AF1156" s="29"/>
      <c r="AG1156" s="9"/>
      <c r="AH1156" s="10"/>
      <c r="AI1156" s="9"/>
      <c r="AJ1156" s="11"/>
      <c r="AK1156" s="9"/>
      <c r="AL1156" s="13"/>
      <c r="AM1156" s="9"/>
    </row>
    <row r="1157" spans="1:39" x14ac:dyDescent="0.3">
      <c r="A1157" s="2" t="str">
        <f t="shared" si="1079"/>
        <v>NÃO</v>
      </c>
      <c r="B1157" s="2" t="str">
        <f>_xlfn.XLOOKUP($N1157,'Base de Grupos'!$A:$A,'Base de Grupos'!$D:$D)</f>
        <v>1000065763</v>
      </c>
      <c r="C1157" s="5" t="str">
        <f>_xlfn.XLOOKUP($N1157,'Base de Grupos'!$A:$A,'Base de Grupos'!$E:$E)</f>
        <v>CANAL VENDA INTERNA</v>
      </c>
      <c r="D1157" s="5" t="str">
        <f>_xlfn.XLOOKUP($N1157,'Base de Grupos'!$A:$A,'Base de Grupos'!$F:$F)</f>
        <v>1000065763</v>
      </c>
      <c r="E1157" s="2" t="str">
        <f>_xlfn.XLOOKUP($N1157,'Base de Grupos'!$A:$A,'Base de Grupos'!$G:$G)</f>
        <v>CANAL VENDA INTERNA</v>
      </c>
      <c r="F1157" s="2" t="str">
        <f>_xlfn.XLOOKUP($N1157,'Base de Grupos'!$A:$A,'Base de Grupos'!$H:$H)</f>
        <v>1000174119</v>
      </c>
      <c r="G1157" s="5" t="str">
        <f>_xlfn.XLOOKUP($N1157,'Base de Grupos'!$A:$A,'Base de Grupos'!$I:$I)</f>
        <v>REGIONAL VENDA INTERNA - CONVENIENCIA</v>
      </c>
      <c r="H1157" s="5" t="str">
        <f>_xlfn.XLOOKUP($N1157,'Base de Grupos'!$A:$A,'Base de Grupos'!$J:$J)</f>
        <v>1000174119</v>
      </c>
      <c r="I1157" s="2" t="str">
        <f>_xlfn.XLOOKUP($N1157,'Base de Grupos'!$A:$A,'Base de Grupos'!$K:$K)</f>
        <v>REGIONAL VENDA INTERNA - CONVENIENCIA</v>
      </c>
      <c r="J1157" s="2" t="str">
        <f>_xlfn.XLOOKUP($N1157,'Base de Grupos'!$A:$A,'Base de Grupos'!$L:$L)</f>
        <v>1000174119</v>
      </c>
      <c r="K1157" s="5" t="str">
        <f>_xlfn.XLOOKUP($N1157,'Base de Grupos'!$A:$A,'Base de Grupos'!$M:$M)</f>
        <v>REGIONAL VENDA INTERNA - CONVENIENCIA</v>
      </c>
      <c r="L1157" s="5" t="str">
        <f t="shared" si="1080"/>
        <v/>
      </c>
      <c r="M1157" s="5" t="str">
        <f>_xlfn.XLOOKUP($N1157,'Base de Grupos'!$A:$A,'Base de Grupos'!$C:$C)</f>
        <v>AC</v>
      </c>
      <c r="N1157" s="3">
        <v>1532</v>
      </c>
      <c r="O1157" s="4" t="s">
        <v>368</v>
      </c>
      <c r="P1157" s="5" t="s">
        <v>82</v>
      </c>
      <c r="Q1157" s="56">
        <v>0</v>
      </c>
      <c r="R1157" s="56">
        <v>0</v>
      </c>
      <c r="S1157" s="56">
        <v>0</v>
      </c>
      <c r="T1157" s="56">
        <f>_xlfn.XLOOKUP($N1157,'Calculo Leads Conveniencia'!$A$77:$A$104,'Calculo Leads Conveniencia'!G$77:G$104)*_xlfn.XLOOKUP($P1157,'Base Grupo de Produtos'!$E$23:$E$39,'Base Grupo de Produtos'!$F$23:$F$39)</f>
        <v>0</v>
      </c>
      <c r="U1157" s="56">
        <f>_xlfn.XLOOKUP($N1157,'Calculo Leads Conveniencia'!$A$77:$A$104,'Calculo Leads Conveniencia'!H$77:H$104)*_xlfn.XLOOKUP($P1157,'Base Grupo de Produtos'!$E$23:$E$39,'Base Grupo de Produtos'!$F$23:$F$39)</f>
        <v>0</v>
      </c>
      <c r="V1157" s="56">
        <f>_xlfn.XLOOKUP($N1157,'Calculo Leads Conveniencia'!$A$77:$A$104,'Calculo Leads Conveniencia'!I$77:I$104)*_xlfn.XLOOKUP($P1157,'Base Grupo de Produtos'!$E$23:$E$39,'Base Grupo de Produtos'!$F$23:$F$39)</f>
        <v>0</v>
      </c>
      <c r="W1157" s="56">
        <f>_xlfn.XLOOKUP($N1157,'Calculo Leads Conveniencia'!$A$77:$A$104,'Calculo Leads Conveniencia'!J$77:J$104)*_xlfn.XLOOKUP($P1157,'Base Grupo de Produtos'!$E$23:$E$39,'Base Grupo de Produtos'!$F$23:$F$39)</f>
        <v>0</v>
      </c>
      <c r="X1157" s="56">
        <f>_xlfn.XLOOKUP($N1157,'Calculo Leads Conveniencia'!$A$77:$A$104,'Calculo Leads Conveniencia'!K$77:K$104)*_xlfn.XLOOKUP($P1157,'Base Grupo de Produtos'!$E$23:$E$39,'Base Grupo de Produtos'!$F$23:$F$39)</f>
        <v>0</v>
      </c>
      <c r="Y1157" s="56">
        <f>_xlfn.XLOOKUP($N1157,'Calculo Leads Conveniencia'!$A$77:$A$104,'Calculo Leads Conveniencia'!L$77:L$104)*_xlfn.XLOOKUP($P1157,'Base Grupo de Produtos'!$E$23:$E$39,'Base Grupo de Produtos'!$F$23:$F$39)</f>
        <v>0</v>
      </c>
      <c r="Z1157" s="56">
        <f>_xlfn.XLOOKUP($N1157,'Calculo Leads Conveniencia'!$A$77:$A$104,'Calculo Leads Conveniencia'!M$77:M$104)*_xlfn.XLOOKUP($P1157,'Base Grupo de Produtos'!$E$23:$E$39,'Base Grupo de Produtos'!$F$23:$F$39)</f>
        <v>0</v>
      </c>
      <c r="AA1157" s="56">
        <f>_xlfn.XLOOKUP($N1157,'Calculo Leads Conveniencia'!$A$77:$A$104,'Calculo Leads Conveniencia'!N$77:N$104)*_xlfn.XLOOKUP($P1157,'Base Grupo de Produtos'!$E$23:$E$39,'Base Grupo de Produtos'!$F$23:$F$39)</f>
        <v>0</v>
      </c>
      <c r="AB1157" s="56">
        <f>_xlfn.XLOOKUP($N1157,'Calculo Leads Conveniencia'!$A$77:$A$104,'Calculo Leads Conveniencia'!O$77:O$104)*_xlfn.XLOOKUP($P1157,'Base Grupo de Produtos'!$E$23:$E$39,'Base Grupo de Produtos'!$F$23:$F$39)</f>
        <v>0</v>
      </c>
      <c r="AC1157" s="61">
        <f t="shared" si="1083"/>
        <v>0</v>
      </c>
      <c r="AD1157" s="28"/>
      <c r="AE1157" s="12"/>
      <c r="AF1157" s="29"/>
      <c r="AG1157" s="9"/>
      <c r="AH1157" s="10"/>
      <c r="AI1157" s="9"/>
      <c r="AJ1157" s="11"/>
      <c r="AK1157" s="9"/>
      <c r="AL1157" s="13"/>
      <c r="AM1157" s="9"/>
    </row>
    <row r="1158" spans="1:39" x14ac:dyDescent="0.3">
      <c r="A1158" s="2" t="str">
        <f t="shared" si="1079"/>
        <v>NÃO</v>
      </c>
      <c r="B1158" s="2" t="str">
        <f>_xlfn.XLOOKUP($N1158,'Base de Grupos'!$A:$A,'Base de Grupos'!$D:$D)</f>
        <v>1000065763</v>
      </c>
      <c r="C1158" s="5" t="str">
        <f>_xlfn.XLOOKUP($N1158,'Base de Grupos'!$A:$A,'Base de Grupos'!$E:$E)</f>
        <v>CANAL VENDA INTERNA</v>
      </c>
      <c r="D1158" s="5" t="str">
        <f>_xlfn.XLOOKUP($N1158,'Base de Grupos'!$A:$A,'Base de Grupos'!$F:$F)</f>
        <v>1000065763</v>
      </c>
      <c r="E1158" s="2" t="str">
        <f>_xlfn.XLOOKUP($N1158,'Base de Grupos'!$A:$A,'Base de Grupos'!$G:$G)</f>
        <v>CANAL VENDA INTERNA</v>
      </c>
      <c r="F1158" s="2" t="str">
        <f>_xlfn.XLOOKUP($N1158,'Base de Grupos'!$A:$A,'Base de Grupos'!$H:$H)</f>
        <v>1000174119</v>
      </c>
      <c r="G1158" s="5" t="str">
        <f>_xlfn.XLOOKUP($N1158,'Base de Grupos'!$A:$A,'Base de Grupos'!$I:$I)</f>
        <v>REGIONAL VENDA INTERNA - CONVENIENCIA</v>
      </c>
      <c r="H1158" s="5" t="str">
        <f>_xlfn.XLOOKUP($N1158,'Base de Grupos'!$A:$A,'Base de Grupos'!$J:$J)</f>
        <v>1000174119</v>
      </c>
      <c r="I1158" s="2" t="str">
        <f>_xlfn.XLOOKUP($N1158,'Base de Grupos'!$A:$A,'Base de Grupos'!$K:$K)</f>
        <v>REGIONAL VENDA INTERNA - CONVENIENCIA</v>
      </c>
      <c r="J1158" s="2" t="str">
        <f>_xlfn.XLOOKUP($N1158,'Base de Grupos'!$A:$A,'Base de Grupos'!$L:$L)</f>
        <v>1000174119</v>
      </c>
      <c r="K1158" s="5" t="str">
        <f>_xlfn.XLOOKUP($N1158,'Base de Grupos'!$A:$A,'Base de Grupos'!$M:$M)</f>
        <v>REGIONAL VENDA INTERNA - CONVENIENCIA</v>
      </c>
      <c r="L1158" s="5" t="str">
        <f t="shared" si="1080"/>
        <v/>
      </c>
      <c r="M1158" s="5" t="str">
        <f>_xlfn.XLOOKUP($N1158,'Base de Grupos'!$A:$A,'Base de Grupos'!$C:$C)</f>
        <v>AC</v>
      </c>
      <c r="N1158" s="3">
        <v>1532</v>
      </c>
      <c r="O1158" s="4" t="s">
        <v>368</v>
      </c>
      <c r="P1158" s="5" t="s">
        <v>84</v>
      </c>
      <c r="Q1158" s="56">
        <v>0</v>
      </c>
      <c r="R1158" s="56">
        <v>0</v>
      </c>
      <c r="S1158" s="56">
        <v>0</v>
      </c>
      <c r="T1158" s="56">
        <f>_xlfn.XLOOKUP($N1158,'Calculo Leads Conveniencia'!$A$77:$A$104,'Calculo Leads Conveniencia'!G$77:G$104)*_xlfn.XLOOKUP($P1158,'Base Grupo de Produtos'!$E$23:$E$39,'Base Grupo de Produtos'!$F$23:$F$39)</f>
        <v>0</v>
      </c>
      <c r="U1158" s="56">
        <f>_xlfn.XLOOKUP($N1158,'Calculo Leads Conveniencia'!$A$77:$A$104,'Calculo Leads Conveniencia'!H$77:H$104)*_xlfn.XLOOKUP($P1158,'Base Grupo de Produtos'!$E$23:$E$39,'Base Grupo de Produtos'!$F$23:$F$39)</f>
        <v>0</v>
      </c>
      <c r="V1158" s="56">
        <f>_xlfn.XLOOKUP($N1158,'Calculo Leads Conveniencia'!$A$77:$A$104,'Calculo Leads Conveniencia'!I$77:I$104)*_xlfn.XLOOKUP($P1158,'Base Grupo de Produtos'!$E$23:$E$39,'Base Grupo de Produtos'!$F$23:$F$39)</f>
        <v>0</v>
      </c>
      <c r="W1158" s="56">
        <f>_xlfn.XLOOKUP($N1158,'Calculo Leads Conveniencia'!$A$77:$A$104,'Calculo Leads Conveniencia'!J$77:J$104)*_xlfn.XLOOKUP($P1158,'Base Grupo de Produtos'!$E$23:$E$39,'Base Grupo de Produtos'!$F$23:$F$39)</f>
        <v>0</v>
      </c>
      <c r="X1158" s="56">
        <f>_xlfn.XLOOKUP($N1158,'Calculo Leads Conveniencia'!$A$77:$A$104,'Calculo Leads Conveniencia'!K$77:K$104)*_xlfn.XLOOKUP($P1158,'Base Grupo de Produtos'!$E$23:$E$39,'Base Grupo de Produtos'!$F$23:$F$39)</f>
        <v>0</v>
      </c>
      <c r="Y1158" s="56">
        <f>_xlfn.XLOOKUP($N1158,'Calculo Leads Conveniencia'!$A$77:$A$104,'Calculo Leads Conveniencia'!L$77:L$104)*_xlfn.XLOOKUP($P1158,'Base Grupo de Produtos'!$E$23:$E$39,'Base Grupo de Produtos'!$F$23:$F$39)</f>
        <v>0</v>
      </c>
      <c r="Z1158" s="56">
        <f>_xlfn.XLOOKUP($N1158,'Calculo Leads Conveniencia'!$A$77:$A$104,'Calculo Leads Conveniencia'!M$77:M$104)*_xlfn.XLOOKUP($P1158,'Base Grupo de Produtos'!$E$23:$E$39,'Base Grupo de Produtos'!$F$23:$F$39)</f>
        <v>0</v>
      </c>
      <c r="AA1158" s="56">
        <f>_xlfn.XLOOKUP($N1158,'Calculo Leads Conveniencia'!$A$77:$A$104,'Calculo Leads Conveniencia'!N$77:N$104)*_xlfn.XLOOKUP($P1158,'Base Grupo de Produtos'!$E$23:$E$39,'Base Grupo de Produtos'!$F$23:$F$39)</f>
        <v>0</v>
      </c>
      <c r="AB1158" s="56">
        <f>_xlfn.XLOOKUP($N1158,'Calculo Leads Conveniencia'!$A$77:$A$104,'Calculo Leads Conveniencia'!O$77:O$104)*_xlfn.XLOOKUP($P1158,'Base Grupo de Produtos'!$E$23:$E$39,'Base Grupo de Produtos'!$F$23:$F$39)</f>
        <v>0</v>
      </c>
      <c r="AC1158" s="61">
        <f t="shared" si="1083"/>
        <v>0</v>
      </c>
      <c r="AD1158" s="28"/>
      <c r="AE1158" s="12"/>
      <c r="AF1158" s="29"/>
      <c r="AG1158" s="9"/>
      <c r="AH1158" s="10"/>
      <c r="AI1158" s="9"/>
      <c r="AJ1158" s="11"/>
      <c r="AK1158" s="9"/>
      <c r="AL1158" s="13"/>
      <c r="AM1158" s="9"/>
    </row>
    <row r="1159" spans="1:39" x14ac:dyDescent="0.3">
      <c r="A1159" s="2" t="str">
        <f t="shared" si="1079"/>
        <v>NÃO</v>
      </c>
      <c r="B1159" s="2" t="str">
        <f>_xlfn.XLOOKUP($N1159,'Base de Grupos'!$A:$A,'Base de Grupos'!$D:$D)</f>
        <v>1000065763</v>
      </c>
      <c r="C1159" s="5" t="str">
        <f>_xlfn.XLOOKUP($N1159,'Base de Grupos'!$A:$A,'Base de Grupos'!$E:$E)</f>
        <v>CANAL VENDA INTERNA</v>
      </c>
      <c r="D1159" s="5" t="str">
        <f>_xlfn.XLOOKUP($N1159,'Base de Grupos'!$A:$A,'Base de Grupos'!$F:$F)</f>
        <v>1000065763</v>
      </c>
      <c r="E1159" s="2" t="str">
        <f>_xlfn.XLOOKUP($N1159,'Base de Grupos'!$A:$A,'Base de Grupos'!$G:$G)</f>
        <v>CANAL VENDA INTERNA</v>
      </c>
      <c r="F1159" s="2" t="str">
        <f>_xlfn.XLOOKUP($N1159,'Base de Grupos'!$A:$A,'Base de Grupos'!$H:$H)</f>
        <v>1000174119</v>
      </c>
      <c r="G1159" s="5" t="str">
        <f>_xlfn.XLOOKUP($N1159,'Base de Grupos'!$A:$A,'Base de Grupos'!$I:$I)</f>
        <v>REGIONAL VENDA INTERNA - CONVENIENCIA</v>
      </c>
      <c r="H1159" s="5" t="str">
        <f>_xlfn.XLOOKUP($N1159,'Base de Grupos'!$A:$A,'Base de Grupos'!$J:$J)</f>
        <v>1000174119</v>
      </c>
      <c r="I1159" s="2" t="str">
        <f>_xlfn.XLOOKUP($N1159,'Base de Grupos'!$A:$A,'Base de Grupos'!$K:$K)</f>
        <v>REGIONAL VENDA INTERNA - CONVENIENCIA</v>
      </c>
      <c r="J1159" s="2" t="str">
        <f>_xlfn.XLOOKUP($N1159,'Base de Grupos'!$A:$A,'Base de Grupos'!$L:$L)</f>
        <v>1000174119</v>
      </c>
      <c r="K1159" s="5" t="str">
        <f>_xlfn.XLOOKUP($N1159,'Base de Grupos'!$A:$A,'Base de Grupos'!$M:$M)</f>
        <v>REGIONAL VENDA INTERNA - CONVENIENCIA</v>
      </c>
      <c r="L1159" s="5" t="str">
        <f t="shared" si="1080"/>
        <v/>
      </c>
      <c r="M1159" s="5" t="str">
        <f>_xlfn.XLOOKUP($N1159,'Base de Grupos'!$A:$A,'Base de Grupos'!$C:$C)</f>
        <v>AC</v>
      </c>
      <c r="N1159" s="3">
        <v>1532</v>
      </c>
      <c r="O1159" s="4" t="s">
        <v>368</v>
      </c>
      <c r="P1159" s="5" t="s">
        <v>83</v>
      </c>
      <c r="Q1159" s="56">
        <v>0</v>
      </c>
      <c r="R1159" s="56">
        <v>0</v>
      </c>
      <c r="S1159" s="56">
        <v>0</v>
      </c>
      <c r="T1159" s="56">
        <f>_xlfn.XLOOKUP($N1159,'Calculo Leads Conveniencia'!$A$77:$A$104,'Calculo Leads Conveniencia'!G$77:G$104)*_xlfn.XLOOKUP($P1159,'Base Grupo de Produtos'!$E$23:$E$39,'Base Grupo de Produtos'!$F$23:$F$39)</f>
        <v>0</v>
      </c>
      <c r="U1159" s="56">
        <f>_xlfn.XLOOKUP($N1159,'Calculo Leads Conveniencia'!$A$77:$A$104,'Calculo Leads Conveniencia'!H$77:H$104)*_xlfn.XLOOKUP($P1159,'Base Grupo de Produtos'!$E$23:$E$39,'Base Grupo de Produtos'!$F$23:$F$39)</f>
        <v>0</v>
      </c>
      <c r="V1159" s="56">
        <f>_xlfn.XLOOKUP($N1159,'Calculo Leads Conveniencia'!$A$77:$A$104,'Calculo Leads Conveniencia'!I$77:I$104)*_xlfn.XLOOKUP($P1159,'Base Grupo de Produtos'!$E$23:$E$39,'Base Grupo de Produtos'!$F$23:$F$39)</f>
        <v>0</v>
      </c>
      <c r="W1159" s="56">
        <f>_xlfn.XLOOKUP($N1159,'Calculo Leads Conveniencia'!$A$77:$A$104,'Calculo Leads Conveniencia'!J$77:J$104)*_xlfn.XLOOKUP($P1159,'Base Grupo de Produtos'!$E$23:$E$39,'Base Grupo de Produtos'!$F$23:$F$39)</f>
        <v>0</v>
      </c>
      <c r="X1159" s="56">
        <f>_xlfn.XLOOKUP($N1159,'Calculo Leads Conveniencia'!$A$77:$A$104,'Calculo Leads Conveniencia'!K$77:K$104)*_xlfn.XLOOKUP($P1159,'Base Grupo de Produtos'!$E$23:$E$39,'Base Grupo de Produtos'!$F$23:$F$39)</f>
        <v>0</v>
      </c>
      <c r="Y1159" s="56">
        <f>_xlfn.XLOOKUP($N1159,'Calculo Leads Conveniencia'!$A$77:$A$104,'Calculo Leads Conveniencia'!L$77:L$104)*_xlfn.XLOOKUP($P1159,'Base Grupo de Produtos'!$E$23:$E$39,'Base Grupo de Produtos'!$F$23:$F$39)</f>
        <v>0</v>
      </c>
      <c r="Z1159" s="56">
        <f>_xlfn.XLOOKUP($N1159,'Calculo Leads Conveniencia'!$A$77:$A$104,'Calculo Leads Conveniencia'!M$77:M$104)*_xlfn.XLOOKUP($P1159,'Base Grupo de Produtos'!$E$23:$E$39,'Base Grupo de Produtos'!$F$23:$F$39)</f>
        <v>0</v>
      </c>
      <c r="AA1159" s="56">
        <f>_xlfn.XLOOKUP($N1159,'Calculo Leads Conveniencia'!$A$77:$A$104,'Calculo Leads Conveniencia'!N$77:N$104)*_xlfn.XLOOKUP($P1159,'Base Grupo de Produtos'!$E$23:$E$39,'Base Grupo de Produtos'!$F$23:$F$39)</f>
        <v>0</v>
      </c>
      <c r="AB1159" s="56">
        <f>_xlfn.XLOOKUP($N1159,'Calculo Leads Conveniencia'!$A$77:$A$104,'Calculo Leads Conveniencia'!O$77:O$104)*_xlfn.XLOOKUP($P1159,'Base Grupo de Produtos'!$E$23:$E$39,'Base Grupo de Produtos'!$F$23:$F$39)</f>
        <v>0</v>
      </c>
      <c r="AC1159" s="61">
        <f t="shared" si="1083"/>
        <v>0</v>
      </c>
      <c r="AD1159" s="28"/>
      <c r="AE1159" s="12"/>
      <c r="AF1159" s="29"/>
      <c r="AG1159" s="9"/>
      <c r="AH1159" s="10"/>
      <c r="AI1159" s="9"/>
      <c r="AJ1159" s="11"/>
      <c r="AK1159" s="9"/>
      <c r="AL1159" s="13"/>
      <c r="AM1159" s="9"/>
    </row>
    <row r="1160" spans="1:39" x14ac:dyDescent="0.3">
      <c r="A1160" s="2" t="str">
        <f t="shared" si="1079"/>
        <v>NÃO</v>
      </c>
      <c r="B1160" s="2" t="str">
        <f>_xlfn.XLOOKUP($N1160,'Base de Grupos'!$A:$A,'Base de Grupos'!$D:$D)</f>
        <v>1000065763</v>
      </c>
      <c r="C1160" s="5" t="str">
        <f>_xlfn.XLOOKUP($N1160,'Base de Grupos'!$A:$A,'Base de Grupos'!$E:$E)</f>
        <v>CANAL VENDA INTERNA</v>
      </c>
      <c r="D1160" s="5" t="str">
        <f>_xlfn.XLOOKUP($N1160,'Base de Grupos'!$A:$A,'Base de Grupos'!$F:$F)</f>
        <v>1000065763</v>
      </c>
      <c r="E1160" s="2" t="str">
        <f>_xlfn.XLOOKUP($N1160,'Base de Grupos'!$A:$A,'Base de Grupos'!$G:$G)</f>
        <v>CANAL VENDA INTERNA</v>
      </c>
      <c r="F1160" s="2" t="str">
        <f>_xlfn.XLOOKUP($N1160,'Base de Grupos'!$A:$A,'Base de Grupos'!$H:$H)</f>
        <v>1000174119</v>
      </c>
      <c r="G1160" s="5" t="str">
        <f>_xlfn.XLOOKUP($N1160,'Base de Grupos'!$A:$A,'Base de Grupos'!$I:$I)</f>
        <v>REGIONAL VENDA INTERNA - CONVENIENCIA</v>
      </c>
      <c r="H1160" s="5" t="str">
        <f>_xlfn.XLOOKUP($N1160,'Base de Grupos'!$A:$A,'Base de Grupos'!$J:$J)</f>
        <v>1000174119</v>
      </c>
      <c r="I1160" s="2" t="str">
        <f>_xlfn.XLOOKUP($N1160,'Base de Grupos'!$A:$A,'Base de Grupos'!$K:$K)</f>
        <v>REGIONAL VENDA INTERNA - CONVENIENCIA</v>
      </c>
      <c r="J1160" s="2" t="str">
        <f>_xlfn.XLOOKUP($N1160,'Base de Grupos'!$A:$A,'Base de Grupos'!$L:$L)</f>
        <v>1000174119</v>
      </c>
      <c r="K1160" s="5" t="str">
        <f>_xlfn.XLOOKUP($N1160,'Base de Grupos'!$A:$A,'Base de Grupos'!$M:$M)</f>
        <v>REGIONAL VENDA INTERNA - CONVENIENCIA</v>
      </c>
      <c r="L1160" s="5" t="str">
        <f t="shared" si="1080"/>
        <v/>
      </c>
      <c r="M1160" s="5" t="str">
        <f>_xlfn.XLOOKUP($N1160,'Base de Grupos'!$A:$A,'Base de Grupos'!$C:$C)</f>
        <v>AC</v>
      </c>
      <c r="N1160" s="3">
        <v>1532</v>
      </c>
      <c r="O1160" s="4" t="s">
        <v>368</v>
      </c>
      <c r="P1160" s="5" t="s">
        <v>87</v>
      </c>
      <c r="Q1160" s="56">
        <v>0</v>
      </c>
      <c r="R1160" s="56">
        <v>0</v>
      </c>
      <c r="S1160" s="56">
        <v>0</v>
      </c>
      <c r="T1160" s="56">
        <f>_xlfn.XLOOKUP($N1160,'Calculo Leads Conveniencia'!$A$77:$A$104,'Calculo Leads Conveniencia'!G$77:G$104)*_xlfn.XLOOKUP($P1160,'Base Grupo de Produtos'!$E$23:$E$39,'Base Grupo de Produtos'!$F$23:$F$39)</f>
        <v>0</v>
      </c>
      <c r="U1160" s="56">
        <f>_xlfn.XLOOKUP($N1160,'Calculo Leads Conveniencia'!$A$77:$A$104,'Calculo Leads Conveniencia'!H$77:H$104)*_xlfn.XLOOKUP($P1160,'Base Grupo de Produtos'!$E$23:$E$39,'Base Grupo de Produtos'!$F$23:$F$39)</f>
        <v>0</v>
      </c>
      <c r="V1160" s="56">
        <f>_xlfn.XLOOKUP($N1160,'Calculo Leads Conveniencia'!$A$77:$A$104,'Calculo Leads Conveniencia'!I$77:I$104)*_xlfn.XLOOKUP($P1160,'Base Grupo de Produtos'!$E$23:$E$39,'Base Grupo de Produtos'!$F$23:$F$39)</f>
        <v>0</v>
      </c>
      <c r="W1160" s="56">
        <f>_xlfn.XLOOKUP($N1160,'Calculo Leads Conveniencia'!$A$77:$A$104,'Calculo Leads Conveniencia'!J$77:J$104)*_xlfn.XLOOKUP($P1160,'Base Grupo de Produtos'!$E$23:$E$39,'Base Grupo de Produtos'!$F$23:$F$39)</f>
        <v>0</v>
      </c>
      <c r="X1160" s="56">
        <f>_xlfn.XLOOKUP($N1160,'Calculo Leads Conveniencia'!$A$77:$A$104,'Calculo Leads Conveniencia'!K$77:K$104)*_xlfn.XLOOKUP($P1160,'Base Grupo de Produtos'!$E$23:$E$39,'Base Grupo de Produtos'!$F$23:$F$39)</f>
        <v>0</v>
      </c>
      <c r="Y1160" s="56">
        <f>_xlfn.XLOOKUP($N1160,'Calculo Leads Conveniencia'!$A$77:$A$104,'Calculo Leads Conveniencia'!L$77:L$104)*_xlfn.XLOOKUP($P1160,'Base Grupo de Produtos'!$E$23:$E$39,'Base Grupo de Produtos'!$F$23:$F$39)</f>
        <v>0</v>
      </c>
      <c r="Z1160" s="56">
        <f>_xlfn.XLOOKUP($N1160,'Calculo Leads Conveniencia'!$A$77:$A$104,'Calculo Leads Conveniencia'!M$77:M$104)*_xlfn.XLOOKUP($P1160,'Base Grupo de Produtos'!$E$23:$E$39,'Base Grupo de Produtos'!$F$23:$F$39)</f>
        <v>0</v>
      </c>
      <c r="AA1160" s="56">
        <f>_xlfn.XLOOKUP($N1160,'Calculo Leads Conveniencia'!$A$77:$A$104,'Calculo Leads Conveniencia'!N$77:N$104)*_xlfn.XLOOKUP($P1160,'Base Grupo de Produtos'!$E$23:$E$39,'Base Grupo de Produtos'!$F$23:$F$39)</f>
        <v>0</v>
      </c>
      <c r="AB1160" s="56">
        <f>_xlfn.XLOOKUP($N1160,'Calculo Leads Conveniencia'!$A$77:$A$104,'Calculo Leads Conveniencia'!O$77:O$104)*_xlfn.XLOOKUP($P1160,'Base Grupo de Produtos'!$E$23:$E$39,'Base Grupo de Produtos'!$F$23:$F$39)</f>
        <v>0</v>
      </c>
      <c r="AC1160" s="61">
        <f t="shared" si="1083"/>
        <v>0</v>
      </c>
      <c r="AD1160" s="28"/>
      <c r="AE1160" s="12"/>
      <c r="AF1160" s="29"/>
      <c r="AG1160" s="9"/>
      <c r="AH1160" s="10"/>
      <c r="AI1160" s="9"/>
      <c r="AJ1160" s="11"/>
      <c r="AK1160" s="9"/>
      <c r="AL1160" s="13"/>
      <c r="AM1160" s="9"/>
    </row>
    <row r="1161" spans="1:39" x14ac:dyDescent="0.3">
      <c r="A1161" s="2" t="str">
        <f t="shared" si="1079"/>
        <v>NÃO</v>
      </c>
      <c r="B1161" s="2" t="str">
        <f>_xlfn.XLOOKUP($N1161,'Base de Grupos'!$A:$A,'Base de Grupos'!$D:$D)</f>
        <v>1000065763</v>
      </c>
      <c r="C1161" s="5" t="str">
        <f>_xlfn.XLOOKUP($N1161,'Base de Grupos'!$A:$A,'Base de Grupos'!$E:$E)</f>
        <v>CANAL VENDA INTERNA</v>
      </c>
      <c r="D1161" s="5" t="str">
        <f>_xlfn.XLOOKUP($N1161,'Base de Grupos'!$A:$A,'Base de Grupos'!$F:$F)</f>
        <v>1000065763</v>
      </c>
      <c r="E1161" s="2" t="str">
        <f>_xlfn.XLOOKUP($N1161,'Base de Grupos'!$A:$A,'Base de Grupos'!$G:$G)</f>
        <v>CANAL VENDA INTERNA</v>
      </c>
      <c r="F1161" s="2" t="str">
        <f>_xlfn.XLOOKUP($N1161,'Base de Grupos'!$A:$A,'Base de Grupos'!$H:$H)</f>
        <v>1000174119</v>
      </c>
      <c r="G1161" s="5" t="str">
        <f>_xlfn.XLOOKUP($N1161,'Base de Grupos'!$A:$A,'Base de Grupos'!$I:$I)</f>
        <v>REGIONAL VENDA INTERNA - CONVENIENCIA</v>
      </c>
      <c r="H1161" s="5" t="str">
        <f>_xlfn.XLOOKUP($N1161,'Base de Grupos'!$A:$A,'Base de Grupos'!$J:$J)</f>
        <v>1000174119</v>
      </c>
      <c r="I1161" s="2" t="str">
        <f>_xlfn.XLOOKUP($N1161,'Base de Grupos'!$A:$A,'Base de Grupos'!$K:$K)</f>
        <v>REGIONAL VENDA INTERNA - CONVENIENCIA</v>
      </c>
      <c r="J1161" s="2" t="str">
        <f>_xlfn.XLOOKUP($N1161,'Base de Grupos'!$A:$A,'Base de Grupos'!$L:$L)</f>
        <v>1000174119</v>
      </c>
      <c r="K1161" s="5" t="str">
        <f>_xlfn.XLOOKUP($N1161,'Base de Grupos'!$A:$A,'Base de Grupos'!$M:$M)</f>
        <v>REGIONAL VENDA INTERNA - CONVENIENCIA</v>
      </c>
      <c r="L1161" s="5" t="str">
        <f t="shared" si="1080"/>
        <v/>
      </c>
      <c r="M1161" s="5" t="str">
        <f>_xlfn.XLOOKUP($N1161,'Base de Grupos'!$A:$A,'Base de Grupos'!$C:$C)</f>
        <v>AC</v>
      </c>
      <c r="N1161" s="3">
        <v>1532</v>
      </c>
      <c r="O1161" s="4" t="s">
        <v>368</v>
      </c>
      <c r="P1161" s="5" t="s">
        <v>85</v>
      </c>
      <c r="Q1161" s="56">
        <v>0</v>
      </c>
      <c r="R1161" s="56">
        <v>0</v>
      </c>
      <c r="S1161" s="56">
        <v>0</v>
      </c>
      <c r="T1161" s="56">
        <f>_xlfn.XLOOKUP($N1161,'Calculo Leads Conveniencia'!$A$77:$A$104,'Calculo Leads Conveniencia'!G$77:G$104)*_xlfn.XLOOKUP($P1161,'Base Grupo de Produtos'!$E$23:$E$39,'Base Grupo de Produtos'!$F$23:$F$39)</f>
        <v>0</v>
      </c>
      <c r="U1161" s="56">
        <f>_xlfn.XLOOKUP($N1161,'Calculo Leads Conveniencia'!$A$77:$A$104,'Calculo Leads Conveniencia'!H$77:H$104)*_xlfn.XLOOKUP($P1161,'Base Grupo de Produtos'!$E$23:$E$39,'Base Grupo de Produtos'!$F$23:$F$39)</f>
        <v>0</v>
      </c>
      <c r="V1161" s="56">
        <f>_xlfn.XLOOKUP($N1161,'Calculo Leads Conveniencia'!$A$77:$A$104,'Calculo Leads Conveniencia'!I$77:I$104)*_xlfn.XLOOKUP($P1161,'Base Grupo de Produtos'!$E$23:$E$39,'Base Grupo de Produtos'!$F$23:$F$39)</f>
        <v>0</v>
      </c>
      <c r="W1161" s="56">
        <f>_xlfn.XLOOKUP($N1161,'Calculo Leads Conveniencia'!$A$77:$A$104,'Calculo Leads Conveniencia'!J$77:J$104)*_xlfn.XLOOKUP($P1161,'Base Grupo de Produtos'!$E$23:$E$39,'Base Grupo de Produtos'!$F$23:$F$39)</f>
        <v>0</v>
      </c>
      <c r="X1161" s="56">
        <f>_xlfn.XLOOKUP($N1161,'Calculo Leads Conveniencia'!$A$77:$A$104,'Calculo Leads Conveniencia'!K$77:K$104)*_xlfn.XLOOKUP($P1161,'Base Grupo de Produtos'!$E$23:$E$39,'Base Grupo de Produtos'!$F$23:$F$39)</f>
        <v>0</v>
      </c>
      <c r="Y1161" s="56">
        <f>_xlfn.XLOOKUP($N1161,'Calculo Leads Conveniencia'!$A$77:$A$104,'Calculo Leads Conveniencia'!L$77:L$104)*_xlfn.XLOOKUP($P1161,'Base Grupo de Produtos'!$E$23:$E$39,'Base Grupo de Produtos'!$F$23:$F$39)</f>
        <v>0</v>
      </c>
      <c r="Z1161" s="56">
        <f>_xlfn.XLOOKUP($N1161,'Calculo Leads Conveniencia'!$A$77:$A$104,'Calculo Leads Conveniencia'!M$77:M$104)*_xlfn.XLOOKUP($P1161,'Base Grupo de Produtos'!$E$23:$E$39,'Base Grupo de Produtos'!$F$23:$F$39)</f>
        <v>0</v>
      </c>
      <c r="AA1161" s="56">
        <f>_xlfn.XLOOKUP($N1161,'Calculo Leads Conveniencia'!$A$77:$A$104,'Calculo Leads Conveniencia'!N$77:N$104)*_xlfn.XLOOKUP($P1161,'Base Grupo de Produtos'!$E$23:$E$39,'Base Grupo de Produtos'!$F$23:$F$39)</f>
        <v>0</v>
      </c>
      <c r="AB1161" s="56">
        <f>_xlfn.XLOOKUP($N1161,'Calculo Leads Conveniencia'!$A$77:$A$104,'Calculo Leads Conveniencia'!O$77:O$104)*_xlfn.XLOOKUP($P1161,'Base Grupo de Produtos'!$E$23:$E$39,'Base Grupo de Produtos'!$F$23:$F$39)</f>
        <v>0</v>
      </c>
      <c r="AC1161" s="61">
        <f t="shared" si="1083"/>
        <v>0</v>
      </c>
      <c r="AD1161" s="28"/>
      <c r="AE1161" s="12"/>
      <c r="AF1161" s="29"/>
      <c r="AG1161" s="9"/>
      <c r="AH1161" s="10"/>
      <c r="AI1161" s="9"/>
      <c r="AJ1161" s="11"/>
      <c r="AK1161" s="9"/>
      <c r="AL1161" s="13"/>
      <c r="AM1161" s="9"/>
    </row>
    <row r="1162" spans="1:39" x14ac:dyDescent="0.3">
      <c r="A1162" s="2" t="str">
        <f t="shared" si="1079"/>
        <v>NÃO</v>
      </c>
      <c r="B1162" s="2" t="str">
        <f>_xlfn.XLOOKUP($N1162,'Base de Grupos'!$A:$A,'Base de Grupos'!$D:$D)</f>
        <v>1000065763</v>
      </c>
      <c r="C1162" s="5" t="str">
        <f>_xlfn.XLOOKUP($N1162,'Base de Grupos'!$A:$A,'Base de Grupos'!$E:$E)</f>
        <v>CANAL VENDA INTERNA</v>
      </c>
      <c r="D1162" s="5" t="str">
        <f>_xlfn.XLOOKUP($N1162,'Base de Grupos'!$A:$A,'Base de Grupos'!$F:$F)</f>
        <v>1000065763</v>
      </c>
      <c r="E1162" s="2" t="str">
        <f>_xlfn.XLOOKUP($N1162,'Base de Grupos'!$A:$A,'Base de Grupos'!$G:$G)</f>
        <v>CANAL VENDA INTERNA</v>
      </c>
      <c r="F1162" s="2" t="str">
        <f>_xlfn.XLOOKUP($N1162,'Base de Grupos'!$A:$A,'Base de Grupos'!$H:$H)</f>
        <v>1000174119</v>
      </c>
      <c r="G1162" s="5" t="str">
        <f>_xlfn.XLOOKUP($N1162,'Base de Grupos'!$A:$A,'Base de Grupos'!$I:$I)</f>
        <v>REGIONAL VENDA INTERNA - CONVENIENCIA</v>
      </c>
      <c r="H1162" s="5" t="str">
        <f>_xlfn.XLOOKUP($N1162,'Base de Grupos'!$A:$A,'Base de Grupos'!$J:$J)</f>
        <v>1000174119</v>
      </c>
      <c r="I1162" s="2" t="str">
        <f>_xlfn.XLOOKUP($N1162,'Base de Grupos'!$A:$A,'Base de Grupos'!$K:$K)</f>
        <v>REGIONAL VENDA INTERNA - CONVENIENCIA</v>
      </c>
      <c r="J1162" s="2" t="str">
        <f>_xlfn.XLOOKUP($N1162,'Base de Grupos'!$A:$A,'Base de Grupos'!$L:$L)</f>
        <v>1000174119</v>
      </c>
      <c r="K1162" s="5" t="str">
        <f>_xlfn.XLOOKUP($N1162,'Base de Grupos'!$A:$A,'Base de Grupos'!$M:$M)</f>
        <v>REGIONAL VENDA INTERNA - CONVENIENCIA</v>
      </c>
      <c r="L1162" s="5" t="str">
        <f t="shared" si="1080"/>
        <v/>
      </c>
      <c r="M1162" s="5" t="str">
        <f>_xlfn.XLOOKUP($N1162,'Base de Grupos'!$A:$A,'Base de Grupos'!$C:$C)</f>
        <v>AC</v>
      </c>
      <c r="N1162" s="3">
        <v>1532</v>
      </c>
      <c r="O1162" s="4" t="s">
        <v>368</v>
      </c>
      <c r="P1162" s="5" t="s">
        <v>92</v>
      </c>
      <c r="Q1162" s="56">
        <v>0</v>
      </c>
      <c r="R1162" s="56">
        <v>0</v>
      </c>
      <c r="S1162" s="56">
        <v>0</v>
      </c>
      <c r="T1162" s="56">
        <f>_xlfn.XLOOKUP($N1162,'Calculo Leads Conveniencia'!$A$77:$A$104,'Calculo Leads Conveniencia'!G$77:G$104)*_xlfn.XLOOKUP($P1162,'Base Grupo de Produtos'!$E$23:$E$39,'Base Grupo de Produtos'!$F$23:$F$39)</f>
        <v>0</v>
      </c>
      <c r="U1162" s="56">
        <f>_xlfn.XLOOKUP($N1162,'Calculo Leads Conveniencia'!$A$77:$A$104,'Calculo Leads Conveniencia'!H$77:H$104)*_xlfn.XLOOKUP($P1162,'Base Grupo de Produtos'!$E$23:$E$39,'Base Grupo de Produtos'!$F$23:$F$39)</f>
        <v>0</v>
      </c>
      <c r="V1162" s="56">
        <f>_xlfn.XLOOKUP($N1162,'Calculo Leads Conveniencia'!$A$77:$A$104,'Calculo Leads Conveniencia'!I$77:I$104)*_xlfn.XLOOKUP($P1162,'Base Grupo de Produtos'!$E$23:$E$39,'Base Grupo de Produtos'!$F$23:$F$39)</f>
        <v>0</v>
      </c>
      <c r="W1162" s="56">
        <f>_xlfn.XLOOKUP($N1162,'Calculo Leads Conveniencia'!$A$77:$A$104,'Calculo Leads Conveniencia'!J$77:J$104)*_xlfn.XLOOKUP($P1162,'Base Grupo de Produtos'!$E$23:$E$39,'Base Grupo de Produtos'!$F$23:$F$39)</f>
        <v>0</v>
      </c>
      <c r="X1162" s="56">
        <f>_xlfn.XLOOKUP($N1162,'Calculo Leads Conveniencia'!$A$77:$A$104,'Calculo Leads Conveniencia'!K$77:K$104)*_xlfn.XLOOKUP($P1162,'Base Grupo de Produtos'!$E$23:$E$39,'Base Grupo de Produtos'!$F$23:$F$39)</f>
        <v>0</v>
      </c>
      <c r="Y1162" s="56">
        <f>_xlfn.XLOOKUP($N1162,'Calculo Leads Conveniencia'!$A$77:$A$104,'Calculo Leads Conveniencia'!L$77:L$104)*_xlfn.XLOOKUP($P1162,'Base Grupo de Produtos'!$E$23:$E$39,'Base Grupo de Produtos'!$F$23:$F$39)</f>
        <v>0</v>
      </c>
      <c r="Z1162" s="56">
        <f>_xlfn.XLOOKUP($N1162,'Calculo Leads Conveniencia'!$A$77:$A$104,'Calculo Leads Conveniencia'!M$77:M$104)*_xlfn.XLOOKUP($P1162,'Base Grupo de Produtos'!$E$23:$E$39,'Base Grupo de Produtos'!$F$23:$F$39)</f>
        <v>0</v>
      </c>
      <c r="AA1162" s="56">
        <f>_xlfn.XLOOKUP($N1162,'Calculo Leads Conveniencia'!$A$77:$A$104,'Calculo Leads Conveniencia'!N$77:N$104)*_xlfn.XLOOKUP($P1162,'Base Grupo de Produtos'!$E$23:$E$39,'Base Grupo de Produtos'!$F$23:$F$39)</f>
        <v>0</v>
      </c>
      <c r="AB1162" s="56">
        <f>_xlfn.XLOOKUP($N1162,'Calculo Leads Conveniencia'!$A$77:$A$104,'Calculo Leads Conveniencia'!O$77:O$104)*_xlfn.XLOOKUP($P1162,'Base Grupo de Produtos'!$E$23:$E$39,'Base Grupo de Produtos'!$F$23:$F$39)</f>
        <v>0</v>
      </c>
      <c r="AC1162" s="61">
        <f t="shared" si="1083"/>
        <v>0</v>
      </c>
      <c r="AD1162" s="28"/>
      <c r="AE1162" s="12"/>
      <c r="AF1162" s="29"/>
      <c r="AG1162" s="9"/>
      <c r="AH1162" s="10"/>
      <c r="AI1162" s="9"/>
      <c r="AJ1162" s="11"/>
      <c r="AK1162" s="9"/>
      <c r="AL1162" s="13"/>
      <c r="AM1162" s="9"/>
    </row>
    <row r="1163" spans="1:39" x14ac:dyDescent="0.3">
      <c r="A1163" s="2" t="str">
        <f t="shared" si="1079"/>
        <v>NÃO</v>
      </c>
      <c r="B1163" s="2" t="str">
        <f>_xlfn.XLOOKUP($N1163,'Base de Grupos'!$A:$A,'Base de Grupos'!$D:$D)</f>
        <v>1000065763</v>
      </c>
      <c r="C1163" s="5" t="str">
        <f>_xlfn.XLOOKUP($N1163,'Base de Grupos'!$A:$A,'Base de Grupos'!$E:$E)</f>
        <v>CANAL VENDA INTERNA</v>
      </c>
      <c r="D1163" s="5" t="str">
        <f>_xlfn.XLOOKUP($N1163,'Base de Grupos'!$A:$A,'Base de Grupos'!$F:$F)</f>
        <v>1000065763</v>
      </c>
      <c r="E1163" s="2" t="str">
        <f>_xlfn.XLOOKUP($N1163,'Base de Grupos'!$A:$A,'Base de Grupos'!$G:$G)</f>
        <v>CANAL VENDA INTERNA</v>
      </c>
      <c r="F1163" s="2" t="str">
        <f>_xlfn.XLOOKUP($N1163,'Base de Grupos'!$A:$A,'Base de Grupos'!$H:$H)</f>
        <v>1000174119</v>
      </c>
      <c r="G1163" s="5" t="str">
        <f>_xlfn.XLOOKUP($N1163,'Base de Grupos'!$A:$A,'Base de Grupos'!$I:$I)</f>
        <v>REGIONAL VENDA INTERNA - CONVENIENCIA</v>
      </c>
      <c r="H1163" s="5" t="str">
        <f>_xlfn.XLOOKUP($N1163,'Base de Grupos'!$A:$A,'Base de Grupos'!$J:$J)</f>
        <v>1000174119</v>
      </c>
      <c r="I1163" s="2" t="str">
        <f>_xlfn.XLOOKUP($N1163,'Base de Grupos'!$A:$A,'Base de Grupos'!$K:$K)</f>
        <v>REGIONAL VENDA INTERNA - CONVENIENCIA</v>
      </c>
      <c r="J1163" s="2" t="str">
        <f>_xlfn.XLOOKUP($N1163,'Base de Grupos'!$A:$A,'Base de Grupos'!$L:$L)</f>
        <v>1000174119</v>
      </c>
      <c r="K1163" s="5" t="str">
        <f>_xlfn.XLOOKUP($N1163,'Base de Grupos'!$A:$A,'Base de Grupos'!$M:$M)</f>
        <v>REGIONAL VENDA INTERNA - CONVENIENCIA</v>
      </c>
      <c r="L1163" s="5" t="str">
        <f t="shared" si="1080"/>
        <v/>
      </c>
      <c r="M1163" s="5" t="str">
        <f>_xlfn.XLOOKUP($N1163,'Base de Grupos'!$A:$A,'Base de Grupos'!$C:$C)</f>
        <v>AC</v>
      </c>
      <c r="N1163" s="3">
        <v>1532</v>
      </c>
      <c r="O1163" s="4" t="s">
        <v>368</v>
      </c>
      <c r="P1163" s="5" t="s">
        <v>86</v>
      </c>
      <c r="Q1163" s="56">
        <v>0</v>
      </c>
      <c r="R1163" s="56">
        <v>0</v>
      </c>
      <c r="S1163" s="56">
        <v>0</v>
      </c>
      <c r="T1163" s="56">
        <f>_xlfn.XLOOKUP($N1163,'Calculo Leads Conveniencia'!$A$77:$A$104,'Calculo Leads Conveniencia'!G$77:G$104)*_xlfn.XLOOKUP($P1163,'Base Grupo de Produtos'!$E$23:$E$39,'Base Grupo de Produtos'!$F$23:$F$39)</f>
        <v>0</v>
      </c>
      <c r="U1163" s="56">
        <f>_xlfn.XLOOKUP($N1163,'Calculo Leads Conveniencia'!$A$77:$A$104,'Calculo Leads Conveniencia'!H$77:H$104)*_xlfn.XLOOKUP($P1163,'Base Grupo de Produtos'!$E$23:$E$39,'Base Grupo de Produtos'!$F$23:$F$39)</f>
        <v>0</v>
      </c>
      <c r="V1163" s="56">
        <f>_xlfn.XLOOKUP($N1163,'Calculo Leads Conveniencia'!$A$77:$A$104,'Calculo Leads Conveniencia'!I$77:I$104)*_xlfn.XLOOKUP($P1163,'Base Grupo de Produtos'!$E$23:$E$39,'Base Grupo de Produtos'!$F$23:$F$39)</f>
        <v>0</v>
      </c>
      <c r="W1163" s="56">
        <f>_xlfn.XLOOKUP($N1163,'Calculo Leads Conveniencia'!$A$77:$A$104,'Calculo Leads Conveniencia'!J$77:J$104)*_xlfn.XLOOKUP($P1163,'Base Grupo de Produtos'!$E$23:$E$39,'Base Grupo de Produtos'!$F$23:$F$39)</f>
        <v>0</v>
      </c>
      <c r="X1163" s="56">
        <f>_xlfn.XLOOKUP($N1163,'Calculo Leads Conveniencia'!$A$77:$A$104,'Calculo Leads Conveniencia'!K$77:K$104)*_xlfn.XLOOKUP($P1163,'Base Grupo de Produtos'!$E$23:$E$39,'Base Grupo de Produtos'!$F$23:$F$39)</f>
        <v>0</v>
      </c>
      <c r="Y1163" s="56">
        <f>_xlfn.XLOOKUP($N1163,'Calculo Leads Conveniencia'!$A$77:$A$104,'Calculo Leads Conveniencia'!L$77:L$104)*_xlfn.XLOOKUP($P1163,'Base Grupo de Produtos'!$E$23:$E$39,'Base Grupo de Produtos'!$F$23:$F$39)</f>
        <v>0</v>
      </c>
      <c r="Z1163" s="56">
        <f>_xlfn.XLOOKUP($N1163,'Calculo Leads Conveniencia'!$A$77:$A$104,'Calculo Leads Conveniencia'!M$77:M$104)*_xlfn.XLOOKUP($P1163,'Base Grupo de Produtos'!$E$23:$E$39,'Base Grupo de Produtos'!$F$23:$F$39)</f>
        <v>0</v>
      </c>
      <c r="AA1163" s="56">
        <f>_xlfn.XLOOKUP($N1163,'Calculo Leads Conveniencia'!$A$77:$A$104,'Calculo Leads Conveniencia'!N$77:N$104)*_xlfn.XLOOKUP($P1163,'Base Grupo de Produtos'!$E$23:$E$39,'Base Grupo de Produtos'!$F$23:$F$39)</f>
        <v>0</v>
      </c>
      <c r="AB1163" s="56">
        <f>_xlfn.XLOOKUP($N1163,'Calculo Leads Conveniencia'!$A$77:$A$104,'Calculo Leads Conveniencia'!O$77:O$104)*_xlfn.XLOOKUP($P1163,'Base Grupo de Produtos'!$E$23:$E$39,'Base Grupo de Produtos'!$F$23:$F$39)</f>
        <v>0</v>
      </c>
      <c r="AC1163" s="61">
        <f t="shared" si="1083"/>
        <v>0</v>
      </c>
      <c r="AD1163" s="28"/>
      <c r="AE1163" s="12"/>
      <c r="AF1163" s="29"/>
      <c r="AG1163" s="9"/>
      <c r="AH1163" s="10"/>
      <c r="AI1163" s="9"/>
      <c r="AJ1163" s="11"/>
      <c r="AK1163" s="9"/>
      <c r="AL1163" s="13"/>
      <c r="AM1163" s="9"/>
    </row>
    <row r="1164" spans="1:39" x14ac:dyDescent="0.3">
      <c r="A1164" s="2" t="str">
        <f t="shared" si="1079"/>
        <v>NÃO</v>
      </c>
      <c r="B1164" s="2" t="str">
        <f>_xlfn.XLOOKUP($N1164,'Base de Grupos'!$A:$A,'Base de Grupos'!$D:$D)</f>
        <v>1000065763</v>
      </c>
      <c r="C1164" s="5" t="str">
        <f>_xlfn.XLOOKUP($N1164,'Base de Grupos'!$A:$A,'Base de Grupos'!$E:$E)</f>
        <v>CANAL VENDA INTERNA</v>
      </c>
      <c r="D1164" s="5" t="str">
        <f>_xlfn.XLOOKUP($N1164,'Base de Grupos'!$A:$A,'Base de Grupos'!$F:$F)</f>
        <v>1000065763</v>
      </c>
      <c r="E1164" s="2" t="str">
        <f>_xlfn.XLOOKUP($N1164,'Base de Grupos'!$A:$A,'Base de Grupos'!$G:$G)</f>
        <v>CANAL VENDA INTERNA</v>
      </c>
      <c r="F1164" s="2" t="str">
        <f>_xlfn.XLOOKUP($N1164,'Base de Grupos'!$A:$A,'Base de Grupos'!$H:$H)</f>
        <v>1000174119</v>
      </c>
      <c r="G1164" s="5" t="str">
        <f>_xlfn.XLOOKUP($N1164,'Base de Grupos'!$A:$A,'Base de Grupos'!$I:$I)</f>
        <v>REGIONAL VENDA INTERNA - CONVENIENCIA</v>
      </c>
      <c r="H1164" s="5" t="str">
        <f>_xlfn.XLOOKUP($N1164,'Base de Grupos'!$A:$A,'Base de Grupos'!$J:$J)</f>
        <v>1000174119</v>
      </c>
      <c r="I1164" s="2" t="str">
        <f>_xlfn.XLOOKUP($N1164,'Base de Grupos'!$A:$A,'Base de Grupos'!$K:$K)</f>
        <v>REGIONAL VENDA INTERNA - CONVENIENCIA</v>
      </c>
      <c r="J1164" s="2" t="str">
        <f>_xlfn.XLOOKUP($N1164,'Base de Grupos'!$A:$A,'Base de Grupos'!$L:$L)</f>
        <v>1000174119</v>
      </c>
      <c r="K1164" s="5" t="str">
        <f>_xlfn.XLOOKUP($N1164,'Base de Grupos'!$A:$A,'Base de Grupos'!$M:$M)</f>
        <v>REGIONAL VENDA INTERNA - CONVENIENCIA</v>
      </c>
      <c r="L1164" s="5" t="str">
        <f t="shared" si="1080"/>
        <v/>
      </c>
      <c r="M1164" s="5" t="str">
        <f>_xlfn.XLOOKUP($N1164,'Base de Grupos'!$A:$A,'Base de Grupos'!$C:$C)</f>
        <v>AC</v>
      </c>
      <c r="N1164" s="3">
        <v>1532</v>
      </c>
      <c r="O1164" s="4" t="s">
        <v>368</v>
      </c>
      <c r="P1164" s="5" t="s">
        <v>108</v>
      </c>
      <c r="Q1164" s="56">
        <v>0</v>
      </c>
      <c r="R1164" s="56">
        <v>0</v>
      </c>
      <c r="S1164" s="56">
        <v>0</v>
      </c>
      <c r="T1164" s="56">
        <f>_xlfn.XLOOKUP($N1164,'Calculo Leads Conveniencia'!$A$77:$A$104,'Calculo Leads Conveniencia'!G$77:G$104)*_xlfn.XLOOKUP($P1164,'Base Grupo de Produtos'!$E$23:$E$39,'Base Grupo de Produtos'!$F$23:$F$39)</f>
        <v>0</v>
      </c>
      <c r="U1164" s="56">
        <f>_xlfn.XLOOKUP($N1164,'Calculo Leads Conveniencia'!$A$77:$A$104,'Calculo Leads Conveniencia'!H$77:H$104)*_xlfn.XLOOKUP($P1164,'Base Grupo de Produtos'!$E$23:$E$39,'Base Grupo de Produtos'!$F$23:$F$39)</f>
        <v>0</v>
      </c>
      <c r="V1164" s="56">
        <f>_xlfn.XLOOKUP($N1164,'Calculo Leads Conveniencia'!$A$77:$A$104,'Calculo Leads Conveniencia'!I$77:I$104)*_xlfn.XLOOKUP($P1164,'Base Grupo de Produtos'!$E$23:$E$39,'Base Grupo de Produtos'!$F$23:$F$39)</f>
        <v>0</v>
      </c>
      <c r="W1164" s="56">
        <f>_xlfn.XLOOKUP($N1164,'Calculo Leads Conveniencia'!$A$77:$A$104,'Calculo Leads Conveniencia'!J$77:J$104)*_xlfn.XLOOKUP($P1164,'Base Grupo de Produtos'!$E$23:$E$39,'Base Grupo de Produtos'!$F$23:$F$39)</f>
        <v>0</v>
      </c>
      <c r="X1164" s="56">
        <f>_xlfn.XLOOKUP($N1164,'Calculo Leads Conveniencia'!$A$77:$A$104,'Calculo Leads Conveniencia'!K$77:K$104)*_xlfn.XLOOKUP($P1164,'Base Grupo de Produtos'!$E$23:$E$39,'Base Grupo de Produtos'!$F$23:$F$39)</f>
        <v>0</v>
      </c>
      <c r="Y1164" s="56">
        <f>_xlfn.XLOOKUP($N1164,'Calculo Leads Conveniencia'!$A$77:$A$104,'Calculo Leads Conveniencia'!L$77:L$104)*_xlfn.XLOOKUP($P1164,'Base Grupo de Produtos'!$E$23:$E$39,'Base Grupo de Produtos'!$F$23:$F$39)</f>
        <v>0</v>
      </c>
      <c r="Z1164" s="56">
        <f>_xlfn.XLOOKUP($N1164,'Calculo Leads Conveniencia'!$A$77:$A$104,'Calculo Leads Conveniencia'!M$77:M$104)*_xlfn.XLOOKUP($P1164,'Base Grupo de Produtos'!$E$23:$E$39,'Base Grupo de Produtos'!$F$23:$F$39)</f>
        <v>0</v>
      </c>
      <c r="AA1164" s="56">
        <f>_xlfn.XLOOKUP($N1164,'Calculo Leads Conveniencia'!$A$77:$A$104,'Calculo Leads Conveniencia'!N$77:N$104)*_xlfn.XLOOKUP($P1164,'Base Grupo de Produtos'!$E$23:$E$39,'Base Grupo de Produtos'!$F$23:$F$39)</f>
        <v>0</v>
      </c>
      <c r="AB1164" s="56">
        <f>_xlfn.XLOOKUP($N1164,'Calculo Leads Conveniencia'!$A$77:$A$104,'Calculo Leads Conveniencia'!O$77:O$104)*_xlfn.XLOOKUP($P1164,'Base Grupo de Produtos'!$E$23:$E$39,'Base Grupo de Produtos'!$F$23:$F$39)</f>
        <v>0</v>
      </c>
      <c r="AC1164" s="61">
        <f t="shared" si="1083"/>
        <v>0</v>
      </c>
      <c r="AD1164" s="28"/>
      <c r="AE1164" s="12"/>
      <c r="AF1164" s="29"/>
      <c r="AG1164" s="9"/>
      <c r="AH1164" s="10"/>
      <c r="AI1164" s="9"/>
      <c r="AJ1164" s="11"/>
      <c r="AK1164" s="9"/>
      <c r="AL1164" s="13"/>
      <c r="AM1164" s="9"/>
    </row>
    <row r="1165" spans="1:39" x14ac:dyDescent="0.3">
      <c r="A1165" s="2" t="str">
        <f t="shared" si="1079"/>
        <v>NÃO</v>
      </c>
      <c r="B1165" s="2" t="str">
        <f>_xlfn.XLOOKUP($N1165,'Base de Grupos'!$A:$A,'Base de Grupos'!$D:$D)</f>
        <v>1000065763</v>
      </c>
      <c r="C1165" s="5" t="str">
        <f>_xlfn.XLOOKUP($N1165,'Base de Grupos'!$A:$A,'Base de Grupos'!$E:$E)</f>
        <v>CANAL VENDA INTERNA</v>
      </c>
      <c r="D1165" s="5" t="str">
        <f>_xlfn.XLOOKUP($N1165,'Base de Grupos'!$A:$A,'Base de Grupos'!$F:$F)</f>
        <v>1000065763</v>
      </c>
      <c r="E1165" s="2" t="str">
        <f>_xlfn.XLOOKUP($N1165,'Base de Grupos'!$A:$A,'Base de Grupos'!$G:$G)</f>
        <v>CANAL VENDA INTERNA</v>
      </c>
      <c r="F1165" s="2" t="str">
        <f>_xlfn.XLOOKUP($N1165,'Base de Grupos'!$A:$A,'Base de Grupos'!$H:$H)</f>
        <v>1000174119</v>
      </c>
      <c r="G1165" s="5" t="str">
        <f>_xlfn.XLOOKUP($N1165,'Base de Grupos'!$A:$A,'Base de Grupos'!$I:$I)</f>
        <v>REGIONAL VENDA INTERNA - CONVENIENCIA</v>
      </c>
      <c r="H1165" s="5" t="str">
        <f>_xlfn.XLOOKUP($N1165,'Base de Grupos'!$A:$A,'Base de Grupos'!$J:$J)</f>
        <v>1000174119</v>
      </c>
      <c r="I1165" s="2" t="str">
        <f>_xlfn.XLOOKUP($N1165,'Base de Grupos'!$A:$A,'Base de Grupos'!$K:$K)</f>
        <v>REGIONAL VENDA INTERNA - CONVENIENCIA</v>
      </c>
      <c r="J1165" s="2" t="str">
        <f>_xlfn.XLOOKUP($N1165,'Base de Grupos'!$A:$A,'Base de Grupos'!$L:$L)</f>
        <v>1000174119</v>
      </c>
      <c r="K1165" s="5" t="str">
        <f>_xlfn.XLOOKUP($N1165,'Base de Grupos'!$A:$A,'Base de Grupos'!$M:$M)</f>
        <v>REGIONAL VENDA INTERNA - CONVENIENCIA</v>
      </c>
      <c r="L1165" s="5" t="str">
        <f t="shared" si="1080"/>
        <v/>
      </c>
      <c r="M1165" s="5" t="str">
        <f>_xlfn.XLOOKUP($N1165,'Base de Grupos'!$A:$A,'Base de Grupos'!$C:$C)</f>
        <v>AC</v>
      </c>
      <c r="N1165" s="3">
        <v>1532</v>
      </c>
      <c r="O1165" s="4" t="s">
        <v>368</v>
      </c>
      <c r="P1165" s="5" t="s">
        <v>89</v>
      </c>
      <c r="Q1165" s="56">
        <v>0</v>
      </c>
      <c r="R1165" s="56">
        <v>0</v>
      </c>
      <c r="S1165" s="56">
        <v>0</v>
      </c>
      <c r="T1165" s="56">
        <f>_xlfn.XLOOKUP($N1165,'Calculo Leads Conveniencia'!$A$77:$A$104,'Calculo Leads Conveniencia'!G$77:G$104)*_xlfn.XLOOKUP($P1165,'Base Grupo de Produtos'!$E$23:$E$39,'Base Grupo de Produtos'!$F$23:$F$39)</f>
        <v>0</v>
      </c>
      <c r="U1165" s="56">
        <f>_xlfn.XLOOKUP($N1165,'Calculo Leads Conveniencia'!$A$77:$A$104,'Calculo Leads Conveniencia'!H$77:H$104)*_xlfn.XLOOKUP($P1165,'Base Grupo de Produtos'!$E$23:$E$39,'Base Grupo de Produtos'!$F$23:$F$39)</f>
        <v>0</v>
      </c>
      <c r="V1165" s="56">
        <f>_xlfn.XLOOKUP($N1165,'Calculo Leads Conveniencia'!$A$77:$A$104,'Calculo Leads Conveniencia'!I$77:I$104)*_xlfn.XLOOKUP($P1165,'Base Grupo de Produtos'!$E$23:$E$39,'Base Grupo de Produtos'!$F$23:$F$39)</f>
        <v>0</v>
      </c>
      <c r="W1165" s="56">
        <f>_xlfn.XLOOKUP($N1165,'Calculo Leads Conveniencia'!$A$77:$A$104,'Calculo Leads Conveniencia'!J$77:J$104)*_xlfn.XLOOKUP($P1165,'Base Grupo de Produtos'!$E$23:$E$39,'Base Grupo de Produtos'!$F$23:$F$39)</f>
        <v>0</v>
      </c>
      <c r="X1165" s="56">
        <f>_xlfn.XLOOKUP($N1165,'Calculo Leads Conveniencia'!$A$77:$A$104,'Calculo Leads Conveniencia'!K$77:K$104)*_xlfn.XLOOKUP($P1165,'Base Grupo de Produtos'!$E$23:$E$39,'Base Grupo de Produtos'!$F$23:$F$39)</f>
        <v>0</v>
      </c>
      <c r="Y1165" s="56">
        <f>_xlfn.XLOOKUP($N1165,'Calculo Leads Conveniencia'!$A$77:$A$104,'Calculo Leads Conveniencia'!L$77:L$104)*_xlfn.XLOOKUP($P1165,'Base Grupo de Produtos'!$E$23:$E$39,'Base Grupo de Produtos'!$F$23:$F$39)</f>
        <v>0</v>
      </c>
      <c r="Z1165" s="56">
        <f>_xlfn.XLOOKUP($N1165,'Calculo Leads Conveniencia'!$A$77:$A$104,'Calculo Leads Conveniencia'!M$77:M$104)*_xlfn.XLOOKUP($P1165,'Base Grupo de Produtos'!$E$23:$E$39,'Base Grupo de Produtos'!$F$23:$F$39)</f>
        <v>0</v>
      </c>
      <c r="AA1165" s="56">
        <f>_xlfn.XLOOKUP($N1165,'Calculo Leads Conveniencia'!$A$77:$A$104,'Calculo Leads Conveniencia'!N$77:N$104)*_xlfn.XLOOKUP($P1165,'Base Grupo de Produtos'!$E$23:$E$39,'Base Grupo de Produtos'!$F$23:$F$39)</f>
        <v>0</v>
      </c>
      <c r="AB1165" s="56">
        <f>_xlfn.XLOOKUP($N1165,'Calculo Leads Conveniencia'!$A$77:$A$104,'Calculo Leads Conveniencia'!O$77:O$104)*_xlfn.XLOOKUP($P1165,'Base Grupo de Produtos'!$E$23:$E$39,'Base Grupo de Produtos'!$F$23:$F$39)</f>
        <v>0</v>
      </c>
      <c r="AC1165" s="61">
        <f t="shared" si="1083"/>
        <v>0</v>
      </c>
      <c r="AD1165" s="28"/>
      <c r="AE1165" s="12"/>
      <c r="AF1165" s="29"/>
      <c r="AG1165" s="9"/>
      <c r="AH1165" s="10"/>
      <c r="AI1165" s="9"/>
      <c r="AJ1165" s="11"/>
      <c r="AK1165" s="9"/>
      <c r="AL1165" s="13"/>
      <c r="AM1165" s="9"/>
    </row>
    <row r="1166" spans="1:39" x14ac:dyDescent="0.3">
      <c r="A1166" s="2" t="str">
        <f t="shared" si="1079"/>
        <v>NÃO</v>
      </c>
      <c r="B1166" s="2" t="str">
        <f>_xlfn.XLOOKUP($N1166,'Base de Grupos'!$A:$A,'Base de Grupos'!$D:$D)</f>
        <v>1000065763</v>
      </c>
      <c r="C1166" s="5" t="str">
        <f>_xlfn.XLOOKUP($N1166,'Base de Grupos'!$A:$A,'Base de Grupos'!$E:$E)</f>
        <v>CANAL VENDA INTERNA</v>
      </c>
      <c r="D1166" s="5" t="str">
        <f>_xlfn.XLOOKUP($N1166,'Base de Grupos'!$A:$A,'Base de Grupos'!$F:$F)</f>
        <v>1000065763</v>
      </c>
      <c r="E1166" s="2" t="str">
        <f>_xlfn.XLOOKUP($N1166,'Base de Grupos'!$A:$A,'Base de Grupos'!$G:$G)</f>
        <v>CANAL VENDA INTERNA</v>
      </c>
      <c r="F1166" s="2" t="str">
        <f>_xlfn.XLOOKUP($N1166,'Base de Grupos'!$A:$A,'Base de Grupos'!$H:$H)</f>
        <v>1000174119</v>
      </c>
      <c r="G1166" s="5" t="str">
        <f>_xlfn.XLOOKUP($N1166,'Base de Grupos'!$A:$A,'Base de Grupos'!$I:$I)</f>
        <v>REGIONAL VENDA INTERNA - CONVENIENCIA</v>
      </c>
      <c r="H1166" s="5" t="str">
        <f>_xlfn.XLOOKUP($N1166,'Base de Grupos'!$A:$A,'Base de Grupos'!$J:$J)</f>
        <v>1000174119</v>
      </c>
      <c r="I1166" s="2" t="str">
        <f>_xlfn.XLOOKUP($N1166,'Base de Grupos'!$A:$A,'Base de Grupos'!$K:$K)</f>
        <v>REGIONAL VENDA INTERNA - CONVENIENCIA</v>
      </c>
      <c r="J1166" s="2" t="str">
        <f>_xlfn.XLOOKUP($N1166,'Base de Grupos'!$A:$A,'Base de Grupos'!$L:$L)</f>
        <v>1000174119</v>
      </c>
      <c r="K1166" s="5" t="str">
        <f>_xlfn.XLOOKUP($N1166,'Base de Grupos'!$A:$A,'Base de Grupos'!$M:$M)</f>
        <v>REGIONAL VENDA INTERNA - CONVENIENCIA</v>
      </c>
      <c r="L1166" s="5" t="str">
        <f t="shared" si="1080"/>
        <v/>
      </c>
      <c r="M1166" s="5" t="str">
        <f>_xlfn.XLOOKUP($N1166,'Base de Grupos'!$A:$A,'Base de Grupos'!$C:$C)</f>
        <v>AC</v>
      </c>
      <c r="N1166" s="3">
        <v>1532</v>
      </c>
      <c r="O1166" s="4" t="s">
        <v>368</v>
      </c>
      <c r="P1166" s="5" t="s">
        <v>88</v>
      </c>
      <c r="Q1166" s="56">
        <v>0</v>
      </c>
      <c r="R1166" s="56">
        <v>0</v>
      </c>
      <c r="S1166" s="56">
        <v>0</v>
      </c>
      <c r="T1166" s="56">
        <f>_xlfn.XLOOKUP($N1166,'Calculo Leads Conveniencia'!$A$77:$A$104,'Calculo Leads Conveniencia'!G$77:G$104)*_xlfn.XLOOKUP($P1166,'Base Grupo de Produtos'!$E$23:$E$39,'Base Grupo de Produtos'!$F$23:$F$39)</f>
        <v>0</v>
      </c>
      <c r="U1166" s="56">
        <f>_xlfn.XLOOKUP($N1166,'Calculo Leads Conveniencia'!$A$77:$A$104,'Calculo Leads Conveniencia'!H$77:H$104)*_xlfn.XLOOKUP($P1166,'Base Grupo de Produtos'!$E$23:$E$39,'Base Grupo de Produtos'!$F$23:$F$39)</f>
        <v>0</v>
      </c>
      <c r="V1166" s="56">
        <f>_xlfn.XLOOKUP($N1166,'Calculo Leads Conveniencia'!$A$77:$A$104,'Calculo Leads Conveniencia'!I$77:I$104)*_xlfn.XLOOKUP($P1166,'Base Grupo de Produtos'!$E$23:$E$39,'Base Grupo de Produtos'!$F$23:$F$39)</f>
        <v>0</v>
      </c>
      <c r="W1166" s="56">
        <f>_xlfn.XLOOKUP($N1166,'Calculo Leads Conveniencia'!$A$77:$A$104,'Calculo Leads Conveniencia'!J$77:J$104)*_xlfn.XLOOKUP($P1166,'Base Grupo de Produtos'!$E$23:$E$39,'Base Grupo de Produtos'!$F$23:$F$39)</f>
        <v>0</v>
      </c>
      <c r="X1166" s="56">
        <f>_xlfn.XLOOKUP($N1166,'Calculo Leads Conveniencia'!$A$77:$A$104,'Calculo Leads Conveniencia'!K$77:K$104)*_xlfn.XLOOKUP($P1166,'Base Grupo de Produtos'!$E$23:$E$39,'Base Grupo de Produtos'!$F$23:$F$39)</f>
        <v>0</v>
      </c>
      <c r="Y1166" s="56">
        <f>_xlfn.XLOOKUP($N1166,'Calculo Leads Conveniencia'!$A$77:$A$104,'Calculo Leads Conveniencia'!L$77:L$104)*_xlfn.XLOOKUP($P1166,'Base Grupo de Produtos'!$E$23:$E$39,'Base Grupo de Produtos'!$F$23:$F$39)</f>
        <v>0</v>
      </c>
      <c r="Z1166" s="56">
        <f>_xlfn.XLOOKUP($N1166,'Calculo Leads Conveniencia'!$A$77:$A$104,'Calculo Leads Conveniencia'!M$77:M$104)*_xlfn.XLOOKUP($P1166,'Base Grupo de Produtos'!$E$23:$E$39,'Base Grupo de Produtos'!$F$23:$F$39)</f>
        <v>0</v>
      </c>
      <c r="AA1166" s="56">
        <f>_xlfn.XLOOKUP($N1166,'Calculo Leads Conveniencia'!$A$77:$A$104,'Calculo Leads Conveniencia'!N$77:N$104)*_xlfn.XLOOKUP($P1166,'Base Grupo de Produtos'!$E$23:$E$39,'Base Grupo de Produtos'!$F$23:$F$39)</f>
        <v>0</v>
      </c>
      <c r="AB1166" s="56">
        <f>_xlfn.XLOOKUP($N1166,'Calculo Leads Conveniencia'!$A$77:$A$104,'Calculo Leads Conveniencia'!O$77:O$104)*_xlfn.XLOOKUP($P1166,'Base Grupo de Produtos'!$E$23:$E$39,'Base Grupo de Produtos'!$F$23:$F$39)</f>
        <v>0</v>
      </c>
      <c r="AC1166" s="61">
        <f t="shared" si="1083"/>
        <v>0</v>
      </c>
      <c r="AD1166" s="28"/>
      <c r="AE1166" s="12"/>
      <c r="AF1166" s="29"/>
      <c r="AG1166" s="9"/>
      <c r="AH1166" s="10"/>
      <c r="AI1166" s="9"/>
      <c r="AJ1166" s="11"/>
      <c r="AK1166" s="9"/>
      <c r="AL1166" s="13"/>
      <c r="AM1166" s="9"/>
    </row>
    <row r="1167" spans="1:39" x14ac:dyDescent="0.3">
      <c r="A1167" s="2" t="str">
        <f t="shared" si="1079"/>
        <v>NÃO</v>
      </c>
      <c r="B1167" s="2" t="str">
        <f>_xlfn.XLOOKUP($N1167,'Base de Grupos'!$A:$A,'Base de Grupos'!$D:$D)</f>
        <v>1000065763</v>
      </c>
      <c r="C1167" s="5" t="str">
        <f>_xlfn.XLOOKUP($N1167,'Base de Grupos'!$A:$A,'Base de Grupos'!$E:$E)</f>
        <v>CANAL VENDA INTERNA</v>
      </c>
      <c r="D1167" s="5" t="str">
        <f>_xlfn.XLOOKUP($N1167,'Base de Grupos'!$A:$A,'Base de Grupos'!$F:$F)</f>
        <v>1000065763</v>
      </c>
      <c r="E1167" s="2" t="str">
        <f>_xlfn.XLOOKUP($N1167,'Base de Grupos'!$A:$A,'Base de Grupos'!$G:$G)</f>
        <v>CANAL VENDA INTERNA</v>
      </c>
      <c r="F1167" s="2" t="str">
        <f>_xlfn.XLOOKUP($N1167,'Base de Grupos'!$A:$A,'Base de Grupos'!$H:$H)</f>
        <v>1000174119</v>
      </c>
      <c r="G1167" s="5" t="str">
        <f>_xlfn.XLOOKUP($N1167,'Base de Grupos'!$A:$A,'Base de Grupos'!$I:$I)</f>
        <v>REGIONAL VENDA INTERNA - CONVENIENCIA</v>
      </c>
      <c r="H1167" s="5" t="str">
        <f>_xlfn.XLOOKUP($N1167,'Base de Grupos'!$A:$A,'Base de Grupos'!$J:$J)</f>
        <v>1000174119</v>
      </c>
      <c r="I1167" s="2" t="str">
        <f>_xlfn.XLOOKUP($N1167,'Base de Grupos'!$A:$A,'Base de Grupos'!$K:$K)</f>
        <v>REGIONAL VENDA INTERNA - CONVENIENCIA</v>
      </c>
      <c r="J1167" s="2" t="str">
        <f>_xlfn.XLOOKUP($N1167,'Base de Grupos'!$A:$A,'Base de Grupos'!$L:$L)</f>
        <v>1000174119</v>
      </c>
      <c r="K1167" s="5" t="str">
        <f>_xlfn.XLOOKUP($N1167,'Base de Grupos'!$A:$A,'Base de Grupos'!$M:$M)</f>
        <v>REGIONAL VENDA INTERNA - CONVENIENCIA</v>
      </c>
      <c r="L1167" s="5" t="str">
        <f t="shared" si="1080"/>
        <v/>
      </c>
      <c r="M1167" s="5" t="str">
        <f>_xlfn.XLOOKUP($N1167,'Base de Grupos'!$A:$A,'Base de Grupos'!$C:$C)</f>
        <v>AC</v>
      </c>
      <c r="N1167" s="3">
        <v>1532</v>
      </c>
      <c r="O1167" s="4" t="s">
        <v>368</v>
      </c>
      <c r="P1167" s="5" t="s">
        <v>90</v>
      </c>
      <c r="Q1167" s="56">
        <v>0</v>
      </c>
      <c r="R1167" s="56">
        <v>0</v>
      </c>
      <c r="S1167" s="56">
        <v>0</v>
      </c>
      <c r="T1167" s="56">
        <f>_xlfn.XLOOKUP($N1167,'Calculo Leads Conveniencia'!$A$77:$A$104,'Calculo Leads Conveniencia'!G$77:G$104)*_xlfn.XLOOKUP($P1167,'Base Grupo de Produtos'!$E$23:$E$39,'Base Grupo de Produtos'!$F$23:$F$39)</f>
        <v>0</v>
      </c>
      <c r="U1167" s="56">
        <f>_xlfn.XLOOKUP($N1167,'Calculo Leads Conveniencia'!$A$77:$A$104,'Calculo Leads Conveniencia'!H$77:H$104)*_xlfn.XLOOKUP($P1167,'Base Grupo de Produtos'!$E$23:$E$39,'Base Grupo de Produtos'!$F$23:$F$39)</f>
        <v>0</v>
      </c>
      <c r="V1167" s="56">
        <f>_xlfn.XLOOKUP($N1167,'Calculo Leads Conveniencia'!$A$77:$A$104,'Calculo Leads Conveniencia'!I$77:I$104)*_xlfn.XLOOKUP($P1167,'Base Grupo de Produtos'!$E$23:$E$39,'Base Grupo de Produtos'!$F$23:$F$39)</f>
        <v>0</v>
      </c>
      <c r="W1167" s="56">
        <f>_xlfn.XLOOKUP($N1167,'Calculo Leads Conveniencia'!$A$77:$A$104,'Calculo Leads Conveniencia'!J$77:J$104)*_xlfn.XLOOKUP($P1167,'Base Grupo de Produtos'!$E$23:$E$39,'Base Grupo de Produtos'!$F$23:$F$39)</f>
        <v>0</v>
      </c>
      <c r="X1167" s="56">
        <f>_xlfn.XLOOKUP($N1167,'Calculo Leads Conveniencia'!$A$77:$A$104,'Calculo Leads Conveniencia'!K$77:K$104)*_xlfn.XLOOKUP($P1167,'Base Grupo de Produtos'!$E$23:$E$39,'Base Grupo de Produtos'!$F$23:$F$39)</f>
        <v>0</v>
      </c>
      <c r="Y1167" s="56">
        <f>_xlfn.XLOOKUP($N1167,'Calculo Leads Conveniencia'!$A$77:$A$104,'Calculo Leads Conveniencia'!L$77:L$104)*_xlfn.XLOOKUP($P1167,'Base Grupo de Produtos'!$E$23:$E$39,'Base Grupo de Produtos'!$F$23:$F$39)</f>
        <v>0</v>
      </c>
      <c r="Z1167" s="56">
        <f>_xlfn.XLOOKUP($N1167,'Calculo Leads Conveniencia'!$A$77:$A$104,'Calculo Leads Conveniencia'!M$77:M$104)*_xlfn.XLOOKUP($P1167,'Base Grupo de Produtos'!$E$23:$E$39,'Base Grupo de Produtos'!$F$23:$F$39)</f>
        <v>0</v>
      </c>
      <c r="AA1167" s="56">
        <f>_xlfn.XLOOKUP($N1167,'Calculo Leads Conveniencia'!$A$77:$A$104,'Calculo Leads Conveniencia'!N$77:N$104)*_xlfn.XLOOKUP($P1167,'Base Grupo de Produtos'!$E$23:$E$39,'Base Grupo de Produtos'!$F$23:$F$39)</f>
        <v>0</v>
      </c>
      <c r="AB1167" s="56">
        <f>_xlfn.XLOOKUP($N1167,'Calculo Leads Conveniencia'!$A$77:$A$104,'Calculo Leads Conveniencia'!O$77:O$104)*_xlfn.XLOOKUP($P1167,'Base Grupo de Produtos'!$E$23:$E$39,'Base Grupo de Produtos'!$F$23:$F$39)</f>
        <v>0</v>
      </c>
      <c r="AC1167" s="61">
        <f t="shared" si="1083"/>
        <v>0</v>
      </c>
      <c r="AD1167" s="28"/>
      <c r="AE1167" s="12"/>
      <c r="AF1167" s="29"/>
      <c r="AG1167" s="9"/>
      <c r="AH1167" s="10"/>
      <c r="AI1167" s="9"/>
      <c r="AJ1167" s="11"/>
      <c r="AK1167" s="9"/>
      <c r="AL1167" s="13"/>
      <c r="AM1167" s="9"/>
    </row>
    <row r="1168" spans="1:39" x14ac:dyDescent="0.3">
      <c r="A1168" s="2" t="str">
        <f t="shared" si="1079"/>
        <v>NÃO</v>
      </c>
      <c r="B1168" s="2" t="str">
        <f>_xlfn.XLOOKUP($N1168,'Base de Grupos'!$A:$A,'Base de Grupos'!$D:$D)</f>
        <v>1000065763</v>
      </c>
      <c r="C1168" s="5" t="str">
        <f>_xlfn.XLOOKUP($N1168,'Base de Grupos'!$A:$A,'Base de Grupos'!$E:$E)</f>
        <v>CANAL VENDA INTERNA</v>
      </c>
      <c r="D1168" s="5" t="str">
        <f>_xlfn.XLOOKUP($N1168,'Base de Grupos'!$A:$A,'Base de Grupos'!$F:$F)</f>
        <v>1000065763</v>
      </c>
      <c r="E1168" s="2" t="str">
        <f>_xlfn.XLOOKUP($N1168,'Base de Grupos'!$A:$A,'Base de Grupos'!$G:$G)</f>
        <v>CANAL VENDA INTERNA</v>
      </c>
      <c r="F1168" s="2" t="str">
        <f>_xlfn.XLOOKUP($N1168,'Base de Grupos'!$A:$A,'Base de Grupos'!$H:$H)</f>
        <v>1000174119</v>
      </c>
      <c r="G1168" s="5" t="str">
        <f>_xlfn.XLOOKUP($N1168,'Base de Grupos'!$A:$A,'Base de Grupos'!$I:$I)</f>
        <v>REGIONAL VENDA INTERNA - CONVENIENCIA</v>
      </c>
      <c r="H1168" s="5" t="str">
        <f>_xlfn.XLOOKUP($N1168,'Base de Grupos'!$A:$A,'Base de Grupos'!$J:$J)</f>
        <v>1000174119</v>
      </c>
      <c r="I1168" s="2" t="str">
        <f>_xlfn.XLOOKUP($N1168,'Base de Grupos'!$A:$A,'Base de Grupos'!$K:$K)</f>
        <v>REGIONAL VENDA INTERNA - CONVENIENCIA</v>
      </c>
      <c r="J1168" s="2" t="str">
        <f>_xlfn.XLOOKUP($N1168,'Base de Grupos'!$A:$A,'Base de Grupos'!$L:$L)</f>
        <v>1000174119</v>
      </c>
      <c r="K1168" s="5" t="str">
        <f>_xlfn.XLOOKUP($N1168,'Base de Grupos'!$A:$A,'Base de Grupos'!$M:$M)</f>
        <v>REGIONAL VENDA INTERNA - CONVENIENCIA</v>
      </c>
      <c r="L1168" s="5" t="str">
        <f t="shared" si="1080"/>
        <v/>
      </c>
      <c r="M1168" s="5" t="str">
        <f>_xlfn.XLOOKUP($N1168,'Base de Grupos'!$A:$A,'Base de Grupos'!$C:$C)</f>
        <v>AC</v>
      </c>
      <c r="N1168" s="3">
        <v>1532</v>
      </c>
      <c r="O1168" s="4" t="s">
        <v>368</v>
      </c>
      <c r="P1168" s="5" t="s">
        <v>91</v>
      </c>
      <c r="Q1168" s="56">
        <v>0</v>
      </c>
      <c r="R1168" s="56">
        <v>0</v>
      </c>
      <c r="S1168" s="56">
        <v>0</v>
      </c>
      <c r="T1168" s="56">
        <f>_xlfn.XLOOKUP($N1168,'Calculo Leads Conveniencia'!$A$77:$A$104,'Calculo Leads Conveniencia'!G$77:G$104)*_xlfn.XLOOKUP($P1168,'Base Grupo de Produtos'!$E$23:$E$39,'Base Grupo de Produtos'!$F$23:$F$39)</f>
        <v>0</v>
      </c>
      <c r="U1168" s="56">
        <f>_xlfn.XLOOKUP($N1168,'Calculo Leads Conveniencia'!$A$77:$A$104,'Calculo Leads Conveniencia'!H$77:H$104)*_xlfn.XLOOKUP($P1168,'Base Grupo de Produtos'!$E$23:$E$39,'Base Grupo de Produtos'!$F$23:$F$39)</f>
        <v>0</v>
      </c>
      <c r="V1168" s="56">
        <f>_xlfn.XLOOKUP($N1168,'Calculo Leads Conveniencia'!$A$77:$A$104,'Calculo Leads Conveniencia'!I$77:I$104)*_xlfn.XLOOKUP($P1168,'Base Grupo de Produtos'!$E$23:$E$39,'Base Grupo de Produtos'!$F$23:$F$39)</f>
        <v>0</v>
      </c>
      <c r="W1168" s="56">
        <f>_xlfn.XLOOKUP($N1168,'Calculo Leads Conveniencia'!$A$77:$A$104,'Calculo Leads Conveniencia'!J$77:J$104)*_xlfn.XLOOKUP($P1168,'Base Grupo de Produtos'!$E$23:$E$39,'Base Grupo de Produtos'!$F$23:$F$39)</f>
        <v>0</v>
      </c>
      <c r="X1168" s="56">
        <f>_xlfn.XLOOKUP($N1168,'Calculo Leads Conveniencia'!$A$77:$A$104,'Calculo Leads Conveniencia'!K$77:K$104)*_xlfn.XLOOKUP($P1168,'Base Grupo de Produtos'!$E$23:$E$39,'Base Grupo de Produtos'!$F$23:$F$39)</f>
        <v>0</v>
      </c>
      <c r="Y1168" s="56">
        <f>_xlfn.XLOOKUP($N1168,'Calculo Leads Conveniencia'!$A$77:$A$104,'Calculo Leads Conveniencia'!L$77:L$104)*_xlfn.XLOOKUP($P1168,'Base Grupo de Produtos'!$E$23:$E$39,'Base Grupo de Produtos'!$F$23:$F$39)</f>
        <v>0</v>
      </c>
      <c r="Z1168" s="56">
        <f>_xlfn.XLOOKUP($N1168,'Calculo Leads Conveniencia'!$A$77:$A$104,'Calculo Leads Conveniencia'!M$77:M$104)*_xlfn.XLOOKUP($P1168,'Base Grupo de Produtos'!$E$23:$E$39,'Base Grupo de Produtos'!$F$23:$F$39)</f>
        <v>0</v>
      </c>
      <c r="AA1168" s="56">
        <f>_xlfn.XLOOKUP($N1168,'Calculo Leads Conveniencia'!$A$77:$A$104,'Calculo Leads Conveniencia'!N$77:N$104)*_xlfn.XLOOKUP($P1168,'Base Grupo de Produtos'!$E$23:$E$39,'Base Grupo de Produtos'!$F$23:$F$39)</f>
        <v>0</v>
      </c>
      <c r="AB1168" s="56">
        <f>_xlfn.XLOOKUP($N1168,'Calculo Leads Conveniencia'!$A$77:$A$104,'Calculo Leads Conveniencia'!O$77:O$104)*_xlfn.XLOOKUP($P1168,'Base Grupo de Produtos'!$E$23:$E$39,'Base Grupo de Produtos'!$F$23:$F$39)</f>
        <v>0</v>
      </c>
      <c r="AC1168" s="61">
        <f t="shared" si="1083"/>
        <v>0</v>
      </c>
      <c r="AD1168" s="28"/>
      <c r="AE1168" s="12"/>
      <c r="AF1168" s="29"/>
      <c r="AG1168" s="9"/>
      <c r="AH1168" s="10"/>
      <c r="AI1168" s="9"/>
      <c r="AJ1168" s="11"/>
      <c r="AK1168" s="9"/>
      <c r="AL1168" s="13"/>
      <c r="AM1168" s="9"/>
    </row>
    <row r="1169" spans="1:39" x14ac:dyDescent="0.3">
      <c r="A1169" s="2" t="str">
        <f t="shared" si="1079"/>
        <v>NÃO</v>
      </c>
      <c r="B1169" s="2" t="str">
        <f>_xlfn.XLOOKUP($N1169,'Base de Grupos'!$A:$A,'Base de Grupos'!$D:$D)</f>
        <v>1000065763</v>
      </c>
      <c r="C1169" s="5" t="str">
        <f>_xlfn.XLOOKUP($N1169,'Base de Grupos'!$A:$A,'Base de Grupos'!$E:$E)</f>
        <v>CANAL VENDA INTERNA</v>
      </c>
      <c r="D1169" s="5" t="str">
        <f>_xlfn.XLOOKUP($N1169,'Base de Grupos'!$A:$A,'Base de Grupos'!$F:$F)</f>
        <v>1000065763</v>
      </c>
      <c r="E1169" s="2" t="str">
        <f>_xlfn.XLOOKUP($N1169,'Base de Grupos'!$A:$A,'Base de Grupos'!$G:$G)</f>
        <v>CANAL VENDA INTERNA</v>
      </c>
      <c r="F1169" s="2" t="str">
        <f>_xlfn.XLOOKUP($N1169,'Base de Grupos'!$A:$A,'Base de Grupos'!$H:$H)</f>
        <v>1000174119</v>
      </c>
      <c r="G1169" s="5" t="str">
        <f>_xlfn.XLOOKUP($N1169,'Base de Grupos'!$A:$A,'Base de Grupos'!$I:$I)</f>
        <v>REGIONAL VENDA INTERNA - CONVENIENCIA</v>
      </c>
      <c r="H1169" s="5" t="str">
        <f>_xlfn.XLOOKUP($N1169,'Base de Grupos'!$A:$A,'Base de Grupos'!$J:$J)</f>
        <v>1000174119</v>
      </c>
      <c r="I1169" s="2" t="str">
        <f>_xlfn.XLOOKUP($N1169,'Base de Grupos'!$A:$A,'Base de Grupos'!$K:$K)</f>
        <v>REGIONAL VENDA INTERNA - CONVENIENCIA</v>
      </c>
      <c r="J1169" s="2" t="str">
        <f>_xlfn.XLOOKUP($N1169,'Base de Grupos'!$A:$A,'Base de Grupos'!$L:$L)</f>
        <v>1000174119</v>
      </c>
      <c r="K1169" s="5" t="str">
        <f>_xlfn.XLOOKUP($N1169,'Base de Grupos'!$A:$A,'Base de Grupos'!$M:$M)</f>
        <v>REGIONAL VENDA INTERNA - CONVENIENCIA</v>
      </c>
      <c r="L1169" s="5" t="str">
        <f t="shared" si="1080"/>
        <v/>
      </c>
      <c r="M1169" s="5" t="str">
        <f>_xlfn.XLOOKUP($N1169,'Base de Grupos'!$A:$A,'Base de Grupos'!$C:$C)</f>
        <v>AC</v>
      </c>
      <c r="N1169" s="3">
        <v>1532</v>
      </c>
      <c r="O1169" s="4" t="s">
        <v>368</v>
      </c>
      <c r="P1169" s="5" t="s">
        <v>96</v>
      </c>
      <c r="Q1169" s="56">
        <v>0</v>
      </c>
      <c r="R1169" s="56">
        <v>0</v>
      </c>
      <c r="S1169" s="56">
        <v>0</v>
      </c>
      <c r="T1169" s="56">
        <f>_xlfn.XLOOKUP($N1169,'Calculo Leads Conveniencia'!$A$77:$A$104,'Calculo Leads Conveniencia'!G$77:G$104)*_xlfn.XLOOKUP($P1169,'Base Grupo de Produtos'!$E$23:$E$39,'Base Grupo de Produtos'!$F$23:$F$39)</f>
        <v>0</v>
      </c>
      <c r="U1169" s="56">
        <f>_xlfn.XLOOKUP($N1169,'Calculo Leads Conveniencia'!$A$77:$A$104,'Calculo Leads Conveniencia'!H$77:H$104)*_xlfn.XLOOKUP($P1169,'Base Grupo de Produtos'!$E$23:$E$39,'Base Grupo de Produtos'!$F$23:$F$39)</f>
        <v>0</v>
      </c>
      <c r="V1169" s="56">
        <f>_xlfn.XLOOKUP($N1169,'Calculo Leads Conveniencia'!$A$77:$A$104,'Calculo Leads Conveniencia'!I$77:I$104)*_xlfn.XLOOKUP($P1169,'Base Grupo de Produtos'!$E$23:$E$39,'Base Grupo de Produtos'!$F$23:$F$39)</f>
        <v>0</v>
      </c>
      <c r="W1169" s="56">
        <f>_xlfn.XLOOKUP($N1169,'Calculo Leads Conveniencia'!$A$77:$A$104,'Calculo Leads Conveniencia'!J$77:J$104)*_xlfn.XLOOKUP($P1169,'Base Grupo de Produtos'!$E$23:$E$39,'Base Grupo de Produtos'!$F$23:$F$39)</f>
        <v>0</v>
      </c>
      <c r="X1169" s="56">
        <f>_xlfn.XLOOKUP($N1169,'Calculo Leads Conveniencia'!$A$77:$A$104,'Calculo Leads Conveniencia'!K$77:K$104)*_xlfn.XLOOKUP($P1169,'Base Grupo de Produtos'!$E$23:$E$39,'Base Grupo de Produtos'!$F$23:$F$39)</f>
        <v>0</v>
      </c>
      <c r="Y1169" s="56">
        <f>_xlfn.XLOOKUP($N1169,'Calculo Leads Conveniencia'!$A$77:$A$104,'Calculo Leads Conveniencia'!L$77:L$104)*_xlfn.XLOOKUP($P1169,'Base Grupo de Produtos'!$E$23:$E$39,'Base Grupo de Produtos'!$F$23:$F$39)</f>
        <v>0</v>
      </c>
      <c r="Z1169" s="56">
        <f>_xlfn.XLOOKUP($N1169,'Calculo Leads Conveniencia'!$A$77:$A$104,'Calculo Leads Conveniencia'!M$77:M$104)*_xlfn.XLOOKUP($P1169,'Base Grupo de Produtos'!$E$23:$E$39,'Base Grupo de Produtos'!$F$23:$F$39)</f>
        <v>0</v>
      </c>
      <c r="AA1169" s="56">
        <f>_xlfn.XLOOKUP($N1169,'Calculo Leads Conveniencia'!$A$77:$A$104,'Calculo Leads Conveniencia'!N$77:N$104)*_xlfn.XLOOKUP($P1169,'Base Grupo de Produtos'!$E$23:$E$39,'Base Grupo de Produtos'!$F$23:$F$39)</f>
        <v>0</v>
      </c>
      <c r="AB1169" s="56">
        <f>_xlfn.XLOOKUP($N1169,'Calculo Leads Conveniencia'!$A$77:$A$104,'Calculo Leads Conveniencia'!O$77:O$104)*_xlfn.XLOOKUP($P1169,'Base Grupo de Produtos'!$E$23:$E$39,'Base Grupo de Produtos'!$F$23:$F$39)</f>
        <v>0</v>
      </c>
      <c r="AC1169" s="61">
        <f t="shared" si="1083"/>
        <v>0</v>
      </c>
      <c r="AD1169" s="28"/>
      <c r="AE1169" s="12"/>
      <c r="AF1169" s="29"/>
      <c r="AG1169" s="9"/>
      <c r="AH1169" s="10"/>
      <c r="AI1169" s="9"/>
      <c r="AJ1169" s="11"/>
      <c r="AK1169" s="9"/>
      <c r="AL1169" s="13"/>
      <c r="AM1169" s="9"/>
    </row>
    <row r="1170" spans="1:39" x14ac:dyDescent="0.3">
      <c r="A1170" s="2" t="str">
        <f t="shared" si="1079"/>
        <v>NÃO</v>
      </c>
      <c r="B1170" s="2" t="str">
        <f>_xlfn.XLOOKUP($N1170,'Base de Grupos'!$A:$A,'Base de Grupos'!$D:$D)</f>
        <v>1000065763</v>
      </c>
      <c r="C1170" s="5" t="str">
        <f>_xlfn.XLOOKUP($N1170,'Base de Grupos'!$A:$A,'Base de Grupos'!$E:$E)</f>
        <v>CANAL VENDA INTERNA</v>
      </c>
      <c r="D1170" s="5" t="str">
        <f>_xlfn.XLOOKUP($N1170,'Base de Grupos'!$A:$A,'Base de Grupos'!$F:$F)</f>
        <v>1000065763</v>
      </c>
      <c r="E1170" s="2" t="str">
        <f>_xlfn.XLOOKUP($N1170,'Base de Grupos'!$A:$A,'Base de Grupos'!$G:$G)</f>
        <v>CANAL VENDA INTERNA</v>
      </c>
      <c r="F1170" s="2" t="str">
        <f>_xlfn.XLOOKUP($N1170,'Base de Grupos'!$A:$A,'Base de Grupos'!$H:$H)</f>
        <v>1000174119</v>
      </c>
      <c r="G1170" s="5" t="str">
        <f>_xlfn.XLOOKUP($N1170,'Base de Grupos'!$A:$A,'Base de Grupos'!$I:$I)</f>
        <v>REGIONAL VENDA INTERNA - CONVENIENCIA</v>
      </c>
      <c r="H1170" s="5" t="str">
        <f>_xlfn.XLOOKUP($N1170,'Base de Grupos'!$A:$A,'Base de Grupos'!$J:$J)</f>
        <v>1000174119</v>
      </c>
      <c r="I1170" s="2" t="str">
        <f>_xlfn.XLOOKUP($N1170,'Base de Grupos'!$A:$A,'Base de Grupos'!$K:$K)</f>
        <v>REGIONAL VENDA INTERNA - CONVENIENCIA</v>
      </c>
      <c r="J1170" s="2" t="str">
        <f>_xlfn.XLOOKUP($N1170,'Base de Grupos'!$A:$A,'Base de Grupos'!$L:$L)</f>
        <v>1000174119</v>
      </c>
      <c r="K1170" s="5" t="str">
        <f>_xlfn.XLOOKUP($N1170,'Base de Grupos'!$A:$A,'Base de Grupos'!$M:$M)</f>
        <v>REGIONAL VENDA INTERNA - CONVENIENCIA</v>
      </c>
      <c r="L1170" s="5" t="str">
        <f t="shared" si="1080"/>
        <v/>
      </c>
      <c r="M1170" s="5" t="str">
        <f>_xlfn.XLOOKUP($N1170,'Base de Grupos'!$A:$A,'Base de Grupos'!$C:$C)</f>
        <v>AC</v>
      </c>
      <c r="N1170" s="3">
        <v>1532</v>
      </c>
      <c r="O1170" s="4" t="s">
        <v>368</v>
      </c>
      <c r="P1170" s="5" t="s">
        <v>94</v>
      </c>
      <c r="Q1170" s="56">
        <v>0</v>
      </c>
      <c r="R1170" s="56">
        <v>0</v>
      </c>
      <c r="S1170" s="56">
        <v>0</v>
      </c>
      <c r="T1170" s="56">
        <f>_xlfn.XLOOKUP($N1170,'Calculo Leads Conveniencia'!$A$77:$A$104,'Calculo Leads Conveniencia'!G$77:G$104)*_xlfn.XLOOKUP($P1170,'Base Grupo de Produtos'!$E$23:$E$39,'Base Grupo de Produtos'!$F$23:$F$39)</f>
        <v>0</v>
      </c>
      <c r="U1170" s="56">
        <f>_xlfn.XLOOKUP($N1170,'Calculo Leads Conveniencia'!$A$77:$A$104,'Calculo Leads Conveniencia'!H$77:H$104)*_xlfn.XLOOKUP($P1170,'Base Grupo de Produtos'!$E$23:$E$39,'Base Grupo de Produtos'!$F$23:$F$39)</f>
        <v>0</v>
      </c>
      <c r="V1170" s="56">
        <f>_xlfn.XLOOKUP($N1170,'Calculo Leads Conveniencia'!$A$77:$A$104,'Calculo Leads Conveniencia'!I$77:I$104)*_xlfn.XLOOKUP($P1170,'Base Grupo de Produtos'!$E$23:$E$39,'Base Grupo de Produtos'!$F$23:$F$39)</f>
        <v>0</v>
      </c>
      <c r="W1170" s="56">
        <f>_xlfn.XLOOKUP($N1170,'Calculo Leads Conveniencia'!$A$77:$A$104,'Calculo Leads Conveniencia'!J$77:J$104)*_xlfn.XLOOKUP($P1170,'Base Grupo de Produtos'!$E$23:$E$39,'Base Grupo de Produtos'!$F$23:$F$39)</f>
        <v>0</v>
      </c>
      <c r="X1170" s="56">
        <f>_xlfn.XLOOKUP($N1170,'Calculo Leads Conveniencia'!$A$77:$A$104,'Calculo Leads Conveniencia'!K$77:K$104)*_xlfn.XLOOKUP($P1170,'Base Grupo de Produtos'!$E$23:$E$39,'Base Grupo de Produtos'!$F$23:$F$39)</f>
        <v>0</v>
      </c>
      <c r="Y1170" s="56">
        <f>_xlfn.XLOOKUP($N1170,'Calculo Leads Conveniencia'!$A$77:$A$104,'Calculo Leads Conveniencia'!L$77:L$104)*_xlfn.XLOOKUP($P1170,'Base Grupo de Produtos'!$E$23:$E$39,'Base Grupo de Produtos'!$F$23:$F$39)</f>
        <v>0</v>
      </c>
      <c r="Z1170" s="56">
        <f>_xlfn.XLOOKUP($N1170,'Calculo Leads Conveniencia'!$A$77:$A$104,'Calculo Leads Conveniencia'!M$77:M$104)*_xlfn.XLOOKUP($P1170,'Base Grupo de Produtos'!$E$23:$E$39,'Base Grupo de Produtos'!$F$23:$F$39)</f>
        <v>0</v>
      </c>
      <c r="AA1170" s="56">
        <f>_xlfn.XLOOKUP($N1170,'Calculo Leads Conveniencia'!$A$77:$A$104,'Calculo Leads Conveniencia'!N$77:N$104)*_xlfn.XLOOKUP($P1170,'Base Grupo de Produtos'!$E$23:$E$39,'Base Grupo de Produtos'!$F$23:$F$39)</f>
        <v>0</v>
      </c>
      <c r="AB1170" s="56">
        <f>_xlfn.XLOOKUP($N1170,'Calculo Leads Conveniencia'!$A$77:$A$104,'Calculo Leads Conveniencia'!O$77:O$104)*_xlfn.XLOOKUP($P1170,'Base Grupo de Produtos'!$E$23:$E$39,'Base Grupo de Produtos'!$F$23:$F$39)</f>
        <v>0</v>
      </c>
      <c r="AC1170" s="61">
        <f t="shared" si="1083"/>
        <v>0</v>
      </c>
      <c r="AD1170" s="28"/>
      <c r="AE1170" s="12"/>
      <c r="AF1170" s="29"/>
      <c r="AG1170" s="9"/>
      <c r="AH1170" s="10"/>
      <c r="AI1170" s="9"/>
      <c r="AJ1170" s="11"/>
      <c r="AK1170" s="9"/>
      <c r="AL1170" s="13"/>
      <c r="AM1170" s="9"/>
    </row>
    <row r="1171" spans="1:39" x14ac:dyDescent="0.3">
      <c r="A1171" s="2" t="str">
        <f t="shared" si="1079"/>
        <v>NÃO</v>
      </c>
      <c r="B1171" s="2" t="str">
        <f>_xlfn.XLOOKUP($N1171,'Base de Grupos'!$A:$A,'Base de Grupos'!$D:$D)</f>
        <v>1000065763</v>
      </c>
      <c r="C1171" s="5" t="str">
        <f>_xlfn.XLOOKUP($N1171,'Base de Grupos'!$A:$A,'Base de Grupos'!$E:$E)</f>
        <v>CANAL VENDA INTERNA</v>
      </c>
      <c r="D1171" s="5" t="str">
        <f>_xlfn.XLOOKUP($N1171,'Base de Grupos'!$A:$A,'Base de Grupos'!$F:$F)</f>
        <v>1000065763</v>
      </c>
      <c r="E1171" s="2" t="str">
        <f>_xlfn.XLOOKUP($N1171,'Base de Grupos'!$A:$A,'Base de Grupos'!$G:$G)</f>
        <v>CANAL VENDA INTERNA</v>
      </c>
      <c r="F1171" s="2" t="str">
        <f>_xlfn.XLOOKUP($N1171,'Base de Grupos'!$A:$A,'Base de Grupos'!$H:$H)</f>
        <v>1000174119</v>
      </c>
      <c r="G1171" s="5" t="str">
        <f>_xlfn.XLOOKUP($N1171,'Base de Grupos'!$A:$A,'Base de Grupos'!$I:$I)</f>
        <v>REGIONAL VENDA INTERNA - CONVENIENCIA</v>
      </c>
      <c r="H1171" s="5" t="str">
        <f>_xlfn.XLOOKUP($N1171,'Base de Grupos'!$A:$A,'Base de Grupos'!$J:$J)</f>
        <v>1000174119</v>
      </c>
      <c r="I1171" s="2" t="str">
        <f>_xlfn.XLOOKUP($N1171,'Base de Grupos'!$A:$A,'Base de Grupos'!$K:$K)</f>
        <v>REGIONAL VENDA INTERNA - CONVENIENCIA</v>
      </c>
      <c r="J1171" s="2" t="str">
        <f>_xlfn.XLOOKUP($N1171,'Base de Grupos'!$A:$A,'Base de Grupos'!$L:$L)</f>
        <v>1000174119</v>
      </c>
      <c r="K1171" s="5" t="str">
        <f>_xlfn.XLOOKUP($N1171,'Base de Grupos'!$A:$A,'Base de Grupos'!$M:$M)</f>
        <v>REGIONAL VENDA INTERNA - CONVENIENCIA</v>
      </c>
      <c r="L1171" s="5" t="str">
        <f t="shared" si="1080"/>
        <v/>
      </c>
      <c r="M1171" s="5" t="str">
        <f>_xlfn.XLOOKUP($N1171,'Base de Grupos'!$A:$A,'Base de Grupos'!$C:$C)</f>
        <v>AC</v>
      </c>
      <c r="N1171" s="3">
        <v>1532</v>
      </c>
      <c r="O1171" s="4" t="s">
        <v>368</v>
      </c>
      <c r="P1171" s="5" t="s">
        <v>95</v>
      </c>
      <c r="Q1171" s="56">
        <v>0</v>
      </c>
      <c r="R1171" s="56">
        <v>0</v>
      </c>
      <c r="S1171" s="56">
        <v>0</v>
      </c>
      <c r="T1171" s="56">
        <f>_xlfn.XLOOKUP($N1171,'Calculo Leads Conveniencia'!$A$77:$A$104,'Calculo Leads Conveniencia'!G$77:G$104)*_xlfn.XLOOKUP($P1171,'Base Grupo de Produtos'!$E$23:$E$39,'Base Grupo de Produtos'!$F$23:$F$39)</f>
        <v>0</v>
      </c>
      <c r="U1171" s="56">
        <f>_xlfn.XLOOKUP($N1171,'Calculo Leads Conveniencia'!$A$77:$A$104,'Calculo Leads Conveniencia'!H$77:H$104)*_xlfn.XLOOKUP($P1171,'Base Grupo de Produtos'!$E$23:$E$39,'Base Grupo de Produtos'!$F$23:$F$39)</f>
        <v>0</v>
      </c>
      <c r="V1171" s="56">
        <f>_xlfn.XLOOKUP($N1171,'Calculo Leads Conveniencia'!$A$77:$A$104,'Calculo Leads Conveniencia'!I$77:I$104)*_xlfn.XLOOKUP($P1171,'Base Grupo de Produtos'!$E$23:$E$39,'Base Grupo de Produtos'!$F$23:$F$39)</f>
        <v>0</v>
      </c>
      <c r="W1171" s="56">
        <f>_xlfn.XLOOKUP($N1171,'Calculo Leads Conveniencia'!$A$77:$A$104,'Calculo Leads Conveniencia'!J$77:J$104)*_xlfn.XLOOKUP($P1171,'Base Grupo de Produtos'!$E$23:$E$39,'Base Grupo de Produtos'!$F$23:$F$39)</f>
        <v>0</v>
      </c>
      <c r="X1171" s="56">
        <f>_xlfn.XLOOKUP($N1171,'Calculo Leads Conveniencia'!$A$77:$A$104,'Calculo Leads Conveniencia'!K$77:K$104)*_xlfn.XLOOKUP($P1171,'Base Grupo de Produtos'!$E$23:$E$39,'Base Grupo de Produtos'!$F$23:$F$39)</f>
        <v>0</v>
      </c>
      <c r="Y1171" s="56">
        <f>_xlfn.XLOOKUP($N1171,'Calculo Leads Conveniencia'!$A$77:$A$104,'Calculo Leads Conveniencia'!L$77:L$104)*_xlfn.XLOOKUP($P1171,'Base Grupo de Produtos'!$E$23:$E$39,'Base Grupo de Produtos'!$F$23:$F$39)</f>
        <v>0</v>
      </c>
      <c r="Z1171" s="56">
        <f>_xlfn.XLOOKUP($N1171,'Calculo Leads Conveniencia'!$A$77:$A$104,'Calculo Leads Conveniencia'!M$77:M$104)*_xlfn.XLOOKUP($P1171,'Base Grupo de Produtos'!$E$23:$E$39,'Base Grupo de Produtos'!$F$23:$F$39)</f>
        <v>0</v>
      </c>
      <c r="AA1171" s="56">
        <f>_xlfn.XLOOKUP($N1171,'Calculo Leads Conveniencia'!$A$77:$A$104,'Calculo Leads Conveniencia'!N$77:N$104)*_xlfn.XLOOKUP($P1171,'Base Grupo de Produtos'!$E$23:$E$39,'Base Grupo de Produtos'!$F$23:$F$39)</f>
        <v>0</v>
      </c>
      <c r="AB1171" s="56">
        <f>_xlfn.XLOOKUP($N1171,'Calculo Leads Conveniencia'!$A$77:$A$104,'Calculo Leads Conveniencia'!O$77:O$104)*_xlfn.XLOOKUP($P1171,'Base Grupo de Produtos'!$E$23:$E$39,'Base Grupo de Produtos'!$F$23:$F$39)</f>
        <v>0</v>
      </c>
      <c r="AC1171" s="61">
        <f t="shared" si="1083"/>
        <v>0</v>
      </c>
      <c r="AD1171" s="28"/>
      <c r="AE1171" s="12"/>
      <c r="AF1171" s="29"/>
      <c r="AG1171" s="9"/>
      <c r="AH1171" s="10"/>
      <c r="AI1171" s="9"/>
      <c r="AJ1171" s="11"/>
      <c r="AK1171" s="9"/>
      <c r="AL1171" s="13"/>
      <c r="AM1171" s="9"/>
    </row>
    <row r="1172" spans="1:39" x14ac:dyDescent="0.3">
      <c r="A1172" s="2" t="str">
        <f t="shared" si="1079"/>
        <v>NÃO</v>
      </c>
      <c r="B1172" s="2" t="str">
        <f>_xlfn.XLOOKUP($N1172,'Base de Grupos'!$A:$A,'Base de Grupos'!$D:$D)</f>
        <v>1000065763</v>
      </c>
      <c r="C1172" s="5" t="str">
        <f>_xlfn.XLOOKUP($N1172,'Base de Grupos'!$A:$A,'Base de Grupos'!$E:$E)</f>
        <v>CANAL VENDA INTERNA</v>
      </c>
      <c r="D1172" s="5" t="str">
        <f>_xlfn.XLOOKUP($N1172,'Base de Grupos'!$A:$A,'Base de Grupos'!$F:$F)</f>
        <v>1000065763</v>
      </c>
      <c r="E1172" s="2" t="str">
        <f>_xlfn.XLOOKUP($N1172,'Base de Grupos'!$A:$A,'Base de Grupos'!$G:$G)</f>
        <v>CANAL VENDA INTERNA</v>
      </c>
      <c r="F1172" s="2" t="str">
        <f>_xlfn.XLOOKUP($N1172,'Base de Grupos'!$A:$A,'Base de Grupos'!$H:$H)</f>
        <v>1000174119</v>
      </c>
      <c r="G1172" s="5" t="str">
        <f>_xlfn.XLOOKUP($N1172,'Base de Grupos'!$A:$A,'Base de Grupos'!$I:$I)</f>
        <v>REGIONAL VENDA INTERNA - CONVENIENCIA</v>
      </c>
      <c r="H1172" s="5" t="str">
        <f>_xlfn.XLOOKUP($N1172,'Base de Grupos'!$A:$A,'Base de Grupos'!$J:$J)</f>
        <v>1000174119</v>
      </c>
      <c r="I1172" s="2" t="str">
        <f>_xlfn.XLOOKUP($N1172,'Base de Grupos'!$A:$A,'Base de Grupos'!$K:$K)</f>
        <v>REGIONAL VENDA INTERNA - CONVENIENCIA</v>
      </c>
      <c r="J1172" s="2" t="str">
        <f>_xlfn.XLOOKUP($N1172,'Base de Grupos'!$A:$A,'Base de Grupos'!$L:$L)</f>
        <v>1000174119</v>
      </c>
      <c r="K1172" s="5" t="str">
        <f>_xlfn.XLOOKUP($N1172,'Base de Grupos'!$A:$A,'Base de Grupos'!$M:$M)</f>
        <v>REGIONAL VENDA INTERNA - CONVENIENCIA</v>
      </c>
      <c r="L1172" s="5" t="str">
        <f t="shared" si="1080"/>
        <v/>
      </c>
      <c r="M1172" s="5" t="str">
        <f>_xlfn.XLOOKUP($N1172,'Base de Grupos'!$A:$A,'Base de Grupos'!$C:$C)</f>
        <v>AC</v>
      </c>
      <c r="N1172" s="3">
        <v>1532</v>
      </c>
      <c r="O1172" s="4" t="s">
        <v>368</v>
      </c>
      <c r="P1172" s="5" t="s">
        <v>93</v>
      </c>
      <c r="Q1172" s="56">
        <v>0</v>
      </c>
      <c r="R1172" s="56">
        <v>0</v>
      </c>
      <c r="S1172" s="56">
        <v>0</v>
      </c>
      <c r="T1172" s="56">
        <f>_xlfn.XLOOKUP($N1172,'Calculo Leads Conveniencia'!$A$77:$A$104,'Calculo Leads Conveniencia'!G$77:G$104)*_xlfn.XLOOKUP($P1172,'Base Grupo de Produtos'!$E$23:$E$39,'Base Grupo de Produtos'!$F$23:$F$39)</f>
        <v>0</v>
      </c>
      <c r="U1172" s="56">
        <f>_xlfn.XLOOKUP($N1172,'Calculo Leads Conveniencia'!$A$77:$A$104,'Calculo Leads Conveniencia'!H$77:H$104)*_xlfn.XLOOKUP($P1172,'Base Grupo de Produtos'!$E$23:$E$39,'Base Grupo de Produtos'!$F$23:$F$39)</f>
        <v>0</v>
      </c>
      <c r="V1172" s="56">
        <f>_xlfn.XLOOKUP($N1172,'Calculo Leads Conveniencia'!$A$77:$A$104,'Calculo Leads Conveniencia'!I$77:I$104)*_xlfn.XLOOKUP($P1172,'Base Grupo de Produtos'!$E$23:$E$39,'Base Grupo de Produtos'!$F$23:$F$39)</f>
        <v>0</v>
      </c>
      <c r="W1172" s="56">
        <f>_xlfn.XLOOKUP($N1172,'Calculo Leads Conveniencia'!$A$77:$A$104,'Calculo Leads Conveniencia'!J$77:J$104)*_xlfn.XLOOKUP($P1172,'Base Grupo de Produtos'!$E$23:$E$39,'Base Grupo de Produtos'!$F$23:$F$39)</f>
        <v>0</v>
      </c>
      <c r="X1172" s="56">
        <f>_xlfn.XLOOKUP($N1172,'Calculo Leads Conveniencia'!$A$77:$A$104,'Calculo Leads Conveniencia'!K$77:K$104)*_xlfn.XLOOKUP($P1172,'Base Grupo de Produtos'!$E$23:$E$39,'Base Grupo de Produtos'!$F$23:$F$39)</f>
        <v>0</v>
      </c>
      <c r="Y1172" s="56">
        <f>_xlfn.XLOOKUP($N1172,'Calculo Leads Conveniencia'!$A$77:$A$104,'Calculo Leads Conveniencia'!L$77:L$104)*_xlfn.XLOOKUP($P1172,'Base Grupo de Produtos'!$E$23:$E$39,'Base Grupo de Produtos'!$F$23:$F$39)</f>
        <v>0</v>
      </c>
      <c r="Z1172" s="56">
        <f>_xlfn.XLOOKUP($N1172,'Calculo Leads Conveniencia'!$A$77:$A$104,'Calculo Leads Conveniencia'!M$77:M$104)*_xlfn.XLOOKUP($P1172,'Base Grupo de Produtos'!$E$23:$E$39,'Base Grupo de Produtos'!$F$23:$F$39)</f>
        <v>0</v>
      </c>
      <c r="AA1172" s="56">
        <f>_xlfn.XLOOKUP($N1172,'Calculo Leads Conveniencia'!$A$77:$A$104,'Calculo Leads Conveniencia'!N$77:N$104)*_xlfn.XLOOKUP($P1172,'Base Grupo de Produtos'!$E$23:$E$39,'Base Grupo de Produtos'!$F$23:$F$39)</f>
        <v>0</v>
      </c>
      <c r="AB1172" s="56">
        <f>_xlfn.XLOOKUP($N1172,'Calculo Leads Conveniencia'!$A$77:$A$104,'Calculo Leads Conveniencia'!O$77:O$104)*_xlfn.XLOOKUP($P1172,'Base Grupo de Produtos'!$E$23:$E$39,'Base Grupo de Produtos'!$F$23:$F$39)</f>
        <v>0</v>
      </c>
      <c r="AC1172" s="61">
        <f t="shared" si="1083"/>
        <v>0</v>
      </c>
      <c r="AD1172" s="28"/>
      <c r="AE1172" s="12"/>
      <c r="AF1172" s="29"/>
      <c r="AG1172" s="9"/>
      <c r="AH1172" s="10"/>
      <c r="AI1172" s="9"/>
      <c r="AJ1172" s="11"/>
      <c r="AK1172" s="9"/>
      <c r="AL1172" s="13"/>
      <c r="AM1172" s="9"/>
    </row>
    <row r="1173" spans="1:39" x14ac:dyDescent="0.3">
      <c r="A1173" s="2" t="str">
        <f t="shared" si="1079"/>
        <v>SIM</v>
      </c>
      <c r="B1173" s="2" t="str">
        <f>_xlfn.XLOOKUP($N1173,'Base de Grupos'!$A:$A,'Base de Grupos'!$D:$D)</f>
        <v>1000065763</v>
      </c>
      <c r="C1173" s="5" t="str">
        <f>_xlfn.XLOOKUP($N1173,'Base de Grupos'!$A:$A,'Base de Grupos'!$E:$E)</f>
        <v>CANAL VENDA INTERNA</v>
      </c>
      <c r="D1173" s="5" t="str">
        <f>_xlfn.XLOOKUP($N1173,'Base de Grupos'!$A:$A,'Base de Grupos'!$F:$F)</f>
        <v>1000065763</v>
      </c>
      <c r="E1173" s="2" t="str">
        <f>_xlfn.XLOOKUP($N1173,'Base de Grupos'!$A:$A,'Base de Grupos'!$G:$G)</f>
        <v>CANAL VENDA INTERNA</v>
      </c>
      <c r="F1173" s="2" t="str">
        <f>_xlfn.XLOOKUP($N1173,'Base de Grupos'!$A:$A,'Base de Grupos'!$H:$H)</f>
        <v>1000105900</v>
      </c>
      <c r="G1173" s="5" t="str">
        <f>_xlfn.XLOOKUP($N1173,'Base de Grupos'!$A:$A,'Base de Grupos'!$I:$I)</f>
        <v>REGIONAL VENDA DIRETA CO + NE + NO</v>
      </c>
      <c r="H1173" s="5" t="str">
        <f>_xlfn.XLOOKUP($N1173,'Base de Grupos'!$A:$A,'Base de Grupos'!$J:$J)</f>
        <v>1000105900</v>
      </c>
      <c r="I1173" s="2" t="str">
        <f>_xlfn.XLOOKUP($N1173,'Base de Grupos'!$A:$A,'Base de Grupos'!$K:$K)</f>
        <v>REGIONAL VENDA DIRETA CO + NE + NO</v>
      </c>
      <c r="J1173" s="2" t="str">
        <f>_xlfn.XLOOKUP($N1173,'Base de Grupos'!$A:$A,'Base de Grupos'!$L:$L)</f>
        <v>1000150135</v>
      </c>
      <c r="K1173" s="5" t="str">
        <f>_xlfn.XLOOKUP($N1173,'Base de Grupos'!$A:$A,'Base de Grupos'!$M:$M)</f>
        <v>HELDER DA SILVA BRUNKOW</v>
      </c>
      <c r="L1173" s="5">
        <f t="shared" si="1080"/>
        <v>1</v>
      </c>
      <c r="M1173" s="5" t="str">
        <f>_xlfn.XLOOKUP($N1173,'Base de Grupos'!$A:$A,'Base de Grupos'!$C:$C)</f>
        <v>AC</v>
      </c>
      <c r="N1173" s="3">
        <v>1533</v>
      </c>
      <c r="O1173" s="4" t="s">
        <v>369</v>
      </c>
      <c r="P1173" s="5" t="s">
        <v>372</v>
      </c>
      <c r="Q1173" s="56">
        <f t="shared" ref="Q1173" si="1084">SUM(Q1174:Q1190)</f>
        <v>0</v>
      </c>
      <c r="R1173" s="56">
        <f t="shared" ref="R1173:AC1173" si="1085">SUM(R1174:R1190)</f>
        <v>0</v>
      </c>
      <c r="S1173" s="56">
        <f t="shared" si="1085"/>
        <v>0</v>
      </c>
      <c r="T1173" s="56">
        <f t="shared" si="1085"/>
        <v>1000</v>
      </c>
      <c r="U1173" s="56">
        <f t="shared" si="1085"/>
        <v>1000</v>
      </c>
      <c r="V1173" s="56">
        <f t="shared" si="1085"/>
        <v>1000</v>
      </c>
      <c r="W1173" s="56">
        <f t="shared" si="1085"/>
        <v>1000</v>
      </c>
      <c r="X1173" s="56">
        <f t="shared" si="1085"/>
        <v>1100</v>
      </c>
      <c r="Y1173" s="56">
        <f t="shared" si="1085"/>
        <v>1100</v>
      </c>
      <c r="Z1173" s="56">
        <f t="shared" si="1085"/>
        <v>1100</v>
      </c>
      <c r="AA1173" s="56">
        <f t="shared" si="1085"/>
        <v>1100</v>
      </c>
      <c r="AB1173" s="56">
        <f t="shared" si="1085"/>
        <v>1100</v>
      </c>
      <c r="AC1173" s="56">
        <f t="shared" si="1085"/>
        <v>9500</v>
      </c>
      <c r="AD1173" s="28"/>
      <c r="AE1173" s="12"/>
      <c r="AF1173" s="29"/>
      <c r="AG1173" s="9"/>
      <c r="AH1173" s="10"/>
      <c r="AI1173" s="9"/>
      <c r="AJ1173" s="11"/>
      <c r="AK1173" s="9"/>
      <c r="AL1173" s="13"/>
      <c r="AM1173" s="9"/>
    </row>
    <row r="1174" spans="1:39" x14ac:dyDescent="0.3">
      <c r="A1174" s="2" t="str">
        <f t="shared" si="1079"/>
        <v>NÃO</v>
      </c>
      <c r="B1174" s="2" t="str">
        <f>_xlfn.XLOOKUP($N1174,'Base de Grupos'!$A:$A,'Base de Grupos'!$D:$D)</f>
        <v>1000065763</v>
      </c>
      <c r="C1174" s="5" t="str">
        <f>_xlfn.XLOOKUP($N1174,'Base de Grupos'!$A:$A,'Base de Grupos'!$E:$E)</f>
        <v>CANAL VENDA INTERNA</v>
      </c>
      <c r="D1174" s="5" t="str">
        <f>_xlfn.XLOOKUP($N1174,'Base de Grupos'!$A:$A,'Base de Grupos'!$F:$F)</f>
        <v>1000065763</v>
      </c>
      <c r="E1174" s="2" t="str">
        <f>_xlfn.XLOOKUP($N1174,'Base de Grupos'!$A:$A,'Base de Grupos'!$G:$G)</f>
        <v>CANAL VENDA INTERNA</v>
      </c>
      <c r="F1174" s="2" t="str">
        <f>_xlfn.XLOOKUP($N1174,'Base de Grupos'!$A:$A,'Base de Grupos'!$H:$H)</f>
        <v>1000105900</v>
      </c>
      <c r="G1174" s="5" t="str">
        <f>_xlfn.XLOOKUP($N1174,'Base de Grupos'!$A:$A,'Base de Grupos'!$I:$I)</f>
        <v>REGIONAL VENDA DIRETA CO + NE + NO</v>
      </c>
      <c r="H1174" s="5" t="str">
        <f>_xlfn.XLOOKUP($N1174,'Base de Grupos'!$A:$A,'Base de Grupos'!$J:$J)</f>
        <v>1000105900</v>
      </c>
      <c r="I1174" s="2" t="str">
        <f>_xlfn.XLOOKUP($N1174,'Base de Grupos'!$A:$A,'Base de Grupos'!$K:$K)</f>
        <v>REGIONAL VENDA DIRETA CO + NE + NO</v>
      </c>
      <c r="J1174" s="2" t="str">
        <f>_xlfn.XLOOKUP($N1174,'Base de Grupos'!$A:$A,'Base de Grupos'!$L:$L)</f>
        <v>1000150135</v>
      </c>
      <c r="K1174" s="5" t="str">
        <f>_xlfn.XLOOKUP($N1174,'Base de Grupos'!$A:$A,'Base de Grupos'!$M:$M)</f>
        <v>HELDER DA SILVA BRUNKOW</v>
      </c>
      <c r="L1174" s="5" t="str">
        <f t="shared" si="1080"/>
        <v/>
      </c>
      <c r="M1174" s="5" t="str">
        <f>_xlfn.XLOOKUP($N1174,'Base de Grupos'!$A:$A,'Base de Grupos'!$C:$C)</f>
        <v>AC</v>
      </c>
      <c r="N1174" s="3">
        <v>1533</v>
      </c>
      <c r="O1174" s="4" t="s">
        <v>369</v>
      </c>
      <c r="P1174" s="5" t="s">
        <v>81</v>
      </c>
      <c r="Q1174" s="56">
        <v>0</v>
      </c>
      <c r="R1174" s="56">
        <v>0</v>
      </c>
      <c r="S1174" s="56">
        <v>0</v>
      </c>
      <c r="T1174" s="56">
        <f>_xlfn.XLOOKUP($N1174,'Calculo Leads'!$A$97:$A$134,'Calculo Leads'!G$97:G$134)*_xlfn.XLOOKUP($P1174,'Base Grupo de Produtos'!$E$2:$E$18,'Base Grupo de Produtos'!$F$2:$F$18)</f>
        <v>50</v>
      </c>
      <c r="U1174" s="56">
        <f>_xlfn.XLOOKUP($N1174,'Calculo Leads'!$A$97:$A$134,'Calculo Leads'!H$97:H$134)*_xlfn.XLOOKUP($P1174,'Base Grupo de Produtos'!$E$2:$E$18,'Base Grupo de Produtos'!$F$2:$F$18)</f>
        <v>50</v>
      </c>
      <c r="V1174" s="56">
        <f>_xlfn.XLOOKUP($N1174,'Calculo Leads'!$A$97:$A$134,'Calculo Leads'!I$97:I$134)*_xlfn.XLOOKUP($P1174,'Base Grupo de Produtos'!$E$2:$E$18,'Base Grupo de Produtos'!$F$2:$F$18)</f>
        <v>50</v>
      </c>
      <c r="W1174" s="56">
        <f>_xlfn.XLOOKUP($N1174,'Calculo Leads'!$A$97:$A$134,'Calculo Leads'!J$97:J$134)*_xlfn.XLOOKUP($P1174,'Base Grupo de Produtos'!$E$2:$E$18,'Base Grupo de Produtos'!$F$2:$F$18)</f>
        <v>50</v>
      </c>
      <c r="X1174" s="56">
        <f>_xlfn.XLOOKUP($N1174,'Calculo Leads'!$A$97:$A$134,'Calculo Leads'!K$97:K$134)*_xlfn.XLOOKUP($P1174,'Base Grupo de Produtos'!$E$2:$E$18,'Base Grupo de Produtos'!$F$2:$F$18)</f>
        <v>55</v>
      </c>
      <c r="Y1174" s="56">
        <f>_xlfn.XLOOKUP($N1174,'Calculo Leads'!$A$97:$A$134,'Calculo Leads'!L$97:L$134)*_xlfn.XLOOKUP($P1174,'Base Grupo de Produtos'!$E$2:$E$18,'Base Grupo de Produtos'!$F$2:$F$18)</f>
        <v>55</v>
      </c>
      <c r="Z1174" s="56">
        <f>_xlfn.XLOOKUP($N1174,'Calculo Leads'!$A$97:$A$134,'Calculo Leads'!M$97:M$134)*_xlfn.XLOOKUP($P1174,'Base Grupo de Produtos'!$E$2:$E$18,'Base Grupo de Produtos'!$F$2:$F$18)</f>
        <v>55</v>
      </c>
      <c r="AA1174" s="56">
        <f>_xlfn.XLOOKUP($N1174,'Calculo Leads'!$A$97:$A$134,'Calculo Leads'!N$97:N$134)*_xlfn.XLOOKUP($P1174,'Base Grupo de Produtos'!$E$2:$E$18,'Base Grupo de Produtos'!$F$2:$F$18)</f>
        <v>55</v>
      </c>
      <c r="AB1174" s="56">
        <f>_xlfn.XLOOKUP($N1174,'Calculo Leads'!$A$97:$A$134,'Calculo Leads'!O$97:O$134)*_xlfn.XLOOKUP($P1174,'Base Grupo de Produtos'!$E$2:$E$18,'Base Grupo de Produtos'!$F$2:$F$18)</f>
        <v>55</v>
      </c>
      <c r="AC1174" s="61">
        <f t="shared" ref="AC1174:AC1190" si="1086">SUM(T1174:AB1174)</f>
        <v>475</v>
      </c>
      <c r="AD1174" s="28"/>
      <c r="AE1174" s="12"/>
      <c r="AF1174" s="29"/>
      <c r="AG1174" s="9"/>
      <c r="AH1174" s="10"/>
      <c r="AI1174" s="9"/>
      <c r="AJ1174" s="11"/>
      <c r="AK1174" s="9"/>
      <c r="AL1174" s="13"/>
      <c r="AM1174" s="9"/>
    </row>
    <row r="1175" spans="1:39" x14ac:dyDescent="0.3">
      <c r="A1175" s="2" t="str">
        <f t="shared" si="1079"/>
        <v>NÃO</v>
      </c>
      <c r="B1175" s="2" t="str">
        <f>_xlfn.XLOOKUP($N1175,'Base de Grupos'!$A:$A,'Base de Grupos'!$D:$D)</f>
        <v>1000065763</v>
      </c>
      <c r="C1175" s="5" t="str">
        <f>_xlfn.XLOOKUP($N1175,'Base de Grupos'!$A:$A,'Base de Grupos'!$E:$E)</f>
        <v>CANAL VENDA INTERNA</v>
      </c>
      <c r="D1175" s="5" t="str">
        <f>_xlfn.XLOOKUP($N1175,'Base de Grupos'!$A:$A,'Base de Grupos'!$F:$F)</f>
        <v>1000065763</v>
      </c>
      <c r="E1175" s="2" t="str">
        <f>_xlfn.XLOOKUP($N1175,'Base de Grupos'!$A:$A,'Base de Grupos'!$G:$G)</f>
        <v>CANAL VENDA INTERNA</v>
      </c>
      <c r="F1175" s="2" t="str">
        <f>_xlfn.XLOOKUP($N1175,'Base de Grupos'!$A:$A,'Base de Grupos'!$H:$H)</f>
        <v>1000105900</v>
      </c>
      <c r="G1175" s="5" t="str">
        <f>_xlfn.XLOOKUP($N1175,'Base de Grupos'!$A:$A,'Base de Grupos'!$I:$I)</f>
        <v>REGIONAL VENDA DIRETA CO + NE + NO</v>
      </c>
      <c r="H1175" s="5" t="str">
        <f>_xlfn.XLOOKUP($N1175,'Base de Grupos'!$A:$A,'Base de Grupos'!$J:$J)</f>
        <v>1000105900</v>
      </c>
      <c r="I1175" s="2" t="str">
        <f>_xlfn.XLOOKUP($N1175,'Base de Grupos'!$A:$A,'Base de Grupos'!$K:$K)</f>
        <v>REGIONAL VENDA DIRETA CO + NE + NO</v>
      </c>
      <c r="J1175" s="2" t="str">
        <f>_xlfn.XLOOKUP($N1175,'Base de Grupos'!$A:$A,'Base de Grupos'!$L:$L)</f>
        <v>1000150135</v>
      </c>
      <c r="K1175" s="5" t="str">
        <f>_xlfn.XLOOKUP($N1175,'Base de Grupos'!$A:$A,'Base de Grupos'!$M:$M)</f>
        <v>HELDER DA SILVA BRUNKOW</v>
      </c>
      <c r="L1175" s="5" t="str">
        <f t="shared" si="1080"/>
        <v/>
      </c>
      <c r="M1175" s="5" t="str">
        <f>_xlfn.XLOOKUP($N1175,'Base de Grupos'!$A:$A,'Base de Grupos'!$C:$C)</f>
        <v>AC</v>
      </c>
      <c r="N1175" s="3">
        <v>1533</v>
      </c>
      <c r="O1175" s="4" t="s">
        <v>369</v>
      </c>
      <c r="P1175" s="5" t="s">
        <v>82</v>
      </c>
      <c r="Q1175" s="56">
        <v>0</v>
      </c>
      <c r="R1175" s="56">
        <v>0</v>
      </c>
      <c r="S1175" s="56">
        <v>0</v>
      </c>
      <c r="T1175" s="56">
        <f>_xlfn.XLOOKUP($N1175,'Calculo Leads'!$A$97:$A$134,'Calculo Leads'!G$97:G$134)*_xlfn.XLOOKUP($P1175,'Base Grupo de Produtos'!$E$2:$E$18,'Base Grupo de Produtos'!$F$2:$F$18)</f>
        <v>50</v>
      </c>
      <c r="U1175" s="56">
        <f>_xlfn.XLOOKUP($N1175,'Calculo Leads'!$A$97:$A$134,'Calculo Leads'!H$97:H$134)*_xlfn.XLOOKUP($P1175,'Base Grupo de Produtos'!$E$2:$E$18,'Base Grupo de Produtos'!$F$2:$F$18)</f>
        <v>50</v>
      </c>
      <c r="V1175" s="56">
        <f>_xlfn.XLOOKUP($N1175,'Calculo Leads'!$A$97:$A$134,'Calculo Leads'!I$97:I$134)*_xlfn.XLOOKUP($P1175,'Base Grupo de Produtos'!$E$2:$E$18,'Base Grupo de Produtos'!$F$2:$F$18)</f>
        <v>50</v>
      </c>
      <c r="W1175" s="56">
        <f>_xlfn.XLOOKUP($N1175,'Calculo Leads'!$A$97:$A$134,'Calculo Leads'!J$97:J$134)*_xlfn.XLOOKUP($P1175,'Base Grupo de Produtos'!$E$2:$E$18,'Base Grupo de Produtos'!$F$2:$F$18)</f>
        <v>50</v>
      </c>
      <c r="X1175" s="56">
        <f>_xlfn.XLOOKUP($N1175,'Calculo Leads'!$A$97:$A$134,'Calculo Leads'!K$97:K$134)*_xlfn.XLOOKUP($P1175,'Base Grupo de Produtos'!$E$2:$E$18,'Base Grupo de Produtos'!$F$2:$F$18)</f>
        <v>55</v>
      </c>
      <c r="Y1175" s="56">
        <f>_xlfn.XLOOKUP($N1175,'Calculo Leads'!$A$97:$A$134,'Calculo Leads'!L$97:L$134)*_xlfn.XLOOKUP($P1175,'Base Grupo de Produtos'!$E$2:$E$18,'Base Grupo de Produtos'!$F$2:$F$18)</f>
        <v>55</v>
      </c>
      <c r="Z1175" s="56">
        <f>_xlfn.XLOOKUP($N1175,'Calculo Leads'!$A$97:$A$134,'Calculo Leads'!M$97:M$134)*_xlfn.XLOOKUP($P1175,'Base Grupo de Produtos'!$E$2:$E$18,'Base Grupo de Produtos'!$F$2:$F$18)</f>
        <v>55</v>
      </c>
      <c r="AA1175" s="56">
        <f>_xlfn.XLOOKUP($N1175,'Calculo Leads'!$A$97:$A$134,'Calculo Leads'!N$97:N$134)*_xlfn.XLOOKUP($P1175,'Base Grupo de Produtos'!$E$2:$E$18,'Base Grupo de Produtos'!$F$2:$F$18)</f>
        <v>55</v>
      </c>
      <c r="AB1175" s="56">
        <f>_xlfn.XLOOKUP($N1175,'Calculo Leads'!$A$97:$A$134,'Calculo Leads'!O$97:O$134)*_xlfn.XLOOKUP($P1175,'Base Grupo de Produtos'!$E$2:$E$18,'Base Grupo de Produtos'!$F$2:$F$18)</f>
        <v>55</v>
      </c>
      <c r="AC1175" s="61">
        <f t="shared" si="1086"/>
        <v>475</v>
      </c>
      <c r="AD1175" s="28"/>
      <c r="AE1175" s="12"/>
      <c r="AF1175" s="29"/>
      <c r="AG1175" s="9"/>
      <c r="AH1175" s="10"/>
      <c r="AI1175" s="9"/>
      <c r="AJ1175" s="11"/>
      <c r="AK1175" s="9"/>
      <c r="AL1175" s="13"/>
      <c r="AM1175" s="9"/>
    </row>
    <row r="1176" spans="1:39" x14ac:dyDescent="0.3">
      <c r="A1176" s="2" t="str">
        <f t="shared" si="1079"/>
        <v>NÃO</v>
      </c>
      <c r="B1176" s="2" t="str">
        <f>_xlfn.XLOOKUP($N1176,'Base de Grupos'!$A:$A,'Base de Grupos'!$D:$D)</f>
        <v>1000065763</v>
      </c>
      <c r="C1176" s="5" t="str">
        <f>_xlfn.XLOOKUP($N1176,'Base de Grupos'!$A:$A,'Base de Grupos'!$E:$E)</f>
        <v>CANAL VENDA INTERNA</v>
      </c>
      <c r="D1176" s="5" t="str">
        <f>_xlfn.XLOOKUP($N1176,'Base de Grupos'!$A:$A,'Base de Grupos'!$F:$F)</f>
        <v>1000065763</v>
      </c>
      <c r="E1176" s="2" t="str">
        <f>_xlfn.XLOOKUP($N1176,'Base de Grupos'!$A:$A,'Base de Grupos'!$G:$G)</f>
        <v>CANAL VENDA INTERNA</v>
      </c>
      <c r="F1176" s="2" t="str">
        <f>_xlfn.XLOOKUP($N1176,'Base de Grupos'!$A:$A,'Base de Grupos'!$H:$H)</f>
        <v>1000105900</v>
      </c>
      <c r="G1176" s="5" t="str">
        <f>_xlfn.XLOOKUP($N1176,'Base de Grupos'!$A:$A,'Base de Grupos'!$I:$I)</f>
        <v>REGIONAL VENDA DIRETA CO + NE + NO</v>
      </c>
      <c r="H1176" s="5" t="str">
        <f>_xlfn.XLOOKUP($N1176,'Base de Grupos'!$A:$A,'Base de Grupos'!$J:$J)</f>
        <v>1000105900</v>
      </c>
      <c r="I1176" s="2" t="str">
        <f>_xlfn.XLOOKUP($N1176,'Base de Grupos'!$A:$A,'Base de Grupos'!$K:$K)</f>
        <v>REGIONAL VENDA DIRETA CO + NE + NO</v>
      </c>
      <c r="J1176" s="2" t="str">
        <f>_xlfn.XLOOKUP($N1176,'Base de Grupos'!$A:$A,'Base de Grupos'!$L:$L)</f>
        <v>1000150135</v>
      </c>
      <c r="K1176" s="5" t="str">
        <f>_xlfn.XLOOKUP($N1176,'Base de Grupos'!$A:$A,'Base de Grupos'!$M:$M)</f>
        <v>HELDER DA SILVA BRUNKOW</v>
      </c>
      <c r="L1176" s="5" t="str">
        <f t="shared" si="1080"/>
        <v/>
      </c>
      <c r="M1176" s="5" t="str">
        <f>_xlfn.XLOOKUP($N1176,'Base de Grupos'!$A:$A,'Base de Grupos'!$C:$C)</f>
        <v>AC</v>
      </c>
      <c r="N1176" s="3">
        <v>1533</v>
      </c>
      <c r="O1176" s="4" t="s">
        <v>369</v>
      </c>
      <c r="P1176" s="5" t="s">
        <v>84</v>
      </c>
      <c r="Q1176" s="56">
        <v>0</v>
      </c>
      <c r="R1176" s="56">
        <v>0</v>
      </c>
      <c r="S1176" s="56">
        <v>0</v>
      </c>
      <c r="T1176" s="56">
        <f>_xlfn.XLOOKUP($N1176,'Calculo Leads'!$A$97:$A$134,'Calculo Leads'!G$97:G$134)*_xlfn.XLOOKUP($P1176,'Base Grupo de Produtos'!$E$2:$E$18,'Base Grupo de Produtos'!$F$2:$F$18)</f>
        <v>80</v>
      </c>
      <c r="U1176" s="56">
        <f>_xlfn.XLOOKUP($N1176,'Calculo Leads'!$A$97:$A$134,'Calculo Leads'!H$97:H$134)*_xlfn.XLOOKUP($P1176,'Base Grupo de Produtos'!$E$2:$E$18,'Base Grupo de Produtos'!$F$2:$F$18)</f>
        <v>80</v>
      </c>
      <c r="V1176" s="56">
        <f>_xlfn.XLOOKUP($N1176,'Calculo Leads'!$A$97:$A$134,'Calculo Leads'!I$97:I$134)*_xlfn.XLOOKUP($P1176,'Base Grupo de Produtos'!$E$2:$E$18,'Base Grupo de Produtos'!$F$2:$F$18)</f>
        <v>80</v>
      </c>
      <c r="W1176" s="56">
        <f>_xlfn.XLOOKUP($N1176,'Calculo Leads'!$A$97:$A$134,'Calculo Leads'!J$97:J$134)*_xlfn.XLOOKUP($P1176,'Base Grupo de Produtos'!$E$2:$E$18,'Base Grupo de Produtos'!$F$2:$F$18)</f>
        <v>80</v>
      </c>
      <c r="X1176" s="56">
        <f>_xlfn.XLOOKUP($N1176,'Calculo Leads'!$A$97:$A$134,'Calculo Leads'!K$97:K$134)*_xlfn.XLOOKUP($P1176,'Base Grupo de Produtos'!$E$2:$E$18,'Base Grupo de Produtos'!$F$2:$F$18)</f>
        <v>88</v>
      </c>
      <c r="Y1176" s="56">
        <f>_xlfn.XLOOKUP($N1176,'Calculo Leads'!$A$97:$A$134,'Calculo Leads'!L$97:L$134)*_xlfn.XLOOKUP($P1176,'Base Grupo de Produtos'!$E$2:$E$18,'Base Grupo de Produtos'!$F$2:$F$18)</f>
        <v>88</v>
      </c>
      <c r="Z1176" s="56">
        <f>_xlfn.XLOOKUP($N1176,'Calculo Leads'!$A$97:$A$134,'Calculo Leads'!M$97:M$134)*_xlfn.XLOOKUP($P1176,'Base Grupo de Produtos'!$E$2:$E$18,'Base Grupo de Produtos'!$F$2:$F$18)</f>
        <v>88</v>
      </c>
      <c r="AA1176" s="56">
        <f>_xlfn.XLOOKUP($N1176,'Calculo Leads'!$A$97:$A$134,'Calculo Leads'!N$97:N$134)*_xlfn.XLOOKUP($P1176,'Base Grupo de Produtos'!$E$2:$E$18,'Base Grupo de Produtos'!$F$2:$F$18)</f>
        <v>88</v>
      </c>
      <c r="AB1176" s="56">
        <f>_xlfn.XLOOKUP($N1176,'Calculo Leads'!$A$97:$A$134,'Calculo Leads'!O$97:O$134)*_xlfn.XLOOKUP($P1176,'Base Grupo de Produtos'!$E$2:$E$18,'Base Grupo de Produtos'!$F$2:$F$18)</f>
        <v>88</v>
      </c>
      <c r="AC1176" s="61">
        <f t="shared" si="1086"/>
        <v>760</v>
      </c>
      <c r="AD1176" s="28"/>
      <c r="AE1176" s="12"/>
      <c r="AF1176" s="29"/>
      <c r="AG1176" s="9"/>
      <c r="AH1176" s="10"/>
      <c r="AI1176" s="9"/>
      <c r="AJ1176" s="11"/>
      <c r="AK1176" s="9"/>
      <c r="AL1176" s="13"/>
      <c r="AM1176" s="9"/>
    </row>
    <row r="1177" spans="1:39" x14ac:dyDescent="0.3">
      <c r="A1177" s="2" t="str">
        <f t="shared" si="1079"/>
        <v>NÃO</v>
      </c>
      <c r="B1177" s="2" t="str">
        <f>_xlfn.XLOOKUP($N1177,'Base de Grupos'!$A:$A,'Base de Grupos'!$D:$D)</f>
        <v>1000065763</v>
      </c>
      <c r="C1177" s="5" t="str">
        <f>_xlfn.XLOOKUP($N1177,'Base de Grupos'!$A:$A,'Base de Grupos'!$E:$E)</f>
        <v>CANAL VENDA INTERNA</v>
      </c>
      <c r="D1177" s="5" t="str">
        <f>_xlfn.XLOOKUP($N1177,'Base de Grupos'!$A:$A,'Base de Grupos'!$F:$F)</f>
        <v>1000065763</v>
      </c>
      <c r="E1177" s="2" t="str">
        <f>_xlfn.XLOOKUP($N1177,'Base de Grupos'!$A:$A,'Base de Grupos'!$G:$G)</f>
        <v>CANAL VENDA INTERNA</v>
      </c>
      <c r="F1177" s="2" t="str">
        <f>_xlfn.XLOOKUP($N1177,'Base de Grupos'!$A:$A,'Base de Grupos'!$H:$H)</f>
        <v>1000105900</v>
      </c>
      <c r="G1177" s="5" t="str">
        <f>_xlfn.XLOOKUP($N1177,'Base de Grupos'!$A:$A,'Base de Grupos'!$I:$I)</f>
        <v>REGIONAL VENDA DIRETA CO + NE + NO</v>
      </c>
      <c r="H1177" s="5" t="str">
        <f>_xlfn.XLOOKUP($N1177,'Base de Grupos'!$A:$A,'Base de Grupos'!$J:$J)</f>
        <v>1000105900</v>
      </c>
      <c r="I1177" s="2" t="str">
        <f>_xlfn.XLOOKUP($N1177,'Base de Grupos'!$A:$A,'Base de Grupos'!$K:$K)</f>
        <v>REGIONAL VENDA DIRETA CO + NE + NO</v>
      </c>
      <c r="J1177" s="2" t="str">
        <f>_xlfn.XLOOKUP($N1177,'Base de Grupos'!$A:$A,'Base de Grupos'!$L:$L)</f>
        <v>1000150135</v>
      </c>
      <c r="K1177" s="5" t="str">
        <f>_xlfn.XLOOKUP($N1177,'Base de Grupos'!$A:$A,'Base de Grupos'!$M:$M)</f>
        <v>HELDER DA SILVA BRUNKOW</v>
      </c>
      <c r="L1177" s="5" t="str">
        <f t="shared" si="1080"/>
        <v/>
      </c>
      <c r="M1177" s="5" t="str">
        <f>_xlfn.XLOOKUP($N1177,'Base de Grupos'!$A:$A,'Base de Grupos'!$C:$C)</f>
        <v>AC</v>
      </c>
      <c r="N1177" s="3">
        <v>1533</v>
      </c>
      <c r="O1177" s="4" t="s">
        <v>369</v>
      </c>
      <c r="P1177" s="5" t="s">
        <v>83</v>
      </c>
      <c r="Q1177" s="56">
        <v>0</v>
      </c>
      <c r="R1177" s="56">
        <v>0</v>
      </c>
      <c r="S1177" s="56">
        <v>0</v>
      </c>
      <c r="T1177" s="56">
        <f>_xlfn.XLOOKUP($N1177,'Calculo Leads'!$A$97:$A$134,'Calculo Leads'!G$97:G$134)*_xlfn.XLOOKUP($P1177,'Base Grupo de Produtos'!$E$2:$E$18,'Base Grupo de Produtos'!$F$2:$F$18)</f>
        <v>100</v>
      </c>
      <c r="U1177" s="56">
        <f>_xlfn.XLOOKUP($N1177,'Calculo Leads'!$A$97:$A$134,'Calculo Leads'!H$97:H$134)*_xlfn.XLOOKUP($P1177,'Base Grupo de Produtos'!$E$2:$E$18,'Base Grupo de Produtos'!$F$2:$F$18)</f>
        <v>100</v>
      </c>
      <c r="V1177" s="56">
        <f>_xlfn.XLOOKUP($N1177,'Calculo Leads'!$A$97:$A$134,'Calculo Leads'!I$97:I$134)*_xlfn.XLOOKUP($P1177,'Base Grupo de Produtos'!$E$2:$E$18,'Base Grupo de Produtos'!$F$2:$F$18)</f>
        <v>100</v>
      </c>
      <c r="W1177" s="56">
        <f>_xlfn.XLOOKUP($N1177,'Calculo Leads'!$A$97:$A$134,'Calculo Leads'!J$97:J$134)*_xlfn.XLOOKUP($P1177,'Base Grupo de Produtos'!$E$2:$E$18,'Base Grupo de Produtos'!$F$2:$F$18)</f>
        <v>100</v>
      </c>
      <c r="X1177" s="56">
        <f>_xlfn.XLOOKUP($N1177,'Calculo Leads'!$A$97:$A$134,'Calculo Leads'!K$97:K$134)*_xlfn.XLOOKUP($P1177,'Base Grupo de Produtos'!$E$2:$E$18,'Base Grupo de Produtos'!$F$2:$F$18)</f>
        <v>110</v>
      </c>
      <c r="Y1177" s="56">
        <f>_xlfn.XLOOKUP($N1177,'Calculo Leads'!$A$97:$A$134,'Calculo Leads'!L$97:L$134)*_xlfn.XLOOKUP($P1177,'Base Grupo de Produtos'!$E$2:$E$18,'Base Grupo de Produtos'!$F$2:$F$18)</f>
        <v>110</v>
      </c>
      <c r="Z1177" s="56">
        <f>_xlfn.XLOOKUP($N1177,'Calculo Leads'!$A$97:$A$134,'Calculo Leads'!M$97:M$134)*_xlfn.XLOOKUP($P1177,'Base Grupo de Produtos'!$E$2:$E$18,'Base Grupo de Produtos'!$F$2:$F$18)</f>
        <v>110</v>
      </c>
      <c r="AA1177" s="56">
        <f>_xlfn.XLOOKUP($N1177,'Calculo Leads'!$A$97:$A$134,'Calculo Leads'!N$97:N$134)*_xlfn.XLOOKUP($P1177,'Base Grupo de Produtos'!$E$2:$E$18,'Base Grupo de Produtos'!$F$2:$F$18)</f>
        <v>110</v>
      </c>
      <c r="AB1177" s="56">
        <f>_xlfn.XLOOKUP($N1177,'Calculo Leads'!$A$97:$A$134,'Calculo Leads'!O$97:O$134)*_xlfn.XLOOKUP($P1177,'Base Grupo de Produtos'!$E$2:$E$18,'Base Grupo de Produtos'!$F$2:$F$18)</f>
        <v>110</v>
      </c>
      <c r="AC1177" s="61">
        <f t="shared" si="1086"/>
        <v>950</v>
      </c>
      <c r="AD1177" s="28"/>
      <c r="AE1177" s="12"/>
      <c r="AF1177" s="29"/>
      <c r="AG1177" s="9"/>
      <c r="AH1177" s="10"/>
      <c r="AI1177" s="9"/>
      <c r="AJ1177" s="11"/>
      <c r="AK1177" s="9"/>
      <c r="AL1177" s="13"/>
      <c r="AM1177" s="9"/>
    </row>
    <row r="1178" spans="1:39" x14ac:dyDescent="0.3">
      <c r="A1178" s="2" t="str">
        <f t="shared" si="1079"/>
        <v>NÃO</v>
      </c>
      <c r="B1178" s="2" t="str">
        <f>_xlfn.XLOOKUP($N1178,'Base de Grupos'!$A:$A,'Base de Grupos'!$D:$D)</f>
        <v>1000065763</v>
      </c>
      <c r="C1178" s="5" t="str">
        <f>_xlfn.XLOOKUP($N1178,'Base de Grupos'!$A:$A,'Base de Grupos'!$E:$E)</f>
        <v>CANAL VENDA INTERNA</v>
      </c>
      <c r="D1178" s="5" t="str">
        <f>_xlfn.XLOOKUP($N1178,'Base de Grupos'!$A:$A,'Base de Grupos'!$F:$F)</f>
        <v>1000065763</v>
      </c>
      <c r="E1178" s="2" t="str">
        <f>_xlfn.XLOOKUP($N1178,'Base de Grupos'!$A:$A,'Base de Grupos'!$G:$G)</f>
        <v>CANAL VENDA INTERNA</v>
      </c>
      <c r="F1178" s="2" t="str">
        <f>_xlfn.XLOOKUP($N1178,'Base de Grupos'!$A:$A,'Base de Grupos'!$H:$H)</f>
        <v>1000105900</v>
      </c>
      <c r="G1178" s="5" t="str">
        <f>_xlfn.XLOOKUP($N1178,'Base de Grupos'!$A:$A,'Base de Grupos'!$I:$I)</f>
        <v>REGIONAL VENDA DIRETA CO + NE + NO</v>
      </c>
      <c r="H1178" s="5" t="str">
        <f>_xlfn.XLOOKUP($N1178,'Base de Grupos'!$A:$A,'Base de Grupos'!$J:$J)</f>
        <v>1000105900</v>
      </c>
      <c r="I1178" s="2" t="str">
        <f>_xlfn.XLOOKUP($N1178,'Base de Grupos'!$A:$A,'Base de Grupos'!$K:$K)</f>
        <v>REGIONAL VENDA DIRETA CO + NE + NO</v>
      </c>
      <c r="J1178" s="2" t="str">
        <f>_xlfn.XLOOKUP($N1178,'Base de Grupos'!$A:$A,'Base de Grupos'!$L:$L)</f>
        <v>1000150135</v>
      </c>
      <c r="K1178" s="5" t="str">
        <f>_xlfn.XLOOKUP($N1178,'Base de Grupos'!$A:$A,'Base de Grupos'!$M:$M)</f>
        <v>HELDER DA SILVA BRUNKOW</v>
      </c>
      <c r="L1178" s="5" t="str">
        <f t="shared" si="1080"/>
        <v/>
      </c>
      <c r="M1178" s="5" t="str">
        <f>_xlfn.XLOOKUP($N1178,'Base de Grupos'!$A:$A,'Base de Grupos'!$C:$C)</f>
        <v>AC</v>
      </c>
      <c r="N1178" s="3">
        <v>1533</v>
      </c>
      <c r="O1178" s="4" t="s">
        <v>369</v>
      </c>
      <c r="P1178" s="5" t="s">
        <v>87</v>
      </c>
      <c r="Q1178" s="56">
        <v>0</v>
      </c>
      <c r="R1178" s="56">
        <v>0</v>
      </c>
      <c r="S1178" s="56">
        <v>0</v>
      </c>
      <c r="T1178" s="56">
        <f>_xlfn.XLOOKUP($N1178,'Calculo Leads'!$A$97:$A$134,'Calculo Leads'!G$97:G$134)*_xlfn.XLOOKUP($P1178,'Base Grupo de Produtos'!$E$2:$E$18,'Base Grupo de Produtos'!$F$2:$F$18)</f>
        <v>19.999999999999996</v>
      </c>
      <c r="U1178" s="56">
        <f>_xlfn.XLOOKUP($N1178,'Calculo Leads'!$A$97:$A$134,'Calculo Leads'!H$97:H$134)*_xlfn.XLOOKUP($P1178,'Base Grupo de Produtos'!$E$2:$E$18,'Base Grupo de Produtos'!$F$2:$F$18)</f>
        <v>19.999999999999996</v>
      </c>
      <c r="V1178" s="56">
        <f>_xlfn.XLOOKUP($N1178,'Calculo Leads'!$A$97:$A$134,'Calculo Leads'!I$97:I$134)*_xlfn.XLOOKUP($P1178,'Base Grupo de Produtos'!$E$2:$E$18,'Base Grupo de Produtos'!$F$2:$F$18)</f>
        <v>19.999999999999996</v>
      </c>
      <c r="W1178" s="56">
        <f>_xlfn.XLOOKUP($N1178,'Calculo Leads'!$A$97:$A$134,'Calculo Leads'!J$97:J$134)*_xlfn.XLOOKUP($P1178,'Base Grupo de Produtos'!$E$2:$E$18,'Base Grupo de Produtos'!$F$2:$F$18)</f>
        <v>19.999999999999996</v>
      </c>
      <c r="X1178" s="56">
        <f>_xlfn.XLOOKUP($N1178,'Calculo Leads'!$A$97:$A$134,'Calculo Leads'!K$97:K$134)*_xlfn.XLOOKUP($P1178,'Base Grupo de Produtos'!$E$2:$E$18,'Base Grupo de Produtos'!$F$2:$F$18)</f>
        <v>21.999999999999996</v>
      </c>
      <c r="Y1178" s="56">
        <f>_xlfn.XLOOKUP($N1178,'Calculo Leads'!$A$97:$A$134,'Calculo Leads'!L$97:L$134)*_xlfn.XLOOKUP($P1178,'Base Grupo de Produtos'!$E$2:$E$18,'Base Grupo de Produtos'!$F$2:$F$18)</f>
        <v>21.999999999999996</v>
      </c>
      <c r="Z1178" s="56">
        <f>_xlfn.XLOOKUP($N1178,'Calculo Leads'!$A$97:$A$134,'Calculo Leads'!M$97:M$134)*_xlfn.XLOOKUP($P1178,'Base Grupo de Produtos'!$E$2:$E$18,'Base Grupo de Produtos'!$F$2:$F$18)</f>
        <v>21.999999999999996</v>
      </c>
      <c r="AA1178" s="56">
        <f>_xlfn.XLOOKUP($N1178,'Calculo Leads'!$A$97:$A$134,'Calculo Leads'!N$97:N$134)*_xlfn.XLOOKUP($P1178,'Base Grupo de Produtos'!$E$2:$E$18,'Base Grupo de Produtos'!$F$2:$F$18)</f>
        <v>21.999999999999996</v>
      </c>
      <c r="AB1178" s="56">
        <f>_xlfn.XLOOKUP($N1178,'Calculo Leads'!$A$97:$A$134,'Calculo Leads'!O$97:O$134)*_xlfn.XLOOKUP($P1178,'Base Grupo de Produtos'!$E$2:$E$18,'Base Grupo de Produtos'!$F$2:$F$18)</f>
        <v>21.999999999999996</v>
      </c>
      <c r="AC1178" s="61">
        <f t="shared" si="1086"/>
        <v>189.99999999999997</v>
      </c>
      <c r="AD1178" s="28"/>
      <c r="AE1178" s="12"/>
      <c r="AF1178" s="29"/>
      <c r="AG1178" s="9"/>
      <c r="AH1178" s="10"/>
      <c r="AI1178" s="9"/>
      <c r="AJ1178" s="11"/>
      <c r="AK1178" s="9"/>
      <c r="AL1178" s="13"/>
      <c r="AM1178" s="9"/>
    </row>
    <row r="1179" spans="1:39" x14ac:dyDescent="0.3">
      <c r="A1179" s="2" t="str">
        <f t="shared" si="1079"/>
        <v>NÃO</v>
      </c>
      <c r="B1179" s="2" t="str">
        <f>_xlfn.XLOOKUP($N1179,'Base de Grupos'!$A:$A,'Base de Grupos'!$D:$D)</f>
        <v>1000065763</v>
      </c>
      <c r="C1179" s="5" t="str">
        <f>_xlfn.XLOOKUP($N1179,'Base de Grupos'!$A:$A,'Base de Grupos'!$E:$E)</f>
        <v>CANAL VENDA INTERNA</v>
      </c>
      <c r="D1179" s="5" t="str">
        <f>_xlfn.XLOOKUP($N1179,'Base de Grupos'!$A:$A,'Base de Grupos'!$F:$F)</f>
        <v>1000065763</v>
      </c>
      <c r="E1179" s="2" t="str">
        <f>_xlfn.XLOOKUP($N1179,'Base de Grupos'!$A:$A,'Base de Grupos'!$G:$G)</f>
        <v>CANAL VENDA INTERNA</v>
      </c>
      <c r="F1179" s="2" t="str">
        <f>_xlfn.XLOOKUP($N1179,'Base de Grupos'!$A:$A,'Base de Grupos'!$H:$H)</f>
        <v>1000105900</v>
      </c>
      <c r="G1179" s="5" t="str">
        <f>_xlfn.XLOOKUP($N1179,'Base de Grupos'!$A:$A,'Base de Grupos'!$I:$I)</f>
        <v>REGIONAL VENDA DIRETA CO + NE + NO</v>
      </c>
      <c r="H1179" s="5" t="str">
        <f>_xlfn.XLOOKUP($N1179,'Base de Grupos'!$A:$A,'Base de Grupos'!$J:$J)</f>
        <v>1000105900</v>
      </c>
      <c r="I1179" s="2" t="str">
        <f>_xlfn.XLOOKUP($N1179,'Base de Grupos'!$A:$A,'Base de Grupos'!$K:$K)</f>
        <v>REGIONAL VENDA DIRETA CO + NE + NO</v>
      </c>
      <c r="J1179" s="2" t="str">
        <f>_xlfn.XLOOKUP($N1179,'Base de Grupos'!$A:$A,'Base de Grupos'!$L:$L)</f>
        <v>1000150135</v>
      </c>
      <c r="K1179" s="5" t="str">
        <f>_xlfn.XLOOKUP($N1179,'Base de Grupos'!$A:$A,'Base de Grupos'!$M:$M)</f>
        <v>HELDER DA SILVA BRUNKOW</v>
      </c>
      <c r="L1179" s="5" t="str">
        <f t="shared" si="1080"/>
        <v/>
      </c>
      <c r="M1179" s="5" t="str">
        <f>_xlfn.XLOOKUP($N1179,'Base de Grupos'!$A:$A,'Base de Grupos'!$C:$C)</f>
        <v>AC</v>
      </c>
      <c r="N1179" s="3">
        <v>1533</v>
      </c>
      <c r="O1179" s="4" t="s">
        <v>369</v>
      </c>
      <c r="P1179" s="5" t="s">
        <v>85</v>
      </c>
      <c r="Q1179" s="56">
        <v>0</v>
      </c>
      <c r="R1179" s="56">
        <v>0</v>
      </c>
      <c r="S1179" s="56">
        <v>0</v>
      </c>
      <c r="T1179" s="56">
        <f>_xlfn.XLOOKUP($N1179,'Calculo Leads'!$A$97:$A$134,'Calculo Leads'!G$97:G$134)*_xlfn.XLOOKUP($P1179,'Base Grupo de Produtos'!$E$2:$E$18,'Base Grupo de Produtos'!$F$2:$F$18)</f>
        <v>20</v>
      </c>
      <c r="U1179" s="56">
        <f>_xlfn.XLOOKUP($N1179,'Calculo Leads'!$A$97:$A$134,'Calculo Leads'!H$97:H$134)*_xlfn.XLOOKUP($P1179,'Base Grupo de Produtos'!$E$2:$E$18,'Base Grupo de Produtos'!$F$2:$F$18)</f>
        <v>20</v>
      </c>
      <c r="V1179" s="56">
        <f>_xlfn.XLOOKUP($N1179,'Calculo Leads'!$A$97:$A$134,'Calculo Leads'!I$97:I$134)*_xlfn.XLOOKUP($P1179,'Base Grupo de Produtos'!$E$2:$E$18,'Base Grupo de Produtos'!$F$2:$F$18)</f>
        <v>20</v>
      </c>
      <c r="W1179" s="56">
        <f>_xlfn.XLOOKUP($N1179,'Calculo Leads'!$A$97:$A$134,'Calculo Leads'!J$97:J$134)*_xlfn.XLOOKUP($P1179,'Base Grupo de Produtos'!$E$2:$E$18,'Base Grupo de Produtos'!$F$2:$F$18)</f>
        <v>20</v>
      </c>
      <c r="X1179" s="56">
        <f>_xlfn.XLOOKUP($N1179,'Calculo Leads'!$A$97:$A$134,'Calculo Leads'!K$97:K$134)*_xlfn.XLOOKUP($P1179,'Base Grupo de Produtos'!$E$2:$E$18,'Base Grupo de Produtos'!$F$2:$F$18)</f>
        <v>22</v>
      </c>
      <c r="Y1179" s="56">
        <f>_xlfn.XLOOKUP($N1179,'Calculo Leads'!$A$97:$A$134,'Calculo Leads'!L$97:L$134)*_xlfn.XLOOKUP($P1179,'Base Grupo de Produtos'!$E$2:$E$18,'Base Grupo de Produtos'!$F$2:$F$18)</f>
        <v>22</v>
      </c>
      <c r="Z1179" s="56">
        <f>_xlfn.XLOOKUP($N1179,'Calculo Leads'!$A$97:$A$134,'Calculo Leads'!M$97:M$134)*_xlfn.XLOOKUP($P1179,'Base Grupo de Produtos'!$E$2:$E$18,'Base Grupo de Produtos'!$F$2:$F$18)</f>
        <v>22</v>
      </c>
      <c r="AA1179" s="56">
        <f>_xlfn.XLOOKUP($N1179,'Calculo Leads'!$A$97:$A$134,'Calculo Leads'!N$97:N$134)*_xlfn.XLOOKUP($P1179,'Base Grupo de Produtos'!$E$2:$E$18,'Base Grupo de Produtos'!$F$2:$F$18)</f>
        <v>22</v>
      </c>
      <c r="AB1179" s="56">
        <f>_xlfn.XLOOKUP($N1179,'Calculo Leads'!$A$97:$A$134,'Calculo Leads'!O$97:O$134)*_xlfn.XLOOKUP($P1179,'Base Grupo de Produtos'!$E$2:$E$18,'Base Grupo de Produtos'!$F$2:$F$18)</f>
        <v>22</v>
      </c>
      <c r="AC1179" s="61">
        <f t="shared" si="1086"/>
        <v>190</v>
      </c>
      <c r="AD1179" s="28"/>
      <c r="AE1179" s="12"/>
      <c r="AF1179" s="29"/>
      <c r="AG1179" s="9"/>
      <c r="AH1179" s="10"/>
      <c r="AI1179" s="9"/>
      <c r="AJ1179" s="11"/>
      <c r="AK1179" s="9"/>
      <c r="AL1179" s="13"/>
      <c r="AM1179" s="9"/>
    </row>
    <row r="1180" spans="1:39" x14ac:dyDescent="0.3">
      <c r="A1180" s="2" t="str">
        <f t="shared" si="1079"/>
        <v>NÃO</v>
      </c>
      <c r="B1180" s="2" t="str">
        <f>_xlfn.XLOOKUP($N1180,'Base de Grupos'!$A:$A,'Base de Grupos'!$D:$D)</f>
        <v>1000065763</v>
      </c>
      <c r="C1180" s="5" t="str">
        <f>_xlfn.XLOOKUP($N1180,'Base de Grupos'!$A:$A,'Base de Grupos'!$E:$E)</f>
        <v>CANAL VENDA INTERNA</v>
      </c>
      <c r="D1180" s="5" t="str">
        <f>_xlfn.XLOOKUP($N1180,'Base de Grupos'!$A:$A,'Base de Grupos'!$F:$F)</f>
        <v>1000065763</v>
      </c>
      <c r="E1180" s="2" t="str">
        <f>_xlfn.XLOOKUP($N1180,'Base de Grupos'!$A:$A,'Base de Grupos'!$G:$G)</f>
        <v>CANAL VENDA INTERNA</v>
      </c>
      <c r="F1180" s="2" t="str">
        <f>_xlfn.XLOOKUP($N1180,'Base de Grupos'!$A:$A,'Base de Grupos'!$H:$H)</f>
        <v>1000105900</v>
      </c>
      <c r="G1180" s="5" t="str">
        <f>_xlfn.XLOOKUP($N1180,'Base de Grupos'!$A:$A,'Base de Grupos'!$I:$I)</f>
        <v>REGIONAL VENDA DIRETA CO + NE + NO</v>
      </c>
      <c r="H1180" s="5" t="str">
        <f>_xlfn.XLOOKUP($N1180,'Base de Grupos'!$A:$A,'Base de Grupos'!$J:$J)</f>
        <v>1000105900</v>
      </c>
      <c r="I1180" s="2" t="str">
        <f>_xlfn.XLOOKUP($N1180,'Base de Grupos'!$A:$A,'Base de Grupos'!$K:$K)</f>
        <v>REGIONAL VENDA DIRETA CO + NE + NO</v>
      </c>
      <c r="J1180" s="2" t="str">
        <f>_xlfn.XLOOKUP($N1180,'Base de Grupos'!$A:$A,'Base de Grupos'!$L:$L)</f>
        <v>1000150135</v>
      </c>
      <c r="K1180" s="5" t="str">
        <f>_xlfn.XLOOKUP($N1180,'Base de Grupos'!$A:$A,'Base de Grupos'!$M:$M)</f>
        <v>HELDER DA SILVA BRUNKOW</v>
      </c>
      <c r="L1180" s="5" t="str">
        <f t="shared" si="1080"/>
        <v/>
      </c>
      <c r="M1180" s="5" t="str">
        <f>_xlfn.XLOOKUP($N1180,'Base de Grupos'!$A:$A,'Base de Grupos'!$C:$C)</f>
        <v>AC</v>
      </c>
      <c r="N1180" s="3">
        <v>1533</v>
      </c>
      <c r="O1180" s="4" t="s">
        <v>369</v>
      </c>
      <c r="P1180" s="5" t="s">
        <v>92</v>
      </c>
      <c r="Q1180" s="56">
        <v>0</v>
      </c>
      <c r="R1180" s="56">
        <v>0</v>
      </c>
      <c r="S1180" s="56">
        <v>0</v>
      </c>
      <c r="T1180" s="56">
        <f>_xlfn.XLOOKUP($N1180,'Calculo Leads'!$A$97:$A$134,'Calculo Leads'!G$97:G$134)*_xlfn.XLOOKUP($P1180,'Base Grupo de Produtos'!$E$2:$E$18,'Base Grupo de Produtos'!$F$2:$F$18)</f>
        <v>20</v>
      </c>
      <c r="U1180" s="56">
        <f>_xlfn.XLOOKUP($N1180,'Calculo Leads'!$A$97:$A$134,'Calculo Leads'!H$97:H$134)*_xlfn.XLOOKUP($P1180,'Base Grupo de Produtos'!$E$2:$E$18,'Base Grupo de Produtos'!$F$2:$F$18)</f>
        <v>20</v>
      </c>
      <c r="V1180" s="56">
        <f>_xlfn.XLOOKUP($N1180,'Calculo Leads'!$A$97:$A$134,'Calculo Leads'!I$97:I$134)*_xlfn.XLOOKUP($P1180,'Base Grupo de Produtos'!$E$2:$E$18,'Base Grupo de Produtos'!$F$2:$F$18)</f>
        <v>20</v>
      </c>
      <c r="W1180" s="56">
        <f>_xlfn.XLOOKUP($N1180,'Calculo Leads'!$A$97:$A$134,'Calculo Leads'!J$97:J$134)*_xlfn.XLOOKUP($P1180,'Base Grupo de Produtos'!$E$2:$E$18,'Base Grupo de Produtos'!$F$2:$F$18)</f>
        <v>20</v>
      </c>
      <c r="X1180" s="56">
        <f>_xlfn.XLOOKUP($N1180,'Calculo Leads'!$A$97:$A$134,'Calculo Leads'!K$97:K$134)*_xlfn.XLOOKUP($P1180,'Base Grupo de Produtos'!$E$2:$E$18,'Base Grupo de Produtos'!$F$2:$F$18)</f>
        <v>22</v>
      </c>
      <c r="Y1180" s="56">
        <f>_xlfn.XLOOKUP($N1180,'Calculo Leads'!$A$97:$A$134,'Calculo Leads'!L$97:L$134)*_xlfn.XLOOKUP($P1180,'Base Grupo de Produtos'!$E$2:$E$18,'Base Grupo de Produtos'!$F$2:$F$18)</f>
        <v>22</v>
      </c>
      <c r="Z1180" s="56">
        <f>_xlfn.XLOOKUP($N1180,'Calculo Leads'!$A$97:$A$134,'Calculo Leads'!M$97:M$134)*_xlfn.XLOOKUP($P1180,'Base Grupo de Produtos'!$E$2:$E$18,'Base Grupo de Produtos'!$F$2:$F$18)</f>
        <v>22</v>
      </c>
      <c r="AA1180" s="56">
        <f>_xlfn.XLOOKUP($N1180,'Calculo Leads'!$A$97:$A$134,'Calculo Leads'!N$97:N$134)*_xlfn.XLOOKUP($P1180,'Base Grupo de Produtos'!$E$2:$E$18,'Base Grupo de Produtos'!$F$2:$F$18)</f>
        <v>22</v>
      </c>
      <c r="AB1180" s="56">
        <f>_xlfn.XLOOKUP($N1180,'Calculo Leads'!$A$97:$A$134,'Calculo Leads'!O$97:O$134)*_xlfn.XLOOKUP($P1180,'Base Grupo de Produtos'!$E$2:$E$18,'Base Grupo de Produtos'!$F$2:$F$18)</f>
        <v>22</v>
      </c>
      <c r="AC1180" s="61">
        <f t="shared" si="1086"/>
        <v>190</v>
      </c>
      <c r="AD1180" s="28"/>
      <c r="AE1180" s="12"/>
      <c r="AF1180" s="29"/>
      <c r="AG1180" s="9"/>
      <c r="AH1180" s="10"/>
      <c r="AI1180" s="9"/>
      <c r="AJ1180" s="11"/>
      <c r="AK1180" s="9"/>
      <c r="AL1180" s="13"/>
      <c r="AM1180" s="9"/>
    </row>
    <row r="1181" spans="1:39" x14ac:dyDescent="0.3">
      <c r="A1181" s="2" t="str">
        <f t="shared" si="1079"/>
        <v>NÃO</v>
      </c>
      <c r="B1181" s="2" t="str">
        <f>_xlfn.XLOOKUP($N1181,'Base de Grupos'!$A:$A,'Base de Grupos'!$D:$D)</f>
        <v>1000065763</v>
      </c>
      <c r="C1181" s="5" t="str">
        <f>_xlfn.XLOOKUP($N1181,'Base de Grupos'!$A:$A,'Base de Grupos'!$E:$E)</f>
        <v>CANAL VENDA INTERNA</v>
      </c>
      <c r="D1181" s="5" t="str">
        <f>_xlfn.XLOOKUP($N1181,'Base de Grupos'!$A:$A,'Base de Grupos'!$F:$F)</f>
        <v>1000065763</v>
      </c>
      <c r="E1181" s="2" t="str">
        <f>_xlfn.XLOOKUP($N1181,'Base de Grupos'!$A:$A,'Base de Grupos'!$G:$G)</f>
        <v>CANAL VENDA INTERNA</v>
      </c>
      <c r="F1181" s="2" t="str">
        <f>_xlfn.XLOOKUP($N1181,'Base de Grupos'!$A:$A,'Base de Grupos'!$H:$H)</f>
        <v>1000105900</v>
      </c>
      <c r="G1181" s="5" t="str">
        <f>_xlfn.XLOOKUP($N1181,'Base de Grupos'!$A:$A,'Base de Grupos'!$I:$I)</f>
        <v>REGIONAL VENDA DIRETA CO + NE + NO</v>
      </c>
      <c r="H1181" s="5" t="str">
        <f>_xlfn.XLOOKUP($N1181,'Base de Grupos'!$A:$A,'Base de Grupos'!$J:$J)</f>
        <v>1000105900</v>
      </c>
      <c r="I1181" s="2" t="str">
        <f>_xlfn.XLOOKUP($N1181,'Base de Grupos'!$A:$A,'Base de Grupos'!$K:$K)</f>
        <v>REGIONAL VENDA DIRETA CO + NE + NO</v>
      </c>
      <c r="J1181" s="2" t="str">
        <f>_xlfn.XLOOKUP($N1181,'Base de Grupos'!$A:$A,'Base de Grupos'!$L:$L)</f>
        <v>1000150135</v>
      </c>
      <c r="K1181" s="5" t="str">
        <f>_xlfn.XLOOKUP($N1181,'Base de Grupos'!$A:$A,'Base de Grupos'!$M:$M)</f>
        <v>HELDER DA SILVA BRUNKOW</v>
      </c>
      <c r="L1181" s="5" t="str">
        <f t="shared" si="1080"/>
        <v/>
      </c>
      <c r="M1181" s="5" t="str">
        <f>_xlfn.XLOOKUP($N1181,'Base de Grupos'!$A:$A,'Base de Grupos'!$C:$C)</f>
        <v>AC</v>
      </c>
      <c r="N1181" s="3">
        <v>1533</v>
      </c>
      <c r="O1181" s="4" t="s">
        <v>369</v>
      </c>
      <c r="P1181" s="5" t="s">
        <v>86</v>
      </c>
      <c r="Q1181" s="56">
        <v>0</v>
      </c>
      <c r="R1181" s="56">
        <v>0</v>
      </c>
      <c r="S1181" s="56">
        <v>0</v>
      </c>
      <c r="T1181" s="56">
        <f>_xlfn.XLOOKUP($N1181,'Calculo Leads'!$A$97:$A$134,'Calculo Leads'!G$97:G$134)*_xlfn.XLOOKUP($P1181,'Base Grupo de Produtos'!$E$2:$E$18,'Base Grupo de Produtos'!$F$2:$F$18)</f>
        <v>30</v>
      </c>
      <c r="U1181" s="56">
        <f>_xlfn.XLOOKUP($N1181,'Calculo Leads'!$A$97:$A$134,'Calculo Leads'!H$97:H$134)*_xlfn.XLOOKUP($P1181,'Base Grupo de Produtos'!$E$2:$E$18,'Base Grupo de Produtos'!$F$2:$F$18)</f>
        <v>30</v>
      </c>
      <c r="V1181" s="56">
        <f>_xlfn.XLOOKUP($N1181,'Calculo Leads'!$A$97:$A$134,'Calculo Leads'!I$97:I$134)*_xlfn.XLOOKUP($P1181,'Base Grupo de Produtos'!$E$2:$E$18,'Base Grupo de Produtos'!$F$2:$F$18)</f>
        <v>30</v>
      </c>
      <c r="W1181" s="56">
        <f>_xlfn.XLOOKUP($N1181,'Calculo Leads'!$A$97:$A$134,'Calculo Leads'!J$97:J$134)*_xlfn.XLOOKUP($P1181,'Base Grupo de Produtos'!$E$2:$E$18,'Base Grupo de Produtos'!$F$2:$F$18)</f>
        <v>30</v>
      </c>
      <c r="X1181" s="56">
        <f>_xlfn.XLOOKUP($N1181,'Calculo Leads'!$A$97:$A$134,'Calculo Leads'!K$97:K$134)*_xlfn.XLOOKUP($P1181,'Base Grupo de Produtos'!$E$2:$E$18,'Base Grupo de Produtos'!$F$2:$F$18)</f>
        <v>33</v>
      </c>
      <c r="Y1181" s="56">
        <f>_xlfn.XLOOKUP($N1181,'Calculo Leads'!$A$97:$A$134,'Calculo Leads'!L$97:L$134)*_xlfn.XLOOKUP($P1181,'Base Grupo de Produtos'!$E$2:$E$18,'Base Grupo de Produtos'!$F$2:$F$18)</f>
        <v>33</v>
      </c>
      <c r="Z1181" s="56">
        <f>_xlfn.XLOOKUP($N1181,'Calculo Leads'!$A$97:$A$134,'Calculo Leads'!M$97:M$134)*_xlfn.XLOOKUP($P1181,'Base Grupo de Produtos'!$E$2:$E$18,'Base Grupo de Produtos'!$F$2:$F$18)</f>
        <v>33</v>
      </c>
      <c r="AA1181" s="56">
        <f>_xlfn.XLOOKUP($N1181,'Calculo Leads'!$A$97:$A$134,'Calculo Leads'!N$97:N$134)*_xlfn.XLOOKUP($P1181,'Base Grupo de Produtos'!$E$2:$E$18,'Base Grupo de Produtos'!$F$2:$F$18)</f>
        <v>33</v>
      </c>
      <c r="AB1181" s="56">
        <f>_xlfn.XLOOKUP($N1181,'Calculo Leads'!$A$97:$A$134,'Calculo Leads'!O$97:O$134)*_xlfn.XLOOKUP($P1181,'Base Grupo de Produtos'!$E$2:$E$18,'Base Grupo de Produtos'!$F$2:$F$18)</f>
        <v>33</v>
      </c>
      <c r="AC1181" s="61">
        <f t="shared" si="1086"/>
        <v>285</v>
      </c>
      <c r="AD1181" s="28"/>
      <c r="AE1181" s="12"/>
      <c r="AF1181" s="29"/>
      <c r="AG1181" s="9"/>
      <c r="AH1181" s="10"/>
      <c r="AI1181" s="9"/>
      <c r="AJ1181" s="11"/>
      <c r="AK1181" s="9"/>
      <c r="AL1181" s="13"/>
      <c r="AM1181" s="9"/>
    </row>
    <row r="1182" spans="1:39" x14ac:dyDescent="0.3">
      <c r="A1182" s="2" t="str">
        <f t="shared" si="1079"/>
        <v>NÃO</v>
      </c>
      <c r="B1182" s="2" t="str">
        <f>_xlfn.XLOOKUP($N1182,'Base de Grupos'!$A:$A,'Base de Grupos'!$D:$D)</f>
        <v>1000065763</v>
      </c>
      <c r="C1182" s="5" t="str">
        <f>_xlfn.XLOOKUP($N1182,'Base de Grupos'!$A:$A,'Base de Grupos'!$E:$E)</f>
        <v>CANAL VENDA INTERNA</v>
      </c>
      <c r="D1182" s="5" t="str">
        <f>_xlfn.XLOOKUP($N1182,'Base de Grupos'!$A:$A,'Base de Grupos'!$F:$F)</f>
        <v>1000065763</v>
      </c>
      <c r="E1182" s="2" t="str">
        <f>_xlfn.XLOOKUP($N1182,'Base de Grupos'!$A:$A,'Base de Grupos'!$G:$G)</f>
        <v>CANAL VENDA INTERNA</v>
      </c>
      <c r="F1182" s="2" t="str">
        <f>_xlfn.XLOOKUP($N1182,'Base de Grupos'!$A:$A,'Base de Grupos'!$H:$H)</f>
        <v>1000105900</v>
      </c>
      <c r="G1182" s="5" t="str">
        <f>_xlfn.XLOOKUP($N1182,'Base de Grupos'!$A:$A,'Base de Grupos'!$I:$I)</f>
        <v>REGIONAL VENDA DIRETA CO + NE + NO</v>
      </c>
      <c r="H1182" s="5" t="str">
        <f>_xlfn.XLOOKUP($N1182,'Base de Grupos'!$A:$A,'Base de Grupos'!$J:$J)</f>
        <v>1000105900</v>
      </c>
      <c r="I1182" s="2" t="str">
        <f>_xlfn.XLOOKUP($N1182,'Base de Grupos'!$A:$A,'Base de Grupos'!$K:$K)</f>
        <v>REGIONAL VENDA DIRETA CO + NE + NO</v>
      </c>
      <c r="J1182" s="2" t="str">
        <f>_xlfn.XLOOKUP($N1182,'Base de Grupos'!$A:$A,'Base de Grupos'!$L:$L)</f>
        <v>1000150135</v>
      </c>
      <c r="K1182" s="5" t="str">
        <f>_xlfn.XLOOKUP($N1182,'Base de Grupos'!$A:$A,'Base de Grupos'!$M:$M)</f>
        <v>HELDER DA SILVA BRUNKOW</v>
      </c>
      <c r="L1182" s="5" t="str">
        <f t="shared" si="1080"/>
        <v/>
      </c>
      <c r="M1182" s="5" t="str">
        <f>_xlfn.XLOOKUP($N1182,'Base de Grupos'!$A:$A,'Base de Grupos'!$C:$C)</f>
        <v>AC</v>
      </c>
      <c r="N1182" s="3">
        <v>1533</v>
      </c>
      <c r="O1182" s="4" t="s">
        <v>369</v>
      </c>
      <c r="P1182" s="5" t="s">
        <v>108</v>
      </c>
      <c r="Q1182" s="56">
        <v>0</v>
      </c>
      <c r="R1182" s="56">
        <v>0</v>
      </c>
      <c r="S1182" s="56">
        <v>0</v>
      </c>
      <c r="T1182" s="56">
        <f>_xlfn.XLOOKUP($N1182,'Calculo Leads'!$A$97:$A$134,'Calculo Leads'!G$97:G$134)*_xlfn.XLOOKUP($P1182,'Base Grupo de Produtos'!$E$2:$E$18,'Base Grupo de Produtos'!$F$2:$F$18)</f>
        <v>250</v>
      </c>
      <c r="U1182" s="56">
        <f>_xlfn.XLOOKUP($N1182,'Calculo Leads'!$A$97:$A$134,'Calculo Leads'!H$97:H$134)*_xlfn.XLOOKUP($P1182,'Base Grupo de Produtos'!$E$2:$E$18,'Base Grupo de Produtos'!$F$2:$F$18)</f>
        <v>250</v>
      </c>
      <c r="V1182" s="56">
        <f>_xlfn.XLOOKUP($N1182,'Calculo Leads'!$A$97:$A$134,'Calculo Leads'!I$97:I$134)*_xlfn.XLOOKUP($P1182,'Base Grupo de Produtos'!$E$2:$E$18,'Base Grupo de Produtos'!$F$2:$F$18)</f>
        <v>250</v>
      </c>
      <c r="W1182" s="56">
        <f>_xlfn.XLOOKUP($N1182,'Calculo Leads'!$A$97:$A$134,'Calculo Leads'!J$97:J$134)*_xlfn.XLOOKUP($P1182,'Base Grupo de Produtos'!$E$2:$E$18,'Base Grupo de Produtos'!$F$2:$F$18)</f>
        <v>250</v>
      </c>
      <c r="X1182" s="56">
        <f>_xlfn.XLOOKUP($N1182,'Calculo Leads'!$A$97:$A$134,'Calculo Leads'!K$97:K$134)*_xlfn.XLOOKUP($P1182,'Base Grupo de Produtos'!$E$2:$E$18,'Base Grupo de Produtos'!$F$2:$F$18)</f>
        <v>275</v>
      </c>
      <c r="Y1182" s="56">
        <f>_xlfn.XLOOKUP($N1182,'Calculo Leads'!$A$97:$A$134,'Calculo Leads'!L$97:L$134)*_xlfn.XLOOKUP($P1182,'Base Grupo de Produtos'!$E$2:$E$18,'Base Grupo de Produtos'!$F$2:$F$18)</f>
        <v>275</v>
      </c>
      <c r="Z1182" s="56">
        <f>_xlfn.XLOOKUP($N1182,'Calculo Leads'!$A$97:$A$134,'Calculo Leads'!M$97:M$134)*_xlfn.XLOOKUP($P1182,'Base Grupo de Produtos'!$E$2:$E$18,'Base Grupo de Produtos'!$F$2:$F$18)</f>
        <v>275</v>
      </c>
      <c r="AA1182" s="56">
        <f>_xlfn.XLOOKUP($N1182,'Calculo Leads'!$A$97:$A$134,'Calculo Leads'!N$97:N$134)*_xlfn.XLOOKUP($P1182,'Base Grupo de Produtos'!$E$2:$E$18,'Base Grupo de Produtos'!$F$2:$F$18)</f>
        <v>275</v>
      </c>
      <c r="AB1182" s="56">
        <f>_xlfn.XLOOKUP($N1182,'Calculo Leads'!$A$97:$A$134,'Calculo Leads'!O$97:O$134)*_xlfn.XLOOKUP($P1182,'Base Grupo de Produtos'!$E$2:$E$18,'Base Grupo de Produtos'!$F$2:$F$18)</f>
        <v>275</v>
      </c>
      <c r="AC1182" s="61">
        <f t="shared" si="1086"/>
        <v>2375</v>
      </c>
      <c r="AD1182" s="28"/>
      <c r="AE1182" s="12"/>
      <c r="AF1182" s="29"/>
      <c r="AG1182" s="9"/>
      <c r="AH1182" s="10"/>
      <c r="AI1182" s="9"/>
      <c r="AJ1182" s="11"/>
      <c r="AK1182" s="9"/>
      <c r="AL1182" s="13"/>
      <c r="AM1182" s="9"/>
    </row>
    <row r="1183" spans="1:39" x14ac:dyDescent="0.3">
      <c r="A1183" s="2" t="str">
        <f t="shared" si="1079"/>
        <v>NÃO</v>
      </c>
      <c r="B1183" s="2" t="str">
        <f>_xlfn.XLOOKUP($N1183,'Base de Grupos'!$A:$A,'Base de Grupos'!$D:$D)</f>
        <v>1000065763</v>
      </c>
      <c r="C1183" s="5" t="str">
        <f>_xlfn.XLOOKUP($N1183,'Base de Grupos'!$A:$A,'Base de Grupos'!$E:$E)</f>
        <v>CANAL VENDA INTERNA</v>
      </c>
      <c r="D1183" s="5" t="str">
        <f>_xlfn.XLOOKUP($N1183,'Base de Grupos'!$A:$A,'Base de Grupos'!$F:$F)</f>
        <v>1000065763</v>
      </c>
      <c r="E1183" s="2" t="str">
        <f>_xlfn.XLOOKUP($N1183,'Base de Grupos'!$A:$A,'Base de Grupos'!$G:$G)</f>
        <v>CANAL VENDA INTERNA</v>
      </c>
      <c r="F1183" s="2" t="str">
        <f>_xlfn.XLOOKUP($N1183,'Base de Grupos'!$A:$A,'Base de Grupos'!$H:$H)</f>
        <v>1000105900</v>
      </c>
      <c r="G1183" s="5" t="str">
        <f>_xlfn.XLOOKUP($N1183,'Base de Grupos'!$A:$A,'Base de Grupos'!$I:$I)</f>
        <v>REGIONAL VENDA DIRETA CO + NE + NO</v>
      </c>
      <c r="H1183" s="5" t="str">
        <f>_xlfn.XLOOKUP($N1183,'Base de Grupos'!$A:$A,'Base de Grupos'!$J:$J)</f>
        <v>1000105900</v>
      </c>
      <c r="I1183" s="2" t="str">
        <f>_xlfn.XLOOKUP($N1183,'Base de Grupos'!$A:$A,'Base de Grupos'!$K:$K)</f>
        <v>REGIONAL VENDA DIRETA CO + NE + NO</v>
      </c>
      <c r="J1183" s="2" t="str">
        <f>_xlfn.XLOOKUP($N1183,'Base de Grupos'!$A:$A,'Base de Grupos'!$L:$L)</f>
        <v>1000150135</v>
      </c>
      <c r="K1183" s="5" t="str">
        <f>_xlfn.XLOOKUP($N1183,'Base de Grupos'!$A:$A,'Base de Grupos'!$M:$M)</f>
        <v>HELDER DA SILVA BRUNKOW</v>
      </c>
      <c r="L1183" s="5" t="str">
        <f t="shared" si="1080"/>
        <v/>
      </c>
      <c r="M1183" s="5" t="str">
        <f>_xlfn.XLOOKUP($N1183,'Base de Grupos'!$A:$A,'Base de Grupos'!$C:$C)</f>
        <v>AC</v>
      </c>
      <c r="N1183" s="3">
        <v>1533</v>
      </c>
      <c r="O1183" s="4" t="s">
        <v>369</v>
      </c>
      <c r="P1183" s="5" t="s">
        <v>89</v>
      </c>
      <c r="Q1183" s="56">
        <v>0</v>
      </c>
      <c r="R1183" s="56">
        <v>0</v>
      </c>
      <c r="S1183" s="56">
        <v>0</v>
      </c>
      <c r="T1183" s="56">
        <f>_xlfn.XLOOKUP($N1183,'Calculo Leads'!$A$97:$A$134,'Calculo Leads'!G$97:G$134)*_xlfn.XLOOKUP($P1183,'Base Grupo de Produtos'!$E$2:$E$18,'Base Grupo de Produtos'!$F$2:$F$18)</f>
        <v>50</v>
      </c>
      <c r="U1183" s="56">
        <f>_xlfn.XLOOKUP($N1183,'Calculo Leads'!$A$97:$A$134,'Calculo Leads'!H$97:H$134)*_xlfn.XLOOKUP($P1183,'Base Grupo de Produtos'!$E$2:$E$18,'Base Grupo de Produtos'!$F$2:$F$18)</f>
        <v>50</v>
      </c>
      <c r="V1183" s="56">
        <f>_xlfn.XLOOKUP($N1183,'Calculo Leads'!$A$97:$A$134,'Calculo Leads'!I$97:I$134)*_xlfn.XLOOKUP($P1183,'Base Grupo de Produtos'!$E$2:$E$18,'Base Grupo de Produtos'!$F$2:$F$18)</f>
        <v>50</v>
      </c>
      <c r="W1183" s="56">
        <f>_xlfn.XLOOKUP($N1183,'Calculo Leads'!$A$97:$A$134,'Calculo Leads'!J$97:J$134)*_xlfn.XLOOKUP($P1183,'Base Grupo de Produtos'!$E$2:$E$18,'Base Grupo de Produtos'!$F$2:$F$18)</f>
        <v>50</v>
      </c>
      <c r="X1183" s="56">
        <f>_xlfn.XLOOKUP($N1183,'Calculo Leads'!$A$97:$A$134,'Calculo Leads'!K$97:K$134)*_xlfn.XLOOKUP($P1183,'Base Grupo de Produtos'!$E$2:$E$18,'Base Grupo de Produtos'!$F$2:$F$18)</f>
        <v>55</v>
      </c>
      <c r="Y1183" s="56">
        <f>_xlfn.XLOOKUP($N1183,'Calculo Leads'!$A$97:$A$134,'Calculo Leads'!L$97:L$134)*_xlfn.XLOOKUP($P1183,'Base Grupo de Produtos'!$E$2:$E$18,'Base Grupo de Produtos'!$F$2:$F$18)</f>
        <v>55</v>
      </c>
      <c r="Z1183" s="56">
        <f>_xlfn.XLOOKUP($N1183,'Calculo Leads'!$A$97:$A$134,'Calculo Leads'!M$97:M$134)*_xlfn.XLOOKUP($P1183,'Base Grupo de Produtos'!$E$2:$E$18,'Base Grupo de Produtos'!$F$2:$F$18)</f>
        <v>55</v>
      </c>
      <c r="AA1183" s="56">
        <f>_xlfn.XLOOKUP($N1183,'Calculo Leads'!$A$97:$A$134,'Calculo Leads'!N$97:N$134)*_xlfn.XLOOKUP($P1183,'Base Grupo de Produtos'!$E$2:$E$18,'Base Grupo de Produtos'!$F$2:$F$18)</f>
        <v>55</v>
      </c>
      <c r="AB1183" s="56">
        <f>_xlfn.XLOOKUP($N1183,'Calculo Leads'!$A$97:$A$134,'Calculo Leads'!O$97:O$134)*_xlfn.XLOOKUP($P1183,'Base Grupo de Produtos'!$E$2:$E$18,'Base Grupo de Produtos'!$F$2:$F$18)</f>
        <v>55</v>
      </c>
      <c r="AC1183" s="61">
        <f t="shared" si="1086"/>
        <v>475</v>
      </c>
      <c r="AD1183" s="28"/>
      <c r="AE1183" s="12"/>
      <c r="AF1183" s="29"/>
      <c r="AG1183" s="9"/>
      <c r="AH1183" s="10"/>
      <c r="AI1183" s="9"/>
      <c r="AJ1183" s="11"/>
      <c r="AK1183" s="9"/>
      <c r="AL1183" s="13"/>
      <c r="AM1183" s="9"/>
    </row>
    <row r="1184" spans="1:39" x14ac:dyDescent="0.3">
      <c r="A1184" s="2" t="str">
        <f t="shared" si="1079"/>
        <v>NÃO</v>
      </c>
      <c r="B1184" s="2" t="str">
        <f>_xlfn.XLOOKUP($N1184,'Base de Grupos'!$A:$A,'Base de Grupos'!$D:$D)</f>
        <v>1000065763</v>
      </c>
      <c r="C1184" s="5" t="str">
        <f>_xlfn.XLOOKUP($N1184,'Base de Grupos'!$A:$A,'Base de Grupos'!$E:$E)</f>
        <v>CANAL VENDA INTERNA</v>
      </c>
      <c r="D1184" s="5" t="str">
        <f>_xlfn.XLOOKUP($N1184,'Base de Grupos'!$A:$A,'Base de Grupos'!$F:$F)</f>
        <v>1000065763</v>
      </c>
      <c r="E1184" s="2" t="str">
        <f>_xlfn.XLOOKUP($N1184,'Base de Grupos'!$A:$A,'Base de Grupos'!$G:$G)</f>
        <v>CANAL VENDA INTERNA</v>
      </c>
      <c r="F1184" s="2" t="str">
        <f>_xlfn.XLOOKUP($N1184,'Base de Grupos'!$A:$A,'Base de Grupos'!$H:$H)</f>
        <v>1000105900</v>
      </c>
      <c r="G1184" s="5" t="str">
        <f>_xlfn.XLOOKUP($N1184,'Base de Grupos'!$A:$A,'Base de Grupos'!$I:$I)</f>
        <v>REGIONAL VENDA DIRETA CO + NE + NO</v>
      </c>
      <c r="H1184" s="5" t="str">
        <f>_xlfn.XLOOKUP($N1184,'Base de Grupos'!$A:$A,'Base de Grupos'!$J:$J)</f>
        <v>1000105900</v>
      </c>
      <c r="I1184" s="2" t="str">
        <f>_xlfn.XLOOKUP($N1184,'Base de Grupos'!$A:$A,'Base de Grupos'!$K:$K)</f>
        <v>REGIONAL VENDA DIRETA CO + NE + NO</v>
      </c>
      <c r="J1184" s="2" t="str">
        <f>_xlfn.XLOOKUP($N1184,'Base de Grupos'!$A:$A,'Base de Grupos'!$L:$L)</f>
        <v>1000150135</v>
      </c>
      <c r="K1184" s="5" t="str">
        <f>_xlfn.XLOOKUP($N1184,'Base de Grupos'!$A:$A,'Base de Grupos'!$M:$M)</f>
        <v>HELDER DA SILVA BRUNKOW</v>
      </c>
      <c r="L1184" s="5" t="str">
        <f t="shared" si="1080"/>
        <v/>
      </c>
      <c r="M1184" s="5" t="str">
        <f>_xlfn.XLOOKUP($N1184,'Base de Grupos'!$A:$A,'Base de Grupos'!$C:$C)</f>
        <v>AC</v>
      </c>
      <c r="N1184" s="3">
        <v>1533</v>
      </c>
      <c r="O1184" s="4" t="s">
        <v>369</v>
      </c>
      <c r="P1184" s="5" t="s">
        <v>88</v>
      </c>
      <c r="Q1184" s="56">
        <v>0</v>
      </c>
      <c r="R1184" s="56">
        <v>0</v>
      </c>
      <c r="S1184" s="56">
        <v>0</v>
      </c>
      <c r="T1184" s="56">
        <f>_xlfn.XLOOKUP($N1184,'Calculo Leads'!$A$97:$A$134,'Calculo Leads'!G$97:G$134)*_xlfn.XLOOKUP($P1184,'Base Grupo de Produtos'!$E$2:$E$18,'Base Grupo de Produtos'!$F$2:$F$18)</f>
        <v>50</v>
      </c>
      <c r="U1184" s="56">
        <f>_xlfn.XLOOKUP($N1184,'Calculo Leads'!$A$97:$A$134,'Calculo Leads'!H$97:H$134)*_xlfn.XLOOKUP($P1184,'Base Grupo de Produtos'!$E$2:$E$18,'Base Grupo de Produtos'!$F$2:$F$18)</f>
        <v>50</v>
      </c>
      <c r="V1184" s="56">
        <f>_xlfn.XLOOKUP($N1184,'Calculo Leads'!$A$97:$A$134,'Calculo Leads'!I$97:I$134)*_xlfn.XLOOKUP($P1184,'Base Grupo de Produtos'!$E$2:$E$18,'Base Grupo de Produtos'!$F$2:$F$18)</f>
        <v>50</v>
      </c>
      <c r="W1184" s="56">
        <f>_xlfn.XLOOKUP($N1184,'Calculo Leads'!$A$97:$A$134,'Calculo Leads'!J$97:J$134)*_xlfn.XLOOKUP($P1184,'Base Grupo de Produtos'!$E$2:$E$18,'Base Grupo de Produtos'!$F$2:$F$18)</f>
        <v>50</v>
      </c>
      <c r="X1184" s="56">
        <f>_xlfn.XLOOKUP($N1184,'Calculo Leads'!$A$97:$A$134,'Calculo Leads'!K$97:K$134)*_xlfn.XLOOKUP($P1184,'Base Grupo de Produtos'!$E$2:$E$18,'Base Grupo de Produtos'!$F$2:$F$18)</f>
        <v>55</v>
      </c>
      <c r="Y1184" s="56">
        <f>_xlfn.XLOOKUP($N1184,'Calculo Leads'!$A$97:$A$134,'Calculo Leads'!L$97:L$134)*_xlfn.XLOOKUP($P1184,'Base Grupo de Produtos'!$E$2:$E$18,'Base Grupo de Produtos'!$F$2:$F$18)</f>
        <v>55</v>
      </c>
      <c r="Z1184" s="56">
        <f>_xlfn.XLOOKUP($N1184,'Calculo Leads'!$A$97:$A$134,'Calculo Leads'!M$97:M$134)*_xlfn.XLOOKUP($P1184,'Base Grupo de Produtos'!$E$2:$E$18,'Base Grupo de Produtos'!$F$2:$F$18)</f>
        <v>55</v>
      </c>
      <c r="AA1184" s="56">
        <f>_xlfn.XLOOKUP($N1184,'Calculo Leads'!$A$97:$A$134,'Calculo Leads'!N$97:N$134)*_xlfn.XLOOKUP($P1184,'Base Grupo de Produtos'!$E$2:$E$18,'Base Grupo de Produtos'!$F$2:$F$18)</f>
        <v>55</v>
      </c>
      <c r="AB1184" s="56">
        <f>_xlfn.XLOOKUP($N1184,'Calculo Leads'!$A$97:$A$134,'Calculo Leads'!O$97:O$134)*_xlfn.XLOOKUP($P1184,'Base Grupo de Produtos'!$E$2:$E$18,'Base Grupo de Produtos'!$F$2:$F$18)</f>
        <v>55</v>
      </c>
      <c r="AC1184" s="61">
        <f t="shared" si="1086"/>
        <v>475</v>
      </c>
      <c r="AD1184" s="28"/>
      <c r="AE1184" s="12"/>
      <c r="AF1184" s="29"/>
      <c r="AG1184" s="9"/>
      <c r="AH1184" s="10"/>
      <c r="AI1184" s="9"/>
      <c r="AJ1184" s="11"/>
      <c r="AK1184" s="9"/>
      <c r="AL1184" s="13"/>
      <c r="AM1184" s="9"/>
    </row>
    <row r="1185" spans="1:39" x14ac:dyDescent="0.3">
      <c r="A1185" s="2" t="str">
        <f t="shared" si="1079"/>
        <v>NÃO</v>
      </c>
      <c r="B1185" s="2" t="str">
        <f>_xlfn.XLOOKUP($N1185,'Base de Grupos'!$A:$A,'Base de Grupos'!$D:$D)</f>
        <v>1000065763</v>
      </c>
      <c r="C1185" s="5" t="str">
        <f>_xlfn.XLOOKUP($N1185,'Base de Grupos'!$A:$A,'Base de Grupos'!$E:$E)</f>
        <v>CANAL VENDA INTERNA</v>
      </c>
      <c r="D1185" s="5" t="str">
        <f>_xlfn.XLOOKUP($N1185,'Base de Grupos'!$A:$A,'Base de Grupos'!$F:$F)</f>
        <v>1000065763</v>
      </c>
      <c r="E1185" s="2" t="str">
        <f>_xlfn.XLOOKUP($N1185,'Base de Grupos'!$A:$A,'Base de Grupos'!$G:$G)</f>
        <v>CANAL VENDA INTERNA</v>
      </c>
      <c r="F1185" s="2" t="str">
        <f>_xlfn.XLOOKUP($N1185,'Base de Grupos'!$A:$A,'Base de Grupos'!$H:$H)</f>
        <v>1000105900</v>
      </c>
      <c r="G1185" s="5" t="str">
        <f>_xlfn.XLOOKUP($N1185,'Base de Grupos'!$A:$A,'Base de Grupos'!$I:$I)</f>
        <v>REGIONAL VENDA DIRETA CO + NE + NO</v>
      </c>
      <c r="H1185" s="5" t="str">
        <f>_xlfn.XLOOKUP($N1185,'Base de Grupos'!$A:$A,'Base de Grupos'!$J:$J)</f>
        <v>1000105900</v>
      </c>
      <c r="I1185" s="2" t="str">
        <f>_xlfn.XLOOKUP($N1185,'Base de Grupos'!$A:$A,'Base de Grupos'!$K:$K)</f>
        <v>REGIONAL VENDA DIRETA CO + NE + NO</v>
      </c>
      <c r="J1185" s="2" t="str">
        <f>_xlfn.XLOOKUP($N1185,'Base de Grupos'!$A:$A,'Base de Grupos'!$L:$L)</f>
        <v>1000150135</v>
      </c>
      <c r="K1185" s="5" t="str">
        <f>_xlfn.XLOOKUP($N1185,'Base de Grupos'!$A:$A,'Base de Grupos'!$M:$M)</f>
        <v>HELDER DA SILVA BRUNKOW</v>
      </c>
      <c r="L1185" s="5" t="str">
        <f t="shared" si="1080"/>
        <v/>
      </c>
      <c r="M1185" s="5" t="str">
        <f>_xlfn.XLOOKUP($N1185,'Base de Grupos'!$A:$A,'Base de Grupos'!$C:$C)</f>
        <v>AC</v>
      </c>
      <c r="N1185" s="3">
        <v>1533</v>
      </c>
      <c r="O1185" s="4" t="s">
        <v>369</v>
      </c>
      <c r="P1185" s="5" t="s">
        <v>90</v>
      </c>
      <c r="Q1185" s="56">
        <v>0</v>
      </c>
      <c r="R1185" s="56">
        <v>0</v>
      </c>
      <c r="S1185" s="56">
        <v>0</v>
      </c>
      <c r="T1185" s="56">
        <f>_xlfn.XLOOKUP($N1185,'Calculo Leads'!$A$97:$A$134,'Calculo Leads'!G$97:G$134)*_xlfn.XLOOKUP($P1185,'Base Grupo de Produtos'!$E$2:$E$18,'Base Grupo de Produtos'!$F$2:$F$18)</f>
        <v>50</v>
      </c>
      <c r="U1185" s="56">
        <f>_xlfn.XLOOKUP($N1185,'Calculo Leads'!$A$97:$A$134,'Calculo Leads'!H$97:H$134)*_xlfn.XLOOKUP($P1185,'Base Grupo de Produtos'!$E$2:$E$18,'Base Grupo de Produtos'!$F$2:$F$18)</f>
        <v>50</v>
      </c>
      <c r="V1185" s="56">
        <f>_xlfn.XLOOKUP($N1185,'Calculo Leads'!$A$97:$A$134,'Calculo Leads'!I$97:I$134)*_xlfn.XLOOKUP($P1185,'Base Grupo de Produtos'!$E$2:$E$18,'Base Grupo de Produtos'!$F$2:$F$18)</f>
        <v>50</v>
      </c>
      <c r="W1185" s="56">
        <f>_xlfn.XLOOKUP($N1185,'Calculo Leads'!$A$97:$A$134,'Calculo Leads'!J$97:J$134)*_xlfn.XLOOKUP($P1185,'Base Grupo de Produtos'!$E$2:$E$18,'Base Grupo de Produtos'!$F$2:$F$18)</f>
        <v>50</v>
      </c>
      <c r="X1185" s="56">
        <f>_xlfn.XLOOKUP($N1185,'Calculo Leads'!$A$97:$A$134,'Calculo Leads'!K$97:K$134)*_xlfn.XLOOKUP($P1185,'Base Grupo de Produtos'!$E$2:$E$18,'Base Grupo de Produtos'!$F$2:$F$18)</f>
        <v>55</v>
      </c>
      <c r="Y1185" s="56">
        <f>_xlfn.XLOOKUP($N1185,'Calculo Leads'!$A$97:$A$134,'Calculo Leads'!L$97:L$134)*_xlfn.XLOOKUP($P1185,'Base Grupo de Produtos'!$E$2:$E$18,'Base Grupo de Produtos'!$F$2:$F$18)</f>
        <v>55</v>
      </c>
      <c r="Z1185" s="56">
        <f>_xlfn.XLOOKUP($N1185,'Calculo Leads'!$A$97:$A$134,'Calculo Leads'!M$97:M$134)*_xlfn.XLOOKUP($P1185,'Base Grupo de Produtos'!$E$2:$E$18,'Base Grupo de Produtos'!$F$2:$F$18)</f>
        <v>55</v>
      </c>
      <c r="AA1185" s="56">
        <f>_xlfn.XLOOKUP($N1185,'Calculo Leads'!$A$97:$A$134,'Calculo Leads'!N$97:N$134)*_xlfn.XLOOKUP($P1185,'Base Grupo de Produtos'!$E$2:$E$18,'Base Grupo de Produtos'!$F$2:$F$18)</f>
        <v>55</v>
      </c>
      <c r="AB1185" s="56">
        <f>_xlfn.XLOOKUP($N1185,'Calculo Leads'!$A$97:$A$134,'Calculo Leads'!O$97:O$134)*_xlfn.XLOOKUP($P1185,'Base Grupo de Produtos'!$E$2:$E$18,'Base Grupo de Produtos'!$F$2:$F$18)</f>
        <v>55</v>
      </c>
      <c r="AC1185" s="61">
        <f t="shared" si="1086"/>
        <v>475</v>
      </c>
      <c r="AD1185" s="28"/>
      <c r="AE1185" s="12"/>
      <c r="AF1185" s="29"/>
      <c r="AG1185" s="9"/>
      <c r="AH1185" s="10"/>
      <c r="AI1185" s="9"/>
      <c r="AJ1185" s="11"/>
      <c r="AK1185" s="9"/>
      <c r="AL1185" s="13"/>
      <c r="AM1185" s="9"/>
    </row>
    <row r="1186" spans="1:39" x14ac:dyDescent="0.3">
      <c r="A1186" s="2" t="str">
        <f t="shared" si="1079"/>
        <v>NÃO</v>
      </c>
      <c r="B1186" s="2" t="str">
        <f>_xlfn.XLOOKUP($N1186,'Base de Grupos'!$A:$A,'Base de Grupos'!$D:$D)</f>
        <v>1000065763</v>
      </c>
      <c r="C1186" s="5" t="str">
        <f>_xlfn.XLOOKUP($N1186,'Base de Grupos'!$A:$A,'Base de Grupos'!$E:$E)</f>
        <v>CANAL VENDA INTERNA</v>
      </c>
      <c r="D1186" s="5" t="str">
        <f>_xlfn.XLOOKUP($N1186,'Base de Grupos'!$A:$A,'Base de Grupos'!$F:$F)</f>
        <v>1000065763</v>
      </c>
      <c r="E1186" s="2" t="str">
        <f>_xlfn.XLOOKUP($N1186,'Base de Grupos'!$A:$A,'Base de Grupos'!$G:$G)</f>
        <v>CANAL VENDA INTERNA</v>
      </c>
      <c r="F1186" s="2" t="str">
        <f>_xlfn.XLOOKUP($N1186,'Base de Grupos'!$A:$A,'Base de Grupos'!$H:$H)</f>
        <v>1000105900</v>
      </c>
      <c r="G1186" s="5" t="str">
        <f>_xlfn.XLOOKUP($N1186,'Base de Grupos'!$A:$A,'Base de Grupos'!$I:$I)</f>
        <v>REGIONAL VENDA DIRETA CO + NE + NO</v>
      </c>
      <c r="H1186" s="5" t="str">
        <f>_xlfn.XLOOKUP($N1186,'Base de Grupos'!$A:$A,'Base de Grupos'!$J:$J)</f>
        <v>1000105900</v>
      </c>
      <c r="I1186" s="2" t="str">
        <f>_xlfn.XLOOKUP($N1186,'Base de Grupos'!$A:$A,'Base de Grupos'!$K:$K)</f>
        <v>REGIONAL VENDA DIRETA CO + NE + NO</v>
      </c>
      <c r="J1186" s="2" t="str">
        <f>_xlfn.XLOOKUP($N1186,'Base de Grupos'!$A:$A,'Base de Grupos'!$L:$L)</f>
        <v>1000150135</v>
      </c>
      <c r="K1186" s="5" t="str">
        <f>_xlfn.XLOOKUP($N1186,'Base de Grupos'!$A:$A,'Base de Grupos'!$M:$M)</f>
        <v>HELDER DA SILVA BRUNKOW</v>
      </c>
      <c r="L1186" s="5" t="str">
        <f t="shared" si="1080"/>
        <v/>
      </c>
      <c r="M1186" s="5" t="str">
        <f>_xlfn.XLOOKUP($N1186,'Base de Grupos'!$A:$A,'Base de Grupos'!$C:$C)</f>
        <v>AC</v>
      </c>
      <c r="N1186" s="3">
        <v>1533</v>
      </c>
      <c r="O1186" s="4" t="s">
        <v>369</v>
      </c>
      <c r="P1186" s="5" t="s">
        <v>91</v>
      </c>
      <c r="Q1186" s="56">
        <v>0</v>
      </c>
      <c r="R1186" s="56">
        <v>0</v>
      </c>
      <c r="S1186" s="56">
        <v>0</v>
      </c>
      <c r="T1186" s="56">
        <f>_xlfn.XLOOKUP($N1186,'Calculo Leads'!$A$97:$A$134,'Calculo Leads'!G$97:G$134)*_xlfn.XLOOKUP($P1186,'Base Grupo de Produtos'!$E$2:$E$18,'Base Grupo de Produtos'!$F$2:$F$18)</f>
        <v>0</v>
      </c>
      <c r="U1186" s="56">
        <f>_xlfn.XLOOKUP($N1186,'Calculo Leads'!$A$97:$A$134,'Calculo Leads'!H$97:H$134)*_xlfn.XLOOKUP($P1186,'Base Grupo de Produtos'!$E$2:$E$18,'Base Grupo de Produtos'!$F$2:$F$18)</f>
        <v>0</v>
      </c>
      <c r="V1186" s="56">
        <f>_xlfn.XLOOKUP($N1186,'Calculo Leads'!$A$97:$A$134,'Calculo Leads'!I$97:I$134)*_xlfn.XLOOKUP($P1186,'Base Grupo de Produtos'!$E$2:$E$18,'Base Grupo de Produtos'!$F$2:$F$18)</f>
        <v>0</v>
      </c>
      <c r="W1186" s="56">
        <f>_xlfn.XLOOKUP($N1186,'Calculo Leads'!$A$97:$A$134,'Calculo Leads'!J$97:J$134)*_xlfn.XLOOKUP($P1186,'Base Grupo de Produtos'!$E$2:$E$18,'Base Grupo de Produtos'!$F$2:$F$18)</f>
        <v>0</v>
      </c>
      <c r="X1186" s="56">
        <f>_xlfn.XLOOKUP($N1186,'Calculo Leads'!$A$97:$A$134,'Calculo Leads'!K$97:K$134)*_xlfn.XLOOKUP($P1186,'Base Grupo de Produtos'!$E$2:$E$18,'Base Grupo de Produtos'!$F$2:$F$18)</f>
        <v>0</v>
      </c>
      <c r="Y1186" s="56">
        <f>_xlfn.XLOOKUP($N1186,'Calculo Leads'!$A$97:$A$134,'Calculo Leads'!L$97:L$134)*_xlfn.XLOOKUP($P1186,'Base Grupo de Produtos'!$E$2:$E$18,'Base Grupo de Produtos'!$F$2:$F$18)</f>
        <v>0</v>
      </c>
      <c r="Z1186" s="56">
        <f>_xlfn.XLOOKUP($N1186,'Calculo Leads'!$A$97:$A$134,'Calculo Leads'!M$97:M$134)*_xlfn.XLOOKUP($P1186,'Base Grupo de Produtos'!$E$2:$E$18,'Base Grupo de Produtos'!$F$2:$F$18)</f>
        <v>0</v>
      </c>
      <c r="AA1186" s="56">
        <f>_xlfn.XLOOKUP($N1186,'Calculo Leads'!$A$97:$A$134,'Calculo Leads'!N$97:N$134)*_xlfn.XLOOKUP($P1186,'Base Grupo de Produtos'!$E$2:$E$18,'Base Grupo de Produtos'!$F$2:$F$18)</f>
        <v>0</v>
      </c>
      <c r="AB1186" s="56">
        <f>_xlfn.XLOOKUP($N1186,'Calculo Leads'!$A$97:$A$134,'Calculo Leads'!O$97:O$134)*_xlfn.XLOOKUP($P1186,'Base Grupo de Produtos'!$E$2:$E$18,'Base Grupo de Produtos'!$F$2:$F$18)</f>
        <v>0</v>
      </c>
      <c r="AC1186" s="61">
        <f t="shared" si="1086"/>
        <v>0</v>
      </c>
      <c r="AD1186" s="28"/>
      <c r="AE1186" s="12"/>
      <c r="AF1186" s="29"/>
      <c r="AG1186" s="9"/>
      <c r="AH1186" s="10"/>
      <c r="AI1186" s="9"/>
      <c r="AJ1186" s="11"/>
      <c r="AK1186" s="9"/>
      <c r="AL1186" s="13"/>
      <c r="AM1186" s="9"/>
    </row>
    <row r="1187" spans="1:39" x14ac:dyDescent="0.3">
      <c r="A1187" s="2" t="str">
        <f t="shared" si="1079"/>
        <v>NÃO</v>
      </c>
      <c r="B1187" s="2" t="str">
        <f>_xlfn.XLOOKUP($N1187,'Base de Grupos'!$A:$A,'Base de Grupos'!$D:$D)</f>
        <v>1000065763</v>
      </c>
      <c r="C1187" s="5" t="str">
        <f>_xlfn.XLOOKUP($N1187,'Base de Grupos'!$A:$A,'Base de Grupos'!$E:$E)</f>
        <v>CANAL VENDA INTERNA</v>
      </c>
      <c r="D1187" s="5" t="str">
        <f>_xlfn.XLOOKUP($N1187,'Base de Grupos'!$A:$A,'Base de Grupos'!$F:$F)</f>
        <v>1000065763</v>
      </c>
      <c r="E1187" s="2" t="str">
        <f>_xlfn.XLOOKUP($N1187,'Base de Grupos'!$A:$A,'Base de Grupos'!$G:$G)</f>
        <v>CANAL VENDA INTERNA</v>
      </c>
      <c r="F1187" s="2" t="str">
        <f>_xlfn.XLOOKUP($N1187,'Base de Grupos'!$A:$A,'Base de Grupos'!$H:$H)</f>
        <v>1000105900</v>
      </c>
      <c r="G1187" s="5" t="str">
        <f>_xlfn.XLOOKUP($N1187,'Base de Grupos'!$A:$A,'Base de Grupos'!$I:$I)</f>
        <v>REGIONAL VENDA DIRETA CO + NE + NO</v>
      </c>
      <c r="H1187" s="5" t="str">
        <f>_xlfn.XLOOKUP($N1187,'Base de Grupos'!$A:$A,'Base de Grupos'!$J:$J)</f>
        <v>1000105900</v>
      </c>
      <c r="I1187" s="2" t="str">
        <f>_xlfn.XLOOKUP($N1187,'Base de Grupos'!$A:$A,'Base de Grupos'!$K:$K)</f>
        <v>REGIONAL VENDA DIRETA CO + NE + NO</v>
      </c>
      <c r="J1187" s="2" t="str">
        <f>_xlfn.XLOOKUP($N1187,'Base de Grupos'!$A:$A,'Base de Grupos'!$L:$L)</f>
        <v>1000150135</v>
      </c>
      <c r="K1187" s="5" t="str">
        <f>_xlfn.XLOOKUP($N1187,'Base de Grupos'!$A:$A,'Base de Grupos'!$M:$M)</f>
        <v>HELDER DA SILVA BRUNKOW</v>
      </c>
      <c r="L1187" s="5" t="str">
        <f t="shared" si="1080"/>
        <v/>
      </c>
      <c r="M1187" s="5" t="str">
        <f>_xlfn.XLOOKUP($N1187,'Base de Grupos'!$A:$A,'Base de Grupos'!$C:$C)</f>
        <v>AC</v>
      </c>
      <c r="N1187" s="3">
        <v>1533</v>
      </c>
      <c r="O1187" s="4" t="s">
        <v>369</v>
      </c>
      <c r="P1187" s="5" t="s">
        <v>96</v>
      </c>
      <c r="Q1187" s="56">
        <v>0</v>
      </c>
      <c r="R1187" s="56">
        <v>0</v>
      </c>
      <c r="S1187" s="56">
        <v>0</v>
      </c>
      <c r="T1187" s="56">
        <f>_xlfn.XLOOKUP($N1187,'Calculo Leads'!$A$97:$A$134,'Calculo Leads'!G$97:G$134)*_xlfn.XLOOKUP($P1187,'Base Grupo de Produtos'!$E$2:$E$18,'Base Grupo de Produtos'!$F$2:$F$18)</f>
        <v>70</v>
      </c>
      <c r="U1187" s="56">
        <f>_xlfn.XLOOKUP($N1187,'Calculo Leads'!$A$97:$A$134,'Calculo Leads'!H$97:H$134)*_xlfn.XLOOKUP($P1187,'Base Grupo de Produtos'!$E$2:$E$18,'Base Grupo de Produtos'!$F$2:$F$18)</f>
        <v>70</v>
      </c>
      <c r="V1187" s="56">
        <f>_xlfn.XLOOKUP($N1187,'Calculo Leads'!$A$97:$A$134,'Calculo Leads'!I$97:I$134)*_xlfn.XLOOKUP($P1187,'Base Grupo de Produtos'!$E$2:$E$18,'Base Grupo de Produtos'!$F$2:$F$18)</f>
        <v>70</v>
      </c>
      <c r="W1187" s="56">
        <f>_xlfn.XLOOKUP($N1187,'Calculo Leads'!$A$97:$A$134,'Calculo Leads'!J$97:J$134)*_xlfn.XLOOKUP($P1187,'Base Grupo de Produtos'!$E$2:$E$18,'Base Grupo de Produtos'!$F$2:$F$18)</f>
        <v>70</v>
      </c>
      <c r="X1187" s="56">
        <f>_xlfn.XLOOKUP($N1187,'Calculo Leads'!$A$97:$A$134,'Calculo Leads'!K$97:K$134)*_xlfn.XLOOKUP($P1187,'Base Grupo de Produtos'!$E$2:$E$18,'Base Grupo de Produtos'!$F$2:$F$18)</f>
        <v>77.000000000000014</v>
      </c>
      <c r="Y1187" s="56">
        <f>_xlfn.XLOOKUP($N1187,'Calculo Leads'!$A$97:$A$134,'Calculo Leads'!L$97:L$134)*_xlfn.XLOOKUP($P1187,'Base Grupo de Produtos'!$E$2:$E$18,'Base Grupo de Produtos'!$F$2:$F$18)</f>
        <v>77.000000000000014</v>
      </c>
      <c r="Z1187" s="56">
        <f>_xlfn.XLOOKUP($N1187,'Calculo Leads'!$A$97:$A$134,'Calculo Leads'!M$97:M$134)*_xlfn.XLOOKUP($P1187,'Base Grupo de Produtos'!$E$2:$E$18,'Base Grupo de Produtos'!$F$2:$F$18)</f>
        <v>77.000000000000014</v>
      </c>
      <c r="AA1187" s="56">
        <f>_xlfn.XLOOKUP($N1187,'Calculo Leads'!$A$97:$A$134,'Calculo Leads'!N$97:N$134)*_xlfn.XLOOKUP($P1187,'Base Grupo de Produtos'!$E$2:$E$18,'Base Grupo de Produtos'!$F$2:$F$18)</f>
        <v>77.000000000000014</v>
      </c>
      <c r="AB1187" s="56">
        <f>_xlfn.XLOOKUP($N1187,'Calculo Leads'!$A$97:$A$134,'Calculo Leads'!O$97:O$134)*_xlfn.XLOOKUP($P1187,'Base Grupo de Produtos'!$E$2:$E$18,'Base Grupo de Produtos'!$F$2:$F$18)</f>
        <v>77.000000000000014</v>
      </c>
      <c r="AC1187" s="61">
        <f t="shared" si="1086"/>
        <v>665</v>
      </c>
      <c r="AD1187" s="28"/>
      <c r="AE1187" s="12"/>
      <c r="AF1187" s="29"/>
      <c r="AG1187" s="9"/>
      <c r="AH1187" s="10"/>
      <c r="AI1187" s="9"/>
      <c r="AJ1187" s="11"/>
      <c r="AK1187" s="9"/>
      <c r="AL1187" s="13"/>
      <c r="AM1187" s="9"/>
    </row>
    <row r="1188" spans="1:39" x14ac:dyDescent="0.3">
      <c r="A1188" s="2" t="str">
        <f t="shared" si="1079"/>
        <v>NÃO</v>
      </c>
      <c r="B1188" s="2" t="str">
        <f>_xlfn.XLOOKUP($N1188,'Base de Grupos'!$A:$A,'Base de Grupos'!$D:$D)</f>
        <v>1000065763</v>
      </c>
      <c r="C1188" s="5" t="str">
        <f>_xlfn.XLOOKUP($N1188,'Base de Grupos'!$A:$A,'Base de Grupos'!$E:$E)</f>
        <v>CANAL VENDA INTERNA</v>
      </c>
      <c r="D1188" s="5" t="str">
        <f>_xlfn.XLOOKUP($N1188,'Base de Grupos'!$A:$A,'Base de Grupos'!$F:$F)</f>
        <v>1000065763</v>
      </c>
      <c r="E1188" s="2" t="str">
        <f>_xlfn.XLOOKUP($N1188,'Base de Grupos'!$A:$A,'Base de Grupos'!$G:$G)</f>
        <v>CANAL VENDA INTERNA</v>
      </c>
      <c r="F1188" s="2" t="str">
        <f>_xlfn.XLOOKUP($N1188,'Base de Grupos'!$A:$A,'Base de Grupos'!$H:$H)</f>
        <v>1000105900</v>
      </c>
      <c r="G1188" s="5" t="str">
        <f>_xlfn.XLOOKUP($N1188,'Base de Grupos'!$A:$A,'Base de Grupos'!$I:$I)</f>
        <v>REGIONAL VENDA DIRETA CO + NE + NO</v>
      </c>
      <c r="H1188" s="5" t="str">
        <f>_xlfn.XLOOKUP($N1188,'Base de Grupos'!$A:$A,'Base de Grupos'!$J:$J)</f>
        <v>1000105900</v>
      </c>
      <c r="I1188" s="2" t="str">
        <f>_xlfn.XLOOKUP($N1188,'Base de Grupos'!$A:$A,'Base de Grupos'!$K:$K)</f>
        <v>REGIONAL VENDA DIRETA CO + NE + NO</v>
      </c>
      <c r="J1188" s="2" t="str">
        <f>_xlfn.XLOOKUP($N1188,'Base de Grupos'!$A:$A,'Base de Grupos'!$L:$L)</f>
        <v>1000150135</v>
      </c>
      <c r="K1188" s="5" t="str">
        <f>_xlfn.XLOOKUP($N1188,'Base de Grupos'!$A:$A,'Base de Grupos'!$M:$M)</f>
        <v>HELDER DA SILVA BRUNKOW</v>
      </c>
      <c r="L1188" s="5" t="str">
        <f t="shared" si="1080"/>
        <v/>
      </c>
      <c r="M1188" s="5" t="str">
        <f>_xlfn.XLOOKUP($N1188,'Base de Grupos'!$A:$A,'Base de Grupos'!$C:$C)</f>
        <v>AC</v>
      </c>
      <c r="N1188" s="3">
        <v>1533</v>
      </c>
      <c r="O1188" s="4" t="s">
        <v>369</v>
      </c>
      <c r="P1188" s="5" t="s">
        <v>94</v>
      </c>
      <c r="Q1188" s="56">
        <v>0</v>
      </c>
      <c r="R1188" s="56">
        <v>0</v>
      </c>
      <c r="S1188" s="56">
        <v>0</v>
      </c>
      <c r="T1188" s="56">
        <f>_xlfn.XLOOKUP($N1188,'Calculo Leads'!$A$97:$A$134,'Calculo Leads'!G$97:G$134)*_xlfn.XLOOKUP($P1188,'Base Grupo de Produtos'!$E$2:$E$18,'Base Grupo de Produtos'!$F$2:$F$18)</f>
        <v>49.999999999999993</v>
      </c>
      <c r="U1188" s="56">
        <f>_xlfn.XLOOKUP($N1188,'Calculo Leads'!$A$97:$A$134,'Calculo Leads'!H$97:H$134)*_xlfn.XLOOKUP($P1188,'Base Grupo de Produtos'!$E$2:$E$18,'Base Grupo de Produtos'!$F$2:$F$18)</f>
        <v>49.999999999999993</v>
      </c>
      <c r="V1188" s="56">
        <f>_xlfn.XLOOKUP($N1188,'Calculo Leads'!$A$97:$A$134,'Calculo Leads'!I$97:I$134)*_xlfn.XLOOKUP($P1188,'Base Grupo de Produtos'!$E$2:$E$18,'Base Grupo de Produtos'!$F$2:$F$18)</f>
        <v>49.999999999999993</v>
      </c>
      <c r="W1188" s="56">
        <f>_xlfn.XLOOKUP($N1188,'Calculo Leads'!$A$97:$A$134,'Calculo Leads'!J$97:J$134)*_xlfn.XLOOKUP($P1188,'Base Grupo de Produtos'!$E$2:$E$18,'Base Grupo de Produtos'!$F$2:$F$18)</f>
        <v>49.999999999999993</v>
      </c>
      <c r="X1188" s="56">
        <f>_xlfn.XLOOKUP($N1188,'Calculo Leads'!$A$97:$A$134,'Calculo Leads'!K$97:K$134)*_xlfn.XLOOKUP($P1188,'Base Grupo de Produtos'!$E$2:$E$18,'Base Grupo de Produtos'!$F$2:$F$18)</f>
        <v>54.999999999999993</v>
      </c>
      <c r="Y1188" s="56">
        <f>_xlfn.XLOOKUP($N1188,'Calculo Leads'!$A$97:$A$134,'Calculo Leads'!L$97:L$134)*_xlfn.XLOOKUP($P1188,'Base Grupo de Produtos'!$E$2:$E$18,'Base Grupo de Produtos'!$F$2:$F$18)</f>
        <v>54.999999999999993</v>
      </c>
      <c r="Z1188" s="56">
        <f>_xlfn.XLOOKUP($N1188,'Calculo Leads'!$A$97:$A$134,'Calculo Leads'!M$97:M$134)*_xlfn.XLOOKUP($P1188,'Base Grupo de Produtos'!$E$2:$E$18,'Base Grupo de Produtos'!$F$2:$F$18)</f>
        <v>54.999999999999993</v>
      </c>
      <c r="AA1188" s="56">
        <f>_xlfn.XLOOKUP($N1188,'Calculo Leads'!$A$97:$A$134,'Calculo Leads'!N$97:N$134)*_xlfn.XLOOKUP($P1188,'Base Grupo de Produtos'!$E$2:$E$18,'Base Grupo de Produtos'!$F$2:$F$18)</f>
        <v>54.999999999999993</v>
      </c>
      <c r="AB1188" s="56">
        <f>_xlfn.XLOOKUP($N1188,'Calculo Leads'!$A$97:$A$134,'Calculo Leads'!O$97:O$134)*_xlfn.XLOOKUP($P1188,'Base Grupo de Produtos'!$E$2:$E$18,'Base Grupo de Produtos'!$F$2:$F$18)</f>
        <v>54.999999999999993</v>
      </c>
      <c r="AC1188" s="61">
        <f t="shared" si="1086"/>
        <v>474.99999999999994</v>
      </c>
      <c r="AD1188" s="28"/>
      <c r="AE1188" s="12"/>
      <c r="AF1188" s="29"/>
      <c r="AG1188" s="9"/>
      <c r="AH1188" s="10"/>
      <c r="AI1188" s="9"/>
      <c r="AJ1188" s="11"/>
      <c r="AK1188" s="9"/>
      <c r="AL1188" s="13"/>
      <c r="AM1188" s="9"/>
    </row>
    <row r="1189" spans="1:39" x14ac:dyDescent="0.3">
      <c r="A1189" s="2" t="str">
        <f t="shared" si="1079"/>
        <v>NÃO</v>
      </c>
      <c r="B1189" s="2" t="str">
        <f>_xlfn.XLOOKUP($N1189,'Base de Grupos'!$A:$A,'Base de Grupos'!$D:$D)</f>
        <v>1000065763</v>
      </c>
      <c r="C1189" s="5" t="str">
        <f>_xlfn.XLOOKUP($N1189,'Base de Grupos'!$A:$A,'Base de Grupos'!$E:$E)</f>
        <v>CANAL VENDA INTERNA</v>
      </c>
      <c r="D1189" s="5" t="str">
        <f>_xlfn.XLOOKUP($N1189,'Base de Grupos'!$A:$A,'Base de Grupos'!$F:$F)</f>
        <v>1000065763</v>
      </c>
      <c r="E1189" s="2" t="str">
        <f>_xlfn.XLOOKUP($N1189,'Base de Grupos'!$A:$A,'Base de Grupos'!$G:$G)</f>
        <v>CANAL VENDA INTERNA</v>
      </c>
      <c r="F1189" s="2" t="str">
        <f>_xlfn.XLOOKUP($N1189,'Base de Grupos'!$A:$A,'Base de Grupos'!$H:$H)</f>
        <v>1000105900</v>
      </c>
      <c r="G1189" s="5" t="str">
        <f>_xlfn.XLOOKUP($N1189,'Base de Grupos'!$A:$A,'Base de Grupos'!$I:$I)</f>
        <v>REGIONAL VENDA DIRETA CO + NE + NO</v>
      </c>
      <c r="H1189" s="5" t="str">
        <f>_xlfn.XLOOKUP($N1189,'Base de Grupos'!$A:$A,'Base de Grupos'!$J:$J)</f>
        <v>1000105900</v>
      </c>
      <c r="I1189" s="2" t="str">
        <f>_xlfn.XLOOKUP($N1189,'Base de Grupos'!$A:$A,'Base de Grupos'!$K:$K)</f>
        <v>REGIONAL VENDA DIRETA CO + NE + NO</v>
      </c>
      <c r="J1189" s="2" t="str">
        <f>_xlfn.XLOOKUP($N1189,'Base de Grupos'!$A:$A,'Base de Grupos'!$L:$L)</f>
        <v>1000150135</v>
      </c>
      <c r="K1189" s="5" t="str">
        <f>_xlfn.XLOOKUP($N1189,'Base de Grupos'!$A:$A,'Base de Grupos'!$M:$M)</f>
        <v>HELDER DA SILVA BRUNKOW</v>
      </c>
      <c r="L1189" s="5" t="str">
        <f t="shared" si="1080"/>
        <v/>
      </c>
      <c r="M1189" s="5" t="str">
        <f>_xlfn.XLOOKUP($N1189,'Base de Grupos'!$A:$A,'Base de Grupos'!$C:$C)</f>
        <v>AC</v>
      </c>
      <c r="N1189" s="3">
        <v>1533</v>
      </c>
      <c r="O1189" s="4" t="s">
        <v>369</v>
      </c>
      <c r="P1189" s="5" t="s">
        <v>95</v>
      </c>
      <c r="Q1189" s="56">
        <v>0</v>
      </c>
      <c r="R1189" s="56">
        <v>0</v>
      </c>
      <c r="S1189" s="56">
        <v>0</v>
      </c>
      <c r="T1189" s="56">
        <f>_xlfn.XLOOKUP($N1189,'Calculo Leads'!$A$97:$A$134,'Calculo Leads'!G$97:G$134)*_xlfn.XLOOKUP($P1189,'Base Grupo de Produtos'!$E$2:$E$18,'Base Grupo de Produtos'!$F$2:$F$18)</f>
        <v>80</v>
      </c>
      <c r="U1189" s="56">
        <f>_xlfn.XLOOKUP($N1189,'Calculo Leads'!$A$97:$A$134,'Calculo Leads'!H$97:H$134)*_xlfn.XLOOKUP($P1189,'Base Grupo de Produtos'!$E$2:$E$18,'Base Grupo de Produtos'!$F$2:$F$18)</f>
        <v>80</v>
      </c>
      <c r="V1189" s="56">
        <f>_xlfn.XLOOKUP($N1189,'Calculo Leads'!$A$97:$A$134,'Calculo Leads'!I$97:I$134)*_xlfn.XLOOKUP($P1189,'Base Grupo de Produtos'!$E$2:$E$18,'Base Grupo de Produtos'!$F$2:$F$18)</f>
        <v>80</v>
      </c>
      <c r="W1189" s="56">
        <f>_xlfn.XLOOKUP($N1189,'Calculo Leads'!$A$97:$A$134,'Calculo Leads'!J$97:J$134)*_xlfn.XLOOKUP($P1189,'Base Grupo de Produtos'!$E$2:$E$18,'Base Grupo de Produtos'!$F$2:$F$18)</f>
        <v>80</v>
      </c>
      <c r="X1189" s="56">
        <f>_xlfn.XLOOKUP($N1189,'Calculo Leads'!$A$97:$A$134,'Calculo Leads'!K$97:K$134)*_xlfn.XLOOKUP($P1189,'Base Grupo de Produtos'!$E$2:$E$18,'Base Grupo de Produtos'!$F$2:$F$18)</f>
        <v>88</v>
      </c>
      <c r="Y1189" s="56">
        <f>_xlfn.XLOOKUP($N1189,'Calculo Leads'!$A$97:$A$134,'Calculo Leads'!L$97:L$134)*_xlfn.XLOOKUP($P1189,'Base Grupo de Produtos'!$E$2:$E$18,'Base Grupo de Produtos'!$F$2:$F$18)</f>
        <v>88</v>
      </c>
      <c r="Z1189" s="56">
        <f>_xlfn.XLOOKUP($N1189,'Calculo Leads'!$A$97:$A$134,'Calculo Leads'!M$97:M$134)*_xlfn.XLOOKUP($P1189,'Base Grupo de Produtos'!$E$2:$E$18,'Base Grupo de Produtos'!$F$2:$F$18)</f>
        <v>88</v>
      </c>
      <c r="AA1189" s="56">
        <f>_xlfn.XLOOKUP($N1189,'Calculo Leads'!$A$97:$A$134,'Calculo Leads'!N$97:N$134)*_xlfn.XLOOKUP($P1189,'Base Grupo de Produtos'!$E$2:$E$18,'Base Grupo de Produtos'!$F$2:$F$18)</f>
        <v>88</v>
      </c>
      <c r="AB1189" s="56">
        <f>_xlfn.XLOOKUP($N1189,'Calculo Leads'!$A$97:$A$134,'Calculo Leads'!O$97:O$134)*_xlfn.XLOOKUP($P1189,'Base Grupo de Produtos'!$E$2:$E$18,'Base Grupo de Produtos'!$F$2:$F$18)</f>
        <v>88</v>
      </c>
      <c r="AC1189" s="61">
        <f t="shared" si="1086"/>
        <v>760</v>
      </c>
      <c r="AD1189" s="28"/>
      <c r="AE1189" s="12"/>
      <c r="AF1189" s="29"/>
      <c r="AG1189" s="9"/>
      <c r="AH1189" s="10"/>
      <c r="AI1189" s="9"/>
      <c r="AJ1189" s="11"/>
      <c r="AK1189" s="9"/>
      <c r="AL1189" s="13"/>
      <c r="AM1189" s="9"/>
    </row>
    <row r="1190" spans="1:39" x14ac:dyDescent="0.3">
      <c r="A1190" s="2" t="str">
        <f t="shared" si="1079"/>
        <v>NÃO</v>
      </c>
      <c r="B1190" s="2" t="str">
        <f>_xlfn.XLOOKUP($N1190,'Base de Grupos'!$A:$A,'Base de Grupos'!$D:$D)</f>
        <v>1000065763</v>
      </c>
      <c r="C1190" s="5" t="str">
        <f>_xlfn.XLOOKUP($N1190,'Base de Grupos'!$A:$A,'Base de Grupos'!$E:$E)</f>
        <v>CANAL VENDA INTERNA</v>
      </c>
      <c r="D1190" s="5" t="str">
        <f>_xlfn.XLOOKUP($N1190,'Base de Grupos'!$A:$A,'Base de Grupos'!$F:$F)</f>
        <v>1000065763</v>
      </c>
      <c r="E1190" s="2" t="str">
        <f>_xlfn.XLOOKUP($N1190,'Base de Grupos'!$A:$A,'Base de Grupos'!$G:$G)</f>
        <v>CANAL VENDA INTERNA</v>
      </c>
      <c r="F1190" s="2" t="str">
        <f>_xlfn.XLOOKUP($N1190,'Base de Grupos'!$A:$A,'Base de Grupos'!$H:$H)</f>
        <v>1000105900</v>
      </c>
      <c r="G1190" s="5" t="str">
        <f>_xlfn.XLOOKUP($N1190,'Base de Grupos'!$A:$A,'Base de Grupos'!$I:$I)</f>
        <v>REGIONAL VENDA DIRETA CO + NE + NO</v>
      </c>
      <c r="H1190" s="5" t="str">
        <f>_xlfn.XLOOKUP($N1190,'Base de Grupos'!$A:$A,'Base de Grupos'!$J:$J)</f>
        <v>1000105900</v>
      </c>
      <c r="I1190" s="2" t="str">
        <f>_xlfn.XLOOKUP($N1190,'Base de Grupos'!$A:$A,'Base de Grupos'!$K:$K)</f>
        <v>REGIONAL VENDA DIRETA CO + NE + NO</v>
      </c>
      <c r="J1190" s="2" t="str">
        <f>_xlfn.XLOOKUP($N1190,'Base de Grupos'!$A:$A,'Base de Grupos'!$L:$L)</f>
        <v>1000150135</v>
      </c>
      <c r="K1190" s="5" t="str">
        <f>_xlfn.XLOOKUP($N1190,'Base de Grupos'!$A:$A,'Base de Grupos'!$M:$M)</f>
        <v>HELDER DA SILVA BRUNKOW</v>
      </c>
      <c r="L1190" s="5" t="str">
        <f t="shared" si="1080"/>
        <v/>
      </c>
      <c r="M1190" s="5" t="str">
        <f>_xlfn.XLOOKUP($N1190,'Base de Grupos'!$A:$A,'Base de Grupos'!$C:$C)</f>
        <v>AC</v>
      </c>
      <c r="N1190" s="3">
        <v>1533</v>
      </c>
      <c r="O1190" s="4" t="s">
        <v>369</v>
      </c>
      <c r="P1190" s="5" t="s">
        <v>93</v>
      </c>
      <c r="Q1190" s="56">
        <v>0</v>
      </c>
      <c r="R1190" s="56">
        <v>0</v>
      </c>
      <c r="S1190" s="56">
        <v>0</v>
      </c>
      <c r="T1190" s="56">
        <f>_xlfn.XLOOKUP($N1190,'Calculo Leads'!$A$97:$A$134,'Calculo Leads'!G$97:G$134)*_xlfn.XLOOKUP($P1190,'Base Grupo de Produtos'!$E$2:$E$18,'Base Grupo de Produtos'!$F$2:$F$18)</f>
        <v>30</v>
      </c>
      <c r="U1190" s="56">
        <f>_xlfn.XLOOKUP($N1190,'Calculo Leads'!$A$97:$A$134,'Calculo Leads'!H$97:H$134)*_xlfn.XLOOKUP($P1190,'Base Grupo de Produtos'!$E$2:$E$18,'Base Grupo de Produtos'!$F$2:$F$18)</f>
        <v>30</v>
      </c>
      <c r="V1190" s="56">
        <f>_xlfn.XLOOKUP($N1190,'Calculo Leads'!$A$97:$A$134,'Calculo Leads'!I$97:I$134)*_xlfn.XLOOKUP($P1190,'Base Grupo de Produtos'!$E$2:$E$18,'Base Grupo de Produtos'!$F$2:$F$18)</f>
        <v>30</v>
      </c>
      <c r="W1190" s="56">
        <f>_xlfn.XLOOKUP($N1190,'Calculo Leads'!$A$97:$A$134,'Calculo Leads'!J$97:J$134)*_xlfn.XLOOKUP($P1190,'Base Grupo de Produtos'!$E$2:$E$18,'Base Grupo de Produtos'!$F$2:$F$18)</f>
        <v>30</v>
      </c>
      <c r="X1190" s="56">
        <f>_xlfn.XLOOKUP($N1190,'Calculo Leads'!$A$97:$A$134,'Calculo Leads'!K$97:K$134)*_xlfn.XLOOKUP($P1190,'Base Grupo de Produtos'!$E$2:$E$18,'Base Grupo de Produtos'!$F$2:$F$18)</f>
        <v>33</v>
      </c>
      <c r="Y1190" s="56">
        <f>_xlfn.XLOOKUP($N1190,'Calculo Leads'!$A$97:$A$134,'Calculo Leads'!L$97:L$134)*_xlfn.XLOOKUP($P1190,'Base Grupo de Produtos'!$E$2:$E$18,'Base Grupo de Produtos'!$F$2:$F$18)</f>
        <v>33</v>
      </c>
      <c r="Z1190" s="56">
        <f>_xlfn.XLOOKUP($N1190,'Calculo Leads'!$A$97:$A$134,'Calculo Leads'!M$97:M$134)*_xlfn.XLOOKUP($P1190,'Base Grupo de Produtos'!$E$2:$E$18,'Base Grupo de Produtos'!$F$2:$F$18)</f>
        <v>33</v>
      </c>
      <c r="AA1190" s="56">
        <f>_xlfn.XLOOKUP($N1190,'Calculo Leads'!$A$97:$A$134,'Calculo Leads'!N$97:N$134)*_xlfn.XLOOKUP($P1190,'Base Grupo de Produtos'!$E$2:$E$18,'Base Grupo de Produtos'!$F$2:$F$18)</f>
        <v>33</v>
      </c>
      <c r="AB1190" s="56">
        <f>_xlfn.XLOOKUP($N1190,'Calculo Leads'!$A$97:$A$134,'Calculo Leads'!O$97:O$134)*_xlfn.XLOOKUP($P1190,'Base Grupo de Produtos'!$E$2:$E$18,'Base Grupo de Produtos'!$F$2:$F$18)</f>
        <v>33</v>
      </c>
      <c r="AC1190" s="61">
        <f t="shared" si="1086"/>
        <v>285</v>
      </c>
      <c r="AD1190" s="28"/>
      <c r="AE1190" s="12"/>
      <c r="AF1190" s="29"/>
      <c r="AG1190" s="9"/>
      <c r="AH1190" s="10"/>
      <c r="AI1190" s="9"/>
      <c r="AJ1190" s="11"/>
      <c r="AK1190" s="9"/>
      <c r="AL1190" s="13"/>
      <c r="AM1190" s="9"/>
    </row>
  </sheetData>
  <autoFilter ref="A2:AN1190" xr:uid="{534C699E-3AC6-47A5-A078-2BCCF2A44130}"/>
  <phoneticPr fontId="7" type="noConversion"/>
  <conditionalFormatting sqref="A3:AM1190">
    <cfRule type="expression" dxfId="3" priority="1">
      <formula>$L3=1</formula>
    </cfRule>
  </conditionalFormatting>
  <conditionalFormatting sqref="Q1:AG1">
    <cfRule type="expression" dxfId="2" priority="6">
      <formula>$L1=1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ignoredErrors>
    <ignoredError sqref="AG3:AL3 AG21:AL21 AH4:AJ20 AG39:AL39 AH22:AJ38 AG57:AL57 AH40:AJ56 AG75:AL75 AH58:AJ74 AG93:AL93 AH76:AJ92 AG111:AL111 AH94:AJ110 AG129:AL129 AH112:AJ128 AG147:AL147 AH130:AJ146 AG165:AL165 AH148:AJ164 AG183:AL183 AH166:AJ182 AG201:AL201 AH184:AJ200 AG219:AL219 AH202:AJ218 AG237:AL237 AH220:AJ236 AG255:AL255 AH238:AJ254 AG273:AL273 AH256:AJ272 AG291:AL291 AH274:AJ290 AG309:AL309 AH292:AJ308 AG327:AL327 AH310:AJ326 AG345:AL345 AH328:AJ344 AG363:AL363 AH346:AJ362 AG381:AL381 AH364:AJ380 AG399:AL399 AH382:AJ398 AG417:AL417 AH400:AJ416 AG435:AL435 AH418:AJ434 AG453:AL453 AH436:AJ452 AG471:AL471 AH454:AJ470 AG489:AL489 AH472:AJ488 AG507:AL507 AH490:AJ506 AG525:AL525 AH508:AJ524 AG543:AL543 AH526:AJ542 AG561:AL561 AH544:AJ560 AG579:AL579 AH562:AJ578 AG597:AL597 AH580:AJ596 AG615:AL615 AH598:AJ614 AG633:AL633 AH616:AJ632 AH634:AJ650 AL4:AL20 AL22:AL38 AL40:AL56 AL58:AL74 AL76:AL92 AL94:AL110 AL112:AL128 AL130:AL146 AL148:AL164 AL166:AL182 AL184:AL200 AL202:AL218 AL220:AL236 AL238:AL254 AL256:AL272 AL274:AL290 AL292:AL308 AL310:AL326 AL328:AL344 AL346:AL362 AL364:AL380 AL382:AL398 AL400:AL416 AL418:AL434 AL436:AL452 AL454:AL470 AL472:AL488 AL490:AL506 AL508:AL524 AL526:AL542 AL544:AL560 AL562:AL578 AL580:AL596 AL598:AL614 AL616:AL632 AL634:AL650 AF2" formula="1"/>
  </ignoredErrors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showInputMessage="1" xr:uid="{D29A3B22-9B00-465D-9FB3-B98EF618223E}">
          <x14:formula1>
            <xm:f>'Balizador da Meta'!$D$2:$F$2</xm:f>
          </x14:formula1>
          <xm:sqref>AK3:AK1048576</xm:sqref>
        </x14:dataValidation>
        <x14:dataValidation type="list" allowBlank="1" showInputMessage="1" xr:uid="{C67CB505-F411-4A66-B7A7-3AD42B4708B5}">
          <x14:formula1>
            <xm:f>'Balizador da Meta'!$A$2:$A$5</xm:f>
          </x14:formula1>
          <xm:sqref>AM3:AM1048576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24A6B-670F-454B-9877-A278A470C868}">
  <dimension ref="A1:O67"/>
  <sheetViews>
    <sheetView showGridLines="0" topLeftCell="A37" zoomScale="85" zoomScaleNormal="85" workbookViewId="0">
      <selection activeCell="A66" sqref="A66:B67"/>
    </sheetView>
  </sheetViews>
  <sheetFormatPr defaultColWidth="10.109375" defaultRowHeight="14.4" x14ac:dyDescent="0.3"/>
  <cols>
    <col min="1" max="1" width="10.109375" style="1"/>
    <col min="2" max="2" width="31.6640625" style="1" customWidth="1"/>
    <col min="3" max="3" width="9" style="1" customWidth="1"/>
    <col min="4" max="4" width="18" style="38" customWidth="1"/>
    <col min="5" max="5" width="26" style="1" customWidth="1"/>
    <col min="6" max="6" width="13" style="38" customWidth="1"/>
    <col min="7" max="7" width="23.5546875" style="1" customWidth="1"/>
    <col min="8" max="8" width="17.44140625" style="38" customWidth="1"/>
    <col min="9" max="9" width="24.6640625" style="1" customWidth="1"/>
    <col min="10" max="10" width="20.44140625" style="38" customWidth="1"/>
    <col min="11" max="11" width="34.6640625" style="1" customWidth="1"/>
    <col min="12" max="12" width="21.109375" style="38" bestFit="1" customWidth="1"/>
    <col min="13" max="13" width="35.109375" style="1" bestFit="1" customWidth="1"/>
    <col min="16" max="16384" width="10.109375" style="1"/>
  </cols>
  <sheetData>
    <row r="1" spans="1:13" x14ac:dyDescent="0.3">
      <c r="A1" s="22" t="s">
        <v>55</v>
      </c>
      <c r="B1" s="22" t="s">
        <v>61</v>
      </c>
      <c r="C1" s="22" t="s">
        <v>160</v>
      </c>
      <c r="D1" s="37" t="s">
        <v>54</v>
      </c>
      <c r="E1" s="22" t="s">
        <v>53</v>
      </c>
      <c r="F1" s="37" t="s">
        <v>52</v>
      </c>
      <c r="G1" s="22" t="s">
        <v>51</v>
      </c>
      <c r="H1" s="37" t="s">
        <v>50</v>
      </c>
      <c r="I1" s="22" t="s">
        <v>49</v>
      </c>
      <c r="J1" s="37" t="s">
        <v>48</v>
      </c>
      <c r="K1" s="22" t="s">
        <v>47</v>
      </c>
      <c r="L1" s="37" t="s">
        <v>46</v>
      </c>
      <c r="M1" s="22" t="s">
        <v>45</v>
      </c>
    </row>
    <row r="2" spans="1:13" x14ac:dyDescent="0.3">
      <c r="A2" s="3">
        <v>1324</v>
      </c>
      <c r="B2" s="4" t="s">
        <v>224</v>
      </c>
      <c r="C2" s="2" t="s">
        <v>181</v>
      </c>
      <c r="D2" s="36" t="s">
        <v>188</v>
      </c>
      <c r="E2" s="5" t="s">
        <v>56</v>
      </c>
      <c r="F2" s="39" t="s">
        <v>188</v>
      </c>
      <c r="G2" s="2" t="s">
        <v>56</v>
      </c>
      <c r="H2" s="36" t="s">
        <v>194</v>
      </c>
      <c r="I2" s="5" t="s">
        <v>59</v>
      </c>
      <c r="J2" s="39" t="s">
        <v>194</v>
      </c>
      <c r="K2" s="2" t="s">
        <v>59</v>
      </c>
      <c r="L2" s="36" t="s">
        <v>191</v>
      </c>
      <c r="M2" s="5" t="s">
        <v>192</v>
      </c>
    </row>
    <row r="3" spans="1:13" x14ac:dyDescent="0.3">
      <c r="A3" s="3">
        <v>1325</v>
      </c>
      <c r="B3" s="4" t="s">
        <v>225</v>
      </c>
      <c r="C3" s="2" t="s">
        <v>172</v>
      </c>
      <c r="D3" s="36" t="s">
        <v>188</v>
      </c>
      <c r="E3" s="5" t="s">
        <v>56</v>
      </c>
      <c r="F3" s="39" t="s">
        <v>188</v>
      </c>
      <c r="G3" s="2" t="s">
        <v>56</v>
      </c>
      <c r="H3" s="36" t="s">
        <v>194</v>
      </c>
      <c r="I3" s="5" t="s">
        <v>59</v>
      </c>
      <c r="J3" s="39" t="s">
        <v>194</v>
      </c>
      <c r="K3" s="2" t="s">
        <v>59</v>
      </c>
      <c r="L3" s="36" t="s">
        <v>191</v>
      </c>
      <c r="M3" s="5" t="s">
        <v>192</v>
      </c>
    </row>
    <row r="4" spans="1:13" x14ac:dyDescent="0.3">
      <c r="A4" s="3">
        <v>1326</v>
      </c>
      <c r="B4" s="4" t="s">
        <v>226</v>
      </c>
      <c r="C4" s="2" t="s">
        <v>175</v>
      </c>
      <c r="D4" s="36" t="s">
        <v>188</v>
      </c>
      <c r="E4" s="5" t="s">
        <v>56</v>
      </c>
      <c r="F4" s="39" t="s">
        <v>188</v>
      </c>
      <c r="G4" s="2" t="s">
        <v>56</v>
      </c>
      <c r="H4" s="36" t="s">
        <v>194</v>
      </c>
      <c r="I4" s="5" t="s">
        <v>59</v>
      </c>
      <c r="J4" s="39" t="s">
        <v>194</v>
      </c>
      <c r="K4" s="2" t="s">
        <v>59</v>
      </c>
      <c r="L4" s="36" t="s">
        <v>191</v>
      </c>
      <c r="M4" s="5" t="s">
        <v>192</v>
      </c>
    </row>
    <row r="5" spans="1:13" x14ac:dyDescent="0.3">
      <c r="A5" s="3">
        <v>1327</v>
      </c>
      <c r="B5" s="4" t="s">
        <v>227</v>
      </c>
      <c r="C5" s="2" t="s">
        <v>178</v>
      </c>
      <c r="D5" s="36" t="s">
        <v>188</v>
      </c>
      <c r="E5" s="5" t="s">
        <v>56</v>
      </c>
      <c r="F5" s="39" t="s">
        <v>188</v>
      </c>
      <c r="G5" s="2" t="s">
        <v>56</v>
      </c>
      <c r="H5" s="36" t="s">
        <v>194</v>
      </c>
      <c r="I5" s="5" t="s">
        <v>59</v>
      </c>
      <c r="J5" s="39" t="s">
        <v>194</v>
      </c>
      <c r="K5" s="2" t="s">
        <v>59</v>
      </c>
      <c r="L5" s="36" t="s">
        <v>191</v>
      </c>
      <c r="M5" s="5" t="s">
        <v>192</v>
      </c>
    </row>
    <row r="6" spans="1:13" x14ac:dyDescent="0.3">
      <c r="A6" s="3">
        <v>1328</v>
      </c>
      <c r="B6" s="4" t="s">
        <v>228</v>
      </c>
      <c r="C6" s="2" t="s">
        <v>173</v>
      </c>
      <c r="D6" s="36" t="s">
        <v>188</v>
      </c>
      <c r="E6" s="5" t="s">
        <v>56</v>
      </c>
      <c r="F6" s="39" t="s">
        <v>188</v>
      </c>
      <c r="G6" s="2" t="s">
        <v>56</v>
      </c>
      <c r="H6" s="36" t="s">
        <v>194</v>
      </c>
      <c r="I6" s="5" t="s">
        <v>59</v>
      </c>
      <c r="J6" s="39" t="s">
        <v>194</v>
      </c>
      <c r="K6" s="2" t="s">
        <v>59</v>
      </c>
      <c r="L6" s="36" t="s">
        <v>191</v>
      </c>
      <c r="M6" s="5" t="s">
        <v>192</v>
      </c>
    </row>
    <row r="7" spans="1:13" x14ac:dyDescent="0.3">
      <c r="A7" s="3">
        <v>1329</v>
      </c>
      <c r="B7" s="4" t="s">
        <v>229</v>
      </c>
      <c r="C7" s="2" t="s">
        <v>170</v>
      </c>
      <c r="D7" s="36" t="s">
        <v>188</v>
      </c>
      <c r="E7" s="5" t="s">
        <v>56</v>
      </c>
      <c r="F7" s="39" t="s">
        <v>188</v>
      </c>
      <c r="G7" s="2" t="s">
        <v>56</v>
      </c>
      <c r="H7" s="36" t="s">
        <v>288</v>
      </c>
      <c r="I7" s="5" t="s">
        <v>289</v>
      </c>
      <c r="J7" s="39" t="s">
        <v>288</v>
      </c>
      <c r="K7" s="2" t="s">
        <v>289</v>
      </c>
      <c r="L7" s="36" t="s">
        <v>288</v>
      </c>
      <c r="M7" s="5" t="s">
        <v>289</v>
      </c>
    </row>
    <row r="8" spans="1:13" x14ac:dyDescent="0.3">
      <c r="A8" s="3">
        <v>1330</v>
      </c>
      <c r="B8" s="4" t="s">
        <v>230</v>
      </c>
      <c r="C8" s="2" t="s">
        <v>174</v>
      </c>
      <c r="D8" s="36" t="s">
        <v>188</v>
      </c>
      <c r="E8" s="5" t="s">
        <v>56</v>
      </c>
      <c r="F8" s="39" t="s">
        <v>188</v>
      </c>
      <c r="G8" s="2" t="s">
        <v>56</v>
      </c>
      <c r="H8" s="36" t="s">
        <v>194</v>
      </c>
      <c r="I8" s="5" t="s">
        <v>59</v>
      </c>
      <c r="J8" s="39" t="s">
        <v>194</v>
      </c>
      <c r="K8" s="2" t="s">
        <v>59</v>
      </c>
      <c r="L8" s="36" t="s">
        <v>191</v>
      </c>
      <c r="M8" s="5" t="s">
        <v>192</v>
      </c>
    </row>
    <row r="9" spans="1:13" x14ac:dyDescent="0.3">
      <c r="A9" s="3">
        <v>1331</v>
      </c>
      <c r="B9" s="4" t="s">
        <v>231</v>
      </c>
      <c r="C9" s="2" t="s">
        <v>168</v>
      </c>
      <c r="D9" s="36" t="s">
        <v>188</v>
      </c>
      <c r="E9" s="5" t="s">
        <v>56</v>
      </c>
      <c r="F9" s="39" t="s">
        <v>188</v>
      </c>
      <c r="G9" s="2" t="s">
        <v>56</v>
      </c>
      <c r="H9" s="36" t="s">
        <v>194</v>
      </c>
      <c r="I9" s="5" t="s">
        <v>59</v>
      </c>
      <c r="J9" s="39" t="s">
        <v>194</v>
      </c>
      <c r="K9" s="2" t="s">
        <v>59</v>
      </c>
      <c r="L9" s="36" t="s">
        <v>191</v>
      </c>
      <c r="M9" s="5" t="s">
        <v>192</v>
      </c>
    </row>
    <row r="10" spans="1:13" x14ac:dyDescent="0.3">
      <c r="A10" s="3">
        <v>1332</v>
      </c>
      <c r="B10" s="4" t="s">
        <v>232</v>
      </c>
      <c r="C10" s="2" t="s">
        <v>169</v>
      </c>
      <c r="D10" s="36" t="s">
        <v>188</v>
      </c>
      <c r="E10" s="5" t="s">
        <v>56</v>
      </c>
      <c r="F10" s="39" t="s">
        <v>188</v>
      </c>
      <c r="G10" s="2" t="s">
        <v>56</v>
      </c>
      <c r="H10" s="36" t="s">
        <v>194</v>
      </c>
      <c r="I10" s="5" t="s">
        <v>59</v>
      </c>
      <c r="J10" s="39" t="s">
        <v>194</v>
      </c>
      <c r="K10" s="2" t="s">
        <v>59</v>
      </c>
      <c r="L10" s="36" t="s">
        <v>191</v>
      </c>
      <c r="M10" s="5" t="s">
        <v>192</v>
      </c>
    </row>
    <row r="11" spans="1:13" x14ac:dyDescent="0.3">
      <c r="A11" s="3">
        <v>1346</v>
      </c>
      <c r="B11" s="4" t="s">
        <v>233</v>
      </c>
      <c r="C11" s="2" t="s">
        <v>186</v>
      </c>
      <c r="D11" s="36" t="s">
        <v>188</v>
      </c>
      <c r="E11" s="5" t="s">
        <v>56</v>
      </c>
      <c r="F11" s="39" t="s">
        <v>188</v>
      </c>
      <c r="G11" s="2" t="s">
        <v>56</v>
      </c>
      <c r="H11" s="36" t="s">
        <v>288</v>
      </c>
      <c r="I11" s="5" t="s">
        <v>289</v>
      </c>
      <c r="J11" s="39" t="s">
        <v>288</v>
      </c>
      <c r="K11" s="2" t="s">
        <v>289</v>
      </c>
      <c r="L11" s="36" t="s">
        <v>288</v>
      </c>
      <c r="M11" s="5" t="s">
        <v>289</v>
      </c>
    </row>
    <row r="12" spans="1:13" x14ac:dyDescent="0.3">
      <c r="A12" s="3">
        <v>1347</v>
      </c>
      <c r="B12" s="4" t="s">
        <v>234</v>
      </c>
      <c r="C12" s="2" t="s">
        <v>171</v>
      </c>
      <c r="D12" s="36" t="s">
        <v>188</v>
      </c>
      <c r="E12" s="5" t="s">
        <v>56</v>
      </c>
      <c r="F12" s="39" t="s">
        <v>188</v>
      </c>
      <c r="G12" s="2" t="s">
        <v>56</v>
      </c>
      <c r="H12" s="36" t="s">
        <v>194</v>
      </c>
      <c r="I12" s="5" t="s">
        <v>59</v>
      </c>
      <c r="J12" s="39" t="s">
        <v>194</v>
      </c>
      <c r="K12" s="2" t="s">
        <v>59</v>
      </c>
      <c r="L12" s="36" t="s">
        <v>191</v>
      </c>
      <c r="M12" s="5" t="s">
        <v>192</v>
      </c>
    </row>
    <row r="13" spans="1:13" x14ac:dyDescent="0.3">
      <c r="A13" s="3">
        <v>1348</v>
      </c>
      <c r="B13" s="4" t="s">
        <v>235</v>
      </c>
      <c r="C13" s="2" t="s">
        <v>184</v>
      </c>
      <c r="D13" s="36" t="s">
        <v>188</v>
      </c>
      <c r="E13" s="5" t="s">
        <v>56</v>
      </c>
      <c r="F13" s="39" t="s">
        <v>188</v>
      </c>
      <c r="G13" s="2" t="s">
        <v>56</v>
      </c>
      <c r="H13" s="36" t="s">
        <v>194</v>
      </c>
      <c r="I13" s="5" t="s">
        <v>59</v>
      </c>
      <c r="J13" s="39" t="s">
        <v>194</v>
      </c>
      <c r="K13" s="2" t="s">
        <v>59</v>
      </c>
      <c r="L13" s="36" t="s">
        <v>191</v>
      </c>
      <c r="M13" s="5" t="s">
        <v>192</v>
      </c>
    </row>
    <row r="14" spans="1:13" x14ac:dyDescent="0.3">
      <c r="A14" s="3">
        <v>1349</v>
      </c>
      <c r="B14" s="4" t="s">
        <v>236</v>
      </c>
      <c r="C14" s="2" t="s">
        <v>185</v>
      </c>
      <c r="D14" s="36" t="s">
        <v>188</v>
      </c>
      <c r="E14" s="5" t="s">
        <v>56</v>
      </c>
      <c r="F14" s="39" t="s">
        <v>188</v>
      </c>
      <c r="G14" s="2" t="s">
        <v>56</v>
      </c>
      <c r="H14" s="36" t="s">
        <v>288</v>
      </c>
      <c r="I14" s="5" t="s">
        <v>289</v>
      </c>
      <c r="J14" s="39" t="s">
        <v>288</v>
      </c>
      <c r="K14" s="2" t="s">
        <v>289</v>
      </c>
      <c r="L14" s="36" t="s">
        <v>288</v>
      </c>
      <c r="M14" s="5" t="s">
        <v>289</v>
      </c>
    </row>
    <row r="15" spans="1:13" x14ac:dyDescent="0.3">
      <c r="A15" s="3">
        <v>1351</v>
      </c>
      <c r="B15" s="4" t="s">
        <v>237</v>
      </c>
      <c r="C15" s="2" t="s">
        <v>180</v>
      </c>
      <c r="D15" s="36" t="s">
        <v>188</v>
      </c>
      <c r="E15" s="5" t="s">
        <v>56</v>
      </c>
      <c r="F15" s="39" t="s">
        <v>188</v>
      </c>
      <c r="G15" s="2" t="s">
        <v>56</v>
      </c>
      <c r="H15" s="36" t="s">
        <v>194</v>
      </c>
      <c r="I15" s="5" t="s">
        <v>59</v>
      </c>
      <c r="J15" s="39" t="s">
        <v>194</v>
      </c>
      <c r="K15" s="2" t="s">
        <v>59</v>
      </c>
      <c r="L15" s="36" t="s">
        <v>191</v>
      </c>
      <c r="M15" s="5" t="s">
        <v>192</v>
      </c>
    </row>
    <row r="16" spans="1:13" x14ac:dyDescent="0.3">
      <c r="A16" s="3">
        <v>1352</v>
      </c>
      <c r="B16" s="4" t="s">
        <v>238</v>
      </c>
      <c r="C16" s="2" t="s">
        <v>182</v>
      </c>
      <c r="D16" s="36" t="s">
        <v>188</v>
      </c>
      <c r="E16" s="5" t="s">
        <v>56</v>
      </c>
      <c r="F16" s="39" t="s">
        <v>188</v>
      </c>
      <c r="G16" s="2" t="s">
        <v>56</v>
      </c>
      <c r="H16" s="36" t="s">
        <v>194</v>
      </c>
      <c r="I16" s="5" t="s">
        <v>59</v>
      </c>
      <c r="J16" s="39" t="s">
        <v>194</v>
      </c>
      <c r="K16" s="2" t="s">
        <v>59</v>
      </c>
      <c r="L16" s="36" t="s">
        <v>191</v>
      </c>
      <c r="M16" s="5" t="s">
        <v>192</v>
      </c>
    </row>
    <row r="17" spans="1:13" x14ac:dyDescent="0.3">
      <c r="A17" s="3">
        <v>1353</v>
      </c>
      <c r="B17" s="4" t="s">
        <v>239</v>
      </c>
      <c r="C17" s="2" t="s">
        <v>183</v>
      </c>
      <c r="D17" s="36" t="s">
        <v>188</v>
      </c>
      <c r="E17" s="5" t="s">
        <v>56</v>
      </c>
      <c r="F17" s="39" t="s">
        <v>188</v>
      </c>
      <c r="G17" s="2" t="s">
        <v>56</v>
      </c>
      <c r="H17" s="36" t="s">
        <v>194</v>
      </c>
      <c r="I17" s="5" t="s">
        <v>59</v>
      </c>
      <c r="J17" s="39" t="s">
        <v>194</v>
      </c>
      <c r="K17" s="2" t="s">
        <v>59</v>
      </c>
      <c r="L17" s="36" t="s">
        <v>191</v>
      </c>
      <c r="M17" s="5" t="s">
        <v>192</v>
      </c>
    </row>
    <row r="18" spans="1:13" x14ac:dyDescent="0.3">
      <c r="A18" s="3">
        <v>1354</v>
      </c>
      <c r="B18" s="4" t="s">
        <v>240</v>
      </c>
      <c r="C18" s="2" t="s">
        <v>179</v>
      </c>
      <c r="D18" s="36" t="s">
        <v>188</v>
      </c>
      <c r="E18" s="5" t="s">
        <v>56</v>
      </c>
      <c r="F18" s="39" t="s">
        <v>188</v>
      </c>
      <c r="G18" s="2" t="s">
        <v>56</v>
      </c>
      <c r="H18" s="36" t="s">
        <v>194</v>
      </c>
      <c r="I18" s="5" t="s">
        <v>59</v>
      </c>
      <c r="J18" s="39" t="s">
        <v>194</v>
      </c>
      <c r="K18" s="2" t="s">
        <v>59</v>
      </c>
      <c r="L18" s="36" t="s">
        <v>191</v>
      </c>
      <c r="M18" s="5" t="s">
        <v>192</v>
      </c>
    </row>
    <row r="19" spans="1:13" x14ac:dyDescent="0.3">
      <c r="A19" s="3">
        <v>1356</v>
      </c>
      <c r="B19" s="4" t="s">
        <v>241</v>
      </c>
      <c r="C19" s="2" t="s">
        <v>167</v>
      </c>
      <c r="D19" s="36" t="s">
        <v>188</v>
      </c>
      <c r="E19" s="5" t="s">
        <v>56</v>
      </c>
      <c r="F19" s="39" t="s">
        <v>188</v>
      </c>
      <c r="G19" s="2" t="s">
        <v>56</v>
      </c>
      <c r="H19" s="36" t="s">
        <v>194</v>
      </c>
      <c r="I19" s="5" t="s">
        <v>59</v>
      </c>
      <c r="J19" s="39" t="s">
        <v>194</v>
      </c>
      <c r="K19" s="2" t="s">
        <v>59</v>
      </c>
      <c r="L19" s="36" t="s">
        <v>290</v>
      </c>
      <c r="M19" s="5" t="s">
        <v>291</v>
      </c>
    </row>
    <row r="20" spans="1:13" x14ac:dyDescent="0.3">
      <c r="A20" s="3">
        <v>1357</v>
      </c>
      <c r="B20" s="4" t="s">
        <v>242</v>
      </c>
      <c r="C20" s="2" t="s">
        <v>177</v>
      </c>
      <c r="D20" s="36" t="s">
        <v>188</v>
      </c>
      <c r="E20" s="5" t="s">
        <v>56</v>
      </c>
      <c r="F20" s="39" t="s">
        <v>188</v>
      </c>
      <c r="G20" s="2" t="s">
        <v>56</v>
      </c>
      <c r="H20" s="36" t="s">
        <v>193</v>
      </c>
      <c r="I20" s="5" t="s">
        <v>58</v>
      </c>
      <c r="J20" s="39" t="s">
        <v>193</v>
      </c>
      <c r="K20" s="2" t="s">
        <v>58</v>
      </c>
      <c r="L20" s="36" t="s">
        <v>191</v>
      </c>
      <c r="M20" s="5" t="s">
        <v>192</v>
      </c>
    </row>
    <row r="21" spans="1:13" x14ac:dyDescent="0.3">
      <c r="A21" s="3">
        <v>1358</v>
      </c>
      <c r="B21" s="4" t="s">
        <v>243</v>
      </c>
      <c r="C21" s="2" t="s">
        <v>165</v>
      </c>
      <c r="D21" s="36" t="s">
        <v>188</v>
      </c>
      <c r="E21" s="5" t="s">
        <v>56</v>
      </c>
      <c r="F21" s="39" t="s">
        <v>188</v>
      </c>
      <c r="G21" s="2" t="s">
        <v>56</v>
      </c>
      <c r="H21" s="36" t="s">
        <v>193</v>
      </c>
      <c r="I21" s="5" t="s">
        <v>58</v>
      </c>
      <c r="J21" s="39" t="s">
        <v>193</v>
      </c>
      <c r="K21" s="2" t="s">
        <v>58</v>
      </c>
      <c r="L21" s="36" t="s">
        <v>191</v>
      </c>
      <c r="M21" s="5" t="s">
        <v>192</v>
      </c>
    </row>
    <row r="22" spans="1:13" x14ac:dyDescent="0.3">
      <c r="A22" s="3">
        <v>1359</v>
      </c>
      <c r="B22" s="4" t="s">
        <v>244</v>
      </c>
      <c r="C22" s="2" t="s">
        <v>166</v>
      </c>
      <c r="D22" s="36" t="s">
        <v>188</v>
      </c>
      <c r="E22" s="5" t="s">
        <v>56</v>
      </c>
      <c r="F22" s="39" t="s">
        <v>188</v>
      </c>
      <c r="G22" s="2" t="s">
        <v>56</v>
      </c>
      <c r="H22" s="36" t="s">
        <v>193</v>
      </c>
      <c r="I22" s="5" t="s">
        <v>58</v>
      </c>
      <c r="J22" s="39" t="s">
        <v>193</v>
      </c>
      <c r="K22" s="2" t="s">
        <v>58</v>
      </c>
      <c r="L22" s="36" t="s">
        <v>191</v>
      </c>
      <c r="M22" s="5" t="s">
        <v>192</v>
      </c>
    </row>
    <row r="23" spans="1:13" x14ac:dyDescent="0.3">
      <c r="A23" s="3">
        <v>1360</v>
      </c>
      <c r="B23" s="4" t="s">
        <v>245</v>
      </c>
      <c r="C23" s="2" t="s">
        <v>164</v>
      </c>
      <c r="D23" s="36" t="s">
        <v>188</v>
      </c>
      <c r="E23" s="5" t="s">
        <v>56</v>
      </c>
      <c r="F23" s="39" t="s">
        <v>188</v>
      </c>
      <c r="G23" s="2" t="s">
        <v>56</v>
      </c>
      <c r="H23" s="36" t="s">
        <v>190</v>
      </c>
      <c r="I23" s="5" t="s">
        <v>57</v>
      </c>
      <c r="J23" s="39" t="s">
        <v>190</v>
      </c>
      <c r="K23" s="2" t="s">
        <v>57</v>
      </c>
      <c r="L23" s="36" t="s">
        <v>191</v>
      </c>
      <c r="M23" s="5" t="s">
        <v>192</v>
      </c>
    </row>
    <row r="24" spans="1:13" x14ac:dyDescent="0.3">
      <c r="A24" s="3">
        <v>1361</v>
      </c>
      <c r="B24" s="4" t="s">
        <v>246</v>
      </c>
      <c r="C24" s="2" t="s">
        <v>164</v>
      </c>
      <c r="D24" s="36" t="s">
        <v>188</v>
      </c>
      <c r="E24" s="5" t="s">
        <v>56</v>
      </c>
      <c r="F24" s="39" t="s">
        <v>188</v>
      </c>
      <c r="G24" s="2" t="s">
        <v>56</v>
      </c>
      <c r="H24" s="36" t="s">
        <v>190</v>
      </c>
      <c r="I24" s="5" t="s">
        <v>57</v>
      </c>
      <c r="J24" s="39" t="s">
        <v>190</v>
      </c>
      <c r="K24" s="2" t="s">
        <v>57</v>
      </c>
      <c r="L24" s="36" t="s">
        <v>191</v>
      </c>
      <c r="M24" s="5" t="s">
        <v>192</v>
      </c>
    </row>
    <row r="25" spans="1:13" x14ac:dyDescent="0.3">
      <c r="A25" s="3">
        <v>1362</v>
      </c>
      <c r="B25" s="4" t="s">
        <v>247</v>
      </c>
      <c r="C25" s="2" t="s">
        <v>163</v>
      </c>
      <c r="D25" s="36" t="s">
        <v>188</v>
      </c>
      <c r="E25" s="5" t="s">
        <v>56</v>
      </c>
      <c r="F25" s="39" t="s">
        <v>188</v>
      </c>
      <c r="G25" s="2" t="s">
        <v>56</v>
      </c>
      <c r="H25" s="36" t="s">
        <v>189</v>
      </c>
      <c r="I25" s="5" t="s">
        <v>60</v>
      </c>
      <c r="J25" s="39" t="s">
        <v>189</v>
      </c>
      <c r="K25" s="2" t="s">
        <v>60</v>
      </c>
      <c r="L25" s="36" t="s">
        <v>290</v>
      </c>
      <c r="M25" s="5" t="s">
        <v>291</v>
      </c>
    </row>
    <row r="26" spans="1:13" x14ac:dyDescent="0.3">
      <c r="A26" s="3">
        <v>1363</v>
      </c>
      <c r="B26" s="4" t="s">
        <v>248</v>
      </c>
      <c r="C26" s="2" t="s">
        <v>161</v>
      </c>
      <c r="D26" s="36" t="s">
        <v>188</v>
      </c>
      <c r="E26" s="5" t="s">
        <v>56</v>
      </c>
      <c r="F26" s="39" t="s">
        <v>188</v>
      </c>
      <c r="G26" s="2" t="s">
        <v>56</v>
      </c>
      <c r="H26" s="36" t="s">
        <v>189</v>
      </c>
      <c r="I26" s="5" t="s">
        <v>60</v>
      </c>
      <c r="J26" s="39" t="s">
        <v>189</v>
      </c>
      <c r="K26" s="2" t="s">
        <v>60</v>
      </c>
      <c r="L26" s="36" t="s">
        <v>290</v>
      </c>
      <c r="M26" s="5" t="s">
        <v>291</v>
      </c>
    </row>
    <row r="27" spans="1:13" x14ac:dyDescent="0.3">
      <c r="A27" s="3">
        <v>1364</v>
      </c>
      <c r="B27" s="4" t="s">
        <v>249</v>
      </c>
      <c r="C27" s="2" t="s">
        <v>162</v>
      </c>
      <c r="D27" s="36" t="s">
        <v>188</v>
      </c>
      <c r="E27" s="5" t="s">
        <v>56</v>
      </c>
      <c r="F27" s="39" t="s">
        <v>188</v>
      </c>
      <c r="G27" s="2" t="s">
        <v>56</v>
      </c>
      <c r="H27" s="36" t="s">
        <v>189</v>
      </c>
      <c r="I27" s="5" t="s">
        <v>60</v>
      </c>
      <c r="J27" s="39" t="s">
        <v>189</v>
      </c>
      <c r="K27" s="2" t="s">
        <v>60</v>
      </c>
      <c r="L27" s="36" t="s">
        <v>290</v>
      </c>
      <c r="M27" s="5" t="s">
        <v>291</v>
      </c>
    </row>
    <row r="28" spans="1:13" x14ac:dyDescent="0.3">
      <c r="A28" s="3">
        <v>1425</v>
      </c>
      <c r="B28" s="4" t="s">
        <v>250</v>
      </c>
      <c r="C28" s="2" t="s">
        <v>161</v>
      </c>
      <c r="D28" s="36" t="s">
        <v>188</v>
      </c>
      <c r="E28" s="5" t="s">
        <v>56</v>
      </c>
      <c r="F28" s="39" t="s">
        <v>188</v>
      </c>
      <c r="G28" s="2" t="s">
        <v>56</v>
      </c>
      <c r="H28" s="36" t="s">
        <v>288</v>
      </c>
      <c r="I28" s="5" t="s">
        <v>289</v>
      </c>
      <c r="J28" s="39" t="s">
        <v>288</v>
      </c>
      <c r="K28" s="2" t="s">
        <v>289</v>
      </c>
      <c r="L28" s="36" t="s">
        <v>288</v>
      </c>
      <c r="M28" s="5" t="s">
        <v>289</v>
      </c>
    </row>
    <row r="29" spans="1:13" x14ac:dyDescent="0.3">
      <c r="A29" s="3">
        <v>1427</v>
      </c>
      <c r="B29" s="4" t="s">
        <v>251</v>
      </c>
      <c r="C29" s="2" t="s">
        <v>162</v>
      </c>
      <c r="D29" s="36" t="s">
        <v>188</v>
      </c>
      <c r="E29" s="5" t="s">
        <v>56</v>
      </c>
      <c r="F29" s="39" t="s">
        <v>188</v>
      </c>
      <c r="G29" s="2" t="s">
        <v>56</v>
      </c>
      <c r="H29" s="36" t="s">
        <v>288</v>
      </c>
      <c r="I29" s="5" t="s">
        <v>289</v>
      </c>
      <c r="J29" s="39" t="s">
        <v>288</v>
      </c>
      <c r="K29" s="2" t="s">
        <v>289</v>
      </c>
      <c r="L29" s="36" t="s">
        <v>288</v>
      </c>
      <c r="M29" s="5" t="s">
        <v>289</v>
      </c>
    </row>
    <row r="30" spans="1:13" x14ac:dyDescent="0.3">
      <c r="A30" s="3">
        <v>1428</v>
      </c>
      <c r="B30" s="4" t="s">
        <v>252</v>
      </c>
      <c r="C30" s="2" t="s">
        <v>161</v>
      </c>
      <c r="D30" s="36" t="s">
        <v>188</v>
      </c>
      <c r="E30" s="5" t="s">
        <v>56</v>
      </c>
      <c r="F30" s="39" t="s">
        <v>188</v>
      </c>
      <c r="G30" s="2" t="s">
        <v>56</v>
      </c>
      <c r="H30" s="36" t="s">
        <v>288</v>
      </c>
      <c r="I30" s="5" t="s">
        <v>289</v>
      </c>
      <c r="J30" s="39" t="s">
        <v>288</v>
      </c>
      <c r="K30" s="2" t="s">
        <v>289</v>
      </c>
      <c r="L30" s="36" t="s">
        <v>288</v>
      </c>
      <c r="M30" s="5" t="s">
        <v>289</v>
      </c>
    </row>
    <row r="31" spans="1:13" x14ac:dyDescent="0.3">
      <c r="A31" s="3">
        <v>1429</v>
      </c>
      <c r="B31" s="4" t="s">
        <v>253</v>
      </c>
      <c r="C31" s="2" t="s">
        <v>163</v>
      </c>
      <c r="D31" s="36" t="s">
        <v>188</v>
      </c>
      <c r="E31" s="5" t="s">
        <v>56</v>
      </c>
      <c r="F31" s="39" t="s">
        <v>188</v>
      </c>
      <c r="G31" s="2" t="s">
        <v>56</v>
      </c>
      <c r="H31" s="36" t="s">
        <v>288</v>
      </c>
      <c r="I31" s="5" t="s">
        <v>289</v>
      </c>
      <c r="J31" s="39" t="s">
        <v>288</v>
      </c>
      <c r="K31" s="2" t="s">
        <v>289</v>
      </c>
      <c r="L31" s="36" t="s">
        <v>288</v>
      </c>
      <c r="M31" s="5" t="s">
        <v>289</v>
      </c>
    </row>
    <row r="32" spans="1:13" x14ac:dyDescent="0.3">
      <c r="A32" s="3">
        <v>1430</v>
      </c>
      <c r="B32" s="4" t="s">
        <v>254</v>
      </c>
      <c r="C32" s="2" t="s">
        <v>178</v>
      </c>
      <c r="D32" s="36" t="s">
        <v>188</v>
      </c>
      <c r="E32" s="5" t="s">
        <v>56</v>
      </c>
      <c r="F32" s="39" t="s">
        <v>188</v>
      </c>
      <c r="G32" s="2" t="s">
        <v>56</v>
      </c>
      <c r="H32" s="36" t="s">
        <v>288</v>
      </c>
      <c r="I32" s="5" t="s">
        <v>289</v>
      </c>
      <c r="J32" s="39" t="s">
        <v>288</v>
      </c>
      <c r="K32" s="2" t="s">
        <v>289</v>
      </c>
      <c r="L32" s="36" t="s">
        <v>288</v>
      </c>
      <c r="M32" s="5" t="s">
        <v>289</v>
      </c>
    </row>
    <row r="33" spans="1:13" x14ac:dyDescent="0.3">
      <c r="A33" s="3">
        <v>1431</v>
      </c>
      <c r="B33" s="4" t="s">
        <v>255</v>
      </c>
      <c r="C33" s="2" t="s">
        <v>162</v>
      </c>
      <c r="D33" s="36" t="s">
        <v>188</v>
      </c>
      <c r="E33" s="5" t="s">
        <v>56</v>
      </c>
      <c r="F33" s="39" t="s">
        <v>188</v>
      </c>
      <c r="G33" s="2" t="s">
        <v>56</v>
      </c>
      <c r="H33" s="36" t="s">
        <v>288</v>
      </c>
      <c r="I33" s="5" t="s">
        <v>289</v>
      </c>
      <c r="J33" s="39" t="s">
        <v>288</v>
      </c>
      <c r="K33" s="2" t="s">
        <v>289</v>
      </c>
      <c r="L33" s="36" t="s">
        <v>288</v>
      </c>
      <c r="M33" s="5" t="s">
        <v>289</v>
      </c>
    </row>
    <row r="34" spans="1:13" x14ac:dyDescent="0.3">
      <c r="A34" s="3">
        <v>1432</v>
      </c>
      <c r="B34" s="4" t="s">
        <v>256</v>
      </c>
      <c r="C34" s="2" t="s">
        <v>162</v>
      </c>
      <c r="D34" s="36" t="s">
        <v>188</v>
      </c>
      <c r="E34" s="5" t="s">
        <v>56</v>
      </c>
      <c r="F34" s="39" t="s">
        <v>188</v>
      </c>
      <c r="G34" s="2" t="s">
        <v>56</v>
      </c>
      <c r="H34" s="36" t="s">
        <v>288</v>
      </c>
      <c r="I34" s="5" t="s">
        <v>289</v>
      </c>
      <c r="J34" s="39" t="s">
        <v>288</v>
      </c>
      <c r="K34" s="2" t="s">
        <v>289</v>
      </c>
      <c r="L34" s="36" t="s">
        <v>288</v>
      </c>
      <c r="M34" s="5" t="s">
        <v>289</v>
      </c>
    </row>
    <row r="35" spans="1:13" x14ac:dyDescent="0.3">
      <c r="A35" s="3">
        <v>1433</v>
      </c>
      <c r="B35" s="4" t="s">
        <v>257</v>
      </c>
      <c r="C35" s="2" t="s">
        <v>165</v>
      </c>
      <c r="D35" s="36" t="s">
        <v>188</v>
      </c>
      <c r="E35" s="5" t="s">
        <v>56</v>
      </c>
      <c r="F35" s="39" t="s">
        <v>188</v>
      </c>
      <c r="G35" s="2" t="s">
        <v>56</v>
      </c>
      <c r="H35" s="36" t="s">
        <v>288</v>
      </c>
      <c r="I35" s="5" t="s">
        <v>289</v>
      </c>
      <c r="J35" s="39" t="s">
        <v>288</v>
      </c>
      <c r="K35" s="2" t="s">
        <v>289</v>
      </c>
      <c r="L35" s="36" t="s">
        <v>288</v>
      </c>
      <c r="M35" s="5" t="s">
        <v>289</v>
      </c>
    </row>
    <row r="36" spans="1:13" x14ac:dyDescent="0.3">
      <c r="A36" s="3">
        <v>1438</v>
      </c>
      <c r="B36" s="4" t="s">
        <v>258</v>
      </c>
      <c r="C36" s="2" t="s">
        <v>163</v>
      </c>
      <c r="D36" s="36" t="s">
        <v>188</v>
      </c>
      <c r="E36" s="5" t="s">
        <v>56</v>
      </c>
      <c r="F36" s="39" t="s">
        <v>188</v>
      </c>
      <c r="G36" s="2" t="s">
        <v>56</v>
      </c>
      <c r="H36" s="36" t="s">
        <v>288</v>
      </c>
      <c r="I36" s="5" t="s">
        <v>289</v>
      </c>
      <c r="J36" s="39" t="s">
        <v>288</v>
      </c>
      <c r="K36" s="2" t="s">
        <v>289</v>
      </c>
      <c r="L36" s="36" t="s">
        <v>288</v>
      </c>
      <c r="M36" s="5" t="s">
        <v>289</v>
      </c>
    </row>
    <row r="37" spans="1:13" x14ac:dyDescent="0.3">
      <c r="A37" s="3">
        <v>1439</v>
      </c>
      <c r="B37" s="4" t="s">
        <v>259</v>
      </c>
      <c r="C37" s="2" t="s">
        <v>163</v>
      </c>
      <c r="D37" s="36" t="s">
        <v>188</v>
      </c>
      <c r="E37" s="5" t="s">
        <v>56</v>
      </c>
      <c r="F37" s="39" t="s">
        <v>188</v>
      </c>
      <c r="G37" s="2" t="s">
        <v>56</v>
      </c>
      <c r="H37" s="36" t="s">
        <v>288</v>
      </c>
      <c r="I37" s="5" t="s">
        <v>289</v>
      </c>
      <c r="J37" s="39" t="s">
        <v>288</v>
      </c>
      <c r="K37" s="2" t="s">
        <v>289</v>
      </c>
      <c r="L37" s="36" t="s">
        <v>288</v>
      </c>
      <c r="M37" s="5" t="s">
        <v>289</v>
      </c>
    </row>
    <row r="38" spans="1:13" x14ac:dyDescent="0.3">
      <c r="A38" s="3">
        <v>1442</v>
      </c>
      <c r="B38" s="4" t="s">
        <v>260</v>
      </c>
      <c r="C38" s="2" t="s">
        <v>176</v>
      </c>
      <c r="D38" s="36" t="s">
        <v>188</v>
      </c>
      <c r="E38" s="5" t="s">
        <v>56</v>
      </c>
      <c r="F38" s="39" t="s">
        <v>188</v>
      </c>
      <c r="G38" s="2" t="s">
        <v>56</v>
      </c>
      <c r="H38" s="36" t="s">
        <v>194</v>
      </c>
      <c r="I38" s="5" t="s">
        <v>59</v>
      </c>
      <c r="J38" s="39" t="s">
        <v>194</v>
      </c>
      <c r="K38" s="2" t="s">
        <v>59</v>
      </c>
      <c r="L38" s="36" t="s">
        <v>191</v>
      </c>
      <c r="M38" s="5" t="s">
        <v>192</v>
      </c>
    </row>
    <row r="39" spans="1:13" x14ac:dyDescent="0.3">
      <c r="A39" s="3">
        <v>1501</v>
      </c>
      <c r="B39" s="4" t="s">
        <v>261</v>
      </c>
      <c r="C39" s="2" t="s">
        <v>161</v>
      </c>
      <c r="D39" s="36" t="s">
        <v>188</v>
      </c>
      <c r="E39" s="5" t="s">
        <v>56</v>
      </c>
      <c r="F39" s="39" t="s">
        <v>188</v>
      </c>
      <c r="G39" s="2" t="s">
        <v>56</v>
      </c>
      <c r="H39" s="36" t="s">
        <v>292</v>
      </c>
      <c r="I39" s="5" t="s">
        <v>293</v>
      </c>
      <c r="J39" s="39" t="s">
        <v>292</v>
      </c>
      <c r="K39" s="2" t="s">
        <v>293</v>
      </c>
      <c r="L39" s="36" t="s">
        <v>292</v>
      </c>
      <c r="M39" s="5" t="s">
        <v>293</v>
      </c>
    </row>
    <row r="40" spans="1:13" x14ac:dyDescent="0.3">
      <c r="A40" s="3">
        <v>1502</v>
      </c>
      <c r="B40" s="4" t="s">
        <v>262</v>
      </c>
      <c r="C40" s="2" t="s">
        <v>181</v>
      </c>
      <c r="D40" s="36" t="s">
        <v>188</v>
      </c>
      <c r="E40" s="5" t="s">
        <v>56</v>
      </c>
      <c r="F40" s="39" t="s">
        <v>188</v>
      </c>
      <c r="G40" s="2" t="s">
        <v>56</v>
      </c>
      <c r="H40" s="36" t="s">
        <v>292</v>
      </c>
      <c r="I40" s="5" t="s">
        <v>293</v>
      </c>
      <c r="J40" s="39" t="s">
        <v>292</v>
      </c>
      <c r="K40" s="2" t="s">
        <v>293</v>
      </c>
      <c r="L40" s="36" t="s">
        <v>292</v>
      </c>
      <c r="M40" s="5" t="s">
        <v>293</v>
      </c>
    </row>
    <row r="41" spans="1:13" x14ac:dyDescent="0.3">
      <c r="A41" s="3">
        <v>1503</v>
      </c>
      <c r="B41" s="4" t="s">
        <v>263</v>
      </c>
      <c r="C41" s="2" t="s">
        <v>172</v>
      </c>
      <c r="D41" s="36" t="s">
        <v>188</v>
      </c>
      <c r="E41" s="5" t="s">
        <v>56</v>
      </c>
      <c r="F41" s="39" t="s">
        <v>188</v>
      </c>
      <c r="G41" s="2" t="s">
        <v>56</v>
      </c>
      <c r="H41" s="36" t="s">
        <v>292</v>
      </c>
      <c r="I41" s="5" t="s">
        <v>293</v>
      </c>
      <c r="J41" s="39" t="s">
        <v>292</v>
      </c>
      <c r="K41" s="2" t="s">
        <v>293</v>
      </c>
      <c r="L41" s="36" t="s">
        <v>292</v>
      </c>
      <c r="M41" s="5" t="s">
        <v>293</v>
      </c>
    </row>
    <row r="42" spans="1:13" x14ac:dyDescent="0.3">
      <c r="A42" s="3">
        <v>1504</v>
      </c>
      <c r="B42" s="4" t="s">
        <v>264</v>
      </c>
      <c r="C42" s="2" t="s">
        <v>175</v>
      </c>
      <c r="D42" s="36" t="s">
        <v>188</v>
      </c>
      <c r="E42" s="5" t="s">
        <v>56</v>
      </c>
      <c r="F42" s="39" t="s">
        <v>188</v>
      </c>
      <c r="G42" s="2" t="s">
        <v>56</v>
      </c>
      <c r="H42" s="36" t="s">
        <v>292</v>
      </c>
      <c r="I42" s="5" t="s">
        <v>293</v>
      </c>
      <c r="J42" s="39" t="s">
        <v>292</v>
      </c>
      <c r="K42" s="2" t="s">
        <v>293</v>
      </c>
      <c r="L42" s="36" t="s">
        <v>292</v>
      </c>
      <c r="M42" s="5" t="s">
        <v>293</v>
      </c>
    </row>
    <row r="43" spans="1:13" x14ac:dyDescent="0.3">
      <c r="A43" s="3">
        <v>1505</v>
      </c>
      <c r="B43" s="4" t="s">
        <v>265</v>
      </c>
      <c r="C43" s="2" t="s">
        <v>178</v>
      </c>
      <c r="D43" s="36" t="s">
        <v>188</v>
      </c>
      <c r="E43" s="5" t="s">
        <v>56</v>
      </c>
      <c r="F43" s="39" t="s">
        <v>188</v>
      </c>
      <c r="G43" s="2" t="s">
        <v>56</v>
      </c>
      <c r="H43" s="36" t="s">
        <v>292</v>
      </c>
      <c r="I43" s="5" t="s">
        <v>293</v>
      </c>
      <c r="J43" s="39" t="s">
        <v>292</v>
      </c>
      <c r="K43" s="2" t="s">
        <v>293</v>
      </c>
      <c r="L43" s="36" t="s">
        <v>292</v>
      </c>
      <c r="M43" s="5" t="s">
        <v>293</v>
      </c>
    </row>
    <row r="44" spans="1:13" x14ac:dyDescent="0.3">
      <c r="A44" s="3">
        <v>1507</v>
      </c>
      <c r="B44" s="4" t="s">
        <v>266</v>
      </c>
      <c r="C44" s="2" t="s">
        <v>173</v>
      </c>
      <c r="D44" s="36" t="s">
        <v>188</v>
      </c>
      <c r="E44" s="5" t="s">
        <v>56</v>
      </c>
      <c r="F44" s="39" t="s">
        <v>188</v>
      </c>
      <c r="G44" s="2" t="s">
        <v>56</v>
      </c>
      <c r="H44" s="36" t="s">
        <v>292</v>
      </c>
      <c r="I44" s="5" t="s">
        <v>293</v>
      </c>
      <c r="J44" s="39" t="s">
        <v>292</v>
      </c>
      <c r="K44" s="2" t="s">
        <v>293</v>
      </c>
      <c r="L44" s="36" t="s">
        <v>292</v>
      </c>
      <c r="M44" s="5" t="s">
        <v>293</v>
      </c>
    </row>
    <row r="45" spans="1:13" x14ac:dyDescent="0.3">
      <c r="A45" s="3">
        <v>1508</v>
      </c>
      <c r="B45" s="4" t="s">
        <v>267</v>
      </c>
      <c r="C45" s="2" t="s">
        <v>174</v>
      </c>
      <c r="D45" s="36" t="s">
        <v>188</v>
      </c>
      <c r="E45" s="5" t="s">
        <v>56</v>
      </c>
      <c r="F45" s="39" t="s">
        <v>188</v>
      </c>
      <c r="G45" s="2" t="s">
        <v>56</v>
      </c>
      <c r="H45" s="36" t="s">
        <v>292</v>
      </c>
      <c r="I45" s="5" t="s">
        <v>293</v>
      </c>
      <c r="J45" s="39" t="s">
        <v>292</v>
      </c>
      <c r="K45" s="2" t="s">
        <v>293</v>
      </c>
      <c r="L45" s="36" t="s">
        <v>292</v>
      </c>
      <c r="M45" s="5" t="s">
        <v>293</v>
      </c>
    </row>
    <row r="46" spans="1:13" x14ac:dyDescent="0.3">
      <c r="A46" s="3">
        <v>1509</v>
      </c>
      <c r="B46" s="4" t="s">
        <v>268</v>
      </c>
      <c r="C46" s="2" t="s">
        <v>170</v>
      </c>
      <c r="D46" s="36" t="s">
        <v>188</v>
      </c>
      <c r="E46" s="5" t="s">
        <v>56</v>
      </c>
      <c r="F46" s="39" t="s">
        <v>188</v>
      </c>
      <c r="G46" s="2" t="s">
        <v>56</v>
      </c>
      <c r="H46" s="36" t="s">
        <v>292</v>
      </c>
      <c r="I46" s="5" t="s">
        <v>293</v>
      </c>
      <c r="J46" s="39" t="s">
        <v>292</v>
      </c>
      <c r="K46" s="2" t="s">
        <v>293</v>
      </c>
      <c r="L46" s="36" t="s">
        <v>292</v>
      </c>
      <c r="M46" s="5" t="s">
        <v>293</v>
      </c>
    </row>
    <row r="47" spans="1:13" x14ac:dyDescent="0.3">
      <c r="A47" s="3">
        <v>1510</v>
      </c>
      <c r="B47" s="4" t="s">
        <v>269</v>
      </c>
      <c r="C47" s="2" t="s">
        <v>168</v>
      </c>
      <c r="D47" s="36" t="s">
        <v>188</v>
      </c>
      <c r="E47" s="5" t="s">
        <v>56</v>
      </c>
      <c r="F47" s="39" t="s">
        <v>188</v>
      </c>
      <c r="G47" s="2" t="s">
        <v>56</v>
      </c>
      <c r="H47" s="36" t="s">
        <v>292</v>
      </c>
      <c r="I47" s="5" t="s">
        <v>293</v>
      </c>
      <c r="J47" s="39" t="s">
        <v>292</v>
      </c>
      <c r="K47" s="2" t="s">
        <v>293</v>
      </c>
      <c r="L47" s="36" t="s">
        <v>292</v>
      </c>
      <c r="M47" s="5" t="s">
        <v>293</v>
      </c>
    </row>
    <row r="48" spans="1:13" x14ac:dyDescent="0.3">
      <c r="A48" s="3">
        <v>1511</v>
      </c>
      <c r="B48" s="4" t="s">
        <v>270</v>
      </c>
      <c r="C48" s="2" t="s">
        <v>169</v>
      </c>
      <c r="D48" s="36" t="s">
        <v>188</v>
      </c>
      <c r="E48" s="5" t="s">
        <v>56</v>
      </c>
      <c r="F48" s="39" t="s">
        <v>188</v>
      </c>
      <c r="G48" s="2" t="s">
        <v>56</v>
      </c>
      <c r="H48" s="36" t="s">
        <v>292</v>
      </c>
      <c r="I48" s="5" t="s">
        <v>293</v>
      </c>
      <c r="J48" s="39" t="s">
        <v>292</v>
      </c>
      <c r="K48" s="2" t="s">
        <v>293</v>
      </c>
      <c r="L48" s="36" t="s">
        <v>292</v>
      </c>
      <c r="M48" s="5" t="s">
        <v>293</v>
      </c>
    </row>
    <row r="49" spans="1:13" x14ac:dyDescent="0.3">
      <c r="A49" s="3">
        <v>1512</v>
      </c>
      <c r="B49" s="4" t="s">
        <v>271</v>
      </c>
      <c r="C49" s="2" t="s">
        <v>186</v>
      </c>
      <c r="D49" s="36" t="s">
        <v>188</v>
      </c>
      <c r="E49" s="5" t="s">
        <v>56</v>
      </c>
      <c r="F49" s="39" t="s">
        <v>188</v>
      </c>
      <c r="G49" s="2" t="s">
        <v>56</v>
      </c>
      <c r="H49" s="36" t="s">
        <v>292</v>
      </c>
      <c r="I49" s="5" t="s">
        <v>293</v>
      </c>
      <c r="J49" s="39" t="s">
        <v>292</v>
      </c>
      <c r="K49" s="2" t="s">
        <v>293</v>
      </c>
      <c r="L49" s="36" t="s">
        <v>292</v>
      </c>
      <c r="M49" s="5" t="s">
        <v>293</v>
      </c>
    </row>
    <row r="50" spans="1:13" x14ac:dyDescent="0.3">
      <c r="A50" s="3">
        <v>1513</v>
      </c>
      <c r="B50" s="4" t="s">
        <v>272</v>
      </c>
      <c r="C50" s="2" t="s">
        <v>171</v>
      </c>
      <c r="D50" s="36" t="s">
        <v>188</v>
      </c>
      <c r="E50" s="5" t="s">
        <v>56</v>
      </c>
      <c r="F50" s="39" t="s">
        <v>188</v>
      </c>
      <c r="G50" s="2" t="s">
        <v>56</v>
      </c>
      <c r="H50" s="36" t="s">
        <v>292</v>
      </c>
      <c r="I50" s="5" t="s">
        <v>293</v>
      </c>
      <c r="J50" s="39" t="s">
        <v>292</v>
      </c>
      <c r="K50" s="2" t="s">
        <v>293</v>
      </c>
      <c r="L50" s="36" t="s">
        <v>292</v>
      </c>
      <c r="M50" s="5" t="s">
        <v>293</v>
      </c>
    </row>
    <row r="51" spans="1:13" x14ac:dyDescent="0.3">
      <c r="A51" s="3">
        <v>1514</v>
      </c>
      <c r="B51" s="4" t="s">
        <v>273</v>
      </c>
      <c r="C51" s="2" t="s">
        <v>184</v>
      </c>
      <c r="D51" s="36" t="s">
        <v>188</v>
      </c>
      <c r="E51" s="5" t="s">
        <v>56</v>
      </c>
      <c r="F51" s="39" t="s">
        <v>188</v>
      </c>
      <c r="G51" s="2" t="s">
        <v>56</v>
      </c>
      <c r="H51" s="36" t="s">
        <v>292</v>
      </c>
      <c r="I51" s="5" t="s">
        <v>293</v>
      </c>
      <c r="J51" s="39" t="s">
        <v>292</v>
      </c>
      <c r="K51" s="2" t="s">
        <v>293</v>
      </c>
      <c r="L51" s="36" t="s">
        <v>292</v>
      </c>
      <c r="M51" s="5" t="s">
        <v>293</v>
      </c>
    </row>
    <row r="52" spans="1:13" x14ac:dyDescent="0.3">
      <c r="A52" s="3">
        <v>1515</v>
      </c>
      <c r="B52" s="4" t="s">
        <v>274</v>
      </c>
      <c r="C52" s="2" t="s">
        <v>185</v>
      </c>
      <c r="D52" s="36" t="s">
        <v>188</v>
      </c>
      <c r="E52" s="5" t="s">
        <v>56</v>
      </c>
      <c r="F52" s="39" t="s">
        <v>188</v>
      </c>
      <c r="G52" s="2" t="s">
        <v>56</v>
      </c>
      <c r="H52" s="36" t="s">
        <v>292</v>
      </c>
      <c r="I52" s="5" t="s">
        <v>293</v>
      </c>
      <c r="J52" s="39" t="s">
        <v>292</v>
      </c>
      <c r="K52" s="2" t="s">
        <v>293</v>
      </c>
      <c r="L52" s="36" t="s">
        <v>292</v>
      </c>
      <c r="M52" s="5" t="s">
        <v>293</v>
      </c>
    </row>
    <row r="53" spans="1:13" x14ac:dyDescent="0.3">
      <c r="A53" s="3">
        <v>1516</v>
      </c>
      <c r="B53" s="4" t="s">
        <v>275</v>
      </c>
      <c r="C53" s="2" t="s">
        <v>176</v>
      </c>
      <c r="D53" s="36" t="s">
        <v>188</v>
      </c>
      <c r="E53" s="5" t="s">
        <v>56</v>
      </c>
      <c r="F53" s="39" t="s">
        <v>188</v>
      </c>
      <c r="G53" s="2" t="s">
        <v>56</v>
      </c>
      <c r="H53" s="36" t="s">
        <v>292</v>
      </c>
      <c r="I53" s="5" t="s">
        <v>293</v>
      </c>
      <c r="J53" s="39" t="s">
        <v>292</v>
      </c>
      <c r="K53" s="2" t="s">
        <v>293</v>
      </c>
      <c r="L53" s="36" t="s">
        <v>292</v>
      </c>
      <c r="M53" s="5" t="s">
        <v>293</v>
      </c>
    </row>
    <row r="54" spans="1:13" x14ac:dyDescent="0.3">
      <c r="A54" s="3">
        <v>1517</v>
      </c>
      <c r="B54" s="4" t="s">
        <v>276</v>
      </c>
      <c r="C54" s="2" t="s">
        <v>180</v>
      </c>
      <c r="D54" s="36" t="s">
        <v>188</v>
      </c>
      <c r="E54" s="5" t="s">
        <v>56</v>
      </c>
      <c r="F54" s="39" t="s">
        <v>188</v>
      </c>
      <c r="G54" s="2" t="s">
        <v>56</v>
      </c>
      <c r="H54" s="36" t="s">
        <v>292</v>
      </c>
      <c r="I54" s="5" t="s">
        <v>293</v>
      </c>
      <c r="J54" s="39" t="s">
        <v>292</v>
      </c>
      <c r="K54" s="2" t="s">
        <v>293</v>
      </c>
      <c r="L54" s="36" t="s">
        <v>292</v>
      </c>
      <c r="M54" s="5" t="s">
        <v>293</v>
      </c>
    </row>
    <row r="55" spans="1:13" x14ac:dyDescent="0.3">
      <c r="A55" s="3">
        <v>1518</v>
      </c>
      <c r="B55" s="4" t="s">
        <v>277</v>
      </c>
      <c r="C55" s="2" t="s">
        <v>182</v>
      </c>
      <c r="D55" s="36" t="s">
        <v>188</v>
      </c>
      <c r="E55" s="5" t="s">
        <v>56</v>
      </c>
      <c r="F55" s="39" t="s">
        <v>188</v>
      </c>
      <c r="G55" s="2" t="s">
        <v>56</v>
      </c>
      <c r="H55" s="36" t="s">
        <v>292</v>
      </c>
      <c r="I55" s="5" t="s">
        <v>293</v>
      </c>
      <c r="J55" s="39" t="s">
        <v>292</v>
      </c>
      <c r="K55" s="2" t="s">
        <v>293</v>
      </c>
      <c r="L55" s="36" t="s">
        <v>292</v>
      </c>
      <c r="M55" s="5" t="s">
        <v>293</v>
      </c>
    </row>
    <row r="56" spans="1:13" x14ac:dyDescent="0.3">
      <c r="A56" s="3">
        <v>1519</v>
      </c>
      <c r="B56" s="4" t="s">
        <v>278</v>
      </c>
      <c r="C56" s="2" t="s">
        <v>183</v>
      </c>
      <c r="D56" s="36" t="s">
        <v>188</v>
      </c>
      <c r="E56" s="5" t="s">
        <v>56</v>
      </c>
      <c r="F56" s="39" t="s">
        <v>188</v>
      </c>
      <c r="G56" s="2" t="s">
        <v>56</v>
      </c>
      <c r="H56" s="36" t="s">
        <v>292</v>
      </c>
      <c r="I56" s="5" t="s">
        <v>293</v>
      </c>
      <c r="J56" s="39" t="s">
        <v>292</v>
      </c>
      <c r="K56" s="2" t="s">
        <v>293</v>
      </c>
      <c r="L56" s="36" t="s">
        <v>292</v>
      </c>
      <c r="M56" s="5" t="s">
        <v>293</v>
      </c>
    </row>
    <row r="57" spans="1:13" x14ac:dyDescent="0.3">
      <c r="A57" s="3">
        <v>1520</v>
      </c>
      <c r="B57" s="4" t="s">
        <v>279</v>
      </c>
      <c r="C57" s="2" t="s">
        <v>179</v>
      </c>
      <c r="D57" s="36" t="s">
        <v>188</v>
      </c>
      <c r="E57" s="5" t="s">
        <v>56</v>
      </c>
      <c r="F57" s="39" t="s">
        <v>188</v>
      </c>
      <c r="G57" s="2" t="s">
        <v>56</v>
      </c>
      <c r="H57" s="36" t="s">
        <v>292</v>
      </c>
      <c r="I57" s="5" t="s">
        <v>293</v>
      </c>
      <c r="J57" s="39" t="s">
        <v>292</v>
      </c>
      <c r="K57" s="2" t="s">
        <v>293</v>
      </c>
      <c r="L57" s="36" t="s">
        <v>292</v>
      </c>
      <c r="M57" s="5" t="s">
        <v>293</v>
      </c>
    </row>
    <row r="58" spans="1:13" x14ac:dyDescent="0.3">
      <c r="A58" s="3">
        <v>1521</v>
      </c>
      <c r="B58" s="4" t="s">
        <v>280</v>
      </c>
      <c r="C58" s="2" t="s">
        <v>167</v>
      </c>
      <c r="D58" s="36" t="s">
        <v>188</v>
      </c>
      <c r="E58" s="5" t="s">
        <v>56</v>
      </c>
      <c r="F58" s="39" t="s">
        <v>188</v>
      </c>
      <c r="G58" s="2" t="s">
        <v>56</v>
      </c>
      <c r="H58" s="36" t="s">
        <v>292</v>
      </c>
      <c r="I58" s="5" t="s">
        <v>293</v>
      </c>
      <c r="J58" s="39" t="s">
        <v>292</v>
      </c>
      <c r="K58" s="2" t="s">
        <v>293</v>
      </c>
      <c r="L58" s="36" t="s">
        <v>292</v>
      </c>
      <c r="M58" s="5" t="s">
        <v>293</v>
      </c>
    </row>
    <row r="59" spans="1:13" x14ac:dyDescent="0.3">
      <c r="A59" s="3">
        <v>1522</v>
      </c>
      <c r="B59" s="4" t="s">
        <v>281</v>
      </c>
      <c r="C59" s="2" t="s">
        <v>177</v>
      </c>
      <c r="D59" s="36" t="s">
        <v>188</v>
      </c>
      <c r="E59" s="5" t="s">
        <v>56</v>
      </c>
      <c r="F59" s="39" t="s">
        <v>188</v>
      </c>
      <c r="G59" s="2" t="s">
        <v>56</v>
      </c>
      <c r="H59" s="36" t="s">
        <v>292</v>
      </c>
      <c r="I59" s="5" t="s">
        <v>293</v>
      </c>
      <c r="J59" s="39" t="s">
        <v>292</v>
      </c>
      <c r="K59" s="2" t="s">
        <v>293</v>
      </c>
      <c r="L59" s="36" t="s">
        <v>292</v>
      </c>
      <c r="M59" s="5" t="s">
        <v>293</v>
      </c>
    </row>
    <row r="60" spans="1:13" x14ac:dyDescent="0.3">
      <c r="A60" s="3">
        <v>1523</v>
      </c>
      <c r="B60" s="4" t="s">
        <v>282</v>
      </c>
      <c r="C60" s="2" t="s">
        <v>165</v>
      </c>
      <c r="D60" s="36" t="s">
        <v>188</v>
      </c>
      <c r="E60" s="5" t="s">
        <v>56</v>
      </c>
      <c r="F60" s="39" t="s">
        <v>188</v>
      </c>
      <c r="G60" s="2" t="s">
        <v>56</v>
      </c>
      <c r="H60" s="36" t="s">
        <v>292</v>
      </c>
      <c r="I60" s="5" t="s">
        <v>293</v>
      </c>
      <c r="J60" s="39" t="s">
        <v>292</v>
      </c>
      <c r="K60" s="2" t="s">
        <v>293</v>
      </c>
      <c r="L60" s="36" t="s">
        <v>292</v>
      </c>
      <c r="M60" s="5" t="s">
        <v>293</v>
      </c>
    </row>
    <row r="61" spans="1:13" x14ac:dyDescent="0.3">
      <c r="A61" s="3">
        <v>1524</v>
      </c>
      <c r="B61" s="4" t="s">
        <v>283</v>
      </c>
      <c r="C61" s="2" t="s">
        <v>166</v>
      </c>
      <c r="D61" s="36" t="s">
        <v>188</v>
      </c>
      <c r="E61" s="5" t="s">
        <v>56</v>
      </c>
      <c r="F61" s="39" t="s">
        <v>188</v>
      </c>
      <c r="G61" s="2" t="s">
        <v>56</v>
      </c>
      <c r="H61" s="36" t="s">
        <v>292</v>
      </c>
      <c r="I61" s="5" t="s">
        <v>293</v>
      </c>
      <c r="J61" s="39" t="s">
        <v>292</v>
      </c>
      <c r="K61" s="2" t="s">
        <v>293</v>
      </c>
      <c r="L61" s="36" t="s">
        <v>292</v>
      </c>
      <c r="M61" s="5" t="s">
        <v>293</v>
      </c>
    </row>
    <row r="62" spans="1:13" x14ac:dyDescent="0.3">
      <c r="A62" s="3">
        <v>1525</v>
      </c>
      <c r="B62" s="4" t="s">
        <v>284</v>
      </c>
      <c r="C62" s="2" t="s">
        <v>164</v>
      </c>
      <c r="D62" s="36" t="s">
        <v>188</v>
      </c>
      <c r="E62" s="5" t="s">
        <v>56</v>
      </c>
      <c r="F62" s="39" t="s">
        <v>188</v>
      </c>
      <c r="G62" s="2" t="s">
        <v>56</v>
      </c>
      <c r="H62" s="36" t="s">
        <v>292</v>
      </c>
      <c r="I62" s="5" t="s">
        <v>293</v>
      </c>
      <c r="J62" s="39" t="s">
        <v>292</v>
      </c>
      <c r="K62" s="2" t="s">
        <v>293</v>
      </c>
      <c r="L62" s="36" t="s">
        <v>292</v>
      </c>
      <c r="M62" s="5" t="s">
        <v>293</v>
      </c>
    </row>
    <row r="63" spans="1:13" x14ac:dyDescent="0.3">
      <c r="A63" s="3">
        <v>1526</v>
      </c>
      <c r="B63" s="4" t="s">
        <v>285</v>
      </c>
      <c r="C63" s="2" t="s">
        <v>164</v>
      </c>
      <c r="D63" s="36" t="s">
        <v>188</v>
      </c>
      <c r="E63" s="5" t="s">
        <v>56</v>
      </c>
      <c r="F63" s="39" t="s">
        <v>188</v>
      </c>
      <c r="G63" s="2" t="s">
        <v>56</v>
      </c>
      <c r="H63" s="36" t="s">
        <v>292</v>
      </c>
      <c r="I63" s="5" t="s">
        <v>293</v>
      </c>
      <c r="J63" s="39" t="s">
        <v>292</v>
      </c>
      <c r="K63" s="2" t="s">
        <v>293</v>
      </c>
      <c r="L63" s="36" t="s">
        <v>292</v>
      </c>
      <c r="M63" s="5" t="s">
        <v>293</v>
      </c>
    </row>
    <row r="64" spans="1:13" x14ac:dyDescent="0.3">
      <c r="A64" s="3">
        <v>1528</v>
      </c>
      <c r="B64" s="4" t="s">
        <v>286</v>
      </c>
      <c r="C64" s="2" t="s">
        <v>163</v>
      </c>
      <c r="D64" s="36" t="s">
        <v>188</v>
      </c>
      <c r="E64" s="5" t="s">
        <v>56</v>
      </c>
      <c r="F64" s="39" t="s">
        <v>188</v>
      </c>
      <c r="G64" s="2" t="s">
        <v>56</v>
      </c>
      <c r="H64" s="36" t="s">
        <v>292</v>
      </c>
      <c r="I64" s="5" t="s">
        <v>293</v>
      </c>
      <c r="J64" s="39" t="s">
        <v>292</v>
      </c>
      <c r="K64" s="2" t="s">
        <v>293</v>
      </c>
      <c r="L64" s="36" t="s">
        <v>292</v>
      </c>
      <c r="M64" s="5" t="s">
        <v>293</v>
      </c>
    </row>
    <row r="65" spans="1:13" x14ac:dyDescent="0.3">
      <c r="A65" s="3">
        <v>1530</v>
      </c>
      <c r="B65" s="4" t="s">
        <v>287</v>
      </c>
      <c r="C65" s="2" t="s">
        <v>162</v>
      </c>
      <c r="D65" s="36" t="s">
        <v>188</v>
      </c>
      <c r="E65" s="5" t="s">
        <v>56</v>
      </c>
      <c r="F65" s="39" t="s">
        <v>188</v>
      </c>
      <c r="G65" s="2" t="s">
        <v>56</v>
      </c>
      <c r="H65" s="36" t="s">
        <v>292</v>
      </c>
      <c r="I65" s="5" t="s">
        <v>293</v>
      </c>
      <c r="J65" s="39" t="s">
        <v>292</v>
      </c>
      <c r="K65" s="2" t="s">
        <v>293</v>
      </c>
      <c r="L65" s="36" t="s">
        <v>292</v>
      </c>
      <c r="M65" s="5" t="s">
        <v>293</v>
      </c>
    </row>
    <row r="66" spans="1:13" x14ac:dyDescent="0.3">
      <c r="A66" s="3">
        <v>1532</v>
      </c>
      <c r="B66" s="4" t="s">
        <v>368</v>
      </c>
      <c r="C66" s="2" t="s">
        <v>370</v>
      </c>
      <c r="D66" s="36" t="s">
        <v>188</v>
      </c>
      <c r="E66" s="5" t="s">
        <v>56</v>
      </c>
      <c r="F66" s="39" t="s">
        <v>188</v>
      </c>
      <c r="G66" s="2" t="s">
        <v>56</v>
      </c>
      <c r="H66" s="36" t="s">
        <v>292</v>
      </c>
      <c r="I66" s="5" t="s">
        <v>293</v>
      </c>
      <c r="J66" s="39" t="s">
        <v>292</v>
      </c>
      <c r="K66" s="2" t="s">
        <v>293</v>
      </c>
      <c r="L66" s="36" t="s">
        <v>292</v>
      </c>
      <c r="M66" s="5" t="s">
        <v>293</v>
      </c>
    </row>
    <row r="67" spans="1:13" x14ac:dyDescent="0.3">
      <c r="A67" s="3">
        <v>1533</v>
      </c>
      <c r="B67" s="4" t="s">
        <v>369</v>
      </c>
      <c r="C67" s="2" t="s">
        <v>370</v>
      </c>
      <c r="D67" s="36" t="s">
        <v>188</v>
      </c>
      <c r="E67" s="5" t="s">
        <v>56</v>
      </c>
      <c r="F67" s="39" t="s">
        <v>188</v>
      </c>
      <c r="G67" s="2" t="s">
        <v>56</v>
      </c>
      <c r="H67" s="36" t="s">
        <v>194</v>
      </c>
      <c r="I67" s="5" t="s">
        <v>59</v>
      </c>
      <c r="J67" s="39" t="s">
        <v>194</v>
      </c>
      <c r="K67" s="2" t="s">
        <v>59</v>
      </c>
      <c r="L67" s="36" t="s">
        <v>191</v>
      </c>
      <c r="M67" s="5" t="s">
        <v>192</v>
      </c>
    </row>
  </sheetData>
  <autoFilter ref="C1:O65" xr:uid="{04924A6B-670F-454B-9877-A278A470C868}"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84FAD-B010-4D2D-9881-242301756B19}">
  <dimension ref="A1:AN1190"/>
  <sheetViews>
    <sheetView showGridLines="0" topLeftCell="K1" zoomScale="85" zoomScaleNormal="85" workbookViewId="0">
      <pane ySplit="2" topLeftCell="A3" activePane="bottomLeft" state="frozen"/>
      <selection pane="bottomLeft" activeCell="O19" sqref="O19"/>
    </sheetView>
  </sheetViews>
  <sheetFormatPr defaultColWidth="10.109375" defaultRowHeight="14.4" x14ac:dyDescent="0.3"/>
  <cols>
    <col min="1" max="1" width="10.33203125" style="1" customWidth="1"/>
    <col min="2" max="2" width="13" style="1" customWidth="1"/>
    <col min="3" max="3" width="21.109375" style="1" bestFit="1" customWidth="1"/>
    <col min="4" max="4" width="21.109375" style="1" customWidth="1"/>
    <col min="5" max="6" width="20.44140625" style="1" customWidth="1"/>
    <col min="7" max="7" width="31.44140625" style="1" bestFit="1" customWidth="1"/>
    <col min="8" max="8" width="27.109375" style="1" customWidth="1"/>
    <col min="9" max="9" width="35.88671875" style="1" customWidth="1"/>
    <col min="10" max="10" width="24.88671875" style="1" customWidth="1"/>
    <col min="11" max="11" width="23.88671875" style="1" customWidth="1"/>
    <col min="12" max="12" width="15.6640625" style="1" customWidth="1"/>
    <col min="13" max="13" width="8.33203125" style="1" customWidth="1"/>
    <col min="14" max="14" width="10.109375" style="1"/>
    <col min="15" max="15" width="31.6640625" style="1" customWidth="1"/>
    <col min="16" max="16" width="30.88671875" style="1" customWidth="1"/>
    <col min="17" max="28" width="12.6640625" style="33" customWidth="1"/>
    <col min="29" max="29" width="12.6640625" style="34" customWidth="1"/>
    <col min="30" max="30" width="17.109375" style="8" hidden="1" customWidth="1"/>
    <col min="31" max="31" width="20.33203125" style="8" hidden="1" customWidth="1"/>
    <col min="32" max="32" width="23.33203125" style="7" hidden="1" customWidth="1"/>
    <col min="33" max="33" width="29.44140625" style="8" hidden="1" customWidth="1"/>
    <col min="34" max="34" width="15" style="8" hidden="1" customWidth="1"/>
    <col min="35" max="35" width="16.6640625" style="8" hidden="1" customWidth="1"/>
    <col min="36" max="36" width="21.109375" style="8" hidden="1" customWidth="1"/>
    <col min="37" max="37" width="11.33203125" style="8" hidden="1" customWidth="1"/>
    <col min="38" max="38" width="22.33203125" style="7" hidden="1" customWidth="1"/>
    <col min="39" max="39" width="11.33203125" style="14" hidden="1" customWidth="1"/>
    <col min="41" max="16384" width="10.109375" style="1"/>
  </cols>
  <sheetData>
    <row r="1" spans="1:39" ht="15.75" customHeight="1" x14ac:dyDescent="0.3">
      <c r="Q1" s="30">
        <f>SUM(Q3:Q1190)/2</f>
        <v>0</v>
      </c>
      <c r="R1" s="30">
        <f t="shared" ref="R1:AB1" si="0">SUM(R3:R1190)/2</f>
        <v>1033.8000000000006</v>
      </c>
      <c r="S1" s="30">
        <f t="shared" si="0"/>
        <v>1194.3</v>
      </c>
      <c r="T1" s="30">
        <f t="shared" si="0"/>
        <v>0</v>
      </c>
      <c r="U1" s="30">
        <f t="shared" si="0"/>
        <v>0</v>
      </c>
      <c r="V1" s="30">
        <f t="shared" si="0"/>
        <v>0</v>
      </c>
      <c r="W1" s="30">
        <f t="shared" si="0"/>
        <v>0</v>
      </c>
      <c r="X1" s="30">
        <f t="shared" si="0"/>
        <v>0</v>
      </c>
      <c r="Y1" s="30">
        <f t="shared" si="0"/>
        <v>0</v>
      </c>
      <c r="Z1" s="30">
        <f t="shared" si="0"/>
        <v>0</v>
      </c>
      <c r="AA1" s="30">
        <f t="shared" si="0"/>
        <v>0</v>
      </c>
      <c r="AB1" s="30">
        <f t="shared" si="0"/>
        <v>0</v>
      </c>
      <c r="AC1" s="30">
        <f>SUM(T1:AB1)</f>
        <v>0</v>
      </c>
      <c r="AD1" s="30"/>
      <c r="AE1" s="30"/>
      <c r="AF1" s="11"/>
      <c r="AG1" s="30"/>
      <c r="AH1" s="31"/>
      <c r="AI1" s="31"/>
      <c r="AJ1" s="32"/>
    </row>
    <row r="2" spans="1:39" s="6" customFormat="1" ht="24.75" customHeight="1" x14ac:dyDescent="0.3">
      <c r="A2" s="19" t="s">
        <v>155</v>
      </c>
      <c r="B2" s="19" t="s">
        <v>156</v>
      </c>
      <c r="C2" s="19" t="s">
        <v>53</v>
      </c>
      <c r="D2" s="19" t="s">
        <v>156</v>
      </c>
      <c r="E2" s="19" t="s">
        <v>51</v>
      </c>
      <c r="F2" s="19" t="s">
        <v>157</v>
      </c>
      <c r="G2" s="19" t="s">
        <v>49</v>
      </c>
      <c r="H2" s="19" t="s">
        <v>158</v>
      </c>
      <c r="I2" s="19" t="s">
        <v>105</v>
      </c>
      <c r="J2" s="19" t="s">
        <v>159</v>
      </c>
      <c r="K2" s="19" t="s">
        <v>45</v>
      </c>
      <c r="L2" s="19" t="s">
        <v>187</v>
      </c>
      <c r="M2" s="19" t="s">
        <v>160</v>
      </c>
      <c r="N2" s="19" t="s">
        <v>55</v>
      </c>
      <c r="O2" s="19" t="s">
        <v>61</v>
      </c>
      <c r="P2" s="19" t="s">
        <v>62</v>
      </c>
      <c r="Q2" s="62" t="s">
        <v>63</v>
      </c>
      <c r="R2" s="62" t="s">
        <v>64</v>
      </c>
      <c r="S2" s="62" t="s">
        <v>65</v>
      </c>
      <c r="T2" s="62" t="s">
        <v>66</v>
      </c>
      <c r="U2" s="62" t="s">
        <v>67</v>
      </c>
      <c r="V2" s="62" t="s">
        <v>68</v>
      </c>
      <c r="W2" s="62" t="s">
        <v>69</v>
      </c>
      <c r="X2" s="62" t="s">
        <v>70</v>
      </c>
      <c r="Y2" s="62" t="s">
        <v>71</v>
      </c>
      <c r="Z2" s="62" t="s">
        <v>72</v>
      </c>
      <c r="AA2" s="62" t="s">
        <v>73</v>
      </c>
      <c r="AB2" s="62" t="s">
        <v>74</v>
      </c>
      <c r="AC2" s="62" t="s">
        <v>75</v>
      </c>
      <c r="AD2" s="20" t="s">
        <v>78</v>
      </c>
      <c r="AE2" s="20" t="s">
        <v>149</v>
      </c>
      <c r="AF2" s="21" t="s">
        <v>77</v>
      </c>
      <c r="AG2" s="20" t="s">
        <v>153</v>
      </c>
      <c r="AH2" s="20" t="s">
        <v>150</v>
      </c>
      <c r="AI2" s="20" t="s">
        <v>151</v>
      </c>
      <c r="AJ2" s="20" t="s">
        <v>152</v>
      </c>
      <c r="AK2" s="20" t="s">
        <v>104</v>
      </c>
      <c r="AL2" s="21" t="s">
        <v>76</v>
      </c>
      <c r="AM2" s="20" t="s">
        <v>79</v>
      </c>
    </row>
    <row r="3" spans="1:39" x14ac:dyDescent="0.3">
      <c r="A3" s="2" t="str">
        <f t="shared" ref="A3:A66" si="1">IF(L3=1,"SIM","NÃO")</f>
        <v>SIM</v>
      </c>
      <c r="B3" s="2" t="str">
        <f>_xlfn.XLOOKUP($N3,'Base de Grupos'!$A:$A,'Base de Grupos'!$D:$D)</f>
        <v>1000065763</v>
      </c>
      <c r="C3" s="5" t="str">
        <f>_xlfn.XLOOKUP($N3,'Base de Grupos'!$A:$A,'Base de Grupos'!$E:$E)</f>
        <v>CANAL VENDA INTERNA</v>
      </c>
      <c r="D3" s="5" t="str">
        <f>_xlfn.XLOOKUP($N3,'Base de Grupos'!$A:$A,'Base de Grupos'!$F:$F)</f>
        <v>1000065763</v>
      </c>
      <c r="E3" s="2" t="str">
        <f>_xlfn.XLOOKUP($N3,'Base de Grupos'!$A:$A,'Base de Grupos'!$G:$G)</f>
        <v>CANAL VENDA INTERNA</v>
      </c>
      <c r="F3" s="2" t="str">
        <f>_xlfn.XLOOKUP($N3,'Base de Grupos'!$A:$A,'Base de Grupos'!$H:$H)</f>
        <v>1000105900</v>
      </c>
      <c r="G3" s="5" t="str">
        <f>_xlfn.XLOOKUP($N3,'Base de Grupos'!$A:$A,'Base de Grupos'!$I:$I)</f>
        <v>REGIONAL VENDA DIRETA CO + NE + NO</v>
      </c>
      <c r="H3" s="5" t="str">
        <f>_xlfn.XLOOKUP($N3,'Base de Grupos'!$A:$A,'Base de Grupos'!$J:$J)</f>
        <v>1000105900</v>
      </c>
      <c r="I3" s="2" t="str">
        <f>_xlfn.XLOOKUP($N3,'Base de Grupos'!$A:$A,'Base de Grupos'!$K:$K)</f>
        <v>REGIONAL VENDA DIRETA CO + NE + NO</v>
      </c>
      <c r="J3" s="2" t="str">
        <f>_xlfn.XLOOKUP($N3,'Base de Grupos'!$A:$A,'Base de Grupos'!$L:$L)</f>
        <v>1000150135</v>
      </c>
      <c r="K3" s="5" t="str">
        <f>_xlfn.XLOOKUP($N3,'Base de Grupos'!$A:$A,'Base de Grupos'!$M:$M)</f>
        <v>HELDER DA SILVA BRUNKOW</v>
      </c>
      <c r="L3" s="5">
        <f t="shared" ref="L3:L66" si="2">IF(N3&lt;&gt;N2,1,"")</f>
        <v>1</v>
      </c>
      <c r="M3" s="5" t="str">
        <f>_xlfn.XLOOKUP($N3,'Base de Grupos'!$A:$A,'Base de Grupos'!$C:$C)</f>
        <v>AP</v>
      </c>
      <c r="N3" s="3">
        <v>1324</v>
      </c>
      <c r="O3" s="4" t="s">
        <v>224</v>
      </c>
      <c r="P3" s="5" t="s">
        <v>294</v>
      </c>
      <c r="Q3" s="24">
        <f>SUM(Q4:Q24)</f>
        <v>0</v>
      </c>
      <c r="R3" s="24">
        <f t="shared" ref="R3:S3" si="3">SUM(R4:R24)</f>
        <v>63.4</v>
      </c>
      <c r="S3" s="24">
        <f t="shared" si="3"/>
        <v>74</v>
      </c>
      <c r="T3" s="24">
        <f t="shared" ref="T3:AC3" si="4">SUM(T4:T24)</f>
        <v>0</v>
      </c>
      <c r="U3" s="24">
        <f t="shared" si="4"/>
        <v>0</v>
      </c>
      <c r="V3" s="24">
        <f t="shared" si="4"/>
        <v>0</v>
      </c>
      <c r="W3" s="24">
        <f t="shared" si="4"/>
        <v>0</v>
      </c>
      <c r="X3" s="24">
        <f t="shared" si="4"/>
        <v>0</v>
      </c>
      <c r="Y3" s="24">
        <f t="shared" si="4"/>
        <v>0</v>
      </c>
      <c r="Z3" s="24">
        <f t="shared" si="4"/>
        <v>0</v>
      </c>
      <c r="AA3" s="24">
        <f t="shared" si="4"/>
        <v>0</v>
      </c>
      <c r="AB3" s="24">
        <f t="shared" si="4"/>
        <v>0</v>
      </c>
      <c r="AC3" s="24">
        <f t="shared" si="4"/>
        <v>0</v>
      </c>
      <c r="AD3" s="25">
        <f>SUM(AD4:AD20)</f>
        <v>0</v>
      </c>
      <c r="AE3" s="25">
        <f t="shared" ref="AE3:AI3" si="5">SUM(AE4:AE20)</f>
        <v>0</v>
      </c>
      <c r="AF3" s="11" t="str">
        <f t="shared" ref="AF3:AF65" si="6">IFERROR((AC3-AE3)/AE3,"")</f>
        <v/>
      </c>
      <c r="AG3" s="24">
        <f t="shared" si="5"/>
        <v>0</v>
      </c>
      <c r="AH3" s="25">
        <f t="shared" si="5"/>
        <v>110</v>
      </c>
      <c r="AI3" s="24">
        <f t="shared" si="5"/>
        <v>110</v>
      </c>
      <c r="AJ3" s="11">
        <f t="shared" ref="AJ3:AJ66" si="7">IFERROR(AG3/AH3,"")</f>
        <v>0</v>
      </c>
      <c r="AK3" s="9"/>
      <c r="AL3" s="13"/>
      <c r="AM3" s="9"/>
    </row>
    <row r="4" spans="1:39" x14ac:dyDescent="0.3">
      <c r="A4" s="2" t="str">
        <f t="shared" si="1"/>
        <v>NÃO</v>
      </c>
      <c r="B4" s="2" t="str">
        <f>_xlfn.XLOOKUP($N4,'Base de Grupos'!$A:$A,'Base de Grupos'!$D:$D)</f>
        <v>1000065763</v>
      </c>
      <c r="C4" s="5" t="str">
        <f>_xlfn.XLOOKUP($N4,'Base de Grupos'!$A:$A,'Base de Grupos'!$E:$E)</f>
        <v>CANAL VENDA INTERNA</v>
      </c>
      <c r="D4" s="5" t="str">
        <f>_xlfn.XLOOKUP($N4,'Base de Grupos'!$A:$A,'Base de Grupos'!$F:$F)</f>
        <v>1000065763</v>
      </c>
      <c r="E4" s="2" t="str">
        <f>_xlfn.XLOOKUP($N4,'Base de Grupos'!$A:$A,'Base de Grupos'!$G:$G)</f>
        <v>CANAL VENDA INTERNA</v>
      </c>
      <c r="F4" s="2" t="str">
        <f>_xlfn.XLOOKUP($N4,'Base de Grupos'!$A:$A,'Base de Grupos'!$H:$H)</f>
        <v>1000105900</v>
      </c>
      <c r="G4" s="5" t="str">
        <f>_xlfn.XLOOKUP($N4,'Base de Grupos'!$A:$A,'Base de Grupos'!$I:$I)</f>
        <v>REGIONAL VENDA DIRETA CO + NE + NO</v>
      </c>
      <c r="H4" s="5" t="str">
        <f>_xlfn.XLOOKUP($N4,'Base de Grupos'!$A:$A,'Base de Grupos'!$J:$J)</f>
        <v>1000105900</v>
      </c>
      <c r="I4" s="2" t="str">
        <f>_xlfn.XLOOKUP($N4,'Base de Grupos'!$A:$A,'Base de Grupos'!$K:$K)</f>
        <v>REGIONAL VENDA DIRETA CO + NE + NO</v>
      </c>
      <c r="J4" s="2" t="str">
        <f>_xlfn.XLOOKUP($N4,'Base de Grupos'!$A:$A,'Base de Grupos'!$L:$L)</f>
        <v>1000150135</v>
      </c>
      <c r="K4" s="5" t="str">
        <f>_xlfn.XLOOKUP($N4,'Base de Grupos'!$A:$A,'Base de Grupos'!$M:$M)</f>
        <v>HELDER DA SILVA BRUNKOW</v>
      </c>
      <c r="L4" s="5" t="str">
        <f t="shared" si="2"/>
        <v/>
      </c>
      <c r="M4" s="5" t="str">
        <f>_xlfn.XLOOKUP($N4,'Base de Grupos'!$A:$A,'Base de Grupos'!$C:$C)</f>
        <v>AP</v>
      </c>
      <c r="N4" s="3">
        <v>1324</v>
      </c>
      <c r="O4" s="4" t="s">
        <v>224</v>
      </c>
      <c r="P4" s="5" t="s">
        <v>81</v>
      </c>
      <c r="Q4" s="24">
        <v>0</v>
      </c>
      <c r="R4" s="24">
        <v>8</v>
      </c>
      <c r="S4" s="24">
        <v>10</v>
      </c>
      <c r="T4" s="24">
        <v>0</v>
      </c>
      <c r="U4" s="24">
        <v>0</v>
      </c>
      <c r="V4" s="24">
        <v>0</v>
      </c>
      <c r="W4" s="24">
        <v>0</v>
      </c>
      <c r="X4" s="24">
        <v>0</v>
      </c>
      <c r="Y4" s="24">
        <v>0</v>
      </c>
      <c r="Z4" s="24">
        <v>0</v>
      </c>
      <c r="AA4" s="24">
        <v>0</v>
      </c>
      <c r="AB4" s="24">
        <v>0</v>
      </c>
      <c r="AC4" s="30">
        <f>SUM(T4:AB4)</f>
        <v>0</v>
      </c>
      <c r="AD4" s="27">
        <f t="shared" ref="AD4:AD20" si="8">IF(AC4=0,0,AC4-AG4)</f>
        <v>0</v>
      </c>
      <c r="AE4" s="25">
        <f>IFERROR(_xlfn.XLOOKUP(N4&amp;P4,'Historico Vendas'!G:G,'Historico Vendas'!E:E),0)</f>
        <v>0</v>
      </c>
      <c r="AF4" s="29" t="str">
        <f t="shared" si="6"/>
        <v/>
      </c>
      <c r="AG4" s="24">
        <f>IFERROR(_xlfn.XLOOKUP(N4&amp;P4,'Historico Vendas'!G:G,'Historico Vendas'!F:F),0)</f>
        <v>0</v>
      </c>
      <c r="AH4" s="25">
        <f t="shared" ref="AH4:AH20" si="9">SUM(Q4:S4)</f>
        <v>18</v>
      </c>
      <c r="AI4" s="24">
        <f t="shared" ref="AI4:AI20" si="10">AH4-AG4</f>
        <v>18</v>
      </c>
      <c r="AJ4" s="11">
        <f t="shared" si="7"/>
        <v>0</v>
      </c>
      <c r="AK4" s="9" t="s">
        <v>102</v>
      </c>
      <c r="AL4" s="13">
        <f>IFERROR(INDEX('Balizador da Meta'!$D$3:$F$23,MATCH(Quantidade!$P4,'Balizador da Meta'!$C$3:$C$23,0),MATCH(Quantidade!AK4,'Balizador da Meta'!$D$2:$F$2,0)),"")</f>
        <v>0.2</v>
      </c>
      <c r="AM4" s="9"/>
    </row>
    <row r="5" spans="1:39" x14ac:dyDescent="0.3">
      <c r="A5" s="2" t="str">
        <f t="shared" si="1"/>
        <v>NÃO</v>
      </c>
      <c r="B5" s="2" t="str">
        <f>_xlfn.XLOOKUP($N5,'Base de Grupos'!$A:$A,'Base de Grupos'!$D:$D)</f>
        <v>1000065763</v>
      </c>
      <c r="C5" s="5" t="str">
        <f>_xlfn.XLOOKUP($N5,'Base de Grupos'!$A:$A,'Base de Grupos'!$E:$E)</f>
        <v>CANAL VENDA INTERNA</v>
      </c>
      <c r="D5" s="5" t="str">
        <f>_xlfn.XLOOKUP($N5,'Base de Grupos'!$A:$A,'Base de Grupos'!$F:$F)</f>
        <v>1000065763</v>
      </c>
      <c r="E5" s="2" t="str">
        <f>_xlfn.XLOOKUP($N5,'Base de Grupos'!$A:$A,'Base de Grupos'!$G:$G)</f>
        <v>CANAL VENDA INTERNA</v>
      </c>
      <c r="F5" s="2" t="str">
        <f>_xlfn.XLOOKUP($N5,'Base de Grupos'!$A:$A,'Base de Grupos'!$H:$H)</f>
        <v>1000105900</v>
      </c>
      <c r="G5" s="5" t="str">
        <f>_xlfn.XLOOKUP($N5,'Base de Grupos'!$A:$A,'Base de Grupos'!$I:$I)</f>
        <v>REGIONAL VENDA DIRETA CO + NE + NO</v>
      </c>
      <c r="H5" s="5" t="str">
        <f>_xlfn.XLOOKUP($N5,'Base de Grupos'!$A:$A,'Base de Grupos'!$J:$J)</f>
        <v>1000105900</v>
      </c>
      <c r="I5" s="2" t="str">
        <f>_xlfn.XLOOKUP($N5,'Base de Grupos'!$A:$A,'Base de Grupos'!$K:$K)</f>
        <v>REGIONAL VENDA DIRETA CO + NE + NO</v>
      </c>
      <c r="J5" s="2" t="str">
        <f>_xlfn.XLOOKUP($N5,'Base de Grupos'!$A:$A,'Base de Grupos'!$L:$L)</f>
        <v>1000150135</v>
      </c>
      <c r="K5" s="5" t="str">
        <f>_xlfn.XLOOKUP($N5,'Base de Grupos'!$A:$A,'Base de Grupos'!$M:$M)</f>
        <v>HELDER DA SILVA BRUNKOW</v>
      </c>
      <c r="L5" s="5" t="str">
        <f t="shared" si="2"/>
        <v/>
      </c>
      <c r="M5" s="5" t="str">
        <f>_xlfn.XLOOKUP($N5,'Base de Grupos'!$A:$A,'Base de Grupos'!$C:$C)</f>
        <v>AP</v>
      </c>
      <c r="N5" s="3">
        <v>1324</v>
      </c>
      <c r="O5" s="4" t="s">
        <v>224</v>
      </c>
      <c r="P5" s="5" t="s">
        <v>82</v>
      </c>
      <c r="Q5" s="24">
        <v>0</v>
      </c>
      <c r="R5" s="24">
        <v>12</v>
      </c>
      <c r="S5" s="24">
        <v>14</v>
      </c>
      <c r="T5" s="24">
        <v>0</v>
      </c>
      <c r="U5" s="24">
        <v>0</v>
      </c>
      <c r="V5" s="24">
        <v>0</v>
      </c>
      <c r="W5" s="24">
        <v>0</v>
      </c>
      <c r="X5" s="24">
        <v>0</v>
      </c>
      <c r="Y5" s="24">
        <v>0</v>
      </c>
      <c r="Z5" s="24">
        <v>0</v>
      </c>
      <c r="AA5" s="24">
        <v>0</v>
      </c>
      <c r="AB5" s="24">
        <v>0</v>
      </c>
      <c r="AC5" s="30">
        <f t="shared" ref="AC5:AC24" si="11">SUM(T5:AB5)</f>
        <v>0</v>
      </c>
      <c r="AD5" s="27">
        <f t="shared" si="8"/>
        <v>0</v>
      </c>
      <c r="AE5" s="25">
        <f>IFERROR(_xlfn.XLOOKUP(N5&amp;P5,'Historico Vendas'!G:G,'Historico Vendas'!E:E),0)</f>
        <v>0</v>
      </c>
      <c r="AF5" s="29" t="str">
        <f t="shared" si="6"/>
        <v/>
      </c>
      <c r="AG5" s="24">
        <f>IFERROR(_xlfn.XLOOKUP(N5&amp;P5,'Historico Vendas'!G:G,'Historico Vendas'!F:F),0)</f>
        <v>0</v>
      </c>
      <c r="AH5" s="25">
        <f t="shared" si="9"/>
        <v>26</v>
      </c>
      <c r="AI5" s="24">
        <f t="shared" si="10"/>
        <v>26</v>
      </c>
      <c r="AJ5" s="11">
        <f t="shared" si="7"/>
        <v>0</v>
      </c>
      <c r="AK5" s="9" t="s">
        <v>102</v>
      </c>
      <c r="AL5" s="13">
        <f>IFERROR(INDEX('Balizador da Meta'!$D$3:$F$23,MATCH(Quantidade!$P5,'Balizador da Meta'!$C$3:$C$23,0),MATCH(Quantidade!AK5,'Balizador da Meta'!$D$2:$F$2,0)),"")</f>
        <v>0.2</v>
      </c>
      <c r="AM5" s="9"/>
    </row>
    <row r="6" spans="1:39" x14ac:dyDescent="0.3">
      <c r="A6" s="2" t="str">
        <f t="shared" si="1"/>
        <v>NÃO</v>
      </c>
      <c r="B6" s="2" t="str">
        <f>_xlfn.XLOOKUP($N6,'Base de Grupos'!$A:$A,'Base de Grupos'!$D:$D)</f>
        <v>1000065763</v>
      </c>
      <c r="C6" s="5" t="str">
        <f>_xlfn.XLOOKUP($N6,'Base de Grupos'!$A:$A,'Base de Grupos'!$E:$E)</f>
        <v>CANAL VENDA INTERNA</v>
      </c>
      <c r="D6" s="5" t="str">
        <f>_xlfn.XLOOKUP($N6,'Base de Grupos'!$A:$A,'Base de Grupos'!$F:$F)</f>
        <v>1000065763</v>
      </c>
      <c r="E6" s="2" t="str">
        <f>_xlfn.XLOOKUP($N6,'Base de Grupos'!$A:$A,'Base de Grupos'!$G:$G)</f>
        <v>CANAL VENDA INTERNA</v>
      </c>
      <c r="F6" s="2" t="str">
        <f>_xlfn.XLOOKUP($N6,'Base de Grupos'!$A:$A,'Base de Grupos'!$H:$H)</f>
        <v>1000105900</v>
      </c>
      <c r="G6" s="5" t="str">
        <f>_xlfn.XLOOKUP($N6,'Base de Grupos'!$A:$A,'Base de Grupos'!$I:$I)</f>
        <v>REGIONAL VENDA DIRETA CO + NE + NO</v>
      </c>
      <c r="H6" s="5" t="str">
        <f>_xlfn.XLOOKUP($N6,'Base de Grupos'!$A:$A,'Base de Grupos'!$J:$J)</f>
        <v>1000105900</v>
      </c>
      <c r="I6" s="2" t="str">
        <f>_xlfn.XLOOKUP($N6,'Base de Grupos'!$A:$A,'Base de Grupos'!$K:$K)</f>
        <v>REGIONAL VENDA DIRETA CO + NE + NO</v>
      </c>
      <c r="J6" s="2" t="str">
        <f>_xlfn.XLOOKUP($N6,'Base de Grupos'!$A:$A,'Base de Grupos'!$L:$L)</f>
        <v>1000150135</v>
      </c>
      <c r="K6" s="5" t="str">
        <f>_xlfn.XLOOKUP($N6,'Base de Grupos'!$A:$A,'Base de Grupos'!$M:$M)</f>
        <v>HELDER DA SILVA BRUNKOW</v>
      </c>
      <c r="L6" s="5" t="str">
        <f t="shared" si="2"/>
        <v/>
      </c>
      <c r="M6" s="5" t="str">
        <f>_xlfn.XLOOKUP($N6,'Base de Grupos'!$A:$A,'Base de Grupos'!$C:$C)</f>
        <v>AP</v>
      </c>
      <c r="N6" s="3">
        <v>1324</v>
      </c>
      <c r="O6" s="4" t="s">
        <v>224</v>
      </c>
      <c r="P6" s="5" t="s">
        <v>84</v>
      </c>
      <c r="Q6" s="24">
        <v>0</v>
      </c>
      <c r="R6" s="24">
        <v>4</v>
      </c>
      <c r="S6" s="24">
        <v>5</v>
      </c>
      <c r="T6" s="24">
        <v>0</v>
      </c>
      <c r="U6" s="24">
        <v>0</v>
      </c>
      <c r="V6" s="24">
        <v>0</v>
      </c>
      <c r="W6" s="24">
        <v>0</v>
      </c>
      <c r="X6" s="24">
        <v>0</v>
      </c>
      <c r="Y6" s="24">
        <v>0</v>
      </c>
      <c r="Z6" s="24">
        <v>0</v>
      </c>
      <c r="AA6" s="24">
        <v>0</v>
      </c>
      <c r="AB6" s="24">
        <v>0</v>
      </c>
      <c r="AC6" s="30">
        <f t="shared" si="11"/>
        <v>0</v>
      </c>
      <c r="AD6" s="27">
        <f t="shared" si="8"/>
        <v>0</v>
      </c>
      <c r="AE6" s="25">
        <f>IFERROR(_xlfn.XLOOKUP(N6&amp;P6,'Historico Vendas'!G:G,'Historico Vendas'!E:E),0)</f>
        <v>0</v>
      </c>
      <c r="AF6" s="29" t="str">
        <f t="shared" si="6"/>
        <v/>
      </c>
      <c r="AG6" s="24">
        <f>IFERROR(_xlfn.XLOOKUP(N6&amp;P6,'Historico Vendas'!G:G,'Historico Vendas'!F:F),0)</f>
        <v>0</v>
      </c>
      <c r="AH6" s="25">
        <f t="shared" si="9"/>
        <v>9</v>
      </c>
      <c r="AI6" s="24">
        <f t="shared" si="10"/>
        <v>9</v>
      </c>
      <c r="AJ6" s="11">
        <f t="shared" si="7"/>
        <v>0</v>
      </c>
      <c r="AK6" s="9" t="s">
        <v>102</v>
      </c>
      <c r="AL6" s="13">
        <f>IFERROR(INDEX('Balizador da Meta'!$D$3:$F$23,MATCH(Quantidade!$P6,'Balizador da Meta'!$C$3:$C$23,0),MATCH(Quantidade!AK6,'Balizador da Meta'!$D$2:$F$2,0)),"")</f>
        <v>0.15</v>
      </c>
      <c r="AM6" s="9"/>
    </row>
    <row r="7" spans="1:39" x14ac:dyDescent="0.3">
      <c r="A7" s="2" t="str">
        <f t="shared" si="1"/>
        <v>NÃO</v>
      </c>
      <c r="B7" s="2" t="str">
        <f>_xlfn.XLOOKUP($N7,'Base de Grupos'!$A:$A,'Base de Grupos'!$D:$D)</f>
        <v>1000065763</v>
      </c>
      <c r="C7" s="5" t="str">
        <f>_xlfn.XLOOKUP($N7,'Base de Grupos'!$A:$A,'Base de Grupos'!$E:$E)</f>
        <v>CANAL VENDA INTERNA</v>
      </c>
      <c r="D7" s="5" t="str">
        <f>_xlfn.XLOOKUP($N7,'Base de Grupos'!$A:$A,'Base de Grupos'!$F:$F)</f>
        <v>1000065763</v>
      </c>
      <c r="E7" s="2" t="str">
        <f>_xlfn.XLOOKUP($N7,'Base de Grupos'!$A:$A,'Base de Grupos'!$G:$G)</f>
        <v>CANAL VENDA INTERNA</v>
      </c>
      <c r="F7" s="2" t="str">
        <f>_xlfn.XLOOKUP($N7,'Base de Grupos'!$A:$A,'Base de Grupos'!$H:$H)</f>
        <v>1000105900</v>
      </c>
      <c r="G7" s="5" t="str">
        <f>_xlfn.XLOOKUP($N7,'Base de Grupos'!$A:$A,'Base de Grupos'!$I:$I)</f>
        <v>REGIONAL VENDA DIRETA CO + NE + NO</v>
      </c>
      <c r="H7" s="5" t="str">
        <f>_xlfn.XLOOKUP($N7,'Base de Grupos'!$A:$A,'Base de Grupos'!$J:$J)</f>
        <v>1000105900</v>
      </c>
      <c r="I7" s="2" t="str">
        <f>_xlfn.XLOOKUP($N7,'Base de Grupos'!$A:$A,'Base de Grupos'!$K:$K)</f>
        <v>REGIONAL VENDA DIRETA CO + NE + NO</v>
      </c>
      <c r="J7" s="2" t="str">
        <f>_xlfn.XLOOKUP($N7,'Base de Grupos'!$A:$A,'Base de Grupos'!$L:$L)</f>
        <v>1000150135</v>
      </c>
      <c r="K7" s="5" t="str">
        <f>_xlfn.XLOOKUP($N7,'Base de Grupos'!$A:$A,'Base de Grupos'!$M:$M)</f>
        <v>HELDER DA SILVA BRUNKOW</v>
      </c>
      <c r="L7" s="5" t="str">
        <f t="shared" si="2"/>
        <v/>
      </c>
      <c r="M7" s="5" t="str">
        <f>_xlfn.XLOOKUP($N7,'Base de Grupos'!$A:$A,'Base de Grupos'!$C:$C)</f>
        <v>AP</v>
      </c>
      <c r="N7" s="3">
        <v>1324</v>
      </c>
      <c r="O7" s="4" t="s">
        <v>224</v>
      </c>
      <c r="P7" s="5" t="s">
        <v>83</v>
      </c>
      <c r="Q7" s="24">
        <v>0</v>
      </c>
      <c r="R7" s="24">
        <v>4</v>
      </c>
      <c r="S7" s="24">
        <v>4</v>
      </c>
      <c r="T7" s="24">
        <v>0</v>
      </c>
      <c r="U7" s="24">
        <v>0</v>
      </c>
      <c r="V7" s="24">
        <v>0</v>
      </c>
      <c r="W7" s="24">
        <v>0</v>
      </c>
      <c r="X7" s="24">
        <v>0</v>
      </c>
      <c r="Y7" s="24">
        <v>0</v>
      </c>
      <c r="Z7" s="24">
        <v>0</v>
      </c>
      <c r="AA7" s="24">
        <v>0</v>
      </c>
      <c r="AB7" s="24">
        <v>0</v>
      </c>
      <c r="AC7" s="30">
        <f>SUM(T7:AB7)</f>
        <v>0</v>
      </c>
      <c r="AD7" s="27">
        <f t="shared" si="8"/>
        <v>0</v>
      </c>
      <c r="AE7" s="25">
        <f>IFERROR(_xlfn.XLOOKUP(N7&amp;P7,'Historico Vendas'!G:G,'Historico Vendas'!E:E),0)</f>
        <v>0</v>
      </c>
      <c r="AF7" s="29" t="str">
        <f t="shared" si="6"/>
        <v/>
      </c>
      <c r="AG7" s="24">
        <f>IFERROR(_xlfn.XLOOKUP(N7&amp;P7,'Historico Vendas'!G:G,'Historico Vendas'!F:F),0)</f>
        <v>0</v>
      </c>
      <c r="AH7" s="25">
        <f t="shared" si="9"/>
        <v>8</v>
      </c>
      <c r="AI7" s="24">
        <f t="shared" si="10"/>
        <v>8</v>
      </c>
      <c r="AJ7" s="11">
        <f t="shared" si="7"/>
        <v>0</v>
      </c>
      <c r="AK7" s="9" t="s">
        <v>102</v>
      </c>
      <c r="AL7" s="13">
        <f>IFERROR(INDEX('Balizador da Meta'!$D$3:$F$23,MATCH(Quantidade!$P7,'Balizador da Meta'!$C$3:$C$23,0),MATCH(Quantidade!AK7,'Balizador da Meta'!$D$2:$F$2,0)),"")</f>
        <v>0</v>
      </c>
      <c r="AM7" s="9"/>
    </row>
    <row r="8" spans="1:39" x14ac:dyDescent="0.3">
      <c r="A8" s="2" t="str">
        <f t="shared" si="1"/>
        <v>NÃO</v>
      </c>
      <c r="B8" s="2" t="str">
        <f>_xlfn.XLOOKUP($N8,'Base de Grupos'!$A:$A,'Base de Grupos'!$D:$D)</f>
        <v>1000065763</v>
      </c>
      <c r="C8" s="5" t="str">
        <f>_xlfn.XLOOKUP($N8,'Base de Grupos'!$A:$A,'Base de Grupos'!$E:$E)</f>
        <v>CANAL VENDA INTERNA</v>
      </c>
      <c r="D8" s="5" t="str">
        <f>_xlfn.XLOOKUP($N8,'Base de Grupos'!$A:$A,'Base de Grupos'!$F:$F)</f>
        <v>1000065763</v>
      </c>
      <c r="E8" s="2" t="str">
        <f>_xlfn.XLOOKUP($N8,'Base de Grupos'!$A:$A,'Base de Grupos'!$G:$G)</f>
        <v>CANAL VENDA INTERNA</v>
      </c>
      <c r="F8" s="2" t="str">
        <f>_xlfn.XLOOKUP($N8,'Base de Grupos'!$A:$A,'Base de Grupos'!$H:$H)</f>
        <v>1000105900</v>
      </c>
      <c r="G8" s="5" t="str">
        <f>_xlfn.XLOOKUP($N8,'Base de Grupos'!$A:$A,'Base de Grupos'!$I:$I)</f>
        <v>REGIONAL VENDA DIRETA CO + NE + NO</v>
      </c>
      <c r="H8" s="5" t="str">
        <f>_xlfn.XLOOKUP($N8,'Base de Grupos'!$A:$A,'Base de Grupos'!$J:$J)</f>
        <v>1000105900</v>
      </c>
      <c r="I8" s="2" t="str">
        <f>_xlfn.XLOOKUP($N8,'Base de Grupos'!$A:$A,'Base de Grupos'!$K:$K)</f>
        <v>REGIONAL VENDA DIRETA CO + NE + NO</v>
      </c>
      <c r="J8" s="2" t="str">
        <f>_xlfn.XLOOKUP($N8,'Base de Grupos'!$A:$A,'Base de Grupos'!$L:$L)</f>
        <v>1000150135</v>
      </c>
      <c r="K8" s="5" t="str">
        <f>_xlfn.XLOOKUP($N8,'Base de Grupos'!$A:$A,'Base de Grupos'!$M:$M)</f>
        <v>HELDER DA SILVA BRUNKOW</v>
      </c>
      <c r="L8" s="5" t="str">
        <f t="shared" si="2"/>
        <v/>
      </c>
      <c r="M8" s="5" t="str">
        <f>_xlfn.XLOOKUP($N8,'Base de Grupos'!$A:$A,'Base de Grupos'!$C:$C)</f>
        <v>AP</v>
      </c>
      <c r="N8" s="3">
        <v>1324</v>
      </c>
      <c r="O8" s="4" t="s">
        <v>224</v>
      </c>
      <c r="P8" s="5" t="s">
        <v>87</v>
      </c>
      <c r="Q8" s="24">
        <v>0</v>
      </c>
      <c r="R8" s="24">
        <v>1</v>
      </c>
      <c r="S8" s="24">
        <v>2</v>
      </c>
      <c r="T8" s="24">
        <v>0</v>
      </c>
      <c r="U8" s="24">
        <v>0</v>
      </c>
      <c r="V8" s="24">
        <v>0</v>
      </c>
      <c r="W8" s="24">
        <v>0</v>
      </c>
      <c r="X8" s="24">
        <v>0</v>
      </c>
      <c r="Y8" s="24">
        <v>0</v>
      </c>
      <c r="Z8" s="24">
        <v>0</v>
      </c>
      <c r="AA8" s="24">
        <v>0</v>
      </c>
      <c r="AB8" s="24">
        <v>0</v>
      </c>
      <c r="AC8" s="30">
        <f t="shared" si="11"/>
        <v>0</v>
      </c>
      <c r="AD8" s="27">
        <f t="shared" si="8"/>
        <v>0</v>
      </c>
      <c r="AE8" s="25">
        <f>IFERROR(_xlfn.XLOOKUP(N8&amp;P8,'Historico Vendas'!G:G,'Historico Vendas'!E:E),0)</f>
        <v>0</v>
      </c>
      <c r="AF8" s="29" t="str">
        <f t="shared" si="6"/>
        <v/>
      </c>
      <c r="AG8" s="24">
        <f>IFERROR(_xlfn.XLOOKUP(N8&amp;P8,'Historico Vendas'!G:G,'Historico Vendas'!F:F),0)</f>
        <v>0</v>
      </c>
      <c r="AH8" s="25">
        <f t="shared" si="9"/>
        <v>3</v>
      </c>
      <c r="AI8" s="24">
        <f t="shared" si="10"/>
        <v>3</v>
      </c>
      <c r="AJ8" s="11">
        <f t="shared" si="7"/>
        <v>0</v>
      </c>
      <c r="AK8" s="9" t="s">
        <v>102</v>
      </c>
      <c r="AL8" s="13">
        <f>IFERROR(INDEX('Balizador da Meta'!$D$3:$F$23,MATCH(Quantidade!$P8,'Balizador da Meta'!$C$3:$C$23,0),MATCH(Quantidade!AK8,'Balizador da Meta'!$D$2:$F$2,0)),"")</f>
        <v>0</v>
      </c>
      <c r="AM8" s="9"/>
    </row>
    <row r="9" spans="1:39" x14ac:dyDescent="0.3">
      <c r="A9" s="2" t="str">
        <f t="shared" si="1"/>
        <v>NÃO</v>
      </c>
      <c r="B9" s="2" t="str">
        <f>_xlfn.XLOOKUP($N9,'Base de Grupos'!$A:$A,'Base de Grupos'!$D:$D)</f>
        <v>1000065763</v>
      </c>
      <c r="C9" s="5" t="str">
        <f>_xlfn.XLOOKUP($N9,'Base de Grupos'!$A:$A,'Base de Grupos'!$E:$E)</f>
        <v>CANAL VENDA INTERNA</v>
      </c>
      <c r="D9" s="5" t="str">
        <f>_xlfn.XLOOKUP($N9,'Base de Grupos'!$A:$A,'Base de Grupos'!$F:$F)</f>
        <v>1000065763</v>
      </c>
      <c r="E9" s="2" t="str">
        <f>_xlfn.XLOOKUP($N9,'Base de Grupos'!$A:$A,'Base de Grupos'!$G:$G)</f>
        <v>CANAL VENDA INTERNA</v>
      </c>
      <c r="F9" s="2" t="str">
        <f>_xlfn.XLOOKUP($N9,'Base de Grupos'!$A:$A,'Base de Grupos'!$H:$H)</f>
        <v>1000105900</v>
      </c>
      <c r="G9" s="5" t="str">
        <f>_xlfn.XLOOKUP($N9,'Base de Grupos'!$A:$A,'Base de Grupos'!$I:$I)</f>
        <v>REGIONAL VENDA DIRETA CO + NE + NO</v>
      </c>
      <c r="H9" s="5" t="str">
        <f>_xlfn.XLOOKUP($N9,'Base de Grupos'!$A:$A,'Base de Grupos'!$J:$J)</f>
        <v>1000105900</v>
      </c>
      <c r="I9" s="2" t="str">
        <f>_xlfn.XLOOKUP($N9,'Base de Grupos'!$A:$A,'Base de Grupos'!$K:$K)</f>
        <v>REGIONAL VENDA DIRETA CO + NE + NO</v>
      </c>
      <c r="J9" s="2" t="str">
        <f>_xlfn.XLOOKUP($N9,'Base de Grupos'!$A:$A,'Base de Grupos'!$L:$L)</f>
        <v>1000150135</v>
      </c>
      <c r="K9" s="5" t="str">
        <f>_xlfn.XLOOKUP($N9,'Base de Grupos'!$A:$A,'Base de Grupos'!$M:$M)</f>
        <v>HELDER DA SILVA BRUNKOW</v>
      </c>
      <c r="L9" s="5" t="str">
        <f t="shared" si="2"/>
        <v/>
      </c>
      <c r="M9" s="5" t="str">
        <f>_xlfn.XLOOKUP($N9,'Base de Grupos'!$A:$A,'Base de Grupos'!$C:$C)</f>
        <v>AP</v>
      </c>
      <c r="N9" s="3">
        <v>1324</v>
      </c>
      <c r="O9" s="4" t="s">
        <v>224</v>
      </c>
      <c r="P9" s="5" t="s">
        <v>85</v>
      </c>
      <c r="Q9" s="24">
        <v>0</v>
      </c>
      <c r="R9" s="24">
        <v>3</v>
      </c>
      <c r="S9" s="24">
        <v>4</v>
      </c>
      <c r="T9" s="24">
        <v>0</v>
      </c>
      <c r="U9" s="24">
        <v>0</v>
      </c>
      <c r="V9" s="24">
        <v>0</v>
      </c>
      <c r="W9" s="24">
        <v>0</v>
      </c>
      <c r="X9" s="24">
        <v>0</v>
      </c>
      <c r="Y9" s="24">
        <v>0</v>
      </c>
      <c r="Z9" s="24">
        <v>0</v>
      </c>
      <c r="AA9" s="24">
        <v>0</v>
      </c>
      <c r="AB9" s="24">
        <v>0</v>
      </c>
      <c r="AC9" s="30">
        <f t="shared" si="11"/>
        <v>0</v>
      </c>
      <c r="AD9" s="27">
        <f t="shared" si="8"/>
        <v>0</v>
      </c>
      <c r="AE9" s="25">
        <f>IFERROR(_xlfn.XLOOKUP(N9&amp;P9,'Historico Vendas'!G:G,'Historico Vendas'!E:E),0)</f>
        <v>0</v>
      </c>
      <c r="AF9" s="29" t="str">
        <f t="shared" si="6"/>
        <v/>
      </c>
      <c r="AG9" s="24">
        <f>IFERROR(_xlfn.XLOOKUP(N9&amp;P9,'Historico Vendas'!G:G,'Historico Vendas'!F:F),0)</f>
        <v>0</v>
      </c>
      <c r="AH9" s="25">
        <f t="shared" si="9"/>
        <v>7</v>
      </c>
      <c r="AI9" s="24">
        <f t="shared" si="10"/>
        <v>7</v>
      </c>
      <c r="AJ9" s="11">
        <f t="shared" si="7"/>
        <v>0</v>
      </c>
      <c r="AK9" s="9" t="s">
        <v>102</v>
      </c>
      <c r="AL9" s="13">
        <f>IFERROR(INDEX('Balizador da Meta'!$D$3:$F$23,MATCH(Quantidade!$P9,'Balizador da Meta'!$C$3:$C$23,0),MATCH(Quantidade!AK9,'Balizador da Meta'!$D$2:$F$2,0)),"")</f>
        <v>0</v>
      </c>
      <c r="AM9" s="9"/>
    </row>
    <row r="10" spans="1:39" x14ac:dyDescent="0.3">
      <c r="A10" s="2" t="str">
        <f t="shared" si="1"/>
        <v>NÃO</v>
      </c>
      <c r="B10" s="2" t="str">
        <f>_xlfn.XLOOKUP($N10,'Base de Grupos'!$A:$A,'Base de Grupos'!$D:$D)</f>
        <v>1000065763</v>
      </c>
      <c r="C10" s="5" t="str">
        <f>_xlfn.XLOOKUP($N10,'Base de Grupos'!$A:$A,'Base de Grupos'!$E:$E)</f>
        <v>CANAL VENDA INTERNA</v>
      </c>
      <c r="D10" s="5" t="str">
        <f>_xlfn.XLOOKUP($N10,'Base de Grupos'!$A:$A,'Base de Grupos'!$F:$F)</f>
        <v>1000065763</v>
      </c>
      <c r="E10" s="2" t="str">
        <f>_xlfn.XLOOKUP($N10,'Base de Grupos'!$A:$A,'Base de Grupos'!$G:$G)</f>
        <v>CANAL VENDA INTERNA</v>
      </c>
      <c r="F10" s="2" t="str">
        <f>_xlfn.XLOOKUP($N10,'Base de Grupos'!$A:$A,'Base de Grupos'!$H:$H)</f>
        <v>1000105900</v>
      </c>
      <c r="G10" s="5" t="str">
        <f>_xlfn.XLOOKUP($N10,'Base de Grupos'!$A:$A,'Base de Grupos'!$I:$I)</f>
        <v>REGIONAL VENDA DIRETA CO + NE + NO</v>
      </c>
      <c r="H10" s="5" t="str">
        <f>_xlfn.XLOOKUP($N10,'Base de Grupos'!$A:$A,'Base de Grupos'!$J:$J)</f>
        <v>1000105900</v>
      </c>
      <c r="I10" s="2" t="str">
        <f>_xlfn.XLOOKUP($N10,'Base de Grupos'!$A:$A,'Base de Grupos'!$K:$K)</f>
        <v>REGIONAL VENDA DIRETA CO + NE + NO</v>
      </c>
      <c r="J10" s="2" t="str">
        <f>_xlfn.XLOOKUP($N10,'Base de Grupos'!$A:$A,'Base de Grupos'!$L:$L)</f>
        <v>1000150135</v>
      </c>
      <c r="K10" s="5" t="str">
        <f>_xlfn.XLOOKUP($N10,'Base de Grupos'!$A:$A,'Base de Grupos'!$M:$M)</f>
        <v>HELDER DA SILVA BRUNKOW</v>
      </c>
      <c r="L10" s="5" t="str">
        <f t="shared" si="2"/>
        <v/>
      </c>
      <c r="M10" s="5" t="str">
        <f>_xlfn.XLOOKUP($N10,'Base de Grupos'!$A:$A,'Base de Grupos'!$C:$C)</f>
        <v>AP</v>
      </c>
      <c r="N10" s="3">
        <v>1324</v>
      </c>
      <c r="O10" s="4" t="s">
        <v>224</v>
      </c>
      <c r="P10" s="5" t="s">
        <v>92</v>
      </c>
      <c r="Q10" s="24">
        <v>0</v>
      </c>
      <c r="R10" s="24">
        <v>2</v>
      </c>
      <c r="S10" s="24">
        <v>2</v>
      </c>
      <c r="T10" s="24">
        <v>0</v>
      </c>
      <c r="U10" s="24">
        <v>0</v>
      </c>
      <c r="V10" s="24">
        <v>0</v>
      </c>
      <c r="W10" s="24">
        <v>0</v>
      </c>
      <c r="X10" s="24">
        <v>0</v>
      </c>
      <c r="Y10" s="24">
        <v>0</v>
      </c>
      <c r="Z10" s="24">
        <v>0</v>
      </c>
      <c r="AA10" s="24">
        <v>0</v>
      </c>
      <c r="AB10" s="24">
        <v>0</v>
      </c>
      <c r="AC10" s="30">
        <f t="shared" si="11"/>
        <v>0</v>
      </c>
      <c r="AD10" s="27">
        <f t="shared" si="8"/>
        <v>0</v>
      </c>
      <c r="AE10" s="25">
        <f>IFERROR(_xlfn.XLOOKUP(N10&amp;P10,'Historico Vendas'!G:G,'Historico Vendas'!E:E),0)</f>
        <v>0</v>
      </c>
      <c r="AF10" s="29" t="str">
        <f t="shared" si="6"/>
        <v/>
      </c>
      <c r="AG10" s="24">
        <f>IFERROR(_xlfn.XLOOKUP(N10&amp;P10,'Historico Vendas'!G:G,'Historico Vendas'!F:F),0)</f>
        <v>0</v>
      </c>
      <c r="AH10" s="25">
        <f t="shared" si="9"/>
        <v>4</v>
      </c>
      <c r="AI10" s="24">
        <f t="shared" si="10"/>
        <v>4</v>
      </c>
      <c r="AJ10" s="11">
        <f t="shared" si="7"/>
        <v>0</v>
      </c>
      <c r="AK10" s="9" t="s">
        <v>102</v>
      </c>
      <c r="AL10" s="13">
        <f>IFERROR(INDEX('Balizador da Meta'!$D$3:$F$23,MATCH(Quantidade!$P10,'Balizador da Meta'!$C$3:$C$23,0),MATCH(Quantidade!AK10,'Balizador da Meta'!$D$2:$F$2,0)),"")</f>
        <v>0</v>
      </c>
      <c r="AM10" s="9"/>
    </row>
    <row r="11" spans="1:39" x14ac:dyDescent="0.3">
      <c r="A11" s="2" t="str">
        <f t="shared" si="1"/>
        <v>NÃO</v>
      </c>
      <c r="B11" s="2" t="str">
        <f>_xlfn.XLOOKUP($N11,'Base de Grupos'!$A:$A,'Base de Grupos'!$D:$D)</f>
        <v>1000065763</v>
      </c>
      <c r="C11" s="5" t="str">
        <f>_xlfn.XLOOKUP($N11,'Base de Grupos'!$A:$A,'Base de Grupos'!$E:$E)</f>
        <v>CANAL VENDA INTERNA</v>
      </c>
      <c r="D11" s="5" t="str">
        <f>_xlfn.XLOOKUP($N11,'Base de Grupos'!$A:$A,'Base de Grupos'!$F:$F)</f>
        <v>1000065763</v>
      </c>
      <c r="E11" s="2" t="str">
        <f>_xlfn.XLOOKUP($N11,'Base de Grupos'!$A:$A,'Base de Grupos'!$G:$G)</f>
        <v>CANAL VENDA INTERNA</v>
      </c>
      <c r="F11" s="2" t="str">
        <f>_xlfn.XLOOKUP($N11,'Base de Grupos'!$A:$A,'Base de Grupos'!$H:$H)</f>
        <v>1000105900</v>
      </c>
      <c r="G11" s="5" t="str">
        <f>_xlfn.XLOOKUP($N11,'Base de Grupos'!$A:$A,'Base de Grupos'!$I:$I)</f>
        <v>REGIONAL VENDA DIRETA CO + NE + NO</v>
      </c>
      <c r="H11" s="5" t="str">
        <f>_xlfn.XLOOKUP($N11,'Base de Grupos'!$A:$A,'Base de Grupos'!$J:$J)</f>
        <v>1000105900</v>
      </c>
      <c r="I11" s="2" t="str">
        <f>_xlfn.XLOOKUP($N11,'Base de Grupos'!$A:$A,'Base de Grupos'!$K:$K)</f>
        <v>REGIONAL VENDA DIRETA CO + NE + NO</v>
      </c>
      <c r="J11" s="2" t="str">
        <f>_xlfn.XLOOKUP($N11,'Base de Grupos'!$A:$A,'Base de Grupos'!$L:$L)</f>
        <v>1000150135</v>
      </c>
      <c r="K11" s="5" t="str">
        <f>_xlfn.XLOOKUP($N11,'Base de Grupos'!$A:$A,'Base de Grupos'!$M:$M)</f>
        <v>HELDER DA SILVA BRUNKOW</v>
      </c>
      <c r="L11" s="5" t="str">
        <f t="shared" si="2"/>
        <v/>
      </c>
      <c r="M11" s="5" t="str">
        <f>_xlfn.XLOOKUP($N11,'Base de Grupos'!$A:$A,'Base de Grupos'!$C:$C)</f>
        <v>AP</v>
      </c>
      <c r="N11" s="3">
        <v>1324</v>
      </c>
      <c r="O11" s="4" t="s">
        <v>224</v>
      </c>
      <c r="P11" s="5" t="s">
        <v>86</v>
      </c>
      <c r="Q11" s="24">
        <v>0</v>
      </c>
      <c r="R11" s="24">
        <v>1</v>
      </c>
      <c r="S11" s="24">
        <v>2</v>
      </c>
      <c r="T11" s="24">
        <v>0</v>
      </c>
      <c r="U11" s="24">
        <v>0</v>
      </c>
      <c r="V11" s="24">
        <v>0</v>
      </c>
      <c r="W11" s="24">
        <v>0</v>
      </c>
      <c r="X11" s="24">
        <v>0</v>
      </c>
      <c r="Y11" s="24">
        <v>0</v>
      </c>
      <c r="Z11" s="24">
        <v>0</v>
      </c>
      <c r="AA11" s="24">
        <v>0</v>
      </c>
      <c r="AB11" s="24">
        <v>0</v>
      </c>
      <c r="AC11" s="30">
        <f t="shared" si="11"/>
        <v>0</v>
      </c>
      <c r="AD11" s="27">
        <f t="shared" si="8"/>
        <v>0</v>
      </c>
      <c r="AE11" s="25">
        <f>IFERROR(_xlfn.XLOOKUP(N11&amp;P11,'Historico Vendas'!G:G,'Historico Vendas'!E:E),0)</f>
        <v>0</v>
      </c>
      <c r="AF11" s="29" t="str">
        <f t="shared" si="6"/>
        <v/>
      </c>
      <c r="AG11" s="24">
        <f>IFERROR(_xlfn.XLOOKUP(N11&amp;P11,'Historico Vendas'!G:G,'Historico Vendas'!F:F),0)</f>
        <v>0</v>
      </c>
      <c r="AH11" s="25">
        <f t="shared" si="9"/>
        <v>3</v>
      </c>
      <c r="AI11" s="24">
        <f t="shared" si="10"/>
        <v>3</v>
      </c>
      <c r="AJ11" s="11">
        <f t="shared" si="7"/>
        <v>0</v>
      </c>
      <c r="AK11" s="9" t="s">
        <v>102</v>
      </c>
      <c r="AL11" s="13">
        <f>IFERROR(INDEX('Balizador da Meta'!$D$3:$F$23,MATCH(Quantidade!$P11,'Balizador da Meta'!$C$3:$C$23,0),MATCH(Quantidade!AK11,'Balizador da Meta'!$D$2:$F$2,0)),"")</f>
        <v>0.15</v>
      </c>
      <c r="AM11" s="9"/>
    </row>
    <row r="12" spans="1:39" x14ac:dyDescent="0.3">
      <c r="A12" s="2" t="str">
        <f t="shared" si="1"/>
        <v>NÃO</v>
      </c>
      <c r="B12" s="2" t="str">
        <f>_xlfn.XLOOKUP($N12,'Base de Grupos'!$A:$A,'Base de Grupos'!$D:$D)</f>
        <v>1000065763</v>
      </c>
      <c r="C12" s="5" t="str">
        <f>_xlfn.XLOOKUP($N12,'Base de Grupos'!$A:$A,'Base de Grupos'!$E:$E)</f>
        <v>CANAL VENDA INTERNA</v>
      </c>
      <c r="D12" s="5" t="str">
        <f>_xlfn.XLOOKUP($N12,'Base de Grupos'!$A:$A,'Base de Grupos'!$F:$F)</f>
        <v>1000065763</v>
      </c>
      <c r="E12" s="2" t="str">
        <f>_xlfn.XLOOKUP($N12,'Base de Grupos'!$A:$A,'Base de Grupos'!$G:$G)</f>
        <v>CANAL VENDA INTERNA</v>
      </c>
      <c r="F12" s="2" t="str">
        <f>_xlfn.XLOOKUP($N12,'Base de Grupos'!$A:$A,'Base de Grupos'!$H:$H)</f>
        <v>1000105900</v>
      </c>
      <c r="G12" s="5" t="str">
        <f>_xlfn.XLOOKUP($N12,'Base de Grupos'!$A:$A,'Base de Grupos'!$I:$I)</f>
        <v>REGIONAL VENDA DIRETA CO + NE + NO</v>
      </c>
      <c r="H12" s="5" t="str">
        <f>_xlfn.XLOOKUP($N12,'Base de Grupos'!$A:$A,'Base de Grupos'!$J:$J)</f>
        <v>1000105900</v>
      </c>
      <c r="I12" s="2" t="str">
        <f>_xlfn.XLOOKUP($N12,'Base de Grupos'!$A:$A,'Base de Grupos'!$K:$K)</f>
        <v>REGIONAL VENDA DIRETA CO + NE + NO</v>
      </c>
      <c r="J12" s="2" t="str">
        <f>_xlfn.XLOOKUP($N12,'Base de Grupos'!$A:$A,'Base de Grupos'!$L:$L)</f>
        <v>1000150135</v>
      </c>
      <c r="K12" s="5" t="str">
        <f>_xlfn.XLOOKUP($N12,'Base de Grupos'!$A:$A,'Base de Grupos'!$M:$M)</f>
        <v>HELDER DA SILVA BRUNKOW</v>
      </c>
      <c r="L12" s="5" t="str">
        <f t="shared" si="2"/>
        <v/>
      </c>
      <c r="M12" s="5" t="str">
        <f>_xlfn.XLOOKUP($N12,'Base de Grupos'!$A:$A,'Base de Grupos'!$C:$C)</f>
        <v>AP</v>
      </c>
      <c r="N12" s="3">
        <v>1324</v>
      </c>
      <c r="O12" s="4" t="s">
        <v>224</v>
      </c>
      <c r="P12" s="5" t="s">
        <v>108</v>
      </c>
      <c r="Q12" s="24">
        <v>0</v>
      </c>
      <c r="R12" s="24">
        <v>6</v>
      </c>
      <c r="S12" s="24">
        <v>7</v>
      </c>
      <c r="T12" s="24">
        <v>0</v>
      </c>
      <c r="U12" s="24">
        <v>0</v>
      </c>
      <c r="V12" s="24">
        <v>0</v>
      </c>
      <c r="W12" s="24">
        <v>0</v>
      </c>
      <c r="X12" s="24">
        <v>0</v>
      </c>
      <c r="Y12" s="24">
        <v>0</v>
      </c>
      <c r="Z12" s="24">
        <v>0</v>
      </c>
      <c r="AA12" s="24">
        <v>0</v>
      </c>
      <c r="AB12" s="24">
        <v>0</v>
      </c>
      <c r="AC12" s="30">
        <f t="shared" si="11"/>
        <v>0</v>
      </c>
      <c r="AD12" s="27">
        <f t="shared" si="8"/>
        <v>0</v>
      </c>
      <c r="AE12" s="25">
        <f>IFERROR(_xlfn.XLOOKUP(N12&amp;P12,'Historico Vendas'!G:G,'Historico Vendas'!E:E),0)</f>
        <v>0</v>
      </c>
      <c r="AF12" s="29" t="str">
        <f t="shared" si="6"/>
        <v/>
      </c>
      <c r="AG12" s="24">
        <f>IFERROR(_xlfn.XLOOKUP(N12&amp;P12,'Historico Vendas'!G:G,'Historico Vendas'!F:F),0)</f>
        <v>0</v>
      </c>
      <c r="AH12" s="25">
        <f t="shared" si="9"/>
        <v>13</v>
      </c>
      <c r="AI12" s="24">
        <f t="shared" si="10"/>
        <v>13</v>
      </c>
      <c r="AJ12" s="11">
        <f t="shared" si="7"/>
        <v>0</v>
      </c>
      <c r="AK12" s="9" t="s">
        <v>102</v>
      </c>
      <c r="AL12" s="13">
        <f>IFERROR(INDEX('Balizador da Meta'!$D$3:$F$23,MATCH(Quantidade!$P12,'Balizador da Meta'!$C$3:$C$23,0),MATCH(Quantidade!AK12,'Balizador da Meta'!$D$2:$F$2,0)),"")</f>
        <v>0</v>
      </c>
      <c r="AM12" s="9"/>
    </row>
    <row r="13" spans="1:39" x14ac:dyDescent="0.3">
      <c r="A13" s="2" t="str">
        <f t="shared" si="1"/>
        <v>NÃO</v>
      </c>
      <c r="B13" s="2" t="str">
        <f>_xlfn.XLOOKUP($N13,'Base de Grupos'!$A:$A,'Base de Grupos'!$D:$D)</f>
        <v>1000065763</v>
      </c>
      <c r="C13" s="5" t="str">
        <f>_xlfn.XLOOKUP($N13,'Base de Grupos'!$A:$A,'Base de Grupos'!$E:$E)</f>
        <v>CANAL VENDA INTERNA</v>
      </c>
      <c r="D13" s="5" t="str">
        <f>_xlfn.XLOOKUP($N13,'Base de Grupos'!$A:$A,'Base de Grupos'!$F:$F)</f>
        <v>1000065763</v>
      </c>
      <c r="E13" s="2" t="str">
        <f>_xlfn.XLOOKUP($N13,'Base de Grupos'!$A:$A,'Base de Grupos'!$G:$G)</f>
        <v>CANAL VENDA INTERNA</v>
      </c>
      <c r="F13" s="2" t="str">
        <f>_xlfn.XLOOKUP($N13,'Base de Grupos'!$A:$A,'Base de Grupos'!$H:$H)</f>
        <v>1000105900</v>
      </c>
      <c r="G13" s="5" t="str">
        <f>_xlfn.XLOOKUP($N13,'Base de Grupos'!$A:$A,'Base de Grupos'!$I:$I)</f>
        <v>REGIONAL VENDA DIRETA CO + NE + NO</v>
      </c>
      <c r="H13" s="5" t="str">
        <f>_xlfn.XLOOKUP($N13,'Base de Grupos'!$A:$A,'Base de Grupos'!$J:$J)</f>
        <v>1000105900</v>
      </c>
      <c r="I13" s="2" t="str">
        <f>_xlfn.XLOOKUP($N13,'Base de Grupos'!$A:$A,'Base de Grupos'!$K:$K)</f>
        <v>REGIONAL VENDA DIRETA CO + NE + NO</v>
      </c>
      <c r="J13" s="2" t="str">
        <f>_xlfn.XLOOKUP($N13,'Base de Grupos'!$A:$A,'Base de Grupos'!$L:$L)</f>
        <v>1000150135</v>
      </c>
      <c r="K13" s="5" t="str">
        <f>_xlfn.XLOOKUP($N13,'Base de Grupos'!$A:$A,'Base de Grupos'!$M:$M)</f>
        <v>HELDER DA SILVA BRUNKOW</v>
      </c>
      <c r="L13" s="5" t="str">
        <f t="shared" si="2"/>
        <v/>
      </c>
      <c r="M13" s="5" t="str">
        <f>_xlfn.XLOOKUP($N13,'Base de Grupos'!$A:$A,'Base de Grupos'!$C:$C)</f>
        <v>AP</v>
      </c>
      <c r="N13" s="3">
        <v>1324</v>
      </c>
      <c r="O13" s="4" t="s">
        <v>224</v>
      </c>
      <c r="P13" s="5" t="s">
        <v>89</v>
      </c>
      <c r="Q13" s="24">
        <v>0</v>
      </c>
      <c r="R13" s="24">
        <v>0</v>
      </c>
      <c r="S13" s="24">
        <v>0</v>
      </c>
      <c r="T13" s="24">
        <v>0</v>
      </c>
      <c r="U13" s="24">
        <v>0</v>
      </c>
      <c r="V13" s="24">
        <v>0</v>
      </c>
      <c r="W13" s="24">
        <v>0</v>
      </c>
      <c r="X13" s="24">
        <v>0</v>
      </c>
      <c r="Y13" s="24">
        <v>0</v>
      </c>
      <c r="Z13" s="24">
        <v>0</v>
      </c>
      <c r="AA13" s="24">
        <v>0</v>
      </c>
      <c r="AB13" s="24">
        <v>0</v>
      </c>
      <c r="AC13" s="30">
        <f t="shared" si="11"/>
        <v>0</v>
      </c>
      <c r="AD13" s="27">
        <f t="shared" si="8"/>
        <v>0</v>
      </c>
      <c r="AE13" s="25">
        <f>IFERROR(_xlfn.XLOOKUP(N13&amp;P13,'Historico Vendas'!G:G,'Historico Vendas'!E:E),0)</f>
        <v>0</v>
      </c>
      <c r="AF13" s="29" t="str">
        <f t="shared" si="6"/>
        <v/>
      </c>
      <c r="AG13" s="24">
        <f>IFERROR(_xlfn.XLOOKUP(N13&amp;P13,'Historico Vendas'!G:G,'Historico Vendas'!F:F),0)</f>
        <v>0</v>
      </c>
      <c r="AH13" s="25">
        <f t="shared" si="9"/>
        <v>0</v>
      </c>
      <c r="AI13" s="24">
        <f t="shared" si="10"/>
        <v>0</v>
      </c>
      <c r="AJ13" s="11" t="str">
        <f t="shared" si="7"/>
        <v/>
      </c>
      <c r="AK13" s="9" t="s">
        <v>102</v>
      </c>
      <c r="AL13" s="13">
        <f>IFERROR(INDEX('Balizador da Meta'!$D$3:$F$23,MATCH(Quantidade!$P13,'Balizador da Meta'!$C$3:$C$23,0),MATCH(Quantidade!AK13,'Balizador da Meta'!$D$2:$F$2,0)),"")</f>
        <v>0.25</v>
      </c>
      <c r="AM13" s="9"/>
    </row>
    <row r="14" spans="1:39" x14ac:dyDescent="0.3">
      <c r="A14" s="2" t="str">
        <f t="shared" si="1"/>
        <v>NÃO</v>
      </c>
      <c r="B14" s="2" t="str">
        <f>_xlfn.XLOOKUP($N14,'Base de Grupos'!$A:$A,'Base de Grupos'!$D:$D)</f>
        <v>1000065763</v>
      </c>
      <c r="C14" s="5" t="str">
        <f>_xlfn.XLOOKUP($N14,'Base de Grupos'!$A:$A,'Base de Grupos'!$E:$E)</f>
        <v>CANAL VENDA INTERNA</v>
      </c>
      <c r="D14" s="5" t="str">
        <f>_xlfn.XLOOKUP($N14,'Base de Grupos'!$A:$A,'Base de Grupos'!$F:$F)</f>
        <v>1000065763</v>
      </c>
      <c r="E14" s="2" t="str">
        <f>_xlfn.XLOOKUP($N14,'Base de Grupos'!$A:$A,'Base de Grupos'!$G:$G)</f>
        <v>CANAL VENDA INTERNA</v>
      </c>
      <c r="F14" s="2" t="str">
        <f>_xlfn.XLOOKUP($N14,'Base de Grupos'!$A:$A,'Base de Grupos'!$H:$H)</f>
        <v>1000105900</v>
      </c>
      <c r="G14" s="5" t="str">
        <f>_xlfn.XLOOKUP($N14,'Base de Grupos'!$A:$A,'Base de Grupos'!$I:$I)</f>
        <v>REGIONAL VENDA DIRETA CO + NE + NO</v>
      </c>
      <c r="H14" s="5" t="str">
        <f>_xlfn.XLOOKUP($N14,'Base de Grupos'!$A:$A,'Base de Grupos'!$J:$J)</f>
        <v>1000105900</v>
      </c>
      <c r="I14" s="2" t="str">
        <f>_xlfn.XLOOKUP($N14,'Base de Grupos'!$A:$A,'Base de Grupos'!$K:$K)</f>
        <v>REGIONAL VENDA DIRETA CO + NE + NO</v>
      </c>
      <c r="J14" s="2" t="str">
        <f>_xlfn.XLOOKUP($N14,'Base de Grupos'!$A:$A,'Base de Grupos'!$L:$L)</f>
        <v>1000150135</v>
      </c>
      <c r="K14" s="5" t="str">
        <f>_xlfn.XLOOKUP($N14,'Base de Grupos'!$A:$A,'Base de Grupos'!$M:$M)</f>
        <v>HELDER DA SILVA BRUNKOW</v>
      </c>
      <c r="L14" s="5" t="str">
        <f t="shared" si="2"/>
        <v/>
      </c>
      <c r="M14" s="5" t="str">
        <f>_xlfn.XLOOKUP($N14,'Base de Grupos'!$A:$A,'Base de Grupos'!$C:$C)</f>
        <v>AP</v>
      </c>
      <c r="N14" s="3">
        <v>1324</v>
      </c>
      <c r="O14" s="4" t="s">
        <v>224</v>
      </c>
      <c r="P14" s="5" t="s">
        <v>88</v>
      </c>
      <c r="Q14" s="24">
        <v>0</v>
      </c>
      <c r="R14" s="24">
        <v>0</v>
      </c>
      <c r="S14" s="24">
        <v>0</v>
      </c>
      <c r="T14" s="24">
        <v>0</v>
      </c>
      <c r="U14" s="24">
        <v>0</v>
      </c>
      <c r="V14" s="24">
        <v>0</v>
      </c>
      <c r="W14" s="24">
        <v>0</v>
      </c>
      <c r="X14" s="24">
        <v>0</v>
      </c>
      <c r="Y14" s="24">
        <v>0</v>
      </c>
      <c r="Z14" s="24">
        <v>0</v>
      </c>
      <c r="AA14" s="24">
        <v>0</v>
      </c>
      <c r="AB14" s="24">
        <v>0</v>
      </c>
      <c r="AC14" s="30">
        <f t="shared" si="11"/>
        <v>0</v>
      </c>
      <c r="AD14" s="27">
        <f t="shared" si="8"/>
        <v>0</v>
      </c>
      <c r="AE14" s="25">
        <f>IFERROR(_xlfn.XLOOKUP(N14&amp;P14,'Historico Vendas'!G:G,'Historico Vendas'!E:E),0)</f>
        <v>0</v>
      </c>
      <c r="AF14" s="29" t="str">
        <f t="shared" si="6"/>
        <v/>
      </c>
      <c r="AG14" s="24">
        <f>IFERROR(_xlfn.XLOOKUP(N14&amp;P14,'Historico Vendas'!G:G,'Historico Vendas'!F:F),0)</f>
        <v>0</v>
      </c>
      <c r="AH14" s="25">
        <f t="shared" si="9"/>
        <v>0</v>
      </c>
      <c r="AI14" s="24">
        <f t="shared" si="10"/>
        <v>0</v>
      </c>
      <c r="AJ14" s="11" t="str">
        <f t="shared" si="7"/>
        <v/>
      </c>
      <c r="AK14" s="9" t="s">
        <v>102</v>
      </c>
      <c r="AL14" s="13">
        <f>IFERROR(INDEX('Balizador da Meta'!$D$3:$F$23,MATCH(Quantidade!$P14,'Balizador da Meta'!$C$3:$C$23,0),MATCH(Quantidade!AK14,'Balizador da Meta'!$D$2:$F$2,0)),"")</f>
        <v>0</v>
      </c>
      <c r="AM14" s="9"/>
    </row>
    <row r="15" spans="1:39" x14ac:dyDescent="0.3">
      <c r="A15" s="2" t="str">
        <f t="shared" si="1"/>
        <v>NÃO</v>
      </c>
      <c r="B15" s="2" t="str">
        <f>_xlfn.XLOOKUP($N15,'Base de Grupos'!$A:$A,'Base de Grupos'!$D:$D)</f>
        <v>1000065763</v>
      </c>
      <c r="C15" s="5" t="str">
        <f>_xlfn.XLOOKUP($N15,'Base de Grupos'!$A:$A,'Base de Grupos'!$E:$E)</f>
        <v>CANAL VENDA INTERNA</v>
      </c>
      <c r="D15" s="5" t="str">
        <f>_xlfn.XLOOKUP($N15,'Base de Grupos'!$A:$A,'Base de Grupos'!$F:$F)</f>
        <v>1000065763</v>
      </c>
      <c r="E15" s="2" t="str">
        <f>_xlfn.XLOOKUP($N15,'Base de Grupos'!$A:$A,'Base de Grupos'!$G:$G)</f>
        <v>CANAL VENDA INTERNA</v>
      </c>
      <c r="F15" s="2" t="str">
        <f>_xlfn.XLOOKUP($N15,'Base de Grupos'!$A:$A,'Base de Grupos'!$H:$H)</f>
        <v>1000105900</v>
      </c>
      <c r="G15" s="5" t="str">
        <f>_xlfn.XLOOKUP($N15,'Base de Grupos'!$A:$A,'Base de Grupos'!$I:$I)</f>
        <v>REGIONAL VENDA DIRETA CO + NE + NO</v>
      </c>
      <c r="H15" s="5" t="str">
        <f>_xlfn.XLOOKUP($N15,'Base de Grupos'!$A:$A,'Base de Grupos'!$J:$J)</f>
        <v>1000105900</v>
      </c>
      <c r="I15" s="2" t="str">
        <f>_xlfn.XLOOKUP($N15,'Base de Grupos'!$A:$A,'Base de Grupos'!$K:$K)</f>
        <v>REGIONAL VENDA DIRETA CO + NE + NO</v>
      </c>
      <c r="J15" s="2" t="str">
        <f>_xlfn.XLOOKUP($N15,'Base de Grupos'!$A:$A,'Base de Grupos'!$L:$L)</f>
        <v>1000150135</v>
      </c>
      <c r="K15" s="5" t="str">
        <f>_xlfn.XLOOKUP($N15,'Base de Grupos'!$A:$A,'Base de Grupos'!$M:$M)</f>
        <v>HELDER DA SILVA BRUNKOW</v>
      </c>
      <c r="L15" s="5" t="str">
        <f t="shared" si="2"/>
        <v/>
      </c>
      <c r="M15" s="5" t="str">
        <f>_xlfn.XLOOKUP($N15,'Base de Grupos'!$A:$A,'Base de Grupos'!$C:$C)</f>
        <v>AP</v>
      </c>
      <c r="N15" s="3">
        <v>1324</v>
      </c>
      <c r="O15" s="4" t="s">
        <v>224</v>
      </c>
      <c r="P15" s="5" t="s">
        <v>90</v>
      </c>
      <c r="Q15" s="24">
        <v>0</v>
      </c>
      <c r="R15" s="24">
        <v>0</v>
      </c>
      <c r="S15" s="24">
        <v>0</v>
      </c>
      <c r="T15" s="24">
        <v>0</v>
      </c>
      <c r="U15" s="24">
        <v>0</v>
      </c>
      <c r="V15" s="24">
        <v>0</v>
      </c>
      <c r="W15" s="24">
        <v>0</v>
      </c>
      <c r="X15" s="24">
        <v>0</v>
      </c>
      <c r="Y15" s="24">
        <v>0</v>
      </c>
      <c r="Z15" s="24">
        <v>0</v>
      </c>
      <c r="AA15" s="24">
        <v>0</v>
      </c>
      <c r="AB15" s="24">
        <v>0</v>
      </c>
      <c r="AC15" s="30">
        <f t="shared" si="11"/>
        <v>0</v>
      </c>
      <c r="AD15" s="27">
        <f t="shared" si="8"/>
        <v>0</v>
      </c>
      <c r="AE15" s="25">
        <f>IFERROR(_xlfn.XLOOKUP(N15&amp;P15,'Historico Vendas'!G:G,'Historico Vendas'!E:E),0)</f>
        <v>0</v>
      </c>
      <c r="AF15" s="29" t="str">
        <f t="shared" si="6"/>
        <v/>
      </c>
      <c r="AG15" s="24">
        <f>IFERROR(_xlfn.XLOOKUP(N15&amp;P15,'Historico Vendas'!G:G,'Historico Vendas'!F:F),0)</f>
        <v>0</v>
      </c>
      <c r="AH15" s="25">
        <f t="shared" si="9"/>
        <v>0</v>
      </c>
      <c r="AI15" s="24">
        <f t="shared" si="10"/>
        <v>0</v>
      </c>
      <c r="AJ15" s="11" t="str">
        <f t="shared" si="7"/>
        <v/>
      </c>
      <c r="AK15" s="9" t="s">
        <v>102</v>
      </c>
      <c r="AL15" s="13">
        <f>IFERROR(INDEX('Balizador da Meta'!$D$3:$F$23,MATCH(Quantidade!$P15,'Balizador da Meta'!$C$3:$C$23,0),MATCH(Quantidade!AK15,'Balizador da Meta'!$D$2:$F$2,0)),"")</f>
        <v>0</v>
      </c>
      <c r="AM15" s="9"/>
    </row>
    <row r="16" spans="1:39" x14ac:dyDescent="0.3">
      <c r="A16" s="2" t="str">
        <f t="shared" si="1"/>
        <v>NÃO</v>
      </c>
      <c r="B16" s="2" t="str">
        <f>_xlfn.XLOOKUP($N16,'Base de Grupos'!$A:$A,'Base de Grupos'!$D:$D)</f>
        <v>1000065763</v>
      </c>
      <c r="C16" s="5" t="str">
        <f>_xlfn.XLOOKUP($N16,'Base de Grupos'!$A:$A,'Base de Grupos'!$E:$E)</f>
        <v>CANAL VENDA INTERNA</v>
      </c>
      <c r="D16" s="5" t="str">
        <f>_xlfn.XLOOKUP($N16,'Base de Grupos'!$A:$A,'Base de Grupos'!$F:$F)</f>
        <v>1000065763</v>
      </c>
      <c r="E16" s="2" t="str">
        <f>_xlfn.XLOOKUP($N16,'Base de Grupos'!$A:$A,'Base de Grupos'!$G:$G)</f>
        <v>CANAL VENDA INTERNA</v>
      </c>
      <c r="F16" s="2" t="str">
        <f>_xlfn.XLOOKUP($N16,'Base de Grupos'!$A:$A,'Base de Grupos'!$H:$H)</f>
        <v>1000105900</v>
      </c>
      <c r="G16" s="5" t="str">
        <f>_xlfn.XLOOKUP($N16,'Base de Grupos'!$A:$A,'Base de Grupos'!$I:$I)</f>
        <v>REGIONAL VENDA DIRETA CO + NE + NO</v>
      </c>
      <c r="H16" s="5" t="str">
        <f>_xlfn.XLOOKUP($N16,'Base de Grupos'!$A:$A,'Base de Grupos'!$J:$J)</f>
        <v>1000105900</v>
      </c>
      <c r="I16" s="2" t="str">
        <f>_xlfn.XLOOKUP($N16,'Base de Grupos'!$A:$A,'Base de Grupos'!$K:$K)</f>
        <v>REGIONAL VENDA DIRETA CO + NE + NO</v>
      </c>
      <c r="J16" s="2" t="str">
        <f>_xlfn.XLOOKUP($N16,'Base de Grupos'!$A:$A,'Base de Grupos'!$L:$L)</f>
        <v>1000150135</v>
      </c>
      <c r="K16" s="5" t="str">
        <f>_xlfn.XLOOKUP($N16,'Base de Grupos'!$A:$A,'Base de Grupos'!$M:$M)</f>
        <v>HELDER DA SILVA BRUNKOW</v>
      </c>
      <c r="L16" s="5" t="str">
        <f t="shared" si="2"/>
        <v/>
      </c>
      <c r="M16" s="5" t="str">
        <f>_xlfn.XLOOKUP($N16,'Base de Grupos'!$A:$A,'Base de Grupos'!$C:$C)</f>
        <v>AP</v>
      </c>
      <c r="N16" s="3">
        <v>1324</v>
      </c>
      <c r="O16" s="4" t="s">
        <v>224</v>
      </c>
      <c r="P16" s="5" t="s">
        <v>91</v>
      </c>
      <c r="Q16" s="24">
        <v>0</v>
      </c>
      <c r="R16" s="24">
        <v>0</v>
      </c>
      <c r="S16" s="24">
        <v>0</v>
      </c>
      <c r="T16" s="24">
        <v>0</v>
      </c>
      <c r="U16" s="24">
        <v>0</v>
      </c>
      <c r="V16" s="24">
        <v>0</v>
      </c>
      <c r="W16" s="24">
        <v>0</v>
      </c>
      <c r="X16" s="24">
        <v>0</v>
      </c>
      <c r="Y16" s="24">
        <v>0</v>
      </c>
      <c r="Z16" s="24">
        <v>0</v>
      </c>
      <c r="AA16" s="24">
        <v>0</v>
      </c>
      <c r="AB16" s="24">
        <v>0</v>
      </c>
      <c r="AC16" s="30">
        <f t="shared" si="11"/>
        <v>0</v>
      </c>
      <c r="AD16" s="27">
        <f t="shared" si="8"/>
        <v>0</v>
      </c>
      <c r="AE16" s="25">
        <f>IFERROR(_xlfn.XLOOKUP(N16&amp;P16,'Historico Vendas'!G:G,'Historico Vendas'!E:E),0)</f>
        <v>0</v>
      </c>
      <c r="AF16" s="29" t="str">
        <f t="shared" si="6"/>
        <v/>
      </c>
      <c r="AG16" s="24">
        <f>IFERROR(_xlfn.XLOOKUP(N16&amp;P16,'Historico Vendas'!G:G,'Historico Vendas'!F:F),0)</f>
        <v>0</v>
      </c>
      <c r="AH16" s="25">
        <f t="shared" si="9"/>
        <v>0</v>
      </c>
      <c r="AI16" s="24">
        <f t="shared" si="10"/>
        <v>0</v>
      </c>
      <c r="AJ16" s="11" t="str">
        <f t="shared" si="7"/>
        <v/>
      </c>
      <c r="AK16" s="9" t="s">
        <v>102</v>
      </c>
      <c r="AL16" s="13">
        <f>IFERROR(INDEX('Balizador da Meta'!$D$3:$F$23,MATCH(Quantidade!$P16,'Balizador da Meta'!$C$3:$C$23,0),MATCH(Quantidade!AK16,'Balizador da Meta'!$D$2:$F$2,0)),"")</f>
        <v>0</v>
      </c>
      <c r="AM16" s="9"/>
    </row>
    <row r="17" spans="1:39" x14ac:dyDescent="0.3">
      <c r="A17" s="2" t="str">
        <f t="shared" si="1"/>
        <v>NÃO</v>
      </c>
      <c r="B17" s="2" t="str">
        <f>_xlfn.XLOOKUP($N17,'Base de Grupos'!$A:$A,'Base de Grupos'!$D:$D)</f>
        <v>1000065763</v>
      </c>
      <c r="C17" s="5" t="str">
        <f>_xlfn.XLOOKUP($N17,'Base de Grupos'!$A:$A,'Base de Grupos'!$E:$E)</f>
        <v>CANAL VENDA INTERNA</v>
      </c>
      <c r="D17" s="5" t="str">
        <f>_xlfn.XLOOKUP($N17,'Base de Grupos'!$A:$A,'Base de Grupos'!$F:$F)</f>
        <v>1000065763</v>
      </c>
      <c r="E17" s="2" t="str">
        <f>_xlfn.XLOOKUP($N17,'Base de Grupos'!$A:$A,'Base de Grupos'!$G:$G)</f>
        <v>CANAL VENDA INTERNA</v>
      </c>
      <c r="F17" s="2" t="str">
        <f>_xlfn.XLOOKUP($N17,'Base de Grupos'!$A:$A,'Base de Grupos'!$H:$H)</f>
        <v>1000105900</v>
      </c>
      <c r="G17" s="5" t="str">
        <f>_xlfn.XLOOKUP($N17,'Base de Grupos'!$A:$A,'Base de Grupos'!$I:$I)</f>
        <v>REGIONAL VENDA DIRETA CO + NE + NO</v>
      </c>
      <c r="H17" s="5" t="str">
        <f>_xlfn.XLOOKUP($N17,'Base de Grupos'!$A:$A,'Base de Grupos'!$J:$J)</f>
        <v>1000105900</v>
      </c>
      <c r="I17" s="2" t="str">
        <f>_xlfn.XLOOKUP($N17,'Base de Grupos'!$A:$A,'Base de Grupos'!$K:$K)</f>
        <v>REGIONAL VENDA DIRETA CO + NE + NO</v>
      </c>
      <c r="J17" s="2" t="str">
        <f>_xlfn.XLOOKUP($N17,'Base de Grupos'!$A:$A,'Base de Grupos'!$L:$L)</f>
        <v>1000150135</v>
      </c>
      <c r="K17" s="5" t="str">
        <f>_xlfn.XLOOKUP($N17,'Base de Grupos'!$A:$A,'Base de Grupos'!$M:$M)</f>
        <v>HELDER DA SILVA BRUNKOW</v>
      </c>
      <c r="L17" s="5" t="str">
        <f t="shared" si="2"/>
        <v/>
      </c>
      <c r="M17" s="5" t="str">
        <f>_xlfn.XLOOKUP($N17,'Base de Grupos'!$A:$A,'Base de Grupos'!$C:$C)</f>
        <v>AP</v>
      </c>
      <c r="N17" s="3">
        <v>1324</v>
      </c>
      <c r="O17" s="4" t="s">
        <v>224</v>
      </c>
      <c r="P17" s="5" t="s">
        <v>96</v>
      </c>
      <c r="Q17" s="24">
        <v>0</v>
      </c>
      <c r="R17" s="24">
        <v>4</v>
      </c>
      <c r="S17" s="24">
        <v>4</v>
      </c>
      <c r="T17" s="24">
        <v>0</v>
      </c>
      <c r="U17" s="24">
        <v>0</v>
      </c>
      <c r="V17" s="24">
        <v>0</v>
      </c>
      <c r="W17" s="24">
        <v>0</v>
      </c>
      <c r="X17" s="24">
        <v>0</v>
      </c>
      <c r="Y17" s="24">
        <v>0</v>
      </c>
      <c r="Z17" s="24">
        <v>0</v>
      </c>
      <c r="AA17" s="24">
        <v>0</v>
      </c>
      <c r="AB17" s="24">
        <v>0</v>
      </c>
      <c r="AC17" s="30">
        <f t="shared" si="11"/>
        <v>0</v>
      </c>
      <c r="AD17" s="27">
        <f t="shared" si="8"/>
        <v>0</v>
      </c>
      <c r="AE17" s="25">
        <f>IFERROR(_xlfn.XLOOKUP(N17&amp;P17,'Historico Vendas'!G:G,'Historico Vendas'!E:E),0)</f>
        <v>0</v>
      </c>
      <c r="AF17" s="29" t="str">
        <f t="shared" si="6"/>
        <v/>
      </c>
      <c r="AG17" s="24">
        <f>IFERROR(_xlfn.XLOOKUP(N17&amp;P17,'Historico Vendas'!G:G,'Historico Vendas'!F:F),0)</f>
        <v>0</v>
      </c>
      <c r="AH17" s="25">
        <f t="shared" si="9"/>
        <v>8</v>
      </c>
      <c r="AI17" s="24">
        <f t="shared" si="10"/>
        <v>8</v>
      </c>
      <c r="AJ17" s="11">
        <f t="shared" si="7"/>
        <v>0</v>
      </c>
      <c r="AK17" s="9" t="s">
        <v>102</v>
      </c>
      <c r="AL17" s="13">
        <f>IFERROR(INDEX('Balizador da Meta'!$D$3:$F$23,MATCH(Quantidade!$P17,'Balizador da Meta'!$C$3:$C$23,0),MATCH(Quantidade!AK17,'Balizador da Meta'!$D$2:$F$2,0)),"")</f>
        <v>0</v>
      </c>
      <c r="AM17" s="9"/>
    </row>
    <row r="18" spans="1:39" x14ac:dyDescent="0.3">
      <c r="A18" s="2" t="str">
        <f t="shared" si="1"/>
        <v>NÃO</v>
      </c>
      <c r="B18" s="2" t="str">
        <f>_xlfn.XLOOKUP($N18,'Base de Grupos'!$A:$A,'Base de Grupos'!$D:$D)</f>
        <v>1000065763</v>
      </c>
      <c r="C18" s="5" t="str">
        <f>_xlfn.XLOOKUP($N18,'Base de Grupos'!$A:$A,'Base de Grupos'!$E:$E)</f>
        <v>CANAL VENDA INTERNA</v>
      </c>
      <c r="D18" s="5" t="str">
        <f>_xlfn.XLOOKUP($N18,'Base de Grupos'!$A:$A,'Base de Grupos'!$F:$F)</f>
        <v>1000065763</v>
      </c>
      <c r="E18" s="2" t="str">
        <f>_xlfn.XLOOKUP($N18,'Base de Grupos'!$A:$A,'Base de Grupos'!$G:$G)</f>
        <v>CANAL VENDA INTERNA</v>
      </c>
      <c r="F18" s="2" t="str">
        <f>_xlfn.XLOOKUP($N18,'Base de Grupos'!$A:$A,'Base de Grupos'!$H:$H)</f>
        <v>1000105900</v>
      </c>
      <c r="G18" s="5" t="str">
        <f>_xlfn.XLOOKUP($N18,'Base de Grupos'!$A:$A,'Base de Grupos'!$I:$I)</f>
        <v>REGIONAL VENDA DIRETA CO + NE + NO</v>
      </c>
      <c r="H18" s="5" t="str">
        <f>_xlfn.XLOOKUP($N18,'Base de Grupos'!$A:$A,'Base de Grupos'!$J:$J)</f>
        <v>1000105900</v>
      </c>
      <c r="I18" s="2" t="str">
        <f>_xlfn.XLOOKUP($N18,'Base de Grupos'!$A:$A,'Base de Grupos'!$K:$K)</f>
        <v>REGIONAL VENDA DIRETA CO + NE + NO</v>
      </c>
      <c r="J18" s="2" t="str">
        <f>_xlfn.XLOOKUP($N18,'Base de Grupos'!$A:$A,'Base de Grupos'!$L:$L)</f>
        <v>1000150135</v>
      </c>
      <c r="K18" s="5" t="str">
        <f>_xlfn.XLOOKUP($N18,'Base de Grupos'!$A:$A,'Base de Grupos'!$M:$M)</f>
        <v>HELDER DA SILVA BRUNKOW</v>
      </c>
      <c r="L18" s="5" t="str">
        <f t="shared" si="2"/>
        <v/>
      </c>
      <c r="M18" s="5" t="str">
        <f>_xlfn.XLOOKUP($N18,'Base de Grupos'!$A:$A,'Base de Grupos'!$C:$C)</f>
        <v>AP</v>
      </c>
      <c r="N18" s="3">
        <v>1324</v>
      </c>
      <c r="O18" s="4" t="s">
        <v>224</v>
      </c>
      <c r="P18" s="5" t="s">
        <v>94</v>
      </c>
      <c r="Q18" s="24">
        <v>0</v>
      </c>
      <c r="R18" s="24">
        <v>1</v>
      </c>
      <c r="S18" s="24">
        <v>2</v>
      </c>
      <c r="T18" s="24">
        <v>0</v>
      </c>
      <c r="U18" s="24">
        <v>0</v>
      </c>
      <c r="V18" s="24">
        <v>0</v>
      </c>
      <c r="W18" s="24">
        <v>0</v>
      </c>
      <c r="X18" s="24">
        <v>0</v>
      </c>
      <c r="Y18" s="24">
        <v>0</v>
      </c>
      <c r="Z18" s="24">
        <v>0</v>
      </c>
      <c r="AA18" s="24">
        <v>0</v>
      </c>
      <c r="AB18" s="24">
        <v>0</v>
      </c>
      <c r="AC18" s="30">
        <f t="shared" si="11"/>
        <v>0</v>
      </c>
      <c r="AD18" s="27">
        <f t="shared" si="8"/>
        <v>0</v>
      </c>
      <c r="AE18" s="25">
        <f>IFERROR(_xlfn.XLOOKUP(N18&amp;P18,'Historico Vendas'!G:G,'Historico Vendas'!E:E),0)</f>
        <v>0</v>
      </c>
      <c r="AF18" s="29" t="str">
        <f t="shared" si="6"/>
        <v/>
      </c>
      <c r="AG18" s="24">
        <f>IFERROR(_xlfn.XLOOKUP(N18&amp;P18,'Historico Vendas'!G:G,'Historico Vendas'!F:F),0)</f>
        <v>0</v>
      </c>
      <c r="AH18" s="25">
        <f t="shared" si="9"/>
        <v>3</v>
      </c>
      <c r="AI18" s="24">
        <f t="shared" si="10"/>
        <v>3</v>
      </c>
      <c r="AJ18" s="11">
        <f t="shared" si="7"/>
        <v>0</v>
      </c>
      <c r="AK18" s="9" t="s">
        <v>102</v>
      </c>
      <c r="AL18" s="13">
        <f>IFERROR(INDEX('Balizador da Meta'!$D$3:$F$23,MATCH(Quantidade!$P18,'Balizador da Meta'!$C$3:$C$23,0),MATCH(Quantidade!AK18,'Balizador da Meta'!$D$2:$F$2,0)),"")</f>
        <v>0.25</v>
      </c>
      <c r="AM18" s="9"/>
    </row>
    <row r="19" spans="1:39" x14ac:dyDescent="0.3">
      <c r="A19" s="2" t="str">
        <f t="shared" si="1"/>
        <v>NÃO</v>
      </c>
      <c r="B19" s="2" t="str">
        <f>_xlfn.XLOOKUP($N19,'Base de Grupos'!$A:$A,'Base de Grupos'!$D:$D)</f>
        <v>1000065763</v>
      </c>
      <c r="C19" s="5" t="str">
        <f>_xlfn.XLOOKUP($N19,'Base de Grupos'!$A:$A,'Base de Grupos'!$E:$E)</f>
        <v>CANAL VENDA INTERNA</v>
      </c>
      <c r="D19" s="5" t="str">
        <f>_xlfn.XLOOKUP($N19,'Base de Grupos'!$A:$A,'Base de Grupos'!$F:$F)</f>
        <v>1000065763</v>
      </c>
      <c r="E19" s="2" t="str">
        <f>_xlfn.XLOOKUP($N19,'Base de Grupos'!$A:$A,'Base de Grupos'!$G:$G)</f>
        <v>CANAL VENDA INTERNA</v>
      </c>
      <c r="F19" s="2" t="str">
        <f>_xlfn.XLOOKUP($N19,'Base de Grupos'!$A:$A,'Base de Grupos'!$H:$H)</f>
        <v>1000105900</v>
      </c>
      <c r="G19" s="5" t="str">
        <f>_xlfn.XLOOKUP($N19,'Base de Grupos'!$A:$A,'Base de Grupos'!$I:$I)</f>
        <v>REGIONAL VENDA DIRETA CO + NE + NO</v>
      </c>
      <c r="H19" s="5" t="str">
        <f>_xlfn.XLOOKUP($N19,'Base de Grupos'!$A:$A,'Base de Grupos'!$J:$J)</f>
        <v>1000105900</v>
      </c>
      <c r="I19" s="2" t="str">
        <f>_xlfn.XLOOKUP($N19,'Base de Grupos'!$A:$A,'Base de Grupos'!$K:$K)</f>
        <v>REGIONAL VENDA DIRETA CO + NE + NO</v>
      </c>
      <c r="J19" s="2" t="str">
        <f>_xlfn.XLOOKUP($N19,'Base de Grupos'!$A:$A,'Base de Grupos'!$L:$L)</f>
        <v>1000150135</v>
      </c>
      <c r="K19" s="5" t="str">
        <f>_xlfn.XLOOKUP($N19,'Base de Grupos'!$A:$A,'Base de Grupos'!$M:$M)</f>
        <v>HELDER DA SILVA BRUNKOW</v>
      </c>
      <c r="L19" s="5" t="str">
        <f t="shared" si="2"/>
        <v/>
      </c>
      <c r="M19" s="5" t="str">
        <f>_xlfn.XLOOKUP($N19,'Base de Grupos'!$A:$A,'Base de Grupos'!$C:$C)</f>
        <v>AP</v>
      </c>
      <c r="N19" s="3">
        <v>1324</v>
      </c>
      <c r="O19" s="4" t="s">
        <v>224</v>
      </c>
      <c r="P19" s="5" t="s">
        <v>95</v>
      </c>
      <c r="Q19" s="24">
        <v>0</v>
      </c>
      <c r="R19" s="24">
        <v>2</v>
      </c>
      <c r="S19" s="24">
        <v>2</v>
      </c>
      <c r="T19" s="24">
        <v>0</v>
      </c>
      <c r="U19" s="24">
        <v>0</v>
      </c>
      <c r="V19" s="24">
        <v>0</v>
      </c>
      <c r="W19" s="24">
        <v>0</v>
      </c>
      <c r="X19" s="24">
        <v>0</v>
      </c>
      <c r="Y19" s="24">
        <v>0</v>
      </c>
      <c r="Z19" s="24">
        <v>0</v>
      </c>
      <c r="AA19" s="24">
        <v>0</v>
      </c>
      <c r="AB19" s="24">
        <v>0</v>
      </c>
      <c r="AC19" s="30">
        <f t="shared" si="11"/>
        <v>0</v>
      </c>
      <c r="AD19" s="27">
        <f t="shared" si="8"/>
        <v>0</v>
      </c>
      <c r="AE19" s="25">
        <f>IFERROR(_xlfn.XLOOKUP(N19&amp;P19,'Historico Vendas'!G:G,'Historico Vendas'!E:E),0)</f>
        <v>0</v>
      </c>
      <c r="AF19" s="29" t="str">
        <f t="shared" si="6"/>
        <v/>
      </c>
      <c r="AG19" s="24">
        <f>IFERROR(_xlfn.XLOOKUP(N19&amp;P19,'Historico Vendas'!G:G,'Historico Vendas'!F:F),0)</f>
        <v>0</v>
      </c>
      <c r="AH19" s="25">
        <f t="shared" si="9"/>
        <v>4</v>
      </c>
      <c r="AI19" s="24">
        <f t="shared" si="10"/>
        <v>4</v>
      </c>
      <c r="AJ19" s="11">
        <f t="shared" si="7"/>
        <v>0</v>
      </c>
      <c r="AK19" s="9" t="s">
        <v>102</v>
      </c>
      <c r="AL19" s="13">
        <f>IFERROR(INDEX('Balizador da Meta'!$D$3:$F$23,MATCH(Quantidade!$P19,'Balizador da Meta'!$C$3:$C$23,0),MATCH(Quantidade!AK19,'Balizador da Meta'!$D$2:$F$2,0)),"")</f>
        <v>0.25</v>
      </c>
      <c r="AM19" s="9"/>
    </row>
    <row r="20" spans="1:39" x14ac:dyDescent="0.3">
      <c r="A20" s="2" t="str">
        <f t="shared" si="1"/>
        <v>NÃO</v>
      </c>
      <c r="B20" s="2" t="str">
        <f>_xlfn.XLOOKUP($N20,'Base de Grupos'!$A:$A,'Base de Grupos'!$D:$D)</f>
        <v>1000065763</v>
      </c>
      <c r="C20" s="5" t="str">
        <f>_xlfn.XLOOKUP($N20,'Base de Grupos'!$A:$A,'Base de Grupos'!$E:$E)</f>
        <v>CANAL VENDA INTERNA</v>
      </c>
      <c r="D20" s="5" t="str">
        <f>_xlfn.XLOOKUP($N20,'Base de Grupos'!$A:$A,'Base de Grupos'!$F:$F)</f>
        <v>1000065763</v>
      </c>
      <c r="E20" s="2" t="str">
        <f>_xlfn.XLOOKUP($N20,'Base de Grupos'!$A:$A,'Base de Grupos'!$G:$G)</f>
        <v>CANAL VENDA INTERNA</v>
      </c>
      <c r="F20" s="2" t="str">
        <f>_xlfn.XLOOKUP($N20,'Base de Grupos'!$A:$A,'Base de Grupos'!$H:$H)</f>
        <v>1000105900</v>
      </c>
      <c r="G20" s="5" t="str">
        <f>_xlfn.XLOOKUP($N20,'Base de Grupos'!$A:$A,'Base de Grupos'!$I:$I)</f>
        <v>REGIONAL VENDA DIRETA CO + NE + NO</v>
      </c>
      <c r="H20" s="5" t="str">
        <f>_xlfn.XLOOKUP($N20,'Base de Grupos'!$A:$A,'Base de Grupos'!$J:$J)</f>
        <v>1000105900</v>
      </c>
      <c r="I20" s="2" t="str">
        <f>_xlfn.XLOOKUP($N20,'Base de Grupos'!$A:$A,'Base de Grupos'!$K:$K)</f>
        <v>REGIONAL VENDA DIRETA CO + NE + NO</v>
      </c>
      <c r="J20" s="2" t="str">
        <f>_xlfn.XLOOKUP($N20,'Base de Grupos'!$A:$A,'Base de Grupos'!$L:$L)</f>
        <v>1000150135</v>
      </c>
      <c r="K20" s="5" t="str">
        <f>_xlfn.XLOOKUP($N20,'Base de Grupos'!$A:$A,'Base de Grupos'!$M:$M)</f>
        <v>HELDER DA SILVA BRUNKOW</v>
      </c>
      <c r="L20" s="5" t="str">
        <f t="shared" si="2"/>
        <v/>
      </c>
      <c r="M20" s="5" t="str">
        <f>_xlfn.XLOOKUP($N20,'Base de Grupos'!$A:$A,'Base de Grupos'!$C:$C)</f>
        <v>AP</v>
      </c>
      <c r="N20" s="3">
        <v>1324</v>
      </c>
      <c r="O20" s="4" t="s">
        <v>224</v>
      </c>
      <c r="P20" s="5" t="s">
        <v>93</v>
      </c>
      <c r="Q20" s="24">
        <v>0</v>
      </c>
      <c r="R20" s="24">
        <v>2</v>
      </c>
      <c r="S20" s="24">
        <v>2</v>
      </c>
      <c r="T20" s="24">
        <v>0</v>
      </c>
      <c r="U20" s="24">
        <v>0</v>
      </c>
      <c r="V20" s="24">
        <v>0</v>
      </c>
      <c r="W20" s="24">
        <v>0</v>
      </c>
      <c r="X20" s="24">
        <v>0</v>
      </c>
      <c r="Y20" s="24">
        <v>0</v>
      </c>
      <c r="Z20" s="24">
        <v>0</v>
      </c>
      <c r="AA20" s="24">
        <v>0</v>
      </c>
      <c r="AB20" s="24">
        <v>0</v>
      </c>
      <c r="AC20" s="30">
        <f t="shared" si="11"/>
        <v>0</v>
      </c>
      <c r="AD20" s="27">
        <f t="shared" si="8"/>
        <v>0</v>
      </c>
      <c r="AE20" s="25">
        <f>IFERROR(_xlfn.XLOOKUP(N20&amp;P20,'Historico Vendas'!G:G,'Historico Vendas'!E:E),0)</f>
        <v>0</v>
      </c>
      <c r="AF20" s="29" t="str">
        <f t="shared" si="6"/>
        <v/>
      </c>
      <c r="AG20" s="24">
        <f>IFERROR(_xlfn.XLOOKUP(N20&amp;P20,'Historico Vendas'!G:G,'Historico Vendas'!F:F),0)</f>
        <v>0</v>
      </c>
      <c r="AH20" s="25">
        <f t="shared" si="9"/>
        <v>4</v>
      </c>
      <c r="AI20" s="24">
        <f t="shared" si="10"/>
        <v>4</v>
      </c>
      <c r="AJ20" s="11">
        <f t="shared" si="7"/>
        <v>0</v>
      </c>
      <c r="AK20" s="9" t="s">
        <v>102</v>
      </c>
      <c r="AL20" s="13">
        <f>IFERROR(INDEX('Balizador da Meta'!$D$3:$F$23,MATCH(Quantidade!$P20,'Balizador da Meta'!$C$3:$C$23,0),MATCH(Quantidade!AK20,'Balizador da Meta'!$D$2:$F$2,0)),"")</f>
        <v>0.2</v>
      </c>
      <c r="AM20" s="9"/>
    </row>
    <row r="21" spans="1:39" x14ac:dyDescent="0.3">
      <c r="A21" s="2" t="str">
        <f t="shared" si="1"/>
        <v>SIM</v>
      </c>
      <c r="B21" s="2" t="str">
        <f>_xlfn.XLOOKUP($N21,'Base de Grupos'!$A:$A,'Base de Grupos'!$D:$D)</f>
        <v>1000065763</v>
      </c>
      <c r="C21" s="5" t="str">
        <f>_xlfn.XLOOKUP($N21,'Base de Grupos'!$A:$A,'Base de Grupos'!$E:$E)</f>
        <v>CANAL VENDA INTERNA</v>
      </c>
      <c r="D21" s="5" t="str">
        <f>_xlfn.XLOOKUP($N21,'Base de Grupos'!$A:$A,'Base de Grupos'!$F:$F)</f>
        <v>1000065763</v>
      </c>
      <c r="E21" s="2" t="str">
        <f>_xlfn.XLOOKUP($N21,'Base de Grupos'!$A:$A,'Base de Grupos'!$G:$G)</f>
        <v>CANAL VENDA INTERNA</v>
      </c>
      <c r="F21" s="2" t="str">
        <f>_xlfn.XLOOKUP($N21,'Base de Grupos'!$A:$A,'Base de Grupos'!$H:$H)</f>
        <v>1000105900</v>
      </c>
      <c r="G21" s="5" t="str">
        <f>_xlfn.XLOOKUP($N21,'Base de Grupos'!$A:$A,'Base de Grupos'!$I:$I)</f>
        <v>REGIONAL VENDA DIRETA CO + NE + NO</v>
      </c>
      <c r="H21" s="5" t="str">
        <f>_xlfn.XLOOKUP($N21,'Base de Grupos'!$A:$A,'Base de Grupos'!$J:$J)</f>
        <v>1000105900</v>
      </c>
      <c r="I21" s="2" t="str">
        <f>_xlfn.XLOOKUP($N21,'Base de Grupos'!$A:$A,'Base de Grupos'!$K:$K)</f>
        <v>REGIONAL VENDA DIRETA CO + NE + NO</v>
      </c>
      <c r="J21" s="2" t="str">
        <f>_xlfn.XLOOKUP($N21,'Base de Grupos'!$A:$A,'Base de Grupos'!$L:$L)</f>
        <v>1000150135</v>
      </c>
      <c r="K21" s="5" t="str">
        <f>_xlfn.XLOOKUP($N21,'Base de Grupos'!$A:$A,'Base de Grupos'!$M:$M)</f>
        <v>HELDER DA SILVA BRUNKOW</v>
      </c>
      <c r="L21" s="5">
        <f t="shared" si="2"/>
        <v>1</v>
      </c>
      <c r="M21" s="5" t="str">
        <f>_xlfn.XLOOKUP($N21,'Base de Grupos'!$A:$A,'Base de Grupos'!$C:$C)</f>
        <v>RN</v>
      </c>
      <c r="N21" s="3">
        <v>1325</v>
      </c>
      <c r="O21" s="4" t="s">
        <v>225</v>
      </c>
      <c r="P21" s="5" t="s">
        <v>295</v>
      </c>
      <c r="Q21" s="24">
        <v>0</v>
      </c>
      <c r="R21" s="24">
        <v>1</v>
      </c>
      <c r="S21" s="24">
        <v>1</v>
      </c>
      <c r="T21" s="24">
        <v>0</v>
      </c>
      <c r="U21" s="24">
        <v>0</v>
      </c>
      <c r="V21" s="24">
        <v>0</v>
      </c>
      <c r="W21" s="24">
        <v>0</v>
      </c>
      <c r="X21" s="24">
        <v>0</v>
      </c>
      <c r="Y21" s="24">
        <v>0</v>
      </c>
      <c r="Z21" s="24">
        <v>0</v>
      </c>
      <c r="AA21" s="24">
        <v>0</v>
      </c>
      <c r="AB21" s="24">
        <v>0</v>
      </c>
      <c r="AC21" s="30">
        <f t="shared" si="11"/>
        <v>0</v>
      </c>
      <c r="AD21" s="25">
        <f t="shared" ref="AD21:AI39" si="12">SUM(AD22:AD38)</f>
        <v>0</v>
      </c>
      <c r="AE21" s="25">
        <f t="shared" si="12"/>
        <v>0</v>
      </c>
      <c r="AF21" s="11" t="str">
        <f t="shared" si="6"/>
        <v/>
      </c>
      <c r="AG21" s="24">
        <f t="shared" si="12"/>
        <v>0</v>
      </c>
      <c r="AH21" s="25">
        <f t="shared" si="12"/>
        <v>253.8</v>
      </c>
      <c r="AI21" s="24">
        <f t="shared" si="12"/>
        <v>253.8</v>
      </c>
      <c r="AJ21" s="11">
        <f t="shared" si="7"/>
        <v>0</v>
      </c>
      <c r="AK21" s="9"/>
      <c r="AL21" s="13"/>
      <c r="AM21" s="9"/>
    </row>
    <row r="22" spans="1:39" x14ac:dyDescent="0.3">
      <c r="A22" s="2" t="str">
        <f t="shared" si="1"/>
        <v>NÃO</v>
      </c>
      <c r="B22" s="2" t="str">
        <f>_xlfn.XLOOKUP($N22,'Base de Grupos'!$A:$A,'Base de Grupos'!$D:$D)</f>
        <v>1000065763</v>
      </c>
      <c r="C22" s="5" t="str">
        <f>_xlfn.XLOOKUP($N22,'Base de Grupos'!$A:$A,'Base de Grupos'!$E:$E)</f>
        <v>CANAL VENDA INTERNA</v>
      </c>
      <c r="D22" s="5" t="str">
        <f>_xlfn.XLOOKUP($N22,'Base de Grupos'!$A:$A,'Base de Grupos'!$F:$F)</f>
        <v>1000065763</v>
      </c>
      <c r="E22" s="2" t="str">
        <f>_xlfn.XLOOKUP($N22,'Base de Grupos'!$A:$A,'Base de Grupos'!$G:$G)</f>
        <v>CANAL VENDA INTERNA</v>
      </c>
      <c r="F22" s="2" t="str">
        <f>_xlfn.XLOOKUP($N22,'Base de Grupos'!$A:$A,'Base de Grupos'!$H:$H)</f>
        <v>1000105900</v>
      </c>
      <c r="G22" s="5" t="str">
        <f>_xlfn.XLOOKUP($N22,'Base de Grupos'!$A:$A,'Base de Grupos'!$I:$I)</f>
        <v>REGIONAL VENDA DIRETA CO + NE + NO</v>
      </c>
      <c r="H22" s="5" t="str">
        <f>_xlfn.XLOOKUP($N22,'Base de Grupos'!$A:$A,'Base de Grupos'!$J:$J)</f>
        <v>1000105900</v>
      </c>
      <c r="I22" s="2" t="str">
        <f>_xlfn.XLOOKUP($N22,'Base de Grupos'!$A:$A,'Base de Grupos'!$K:$K)</f>
        <v>REGIONAL VENDA DIRETA CO + NE + NO</v>
      </c>
      <c r="J22" s="2" t="str">
        <f>_xlfn.XLOOKUP($N22,'Base de Grupos'!$A:$A,'Base de Grupos'!$L:$L)</f>
        <v>1000150135</v>
      </c>
      <c r="K22" s="5" t="str">
        <f>_xlfn.XLOOKUP($N22,'Base de Grupos'!$A:$A,'Base de Grupos'!$M:$M)</f>
        <v>HELDER DA SILVA BRUNKOW</v>
      </c>
      <c r="L22" s="5" t="str">
        <f t="shared" si="2"/>
        <v/>
      </c>
      <c r="M22" s="5" t="str">
        <f>_xlfn.XLOOKUP($N22,'Base de Grupos'!$A:$A,'Base de Grupos'!$C:$C)</f>
        <v>RN</v>
      </c>
      <c r="N22" s="3">
        <v>1325</v>
      </c>
      <c r="O22" s="4" t="s">
        <v>225</v>
      </c>
      <c r="P22" s="5" t="s">
        <v>81</v>
      </c>
      <c r="Q22" s="24">
        <v>0</v>
      </c>
      <c r="R22" s="24">
        <v>4</v>
      </c>
      <c r="S22" s="24">
        <v>4</v>
      </c>
      <c r="T22" s="24">
        <v>0</v>
      </c>
      <c r="U22" s="24">
        <v>0</v>
      </c>
      <c r="V22" s="24">
        <v>0</v>
      </c>
      <c r="W22" s="24">
        <v>0</v>
      </c>
      <c r="X22" s="24">
        <v>0</v>
      </c>
      <c r="Y22" s="24">
        <v>0</v>
      </c>
      <c r="Z22" s="24">
        <v>0</v>
      </c>
      <c r="AA22" s="24">
        <v>0</v>
      </c>
      <c r="AB22" s="24">
        <v>0</v>
      </c>
      <c r="AC22" s="30">
        <f t="shared" si="11"/>
        <v>0</v>
      </c>
      <c r="AD22" s="27">
        <f t="shared" ref="AD22:AD38" si="13">IF(AC22=0,0,AC22-AG22)</f>
        <v>0</v>
      </c>
      <c r="AE22" s="25">
        <f>IFERROR(_xlfn.XLOOKUP(N22&amp;P22,'Historico Vendas'!G:G,'Historico Vendas'!E:E),0)</f>
        <v>0</v>
      </c>
      <c r="AF22" s="29" t="str">
        <f t="shared" si="6"/>
        <v/>
      </c>
      <c r="AG22" s="24">
        <f>IFERROR(_xlfn.XLOOKUP(N22&amp;P22,'Historico Vendas'!G:G,'Historico Vendas'!F:F),0)</f>
        <v>0</v>
      </c>
      <c r="AH22" s="25">
        <f t="shared" ref="AH22:AH38" si="14">SUM(Q22:S22)</f>
        <v>8</v>
      </c>
      <c r="AI22" s="24">
        <f t="shared" ref="AI22:AI38" si="15">AH22-AG22</f>
        <v>8</v>
      </c>
      <c r="AJ22" s="11">
        <f t="shared" si="7"/>
        <v>0</v>
      </c>
      <c r="AK22" s="9" t="s">
        <v>102</v>
      </c>
      <c r="AL22" s="13">
        <f>IFERROR(INDEX('Balizador da Meta'!$D$3:$F$23,MATCH(Quantidade!$P22,'Balizador da Meta'!$C$3:$C$23,0),MATCH(Quantidade!AK22,'Balizador da Meta'!$D$2:$F$2,0)),"")</f>
        <v>0.2</v>
      </c>
      <c r="AM22" s="9"/>
    </row>
    <row r="23" spans="1:39" x14ac:dyDescent="0.3">
      <c r="A23" s="2" t="str">
        <f t="shared" si="1"/>
        <v>NÃO</v>
      </c>
      <c r="B23" s="2" t="str">
        <f>_xlfn.XLOOKUP($N23,'Base de Grupos'!$A:$A,'Base de Grupos'!$D:$D)</f>
        <v>1000065763</v>
      </c>
      <c r="C23" s="5" t="str">
        <f>_xlfn.XLOOKUP($N23,'Base de Grupos'!$A:$A,'Base de Grupos'!$E:$E)</f>
        <v>CANAL VENDA INTERNA</v>
      </c>
      <c r="D23" s="5" t="str">
        <f>_xlfn.XLOOKUP($N23,'Base de Grupos'!$A:$A,'Base de Grupos'!$F:$F)</f>
        <v>1000065763</v>
      </c>
      <c r="E23" s="2" t="str">
        <f>_xlfn.XLOOKUP($N23,'Base de Grupos'!$A:$A,'Base de Grupos'!$G:$G)</f>
        <v>CANAL VENDA INTERNA</v>
      </c>
      <c r="F23" s="2" t="str">
        <f>_xlfn.XLOOKUP($N23,'Base de Grupos'!$A:$A,'Base de Grupos'!$H:$H)</f>
        <v>1000105900</v>
      </c>
      <c r="G23" s="5" t="str">
        <f>_xlfn.XLOOKUP($N23,'Base de Grupos'!$A:$A,'Base de Grupos'!$I:$I)</f>
        <v>REGIONAL VENDA DIRETA CO + NE + NO</v>
      </c>
      <c r="H23" s="5" t="str">
        <f>_xlfn.XLOOKUP($N23,'Base de Grupos'!$A:$A,'Base de Grupos'!$J:$J)</f>
        <v>1000105900</v>
      </c>
      <c r="I23" s="2" t="str">
        <f>_xlfn.XLOOKUP($N23,'Base de Grupos'!$A:$A,'Base de Grupos'!$K:$K)</f>
        <v>REGIONAL VENDA DIRETA CO + NE + NO</v>
      </c>
      <c r="J23" s="2" t="str">
        <f>_xlfn.XLOOKUP($N23,'Base de Grupos'!$A:$A,'Base de Grupos'!$L:$L)</f>
        <v>1000150135</v>
      </c>
      <c r="K23" s="5" t="str">
        <f>_xlfn.XLOOKUP($N23,'Base de Grupos'!$A:$A,'Base de Grupos'!$M:$M)</f>
        <v>HELDER DA SILVA BRUNKOW</v>
      </c>
      <c r="L23" s="5" t="str">
        <f t="shared" si="2"/>
        <v/>
      </c>
      <c r="M23" s="5" t="str">
        <f>_xlfn.XLOOKUP($N23,'Base de Grupos'!$A:$A,'Base de Grupos'!$C:$C)</f>
        <v>RN</v>
      </c>
      <c r="N23" s="3">
        <v>1325</v>
      </c>
      <c r="O23" s="4" t="s">
        <v>225</v>
      </c>
      <c r="P23" s="5" t="s">
        <v>82</v>
      </c>
      <c r="Q23" s="24">
        <v>0</v>
      </c>
      <c r="R23" s="24">
        <v>4.4000000000000004</v>
      </c>
      <c r="S23" s="24">
        <v>5</v>
      </c>
      <c r="T23" s="24">
        <v>0</v>
      </c>
      <c r="U23" s="24">
        <v>0</v>
      </c>
      <c r="V23" s="24">
        <v>0</v>
      </c>
      <c r="W23" s="24">
        <v>0</v>
      </c>
      <c r="X23" s="24">
        <v>0</v>
      </c>
      <c r="Y23" s="24">
        <v>0</v>
      </c>
      <c r="Z23" s="24">
        <v>0</v>
      </c>
      <c r="AA23" s="24">
        <v>0</v>
      </c>
      <c r="AB23" s="24">
        <v>0</v>
      </c>
      <c r="AC23" s="30">
        <f t="shared" si="11"/>
        <v>0</v>
      </c>
      <c r="AD23" s="27">
        <f t="shared" si="13"/>
        <v>0</v>
      </c>
      <c r="AE23" s="25">
        <f>IFERROR(_xlfn.XLOOKUP(N23&amp;P23,'Historico Vendas'!G:G,'Historico Vendas'!E:E),0)</f>
        <v>0</v>
      </c>
      <c r="AF23" s="29" t="str">
        <f t="shared" si="6"/>
        <v/>
      </c>
      <c r="AG23" s="24">
        <f>IFERROR(_xlfn.XLOOKUP(N23&amp;P23,'Historico Vendas'!G:G,'Historico Vendas'!F:F),0)</f>
        <v>0</v>
      </c>
      <c r="AH23" s="25">
        <f t="shared" si="14"/>
        <v>9.4</v>
      </c>
      <c r="AI23" s="24">
        <f t="shared" si="15"/>
        <v>9.4</v>
      </c>
      <c r="AJ23" s="11">
        <f t="shared" si="7"/>
        <v>0</v>
      </c>
      <c r="AK23" s="9" t="s">
        <v>102</v>
      </c>
      <c r="AL23" s="13">
        <f>IFERROR(INDEX('Balizador da Meta'!$D$3:$F$23,MATCH(Quantidade!$P23,'Balizador da Meta'!$C$3:$C$23,0),MATCH(Quantidade!AK23,'Balizador da Meta'!$D$2:$F$2,0)),"")</f>
        <v>0.2</v>
      </c>
      <c r="AM23" s="9"/>
    </row>
    <row r="24" spans="1:39" x14ac:dyDescent="0.3">
      <c r="A24" s="2" t="str">
        <f t="shared" si="1"/>
        <v>NÃO</v>
      </c>
      <c r="B24" s="2" t="str">
        <f>_xlfn.XLOOKUP($N24,'Base de Grupos'!$A:$A,'Base de Grupos'!$D:$D)</f>
        <v>1000065763</v>
      </c>
      <c r="C24" s="5" t="str">
        <f>_xlfn.XLOOKUP($N24,'Base de Grupos'!$A:$A,'Base de Grupos'!$E:$E)</f>
        <v>CANAL VENDA INTERNA</v>
      </c>
      <c r="D24" s="5" t="str">
        <f>_xlfn.XLOOKUP($N24,'Base de Grupos'!$A:$A,'Base de Grupos'!$F:$F)</f>
        <v>1000065763</v>
      </c>
      <c r="E24" s="2" t="str">
        <f>_xlfn.XLOOKUP($N24,'Base de Grupos'!$A:$A,'Base de Grupos'!$G:$G)</f>
        <v>CANAL VENDA INTERNA</v>
      </c>
      <c r="F24" s="2" t="str">
        <f>_xlfn.XLOOKUP($N24,'Base de Grupos'!$A:$A,'Base de Grupos'!$H:$H)</f>
        <v>1000105900</v>
      </c>
      <c r="G24" s="5" t="str">
        <f>_xlfn.XLOOKUP($N24,'Base de Grupos'!$A:$A,'Base de Grupos'!$I:$I)</f>
        <v>REGIONAL VENDA DIRETA CO + NE + NO</v>
      </c>
      <c r="H24" s="5" t="str">
        <f>_xlfn.XLOOKUP($N24,'Base de Grupos'!$A:$A,'Base de Grupos'!$J:$J)</f>
        <v>1000105900</v>
      </c>
      <c r="I24" s="2" t="str">
        <f>_xlfn.XLOOKUP($N24,'Base de Grupos'!$A:$A,'Base de Grupos'!$K:$K)</f>
        <v>REGIONAL VENDA DIRETA CO + NE + NO</v>
      </c>
      <c r="J24" s="2" t="str">
        <f>_xlfn.XLOOKUP($N24,'Base de Grupos'!$A:$A,'Base de Grupos'!$L:$L)</f>
        <v>1000150135</v>
      </c>
      <c r="K24" s="5" t="str">
        <f>_xlfn.XLOOKUP($N24,'Base de Grupos'!$A:$A,'Base de Grupos'!$M:$M)</f>
        <v>HELDER DA SILVA BRUNKOW</v>
      </c>
      <c r="L24" s="5" t="str">
        <f t="shared" si="2"/>
        <v/>
      </c>
      <c r="M24" s="5" t="str">
        <f>_xlfn.XLOOKUP($N24,'Base de Grupos'!$A:$A,'Base de Grupos'!$C:$C)</f>
        <v>RN</v>
      </c>
      <c r="N24" s="3">
        <v>1325</v>
      </c>
      <c r="O24" s="4" t="s">
        <v>225</v>
      </c>
      <c r="P24" s="5" t="s">
        <v>84</v>
      </c>
      <c r="Q24" s="24">
        <v>0</v>
      </c>
      <c r="R24" s="24">
        <v>4</v>
      </c>
      <c r="S24" s="24">
        <v>4</v>
      </c>
      <c r="T24" s="24">
        <v>0</v>
      </c>
      <c r="U24" s="24">
        <v>0</v>
      </c>
      <c r="V24" s="24">
        <v>0</v>
      </c>
      <c r="W24" s="24">
        <v>0</v>
      </c>
      <c r="X24" s="24">
        <v>0</v>
      </c>
      <c r="Y24" s="24">
        <v>0</v>
      </c>
      <c r="Z24" s="24">
        <v>0</v>
      </c>
      <c r="AA24" s="24">
        <v>0</v>
      </c>
      <c r="AB24" s="24">
        <v>0</v>
      </c>
      <c r="AC24" s="30">
        <f t="shared" si="11"/>
        <v>0</v>
      </c>
      <c r="AD24" s="27">
        <f t="shared" si="13"/>
        <v>0</v>
      </c>
      <c r="AE24" s="25">
        <f>IFERROR(_xlfn.XLOOKUP(N24&amp;P24,'Historico Vendas'!G:G,'Historico Vendas'!E:E),0)</f>
        <v>0</v>
      </c>
      <c r="AF24" s="29" t="str">
        <f t="shared" si="6"/>
        <v/>
      </c>
      <c r="AG24" s="24">
        <f>IFERROR(_xlfn.XLOOKUP(N24&amp;P24,'Historico Vendas'!G:G,'Historico Vendas'!F:F),0)</f>
        <v>0</v>
      </c>
      <c r="AH24" s="25">
        <f t="shared" si="14"/>
        <v>8</v>
      </c>
      <c r="AI24" s="24">
        <f t="shared" si="15"/>
        <v>8</v>
      </c>
      <c r="AJ24" s="11">
        <f t="shared" si="7"/>
        <v>0</v>
      </c>
      <c r="AK24" s="9" t="s">
        <v>102</v>
      </c>
      <c r="AL24" s="13">
        <f>IFERROR(INDEX('Balizador da Meta'!$D$3:$F$23,MATCH(Quantidade!$P24,'Balizador da Meta'!$C$3:$C$23,0),MATCH(Quantidade!AK24,'Balizador da Meta'!$D$2:$F$2,0)),"")</f>
        <v>0.15</v>
      </c>
      <c r="AM24" s="9"/>
    </row>
    <row r="25" spans="1:39" x14ac:dyDescent="0.3">
      <c r="A25" s="2" t="str">
        <f t="shared" si="1"/>
        <v>NÃO</v>
      </c>
      <c r="B25" s="2" t="str">
        <f>_xlfn.XLOOKUP($N25,'Base de Grupos'!$A:$A,'Base de Grupos'!$D:$D)</f>
        <v>1000065763</v>
      </c>
      <c r="C25" s="5" t="str">
        <f>_xlfn.XLOOKUP($N25,'Base de Grupos'!$A:$A,'Base de Grupos'!$E:$E)</f>
        <v>CANAL VENDA INTERNA</v>
      </c>
      <c r="D25" s="5" t="str">
        <f>_xlfn.XLOOKUP($N25,'Base de Grupos'!$A:$A,'Base de Grupos'!$F:$F)</f>
        <v>1000065763</v>
      </c>
      <c r="E25" s="2" t="str">
        <f>_xlfn.XLOOKUP($N25,'Base de Grupos'!$A:$A,'Base de Grupos'!$G:$G)</f>
        <v>CANAL VENDA INTERNA</v>
      </c>
      <c r="F25" s="2" t="str">
        <f>_xlfn.XLOOKUP($N25,'Base de Grupos'!$A:$A,'Base de Grupos'!$H:$H)</f>
        <v>1000105900</v>
      </c>
      <c r="G25" s="5" t="str">
        <f>_xlfn.XLOOKUP($N25,'Base de Grupos'!$A:$A,'Base de Grupos'!$I:$I)</f>
        <v>REGIONAL VENDA DIRETA CO + NE + NO</v>
      </c>
      <c r="H25" s="5" t="str">
        <f>_xlfn.XLOOKUP($N25,'Base de Grupos'!$A:$A,'Base de Grupos'!$J:$J)</f>
        <v>1000105900</v>
      </c>
      <c r="I25" s="2" t="str">
        <f>_xlfn.XLOOKUP($N25,'Base de Grupos'!$A:$A,'Base de Grupos'!$K:$K)</f>
        <v>REGIONAL VENDA DIRETA CO + NE + NO</v>
      </c>
      <c r="J25" s="2" t="str">
        <f>_xlfn.XLOOKUP($N25,'Base de Grupos'!$A:$A,'Base de Grupos'!$L:$L)</f>
        <v>1000150135</v>
      </c>
      <c r="K25" s="5" t="str">
        <f>_xlfn.XLOOKUP($N25,'Base de Grupos'!$A:$A,'Base de Grupos'!$M:$M)</f>
        <v>HELDER DA SILVA BRUNKOW</v>
      </c>
      <c r="L25" s="5" t="str">
        <f t="shared" si="2"/>
        <v/>
      </c>
      <c r="M25" s="5" t="str">
        <f>_xlfn.XLOOKUP($N25,'Base de Grupos'!$A:$A,'Base de Grupos'!$C:$C)</f>
        <v>RN</v>
      </c>
      <c r="N25" s="3">
        <v>1325</v>
      </c>
      <c r="O25" s="4" t="s">
        <v>225</v>
      </c>
      <c r="P25" s="5" t="s">
        <v>83</v>
      </c>
      <c r="Q25" s="24">
        <f>SUM(Q26:Q46)</f>
        <v>0</v>
      </c>
      <c r="R25" s="24">
        <f t="shared" ref="R25" si="16">SUM(R26:R46)</f>
        <v>63.4</v>
      </c>
      <c r="S25" s="24">
        <f t="shared" ref="S25" si="17">SUM(S26:S46)</f>
        <v>74</v>
      </c>
      <c r="T25" s="24">
        <f t="shared" ref="T25:AC25" si="18">SUM(T26:T46)</f>
        <v>0</v>
      </c>
      <c r="U25" s="24">
        <f t="shared" si="18"/>
        <v>0</v>
      </c>
      <c r="V25" s="24">
        <f t="shared" si="18"/>
        <v>0</v>
      </c>
      <c r="W25" s="24">
        <f t="shared" si="18"/>
        <v>0</v>
      </c>
      <c r="X25" s="24">
        <f t="shared" si="18"/>
        <v>0</v>
      </c>
      <c r="Y25" s="24">
        <f t="shared" si="18"/>
        <v>0</v>
      </c>
      <c r="Z25" s="24">
        <f t="shared" si="18"/>
        <v>0</v>
      </c>
      <c r="AA25" s="24">
        <f t="shared" si="18"/>
        <v>0</v>
      </c>
      <c r="AB25" s="24">
        <f t="shared" si="18"/>
        <v>0</v>
      </c>
      <c r="AC25" s="24">
        <f t="shared" si="18"/>
        <v>0</v>
      </c>
      <c r="AD25" s="27">
        <f t="shared" si="13"/>
        <v>0</v>
      </c>
      <c r="AE25" s="25">
        <f>IFERROR(_xlfn.XLOOKUP(N25&amp;P25,'Historico Vendas'!G:G,'Historico Vendas'!E:E),0)</f>
        <v>0</v>
      </c>
      <c r="AF25" s="29" t="str">
        <f t="shared" si="6"/>
        <v/>
      </c>
      <c r="AG25" s="24">
        <f>IFERROR(_xlfn.XLOOKUP(N25&amp;P25,'Historico Vendas'!G:G,'Historico Vendas'!F:F),0)</f>
        <v>0</v>
      </c>
      <c r="AH25" s="25">
        <f t="shared" si="14"/>
        <v>137.4</v>
      </c>
      <c r="AI25" s="24">
        <f t="shared" si="15"/>
        <v>137.4</v>
      </c>
      <c r="AJ25" s="11">
        <f t="shared" si="7"/>
        <v>0</v>
      </c>
      <c r="AK25" s="9" t="s">
        <v>102</v>
      </c>
      <c r="AL25" s="13">
        <f>IFERROR(INDEX('Balizador da Meta'!$D$3:$F$23,MATCH(Quantidade!$P25,'Balizador da Meta'!$C$3:$C$23,0),MATCH(Quantidade!AK25,'Balizador da Meta'!$D$2:$F$2,0)),"")</f>
        <v>0</v>
      </c>
      <c r="AM25" s="9"/>
    </row>
    <row r="26" spans="1:39" x14ac:dyDescent="0.3">
      <c r="A26" s="2" t="str">
        <f t="shared" si="1"/>
        <v>NÃO</v>
      </c>
      <c r="B26" s="2" t="str">
        <f>_xlfn.XLOOKUP($N26,'Base de Grupos'!$A:$A,'Base de Grupos'!$D:$D)</f>
        <v>1000065763</v>
      </c>
      <c r="C26" s="5" t="str">
        <f>_xlfn.XLOOKUP($N26,'Base de Grupos'!$A:$A,'Base de Grupos'!$E:$E)</f>
        <v>CANAL VENDA INTERNA</v>
      </c>
      <c r="D26" s="5" t="str">
        <f>_xlfn.XLOOKUP($N26,'Base de Grupos'!$A:$A,'Base de Grupos'!$F:$F)</f>
        <v>1000065763</v>
      </c>
      <c r="E26" s="2" t="str">
        <f>_xlfn.XLOOKUP($N26,'Base de Grupos'!$A:$A,'Base de Grupos'!$G:$G)</f>
        <v>CANAL VENDA INTERNA</v>
      </c>
      <c r="F26" s="2" t="str">
        <f>_xlfn.XLOOKUP($N26,'Base de Grupos'!$A:$A,'Base de Grupos'!$H:$H)</f>
        <v>1000105900</v>
      </c>
      <c r="G26" s="5" t="str">
        <f>_xlfn.XLOOKUP($N26,'Base de Grupos'!$A:$A,'Base de Grupos'!$I:$I)</f>
        <v>REGIONAL VENDA DIRETA CO + NE + NO</v>
      </c>
      <c r="H26" s="5" t="str">
        <f>_xlfn.XLOOKUP($N26,'Base de Grupos'!$A:$A,'Base de Grupos'!$J:$J)</f>
        <v>1000105900</v>
      </c>
      <c r="I26" s="2" t="str">
        <f>_xlfn.XLOOKUP($N26,'Base de Grupos'!$A:$A,'Base de Grupos'!$K:$K)</f>
        <v>REGIONAL VENDA DIRETA CO + NE + NO</v>
      </c>
      <c r="J26" s="2" t="str">
        <f>_xlfn.XLOOKUP($N26,'Base de Grupos'!$A:$A,'Base de Grupos'!$L:$L)</f>
        <v>1000150135</v>
      </c>
      <c r="K26" s="5" t="str">
        <f>_xlfn.XLOOKUP($N26,'Base de Grupos'!$A:$A,'Base de Grupos'!$M:$M)</f>
        <v>HELDER DA SILVA BRUNKOW</v>
      </c>
      <c r="L26" s="5" t="str">
        <f t="shared" si="2"/>
        <v/>
      </c>
      <c r="M26" s="5" t="str">
        <f>_xlfn.XLOOKUP($N26,'Base de Grupos'!$A:$A,'Base de Grupos'!$C:$C)</f>
        <v>RN</v>
      </c>
      <c r="N26" s="3">
        <v>1325</v>
      </c>
      <c r="O26" s="4" t="s">
        <v>225</v>
      </c>
      <c r="P26" s="5" t="s">
        <v>87</v>
      </c>
      <c r="Q26" s="24">
        <v>0</v>
      </c>
      <c r="R26" s="24">
        <v>8</v>
      </c>
      <c r="S26" s="24">
        <v>10</v>
      </c>
      <c r="T26" s="24">
        <v>0</v>
      </c>
      <c r="U26" s="24">
        <v>0</v>
      </c>
      <c r="V26" s="24">
        <v>0</v>
      </c>
      <c r="W26" s="24">
        <v>0</v>
      </c>
      <c r="X26" s="24">
        <v>0</v>
      </c>
      <c r="Y26" s="24">
        <v>0</v>
      </c>
      <c r="Z26" s="24">
        <v>0</v>
      </c>
      <c r="AA26" s="24">
        <v>0</v>
      </c>
      <c r="AB26" s="24">
        <v>0</v>
      </c>
      <c r="AC26" s="30">
        <f t="shared" ref="AC26:AC46" si="19">SUM(T26:AB26)</f>
        <v>0</v>
      </c>
      <c r="AD26" s="27">
        <f t="shared" si="13"/>
        <v>0</v>
      </c>
      <c r="AE26" s="25">
        <f>IFERROR(_xlfn.XLOOKUP(N26&amp;P26,'Historico Vendas'!G:G,'Historico Vendas'!E:E),0)</f>
        <v>0</v>
      </c>
      <c r="AF26" s="29" t="str">
        <f t="shared" si="6"/>
        <v/>
      </c>
      <c r="AG26" s="24">
        <f>IFERROR(_xlfn.XLOOKUP(N26&amp;P26,'Historico Vendas'!G:G,'Historico Vendas'!F:F),0)</f>
        <v>0</v>
      </c>
      <c r="AH26" s="25">
        <f t="shared" si="14"/>
        <v>18</v>
      </c>
      <c r="AI26" s="24">
        <f t="shared" si="15"/>
        <v>18</v>
      </c>
      <c r="AJ26" s="11">
        <f t="shared" si="7"/>
        <v>0</v>
      </c>
      <c r="AK26" s="9" t="s">
        <v>102</v>
      </c>
      <c r="AL26" s="13">
        <f>IFERROR(INDEX('Balizador da Meta'!$D$3:$F$23,MATCH(Quantidade!$P26,'Balizador da Meta'!$C$3:$C$23,0),MATCH(Quantidade!AK26,'Balizador da Meta'!$D$2:$F$2,0)),"")</f>
        <v>0</v>
      </c>
      <c r="AM26" s="9"/>
    </row>
    <row r="27" spans="1:39" x14ac:dyDescent="0.3">
      <c r="A27" s="2" t="str">
        <f t="shared" si="1"/>
        <v>NÃO</v>
      </c>
      <c r="B27" s="2" t="str">
        <f>_xlfn.XLOOKUP($N27,'Base de Grupos'!$A:$A,'Base de Grupos'!$D:$D)</f>
        <v>1000065763</v>
      </c>
      <c r="C27" s="5" t="str">
        <f>_xlfn.XLOOKUP($N27,'Base de Grupos'!$A:$A,'Base de Grupos'!$E:$E)</f>
        <v>CANAL VENDA INTERNA</v>
      </c>
      <c r="D27" s="5" t="str">
        <f>_xlfn.XLOOKUP($N27,'Base de Grupos'!$A:$A,'Base de Grupos'!$F:$F)</f>
        <v>1000065763</v>
      </c>
      <c r="E27" s="2" t="str">
        <f>_xlfn.XLOOKUP($N27,'Base de Grupos'!$A:$A,'Base de Grupos'!$G:$G)</f>
        <v>CANAL VENDA INTERNA</v>
      </c>
      <c r="F27" s="2" t="str">
        <f>_xlfn.XLOOKUP($N27,'Base de Grupos'!$A:$A,'Base de Grupos'!$H:$H)</f>
        <v>1000105900</v>
      </c>
      <c r="G27" s="5" t="str">
        <f>_xlfn.XLOOKUP($N27,'Base de Grupos'!$A:$A,'Base de Grupos'!$I:$I)</f>
        <v>REGIONAL VENDA DIRETA CO + NE + NO</v>
      </c>
      <c r="H27" s="5" t="str">
        <f>_xlfn.XLOOKUP($N27,'Base de Grupos'!$A:$A,'Base de Grupos'!$J:$J)</f>
        <v>1000105900</v>
      </c>
      <c r="I27" s="2" t="str">
        <f>_xlfn.XLOOKUP($N27,'Base de Grupos'!$A:$A,'Base de Grupos'!$K:$K)</f>
        <v>REGIONAL VENDA DIRETA CO + NE + NO</v>
      </c>
      <c r="J27" s="2" t="str">
        <f>_xlfn.XLOOKUP($N27,'Base de Grupos'!$A:$A,'Base de Grupos'!$L:$L)</f>
        <v>1000150135</v>
      </c>
      <c r="K27" s="5" t="str">
        <f>_xlfn.XLOOKUP($N27,'Base de Grupos'!$A:$A,'Base de Grupos'!$M:$M)</f>
        <v>HELDER DA SILVA BRUNKOW</v>
      </c>
      <c r="L27" s="5" t="str">
        <f t="shared" si="2"/>
        <v/>
      </c>
      <c r="M27" s="5" t="str">
        <f>_xlfn.XLOOKUP($N27,'Base de Grupos'!$A:$A,'Base de Grupos'!$C:$C)</f>
        <v>RN</v>
      </c>
      <c r="N27" s="3">
        <v>1325</v>
      </c>
      <c r="O27" s="4" t="s">
        <v>225</v>
      </c>
      <c r="P27" s="5" t="s">
        <v>85</v>
      </c>
      <c r="Q27" s="24">
        <v>0</v>
      </c>
      <c r="R27" s="24">
        <v>12</v>
      </c>
      <c r="S27" s="24">
        <v>14</v>
      </c>
      <c r="T27" s="24">
        <v>0</v>
      </c>
      <c r="U27" s="24">
        <v>0</v>
      </c>
      <c r="V27" s="24">
        <v>0</v>
      </c>
      <c r="W27" s="24">
        <v>0</v>
      </c>
      <c r="X27" s="24">
        <v>0</v>
      </c>
      <c r="Y27" s="24">
        <v>0</v>
      </c>
      <c r="Z27" s="24">
        <v>0</v>
      </c>
      <c r="AA27" s="24">
        <v>0</v>
      </c>
      <c r="AB27" s="24">
        <v>0</v>
      </c>
      <c r="AC27" s="30">
        <f t="shared" si="19"/>
        <v>0</v>
      </c>
      <c r="AD27" s="27">
        <f t="shared" si="13"/>
        <v>0</v>
      </c>
      <c r="AE27" s="25">
        <f>IFERROR(_xlfn.XLOOKUP(N27&amp;P27,'Historico Vendas'!G:G,'Historico Vendas'!E:E),0)</f>
        <v>0</v>
      </c>
      <c r="AF27" s="29" t="str">
        <f t="shared" si="6"/>
        <v/>
      </c>
      <c r="AG27" s="24">
        <f>IFERROR(_xlfn.XLOOKUP(N27&amp;P27,'Historico Vendas'!G:G,'Historico Vendas'!F:F),0)</f>
        <v>0</v>
      </c>
      <c r="AH27" s="25">
        <f t="shared" si="14"/>
        <v>26</v>
      </c>
      <c r="AI27" s="24">
        <f t="shared" si="15"/>
        <v>26</v>
      </c>
      <c r="AJ27" s="11">
        <f t="shared" si="7"/>
        <v>0</v>
      </c>
      <c r="AK27" s="9" t="s">
        <v>102</v>
      </c>
      <c r="AL27" s="13">
        <f>IFERROR(INDEX('Balizador da Meta'!$D$3:$F$23,MATCH(Quantidade!$P27,'Balizador da Meta'!$C$3:$C$23,0),MATCH(Quantidade!AK27,'Balizador da Meta'!$D$2:$F$2,0)),"")</f>
        <v>0</v>
      </c>
      <c r="AM27" s="9"/>
    </row>
    <row r="28" spans="1:39" x14ac:dyDescent="0.3">
      <c r="A28" s="2" t="str">
        <f t="shared" si="1"/>
        <v>NÃO</v>
      </c>
      <c r="B28" s="2" t="str">
        <f>_xlfn.XLOOKUP($N28,'Base de Grupos'!$A:$A,'Base de Grupos'!$D:$D)</f>
        <v>1000065763</v>
      </c>
      <c r="C28" s="5" t="str">
        <f>_xlfn.XLOOKUP($N28,'Base de Grupos'!$A:$A,'Base de Grupos'!$E:$E)</f>
        <v>CANAL VENDA INTERNA</v>
      </c>
      <c r="D28" s="5" t="str">
        <f>_xlfn.XLOOKUP($N28,'Base de Grupos'!$A:$A,'Base de Grupos'!$F:$F)</f>
        <v>1000065763</v>
      </c>
      <c r="E28" s="2" t="str">
        <f>_xlfn.XLOOKUP($N28,'Base de Grupos'!$A:$A,'Base de Grupos'!$G:$G)</f>
        <v>CANAL VENDA INTERNA</v>
      </c>
      <c r="F28" s="2" t="str">
        <f>_xlfn.XLOOKUP($N28,'Base de Grupos'!$A:$A,'Base de Grupos'!$H:$H)</f>
        <v>1000105900</v>
      </c>
      <c r="G28" s="5" t="str">
        <f>_xlfn.XLOOKUP($N28,'Base de Grupos'!$A:$A,'Base de Grupos'!$I:$I)</f>
        <v>REGIONAL VENDA DIRETA CO + NE + NO</v>
      </c>
      <c r="H28" s="5" t="str">
        <f>_xlfn.XLOOKUP($N28,'Base de Grupos'!$A:$A,'Base de Grupos'!$J:$J)</f>
        <v>1000105900</v>
      </c>
      <c r="I28" s="2" t="str">
        <f>_xlfn.XLOOKUP($N28,'Base de Grupos'!$A:$A,'Base de Grupos'!$K:$K)</f>
        <v>REGIONAL VENDA DIRETA CO + NE + NO</v>
      </c>
      <c r="J28" s="2" t="str">
        <f>_xlfn.XLOOKUP($N28,'Base de Grupos'!$A:$A,'Base de Grupos'!$L:$L)</f>
        <v>1000150135</v>
      </c>
      <c r="K28" s="5" t="str">
        <f>_xlfn.XLOOKUP($N28,'Base de Grupos'!$A:$A,'Base de Grupos'!$M:$M)</f>
        <v>HELDER DA SILVA BRUNKOW</v>
      </c>
      <c r="L28" s="5" t="str">
        <f t="shared" si="2"/>
        <v/>
      </c>
      <c r="M28" s="5" t="str">
        <f>_xlfn.XLOOKUP($N28,'Base de Grupos'!$A:$A,'Base de Grupos'!$C:$C)</f>
        <v>RN</v>
      </c>
      <c r="N28" s="3">
        <v>1325</v>
      </c>
      <c r="O28" s="4" t="s">
        <v>225</v>
      </c>
      <c r="P28" s="5" t="s">
        <v>92</v>
      </c>
      <c r="Q28" s="24">
        <v>0</v>
      </c>
      <c r="R28" s="24">
        <v>4</v>
      </c>
      <c r="S28" s="24">
        <v>5</v>
      </c>
      <c r="T28" s="24">
        <v>0</v>
      </c>
      <c r="U28" s="24">
        <v>0</v>
      </c>
      <c r="V28" s="24">
        <v>0</v>
      </c>
      <c r="W28" s="24">
        <v>0</v>
      </c>
      <c r="X28" s="24">
        <v>0</v>
      </c>
      <c r="Y28" s="24">
        <v>0</v>
      </c>
      <c r="Z28" s="24">
        <v>0</v>
      </c>
      <c r="AA28" s="24">
        <v>0</v>
      </c>
      <c r="AB28" s="24">
        <v>0</v>
      </c>
      <c r="AC28" s="30">
        <f t="shared" si="19"/>
        <v>0</v>
      </c>
      <c r="AD28" s="27">
        <f t="shared" si="13"/>
        <v>0</v>
      </c>
      <c r="AE28" s="25">
        <f>IFERROR(_xlfn.XLOOKUP(N28&amp;P28,'Historico Vendas'!G:G,'Historico Vendas'!E:E),0)</f>
        <v>0</v>
      </c>
      <c r="AF28" s="29" t="str">
        <f t="shared" si="6"/>
        <v/>
      </c>
      <c r="AG28" s="24">
        <f>IFERROR(_xlfn.XLOOKUP(N28&amp;P28,'Historico Vendas'!G:G,'Historico Vendas'!F:F),0)</f>
        <v>0</v>
      </c>
      <c r="AH28" s="25">
        <f t="shared" si="14"/>
        <v>9</v>
      </c>
      <c r="AI28" s="24">
        <f t="shared" si="15"/>
        <v>9</v>
      </c>
      <c r="AJ28" s="11">
        <f t="shared" si="7"/>
        <v>0</v>
      </c>
      <c r="AK28" s="9" t="s">
        <v>102</v>
      </c>
      <c r="AL28" s="13">
        <f>IFERROR(INDEX('Balizador da Meta'!$D$3:$F$23,MATCH(Quantidade!$P28,'Balizador da Meta'!$C$3:$C$23,0),MATCH(Quantidade!AK28,'Balizador da Meta'!$D$2:$F$2,0)),"")</f>
        <v>0</v>
      </c>
      <c r="AM28" s="9"/>
    </row>
    <row r="29" spans="1:39" x14ac:dyDescent="0.3">
      <c r="A29" s="2" t="str">
        <f t="shared" si="1"/>
        <v>NÃO</v>
      </c>
      <c r="B29" s="2" t="str">
        <f>_xlfn.XLOOKUP($N29,'Base de Grupos'!$A:$A,'Base de Grupos'!$D:$D)</f>
        <v>1000065763</v>
      </c>
      <c r="C29" s="5" t="str">
        <f>_xlfn.XLOOKUP($N29,'Base de Grupos'!$A:$A,'Base de Grupos'!$E:$E)</f>
        <v>CANAL VENDA INTERNA</v>
      </c>
      <c r="D29" s="5" t="str">
        <f>_xlfn.XLOOKUP($N29,'Base de Grupos'!$A:$A,'Base de Grupos'!$F:$F)</f>
        <v>1000065763</v>
      </c>
      <c r="E29" s="2" t="str">
        <f>_xlfn.XLOOKUP($N29,'Base de Grupos'!$A:$A,'Base de Grupos'!$G:$G)</f>
        <v>CANAL VENDA INTERNA</v>
      </c>
      <c r="F29" s="2" t="str">
        <f>_xlfn.XLOOKUP($N29,'Base de Grupos'!$A:$A,'Base de Grupos'!$H:$H)</f>
        <v>1000105900</v>
      </c>
      <c r="G29" s="5" t="str">
        <f>_xlfn.XLOOKUP($N29,'Base de Grupos'!$A:$A,'Base de Grupos'!$I:$I)</f>
        <v>REGIONAL VENDA DIRETA CO + NE + NO</v>
      </c>
      <c r="H29" s="5" t="str">
        <f>_xlfn.XLOOKUP($N29,'Base de Grupos'!$A:$A,'Base de Grupos'!$J:$J)</f>
        <v>1000105900</v>
      </c>
      <c r="I29" s="2" t="str">
        <f>_xlfn.XLOOKUP($N29,'Base de Grupos'!$A:$A,'Base de Grupos'!$K:$K)</f>
        <v>REGIONAL VENDA DIRETA CO + NE + NO</v>
      </c>
      <c r="J29" s="2" t="str">
        <f>_xlfn.XLOOKUP($N29,'Base de Grupos'!$A:$A,'Base de Grupos'!$L:$L)</f>
        <v>1000150135</v>
      </c>
      <c r="K29" s="5" t="str">
        <f>_xlfn.XLOOKUP($N29,'Base de Grupos'!$A:$A,'Base de Grupos'!$M:$M)</f>
        <v>HELDER DA SILVA BRUNKOW</v>
      </c>
      <c r="L29" s="5" t="str">
        <f t="shared" si="2"/>
        <v/>
      </c>
      <c r="M29" s="5" t="str">
        <f>_xlfn.XLOOKUP($N29,'Base de Grupos'!$A:$A,'Base de Grupos'!$C:$C)</f>
        <v>RN</v>
      </c>
      <c r="N29" s="3">
        <v>1325</v>
      </c>
      <c r="O29" s="4" t="s">
        <v>225</v>
      </c>
      <c r="P29" s="5" t="s">
        <v>86</v>
      </c>
      <c r="Q29" s="24">
        <v>0</v>
      </c>
      <c r="R29" s="24">
        <v>4</v>
      </c>
      <c r="S29" s="24">
        <v>4</v>
      </c>
      <c r="T29" s="24">
        <v>0</v>
      </c>
      <c r="U29" s="24">
        <v>0</v>
      </c>
      <c r="V29" s="24">
        <v>0</v>
      </c>
      <c r="W29" s="24">
        <v>0</v>
      </c>
      <c r="X29" s="24">
        <v>0</v>
      </c>
      <c r="Y29" s="24">
        <v>0</v>
      </c>
      <c r="Z29" s="24">
        <v>0</v>
      </c>
      <c r="AA29" s="24">
        <v>0</v>
      </c>
      <c r="AB29" s="24">
        <v>0</v>
      </c>
      <c r="AC29" s="30">
        <f t="shared" si="19"/>
        <v>0</v>
      </c>
      <c r="AD29" s="27">
        <f t="shared" si="13"/>
        <v>0</v>
      </c>
      <c r="AE29" s="25">
        <f>IFERROR(_xlfn.XLOOKUP(N29&amp;P29,'Historico Vendas'!G:G,'Historico Vendas'!E:E),0)</f>
        <v>0</v>
      </c>
      <c r="AF29" s="29" t="str">
        <f t="shared" si="6"/>
        <v/>
      </c>
      <c r="AG29" s="24">
        <f>IFERROR(_xlfn.XLOOKUP(N29&amp;P29,'Historico Vendas'!G:G,'Historico Vendas'!F:F),0)</f>
        <v>0</v>
      </c>
      <c r="AH29" s="25">
        <f t="shared" si="14"/>
        <v>8</v>
      </c>
      <c r="AI29" s="24">
        <f t="shared" si="15"/>
        <v>8</v>
      </c>
      <c r="AJ29" s="11">
        <f t="shared" si="7"/>
        <v>0</v>
      </c>
      <c r="AK29" s="9" t="s">
        <v>102</v>
      </c>
      <c r="AL29" s="13">
        <f>IFERROR(INDEX('Balizador da Meta'!$D$3:$F$23,MATCH(Quantidade!$P29,'Balizador da Meta'!$C$3:$C$23,0),MATCH(Quantidade!AK29,'Balizador da Meta'!$D$2:$F$2,0)),"")</f>
        <v>0.15</v>
      </c>
      <c r="AM29" s="9"/>
    </row>
    <row r="30" spans="1:39" x14ac:dyDescent="0.3">
      <c r="A30" s="2" t="str">
        <f t="shared" si="1"/>
        <v>NÃO</v>
      </c>
      <c r="B30" s="2" t="str">
        <f>_xlfn.XLOOKUP($N30,'Base de Grupos'!$A:$A,'Base de Grupos'!$D:$D)</f>
        <v>1000065763</v>
      </c>
      <c r="C30" s="5" t="str">
        <f>_xlfn.XLOOKUP($N30,'Base de Grupos'!$A:$A,'Base de Grupos'!$E:$E)</f>
        <v>CANAL VENDA INTERNA</v>
      </c>
      <c r="D30" s="5" t="str">
        <f>_xlfn.XLOOKUP($N30,'Base de Grupos'!$A:$A,'Base de Grupos'!$F:$F)</f>
        <v>1000065763</v>
      </c>
      <c r="E30" s="2" t="str">
        <f>_xlfn.XLOOKUP($N30,'Base de Grupos'!$A:$A,'Base de Grupos'!$G:$G)</f>
        <v>CANAL VENDA INTERNA</v>
      </c>
      <c r="F30" s="2" t="str">
        <f>_xlfn.XLOOKUP($N30,'Base de Grupos'!$A:$A,'Base de Grupos'!$H:$H)</f>
        <v>1000105900</v>
      </c>
      <c r="G30" s="5" t="str">
        <f>_xlfn.XLOOKUP($N30,'Base de Grupos'!$A:$A,'Base de Grupos'!$I:$I)</f>
        <v>REGIONAL VENDA DIRETA CO + NE + NO</v>
      </c>
      <c r="H30" s="5" t="str">
        <f>_xlfn.XLOOKUP($N30,'Base de Grupos'!$A:$A,'Base de Grupos'!$J:$J)</f>
        <v>1000105900</v>
      </c>
      <c r="I30" s="2" t="str">
        <f>_xlfn.XLOOKUP($N30,'Base de Grupos'!$A:$A,'Base de Grupos'!$K:$K)</f>
        <v>REGIONAL VENDA DIRETA CO + NE + NO</v>
      </c>
      <c r="J30" s="2" t="str">
        <f>_xlfn.XLOOKUP($N30,'Base de Grupos'!$A:$A,'Base de Grupos'!$L:$L)</f>
        <v>1000150135</v>
      </c>
      <c r="K30" s="5" t="str">
        <f>_xlfn.XLOOKUP($N30,'Base de Grupos'!$A:$A,'Base de Grupos'!$M:$M)</f>
        <v>HELDER DA SILVA BRUNKOW</v>
      </c>
      <c r="L30" s="5" t="str">
        <f t="shared" si="2"/>
        <v/>
      </c>
      <c r="M30" s="5" t="str">
        <f>_xlfn.XLOOKUP($N30,'Base de Grupos'!$A:$A,'Base de Grupos'!$C:$C)</f>
        <v>RN</v>
      </c>
      <c r="N30" s="3">
        <v>1325</v>
      </c>
      <c r="O30" s="4" t="s">
        <v>225</v>
      </c>
      <c r="P30" s="5" t="s">
        <v>108</v>
      </c>
      <c r="Q30" s="24">
        <v>0</v>
      </c>
      <c r="R30" s="24">
        <v>1</v>
      </c>
      <c r="S30" s="24">
        <v>2</v>
      </c>
      <c r="T30" s="24">
        <v>0</v>
      </c>
      <c r="U30" s="24">
        <v>0</v>
      </c>
      <c r="V30" s="24">
        <v>0</v>
      </c>
      <c r="W30" s="24">
        <v>0</v>
      </c>
      <c r="X30" s="24">
        <v>0</v>
      </c>
      <c r="Y30" s="24">
        <v>0</v>
      </c>
      <c r="Z30" s="24">
        <v>0</v>
      </c>
      <c r="AA30" s="24">
        <v>0</v>
      </c>
      <c r="AB30" s="24">
        <v>0</v>
      </c>
      <c r="AC30" s="30">
        <f t="shared" si="19"/>
        <v>0</v>
      </c>
      <c r="AD30" s="27">
        <f t="shared" si="13"/>
        <v>0</v>
      </c>
      <c r="AE30" s="25">
        <f>IFERROR(_xlfn.XLOOKUP(N30&amp;P30,'Historico Vendas'!G:G,'Historico Vendas'!E:E),0)</f>
        <v>0</v>
      </c>
      <c r="AF30" s="29" t="str">
        <f t="shared" si="6"/>
        <v/>
      </c>
      <c r="AG30" s="24">
        <f>IFERROR(_xlfn.XLOOKUP(N30&amp;P30,'Historico Vendas'!G:G,'Historico Vendas'!F:F),0)</f>
        <v>0</v>
      </c>
      <c r="AH30" s="25">
        <f t="shared" si="14"/>
        <v>3</v>
      </c>
      <c r="AI30" s="24">
        <f t="shared" si="15"/>
        <v>3</v>
      </c>
      <c r="AJ30" s="11">
        <f t="shared" si="7"/>
        <v>0</v>
      </c>
      <c r="AK30" s="9" t="s">
        <v>102</v>
      </c>
      <c r="AL30" s="13">
        <f>IFERROR(INDEX('Balizador da Meta'!$D$3:$F$23,MATCH(Quantidade!$P30,'Balizador da Meta'!$C$3:$C$23,0),MATCH(Quantidade!AK30,'Balizador da Meta'!$D$2:$F$2,0)),"")</f>
        <v>0</v>
      </c>
      <c r="AM30" s="9"/>
    </row>
    <row r="31" spans="1:39" x14ac:dyDescent="0.3">
      <c r="A31" s="2" t="str">
        <f t="shared" si="1"/>
        <v>NÃO</v>
      </c>
      <c r="B31" s="2" t="str">
        <f>_xlfn.XLOOKUP($N31,'Base de Grupos'!$A:$A,'Base de Grupos'!$D:$D)</f>
        <v>1000065763</v>
      </c>
      <c r="C31" s="5" t="str">
        <f>_xlfn.XLOOKUP($N31,'Base de Grupos'!$A:$A,'Base de Grupos'!$E:$E)</f>
        <v>CANAL VENDA INTERNA</v>
      </c>
      <c r="D31" s="5" t="str">
        <f>_xlfn.XLOOKUP($N31,'Base de Grupos'!$A:$A,'Base de Grupos'!$F:$F)</f>
        <v>1000065763</v>
      </c>
      <c r="E31" s="2" t="str">
        <f>_xlfn.XLOOKUP($N31,'Base de Grupos'!$A:$A,'Base de Grupos'!$G:$G)</f>
        <v>CANAL VENDA INTERNA</v>
      </c>
      <c r="F31" s="2" t="str">
        <f>_xlfn.XLOOKUP($N31,'Base de Grupos'!$A:$A,'Base de Grupos'!$H:$H)</f>
        <v>1000105900</v>
      </c>
      <c r="G31" s="5" t="str">
        <f>_xlfn.XLOOKUP($N31,'Base de Grupos'!$A:$A,'Base de Grupos'!$I:$I)</f>
        <v>REGIONAL VENDA DIRETA CO + NE + NO</v>
      </c>
      <c r="H31" s="5" t="str">
        <f>_xlfn.XLOOKUP($N31,'Base de Grupos'!$A:$A,'Base de Grupos'!$J:$J)</f>
        <v>1000105900</v>
      </c>
      <c r="I31" s="2" t="str">
        <f>_xlfn.XLOOKUP($N31,'Base de Grupos'!$A:$A,'Base de Grupos'!$K:$K)</f>
        <v>REGIONAL VENDA DIRETA CO + NE + NO</v>
      </c>
      <c r="J31" s="2" t="str">
        <f>_xlfn.XLOOKUP($N31,'Base de Grupos'!$A:$A,'Base de Grupos'!$L:$L)</f>
        <v>1000150135</v>
      </c>
      <c r="K31" s="5" t="str">
        <f>_xlfn.XLOOKUP($N31,'Base de Grupos'!$A:$A,'Base de Grupos'!$M:$M)</f>
        <v>HELDER DA SILVA BRUNKOW</v>
      </c>
      <c r="L31" s="5" t="str">
        <f t="shared" si="2"/>
        <v/>
      </c>
      <c r="M31" s="5" t="str">
        <f>_xlfn.XLOOKUP($N31,'Base de Grupos'!$A:$A,'Base de Grupos'!$C:$C)</f>
        <v>RN</v>
      </c>
      <c r="N31" s="3">
        <v>1325</v>
      </c>
      <c r="O31" s="4" t="s">
        <v>225</v>
      </c>
      <c r="P31" s="5" t="s">
        <v>89</v>
      </c>
      <c r="Q31" s="24">
        <v>0</v>
      </c>
      <c r="R31" s="24">
        <v>3</v>
      </c>
      <c r="S31" s="24">
        <v>4</v>
      </c>
      <c r="T31" s="24">
        <v>0</v>
      </c>
      <c r="U31" s="24">
        <v>0</v>
      </c>
      <c r="V31" s="24">
        <v>0</v>
      </c>
      <c r="W31" s="24">
        <v>0</v>
      </c>
      <c r="X31" s="24">
        <v>0</v>
      </c>
      <c r="Y31" s="24">
        <v>0</v>
      </c>
      <c r="Z31" s="24">
        <v>0</v>
      </c>
      <c r="AA31" s="24">
        <v>0</v>
      </c>
      <c r="AB31" s="24">
        <v>0</v>
      </c>
      <c r="AC31" s="30">
        <f t="shared" si="19"/>
        <v>0</v>
      </c>
      <c r="AD31" s="27">
        <f t="shared" si="13"/>
        <v>0</v>
      </c>
      <c r="AE31" s="25">
        <f>IFERROR(_xlfn.XLOOKUP(N31&amp;P31,'Historico Vendas'!G:G,'Historico Vendas'!E:E),0)</f>
        <v>0</v>
      </c>
      <c r="AF31" s="29" t="str">
        <f t="shared" si="6"/>
        <v/>
      </c>
      <c r="AG31" s="24">
        <f>IFERROR(_xlfn.XLOOKUP(N31&amp;P31,'Historico Vendas'!G:G,'Historico Vendas'!F:F),0)</f>
        <v>0</v>
      </c>
      <c r="AH31" s="25">
        <f t="shared" si="14"/>
        <v>7</v>
      </c>
      <c r="AI31" s="24">
        <f t="shared" si="15"/>
        <v>7</v>
      </c>
      <c r="AJ31" s="11">
        <f t="shared" si="7"/>
        <v>0</v>
      </c>
      <c r="AK31" s="9" t="s">
        <v>102</v>
      </c>
      <c r="AL31" s="13">
        <f>IFERROR(INDEX('Balizador da Meta'!$D$3:$F$23,MATCH(Quantidade!$P31,'Balizador da Meta'!$C$3:$C$23,0),MATCH(Quantidade!AK31,'Balizador da Meta'!$D$2:$F$2,0)),"")</f>
        <v>0.25</v>
      </c>
      <c r="AM31" s="9"/>
    </row>
    <row r="32" spans="1:39" x14ac:dyDescent="0.3">
      <c r="A32" s="2" t="str">
        <f t="shared" si="1"/>
        <v>NÃO</v>
      </c>
      <c r="B32" s="2" t="str">
        <f>_xlfn.XLOOKUP($N32,'Base de Grupos'!$A:$A,'Base de Grupos'!$D:$D)</f>
        <v>1000065763</v>
      </c>
      <c r="C32" s="5" t="str">
        <f>_xlfn.XLOOKUP($N32,'Base de Grupos'!$A:$A,'Base de Grupos'!$E:$E)</f>
        <v>CANAL VENDA INTERNA</v>
      </c>
      <c r="D32" s="5" t="str">
        <f>_xlfn.XLOOKUP($N32,'Base de Grupos'!$A:$A,'Base de Grupos'!$F:$F)</f>
        <v>1000065763</v>
      </c>
      <c r="E32" s="2" t="str">
        <f>_xlfn.XLOOKUP($N32,'Base de Grupos'!$A:$A,'Base de Grupos'!$G:$G)</f>
        <v>CANAL VENDA INTERNA</v>
      </c>
      <c r="F32" s="2" t="str">
        <f>_xlfn.XLOOKUP($N32,'Base de Grupos'!$A:$A,'Base de Grupos'!$H:$H)</f>
        <v>1000105900</v>
      </c>
      <c r="G32" s="5" t="str">
        <f>_xlfn.XLOOKUP($N32,'Base de Grupos'!$A:$A,'Base de Grupos'!$I:$I)</f>
        <v>REGIONAL VENDA DIRETA CO + NE + NO</v>
      </c>
      <c r="H32" s="5" t="str">
        <f>_xlfn.XLOOKUP($N32,'Base de Grupos'!$A:$A,'Base de Grupos'!$J:$J)</f>
        <v>1000105900</v>
      </c>
      <c r="I32" s="2" t="str">
        <f>_xlfn.XLOOKUP($N32,'Base de Grupos'!$A:$A,'Base de Grupos'!$K:$K)</f>
        <v>REGIONAL VENDA DIRETA CO + NE + NO</v>
      </c>
      <c r="J32" s="2" t="str">
        <f>_xlfn.XLOOKUP($N32,'Base de Grupos'!$A:$A,'Base de Grupos'!$L:$L)</f>
        <v>1000150135</v>
      </c>
      <c r="K32" s="5" t="str">
        <f>_xlfn.XLOOKUP($N32,'Base de Grupos'!$A:$A,'Base de Grupos'!$M:$M)</f>
        <v>HELDER DA SILVA BRUNKOW</v>
      </c>
      <c r="L32" s="5" t="str">
        <f t="shared" si="2"/>
        <v/>
      </c>
      <c r="M32" s="5" t="str">
        <f>_xlfn.XLOOKUP($N32,'Base de Grupos'!$A:$A,'Base de Grupos'!$C:$C)</f>
        <v>RN</v>
      </c>
      <c r="N32" s="3">
        <v>1325</v>
      </c>
      <c r="O32" s="4" t="s">
        <v>225</v>
      </c>
      <c r="P32" s="5" t="s">
        <v>88</v>
      </c>
      <c r="Q32" s="24">
        <v>0</v>
      </c>
      <c r="R32" s="24">
        <v>2</v>
      </c>
      <c r="S32" s="24">
        <v>2</v>
      </c>
      <c r="T32" s="24">
        <v>0</v>
      </c>
      <c r="U32" s="24">
        <v>0</v>
      </c>
      <c r="V32" s="24">
        <v>0</v>
      </c>
      <c r="W32" s="24">
        <v>0</v>
      </c>
      <c r="X32" s="24">
        <v>0</v>
      </c>
      <c r="Y32" s="24">
        <v>0</v>
      </c>
      <c r="Z32" s="24">
        <v>0</v>
      </c>
      <c r="AA32" s="24">
        <v>0</v>
      </c>
      <c r="AB32" s="24">
        <v>0</v>
      </c>
      <c r="AC32" s="30">
        <f t="shared" si="19"/>
        <v>0</v>
      </c>
      <c r="AD32" s="27">
        <f t="shared" si="13"/>
        <v>0</v>
      </c>
      <c r="AE32" s="25">
        <f>IFERROR(_xlfn.XLOOKUP(N32&amp;P32,'Historico Vendas'!G:G,'Historico Vendas'!E:E),0)</f>
        <v>0</v>
      </c>
      <c r="AF32" s="29" t="str">
        <f t="shared" si="6"/>
        <v/>
      </c>
      <c r="AG32" s="24">
        <f>IFERROR(_xlfn.XLOOKUP(N32&amp;P32,'Historico Vendas'!G:G,'Historico Vendas'!F:F),0)</f>
        <v>0</v>
      </c>
      <c r="AH32" s="25">
        <f t="shared" si="14"/>
        <v>4</v>
      </c>
      <c r="AI32" s="24">
        <f t="shared" si="15"/>
        <v>4</v>
      </c>
      <c r="AJ32" s="11">
        <f t="shared" si="7"/>
        <v>0</v>
      </c>
      <c r="AK32" s="9" t="s">
        <v>102</v>
      </c>
      <c r="AL32" s="13">
        <f>IFERROR(INDEX('Balizador da Meta'!$D$3:$F$23,MATCH(Quantidade!$P32,'Balizador da Meta'!$C$3:$C$23,0),MATCH(Quantidade!AK32,'Balizador da Meta'!$D$2:$F$2,0)),"")</f>
        <v>0</v>
      </c>
      <c r="AM32" s="9"/>
    </row>
    <row r="33" spans="1:39" x14ac:dyDescent="0.3">
      <c r="A33" s="2" t="str">
        <f t="shared" si="1"/>
        <v>NÃO</v>
      </c>
      <c r="B33" s="2" t="str">
        <f>_xlfn.XLOOKUP($N33,'Base de Grupos'!$A:$A,'Base de Grupos'!$D:$D)</f>
        <v>1000065763</v>
      </c>
      <c r="C33" s="5" t="str">
        <f>_xlfn.XLOOKUP($N33,'Base de Grupos'!$A:$A,'Base de Grupos'!$E:$E)</f>
        <v>CANAL VENDA INTERNA</v>
      </c>
      <c r="D33" s="5" t="str">
        <f>_xlfn.XLOOKUP($N33,'Base de Grupos'!$A:$A,'Base de Grupos'!$F:$F)</f>
        <v>1000065763</v>
      </c>
      <c r="E33" s="2" t="str">
        <f>_xlfn.XLOOKUP($N33,'Base de Grupos'!$A:$A,'Base de Grupos'!$G:$G)</f>
        <v>CANAL VENDA INTERNA</v>
      </c>
      <c r="F33" s="2" t="str">
        <f>_xlfn.XLOOKUP($N33,'Base de Grupos'!$A:$A,'Base de Grupos'!$H:$H)</f>
        <v>1000105900</v>
      </c>
      <c r="G33" s="5" t="str">
        <f>_xlfn.XLOOKUP($N33,'Base de Grupos'!$A:$A,'Base de Grupos'!$I:$I)</f>
        <v>REGIONAL VENDA DIRETA CO + NE + NO</v>
      </c>
      <c r="H33" s="5" t="str">
        <f>_xlfn.XLOOKUP($N33,'Base de Grupos'!$A:$A,'Base de Grupos'!$J:$J)</f>
        <v>1000105900</v>
      </c>
      <c r="I33" s="2" t="str">
        <f>_xlfn.XLOOKUP($N33,'Base de Grupos'!$A:$A,'Base de Grupos'!$K:$K)</f>
        <v>REGIONAL VENDA DIRETA CO + NE + NO</v>
      </c>
      <c r="J33" s="2" t="str">
        <f>_xlfn.XLOOKUP($N33,'Base de Grupos'!$A:$A,'Base de Grupos'!$L:$L)</f>
        <v>1000150135</v>
      </c>
      <c r="K33" s="5" t="str">
        <f>_xlfn.XLOOKUP($N33,'Base de Grupos'!$A:$A,'Base de Grupos'!$M:$M)</f>
        <v>HELDER DA SILVA BRUNKOW</v>
      </c>
      <c r="L33" s="5" t="str">
        <f t="shared" si="2"/>
        <v/>
      </c>
      <c r="M33" s="5" t="str">
        <f>_xlfn.XLOOKUP($N33,'Base de Grupos'!$A:$A,'Base de Grupos'!$C:$C)</f>
        <v>RN</v>
      </c>
      <c r="N33" s="3">
        <v>1325</v>
      </c>
      <c r="O33" s="4" t="s">
        <v>225</v>
      </c>
      <c r="P33" s="5" t="s">
        <v>90</v>
      </c>
      <c r="Q33" s="24">
        <v>0</v>
      </c>
      <c r="R33" s="24">
        <v>1</v>
      </c>
      <c r="S33" s="24">
        <v>2</v>
      </c>
      <c r="T33" s="24">
        <v>0</v>
      </c>
      <c r="U33" s="24">
        <v>0</v>
      </c>
      <c r="V33" s="24">
        <v>0</v>
      </c>
      <c r="W33" s="24">
        <v>0</v>
      </c>
      <c r="X33" s="24">
        <v>0</v>
      </c>
      <c r="Y33" s="24">
        <v>0</v>
      </c>
      <c r="Z33" s="24">
        <v>0</v>
      </c>
      <c r="AA33" s="24">
        <v>0</v>
      </c>
      <c r="AB33" s="24">
        <v>0</v>
      </c>
      <c r="AC33" s="30">
        <f t="shared" si="19"/>
        <v>0</v>
      </c>
      <c r="AD33" s="27">
        <f t="shared" si="13"/>
        <v>0</v>
      </c>
      <c r="AE33" s="25">
        <f>IFERROR(_xlfn.XLOOKUP(N33&amp;P33,'Historico Vendas'!G:G,'Historico Vendas'!E:E),0)</f>
        <v>0</v>
      </c>
      <c r="AF33" s="29" t="str">
        <f t="shared" si="6"/>
        <v/>
      </c>
      <c r="AG33" s="24">
        <f>IFERROR(_xlfn.XLOOKUP(N33&amp;P33,'Historico Vendas'!G:G,'Historico Vendas'!F:F),0)</f>
        <v>0</v>
      </c>
      <c r="AH33" s="25">
        <f t="shared" si="14"/>
        <v>3</v>
      </c>
      <c r="AI33" s="24">
        <f t="shared" si="15"/>
        <v>3</v>
      </c>
      <c r="AJ33" s="11">
        <f t="shared" si="7"/>
        <v>0</v>
      </c>
      <c r="AK33" s="9" t="s">
        <v>102</v>
      </c>
      <c r="AL33" s="13">
        <f>IFERROR(INDEX('Balizador da Meta'!$D$3:$F$23,MATCH(Quantidade!$P33,'Balizador da Meta'!$C$3:$C$23,0),MATCH(Quantidade!AK33,'Balizador da Meta'!$D$2:$F$2,0)),"")</f>
        <v>0</v>
      </c>
      <c r="AM33" s="9"/>
    </row>
    <row r="34" spans="1:39" x14ac:dyDescent="0.3">
      <c r="A34" s="2" t="str">
        <f t="shared" si="1"/>
        <v>NÃO</v>
      </c>
      <c r="B34" s="2" t="str">
        <f>_xlfn.XLOOKUP($N34,'Base de Grupos'!$A:$A,'Base de Grupos'!$D:$D)</f>
        <v>1000065763</v>
      </c>
      <c r="C34" s="5" t="str">
        <f>_xlfn.XLOOKUP($N34,'Base de Grupos'!$A:$A,'Base de Grupos'!$E:$E)</f>
        <v>CANAL VENDA INTERNA</v>
      </c>
      <c r="D34" s="5" t="str">
        <f>_xlfn.XLOOKUP($N34,'Base de Grupos'!$A:$A,'Base de Grupos'!$F:$F)</f>
        <v>1000065763</v>
      </c>
      <c r="E34" s="2" t="str">
        <f>_xlfn.XLOOKUP($N34,'Base de Grupos'!$A:$A,'Base de Grupos'!$G:$G)</f>
        <v>CANAL VENDA INTERNA</v>
      </c>
      <c r="F34" s="2" t="str">
        <f>_xlfn.XLOOKUP($N34,'Base de Grupos'!$A:$A,'Base de Grupos'!$H:$H)</f>
        <v>1000105900</v>
      </c>
      <c r="G34" s="5" t="str">
        <f>_xlfn.XLOOKUP($N34,'Base de Grupos'!$A:$A,'Base de Grupos'!$I:$I)</f>
        <v>REGIONAL VENDA DIRETA CO + NE + NO</v>
      </c>
      <c r="H34" s="5" t="str">
        <f>_xlfn.XLOOKUP($N34,'Base de Grupos'!$A:$A,'Base de Grupos'!$J:$J)</f>
        <v>1000105900</v>
      </c>
      <c r="I34" s="2" t="str">
        <f>_xlfn.XLOOKUP($N34,'Base de Grupos'!$A:$A,'Base de Grupos'!$K:$K)</f>
        <v>REGIONAL VENDA DIRETA CO + NE + NO</v>
      </c>
      <c r="J34" s="2" t="str">
        <f>_xlfn.XLOOKUP($N34,'Base de Grupos'!$A:$A,'Base de Grupos'!$L:$L)</f>
        <v>1000150135</v>
      </c>
      <c r="K34" s="5" t="str">
        <f>_xlfn.XLOOKUP($N34,'Base de Grupos'!$A:$A,'Base de Grupos'!$M:$M)</f>
        <v>HELDER DA SILVA BRUNKOW</v>
      </c>
      <c r="L34" s="5" t="str">
        <f t="shared" si="2"/>
        <v/>
      </c>
      <c r="M34" s="5" t="str">
        <f>_xlfn.XLOOKUP($N34,'Base de Grupos'!$A:$A,'Base de Grupos'!$C:$C)</f>
        <v>RN</v>
      </c>
      <c r="N34" s="3">
        <v>1325</v>
      </c>
      <c r="O34" s="4" t="s">
        <v>225</v>
      </c>
      <c r="P34" s="5" t="s">
        <v>91</v>
      </c>
      <c r="Q34" s="24">
        <v>0</v>
      </c>
      <c r="R34" s="24">
        <v>6</v>
      </c>
      <c r="S34" s="24">
        <v>7</v>
      </c>
      <c r="T34" s="24">
        <v>0</v>
      </c>
      <c r="U34" s="24">
        <v>0</v>
      </c>
      <c r="V34" s="24">
        <v>0</v>
      </c>
      <c r="W34" s="24">
        <v>0</v>
      </c>
      <c r="X34" s="24">
        <v>0</v>
      </c>
      <c r="Y34" s="24">
        <v>0</v>
      </c>
      <c r="Z34" s="24">
        <v>0</v>
      </c>
      <c r="AA34" s="24">
        <v>0</v>
      </c>
      <c r="AB34" s="24">
        <v>0</v>
      </c>
      <c r="AC34" s="30">
        <f t="shared" si="19"/>
        <v>0</v>
      </c>
      <c r="AD34" s="27">
        <f t="shared" si="13"/>
        <v>0</v>
      </c>
      <c r="AE34" s="25">
        <f>IFERROR(_xlfn.XLOOKUP(N34&amp;P34,'Historico Vendas'!G:G,'Historico Vendas'!E:E),0)</f>
        <v>0</v>
      </c>
      <c r="AF34" s="29" t="str">
        <f t="shared" si="6"/>
        <v/>
      </c>
      <c r="AG34" s="24">
        <f>IFERROR(_xlfn.XLOOKUP(N34&amp;P34,'Historico Vendas'!G:G,'Historico Vendas'!F:F),0)</f>
        <v>0</v>
      </c>
      <c r="AH34" s="25">
        <f t="shared" si="14"/>
        <v>13</v>
      </c>
      <c r="AI34" s="24">
        <f t="shared" si="15"/>
        <v>13</v>
      </c>
      <c r="AJ34" s="11">
        <f t="shared" si="7"/>
        <v>0</v>
      </c>
      <c r="AK34" s="9" t="s">
        <v>102</v>
      </c>
      <c r="AL34" s="13">
        <f>IFERROR(INDEX('Balizador da Meta'!$D$3:$F$23,MATCH(Quantidade!$P34,'Balizador da Meta'!$C$3:$C$23,0),MATCH(Quantidade!AK34,'Balizador da Meta'!$D$2:$F$2,0)),"")</f>
        <v>0</v>
      </c>
      <c r="AM34" s="9"/>
    </row>
    <row r="35" spans="1:39" x14ac:dyDescent="0.3">
      <c r="A35" s="2" t="str">
        <f t="shared" si="1"/>
        <v>NÃO</v>
      </c>
      <c r="B35" s="2" t="str">
        <f>_xlfn.XLOOKUP($N35,'Base de Grupos'!$A:$A,'Base de Grupos'!$D:$D)</f>
        <v>1000065763</v>
      </c>
      <c r="C35" s="5" t="str">
        <f>_xlfn.XLOOKUP($N35,'Base de Grupos'!$A:$A,'Base de Grupos'!$E:$E)</f>
        <v>CANAL VENDA INTERNA</v>
      </c>
      <c r="D35" s="5" t="str">
        <f>_xlfn.XLOOKUP($N35,'Base de Grupos'!$A:$A,'Base de Grupos'!$F:$F)</f>
        <v>1000065763</v>
      </c>
      <c r="E35" s="2" t="str">
        <f>_xlfn.XLOOKUP($N35,'Base de Grupos'!$A:$A,'Base de Grupos'!$G:$G)</f>
        <v>CANAL VENDA INTERNA</v>
      </c>
      <c r="F35" s="2" t="str">
        <f>_xlfn.XLOOKUP($N35,'Base de Grupos'!$A:$A,'Base de Grupos'!$H:$H)</f>
        <v>1000105900</v>
      </c>
      <c r="G35" s="5" t="str">
        <f>_xlfn.XLOOKUP($N35,'Base de Grupos'!$A:$A,'Base de Grupos'!$I:$I)</f>
        <v>REGIONAL VENDA DIRETA CO + NE + NO</v>
      </c>
      <c r="H35" s="5" t="str">
        <f>_xlfn.XLOOKUP($N35,'Base de Grupos'!$A:$A,'Base de Grupos'!$J:$J)</f>
        <v>1000105900</v>
      </c>
      <c r="I35" s="2" t="str">
        <f>_xlfn.XLOOKUP($N35,'Base de Grupos'!$A:$A,'Base de Grupos'!$K:$K)</f>
        <v>REGIONAL VENDA DIRETA CO + NE + NO</v>
      </c>
      <c r="J35" s="2" t="str">
        <f>_xlfn.XLOOKUP($N35,'Base de Grupos'!$A:$A,'Base de Grupos'!$L:$L)</f>
        <v>1000150135</v>
      </c>
      <c r="K35" s="5" t="str">
        <f>_xlfn.XLOOKUP($N35,'Base de Grupos'!$A:$A,'Base de Grupos'!$M:$M)</f>
        <v>HELDER DA SILVA BRUNKOW</v>
      </c>
      <c r="L35" s="5" t="str">
        <f t="shared" si="2"/>
        <v/>
      </c>
      <c r="M35" s="5" t="str">
        <f>_xlfn.XLOOKUP($N35,'Base de Grupos'!$A:$A,'Base de Grupos'!$C:$C)</f>
        <v>RN</v>
      </c>
      <c r="N35" s="3">
        <v>1325</v>
      </c>
      <c r="O35" s="4" t="s">
        <v>225</v>
      </c>
      <c r="P35" s="5" t="s">
        <v>96</v>
      </c>
      <c r="Q35" s="24">
        <v>0</v>
      </c>
      <c r="R35" s="24">
        <v>0</v>
      </c>
      <c r="S35" s="24">
        <v>0</v>
      </c>
      <c r="T35" s="24">
        <v>0</v>
      </c>
      <c r="U35" s="24">
        <v>0</v>
      </c>
      <c r="V35" s="24">
        <v>0</v>
      </c>
      <c r="W35" s="24">
        <v>0</v>
      </c>
      <c r="X35" s="24">
        <v>0</v>
      </c>
      <c r="Y35" s="24">
        <v>0</v>
      </c>
      <c r="Z35" s="24">
        <v>0</v>
      </c>
      <c r="AA35" s="24">
        <v>0</v>
      </c>
      <c r="AB35" s="24">
        <v>0</v>
      </c>
      <c r="AC35" s="30">
        <f t="shared" si="19"/>
        <v>0</v>
      </c>
      <c r="AD35" s="27">
        <f t="shared" si="13"/>
        <v>0</v>
      </c>
      <c r="AE35" s="25">
        <f>IFERROR(_xlfn.XLOOKUP(N35&amp;P35,'Historico Vendas'!G:G,'Historico Vendas'!E:E),0)</f>
        <v>0</v>
      </c>
      <c r="AF35" s="29" t="str">
        <f t="shared" si="6"/>
        <v/>
      </c>
      <c r="AG35" s="24">
        <f>IFERROR(_xlfn.XLOOKUP(N35&amp;P35,'Historico Vendas'!G:G,'Historico Vendas'!F:F),0)</f>
        <v>0</v>
      </c>
      <c r="AH35" s="25">
        <f t="shared" si="14"/>
        <v>0</v>
      </c>
      <c r="AI35" s="24">
        <f t="shared" si="15"/>
        <v>0</v>
      </c>
      <c r="AJ35" s="11" t="str">
        <f t="shared" si="7"/>
        <v/>
      </c>
      <c r="AK35" s="9" t="s">
        <v>102</v>
      </c>
      <c r="AL35" s="13">
        <f>IFERROR(INDEX('Balizador da Meta'!$D$3:$F$23,MATCH(Quantidade!$P35,'Balizador da Meta'!$C$3:$C$23,0),MATCH(Quantidade!AK35,'Balizador da Meta'!$D$2:$F$2,0)),"")</f>
        <v>0</v>
      </c>
      <c r="AM35" s="9"/>
    </row>
    <row r="36" spans="1:39" x14ac:dyDescent="0.3">
      <c r="A36" s="2" t="str">
        <f t="shared" si="1"/>
        <v>NÃO</v>
      </c>
      <c r="B36" s="2" t="str">
        <f>_xlfn.XLOOKUP($N36,'Base de Grupos'!$A:$A,'Base de Grupos'!$D:$D)</f>
        <v>1000065763</v>
      </c>
      <c r="C36" s="5" t="str">
        <f>_xlfn.XLOOKUP($N36,'Base de Grupos'!$A:$A,'Base de Grupos'!$E:$E)</f>
        <v>CANAL VENDA INTERNA</v>
      </c>
      <c r="D36" s="5" t="str">
        <f>_xlfn.XLOOKUP($N36,'Base de Grupos'!$A:$A,'Base de Grupos'!$F:$F)</f>
        <v>1000065763</v>
      </c>
      <c r="E36" s="2" t="str">
        <f>_xlfn.XLOOKUP($N36,'Base de Grupos'!$A:$A,'Base de Grupos'!$G:$G)</f>
        <v>CANAL VENDA INTERNA</v>
      </c>
      <c r="F36" s="2" t="str">
        <f>_xlfn.XLOOKUP($N36,'Base de Grupos'!$A:$A,'Base de Grupos'!$H:$H)</f>
        <v>1000105900</v>
      </c>
      <c r="G36" s="5" t="str">
        <f>_xlfn.XLOOKUP($N36,'Base de Grupos'!$A:$A,'Base de Grupos'!$I:$I)</f>
        <v>REGIONAL VENDA DIRETA CO + NE + NO</v>
      </c>
      <c r="H36" s="5" t="str">
        <f>_xlfn.XLOOKUP($N36,'Base de Grupos'!$A:$A,'Base de Grupos'!$J:$J)</f>
        <v>1000105900</v>
      </c>
      <c r="I36" s="2" t="str">
        <f>_xlfn.XLOOKUP($N36,'Base de Grupos'!$A:$A,'Base de Grupos'!$K:$K)</f>
        <v>REGIONAL VENDA DIRETA CO + NE + NO</v>
      </c>
      <c r="J36" s="2" t="str">
        <f>_xlfn.XLOOKUP($N36,'Base de Grupos'!$A:$A,'Base de Grupos'!$L:$L)</f>
        <v>1000150135</v>
      </c>
      <c r="K36" s="5" t="str">
        <f>_xlfn.XLOOKUP($N36,'Base de Grupos'!$A:$A,'Base de Grupos'!$M:$M)</f>
        <v>HELDER DA SILVA BRUNKOW</v>
      </c>
      <c r="L36" s="5" t="str">
        <f t="shared" si="2"/>
        <v/>
      </c>
      <c r="M36" s="5" t="str">
        <f>_xlfn.XLOOKUP($N36,'Base de Grupos'!$A:$A,'Base de Grupos'!$C:$C)</f>
        <v>RN</v>
      </c>
      <c r="N36" s="3">
        <v>1325</v>
      </c>
      <c r="O36" s="4" t="s">
        <v>225</v>
      </c>
      <c r="P36" s="5" t="s">
        <v>94</v>
      </c>
      <c r="Q36" s="24">
        <v>0</v>
      </c>
      <c r="R36" s="24">
        <v>0</v>
      </c>
      <c r="S36" s="24">
        <v>0</v>
      </c>
      <c r="T36" s="24">
        <v>0</v>
      </c>
      <c r="U36" s="24">
        <v>0</v>
      </c>
      <c r="V36" s="24">
        <v>0</v>
      </c>
      <c r="W36" s="24">
        <v>0</v>
      </c>
      <c r="X36" s="24">
        <v>0</v>
      </c>
      <c r="Y36" s="24">
        <v>0</v>
      </c>
      <c r="Z36" s="24">
        <v>0</v>
      </c>
      <c r="AA36" s="24">
        <v>0</v>
      </c>
      <c r="AB36" s="24">
        <v>0</v>
      </c>
      <c r="AC36" s="30">
        <f t="shared" si="19"/>
        <v>0</v>
      </c>
      <c r="AD36" s="27">
        <f t="shared" si="13"/>
        <v>0</v>
      </c>
      <c r="AE36" s="25">
        <f>IFERROR(_xlfn.XLOOKUP(N36&amp;P36,'Historico Vendas'!G:G,'Historico Vendas'!E:E),0)</f>
        <v>0</v>
      </c>
      <c r="AF36" s="29" t="str">
        <f t="shared" si="6"/>
        <v/>
      </c>
      <c r="AG36" s="24">
        <f>IFERROR(_xlfn.XLOOKUP(N36&amp;P36,'Historico Vendas'!G:G,'Historico Vendas'!F:F),0)</f>
        <v>0</v>
      </c>
      <c r="AH36" s="25">
        <f t="shared" si="14"/>
        <v>0</v>
      </c>
      <c r="AI36" s="24">
        <f t="shared" si="15"/>
        <v>0</v>
      </c>
      <c r="AJ36" s="11" t="str">
        <f t="shared" si="7"/>
        <v/>
      </c>
      <c r="AK36" s="9" t="s">
        <v>102</v>
      </c>
      <c r="AL36" s="13">
        <f>IFERROR(INDEX('Balizador da Meta'!$D$3:$F$23,MATCH(Quantidade!$P36,'Balizador da Meta'!$C$3:$C$23,0),MATCH(Quantidade!AK36,'Balizador da Meta'!$D$2:$F$2,0)),"")</f>
        <v>0.25</v>
      </c>
      <c r="AM36" s="9"/>
    </row>
    <row r="37" spans="1:39" x14ac:dyDescent="0.3">
      <c r="A37" s="2" t="str">
        <f t="shared" si="1"/>
        <v>NÃO</v>
      </c>
      <c r="B37" s="2" t="str">
        <f>_xlfn.XLOOKUP($N37,'Base de Grupos'!$A:$A,'Base de Grupos'!$D:$D)</f>
        <v>1000065763</v>
      </c>
      <c r="C37" s="5" t="str">
        <f>_xlfn.XLOOKUP($N37,'Base de Grupos'!$A:$A,'Base de Grupos'!$E:$E)</f>
        <v>CANAL VENDA INTERNA</v>
      </c>
      <c r="D37" s="5" t="str">
        <f>_xlfn.XLOOKUP($N37,'Base de Grupos'!$A:$A,'Base de Grupos'!$F:$F)</f>
        <v>1000065763</v>
      </c>
      <c r="E37" s="2" t="str">
        <f>_xlfn.XLOOKUP($N37,'Base de Grupos'!$A:$A,'Base de Grupos'!$G:$G)</f>
        <v>CANAL VENDA INTERNA</v>
      </c>
      <c r="F37" s="2" t="str">
        <f>_xlfn.XLOOKUP($N37,'Base de Grupos'!$A:$A,'Base de Grupos'!$H:$H)</f>
        <v>1000105900</v>
      </c>
      <c r="G37" s="5" t="str">
        <f>_xlfn.XLOOKUP($N37,'Base de Grupos'!$A:$A,'Base de Grupos'!$I:$I)</f>
        <v>REGIONAL VENDA DIRETA CO + NE + NO</v>
      </c>
      <c r="H37" s="5" t="str">
        <f>_xlfn.XLOOKUP($N37,'Base de Grupos'!$A:$A,'Base de Grupos'!$J:$J)</f>
        <v>1000105900</v>
      </c>
      <c r="I37" s="2" t="str">
        <f>_xlfn.XLOOKUP($N37,'Base de Grupos'!$A:$A,'Base de Grupos'!$K:$K)</f>
        <v>REGIONAL VENDA DIRETA CO + NE + NO</v>
      </c>
      <c r="J37" s="2" t="str">
        <f>_xlfn.XLOOKUP($N37,'Base de Grupos'!$A:$A,'Base de Grupos'!$L:$L)</f>
        <v>1000150135</v>
      </c>
      <c r="K37" s="5" t="str">
        <f>_xlfn.XLOOKUP($N37,'Base de Grupos'!$A:$A,'Base de Grupos'!$M:$M)</f>
        <v>HELDER DA SILVA BRUNKOW</v>
      </c>
      <c r="L37" s="5" t="str">
        <f t="shared" si="2"/>
        <v/>
      </c>
      <c r="M37" s="5" t="str">
        <f>_xlfn.XLOOKUP($N37,'Base de Grupos'!$A:$A,'Base de Grupos'!$C:$C)</f>
        <v>RN</v>
      </c>
      <c r="N37" s="3">
        <v>1325</v>
      </c>
      <c r="O37" s="4" t="s">
        <v>225</v>
      </c>
      <c r="P37" s="5" t="s">
        <v>95</v>
      </c>
      <c r="Q37" s="24">
        <v>0</v>
      </c>
      <c r="R37" s="24">
        <v>0</v>
      </c>
      <c r="S37" s="24">
        <v>0</v>
      </c>
      <c r="T37" s="24">
        <v>0</v>
      </c>
      <c r="U37" s="24">
        <v>0</v>
      </c>
      <c r="V37" s="24">
        <v>0</v>
      </c>
      <c r="W37" s="24">
        <v>0</v>
      </c>
      <c r="X37" s="24">
        <v>0</v>
      </c>
      <c r="Y37" s="24">
        <v>0</v>
      </c>
      <c r="Z37" s="24">
        <v>0</v>
      </c>
      <c r="AA37" s="24">
        <v>0</v>
      </c>
      <c r="AB37" s="24">
        <v>0</v>
      </c>
      <c r="AC37" s="30">
        <f t="shared" si="19"/>
        <v>0</v>
      </c>
      <c r="AD37" s="27">
        <f t="shared" si="13"/>
        <v>0</v>
      </c>
      <c r="AE37" s="25">
        <f>IFERROR(_xlfn.XLOOKUP(N37&amp;P37,'Historico Vendas'!G:G,'Historico Vendas'!E:E),0)</f>
        <v>0</v>
      </c>
      <c r="AF37" s="29" t="str">
        <f t="shared" si="6"/>
        <v/>
      </c>
      <c r="AG37" s="24">
        <f>IFERROR(_xlfn.XLOOKUP(N37&amp;P37,'Historico Vendas'!G:G,'Historico Vendas'!F:F),0)</f>
        <v>0</v>
      </c>
      <c r="AH37" s="25">
        <f t="shared" si="14"/>
        <v>0</v>
      </c>
      <c r="AI37" s="24">
        <f t="shared" si="15"/>
        <v>0</v>
      </c>
      <c r="AJ37" s="11" t="str">
        <f t="shared" si="7"/>
        <v/>
      </c>
      <c r="AK37" s="9" t="s">
        <v>102</v>
      </c>
      <c r="AL37" s="13">
        <f>IFERROR(INDEX('Balizador da Meta'!$D$3:$F$23,MATCH(Quantidade!$P37,'Balizador da Meta'!$C$3:$C$23,0),MATCH(Quantidade!AK37,'Balizador da Meta'!$D$2:$F$2,0)),"")</f>
        <v>0.25</v>
      </c>
      <c r="AM37" s="9"/>
    </row>
    <row r="38" spans="1:39" x14ac:dyDescent="0.3">
      <c r="A38" s="2" t="str">
        <f t="shared" si="1"/>
        <v>NÃO</v>
      </c>
      <c r="B38" s="2" t="str">
        <f>_xlfn.XLOOKUP($N38,'Base de Grupos'!$A:$A,'Base de Grupos'!$D:$D)</f>
        <v>1000065763</v>
      </c>
      <c r="C38" s="5" t="str">
        <f>_xlfn.XLOOKUP($N38,'Base de Grupos'!$A:$A,'Base de Grupos'!$E:$E)</f>
        <v>CANAL VENDA INTERNA</v>
      </c>
      <c r="D38" s="5" t="str">
        <f>_xlfn.XLOOKUP($N38,'Base de Grupos'!$A:$A,'Base de Grupos'!$F:$F)</f>
        <v>1000065763</v>
      </c>
      <c r="E38" s="2" t="str">
        <f>_xlfn.XLOOKUP($N38,'Base de Grupos'!$A:$A,'Base de Grupos'!$G:$G)</f>
        <v>CANAL VENDA INTERNA</v>
      </c>
      <c r="F38" s="2" t="str">
        <f>_xlfn.XLOOKUP($N38,'Base de Grupos'!$A:$A,'Base de Grupos'!$H:$H)</f>
        <v>1000105900</v>
      </c>
      <c r="G38" s="5" t="str">
        <f>_xlfn.XLOOKUP($N38,'Base de Grupos'!$A:$A,'Base de Grupos'!$I:$I)</f>
        <v>REGIONAL VENDA DIRETA CO + NE + NO</v>
      </c>
      <c r="H38" s="5" t="str">
        <f>_xlfn.XLOOKUP($N38,'Base de Grupos'!$A:$A,'Base de Grupos'!$J:$J)</f>
        <v>1000105900</v>
      </c>
      <c r="I38" s="2" t="str">
        <f>_xlfn.XLOOKUP($N38,'Base de Grupos'!$A:$A,'Base de Grupos'!$K:$K)</f>
        <v>REGIONAL VENDA DIRETA CO + NE + NO</v>
      </c>
      <c r="J38" s="2" t="str">
        <f>_xlfn.XLOOKUP($N38,'Base de Grupos'!$A:$A,'Base de Grupos'!$L:$L)</f>
        <v>1000150135</v>
      </c>
      <c r="K38" s="5" t="str">
        <f>_xlfn.XLOOKUP($N38,'Base de Grupos'!$A:$A,'Base de Grupos'!$M:$M)</f>
        <v>HELDER DA SILVA BRUNKOW</v>
      </c>
      <c r="L38" s="5" t="str">
        <f t="shared" si="2"/>
        <v/>
      </c>
      <c r="M38" s="5" t="str">
        <f>_xlfn.XLOOKUP($N38,'Base de Grupos'!$A:$A,'Base de Grupos'!$C:$C)</f>
        <v>RN</v>
      </c>
      <c r="N38" s="3">
        <v>1325</v>
      </c>
      <c r="O38" s="4" t="s">
        <v>225</v>
      </c>
      <c r="P38" s="5" t="s">
        <v>93</v>
      </c>
      <c r="Q38" s="24">
        <v>0</v>
      </c>
      <c r="R38" s="24">
        <v>0</v>
      </c>
      <c r="S38" s="24">
        <v>0</v>
      </c>
      <c r="T38" s="24">
        <v>0</v>
      </c>
      <c r="U38" s="24">
        <v>0</v>
      </c>
      <c r="V38" s="24">
        <v>0</v>
      </c>
      <c r="W38" s="24">
        <v>0</v>
      </c>
      <c r="X38" s="24">
        <v>0</v>
      </c>
      <c r="Y38" s="24">
        <v>0</v>
      </c>
      <c r="Z38" s="24">
        <v>0</v>
      </c>
      <c r="AA38" s="24">
        <v>0</v>
      </c>
      <c r="AB38" s="24">
        <v>0</v>
      </c>
      <c r="AC38" s="30">
        <f t="shared" si="19"/>
        <v>0</v>
      </c>
      <c r="AD38" s="27">
        <f t="shared" si="13"/>
        <v>0</v>
      </c>
      <c r="AE38" s="25">
        <f>IFERROR(_xlfn.XLOOKUP(N38&amp;P38,'Historico Vendas'!G:G,'Historico Vendas'!E:E),0)</f>
        <v>0</v>
      </c>
      <c r="AF38" s="29" t="str">
        <f t="shared" si="6"/>
        <v/>
      </c>
      <c r="AG38" s="24">
        <f>IFERROR(_xlfn.XLOOKUP(N38&amp;P38,'Historico Vendas'!G:G,'Historico Vendas'!F:F),0)</f>
        <v>0</v>
      </c>
      <c r="AH38" s="25">
        <f t="shared" si="14"/>
        <v>0</v>
      </c>
      <c r="AI38" s="24">
        <f t="shared" si="15"/>
        <v>0</v>
      </c>
      <c r="AJ38" s="11" t="str">
        <f t="shared" si="7"/>
        <v/>
      </c>
      <c r="AK38" s="9" t="s">
        <v>102</v>
      </c>
      <c r="AL38" s="13">
        <f>IFERROR(INDEX('Balizador da Meta'!$D$3:$F$23,MATCH(Quantidade!$P38,'Balizador da Meta'!$C$3:$C$23,0),MATCH(Quantidade!AK38,'Balizador da Meta'!$D$2:$F$2,0)),"")</f>
        <v>0.2</v>
      </c>
      <c r="AM38" s="9"/>
    </row>
    <row r="39" spans="1:39" x14ac:dyDescent="0.3">
      <c r="A39" s="2" t="str">
        <f t="shared" si="1"/>
        <v>SIM</v>
      </c>
      <c r="B39" s="2" t="str">
        <f>_xlfn.XLOOKUP($N39,'Base de Grupos'!$A:$A,'Base de Grupos'!$D:$D)</f>
        <v>1000065763</v>
      </c>
      <c r="C39" s="5" t="str">
        <f>_xlfn.XLOOKUP($N39,'Base de Grupos'!$A:$A,'Base de Grupos'!$E:$E)</f>
        <v>CANAL VENDA INTERNA</v>
      </c>
      <c r="D39" s="5" t="str">
        <f>_xlfn.XLOOKUP($N39,'Base de Grupos'!$A:$A,'Base de Grupos'!$F:$F)</f>
        <v>1000065763</v>
      </c>
      <c r="E39" s="2" t="str">
        <f>_xlfn.XLOOKUP($N39,'Base de Grupos'!$A:$A,'Base de Grupos'!$G:$G)</f>
        <v>CANAL VENDA INTERNA</v>
      </c>
      <c r="F39" s="2" t="str">
        <f>_xlfn.XLOOKUP($N39,'Base de Grupos'!$A:$A,'Base de Grupos'!$H:$H)</f>
        <v>1000105900</v>
      </c>
      <c r="G39" s="5" t="str">
        <f>_xlfn.XLOOKUP($N39,'Base de Grupos'!$A:$A,'Base de Grupos'!$I:$I)</f>
        <v>REGIONAL VENDA DIRETA CO + NE + NO</v>
      </c>
      <c r="H39" s="5" t="str">
        <f>_xlfn.XLOOKUP($N39,'Base de Grupos'!$A:$A,'Base de Grupos'!$J:$J)</f>
        <v>1000105900</v>
      </c>
      <c r="I39" s="2" t="str">
        <f>_xlfn.XLOOKUP($N39,'Base de Grupos'!$A:$A,'Base de Grupos'!$K:$K)</f>
        <v>REGIONAL VENDA DIRETA CO + NE + NO</v>
      </c>
      <c r="J39" s="2" t="str">
        <f>_xlfn.XLOOKUP($N39,'Base de Grupos'!$A:$A,'Base de Grupos'!$L:$L)</f>
        <v>1000150135</v>
      </c>
      <c r="K39" s="5" t="str">
        <f>_xlfn.XLOOKUP($N39,'Base de Grupos'!$A:$A,'Base de Grupos'!$M:$M)</f>
        <v>HELDER DA SILVA BRUNKOW</v>
      </c>
      <c r="L39" s="5">
        <f t="shared" si="2"/>
        <v>1</v>
      </c>
      <c r="M39" s="5" t="str">
        <f>_xlfn.XLOOKUP($N39,'Base de Grupos'!$A:$A,'Base de Grupos'!$C:$C)</f>
        <v>CE</v>
      </c>
      <c r="N39" s="3">
        <v>1326</v>
      </c>
      <c r="O39" s="4" t="s">
        <v>226</v>
      </c>
      <c r="P39" s="5" t="s">
        <v>296</v>
      </c>
      <c r="Q39" s="24">
        <v>0</v>
      </c>
      <c r="R39" s="24">
        <v>4</v>
      </c>
      <c r="S39" s="24">
        <v>4</v>
      </c>
      <c r="T39" s="24">
        <v>0</v>
      </c>
      <c r="U39" s="24">
        <v>0</v>
      </c>
      <c r="V39" s="24">
        <v>0</v>
      </c>
      <c r="W39" s="24">
        <v>0</v>
      </c>
      <c r="X39" s="24">
        <v>0</v>
      </c>
      <c r="Y39" s="24">
        <v>0</v>
      </c>
      <c r="Z39" s="24">
        <v>0</v>
      </c>
      <c r="AA39" s="24">
        <v>0</v>
      </c>
      <c r="AB39" s="24">
        <v>0</v>
      </c>
      <c r="AC39" s="30">
        <f t="shared" si="19"/>
        <v>0</v>
      </c>
      <c r="AD39" s="25">
        <f t="shared" si="12"/>
        <v>0</v>
      </c>
      <c r="AE39" s="25">
        <f t="shared" si="12"/>
        <v>0</v>
      </c>
      <c r="AF39" s="11" t="str">
        <f t="shared" si="6"/>
        <v/>
      </c>
      <c r="AG39" s="24">
        <f t="shared" si="12"/>
        <v>0</v>
      </c>
      <c r="AH39" s="25">
        <f t="shared" si="12"/>
        <v>38.4</v>
      </c>
      <c r="AI39" s="24">
        <f t="shared" si="12"/>
        <v>38.4</v>
      </c>
      <c r="AJ39" s="11">
        <f t="shared" si="7"/>
        <v>0</v>
      </c>
      <c r="AK39" s="9"/>
      <c r="AL39" s="13"/>
      <c r="AM39" s="9"/>
    </row>
    <row r="40" spans="1:39" x14ac:dyDescent="0.3">
      <c r="A40" s="2" t="str">
        <f t="shared" si="1"/>
        <v>NÃO</v>
      </c>
      <c r="B40" s="2" t="str">
        <f>_xlfn.XLOOKUP($N40,'Base de Grupos'!$A:$A,'Base de Grupos'!$D:$D)</f>
        <v>1000065763</v>
      </c>
      <c r="C40" s="5" t="str">
        <f>_xlfn.XLOOKUP($N40,'Base de Grupos'!$A:$A,'Base de Grupos'!$E:$E)</f>
        <v>CANAL VENDA INTERNA</v>
      </c>
      <c r="D40" s="5" t="str">
        <f>_xlfn.XLOOKUP($N40,'Base de Grupos'!$A:$A,'Base de Grupos'!$F:$F)</f>
        <v>1000065763</v>
      </c>
      <c r="E40" s="2" t="str">
        <f>_xlfn.XLOOKUP($N40,'Base de Grupos'!$A:$A,'Base de Grupos'!$G:$G)</f>
        <v>CANAL VENDA INTERNA</v>
      </c>
      <c r="F40" s="2" t="str">
        <f>_xlfn.XLOOKUP($N40,'Base de Grupos'!$A:$A,'Base de Grupos'!$H:$H)</f>
        <v>1000105900</v>
      </c>
      <c r="G40" s="5" t="str">
        <f>_xlfn.XLOOKUP($N40,'Base de Grupos'!$A:$A,'Base de Grupos'!$I:$I)</f>
        <v>REGIONAL VENDA DIRETA CO + NE + NO</v>
      </c>
      <c r="H40" s="5" t="str">
        <f>_xlfn.XLOOKUP($N40,'Base de Grupos'!$A:$A,'Base de Grupos'!$J:$J)</f>
        <v>1000105900</v>
      </c>
      <c r="I40" s="2" t="str">
        <f>_xlfn.XLOOKUP($N40,'Base de Grupos'!$A:$A,'Base de Grupos'!$K:$K)</f>
        <v>REGIONAL VENDA DIRETA CO + NE + NO</v>
      </c>
      <c r="J40" s="2" t="str">
        <f>_xlfn.XLOOKUP($N40,'Base de Grupos'!$A:$A,'Base de Grupos'!$L:$L)</f>
        <v>1000150135</v>
      </c>
      <c r="K40" s="5" t="str">
        <f>_xlfn.XLOOKUP($N40,'Base de Grupos'!$A:$A,'Base de Grupos'!$M:$M)</f>
        <v>HELDER DA SILVA BRUNKOW</v>
      </c>
      <c r="L40" s="5" t="str">
        <f t="shared" si="2"/>
        <v/>
      </c>
      <c r="M40" s="5" t="str">
        <f>_xlfn.XLOOKUP($N40,'Base de Grupos'!$A:$A,'Base de Grupos'!$C:$C)</f>
        <v>CE</v>
      </c>
      <c r="N40" s="3">
        <v>1326</v>
      </c>
      <c r="O40" s="4" t="s">
        <v>226</v>
      </c>
      <c r="P40" s="5" t="s">
        <v>81</v>
      </c>
      <c r="Q40" s="24">
        <v>0</v>
      </c>
      <c r="R40" s="24">
        <v>1</v>
      </c>
      <c r="S40" s="24">
        <v>2</v>
      </c>
      <c r="T40" s="24">
        <v>0</v>
      </c>
      <c r="U40" s="24">
        <v>0</v>
      </c>
      <c r="V40" s="24">
        <v>0</v>
      </c>
      <c r="W40" s="24">
        <v>0</v>
      </c>
      <c r="X40" s="24">
        <v>0</v>
      </c>
      <c r="Y40" s="24">
        <v>0</v>
      </c>
      <c r="Z40" s="24">
        <v>0</v>
      </c>
      <c r="AA40" s="24">
        <v>0</v>
      </c>
      <c r="AB40" s="24">
        <v>0</v>
      </c>
      <c r="AC40" s="30">
        <f t="shared" si="19"/>
        <v>0</v>
      </c>
      <c r="AD40" s="27">
        <f t="shared" ref="AD40:AD56" si="20">IF(AC40=0,0,AC40-AG40)</f>
        <v>0</v>
      </c>
      <c r="AE40" s="25">
        <f>IFERROR(_xlfn.XLOOKUP(N40&amp;P40,'Historico Vendas'!G:G,'Historico Vendas'!E:E),0)</f>
        <v>0</v>
      </c>
      <c r="AF40" s="29" t="str">
        <f t="shared" si="6"/>
        <v/>
      </c>
      <c r="AG40" s="24">
        <f>IFERROR(_xlfn.XLOOKUP(N40&amp;P40,'Historico Vendas'!G:G,'Historico Vendas'!F:F),0)</f>
        <v>0</v>
      </c>
      <c r="AH40" s="25">
        <f t="shared" ref="AH40:AH56" si="21">SUM(Q40:S40)</f>
        <v>3</v>
      </c>
      <c r="AI40" s="24">
        <f t="shared" ref="AI40:AI56" si="22">AH40-AG40</f>
        <v>3</v>
      </c>
      <c r="AJ40" s="11">
        <f t="shared" si="7"/>
        <v>0</v>
      </c>
      <c r="AK40" s="9" t="s">
        <v>102</v>
      </c>
      <c r="AL40" s="13">
        <f>IFERROR(INDEX('Balizador da Meta'!$D$3:$F$23,MATCH(Quantidade!$P40,'Balizador da Meta'!$C$3:$C$23,0),MATCH(Quantidade!AK40,'Balizador da Meta'!$D$2:$F$2,0)),"")</f>
        <v>0.2</v>
      </c>
      <c r="AM40" s="9"/>
    </row>
    <row r="41" spans="1:39" x14ac:dyDescent="0.3">
      <c r="A41" s="2" t="str">
        <f t="shared" si="1"/>
        <v>NÃO</v>
      </c>
      <c r="B41" s="2" t="str">
        <f>_xlfn.XLOOKUP($N41,'Base de Grupos'!$A:$A,'Base de Grupos'!$D:$D)</f>
        <v>1000065763</v>
      </c>
      <c r="C41" s="5" t="str">
        <f>_xlfn.XLOOKUP($N41,'Base de Grupos'!$A:$A,'Base de Grupos'!$E:$E)</f>
        <v>CANAL VENDA INTERNA</v>
      </c>
      <c r="D41" s="5" t="str">
        <f>_xlfn.XLOOKUP($N41,'Base de Grupos'!$A:$A,'Base de Grupos'!$F:$F)</f>
        <v>1000065763</v>
      </c>
      <c r="E41" s="2" t="str">
        <f>_xlfn.XLOOKUP($N41,'Base de Grupos'!$A:$A,'Base de Grupos'!$G:$G)</f>
        <v>CANAL VENDA INTERNA</v>
      </c>
      <c r="F41" s="2" t="str">
        <f>_xlfn.XLOOKUP($N41,'Base de Grupos'!$A:$A,'Base de Grupos'!$H:$H)</f>
        <v>1000105900</v>
      </c>
      <c r="G41" s="5" t="str">
        <f>_xlfn.XLOOKUP($N41,'Base de Grupos'!$A:$A,'Base de Grupos'!$I:$I)</f>
        <v>REGIONAL VENDA DIRETA CO + NE + NO</v>
      </c>
      <c r="H41" s="5" t="str">
        <f>_xlfn.XLOOKUP($N41,'Base de Grupos'!$A:$A,'Base de Grupos'!$J:$J)</f>
        <v>1000105900</v>
      </c>
      <c r="I41" s="2" t="str">
        <f>_xlfn.XLOOKUP($N41,'Base de Grupos'!$A:$A,'Base de Grupos'!$K:$K)</f>
        <v>REGIONAL VENDA DIRETA CO + NE + NO</v>
      </c>
      <c r="J41" s="2" t="str">
        <f>_xlfn.XLOOKUP($N41,'Base de Grupos'!$A:$A,'Base de Grupos'!$L:$L)</f>
        <v>1000150135</v>
      </c>
      <c r="K41" s="5" t="str">
        <f>_xlfn.XLOOKUP($N41,'Base de Grupos'!$A:$A,'Base de Grupos'!$M:$M)</f>
        <v>HELDER DA SILVA BRUNKOW</v>
      </c>
      <c r="L41" s="5" t="str">
        <f t="shared" si="2"/>
        <v/>
      </c>
      <c r="M41" s="5" t="str">
        <f>_xlfn.XLOOKUP($N41,'Base de Grupos'!$A:$A,'Base de Grupos'!$C:$C)</f>
        <v>CE</v>
      </c>
      <c r="N41" s="3">
        <v>1326</v>
      </c>
      <c r="O41" s="4" t="s">
        <v>226</v>
      </c>
      <c r="P41" s="5" t="s">
        <v>82</v>
      </c>
      <c r="Q41" s="24">
        <v>0</v>
      </c>
      <c r="R41" s="24">
        <v>2</v>
      </c>
      <c r="S41" s="24">
        <v>2</v>
      </c>
      <c r="T41" s="24">
        <v>0</v>
      </c>
      <c r="U41" s="24">
        <v>0</v>
      </c>
      <c r="V41" s="24">
        <v>0</v>
      </c>
      <c r="W41" s="24">
        <v>0</v>
      </c>
      <c r="X41" s="24">
        <v>0</v>
      </c>
      <c r="Y41" s="24">
        <v>0</v>
      </c>
      <c r="Z41" s="24">
        <v>0</v>
      </c>
      <c r="AA41" s="24">
        <v>0</v>
      </c>
      <c r="AB41" s="24">
        <v>0</v>
      </c>
      <c r="AC41" s="30">
        <f t="shared" si="19"/>
        <v>0</v>
      </c>
      <c r="AD41" s="27">
        <f t="shared" si="20"/>
        <v>0</v>
      </c>
      <c r="AE41" s="25">
        <f>IFERROR(_xlfn.XLOOKUP(N41&amp;P41,'Historico Vendas'!G:G,'Historico Vendas'!E:E),0)</f>
        <v>0</v>
      </c>
      <c r="AF41" s="29" t="str">
        <f t="shared" si="6"/>
        <v/>
      </c>
      <c r="AG41" s="24">
        <f>IFERROR(_xlfn.XLOOKUP(N41&amp;P41,'Historico Vendas'!G:G,'Historico Vendas'!F:F),0)</f>
        <v>0</v>
      </c>
      <c r="AH41" s="25">
        <f t="shared" si="21"/>
        <v>4</v>
      </c>
      <c r="AI41" s="24">
        <f t="shared" si="22"/>
        <v>4</v>
      </c>
      <c r="AJ41" s="11">
        <f t="shared" si="7"/>
        <v>0</v>
      </c>
      <c r="AK41" s="9" t="s">
        <v>102</v>
      </c>
      <c r="AL41" s="13">
        <f>IFERROR(INDEX('Balizador da Meta'!$D$3:$F$23,MATCH(Quantidade!$P41,'Balizador da Meta'!$C$3:$C$23,0),MATCH(Quantidade!AK41,'Balizador da Meta'!$D$2:$F$2,0)),"")</f>
        <v>0.2</v>
      </c>
      <c r="AM41" s="9"/>
    </row>
    <row r="42" spans="1:39" x14ac:dyDescent="0.3">
      <c r="A42" s="2" t="str">
        <f t="shared" si="1"/>
        <v>NÃO</v>
      </c>
      <c r="B42" s="2" t="str">
        <f>_xlfn.XLOOKUP($N42,'Base de Grupos'!$A:$A,'Base de Grupos'!$D:$D)</f>
        <v>1000065763</v>
      </c>
      <c r="C42" s="5" t="str">
        <f>_xlfn.XLOOKUP($N42,'Base de Grupos'!$A:$A,'Base de Grupos'!$E:$E)</f>
        <v>CANAL VENDA INTERNA</v>
      </c>
      <c r="D42" s="5" t="str">
        <f>_xlfn.XLOOKUP($N42,'Base de Grupos'!$A:$A,'Base de Grupos'!$F:$F)</f>
        <v>1000065763</v>
      </c>
      <c r="E42" s="2" t="str">
        <f>_xlfn.XLOOKUP($N42,'Base de Grupos'!$A:$A,'Base de Grupos'!$G:$G)</f>
        <v>CANAL VENDA INTERNA</v>
      </c>
      <c r="F42" s="2" t="str">
        <f>_xlfn.XLOOKUP($N42,'Base de Grupos'!$A:$A,'Base de Grupos'!$H:$H)</f>
        <v>1000105900</v>
      </c>
      <c r="G42" s="5" t="str">
        <f>_xlfn.XLOOKUP($N42,'Base de Grupos'!$A:$A,'Base de Grupos'!$I:$I)</f>
        <v>REGIONAL VENDA DIRETA CO + NE + NO</v>
      </c>
      <c r="H42" s="5" t="str">
        <f>_xlfn.XLOOKUP($N42,'Base de Grupos'!$A:$A,'Base de Grupos'!$J:$J)</f>
        <v>1000105900</v>
      </c>
      <c r="I42" s="2" t="str">
        <f>_xlfn.XLOOKUP($N42,'Base de Grupos'!$A:$A,'Base de Grupos'!$K:$K)</f>
        <v>REGIONAL VENDA DIRETA CO + NE + NO</v>
      </c>
      <c r="J42" s="2" t="str">
        <f>_xlfn.XLOOKUP($N42,'Base de Grupos'!$A:$A,'Base de Grupos'!$L:$L)</f>
        <v>1000150135</v>
      </c>
      <c r="K42" s="5" t="str">
        <f>_xlfn.XLOOKUP($N42,'Base de Grupos'!$A:$A,'Base de Grupos'!$M:$M)</f>
        <v>HELDER DA SILVA BRUNKOW</v>
      </c>
      <c r="L42" s="5" t="str">
        <f t="shared" si="2"/>
        <v/>
      </c>
      <c r="M42" s="5" t="str">
        <f>_xlfn.XLOOKUP($N42,'Base de Grupos'!$A:$A,'Base de Grupos'!$C:$C)</f>
        <v>CE</v>
      </c>
      <c r="N42" s="3">
        <v>1326</v>
      </c>
      <c r="O42" s="4" t="s">
        <v>226</v>
      </c>
      <c r="P42" s="5" t="s">
        <v>84</v>
      </c>
      <c r="Q42" s="24">
        <v>0</v>
      </c>
      <c r="R42" s="24">
        <v>2</v>
      </c>
      <c r="S42" s="24">
        <v>2</v>
      </c>
      <c r="T42" s="24">
        <v>0</v>
      </c>
      <c r="U42" s="24">
        <v>0</v>
      </c>
      <c r="V42" s="24">
        <v>0</v>
      </c>
      <c r="W42" s="24">
        <v>0</v>
      </c>
      <c r="X42" s="24">
        <v>0</v>
      </c>
      <c r="Y42" s="24">
        <v>0</v>
      </c>
      <c r="Z42" s="24">
        <v>0</v>
      </c>
      <c r="AA42" s="24">
        <v>0</v>
      </c>
      <c r="AB42" s="24">
        <v>0</v>
      </c>
      <c r="AC42" s="30">
        <f t="shared" si="19"/>
        <v>0</v>
      </c>
      <c r="AD42" s="27">
        <f t="shared" si="20"/>
        <v>0</v>
      </c>
      <c r="AE42" s="25">
        <f>IFERROR(_xlfn.XLOOKUP(N42&amp;P42,'Historico Vendas'!G:G,'Historico Vendas'!E:E),0)</f>
        <v>0</v>
      </c>
      <c r="AF42" s="29" t="str">
        <f t="shared" si="6"/>
        <v/>
      </c>
      <c r="AG42" s="24">
        <f>IFERROR(_xlfn.XLOOKUP(N42&amp;P42,'Historico Vendas'!G:G,'Historico Vendas'!F:F),0)</f>
        <v>0</v>
      </c>
      <c r="AH42" s="25">
        <f t="shared" si="21"/>
        <v>4</v>
      </c>
      <c r="AI42" s="24">
        <f t="shared" si="22"/>
        <v>4</v>
      </c>
      <c r="AJ42" s="11">
        <f t="shared" si="7"/>
        <v>0</v>
      </c>
      <c r="AK42" s="9" t="s">
        <v>102</v>
      </c>
      <c r="AL42" s="13">
        <f>IFERROR(INDEX('Balizador da Meta'!$D$3:$F$23,MATCH(Quantidade!$P42,'Balizador da Meta'!$C$3:$C$23,0),MATCH(Quantidade!AK42,'Balizador da Meta'!$D$2:$F$2,0)),"")</f>
        <v>0.15</v>
      </c>
      <c r="AM42" s="9"/>
    </row>
    <row r="43" spans="1:39" x14ac:dyDescent="0.3">
      <c r="A43" s="2" t="str">
        <f t="shared" si="1"/>
        <v>NÃO</v>
      </c>
      <c r="B43" s="2" t="str">
        <f>_xlfn.XLOOKUP($N43,'Base de Grupos'!$A:$A,'Base de Grupos'!$D:$D)</f>
        <v>1000065763</v>
      </c>
      <c r="C43" s="5" t="str">
        <f>_xlfn.XLOOKUP($N43,'Base de Grupos'!$A:$A,'Base de Grupos'!$E:$E)</f>
        <v>CANAL VENDA INTERNA</v>
      </c>
      <c r="D43" s="5" t="str">
        <f>_xlfn.XLOOKUP($N43,'Base de Grupos'!$A:$A,'Base de Grupos'!$F:$F)</f>
        <v>1000065763</v>
      </c>
      <c r="E43" s="2" t="str">
        <f>_xlfn.XLOOKUP($N43,'Base de Grupos'!$A:$A,'Base de Grupos'!$G:$G)</f>
        <v>CANAL VENDA INTERNA</v>
      </c>
      <c r="F43" s="2" t="str">
        <f>_xlfn.XLOOKUP($N43,'Base de Grupos'!$A:$A,'Base de Grupos'!$H:$H)</f>
        <v>1000105900</v>
      </c>
      <c r="G43" s="5" t="str">
        <f>_xlfn.XLOOKUP($N43,'Base de Grupos'!$A:$A,'Base de Grupos'!$I:$I)</f>
        <v>REGIONAL VENDA DIRETA CO + NE + NO</v>
      </c>
      <c r="H43" s="5" t="str">
        <f>_xlfn.XLOOKUP($N43,'Base de Grupos'!$A:$A,'Base de Grupos'!$J:$J)</f>
        <v>1000105900</v>
      </c>
      <c r="I43" s="2" t="str">
        <f>_xlfn.XLOOKUP($N43,'Base de Grupos'!$A:$A,'Base de Grupos'!$K:$K)</f>
        <v>REGIONAL VENDA DIRETA CO + NE + NO</v>
      </c>
      <c r="J43" s="2" t="str">
        <f>_xlfn.XLOOKUP($N43,'Base de Grupos'!$A:$A,'Base de Grupos'!$L:$L)</f>
        <v>1000150135</v>
      </c>
      <c r="K43" s="5" t="str">
        <f>_xlfn.XLOOKUP($N43,'Base de Grupos'!$A:$A,'Base de Grupos'!$M:$M)</f>
        <v>HELDER DA SILVA BRUNKOW</v>
      </c>
      <c r="L43" s="5" t="str">
        <f t="shared" si="2"/>
        <v/>
      </c>
      <c r="M43" s="5" t="str">
        <f>_xlfn.XLOOKUP($N43,'Base de Grupos'!$A:$A,'Base de Grupos'!$C:$C)</f>
        <v>CE</v>
      </c>
      <c r="N43" s="3">
        <v>1326</v>
      </c>
      <c r="O43" s="4" t="s">
        <v>226</v>
      </c>
      <c r="P43" s="5" t="s">
        <v>83</v>
      </c>
      <c r="Q43" s="24">
        <v>0</v>
      </c>
      <c r="R43" s="24">
        <v>1</v>
      </c>
      <c r="S43" s="24">
        <v>1</v>
      </c>
      <c r="T43" s="24">
        <v>0</v>
      </c>
      <c r="U43" s="24">
        <v>0</v>
      </c>
      <c r="V43" s="24">
        <v>0</v>
      </c>
      <c r="W43" s="24">
        <v>0</v>
      </c>
      <c r="X43" s="24">
        <v>0</v>
      </c>
      <c r="Y43" s="24">
        <v>0</v>
      </c>
      <c r="Z43" s="24">
        <v>0</v>
      </c>
      <c r="AA43" s="24">
        <v>0</v>
      </c>
      <c r="AB43" s="24">
        <v>0</v>
      </c>
      <c r="AC43" s="30">
        <f t="shared" si="19"/>
        <v>0</v>
      </c>
      <c r="AD43" s="27">
        <f t="shared" si="20"/>
        <v>0</v>
      </c>
      <c r="AE43" s="25">
        <f>IFERROR(_xlfn.XLOOKUP(N43&amp;P43,'Historico Vendas'!G:G,'Historico Vendas'!E:E),0)</f>
        <v>0</v>
      </c>
      <c r="AF43" s="29" t="str">
        <f t="shared" si="6"/>
        <v/>
      </c>
      <c r="AG43" s="24">
        <f>IFERROR(_xlfn.XLOOKUP(N43&amp;P43,'Historico Vendas'!G:G,'Historico Vendas'!F:F),0)</f>
        <v>0</v>
      </c>
      <c r="AH43" s="25">
        <f t="shared" si="21"/>
        <v>2</v>
      </c>
      <c r="AI43" s="24">
        <f t="shared" si="22"/>
        <v>2</v>
      </c>
      <c r="AJ43" s="11">
        <f t="shared" si="7"/>
        <v>0</v>
      </c>
      <c r="AK43" s="9" t="s">
        <v>102</v>
      </c>
      <c r="AL43" s="13">
        <f>IFERROR(INDEX('Balizador da Meta'!$D$3:$F$23,MATCH(Quantidade!$P43,'Balizador da Meta'!$C$3:$C$23,0),MATCH(Quantidade!AK43,'Balizador da Meta'!$D$2:$F$2,0)),"")</f>
        <v>0</v>
      </c>
      <c r="AM43" s="9"/>
    </row>
    <row r="44" spans="1:39" x14ac:dyDescent="0.3">
      <c r="A44" s="2" t="str">
        <f t="shared" si="1"/>
        <v>NÃO</v>
      </c>
      <c r="B44" s="2" t="str">
        <f>_xlfn.XLOOKUP($N44,'Base de Grupos'!$A:$A,'Base de Grupos'!$D:$D)</f>
        <v>1000065763</v>
      </c>
      <c r="C44" s="5" t="str">
        <f>_xlfn.XLOOKUP($N44,'Base de Grupos'!$A:$A,'Base de Grupos'!$E:$E)</f>
        <v>CANAL VENDA INTERNA</v>
      </c>
      <c r="D44" s="5" t="str">
        <f>_xlfn.XLOOKUP($N44,'Base de Grupos'!$A:$A,'Base de Grupos'!$F:$F)</f>
        <v>1000065763</v>
      </c>
      <c r="E44" s="2" t="str">
        <f>_xlfn.XLOOKUP($N44,'Base de Grupos'!$A:$A,'Base de Grupos'!$G:$G)</f>
        <v>CANAL VENDA INTERNA</v>
      </c>
      <c r="F44" s="2" t="str">
        <f>_xlfn.XLOOKUP($N44,'Base de Grupos'!$A:$A,'Base de Grupos'!$H:$H)</f>
        <v>1000105900</v>
      </c>
      <c r="G44" s="5" t="str">
        <f>_xlfn.XLOOKUP($N44,'Base de Grupos'!$A:$A,'Base de Grupos'!$I:$I)</f>
        <v>REGIONAL VENDA DIRETA CO + NE + NO</v>
      </c>
      <c r="H44" s="5" t="str">
        <f>_xlfn.XLOOKUP($N44,'Base de Grupos'!$A:$A,'Base de Grupos'!$J:$J)</f>
        <v>1000105900</v>
      </c>
      <c r="I44" s="2" t="str">
        <f>_xlfn.XLOOKUP($N44,'Base de Grupos'!$A:$A,'Base de Grupos'!$K:$K)</f>
        <v>REGIONAL VENDA DIRETA CO + NE + NO</v>
      </c>
      <c r="J44" s="2" t="str">
        <f>_xlfn.XLOOKUP($N44,'Base de Grupos'!$A:$A,'Base de Grupos'!$L:$L)</f>
        <v>1000150135</v>
      </c>
      <c r="K44" s="5" t="str">
        <f>_xlfn.XLOOKUP($N44,'Base de Grupos'!$A:$A,'Base de Grupos'!$M:$M)</f>
        <v>HELDER DA SILVA BRUNKOW</v>
      </c>
      <c r="L44" s="5" t="str">
        <f t="shared" si="2"/>
        <v/>
      </c>
      <c r="M44" s="5" t="str">
        <f>_xlfn.XLOOKUP($N44,'Base de Grupos'!$A:$A,'Base de Grupos'!$C:$C)</f>
        <v>CE</v>
      </c>
      <c r="N44" s="3">
        <v>1326</v>
      </c>
      <c r="O44" s="4" t="s">
        <v>226</v>
      </c>
      <c r="P44" s="5" t="s">
        <v>87</v>
      </c>
      <c r="Q44" s="24">
        <v>0</v>
      </c>
      <c r="R44" s="24">
        <v>4</v>
      </c>
      <c r="S44" s="24">
        <v>4</v>
      </c>
      <c r="T44" s="24">
        <v>0</v>
      </c>
      <c r="U44" s="24">
        <v>0</v>
      </c>
      <c r="V44" s="24">
        <v>0</v>
      </c>
      <c r="W44" s="24">
        <v>0</v>
      </c>
      <c r="X44" s="24">
        <v>0</v>
      </c>
      <c r="Y44" s="24">
        <v>0</v>
      </c>
      <c r="Z44" s="24">
        <v>0</v>
      </c>
      <c r="AA44" s="24">
        <v>0</v>
      </c>
      <c r="AB44" s="24">
        <v>0</v>
      </c>
      <c r="AC44" s="30">
        <f t="shared" si="19"/>
        <v>0</v>
      </c>
      <c r="AD44" s="27">
        <f t="shared" si="20"/>
        <v>0</v>
      </c>
      <c r="AE44" s="25">
        <f>IFERROR(_xlfn.XLOOKUP(N44&amp;P44,'Historico Vendas'!G:G,'Historico Vendas'!E:E),0)</f>
        <v>0</v>
      </c>
      <c r="AF44" s="29" t="str">
        <f t="shared" si="6"/>
        <v/>
      </c>
      <c r="AG44" s="24">
        <f>IFERROR(_xlfn.XLOOKUP(N44&amp;P44,'Historico Vendas'!G:G,'Historico Vendas'!F:F),0)</f>
        <v>0</v>
      </c>
      <c r="AH44" s="25">
        <f t="shared" si="21"/>
        <v>8</v>
      </c>
      <c r="AI44" s="24">
        <f t="shared" si="22"/>
        <v>8</v>
      </c>
      <c r="AJ44" s="11">
        <f t="shared" si="7"/>
        <v>0</v>
      </c>
      <c r="AK44" s="9" t="s">
        <v>102</v>
      </c>
      <c r="AL44" s="13">
        <f>IFERROR(INDEX('Balizador da Meta'!$D$3:$F$23,MATCH(Quantidade!$P44,'Balizador da Meta'!$C$3:$C$23,0),MATCH(Quantidade!AK44,'Balizador da Meta'!$D$2:$F$2,0)),"")</f>
        <v>0</v>
      </c>
      <c r="AM44" s="9"/>
    </row>
    <row r="45" spans="1:39" x14ac:dyDescent="0.3">
      <c r="A45" s="2" t="str">
        <f t="shared" si="1"/>
        <v>NÃO</v>
      </c>
      <c r="B45" s="2" t="str">
        <f>_xlfn.XLOOKUP($N45,'Base de Grupos'!$A:$A,'Base de Grupos'!$D:$D)</f>
        <v>1000065763</v>
      </c>
      <c r="C45" s="5" t="str">
        <f>_xlfn.XLOOKUP($N45,'Base de Grupos'!$A:$A,'Base de Grupos'!$E:$E)</f>
        <v>CANAL VENDA INTERNA</v>
      </c>
      <c r="D45" s="5" t="str">
        <f>_xlfn.XLOOKUP($N45,'Base de Grupos'!$A:$A,'Base de Grupos'!$F:$F)</f>
        <v>1000065763</v>
      </c>
      <c r="E45" s="2" t="str">
        <f>_xlfn.XLOOKUP($N45,'Base de Grupos'!$A:$A,'Base de Grupos'!$G:$G)</f>
        <v>CANAL VENDA INTERNA</v>
      </c>
      <c r="F45" s="2" t="str">
        <f>_xlfn.XLOOKUP($N45,'Base de Grupos'!$A:$A,'Base de Grupos'!$H:$H)</f>
        <v>1000105900</v>
      </c>
      <c r="G45" s="5" t="str">
        <f>_xlfn.XLOOKUP($N45,'Base de Grupos'!$A:$A,'Base de Grupos'!$I:$I)</f>
        <v>REGIONAL VENDA DIRETA CO + NE + NO</v>
      </c>
      <c r="H45" s="5" t="str">
        <f>_xlfn.XLOOKUP($N45,'Base de Grupos'!$A:$A,'Base de Grupos'!$J:$J)</f>
        <v>1000105900</v>
      </c>
      <c r="I45" s="2" t="str">
        <f>_xlfn.XLOOKUP($N45,'Base de Grupos'!$A:$A,'Base de Grupos'!$K:$K)</f>
        <v>REGIONAL VENDA DIRETA CO + NE + NO</v>
      </c>
      <c r="J45" s="2" t="str">
        <f>_xlfn.XLOOKUP($N45,'Base de Grupos'!$A:$A,'Base de Grupos'!$L:$L)</f>
        <v>1000150135</v>
      </c>
      <c r="K45" s="5" t="str">
        <f>_xlfn.XLOOKUP($N45,'Base de Grupos'!$A:$A,'Base de Grupos'!$M:$M)</f>
        <v>HELDER DA SILVA BRUNKOW</v>
      </c>
      <c r="L45" s="5" t="str">
        <f t="shared" si="2"/>
        <v/>
      </c>
      <c r="M45" s="5" t="str">
        <f>_xlfn.XLOOKUP($N45,'Base de Grupos'!$A:$A,'Base de Grupos'!$C:$C)</f>
        <v>CE</v>
      </c>
      <c r="N45" s="3">
        <v>1326</v>
      </c>
      <c r="O45" s="4" t="s">
        <v>226</v>
      </c>
      <c r="P45" s="5" t="s">
        <v>85</v>
      </c>
      <c r="Q45" s="24">
        <v>0</v>
      </c>
      <c r="R45" s="24">
        <v>4.4000000000000004</v>
      </c>
      <c r="S45" s="24">
        <v>5</v>
      </c>
      <c r="T45" s="24">
        <v>0</v>
      </c>
      <c r="U45" s="24">
        <v>0</v>
      </c>
      <c r="V45" s="24">
        <v>0</v>
      </c>
      <c r="W45" s="24">
        <v>0</v>
      </c>
      <c r="X45" s="24">
        <v>0</v>
      </c>
      <c r="Y45" s="24">
        <v>0</v>
      </c>
      <c r="Z45" s="24">
        <v>0</v>
      </c>
      <c r="AA45" s="24">
        <v>0</v>
      </c>
      <c r="AB45" s="24">
        <v>0</v>
      </c>
      <c r="AC45" s="30">
        <f t="shared" si="19"/>
        <v>0</v>
      </c>
      <c r="AD45" s="27">
        <f t="shared" si="20"/>
        <v>0</v>
      </c>
      <c r="AE45" s="25">
        <f>IFERROR(_xlfn.XLOOKUP(N45&amp;P45,'Historico Vendas'!G:G,'Historico Vendas'!E:E),0)</f>
        <v>0</v>
      </c>
      <c r="AF45" s="29" t="str">
        <f t="shared" si="6"/>
        <v/>
      </c>
      <c r="AG45" s="24">
        <f>IFERROR(_xlfn.XLOOKUP(N45&amp;P45,'Historico Vendas'!G:G,'Historico Vendas'!F:F),0)</f>
        <v>0</v>
      </c>
      <c r="AH45" s="25">
        <f t="shared" si="21"/>
        <v>9.4</v>
      </c>
      <c r="AI45" s="24">
        <f t="shared" si="22"/>
        <v>9.4</v>
      </c>
      <c r="AJ45" s="11">
        <f t="shared" si="7"/>
        <v>0</v>
      </c>
      <c r="AK45" s="9" t="s">
        <v>102</v>
      </c>
      <c r="AL45" s="13">
        <f>IFERROR(INDEX('Balizador da Meta'!$D$3:$F$23,MATCH(Quantidade!$P45,'Balizador da Meta'!$C$3:$C$23,0),MATCH(Quantidade!AK45,'Balizador da Meta'!$D$2:$F$2,0)),"")</f>
        <v>0</v>
      </c>
      <c r="AM45" s="9"/>
    </row>
    <row r="46" spans="1:39" x14ac:dyDescent="0.3">
      <c r="A46" s="2" t="str">
        <f t="shared" si="1"/>
        <v>NÃO</v>
      </c>
      <c r="B46" s="2" t="str">
        <f>_xlfn.XLOOKUP($N46,'Base de Grupos'!$A:$A,'Base de Grupos'!$D:$D)</f>
        <v>1000065763</v>
      </c>
      <c r="C46" s="5" t="str">
        <f>_xlfn.XLOOKUP($N46,'Base de Grupos'!$A:$A,'Base de Grupos'!$E:$E)</f>
        <v>CANAL VENDA INTERNA</v>
      </c>
      <c r="D46" s="5" t="str">
        <f>_xlfn.XLOOKUP($N46,'Base de Grupos'!$A:$A,'Base de Grupos'!$F:$F)</f>
        <v>1000065763</v>
      </c>
      <c r="E46" s="2" t="str">
        <f>_xlfn.XLOOKUP($N46,'Base de Grupos'!$A:$A,'Base de Grupos'!$G:$G)</f>
        <v>CANAL VENDA INTERNA</v>
      </c>
      <c r="F46" s="2" t="str">
        <f>_xlfn.XLOOKUP($N46,'Base de Grupos'!$A:$A,'Base de Grupos'!$H:$H)</f>
        <v>1000105900</v>
      </c>
      <c r="G46" s="5" t="str">
        <f>_xlfn.XLOOKUP($N46,'Base de Grupos'!$A:$A,'Base de Grupos'!$I:$I)</f>
        <v>REGIONAL VENDA DIRETA CO + NE + NO</v>
      </c>
      <c r="H46" s="5" t="str">
        <f>_xlfn.XLOOKUP($N46,'Base de Grupos'!$A:$A,'Base de Grupos'!$J:$J)</f>
        <v>1000105900</v>
      </c>
      <c r="I46" s="2" t="str">
        <f>_xlfn.XLOOKUP($N46,'Base de Grupos'!$A:$A,'Base de Grupos'!$K:$K)</f>
        <v>REGIONAL VENDA DIRETA CO + NE + NO</v>
      </c>
      <c r="J46" s="2" t="str">
        <f>_xlfn.XLOOKUP($N46,'Base de Grupos'!$A:$A,'Base de Grupos'!$L:$L)</f>
        <v>1000150135</v>
      </c>
      <c r="K46" s="5" t="str">
        <f>_xlfn.XLOOKUP($N46,'Base de Grupos'!$A:$A,'Base de Grupos'!$M:$M)</f>
        <v>HELDER DA SILVA BRUNKOW</v>
      </c>
      <c r="L46" s="5" t="str">
        <f t="shared" si="2"/>
        <v/>
      </c>
      <c r="M46" s="5" t="str">
        <f>_xlfn.XLOOKUP($N46,'Base de Grupos'!$A:$A,'Base de Grupos'!$C:$C)</f>
        <v>CE</v>
      </c>
      <c r="N46" s="3">
        <v>1326</v>
      </c>
      <c r="O46" s="4" t="s">
        <v>226</v>
      </c>
      <c r="P46" s="5" t="s">
        <v>92</v>
      </c>
      <c r="Q46" s="24">
        <v>0</v>
      </c>
      <c r="R46" s="24">
        <v>4</v>
      </c>
      <c r="S46" s="24">
        <v>4</v>
      </c>
      <c r="T46" s="24">
        <v>0</v>
      </c>
      <c r="U46" s="24">
        <v>0</v>
      </c>
      <c r="V46" s="24">
        <v>0</v>
      </c>
      <c r="W46" s="24">
        <v>0</v>
      </c>
      <c r="X46" s="24">
        <v>0</v>
      </c>
      <c r="Y46" s="24">
        <v>0</v>
      </c>
      <c r="Z46" s="24">
        <v>0</v>
      </c>
      <c r="AA46" s="24">
        <v>0</v>
      </c>
      <c r="AB46" s="24">
        <v>0</v>
      </c>
      <c r="AC46" s="30">
        <f t="shared" si="19"/>
        <v>0</v>
      </c>
      <c r="AD46" s="27">
        <f t="shared" si="20"/>
        <v>0</v>
      </c>
      <c r="AE46" s="25">
        <f>IFERROR(_xlfn.XLOOKUP(N46&amp;P46,'Historico Vendas'!G:G,'Historico Vendas'!E:E),0)</f>
        <v>0</v>
      </c>
      <c r="AF46" s="29" t="str">
        <f t="shared" si="6"/>
        <v/>
      </c>
      <c r="AG46" s="24">
        <f>IFERROR(_xlfn.XLOOKUP(N46&amp;P46,'Historico Vendas'!G:G,'Historico Vendas'!F:F),0)</f>
        <v>0</v>
      </c>
      <c r="AH46" s="25">
        <f t="shared" si="21"/>
        <v>8</v>
      </c>
      <c r="AI46" s="24">
        <f t="shared" si="22"/>
        <v>8</v>
      </c>
      <c r="AJ46" s="11">
        <f t="shared" si="7"/>
        <v>0</v>
      </c>
      <c r="AK46" s="9" t="s">
        <v>102</v>
      </c>
      <c r="AL46" s="13">
        <f>IFERROR(INDEX('Balizador da Meta'!$D$3:$F$23,MATCH(Quantidade!$P46,'Balizador da Meta'!$C$3:$C$23,0),MATCH(Quantidade!AK46,'Balizador da Meta'!$D$2:$F$2,0)),"")</f>
        <v>0</v>
      </c>
      <c r="AM46" s="9"/>
    </row>
    <row r="47" spans="1:39" x14ac:dyDescent="0.3">
      <c r="A47" s="2" t="str">
        <f t="shared" si="1"/>
        <v>NÃO</v>
      </c>
      <c r="B47" s="2" t="str">
        <f>_xlfn.XLOOKUP($N47,'Base de Grupos'!$A:$A,'Base de Grupos'!$D:$D)</f>
        <v>1000065763</v>
      </c>
      <c r="C47" s="5" t="str">
        <f>_xlfn.XLOOKUP($N47,'Base de Grupos'!$A:$A,'Base de Grupos'!$E:$E)</f>
        <v>CANAL VENDA INTERNA</v>
      </c>
      <c r="D47" s="5" t="str">
        <f>_xlfn.XLOOKUP($N47,'Base de Grupos'!$A:$A,'Base de Grupos'!$F:$F)</f>
        <v>1000065763</v>
      </c>
      <c r="E47" s="2" t="str">
        <f>_xlfn.XLOOKUP($N47,'Base de Grupos'!$A:$A,'Base de Grupos'!$G:$G)</f>
        <v>CANAL VENDA INTERNA</v>
      </c>
      <c r="F47" s="2" t="str">
        <f>_xlfn.XLOOKUP($N47,'Base de Grupos'!$A:$A,'Base de Grupos'!$H:$H)</f>
        <v>1000105900</v>
      </c>
      <c r="G47" s="5" t="str">
        <f>_xlfn.XLOOKUP($N47,'Base de Grupos'!$A:$A,'Base de Grupos'!$I:$I)</f>
        <v>REGIONAL VENDA DIRETA CO + NE + NO</v>
      </c>
      <c r="H47" s="5" t="str">
        <f>_xlfn.XLOOKUP($N47,'Base de Grupos'!$A:$A,'Base de Grupos'!$J:$J)</f>
        <v>1000105900</v>
      </c>
      <c r="I47" s="2" t="str">
        <f>_xlfn.XLOOKUP($N47,'Base de Grupos'!$A:$A,'Base de Grupos'!$K:$K)</f>
        <v>REGIONAL VENDA DIRETA CO + NE + NO</v>
      </c>
      <c r="J47" s="2" t="str">
        <f>_xlfn.XLOOKUP($N47,'Base de Grupos'!$A:$A,'Base de Grupos'!$L:$L)</f>
        <v>1000150135</v>
      </c>
      <c r="K47" s="5" t="str">
        <f>_xlfn.XLOOKUP($N47,'Base de Grupos'!$A:$A,'Base de Grupos'!$M:$M)</f>
        <v>HELDER DA SILVA BRUNKOW</v>
      </c>
      <c r="L47" s="5" t="str">
        <f t="shared" si="2"/>
        <v/>
      </c>
      <c r="M47" s="5" t="str">
        <f>_xlfn.XLOOKUP($N47,'Base de Grupos'!$A:$A,'Base de Grupos'!$C:$C)</f>
        <v>CE</v>
      </c>
      <c r="N47" s="3">
        <v>1326</v>
      </c>
      <c r="O47" s="4" t="s">
        <v>226</v>
      </c>
      <c r="P47" s="5" t="s">
        <v>86</v>
      </c>
      <c r="Q47" s="24">
        <f>SUM(Q48:Q68)</f>
        <v>0</v>
      </c>
      <c r="R47" s="24">
        <f t="shared" ref="R47" si="23">SUM(R48:R68)</f>
        <v>0</v>
      </c>
      <c r="S47" s="24">
        <f t="shared" ref="S47" si="24">SUM(S48:S68)</f>
        <v>0</v>
      </c>
      <c r="T47" s="24">
        <f t="shared" ref="T47:AC47" si="25">SUM(T48:T68)</f>
        <v>0</v>
      </c>
      <c r="U47" s="24">
        <f t="shared" si="25"/>
        <v>0</v>
      </c>
      <c r="V47" s="24">
        <f t="shared" si="25"/>
        <v>0</v>
      </c>
      <c r="W47" s="24">
        <f t="shared" si="25"/>
        <v>0</v>
      </c>
      <c r="X47" s="24">
        <f t="shared" si="25"/>
        <v>0</v>
      </c>
      <c r="Y47" s="24">
        <f t="shared" si="25"/>
        <v>0</v>
      </c>
      <c r="Z47" s="24">
        <f t="shared" si="25"/>
        <v>0</v>
      </c>
      <c r="AA47" s="24">
        <f t="shared" si="25"/>
        <v>0</v>
      </c>
      <c r="AB47" s="24">
        <f t="shared" si="25"/>
        <v>0</v>
      </c>
      <c r="AC47" s="24">
        <f t="shared" si="25"/>
        <v>0</v>
      </c>
      <c r="AD47" s="27">
        <f t="shared" si="20"/>
        <v>0</v>
      </c>
      <c r="AE47" s="25">
        <f>IFERROR(_xlfn.XLOOKUP(N47&amp;P47,'Historico Vendas'!G:G,'Historico Vendas'!E:E),0)</f>
        <v>0</v>
      </c>
      <c r="AF47" s="29" t="str">
        <f t="shared" si="6"/>
        <v/>
      </c>
      <c r="AG47" s="24">
        <f>IFERROR(_xlfn.XLOOKUP(N47&amp;P47,'Historico Vendas'!G:G,'Historico Vendas'!F:F),0)</f>
        <v>0</v>
      </c>
      <c r="AH47" s="25">
        <f t="shared" si="21"/>
        <v>0</v>
      </c>
      <c r="AI47" s="24">
        <f t="shared" si="22"/>
        <v>0</v>
      </c>
      <c r="AJ47" s="11" t="str">
        <f t="shared" si="7"/>
        <v/>
      </c>
      <c r="AK47" s="9" t="s">
        <v>102</v>
      </c>
      <c r="AL47" s="13">
        <f>IFERROR(INDEX('Balizador da Meta'!$D$3:$F$23,MATCH(Quantidade!$P47,'Balizador da Meta'!$C$3:$C$23,0),MATCH(Quantidade!AK47,'Balizador da Meta'!$D$2:$F$2,0)),"")</f>
        <v>0.15</v>
      </c>
      <c r="AM47" s="9"/>
    </row>
    <row r="48" spans="1:39" x14ac:dyDescent="0.3">
      <c r="A48" s="2" t="str">
        <f t="shared" si="1"/>
        <v>NÃO</v>
      </c>
      <c r="B48" s="2" t="str">
        <f>_xlfn.XLOOKUP($N48,'Base de Grupos'!$A:$A,'Base de Grupos'!$D:$D)</f>
        <v>1000065763</v>
      </c>
      <c r="C48" s="5" t="str">
        <f>_xlfn.XLOOKUP($N48,'Base de Grupos'!$A:$A,'Base de Grupos'!$E:$E)</f>
        <v>CANAL VENDA INTERNA</v>
      </c>
      <c r="D48" s="5" t="str">
        <f>_xlfn.XLOOKUP($N48,'Base de Grupos'!$A:$A,'Base de Grupos'!$F:$F)</f>
        <v>1000065763</v>
      </c>
      <c r="E48" s="2" t="str">
        <f>_xlfn.XLOOKUP($N48,'Base de Grupos'!$A:$A,'Base de Grupos'!$G:$G)</f>
        <v>CANAL VENDA INTERNA</v>
      </c>
      <c r="F48" s="2" t="str">
        <f>_xlfn.XLOOKUP($N48,'Base de Grupos'!$A:$A,'Base de Grupos'!$H:$H)</f>
        <v>1000105900</v>
      </c>
      <c r="G48" s="5" t="str">
        <f>_xlfn.XLOOKUP($N48,'Base de Grupos'!$A:$A,'Base de Grupos'!$I:$I)</f>
        <v>REGIONAL VENDA DIRETA CO + NE + NO</v>
      </c>
      <c r="H48" s="5" t="str">
        <f>_xlfn.XLOOKUP($N48,'Base de Grupos'!$A:$A,'Base de Grupos'!$J:$J)</f>
        <v>1000105900</v>
      </c>
      <c r="I48" s="2" t="str">
        <f>_xlfn.XLOOKUP($N48,'Base de Grupos'!$A:$A,'Base de Grupos'!$K:$K)</f>
        <v>REGIONAL VENDA DIRETA CO + NE + NO</v>
      </c>
      <c r="J48" s="2" t="str">
        <f>_xlfn.XLOOKUP($N48,'Base de Grupos'!$A:$A,'Base de Grupos'!$L:$L)</f>
        <v>1000150135</v>
      </c>
      <c r="K48" s="5" t="str">
        <f>_xlfn.XLOOKUP($N48,'Base de Grupos'!$A:$A,'Base de Grupos'!$M:$M)</f>
        <v>HELDER DA SILVA BRUNKOW</v>
      </c>
      <c r="L48" s="5" t="str">
        <f t="shared" si="2"/>
        <v/>
      </c>
      <c r="M48" s="5" t="str">
        <f>_xlfn.XLOOKUP($N48,'Base de Grupos'!$A:$A,'Base de Grupos'!$C:$C)</f>
        <v>CE</v>
      </c>
      <c r="N48" s="3">
        <v>1326</v>
      </c>
      <c r="O48" s="4" t="s">
        <v>226</v>
      </c>
      <c r="P48" s="5" t="s">
        <v>108</v>
      </c>
      <c r="Q48" s="24">
        <v>0</v>
      </c>
      <c r="R48" s="24">
        <v>0</v>
      </c>
      <c r="S48" s="24">
        <v>0</v>
      </c>
      <c r="T48" s="24">
        <v>0</v>
      </c>
      <c r="U48" s="24">
        <v>0</v>
      </c>
      <c r="V48" s="24">
        <v>0</v>
      </c>
      <c r="W48" s="24">
        <v>0</v>
      </c>
      <c r="X48" s="24">
        <v>0</v>
      </c>
      <c r="Y48" s="24">
        <v>0</v>
      </c>
      <c r="Z48" s="24">
        <v>0</v>
      </c>
      <c r="AA48" s="24">
        <v>0</v>
      </c>
      <c r="AB48" s="24">
        <v>0</v>
      </c>
      <c r="AC48" s="30">
        <f t="shared" ref="AC48:AC68" si="26">SUM(T48:AB48)</f>
        <v>0</v>
      </c>
      <c r="AD48" s="27">
        <f t="shared" si="20"/>
        <v>0</v>
      </c>
      <c r="AE48" s="25">
        <f>IFERROR(_xlfn.XLOOKUP(N48&amp;P48,'Historico Vendas'!G:G,'Historico Vendas'!E:E),0)</f>
        <v>0</v>
      </c>
      <c r="AF48" s="29" t="str">
        <f t="shared" si="6"/>
        <v/>
      </c>
      <c r="AG48" s="24">
        <f>IFERROR(_xlfn.XLOOKUP(N48&amp;P48,'Historico Vendas'!G:G,'Historico Vendas'!F:F),0)</f>
        <v>0</v>
      </c>
      <c r="AH48" s="25">
        <f t="shared" si="21"/>
        <v>0</v>
      </c>
      <c r="AI48" s="24">
        <f t="shared" si="22"/>
        <v>0</v>
      </c>
      <c r="AJ48" s="11" t="str">
        <f t="shared" si="7"/>
        <v/>
      </c>
      <c r="AK48" s="9" t="s">
        <v>102</v>
      </c>
      <c r="AL48" s="13">
        <f>IFERROR(INDEX('Balizador da Meta'!$D$3:$F$23,MATCH(Quantidade!$P48,'Balizador da Meta'!$C$3:$C$23,0),MATCH(Quantidade!AK48,'Balizador da Meta'!$D$2:$F$2,0)),"")</f>
        <v>0</v>
      </c>
      <c r="AM48" s="9"/>
    </row>
    <row r="49" spans="1:39" x14ac:dyDescent="0.3">
      <c r="A49" s="2" t="str">
        <f t="shared" si="1"/>
        <v>NÃO</v>
      </c>
      <c r="B49" s="2" t="str">
        <f>_xlfn.XLOOKUP($N49,'Base de Grupos'!$A:$A,'Base de Grupos'!$D:$D)</f>
        <v>1000065763</v>
      </c>
      <c r="C49" s="5" t="str">
        <f>_xlfn.XLOOKUP($N49,'Base de Grupos'!$A:$A,'Base de Grupos'!$E:$E)</f>
        <v>CANAL VENDA INTERNA</v>
      </c>
      <c r="D49" s="5" t="str">
        <f>_xlfn.XLOOKUP($N49,'Base de Grupos'!$A:$A,'Base de Grupos'!$F:$F)</f>
        <v>1000065763</v>
      </c>
      <c r="E49" s="2" t="str">
        <f>_xlfn.XLOOKUP($N49,'Base de Grupos'!$A:$A,'Base de Grupos'!$G:$G)</f>
        <v>CANAL VENDA INTERNA</v>
      </c>
      <c r="F49" s="2" t="str">
        <f>_xlfn.XLOOKUP($N49,'Base de Grupos'!$A:$A,'Base de Grupos'!$H:$H)</f>
        <v>1000105900</v>
      </c>
      <c r="G49" s="5" t="str">
        <f>_xlfn.XLOOKUP($N49,'Base de Grupos'!$A:$A,'Base de Grupos'!$I:$I)</f>
        <v>REGIONAL VENDA DIRETA CO + NE + NO</v>
      </c>
      <c r="H49" s="5" t="str">
        <f>_xlfn.XLOOKUP($N49,'Base de Grupos'!$A:$A,'Base de Grupos'!$J:$J)</f>
        <v>1000105900</v>
      </c>
      <c r="I49" s="2" t="str">
        <f>_xlfn.XLOOKUP($N49,'Base de Grupos'!$A:$A,'Base de Grupos'!$K:$K)</f>
        <v>REGIONAL VENDA DIRETA CO + NE + NO</v>
      </c>
      <c r="J49" s="2" t="str">
        <f>_xlfn.XLOOKUP($N49,'Base de Grupos'!$A:$A,'Base de Grupos'!$L:$L)</f>
        <v>1000150135</v>
      </c>
      <c r="K49" s="5" t="str">
        <f>_xlfn.XLOOKUP($N49,'Base de Grupos'!$A:$A,'Base de Grupos'!$M:$M)</f>
        <v>HELDER DA SILVA BRUNKOW</v>
      </c>
      <c r="L49" s="5" t="str">
        <f t="shared" si="2"/>
        <v/>
      </c>
      <c r="M49" s="5" t="str">
        <f>_xlfn.XLOOKUP($N49,'Base de Grupos'!$A:$A,'Base de Grupos'!$C:$C)</f>
        <v>CE</v>
      </c>
      <c r="N49" s="3">
        <v>1326</v>
      </c>
      <c r="O49" s="4" t="s">
        <v>226</v>
      </c>
      <c r="P49" s="5" t="s">
        <v>89</v>
      </c>
      <c r="Q49" s="24">
        <v>0</v>
      </c>
      <c r="R49" s="24">
        <v>0</v>
      </c>
      <c r="S49" s="24">
        <v>0</v>
      </c>
      <c r="T49" s="24">
        <v>0</v>
      </c>
      <c r="U49" s="24">
        <v>0</v>
      </c>
      <c r="V49" s="24">
        <v>0</v>
      </c>
      <c r="W49" s="24">
        <v>0</v>
      </c>
      <c r="X49" s="24">
        <v>0</v>
      </c>
      <c r="Y49" s="24">
        <v>0</v>
      </c>
      <c r="Z49" s="24">
        <v>0</v>
      </c>
      <c r="AA49" s="24">
        <v>0</v>
      </c>
      <c r="AB49" s="24">
        <v>0</v>
      </c>
      <c r="AC49" s="30">
        <f t="shared" si="26"/>
        <v>0</v>
      </c>
      <c r="AD49" s="27">
        <f t="shared" si="20"/>
        <v>0</v>
      </c>
      <c r="AE49" s="25">
        <f>IFERROR(_xlfn.XLOOKUP(N49&amp;P49,'Historico Vendas'!G:G,'Historico Vendas'!E:E),0)</f>
        <v>0</v>
      </c>
      <c r="AF49" s="29" t="str">
        <f t="shared" si="6"/>
        <v/>
      </c>
      <c r="AG49" s="24">
        <f>IFERROR(_xlfn.XLOOKUP(N49&amp;P49,'Historico Vendas'!G:G,'Historico Vendas'!F:F),0)</f>
        <v>0</v>
      </c>
      <c r="AH49" s="25">
        <f t="shared" si="21"/>
        <v>0</v>
      </c>
      <c r="AI49" s="24">
        <f t="shared" si="22"/>
        <v>0</v>
      </c>
      <c r="AJ49" s="11" t="str">
        <f t="shared" si="7"/>
        <v/>
      </c>
      <c r="AK49" s="9" t="s">
        <v>102</v>
      </c>
      <c r="AL49" s="13">
        <f>IFERROR(INDEX('Balizador da Meta'!$D$3:$F$23,MATCH(Quantidade!$P49,'Balizador da Meta'!$C$3:$C$23,0),MATCH(Quantidade!AK49,'Balizador da Meta'!$D$2:$F$2,0)),"")</f>
        <v>0.25</v>
      </c>
      <c r="AM49" s="9"/>
    </row>
    <row r="50" spans="1:39" x14ac:dyDescent="0.3">
      <c r="A50" s="2" t="str">
        <f t="shared" si="1"/>
        <v>NÃO</v>
      </c>
      <c r="B50" s="2" t="str">
        <f>_xlfn.XLOOKUP($N50,'Base de Grupos'!$A:$A,'Base de Grupos'!$D:$D)</f>
        <v>1000065763</v>
      </c>
      <c r="C50" s="5" t="str">
        <f>_xlfn.XLOOKUP($N50,'Base de Grupos'!$A:$A,'Base de Grupos'!$E:$E)</f>
        <v>CANAL VENDA INTERNA</v>
      </c>
      <c r="D50" s="5" t="str">
        <f>_xlfn.XLOOKUP($N50,'Base de Grupos'!$A:$A,'Base de Grupos'!$F:$F)</f>
        <v>1000065763</v>
      </c>
      <c r="E50" s="2" t="str">
        <f>_xlfn.XLOOKUP($N50,'Base de Grupos'!$A:$A,'Base de Grupos'!$G:$G)</f>
        <v>CANAL VENDA INTERNA</v>
      </c>
      <c r="F50" s="2" t="str">
        <f>_xlfn.XLOOKUP($N50,'Base de Grupos'!$A:$A,'Base de Grupos'!$H:$H)</f>
        <v>1000105900</v>
      </c>
      <c r="G50" s="5" t="str">
        <f>_xlfn.XLOOKUP($N50,'Base de Grupos'!$A:$A,'Base de Grupos'!$I:$I)</f>
        <v>REGIONAL VENDA DIRETA CO + NE + NO</v>
      </c>
      <c r="H50" s="5" t="str">
        <f>_xlfn.XLOOKUP($N50,'Base de Grupos'!$A:$A,'Base de Grupos'!$J:$J)</f>
        <v>1000105900</v>
      </c>
      <c r="I50" s="2" t="str">
        <f>_xlfn.XLOOKUP($N50,'Base de Grupos'!$A:$A,'Base de Grupos'!$K:$K)</f>
        <v>REGIONAL VENDA DIRETA CO + NE + NO</v>
      </c>
      <c r="J50" s="2" t="str">
        <f>_xlfn.XLOOKUP($N50,'Base de Grupos'!$A:$A,'Base de Grupos'!$L:$L)</f>
        <v>1000150135</v>
      </c>
      <c r="K50" s="5" t="str">
        <f>_xlfn.XLOOKUP($N50,'Base de Grupos'!$A:$A,'Base de Grupos'!$M:$M)</f>
        <v>HELDER DA SILVA BRUNKOW</v>
      </c>
      <c r="L50" s="5" t="str">
        <f t="shared" si="2"/>
        <v/>
      </c>
      <c r="M50" s="5" t="str">
        <f>_xlfn.XLOOKUP($N50,'Base de Grupos'!$A:$A,'Base de Grupos'!$C:$C)</f>
        <v>CE</v>
      </c>
      <c r="N50" s="3">
        <v>1326</v>
      </c>
      <c r="O50" s="4" t="s">
        <v>226</v>
      </c>
      <c r="P50" s="5" t="s">
        <v>88</v>
      </c>
      <c r="Q50" s="24">
        <v>0</v>
      </c>
      <c r="R50" s="24">
        <v>0</v>
      </c>
      <c r="S50" s="24">
        <v>0</v>
      </c>
      <c r="T50" s="24">
        <v>0</v>
      </c>
      <c r="U50" s="24">
        <v>0</v>
      </c>
      <c r="V50" s="24">
        <v>0</v>
      </c>
      <c r="W50" s="24">
        <v>0</v>
      </c>
      <c r="X50" s="24">
        <v>0</v>
      </c>
      <c r="Y50" s="24">
        <v>0</v>
      </c>
      <c r="Z50" s="24">
        <v>0</v>
      </c>
      <c r="AA50" s="24">
        <v>0</v>
      </c>
      <c r="AB50" s="24">
        <v>0</v>
      </c>
      <c r="AC50" s="30">
        <f t="shared" si="26"/>
        <v>0</v>
      </c>
      <c r="AD50" s="27">
        <f t="shared" si="20"/>
        <v>0</v>
      </c>
      <c r="AE50" s="25">
        <f>IFERROR(_xlfn.XLOOKUP(N50&amp;P50,'Historico Vendas'!G:G,'Historico Vendas'!E:E),0)</f>
        <v>0</v>
      </c>
      <c r="AF50" s="29" t="str">
        <f t="shared" si="6"/>
        <v/>
      </c>
      <c r="AG50" s="24">
        <f>IFERROR(_xlfn.XLOOKUP(N50&amp;P50,'Historico Vendas'!G:G,'Historico Vendas'!F:F),0)</f>
        <v>0</v>
      </c>
      <c r="AH50" s="25">
        <f t="shared" si="21"/>
        <v>0</v>
      </c>
      <c r="AI50" s="24">
        <f t="shared" si="22"/>
        <v>0</v>
      </c>
      <c r="AJ50" s="11" t="str">
        <f t="shared" si="7"/>
        <v/>
      </c>
      <c r="AK50" s="9" t="s">
        <v>102</v>
      </c>
      <c r="AL50" s="13">
        <f>IFERROR(INDEX('Balizador da Meta'!$D$3:$F$23,MATCH(Quantidade!$P50,'Balizador da Meta'!$C$3:$C$23,0),MATCH(Quantidade!AK50,'Balizador da Meta'!$D$2:$F$2,0)),"")</f>
        <v>0</v>
      </c>
      <c r="AM50" s="9"/>
    </row>
    <row r="51" spans="1:39" x14ac:dyDescent="0.3">
      <c r="A51" s="2" t="str">
        <f t="shared" si="1"/>
        <v>NÃO</v>
      </c>
      <c r="B51" s="2" t="str">
        <f>_xlfn.XLOOKUP($N51,'Base de Grupos'!$A:$A,'Base de Grupos'!$D:$D)</f>
        <v>1000065763</v>
      </c>
      <c r="C51" s="5" t="str">
        <f>_xlfn.XLOOKUP($N51,'Base de Grupos'!$A:$A,'Base de Grupos'!$E:$E)</f>
        <v>CANAL VENDA INTERNA</v>
      </c>
      <c r="D51" s="5" t="str">
        <f>_xlfn.XLOOKUP($N51,'Base de Grupos'!$A:$A,'Base de Grupos'!$F:$F)</f>
        <v>1000065763</v>
      </c>
      <c r="E51" s="2" t="str">
        <f>_xlfn.XLOOKUP($N51,'Base de Grupos'!$A:$A,'Base de Grupos'!$G:$G)</f>
        <v>CANAL VENDA INTERNA</v>
      </c>
      <c r="F51" s="2" t="str">
        <f>_xlfn.XLOOKUP($N51,'Base de Grupos'!$A:$A,'Base de Grupos'!$H:$H)</f>
        <v>1000105900</v>
      </c>
      <c r="G51" s="5" t="str">
        <f>_xlfn.XLOOKUP($N51,'Base de Grupos'!$A:$A,'Base de Grupos'!$I:$I)</f>
        <v>REGIONAL VENDA DIRETA CO + NE + NO</v>
      </c>
      <c r="H51" s="5" t="str">
        <f>_xlfn.XLOOKUP($N51,'Base de Grupos'!$A:$A,'Base de Grupos'!$J:$J)</f>
        <v>1000105900</v>
      </c>
      <c r="I51" s="2" t="str">
        <f>_xlfn.XLOOKUP($N51,'Base de Grupos'!$A:$A,'Base de Grupos'!$K:$K)</f>
        <v>REGIONAL VENDA DIRETA CO + NE + NO</v>
      </c>
      <c r="J51" s="2" t="str">
        <f>_xlfn.XLOOKUP($N51,'Base de Grupos'!$A:$A,'Base de Grupos'!$L:$L)</f>
        <v>1000150135</v>
      </c>
      <c r="K51" s="5" t="str">
        <f>_xlfn.XLOOKUP($N51,'Base de Grupos'!$A:$A,'Base de Grupos'!$M:$M)</f>
        <v>HELDER DA SILVA BRUNKOW</v>
      </c>
      <c r="L51" s="5" t="str">
        <f t="shared" si="2"/>
        <v/>
      </c>
      <c r="M51" s="5" t="str">
        <f>_xlfn.XLOOKUP($N51,'Base de Grupos'!$A:$A,'Base de Grupos'!$C:$C)</f>
        <v>CE</v>
      </c>
      <c r="N51" s="3">
        <v>1326</v>
      </c>
      <c r="O51" s="4" t="s">
        <v>226</v>
      </c>
      <c r="P51" s="5" t="s">
        <v>90</v>
      </c>
      <c r="Q51" s="24">
        <v>0</v>
      </c>
      <c r="R51" s="24">
        <v>0</v>
      </c>
      <c r="S51" s="24">
        <v>0</v>
      </c>
      <c r="T51" s="24">
        <v>0</v>
      </c>
      <c r="U51" s="24">
        <v>0</v>
      </c>
      <c r="V51" s="24">
        <v>0</v>
      </c>
      <c r="W51" s="24">
        <v>0</v>
      </c>
      <c r="X51" s="24">
        <v>0</v>
      </c>
      <c r="Y51" s="24">
        <v>0</v>
      </c>
      <c r="Z51" s="24">
        <v>0</v>
      </c>
      <c r="AA51" s="24">
        <v>0</v>
      </c>
      <c r="AB51" s="24">
        <v>0</v>
      </c>
      <c r="AC51" s="30">
        <f t="shared" si="26"/>
        <v>0</v>
      </c>
      <c r="AD51" s="27">
        <f t="shared" si="20"/>
        <v>0</v>
      </c>
      <c r="AE51" s="25">
        <f>IFERROR(_xlfn.XLOOKUP(N51&amp;P51,'Historico Vendas'!G:G,'Historico Vendas'!E:E),0)</f>
        <v>0</v>
      </c>
      <c r="AF51" s="29" t="str">
        <f t="shared" si="6"/>
        <v/>
      </c>
      <c r="AG51" s="24">
        <f>IFERROR(_xlfn.XLOOKUP(N51&amp;P51,'Historico Vendas'!G:G,'Historico Vendas'!F:F),0)</f>
        <v>0</v>
      </c>
      <c r="AH51" s="25">
        <f t="shared" si="21"/>
        <v>0</v>
      </c>
      <c r="AI51" s="24">
        <f t="shared" si="22"/>
        <v>0</v>
      </c>
      <c r="AJ51" s="11" t="str">
        <f t="shared" si="7"/>
        <v/>
      </c>
      <c r="AK51" s="9" t="s">
        <v>102</v>
      </c>
      <c r="AL51" s="13">
        <f>IFERROR(INDEX('Balizador da Meta'!$D$3:$F$23,MATCH(Quantidade!$P51,'Balizador da Meta'!$C$3:$C$23,0),MATCH(Quantidade!AK51,'Balizador da Meta'!$D$2:$F$2,0)),"")</f>
        <v>0</v>
      </c>
      <c r="AM51" s="9"/>
    </row>
    <row r="52" spans="1:39" x14ac:dyDescent="0.3">
      <c r="A52" s="2" t="str">
        <f t="shared" si="1"/>
        <v>NÃO</v>
      </c>
      <c r="B52" s="2" t="str">
        <f>_xlfn.XLOOKUP($N52,'Base de Grupos'!$A:$A,'Base de Grupos'!$D:$D)</f>
        <v>1000065763</v>
      </c>
      <c r="C52" s="5" t="str">
        <f>_xlfn.XLOOKUP($N52,'Base de Grupos'!$A:$A,'Base de Grupos'!$E:$E)</f>
        <v>CANAL VENDA INTERNA</v>
      </c>
      <c r="D52" s="5" t="str">
        <f>_xlfn.XLOOKUP($N52,'Base de Grupos'!$A:$A,'Base de Grupos'!$F:$F)</f>
        <v>1000065763</v>
      </c>
      <c r="E52" s="2" t="str">
        <f>_xlfn.XLOOKUP($N52,'Base de Grupos'!$A:$A,'Base de Grupos'!$G:$G)</f>
        <v>CANAL VENDA INTERNA</v>
      </c>
      <c r="F52" s="2" t="str">
        <f>_xlfn.XLOOKUP($N52,'Base de Grupos'!$A:$A,'Base de Grupos'!$H:$H)</f>
        <v>1000105900</v>
      </c>
      <c r="G52" s="5" t="str">
        <f>_xlfn.XLOOKUP($N52,'Base de Grupos'!$A:$A,'Base de Grupos'!$I:$I)</f>
        <v>REGIONAL VENDA DIRETA CO + NE + NO</v>
      </c>
      <c r="H52" s="5" t="str">
        <f>_xlfn.XLOOKUP($N52,'Base de Grupos'!$A:$A,'Base de Grupos'!$J:$J)</f>
        <v>1000105900</v>
      </c>
      <c r="I52" s="2" t="str">
        <f>_xlfn.XLOOKUP($N52,'Base de Grupos'!$A:$A,'Base de Grupos'!$K:$K)</f>
        <v>REGIONAL VENDA DIRETA CO + NE + NO</v>
      </c>
      <c r="J52" s="2" t="str">
        <f>_xlfn.XLOOKUP($N52,'Base de Grupos'!$A:$A,'Base de Grupos'!$L:$L)</f>
        <v>1000150135</v>
      </c>
      <c r="K52" s="5" t="str">
        <f>_xlfn.XLOOKUP($N52,'Base de Grupos'!$A:$A,'Base de Grupos'!$M:$M)</f>
        <v>HELDER DA SILVA BRUNKOW</v>
      </c>
      <c r="L52" s="5" t="str">
        <f t="shared" si="2"/>
        <v/>
      </c>
      <c r="M52" s="5" t="str">
        <f>_xlfn.XLOOKUP($N52,'Base de Grupos'!$A:$A,'Base de Grupos'!$C:$C)</f>
        <v>CE</v>
      </c>
      <c r="N52" s="3">
        <v>1326</v>
      </c>
      <c r="O52" s="4" t="s">
        <v>226</v>
      </c>
      <c r="P52" s="5" t="s">
        <v>91</v>
      </c>
      <c r="Q52" s="24">
        <v>0</v>
      </c>
      <c r="R52" s="24">
        <v>0</v>
      </c>
      <c r="S52" s="24">
        <v>0</v>
      </c>
      <c r="T52" s="24">
        <v>0</v>
      </c>
      <c r="U52" s="24">
        <v>0</v>
      </c>
      <c r="V52" s="24">
        <v>0</v>
      </c>
      <c r="W52" s="24">
        <v>0</v>
      </c>
      <c r="X52" s="24">
        <v>0</v>
      </c>
      <c r="Y52" s="24">
        <v>0</v>
      </c>
      <c r="Z52" s="24">
        <v>0</v>
      </c>
      <c r="AA52" s="24">
        <v>0</v>
      </c>
      <c r="AB52" s="24">
        <v>0</v>
      </c>
      <c r="AC52" s="30">
        <f t="shared" si="26"/>
        <v>0</v>
      </c>
      <c r="AD52" s="27">
        <f t="shared" si="20"/>
        <v>0</v>
      </c>
      <c r="AE52" s="25">
        <f>IFERROR(_xlfn.XLOOKUP(N52&amp;P52,'Historico Vendas'!G:G,'Historico Vendas'!E:E),0)</f>
        <v>0</v>
      </c>
      <c r="AF52" s="29" t="str">
        <f t="shared" si="6"/>
        <v/>
      </c>
      <c r="AG52" s="24">
        <f>IFERROR(_xlfn.XLOOKUP(N52&amp;P52,'Historico Vendas'!G:G,'Historico Vendas'!F:F),0)</f>
        <v>0</v>
      </c>
      <c r="AH52" s="25">
        <f t="shared" si="21"/>
        <v>0</v>
      </c>
      <c r="AI52" s="24">
        <f t="shared" si="22"/>
        <v>0</v>
      </c>
      <c r="AJ52" s="11" t="str">
        <f t="shared" si="7"/>
        <v/>
      </c>
      <c r="AK52" s="9" t="s">
        <v>102</v>
      </c>
      <c r="AL52" s="13">
        <f>IFERROR(INDEX('Balizador da Meta'!$D$3:$F$23,MATCH(Quantidade!$P52,'Balizador da Meta'!$C$3:$C$23,0),MATCH(Quantidade!AK52,'Balizador da Meta'!$D$2:$F$2,0)),"")</f>
        <v>0</v>
      </c>
      <c r="AM52" s="9"/>
    </row>
    <row r="53" spans="1:39" x14ac:dyDescent="0.3">
      <c r="A53" s="2" t="str">
        <f t="shared" si="1"/>
        <v>NÃO</v>
      </c>
      <c r="B53" s="2" t="str">
        <f>_xlfn.XLOOKUP($N53,'Base de Grupos'!$A:$A,'Base de Grupos'!$D:$D)</f>
        <v>1000065763</v>
      </c>
      <c r="C53" s="5" t="str">
        <f>_xlfn.XLOOKUP($N53,'Base de Grupos'!$A:$A,'Base de Grupos'!$E:$E)</f>
        <v>CANAL VENDA INTERNA</v>
      </c>
      <c r="D53" s="5" t="str">
        <f>_xlfn.XLOOKUP($N53,'Base de Grupos'!$A:$A,'Base de Grupos'!$F:$F)</f>
        <v>1000065763</v>
      </c>
      <c r="E53" s="2" t="str">
        <f>_xlfn.XLOOKUP($N53,'Base de Grupos'!$A:$A,'Base de Grupos'!$G:$G)</f>
        <v>CANAL VENDA INTERNA</v>
      </c>
      <c r="F53" s="2" t="str">
        <f>_xlfn.XLOOKUP($N53,'Base de Grupos'!$A:$A,'Base de Grupos'!$H:$H)</f>
        <v>1000105900</v>
      </c>
      <c r="G53" s="5" t="str">
        <f>_xlfn.XLOOKUP($N53,'Base de Grupos'!$A:$A,'Base de Grupos'!$I:$I)</f>
        <v>REGIONAL VENDA DIRETA CO + NE + NO</v>
      </c>
      <c r="H53" s="5" t="str">
        <f>_xlfn.XLOOKUP($N53,'Base de Grupos'!$A:$A,'Base de Grupos'!$J:$J)</f>
        <v>1000105900</v>
      </c>
      <c r="I53" s="2" t="str">
        <f>_xlfn.XLOOKUP($N53,'Base de Grupos'!$A:$A,'Base de Grupos'!$K:$K)</f>
        <v>REGIONAL VENDA DIRETA CO + NE + NO</v>
      </c>
      <c r="J53" s="2" t="str">
        <f>_xlfn.XLOOKUP($N53,'Base de Grupos'!$A:$A,'Base de Grupos'!$L:$L)</f>
        <v>1000150135</v>
      </c>
      <c r="K53" s="5" t="str">
        <f>_xlfn.XLOOKUP($N53,'Base de Grupos'!$A:$A,'Base de Grupos'!$M:$M)</f>
        <v>HELDER DA SILVA BRUNKOW</v>
      </c>
      <c r="L53" s="5" t="str">
        <f t="shared" si="2"/>
        <v/>
      </c>
      <c r="M53" s="5" t="str">
        <f>_xlfn.XLOOKUP($N53,'Base de Grupos'!$A:$A,'Base de Grupos'!$C:$C)</f>
        <v>CE</v>
      </c>
      <c r="N53" s="3">
        <v>1326</v>
      </c>
      <c r="O53" s="4" t="s">
        <v>226</v>
      </c>
      <c r="P53" s="5" t="s">
        <v>96</v>
      </c>
      <c r="Q53" s="24">
        <v>0</v>
      </c>
      <c r="R53" s="24">
        <v>0</v>
      </c>
      <c r="S53" s="24">
        <v>0</v>
      </c>
      <c r="T53" s="24">
        <v>0</v>
      </c>
      <c r="U53" s="24">
        <v>0</v>
      </c>
      <c r="V53" s="24">
        <v>0</v>
      </c>
      <c r="W53" s="24">
        <v>0</v>
      </c>
      <c r="X53" s="24">
        <v>0</v>
      </c>
      <c r="Y53" s="24">
        <v>0</v>
      </c>
      <c r="Z53" s="24">
        <v>0</v>
      </c>
      <c r="AA53" s="24">
        <v>0</v>
      </c>
      <c r="AB53" s="24">
        <v>0</v>
      </c>
      <c r="AC53" s="30">
        <f t="shared" si="26"/>
        <v>0</v>
      </c>
      <c r="AD53" s="27">
        <f t="shared" si="20"/>
        <v>0</v>
      </c>
      <c r="AE53" s="25">
        <f>IFERROR(_xlfn.XLOOKUP(N53&amp;P53,'Historico Vendas'!G:G,'Historico Vendas'!E:E),0)</f>
        <v>0</v>
      </c>
      <c r="AF53" s="29" t="str">
        <f t="shared" si="6"/>
        <v/>
      </c>
      <c r="AG53" s="24">
        <f>IFERROR(_xlfn.XLOOKUP(N53&amp;P53,'Historico Vendas'!G:G,'Historico Vendas'!F:F),0)</f>
        <v>0</v>
      </c>
      <c r="AH53" s="25">
        <f t="shared" si="21"/>
        <v>0</v>
      </c>
      <c r="AI53" s="24">
        <f t="shared" si="22"/>
        <v>0</v>
      </c>
      <c r="AJ53" s="11" t="str">
        <f t="shared" si="7"/>
        <v/>
      </c>
      <c r="AK53" s="9" t="s">
        <v>102</v>
      </c>
      <c r="AL53" s="13">
        <f>IFERROR(INDEX('Balizador da Meta'!$D$3:$F$23,MATCH(Quantidade!$P53,'Balizador da Meta'!$C$3:$C$23,0),MATCH(Quantidade!AK53,'Balizador da Meta'!$D$2:$F$2,0)),"")</f>
        <v>0</v>
      </c>
      <c r="AM53" s="9"/>
    </row>
    <row r="54" spans="1:39" x14ac:dyDescent="0.3">
      <c r="A54" s="2" t="str">
        <f t="shared" si="1"/>
        <v>NÃO</v>
      </c>
      <c r="B54" s="2" t="str">
        <f>_xlfn.XLOOKUP($N54,'Base de Grupos'!$A:$A,'Base de Grupos'!$D:$D)</f>
        <v>1000065763</v>
      </c>
      <c r="C54" s="5" t="str">
        <f>_xlfn.XLOOKUP($N54,'Base de Grupos'!$A:$A,'Base de Grupos'!$E:$E)</f>
        <v>CANAL VENDA INTERNA</v>
      </c>
      <c r="D54" s="5" t="str">
        <f>_xlfn.XLOOKUP($N54,'Base de Grupos'!$A:$A,'Base de Grupos'!$F:$F)</f>
        <v>1000065763</v>
      </c>
      <c r="E54" s="2" t="str">
        <f>_xlfn.XLOOKUP($N54,'Base de Grupos'!$A:$A,'Base de Grupos'!$G:$G)</f>
        <v>CANAL VENDA INTERNA</v>
      </c>
      <c r="F54" s="2" t="str">
        <f>_xlfn.XLOOKUP($N54,'Base de Grupos'!$A:$A,'Base de Grupos'!$H:$H)</f>
        <v>1000105900</v>
      </c>
      <c r="G54" s="5" t="str">
        <f>_xlfn.XLOOKUP($N54,'Base de Grupos'!$A:$A,'Base de Grupos'!$I:$I)</f>
        <v>REGIONAL VENDA DIRETA CO + NE + NO</v>
      </c>
      <c r="H54" s="5" t="str">
        <f>_xlfn.XLOOKUP($N54,'Base de Grupos'!$A:$A,'Base de Grupos'!$J:$J)</f>
        <v>1000105900</v>
      </c>
      <c r="I54" s="2" t="str">
        <f>_xlfn.XLOOKUP($N54,'Base de Grupos'!$A:$A,'Base de Grupos'!$K:$K)</f>
        <v>REGIONAL VENDA DIRETA CO + NE + NO</v>
      </c>
      <c r="J54" s="2" t="str">
        <f>_xlfn.XLOOKUP($N54,'Base de Grupos'!$A:$A,'Base de Grupos'!$L:$L)</f>
        <v>1000150135</v>
      </c>
      <c r="K54" s="5" t="str">
        <f>_xlfn.XLOOKUP($N54,'Base de Grupos'!$A:$A,'Base de Grupos'!$M:$M)</f>
        <v>HELDER DA SILVA BRUNKOW</v>
      </c>
      <c r="L54" s="5" t="str">
        <f t="shared" si="2"/>
        <v/>
      </c>
      <c r="M54" s="5" t="str">
        <f>_xlfn.XLOOKUP($N54,'Base de Grupos'!$A:$A,'Base de Grupos'!$C:$C)</f>
        <v>CE</v>
      </c>
      <c r="N54" s="3">
        <v>1326</v>
      </c>
      <c r="O54" s="4" t="s">
        <v>226</v>
      </c>
      <c r="P54" s="5" t="s">
        <v>94</v>
      </c>
      <c r="Q54" s="24">
        <v>0</v>
      </c>
      <c r="R54" s="24">
        <v>0</v>
      </c>
      <c r="S54" s="24">
        <v>0</v>
      </c>
      <c r="T54" s="24">
        <v>0</v>
      </c>
      <c r="U54" s="24">
        <v>0</v>
      </c>
      <c r="V54" s="24">
        <v>0</v>
      </c>
      <c r="W54" s="24">
        <v>0</v>
      </c>
      <c r="X54" s="24">
        <v>0</v>
      </c>
      <c r="Y54" s="24">
        <v>0</v>
      </c>
      <c r="Z54" s="24">
        <v>0</v>
      </c>
      <c r="AA54" s="24">
        <v>0</v>
      </c>
      <c r="AB54" s="24">
        <v>0</v>
      </c>
      <c r="AC54" s="30">
        <f t="shared" si="26"/>
        <v>0</v>
      </c>
      <c r="AD54" s="27">
        <f t="shared" si="20"/>
        <v>0</v>
      </c>
      <c r="AE54" s="25">
        <f>IFERROR(_xlfn.XLOOKUP(N54&amp;P54,'Historico Vendas'!G:G,'Historico Vendas'!E:E),0)</f>
        <v>0</v>
      </c>
      <c r="AF54" s="29" t="str">
        <f t="shared" si="6"/>
        <v/>
      </c>
      <c r="AG54" s="24">
        <f>IFERROR(_xlfn.XLOOKUP(N54&amp;P54,'Historico Vendas'!G:G,'Historico Vendas'!F:F),0)</f>
        <v>0</v>
      </c>
      <c r="AH54" s="25">
        <f t="shared" si="21"/>
        <v>0</v>
      </c>
      <c r="AI54" s="24">
        <f t="shared" si="22"/>
        <v>0</v>
      </c>
      <c r="AJ54" s="11" t="str">
        <f t="shared" si="7"/>
        <v/>
      </c>
      <c r="AK54" s="9" t="s">
        <v>102</v>
      </c>
      <c r="AL54" s="13">
        <f>IFERROR(INDEX('Balizador da Meta'!$D$3:$F$23,MATCH(Quantidade!$P54,'Balizador da Meta'!$C$3:$C$23,0),MATCH(Quantidade!AK54,'Balizador da Meta'!$D$2:$F$2,0)),"")</f>
        <v>0.25</v>
      </c>
      <c r="AM54" s="9"/>
    </row>
    <row r="55" spans="1:39" x14ac:dyDescent="0.3">
      <c r="A55" s="2" t="str">
        <f t="shared" si="1"/>
        <v>NÃO</v>
      </c>
      <c r="B55" s="2" t="str">
        <f>_xlfn.XLOOKUP($N55,'Base de Grupos'!$A:$A,'Base de Grupos'!$D:$D)</f>
        <v>1000065763</v>
      </c>
      <c r="C55" s="5" t="str">
        <f>_xlfn.XLOOKUP($N55,'Base de Grupos'!$A:$A,'Base de Grupos'!$E:$E)</f>
        <v>CANAL VENDA INTERNA</v>
      </c>
      <c r="D55" s="5" t="str">
        <f>_xlfn.XLOOKUP($N55,'Base de Grupos'!$A:$A,'Base de Grupos'!$F:$F)</f>
        <v>1000065763</v>
      </c>
      <c r="E55" s="2" t="str">
        <f>_xlfn.XLOOKUP($N55,'Base de Grupos'!$A:$A,'Base de Grupos'!$G:$G)</f>
        <v>CANAL VENDA INTERNA</v>
      </c>
      <c r="F55" s="2" t="str">
        <f>_xlfn.XLOOKUP($N55,'Base de Grupos'!$A:$A,'Base de Grupos'!$H:$H)</f>
        <v>1000105900</v>
      </c>
      <c r="G55" s="5" t="str">
        <f>_xlfn.XLOOKUP($N55,'Base de Grupos'!$A:$A,'Base de Grupos'!$I:$I)</f>
        <v>REGIONAL VENDA DIRETA CO + NE + NO</v>
      </c>
      <c r="H55" s="5" t="str">
        <f>_xlfn.XLOOKUP($N55,'Base de Grupos'!$A:$A,'Base de Grupos'!$J:$J)</f>
        <v>1000105900</v>
      </c>
      <c r="I55" s="2" t="str">
        <f>_xlfn.XLOOKUP($N55,'Base de Grupos'!$A:$A,'Base de Grupos'!$K:$K)</f>
        <v>REGIONAL VENDA DIRETA CO + NE + NO</v>
      </c>
      <c r="J55" s="2" t="str">
        <f>_xlfn.XLOOKUP($N55,'Base de Grupos'!$A:$A,'Base de Grupos'!$L:$L)</f>
        <v>1000150135</v>
      </c>
      <c r="K55" s="5" t="str">
        <f>_xlfn.XLOOKUP($N55,'Base de Grupos'!$A:$A,'Base de Grupos'!$M:$M)</f>
        <v>HELDER DA SILVA BRUNKOW</v>
      </c>
      <c r="L55" s="5" t="str">
        <f t="shared" si="2"/>
        <v/>
      </c>
      <c r="M55" s="5" t="str">
        <f>_xlfn.XLOOKUP($N55,'Base de Grupos'!$A:$A,'Base de Grupos'!$C:$C)</f>
        <v>CE</v>
      </c>
      <c r="N55" s="3">
        <v>1326</v>
      </c>
      <c r="O55" s="4" t="s">
        <v>226</v>
      </c>
      <c r="P55" s="5" t="s">
        <v>95</v>
      </c>
      <c r="Q55" s="24">
        <v>0</v>
      </c>
      <c r="R55" s="24">
        <v>0</v>
      </c>
      <c r="S55" s="24">
        <v>0</v>
      </c>
      <c r="T55" s="24">
        <v>0</v>
      </c>
      <c r="U55" s="24">
        <v>0</v>
      </c>
      <c r="V55" s="24">
        <v>0</v>
      </c>
      <c r="W55" s="24">
        <v>0</v>
      </c>
      <c r="X55" s="24">
        <v>0</v>
      </c>
      <c r="Y55" s="24">
        <v>0</v>
      </c>
      <c r="Z55" s="24">
        <v>0</v>
      </c>
      <c r="AA55" s="24">
        <v>0</v>
      </c>
      <c r="AB55" s="24">
        <v>0</v>
      </c>
      <c r="AC55" s="30">
        <f t="shared" si="26"/>
        <v>0</v>
      </c>
      <c r="AD55" s="27">
        <f t="shared" si="20"/>
        <v>0</v>
      </c>
      <c r="AE55" s="25">
        <f>IFERROR(_xlfn.XLOOKUP(N55&amp;P55,'Historico Vendas'!G:G,'Historico Vendas'!E:E),0)</f>
        <v>0</v>
      </c>
      <c r="AF55" s="29" t="str">
        <f t="shared" si="6"/>
        <v/>
      </c>
      <c r="AG55" s="24">
        <f>IFERROR(_xlfn.XLOOKUP(N55&amp;P55,'Historico Vendas'!G:G,'Historico Vendas'!F:F),0)</f>
        <v>0</v>
      </c>
      <c r="AH55" s="25">
        <f t="shared" si="21"/>
        <v>0</v>
      </c>
      <c r="AI55" s="24">
        <f t="shared" si="22"/>
        <v>0</v>
      </c>
      <c r="AJ55" s="11" t="str">
        <f t="shared" si="7"/>
        <v/>
      </c>
      <c r="AK55" s="9" t="s">
        <v>102</v>
      </c>
      <c r="AL55" s="13">
        <f>IFERROR(INDEX('Balizador da Meta'!$D$3:$F$23,MATCH(Quantidade!$P55,'Balizador da Meta'!$C$3:$C$23,0),MATCH(Quantidade!AK55,'Balizador da Meta'!$D$2:$F$2,0)),"")</f>
        <v>0.25</v>
      </c>
      <c r="AM55" s="9"/>
    </row>
    <row r="56" spans="1:39" x14ac:dyDescent="0.3">
      <c r="A56" s="2" t="str">
        <f t="shared" si="1"/>
        <v>NÃO</v>
      </c>
      <c r="B56" s="2" t="str">
        <f>_xlfn.XLOOKUP($N56,'Base de Grupos'!$A:$A,'Base de Grupos'!$D:$D)</f>
        <v>1000065763</v>
      </c>
      <c r="C56" s="5" t="str">
        <f>_xlfn.XLOOKUP($N56,'Base de Grupos'!$A:$A,'Base de Grupos'!$E:$E)</f>
        <v>CANAL VENDA INTERNA</v>
      </c>
      <c r="D56" s="5" t="str">
        <f>_xlfn.XLOOKUP($N56,'Base de Grupos'!$A:$A,'Base de Grupos'!$F:$F)</f>
        <v>1000065763</v>
      </c>
      <c r="E56" s="2" t="str">
        <f>_xlfn.XLOOKUP($N56,'Base de Grupos'!$A:$A,'Base de Grupos'!$G:$G)</f>
        <v>CANAL VENDA INTERNA</v>
      </c>
      <c r="F56" s="2" t="str">
        <f>_xlfn.XLOOKUP($N56,'Base de Grupos'!$A:$A,'Base de Grupos'!$H:$H)</f>
        <v>1000105900</v>
      </c>
      <c r="G56" s="5" t="str">
        <f>_xlfn.XLOOKUP($N56,'Base de Grupos'!$A:$A,'Base de Grupos'!$I:$I)</f>
        <v>REGIONAL VENDA DIRETA CO + NE + NO</v>
      </c>
      <c r="H56" s="5" t="str">
        <f>_xlfn.XLOOKUP($N56,'Base de Grupos'!$A:$A,'Base de Grupos'!$J:$J)</f>
        <v>1000105900</v>
      </c>
      <c r="I56" s="2" t="str">
        <f>_xlfn.XLOOKUP($N56,'Base de Grupos'!$A:$A,'Base de Grupos'!$K:$K)</f>
        <v>REGIONAL VENDA DIRETA CO + NE + NO</v>
      </c>
      <c r="J56" s="2" t="str">
        <f>_xlfn.XLOOKUP($N56,'Base de Grupos'!$A:$A,'Base de Grupos'!$L:$L)</f>
        <v>1000150135</v>
      </c>
      <c r="K56" s="5" t="str">
        <f>_xlfn.XLOOKUP($N56,'Base de Grupos'!$A:$A,'Base de Grupos'!$M:$M)</f>
        <v>HELDER DA SILVA BRUNKOW</v>
      </c>
      <c r="L56" s="5" t="str">
        <f t="shared" si="2"/>
        <v/>
      </c>
      <c r="M56" s="5" t="str">
        <f>_xlfn.XLOOKUP($N56,'Base de Grupos'!$A:$A,'Base de Grupos'!$C:$C)</f>
        <v>CE</v>
      </c>
      <c r="N56" s="3">
        <v>1326</v>
      </c>
      <c r="O56" s="4" t="s">
        <v>226</v>
      </c>
      <c r="P56" s="5" t="s">
        <v>93</v>
      </c>
      <c r="Q56" s="24">
        <v>0</v>
      </c>
      <c r="R56" s="24">
        <v>0</v>
      </c>
      <c r="S56" s="24">
        <v>0</v>
      </c>
      <c r="T56" s="24">
        <v>0</v>
      </c>
      <c r="U56" s="24">
        <v>0</v>
      </c>
      <c r="V56" s="24">
        <v>0</v>
      </c>
      <c r="W56" s="24">
        <v>0</v>
      </c>
      <c r="X56" s="24">
        <v>0</v>
      </c>
      <c r="Y56" s="24">
        <v>0</v>
      </c>
      <c r="Z56" s="24">
        <v>0</v>
      </c>
      <c r="AA56" s="24">
        <v>0</v>
      </c>
      <c r="AB56" s="24">
        <v>0</v>
      </c>
      <c r="AC56" s="30">
        <f t="shared" si="26"/>
        <v>0</v>
      </c>
      <c r="AD56" s="27">
        <f t="shared" si="20"/>
        <v>0</v>
      </c>
      <c r="AE56" s="25">
        <f>IFERROR(_xlfn.XLOOKUP(N56&amp;P56,'Historico Vendas'!G:G,'Historico Vendas'!E:E),0)</f>
        <v>0</v>
      </c>
      <c r="AF56" s="29" t="str">
        <f t="shared" si="6"/>
        <v/>
      </c>
      <c r="AG56" s="24">
        <f>IFERROR(_xlfn.XLOOKUP(N56&amp;P56,'Historico Vendas'!G:G,'Historico Vendas'!F:F),0)</f>
        <v>0</v>
      </c>
      <c r="AH56" s="25">
        <f t="shared" si="21"/>
        <v>0</v>
      </c>
      <c r="AI56" s="24">
        <f t="shared" si="22"/>
        <v>0</v>
      </c>
      <c r="AJ56" s="11" t="str">
        <f t="shared" si="7"/>
        <v/>
      </c>
      <c r="AK56" s="9" t="s">
        <v>102</v>
      </c>
      <c r="AL56" s="13">
        <f>IFERROR(INDEX('Balizador da Meta'!$D$3:$F$23,MATCH(Quantidade!$P56,'Balizador da Meta'!$C$3:$C$23,0),MATCH(Quantidade!AK56,'Balizador da Meta'!$D$2:$F$2,0)),"")</f>
        <v>0.2</v>
      </c>
      <c r="AM56" s="9"/>
    </row>
    <row r="57" spans="1:39" x14ac:dyDescent="0.3">
      <c r="A57" s="2" t="str">
        <f t="shared" si="1"/>
        <v>SIM</v>
      </c>
      <c r="B57" s="2" t="str">
        <f>_xlfn.XLOOKUP($N57,'Base de Grupos'!$A:$A,'Base de Grupos'!$D:$D)</f>
        <v>1000065763</v>
      </c>
      <c r="C57" s="5" t="str">
        <f>_xlfn.XLOOKUP($N57,'Base de Grupos'!$A:$A,'Base de Grupos'!$E:$E)</f>
        <v>CANAL VENDA INTERNA</v>
      </c>
      <c r="D57" s="5" t="str">
        <f>_xlfn.XLOOKUP($N57,'Base de Grupos'!$A:$A,'Base de Grupos'!$F:$F)</f>
        <v>1000065763</v>
      </c>
      <c r="E57" s="2" t="str">
        <f>_xlfn.XLOOKUP($N57,'Base de Grupos'!$A:$A,'Base de Grupos'!$G:$G)</f>
        <v>CANAL VENDA INTERNA</v>
      </c>
      <c r="F57" s="2" t="str">
        <f>_xlfn.XLOOKUP($N57,'Base de Grupos'!$A:$A,'Base de Grupos'!$H:$H)</f>
        <v>1000105900</v>
      </c>
      <c r="G57" s="5" t="str">
        <f>_xlfn.XLOOKUP($N57,'Base de Grupos'!$A:$A,'Base de Grupos'!$I:$I)</f>
        <v>REGIONAL VENDA DIRETA CO + NE + NO</v>
      </c>
      <c r="H57" s="5" t="str">
        <f>_xlfn.XLOOKUP($N57,'Base de Grupos'!$A:$A,'Base de Grupos'!$J:$J)</f>
        <v>1000105900</v>
      </c>
      <c r="I57" s="2" t="str">
        <f>_xlfn.XLOOKUP($N57,'Base de Grupos'!$A:$A,'Base de Grupos'!$K:$K)</f>
        <v>REGIONAL VENDA DIRETA CO + NE + NO</v>
      </c>
      <c r="J57" s="2" t="str">
        <f>_xlfn.XLOOKUP($N57,'Base de Grupos'!$A:$A,'Base de Grupos'!$L:$L)</f>
        <v>1000150135</v>
      </c>
      <c r="K57" s="5" t="str">
        <f>_xlfn.XLOOKUP($N57,'Base de Grupos'!$A:$A,'Base de Grupos'!$M:$M)</f>
        <v>HELDER DA SILVA BRUNKOW</v>
      </c>
      <c r="L57" s="5">
        <f t="shared" si="2"/>
        <v>1</v>
      </c>
      <c r="M57" s="5" t="str">
        <f>_xlfn.XLOOKUP($N57,'Base de Grupos'!$A:$A,'Base de Grupos'!$C:$C)</f>
        <v>PI</v>
      </c>
      <c r="N57" s="3">
        <v>1327</v>
      </c>
      <c r="O57" s="4" t="s">
        <v>227</v>
      </c>
      <c r="P57" s="5" t="s">
        <v>297</v>
      </c>
      <c r="Q57" s="24">
        <v>0</v>
      </c>
      <c r="R57" s="24">
        <v>0</v>
      </c>
      <c r="S57" s="24">
        <v>0</v>
      </c>
      <c r="T57" s="24">
        <v>0</v>
      </c>
      <c r="U57" s="24">
        <v>0</v>
      </c>
      <c r="V57" s="24">
        <v>0</v>
      </c>
      <c r="W57" s="24">
        <v>0</v>
      </c>
      <c r="X57" s="24">
        <v>0</v>
      </c>
      <c r="Y57" s="24">
        <v>0</v>
      </c>
      <c r="Z57" s="24">
        <v>0</v>
      </c>
      <c r="AA57" s="24">
        <v>0</v>
      </c>
      <c r="AB57" s="24">
        <v>0</v>
      </c>
      <c r="AC57" s="30">
        <f t="shared" si="26"/>
        <v>0</v>
      </c>
      <c r="AD57" s="26">
        <f t="shared" ref="AD57:AI57" si="27">SUM(AD58:AD74)</f>
        <v>0</v>
      </c>
      <c r="AE57" s="25">
        <f t="shared" si="27"/>
        <v>0</v>
      </c>
      <c r="AF57" s="11" t="str">
        <f>IFERROR((AC57-AE57)/AE57,"")</f>
        <v/>
      </c>
      <c r="AG57" s="24">
        <f t="shared" si="27"/>
        <v>0</v>
      </c>
      <c r="AH57" s="25">
        <f t="shared" si="27"/>
        <v>0</v>
      </c>
      <c r="AI57" s="24">
        <f t="shared" si="27"/>
        <v>0</v>
      </c>
      <c r="AJ57" s="11" t="str">
        <f t="shared" si="7"/>
        <v/>
      </c>
      <c r="AK57" s="9"/>
      <c r="AL57" s="13"/>
      <c r="AM57" s="9"/>
    </row>
    <row r="58" spans="1:39" x14ac:dyDescent="0.3">
      <c r="A58" s="2" t="str">
        <f t="shared" si="1"/>
        <v>NÃO</v>
      </c>
      <c r="B58" s="2" t="str">
        <f>_xlfn.XLOOKUP($N58,'Base de Grupos'!$A:$A,'Base de Grupos'!$D:$D)</f>
        <v>1000065763</v>
      </c>
      <c r="C58" s="5" t="str">
        <f>_xlfn.XLOOKUP($N58,'Base de Grupos'!$A:$A,'Base de Grupos'!$E:$E)</f>
        <v>CANAL VENDA INTERNA</v>
      </c>
      <c r="D58" s="5" t="str">
        <f>_xlfn.XLOOKUP($N58,'Base de Grupos'!$A:$A,'Base de Grupos'!$F:$F)</f>
        <v>1000065763</v>
      </c>
      <c r="E58" s="2" t="str">
        <f>_xlfn.XLOOKUP($N58,'Base de Grupos'!$A:$A,'Base de Grupos'!$G:$G)</f>
        <v>CANAL VENDA INTERNA</v>
      </c>
      <c r="F58" s="2" t="str">
        <f>_xlfn.XLOOKUP($N58,'Base de Grupos'!$A:$A,'Base de Grupos'!$H:$H)</f>
        <v>1000105900</v>
      </c>
      <c r="G58" s="5" t="str">
        <f>_xlfn.XLOOKUP($N58,'Base de Grupos'!$A:$A,'Base de Grupos'!$I:$I)</f>
        <v>REGIONAL VENDA DIRETA CO + NE + NO</v>
      </c>
      <c r="H58" s="5" t="str">
        <f>_xlfn.XLOOKUP($N58,'Base de Grupos'!$A:$A,'Base de Grupos'!$J:$J)</f>
        <v>1000105900</v>
      </c>
      <c r="I58" s="2" t="str">
        <f>_xlfn.XLOOKUP($N58,'Base de Grupos'!$A:$A,'Base de Grupos'!$K:$K)</f>
        <v>REGIONAL VENDA DIRETA CO + NE + NO</v>
      </c>
      <c r="J58" s="2" t="str">
        <f>_xlfn.XLOOKUP($N58,'Base de Grupos'!$A:$A,'Base de Grupos'!$L:$L)</f>
        <v>1000150135</v>
      </c>
      <c r="K58" s="5" t="str">
        <f>_xlfn.XLOOKUP($N58,'Base de Grupos'!$A:$A,'Base de Grupos'!$M:$M)</f>
        <v>HELDER DA SILVA BRUNKOW</v>
      </c>
      <c r="L58" s="5" t="str">
        <f t="shared" si="2"/>
        <v/>
      </c>
      <c r="M58" s="5" t="str">
        <f>_xlfn.XLOOKUP($N58,'Base de Grupos'!$A:$A,'Base de Grupos'!$C:$C)</f>
        <v>PI</v>
      </c>
      <c r="N58" s="3">
        <v>1327</v>
      </c>
      <c r="O58" s="4" t="s">
        <v>227</v>
      </c>
      <c r="P58" s="5" t="s">
        <v>81</v>
      </c>
      <c r="Q58" s="24">
        <v>0</v>
      </c>
      <c r="R58" s="24">
        <v>0</v>
      </c>
      <c r="S58" s="24">
        <v>0</v>
      </c>
      <c r="T58" s="24">
        <v>0</v>
      </c>
      <c r="U58" s="24">
        <v>0</v>
      </c>
      <c r="V58" s="24">
        <v>0</v>
      </c>
      <c r="W58" s="24">
        <v>0</v>
      </c>
      <c r="X58" s="24">
        <v>0</v>
      </c>
      <c r="Y58" s="24">
        <v>0</v>
      </c>
      <c r="Z58" s="24">
        <v>0</v>
      </c>
      <c r="AA58" s="24">
        <v>0</v>
      </c>
      <c r="AB58" s="24">
        <v>0</v>
      </c>
      <c r="AC58" s="30">
        <f t="shared" si="26"/>
        <v>0</v>
      </c>
      <c r="AD58" s="27">
        <f t="shared" ref="AD58:AD74" si="28">IF(AC58=0,0,AC58-AG58)</f>
        <v>0</v>
      </c>
      <c r="AE58" s="25">
        <f>IFERROR(_xlfn.XLOOKUP(N58&amp;P58,'Historico Vendas'!G:G,'Historico Vendas'!E:E),0)</f>
        <v>0</v>
      </c>
      <c r="AF58" s="29" t="str">
        <f t="shared" si="6"/>
        <v/>
      </c>
      <c r="AG58" s="24">
        <f>IFERROR(_xlfn.XLOOKUP(N58&amp;P58,'Historico Vendas'!G:G,'Historico Vendas'!F:F),0)</f>
        <v>0</v>
      </c>
      <c r="AH58" s="25">
        <f t="shared" ref="AH58:AH74" si="29">SUM(Q58:S58)</f>
        <v>0</v>
      </c>
      <c r="AI58" s="24">
        <f t="shared" ref="AI58:AI74" si="30">AH58-AG58</f>
        <v>0</v>
      </c>
      <c r="AJ58" s="11" t="str">
        <f t="shared" si="7"/>
        <v/>
      </c>
      <c r="AK58" s="9" t="s">
        <v>102</v>
      </c>
      <c r="AL58" s="13">
        <f>IFERROR(INDEX('Balizador da Meta'!$D$3:$F$23,MATCH(Quantidade!$P58,'Balizador da Meta'!$C$3:$C$23,0),MATCH(Quantidade!AK58,'Balizador da Meta'!$D$2:$F$2,0)),"")</f>
        <v>0.2</v>
      </c>
      <c r="AM58" s="9"/>
    </row>
    <row r="59" spans="1:39" x14ac:dyDescent="0.3">
      <c r="A59" s="2" t="str">
        <f t="shared" si="1"/>
        <v>NÃO</v>
      </c>
      <c r="B59" s="2" t="str">
        <f>_xlfn.XLOOKUP($N59,'Base de Grupos'!$A:$A,'Base de Grupos'!$D:$D)</f>
        <v>1000065763</v>
      </c>
      <c r="C59" s="5" t="str">
        <f>_xlfn.XLOOKUP($N59,'Base de Grupos'!$A:$A,'Base de Grupos'!$E:$E)</f>
        <v>CANAL VENDA INTERNA</v>
      </c>
      <c r="D59" s="5" t="str">
        <f>_xlfn.XLOOKUP($N59,'Base de Grupos'!$A:$A,'Base de Grupos'!$F:$F)</f>
        <v>1000065763</v>
      </c>
      <c r="E59" s="2" t="str">
        <f>_xlfn.XLOOKUP($N59,'Base de Grupos'!$A:$A,'Base de Grupos'!$G:$G)</f>
        <v>CANAL VENDA INTERNA</v>
      </c>
      <c r="F59" s="2" t="str">
        <f>_xlfn.XLOOKUP($N59,'Base de Grupos'!$A:$A,'Base de Grupos'!$H:$H)</f>
        <v>1000105900</v>
      </c>
      <c r="G59" s="5" t="str">
        <f>_xlfn.XLOOKUP($N59,'Base de Grupos'!$A:$A,'Base de Grupos'!$I:$I)</f>
        <v>REGIONAL VENDA DIRETA CO + NE + NO</v>
      </c>
      <c r="H59" s="5" t="str">
        <f>_xlfn.XLOOKUP($N59,'Base de Grupos'!$A:$A,'Base de Grupos'!$J:$J)</f>
        <v>1000105900</v>
      </c>
      <c r="I59" s="2" t="str">
        <f>_xlfn.XLOOKUP($N59,'Base de Grupos'!$A:$A,'Base de Grupos'!$K:$K)</f>
        <v>REGIONAL VENDA DIRETA CO + NE + NO</v>
      </c>
      <c r="J59" s="2" t="str">
        <f>_xlfn.XLOOKUP($N59,'Base de Grupos'!$A:$A,'Base de Grupos'!$L:$L)</f>
        <v>1000150135</v>
      </c>
      <c r="K59" s="5" t="str">
        <f>_xlfn.XLOOKUP($N59,'Base de Grupos'!$A:$A,'Base de Grupos'!$M:$M)</f>
        <v>HELDER DA SILVA BRUNKOW</v>
      </c>
      <c r="L59" s="5" t="str">
        <f t="shared" si="2"/>
        <v/>
      </c>
      <c r="M59" s="5" t="str">
        <f>_xlfn.XLOOKUP($N59,'Base de Grupos'!$A:$A,'Base de Grupos'!$C:$C)</f>
        <v>PI</v>
      </c>
      <c r="N59" s="3">
        <v>1327</v>
      </c>
      <c r="O59" s="4" t="s">
        <v>227</v>
      </c>
      <c r="P59" s="5" t="s">
        <v>82</v>
      </c>
      <c r="Q59" s="24">
        <v>0</v>
      </c>
      <c r="R59" s="24">
        <v>0</v>
      </c>
      <c r="S59" s="24">
        <v>0</v>
      </c>
      <c r="T59" s="24">
        <v>0</v>
      </c>
      <c r="U59" s="24">
        <v>0</v>
      </c>
      <c r="V59" s="24">
        <v>0</v>
      </c>
      <c r="W59" s="24">
        <v>0</v>
      </c>
      <c r="X59" s="24">
        <v>0</v>
      </c>
      <c r="Y59" s="24">
        <v>0</v>
      </c>
      <c r="Z59" s="24">
        <v>0</v>
      </c>
      <c r="AA59" s="24">
        <v>0</v>
      </c>
      <c r="AB59" s="24">
        <v>0</v>
      </c>
      <c r="AC59" s="30">
        <f t="shared" si="26"/>
        <v>0</v>
      </c>
      <c r="AD59" s="27">
        <f t="shared" si="28"/>
        <v>0</v>
      </c>
      <c r="AE59" s="25">
        <f>IFERROR(_xlfn.XLOOKUP(N59&amp;P59,'Historico Vendas'!G:G,'Historico Vendas'!E:E),0)</f>
        <v>0</v>
      </c>
      <c r="AF59" s="29" t="str">
        <f t="shared" si="6"/>
        <v/>
      </c>
      <c r="AG59" s="24">
        <f>IFERROR(_xlfn.XLOOKUP(N59&amp;P59,'Historico Vendas'!G:G,'Historico Vendas'!F:F),0)</f>
        <v>0</v>
      </c>
      <c r="AH59" s="25">
        <f t="shared" si="29"/>
        <v>0</v>
      </c>
      <c r="AI59" s="24">
        <f t="shared" si="30"/>
        <v>0</v>
      </c>
      <c r="AJ59" s="11" t="str">
        <f t="shared" si="7"/>
        <v/>
      </c>
      <c r="AK59" s="9" t="s">
        <v>102</v>
      </c>
      <c r="AL59" s="13">
        <f>IFERROR(INDEX('Balizador da Meta'!$D$3:$F$23,MATCH(Quantidade!$P59,'Balizador da Meta'!$C$3:$C$23,0),MATCH(Quantidade!AK59,'Balizador da Meta'!$D$2:$F$2,0)),"")</f>
        <v>0.2</v>
      </c>
      <c r="AM59" s="9"/>
    </row>
    <row r="60" spans="1:39" x14ac:dyDescent="0.3">
      <c r="A60" s="2" t="str">
        <f t="shared" si="1"/>
        <v>NÃO</v>
      </c>
      <c r="B60" s="2" t="str">
        <f>_xlfn.XLOOKUP($N60,'Base de Grupos'!$A:$A,'Base de Grupos'!$D:$D)</f>
        <v>1000065763</v>
      </c>
      <c r="C60" s="5" t="str">
        <f>_xlfn.XLOOKUP($N60,'Base de Grupos'!$A:$A,'Base de Grupos'!$E:$E)</f>
        <v>CANAL VENDA INTERNA</v>
      </c>
      <c r="D60" s="5" t="str">
        <f>_xlfn.XLOOKUP($N60,'Base de Grupos'!$A:$A,'Base de Grupos'!$F:$F)</f>
        <v>1000065763</v>
      </c>
      <c r="E60" s="2" t="str">
        <f>_xlfn.XLOOKUP($N60,'Base de Grupos'!$A:$A,'Base de Grupos'!$G:$G)</f>
        <v>CANAL VENDA INTERNA</v>
      </c>
      <c r="F60" s="2" t="str">
        <f>_xlfn.XLOOKUP($N60,'Base de Grupos'!$A:$A,'Base de Grupos'!$H:$H)</f>
        <v>1000105900</v>
      </c>
      <c r="G60" s="5" t="str">
        <f>_xlfn.XLOOKUP($N60,'Base de Grupos'!$A:$A,'Base de Grupos'!$I:$I)</f>
        <v>REGIONAL VENDA DIRETA CO + NE + NO</v>
      </c>
      <c r="H60" s="5" t="str">
        <f>_xlfn.XLOOKUP($N60,'Base de Grupos'!$A:$A,'Base de Grupos'!$J:$J)</f>
        <v>1000105900</v>
      </c>
      <c r="I60" s="2" t="str">
        <f>_xlfn.XLOOKUP($N60,'Base de Grupos'!$A:$A,'Base de Grupos'!$K:$K)</f>
        <v>REGIONAL VENDA DIRETA CO + NE + NO</v>
      </c>
      <c r="J60" s="2" t="str">
        <f>_xlfn.XLOOKUP($N60,'Base de Grupos'!$A:$A,'Base de Grupos'!$L:$L)</f>
        <v>1000150135</v>
      </c>
      <c r="K60" s="5" t="str">
        <f>_xlfn.XLOOKUP($N60,'Base de Grupos'!$A:$A,'Base de Grupos'!$M:$M)</f>
        <v>HELDER DA SILVA BRUNKOW</v>
      </c>
      <c r="L60" s="5" t="str">
        <f t="shared" si="2"/>
        <v/>
      </c>
      <c r="M60" s="5" t="str">
        <f>_xlfn.XLOOKUP($N60,'Base de Grupos'!$A:$A,'Base de Grupos'!$C:$C)</f>
        <v>PI</v>
      </c>
      <c r="N60" s="3">
        <v>1327</v>
      </c>
      <c r="O60" s="4" t="s">
        <v>227</v>
      </c>
      <c r="P60" s="5" t="s">
        <v>84</v>
      </c>
      <c r="Q60" s="24">
        <v>0</v>
      </c>
      <c r="R60" s="24">
        <v>0</v>
      </c>
      <c r="S60" s="24">
        <v>0</v>
      </c>
      <c r="T60" s="24">
        <v>0</v>
      </c>
      <c r="U60" s="24">
        <v>0</v>
      </c>
      <c r="V60" s="24">
        <v>0</v>
      </c>
      <c r="W60" s="24">
        <v>0</v>
      </c>
      <c r="X60" s="24">
        <v>0</v>
      </c>
      <c r="Y60" s="24">
        <v>0</v>
      </c>
      <c r="Z60" s="24">
        <v>0</v>
      </c>
      <c r="AA60" s="24">
        <v>0</v>
      </c>
      <c r="AB60" s="24">
        <v>0</v>
      </c>
      <c r="AC60" s="30">
        <f t="shared" si="26"/>
        <v>0</v>
      </c>
      <c r="AD60" s="27">
        <f t="shared" si="28"/>
        <v>0</v>
      </c>
      <c r="AE60" s="25">
        <f>IFERROR(_xlfn.XLOOKUP(N60&amp;P60,'Historico Vendas'!G:G,'Historico Vendas'!E:E),0)</f>
        <v>0</v>
      </c>
      <c r="AF60" s="29" t="str">
        <f t="shared" si="6"/>
        <v/>
      </c>
      <c r="AG60" s="24">
        <f>IFERROR(_xlfn.XLOOKUP(N60&amp;P60,'Historico Vendas'!G:G,'Historico Vendas'!F:F),0)</f>
        <v>0</v>
      </c>
      <c r="AH60" s="25">
        <f t="shared" si="29"/>
        <v>0</v>
      </c>
      <c r="AI60" s="24">
        <f t="shared" si="30"/>
        <v>0</v>
      </c>
      <c r="AJ60" s="11" t="str">
        <f t="shared" si="7"/>
        <v/>
      </c>
      <c r="AK60" s="9" t="s">
        <v>102</v>
      </c>
      <c r="AL60" s="13">
        <f>IFERROR(INDEX('Balizador da Meta'!$D$3:$F$23,MATCH(Quantidade!$P60,'Balizador da Meta'!$C$3:$C$23,0),MATCH(Quantidade!AK60,'Balizador da Meta'!$D$2:$F$2,0)),"")</f>
        <v>0.15</v>
      </c>
      <c r="AM60" s="9"/>
    </row>
    <row r="61" spans="1:39" x14ac:dyDescent="0.3">
      <c r="A61" s="2" t="str">
        <f t="shared" si="1"/>
        <v>NÃO</v>
      </c>
      <c r="B61" s="2" t="str">
        <f>_xlfn.XLOOKUP($N61,'Base de Grupos'!$A:$A,'Base de Grupos'!$D:$D)</f>
        <v>1000065763</v>
      </c>
      <c r="C61" s="5" t="str">
        <f>_xlfn.XLOOKUP($N61,'Base de Grupos'!$A:$A,'Base de Grupos'!$E:$E)</f>
        <v>CANAL VENDA INTERNA</v>
      </c>
      <c r="D61" s="5" t="str">
        <f>_xlfn.XLOOKUP($N61,'Base de Grupos'!$A:$A,'Base de Grupos'!$F:$F)</f>
        <v>1000065763</v>
      </c>
      <c r="E61" s="2" t="str">
        <f>_xlfn.XLOOKUP($N61,'Base de Grupos'!$A:$A,'Base de Grupos'!$G:$G)</f>
        <v>CANAL VENDA INTERNA</v>
      </c>
      <c r="F61" s="2" t="str">
        <f>_xlfn.XLOOKUP($N61,'Base de Grupos'!$A:$A,'Base de Grupos'!$H:$H)</f>
        <v>1000105900</v>
      </c>
      <c r="G61" s="5" t="str">
        <f>_xlfn.XLOOKUP($N61,'Base de Grupos'!$A:$A,'Base de Grupos'!$I:$I)</f>
        <v>REGIONAL VENDA DIRETA CO + NE + NO</v>
      </c>
      <c r="H61" s="5" t="str">
        <f>_xlfn.XLOOKUP($N61,'Base de Grupos'!$A:$A,'Base de Grupos'!$J:$J)</f>
        <v>1000105900</v>
      </c>
      <c r="I61" s="2" t="str">
        <f>_xlfn.XLOOKUP($N61,'Base de Grupos'!$A:$A,'Base de Grupos'!$K:$K)</f>
        <v>REGIONAL VENDA DIRETA CO + NE + NO</v>
      </c>
      <c r="J61" s="2" t="str">
        <f>_xlfn.XLOOKUP($N61,'Base de Grupos'!$A:$A,'Base de Grupos'!$L:$L)</f>
        <v>1000150135</v>
      </c>
      <c r="K61" s="5" t="str">
        <f>_xlfn.XLOOKUP($N61,'Base de Grupos'!$A:$A,'Base de Grupos'!$M:$M)</f>
        <v>HELDER DA SILVA BRUNKOW</v>
      </c>
      <c r="L61" s="5" t="str">
        <f t="shared" si="2"/>
        <v/>
      </c>
      <c r="M61" s="5" t="str">
        <f>_xlfn.XLOOKUP($N61,'Base de Grupos'!$A:$A,'Base de Grupos'!$C:$C)</f>
        <v>PI</v>
      </c>
      <c r="N61" s="3">
        <v>1327</v>
      </c>
      <c r="O61" s="4" t="s">
        <v>227</v>
      </c>
      <c r="P61" s="5" t="s">
        <v>83</v>
      </c>
      <c r="Q61" s="24">
        <v>0</v>
      </c>
      <c r="R61" s="24">
        <v>0</v>
      </c>
      <c r="S61" s="24">
        <v>0</v>
      </c>
      <c r="T61" s="24">
        <v>0</v>
      </c>
      <c r="U61" s="24">
        <v>0</v>
      </c>
      <c r="V61" s="24">
        <v>0</v>
      </c>
      <c r="W61" s="24">
        <v>0</v>
      </c>
      <c r="X61" s="24">
        <v>0</v>
      </c>
      <c r="Y61" s="24">
        <v>0</v>
      </c>
      <c r="Z61" s="24">
        <v>0</v>
      </c>
      <c r="AA61" s="24">
        <v>0</v>
      </c>
      <c r="AB61" s="24">
        <v>0</v>
      </c>
      <c r="AC61" s="30">
        <f t="shared" si="26"/>
        <v>0</v>
      </c>
      <c r="AD61" s="27">
        <f t="shared" si="28"/>
        <v>0</v>
      </c>
      <c r="AE61" s="25">
        <f>IFERROR(_xlfn.XLOOKUP(N61&amp;P61,'Historico Vendas'!G:G,'Historico Vendas'!E:E),0)</f>
        <v>0</v>
      </c>
      <c r="AF61" s="29" t="str">
        <f t="shared" si="6"/>
        <v/>
      </c>
      <c r="AG61" s="24">
        <f>IFERROR(_xlfn.XLOOKUP(N61&amp;P61,'Historico Vendas'!G:G,'Historico Vendas'!F:F),0)</f>
        <v>0</v>
      </c>
      <c r="AH61" s="25">
        <f t="shared" si="29"/>
        <v>0</v>
      </c>
      <c r="AI61" s="24">
        <f t="shared" si="30"/>
        <v>0</v>
      </c>
      <c r="AJ61" s="11" t="str">
        <f t="shared" si="7"/>
        <v/>
      </c>
      <c r="AK61" s="9" t="s">
        <v>102</v>
      </c>
      <c r="AL61" s="13">
        <f>IFERROR(INDEX('Balizador da Meta'!$D$3:$F$23,MATCH(Quantidade!$P61,'Balizador da Meta'!$C$3:$C$23,0),MATCH(Quantidade!AK61,'Balizador da Meta'!$D$2:$F$2,0)),"")</f>
        <v>0</v>
      </c>
      <c r="AM61" s="9"/>
    </row>
    <row r="62" spans="1:39" x14ac:dyDescent="0.3">
      <c r="A62" s="2" t="str">
        <f t="shared" si="1"/>
        <v>NÃO</v>
      </c>
      <c r="B62" s="2" t="str">
        <f>_xlfn.XLOOKUP($N62,'Base de Grupos'!$A:$A,'Base de Grupos'!$D:$D)</f>
        <v>1000065763</v>
      </c>
      <c r="C62" s="5" t="str">
        <f>_xlfn.XLOOKUP($N62,'Base de Grupos'!$A:$A,'Base de Grupos'!$E:$E)</f>
        <v>CANAL VENDA INTERNA</v>
      </c>
      <c r="D62" s="5" t="str">
        <f>_xlfn.XLOOKUP($N62,'Base de Grupos'!$A:$A,'Base de Grupos'!$F:$F)</f>
        <v>1000065763</v>
      </c>
      <c r="E62" s="2" t="str">
        <f>_xlfn.XLOOKUP($N62,'Base de Grupos'!$A:$A,'Base de Grupos'!$G:$G)</f>
        <v>CANAL VENDA INTERNA</v>
      </c>
      <c r="F62" s="2" t="str">
        <f>_xlfn.XLOOKUP($N62,'Base de Grupos'!$A:$A,'Base de Grupos'!$H:$H)</f>
        <v>1000105900</v>
      </c>
      <c r="G62" s="5" t="str">
        <f>_xlfn.XLOOKUP($N62,'Base de Grupos'!$A:$A,'Base de Grupos'!$I:$I)</f>
        <v>REGIONAL VENDA DIRETA CO + NE + NO</v>
      </c>
      <c r="H62" s="5" t="str">
        <f>_xlfn.XLOOKUP($N62,'Base de Grupos'!$A:$A,'Base de Grupos'!$J:$J)</f>
        <v>1000105900</v>
      </c>
      <c r="I62" s="2" t="str">
        <f>_xlfn.XLOOKUP($N62,'Base de Grupos'!$A:$A,'Base de Grupos'!$K:$K)</f>
        <v>REGIONAL VENDA DIRETA CO + NE + NO</v>
      </c>
      <c r="J62" s="2" t="str">
        <f>_xlfn.XLOOKUP($N62,'Base de Grupos'!$A:$A,'Base de Grupos'!$L:$L)</f>
        <v>1000150135</v>
      </c>
      <c r="K62" s="5" t="str">
        <f>_xlfn.XLOOKUP($N62,'Base de Grupos'!$A:$A,'Base de Grupos'!$M:$M)</f>
        <v>HELDER DA SILVA BRUNKOW</v>
      </c>
      <c r="L62" s="5" t="str">
        <f t="shared" si="2"/>
        <v/>
      </c>
      <c r="M62" s="5" t="str">
        <f>_xlfn.XLOOKUP($N62,'Base de Grupos'!$A:$A,'Base de Grupos'!$C:$C)</f>
        <v>PI</v>
      </c>
      <c r="N62" s="3">
        <v>1327</v>
      </c>
      <c r="O62" s="4" t="s">
        <v>227</v>
      </c>
      <c r="P62" s="5" t="s">
        <v>87</v>
      </c>
      <c r="Q62" s="24">
        <v>0</v>
      </c>
      <c r="R62" s="24">
        <v>0</v>
      </c>
      <c r="S62" s="24">
        <v>0</v>
      </c>
      <c r="T62" s="24">
        <v>0</v>
      </c>
      <c r="U62" s="24">
        <v>0</v>
      </c>
      <c r="V62" s="24">
        <v>0</v>
      </c>
      <c r="W62" s="24">
        <v>0</v>
      </c>
      <c r="X62" s="24">
        <v>0</v>
      </c>
      <c r="Y62" s="24">
        <v>0</v>
      </c>
      <c r="Z62" s="24">
        <v>0</v>
      </c>
      <c r="AA62" s="24">
        <v>0</v>
      </c>
      <c r="AB62" s="24">
        <v>0</v>
      </c>
      <c r="AC62" s="30">
        <f t="shared" si="26"/>
        <v>0</v>
      </c>
      <c r="AD62" s="27">
        <f t="shared" si="28"/>
        <v>0</v>
      </c>
      <c r="AE62" s="25">
        <f>IFERROR(_xlfn.XLOOKUP(N62&amp;P62,'Historico Vendas'!G:G,'Historico Vendas'!E:E),0)</f>
        <v>0</v>
      </c>
      <c r="AF62" s="29" t="str">
        <f t="shared" si="6"/>
        <v/>
      </c>
      <c r="AG62" s="24">
        <f>IFERROR(_xlfn.XLOOKUP(N62&amp;P62,'Historico Vendas'!G:G,'Historico Vendas'!F:F),0)</f>
        <v>0</v>
      </c>
      <c r="AH62" s="25">
        <f t="shared" si="29"/>
        <v>0</v>
      </c>
      <c r="AI62" s="24">
        <f t="shared" si="30"/>
        <v>0</v>
      </c>
      <c r="AJ62" s="11" t="str">
        <f t="shared" si="7"/>
        <v/>
      </c>
      <c r="AK62" s="9" t="s">
        <v>102</v>
      </c>
      <c r="AL62" s="13">
        <f>IFERROR(INDEX('Balizador da Meta'!$D$3:$F$23,MATCH(Quantidade!$P62,'Balizador da Meta'!$C$3:$C$23,0),MATCH(Quantidade!AK62,'Balizador da Meta'!$D$2:$F$2,0)),"")</f>
        <v>0</v>
      </c>
      <c r="AM62" s="9"/>
    </row>
    <row r="63" spans="1:39" x14ac:dyDescent="0.3">
      <c r="A63" s="2" t="str">
        <f t="shared" si="1"/>
        <v>NÃO</v>
      </c>
      <c r="B63" s="2" t="str">
        <f>_xlfn.XLOOKUP($N63,'Base de Grupos'!$A:$A,'Base de Grupos'!$D:$D)</f>
        <v>1000065763</v>
      </c>
      <c r="C63" s="5" t="str">
        <f>_xlfn.XLOOKUP($N63,'Base de Grupos'!$A:$A,'Base de Grupos'!$E:$E)</f>
        <v>CANAL VENDA INTERNA</v>
      </c>
      <c r="D63" s="5" t="str">
        <f>_xlfn.XLOOKUP($N63,'Base de Grupos'!$A:$A,'Base de Grupos'!$F:$F)</f>
        <v>1000065763</v>
      </c>
      <c r="E63" s="2" t="str">
        <f>_xlfn.XLOOKUP($N63,'Base de Grupos'!$A:$A,'Base de Grupos'!$G:$G)</f>
        <v>CANAL VENDA INTERNA</v>
      </c>
      <c r="F63" s="2" t="str">
        <f>_xlfn.XLOOKUP($N63,'Base de Grupos'!$A:$A,'Base de Grupos'!$H:$H)</f>
        <v>1000105900</v>
      </c>
      <c r="G63" s="5" t="str">
        <f>_xlfn.XLOOKUP($N63,'Base de Grupos'!$A:$A,'Base de Grupos'!$I:$I)</f>
        <v>REGIONAL VENDA DIRETA CO + NE + NO</v>
      </c>
      <c r="H63" s="5" t="str">
        <f>_xlfn.XLOOKUP($N63,'Base de Grupos'!$A:$A,'Base de Grupos'!$J:$J)</f>
        <v>1000105900</v>
      </c>
      <c r="I63" s="2" t="str">
        <f>_xlfn.XLOOKUP($N63,'Base de Grupos'!$A:$A,'Base de Grupos'!$K:$K)</f>
        <v>REGIONAL VENDA DIRETA CO + NE + NO</v>
      </c>
      <c r="J63" s="2" t="str">
        <f>_xlfn.XLOOKUP($N63,'Base de Grupos'!$A:$A,'Base de Grupos'!$L:$L)</f>
        <v>1000150135</v>
      </c>
      <c r="K63" s="5" t="str">
        <f>_xlfn.XLOOKUP($N63,'Base de Grupos'!$A:$A,'Base de Grupos'!$M:$M)</f>
        <v>HELDER DA SILVA BRUNKOW</v>
      </c>
      <c r="L63" s="5" t="str">
        <f t="shared" si="2"/>
        <v/>
      </c>
      <c r="M63" s="5" t="str">
        <f>_xlfn.XLOOKUP($N63,'Base de Grupos'!$A:$A,'Base de Grupos'!$C:$C)</f>
        <v>PI</v>
      </c>
      <c r="N63" s="3">
        <v>1327</v>
      </c>
      <c r="O63" s="4" t="s">
        <v>227</v>
      </c>
      <c r="P63" s="5" t="s">
        <v>85</v>
      </c>
      <c r="Q63" s="24">
        <v>0</v>
      </c>
      <c r="R63" s="24">
        <v>0</v>
      </c>
      <c r="S63" s="24">
        <v>0</v>
      </c>
      <c r="T63" s="24">
        <v>0</v>
      </c>
      <c r="U63" s="24">
        <v>0</v>
      </c>
      <c r="V63" s="24">
        <v>0</v>
      </c>
      <c r="W63" s="24">
        <v>0</v>
      </c>
      <c r="X63" s="24">
        <v>0</v>
      </c>
      <c r="Y63" s="24">
        <v>0</v>
      </c>
      <c r="Z63" s="24">
        <v>0</v>
      </c>
      <c r="AA63" s="24">
        <v>0</v>
      </c>
      <c r="AB63" s="24">
        <v>0</v>
      </c>
      <c r="AC63" s="30">
        <f t="shared" si="26"/>
        <v>0</v>
      </c>
      <c r="AD63" s="27">
        <f t="shared" si="28"/>
        <v>0</v>
      </c>
      <c r="AE63" s="25">
        <f>IFERROR(_xlfn.XLOOKUP(N63&amp;P63,'Historico Vendas'!G:G,'Historico Vendas'!E:E),0)</f>
        <v>0</v>
      </c>
      <c r="AF63" s="29" t="str">
        <f t="shared" si="6"/>
        <v/>
      </c>
      <c r="AG63" s="24">
        <f>IFERROR(_xlfn.XLOOKUP(N63&amp;P63,'Historico Vendas'!G:G,'Historico Vendas'!F:F),0)</f>
        <v>0</v>
      </c>
      <c r="AH63" s="25">
        <f t="shared" si="29"/>
        <v>0</v>
      </c>
      <c r="AI63" s="24">
        <f t="shared" si="30"/>
        <v>0</v>
      </c>
      <c r="AJ63" s="11" t="str">
        <f t="shared" si="7"/>
        <v/>
      </c>
      <c r="AK63" s="9" t="s">
        <v>102</v>
      </c>
      <c r="AL63" s="13">
        <f>IFERROR(INDEX('Balizador da Meta'!$D$3:$F$23,MATCH(Quantidade!$P63,'Balizador da Meta'!$C$3:$C$23,0),MATCH(Quantidade!AK63,'Balizador da Meta'!$D$2:$F$2,0)),"")</f>
        <v>0</v>
      </c>
      <c r="AM63" s="9"/>
    </row>
    <row r="64" spans="1:39" x14ac:dyDescent="0.3">
      <c r="A64" s="2" t="str">
        <f t="shared" si="1"/>
        <v>NÃO</v>
      </c>
      <c r="B64" s="2" t="str">
        <f>_xlfn.XLOOKUP($N64,'Base de Grupos'!$A:$A,'Base de Grupos'!$D:$D)</f>
        <v>1000065763</v>
      </c>
      <c r="C64" s="5" t="str">
        <f>_xlfn.XLOOKUP($N64,'Base de Grupos'!$A:$A,'Base de Grupos'!$E:$E)</f>
        <v>CANAL VENDA INTERNA</v>
      </c>
      <c r="D64" s="5" t="str">
        <f>_xlfn.XLOOKUP($N64,'Base de Grupos'!$A:$A,'Base de Grupos'!$F:$F)</f>
        <v>1000065763</v>
      </c>
      <c r="E64" s="2" t="str">
        <f>_xlfn.XLOOKUP($N64,'Base de Grupos'!$A:$A,'Base de Grupos'!$G:$G)</f>
        <v>CANAL VENDA INTERNA</v>
      </c>
      <c r="F64" s="2" t="str">
        <f>_xlfn.XLOOKUP($N64,'Base de Grupos'!$A:$A,'Base de Grupos'!$H:$H)</f>
        <v>1000105900</v>
      </c>
      <c r="G64" s="5" t="str">
        <f>_xlfn.XLOOKUP($N64,'Base de Grupos'!$A:$A,'Base de Grupos'!$I:$I)</f>
        <v>REGIONAL VENDA DIRETA CO + NE + NO</v>
      </c>
      <c r="H64" s="5" t="str">
        <f>_xlfn.XLOOKUP($N64,'Base de Grupos'!$A:$A,'Base de Grupos'!$J:$J)</f>
        <v>1000105900</v>
      </c>
      <c r="I64" s="2" t="str">
        <f>_xlfn.XLOOKUP($N64,'Base de Grupos'!$A:$A,'Base de Grupos'!$K:$K)</f>
        <v>REGIONAL VENDA DIRETA CO + NE + NO</v>
      </c>
      <c r="J64" s="2" t="str">
        <f>_xlfn.XLOOKUP($N64,'Base de Grupos'!$A:$A,'Base de Grupos'!$L:$L)</f>
        <v>1000150135</v>
      </c>
      <c r="K64" s="5" t="str">
        <f>_xlfn.XLOOKUP($N64,'Base de Grupos'!$A:$A,'Base de Grupos'!$M:$M)</f>
        <v>HELDER DA SILVA BRUNKOW</v>
      </c>
      <c r="L64" s="5" t="str">
        <f t="shared" si="2"/>
        <v/>
      </c>
      <c r="M64" s="5" t="str">
        <f>_xlfn.XLOOKUP($N64,'Base de Grupos'!$A:$A,'Base de Grupos'!$C:$C)</f>
        <v>PI</v>
      </c>
      <c r="N64" s="3">
        <v>1327</v>
      </c>
      <c r="O64" s="4" t="s">
        <v>227</v>
      </c>
      <c r="P64" s="5" t="s">
        <v>92</v>
      </c>
      <c r="Q64" s="24">
        <v>0</v>
      </c>
      <c r="R64" s="24">
        <v>0</v>
      </c>
      <c r="S64" s="24">
        <v>0</v>
      </c>
      <c r="T64" s="24">
        <v>0</v>
      </c>
      <c r="U64" s="24">
        <v>0</v>
      </c>
      <c r="V64" s="24">
        <v>0</v>
      </c>
      <c r="W64" s="24">
        <v>0</v>
      </c>
      <c r="X64" s="24">
        <v>0</v>
      </c>
      <c r="Y64" s="24">
        <v>0</v>
      </c>
      <c r="Z64" s="24">
        <v>0</v>
      </c>
      <c r="AA64" s="24">
        <v>0</v>
      </c>
      <c r="AB64" s="24">
        <v>0</v>
      </c>
      <c r="AC64" s="30">
        <f t="shared" si="26"/>
        <v>0</v>
      </c>
      <c r="AD64" s="27">
        <f t="shared" si="28"/>
        <v>0</v>
      </c>
      <c r="AE64" s="25">
        <f>IFERROR(_xlfn.XLOOKUP(N64&amp;P64,'Historico Vendas'!G:G,'Historico Vendas'!E:E),0)</f>
        <v>0</v>
      </c>
      <c r="AF64" s="29" t="str">
        <f t="shared" si="6"/>
        <v/>
      </c>
      <c r="AG64" s="24">
        <f>IFERROR(_xlfn.XLOOKUP(N64&amp;P64,'Historico Vendas'!G:G,'Historico Vendas'!F:F),0)</f>
        <v>0</v>
      </c>
      <c r="AH64" s="25">
        <f t="shared" si="29"/>
        <v>0</v>
      </c>
      <c r="AI64" s="24">
        <f t="shared" si="30"/>
        <v>0</v>
      </c>
      <c r="AJ64" s="11" t="str">
        <f t="shared" si="7"/>
        <v/>
      </c>
      <c r="AK64" s="9" t="s">
        <v>102</v>
      </c>
      <c r="AL64" s="13">
        <f>IFERROR(INDEX('Balizador da Meta'!$D$3:$F$23,MATCH(Quantidade!$P64,'Balizador da Meta'!$C$3:$C$23,0),MATCH(Quantidade!AK64,'Balizador da Meta'!$D$2:$F$2,0)),"")</f>
        <v>0</v>
      </c>
      <c r="AM64" s="9"/>
    </row>
    <row r="65" spans="1:39" x14ac:dyDescent="0.3">
      <c r="A65" s="2" t="str">
        <f t="shared" si="1"/>
        <v>NÃO</v>
      </c>
      <c r="B65" s="2" t="str">
        <f>_xlfn.XLOOKUP($N65,'Base de Grupos'!$A:$A,'Base de Grupos'!$D:$D)</f>
        <v>1000065763</v>
      </c>
      <c r="C65" s="5" t="str">
        <f>_xlfn.XLOOKUP($N65,'Base de Grupos'!$A:$A,'Base de Grupos'!$E:$E)</f>
        <v>CANAL VENDA INTERNA</v>
      </c>
      <c r="D65" s="5" t="str">
        <f>_xlfn.XLOOKUP($N65,'Base de Grupos'!$A:$A,'Base de Grupos'!$F:$F)</f>
        <v>1000065763</v>
      </c>
      <c r="E65" s="2" t="str">
        <f>_xlfn.XLOOKUP($N65,'Base de Grupos'!$A:$A,'Base de Grupos'!$G:$G)</f>
        <v>CANAL VENDA INTERNA</v>
      </c>
      <c r="F65" s="2" t="str">
        <f>_xlfn.XLOOKUP($N65,'Base de Grupos'!$A:$A,'Base de Grupos'!$H:$H)</f>
        <v>1000105900</v>
      </c>
      <c r="G65" s="5" t="str">
        <f>_xlfn.XLOOKUP($N65,'Base de Grupos'!$A:$A,'Base de Grupos'!$I:$I)</f>
        <v>REGIONAL VENDA DIRETA CO + NE + NO</v>
      </c>
      <c r="H65" s="5" t="str">
        <f>_xlfn.XLOOKUP($N65,'Base de Grupos'!$A:$A,'Base de Grupos'!$J:$J)</f>
        <v>1000105900</v>
      </c>
      <c r="I65" s="2" t="str">
        <f>_xlfn.XLOOKUP($N65,'Base de Grupos'!$A:$A,'Base de Grupos'!$K:$K)</f>
        <v>REGIONAL VENDA DIRETA CO + NE + NO</v>
      </c>
      <c r="J65" s="2" t="str">
        <f>_xlfn.XLOOKUP($N65,'Base de Grupos'!$A:$A,'Base de Grupos'!$L:$L)</f>
        <v>1000150135</v>
      </c>
      <c r="K65" s="5" t="str">
        <f>_xlfn.XLOOKUP($N65,'Base de Grupos'!$A:$A,'Base de Grupos'!$M:$M)</f>
        <v>HELDER DA SILVA BRUNKOW</v>
      </c>
      <c r="L65" s="5" t="str">
        <f t="shared" si="2"/>
        <v/>
      </c>
      <c r="M65" s="5" t="str">
        <f>_xlfn.XLOOKUP($N65,'Base de Grupos'!$A:$A,'Base de Grupos'!$C:$C)</f>
        <v>PI</v>
      </c>
      <c r="N65" s="3">
        <v>1327</v>
      </c>
      <c r="O65" s="4" t="s">
        <v>227</v>
      </c>
      <c r="P65" s="5" t="s">
        <v>86</v>
      </c>
      <c r="Q65" s="24">
        <v>0</v>
      </c>
      <c r="R65" s="24">
        <v>0</v>
      </c>
      <c r="S65" s="24">
        <v>0</v>
      </c>
      <c r="T65" s="24">
        <v>0</v>
      </c>
      <c r="U65" s="24">
        <v>0</v>
      </c>
      <c r="V65" s="24">
        <v>0</v>
      </c>
      <c r="W65" s="24">
        <v>0</v>
      </c>
      <c r="X65" s="24">
        <v>0</v>
      </c>
      <c r="Y65" s="24">
        <v>0</v>
      </c>
      <c r="Z65" s="24">
        <v>0</v>
      </c>
      <c r="AA65" s="24">
        <v>0</v>
      </c>
      <c r="AB65" s="24">
        <v>0</v>
      </c>
      <c r="AC65" s="30">
        <f t="shared" si="26"/>
        <v>0</v>
      </c>
      <c r="AD65" s="27">
        <f t="shared" si="28"/>
        <v>0</v>
      </c>
      <c r="AE65" s="25">
        <f>IFERROR(_xlfn.XLOOKUP(N65&amp;P65,'Historico Vendas'!G:G,'Historico Vendas'!E:E),0)</f>
        <v>0</v>
      </c>
      <c r="AF65" s="29" t="str">
        <f t="shared" si="6"/>
        <v/>
      </c>
      <c r="AG65" s="24">
        <f>IFERROR(_xlfn.XLOOKUP(N65&amp;P65,'Historico Vendas'!G:G,'Historico Vendas'!F:F),0)</f>
        <v>0</v>
      </c>
      <c r="AH65" s="25">
        <f t="shared" si="29"/>
        <v>0</v>
      </c>
      <c r="AI65" s="24">
        <f t="shared" si="30"/>
        <v>0</v>
      </c>
      <c r="AJ65" s="11" t="str">
        <f t="shared" si="7"/>
        <v/>
      </c>
      <c r="AK65" s="9" t="s">
        <v>102</v>
      </c>
      <c r="AL65" s="13">
        <f>IFERROR(INDEX('Balizador da Meta'!$D$3:$F$23,MATCH(Quantidade!$P65,'Balizador da Meta'!$C$3:$C$23,0),MATCH(Quantidade!AK65,'Balizador da Meta'!$D$2:$F$2,0)),"")</f>
        <v>0.15</v>
      </c>
      <c r="AM65" s="9"/>
    </row>
    <row r="66" spans="1:39" x14ac:dyDescent="0.3">
      <c r="A66" s="2" t="str">
        <f t="shared" si="1"/>
        <v>NÃO</v>
      </c>
      <c r="B66" s="2" t="str">
        <f>_xlfn.XLOOKUP($N66,'Base de Grupos'!$A:$A,'Base de Grupos'!$D:$D)</f>
        <v>1000065763</v>
      </c>
      <c r="C66" s="5" t="str">
        <f>_xlfn.XLOOKUP($N66,'Base de Grupos'!$A:$A,'Base de Grupos'!$E:$E)</f>
        <v>CANAL VENDA INTERNA</v>
      </c>
      <c r="D66" s="5" t="str">
        <f>_xlfn.XLOOKUP($N66,'Base de Grupos'!$A:$A,'Base de Grupos'!$F:$F)</f>
        <v>1000065763</v>
      </c>
      <c r="E66" s="2" t="str">
        <f>_xlfn.XLOOKUP($N66,'Base de Grupos'!$A:$A,'Base de Grupos'!$G:$G)</f>
        <v>CANAL VENDA INTERNA</v>
      </c>
      <c r="F66" s="2" t="str">
        <f>_xlfn.XLOOKUP($N66,'Base de Grupos'!$A:$A,'Base de Grupos'!$H:$H)</f>
        <v>1000105900</v>
      </c>
      <c r="G66" s="5" t="str">
        <f>_xlfn.XLOOKUP($N66,'Base de Grupos'!$A:$A,'Base de Grupos'!$I:$I)</f>
        <v>REGIONAL VENDA DIRETA CO + NE + NO</v>
      </c>
      <c r="H66" s="5" t="str">
        <f>_xlfn.XLOOKUP($N66,'Base de Grupos'!$A:$A,'Base de Grupos'!$J:$J)</f>
        <v>1000105900</v>
      </c>
      <c r="I66" s="2" t="str">
        <f>_xlfn.XLOOKUP($N66,'Base de Grupos'!$A:$A,'Base de Grupos'!$K:$K)</f>
        <v>REGIONAL VENDA DIRETA CO + NE + NO</v>
      </c>
      <c r="J66" s="2" t="str">
        <f>_xlfn.XLOOKUP($N66,'Base de Grupos'!$A:$A,'Base de Grupos'!$L:$L)</f>
        <v>1000150135</v>
      </c>
      <c r="K66" s="5" t="str">
        <f>_xlfn.XLOOKUP($N66,'Base de Grupos'!$A:$A,'Base de Grupos'!$M:$M)</f>
        <v>HELDER DA SILVA BRUNKOW</v>
      </c>
      <c r="L66" s="5" t="str">
        <f t="shared" si="2"/>
        <v/>
      </c>
      <c r="M66" s="5" t="str">
        <f>_xlfn.XLOOKUP($N66,'Base de Grupos'!$A:$A,'Base de Grupos'!$C:$C)</f>
        <v>PI</v>
      </c>
      <c r="N66" s="3">
        <v>1327</v>
      </c>
      <c r="O66" s="4" t="s">
        <v>227</v>
      </c>
      <c r="P66" s="5" t="s">
        <v>108</v>
      </c>
      <c r="Q66" s="24">
        <v>0</v>
      </c>
      <c r="R66" s="24">
        <v>0</v>
      </c>
      <c r="S66" s="24">
        <v>0</v>
      </c>
      <c r="T66" s="24">
        <v>0</v>
      </c>
      <c r="U66" s="24">
        <v>0</v>
      </c>
      <c r="V66" s="24">
        <v>0</v>
      </c>
      <c r="W66" s="24">
        <v>0</v>
      </c>
      <c r="X66" s="24">
        <v>0</v>
      </c>
      <c r="Y66" s="24">
        <v>0</v>
      </c>
      <c r="Z66" s="24">
        <v>0</v>
      </c>
      <c r="AA66" s="24">
        <v>0</v>
      </c>
      <c r="AB66" s="24">
        <v>0</v>
      </c>
      <c r="AC66" s="30">
        <f t="shared" si="26"/>
        <v>0</v>
      </c>
      <c r="AD66" s="27">
        <f t="shared" si="28"/>
        <v>0</v>
      </c>
      <c r="AE66" s="25">
        <f>IFERROR(_xlfn.XLOOKUP(N66&amp;P66,'Historico Vendas'!G:G,'Historico Vendas'!E:E),0)</f>
        <v>0</v>
      </c>
      <c r="AF66" s="29" t="str">
        <f>IFERROR((AC66-AE66)/AE66,"")</f>
        <v/>
      </c>
      <c r="AG66" s="24">
        <f>IFERROR(_xlfn.XLOOKUP(N66&amp;P66,'Historico Vendas'!G:G,'Historico Vendas'!F:F),0)</f>
        <v>0</v>
      </c>
      <c r="AH66" s="25">
        <f t="shared" si="29"/>
        <v>0</v>
      </c>
      <c r="AI66" s="24">
        <f t="shared" si="30"/>
        <v>0</v>
      </c>
      <c r="AJ66" s="11" t="str">
        <f t="shared" si="7"/>
        <v/>
      </c>
      <c r="AK66" s="9" t="s">
        <v>102</v>
      </c>
      <c r="AL66" s="13">
        <f>IFERROR(INDEX('Balizador da Meta'!$D$3:$F$23,MATCH(Quantidade!$P66,'Balizador da Meta'!$C$3:$C$23,0),MATCH(Quantidade!AK66,'Balizador da Meta'!$D$2:$F$2,0)),"")</f>
        <v>0</v>
      </c>
      <c r="AM66" s="9"/>
    </row>
    <row r="67" spans="1:39" x14ac:dyDescent="0.3">
      <c r="A67" s="2" t="str">
        <f t="shared" ref="A67:A130" si="31">IF(L67=1,"SIM","NÃO")</f>
        <v>NÃO</v>
      </c>
      <c r="B67" s="2" t="str">
        <f>_xlfn.XLOOKUP($N67,'Base de Grupos'!$A:$A,'Base de Grupos'!$D:$D)</f>
        <v>1000065763</v>
      </c>
      <c r="C67" s="5" t="str">
        <f>_xlfn.XLOOKUP($N67,'Base de Grupos'!$A:$A,'Base de Grupos'!$E:$E)</f>
        <v>CANAL VENDA INTERNA</v>
      </c>
      <c r="D67" s="5" t="str">
        <f>_xlfn.XLOOKUP($N67,'Base de Grupos'!$A:$A,'Base de Grupos'!$F:$F)</f>
        <v>1000065763</v>
      </c>
      <c r="E67" s="2" t="str">
        <f>_xlfn.XLOOKUP($N67,'Base de Grupos'!$A:$A,'Base de Grupos'!$G:$G)</f>
        <v>CANAL VENDA INTERNA</v>
      </c>
      <c r="F67" s="2" t="str">
        <f>_xlfn.XLOOKUP($N67,'Base de Grupos'!$A:$A,'Base de Grupos'!$H:$H)</f>
        <v>1000105900</v>
      </c>
      <c r="G67" s="5" t="str">
        <f>_xlfn.XLOOKUP($N67,'Base de Grupos'!$A:$A,'Base de Grupos'!$I:$I)</f>
        <v>REGIONAL VENDA DIRETA CO + NE + NO</v>
      </c>
      <c r="H67" s="5" t="str">
        <f>_xlfn.XLOOKUP($N67,'Base de Grupos'!$A:$A,'Base de Grupos'!$J:$J)</f>
        <v>1000105900</v>
      </c>
      <c r="I67" s="2" t="str">
        <f>_xlfn.XLOOKUP($N67,'Base de Grupos'!$A:$A,'Base de Grupos'!$K:$K)</f>
        <v>REGIONAL VENDA DIRETA CO + NE + NO</v>
      </c>
      <c r="J67" s="2" t="str">
        <f>_xlfn.XLOOKUP($N67,'Base de Grupos'!$A:$A,'Base de Grupos'!$L:$L)</f>
        <v>1000150135</v>
      </c>
      <c r="K67" s="5" t="str">
        <f>_xlfn.XLOOKUP($N67,'Base de Grupos'!$A:$A,'Base de Grupos'!$M:$M)</f>
        <v>HELDER DA SILVA BRUNKOW</v>
      </c>
      <c r="L67" s="5" t="str">
        <f t="shared" ref="L67:L130" si="32">IF(N67&lt;&gt;N66,1,"")</f>
        <v/>
      </c>
      <c r="M67" s="5" t="str">
        <f>_xlfn.XLOOKUP($N67,'Base de Grupos'!$A:$A,'Base de Grupos'!$C:$C)</f>
        <v>PI</v>
      </c>
      <c r="N67" s="3">
        <v>1327</v>
      </c>
      <c r="O67" s="4" t="s">
        <v>227</v>
      </c>
      <c r="P67" s="5" t="s">
        <v>89</v>
      </c>
      <c r="Q67" s="24">
        <v>0</v>
      </c>
      <c r="R67" s="24">
        <v>0</v>
      </c>
      <c r="S67" s="24">
        <v>0</v>
      </c>
      <c r="T67" s="24">
        <v>0</v>
      </c>
      <c r="U67" s="24">
        <v>0</v>
      </c>
      <c r="V67" s="24">
        <v>0</v>
      </c>
      <c r="W67" s="24">
        <v>0</v>
      </c>
      <c r="X67" s="24">
        <v>0</v>
      </c>
      <c r="Y67" s="24">
        <v>0</v>
      </c>
      <c r="Z67" s="24">
        <v>0</v>
      </c>
      <c r="AA67" s="24">
        <v>0</v>
      </c>
      <c r="AB67" s="24">
        <v>0</v>
      </c>
      <c r="AC67" s="30">
        <f t="shared" si="26"/>
        <v>0</v>
      </c>
      <c r="AD67" s="27">
        <f t="shared" si="28"/>
        <v>0</v>
      </c>
      <c r="AE67" s="25">
        <f>IFERROR(_xlfn.XLOOKUP(N67&amp;P67,'Historico Vendas'!G:G,'Historico Vendas'!E:E),0)</f>
        <v>0</v>
      </c>
      <c r="AF67" s="29" t="str">
        <f t="shared" ref="AF67:AF130" si="33">IFERROR((AC67-AE67)/AE67,"")</f>
        <v/>
      </c>
      <c r="AG67" s="24">
        <f>IFERROR(_xlfn.XLOOKUP(N67&amp;P67,'Historico Vendas'!G:G,'Historico Vendas'!F:F),0)</f>
        <v>0</v>
      </c>
      <c r="AH67" s="25">
        <f t="shared" si="29"/>
        <v>0</v>
      </c>
      <c r="AI67" s="24">
        <f t="shared" si="30"/>
        <v>0</v>
      </c>
      <c r="AJ67" s="11" t="str">
        <f t="shared" ref="AJ67:AJ130" si="34">IFERROR(AG67/AH67,"")</f>
        <v/>
      </c>
      <c r="AK67" s="9" t="s">
        <v>102</v>
      </c>
      <c r="AL67" s="13">
        <f>IFERROR(INDEX('Balizador da Meta'!$D$3:$F$23,MATCH(Quantidade!$P67,'Balizador da Meta'!$C$3:$C$23,0),MATCH(Quantidade!AK67,'Balizador da Meta'!$D$2:$F$2,0)),"")</f>
        <v>0.25</v>
      </c>
      <c r="AM67" s="9"/>
    </row>
    <row r="68" spans="1:39" x14ac:dyDescent="0.3">
      <c r="A68" s="2" t="str">
        <f t="shared" si="31"/>
        <v>NÃO</v>
      </c>
      <c r="B68" s="2" t="str">
        <f>_xlfn.XLOOKUP($N68,'Base de Grupos'!$A:$A,'Base de Grupos'!$D:$D)</f>
        <v>1000065763</v>
      </c>
      <c r="C68" s="5" t="str">
        <f>_xlfn.XLOOKUP($N68,'Base de Grupos'!$A:$A,'Base de Grupos'!$E:$E)</f>
        <v>CANAL VENDA INTERNA</v>
      </c>
      <c r="D68" s="5" t="str">
        <f>_xlfn.XLOOKUP($N68,'Base de Grupos'!$A:$A,'Base de Grupos'!$F:$F)</f>
        <v>1000065763</v>
      </c>
      <c r="E68" s="2" t="str">
        <f>_xlfn.XLOOKUP($N68,'Base de Grupos'!$A:$A,'Base de Grupos'!$G:$G)</f>
        <v>CANAL VENDA INTERNA</v>
      </c>
      <c r="F68" s="2" t="str">
        <f>_xlfn.XLOOKUP($N68,'Base de Grupos'!$A:$A,'Base de Grupos'!$H:$H)</f>
        <v>1000105900</v>
      </c>
      <c r="G68" s="5" t="str">
        <f>_xlfn.XLOOKUP($N68,'Base de Grupos'!$A:$A,'Base de Grupos'!$I:$I)</f>
        <v>REGIONAL VENDA DIRETA CO + NE + NO</v>
      </c>
      <c r="H68" s="5" t="str">
        <f>_xlfn.XLOOKUP($N68,'Base de Grupos'!$A:$A,'Base de Grupos'!$J:$J)</f>
        <v>1000105900</v>
      </c>
      <c r="I68" s="2" t="str">
        <f>_xlfn.XLOOKUP($N68,'Base de Grupos'!$A:$A,'Base de Grupos'!$K:$K)</f>
        <v>REGIONAL VENDA DIRETA CO + NE + NO</v>
      </c>
      <c r="J68" s="2" t="str">
        <f>_xlfn.XLOOKUP($N68,'Base de Grupos'!$A:$A,'Base de Grupos'!$L:$L)</f>
        <v>1000150135</v>
      </c>
      <c r="K68" s="5" t="str">
        <f>_xlfn.XLOOKUP($N68,'Base de Grupos'!$A:$A,'Base de Grupos'!$M:$M)</f>
        <v>HELDER DA SILVA BRUNKOW</v>
      </c>
      <c r="L68" s="5" t="str">
        <f t="shared" si="32"/>
        <v/>
      </c>
      <c r="M68" s="5" t="str">
        <f>_xlfn.XLOOKUP($N68,'Base de Grupos'!$A:$A,'Base de Grupos'!$C:$C)</f>
        <v>PI</v>
      </c>
      <c r="N68" s="3">
        <v>1327</v>
      </c>
      <c r="O68" s="4" t="s">
        <v>227</v>
      </c>
      <c r="P68" s="5" t="s">
        <v>88</v>
      </c>
      <c r="Q68" s="24">
        <v>0</v>
      </c>
      <c r="R68" s="24">
        <v>0</v>
      </c>
      <c r="S68" s="24">
        <v>0</v>
      </c>
      <c r="T68" s="24">
        <v>0</v>
      </c>
      <c r="U68" s="24">
        <v>0</v>
      </c>
      <c r="V68" s="24">
        <v>0</v>
      </c>
      <c r="W68" s="24">
        <v>0</v>
      </c>
      <c r="X68" s="24">
        <v>0</v>
      </c>
      <c r="Y68" s="24">
        <v>0</v>
      </c>
      <c r="Z68" s="24">
        <v>0</v>
      </c>
      <c r="AA68" s="24">
        <v>0</v>
      </c>
      <c r="AB68" s="24">
        <v>0</v>
      </c>
      <c r="AC68" s="30">
        <f t="shared" si="26"/>
        <v>0</v>
      </c>
      <c r="AD68" s="27">
        <f t="shared" si="28"/>
        <v>0</v>
      </c>
      <c r="AE68" s="25">
        <f>IFERROR(_xlfn.XLOOKUP(N68&amp;P68,'Historico Vendas'!G:G,'Historico Vendas'!E:E),0)</f>
        <v>0</v>
      </c>
      <c r="AF68" s="29" t="str">
        <f t="shared" si="33"/>
        <v/>
      </c>
      <c r="AG68" s="24">
        <f>IFERROR(_xlfn.XLOOKUP(N68&amp;P68,'Historico Vendas'!G:G,'Historico Vendas'!F:F),0)</f>
        <v>0</v>
      </c>
      <c r="AH68" s="25">
        <f t="shared" si="29"/>
        <v>0</v>
      </c>
      <c r="AI68" s="24">
        <f t="shared" si="30"/>
        <v>0</v>
      </c>
      <c r="AJ68" s="11" t="str">
        <f t="shared" si="34"/>
        <v/>
      </c>
      <c r="AK68" s="9" t="s">
        <v>102</v>
      </c>
      <c r="AL68" s="13">
        <f>IFERROR(INDEX('Balizador da Meta'!$D$3:$F$23,MATCH(Quantidade!$P68,'Balizador da Meta'!$C$3:$C$23,0),MATCH(Quantidade!AK68,'Balizador da Meta'!$D$2:$F$2,0)),"")</f>
        <v>0</v>
      </c>
      <c r="AM68" s="9"/>
    </row>
    <row r="69" spans="1:39" x14ac:dyDescent="0.3">
      <c r="A69" s="2" t="str">
        <f t="shared" si="31"/>
        <v>NÃO</v>
      </c>
      <c r="B69" s="2" t="str">
        <f>_xlfn.XLOOKUP($N69,'Base de Grupos'!$A:$A,'Base de Grupos'!$D:$D)</f>
        <v>1000065763</v>
      </c>
      <c r="C69" s="5" t="str">
        <f>_xlfn.XLOOKUP($N69,'Base de Grupos'!$A:$A,'Base de Grupos'!$E:$E)</f>
        <v>CANAL VENDA INTERNA</v>
      </c>
      <c r="D69" s="5" t="str">
        <f>_xlfn.XLOOKUP($N69,'Base de Grupos'!$A:$A,'Base de Grupos'!$F:$F)</f>
        <v>1000065763</v>
      </c>
      <c r="E69" s="2" t="str">
        <f>_xlfn.XLOOKUP($N69,'Base de Grupos'!$A:$A,'Base de Grupos'!$G:$G)</f>
        <v>CANAL VENDA INTERNA</v>
      </c>
      <c r="F69" s="2" t="str">
        <f>_xlfn.XLOOKUP($N69,'Base de Grupos'!$A:$A,'Base de Grupos'!$H:$H)</f>
        <v>1000105900</v>
      </c>
      <c r="G69" s="5" t="str">
        <f>_xlfn.XLOOKUP($N69,'Base de Grupos'!$A:$A,'Base de Grupos'!$I:$I)</f>
        <v>REGIONAL VENDA DIRETA CO + NE + NO</v>
      </c>
      <c r="H69" s="5" t="str">
        <f>_xlfn.XLOOKUP($N69,'Base de Grupos'!$A:$A,'Base de Grupos'!$J:$J)</f>
        <v>1000105900</v>
      </c>
      <c r="I69" s="2" t="str">
        <f>_xlfn.XLOOKUP($N69,'Base de Grupos'!$A:$A,'Base de Grupos'!$K:$K)</f>
        <v>REGIONAL VENDA DIRETA CO + NE + NO</v>
      </c>
      <c r="J69" s="2" t="str">
        <f>_xlfn.XLOOKUP($N69,'Base de Grupos'!$A:$A,'Base de Grupos'!$L:$L)</f>
        <v>1000150135</v>
      </c>
      <c r="K69" s="5" t="str">
        <f>_xlfn.XLOOKUP($N69,'Base de Grupos'!$A:$A,'Base de Grupos'!$M:$M)</f>
        <v>HELDER DA SILVA BRUNKOW</v>
      </c>
      <c r="L69" s="5" t="str">
        <f t="shared" si="32"/>
        <v/>
      </c>
      <c r="M69" s="5" t="str">
        <f>_xlfn.XLOOKUP($N69,'Base de Grupos'!$A:$A,'Base de Grupos'!$C:$C)</f>
        <v>PI</v>
      </c>
      <c r="N69" s="3">
        <v>1327</v>
      </c>
      <c r="O69" s="4" t="s">
        <v>227</v>
      </c>
      <c r="P69" s="5" t="s">
        <v>90</v>
      </c>
      <c r="Q69" s="24">
        <f>SUM(Q70:Q90)</f>
        <v>0</v>
      </c>
      <c r="R69" s="24">
        <f t="shared" ref="R69" si="35">SUM(R70:R90)</f>
        <v>0</v>
      </c>
      <c r="S69" s="24">
        <f t="shared" ref="S69" si="36">SUM(S70:S90)</f>
        <v>0</v>
      </c>
      <c r="T69" s="24">
        <f t="shared" ref="T69:AC69" si="37">SUM(T70:T90)</f>
        <v>0</v>
      </c>
      <c r="U69" s="24">
        <f t="shared" si="37"/>
        <v>0</v>
      </c>
      <c r="V69" s="24">
        <f t="shared" si="37"/>
        <v>0</v>
      </c>
      <c r="W69" s="24">
        <f t="shared" si="37"/>
        <v>0</v>
      </c>
      <c r="X69" s="24">
        <f t="shared" si="37"/>
        <v>0</v>
      </c>
      <c r="Y69" s="24">
        <f t="shared" si="37"/>
        <v>0</v>
      </c>
      <c r="Z69" s="24">
        <f t="shared" si="37"/>
        <v>0</v>
      </c>
      <c r="AA69" s="24">
        <f t="shared" si="37"/>
        <v>0</v>
      </c>
      <c r="AB69" s="24">
        <f t="shared" si="37"/>
        <v>0</v>
      </c>
      <c r="AC69" s="24">
        <f t="shared" si="37"/>
        <v>0</v>
      </c>
      <c r="AD69" s="27">
        <f t="shared" si="28"/>
        <v>0</v>
      </c>
      <c r="AE69" s="25">
        <f>IFERROR(_xlfn.XLOOKUP(N69&amp;P69,'Historico Vendas'!G:G,'Historico Vendas'!E:E),0)</f>
        <v>0</v>
      </c>
      <c r="AF69" s="29" t="str">
        <f t="shared" si="33"/>
        <v/>
      </c>
      <c r="AG69" s="24">
        <f>IFERROR(_xlfn.XLOOKUP(N69&amp;P69,'Historico Vendas'!G:G,'Historico Vendas'!F:F),0)</f>
        <v>0</v>
      </c>
      <c r="AH69" s="25">
        <f t="shared" si="29"/>
        <v>0</v>
      </c>
      <c r="AI69" s="24">
        <f t="shared" si="30"/>
        <v>0</v>
      </c>
      <c r="AJ69" s="11" t="str">
        <f t="shared" si="34"/>
        <v/>
      </c>
      <c r="AK69" s="9" t="s">
        <v>102</v>
      </c>
      <c r="AL69" s="13">
        <f>IFERROR(INDEX('Balizador da Meta'!$D$3:$F$23,MATCH(Quantidade!$P69,'Balizador da Meta'!$C$3:$C$23,0),MATCH(Quantidade!AK69,'Balizador da Meta'!$D$2:$F$2,0)),"")</f>
        <v>0</v>
      </c>
      <c r="AM69" s="9"/>
    </row>
    <row r="70" spans="1:39" x14ac:dyDescent="0.3">
      <c r="A70" s="2" t="str">
        <f t="shared" si="31"/>
        <v>NÃO</v>
      </c>
      <c r="B70" s="2" t="str">
        <f>_xlfn.XLOOKUP($N70,'Base de Grupos'!$A:$A,'Base de Grupos'!$D:$D)</f>
        <v>1000065763</v>
      </c>
      <c r="C70" s="5" t="str">
        <f>_xlfn.XLOOKUP($N70,'Base de Grupos'!$A:$A,'Base de Grupos'!$E:$E)</f>
        <v>CANAL VENDA INTERNA</v>
      </c>
      <c r="D70" s="5" t="str">
        <f>_xlfn.XLOOKUP($N70,'Base de Grupos'!$A:$A,'Base de Grupos'!$F:$F)</f>
        <v>1000065763</v>
      </c>
      <c r="E70" s="2" t="str">
        <f>_xlfn.XLOOKUP($N70,'Base de Grupos'!$A:$A,'Base de Grupos'!$G:$G)</f>
        <v>CANAL VENDA INTERNA</v>
      </c>
      <c r="F70" s="2" t="str">
        <f>_xlfn.XLOOKUP($N70,'Base de Grupos'!$A:$A,'Base de Grupos'!$H:$H)</f>
        <v>1000105900</v>
      </c>
      <c r="G70" s="5" t="str">
        <f>_xlfn.XLOOKUP($N70,'Base de Grupos'!$A:$A,'Base de Grupos'!$I:$I)</f>
        <v>REGIONAL VENDA DIRETA CO + NE + NO</v>
      </c>
      <c r="H70" s="5" t="str">
        <f>_xlfn.XLOOKUP($N70,'Base de Grupos'!$A:$A,'Base de Grupos'!$J:$J)</f>
        <v>1000105900</v>
      </c>
      <c r="I70" s="2" t="str">
        <f>_xlfn.XLOOKUP($N70,'Base de Grupos'!$A:$A,'Base de Grupos'!$K:$K)</f>
        <v>REGIONAL VENDA DIRETA CO + NE + NO</v>
      </c>
      <c r="J70" s="2" t="str">
        <f>_xlfn.XLOOKUP($N70,'Base de Grupos'!$A:$A,'Base de Grupos'!$L:$L)</f>
        <v>1000150135</v>
      </c>
      <c r="K70" s="5" t="str">
        <f>_xlfn.XLOOKUP($N70,'Base de Grupos'!$A:$A,'Base de Grupos'!$M:$M)</f>
        <v>HELDER DA SILVA BRUNKOW</v>
      </c>
      <c r="L70" s="5" t="str">
        <f t="shared" si="32"/>
        <v/>
      </c>
      <c r="M70" s="5" t="str">
        <f>_xlfn.XLOOKUP($N70,'Base de Grupos'!$A:$A,'Base de Grupos'!$C:$C)</f>
        <v>PI</v>
      </c>
      <c r="N70" s="3">
        <v>1327</v>
      </c>
      <c r="O70" s="4" t="s">
        <v>227</v>
      </c>
      <c r="P70" s="5" t="s">
        <v>91</v>
      </c>
      <c r="Q70" s="24">
        <v>0</v>
      </c>
      <c r="R70" s="24">
        <v>0</v>
      </c>
      <c r="S70" s="24">
        <v>0</v>
      </c>
      <c r="T70" s="24">
        <v>0</v>
      </c>
      <c r="U70" s="24">
        <v>0</v>
      </c>
      <c r="V70" s="24">
        <v>0</v>
      </c>
      <c r="W70" s="24">
        <v>0</v>
      </c>
      <c r="X70" s="24">
        <v>0</v>
      </c>
      <c r="Y70" s="24">
        <v>0</v>
      </c>
      <c r="Z70" s="24">
        <v>0</v>
      </c>
      <c r="AA70" s="24">
        <v>0</v>
      </c>
      <c r="AB70" s="24">
        <v>0</v>
      </c>
      <c r="AC70" s="30">
        <f t="shared" ref="AC70:AC90" si="38">SUM(T70:AB70)</f>
        <v>0</v>
      </c>
      <c r="AD70" s="27">
        <f t="shared" si="28"/>
        <v>0</v>
      </c>
      <c r="AE70" s="25">
        <f>IFERROR(_xlfn.XLOOKUP(N70&amp;P70,'Historico Vendas'!G:G,'Historico Vendas'!E:E),0)</f>
        <v>0</v>
      </c>
      <c r="AF70" s="29" t="str">
        <f t="shared" si="33"/>
        <v/>
      </c>
      <c r="AG70" s="24">
        <f>IFERROR(_xlfn.XLOOKUP(N70&amp;P70,'Historico Vendas'!G:G,'Historico Vendas'!F:F),0)</f>
        <v>0</v>
      </c>
      <c r="AH70" s="25">
        <f t="shared" si="29"/>
        <v>0</v>
      </c>
      <c r="AI70" s="24">
        <f t="shared" si="30"/>
        <v>0</v>
      </c>
      <c r="AJ70" s="11" t="str">
        <f t="shared" si="34"/>
        <v/>
      </c>
      <c r="AK70" s="9" t="s">
        <v>102</v>
      </c>
      <c r="AL70" s="13">
        <f>IFERROR(INDEX('Balizador da Meta'!$D$3:$F$23,MATCH(Quantidade!$P70,'Balizador da Meta'!$C$3:$C$23,0),MATCH(Quantidade!AK70,'Balizador da Meta'!$D$2:$F$2,0)),"")</f>
        <v>0</v>
      </c>
      <c r="AM70" s="9"/>
    </row>
    <row r="71" spans="1:39" x14ac:dyDescent="0.3">
      <c r="A71" s="2" t="str">
        <f t="shared" si="31"/>
        <v>NÃO</v>
      </c>
      <c r="B71" s="2" t="str">
        <f>_xlfn.XLOOKUP($N71,'Base de Grupos'!$A:$A,'Base de Grupos'!$D:$D)</f>
        <v>1000065763</v>
      </c>
      <c r="C71" s="5" t="str">
        <f>_xlfn.XLOOKUP($N71,'Base de Grupos'!$A:$A,'Base de Grupos'!$E:$E)</f>
        <v>CANAL VENDA INTERNA</v>
      </c>
      <c r="D71" s="5" t="str">
        <f>_xlfn.XLOOKUP($N71,'Base de Grupos'!$A:$A,'Base de Grupos'!$F:$F)</f>
        <v>1000065763</v>
      </c>
      <c r="E71" s="2" t="str">
        <f>_xlfn.XLOOKUP($N71,'Base de Grupos'!$A:$A,'Base de Grupos'!$G:$G)</f>
        <v>CANAL VENDA INTERNA</v>
      </c>
      <c r="F71" s="2" t="str">
        <f>_xlfn.XLOOKUP($N71,'Base de Grupos'!$A:$A,'Base de Grupos'!$H:$H)</f>
        <v>1000105900</v>
      </c>
      <c r="G71" s="5" t="str">
        <f>_xlfn.XLOOKUP($N71,'Base de Grupos'!$A:$A,'Base de Grupos'!$I:$I)</f>
        <v>REGIONAL VENDA DIRETA CO + NE + NO</v>
      </c>
      <c r="H71" s="5" t="str">
        <f>_xlfn.XLOOKUP($N71,'Base de Grupos'!$A:$A,'Base de Grupos'!$J:$J)</f>
        <v>1000105900</v>
      </c>
      <c r="I71" s="2" t="str">
        <f>_xlfn.XLOOKUP($N71,'Base de Grupos'!$A:$A,'Base de Grupos'!$K:$K)</f>
        <v>REGIONAL VENDA DIRETA CO + NE + NO</v>
      </c>
      <c r="J71" s="2" t="str">
        <f>_xlfn.XLOOKUP($N71,'Base de Grupos'!$A:$A,'Base de Grupos'!$L:$L)</f>
        <v>1000150135</v>
      </c>
      <c r="K71" s="5" t="str">
        <f>_xlfn.XLOOKUP($N71,'Base de Grupos'!$A:$A,'Base de Grupos'!$M:$M)</f>
        <v>HELDER DA SILVA BRUNKOW</v>
      </c>
      <c r="L71" s="5" t="str">
        <f t="shared" si="32"/>
        <v/>
      </c>
      <c r="M71" s="5" t="str">
        <f>_xlfn.XLOOKUP($N71,'Base de Grupos'!$A:$A,'Base de Grupos'!$C:$C)</f>
        <v>PI</v>
      </c>
      <c r="N71" s="3">
        <v>1327</v>
      </c>
      <c r="O71" s="4" t="s">
        <v>227</v>
      </c>
      <c r="P71" s="5" t="s">
        <v>96</v>
      </c>
      <c r="Q71" s="24">
        <v>0</v>
      </c>
      <c r="R71" s="24">
        <v>0</v>
      </c>
      <c r="S71" s="24">
        <v>0</v>
      </c>
      <c r="T71" s="24">
        <v>0</v>
      </c>
      <c r="U71" s="24">
        <v>0</v>
      </c>
      <c r="V71" s="24">
        <v>0</v>
      </c>
      <c r="W71" s="24">
        <v>0</v>
      </c>
      <c r="X71" s="24">
        <v>0</v>
      </c>
      <c r="Y71" s="24">
        <v>0</v>
      </c>
      <c r="Z71" s="24">
        <v>0</v>
      </c>
      <c r="AA71" s="24">
        <v>0</v>
      </c>
      <c r="AB71" s="24">
        <v>0</v>
      </c>
      <c r="AC71" s="30">
        <f t="shared" si="38"/>
        <v>0</v>
      </c>
      <c r="AD71" s="27">
        <f t="shared" si="28"/>
        <v>0</v>
      </c>
      <c r="AE71" s="25">
        <f>IFERROR(_xlfn.XLOOKUP(N71&amp;P71,'Historico Vendas'!G:G,'Historico Vendas'!E:E),0)</f>
        <v>0</v>
      </c>
      <c r="AF71" s="29" t="str">
        <f t="shared" si="33"/>
        <v/>
      </c>
      <c r="AG71" s="24">
        <f>IFERROR(_xlfn.XLOOKUP(N71&amp;P71,'Historico Vendas'!G:G,'Historico Vendas'!F:F),0)</f>
        <v>0</v>
      </c>
      <c r="AH71" s="25">
        <f t="shared" si="29"/>
        <v>0</v>
      </c>
      <c r="AI71" s="24">
        <f t="shared" si="30"/>
        <v>0</v>
      </c>
      <c r="AJ71" s="11" t="str">
        <f t="shared" si="34"/>
        <v/>
      </c>
      <c r="AK71" s="9" t="s">
        <v>102</v>
      </c>
      <c r="AL71" s="13">
        <f>IFERROR(INDEX('Balizador da Meta'!$D$3:$F$23,MATCH(Quantidade!$P71,'Balizador da Meta'!$C$3:$C$23,0),MATCH(Quantidade!AK71,'Balizador da Meta'!$D$2:$F$2,0)),"")</f>
        <v>0</v>
      </c>
      <c r="AM71" s="9"/>
    </row>
    <row r="72" spans="1:39" x14ac:dyDescent="0.3">
      <c r="A72" s="2" t="str">
        <f t="shared" si="31"/>
        <v>NÃO</v>
      </c>
      <c r="B72" s="2" t="str">
        <f>_xlfn.XLOOKUP($N72,'Base de Grupos'!$A:$A,'Base de Grupos'!$D:$D)</f>
        <v>1000065763</v>
      </c>
      <c r="C72" s="5" t="str">
        <f>_xlfn.XLOOKUP($N72,'Base de Grupos'!$A:$A,'Base de Grupos'!$E:$E)</f>
        <v>CANAL VENDA INTERNA</v>
      </c>
      <c r="D72" s="5" t="str">
        <f>_xlfn.XLOOKUP($N72,'Base de Grupos'!$A:$A,'Base de Grupos'!$F:$F)</f>
        <v>1000065763</v>
      </c>
      <c r="E72" s="2" t="str">
        <f>_xlfn.XLOOKUP($N72,'Base de Grupos'!$A:$A,'Base de Grupos'!$G:$G)</f>
        <v>CANAL VENDA INTERNA</v>
      </c>
      <c r="F72" s="2" t="str">
        <f>_xlfn.XLOOKUP($N72,'Base de Grupos'!$A:$A,'Base de Grupos'!$H:$H)</f>
        <v>1000105900</v>
      </c>
      <c r="G72" s="5" t="str">
        <f>_xlfn.XLOOKUP($N72,'Base de Grupos'!$A:$A,'Base de Grupos'!$I:$I)</f>
        <v>REGIONAL VENDA DIRETA CO + NE + NO</v>
      </c>
      <c r="H72" s="5" t="str">
        <f>_xlfn.XLOOKUP($N72,'Base de Grupos'!$A:$A,'Base de Grupos'!$J:$J)</f>
        <v>1000105900</v>
      </c>
      <c r="I72" s="2" t="str">
        <f>_xlfn.XLOOKUP($N72,'Base de Grupos'!$A:$A,'Base de Grupos'!$K:$K)</f>
        <v>REGIONAL VENDA DIRETA CO + NE + NO</v>
      </c>
      <c r="J72" s="2" t="str">
        <f>_xlfn.XLOOKUP($N72,'Base de Grupos'!$A:$A,'Base de Grupos'!$L:$L)</f>
        <v>1000150135</v>
      </c>
      <c r="K72" s="5" t="str">
        <f>_xlfn.XLOOKUP($N72,'Base de Grupos'!$A:$A,'Base de Grupos'!$M:$M)</f>
        <v>HELDER DA SILVA BRUNKOW</v>
      </c>
      <c r="L72" s="5" t="str">
        <f t="shared" si="32"/>
        <v/>
      </c>
      <c r="M72" s="5" t="str">
        <f>_xlfn.XLOOKUP($N72,'Base de Grupos'!$A:$A,'Base de Grupos'!$C:$C)</f>
        <v>PI</v>
      </c>
      <c r="N72" s="3">
        <v>1327</v>
      </c>
      <c r="O72" s="4" t="s">
        <v>227</v>
      </c>
      <c r="P72" s="5" t="s">
        <v>94</v>
      </c>
      <c r="Q72" s="24">
        <v>0</v>
      </c>
      <c r="R72" s="24">
        <v>0</v>
      </c>
      <c r="S72" s="24">
        <v>0</v>
      </c>
      <c r="T72" s="24">
        <v>0</v>
      </c>
      <c r="U72" s="24">
        <v>0</v>
      </c>
      <c r="V72" s="24">
        <v>0</v>
      </c>
      <c r="W72" s="24">
        <v>0</v>
      </c>
      <c r="X72" s="24">
        <v>0</v>
      </c>
      <c r="Y72" s="24">
        <v>0</v>
      </c>
      <c r="Z72" s="24">
        <v>0</v>
      </c>
      <c r="AA72" s="24">
        <v>0</v>
      </c>
      <c r="AB72" s="24">
        <v>0</v>
      </c>
      <c r="AC72" s="30">
        <f t="shared" si="38"/>
        <v>0</v>
      </c>
      <c r="AD72" s="27">
        <f t="shared" si="28"/>
        <v>0</v>
      </c>
      <c r="AE72" s="25">
        <f>IFERROR(_xlfn.XLOOKUP(N72&amp;P72,'Historico Vendas'!G:G,'Historico Vendas'!E:E),0)</f>
        <v>0</v>
      </c>
      <c r="AF72" s="29" t="str">
        <f t="shared" si="33"/>
        <v/>
      </c>
      <c r="AG72" s="24">
        <f>IFERROR(_xlfn.XLOOKUP(N72&amp;P72,'Historico Vendas'!G:G,'Historico Vendas'!F:F),0)</f>
        <v>0</v>
      </c>
      <c r="AH72" s="25">
        <f t="shared" si="29"/>
        <v>0</v>
      </c>
      <c r="AI72" s="24">
        <f t="shared" si="30"/>
        <v>0</v>
      </c>
      <c r="AJ72" s="11" t="str">
        <f t="shared" si="34"/>
        <v/>
      </c>
      <c r="AK72" s="9" t="s">
        <v>102</v>
      </c>
      <c r="AL72" s="13">
        <f>IFERROR(INDEX('Balizador da Meta'!$D$3:$F$23,MATCH(Quantidade!$P72,'Balizador da Meta'!$C$3:$C$23,0),MATCH(Quantidade!AK72,'Balizador da Meta'!$D$2:$F$2,0)),"")</f>
        <v>0.25</v>
      </c>
      <c r="AM72" s="9"/>
    </row>
    <row r="73" spans="1:39" x14ac:dyDescent="0.3">
      <c r="A73" s="2" t="str">
        <f t="shared" si="31"/>
        <v>NÃO</v>
      </c>
      <c r="B73" s="2" t="str">
        <f>_xlfn.XLOOKUP($N73,'Base de Grupos'!$A:$A,'Base de Grupos'!$D:$D)</f>
        <v>1000065763</v>
      </c>
      <c r="C73" s="5" t="str">
        <f>_xlfn.XLOOKUP($N73,'Base de Grupos'!$A:$A,'Base de Grupos'!$E:$E)</f>
        <v>CANAL VENDA INTERNA</v>
      </c>
      <c r="D73" s="5" t="str">
        <f>_xlfn.XLOOKUP($N73,'Base de Grupos'!$A:$A,'Base de Grupos'!$F:$F)</f>
        <v>1000065763</v>
      </c>
      <c r="E73" s="2" t="str">
        <f>_xlfn.XLOOKUP($N73,'Base de Grupos'!$A:$A,'Base de Grupos'!$G:$G)</f>
        <v>CANAL VENDA INTERNA</v>
      </c>
      <c r="F73" s="2" t="str">
        <f>_xlfn.XLOOKUP($N73,'Base de Grupos'!$A:$A,'Base de Grupos'!$H:$H)</f>
        <v>1000105900</v>
      </c>
      <c r="G73" s="5" t="str">
        <f>_xlfn.XLOOKUP($N73,'Base de Grupos'!$A:$A,'Base de Grupos'!$I:$I)</f>
        <v>REGIONAL VENDA DIRETA CO + NE + NO</v>
      </c>
      <c r="H73" s="5" t="str">
        <f>_xlfn.XLOOKUP($N73,'Base de Grupos'!$A:$A,'Base de Grupos'!$J:$J)</f>
        <v>1000105900</v>
      </c>
      <c r="I73" s="2" t="str">
        <f>_xlfn.XLOOKUP($N73,'Base de Grupos'!$A:$A,'Base de Grupos'!$K:$K)</f>
        <v>REGIONAL VENDA DIRETA CO + NE + NO</v>
      </c>
      <c r="J73" s="2" t="str">
        <f>_xlfn.XLOOKUP($N73,'Base de Grupos'!$A:$A,'Base de Grupos'!$L:$L)</f>
        <v>1000150135</v>
      </c>
      <c r="K73" s="5" t="str">
        <f>_xlfn.XLOOKUP($N73,'Base de Grupos'!$A:$A,'Base de Grupos'!$M:$M)</f>
        <v>HELDER DA SILVA BRUNKOW</v>
      </c>
      <c r="L73" s="5" t="str">
        <f t="shared" si="32"/>
        <v/>
      </c>
      <c r="M73" s="5" t="str">
        <f>_xlfn.XLOOKUP($N73,'Base de Grupos'!$A:$A,'Base de Grupos'!$C:$C)</f>
        <v>PI</v>
      </c>
      <c r="N73" s="3">
        <v>1327</v>
      </c>
      <c r="O73" s="4" t="s">
        <v>227</v>
      </c>
      <c r="P73" s="5" t="s">
        <v>95</v>
      </c>
      <c r="Q73" s="24">
        <v>0</v>
      </c>
      <c r="R73" s="24">
        <v>0</v>
      </c>
      <c r="S73" s="24">
        <v>0</v>
      </c>
      <c r="T73" s="24">
        <v>0</v>
      </c>
      <c r="U73" s="24">
        <v>0</v>
      </c>
      <c r="V73" s="24">
        <v>0</v>
      </c>
      <c r="W73" s="24">
        <v>0</v>
      </c>
      <c r="X73" s="24">
        <v>0</v>
      </c>
      <c r="Y73" s="24">
        <v>0</v>
      </c>
      <c r="Z73" s="24">
        <v>0</v>
      </c>
      <c r="AA73" s="24">
        <v>0</v>
      </c>
      <c r="AB73" s="24">
        <v>0</v>
      </c>
      <c r="AC73" s="30">
        <f t="shared" si="38"/>
        <v>0</v>
      </c>
      <c r="AD73" s="27">
        <f t="shared" si="28"/>
        <v>0</v>
      </c>
      <c r="AE73" s="25">
        <f>IFERROR(_xlfn.XLOOKUP(N73&amp;P73,'Historico Vendas'!G:G,'Historico Vendas'!E:E),0)</f>
        <v>0</v>
      </c>
      <c r="AF73" s="29" t="str">
        <f t="shared" si="33"/>
        <v/>
      </c>
      <c r="AG73" s="24">
        <f>IFERROR(_xlfn.XLOOKUP(N73&amp;P73,'Historico Vendas'!G:G,'Historico Vendas'!F:F),0)</f>
        <v>0</v>
      </c>
      <c r="AH73" s="25">
        <f t="shared" si="29"/>
        <v>0</v>
      </c>
      <c r="AI73" s="24">
        <f t="shared" si="30"/>
        <v>0</v>
      </c>
      <c r="AJ73" s="11" t="str">
        <f t="shared" si="34"/>
        <v/>
      </c>
      <c r="AK73" s="9" t="s">
        <v>102</v>
      </c>
      <c r="AL73" s="13">
        <f>IFERROR(INDEX('Balizador da Meta'!$D$3:$F$23,MATCH(Quantidade!$P73,'Balizador da Meta'!$C$3:$C$23,0),MATCH(Quantidade!AK73,'Balizador da Meta'!$D$2:$F$2,0)),"")</f>
        <v>0.25</v>
      </c>
      <c r="AM73" s="9"/>
    </row>
    <row r="74" spans="1:39" x14ac:dyDescent="0.3">
      <c r="A74" s="2" t="str">
        <f t="shared" si="31"/>
        <v>NÃO</v>
      </c>
      <c r="B74" s="2" t="str">
        <f>_xlfn.XLOOKUP($N74,'Base de Grupos'!$A:$A,'Base de Grupos'!$D:$D)</f>
        <v>1000065763</v>
      </c>
      <c r="C74" s="5" t="str">
        <f>_xlfn.XLOOKUP($N74,'Base de Grupos'!$A:$A,'Base de Grupos'!$E:$E)</f>
        <v>CANAL VENDA INTERNA</v>
      </c>
      <c r="D74" s="5" t="str">
        <f>_xlfn.XLOOKUP($N74,'Base de Grupos'!$A:$A,'Base de Grupos'!$F:$F)</f>
        <v>1000065763</v>
      </c>
      <c r="E74" s="2" t="str">
        <f>_xlfn.XLOOKUP($N74,'Base de Grupos'!$A:$A,'Base de Grupos'!$G:$G)</f>
        <v>CANAL VENDA INTERNA</v>
      </c>
      <c r="F74" s="2" t="str">
        <f>_xlfn.XLOOKUP($N74,'Base de Grupos'!$A:$A,'Base de Grupos'!$H:$H)</f>
        <v>1000105900</v>
      </c>
      <c r="G74" s="5" t="str">
        <f>_xlfn.XLOOKUP($N74,'Base de Grupos'!$A:$A,'Base de Grupos'!$I:$I)</f>
        <v>REGIONAL VENDA DIRETA CO + NE + NO</v>
      </c>
      <c r="H74" s="5" t="str">
        <f>_xlfn.XLOOKUP($N74,'Base de Grupos'!$A:$A,'Base de Grupos'!$J:$J)</f>
        <v>1000105900</v>
      </c>
      <c r="I74" s="2" t="str">
        <f>_xlfn.XLOOKUP($N74,'Base de Grupos'!$A:$A,'Base de Grupos'!$K:$K)</f>
        <v>REGIONAL VENDA DIRETA CO + NE + NO</v>
      </c>
      <c r="J74" s="2" t="str">
        <f>_xlfn.XLOOKUP($N74,'Base de Grupos'!$A:$A,'Base de Grupos'!$L:$L)</f>
        <v>1000150135</v>
      </c>
      <c r="K74" s="5" t="str">
        <f>_xlfn.XLOOKUP($N74,'Base de Grupos'!$A:$A,'Base de Grupos'!$M:$M)</f>
        <v>HELDER DA SILVA BRUNKOW</v>
      </c>
      <c r="L74" s="5" t="str">
        <f t="shared" si="32"/>
        <v/>
      </c>
      <c r="M74" s="5" t="str">
        <f>_xlfn.XLOOKUP($N74,'Base de Grupos'!$A:$A,'Base de Grupos'!$C:$C)</f>
        <v>PI</v>
      </c>
      <c r="N74" s="3">
        <v>1327</v>
      </c>
      <c r="O74" s="4" t="s">
        <v>227</v>
      </c>
      <c r="P74" s="5" t="s">
        <v>93</v>
      </c>
      <c r="Q74" s="24">
        <v>0</v>
      </c>
      <c r="R74" s="24">
        <v>0</v>
      </c>
      <c r="S74" s="24">
        <v>0</v>
      </c>
      <c r="T74" s="24">
        <v>0</v>
      </c>
      <c r="U74" s="24">
        <v>0</v>
      </c>
      <c r="V74" s="24">
        <v>0</v>
      </c>
      <c r="W74" s="24">
        <v>0</v>
      </c>
      <c r="X74" s="24">
        <v>0</v>
      </c>
      <c r="Y74" s="24">
        <v>0</v>
      </c>
      <c r="Z74" s="24">
        <v>0</v>
      </c>
      <c r="AA74" s="24">
        <v>0</v>
      </c>
      <c r="AB74" s="24">
        <v>0</v>
      </c>
      <c r="AC74" s="30">
        <f t="shared" si="38"/>
        <v>0</v>
      </c>
      <c r="AD74" s="27">
        <f t="shared" si="28"/>
        <v>0</v>
      </c>
      <c r="AE74" s="25">
        <f>IFERROR(_xlfn.XLOOKUP(N74&amp;P74,'Historico Vendas'!G:G,'Historico Vendas'!E:E),0)</f>
        <v>0</v>
      </c>
      <c r="AF74" s="29" t="str">
        <f t="shared" si="33"/>
        <v/>
      </c>
      <c r="AG74" s="24">
        <f>IFERROR(_xlfn.XLOOKUP(N74&amp;P74,'Historico Vendas'!G:G,'Historico Vendas'!F:F),0)</f>
        <v>0</v>
      </c>
      <c r="AH74" s="25">
        <f t="shared" si="29"/>
        <v>0</v>
      </c>
      <c r="AI74" s="24">
        <f t="shared" si="30"/>
        <v>0</v>
      </c>
      <c r="AJ74" s="11" t="str">
        <f t="shared" si="34"/>
        <v/>
      </c>
      <c r="AK74" s="9" t="s">
        <v>102</v>
      </c>
      <c r="AL74" s="13">
        <f>IFERROR(INDEX('Balizador da Meta'!$D$3:$F$23,MATCH(Quantidade!$P74,'Balizador da Meta'!$C$3:$C$23,0),MATCH(Quantidade!AK74,'Balizador da Meta'!$D$2:$F$2,0)),"")</f>
        <v>0.2</v>
      </c>
      <c r="AM74" s="9"/>
    </row>
    <row r="75" spans="1:39" x14ac:dyDescent="0.3">
      <c r="A75" s="2" t="str">
        <f t="shared" si="31"/>
        <v>SIM</v>
      </c>
      <c r="B75" s="2" t="str">
        <f>_xlfn.XLOOKUP($N75,'Base de Grupos'!$A:$A,'Base de Grupos'!$D:$D)</f>
        <v>1000065763</v>
      </c>
      <c r="C75" s="5" t="str">
        <f>_xlfn.XLOOKUP($N75,'Base de Grupos'!$A:$A,'Base de Grupos'!$E:$E)</f>
        <v>CANAL VENDA INTERNA</v>
      </c>
      <c r="D75" s="5" t="str">
        <f>_xlfn.XLOOKUP($N75,'Base de Grupos'!$A:$A,'Base de Grupos'!$F:$F)</f>
        <v>1000065763</v>
      </c>
      <c r="E75" s="2" t="str">
        <f>_xlfn.XLOOKUP($N75,'Base de Grupos'!$A:$A,'Base de Grupos'!$G:$G)</f>
        <v>CANAL VENDA INTERNA</v>
      </c>
      <c r="F75" s="2" t="str">
        <f>_xlfn.XLOOKUP($N75,'Base de Grupos'!$A:$A,'Base de Grupos'!$H:$H)</f>
        <v>1000105900</v>
      </c>
      <c r="G75" s="5" t="str">
        <f>_xlfn.XLOOKUP($N75,'Base de Grupos'!$A:$A,'Base de Grupos'!$I:$I)</f>
        <v>REGIONAL VENDA DIRETA CO + NE + NO</v>
      </c>
      <c r="H75" s="5" t="str">
        <f>_xlfn.XLOOKUP($N75,'Base de Grupos'!$A:$A,'Base de Grupos'!$J:$J)</f>
        <v>1000105900</v>
      </c>
      <c r="I75" s="2" t="str">
        <f>_xlfn.XLOOKUP($N75,'Base de Grupos'!$A:$A,'Base de Grupos'!$K:$K)</f>
        <v>REGIONAL VENDA DIRETA CO + NE + NO</v>
      </c>
      <c r="J75" s="2" t="str">
        <f>_xlfn.XLOOKUP($N75,'Base de Grupos'!$A:$A,'Base de Grupos'!$L:$L)</f>
        <v>1000150135</v>
      </c>
      <c r="K75" s="5" t="str">
        <f>_xlfn.XLOOKUP($N75,'Base de Grupos'!$A:$A,'Base de Grupos'!$M:$M)</f>
        <v>HELDER DA SILVA BRUNKOW</v>
      </c>
      <c r="L75" s="5">
        <f t="shared" si="32"/>
        <v>1</v>
      </c>
      <c r="M75" s="5" t="str">
        <f>_xlfn.XLOOKUP($N75,'Base de Grupos'!$A:$A,'Base de Grupos'!$C:$C)</f>
        <v>PE</v>
      </c>
      <c r="N75" s="3">
        <v>1328</v>
      </c>
      <c r="O75" s="4" t="s">
        <v>228</v>
      </c>
      <c r="P75" s="5" t="s">
        <v>298</v>
      </c>
      <c r="Q75" s="24">
        <v>0</v>
      </c>
      <c r="R75" s="24">
        <v>0</v>
      </c>
      <c r="S75" s="24">
        <v>0</v>
      </c>
      <c r="T75" s="24">
        <v>0</v>
      </c>
      <c r="U75" s="24">
        <v>0</v>
      </c>
      <c r="V75" s="24">
        <v>0</v>
      </c>
      <c r="W75" s="24">
        <v>0</v>
      </c>
      <c r="X75" s="24">
        <v>0</v>
      </c>
      <c r="Y75" s="24">
        <v>0</v>
      </c>
      <c r="Z75" s="24">
        <v>0</v>
      </c>
      <c r="AA75" s="24">
        <v>0</v>
      </c>
      <c r="AB75" s="24">
        <v>0</v>
      </c>
      <c r="AC75" s="30">
        <f t="shared" si="38"/>
        <v>0</v>
      </c>
      <c r="AD75" s="25">
        <f t="shared" ref="AD75:AI75" si="39">SUM(AD76:AD92)</f>
        <v>0</v>
      </c>
      <c r="AE75" s="25">
        <f t="shared" si="39"/>
        <v>0</v>
      </c>
      <c r="AF75" s="11" t="str">
        <f t="shared" si="33"/>
        <v/>
      </c>
      <c r="AG75" s="24">
        <f t="shared" si="39"/>
        <v>0</v>
      </c>
      <c r="AH75" s="25">
        <f t="shared" si="39"/>
        <v>0</v>
      </c>
      <c r="AI75" s="24">
        <f t="shared" si="39"/>
        <v>0</v>
      </c>
      <c r="AJ75" s="11" t="str">
        <f t="shared" si="34"/>
        <v/>
      </c>
      <c r="AK75" s="9"/>
      <c r="AL75" s="13"/>
      <c r="AM75" s="9"/>
    </row>
    <row r="76" spans="1:39" x14ac:dyDescent="0.3">
      <c r="A76" s="2" t="str">
        <f t="shared" si="31"/>
        <v>NÃO</v>
      </c>
      <c r="B76" s="2" t="str">
        <f>_xlfn.XLOOKUP($N76,'Base de Grupos'!$A:$A,'Base de Grupos'!$D:$D)</f>
        <v>1000065763</v>
      </c>
      <c r="C76" s="5" t="str">
        <f>_xlfn.XLOOKUP($N76,'Base de Grupos'!$A:$A,'Base de Grupos'!$E:$E)</f>
        <v>CANAL VENDA INTERNA</v>
      </c>
      <c r="D76" s="5" t="str">
        <f>_xlfn.XLOOKUP($N76,'Base de Grupos'!$A:$A,'Base de Grupos'!$F:$F)</f>
        <v>1000065763</v>
      </c>
      <c r="E76" s="2" t="str">
        <f>_xlfn.XLOOKUP($N76,'Base de Grupos'!$A:$A,'Base de Grupos'!$G:$G)</f>
        <v>CANAL VENDA INTERNA</v>
      </c>
      <c r="F76" s="2" t="str">
        <f>_xlfn.XLOOKUP($N76,'Base de Grupos'!$A:$A,'Base de Grupos'!$H:$H)</f>
        <v>1000105900</v>
      </c>
      <c r="G76" s="5" t="str">
        <f>_xlfn.XLOOKUP($N76,'Base de Grupos'!$A:$A,'Base de Grupos'!$I:$I)</f>
        <v>REGIONAL VENDA DIRETA CO + NE + NO</v>
      </c>
      <c r="H76" s="5" t="str">
        <f>_xlfn.XLOOKUP($N76,'Base de Grupos'!$A:$A,'Base de Grupos'!$J:$J)</f>
        <v>1000105900</v>
      </c>
      <c r="I76" s="2" t="str">
        <f>_xlfn.XLOOKUP($N76,'Base de Grupos'!$A:$A,'Base de Grupos'!$K:$K)</f>
        <v>REGIONAL VENDA DIRETA CO + NE + NO</v>
      </c>
      <c r="J76" s="2" t="str">
        <f>_xlfn.XLOOKUP($N76,'Base de Grupos'!$A:$A,'Base de Grupos'!$L:$L)</f>
        <v>1000150135</v>
      </c>
      <c r="K76" s="5" t="str">
        <f>_xlfn.XLOOKUP($N76,'Base de Grupos'!$A:$A,'Base de Grupos'!$M:$M)</f>
        <v>HELDER DA SILVA BRUNKOW</v>
      </c>
      <c r="L76" s="5" t="str">
        <f t="shared" si="32"/>
        <v/>
      </c>
      <c r="M76" s="5" t="str">
        <f>_xlfn.XLOOKUP($N76,'Base de Grupos'!$A:$A,'Base de Grupos'!$C:$C)</f>
        <v>PE</v>
      </c>
      <c r="N76" s="3">
        <v>1328</v>
      </c>
      <c r="O76" s="4" t="s">
        <v>228</v>
      </c>
      <c r="P76" s="5" t="s">
        <v>81</v>
      </c>
      <c r="Q76" s="24">
        <v>0</v>
      </c>
      <c r="R76" s="24">
        <v>0</v>
      </c>
      <c r="S76" s="24">
        <v>0</v>
      </c>
      <c r="T76" s="24">
        <v>0</v>
      </c>
      <c r="U76" s="24">
        <v>0</v>
      </c>
      <c r="V76" s="24">
        <v>0</v>
      </c>
      <c r="W76" s="24">
        <v>0</v>
      </c>
      <c r="X76" s="24">
        <v>0</v>
      </c>
      <c r="Y76" s="24">
        <v>0</v>
      </c>
      <c r="Z76" s="24">
        <v>0</v>
      </c>
      <c r="AA76" s="24">
        <v>0</v>
      </c>
      <c r="AB76" s="24">
        <v>0</v>
      </c>
      <c r="AC76" s="30">
        <f t="shared" si="38"/>
        <v>0</v>
      </c>
      <c r="AD76" s="27">
        <f t="shared" ref="AD76:AD92" si="40">IF(AC76=0,0,AC76-AG76)</f>
        <v>0</v>
      </c>
      <c r="AE76" s="25">
        <f>IFERROR(_xlfn.XLOOKUP(N76&amp;P76,'Historico Vendas'!G:G,'Historico Vendas'!E:E),0)</f>
        <v>0</v>
      </c>
      <c r="AF76" s="29" t="str">
        <f t="shared" si="33"/>
        <v/>
      </c>
      <c r="AG76" s="24">
        <f>IFERROR(_xlfn.XLOOKUP(N76&amp;P76,'Historico Vendas'!G:G,'Historico Vendas'!F:F),0)</f>
        <v>0</v>
      </c>
      <c r="AH76" s="25">
        <f t="shared" ref="AH76:AH92" si="41">SUM(Q76:S76)</f>
        <v>0</v>
      </c>
      <c r="AI76" s="24">
        <f t="shared" ref="AI76:AI92" si="42">AH76-AG76</f>
        <v>0</v>
      </c>
      <c r="AJ76" s="11" t="str">
        <f t="shared" si="34"/>
        <v/>
      </c>
      <c r="AK76" s="9" t="s">
        <v>102</v>
      </c>
      <c r="AL76" s="13">
        <f>IFERROR(INDEX('Balizador da Meta'!$D$3:$F$23,MATCH(Quantidade!$P76,'Balizador da Meta'!$C$3:$C$23,0),MATCH(Quantidade!AK76,'Balizador da Meta'!$D$2:$F$2,0)),"")</f>
        <v>0.2</v>
      </c>
      <c r="AM76" s="9"/>
    </row>
    <row r="77" spans="1:39" x14ac:dyDescent="0.3">
      <c r="A77" s="2" t="str">
        <f t="shared" si="31"/>
        <v>NÃO</v>
      </c>
      <c r="B77" s="2" t="str">
        <f>_xlfn.XLOOKUP($N77,'Base de Grupos'!$A:$A,'Base de Grupos'!$D:$D)</f>
        <v>1000065763</v>
      </c>
      <c r="C77" s="5" t="str">
        <f>_xlfn.XLOOKUP($N77,'Base de Grupos'!$A:$A,'Base de Grupos'!$E:$E)</f>
        <v>CANAL VENDA INTERNA</v>
      </c>
      <c r="D77" s="5" t="str">
        <f>_xlfn.XLOOKUP($N77,'Base de Grupos'!$A:$A,'Base de Grupos'!$F:$F)</f>
        <v>1000065763</v>
      </c>
      <c r="E77" s="2" t="str">
        <f>_xlfn.XLOOKUP($N77,'Base de Grupos'!$A:$A,'Base de Grupos'!$G:$G)</f>
        <v>CANAL VENDA INTERNA</v>
      </c>
      <c r="F77" s="2" t="str">
        <f>_xlfn.XLOOKUP($N77,'Base de Grupos'!$A:$A,'Base de Grupos'!$H:$H)</f>
        <v>1000105900</v>
      </c>
      <c r="G77" s="5" t="str">
        <f>_xlfn.XLOOKUP($N77,'Base de Grupos'!$A:$A,'Base de Grupos'!$I:$I)</f>
        <v>REGIONAL VENDA DIRETA CO + NE + NO</v>
      </c>
      <c r="H77" s="5" t="str">
        <f>_xlfn.XLOOKUP($N77,'Base de Grupos'!$A:$A,'Base de Grupos'!$J:$J)</f>
        <v>1000105900</v>
      </c>
      <c r="I77" s="2" t="str">
        <f>_xlfn.XLOOKUP($N77,'Base de Grupos'!$A:$A,'Base de Grupos'!$K:$K)</f>
        <v>REGIONAL VENDA DIRETA CO + NE + NO</v>
      </c>
      <c r="J77" s="2" t="str">
        <f>_xlfn.XLOOKUP($N77,'Base de Grupos'!$A:$A,'Base de Grupos'!$L:$L)</f>
        <v>1000150135</v>
      </c>
      <c r="K77" s="5" t="str">
        <f>_xlfn.XLOOKUP($N77,'Base de Grupos'!$A:$A,'Base de Grupos'!$M:$M)</f>
        <v>HELDER DA SILVA BRUNKOW</v>
      </c>
      <c r="L77" s="5" t="str">
        <f t="shared" si="32"/>
        <v/>
      </c>
      <c r="M77" s="5" t="str">
        <f>_xlfn.XLOOKUP($N77,'Base de Grupos'!$A:$A,'Base de Grupos'!$C:$C)</f>
        <v>PE</v>
      </c>
      <c r="N77" s="3">
        <v>1328</v>
      </c>
      <c r="O77" s="4" t="s">
        <v>228</v>
      </c>
      <c r="P77" s="5" t="s">
        <v>82</v>
      </c>
      <c r="Q77" s="24">
        <v>0</v>
      </c>
      <c r="R77" s="24">
        <v>0</v>
      </c>
      <c r="S77" s="24">
        <v>0</v>
      </c>
      <c r="T77" s="24">
        <v>0</v>
      </c>
      <c r="U77" s="24">
        <v>0</v>
      </c>
      <c r="V77" s="24">
        <v>0</v>
      </c>
      <c r="W77" s="24">
        <v>0</v>
      </c>
      <c r="X77" s="24">
        <v>0</v>
      </c>
      <c r="Y77" s="24">
        <v>0</v>
      </c>
      <c r="Z77" s="24">
        <v>0</v>
      </c>
      <c r="AA77" s="24">
        <v>0</v>
      </c>
      <c r="AB77" s="24">
        <v>0</v>
      </c>
      <c r="AC77" s="30">
        <f t="shared" si="38"/>
        <v>0</v>
      </c>
      <c r="AD77" s="27">
        <f t="shared" si="40"/>
        <v>0</v>
      </c>
      <c r="AE77" s="25">
        <f>IFERROR(_xlfn.XLOOKUP(N77&amp;P77,'Historico Vendas'!G:G,'Historico Vendas'!E:E),0)</f>
        <v>0</v>
      </c>
      <c r="AF77" s="29" t="str">
        <f t="shared" si="33"/>
        <v/>
      </c>
      <c r="AG77" s="24">
        <f>IFERROR(_xlfn.XLOOKUP(N77&amp;P77,'Historico Vendas'!G:G,'Historico Vendas'!F:F),0)</f>
        <v>0</v>
      </c>
      <c r="AH77" s="25">
        <f t="shared" si="41"/>
        <v>0</v>
      </c>
      <c r="AI77" s="24">
        <f t="shared" si="42"/>
        <v>0</v>
      </c>
      <c r="AJ77" s="11" t="str">
        <f t="shared" si="34"/>
        <v/>
      </c>
      <c r="AK77" s="9" t="s">
        <v>102</v>
      </c>
      <c r="AL77" s="13">
        <f>IFERROR(INDEX('Balizador da Meta'!$D$3:$F$23,MATCH(Quantidade!$P77,'Balizador da Meta'!$C$3:$C$23,0),MATCH(Quantidade!AK77,'Balizador da Meta'!$D$2:$F$2,0)),"")</f>
        <v>0.2</v>
      </c>
      <c r="AM77" s="9"/>
    </row>
    <row r="78" spans="1:39" x14ac:dyDescent="0.3">
      <c r="A78" s="2" t="str">
        <f t="shared" si="31"/>
        <v>NÃO</v>
      </c>
      <c r="B78" s="2" t="str">
        <f>_xlfn.XLOOKUP($N78,'Base de Grupos'!$A:$A,'Base de Grupos'!$D:$D)</f>
        <v>1000065763</v>
      </c>
      <c r="C78" s="5" t="str">
        <f>_xlfn.XLOOKUP($N78,'Base de Grupos'!$A:$A,'Base de Grupos'!$E:$E)</f>
        <v>CANAL VENDA INTERNA</v>
      </c>
      <c r="D78" s="5" t="str">
        <f>_xlfn.XLOOKUP($N78,'Base de Grupos'!$A:$A,'Base de Grupos'!$F:$F)</f>
        <v>1000065763</v>
      </c>
      <c r="E78" s="2" t="str">
        <f>_xlfn.XLOOKUP($N78,'Base de Grupos'!$A:$A,'Base de Grupos'!$G:$G)</f>
        <v>CANAL VENDA INTERNA</v>
      </c>
      <c r="F78" s="2" t="str">
        <f>_xlfn.XLOOKUP($N78,'Base de Grupos'!$A:$A,'Base de Grupos'!$H:$H)</f>
        <v>1000105900</v>
      </c>
      <c r="G78" s="5" t="str">
        <f>_xlfn.XLOOKUP($N78,'Base de Grupos'!$A:$A,'Base de Grupos'!$I:$I)</f>
        <v>REGIONAL VENDA DIRETA CO + NE + NO</v>
      </c>
      <c r="H78" s="5" t="str">
        <f>_xlfn.XLOOKUP($N78,'Base de Grupos'!$A:$A,'Base de Grupos'!$J:$J)</f>
        <v>1000105900</v>
      </c>
      <c r="I78" s="2" t="str">
        <f>_xlfn.XLOOKUP($N78,'Base de Grupos'!$A:$A,'Base de Grupos'!$K:$K)</f>
        <v>REGIONAL VENDA DIRETA CO + NE + NO</v>
      </c>
      <c r="J78" s="2" t="str">
        <f>_xlfn.XLOOKUP($N78,'Base de Grupos'!$A:$A,'Base de Grupos'!$L:$L)</f>
        <v>1000150135</v>
      </c>
      <c r="K78" s="5" t="str">
        <f>_xlfn.XLOOKUP($N78,'Base de Grupos'!$A:$A,'Base de Grupos'!$M:$M)</f>
        <v>HELDER DA SILVA BRUNKOW</v>
      </c>
      <c r="L78" s="5" t="str">
        <f t="shared" si="32"/>
        <v/>
      </c>
      <c r="M78" s="5" t="str">
        <f>_xlfn.XLOOKUP($N78,'Base de Grupos'!$A:$A,'Base de Grupos'!$C:$C)</f>
        <v>PE</v>
      </c>
      <c r="N78" s="3">
        <v>1328</v>
      </c>
      <c r="O78" s="4" t="s">
        <v>228</v>
      </c>
      <c r="P78" s="5" t="s">
        <v>84</v>
      </c>
      <c r="Q78" s="24">
        <v>0</v>
      </c>
      <c r="R78" s="24">
        <v>0</v>
      </c>
      <c r="S78" s="24">
        <v>0</v>
      </c>
      <c r="T78" s="24">
        <v>0</v>
      </c>
      <c r="U78" s="24">
        <v>0</v>
      </c>
      <c r="V78" s="24">
        <v>0</v>
      </c>
      <c r="W78" s="24">
        <v>0</v>
      </c>
      <c r="X78" s="24">
        <v>0</v>
      </c>
      <c r="Y78" s="24">
        <v>0</v>
      </c>
      <c r="Z78" s="24">
        <v>0</v>
      </c>
      <c r="AA78" s="24">
        <v>0</v>
      </c>
      <c r="AB78" s="24">
        <v>0</v>
      </c>
      <c r="AC78" s="30">
        <f t="shared" si="38"/>
        <v>0</v>
      </c>
      <c r="AD78" s="27">
        <f t="shared" si="40"/>
        <v>0</v>
      </c>
      <c r="AE78" s="25">
        <f>IFERROR(_xlfn.XLOOKUP(N78&amp;P78,'Historico Vendas'!G:G,'Historico Vendas'!E:E),0)</f>
        <v>0</v>
      </c>
      <c r="AF78" s="29" t="str">
        <f t="shared" si="33"/>
        <v/>
      </c>
      <c r="AG78" s="24">
        <f>IFERROR(_xlfn.XLOOKUP(N78&amp;P78,'Historico Vendas'!G:G,'Historico Vendas'!F:F),0)</f>
        <v>0</v>
      </c>
      <c r="AH78" s="25">
        <f t="shared" si="41"/>
        <v>0</v>
      </c>
      <c r="AI78" s="24">
        <f t="shared" si="42"/>
        <v>0</v>
      </c>
      <c r="AJ78" s="11" t="str">
        <f t="shared" si="34"/>
        <v/>
      </c>
      <c r="AK78" s="9" t="s">
        <v>102</v>
      </c>
      <c r="AL78" s="13">
        <f>IFERROR(INDEX('Balizador da Meta'!$D$3:$F$23,MATCH(Quantidade!$P78,'Balizador da Meta'!$C$3:$C$23,0),MATCH(Quantidade!AK78,'Balizador da Meta'!$D$2:$F$2,0)),"")</f>
        <v>0.15</v>
      </c>
      <c r="AM78" s="9"/>
    </row>
    <row r="79" spans="1:39" x14ac:dyDescent="0.3">
      <c r="A79" s="2" t="str">
        <f t="shared" si="31"/>
        <v>NÃO</v>
      </c>
      <c r="B79" s="2" t="str">
        <f>_xlfn.XLOOKUP($N79,'Base de Grupos'!$A:$A,'Base de Grupos'!$D:$D)</f>
        <v>1000065763</v>
      </c>
      <c r="C79" s="5" t="str">
        <f>_xlfn.XLOOKUP($N79,'Base de Grupos'!$A:$A,'Base de Grupos'!$E:$E)</f>
        <v>CANAL VENDA INTERNA</v>
      </c>
      <c r="D79" s="5" t="str">
        <f>_xlfn.XLOOKUP($N79,'Base de Grupos'!$A:$A,'Base de Grupos'!$F:$F)</f>
        <v>1000065763</v>
      </c>
      <c r="E79" s="2" t="str">
        <f>_xlfn.XLOOKUP($N79,'Base de Grupos'!$A:$A,'Base de Grupos'!$G:$G)</f>
        <v>CANAL VENDA INTERNA</v>
      </c>
      <c r="F79" s="2" t="str">
        <f>_xlfn.XLOOKUP($N79,'Base de Grupos'!$A:$A,'Base de Grupos'!$H:$H)</f>
        <v>1000105900</v>
      </c>
      <c r="G79" s="5" t="str">
        <f>_xlfn.XLOOKUP($N79,'Base de Grupos'!$A:$A,'Base de Grupos'!$I:$I)</f>
        <v>REGIONAL VENDA DIRETA CO + NE + NO</v>
      </c>
      <c r="H79" s="5" t="str">
        <f>_xlfn.XLOOKUP($N79,'Base de Grupos'!$A:$A,'Base de Grupos'!$J:$J)</f>
        <v>1000105900</v>
      </c>
      <c r="I79" s="2" t="str">
        <f>_xlfn.XLOOKUP($N79,'Base de Grupos'!$A:$A,'Base de Grupos'!$K:$K)</f>
        <v>REGIONAL VENDA DIRETA CO + NE + NO</v>
      </c>
      <c r="J79" s="2" t="str">
        <f>_xlfn.XLOOKUP($N79,'Base de Grupos'!$A:$A,'Base de Grupos'!$L:$L)</f>
        <v>1000150135</v>
      </c>
      <c r="K79" s="5" t="str">
        <f>_xlfn.XLOOKUP($N79,'Base de Grupos'!$A:$A,'Base de Grupos'!$M:$M)</f>
        <v>HELDER DA SILVA BRUNKOW</v>
      </c>
      <c r="L79" s="5" t="str">
        <f t="shared" si="32"/>
        <v/>
      </c>
      <c r="M79" s="5" t="str">
        <f>_xlfn.XLOOKUP($N79,'Base de Grupos'!$A:$A,'Base de Grupos'!$C:$C)</f>
        <v>PE</v>
      </c>
      <c r="N79" s="3">
        <v>1328</v>
      </c>
      <c r="O79" s="4" t="s">
        <v>228</v>
      </c>
      <c r="P79" s="5" t="s">
        <v>83</v>
      </c>
      <c r="Q79" s="24">
        <v>0</v>
      </c>
      <c r="R79" s="24">
        <v>0</v>
      </c>
      <c r="S79" s="24">
        <v>0</v>
      </c>
      <c r="T79" s="24">
        <v>0</v>
      </c>
      <c r="U79" s="24">
        <v>0</v>
      </c>
      <c r="V79" s="24">
        <v>0</v>
      </c>
      <c r="W79" s="24">
        <v>0</v>
      </c>
      <c r="X79" s="24">
        <v>0</v>
      </c>
      <c r="Y79" s="24">
        <v>0</v>
      </c>
      <c r="Z79" s="24">
        <v>0</v>
      </c>
      <c r="AA79" s="24">
        <v>0</v>
      </c>
      <c r="AB79" s="24">
        <v>0</v>
      </c>
      <c r="AC79" s="30">
        <f t="shared" si="38"/>
        <v>0</v>
      </c>
      <c r="AD79" s="27">
        <f t="shared" si="40"/>
        <v>0</v>
      </c>
      <c r="AE79" s="25">
        <f>IFERROR(_xlfn.XLOOKUP(N79&amp;P79,'Historico Vendas'!G:G,'Historico Vendas'!E:E),0)</f>
        <v>0</v>
      </c>
      <c r="AF79" s="29" t="str">
        <f t="shared" si="33"/>
        <v/>
      </c>
      <c r="AG79" s="24">
        <f>IFERROR(_xlfn.XLOOKUP(N79&amp;P79,'Historico Vendas'!G:G,'Historico Vendas'!F:F),0)</f>
        <v>0</v>
      </c>
      <c r="AH79" s="25">
        <f t="shared" si="41"/>
        <v>0</v>
      </c>
      <c r="AI79" s="24">
        <f t="shared" si="42"/>
        <v>0</v>
      </c>
      <c r="AJ79" s="11" t="str">
        <f t="shared" si="34"/>
        <v/>
      </c>
      <c r="AK79" s="9" t="s">
        <v>102</v>
      </c>
      <c r="AL79" s="13">
        <f>IFERROR(INDEX('Balizador da Meta'!$D$3:$F$23,MATCH(Quantidade!$P79,'Balizador da Meta'!$C$3:$C$23,0),MATCH(Quantidade!AK79,'Balizador da Meta'!$D$2:$F$2,0)),"")</f>
        <v>0</v>
      </c>
      <c r="AM79" s="9"/>
    </row>
    <row r="80" spans="1:39" x14ac:dyDescent="0.3">
      <c r="A80" s="2" t="str">
        <f t="shared" si="31"/>
        <v>NÃO</v>
      </c>
      <c r="B80" s="2" t="str">
        <f>_xlfn.XLOOKUP($N80,'Base de Grupos'!$A:$A,'Base de Grupos'!$D:$D)</f>
        <v>1000065763</v>
      </c>
      <c r="C80" s="5" t="str">
        <f>_xlfn.XLOOKUP($N80,'Base de Grupos'!$A:$A,'Base de Grupos'!$E:$E)</f>
        <v>CANAL VENDA INTERNA</v>
      </c>
      <c r="D80" s="5" t="str">
        <f>_xlfn.XLOOKUP($N80,'Base de Grupos'!$A:$A,'Base de Grupos'!$F:$F)</f>
        <v>1000065763</v>
      </c>
      <c r="E80" s="2" t="str">
        <f>_xlfn.XLOOKUP($N80,'Base de Grupos'!$A:$A,'Base de Grupos'!$G:$G)</f>
        <v>CANAL VENDA INTERNA</v>
      </c>
      <c r="F80" s="2" t="str">
        <f>_xlfn.XLOOKUP($N80,'Base de Grupos'!$A:$A,'Base de Grupos'!$H:$H)</f>
        <v>1000105900</v>
      </c>
      <c r="G80" s="5" t="str">
        <f>_xlfn.XLOOKUP($N80,'Base de Grupos'!$A:$A,'Base de Grupos'!$I:$I)</f>
        <v>REGIONAL VENDA DIRETA CO + NE + NO</v>
      </c>
      <c r="H80" s="5" t="str">
        <f>_xlfn.XLOOKUP($N80,'Base de Grupos'!$A:$A,'Base de Grupos'!$J:$J)</f>
        <v>1000105900</v>
      </c>
      <c r="I80" s="2" t="str">
        <f>_xlfn.XLOOKUP($N80,'Base de Grupos'!$A:$A,'Base de Grupos'!$K:$K)</f>
        <v>REGIONAL VENDA DIRETA CO + NE + NO</v>
      </c>
      <c r="J80" s="2" t="str">
        <f>_xlfn.XLOOKUP($N80,'Base de Grupos'!$A:$A,'Base de Grupos'!$L:$L)</f>
        <v>1000150135</v>
      </c>
      <c r="K80" s="5" t="str">
        <f>_xlfn.XLOOKUP($N80,'Base de Grupos'!$A:$A,'Base de Grupos'!$M:$M)</f>
        <v>HELDER DA SILVA BRUNKOW</v>
      </c>
      <c r="L80" s="5" t="str">
        <f t="shared" si="32"/>
        <v/>
      </c>
      <c r="M80" s="5" t="str">
        <f>_xlfn.XLOOKUP($N80,'Base de Grupos'!$A:$A,'Base de Grupos'!$C:$C)</f>
        <v>PE</v>
      </c>
      <c r="N80" s="3">
        <v>1328</v>
      </c>
      <c r="O80" s="4" t="s">
        <v>228</v>
      </c>
      <c r="P80" s="5" t="s">
        <v>87</v>
      </c>
      <c r="Q80" s="24">
        <v>0</v>
      </c>
      <c r="R80" s="24">
        <v>0</v>
      </c>
      <c r="S80" s="24">
        <v>0</v>
      </c>
      <c r="T80" s="24">
        <v>0</v>
      </c>
      <c r="U80" s="24">
        <v>0</v>
      </c>
      <c r="V80" s="24">
        <v>0</v>
      </c>
      <c r="W80" s="24">
        <v>0</v>
      </c>
      <c r="X80" s="24">
        <v>0</v>
      </c>
      <c r="Y80" s="24">
        <v>0</v>
      </c>
      <c r="Z80" s="24">
        <v>0</v>
      </c>
      <c r="AA80" s="24">
        <v>0</v>
      </c>
      <c r="AB80" s="24">
        <v>0</v>
      </c>
      <c r="AC80" s="30">
        <f t="shared" si="38"/>
        <v>0</v>
      </c>
      <c r="AD80" s="27">
        <f t="shared" si="40"/>
        <v>0</v>
      </c>
      <c r="AE80" s="25">
        <f>IFERROR(_xlfn.XLOOKUP(N80&amp;P80,'Historico Vendas'!G:G,'Historico Vendas'!E:E),0)</f>
        <v>0</v>
      </c>
      <c r="AF80" s="29" t="str">
        <f t="shared" si="33"/>
        <v/>
      </c>
      <c r="AG80" s="24">
        <f>IFERROR(_xlfn.XLOOKUP(N80&amp;P80,'Historico Vendas'!G:G,'Historico Vendas'!F:F),0)</f>
        <v>0</v>
      </c>
      <c r="AH80" s="25">
        <f t="shared" si="41"/>
        <v>0</v>
      </c>
      <c r="AI80" s="24">
        <f t="shared" si="42"/>
        <v>0</v>
      </c>
      <c r="AJ80" s="11" t="str">
        <f t="shared" si="34"/>
        <v/>
      </c>
      <c r="AK80" s="9" t="s">
        <v>102</v>
      </c>
      <c r="AL80" s="13">
        <f>IFERROR(INDEX('Balizador da Meta'!$D$3:$F$23,MATCH(Quantidade!$P80,'Balizador da Meta'!$C$3:$C$23,0),MATCH(Quantidade!AK80,'Balizador da Meta'!$D$2:$F$2,0)),"")</f>
        <v>0</v>
      </c>
      <c r="AM80" s="9"/>
    </row>
    <row r="81" spans="1:39" x14ac:dyDescent="0.3">
      <c r="A81" s="2" t="str">
        <f t="shared" si="31"/>
        <v>NÃO</v>
      </c>
      <c r="B81" s="2" t="str">
        <f>_xlfn.XLOOKUP($N81,'Base de Grupos'!$A:$A,'Base de Grupos'!$D:$D)</f>
        <v>1000065763</v>
      </c>
      <c r="C81" s="5" t="str">
        <f>_xlfn.XLOOKUP($N81,'Base de Grupos'!$A:$A,'Base de Grupos'!$E:$E)</f>
        <v>CANAL VENDA INTERNA</v>
      </c>
      <c r="D81" s="5" t="str">
        <f>_xlfn.XLOOKUP($N81,'Base de Grupos'!$A:$A,'Base de Grupos'!$F:$F)</f>
        <v>1000065763</v>
      </c>
      <c r="E81" s="2" t="str">
        <f>_xlfn.XLOOKUP($N81,'Base de Grupos'!$A:$A,'Base de Grupos'!$G:$G)</f>
        <v>CANAL VENDA INTERNA</v>
      </c>
      <c r="F81" s="2" t="str">
        <f>_xlfn.XLOOKUP($N81,'Base de Grupos'!$A:$A,'Base de Grupos'!$H:$H)</f>
        <v>1000105900</v>
      </c>
      <c r="G81" s="5" t="str">
        <f>_xlfn.XLOOKUP($N81,'Base de Grupos'!$A:$A,'Base de Grupos'!$I:$I)</f>
        <v>REGIONAL VENDA DIRETA CO + NE + NO</v>
      </c>
      <c r="H81" s="5" t="str">
        <f>_xlfn.XLOOKUP($N81,'Base de Grupos'!$A:$A,'Base de Grupos'!$J:$J)</f>
        <v>1000105900</v>
      </c>
      <c r="I81" s="2" t="str">
        <f>_xlfn.XLOOKUP($N81,'Base de Grupos'!$A:$A,'Base de Grupos'!$K:$K)</f>
        <v>REGIONAL VENDA DIRETA CO + NE + NO</v>
      </c>
      <c r="J81" s="2" t="str">
        <f>_xlfn.XLOOKUP($N81,'Base de Grupos'!$A:$A,'Base de Grupos'!$L:$L)</f>
        <v>1000150135</v>
      </c>
      <c r="K81" s="5" t="str">
        <f>_xlfn.XLOOKUP($N81,'Base de Grupos'!$A:$A,'Base de Grupos'!$M:$M)</f>
        <v>HELDER DA SILVA BRUNKOW</v>
      </c>
      <c r="L81" s="5" t="str">
        <f t="shared" si="32"/>
        <v/>
      </c>
      <c r="M81" s="5" t="str">
        <f>_xlfn.XLOOKUP($N81,'Base de Grupos'!$A:$A,'Base de Grupos'!$C:$C)</f>
        <v>PE</v>
      </c>
      <c r="N81" s="3">
        <v>1328</v>
      </c>
      <c r="O81" s="4" t="s">
        <v>228</v>
      </c>
      <c r="P81" s="5" t="s">
        <v>85</v>
      </c>
      <c r="Q81" s="24">
        <v>0</v>
      </c>
      <c r="R81" s="24">
        <v>0</v>
      </c>
      <c r="S81" s="24">
        <v>0</v>
      </c>
      <c r="T81" s="24">
        <v>0</v>
      </c>
      <c r="U81" s="24">
        <v>0</v>
      </c>
      <c r="V81" s="24">
        <v>0</v>
      </c>
      <c r="W81" s="24">
        <v>0</v>
      </c>
      <c r="X81" s="24">
        <v>0</v>
      </c>
      <c r="Y81" s="24">
        <v>0</v>
      </c>
      <c r="Z81" s="24">
        <v>0</v>
      </c>
      <c r="AA81" s="24">
        <v>0</v>
      </c>
      <c r="AB81" s="24">
        <v>0</v>
      </c>
      <c r="AC81" s="30">
        <f t="shared" si="38"/>
        <v>0</v>
      </c>
      <c r="AD81" s="27">
        <f t="shared" si="40"/>
        <v>0</v>
      </c>
      <c r="AE81" s="25">
        <f>IFERROR(_xlfn.XLOOKUP(N81&amp;P81,'Historico Vendas'!G:G,'Historico Vendas'!E:E),0)</f>
        <v>0</v>
      </c>
      <c r="AF81" s="29" t="str">
        <f t="shared" si="33"/>
        <v/>
      </c>
      <c r="AG81" s="24">
        <f>IFERROR(_xlfn.XLOOKUP(N81&amp;P81,'Historico Vendas'!G:G,'Historico Vendas'!F:F),0)</f>
        <v>0</v>
      </c>
      <c r="AH81" s="25">
        <f t="shared" si="41"/>
        <v>0</v>
      </c>
      <c r="AI81" s="24">
        <f t="shared" si="42"/>
        <v>0</v>
      </c>
      <c r="AJ81" s="11" t="str">
        <f t="shared" si="34"/>
        <v/>
      </c>
      <c r="AK81" s="9" t="s">
        <v>102</v>
      </c>
      <c r="AL81" s="13">
        <f>IFERROR(INDEX('Balizador da Meta'!$D$3:$F$23,MATCH(Quantidade!$P81,'Balizador da Meta'!$C$3:$C$23,0),MATCH(Quantidade!AK81,'Balizador da Meta'!$D$2:$F$2,0)),"")</f>
        <v>0</v>
      </c>
      <c r="AM81" s="9"/>
    </row>
    <row r="82" spans="1:39" x14ac:dyDescent="0.3">
      <c r="A82" s="2" t="str">
        <f t="shared" si="31"/>
        <v>NÃO</v>
      </c>
      <c r="B82" s="2" t="str">
        <f>_xlfn.XLOOKUP($N82,'Base de Grupos'!$A:$A,'Base de Grupos'!$D:$D)</f>
        <v>1000065763</v>
      </c>
      <c r="C82" s="5" t="str">
        <f>_xlfn.XLOOKUP($N82,'Base de Grupos'!$A:$A,'Base de Grupos'!$E:$E)</f>
        <v>CANAL VENDA INTERNA</v>
      </c>
      <c r="D82" s="5" t="str">
        <f>_xlfn.XLOOKUP($N82,'Base de Grupos'!$A:$A,'Base de Grupos'!$F:$F)</f>
        <v>1000065763</v>
      </c>
      <c r="E82" s="2" t="str">
        <f>_xlfn.XLOOKUP($N82,'Base de Grupos'!$A:$A,'Base de Grupos'!$G:$G)</f>
        <v>CANAL VENDA INTERNA</v>
      </c>
      <c r="F82" s="2" t="str">
        <f>_xlfn.XLOOKUP($N82,'Base de Grupos'!$A:$A,'Base de Grupos'!$H:$H)</f>
        <v>1000105900</v>
      </c>
      <c r="G82" s="5" t="str">
        <f>_xlfn.XLOOKUP($N82,'Base de Grupos'!$A:$A,'Base de Grupos'!$I:$I)</f>
        <v>REGIONAL VENDA DIRETA CO + NE + NO</v>
      </c>
      <c r="H82" s="5" t="str">
        <f>_xlfn.XLOOKUP($N82,'Base de Grupos'!$A:$A,'Base de Grupos'!$J:$J)</f>
        <v>1000105900</v>
      </c>
      <c r="I82" s="2" t="str">
        <f>_xlfn.XLOOKUP($N82,'Base de Grupos'!$A:$A,'Base de Grupos'!$K:$K)</f>
        <v>REGIONAL VENDA DIRETA CO + NE + NO</v>
      </c>
      <c r="J82" s="2" t="str">
        <f>_xlfn.XLOOKUP($N82,'Base de Grupos'!$A:$A,'Base de Grupos'!$L:$L)</f>
        <v>1000150135</v>
      </c>
      <c r="K82" s="5" t="str">
        <f>_xlfn.XLOOKUP($N82,'Base de Grupos'!$A:$A,'Base de Grupos'!$M:$M)</f>
        <v>HELDER DA SILVA BRUNKOW</v>
      </c>
      <c r="L82" s="5" t="str">
        <f t="shared" si="32"/>
        <v/>
      </c>
      <c r="M82" s="5" t="str">
        <f>_xlfn.XLOOKUP($N82,'Base de Grupos'!$A:$A,'Base de Grupos'!$C:$C)</f>
        <v>PE</v>
      </c>
      <c r="N82" s="3">
        <v>1328</v>
      </c>
      <c r="O82" s="4" t="s">
        <v>228</v>
      </c>
      <c r="P82" s="5" t="s">
        <v>92</v>
      </c>
      <c r="Q82" s="24">
        <v>0</v>
      </c>
      <c r="R82" s="24">
        <v>0</v>
      </c>
      <c r="S82" s="24">
        <v>0</v>
      </c>
      <c r="T82" s="24">
        <v>0</v>
      </c>
      <c r="U82" s="24">
        <v>0</v>
      </c>
      <c r="V82" s="24">
        <v>0</v>
      </c>
      <c r="W82" s="24">
        <v>0</v>
      </c>
      <c r="X82" s="24">
        <v>0</v>
      </c>
      <c r="Y82" s="24">
        <v>0</v>
      </c>
      <c r="Z82" s="24">
        <v>0</v>
      </c>
      <c r="AA82" s="24">
        <v>0</v>
      </c>
      <c r="AB82" s="24">
        <v>0</v>
      </c>
      <c r="AC82" s="30">
        <f t="shared" si="38"/>
        <v>0</v>
      </c>
      <c r="AD82" s="27">
        <f t="shared" si="40"/>
        <v>0</v>
      </c>
      <c r="AE82" s="25">
        <f>IFERROR(_xlfn.XLOOKUP(N82&amp;P82,'Historico Vendas'!G:G,'Historico Vendas'!E:E),0)</f>
        <v>0</v>
      </c>
      <c r="AF82" s="29" t="str">
        <f t="shared" si="33"/>
        <v/>
      </c>
      <c r="AG82" s="24">
        <f>IFERROR(_xlfn.XLOOKUP(N82&amp;P82,'Historico Vendas'!G:G,'Historico Vendas'!F:F),0)</f>
        <v>0</v>
      </c>
      <c r="AH82" s="25">
        <f t="shared" si="41"/>
        <v>0</v>
      </c>
      <c r="AI82" s="24">
        <f t="shared" si="42"/>
        <v>0</v>
      </c>
      <c r="AJ82" s="11" t="str">
        <f t="shared" si="34"/>
        <v/>
      </c>
      <c r="AK82" s="9" t="s">
        <v>102</v>
      </c>
      <c r="AL82" s="13">
        <f>IFERROR(INDEX('Balizador da Meta'!$D$3:$F$23,MATCH(Quantidade!$P82,'Balizador da Meta'!$C$3:$C$23,0),MATCH(Quantidade!AK82,'Balizador da Meta'!$D$2:$F$2,0)),"")</f>
        <v>0</v>
      </c>
      <c r="AM82" s="9"/>
    </row>
    <row r="83" spans="1:39" x14ac:dyDescent="0.3">
      <c r="A83" s="2" t="str">
        <f t="shared" si="31"/>
        <v>NÃO</v>
      </c>
      <c r="B83" s="2" t="str">
        <f>_xlfn.XLOOKUP($N83,'Base de Grupos'!$A:$A,'Base de Grupos'!$D:$D)</f>
        <v>1000065763</v>
      </c>
      <c r="C83" s="5" t="str">
        <f>_xlfn.XLOOKUP($N83,'Base de Grupos'!$A:$A,'Base de Grupos'!$E:$E)</f>
        <v>CANAL VENDA INTERNA</v>
      </c>
      <c r="D83" s="5" t="str">
        <f>_xlfn.XLOOKUP($N83,'Base de Grupos'!$A:$A,'Base de Grupos'!$F:$F)</f>
        <v>1000065763</v>
      </c>
      <c r="E83" s="2" t="str">
        <f>_xlfn.XLOOKUP($N83,'Base de Grupos'!$A:$A,'Base de Grupos'!$G:$G)</f>
        <v>CANAL VENDA INTERNA</v>
      </c>
      <c r="F83" s="2" t="str">
        <f>_xlfn.XLOOKUP($N83,'Base de Grupos'!$A:$A,'Base de Grupos'!$H:$H)</f>
        <v>1000105900</v>
      </c>
      <c r="G83" s="5" t="str">
        <f>_xlfn.XLOOKUP($N83,'Base de Grupos'!$A:$A,'Base de Grupos'!$I:$I)</f>
        <v>REGIONAL VENDA DIRETA CO + NE + NO</v>
      </c>
      <c r="H83" s="5" t="str">
        <f>_xlfn.XLOOKUP($N83,'Base de Grupos'!$A:$A,'Base de Grupos'!$J:$J)</f>
        <v>1000105900</v>
      </c>
      <c r="I83" s="2" t="str">
        <f>_xlfn.XLOOKUP($N83,'Base de Grupos'!$A:$A,'Base de Grupos'!$K:$K)</f>
        <v>REGIONAL VENDA DIRETA CO + NE + NO</v>
      </c>
      <c r="J83" s="2" t="str">
        <f>_xlfn.XLOOKUP($N83,'Base de Grupos'!$A:$A,'Base de Grupos'!$L:$L)</f>
        <v>1000150135</v>
      </c>
      <c r="K83" s="5" t="str">
        <f>_xlfn.XLOOKUP($N83,'Base de Grupos'!$A:$A,'Base de Grupos'!$M:$M)</f>
        <v>HELDER DA SILVA BRUNKOW</v>
      </c>
      <c r="L83" s="5" t="str">
        <f t="shared" si="32"/>
        <v/>
      </c>
      <c r="M83" s="5" t="str">
        <f>_xlfn.XLOOKUP($N83,'Base de Grupos'!$A:$A,'Base de Grupos'!$C:$C)</f>
        <v>PE</v>
      </c>
      <c r="N83" s="3">
        <v>1328</v>
      </c>
      <c r="O83" s="4" t="s">
        <v>228</v>
      </c>
      <c r="P83" s="5" t="s">
        <v>86</v>
      </c>
      <c r="Q83" s="24">
        <v>0</v>
      </c>
      <c r="R83" s="24">
        <v>0</v>
      </c>
      <c r="S83" s="24">
        <v>0</v>
      </c>
      <c r="T83" s="24">
        <v>0</v>
      </c>
      <c r="U83" s="24">
        <v>0</v>
      </c>
      <c r="V83" s="24">
        <v>0</v>
      </c>
      <c r="W83" s="24">
        <v>0</v>
      </c>
      <c r="X83" s="24">
        <v>0</v>
      </c>
      <c r="Y83" s="24">
        <v>0</v>
      </c>
      <c r="Z83" s="24">
        <v>0</v>
      </c>
      <c r="AA83" s="24">
        <v>0</v>
      </c>
      <c r="AB83" s="24">
        <v>0</v>
      </c>
      <c r="AC83" s="30">
        <f t="shared" si="38"/>
        <v>0</v>
      </c>
      <c r="AD83" s="27">
        <f t="shared" si="40"/>
        <v>0</v>
      </c>
      <c r="AE83" s="25">
        <f>IFERROR(_xlfn.XLOOKUP(N83&amp;P83,'Historico Vendas'!G:G,'Historico Vendas'!E:E),0)</f>
        <v>0</v>
      </c>
      <c r="AF83" s="29" t="str">
        <f t="shared" si="33"/>
        <v/>
      </c>
      <c r="AG83" s="24">
        <f>IFERROR(_xlfn.XLOOKUP(N83&amp;P83,'Historico Vendas'!G:G,'Historico Vendas'!F:F),0)</f>
        <v>0</v>
      </c>
      <c r="AH83" s="25">
        <f t="shared" si="41"/>
        <v>0</v>
      </c>
      <c r="AI83" s="24">
        <f t="shared" si="42"/>
        <v>0</v>
      </c>
      <c r="AJ83" s="11" t="str">
        <f t="shared" si="34"/>
        <v/>
      </c>
      <c r="AK83" s="9" t="s">
        <v>102</v>
      </c>
      <c r="AL83" s="13">
        <f>IFERROR(INDEX('Balizador da Meta'!$D$3:$F$23,MATCH(Quantidade!$P83,'Balizador da Meta'!$C$3:$C$23,0),MATCH(Quantidade!AK83,'Balizador da Meta'!$D$2:$F$2,0)),"")</f>
        <v>0.15</v>
      </c>
      <c r="AM83" s="9"/>
    </row>
    <row r="84" spans="1:39" x14ac:dyDescent="0.3">
      <c r="A84" s="2" t="str">
        <f t="shared" si="31"/>
        <v>NÃO</v>
      </c>
      <c r="B84" s="2" t="str">
        <f>_xlfn.XLOOKUP($N84,'Base de Grupos'!$A:$A,'Base de Grupos'!$D:$D)</f>
        <v>1000065763</v>
      </c>
      <c r="C84" s="5" t="str">
        <f>_xlfn.XLOOKUP($N84,'Base de Grupos'!$A:$A,'Base de Grupos'!$E:$E)</f>
        <v>CANAL VENDA INTERNA</v>
      </c>
      <c r="D84" s="5" t="str">
        <f>_xlfn.XLOOKUP($N84,'Base de Grupos'!$A:$A,'Base de Grupos'!$F:$F)</f>
        <v>1000065763</v>
      </c>
      <c r="E84" s="2" t="str">
        <f>_xlfn.XLOOKUP($N84,'Base de Grupos'!$A:$A,'Base de Grupos'!$G:$G)</f>
        <v>CANAL VENDA INTERNA</v>
      </c>
      <c r="F84" s="2" t="str">
        <f>_xlfn.XLOOKUP($N84,'Base de Grupos'!$A:$A,'Base de Grupos'!$H:$H)</f>
        <v>1000105900</v>
      </c>
      <c r="G84" s="5" t="str">
        <f>_xlfn.XLOOKUP($N84,'Base de Grupos'!$A:$A,'Base de Grupos'!$I:$I)</f>
        <v>REGIONAL VENDA DIRETA CO + NE + NO</v>
      </c>
      <c r="H84" s="5" t="str">
        <f>_xlfn.XLOOKUP($N84,'Base de Grupos'!$A:$A,'Base de Grupos'!$J:$J)</f>
        <v>1000105900</v>
      </c>
      <c r="I84" s="2" t="str">
        <f>_xlfn.XLOOKUP($N84,'Base de Grupos'!$A:$A,'Base de Grupos'!$K:$K)</f>
        <v>REGIONAL VENDA DIRETA CO + NE + NO</v>
      </c>
      <c r="J84" s="2" t="str">
        <f>_xlfn.XLOOKUP($N84,'Base de Grupos'!$A:$A,'Base de Grupos'!$L:$L)</f>
        <v>1000150135</v>
      </c>
      <c r="K84" s="5" t="str">
        <f>_xlfn.XLOOKUP($N84,'Base de Grupos'!$A:$A,'Base de Grupos'!$M:$M)</f>
        <v>HELDER DA SILVA BRUNKOW</v>
      </c>
      <c r="L84" s="5" t="str">
        <f t="shared" si="32"/>
        <v/>
      </c>
      <c r="M84" s="5" t="str">
        <f>_xlfn.XLOOKUP($N84,'Base de Grupos'!$A:$A,'Base de Grupos'!$C:$C)</f>
        <v>PE</v>
      </c>
      <c r="N84" s="3">
        <v>1328</v>
      </c>
      <c r="O84" s="4" t="s">
        <v>228</v>
      </c>
      <c r="P84" s="5" t="s">
        <v>108</v>
      </c>
      <c r="Q84" s="24">
        <v>0</v>
      </c>
      <c r="R84" s="24">
        <v>0</v>
      </c>
      <c r="S84" s="24">
        <v>0</v>
      </c>
      <c r="T84" s="24">
        <v>0</v>
      </c>
      <c r="U84" s="24">
        <v>0</v>
      </c>
      <c r="V84" s="24">
        <v>0</v>
      </c>
      <c r="W84" s="24">
        <v>0</v>
      </c>
      <c r="X84" s="24">
        <v>0</v>
      </c>
      <c r="Y84" s="24">
        <v>0</v>
      </c>
      <c r="Z84" s="24">
        <v>0</v>
      </c>
      <c r="AA84" s="24">
        <v>0</v>
      </c>
      <c r="AB84" s="24">
        <v>0</v>
      </c>
      <c r="AC84" s="30">
        <f t="shared" si="38"/>
        <v>0</v>
      </c>
      <c r="AD84" s="27">
        <f t="shared" si="40"/>
        <v>0</v>
      </c>
      <c r="AE84" s="25">
        <f>IFERROR(_xlfn.XLOOKUP(N84&amp;P84,'Historico Vendas'!G:G,'Historico Vendas'!E:E),0)</f>
        <v>0</v>
      </c>
      <c r="AF84" s="29" t="str">
        <f t="shared" si="33"/>
        <v/>
      </c>
      <c r="AG84" s="24">
        <f>IFERROR(_xlfn.XLOOKUP(N84&amp;P84,'Historico Vendas'!G:G,'Historico Vendas'!F:F),0)</f>
        <v>0</v>
      </c>
      <c r="AH84" s="25">
        <f t="shared" si="41"/>
        <v>0</v>
      </c>
      <c r="AI84" s="24">
        <f t="shared" si="42"/>
        <v>0</v>
      </c>
      <c r="AJ84" s="11" t="str">
        <f t="shared" si="34"/>
        <v/>
      </c>
      <c r="AK84" s="9" t="s">
        <v>102</v>
      </c>
      <c r="AL84" s="13">
        <f>IFERROR(INDEX('Balizador da Meta'!$D$3:$F$23,MATCH(Quantidade!$P84,'Balizador da Meta'!$C$3:$C$23,0),MATCH(Quantidade!AK84,'Balizador da Meta'!$D$2:$F$2,0)),"")</f>
        <v>0</v>
      </c>
      <c r="AM84" s="9"/>
    </row>
    <row r="85" spans="1:39" x14ac:dyDescent="0.3">
      <c r="A85" s="2" t="str">
        <f t="shared" si="31"/>
        <v>NÃO</v>
      </c>
      <c r="B85" s="2" t="str">
        <f>_xlfn.XLOOKUP($N85,'Base de Grupos'!$A:$A,'Base de Grupos'!$D:$D)</f>
        <v>1000065763</v>
      </c>
      <c r="C85" s="5" t="str">
        <f>_xlfn.XLOOKUP($N85,'Base de Grupos'!$A:$A,'Base de Grupos'!$E:$E)</f>
        <v>CANAL VENDA INTERNA</v>
      </c>
      <c r="D85" s="5" t="str">
        <f>_xlfn.XLOOKUP($N85,'Base de Grupos'!$A:$A,'Base de Grupos'!$F:$F)</f>
        <v>1000065763</v>
      </c>
      <c r="E85" s="2" t="str">
        <f>_xlfn.XLOOKUP($N85,'Base de Grupos'!$A:$A,'Base de Grupos'!$G:$G)</f>
        <v>CANAL VENDA INTERNA</v>
      </c>
      <c r="F85" s="2" t="str">
        <f>_xlfn.XLOOKUP($N85,'Base de Grupos'!$A:$A,'Base de Grupos'!$H:$H)</f>
        <v>1000105900</v>
      </c>
      <c r="G85" s="5" t="str">
        <f>_xlfn.XLOOKUP($N85,'Base de Grupos'!$A:$A,'Base de Grupos'!$I:$I)</f>
        <v>REGIONAL VENDA DIRETA CO + NE + NO</v>
      </c>
      <c r="H85" s="5" t="str">
        <f>_xlfn.XLOOKUP($N85,'Base de Grupos'!$A:$A,'Base de Grupos'!$J:$J)</f>
        <v>1000105900</v>
      </c>
      <c r="I85" s="2" t="str">
        <f>_xlfn.XLOOKUP($N85,'Base de Grupos'!$A:$A,'Base de Grupos'!$K:$K)</f>
        <v>REGIONAL VENDA DIRETA CO + NE + NO</v>
      </c>
      <c r="J85" s="2" t="str">
        <f>_xlfn.XLOOKUP($N85,'Base de Grupos'!$A:$A,'Base de Grupos'!$L:$L)</f>
        <v>1000150135</v>
      </c>
      <c r="K85" s="5" t="str">
        <f>_xlfn.XLOOKUP($N85,'Base de Grupos'!$A:$A,'Base de Grupos'!$M:$M)</f>
        <v>HELDER DA SILVA BRUNKOW</v>
      </c>
      <c r="L85" s="5" t="str">
        <f t="shared" si="32"/>
        <v/>
      </c>
      <c r="M85" s="5" t="str">
        <f>_xlfn.XLOOKUP($N85,'Base de Grupos'!$A:$A,'Base de Grupos'!$C:$C)</f>
        <v>PE</v>
      </c>
      <c r="N85" s="3">
        <v>1328</v>
      </c>
      <c r="O85" s="4" t="s">
        <v>228</v>
      </c>
      <c r="P85" s="5" t="s">
        <v>89</v>
      </c>
      <c r="Q85" s="24">
        <v>0</v>
      </c>
      <c r="R85" s="24">
        <v>0</v>
      </c>
      <c r="S85" s="24">
        <v>0</v>
      </c>
      <c r="T85" s="24">
        <v>0</v>
      </c>
      <c r="U85" s="24">
        <v>0</v>
      </c>
      <c r="V85" s="24">
        <v>0</v>
      </c>
      <c r="W85" s="24">
        <v>0</v>
      </c>
      <c r="X85" s="24">
        <v>0</v>
      </c>
      <c r="Y85" s="24">
        <v>0</v>
      </c>
      <c r="Z85" s="24">
        <v>0</v>
      </c>
      <c r="AA85" s="24">
        <v>0</v>
      </c>
      <c r="AB85" s="24">
        <v>0</v>
      </c>
      <c r="AC85" s="30">
        <f t="shared" si="38"/>
        <v>0</v>
      </c>
      <c r="AD85" s="27">
        <f t="shared" si="40"/>
        <v>0</v>
      </c>
      <c r="AE85" s="25">
        <f>IFERROR(_xlfn.XLOOKUP(N85&amp;P85,'Historico Vendas'!G:G,'Historico Vendas'!E:E),0)</f>
        <v>0</v>
      </c>
      <c r="AF85" s="29" t="str">
        <f t="shared" si="33"/>
        <v/>
      </c>
      <c r="AG85" s="24">
        <f>IFERROR(_xlfn.XLOOKUP(N85&amp;P85,'Historico Vendas'!G:G,'Historico Vendas'!F:F),0)</f>
        <v>0</v>
      </c>
      <c r="AH85" s="25">
        <f t="shared" si="41"/>
        <v>0</v>
      </c>
      <c r="AI85" s="24">
        <f t="shared" si="42"/>
        <v>0</v>
      </c>
      <c r="AJ85" s="11" t="str">
        <f t="shared" si="34"/>
        <v/>
      </c>
      <c r="AK85" s="9" t="s">
        <v>102</v>
      </c>
      <c r="AL85" s="13">
        <f>IFERROR(INDEX('Balizador da Meta'!$D$3:$F$23,MATCH(Quantidade!$P85,'Balizador da Meta'!$C$3:$C$23,0),MATCH(Quantidade!AK85,'Balizador da Meta'!$D$2:$F$2,0)),"")</f>
        <v>0.25</v>
      </c>
      <c r="AM85" s="9"/>
    </row>
    <row r="86" spans="1:39" x14ac:dyDescent="0.3">
      <c r="A86" s="2" t="str">
        <f t="shared" si="31"/>
        <v>NÃO</v>
      </c>
      <c r="B86" s="2" t="str">
        <f>_xlfn.XLOOKUP($N86,'Base de Grupos'!$A:$A,'Base de Grupos'!$D:$D)</f>
        <v>1000065763</v>
      </c>
      <c r="C86" s="5" t="str">
        <f>_xlfn.XLOOKUP($N86,'Base de Grupos'!$A:$A,'Base de Grupos'!$E:$E)</f>
        <v>CANAL VENDA INTERNA</v>
      </c>
      <c r="D86" s="5" t="str">
        <f>_xlfn.XLOOKUP($N86,'Base de Grupos'!$A:$A,'Base de Grupos'!$F:$F)</f>
        <v>1000065763</v>
      </c>
      <c r="E86" s="2" t="str">
        <f>_xlfn.XLOOKUP($N86,'Base de Grupos'!$A:$A,'Base de Grupos'!$G:$G)</f>
        <v>CANAL VENDA INTERNA</v>
      </c>
      <c r="F86" s="2" t="str">
        <f>_xlfn.XLOOKUP($N86,'Base de Grupos'!$A:$A,'Base de Grupos'!$H:$H)</f>
        <v>1000105900</v>
      </c>
      <c r="G86" s="5" t="str">
        <f>_xlfn.XLOOKUP($N86,'Base de Grupos'!$A:$A,'Base de Grupos'!$I:$I)</f>
        <v>REGIONAL VENDA DIRETA CO + NE + NO</v>
      </c>
      <c r="H86" s="5" t="str">
        <f>_xlfn.XLOOKUP($N86,'Base de Grupos'!$A:$A,'Base de Grupos'!$J:$J)</f>
        <v>1000105900</v>
      </c>
      <c r="I86" s="2" t="str">
        <f>_xlfn.XLOOKUP($N86,'Base de Grupos'!$A:$A,'Base de Grupos'!$K:$K)</f>
        <v>REGIONAL VENDA DIRETA CO + NE + NO</v>
      </c>
      <c r="J86" s="2" t="str">
        <f>_xlfn.XLOOKUP($N86,'Base de Grupos'!$A:$A,'Base de Grupos'!$L:$L)</f>
        <v>1000150135</v>
      </c>
      <c r="K86" s="5" t="str">
        <f>_xlfn.XLOOKUP($N86,'Base de Grupos'!$A:$A,'Base de Grupos'!$M:$M)</f>
        <v>HELDER DA SILVA BRUNKOW</v>
      </c>
      <c r="L86" s="5" t="str">
        <f t="shared" si="32"/>
        <v/>
      </c>
      <c r="M86" s="5" t="str">
        <f>_xlfn.XLOOKUP($N86,'Base de Grupos'!$A:$A,'Base de Grupos'!$C:$C)</f>
        <v>PE</v>
      </c>
      <c r="N86" s="3">
        <v>1328</v>
      </c>
      <c r="O86" s="4" t="s">
        <v>228</v>
      </c>
      <c r="P86" s="5" t="s">
        <v>88</v>
      </c>
      <c r="Q86" s="24">
        <v>0</v>
      </c>
      <c r="R86" s="24">
        <v>0</v>
      </c>
      <c r="S86" s="24">
        <v>0</v>
      </c>
      <c r="T86" s="24">
        <v>0</v>
      </c>
      <c r="U86" s="24">
        <v>0</v>
      </c>
      <c r="V86" s="24">
        <v>0</v>
      </c>
      <c r="W86" s="24">
        <v>0</v>
      </c>
      <c r="X86" s="24">
        <v>0</v>
      </c>
      <c r="Y86" s="24">
        <v>0</v>
      </c>
      <c r="Z86" s="24">
        <v>0</v>
      </c>
      <c r="AA86" s="24">
        <v>0</v>
      </c>
      <c r="AB86" s="24">
        <v>0</v>
      </c>
      <c r="AC86" s="30">
        <f t="shared" si="38"/>
        <v>0</v>
      </c>
      <c r="AD86" s="27">
        <f t="shared" si="40"/>
        <v>0</v>
      </c>
      <c r="AE86" s="25">
        <f>IFERROR(_xlfn.XLOOKUP(N86&amp;P86,'Historico Vendas'!G:G,'Historico Vendas'!E:E),0)</f>
        <v>0</v>
      </c>
      <c r="AF86" s="29" t="str">
        <f t="shared" si="33"/>
        <v/>
      </c>
      <c r="AG86" s="24">
        <f>IFERROR(_xlfn.XLOOKUP(N86&amp;P86,'Historico Vendas'!G:G,'Historico Vendas'!F:F),0)</f>
        <v>0</v>
      </c>
      <c r="AH86" s="25">
        <f t="shared" si="41"/>
        <v>0</v>
      </c>
      <c r="AI86" s="24">
        <f t="shared" si="42"/>
        <v>0</v>
      </c>
      <c r="AJ86" s="11" t="str">
        <f t="shared" si="34"/>
        <v/>
      </c>
      <c r="AK86" s="9" t="s">
        <v>102</v>
      </c>
      <c r="AL86" s="13">
        <f>IFERROR(INDEX('Balizador da Meta'!$D$3:$F$23,MATCH(Quantidade!$P86,'Balizador da Meta'!$C$3:$C$23,0),MATCH(Quantidade!AK86,'Balizador da Meta'!$D$2:$F$2,0)),"")</f>
        <v>0</v>
      </c>
      <c r="AM86" s="9"/>
    </row>
    <row r="87" spans="1:39" x14ac:dyDescent="0.3">
      <c r="A87" s="2" t="str">
        <f t="shared" si="31"/>
        <v>NÃO</v>
      </c>
      <c r="B87" s="2" t="str">
        <f>_xlfn.XLOOKUP($N87,'Base de Grupos'!$A:$A,'Base de Grupos'!$D:$D)</f>
        <v>1000065763</v>
      </c>
      <c r="C87" s="5" t="str">
        <f>_xlfn.XLOOKUP($N87,'Base de Grupos'!$A:$A,'Base de Grupos'!$E:$E)</f>
        <v>CANAL VENDA INTERNA</v>
      </c>
      <c r="D87" s="5" t="str">
        <f>_xlfn.XLOOKUP($N87,'Base de Grupos'!$A:$A,'Base de Grupos'!$F:$F)</f>
        <v>1000065763</v>
      </c>
      <c r="E87" s="2" t="str">
        <f>_xlfn.XLOOKUP($N87,'Base de Grupos'!$A:$A,'Base de Grupos'!$G:$G)</f>
        <v>CANAL VENDA INTERNA</v>
      </c>
      <c r="F87" s="2" t="str">
        <f>_xlfn.XLOOKUP($N87,'Base de Grupos'!$A:$A,'Base de Grupos'!$H:$H)</f>
        <v>1000105900</v>
      </c>
      <c r="G87" s="5" t="str">
        <f>_xlfn.XLOOKUP($N87,'Base de Grupos'!$A:$A,'Base de Grupos'!$I:$I)</f>
        <v>REGIONAL VENDA DIRETA CO + NE + NO</v>
      </c>
      <c r="H87" s="5" t="str">
        <f>_xlfn.XLOOKUP($N87,'Base de Grupos'!$A:$A,'Base de Grupos'!$J:$J)</f>
        <v>1000105900</v>
      </c>
      <c r="I87" s="2" t="str">
        <f>_xlfn.XLOOKUP($N87,'Base de Grupos'!$A:$A,'Base de Grupos'!$K:$K)</f>
        <v>REGIONAL VENDA DIRETA CO + NE + NO</v>
      </c>
      <c r="J87" s="2" t="str">
        <f>_xlfn.XLOOKUP($N87,'Base de Grupos'!$A:$A,'Base de Grupos'!$L:$L)</f>
        <v>1000150135</v>
      </c>
      <c r="K87" s="5" t="str">
        <f>_xlfn.XLOOKUP($N87,'Base de Grupos'!$A:$A,'Base de Grupos'!$M:$M)</f>
        <v>HELDER DA SILVA BRUNKOW</v>
      </c>
      <c r="L87" s="5" t="str">
        <f t="shared" si="32"/>
        <v/>
      </c>
      <c r="M87" s="5" t="str">
        <f>_xlfn.XLOOKUP($N87,'Base de Grupos'!$A:$A,'Base de Grupos'!$C:$C)</f>
        <v>PE</v>
      </c>
      <c r="N87" s="3">
        <v>1328</v>
      </c>
      <c r="O87" s="4" t="s">
        <v>228</v>
      </c>
      <c r="P87" s="5" t="s">
        <v>90</v>
      </c>
      <c r="Q87" s="24">
        <v>0</v>
      </c>
      <c r="R87" s="24">
        <v>0</v>
      </c>
      <c r="S87" s="24">
        <v>0</v>
      </c>
      <c r="T87" s="24">
        <v>0</v>
      </c>
      <c r="U87" s="24">
        <v>0</v>
      </c>
      <c r="V87" s="24">
        <v>0</v>
      </c>
      <c r="W87" s="24">
        <v>0</v>
      </c>
      <c r="X87" s="24">
        <v>0</v>
      </c>
      <c r="Y87" s="24">
        <v>0</v>
      </c>
      <c r="Z87" s="24">
        <v>0</v>
      </c>
      <c r="AA87" s="24">
        <v>0</v>
      </c>
      <c r="AB87" s="24">
        <v>0</v>
      </c>
      <c r="AC87" s="30">
        <f t="shared" si="38"/>
        <v>0</v>
      </c>
      <c r="AD87" s="27">
        <f t="shared" si="40"/>
        <v>0</v>
      </c>
      <c r="AE87" s="25">
        <f>IFERROR(_xlfn.XLOOKUP(N87&amp;P87,'Historico Vendas'!G:G,'Historico Vendas'!E:E),0)</f>
        <v>0</v>
      </c>
      <c r="AF87" s="29" t="str">
        <f t="shared" si="33"/>
        <v/>
      </c>
      <c r="AG87" s="24">
        <f>IFERROR(_xlfn.XLOOKUP(N87&amp;P87,'Historico Vendas'!G:G,'Historico Vendas'!F:F),0)</f>
        <v>0</v>
      </c>
      <c r="AH87" s="25">
        <f t="shared" si="41"/>
        <v>0</v>
      </c>
      <c r="AI87" s="24">
        <f t="shared" si="42"/>
        <v>0</v>
      </c>
      <c r="AJ87" s="11" t="str">
        <f t="shared" si="34"/>
        <v/>
      </c>
      <c r="AK87" s="9" t="s">
        <v>102</v>
      </c>
      <c r="AL87" s="13">
        <f>IFERROR(INDEX('Balizador da Meta'!$D$3:$F$23,MATCH(Quantidade!$P87,'Balizador da Meta'!$C$3:$C$23,0),MATCH(Quantidade!AK87,'Balizador da Meta'!$D$2:$F$2,0)),"")</f>
        <v>0</v>
      </c>
      <c r="AM87" s="9"/>
    </row>
    <row r="88" spans="1:39" x14ac:dyDescent="0.3">
      <c r="A88" s="2" t="str">
        <f t="shared" si="31"/>
        <v>NÃO</v>
      </c>
      <c r="B88" s="2" t="str">
        <f>_xlfn.XLOOKUP($N88,'Base de Grupos'!$A:$A,'Base de Grupos'!$D:$D)</f>
        <v>1000065763</v>
      </c>
      <c r="C88" s="5" t="str">
        <f>_xlfn.XLOOKUP($N88,'Base de Grupos'!$A:$A,'Base de Grupos'!$E:$E)</f>
        <v>CANAL VENDA INTERNA</v>
      </c>
      <c r="D88" s="5" t="str">
        <f>_xlfn.XLOOKUP($N88,'Base de Grupos'!$A:$A,'Base de Grupos'!$F:$F)</f>
        <v>1000065763</v>
      </c>
      <c r="E88" s="2" t="str">
        <f>_xlfn.XLOOKUP($N88,'Base de Grupos'!$A:$A,'Base de Grupos'!$G:$G)</f>
        <v>CANAL VENDA INTERNA</v>
      </c>
      <c r="F88" s="2" t="str">
        <f>_xlfn.XLOOKUP($N88,'Base de Grupos'!$A:$A,'Base de Grupos'!$H:$H)</f>
        <v>1000105900</v>
      </c>
      <c r="G88" s="5" t="str">
        <f>_xlfn.XLOOKUP($N88,'Base de Grupos'!$A:$A,'Base de Grupos'!$I:$I)</f>
        <v>REGIONAL VENDA DIRETA CO + NE + NO</v>
      </c>
      <c r="H88" s="5" t="str">
        <f>_xlfn.XLOOKUP($N88,'Base de Grupos'!$A:$A,'Base de Grupos'!$J:$J)</f>
        <v>1000105900</v>
      </c>
      <c r="I88" s="2" t="str">
        <f>_xlfn.XLOOKUP($N88,'Base de Grupos'!$A:$A,'Base de Grupos'!$K:$K)</f>
        <v>REGIONAL VENDA DIRETA CO + NE + NO</v>
      </c>
      <c r="J88" s="2" t="str">
        <f>_xlfn.XLOOKUP($N88,'Base de Grupos'!$A:$A,'Base de Grupos'!$L:$L)</f>
        <v>1000150135</v>
      </c>
      <c r="K88" s="5" t="str">
        <f>_xlfn.XLOOKUP($N88,'Base de Grupos'!$A:$A,'Base de Grupos'!$M:$M)</f>
        <v>HELDER DA SILVA BRUNKOW</v>
      </c>
      <c r="L88" s="5" t="str">
        <f t="shared" si="32"/>
        <v/>
      </c>
      <c r="M88" s="5" t="str">
        <f>_xlfn.XLOOKUP($N88,'Base de Grupos'!$A:$A,'Base de Grupos'!$C:$C)</f>
        <v>PE</v>
      </c>
      <c r="N88" s="3">
        <v>1328</v>
      </c>
      <c r="O88" s="4" t="s">
        <v>228</v>
      </c>
      <c r="P88" s="5" t="s">
        <v>91</v>
      </c>
      <c r="Q88" s="24">
        <v>0</v>
      </c>
      <c r="R88" s="24">
        <v>0</v>
      </c>
      <c r="S88" s="24">
        <v>0</v>
      </c>
      <c r="T88" s="24">
        <v>0</v>
      </c>
      <c r="U88" s="24">
        <v>0</v>
      </c>
      <c r="V88" s="24">
        <v>0</v>
      </c>
      <c r="W88" s="24">
        <v>0</v>
      </c>
      <c r="X88" s="24">
        <v>0</v>
      </c>
      <c r="Y88" s="24">
        <v>0</v>
      </c>
      <c r="Z88" s="24">
        <v>0</v>
      </c>
      <c r="AA88" s="24">
        <v>0</v>
      </c>
      <c r="AB88" s="24">
        <v>0</v>
      </c>
      <c r="AC88" s="30">
        <f t="shared" si="38"/>
        <v>0</v>
      </c>
      <c r="AD88" s="27">
        <f t="shared" si="40"/>
        <v>0</v>
      </c>
      <c r="AE88" s="25">
        <f>IFERROR(_xlfn.XLOOKUP(N88&amp;P88,'Historico Vendas'!G:G,'Historico Vendas'!E:E),0)</f>
        <v>0</v>
      </c>
      <c r="AF88" s="29" t="str">
        <f t="shared" si="33"/>
        <v/>
      </c>
      <c r="AG88" s="24">
        <f>IFERROR(_xlfn.XLOOKUP(N88&amp;P88,'Historico Vendas'!G:G,'Historico Vendas'!F:F),0)</f>
        <v>0</v>
      </c>
      <c r="AH88" s="25">
        <f t="shared" si="41"/>
        <v>0</v>
      </c>
      <c r="AI88" s="24">
        <f t="shared" si="42"/>
        <v>0</v>
      </c>
      <c r="AJ88" s="11" t="str">
        <f t="shared" si="34"/>
        <v/>
      </c>
      <c r="AK88" s="9" t="s">
        <v>102</v>
      </c>
      <c r="AL88" s="13">
        <f>IFERROR(INDEX('Balizador da Meta'!$D$3:$F$23,MATCH(Quantidade!$P88,'Balizador da Meta'!$C$3:$C$23,0),MATCH(Quantidade!AK88,'Balizador da Meta'!$D$2:$F$2,0)),"")</f>
        <v>0</v>
      </c>
      <c r="AM88" s="9"/>
    </row>
    <row r="89" spans="1:39" x14ac:dyDescent="0.3">
      <c r="A89" s="2" t="str">
        <f t="shared" si="31"/>
        <v>NÃO</v>
      </c>
      <c r="B89" s="2" t="str">
        <f>_xlfn.XLOOKUP($N89,'Base de Grupos'!$A:$A,'Base de Grupos'!$D:$D)</f>
        <v>1000065763</v>
      </c>
      <c r="C89" s="5" t="str">
        <f>_xlfn.XLOOKUP($N89,'Base de Grupos'!$A:$A,'Base de Grupos'!$E:$E)</f>
        <v>CANAL VENDA INTERNA</v>
      </c>
      <c r="D89" s="5" t="str">
        <f>_xlfn.XLOOKUP($N89,'Base de Grupos'!$A:$A,'Base de Grupos'!$F:$F)</f>
        <v>1000065763</v>
      </c>
      <c r="E89" s="2" t="str">
        <f>_xlfn.XLOOKUP($N89,'Base de Grupos'!$A:$A,'Base de Grupos'!$G:$G)</f>
        <v>CANAL VENDA INTERNA</v>
      </c>
      <c r="F89" s="2" t="str">
        <f>_xlfn.XLOOKUP($N89,'Base de Grupos'!$A:$A,'Base de Grupos'!$H:$H)</f>
        <v>1000105900</v>
      </c>
      <c r="G89" s="5" t="str">
        <f>_xlfn.XLOOKUP($N89,'Base de Grupos'!$A:$A,'Base de Grupos'!$I:$I)</f>
        <v>REGIONAL VENDA DIRETA CO + NE + NO</v>
      </c>
      <c r="H89" s="5" t="str">
        <f>_xlfn.XLOOKUP($N89,'Base de Grupos'!$A:$A,'Base de Grupos'!$J:$J)</f>
        <v>1000105900</v>
      </c>
      <c r="I89" s="2" t="str">
        <f>_xlfn.XLOOKUP($N89,'Base de Grupos'!$A:$A,'Base de Grupos'!$K:$K)</f>
        <v>REGIONAL VENDA DIRETA CO + NE + NO</v>
      </c>
      <c r="J89" s="2" t="str">
        <f>_xlfn.XLOOKUP($N89,'Base de Grupos'!$A:$A,'Base de Grupos'!$L:$L)</f>
        <v>1000150135</v>
      </c>
      <c r="K89" s="5" t="str">
        <f>_xlfn.XLOOKUP($N89,'Base de Grupos'!$A:$A,'Base de Grupos'!$M:$M)</f>
        <v>HELDER DA SILVA BRUNKOW</v>
      </c>
      <c r="L89" s="5" t="str">
        <f t="shared" si="32"/>
        <v/>
      </c>
      <c r="M89" s="5" t="str">
        <f>_xlfn.XLOOKUP($N89,'Base de Grupos'!$A:$A,'Base de Grupos'!$C:$C)</f>
        <v>PE</v>
      </c>
      <c r="N89" s="3">
        <v>1328</v>
      </c>
      <c r="O89" s="4" t="s">
        <v>228</v>
      </c>
      <c r="P89" s="5" t="s">
        <v>96</v>
      </c>
      <c r="Q89" s="24">
        <v>0</v>
      </c>
      <c r="R89" s="24">
        <v>0</v>
      </c>
      <c r="S89" s="24">
        <v>0</v>
      </c>
      <c r="T89" s="24">
        <v>0</v>
      </c>
      <c r="U89" s="24">
        <v>0</v>
      </c>
      <c r="V89" s="24">
        <v>0</v>
      </c>
      <c r="W89" s="24">
        <v>0</v>
      </c>
      <c r="X89" s="24">
        <v>0</v>
      </c>
      <c r="Y89" s="24">
        <v>0</v>
      </c>
      <c r="Z89" s="24">
        <v>0</v>
      </c>
      <c r="AA89" s="24">
        <v>0</v>
      </c>
      <c r="AB89" s="24">
        <v>0</v>
      </c>
      <c r="AC89" s="30">
        <f t="shared" si="38"/>
        <v>0</v>
      </c>
      <c r="AD89" s="27">
        <f t="shared" si="40"/>
        <v>0</v>
      </c>
      <c r="AE89" s="25">
        <f>IFERROR(_xlfn.XLOOKUP(N89&amp;P89,'Historico Vendas'!G:G,'Historico Vendas'!E:E),0)</f>
        <v>0</v>
      </c>
      <c r="AF89" s="29" t="str">
        <f t="shared" si="33"/>
        <v/>
      </c>
      <c r="AG89" s="24">
        <f>IFERROR(_xlfn.XLOOKUP(N89&amp;P89,'Historico Vendas'!G:G,'Historico Vendas'!F:F),0)</f>
        <v>0</v>
      </c>
      <c r="AH89" s="25">
        <f t="shared" si="41"/>
        <v>0</v>
      </c>
      <c r="AI89" s="24">
        <f t="shared" si="42"/>
        <v>0</v>
      </c>
      <c r="AJ89" s="11" t="str">
        <f t="shared" si="34"/>
        <v/>
      </c>
      <c r="AK89" s="9" t="s">
        <v>102</v>
      </c>
      <c r="AL89" s="13">
        <f>IFERROR(INDEX('Balizador da Meta'!$D$3:$F$23,MATCH(Quantidade!$P89,'Balizador da Meta'!$C$3:$C$23,0),MATCH(Quantidade!AK89,'Balizador da Meta'!$D$2:$F$2,0)),"")</f>
        <v>0</v>
      </c>
      <c r="AM89" s="9"/>
    </row>
    <row r="90" spans="1:39" x14ac:dyDescent="0.3">
      <c r="A90" s="2" t="str">
        <f t="shared" si="31"/>
        <v>NÃO</v>
      </c>
      <c r="B90" s="2" t="str">
        <f>_xlfn.XLOOKUP($N90,'Base de Grupos'!$A:$A,'Base de Grupos'!$D:$D)</f>
        <v>1000065763</v>
      </c>
      <c r="C90" s="5" t="str">
        <f>_xlfn.XLOOKUP($N90,'Base de Grupos'!$A:$A,'Base de Grupos'!$E:$E)</f>
        <v>CANAL VENDA INTERNA</v>
      </c>
      <c r="D90" s="5" t="str">
        <f>_xlfn.XLOOKUP($N90,'Base de Grupos'!$A:$A,'Base de Grupos'!$F:$F)</f>
        <v>1000065763</v>
      </c>
      <c r="E90" s="2" t="str">
        <f>_xlfn.XLOOKUP($N90,'Base de Grupos'!$A:$A,'Base de Grupos'!$G:$G)</f>
        <v>CANAL VENDA INTERNA</v>
      </c>
      <c r="F90" s="2" t="str">
        <f>_xlfn.XLOOKUP($N90,'Base de Grupos'!$A:$A,'Base de Grupos'!$H:$H)</f>
        <v>1000105900</v>
      </c>
      <c r="G90" s="5" t="str">
        <f>_xlfn.XLOOKUP($N90,'Base de Grupos'!$A:$A,'Base de Grupos'!$I:$I)</f>
        <v>REGIONAL VENDA DIRETA CO + NE + NO</v>
      </c>
      <c r="H90" s="5" t="str">
        <f>_xlfn.XLOOKUP($N90,'Base de Grupos'!$A:$A,'Base de Grupos'!$J:$J)</f>
        <v>1000105900</v>
      </c>
      <c r="I90" s="2" t="str">
        <f>_xlfn.XLOOKUP($N90,'Base de Grupos'!$A:$A,'Base de Grupos'!$K:$K)</f>
        <v>REGIONAL VENDA DIRETA CO + NE + NO</v>
      </c>
      <c r="J90" s="2" t="str">
        <f>_xlfn.XLOOKUP($N90,'Base de Grupos'!$A:$A,'Base de Grupos'!$L:$L)</f>
        <v>1000150135</v>
      </c>
      <c r="K90" s="5" t="str">
        <f>_xlfn.XLOOKUP($N90,'Base de Grupos'!$A:$A,'Base de Grupos'!$M:$M)</f>
        <v>HELDER DA SILVA BRUNKOW</v>
      </c>
      <c r="L90" s="5" t="str">
        <f t="shared" si="32"/>
        <v/>
      </c>
      <c r="M90" s="5" t="str">
        <f>_xlfn.XLOOKUP($N90,'Base de Grupos'!$A:$A,'Base de Grupos'!$C:$C)</f>
        <v>PE</v>
      </c>
      <c r="N90" s="3">
        <v>1328</v>
      </c>
      <c r="O90" s="4" t="s">
        <v>228</v>
      </c>
      <c r="P90" s="5" t="s">
        <v>94</v>
      </c>
      <c r="Q90" s="24">
        <v>0</v>
      </c>
      <c r="R90" s="24">
        <v>0</v>
      </c>
      <c r="S90" s="24">
        <v>0</v>
      </c>
      <c r="T90" s="24">
        <v>0</v>
      </c>
      <c r="U90" s="24">
        <v>0</v>
      </c>
      <c r="V90" s="24">
        <v>0</v>
      </c>
      <c r="W90" s="24">
        <v>0</v>
      </c>
      <c r="X90" s="24">
        <v>0</v>
      </c>
      <c r="Y90" s="24">
        <v>0</v>
      </c>
      <c r="Z90" s="24">
        <v>0</v>
      </c>
      <c r="AA90" s="24">
        <v>0</v>
      </c>
      <c r="AB90" s="24">
        <v>0</v>
      </c>
      <c r="AC90" s="30">
        <f t="shared" si="38"/>
        <v>0</v>
      </c>
      <c r="AD90" s="27">
        <f t="shared" si="40"/>
        <v>0</v>
      </c>
      <c r="AE90" s="25">
        <f>IFERROR(_xlfn.XLOOKUP(N90&amp;P90,'Historico Vendas'!G:G,'Historico Vendas'!E:E),0)</f>
        <v>0</v>
      </c>
      <c r="AF90" s="29" t="str">
        <f t="shared" si="33"/>
        <v/>
      </c>
      <c r="AG90" s="24">
        <f>IFERROR(_xlfn.XLOOKUP(N90&amp;P90,'Historico Vendas'!G:G,'Historico Vendas'!F:F),0)</f>
        <v>0</v>
      </c>
      <c r="AH90" s="25">
        <f t="shared" si="41"/>
        <v>0</v>
      </c>
      <c r="AI90" s="24">
        <f t="shared" si="42"/>
        <v>0</v>
      </c>
      <c r="AJ90" s="11" t="str">
        <f t="shared" si="34"/>
        <v/>
      </c>
      <c r="AK90" s="9" t="s">
        <v>102</v>
      </c>
      <c r="AL90" s="13">
        <f>IFERROR(INDEX('Balizador da Meta'!$D$3:$F$23,MATCH(Quantidade!$P90,'Balizador da Meta'!$C$3:$C$23,0),MATCH(Quantidade!AK90,'Balizador da Meta'!$D$2:$F$2,0)),"")</f>
        <v>0.25</v>
      </c>
      <c r="AM90" s="9"/>
    </row>
    <row r="91" spans="1:39" x14ac:dyDescent="0.3">
      <c r="A91" s="2" t="str">
        <f t="shared" si="31"/>
        <v>NÃO</v>
      </c>
      <c r="B91" s="2" t="str">
        <f>_xlfn.XLOOKUP($N91,'Base de Grupos'!$A:$A,'Base de Grupos'!$D:$D)</f>
        <v>1000065763</v>
      </c>
      <c r="C91" s="5" t="str">
        <f>_xlfn.XLOOKUP($N91,'Base de Grupos'!$A:$A,'Base de Grupos'!$E:$E)</f>
        <v>CANAL VENDA INTERNA</v>
      </c>
      <c r="D91" s="5" t="str">
        <f>_xlfn.XLOOKUP($N91,'Base de Grupos'!$A:$A,'Base de Grupos'!$F:$F)</f>
        <v>1000065763</v>
      </c>
      <c r="E91" s="2" t="str">
        <f>_xlfn.XLOOKUP($N91,'Base de Grupos'!$A:$A,'Base de Grupos'!$G:$G)</f>
        <v>CANAL VENDA INTERNA</v>
      </c>
      <c r="F91" s="2" t="str">
        <f>_xlfn.XLOOKUP($N91,'Base de Grupos'!$A:$A,'Base de Grupos'!$H:$H)</f>
        <v>1000105900</v>
      </c>
      <c r="G91" s="5" t="str">
        <f>_xlfn.XLOOKUP($N91,'Base de Grupos'!$A:$A,'Base de Grupos'!$I:$I)</f>
        <v>REGIONAL VENDA DIRETA CO + NE + NO</v>
      </c>
      <c r="H91" s="5" t="str">
        <f>_xlfn.XLOOKUP($N91,'Base de Grupos'!$A:$A,'Base de Grupos'!$J:$J)</f>
        <v>1000105900</v>
      </c>
      <c r="I91" s="2" t="str">
        <f>_xlfn.XLOOKUP($N91,'Base de Grupos'!$A:$A,'Base de Grupos'!$K:$K)</f>
        <v>REGIONAL VENDA DIRETA CO + NE + NO</v>
      </c>
      <c r="J91" s="2" t="str">
        <f>_xlfn.XLOOKUP($N91,'Base de Grupos'!$A:$A,'Base de Grupos'!$L:$L)</f>
        <v>1000150135</v>
      </c>
      <c r="K91" s="5" t="str">
        <f>_xlfn.XLOOKUP($N91,'Base de Grupos'!$A:$A,'Base de Grupos'!$M:$M)</f>
        <v>HELDER DA SILVA BRUNKOW</v>
      </c>
      <c r="L91" s="5" t="str">
        <f t="shared" si="32"/>
        <v/>
      </c>
      <c r="M91" s="5" t="str">
        <f>_xlfn.XLOOKUP($N91,'Base de Grupos'!$A:$A,'Base de Grupos'!$C:$C)</f>
        <v>PE</v>
      </c>
      <c r="N91" s="3">
        <v>1328</v>
      </c>
      <c r="O91" s="4" t="s">
        <v>228</v>
      </c>
      <c r="P91" s="5" t="s">
        <v>95</v>
      </c>
      <c r="Q91" s="24">
        <f>SUM(Q92:Q112)</f>
        <v>0</v>
      </c>
      <c r="R91" s="24">
        <f t="shared" ref="R91" si="43">SUM(R92:R112)</f>
        <v>0</v>
      </c>
      <c r="S91" s="24">
        <f t="shared" ref="S91" si="44">SUM(S92:S112)</f>
        <v>0</v>
      </c>
      <c r="T91" s="24">
        <f t="shared" ref="T91:AC91" si="45">SUM(T92:T112)</f>
        <v>0</v>
      </c>
      <c r="U91" s="24">
        <f t="shared" si="45"/>
        <v>0</v>
      </c>
      <c r="V91" s="24">
        <f t="shared" si="45"/>
        <v>0</v>
      </c>
      <c r="W91" s="24">
        <f t="shared" si="45"/>
        <v>0</v>
      </c>
      <c r="X91" s="24">
        <f t="shared" si="45"/>
        <v>0</v>
      </c>
      <c r="Y91" s="24">
        <f t="shared" si="45"/>
        <v>0</v>
      </c>
      <c r="Z91" s="24">
        <f t="shared" si="45"/>
        <v>0</v>
      </c>
      <c r="AA91" s="24">
        <f t="shared" si="45"/>
        <v>0</v>
      </c>
      <c r="AB91" s="24">
        <f t="shared" si="45"/>
        <v>0</v>
      </c>
      <c r="AC91" s="24">
        <f t="shared" si="45"/>
        <v>0</v>
      </c>
      <c r="AD91" s="27">
        <f t="shared" si="40"/>
        <v>0</v>
      </c>
      <c r="AE91" s="25">
        <f>IFERROR(_xlfn.XLOOKUP(N91&amp;P91,'Historico Vendas'!G:G,'Historico Vendas'!E:E),0)</f>
        <v>0</v>
      </c>
      <c r="AF91" s="29" t="str">
        <f t="shared" si="33"/>
        <v/>
      </c>
      <c r="AG91" s="24">
        <f>IFERROR(_xlfn.XLOOKUP(N91&amp;P91,'Historico Vendas'!G:G,'Historico Vendas'!F:F),0)</f>
        <v>0</v>
      </c>
      <c r="AH91" s="25">
        <f t="shared" si="41"/>
        <v>0</v>
      </c>
      <c r="AI91" s="24">
        <f t="shared" si="42"/>
        <v>0</v>
      </c>
      <c r="AJ91" s="11" t="str">
        <f t="shared" si="34"/>
        <v/>
      </c>
      <c r="AK91" s="9" t="s">
        <v>102</v>
      </c>
      <c r="AL91" s="13">
        <f>IFERROR(INDEX('Balizador da Meta'!$D$3:$F$23,MATCH(Quantidade!$P91,'Balizador da Meta'!$C$3:$C$23,0),MATCH(Quantidade!AK91,'Balizador da Meta'!$D$2:$F$2,0)),"")</f>
        <v>0.25</v>
      </c>
      <c r="AM91" s="9"/>
    </row>
    <row r="92" spans="1:39" x14ac:dyDescent="0.3">
      <c r="A92" s="2" t="str">
        <f t="shared" si="31"/>
        <v>NÃO</v>
      </c>
      <c r="B92" s="2" t="str">
        <f>_xlfn.XLOOKUP($N92,'Base de Grupos'!$A:$A,'Base de Grupos'!$D:$D)</f>
        <v>1000065763</v>
      </c>
      <c r="C92" s="5" t="str">
        <f>_xlfn.XLOOKUP($N92,'Base de Grupos'!$A:$A,'Base de Grupos'!$E:$E)</f>
        <v>CANAL VENDA INTERNA</v>
      </c>
      <c r="D92" s="5" t="str">
        <f>_xlfn.XLOOKUP($N92,'Base de Grupos'!$A:$A,'Base de Grupos'!$F:$F)</f>
        <v>1000065763</v>
      </c>
      <c r="E92" s="2" t="str">
        <f>_xlfn.XLOOKUP($N92,'Base de Grupos'!$A:$A,'Base de Grupos'!$G:$G)</f>
        <v>CANAL VENDA INTERNA</v>
      </c>
      <c r="F92" s="2" t="str">
        <f>_xlfn.XLOOKUP($N92,'Base de Grupos'!$A:$A,'Base de Grupos'!$H:$H)</f>
        <v>1000105900</v>
      </c>
      <c r="G92" s="5" t="str">
        <f>_xlfn.XLOOKUP($N92,'Base de Grupos'!$A:$A,'Base de Grupos'!$I:$I)</f>
        <v>REGIONAL VENDA DIRETA CO + NE + NO</v>
      </c>
      <c r="H92" s="5" t="str">
        <f>_xlfn.XLOOKUP($N92,'Base de Grupos'!$A:$A,'Base de Grupos'!$J:$J)</f>
        <v>1000105900</v>
      </c>
      <c r="I92" s="2" t="str">
        <f>_xlfn.XLOOKUP($N92,'Base de Grupos'!$A:$A,'Base de Grupos'!$K:$K)</f>
        <v>REGIONAL VENDA DIRETA CO + NE + NO</v>
      </c>
      <c r="J92" s="2" t="str">
        <f>_xlfn.XLOOKUP($N92,'Base de Grupos'!$A:$A,'Base de Grupos'!$L:$L)</f>
        <v>1000150135</v>
      </c>
      <c r="K92" s="5" t="str">
        <f>_xlfn.XLOOKUP($N92,'Base de Grupos'!$A:$A,'Base de Grupos'!$M:$M)</f>
        <v>HELDER DA SILVA BRUNKOW</v>
      </c>
      <c r="L92" s="5" t="str">
        <f t="shared" si="32"/>
        <v/>
      </c>
      <c r="M92" s="5" t="str">
        <f>_xlfn.XLOOKUP($N92,'Base de Grupos'!$A:$A,'Base de Grupos'!$C:$C)</f>
        <v>PE</v>
      </c>
      <c r="N92" s="3">
        <v>1328</v>
      </c>
      <c r="O92" s="4" t="s">
        <v>228</v>
      </c>
      <c r="P92" s="5" t="s">
        <v>93</v>
      </c>
      <c r="Q92" s="24">
        <v>0</v>
      </c>
      <c r="R92" s="24">
        <v>0</v>
      </c>
      <c r="S92" s="24">
        <v>0</v>
      </c>
      <c r="T92" s="24">
        <v>0</v>
      </c>
      <c r="U92" s="24">
        <v>0</v>
      </c>
      <c r="V92" s="24">
        <v>0</v>
      </c>
      <c r="W92" s="24">
        <v>0</v>
      </c>
      <c r="X92" s="24">
        <v>0</v>
      </c>
      <c r="Y92" s="24">
        <v>0</v>
      </c>
      <c r="Z92" s="24">
        <v>0</v>
      </c>
      <c r="AA92" s="24">
        <v>0</v>
      </c>
      <c r="AB92" s="24">
        <v>0</v>
      </c>
      <c r="AC92" s="30">
        <f t="shared" ref="AC92:AC112" si="46">SUM(T92:AB92)</f>
        <v>0</v>
      </c>
      <c r="AD92" s="27">
        <f t="shared" si="40"/>
        <v>0</v>
      </c>
      <c r="AE92" s="25">
        <f>IFERROR(_xlfn.XLOOKUP(N92&amp;P92,'Historico Vendas'!G:G,'Historico Vendas'!E:E),0)</f>
        <v>0</v>
      </c>
      <c r="AF92" s="29" t="str">
        <f t="shared" si="33"/>
        <v/>
      </c>
      <c r="AG92" s="24">
        <f>IFERROR(_xlfn.XLOOKUP(N92&amp;P92,'Historico Vendas'!G:G,'Historico Vendas'!F:F),0)</f>
        <v>0</v>
      </c>
      <c r="AH92" s="25">
        <f t="shared" si="41"/>
        <v>0</v>
      </c>
      <c r="AI92" s="24">
        <f t="shared" si="42"/>
        <v>0</v>
      </c>
      <c r="AJ92" s="11" t="str">
        <f t="shared" si="34"/>
        <v/>
      </c>
      <c r="AK92" s="9" t="s">
        <v>102</v>
      </c>
      <c r="AL92" s="13">
        <f>IFERROR(INDEX('Balizador da Meta'!$D$3:$F$23,MATCH(Quantidade!$P92,'Balizador da Meta'!$C$3:$C$23,0),MATCH(Quantidade!AK92,'Balizador da Meta'!$D$2:$F$2,0)),"")</f>
        <v>0.2</v>
      </c>
      <c r="AM92" s="9"/>
    </row>
    <row r="93" spans="1:39" x14ac:dyDescent="0.3">
      <c r="A93" s="2" t="str">
        <f t="shared" si="31"/>
        <v>SIM</v>
      </c>
      <c r="B93" s="2" t="str">
        <f>_xlfn.XLOOKUP($N93,'Base de Grupos'!$A:$A,'Base de Grupos'!$D:$D)</f>
        <v>1000065763</v>
      </c>
      <c r="C93" s="5" t="str">
        <f>_xlfn.XLOOKUP($N93,'Base de Grupos'!$A:$A,'Base de Grupos'!$E:$E)</f>
        <v>CANAL VENDA INTERNA</v>
      </c>
      <c r="D93" s="5" t="str">
        <f>_xlfn.XLOOKUP($N93,'Base de Grupos'!$A:$A,'Base de Grupos'!$F:$F)</f>
        <v>1000065763</v>
      </c>
      <c r="E93" s="2" t="str">
        <f>_xlfn.XLOOKUP($N93,'Base de Grupos'!$A:$A,'Base de Grupos'!$G:$G)</f>
        <v>CANAL VENDA INTERNA</v>
      </c>
      <c r="F93" s="2" t="str">
        <f>_xlfn.XLOOKUP($N93,'Base de Grupos'!$A:$A,'Base de Grupos'!$H:$H)</f>
        <v>1000153245</v>
      </c>
      <c r="G93" s="5" t="str">
        <f>_xlfn.XLOOKUP($N93,'Base de Grupos'!$A:$A,'Base de Grupos'!$I:$I)</f>
        <v>REGIONAL VENDA INTERNA - KEY ACCOUNT</v>
      </c>
      <c r="H93" s="5" t="str">
        <f>_xlfn.XLOOKUP($N93,'Base de Grupos'!$A:$A,'Base de Grupos'!$J:$J)</f>
        <v>1000153245</v>
      </c>
      <c r="I93" s="2" t="str">
        <f>_xlfn.XLOOKUP($N93,'Base de Grupos'!$A:$A,'Base de Grupos'!$K:$K)</f>
        <v>REGIONAL VENDA INTERNA - KEY ACCOUNT</v>
      </c>
      <c r="J93" s="2" t="str">
        <f>_xlfn.XLOOKUP($N93,'Base de Grupos'!$A:$A,'Base de Grupos'!$L:$L)</f>
        <v>1000153245</v>
      </c>
      <c r="K93" s="5" t="str">
        <f>_xlfn.XLOOKUP($N93,'Base de Grupos'!$A:$A,'Base de Grupos'!$M:$M)</f>
        <v>REGIONAL VENDA INTERNA - KEY ACCOUNT</v>
      </c>
      <c r="L93" s="5">
        <f t="shared" si="32"/>
        <v>1</v>
      </c>
      <c r="M93" s="5" t="str">
        <f>_xlfn.XLOOKUP($N93,'Base de Grupos'!$A:$A,'Base de Grupos'!$C:$C)</f>
        <v>PB</v>
      </c>
      <c r="N93" s="3">
        <v>1329</v>
      </c>
      <c r="O93" s="4" t="s">
        <v>229</v>
      </c>
      <c r="P93" s="5" t="s">
        <v>299</v>
      </c>
      <c r="Q93" s="24">
        <v>0</v>
      </c>
      <c r="R93" s="24">
        <v>0</v>
      </c>
      <c r="S93" s="24">
        <v>0</v>
      </c>
      <c r="T93" s="24">
        <v>0</v>
      </c>
      <c r="U93" s="24">
        <v>0</v>
      </c>
      <c r="V93" s="24">
        <v>0</v>
      </c>
      <c r="W93" s="24">
        <v>0</v>
      </c>
      <c r="X93" s="24">
        <v>0</v>
      </c>
      <c r="Y93" s="24">
        <v>0</v>
      </c>
      <c r="Z93" s="24">
        <v>0</v>
      </c>
      <c r="AA93" s="24">
        <v>0</v>
      </c>
      <c r="AB93" s="24">
        <v>0</v>
      </c>
      <c r="AC93" s="30">
        <f t="shared" si="46"/>
        <v>0</v>
      </c>
      <c r="AD93" s="25">
        <f t="shared" ref="AD93:AI93" si="47">SUM(AD94:AD110)</f>
        <v>0</v>
      </c>
      <c r="AE93" s="25">
        <f t="shared" si="47"/>
        <v>0</v>
      </c>
      <c r="AF93" s="11" t="str">
        <f t="shared" si="33"/>
        <v/>
      </c>
      <c r="AG93" s="24">
        <f t="shared" si="47"/>
        <v>0</v>
      </c>
      <c r="AH93" s="25">
        <f t="shared" si="47"/>
        <v>0</v>
      </c>
      <c r="AI93" s="24">
        <f t="shared" si="47"/>
        <v>0</v>
      </c>
      <c r="AJ93" s="11" t="str">
        <f t="shared" si="34"/>
        <v/>
      </c>
      <c r="AK93" s="9"/>
      <c r="AL93" s="13"/>
      <c r="AM93" s="9"/>
    </row>
    <row r="94" spans="1:39" x14ac:dyDescent="0.3">
      <c r="A94" s="2" t="str">
        <f t="shared" si="31"/>
        <v>NÃO</v>
      </c>
      <c r="B94" s="2" t="str">
        <f>_xlfn.XLOOKUP($N94,'Base de Grupos'!$A:$A,'Base de Grupos'!$D:$D)</f>
        <v>1000065763</v>
      </c>
      <c r="C94" s="5" t="str">
        <f>_xlfn.XLOOKUP($N94,'Base de Grupos'!$A:$A,'Base de Grupos'!$E:$E)</f>
        <v>CANAL VENDA INTERNA</v>
      </c>
      <c r="D94" s="5" t="str">
        <f>_xlfn.XLOOKUP($N94,'Base de Grupos'!$A:$A,'Base de Grupos'!$F:$F)</f>
        <v>1000065763</v>
      </c>
      <c r="E94" s="2" t="str">
        <f>_xlfn.XLOOKUP($N94,'Base de Grupos'!$A:$A,'Base de Grupos'!$G:$G)</f>
        <v>CANAL VENDA INTERNA</v>
      </c>
      <c r="F94" s="2" t="str">
        <f>_xlfn.XLOOKUP($N94,'Base de Grupos'!$A:$A,'Base de Grupos'!$H:$H)</f>
        <v>1000153245</v>
      </c>
      <c r="G94" s="5" t="str">
        <f>_xlfn.XLOOKUP($N94,'Base de Grupos'!$A:$A,'Base de Grupos'!$I:$I)</f>
        <v>REGIONAL VENDA INTERNA - KEY ACCOUNT</v>
      </c>
      <c r="H94" s="5" t="str">
        <f>_xlfn.XLOOKUP($N94,'Base de Grupos'!$A:$A,'Base de Grupos'!$J:$J)</f>
        <v>1000153245</v>
      </c>
      <c r="I94" s="2" t="str">
        <f>_xlfn.XLOOKUP($N94,'Base de Grupos'!$A:$A,'Base de Grupos'!$K:$K)</f>
        <v>REGIONAL VENDA INTERNA - KEY ACCOUNT</v>
      </c>
      <c r="J94" s="2" t="str">
        <f>_xlfn.XLOOKUP($N94,'Base de Grupos'!$A:$A,'Base de Grupos'!$L:$L)</f>
        <v>1000153245</v>
      </c>
      <c r="K94" s="5" t="str">
        <f>_xlfn.XLOOKUP($N94,'Base de Grupos'!$A:$A,'Base de Grupos'!$M:$M)</f>
        <v>REGIONAL VENDA INTERNA - KEY ACCOUNT</v>
      </c>
      <c r="L94" s="5" t="str">
        <f t="shared" si="32"/>
        <v/>
      </c>
      <c r="M94" s="5" t="str">
        <f>_xlfn.XLOOKUP($N94,'Base de Grupos'!$A:$A,'Base de Grupos'!$C:$C)</f>
        <v>PB</v>
      </c>
      <c r="N94" s="3">
        <v>1329</v>
      </c>
      <c r="O94" s="4" t="s">
        <v>229</v>
      </c>
      <c r="P94" s="5" t="s">
        <v>81</v>
      </c>
      <c r="Q94" s="24">
        <v>0</v>
      </c>
      <c r="R94" s="24">
        <v>0</v>
      </c>
      <c r="S94" s="24">
        <v>0</v>
      </c>
      <c r="T94" s="24">
        <v>0</v>
      </c>
      <c r="U94" s="24">
        <v>0</v>
      </c>
      <c r="V94" s="24">
        <v>0</v>
      </c>
      <c r="W94" s="24">
        <v>0</v>
      </c>
      <c r="X94" s="24">
        <v>0</v>
      </c>
      <c r="Y94" s="24">
        <v>0</v>
      </c>
      <c r="Z94" s="24">
        <v>0</v>
      </c>
      <c r="AA94" s="24">
        <v>0</v>
      </c>
      <c r="AB94" s="24">
        <v>0</v>
      </c>
      <c r="AC94" s="30">
        <f t="shared" si="46"/>
        <v>0</v>
      </c>
      <c r="AD94" s="27">
        <f t="shared" ref="AD94:AD110" si="48">IF(AC94=0,0,AC94-AG94)</f>
        <v>0</v>
      </c>
      <c r="AE94" s="25">
        <f>IFERROR(_xlfn.XLOOKUP(N94&amp;P94,'Historico Vendas'!G:G,'Historico Vendas'!E:E),0)</f>
        <v>0</v>
      </c>
      <c r="AF94" s="29" t="str">
        <f t="shared" si="33"/>
        <v/>
      </c>
      <c r="AG94" s="24">
        <f>IFERROR(_xlfn.XLOOKUP(N94&amp;P94,'Historico Vendas'!G:G,'Historico Vendas'!F:F),0)</f>
        <v>0</v>
      </c>
      <c r="AH94" s="25">
        <f t="shared" ref="AH94:AH110" si="49">SUM(Q94:S94)</f>
        <v>0</v>
      </c>
      <c r="AI94" s="24">
        <f t="shared" ref="AI94:AI110" si="50">AH94-AG94</f>
        <v>0</v>
      </c>
      <c r="AJ94" s="11" t="str">
        <f t="shared" si="34"/>
        <v/>
      </c>
      <c r="AK94" s="9" t="s">
        <v>102</v>
      </c>
      <c r="AL94" s="13">
        <f>IFERROR(INDEX('Balizador da Meta'!$D$3:$F$23,MATCH(Quantidade!$P94,'Balizador da Meta'!$C$3:$C$23,0),MATCH(Quantidade!AK94,'Balizador da Meta'!$D$2:$F$2,0)),"")</f>
        <v>0.2</v>
      </c>
      <c r="AM94" s="9"/>
    </row>
    <row r="95" spans="1:39" x14ac:dyDescent="0.3">
      <c r="A95" s="2" t="str">
        <f t="shared" si="31"/>
        <v>NÃO</v>
      </c>
      <c r="B95" s="2" t="str">
        <f>_xlfn.XLOOKUP($N95,'Base de Grupos'!$A:$A,'Base de Grupos'!$D:$D)</f>
        <v>1000065763</v>
      </c>
      <c r="C95" s="5" t="str">
        <f>_xlfn.XLOOKUP($N95,'Base de Grupos'!$A:$A,'Base de Grupos'!$E:$E)</f>
        <v>CANAL VENDA INTERNA</v>
      </c>
      <c r="D95" s="5" t="str">
        <f>_xlfn.XLOOKUP($N95,'Base de Grupos'!$A:$A,'Base de Grupos'!$F:$F)</f>
        <v>1000065763</v>
      </c>
      <c r="E95" s="2" t="str">
        <f>_xlfn.XLOOKUP($N95,'Base de Grupos'!$A:$A,'Base de Grupos'!$G:$G)</f>
        <v>CANAL VENDA INTERNA</v>
      </c>
      <c r="F95" s="2" t="str">
        <f>_xlfn.XLOOKUP($N95,'Base de Grupos'!$A:$A,'Base de Grupos'!$H:$H)</f>
        <v>1000153245</v>
      </c>
      <c r="G95" s="5" t="str">
        <f>_xlfn.XLOOKUP($N95,'Base de Grupos'!$A:$A,'Base de Grupos'!$I:$I)</f>
        <v>REGIONAL VENDA INTERNA - KEY ACCOUNT</v>
      </c>
      <c r="H95" s="5" t="str">
        <f>_xlfn.XLOOKUP($N95,'Base de Grupos'!$A:$A,'Base de Grupos'!$J:$J)</f>
        <v>1000153245</v>
      </c>
      <c r="I95" s="2" t="str">
        <f>_xlfn.XLOOKUP($N95,'Base de Grupos'!$A:$A,'Base de Grupos'!$K:$K)</f>
        <v>REGIONAL VENDA INTERNA - KEY ACCOUNT</v>
      </c>
      <c r="J95" s="2" t="str">
        <f>_xlfn.XLOOKUP($N95,'Base de Grupos'!$A:$A,'Base de Grupos'!$L:$L)</f>
        <v>1000153245</v>
      </c>
      <c r="K95" s="5" t="str">
        <f>_xlfn.XLOOKUP($N95,'Base de Grupos'!$A:$A,'Base de Grupos'!$M:$M)</f>
        <v>REGIONAL VENDA INTERNA - KEY ACCOUNT</v>
      </c>
      <c r="L95" s="5" t="str">
        <f t="shared" si="32"/>
        <v/>
      </c>
      <c r="M95" s="5" t="str">
        <f>_xlfn.XLOOKUP($N95,'Base de Grupos'!$A:$A,'Base de Grupos'!$C:$C)</f>
        <v>PB</v>
      </c>
      <c r="N95" s="3">
        <v>1329</v>
      </c>
      <c r="O95" s="4" t="s">
        <v>229</v>
      </c>
      <c r="P95" s="5" t="s">
        <v>82</v>
      </c>
      <c r="Q95" s="24">
        <v>0</v>
      </c>
      <c r="R95" s="24">
        <v>0</v>
      </c>
      <c r="S95" s="24">
        <v>0</v>
      </c>
      <c r="T95" s="24">
        <v>0</v>
      </c>
      <c r="U95" s="24">
        <v>0</v>
      </c>
      <c r="V95" s="24">
        <v>0</v>
      </c>
      <c r="W95" s="24">
        <v>0</v>
      </c>
      <c r="X95" s="24">
        <v>0</v>
      </c>
      <c r="Y95" s="24">
        <v>0</v>
      </c>
      <c r="Z95" s="24">
        <v>0</v>
      </c>
      <c r="AA95" s="24">
        <v>0</v>
      </c>
      <c r="AB95" s="24">
        <v>0</v>
      </c>
      <c r="AC95" s="30">
        <f t="shared" si="46"/>
        <v>0</v>
      </c>
      <c r="AD95" s="27">
        <f t="shared" si="48"/>
        <v>0</v>
      </c>
      <c r="AE95" s="25">
        <f>IFERROR(_xlfn.XLOOKUP(N95&amp;P95,'Historico Vendas'!G:G,'Historico Vendas'!E:E),0)</f>
        <v>0</v>
      </c>
      <c r="AF95" s="29" t="str">
        <f t="shared" si="33"/>
        <v/>
      </c>
      <c r="AG95" s="24">
        <f>IFERROR(_xlfn.XLOOKUP(N95&amp;P95,'Historico Vendas'!G:G,'Historico Vendas'!F:F),0)</f>
        <v>0</v>
      </c>
      <c r="AH95" s="25">
        <f t="shared" si="49"/>
        <v>0</v>
      </c>
      <c r="AI95" s="24">
        <f t="shared" si="50"/>
        <v>0</v>
      </c>
      <c r="AJ95" s="11" t="str">
        <f t="shared" si="34"/>
        <v/>
      </c>
      <c r="AK95" s="9" t="s">
        <v>102</v>
      </c>
      <c r="AL95" s="13">
        <f>IFERROR(INDEX('Balizador da Meta'!$D$3:$F$23,MATCH(Quantidade!$P95,'Balizador da Meta'!$C$3:$C$23,0),MATCH(Quantidade!AK95,'Balizador da Meta'!$D$2:$F$2,0)),"")</f>
        <v>0.2</v>
      </c>
      <c r="AM95" s="9"/>
    </row>
    <row r="96" spans="1:39" x14ac:dyDescent="0.3">
      <c r="A96" s="2" t="str">
        <f t="shared" si="31"/>
        <v>NÃO</v>
      </c>
      <c r="B96" s="2" t="str">
        <f>_xlfn.XLOOKUP($N96,'Base de Grupos'!$A:$A,'Base de Grupos'!$D:$D)</f>
        <v>1000065763</v>
      </c>
      <c r="C96" s="5" t="str">
        <f>_xlfn.XLOOKUP($N96,'Base de Grupos'!$A:$A,'Base de Grupos'!$E:$E)</f>
        <v>CANAL VENDA INTERNA</v>
      </c>
      <c r="D96" s="5" t="str">
        <f>_xlfn.XLOOKUP($N96,'Base de Grupos'!$A:$A,'Base de Grupos'!$F:$F)</f>
        <v>1000065763</v>
      </c>
      <c r="E96" s="2" t="str">
        <f>_xlfn.XLOOKUP($N96,'Base de Grupos'!$A:$A,'Base de Grupos'!$G:$G)</f>
        <v>CANAL VENDA INTERNA</v>
      </c>
      <c r="F96" s="2" t="str">
        <f>_xlfn.XLOOKUP($N96,'Base de Grupos'!$A:$A,'Base de Grupos'!$H:$H)</f>
        <v>1000153245</v>
      </c>
      <c r="G96" s="5" t="str">
        <f>_xlfn.XLOOKUP($N96,'Base de Grupos'!$A:$A,'Base de Grupos'!$I:$I)</f>
        <v>REGIONAL VENDA INTERNA - KEY ACCOUNT</v>
      </c>
      <c r="H96" s="5" t="str">
        <f>_xlfn.XLOOKUP($N96,'Base de Grupos'!$A:$A,'Base de Grupos'!$J:$J)</f>
        <v>1000153245</v>
      </c>
      <c r="I96" s="2" t="str">
        <f>_xlfn.XLOOKUP($N96,'Base de Grupos'!$A:$A,'Base de Grupos'!$K:$K)</f>
        <v>REGIONAL VENDA INTERNA - KEY ACCOUNT</v>
      </c>
      <c r="J96" s="2" t="str">
        <f>_xlfn.XLOOKUP($N96,'Base de Grupos'!$A:$A,'Base de Grupos'!$L:$L)</f>
        <v>1000153245</v>
      </c>
      <c r="K96" s="5" t="str">
        <f>_xlfn.XLOOKUP($N96,'Base de Grupos'!$A:$A,'Base de Grupos'!$M:$M)</f>
        <v>REGIONAL VENDA INTERNA - KEY ACCOUNT</v>
      </c>
      <c r="L96" s="5" t="str">
        <f t="shared" si="32"/>
        <v/>
      </c>
      <c r="M96" s="5" t="str">
        <f>_xlfn.XLOOKUP($N96,'Base de Grupos'!$A:$A,'Base de Grupos'!$C:$C)</f>
        <v>PB</v>
      </c>
      <c r="N96" s="3">
        <v>1329</v>
      </c>
      <c r="O96" s="4" t="s">
        <v>229</v>
      </c>
      <c r="P96" s="5" t="s">
        <v>84</v>
      </c>
      <c r="Q96" s="24">
        <v>0</v>
      </c>
      <c r="R96" s="24">
        <v>0</v>
      </c>
      <c r="S96" s="24">
        <v>0</v>
      </c>
      <c r="T96" s="24">
        <v>0</v>
      </c>
      <c r="U96" s="24">
        <v>0</v>
      </c>
      <c r="V96" s="24">
        <v>0</v>
      </c>
      <c r="W96" s="24">
        <v>0</v>
      </c>
      <c r="X96" s="24">
        <v>0</v>
      </c>
      <c r="Y96" s="24">
        <v>0</v>
      </c>
      <c r="Z96" s="24">
        <v>0</v>
      </c>
      <c r="AA96" s="24">
        <v>0</v>
      </c>
      <c r="AB96" s="24">
        <v>0</v>
      </c>
      <c r="AC96" s="30">
        <f t="shared" si="46"/>
        <v>0</v>
      </c>
      <c r="AD96" s="27">
        <f t="shared" si="48"/>
        <v>0</v>
      </c>
      <c r="AE96" s="25">
        <f>IFERROR(_xlfn.XLOOKUP(N96&amp;P96,'Historico Vendas'!G:G,'Historico Vendas'!E:E),0)</f>
        <v>0</v>
      </c>
      <c r="AF96" s="29" t="str">
        <f t="shared" si="33"/>
        <v/>
      </c>
      <c r="AG96" s="24">
        <f>IFERROR(_xlfn.XLOOKUP(N96&amp;P96,'Historico Vendas'!G:G,'Historico Vendas'!F:F),0)</f>
        <v>0</v>
      </c>
      <c r="AH96" s="25">
        <f t="shared" si="49"/>
        <v>0</v>
      </c>
      <c r="AI96" s="24">
        <f t="shared" si="50"/>
        <v>0</v>
      </c>
      <c r="AJ96" s="11" t="str">
        <f t="shared" si="34"/>
        <v/>
      </c>
      <c r="AK96" s="9" t="s">
        <v>102</v>
      </c>
      <c r="AL96" s="13">
        <f>IFERROR(INDEX('Balizador da Meta'!$D$3:$F$23,MATCH(Quantidade!$P96,'Balizador da Meta'!$C$3:$C$23,0),MATCH(Quantidade!AK96,'Balizador da Meta'!$D$2:$F$2,0)),"")</f>
        <v>0.15</v>
      </c>
      <c r="AM96" s="9"/>
    </row>
    <row r="97" spans="1:39" x14ac:dyDescent="0.3">
      <c r="A97" s="2" t="str">
        <f t="shared" si="31"/>
        <v>NÃO</v>
      </c>
      <c r="B97" s="2" t="str">
        <f>_xlfn.XLOOKUP($N97,'Base de Grupos'!$A:$A,'Base de Grupos'!$D:$D)</f>
        <v>1000065763</v>
      </c>
      <c r="C97" s="5" t="str">
        <f>_xlfn.XLOOKUP($N97,'Base de Grupos'!$A:$A,'Base de Grupos'!$E:$E)</f>
        <v>CANAL VENDA INTERNA</v>
      </c>
      <c r="D97" s="5" t="str">
        <f>_xlfn.XLOOKUP($N97,'Base de Grupos'!$A:$A,'Base de Grupos'!$F:$F)</f>
        <v>1000065763</v>
      </c>
      <c r="E97" s="2" t="str">
        <f>_xlfn.XLOOKUP($N97,'Base de Grupos'!$A:$A,'Base de Grupos'!$G:$G)</f>
        <v>CANAL VENDA INTERNA</v>
      </c>
      <c r="F97" s="2" t="str">
        <f>_xlfn.XLOOKUP($N97,'Base de Grupos'!$A:$A,'Base de Grupos'!$H:$H)</f>
        <v>1000153245</v>
      </c>
      <c r="G97" s="5" t="str">
        <f>_xlfn.XLOOKUP($N97,'Base de Grupos'!$A:$A,'Base de Grupos'!$I:$I)</f>
        <v>REGIONAL VENDA INTERNA - KEY ACCOUNT</v>
      </c>
      <c r="H97" s="5" t="str">
        <f>_xlfn.XLOOKUP($N97,'Base de Grupos'!$A:$A,'Base de Grupos'!$J:$J)</f>
        <v>1000153245</v>
      </c>
      <c r="I97" s="2" t="str">
        <f>_xlfn.XLOOKUP($N97,'Base de Grupos'!$A:$A,'Base de Grupos'!$K:$K)</f>
        <v>REGIONAL VENDA INTERNA - KEY ACCOUNT</v>
      </c>
      <c r="J97" s="2" t="str">
        <f>_xlfn.XLOOKUP($N97,'Base de Grupos'!$A:$A,'Base de Grupos'!$L:$L)</f>
        <v>1000153245</v>
      </c>
      <c r="K97" s="5" t="str">
        <f>_xlfn.XLOOKUP($N97,'Base de Grupos'!$A:$A,'Base de Grupos'!$M:$M)</f>
        <v>REGIONAL VENDA INTERNA - KEY ACCOUNT</v>
      </c>
      <c r="L97" s="5" t="str">
        <f t="shared" si="32"/>
        <v/>
      </c>
      <c r="M97" s="5" t="str">
        <f>_xlfn.XLOOKUP($N97,'Base de Grupos'!$A:$A,'Base de Grupos'!$C:$C)</f>
        <v>PB</v>
      </c>
      <c r="N97" s="3">
        <v>1329</v>
      </c>
      <c r="O97" s="4" t="s">
        <v>229</v>
      </c>
      <c r="P97" s="5" t="s">
        <v>83</v>
      </c>
      <c r="Q97" s="24">
        <v>0</v>
      </c>
      <c r="R97" s="24">
        <v>0</v>
      </c>
      <c r="S97" s="24">
        <v>0</v>
      </c>
      <c r="T97" s="24">
        <v>0</v>
      </c>
      <c r="U97" s="24">
        <v>0</v>
      </c>
      <c r="V97" s="24">
        <v>0</v>
      </c>
      <c r="W97" s="24">
        <v>0</v>
      </c>
      <c r="X97" s="24">
        <v>0</v>
      </c>
      <c r="Y97" s="24">
        <v>0</v>
      </c>
      <c r="Z97" s="24">
        <v>0</v>
      </c>
      <c r="AA97" s="24">
        <v>0</v>
      </c>
      <c r="AB97" s="24">
        <v>0</v>
      </c>
      <c r="AC97" s="30">
        <f t="shared" si="46"/>
        <v>0</v>
      </c>
      <c r="AD97" s="27">
        <f t="shared" si="48"/>
        <v>0</v>
      </c>
      <c r="AE97" s="25">
        <f>IFERROR(_xlfn.XLOOKUP(N97&amp;P97,'Historico Vendas'!G:G,'Historico Vendas'!E:E),0)</f>
        <v>0</v>
      </c>
      <c r="AF97" s="29" t="str">
        <f t="shared" si="33"/>
        <v/>
      </c>
      <c r="AG97" s="24">
        <f>IFERROR(_xlfn.XLOOKUP(N97&amp;P97,'Historico Vendas'!G:G,'Historico Vendas'!F:F),0)</f>
        <v>0</v>
      </c>
      <c r="AH97" s="25">
        <f t="shared" si="49"/>
        <v>0</v>
      </c>
      <c r="AI97" s="24">
        <f t="shared" si="50"/>
        <v>0</v>
      </c>
      <c r="AJ97" s="11" t="str">
        <f t="shared" si="34"/>
        <v/>
      </c>
      <c r="AK97" s="9" t="s">
        <v>102</v>
      </c>
      <c r="AL97" s="13">
        <f>IFERROR(INDEX('Balizador da Meta'!$D$3:$F$23,MATCH(Quantidade!$P97,'Balizador da Meta'!$C$3:$C$23,0),MATCH(Quantidade!AK97,'Balizador da Meta'!$D$2:$F$2,0)),"")</f>
        <v>0</v>
      </c>
      <c r="AM97" s="9"/>
    </row>
    <row r="98" spans="1:39" x14ac:dyDescent="0.3">
      <c r="A98" s="2" t="str">
        <f t="shared" si="31"/>
        <v>NÃO</v>
      </c>
      <c r="B98" s="2" t="str">
        <f>_xlfn.XLOOKUP($N98,'Base de Grupos'!$A:$A,'Base de Grupos'!$D:$D)</f>
        <v>1000065763</v>
      </c>
      <c r="C98" s="5" t="str">
        <f>_xlfn.XLOOKUP($N98,'Base de Grupos'!$A:$A,'Base de Grupos'!$E:$E)</f>
        <v>CANAL VENDA INTERNA</v>
      </c>
      <c r="D98" s="5" t="str">
        <f>_xlfn.XLOOKUP($N98,'Base de Grupos'!$A:$A,'Base de Grupos'!$F:$F)</f>
        <v>1000065763</v>
      </c>
      <c r="E98" s="2" t="str">
        <f>_xlfn.XLOOKUP($N98,'Base de Grupos'!$A:$A,'Base de Grupos'!$G:$G)</f>
        <v>CANAL VENDA INTERNA</v>
      </c>
      <c r="F98" s="2" t="str">
        <f>_xlfn.XLOOKUP($N98,'Base de Grupos'!$A:$A,'Base de Grupos'!$H:$H)</f>
        <v>1000153245</v>
      </c>
      <c r="G98" s="5" t="str">
        <f>_xlfn.XLOOKUP($N98,'Base de Grupos'!$A:$A,'Base de Grupos'!$I:$I)</f>
        <v>REGIONAL VENDA INTERNA - KEY ACCOUNT</v>
      </c>
      <c r="H98" s="5" t="str">
        <f>_xlfn.XLOOKUP($N98,'Base de Grupos'!$A:$A,'Base de Grupos'!$J:$J)</f>
        <v>1000153245</v>
      </c>
      <c r="I98" s="2" t="str">
        <f>_xlfn.XLOOKUP($N98,'Base de Grupos'!$A:$A,'Base de Grupos'!$K:$K)</f>
        <v>REGIONAL VENDA INTERNA - KEY ACCOUNT</v>
      </c>
      <c r="J98" s="2" t="str">
        <f>_xlfn.XLOOKUP($N98,'Base de Grupos'!$A:$A,'Base de Grupos'!$L:$L)</f>
        <v>1000153245</v>
      </c>
      <c r="K98" s="5" t="str">
        <f>_xlfn.XLOOKUP($N98,'Base de Grupos'!$A:$A,'Base de Grupos'!$M:$M)</f>
        <v>REGIONAL VENDA INTERNA - KEY ACCOUNT</v>
      </c>
      <c r="L98" s="5" t="str">
        <f t="shared" si="32"/>
        <v/>
      </c>
      <c r="M98" s="5" t="str">
        <f>_xlfn.XLOOKUP($N98,'Base de Grupos'!$A:$A,'Base de Grupos'!$C:$C)</f>
        <v>PB</v>
      </c>
      <c r="N98" s="3">
        <v>1329</v>
      </c>
      <c r="O98" s="4" t="s">
        <v>229</v>
      </c>
      <c r="P98" s="5" t="s">
        <v>87</v>
      </c>
      <c r="Q98" s="24">
        <v>0</v>
      </c>
      <c r="R98" s="24">
        <v>0</v>
      </c>
      <c r="S98" s="24">
        <v>0</v>
      </c>
      <c r="T98" s="24">
        <v>0</v>
      </c>
      <c r="U98" s="24">
        <v>0</v>
      </c>
      <c r="V98" s="24">
        <v>0</v>
      </c>
      <c r="W98" s="24">
        <v>0</v>
      </c>
      <c r="X98" s="24">
        <v>0</v>
      </c>
      <c r="Y98" s="24">
        <v>0</v>
      </c>
      <c r="Z98" s="24">
        <v>0</v>
      </c>
      <c r="AA98" s="24">
        <v>0</v>
      </c>
      <c r="AB98" s="24">
        <v>0</v>
      </c>
      <c r="AC98" s="30">
        <f t="shared" si="46"/>
        <v>0</v>
      </c>
      <c r="AD98" s="27">
        <f t="shared" si="48"/>
        <v>0</v>
      </c>
      <c r="AE98" s="25">
        <f>IFERROR(_xlfn.XLOOKUP(N98&amp;P98,'Historico Vendas'!G:G,'Historico Vendas'!E:E),0)</f>
        <v>0</v>
      </c>
      <c r="AF98" s="29" t="str">
        <f t="shared" si="33"/>
        <v/>
      </c>
      <c r="AG98" s="24">
        <f>IFERROR(_xlfn.XLOOKUP(N98&amp;P98,'Historico Vendas'!G:G,'Historico Vendas'!F:F),0)</f>
        <v>0</v>
      </c>
      <c r="AH98" s="25">
        <f t="shared" si="49"/>
        <v>0</v>
      </c>
      <c r="AI98" s="24">
        <f t="shared" si="50"/>
        <v>0</v>
      </c>
      <c r="AJ98" s="11" t="str">
        <f t="shared" si="34"/>
        <v/>
      </c>
      <c r="AK98" s="9" t="s">
        <v>102</v>
      </c>
      <c r="AL98" s="13">
        <f>IFERROR(INDEX('Balizador da Meta'!$D$3:$F$23,MATCH(Quantidade!$P98,'Balizador da Meta'!$C$3:$C$23,0),MATCH(Quantidade!AK98,'Balizador da Meta'!$D$2:$F$2,0)),"")</f>
        <v>0</v>
      </c>
      <c r="AM98" s="9"/>
    </row>
    <row r="99" spans="1:39" x14ac:dyDescent="0.3">
      <c r="A99" s="2" t="str">
        <f t="shared" si="31"/>
        <v>NÃO</v>
      </c>
      <c r="B99" s="2" t="str">
        <f>_xlfn.XLOOKUP($N99,'Base de Grupos'!$A:$A,'Base de Grupos'!$D:$D)</f>
        <v>1000065763</v>
      </c>
      <c r="C99" s="5" t="str">
        <f>_xlfn.XLOOKUP($N99,'Base de Grupos'!$A:$A,'Base de Grupos'!$E:$E)</f>
        <v>CANAL VENDA INTERNA</v>
      </c>
      <c r="D99" s="5" t="str">
        <f>_xlfn.XLOOKUP($N99,'Base de Grupos'!$A:$A,'Base de Grupos'!$F:$F)</f>
        <v>1000065763</v>
      </c>
      <c r="E99" s="2" t="str">
        <f>_xlfn.XLOOKUP($N99,'Base de Grupos'!$A:$A,'Base de Grupos'!$G:$G)</f>
        <v>CANAL VENDA INTERNA</v>
      </c>
      <c r="F99" s="2" t="str">
        <f>_xlfn.XLOOKUP($N99,'Base de Grupos'!$A:$A,'Base de Grupos'!$H:$H)</f>
        <v>1000153245</v>
      </c>
      <c r="G99" s="5" t="str">
        <f>_xlfn.XLOOKUP($N99,'Base de Grupos'!$A:$A,'Base de Grupos'!$I:$I)</f>
        <v>REGIONAL VENDA INTERNA - KEY ACCOUNT</v>
      </c>
      <c r="H99" s="5" t="str">
        <f>_xlfn.XLOOKUP($N99,'Base de Grupos'!$A:$A,'Base de Grupos'!$J:$J)</f>
        <v>1000153245</v>
      </c>
      <c r="I99" s="2" t="str">
        <f>_xlfn.XLOOKUP($N99,'Base de Grupos'!$A:$A,'Base de Grupos'!$K:$K)</f>
        <v>REGIONAL VENDA INTERNA - KEY ACCOUNT</v>
      </c>
      <c r="J99" s="2" t="str">
        <f>_xlfn.XLOOKUP($N99,'Base de Grupos'!$A:$A,'Base de Grupos'!$L:$L)</f>
        <v>1000153245</v>
      </c>
      <c r="K99" s="5" t="str">
        <f>_xlfn.XLOOKUP($N99,'Base de Grupos'!$A:$A,'Base de Grupos'!$M:$M)</f>
        <v>REGIONAL VENDA INTERNA - KEY ACCOUNT</v>
      </c>
      <c r="L99" s="5" t="str">
        <f t="shared" si="32"/>
        <v/>
      </c>
      <c r="M99" s="5" t="str">
        <f>_xlfn.XLOOKUP($N99,'Base de Grupos'!$A:$A,'Base de Grupos'!$C:$C)</f>
        <v>PB</v>
      </c>
      <c r="N99" s="3">
        <v>1329</v>
      </c>
      <c r="O99" s="4" t="s">
        <v>229</v>
      </c>
      <c r="P99" s="5" t="s">
        <v>85</v>
      </c>
      <c r="Q99" s="24">
        <v>0</v>
      </c>
      <c r="R99" s="24">
        <v>0</v>
      </c>
      <c r="S99" s="24">
        <v>0</v>
      </c>
      <c r="T99" s="24">
        <v>0</v>
      </c>
      <c r="U99" s="24">
        <v>0</v>
      </c>
      <c r="V99" s="24">
        <v>0</v>
      </c>
      <c r="W99" s="24">
        <v>0</v>
      </c>
      <c r="X99" s="24">
        <v>0</v>
      </c>
      <c r="Y99" s="24">
        <v>0</v>
      </c>
      <c r="Z99" s="24">
        <v>0</v>
      </c>
      <c r="AA99" s="24">
        <v>0</v>
      </c>
      <c r="AB99" s="24">
        <v>0</v>
      </c>
      <c r="AC99" s="30">
        <f t="shared" si="46"/>
        <v>0</v>
      </c>
      <c r="AD99" s="27">
        <f t="shared" si="48"/>
        <v>0</v>
      </c>
      <c r="AE99" s="25">
        <f>IFERROR(_xlfn.XLOOKUP(N99&amp;P99,'Historico Vendas'!G:G,'Historico Vendas'!E:E),0)</f>
        <v>0</v>
      </c>
      <c r="AF99" s="29" t="str">
        <f t="shared" si="33"/>
        <v/>
      </c>
      <c r="AG99" s="24">
        <f>IFERROR(_xlfn.XLOOKUP(N99&amp;P99,'Historico Vendas'!G:G,'Historico Vendas'!F:F),0)</f>
        <v>0</v>
      </c>
      <c r="AH99" s="25">
        <f t="shared" si="49"/>
        <v>0</v>
      </c>
      <c r="AI99" s="24">
        <f t="shared" si="50"/>
        <v>0</v>
      </c>
      <c r="AJ99" s="11" t="str">
        <f t="shared" si="34"/>
        <v/>
      </c>
      <c r="AK99" s="9" t="s">
        <v>102</v>
      </c>
      <c r="AL99" s="13">
        <f>IFERROR(INDEX('Balizador da Meta'!$D$3:$F$23,MATCH(Quantidade!$P99,'Balizador da Meta'!$C$3:$C$23,0),MATCH(Quantidade!AK99,'Balizador da Meta'!$D$2:$F$2,0)),"")</f>
        <v>0</v>
      </c>
      <c r="AM99" s="9"/>
    </row>
    <row r="100" spans="1:39" x14ac:dyDescent="0.3">
      <c r="A100" s="2" t="str">
        <f t="shared" si="31"/>
        <v>NÃO</v>
      </c>
      <c r="B100" s="2" t="str">
        <f>_xlfn.XLOOKUP($N100,'Base de Grupos'!$A:$A,'Base de Grupos'!$D:$D)</f>
        <v>1000065763</v>
      </c>
      <c r="C100" s="5" t="str">
        <f>_xlfn.XLOOKUP($N100,'Base de Grupos'!$A:$A,'Base de Grupos'!$E:$E)</f>
        <v>CANAL VENDA INTERNA</v>
      </c>
      <c r="D100" s="5" t="str">
        <f>_xlfn.XLOOKUP($N100,'Base de Grupos'!$A:$A,'Base de Grupos'!$F:$F)</f>
        <v>1000065763</v>
      </c>
      <c r="E100" s="2" t="str">
        <f>_xlfn.XLOOKUP($N100,'Base de Grupos'!$A:$A,'Base de Grupos'!$G:$G)</f>
        <v>CANAL VENDA INTERNA</v>
      </c>
      <c r="F100" s="2" t="str">
        <f>_xlfn.XLOOKUP($N100,'Base de Grupos'!$A:$A,'Base de Grupos'!$H:$H)</f>
        <v>1000153245</v>
      </c>
      <c r="G100" s="5" t="str">
        <f>_xlfn.XLOOKUP($N100,'Base de Grupos'!$A:$A,'Base de Grupos'!$I:$I)</f>
        <v>REGIONAL VENDA INTERNA - KEY ACCOUNT</v>
      </c>
      <c r="H100" s="5" t="str">
        <f>_xlfn.XLOOKUP($N100,'Base de Grupos'!$A:$A,'Base de Grupos'!$J:$J)</f>
        <v>1000153245</v>
      </c>
      <c r="I100" s="2" t="str">
        <f>_xlfn.XLOOKUP($N100,'Base de Grupos'!$A:$A,'Base de Grupos'!$K:$K)</f>
        <v>REGIONAL VENDA INTERNA - KEY ACCOUNT</v>
      </c>
      <c r="J100" s="2" t="str">
        <f>_xlfn.XLOOKUP($N100,'Base de Grupos'!$A:$A,'Base de Grupos'!$L:$L)</f>
        <v>1000153245</v>
      </c>
      <c r="K100" s="5" t="str">
        <f>_xlfn.XLOOKUP($N100,'Base de Grupos'!$A:$A,'Base de Grupos'!$M:$M)</f>
        <v>REGIONAL VENDA INTERNA - KEY ACCOUNT</v>
      </c>
      <c r="L100" s="5" t="str">
        <f t="shared" si="32"/>
        <v/>
      </c>
      <c r="M100" s="5" t="str">
        <f>_xlfn.XLOOKUP($N100,'Base de Grupos'!$A:$A,'Base de Grupos'!$C:$C)</f>
        <v>PB</v>
      </c>
      <c r="N100" s="3">
        <v>1329</v>
      </c>
      <c r="O100" s="4" t="s">
        <v>229</v>
      </c>
      <c r="P100" s="5" t="s">
        <v>92</v>
      </c>
      <c r="Q100" s="24">
        <v>0</v>
      </c>
      <c r="R100" s="24">
        <v>0</v>
      </c>
      <c r="S100" s="24">
        <v>0</v>
      </c>
      <c r="T100" s="24">
        <v>0</v>
      </c>
      <c r="U100" s="24">
        <v>0</v>
      </c>
      <c r="V100" s="24">
        <v>0</v>
      </c>
      <c r="W100" s="24">
        <v>0</v>
      </c>
      <c r="X100" s="24">
        <v>0</v>
      </c>
      <c r="Y100" s="24">
        <v>0</v>
      </c>
      <c r="Z100" s="24">
        <v>0</v>
      </c>
      <c r="AA100" s="24">
        <v>0</v>
      </c>
      <c r="AB100" s="24">
        <v>0</v>
      </c>
      <c r="AC100" s="30">
        <f t="shared" si="46"/>
        <v>0</v>
      </c>
      <c r="AD100" s="27">
        <f t="shared" si="48"/>
        <v>0</v>
      </c>
      <c r="AE100" s="25">
        <f>IFERROR(_xlfn.XLOOKUP(N100&amp;P100,'Historico Vendas'!G:G,'Historico Vendas'!E:E),0)</f>
        <v>0</v>
      </c>
      <c r="AF100" s="29" t="str">
        <f t="shared" si="33"/>
        <v/>
      </c>
      <c r="AG100" s="24">
        <f>IFERROR(_xlfn.XLOOKUP(N100&amp;P100,'Historico Vendas'!G:G,'Historico Vendas'!F:F),0)</f>
        <v>0</v>
      </c>
      <c r="AH100" s="25">
        <f t="shared" si="49"/>
        <v>0</v>
      </c>
      <c r="AI100" s="24">
        <f t="shared" si="50"/>
        <v>0</v>
      </c>
      <c r="AJ100" s="11" t="str">
        <f t="shared" si="34"/>
        <v/>
      </c>
      <c r="AK100" s="9" t="s">
        <v>102</v>
      </c>
      <c r="AL100" s="13">
        <f>IFERROR(INDEX('Balizador da Meta'!$D$3:$F$23,MATCH(Quantidade!$P100,'Balizador da Meta'!$C$3:$C$23,0),MATCH(Quantidade!AK100,'Balizador da Meta'!$D$2:$F$2,0)),"")</f>
        <v>0</v>
      </c>
      <c r="AM100" s="9"/>
    </row>
    <row r="101" spans="1:39" x14ac:dyDescent="0.3">
      <c r="A101" s="2" t="str">
        <f t="shared" si="31"/>
        <v>NÃO</v>
      </c>
      <c r="B101" s="2" t="str">
        <f>_xlfn.XLOOKUP($N101,'Base de Grupos'!$A:$A,'Base de Grupos'!$D:$D)</f>
        <v>1000065763</v>
      </c>
      <c r="C101" s="5" t="str">
        <f>_xlfn.XLOOKUP($N101,'Base de Grupos'!$A:$A,'Base de Grupos'!$E:$E)</f>
        <v>CANAL VENDA INTERNA</v>
      </c>
      <c r="D101" s="5" t="str">
        <f>_xlfn.XLOOKUP($N101,'Base de Grupos'!$A:$A,'Base de Grupos'!$F:$F)</f>
        <v>1000065763</v>
      </c>
      <c r="E101" s="2" t="str">
        <f>_xlfn.XLOOKUP($N101,'Base de Grupos'!$A:$A,'Base de Grupos'!$G:$G)</f>
        <v>CANAL VENDA INTERNA</v>
      </c>
      <c r="F101" s="2" t="str">
        <f>_xlfn.XLOOKUP($N101,'Base de Grupos'!$A:$A,'Base de Grupos'!$H:$H)</f>
        <v>1000153245</v>
      </c>
      <c r="G101" s="5" t="str">
        <f>_xlfn.XLOOKUP($N101,'Base de Grupos'!$A:$A,'Base de Grupos'!$I:$I)</f>
        <v>REGIONAL VENDA INTERNA - KEY ACCOUNT</v>
      </c>
      <c r="H101" s="5" t="str">
        <f>_xlfn.XLOOKUP($N101,'Base de Grupos'!$A:$A,'Base de Grupos'!$J:$J)</f>
        <v>1000153245</v>
      </c>
      <c r="I101" s="2" t="str">
        <f>_xlfn.XLOOKUP($N101,'Base de Grupos'!$A:$A,'Base de Grupos'!$K:$K)</f>
        <v>REGIONAL VENDA INTERNA - KEY ACCOUNT</v>
      </c>
      <c r="J101" s="2" t="str">
        <f>_xlfn.XLOOKUP($N101,'Base de Grupos'!$A:$A,'Base de Grupos'!$L:$L)</f>
        <v>1000153245</v>
      </c>
      <c r="K101" s="5" t="str">
        <f>_xlfn.XLOOKUP($N101,'Base de Grupos'!$A:$A,'Base de Grupos'!$M:$M)</f>
        <v>REGIONAL VENDA INTERNA - KEY ACCOUNT</v>
      </c>
      <c r="L101" s="5" t="str">
        <f t="shared" si="32"/>
        <v/>
      </c>
      <c r="M101" s="5" t="str">
        <f>_xlfn.XLOOKUP($N101,'Base de Grupos'!$A:$A,'Base de Grupos'!$C:$C)</f>
        <v>PB</v>
      </c>
      <c r="N101" s="3">
        <v>1329</v>
      </c>
      <c r="O101" s="4" t="s">
        <v>229</v>
      </c>
      <c r="P101" s="5" t="s">
        <v>86</v>
      </c>
      <c r="Q101" s="24">
        <v>0</v>
      </c>
      <c r="R101" s="24">
        <v>0</v>
      </c>
      <c r="S101" s="24">
        <v>0</v>
      </c>
      <c r="T101" s="24">
        <v>0</v>
      </c>
      <c r="U101" s="24">
        <v>0</v>
      </c>
      <c r="V101" s="24">
        <v>0</v>
      </c>
      <c r="W101" s="24">
        <v>0</v>
      </c>
      <c r="X101" s="24">
        <v>0</v>
      </c>
      <c r="Y101" s="24">
        <v>0</v>
      </c>
      <c r="Z101" s="24">
        <v>0</v>
      </c>
      <c r="AA101" s="24">
        <v>0</v>
      </c>
      <c r="AB101" s="24">
        <v>0</v>
      </c>
      <c r="AC101" s="30">
        <f t="shared" si="46"/>
        <v>0</v>
      </c>
      <c r="AD101" s="27">
        <f t="shared" si="48"/>
        <v>0</v>
      </c>
      <c r="AE101" s="25">
        <f>IFERROR(_xlfn.XLOOKUP(N101&amp;P101,'Historico Vendas'!G:G,'Historico Vendas'!E:E),0)</f>
        <v>0</v>
      </c>
      <c r="AF101" s="29" t="str">
        <f t="shared" si="33"/>
        <v/>
      </c>
      <c r="AG101" s="24">
        <f>IFERROR(_xlfn.XLOOKUP(N101&amp;P101,'Historico Vendas'!G:G,'Historico Vendas'!F:F),0)</f>
        <v>0</v>
      </c>
      <c r="AH101" s="25">
        <f t="shared" si="49"/>
        <v>0</v>
      </c>
      <c r="AI101" s="24">
        <f t="shared" si="50"/>
        <v>0</v>
      </c>
      <c r="AJ101" s="11" t="str">
        <f t="shared" si="34"/>
        <v/>
      </c>
      <c r="AK101" s="9" t="s">
        <v>102</v>
      </c>
      <c r="AL101" s="13">
        <f>IFERROR(INDEX('Balizador da Meta'!$D$3:$F$23,MATCH(Quantidade!$P101,'Balizador da Meta'!$C$3:$C$23,0),MATCH(Quantidade!AK101,'Balizador da Meta'!$D$2:$F$2,0)),"")</f>
        <v>0.15</v>
      </c>
      <c r="AM101" s="9"/>
    </row>
    <row r="102" spans="1:39" x14ac:dyDescent="0.3">
      <c r="A102" s="2" t="str">
        <f t="shared" si="31"/>
        <v>NÃO</v>
      </c>
      <c r="B102" s="2" t="str">
        <f>_xlfn.XLOOKUP($N102,'Base de Grupos'!$A:$A,'Base de Grupos'!$D:$D)</f>
        <v>1000065763</v>
      </c>
      <c r="C102" s="5" t="str">
        <f>_xlfn.XLOOKUP($N102,'Base de Grupos'!$A:$A,'Base de Grupos'!$E:$E)</f>
        <v>CANAL VENDA INTERNA</v>
      </c>
      <c r="D102" s="5" t="str">
        <f>_xlfn.XLOOKUP($N102,'Base de Grupos'!$A:$A,'Base de Grupos'!$F:$F)</f>
        <v>1000065763</v>
      </c>
      <c r="E102" s="2" t="str">
        <f>_xlfn.XLOOKUP($N102,'Base de Grupos'!$A:$A,'Base de Grupos'!$G:$G)</f>
        <v>CANAL VENDA INTERNA</v>
      </c>
      <c r="F102" s="2" t="str">
        <f>_xlfn.XLOOKUP($N102,'Base de Grupos'!$A:$A,'Base de Grupos'!$H:$H)</f>
        <v>1000153245</v>
      </c>
      <c r="G102" s="5" t="str">
        <f>_xlfn.XLOOKUP($N102,'Base de Grupos'!$A:$A,'Base de Grupos'!$I:$I)</f>
        <v>REGIONAL VENDA INTERNA - KEY ACCOUNT</v>
      </c>
      <c r="H102" s="5" t="str">
        <f>_xlfn.XLOOKUP($N102,'Base de Grupos'!$A:$A,'Base de Grupos'!$J:$J)</f>
        <v>1000153245</v>
      </c>
      <c r="I102" s="2" t="str">
        <f>_xlfn.XLOOKUP($N102,'Base de Grupos'!$A:$A,'Base de Grupos'!$K:$K)</f>
        <v>REGIONAL VENDA INTERNA - KEY ACCOUNT</v>
      </c>
      <c r="J102" s="2" t="str">
        <f>_xlfn.XLOOKUP($N102,'Base de Grupos'!$A:$A,'Base de Grupos'!$L:$L)</f>
        <v>1000153245</v>
      </c>
      <c r="K102" s="5" t="str">
        <f>_xlfn.XLOOKUP($N102,'Base de Grupos'!$A:$A,'Base de Grupos'!$M:$M)</f>
        <v>REGIONAL VENDA INTERNA - KEY ACCOUNT</v>
      </c>
      <c r="L102" s="5" t="str">
        <f t="shared" si="32"/>
        <v/>
      </c>
      <c r="M102" s="5" t="str">
        <f>_xlfn.XLOOKUP($N102,'Base de Grupos'!$A:$A,'Base de Grupos'!$C:$C)</f>
        <v>PB</v>
      </c>
      <c r="N102" s="3">
        <v>1329</v>
      </c>
      <c r="O102" s="4" t="s">
        <v>229</v>
      </c>
      <c r="P102" s="5" t="s">
        <v>108</v>
      </c>
      <c r="Q102" s="24">
        <v>0</v>
      </c>
      <c r="R102" s="24">
        <v>0</v>
      </c>
      <c r="S102" s="24">
        <v>0</v>
      </c>
      <c r="T102" s="24">
        <v>0</v>
      </c>
      <c r="U102" s="24">
        <v>0</v>
      </c>
      <c r="V102" s="24">
        <v>0</v>
      </c>
      <c r="W102" s="24">
        <v>0</v>
      </c>
      <c r="X102" s="24">
        <v>0</v>
      </c>
      <c r="Y102" s="24">
        <v>0</v>
      </c>
      <c r="Z102" s="24">
        <v>0</v>
      </c>
      <c r="AA102" s="24">
        <v>0</v>
      </c>
      <c r="AB102" s="24">
        <v>0</v>
      </c>
      <c r="AC102" s="30">
        <f t="shared" si="46"/>
        <v>0</v>
      </c>
      <c r="AD102" s="27">
        <f t="shared" si="48"/>
        <v>0</v>
      </c>
      <c r="AE102" s="25">
        <f>IFERROR(_xlfn.XLOOKUP(N102&amp;P102,'Historico Vendas'!G:G,'Historico Vendas'!E:E),0)</f>
        <v>0</v>
      </c>
      <c r="AF102" s="29" t="str">
        <f t="shared" si="33"/>
        <v/>
      </c>
      <c r="AG102" s="24">
        <f>IFERROR(_xlfn.XLOOKUP(N102&amp;P102,'Historico Vendas'!G:G,'Historico Vendas'!F:F),0)</f>
        <v>0</v>
      </c>
      <c r="AH102" s="25">
        <f t="shared" si="49"/>
        <v>0</v>
      </c>
      <c r="AI102" s="24">
        <f t="shared" si="50"/>
        <v>0</v>
      </c>
      <c r="AJ102" s="11" t="str">
        <f t="shared" si="34"/>
        <v/>
      </c>
      <c r="AK102" s="9" t="s">
        <v>102</v>
      </c>
      <c r="AL102" s="13">
        <f>IFERROR(INDEX('Balizador da Meta'!$D$3:$F$23,MATCH(Quantidade!$P102,'Balizador da Meta'!$C$3:$C$23,0),MATCH(Quantidade!AK102,'Balizador da Meta'!$D$2:$F$2,0)),"")</f>
        <v>0</v>
      </c>
      <c r="AM102" s="9"/>
    </row>
    <row r="103" spans="1:39" x14ac:dyDescent="0.3">
      <c r="A103" s="2" t="str">
        <f t="shared" si="31"/>
        <v>NÃO</v>
      </c>
      <c r="B103" s="2" t="str">
        <f>_xlfn.XLOOKUP($N103,'Base de Grupos'!$A:$A,'Base de Grupos'!$D:$D)</f>
        <v>1000065763</v>
      </c>
      <c r="C103" s="5" t="str">
        <f>_xlfn.XLOOKUP($N103,'Base de Grupos'!$A:$A,'Base de Grupos'!$E:$E)</f>
        <v>CANAL VENDA INTERNA</v>
      </c>
      <c r="D103" s="5" t="str">
        <f>_xlfn.XLOOKUP($N103,'Base de Grupos'!$A:$A,'Base de Grupos'!$F:$F)</f>
        <v>1000065763</v>
      </c>
      <c r="E103" s="2" t="str">
        <f>_xlfn.XLOOKUP($N103,'Base de Grupos'!$A:$A,'Base de Grupos'!$G:$G)</f>
        <v>CANAL VENDA INTERNA</v>
      </c>
      <c r="F103" s="2" t="str">
        <f>_xlfn.XLOOKUP($N103,'Base de Grupos'!$A:$A,'Base de Grupos'!$H:$H)</f>
        <v>1000153245</v>
      </c>
      <c r="G103" s="5" t="str">
        <f>_xlfn.XLOOKUP($N103,'Base de Grupos'!$A:$A,'Base de Grupos'!$I:$I)</f>
        <v>REGIONAL VENDA INTERNA - KEY ACCOUNT</v>
      </c>
      <c r="H103" s="5" t="str">
        <f>_xlfn.XLOOKUP($N103,'Base de Grupos'!$A:$A,'Base de Grupos'!$J:$J)</f>
        <v>1000153245</v>
      </c>
      <c r="I103" s="2" t="str">
        <f>_xlfn.XLOOKUP($N103,'Base de Grupos'!$A:$A,'Base de Grupos'!$K:$K)</f>
        <v>REGIONAL VENDA INTERNA - KEY ACCOUNT</v>
      </c>
      <c r="J103" s="2" t="str">
        <f>_xlfn.XLOOKUP($N103,'Base de Grupos'!$A:$A,'Base de Grupos'!$L:$L)</f>
        <v>1000153245</v>
      </c>
      <c r="K103" s="5" t="str">
        <f>_xlfn.XLOOKUP($N103,'Base de Grupos'!$A:$A,'Base de Grupos'!$M:$M)</f>
        <v>REGIONAL VENDA INTERNA - KEY ACCOUNT</v>
      </c>
      <c r="L103" s="5" t="str">
        <f t="shared" si="32"/>
        <v/>
      </c>
      <c r="M103" s="5" t="str">
        <f>_xlfn.XLOOKUP($N103,'Base de Grupos'!$A:$A,'Base de Grupos'!$C:$C)</f>
        <v>PB</v>
      </c>
      <c r="N103" s="3">
        <v>1329</v>
      </c>
      <c r="O103" s="4" t="s">
        <v>229</v>
      </c>
      <c r="P103" s="5" t="s">
        <v>89</v>
      </c>
      <c r="Q103" s="24">
        <v>0</v>
      </c>
      <c r="R103" s="24">
        <v>0</v>
      </c>
      <c r="S103" s="24">
        <v>0</v>
      </c>
      <c r="T103" s="24">
        <v>0</v>
      </c>
      <c r="U103" s="24">
        <v>0</v>
      </c>
      <c r="V103" s="24">
        <v>0</v>
      </c>
      <c r="W103" s="24">
        <v>0</v>
      </c>
      <c r="X103" s="24">
        <v>0</v>
      </c>
      <c r="Y103" s="24">
        <v>0</v>
      </c>
      <c r="Z103" s="24">
        <v>0</v>
      </c>
      <c r="AA103" s="24">
        <v>0</v>
      </c>
      <c r="AB103" s="24">
        <v>0</v>
      </c>
      <c r="AC103" s="30">
        <f t="shared" si="46"/>
        <v>0</v>
      </c>
      <c r="AD103" s="27">
        <f t="shared" si="48"/>
        <v>0</v>
      </c>
      <c r="AE103" s="25">
        <f>IFERROR(_xlfn.XLOOKUP(N103&amp;P103,'Historico Vendas'!G:G,'Historico Vendas'!E:E),0)</f>
        <v>0</v>
      </c>
      <c r="AF103" s="29" t="str">
        <f t="shared" si="33"/>
        <v/>
      </c>
      <c r="AG103" s="24">
        <f>IFERROR(_xlfn.XLOOKUP(N103&amp;P103,'Historico Vendas'!G:G,'Historico Vendas'!F:F),0)</f>
        <v>0</v>
      </c>
      <c r="AH103" s="25">
        <f t="shared" si="49"/>
        <v>0</v>
      </c>
      <c r="AI103" s="24">
        <f t="shared" si="50"/>
        <v>0</v>
      </c>
      <c r="AJ103" s="11" t="str">
        <f t="shared" si="34"/>
        <v/>
      </c>
      <c r="AK103" s="9" t="s">
        <v>102</v>
      </c>
      <c r="AL103" s="13">
        <f>IFERROR(INDEX('Balizador da Meta'!$D$3:$F$23,MATCH(Quantidade!$P103,'Balizador da Meta'!$C$3:$C$23,0),MATCH(Quantidade!AK103,'Balizador da Meta'!$D$2:$F$2,0)),"")</f>
        <v>0.25</v>
      </c>
      <c r="AM103" s="9"/>
    </row>
    <row r="104" spans="1:39" x14ac:dyDescent="0.3">
      <c r="A104" s="2" t="str">
        <f t="shared" si="31"/>
        <v>NÃO</v>
      </c>
      <c r="B104" s="2" t="str">
        <f>_xlfn.XLOOKUP($N104,'Base de Grupos'!$A:$A,'Base de Grupos'!$D:$D)</f>
        <v>1000065763</v>
      </c>
      <c r="C104" s="5" t="str">
        <f>_xlfn.XLOOKUP($N104,'Base de Grupos'!$A:$A,'Base de Grupos'!$E:$E)</f>
        <v>CANAL VENDA INTERNA</v>
      </c>
      <c r="D104" s="5" t="str">
        <f>_xlfn.XLOOKUP($N104,'Base de Grupos'!$A:$A,'Base de Grupos'!$F:$F)</f>
        <v>1000065763</v>
      </c>
      <c r="E104" s="2" t="str">
        <f>_xlfn.XLOOKUP($N104,'Base de Grupos'!$A:$A,'Base de Grupos'!$G:$G)</f>
        <v>CANAL VENDA INTERNA</v>
      </c>
      <c r="F104" s="2" t="str">
        <f>_xlfn.XLOOKUP($N104,'Base de Grupos'!$A:$A,'Base de Grupos'!$H:$H)</f>
        <v>1000153245</v>
      </c>
      <c r="G104" s="5" t="str">
        <f>_xlfn.XLOOKUP($N104,'Base de Grupos'!$A:$A,'Base de Grupos'!$I:$I)</f>
        <v>REGIONAL VENDA INTERNA - KEY ACCOUNT</v>
      </c>
      <c r="H104" s="5" t="str">
        <f>_xlfn.XLOOKUP($N104,'Base de Grupos'!$A:$A,'Base de Grupos'!$J:$J)</f>
        <v>1000153245</v>
      </c>
      <c r="I104" s="2" t="str">
        <f>_xlfn.XLOOKUP($N104,'Base de Grupos'!$A:$A,'Base de Grupos'!$K:$K)</f>
        <v>REGIONAL VENDA INTERNA - KEY ACCOUNT</v>
      </c>
      <c r="J104" s="2" t="str">
        <f>_xlfn.XLOOKUP($N104,'Base de Grupos'!$A:$A,'Base de Grupos'!$L:$L)</f>
        <v>1000153245</v>
      </c>
      <c r="K104" s="5" t="str">
        <f>_xlfn.XLOOKUP($N104,'Base de Grupos'!$A:$A,'Base de Grupos'!$M:$M)</f>
        <v>REGIONAL VENDA INTERNA - KEY ACCOUNT</v>
      </c>
      <c r="L104" s="5" t="str">
        <f t="shared" si="32"/>
        <v/>
      </c>
      <c r="M104" s="5" t="str">
        <f>_xlfn.XLOOKUP($N104,'Base de Grupos'!$A:$A,'Base de Grupos'!$C:$C)</f>
        <v>PB</v>
      </c>
      <c r="N104" s="3">
        <v>1329</v>
      </c>
      <c r="O104" s="4" t="s">
        <v>229</v>
      </c>
      <c r="P104" s="5" t="s">
        <v>88</v>
      </c>
      <c r="Q104" s="24">
        <v>0</v>
      </c>
      <c r="R104" s="24">
        <v>0</v>
      </c>
      <c r="S104" s="24">
        <v>0</v>
      </c>
      <c r="T104" s="24">
        <v>0</v>
      </c>
      <c r="U104" s="24">
        <v>0</v>
      </c>
      <c r="V104" s="24">
        <v>0</v>
      </c>
      <c r="W104" s="24">
        <v>0</v>
      </c>
      <c r="X104" s="24">
        <v>0</v>
      </c>
      <c r="Y104" s="24">
        <v>0</v>
      </c>
      <c r="Z104" s="24">
        <v>0</v>
      </c>
      <c r="AA104" s="24">
        <v>0</v>
      </c>
      <c r="AB104" s="24">
        <v>0</v>
      </c>
      <c r="AC104" s="30">
        <f t="shared" si="46"/>
        <v>0</v>
      </c>
      <c r="AD104" s="27">
        <f t="shared" si="48"/>
        <v>0</v>
      </c>
      <c r="AE104" s="25">
        <f>IFERROR(_xlfn.XLOOKUP(N104&amp;P104,'Historico Vendas'!G:G,'Historico Vendas'!E:E),0)</f>
        <v>0</v>
      </c>
      <c r="AF104" s="29" t="str">
        <f t="shared" si="33"/>
        <v/>
      </c>
      <c r="AG104" s="24">
        <f>IFERROR(_xlfn.XLOOKUP(N104&amp;P104,'Historico Vendas'!G:G,'Historico Vendas'!F:F),0)</f>
        <v>0</v>
      </c>
      <c r="AH104" s="25">
        <f t="shared" si="49"/>
        <v>0</v>
      </c>
      <c r="AI104" s="24">
        <f t="shared" si="50"/>
        <v>0</v>
      </c>
      <c r="AJ104" s="11" t="str">
        <f t="shared" si="34"/>
        <v/>
      </c>
      <c r="AK104" s="9" t="s">
        <v>102</v>
      </c>
      <c r="AL104" s="13">
        <f>IFERROR(INDEX('Balizador da Meta'!$D$3:$F$23,MATCH(Quantidade!$P104,'Balizador da Meta'!$C$3:$C$23,0),MATCH(Quantidade!AK104,'Balizador da Meta'!$D$2:$F$2,0)),"")</f>
        <v>0</v>
      </c>
      <c r="AM104" s="9"/>
    </row>
    <row r="105" spans="1:39" x14ac:dyDescent="0.3">
      <c r="A105" s="2" t="str">
        <f t="shared" si="31"/>
        <v>NÃO</v>
      </c>
      <c r="B105" s="2" t="str">
        <f>_xlfn.XLOOKUP($N105,'Base de Grupos'!$A:$A,'Base de Grupos'!$D:$D)</f>
        <v>1000065763</v>
      </c>
      <c r="C105" s="5" t="str">
        <f>_xlfn.XLOOKUP($N105,'Base de Grupos'!$A:$A,'Base de Grupos'!$E:$E)</f>
        <v>CANAL VENDA INTERNA</v>
      </c>
      <c r="D105" s="5" t="str">
        <f>_xlfn.XLOOKUP($N105,'Base de Grupos'!$A:$A,'Base de Grupos'!$F:$F)</f>
        <v>1000065763</v>
      </c>
      <c r="E105" s="2" t="str">
        <f>_xlfn.XLOOKUP($N105,'Base de Grupos'!$A:$A,'Base de Grupos'!$G:$G)</f>
        <v>CANAL VENDA INTERNA</v>
      </c>
      <c r="F105" s="2" t="str">
        <f>_xlfn.XLOOKUP($N105,'Base de Grupos'!$A:$A,'Base de Grupos'!$H:$H)</f>
        <v>1000153245</v>
      </c>
      <c r="G105" s="5" t="str">
        <f>_xlfn.XLOOKUP($N105,'Base de Grupos'!$A:$A,'Base de Grupos'!$I:$I)</f>
        <v>REGIONAL VENDA INTERNA - KEY ACCOUNT</v>
      </c>
      <c r="H105" s="5" t="str">
        <f>_xlfn.XLOOKUP($N105,'Base de Grupos'!$A:$A,'Base de Grupos'!$J:$J)</f>
        <v>1000153245</v>
      </c>
      <c r="I105" s="2" t="str">
        <f>_xlfn.XLOOKUP($N105,'Base de Grupos'!$A:$A,'Base de Grupos'!$K:$K)</f>
        <v>REGIONAL VENDA INTERNA - KEY ACCOUNT</v>
      </c>
      <c r="J105" s="2" t="str">
        <f>_xlfn.XLOOKUP($N105,'Base de Grupos'!$A:$A,'Base de Grupos'!$L:$L)</f>
        <v>1000153245</v>
      </c>
      <c r="K105" s="5" t="str">
        <f>_xlfn.XLOOKUP($N105,'Base de Grupos'!$A:$A,'Base de Grupos'!$M:$M)</f>
        <v>REGIONAL VENDA INTERNA - KEY ACCOUNT</v>
      </c>
      <c r="L105" s="5" t="str">
        <f t="shared" si="32"/>
        <v/>
      </c>
      <c r="M105" s="5" t="str">
        <f>_xlfn.XLOOKUP($N105,'Base de Grupos'!$A:$A,'Base de Grupos'!$C:$C)</f>
        <v>PB</v>
      </c>
      <c r="N105" s="3">
        <v>1329</v>
      </c>
      <c r="O105" s="4" t="s">
        <v>229</v>
      </c>
      <c r="P105" s="5" t="s">
        <v>90</v>
      </c>
      <c r="Q105" s="24">
        <v>0</v>
      </c>
      <c r="R105" s="24">
        <v>0</v>
      </c>
      <c r="S105" s="24">
        <v>0</v>
      </c>
      <c r="T105" s="24">
        <v>0</v>
      </c>
      <c r="U105" s="24">
        <v>0</v>
      </c>
      <c r="V105" s="24">
        <v>0</v>
      </c>
      <c r="W105" s="24">
        <v>0</v>
      </c>
      <c r="X105" s="24">
        <v>0</v>
      </c>
      <c r="Y105" s="24">
        <v>0</v>
      </c>
      <c r="Z105" s="24">
        <v>0</v>
      </c>
      <c r="AA105" s="24">
        <v>0</v>
      </c>
      <c r="AB105" s="24">
        <v>0</v>
      </c>
      <c r="AC105" s="30">
        <f t="shared" si="46"/>
        <v>0</v>
      </c>
      <c r="AD105" s="27">
        <f t="shared" si="48"/>
        <v>0</v>
      </c>
      <c r="AE105" s="25">
        <f>IFERROR(_xlfn.XLOOKUP(N105&amp;P105,'Historico Vendas'!G:G,'Historico Vendas'!E:E),0)</f>
        <v>0</v>
      </c>
      <c r="AF105" s="29" t="str">
        <f t="shared" si="33"/>
        <v/>
      </c>
      <c r="AG105" s="24">
        <f>IFERROR(_xlfn.XLOOKUP(N105&amp;P105,'Historico Vendas'!G:G,'Historico Vendas'!F:F),0)</f>
        <v>0</v>
      </c>
      <c r="AH105" s="25">
        <f t="shared" si="49"/>
        <v>0</v>
      </c>
      <c r="AI105" s="24">
        <f t="shared" si="50"/>
        <v>0</v>
      </c>
      <c r="AJ105" s="11" t="str">
        <f t="shared" si="34"/>
        <v/>
      </c>
      <c r="AK105" s="9" t="s">
        <v>102</v>
      </c>
      <c r="AL105" s="13">
        <f>IFERROR(INDEX('Balizador da Meta'!$D$3:$F$23,MATCH(Quantidade!$P105,'Balizador da Meta'!$C$3:$C$23,0),MATCH(Quantidade!AK105,'Balizador da Meta'!$D$2:$F$2,0)),"")</f>
        <v>0</v>
      </c>
      <c r="AM105" s="9"/>
    </row>
    <row r="106" spans="1:39" x14ac:dyDescent="0.3">
      <c r="A106" s="2" t="str">
        <f t="shared" si="31"/>
        <v>NÃO</v>
      </c>
      <c r="B106" s="2" t="str">
        <f>_xlfn.XLOOKUP($N106,'Base de Grupos'!$A:$A,'Base de Grupos'!$D:$D)</f>
        <v>1000065763</v>
      </c>
      <c r="C106" s="5" t="str">
        <f>_xlfn.XLOOKUP($N106,'Base de Grupos'!$A:$A,'Base de Grupos'!$E:$E)</f>
        <v>CANAL VENDA INTERNA</v>
      </c>
      <c r="D106" s="5" t="str">
        <f>_xlfn.XLOOKUP($N106,'Base de Grupos'!$A:$A,'Base de Grupos'!$F:$F)</f>
        <v>1000065763</v>
      </c>
      <c r="E106" s="2" t="str">
        <f>_xlfn.XLOOKUP($N106,'Base de Grupos'!$A:$A,'Base de Grupos'!$G:$G)</f>
        <v>CANAL VENDA INTERNA</v>
      </c>
      <c r="F106" s="2" t="str">
        <f>_xlfn.XLOOKUP($N106,'Base de Grupos'!$A:$A,'Base de Grupos'!$H:$H)</f>
        <v>1000153245</v>
      </c>
      <c r="G106" s="5" t="str">
        <f>_xlfn.XLOOKUP($N106,'Base de Grupos'!$A:$A,'Base de Grupos'!$I:$I)</f>
        <v>REGIONAL VENDA INTERNA - KEY ACCOUNT</v>
      </c>
      <c r="H106" s="5" t="str">
        <f>_xlfn.XLOOKUP($N106,'Base de Grupos'!$A:$A,'Base de Grupos'!$J:$J)</f>
        <v>1000153245</v>
      </c>
      <c r="I106" s="2" t="str">
        <f>_xlfn.XLOOKUP($N106,'Base de Grupos'!$A:$A,'Base de Grupos'!$K:$K)</f>
        <v>REGIONAL VENDA INTERNA - KEY ACCOUNT</v>
      </c>
      <c r="J106" s="2" t="str">
        <f>_xlfn.XLOOKUP($N106,'Base de Grupos'!$A:$A,'Base de Grupos'!$L:$L)</f>
        <v>1000153245</v>
      </c>
      <c r="K106" s="5" t="str">
        <f>_xlfn.XLOOKUP($N106,'Base de Grupos'!$A:$A,'Base de Grupos'!$M:$M)</f>
        <v>REGIONAL VENDA INTERNA - KEY ACCOUNT</v>
      </c>
      <c r="L106" s="5" t="str">
        <f t="shared" si="32"/>
        <v/>
      </c>
      <c r="M106" s="5" t="str">
        <f>_xlfn.XLOOKUP($N106,'Base de Grupos'!$A:$A,'Base de Grupos'!$C:$C)</f>
        <v>PB</v>
      </c>
      <c r="N106" s="3">
        <v>1329</v>
      </c>
      <c r="O106" s="4" t="s">
        <v>229</v>
      </c>
      <c r="P106" s="5" t="s">
        <v>91</v>
      </c>
      <c r="Q106" s="24">
        <v>0</v>
      </c>
      <c r="R106" s="24">
        <v>0</v>
      </c>
      <c r="S106" s="24">
        <v>0</v>
      </c>
      <c r="T106" s="24">
        <v>0</v>
      </c>
      <c r="U106" s="24">
        <v>0</v>
      </c>
      <c r="V106" s="24">
        <v>0</v>
      </c>
      <c r="W106" s="24">
        <v>0</v>
      </c>
      <c r="X106" s="24">
        <v>0</v>
      </c>
      <c r="Y106" s="24">
        <v>0</v>
      </c>
      <c r="Z106" s="24">
        <v>0</v>
      </c>
      <c r="AA106" s="24">
        <v>0</v>
      </c>
      <c r="AB106" s="24">
        <v>0</v>
      </c>
      <c r="AC106" s="30">
        <f t="shared" si="46"/>
        <v>0</v>
      </c>
      <c r="AD106" s="27">
        <f t="shared" si="48"/>
        <v>0</v>
      </c>
      <c r="AE106" s="25">
        <f>IFERROR(_xlfn.XLOOKUP(N106&amp;P106,'Historico Vendas'!G:G,'Historico Vendas'!E:E),0)</f>
        <v>0</v>
      </c>
      <c r="AF106" s="29" t="str">
        <f t="shared" si="33"/>
        <v/>
      </c>
      <c r="AG106" s="24">
        <f>IFERROR(_xlfn.XLOOKUP(N106&amp;P106,'Historico Vendas'!G:G,'Historico Vendas'!F:F),0)</f>
        <v>0</v>
      </c>
      <c r="AH106" s="25">
        <f t="shared" si="49"/>
        <v>0</v>
      </c>
      <c r="AI106" s="24">
        <f t="shared" si="50"/>
        <v>0</v>
      </c>
      <c r="AJ106" s="11" t="str">
        <f t="shared" si="34"/>
        <v/>
      </c>
      <c r="AK106" s="9" t="s">
        <v>102</v>
      </c>
      <c r="AL106" s="13">
        <f>IFERROR(INDEX('Balizador da Meta'!$D$3:$F$23,MATCH(Quantidade!$P106,'Balizador da Meta'!$C$3:$C$23,0),MATCH(Quantidade!AK106,'Balizador da Meta'!$D$2:$F$2,0)),"")</f>
        <v>0</v>
      </c>
      <c r="AM106" s="9"/>
    </row>
    <row r="107" spans="1:39" x14ac:dyDescent="0.3">
      <c r="A107" s="2" t="str">
        <f t="shared" si="31"/>
        <v>NÃO</v>
      </c>
      <c r="B107" s="2" t="str">
        <f>_xlfn.XLOOKUP($N107,'Base de Grupos'!$A:$A,'Base de Grupos'!$D:$D)</f>
        <v>1000065763</v>
      </c>
      <c r="C107" s="5" t="str">
        <f>_xlfn.XLOOKUP($N107,'Base de Grupos'!$A:$A,'Base de Grupos'!$E:$E)</f>
        <v>CANAL VENDA INTERNA</v>
      </c>
      <c r="D107" s="5" t="str">
        <f>_xlfn.XLOOKUP($N107,'Base de Grupos'!$A:$A,'Base de Grupos'!$F:$F)</f>
        <v>1000065763</v>
      </c>
      <c r="E107" s="2" t="str">
        <f>_xlfn.XLOOKUP($N107,'Base de Grupos'!$A:$A,'Base de Grupos'!$G:$G)</f>
        <v>CANAL VENDA INTERNA</v>
      </c>
      <c r="F107" s="2" t="str">
        <f>_xlfn.XLOOKUP($N107,'Base de Grupos'!$A:$A,'Base de Grupos'!$H:$H)</f>
        <v>1000153245</v>
      </c>
      <c r="G107" s="5" t="str">
        <f>_xlfn.XLOOKUP($N107,'Base de Grupos'!$A:$A,'Base de Grupos'!$I:$I)</f>
        <v>REGIONAL VENDA INTERNA - KEY ACCOUNT</v>
      </c>
      <c r="H107" s="5" t="str">
        <f>_xlfn.XLOOKUP($N107,'Base de Grupos'!$A:$A,'Base de Grupos'!$J:$J)</f>
        <v>1000153245</v>
      </c>
      <c r="I107" s="2" t="str">
        <f>_xlfn.XLOOKUP($N107,'Base de Grupos'!$A:$A,'Base de Grupos'!$K:$K)</f>
        <v>REGIONAL VENDA INTERNA - KEY ACCOUNT</v>
      </c>
      <c r="J107" s="2" t="str">
        <f>_xlfn.XLOOKUP($N107,'Base de Grupos'!$A:$A,'Base de Grupos'!$L:$L)</f>
        <v>1000153245</v>
      </c>
      <c r="K107" s="5" t="str">
        <f>_xlfn.XLOOKUP($N107,'Base de Grupos'!$A:$A,'Base de Grupos'!$M:$M)</f>
        <v>REGIONAL VENDA INTERNA - KEY ACCOUNT</v>
      </c>
      <c r="L107" s="5" t="str">
        <f t="shared" si="32"/>
        <v/>
      </c>
      <c r="M107" s="5" t="str">
        <f>_xlfn.XLOOKUP($N107,'Base de Grupos'!$A:$A,'Base de Grupos'!$C:$C)</f>
        <v>PB</v>
      </c>
      <c r="N107" s="3">
        <v>1329</v>
      </c>
      <c r="O107" s="4" t="s">
        <v>229</v>
      </c>
      <c r="P107" s="5" t="s">
        <v>96</v>
      </c>
      <c r="Q107" s="24">
        <v>0</v>
      </c>
      <c r="R107" s="24">
        <v>0</v>
      </c>
      <c r="S107" s="24">
        <v>0</v>
      </c>
      <c r="T107" s="24">
        <v>0</v>
      </c>
      <c r="U107" s="24">
        <v>0</v>
      </c>
      <c r="V107" s="24">
        <v>0</v>
      </c>
      <c r="W107" s="24">
        <v>0</v>
      </c>
      <c r="X107" s="24">
        <v>0</v>
      </c>
      <c r="Y107" s="24">
        <v>0</v>
      </c>
      <c r="Z107" s="24">
        <v>0</v>
      </c>
      <c r="AA107" s="24">
        <v>0</v>
      </c>
      <c r="AB107" s="24">
        <v>0</v>
      </c>
      <c r="AC107" s="30">
        <f t="shared" si="46"/>
        <v>0</v>
      </c>
      <c r="AD107" s="27">
        <f t="shared" si="48"/>
        <v>0</v>
      </c>
      <c r="AE107" s="25">
        <f>IFERROR(_xlfn.XLOOKUP(N107&amp;P107,'Historico Vendas'!G:G,'Historico Vendas'!E:E),0)</f>
        <v>0</v>
      </c>
      <c r="AF107" s="29" t="str">
        <f t="shared" si="33"/>
        <v/>
      </c>
      <c r="AG107" s="24">
        <f>IFERROR(_xlfn.XLOOKUP(N107&amp;P107,'Historico Vendas'!G:G,'Historico Vendas'!F:F),0)</f>
        <v>0</v>
      </c>
      <c r="AH107" s="25">
        <f t="shared" si="49"/>
        <v>0</v>
      </c>
      <c r="AI107" s="24">
        <f t="shared" si="50"/>
        <v>0</v>
      </c>
      <c r="AJ107" s="11" t="str">
        <f t="shared" si="34"/>
        <v/>
      </c>
      <c r="AK107" s="9" t="s">
        <v>102</v>
      </c>
      <c r="AL107" s="13">
        <f>IFERROR(INDEX('Balizador da Meta'!$D$3:$F$23,MATCH(Quantidade!$P107,'Balizador da Meta'!$C$3:$C$23,0),MATCH(Quantidade!AK107,'Balizador da Meta'!$D$2:$F$2,0)),"")</f>
        <v>0</v>
      </c>
      <c r="AM107" s="9"/>
    </row>
    <row r="108" spans="1:39" x14ac:dyDescent="0.3">
      <c r="A108" s="2" t="str">
        <f t="shared" si="31"/>
        <v>NÃO</v>
      </c>
      <c r="B108" s="2" t="str">
        <f>_xlfn.XLOOKUP($N108,'Base de Grupos'!$A:$A,'Base de Grupos'!$D:$D)</f>
        <v>1000065763</v>
      </c>
      <c r="C108" s="5" t="str">
        <f>_xlfn.XLOOKUP($N108,'Base de Grupos'!$A:$A,'Base de Grupos'!$E:$E)</f>
        <v>CANAL VENDA INTERNA</v>
      </c>
      <c r="D108" s="5" t="str">
        <f>_xlfn.XLOOKUP($N108,'Base de Grupos'!$A:$A,'Base de Grupos'!$F:$F)</f>
        <v>1000065763</v>
      </c>
      <c r="E108" s="2" t="str">
        <f>_xlfn.XLOOKUP($N108,'Base de Grupos'!$A:$A,'Base de Grupos'!$G:$G)</f>
        <v>CANAL VENDA INTERNA</v>
      </c>
      <c r="F108" s="2" t="str">
        <f>_xlfn.XLOOKUP($N108,'Base de Grupos'!$A:$A,'Base de Grupos'!$H:$H)</f>
        <v>1000153245</v>
      </c>
      <c r="G108" s="5" t="str">
        <f>_xlfn.XLOOKUP($N108,'Base de Grupos'!$A:$A,'Base de Grupos'!$I:$I)</f>
        <v>REGIONAL VENDA INTERNA - KEY ACCOUNT</v>
      </c>
      <c r="H108" s="5" t="str">
        <f>_xlfn.XLOOKUP($N108,'Base de Grupos'!$A:$A,'Base de Grupos'!$J:$J)</f>
        <v>1000153245</v>
      </c>
      <c r="I108" s="2" t="str">
        <f>_xlfn.XLOOKUP($N108,'Base de Grupos'!$A:$A,'Base de Grupos'!$K:$K)</f>
        <v>REGIONAL VENDA INTERNA - KEY ACCOUNT</v>
      </c>
      <c r="J108" s="2" t="str">
        <f>_xlfn.XLOOKUP($N108,'Base de Grupos'!$A:$A,'Base de Grupos'!$L:$L)</f>
        <v>1000153245</v>
      </c>
      <c r="K108" s="5" t="str">
        <f>_xlfn.XLOOKUP($N108,'Base de Grupos'!$A:$A,'Base de Grupos'!$M:$M)</f>
        <v>REGIONAL VENDA INTERNA - KEY ACCOUNT</v>
      </c>
      <c r="L108" s="5" t="str">
        <f t="shared" si="32"/>
        <v/>
      </c>
      <c r="M108" s="5" t="str">
        <f>_xlfn.XLOOKUP($N108,'Base de Grupos'!$A:$A,'Base de Grupos'!$C:$C)</f>
        <v>PB</v>
      </c>
      <c r="N108" s="3">
        <v>1329</v>
      </c>
      <c r="O108" s="4" t="s">
        <v>229</v>
      </c>
      <c r="P108" s="5" t="s">
        <v>94</v>
      </c>
      <c r="Q108" s="24">
        <v>0</v>
      </c>
      <c r="R108" s="24">
        <v>0</v>
      </c>
      <c r="S108" s="24">
        <v>0</v>
      </c>
      <c r="T108" s="24">
        <v>0</v>
      </c>
      <c r="U108" s="24">
        <v>0</v>
      </c>
      <c r="V108" s="24">
        <v>0</v>
      </c>
      <c r="W108" s="24">
        <v>0</v>
      </c>
      <c r="X108" s="24">
        <v>0</v>
      </c>
      <c r="Y108" s="24">
        <v>0</v>
      </c>
      <c r="Z108" s="24">
        <v>0</v>
      </c>
      <c r="AA108" s="24">
        <v>0</v>
      </c>
      <c r="AB108" s="24">
        <v>0</v>
      </c>
      <c r="AC108" s="30">
        <f t="shared" si="46"/>
        <v>0</v>
      </c>
      <c r="AD108" s="27">
        <f t="shared" si="48"/>
        <v>0</v>
      </c>
      <c r="AE108" s="25">
        <f>IFERROR(_xlfn.XLOOKUP(N108&amp;P108,'Historico Vendas'!G:G,'Historico Vendas'!E:E),0)</f>
        <v>0</v>
      </c>
      <c r="AF108" s="29" t="str">
        <f t="shared" si="33"/>
        <v/>
      </c>
      <c r="AG108" s="24">
        <f>IFERROR(_xlfn.XLOOKUP(N108&amp;P108,'Historico Vendas'!G:G,'Historico Vendas'!F:F),0)</f>
        <v>0</v>
      </c>
      <c r="AH108" s="25">
        <f t="shared" si="49"/>
        <v>0</v>
      </c>
      <c r="AI108" s="24">
        <f t="shared" si="50"/>
        <v>0</v>
      </c>
      <c r="AJ108" s="11" t="str">
        <f t="shared" si="34"/>
        <v/>
      </c>
      <c r="AK108" s="9" t="s">
        <v>102</v>
      </c>
      <c r="AL108" s="13">
        <f>IFERROR(INDEX('Balizador da Meta'!$D$3:$F$23,MATCH(Quantidade!$P108,'Balizador da Meta'!$C$3:$C$23,0),MATCH(Quantidade!AK108,'Balizador da Meta'!$D$2:$F$2,0)),"")</f>
        <v>0.25</v>
      </c>
      <c r="AM108" s="9"/>
    </row>
    <row r="109" spans="1:39" x14ac:dyDescent="0.3">
      <c r="A109" s="2" t="str">
        <f t="shared" si="31"/>
        <v>NÃO</v>
      </c>
      <c r="B109" s="2" t="str">
        <f>_xlfn.XLOOKUP($N109,'Base de Grupos'!$A:$A,'Base de Grupos'!$D:$D)</f>
        <v>1000065763</v>
      </c>
      <c r="C109" s="5" t="str">
        <f>_xlfn.XLOOKUP($N109,'Base de Grupos'!$A:$A,'Base de Grupos'!$E:$E)</f>
        <v>CANAL VENDA INTERNA</v>
      </c>
      <c r="D109" s="5" t="str">
        <f>_xlfn.XLOOKUP($N109,'Base de Grupos'!$A:$A,'Base de Grupos'!$F:$F)</f>
        <v>1000065763</v>
      </c>
      <c r="E109" s="2" t="str">
        <f>_xlfn.XLOOKUP($N109,'Base de Grupos'!$A:$A,'Base de Grupos'!$G:$G)</f>
        <v>CANAL VENDA INTERNA</v>
      </c>
      <c r="F109" s="2" t="str">
        <f>_xlfn.XLOOKUP($N109,'Base de Grupos'!$A:$A,'Base de Grupos'!$H:$H)</f>
        <v>1000153245</v>
      </c>
      <c r="G109" s="5" t="str">
        <f>_xlfn.XLOOKUP($N109,'Base de Grupos'!$A:$A,'Base de Grupos'!$I:$I)</f>
        <v>REGIONAL VENDA INTERNA - KEY ACCOUNT</v>
      </c>
      <c r="H109" s="5" t="str">
        <f>_xlfn.XLOOKUP($N109,'Base de Grupos'!$A:$A,'Base de Grupos'!$J:$J)</f>
        <v>1000153245</v>
      </c>
      <c r="I109" s="2" t="str">
        <f>_xlfn.XLOOKUP($N109,'Base de Grupos'!$A:$A,'Base de Grupos'!$K:$K)</f>
        <v>REGIONAL VENDA INTERNA - KEY ACCOUNT</v>
      </c>
      <c r="J109" s="2" t="str">
        <f>_xlfn.XLOOKUP($N109,'Base de Grupos'!$A:$A,'Base de Grupos'!$L:$L)</f>
        <v>1000153245</v>
      </c>
      <c r="K109" s="5" t="str">
        <f>_xlfn.XLOOKUP($N109,'Base de Grupos'!$A:$A,'Base de Grupos'!$M:$M)</f>
        <v>REGIONAL VENDA INTERNA - KEY ACCOUNT</v>
      </c>
      <c r="L109" s="5" t="str">
        <f t="shared" si="32"/>
        <v/>
      </c>
      <c r="M109" s="5" t="str">
        <f>_xlfn.XLOOKUP($N109,'Base de Grupos'!$A:$A,'Base de Grupos'!$C:$C)</f>
        <v>PB</v>
      </c>
      <c r="N109" s="3">
        <v>1329</v>
      </c>
      <c r="O109" s="4" t="s">
        <v>229</v>
      </c>
      <c r="P109" s="5" t="s">
        <v>95</v>
      </c>
      <c r="Q109" s="24">
        <v>0</v>
      </c>
      <c r="R109" s="24">
        <v>0</v>
      </c>
      <c r="S109" s="24">
        <v>0</v>
      </c>
      <c r="T109" s="24">
        <v>0</v>
      </c>
      <c r="U109" s="24">
        <v>0</v>
      </c>
      <c r="V109" s="24">
        <v>0</v>
      </c>
      <c r="W109" s="24">
        <v>0</v>
      </c>
      <c r="X109" s="24">
        <v>0</v>
      </c>
      <c r="Y109" s="24">
        <v>0</v>
      </c>
      <c r="Z109" s="24">
        <v>0</v>
      </c>
      <c r="AA109" s="24">
        <v>0</v>
      </c>
      <c r="AB109" s="24">
        <v>0</v>
      </c>
      <c r="AC109" s="30">
        <f t="shared" si="46"/>
        <v>0</v>
      </c>
      <c r="AD109" s="27">
        <f t="shared" si="48"/>
        <v>0</v>
      </c>
      <c r="AE109" s="25">
        <f>IFERROR(_xlfn.XLOOKUP(N109&amp;P109,'Historico Vendas'!G:G,'Historico Vendas'!E:E),0)</f>
        <v>0</v>
      </c>
      <c r="AF109" s="29" t="str">
        <f t="shared" si="33"/>
        <v/>
      </c>
      <c r="AG109" s="24">
        <f>IFERROR(_xlfn.XLOOKUP(N109&amp;P109,'Historico Vendas'!G:G,'Historico Vendas'!F:F),0)</f>
        <v>0</v>
      </c>
      <c r="AH109" s="25">
        <f t="shared" si="49"/>
        <v>0</v>
      </c>
      <c r="AI109" s="24">
        <f t="shared" si="50"/>
        <v>0</v>
      </c>
      <c r="AJ109" s="11" t="str">
        <f t="shared" si="34"/>
        <v/>
      </c>
      <c r="AK109" s="9" t="s">
        <v>102</v>
      </c>
      <c r="AL109" s="13">
        <f>IFERROR(INDEX('Balizador da Meta'!$D$3:$F$23,MATCH(Quantidade!$P109,'Balizador da Meta'!$C$3:$C$23,0),MATCH(Quantidade!AK109,'Balizador da Meta'!$D$2:$F$2,0)),"")</f>
        <v>0.25</v>
      </c>
      <c r="AM109" s="9"/>
    </row>
    <row r="110" spans="1:39" x14ac:dyDescent="0.3">
      <c r="A110" s="2" t="str">
        <f t="shared" si="31"/>
        <v>NÃO</v>
      </c>
      <c r="B110" s="2" t="str">
        <f>_xlfn.XLOOKUP($N110,'Base de Grupos'!$A:$A,'Base de Grupos'!$D:$D)</f>
        <v>1000065763</v>
      </c>
      <c r="C110" s="5" t="str">
        <f>_xlfn.XLOOKUP($N110,'Base de Grupos'!$A:$A,'Base de Grupos'!$E:$E)</f>
        <v>CANAL VENDA INTERNA</v>
      </c>
      <c r="D110" s="5" t="str">
        <f>_xlfn.XLOOKUP($N110,'Base de Grupos'!$A:$A,'Base de Grupos'!$F:$F)</f>
        <v>1000065763</v>
      </c>
      <c r="E110" s="2" t="str">
        <f>_xlfn.XLOOKUP($N110,'Base de Grupos'!$A:$A,'Base de Grupos'!$G:$G)</f>
        <v>CANAL VENDA INTERNA</v>
      </c>
      <c r="F110" s="2" t="str">
        <f>_xlfn.XLOOKUP($N110,'Base de Grupos'!$A:$A,'Base de Grupos'!$H:$H)</f>
        <v>1000153245</v>
      </c>
      <c r="G110" s="5" t="str">
        <f>_xlfn.XLOOKUP($N110,'Base de Grupos'!$A:$A,'Base de Grupos'!$I:$I)</f>
        <v>REGIONAL VENDA INTERNA - KEY ACCOUNT</v>
      </c>
      <c r="H110" s="5" t="str">
        <f>_xlfn.XLOOKUP($N110,'Base de Grupos'!$A:$A,'Base de Grupos'!$J:$J)</f>
        <v>1000153245</v>
      </c>
      <c r="I110" s="2" t="str">
        <f>_xlfn.XLOOKUP($N110,'Base de Grupos'!$A:$A,'Base de Grupos'!$K:$K)</f>
        <v>REGIONAL VENDA INTERNA - KEY ACCOUNT</v>
      </c>
      <c r="J110" s="2" t="str">
        <f>_xlfn.XLOOKUP($N110,'Base de Grupos'!$A:$A,'Base de Grupos'!$L:$L)</f>
        <v>1000153245</v>
      </c>
      <c r="K110" s="5" t="str">
        <f>_xlfn.XLOOKUP($N110,'Base de Grupos'!$A:$A,'Base de Grupos'!$M:$M)</f>
        <v>REGIONAL VENDA INTERNA - KEY ACCOUNT</v>
      </c>
      <c r="L110" s="5" t="str">
        <f t="shared" si="32"/>
        <v/>
      </c>
      <c r="M110" s="5" t="str">
        <f>_xlfn.XLOOKUP($N110,'Base de Grupos'!$A:$A,'Base de Grupos'!$C:$C)</f>
        <v>PB</v>
      </c>
      <c r="N110" s="3">
        <v>1329</v>
      </c>
      <c r="O110" s="4" t="s">
        <v>229</v>
      </c>
      <c r="P110" s="5" t="s">
        <v>93</v>
      </c>
      <c r="Q110" s="24">
        <v>0</v>
      </c>
      <c r="R110" s="24">
        <v>0</v>
      </c>
      <c r="S110" s="24">
        <v>0</v>
      </c>
      <c r="T110" s="24">
        <v>0</v>
      </c>
      <c r="U110" s="24">
        <v>0</v>
      </c>
      <c r="V110" s="24">
        <v>0</v>
      </c>
      <c r="W110" s="24">
        <v>0</v>
      </c>
      <c r="X110" s="24">
        <v>0</v>
      </c>
      <c r="Y110" s="24">
        <v>0</v>
      </c>
      <c r="Z110" s="24">
        <v>0</v>
      </c>
      <c r="AA110" s="24">
        <v>0</v>
      </c>
      <c r="AB110" s="24">
        <v>0</v>
      </c>
      <c r="AC110" s="30">
        <f t="shared" si="46"/>
        <v>0</v>
      </c>
      <c r="AD110" s="27">
        <f t="shared" si="48"/>
        <v>0</v>
      </c>
      <c r="AE110" s="25">
        <f>IFERROR(_xlfn.XLOOKUP(N110&amp;P110,'Historico Vendas'!G:G,'Historico Vendas'!E:E),0)</f>
        <v>0</v>
      </c>
      <c r="AF110" s="29" t="str">
        <f t="shared" si="33"/>
        <v/>
      </c>
      <c r="AG110" s="24">
        <f>IFERROR(_xlfn.XLOOKUP(N110&amp;P110,'Historico Vendas'!G:G,'Historico Vendas'!F:F),0)</f>
        <v>0</v>
      </c>
      <c r="AH110" s="25">
        <f t="shared" si="49"/>
        <v>0</v>
      </c>
      <c r="AI110" s="24">
        <f t="shared" si="50"/>
        <v>0</v>
      </c>
      <c r="AJ110" s="11" t="str">
        <f t="shared" si="34"/>
        <v/>
      </c>
      <c r="AK110" s="9" t="s">
        <v>102</v>
      </c>
      <c r="AL110" s="13">
        <f>IFERROR(INDEX('Balizador da Meta'!$D$3:$F$23,MATCH(Quantidade!$P110,'Balizador da Meta'!$C$3:$C$23,0),MATCH(Quantidade!AK110,'Balizador da Meta'!$D$2:$F$2,0)),"")</f>
        <v>0.2</v>
      </c>
      <c r="AM110" s="9"/>
    </row>
    <row r="111" spans="1:39" x14ac:dyDescent="0.3">
      <c r="A111" s="2" t="str">
        <f t="shared" si="31"/>
        <v>SIM</v>
      </c>
      <c r="B111" s="2" t="str">
        <f>_xlfn.XLOOKUP($N111,'Base de Grupos'!$A:$A,'Base de Grupos'!$D:$D)</f>
        <v>1000065763</v>
      </c>
      <c r="C111" s="5" t="str">
        <f>_xlfn.XLOOKUP($N111,'Base de Grupos'!$A:$A,'Base de Grupos'!$E:$E)</f>
        <v>CANAL VENDA INTERNA</v>
      </c>
      <c r="D111" s="5" t="str">
        <f>_xlfn.XLOOKUP($N111,'Base de Grupos'!$A:$A,'Base de Grupos'!$F:$F)</f>
        <v>1000065763</v>
      </c>
      <c r="E111" s="2" t="str">
        <f>_xlfn.XLOOKUP($N111,'Base de Grupos'!$A:$A,'Base de Grupos'!$G:$G)</f>
        <v>CANAL VENDA INTERNA</v>
      </c>
      <c r="F111" s="2" t="str">
        <f>_xlfn.XLOOKUP($N111,'Base de Grupos'!$A:$A,'Base de Grupos'!$H:$H)</f>
        <v>1000105900</v>
      </c>
      <c r="G111" s="5" t="str">
        <f>_xlfn.XLOOKUP($N111,'Base de Grupos'!$A:$A,'Base de Grupos'!$I:$I)</f>
        <v>REGIONAL VENDA DIRETA CO + NE + NO</v>
      </c>
      <c r="H111" s="5" t="str">
        <f>_xlfn.XLOOKUP($N111,'Base de Grupos'!$A:$A,'Base de Grupos'!$J:$J)</f>
        <v>1000105900</v>
      </c>
      <c r="I111" s="2" t="str">
        <f>_xlfn.XLOOKUP($N111,'Base de Grupos'!$A:$A,'Base de Grupos'!$K:$K)</f>
        <v>REGIONAL VENDA DIRETA CO + NE + NO</v>
      </c>
      <c r="J111" s="2" t="str">
        <f>_xlfn.XLOOKUP($N111,'Base de Grupos'!$A:$A,'Base de Grupos'!$L:$L)</f>
        <v>1000150135</v>
      </c>
      <c r="K111" s="5" t="str">
        <f>_xlfn.XLOOKUP($N111,'Base de Grupos'!$A:$A,'Base de Grupos'!$M:$M)</f>
        <v>HELDER DA SILVA BRUNKOW</v>
      </c>
      <c r="L111" s="5">
        <f t="shared" si="32"/>
        <v>1</v>
      </c>
      <c r="M111" s="5" t="str">
        <f>_xlfn.XLOOKUP($N111,'Base de Grupos'!$A:$A,'Base de Grupos'!$C:$C)</f>
        <v>SE</v>
      </c>
      <c r="N111" s="3">
        <v>1330</v>
      </c>
      <c r="O111" s="4" t="s">
        <v>230</v>
      </c>
      <c r="P111" s="5" t="s">
        <v>300</v>
      </c>
      <c r="Q111" s="24">
        <v>0</v>
      </c>
      <c r="R111" s="24">
        <v>0</v>
      </c>
      <c r="S111" s="24">
        <v>0</v>
      </c>
      <c r="T111" s="24">
        <v>0</v>
      </c>
      <c r="U111" s="24">
        <v>0</v>
      </c>
      <c r="V111" s="24">
        <v>0</v>
      </c>
      <c r="W111" s="24">
        <v>0</v>
      </c>
      <c r="X111" s="24">
        <v>0</v>
      </c>
      <c r="Y111" s="24">
        <v>0</v>
      </c>
      <c r="Z111" s="24">
        <v>0</v>
      </c>
      <c r="AA111" s="24">
        <v>0</v>
      </c>
      <c r="AB111" s="24">
        <v>0</v>
      </c>
      <c r="AC111" s="30">
        <f t="shared" si="46"/>
        <v>0</v>
      </c>
      <c r="AD111" s="25">
        <f t="shared" ref="AD111:AI111" si="51">SUM(AD112:AD128)</f>
        <v>0</v>
      </c>
      <c r="AE111" s="25">
        <f t="shared" si="51"/>
        <v>0</v>
      </c>
      <c r="AF111" s="11" t="str">
        <f t="shared" si="33"/>
        <v/>
      </c>
      <c r="AG111" s="24">
        <f t="shared" si="51"/>
        <v>0</v>
      </c>
      <c r="AH111" s="25">
        <f t="shared" si="51"/>
        <v>0</v>
      </c>
      <c r="AI111" s="24">
        <f t="shared" si="51"/>
        <v>0</v>
      </c>
      <c r="AJ111" s="11" t="str">
        <f t="shared" si="34"/>
        <v/>
      </c>
      <c r="AK111" s="9"/>
      <c r="AL111" s="13"/>
      <c r="AM111" s="9"/>
    </row>
    <row r="112" spans="1:39" x14ac:dyDescent="0.3">
      <c r="A112" s="2" t="str">
        <f t="shared" si="31"/>
        <v>NÃO</v>
      </c>
      <c r="B112" s="2" t="str">
        <f>_xlfn.XLOOKUP($N112,'Base de Grupos'!$A:$A,'Base de Grupos'!$D:$D)</f>
        <v>1000065763</v>
      </c>
      <c r="C112" s="5" t="str">
        <f>_xlfn.XLOOKUP($N112,'Base de Grupos'!$A:$A,'Base de Grupos'!$E:$E)</f>
        <v>CANAL VENDA INTERNA</v>
      </c>
      <c r="D112" s="5" t="str">
        <f>_xlfn.XLOOKUP($N112,'Base de Grupos'!$A:$A,'Base de Grupos'!$F:$F)</f>
        <v>1000065763</v>
      </c>
      <c r="E112" s="2" t="str">
        <f>_xlfn.XLOOKUP($N112,'Base de Grupos'!$A:$A,'Base de Grupos'!$G:$G)</f>
        <v>CANAL VENDA INTERNA</v>
      </c>
      <c r="F112" s="2" t="str">
        <f>_xlfn.XLOOKUP($N112,'Base de Grupos'!$A:$A,'Base de Grupos'!$H:$H)</f>
        <v>1000105900</v>
      </c>
      <c r="G112" s="5" t="str">
        <f>_xlfn.XLOOKUP($N112,'Base de Grupos'!$A:$A,'Base de Grupos'!$I:$I)</f>
        <v>REGIONAL VENDA DIRETA CO + NE + NO</v>
      </c>
      <c r="H112" s="5" t="str">
        <f>_xlfn.XLOOKUP($N112,'Base de Grupos'!$A:$A,'Base de Grupos'!$J:$J)</f>
        <v>1000105900</v>
      </c>
      <c r="I112" s="2" t="str">
        <f>_xlfn.XLOOKUP($N112,'Base de Grupos'!$A:$A,'Base de Grupos'!$K:$K)</f>
        <v>REGIONAL VENDA DIRETA CO + NE + NO</v>
      </c>
      <c r="J112" s="2" t="str">
        <f>_xlfn.XLOOKUP($N112,'Base de Grupos'!$A:$A,'Base de Grupos'!$L:$L)</f>
        <v>1000150135</v>
      </c>
      <c r="K112" s="5" t="str">
        <f>_xlfn.XLOOKUP($N112,'Base de Grupos'!$A:$A,'Base de Grupos'!$M:$M)</f>
        <v>HELDER DA SILVA BRUNKOW</v>
      </c>
      <c r="L112" s="5" t="str">
        <f t="shared" si="32"/>
        <v/>
      </c>
      <c r="M112" s="5" t="str">
        <f>_xlfn.XLOOKUP($N112,'Base de Grupos'!$A:$A,'Base de Grupos'!$C:$C)</f>
        <v>SE</v>
      </c>
      <c r="N112" s="3">
        <v>1330</v>
      </c>
      <c r="O112" s="4" t="s">
        <v>230</v>
      </c>
      <c r="P112" s="5" t="s">
        <v>81</v>
      </c>
      <c r="Q112" s="24">
        <v>0</v>
      </c>
      <c r="R112" s="24">
        <v>0</v>
      </c>
      <c r="S112" s="24">
        <v>0</v>
      </c>
      <c r="T112" s="24">
        <v>0</v>
      </c>
      <c r="U112" s="24">
        <v>0</v>
      </c>
      <c r="V112" s="24">
        <v>0</v>
      </c>
      <c r="W112" s="24">
        <v>0</v>
      </c>
      <c r="X112" s="24">
        <v>0</v>
      </c>
      <c r="Y112" s="24">
        <v>0</v>
      </c>
      <c r="Z112" s="24">
        <v>0</v>
      </c>
      <c r="AA112" s="24">
        <v>0</v>
      </c>
      <c r="AB112" s="24">
        <v>0</v>
      </c>
      <c r="AC112" s="30">
        <f t="shared" si="46"/>
        <v>0</v>
      </c>
      <c r="AD112" s="27">
        <f t="shared" ref="AD112:AD128" si="52">IF(AC112=0,0,AC112-AG112)</f>
        <v>0</v>
      </c>
      <c r="AE112" s="25">
        <f>IFERROR(_xlfn.XLOOKUP(N112&amp;P112,'Historico Vendas'!G:G,'Historico Vendas'!E:E),0)</f>
        <v>0</v>
      </c>
      <c r="AF112" s="29" t="str">
        <f t="shared" si="33"/>
        <v/>
      </c>
      <c r="AG112" s="24">
        <f>IFERROR(_xlfn.XLOOKUP(N112&amp;P112,'Historico Vendas'!G:G,'Historico Vendas'!F:F),0)</f>
        <v>0</v>
      </c>
      <c r="AH112" s="25">
        <f t="shared" ref="AH112:AH128" si="53">SUM(Q112:S112)</f>
        <v>0</v>
      </c>
      <c r="AI112" s="24">
        <f t="shared" ref="AI112:AI128" si="54">AH112-AG112</f>
        <v>0</v>
      </c>
      <c r="AJ112" s="11" t="str">
        <f t="shared" si="34"/>
        <v/>
      </c>
      <c r="AK112" s="9" t="s">
        <v>102</v>
      </c>
      <c r="AL112" s="13">
        <f>IFERROR(INDEX('Balizador da Meta'!$D$3:$F$23,MATCH(Quantidade!$P112,'Balizador da Meta'!$C$3:$C$23,0),MATCH(Quantidade!AK112,'Balizador da Meta'!$D$2:$F$2,0)),"")</f>
        <v>0.2</v>
      </c>
      <c r="AM112" s="9"/>
    </row>
    <row r="113" spans="1:39" x14ac:dyDescent="0.3">
      <c r="A113" s="2" t="str">
        <f t="shared" si="31"/>
        <v>NÃO</v>
      </c>
      <c r="B113" s="2" t="str">
        <f>_xlfn.XLOOKUP($N113,'Base de Grupos'!$A:$A,'Base de Grupos'!$D:$D)</f>
        <v>1000065763</v>
      </c>
      <c r="C113" s="5" t="str">
        <f>_xlfn.XLOOKUP($N113,'Base de Grupos'!$A:$A,'Base de Grupos'!$E:$E)</f>
        <v>CANAL VENDA INTERNA</v>
      </c>
      <c r="D113" s="5" t="str">
        <f>_xlfn.XLOOKUP($N113,'Base de Grupos'!$A:$A,'Base de Grupos'!$F:$F)</f>
        <v>1000065763</v>
      </c>
      <c r="E113" s="2" t="str">
        <f>_xlfn.XLOOKUP($N113,'Base de Grupos'!$A:$A,'Base de Grupos'!$G:$G)</f>
        <v>CANAL VENDA INTERNA</v>
      </c>
      <c r="F113" s="2" t="str">
        <f>_xlfn.XLOOKUP($N113,'Base de Grupos'!$A:$A,'Base de Grupos'!$H:$H)</f>
        <v>1000105900</v>
      </c>
      <c r="G113" s="5" t="str">
        <f>_xlfn.XLOOKUP($N113,'Base de Grupos'!$A:$A,'Base de Grupos'!$I:$I)</f>
        <v>REGIONAL VENDA DIRETA CO + NE + NO</v>
      </c>
      <c r="H113" s="5" t="str">
        <f>_xlfn.XLOOKUP($N113,'Base de Grupos'!$A:$A,'Base de Grupos'!$J:$J)</f>
        <v>1000105900</v>
      </c>
      <c r="I113" s="2" t="str">
        <f>_xlfn.XLOOKUP($N113,'Base de Grupos'!$A:$A,'Base de Grupos'!$K:$K)</f>
        <v>REGIONAL VENDA DIRETA CO + NE + NO</v>
      </c>
      <c r="J113" s="2" t="str">
        <f>_xlfn.XLOOKUP($N113,'Base de Grupos'!$A:$A,'Base de Grupos'!$L:$L)</f>
        <v>1000150135</v>
      </c>
      <c r="K113" s="5" t="str">
        <f>_xlfn.XLOOKUP($N113,'Base de Grupos'!$A:$A,'Base de Grupos'!$M:$M)</f>
        <v>HELDER DA SILVA BRUNKOW</v>
      </c>
      <c r="L113" s="5" t="str">
        <f t="shared" si="32"/>
        <v/>
      </c>
      <c r="M113" s="5" t="str">
        <f>_xlfn.XLOOKUP($N113,'Base de Grupos'!$A:$A,'Base de Grupos'!$C:$C)</f>
        <v>SE</v>
      </c>
      <c r="N113" s="3">
        <v>1330</v>
      </c>
      <c r="O113" s="4" t="s">
        <v>230</v>
      </c>
      <c r="P113" s="5" t="s">
        <v>82</v>
      </c>
      <c r="Q113" s="24">
        <f>SUM(Q114:Q134)</f>
        <v>0</v>
      </c>
      <c r="R113" s="24">
        <f t="shared" ref="R113" si="55">SUM(R114:R134)</f>
        <v>0</v>
      </c>
      <c r="S113" s="24">
        <f t="shared" ref="S113" si="56">SUM(S114:S134)</f>
        <v>0</v>
      </c>
      <c r="T113" s="24">
        <f t="shared" ref="T113:AC113" si="57">SUM(T114:T134)</f>
        <v>0</v>
      </c>
      <c r="U113" s="24">
        <f t="shared" si="57"/>
        <v>0</v>
      </c>
      <c r="V113" s="24">
        <f t="shared" si="57"/>
        <v>0</v>
      </c>
      <c r="W113" s="24">
        <f t="shared" si="57"/>
        <v>0</v>
      </c>
      <c r="X113" s="24">
        <f t="shared" si="57"/>
        <v>0</v>
      </c>
      <c r="Y113" s="24">
        <f t="shared" si="57"/>
        <v>0</v>
      </c>
      <c r="Z113" s="24">
        <f t="shared" si="57"/>
        <v>0</v>
      </c>
      <c r="AA113" s="24">
        <f t="shared" si="57"/>
        <v>0</v>
      </c>
      <c r="AB113" s="24">
        <f t="shared" si="57"/>
        <v>0</v>
      </c>
      <c r="AC113" s="24">
        <f t="shared" si="57"/>
        <v>0</v>
      </c>
      <c r="AD113" s="27">
        <f t="shared" si="52"/>
        <v>0</v>
      </c>
      <c r="AE113" s="25">
        <f>IFERROR(_xlfn.XLOOKUP(N113&amp;P113,'Historico Vendas'!G:G,'Historico Vendas'!E:E),0)</f>
        <v>0</v>
      </c>
      <c r="AF113" s="29" t="str">
        <f t="shared" si="33"/>
        <v/>
      </c>
      <c r="AG113" s="24">
        <f>IFERROR(_xlfn.XLOOKUP(N113&amp;P113,'Historico Vendas'!G:G,'Historico Vendas'!F:F),0)</f>
        <v>0</v>
      </c>
      <c r="AH113" s="25">
        <f t="shared" si="53"/>
        <v>0</v>
      </c>
      <c r="AI113" s="24">
        <f t="shared" si="54"/>
        <v>0</v>
      </c>
      <c r="AJ113" s="11" t="str">
        <f t="shared" si="34"/>
        <v/>
      </c>
      <c r="AK113" s="9" t="s">
        <v>102</v>
      </c>
      <c r="AL113" s="13">
        <f>IFERROR(INDEX('Balizador da Meta'!$D$3:$F$23,MATCH(Quantidade!$P113,'Balizador da Meta'!$C$3:$C$23,0),MATCH(Quantidade!AK113,'Balizador da Meta'!$D$2:$F$2,0)),"")</f>
        <v>0.2</v>
      </c>
      <c r="AM113" s="9"/>
    </row>
    <row r="114" spans="1:39" x14ac:dyDescent="0.3">
      <c r="A114" s="2" t="str">
        <f t="shared" si="31"/>
        <v>NÃO</v>
      </c>
      <c r="B114" s="2" t="str">
        <f>_xlfn.XLOOKUP($N114,'Base de Grupos'!$A:$A,'Base de Grupos'!$D:$D)</f>
        <v>1000065763</v>
      </c>
      <c r="C114" s="5" t="str">
        <f>_xlfn.XLOOKUP($N114,'Base de Grupos'!$A:$A,'Base de Grupos'!$E:$E)</f>
        <v>CANAL VENDA INTERNA</v>
      </c>
      <c r="D114" s="5" t="str">
        <f>_xlfn.XLOOKUP($N114,'Base de Grupos'!$A:$A,'Base de Grupos'!$F:$F)</f>
        <v>1000065763</v>
      </c>
      <c r="E114" s="2" t="str">
        <f>_xlfn.XLOOKUP($N114,'Base de Grupos'!$A:$A,'Base de Grupos'!$G:$G)</f>
        <v>CANAL VENDA INTERNA</v>
      </c>
      <c r="F114" s="2" t="str">
        <f>_xlfn.XLOOKUP($N114,'Base de Grupos'!$A:$A,'Base de Grupos'!$H:$H)</f>
        <v>1000105900</v>
      </c>
      <c r="G114" s="5" t="str">
        <f>_xlfn.XLOOKUP($N114,'Base de Grupos'!$A:$A,'Base de Grupos'!$I:$I)</f>
        <v>REGIONAL VENDA DIRETA CO + NE + NO</v>
      </c>
      <c r="H114" s="5" t="str">
        <f>_xlfn.XLOOKUP($N114,'Base de Grupos'!$A:$A,'Base de Grupos'!$J:$J)</f>
        <v>1000105900</v>
      </c>
      <c r="I114" s="2" t="str">
        <f>_xlfn.XLOOKUP($N114,'Base de Grupos'!$A:$A,'Base de Grupos'!$K:$K)</f>
        <v>REGIONAL VENDA DIRETA CO + NE + NO</v>
      </c>
      <c r="J114" s="2" t="str">
        <f>_xlfn.XLOOKUP($N114,'Base de Grupos'!$A:$A,'Base de Grupos'!$L:$L)</f>
        <v>1000150135</v>
      </c>
      <c r="K114" s="5" t="str">
        <f>_xlfn.XLOOKUP($N114,'Base de Grupos'!$A:$A,'Base de Grupos'!$M:$M)</f>
        <v>HELDER DA SILVA BRUNKOW</v>
      </c>
      <c r="L114" s="5" t="str">
        <f t="shared" si="32"/>
        <v/>
      </c>
      <c r="M114" s="5" t="str">
        <f>_xlfn.XLOOKUP($N114,'Base de Grupos'!$A:$A,'Base de Grupos'!$C:$C)</f>
        <v>SE</v>
      </c>
      <c r="N114" s="3">
        <v>1330</v>
      </c>
      <c r="O114" s="4" t="s">
        <v>230</v>
      </c>
      <c r="P114" s="5" t="s">
        <v>84</v>
      </c>
      <c r="Q114" s="24">
        <v>0</v>
      </c>
      <c r="R114" s="24">
        <v>0</v>
      </c>
      <c r="S114" s="24">
        <v>0</v>
      </c>
      <c r="T114" s="24">
        <v>0</v>
      </c>
      <c r="U114" s="24">
        <v>0</v>
      </c>
      <c r="V114" s="24">
        <v>0</v>
      </c>
      <c r="W114" s="24">
        <v>0</v>
      </c>
      <c r="X114" s="24">
        <v>0</v>
      </c>
      <c r="Y114" s="24">
        <v>0</v>
      </c>
      <c r="Z114" s="24">
        <v>0</v>
      </c>
      <c r="AA114" s="24">
        <v>0</v>
      </c>
      <c r="AB114" s="24">
        <v>0</v>
      </c>
      <c r="AC114" s="30">
        <f t="shared" ref="AC114:AC134" si="58">SUM(T114:AB114)</f>
        <v>0</v>
      </c>
      <c r="AD114" s="27">
        <f t="shared" si="52"/>
        <v>0</v>
      </c>
      <c r="AE114" s="25">
        <f>IFERROR(_xlfn.XLOOKUP(N114&amp;P114,'Historico Vendas'!G:G,'Historico Vendas'!E:E),0)</f>
        <v>0</v>
      </c>
      <c r="AF114" s="29" t="str">
        <f t="shared" si="33"/>
        <v/>
      </c>
      <c r="AG114" s="24">
        <f>IFERROR(_xlfn.XLOOKUP(N114&amp;P114,'Historico Vendas'!G:G,'Historico Vendas'!F:F),0)</f>
        <v>0</v>
      </c>
      <c r="AH114" s="25">
        <f t="shared" si="53"/>
        <v>0</v>
      </c>
      <c r="AI114" s="24">
        <f t="shared" si="54"/>
        <v>0</v>
      </c>
      <c r="AJ114" s="11" t="str">
        <f t="shared" si="34"/>
        <v/>
      </c>
      <c r="AK114" s="9" t="s">
        <v>102</v>
      </c>
      <c r="AL114" s="13">
        <f>IFERROR(INDEX('Balizador da Meta'!$D$3:$F$23,MATCH(Quantidade!$P114,'Balizador da Meta'!$C$3:$C$23,0),MATCH(Quantidade!AK114,'Balizador da Meta'!$D$2:$F$2,0)),"")</f>
        <v>0.15</v>
      </c>
      <c r="AM114" s="9"/>
    </row>
    <row r="115" spans="1:39" x14ac:dyDescent="0.3">
      <c r="A115" s="2" t="str">
        <f t="shared" si="31"/>
        <v>NÃO</v>
      </c>
      <c r="B115" s="2" t="str">
        <f>_xlfn.XLOOKUP($N115,'Base de Grupos'!$A:$A,'Base de Grupos'!$D:$D)</f>
        <v>1000065763</v>
      </c>
      <c r="C115" s="5" t="str">
        <f>_xlfn.XLOOKUP($N115,'Base de Grupos'!$A:$A,'Base de Grupos'!$E:$E)</f>
        <v>CANAL VENDA INTERNA</v>
      </c>
      <c r="D115" s="5" t="str">
        <f>_xlfn.XLOOKUP($N115,'Base de Grupos'!$A:$A,'Base de Grupos'!$F:$F)</f>
        <v>1000065763</v>
      </c>
      <c r="E115" s="2" t="str">
        <f>_xlfn.XLOOKUP($N115,'Base de Grupos'!$A:$A,'Base de Grupos'!$G:$G)</f>
        <v>CANAL VENDA INTERNA</v>
      </c>
      <c r="F115" s="2" t="str">
        <f>_xlfn.XLOOKUP($N115,'Base de Grupos'!$A:$A,'Base de Grupos'!$H:$H)</f>
        <v>1000105900</v>
      </c>
      <c r="G115" s="5" t="str">
        <f>_xlfn.XLOOKUP($N115,'Base de Grupos'!$A:$A,'Base de Grupos'!$I:$I)</f>
        <v>REGIONAL VENDA DIRETA CO + NE + NO</v>
      </c>
      <c r="H115" s="5" t="str">
        <f>_xlfn.XLOOKUP($N115,'Base de Grupos'!$A:$A,'Base de Grupos'!$J:$J)</f>
        <v>1000105900</v>
      </c>
      <c r="I115" s="2" t="str">
        <f>_xlfn.XLOOKUP($N115,'Base de Grupos'!$A:$A,'Base de Grupos'!$K:$K)</f>
        <v>REGIONAL VENDA DIRETA CO + NE + NO</v>
      </c>
      <c r="J115" s="2" t="str">
        <f>_xlfn.XLOOKUP($N115,'Base de Grupos'!$A:$A,'Base de Grupos'!$L:$L)</f>
        <v>1000150135</v>
      </c>
      <c r="K115" s="5" t="str">
        <f>_xlfn.XLOOKUP($N115,'Base de Grupos'!$A:$A,'Base de Grupos'!$M:$M)</f>
        <v>HELDER DA SILVA BRUNKOW</v>
      </c>
      <c r="L115" s="5" t="str">
        <f t="shared" si="32"/>
        <v/>
      </c>
      <c r="M115" s="5" t="str">
        <f>_xlfn.XLOOKUP($N115,'Base de Grupos'!$A:$A,'Base de Grupos'!$C:$C)</f>
        <v>SE</v>
      </c>
      <c r="N115" s="3">
        <v>1330</v>
      </c>
      <c r="O115" s="4" t="s">
        <v>230</v>
      </c>
      <c r="P115" s="5" t="s">
        <v>83</v>
      </c>
      <c r="Q115" s="24">
        <v>0</v>
      </c>
      <c r="R115" s="24">
        <v>0</v>
      </c>
      <c r="S115" s="24">
        <v>0</v>
      </c>
      <c r="T115" s="24">
        <v>0</v>
      </c>
      <c r="U115" s="24">
        <v>0</v>
      </c>
      <c r="V115" s="24">
        <v>0</v>
      </c>
      <c r="W115" s="24">
        <v>0</v>
      </c>
      <c r="X115" s="24">
        <v>0</v>
      </c>
      <c r="Y115" s="24">
        <v>0</v>
      </c>
      <c r="Z115" s="24">
        <v>0</v>
      </c>
      <c r="AA115" s="24">
        <v>0</v>
      </c>
      <c r="AB115" s="24">
        <v>0</v>
      </c>
      <c r="AC115" s="30">
        <f t="shared" si="58"/>
        <v>0</v>
      </c>
      <c r="AD115" s="27">
        <f t="shared" si="52"/>
        <v>0</v>
      </c>
      <c r="AE115" s="25">
        <f>IFERROR(_xlfn.XLOOKUP(N115&amp;P115,'Historico Vendas'!G:G,'Historico Vendas'!E:E),0)</f>
        <v>0</v>
      </c>
      <c r="AF115" s="29" t="str">
        <f t="shared" si="33"/>
        <v/>
      </c>
      <c r="AG115" s="24">
        <f>IFERROR(_xlfn.XLOOKUP(N115&amp;P115,'Historico Vendas'!G:G,'Historico Vendas'!F:F),0)</f>
        <v>0</v>
      </c>
      <c r="AH115" s="25">
        <f t="shared" si="53"/>
        <v>0</v>
      </c>
      <c r="AI115" s="24">
        <f t="shared" si="54"/>
        <v>0</v>
      </c>
      <c r="AJ115" s="11" t="str">
        <f t="shared" si="34"/>
        <v/>
      </c>
      <c r="AK115" s="9" t="s">
        <v>102</v>
      </c>
      <c r="AL115" s="13">
        <f>IFERROR(INDEX('Balizador da Meta'!$D$3:$F$23,MATCH(Quantidade!$P115,'Balizador da Meta'!$C$3:$C$23,0),MATCH(Quantidade!AK115,'Balizador da Meta'!$D$2:$F$2,0)),"")</f>
        <v>0</v>
      </c>
      <c r="AM115" s="9"/>
    </row>
    <row r="116" spans="1:39" x14ac:dyDescent="0.3">
      <c r="A116" s="2" t="str">
        <f t="shared" si="31"/>
        <v>NÃO</v>
      </c>
      <c r="B116" s="2" t="str">
        <f>_xlfn.XLOOKUP($N116,'Base de Grupos'!$A:$A,'Base de Grupos'!$D:$D)</f>
        <v>1000065763</v>
      </c>
      <c r="C116" s="5" t="str">
        <f>_xlfn.XLOOKUP($N116,'Base de Grupos'!$A:$A,'Base de Grupos'!$E:$E)</f>
        <v>CANAL VENDA INTERNA</v>
      </c>
      <c r="D116" s="5" t="str">
        <f>_xlfn.XLOOKUP($N116,'Base de Grupos'!$A:$A,'Base de Grupos'!$F:$F)</f>
        <v>1000065763</v>
      </c>
      <c r="E116" s="2" t="str">
        <f>_xlfn.XLOOKUP($N116,'Base de Grupos'!$A:$A,'Base de Grupos'!$G:$G)</f>
        <v>CANAL VENDA INTERNA</v>
      </c>
      <c r="F116" s="2" t="str">
        <f>_xlfn.XLOOKUP($N116,'Base de Grupos'!$A:$A,'Base de Grupos'!$H:$H)</f>
        <v>1000105900</v>
      </c>
      <c r="G116" s="5" t="str">
        <f>_xlfn.XLOOKUP($N116,'Base de Grupos'!$A:$A,'Base de Grupos'!$I:$I)</f>
        <v>REGIONAL VENDA DIRETA CO + NE + NO</v>
      </c>
      <c r="H116" s="5" t="str">
        <f>_xlfn.XLOOKUP($N116,'Base de Grupos'!$A:$A,'Base de Grupos'!$J:$J)</f>
        <v>1000105900</v>
      </c>
      <c r="I116" s="2" t="str">
        <f>_xlfn.XLOOKUP($N116,'Base de Grupos'!$A:$A,'Base de Grupos'!$K:$K)</f>
        <v>REGIONAL VENDA DIRETA CO + NE + NO</v>
      </c>
      <c r="J116" s="2" t="str">
        <f>_xlfn.XLOOKUP($N116,'Base de Grupos'!$A:$A,'Base de Grupos'!$L:$L)</f>
        <v>1000150135</v>
      </c>
      <c r="K116" s="5" t="str">
        <f>_xlfn.XLOOKUP($N116,'Base de Grupos'!$A:$A,'Base de Grupos'!$M:$M)</f>
        <v>HELDER DA SILVA BRUNKOW</v>
      </c>
      <c r="L116" s="5" t="str">
        <f t="shared" si="32"/>
        <v/>
      </c>
      <c r="M116" s="5" t="str">
        <f>_xlfn.XLOOKUP($N116,'Base de Grupos'!$A:$A,'Base de Grupos'!$C:$C)</f>
        <v>SE</v>
      </c>
      <c r="N116" s="3">
        <v>1330</v>
      </c>
      <c r="O116" s="4" t="s">
        <v>230</v>
      </c>
      <c r="P116" s="5" t="s">
        <v>87</v>
      </c>
      <c r="Q116" s="24">
        <v>0</v>
      </c>
      <c r="R116" s="24">
        <v>0</v>
      </c>
      <c r="S116" s="24">
        <v>0</v>
      </c>
      <c r="T116" s="24">
        <v>0</v>
      </c>
      <c r="U116" s="24">
        <v>0</v>
      </c>
      <c r="V116" s="24">
        <v>0</v>
      </c>
      <c r="W116" s="24">
        <v>0</v>
      </c>
      <c r="X116" s="24">
        <v>0</v>
      </c>
      <c r="Y116" s="24">
        <v>0</v>
      </c>
      <c r="Z116" s="24">
        <v>0</v>
      </c>
      <c r="AA116" s="24">
        <v>0</v>
      </c>
      <c r="AB116" s="24">
        <v>0</v>
      </c>
      <c r="AC116" s="30">
        <f t="shared" si="58"/>
        <v>0</v>
      </c>
      <c r="AD116" s="27">
        <f t="shared" si="52"/>
        <v>0</v>
      </c>
      <c r="AE116" s="25">
        <f>IFERROR(_xlfn.XLOOKUP(N116&amp;P116,'Historico Vendas'!G:G,'Historico Vendas'!E:E),0)</f>
        <v>0</v>
      </c>
      <c r="AF116" s="29" t="str">
        <f t="shared" si="33"/>
        <v/>
      </c>
      <c r="AG116" s="24">
        <f>IFERROR(_xlfn.XLOOKUP(N116&amp;P116,'Historico Vendas'!G:G,'Historico Vendas'!F:F),0)</f>
        <v>0</v>
      </c>
      <c r="AH116" s="25">
        <f t="shared" si="53"/>
        <v>0</v>
      </c>
      <c r="AI116" s="24">
        <f t="shared" si="54"/>
        <v>0</v>
      </c>
      <c r="AJ116" s="11" t="str">
        <f t="shared" si="34"/>
        <v/>
      </c>
      <c r="AK116" s="9" t="s">
        <v>102</v>
      </c>
      <c r="AL116" s="13">
        <f>IFERROR(INDEX('Balizador da Meta'!$D$3:$F$23,MATCH(Quantidade!$P116,'Balizador da Meta'!$C$3:$C$23,0),MATCH(Quantidade!AK116,'Balizador da Meta'!$D$2:$F$2,0)),"")</f>
        <v>0</v>
      </c>
      <c r="AM116" s="9"/>
    </row>
    <row r="117" spans="1:39" x14ac:dyDescent="0.3">
      <c r="A117" s="2" t="str">
        <f t="shared" si="31"/>
        <v>NÃO</v>
      </c>
      <c r="B117" s="2" t="str">
        <f>_xlfn.XLOOKUP($N117,'Base de Grupos'!$A:$A,'Base de Grupos'!$D:$D)</f>
        <v>1000065763</v>
      </c>
      <c r="C117" s="5" t="str">
        <f>_xlfn.XLOOKUP($N117,'Base de Grupos'!$A:$A,'Base de Grupos'!$E:$E)</f>
        <v>CANAL VENDA INTERNA</v>
      </c>
      <c r="D117" s="5" t="str">
        <f>_xlfn.XLOOKUP($N117,'Base de Grupos'!$A:$A,'Base de Grupos'!$F:$F)</f>
        <v>1000065763</v>
      </c>
      <c r="E117" s="2" t="str">
        <f>_xlfn.XLOOKUP($N117,'Base de Grupos'!$A:$A,'Base de Grupos'!$G:$G)</f>
        <v>CANAL VENDA INTERNA</v>
      </c>
      <c r="F117" s="2" t="str">
        <f>_xlfn.XLOOKUP($N117,'Base de Grupos'!$A:$A,'Base de Grupos'!$H:$H)</f>
        <v>1000105900</v>
      </c>
      <c r="G117" s="5" t="str">
        <f>_xlfn.XLOOKUP($N117,'Base de Grupos'!$A:$A,'Base de Grupos'!$I:$I)</f>
        <v>REGIONAL VENDA DIRETA CO + NE + NO</v>
      </c>
      <c r="H117" s="5" t="str">
        <f>_xlfn.XLOOKUP($N117,'Base de Grupos'!$A:$A,'Base de Grupos'!$J:$J)</f>
        <v>1000105900</v>
      </c>
      <c r="I117" s="2" t="str">
        <f>_xlfn.XLOOKUP($N117,'Base de Grupos'!$A:$A,'Base de Grupos'!$K:$K)</f>
        <v>REGIONAL VENDA DIRETA CO + NE + NO</v>
      </c>
      <c r="J117" s="2" t="str">
        <f>_xlfn.XLOOKUP($N117,'Base de Grupos'!$A:$A,'Base de Grupos'!$L:$L)</f>
        <v>1000150135</v>
      </c>
      <c r="K117" s="5" t="str">
        <f>_xlfn.XLOOKUP($N117,'Base de Grupos'!$A:$A,'Base de Grupos'!$M:$M)</f>
        <v>HELDER DA SILVA BRUNKOW</v>
      </c>
      <c r="L117" s="5" t="str">
        <f t="shared" si="32"/>
        <v/>
      </c>
      <c r="M117" s="5" t="str">
        <f>_xlfn.XLOOKUP($N117,'Base de Grupos'!$A:$A,'Base de Grupos'!$C:$C)</f>
        <v>SE</v>
      </c>
      <c r="N117" s="3">
        <v>1330</v>
      </c>
      <c r="O117" s="4" t="s">
        <v>230</v>
      </c>
      <c r="P117" s="5" t="s">
        <v>85</v>
      </c>
      <c r="Q117" s="24">
        <v>0</v>
      </c>
      <c r="R117" s="24">
        <v>0</v>
      </c>
      <c r="S117" s="24">
        <v>0</v>
      </c>
      <c r="T117" s="24">
        <v>0</v>
      </c>
      <c r="U117" s="24">
        <v>0</v>
      </c>
      <c r="V117" s="24">
        <v>0</v>
      </c>
      <c r="W117" s="24">
        <v>0</v>
      </c>
      <c r="X117" s="24">
        <v>0</v>
      </c>
      <c r="Y117" s="24">
        <v>0</v>
      </c>
      <c r="Z117" s="24">
        <v>0</v>
      </c>
      <c r="AA117" s="24">
        <v>0</v>
      </c>
      <c r="AB117" s="24">
        <v>0</v>
      </c>
      <c r="AC117" s="30">
        <f t="shared" si="58"/>
        <v>0</v>
      </c>
      <c r="AD117" s="27">
        <f t="shared" si="52"/>
        <v>0</v>
      </c>
      <c r="AE117" s="25">
        <f>IFERROR(_xlfn.XLOOKUP(N117&amp;P117,'Historico Vendas'!G:G,'Historico Vendas'!E:E),0)</f>
        <v>0</v>
      </c>
      <c r="AF117" s="29" t="str">
        <f t="shared" si="33"/>
        <v/>
      </c>
      <c r="AG117" s="24">
        <f>IFERROR(_xlfn.XLOOKUP(N117&amp;P117,'Historico Vendas'!G:G,'Historico Vendas'!F:F),0)</f>
        <v>0</v>
      </c>
      <c r="AH117" s="25">
        <f t="shared" si="53"/>
        <v>0</v>
      </c>
      <c r="AI117" s="24">
        <f t="shared" si="54"/>
        <v>0</v>
      </c>
      <c r="AJ117" s="11" t="str">
        <f t="shared" si="34"/>
        <v/>
      </c>
      <c r="AK117" s="9" t="s">
        <v>102</v>
      </c>
      <c r="AL117" s="13">
        <f>IFERROR(INDEX('Balizador da Meta'!$D$3:$F$23,MATCH(Quantidade!$P117,'Balizador da Meta'!$C$3:$C$23,0),MATCH(Quantidade!AK117,'Balizador da Meta'!$D$2:$F$2,0)),"")</f>
        <v>0</v>
      </c>
      <c r="AM117" s="9"/>
    </row>
    <row r="118" spans="1:39" x14ac:dyDescent="0.3">
      <c r="A118" s="2" t="str">
        <f t="shared" si="31"/>
        <v>NÃO</v>
      </c>
      <c r="B118" s="2" t="str">
        <f>_xlfn.XLOOKUP($N118,'Base de Grupos'!$A:$A,'Base de Grupos'!$D:$D)</f>
        <v>1000065763</v>
      </c>
      <c r="C118" s="5" t="str">
        <f>_xlfn.XLOOKUP($N118,'Base de Grupos'!$A:$A,'Base de Grupos'!$E:$E)</f>
        <v>CANAL VENDA INTERNA</v>
      </c>
      <c r="D118" s="5" t="str">
        <f>_xlfn.XLOOKUP($N118,'Base de Grupos'!$A:$A,'Base de Grupos'!$F:$F)</f>
        <v>1000065763</v>
      </c>
      <c r="E118" s="2" t="str">
        <f>_xlfn.XLOOKUP($N118,'Base de Grupos'!$A:$A,'Base de Grupos'!$G:$G)</f>
        <v>CANAL VENDA INTERNA</v>
      </c>
      <c r="F118" s="2" t="str">
        <f>_xlfn.XLOOKUP($N118,'Base de Grupos'!$A:$A,'Base de Grupos'!$H:$H)</f>
        <v>1000105900</v>
      </c>
      <c r="G118" s="5" t="str">
        <f>_xlfn.XLOOKUP($N118,'Base de Grupos'!$A:$A,'Base de Grupos'!$I:$I)</f>
        <v>REGIONAL VENDA DIRETA CO + NE + NO</v>
      </c>
      <c r="H118" s="5" t="str">
        <f>_xlfn.XLOOKUP($N118,'Base de Grupos'!$A:$A,'Base de Grupos'!$J:$J)</f>
        <v>1000105900</v>
      </c>
      <c r="I118" s="2" t="str">
        <f>_xlfn.XLOOKUP($N118,'Base de Grupos'!$A:$A,'Base de Grupos'!$K:$K)</f>
        <v>REGIONAL VENDA DIRETA CO + NE + NO</v>
      </c>
      <c r="J118" s="2" t="str">
        <f>_xlfn.XLOOKUP($N118,'Base de Grupos'!$A:$A,'Base de Grupos'!$L:$L)</f>
        <v>1000150135</v>
      </c>
      <c r="K118" s="5" t="str">
        <f>_xlfn.XLOOKUP($N118,'Base de Grupos'!$A:$A,'Base de Grupos'!$M:$M)</f>
        <v>HELDER DA SILVA BRUNKOW</v>
      </c>
      <c r="L118" s="5" t="str">
        <f t="shared" si="32"/>
        <v/>
      </c>
      <c r="M118" s="5" t="str">
        <f>_xlfn.XLOOKUP($N118,'Base de Grupos'!$A:$A,'Base de Grupos'!$C:$C)</f>
        <v>SE</v>
      </c>
      <c r="N118" s="3">
        <v>1330</v>
      </c>
      <c r="O118" s="4" t="s">
        <v>230</v>
      </c>
      <c r="P118" s="5" t="s">
        <v>92</v>
      </c>
      <c r="Q118" s="24">
        <v>0</v>
      </c>
      <c r="R118" s="24">
        <v>0</v>
      </c>
      <c r="S118" s="24">
        <v>0</v>
      </c>
      <c r="T118" s="24">
        <v>0</v>
      </c>
      <c r="U118" s="24">
        <v>0</v>
      </c>
      <c r="V118" s="24">
        <v>0</v>
      </c>
      <c r="W118" s="24">
        <v>0</v>
      </c>
      <c r="X118" s="24">
        <v>0</v>
      </c>
      <c r="Y118" s="24">
        <v>0</v>
      </c>
      <c r="Z118" s="24">
        <v>0</v>
      </c>
      <c r="AA118" s="24">
        <v>0</v>
      </c>
      <c r="AB118" s="24">
        <v>0</v>
      </c>
      <c r="AC118" s="30">
        <f t="shared" si="58"/>
        <v>0</v>
      </c>
      <c r="AD118" s="27">
        <f t="shared" si="52"/>
        <v>0</v>
      </c>
      <c r="AE118" s="25">
        <f>IFERROR(_xlfn.XLOOKUP(N118&amp;P118,'Historico Vendas'!G:G,'Historico Vendas'!E:E),0)</f>
        <v>0</v>
      </c>
      <c r="AF118" s="29" t="str">
        <f t="shared" si="33"/>
        <v/>
      </c>
      <c r="AG118" s="24">
        <f>IFERROR(_xlfn.XLOOKUP(N118&amp;P118,'Historico Vendas'!G:G,'Historico Vendas'!F:F),0)</f>
        <v>0</v>
      </c>
      <c r="AH118" s="25">
        <f t="shared" si="53"/>
        <v>0</v>
      </c>
      <c r="AI118" s="24">
        <f t="shared" si="54"/>
        <v>0</v>
      </c>
      <c r="AJ118" s="11" t="str">
        <f t="shared" si="34"/>
        <v/>
      </c>
      <c r="AK118" s="9" t="s">
        <v>102</v>
      </c>
      <c r="AL118" s="13">
        <f>IFERROR(INDEX('Balizador da Meta'!$D$3:$F$23,MATCH(Quantidade!$P118,'Balizador da Meta'!$C$3:$C$23,0),MATCH(Quantidade!AK118,'Balizador da Meta'!$D$2:$F$2,0)),"")</f>
        <v>0</v>
      </c>
      <c r="AM118" s="9"/>
    </row>
    <row r="119" spans="1:39" x14ac:dyDescent="0.3">
      <c r="A119" s="2" t="str">
        <f t="shared" si="31"/>
        <v>NÃO</v>
      </c>
      <c r="B119" s="2" t="str">
        <f>_xlfn.XLOOKUP($N119,'Base de Grupos'!$A:$A,'Base de Grupos'!$D:$D)</f>
        <v>1000065763</v>
      </c>
      <c r="C119" s="5" t="str">
        <f>_xlfn.XLOOKUP($N119,'Base de Grupos'!$A:$A,'Base de Grupos'!$E:$E)</f>
        <v>CANAL VENDA INTERNA</v>
      </c>
      <c r="D119" s="5" t="str">
        <f>_xlfn.XLOOKUP($N119,'Base de Grupos'!$A:$A,'Base de Grupos'!$F:$F)</f>
        <v>1000065763</v>
      </c>
      <c r="E119" s="2" t="str">
        <f>_xlfn.XLOOKUP($N119,'Base de Grupos'!$A:$A,'Base de Grupos'!$G:$G)</f>
        <v>CANAL VENDA INTERNA</v>
      </c>
      <c r="F119" s="2" t="str">
        <f>_xlfn.XLOOKUP($N119,'Base de Grupos'!$A:$A,'Base de Grupos'!$H:$H)</f>
        <v>1000105900</v>
      </c>
      <c r="G119" s="5" t="str">
        <f>_xlfn.XLOOKUP($N119,'Base de Grupos'!$A:$A,'Base de Grupos'!$I:$I)</f>
        <v>REGIONAL VENDA DIRETA CO + NE + NO</v>
      </c>
      <c r="H119" s="5" t="str">
        <f>_xlfn.XLOOKUP($N119,'Base de Grupos'!$A:$A,'Base de Grupos'!$J:$J)</f>
        <v>1000105900</v>
      </c>
      <c r="I119" s="2" t="str">
        <f>_xlfn.XLOOKUP($N119,'Base de Grupos'!$A:$A,'Base de Grupos'!$K:$K)</f>
        <v>REGIONAL VENDA DIRETA CO + NE + NO</v>
      </c>
      <c r="J119" s="2" t="str">
        <f>_xlfn.XLOOKUP($N119,'Base de Grupos'!$A:$A,'Base de Grupos'!$L:$L)</f>
        <v>1000150135</v>
      </c>
      <c r="K119" s="5" t="str">
        <f>_xlfn.XLOOKUP($N119,'Base de Grupos'!$A:$A,'Base de Grupos'!$M:$M)</f>
        <v>HELDER DA SILVA BRUNKOW</v>
      </c>
      <c r="L119" s="5" t="str">
        <f t="shared" si="32"/>
        <v/>
      </c>
      <c r="M119" s="5" t="str">
        <f>_xlfn.XLOOKUP($N119,'Base de Grupos'!$A:$A,'Base de Grupos'!$C:$C)</f>
        <v>SE</v>
      </c>
      <c r="N119" s="3">
        <v>1330</v>
      </c>
      <c r="O119" s="4" t="s">
        <v>230</v>
      </c>
      <c r="P119" s="5" t="s">
        <v>86</v>
      </c>
      <c r="Q119" s="24">
        <v>0</v>
      </c>
      <c r="R119" s="24">
        <v>0</v>
      </c>
      <c r="S119" s="24">
        <v>0</v>
      </c>
      <c r="T119" s="24">
        <v>0</v>
      </c>
      <c r="U119" s="24">
        <v>0</v>
      </c>
      <c r="V119" s="24">
        <v>0</v>
      </c>
      <c r="W119" s="24">
        <v>0</v>
      </c>
      <c r="X119" s="24">
        <v>0</v>
      </c>
      <c r="Y119" s="24">
        <v>0</v>
      </c>
      <c r="Z119" s="24">
        <v>0</v>
      </c>
      <c r="AA119" s="24">
        <v>0</v>
      </c>
      <c r="AB119" s="24">
        <v>0</v>
      </c>
      <c r="AC119" s="30">
        <f t="shared" si="58"/>
        <v>0</v>
      </c>
      <c r="AD119" s="27">
        <f t="shared" si="52"/>
        <v>0</v>
      </c>
      <c r="AE119" s="25">
        <f>IFERROR(_xlfn.XLOOKUP(N119&amp;P119,'Historico Vendas'!G:G,'Historico Vendas'!E:E),0)</f>
        <v>0</v>
      </c>
      <c r="AF119" s="29" t="str">
        <f t="shared" si="33"/>
        <v/>
      </c>
      <c r="AG119" s="24">
        <f>IFERROR(_xlfn.XLOOKUP(N119&amp;P119,'Historico Vendas'!G:G,'Historico Vendas'!F:F),0)</f>
        <v>0</v>
      </c>
      <c r="AH119" s="25">
        <f t="shared" si="53"/>
        <v>0</v>
      </c>
      <c r="AI119" s="24">
        <f t="shared" si="54"/>
        <v>0</v>
      </c>
      <c r="AJ119" s="11" t="str">
        <f t="shared" si="34"/>
        <v/>
      </c>
      <c r="AK119" s="9" t="s">
        <v>102</v>
      </c>
      <c r="AL119" s="13">
        <f>IFERROR(INDEX('Balizador da Meta'!$D$3:$F$23,MATCH(Quantidade!$P119,'Balizador da Meta'!$C$3:$C$23,0),MATCH(Quantidade!AK119,'Balizador da Meta'!$D$2:$F$2,0)),"")</f>
        <v>0.15</v>
      </c>
      <c r="AM119" s="9"/>
    </row>
    <row r="120" spans="1:39" x14ac:dyDescent="0.3">
      <c r="A120" s="2" t="str">
        <f t="shared" si="31"/>
        <v>NÃO</v>
      </c>
      <c r="B120" s="2" t="str">
        <f>_xlfn.XLOOKUP($N120,'Base de Grupos'!$A:$A,'Base de Grupos'!$D:$D)</f>
        <v>1000065763</v>
      </c>
      <c r="C120" s="5" t="str">
        <f>_xlfn.XLOOKUP($N120,'Base de Grupos'!$A:$A,'Base de Grupos'!$E:$E)</f>
        <v>CANAL VENDA INTERNA</v>
      </c>
      <c r="D120" s="5" t="str">
        <f>_xlfn.XLOOKUP($N120,'Base de Grupos'!$A:$A,'Base de Grupos'!$F:$F)</f>
        <v>1000065763</v>
      </c>
      <c r="E120" s="2" t="str">
        <f>_xlfn.XLOOKUP($N120,'Base de Grupos'!$A:$A,'Base de Grupos'!$G:$G)</f>
        <v>CANAL VENDA INTERNA</v>
      </c>
      <c r="F120" s="2" t="str">
        <f>_xlfn.XLOOKUP($N120,'Base de Grupos'!$A:$A,'Base de Grupos'!$H:$H)</f>
        <v>1000105900</v>
      </c>
      <c r="G120" s="5" t="str">
        <f>_xlfn.XLOOKUP($N120,'Base de Grupos'!$A:$A,'Base de Grupos'!$I:$I)</f>
        <v>REGIONAL VENDA DIRETA CO + NE + NO</v>
      </c>
      <c r="H120" s="5" t="str">
        <f>_xlfn.XLOOKUP($N120,'Base de Grupos'!$A:$A,'Base de Grupos'!$J:$J)</f>
        <v>1000105900</v>
      </c>
      <c r="I120" s="2" t="str">
        <f>_xlfn.XLOOKUP($N120,'Base de Grupos'!$A:$A,'Base de Grupos'!$K:$K)</f>
        <v>REGIONAL VENDA DIRETA CO + NE + NO</v>
      </c>
      <c r="J120" s="2" t="str">
        <f>_xlfn.XLOOKUP($N120,'Base de Grupos'!$A:$A,'Base de Grupos'!$L:$L)</f>
        <v>1000150135</v>
      </c>
      <c r="K120" s="5" t="str">
        <f>_xlfn.XLOOKUP($N120,'Base de Grupos'!$A:$A,'Base de Grupos'!$M:$M)</f>
        <v>HELDER DA SILVA BRUNKOW</v>
      </c>
      <c r="L120" s="5" t="str">
        <f t="shared" si="32"/>
        <v/>
      </c>
      <c r="M120" s="5" t="str">
        <f>_xlfn.XLOOKUP($N120,'Base de Grupos'!$A:$A,'Base de Grupos'!$C:$C)</f>
        <v>SE</v>
      </c>
      <c r="N120" s="3">
        <v>1330</v>
      </c>
      <c r="O120" s="4" t="s">
        <v>230</v>
      </c>
      <c r="P120" s="5" t="s">
        <v>108</v>
      </c>
      <c r="Q120" s="24">
        <v>0</v>
      </c>
      <c r="R120" s="24">
        <v>0</v>
      </c>
      <c r="S120" s="24">
        <v>0</v>
      </c>
      <c r="T120" s="24">
        <v>0</v>
      </c>
      <c r="U120" s="24">
        <v>0</v>
      </c>
      <c r="V120" s="24">
        <v>0</v>
      </c>
      <c r="W120" s="24">
        <v>0</v>
      </c>
      <c r="X120" s="24">
        <v>0</v>
      </c>
      <c r="Y120" s="24">
        <v>0</v>
      </c>
      <c r="Z120" s="24">
        <v>0</v>
      </c>
      <c r="AA120" s="24">
        <v>0</v>
      </c>
      <c r="AB120" s="24">
        <v>0</v>
      </c>
      <c r="AC120" s="30">
        <f t="shared" si="58"/>
        <v>0</v>
      </c>
      <c r="AD120" s="27">
        <f t="shared" si="52"/>
        <v>0</v>
      </c>
      <c r="AE120" s="25">
        <f>IFERROR(_xlfn.XLOOKUP(N120&amp;P120,'Historico Vendas'!G:G,'Historico Vendas'!E:E),0)</f>
        <v>0</v>
      </c>
      <c r="AF120" s="29" t="str">
        <f t="shared" si="33"/>
        <v/>
      </c>
      <c r="AG120" s="24">
        <f>IFERROR(_xlfn.XLOOKUP(N120&amp;P120,'Historico Vendas'!G:G,'Historico Vendas'!F:F),0)</f>
        <v>0</v>
      </c>
      <c r="AH120" s="25">
        <f t="shared" si="53"/>
        <v>0</v>
      </c>
      <c r="AI120" s="24">
        <f t="shared" si="54"/>
        <v>0</v>
      </c>
      <c r="AJ120" s="11" t="str">
        <f t="shared" si="34"/>
        <v/>
      </c>
      <c r="AK120" s="9" t="s">
        <v>102</v>
      </c>
      <c r="AL120" s="13">
        <f>IFERROR(INDEX('Balizador da Meta'!$D$3:$F$23,MATCH(Quantidade!$P120,'Balizador da Meta'!$C$3:$C$23,0),MATCH(Quantidade!AK120,'Balizador da Meta'!$D$2:$F$2,0)),"")</f>
        <v>0</v>
      </c>
      <c r="AM120" s="9"/>
    </row>
    <row r="121" spans="1:39" x14ac:dyDescent="0.3">
      <c r="A121" s="2" t="str">
        <f t="shared" si="31"/>
        <v>NÃO</v>
      </c>
      <c r="B121" s="2" t="str">
        <f>_xlfn.XLOOKUP($N121,'Base de Grupos'!$A:$A,'Base de Grupos'!$D:$D)</f>
        <v>1000065763</v>
      </c>
      <c r="C121" s="5" t="str">
        <f>_xlfn.XLOOKUP($N121,'Base de Grupos'!$A:$A,'Base de Grupos'!$E:$E)</f>
        <v>CANAL VENDA INTERNA</v>
      </c>
      <c r="D121" s="5" t="str">
        <f>_xlfn.XLOOKUP($N121,'Base de Grupos'!$A:$A,'Base de Grupos'!$F:$F)</f>
        <v>1000065763</v>
      </c>
      <c r="E121" s="2" t="str">
        <f>_xlfn.XLOOKUP($N121,'Base de Grupos'!$A:$A,'Base de Grupos'!$G:$G)</f>
        <v>CANAL VENDA INTERNA</v>
      </c>
      <c r="F121" s="2" t="str">
        <f>_xlfn.XLOOKUP($N121,'Base de Grupos'!$A:$A,'Base de Grupos'!$H:$H)</f>
        <v>1000105900</v>
      </c>
      <c r="G121" s="5" t="str">
        <f>_xlfn.XLOOKUP($N121,'Base de Grupos'!$A:$A,'Base de Grupos'!$I:$I)</f>
        <v>REGIONAL VENDA DIRETA CO + NE + NO</v>
      </c>
      <c r="H121" s="5" t="str">
        <f>_xlfn.XLOOKUP($N121,'Base de Grupos'!$A:$A,'Base de Grupos'!$J:$J)</f>
        <v>1000105900</v>
      </c>
      <c r="I121" s="2" t="str">
        <f>_xlfn.XLOOKUP($N121,'Base de Grupos'!$A:$A,'Base de Grupos'!$K:$K)</f>
        <v>REGIONAL VENDA DIRETA CO + NE + NO</v>
      </c>
      <c r="J121" s="2" t="str">
        <f>_xlfn.XLOOKUP($N121,'Base de Grupos'!$A:$A,'Base de Grupos'!$L:$L)</f>
        <v>1000150135</v>
      </c>
      <c r="K121" s="5" t="str">
        <f>_xlfn.XLOOKUP($N121,'Base de Grupos'!$A:$A,'Base de Grupos'!$M:$M)</f>
        <v>HELDER DA SILVA BRUNKOW</v>
      </c>
      <c r="L121" s="5" t="str">
        <f t="shared" si="32"/>
        <v/>
      </c>
      <c r="M121" s="5" t="str">
        <f>_xlfn.XLOOKUP($N121,'Base de Grupos'!$A:$A,'Base de Grupos'!$C:$C)</f>
        <v>SE</v>
      </c>
      <c r="N121" s="3">
        <v>1330</v>
      </c>
      <c r="O121" s="4" t="s">
        <v>230</v>
      </c>
      <c r="P121" s="5" t="s">
        <v>89</v>
      </c>
      <c r="Q121" s="24">
        <v>0</v>
      </c>
      <c r="R121" s="24">
        <v>0</v>
      </c>
      <c r="S121" s="24">
        <v>0</v>
      </c>
      <c r="T121" s="24">
        <v>0</v>
      </c>
      <c r="U121" s="24">
        <v>0</v>
      </c>
      <c r="V121" s="24">
        <v>0</v>
      </c>
      <c r="W121" s="24">
        <v>0</v>
      </c>
      <c r="X121" s="24">
        <v>0</v>
      </c>
      <c r="Y121" s="24">
        <v>0</v>
      </c>
      <c r="Z121" s="24">
        <v>0</v>
      </c>
      <c r="AA121" s="24">
        <v>0</v>
      </c>
      <c r="AB121" s="24">
        <v>0</v>
      </c>
      <c r="AC121" s="30">
        <f t="shared" si="58"/>
        <v>0</v>
      </c>
      <c r="AD121" s="27">
        <f t="shared" si="52"/>
        <v>0</v>
      </c>
      <c r="AE121" s="25">
        <f>IFERROR(_xlfn.XLOOKUP(N121&amp;P121,'Historico Vendas'!G:G,'Historico Vendas'!E:E),0)</f>
        <v>0</v>
      </c>
      <c r="AF121" s="29" t="str">
        <f t="shared" si="33"/>
        <v/>
      </c>
      <c r="AG121" s="24">
        <f>IFERROR(_xlfn.XLOOKUP(N121&amp;P121,'Historico Vendas'!G:G,'Historico Vendas'!F:F),0)</f>
        <v>0</v>
      </c>
      <c r="AH121" s="25">
        <f t="shared" si="53"/>
        <v>0</v>
      </c>
      <c r="AI121" s="24">
        <f t="shared" si="54"/>
        <v>0</v>
      </c>
      <c r="AJ121" s="11" t="str">
        <f t="shared" si="34"/>
        <v/>
      </c>
      <c r="AK121" s="9" t="s">
        <v>102</v>
      </c>
      <c r="AL121" s="13">
        <f>IFERROR(INDEX('Balizador da Meta'!$D$3:$F$23,MATCH(Quantidade!$P121,'Balizador da Meta'!$C$3:$C$23,0),MATCH(Quantidade!AK121,'Balizador da Meta'!$D$2:$F$2,0)),"")</f>
        <v>0.25</v>
      </c>
      <c r="AM121" s="9"/>
    </row>
    <row r="122" spans="1:39" x14ac:dyDescent="0.3">
      <c r="A122" s="2" t="str">
        <f t="shared" si="31"/>
        <v>NÃO</v>
      </c>
      <c r="B122" s="2" t="str">
        <f>_xlfn.XLOOKUP($N122,'Base de Grupos'!$A:$A,'Base de Grupos'!$D:$D)</f>
        <v>1000065763</v>
      </c>
      <c r="C122" s="5" t="str">
        <f>_xlfn.XLOOKUP($N122,'Base de Grupos'!$A:$A,'Base de Grupos'!$E:$E)</f>
        <v>CANAL VENDA INTERNA</v>
      </c>
      <c r="D122" s="5" t="str">
        <f>_xlfn.XLOOKUP($N122,'Base de Grupos'!$A:$A,'Base de Grupos'!$F:$F)</f>
        <v>1000065763</v>
      </c>
      <c r="E122" s="2" t="str">
        <f>_xlfn.XLOOKUP($N122,'Base de Grupos'!$A:$A,'Base de Grupos'!$G:$G)</f>
        <v>CANAL VENDA INTERNA</v>
      </c>
      <c r="F122" s="2" t="str">
        <f>_xlfn.XLOOKUP($N122,'Base de Grupos'!$A:$A,'Base de Grupos'!$H:$H)</f>
        <v>1000105900</v>
      </c>
      <c r="G122" s="5" t="str">
        <f>_xlfn.XLOOKUP($N122,'Base de Grupos'!$A:$A,'Base de Grupos'!$I:$I)</f>
        <v>REGIONAL VENDA DIRETA CO + NE + NO</v>
      </c>
      <c r="H122" s="5" t="str">
        <f>_xlfn.XLOOKUP($N122,'Base de Grupos'!$A:$A,'Base de Grupos'!$J:$J)</f>
        <v>1000105900</v>
      </c>
      <c r="I122" s="2" t="str">
        <f>_xlfn.XLOOKUP($N122,'Base de Grupos'!$A:$A,'Base de Grupos'!$K:$K)</f>
        <v>REGIONAL VENDA DIRETA CO + NE + NO</v>
      </c>
      <c r="J122" s="2" t="str">
        <f>_xlfn.XLOOKUP($N122,'Base de Grupos'!$A:$A,'Base de Grupos'!$L:$L)</f>
        <v>1000150135</v>
      </c>
      <c r="K122" s="5" t="str">
        <f>_xlfn.XLOOKUP($N122,'Base de Grupos'!$A:$A,'Base de Grupos'!$M:$M)</f>
        <v>HELDER DA SILVA BRUNKOW</v>
      </c>
      <c r="L122" s="5" t="str">
        <f t="shared" si="32"/>
        <v/>
      </c>
      <c r="M122" s="5" t="str">
        <f>_xlfn.XLOOKUP($N122,'Base de Grupos'!$A:$A,'Base de Grupos'!$C:$C)</f>
        <v>SE</v>
      </c>
      <c r="N122" s="3">
        <v>1330</v>
      </c>
      <c r="O122" s="4" t="s">
        <v>230</v>
      </c>
      <c r="P122" s="5" t="s">
        <v>88</v>
      </c>
      <c r="Q122" s="24">
        <v>0</v>
      </c>
      <c r="R122" s="24">
        <v>0</v>
      </c>
      <c r="S122" s="24">
        <v>0</v>
      </c>
      <c r="T122" s="24">
        <v>0</v>
      </c>
      <c r="U122" s="24">
        <v>0</v>
      </c>
      <c r="V122" s="24">
        <v>0</v>
      </c>
      <c r="W122" s="24">
        <v>0</v>
      </c>
      <c r="X122" s="24">
        <v>0</v>
      </c>
      <c r="Y122" s="24">
        <v>0</v>
      </c>
      <c r="Z122" s="24">
        <v>0</v>
      </c>
      <c r="AA122" s="24">
        <v>0</v>
      </c>
      <c r="AB122" s="24">
        <v>0</v>
      </c>
      <c r="AC122" s="30">
        <f t="shared" si="58"/>
        <v>0</v>
      </c>
      <c r="AD122" s="27">
        <f t="shared" si="52"/>
        <v>0</v>
      </c>
      <c r="AE122" s="25">
        <f>IFERROR(_xlfn.XLOOKUP(N122&amp;P122,'Historico Vendas'!G:G,'Historico Vendas'!E:E),0)</f>
        <v>0</v>
      </c>
      <c r="AF122" s="29" t="str">
        <f t="shared" si="33"/>
        <v/>
      </c>
      <c r="AG122" s="24">
        <f>IFERROR(_xlfn.XLOOKUP(N122&amp;P122,'Historico Vendas'!G:G,'Historico Vendas'!F:F),0)</f>
        <v>0</v>
      </c>
      <c r="AH122" s="25">
        <f t="shared" si="53"/>
        <v>0</v>
      </c>
      <c r="AI122" s="24">
        <f t="shared" si="54"/>
        <v>0</v>
      </c>
      <c r="AJ122" s="11" t="str">
        <f t="shared" si="34"/>
        <v/>
      </c>
      <c r="AK122" s="9" t="s">
        <v>102</v>
      </c>
      <c r="AL122" s="13">
        <f>IFERROR(INDEX('Balizador da Meta'!$D$3:$F$23,MATCH(Quantidade!$P122,'Balizador da Meta'!$C$3:$C$23,0),MATCH(Quantidade!AK122,'Balizador da Meta'!$D$2:$F$2,0)),"")</f>
        <v>0</v>
      </c>
      <c r="AM122" s="9"/>
    </row>
    <row r="123" spans="1:39" x14ac:dyDescent="0.3">
      <c r="A123" s="2" t="str">
        <f t="shared" si="31"/>
        <v>NÃO</v>
      </c>
      <c r="B123" s="2" t="str">
        <f>_xlfn.XLOOKUP($N123,'Base de Grupos'!$A:$A,'Base de Grupos'!$D:$D)</f>
        <v>1000065763</v>
      </c>
      <c r="C123" s="5" t="str">
        <f>_xlfn.XLOOKUP($N123,'Base de Grupos'!$A:$A,'Base de Grupos'!$E:$E)</f>
        <v>CANAL VENDA INTERNA</v>
      </c>
      <c r="D123" s="5" t="str">
        <f>_xlfn.XLOOKUP($N123,'Base de Grupos'!$A:$A,'Base de Grupos'!$F:$F)</f>
        <v>1000065763</v>
      </c>
      <c r="E123" s="2" t="str">
        <f>_xlfn.XLOOKUP($N123,'Base de Grupos'!$A:$A,'Base de Grupos'!$G:$G)</f>
        <v>CANAL VENDA INTERNA</v>
      </c>
      <c r="F123" s="2" t="str">
        <f>_xlfn.XLOOKUP($N123,'Base de Grupos'!$A:$A,'Base de Grupos'!$H:$H)</f>
        <v>1000105900</v>
      </c>
      <c r="G123" s="5" t="str">
        <f>_xlfn.XLOOKUP($N123,'Base de Grupos'!$A:$A,'Base de Grupos'!$I:$I)</f>
        <v>REGIONAL VENDA DIRETA CO + NE + NO</v>
      </c>
      <c r="H123" s="5" t="str">
        <f>_xlfn.XLOOKUP($N123,'Base de Grupos'!$A:$A,'Base de Grupos'!$J:$J)</f>
        <v>1000105900</v>
      </c>
      <c r="I123" s="2" t="str">
        <f>_xlfn.XLOOKUP($N123,'Base de Grupos'!$A:$A,'Base de Grupos'!$K:$K)</f>
        <v>REGIONAL VENDA DIRETA CO + NE + NO</v>
      </c>
      <c r="J123" s="2" t="str">
        <f>_xlfn.XLOOKUP($N123,'Base de Grupos'!$A:$A,'Base de Grupos'!$L:$L)</f>
        <v>1000150135</v>
      </c>
      <c r="K123" s="5" t="str">
        <f>_xlfn.XLOOKUP($N123,'Base de Grupos'!$A:$A,'Base de Grupos'!$M:$M)</f>
        <v>HELDER DA SILVA BRUNKOW</v>
      </c>
      <c r="L123" s="5" t="str">
        <f t="shared" si="32"/>
        <v/>
      </c>
      <c r="M123" s="5" t="str">
        <f>_xlfn.XLOOKUP($N123,'Base de Grupos'!$A:$A,'Base de Grupos'!$C:$C)</f>
        <v>SE</v>
      </c>
      <c r="N123" s="3">
        <v>1330</v>
      </c>
      <c r="O123" s="4" t="s">
        <v>230</v>
      </c>
      <c r="P123" s="5" t="s">
        <v>90</v>
      </c>
      <c r="Q123" s="24">
        <v>0</v>
      </c>
      <c r="R123" s="24">
        <v>0</v>
      </c>
      <c r="S123" s="24">
        <v>0</v>
      </c>
      <c r="T123" s="24">
        <v>0</v>
      </c>
      <c r="U123" s="24">
        <v>0</v>
      </c>
      <c r="V123" s="24">
        <v>0</v>
      </c>
      <c r="W123" s="24">
        <v>0</v>
      </c>
      <c r="X123" s="24">
        <v>0</v>
      </c>
      <c r="Y123" s="24">
        <v>0</v>
      </c>
      <c r="Z123" s="24">
        <v>0</v>
      </c>
      <c r="AA123" s="24">
        <v>0</v>
      </c>
      <c r="AB123" s="24">
        <v>0</v>
      </c>
      <c r="AC123" s="30">
        <f t="shared" si="58"/>
        <v>0</v>
      </c>
      <c r="AD123" s="27">
        <f t="shared" si="52"/>
        <v>0</v>
      </c>
      <c r="AE123" s="25">
        <f>IFERROR(_xlfn.XLOOKUP(N123&amp;P123,'Historico Vendas'!G:G,'Historico Vendas'!E:E),0)</f>
        <v>0</v>
      </c>
      <c r="AF123" s="29" t="str">
        <f t="shared" si="33"/>
        <v/>
      </c>
      <c r="AG123" s="24">
        <f>IFERROR(_xlfn.XLOOKUP(N123&amp;P123,'Historico Vendas'!G:G,'Historico Vendas'!F:F),0)</f>
        <v>0</v>
      </c>
      <c r="AH123" s="25">
        <f t="shared" si="53"/>
        <v>0</v>
      </c>
      <c r="AI123" s="24">
        <f t="shared" si="54"/>
        <v>0</v>
      </c>
      <c r="AJ123" s="11" t="str">
        <f t="shared" si="34"/>
        <v/>
      </c>
      <c r="AK123" s="9" t="s">
        <v>102</v>
      </c>
      <c r="AL123" s="13">
        <f>IFERROR(INDEX('Balizador da Meta'!$D$3:$F$23,MATCH(Quantidade!$P123,'Balizador da Meta'!$C$3:$C$23,0),MATCH(Quantidade!AK123,'Balizador da Meta'!$D$2:$F$2,0)),"")</f>
        <v>0</v>
      </c>
      <c r="AM123" s="9"/>
    </row>
    <row r="124" spans="1:39" x14ac:dyDescent="0.3">
      <c r="A124" s="2" t="str">
        <f t="shared" si="31"/>
        <v>NÃO</v>
      </c>
      <c r="B124" s="2" t="str">
        <f>_xlfn.XLOOKUP($N124,'Base de Grupos'!$A:$A,'Base de Grupos'!$D:$D)</f>
        <v>1000065763</v>
      </c>
      <c r="C124" s="5" t="str">
        <f>_xlfn.XLOOKUP($N124,'Base de Grupos'!$A:$A,'Base de Grupos'!$E:$E)</f>
        <v>CANAL VENDA INTERNA</v>
      </c>
      <c r="D124" s="5" t="str">
        <f>_xlfn.XLOOKUP($N124,'Base de Grupos'!$A:$A,'Base de Grupos'!$F:$F)</f>
        <v>1000065763</v>
      </c>
      <c r="E124" s="2" t="str">
        <f>_xlfn.XLOOKUP($N124,'Base de Grupos'!$A:$A,'Base de Grupos'!$G:$G)</f>
        <v>CANAL VENDA INTERNA</v>
      </c>
      <c r="F124" s="2" t="str">
        <f>_xlfn.XLOOKUP($N124,'Base de Grupos'!$A:$A,'Base de Grupos'!$H:$H)</f>
        <v>1000105900</v>
      </c>
      <c r="G124" s="5" t="str">
        <f>_xlfn.XLOOKUP($N124,'Base de Grupos'!$A:$A,'Base de Grupos'!$I:$I)</f>
        <v>REGIONAL VENDA DIRETA CO + NE + NO</v>
      </c>
      <c r="H124" s="5" t="str">
        <f>_xlfn.XLOOKUP($N124,'Base de Grupos'!$A:$A,'Base de Grupos'!$J:$J)</f>
        <v>1000105900</v>
      </c>
      <c r="I124" s="2" t="str">
        <f>_xlfn.XLOOKUP($N124,'Base de Grupos'!$A:$A,'Base de Grupos'!$K:$K)</f>
        <v>REGIONAL VENDA DIRETA CO + NE + NO</v>
      </c>
      <c r="J124" s="2" t="str">
        <f>_xlfn.XLOOKUP($N124,'Base de Grupos'!$A:$A,'Base de Grupos'!$L:$L)</f>
        <v>1000150135</v>
      </c>
      <c r="K124" s="5" t="str">
        <f>_xlfn.XLOOKUP($N124,'Base de Grupos'!$A:$A,'Base de Grupos'!$M:$M)</f>
        <v>HELDER DA SILVA BRUNKOW</v>
      </c>
      <c r="L124" s="5" t="str">
        <f t="shared" si="32"/>
        <v/>
      </c>
      <c r="M124" s="5" t="str">
        <f>_xlfn.XLOOKUP($N124,'Base de Grupos'!$A:$A,'Base de Grupos'!$C:$C)</f>
        <v>SE</v>
      </c>
      <c r="N124" s="3">
        <v>1330</v>
      </c>
      <c r="O124" s="4" t="s">
        <v>230</v>
      </c>
      <c r="P124" s="5" t="s">
        <v>91</v>
      </c>
      <c r="Q124" s="24">
        <v>0</v>
      </c>
      <c r="R124" s="24">
        <v>0</v>
      </c>
      <c r="S124" s="24">
        <v>0</v>
      </c>
      <c r="T124" s="24">
        <v>0</v>
      </c>
      <c r="U124" s="24">
        <v>0</v>
      </c>
      <c r="V124" s="24">
        <v>0</v>
      </c>
      <c r="W124" s="24">
        <v>0</v>
      </c>
      <c r="X124" s="24">
        <v>0</v>
      </c>
      <c r="Y124" s="24">
        <v>0</v>
      </c>
      <c r="Z124" s="24">
        <v>0</v>
      </c>
      <c r="AA124" s="24">
        <v>0</v>
      </c>
      <c r="AB124" s="24">
        <v>0</v>
      </c>
      <c r="AC124" s="30">
        <f t="shared" si="58"/>
        <v>0</v>
      </c>
      <c r="AD124" s="27">
        <f t="shared" si="52"/>
        <v>0</v>
      </c>
      <c r="AE124" s="25">
        <f>IFERROR(_xlfn.XLOOKUP(N124&amp;P124,'Historico Vendas'!G:G,'Historico Vendas'!E:E),0)</f>
        <v>0</v>
      </c>
      <c r="AF124" s="29" t="str">
        <f t="shared" si="33"/>
        <v/>
      </c>
      <c r="AG124" s="24">
        <f>IFERROR(_xlfn.XLOOKUP(N124&amp;P124,'Historico Vendas'!G:G,'Historico Vendas'!F:F),0)</f>
        <v>0</v>
      </c>
      <c r="AH124" s="25">
        <f t="shared" si="53"/>
        <v>0</v>
      </c>
      <c r="AI124" s="24">
        <f t="shared" si="54"/>
        <v>0</v>
      </c>
      <c r="AJ124" s="11" t="str">
        <f t="shared" si="34"/>
        <v/>
      </c>
      <c r="AK124" s="9" t="s">
        <v>102</v>
      </c>
      <c r="AL124" s="13">
        <f>IFERROR(INDEX('Balizador da Meta'!$D$3:$F$23,MATCH(Quantidade!$P124,'Balizador da Meta'!$C$3:$C$23,0),MATCH(Quantidade!AK124,'Balizador da Meta'!$D$2:$F$2,0)),"")</f>
        <v>0</v>
      </c>
      <c r="AM124" s="9"/>
    </row>
    <row r="125" spans="1:39" x14ac:dyDescent="0.3">
      <c r="A125" s="2" t="str">
        <f t="shared" si="31"/>
        <v>NÃO</v>
      </c>
      <c r="B125" s="2" t="str">
        <f>_xlfn.XLOOKUP($N125,'Base de Grupos'!$A:$A,'Base de Grupos'!$D:$D)</f>
        <v>1000065763</v>
      </c>
      <c r="C125" s="5" t="str">
        <f>_xlfn.XLOOKUP($N125,'Base de Grupos'!$A:$A,'Base de Grupos'!$E:$E)</f>
        <v>CANAL VENDA INTERNA</v>
      </c>
      <c r="D125" s="5" t="str">
        <f>_xlfn.XLOOKUP($N125,'Base de Grupos'!$A:$A,'Base de Grupos'!$F:$F)</f>
        <v>1000065763</v>
      </c>
      <c r="E125" s="2" t="str">
        <f>_xlfn.XLOOKUP($N125,'Base de Grupos'!$A:$A,'Base de Grupos'!$G:$G)</f>
        <v>CANAL VENDA INTERNA</v>
      </c>
      <c r="F125" s="2" t="str">
        <f>_xlfn.XLOOKUP($N125,'Base de Grupos'!$A:$A,'Base de Grupos'!$H:$H)</f>
        <v>1000105900</v>
      </c>
      <c r="G125" s="5" t="str">
        <f>_xlfn.XLOOKUP($N125,'Base de Grupos'!$A:$A,'Base de Grupos'!$I:$I)</f>
        <v>REGIONAL VENDA DIRETA CO + NE + NO</v>
      </c>
      <c r="H125" s="5" t="str">
        <f>_xlfn.XLOOKUP($N125,'Base de Grupos'!$A:$A,'Base de Grupos'!$J:$J)</f>
        <v>1000105900</v>
      </c>
      <c r="I125" s="2" t="str">
        <f>_xlfn.XLOOKUP($N125,'Base de Grupos'!$A:$A,'Base de Grupos'!$K:$K)</f>
        <v>REGIONAL VENDA DIRETA CO + NE + NO</v>
      </c>
      <c r="J125" s="2" t="str">
        <f>_xlfn.XLOOKUP($N125,'Base de Grupos'!$A:$A,'Base de Grupos'!$L:$L)</f>
        <v>1000150135</v>
      </c>
      <c r="K125" s="5" t="str">
        <f>_xlfn.XLOOKUP($N125,'Base de Grupos'!$A:$A,'Base de Grupos'!$M:$M)</f>
        <v>HELDER DA SILVA BRUNKOW</v>
      </c>
      <c r="L125" s="5" t="str">
        <f t="shared" si="32"/>
        <v/>
      </c>
      <c r="M125" s="5" t="str">
        <f>_xlfn.XLOOKUP($N125,'Base de Grupos'!$A:$A,'Base de Grupos'!$C:$C)</f>
        <v>SE</v>
      </c>
      <c r="N125" s="3">
        <v>1330</v>
      </c>
      <c r="O125" s="4" t="s">
        <v>230</v>
      </c>
      <c r="P125" s="5" t="s">
        <v>96</v>
      </c>
      <c r="Q125" s="24">
        <v>0</v>
      </c>
      <c r="R125" s="24">
        <v>0</v>
      </c>
      <c r="S125" s="24">
        <v>0</v>
      </c>
      <c r="T125" s="24">
        <v>0</v>
      </c>
      <c r="U125" s="24">
        <v>0</v>
      </c>
      <c r="V125" s="24">
        <v>0</v>
      </c>
      <c r="W125" s="24">
        <v>0</v>
      </c>
      <c r="X125" s="24">
        <v>0</v>
      </c>
      <c r="Y125" s="24">
        <v>0</v>
      </c>
      <c r="Z125" s="24">
        <v>0</v>
      </c>
      <c r="AA125" s="24">
        <v>0</v>
      </c>
      <c r="AB125" s="24">
        <v>0</v>
      </c>
      <c r="AC125" s="30">
        <f t="shared" si="58"/>
        <v>0</v>
      </c>
      <c r="AD125" s="27">
        <f t="shared" si="52"/>
        <v>0</v>
      </c>
      <c r="AE125" s="25">
        <f>IFERROR(_xlfn.XLOOKUP(N125&amp;P125,'Historico Vendas'!G:G,'Historico Vendas'!E:E),0)</f>
        <v>0</v>
      </c>
      <c r="AF125" s="29" t="str">
        <f t="shared" si="33"/>
        <v/>
      </c>
      <c r="AG125" s="24">
        <f>IFERROR(_xlfn.XLOOKUP(N125&amp;P125,'Historico Vendas'!G:G,'Historico Vendas'!F:F),0)</f>
        <v>0</v>
      </c>
      <c r="AH125" s="25">
        <f t="shared" si="53"/>
        <v>0</v>
      </c>
      <c r="AI125" s="24">
        <f t="shared" si="54"/>
        <v>0</v>
      </c>
      <c r="AJ125" s="11" t="str">
        <f t="shared" si="34"/>
        <v/>
      </c>
      <c r="AK125" s="9" t="s">
        <v>102</v>
      </c>
      <c r="AL125" s="13">
        <f>IFERROR(INDEX('Balizador da Meta'!$D$3:$F$23,MATCH(Quantidade!$P125,'Balizador da Meta'!$C$3:$C$23,0),MATCH(Quantidade!AK125,'Balizador da Meta'!$D$2:$F$2,0)),"")</f>
        <v>0</v>
      </c>
      <c r="AM125" s="9"/>
    </row>
    <row r="126" spans="1:39" x14ac:dyDescent="0.3">
      <c r="A126" s="2" t="str">
        <f t="shared" si="31"/>
        <v>NÃO</v>
      </c>
      <c r="B126" s="2" t="str">
        <f>_xlfn.XLOOKUP($N126,'Base de Grupos'!$A:$A,'Base de Grupos'!$D:$D)</f>
        <v>1000065763</v>
      </c>
      <c r="C126" s="5" t="str">
        <f>_xlfn.XLOOKUP($N126,'Base de Grupos'!$A:$A,'Base de Grupos'!$E:$E)</f>
        <v>CANAL VENDA INTERNA</v>
      </c>
      <c r="D126" s="5" t="str">
        <f>_xlfn.XLOOKUP($N126,'Base de Grupos'!$A:$A,'Base de Grupos'!$F:$F)</f>
        <v>1000065763</v>
      </c>
      <c r="E126" s="2" t="str">
        <f>_xlfn.XLOOKUP($N126,'Base de Grupos'!$A:$A,'Base de Grupos'!$G:$G)</f>
        <v>CANAL VENDA INTERNA</v>
      </c>
      <c r="F126" s="2" t="str">
        <f>_xlfn.XLOOKUP($N126,'Base de Grupos'!$A:$A,'Base de Grupos'!$H:$H)</f>
        <v>1000105900</v>
      </c>
      <c r="G126" s="5" t="str">
        <f>_xlfn.XLOOKUP($N126,'Base de Grupos'!$A:$A,'Base de Grupos'!$I:$I)</f>
        <v>REGIONAL VENDA DIRETA CO + NE + NO</v>
      </c>
      <c r="H126" s="5" t="str">
        <f>_xlfn.XLOOKUP($N126,'Base de Grupos'!$A:$A,'Base de Grupos'!$J:$J)</f>
        <v>1000105900</v>
      </c>
      <c r="I126" s="2" t="str">
        <f>_xlfn.XLOOKUP($N126,'Base de Grupos'!$A:$A,'Base de Grupos'!$K:$K)</f>
        <v>REGIONAL VENDA DIRETA CO + NE + NO</v>
      </c>
      <c r="J126" s="2" t="str">
        <f>_xlfn.XLOOKUP($N126,'Base de Grupos'!$A:$A,'Base de Grupos'!$L:$L)</f>
        <v>1000150135</v>
      </c>
      <c r="K126" s="5" t="str">
        <f>_xlfn.XLOOKUP($N126,'Base de Grupos'!$A:$A,'Base de Grupos'!$M:$M)</f>
        <v>HELDER DA SILVA BRUNKOW</v>
      </c>
      <c r="L126" s="5" t="str">
        <f t="shared" si="32"/>
        <v/>
      </c>
      <c r="M126" s="5" t="str">
        <f>_xlfn.XLOOKUP($N126,'Base de Grupos'!$A:$A,'Base de Grupos'!$C:$C)</f>
        <v>SE</v>
      </c>
      <c r="N126" s="3">
        <v>1330</v>
      </c>
      <c r="O126" s="4" t="s">
        <v>230</v>
      </c>
      <c r="P126" s="5" t="s">
        <v>94</v>
      </c>
      <c r="Q126" s="24">
        <v>0</v>
      </c>
      <c r="R126" s="24">
        <v>0</v>
      </c>
      <c r="S126" s="24">
        <v>0</v>
      </c>
      <c r="T126" s="24">
        <v>0</v>
      </c>
      <c r="U126" s="24">
        <v>0</v>
      </c>
      <c r="V126" s="24">
        <v>0</v>
      </c>
      <c r="W126" s="24">
        <v>0</v>
      </c>
      <c r="X126" s="24">
        <v>0</v>
      </c>
      <c r="Y126" s="24">
        <v>0</v>
      </c>
      <c r="Z126" s="24">
        <v>0</v>
      </c>
      <c r="AA126" s="24">
        <v>0</v>
      </c>
      <c r="AB126" s="24">
        <v>0</v>
      </c>
      <c r="AC126" s="30">
        <f t="shared" si="58"/>
        <v>0</v>
      </c>
      <c r="AD126" s="27">
        <f t="shared" si="52"/>
        <v>0</v>
      </c>
      <c r="AE126" s="25">
        <f>IFERROR(_xlfn.XLOOKUP(N126&amp;P126,'Historico Vendas'!G:G,'Historico Vendas'!E:E),0)</f>
        <v>0</v>
      </c>
      <c r="AF126" s="29" t="str">
        <f t="shared" si="33"/>
        <v/>
      </c>
      <c r="AG126" s="24">
        <f>IFERROR(_xlfn.XLOOKUP(N126&amp;P126,'Historico Vendas'!G:G,'Historico Vendas'!F:F),0)</f>
        <v>0</v>
      </c>
      <c r="AH126" s="25">
        <f t="shared" si="53"/>
        <v>0</v>
      </c>
      <c r="AI126" s="24">
        <f t="shared" si="54"/>
        <v>0</v>
      </c>
      <c r="AJ126" s="11" t="str">
        <f t="shared" si="34"/>
        <v/>
      </c>
      <c r="AK126" s="9" t="s">
        <v>102</v>
      </c>
      <c r="AL126" s="13">
        <f>IFERROR(INDEX('Balizador da Meta'!$D$3:$F$23,MATCH(Quantidade!$P126,'Balizador da Meta'!$C$3:$C$23,0),MATCH(Quantidade!AK126,'Balizador da Meta'!$D$2:$F$2,0)),"")</f>
        <v>0.25</v>
      </c>
      <c r="AM126" s="9"/>
    </row>
    <row r="127" spans="1:39" x14ac:dyDescent="0.3">
      <c r="A127" s="2" t="str">
        <f t="shared" si="31"/>
        <v>NÃO</v>
      </c>
      <c r="B127" s="2" t="str">
        <f>_xlfn.XLOOKUP($N127,'Base de Grupos'!$A:$A,'Base de Grupos'!$D:$D)</f>
        <v>1000065763</v>
      </c>
      <c r="C127" s="5" t="str">
        <f>_xlfn.XLOOKUP($N127,'Base de Grupos'!$A:$A,'Base de Grupos'!$E:$E)</f>
        <v>CANAL VENDA INTERNA</v>
      </c>
      <c r="D127" s="5" t="str">
        <f>_xlfn.XLOOKUP($N127,'Base de Grupos'!$A:$A,'Base de Grupos'!$F:$F)</f>
        <v>1000065763</v>
      </c>
      <c r="E127" s="2" t="str">
        <f>_xlfn.XLOOKUP($N127,'Base de Grupos'!$A:$A,'Base de Grupos'!$G:$G)</f>
        <v>CANAL VENDA INTERNA</v>
      </c>
      <c r="F127" s="2" t="str">
        <f>_xlfn.XLOOKUP($N127,'Base de Grupos'!$A:$A,'Base de Grupos'!$H:$H)</f>
        <v>1000105900</v>
      </c>
      <c r="G127" s="5" t="str">
        <f>_xlfn.XLOOKUP($N127,'Base de Grupos'!$A:$A,'Base de Grupos'!$I:$I)</f>
        <v>REGIONAL VENDA DIRETA CO + NE + NO</v>
      </c>
      <c r="H127" s="5" t="str">
        <f>_xlfn.XLOOKUP($N127,'Base de Grupos'!$A:$A,'Base de Grupos'!$J:$J)</f>
        <v>1000105900</v>
      </c>
      <c r="I127" s="2" t="str">
        <f>_xlfn.XLOOKUP($N127,'Base de Grupos'!$A:$A,'Base de Grupos'!$K:$K)</f>
        <v>REGIONAL VENDA DIRETA CO + NE + NO</v>
      </c>
      <c r="J127" s="2" t="str">
        <f>_xlfn.XLOOKUP($N127,'Base de Grupos'!$A:$A,'Base de Grupos'!$L:$L)</f>
        <v>1000150135</v>
      </c>
      <c r="K127" s="5" t="str">
        <f>_xlfn.XLOOKUP($N127,'Base de Grupos'!$A:$A,'Base de Grupos'!$M:$M)</f>
        <v>HELDER DA SILVA BRUNKOW</v>
      </c>
      <c r="L127" s="5" t="str">
        <f t="shared" si="32"/>
        <v/>
      </c>
      <c r="M127" s="5" t="str">
        <f>_xlfn.XLOOKUP($N127,'Base de Grupos'!$A:$A,'Base de Grupos'!$C:$C)</f>
        <v>SE</v>
      </c>
      <c r="N127" s="3">
        <v>1330</v>
      </c>
      <c r="O127" s="4" t="s">
        <v>230</v>
      </c>
      <c r="P127" s="5" t="s">
        <v>95</v>
      </c>
      <c r="Q127" s="24">
        <v>0</v>
      </c>
      <c r="R127" s="24">
        <v>0</v>
      </c>
      <c r="S127" s="24">
        <v>0</v>
      </c>
      <c r="T127" s="24">
        <v>0</v>
      </c>
      <c r="U127" s="24">
        <v>0</v>
      </c>
      <c r="V127" s="24">
        <v>0</v>
      </c>
      <c r="W127" s="24">
        <v>0</v>
      </c>
      <c r="X127" s="24">
        <v>0</v>
      </c>
      <c r="Y127" s="24">
        <v>0</v>
      </c>
      <c r="Z127" s="24">
        <v>0</v>
      </c>
      <c r="AA127" s="24">
        <v>0</v>
      </c>
      <c r="AB127" s="24">
        <v>0</v>
      </c>
      <c r="AC127" s="30">
        <f t="shared" si="58"/>
        <v>0</v>
      </c>
      <c r="AD127" s="27">
        <f t="shared" si="52"/>
        <v>0</v>
      </c>
      <c r="AE127" s="25">
        <f>IFERROR(_xlfn.XLOOKUP(N127&amp;P127,'Historico Vendas'!G:G,'Historico Vendas'!E:E),0)</f>
        <v>0</v>
      </c>
      <c r="AF127" s="29" t="str">
        <f t="shared" si="33"/>
        <v/>
      </c>
      <c r="AG127" s="24">
        <f>IFERROR(_xlfn.XLOOKUP(N127&amp;P127,'Historico Vendas'!G:G,'Historico Vendas'!F:F),0)</f>
        <v>0</v>
      </c>
      <c r="AH127" s="25">
        <f t="shared" si="53"/>
        <v>0</v>
      </c>
      <c r="AI127" s="24">
        <f t="shared" si="54"/>
        <v>0</v>
      </c>
      <c r="AJ127" s="11" t="str">
        <f t="shared" si="34"/>
        <v/>
      </c>
      <c r="AK127" s="9" t="s">
        <v>102</v>
      </c>
      <c r="AL127" s="13">
        <f>IFERROR(INDEX('Balizador da Meta'!$D$3:$F$23,MATCH(Quantidade!$P127,'Balizador da Meta'!$C$3:$C$23,0),MATCH(Quantidade!AK127,'Balizador da Meta'!$D$2:$F$2,0)),"")</f>
        <v>0.25</v>
      </c>
      <c r="AM127" s="9"/>
    </row>
    <row r="128" spans="1:39" x14ac:dyDescent="0.3">
      <c r="A128" s="2" t="str">
        <f t="shared" si="31"/>
        <v>NÃO</v>
      </c>
      <c r="B128" s="2" t="str">
        <f>_xlfn.XLOOKUP($N128,'Base de Grupos'!$A:$A,'Base de Grupos'!$D:$D)</f>
        <v>1000065763</v>
      </c>
      <c r="C128" s="5" t="str">
        <f>_xlfn.XLOOKUP($N128,'Base de Grupos'!$A:$A,'Base de Grupos'!$E:$E)</f>
        <v>CANAL VENDA INTERNA</v>
      </c>
      <c r="D128" s="5" t="str">
        <f>_xlfn.XLOOKUP($N128,'Base de Grupos'!$A:$A,'Base de Grupos'!$F:$F)</f>
        <v>1000065763</v>
      </c>
      <c r="E128" s="2" t="str">
        <f>_xlfn.XLOOKUP($N128,'Base de Grupos'!$A:$A,'Base de Grupos'!$G:$G)</f>
        <v>CANAL VENDA INTERNA</v>
      </c>
      <c r="F128" s="2" t="str">
        <f>_xlfn.XLOOKUP($N128,'Base de Grupos'!$A:$A,'Base de Grupos'!$H:$H)</f>
        <v>1000105900</v>
      </c>
      <c r="G128" s="5" t="str">
        <f>_xlfn.XLOOKUP($N128,'Base de Grupos'!$A:$A,'Base de Grupos'!$I:$I)</f>
        <v>REGIONAL VENDA DIRETA CO + NE + NO</v>
      </c>
      <c r="H128" s="5" t="str">
        <f>_xlfn.XLOOKUP($N128,'Base de Grupos'!$A:$A,'Base de Grupos'!$J:$J)</f>
        <v>1000105900</v>
      </c>
      <c r="I128" s="2" t="str">
        <f>_xlfn.XLOOKUP($N128,'Base de Grupos'!$A:$A,'Base de Grupos'!$K:$K)</f>
        <v>REGIONAL VENDA DIRETA CO + NE + NO</v>
      </c>
      <c r="J128" s="2" t="str">
        <f>_xlfn.XLOOKUP($N128,'Base de Grupos'!$A:$A,'Base de Grupos'!$L:$L)</f>
        <v>1000150135</v>
      </c>
      <c r="K128" s="5" t="str">
        <f>_xlfn.XLOOKUP($N128,'Base de Grupos'!$A:$A,'Base de Grupos'!$M:$M)</f>
        <v>HELDER DA SILVA BRUNKOW</v>
      </c>
      <c r="L128" s="5" t="str">
        <f t="shared" si="32"/>
        <v/>
      </c>
      <c r="M128" s="5" t="str">
        <f>_xlfn.XLOOKUP($N128,'Base de Grupos'!$A:$A,'Base de Grupos'!$C:$C)</f>
        <v>SE</v>
      </c>
      <c r="N128" s="3">
        <v>1330</v>
      </c>
      <c r="O128" s="4" t="s">
        <v>230</v>
      </c>
      <c r="P128" s="5" t="s">
        <v>93</v>
      </c>
      <c r="Q128" s="24">
        <v>0</v>
      </c>
      <c r="R128" s="24">
        <v>0</v>
      </c>
      <c r="S128" s="24">
        <v>0</v>
      </c>
      <c r="T128" s="24">
        <v>0</v>
      </c>
      <c r="U128" s="24">
        <v>0</v>
      </c>
      <c r="V128" s="24">
        <v>0</v>
      </c>
      <c r="W128" s="24">
        <v>0</v>
      </c>
      <c r="X128" s="24">
        <v>0</v>
      </c>
      <c r="Y128" s="24">
        <v>0</v>
      </c>
      <c r="Z128" s="24">
        <v>0</v>
      </c>
      <c r="AA128" s="24">
        <v>0</v>
      </c>
      <c r="AB128" s="24">
        <v>0</v>
      </c>
      <c r="AC128" s="30">
        <f t="shared" si="58"/>
        <v>0</v>
      </c>
      <c r="AD128" s="27">
        <f t="shared" si="52"/>
        <v>0</v>
      </c>
      <c r="AE128" s="25">
        <f>IFERROR(_xlfn.XLOOKUP(N128&amp;P128,'Historico Vendas'!G:G,'Historico Vendas'!E:E),0)</f>
        <v>0</v>
      </c>
      <c r="AF128" s="29" t="str">
        <f t="shared" si="33"/>
        <v/>
      </c>
      <c r="AG128" s="24">
        <f>IFERROR(_xlfn.XLOOKUP(N128&amp;P128,'Historico Vendas'!G:G,'Historico Vendas'!F:F),0)</f>
        <v>0</v>
      </c>
      <c r="AH128" s="25">
        <f t="shared" si="53"/>
        <v>0</v>
      </c>
      <c r="AI128" s="24">
        <f t="shared" si="54"/>
        <v>0</v>
      </c>
      <c r="AJ128" s="11" t="str">
        <f t="shared" si="34"/>
        <v/>
      </c>
      <c r="AK128" s="9" t="s">
        <v>102</v>
      </c>
      <c r="AL128" s="13">
        <f>IFERROR(INDEX('Balizador da Meta'!$D$3:$F$23,MATCH(Quantidade!$P128,'Balizador da Meta'!$C$3:$C$23,0),MATCH(Quantidade!AK128,'Balizador da Meta'!$D$2:$F$2,0)),"")</f>
        <v>0.2</v>
      </c>
      <c r="AM128" s="9"/>
    </row>
    <row r="129" spans="1:39" x14ac:dyDescent="0.3">
      <c r="A129" s="2" t="str">
        <f t="shared" si="31"/>
        <v>SIM</v>
      </c>
      <c r="B129" s="2" t="str">
        <f>_xlfn.XLOOKUP($N129,'Base de Grupos'!$A:$A,'Base de Grupos'!$D:$D)</f>
        <v>1000065763</v>
      </c>
      <c r="C129" s="5" t="str">
        <f>_xlfn.XLOOKUP($N129,'Base de Grupos'!$A:$A,'Base de Grupos'!$E:$E)</f>
        <v>CANAL VENDA INTERNA</v>
      </c>
      <c r="D129" s="5" t="str">
        <f>_xlfn.XLOOKUP($N129,'Base de Grupos'!$A:$A,'Base de Grupos'!$F:$F)</f>
        <v>1000065763</v>
      </c>
      <c r="E129" s="2" t="str">
        <f>_xlfn.XLOOKUP($N129,'Base de Grupos'!$A:$A,'Base de Grupos'!$G:$G)</f>
        <v>CANAL VENDA INTERNA</v>
      </c>
      <c r="F129" s="2" t="str">
        <f>_xlfn.XLOOKUP($N129,'Base de Grupos'!$A:$A,'Base de Grupos'!$H:$H)</f>
        <v>1000105900</v>
      </c>
      <c r="G129" s="5" t="str">
        <f>_xlfn.XLOOKUP($N129,'Base de Grupos'!$A:$A,'Base de Grupos'!$I:$I)</f>
        <v>REGIONAL VENDA DIRETA CO + NE + NO</v>
      </c>
      <c r="H129" s="5" t="str">
        <f>_xlfn.XLOOKUP($N129,'Base de Grupos'!$A:$A,'Base de Grupos'!$J:$J)</f>
        <v>1000105900</v>
      </c>
      <c r="I129" s="2" t="str">
        <f>_xlfn.XLOOKUP($N129,'Base de Grupos'!$A:$A,'Base de Grupos'!$K:$K)</f>
        <v>REGIONAL VENDA DIRETA CO + NE + NO</v>
      </c>
      <c r="J129" s="2" t="str">
        <f>_xlfn.XLOOKUP($N129,'Base de Grupos'!$A:$A,'Base de Grupos'!$L:$L)</f>
        <v>1000150135</v>
      </c>
      <c r="K129" s="5" t="str">
        <f>_xlfn.XLOOKUP($N129,'Base de Grupos'!$A:$A,'Base de Grupos'!$M:$M)</f>
        <v>HELDER DA SILVA BRUNKOW</v>
      </c>
      <c r="L129" s="5">
        <f t="shared" si="32"/>
        <v>1</v>
      </c>
      <c r="M129" s="5" t="str">
        <f>_xlfn.XLOOKUP($N129,'Base de Grupos'!$A:$A,'Base de Grupos'!$C:$C)</f>
        <v>BA</v>
      </c>
      <c r="N129" s="3">
        <v>1331</v>
      </c>
      <c r="O129" s="4" t="s">
        <v>231</v>
      </c>
      <c r="P129" s="5" t="s">
        <v>301</v>
      </c>
      <c r="Q129" s="24">
        <v>0</v>
      </c>
      <c r="R129" s="24">
        <v>0</v>
      </c>
      <c r="S129" s="24">
        <v>0</v>
      </c>
      <c r="T129" s="24">
        <v>0</v>
      </c>
      <c r="U129" s="24">
        <v>0</v>
      </c>
      <c r="V129" s="24">
        <v>0</v>
      </c>
      <c r="W129" s="24">
        <v>0</v>
      </c>
      <c r="X129" s="24">
        <v>0</v>
      </c>
      <c r="Y129" s="24">
        <v>0</v>
      </c>
      <c r="Z129" s="24">
        <v>0</v>
      </c>
      <c r="AA129" s="24">
        <v>0</v>
      </c>
      <c r="AB129" s="24">
        <v>0</v>
      </c>
      <c r="AC129" s="30">
        <f t="shared" si="58"/>
        <v>0</v>
      </c>
      <c r="AD129" s="25">
        <f t="shared" ref="AD129:AI129" si="59">SUM(AD130:AD146)</f>
        <v>0</v>
      </c>
      <c r="AE129" s="25">
        <f t="shared" si="59"/>
        <v>0</v>
      </c>
      <c r="AF129" s="11" t="str">
        <f t="shared" si="33"/>
        <v/>
      </c>
      <c r="AG129" s="24">
        <f t="shared" si="59"/>
        <v>0</v>
      </c>
      <c r="AH129" s="25">
        <f t="shared" si="59"/>
        <v>0</v>
      </c>
      <c r="AI129" s="24">
        <f t="shared" si="59"/>
        <v>0</v>
      </c>
      <c r="AJ129" s="11" t="str">
        <f t="shared" si="34"/>
        <v/>
      </c>
      <c r="AK129" s="9"/>
      <c r="AL129" s="13"/>
      <c r="AM129" s="9"/>
    </row>
    <row r="130" spans="1:39" x14ac:dyDescent="0.3">
      <c r="A130" s="2" t="str">
        <f t="shared" si="31"/>
        <v>NÃO</v>
      </c>
      <c r="B130" s="2" t="str">
        <f>_xlfn.XLOOKUP($N130,'Base de Grupos'!$A:$A,'Base de Grupos'!$D:$D)</f>
        <v>1000065763</v>
      </c>
      <c r="C130" s="5" t="str">
        <f>_xlfn.XLOOKUP($N130,'Base de Grupos'!$A:$A,'Base de Grupos'!$E:$E)</f>
        <v>CANAL VENDA INTERNA</v>
      </c>
      <c r="D130" s="5" t="str">
        <f>_xlfn.XLOOKUP($N130,'Base de Grupos'!$A:$A,'Base de Grupos'!$F:$F)</f>
        <v>1000065763</v>
      </c>
      <c r="E130" s="2" t="str">
        <f>_xlfn.XLOOKUP($N130,'Base de Grupos'!$A:$A,'Base de Grupos'!$G:$G)</f>
        <v>CANAL VENDA INTERNA</v>
      </c>
      <c r="F130" s="2" t="str">
        <f>_xlfn.XLOOKUP($N130,'Base de Grupos'!$A:$A,'Base de Grupos'!$H:$H)</f>
        <v>1000105900</v>
      </c>
      <c r="G130" s="5" t="str">
        <f>_xlfn.XLOOKUP($N130,'Base de Grupos'!$A:$A,'Base de Grupos'!$I:$I)</f>
        <v>REGIONAL VENDA DIRETA CO + NE + NO</v>
      </c>
      <c r="H130" s="5" t="str">
        <f>_xlfn.XLOOKUP($N130,'Base de Grupos'!$A:$A,'Base de Grupos'!$J:$J)</f>
        <v>1000105900</v>
      </c>
      <c r="I130" s="2" t="str">
        <f>_xlfn.XLOOKUP($N130,'Base de Grupos'!$A:$A,'Base de Grupos'!$K:$K)</f>
        <v>REGIONAL VENDA DIRETA CO + NE + NO</v>
      </c>
      <c r="J130" s="2" t="str">
        <f>_xlfn.XLOOKUP($N130,'Base de Grupos'!$A:$A,'Base de Grupos'!$L:$L)</f>
        <v>1000150135</v>
      </c>
      <c r="K130" s="5" t="str">
        <f>_xlfn.XLOOKUP($N130,'Base de Grupos'!$A:$A,'Base de Grupos'!$M:$M)</f>
        <v>HELDER DA SILVA BRUNKOW</v>
      </c>
      <c r="L130" s="5" t="str">
        <f t="shared" si="32"/>
        <v/>
      </c>
      <c r="M130" s="5" t="str">
        <f>_xlfn.XLOOKUP($N130,'Base de Grupos'!$A:$A,'Base de Grupos'!$C:$C)</f>
        <v>BA</v>
      </c>
      <c r="N130" s="3">
        <v>1331</v>
      </c>
      <c r="O130" s="4" t="s">
        <v>231</v>
      </c>
      <c r="P130" s="5" t="s">
        <v>81</v>
      </c>
      <c r="Q130" s="24">
        <v>0</v>
      </c>
      <c r="R130" s="24">
        <v>0</v>
      </c>
      <c r="S130" s="24">
        <v>0</v>
      </c>
      <c r="T130" s="24">
        <v>0</v>
      </c>
      <c r="U130" s="24">
        <v>0</v>
      </c>
      <c r="V130" s="24">
        <v>0</v>
      </c>
      <c r="W130" s="24">
        <v>0</v>
      </c>
      <c r="X130" s="24">
        <v>0</v>
      </c>
      <c r="Y130" s="24">
        <v>0</v>
      </c>
      <c r="Z130" s="24">
        <v>0</v>
      </c>
      <c r="AA130" s="24">
        <v>0</v>
      </c>
      <c r="AB130" s="24">
        <v>0</v>
      </c>
      <c r="AC130" s="30">
        <f t="shared" si="58"/>
        <v>0</v>
      </c>
      <c r="AD130" s="27">
        <f t="shared" ref="AD130:AD137" si="60">IF(AC130=0,0,AC130-AG130)</f>
        <v>0</v>
      </c>
      <c r="AE130" s="25">
        <f>IFERROR(_xlfn.XLOOKUP(N130&amp;P130,'Historico Vendas'!G:G,'Historico Vendas'!E:E),0)</f>
        <v>0</v>
      </c>
      <c r="AF130" s="29" t="str">
        <f t="shared" si="33"/>
        <v/>
      </c>
      <c r="AG130" s="24">
        <f>IFERROR(_xlfn.XLOOKUP(N130&amp;P130,'Historico Vendas'!G:G,'Historico Vendas'!F:F),0)</f>
        <v>0</v>
      </c>
      <c r="AH130" s="25">
        <f t="shared" ref="AH130:AH146" si="61">SUM(Q130:S130)</f>
        <v>0</v>
      </c>
      <c r="AI130" s="24">
        <f t="shared" ref="AI130:AI146" si="62">AH130-AG130</f>
        <v>0</v>
      </c>
      <c r="AJ130" s="11" t="str">
        <f t="shared" si="34"/>
        <v/>
      </c>
      <c r="AK130" s="9" t="s">
        <v>102</v>
      </c>
      <c r="AL130" s="13">
        <f>IFERROR(INDEX('Balizador da Meta'!$D$3:$F$23,MATCH(Quantidade!$P130,'Balizador da Meta'!$C$3:$C$23,0),MATCH(Quantidade!AK130,'Balizador da Meta'!$D$2:$F$2,0)),"")</f>
        <v>0.2</v>
      </c>
      <c r="AM130" s="9"/>
    </row>
    <row r="131" spans="1:39" x14ac:dyDescent="0.3">
      <c r="A131" s="2" t="str">
        <f t="shared" ref="A131:A194" si="63">IF(L131=1,"SIM","NÃO")</f>
        <v>NÃO</v>
      </c>
      <c r="B131" s="2" t="str">
        <f>_xlfn.XLOOKUP($N131,'Base de Grupos'!$A:$A,'Base de Grupos'!$D:$D)</f>
        <v>1000065763</v>
      </c>
      <c r="C131" s="5" t="str">
        <f>_xlfn.XLOOKUP($N131,'Base de Grupos'!$A:$A,'Base de Grupos'!$E:$E)</f>
        <v>CANAL VENDA INTERNA</v>
      </c>
      <c r="D131" s="5" t="str">
        <f>_xlfn.XLOOKUP($N131,'Base de Grupos'!$A:$A,'Base de Grupos'!$F:$F)</f>
        <v>1000065763</v>
      </c>
      <c r="E131" s="2" t="str">
        <f>_xlfn.XLOOKUP($N131,'Base de Grupos'!$A:$A,'Base de Grupos'!$G:$G)</f>
        <v>CANAL VENDA INTERNA</v>
      </c>
      <c r="F131" s="2" t="str">
        <f>_xlfn.XLOOKUP($N131,'Base de Grupos'!$A:$A,'Base de Grupos'!$H:$H)</f>
        <v>1000105900</v>
      </c>
      <c r="G131" s="5" t="str">
        <f>_xlfn.XLOOKUP($N131,'Base de Grupos'!$A:$A,'Base de Grupos'!$I:$I)</f>
        <v>REGIONAL VENDA DIRETA CO + NE + NO</v>
      </c>
      <c r="H131" s="5" t="str">
        <f>_xlfn.XLOOKUP($N131,'Base de Grupos'!$A:$A,'Base de Grupos'!$J:$J)</f>
        <v>1000105900</v>
      </c>
      <c r="I131" s="2" t="str">
        <f>_xlfn.XLOOKUP($N131,'Base de Grupos'!$A:$A,'Base de Grupos'!$K:$K)</f>
        <v>REGIONAL VENDA DIRETA CO + NE + NO</v>
      </c>
      <c r="J131" s="2" t="str">
        <f>_xlfn.XLOOKUP($N131,'Base de Grupos'!$A:$A,'Base de Grupos'!$L:$L)</f>
        <v>1000150135</v>
      </c>
      <c r="K131" s="5" t="str">
        <f>_xlfn.XLOOKUP($N131,'Base de Grupos'!$A:$A,'Base de Grupos'!$M:$M)</f>
        <v>HELDER DA SILVA BRUNKOW</v>
      </c>
      <c r="L131" s="5" t="str">
        <f t="shared" ref="L131:L194" si="64">IF(N131&lt;&gt;N130,1,"")</f>
        <v/>
      </c>
      <c r="M131" s="5" t="str">
        <f>_xlfn.XLOOKUP($N131,'Base de Grupos'!$A:$A,'Base de Grupos'!$C:$C)</f>
        <v>BA</v>
      </c>
      <c r="N131" s="3">
        <v>1331</v>
      </c>
      <c r="O131" s="4" t="s">
        <v>231</v>
      </c>
      <c r="P131" s="5" t="s">
        <v>82</v>
      </c>
      <c r="Q131" s="24">
        <v>0</v>
      </c>
      <c r="R131" s="24">
        <v>0</v>
      </c>
      <c r="S131" s="24">
        <v>0</v>
      </c>
      <c r="T131" s="24">
        <v>0</v>
      </c>
      <c r="U131" s="24">
        <v>0</v>
      </c>
      <c r="V131" s="24">
        <v>0</v>
      </c>
      <c r="W131" s="24">
        <v>0</v>
      </c>
      <c r="X131" s="24">
        <v>0</v>
      </c>
      <c r="Y131" s="24">
        <v>0</v>
      </c>
      <c r="Z131" s="24">
        <v>0</v>
      </c>
      <c r="AA131" s="24">
        <v>0</v>
      </c>
      <c r="AB131" s="24">
        <v>0</v>
      </c>
      <c r="AC131" s="30">
        <f t="shared" si="58"/>
        <v>0</v>
      </c>
      <c r="AD131" s="27">
        <f t="shared" si="60"/>
        <v>0</v>
      </c>
      <c r="AE131" s="25">
        <f>IFERROR(_xlfn.XLOOKUP(N131&amp;P131,'Historico Vendas'!G:G,'Historico Vendas'!E:E),0)</f>
        <v>0</v>
      </c>
      <c r="AF131" s="29" t="str">
        <f t="shared" ref="AF131:AF194" si="65">IFERROR((AC131-AE131)/AE131,"")</f>
        <v/>
      </c>
      <c r="AG131" s="24">
        <f>IFERROR(_xlfn.XLOOKUP(N131&amp;P131,'Historico Vendas'!G:G,'Historico Vendas'!F:F),0)</f>
        <v>0</v>
      </c>
      <c r="AH131" s="25">
        <f t="shared" si="61"/>
        <v>0</v>
      </c>
      <c r="AI131" s="24">
        <f t="shared" si="62"/>
        <v>0</v>
      </c>
      <c r="AJ131" s="11" t="str">
        <f t="shared" ref="AJ131:AJ194" si="66">IFERROR(AG131/AH131,"")</f>
        <v/>
      </c>
      <c r="AK131" s="9" t="s">
        <v>102</v>
      </c>
      <c r="AL131" s="13">
        <f>IFERROR(INDEX('Balizador da Meta'!$D$3:$F$23,MATCH(Quantidade!$P131,'Balizador da Meta'!$C$3:$C$23,0),MATCH(Quantidade!AK131,'Balizador da Meta'!$D$2:$F$2,0)),"")</f>
        <v>0.2</v>
      </c>
      <c r="AM131" s="9"/>
    </row>
    <row r="132" spans="1:39" x14ac:dyDescent="0.3">
      <c r="A132" s="2" t="str">
        <f t="shared" si="63"/>
        <v>NÃO</v>
      </c>
      <c r="B132" s="2" t="str">
        <f>_xlfn.XLOOKUP($N132,'Base de Grupos'!$A:$A,'Base de Grupos'!$D:$D)</f>
        <v>1000065763</v>
      </c>
      <c r="C132" s="5" t="str">
        <f>_xlfn.XLOOKUP($N132,'Base de Grupos'!$A:$A,'Base de Grupos'!$E:$E)</f>
        <v>CANAL VENDA INTERNA</v>
      </c>
      <c r="D132" s="5" t="str">
        <f>_xlfn.XLOOKUP($N132,'Base de Grupos'!$A:$A,'Base de Grupos'!$F:$F)</f>
        <v>1000065763</v>
      </c>
      <c r="E132" s="2" t="str">
        <f>_xlfn.XLOOKUP($N132,'Base de Grupos'!$A:$A,'Base de Grupos'!$G:$G)</f>
        <v>CANAL VENDA INTERNA</v>
      </c>
      <c r="F132" s="2" t="str">
        <f>_xlfn.XLOOKUP($N132,'Base de Grupos'!$A:$A,'Base de Grupos'!$H:$H)</f>
        <v>1000105900</v>
      </c>
      <c r="G132" s="5" t="str">
        <f>_xlfn.XLOOKUP($N132,'Base de Grupos'!$A:$A,'Base de Grupos'!$I:$I)</f>
        <v>REGIONAL VENDA DIRETA CO + NE + NO</v>
      </c>
      <c r="H132" s="5" t="str">
        <f>_xlfn.XLOOKUP($N132,'Base de Grupos'!$A:$A,'Base de Grupos'!$J:$J)</f>
        <v>1000105900</v>
      </c>
      <c r="I132" s="2" t="str">
        <f>_xlfn.XLOOKUP($N132,'Base de Grupos'!$A:$A,'Base de Grupos'!$K:$K)</f>
        <v>REGIONAL VENDA DIRETA CO + NE + NO</v>
      </c>
      <c r="J132" s="2" t="str">
        <f>_xlfn.XLOOKUP($N132,'Base de Grupos'!$A:$A,'Base de Grupos'!$L:$L)</f>
        <v>1000150135</v>
      </c>
      <c r="K132" s="5" t="str">
        <f>_xlfn.XLOOKUP($N132,'Base de Grupos'!$A:$A,'Base de Grupos'!$M:$M)</f>
        <v>HELDER DA SILVA BRUNKOW</v>
      </c>
      <c r="L132" s="5" t="str">
        <f t="shared" si="64"/>
        <v/>
      </c>
      <c r="M132" s="5" t="str">
        <f>_xlfn.XLOOKUP($N132,'Base de Grupos'!$A:$A,'Base de Grupos'!$C:$C)</f>
        <v>BA</v>
      </c>
      <c r="N132" s="3">
        <v>1331</v>
      </c>
      <c r="O132" s="4" t="s">
        <v>231</v>
      </c>
      <c r="P132" s="5" t="s">
        <v>84</v>
      </c>
      <c r="Q132" s="24">
        <v>0</v>
      </c>
      <c r="R132" s="24">
        <v>0</v>
      </c>
      <c r="S132" s="24">
        <v>0</v>
      </c>
      <c r="T132" s="24">
        <v>0</v>
      </c>
      <c r="U132" s="24">
        <v>0</v>
      </c>
      <c r="V132" s="24">
        <v>0</v>
      </c>
      <c r="W132" s="24">
        <v>0</v>
      </c>
      <c r="X132" s="24">
        <v>0</v>
      </c>
      <c r="Y132" s="24">
        <v>0</v>
      </c>
      <c r="Z132" s="24">
        <v>0</v>
      </c>
      <c r="AA132" s="24">
        <v>0</v>
      </c>
      <c r="AB132" s="24">
        <v>0</v>
      </c>
      <c r="AC132" s="30">
        <f t="shared" si="58"/>
        <v>0</v>
      </c>
      <c r="AD132" s="27">
        <f t="shared" si="60"/>
        <v>0</v>
      </c>
      <c r="AE132" s="25">
        <f>IFERROR(_xlfn.XLOOKUP(N132&amp;P132,'Historico Vendas'!G:G,'Historico Vendas'!E:E),0)</f>
        <v>0</v>
      </c>
      <c r="AF132" s="29" t="str">
        <f t="shared" si="65"/>
        <v/>
      </c>
      <c r="AG132" s="24">
        <f>IFERROR(_xlfn.XLOOKUP(N132&amp;P132,'Historico Vendas'!G:G,'Historico Vendas'!F:F),0)</f>
        <v>0</v>
      </c>
      <c r="AH132" s="25">
        <f t="shared" si="61"/>
        <v>0</v>
      </c>
      <c r="AI132" s="24">
        <f t="shared" si="62"/>
        <v>0</v>
      </c>
      <c r="AJ132" s="11" t="str">
        <f t="shared" si="66"/>
        <v/>
      </c>
      <c r="AK132" s="9" t="s">
        <v>102</v>
      </c>
      <c r="AL132" s="13">
        <f>IFERROR(INDEX('Balizador da Meta'!$D$3:$F$23,MATCH(Quantidade!$P132,'Balizador da Meta'!$C$3:$C$23,0),MATCH(Quantidade!AK132,'Balizador da Meta'!$D$2:$F$2,0)),"")</f>
        <v>0.15</v>
      </c>
      <c r="AM132" s="9"/>
    </row>
    <row r="133" spans="1:39" x14ac:dyDescent="0.3">
      <c r="A133" s="2" t="str">
        <f t="shared" si="63"/>
        <v>NÃO</v>
      </c>
      <c r="B133" s="2" t="str">
        <f>_xlfn.XLOOKUP($N133,'Base de Grupos'!$A:$A,'Base de Grupos'!$D:$D)</f>
        <v>1000065763</v>
      </c>
      <c r="C133" s="5" t="str">
        <f>_xlfn.XLOOKUP($N133,'Base de Grupos'!$A:$A,'Base de Grupos'!$E:$E)</f>
        <v>CANAL VENDA INTERNA</v>
      </c>
      <c r="D133" s="5" t="str">
        <f>_xlfn.XLOOKUP($N133,'Base de Grupos'!$A:$A,'Base de Grupos'!$F:$F)</f>
        <v>1000065763</v>
      </c>
      <c r="E133" s="2" t="str">
        <f>_xlfn.XLOOKUP($N133,'Base de Grupos'!$A:$A,'Base de Grupos'!$G:$G)</f>
        <v>CANAL VENDA INTERNA</v>
      </c>
      <c r="F133" s="2" t="str">
        <f>_xlfn.XLOOKUP($N133,'Base de Grupos'!$A:$A,'Base de Grupos'!$H:$H)</f>
        <v>1000105900</v>
      </c>
      <c r="G133" s="5" t="str">
        <f>_xlfn.XLOOKUP($N133,'Base de Grupos'!$A:$A,'Base de Grupos'!$I:$I)</f>
        <v>REGIONAL VENDA DIRETA CO + NE + NO</v>
      </c>
      <c r="H133" s="5" t="str">
        <f>_xlfn.XLOOKUP($N133,'Base de Grupos'!$A:$A,'Base de Grupos'!$J:$J)</f>
        <v>1000105900</v>
      </c>
      <c r="I133" s="2" t="str">
        <f>_xlfn.XLOOKUP($N133,'Base de Grupos'!$A:$A,'Base de Grupos'!$K:$K)</f>
        <v>REGIONAL VENDA DIRETA CO + NE + NO</v>
      </c>
      <c r="J133" s="2" t="str">
        <f>_xlfn.XLOOKUP($N133,'Base de Grupos'!$A:$A,'Base de Grupos'!$L:$L)</f>
        <v>1000150135</v>
      </c>
      <c r="K133" s="5" t="str">
        <f>_xlfn.XLOOKUP($N133,'Base de Grupos'!$A:$A,'Base de Grupos'!$M:$M)</f>
        <v>HELDER DA SILVA BRUNKOW</v>
      </c>
      <c r="L133" s="5" t="str">
        <f t="shared" si="64"/>
        <v/>
      </c>
      <c r="M133" s="5" t="str">
        <f>_xlfn.XLOOKUP($N133,'Base de Grupos'!$A:$A,'Base de Grupos'!$C:$C)</f>
        <v>BA</v>
      </c>
      <c r="N133" s="3">
        <v>1331</v>
      </c>
      <c r="O133" s="4" t="s">
        <v>231</v>
      </c>
      <c r="P133" s="5" t="s">
        <v>83</v>
      </c>
      <c r="Q133" s="24">
        <v>0</v>
      </c>
      <c r="R133" s="24">
        <v>0</v>
      </c>
      <c r="S133" s="24">
        <v>0</v>
      </c>
      <c r="T133" s="24">
        <v>0</v>
      </c>
      <c r="U133" s="24">
        <v>0</v>
      </c>
      <c r="V133" s="24">
        <v>0</v>
      </c>
      <c r="W133" s="24">
        <v>0</v>
      </c>
      <c r="X133" s="24">
        <v>0</v>
      </c>
      <c r="Y133" s="24">
        <v>0</v>
      </c>
      <c r="Z133" s="24">
        <v>0</v>
      </c>
      <c r="AA133" s="24">
        <v>0</v>
      </c>
      <c r="AB133" s="24">
        <v>0</v>
      </c>
      <c r="AC133" s="30">
        <f t="shared" si="58"/>
        <v>0</v>
      </c>
      <c r="AD133" s="27">
        <f t="shared" si="60"/>
        <v>0</v>
      </c>
      <c r="AE133" s="25">
        <f>IFERROR(_xlfn.XLOOKUP(N133&amp;P133,'Historico Vendas'!G:G,'Historico Vendas'!E:E),0)</f>
        <v>0</v>
      </c>
      <c r="AF133" s="29" t="str">
        <f t="shared" si="65"/>
        <v/>
      </c>
      <c r="AG133" s="24">
        <f>IFERROR(_xlfn.XLOOKUP(N133&amp;P133,'Historico Vendas'!G:G,'Historico Vendas'!F:F),0)</f>
        <v>0</v>
      </c>
      <c r="AH133" s="25">
        <f t="shared" si="61"/>
        <v>0</v>
      </c>
      <c r="AI133" s="24">
        <f t="shared" si="62"/>
        <v>0</v>
      </c>
      <c r="AJ133" s="11" t="str">
        <f t="shared" si="66"/>
        <v/>
      </c>
      <c r="AK133" s="9" t="s">
        <v>102</v>
      </c>
      <c r="AL133" s="13">
        <f>IFERROR(INDEX('Balizador da Meta'!$D$3:$F$23,MATCH(Quantidade!$P133,'Balizador da Meta'!$C$3:$C$23,0),MATCH(Quantidade!AK133,'Balizador da Meta'!$D$2:$F$2,0)),"")</f>
        <v>0</v>
      </c>
      <c r="AM133" s="9"/>
    </row>
    <row r="134" spans="1:39" x14ac:dyDescent="0.3">
      <c r="A134" s="2" t="str">
        <f t="shared" si="63"/>
        <v>NÃO</v>
      </c>
      <c r="B134" s="2" t="str">
        <f>_xlfn.XLOOKUP($N134,'Base de Grupos'!$A:$A,'Base de Grupos'!$D:$D)</f>
        <v>1000065763</v>
      </c>
      <c r="C134" s="5" t="str">
        <f>_xlfn.XLOOKUP($N134,'Base de Grupos'!$A:$A,'Base de Grupos'!$E:$E)</f>
        <v>CANAL VENDA INTERNA</v>
      </c>
      <c r="D134" s="5" t="str">
        <f>_xlfn.XLOOKUP($N134,'Base de Grupos'!$A:$A,'Base de Grupos'!$F:$F)</f>
        <v>1000065763</v>
      </c>
      <c r="E134" s="2" t="str">
        <f>_xlfn.XLOOKUP($N134,'Base de Grupos'!$A:$A,'Base de Grupos'!$G:$G)</f>
        <v>CANAL VENDA INTERNA</v>
      </c>
      <c r="F134" s="2" t="str">
        <f>_xlfn.XLOOKUP($N134,'Base de Grupos'!$A:$A,'Base de Grupos'!$H:$H)</f>
        <v>1000105900</v>
      </c>
      <c r="G134" s="5" t="str">
        <f>_xlfn.XLOOKUP($N134,'Base de Grupos'!$A:$A,'Base de Grupos'!$I:$I)</f>
        <v>REGIONAL VENDA DIRETA CO + NE + NO</v>
      </c>
      <c r="H134" s="5" t="str">
        <f>_xlfn.XLOOKUP($N134,'Base de Grupos'!$A:$A,'Base de Grupos'!$J:$J)</f>
        <v>1000105900</v>
      </c>
      <c r="I134" s="2" t="str">
        <f>_xlfn.XLOOKUP($N134,'Base de Grupos'!$A:$A,'Base de Grupos'!$K:$K)</f>
        <v>REGIONAL VENDA DIRETA CO + NE + NO</v>
      </c>
      <c r="J134" s="2" t="str">
        <f>_xlfn.XLOOKUP($N134,'Base de Grupos'!$A:$A,'Base de Grupos'!$L:$L)</f>
        <v>1000150135</v>
      </c>
      <c r="K134" s="5" t="str">
        <f>_xlfn.XLOOKUP($N134,'Base de Grupos'!$A:$A,'Base de Grupos'!$M:$M)</f>
        <v>HELDER DA SILVA BRUNKOW</v>
      </c>
      <c r="L134" s="5" t="str">
        <f t="shared" si="64"/>
        <v/>
      </c>
      <c r="M134" s="5" t="str">
        <f>_xlfn.XLOOKUP($N134,'Base de Grupos'!$A:$A,'Base de Grupos'!$C:$C)</f>
        <v>BA</v>
      </c>
      <c r="N134" s="3">
        <v>1331</v>
      </c>
      <c r="O134" s="4" t="s">
        <v>231</v>
      </c>
      <c r="P134" s="5" t="s">
        <v>87</v>
      </c>
      <c r="Q134" s="24">
        <v>0</v>
      </c>
      <c r="R134" s="24">
        <v>0</v>
      </c>
      <c r="S134" s="24">
        <v>0</v>
      </c>
      <c r="T134" s="24">
        <v>0</v>
      </c>
      <c r="U134" s="24">
        <v>0</v>
      </c>
      <c r="V134" s="24">
        <v>0</v>
      </c>
      <c r="W134" s="24">
        <v>0</v>
      </c>
      <c r="X134" s="24">
        <v>0</v>
      </c>
      <c r="Y134" s="24">
        <v>0</v>
      </c>
      <c r="Z134" s="24">
        <v>0</v>
      </c>
      <c r="AA134" s="24">
        <v>0</v>
      </c>
      <c r="AB134" s="24">
        <v>0</v>
      </c>
      <c r="AC134" s="30">
        <f t="shared" si="58"/>
        <v>0</v>
      </c>
      <c r="AD134" s="27">
        <f t="shared" si="60"/>
        <v>0</v>
      </c>
      <c r="AE134" s="25">
        <f>IFERROR(_xlfn.XLOOKUP(N134&amp;P134,'Historico Vendas'!G:G,'Historico Vendas'!E:E),0)</f>
        <v>0</v>
      </c>
      <c r="AF134" s="29" t="str">
        <f t="shared" si="65"/>
        <v/>
      </c>
      <c r="AG134" s="24">
        <f>IFERROR(_xlfn.XLOOKUP(N134&amp;P134,'Historico Vendas'!G:G,'Historico Vendas'!F:F),0)</f>
        <v>0</v>
      </c>
      <c r="AH134" s="25">
        <f t="shared" si="61"/>
        <v>0</v>
      </c>
      <c r="AI134" s="24">
        <f t="shared" si="62"/>
        <v>0</v>
      </c>
      <c r="AJ134" s="11" t="str">
        <f t="shared" si="66"/>
        <v/>
      </c>
      <c r="AK134" s="9" t="s">
        <v>102</v>
      </c>
      <c r="AL134" s="13">
        <f>IFERROR(INDEX('Balizador da Meta'!$D$3:$F$23,MATCH(Quantidade!$P134,'Balizador da Meta'!$C$3:$C$23,0),MATCH(Quantidade!AK134,'Balizador da Meta'!$D$2:$F$2,0)),"")</f>
        <v>0</v>
      </c>
      <c r="AM134" s="9"/>
    </row>
    <row r="135" spans="1:39" x14ac:dyDescent="0.3">
      <c r="A135" s="2" t="str">
        <f t="shared" si="63"/>
        <v>NÃO</v>
      </c>
      <c r="B135" s="2" t="str">
        <f>_xlfn.XLOOKUP($N135,'Base de Grupos'!$A:$A,'Base de Grupos'!$D:$D)</f>
        <v>1000065763</v>
      </c>
      <c r="C135" s="5" t="str">
        <f>_xlfn.XLOOKUP($N135,'Base de Grupos'!$A:$A,'Base de Grupos'!$E:$E)</f>
        <v>CANAL VENDA INTERNA</v>
      </c>
      <c r="D135" s="5" t="str">
        <f>_xlfn.XLOOKUP($N135,'Base de Grupos'!$A:$A,'Base de Grupos'!$F:$F)</f>
        <v>1000065763</v>
      </c>
      <c r="E135" s="2" t="str">
        <f>_xlfn.XLOOKUP($N135,'Base de Grupos'!$A:$A,'Base de Grupos'!$G:$G)</f>
        <v>CANAL VENDA INTERNA</v>
      </c>
      <c r="F135" s="2" t="str">
        <f>_xlfn.XLOOKUP($N135,'Base de Grupos'!$A:$A,'Base de Grupos'!$H:$H)</f>
        <v>1000105900</v>
      </c>
      <c r="G135" s="5" t="str">
        <f>_xlfn.XLOOKUP($N135,'Base de Grupos'!$A:$A,'Base de Grupos'!$I:$I)</f>
        <v>REGIONAL VENDA DIRETA CO + NE + NO</v>
      </c>
      <c r="H135" s="5" t="str">
        <f>_xlfn.XLOOKUP($N135,'Base de Grupos'!$A:$A,'Base de Grupos'!$J:$J)</f>
        <v>1000105900</v>
      </c>
      <c r="I135" s="2" t="str">
        <f>_xlfn.XLOOKUP($N135,'Base de Grupos'!$A:$A,'Base de Grupos'!$K:$K)</f>
        <v>REGIONAL VENDA DIRETA CO + NE + NO</v>
      </c>
      <c r="J135" s="2" t="str">
        <f>_xlfn.XLOOKUP($N135,'Base de Grupos'!$A:$A,'Base de Grupos'!$L:$L)</f>
        <v>1000150135</v>
      </c>
      <c r="K135" s="5" t="str">
        <f>_xlfn.XLOOKUP($N135,'Base de Grupos'!$A:$A,'Base de Grupos'!$M:$M)</f>
        <v>HELDER DA SILVA BRUNKOW</v>
      </c>
      <c r="L135" s="5" t="str">
        <f t="shared" si="64"/>
        <v/>
      </c>
      <c r="M135" s="5" t="str">
        <f>_xlfn.XLOOKUP($N135,'Base de Grupos'!$A:$A,'Base de Grupos'!$C:$C)</f>
        <v>BA</v>
      </c>
      <c r="N135" s="3">
        <v>1331</v>
      </c>
      <c r="O135" s="4" t="s">
        <v>231</v>
      </c>
      <c r="P135" s="5" t="s">
        <v>85</v>
      </c>
      <c r="Q135" s="24">
        <f>SUM(Q136:Q156)</f>
        <v>0</v>
      </c>
      <c r="R135" s="24">
        <f t="shared" ref="R135" si="67">SUM(R136:R156)</f>
        <v>0</v>
      </c>
      <c r="S135" s="24">
        <f t="shared" ref="S135" si="68">SUM(S136:S156)</f>
        <v>0</v>
      </c>
      <c r="T135" s="24">
        <f t="shared" ref="T135:AC135" si="69">SUM(T136:T156)</f>
        <v>0</v>
      </c>
      <c r="U135" s="24">
        <f t="shared" si="69"/>
        <v>0</v>
      </c>
      <c r="V135" s="24">
        <f t="shared" si="69"/>
        <v>0</v>
      </c>
      <c r="W135" s="24">
        <f t="shared" si="69"/>
        <v>0</v>
      </c>
      <c r="X135" s="24">
        <f t="shared" si="69"/>
        <v>0</v>
      </c>
      <c r="Y135" s="24">
        <f t="shared" si="69"/>
        <v>0</v>
      </c>
      <c r="Z135" s="24">
        <f t="shared" si="69"/>
        <v>0</v>
      </c>
      <c r="AA135" s="24">
        <f t="shared" si="69"/>
        <v>0</v>
      </c>
      <c r="AB135" s="24">
        <f t="shared" si="69"/>
        <v>0</v>
      </c>
      <c r="AC135" s="24">
        <f t="shared" si="69"/>
        <v>0</v>
      </c>
      <c r="AD135" s="27">
        <f t="shared" si="60"/>
        <v>0</v>
      </c>
      <c r="AE135" s="25">
        <f>IFERROR(_xlfn.XLOOKUP(N135&amp;P135,'Historico Vendas'!G:G,'Historico Vendas'!E:E),0)</f>
        <v>0</v>
      </c>
      <c r="AF135" s="29" t="str">
        <f t="shared" si="65"/>
        <v/>
      </c>
      <c r="AG135" s="24">
        <f>IFERROR(_xlfn.XLOOKUP(N135&amp;P135,'Historico Vendas'!G:G,'Historico Vendas'!F:F),0)</f>
        <v>0</v>
      </c>
      <c r="AH135" s="25">
        <f t="shared" si="61"/>
        <v>0</v>
      </c>
      <c r="AI135" s="24">
        <f t="shared" si="62"/>
        <v>0</v>
      </c>
      <c r="AJ135" s="11" t="str">
        <f t="shared" si="66"/>
        <v/>
      </c>
      <c r="AK135" s="9" t="s">
        <v>102</v>
      </c>
      <c r="AL135" s="13">
        <f>IFERROR(INDEX('Balizador da Meta'!$D$3:$F$23,MATCH(Quantidade!$P135,'Balizador da Meta'!$C$3:$C$23,0),MATCH(Quantidade!AK135,'Balizador da Meta'!$D$2:$F$2,0)),"")</f>
        <v>0</v>
      </c>
      <c r="AM135" s="9"/>
    </row>
    <row r="136" spans="1:39" x14ac:dyDescent="0.3">
      <c r="A136" s="2" t="str">
        <f t="shared" si="63"/>
        <v>NÃO</v>
      </c>
      <c r="B136" s="2" t="str">
        <f>_xlfn.XLOOKUP($N136,'Base de Grupos'!$A:$A,'Base de Grupos'!$D:$D)</f>
        <v>1000065763</v>
      </c>
      <c r="C136" s="5" t="str">
        <f>_xlfn.XLOOKUP($N136,'Base de Grupos'!$A:$A,'Base de Grupos'!$E:$E)</f>
        <v>CANAL VENDA INTERNA</v>
      </c>
      <c r="D136" s="5" t="str">
        <f>_xlfn.XLOOKUP($N136,'Base de Grupos'!$A:$A,'Base de Grupos'!$F:$F)</f>
        <v>1000065763</v>
      </c>
      <c r="E136" s="2" t="str">
        <f>_xlfn.XLOOKUP($N136,'Base de Grupos'!$A:$A,'Base de Grupos'!$G:$G)</f>
        <v>CANAL VENDA INTERNA</v>
      </c>
      <c r="F136" s="2" t="str">
        <f>_xlfn.XLOOKUP($N136,'Base de Grupos'!$A:$A,'Base de Grupos'!$H:$H)</f>
        <v>1000105900</v>
      </c>
      <c r="G136" s="5" t="str">
        <f>_xlfn.XLOOKUP($N136,'Base de Grupos'!$A:$A,'Base de Grupos'!$I:$I)</f>
        <v>REGIONAL VENDA DIRETA CO + NE + NO</v>
      </c>
      <c r="H136" s="5" t="str">
        <f>_xlfn.XLOOKUP($N136,'Base de Grupos'!$A:$A,'Base de Grupos'!$J:$J)</f>
        <v>1000105900</v>
      </c>
      <c r="I136" s="2" t="str">
        <f>_xlfn.XLOOKUP($N136,'Base de Grupos'!$A:$A,'Base de Grupos'!$K:$K)</f>
        <v>REGIONAL VENDA DIRETA CO + NE + NO</v>
      </c>
      <c r="J136" s="2" t="str">
        <f>_xlfn.XLOOKUP($N136,'Base de Grupos'!$A:$A,'Base de Grupos'!$L:$L)</f>
        <v>1000150135</v>
      </c>
      <c r="K136" s="5" t="str">
        <f>_xlfn.XLOOKUP($N136,'Base de Grupos'!$A:$A,'Base de Grupos'!$M:$M)</f>
        <v>HELDER DA SILVA BRUNKOW</v>
      </c>
      <c r="L136" s="5" t="str">
        <f t="shared" si="64"/>
        <v/>
      </c>
      <c r="M136" s="5" t="str">
        <f>_xlfn.XLOOKUP($N136,'Base de Grupos'!$A:$A,'Base de Grupos'!$C:$C)</f>
        <v>BA</v>
      </c>
      <c r="N136" s="3">
        <v>1331</v>
      </c>
      <c r="O136" s="4" t="s">
        <v>231</v>
      </c>
      <c r="P136" s="5" t="s">
        <v>92</v>
      </c>
      <c r="Q136" s="24">
        <v>0</v>
      </c>
      <c r="R136" s="24">
        <v>0</v>
      </c>
      <c r="S136" s="24">
        <v>0</v>
      </c>
      <c r="T136" s="24">
        <v>0</v>
      </c>
      <c r="U136" s="24">
        <v>0</v>
      </c>
      <c r="V136" s="24">
        <v>0</v>
      </c>
      <c r="W136" s="24">
        <v>0</v>
      </c>
      <c r="X136" s="24">
        <v>0</v>
      </c>
      <c r="Y136" s="24">
        <v>0</v>
      </c>
      <c r="Z136" s="24">
        <v>0</v>
      </c>
      <c r="AA136" s="24">
        <v>0</v>
      </c>
      <c r="AB136" s="24">
        <v>0</v>
      </c>
      <c r="AC136" s="30">
        <f t="shared" ref="AC136:AC156" si="70">SUM(T136:AB136)</f>
        <v>0</v>
      </c>
      <c r="AD136" s="27">
        <f t="shared" si="60"/>
        <v>0</v>
      </c>
      <c r="AE136" s="25">
        <f>IFERROR(_xlfn.XLOOKUP(N136&amp;P136,'Historico Vendas'!G:G,'Historico Vendas'!E:E),0)</f>
        <v>0</v>
      </c>
      <c r="AF136" s="29" t="str">
        <f t="shared" si="65"/>
        <v/>
      </c>
      <c r="AG136" s="24">
        <f>IFERROR(_xlfn.XLOOKUP(N136&amp;P136,'Historico Vendas'!G:G,'Historico Vendas'!F:F),0)</f>
        <v>0</v>
      </c>
      <c r="AH136" s="25">
        <f t="shared" si="61"/>
        <v>0</v>
      </c>
      <c r="AI136" s="24">
        <f t="shared" si="62"/>
        <v>0</v>
      </c>
      <c r="AJ136" s="11" t="str">
        <f t="shared" si="66"/>
        <v/>
      </c>
      <c r="AK136" s="9" t="s">
        <v>102</v>
      </c>
      <c r="AL136" s="13">
        <f>IFERROR(INDEX('Balizador da Meta'!$D$3:$F$23,MATCH(Quantidade!$P136,'Balizador da Meta'!$C$3:$C$23,0),MATCH(Quantidade!AK136,'Balizador da Meta'!$D$2:$F$2,0)),"")</f>
        <v>0</v>
      </c>
      <c r="AM136" s="9"/>
    </row>
    <row r="137" spans="1:39" x14ac:dyDescent="0.3">
      <c r="A137" s="2" t="str">
        <f t="shared" si="63"/>
        <v>NÃO</v>
      </c>
      <c r="B137" s="2" t="str">
        <f>_xlfn.XLOOKUP($N137,'Base de Grupos'!$A:$A,'Base de Grupos'!$D:$D)</f>
        <v>1000065763</v>
      </c>
      <c r="C137" s="5" t="str">
        <f>_xlfn.XLOOKUP($N137,'Base de Grupos'!$A:$A,'Base de Grupos'!$E:$E)</f>
        <v>CANAL VENDA INTERNA</v>
      </c>
      <c r="D137" s="5" t="str">
        <f>_xlfn.XLOOKUP($N137,'Base de Grupos'!$A:$A,'Base de Grupos'!$F:$F)</f>
        <v>1000065763</v>
      </c>
      <c r="E137" s="2" t="str">
        <f>_xlfn.XLOOKUP($N137,'Base de Grupos'!$A:$A,'Base de Grupos'!$G:$G)</f>
        <v>CANAL VENDA INTERNA</v>
      </c>
      <c r="F137" s="2" t="str">
        <f>_xlfn.XLOOKUP($N137,'Base de Grupos'!$A:$A,'Base de Grupos'!$H:$H)</f>
        <v>1000105900</v>
      </c>
      <c r="G137" s="5" t="str">
        <f>_xlfn.XLOOKUP($N137,'Base de Grupos'!$A:$A,'Base de Grupos'!$I:$I)</f>
        <v>REGIONAL VENDA DIRETA CO + NE + NO</v>
      </c>
      <c r="H137" s="5" t="str">
        <f>_xlfn.XLOOKUP($N137,'Base de Grupos'!$A:$A,'Base de Grupos'!$J:$J)</f>
        <v>1000105900</v>
      </c>
      <c r="I137" s="2" t="str">
        <f>_xlfn.XLOOKUP($N137,'Base de Grupos'!$A:$A,'Base de Grupos'!$K:$K)</f>
        <v>REGIONAL VENDA DIRETA CO + NE + NO</v>
      </c>
      <c r="J137" s="2" t="str">
        <f>_xlfn.XLOOKUP($N137,'Base de Grupos'!$A:$A,'Base de Grupos'!$L:$L)</f>
        <v>1000150135</v>
      </c>
      <c r="K137" s="5" t="str">
        <f>_xlfn.XLOOKUP($N137,'Base de Grupos'!$A:$A,'Base de Grupos'!$M:$M)</f>
        <v>HELDER DA SILVA BRUNKOW</v>
      </c>
      <c r="L137" s="5" t="str">
        <f t="shared" si="64"/>
        <v/>
      </c>
      <c r="M137" s="5" t="str">
        <f>_xlfn.XLOOKUP($N137,'Base de Grupos'!$A:$A,'Base de Grupos'!$C:$C)</f>
        <v>BA</v>
      </c>
      <c r="N137" s="3">
        <v>1331</v>
      </c>
      <c r="O137" s="4" t="s">
        <v>231</v>
      </c>
      <c r="P137" s="5" t="s">
        <v>86</v>
      </c>
      <c r="Q137" s="24">
        <v>0</v>
      </c>
      <c r="R137" s="24">
        <v>0</v>
      </c>
      <c r="S137" s="24">
        <v>0</v>
      </c>
      <c r="T137" s="24">
        <v>0</v>
      </c>
      <c r="U137" s="24">
        <v>0</v>
      </c>
      <c r="V137" s="24">
        <v>0</v>
      </c>
      <c r="W137" s="24">
        <v>0</v>
      </c>
      <c r="X137" s="24">
        <v>0</v>
      </c>
      <c r="Y137" s="24">
        <v>0</v>
      </c>
      <c r="Z137" s="24">
        <v>0</v>
      </c>
      <c r="AA137" s="24">
        <v>0</v>
      </c>
      <c r="AB137" s="24">
        <v>0</v>
      </c>
      <c r="AC137" s="30">
        <f t="shared" si="70"/>
        <v>0</v>
      </c>
      <c r="AD137" s="27">
        <f t="shared" si="60"/>
        <v>0</v>
      </c>
      <c r="AE137" s="25">
        <f>IFERROR(_xlfn.XLOOKUP(N137&amp;P137,'Historico Vendas'!G:G,'Historico Vendas'!E:E),0)</f>
        <v>0</v>
      </c>
      <c r="AF137" s="29" t="str">
        <f t="shared" si="65"/>
        <v/>
      </c>
      <c r="AG137" s="24">
        <f>IFERROR(_xlfn.XLOOKUP(N137&amp;P137,'Historico Vendas'!G:G,'Historico Vendas'!F:F),0)</f>
        <v>0</v>
      </c>
      <c r="AH137" s="25">
        <f t="shared" si="61"/>
        <v>0</v>
      </c>
      <c r="AI137" s="24">
        <f t="shared" si="62"/>
        <v>0</v>
      </c>
      <c r="AJ137" s="11" t="str">
        <f t="shared" si="66"/>
        <v/>
      </c>
      <c r="AK137" s="9" t="s">
        <v>102</v>
      </c>
      <c r="AL137" s="13">
        <f>IFERROR(INDEX('Balizador da Meta'!$D$3:$F$23,MATCH(Quantidade!$P137,'Balizador da Meta'!$C$3:$C$23,0),MATCH(Quantidade!AK137,'Balizador da Meta'!$D$2:$F$2,0)),"")</f>
        <v>0.15</v>
      </c>
      <c r="AM137" s="9"/>
    </row>
    <row r="138" spans="1:39" x14ac:dyDescent="0.3">
      <c r="A138" s="2" t="str">
        <f t="shared" si="63"/>
        <v>NÃO</v>
      </c>
      <c r="B138" s="2" t="str">
        <f>_xlfn.XLOOKUP($N138,'Base de Grupos'!$A:$A,'Base de Grupos'!$D:$D)</f>
        <v>1000065763</v>
      </c>
      <c r="C138" s="5" t="str">
        <f>_xlfn.XLOOKUP($N138,'Base de Grupos'!$A:$A,'Base de Grupos'!$E:$E)</f>
        <v>CANAL VENDA INTERNA</v>
      </c>
      <c r="D138" s="5" t="str">
        <f>_xlfn.XLOOKUP($N138,'Base de Grupos'!$A:$A,'Base de Grupos'!$F:$F)</f>
        <v>1000065763</v>
      </c>
      <c r="E138" s="2" t="str">
        <f>_xlfn.XLOOKUP($N138,'Base de Grupos'!$A:$A,'Base de Grupos'!$G:$G)</f>
        <v>CANAL VENDA INTERNA</v>
      </c>
      <c r="F138" s="2" t="str">
        <f>_xlfn.XLOOKUP($N138,'Base de Grupos'!$A:$A,'Base de Grupos'!$H:$H)</f>
        <v>1000105900</v>
      </c>
      <c r="G138" s="5" t="str">
        <f>_xlfn.XLOOKUP($N138,'Base de Grupos'!$A:$A,'Base de Grupos'!$I:$I)</f>
        <v>REGIONAL VENDA DIRETA CO + NE + NO</v>
      </c>
      <c r="H138" s="5" t="str">
        <f>_xlfn.XLOOKUP($N138,'Base de Grupos'!$A:$A,'Base de Grupos'!$J:$J)</f>
        <v>1000105900</v>
      </c>
      <c r="I138" s="2" t="str">
        <f>_xlfn.XLOOKUP($N138,'Base de Grupos'!$A:$A,'Base de Grupos'!$K:$K)</f>
        <v>REGIONAL VENDA DIRETA CO + NE + NO</v>
      </c>
      <c r="J138" s="2" t="str">
        <f>_xlfn.XLOOKUP($N138,'Base de Grupos'!$A:$A,'Base de Grupos'!$L:$L)</f>
        <v>1000150135</v>
      </c>
      <c r="K138" s="5" t="str">
        <f>_xlfn.XLOOKUP($N138,'Base de Grupos'!$A:$A,'Base de Grupos'!$M:$M)</f>
        <v>HELDER DA SILVA BRUNKOW</v>
      </c>
      <c r="L138" s="5" t="str">
        <f t="shared" si="64"/>
        <v/>
      </c>
      <c r="M138" s="5" t="str">
        <f>_xlfn.XLOOKUP($N138,'Base de Grupos'!$A:$A,'Base de Grupos'!$C:$C)</f>
        <v>BA</v>
      </c>
      <c r="N138" s="3">
        <v>1331</v>
      </c>
      <c r="O138" s="4" t="s">
        <v>231</v>
      </c>
      <c r="P138" s="5" t="s">
        <v>108</v>
      </c>
      <c r="Q138" s="24">
        <v>0</v>
      </c>
      <c r="R138" s="24">
        <v>0</v>
      </c>
      <c r="S138" s="24">
        <v>0</v>
      </c>
      <c r="T138" s="24">
        <v>0</v>
      </c>
      <c r="U138" s="24">
        <v>0</v>
      </c>
      <c r="V138" s="24">
        <v>0</v>
      </c>
      <c r="W138" s="24">
        <v>0</v>
      </c>
      <c r="X138" s="24">
        <v>0</v>
      </c>
      <c r="Y138" s="24">
        <v>0</v>
      </c>
      <c r="Z138" s="24">
        <v>0</v>
      </c>
      <c r="AA138" s="24">
        <v>0</v>
      </c>
      <c r="AB138" s="24">
        <v>0</v>
      </c>
      <c r="AC138" s="30">
        <f t="shared" si="70"/>
        <v>0</v>
      </c>
      <c r="AD138" s="27">
        <f>IF(AC138=0,0,AC138-AG138)</f>
        <v>0</v>
      </c>
      <c r="AE138" s="25">
        <f>IFERROR(_xlfn.XLOOKUP(N138&amp;P138,'Historico Vendas'!G:G,'Historico Vendas'!E:E),0)</f>
        <v>0</v>
      </c>
      <c r="AF138" s="29" t="str">
        <f t="shared" si="65"/>
        <v/>
      </c>
      <c r="AG138" s="24">
        <f>IFERROR(_xlfn.XLOOKUP(N138&amp;P138,'Historico Vendas'!G:G,'Historico Vendas'!F:F),0)</f>
        <v>0</v>
      </c>
      <c r="AH138" s="25">
        <f t="shared" si="61"/>
        <v>0</v>
      </c>
      <c r="AI138" s="24">
        <f t="shared" si="62"/>
        <v>0</v>
      </c>
      <c r="AJ138" s="11" t="str">
        <f t="shared" si="66"/>
        <v/>
      </c>
      <c r="AK138" s="9" t="s">
        <v>102</v>
      </c>
      <c r="AL138" s="13">
        <f>IFERROR(INDEX('Balizador da Meta'!$D$3:$F$23,MATCH(Quantidade!$P138,'Balizador da Meta'!$C$3:$C$23,0),MATCH(Quantidade!AK138,'Balizador da Meta'!$D$2:$F$2,0)),"")</f>
        <v>0</v>
      </c>
      <c r="AM138" s="9"/>
    </row>
    <row r="139" spans="1:39" x14ac:dyDescent="0.3">
      <c r="A139" s="2" t="str">
        <f t="shared" si="63"/>
        <v>NÃO</v>
      </c>
      <c r="B139" s="2" t="str">
        <f>_xlfn.XLOOKUP($N139,'Base de Grupos'!$A:$A,'Base de Grupos'!$D:$D)</f>
        <v>1000065763</v>
      </c>
      <c r="C139" s="5" t="str">
        <f>_xlfn.XLOOKUP($N139,'Base de Grupos'!$A:$A,'Base de Grupos'!$E:$E)</f>
        <v>CANAL VENDA INTERNA</v>
      </c>
      <c r="D139" s="5" t="str">
        <f>_xlfn.XLOOKUP($N139,'Base de Grupos'!$A:$A,'Base de Grupos'!$F:$F)</f>
        <v>1000065763</v>
      </c>
      <c r="E139" s="2" t="str">
        <f>_xlfn.XLOOKUP($N139,'Base de Grupos'!$A:$A,'Base de Grupos'!$G:$G)</f>
        <v>CANAL VENDA INTERNA</v>
      </c>
      <c r="F139" s="2" t="str">
        <f>_xlfn.XLOOKUP($N139,'Base de Grupos'!$A:$A,'Base de Grupos'!$H:$H)</f>
        <v>1000105900</v>
      </c>
      <c r="G139" s="5" t="str">
        <f>_xlfn.XLOOKUP($N139,'Base de Grupos'!$A:$A,'Base de Grupos'!$I:$I)</f>
        <v>REGIONAL VENDA DIRETA CO + NE + NO</v>
      </c>
      <c r="H139" s="5" t="str">
        <f>_xlfn.XLOOKUP($N139,'Base de Grupos'!$A:$A,'Base de Grupos'!$J:$J)</f>
        <v>1000105900</v>
      </c>
      <c r="I139" s="2" t="str">
        <f>_xlfn.XLOOKUP($N139,'Base de Grupos'!$A:$A,'Base de Grupos'!$K:$K)</f>
        <v>REGIONAL VENDA DIRETA CO + NE + NO</v>
      </c>
      <c r="J139" s="2" t="str">
        <f>_xlfn.XLOOKUP($N139,'Base de Grupos'!$A:$A,'Base de Grupos'!$L:$L)</f>
        <v>1000150135</v>
      </c>
      <c r="K139" s="5" t="str">
        <f>_xlfn.XLOOKUP($N139,'Base de Grupos'!$A:$A,'Base de Grupos'!$M:$M)</f>
        <v>HELDER DA SILVA BRUNKOW</v>
      </c>
      <c r="L139" s="5" t="str">
        <f t="shared" si="64"/>
        <v/>
      </c>
      <c r="M139" s="5" t="str">
        <f>_xlfn.XLOOKUP($N139,'Base de Grupos'!$A:$A,'Base de Grupos'!$C:$C)</f>
        <v>BA</v>
      </c>
      <c r="N139" s="3">
        <v>1331</v>
      </c>
      <c r="O139" s="4" t="s">
        <v>231</v>
      </c>
      <c r="P139" s="5" t="s">
        <v>89</v>
      </c>
      <c r="Q139" s="24">
        <v>0</v>
      </c>
      <c r="R139" s="24">
        <v>0</v>
      </c>
      <c r="S139" s="24">
        <v>0</v>
      </c>
      <c r="T139" s="24">
        <v>0</v>
      </c>
      <c r="U139" s="24">
        <v>0</v>
      </c>
      <c r="V139" s="24">
        <v>0</v>
      </c>
      <c r="W139" s="24">
        <v>0</v>
      </c>
      <c r="X139" s="24">
        <v>0</v>
      </c>
      <c r="Y139" s="24">
        <v>0</v>
      </c>
      <c r="Z139" s="24">
        <v>0</v>
      </c>
      <c r="AA139" s="24">
        <v>0</v>
      </c>
      <c r="AB139" s="24">
        <v>0</v>
      </c>
      <c r="AC139" s="30">
        <f t="shared" si="70"/>
        <v>0</v>
      </c>
      <c r="AD139" s="27">
        <f t="shared" ref="AD139:AD146" si="71">IF(AC139=0,0,AC139-AG139)</f>
        <v>0</v>
      </c>
      <c r="AE139" s="25">
        <f>IFERROR(_xlfn.XLOOKUP(N139&amp;P139,'Historico Vendas'!G:G,'Historico Vendas'!E:E),0)</f>
        <v>0</v>
      </c>
      <c r="AF139" s="29" t="str">
        <f t="shared" si="65"/>
        <v/>
      </c>
      <c r="AG139" s="24">
        <f>IFERROR(_xlfn.XLOOKUP(N139&amp;P139,'Historico Vendas'!G:G,'Historico Vendas'!F:F),0)</f>
        <v>0</v>
      </c>
      <c r="AH139" s="25">
        <f t="shared" si="61"/>
        <v>0</v>
      </c>
      <c r="AI139" s="24">
        <f t="shared" si="62"/>
        <v>0</v>
      </c>
      <c r="AJ139" s="11" t="str">
        <f t="shared" si="66"/>
        <v/>
      </c>
      <c r="AK139" s="9" t="s">
        <v>102</v>
      </c>
      <c r="AL139" s="13">
        <f>IFERROR(INDEX('Balizador da Meta'!$D$3:$F$23,MATCH(Quantidade!$P139,'Balizador da Meta'!$C$3:$C$23,0),MATCH(Quantidade!AK139,'Balizador da Meta'!$D$2:$F$2,0)),"")</f>
        <v>0.25</v>
      </c>
      <c r="AM139" s="9"/>
    </row>
    <row r="140" spans="1:39" x14ac:dyDescent="0.3">
      <c r="A140" s="2" t="str">
        <f t="shared" si="63"/>
        <v>NÃO</v>
      </c>
      <c r="B140" s="2" t="str">
        <f>_xlfn.XLOOKUP($N140,'Base de Grupos'!$A:$A,'Base de Grupos'!$D:$D)</f>
        <v>1000065763</v>
      </c>
      <c r="C140" s="5" t="str">
        <f>_xlfn.XLOOKUP($N140,'Base de Grupos'!$A:$A,'Base de Grupos'!$E:$E)</f>
        <v>CANAL VENDA INTERNA</v>
      </c>
      <c r="D140" s="5" t="str">
        <f>_xlfn.XLOOKUP($N140,'Base de Grupos'!$A:$A,'Base de Grupos'!$F:$F)</f>
        <v>1000065763</v>
      </c>
      <c r="E140" s="2" t="str">
        <f>_xlfn.XLOOKUP($N140,'Base de Grupos'!$A:$A,'Base de Grupos'!$G:$G)</f>
        <v>CANAL VENDA INTERNA</v>
      </c>
      <c r="F140" s="2" t="str">
        <f>_xlfn.XLOOKUP($N140,'Base de Grupos'!$A:$A,'Base de Grupos'!$H:$H)</f>
        <v>1000105900</v>
      </c>
      <c r="G140" s="5" t="str">
        <f>_xlfn.XLOOKUP($N140,'Base de Grupos'!$A:$A,'Base de Grupos'!$I:$I)</f>
        <v>REGIONAL VENDA DIRETA CO + NE + NO</v>
      </c>
      <c r="H140" s="5" t="str">
        <f>_xlfn.XLOOKUP($N140,'Base de Grupos'!$A:$A,'Base de Grupos'!$J:$J)</f>
        <v>1000105900</v>
      </c>
      <c r="I140" s="2" t="str">
        <f>_xlfn.XLOOKUP($N140,'Base de Grupos'!$A:$A,'Base de Grupos'!$K:$K)</f>
        <v>REGIONAL VENDA DIRETA CO + NE + NO</v>
      </c>
      <c r="J140" s="2" t="str">
        <f>_xlfn.XLOOKUP($N140,'Base de Grupos'!$A:$A,'Base de Grupos'!$L:$L)</f>
        <v>1000150135</v>
      </c>
      <c r="K140" s="5" t="str">
        <f>_xlfn.XLOOKUP($N140,'Base de Grupos'!$A:$A,'Base de Grupos'!$M:$M)</f>
        <v>HELDER DA SILVA BRUNKOW</v>
      </c>
      <c r="L140" s="5" t="str">
        <f t="shared" si="64"/>
        <v/>
      </c>
      <c r="M140" s="5" t="str">
        <f>_xlfn.XLOOKUP($N140,'Base de Grupos'!$A:$A,'Base de Grupos'!$C:$C)</f>
        <v>BA</v>
      </c>
      <c r="N140" s="3">
        <v>1331</v>
      </c>
      <c r="O140" s="4" t="s">
        <v>231</v>
      </c>
      <c r="P140" s="5" t="s">
        <v>88</v>
      </c>
      <c r="Q140" s="24">
        <v>0</v>
      </c>
      <c r="R140" s="24">
        <v>0</v>
      </c>
      <c r="S140" s="24">
        <v>0</v>
      </c>
      <c r="T140" s="24">
        <v>0</v>
      </c>
      <c r="U140" s="24">
        <v>0</v>
      </c>
      <c r="V140" s="24">
        <v>0</v>
      </c>
      <c r="W140" s="24">
        <v>0</v>
      </c>
      <c r="X140" s="24">
        <v>0</v>
      </c>
      <c r="Y140" s="24">
        <v>0</v>
      </c>
      <c r="Z140" s="24">
        <v>0</v>
      </c>
      <c r="AA140" s="24">
        <v>0</v>
      </c>
      <c r="AB140" s="24">
        <v>0</v>
      </c>
      <c r="AC140" s="30">
        <f t="shared" si="70"/>
        <v>0</v>
      </c>
      <c r="AD140" s="27">
        <f t="shared" si="71"/>
        <v>0</v>
      </c>
      <c r="AE140" s="25">
        <f>IFERROR(_xlfn.XLOOKUP(N140&amp;P140,'Historico Vendas'!G:G,'Historico Vendas'!E:E),0)</f>
        <v>0</v>
      </c>
      <c r="AF140" s="29" t="str">
        <f t="shared" si="65"/>
        <v/>
      </c>
      <c r="AG140" s="24">
        <f>IFERROR(_xlfn.XLOOKUP(N140&amp;P140,'Historico Vendas'!G:G,'Historico Vendas'!F:F),0)</f>
        <v>0</v>
      </c>
      <c r="AH140" s="25">
        <f t="shared" si="61"/>
        <v>0</v>
      </c>
      <c r="AI140" s="24">
        <f t="shared" si="62"/>
        <v>0</v>
      </c>
      <c r="AJ140" s="11" t="str">
        <f t="shared" si="66"/>
        <v/>
      </c>
      <c r="AK140" s="9" t="s">
        <v>102</v>
      </c>
      <c r="AL140" s="13">
        <f>IFERROR(INDEX('Balizador da Meta'!$D$3:$F$23,MATCH(Quantidade!$P140,'Balizador da Meta'!$C$3:$C$23,0),MATCH(Quantidade!AK140,'Balizador da Meta'!$D$2:$F$2,0)),"")</f>
        <v>0</v>
      </c>
      <c r="AM140" s="9"/>
    </row>
    <row r="141" spans="1:39" x14ac:dyDescent="0.3">
      <c r="A141" s="2" t="str">
        <f t="shared" si="63"/>
        <v>NÃO</v>
      </c>
      <c r="B141" s="2" t="str">
        <f>_xlfn.XLOOKUP($N141,'Base de Grupos'!$A:$A,'Base de Grupos'!$D:$D)</f>
        <v>1000065763</v>
      </c>
      <c r="C141" s="5" t="str">
        <f>_xlfn.XLOOKUP($N141,'Base de Grupos'!$A:$A,'Base de Grupos'!$E:$E)</f>
        <v>CANAL VENDA INTERNA</v>
      </c>
      <c r="D141" s="5" t="str">
        <f>_xlfn.XLOOKUP($N141,'Base de Grupos'!$A:$A,'Base de Grupos'!$F:$F)</f>
        <v>1000065763</v>
      </c>
      <c r="E141" s="2" t="str">
        <f>_xlfn.XLOOKUP($N141,'Base de Grupos'!$A:$A,'Base de Grupos'!$G:$G)</f>
        <v>CANAL VENDA INTERNA</v>
      </c>
      <c r="F141" s="2" t="str">
        <f>_xlfn.XLOOKUP($N141,'Base de Grupos'!$A:$A,'Base de Grupos'!$H:$H)</f>
        <v>1000105900</v>
      </c>
      <c r="G141" s="5" t="str">
        <f>_xlfn.XLOOKUP($N141,'Base de Grupos'!$A:$A,'Base de Grupos'!$I:$I)</f>
        <v>REGIONAL VENDA DIRETA CO + NE + NO</v>
      </c>
      <c r="H141" s="5" t="str">
        <f>_xlfn.XLOOKUP($N141,'Base de Grupos'!$A:$A,'Base de Grupos'!$J:$J)</f>
        <v>1000105900</v>
      </c>
      <c r="I141" s="2" t="str">
        <f>_xlfn.XLOOKUP($N141,'Base de Grupos'!$A:$A,'Base de Grupos'!$K:$K)</f>
        <v>REGIONAL VENDA DIRETA CO + NE + NO</v>
      </c>
      <c r="J141" s="2" t="str">
        <f>_xlfn.XLOOKUP($N141,'Base de Grupos'!$A:$A,'Base de Grupos'!$L:$L)</f>
        <v>1000150135</v>
      </c>
      <c r="K141" s="5" t="str">
        <f>_xlfn.XLOOKUP($N141,'Base de Grupos'!$A:$A,'Base de Grupos'!$M:$M)</f>
        <v>HELDER DA SILVA BRUNKOW</v>
      </c>
      <c r="L141" s="5" t="str">
        <f t="shared" si="64"/>
        <v/>
      </c>
      <c r="M141" s="5" t="str">
        <f>_xlfn.XLOOKUP($N141,'Base de Grupos'!$A:$A,'Base de Grupos'!$C:$C)</f>
        <v>BA</v>
      </c>
      <c r="N141" s="3">
        <v>1331</v>
      </c>
      <c r="O141" s="4" t="s">
        <v>231</v>
      </c>
      <c r="P141" s="5" t="s">
        <v>90</v>
      </c>
      <c r="Q141" s="24">
        <v>0</v>
      </c>
      <c r="R141" s="24">
        <v>0</v>
      </c>
      <c r="S141" s="24">
        <v>0</v>
      </c>
      <c r="T141" s="24">
        <v>0</v>
      </c>
      <c r="U141" s="24">
        <v>0</v>
      </c>
      <c r="V141" s="24">
        <v>0</v>
      </c>
      <c r="W141" s="24">
        <v>0</v>
      </c>
      <c r="X141" s="24">
        <v>0</v>
      </c>
      <c r="Y141" s="24">
        <v>0</v>
      </c>
      <c r="Z141" s="24">
        <v>0</v>
      </c>
      <c r="AA141" s="24">
        <v>0</v>
      </c>
      <c r="AB141" s="24">
        <v>0</v>
      </c>
      <c r="AC141" s="30">
        <f t="shared" si="70"/>
        <v>0</v>
      </c>
      <c r="AD141" s="27">
        <f t="shared" si="71"/>
        <v>0</v>
      </c>
      <c r="AE141" s="25">
        <f>IFERROR(_xlfn.XLOOKUP(N141&amp;P141,'Historico Vendas'!G:G,'Historico Vendas'!E:E),0)</f>
        <v>0</v>
      </c>
      <c r="AF141" s="29" t="str">
        <f t="shared" si="65"/>
        <v/>
      </c>
      <c r="AG141" s="24">
        <f>IFERROR(_xlfn.XLOOKUP(N141&amp;P141,'Historico Vendas'!G:G,'Historico Vendas'!F:F),0)</f>
        <v>0</v>
      </c>
      <c r="AH141" s="25">
        <f t="shared" si="61"/>
        <v>0</v>
      </c>
      <c r="AI141" s="24">
        <f t="shared" si="62"/>
        <v>0</v>
      </c>
      <c r="AJ141" s="11" t="str">
        <f t="shared" si="66"/>
        <v/>
      </c>
      <c r="AK141" s="9" t="s">
        <v>102</v>
      </c>
      <c r="AL141" s="13">
        <f>IFERROR(INDEX('Balizador da Meta'!$D$3:$F$23,MATCH(Quantidade!$P141,'Balizador da Meta'!$C$3:$C$23,0),MATCH(Quantidade!AK141,'Balizador da Meta'!$D$2:$F$2,0)),"")</f>
        <v>0</v>
      </c>
      <c r="AM141" s="9"/>
    </row>
    <row r="142" spans="1:39" x14ac:dyDescent="0.3">
      <c r="A142" s="2" t="str">
        <f t="shared" si="63"/>
        <v>NÃO</v>
      </c>
      <c r="B142" s="2" t="str">
        <f>_xlfn.XLOOKUP($N142,'Base de Grupos'!$A:$A,'Base de Grupos'!$D:$D)</f>
        <v>1000065763</v>
      </c>
      <c r="C142" s="5" t="str">
        <f>_xlfn.XLOOKUP($N142,'Base de Grupos'!$A:$A,'Base de Grupos'!$E:$E)</f>
        <v>CANAL VENDA INTERNA</v>
      </c>
      <c r="D142" s="5" t="str">
        <f>_xlfn.XLOOKUP($N142,'Base de Grupos'!$A:$A,'Base de Grupos'!$F:$F)</f>
        <v>1000065763</v>
      </c>
      <c r="E142" s="2" t="str">
        <f>_xlfn.XLOOKUP($N142,'Base de Grupos'!$A:$A,'Base de Grupos'!$G:$G)</f>
        <v>CANAL VENDA INTERNA</v>
      </c>
      <c r="F142" s="2" t="str">
        <f>_xlfn.XLOOKUP($N142,'Base de Grupos'!$A:$A,'Base de Grupos'!$H:$H)</f>
        <v>1000105900</v>
      </c>
      <c r="G142" s="5" t="str">
        <f>_xlfn.XLOOKUP($N142,'Base de Grupos'!$A:$A,'Base de Grupos'!$I:$I)</f>
        <v>REGIONAL VENDA DIRETA CO + NE + NO</v>
      </c>
      <c r="H142" s="5" t="str">
        <f>_xlfn.XLOOKUP($N142,'Base de Grupos'!$A:$A,'Base de Grupos'!$J:$J)</f>
        <v>1000105900</v>
      </c>
      <c r="I142" s="2" t="str">
        <f>_xlfn.XLOOKUP($N142,'Base de Grupos'!$A:$A,'Base de Grupos'!$K:$K)</f>
        <v>REGIONAL VENDA DIRETA CO + NE + NO</v>
      </c>
      <c r="J142" s="2" t="str">
        <f>_xlfn.XLOOKUP($N142,'Base de Grupos'!$A:$A,'Base de Grupos'!$L:$L)</f>
        <v>1000150135</v>
      </c>
      <c r="K142" s="5" t="str">
        <f>_xlfn.XLOOKUP($N142,'Base de Grupos'!$A:$A,'Base de Grupos'!$M:$M)</f>
        <v>HELDER DA SILVA BRUNKOW</v>
      </c>
      <c r="L142" s="5" t="str">
        <f t="shared" si="64"/>
        <v/>
      </c>
      <c r="M142" s="5" t="str">
        <f>_xlfn.XLOOKUP($N142,'Base de Grupos'!$A:$A,'Base de Grupos'!$C:$C)</f>
        <v>BA</v>
      </c>
      <c r="N142" s="3">
        <v>1331</v>
      </c>
      <c r="O142" s="4" t="s">
        <v>231</v>
      </c>
      <c r="P142" s="5" t="s">
        <v>91</v>
      </c>
      <c r="Q142" s="24">
        <v>0</v>
      </c>
      <c r="R142" s="24">
        <v>0</v>
      </c>
      <c r="S142" s="24">
        <v>0</v>
      </c>
      <c r="T142" s="24">
        <v>0</v>
      </c>
      <c r="U142" s="24">
        <v>0</v>
      </c>
      <c r="V142" s="24">
        <v>0</v>
      </c>
      <c r="W142" s="24">
        <v>0</v>
      </c>
      <c r="X142" s="24">
        <v>0</v>
      </c>
      <c r="Y142" s="24">
        <v>0</v>
      </c>
      <c r="Z142" s="24">
        <v>0</v>
      </c>
      <c r="AA142" s="24">
        <v>0</v>
      </c>
      <c r="AB142" s="24">
        <v>0</v>
      </c>
      <c r="AC142" s="30">
        <f t="shared" si="70"/>
        <v>0</v>
      </c>
      <c r="AD142" s="27">
        <f t="shared" si="71"/>
        <v>0</v>
      </c>
      <c r="AE142" s="25">
        <f>IFERROR(_xlfn.XLOOKUP(N142&amp;P142,'Historico Vendas'!G:G,'Historico Vendas'!E:E),0)</f>
        <v>0</v>
      </c>
      <c r="AF142" s="29" t="str">
        <f t="shared" si="65"/>
        <v/>
      </c>
      <c r="AG142" s="24">
        <f>IFERROR(_xlfn.XLOOKUP(N142&amp;P142,'Historico Vendas'!G:G,'Historico Vendas'!F:F),0)</f>
        <v>0</v>
      </c>
      <c r="AH142" s="25">
        <f t="shared" si="61"/>
        <v>0</v>
      </c>
      <c r="AI142" s="24">
        <f t="shared" si="62"/>
        <v>0</v>
      </c>
      <c r="AJ142" s="11" t="str">
        <f t="shared" si="66"/>
        <v/>
      </c>
      <c r="AK142" s="9" t="s">
        <v>102</v>
      </c>
      <c r="AL142" s="13">
        <f>IFERROR(INDEX('Balizador da Meta'!$D$3:$F$23,MATCH(Quantidade!$P142,'Balizador da Meta'!$C$3:$C$23,0),MATCH(Quantidade!AK142,'Balizador da Meta'!$D$2:$F$2,0)),"")</f>
        <v>0</v>
      </c>
      <c r="AM142" s="9"/>
    </row>
    <row r="143" spans="1:39" x14ac:dyDescent="0.3">
      <c r="A143" s="2" t="str">
        <f t="shared" si="63"/>
        <v>NÃO</v>
      </c>
      <c r="B143" s="2" t="str">
        <f>_xlfn.XLOOKUP($N143,'Base de Grupos'!$A:$A,'Base de Grupos'!$D:$D)</f>
        <v>1000065763</v>
      </c>
      <c r="C143" s="5" t="str">
        <f>_xlfn.XLOOKUP($N143,'Base de Grupos'!$A:$A,'Base de Grupos'!$E:$E)</f>
        <v>CANAL VENDA INTERNA</v>
      </c>
      <c r="D143" s="5" t="str">
        <f>_xlfn.XLOOKUP($N143,'Base de Grupos'!$A:$A,'Base de Grupos'!$F:$F)</f>
        <v>1000065763</v>
      </c>
      <c r="E143" s="2" t="str">
        <f>_xlfn.XLOOKUP($N143,'Base de Grupos'!$A:$A,'Base de Grupos'!$G:$G)</f>
        <v>CANAL VENDA INTERNA</v>
      </c>
      <c r="F143" s="2" t="str">
        <f>_xlfn.XLOOKUP($N143,'Base de Grupos'!$A:$A,'Base de Grupos'!$H:$H)</f>
        <v>1000105900</v>
      </c>
      <c r="G143" s="5" t="str">
        <f>_xlfn.XLOOKUP($N143,'Base de Grupos'!$A:$A,'Base de Grupos'!$I:$I)</f>
        <v>REGIONAL VENDA DIRETA CO + NE + NO</v>
      </c>
      <c r="H143" s="5" t="str">
        <f>_xlfn.XLOOKUP($N143,'Base de Grupos'!$A:$A,'Base de Grupos'!$J:$J)</f>
        <v>1000105900</v>
      </c>
      <c r="I143" s="2" t="str">
        <f>_xlfn.XLOOKUP($N143,'Base de Grupos'!$A:$A,'Base de Grupos'!$K:$K)</f>
        <v>REGIONAL VENDA DIRETA CO + NE + NO</v>
      </c>
      <c r="J143" s="2" t="str">
        <f>_xlfn.XLOOKUP($N143,'Base de Grupos'!$A:$A,'Base de Grupos'!$L:$L)</f>
        <v>1000150135</v>
      </c>
      <c r="K143" s="5" t="str">
        <f>_xlfn.XLOOKUP($N143,'Base de Grupos'!$A:$A,'Base de Grupos'!$M:$M)</f>
        <v>HELDER DA SILVA BRUNKOW</v>
      </c>
      <c r="L143" s="5" t="str">
        <f t="shared" si="64"/>
        <v/>
      </c>
      <c r="M143" s="5" t="str">
        <f>_xlfn.XLOOKUP($N143,'Base de Grupos'!$A:$A,'Base de Grupos'!$C:$C)</f>
        <v>BA</v>
      </c>
      <c r="N143" s="3">
        <v>1331</v>
      </c>
      <c r="O143" s="4" t="s">
        <v>231</v>
      </c>
      <c r="P143" s="5" t="s">
        <v>96</v>
      </c>
      <c r="Q143" s="24">
        <v>0</v>
      </c>
      <c r="R143" s="24">
        <v>0</v>
      </c>
      <c r="S143" s="24">
        <v>0</v>
      </c>
      <c r="T143" s="24">
        <v>0</v>
      </c>
      <c r="U143" s="24">
        <v>0</v>
      </c>
      <c r="V143" s="24">
        <v>0</v>
      </c>
      <c r="W143" s="24">
        <v>0</v>
      </c>
      <c r="X143" s="24">
        <v>0</v>
      </c>
      <c r="Y143" s="24">
        <v>0</v>
      </c>
      <c r="Z143" s="24">
        <v>0</v>
      </c>
      <c r="AA143" s="24">
        <v>0</v>
      </c>
      <c r="AB143" s="24">
        <v>0</v>
      </c>
      <c r="AC143" s="30">
        <f t="shared" si="70"/>
        <v>0</v>
      </c>
      <c r="AD143" s="27">
        <f t="shared" si="71"/>
        <v>0</v>
      </c>
      <c r="AE143" s="25">
        <f>IFERROR(_xlfn.XLOOKUP(N143&amp;P143,'Historico Vendas'!G:G,'Historico Vendas'!E:E),0)</f>
        <v>0</v>
      </c>
      <c r="AF143" s="29" t="str">
        <f t="shared" si="65"/>
        <v/>
      </c>
      <c r="AG143" s="24">
        <f>IFERROR(_xlfn.XLOOKUP(N143&amp;P143,'Historico Vendas'!G:G,'Historico Vendas'!F:F),0)</f>
        <v>0</v>
      </c>
      <c r="AH143" s="25">
        <f t="shared" si="61"/>
        <v>0</v>
      </c>
      <c r="AI143" s="24">
        <f t="shared" si="62"/>
        <v>0</v>
      </c>
      <c r="AJ143" s="11" t="str">
        <f t="shared" si="66"/>
        <v/>
      </c>
      <c r="AK143" s="9" t="s">
        <v>102</v>
      </c>
      <c r="AL143" s="13">
        <f>IFERROR(INDEX('Balizador da Meta'!$D$3:$F$23,MATCH(Quantidade!$P143,'Balizador da Meta'!$C$3:$C$23,0),MATCH(Quantidade!AK143,'Balizador da Meta'!$D$2:$F$2,0)),"")</f>
        <v>0</v>
      </c>
      <c r="AM143" s="9"/>
    </row>
    <row r="144" spans="1:39" x14ac:dyDescent="0.3">
      <c r="A144" s="2" t="str">
        <f t="shared" si="63"/>
        <v>NÃO</v>
      </c>
      <c r="B144" s="2" t="str">
        <f>_xlfn.XLOOKUP($N144,'Base de Grupos'!$A:$A,'Base de Grupos'!$D:$D)</f>
        <v>1000065763</v>
      </c>
      <c r="C144" s="5" t="str">
        <f>_xlfn.XLOOKUP($N144,'Base de Grupos'!$A:$A,'Base de Grupos'!$E:$E)</f>
        <v>CANAL VENDA INTERNA</v>
      </c>
      <c r="D144" s="5" t="str">
        <f>_xlfn.XLOOKUP($N144,'Base de Grupos'!$A:$A,'Base de Grupos'!$F:$F)</f>
        <v>1000065763</v>
      </c>
      <c r="E144" s="2" t="str">
        <f>_xlfn.XLOOKUP($N144,'Base de Grupos'!$A:$A,'Base de Grupos'!$G:$G)</f>
        <v>CANAL VENDA INTERNA</v>
      </c>
      <c r="F144" s="2" t="str">
        <f>_xlfn.XLOOKUP($N144,'Base de Grupos'!$A:$A,'Base de Grupos'!$H:$H)</f>
        <v>1000105900</v>
      </c>
      <c r="G144" s="5" t="str">
        <f>_xlfn.XLOOKUP($N144,'Base de Grupos'!$A:$A,'Base de Grupos'!$I:$I)</f>
        <v>REGIONAL VENDA DIRETA CO + NE + NO</v>
      </c>
      <c r="H144" s="5" t="str">
        <f>_xlfn.XLOOKUP($N144,'Base de Grupos'!$A:$A,'Base de Grupos'!$J:$J)</f>
        <v>1000105900</v>
      </c>
      <c r="I144" s="2" t="str">
        <f>_xlfn.XLOOKUP($N144,'Base de Grupos'!$A:$A,'Base de Grupos'!$K:$K)</f>
        <v>REGIONAL VENDA DIRETA CO + NE + NO</v>
      </c>
      <c r="J144" s="2" t="str">
        <f>_xlfn.XLOOKUP($N144,'Base de Grupos'!$A:$A,'Base de Grupos'!$L:$L)</f>
        <v>1000150135</v>
      </c>
      <c r="K144" s="5" t="str">
        <f>_xlfn.XLOOKUP($N144,'Base de Grupos'!$A:$A,'Base de Grupos'!$M:$M)</f>
        <v>HELDER DA SILVA BRUNKOW</v>
      </c>
      <c r="L144" s="5" t="str">
        <f t="shared" si="64"/>
        <v/>
      </c>
      <c r="M144" s="5" t="str">
        <f>_xlfn.XLOOKUP($N144,'Base de Grupos'!$A:$A,'Base de Grupos'!$C:$C)</f>
        <v>BA</v>
      </c>
      <c r="N144" s="3">
        <v>1331</v>
      </c>
      <c r="O144" s="4" t="s">
        <v>231</v>
      </c>
      <c r="P144" s="5" t="s">
        <v>94</v>
      </c>
      <c r="Q144" s="24">
        <v>0</v>
      </c>
      <c r="R144" s="24">
        <v>0</v>
      </c>
      <c r="S144" s="24">
        <v>0</v>
      </c>
      <c r="T144" s="24">
        <v>0</v>
      </c>
      <c r="U144" s="24">
        <v>0</v>
      </c>
      <c r="V144" s="24">
        <v>0</v>
      </c>
      <c r="W144" s="24">
        <v>0</v>
      </c>
      <c r="X144" s="24">
        <v>0</v>
      </c>
      <c r="Y144" s="24">
        <v>0</v>
      </c>
      <c r="Z144" s="24">
        <v>0</v>
      </c>
      <c r="AA144" s="24">
        <v>0</v>
      </c>
      <c r="AB144" s="24">
        <v>0</v>
      </c>
      <c r="AC144" s="30">
        <f t="shared" si="70"/>
        <v>0</v>
      </c>
      <c r="AD144" s="27">
        <f t="shared" si="71"/>
        <v>0</v>
      </c>
      <c r="AE144" s="25">
        <f>IFERROR(_xlfn.XLOOKUP(N144&amp;P144,'Historico Vendas'!G:G,'Historico Vendas'!E:E),0)</f>
        <v>0</v>
      </c>
      <c r="AF144" s="29" t="str">
        <f t="shared" si="65"/>
        <v/>
      </c>
      <c r="AG144" s="24">
        <f>IFERROR(_xlfn.XLOOKUP(N144&amp;P144,'Historico Vendas'!G:G,'Historico Vendas'!F:F),0)</f>
        <v>0</v>
      </c>
      <c r="AH144" s="25">
        <f t="shared" si="61"/>
        <v>0</v>
      </c>
      <c r="AI144" s="24">
        <f t="shared" si="62"/>
        <v>0</v>
      </c>
      <c r="AJ144" s="11" t="str">
        <f t="shared" si="66"/>
        <v/>
      </c>
      <c r="AK144" s="9" t="s">
        <v>102</v>
      </c>
      <c r="AL144" s="13">
        <f>IFERROR(INDEX('Balizador da Meta'!$D$3:$F$23,MATCH(Quantidade!$P144,'Balizador da Meta'!$C$3:$C$23,0),MATCH(Quantidade!AK144,'Balizador da Meta'!$D$2:$F$2,0)),"")</f>
        <v>0.25</v>
      </c>
      <c r="AM144" s="9"/>
    </row>
    <row r="145" spans="1:39" x14ac:dyDescent="0.3">
      <c r="A145" s="2" t="str">
        <f t="shared" si="63"/>
        <v>NÃO</v>
      </c>
      <c r="B145" s="2" t="str">
        <f>_xlfn.XLOOKUP($N145,'Base de Grupos'!$A:$A,'Base de Grupos'!$D:$D)</f>
        <v>1000065763</v>
      </c>
      <c r="C145" s="5" t="str">
        <f>_xlfn.XLOOKUP($N145,'Base de Grupos'!$A:$A,'Base de Grupos'!$E:$E)</f>
        <v>CANAL VENDA INTERNA</v>
      </c>
      <c r="D145" s="5" t="str">
        <f>_xlfn.XLOOKUP($N145,'Base de Grupos'!$A:$A,'Base de Grupos'!$F:$F)</f>
        <v>1000065763</v>
      </c>
      <c r="E145" s="2" t="str">
        <f>_xlfn.XLOOKUP($N145,'Base de Grupos'!$A:$A,'Base de Grupos'!$G:$G)</f>
        <v>CANAL VENDA INTERNA</v>
      </c>
      <c r="F145" s="2" t="str">
        <f>_xlfn.XLOOKUP($N145,'Base de Grupos'!$A:$A,'Base de Grupos'!$H:$H)</f>
        <v>1000105900</v>
      </c>
      <c r="G145" s="5" t="str">
        <f>_xlfn.XLOOKUP($N145,'Base de Grupos'!$A:$A,'Base de Grupos'!$I:$I)</f>
        <v>REGIONAL VENDA DIRETA CO + NE + NO</v>
      </c>
      <c r="H145" s="5" t="str">
        <f>_xlfn.XLOOKUP($N145,'Base de Grupos'!$A:$A,'Base de Grupos'!$J:$J)</f>
        <v>1000105900</v>
      </c>
      <c r="I145" s="2" t="str">
        <f>_xlfn.XLOOKUP($N145,'Base de Grupos'!$A:$A,'Base de Grupos'!$K:$K)</f>
        <v>REGIONAL VENDA DIRETA CO + NE + NO</v>
      </c>
      <c r="J145" s="2" t="str">
        <f>_xlfn.XLOOKUP($N145,'Base de Grupos'!$A:$A,'Base de Grupos'!$L:$L)</f>
        <v>1000150135</v>
      </c>
      <c r="K145" s="5" t="str">
        <f>_xlfn.XLOOKUP($N145,'Base de Grupos'!$A:$A,'Base de Grupos'!$M:$M)</f>
        <v>HELDER DA SILVA BRUNKOW</v>
      </c>
      <c r="L145" s="5" t="str">
        <f t="shared" si="64"/>
        <v/>
      </c>
      <c r="M145" s="5" t="str">
        <f>_xlfn.XLOOKUP($N145,'Base de Grupos'!$A:$A,'Base de Grupos'!$C:$C)</f>
        <v>BA</v>
      </c>
      <c r="N145" s="3">
        <v>1331</v>
      </c>
      <c r="O145" s="4" t="s">
        <v>231</v>
      </c>
      <c r="P145" s="5" t="s">
        <v>95</v>
      </c>
      <c r="Q145" s="24">
        <v>0</v>
      </c>
      <c r="R145" s="24">
        <v>0</v>
      </c>
      <c r="S145" s="24">
        <v>0</v>
      </c>
      <c r="T145" s="24">
        <v>0</v>
      </c>
      <c r="U145" s="24">
        <v>0</v>
      </c>
      <c r="V145" s="24">
        <v>0</v>
      </c>
      <c r="W145" s="24">
        <v>0</v>
      </c>
      <c r="X145" s="24">
        <v>0</v>
      </c>
      <c r="Y145" s="24">
        <v>0</v>
      </c>
      <c r="Z145" s="24">
        <v>0</v>
      </c>
      <c r="AA145" s="24">
        <v>0</v>
      </c>
      <c r="AB145" s="24">
        <v>0</v>
      </c>
      <c r="AC145" s="30">
        <f t="shared" si="70"/>
        <v>0</v>
      </c>
      <c r="AD145" s="27">
        <f t="shared" si="71"/>
        <v>0</v>
      </c>
      <c r="AE145" s="25">
        <f>IFERROR(_xlfn.XLOOKUP(N145&amp;P145,'Historico Vendas'!G:G,'Historico Vendas'!E:E),0)</f>
        <v>0</v>
      </c>
      <c r="AF145" s="29" t="str">
        <f t="shared" si="65"/>
        <v/>
      </c>
      <c r="AG145" s="24">
        <f>IFERROR(_xlfn.XLOOKUP(N145&amp;P145,'Historico Vendas'!G:G,'Historico Vendas'!F:F),0)</f>
        <v>0</v>
      </c>
      <c r="AH145" s="25">
        <f t="shared" si="61"/>
        <v>0</v>
      </c>
      <c r="AI145" s="24">
        <f t="shared" si="62"/>
        <v>0</v>
      </c>
      <c r="AJ145" s="11" t="str">
        <f t="shared" si="66"/>
        <v/>
      </c>
      <c r="AK145" s="9" t="s">
        <v>102</v>
      </c>
      <c r="AL145" s="13">
        <f>IFERROR(INDEX('Balizador da Meta'!$D$3:$F$23,MATCH(Quantidade!$P145,'Balizador da Meta'!$C$3:$C$23,0),MATCH(Quantidade!AK145,'Balizador da Meta'!$D$2:$F$2,0)),"")</f>
        <v>0.25</v>
      </c>
      <c r="AM145" s="9"/>
    </row>
    <row r="146" spans="1:39" x14ac:dyDescent="0.3">
      <c r="A146" s="2" t="str">
        <f t="shared" si="63"/>
        <v>NÃO</v>
      </c>
      <c r="B146" s="2" t="str">
        <f>_xlfn.XLOOKUP($N146,'Base de Grupos'!$A:$A,'Base de Grupos'!$D:$D)</f>
        <v>1000065763</v>
      </c>
      <c r="C146" s="5" t="str">
        <f>_xlfn.XLOOKUP($N146,'Base de Grupos'!$A:$A,'Base de Grupos'!$E:$E)</f>
        <v>CANAL VENDA INTERNA</v>
      </c>
      <c r="D146" s="5" t="str">
        <f>_xlfn.XLOOKUP($N146,'Base de Grupos'!$A:$A,'Base de Grupos'!$F:$F)</f>
        <v>1000065763</v>
      </c>
      <c r="E146" s="2" t="str">
        <f>_xlfn.XLOOKUP($N146,'Base de Grupos'!$A:$A,'Base de Grupos'!$G:$G)</f>
        <v>CANAL VENDA INTERNA</v>
      </c>
      <c r="F146" s="2" t="str">
        <f>_xlfn.XLOOKUP($N146,'Base de Grupos'!$A:$A,'Base de Grupos'!$H:$H)</f>
        <v>1000105900</v>
      </c>
      <c r="G146" s="5" t="str">
        <f>_xlfn.XLOOKUP($N146,'Base de Grupos'!$A:$A,'Base de Grupos'!$I:$I)</f>
        <v>REGIONAL VENDA DIRETA CO + NE + NO</v>
      </c>
      <c r="H146" s="5" t="str">
        <f>_xlfn.XLOOKUP($N146,'Base de Grupos'!$A:$A,'Base de Grupos'!$J:$J)</f>
        <v>1000105900</v>
      </c>
      <c r="I146" s="2" t="str">
        <f>_xlfn.XLOOKUP($N146,'Base de Grupos'!$A:$A,'Base de Grupos'!$K:$K)</f>
        <v>REGIONAL VENDA DIRETA CO + NE + NO</v>
      </c>
      <c r="J146" s="2" t="str">
        <f>_xlfn.XLOOKUP($N146,'Base de Grupos'!$A:$A,'Base de Grupos'!$L:$L)</f>
        <v>1000150135</v>
      </c>
      <c r="K146" s="5" t="str">
        <f>_xlfn.XLOOKUP($N146,'Base de Grupos'!$A:$A,'Base de Grupos'!$M:$M)</f>
        <v>HELDER DA SILVA BRUNKOW</v>
      </c>
      <c r="L146" s="5" t="str">
        <f t="shared" si="64"/>
        <v/>
      </c>
      <c r="M146" s="5" t="str">
        <f>_xlfn.XLOOKUP($N146,'Base de Grupos'!$A:$A,'Base de Grupos'!$C:$C)</f>
        <v>BA</v>
      </c>
      <c r="N146" s="3">
        <v>1331</v>
      </c>
      <c r="O146" s="4" t="s">
        <v>231</v>
      </c>
      <c r="P146" s="5" t="s">
        <v>93</v>
      </c>
      <c r="Q146" s="24">
        <v>0</v>
      </c>
      <c r="R146" s="24">
        <v>0</v>
      </c>
      <c r="S146" s="24">
        <v>0</v>
      </c>
      <c r="T146" s="24">
        <v>0</v>
      </c>
      <c r="U146" s="24">
        <v>0</v>
      </c>
      <c r="V146" s="24">
        <v>0</v>
      </c>
      <c r="W146" s="24">
        <v>0</v>
      </c>
      <c r="X146" s="24">
        <v>0</v>
      </c>
      <c r="Y146" s="24">
        <v>0</v>
      </c>
      <c r="Z146" s="24">
        <v>0</v>
      </c>
      <c r="AA146" s="24">
        <v>0</v>
      </c>
      <c r="AB146" s="24">
        <v>0</v>
      </c>
      <c r="AC146" s="30">
        <f t="shared" si="70"/>
        <v>0</v>
      </c>
      <c r="AD146" s="27">
        <f t="shared" si="71"/>
        <v>0</v>
      </c>
      <c r="AE146" s="25">
        <f>IFERROR(_xlfn.XLOOKUP(N146&amp;P146,'Historico Vendas'!G:G,'Historico Vendas'!E:E),0)</f>
        <v>0</v>
      </c>
      <c r="AF146" s="29" t="str">
        <f t="shared" si="65"/>
        <v/>
      </c>
      <c r="AG146" s="24">
        <f>IFERROR(_xlfn.XLOOKUP(N146&amp;P146,'Historico Vendas'!G:G,'Historico Vendas'!F:F),0)</f>
        <v>0</v>
      </c>
      <c r="AH146" s="25">
        <f t="shared" si="61"/>
        <v>0</v>
      </c>
      <c r="AI146" s="24">
        <f t="shared" si="62"/>
        <v>0</v>
      </c>
      <c r="AJ146" s="11" t="str">
        <f t="shared" si="66"/>
        <v/>
      </c>
      <c r="AK146" s="9" t="s">
        <v>102</v>
      </c>
      <c r="AL146" s="13">
        <f>IFERROR(INDEX('Balizador da Meta'!$D$3:$F$23,MATCH(Quantidade!$P146,'Balizador da Meta'!$C$3:$C$23,0),MATCH(Quantidade!AK146,'Balizador da Meta'!$D$2:$F$2,0)),"")</f>
        <v>0.2</v>
      </c>
      <c r="AM146" s="9"/>
    </row>
    <row r="147" spans="1:39" x14ac:dyDescent="0.3">
      <c r="A147" s="2" t="str">
        <f t="shared" si="63"/>
        <v>SIM</v>
      </c>
      <c r="B147" s="2" t="str">
        <f>_xlfn.XLOOKUP($N147,'Base de Grupos'!$A:$A,'Base de Grupos'!$D:$D)</f>
        <v>1000065763</v>
      </c>
      <c r="C147" s="5" t="str">
        <f>_xlfn.XLOOKUP($N147,'Base de Grupos'!$A:$A,'Base de Grupos'!$E:$E)</f>
        <v>CANAL VENDA INTERNA</v>
      </c>
      <c r="D147" s="5" t="str">
        <f>_xlfn.XLOOKUP($N147,'Base de Grupos'!$A:$A,'Base de Grupos'!$F:$F)</f>
        <v>1000065763</v>
      </c>
      <c r="E147" s="2" t="str">
        <f>_xlfn.XLOOKUP($N147,'Base de Grupos'!$A:$A,'Base de Grupos'!$G:$G)</f>
        <v>CANAL VENDA INTERNA</v>
      </c>
      <c r="F147" s="2" t="str">
        <f>_xlfn.XLOOKUP($N147,'Base de Grupos'!$A:$A,'Base de Grupos'!$H:$H)</f>
        <v>1000105900</v>
      </c>
      <c r="G147" s="5" t="str">
        <f>_xlfn.XLOOKUP($N147,'Base de Grupos'!$A:$A,'Base de Grupos'!$I:$I)</f>
        <v>REGIONAL VENDA DIRETA CO + NE + NO</v>
      </c>
      <c r="H147" s="5" t="str">
        <f>_xlfn.XLOOKUP($N147,'Base de Grupos'!$A:$A,'Base de Grupos'!$J:$J)</f>
        <v>1000105900</v>
      </c>
      <c r="I147" s="2" t="str">
        <f>_xlfn.XLOOKUP($N147,'Base de Grupos'!$A:$A,'Base de Grupos'!$K:$K)</f>
        <v>REGIONAL VENDA DIRETA CO + NE + NO</v>
      </c>
      <c r="J147" s="2" t="str">
        <f>_xlfn.XLOOKUP($N147,'Base de Grupos'!$A:$A,'Base de Grupos'!$L:$L)</f>
        <v>1000150135</v>
      </c>
      <c r="K147" s="5" t="str">
        <f>_xlfn.XLOOKUP($N147,'Base de Grupos'!$A:$A,'Base de Grupos'!$M:$M)</f>
        <v>HELDER DA SILVA BRUNKOW</v>
      </c>
      <c r="L147" s="5">
        <f t="shared" si="64"/>
        <v>1</v>
      </c>
      <c r="M147" s="5" t="str">
        <f>_xlfn.XLOOKUP($N147,'Base de Grupos'!$A:$A,'Base de Grupos'!$C:$C)</f>
        <v>MA</v>
      </c>
      <c r="N147" s="3">
        <v>1332</v>
      </c>
      <c r="O147" s="4" t="s">
        <v>232</v>
      </c>
      <c r="P147" s="5" t="s">
        <v>302</v>
      </c>
      <c r="Q147" s="24">
        <v>0</v>
      </c>
      <c r="R147" s="24">
        <v>0</v>
      </c>
      <c r="S147" s="24">
        <v>0</v>
      </c>
      <c r="T147" s="24">
        <v>0</v>
      </c>
      <c r="U147" s="24">
        <v>0</v>
      </c>
      <c r="V147" s="24">
        <v>0</v>
      </c>
      <c r="W147" s="24">
        <v>0</v>
      </c>
      <c r="X147" s="24">
        <v>0</v>
      </c>
      <c r="Y147" s="24">
        <v>0</v>
      </c>
      <c r="Z147" s="24">
        <v>0</v>
      </c>
      <c r="AA147" s="24">
        <v>0</v>
      </c>
      <c r="AB147" s="24">
        <v>0</v>
      </c>
      <c r="AC147" s="30">
        <f t="shared" si="70"/>
        <v>0</v>
      </c>
      <c r="AD147" s="25">
        <f t="shared" ref="AD147:AI147" si="72">SUM(AD148:AD164)</f>
        <v>0</v>
      </c>
      <c r="AE147" s="25">
        <f t="shared" si="72"/>
        <v>0</v>
      </c>
      <c r="AF147" s="11" t="str">
        <f t="shared" si="65"/>
        <v/>
      </c>
      <c r="AG147" s="24">
        <f t="shared" si="72"/>
        <v>0</v>
      </c>
      <c r="AH147" s="25">
        <f t="shared" si="72"/>
        <v>0</v>
      </c>
      <c r="AI147" s="24">
        <f t="shared" si="72"/>
        <v>0</v>
      </c>
      <c r="AJ147" s="11" t="str">
        <f t="shared" si="66"/>
        <v/>
      </c>
      <c r="AK147" s="9"/>
      <c r="AL147" s="13"/>
      <c r="AM147" s="9"/>
    </row>
    <row r="148" spans="1:39" x14ac:dyDescent="0.3">
      <c r="A148" s="2" t="str">
        <f t="shared" si="63"/>
        <v>NÃO</v>
      </c>
      <c r="B148" s="2" t="str">
        <f>_xlfn.XLOOKUP($N148,'Base de Grupos'!$A:$A,'Base de Grupos'!$D:$D)</f>
        <v>1000065763</v>
      </c>
      <c r="C148" s="5" t="str">
        <f>_xlfn.XLOOKUP($N148,'Base de Grupos'!$A:$A,'Base de Grupos'!$E:$E)</f>
        <v>CANAL VENDA INTERNA</v>
      </c>
      <c r="D148" s="5" t="str">
        <f>_xlfn.XLOOKUP($N148,'Base de Grupos'!$A:$A,'Base de Grupos'!$F:$F)</f>
        <v>1000065763</v>
      </c>
      <c r="E148" s="2" t="str">
        <f>_xlfn.XLOOKUP($N148,'Base de Grupos'!$A:$A,'Base de Grupos'!$G:$G)</f>
        <v>CANAL VENDA INTERNA</v>
      </c>
      <c r="F148" s="2" t="str">
        <f>_xlfn.XLOOKUP($N148,'Base de Grupos'!$A:$A,'Base de Grupos'!$H:$H)</f>
        <v>1000105900</v>
      </c>
      <c r="G148" s="5" t="str">
        <f>_xlfn.XLOOKUP($N148,'Base de Grupos'!$A:$A,'Base de Grupos'!$I:$I)</f>
        <v>REGIONAL VENDA DIRETA CO + NE + NO</v>
      </c>
      <c r="H148" s="5" t="str">
        <f>_xlfn.XLOOKUP($N148,'Base de Grupos'!$A:$A,'Base de Grupos'!$J:$J)</f>
        <v>1000105900</v>
      </c>
      <c r="I148" s="2" t="str">
        <f>_xlfn.XLOOKUP($N148,'Base de Grupos'!$A:$A,'Base de Grupos'!$K:$K)</f>
        <v>REGIONAL VENDA DIRETA CO + NE + NO</v>
      </c>
      <c r="J148" s="2" t="str">
        <f>_xlfn.XLOOKUP($N148,'Base de Grupos'!$A:$A,'Base de Grupos'!$L:$L)</f>
        <v>1000150135</v>
      </c>
      <c r="K148" s="5" t="str">
        <f>_xlfn.XLOOKUP($N148,'Base de Grupos'!$A:$A,'Base de Grupos'!$M:$M)</f>
        <v>HELDER DA SILVA BRUNKOW</v>
      </c>
      <c r="L148" s="5" t="str">
        <f t="shared" si="64"/>
        <v/>
      </c>
      <c r="M148" s="5" t="str">
        <f>_xlfn.XLOOKUP($N148,'Base de Grupos'!$A:$A,'Base de Grupos'!$C:$C)</f>
        <v>MA</v>
      </c>
      <c r="N148" s="3">
        <v>1332</v>
      </c>
      <c r="O148" s="4" t="s">
        <v>232</v>
      </c>
      <c r="P148" s="5" t="s">
        <v>81</v>
      </c>
      <c r="Q148" s="24">
        <v>0</v>
      </c>
      <c r="R148" s="24">
        <v>0</v>
      </c>
      <c r="S148" s="24">
        <v>0</v>
      </c>
      <c r="T148" s="24">
        <v>0</v>
      </c>
      <c r="U148" s="24">
        <v>0</v>
      </c>
      <c r="V148" s="24">
        <v>0</v>
      </c>
      <c r="W148" s="24">
        <v>0</v>
      </c>
      <c r="X148" s="24">
        <v>0</v>
      </c>
      <c r="Y148" s="24">
        <v>0</v>
      </c>
      <c r="Z148" s="24">
        <v>0</v>
      </c>
      <c r="AA148" s="24">
        <v>0</v>
      </c>
      <c r="AB148" s="24">
        <v>0</v>
      </c>
      <c r="AC148" s="30">
        <f t="shared" si="70"/>
        <v>0</v>
      </c>
      <c r="AD148" s="27">
        <f t="shared" ref="AD148:AD164" si="73">IF(AC148=0,0,AC148-AG148)</f>
        <v>0</v>
      </c>
      <c r="AE148" s="25">
        <f>IFERROR(_xlfn.XLOOKUP(N148&amp;P148,'Historico Vendas'!G:G,'Historico Vendas'!E:E),0)</f>
        <v>0</v>
      </c>
      <c r="AF148" s="29" t="str">
        <f t="shared" si="65"/>
        <v/>
      </c>
      <c r="AG148" s="24">
        <f>IFERROR(_xlfn.XLOOKUP(N148&amp;P148,'Historico Vendas'!G:G,'Historico Vendas'!F:F),0)</f>
        <v>0</v>
      </c>
      <c r="AH148" s="25">
        <f t="shared" ref="AH148:AH164" si="74">SUM(Q148:S148)</f>
        <v>0</v>
      </c>
      <c r="AI148" s="24">
        <f t="shared" ref="AI148:AI164" si="75">AH148-AG148</f>
        <v>0</v>
      </c>
      <c r="AJ148" s="11" t="str">
        <f t="shared" si="66"/>
        <v/>
      </c>
      <c r="AK148" s="9" t="s">
        <v>102</v>
      </c>
      <c r="AL148" s="13">
        <f>IFERROR(INDEX('Balizador da Meta'!$D$3:$F$23,MATCH(Quantidade!$P148,'Balizador da Meta'!$C$3:$C$23,0),MATCH(Quantidade!AK148,'Balizador da Meta'!$D$2:$F$2,0)),"")</f>
        <v>0.2</v>
      </c>
      <c r="AM148" s="9"/>
    </row>
    <row r="149" spans="1:39" x14ac:dyDescent="0.3">
      <c r="A149" s="2" t="str">
        <f t="shared" si="63"/>
        <v>NÃO</v>
      </c>
      <c r="B149" s="2" t="str">
        <f>_xlfn.XLOOKUP($N149,'Base de Grupos'!$A:$A,'Base de Grupos'!$D:$D)</f>
        <v>1000065763</v>
      </c>
      <c r="C149" s="5" t="str">
        <f>_xlfn.XLOOKUP($N149,'Base de Grupos'!$A:$A,'Base de Grupos'!$E:$E)</f>
        <v>CANAL VENDA INTERNA</v>
      </c>
      <c r="D149" s="5" t="str">
        <f>_xlfn.XLOOKUP($N149,'Base de Grupos'!$A:$A,'Base de Grupos'!$F:$F)</f>
        <v>1000065763</v>
      </c>
      <c r="E149" s="2" t="str">
        <f>_xlfn.XLOOKUP($N149,'Base de Grupos'!$A:$A,'Base de Grupos'!$G:$G)</f>
        <v>CANAL VENDA INTERNA</v>
      </c>
      <c r="F149" s="2" t="str">
        <f>_xlfn.XLOOKUP($N149,'Base de Grupos'!$A:$A,'Base de Grupos'!$H:$H)</f>
        <v>1000105900</v>
      </c>
      <c r="G149" s="5" t="str">
        <f>_xlfn.XLOOKUP($N149,'Base de Grupos'!$A:$A,'Base de Grupos'!$I:$I)</f>
        <v>REGIONAL VENDA DIRETA CO + NE + NO</v>
      </c>
      <c r="H149" s="5" t="str">
        <f>_xlfn.XLOOKUP($N149,'Base de Grupos'!$A:$A,'Base de Grupos'!$J:$J)</f>
        <v>1000105900</v>
      </c>
      <c r="I149" s="2" t="str">
        <f>_xlfn.XLOOKUP($N149,'Base de Grupos'!$A:$A,'Base de Grupos'!$K:$K)</f>
        <v>REGIONAL VENDA DIRETA CO + NE + NO</v>
      </c>
      <c r="J149" s="2" t="str">
        <f>_xlfn.XLOOKUP($N149,'Base de Grupos'!$A:$A,'Base de Grupos'!$L:$L)</f>
        <v>1000150135</v>
      </c>
      <c r="K149" s="5" t="str">
        <f>_xlfn.XLOOKUP($N149,'Base de Grupos'!$A:$A,'Base de Grupos'!$M:$M)</f>
        <v>HELDER DA SILVA BRUNKOW</v>
      </c>
      <c r="L149" s="5" t="str">
        <f t="shared" si="64"/>
        <v/>
      </c>
      <c r="M149" s="5" t="str">
        <f>_xlfn.XLOOKUP($N149,'Base de Grupos'!$A:$A,'Base de Grupos'!$C:$C)</f>
        <v>MA</v>
      </c>
      <c r="N149" s="3">
        <v>1332</v>
      </c>
      <c r="O149" s="4" t="s">
        <v>232</v>
      </c>
      <c r="P149" s="5" t="s">
        <v>82</v>
      </c>
      <c r="Q149" s="24">
        <v>0</v>
      </c>
      <c r="R149" s="24">
        <v>0</v>
      </c>
      <c r="S149" s="24">
        <v>0</v>
      </c>
      <c r="T149" s="24">
        <v>0</v>
      </c>
      <c r="U149" s="24">
        <v>0</v>
      </c>
      <c r="V149" s="24">
        <v>0</v>
      </c>
      <c r="W149" s="24">
        <v>0</v>
      </c>
      <c r="X149" s="24">
        <v>0</v>
      </c>
      <c r="Y149" s="24">
        <v>0</v>
      </c>
      <c r="Z149" s="24">
        <v>0</v>
      </c>
      <c r="AA149" s="24">
        <v>0</v>
      </c>
      <c r="AB149" s="24">
        <v>0</v>
      </c>
      <c r="AC149" s="30">
        <f t="shared" si="70"/>
        <v>0</v>
      </c>
      <c r="AD149" s="27">
        <f t="shared" si="73"/>
        <v>0</v>
      </c>
      <c r="AE149" s="25">
        <f>IFERROR(_xlfn.XLOOKUP(N149&amp;P149,'Historico Vendas'!G:G,'Historico Vendas'!E:E),0)</f>
        <v>0</v>
      </c>
      <c r="AF149" s="29" t="str">
        <f t="shared" si="65"/>
        <v/>
      </c>
      <c r="AG149" s="24">
        <f>IFERROR(_xlfn.XLOOKUP(N149&amp;P149,'Historico Vendas'!G:G,'Historico Vendas'!F:F),0)</f>
        <v>0</v>
      </c>
      <c r="AH149" s="25">
        <f t="shared" si="74"/>
        <v>0</v>
      </c>
      <c r="AI149" s="24">
        <f t="shared" si="75"/>
        <v>0</v>
      </c>
      <c r="AJ149" s="11" t="str">
        <f t="shared" si="66"/>
        <v/>
      </c>
      <c r="AK149" s="9" t="s">
        <v>102</v>
      </c>
      <c r="AL149" s="13">
        <f>IFERROR(INDEX('Balizador da Meta'!$D$3:$F$23,MATCH(Quantidade!$P149,'Balizador da Meta'!$C$3:$C$23,0),MATCH(Quantidade!AK149,'Balizador da Meta'!$D$2:$F$2,0)),"")</f>
        <v>0.2</v>
      </c>
      <c r="AM149" s="9"/>
    </row>
    <row r="150" spans="1:39" x14ac:dyDescent="0.3">
      <c r="A150" s="2" t="str">
        <f t="shared" si="63"/>
        <v>NÃO</v>
      </c>
      <c r="B150" s="2" t="str">
        <f>_xlfn.XLOOKUP($N150,'Base de Grupos'!$A:$A,'Base de Grupos'!$D:$D)</f>
        <v>1000065763</v>
      </c>
      <c r="C150" s="5" t="str">
        <f>_xlfn.XLOOKUP($N150,'Base de Grupos'!$A:$A,'Base de Grupos'!$E:$E)</f>
        <v>CANAL VENDA INTERNA</v>
      </c>
      <c r="D150" s="5" t="str">
        <f>_xlfn.XLOOKUP($N150,'Base de Grupos'!$A:$A,'Base de Grupos'!$F:$F)</f>
        <v>1000065763</v>
      </c>
      <c r="E150" s="2" t="str">
        <f>_xlfn.XLOOKUP($N150,'Base de Grupos'!$A:$A,'Base de Grupos'!$G:$G)</f>
        <v>CANAL VENDA INTERNA</v>
      </c>
      <c r="F150" s="2" t="str">
        <f>_xlfn.XLOOKUP($N150,'Base de Grupos'!$A:$A,'Base de Grupos'!$H:$H)</f>
        <v>1000105900</v>
      </c>
      <c r="G150" s="5" t="str">
        <f>_xlfn.XLOOKUP($N150,'Base de Grupos'!$A:$A,'Base de Grupos'!$I:$I)</f>
        <v>REGIONAL VENDA DIRETA CO + NE + NO</v>
      </c>
      <c r="H150" s="5" t="str">
        <f>_xlfn.XLOOKUP($N150,'Base de Grupos'!$A:$A,'Base de Grupos'!$J:$J)</f>
        <v>1000105900</v>
      </c>
      <c r="I150" s="2" t="str">
        <f>_xlfn.XLOOKUP($N150,'Base de Grupos'!$A:$A,'Base de Grupos'!$K:$K)</f>
        <v>REGIONAL VENDA DIRETA CO + NE + NO</v>
      </c>
      <c r="J150" s="2" t="str">
        <f>_xlfn.XLOOKUP($N150,'Base de Grupos'!$A:$A,'Base de Grupos'!$L:$L)</f>
        <v>1000150135</v>
      </c>
      <c r="K150" s="5" t="str">
        <f>_xlfn.XLOOKUP($N150,'Base de Grupos'!$A:$A,'Base de Grupos'!$M:$M)</f>
        <v>HELDER DA SILVA BRUNKOW</v>
      </c>
      <c r="L150" s="5" t="str">
        <f t="shared" si="64"/>
        <v/>
      </c>
      <c r="M150" s="5" t="str">
        <f>_xlfn.XLOOKUP($N150,'Base de Grupos'!$A:$A,'Base de Grupos'!$C:$C)</f>
        <v>MA</v>
      </c>
      <c r="N150" s="3">
        <v>1332</v>
      </c>
      <c r="O150" s="4" t="s">
        <v>232</v>
      </c>
      <c r="P150" s="5" t="s">
        <v>84</v>
      </c>
      <c r="Q150" s="24">
        <v>0</v>
      </c>
      <c r="R150" s="24">
        <v>0</v>
      </c>
      <c r="S150" s="24">
        <v>0</v>
      </c>
      <c r="T150" s="24">
        <v>0</v>
      </c>
      <c r="U150" s="24">
        <v>0</v>
      </c>
      <c r="V150" s="24">
        <v>0</v>
      </c>
      <c r="W150" s="24">
        <v>0</v>
      </c>
      <c r="X150" s="24">
        <v>0</v>
      </c>
      <c r="Y150" s="24">
        <v>0</v>
      </c>
      <c r="Z150" s="24">
        <v>0</v>
      </c>
      <c r="AA150" s="24">
        <v>0</v>
      </c>
      <c r="AB150" s="24">
        <v>0</v>
      </c>
      <c r="AC150" s="30">
        <f t="shared" si="70"/>
        <v>0</v>
      </c>
      <c r="AD150" s="27">
        <f t="shared" si="73"/>
        <v>0</v>
      </c>
      <c r="AE150" s="25">
        <f>IFERROR(_xlfn.XLOOKUP(N150&amp;P150,'Historico Vendas'!G:G,'Historico Vendas'!E:E),0)</f>
        <v>0</v>
      </c>
      <c r="AF150" s="29" t="str">
        <f t="shared" si="65"/>
        <v/>
      </c>
      <c r="AG150" s="24">
        <f>IFERROR(_xlfn.XLOOKUP(N150&amp;P150,'Historico Vendas'!G:G,'Historico Vendas'!F:F),0)</f>
        <v>0</v>
      </c>
      <c r="AH150" s="25">
        <f t="shared" si="74"/>
        <v>0</v>
      </c>
      <c r="AI150" s="24">
        <f t="shared" si="75"/>
        <v>0</v>
      </c>
      <c r="AJ150" s="11" t="str">
        <f t="shared" si="66"/>
        <v/>
      </c>
      <c r="AK150" s="9" t="s">
        <v>102</v>
      </c>
      <c r="AL150" s="13">
        <f>IFERROR(INDEX('Balizador da Meta'!$D$3:$F$23,MATCH(Quantidade!$P150,'Balizador da Meta'!$C$3:$C$23,0),MATCH(Quantidade!AK150,'Balizador da Meta'!$D$2:$F$2,0)),"")</f>
        <v>0.15</v>
      </c>
      <c r="AM150" s="9"/>
    </row>
    <row r="151" spans="1:39" x14ac:dyDescent="0.3">
      <c r="A151" s="2" t="str">
        <f t="shared" si="63"/>
        <v>NÃO</v>
      </c>
      <c r="B151" s="2" t="str">
        <f>_xlfn.XLOOKUP($N151,'Base de Grupos'!$A:$A,'Base de Grupos'!$D:$D)</f>
        <v>1000065763</v>
      </c>
      <c r="C151" s="5" t="str">
        <f>_xlfn.XLOOKUP($N151,'Base de Grupos'!$A:$A,'Base de Grupos'!$E:$E)</f>
        <v>CANAL VENDA INTERNA</v>
      </c>
      <c r="D151" s="5" t="str">
        <f>_xlfn.XLOOKUP($N151,'Base de Grupos'!$A:$A,'Base de Grupos'!$F:$F)</f>
        <v>1000065763</v>
      </c>
      <c r="E151" s="2" t="str">
        <f>_xlfn.XLOOKUP($N151,'Base de Grupos'!$A:$A,'Base de Grupos'!$G:$G)</f>
        <v>CANAL VENDA INTERNA</v>
      </c>
      <c r="F151" s="2" t="str">
        <f>_xlfn.XLOOKUP($N151,'Base de Grupos'!$A:$A,'Base de Grupos'!$H:$H)</f>
        <v>1000105900</v>
      </c>
      <c r="G151" s="5" t="str">
        <f>_xlfn.XLOOKUP($N151,'Base de Grupos'!$A:$A,'Base de Grupos'!$I:$I)</f>
        <v>REGIONAL VENDA DIRETA CO + NE + NO</v>
      </c>
      <c r="H151" s="5" t="str">
        <f>_xlfn.XLOOKUP($N151,'Base de Grupos'!$A:$A,'Base de Grupos'!$J:$J)</f>
        <v>1000105900</v>
      </c>
      <c r="I151" s="2" t="str">
        <f>_xlfn.XLOOKUP($N151,'Base de Grupos'!$A:$A,'Base de Grupos'!$K:$K)</f>
        <v>REGIONAL VENDA DIRETA CO + NE + NO</v>
      </c>
      <c r="J151" s="2" t="str">
        <f>_xlfn.XLOOKUP($N151,'Base de Grupos'!$A:$A,'Base de Grupos'!$L:$L)</f>
        <v>1000150135</v>
      </c>
      <c r="K151" s="5" t="str">
        <f>_xlfn.XLOOKUP($N151,'Base de Grupos'!$A:$A,'Base de Grupos'!$M:$M)</f>
        <v>HELDER DA SILVA BRUNKOW</v>
      </c>
      <c r="L151" s="5" t="str">
        <f t="shared" si="64"/>
        <v/>
      </c>
      <c r="M151" s="5" t="str">
        <f>_xlfn.XLOOKUP($N151,'Base de Grupos'!$A:$A,'Base de Grupos'!$C:$C)</f>
        <v>MA</v>
      </c>
      <c r="N151" s="3">
        <v>1332</v>
      </c>
      <c r="O151" s="4" t="s">
        <v>232</v>
      </c>
      <c r="P151" s="5" t="s">
        <v>83</v>
      </c>
      <c r="Q151" s="24">
        <v>0</v>
      </c>
      <c r="R151" s="24">
        <v>0</v>
      </c>
      <c r="S151" s="24">
        <v>0</v>
      </c>
      <c r="T151" s="24">
        <v>0</v>
      </c>
      <c r="U151" s="24">
        <v>0</v>
      </c>
      <c r="V151" s="24">
        <v>0</v>
      </c>
      <c r="W151" s="24">
        <v>0</v>
      </c>
      <c r="X151" s="24">
        <v>0</v>
      </c>
      <c r="Y151" s="24">
        <v>0</v>
      </c>
      <c r="Z151" s="24">
        <v>0</v>
      </c>
      <c r="AA151" s="24">
        <v>0</v>
      </c>
      <c r="AB151" s="24">
        <v>0</v>
      </c>
      <c r="AC151" s="30">
        <f t="shared" si="70"/>
        <v>0</v>
      </c>
      <c r="AD151" s="27">
        <f t="shared" si="73"/>
        <v>0</v>
      </c>
      <c r="AE151" s="25">
        <f>IFERROR(_xlfn.XLOOKUP(N151&amp;P151,'Historico Vendas'!G:G,'Historico Vendas'!E:E),0)</f>
        <v>0</v>
      </c>
      <c r="AF151" s="29" t="str">
        <f t="shared" si="65"/>
        <v/>
      </c>
      <c r="AG151" s="24">
        <f>IFERROR(_xlfn.XLOOKUP(N151&amp;P151,'Historico Vendas'!G:G,'Historico Vendas'!F:F),0)</f>
        <v>0</v>
      </c>
      <c r="AH151" s="25">
        <f t="shared" si="74"/>
        <v>0</v>
      </c>
      <c r="AI151" s="24">
        <f t="shared" si="75"/>
        <v>0</v>
      </c>
      <c r="AJ151" s="11" t="str">
        <f t="shared" si="66"/>
        <v/>
      </c>
      <c r="AK151" s="9" t="s">
        <v>102</v>
      </c>
      <c r="AL151" s="13">
        <f>IFERROR(INDEX('Balizador da Meta'!$D$3:$F$23,MATCH(Quantidade!$P151,'Balizador da Meta'!$C$3:$C$23,0),MATCH(Quantidade!AK151,'Balizador da Meta'!$D$2:$F$2,0)),"")</f>
        <v>0</v>
      </c>
      <c r="AM151" s="9"/>
    </row>
    <row r="152" spans="1:39" x14ac:dyDescent="0.3">
      <c r="A152" s="2" t="str">
        <f t="shared" si="63"/>
        <v>NÃO</v>
      </c>
      <c r="B152" s="2" t="str">
        <f>_xlfn.XLOOKUP($N152,'Base de Grupos'!$A:$A,'Base de Grupos'!$D:$D)</f>
        <v>1000065763</v>
      </c>
      <c r="C152" s="5" t="str">
        <f>_xlfn.XLOOKUP($N152,'Base de Grupos'!$A:$A,'Base de Grupos'!$E:$E)</f>
        <v>CANAL VENDA INTERNA</v>
      </c>
      <c r="D152" s="5" t="str">
        <f>_xlfn.XLOOKUP($N152,'Base de Grupos'!$A:$A,'Base de Grupos'!$F:$F)</f>
        <v>1000065763</v>
      </c>
      <c r="E152" s="2" t="str">
        <f>_xlfn.XLOOKUP($N152,'Base de Grupos'!$A:$A,'Base de Grupos'!$G:$G)</f>
        <v>CANAL VENDA INTERNA</v>
      </c>
      <c r="F152" s="2" t="str">
        <f>_xlfn.XLOOKUP($N152,'Base de Grupos'!$A:$A,'Base de Grupos'!$H:$H)</f>
        <v>1000105900</v>
      </c>
      <c r="G152" s="5" t="str">
        <f>_xlfn.XLOOKUP($N152,'Base de Grupos'!$A:$A,'Base de Grupos'!$I:$I)</f>
        <v>REGIONAL VENDA DIRETA CO + NE + NO</v>
      </c>
      <c r="H152" s="5" t="str">
        <f>_xlfn.XLOOKUP($N152,'Base de Grupos'!$A:$A,'Base de Grupos'!$J:$J)</f>
        <v>1000105900</v>
      </c>
      <c r="I152" s="2" t="str">
        <f>_xlfn.XLOOKUP($N152,'Base de Grupos'!$A:$A,'Base de Grupos'!$K:$K)</f>
        <v>REGIONAL VENDA DIRETA CO + NE + NO</v>
      </c>
      <c r="J152" s="2" t="str">
        <f>_xlfn.XLOOKUP($N152,'Base de Grupos'!$A:$A,'Base de Grupos'!$L:$L)</f>
        <v>1000150135</v>
      </c>
      <c r="K152" s="5" t="str">
        <f>_xlfn.XLOOKUP($N152,'Base de Grupos'!$A:$A,'Base de Grupos'!$M:$M)</f>
        <v>HELDER DA SILVA BRUNKOW</v>
      </c>
      <c r="L152" s="5" t="str">
        <f t="shared" si="64"/>
        <v/>
      </c>
      <c r="M152" s="5" t="str">
        <f>_xlfn.XLOOKUP($N152,'Base de Grupos'!$A:$A,'Base de Grupos'!$C:$C)</f>
        <v>MA</v>
      </c>
      <c r="N152" s="3">
        <v>1332</v>
      </c>
      <c r="O152" s="4" t="s">
        <v>232</v>
      </c>
      <c r="P152" s="5" t="s">
        <v>87</v>
      </c>
      <c r="Q152" s="24">
        <v>0</v>
      </c>
      <c r="R152" s="24">
        <v>0</v>
      </c>
      <c r="S152" s="24">
        <v>0</v>
      </c>
      <c r="T152" s="24">
        <v>0</v>
      </c>
      <c r="U152" s="24">
        <v>0</v>
      </c>
      <c r="V152" s="24">
        <v>0</v>
      </c>
      <c r="W152" s="24">
        <v>0</v>
      </c>
      <c r="X152" s="24">
        <v>0</v>
      </c>
      <c r="Y152" s="24">
        <v>0</v>
      </c>
      <c r="Z152" s="24">
        <v>0</v>
      </c>
      <c r="AA152" s="24">
        <v>0</v>
      </c>
      <c r="AB152" s="24">
        <v>0</v>
      </c>
      <c r="AC152" s="30">
        <f t="shared" si="70"/>
        <v>0</v>
      </c>
      <c r="AD152" s="27">
        <f t="shared" si="73"/>
        <v>0</v>
      </c>
      <c r="AE152" s="25">
        <f>IFERROR(_xlfn.XLOOKUP(N152&amp;P152,'Historico Vendas'!G:G,'Historico Vendas'!E:E),0)</f>
        <v>0</v>
      </c>
      <c r="AF152" s="29" t="str">
        <f t="shared" si="65"/>
        <v/>
      </c>
      <c r="AG152" s="24">
        <f>IFERROR(_xlfn.XLOOKUP(N152&amp;P152,'Historico Vendas'!G:G,'Historico Vendas'!F:F),0)</f>
        <v>0</v>
      </c>
      <c r="AH152" s="25">
        <f t="shared" si="74"/>
        <v>0</v>
      </c>
      <c r="AI152" s="24">
        <f t="shared" si="75"/>
        <v>0</v>
      </c>
      <c r="AJ152" s="11" t="str">
        <f t="shared" si="66"/>
        <v/>
      </c>
      <c r="AK152" s="9" t="s">
        <v>102</v>
      </c>
      <c r="AL152" s="13">
        <f>IFERROR(INDEX('Balizador da Meta'!$D$3:$F$23,MATCH(Quantidade!$P152,'Balizador da Meta'!$C$3:$C$23,0),MATCH(Quantidade!AK152,'Balizador da Meta'!$D$2:$F$2,0)),"")</f>
        <v>0</v>
      </c>
      <c r="AM152" s="9"/>
    </row>
    <row r="153" spans="1:39" x14ac:dyDescent="0.3">
      <c r="A153" s="2" t="str">
        <f t="shared" si="63"/>
        <v>NÃO</v>
      </c>
      <c r="B153" s="2" t="str">
        <f>_xlfn.XLOOKUP($N153,'Base de Grupos'!$A:$A,'Base de Grupos'!$D:$D)</f>
        <v>1000065763</v>
      </c>
      <c r="C153" s="5" t="str">
        <f>_xlfn.XLOOKUP($N153,'Base de Grupos'!$A:$A,'Base de Grupos'!$E:$E)</f>
        <v>CANAL VENDA INTERNA</v>
      </c>
      <c r="D153" s="5" t="str">
        <f>_xlfn.XLOOKUP($N153,'Base de Grupos'!$A:$A,'Base de Grupos'!$F:$F)</f>
        <v>1000065763</v>
      </c>
      <c r="E153" s="2" t="str">
        <f>_xlfn.XLOOKUP($N153,'Base de Grupos'!$A:$A,'Base de Grupos'!$G:$G)</f>
        <v>CANAL VENDA INTERNA</v>
      </c>
      <c r="F153" s="2" t="str">
        <f>_xlfn.XLOOKUP($N153,'Base de Grupos'!$A:$A,'Base de Grupos'!$H:$H)</f>
        <v>1000105900</v>
      </c>
      <c r="G153" s="5" t="str">
        <f>_xlfn.XLOOKUP($N153,'Base de Grupos'!$A:$A,'Base de Grupos'!$I:$I)</f>
        <v>REGIONAL VENDA DIRETA CO + NE + NO</v>
      </c>
      <c r="H153" s="5" t="str">
        <f>_xlfn.XLOOKUP($N153,'Base de Grupos'!$A:$A,'Base de Grupos'!$J:$J)</f>
        <v>1000105900</v>
      </c>
      <c r="I153" s="2" t="str">
        <f>_xlfn.XLOOKUP($N153,'Base de Grupos'!$A:$A,'Base de Grupos'!$K:$K)</f>
        <v>REGIONAL VENDA DIRETA CO + NE + NO</v>
      </c>
      <c r="J153" s="2" t="str">
        <f>_xlfn.XLOOKUP($N153,'Base de Grupos'!$A:$A,'Base de Grupos'!$L:$L)</f>
        <v>1000150135</v>
      </c>
      <c r="K153" s="5" t="str">
        <f>_xlfn.XLOOKUP($N153,'Base de Grupos'!$A:$A,'Base de Grupos'!$M:$M)</f>
        <v>HELDER DA SILVA BRUNKOW</v>
      </c>
      <c r="L153" s="5" t="str">
        <f t="shared" si="64"/>
        <v/>
      </c>
      <c r="M153" s="5" t="str">
        <f>_xlfn.XLOOKUP($N153,'Base de Grupos'!$A:$A,'Base de Grupos'!$C:$C)</f>
        <v>MA</v>
      </c>
      <c r="N153" s="3">
        <v>1332</v>
      </c>
      <c r="O153" s="4" t="s">
        <v>232</v>
      </c>
      <c r="P153" s="5" t="s">
        <v>85</v>
      </c>
      <c r="Q153" s="24">
        <v>0</v>
      </c>
      <c r="R153" s="24">
        <v>0</v>
      </c>
      <c r="S153" s="24">
        <v>0</v>
      </c>
      <c r="T153" s="24">
        <v>0</v>
      </c>
      <c r="U153" s="24">
        <v>0</v>
      </c>
      <c r="V153" s="24">
        <v>0</v>
      </c>
      <c r="W153" s="24">
        <v>0</v>
      </c>
      <c r="X153" s="24">
        <v>0</v>
      </c>
      <c r="Y153" s="24">
        <v>0</v>
      </c>
      <c r="Z153" s="24">
        <v>0</v>
      </c>
      <c r="AA153" s="24">
        <v>0</v>
      </c>
      <c r="AB153" s="24">
        <v>0</v>
      </c>
      <c r="AC153" s="30">
        <f t="shared" si="70"/>
        <v>0</v>
      </c>
      <c r="AD153" s="27">
        <f t="shared" si="73"/>
        <v>0</v>
      </c>
      <c r="AE153" s="25">
        <f>IFERROR(_xlfn.XLOOKUP(N153&amp;P153,'Historico Vendas'!G:G,'Historico Vendas'!E:E),0)</f>
        <v>0</v>
      </c>
      <c r="AF153" s="29" t="str">
        <f t="shared" si="65"/>
        <v/>
      </c>
      <c r="AG153" s="24">
        <f>IFERROR(_xlfn.XLOOKUP(N153&amp;P153,'Historico Vendas'!G:G,'Historico Vendas'!F:F),0)</f>
        <v>0</v>
      </c>
      <c r="AH153" s="25">
        <f t="shared" si="74"/>
        <v>0</v>
      </c>
      <c r="AI153" s="24">
        <f t="shared" si="75"/>
        <v>0</v>
      </c>
      <c r="AJ153" s="11" t="str">
        <f t="shared" si="66"/>
        <v/>
      </c>
      <c r="AK153" s="9" t="s">
        <v>102</v>
      </c>
      <c r="AL153" s="13">
        <f>IFERROR(INDEX('Balizador da Meta'!$D$3:$F$23,MATCH(Quantidade!$P153,'Balizador da Meta'!$C$3:$C$23,0),MATCH(Quantidade!AK153,'Balizador da Meta'!$D$2:$F$2,0)),"")</f>
        <v>0</v>
      </c>
      <c r="AM153" s="9"/>
    </row>
    <row r="154" spans="1:39" x14ac:dyDescent="0.3">
      <c r="A154" s="2" t="str">
        <f t="shared" si="63"/>
        <v>NÃO</v>
      </c>
      <c r="B154" s="2" t="str">
        <f>_xlfn.XLOOKUP($N154,'Base de Grupos'!$A:$A,'Base de Grupos'!$D:$D)</f>
        <v>1000065763</v>
      </c>
      <c r="C154" s="5" t="str">
        <f>_xlfn.XLOOKUP($N154,'Base de Grupos'!$A:$A,'Base de Grupos'!$E:$E)</f>
        <v>CANAL VENDA INTERNA</v>
      </c>
      <c r="D154" s="5" t="str">
        <f>_xlfn.XLOOKUP($N154,'Base de Grupos'!$A:$A,'Base de Grupos'!$F:$F)</f>
        <v>1000065763</v>
      </c>
      <c r="E154" s="2" t="str">
        <f>_xlfn.XLOOKUP($N154,'Base de Grupos'!$A:$A,'Base de Grupos'!$G:$G)</f>
        <v>CANAL VENDA INTERNA</v>
      </c>
      <c r="F154" s="2" t="str">
        <f>_xlfn.XLOOKUP($N154,'Base de Grupos'!$A:$A,'Base de Grupos'!$H:$H)</f>
        <v>1000105900</v>
      </c>
      <c r="G154" s="5" t="str">
        <f>_xlfn.XLOOKUP($N154,'Base de Grupos'!$A:$A,'Base de Grupos'!$I:$I)</f>
        <v>REGIONAL VENDA DIRETA CO + NE + NO</v>
      </c>
      <c r="H154" s="5" t="str">
        <f>_xlfn.XLOOKUP($N154,'Base de Grupos'!$A:$A,'Base de Grupos'!$J:$J)</f>
        <v>1000105900</v>
      </c>
      <c r="I154" s="2" t="str">
        <f>_xlfn.XLOOKUP($N154,'Base de Grupos'!$A:$A,'Base de Grupos'!$K:$K)</f>
        <v>REGIONAL VENDA DIRETA CO + NE + NO</v>
      </c>
      <c r="J154" s="2" t="str">
        <f>_xlfn.XLOOKUP($N154,'Base de Grupos'!$A:$A,'Base de Grupos'!$L:$L)</f>
        <v>1000150135</v>
      </c>
      <c r="K154" s="5" t="str">
        <f>_xlfn.XLOOKUP($N154,'Base de Grupos'!$A:$A,'Base de Grupos'!$M:$M)</f>
        <v>HELDER DA SILVA BRUNKOW</v>
      </c>
      <c r="L154" s="5" t="str">
        <f t="shared" si="64"/>
        <v/>
      </c>
      <c r="M154" s="5" t="str">
        <f>_xlfn.XLOOKUP($N154,'Base de Grupos'!$A:$A,'Base de Grupos'!$C:$C)</f>
        <v>MA</v>
      </c>
      <c r="N154" s="3">
        <v>1332</v>
      </c>
      <c r="O154" s="4" t="s">
        <v>232</v>
      </c>
      <c r="P154" s="5" t="s">
        <v>92</v>
      </c>
      <c r="Q154" s="24">
        <v>0</v>
      </c>
      <c r="R154" s="24">
        <v>0</v>
      </c>
      <c r="S154" s="24">
        <v>0</v>
      </c>
      <c r="T154" s="24">
        <v>0</v>
      </c>
      <c r="U154" s="24">
        <v>0</v>
      </c>
      <c r="V154" s="24">
        <v>0</v>
      </c>
      <c r="W154" s="24">
        <v>0</v>
      </c>
      <c r="X154" s="24">
        <v>0</v>
      </c>
      <c r="Y154" s="24">
        <v>0</v>
      </c>
      <c r="Z154" s="24">
        <v>0</v>
      </c>
      <c r="AA154" s="24">
        <v>0</v>
      </c>
      <c r="AB154" s="24">
        <v>0</v>
      </c>
      <c r="AC154" s="30">
        <f t="shared" si="70"/>
        <v>0</v>
      </c>
      <c r="AD154" s="27">
        <f t="shared" si="73"/>
        <v>0</v>
      </c>
      <c r="AE154" s="25">
        <f>IFERROR(_xlfn.XLOOKUP(N154&amp;P154,'Historico Vendas'!G:G,'Historico Vendas'!E:E),0)</f>
        <v>0</v>
      </c>
      <c r="AF154" s="29" t="str">
        <f t="shared" si="65"/>
        <v/>
      </c>
      <c r="AG154" s="24">
        <f>IFERROR(_xlfn.XLOOKUP(N154&amp;P154,'Historico Vendas'!G:G,'Historico Vendas'!F:F),0)</f>
        <v>0</v>
      </c>
      <c r="AH154" s="25">
        <f t="shared" si="74"/>
        <v>0</v>
      </c>
      <c r="AI154" s="24">
        <f t="shared" si="75"/>
        <v>0</v>
      </c>
      <c r="AJ154" s="11" t="str">
        <f t="shared" si="66"/>
        <v/>
      </c>
      <c r="AK154" s="9" t="s">
        <v>102</v>
      </c>
      <c r="AL154" s="13">
        <f>IFERROR(INDEX('Balizador da Meta'!$D$3:$F$23,MATCH(Quantidade!$P154,'Balizador da Meta'!$C$3:$C$23,0),MATCH(Quantidade!AK154,'Balizador da Meta'!$D$2:$F$2,0)),"")</f>
        <v>0</v>
      </c>
      <c r="AM154" s="9"/>
    </row>
    <row r="155" spans="1:39" x14ac:dyDescent="0.3">
      <c r="A155" s="2" t="str">
        <f t="shared" si="63"/>
        <v>NÃO</v>
      </c>
      <c r="B155" s="2" t="str">
        <f>_xlfn.XLOOKUP($N155,'Base de Grupos'!$A:$A,'Base de Grupos'!$D:$D)</f>
        <v>1000065763</v>
      </c>
      <c r="C155" s="5" t="str">
        <f>_xlfn.XLOOKUP($N155,'Base de Grupos'!$A:$A,'Base de Grupos'!$E:$E)</f>
        <v>CANAL VENDA INTERNA</v>
      </c>
      <c r="D155" s="5" t="str">
        <f>_xlfn.XLOOKUP($N155,'Base de Grupos'!$A:$A,'Base de Grupos'!$F:$F)</f>
        <v>1000065763</v>
      </c>
      <c r="E155" s="2" t="str">
        <f>_xlfn.XLOOKUP($N155,'Base de Grupos'!$A:$A,'Base de Grupos'!$G:$G)</f>
        <v>CANAL VENDA INTERNA</v>
      </c>
      <c r="F155" s="2" t="str">
        <f>_xlfn.XLOOKUP($N155,'Base de Grupos'!$A:$A,'Base de Grupos'!$H:$H)</f>
        <v>1000105900</v>
      </c>
      <c r="G155" s="5" t="str">
        <f>_xlfn.XLOOKUP($N155,'Base de Grupos'!$A:$A,'Base de Grupos'!$I:$I)</f>
        <v>REGIONAL VENDA DIRETA CO + NE + NO</v>
      </c>
      <c r="H155" s="5" t="str">
        <f>_xlfn.XLOOKUP($N155,'Base de Grupos'!$A:$A,'Base de Grupos'!$J:$J)</f>
        <v>1000105900</v>
      </c>
      <c r="I155" s="2" t="str">
        <f>_xlfn.XLOOKUP($N155,'Base de Grupos'!$A:$A,'Base de Grupos'!$K:$K)</f>
        <v>REGIONAL VENDA DIRETA CO + NE + NO</v>
      </c>
      <c r="J155" s="2" t="str">
        <f>_xlfn.XLOOKUP($N155,'Base de Grupos'!$A:$A,'Base de Grupos'!$L:$L)</f>
        <v>1000150135</v>
      </c>
      <c r="K155" s="5" t="str">
        <f>_xlfn.XLOOKUP($N155,'Base de Grupos'!$A:$A,'Base de Grupos'!$M:$M)</f>
        <v>HELDER DA SILVA BRUNKOW</v>
      </c>
      <c r="L155" s="5" t="str">
        <f t="shared" si="64"/>
        <v/>
      </c>
      <c r="M155" s="5" t="str">
        <f>_xlfn.XLOOKUP($N155,'Base de Grupos'!$A:$A,'Base de Grupos'!$C:$C)</f>
        <v>MA</v>
      </c>
      <c r="N155" s="3">
        <v>1332</v>
      </c>
      <c r="O155" s="4" t="s">
        <v>232</v>
      </c>
      <c r="P155" s="5" t="s">
        <v>86</v>
      </c>
      <c r="Q155" s="24">
        <v>0</v>
      </c>
      <c r="R155" s="24">
        <v>0</v>
      </c>
      <c r="S155" s="24">
        <v>0</v>
      </c>
      <c r="T155" s="24">
        <v>0</v>
      </c>
      <c r="U155" s="24">
        <v>0</v>
      </c>
      <c r="V155" s="24">
        <v>0</v>
      </c>
      <c r="W155" s="24">
        <v>0</v>
      </c>
      <c r="X155" s="24">
        <v>0</v>
      </c>
      <c r="Y155" s="24">
        <v>0</v>
      </c>
      <c r="Z155" s="24">
        <v>0</v>
      </c>
      <c r="AA155" s="24">
        <v>0</v>
      </c>
      <c r="AB155" s="24">
        <v>0</v>
      </c>
      <c r="AC155" s="30">
        <f t="shared" si="70"/>
        <v>0</v>
      </c>
      <c r="AD155" s="27">
        <f t="shared" si="73"/>
        <v>0</v>
      </c>
      <c r="AE155" s="25">
        <f>IFERROR(_xlfn.XLOOKUP(N155&amp;P155,'Historico Vendas'!G:G,'Historico Vendas'!E:E),0)</f>
        <v>0</v>
      </c>
      <c r="AF155" s="29" t="str">
        <f t="shared" si="65"/>
        <v/>
      </c>
      <c r="AG155" s="24">
        <f>IFERROR(_xlfn.XLOOKUP(N155&amp;P155,'Historico Vendas'!G:G,'Historico Vendas'!F:F),0)</f>
        <v>0</v>
      </c>
      <c r="AH155" s="25">
        <f t="shared" si="74"/>
        <v>0</v>
      </c>
      <c r="AI155" s="24">
        <f t="shared" si="75"/>
        <v>0</v>
      </c>
      <c r="AJ155" s="11" t="str">
        <f t="shared" si="66"/>
        <v/>
      </c>
      <c r="AK155" s="9" t="s">
        <v>102</v>
      </c>
      <c r="AL155" s="13">
        <f>IFERROR(INDEX('Balizador da Meta'!$D$3:$F$23,MATCH(Quantidade!$P155,'Balizador da Meta'!$C$3:$C$23,0),MATCH(Quantidade!AK155,'Balizador da Meta'!$D$2:$F$2,0)),"")</f>
        <v>0.15</v>
      </c>
      <c r="AM155" s="9"/>
    </row>
    <row r="156" spans="1:39" x14ac:dyDescent="0.3">
      <c r="A156" s="2" t="str">
        <f t="shared" si="63"/>
        <v>NÃO</v>
      </c>
      <c r="B156" s="2" t="str">
        <f>_xlfn.XLOOKUP($N156,'Base de Grupos'!$A:$A,'Base de Grupos'!$D:$D)</f>
        <v>1000065763</v>
      </c>
      <c r="C156" s="5" t="str">
        <f>_xlfn.XLOOKUP($N156,'Base de Grupos'!$A:$A,'Base de Grupos'!$E:$E)</f>
        <v>CANAL VENDA INTERNA</v>
      </c>
      <c r="D156" s="5" t="str">
        <f>_xlfn.XLOOKUP($N156,'Base de Grupos'!$A:$A,'Base de Grupos'!$F:$F)</f>
        <v>1000065763</v>
      </c>
      <c r="E156" s="2" t="str">
        <f>_xlfn.XLOOKUP($N156,'Base de Grupos'!$A:$A,'Base de Grupos'!$G:$G)</f>
        <v>CANAL VENDA INTERNA</v>
      </c>
      <c r="F156" s="2" t="str">
        <f>_xlfn.XLOOKUP($N156,'Base de Grupos'!$A:$A,'Base de Grupos'!$H:$H)</f>
        <v>1000105900</v>
      </c>
      <c r="G156" s="5" t="str">
        <f>_xlfn.XLOOKUP($N156,'Base de Grupos'!$A:$A,'Base de Grupos'!$I:$I)</f>
        <v>REGIONAL VENDA DIRETA CO + NE + NO</v>
      </c>
      <c r="H156" s="5" t="str">
        <f>_xlfn.XLOOKUP($N156,'Base de Grupos'!$A:$A,'Base de Grupos'!$J:$J)</f>
        <v>1000105900</v>
      </c>
      <c r="I156" s="2" t="str">
        <f>_xlfn.XLOOKUP($N156,'Base de Grupos'!$A:$A,'Base de Grupos'!$K:$K)</f>
        <v>REGIONAL VENDA DIRETA CO + NE + NO</v>
      </c>
      <c r="J156" s="2" t="str">
        <f>_xlfn.XLOOKUP($N156,'Base de Grupos'!$A:$A,'Base de Grupos'!$L:$L)</f>
        <v>1000150135</v>
      </c>
      <c r="K156" s="5" t="str">
        <f>_xlfn.XLOOKUP($N156,'Base de Grupos'!$A:$A,'Base de Grupos'!$M:$M)</f>
        <v>HELDER DA SILVA BRUNKOW</v>
      </c>
      <c r="L156" s="5" t="str">
        <f t="shared" si="64"/>
        <v/>
      </c>
      <c r="M156" s="5" t="str">
        <f>_xlfn.XLOOKUP($N156,'Base de Grupos'!$A:$A,'Base de Grupos'!$C:$C)</f>
        <v>MA</v>
      </c>
      <c r="N156" s="3">
        <v>1332</v>
      </c>
      <c r="O156" s="4" t="s">
        <v>232</v>
      </c>
      <c r="P156" s="5" t="s">
        <v>108</v>
      </c>
      <c r="Q156" s="24">
        <v>0</v>
      </c>
      <c r="R156" s="24">
        <v>0</v>
      </c>
      <c r="S156" s="24">
        <v>0</v>
      </c>
      <c r="T156" s="24">
        <v>0</v>
      </c>
      <c r="U156" s="24">
        <v>0</v>
      </c>
      <c r="V156" s="24">
        <v>0</v>
      </c>
      <c r="W156" s="24">
        <v>0</v>
      </c>
      <c r="X156" s="24">
        <v>0</v>
      </c>
      <c r="Y156" s="24">
        <v>0</v>
      </c>
      <c r="Z156" s="24">
        <v>0</v>
      </c>
      <c r="AA156" s="24">
        <v>0</v>
      </c>
      <c r="AB156" s="24">
        <v>0</v>
      </c>
      <c r="AC156" s="30">
        <f t="shared" si="70"/>
        <v>0</v>
      </c>
      <c r="AD156" s="27">
        <f t="shared" si="73"/>
        <v>0</v>
      </c>
      <c r="AE156" s="25">
        <f>IFERROR(_xlfn.XLOOKUP(N156&amp;P156,'Historico Vendas'!G:G,'Historico Vendas'!E:E),0)</f>
        <v>0</v>
      </c>
      <c r="AF156" s="29" t="str">
        <f t="shared" si="65"/>
        <v/>
      </c>
      <c r="AG156" s="24">
        <f>IFERROR(_xlfn.XLOOKUP(N156&amp;P156,'Historico Vendas'!G:G,'Historico Vendas'!F:F),0)</f>
        <v>0</v>
      </c>
      <c r="AH156" s="25">
        <f t="shared" si="74"/>
        <v>0</v>
      </c>
      <c r="AI156" s="24">
        <f t="shared" si="75"/>
        <v>0</v>
      </c>
      <c r="AJ156" s="11" t="str">
        <f t="shared" si="66"/>
        <v/>
      </c>
      <c r="AK156" s="9" t="s">
        <v>102</v>
      </c>
      <c r="AL156" s="13">
        <f>IFERROR(INDEX('Balizador da Meta'!$D$3:$F$23,MATCH(Quantidade!$P156,'Balizador da Meta'!$C$3:$C$23,0),MATCH(Quantidade!AK156,'Balizador da Meta'!$D$2:$F$2,0)),"")</f>
        <v>0</v>
      </c>
      <c r="AM156" s="9"/>
    </row>
    <row r="157" spans="1:39" x14ac:dyDescent="0.3">
      <c r="A157" s="2" t="str">
        <f t="shared" si="63"/>
        <v>NÃO</v>
      </c>
      <c r="B157" s="2" t="str">
        <f>_xlfn.XLOOKUP($N157,'Base de Grupos'!$A:$A,'Base de Grupos'!$D:$D)</f>
        <v>1000065763</v>
      </c>
      <c r="C157" s="5" t="str">
        <f>_xlfn.XLOOKUP($N157,'Base de Grupos'!$A:$A,'Base de Grupos'!$E:$E)</f>
        <v>CANAL VENDA INTERNA</v>
      </c>
      <c r="D157" s="5" t="str">
        <f>_xlfn.XLOOKUP($N157,'Base de Grupos'!$A:$A,'Base de Grupos'!$F:$F)</f>
        <v>1000065763</v>
      </c>
      <c r="E157" s="2" t="str">
        <f>_xlfn.XLOOKUP($N157,'Base de Grupos'!$A:$A,'Base de Grupos'!$G:$G)</f>
        <v>CANAL VENDA INTERNA</v>
      </c>
      <c r="F157" s="2" t="str">
        <f>_xlfn.XLOOKUP($N157,'Base de Grupos'!$A:$A,'Base de Grupos'!$H:$H)</f>
        <v>1000105900</v>
      </c>
      <c r="G157" s="5" t="str">
        <f>_xlfn.XLOOKUP($N157,'Base de Grupos'!$A:$A,'Base de Grupos'!$I:$I)</f>
        <v>REGIONAL VENDA DIRETA CO + NE + NO</v>
      </c>
      <c r="H157" s="5" t="str">
        <f>_xlfn.XLOOKUP($N157,'Base de Grupos'!$A:$A,'Base de Grupos'!$J:$J)</f>
        <v>1000105900</v>
      </c>
      <c r="I157" s="2" t="str">
        <f>_xlfn.XLOOKUP($N157,'Base de Grupos'!$A:$A,'Base de Grupos'!$K:$K)</f>
        <v>REGIONAL VENDA DIRETA CO + NE + NO</v>
      </c>
      <c r="J157" s="2" t="str">
        <f>_xlfn.XLOOKUP($N157,'Base de Grupos'!$A:$A,'Base de Grupos'!$L:$L)</f>
        <v>1000150135</v>
      </c>
      <c r="K157" s="5" t="str">
        <f>_xlfn.XLOOKUP($N157,'Base de Grupos'!$A:$A,'Base de Grupos'!$M:$M)</f>
        <v>HELDER DA SILVA BRUNKOW</v>
      </c>
      <c r="L157" s="5" t="str">
        <f t="shared" si="64"/>
        <v/>
      </c>
      <c r="M157" s="5" t="str">
        <f>_xlfn.XLOOKUP($N157,'Base de Grupos'!$A:$A,'Base de Grupos'!$C:$C)</f>
        <v>MA</v>
      </c>
      <c r="N157" s="3">
        <v>1332</v>
      </c>
      <c r="O157" s="4" t="s">
        <v>232</v>
      </c>
      <c r="P157" s="5" t="s">
        <v>89</v>
      </c>
      <c r="Q157" s="24">
        <f>SUM(Q158:Q178)</f>
        <v>0</v>
      </c>
      <c r="R157" s="24">
        <f t="shared" ref="R157" si="76">SUM(R158:R178)</f>
        <v>0</v>
      </c>
      <c r="S157" s="24">
        <f t="shared" ref="S157" si="77">SUM(S158:S178)</f>
        <v>0</v>
      </c>
      <c r="T157" s="24">
        <f t="shared" ref="T157:AC157" si="78">SUM(T158:T178)</f>
        <v>0</v>
      </c>
      <c r="U157" s="24">
        <f t="shared" si="78"/>
        <v>0</v>
      </c>
      <c r="V157" s="24">
        <f t="shared" si="78"/>
        <v>0</v>
      </c>
      <c r="W157" s="24">
        <f t="shared" si="78"/>
        <v>0</v>
      </c>
      <c r="X157" s="24">
        <f t="shared" si="78"/>
        <v>0</v>
      </c>
      <c r="Y157" s="24">
        <f t="shared" si="78"/>
        <v>0</v>
      </c>
      <c r="Z157" s="24">
        <f t="shared" si="78"/>
        <v>0</v>
      </c>
      <c r="AA157" s="24">
        <f t="shared" si="78"/>
        <v>0</v>
      </c>
      <c r="AB157" s="24">
        <f t="shared" si="78"/>
        <v>0</v>
      </c>
      <c r="AC157" s="24">
        <f t="shared" si="78"/>
        <v>0</v>
      </c>
      <c r="AD157" s="27">
        <f t="shared" si="73"/>
        <v>0</v>
      </c>
      <c r="AE157" s="25">
        <f>IFERROR(_xlfn.XLOOKUP(N157&amp;P157,'Historico Vendas'!G:G,'Historico Vendas'!E:E),0)</f>
        <v>0</v>
      </c>
      <c r="AF157" s="29" t="str">
        <f t="shared" si="65"/>
        <v/>
      </c>
      <c r="AG157" s="24">
        <f>IFERROR(_xlfn.XLOOKUP(N157&amp;P157,'Historico Vendas'!G:G,'Historico Vendas'!F:F),0)</f>
        <v>0</v>
      </c>
      <c r="AH157" s="25">
        <f t="shared" si="74"/>
        <v>0</v>
      </c>
      <c r="AI157" s="24">
        <f t="shared" si="75"/>
        <v>0</v>
      </c>
      <c r="AJ157" s="11" t="str">
        <f t="shared" si="66"/>
        <v/>
      </c>
      <c r="AK157" s="9" t="s">
        <v>102</v>
      </c>
      <c r="AL157" s="13">
        <f>IFERROR(INDEX('Balizador da Meta'!$D$3:$F$23,MATCH(Quantidade!$P157,'Balizador da Meta'!$C$3:$C$23,0),MATCH(Quantidade!AK157,'Balizador da Meta'!$D$2:$F$2,0)),"")</f>
        <v>0.25</v>
      </c>
      <c r="AM157" s="9"/>
    </row>
    <row r="158" spans="1:39" x14ac:dyDescent="0.3">
      <c r="A158" s="2" t="str">
        <f t="shared" si="63"/>
        <v>NÃO</v>
      </c>
      <c r="B158" s="2" t="str">
        <f>_xlfn.XLOOKUP($N158,'Base de Grupos'!$A:$A,'Base de Grupos'!$D:$D)</f>
        <v>1000065763</v>
      </c>
      <c r="C158" s="5" t="str">
        <f>_xlfn.XLOOKUP($N158,'Base de Grupos'!$A:$A,'Base de Grupos'!$E:$E)</f>
        <v>CANAL VENDA INTERNA</v>
      </c>
      <c r="D158" s="5" t="str">
        <f>_xlfn.XLOOKUP($N158,'Base de Grupos'!$A:$A,'Base de Grupos'!$F:$F)</f>
        <v>1000065763</v>
      </c>
      <c r="E158" s="2" t="str">
        <f>_xlfn.XLOOKUP($N158,'Base de Grupos'!$A:$A,'Base de Grupos'!$G:$G)</f>
        <v>CANAL VENDA INTERNA</v>
      </c>
      <c r="F158" s="2" t="str">
        <f>_xlfn.XLOOKUP($N158,'Base de Grupos'!$A:$A,'Base de Grupos'!$H:$H)</f>
        <v>1000105900</v>
      </c>
      <c r="G158" s="5" t="str">
        <f>_xlfn.XLOOKUP($N158,'Base de Grupos'!$A:$A,'Base de Grupos'!$I:$I)</f>
        <v>REGIONAL VENDA DIRETA CO + NE + NO</v>
      </c>
      <c r="H158" s="5" t="str">
        <f>_xlfn.XLOOKUP($N158,'Base de Grupos'!$A:$A,'Base de Grupos'!$J:$J)</f>
        <v>1000105900</v>
      </c>
      <c r="I158" s="2" t="str">
        <f>_xlfn.XLOOKUP($N158,'Base de Grupos'!$A:$A,'Base de Grupos'!$K:$K)</f>
        <v>REGIONAL VENDA DIRETA CO + NE + NO</v>
      </c>
      <c r="J158" s="2" t="str">
        <f>_xlfn.XLOOKUP($N158,'Base de Grupos'!$A:$A,'Base de Grupos'!$L:$L)</f>
        <v>1000150135</v>
      </c>
      <c r="K158" s="5" t="str">
        <f>_xlfn.XLOOKUP($N158,'Base de Grupos'!$A:$A,'Base de Grupos'!$M:$M)</f>
        <v>HELDER DA SILVA BRUNKOW</v>
      </c>
      <c r="L158" s="5" t="str">
        <f t="shared" si="64"/>
        <v/>
      </c>
      <c r="M158" s="5" t="str">
        <f>_xlfn.XLOOKUP($N158,'Base de Grupos'!$A:$A,'Base de Grupos'!$C:$C)</f>
        <v>MA</v>
      </c>
      <c r="N158" s="3">
        <v>1332</v>
      </c>
      <c r="O158" s="4" t="s">
        <v>232</v>
      </c>
      <c r="P158" s="5" t="s">
        <v>88</v>
      </c>
      <c r="Q158" s="24">
        <v>0</v>
      </c>
      <c r="R158" s="24">
        <v>0</v>
      </c>
      <c r="S158" s="24">
        <v>0</v>
      </c>
      <c r="T158" s="24">
        <v>0</v>
      </c>
      <c r="U158" s="24">
        <v>0</v>
      </c>
      <c r="V158" s="24">
        <v>0</v>
      </c>
      <c r="W158" s="24">
        <v>0</v>
      </c>
      <c r="X158" s="24">
        <v>0</v>
      </c>
      <c r="Y158" s="24">
        <v>0</v>
      </c>
      <c r="Z158" s="24">
        <v>0</v>
      </c>
      <c r="AA158" s="24">
        <v>0</v>
      </c>
      <c r="AB158" s="24">
        <v>0</v>
      </c>
      <c r="AC158" s="30">
        <f t="shared" ref="AC158:AC178" si="79">SUM(T158:AB158)</f>
        <v>0</v>
      </c>
      <c r="AD158" s="27">
        <f t="shared" si="73"/>
        <v>0</v>
      </c>
      <c r="AE158" s="25">
        <f>IFERROR(_xlfn.XLOOKUP(N158&amp;P158,'Historico Vendas'!G:G,'Historico Vendas'!E:E),0)</f>
        <v>0</v>
      </c>
      <c r="AF158" s="29" t="str">
        <f t="shared" si="65"/>
        <v/>
      </c>
      <c r="AG158" s="24">
        <f>IFERROR(_xlfn.XLOOKUP(N158&amp;P158,'Historico Vendas'!G:G,'Historico Vendas'!F:F),0)</f>
        <v>0</v>
      </c>
      <c r="AH158" s="25">
        <f t="shared" si="74"/>
        <v>0</v>
      </c>
      <c r="AI158" s="24">
        <f t="shared" si="75"/>
        <v>0</v>
      </c>
      <c r="AJ158" s="11" t="str">
        <f t="shared" si="66"/>
        <v/>
      </c>
      <c r="AK158" s="9" t="s">
        <v>102</v>
      </c>
      <c r="AL158" s="13">
        <f>IFERROR(INDEX('Balizador da Meta'!$D$3:$F$23,MATCH(Quantidade!$P158,'Balizador da Meta'!$C$3:$C$23,0),MATCH(Quantidade!AK158,'Balizador da Meta'!$D$2:$F$2,0)),"")</f>
        <v>0</v>
      </c>
      <c r="AM158" s="9"/>
    </row>
    <row r="159" spans="1:39" x14ac:dyDescent="0.3">
      <c r="A159" s="2" t="str">
        <f t="shared" si="63"/>
        <v>NÃO</v>
      </c>
      <c r="B159" s="2" t="str">
        <f>_xlfn.XLOOKUP($N159,'Base de Grupos'!$A:$A,'Base de Grupos'!$D:$D)</f>
        <v>1000065763</v>
      </c>
      <c r="C159" s="5" t="str">
        <f>_xlfn.XLOOKUP($N159,'Base de Grupos'!$A:$A,'Base de Grupos'!$E:$E)</f>
        <v>CANAL VENDA INTERNA</v>
      </c>
      <c r="D159" s="5" t="str">
        <f>_xlfn.XLOOKUP($N159,'Base de Grupos'!$A:$A,'Base de Grupos'!$F:$F)</f>
        <v>1000065763</v>
      </c>
      <c r="E159" s="2" t="str">
        <f>_xlfn.XLOOKUP($N159,'Base de Grupos'!$A:$A,'Base de Grupos'!$G:$G)</f>
        <v>CANAL VENDA INTERNA</v>
      </c>
      <c r="F159" s="2" t="str">
        <f>_xlfn.XLOOKUP($N159,'Base de Grupos'!$A:$A,'Base de Grupos'!$H:$H)</f>
        <v>1000105900</v>
      </c>
      <c r="G159" s="5" t="str">
        <f>_xlfn.XLOOKUP($N159,'Base de Grupos'!$A:$A,'Base de Grupos'!$I:$I)</f>
        <v>REGIONAL VENDA DIRETA CO + NE + NO</v>
      </c>
      <c r="H159" s="5" t="str">
        <f>_xlfn.XLOOKUP($N159,'Base de Grupos'!$A:$A,'Base de Grupos'!$J:$J)</f>
        <v>1000105900</v>
      </c>
      <c r="I159" s="2" t="str">
        <f>_xlfn.XLOOKUP($N159,'Base de Grupos'!$A:$A,'Base de Grupos'!$K:$K)</f>
        <v>REGIONAL VENDA DIRETA CO + NE + NO</v>
      </c>
      <c r="J159" s="2" t="str">
        <f>_xlfn.XLOOKUP($N159,'Base de Grupos'!$A:$A,'Base de Grupos'!$L:$L)</f>
        <v>1000150135</v>
      </c>
      <c r="K159" s="5" t="str">
        <f>_xlfn.XLOOKUP($N159,'Base de Grupos'!$A:$A,'Base de Grupos'!$M:$M)</f>
        <v>HELDER DA SILVA BRUNKOW</v>
      </c>
      <c r="L159" s="5" t="str">
        <f t="shared" si="64"/>
        <v/>
      </c>
      <c r="M159" s="5" t="str">
        <f>_xlfn.XLOOKUP($N159,'Base de Grupos'!$A:$A,'Base de Grupos'!$C:$C)</f>
        <v>MA</v>
      </c>
      <c r="N159" s="3">
        <v>1332</v>
      </c>
      <c r="O159" s="4" t="s">
        <v>232</v>
      </c>
      <c r="P159" s="5" t="s">
        <v>90</v>
      </c>
      <c r="Q159" s="24">
        <v>0</v>
      </c>
      <c r="R159" s="24">
        <v>0</v>
      </c>
      <c r="S159" s="24">
        <v>0</v>
      </c>
      <c r="T159" s="24">
        <v>0</v>
      </c>
      <c r="U159" s="24">
        <v>0</v>
      </c>
      <c r="V159" s="24">
        <v>0</v>
      </c>
      <c r="W159" s="24">
        <v>0</v>
      </c>
      <c r="X159" s="24">
        <v>0</v>
      </c>
      <c r="Y159" s="24">
        <v>0</v>
      </c>
      <c r="Z159" s="24">
        <v>0</v>
      </c>
      <c r="AA159" s="24">
        <v>0</v>
      </c>
      <c r="AB159" s="24">
        <v>0</v>
      </c>
      <c r="AC159" s="30">
        <f t="shared" si="79"/>
        <v>0</v>
      </c>
      <c r="AD159" s="27">
        <f t="shared" si="73"/>
        <v>0</v>
      </c>
      <c r="AE159" s="25">
        <f>IFERROR(_xlfn.XLOOKUP(N159&amp;P159,'Historico Vendas'!G:G,'Historico Vendas'!E:E),0)</f>
        <v>0</v>
      </c>
      <c r="AF159" s="29" t="str">
        <f t="shared" si="65"/>
        <v/>
      </c>
      <c r="AG159" s="24">
        <f>IFERROR(_xlfn.XLOOKUP(N159&amp;P159,'Historico Vendas'!G:G,'Historico Vendas'!F:F),0)</f>
        <v>0</v>
      </c>
      <c r="AH159" s="25">
        <f t="shared" si="74"/>
        <v>0</v>
      </c>
      <c r="AI159" s="24">
        <f t="shared" si="75"/>
        <v>0</v>
      </c>
      <c r="AJ159" s="11" t="str">
        <f t="shared" si="66"/>
        <v/>
      </c>
      <c r="AK159" s="9" t="s">
        <v>102</v>
      </c>
      <c r="AL159" s="13">
        <f>IFERROR(INDEX('Balizador da Meta'!$D$3:$F$23,MATCH(Quantidade!$P159,'Balizador da Meta'!$C$3:$C$23,0),MATCH(Quantidade!AK159,'Balizador da Meta'!$D$2:$F$2,0)),"")</f>
        <v>0</v>
      </c>
      <c r="AM159" s="9"/>
    </row>
    <row r="160" spans="1:39" x14ac:dyDescent="0.3">
      <c r="A160" s="2" t="str">
        <f t="shared" si="63"/>
        <v>NÃO</v>
      </c>
      <c r="B160" s="2" t="str">
        <f>_xlfn.XLOOKUP($N160,'Base de Grupos'!$A:$A,'Base de Grupos'!$D:$D)</f>
        <v>1000065763</v>
      </c>
      <c r="C160" s="5" t="str">
        <f>_xlfn.XLOOKUP($N160,'Base de Grupos'!$A:$A,'Base de Grupos'!$E:$E)</f>
        <v>CANAL VENDA INTERNA</v>
      </c>
      <c r="D160" s="5" t="str">
        <f>_xlfn.XLOOKUP($N160,'Base de Grupos'!$A:$A,'Base de Grupos'!$F:$F)</f>
        <v>1000065763</v>
      </c>
      <c r="E160" s="2" t="str">
        <f>_xlfn.XLOOKUP($N160,'Base de Grupos'!$A:$A,'Base de Grupos'!$G:$G)</f>
        <v>CANAL VENDA INTERNA</v>
      </c>
      <c r="F160" s="2" t="str">
        <f>_xlfn.XLOOKUP($N160,'Base de Grupos'!$A:$A,'Base de Grupos'!$H:$H)</f>
        <v>1000105900</v>
      </c>
      <c r="G160" s="5" t="str">
        <f>_xlfn.XLOOKUP($N160,'Base de Grupos'!$A:$A,'Base de Grupos'!$I:$I)</f>
        <v>REGIONAL VENDA DIRETA CO + NE + NO</v>
      </c>
      <c r="H160" s="5" t="str">
        <f>_xlfn.XLOOKUP($N160,'Base de Grupos'!$A:$A,'Base de Grupos'!$J:$J)</f>
        <v>1000105900</v>
      </c>
      <c r="I160" s="2" t="str">
        <f>_xlfn.XLOOKUP($N160,'Base de Grupos'!$A:$A,'Base de Grupos'!$K:$K)</f>
        <v>REGIONAL VENDA DIRETA CO + NE + NO</v>
      </c>
      <c r="J160" s="2" t="str">
        <f>_xlfn.XLOOKUP($N160,'Base de Grupos'!$A:$A,'Base de Grupos'!$L:$L)</f>
        <v>1000150135</v>
      </c>
      <c r="K160" s="5" t="str">
        <f>_xlfn.XLOOKUP($N160,'Base de Grupos'!$A:$A,'Base de Grupos'!$M:$M)</f>
        <v>HELDER DA SILVA BRUNKOW</v>
      </c>
      <c r="L160" s="5" t="str">
        <f t="shared" si="64"/>
        <v/>
      </c>
      <c r="M160" s="5" t="str">
        <f>_xlfn.XLOOKUP($N160,'Base de Grupos'!$A:$A,'Base de Grupos'!$C:$C)</f>
        <v>MA</v>
      </c>
      <c r="N160" s="3">
        <v>1332</v>
      </c>
      <c r="O160" s="4" t="s">
        <v>232</v>
      </c>
      <c r="P160" s="5" t="s">
        <v>91</v>
      </c>
      <c r="Q160" s="24">
        <v>0</v>
      </c>
      <c r="R160" s="24">
        <v>0</v>
      </c>
      <c r="S160" s="24">
        <v>0</v>
      </c>
      <c r="T160" s="24">
        <v>0</v>
      </c>
      <c r="U160" s="24">
        <v>0</v>
      </c>
      <c r="V160" s="24">
        <v>0</v>
      </c>
      <c r="W160" s="24">
        <v>0</v>
      </c>
      <c r="X160" s="24">
        <v>0</v>
      </c>
      <c r="Y160" s="24">
        <v>0</v>
      </c>
      <c r="Z160" s="24">
        <v>0</v>
      </c>
      <c r="AA160" s="24">
        <v>0</v>
      </c>
      <c r="AB160" s="24">
        <v>0</v>
      </c>
      <c r="AC160" s="30">
        <f t="shared" si="79"/>
        <v>0</v>
      </c>
      <c r="AD160" s="27">
        <f t="shared" si="73"/>
        <v>0</v>
      </c>
      <c r="AE160" s="25">
        <f>IFERROR(_xlfn.XLOOKUP(N160&amp;P160,'Historico Vendas'!G:G,'Historico Vendas'!E:E),0)</f>
        <v>0</v>
      </c>
      <c r="AF160" s="29" t="str">
        <f t="shared" si="65"/>
        <v/>
      </c>
      <c r="AG160" s="24">
        <f>IFERROR(_xlfn.XLOOKUP(N160&amp;P160,'Historico Vendas'!G:G,'Historico Vendas'!F:F),0)</f>
        <v>0</v>
      </c>
      <c r="AH160" s="25">
        <f t="shared" si="74"/>
        <v>0</v>
      </c>
      <c r="AI160" s="24">
        <f t="shared" si="75"/>
        <v>0</v>
      </c>
      <c r="AJ160" s="11" t="str">
        <f t="shared" si="66"/>
        <v/>
      </c>
      <c r="AK160" s="9" t="s">
        <v>102</v>
      </c>
      <c r="AL160" s="13">
        <f>IFERROR(INDEX('Balizador da Meta'!$D$3:$F$23,MATCH(Quantidade!$P160,'Balizador da Meta'!$C$3:$C$23,0),MATCH(Quantidade!AK160,'Balizador da Meta'!$D$2:$F$2,0)),"")</f>
        <v>0</v>
      </c>
      <c r="AM160" s="9"/>
    </row>
    <row r="161" spans="1:39" x14ac:dyDescent="0.3">
      <c r="A161" s="2" t="str">
        <f t="shared" si="63"/>
        <v>NÃO</v>
      </c>
      <c r="B161" s="2" t="str">
        <f>_xlfn.XLOOKUP($N161,'Base de Grupos'!$A:$A,'Base de Grupos'!$D:$D)</f>
        <v>1000065763</v>
      </c>
      <c r="C161" s="5" t="str">
        <f>_xlfn.XLOOKUP($N161,'Base de Grupos'!$A:$A,'Base de Grupos'!$E:$E)</f>
        <v>CANAL VENDA INTERNA</v>
      </c>
      <c r="D161" s="5" t="str">
        <f>_xlfn.XLOOKUP($N161,'Base de Grupos'!$A:$A,'Base de Grupos'!$F:$F)</f>
        <v>1000065763</v>
      </c>
      <c r="E161" s="2" t="str">
        <f>_xlfn.XLOOKUP($N161,'Base de Grupos'!$A:$A,'Base de Grupos'!$G:$G)</f>
        <v>CANAL VENDA INTERNA</v>
      </c>
      <c r="F161" s="2" t="str">
        <f>_xlfn.XLOOKUP($N161,'Base de Grupos'!$A:$A,'Base de Grupos'!$H:$H)</f>
        <v>1000105900</v>
      </c>
      <c r="G161" s="5" t="str">
        <f>_xlfn.XLOOKUP($N161,'Base de Grupos'!$A:$A,'Base de Grupos'!$I:$I)</f>
        <v>REGIONAL VENDA DIRETA CO + NE + NO</v>
      </c>
      <c r="H161" s="5" t="str">
        <f>_xlfn.XLOOKUP($N161,'Base de Grupos'!$A:$A,'Base de Grupos'!$J:$J)</f>
        <v>1000105900</v>
      </c>
      <c r="I161" s="2" t="str">
        <f>_xlfn.XLOOKUP($N161,'Base de Grupos'!$A:$A,'Base de Grupos'!$K:$K)</f>
        <v>REGIONAL VENDA DIRETA CO + NE + NO</v>
      </c>
      <c r="J161" s="2" t="str">
        <f>_xlfn.XLOOKUP($N161,'Base de Grupos'!$A:$A,'Base de Grupos'!$L:$L)</f>
        <v>1000150135</v>
      </c>
      <c r="K161" s="5" t="str">
        <f>_xlfn.XLOOKUP($N161,'Base de Grupos'!$A:$A,'Base de Grupos'!$M:$M)</f>
        <v>HELDER DA SILVA BRUNKOW</v>
      </c>
      <c r="L161" s="5" t="str">
        <f t="shared" si="64"/>
        <v/>
      </c>
      <c r="M161" s="5" t="str">
        <f>_xlfn.XLOOKUP($N161,'Base de Grupos'!$A:$A,'Base de Grupos'!$C:$C)</f>
        <v>MA</v>
      </c>
      <c r="N161" s="3">
        <v>1332</v>
      </c>
      <c r="O161" s="4" t="s">
        <v>232</v>
      </c>
      <c r="P161" s="5" t="s">
        <v>96</v>
      </c>
      <c r="Q161" s="24">
        <v>0</v>
      </c>
      <c r="R161" s="24">
        <v>0</v>
      </c>
      <c r="S161" s="24">
        <v>0</v>
      </c>
      <c r="T161" s="24">
        <v>0</v>
      </c>
      <c r="U161" s="24">
        <v>0</v>
      </c>
      <c r="V161" s="24">
        <v>0</v>
      </c>
      <c r="W161" s="24">
        <v>0</v>
      </c>
      <c r="X161" s="24">
        <v>0</v>
      </c>
      <c r="Y161" s="24">
        <v>0</v>
      </c>
      <c r="Z161" s="24">
        <v>0</v>
      </c>
      <c r="AA161" s="24">
        <v>0</v>
      </c>
      <c r="AB161" s="24">
        <v>0</v>
      </c>
      <c r="AC161" s="30">
        <f t="shared" si="79"/>
        <v>0</v>
      </c>
      <c r="AD161" s="27">
        <f t="shared" si="73"/>
        <v>0</v>
      </c>
      <c r="AE161" s="25">
        <f>IFERROR(_xlfn.XLOOKUP(N161&amp;P161,'Historico Vendas'!G:G,'Historico Vendas'!E:E),0)</f>
        <v>0</v>
      </c>
      <c r="AF161" s="29" t="str">
        <f t="shared" si="65"/>
        <v/>
      </c>
      <c r="AG161" s="24">
        <f>IFERROR(_xlfn.XLOOKUP(N161&amp;P161,'Historico Vendas'!G:G,'Historico Vendas'!F:F),0)</f>
        <v>0</v>
      </c>
      <c r="AH161" s="25">
        <f t="shared" si="74"/>
        <v>0</v>
      </c>
      <c r="AI161" s="24">
        <f t="shared" si="75"/>
        <v>0</v>
      </c>
      <c r="AJ161" s="11" t="str">
        <f t="shared" si="66"/>
        <v/>
      </c>
      <c r="AK161" s="9" t="s">
        <v>102</v>
      </c>
      <c r="AL161" s="13">
        <f>IFERROR(INDEX('Balizador da Meta'!$D$3:$F$23,MATCH(Quantidade!$P161,'Balizador da Meta'!$C$3:$C$23,0),MATCH(Quantidade!AK161,'Balizador da Meta'!$D$2:$F$2,0)),"")</f>
        <v>0</v>
      </c>
      <c r="AM161" s="9"/>
    </row>
    <row r="162" spans="1:39" x14ac:dyDescent="0.3">
      <c r="A162" s="2" t="str">
        <f t="shared" si="63"/>
        <v>NÃO</v>
      </c>
      <c r="B162" s="2" t="str">
        <f>_xlfn.XLOOKUP($N162,'Base de Grupos'!$A:$A,'Base de Grupos'!$D:$D)</f>
        <v>1000065763</v>
      </c>
      <c r="C162" s="5" t="str">
        <f>_xlfn.XLOOKUP($N162,'Base de Grupos'!$A:$A,'Base de Grupos'!$E:$E)</f>
        <v>CANAL VENDA INTERNA</v>
      </c>
      <c r="D162" s="5" t="str">
        <f>_xlfn.XLOOKUP($N162,'Base de Grupos'!$A:$A,'Base de Grupos'!$F:$F)</f>
        <v>1000065763</v>
      </c>
      <c r="E162" s="2" t="str">
        <f>_xlfn.XLOOKUP($N162,'Base de Grupos'!$A:$A,'Base de Grupos'!$G:$G)</f>
        <v>CANAL VENDA INTERNA</v>
      </c>
      <c r="F162" s="2" t="str">
        <f>_xlfn.XLOOKUP($N162,'Base de Grupos'!$A:$A,'Base de Grupos'!$H:$H)</f>
        <v>1000105900</v>
      </c>
      <c r="G162" s="5" t="str">
        <f>_xlfn.XLOOKUP($N162,'Base de Grupos'!$A:$A,'Base de Grupos'!$I:$I)</f>
        <v>REGIONAL VENDA DIRETA CO + NE + NO</v>
      </c>
      <c r="H162" s="5" t="str">
        <f>_xlfn.XLOOKUP($N162,'Base de Grupos'!$A:$A,'Base de Grupos'!$J:$J)</f>
        <v>1000105900</v>
      </c>
      <c r="I162" s="2" t="str">
        <f>_xlfn.XLOOKUP($N162,'Base de Grupos'!$A:$A,'Base de Grupos'!$K:$K)</f>
        <v>REGIONAL VENDA DIRETA CO + NE + NO</v>
      </c>
      <c r="J162" s="2" t="str">
        <f>_xlfn.XLOOKUP($N162,'Base de Grupos'!$A:$A,'Base de Grupos'!$L:$L)</f>
        <v>1000150135</v>
      </c>
      <c r="K162" s="5" t="str">
        <f>_xlfn.XLOOKUP($N162,'Base de Grupos'!$A:$A,'Base de Grupos'!$M:$M)</f>
        <v>HELDER DA SILVA BRUNKOW</v>
      </c>
      <c r="L162" s="5" t="str">
        <f t="shared" si="64"/>
        <v/>
      </c>
      <c r="M162" s="5" t="str">
        <f>_xlfn.XLOOKUP($N162,'Base de Grupos'!$A:$A,'Base de Grupos'!$C:$C)</f>
        <v>MA</v>
      </c>
      <c r="N162" s="3">
        <v>1332</v>
      </c>
      <c r="O162" s="4" t="s">
        <v>232</v>
      </c>
      <c r="P162" s="5" t="s">
        <v>94</v>
      </c>
      <c r="Q162" s="24">
        <v>0</v>
      </c>
      <c r="R162" s="24">
        <v>0</v>
      </c>
      <c r="S162" s="24">
        <v>0</v>
      </c>
      <c r="T162" s="24">
        <v>0</v>
      </c>
      <c r="U162" s="24">
        <v>0</v>
      </c>
      <c r="V162" s="24">
        <v>0</v>
      </c>
      <c r="W162" s="24">
        <v>0</v>
      </c>
      <c r="X162" s="24">
        <v>0</v>
      </c>
      <c r="Y162" s="24">
        <v>0</v>
      </c>
      <c r="Z162" s="24">
        <v>0</v>
      </c>
      <c r="AA162" s="24">
        <v>0</v>
      </c>
      <c r="AB162" s="24">
        <v>0</v>
      </c>
      <c r="AC162" s="30">
        <f t="shared" si="79"/>
        <v>0</v>
      </c>
      <c r="AD162" s="27">
        <f t="shared" si="73"/>
        <v>0</v>
      </c>
      <c r="AE162" s="25">
        <f>IFERROR(_xlfn.XLOOKUP(N162&amp;P162,'Historico Vendas'!G:G,'Historico Vendas'!E:E),0)</f>
        <v>0</v>
      </c>
      <c r="AF162" s="29" t="str">
        <f t="shared" si="65"/>
        <v/>
      </c>
      <c r="AG162" s="24">
        <f>IFERROR(_xlfn.XLOOKUP(N162&amp;P162,'Historico Vendas'!G:G,'Historico Vendas'!F:F),0)</f>
        <v>0</v>
      </c>
      <c r="AH162" s="25">
        <f t="shared" si="74"/>
        <v>0</v>
      </c>
      <c r="AI162" s="24">
        <f t="shared" si="75"/>
        <v>0</v>
      </c>
      <c r="AJ162" s="11" t="str">
        <f t="shared" si="66"/>
        <v/>
      </c>
      <c r="AK162" s="9" t="s">
        <v>102</v>
      </c>
      <c r="AL162" s="13">
        <f>IFERROR(INDEX('Balizador da Meta'!$D$3:$F$23,MATCH(Quantidade!$P162,'Balizador da Meta'!$C$3:$C$23,0),MATCH(Quantidade!AK162,'Balizador da Meta'!$D$2:$F$2,0)),"")</f>
        <v>0.25</v>
      </c>
      <c r="AM162" s="9"/>
    </row>
    <row r="163" spans="1:39" x14ac:dyDescent="0.3">
      <c r="A163" s="2" t="str">
        <f t="shared" si="63"/>
        <v>NÃO</v>
      </c>
      <c r="B163" s="2" t="str">
        <f>_xlfn.XLOOKUP($N163,'Base de Grupos'!$A:$A,'Base de Grupos'!$D:$D)</f>
        <v>1000065763</v>
      </c>
      <c r="C163" s="5" t="str">
        <f>_xlfn.XLOOKUP($N163,'Base de Grupos'!$A:$A,'Base de Grupos'!$E:$E)</f>
        <v>CANAL VENDA INTERNA</v>
      </c>
      <c r="D163" s="5" t="str">
        <f>_xlfn.XLOOKUP($N163,'Base de Grupos'!$A:$A,'Base de Grupos'!$F:$F)</f>
        <v>1000065763</v>
      </c>
      <c r="E163" s="2" t="str">
        <f>_xlfn.XLOOKUP($N163,'Base de Grupos'!$A:$A,'Base de Grupos'!$G:$G)</f>
        <v>CANAL VENDA INTERNA</v>
      </c>
      <c r="F163" s="2" t="str">
        <f>_xlfn.XLOOKUP($N163,'Base de Grupos'!$A:$A,'Base de Grupos'!$H:$H)</f>
        <v>1000105900</v>
      </c>
      <c r="G163" s="5" t="str">
        <f>_xlfn.XLOOKUP($N163,'Base de Grupos'!$A:$A,'Base de Grupos'!$I:$I)</f>
        <v>REGIONAL VENDA DIRETA CO + NE + NO</v>
      </c>
      <c r="H163" s="5" t="str">
        <f>_xlfn.XLOOKUP($N163,'Base de Grupos'!$A:$A,'Base de Grupos'!$J:$J)</f>
        <v>1000105900</v>
      </c>
      <c r="I163" s="2" t="str">
        <f>_xlfn.XLOOKUP($N163,'Base de Grupos'!$A:$A,'Base de Grupos'!$K:$K)</f>
        <v>REGIONAL VENDA DIRETA CO + NE + NO</v>
      </c>
      <c r="J163" s="2" t="str">
        <f>_xlfn.XLOOKUP($N163,'Base de Grupos'!$A:$A,'Base de Grupos'!$L:$L)</f>
        <v>1000150135</v>
      </c>
      <c r="K163" s="5" t="str">
        <f>_xlfn.XLOOKUP($N163,'Base de Grupos'!$A:$A,'Base de Grupos'!$M:$M)</f>
        <v>HELDER DA SILVA BRUNKOW</v>
      </c>
      <c r="L163" s="5" t="str">
        <f t="shared" si="64"/>
        <v/>
      </c>
      <c r="M163" s="5" t="str">
        <f>_xlfn.XLOOKUP($N163,'Base de Grupos'!$A:$A,'Base de Grupos'!$C:$C)</f>
        <v>MA</v>
      </c>
      <c r="N163" s="3">
        <v>1332</v>
      </c>
      <c r="O163" s="4" t="s">
        <v>232</v>
      </c>
      <c r="P163" s="5" t="s">
        <v>95</v>
      </c>
      <c r="Q163" s="24">
        <v>0</v>
      </c>
      <c r="R163" s="24">
        <v>0</v>
      </c>
      <c r="S163" s="24">
        <v>0</v>
      </c>
      <c r="T163" s="24">
        <v>0</v>
      </c>
      <c r="U163" s="24">
        <v>0</v>
      </c>
      <c r="V163" s="24">
        <v>0</v>
      </c>
      <c r="W163" s="24">
        <v>0</v>
      </c>
      <c r="X163" s="24">
        <v>0</v>
      </c>
      <c r="Y163" s="24">
        <v>0</v>
      </c>
      <c r="Z163" s="24">
        <v>0</v>
      </c>
      <c r="AA163" s="24">
        <v>0</v>
      </c>
      <c r="AB163" s="24">
        <v>0</v>
      </c>
      <c r="AC163" s="30">
        <f t="shared" si="79"/>
        <v>0</v>
      </c>
      <c r="AD163" s="27">
        <f t="shared" si="73"/>
        <v>0</v>
      </c>
      <c r="AE163" s="25">
        <f>IFERROR(_xlfn.XLOOKUP(N163&amp;P163,'Historico Vendas'!G:G,'Historico Vendas'!E:E),0)</f>
        <v>0</v>
      </c>
      <c r="AF163" s="29" t="str">
        <f t="shared" si="65"/>
        <v/>
      </c>
      <c r="AG163" s="24">
        <f>IFERROR(_xlfn.XLOOKUP(N163&amp;P163,'Historico Vendas'!G:G,'Historico Vendas'!F:F),0)</f>
        <v>0</v>
      </c>
      <c r="AH163" s="25">
        <f t="shared" si="74"/>
        <v>0</v>
      </c>
      <c r="AI163" s="24">
        <f t="shared" si="75"/>
        <v>0</v>
      </c>
      <c r="AJ163" s="11" t="str">
        <f t="shared" si="66"/>
        <v/>
      </c>
      <c r="AK163" s="9" t="s">
        <v>102</v>
      </c>
      <c r="AL163" s="13">
        <f>IFERROR(INDEX('Balizador da Meta'!$D$3:$F$23,MATCH(Quantidade!$P163,'Balizador da Meta'!$C$3:$C$23,0),MATCH(Quantidade!AK163,'Balizador da Meta'!$D$2:$F$2,0)),"")</f>
        <v>0.25</v>
      </c>
      <c r="AM163" s="9"/>
    </row>
    <row r="164" spans="1:39" x14ac:dyDescent="0.3">
      <c r="A164" s="2" t="str">
        <f t="shared" si="63"/>
        <v>NÃO</v>
      </c>
      <c r="B164" s="2" t="str">
        <f>_xlfn.XLOOKUP($N164,'Base de Grupos'!$A:$A,'Base de Grupos'!$D:$D)</f>
        <v>1000065763</v>
      </c>
      <c r="C164" s="5" t="str">
        <f>_xlfn.XLOOKUP($N164,'Base de Grupos'!$A:$A,'Base de Grupos'!$E:$E)</f>
        <v>CANAL VENDA INTERNA</v>
      </c>
      <c r="D164" s="5" t="str">
        <f>_xlfn.XLOOKUP($N164,'Base de Grupos'!$A:$A,'Base de Grupos'!$F:$F)</f>
        <v>1000065763</v>
      </c>
      <c r="E164" s="2" t="str">
        <f>_xlfn.XLOOKUP($N164,'Base de Grupos'!$A:$A,'Base de Grupos'!$G:$G)</f>
        <v>CANAL VENDA INTERNA</v>
      </c>
      <c r="F164" s="2" t="str">
        <f>_xlfn.XLOOKUP($N164,'Base de Grupos'!$A:$A,'Base de Grupos'!$H:$H)</f>
        <v>1000105900</v>
      </c>
      <c r="G164" s="5" t="str">
        <f>_xlfn.XLOOKUP($N164,'Base de Grupos'!$A:$A,'Base de Grupos'!$I:$I)</f>
        <v>REGIONAL VENDA DIRETA CO + NE + NO</v>
      </c>
      <c r="H164" s="5" t="str">
        <f>_xlfn.XLOOKUP($N164,'Base de Grupos'!$A:$A,'Base de Grupos'!$J:$J)</f>
        <v>1000105900</v>
      </c>
      <c r="I164" s="2" t="str">
        <f>_xlfn.XLOOKUP($N164,'Base de Grupos'!$A:$A,'Base de Grupos'!$K:$K)</f>
        <v>REGIONAL VENDA DIRETA CO + NE + NO</v>
      </c>
      <c r="J164" s="2" t="str">
        <f>_xlfn.XLOOKUP($N164,'Base de Grupos'!$A:$A,'Base de Grupos'!$L:$L)</f>
        <v>1000150135</v>
      </c>
      <c r="K164" s="5" t="str">
        <f>_xlfn.XLOOKUP($N164,'Base de Grupos'!$A:$A,'Base de Grupos'!$M:$M)</f>
        <v>HELDER DA SILVA BRUNKOW</v>
      </c>
      <c r="L164" s="5" t="str">
        <f t="shared" si="64"/>
        <v/>
      </c>
      <c r="M164" s="5" t="str">
        <f>_xlfn.XLOOKUP($N164,'Base de Grupos'!$A:$A,'Base de Grupos'!$C:$C)</f>
        <v>MA</v>
      </c>
      <c r="N164" s="3">
        <v>1332</v>
      </c>
      <c r="O164" s="4" t="s">
        <v>232</v>
      </c>
      <c r="P164" s="5" t="s">
        <v>93</v>
      </c>
      <c r="Q164" s="24">
        <v>0</v>
      </c>
      <c r="R164" s="24">
        <v>0</v>
      </c>
      <c r="S164" s="24">
        <v>0</v>
      </c>
      <c r="T164" s="24">
        <v>0</v>
      </c>
      <c r="U164" s="24">
        <v>0</v>
      </c>
      <c r="V164" s="24">
        <v>0</v>
      </c>
      <c r="W164" s="24">
        <v>0</v>
      </c>
      <c r="X164" s="24">
        <v>0</v>
      </c>
      <c r="Y164" s="24">
        <v>0</v>
      </c>
      <c r="Z164" s="24">
        <v>0</v>
      </c>
      <c r="AA164" s="24">
        <v>0</v>
      </c>
      <c r="AB164" s="24">
        <v>0</v>
      </c>
      <c r="AC164" s="30">
        <f t="shared" si="79"/>
        <v>0</v>
      </c>
      <c r="AD164" s="27">
        <f t="shared" si="73"/>
        <v>0</v>
      </c>
      <c r="AE164" s="25">
        <f>IFERROR(_xlfn.XLOOKUP(N164&amp;P164,'Historico Vendas'!G:G,'Historico Vendas'!E:E),0)</f>
        <v>0</v>
      </c>
      <c r="AF164" s="29" t="str">
        <f t="shared" si="65"/>
        <v/>
      </c>
      <c r="AG164" s="24">
        <f>IFERROR(_xlfn.XLOOKUP(N164&amp;P164,'Historico Vendas'!G:G,'Historico Vendas'!F:F),0)</f>
        <v>0</v>
      </c>
      <c r="AH164" s="25">
        <f t="shared" si="74"/>
        <v>0</v>
      </c>
      <c r="AI164" s="24">
        <f t="shared" si="75"/>
        <v>0</v>
      </c>
      <c r="AJ164" s="11" t="str">
        <f t="shared" si="66"/>
        <v/>
      </c>
      <c r="AK164" s="9" t="s">
        <v>102</v>
      </c>
      <c r="AL164" s="13">
        <f>IFERROR(INDEX('Balizador da Meta'!$D$3:$F$23,MATCH(Quantidade!$P164,'Balizador da Meta'!$C$3:$C$23,0),MATCH(Quantidade!AK164,'Balizador da Meta'!$D$2:$F$2,0)),"")</f>
        <v>0.2</v>
      </c>
      <c r="AM164" s="9"/>
    </row>
    <row r="165" spans="1:39" x14ac:dyDescent="0.3">
      <c r="A165" s="2" t="str">
        <f t="shared" si="63"/>
        <v>SIM</v>
      </c>
      <c r="B165" s="2" t="str">
        <f>_xlfn.XLOOKUP($N165,'Base de Grupos'!$A:$A,'Base de Grupos'!$D:$D)</f>
        <v>1000065763</v>
      </c>
      <c r="C165" s="5" t="str">
        <f>_xlfn.XLOOKUP($N165,'Base de Grupos'!$A:$A,'Base de Grupos'!$E:$E)</f>
        <v>CANAL VENDA INTERNA</v>
      </c>
      <c r="D165" s="5" t="str">
        <f>_xlfn.XLOOKUP($N165,'Base de Grupos'!$A:$A,'Base de Grupos'!$F:$F)</f>
        <v>1000065763</v>
      </c>
      <c r="E165" s="2" t="str">
        <f>_xlfn.XLOOKUP($N165,'Base de Grupos'!$A:$A,'Base de Grupos'!$G:$G)</f>
        <v>CANAL VENDA INTERNA</v>
      </c>
      <c r="F165" s="2" t="str">
        <f>_xlfn.XLOOKUP($N165,'Base de Grupos'!$A:$A,'Base de Grupos'!$H:$H)</f>
        <v>1000153245</v>
      </c>
      <c r="G165" s="5" t="str">
        <f>_xlfn.XLOOKUP($N165,'Base de Grupos'!$A:$A,'Base de Grupos'!$I:$I)</f>
        <v>REGIONAL VENDA INTERNA - KEY ACCOUNT</v>
      </c>
      <c r="H165" s="5" t="str">
        <f>_xlfn.XLOOKUP($N165,'Base de Grupos'!$A:$A,'Base de Grupos'!$J:$J)</f>
        <v>1000153245</v>
      </c>
      <c r="I165" s="2" t="str">
        <f>_xlfn.XLOOKUP($N165,'Base de Grupos'!$A:$A,'Base de Grupos'!$K:$K)</f>
        <v>REGIONAL VENDA INTERNA - KEY ACCOUNT</v>
      </c>
      <c r="J165" s="2" t="str">
        <f>_xlfn.XLOOKUP($N165,'Base de Grupos'!$A:$A,'Base de Grupos'!$L:$L)</f>
        <v>1000153245</v>
      </c>
      <c r="K165" s="5" t="str">
        <f>_xlfn.XLOOKUP($N165,'Base de Grupos'!$A:$A,'Base de Grupos'!$M:$M)</f>
        <v>REGIONAL VENDA INTERNA - KEY ACCOUNT</v>
      </c>
      <c r="L165" s="5">
        <f t="shared" si="64"/>
        <v>1</v>
      </c>
      <c r="M165" s="5" t="str">
        <f>_xlfn.XLOOKUP($N165,'Base de Grupos'!$A:$A,'Base de Grupos'!$C:$C)</f>
        <v>TO</v>
      </c>
      <c r="N165" s="3">
        <v>1346</v>
      </c>
      <c r="O165" s="4" t="s">
        <v>233</v>
      </c>
      <c r="P165" s="5" t="s">
        <v>303</v>
      </c>
      <c r="Q165" s="24">
        <v>0</v>
      </c>
      <c r="R165" s="24">
        <v>0</v>
      </c>
      <c r="S165" s="24">
        <v>0</v>
      </c>
      <c r="T165" s="24">
        <v>0</v>
      </c>
      <c r="U165" s="24">
        <v>0</v>
      </c>
      <c r="V165" s="24">
        <v>0</v>
      </c>
      <c r="W165" s="24">
        <v>0</v>
      </c>
      <c r="X165" s="24">
        <v>0</v>
      </c>
      <c r="Y165" s="24">
        <v>0</v>
      </c>
      <c r="Z165" s="24">
        <v>0</v>
      </c>
      <c r="AA165" s="24">
        <v>0</v>
      </c>
      <c r="AB165" s="24">
        <v>0</v>
      </c>
      <c r="AC165" s="30">
        <f t="shared" si="79"/>
        <v>0</v>
      </c>
      <c r="AD165" s="25">
        <f t="shared" ref="AD165:AI165" si="80">SUM(AD166:AD182)</f>
        <v>0</v>
      </c>
      <c r="AE165" s="25">
        <f t="shared" si="80"/>
        <v>0</v>
      </c>
      <c r="AF165" s="11" t="str">
        <f t="shared" si="65"/>
        <v/>
      </c>
      <c r="AG165" s="24">
        <f t="shared" si="80"/>
        <v>0</v>
      </c>
      <c r="AH165" s="25">
        <f t="shared" si="80"/>
        <v>0</v>
      </c>
      <c r="AI165" s="24">
        <f t="shared" si="80"/>
        <v>0</v>
      </c>
      <c r="AJ165" s="11" t="str">
        <f t="shared" si="66"/>
        <v/>
      </c>
      <c r="AK165" s="9"/>
      <c r="AL165" s="13"/>
      <c r="AM165" s="9"/>
    </row>
    <row r="166" spans="1:39" x14ac:dyDescent="0.3">
      <c r="A166" s="2" t="str">
        <f t="shared" si="63"/>
        <v>NÃO</v>
      </c>
      <c r="B166" s="2" t="str">
        <f>_xlfn.XLOOKUP($N166,'Base de Grupos'!$A:$A,'Base de Grupos'!$D:$D)</f>
        <v>1000065763</v>
      </c>
      <c r="C166" s="5" t="str">
        <f>_xlfn.XLOOKUP($N166,'Base de Grupos'!$A:$A,'Base de Grupos'!$E:$E)</f>
        <v>CANAL VENDA INTERNA</v>
      </c>
      <c r="D166" s="5" t="str">
        <f>_xlfn.XLOOKUP($N166,'Base de Grupos'!$A:$A,'Base de Grupos'!$F:$F)</f>
        <v>1000065763</v>
      </c>
      <c r="E166" s="2" t="str">
        <f>_xlfn.XLOOKUP($N166,'Base de Grupos'!$A:$A,'Base de Grupos'!$G:$G)</f>
        <v>CANAL VENDA INTERNA</v>
      </c>
      <c r="F166" s="2" t="str">
        <f>_xlfn.XLOOKUP($N166,'Base de Grupos'!$A:$A,'Base de Grupos'!$H:$H)</f>
        <v>1000153245</v>
      </c>
      <c r="G166" s="5" t="str">
        <f>_xlfn.XLOOKUP($N166,'Base de Grupos'!$A:$A,'Base de Grupos'!$I:$I)</f>
        <v>REGIONAL VENDA INTERNA - KEY ACCOUNT</v>
      </c>
      <c r="H166" s="5" t="str">
        <f>_xlfn.XLOOKUP($N166,'Base de Grupos'!$A:$A,'Base de Grupos'!$J:$J)</f>
        <v>1000153245</v>
      </c>
      <c r="I166" s="2" t="str">
        <f>_xlfn.XLOOKUP($N166,'Base de Grupos'!$A:$A,'Base de Grupos'!$K:$K)</f>
        <v>REGIONAL VENDA INTERNA - KEY ACCOUNT</v>
      </c>
      <c r="J166" s="2" t="str">
        <f>_xlfn.XLOOKUP($N166,'Base de Grupos'!$A:$A,'Base de Grupos'!$L:$L)</f>
        <v>1000153245</v>
      </c>
      <c r="K166" s="5" t="str">
        <f>_xlfn.XLOOKUP($N166,'Base de Grupos'!$A:$A,'Base de Grupos'!$M:$M)</f>
        <v>REGIONAL VENDA INTERNA - KEY ACCOUNT</v>
      </c>
      <c r="L166" s="5" t="str">
        <f t="shared" si="64"/>
        <v/>
      </c>
      <c r="M166" s="5" t="str">
        <f>_xlfn.XLOOKUP($N166,'Base de Grupos'!$A:$A,'Base de Grupos'!$C:$C)</f>
        <v>TO</v>
      </c>
      <c r="N166" s="3">
        <v>1346</v>
      </c>
      <c r="O166" s="4" t="s">
        <v>233</v>
      </c>
      <c r="P166" s="5" t="s">
        <v>81</v>
      </c>
      <c r="Q166" s="24">
        <v>0</v>
      </c>
      <c r="R166" s="24">
        <v>0</v>
      </c>
      <c r="S166" s="24">
        <v>0</v>
      </c>
      <c r="T166" s="24">
        <v>0</v>
      </c>
      <c r="U166" s="24">
        <v>0</v>
      </c>
      <c r="V166" s="24">
        <v>0</v>
      </c>
      <c r="W166" s="24">
        <v>0</v>
      </c>
      <c r="X166" s="24">
        <v>0</v>
      </c>
      <c r="Y166" s="24">
        <v>0</v>
      </c>
      <c r="Z166" s="24">
        <v>0</v>
      </c>
      <c r="AA166" s="24">
        <v>0</v>
      </c>
      <c r="AB166" s="24">
        <v>0</v>
      </c>
      <c r="AC166" s="30">
        <f t="shared" si="79"/>
        <v>0</v>
      </c>
      <c r="AD166" s="27">
        <f t="shared" ref="AD166:AD182" si="81">IF(AC166=0,0,AC166-AG166)</f>
        <v>0</v>
      </c>
      <c r="AE166" s="25">
        <f>IFERROR(_xlfn.XLOOKUP(N166&amp;P166,'Historico Vendas'!G:G,'Historico Vendas'!E:E),0)</f>
        <v>0</v>
      </c>
      <c r="AF166" s="29" t="str">
        <f t="shared" si="65"/>
        <v/>
      </c>
      <c r="AG166" s="24">
        <f>IFERROR(_xlfn.XLOOKUP(N166&amp;P166,'Historico Vendas'!G:G,'Historico Vendas'!F:F),0)</f>
        <v>0</v>
      </c>
      <c r="AH166" s="25">
        <f t="shared" ref="AH166:AH182" si="82">SUM(Q166:S166)</f>
        <v>0</v>
      </c>
      <c r="AI166" s="24">
        <f t="shared" ref="AI166:AI182" si="83">AH166-AG166</f>
        <v>0</v>
      </c>
      <c r="AJ166" s="11" t="str">
        <f t="shared" si="66"/>
        <v/>
      </c>
      <c r="AK166" s="9" t="s">
        <v>102</v>
      </c>
      <c r="AL166" s="13">
        <f>IFERROR(INDEX('Balizador da Meta'!$D$3:$F$23,MATCH(Quantidade!$P166,'Balizador da Meta'!$C$3:$C$23,0),MATCH(Quantidade!AK166,'Balizador da Meta'!$D$2:$F$2,0)),"")</f>
        <v>0.2</v>
      </c>
      <c r="AM166" s="9"/>
    </row>
    <row r="167" spans="1:39" x14ac:dyDescent="0.3">
      <c r="A167" s="2" t="str">
        <f t="shared" si="63"/>
        <v>NÃO</v>
      </c>
      <c r="B167" s="2" t="str">
        <f>_xlfn.XLOOKUP($N167,'Base de Grupos'!$A:$A,'Base de Grupos'!$D:$D)</f>
        <v>1000065763</v>
      </c>
      <c r="C167" s="5" t="str">
        <f>_xlfn.XLOOKUP($N167,'Base de Grupos'!$A:$A,'Base de Grupos'!$E:$E)</f>
        <v>CANAL VENDA INTERNA</v>
      </c>
      <c r="D167" s="5" t="str">
        <f>_xlfn.XLOOKUP($N167,'Base de Grupos'!$A:$A,'Base de Grupos'!$F:$F)</f>
        <v>1000065763</v>
      </c>
      <c r="E167" s="2" t="str">
        <f>_xlfn.XLOOKUP($N167,'Base de Grupos'!$A:$A,'Base de Grupos'!$G:$G)</f>
        <v>CANAL VENDA INTERNA</v>
      </c>
      <c r="F167" s="2" t="str">
        <f>_xlfn.XLOOKUP($N167,'Base de Grupos'!$A:$A,'Base de Grupos'!$H:$H)</f>
        <v>1000153245</v>
      </c>
      <c r="G167" s="5" t="str">
        <f>_xlfn.XLOOKUP($N167,'Base de Grupos'!$A:$A,'Base de Grupos'!$I:$I)</f>
        <v>REGIONAL VENDA INTERNA - KEY ACCOUNT</v>
      </c>
      <c r="H167" s="5" t="str">
        <f>_xlfn.XLOOKUP($N167,'Base de Grupos'!$A:$A,'Base de Grupos'!$J:$J)</f>
        <v>1000153245</v>
      </c>
      <c r="I167" s="2" t="str">
        <f>_xlfn.XLOOKUP($N167,'Base de Grupos'!$A:$A,'Base de Grupos'!$K:$K)</f>
        <v>REGIONAL VENDA INTERNA - KEY ACCOUNT</v>
      </c>
      <c r="J167" s="2" t="str">
        <f>_xlfn.XLOOKUP($N167,'Base de Grupos'!$A:$A,'Base de Grupos'!$L:$L)</f>
        <v>1000153245</v>
      </c>
      <c r="K167" s="5" t="str">
        <f>_xlfn.XLOOKUP($N167,'Base de Grupos'!$A:$A,'Base de Grupos'!$M:$M)</f>
        <v>REGIONAL VENDA INTERNA - KEY ACCOUNT</v>
      </c>
      <c r="L167" s="5" t="str">
        <f t="shared" si="64"/>
        <v/>
      </c>
      <c r="M167" s="5" t="str">
        <f>_xlfn.XLOOKUP($N167,'Base de Grupos'!$A:$A,'Base de Grupos'!$C:$C)</f>
        <v>TO</v>
      </c>
      <c r="N167" s="3">
        <v>1346</v>
      </c>
      <c r="O167" s="4" t="s">
        <v>233</v>
      </c>
      <c r="P167" s="5" t="s">
        <v>82</v>
      </c>
      <c r="Q167" s="24">
        <v>0</v>
      </c>
      <c r="R167" s="24">
        <v>0</v>
      </c>
      <c r="S167" s="24">
        <v>0</v>
      </c>
      <c r="T167" s="24">
        <v>0</v>
      </c>
      <c r="U167" s="24">
        <v>0</v>
      </c>
      <c r="V167" s="24">
        <v>0</v>
      </c>
      <c r="W167" s="24">
        <v>0</v>
      </c>
      <c r="X167" s="24">
        <v>0</v>
      </c>
      <c r="Y167" s="24">
        <v>0</v>
      </c>
      <c r="Z167" s="24">
        <v>0</v>
      </c>
      <c r="AA167" s="24">
        <v>0</v>
      </c>
      <c r="AB167" s="24">
        <v>0</v>
      </c>
      <c r="AC167" s="30">
        <f t="shared" si="79"/>
        <v>0</v>
      </c>
      <c r="AD167" s="27">
        <f t="shared" si="81"/>
        <v>0</v>
      </c>
      <c r="AE167" s="25">
        <f>IFERROR(_xlfn.XLOOKUP(N167&amp;P167,'Historico Vendas'!G:G,'Historico Vendas'!E:E),0)</f>
        <v>0</v>
      </c>
      <c r="AF167" s="29" t="str">
        <f t="shared" si="65"/>
        <v/>
      </c>
      <c r="AG167" s="24">
        <f>IFERROR(_xlfn.XLOOKUP(N167&amp;P167,'Historico Vendas'!G:G,'Historico Vendas'!F:F),0)</f>
        <v>0</v>
      </c>
      <c r="AH167" s="25">
        <f t="shared" si="82"/>
        <v>0</v>
      </c>
      <c r="AI167" s="24">
        <f t="shared" si="83"/>
        <v>0</v>
      </c>
      <c r="AJ167" s="11" t="str">
        <f t="shared" si="66"/>
        <v/>
      </c>
      <c r="AK167" s="9" t="s">
        <v>102</v>
      </c>
      <c r="AL167" s="13">
        <f>IFERROR(INDEX('Balizador da Meta'!$D$3:$F$23,MATCH(Quantidade!$P167,'Balizador da Meta'!$C$3:$C$23,0),MATCH(Quantidade!AK167,'Balizador da Meta'!$D$2:$F$2,0)),"")</f>
        <v>0.2</v>
      </c>
      <c r="AM167" s="9"/>
    </row>
    <row r="168" spans="1:39" x14ac:dyDescent="0.3">
      <c r="A168" s="2" t="str">
        <f t="shared" si="63"/>
        <v>NÃO</v>
      </c>
      <c r="B168" s="2" t="str">
        <f>_xlfn.XLOOKUP($N168,'Base de Grupos'!$A:$A,'Base de Grupos'!$D:$D)</f>
        <v>1000065763</v>
      </c>
      <c r="C168" s="5" t="str">
        <f>_xlfn.XLOOKUP($N168,'Base de Grupos'!$A:$A,'Base de Grupos'!$E:$E)</f>
        <v>CANAL VENDA INTERNA</v>
      </c>
      <c r="D168" s="5" t="str">
        <f>_xlfn.XLOOKUP($N168,'Base de Grupos'!$A:$A,'Base de Grupos'!$F:$F)</f>
        <v>1000065763</v>
      </c>
      <c r="E168" s="2" t="str">
        <f>_xlfn.XLOOKUP($N168,'Base de Grupos'!$A:$A,'Base de Grupos'!$G:$G)</f>
        <v>CANAL VENDA INTERNA</v>
      </c>
      <c r="F168" s="2" t="str">
        <f>_xlfn.XLOOKUP($N168,'Base de Grupos'!$A:$A,'Base de Grupos'!$H:$H)</f>
        <v>1000153245</v>
      </c>
      <c r="G168" s="5" t="str">
        <f>_xlfn.XLOOKUP($N168,'Base de Grupos'!$A:$A,'Base de Grupos'!$I:$I)</f>
        <v>REGIONAL VENDA INTERNA - KEY ACCOUNT</v>
      </c>
      <c r="H168" s="5" t="str">
        <f>_xlfn.XLOOKUP($N168,'Base de Grupos'!$A:$A,'Base de Grupos'!$J:$J)</f>
        <v>1000153245</v>
      </c>
      <c r="I168" s="2" t="str">
        <f>_xlfn.XLOOKUP($N168,'Base de Grupos'!$A:$A,'Base de Grupos'!$K:$K)</f>
        <v>REGIONAL VENDA INTERNA - KEY ACCOUNT</v>
      </c>
      <c r="J168" s="2" t="str">
        <f>_xlfn.XLOOKUP($N168,'Base de Grupos'!$A:$A,'Base de Grupos'!$L:$L)</f>
        <v>1000153245</v>
      </c>
      <c r="K168" s="5" t="str">
        <f>_xlfn.XLOOKUP($N168,'Base de Grupos'!$A:$A,'Base de Grupos'!$M:$M)</f>
        <v>REGIONAL VENDA INTERNA - KEY ACCOUNT</v>
      </c>
      <c r="L168" s="5" t="str">
        <f t="shared" si="64"/>
        <v/>
      </c>
      <c r="M168" s="5" t="str">
        <f>_xlfn.XLOOKUP($N168,'Base de Grupos'!$A:$A,'Base de Grupos'!$C:$C)</f>
        <v>TO</v>
      </c>
      <c r="N168" s="3">
        <v>1346</v>
      </c>
      <c r="O168" s="4" t="s">
        <v>233</v>
      </c>
      <c r="P168" s="5" t="s">
        <v>84</v>
      </c>
      <c r="Q168" s="24">
        <v>0</v>
      </c>
      <c r="R168" s="24">
        <v>0</v>
      </c>
      <c r="S168" s="24">
        <v>0</v>
      </c>
      <c r="T168" s="24">
        <v>0</v>
      </c>
      <c r="U168" s="24">
        <v>0</v>
      </c>
      <c r="V168" s="24">
        <v>0</v>
      </c>
      <c r="W168" s="24">
        <v>0</v>
      </c>
      <c r="X168" s="24">
        <v>0</v>
      </c>
      <c r="Y168" s="24">
        <v>0</v>
      </c>
      <c r="Z168" s="24">
        <v>0</v>
      </c>
      <c r="AA168" s="24">
        <v>0</v>
      </c>
      <c r="AB168" s="24">
        <v>0</v>
      </c>
      <c r="AC168" s="30">
        <f t="shared" si="79"/>
        <v>0</v>
      </c>
      <c r="AD168" s="27">
        <f t="shared" si="81"/>
        <v>0</v>
      </c>
      <c r="AE168" s="25">
        <f>IFERROR(_xlfn.XLOOKUP(N168&amp;P168,'Historico Vendas'!G:G,'Historico Vendas'!E:E),0)</f>
        <v>0</v>
      </c>
      <c r="AF168" s="29" t="str">
        <f t="shared" si="65"/>
        <v/>
      </c>
      <c r="AG168" s="24">
        <f>IFERROR(_xlfn.XLOOKUP(N168&amp;P168,'Historico Vendas'!G:G,'Historico Vendas'!F:F),0)</f>
        <v>0</v>
      </c>
      <c r="AH168" s="25">
        <f t="shared" si="82"/>
        <v>0</v>
      </c>
      <c r="AI168" s="24">
        <f t="shared" si="83"/>
        <v>0</v>
      </c>
      <c r="AJ168" s="11" t="str">
        <f t="shared" si="66"/>
        <v/>
      </c>
      <c r="AK168" s="9" t="s">
        <v>102</v>
      </c>
      <c r="AL168" s="13">
        <f>IFERROR(INDEX('Balizador da Meta'!$D$3:$F$23,MATCH(Quantidade!$P168,'Balizador da Meta'!$C$3:$C$23,0),MATCH(Quantidade!AK168,'Balizador da Meta'!$D$2:$F$2,0)),"")</f>
        <v>0.15</v>
      </c>
      <c r="AM168" s="9"/>
    </row>
    <row r="169" spans="1:39" x14ac:dyDescent="0.3">
      <c r="A169" s="2" t="str">
        <f t="shared" si="63"/>
        <v>NÃO</v>
      </c>
      <c r="B169" s="2" t="str">
        <f>_xlfn.XLOOKUP($N169,'Base de Grupos'!$A:$A,'Base de Grupos'!$D:$D)</f>
        <v>1000065763</v>
      </c>
      <c r="C169" s="5" t="str">
        <f>_xlfn.XLOOKUP($N169,'Base de Grupos'!$A:$A,'Base de Grupos'!$E:$E)</f>
        <v>CANAL VENDA INTERNA</v>
      </c>
      <c r="D169" s="5" t="str">
        <f>_xlfn.XLOOKUP($N169,'Base de Grupos'!$A:$A,'Base de Grupos'!$F:$F)</f>
        <v>1000065763</v>
      </c>
      <c r="E169" s="2" t="str">
        <f>_xlfn.XLOOKUP($N169,'Base de Grupos'!$A:$A,'Base de Grupos'!$G:$G)</f>
        <v>CANAL VENDA INTERNA</v>
      </c>
      <c r="F169" s="2" t="str">
        <f>_xlfn.XLOOKUP($N169,'Base de Grupos'!$A:$A,'Base de Grupos'!$H:$H)</f>
        <v>1000153245</v>
      </c>
      <c r="G169" s="5" t="str">
        <f>_xlfn.XLOOKUP($N169,'Base de Grupos'!$A:$A,'Base de Grupos'!$I:$I)</f>
        <v>REGIONAL VENDA INTERNA - KEY ACCOUNT</v>
      </c>
      <c r="H169" s="5" t="str">
        <f>_xlfn.XLOOKUP($N169,'Base de Grupos'!$A:$A,'Base de Grupos'!$J:$J)</f>
        <v>1000153245</v>
      </c>
      <c r="I169" s="2" t="str">
        <f>_xlfn.XLOOKUP($N169,'Base de Grupos'!$A:$A,'Base de Grupos'!$K:$K)</f>
        <v>REGIONAL VENDA INTERNA - KEY ACCOUNT</v>
      </c>
      <c r="J169" s="2" t="str">
        <f>_xlfn.XLOOKUP($N169,'Base de Grupos'!$A:$A,'Base de Grupos'!$L:$L)</f>
        <v>1000153245</v>
      </c>
      <c r="K169" s="5" t="str">
        <f>_xlfn.XLOOKUP($N169,'Base de Grupos'!$A:$A,'Base de Grupos'!$M:$M)</f>
        <v>REGIONAL VENDA INTERNA - KEY ACCOUNT</v>
      </c>
      <c r="L169" s="5" t="str">
        <f t="shared" si="64"/>
        <v/>
      </c>
      <c r="M169" s="5" t="str">
        <f>_xlfn.XLOOKUP($N169,'Base de Grupos'!$A:$A,'Base de Grupos'!$C:$C)</f>
        <v>TO</v>
      </c>
      <c r="N169" s="3">
        <v>1346</v>
      </c>
      <c r="O169" s="4" t="s">
        <v>233</v>
      </c>
      <c r="P169" s="5" t="s">
        <v>83</v>
      </c>
      <c r="Q169" s="24">
        <v>0</v>
      </c>
      <c r="R169" s="24">
        <v>0</v>
      </c>
      <c r="S169" s="24">
        <v>0</v>
      </c>
      <c r="T169" s="24">
        <v>0</v>
      </c>
      <c r="U169" s="24">
        <v>0</v>
      </c>
      <c r="V169" s="24">
        <v>0</v>
      </c>
      <c r="W169" s="24">
        <v>0</v>
      </c>
      <c r="X169" s="24">
        <v>0</v>
      </c>
      <c r="Y169" s="24">
        <v>0</v>
      </c>
      <c r="Z169" s="24">
        <v>0</v>
      </c>
      <c r="AA169" s="24">
        <v>0</v>
      </c>
      <c r="AB169" s="24">
        <v>0</v>
      </c>
      <c r="AC169" s="30">
        <f t="shared" si="79"/>
        <v>0</v>
      </c>
      <c r="AD169" s="27">
        <f t="shared" si="81"/>
        <v>0</v>
      </c>
      <c r="AE169" s="25">
        <f>IFERROR(_xlfn.XLOOKUP(N169&amp;P169,'Historico Vendas'!G:G,'Historico Vendas'!E:E),0)</f>
        <v>0</v>
      </c>
      <c r="AF169" s="29" t="str">
        <f t="shared" si="65"/>
        <v/>
      </c>
      <c r="AG169" s="24">
        <f>IFERROR(_xlfn.XLOOKUP(N169&amp;P169,'Historico Vendas'!G:G,'Historico Vendas'!F:F),0)</f>
        <v>0</v>
      </c>
      <c r="AH169" s="25">
        <f t="shared" si="82"/>
        <v>0</v>
      </c>
      <c r="AI169" s="24">
        <f t="shared" si="83"/>
        <v>0</v>
      </c>
      <c r="AJ169" s="11" t="str">
        <f t="shared" si="66"/>
        <v/>
      </c>
      <c r="AK169" s="9" t="s">
        <v>102</v>
      </c>
      <c r="AL169" s="13">
        <f>IFERROR(INDEX('Balizador da Meta'!$D$3:$F$23,MATCH(Quantidade!$P169,'Balizador da Meta'!$C$3:$C$23,0),MATCH(Quantidade!AK169,'Balizador da Meta'!$D$2:$F$2,0)),"")</f>
        <v>0</v>
      </c>
      <c r="AM169" s="9"/>
    </row>
    <row r="170" spans="1:39" x14ac:dyDescent="0.3">
      <c r="A170" s="2" t="str">
        <f t="shared" si="63"/>
        <v>NÃO</v>
      </c>
      <c r="B170" s="2" t="str">
        <f>_xlfn.XLOOKUP($N170,'Base de Grupos'!$A:$A,'Base de Grupos'!$D:$D)</f>
        <v>1000065763</v>
      </c>
      <c r="C170" s="5" t="str">
        <f>_xlfn.XLOOKUP($N170,'Base de Grupos'!$A:$A,'Base de Grupos'!$E:$E)</f>
        <v>CANAL VENDA INTERNA</v>
      </c>
      <c r="D170" s="5" t="str">
        <f>_xlfn.XLOOKUP($N170,'Base de Grupos'!$A:$A,'Base de Grupos'!$F:$F)</f>
        <v>1000065763</v>
      </c>
      <c r="E170" s="2" t="str">
        <f>_xlfn.XLOOKUP($N170,'Base de Grupos'!$A:$A,'Base de Grupos'!$G:$G)</f>
        <v>CANAL VENDA INTERNA</v>
      </c>
      <c r="F170" s="2" t="str">
        <f>_xlfn.XLOOKUP($N170,'Base de Grupos'!$A:$A,'Base de Grupos'!$H:$H)</f>
        <v>1000153245</v>
      </c>
      <c r="G170" s="5" t="str">
        <f>_xlfn.XLOOKUP($N170,'Base de Grupos'!$A:$A,'Base de Grupos'!$I:$I)</f>
        <v>REGIONAL VENDA INTERNA - KEY ACCOUNT</v>
      </c>
      <c r="H170" s="5" t="str">
        <f>_xlfn.XLOOKUP($N170,'Base de Grupos'!$A:$A,'Base de Grupos'!$J:$J)</f>
        <v>1000153245</v>
      </c>
      <c r="I170" s="2" t="str">
        <f>_xlfn.XLOOKUP($N170,'Base de Grupos'!$A:$A,'Base de Grupos'!$K:$K)</f>
        <v>REGIONAL VENDA INTERNA - KEY ACCOUNT</v>
      </c>
      <c r="J170" s="2" t="str">
        <f>_xlfn.XLOOKUP($N170,'Base de Grupos'!$A:$A,'Base de Grupos'!$L:$L)</f>
        <v>1000153245</v>
      </c>
      <c r="K170" s="5" t="str">
        <f>_xlfn.XLOOKUP($N170,'Base de Grupos'!$A:$A,'Base de Grupos'!$M:$M)</f>
        <v>REGIONAL VENDA INTERNA - KEY ACCOUNT</v>
      </c>
      <c r="L170" s="5" t="str">
        <f t="shared" si="64"/>
        <v/>
      </c>
      <c r="M170" s="5" t="str">
        <f>_xlfn.XLOOKUP($N170,'Base de Grupos'!$A:$A,'Base de Grupos'!$C:$C)</f>
        <v>TO</v>
      </c>
      <c r="N170" s="3">
        <v>1346</v>
      </c>
      <c r="O170" s="4" t="s">
        <v>233</v>
      </c>
      <c r="P170" s="5" t="s">
        <v>87</v>
      </c>
      <c r="Q170" s="24">
        <v>0</v>
      </c>
      <c r="R170" s="24">
        <v>0</v>
      </c>
      <c r="S170" s="24">
        <v>0</v>
      </c>
      <c r="T170" s="24">
        <v>0</v>
      </c>
      <c r="U170" s="24">
        <v>0</v>
      </c>
      <c r="V170" s="24">
        <v>0</v>
      </c>
      <c r="W170" s="24">
        <v>0</v>
      </c>
      <c r="X170" s="24">
        <v>0</v>
      </c>
      <c r="Y170" s="24">
        <v>0</v>
      </c>
      <c r="Z170" s="24">
        <v>0</v>
      </c>
      <c r="AA170" s="24">
        <v>0</v>
      </c>
      <c r="AB170" s="24">
        <v>0</v>
      </c>
      <c r="AC170" s="30">
        <f t="shared" si="79"/>
        <v>0</v>
      </c>
      <c r="AD170" s="27">
        <f t="shared" si="81"/>
        <v>0</v>
      </c>
      <c r="AE170" s="25">
        <f>IFERROR(_xlfn.XLOOKUP(N170&amp;P170,'Historico Vendas'!G:G,'Historico Vendas'!E:E),0)</f>
        <v>0</v>
      </c>
      <c r="AF170" s="29" t="str">
        <f t="shared" si="65"/>
        <v/>
      </c>
      <c r="AG170" s="24">
        <f>IFERROR(_xlfn.XLOOKUP(N170&amp;P170,'Historico Vendas'!G:G,'Historico Vendas'!F:F),0)</f>
        <v>0</v>
      </c>
      <c r="AH170" s="25">
        <f t="shared" si="82"/>
        <v>0</v>
      </c>
      <c r="AI170" s="24">
        <f t="shared" si="83"/>
        <v>0</v>
      </c>
      <c r="AJ170" s="11" t="str">
        <f t="shared" si="66"/>
        <v/>
      </c>
      <c r="AK170" s="9" t="s">
        <v>102</v>
      </c>
      <c r="AL170" s="13">
        <f>IFERROR(INDEX('Balizador da Meta'!$D$3:$F$23,MATCH(Quantidade!$P170,'Balizador da Meta'!$C$3:$C$23,0),MATCH(Quantidade!AK170,'Balizador da Meta'!$D$2:$F$2,0)),"")</f>
        <v>0</v>
      </c>
      <c r="AM170" s="9"/>
    </row>
    <row r="171" spans="1:39" x14ac:dyDescent="0.3">
      <c r="A171" s="2" t="str">
        <f t="shared" si="63"/>
        <v>NÃO</v>
      </c>
      <c r="B171" s="2" t="str">
        <f>_xlfn.XLOOKUP($N171,'Base de Grupos'!$A:$A,'Base de Grupos'!$D:$D)</f>
        <v>1000065763</v>
      </c>
      <c r="C171" s="5" t="str">
        <f>_xlfn.XLOOKUP($N171,'Base de Grupos'!$A:$A,'Base de Grupos'!$E:$E)</f>
        <v>CANAL VENDA INTERNA</v>
      </c>
      <c r="D171" s="5" t="str">
        <f>_xlfn.XLOOKUP($N171,'Base de Grupos'!$A:$A,'Base de Grupos'!$F:$F)</f>
        <v>1000065763</v>
      </c>
      <c r="E171" s="2" t="str">
        <f>_xlfn.XLOOKUP($N171,'Base de Grupos'!$A:$A,'Base de Grupos'!$G:$G)</f>
        <v>CANAL VENDA INTERNA</v>
      </c>
      <c r="F171" s="2" t="str">
        <f>_xlfn.XLOOKUP($N171,'Base de Grupos'!$A:$A,'Base de Grupos'!$H:$H)</f>
        <v>1000153245</v>
      </c>
      <c r="G171" s="5" t="str">
        <f>_xlfn.XLOOKUP($N171,'Base de Grupos'!$A:$A,'Base de Grupos'!$I:$I)</f>
        <v>REGIONAL VENDA INTERNA - KEY ACCOUNT</v>
      </c>
      <c r="H171" s="5" t="str">
        <f>_xlfn.XLOOKUP($N171,'Base de Grupos'!$A:$A,'Base de Grupos'!$J:$J)</f>
        <v>1000153245</v>
      </c>
      <c r="I171" s="2" t="str">
        <f>_xlfn.XLOOKUP($N171,'Base de Grupos'!$A:$A,'Base de Grupos'!$K:$K)</f>
        <v>REGIONAL VENDA INTERNA - KEY ACCOUNT</v>
      </c>
      <c r="J171" s="2" t="str">
        <f>_xlfn.XLOOKUP($N171,'Base de Grupos'!$A:$A,'Base de Grupos'!$L:$L)</f>
        <v>1000153245</v>
      </c>
      <c r="K171" s="5" t="str">
        <f>_xlfn.XLOOKUP($N171,'Base de Grupos'!$A:$A,'Base de Grupos'!$M:$M)</f>
        <v>REGIONAL VENDA INTERNA - KEY ACCOUNT</v>
      </c>
      <c r="L171" s="5" t="str">
        <f t="shared" si="64"/>
        <v/>
      </c>
      <c r="M171" s="5" t="str">
        <f>_xlfn.XLOOKUP($N171,'Base de Grupos'!$A:$A,'Base de Grupos'!$C:$C)</f>
        <v>TO</v>
      </c>
      <c r="N171" s="3">
        <v>1346</v>
      </c>
      <c r="O171" s="4" t="s">
        <v>233</v>
      </c>
      <c r="P171" s="5" t="s">
        <v>85</v>
      </c>
      <c r="Q171" s="24">
        <v>0</v>
      </c>
      <c r="R171" s="24">
        <v>0</v>
      </c>
      <c r="S171" s="24">
        <v>0</v>
      </c>
      <c r="T171" s="24">
        <v>0</v>
      </c>
      <c r="U171" s="24">
        <v>0</v>
      </c>
      <c r="V171" s="24">
        <v>0</v>
      </c>
      <c r="W171" s="24">
        <v>0</v>
      </c>
      <c r="X171" s="24">
        <v>0</v>
      </c>
      <c r="Y171" s="24">
        <v>0</v>
      </c>
      <c r="Z171" s="24">
        <v>0</v>
      </c>
      <c r="AA171" s="24">
        <v>0</v>
      </c>
      <c r="AB171" s="24">
        <v>0</v>
      </c>
      <c r="AC171" s="30">
        <f t="shared" si="79"/>
        <v>0</v>
      </c>
      <c r="AD171" s="27">
        <f t="shared" si="81"/>
        <v>0</v>
      </c>
      <c r="AE171" s="25">
        <f>IFERROR(_xlfn.XLOOKUP(N171&amp;P171,'Historico Vendas'!G:G,'Historico Vendas'!E:E),0)</f>
        <v>0</v>
      </c>
      <c r="AF171" s="29" t="str">
        <f t="shared" si="65"/>
        <v/>
      </c>
      <c r="AG171" s="24">
        <f>IFERROR(_xlfn.XLOOKUP(N171&amp;P171,'Historico Vendas'!G:G,'Historico Vendas'!F:F),0)</f>
        <v>0</v>
      </c>
      <c r="AH171" s="25">
        <f t="shared" si="82"/>
        <v>0</v>
      </c>
      <c r="AI171" s="24">
        <f t="shared" si="83"/>
        <v>0</v>
      </c>
      <c r="AJ171" s="11" t="str">
        <f t="shared" si="66"/>
        <v/>
      </c>
      <c r="AK171" s="9" t="s">
        <v>102</v>
      </c>
      <c r="AL171" s="13">
        <f>IFERROR(INDEX('Balizador da Meta'!$D$3:$F$23,MATCH(Quantidade!$P171,'Balizador da Meta'!$C$3:$C$23,0),MATCH(Quantidade!AK171,'Balizador da Meta'!$D$2:$F$2,0)),"")</f>
        <v>0</v>
      </c>
      <c r="AM171" s="9"/>
    </row>
    <row r="172" spans="1:39" x14ac:dyDescent="0.3">
      <c r="A172" s="2" t="str">
        <f t="shared" si="63"/>
        <v>NÃO</v>
      </c>
      <c r="B172" s="2" t="str">
        <f>_xlfn.XLOOKUP($N172,'Base de Grupos'!$A:$A,'Base de Grupos'!$D:$D)</f>
        <v>1000065763</v>
      </c>
      <c r="C172" s="5" t="str">
        <f>_xlfn.XLOOKUP($N172,'Base de Grupos'!$A:$A,'Base de Grupos'!$E:$E)</f>
        <v>CANAL VENDA INTERNA</v>
      </c>
      <c r="D172" s="5" t="str">
        <f>_xlfn.XLOOKUP($N172,'Base de Grupos'!$A:$A,'Base de Grupos'!$F:$F)</f>
        <v>1000065763</v>
      </c>
      <c r="E172" s="2" t="str">
        <f>_xlfn.XLOOKUP($N172,'Base de Grupos'!$A:$A,'Base de Grupos'!$G:$G)</f>
        <v>CANAL VENDA INTERNA</v>
      </c>
      <c r="F172" s="2" t="str">
        <f>_xlfn.XLOOKUP($N172,'Base de Grupos'!$A:$A,'Base de Grupos'!$H:$H)</f>
        <v>1000153245</v>
      </c>
      <c r="G172" s="5" t="str">
        <f>_xlfn.XLOOKUP($N172,'Base de Grupos'!$A:$A,'Base de Grupos'!$I:$I)</f>
        <v>REGIONAL VENDA INTERNA - KEY ACCOUNT</v>
      </c>
      <c r="H172" s="5" t="str">
        <f>_xlfn.XLOOKUP($N172,'Base de Grupos'!$A:$A,'Base de Grupos'!$J:$J)</f>
        <v>1000153245</v>
      </c>
      <c r="I172" s="2" t="str">
        <f>_xlfn.XLOOKUP($N172,'Base de Grupos'!$A:$A,'Base de Grupos'!$K:$K)</f>
        <v>REGIONAL VENDA INTERNA - KEY ACCOUNT</v>
      </c>
      <c r="J172" s="2" t="str">
        <f>_xlfn.XLOOKUP($N172,'Base de Grupos'!$A:$A,'Base de Grupos'!$L:$L)</f>
        <v>1000153245</v>
      </c>
      <c r="K172" s="5" t="str">
        <f>_xlfn.XLOOKUP($N172,'Base de Grupos'!$A:$A,'Base de Grupos'!$M:$M)</f>
        <v>REGIONAL VENDA INTERNA - KEY ACCOUNT</v>
      </c>
      <c r="L172" s="5" t="str">
        <f t="shared" si="64"/>
        <v/>
      </c>
      <c r="M172" s="5" t="str">
        <f>_xlfn.XLOOKUP($N172,'Base de Grupos'!$A:$A,'Base de Grupos'!$C:$C)</f>
        <v>TO</v>
      </c>
      <c r="N172" s="3">
        <v>1346</v>
      </c>
      <c r="O172" s="4" t="s">
        <v>233</v>
      </c>
      <c r="P172" s="5" t="s">
        <v>92</v>
      </c>
      <c r="Q172" s="24">
        <v>0</v>
      </c>
      <c r="R172" s="24">
        <v>0</v>
      </c>
      <c r="S172" s="24">
        <v>0</v>
      </c>
      <c r="T172" s="24">
        <v>0</v>
      </c>
      <c r="U172" s="24">
        <v>0</v>
      </c>
      <c r="V172" s="24">
        <v>0</v>
      </c>
      <c r="W172" s="24">
        <v>0</v>
      </c>
      <c r="X172" s="24">
        <v>0</v>
      </c>
      <c r="Y172" s="24">
        <v>0</v>
      </c>
      <c r="Z172" s="24">
        <v>0</v>
      </c>
      <c r="AA172" s="24">
        <v>0</v>
      </c>
      <c r="AB172" s="24">
        <v>0</v>
      </c>
      <c r="AC172" s="30">
        <f t="shared" si="79"/>
        <v>0</v>
      </c>
      <c r="AD172" s="27">
        <f t="shared" si="81"/>
        <v>0</v>
      </c>
      <c r="AE172" s="25">
        <f>IFERROR(_xlfn.XLOOKUP(N172&amp;P172,'Historico Vendas'!G:G,'Historico Vendas'!E:E),0)</f>
        <v>0</v>
      </c>
      <c r="AF172" s="29" t="str">
        <f t="shared" si="65"/>
        <v/>
      </c>
      <c r="AG172" s="24">
        <f>IFERROR(_xlfn.XLOOKUP(N172&amp;P172,'Historico Vendas'!G:G,'Historico Vendas'!F:F),0)</f>
        <v>0</v>
      </c>
      <c r="AH172" s="25">
        <f t="shared" si="82"/>
        <v>0</v>
      </c>
      <c r="AI172" s="24">
        <f t="shared" si="83"/>
        <v>0</v>
      </c>
      <c r="AJ172" s="11" t="str">
        <f t="shared" si="66"/>
        <v/>
      </c>
      <c r="AK172" s="9" t="s">
        <v>102</v>
      </c>
      <c r="AL172" s="13">
        <f>IFERROR(INDEX('Balizador da Meta'!$D$3:$F$23,MATCH(Quantidade!$P172,'Balizador da Meta'!$C$3:$C$23,0),MATCH(Quantidade!AK172,'Balizador da Meta'!$D$2:$F$2,0)),"")</f>
        <v>0</v>
      </c>
      <c r="AM172" s="9"/>
    </row>
    <row r="173" spans="1:39" x14ac:dyDescent="0.3">
      <c r="A173" s="2" t="str">
        <f t="shared" si="63"/>
        <v>NÃO</v>
      </c>
      <c r="B173" s="2" t="str">
        <f>_xlfn.XLOOKUP($N173,'Base de Grupos'!$A:$A,'Base de Grupos'!$D:$D)</f>
        <v>1000065763</v>
      </c>
      <c r="C173" s="5" t="str">
        <f>_xlfn.XLOOKUP($N173,'Base de Grupos'!$A:$A,'Base de Grupos'!$E:$E)</f>
        <v>CANAL VENDA INTERNA</v>
      </c>
      <c r="D173" s="5" t="str">
        <f>_xlfn.XLOOKUP($N173,'Base de Grupos'!$A:$A,'Base de Grupos'!$F:$F)</f>
        <v>1000065763</v>
      </c>
      <c r="E173" s="2" t="str">
        <f>_xlfn.XLOOKUP($N173,'Base de Grupos'!$A:$A,'Base de Grupos'!$G:$G)</f>
        <v>CANAL VENDA INTERNA</v>
      </c>
      <c r="F173" s="2" t="str">
        <f>_xlfn.XLOOKUP($N173,'Base de Grupos'!$A:$A,'Base de Grupos'!$H:$H)</f>
        <v>1000153245</v>
      </c>
      <c r="G173" s="5" t="str">
        <f>_xlfn.XLOOKUP($N173,'Base de Grupos'!$A:$A,'Base de Grupos'!$I:$I)</f>
        <v>REGIONAL VENDA INTERNA - KEY ACCOUNT</v>
      </c>
      <c r="H173" s="5" t="str">
        <f>_xlfn.XLOOKUP($N173,'Base de Grupos'!$A:$A,'Base de Grupos'!$J:$J)</f>
        <v>1000153245</v>
      </c>
      <c r="I173" s="2" t="str">
        <f>_xlfn.XLOOKUP($N173,'Base de Grupos'!$A:$A,'Base de Grupos'!$K:$K)</f>
        <v>REGIONAL VENDA INTERNA - KEY ACCOUNT</v>
      </c>
      <c r="J173" s="2" t="str">
        <f>_xlfn.XLOOKUP($N173,'Base de Grupos'!$A:$A,'Base de Grupos'!$L:$L)</f>
        <v>1000153245</v>
      </c>
      <c r="K173" s="5" t="str">
        <f>_xlfn.XLOOKUP($N173,'Base de Grupos'!$A:$A,'Base de Grupos'!$M:$M)</f>
        <v>REGIONAL VENDA INTERNA - KEY ACCOUNT</v>
      </c>
      <c r="L173" s="5" t="str">
        <f t="shared" si="64"/>
        <v/>
      </c>
      <c r="M173" s="5" t="str">
        <f>_xlfn.XLOOKUP($N173,'Base de Grupos'!$A:$A,'Base de Grupos'!$C:$C)</f>
        <v>TO</v>
      </c>
      <c r="N173" s="3">
        <v>1346</v>
      </c>
      <c r="O173" s="4" t="s">
        <v>233</v>
      </c>
      <c r="P173" s="5" t="s">
        <v>86</v>
      </c>
      <c r="Q173" s="24">
        <v>0</v>
      </c>
      <c r="R173" s="24">
        <v>0</v>
      </c>
      <c r="S173" s="24">
        <v>0</v>
      </c>
      <c r="T173" s="24">
        <v>0</v>
      </c>
      <c r="U173" s="24">
        <v>0</v>
      </c>
      <c r="V173" s="24">
        <v>0</v>
      </c>
      <c r="W173" s="24">
        <v>0</v>
      </c>
      <c r="X173" s="24">
        <v>0</v>
      </c>
      <c r="Y173" s="24">
        <v>0</v>
      </c>
      <c r="Z173" s="24">
        <v>0</v>
      </c>
      <c r="AA173" s="24">
        <v>0</v>
      </c>
      <c r="AB173" s="24">
        <v>0</v>
      </c>
      <c r="AC173" s="30">
        <f t="shared" si="79"/>
        <v>0</v>
      </c>
      <c r="AD173" s="27">
        <f t="shared" si="81"/>
        <v>0</v>
      </c>
      <c r="AE173" s="25">
        <f>IFERROR(_xlfn.XLOOKUP(N173&amp;P173,'Historico Vendas'!G:G,'Historico Vendas'!E:E),0)</f>
        <v>0</v>
      </c>
      <c r="AF173" s="29" t="str">
        <f t="shared" si="65"/>
        <v/>
      </c>
      <c r="AG173" s="24">
        <f>IFERROR(_xlfn.XLOOKUP(N173&amp;P173,'Historico Vendas'!G:G,'Historico Vendas'!F:F),0)</f>
        <v>0</v>
      </c>
      <c r="AH173" s="25">
        <f t="shared" si="82"/>
        <v>0</v>
      </c>
      <c r="AI173" s="24">
        <f t="shared" si="83"/>
        <v>0</v>
      </c>
      <c r="AJ173" s="11" t="str">
        <f t="shared" si="66"/>
        <v/>
      </c>
      <c r="AK173" s="9" t="s">
        <v>102</v>
      </c>
      <c r="AL173" s="13">
        <f>IFERROR(INDEX('Balizador da Meta'!$D$3:$F$23,MATCH(Quantidade!$P173,'Balizador da Meta'!$C$3:$C$23,0),MATCH(Quantidade!AK173,'Balizador da Meta'!$D$2:$F$2,0)),"")</f>
        <v>0.15</v>
      </c>
      <c r="AM173" s="9"/>
    </row>
    <row r="174" spans="1:39" x14ac:dyDescent="0.3">
      <c r="A174" s="2" t="str">
        <f t="shared" si="63"/>
        <v>NÃO</v>
      </c>
      <c r="B174" s="2" t="str">
        <f>_xlfn.XLOOKUP($N174,'Base de Grupos'!$A:$A,'Base de Grupos'!$D:$D)</f>
        <v>1000065763</v>
      </c>
      <c r="C174" s="5" t="str">
        <f>_xlfn.XLOOKUP($N174,'Base de Grupos'!$A:$A,'Base de Grupos'!$E:$E)</f>
        <v>CANAL VENDA INTERNA</v>
      </c>
      <c r="D174" s="5" t="str">
        <f>_xlfn.XLOOKUP($N174,'Base de Grupos'!$A:$A,'Base de Grupos'!$F:$F)</f>
        <v>1000065763</v>
      </c>
      <c r="E174" s="2" t="str">
        <f>_xlfn.XLOOKUP($N174,'Base de Grupos'!$A:$A,'Base de Grupos'!$G:$G)</f>
        <v>CANAL VENDA INTERNA</v>
      </c>
      <c r="F174" s="2" t="str">
        <f>_xlfn.XLOOKUP($N174,'Base de Grupos'!$A:$A,'Base de Grupos'!$H:$H)</f>
        <v>1000153245</v>
      </c>
      <c r="G174" s="5" t="str">
        <f>_xlfn.XLOOKUP($N174,'Base de Grupos'!$A:$A,'Base de Grupos'!$I:$I)</f>
        <v>REGIONAL VENDA INTERNA - KEY ACCOUNT</v>
      </c>
      <c r="H174" s="5" t="str">
        <f>_xlfn.XLOOKUP($N174,'Base de Grupos'!$A:$A,'Base de Grupos'!$J:$J)</f>
        <v>1000153245</v>
      </c>
      <c r="I174" s="2" t="str">
        <f>_xlfn.XLOOKUP($N174,'Base de Grupos'!$A:$A,'Base de Grupos'!$K:$K)</f>
        <v>REGIONAL VENDA INTERNA - KEY ACCOUNT</v>
      </c>
      <c r="J174" s="2" t="str">
        <f>_xlfn.XLOOKUP($N174,'Base de Grupos'!$A:$A,'Base de Grupos'!$L:$L)</f>
        <v>1000153245</v>
      </c>
      <c r="K174" s="5" t="str">
        <f>_xlfn.XLOOKUP($N174,'Base de Grupos'!$A:$A,'Base de Grupos'!$M:$M)</f>
        <v>REGIONAL VENDA INTERNA - KEY ACCOUNT</v>
      </c>
      <c r="L174" s="5" t="str">
        <f t="shared" si="64"/>
        <v/>
      </c>
      <c r="M174" s="5" t="str">
        <f>_xlfn.XLOOKUP($N174,'Base de Grupos'!$A:$A,'Base de Grupos'!$C:$C)</f>
        <v>TO</v>
      </c>
      <c r="N174" s="3">
        <v>1346</v>
      </c>
      <c r="O174" s="4" t="s">
        <v>233</v>
      </c>
      <c r="P174" s="5" t="s">
        <v>108</v>
      </c>
      <c r="Q174" s="24">
        <v>0</v>
      </c>
      <c r="R174" s="24">
        <v>0</v>
      </c>
      <c r="S174" s="24">
        <v>0</v>
      </c>
      <c r="T174" s="24">
        <v>0</v>
      </c>
      <c r="U174" s="24">
        <v>0</v>
      </c>
      <c r="V174" s="24">
        <v>0</v>
      </c>
      <c r="W174" s="24">
        <v>0</v>
      </c>
      <c r="X174" s="24">
        <v>0</v>
      </c>
      <c r="Y174" s="24">
        <v>0</v>
      </c>
      <c r="Z174" s="24">
        <v>0</v>
      </c>
      <c r="AA174" s="24">
        <v>0</v>
      </c>
      <c r="AB174" s="24">
        <v>0</v>
      </c>
      <c r="AC174" s="30">
        <f t="shared" si="79"/>
        <v>0</v>
      </c>
      <c r="AD174" s="27">
        <f>IF(AC174=0,0,AC174-AG174)</f>
        <v>0</v>
      </c>
      <c r="AE174" s="25">
        <f>IFERROR(_xlfn.XLOOKUP(N174&amp;P174,'Historico Vendas'!G:G,'Historico Vendas'!E:E),0)</f>
        <v>0</v>
      </c>
      <c r="AF174" s="29" t="str">
        <f t="shared" si="65"/>
        <v/>
      </c>
      <c r="AG174" s="24">
        <f>IFERROR(_xlfn.XLOOKUP(N174&amp;P174,'Historico Vendas'!G:G,'Historico Vendas'!F:F),0)</f>
        <v>0</v>
      </c>
      <c r="AH174" s="25">
        <f t="shared" si="82"/>
        <v>0</v>
      </c>
      <c r="AI174" s="24">
        <f t="shared" si="83"/>
        <v>0</v>
      </c>
      <c r="AJ174" s="11" t="str">
        <f t="shared" si="66"/>
        <v/>
      </c>
      <c r="AK174" s="9" t="s">
        <v>102</v>
      </c>
      <c r="AL174" s="13">
        <f>IFERROR(INDEX('Balizador da Meta'!$D$3:$F$23,MATCH(Quantidade!$P174,'Balizador da Meta'!$C$3:$C$23,0),MATCH(Quantidade!AK174,'Balizador da Meta'!$D$2:$F$2,0)),"")</f>
        <v>0</v>
      </c>
      <c r="AM174" s="9"/>
    </row>
    <row r="175" spans="1:39" x14ac:dyDescent="0.3">
      <c r="A175" s="2" t="str">
        <f t="shared" si="63"/>
        <v>NÃO</v>
      </c>
      <c r="B175" s="2" t="str">
        <f>_xlfn.XLOOKUP($N175,'Base de Grupos'!$A:$A,'Base de Grupos'!$D:$D)</f>
        <v>1000065763</v>
      </c>
      <c r="C175" s="5" t="str">
        <f>_xlfn.XLOOKUP($N175,'Base de Grupos'!$A:$A,'Base de Grupos'!$E:$E)</f>
        <v>CANAL VENDA INTERNA</v>
      </c>
      <c r="D175" s="5" t="str">
        <f>_xlfn.XLOOKUP($N175,'Base de Grupos'!$A:$A,'Base de Grupos'!$F:$F)</f>
        <v>1000065763</v>
      </c>
      <c r="E175" s="2" t="str">
        <f>_xlfn.XLOOKUP($N175,'Base de Grupos'!$A:$A,'Base de Grupos'!$G:$G)</f>
        <v>CANAL VENDA INTERNA</v>
      </c>
      <c r="F175" s="2" t="str">
        <f>_xlfn.XLOOKUP($N175,'Base de Grupos'!$A:$A,'Base de Grupos'!$H:$H)</f>
        <v>1000153245</v>
      </c>
      <c r="G175" s="5" t="str">
        <f>_xlfn.XLOOKUP($N175,'Base de Grupos'!$A:$A,'Base de Grupos'!$I:$I)</f>
        <v>REGIONAL VENDA INTERNA - KEY ACCOUNT</v>
      </c>
      <c r="H175" s="5" t="str">
        <f>_xlfn.XLOOKUP($N175,'Base de Grupos'!$A:$A,'Base de Grupos'!$J:$J)</f>
        <v>1000153245</v>
      </c>
      <c r="I175" s="2" t="str">
        <f>_xlfn.XLOOKUP($N175,'Base de Grupos'!$A:$A,'Base de Grupos'!$K:$K)</f>
        <v>REGIONAL VENDA INTERNA - KEY ACCOUNT</v>
      </c>
      <c r="J175" s="2" t="str">
        <f>_xlfn.XLOOKUP($N175,'Base de Grupos'!$A:$A,'Base de Grupos'!$L:$L)</f>
        <v>1000153245</v>
      </c>
      <c r="K175" s="5" t="str">
        <f>_xlfn.XLOOKUP($N175,'Base de Grupos'!$A:$A,'Base de Grupos'!$M:$M)</f>
        <v>REGIONAL VENDA INTERNA - KEY ACCOUNT</v>
      </c>
      <c r="L175" s="5" t="str">
        <f t="shared" si="64"/>
        <v/>
      </c>
      <c r="M175" s="5" t="str">
        <f>_xlfn.XLOOKUP($N175,'Base de Grupos'!$A:$A,'Base de Grupos'!$C:$C)</f>
        <v>TO</v>
      </c>
      <c r="N175" s="3">
        <v>1346</v>
      </c>
      <c r="O175" s="4" t="s">
        <v>233</v>
      </c>
      <c r="P175" s="5" t="s">
        <v>89</v>
      </c>
      <c r="Q175" s="24">
        <v>0</v>
      </c>
      <c r="R175" s="24">
        <v>0</v>
      </c>
      <c r="S175" s="24">
        <v>0</v>
      </c>
      <c r="T175" s="24">
        <v>0</v>
      </c>
      <c r="U175" s="24">
        <v>0</v>
      </c>
      <c r="V175" s="24">
        <v>0</v>
      </c>
      <c r="W175" s="24">
        <v>0</v>
      </c>
      <c r="X175" s="24">
        <v>0</v>
      </c>
      <c r="Y175" s="24">
        <v>0</v>
      </c>
      <c r="Z175" s="24">
        <v>0</v>
      </c>
      <c r="AA175" s="24">
        <v>0</v>
      </c>
      <c r="AB175" s="24">
        <v>0</v>
      </c>
      <c r="AC175" s="30">
        <f t="shared" si="79"/>
        <v>0</v>
      </c>
      <c r="AD175" s="27">
        <f t="shared" si="81"/>
        <v>0</v>
      </c>
      <c r="AE175" s="25">
        <f>IFERROR(_xlfn.XLOOKUP(N175&amp;P175,'Historico Vendas'!G:G,'Historico Vendas'!E:E),0)</f>
        <v>0</v>
      </c>
      <c r="AF175" s="29" t="str">
        <f t="shared" si="65"/>
        <v/>
      </c>
      <c r="AG175" s="24">
        <f>IFERROR(_xlfn.XLOOKUP(N175&amp;P175,'Historico Vendas'!G:G,'Historico Vendas'!F:F),0)</f>
        <v>0</v>
      </c>
      <c r="AH175" s="25">
        <f t="shared" si="82"/>
        <v>0</v>
      </c>
      <c r="AI175" s="24">
        <f t="shared" si="83"/>
        <v>0</v>
      </c>
      <c r="AJ175" s="11" t="str">
        <f t="shared" si="66"/>
        <v/>
      </c>
      <c r="AK175" s="9" t="s">
        <v>102</v>
      </c>
      <c r="AL175" s="13">
        <f>IFERROR(INDEX('Balizador da Meta'!$D$3:$F$23,MATCH(Quantidade!$P175,'Balizador da Meta'!$C$3:$C$23,0),MATCH(Quantidade!AK175,'Balizador da Meta'!$D$2:$F$2,0)),"")</f>
        <v>0.25</v>
      </c>
      <c r="AM175" s="9"/>
    </row>
    <row r="176" spans="1:39" x14ac:dyDescent="0.3">
      <c r="A176" s="2" t="str">
        <f t="shared" si="63"/>
        <v>NÃO</v>
      </c>
      <c r="B176" s="2" t="str">
        <f>_xlfn.XLOOKUP($N176,'Base de Grupos'!$A:$A,'Base de Grupos'!$D:$D)</f>
        <v>1000065763</v>
      </c>
      <c r="C176" s="5" t="str">
        <f>_xlfn.XLOOKUP($N176,'Base de Grupos'!$A:$A,'Base de Grupos'!$E:$E)</f>
        <v>CANAL VENDA INTERNA</v>
      </c>
      <c r="D176" s="5" t="str">
        <f>_xlfn.XLOOKUP($N176,'Base de Grupos'!$A:$A,'Base de Grupos'!$F:$F)</f>
        <v>1000065763</v>
      </c>
      <c r="E176" s="2" t="str">
        <f>_xlfn.XLOOKUP($N176,'Base de Grupos'!$A:$A,'Base de Grupos'!$G:$G)</f>
        <v>CANAL VENDA INTERNA</v>
      </c>
      <c r="F176" s="2" t="str">
        <f>_xlfn.XLOOKUP($N176,'Base de Grupos'!$A:$A,'Base de Grupos'!$H:$H)</f>
        <v>1000153245</v>
      </c>
      <c r="G176" s="5" t="str">
        <f>_xlfn.XLOOKUP($N176,'Base de Grupos'!$A:$A,'Base de Grupos'!$I:$I)</f>
        <v>REGIONAL VENDA INTERNA - KEY ACCOUNT</v>
      </c>
      <c r="H176" s="5" t="str">
        <f>_xlfn.XLOOKUP($N176,'Base de Grupos'!$A:$A,'Base de Grupos'!$J:$J)</f>
        <v>1000153245</v>
      </c>
      <c r="I176" s="2" t="str">
        <f>_xlfn.XLOOKUP($N176,'Base de Grupos'!$A:$A,'Base de Grupos'!$K:$K)</f>
        <v>REGIONAL VENDA INTERNA - KEY ACCOUNT</v>
      </c>
      <c r="J176" s="2" t="str">
        <f>_xlfn.XLOOKUP($N176,'Base de Grupos'!$A:$A,'Base de Grupos'!$L:$L)</f>
        <v>1000153245</v>
      </c>
      <c r="K176" s="5" t="str">
        <f>_xlfn.XLOOKUP($N176,'Base de Grupos'!$A:$A,'Base de Grupos'!$M:$M)</f>
        <v>REGIONAL VENDA INTERNA - KEY ACCOUNT</v>
      </c>
      <c r="L176" s="5" t="str">
        <f t="shared" si="64"/>
        <v/>
      </c>
      <c r="M176" s="5" t="str">
        <f>_xlfn.XLOOKUP($N176,'Base de Grupos'!$A:$A,'Base de Grupos'!$C:$C)</f>
        <v>TO</v>
      </c>
      <c r="N176" s="3">
        <v>1346</v>
      </c>
      <c r="O176" s="4" t="s">
        <v>233</v>
      </c>
      <c r="P176" s="5" t="s">
        <v>88</v>
      </c>
      <c r="Q176" s="24">
        <v>0</v>
      </c>
      <c r="R176" s="24">
        <v>0</v>
      </c>
      <c r="S176" s="24">
        <v>0</v>
      </c>
      <c r="T176" s="24">
        <v>0</v>
      </c>
      <c r="U176" s="24">
        <v>0</v>
      </c>
      <c r="V176" s="24">
        <v>0</v>
      </c>
      <c r="W176" s="24">
        <v>0</v>
      </c>
      <c r="X176" s="24">
        <v>0</v>
      </c>
      <c r="Y176" s="24">
        <v>0</v>
      </c>
      <c r="Z176" s="24">
        <v>0</v>
      </c>
      <c r="AA176" s="24">
        <v>0</v>
      </c>
      <c r="AB176" s="24">
        <v>0</v>
      </c>
      <c r="AC176" s="30">
        <f t="shared" si="79"/>
        <v>0</v>
      </c>
      <c r="AD176" s="27">
        <f t="shared" si="81"/>
        <v>0</v>
      </c>
      <c r="AE176" s="25">
        <f>IFERROR(_xlfn.XLOOKUP(N176&amp;P176,'Historico Vendas'!G:G,'Historico Vendas'!E:E),0)</f>
        <v>0</v>
      </c>
      <c r="AF176" s="29" t="str">
        <f t="shared" si="65"/>
        <v/>
      </c>
      <c r="AG176" s="24">
        <f>IFERROR(_xlfn.XLOOKUP(N176&amp;P176,'Historico Vendas'!G:G,'Historico Vendas'!F:F),0)</f>
        <v>0</v>
      </c>
      <c r="AH176" s="25">
        <f t="shared" si="82"/>
        <v>0</v>
      </c>
      <c r="AI176" s="24">
        <f t="shared" si="83"/>
        <v>0</v>
      </c>
      <c r="AJ176" s="11" t="str">
        <f t="shared" si="66"/>
        <v/>
      </c>
      <c r="AK176" s="9" t="s">
        <v>102</v>
      </c>
      <c r="AL176" s="13">
        <f>IFERROR(INDEX('Balizador da Meta'!$D$3:$F$23,MATCH(Quantidade!$P176,'Balizador da Meta'!$C$3:$C$23,0),MATCH(Quantidade!AK176,'Balizador da Meta'!$D$2:$F$2,0)),"")</f>
        <v>0</v>
      </c>
      <c r="AM176" s="9"/>
    </row>
    <row r="177" spans="1:39" x14ac:dyDescent="0.3">
      <c r="A177" s="2" t="str">
        <f t="shared" si="63"/>
        <v>NÃO</v>
      </c>
      <c r="B177" s="2" t="str">
        <f>_xlfn.XLOOKUP($N177,'Base de Grupos'!$A:$A,'Base de Grupos'!$D:$D)</f>
        <v>1000065763</v>
      </c>
      <c r="C177" s="5" t="str">
        <f>_xlfn.XLOOKUP($N177,'Base de Grupos'!$A:$A,'Base de Grupos'!$E:$E)</f>
        <v>CANAL VENDA INTERNA</v>
      </c>
      <c r="D177" s="5" t="str">
        <f>_xlfn.XLOOKUP($N177,'Base de Grupos'!$A:$A,'Base de Grupos'!$F:$F)</f>
        <v>1000065763</v>
      </c>
      <c r="E177" s="2" t="str">
        <f>_xlfn.XLOOKUP($N177,'Base de Grupos'!$A:$A,'Base de Grupos'!$G:$G)</f>
        <v>CANAL VENDA INTERNA</v>
      </c>
      <c r="F177" s="2" t="str">
        <f>_xlfn.XLOOKUP($N177,'Base de Grupos'!$A:$A,'Base de Grupos'!$H:$H)</f>
        <v>1000153245</v>
      </c>
      <c r="G177" s="5" t="str">
        <f>_xlfn.XLOOKUP($N177,'Base de Grupos'!$A:$A,'Base de Grupos'!$I:$I)</f>
        <v>REGIONAL VENDA INTERNA - KEY ACCOUNT</v>
      </c>
      <c r="H177" s="5" t="str">
        <f>_xlfn.XLOOKUP($N177,'Base de Grupos'!$A:$A,'Base de Grupos'!$J:$J)</f>
        <v>1000153245</v>
      </c>
      <c r="I177" s="2" t="str">
        <f>_xlfn.XLOOKUP($N177,'Base de Grupos'!$A:$A,'Base de Grupos'!$K:$K)</f>
        <v>REGIONAL VENDA INTERNA - KEY ACCOUNT</v>
      </c>
      <c r="J177" s="2" t="str">
        <f>_xlfn.XLOOKUP($N177,'Base de Grupos'!$A:$A,'Base de Grupos'!$L:$L)</f>
        <v>1000153245</v>
      </c>
      <c r="K177" s="5" t="str">
        <f>_xlfn.XLOOKUP($N177,'Base de Grupos'!$A:$A,'Base de Grupos'!$M:$M)</f>
        <v>REGIONAL VENDA INTERNA - KEY ACCOUNT</v>
      </c>
      <c r="L177" s="5" t="str">
        <f t="shared" si="64"/>
        <v/>
      </c>
      <c r="M177" s="5" t="str">
        <f>_xlfn.XLOOKUP($N177,'Base de Grupos'!$A:$A,'Base de Grupos'!$C:$C)</f>
        <v>TO</v>
      </c>
      <c r="N177" s="3">
        <v>1346</v>
      </c>
      <c r="O177" s="4" t="s">
        <v>233</v>
      </c>
      <c r="P177" s="5" t="s">
        <v>90</v>
      </c>
      <c r="Q177" s="24">
        <v>0</v>
      </c>
      <c r="R177" s="24">
        <v>0</v>
      </c>
      <c r="S177" s="24">
        <v>0</v>
      </c>
      <c r="T177" s="24">
        <v>0</v>
      </c>
      <c r="U177" s="24">
        <v>0</v>
      </c>
      <c r="V177" s="24">
        <v>0</v>
      </c>
      <c r="W177" s="24">
        <v>0</v>
      </c>
      <c r="X177" s="24">
        <v>0</v>
      </c>
      <c r="Y177" s="24">
        <v>0</v>
      </c>
      <c r="Z177" s="24">
        <v>0</v>
      </c>
      <c r="AA177" s="24">
        <v>0</v>
      </c>
      <c r="AB177" s="24">
        <v>0</v>
      </c>
      <c r="AC177" s="30">
        <f t="shared" si="79"/>
        <v>0</v>
      </c>
      <c r="AD177" s="27">
        <f t="shared" si="81"/>
        <v>0</v>
      </c>
      <c r="AE177" s="25">
        <f>IFERROR(_xlfn.XLOOKUP(N177&amp;P177,'Historico Vendas'!G:G,'Historico Vendas'!E:E),0)</f>
        <v>0</v>
      </c>
      <c r="AF177" s="29" t="str">
        <f t="shared" si="65"/>
        <v/>
      </c>
      <c r="AG177" s="24">
        <f>IFERROR(_xlfn.XLOOKUP(N177&amp;P177,'Historico Vendas'!G:G,'Historico Vendas'!F:F),0)</f>
        <v>0</v>
      </c>
      <c r="AH177" s="25">
        <f t="shared" si="82"/>
        <v>0</v>
      </c>
      <c r="AI177" s="24">
        <f t="shared" si="83"/>
        <v>0</v>
      </c>
      <c r="AJ177" s="11" t="str">
        <f t="shared" si="66"/>
        <v/>
      </c>
      <c r="AK177" s="9" t="s">
        <v>102</v>
      </c>
      <c r="AL177" s="13">
        <f>IFERROR(INDEX('Balizador da Meta'!$D$3:$F$23,MATCH(Quantidade!$P177,'Balizador da Meta'!$C$3:$C$23,0),MATCH(Quantidade!AK177,'Balizador da Meta'!$D$2:$F$2,0)),"")</f>
        <v>0</v>
      </c>
      <c r="AM177" s="9"/>
    </row>
    <row r="178" spans="1:39" x14ac:dyDescent="0.3">
      <c r="A178" s="2" t="str">
        <f t="shared" si="63"/>
        <v>NÃO</v>
      </c>
      <c r="B178" s="2" t="str">
        <f>_xlfn.XLOOKUP($N178,'Base de Grupos'!$A:$A,'Base de Grupos'!$D:$D)</f>
        <v>1000065763</v>
      </c>
      <c r="C178" s="5" t="str">
        <f>_xlfn.XLOOKUP($N178,'Base de Grupos'!$A:$A,'Base de Grupos'!$E:$E)</f>
        <v>CANAL VENDA INTERNA</v>
      </c>
      <c r="D178" s="5" t="str">
        <f>_xlfn.XLOOKUP($N178,'Base de Grupos'!$A:$A,'Base de Grupos'!$F:$F)</f>
        <v>1000065763</v>
      </c>
      <c r="E178" s="2" t="str">
        <f>_xlfn.XLOOKUP($N178,'Base de Grupos'!$A:$A,'Base de Grupos'!$G:$G)</f>
        <v>CANAL VENDA INTERNA</v>
      </c>
      <c r="F178" s="2" t="str">
        <f>_xlfn.XLOOKUP($N178,'Base de Grupos'!$A:$A,'Base de Grupos'!$H:$H)</f>
        <v>1000153245</v>
      </c>
      <c r="G178" s="5" t="str">
        <f>_xlfn.XLOOKUP($N178,'Base de Grupos'!$A:$A,'Base de Grupos'!$I:$I)</f>
        <v>REGIONAL VENDA INTERNA - KEY ACCOUNT</v>
      </c>
      <c r="H178" s="5" t="str">
        <f>_xlfn.XLOOKUP($N178,'Base de Grupos'!$A:$A,'Base de Grupos'!$J:$J)</f>
        <v>1000153245</v>
      </c>
      <c r="I178" s="2" t="str">
        <f>_xlfn.XLOOKUP($N178,'Base de Grupos'!$A:$A,'Base de Grupos'!$K:$K)</f>
        <v>REGIONAL VENDA INTERNA - KEY ACCOUNT</v>
      </c>
      <c r="J178" s="2" t="str">
        <f>_xlfn.XLOOKUP($N178,'Base de Grupos'!$A:$A,'Base de Grupos'!$L:$L)</f>
        <v>1000153245</v>
      </c>
      <c r="K178" s="5" t="str">
        <f>_xlfn.XLOOKUP($N178,'Base de Grupos'!$A:$A,'Base de Grupos'!$M:$M)</f>
        <v>REGIONAL VENDA INTERNA - KEY ACCOUNT</v>
      </c>
      <c r="L178" s="5" t="str">
        <f t="shared" si="64"/>
        <v/>
      </c>
      <c r="M178" s="5" t="str">
        <f>_xlfn.XLOOKUP($N178,'Base de Grupos'!$A:$A,'Base de Grupos'!$C:$C)</f>
        <v>TO</v>
      </c>
      <c r="N178" s="3">
        <v>1346</v>
      </c>
      <c r="O178" s="4" t="s">
        <v>233</v>
      </c>
      <c r="P178" s="5" t="s">
        <v>91</v>
      </c>
      <c r="Q178" s="24">
        <v>0</v>
      </c>
      <c r="R178" s="24">
        <v>0</v>
      </c>
      <c r="S178" s="24">
        <v>0</v>
      </c>
      <c r="T178" s="24">
        <v>0</v>
      </c>
      <c r="U178" s="24">
        <v>0</v>
      </c>
      <c r="V178" s="24">
        <v>0</v>
      </c>
      <c r="W178" s="24">
        <v>0</v>
      </c>
      <c r="X178" s="24">
        <v>0</v>
      </c>
      <c r="Y178" s="24">
        <v>0</v>
      </c>
      <c r="Z178" s="24">
        <v>0</v>
      </c>
      <c r="AA178" s="24">
        <v>0</v>
      </c>
      <c r="AB178" s="24">
        <v>0</v>
      </c>
      <c r="AC178" s="30">
        <f t="shared" si="79"/>
        <v>0</v>
      </c>
      <c r="AD178" s="27">
        <f t="shared" si="81"/>
        <v>0</v>
      </c>
      <c r="AE178" s="25">
        <f>IFERROR(_xlfn.XLOOKUP(N178&amp;P178,'Historico Vendas'!G:G,'Historico Vendas'!E:E),0)</f>
        <v>0</v>
      </c>
      <c r="AF178" s="29" t="str">
        <f t="shared" si="65"/>
        <v/>
      </c>
      <c r="AG178" s="24">
        <f>IFERROR(_xlfn.XLOOKUP(N178&amp;P178,'Historico Vendas'!G:G,'Historico Vendas'!F:F),0)</f>
        <v>0</v>
      </c>
      <c r="AH178" s="25">
        <f t="shared" si="82"/>
        <v>0</v>
      </c>
      <c r="AI178" s="24">
        <f t="shared" si="83"/>
        <v>0</v>
      </c>
      <c r="AJ178" s="11" t="str">
        <f t="shared" si="66"/>
        <v/>
      </c>
      <c r="AK178" s="9" t="s">
        <v>102</v>
      </c>
      <c r="AL178" s="13">
        <f>IFERROR(INDEX('Balizador da Meta'!$D$3:$F$23,MATCH(Quantidade!$P178,'Balizador da Meta'!$C$3:$C$23,0),MATCH(Quantidade!AK178,'Balizador da Meta'!$D$2:$F$2,0)),"")</f>
        <v>0</v>
      </c>
      <c r="AM178" s="9"/>
    </row>
    <row r="179" spans="1:39" x14ac:dyDescent="0.3">
      <c r="A179" s="2" t="str">
        <f t="shared" si="63"/>
        <v>NÃO</v>
      </c>
      <c r="B179" s="2" t="str">
        <f>_xlfn.XLOOKUP($N179,'Base de Grupos'!$A:$A,'Base de Grupos'!$D:$D)</f>
        <v>1000065763</v>
      </c>
      <c r="C179" s="5" t="str">
        <f>_xlfn.XLOOKUP($N179,'Base de Grupos'!$A:$A,'Base de Grupos'!$E:$E)</f>
        <v>CANAL VENDA INTERNA</v>
      </c>
      <c r="D179" s="5" t="str">
        <f>_xlfn.XLOOKUP($N179,'Base de Grupos'!$A:$A,'Base de Grupos'!$F:$F)</f>
        <v>1000065763</v>
      </c>
      <c r="E179" s="2" t="str">
        <f>_xlfn.XLOOKUP($N179,'Base de Grupos'!$A:$A,'Base de Grupos'!$G:$G)</f>
        <v>CANAL VENDA INTERNA</v>
      </c>
      <c r="F179" s="2" t="str">
        <f>_xlfn.XLOOKUP($N179,'Base de Grupos'!$A:$A,'Base de Grupos'!$H:$H)</f>
        <v>1000153245</v>
      </c>
      <c r="G179" s="5" t="str">
        <f>_xlfn.XLOOKUP($N179,'Base de Grupos'!$A:$A,'Base de Grupos'!$I:$I)</f>
        <v>REGIONAL VENDA INTERNA - KEY ACCOUNT</v>
      </c>
      <c r="H179" s="5" t="str">
        <f>_xlfn.XLOOKUP($N179,'Base de Grupos'!$A:$A,'Base de Grupos'!$J:$J)</f>
        <v>1000153245</v>
      </c>
      <c r="I179" s="2" t="str">
        <f>_xlfn.XLOOKUP($N179,'Base de Grupos'!$A:$A,'Base de Grupos'!$K:$K)</f>
        <v>REGIONAL VENDA INTERNA - KEY ACCOUNT</v>
      </c>
      <c r="J179" s="2" t="str">
        <f>_xlfn.XLOOKUP($N179,'Base de Grupos'!$A:$A,'Base de Grupos'!$L:$L)</f>
        <v>1000153245</v>
      </c>
      <c r="K179" s="5" t="str">
        <f>_xlfn.XLOOKUP($N179,'Base de Grupos'!$A:$A,'Base de Grupos'!$M:$M)</f>
        <v>REGIONAL VENDA INTERNA - KEY ACCOUNT</v>
      </c>
      <c r="L179" s="5" t="str">
        <f t="shared" si="64"/>
        <v/>
      </c>
      <c r="M179" s="5" t="str">
        <f>_xlfn.XLOOKUP($N179,'Base de Grupos'!$A:$A,'Base de Grupos'!$C:$C)</f>
        <v>TO</v>
      </c>
      <c r="N179" s="3">
        <v>1346</v>
      </c>
      <c r="O179" s="4" t="s">
        <v>233</v>
      </c>
      <c r="P179" s="5" t="s">
        <v>96</v>
      </c>
      <c r="Q179" s="24">
        <f>SUM(Q180:Q200)</f>
        <v>0</v>
      </c>
      <c r="R179" s="24">
        <f t="shared" ref="R179" si="84">SUM(R180:R200)</f>
        <v>0</v>
      </c>
      <c r="S179" s="24">
        <f t="shared" ref="S179" si="85">SUM(S180:S200)</f>
        <v>0</v>
      </c>
      <c r="T179" s="24">
        <f t="shared" ref="T179:AC179" si="86">SUM(T180:T200)</f>
        <v>0</v>
      </c>
      <c r="U179" s="24">
        <f t="shared" si="86"/>
        <v>0</v>
      </c>
      <c r="V179" s="24">
        <f t="shared" si="86"/>
        <v>0</v>
      </c>
      <c r="W179" s="24">
        <f t="shared" si="86"/>
        <v>0</v>
      </c>
      <c r="X179" s="24">
        <f t="shared" si="86"/>
        <v>0</v>
      </c>
      <c r="Y179" s="24">
        <f t="shared" si="86"/>
        <v>0</v>
      </c>
      <c r="Z179" s="24">
        <f t="shared" si="86"/>
        <v>0</v>
      </c>
      <c r="AA179" s="24">
        <f t="shared" si="86"/>
        <v>0</v>
      </c>
      <c r="AB179" s="24">
        <f t="shared" si="86"/>
        <v>0</v>
      </c>
      <c r="AC179" s="24">
        <f t="shared" si="86"/>
        <v>0</v>
      </c>
      <c r="AD179" s="27">
        <f t="shared" si="81"/>
        <v>0</v>
      </c>
      <c r="AE179" s="25">
        <f>IFERROR(_xlfn.XLOOKUP(N179&amp;P179,'Historico Vendas'!G:G,'Historico Vendas'!E:E),0)</f>
        <v>0</v>
      </c>
      <c r="AF179" s="29" t="str">
        <f t="shared" si="65"/>
        <v/>
      </c>
      <c r="AG179" s="24">
        <f>IFERROR(_xlfn.XLOOKUP(N179&amp;P179,'Historico Vendas'!G:G,'Historico Vendas'!F:F),0)</f>
        <v>0</v>
      </c>
      <c r="AH179" s="25">
        <f t="shared" si="82"/>
        <v>0</v>
      </c>
      <c r="AI179" s="24">
        <f t="shared" si="83"/>
        <v>0</v>
      </c>
      <c r="AJ179" s="11" t="str">
        <f t="shared" si="66"/>
        <v/>
      </c>
      <c r="AK179" s="9" t="s">
        <v>102</v>
      </c>
      <c r="AL179" s="13">
        <f>IFERROR(INDEX('Balizador da Meta'!$D$3:$F$23,MATCH(Quantidade!$P179,'Balizador da Meta'!$C$3:$C$23,0),MATCH(Quantidade!AK179,'Balizador da Meta'!$D$2:$F$2,0)),"")</f>
        <v>0</v>
      </c>
      <c r="AM179" s="9"/>
    </row>
    <row r="180" spans="1:39" x14ac:dyDescent="0.3">
      <c r="A180" s="2" t="str">
        <f t="shared" si="63"/>
        <v>NÃO</v>
      </c>
      <c r="B180" s="2" t="str">
        <f>_xlfn.XLOOKUP($N180,'Base de Grupos'!$A:$A,'Base de Grupos'!$D:$D)</f>
        <v>1000065763</v>
      </c>
      <c r="C180" s="5" t="str">
        <f>_xlfn.XLOOKUP($N180,'Base de Grupos'!$A:$A,'Base de Grupos'!$E:$E)</f>
        <v>CANAL VENDA INTERNA</v>
      </c>
      <c r="D180" s="5" t="str">
        <f>_xlfn.XLOOKUP($N180,'Base de Grupos'!$A:$A,'Base de Grupos'!$F:$F)</f>
        <v>1000065763</v>
      </c>
      <c r="E180" s="2" t="str">
        <f>_xlfn.XLOOKUP($N180,'Base de Grupos'!$A:$A,'Base de Grupos'!$G:$G)</f>
        <v>CANAL VENDA INTERNA</v>
      </c>
      <c r="F180" s="2" t="str">
        <f>_xlfn.XLOOKUP($N180,'Base de Grupos'!$A:$A,'Base de Grupos'!$H:$H)</f>
        <v>1000153245</v>
      </c>
      <c r="G180" s="5" t="str">
        <f>_xlfn.XLOOKUP($N180,'Base de Grupos'!$A:$A,'Base de Grupos'!$I:$I)</f>
        <v>REGIONAL VENDA INTERNA - KEY ACCOUNT</v>
      </c>
      <c r="H180" s="5" t="str">
        <f>_xlfn.XLOOKUP($N180,'Base de Grupos'!$A:$A,'Base de Grupos'!$J:$J)</f>
        <v>1000153245</v>
      </c>
      <c r="I180" s="2" t="str">
        <f>_xlfn.XLOOKUP($N180,'Base de Grupos'!$A:$A,'Base de Grupos'!$K:$K)</f>
        <v>REGIONAL VENDA INTERNA - KEY ACCOUNT</v>
      </c>
      <c r="J180" s="2" t="str">
        <f>_xlfn.XLOOKUP($N180,'Base de Grupos'!$A:$A,'Base de Grupos'!$L:$L)</f>
        <v>1000153245</v>
      </c>
      <c r="K180" s="5" t="str">
        <f>_xlfn.XLOOKUP($N180,'Base de Grupos'!$A:$A,'Base de Grupos'!$M:$M)</f>
        <v>REGIONAL VENDA INTERNA - KEY ACCOUNT</v>
      </c>
      <c r="L180" s="5" t="str">
        <f t="shared" si="64"/>
        <v/>
      </c>
      <c r="M180" s="5" t="str">
        <f>_xlfn.XLOOKUP($N180,'Base de Grupos'!$A:$A,'Base de Grupos'!$C:$C)</f>
        <v>TO</v>
      </c>
      <c r="N180" s="3">
        <v>1346</v>
      </c>
      <c r="O180" s="4" t="s">
        <v>233</v>
      </c>
      <c r="P180" s="5" t="s">
        <v>94</v>
      </c>
      <c r="Q180" s="24">
        <v>0</v>
      </c>
      <c r="R180" s="24">
        <v>0</v>
      </c>
      <c r="S180" s="24">
        <v>0</v>
      </c>
      <c r="T180" s="24">
        <v>0</v>
      </c>
      <c r="U180" s="24">
        <v>0</v>
      </c>
      <c r="V180" s="24">
        <v>0</v>
      </c>
      <c r="W180" s="24">
        <v>0</v>
      </c>
      <c r="X180" s="24">
        <v>0</v>
      </c>
      <c r="Y180" s="24">
        <v>0</v>
      </c>
      <c r="Z180" s="24">
        <v>0</v>
      </c>
      <c r="AA180" s="24">
        <v>0</v>
      </c>
      <c r="AB180" s="24">
        <v>0</v>
      </c>
      <c r="AC180" s="30">
        <f t="shared" ref="AC180:AC200" si="87">SUM(T180:AB180)</f>
        <v>0</v>
      </c>
      <c r="AD180" s="27">
        <f t="shared" si="81"/>
        <v>0</v>
      </c>
      <c r="AE180" s="25">
        <f>IFERROR(_xlfn.XLOOKUP(N180&amp;P180,'Historico Vendas'!G:G,'Historico Vendas'!E:E),0)</f>
        <v>0</v>
      </c>
      <c r="AF180" s="29" t="str">
        <f t="shared" si="65"/>
        <v/>
      </c>
      <c r="AG180" s="24">
        <f>IFERROR(_xlfn.XLOOKUP(N180&amp;P180,'Historico Vendas'!G:G,'Historico Vendas'!F:F),0)</f>
        <v>0</v>
      </c>
      <c r="AH180" s="25">
        <f t="shared" si="82"/>
        <v>0</v>
      </c>
      <c r="AI180" s="24">
        <f t="shared" si="83"/>
        <v>0</v>
      </c>
      <c r="AJ180" s="11" t="str">
        <f t="shared" si="66"/>
        <v/>
      </c>
      <c r="AK180" s="9" t="s">
        <v>102</v>
      </c>
      <c r="AL180" s="13">
        <f>IFERROR(INDEX('Balizador da Meta'!$D$3:$F$23,MATCH(Quantidade!$P180,'Balizador da Meta'!$C$3:$C$23,0),MATCH(Quantidade!AK180,'Balizador da Meta'!$D$2:$F$2,0)),"")</f>
        <v>0.25</v>
      </c>
      <c r="AM180" s="9"/>
    </row>
    <row r="181" spans="1:39" x14ac:dyDescent="0.3">
      <c r="A181" s="2" t="str">
        <f t="shared" si="63"/>
        <v>NÃO</v>
      </c>
      <c r="B181" s="2" t="str">
        <f>_xlfn.XLOOKUP($N181,'Base de Grupos'!$A:$A,'Base de Grupos'!$D:$D)</f>
        <v>1000065763</v>
      </c>
      <c r="C181" s="5" t="str">
        <f>_xlfn.XLOOKUP($N181,'Base de Grupos'!$A:$A,'Base de Grupos'!$E:$E)</f>
        <v>CANAL VENDA INTERNA</v>
      </c>
      <c r="D181" s="5" t="str">
        <f>_xlfn.XLOOKUP($N181,'Base de Grupos'!$A:$A,'Base de Grupos'!$F:$F)</f>
        <v>1000065763</v>
      </c>
      <c r="E181" s="2" t="str">
        <f>_xlfn.XLOOKUP($N181,'Base de Grupos'!$A:$A,'Base de Grupos'!$G:$G)</f>
        <v>CANAL VENDA INTERNA</v>
      </c>
      <c r="F181" s="2" t="str">
        <f>_xlfn.XLOOKUP($N181,'Base de Grupos'!$A:$A,'Base de Grupos'!$H:$H)</f>
        <v>1000153245</v>
      </c>
      <c r="G181" s="5" t="str">
        <f>_xlfn.XLOOKUP($N181,'Base de Grupos'!$A:$A,'Base de Grupos'!$I:$I)</f>
        <v>REGIONAL VENDA INTERNA - KEY ACCOUNT</v>
      </c>
      <c r="H181" s="5" t="str">
        <f>_xlfn.XLOOKUP($N181,'Base de Grupos'!$A:$A,'Base de Grupos'!$J:$J)</f>
        <v>1000153245</v>
      </c>
      <c r="I181" s="2" t="str">
        <f>_xlfn.XLOOKUP($N181,'Base de Grupos'!$A:$A,'Base de Grupos'!$K:$K)</f>
        <v>REGIONAL VENDA INTERNA - KEY ACCOUNT</v>
      </c>
      <c r="J181" s="2" t="str">
        <f>_xlfn.XLOOKUP($N181,'Base de Grupos'!$A:$A,'Base de Grupos'!$L:$L)</f>
        <v>1000153245</v>
      </c>
      <c r="K181" s="5" t="str">
        <f>_xlfn.XLOOKUP($N181,'Base de Grupos'!$A:$A,'Base de Grupos'!$M:$M)</f>
        <v>REGIONAL VENDA INTERNA - KEY ACCOUNT</v>
      </c>
      <c r="L181" s="5" t="str">
        <f t="shared" si="64"/>
        <v/>
      </c>
      <c r="M181" s="5" t="str">
        <f>_xlfn.XLOOKUP($N181,'Base de Grupos'!$A:$A,'Base de Grupos'!$C:$C)</f>
        <v>TO</v>
      </c>
      <c r="N181" s="3">
        <v>1346</v>
      </c>
      <c r="O181" s="4" t="s">
        <v>233</v>
      </c>
      <c r="P181" s="5" t="s">
        <v>95</v>
      </c>
      <c r="Q181" s="24">
        <v>0</v>
      </c>
      <c r="R181" s="24">
        <v>0</v>
      </c>
      <c r="S181" s="24">
        <v>0</v>
      </c>
      <c r="T181" s="24">
        <v>0</v>
      </c>
      <c r="U181" s="24">
        <v>0</v>
      </c>
      <c r="V181" s="24">
        <v>0</v>
      </c>
      <c r="W181" s="24">
        <v>0</v>
      </c>
      <c r="X181" s="24">
        <v>0</v>
      </c>
      <c r="Y181" s="24">
        <v>0</v>
      </c>
      <c r="Z181" s="24">
        <v>0</v>
      </c>
      <c r="AA181" s="24">
        <v>0</v>
      </c>
      <c r="AB181" s="24">
        <v>0</v>
      </c>
      <c r="AC181" s="30">
        <f t="shared" si="87"/>
        <v>0</v>
      </c>
      <c r="AD181" s="27">
        <f t="shared" si="81"/>
        <v>0</v>
      </c>
      <c r="AE181" s="25">
        <f>IFERROR(_xlfn.XLOOKUP(N181&amp;P181,'Historico Vendas'!G:G,'Historico Vendas'!E:E),0)</f>
        <v>0</v>
      </c>
      <c r="AF181" s="29" t="str">
        <f t="shared" si="65"/>
        <v/>
      </c>
      <c r="AG181" s="24">
        <f>IFERROR(_xlfn.XLOOKUP(N181&amp;P181,'Historico Vendas'!G:G,'Historico Vendas'!F:F),0)</f>
        <v>0</v>
      </c>
      <c r="AH181" s="25">
        <f t="shared" si="82"/>
        <v>0</v>
      </c>
      <c r="AI181" s="24">
        <f t="shared" si="83"/>
        <v>0</v>
      </c>
      <c r="AJ181" s="11" t="str">
        <f t="shared" si="66"/>
        <v/>
      </c>
      <c r="AK181" s="9" t="s">
        <v>102</v>
      </c>
      <c r="AL181" s="13">
        <f>IFERROR(INDEX('Balizador da Meta'!$D$3:$F$23,MATCH(Quantidade!$P181,'Balizador da Meta'!$C$3:$C$23,0),MATCH(Quantidade!AK181,'Balizador da Meta'!$D$2:$F$2,0)),"")</f>
        <v>0.25</v>
      </c>
      <c r="AM181" s="9"/>
    </row>
    <row r="182" spans="1:39" x14ac:dyDescent="0.3">
      <c r="A182" s="2" t="str">
        <f t="shared" si="63"/>
        <v>NÃO</v>
      </c>
      <c r="B182" s="2" t="str">
        <f>_xlfn.XLOOKUP($N182,'Base de Grupos'!$A:$A,'Base de Grupos'!$D:$D)</f>
        <v>1000065763</v>
      </c>
      <c r="C182" s="5" t="str">
        <f>_xlfn.XLOOKUP($N182,'Base de Grupos'!$A:$A,'Base de Grupos'!$E:$E)</f>
        <v>CANAL VENDA INTERNA</v>
      </c>
      <c r="D182" s="5" t="str">
        <f>_xlfn.XLOOKUP($N182,'Base de Grupos'!$A:$A,'Base de Grupos'!$F:$F)</f>
        <v>1000065763</v>
      </c>
      <c r="E182" s="2" t="str">
        <f>_xlfn.XLOOKUP($N182,'Base de Grupos'!$A:$A,'Base de Grupos'!$G:$G)</f>
        <v>CANAL VENDA INTERNA</v>
      </c>
      <c r="F182" s="2" t="str">
        <f>_xlfn.XLOOKUP($N182,'Base de Grupos'!$A:$A,'Base de Grupos'!$H:$H)</f>
        <v>1000153245</v>
      </c>
      <c r="G182" s="5" t="str">
        <f>_xlfn.XLOOKUP($N182,'Base de Grupos'!$A:$A,'Base de Grupos'!$I:$I)</f>
        <v>REGIONAL VENDA INTERNA - KEY ACCOUNT</v>
      </c>
      <c r="H182" s="5" t="str">
        <f>_xlfn.XLOOKUP($N182,'Base de Grupos'!$A:$A,'Base de Grupos'!$J:$J)</f>
        <v>1000153245</v>
      </c>
      <c r="I182" s="2" t="str">
        <f>_xlfn.XLOOKUP($N182,'Base de Grupos'!$A:$A,'Base de Grupos'!$K:$K)</f>
        <v>REGIONAL VENDA INTERNA - KEY ACCOUNT</v>
      </c>
      <c r="J182" s="2" t="str">
        <f>_xlfn.XLOOKUP($N182,'Base de Grupos'!$A:$A,'Base de Grupos'!$L:$L)</f>
        <v>1000153245</v>
      </c>
      <c r="K182" s="5" t="str">
        <f>_xlfn.XLOOKUP($N182,'Base de Grupos'!$A:$A,'Base de Grupos'!$M:$M)</f>
        <v>REGIONAL VENDA INTERNA - KEY ACCOUNT</v>
      </c>
      <c r="L182" s="5" t="str">
        <f t="shared" si="64"/>
        <v/>
      </c>
      <c r="M182" s="5" t="str">
        <f>_xlfn.XLOOKUP($N182,'Base de Grupos'!$A:$A,'Base de Grupos'!$C:$C)</f>
        <v>TO</v>
      </c>
      <c r="N182" s="3">
        <v>1346</v>
      </c>
      <c r="O182" s="4" t="s">
        <v>233</v>
      </c>
      <c r="P182" s="5" t="s">
        <v>93</v>
      </c>
      <c r="Q182" s="24">
        <v>0</v>
      </c>
      <c r="R182" s="24">
        <v>0</v>
      </c>
      <c r="S182" s="24">
        <v>0</v>
      </c>
      <c r="T182" s="24">
        <v>0</v>
      </c>
      <c r="U182" s="24">
        <v>0</v>
      </c>
      <c r="V182" s="24">
        <v>0</v>
      </c>
      <c r="W182" s="24">
        <v>0</v>
      </c>
      <c r="X182" s="24">
        <v>0</v>
      </c>
      <c r="Y182" s="24">
        <v>0</v>
      </c>
      <c r="Z182" s="24">
        <v>0</v>
      </c>
      <c r="AA182" s="24">
        <v>0</v>
      </c>
      <c r="AB182" s="24">
        <v>0</v>
      </c>
      <c r="AC182" s="30">
        <f t="shared" si="87"/>
        <v>0</v>
      </c>
      <c r="AD182" s="27">
        <f t="shared" si="81"/>
        <v>0</v>
      </c>
      <c r="AE182" s="25">
        <f>IFERROR(_xlfn.XLOOKUP(N182&amp;P182,'Historico Vendas'!G:G,'Historico Vendas'!E:E),0)</f>
        <v>0</v>
      </c>
      <c r="AF182" s="29" t="str">
        <f t="shared" si="65"/>
        <v/>
      </c>
      <c r="AG182" s="24">
        <f>IFERROR(_xlfn.XLOOKUP(N182&amp;P182,'Historico Vendas'!G:G,'Historico Vendas'!F:F),0)</f>
        <v>0</v>
      </c>
      <c r="AH182" s="25">
        <f t="shared" si="82"/>
        <v>0</v>
      </c>
      <c r="AI182" s="24">
        <f t="shared" si="83"/>
        <v>0</v>
      </c>
      <c r="AJ182" s="11" t="str">
        <f t="shared" si="66"/>
        <v/>
      </c>
      <c r="AK182" s="9" t="s">
        <v>102</v>
      </c>
      <c r="AL182" s="13">
        <f>IFERROR(INDEX('Balizador da Meta'!$D$3:$F$23,MATCH(Quantidade!$P182,'Balizador da Meta'!$C$3:$C$23,0),MATCH(Quantidade!AK182,'Balizador da Meta'!$D$2:$F$2,0)),"")</f>
        <v>0.2</v>
      </c>
      <c r="AM182" s="9"/>
    </row>
    <row r="183" spans="1:39" x14ac:dyDescent="0.3">
      <c r="A183" s="2" t="str">
        <f t="shared" si="63"/>
        <v>SIM</v>
      </c>
      <c r="B183" s="2" t="str">
        <f>_xlfn.XLOOKUP($N183,'Base de Grupos'!$A:$A,'Base de Grupos'!$D:$D)</f>
        <v>1000065763</v>
      </c>
      <c r="C183" s="5" t="str">
        <f>_xlfn.XLOOKUP($N183,'Base de Grupos'!$A:$A,'Base de Grupos'!$E:$E)</f>
        <v>CANAL VENDA INTERNA</v>
      </c>
      <c r="D183" s="5" t="str">
        <f>_xlfn.XLOOKUP($N183,'Base de Grupos'!$A:$A,'Base de Grupos'!$F:$F)</f>
        <v>1000065763</v>
      </c>
      <c r="E183" s="2" t="str">
        <f>_xlfn.XLOOKUP($N183,'Base de Grupos'!$A:$A,'Base de Grupos'!$G:$G)</f>
        <v>CANAL VENDA INTERNA</v>
      </c>
      <c r="F183" s="2" t="str">
        <f>_xlfn.XLOOKUP($N183,'Base de Grupos'!$A:$A,'Base de Grupos'!$H:$H)</f>
        <v>1000105900</v>
      </c>
      <c r="G183" s="5" t="str">
        <f>_xlfn.XLOOKUP($N183,'Base de Grupos'!$A:$A,'Base de Grupos'!$I:$I)</f>
        <v>REGIONAL VENDA DIRETA CO + NE + NO</v>
      </c>
      <c r="H183" s="5" t="str">
        <f>_xlfn.XLOOKUP($N183,'Base de Grupos'!$A:$A,'Base de Grupos'!$J:$J)</f>
        <v>1000105900</v>
      </c>
      <c r="I183" s="2" t="str">
        <f>_xlfn.XLOOKUP($N183,'Base de Grupos'!$A:$A,'Base de Grupos'!$K:$K)</f>
        <v>REGIONAL VENDA DIRETA CO + NE + NO</v>
      </c>
      <c r="J183" s="2" t="str">
        <f>_xlfn.XLOOKUP($N183,'Base de Grupos'!$A:$A,'Base de Grupos'!$L:$L)</f>
        <v>1000150135</v>
      </c>
      <c r="K183" s="5" t="str">
        <f>_xlfn.XLOOKUP($N183,'Base de Grupos'!$A:$A,'Base de Grupos'!$M:$M)</f>
        <v>HELDER DA SILVA BRUNKOW</v>
      </c>
      <c r="L183" s="5">
        <f t="shared" si="64"/>
        <v>1</v>
      </c>
      <c r="M183" s="5" t="str">
        <f>_xlfn.XLOOKUP($N183,'Base de Grupos'!$A:$A,'Base de Grupos'!$C:$C)</f>
        <v>RO</v>
      </c>
      <c r="N183" s="3">
        <v>1347</v>
      </c>
      <c r="O183" s="4" t="s">
        <v>234</v>
      </c>
      <c r="P183" s="5" t="s">
        <v>304</v>
      </c>
      <c r="Q183" s="24">
        <v>0</v>
      </c>
      <c r="R183" s="24">
        <v>0</v>
      </c>
      <c r="S183" s="24">
        <v>0</v>
      </c>
      <c r="T183" s="24">
        <v>0</v>
      </c>
      <c r="U183" s="24">
        <v>0</v>
      </c>
      <c r="V183" s="24">
        <v>0</v>
      </c>
      <c r="W183" s="24">
        <v>0</v>
      </c>
      <c r="X183" s="24">
        <v>0</v>
      </c>
      <c r="Y183" s="24">
        <v>0</v>
      </c>
      <c r="Z183" s="24">
        <v>0</v>
      </c>
      <c r="AA183" s="24">
        <v>0</v>
      </c>
      <c r="AB183" s="24">
        <v>0</v>
      </c>
      <c r="AC183" s="30">
        <f t="shared" si="87"/>
        <v>0</v>
      </c>
      <c r="AD183" s="25">
        <f t="shared" ref="AD183:AI183" si="88">SUM(AD184:AD200)</f>
        <v>0</v>
      </c>
      <c r="AE183" s="25">
        <f t="shared" si="88"/>
        <v>0</v>
      </c>
      <c r="AF183" s="11" t="str">
        <f t="shared" si="65"/>
        <v/>
      </c>
      <c r="AG183" s="24">
        <f t="shared" si="88"/>
        <v>0</v>
      </c>
      <c r="AH183" s="25">
        <f t="shared" si="88"/>
        <v>0</v>
      </c>
      <c r="AI183" s="24">
        <f t="shared" si="88"/>
        <v>0</v>
      </c>
      <c r="AJ183" s="11" t="str">
        <f t="shared" si="66"/>
        <v/>
      </c>
      <c r="AK183" s="9"/>
      <c r="AL183" s="13"/>
      <c r="AM183" s="9"/>
    </row>
    <row r="184" spans="1:39" x14ac:dyDescent="0.3">
      <c r="A184" s="2" t="str">
        <f t="shared" si="63"/>
        <v>NÃO</v>
      </c>
      <c r="B184" s="2" t="str">
        <f>_xlfn.XLOOKUP($N184,'Base de Grupos'!$A:$A,'Base de Grupos'!$D:$D)</f>
        <v>1000065763</v>
      </c>
      <c r="C184" s="5" t="str">
        <f>_xlfn.XLOOKUP($N184,'Base de Grupos'!$A:$A,'Base de Grupos'!$E:$E)</f>
        <v>CANAL VENDA INTERNA</v>
      </c>
      <c r="D184" s="5" t="str">
        <f>_xlfn.XLOOKUP($N184,'Base de Grupos'!$A:$A,'Base de Grupos'!$F:$F)</f>
        <v>1000065763</v>
      </c>
      <c r="E184" s="2" t="str">
        <f>_xlfn.XLOOKUP($N184,'Base de Grupos'!$A:$A,'Base de Grupos'!$G:$G)</f>
        <v>CANAL VENDA INTERNA</v>
      </c>
      <c r="F184" s="2" t="str">
        <f>_xlfn.XLOOKUP($N184,'Base de Grupos'!$A:$A,'Base de Grupos'!$H:$H)</f>
        <v>1000105900</v>
      </c>
      <c r="G184" s="5" t="str">
        <f>_xlfn.XLOOKUP($N184,'Base de Grupos'!$A:$A,'Base de Grupos'!$I:$I)</f>
        <v>REGIONAL VENDA DIRETA CO + NE + NO</v>
      </c>
      <c r="H184" s="5" t="str">
        <f>_xlfn.XLOOKUP($N184,'Base de Grupos'!$A:$A,'Base de Grupos'!$J:$J)</f>
        <v>1000105900</v>
      </c>
      <c r="I184" s="2" t="str">
        <f>_xlfn.XLOOKUP($N184,'Base de Grupos'!$A:$A,'Base de Grupos'!$K:$K)</f>
        <v>REGIONAL VENDA DIRETA CO + NE + NO</v>
      </c>
      <c r="J184" s="2" t="str">
        <f>_xlfn.XLOOKUP($N184,'Base de Grupos'!$A:$A,'Base de Grupos'!$L:$L)</f>
        <v>1000150135</v>
      </c>
      <c r="K184" s="5" t="str">
        <f>_xlfn.XLOOKUP($N184,'Base de Grupos'!$A:$A,'Base de Grupos'!$M:$M)</f>
        <v>HELDER DA SILVA BRUNKOW</v>
      </c>
      <c r="L184" s="5" t="str">
        <f t="shared" si="64"/>
        <v/>
      </c>
      <c r="M184" s="5" t="str">
        <f>_xlfn.XLOOKUP($N184,'Base de Grupos'!$A:$A,'Base de Grupos'!$C:$C)</f>
        <v>RO</v>
      </c>
      <c r="N184" s="3">
        <v>1347</v>
      </c>
      <c r="O184" s="4" t="s">
        <v>234</v>
      </c>
      <c r="P184" s="5" t="s">
        <v>81</v>
      </c>
      <c r="Q184" s="24">
        <v>0</v>
      </c>
      <c r="R184" s="24">
        <v>0</v>
      </c>
      <c r="S184" s="24">
        <v>0</v>
      </c>
      <c r="T184" s="24">
        <v>0</v>
      </c>
      <c r="U184" s="24">
        <v>0</v>
      </c>
      <c r="V184" s="24">
        <v>0</v>
      </c>
      <c r="W184" s="24">
        <v>0</v>
      </c>
      <c r="X184" s="24">
        <v>0</v>
      </c>
      <c r="Y184" s="24">
        <v>0</v>
      </c>
      <c r="Z184" s="24">
        <v>0</v>
      </c>
      <c r="AA184" s="24">
        <v>0</v>
      </c>
      <c r="AB184" s="24">
        <v>0</v>
      </c>
      <c r="AC184" s="30">
        <f t="shared" si="87"/>
        <v>0</v>
      </c>
      <c r="AD184" s="27">
        <f t="shared" ref="AD184:AD200" si="89">IF(AC184=0,0,AC184-AG184)</f>
        <v>0</v>
      </c>
      <c r="AE184" s="25">
        <f>IFERROR(_xlfn.XLOOKUP(N184&amp;P184,'Historico Vendas'!G:G,'Historico Vendas'!E:E),0)</f>
        <v>0</v>
      </c>
      <c r="AF184" s="29" t="str">
        <f t="shared" si="65"/>
        <v/>
      </c>
      <c r="AG184" s="24">
        <f>IFERROR(_xlfn.XLOOKUP(N184&amp;P184,'Historico Vendas'!G:G,'Historico Vendas'!F:F),0)</f>
        <v>0</v>
      </c>
      <c r="AH184" s="25">
        <f t="shared" ref="AH184:AH200" si="90">SUM(Q184:S184)</f>
        <v>0</v>
      </c>
      <c r="AI184" s="24">
        <f t="shared" ref="AI184:AI200" si="91">AH184-AG184</f>
        <v>0</v>
      </c>
      <c r="AJ184" s="11" t="str">
        <f t="shared" si="66"/>
        <v/>
      </c>
      <c r="AK184" s="9" t="s">
        <v>102</v>
      </c>
      <c r="AL184" s="13">
        <f>IFERROR(INDEX('Balizador da Meta'!$D$3:$F$23,MATCH(Quantidade!$P184,'Balizador da Meta'!$C$3:$C$23,0),MATCH(Quantidade!AK184,'Balizador da Meta'!$D$2:$F$2,0)),"")</f>
        <v>0.2</v>
      </c>
      <c r="AM184" s="9"/>
    </row>
    <row r="185" spans="1:39" x14ac:dyDescent="0.3">
      <c r="A185" s="2" t="str">
        <f t="shared" si="63"/>
        <v>NÃO</v>
      </c>
      <c r="B185" s="2" t="str">
        <f>_xlfn.XLOOKUP($N185,'Base de Grupos'!$A:$A,'Base de Grupos'!$D:$D)</f>
        <v>1000065763</v>
      </c>
      <c r="C185" s="5" t="str">
        <f>_xlfn.XLOOKUP($N185,'Base de Grupos'!$A:$A,'Base de Grupos'!$E:$E)</f>
        <v>CANAL VENDA INTERNA</v>
      </c>
      <c r="D185" s="5" t="str">
        <f>_xlfn.XLOOKUP($N185,'Base de Grupos'!$A:$A,'Base de Grupos'!$F:$F)</f>
        <v>1000065763</v>
      </c>
      <c r="E185" s="2" t="str">
        <f>_xlfn.XLOOKUP($N185,'Base de Grupos'!$A:$A,'Base de Grupos'!$G:$G)</f>
        <v>CANAL VENDA INTERNA</v>
      </c>
      <c r="F185" s="2" t="str">
        <f>_xlfn.XLOOKUP($N185,'Base de Grupos'!$A:$A,'Base de Grupos'!$H:$H)</f>
        <v>1000105900</v>
      </c>
      <c r="G185" s="5" t="str">
        <f>_xlfn.XLOOKUP($N185,'Base de Grupos'!$A:$A,'Base de Grupos'!$I:$I)</f>
        <v>REGIONAL VENDA DIRETA CO + NE + NO</v>
      </c>
      <c r="H185" s="5" t="str">
        <f>_xlfn.XLOOKUP($N185,'Base de Grupos'!$A:$A,'Base de Grupos'!$J:$J)</f>
        <v>1000105900</v>
      </c>
      <c r="I185" s="2" t="str">
        <f>_xlfn.XLOOKUP($N185,'Base de Grupos'!$A:$A,'Base de Grupos'!$K:$K)</f>
        <v>REGIONAL VENDA DIRETA CO + NE + NO</v>
      </c>
      <c r="J185" s="2" t="str">
        <f>_xlfn.XLOOKUP($N185,'Base de Grupos'!$A:$A,'Base de Grupos'!$L:$L)</f>
        <v>1000150135</v>
      </c>
      <c r="K185" s="5" t="str">
        <f>_xlfn.XLOOKUP($N185,'Base de Grupos'!$A:$A,'Base de Grupos'!$M:$M)</f>
        <v>HELDER DA SILVA BRUNKOW</v>
      </c>
      <c r="L185" s="5" t="str">
        <f t="shared" si="64"/>
        <v/>
      </c>
      <c r="M185" s="5" t="str">
        <f>_xlfn.XLOOKUP($N185,'Base de Grupos'!$A:$A,'Base de Grupos'!$C:$C)</f>
        <v>RO</v>
      </c>
      <c r="N185" s="3">
        <v>1347</v>
      </c>
      <c r="O185" s="4" t="s">
        <v>234</v>
      </c>
      <c r="P185" s="5" t="s">
        <v>82</v>
      </c>
      <c r="Q185" s="24">
        <v>0</v>
      </c>
      <c r="R185" s="24">
        <v>0</v>
      </c>
      <c r="S185" s="24">
        <v>0</v>
      </c>
      <c r="T185" s="24">
        <v>0</v>
      </c>
      <c r="U185" s="24">
        <v>0</v>
      </c>
      <c r="V185" s="24">
        <v>0</v>
      </c>
      <c r="W185" s="24">
        <v>0</v>
      </c>
      <c r="X185" s="24">
        <v>0</v>
      </c>
      <c r="Y185" s="24">
        <v>0</v>
      </c>
      <c r="Z185" s="24">
        <v>0</v>
      </c>
      <c r="AA185" s="24">
        <v>0</v>
      </c>
      <c r="AB185" s="24">
        <v>0</v>
      </c>
      <c r="AC185" s="30">
        <f t="shared" si="87"/>
        <v>0</v>
      </c>
      <c r="AD185" s="27">
        <f t="shared" si="89"/>
        <v>0</v>
      </c>
      <c r="AE185" s="25">
        <f>IFERROR(_xlfn.XLOOKUP(N185&amp;P185,'Historico Vendas'!G:G,'Historico Vendas'!E:E),0)</f>
        <v>0</v>
      </c>
      <c r="AF185" s="29" t="str">
        <f t="shared" si="65"/>
        <v/>
      </c>
      <c r="AG185" s="24">
        <f>IFERROR(_xlfn.XLOOKUP(N185&amp;P185,'Historico Vendas'!G:G,'Historico Vendas'!F:F),0)</f>
        <v>0</v>
      </c>
      <c r="AH185" s="25">
        <f t="shared" si="90"/>
        <v>0</v>
      </c>
      <c r="AI185" s="24">
        <f t="shared" si="91"/>
        <v>0</v>
      </c>
      <c r="AJ185" s="11" t="str">
        <f t="shared" si="66"/>
        <v/>
      </c>
      <c r="AK185" s="9" t="s">
        <v>102</v>
      </c>
      <c r="AL185" s="13">
        <f>IFERROR(INDEX('Balizador da Meta'!$D$3:$F$23,MATCH(Quantidade!$P185,'Balizador da Meta'!$C$3:$C$23,0),MATCH(Quantidade!AK185,'Balizador da Meta'!$D$2:$F$2,0)),"")</f>
        <v>0.2</v>
      </c>
      <c r="AM185" s="9"/>
    </row>
    <row r="186" spans="1:39" x14ac:dyDescent="0.3">
      <c r="A186" s="2" t="str">
        <f t="shared" si="63"/>
        <v>NÃO</v>
      </c>
      <c r="B186" s="2" t="str">
        <f>_xlfn.XLOOKUP($N186,'Base de Grupos'!$A:$A,'Base de Grupos'!$D:$D)</f>
        <v>1000065763</v>
      </c>
      <c r="C186" s="5" t="str">
        <f>_xlfn.XLOOKUP($N186,'Base de Grupos'!$A:$A,'Base de Grupos'!$E:$E)</f>
        <v>CANAL VENDA INTERNA</v>
      </c>
      <c r="D186" s="5" t="str">
        <f>_xlfn.XLOOKUP($N186,'Base de Grupos'!$A:$A,'Base de Grupos'!$F:$F)</f>
        <v>1000065763</v>
      </c>
      <c r="E186" s="2" t="str">
        <f>_xlfn.XLOOKUP($N186,'Base de Grupos'!$A:$A,'Base de Grupos'!$G:$G)</f>
        <v>CANAL VENDA INTERNA</v>
      </c>
      <c r="F186" s="2" t="str">
        <f>_xlfn.XLOOKUP($N186,'Base de Grupos'!$A:$A,'Base de Grupos'!$H:$H)</f>
        <v>1000105900</v>
      </c>
      <c r="G186" s="5" t="str">
        <f>_xlfn.XLOOKUP($N186,'Base de Grupos'!$A:$A,'Base de Grupos'!$I:$I)</f>
        <v>REGIONAL VENDA DIRETA CO + NE + NO</v>
      </c>
      <c r="H186" s="5" t="str">
        <f>_xlfn.XLOOKUP($N186,'Base de Grupos'!$A:$A,'Base de Grupos'!$J:$J)</f>
        <v>1000105900</v>
      </c>
      <c r="I186" s="2" t="str">
        <f>_xlfn.XLOOKUP($N186,'Base de Grupos'!$A:$A,'Base de Grupos'!$K:$K)</f>
        <v>REGIONAL VENDA DIRETA CO + NE + NO</v>
      </c>
      <c r="J186" s="2" t="str">
        <f>_xlfn.XLOOKUP($N186,'Base de Grupos'!$A:$A,'Base de Grupos'!$L:$L)</f>
        <v>1000150135</v>
      </c>
      <c r="K186" s="5" t="str">
        <f>_xlfn.XLOOKUP($N186,'Base de Grupos'!$A:$A,'Base de Grupos'!$M:$M)</f>
        <v>HELDER DA SILVA BRUNKOW</v>
      </c>
      <c r="L186" s="5" t="str">
        <f t="shared" si="64"/>
        <v/>
      </c>
      <c r="M186" s="5" t="str">
        <f>_xlfn.XLOOKUP($N186,'Base de Grupos'!$A:$A,'Base de Grupos'!$C:$C)</f>
        <v>RO</v>
      </c>
      <c r="N186" s="3">
        <v>1347</v>
      </c>
      <c r="O186" s="4" t="s">
        <v>234</v>
      </c>
      <c r="P186" s="5" t="s">
        <v>84</v>
      </c>
      <c r="Q186" s="24">
        <v>0</v>
      </c>
      <c r="R186" s="24">
        <v>0</v>
      </c>
      <c r="S186" s="24">
        <v>0</v>
      </c>
      <c r="T186" s="24">
        <v>0</v>
      </c>
      <c r="U186" s="24">
        <v>0</v>
      </c>
      <c r="V186" s="24">
        <v>0</v>
      </c>
      <c r="W186" s="24">
        <v>0</v>
      </c>
      <c r="X186" s="24">
        <v>0</v>
      </c>
      <c r="Y186" s="24">
        <v>0</v>
      </c>
      <c r="Z186" s="24">
        <v>0</v>
      </c>
      <c r="AA186" s="24">
        <v>0</v>
      </c>
      <c r="AB186" s="24">
        <v>0</v>
      </c>
      <c r="AC186" s="30">
        <f t="shared" si="87"/>
        <v>0</v>
      </c>
      <c r="AD186" s="27">
        <f t="shared" si="89"/>
        <v>0</v>
      </c>
      <c r="AE186" s="25">
        <f>IFERROR(_xlfn.XLOOKUP(N186&amp;P186,'Historico Vendas'!G:G,'Historico Vendas'!E:E),0)</f>
        <v>0</v>
      </c>
      <c r="AF186" s="29" t="str">
        <f t="shared" si="65"/>
        <v/>
      </c>
      <c r="AG186" s="24">
        <f>IFERROR(_xlfn.XLOOKUP(N186&amp;P186,'Historico Vendas'!G:G,'Historico Vendas'!F:F),0)</f>
        <v>0</v>
      </c>
      <c r="AH186" s="25">
        <f t="shared" si="90"/>
        <v>0</v>
      </c>
      <c r="AI186" s="24">
        <f t="shared" si="91"/>
        <v>0</v>
      </c>
      <c r="AJ186" s="11" t="str">
        <f t="shared" si="66"/>
        <v/>
      </c>
      <c r="AK186" s="9" t="s">
        <v>102</v>
      </c>
      <c r="AL186" s="13">
        <f>IFERROR(INDEX('Balizador da Meta'!$D$3:$F$23,MATCH(Quantidade!$P186,'Balizador da Meta'!$C$3:$C$23,0),MATCH(Quantidade!AK186,'Balizador da Meta'!$D$2:$F$2,0)),"")</f>
        <v>0.15</v>
      </c>
      <c r="AM186" s="9"/>
    </row>
    <row r="187" spans="1:39" x14ac:dyDescent="0.3">
      <c r="A187" s="2" t="str">
        <f t="shared" si="63"/>
        <v>NÃO</v>
      </c>
      <c r="B187" s="2" t="str">
        <f>_xlfn.XLOOKUP($N187,'Base de Grupos'!$A:$A,'Base de Grupos'!$D:$D)</f>
        <v>1000065763</v>
      </c>
      <c r="C187" s="5" t="str">
        <f>_xlfn.XLOOKUP($N187,'Base de Grupos'!$A:$A,'Base de Grupos'!$E:$E)</f>
        <v>CANAL VENDA INTERNA</v>
      </c>
      <c r="D187" s="5" t="str">
        <f>_xlfn.XLOOKUP($N187,'Base de Grupos'!$A:$A,'Base de Grupos'!$F:$F)</f>
        <v>1000065763</v>
      </c>
      <c r="E187" s="2" t="str">
        <f>_xlfn.XLOOKUP($N187,'Base de Grupos'!$A:$A,'Base de Grupos'!$G:$G)</f>
        <v>CANAL VENDA INTERNA</v>
      </c>
      <c r="F187" s="2" t="str">
        <f>_xlfn.XLOOKUP($N187,'Base de Grupos'!$A:$A,'Base de Grupos'!$H:$H)</f>
        <v>1000105900</v>
      </c>
      <c r="G187" s="5" t="str">
        <f>_xlfn.XLOOKUP($N187,'Base de Grupos'!$A:$A,'Base de Grupos'!$I:$I)</f>
        <v>REGIONAL VENDA DIRETA CO + NE + NO</v>
      </c>
      <c r="H187" s="5" t="str">
        <f>_xlfn.XLOOKUP($N187,'Base de Grupos'!$A:$A,'Base de Grupos'!$J:$J)</f>
        <v>1000105900</v>
      </c>
      <c r="I187" s="2" t="str">
        <f>_xlfn.XLOOKUP($N187,'Base de Grupos'!$A:$A,'Base de Grupos'!$K:$K)</f>
        <v>REGIONAL VENDA DIRETA CO + NE + NO</v>
      </c>
      <c r="J187" s="2" t="str">
        <f>_xlfn.XLOOKUP($N187,'Base de Grupos'!$A:$A,'Base de Grupos'!$L:$L)</f>
        <v>1000150135</v>
      </c>
      <c r="K187" s="5" t="str">
        <f>_xlfn.XLOOKUP($N187,'Base de Grupos'!$A:$A,'Base de Grupos'!$M:$M)</f>
        <v>HELDER DA SILVA BRUNKOW</v>
      </c>
      <c r="L187" s="5" t="str">
        <f t="shared" si="64"/>
        <v/>
      </c>
      <c r="M187" s="5" t="str">
        <f>_xlfn.XLOOKUP($N187,'Base de Grupos'!$A:$A,'Base de Grupos'!$C:$C)</f>
        <v>RO</v>
      </c>
      <c r="N187" s="3">
        <v>1347</v>
      </c>
      <c r="O187" s="4" t="s">
        <v>234</v>
      </c>
      <c r="P187" s="5" t="s">
        <v>83</v>
      </c>
      <c r="Q187" s="24">
        <v>0</v>
      </c>
      <c r="R187" s="24">
        <v>0</v>
      </c>
      <c r="S187" s="24">
        <v>0</v>
      </c>
      <c r="T187" s="24">
        <v>0</v>
      </c>
      <c r="U187" s="24">
        <v>0</v>
      </c>
      <c r="V187" s="24">
        <v>0</v>
      </c>
      <c r="W187" s="24">
        <v>0</v>
      </c>
      <c r="X187" s="24">
        <v>0</v>
      </c>
      <c r="Y187" s="24">
        <v>0</v>
      </c>
      <c r="Z187" s="24">
        <v>0</v>
      </c>
      <c r="AA187" s="24">
        <v>0</v>
      </c>
      <c r="AB187" s="24">
        <v>0</v>
      </c>
      <c r="AC187" s="30">
        <f t="shared" si="87"/>
        <v>0</v>
      </c>
      <c r="AD187" s="27">
        <f t="shared" si="89"/>
        <v>0</v>
      </c>
      <c r="AE187" s="25">
        <f>IFERROR(_xlfn.XLOOKUP(N187&amp;P187,'Historico Vendas'!G:G,'Historico Vendas'!E:E),0)</f>
        <v>0</v>
      </c>
      <c r="AF187" s="29" t="str">
        <f t="shared" si="65"/>
        <v/>
      </c>
      <c r="AG187" s="24">
        <f>IFERROR(_xlfn.XLOOKUP(N187&amp;P187,'Historico Vendas'!G:G,'Historico Vendas'!F:F),0)</f>
        <v>0</v>
      </c>
      <c r="AH187" s="25">
        <f t="shared" si="90"/>
        <v>0</v>
      </c>
      <c r="AI187" s="24">
        <f t="shared" si="91"/>
        <v>0</v>
      </c>
      <c r="AJ187" s="11" t="str">
        <f t="shared" si="66"/>
        <v/>
      </c>
      <c r="AK187" s="9" t="s">
        <v>102</v>
      </c>
      <c r="AL187" s="13">
        <f>IFERROR(INDEX('Balizador da Meta'!$D$3:$F$23,MATCH(Quantidade!$P187,'Balizador da Meta'!$C$3:$C$23,0),MATCH(Quantidade!AK187,'Balizador da Meta'!$D$2:$F$2,0)),"")</f>
        <v>0</v>
      </c>
      <c r="AM187" s="9"/>
    </row>
    <row r="188" spans="1:39" x14ac:dyDescent="0.3">
      <c r="A188" s="2" t="str">
        <f t="shared" si="63"/>
        <v>NÃO</v>
      </c>
      <c r="B188" s="2" t="str">
        <f>_xlfn.XLOOKUP($N188,'Base de Grupos'!$A:$A,'Base de Grupos'!$D:$D)</f>
        <v>1000065763</v>
      </c>
      <c r="C188" s="5" t="str">
        <f>_xlfn.XLOOKUP($N188,'Base de Grupos'!$A:$A,'Base de Grupos'!$E:$E)</f>
        <v>CANAL VENDA INTERNA</v>
      </c>
      <c r="D188" s="5" t="str">
        <f>_xlfn.XLOOKUP($N188,'Base de Grupos'!$A:$A,'Base de Grupos'!$F:$F)</f>
        <v>1000065763</v>
      </c>
      <c r="E188" s="2" t="str">
        <f>_xlfn.XLOOKUP($N188,'Base de Grupos'!$A:$A,'Base de Grupos'!$G:$G)</f>
        <v>CANAL VENDA INTERNA</v>
      </c>
      <c r="F188" s="2" t="str">
        <f>_xlfn.XLOOKUP($N188,'Base de Grupos'!$A:$A,'Base de Grupos'!$H:$H)</f>
        <v>1000105900</v>
      </c>
      <c r="G188" s="5" t="str">
        <f>_xlfn.XLOOKUP($N188,'Base de Grupos'!$A:$A,'Base de Grupos'!$I:$I)</f>
        <v>REGIONAL VENDA DIRETA CO + NE + NO</v>
      </c>
      <c r="H188" s="5" t="str">
        <f>_xlfn.XLOOKUP($N188,'Base de Grupos'!$A:$A,'Base de Grupos'!$J:$J)</f>
        <v>1000105900</v>
      </c>
      <c r="I188" s="2" t="str">
        <f>_xlfn.XLOOKUP($N188,'Base de Grupos'!$A:$A,'Base de Grupos'!$K:$K)</f>
        <v>REGIONAL VENDA DIRETA CO + NE + NO</v>
      </c>
      <c r="J188" s="2" t="str">
        <f>_xlfn.XLOOKUP($N188,'Base de Grupos'!$A:$A,'Base de Grupos'!$L:$L)</f>
        <v>1000150135</v>
      </c>
      <c r="K188" s="5" t="str">
        <f>_xlfn.XLOOKUP($N188,'Base de Grupos'!$A:$A,'Base de Grupos'!$M:$M)</f>
        <v>HELDER DA SILVA BRUNKOW</v>
      </c>
      <c r="L188" s="5" t="str">
        <f t="shared" si="64"/>
        <v/>
      </c>
      <c r="M188" s="5" t="str">
        <f>_xlfn.XLOOKUP($N188,'Base de Grupos'!$A:$A,'Base de Grupos'!$C:$C)</f>
        <v>RO</v>
      </c>
      <c r="N188" s="3">
        <v>1347</v>
      </c>
      <c r="O188" s="4" t="s">
        <v>234</v>
      </c>
      <c r="P188" s="5" t="s">
        <v>87</v>
      </c>
      <c r="Q188" s="24">
        <v>0</v>
      </c>
      <c r="R188" s="24">
        <v>0</v>
      </c>
      <c r="S188" s="24">
        <v>0</v>
      </c>
      <c r="T188" s="24">
        <v>0</v>
      </c>
      <c r="U188" s="24">
        <v>0</v>
      </c>
      <c r="V188" s="24">
        <v>0</v>
      </c>
      <c r="W188" s="24">
        <v>0</v>
      </c>
      <c r="X188" s="24">
        <v>0</v>
      </c>
      <c r="Y188" s="24">
        <v>0</v>
      </c>
      <c r="Z188" s="24">
        <v>0</v>
      </c>
      <c r="AA188" s="24">
        <v>0</v>
      </c>
      <c r="AB188" s="24">
        <v>0</v>
      </c>
      <c r="AC188" s="30">
        <f t="shared" si="87"/>
        <v>0</v>
      </c>
      <c r="AD188" s="27">
        <f t="shared" si="89"/>
        <v>0</v>
      </c>
      <c r="AE188" s="25">
        <f>IFERROR(_xlfn.XLOOKUP(N188&amp;P188,'Historico Vendas'!G:G,'Historico Vendas'!E:E),0)</f>
        <v>0</v>
      </c>
      <c r="AF188" s="29" t="str">
        <f t="shared" si="65"/>
        <v/>
      </c>
      <c r="AG188" s="24">
        <f>IFERROR(_xlfn.XLOOKUP(N188&amp;P188,'Historico Vendas'!G:G,'Historico Vendas'!F:F),0)</f>
        <v>0</v>
      </c>
      <c r="AH188" s="25">
        <f t="shared" si="90"/>
        <v>0</v>
      </c>
      <c r="AI188" s="24">
        <f t="shared" si="91"/>
        <v>0</v>
      </c>
      <c r="AJ188" s="11" t="str">
        <f t="shared" si="66"/>
        <v/>
      </c>
      <c r="AK188" s="9" t="s">
        <v>102</v>
      </c>
      <c r="AL188" s="13">
        <f>IFERROR(INDEX('Balizador da Meta'!$D$3:$F$23,MATCH(Quantidade!$P188,'Balizador da Meta'!$C$3:$C$23,0),MATCH(Quantidade!AK188,'Balizador da Meta'!$D$2:$F$2,0)),"")</f>
        <v>0</v>
      </c>
      <c r="AM188" s="9"/>
    </row>
    <row r="189" spans="1:39" x14ac:dyDescent="0.3">
      <c r="A189" s="2" t="str">
        <f t="shared" si="63"/>
        <v>NÃO</v>
      </c>
      <c r="B189" s="2" t="str">
        <f>_xlfn.XLOOKUP($N189,'Base de Grupos'!$A:$A,'Base de Grupos'!$D:$D)</f>
        <v>1000065763</v>
      </c>
      <c r="C189" s="5" t="str">
        <f>_xlfn.XLOOKUP($N189,'Base de Grupos'!$A:$A,'Base de Grupos'!$E:$E)</f>
        <v>CANAL VENDA INTERNA</v>
      </c>
      <c r="D189" s="5" t="str">
        <f>_xlfn.XLOOKUP($N189,'Base de Grupos'!$A:$A,'Base de Grupos'!$F:$F)</f>
        <v>1000065763</v>
      </c>
      <c r="E189" s="2" t="str">
        <f>_xlfn.XLOOKUP($N189,'Base de Grupos'!$A:$A,'Base de Grupos'!$G:$G)</f>
        <v>CANAL VENDA INTERNA</v>
      </c>
      <c r="F189" s="2" t="str">
        <f>_xlfn.XLOOKUP($N189,'Base de Grupos'!$A:$A,'Base de Grupos'!$H:$H)</f>
        <v>1000105900</v>
      </c>
      <c r="G189" s="5" t="str">
        <f>_xlfn.XLOOKUP($N189,'Base de Grupos'!$A:$A,'Base de Grupos'!$I:$I)</f>
        <v>REGIONAL VENDA DIRETA CO + NE + NO</v>
      </c>
      <c r="H189" s="5" t="str">
        <f>_xlfn.XLOOKUP($N189,'Base de Grupos'!$A:$A,'Base de Grupos'!$J:$J)</f>
        <v>1000105900</v>
      </c>
      <c r="I189" s="2" t="str">
        <f>_xlfn.XLOOKUP($N189,'Base de Grupos'!$A:$A,'Base de Grupos'!$K:$K)</f>
        <v>REGIONAL VENDA DIRETA CO + NE + NO</v>
      </c>
      <c r="J189" s="2" t="str">
        <f>_xlfn.XLOOKUP($N189,'Base de Grupos'!$A:$A,'Base de Grupos'!$L:$L)</f>
        <v>1000150135</v>
      </c>
      <c r="K189" s="5" t="str">
        <f>_xlfn.XLOOKUP($N189,'Base de Grupos'!$A:$A,'Base de Grupos'!$M:$M)</f>
        <v>HELDER DA SILVA BRUNKOW</v>
      </c>
      <c r="L189" s="5" t="str">
        <f t="shared" si="64"/>
        <v/>
      </c>
      <c r="M189" s="5" t="str">
        <f>_xlfn.XLOOKUP($N189,'Base de Grupos'!$A:$A,'Base de Grupos'!$C:$C)</f>
        <v>RO</v>
      </c>
      <c r="N189" s="3">
        <v>1347</v>
      </c>
      <c r="O189" s="4" t="s">
        <v>234</v>
      </c>
      <c r="P189" s="5" t="s">
        <v>85</v>
      </c>
      <c r="Q189" s="24">
        <v>0</v>
      </c>
      <c r="R189" s="24">
        <v>0</v>
      </c>
      <c r="S189" s="24">
        <v>0</v>
      </c>
      <c r="T189" s="24">
        <v>0</v>
      </c>
      <c r="U189" s="24">
        <v>0</v>
      </c>
      <c r="V189" s="24">
        <v>0</v>
      </c>
      <c r="W189" s="24">
        <v>0</v>
      </c>
      <c r="X189" s="24">
        <v>0</v>
      </c>
      <c r="Y189" s="24">
        <v>0</v>
      </c>
      <c r="Z189" s="24">
        <v>0</v>
      </c>
      <c r="AA189" s="24">
        <v>0</v>
      </c>
      <c r="AB189" s="24">
        <v>0</v>
      </c>
      <c r="AC189" s="30">
        <f t="shared" si="87"/>
        <v>0</v>
      </c>
      <c r="AD189" s="27">
        <f t="shared" si="89"/>
        <v>0</v>
      </c>
      <c r="AE189" s="25">
        <f>IFERROR(_xlfn.XLOOKUP(N189&amp;P189,'Historico Vendas'!G:G,'Historico Vendas'!E:E),0)</f>
        <v>0</v>
      </c>
      <c r="AF189" s="29" t="str">
        <f t="shared" si="65"/>
        <v/>
      </c>
      <c r="AG189" s="24">
        <f>IFERROR(_xlfn.XLOOKUP(N189&amp;P189,'Historico Vendas'!G:G,'Historico Vendas'!F:F),0)</f>
        <v>0</v>
      </c>
      <c r="AH189" s="25">
        <f t="shared" si="90"/>
        <v>0</v>
      </c>
      <c r="AI189" s="24">
        <f t="shared" si="91"/>
        <v>0</v>
      </c>
      <c r="AJ189" s="11" t="str">
        <f t="shared" si="66"/>
        <v/>
      </c>
      <c r="AK189" s="9" t="s">
        <v>102</v>
      </c>
      <c r="AL189" s="13">
        <f>IFERROR(INDEX('Balizador da Meta'!$D$3:$F$23,MATCH(Quantidade!$P189,'Balizador da Meta'!$C$3:$C$23,0),MATCH(Quantidade!AK189,'Balizador da Meta'!$D$2:$F$2,0)),"")</f>
        <v>0</v>
      </c>
      <c r="AM189" s="9"/>
    </row>
    <row r="190" spans="1:39" x14ac:dyDescent="0.3">
      <c r="A190" s="2" t="str">
        <f t="shared" si="63"/>
        <v>NÃO</v>
      </c>
      <c r="B190" s="2" t="str">
        <f>_xlfn.XLOOKUP($N190,'Base de Grupos'!$A:$A,'Base de Grupos'!$D:$D)</f>
        <v>1000065763</v>
      </c>
      <c r="C190" s="5" t="str">
        <f>_xlfn.XLOOKUP($N190,'Base de Grupos'!$A:$A,'Base de Grupos'!$E:$E)</f>
        <v>CANAL VENDA INTERNA</v>
      </c>
      <c r="D190" s="5" t="str">
        <f>_xlfn.XLOOKUP($N190,'Base de Grupos'!$A:$A,'Base de Grupos'!$F:$F)</f>
        <v>1000065763</v>
      </c>
      <c r="E190" s="2" t="str">
        <f>_xlfn.XLOOKUP($N190,'Base de Grupos'!$A:$A,'Base de Grupos'!$G:$G)</f>
        <v>CANAL VENDA INTERNA</v>
      </c>
      <c r="F190" s="2" t="str">
        <f>_xlfn.XLOOKUP($N190,'Base de Grupos'!$A:$A,'Base de Grupos'!$H:$H)</f>
        <v>1000105900</v>
      </c>
      <c r="G190" s="5" t="str">
        <f>_xlfn.XLOOKUP($N190,'Base de Grupos'!$A:$A,'Base de Grupos'!$I:$I)</f>
        <v>REGIONAL VENDA DIRETA CO + NE + NO</v>
      </c>
      <c r="H190" s="5" t="str">
        <f>_xlfn.XLOOKUP($N190,'Base de Grupos'!$A:$A,'Base de Grupos'!$J:$J)</f>
        <v>1000105900</v>
      </c>
      <c r="I190" s="2" t="str">
        <f>_xlfn.XLOOKUP($N190,'Base de Grupos'!$A:$A,'Base de Grupos'!$K:$K)</f>
        <v>REGIONAL VENDA DIRETA CO + NE + NO</v>
      </c>
      <c r="J190" s="2" t="str">
        <f>_xlfn.XLOOKUP($N190,'Base de Grupos'!$A:$A,'Base de Grupos'!$L:$L)</f>
        <v>1000150135</v>
      </c>
      <c r="K190" s="5" t="str">
        <f>_xlfn.XLOOKUP($N190,'Base de Grupos'!$A:$A,'Base de Grupos'!$M:$M)</f>
        <v>HELDER DA SILVA BRUNKOW</v>
      </c>
      <c r="L190" s="5" t="str">
        <f t="shared" si="64"/>
        <v/>
      </c>
      <c r="M190" s="5" t="str">
        <f>_xlfn.XLOOKUP($N190,'Base de Grupos'!$A:$A,'Base de Grupos'!$C:$C)</f>
        <v>RO</v>
      </c>
      <c r="N190" s="3">
        <v>1347</v>
      </c>
      <c r="O190" s="4" t="s">
        <v>234</v>
      </c>
      <c r="P190" s="5" t="s">
        <v>92</v>
      </c>
      <c r="Q190" s="24">
        <v>0</v>
      </c>
      <c r="R190" s="24">
        <v>0</v>
      </c>
      <c r="S190" s="24">
        <v>0</v>
      </c>
      <c r="T190" s="24">
        <v>0</v>
      </c>
      <c r="U190" s="24">
        <v>0</v>
      </c>
      <c r="V190" s="24">
        <v>0</v>
      </c>
      <c r="W190" s="24">
        <v>0</v>
      </c>
      <c r="X190" s="24">
        <v>0</v>
      </c>
      <c r="Y190" s="24">
        <v>0</v>
      </c>
      <c r="Z190" s="24">
        <v>0</v>
      </c>
      <c r="AA190" s="24">
        <v>0</v>
      </c>
      <c r="AB190" s="24">
        <v>0</v>
      </c>
      <c r="AC190" s="30">
        <f t="shared" si="87"/>
        <v>0</v>
      </c>
      <c r="AD190" s="27">
        <f t="shared" si="89"/>
        <v>0</v>
      </c>
      <c r="AE190" s="25">
        <f>IFERROR(_xlfn.XLOOKUP(N190&amp;P190,'Historico Vendas'!G:G,'Historico Vendas'!E:E),0)</f>
        <v>0</v>
      </c>
      <c r="AF190" s="29" t="str">
        <f t="shared" si="65"/>
        <v/>
      </c>
      <c r="AG190" s="24">
        <f>IFERROR(_xlfn.XLOOKUP(N190&amp;P190,'Historico Vendas'!G:G,'Historico Vendas'!F:F),0)</f>
        <v>0</v>
      </c>
      <c r="AH190" s="25">
        <f t="shared" si="90"/>
        <v>0</v>
      </c>
      <c r="AI190" s="24">
        <f t="shared" si="91"/>
        <v>0</v>
      </c>
      <c r="AJ190" s="11" t="str">
        <f t="shared" si="66"/>
        <v/>
      </c>
      <c r="AK190" s="9" t="s">
        <v>102</v>
      </c>
      <c r="AL190" s="13">
        <f>IFERROR(INDEX('Balizador da Meta'!$D$3:$F$23,MATCH(Quantidade!$P190,'Balizador da Meta'!$C$3:$C$23,0),MATCH(Quantidade!AK190,'Balizador da Meta'!$D$2:$F$2,0)),"")</f>
        <v>0</v>
      </c>
      <c r="AM190" s="9"/>
    </row>
    <row r="191" spans="1:39" x14ac:dyDescent="0.3">
      <c r="A191" s="2" t="str">
        <f t="shared" si="63"/>
        <v>NÃO</v>
      </c>
      <c r="B191" s="2" t="str">
        <f>_xlfn.XLOOKUP($N191,'Base de Grupos'!$A:$A,'Base de Grupos'!$D:$D)</f>
        <v>1000065763</v>
      </c>
      <c r="C191" s="5" t="str">
        <f>_xlfn.XLOOKUP($N191,'Base de Grupos'!$A:$A,'Base de Grupos'!$E:$E)</f>
        <v>CANAL VENDA INTERNA</v>
      </c>
      <c r="D191" s="5" t="str">
        <f>_xlfn.XLOOKUP($N191,'Base de Grupos'!$A:$A,'Base de Grupos'!$F:$F)</f>
        <v>1000065763</v>
      </c>
      <c r="E191" s="2" t="str">
        <f>_xlfn.XLOOKUP($N191,'Base de Grupos'!$A:$A,'Base de Grupos'!$G:$G)</f>
        <v>CANAL VENDA INTERNA</v>
      </c>
      <c r="F191" s="2" t="str">
        <f>_xlfn.XLOOKUP($N191,'Base de Grupos'!$A:$A,'Base de Grupos'!$H:$H)</f>
        <v>1000105900</v>
      </c>
      <c r="G191" s="5" t="str">
        <f>_xlfn.XLOOKUP($N191,'Base de Grupos'!$A:$A,'Base de Grupos'!$I:$I)</f>
        <v>REGIONAL VENDA DIRETA CO + NE + NO</v>
      </c>
      <c r="H191" s="5" t="str">
        <f>_xlfn.XLOOKUP($N191,'Base de Grupos'!$A:$A,'Base de Grupos'!$J:$J)</f>
        <v>1000105900</v>
      </c>
      <c r="I191" s="2" t="str">
        <f>_xlfn.XLOOKUP($N191,'Base de Grupos'!$A:$A,'Base de Grupos'!$K:$K)</f>
        <v>REGIONAL VENDA DIRETA CO + NE + NO</v>
      </c>
      <c r="J191" s="2" t="str">
        <f>_xlfn.XLOOKUP($N191,'Base de Grupos'!$A:$A,'Base de Grupos'!$L:$L)</f>
        <v>1000150135</v>
      </c>
      <c r="K191" s="5" t="str">
        <f>_xlfn.XLOOKUP($N191,'Base de Grupos'!$A:$A,'Base de Grupos'!$M:$M)</f>
        <v>HELDER DA SILVA BRUNKOW</v>
      </c>
      <c r="L191" s="5" t="str">
        <f t="shared" si="64"/>
        <v/>
      </c>
      <c r="M191" s="5" t="str">
        <f>_xlfn.XLOOKUP($N191,'Base de Grupos'!$A:$A,'Base de Grupos'!$C:$C)</f>
        <v>RO</v>
      </c>
      <c r="N191" s="3">
        <v>1347</v>
      </c>
      <c r="O191" s="4" t="s">
        <v>234</v>
      </c>
      <c r="P191" s="5" t="s">
        <v>86</v>
      </c>
      <c r="Q191" s="24">
        <v>0</v>
      </c>
      <c r="R191" s="24">
        <v>0</v>
      </c>
      <c r="S191" s="24">
        <v>0</v>
      </c>
      <c r="T191" s="24">
        <v>0</v>
      </c>
      <c r="U191" s="24">
        <v>0</v>
      </c>
      <c r="V191" s="24">
        <v>0</v>
      </c>
      <c r="W191" s="24">
        <v>0</v>
      </c>
      <c r="X191" s="24">
        <v>0</v>
      </c>
      <c r="Y191" s="24">
        <v>0</v>
      </c>
      <c r="Z191" s="24">
        <v>0</v>
      </c>
      <c r="AA191" s="24">
        <v>0</v>
      </c>
      <c r="AB191" s="24">
        <v>0</v>
      </c>
      <c r="AC191" s="30">
        <f t="shared" si="87"/>
        <v>0</v>
      </c>
      <c r="AD191" s="27">
        <f t="shared" si="89"/>
        <v>0</v>
      </c>
      <c r="AE191" s="25">
        <f>IFERROR(_xlfn.XLOOKUP(N191&amp;P191,'Historico Vendas'!G:G,'Historico Vendas'!E:E),0)</f>
        <v>0</v>
      </c>
      <c r="AF191" s="29" t="str">
        <f t="shared" si="65"/>
        <v/>
      </c>
      <c r="AG191" s="24">
        <f>IFERROR(_xlfn.XLOOKUP(N191&amp;P191,'Historico Vendas'!G:G,'Historico Vendas'!F:F),0)</f>
        <v>0</v>
      </c>
      <c r="AH191" s="25">
        <f t="shared" si="90"/>
        <v>0</v>
      </c>
      <c r="AI191" s="24">
        <f t="shared" si="91"/>
        <v>0</v>
      </c>
      <c r="AJ191" s="11" t="str">
        <f t="shared" si="66"/>
        <v/>
      </c>
      <c r="AK191" s="9" t="s">
        <v>102</v>
      </c>
      <c r="AL191" s="13">
        <f>IFERROR(INDEX('Balizador da Meta'!$D$3:$F$23,MATCH(Quantidade!$P191,'Balizador da Meta'!$C$3:$C$23,0),MATCH(Quantidade!AK191,'Balizador da Meta'!$D$2:$F$2,0)),"")</f>
        <v>0.15</v>
      </c>
      <c r="AM191" s="9"/>
    </row>
    <row r="192" spans="1:39" x14ac:dyDescent="0.3">
      <c r="A192" s="2" t="str">
        <f t="shared" si="63"/>
        <v>NÃO</v>
      </c>
      <c r="B192" s="2" t="str">
        <f>_xlfn.XLOOKUP($N192,'Base de Grupos'!$A:$A,'Base de Grupos'!$D:$D)</f>
        <v>1000065763</v>
      </c>
      <c r="C192" s="5" t="str">
        <f>_xlfn.XLOOKUP($N192,'Base de Grupos'!$A:$A,'Base de Grupos'!$E:$E)</f>
        <v>CANAL VENDA INTERNA</v>
      </c>
      <c r="D192" s="5" t="str">
        <f>_xlfn.XLOOKUP($N192,'Base de Grupos'!$A:$A,'Base de Grupos'!$F:$F)</f>
        <v>1000065763</v>
      </c>
      <c r="E192" s="2" t="str">
        <f>_xlfn.XLOOKUP($N192,'Base de Grupos'!$A:$A,'Base de Grupos'!$G:$G)</f>
        <v>CANAL VENDA INTERNA</v>
      </c>
      <c r="F192" s="2" t="str">
        <f>_xlfn.XLOOKUP($N192,'Base de Grupos'!$A:$A,'Base de Grupos'!$H:$H)</f>
        <v>1000105900</v>
      </c>
      <c r="G192" s="5" t="str">
        <f>_xlfn.XLOOKUP($N192,'Base de Grupos'!$A:$A,'Base de Grupos'!$I:$I)</f>
        <v>REGIONAL VENDA DIRETA CO + NE + NO</v>
      </c>
      <c r="H192" s="5" t="str">
        <f>_xlfn.XLOOKUP($N192,'Base de Grupos'!$A:$A,'Base de Grupos'!$J:$J)</f>
        <v>1000105900</v>
      </c>
      <c r="I192" s="2" t="str">
        <f>_xlfn.XLOOKUP($N192,'Base de Grupos'!$A:$A,'Base de Grupos'!$K:$K)</f>
        <v>REGIONAL VENDA DIRETA CO + NE + NO</v>
      </c>
      <c r="J192" s="2" t="str">
        <f>_xlfn.XLOOKUP($N192,'Base de Grupos'!$A:$A,'Base de Grupos'!$L:$L)</f>
        <v>1000150135</v>
      </c>
      <c r="K192" s="5" t="str">
        <f>_xlfn.XLOOKUP($N192,'Base de Grupos'!$A:$A,'Base de Grupos'!$M:$M)</f>
        <v>HELDER DA SILVA BRUNKOW</v>
      </c>
      <c r="L192" s="5" t="str">
        <f t="shared" si="64"/>
        <v/>
      </c>
      <c r="M192" s="5" t="str">
        <f>_xlfn.XLOOKUP($N192,'Base de Grupos'!$A:$A,'Base de Grupos'!$C:$C)</f>
        <v>RO</v>
      </c>
      <c r="N192" s="3">
        <v>1347</v>
      </c>
      <c r="O192" s="4" t="s">
        <v>234</v>
      </c>
      <c r="P192" s="5" t="s">
        <v>108</v>
      </c>
      <c r="Q192" s="24">
        <v>0</v>
      </c>
      <c r="R192" s="24">
        <v>0</v>
      </c>
      <c r="S192" s="24">
        <v>0</v>
      </c>
      <c r="T192" s="24">
        <v>0</v>
      </c>
      <c r="U192" s="24">
        <v>0</v>
      </c>
      <c r="V192" s="24">
        <v>0</v>
      </c>
      <c r="W192" s="24">
        <v>0</v>
      </c>
      <c r="X192" s="24">
        <v>0</v>
      </c>
      <c r="Y192" s="24">
        <v>0</v>
      </c>
      <c r="Z192" s="24">
        <v>0</v>
      </c>
      <c r="AA192" s="24">
        <v>0</v>
      </c>
      <c r="AB192" s="24">
        <v>0</v>
      </c>
      <c r="AC192" s="30">
        <f t="shared" si="87"/>
        <v>0</v>
      </c>
      <c r="AD192" s="27">
        <f t="shared" si="89"/>
        <v>0</v>
      </c>
      <c r="AE192" s="25">
        <f>IFERROR(_xlfn.XLOOKUP(N192&amp;P192,'Historico Vendas'!G:G,'Historico Vendas'!E:E),0)</f>
        <v>0</v>
      </c>
      <c r="AF192" s="29" t="str">
        <f t="shared" si="65"/>
        <v/>
      </c>
      <c r="AG192" s="24">
        <f>IFERROR(_xlfn.XLOOKUP(N192&amp;P192,'Historico Vendas'!G:G,'Historico Vendas'!F:F),0)</f>
        <v>0</v>
      </c>
      <c r="AH192" s="25">
        <f t="shared" si="90"/>
        <v>0</v>
      </c>
      <c r="AI192" s="24">
        <f t="shared" si="91"/>
        <v>0</v>
      </c>
      <c r="AJ192" s="11" t="str">
        <f t="shared" si="66"/>
        <v/>
      </c>
      <c r="AK192" s="9" t="s">
        <v>102</v>
      </c>
      <c r="AL192" s="13">
        <f>IFERROR(INDEX('Balizador da Meta'!$D$3:$F$23,MATCH(Quantidade!$P192,'Balizador da Meta'!$C$3:$C$23,0),MATCH(Quantidade!AK192,'Balizador da Meta'!$D$2:$F$2,0)),"")</f>
        <v>0</v>
      </c>
      <c r="AM192" s="9"/>
    </row>
    <row r="193" spans="1:39" x14ac:dyDescent="0.3">
      <c r="A193" s="2" t="str">
        <f t="shared" si="63"/>
        <v>NÃO</v>
      </c>
      <c r="B193" s="2" t="str">
        <f>_xlfn.XLOOKUP($N193,'Base de Grupos'!$A:$A,'Base de Grupos'!$D:$D)</f>
        <v>1000065763</v>
      </c>
      <c r="C193" s="5" t="str">
        <f>_xlfn.XLOOKUP($N193,'Base de Grupos'!$A:$A,'Base de Grupos'!$E:$E)</f>
        <v>CANAL VENDA INTERNA</v>
      </c>
      <c r="D193" s="5" t="str">
        <f>_xlfn.XLOOKUP($N193,'Base de Grupos'!$A:$A,'Base de Grupos'!$F:$F)</f>
        <v>1000065763</v>
      </c>
      <c r="E193" s="2" t="str">
        <f>_xlfn.XLOOKUP($N193,'Base de Grupos'!$A:$A,'Base de Grupos'!$G:$G)</f>
        <v>CANAL VENDA INTERNA</v>
      </c>
      <c r="F193" s="2" t="str">
        <f>_xlfn.XLOOKUP($N193,'Base de Grupos'!$A:$A,'Base de Grupos'!$H:$H)</f>
        <v>1000105900</v>
      </c>
      <c r="G193" s="5" t="str">
        <f>_xlfn.XLOOKUP($N193,'Base de Grupos'!$A:$A,'Base de Grupos'!$I:$I)</f>
        <v>REGIONAL VENDA DIRETA CO + NE + NO</v>
      </c>
      <c r="H193" s="5" t="str">
        <f>_xlfn.XLOOKUP($N193,'Base de Grupos'!$A:$A,'Base de Grupos'!$J:$J)</f>
        <v>1000105900</v>
      </c>
      <c r="I193" s="2" t="str">
        <f>_xlfn.XLOOKUP($N193,'Base de Grupos'!$A:$A,'Base de Grupos'!$K:$K)</f>
        <v>REGIONAL VENDA DIRETA CO + NE + NO</v>
      </c>
      <c r="J193" s="2" t="str">
        <f>_xlfn.XLOOKUP($N193,'Base de Grupos'!$A:$A,'Base de Grupos'!$L:$L)</f>
        <v>1000150135</v>
      </c>
      <c r="K193" s="5" t="str">
        <f>_xlfn.XLOOKUP($N193,'Base de Grupos'!$A:$A,'Base de Grupos'!$M:$M)</f>
        <v>HELDER DA SILVA BRUNKOW</v>
      </c>
      <c r="L193" s="5" t="str">
        <f t="shared" si="64"/>
        <v/>
      </c>
      <c r="M193" s="5" t="str">
        <f>_xlfn.XLOOKUP($N193,'Base de Grupos'!$A:$A,'Base de Grupos'!$C:$C)</f>
        <v>RO</v>
      </c>
      <c r="N193" s="3">
        <v>1347</v>
      </c>
      <c r="O193" s="4" t="s">
        <v>234</v>
      </c>
      <c r="P193" s="5" t="s">
        <v>89</v>
      </c>
      <c r="Q193" s="24">
        <v>0</v>
      </c>
      <c r="R193" s="24">
        <v>0</v>
      </c>
      <c r="S193" s="24">
        <v>0</v>
      </c>
      <c r="T193" s="24">
        <v>0</v>
      </c>
      <c r="U193" s="24">
        <v>0</v>
      </c>
      <c r="V193" s="24">
        <v>0</v>
      </c>
      <c r="W193" s="24">
        <v>0</v>
      </c>
      <c r="X193" s="24">
        <v>0</v>
      </c>
      <c r="Y193" s="24">
        <v>0</v>
      </c>
      <c r="Z193" s="24">
        <v>0</v>
      </c>
      <c r="AA193" s="24">
        <v>0</v>
      </c>
      <c r="AB193" s="24">
        <v>0</v>
      </c>
      <c r="AC193" s="30">
        <f t="shared" si="87"/>
        <v>0</v>
      </c>
      <c r="AD193" s="27">
        <f t="shared" si="89"/>
        <v>0</v>
      </c>
      <c r="AE193" s="25">
        <f>IFERROR(_xlfn.XLOOKUP(N193&amp;P193,'Historico Vendas'!G:G,'Historico Vendas'!E:E),0)</f>
        <v>0</v>
      </c>
      <c r="AF193" s="29" t="str">
        <f t="shared" si="65"/>
        <v/>
      </c>
      <c r="AG193" s="24">
        <f>IFERROR(_xlfn.XLOOKUP(N193&amp;P193,'Historico Vendas'!G:G,'Historico Vendas'!F:F),0)</f>
        <v>0</v>
      </c>
      <c r="AH193" s="25">
        <f t="shared" si="90"/>
        <v>0</v>
      </c>
      <c r="AI193" s="24">
        <f t="shared" si="91"/>
        <v>0</v>
      </c>
      <c r="AJ193" s="11" t="str">
        <f t="shared" si="66"/>
        <v/>
      </c>
      <c r="AK193" s="9" t="s">
        <v>102</v>
      </c>
      <c r="AL193" s="13">
        <f>IFERROR(INDEX('Balizador da Meta'!$D$3:$F$23,MATCH(Quantidade!$P193,'Balizador da Meta'!$C$3:$C$23,0),MATCH(Quantidade!AK193,'Balizador da Meta'!$D$2:$F$2,0)),"")</f>
        <v>0.25</v>
      </c>
      <c r="AM193" s="9"/>
    </row>
    <row r="194" spans="1:39" x14ac:dyDescent="0.3">
      <c r="A194" s="2" t="str">
        <f t="shared" si="63"/>
        <v>NÃO</v>
      </c>
      <c r="B194" s="2" t="str">
        <f>_xlfn.XLOOKUP($N194,'Base de Grupos'!$A:$A,'Base de Grupos'!$D:$D)</f>
        <v>1000065763</v>
      </c>
      <c r="C194" s="5" t="str">
        <f>_xlfn.XLOOKUP($N194,'Base de Grupos'!$A:$A,'Base de Grupos'!$E:$E)</f>
        <v>CANAL VENDA INTERNA</v>
      </c>
      <c r="D194" s="5" t="str">
        <f>_xlfn.XLOOKUP($N194,'Base de Grupos'!$A:$A,'Base de Grupos'!$F:$F)</f>
        <v>1000065763</v>
      </c>
      <c r="E194" s="2" t="str">
        <f>_xlfn.XLOOKUP($N194,'Base de Grupos'!$A:$A,'Base de Grupos'!$G:$G)</f>
        <v>CANAL VENDA INTERNA</v>
      </c>
      <c r="F194" s="2" t="str">
        <f>_xlfn.XLOOKUP($N194,'Base de Grupos'!$A:$A,'Base de Grupos'!$H:$H)</f>
        <v>1000105900</v>
      </c>
      <c r="G194" s="5" t="str">
        <f>_xlfn.XLOOKUP($N194,'Base de Grupos'!$A:$A,'Base de Grupos'!$I:$I)</f>
        <v>REGIONAL VENDA DIRETA CO + NE + NO</v>
      </c>
      <c r="H194" s="5" t="str">
        <f>_xlfn.XLOOKUP($N194,'Base de Grupos'!$A:$A,'Base de Grupos'!$J:$J)</f>
        <v>1000105900</v>
      </c>
      <c r="I194" s="2" t="str">
        <f>_xlfn.XLOOKUP($N194,'Base de Grupos'!$A:$A,'Base de Grupos'!$K:$K)</f>
        <v>REGIONAL VENDA DIRETA CO + NE + NO</v>
      </c>
      <c r="J194" s="2" t="str">
        <f>_xlfn.XLOOKUP($N194,'Base de Grupos'!$A:$A,'Base de Grupos'!$L:$L)</f>
        <v>1000150135</v>
      </c>
      <c r="K194" s="5" t="str">
        <f>_xlfn.XLOOKUP($N194,'Base de Grupos'!$A:$A,'Base de Grupos'!$M:$M)</f>
        <v>HELDER DA SILVA BRUNKOW</v>
      </c>
      <c r="L194" s="5" t="str">
        <f t="shared" si="64"/>
        <v/>
      </c>
      <c r="M194" s="5" t="str">
        <f>_xlfn.XLOOKUP($N194,'Base de Grupos'!$A:$A,'Base de Grupos'!$C:$C)</f>
        <v>RO</v>
      </c>
      <c r="N194" s="3">
        <v>1347</v>
      </c>
      <c r="O194" s="4" t="s">
        <v>234</v>
      </c>
      <c r="P194" s="5" t="s">
        <v>88</v>
      </c>
      <c r="Q194" s="24">
        <v>0</v>
      </c>
      <c r="R194" s="24">
        <v>0</v>
      </c>
      <c r="S194" s="24">
        <v>0</v>
      </c>
      <c r="T194" s="24">
        <v>0</v>
      </c>
      <c r="U194" s="24">
        <v>0</v>
      </c>
      <c r="V194" s="24">
        <v>0</v>
      </c>
      <c r="W194" s="24">
        <v>0</v>
      </c>
      <c r="X194" s="24">
        <v>0</v>
      </c>
      <c r="Y194" s="24">
        <v>0</v>
      </c>
      <c r="Z194" s="24">
        <v>0</v>
      </c>
      <c r="AA194" s="24">
        <v>0</v>
      </c>
      <c r="AB194" s="24">
        <v>0</v>
      </c>
      <c r="AC194" s="30">
        <f t="shared" si="87"/>
        <v>0</v>
      </c>
      <c r="AD194" s="27">
        <f t="shared" si="89"/>
        <v>0</v>
      </c>
      <c r="AE194" s="25">
        <f>IFERROR(_xlfn.XLOOKUP(N194&amp;P194,'Historico Vendas'!G:G,'Historico Vendas'!E:E),0)</f>
        <v>0</v>
      </c>
      <c r="AF194" s="29" t="str">
        <f t="shared" si="65"/>
        <v/>
      </c>
      <c r="AG194" s="24">
        <f>IFERROR(_xlfn.XLOOKUP(N194&amp;P194,'Historico Vendas'!G:G,'Historico Vendas'!F:F),0)</f>
        <v>0</v>
      </c>
      <c r="AH194" s="25">
        <f t="shared" si="90"/>
        <v>0</v>
      </c>
      <c r="AI194" s="24">
        <f t="shared" si="91"/>
        <v>0</v>
      </c>
      <c r="AJ194" s="11" t="str">
        <f t="shared" si="66"/>
        <v/>
      </c>
      <c r="AK194" s="9" t="s">
        <v>102</v>
      </c>
      <c r="AL194" s="13">
        <f>IFERROR(INDEX('Balizador da Meta'!$D$3:$F$23,MATCH(Quantidade!$P194,'Balizador da Meta'!$C$3:$C$23,0),MATCH(Quantidade!AK194,'Balizador da Meta'!$D$2:$F$2,0)),"")</f>
        <v>0</v>
      </c>
      <c r="AM194" s="9"/>
    </row>
    <row r="195" spans="1:39" x14ac:dyDescent="0.3">
      <c r="A195" s="2" t="str">
        <f t="shared" ref="A195:A258" si="92">IF(L195=1,"SIM","NÃO")</f>
        <v>NÃO</v>
      </c>
      <c r="B195" s="2" t="str">
        <f>_xlfn.XLOOKUP($N195,'Base de Grupos'!$A:$A,'Base de Grupos'!$D:$D)</f>
        <v>1000065763</v>
      </c>
      <c r="C195" s="5" t="str">
        <f>_xlfn.XLOOKUP($N195,'Base de Grupos'!$A:$A,'Base de Grupos'!$E:$E)</f>
        <v>CANAL VENDA INTERNA</v>
      </c>
      <c r="D195" s="5" t="str">
        <f>_xlfn.XLOOKUP($N195,'Base de Grupos'!$A:$A,'Base de Grupos'!$F:$F)</f>
        <v>1000065763</v>
      </c>
      <c r="E195" s="2" t="str">
        <f>_xlfn.XLOOKUP($N195,'Base de Grupos'!$A:$A,'Base de Grupos'!$G:$G)</f>
        <v>CANAL VENDA INTERNA</v>
      </c>
      <c r="F195" s="2" t="str">
        <f>_xlfn.XLOOKUP($N195,'Base de Grupos'!$A:$A,'Base de Grupos'!$H:$H)</f>
        <v>1000105900</v>
      </c>
      <c r="G195" s="5" t="str">
        <f>_xlfn.XLOOKUP($N195,'Base de Grupos'!$A:$A,'Base de Grupos'!$I:$I)</f>
        <v>REGIONAL VENDA DIRETA CO + NE + NO</v>
      </c>
      <c r="H195" s="5" t="str">
        <f>_xlfn.XLOOKUP($N195,'Base de Grupos'!$A:$A,'Base de Grupos'!$J:$J)</f>
        <v>1000105900</v>
      </c>
      <c r="I195" s="2" t="str">
        <f>_xlfn.XLOOKUP($N195,'Base de Grupos'!$A:$A,'Base de Grupos'!$K:$K)</f>
        <v>REGIONAL VENDA DIRETA CO + NE + NO</v>
      </c>
      <c r="J195" s="2" t="str">
        <f>_xlfn.XLOOKUP($N195,'Base de Grupos'!$A:$A,'Base de Grupos'!$L:$L)</f>
        <v>1000150135</v>
      </c>
      <c r="K195" s="5" t="str">
        <f>_xlfn.XLOOKUP($N195,'Base de Grupos'!$A:$A,'Base de Grupos'!$M:$M)</f>
        <v>HELDER DA SILVA BRUNKOW</v>
      </c>
      <c r="L195" s="5" t="str">
        <f t="shared" ref="L195:L258" si="93">IF(N195&lt;&gt;N194,1,"")</f>
        <v/>
      </c>
      <c r="M195" s="5" t="str">
        <f>_xlfn.XLOOKUP($N195,'Base de Grupos'!$A:$A,'Base de Grupos'!$C:$C)</f>
        <v>RO</v>
      </c>
      <c r="N195" s="3">
        <v>1347</v>
      </c>
      <c r="O195" s="4" t="s">
        <v>234</v>
      </c>
      <c r="P195" s="5" t="s">
        <v>90</v>
      </c>
      <c r="Q195" s="24">
        <v>0</v>
      </c>
      <c r="R195" s="24">
        <v>0</v>
      </c>
      <c r="S195" s="24">
        <v>0</v>
      </c>
      <c r="T195" s="24">
        <v>0</v>
      </c>
      <c r="U195" s="24">
        <v>0</v>
      </c>
      <c r="V195" s="24">
        <v>0</v>
      </c>
      <c r="W195" s="24">
        <v>0</v>
      </c>
      <c r="X195" s="24">
        <v>0</v>
      </c>
      <c r="Y195" s="24">
        <v>0</v>
      </c>
      <c r="Z195" s="24">
        <v>0</v>
      </c>
      <c r="AA195" s="24">
        <v>0</v>
      </c>
      <c r="AB195" s="24">
        <v>0</v>
      </c>
      <c r="AC195" s="30">
        <f t="shared" si="87"/>
        <v>0</v>
      </c>
      <c r="AD195" s="27">
        <f t="shared" si="89"/>
        <v>0</v>
      </c>
      <c r="AE195" s="25">
        <f>IFERROR(_xlfn.XLOOKUP(N195&amp;P195,'Historico Vendas'!G:G,'Historico Vendas'!E:E),0)</f>
        <v>0</v>
      </c>
      <c r="AF195" s="29" t="str">
        <f t="shared" ref="AF195:AF258" si="94">IFERROR((AC195-AE195)/AE195,"")</f>
        <v/>
      </c>
      <c r="AG195" s="24">
        <f>IFERROR(_xlfn.XLOOKUP(N195&amp;P195,'Historico Vendas'!G:G,'Historico Vendas'!F:F),0)</f>
        <v>0</v>
      </c>
      <c r="AH195" s="25">
        <f t="shared" si="90"/>
        <v>0</v>
      </c>
      <c r="AI195" s="24">
        <f t="shared" si="91"/>
        <v>0</v>
      </c>
      <c r="AJ195" s="11" t="str">
        <f t="shared" ref="AJ195:AJ258" si="95">IFERROR(AG195/AH195,"")</f>
        <v/>
      </c>
      <c r="AK195" s="9" t="s">
        <v>102</v>
      </c>
      <c r="AL195" s="13">
        <f>IFERROR(INDEX('Balizador da Meta'!$D$3:$F$23,MATCH(Quantidade!$P195,'Balizador da Meta'!$C$3:$C$23,0),MATCH(Quantidade!AK195,'Balizador da Meta'!$D$2:$F$2,0)),"")</f>
        <v>0</v>
      </c>
      <c r="AM195" s="9"/>
    </row>
    <row r="196" spans="1:39" x14ac:dyDescent="0.3">
      <c r="A196" s="2" t="str">
        <f t="shared" si="92"/>
        <v>NÃO</v>
      </c>
      <c r="B196" s="2" t="str">
        <f>_xlfn.XLOOKUP($N196,'Base de Grupos'!$A:$A,'Base de Grupos'!$D:$D)</f>
        <v>1000065763</v>
      </c>
      <c r="C196" s="5" t="str">
        <f>_xlfn.XLOOKUP($N196,'Base de Grupos'!$A:$A,'Base de Grupos'!$E:$E)</f>
        <v>CANAL VENDA INTERNA</v>
      </c>
      <c r="D196" s="5" t="str">
        <f>_xlfn.XLOOKUP($N196,'Base de Grupos'!$A:$A,'Base de Grupos'!$F:$F)</f>
        <v>1000065763</v>
      </c>
      <c r="E196" s="2" t="str">
        <f>_xlfn.XLOOKUP($N196,'Base de Grupos'!$A:$A,'Base de Grupos'!$G:$G)</f>
        <v>CANAL VENDA INTERNA</v>
      </c>
      <c r="F196" s="2" t="str">
        <f>_xlfn.XLOOKUP($N196,'Base de Grupos'!$A:$A,'Base de Grupos'!$H:$H)</f>
        <v>1000105900</v>
      </c>
      <c r="G196" s="5" t="str">
        <f>_xlfn.XLOOKUP($N196,'Base de Grupos'!$A:$A,'Base de Grupos'!$I:$I)</f>
        <v>REGIONAL VENDA DIRETA CO + NE + NO</v>
      </c>
      <c r="H196" s="5" t="str">
        <f>_xlfn.XLOOKUP($N196,'Base de Grupos'!$A:$A,'Base de Grupos'!$J:$J)</f>
        <v>1000105900</v>
      </c>
      <c r="I196" s="2" t="str">
        <f>_xlfn.XLOOKUP($N196,'Base de Grupos'!$A:$A,'Base de Grupos'!$K:$K)</f>
        <v>REGIONAL VENDA DIRETA CO + NE + NO</v>
      </c>
      <c r="J196" s="2" t="str">
        <f>_xlfn.XLOOKUP($N196,'Base de Grupos'!$A:$A,'Base de Grupos'!$L:$L)</f>
        <v>1000150135</v>
      </c>
      <c r="K196" s="5" t="str">
        <f>_xlfn.XLOOKUP($N196,'Base de Grupos'!$A:$A,'Base de Grupos'!$M:$M)</f>
        <v>HELDER DA SILVA BRUNKOW</v>
      </c>
      <c r="L196" s="5" t="str">
        <f t="shared" si="93"/>
        <v/>
      </c>
      <c r="M196" s="5" t="str">
        <f>_xlfn.XLOOKUP($N196,'Base de Grupos'!$A:$A,'Base de Grupos'!$C:$C)</f>
        <v>RO</v>
      </c>
      <c r="N196" s="3">
        <v>1347</v>
      </c>
      <c r="O196" s="4" t="s">
        <v>234</v>
      </c>
      <c r="P196" s="5" t="s">
        <v>91</v>
      </c>
      <c r="Q196" s="24">
        <v>0</v>
      </c>
      <c r="R196" s="24">
        <v>0</v>
      </c>
      <c r="S196" s="24">
        <v>0</v>
      </c>
      <c r="T196" s="24">
        <v>0</v>
      </c>
      <c r="U196" s="24">
        <v>0</v>
      </c>
      <c r="V196" s="24">
        <v>0</v>
      </c>
      <c r="W196" s="24">
        <v>0</v>
      </c>
      <c r="X196" s="24">
        <v>0</v>
      </c>
      <c r="Y196" s="24">
        <v>0</v>
      </c>
      <c r="Z196" s="24">
        <v>0</v>
      </c>
      <c r="AA196" s="24">
        <v>0</v>
      </c>
      <c r="AB196" s="24">
        <v>0</v>
      </c>
      <c r="AC196" s="30">
        <f t="shared" si="87"/>
        <v>0</v>
      </c>
      <c r="AD196" s="27">
        <f t="shared" si="89"/>
        <v>0</v>
      </c>
      <c r="AE196" s="25">
        <f>IFERROR(_xlfn.XLOOKUP(N196&amp;P196,'Historico Vendas'!G:G,'Historico Vendas'!E:E),0)</f>
        <v>0</v>
      </c>
      <c r="AF196" s="29" t="str">
        <f t="shared" si="94"/>
        <v/>
      </c>
      <c r="AG196" s="24">
        <f>IFERROR(_xlfn.XLOOKUP(N196&amp;P196,'Historico Vendas'!G:G,'Historico Vendas'!F:F),0)</f>
        <v>0</v>
      </c>
      <c r="AH196" s="25">
        <f t="shared" si="90"/>
        <v>0</v>
      </c>
      <c r="AI196" s="24">
        <f t="shared" si="91"/>
        <v>0</v>
      </c>
      <c r="AJ196" s="11" t="str">
        <f t="shared" si="95"/>
        <v/>
      </c>
      <c r="AK196" s="9" t="s">
        <v>102</v>
      </c>
      <c r="AL196" s="13">
        <f>IFERROR(INDEX('Balizador da Meta'!$D$3:$F$23,MATCH(Quantidade!$P196,'Balizador da Meta'!$C$3:$C$23,0),MATCH(Quantidade!AK196,'Balizador da Meta'!$D$2:$F$2,0)),"")</f>
        <v>0</v>
      </c>
      <c r="AM196" s="9"/>
    </row>
    <row r="197" spans="1:39" x14ac:dyDescent="0.3">
      <c r="A197" s="2" t="str">
        <f t="shared" si="92"/>
        <v>NÃO</v>
      </c>
      <c r="B197" s="2" t="str">
        <f>_xlfn.XLOOKUP($N197,'Base de Grupos'!$A:$A,'Base de Grupos'!$D:$D)</f>
        <v>1000065763</v>
      </c>
      <c r="C197" s="5" t="str">
        <f>_xlfn.XLOOKUP($N197,'Base de Grupos'!$A:$A,'Base de Grupos'!$E:$E)</f>
        <v>CANAL VENDA INTERNA</v>
      </c>
      <c r="D197" s="5" t="str">
        <f>_xlfn.XLOOKUP($N197,'Base de Grupos'!$A:$A,'Base de Grupos'!$F:$F)</f>
        <v>1000065763</v>
      </c>
      <c r="E197" s="2" t="str">
        <f>_xlfn.XLOOKUP($N197,'Base de Grupos'!$A:$A,'Base de Grupos'!$G:$G)</f>
        <v>CANAL VENDA INTERNA</v>
      </c>
      <c r="F197" s="2" t="str">
        <f>_xlfn.XLOOKUP($N197,'Base de Grupos'!$A:$A,'Base de Grupos'!$H:$H)</f>
        <v>1000105900</v>
      </c>
      <c r="G197" s="5" t="str">
        <f>_xlfn.XLOOKUP($N197,'Base de Grupos'!$A:$A,'Base de Grupos'!$I:$I)</f>
        <v>REGIONAL VENDA DIRETA CO + NE + NO</v>
      </c>
      <c r="H197" s="5" t="str">
        <f>_xlfn.XLOOKUP($N197,'Base de Grupos'!$A:$A,'Base de Grupos'!$J:$J)</f>
        <v>1000105900</v>
      </c>
      <c r="I197" s="2" t="str">
        <f>_xlfn.XLOOKUP($N197,'Base de Grupos'!$A:$A,'Base de Grupos'!$K:$K)</f>
        <v>REGIONAL VENDA DIRETA CO + NE + NO</v>
      </c>
      <c r="J197" s="2" t="str">
        <f>_xlfn.XLOOKUP($N197,'Base de Grupos'!$A:$A,'Base de Grupos'!$L:$L)</f>
        <v>1000150135</v>
      </c>
      <c r="K197" s="5" t="str">
        <f>_xlfn.XLOOKUP($N197,'Base de Grupos'!$A:$A,'Base de Grupos'!$M:$M)</f>
        <v>HELDER DA SILVA BRUNKOW</v>
      </c>
      <c r="L197" s="5" t="str">
        <f t="shared" si="93"/>
        <v/>
      </c>
      <c r="M197" s="5" t="str">
        <f>_xlfn.XLOOKUP($N197,'Base de Grupos'!$A:$A,'Base de Grupos'!$C:$C)</f>
        <v>RO</v>
      </c>
      <c r="N197" s="3">
        <v>1347</v>
      </c>
      <c r="O197" s="4" t="s">
        <v>234</v>
      </c>
      <c r="P197" s="5" t="s">
        <v>96</v>
      </c>
      <c r="Q197" s="24">
        <v>0</v>
      </c>
      <c r="R197" s="24">
        <v>0</v>
      </c>
      <c r="S197" s="24">
        <v>0</v>
      </c>
      <c r="T197" s="24">
        <v>0</v>
      </c>
      <c r="U197" s="24">
        <v>0</v>
      </c>
      <c r="V197" s="24">
        <v>0</v>
      </c>
      <c r="W197" s="24">
        <v>0</v>
      </c>
      <c r="X197" s="24">
        <v>0</v>
      </c>
      <c r="Y197" s="24">
        <v>0</v>
      </c>
      <c r="Z197" s="24">
        <v>0</v>
      </c>
      <c r="AA197" s="24">
        <v>0</v>
      </c>
      <c r="AB197" s="24">
        <v>0</v>
      </c>
      <c r="AC197" s="30">
        <f t="shared" si="87"/>
        <v>0</v>
      </c>
      <c r="AD197" s="27">
        <f t="shared" si="89"/>
        <v>0</v>
      </c>
      <c r="AE197" s="25">
        <f>IFERROR(_xlfn.XLOOKUP(N197&amp;P197,'Historico Vendas'!G:G,'Historico Vendas'!E:E),0)</f>
        <v>0</v>
      </c>
      <c r="AF197" s="29" t="str">
        <f t="shared" si="94"/>
        <v/>
      </c>
      <c r="AG197" s="24">
        <f>IFERROR(_xlfn.XLOOKUP(N197&amp;P197,'Historico Vendas'!G:G,'Historico Vendas'!F:F),0)</f>
        <v>0</v>
      </c>
      <c r="AH197" s="25">
        <f t="shared" si="90"/>
        <v>0</v>
      </c>
      <c r="AI197" s="24">
        <f t="shared" si="91"/>
        <v>0</v>
      </c>
      <c r="AJ197" s="11" t="str">
        <f t="shared" si="95"/>
        <v/>
      </c>
      <c r="AK197" s="9" t="s">
        <v>102</v>
      </c>
      <c r="AL197" s="13">
        <f>IFERROR(INDEX('Balizador da Meta'!$D$3:$F$23,MATCH(Quantidade!$P197,'Balizador da Meta'!$C$3:$C$23,0),MATCH(Quantidade!AK197,'Balizador da Meta'!$D$2:$F$2,0)),"")</f>
        <v>0</v>
      </c>
      <c r="AM197" s="9"/>
    </row>
    <row r="198" spans="1:39" x14ac:dyDescent="0.3">
      <c r="A198" s="2" t="str">
        <f t="shared" si="92"/>
        <v>NÃO</v>
      </c>
      <c r="B198" s="2" t="str">
        <f>_xlfn.XLOOKUP($N198,'Base de Grupos'!$A:$A,'Base de Grupos'!$D:$D)</f>
        <v>1000065763</v>
      </c>
      <c r="C198" s="5" t="str">
        <f>_xlfn.XLOOKUP($N198,'Base de Grupos'!$A:$A,'Base de Grupos'!$E:$E)</f>
        <v>CANAL VENDA INTERNA</v>
      </c>
      <c r="D198" s="5" t="str">
        <f>_xlfn.XLOOKUP($N198,'Base de Grupos'!$A:$A,'Base de Grupos'!$F:$F)</f>
        <v>1000065763</v>
      </c>
      <c r="E198" s="2" t="str">
        <f>_xlfn.XLOOKUP($N198,'Base de Grupos'!$A:$A,'Base de Grupos'!$G:$G)</f>
        <v>CANAL VENDA INTERNA</v>
      </c>
      <c r="F198" s="2" t="str">
        <f>_xlfn.XLOOKUP($N198,'Base de Grupos'!$A:$A,'Base de Grupos'!$H:$H)</f>
        <v>1000105900</v>
      </c>
      <c r="G198" s="5" t="str">
        <f>_xlfn.XLOOKUP($N198,'Base de Grupos'!$A:$A,'Base de Grupos'!$I:$I)</f>
        <v>REGIONAL VENDA DIRETA CO + NE + NO</v>
      </c>
      <c r="H198" s="5" t="str">
        <f>_xlfn.XLOOKUP($N198,'Base de Grupos'!$A:$A,'Base de Grupos'!$J:$J)</f>
        <v>1000105900</v>
      </c>
      <c r="I198" s="2" t="str">
        <f>_xlfn.XLOOKUP($N198,'Base de Grupos'!$A:$A,'Base de Grupos'!$K:$K)</f>
        <v>REGIONAL VENDA DIRETA CO + NE + NO</v>
      </c>
      <c r="J198" s="2" t="str">
        <f>_xlfn.XLOOKUP($N198,'Base de Grupos'!$A:$A,'Base de Grupos'!$L:$L)</f>
        <v>1000150135</v>
      </c>
      <c r="K198" s="5" t="str">
        <f>_xlfn.XLOOKUP($N198,'Base de Grupos'!$A:$A,'Base de Grupos'!$M:$M)</f>
        <v>HELDER DA SILVA BRUNKOW</v>
      </c>
      <c r="L198" s="5" t="str">
        <f t="shared" si="93"/>
        <v/>
      </c>
      <c r="M198" s="5" t="str">
        <f>_xlfn.XLOOKUP($N198,'Base de Grupos'!$A:$A,'Base de Grupos'!$C:$C)</f>
        <v>RO</v>
      </c>
      <c r="N198" s="3">
        <v>1347</v>
      </c>
      <c r="O198" s="4" t="s">
        <v>234</v>
      </c>
      <c r="P198" s="5" t="s">
        <v>94</v>
      </c>
      <c r="Q198" s="24">
        <v>0</v>
      </c>
      <c r="R198" s="24">
        <v>0</v>
      </c>
      <c r="S198" s="24">
        <v>0</v>
      </c>
      <c r="T198" s="24">
        <v>0</v>
      </c>
      <c r="U198" s="24">
        <v>0</v>
      </c>
      <c r="V198" s="24">
        <v>0</v>
      </c>
      <c r="W198" s="24">
        <v>0</v>
      </c>
      <c r="X198" s="24">
        <v>0</v>
      </c>
      <c r="Y198" s="24">
        <v>0</v>
      </c>
      <c r="Z198" s="24">
        <v>0</v>
      </c>
      <c r="AA198" s="24">
        <v>0</v>
      </c>
      <c r="AB198" s="24">
        <v>0</v>
      </c>
      <c r="AC198" s="30">
        <f t="shared" si="87"/>
        <v>0</v>
      </c>
      <c r="AD198" s="27">
        <f t="shared" si="89"/>
        <v>0</v>
      </c>
      <c r="AE198" s="25">
        <f>IFERROR(_xlfn.XLOOKUP(N198&amp;P198,'Historico Vendas'!G:G,'Historico Vendas'!E:E),0)</f>
        <v>0</v>
      </c>
      <c r="AF198" s="29" t="str">
        <f t="shared" si="94"/>
        <v/>
      </c>
      <c r="AG198" s="24">
        <f>IFERROR(_xlfn.XLOOKUP(N198&amp;P198,'Historico Vendas'!G:G,'Historico Vendas'!F:F),0)</f>
        <v>0</v>
      </c>
      <c r="AH198" s="25">
        <f t="shared" si="90"/>
        <v>0</v>
      </c>
      <c r="AI198" s="24">
        <f t="shared" si="91"/>
        <v>0</v>
      </c>
      <c r="AJ198" s="11" t="str">
        <f t="shared" si="95"/>
        <v/>
      </c>
      <c r="AK198" s="9" t="s">
        <v>102</v>
      </c>
      <c r="AL198" s="13">
        <f>IFERROR(INDEX('Balizador da Meta'!$D$3:$F$23,MATCH(Quantidade!$P198,'Balizador da Meta'!$C$3:$C$23,0),MATCH(Quantidade!AK198,'Balizador da Meta'!$D$2:$F$2,0)),"")</f>
        <v>0.25</v>
      </c>
      <c r="AM198" s="9"/>
    </row>
    <row r="199" spans="1:39" x14ac:dyDescent="0.3">
      <c r="A199" s="2" t="str">
        <f t="shared" si="92"/>
        <v>NÃO</v>
      </c>
      <c r="B199" s="2" t="str">
        <f>_xlfn.XLOOKUP($N199,'Base de Grupos'!$A:$A,'Base de Grupos'!$D:$D)</f>
        <v>1000065763</v>
      </c>
      <c r="C199" s="5" t="str">
        <f>_xlfn.XLOOKUP($N199,'Base de Grupos'!$A:$A,'Base de Grupos'!$E:$E)</f>
        <v>CANAL VENDA INTERNA</v>
      </c>
      <c r="D199" s="5" t="str">
        <f>_xlfn.XLOOKUP($N199,'Base de Grupos'!$A:$A,'Base de Grupos'!$F:$F)</f>
        <v>1000065763</v>
      </c>
      <c r="E199" s="2" t="str">
        <f>_xlfn.XLOOKUP($N199,'Base de Grupos'!$A:$A,'Base de Grupos'!$G:$G)</f>
        <v>CANAL VENDA INTERNA</v>
      </c>
      <c r="F199" s="2" t="str">
        <f>_xlfn.XLOOKUP($N199,'Base de Grupos'!$A:$A,'Base de Grupos'!$H:$H)</f>
        <v>1000105900</v>
      </c>
      <c r="G199" s="5" t="str">
        <f>_xlfn.XLOOKUP($N199,'Base de Grupos'!$A:$A,'Base de Grupos'!$I:$I)</f>
        <v>REGIONAL VENDA DIRETA CO + NE + NO</v>
      </c>
      <c r="H199" s="5" t="str">
        <f>_xlfn.XLOOKUP($N199,'Base de Grupos'!$A:$A,'Base de Grupos'!$J:$J)</f>
        <v>1000105900</v>
      </c>
      <c r="I199" s="2" t="str">
        <f>_xlfn.XLOOKUP($N199,'Base de Grupos'!$A:$A,'Base de Grupos'!$K:$K)</f>
        <v>REGIONAL VENDA DIRETA CO + NE + NO</v>
      </c>
      <c r="J199" s="2" t="str">
        <f>_xlfn.XLOOKUP($N199,'Base de Grupos'!$A:$A,'Base de Grupos'!$L:$L)</f>
        <v>1000150135</v>
      </c>
      <c r="K199" s="5" t="str">
        <f>_xlfn.XLOOKUP($N199,'Base de Grupos'!$A:$A,'Base de Grupos'!$M:$M)</f>
        <v>HELDER DA SILVA BRUNKOW</v>
      </c>
      <c r="L199" s="5" t="str">
        <f t="shared" si="93"/>
        <v/>
      </c>
      <c r="M199" s="5" t="str">
        <f>_xlfn.XLOOKUP($N199,'Base de Grupos'!$A:$A,'Base de Grupos'!$C:$C)</f>
        <v>RO</v>
      </c>
      <c r="N199" s="3">
        <v>1347</v>
      </c>
      <c r="O199" s="4" t="s">
        <v>234</v>
      </c>
      <c r="P199" s="5" t="s">
        <v>95</v>
      </c>
      <c r="Q199" s="24">
        <v>0</v>
      </c>
      <c r="R199" s="24">
        <v>0</v>
      </c>
      <c r="S199" s="24">
        <v>0</v>
      </c>
      <c r="T199" s="24">
        <v>0</v>
      </c>
      <c r="U199" s="24">
        <v>0</v>
      </c>
      <c r="V199" s="24">
        <v>0</v>
      </c>
      <c r="W199" s="24">
        <v>0</v>
      </c>
      <c r="X199" s="24">
        <v>0</v>
      </c>
      <c r="Y199" s="24">
        <v>0</v>
      </c>
      <c r="Z199" s="24">
        <v>0</v>
      </c>
      <c r="AA199" s="24">
        <v>0</v>
      </c>
      <c r="AB199" s="24">
        <v>0</v>
      </c>
      <c r="AC199" s="30">
        <f t="shared" si="87"/>
        <v>0</v>
      </c>
      <c r="AD199" s="27">
        <f t="shared" si="89"/>
        <v>0</v>
      </c>
      <c r="AE199" s="25">
        <f>IFERROR(_xlfn.XLOOKUP(N199&amp;P199,'Historico Vendas'!G:G,'Historico Vendas'!E:E),0)</f>
        <v>0</v>
      </c>
      <c r="AF199" s="29" t="str">
        <f t="shared" si="94"/>
        <v/>
      </c>
      <c r="AG199" s="24">
        <f>IFERROR(_xlfn.XLOOKUP(N199&amp;P199,'Historico Vendas'!G:G,'Historico Vendas'!F:F),0)</f>
        <v>0</v>
      </c>
      <c r="AH199" s="25">
        <f t="shared" si="90"/>
        <v>0</v>
      </c>
      <c r="AI199" s="24">
        <f t="shared" si="91"/>
        <v>0</v>
      </c>
      <c r="AJ199" s="11" t="str">
        <f t="shared" si="95"/>
        <v/>
      </c>
      <c r="AK199" s="9" t="s">
        <v>102</v>
      </c>
      <c r="AL199" s="13">
        <f>IFERROR(INDEX('Balizador da Meta'!$D$3:$F$23,MATCH(Quantidade!$P199,'Balizador da Meta'!$C$3:$C$23,0),MATCH(Quantidade!AK199,'Balizador da Meta'!$D$2:$F$2,0)),"")</f>
        <v>0.25</v>
      </c>
      <c r="AM199" s="9"/>
    </row>
    <row r="200" spans="1:39" x14ac:dyDescent="0.3">
      <c r="A200" s="2" t="str">
        <f t="shared" si="92"/>
        <v>NÃO</v>
      </c>
      <c r="B200" s="2" t="str">
        <f>_xlfn.XLOOKUP($N200,'Base de Grupos'!$A:$A,'Base de Grupos'!$D:$D)</f>
        <v>1000065763</v>
      </c>
      <c r="C200" s="5" t="str">
        <f>_xlfn.XLOOKUP($N200,'Base de Grupos'!$A:$A,'Base de Grupos'!$E:$E)</f>
        <v>CANAL VENDA INTERNA</v>
      </c>
      <c r="D200" s="5" t="str">
        <f>_xlfn.XLOOKUP($N200,'Base de Grupos'!$A:$A,'Base de Grupos'!$F:$F)</f>
        <v>1000065763</v>
      </c>
      <c r="E200" s="2" t="str">
        <f>_xlfn.XLOOKUP($N200,'Base de Grupos'!$A:$A,'Base de Grupos'!$G:$G)</f>
        <v>CANAL VENDA INTERNA</v>
      </c>
      <c r="F200" s="2" t="str">
        <f>_xlfn.XLOOKUP($N200,'Base de Grupos'!$A:$A,'Base de Grupos'!$H:$H)</f>
        <v>1000105900</v>
      </c>
      <c r="G200" s="5" t="str">
        <f>_xlfn.XLOOKUP($N200,'Base de Grupos'!$A:$A,'Base de Grupos'!$I:$I)</f>
        <v>REGIONAL VENDA DIRETA CO + NE + NO</v>
      </c>
      <c r="H200" s="5" t="str">
        <f>_xlfn.XLOOKUP($N200,'Base de Grupos'!$A:$A,'Base de Grupos'!$J:$J)</f>
        <v>1000105900</v>
      </c>
      <c r="I200" s="2" t="str">
        <f>_xlfn.XLOOKUP($N200,'Base de Grupos'!$A:$A,'Base de Grupos'!$K:$K)</f>
        <v>REGIONAL VENDA DIRETA CO + NE + NO</v>
      </c>
      <c r="J200" s="2" t="str">
        <f>_xlfn.XLOOKUP($N200,'Base de Grupos'!$A:$A,'Base de Grupos'!$L:$L)</f>
        <v>1000150135</v>
      </c>
      <c r="K200" s="5" t="str">
        <f>_xlfn.XLOOKUP($N200,'Base de Grupos'!$A:$A,'Base de Grupos'!$M:$M)</f>
        <v>HELDER DA SILVA BRUNKOW</v>
      </c>
      <c r="L200" s="5" t="str">
        <f t="shared" si="93"/>
        <v/>
      </c>
      <c r="M200" s="5" t="str">
        <f>_xlfn.XLOOKUP($N200,'Base de Grupos'!$A:$A,'Base de Grupos'!$C:$C)</f>
        <v>RO</v>
      </c>
      <c r="N200" s="3">
        <v>1347</v>
      </c>
      <c r="O200" s="4" t="s">
        <v>234</v>
      </c>
      <c r="P200" s="5" t="s">
        <v>93</v>
      </c>
      <c r="Q200" s="24">
        <v>0</v>
      </c>
      <c r="R200" s="24">
        <v>0</v>
      </c>
      <c r="S200" s="24">
        <v>0</v>
      </c>
      <c r="T200" s="24">
        <v>0</v>
      </c>
      <c r="U200" s="24">
        <v>0</v>
      </c>
      <c r="V200" s="24">
        <v>0</v>
      </c>
      <c r="W200" s="24">
        <v>0</v>
      </c>
      <c r="X200" s="24">
        <v>0</v>
      </c>
      <c r="Y200" s="24">
        <v>0</v>
      </c>
      <c r="Z200" s="24">
        <v>0</v>
      </c>
      <c r="AA200" s="24">
        <v>0</v>
      </c>
      <c r="AB200" s="24">
        <v>0</v>
      </c>
      <c r="AC200" s="30">
        <f t="shared" si="87"/>
        <v>0</v>
      </c>
      <c r="AD200" s="27">
        <f t="shared" si="89"/>
        <v>0</v>
      </c>
      <c r="AE200" s="25">
        <f>IFERROR(_xlfn.XLOOKUP(N200&amp;P200,'Historico Vendas'!G:G,'Historico Vendas'!E:E),0)</f>
        <v>0</v>
      </c>
      <c r="AF200" s="29" t="str">
        <f t="shared" si="94"/>
        <v/>
      </c>
      <c r="AG200" s="24">
        <f>IFERROR(_xlfn.XLOOKUP(N200&amp;P200,'Historico Vendas'!G:G,'Historico Vendas'!F:F),0)</f>
        <v>0</v>
      </c>
      <c r="AH200" s="25">
        <f t="shared" si="90"/>
        <v>0</v>
      </c>
      <c r="AI200" s="24">
        <f t="shared" si="91"/>
        <v>0</v>
      </c>
      <c r="AJ200" s="11" t="str">
        <f t="shared" si="95"/>
        <v/>
      </c>
      <c r="AK200" s="9" t="s">
        <v>102</v>
      </c>
      <c r="AL200" s="13">
        <f>IFERROR(INDEX('Balizador da Meta'!$D$3:$F$23,MATCH(Quantidade!$P200,'Balizador da Meta'!$C$3:$C$23,0),MATCH(Quantidade!AK200,'Balizador da Meta'!$D$2:$F$2,0)),"")</f>
        <v>0.2</v>
      </c>
      <c r="AM200" s="9"/>
    </row>
    <row r="201" spans="1:39" x14ac:dyDescent="0.3">
      <c r="A201" s="2" t="str">
        <f t="shared" si="92"/>
        <v>SIM</v>
      </c>
      <c r="B201" s="2" t="str">
        <f>_xlfn.XLOOKUP($N201,'Base de Grupos'!$A:$A,'Base de Grupos'!$D:$D)</f>
        <v>1000065763</v>
      </c>
      <c r="C201" s="5" t="str">
        <f>_xlfn.XLOOKUP($N201,'Base de Grupos'!$A:$A,'Base de Grupos'!$E:$E)</f>
        <v>CANAL VENDA INTERNA</v>
      </c>
      <c r="D201" s="5" t="str">
        <f>_xlfn.XLOOKUP($N201,'Base de Grupos'!$A:$A,'Base de Grupos'!$F:$F)</f>
        <v>1000065763</v>
      </c>
      <c r="E201" s="2" t="str">
        <f>_xlfn.XLOOKUP($N201,'Base de Grupos'!$A:$A,'Base de Grupos'!$G:$G)</f>
        <v>CANAL VENDA INTERNA</v>
      </c>
      <c r="F201" s="2" t="str">
        <f>_xlfn.XLOOKUP($N201,'Base de Grupos'!$A:$A,'Base de Grupos'!$H:$H)</f>
        <v>1000105900</v>
      </c>
      <c r="G201" s="5" t="str">
        <f>_xlfn.XLOOKUP($N201,'Base de Grupos'!$A:$A,'Base de Grupos'!$I:$I)</f>
        <v>REGIONAL VENDA DIRETA CO + NE + NO</v>
      </c>
      <c r="H201" s="5" t="str">
        <f>_xlfn.XLOOKUP($N201,'Base de Grupos'!$A:$A,'Base de Grupos'!$J:$J)</f>
        <v>1000105900</v>
      </c>
      <c r="I201" s="2" t="str">
        <f>_xlfn.XLOOKUP($N201,'Base de Grupos'!$A:$A,'Base de Grupos'!$K:$K)</f>
        <v>REGIONAL VENDA DIRETA CO + NE + NO</v>
      </c>
      <c r="J201" s="2" t="str">
        <f>_xlfn.XLOOKUP($N201,'Base de Grupos'!$A:$A,'Base de Grupos'!$L:$L)</f>
        <v>1000150135</v>
      </c>
      <c r="K201" s="5" t="str">
        <f>_xlfn.XLOOKUP($N201,'Base de Grupos'!$A:$A,'Base de Grupos'!$M:$M)</f>
        <v>HELDER DA SILVA BRUNKOW</v>
      </c>
      <c r="L201" s="5">
        <f t="shared" si="93"/>
        <v>1</v>
      </c>
      <c r="M201" s="5" t="str">
        <f>_xlfn.XLOOKUP($N201,'Base de Grupos'!$A:$A,'Base de Grupos'!$C:$C)</f>
        <v>RR</v>
      </c>
      <c r="N201" s="3">
        <v>1348</v>
      </c>
      <c r="O201" s="4" t="s">
        <v>235</v>
      </c>
      <c r="P201" s="5" t="s">
        <v>305</v>
      </c>
      <c r="Q201" s="24">
        <f>SUM(Q202:Q222)</f>
        <v>0</v>
      </c>
      <c r="R201" s="24">
        <f t="shared" ref="R201" si="96">SUM(R202:R222)</f>
        <v>0</v>
      </c>
      <c r="S201" s="24">
        <f t="shared" ref="S201" si="97">SUM(S202:S222)</f>
        <v>0</v>
      </c>
      <c r="T201" s="24">
        <f t="shared" ref="T201:AC201" si="98">SUM(T202:T222)</f>
        <v>0</v>
      </c>
      <c r="U201" s="24">
        <f t="shared" si="98"/>
        <v>0</v>
      </c>
      <c r="V201" s="24">
        <f t="shared" si="98"/>
        <v>0</v>
      </c>
      <c r="W201" s="24">
        <f t="shared" si="98"/>
        <v>0</v>
      </c>
      <c r="X201" s="24">
        <f t="shared" si="98"/>
        <v>0</v>
      </c>
      <c r="Y201" s="24">
        <f t="shared" si="98"/>
        <v>0</v>
      </c>
      <c r="Z201" s="24">
        <f t="shared" si="98"/>
        <v>0</v>
      </c>
      <c r="AA201" s="24">
        <f t="shared" si="98"/>
        <v>0</v>
      </c>
      <c r="AB201" s="24">
        <f t="shared" si="98"/>
        <v>0</v>
      </c>
      <c r="AC201" s="24">
        <f t="shared" si="98"/>
        <v>0</v>
      </c>
      <c r="AD201" s="25">
        <f t="shared" ref="AD201:AI201" si="99">SUM(AD202:AD218)</f>
        <v>0</v>
      </c>
      <c r="AE201" s="25">
        <f t="shared" si="99"/>
        <v>0</v>
      </c>
      <c r="AF201" s="11" t="str">
        <f t="shared" si="94"/>
        <v/>
      </c>
      <c r="AG201" s="24">
        <f t="shared" si="99"/>
        <v>0</v>
      </c>
      <c r="AH201" s="25">
        <f t="shared" si="99"/>
        <v>0</v>
      </c>
      <c r="AI201" s="24">
        <f t="shared" si="99"/>
        <v>0</v>
      </c>
      <c r="AJ201" s="11" t="str">
        <f t="shared" si="95"/>
        <v/>
      </c>
      <c r="AK201" s="9"/>
      <c r="AL201" s="13"/>
      <c r="AM201" s="9"/>
    </row>
    <row r="202" spans="1:39" x14ac:dyDescent="0.3">
      <c r="A202" s="2" t="str">
        <f t="shared" si="92"/>
        <v>NÃO</v>
      </c>
      <c r="B202" s="2" t="str">
        <f>_xlfn.XLOOKUP($N202,'Base de Grupos'!$A:$A,'Base de Grupos'!$D:$D)</f>
        <v>1000065763</v>
      </c>
      <c r="C202" s="5" t="str">
        <f>_xlfn.XLOOKUP($N202,'Base de Grupos'!$A:$A,'Base de Grupos'!$E:$E)</f>
        <v>CANAL VENDA INTERNA</v>
      </c>
      <c r="D202" s="5" t="str">
        <f>_xlfn.XLOOKUP($N202,'Base de Grupos'!$A:$A,'Base de Grupos'!$F:$F)</f>
        <v>1000065763</v>
      </c>
      <c r="E202" s="2" t="str">
        <f>_xlfn.XLOOKUP($N202,'Base de Grupos'!$A:$A,'Base de Grupos'!$G:$G)</f>
        <v>CANAL VENDA INTERNA</v>
      </c>
      <c r="F202" s="2" t="str">
        <f>_xlfn.XLOOKUP($N202,'Base de Grupos'!$A:$A,'Base de Grupos'!$H:$H)</f>
        <v>1000105900</v>
      </c>
      <c r="G202" s="5" t="str">
        <f>_xlfn.XLOOKUP($N202,'Base de Grupos'!$A:$A,'Base de Grupos'!$I:$I)</f>
        <v>REGIONAL VENDA DIRETA CO + NE + NO</v>
      </c>
      <c r="H202" s="5" t="str">
        <f>_xlfn.XLOOKUP($N202,'Base de Grupos'!$A:$A,'Base de Grupos'!$J:$J)</f>
        <v>1000105900</v>
      </c>
      <c r="I202" s="2" t="str">
        <f>_xlfn.XLOOKUP($N202,'Base de Grupos'!$A:$A,'Base de Grupos'!$K:$K)</f>
        <v>REGIONAL VENDA DIRETA CO + NE + NO</v>
      </c>
      <c r="J202" s="2" t="str">
        <f>_xlfn.XLOOKUP($N202,'Base de Grupos'!$A:$A,'Base de Grupos'!$L:$L)</f>
        <v>1000150135</v>
      </c>
      <c r="K202" s="5" t="str">
        <f>_xlfn.XLOOKUP($N202,'Base de Grupos'!$A:$A,'Base de Grupos'!$M:$M)</f>
        <v>HELDER DA SILVA BRUNKOW</v>
      </c>
      <c r="L202" s="5" t="str">
        <f t="shared" si="93"/>
        <v/>
      </c>
      <c r="M202" s="5" t="str">
        <f>_xlfn.XLOOKUP($N202,'Base de Grupos'!$A:$A,'Base de Grupos'!$C:$C)</f>
        <v>RR</v>
      </c>
      <c r="N202" s="3">
        <v>1348</v>
      </c>
      <c r="O202" s="4" t="s">
        <v>235</v>
      </c>
      <c r="P202" s="5" t="s">
        <v>81</v>
      </c>
      <c r="Q202" s="24">
        <v>0</v>
      </c>
      <c r="R202" s="24">
        <v>0</v>
      </c>
      <c r="S202" s="24">
        <v>0</v>
      </c>
      <c r="T202" s="24">
        <v>0</v>
      </c>
      <c r="U202" s="24">
        <v>0</v>
      </c>
      <c r="V202" s="24">
        <v>0</v>
      </c>
      <c r="W202" s="24">
        <v>0</v>
      </c>
      <c r="X202" s="24">
        <v>0</v>
      </c>
      <c r="Y202" s="24">
        <v>0</v>
      </c>
      <c r="Z202" s="24">
        <v>0</v>
      </c>
      <c r="AA202" s="24">
        <v>0</v>
      </c>
      <c r="AB202" s="24">
        <v>0</v>
      </c>
      <c r="AC202" s="30">
        <f t="shared" ref="AC202:AC222" si="100">SUM(T202:AB202)</f>
        <v>0</v>
      </c>
      <c r="AD202" s="27">
        <f t="shared" ref="AD202:AD218" si="101">IF(AC202=0,0,AC202-AG202)</f>
        <v>0</v>
      </c>
      <c r="AE202" s="25">
        <f>IFERROR(_xlfn.XLOOKUP(N202&amp;P202,'Historico Vendas'!G:G,'Historico Vendas'!E:E),0)</f>
        <v>0</v>
      </c>
      <c r="AF202" s="29" t="str">
        <f t="shared" si="94"/>
        <v/>
      </c>
      <c r="AG202" s="24">
        <f>IFERROR(_xlfn.XLOOKUP(N202&amp;P202,'Historico Vendas'!G:G,'Historico Vendas'!F:F),0)</f>
        <v>0</v>
      </c>
      <c r="AH202" s="25">
        <f t="shared" ref="AH202:AH218" si="102">SUM(Q202:S202)</f>
        <v>0</v>
      </c>
      <c r="AI202" s="24">
        <f t="shared" ref="AI202:AI218" si="103">AH202-AG202</f>
        <v>0</v>
      </c>
      <c r="AJ202" s="11" t="str">
        <f t="shared" si="95"/>
        <v/>
      </c>
      <c r="AK202" s="9" t="s">
        <v>102</v>
      </c>
      <c r="AL202" s="13">
        <f>IFERROR(INDEX('Balizador da Meta'!$D$3:$F$23,MATCH(Quantidade!$P202,'Balizador da Meta'!$C$3:$C$23,0),MATCH(Quantidade!AK202,'Balizador da Meta'!$D$2:$F$2,0)),"")</f>
        <v>0.2</v>
      </c>
      <c r="AM202" s="9"/>
    </row>
    <row r="203" spans="1:39" x14ac:dyDescent="0.3">
      <c r="A203" s="2" t="str">
        <f t="shared" si="92"/>
        <v>NÃO</v>
      </c>
      <c r="B203" s="2" t="str">
        <f>_xlfn.XLOOKUP($N203,'Base de Grupos'!$A:$A,'Base de Grupos'!$D:$D)</f>
        <v>1000065763</v>
      </c>
      <c r="C203" s="5" t="str">
        <f>_xlfn.XLOOKUP($N203,'Base de Grupos'!$A:$A,'Base de Grupos'!$E:$E)</f>
        <v>CANAL VENDA INTERNA</v>
      </c>
      <c r="D203" s="5" t="str">
        <f>_xlfn.XLOOKUP($N203,'Base de Grupos'!$A:$A,'Base de Grupos'!$F:$F)</f>
        <v>1000065763</v>
      </c>
      <c r="E203" s="2" t="str">
        <f>_xlfn.XLOOKUP($N203,'Base de Grupos'!$A:$A,'Base de Grupos'!$G:$G)</f>
        <v>CANAL VENDA INTERNA</v>
      </c>
      <c r="F203" s="2" t="str">
        <f>_xlfn.XLOOKUP($N203,'Base de Grupos'!$A:$A,'Base de Grupos'!$H:$H)</f>
        <v>1000105900</v>
      </c>
      <c r="G203" s="5" t="str">
        <f>_xlfn.XLOOKUP($N203,'Base de Grupos'!$A:$A,'Base de Grupos'!$I:$I)</f>
        <v>REGIONAL VENDA DIRETA CO + NE + NO</v>
      </c>
      <c r="H203" s="5" t="str">
        <f>_xlfn.XLOOKUP($N203,'Base de Grupos'!$A:$A,'Base de Grupos'!$J:$J)</f>
        <v>1000105900</v>
      </c>
      <c r="I203" s="2" t="str">
        <f>_xlfn.XLOOKUP($N203,'Base de Grupos'!$A:$A,'Base de Grupos'!$K:$K)</f>
        <v>REGIONAL VENDA DIRETA CO + NE + NO</v>
      </c>
      <c r="J203" s="2" t="str">
        <f>_xlfn.XLOOKUP($N203,'Base de Grupos'!$A:$A,'Base de Grupos'!$L:$L)</f>
        <v>1000150135</v>
      </c>
      <c r="K203" s="5" t="str">
        <f>_xlfn.XLOOKUP($N203,'Base de Grupos'!$A:$A,'Base de Grupos'!$M:$M)</f>
        <v>HELDER DA SILVA BRUNKOW</v>
      </c>
      <c r="L203" s="5" t="str">
        <f t="shared" si="93"/>
        <v/>
      </c>
      <c r="M203" s="5" t="str">
        <f>_xlfn.XLOOKUP($N203,'Base de Grupos'!$A:$A,'Base de Grupos'!$C:$C)</f>
        <v>RR</v>
      </c>
      <c r="N203" s="3">
        <v>1348</v>
      </c>
      <c r="O203" s="4" t="s">
        <v>235</v>
      </c>
      <c r="P203" s="5" t="s">
        <v>82</v>
      </c>
      <c r="Q203" s="24">
        <v>0</v>
      </c>
      <c r="R203" s="24">
        <v>0</v>
      </c>
      <c r="S203" s="24">
        <v>0</v>
      </c>
      <c r="T203" s="24">
        <v>0</v>
      </c>
      <c r="U203" s="24">
        <v>0</v>
      </c>
      <c r="V203" s="24">
        <v>0</v>
      </c>
      <c r="W203" s="24">
        <v>0</v>
      </c>
      <c r="X203" s="24">
        <v>0</v>
      </c>
      <c r="Y203" s="24">
        <v>0</v>
      </c>
      <c r="Z203" s="24">
        <v>0</v>
      </c>
      <c r="AA203" s="24">
        <v>0</v>
      </c>
      <c r="AB203" s="24">
        <v>0</v>
      </c>
      <c r="AC203" s="30">
        <f t="shared" si="100"/>
        <v>0</v>
      </c>
      <c r="AD203" s="27">
        <f t="shared" si="101"/>
        <v>0</v>
      </c>
      <c r="AE203" s="25">
        <f>IFERROR(_xlfn.XLOOKUP(N203&amp;P203,'Historico Vendas'!G:G,'Historico Vendas'!E:E),0)</f>
        <v>0</v>
      </c>
      <c r="AF203" s="29" t="str">
        <f t="shared" si="94"/>
        <v/>
      </c>
      <c r="AG203" s="24">
        <f>IFERROR(_xlfn.XLOOKUP(N203&amp;P203,'Historico Vendas'!G:G,'Historico Vendas'!F:F),0)</f>
        <v>0</v>
      </c>
      <c r="AH203" s="25">
        <f t="shared" si="102"/>
        <v>0</v>
      </c>
      <c r="AI203" s="24">
        <f t="shared" si="103"/>
        <v>0</v>
      </c>
      <c r="AJ203" s="11" t="str">
        <f t="shared" si="95"/>
        <v/>
      </c>
      <c r="AK203" s="9" t="s">
        <v>102</v>
      </c>
      <c r="AL203" s="13">
        <f>IFERROR(INDEX('Balizador da Meta'!$D$3:$F$23,MATCH(Quantidade!$P203,'Balizador da Meta'!$C$3:$C$23,0),MATCH(Quantidade!AK203,'Balizador da Meta'!$D$2:$F$2,0)),"")</f>
        <v>0.2</v>
      </c>
      <c r="AM203" s="9"/>
    </row>
    <row r="204" spans="1:39" x14ac:dyDescent="0.3">
      <c r="A204" s="2" t="str">
        <f t="shared" si="92"/>
        <v>NÃO</v>
      </c>
      <c r="B204" s="2" t="str">
        <f>_xlfn.XLOOKUP($N204,'Base de Grupos'!$A:$A,'Base de Grupos'!$D:$D)</f>
        <v>1000065763</v>
      </c>
      <c r="C204" s="5" t="str">
        <f>_xlfn.XLOOKUP($N204,'Base de Grupos'!$A:$A,'Base de Grupos'!$E:$E)</f>
        <v>CANAL VENDA INTERNA</v>
      </c>
      <c r="D204" s="5" t="str">
        <f>_xlfn.XLOOKUP($N204,'Base de Grupos'!$A:$A,'Base de Grupos'!$F:$F)</f>
        <v>1000065763</v>
      </c>
      <c r="E204" s="2" t="str">
        <f>_xlfn.XLOOKUP($N204,'Base de Grupos'!$A:$A,'Base de Grupos'!$G:$G)</f>
        <v>CANAL VENDA INTERNA</v>
      </c>
      <c r="F204" s="2" t="str">
        <f>_xlfn.XLOOKUP($N204,'Base de Grupos'!$A:$A,'Base de Grupos'!$H:$H)</f>
        <v>1000105900</v>
      </c>
      <c r="G204" s="5" t="str">
        <f>_xlfn.XLOOKUP($N204,'Base de Grupos'!$A:$A,'Base de Grupos'!$I:$I)</f>
        <v>REGIONAL VENDA DIRETA CO + NE + NO</v>
      </c>
      <c r="H204" s="5" t="str">
        <f>_xlfn.XLOOKUP($N204,'Base de Grupos'!$A:$A,'Base de Grupos'!$J:$J)</f>
        <v>1000105900</v>
      </c>
      <c r="I204" s="2" t="str">
        <f>_xlfn.XLOOKUP($N204,'Base de Grupos'!$A:$A,'Base de Grupos'!$K:$K)</f>
        <v>REGIONAL VENDA DIRETA CO + NE + NO</v>
      </c>
      <c r="J204" s="2" t="str">
        <f>_xlfn.XLOOKUP($N204,'Base de Grupos'!$A:$A,'Base de Grupos'!$L:$L)</f>
        <v>1000150135</v>
      </c>
      <c r="K204" s="5" t="str">
        <f>_xlfn.XLOOKUP($N204,'Base de Grupos'!$A:$A,'Base de Grupos'!$M:$M)</f>
        <v>HELDER DA SILVA BRUNKOW</v>
      </c>
      <c r="L204" s="5" t="str">
        <f t="shared" si="93"/>
        <v/>
      </c>
      <c r="M204" s="5" t="str">
        <f>_xlfn.XLOOKUP($N204,'Base de Grupos'!$A:$A,'Base de Grupos'!$C:$C)</f>
        <v>RR</v>
      </c>
      <c r="N204" s="3">
        <v>1348</v>
      </c>
      <c r="O204" s="4" t="s">
        <v>235</v>
      </c>
      <c r="P204" s="5" t="s">
        <v>84</v>
      </c>
      <c r="Q204" s="24">
        <v>0</v>
      </c>
      <c r="R204" s="24">
        <v>0</v>
      </c>
      <c r="S204" s="24">
        <v>0</v>
      </c>
      <c r="T204" s="24">
        <v>0</v>
      </c>
      <c r="U204" s="24">
        <v>0</v>
      </c>
      <c r="V204" s="24">
        <v>0</v>
      </c>
      <c r="W204" s="24">
        <v>0</v>
      </c>
      <c r="X204" s="24">
        <v>0</v>
      </c>
      <c r="Y204" s="24">
        <v>0</v>
      </c>
      <c r="Z204" s="24">
        <v>0</v>
      </c>
      <c r="AA204" s="24">
        <v>0</v>
      </c>
      <c r="AB204" s="24">
        <v>0</v>
      </c>
      <c r="AC204" s="30">
        <f t="shared" si="100"/>
        <v>0</v>
      </c>
      <c r="AD204" s="27">
        <f t="shared" si="101"/>
        <v>0</v>
      </c>
      <c r="AE204" s="25">
        <f>IFERROR(_xlfn.XLOOKUP(N204&amp;P204,'Historico Vendas'!G:G,'Historico Vendas'!E:E),0)</f>
        <v>0</v>
      </c>
      <c r="AF204" s="29" t="str">
        <f t="shared" si="94"/>
        <v/>
      </c>
      <c r="AG204" s="24">
        <f>IFERROR(_xlfn.XLOOKUP(N204&amp;P204,'Historico Vendas'!G:G,'Historico Vendas'!F:F),0)</f>
        <v>0</v>
      </c>
      <c r="AH204" s="25">
        <f t="shared" si="102"/>
        <v>0</v>
      </c>
      <c r="AI204" s="24">
        <f t="shared" si="103"/>
        <v>0</v>
      </c>
      <c r="AJ204" s="11" t="str">
        <f t="shared" si="95"/>
        <v/>
      </c>
      <c r="AK204" s="9" t="s">
        <v>102</v>
      </c>
      <c r="AL204" s="13">
        <f>IFERROR(INDEX('Balizador da Meta'!$D$3:$F$23,MATCH(Quantidade!$P204,'Balizador da Meta'!$C$3:$C$23,0),MATCH(Quantidade!AK204,'Balizador da Meta'!$D$2:$F$2,0)),"")</f>
        <v>0.15</v>
      </c>
      <c r="AM204" s="9"/>
    </row>
    <row r="205" spans="1:39" x14ac:dyDescent="0.3">
      <c r="A205" s="2" t="str">
        <f t="shared" si="92"/>
        <v>NÃO</v>
      </c>
      <c r="B205" s="2" t="str">
        <f>_xlfn.XLOOKUP($N205,'Base de Grupos'!$A:$A,'Base de Grupos'!$D:$D)</f>
        <v>1000065763</v>
      </c>
      <c r="C205" s="5" t="str">
        <f>_xlfn.XLOOKUP($N205,'Base de Grupos'!$A:$A,'Base de Grupos'!$E:$E)</f>
        <v>CANAL VENDA INTERNA</v>
      </c>
      <c r="D205" s="5" t="str">
        <f>_xlfn.XLOOKUP($N205,'Base de Grupos'!$A:$A,'Base de Grupos'!$F:$F)</f>
        <v>1000065763</v>
      </c>
      <c r="E205" s="2" t="str">
        <f>_xlfn.XLOOKUP($N205,'Base de Grupos'!$A:$A,'Base de Grupos'!$G:$G)</f>
        <v>CANAL VENDA INTERNA</v>
      </c>
      <c r="F205" s="2" t="str">
        <f>_xlfn.XLOOKUP($N205,'Base de Grupos'!$A:$A,'Base de Grupos'!$H:$H)</f>
        <v>1000105900</v>
      </c>
      <c r="G205" s="5" t="str">
        <f>_xlfn.XLOOKUP($N205,'Base de Grupos'!$A:$A,'Base de Grupos'!$I:$I)</f>
        <v>REGIONAL VENDA DIRETA CO + NE + NO</v>
      </c>
      <c r="H205" s="5" t="str">
        <f>_xlfn.XLOOKUP($N205,'Base de Grupos'!$A:$A,'Base de Grupos'!$J:$J)</f>
        <v>1000105900</v>
      </c>
      <c r="I205" s="2" t="str">
        <f>_xlfn.XLOOKUP($N205,'Base de Grupos'!$A:$A,'Base de Grupos'!$K:$K)</f>
        <v>REGIONAL VENDA DIRETA CO + NE + NO</v>
      </c>
      <c r="J205" s="2" t="str">
        <f>_xlfn.XLOOKUP($N205,'Base de Grupos'!$A:$A,'Base de Grupos'!$L:$L)</f>
        <v>1000150135</v>
      </c>
      <c r="K205" s="5" t="str">
        <f>_xlfn.XLOOKUP($N205,'Base de Grupos'!$A:$A,'Base de Grupos'!$M:$M)</f>
        <v>HELDER DA SILVA BRUNKOW</v>
      </c>
      <c r="L205" s="5" t="str">
        <f t="shared" si="93"/>
        <v/>
      </c>
      <c r="M205" s="5" t="str">
        <f>_xlfn.XLOOKUP($N205,'Base de Grupos'!$A:$A,'Base de Grupos'!$C:$C)</f>
        <v>RR</v>
      </c>
      <c r="N205" s="3">
        <v>1348</v>
      </c>
      <c r="O205" s="4" t="s">
        <v>235</v>
      </c>
      <c r="P205" s="5" t="s">
        <v>83</v>
      </c>
      <c r="Q205" s="24">
        <v>0</v>
      </c>
      <c r="R205" s="24">
        <v>0</v>
      </c>
      <c r="S205" s="24">
        <v>0</v>
      </c>
      <c r="T205" s="24">
        <v>0</v>
      </c>
      <c r="U205" s="24">
        <v>0</v>
      </c>
      <c r="V205" s="24">
        <v>0</v>
      </c>
      <c r="W205" s="24">
        <v>0</v>
      </c>
      <c r="X205" s="24">
        <v>0</v>
      </c>
      <c r="Y205" s="24">
        <v>0</v>
      </c>
      <c r="Z205" s="24">
        <v>0</v>
      </c>
      <c r="AA205" s="24">
        <v>0</v>
      </c>
      <c r="AB205" s="24">
        <v>0</v>
      </c>
      <c r="AC205" s="30">
        <f t="shared" si="100"/>
        <v>0</v>
      </c>
      <c r="AD205" s="27">
        <f t="shared" si="101"/>
        <v>0</v>
      </c>
      <c r="AE205" s="25">
        <f>IFERROR(_xlfn.XLOOKUP(N205&amp;P205,'Historico Vendas'!G:G,'Historico Vendas'!E:E),0)</f>
        <v>0</v>
      </c>
      <c r="AF205" s="29" t="str">
        <f t="shared" si="94"/>
        <v/>
      </c>
      <c r="AG205" s="24">
        <f>IFERROR(_xlfn.XLOOKUP(N205&amp;P205,'Historico Vendas'!G:G,'Historico Vendas'!F:F),0)</f>
        <v>0</v>
      </c>
      <c r="AH205" s="25">
        <f t="shared" si="102"/>
        <v>0</v>
      </c>
      <c r="AI205" s="24">
        <f t="shared" si="103"/>
        <v>0</v>
      </c>
      <c r="AJ205" s="11" t="str">
        <f t="shared" si="95"/>
        <v/>
      </c>
      <c r="AK205" s="9" t="s">
        <v>102</v>
      </c>
      <c r="AL205" s="13">
        <f>IFERROR(INDEX('Balizador da Meta'!$D$3:$F$23,MATCH(Quantidade!$P205,'Balizador da Meta'!$C$3:$C$23,0),MATCH(Quantidade!AK205,'Balizador da Meta'!$D$2:$F$2,0)),"")</f>
        <v>0</v>
      </c>
      <c r="AM205" s="9"/>
    </row>
    <row r="206" spans="1:39" x14ac:dyDescent="0.3">
      <c r="A206" s="2" t="str">
        <f t="shared" si="92"/>
        <v>NÃO</v>
      </c>
      <c r="B206" s="2" t="str">
        <f>_xlfn.XLOOKUP($N206,'Base de Grupos'!$A:$A,'Base de Grupos'!$D:$D)</f>
        <v>1000065763</v>
      </c>
      <c r="C206" s="5" t="str">
        <f>_xlfn.XLOOKUP($N206,'Base de Grupos'!$A:$A,'Base de Grupos'!$E:$E)</f>
        <v>CANAL VENDA INTERNA</v>
      </c>
      <c r="D206" s="5" t="str">
        <f>_xlfn.XLOOKUP($N206,'Base de Grupos'!$A:$A,'Base de Grupos'!$F:$F)</f>
        <v>1000065763</v>
      </c>
      <c r="E206" s="2" t="str">
        <f>_xlfn.XLOOKUP($N206,'Base de Grupos'!$A:$A,'Base de Grupos'!$G:$G)</f>
        <v>CANAL VENDA INTERNA</v>
      </c>
      <c r="F206" s="2" t="str">
        <f>_xlfn.XLOOKUP($N206,'Base de Grupos'!$A:$A,'Base de Grupos'!$H:$H)</f>
        <v>1000105900</v>
      </c>
      <c r="G206" s="5" t="str">
        <f>_xlfn.XLOOKUP($N206,'Base de Grupos'!$A:$A,'Base de Grupos'!$I:$I)</f>
        <v>REGIONAL VENDA DIRETA CO + NE + NO</v>
      </c>
      <c r="H206" s="5" t="str">
        <f>_xlfn.XLOOKUP($N206,'Base de Grupos'!$A:$A,'Base de Grupos'!$J:$J)</f>
        <v>1000105900</v>
      </c>
      <c r="I206" s="2" t="str">
        <f>_xlfn.XLOOKUP($N206,'Base de Grupos'!$A:$A,'Base de Grupos'!$K:$K)</f>
        <v>REGIONAL VENDA DIRETA CO + NE + NO</v>
      </c>
      <c r="J206" s="2" t="str">
        <f>_xlfn.XLOOKUP($N206,'Base de Grupos'!$A:$A,'Base de Grupos'!$L:$L)</f>
        <v>1000150135</v>
      </c>
      <c r="K206" s="5" t="str">
        <f>_xlfn.XLOOKUP($N206,'Base de Grupos'!$A:$A,'Base de Grupos'!$M:$M)</f>
        <v>HELDER DA SILVA BRUNKOW</v>
      </c>
      <c r="L206" s="5" t="str">
        <f t="shared" si="93"/>
        <v/>
      </c>
      <c r="M206" s="5" t="str">
        <f>_xlfn.XLOOKUP($N206,'Base de Grupos'!$A:$A,'Base de Grupos'!$C:$C)</f>
        <v>RR</v>
      </c>
      <c r="N206" s="3">
        <v>1348</v>
      </c>
      <c r="O206" s="4" t="s">
        <v>235</v>
      </c>
      <c r="P206" s="5" t="s">
        <v>87</v>
      </c>
      <c r="Q206" s="24">
        <v>0</v>
      </c>
      <c r="R206" s="24">
        <v>0</v>
      </c>
      <c r="S206" s="24">
        <v>0</v>
      </c>
      <c r="T206" s="24">
        <v>0</v>
      </c>
      <c r="U206" s="24">
        <v>0</v>
      </c>
      <c r="V206" s="24">
        <v>0</v>
      </c>
      <c r="W206" s="24">
        <v>0</v>
      </c>
      <c r="X206" s="24">
        <v>0</v>
      </c>
      <c r="Y206" s="24">
        <v>0</v>
      </c>
      <c r="Z206" s="24">
        <v>0</v>
      </c>
      <c r="AA206" s="24">
        <v>0</v>
      </c>
      <c r="AB206" s="24">
        <v>0</v>
      </c>
      <c r="AC206" s="30">
        <f t="shared" si="100"/>
        <v>0</v>
      </c>
      <c r="AD206" s="27">
        <f t="shared" si="101"/>
        <v>0</v>
      </c>
      <c r="AE206" s="25">
        <f>IFERROR(_xlfn.XLOOKUP(N206&amp;P206,'Historico Vendas'!G:G,'Historico Vendas'!E:E),0)</f>
        <v>0</v>
      </c>
      <c r="AF206" s="29" t="str">
        <f t="shared" si="94"/>
        <v/>
      </c>
      <c r="AG206" s="24">
        <f>IFERROR(_xlfn.XLOOKUP(N206&amp;P206,'Historico Vendas'!G:G,'Historico Vendas'!F:F),0)</f>
        <v>0</v>
      </c>
      <c r="AH206" s="25">
        <f t="shared" si="102"/>
        <v>0</v>
      </c>
      <c r="AI206" s="24">
        <f t="shared" si="103"/>
        <v>0</v>
      </c>
      <c r="AJ206" s="11" t="str">
        <f t="shared" si="95"/>
        <v/>
      </c>
      <c r="AK206" s="9" t="s">
        <v>102</v>
      </c>
      <c r="AL206" s="13">
        <f>IFERROR(INDEX('Balizador da Meta'!$D$3:$F$23,MATCH(Quantidade!$P206,'Balizador da Meta'!$C$3:$C$23,0),MATCH(Quantidade!AK206,'Balizador da Meta'!$D$2:$F$2,0)),"")</f>
        <v>0</v>
      </c>
      <c r="AM206" s="9"/>
    </row>
    <row r="207" spans="1:39" x14ac:dyDescent="0.3">
      <c r="A207" s="2" t="str">
        <f t="shared" si="92"/>
        <v>NÃO</v>
      </c>
      <c r="B207" s="2" t="str">
        <f>_xlfn.XLOOKUP($N207,'Base de Grupos'!$A:$A,'Base de Grupos'!$D:$D)</f>
        <v>1000065763</v>
      </c>
      <c r="C207" s="5" t="str">
        <f>_xlfn.XLOOKUP($N207,'Base de Grupos'!$A:$A,'Base de Grupos'!$E:$E)</f>
        <v>CANAL VENDA INTERNA</v>
      </c>
      <c r="D207" s="5" t="str">
        <f>_xlfn.XLOOKUP($N207,'Base de Grupos'!$A:$A,'Base de Grupos'!$F:$F)</f>
        <v>1000065763</v>
      </c>
      <c r="E207" s="2" t="str">
        <f>_xlfn.XLOOKUP($N207,'Base de Grupos'!$A:$A,'Base de Grupos'!$G:$G)</f>
        <v>CANAL VENDA INTERNA</v>
      </c>
      <c r="F207" s="2" t="str">
        <f>_xlfn.XLOOKUP($N207,'Base de Grupos'!$A:$A,'Base de Grupos'!$H:$H)</f>
        <v>1000105900</v>
      </c>
      <c r="G207" s="5" t="str">
        <f>_xlfn.XLOOKUP($N207,'Base de Grupos'!$A:$A,'Base de Grupos'!$I:$I)</f>
        <v>REGIONAL VENDA DIRETA CO + NE + NO</v>
      </c>
      <c r="H207" s="5" t="str">
        <f>_xlfn.XLOOKUP($N207,'Base de Grupos'!$A:$A,'Base de Grupos'!$J:$J)</f>
        <v>1000105900</v>
      </c>
      <c r="I207" s="2" t="str">
        <f>_xlfn.XLOOKUP($N207,'Base de Grupos'!$A:$A,'Base de Grupos'!$K:$K)</f>
        <v>REGIONAL VENDA DIRETA CO + NE + NO</v>
      </c>
      <c r="J207" s="2" t="str">
        <f>_xlfn.XLOOKUP($N207,'Base de Grupos'!$A:$A,'Base de Grupos'!$L:$L)</f>
        <v>1000150135</v>
      </c>
      <c r="K207" s="5" t="str">
        <f>_xlfn.XLOOKUP($N207,'Base de Grupos'!$A:$A,'Base de Grupos'!$M:$M)</f>
        <v>HELDER DA SILVA BRUNKOW</v>
      </c>
      <c r="L207" s="5" t="str">
        <f t="shared" si="93"/>
        <v/>
      </c>
      <c r="M207" s="5" t="str">
        <f>_xlfn.XLOOKUP($N207,'Base de Grupos'!$A:$A,'Base de Grupos'!$C:$C)</f>
        <v>RR</v>
      </c>
      <c r="N207" s="3">
        <v>1348</v>
      </c>
      <c r="O207" s="4" t="s">
        <v>235</v>
      </c>
      <c r="P207" s="5" t="s">
        <v>85</v>
      </c>
      <c r="Q207" s="24">
        <v>0</v>
      </c>
      <c r="R207" s="24">
        <v>0</v>
      </c>
      <c r="S207" s="24">
        <v>0</v>
      </c>
      <c r="T207" s="24">
        <v>0</v>
      </c>
      <c r="U207" s="24">
        <v>0</v>
      </c>
      <c r="V207" s="24">
        <v>0</v>
      </c>
      <c r="W207" s="24">
        <v>0</v>
      </c>
      <c r="X207" s="24">
        <v>0</v>
      </c>
      <c r="Y207" s="24">
        <v>0</v>
      </c>
      <c r="Z207" s="24">
        <v>0</v>
      </c>
      <c r="AA207" s="24">
        <v>0</v>
      </c>
      <c r="AB207" s="24">
        <v>0</v>
      </c>
      <c r="AC207" s="30">
        <f t="shared" si="100"/>
        <v>0</v>
      </c>
      <c r="AD207" s="27">
        <f t="shared" si="101"/>
        <v>0</v>
      </c>
      <c r="AE207" s="25">
        <f>IFERROR(_xlfn.XLOOKUP(N207&amp;P207,'Historico Vendas'!G:G,'Historico Vendas'!E:E),0)</f>
        <v>0</v>
      </c>
      <c r="AF207" s="29" t="str">
        <f t="shared" si="94"/>
        <v/>
      </c>
      <c r="AG207" s="24">
        <f>IFERROR(_xlfn.XLOOKUP(N207&amp;P207,'Historico Vendas'!G:G,'Historico Vendas'!F:F),0)</f>
        <v>0</v>
      </c>
      <c r="AH207" s="25">
        <f t="shared" si="102"/>
        <v>0</v>
      </c>
      <c r="AI207" s="24">
        <f t="shared" si="103"/>
        <v>0</v>
      </c>
      <c r="AJ207" s="11" t="str">
        <f t="shared" si="95"/>
        <v/>
      </c>
      <c r="AK207" s="9" t="s">
        <v>102</v>
      </c>
      <c r="AL207" s="13">
        <f>IFERROR(INDEX('Balizador da Meta'!$D$3:$F$23,MATCH(Quantidade!$P207,'Balizador da Meta'!$C$3:$C$23,0),MATCH(Quantidade!AK207,'Balizador da Meta'!$D$2:$F$2,0)),"")</f>
        <v>0</v>
      </c>
      <c r="AM207" s="9"/>
    </row>
    <row r="208" spans="1:39" x14ac:dyDescent="0.3">
      <c r="A208" s="2" t="str">
        <f t="shared" si="92"/>
        <v>NÃO</v>
      </c>
      <c r="B208" s="2" t="str">
        <f>_xlfn.XLOOKUP($N208,'Base de Grupos'!$A:$A,'Base de Grupos'!$D:$D)</f>
        <v>1000065763</v>
      </c>
      <c r="C208" s="5" t="str">
        <f>_xlfn.XLOOKUP($N208,'Base de Grupos'!$A:$A,'Base de Grupos'!$E:$E)</f>
        <v>CANAL VENDA INTERNA</v>
      </c>
      <c r="D208" s="5" t="str">
        <f>_xlfn.XLOOKUP($N208,'Base de Grupos'!$A:$A,'Base de Grupos'!$F:$F)</f>
        <v>1000065763</v>
      </c>
      <c r="E208" s="2" t="str">
        <f>_xlfn.XLOOKUP($N208,'Base de Grupos'!$A:$A,'Base de Grupos'!$G:$G)</f>
        <v>CANAL VENDA INTERNA</v>
      </c>
      <c r="F208" s="2" t="str">
        <f>_xlfn.XLOOKUP($N208,'Base de Grupos'!$A:$A,'Base de Grupos'!$H:$H)</f>
        <v>1000105900</v>
      </c>
      <c r="G208" s="5" t="str">
        <f>_xlfn.XLOOKUP($N208,'Base de Grupos'!$A:$A,'Base de Grupos'!$I:$I)</f>
        <v>REGIONAL VENDA DIRETA CO + NE + NO</v>
      </c>
      <c r="H208" s="5" t="str">
        <f>_xlfn.XLOOKUP($N208,'Base de Grupos'!$A:$A,'Base de Grupos'!$J:$J)</f>
        <v>1000105900</v>
      </c>
      <c r="I208" s="2" t="str">
        <f>_xlfn.XLOOKUP($N208,'Base de Grupos'!$A:$A,'Base de Grupos'!$K:$K)</f>
        <v>REGIONAL VENDA DIRETA CO + NE + NO</v>
      </c>
      <c r="J208" s="2" t="str">
        <f>_xlfn.XLOOKUP($N208,'Base de Grupos'!$A:$A,'Base de Grupos'!$L:$L)</f>
        <v>1000150135</v>
      </c>
      <c r="K208" s="5" t="str">
        <f>_xlfn.XLOOKUP($N208,'Base de Grupos'!$A:$A,'Base de Grupos'!$M:$M)</f>
        <v>HELDER DA SILVA BRUNKOW</v>
      </c>
      <c r="L208" s="5" t="str">
        <f t="shared" si="93"/>
        <v/>
      </c>
      <c r="M208" s="5" t="str">
        <f>_xlfn.XLOOKUP($N208,'Base de Grupos'!$A:$A,'Base de Grupos'!$C:$C)</f>
        <v>RR</v>
      </c>
      <c r="N208" s="3">
        <v>1348</v>
      </c>
      <c r="O208" s="4" t="s">
        <v>235</v>
      </c>
      <c r="P208" s="5" t="s">
        <v>92</v>
      </c>
      <c r="Q208" s="24">
        <v>0</v>
      </c>
      <c r="R208" s="24">
        <v>0</v>
      </c>
      <c r="S208" s="24">
        <v>0</v>
      </c>
      <c r="T208" s="24">
        <v>0</v>
      </c>
      <c r="U208" s="24">
        <v>0</v>
      </c>
      <c r="V208" s="24">
        <v>0</v>
      </c>
      <c r="W208" s="24">
        <v>0</v>
      </c>
      <c r="X208" s="24">
        <v>0</v>
      </c>
      <c r="Y208" s="24">
        <v>0</v>
      </c>
      <c r="Z208" s="24">
        <v>0</v>
      </c>
      <c r="AA208" s="24">
        <v>0</v>
      </c>
      <c r="AB208" s="24">
        <v>0</v>
      </c>
      <c r="AC208" s="30">
        <f t="shared" si="100"/>
        <v>0</v>
      </c>
      <c r="AD208" s="27">
        <f t="shared" si="101"/>
        <v>0</v>
      </c>
      <c r="AE208" s="25">
        <f>IFERROR(_xlfn.XLOOKUP(N208&amp;P208,'Historico Vendas'!G:G,'Historico Vendas'!E:E),0)</f>
        <v>0</v>
      </c>
      <c r="AF208" s="29" t="str">
        <f t="shared" si="94"/>
        <v/>
      </c>
      <c r="AG208" s="24">
        <f>IFERROR(_xlfn.XLOOKUP(N208&amp;P208,'Historico Vendas'!G:G,'Historico Vendas'!F:F),0)</f>
        <v>0</v>
      </c>
      <c r="AH208" s="25">
        <f t="shared" si="102"/>
        <v>0</v>
      </c>
      <c r="AI208" s="24">
        <f t="shared" si="103"/>
        <v>0</v>
      </c>
      <c r="AJ208" s="11" t="str">
        <f t="shared" si="95"/>
        <v/>
      </c>
      <c r="AK208" s="9" t="s">
        <v>102</v>
      </c>
      <c r="AL208" s="13">
        <f>IFERROR(INDEX('Balizador da Meta'!$D$3:$F$23,MATCH(Quantidade!$P208,'Balizador da Meta'!$C$3:$C$23,0),MATCH(Quantidade!AK208,'Balizador da Meta'!$D$2:$F$2,0)),"")</f>
        <v>0</v>
      </c>
      <c r="AM208" s="9"/>
    </row>
    <row r="209" spans="1:39" x14ac:dyDescent="0.3">
      <c r="A209" s="2" t="str">
        <f t="shared" si="92"/>
        <v>NÃO</v>
      </c>
      <c r="B209" s="2" t="str">
        <f>_xlfn.XLOOKUP($N209,'Base de Grupos'!$A:$A,'Base de Grupos'!$D:$D)</f>
        <v>1000065763</v>
      </c>
      <c r="C209" s="5" t="str">
        <f>_xlfn.XLOOKUP($N209,'Base de Grupos'!$A:$A,'Base de Grupos'!$E:$E)</f>
        <v>CANAL VENDA INTERNA</v>
      </c>
      <c r="D209" s="5" t="str">
        <f>_xlfn.XLOOKUP($N209,'Base de Grupos'!$A:$A,'Base de Grupos'!$F:$F)</f>
        <v>1000065763</v>
      </c>
      <c r="E209" s="2" t="str">
        <f>_xlfn.XLOOKUP($N209,'Base de Grupos'!$A:$A,'Base de Grupos'!$G:$G)</f>
        <v>CANAL VENDA INTERNA</v>
      </c>
      <c r="F209" s="2" t="str">
        <f>_xlfn.XLOOKUP($N209,'Base de Grupos'!$A:$A,'Base de Grupos'!$H:$H)</f>
        <v>1000105900</v>
      </c>
      <c r="G209" s="5" t="str">
        <f>_xlfn.XLOOKUP($N209,'Base de Grupos'!$A:$A,'Base de Grupos'!$I:$I)</f>
        <v>REGIONAL VENDA DIRETA CO + NE + NO</v>
      </c>
      <c r="H209" s="5" t="str">
        <f>_xlfn.XLOOKUP($N209,'Base de Grupos'!$A:$A,'Base de Grupos'!$J:$J)</f>
        <v>1000105900</v>
      </c>
      <c r="I209" s="2" t="str">
        <f>_xlfn.XLOOKUP($N209,'Base de Grupos'!$A:$A,'Base de Grupos'!$K:$K)</f>
        <v>REGIONAL VENDA DIRETA CO + NE + NO</v>
      </c>
      <c r="J209" s="2" t="str">
        <f>_xlfn.XLOOKUP($N209,'Base de Grupos'!$A:$A,'Base de Grupos'!$L:$L)</f>
        <v>1000150135</v>
      </c>
      <c r="K209" s="5" t="str">
        <f>_xlfn.XLOOKUP($N209,'Base de Grupos'!$A:$A,'Base de Grupos'!$M:$M)</f>
        <v>HELDER DA SILVA BRUNKOW</v>
      </c>
      <c r="L209" s="5" t="str">
        <f t="shared" si="93"/>
        <v/>
      </c>
      <c r="M209" s="5" t="str">
        <f>_xlfn.XLOOKUP($N209,'Base de Grupos'!$A:$A,'Base de Grupos'!$C:$C)</f>
        <v>RR</v>
      </c>
      <c r="N209" s="3">
        <v>1348</v>
      </c>
      <c r="O209" s="4" t="s">
        <v>235</v>
      </c>
      <c r="P209" s="5" t="s">
        <v>86</v>
      </c>
      <c r="Q209" s="24">
        <v>0</v>
      </c>
      <c r="R209" s="24">
        <v>0</v>
      </c>
      <c r="S209" s="24">
        <v>0</v>
      </c>
      <c r="T209" s="24">
        <v>0</v>
      </c>
      <c r="U209" s="24">
        <v>0</v>
      </c>
      <c r="V209" s="24">
        <v>0</v>
      </c>
      <c r="W209" s="24">
        <v>0</v>
      </c>
      <c r="X209" s="24">
        <v>0</v>
      </c>
      <c r="Y209" s="24">
        <v>0</v>
      </c>
      <c r="Z209" s="24">
        <v>0</v>
      </c>
      <c r="AA209" s="24">
        <v>0</v>
      </c>
      <c r="AB209" s="24">
        <v>0</v>
      </c>
      <c r="AC209" s="30">
        <f t="shared" si="100"/>
        <v>0</v>
      </c>
      <c r="AD209" s="27">
        <f t="shared" si="101"/>
        <v>0</v>
      </c>
      <c r="AE209" s="25">
        <f>IFERROR(_xlfn.XLOOKUP(N209&amp;P209,'Historico Vendas'!G:G,'Historico Vendas'!E:E),0)</f>
        <v>0</v>
      </c>
      <c r="AF209" s="29" t="str">
        <f t="shared" si="94"/>
        <v/>
      </c>
      <c r="AG209" s="24">
        <f>IFERROR(_xlfn.XLOOKUP(N209&amp;P209,'Historico Vendas'!G:G,'Historico Vendas'!F:F),0)</f>
        <v>0</v>
      </c>
      <c r="AH209" s="25">
        <f t="shared" si="102"/>
        <v>0</v>
      </c>
      <c r="AI209" s="24">
        <f t="shared" si="103"/>
        <v>0</v>
      </c>
      <c r="AJ209" s="11" t="str">
        <f t="shared" si="95"/>
        <v/>
      </c>
      <c r="AK209" s="9" t="s">
        <v>102</v>
      </c>
      <c r="AL209" s="13">
        <f>IFERROR(INDEX('Balizador da Meta'!$D$3:$F$23,MATCH(Quantidade!$P209,'Balizador da Meta'!$C$3:$C$23,0),MATCH(Quantidade!AK209,'Balizador da Meta'!$D$2:$F$2,0)),"")</f>
        <v>0.15</v>
      </c>
      <c r="AM209" s="9"/>
    </row>
    <row r="210" spans="1:39" x14ac:dyDescent="0.3">
      <c r="A210" s="2" t="str">
        <f t="shared" si="92"/>
        <v>NÃO</v>
      </c>
      <c r="B210" s="2" t="str">
        <f>_xlfn.XLOOKUP($N210,'Base de Grupos'!$A:$A,'Base de Grupos'!$D:$D)</f>
        <v>1000065763</v>
      </c>
      <c r="C210" s="5" t="str">
        <f>_xlfn.XLOOKUP($N210,'Base de Grupos'!$A:$A,'Base de Grupos'!$E:$E)</f>
        <v>CANAL VENDA INTERNA</v>
      </c>
      <c r="D210" s="5" t="str">
        <f>_xlfn.XLOOKUP($N210,'Base de Grupos'!$A:$A,'Base de Grupos'!$F:$F)</f>
        <v>1000065763</v>
      </c>
      <c r="E210" s="2" t="str">
        <f>_xlfn.XLOOKUP($N210,'Base de Grupos'!$A:$A,'Base de Grupos'!$G:$G)</f>
        <v>CANAL VENDA INTERNA</v>
      </c>
      <c r="F210" s="2" t="str">
        <f>_xlfn.XLOOKUP($N210,'Base de Grupos'!$A:$A,'Base de Grupos'!$H:$H)</f>
        <v>1000105900</v>
      </c>
      <c r="G210" s="5" t="str">
        <f>_xlfn.XLOOKUP($N210,'Base de Grupos'!$A:$A,'Base de Grupos'!$I:$I)</f>
        <v>REGIONAL VENDA DIRETA CO + NE + NO</v>
      </c>
      <c r="H210" s="5" t="str">
        <f>_xlfn.XLOOKUP($N210,'Base de Grupos'!$A:$A,'Base de Grupos'!$J:$J)</f>
        <v>1000105900</v>
      </c>
      <c r="I210" s="2" t="str">
        <f>_xlfn.XLOOKUP($N210,'Base de Grupos'!$A:$A,'Base de Grupos'!$K:$K)</f>
        <v>REGIONAL VENDA DIRETA CO + NE + NO</v>
      </c>
      <c r="J210" s="2" t="str">
        <f>_xlfn.XLOOKUP($N210,'Base de Grupos'!$A:$A,'Base de Grupos'!$L:$L)</f>
        <v>1000150135</v>
      </c>
      <c r="K210" s="5" t="str">
        <f>_xlfn.XLOOKUP($N210,'Base de Grupos'!$A:$A,'Base de Grupos'!$M:$M)</f>
        <v>HELDER DA SILVA BRUNKOW</v>
      </c>
      <c r="L210" s="5" t="str">
        <f t="shared" si="93"/>
        <v/>
      </c>
      <c r="M210" s="5" t="str">
        <f>_xlfn.XLOOKUP($N210,'Base de Grupos'!$A:$A,'Base de Grupos'!$C:$C)</f>
        <v>RR</v>
      </c>
      <c r="N210" s="3">
        <v>1348</v>
      </c>
      <c r="O210" s="4" t="s">
        <v>235</v>
      </c>
      <c r="P210" s="5" t="s">
        <v>108</v>
      </c>
      <c r="Q210" s="24">
        <v>0</v>
      </c>
      <c r="R210" s="24">
        <v>0</v>
      </c>
      <c r="S210" s="24">
        <v>0</v>
      </c>
      <c r="T210" s="24">
        <v>0</v>
      </c>
      <c r="U210" s="24">
        <v>0</v>
      </c>
      <c r="V210" s="24">
        <v>0</v>
      </c>
      <c r="W210" s="24">
        <v>0</v>
      </c>
      <c r="X210" s="24">
        <v>0</v>
      </c>
      <c r="Y210" s="24">
        <v>0</v>
      </c>
      <c r="Z210" s="24">
        <v>0</v>
      </c>
      <c r="AA210" s="24">
        <v>0</v>
      </c>
      <c r="AB210" s="24">
        <v>0</v>
      </c>
      <c r="AC210" s="30">
        <f t="shared" si="100"/>
        <v>0</v>
      </c>
      <c r="AD210" s="27">
        <f t="shared" si="101"/>
        <v>0</v>
      </c>
      <c r="AE210" s="25">
        <f>IFERROR(_xlfn.XLOOKUP(N210&amp;P210,'Historico Vendas'!G:G,'Historico Vendas'!E:E),0)</f>
        <v>0</v>
      </c>
      <c r="AF210" s="29" t="str">
        <f t="shared" si="94"/>
        <v/>
      </c>
      <c r="AG210" s="24">
        <f>IFERROR(_xlfn.XLOOKUP(N210&amp;P210,'Historico Vendas'!G:G,'Historico Vendas'!F:F),0)</f>
        <v>0</v>
      </c>
      <c r="AH210" s="25">
        <f t="shared" si="102"/>
        <v>0</v>
      </c>
      <c r="AI210" s="24">
        <f t="shared" si="103"/>
        <v>0</v>
      </c>
      <c r="AJ210" s="11" t="str">
        <f t="shared" si="95"/>
        <v/>
      </c>
      <c r="AK210" s="9" t="s">
        <v>102</v>
      </c>
      <c r="AL210" s="13">
        <f>IFERROR(INDEX('Balizador da Meta'!$D$3:$F$23,MATCH(Quantidade!$P210,'Balizador da Meta'!$C$3:$C$23,0),MATCH(Quantidade!AK210,'Balizador da Meta'!$D$2:$F$2,0)),"")</f>
        <v>0</v>
      </c>
      <c r="AM210" s="9"/>
    </row>
    <row r="211" spans="1:39" x14ac:dyDescent="0.3">
      <c r="A211" s="2" t="str">
        <f t="shared" si="92"/>
        <v>NÃO</v>
      </c>
      <c r="B211" s="2" t="str">
        <f>_xlfn.XLOOKUP($N211,'Base de Grupos'!$A:$A,'Base de Grupos'!$D:$D)</f>
        <v>1000065763</v>
      </c>
      <c r="C211" s="5" t="str">
        <f>_xlfn.XLOOKUP($N211,'Base de Grupos'!$A:$A,'Base de Grupos'!$E:$E)</f>
        <v>CANAL VENDA INTERNA</v>
      </c>
      <c r="D211" s="5" t="str">
        <f>_xlfn.XLOOKUP($N211,'Base de Grupos'!$A:$A,'Base de Grupos'!$F:$F)</f>
        <v>1000065763</v>
      </c>
      <c r="E211" s="2" t="str">
        <f>_xlfn.XLOOKUP($N211,'Base de Grupos'!$A:$A,'Base de Grupos'!$G:$G)</f>
        <v>CANAL VENDA INTERNA</v>
      </c>
      <c r="F211" s="2" t="str">
        <f>_xlfn.XLOOKUP($N211,'Base de Grupos'!$A:$A,'Base de Grupos'!$H:$H)</f>
        <v>1000105900</v>
      </c>
      <c r="G211" s="5" t="str">
        <f>_xlfn.XLOOKUP($N211,'Base de Grupos'!$A:$A,'Base de Grupos'!$I:$I)</f>
        <v>REGIONAL VENDA DIRETA CO + NE + NO</v>
      </c>
      <c r="H211" s="5" t="str">
        <f>_xlfn.XLOOKUP($N211,'Base de Grupos'!$A:$A,'Base de Grupos'!$J:$J)</f>
        <v>1000105900</v>
      </c>
      <c r="I211" s="2" t="str">
        <f>_xlfn.XLOOKUP($N211,'Base de Grupos'!$A:$A,'Base de Grupos'!$K:$K)</f>
        <v>REGIONAL VENDA DIRETA CO + NE + NO</v>
      </c>
      <c r="J211" s="2" t="str">
        <f>_xlfn.XLOOKUP($N211,'Base de Grupos'!$A:$A,'Base de Grupos'!$L:$L)</f>
        <v>1000150135</v>
      </c>
      <c r="K211" s="5" t="str">
        <f>_xlfn.XLOOKUP($N211,'Base de Grupos'!$A:$A,'Base de Grupos'!$M:$M)</f>
        <v>HELDER DA SILVA BRUNKOW</v>
      </c>
      <c r="L211" s="5" t="str">
        <f t="shared" si="93"/>
        <v/>
      </c>
      <c r="M211" s="5" t="str">
        <f>_xlfn.XLOOKUP($N211,'Base de Grupos'!$A:$A,'Base de Grupos'!$C:$C)</f>
        <v>RR</v>
      </c>
      <c r="N211" s="3">
        <v>1348</v>
      </c>
      <c r="O211" s="4" t="s">
        <v>235</v>
      </c>
      <c r="P211" s="5" t="s">
        <v>89</v>
      </c>
      <c r="Q211" s="24">
        <v>0</v>
      </c>
      <c r="R211" s="24">
        <v>0</v>
      </c>
      <c r="S211" s="24">
        <v>0</v>
      </c>
      <c r="T211" s="24">
        <v>0</v>
      </c>
      <c r="U211" s="24">
        <v>0</v>
      </c>
      <c r="V211" s="24">
        <v>0</v>
      </c>
      <c r="W211" s="24">
        <v>0</v>
      </c>
      <c r="X211" s="24">
        <v>0</v>
      </c>
      <c r="Y211" s="24">
        <v>0</v>
      </c>
      <c r="Z211" s="24">
        <v>0</v>
      </c>
      <c r="AA211" s="24">
        <v>0</v>
      </c>
      <c r="AB211" s="24">
        <v>0</v>
      </c>
      <c r="AC211" s="30">
        <f t="shared" si="100"/>
        <v>0</v>
      </c>
      <c r="AD211" s="27">
        <f t="shared" si="101"/>
        <v>0</v>
      </c>
      <c r="AE211" s="25">
        <f>IFERROR(_xlfn.XLOOKUP(N211&amp;P211,'Historico Vendas'!G:G,'Historico Vendas'!E:E),0)</f>
        <v>0</v>
      </c>
      <c r="AF211" s="29" t="str">
        <f t="shared" si="94"/>
        <v/>
      </c>
      <c r="AG211" s="24">
        <f>IFERROR(_xlfn.XLOOKUP(N211&amp;P211,'Historico Vendas'!G:G,'Historico Vendas'!F:F),0)</f>
        <v>0</v>
      </c>
      <c r="AH211" s="25">
        <f t="shared" si="102"/>
        <v>0</v>
      </c>
      <c r="AI211" s="24">
        <f t="shared" si="103"/>
        <v>0</v>
      </c>
      <c r="AJ211" s="11" t="str">
        <f t="shared" si="95"/>
        <v/>
      </c>
      <c r="AK211" s="9" t="s">
        <v>102</v>
      </c>
      <c r="AL211" s="13">
        <f>IFERROR(INDEX('Balizador da Meta'!$D$3:$F$23,MATCH(Quantidade!$P211,'Balizador da Meta'!$C$3:$C$23,0),MATCH(Quantidade!AK211,'Balizador da Meta'!$D$2:$F$2,0)),"")</f>
        <v>0.25</v>
      </c>
      <c r="AM211" s="9"/>
    </row>
    <row r="212" spans="1:39" x14ac:dyDescent="0.3">
      <c r="A212" s="2" t="str">
        <f t="shared" si="92"/>
        <v>NÃO</v>
      </c>
      <c r="B212" s="2" t="str">
        <f>_xlfn.XLOOKUP($N212,'Base de Grupos'!$A:$A,'Base de Grupos'!$D:$D)</f>
        <v>1000065763</v>
      </c>
      <c r="C212" s="5" t="str">
        <f>_xlfn.XLOOKUP($N212,'Base de Grupos'!$A:$A,'Base de Grupos'!$E:$E)</f>
        <v>CANAL VENDA INTERNA</v>
      </c>
      <c r="D212" s="5" t="str">
        <f>_xlfn.XLOOKUP($N212,'Base de Grupos'!$A:$A,'Base de Grupos'!$F:$F)</f>
        <v>1000065763</v>
      </c>
      <c r="E212" s="2" t="str">
        <f>_xlfn.XLOOKUP($N212,'Base de Grupos'!$A:$A,'Base de Grupos'!$G:$G)</f>
        <v>CANAL VENDA INTERNA</v>
      </c>
      <c r="F212" s="2" t="str">
        <f>_xlfn.XLOOKUP($N212,'Base de Grupos'!$A:$A,'Base de Grupos'!$H:$H)</f>
        <v>1000105900</v>
      </c>
      <c r="G212" s="5" t="str">
        <f>_xlfn.XLOOKUP($N212,'Base de Grupos'!$A:$A,'Base de Grupos'!$I:$I)</f>
        <v>REGIONAL VENDA DIRETA CO + NE + NO</v>
      </c>
      <c r="H212" s="5" t="str">
        <f>_xlfn.XLOOKUP($N212,'Base de Grupos'!$A:$A,'Base de Grupos'!$J:$J)</f>
        <v>1000105900</v>
      </c>
      <c r="I212" s="2" t="str">
        <f>_xlfn.XLOOKUP($N212,'Base de Grupos'!$A:$A,'Base de Grupos'!$K:$K)</f>
        <v>REGIONAL VENDA DIRETA CO + NE + NO</v>
      </c>
      <c r="J212" s="2" t="str">
        <f>_xlfn.XLOOKUP($N212,'Base de Grupos'!$A:$A,'Base de Grupos'!$L:$L)</f>
        <v>1000150135</v>
      </c>
      <c r="K212" s="5" t="str">
        <f>_xlfn.XLOOKUP($N212,'Base de Grupos'!$A:$A,'Base de Grupos'!$M:$M)</f>
        <v>HELDER DA SILVA BRUNKOW</v>
      </c>
      <c r="L212" s="5" t="str">
        <f t="shared" si="93"/>
        <v/>
      </c>
      <c r="M212" s="5" t="str">
        <f>_xlfn.XLOOKUP($N212,'Base de Grupos'!$A:$A,'Base de Grupos'!$C:$C)</f>
        <v>RR</v>
      </c>
      <c r="N212" s="3">
        <v>1348</v>
      </c>
      <c r="O212" s="4" t="s">
        <v>235</v>
      </c>
      <c r="P212" s="5" t="s">
        <v>88</v>
      </c>
      <c r="Q212" s="24">
        <v>0</v>
      </c>
      <c r="R212" s="24">
        <v>0</v>
      </c>
      <c r="S212" s="24">
        <v>0</v>
      </c>
      <c r="T212" s="24">
        <v>0</v>
      </c>
      <c r="U212" s="24">
        <v>0</v>
      </c>
      <c r="V212" s="24">
        <v>0</v>
      </c>
      <c r="W212" s="24">
        <v>0</v>
      </c>
      <c r="X212" s="24">
        <v>0</v>
      </c>
      <c r="Y212" s="24">
        <v>0</v>
      </c>
      <c r="Z212" s="24">
        <v>0</v>
      </c>
      <c r="AA212" s="24">
        <v>0</v>
      </c>
      <c r="AB212" s="24">
        <v>0</v>
      </c>
      <c r="AC212" s="30">
        <f t="shared" si="100"/>
        <v>0</v>
      </c>
      <c r="AD212" s="27">
        <f t="shared" si="101"/>
        <v>0</v>
      </c>
      <c r="AE212" s="25">
        <f>IFERROR(_xlfn.XLOOKUP(N212&amp;P212,'Historico Vendas'!G:G,'Historico Vendas'!E:E),0)</f>
        <v>0</v>
      </c>
      <c r="AF212" s="29" t="str">
        <f t="shared" si="94"/>
        <v/>
      </c>
      <c r="AG212" s="24">
        <f>IFERROR(_xlfn.XLOOKUP(N212&amp;P212,'Historico Vendas'!G:G,'Historico Vendas'!F:F),0)</f>
        <v>0</v>
      </c>
      <c r="AH212" s="25">
        <f t="shared" si="102"/>
        <v>0</v>
      </c>
      <c r="AI212" s="24">
        <f t="shared" si="103"/>
        <v>0</v>
      </c>
      <c r="AJ212" s="11" t="str">
        <f t="shared" si="95"/>
        <v/>
      </c>
      <c r="AK212" s="9" t="s">
        <v>102</v>
      </c>
      <c r="AL212" s="13">
        <f>IFERROR(INDEX('Balizador da Meta'!$D$3:$F$23,MATCH(Quantidade!$P212,'Balizador da Meta'!$C$3:$C$23,0),MATCH(Quantidade!AK212,'Balizador da Meta'!$D$2:$F$2,0)),"")</f>
        <v>0</v>
      </c>
      <c r="AM212" s="9"/>
    </row>
    <row r="213" spans="1:39" x14ac:dyDescent="0.3">
      <c r="A213" s="2" t="str">
        <f t="shared" si="92"/>
        <v>NÃO</v>
      </c>
      <c r="B213" s="2" t="str">
        <f>_xlfn.XLOOKUP($N213,'Base de Grupos'!$A:$A,'Base de Grupos'!$D:$D)</f>
        <v>1000065763</v>
      </c>
      <c r="C213" s="5" t="str">
        <f>_xlfn.XLOOKUP($N213,'Base de Grupos'!$A:$A,'Base de Grupos'!$E:$E)</f>
        <v>CANAL VENDA INTERNA</v>
      </c>
      <c r="D213" s="5" t="str">
        <f>_xlfn.XLOOKUP($N213,'Base de Grupos'!$A:$A,'Base de Grupos'!$F:$F)</f>
        <v>1000065763</v>
      </c>
      <c r="E213" s="2" t="str">
        <f>_xlfn.XLOOKUP($N213,'Base de Grupos'!$A:$A,'Base de Grupos'!$G:$G)</f>
        <v>CANAL VENDA INTERNA</v>
      </c>
      <c r="F213" s="2" t="str">
        <f>_xlfn.XLOOKUP($N213,'Base de Grupos'!$A:$A,'Base de Grupos'!$H:$H)</f>
        <v>1000105900</v>
      </c>
      <c r="G213" s="5" t="str">
        <f>_xlfn.XLOOKUP($N213,'Base de Grupos'!$A:$A,'Base de Grupos'!$I:$I)</f>
        <v>REGIONAL VENDA DIRETA CO + NE + NO</v>
      </c>
      <c r="H213" s="5" t="str">
        <f>_xlfn.XLOOKUP($N213,'Base de Grupos'!$A:$A,'Base de Grupos'!$J:$J)</f>
        <v>1000105900</v>
      </c>
      <c r="I213" s="2" t="str">
        <f>_xlfn.XLOOKUP($N213,'Base de Grupos'!$A:$A,'Base de Grupos'!$K:$K)</f>
        <v>REGIONAL VENDA DIRETA CO + NE + NO</v>
      </c>
      <c r="J213" s="2" t="str">
        <f>_xlfn.XLOOKUP($N213,'Base de Grupos'!$A:$A,'Base de Grupos'!$L:$L)</f>
        <v>1000150135</v>
      </c>
      <c r="K213" s="5" t="str">
        <f>_xlfn.XLOOKUP($N213,'Base de Grupos'!$A:$A,'Base de Grupos'!$M:$M)</f>
        <v>HELDER DA SILVA BRUNKOW</v>
      </c>
      <c r="L213" s="5" t="str">
        <f t="shared" si="93"/>
        <v/>
      </c>
      <c r="M213" s="5" t="str">
        <f>_xlfn.XLOOKUP($N213,'Base de Grupos'!$A:$A,'Base de Grupos'!$C:$C)</f>
        <v>RR</v>
      </c>
      <c r="N213" s="3">
        <v>1348</v>
      </c>
      <c r="O213" s="4" t="s">
        <v>235</v>
      </c>
      <c r="P213" s="5" t="s">
        <v>90</v>
      </c>
      <c r="Q213" s="24">
        <v>0</v>
      </c>
      <c r="R213" s="24">
        <v>0</v>
      </c>
      <c r="S213" s="24">
        <v>0</v>
      </c>
      <c r="T213" s="24">
        <v>0</v>
      </c>
      <c r="U213" s="24">
        <v>0</v>
      </c>
      <c r="V213" s="24">
        <v>0</v>
      </c>
      <c r="W213" s="24">
        <v>0</v>
      </c>
      <c r="X213" s="24">
        <v>0</v>
      </c>
      <c r="Y213" s="24">
        <v>0</v>
      </c>
      <c r="Z213" s="24">
        <v>0</v>
      </c>
      <c r="AA213" s="24">
        <v>0</v>
      </c>
      <c r="AB213" s="24">
        <v>0</v>
      </c>
      <c r="AC213" s="30">
        <f t="shared" si="100"/>
        <v>0</v>
      </c>
      <c r="AD213" s="27">
        <f t="shared" si="101"/>
        <v>0</v>
      </c>
      <c r="AE213" s="25">
        <f>IFERROR(_xlfn.XLOOKUP(N213&amp;P213,'Historico Vendas'!G:G,'Historico Vendas'!E:E),0)</f>
        <v>0</v>
      </c>
      <c r="AF213" s="29" t="str">
        <f t="shared" si="94"/>
        <v/>
      </c>
      <c r="AG213" s="24">
        <f>IFERROR(_xlfn.XLOOKUP(N213&amp;P213,'Historico Vendas'!G:G,'Historico Vendas'!F:F),0)</f>
        <v>0</v>
      </c>
      <c r="AH213" s="25">
        <f t="shared" si="102"/>
        <v>0</v>
      </c>
      <c r="AI213" s="24">
        <f t="shared" si="103"/>
        <v>0</v>
      </c>
      <c r="AJ213" s="11" t="str">
        <f t="shared" si="95"/>
        <v/>
      </c>
      <c r="AK213" s="9" t="s">
        <v>102</v>
      </c>
      <c r="AL213" s="13">
        <f>IFERROR(INDEX('Balizador da Meta'!$D$3:$F$23,MATCH(Quantidade!$P213,'Balizador da Meta'!$C$3:$C$23,0),MATCH(Quantidade!AK213,'Balizador da Meta'!$D$2:$F$2,0)),"")</f>
        <v>0</v>
      </c>
      <c r="AM213" s="9"/>
    </row>
    <row r="214" spans="1:39" x14ac:dyDescent="0.3">
      <c r="A214" s="2" t="str">
        <f t="shared" si="92"/>
        <v>NÃO</v>
      </c>
      <c r="B214" s="2" t="str">
        <f>_xlfn.XLOOKUP($N214,'Base de Grupos'!$A:$A,'Base de Grupos'!$D:$D)</f>
        <v>1000065763</v>
      </c>
      <c r="C214" s="5" t="str">
        <f>_xlfn.XLOOKUP($N214,'Base de Grupos'!$A:$A,'Base de Grupos'!$E:$E)</f>
        <v>CANAL VENDA INTERNA</v>
      </c>
      <c r="D214" s="5" t="str">
        <f>_xlfn.XLOOKUP($N214,'Base de Grupos'!$A:$A,'Base de Grupos'!$F:$F)</f>
        <v>1000065763</v>
      </c>
      <c r="E214" s="2" t="str">
        <f>_xlfn.XLOOKUP($N214,'Base de Grupos'!$A:$A,'Base de Grupos'!$G:$G)</f>
        <v>CANAL VENDA INTERNA</v>
      </c>
      <c r="F214" s="2" t="str">
        <f>_xlfn.XLOOKUP($N214,'Base de Grupos'!$A:$A,'Base de Grupos'!$H:$H)</f>
        <v>1000105900</v>
      </c>
      <c r="G214" s="5" t="str">
        <f>_xlfn.XLOOKUP($N214,'Base de Grupos'!$A:$A,'Base de Grupos'!$I:$I)</f>
        <v>REGIONAL VENDA DIRETA CO + NE + NO</v>
      </c>
      <c r="H214" s="5" t="str">
        <f>_xlfn.XLOOKUP($N214,'Base de Grupos'!$A:$A,'Base de Grupos'!$J:$J)</f>
        <v>1000105900</v>
      </c>
      <c r="I214" s="2" t="str">
        <f>_xlfn.XLOOKUP($N214,'Base de Grupos'!$A:$A,'Base de Grupos'!$K:$K)</f>
        <v>REGIONAL VENDA DIRETA CO + NE + NO</v>
      </c>
      <c r="J214" s="2" t="str">
        <f>_xlfn.XLOOKUP($N214,'Base de Grupos'!$A:$A,'Base de Grupos'!$L:$L)</f>
        <v>1000150135</v>
      </c>
      <c r="K214" s="5" t="str">
        <f>_xlfn.XLOOKUP($N214,'Base de Grupos'!$A:$A,'Base de Grupos'!$M:$M)</f>
        <v>HELDER DA SILVA BRUNKOW</v>
      </c>
      <c r="L214" s="5" t="str">
        <f t="shared" si="93"/>
        <v/>
      </c>
      <c r="M214" s="5" t="str">
        <f>_xlfn.XLOOKUP($N214,'Base de Grupos'!$A:$A,'Base de Grupos'!$C:$C)</f>
        <v>RR</v>
      </c>
      <c r="N214" s="3">
        <v>1348</v>
      </c>
      <c r="O214" s="4" t="s">
        <v>235</v>
      </c>
      <c r="P214" s="5" t="s">
        <v>91</v>
      </c>
      <c r="Q214" s="24">
        <v>0</v>
      </c>
      <c r="R214" s="24">
        <v>0</v>
      </c>
      <c r="S214" s="24">
        <v>0</v>
      </c>
      <c r="T214" s="24">
        <v>0</v>
      </c>
      <c r="U214" s="24">
        <v>0</v>
      </c>
      <c r="V214" s="24">
        <v>0</v>
      </c>
      <c r="W214" s="24">
        <v>0</v>
      </c>
      <c r="X214" s="24">
        <v>0</v>
      </c>
      <c r="Y214" s="24">
        <v>0</v>
      </c>
      <c r="Z214" s="24">
        <v>0</v>
      </c>
      <c r="AA214" s="24">
        <v>0</v>
      </c>
      <c r="AB214" s="24">
        <v>0</v>
      </c>
      <c r="AC214" s="30">
        <f t="shared" si="100"/>
        <v>0</v>
      </c>
      <c r="AD214" s="27">
        <f t="shared" si="101"/>
        <v>0</v>
      </c>
      <c r="AE214" s="25">
        <f>IFERROR(_xlfn.XLOOKUP(N214&amp;P214,'Historico Vendas'!G:G,'Historico Vendas'!E:E),0)</f>
        <v>0</v>
      </c>
      <c r="AF214" s="29" t="str">
        <f t="shared" si="94"/>
        <v/>
      </c>
      <c r="AG214" s="24">
        <f>IFERROR(_xlfn.XLOOKUP(N214&amp;P214,'Historico Vendas'!G:G,'Historico Vendas'!F:F),0)</f>
        <v>0</v>
      </c>
      <c r="AH214" s="25">
        <f t="shared" si="102"/>
        <v>0</v>
      </c>
      <c r="AI214" s="24">
        <f t="shared" si="103"/>
        <v>0</v>
      </c>
      <c r="AJ214" s="11" t="str">
        <f t="shared" si="95"/>
        <v/>
      </c>
      <c r="AK214" s="9" t="s">
        <v>102</v>
      </c>
      <c r="AL214" s="13">
        <f>IFERROR(INDEX('Balizador da Meta'!$D$3:$F$23,MATCH(Quantidade!$P214,'Balizador da Meta'!$C$3:$C$23,0),MATCH(Quantidade!AK214,'Balizador da Meta'!$D$2:$F$2,0)),"")</f>
        <v>0</v>
      </c>
      <c r="AM214" s="9"/>
    </row>
    <row r="215" spans="1:39" x14ac:dyDescent="0.3">
      <c r="A215" s="2" t="str">
        <f t="shared" si="92"/>
        <v>NÃO</v>
      </c>
      <c r="B215" s="2" t="str">
        <f>_xlfn.XLOOKUP($N215,'Base de Grupos'!$A:$A,'Base de Grupos'!$D:$D)</f>
        <v>1000065763</v>
      </c>
      <c r="C215" s="5" t="str">
        <f>_xlfn.XLOOKUP($N215,'Base de Grupos'!$A:$A,'Base de Grupos'!$E:$E)</f>
        <v>CANAL VENDA INTERNA</v>
      </c>
      <c r="D215" s="5" t="str">
        <f>_xlfn.XLOOKUP($N215,'Base de Grupos'!$A:$A,'Base de Grupos'!$F:$F)</f>
        <v>1000065763</v>
      </c>
      <c r="E215" s="2" t="str">
        <f>_xlfn.XLOOKUP($N215,'Base de Grupos'!$A:$A,'Base de Grupos'!$G:$G)</f>
        <v>CANAL VENDA INTERNA</v>
      </c>
      <c r="F215" s="2" t="str">
        <f>_xlfn.XLOOKUP($N215,'Base de Grupos'!$A:$A,'Base de Grupos'!$H:$H)</f>
        <v>1000105900</v>
      </c>
      <c r="G215" s="5" t="str">
        <f>_xlfn.XLOOKUP($N215,'Base de Grupos'!$A:$A,'Base de Grupos'!$I:$I)</f>
        <v>REGIONAL VENDA DIRETA CO + NE + NO</v>
      </c>
      <c r="H215" s="5" t="str">
        <f>_xlfn.XLOOKUP($N215,'Base de Grupos'!$A:$A,'Base de Grupos'!$J:$J)</f>
        <v>1000105900</v>
      </c>
      <c r="I215" s="2" t="str">
        <f>_xlfn.XLOOKUP($N215,'Base de Grupos'!$A:$A,'Base de Grupos'!$K:$K)</f>
        <v>REGIONAL VENDA DIRETA CO + NE + NO</v>
      </c>
      <c r="J215" s="2" t="str">
        <f>_xlfn.XLOOKUP($N215,'Base de Grupos'!$A:$A,'Base de Grupos'!$L:$L)</f>
        <v>1000150135</v>
      </c>
      <c r="K215" s="5" t="str">
        <f>_xlfn.XLOOKUP($N215,'Base de Grupos'!$A:$A,'Base de Grupos'!$M:$M)</f>
        <v>HELDER DA SILVA BRUNKOW</v>
      </c>
      <c r="L215" s="5" t="str">
        <f t="shared" si="93"/>
        <v/>
      </c>
      <c r="M215" s="5" t="str">
        <f>_xlfn.XLOOKUP($N215,'Base de Grupos'!$A:$A,'Base de Grupos'!$C:$C)</f>
        <v>RR</v>
      </c>
      <c r="N215" s="3">
        <v>1348</v>
      </c>
      <c r="O215" s="4" t="s">
        <v>235</v>
      </c>
      <c r="P215" s="5" t="s">
        <v>96</v>
      </c>
      <c r="Q215" s="24">
        <v>0</v>
      </c>
      <c r="R215" s="24">
        <v>0</v>
      </c>
      <c r="S215" s="24">
        <v>0</v>
      </c>
      <c r="T215" s="24">
        <v>0</v>
      </c>
      <c r="U215" s="24">
        <v>0</v>
      </c>
      <c r="V215" s="24">
        <v>0</v>
      </c>
      <c r="W215" s="24">
        <v>0</v>
      </c>
      <c r="X215" s="24">
        <v>0</v>
      </c>
      <c r="Y215" s="24">
        <v>0</v>
      </c>
      <c r="Z215" s="24">
        <v>0</v>
      </c>
      <c r="AA215" s="24">
        <v>0</v>
      </c>
      <c r="AB215" s="24">
        <v>0</v>
      </c>
      <c r="AC215" s="30">
        <f t="shared" si="100"/>
        <v>0</v>
      </c>
      <c r="AD215" s="27">
        <f t="shared" si="101"/>
        <v>0</v>
      </c>
      <c r="AE215" s="25">
        <f>IFERROR(_xlfn.XLOOKUP(N215&amp;P215,'Historico Vendas'!G:G,'Historico Vendas'!E:E),0)</f>
        <v>0</v>
      </c>
      <c r="AF215" s="29" t="str">
        <f t="shared" si="94"/>
        <v/>
      </c>
      <c r="AG215" s="24">
        <f>IFERROR(_xlfn.XLOOKUP(N215&amp;P215,'Historico Vendas'!G:G,'Historico Vendas'!F:F),0)</f>
        <v>0</v>
      </c>
      <c r="AH215" s="25">
        <f t="shared" si="102"/>
        <v>0</v>
      </c>
      <c r="AI215" s="24">
        <f t="shared" si="103"/>
        <v>0</v>
      </c>
      <c r="AJ215" s="11" t="str">
        <f t="shared" si="95"/>
        <v/>
      </c>
      <c r="AK215" s="9" t="s">
        <v>102</v>
      </c>
      <c r="AL215" s="13">
        <f>IFERROR(INDEX('Balizador da Meta'!$D$3:$F$23,MATCH(Quantidade!$P215,'Balizador da Meta'!$C$3:$C$23,0),MATCH(Quantidade!AK215,'Balizador da Meta'!$D$2:$F$2,0)),"")</f>
        <v>0</v>
      </c>
      <c r="AM215" s="9"/>
    </row>
    <row r="216" spans="1:39" x14ac:dyDescent="0.3">
      <c r="A216" s="2" t="str">
        <f t="shared" si="92"/>
        <v>NÃO</v>
      </c>
      <c r="B216" s="2" t="str">
        <f>_xlfn.XLOOKUP($N216,'Base de Grupos'!$A:$A,'Base de Grupos'!$D:$D)</f>
        <v>1000065763</v>
      </c>
      <c r="C216" s="5" t="str">
        <f>_xlfn.XLOOKUP($N216,'Base de Grupos'!$A:$A,'Base de Grupos'!$E:$E)</f>
        <v>CANAL VENDA INTERNA</v>
      </c>
      <c r="D216" s="5" t="str">
        <f>_xlfn.XLOOKUP($N216,'Base de Grupos'!$A:$A,'Base de Grupos'!$F:$F)</f>
        <v>1000065763</v>
      </c>
      <c r="E216" s="2" t="str">
        <f>_xlfn.XLOOKUP($N216,'Base de Grupos'!$A:$A,'Base de Grupos'!$G:$G)</f>
        <v>CANAL VENDA INTERNA</v>
      </c>
      <c r="F216" s="2" t="str">
        <f>_xlfn.XLOOKUP($N216,'Base de Grupos'!$A:$A,'Base de Grupos'!$H:$H)</f>
        <v>1000105900</v>
      </c>
      <c r="G216" s="5" t="str">
        <f>_xlfn.XLOOKUP($N216,'Base de Grupos'!$A:$A,'Base de Grupos'!$I:$I)</f>
        <v>REGIONAL VENDA DIRETA CO + NE + NO</v>
      </c>
      <c r="H216" s="5" t="str">
        <f>_xlfn.XLOOKUP($N216,'Base de Grupos'!$A:$A,'Base de Grupos'!$J:$J)</f>
        <v>1000105900</v>
      </c>
      <c r="I216" s="2" t="str">
        <f>_xlfn.XLOOKUP($N216,'Base de Grupos'!$A:$A,'Base de Grupos'!$K:$K)</f>
        <v>REGIONAL VENDA DIRETA CO + NE + NO</v>
      </c>
      <c r="J216" s="2" t="str">
        <f>_xlfn.XLOOKUP($N216,'Base de Grupos'!$A:$A,'Base de Grupos'!$L:$L)</f>
        <v>1000150135</v>
      </c>
      <c r="K216" s="5" t="str">
        <f>_xlfn.XLOOKUP($N216,'Base de Grupos'!$A:$A,'Base de Grupos'!$M:$M)</f>
        <v>HELDER DA SILVA BRUNKOW</v>
      </c>
      <c r="L216" s="5" t="str">
        <f t="shared" si="93"/>
        <v/>
      </c>
      <c r="M216" s="5" t="str">
        <f>_xlfn.XLOOKUP($N216,'Base de Grupos'!$A:$A,'Base de Grupos'!$C:$C)</f>
        <v>RR</v>
      </c>
      <c r="N216" s="3">
        <v>1348</v>
      </c>
      <c r="O216" s="4" t="s">
        <v>235</v>
      </c>
      <c r="P216" s="5" t="s">
        <v>94</v>
      </c>
      <c r="Q216" s="24">
        <v>0</v>
      </c>
      <c r="R216" s="24">
        <v>0</v>
      </c>
      <c r="S216" s="24">
        <v>0</v>
      </c>
      <c r="T216" s="24">
        <v>0</v>
      </c>
      <c r="U216" s="24">
        <v>0</v>
      </c>
      <c r="V216" s="24">
        <v>0</v>
      </c>
      <c r="W216" s="24">
        <v>0</v>
      </c>
      <c r="X216" s="24">
        <v>0</v>
      </c>
      <c r="Y216" s="24">
        <v>0</v>
      </c>
      <c r="Z216" s="24">
        <v>0</v>
      </c>
      <c r="AA216" s="24">
        <v>0</v>
      </c>
      <c r="AB216" s="24">
        <v>0</v>
      </c>
      <c r="AC216" s="30">
        <f t="shared" si="100"/>
        <v>0</v>
      </c>
      <c r="AD216" s="27">
        <f t="shared" si="101"/>
        <v>0</v>
      </c>
      <c r="AE216" s="25">
        <f>IFERROR(_xlfn.XLOOKUP(N216&amp;P216,'Historico Vendas'!G:G,'Historico Vendas'!E:E),0)</f>
        <v>0</v>
      </c>
      <c r="AF216" s="29" t="str">
        <f t="shared" si="94"/>
        <v/>
      </c>
      <c r="AG216" s="24">
        <f>IFERROR(_xlfn.XLOOKUP(N216&amp;P216,'Historico Vendas'!G:G,'Historico Vendas'!F:F),0)</f>
        <v>0</v>
      </c>
      <c r="AH216" s="25">
        <f t="shared" si="102"/>
        <v>0</v>
      </c>
      <c r="AI216" s="24">
        <f t="shared" si="103"/>
        <v>0</v>
      </c>
      <c r="AJ216" s="11" t="str">
        <f t="shared" si="95"/>
        <v/>
      </c>
      <c r="AK216" s="9" t="s">
        <v>102</v>
      </c>
      <c r="AL216" s="13">
        <f>IFERROR(INDEX('Balizador da Meta'!$D$3:$F$23,MATCH(Quantidade!$P216,'Balizador da Meta'!$C$3:$C$23,0),MATCH(Quantidade!AK216,'Balizador da Meta'!$D$2:$F$2,0)),"")</f>
        <v>0.25</v>
      </c>
      <c r="AM216" s="9"/>
    </row>
    <row r="217" spans="1:39" x14ac:dyDescent="0.3">
      <c r="A217" s="2" t="str">
        <f t="shared" si="92"/>
        <v>NÃO</v>
      </c>
      <c r="B217" s="2" t="str">
        <f>_xlfn.XLOOKUP($N217,'Base de Grupos'!$A:$A,'Base de Grupos'!$D:$D)</f>
        <v>1000065763</v>
      </c>
      <c r="C217" s="5" t="str">
        <f>_xlfn.XLOOKUP($N217,'Base de Grupos'!$A:$A,'Base de Grupos'!$E:$E)</f>
        <v>CANAL VENDA INTERNA</v>
      </c>
      <c r="D217" s="5" t="str">
        <f>_xlfn.XLOOKUP($N217,'Base de Grupos'!$A:$A,'Base de Grupos'!$F:$F)</f>
        <v>1000065763</v>
      </c>
      <c r="E217" s="2" t="str">
        <f>_xlfn.XLOOKUP($N217,'Base de Grupos'!$A:$A,'Base de Grupos'!$G:$G)</f>
        <v>CANAL VENDA INTERNA</v>
      </c>
      <c r="F217" s="2" t="str">
        <f>_xlfn.XLOOKUP($N217,'Base de Grupos'!$A:$A,'Base de Grupos'!$H:$H)</f>
        <v>1000105900</v>
      </c>
      <c r="G217" s="5" t="str">
        <f>_xlfn.XLOOKUP($N217,'Base de Grupos'!$A:$A,'Base de Grupos'!$I:$I)</f>
        <v>REGIONAL VENDA DIRETA CO + NE + NO</v>
      </c>
      <c r="H217" s="5" t="str">
        <f>_xlfn.XLOOKUP($N217,'Base de Grupos'!$A:$A,'Base de Grupos'!$J:$J)</f>
        <v>1000105900</v>
      </c>
      <c r="I217" s="2" t="str">
        <f>_xlfn.XLOOKUP($N217,'Base de Grupos'!$A:$A,'Base de Grupos'!$K:$K)</f>
        <v>REGIONAL VENDA DIRETA CO + NE + NO</v>
      </c>
      <c r="J217" s="2" t="str">
        <f>_xlfn.XLOOKUP($N217,'Base de Grupos'!$A:$A,'Base de Grupos'!$L:$L)</f>
        <v>1000150135</v>
      </c>
      <c r="K217" s="5" t="str">
        <f>_xlfn.XLOOKUP($N217,'Base de Grupos'!$A:$A,'Base de Grupos'!$M:$M)</f>
        <v>HELDER DA SILVA BRUNKOW</v>
      </c>
      <c r="L217" s="5" t="str">
        <f t="shared" si="93"/>
        <v/>
      </c>
      <c r="M217" s="5" t="str">
        <f>_xlfn.XLOOKUP($N217,'Base de Grupos'!$A:$A,'Base de Grupos'!$C:$C)</f>
        <v>RR</v>
      </c>
      <c r="N217" s="3">
        <v>1348</v>
      </c>
      <c r="O217" s="4" t="s">
        <v>235</v>
      </c>
      <c r="P217" s="5" t="s">
        <v>95</v>
      </c>
      <c r="Q217" s="24">
        <v>0</v>
      </c>
      <c r="R217" s="24">
        <v>0</v>
      </c>
      <c r="S217" s="24">
        <v>0</v>
      </c>
      <c r="T217" s="24">
        <v>0</v>
      </c>
      <c r="U217" s="24">
        <v>0</v>
      </c>
      <c r="V217" s="24">
        <v>0</v>
      </c>
      <c r="W217" s="24">
        <v>0</v>
      </c>
      <c r="X217" s="24">
        <v>0</v>
      </c>
      <c r="Y217" s="24">
        <v>0</v>
      </c>
      <c r="Z217" s="24">
        <v>0</v>
      </c>
      <c r="AA217" s="24">
        <v>0</v>
      </c>
      <c r="AB217" s="24">
        <v>0</v>
      </c>
      <c r="AC217" s="30">
        <f t="shared" si="100"/>
        <v>0</v>
      </c>
      <c r="AD217" s="27">
        <f t="shared" si="101"/>
        <v>0</v>
      </c>
      <c r="AE217" s="25">
        <f>IFERROR(_xlfn.XLOOKUP(N217&amp;P217,'Historico Vendas'!G:G,'Historico Vendas'!E:E),0)</f>
        <v>0</v>
      </c>
      <c r="AF217" s="29" t="str">
        <f t="shared" si="94"/>
        <v/>
      </c>
      <c r="AG217" s="24">
        <f>IFERROR(_xlfn.XLOOKUP(N217&amp;P217,'Historico Vendas'!G:G,'Historico Vendas'!F:F),0)</f>
        <v>0</v>
      </c>
      <c r="AH217" s="25">
        <f t="shared" si="102"/>
        <v>0</v>
      </c>
      <c r="AI217" s="24">
        <f t="shared" si="103"/>
        <v>0</v>
      </c>
      <c r="AJ217" s="11" t="str">
        <f t="shared" si="95"/>
        <v/>
      </c>
      <c r="AK217" s="9" t="s">
        <v>102</v>
      </c>
      <c r="AL217" s="13">
        <f>IFERROR(INDEX('Balizador da Meta'!$D$3:$F$23,MATCH(Quantidade!$P217,'Balizador da Meta'!$C$3:$C$23,0),MATCH(Quantidade!AK217,'Balizador da Meta'!$D$2:$F$2,0)),"")</f>
        <v>0.25</v>
      </c>
      <c r="AM217" s="9"/>
    </row>
    <row r="218" spans="1:39" x14ac:dyDescent="0.3">
      <c r="A218" s="2" t="str">
        <f t="shared" si="92"/>
        <v>NÃO</v>
      </c>
      <c r="B218" s="2" t="str">
        <f>_xlfn.XLOOKUP($N218,'Base de Grupos'!$A:$A,'Base de Grupos'!$D:$D)</f>
        <v>1000065763</v>
      </c>
      <c r="C218" s="5" t="str">
        <f>_xlfn.XLOOKUP($N218,'Base de Grupos'!$A:$A,'Base de Grupos'!$E:$E)</f>
        <v>CANAL VENDA INTERNA</v>
      </c>
      <c r="D218" s="5" t="str">
        <f>_xlfn.XLOOKUP($N218,'Base de Grupos'!$A:$A,'Base de Grupos'!$F:$F)</f>
        <v>1000065763</v>
      </c>
      <c r="E218" s="2" t="str">
        <f>_xlfn.XLOOKUP($N218,'Base de Grupos'!$A:$A,'Base de Grupos'!$G:$G)</f>
        <v>CANAL VENDA INTERNA</v>
      </c>
      <c r="F218" s="2" t="str">
        <f>_xlfn.XLOOKUP($N218,'Base de Grupos'!$A:$A,'Base de Grupos'!$H:$H)</f>
        <v>1000105900</v>
      </c>
      <c r="G218" s="5" t="str">
        <f>_xlfn.XLOOKUP($N218,'Base de Grupos'!$A:$A,'Base de Grupos'!$I:$I)</f>
        <v>REGIONAL VENDA DIRETA CO + NE + NO</v>
      </c>
      <c r="H218" s="5" t="str">
        <f>_xlfn.XLOOKUP($N218,'Base de Grupos'!$A:$A,'Base de Grupos'!$J:$J)</f>
        <v>1000105900</v>
      </c>
      <c r="I218" s="2" t="str">
        <f>_xlfn.XLOOKUP($N218,'Base de Grupos'!$A:$A,'Base de Grupos'!$K:$K)</f>
        <v>REGIONAL VENDA DIRETA CO + NE + NO</v>
      </c>
      <c r="J218" s="2" t="str">
        <f>_xlfn.XLOOKUP($N218,'Base de Grupos'!$A:$A,'Base de Grupos'!$L:$L)</f>
        <v>1000150135</v>
      </c>
      <c r="K218" s="5" t="str">
        <f>_xlfn.XLOOKUP($N218,'Base de Grupos'!$A:$A,'Base de Grupos'!$M:$M)</f>
        <v>HELDER DA SILVA BRUNKOW</v>
      </c>
      <c r="L218" s="5" t="str">
        <f t="shared" si="93"/>
        <v/>
      </c>
      <c r="M218" s="5" t="str">
        <f>_xlfn.XLOOKUP($N218,'Base de Grupos'!$A:$A,'Base de Grupos'!$C:$C)</f>
        <v>RR</v>
      </c>
      <c r="N218" s="3">
        <v>1348</v>
      </c>
      <c r="O218" s="4" t="s">
        <v>235</v>
      </c>
      <c r="P218" s="5" t="s">
        <v>93</v>
      </c>
      <c r="Q218" s="24">
        <v>0</v>
      </c>
      <c r="R218" s="24">
        <v>0</v>
      </c>
      <c r="S218" s="24">
        <v>0</v>
      </c>
      <c r="T218" s="24">
        <v>0</v>
      </c>
      <c r="U218" s="24">
        <v>0</v>
      </c>
      <c r="V218" s="24">
        <v>0</v>
      </c>
      <c r="W218" s="24">
        <v>0</v>
      </c>
      <c r="X218" s="24">
        <v>0</v>
      </c>
      <c r="Y218" s="24">
        <v>0</v>
      </c>
      <c r="Z218" s="24">
        <v>0</v>
      </c>
      <c r="AA218" s="24">
        <v>0</v>
      </c>
      <c r="AB218" s="24">
        <v>0</v>
      </c>
      <c r="AC218" s="30">
        <f t="shared" si="100"/>
        <v>0</v>
      </c>
      <c r="AD218" s="27">
        <f t="shared" si="101"/>
        <v>0</v>
      </c>
      <c r="AE218" s="25">
        <f>IFERROR(_xlfn.XLOOKUP(N218&amp;P218,'Historico Vendas'!G:G,'Historico Vendas'!E:E),0)</f>
        <v>0</v>
      </c>
      <c r="AF218" s="29" t="str">
        <f t="shared" si="94"/>
        <v/>
      </c>
      <c r="AG218" s="24">
        <f>IFERROR(_xlfn.XLOOKUP(N218&amp;P218,'Historico Vendas'!G:G,'Historico Vendas'!F:F),0)</f>
        <v>0</v>
      </c>
      <c r="AH218" s="25">
        <f t="shared" si="102"/>
        <v>0</v>
      </c>
      <c r="AI218" s="24">
        <f t="shared" si="103"/>
        <v>0</v>
      </c>
      <c r="AJ218" s="11" t="str">
        <f t="shared" si="95"/>
        <v/>
      </c>
      <c r="AK218" s="9" t="s">
        <v>102</v>
      </c>
      <c r="AL218" s="13">
        <f>IFERROR(INDEX('Balizador da Meta'!$D$3:$F$23,MATCH(Quantidade!$P218,'Balizador da Meta'!$C$3:$C$23,0),MATCH(Quantidade!AK218,'Balizador da Meta'!$D$2:$F$2,0)),"")</f>
        <v>0.2</v>
      </c>
      <c r="AM218" s="9"/>
    </row>
    <row r="219" spans="1:39" x14ac:dyDescent="0.3">
      <c r="A219" s="2" t="str">
        <f t="shared" si="92"/>
        <v>SIM</v>
      </c>
      <c r="B219" s="2" t="str">
        <f>_xlfn.XLOOKUP($N219,'Base de Grupos'!$A:$A,'Base de Grupos'!$D:$D)</f>
        <v>1000065763</v>
      </c>
      <c r="C219" s="5" t="str">
        <f>_xlfn.XLOOKUP($N219,'Base de Grupos'!$A:$A,'Base de Grupos'!$E:$E)</f>
        <v>CANAL VENDA INTERNA</v>
      </c>
      <c r="D219" s="5" t="str">
        <f>_xlfn.XLOOKUP($N219,'Base de Grupos'!$A:$A,'Base de Grupos'!$F:$F)</f>
        <v>1000065763</v>
      </c>
      <c r="E219" s="2" t="str">
        <f>_xlfn.XLOOKUP($N219,'Base de Grupos'!$A:$A,'Base de Grupos'!$G:$G)</f>
        <v>CANAL VENDA INTERNA</v>
      </c>
      <c r="F219" s="2" t="str">
        <f>_xlfn.XLOOKUP($N219,'Base de Grupos'!$A:$A,'Base de Grupos'!$H:$H)</f>
        <v>1000153245</v>
      </c>
      <c r="G219" s="5" t="str">
        <f>_xlfn.XLOOKUP($N219,'Base de Grupos'!$A:$A,'Base de Grupos'!$I:$I)</f>
        <v>REGIONAL VENDA INTERNA - KEY ACCOUNT</v>
      </c>
      <c r="H219" s="5" t="str">
        <f>_xlfn.XLOOKUP($N219,'Base de Grupos'!$A:$A,'Base de Grupos'!$J:$J)</f>
        <v>1000153245</v>
      </c>
      <c r="I219" s="2" t="str">
        <f>_xlfn.XLOOKUP($N219,'Base de Grupos'!$A:$A,'Base de Grupos'!$K:$K)</f>
        <v>REGIONAL VENDA INTERNA - KEY ACCOUNT</v>
      </c>
      <c r="J219" s="2" t="str">
        <f>_xlfn.XLOOKUP($N219,'Base de Grupos'!$A:$A,'Base de Grupos'!$L:$L)</f>
        <v>1000153245</v>
      </c>
      <c r="K219" s="5" t="str">
        <f>_xlfn.XLOOKUP($N219,'Base de Grupos'!$A:$A,'Base de Grupos'!$M:$M)</f>
        <v>REGIONAL VENDA INTERNA - KEY ACCOUNT</v>
      </c>
      <c r="L219" s="5">
        <f t="shared" si="93"/>
        <v>1</v>
      </c>
      <c r="M219" s="5" t="str">
        <f>_xlfn.XLOOKUP($N219,'Base de Grupos'!$A:$A,'Base de Grupos'!$C:$C)</f>
        <v>PA</v>
      </c>
      <c r="N219" s="3">
        <v>1349</v>
      </c>
      <c r="O219" s="4" t="s">
        <v>236</v>
      </c>
      <c r="P219" s="5" t="s">
        <v>306</v>
      </c>
      <c r="Q219" s="24">
        <v>0</v>
      </c>
      <c r="R219" s="24">
        <v>0</v>
      </c>
      <c r="S219" s="24">
        <v>0</v>
      </c>
      <c r="T219" s="24">
        <v>0</v>
      </c>
      <c r="U219" s="24">
        <v>0</v>
      </c>
      <c r="V219" s="24">
        <v>0</v>
      </c>
      <c r="W219" s="24">
        <v>0</v>
      </c>
      <c r="X219" s="24">
        <v>0</v>
      </c>
      <c r="Y219" s="24">
        <v>0</v>
      </c>
      <c r="Z219" s="24">
        <v>0</v>
      </c>
      <c r="AA219" s="24">
        <v>0</v>
      </c>
      <c r="AB219" s="24">
        <v>0</v>
      </c>
      <c r="AC219" s="30">
        <f t="shared" si="100"/>
        <v>0</v>
      </c>
      <c r="AD219" s="25">
        <f t="shared" ref="AD219:AI219" si="104">SUM(AD220:AD236)</f>
        <v>0</v>
      </c>
      <c r="AE219" s="25">
        <f t="shared" si="104"/>
        <v>0</v>
      </c>
      <c r="AF219" s="11" t="str">
        <f t="shared" si="94"/>
        <v/>
      </c>
      <c r="AG219" s="24">
        <f t="shared" si="104"/>
        <v>0</v>
      </c>
      <c r="AH219" s="25">
        <f t="shared" si="104"/>
        <v>0</v>
      </c>
      <c r="AI219" s="24">
        <f t="shared" si="104"/>
        <v>0</v>
      </c>
      <c r="AJ219" s="11" t="str">
        <f t="shared" si="95"/>
        <v/>
      </c>
      <c r="AK219" s="9"/>
      <c r="AL219" s="13"/>
      <c r="AM219" s="9"/>
    </row>
    <row r="220" spans="1:39" x14ac:dyDescent="0.3">
      <c r="A220" s="2" t="str">
        <f t="shared" si="92"/>
        <v>NÃO</v>
      </c>
      <c r="B220" s="2" t="str">
        <f>_xlfn.XLOOKUP($N220,'Base de Grupos'!$A:$A,'Base de Grupos'!$D:$D)</f>
        <v>1000065763</v>
      </c>
      <c r="C220" s="5" t="str">
        <f>_xlfn.XLOOKUP($N220,'Base de Grupos'!$A:$A,'Base de Grupos'!$E:$E)</f>
        <v>CANAL VENDA INTERNA</v>
      </c>
      <c r="D220" s="5" t="str">
        <f>_xlfn.XLOOKUP($N220,'Base de Grupos'!$A:$A,'Base de Grupos'!$F:$F)</f>
        <v>1000065763</v>
      </c>
      <c r="E220" s="2" t="str">
        <f>_xlfn.XLOOKUP($N220,'Base de Grupos'!$A:$A,'Base de Grupos'!$G:$G)</f>
        <v>CANAL VENDA INTERNA</v>
      </c>
      <c r="F220" s="2" t="str">
        <f>_xlfn.XLOOKUP($N220,'Base de Grupos'!$A:$A,'Base de Grupos'!$H:$H)</f>
        <v>1000153245</v>
      </c>
      <c r="G220" s="5" t="str">
        <f>_xlfn.XLOOKUP($N220,'Base de Grupos'!$A:$A,'Base de Grupos'!$I:$I)</f>
        <v>REGIONAL VENDA INTERNA - KEY ACCOUNT</v>
      </c>
      <c r="H220" s="5" t="str">
        <f>_xlfn.XLOOKUP($N220,'Base de Grupos'!$A:$A,'Base de Grupos'!$J:$J)</f>
        <v>1000153245</v>
      </c>
      <c r="I220" s="2" t="str">
        <f>_xlfn.XLOOKUP($N220,'Base de Grupos'!$A:$A,'Base de Grupos'!$K:$K)</f>
        <v>REGIONAL VENDA INTERNA - KEY ACCOUNT</v>
      </c>
      <c r="J220" s="2" t="str">
        <f>_xlfn.XLOOKUP($N220,'Base de Grupos'!$A:$A,'Base de Grupos'!$L:$L)</f>
        <v>1000153245</v>
      </c>
      <c r="K220" s="5" t="str">
        <f>_xlfn.XLOOKUP($N220,'Base de Grupos'!$A:$A,'Base de Grupos'!$M:$M)</f>
        <v>REGIONAL VENDA INTERNA - KEY ACCOUNT</v>
      </c>
      <c r="L220" s="5" t="str">
        <f t="shared" si="93"/>
        <v/>
      </c>
      <c r="M220" s="5" t="str">
        <f>_xlfn.XLOOKUP($N220,'Base de Grupos'!$A:$A,'Base de Grupos'!$C:$C)</f>
        <v>PA</v>
      </c>
      <c r="N220" s="3">
        <v>1349</v>
      </c>
      <c r="O220" s="4" t="s">
        <v>236</v>
      </c>
      <c r="P220" s="5" t="s">
        <v>81</v>
      </c>
      <c r="Q220" s="24">
        <v>0</v>
      </c>
      <c r="R220" s="24">
        <v>0</v>
      </c>
      <c r="S220" s="24">
        <v>0</v>
      </c>
      <c r="T220" s="24">
        <v>0</v>
      </c>
      <c r="U220" s="24">
        <v>0</v>
      </c>
      <c r="V220" s="24">
        <v>0</v>
      </c>
      <c r="W220" s="24">
        <v>0</v>
      </c>
      <c r="X220" s="24">
        <v>0</v>
      </c>
      <c r="Y220" s="24">
        <v>0</v>
      </c>
      <c r="Z220" s="24">
        <v>0</v>
      </c>
      <c r="AA220" s="24">
        <v>0</v>
      </c>
      <c r="AB220" s="24">
        <v>0</v>
      </c>
      <c r="AC220" s="30">
        <f t="shared" si="100"/>
        <v>0</v>
      </c>
      <c r="AD220" s="27">
        <f t="shared" ref="AD220:AD236" si="105">IF(AC220=0,0,AC220-AG220)</f>
        <v>0</v>
      </c>
      <c r="AE220" s="25">
        <f>IFERROR(_xlfn.XLOOKUP(N220&amp;P220,'Historico Vendas'!G:G,'Historico Vendas'!E:E),0)</f>
        <v>0</v>
      </c>
      <c r="AF220" s="29" t="str">
        <f t="shared" si="94"/>
        <v/>
      </c>
      <c r="AG220" s="24">
        <f>IFERROR(_xlfn.XLOOKUP(N220&amp;P220,'Historico Vendas'!G:G,'Historico Vendas'!F:F),0)</f>
        <v>0</v>
      </c>
      <c r="AH220" s="25">
        <f t="shared" ref="AH220:AH236" si="106">SUM(Q220:S220)</f>
        <v>0</v>
      </c>
      <c r="AI220" s="24">
        <f t="shared" ref="AI220:AI236" si="107">AH220-AG220</f>
        <v>0</v>
      </c>
      <c r="AJ220" s="11" t="str">
        <f t="shared" si="95"/>
        <v/>
      </c>
      <c r="AK220" s="9" t="s">
        <v>102</v>
      </c>
      <c r="AL220" s="13">
        <f>IFERROR(INDEX('Balizador da Meta'!$D$3:$F$23,MATCH(Quantidade!$P220,'Balizador da Meta'!$C$3:$C$23,0),MATCH(Quantidade!AK220,'Balizador da Meta'!$D$2:$F$2,0)),"")</f>
        <v>0.2</v>
      </c>
      <c r="AM220" s="9"/>
    </row>
    <row r="221" spans="1:39" x14ac:dyDescent="0.3">
      <c r="A221" s="2" t="str">
        <f t="shared" si="92"/>
        <v>NÃO</v>
      </c>
      <c r="B221" s="2" t="str">
        <f>_xlfn.XLOOKUP($N221,'Base de Grupos'!$A:$A,'Base de Grupos'!$D:$D)</f>
        <v>1000065763</v>
      </c>
      <c r="C221" s="5" t="str">
        <f>_xlfn.XLOOKUP($N221,'Base de Grupos'!$A:$A,'Base de Grupos'!$E:$E)</f>
        <v>CANAL VENDA INTERNA</v>
      </c>
      <c r="D221" s="5" t="str">
        <f>_xlfn.XLOOKUP($N221,'Base de Grupos'!$A:$A,'Base de Grupos'!$F:$F)</f>
        <v>1000065763</v>
      </c>
      <c r="E221" s="2" t="str">
        <f>_xlfn.XLOOKUP($N221,'Base de Grupos'!$A:$A,'Base de Grupos'!$G:$G)</f>
        <v>CANAL VENDA INTERNA</v>
      </c>
      <c r="F221" s="2" t="str">
        <f>_xlfn.XLOOKUP($N221,'Base de Grupos'!$A:$A,'Base de Grupos'!$H:$H)</f>
        <v>1000153245</v>
      </c>
      <c r="G221" s="5" t="str">
        <f>_xlfn.XLOOKUP($N221,'Base de Grupos'!$A:$A,'Base de Grupos'!$I:$I)</f>
        <v>REGIONAL VENDA INTERNA - KEY ACCOUNT</v>
      </c>
      <c r="H221" s="5" t="str">
        <f>_xlfn.XLOOKUP($N221,'Base de Grupos'!$A:$A,'Base de Grupos'!$J:$J)</f>
        <v>1000153245</v>
      </c>
      <c r="I221" s="2" t="str">
        <f>_xlfn.XLOOKUP($N221,'Base de Grupos'!$A:$A,'Base de Grupos'!$K:$K)</f>
        <v>REGIONAL VENDA INTERNA - KEY ACCOUNT</v>
      </c>
      <c r="J221" s="2" t="str">
        <f>_xlfn.XLOOKUP($N221,'Base de Grupos'!$A:$A,'Base de Grupos'!$L:$L)</f>
        <v>1000153245</v>
      </c>
      <c r="K221" s="5" t="str">
        <f>_xlfn.XLOOKUP($N221,'Base de Grupos'!$A:$A,'Base de Grupos'!$M:$M)</f>
        <v>REGIONAL VENDA INTERNA - KEY ACCOUNT</v>
      </c>
      <c r="L221" s="5" t="str">
        <f t="shared" si="93"/>
        <v/>
      </c>
      <c r="M221" s="5" t="str">
        <f>_xlfn.XLOOKUP($N221,'Base de Grupos'!$A:$A,'Base de Grupos'!$C:$C)</f>
        <v>PA</v>
      </c>
      <c r="N221" s="3">
        <v>1349</v>
      </c>
      <c r="O221" s="4" t="s">
        <v>236</v>
      </c>
      <c r="P221" s="5" t="s">
        <v>82</v>
      </c>
      <c r="Q221" s="24">
        <v>0</v>
      </c>
      <c r="R221" s="24">
        <v>0</v>
      </c>
      <c r="S221" s="24">
        <v>0</v>
      </c>
      <c r="T221" s="24">
        <v>0</v>
      </c>
      <c r="U221" s="24">
        <v>0</v>
      </c>
      <c r="V221" s="24">
        <v>0</v>
      </c>
      <c r="W221" s="24">
        <v>0</v>
      </c>
      <c r="X221" s="24">
        <v>0</v>
      </c>
      <c r="Y221" s="24">
        <v>0</v>
      </c>
      <c r="Z221" s="24">
        <v>0</v>
      </c>
      <c r="AA221" s="24">
        <v>0</v>
      </c>
      <c r="AB221" s="24">
        <v>0</v>
      </c>
      <c r="AC221" s="30">
        <f t="shared" si="100"/>
        <v>0</v>
      </c>
      <c r="AD221" s="27">
        <f t="shared" si="105"/>
        <v>0</v>
      </c>
      <c r="AE221" s="25">
        <f>IFERROR(_xlfn.XLOOKUP(N221&amp;P221,'Historico Vendas'!G:G,'Historico Vendas'!E:E),0)</f>
        <v>0</v>
      </c>
      <c r="AF221" s="29" t="str">
        <f t="shared" si="94"/>
        <v/>
      </c>
      <c r="AG221" s="24">
        <f>IFERROR(_xlfn.XLOOKUP(N221&amp;P221,'Historico Vendas'!G:G,'Historico Vendas'!F:F),0)</f>
        <v>0</v>
      </c>
      <c r="AH221" s="25">
        <f t="shared" si="106"/>
        <v>0</v>
      </c>
      <c r="AI221" s="24">
        <f t="shared" si="107"/>
        <v>0</v>
      </c>
      <c r="AJ221" s="11" t="str">
        <f t="shared" si="95"/>
        <v/>
      </c>
      <c r="AK221" s="9" t="s">
        <v>102</v>
      </c>
      <c r="AL221" s="13">
        <f>IFERROR(INDEX('Balizador da Meta'!$D$3:$F$23,MATCH(Quantidade!$P221,'Balizador da Meta'!$C$3:$C$23,0),MATCH(Quantidade!AK221,'Balizador da Meta'!$D$2:$F$2,0)),"")</f>
        <v>0.2</v>
      </c>
      <c r="AM221" s="9"/>
    </row>
    <row r="222" spans="1:39" x14ac:dyDescent="0.3">
      <c r="A222" s="2" t="str">
        <f t="shared" si="92"/>
        <v>NÃO</v>
      </c>
      <c r="B222" s="2" t="str">
        <f>_xlfn.XLOOKUP($N222,'Base de Grupos'!$A:$A,'Base de Grupos'!$D:$D)</f>
        <v>1000065763</v>
      </c>
      <c r="C222" s="5" t="str">
        <f>_xlfn.XLOOKUP($N222,'Base de Grupos'!$A:$A,'Base de Grupos'!$E:$E)</f>
        <v>CANAL VENDA INTERNA</v>
      </c>
      <c r="D222" s="5" t="str">
        <f>_xlfn.XLOOKUP($N222,'Base de Grupos'!$A:$A,'Base de Grupos'!$F:$F)</f>
        <v>1000065763</v>
      </c>
      <c r="E222" s="2" t="str">
        <f>_xlfn.XLOOKUP($N222,'Base de Grupos'!$A:$A,'Base de Grupos'!$G:$G)</f>
        <v>CANAL VENDA INTERNA</v>
      </c>
      <c r="F222" s="2" t="str">
        <f>_xlfn.XLOOKUP($N222,'Base de Grupos'!$A:$A,'Base de Grupos'!$H:$H)</f>
        <v>1000153245</v>
      </c>
      <c r="G222" s="5" t="str">
        <f>_xlfn.XLOOKUP($N222,'Base de Grupos'!$A:$A,'Base de Grupos'!$I:$I)</f>
        <v>REGIONAL VENDA INTERNA - KEY ACCOUNT</v>
      </c>
      <c r="H222" s="5" t="str">
        <f>_xlfn.XLOOKUP($N222,'Base de Grupos'!$A:$A,'Base de Grupos'!$J:$J)</f>
        <v>1000153245</v>
      </c>
      <c r="I222" s="2" t="str">
        <f>_xlfn.XLOOKUP($N222,'Base de Grupos'!$A:$A,'Base de Grupos'!$K:$K)</f>
        <v>REGIONAL VENDA INTERNA - KEY ACCOUNT</v>
      </c>
      <c r="J222" s="2" t="str">
        <f>_xlfn.XLOOKUP($N222,'Base de Grupos'!$A:$A,'Base de Grupos'!$L:$L)</f>
        <v>1000153245</v>
      </c>
      <c r="K222" s="5" t="str">
        <f>_xlfn.XLOOKUP($N222,'Base de Grupos'!$A:$A,'Base de Grupos'!$M:$M)</f>
        <v>REGIONAL VENDA INTERNA - KEY ACCOUNT</v>
      </c>
      <c r="L222" s="5" t="str">
        <f t="shared" si="93"/>
        <v/>
      </c>
      <c r="M222" s="5" t="str">
        <f>_xlfn.XLOOKUP($N222,'Base de Grupos'!$A:$A,'Base de Grupos'!$C:$C)</f>
        <v>PA</v>
      </c>
      <c r="N222" s="3">
        <v>1349</v>
      </c>
      <c r="O222" s="4" t="s">
        <v>236</v>
      </c>
      <c r="P222" s="5" t="s">
        <v>84</v>
      </c>
      <c r="Q222" s="24">
        <v>0</v>
      </c>
      <c r="R222" s="24">
        <v>0</v>
      </c>
      <c r="S222" s="24">
        <v>0</v>
      </c>
      <c r="T222" s="24">
        <v>0</v>
      </c>
      <c r="U222" s="24">
        <v>0</v>
      </c>
      <c r="V222" s="24">
        <v>0</v>
      </c>
      <c r="W222" s="24">
        <v>0</v>
      </c>
      <c r="X222" s="24">
        <v>0</v>
      </c>
      <c r="Y222" s="24">
        <v>0</v>
      </c>
      <c r="Z222" s="24">
        <v>0</v>
      </c>
      <c r="AA222" s="24">
        <v>0</v>
      </c>
      <c r="AB222" s="24">
        <v>0</v>
      </c>
      <c r="AC222" s="30">
        <f t="shared" si="100"/>
        <v>0</v>
      </c>
      <c r="AD222" s="27">
        <f t="shared" si="105"/>
        <v>0</v>
      </c>
      <c r="AE222" s="25">
        <f>IFERROR(_xlfn.XLOOKUP(N222&amp;P222,'Historico Vendas'!G:G,'Historico Vendas'!E:E),0)</f>
        <v>0</v>
      </c>
      <c r="AF222" s="29" t="str">
        <f t="shared" si="94"/>
        <v/>
      </c>
      <c r="AG222" s="24">
        <f>IFERROR(_xlfn.XLOOKUP(N222&amp;P222,'Historico Vendas'!G:G,'Historico Vendas'!F:F),0)</f>
        <v>0</v>
      </c>
      <c r="AH222" s="25">
        <f t="shared" si="106"/>
        <v>0</v>
      </c>
      <c r="AI222" s="24">
        <f t="shared" si="107"/>
        <v>0</v>
      </c>
      <c r="AJ222" s="11" t="str">
        <f t="shared" si="95"/>
        <v/>
      </c>
      <c r="AK222" s="9" t="s">
        <v>102</v>
      </c>
      <c r="AL222" s="13">
        <f>IFERROR(INDEX('Balizador da Meta'!$D$3:$F$23,MATCH(Quantidade!$P222,'Balizador da Meta'!$C$3:$C$23,0),MATCH(Quantidade!AK222,'Balizador da Meta'!$D$2:$F$2,0)),"")</f>
        <v>0.15</v>
      </c>
      <c r="AM222" s="9"/>
    </row>
    <row r="223" spans="1:39" x14ac:dyDescent="0.3">
      <c r="A223" s="2" t="str">
        <f t="shared" si="92"/>
        <v>NÃO</v>
      </c>
      <c r="B223" s="2" t="str">
        <f>_xlfn.XLOOKUP($N223,'Base de Grupos'!$A:$A,'Base de Grupos'!$D:$D)</f>
        <v>1000065763</v>
      </c>
      <c r="C223" s="5" t="str">
        <f>_xlfn.XLOOKUP($N223,'Base de Grupos'!$A:$A,'Base de Grupos'!$E:$E)</f>
        <v>CANAL VENDA INTERNA</v>
      </c>
      <c r="D223" s="5" t="str">
        <f>_xlfn.XLOOKUP($N223,'Base de Grupos'!$A:$A,'Base de Grupos'!$F:$F)</f>
        <v>1000065763</v>
      </c>
      <c r="E223" s="2" t="str">
        <f>_xlfn.XLOOKUP($N223,'Base de Grupos'!$A:$A,'Base de Grupos'!$G:$G)</f>
        <v>CANAL VENDA INTERNA</v>
      </c>
      <c r="F223" s="2" t="str">
        <f>_xlfn.XLOOKUP($N223,'Base de Grupos'!$A:$A,'Base de Grupos'!$H:$H)</f>
        <v>1000153245</v>
      </c>
      <c r="G223" s="5" t="str">
        <f>_xlfn.XLOOKUP($N223,'Base de Grupos'!$A:$A,'Base de Grupos'!$I:$I)</f>
        <v>REGIONAL VENDA INTERNA - KEY ACCOUNT</v>
      </c>
      <c r="H223" s="5" t="str">
        <f>_xlfn.XLOOKUP($N223,'Base de Grupos'!$A:$A,'Base de Grupos'!$J:$J)</f>
        <v>1000153245</v>
      </c>
      <c r="I223" s="2" t="str">
        <f>_xlfn.XLOOKUP($N223,'Base de Grupos'!$A:$A,'Base de Grupos'!$K:$K)</f>
        <v>REGIONAL VENDA INTERNA - KEY ACCOUNT</v>
      </c>
      <c r="J223" s="2" t="str">
        <f>_xlfn.XLOOKUP($N223,'Base de Grupos'!$A:$A,'Base de Grupos'!$L:$L)</f>
        <v>1000153245</v>
      </c>
      <c r="K223" s="5" t="str">
        <f>_xlfn.XLOOKUP($N223,'Base de Grupos'!$A:$A,'Base de Grupos'!$M:$M)</f>
        <v>REGIONAL VENDA INTERNA - KEY ACCOUNT</v>
      </c>
      <c r="L223" s="5" t="str">
        <f t="shared" si="93"/>
        <v/>
      </c>
      <c r="M223" s="5" t="str">
        <f>_xlfn.XLOOKUP($N223,'Base de Grupos'!$A:$A,'Base de Grupos'!$C:$C)</f>
        <v>PA</v>
      </c>
      <c r="N223" s="3">
        <v>1349</v>
      </c>
      <c r="O223" s="4" t="s">
        <v>236</v>
      </c>
      <c r="P223" s="5" t="s">
        <v>83</v>
      </c>
      <c r="Q223" s="24">
        <f>SUM(Q224:Q244)</f>
        <v>0</v>
      </c>
      <c r="R223" s="24">
        <f t="shared" ref="R223" si="108">SUM(R224:R244)</f>
        <v>0</v>
      </c>
      <c r="S223" s="24">
        <f t="shared" ref="S223" si="109">SUM(S224:S244)</f>
        <v>0</v>
      </c>
      <c r="T223" s="24">
        <f t="shared" ref="T223:AC223" si="110">SUM(T224:T244)</f>
        <v>0</v>
      </c>
      <c r="U223" s="24">
        <f t="shared" si="110"/>
        <v>0</v>
      </c>
      <c r="V223" s="24">
        <f t="shared" si="110"/>
        <v>0</v>
      </c>
      <c r="W223" s="24">
        <f t="shared" si="110"/>
        <v>0</v>
      </c>
      <c r="X223" s="24">
        <f t="shared" si="110"/>
        <v>0</v>
      </c>
      <c r="Y223" s="24">
        <f t="shared" si="110"/>
        <v>0</v>
      </c>
      <c r="Z223" s="24">
        <f t="shared" si="110"/>
        <v>0</v>
      </c>
      <c r="AA223" s="24">
        <f t="shared" si="110"/>
        <v>0</v>
      </c>
      <c r="AB223" s="24">
        <f t="shared" si="110"/>
        <v>0</v>
      </c>
      <c r="AC223" s="24">
        <f t="shared" si="110"/>
        <v>0</v>
      </c>
      <c r="AD223" s="27">
        <f t="shared" si="105"/>
        <v>0</v>
      </c>
      <c r="AE223" s="25">
        <f>IFERROR(_xlfn.XLOOKUP(N223&amp;P223,'Historico Vendas'!G:G,'Historico Vendas'!E:E),0)</f>
        <v>0</v>
      </c>
      <c r="AF223" s="29" t="str">
        <f t="shared" si="94"/>
        <v/>
      </c>
      <c r="AG223" s="24">
        <f>IFERROR(_xlfn.XLOOKUP(N223&amp;P223,'Historico Vendas'!G:G,'Historico Vendas'!F:F),0)</f>
        <v>0</v>
      </c>
      <c r="AH223" s="25">
        <f t="shared" si="106"/>
        <v>0</v>
      </c>
      <c r="AI223" s="24">
        <f t="shared" si="107"/>
        <v>0</v>
      </c>
      <c r="AJ223" s="11" t="str">
        <f t="shared" si="95"/>
        <v/>
      </c>
      <c r="AK223" s="9" t="s">
        <v>102</v>
      </c>
      <c r="AL223" s="13">
        <f>IFERROR(INDEX('Balizador da Meta'!$D$3:$F$23,MATCH(Quantidade!$P223,'Balizador da Meta'!$C$3:$C$23,0),MATCH(Quantidade!AK223,'Balizador da Meta'!$D$2:$F$2,0)),"")</f>
        <v>0</v>
      </c>
      <c r="AM223" s="9"/>
    </row>
    <row r="224" spans="1:39" x14ac:dyDescent="0.3">
      <c r="A224" s="2" t="str">
        <f t="shared" si="92"/>
        <v>NÃO</v>
      </c>
      <c r="B224" s="2" t="str">
        <f>_xlfn.XLOOKUP($N224,'Base de Grupos'!$A:$A,'Base de Grupos'!$D:$D)</f>
        <v>1000065763</v>
      </c>
      <c r="C224" s="5" t="str">
        <f>_xlfn.XLOOKUP($N224,'Base de Grupos'!$A:$A,'Base de Grupos'!$E:$E)</f>
        <v>CANAL VENDA INTERNA</v>
      </c>
      <c r="D224" s="5" t="str">
        <f>_xlfn.XLOOKUP($N224,'Base de Grupos'!$A:$A,'Base de Grupos'!$F:$F)</f>
        <v>1000065763</v>
      </c>
      <c r="E224" s="2" t="str">
        <f>_xlfn.XLOOKUP($N224,'Base de Grupos'!$A:$A,'Base de Grupos'!$G:$G)</f>
        <v>CANAL VENDA INTERNA</v>
      </c>
      <c r="F224" s="2" t="str">
        <f>_xlfn.XLOOKUP($N224,'Base de Grupos'!$A:$A,'Base de Grupos'!$H:$H)</f>
        <v>1000153245</v>
      </c>
      <c r="G224" s="5" t="str">
        <f>_xlfn.XLOOKUP($N224,'Base de Grupos'!$A:$A,'Base de Grupos'!$I:$I)</f>
        <v>REGIONAL VENDA INTERNA - KEY ACCOUNT</v>
      </c>
      <c r="H224" s="5" t="str">
        <f>_xlfn.XLOOKUP($N224,'Base de Grupos'!$A:$A,'Base de Grupos'!$J:$J)</f>
        <v>1000153245</v>
      </c>
      <c r="I224" s="2" t="str">
        <f>_xlfn.XLOOKUP($N224,'Base de Grupos'!$A:$A,'Base de Grupos'!$K:$K)</f>
        <v>REGIONAL VENDA INTERNA - KEY ACCOUNT</v>
      </c>
      <c r="J224" s="2" t="str">
        <f>_xlfn.XLOOKUP($N224,'Base de Grupos'!$A:$A,'Base de Grupos'!$L:$L)</f>
        <v>1000153245</v>
      </c>
      <c r="K224" s="5" t="str">
        <f>_xlfn.XLOOKUP($N224,'Base de Grupos'!$A:$A,'Base de Grupos'!$M:$M)</f>
        <v>REGIONAL VENDA INTERNA - KEY ACCOUNT</v>
      </c>
      <c r="L224" s="5" t="str">
        <f t="shared" si="93"/>
        <v/>
      </c>
      <c r="M224" s="5" t="str">
        <f>_xlfn.XLOOKUP($N224,'Base de Grupos'!$A:$A,'Base de Grupos'!$C:$C)</f>
        <v>PA</v>
      </c>
      <c r="N224" s="3">
        <v>1349</v>
      </c>
      <c r="O224" s="4" t="s">
        <v>236</v>
      </c>
      <c r="P224" s="5" t="s">
        <v>87</v>
      </c>
      <c r="Q224" s="24">
        <v>0</v>
      </c>
      <c r="R224" s="24">
        <v>0</v>
      </c>
      <c r="S224" s="24">
        <v>0</v>
      </c>
      <c r="T224" s="24">
        <v>0</v>
      </c>
      <c r="U224" s="24">
        <v>0</v>
      </c>
      <c r="V224" s="24">
        <v>0</v>
      </c>
      <c r="W224" s="24">
        <v>0</v>
      </c>
      <c r="X224" s="24">
        <v>0</v>
      </c>
      <c r="Y224" s="24">
        <v>0</v>
      </c>
      <c r="Z224" s="24">
        <v>0</v>
      </c>
      <c r="AA224" s="24">
        <v>0</v>
      </c>
      <c r="AB224" s="24">
        <v>0</v>
      </c>
      <c r="AC224" s="30">
        <f t="shared" ref="AC224:AC244" si="111">SUM(T224:AB224)</f>
        <v>0</v>
      </c>
      <c r="AD224" s="27">
        <f t="shared" si="105"/>
        <v>0</v>
      </c>
      <c r="AE224" s="25">
        <f>IFERROR(_xlfn.XLOOKUP(N224&amp;P224,'Historico Vendas'!G:G,'Historico Vendas'!E:E),0)</f>
        <v>0</v>
      </c>
      <c r="AF224" s="29" t="str">
        <f t="shared" si="94"/>
        <v/>
      </c>
      <c r="AG224" s="24">
        <f>IFERROR(_xlfn.XLOOKUP(N224&amp;P224,'Historico Vendas'!G:G,'Historico Vendas'!F:F),0)</f>
        <v>0</v>
      </c>
      <c r="AH224" s="25">
        <f t="shared" si="106"/>
        <v>0</v>
      </c>
      <c r="AI224" s="24">
        <f t="shared" si="107"/>
        <v>0</v>
      </c>
      <c r="AJ224" s="11" t="str">
        <f t="shared" si="95"/>
        <v/>
      </c>
      <c r="AK224" s="9" t="s">
        <v>102</v>
      </c>
      <c r="AL224" s="13">
        <f>IFERROR(INDEX('Balizador da Meta'!$D$3:$F$23,MATCH(Quantidade!$P224,'Balizador da Meta'!$C$3:$C$23,0),MATCH(Quantidade!AK224,'Balizador da Meta'!$D$2:$F$2,0)),"")</f>
        <v>0</v>
      </c>
      <c r="AM224" s="9"/>
    </row>
    <row r="225" spans="1:39" x14ac:dyDescent="0.3">
      <c r="A225" s="2" t="str">
        <f t="shared" si="92"/>
        <v>NÃO</v>
      </c>
      <c r="B225" s="2" t="str">
        <f>_xlfn.XLOOKUP($N225,'Base de Grupos'!$A:$A,'Base de Grupos'!$D:$D)</f>
        <v>1000065763</v>
      </c>
      <c r="C225" s="5" t="str">
        <f>_xlfn.XLOOKUP($N225,'Base de Grupos'!$A:$A,'Base de Grupos'!$E:$E)</f>
        <v>CANAL VENDA INTERNA</v>
      </c>
      <c r="D225" s="5" t="str">
        <f>_xlfn.XLOOKUP($N225,'Base de Grupos'!$A:$A,'Base de Grupos'!$F:$F)</f>
        <v>1000065763</v>
      </c>
      <c r="E225" s="2" t="str">
        <f>_xlfn.XLOOKUP($N225,'Base de Grupos'!$A:$A,'Base de Grupos'!$G:$G)</f>
        <v>CANAL VENDA INTERNA</v>
      </c>
      <c r="F225" s="2" t="str">
        <f>_xlfn.XLOOKUP($N225,'Base de Grupos'!$A:$A,'Base de Grupos'!$H:$H)</f>
        <v>1000153245</v>
      </c>
      <c r="G225" s="5" t="str">
        <f>_xlfn.XLOOKUP($N225,'Base de Grupos'!$A:$A,'Base de Grupos'!$I:$I)</f>
        <v>REGIONAL VENDA INTERNA - KEY ACCOUNT</v>
      </c>
      <c r="H225" s="5" t="str">
        <f>_xlfn.XLOOKUP($N225,'Base de Grupos'!$A:$A,'Base de Grupos'!$J:$J)</f>
        <v>1000153245</v>
      </c>
      <c r="I225" s="2" t="str">
        <f>_xlfn.XLOOKUP($N225,'Base de Grupos'!$A:$A,'Base de Grupos'!$K:$K)</f>
        <v>REGIONAL VENDA INTERNA - KEY ACCOUNT</v>
      </c>
      <c r="J225" s="2" t="str">
        <f>_xlfn.XLOOKUP($N225,'Base de Grupos'!$A:$A,'Base de Grupos'!$L:$L)</f>
        <v>1000153245</v>
      </c>
      <c r="K225" s="5" t="str">
        <f>_xlfn.XLOOKUP($N225,'Base de Grupos'!$A:$A,'Base de Grupos'!$M:$M)</f>
        <v>REGIONAL VENDA INTERNA - KEY ACCOUNT</v>
      </c>
      <c r="L225" s="5" t="str">
        <f t="shared" si="93"/>
        <v/>
      </c>
      <c r="M225" s="5" t="str">
        <f>_xlfn.XLOOKUP($N225,'Base de Grupos'!$A:$A,'Base de Grupos'!$C:$C)</f>
        <v>PA</v>
      </c>
      <c r="N225" s="3">
        <v>1349</v>
      </c>
      <c r="O225" s="4" t="s">
        <v>236</v>
      </c>
      <c r="P225" s="5" t="s">
        <v>85</v>
      </c>
      <c r="Q225" s="24">
        <v>0</v>
      </c>
      <c r="R225" s="24">
        <v>0</v>
      </c>
      <c r="S225" s="24">
        <v>0</v>
      </c>
      <c r="T225" s="24">
        <v>0</v>
      </c>
      <c r="U225" s="24">
        <v>0</v>
      </c>
      <c r="V225" s="24">
        <v>0</v>
      </c>
      <c r="W225" s="24">
        <v>0</v>
      </c>
      <c r="X225" s="24">
        <v>0</v>
      </c>
      <c r="Y225" s="24">
        <v>0</v>
      </c>
      <c r="Z225" s="24">
        <v>0</v>
      </c>
      <c r="AA225" s="24">
        <v>0</v>
      </c>
      <c r="AB225" s="24">
        <v>0</v>
      </c>
      <c r="AC225" s="30">
        <f t="shared" si="111"/>
        <v>0</v>
      </c>
      <c r="AD225" s="27">
        <f t="shared" si="105"/>
        <v>0</v>
      </c>
      <c r="AE225" s="25">
        <f>IFERROR(_xlfn.XLOOKUP(N225&amp;P225,'Historico Vendas'!G:G,'Historico Vendas'!E:E),0)</f>
        <v>0</v>
      </c>
      <c r="AF225" s="29" t="str">
        <f t="shared" si="94"/>
        <v/>
      </c>
      <c r="AG225" s="24">
        <f>IFERROR(_xlfn.XLOOKUP(N225&amp;P225,'Historico Vendas'!G:G,'Historico Vendas'!F:F),0)</f>
        <v>0</v>
      </c>
      <c r="AH225" s="25">
        <f t="shared" si="106"/>
        <v>0</v>
      </c>
      <c r="AI225" s="24">
        <f t="shared" si="107"/>
        <v>0</v>
      </c>
      <c r="AJ225" s="11" t="str">
        <f t="shared" si="95"/>
        <v/>
      </c>
      <c r="AK225" s="9" t="s">
        <v>102</v>
      </c>
      <c r="AL225" s="13">
        <f>IFERROR(INDEX('Balizador da Meta'!$D$3:$F$23,MATCH(Quantidade!$P225,'Balizador da Meta'!$C$3:$C$23,0),MATCH(Quantidade!AK225,'Balizador da Meta'!$D$2:$F$2,0)),"")</f>
        <v>0</v>
      </c>
      <c r="AM225" s="9"/>
    </row>
    <row r="226" spans="1:39" x14ac:dyDescent="0.3">
      <c r="A226" s="2" t="str">
        <f t="shared" si="92"/>
        <v>NÃO</v>
      </c>
      <c r="B226" s="2" t="str">
        <f>_xlfn.XLOOKUP($N226,'Base de Grupos'!$A:$A,'Base de Grupos'!$D:$D)</f>
        <v>1000065763</v>
      </c>
      <c r="C226" s="5" t="str">
        <f>_xlfn.XLOOKUP($N226,'Base de Grupos'!$A:$A,'Base de Grupos'!$E:$E)</f>
        <v>CANAL VENDA INTERNA</v>
      </c>
      <c r="D226" s="5" t="str">
        <f>_xlfn.XLOOKUP($N226,'Base de Grupos'!$A:$A,'Base de Grupos'!$F:$F)</f>
        <v>1000065763</v>
      </c>
      <c r="E226" s="2" t="str">
        <f>_xlfn.XLOOKUP($N226,'Base de Grupos'!$A:$A,'Base de Grupos'!$G:$G)</f>
        <v>CANAL VENDA INTERNA</v>
      </c>
      <c r="F226" s="2" t="str">
        <f>_xlfn.XLOOKUP($N226,'Base de Grupos'!$A:$A,'Base de Grupos'!$H:$H)</f>
        <v>1000153245</v>
      </c>
      <c r="G226" s="5" t="str">
        <f>_xlfn.XLOOKUP($N226,'Base de Grupos'!$A:$A,'Base de Grupos'!$I:$I)</f>
        <v>REGIONAL VENDA INTERNA - KEY ACCOUNT</v>
      </c>
      <c r="H226" s="5" t="str">
        <f>_xlfn.XLOOKUP($N226,'Base de Grupos'!$A:$A,'Base de Grupos'!$J:$J)</f>
        <v>1000153245</v>
      </c>
      <c r="I226" s="2" t="str">
        <f>_xlfn.XLOOKUP($N226,'Base de Grupos'!$A:$A,'Base de Grupos'!$K:$K)</f>
        <v>REGIONAL VENDA INTERNA - KEY ACCOUNT</v>
      </c>
      <c r="J226" s="2" t="str">
        <f>_xlfn.XLOOKUP($N226,'Base de Grupos'!$A:$A,'Base de Grupos'!$L:$L)</f>
        <v>1000153245</v>
      </c>
      <c r="K226" s="5" t="str">
        <f>_xlfn.XLOOKUP($N226,'Base de Grupos'!$A:$A,'Base de Grupos'!$M:$M)</f>
        <v>REGIONAL VENDA INTERNA - KEY ACCOUNT</v>
      </c>
      <c r="L226" s="5" t="str">
        <f t="shared" si="93"/>
        <v/>
      </c>
      <c r="M226" s="5" t="str">
        <f>_xlfn.XLOOKUP($N226,'Base de Grupos'!$A:$A,'Base de Grupos'!$C:$C)</f>
        <v>PA</v>
      </c>
      <c r="N226" s="3">
        <v>1349</v>
      </c>
      <c r="O226" s="4" t="s">
        <v>236</v>
      </c>
      <c r="P226" s="5" t="s">
        <v>92</v>
      </c>
      <c r="Q226" s="24">
        <v>0</v>
      </c>
      <c r="R226" s="24">
        <v>0</v>
      </c>
      <c r="S226" s="24">
        <v>0</v>
      </c>
      <c r="T226" s="24">
        <v>0</v>
      </c>
      <c r="U226" s="24">
        <v>0</v>
      </c>
      <c r="V226" s="24">
        <v>0</v>
      </c>
      <c r="W226" s="24">
        <v>0</v>
      </c>
      <c r="X226" s="24">
        <v>0</v>
      </c>
      <c r="Y226" s="24">
        <v>0</v>
      </c>
      <c r="Z226" s="24">
        <v>0</v>
      </c>
      <c r="AA226" s="24">
        <v>0</v>
      </c>
      <c r="AB226" s="24">
        <v>0</v>
      </c>
      <c r="AC226" s="30">
        <f t="shared" si="111"/>
        <v>0</v>
      </c>
      <c r="AD226" s="27">
        <f t="shared" si="105"/>
        <v>0</v>
      </c>
      <c r="AE226" s="25">
        <f>IFERROR(_xlfn.XLOOKUP(N226&amp;P226,'Historico Vendas'!G:G,'Historico Vendas'!E:E),0)</f>
        <v>0</v>
      </c>
      <c r="AF226" s="29" t="str">
        <f t="shared" si="94"/>
        <v/>
      </c>
      <c r="AG226" s="24">
        <f>IFERROR(_xlfn.XLOOKUP(N226&amp;P226,'Historico Vendas'!G:G,'Historico Vendas'!F:F),0)</f>
        <v>0</v>
      </c>
      <c r="AH226" s="25">
        <f t="shared" si="106"/>
        <v>0</v>
      </c>
      <c r="AI226" s="24">
        <f t="shared" si="107"/>
        <v>0</v>
      </c>
      <c r="AJ226" s="11" t="str">
        <f t="shared" si="95"/>
        <v/>
      </c>
      <c r="AK226" s="9" t="s">
        <v>102</v>
      </c>
      <c r="AL226" s="13">
        <f>IFERROR(INDEX('Balizador da Meta'!$D$3:$F$23,MATCH(Quantidade!$P226,'Balizador da Meta'!$C$3:$C$23,0),MATCH(Quantidade!AK226,'Balizador da Meta'!$D$2:$F$2,0)),"")</f>
        <v>0</v>
      </c>
      <c r="AM226" s="9"/>
    </row>
    <row r="227" spans="1:39" x14ac:dyDescent="0.3">
      <c r="A227" s="2" t="str">
        <f t="shared" si="92"/>
        <v>NÃO</v>
      </c>
      <c r="B227" s="2" t="str">
        <f>_xlfn.XLOOKUP($N227,'Base de Grupos'!$A:$A,'Base de Grupos'!$D:$D)</f>
        <v>1000065763</v>
      </c>
      <c r="C227" s="5" t="str">
        <f>_xlfn.XLOOKUP($N227,'Base de Grupos'!$A:$A,'Base de Grupos'!$E:$E)</f>
        <v>CANAL VENDA INTERNA</v>
      </c>
      <c r="D227" s="5" t="str">
        <f>_xlfn.XLOOKUP($N227,'Base de Grupos'!$A:$A,'Base de Grupos'!$F:$F)</f>
        <v>1000065763</v>
      </c>
      <c r="E227" s="2" t="str">
        <f>_xlfn.XLOOKUP($N227,'Base de Grupos'!$A:$A,'Base de Grupos'!$G:$G)</f>
        <v>CANAL VENDA INTERNA</v>
      </c>
      <c r="F227" s="2" t="str">
        <f>_xlfn.XLOOKUP($N227,'Base de Grupos'!$A:$A,'Base de Grupos'!$H:$H)</f>
        <v>1000153245</v>
      </c>
      <c r="G227" s="5" t="str">
        <f>_xlfn.XLOOKUP($N227,'Base de Grupos'!$A:$A,'Base de Grupos'!$I:$I)</f>
        <v>REGIONAL VENDA INTERNA - KEY ACCOUNT</v>
      </c>
      <c r="H227" s="5" t="str">
        <f>_xlfn.XLOOKUP($N227,'Base de Grupos'!$A:$A,'Base de Grupos'!$J:$J)</f>
        <v>1000153245</v>
      </c>
      <c r="I227" s="2" t="str">
        <f>_xlfn.XLOOKUP($N227,'Base de Grupos'!$A:$A,'Base de Grupos'!$K:$K)</f>
        <v>REGIONAL VENDA INTERNA - KEY ACCOUNT</v>
      </c>
      <c r="J227" s="2" t="str">
        <f>_xlfn.XLOOKUP($N227,'Base de Grupos'!$A:$A,'Base de Grupos'!$L:$L)</f>
        <v>1000153245</v>
      </c>
      <c r="K227" s="5" t="str">
        <f>_xlfn.XLOOKUP($N227,'Base de Grupos'!$A:$A,'Base de Grupos'!$M:$M)</f>
        <v>REGIONAL VENDA INTERNA - KEY ACCOUNT</v>
      </c>
      <c r="L227" s="5" t="str">
        <f t="shared" si="93"/>
        <v/>
      </c>
      <c r="M227" s="5" t="str">
        <f>_xlfn.XLOOKUP($N227,'Base de Grupos'!$A:$A,'Base de Grupos'!$C:$C)</f>
        <v>PA</v>
      </c>
      <c r="N227" s="3">
        <v>1349</v>
      </c>
      <c r="O227" s="4" t="s">
        <v>236</v>
      </c>
      <c r="P227" s="5" t="s">
        <v>86</v>
      </c>
      <c r="Q227" s="24">
        <v>0</v>
      </c>
      <c r="R227" s="24">
        <v>0</v>
      </c>
      <c r="S227" s="24">
        <v>0</v>
      </c>
      <c r="T227" s="24">
        <v>0</v>
      </c>
      <c r="U227" s="24">
        <v>0</v>
      </c>
      <c r="V227" s="24">
        <v>0</v>
      </c>
      <c r="W227" s="24">
        <v>0</v>
      </c>
      <c r="X227" s="24">
        <v>0</v>
      </c>
      <c r="Y227" s="24">
        <v>0</v>
      </c>
      <c r="Z227" s="24">
        <v>0</v>
      </c>
      <c r="AA227" s="24">
        <v>0</v>
      </c>
      <c r="AB227" s="24">
        <v>0</v>
      </c>
      <c r="AC227" s="30">
        <f t="shared" si="111"/>
        <v>0</v>
      </c>
      <c r="AD227" s="27">
        <f t="shared" si="105"/>
        <v>0</v>
      </c>
      <c r="AE227" s="25">
        <f>IFERROR(_xlfn.XLOOKUP(N227&amp;P227,'Historico Vendas'!G:G,'Historico Vendas'!E:E),0)</f>
        <v>0</v>
      </c>
      <c r="AF227" s="29" t="str">
        <f t="shared" si="94"/>
        <v/>
      </c>
      <c r="AG227" s="24">
        <f>IFERROR(_xlfn.XLOOKUP(N227&amp;P227,'Historico Vendas'!G:G,'Historico Vendas'!F:F),0)</f>
        <v>0</v>
      </c>
      <c r="AH227" s="25">
        <f t="shared" si="106"/>
        <v>0</v>
      </c>
      <c r="AI227" s="24">
        <f t="shared" si="107"/>
        <v>0</v>
      </c>
      <c r="AJ227" s="11" t="str">
        <f t="shared" si="95"/>
        <v/>
      </c>
      <c r="AK227" s="9" t="s">
        <v>102</v>
      </c>
      <c r="AL227" s="13">
        <f>IFERROR(INDEX('Balizador da Meta'!$D$3:$F$23,MATCH(Quantidade!$P227,'Balizador da Meta'!$C$3:$C$23,0),MATCH(Quantidade!AK227,'Balizador da Meta'!$D$2:$F$2,0)),"")</f>
        <v>0.15</v>
      </c>
      <c r="AM227" s="9"/>
    </row>
    <row r="228" spans="1:39" x14ac:dyDescent="0.3">
      <c r="A228" s="2" t="str">
        <f t="shared" si="92"/>
        <v>NÃO</v>
      </c>
      <c r="B228" s="2" t="str">
        <f>_xlfn.XLOOKUP($N228,'Base de Grupos'!$A:$A,'Base de Grupos'!$D:$D)</f>
        <v>1000065763</v>
      </c>
      <c r="C228" s="5" t="str">
        <f>_xlfn.XLOOKUP($N228,'Base de Grupos'!$A:$A,'Base de Grupos'!$E:$E)</f>
        <v>CANAL VENDA INTERNA</v>
      </c>
      <c r="D228" s="5" t="str">
        <f>_xlfn.XLOOKUP($N228,'Base de Grupos'!$A:$A,'Base de Grupos'!$F:$F)</f>
        <v>1000065763</v>
      </c>
      <c r="E228" s="2" t="str">
        <f>_xlfn.XLOOKUP($N228,'Base de Grupos'!$A:$A,'Base de Grupos'!$G:$G)</f>
        <v>CANAL VENDA INTERNA</v>
      </c>
      <c r="F228" s="2" t="str">
        <f>_xlfn.XLOOKUP($N228,'Base de Grupos'!$A:$A,'Base de Grupos'!$H:$H)</f>
        <v>1000153245</v>
      </c>
      <c r="G228" s="5" t="str">
        <f>_xlfn.XLOOKUP($N228,'Base de Grupos'!$A:$A,'Base de Grupos'!$I:$I)</f>
        <v>REGIONAL VENDA INTERNA - KEY ACCOUNT</v>
      </c>
      <c r="H228" s="5" t="str">
        <f>_xlfn.XLOOKUP($N228,'Base de Grupos'!$A:$A,'Base de Grupos'!$J:$J)</f>
        <v>1000153245</v>
      </c>
      <c r="I228" s="2" t="str">
        <f>_xlfn.XLOOKUP($N228,'Base de Grupos'!$A:$A,'Base de Grupos'!$K:$K)</f>
        <v>REGIONAL VENDA INTERNA - KEY ACCOUNT</v>
      </c>
      <c r="J228" s="2" t="str">
        <f>_xlfn.XLOOKUP($N228,'Base de Grupos'!$A:$A,'Base de Grupos'!$L:$L)</f>
        <v>1000153245</v>
      </c>
      <c r="K228" s="5" t="str">
        <f>_xlfn.XLOOKUP($N228,'Base de Grupos'!$A:$A,'Base de Grupos'!$M:$M)</f>
        <v>REGIONAL VENDA INTERNA - KEY ACCOUNT</v>
      </c>
      <c r="L228" s="5" t="str">
        <f t="shared" si="93"/>
        <v/>
      </c>
      <c r="M228" s="5" t="str">
        <f>_xlfn.XLOOKUP($N228,'Base de Grupos'!$A:$A,'Base de Grupos'!$C:$C)</f>
        <v>PA</v>
      </c>
      <c r="N228" s="3">
        <v>1349</v>
      </c>
      <c r="O228" s="4" t="s">
        <v>236</v>
      </c>
      <c r="P228" s="5" t="s">
        <v>108</v>
      </c>
      <c r="Q228" s="24">
        <v>0</v>
      </c>
      <c r="R228" s="24">
        <v>0</v>
      </c>
      <c r="S228" s="24">
        <v>0</v>
      </c>
      <c r="T228" s="24">
        <v>0</v>
      </c>
      <c r="U228" s="24">
        <v>0</v>
      </c>
      <c r="V228" s="24">
        <v>0</v>
      </c>
      <c r="W228" s="24">
        <v>0</v>
      </c>
      <c r="X228" s="24">
        <v>0</v>
      </c>
      <c r="Y228" s="24">
        <v>0</v>
      </c>
      <c r="Z228" s="24">
        <v>0</v>
      </c>
      <c r="AA228" s="24">
        <v>0</v>
      </c>
      <c r="AB228" s="24">
        <v>0</v>
      </c>
      <c r="AC228" s="30">
        <f t="shared" si="111"/>
        <v>0</v>
      </c>
      <c r="AD228" s="27">
        <f t="shared" si="105"/>
        <v>0</v>
      </c>
      <c r="AE228" s="25">
        <f>IFERROR(_xlfn.XLOOKUP(N228&amp;P228,'Historico Vendas'!G:G,'Historico Vendas'!E:E),0)</f>
        <v>0</v>
      </c>
      <c r="AF228" s="29" t="str">
        <f t="shared" si="94"/>
        <v/>
      </c>
      <c r="AG228" s="24">
        <f>IFERROR(_xlfn.XLOOKUP(N228&amp;P228,'Historico Vendas'!G:G,'Historico Vendas'!F:F),0)</f>
        <v>0</v>
      </c>
      <c r="AH228" s="25">
        <f t="shared" si="106"/>
        <v>0</v>
      </c>
      <c r="AI228" s="24">
        <f t="shared" si="107"/>
        <v>0</v>
      </c>
      <c r="AJ228" s="11" t="str">
        <f t="shared" si="95"/>
        <v/>
      </c>
      <c r="AK228" s="9" t="s">
        <v>102</v>
      </c>
      <c r="AL228" s="13">
        <f>IFERROR(INDEX('Balizador da Meta'!$D$3:$F$23,MATCH(Quantidade!$P228,'Balizador da Meta'!$C$3:$C$23,0),MATCH(Quantidade!AK228,'Balizador da Meta'!$D$2:$F$2,0)),"")</f>
        <v>0</v>
      </c>
      <c r="AM228" s="9"/>
    </row>
    <row r="229" spans="1:39" x14ac:dyDescent="0.3">
      <c r="A229" s="2" t="str">
        <f t="shared" si="92"/>
        <v>NÃO</v>
      </c>
      <c r="B229" s="2" t="str">
        <f>_xlfn.XLOOKUP($N229,'Base de Grupos'!$A:$A,'Base de Grupos'!$D:$D)</f>
        <v>1000065763</v>
      </c>
      <c r="C229" s="5" t="str">
        <f>_xlfn.XLOOKUP($N229,'Base de Grupos'!$A:$A,'Base de Grupos'!$E:$E)</f>
        <v>CANAL VENDA INTERNA</v>
      </c>
      <c r="D229" s="5" t="str">
        <f>_xlfn.XLOOKUP($N229,'Base de Grupos'!$A:$A,'Base de Grupos'!$F:$F)</f>
        <v>1000065763</v>
      </c>
      <c r="E229" s="2" t="str">
        <f>_xlfn.XLOOKUP($N229,'Base de Grupos'!$A:$A,'Base de Grupos'!$G:$G)</f>
        <v>CANAL VENDA INTERNA</v>
      </c>
      <c r="F229" s="2" t="str">
        <f>_xlfn.XLOOKUP($N229,'Base de Grupos'!$A:$A,'Base de Grupos'!$H:$H)</f>
        <v>1000153245</v>
      </c>
      <c r="G229" s="5" t="str">
        <f>_xlfn.XLOOKUP($N229,'Base de Grupos'!$A:$A,'Base de Grupos'!$I:$I)</f>
        <v>REGIONAL VENDA INTERNA - KEY ACCOUNT</v>
      </c>
      <c r="H229" s="5" t="str">
        <f>_xlfn.XLOOKUP($N229,'Base de Grupos'!$A:$A,'Base de Grupos'!$J:$J)</f>
        <v>1000153245</v>
      </c>
      <c r="I229" s="2" t="str">
        <f>_xlfn.XLOOKUP($N229,'Base de Grupos'!$A:$A,'Base de Grupos'!$K:$K)</f>
        <v>REGIONAL VENDA INTERNA - KEY ACCOUNT</v>
      </c>
      <c r="J229" s="2" t="str">
        <f>_xlfn.XLOOKUP($N229,'Base de Grupos'!$A:$A,'Base de Grupos'!$L:$L)</f>
        <v>1000153245</v>
      </c>
      <c r="K229" s="5" t="str">
        <f>_xlfn.XLOOKUP($N229,'Base de Grupos'!$A:$A,'Base de Grupos'!$M:$M)</f>
        <v>REGIONAL VENDA INTERNA - KEY ACCOUNT</v>
      </c>
      <c r="L229" s="5" t="str">
        <f t="shared" si="93"/>
        <v/>
      </c>
      <c r="M229" s="5" t="str">
        <f>_xlfn.XLOOKUP($N229,'Base de Grupos'!$A:$A,'Base de Grupos'!$C:$C)</f>
        <v>PA</v>
      </c>
      <c r="N229" s="3">
        <v>1349</v>
      </c>
      <c r="O229" s="4" t="s">
        <v>236</v>
      </c>
      <c r="P229" s="5" t="s">
        <v>89</v>
      </c>
      <c r="Q229" s="24">
        <v>0</v>
      </c>
      <c r="R229" s="24">
        <v>0</v>
      </c>
      <c r="S229" s="24">
        <v>0</v>
      </c>
      <c r="T229" s="24">
        <v>0</v>
      </c>
      <c r="U229" s="24">
        <v>0</v>
      </c>
      <c r="V229" s="24">
        <v>0</v>
      </c>
      <c r="W229" s="24">
        <v>0</v>
      </c>
      <c r="X229" s="24">
        <v>0</v>
      </c>
      <c r="Y229" s="24">
        <v>0</v>
      </c>
      <c r="Z229" s="24">
        <v>0</v>
      </c>
      <c r="AA229" s="24">
        <v>0</v>
      </c>
      <c r="AB229" s="24">
        <v>0</v>
      </c>
      <c r="AC229" s="30">
        <f t="shared" si="111"/>
        <v>0</v>
      </c>
      <c r="AD229" s="27">
        <f t="shared" si="105"/>
        <v>0</v>
      </c>
      <c r="AE229" s="25">
        <f>IFERROR(_xlfn.XLOOKUP(N229&amp;P229,'Historico Vendas'!G:G,'Historico Vendas'!E:E),0)</f>
        <v>0</v>
      </c>
      <c r="AF229" s="29" t="str">
        <f t="shared" si="94"/>
        <v/>
      </c>
      <c r="AG229" s="24">
        <f>IFERROR(_xlfn.XLOOKUP(N229&amp;P229,'Historico Vendas'!G:G,'Historico Vendas'!F:F),0)</f>
        <v>0</v>
      </c>
      <c r="AH229" s="25">
        <f t="shared" si="106"/>
        <v>0</v>
      </c>
      <c r="AI229" s="24">
        <f t="shared" si="107"/>
        <v>0</v>
      </c>
      <c r="AJ229" s="11" t="str">
        <f t="shared" si="95"/>
        <v/>
      </c>
      <c r="AK229" s="9" t="s">
        <v>102</v>
      </c>
      <c r="AL229" s="13">
        <f>IFERROR(INDEX('Balizador da Meta'!$D$3:$F$23,MATCH(Quantidade!$P229,'Balizador da Meta'!$C$3:$C$23,0),MATCH(Quantidade!AK229,'Balizador da Meta'!$D$2:$F$2,0)),"")</f>
        <v>0.25</v>
      </c>
      <c r="AM229" s="9"/>
    </row>
    <row r="230" spans="1:39" x14ac:dyDescent="0.3">
      <c r="A230" s="2" t="str">
        <f t="shared" si="92"/>
        <v>NÃO</v>
      </c>
      <c r="B230" s="2" t="str">
        <f>_xlfn.XLOOKUP($N230,'Base de Grupos'!$A:$A,'Base de Grupos'!$D:$D)</f>
        <v>1000065763</v>
      </c>
      <c r="C230" s="5" t="str">
        <f>_xlfn.XLOOKUP($N230,'Base de Grupos'!$A:$A,'Base de Grupos'!$E:$E)</f>
        <v>CANAL VENDA INTERNA</v>
      </c>
      <c r="D230" s="5" t="str">
        <f>_xlfn.XLOOKUP($N230,'Base de Grupos'!$A:$A,'Base de Grupos'!$F:$F)</f>
        <v>1000065763</v>
      </c>
      <c r="E230" s="2" t="str">
        <f>_xlfn.XLOOKUP($N230,'Base de Grupos'!$A:$A,'Base de Grupos'!$G:$G)</f>
        <v>CANAL VENDA INTERNA</v>
      </c>
      <c r="F230" s="2" t="str">
        <f>_xlfn.XLOOKUP($N230,'Base de Grupos'!$A:$A,'Base de Grupos'!$H:$H)</f>
        <v>1000153245</v>
      </c>
      <c r="G230" s="5" t="str">
        <f>_xlfn.XLOOKUP($N230,'Base de Grupos'!$A:$A,'Base de Grupos'!$I:$I)</f>
        <v>REGIONAL VENDA INTERNA - KEY ACCOUNT</v>
      </c>
      <c r="H230" s="5" t="str">
        <f>_xlfn.XLOOKUP($N230,'Base de Grupos'!$A:$A,'Base de Grupos'!$J:$J)</f>
        <v>1000153245</v>
      </c>
      <c r="I230" s="2" t="str">
        <f>_xlfn.XLOOKUP($N230,'Base de Grupos'!$A:$A,'Base de Grupos'!$K:$K)</f>
        <v>REGIONAL VENDA INTERNA - KEY ACCOUNT</v>
      </c>
      <c r="J230" s="2" t="str">
        <f>_xlfn.XLOOKUP($N230,'Base de Grupos'!$A:$A,'Base de Grupos'!$L:$L)</f>
        <v>1000153245</v>
      </c>
      <c r="K230" s="5" t="str">
        <f>_xlfn.XLOOKUP($N230,'Base de Grupos'!$A:$A,'Base de Grupos'!$M:$M)</f>
        <v>REGIONAL VENDA INTERNA - KEY ACCOUNT</v>
      </c>
      <c r="L230" s="5" t="str">
        <f t="shared" si="93"/>
        <v/>
      </c>
      <c r="M230" s="5" t="str">
        <f>_xlfn.XLOOKUP($N230,'Base de Grupos'!$A:$A,'Base de Grupos'!$C:$C)</f>
        <v>PA</v>
      </c>
      <c r="N230" s="3">
        <v>1349</v>
      </c>
      <c r="O230" s="4" t="s">
        <v>236</v>
      </c>
      <c r="P230" s="5" t="s">
        <v>88</v>
      </c>
      <c r="Q230" s="24">
        <v>0</v>
      </c>
      <c r="R230" s="24">
        <v>0</v>
      </c>
      <c r="S230" s="24">
        <v>0</v>
      </c>
      <c r="T230" s="24">
        <v>0</v>
      </c>
      <c r="U230" s="24">
        <v>0</v>
      </c>
      <c r="V230" s="24">
        <v>0</v>
      </c>
      <c r="W230" s="24">
        <v>0</v>
      </c>
      <c r="X230" s="24">
        <v>0</v>
      </c>
      <c r="Y230" s="24">
        <v>0</v>
      </c>
      <c r="Z230" s="24">
        <v>0</v>
      </c>
      <c r="AA230" s="24">
        <v>0</v>
      </c>
      <c r="AB230" s="24">
        <v>0</v>
      </c>
      <c r="AC230" s="30">
        <f t="shared" si="111"/>
        <v>0</v>
      </c>
      <c r="AD230" s="27">
        <f t="shared" si="105"/>
        <v>0</v>
      </c>
      <c r="AE230" s="25">
        <f>IFERROR(_xlfn.XLOOKUP(N230&amp;P230,'Historico Vendas'!G:G,'Historico Vendas'!E:E),0)</f>
        <v>0</v>
      </c>
      <c r="AF230" s="29" t="str">
        <f t="shared" si="94"/>
        <v/>
      </c>
      <c r="AG230" s="24">
        <f>IFERROR(_xlfn.XLOOKUP(N230&amp;P230,'Historico Vendas'!G:G,'Historico Vendas'!F:F),0)</f>
        <v>0</v>
      </c>
      <c r="AH230" s="25">
        <f t="shared" si="106"/>
        <v>0</v>
      </c>
      <c r="AI230" s="24">
        <f t="shared" si="107"/>
        <v>0</v>
      </c>
      <c r="AJ230" s="11" t="str">
        <f t="shared" si="95"/>
        <v/>
      </c>
      <c r="AK230" s="9" t="s">
        <v>102</v>
      </c>
      <c r="AL230" s="13">
        <f>IFERROR(INDEX('Balizador da Meta'!$D$3:$F$23,MATCH(Quantidade!$P230,'Balizador da Meta'!$C$3:$C$23,0),MATCH(Quantidade!AK230,'Balizador da Meta'!$D$2:$F$2,0)),"")</f>
        <v>0</v>
      </c>
      <c r="AM230" s="9"/>
    </row>
    <row r="231" spans="1:39" x14ac:dyDescent="0.3">
      <c r="A231" s="2" t="str">
        <f t="shared" si="92"/>
        <v>NÃO</v>
      </c>
      <c r="B231" s="2" t="str">
        <f>_xlfn.XLOOKUP($N231,'Base de Grupos'!$A:$A,'Base de Grupos'!$D:$D)</f>
        <v>1000065763</v>
      </c>
      <c r="C231" s="5" t="str">
        <f>_xlfn.XLOOKUP($N231,'Base de Grupos'!$A:$A,'Base de Grupos'!$E:$E)</f>
        <v>CANAL VENDA INTERNA</v>
      </c>
      <c r="D231" s="5" t="str">
        <f>_xlfn.XLOOKUP($N231,'Base de Grupos'!$A:$A,'Base de Grupos'!$F:$F)</f>
        <v>1000065763</v>
      </c>
      <c r="E231" s="2" t="str">
        <f>_xlfn.XLOOKUP($N231,'Base de Grupos'!$A:$A,'Base de Grupos'!$G:$G)</f>
        <v>CANAL VENDA INTERNA</v>
      </c>
      <c r="F231" s="2" t="str">
        <f>_xlfn.XLOOKUP($N231,'Base de Grupos'!$A:$A,'Base de Grupos'!$H:$H)</f>
        <v>1000153245</v>
      </c>
      <c r="G231" s="5" t="str">
        <f>_xlfn.XLOOKUP($N231,'Base de Grupos'!$A:$A,'Base de Grupos'!$I:$I)</f>
        <v>REGIONAL VENDA INTERNA - KEY ACCOUNT</v>
      </c>
      <c r="H231" s="5" t="str">
        <f>_xlfn.XLOOKUP($N231,'Base de Grupos'!$A:$A,'Base de Grupos'!$J:$J)</f>
        <v>1000153245</v>
      </c>
      <c r="I231" s="2" t="str">
        <f>_xlfn.XLOOKUP($N231,'Base de Grupos'!$A:$A,'Base de Grupos'!$K:$K)</f>
        <v>REGIONAL VENDA INTERNA - KEY ACCOUNT</v>
      </c>
      <c r="J231" s="2" t="str">
        <f>_xlfn.XLOOKUP($N231,'Base de Grupos'!$A:$A,'Base de Grupos'!$L:$L)</f>
        <v>1000153245</v>
      </c>
      <c r="K231" s="5" t="str">
        <f>_xlfn.XLOOKUP($N231,'Base de Grupos'!$A:$A,'Base de Grupos'!$M:$M)</f>
        <v>REGIONAL VENDA INTERNA - KEY ACCOUNT</v>
      </c>
      <c r="L231" s="5" t="str">
        <f t="shared" si="93"/>
        <v/>
      </c>
      <c r="M231" s="5" t="str">
        <f>_xlfn.XLOOKUP($N231,'Base de Grupos'!$A:$A,'Base de Grupos'!$C:$C)</f>
        <v>PA</v>
      </c>
      <c r="N231" s="3">
        <v>1349</v>
      </c>
      <c r="O231" s="4" t="s">
        <v>236</v>
      </c>
      <c r="P231" s="5" t="s">
        <v>90</v>
      </c>
      <c r="Q231" s="24">
        <v>0</v>
      </c>
      <c r="R231" s="24">
        <v>0</v>
      </c>
      <c r="S231" s="24">
        <v>0</v>
      </c>
      <c r="T231" s="24">
        <v>0</v>
      </c>
      <c r="U231" s="24">
        <v>0</v>
      </c>
      <c r="V231" s="24">
        <v>0</v>
      </c>
      <c r="W231" s="24">
        <v>0</v>
      </c>
      <c r="X231" s="24">
        <v>0</v>
      </c>
      <c r="Y231" s="24">
        <v>0</v>
      </c>
      <c r="Z231" s="24">
        <v>0</v>
      </c>
      <c r="AA231" s="24">
        <v>0</v>
      </c>
      <c r="AB231" s="24">
        <v>0</v>
      </c>
      <c r="AC231" s="30">
        <f t="shared" si="111"/>
        <v>0</v>
      </c>
      <c r="AD231" s="27">
        <f t="shared" si="105"/>
        <v>0</v>
      </c>
      <c r="AE231" s="25">
        <f>IFERROR(_xlfn.XLOOKUP(N231&amp;P231,'Historico Vendas'!G:G,'Historico Vendas'!E:E),0)</f>
        <v>0</v>
      </c>
      <c r="AF231" s="29" t="str">
        <f t="shared" si="94"/>
        <v/>
      </c>
      <c r="AG231" s="24">
        <f>IFERROR(_xlfn.XLOOKUP(N231&amp;P231,'Historico Vendas'!G:G,'Historico Vendas'!F:F),0)</f>
        <v>0</v>
      </c>
      <c r="AH231" s="25">
        <f t="shared" si="106"/>
        <v>0</v>
      </c>
      <c r="AI231" s="24">
        <f t="shared" si="107"/>
        <v>0</v>
      </c>
      <c r="AJ231" s="11" t="str">
        <f t="shared" si="95"/>
        <v/>
      </c>
      <c r="AK231" s="9" t="s">
        <v>102</v>
      </c>
      <c r="AL231" s="13">
        <f>IFERROR(INDEX('Balizador da Meta'!$D$3:$F$23,MATCH(Quantidade!$P231,'Balizador da Meta'!$C$3:$C$23,0),MATCH(Quantidade!AK231,'Balizador da Meta'!$D$2:$F$2,0)),"")</f>
        <v>0</v>
      </c>
      <c r="AM231" s="9"/>
    </row>
    <row r="232" spans="1:39" x14ac:dyDescent="0.3">
      <c r="A232" s="2" t="str">
        <f t="shared" si="92"/>
        <v>NÃO</v>
      </c>
      <c r="B232" s="2" t="str">
        <f>_xlfn.XLOOKUP($N232,'Base de Grupos'!$A:$A,'Base de Grupos'!$D:$D)</f>
        <v>1000065763</v>
      </c>
      <c r="C232" s="5" t="str">
        <f>_xlfn.XLOOKUP($N232,'Base de Grupos'!$A:$A,'Base de Grupos'!$E:$E)</f>
        <v>CANAL VENDA INTERNA</v>
      </c>
      <c r="D232" s="5" t="str">
        <f>_xlfn.XLOOKUP($N232,'Base de Grupos'!$A:$A,'Base de Grupos'!$F:$F)</f>
        <v>1000065763</v>
      </c>
      <c r="E232" s="2" t="str">
        <f>_xlfn.XLOOKUP($N232,'Base de Grupos'!$A:$A,'Base de Grupos'!$G:$G)</f>
        <v>CANAL VENDA INTERNA</v>
      </c>
      <c r="F232" s="2" t="str">
        <f>_xlfn.XLOOKUP($N232,'Base de Grupos'!$A:$A,'Base de Grupos'!$H:$H)</f>
        <v>1000153245</v>
      </c>
      <c r="G232" s="5" t="str">
        <f>_xlfn.XLOOKUP($N232,'Base de Grupos'!$A:$A,'Base de Grupos'!$I:$I)</f>
        <v>REGIONAL VENDA INTERNA - KEY ACCOUNT</v>
      </c>
      <c r="H232" s="5" t="str">
        <f>_xlfn.XLOOKUP($N232,'Base de Grupos'!$A:$A,'Base de Grupos'!$J:$J)</f>
        <v>1000153245</v>
      </c>
      <c r="I232" s="2" t="str">
        <f>_xlfn.XLOOKUP($N232,'Base de Grupos'!$A:$A,'Base de Grupos'!$K:$K)</f>
        <v>REGIONAL VENDA INTERNA - KEY ACCOUNT</v>
      </c>
      <c r="J232" s="2" t="str">
        <f>_xlfn.XLOOKUP($N232,'Base de Grupos'!$A:$A,'Base de Grupos'!$L:$L)</f>
        <v>1000153245</v>
      </c>
      <c r="K232" s="5" t="str">
        <f>_xlfn.XLOOKUP($N232,'Base de Grupos'!$A:$A,'Base de Grupos'!$M:$M)</f>
        <v>REGIONAL VENDA INTERNA - KEY ACCOUNT</v>
      </c>
      <c r="L232" s="5" t="str">
        <f t="shared" si="93"/>
        <v/>
      </c>
      <c r="M232" s="5" t="str">
        <f>_xlfn.XLOOKUP($N232,'Base de Grupos'!$A:$A,'Base de Grupos'!$C:$C)</f>
        <v>PA</v>
      </c>
      <c r="N232" s="3">
        <v>1349</v>
      </c>
      <c r="O232" s="4" t="s">
        <v>236</v>
      </c>
      <c r="P232" s="5" t="s">
        <v>91</v>
      </c>
      <c r="Q232" s="24">
        <v>0</v>
      </c>
      <c r="R232" s="24">
        <v>0</v>
      </c>
      <c r="S232" s="24">
        <v>0</v>
      </c>
      <c r="T232" s="24">
        <v>0</v>
      </c>
      <c r="U232" s="24">
        <v>0</v>
      </c>
      <c r="V232" s="24">
        <v>0</v>
      </c>
      <c r="W232" s="24">
        <v>0</v>
      </c>
      <c r="X232" s="24">
        <v>0</v>
      </c>
      <c r="Y232" s="24">
        <v>0</v>
      </c>
      <c r="Z232" s="24">
        <v>0</v>
      </c>
      <c r="AA232" s="24">
        <v>0</v>
      </c>
      <c r="AB232" s="24">
        <v>0</v>
      </c>
      <c r="AC232" s="30">
        <f t="shared" si="111"/>
        <v>0</v>
      </c>
      <c r="AD232" s="27">
        <f t="shared" si="105"/>
        <v>0</v>
      </c>
      <c r="AE232" s="25">
        <f>IFERROR(_xlfn.XLOOKUP(N232&amp;P232,'Historico Vendas'!G:G,'Historico Vendas'!E:E),0)</f>
        <v>0</v>
      </c>
      <c r="AF232" s="29" t="str">
        <f t="shared" si="94"/>
        <v/>
      </c>
      <c r="AG232" s="24">
        <f>IFERROR(_xlfn.XLOOKUP(N232&amp;P232,'Historico Vendas'!G:G,'Historico Vendas'!F:F),0)</f>
        <v>0</v>
      </c>
      <c r="AH232" s="25">
        <f t="shared" si="106"/>
        <v>0</v>
      </c>
      <c r="AI232" s="24">
        <f t="shared" si="107"/>
        <v>0</v>
      </c>
      <c r="AJ232" s="11" t="str">
        <f t="shared" si="95"/>
        <v/>
      </c>
      <c r="AK232" s="9" t="s">
        <v>102</v>
      </c>
      <c r="AL232" s="13">
        <f>IFERROR(INDEX('Balizador da Meta'!$D$3:$F$23,MATCH(Quantidade!$P232,'Balizador da Meta'!$C$3:$C$23,0),MATCH(Quantidade!AK232,'Balizador da Meta'!$D$2:$F$2,0)),"")</f>
        <v>0</v>
      </c>
      <c r="AM232" s="9"/>
    </row>
    <row r="233" spans="1:39" x14ac:dyDescent="0.3">
      <c r="A233" s="2" t="str">
        <f t="shared" si="92"/>
        <v>NÃO</v>
      </c>
      <c r="B233" s="2" t="str">
        <f>_xlfn.XLOOKUP($N233,'Base de Grupos'!$A:$A,'Base de Grupos'!$D:$D)</f>
        <v>1000065763</v>
      </c>
      <c r="C233" s="5" t="str">
        <f>_xlfn.XLOOKUP($N233,'Base de Grupos'!$A:$A,'Base de Grupos'!$E:$E)</f>
        <v>CANAL VENDA INTERNA</v>
      </c>
      <c r="D233" s="5" t="str">
        <f>_xlfn.XLOOKUP($N233,'Base de Grupos'!$A:$A,'Base de Grupos'!$F:$F)</f>
        <v>1000065763</v>
      </c>
      <c r="E233" s="2" t="str">
        <f>_xlfn.XLOOKUP($N233,'Base de Grupos'!$A:$A,'Base de Grupos'!$G:$G)</f>
        <v>CANAL VENDA INTERNA</v>
      </c>
      <c r="F233" s="2" t="str">
        <f>_xlfn.XLOOKUP($N233,'Base de Grupos'!$A:$A,'Base de Grupos'!$H:$H)</f>
        <v>1000153245</v>
      </c>
      <c r="G233" s="5" t="str">
        <f>_xlfn.XLOOKUP($N233,'Base de Grupos'!$A:$A,'Base de Grupos'!$I:$I)</f>
        <v>REGIONAL VENDA INTERNA - KEY ACCOUNT</v>
      </c>
      <c r="H233" s="5" t="str">
        <f>_xlfn.XLOOKUP($N233,'Base de Grupos'!$A:$A,'Base de Grupos'!$J:$J)</f>
        <v>1000153245</v>
      </c>
      <c r="I233" s="2" t="str">
        <f>_xlfn.XLOOKUP($N233,'Base de Grupos'!$A:$A,'Base de Grupos'!$K:$K)</f>
        <v>REGIONAL VENDA INTERNA - KEY ACCOUNT</v>
      </c>
      <c r="J233" s="2" t="str">
        <f>_xlfn.XLOOKUP($N233,'Base de Grupos'!$A:$A,'Base de Grupos'!$L:$L)</f>
        <v>1000153245</v>
      </c>
      <c r="K233" s="5" t="str">
        <f>_xlfn.XLOOKUP($N233,'Base de Grupos'!$A:$A,'Base de Grupos'!$M:$M)</f>
        <v>REGIONAL VENDA INTERNA - KEY ACCOUNT</v>
      </c>
      <c r="L233" s="5" t="str">
        <f t="shared" si="93"/>
        <v/>
      </c>
      <c r="M233" s="5" t="str">
        <f>_xlfn.XLOOKUP($N233,'Base de Grupos'!$A:$A,'Base de Grupos'!$C:$C)</f>
        <v>PA</v>
      </c>
      <c r="N233" s="3">
        <v>1349</v>
      </c>
      <c r="O233" s="4" t="s">
        <v>236</v>
      </c>
      <c r="P233" s="5" t="s">
        <v>96</v>
      </c>
      <c r="Q233" s="24">
        <v>0</v>
      </c>
      <c r="R233" s="24">
        <v>0</v>
      </c>
      <c r="S233" s="24">
        <v>0</v>
      </c>
      <c r="T233" s="24">
        <v>0</v>
      </c>
      <c r="U233" s="24">
        <v>0</v>
      </c>
      <c r="V233" s="24">
        <v>0</v>
      </c>
      <c r="W233" s="24">
        <v>0</v>
      </c>
      <c r="X233" s="24">
        <v>0</v>
      </c>
      <c r="Y233" s="24">
        <v>0</v>
      </c>
      <c r="Z233" s="24">
        <v>0</v>
      </c>
      <c r="AA233" s="24">
        <v>0</v>
      </c>
      <c r="AB233" s="24">
        <v>0</v>
      </c>
      <c r="AC233" s="30">
        <f t="shared" si="111"/>
        <v>0</v>
      </c>
      <c r="AD233" s="27">
        <f t="shared" si="105"/>
        <v>0</v>
      </c>
      <c r="AE233" s="25">
        <f>IFERROR(_xlfn.XLOOKUP(N233&amp;P233,'Historico Vendas'!G:G,'Historico Vendas'!E:E),0)</f>
        <v>0</v>
      </c>
      <c r="AF233" s="29" t="str">
        <f t="shared" si="94"/>
        <v/>
      </c>
      <c r="AG233" s="24">
        <f>IFERROR(_xlfn.XLOOKUP(N233&amp;P233,'Historico Vendas'!G:G,'Historico Vendas'!F:F),0)</f>
        <v>0</v>
      </c>
      <c r="AH233" s="25">
        <f t="shared" si="106"/>
        <v>0</v>
      </c>
      <c r="AI233" s="24">
        <f t="shared" si="107"/>
        <v>0</v>
      </c>
      <c r="AJ233" s="11" t="str">
        <f t="shared" si="95"/>
        <v/>
      </c>
      <c r="AK233" s="9" t="s">
        <v>102</v>
      </c>
      <c r="AL233" s="13">
        <f>IFERROR(INDEX('Balizador da Meta'!$D$3:$F$23,MATCH(Quantidade!$P233,'Balizador da Meta'!$C$3:$C$23,0),MATCH(Quantidade!AK233,'Balizador da Meta'!$D$2:$F$2,0)),"")</f>
        <v>0</v>
      </c>
      <c r="AM233" s="9"/>
    </row>
    <row r="234" spans="1:39" x14ac:dyDescent="0.3">
      <c r="A234" s="2" t="str">
        <f t="shared" si="92"/>
        <v>NÃO</v>
      </c>
      <c r="B234" s="2" t="str">
        <f>_xlfn.XLOOKUP($N234,'Base de Grupos'!$A:$A,'Base de Grupos'!$D:$D)</f>
        <v>1000065763</v>
      </c>
      <c r="C234" s="5" t="str">
        <f>_xlfn.XLOOKUP($N234,'Base de Grupos'!$A:$A,'Base de Grupos'!$E:$E)</f>
        <v>CANAL VENDA INTERNA</v>
      </c>
      <c r="D234" s="5" t="str">
        <f>_xlfn.XLOOKUP($N234,'Base de Grupos'!$A:$A,'Base de Grupos'!$F:$F)</f>
        <v>1000065763</v>
      </c>
      <c r="E234" s="2" t="str">
        <f>_xlfn.XLOOKUP($N234,'Base de Grupos'!$A:$A,'Base de Grupos'!$G:$G)</f>
        <v>CANAL VENDA INTERNA</v>
      </c>
      <c r="F234" s="2" t="str">
        <f>_xlfn.XLOOKUP($N234,'Base de Grupos'!$A:$A,'Base de Grupos'!$H:$H)</f>
        <v>1000153245</v>
      </c>
      <c r="G234" s="5" t="str">
        <f>_xlfn.XLOOKUP($N234,'Base de Grupos'!$A:$A,'Base de Grupos'!$I:$I)</f>
        <v>REGIONAL VENDA INTERNA - KEY ACCOUNT</v>
      </c>
      <c r="H234" s="5" t="str">
        <f>_xlfn.XLOOKUP($N234,'Base de Grupos'!$A:$A,'Base de Grupos'!$J:$J)</f>
        <v>1000153245</v>
      </c>
      <c r="I234" s="2" t="str">
        <f>_xlfn.XLOOKUP($N234,'Base de Grupos'!$A:$A,'Base de Grupos'!$K:$K)</f>
        <v>REGIONAL VENDA INTERNA - KEY ACCOUNT</v>
      </c>
      <c r="J234" s="2" t="str">
        <f>_xlfn.XLOOKUP($N234,'Base de Grupos'!$A:$A,'Base de Grupos'!$L:$L)</f>
        <v>1000153245</v>
      </c>
      <c r="K234" s="5" t="str">
        <f>_xlfn.XLOOKUP($N234,'Base de Grupos'!$A:$A,'Base de Grupos'!$M:$M)</f>
        <v>REGIONAL VENDA INTERNA - KEY ACCOUNT</v>
      </c>
      <c r="L234" s="5" t="str">
        <f t="shared" si="93"/>
        <v/>
      </c>
      <c r="M234" s="5" t="str">
        <f>_xlfn.XLOOKUP($N234,'Base de Grupos'!$A:$A,'Base de Grupos'!$C:$C)</f>
        <v>PA</v>
      </c>
      <c r="N234" s="3">
        <v>1349</v>
      </c>
      <c r="O234" s="4" t="s">
        <v>236</v>
      </c>
      <c r="P234" s="5" t="s">
        <v>94</v>
      </c>
      <c r="Q234" s="24">
        <v>0</v>
      </c>
      <c r="R234" s="24">
        <v>0</v>
      </c>
      <c r="S234" s="24">
        <v>0</v>
      </c>
      <c r="T234" s="24">
        <v>0</v>
      </c>
      <c r="U234" s="24">
        <v>0</v>
      </c>
      <c r="V234" s="24">
        <v>0</v>
      </c>
      <c r="W234" s="24">
        <v>0</v>
      </c>
      <c r="X234" s="24">
        <v>0</v>
      </c>
      <c r="Y234" s="24">
        <v>0</v>
      </c>
      <c r="Z234" s="24">
        <v>0</v>
      </c>
      <c r="AA234" s="24">
        <v>0</v>
      </c>
      <c r="AB234" s="24">
        <v>0</v>
      </c>
      <c r="AC234" s="30">
        <f t="shared" si="111"/>
        <v>0</v>
      </c>
      <c r="AD234" s="27">
        <f t="shared" si="105"/>
        <v>0</v>
      </c>
      <c r="AE234" s="25">
        <f>IFERROR(_xlfn.XLOOKUP(N234&amp;P234,'Historico Vendas'!G:G,'Historico Vendas'!E:E),0)</f>
        <v>0</v>
      </c>
      <c r="AF234" s="29" t="str">
        <f t="shared" si="94"/>
        <v/>
      </c>
      <c r="AG234" s="24">
        <f>IFERROR(_xlfn.XLOOKUP(N234&amp;P234,'Historico Vendas'!G:G,'Historico Vendas'!F:F),0)</f>
        <v>0</v>
      </c>
      <c r="AH234" s="25">
        <f t="shared" si="106"/>
        <v>0</v>
      </c>
      <c r="AI234" s="24">
        <f t="shared" si="107"/>
        <v>0</v>
      </c>
      <c r="AJ234" s="11" t="str">
        <f t="shared" si="95"/>
        <v/>
      </c>
      <c r="AK234" s="9" t="s">
        <v>102</v>
      </c>
      <c r="AL234" s="13">
        <f>IFERROR(INDEX('Balizador da Meta'!$D$3:$F$23,MATCH(Quantidade!$P234,'Balizador da Meta'!$C$3:$C$23,0),MATCH(Quantidade!AK234,'Balizador da Meta'!$D$2:$F$2,0)),"")</f>
        <v>0.25</v>
      </c>
      <c r="AM234" s="9"/>
    </row>
    <row r="235" spans="1:39" x14ac:dyDescent="0.3">
      <c r="A235" s="2" t="str">
        <f t="shared" si="92"/>
        <v>NÃO</v>
      </c>
      <c r="B235" s="2" t="str">
        <f>_xlfn.XLOOKUP($N235,'Base de Grupos'!$A:$A,'Base de Grupos'!$D:$D)</f>
        <v>1000065763</v>
      </c>
      <c r="C235" s="5" t="str">
        <f>_xlfn.XLOOKUP($N235,'Base de Grupos'!$A:$A,'Base de Grupos'!$E:$E)</f>
        <v>CANAL VENDA INTERNA</v>
      </c>
      <c r="D235" s="5" t="str">
        <f>_xlfn.XLOOKUP($N235,'Base de Grupos'!$A:$A,'Base de Grupos'!$F:$F)</f>
        <v>1000065763</v>
      </c>
      <c r="E235" s="2" t="str">
        <f>_xlfn.XLOOKUP($N235,'Base de Grupos'!$A:$A,'Base de Grupos'!$G:$G)</f>
        <v>CANAL VENDA INTERNA</v>
      </c>
      <c r="F235" s="2" t="str">
        <f>_xlfn.XLOOKUP($N235,'Base de Grupos'!$A:$A,'Base de Grupos'!$H:$H)</f>
        <v>1000153245</v>
      </c>
      <c r="G235" s="5" t="str">
        <f>_xlfn.XLOOKUP($N235,'Base de Grupos'!$A:$A,'Base de Grupos'!$I:$I)</f>
        <v>REGIONAL VENDA INTERNA - KEY ACCOUNT</v>
      </c>
      <c r="H235" s="5" t="str">
        <f>_xlfn.XLOOKUP($N235,'Base de Grupos'!$A:$A,'Base de Grupos'!$J:$J)</f>
        <v>1000153245</v>
      </c>
      <c r="I235" s="2" t="str">
        <f>_xlfn.XLOOKUP($N235,'Base de Grupos'!$A:$A,'Base de Grupos'!$K:$K)</f>
        <v>REGIONAL VENDA INTERNA - KEY ACCOUNT</v>
      </c>
      <c r="J235" s="2" t="str">
        <f>_xlfn.XLOOKUP($N235,'Base de Grupos'!$A:$A,'Base de Grupos'!$L:$L)</f>
        <v>1000153245</v>
      </c>
      <c r="K235" s="5" t="str">
        <f>_xlfn.XLOOKUP($N235,'Base de Grupos'!$A:$A,'Base de Grupos'!$M:$M)</f>
        <v>REGIONAL VENDA INTERNA - KEY ACCOUNT</v>
      </c>
      <c r="L235" s="5" t="str">
        <f t="shared" si="93"/>
        <v/>
      </c>
      <c r="M235" s="5" t="str">
        <f>_xlfn.XLOOKUP($N235,'Base de Grupos'!$A:$A,'Base de Grupos'!$C:$C)</f>
        <v>PA</v>
      </c>
      <c r="N235" s="3">
        <v>1349</v>
      </c>
      <c r="O235" s="4" t="s">
        <v>236</v>
      </c>
      <c r="P235" s="5" t="s">
        <v>95</v>
      </c>
      <c r="Q235" s="24">
        <v>0</v>
      </c>
      <c r="R235" s="24">
        <v>0</v>
      </c>
      <c r="S235" s="24">
        <v>0</v>
      </c>
      <c r="T235" s="24">
        <v>0</v>
      </c>
      <c r="U235" s="24">
        <v>0</v>
      </c>
      <c r="V235" s="24">
        <v>0</v>
      </c>
      <c r="W235" s="24">
        <v>0</v>
      </c>
      <c r="X235" s="24">
        <v>0</v>
      </c>
      <c r="Y235" s="24">
        <v>0</v>
      </c>
      <c r="Z235" s="24">
        <v>0</v>
      </c>
      <c r="AA235" s="24">
        <v>0</v>
      </c>
      <c r="AB235" s="24">
        <v>0</v>
      </c>
      <c r="AC235" s="30">
        <f t="shared" si="111"/>
        <v>0</v>
      </c>
      <c r="AD235" s="27">
        <f t="shared" si="105"/>
        <v>0</v>
      </c>
      <c r="AE235" s="25">
        <f>IFERROR(_xlfn.XLOOKUP(N235&amp;P235,'Historico Vendas'!G:G,'Historico Vendas'!E:E),0)</f>
        <v>0</v>
      </c>
      <c r="AF235" s="29" t="str">
        <f t="shared" si="94"/>
        <v/>
      </c>
      <c r="AG235" s="24">
        <f>IFERROR(_xlfn.XLOOKUP(N235&amp;P235,'Historico Vendas'!G:G,'Historico Vendas'!F:F),0)</f>
        <v>0</v>
      </c>
      <c r="AH235" s="25">
        <f t="shared" si="106"/>
        <v>0</v>
      </c>
      <c r="AI235" s="24">
        <f t="shared" si="107"/>
        <v>0</v>
      </c>
      <c r="AJ235" s="11" t="str">
        <f t="shared" si="95"/>
        <v/>
      </c>
      <c r="AK235" s="9" t="s">
        <v>102</v>
      </c>
      <c r="AL235" s="13">
        <f>IFERROR(INDEX('Balizador da Meta'!$D$3:$F$23,MATCH(Quantidade!$P235,'Balizador da Meta'!$C$3:$C$23,0),MATCH(Quantidade!AK235,'Balizador da Meta'!$D$2:$F$2,0)),"")</f>
        <v>0.25</v>
      </c>
      <c r="AM235" s="9"/>
    </row>
    <row r="236" spans="1:39" x14ac:dyDescent="0.3">
      <c r="A236" s="2" t="str">
        <f t="shared" si="92"/>
        <v>NÃO</v>
      </c>
      <c r="B236" s="2" t="str">
        <f>_xlfn.XLOOKUP($N236,'Base de Grupos'!$A:$A,'Base de Grupos'!$D:$D)</f>
        <v>1000065763</v>
      </c>
      <c r="C236" s="5" t="str">
        <f>_xlfn.XLOOKUP($N236,'Base de Grupos'!$A:$A,'Base de Grupos'!$E:$E)</f>
        <v>CANAL VENDA INTERNA</v>
      </c>
      <c r="D236" s="5" t="str">
        <f>_xlfn.XLOOKUP($N236,'Base de Grupos'!$A:$A,'Base de Grupos'!$F:$F)</f>
        <v>1000065763</v>
      </c>
      <c r="E236" s="2" t="str">
        <f>_xlfn.XLOOKUP($N236,'Base de Grupos'!$A:$A,'Base de Grupos'!$G:$G)</f>
        <v>CANAL VENDA INTERNA</v>
      </c>
      <c r="F236" s="2" t="str">
        <f>_xlfn.XLOOKUP($N236,'Base de Grupos'!$A:$A,'Base de Grupos'!$H:$H)</f>
        <v>1000153245</v>
      </c>
      <c r="G236" s="5" t="str">
        <f>_xlfn.XLOOKUP($N236,'Base de Grupos'!$A:$A,'Base de Grupos'!$I:$I)</f>
        <v>REGIONAL VENDA INTERNA - KEY ACCOUNT</v>
      </c>
      <c r="H236" s="5" t="str">
        <f>_xlfn.XLOOKUP($N236,'Base de Grupos'!$A:$A,'Base de Grupos'!$J:$J)</f>
        <v>1000153245</v>
      </c>
      <c r="I236" s="2" t="str">
        <f>_xlfn.XLOOKUP($N236,'Base de Grupos'!$A:$A,'Base de Grupos'!$K:$K)</f>
        <v>REGIONAL VENDA INTERNA - KEY ACCOUNT</v>
      </c>
      <c r="J236" s="2" t="str">
        <f>_xlfn.XLOOKUP($N236,'Base de Grupos'!$A:$A,'Base de Grupos'!$L:$L)</f>
        <v>1000153245</v>
      </c>
      <c r="K236" s="5" t="str">
        <f>_xlfn.XLOOKUP($N236,'Base de Grupos'!$A:$A,'Base de Grupos'!$M:$M)</f>
        <v>REGIONAL VENDA INTERNA - KEY ACCOUNT</v>
      </c>
      <c r="L236" s="5" t="str">
        <f t="shared" si="93"/>
        <v/>
      </c>
      <c r="M236" s="5" t="str">
        <f>_xlfn.XLOOKUP($N236,'Base de Grupos'!$A:$A,'Base de Grupos'!$C:$C)</f>
        <v>PA</v>
      </c>
      <c r="N236" s="3">
        <v>1349</v>
      </c>
      <c r="O236" s="4" t="s">
        <v>236</v>
      </c>
      <c r="P236" s="5" t="s">
        <v>93</v>
      </c>
      <c r="Q236" s="24">
        <v>0</v>
      </c>
      <c r="R236" s="24">
        <v>0</v>
      </c>
      <c r="S236" s="24">
        <v>0</v>
      </c>
      <c r="T236" s="24">
        <v>0</v>
      </c>
      <c r="U236" s="24">
        <v>0</v>
      </c>
      <c r="V236" s="24">
        <v>0</v>
      </c>
      <c r="W236" s="24">
        <v>0</v>
      </c>
      <c r="X236" s="24">
        <v>0</v>
      </c>
      <c r="Y236" s="24">
        <v>0</v>
      </c>
      <c r="Z236" s="24">
        <v>0</v>
      </c>
      <c r="AA236" s="24">
        <v>0</v>
      </c>
      <c r="AB236" s="24">
        <v>0</v>
      </c>
      <c r="AC236" s="30">
        <f t="shared" si="111"/>
        <v>0</v>
      </c>
      <c r="AD236" s="27">
        <f t="shared" si="105"/>
        <v>0</v>
      </c>
      <c r="AE236" s="25">
        <f>IFERROR(_xlfn.XLOOKUP(N236&amp;P236,'Historico Vendas'!G:G,'Historico Vendas'!E:E),0)</f>
        <v>0</v>
      </c>
      <c r="AF236" s="29" t="str">
        <f t="shared" si="94"/>
        <v/>
      </c>
      <c r="AG236" s="24">
        <f>IFERROR(_xlfn.XLOOKUP(N236&amp;P236,'Historico Vendas'!G:G,'Historico Vendas'!F:F),0)</f>
        <v>0</v>
      </c>
      <c r="AH236" s="25">
        <f t="shared" si="106"/>
        <v>0</v>
      </c>
      <c r="AI236" s="24">
        <f t="shared" si="107"/>
        <v>0</v>
      </c>
      <c r="AJ236" s="11" t="str">
        <f t="shared" si="95"/>
        <v/>
      </c>
      <c r="AK236" s="9" t="s">
        <v>102</v>
      </c>
      <c r="AL236" s="13">
        <f>IFERROR(INDEX('Balizador da Meta'!$D$3:$F$23,MATCH(Quantidade!$P236,'Balizador da Meta'!$C$3:$C$23,0),MATCH(Quantidade!AK236,'Balizador da Meta'!$D$2:$F$2,0)),"")</f>
        <v>0.2</v>
      </c>
      <c r="AM236" s="9"/>
    </row>
    <row r="237" spans="1:39" x14ac:dyDescent="0.3">
      <c r="A237" s="2" t="str">
        <f t="shared" si="92"/>
        <v>SIM</v>
      </c>
      <c r="B237" s="2" t="str">
        <f>_xlfn.XLOOKUP($N237,'Base de Grupos'!$A:$A,'Base de Grupos'!$D:$D)</f>
        <v>1000065763</v>
      </c>
      <c r="C237" s="5" t="str">
        <f>_xlfn.XLOOKUP($N237,'Base de Grupos'!$A:$A,'Base de Grupos'!$E:$E)</f>
        <v>CANAL VENDA INTERNA</v>
      </c>
      <c r="D237" s="5" t="str">
        <f>_xlfn.XLOOKUP($N237,'Base de Grupos'!$A:$A,'Base de Grupos'!$F:$F)</f>
        <v>1000065763</v>
      </c>
      <c r="E237" s="2" t="str">
        <f>_xlfn.XLOOKUP($N237,'Base de Grupos'!$A:$A,'Base de Grupos'!$G:$G)</f>
        <v>CANAL VENDA INTERNA</v>
      </c>
      <c r="F237" s="2" t="str">
        <f>_xlfn.XLOOKUP($N237,'Base de Grupos'!$A:$A,'Base de Grupos'!$H:$H)</f>
        <v>1000105900</v>
      </c>
      <c r="G237" s="5" t="str">
        <f>_xlfn.XLOOKUP($N237,'Base de Grupos'!$A:$A,'Base de Grupos'!$I:$I)</f>
        <v>REGIONAL VENDA DIRETA CO + NE + NO</v>
      </c>
      <c r="H237" s="5" t="str">
        <f>_xlfn.XLOOKUP($N237,'Base de Grupos'!$A:$A,'Base de Grupos'!$J:$J)</f>
        <v>1000105900</v>
      </c>
      <c r="I237" s="2" t="str">
        <f>_xlfn.XLOOKUP($N237,'Base de Grupos'!$A:$A,'Base de Grupos'!$K:$K)</f>
        <v>REGIONAL VENDA DIRETA CO + NE + NO</v>
      </c>
      <c r="J237" s="2" t="str">
        <f>_xlfn.XLOOKUP($N237,'Base de Grupos'!$A:$A,'Base de Grupos'!$L:$L)</f>
        <v>1000150135</v>
      </c>
      <c r="K237" s="5" t="str">
        <f>_xlfn.XLOOKUP($N237,'Base de Grupos'!$A:$A,'Base de Grupos'!$M:$M)</f>
        <v>HELDER DA SILVA BRUNKOW</v>
      </c>
      <c r="L237" s="5">
        <f t="shared" si="93"/>
        <v>1</v>
      </c>
      <c r="M237" s="5" t="str">
        <f>_xlfn.XLOOKUP($N237,'Base de Grupos'!$A:$A,'Base de Grupos'!$C:$C)</f>
        <v>AM</v>
      </c>
      <c r="N237" s="3">
        <v>1351</v>
      </c>
      <c r="O237" s="4" t="s">
        <v>237</v>
      </c>
      <c r="P237" s="5" t="s">
        <v>307</v>
      </c>
      <c r="Q237" s="24">
        <v>0</v>
      </c>
      <c r="R237" s="24">
        <v>0</v>
      </c>
      <c r="S237" s="24">
        <v>0</v>
      </c>
      <c r="T237" s="24">
        <v>0</v>
      </c>
      <c r="U237" s="24">
        <v>0</v>
      </c>
      <c r="V237" s="24">
        <v>0</v>
      </c>
      <c r="W237" s="24">
        <v>0</v>
      </c>
      <c r="X237" s="24">
        <v>0</v>
      </c>
      <c r="Y237" s="24">
        <v>0</v>
      </c>
      <c r="Z237" s="24">
        <v>0</v>
      </c>
      <c r="AA237" s="24">
        <v>0</v>
      </c>
      <c r="AB237" s="24">
        <v>0</v>
      </c>
      <c r="AC237" s="30">
        <f t="shared" si="111"/>
        <v>0</v>
      </c>
      <c r="AD237" s="25">
        <f t="shared" ref="AD237:AI237" si="112">SUM(AD238:AD254)</f>
        <v>0</v>
      </c>
      <c r="AE237" s="25">
        <f t="shared" si="112"/>
        <v>0</v>
      </c>
      <c r="AF237" s="11" t="str">
        <f t="shared" si="94"/>
        <v/>
      </c>
      <c r="AG237" s="24">
        <f t="shared" si="112"/>
        <v>0</v>
      </c>
      <c r="AH237" s="25">
        <f t="shared" si="112"/>
        <v>0</v>
      </c>
      <c r="AI237" s="24">
        <f t="shared" si="112"/>
        <v>0</v>
      </c>
      <c r="AJ237" s="11" t="str">
        <f t="shared" si="95"/>
        <v/>
      </c>
      <c r="AK237" s="9"/>
      <c r="AL237" s="13"/>
      <c r="AM237" s="9"/>
    </row>
    <row r="238" spans="1:39" x14ac:dyDescent="0.3">
      <c r="A238" s="2" t="str">
        <f t="shared" si="92"/>
        <v>NÃO</v>
      </c>
      <c r="B238" s="2" t="str">
        <f>_xlfn.XLOOKUP($N238,'Base de Grupos'!$A:$A,'Base de Grupos'!$D:$D)</f>
        <v>1000065763</v>
      </c>
      <c r="C238" s="5" t="str">
        <f>_xlfn.XLOOKUP($N238,'Base de Grupos'!$A:$A,'Base de Grupos'!$E:$E)</f>
        <v>CANAL VENDA INTERNA</v>
      </c>
      <c r="D238" s="5" t="str">
        <f>_xlfn.XLOOKUP($N238,'Base de Grupos'!$A:$A,'Base de Grupos'!$F:$F)</f>
        <v>1000065763</v>
      </c>
      <c r="E238" s="2" t="str">
        <f>_xlfn.XLOOKUP($N238,'Base de Grupos'!$A:$A,'Base de Grupos'!$G:$G)</f>
        <v>CANAL VENDA INTERNA</v>
      </c>
      <c r="F238" s="2" t="str">
        <f>_xlfn.XLOOKUP($N238,'Base de Grupos'!$A:$A,'Base de Grupos'!$H:$H)</f>
        <v>1000105900</v>
      </c>
      <c r="G238" s="5" t="str">
        <f>_xlfn.XLOOKUP($N238,'Base de Grupos'!$A:$A,'Base de Grupos'!$I:$I)</f>
        <v>REGIONAL VENDA DIRETA CO + NE + NO</v>
      </c>
      <c r="H238" s="5" t="str">
        <f>_xlfn.XLOOKUP($N238,'Base de Grupos'!$A:$A,'Base de Grupos'!$J:$J)</f>
        <v>1000105900</v>
      </c>
      <c r="I238" s="2" t="str">
        <f>_xlfn.XLOOKUP($N238,'Base de Grupos'!$A:$A,'Base de Grupos'!$K:$K)</f>
        <v>REGIONAL VENDA DIRETA CO + NE + NO</v>
      </c>
      <c r="J238" s="2" t="str">
        <f>_xlfn.XLOOKUP($N238,'Base de Grupos'!$A:$A,'Base de Grupos'!$L:$L)</f>
        <v>1000150135</v>
      </c>
      <c r="K238" s="5" t="str">
        <f>_xlfn.XLOOKUP($N238,'Base de Grupos'!$A:$A,'Base de Grupos'!$M:$M)</f>
        <v>HELDER DA SILVA BRUNKOW</v>
      </c>
      <c r="L238" s="5" t="str">
        <f t="shared" si="93"/>
        <v/>
      </c>
      <c r="M238" s="5" t="str">
        <f>_xlfn.XLOOKUP($N238,'Base de Grupos'!$A:$A,'Base de Grupos'!$C:$C)</f>
        <v>AM</v>
      </c>
      <c r="N238" s="3">
        <v>1351</v>
      </c>
      <c r="O238" s="4" t="s">
        <v>237</v>
      </c>
      <c r="P238" s="5" t="s">
        <v>81</v>
      </c>
      <c r="Q238" s="24">
        <v>0</v>
      </c>
      <c r="R238" s="24">
        <v>0</v>
      </c>
      <c r="S238" s="24">
        <v>0</v>
      </c>
      <c r="T238" s="24">
        <v>0</v>
      </c>
      <c r="U238" s="24">
        <v>0</v>
      </c>
      <c r="V238" s="24">
        <v>0</v>
      </c>
      <c r="W238" s="24">
        <v>0</v>
      </c>
      <c r="X238" s="24">
        <v>0</v>
      </c>
      <c r="Y238" s="24">
        <v>0</v>
      </c>
      <c r="Z238" s="24">
        <v>0</v>
      </c>
      <c r="AA238" s="24">
        <v>0</v>
      </c>
      <c r="AB238" s="24">
        <v>0</v>
      </c>
      <c r="AC238" s="30">
        <f t="shared" si="111"/>
        <v>0</v>
      </c>
      <c r="AD238" s="27">
        <f t="shared" ref="AD238:AD254" si="113">IF(AC238=0,0,AC238-AG238)</f>
        <v>0</v>
      </c>
      <c r="AE238" s="25">
        <f>IFERROR(_xlfn.XLOOKUP(N238&amp;P238,'Historico Vendas'!G:G,'Historico Vendas'!E:E),0)</f>
        <v>0</v>
      </c>
      <c r="AF238" s="29" t="str">
        <f t="shared" si="94"/>
        <v/>
      </c>
      <c r="AG238" s="24">
        <f>IFERROR(_xlfn.XLOOKUP(N238&amp;P238,'Historico Vendas'!G:G,'Historico Vendas'!F:F),0)</f>
        <v>0</v>
      </c>
      <c r="AH238" s="25">
        <f t="shared" ref="AH238:AH254" si="114">SUM(Q238:S238)</f>
        <v>0</v>
      </c>
      <c r="AI238" s="24">
        <f t="shared" ref="AI238:AI254" si="115">AH238-AG238</f>
        <v>0</v>
      </c>
      <c r="AJ238" s="11" t="str">
        <f t="shared" si="95"/>
        <v/>
      </c>
      <c r="AK238" s="9" t="s">
        <v>102</v>
      </c>
      <c r="AL238" s="13">
        <f>IFERROR(INDEX('Balizador da Meta'!$D$3:$F$23,MATCH(Quantidade!$P238,'Balizador da Meta'!$C$3:$C$23,0),MATCH(Quantidade!AK238,'Balizador da Meta'!$D$2:$F$2,0)),"")</f>
        <v>0.2</v>
      </c>
      <c r="AM238" s="9"/>
    </row>
    <row r="239" spans="1:39" x14ac:dyDescent="0.3">
      <c r="A239" s="2" t="str">
        <f t="shared" si="92"/>
        <v>NÃO</v>
      </c>
      <c r="B239" s="2" t="str">
        <f>_xlfn.XLOOKUP($N239,'Base de Grupos'!$A:$A,'Base de Grupos'!$D:$D)</f>
        <v>1000065763</v>
      </c>
      <c r="C239" s="5" t="str">
        <f>_xlfn.XLOOKUP($N239,'Base de Grupos'!$A:$A,'Base de Grupos'!$E:$E)</f>
        <v>CANAL VENDA INTERNA</v>
      </c>
      <c r="D239" s="5" t="str">
        <f>_xlfn.XLOOKUP($N239,'Base de Grupos'!$A:$A,'Base de Grupos'!$F:$F)</f>
        <v>1000065763</v>
      </c>
      <c r="E239" s="2" t="str">
        <f>_xlfn.XLOOKUP($N239,'Base de Grupos'!$A:$A,'Base de Grupos'!$G:$G)</f>
        <v>CANAL VENDA INTERNA</v>
      </c>
      <c r="F239" s="2" t="str">
        <f>_xlfn.XLOOKUP($N239,'Base de Grupos'!$A:$A,'Base de Grupos'!$H:$H)</f>
        <v>1000105900</v>
      </c>
      <c r="G239" s="5" t="str">
        <f>_xlfn.XLOOKUP($N239,'Base de Grupos'!$A:$A,'Base de Grupos'!$I:$I)</f>
        <v>REGIONAL VENDA DIRETA CO + NE + NO</v>
      </c>
      <c r="H239" s="5" t="str">
        <f>_xlfn.XLOOKUP($N239,'Base de Grupos'!$A:$A,'Base de Grupos'!$J:$J)</f>
        <v>1000105900</v>
      </c>
      <c r="I239" s="2" t="str">
        <f>_xlfn.XLOOKUP($N239,'Base de Grupos'!$A:$A,'Base de Grupos'!$K:$K)</f>
        <v>REGIONAL VENDA DIRETA CO + NE + NO</v>
      </c>
      <c r="J239" s="2" t="str">
        <f>_xlfn.XLOOKUP($N239,'Base de Grupos'!$A:$A,'Base de Grupos'!$L:$L)</f>
        <v>1000150135</v>
      </c>
      <c r="K239" s="5" t="str">
        <f>_xlfn.XLOOKUP($N239,'Base de Grupos'!$A:$A,'Base de Grupos'!$M:$M)</f>
        <v>HELDER DA SILVA BRUNKOW</v>
      </c>
      <c r="L239" s="5" t="str">
        <f t="shared" si="93"/>
        <v/>
      </c>
      <c r="M239" s="5" t="str">
        <f>_xlfn.XLOOKUP($N239,'Base de Grupos'!$A:$A,'Base de Grupos'!$C:$C)</f>
        <v>AM</v>
      </c>
      <c r="N239" s="3">
        <v>1351</v>
      </c>
      <c r="O239" s="4" t="s">
        <v>237</v>
      </c>
      <c r="P239" s="5" t="s">
        <v>82</v>
      </c>
      <c r="Q239" s="24">
        <v>0</v>
      </c>
      <c r="R239" s="24">
        <v>0</v>
      </c>
      <c r="S239" s="24">
        <v>0</v>
      </c>
      <c r="T239" s="24">
        <v>0</v>
      </c>
      <c r="U239" s="24">
        <v>0</v>
      </c>
      <c r="V239" s="24">
        <v>0</v>
      </c>
      <c r="W239" s="24">
        <v>0</v>
      </c>
      <c r="X239" s="24">
        <v>0</v>
      </c>
      <c r="Y239" s="24">
        <v>0</v>
      </c>
      <c r="Z239" s="24">
        <v>0</v>
      </c>
      <c r="AA239" s="24">
        <v>0</v>
      </c>
      <c r="AB239" s="24">
        <v>0</v>
      </c>
      <c r="AC239" s="30">
        <f t="shared" si="111"/>
        <v>0</v>
      </c>
      <c r="AD239" s="27">
        <f t="shared" si="113"/>
        <v>0</v>
      </c>
      <c r="AE239" s="25">
        <f>IFERROR(_xlfn.XLOOKUP(N239&amp;P239,'Historico Vendas'!G:G,'Historico Vendas'!E:E),0)</f>
        <v>0</v>
      </c>
      <c r="AF239" s="29" t="str">
        <f t="shared" si="94"/>
        <v/>
      </c>
      <c r="AG239" s="24">
        <f>IFERROR(_xlfn.XLOOKUP(N239&amp;P239,'Historico Vendas'!G:G,'Historico Vendas'!F:F),0)</f>
        <v>0</v>
      </c>
      <c r="AH239" s="25">
        <f t="shared" si="114"/>
        <v>0</v>
      </c>
      <c r="AI239" s="24">
        <f t="shared" si="115"/>
        <v>0</v>
      </c>
      <c r="AJ239" s="11" t="str">
        <f t="shared" si="95"/>
        <v/>
      </c>
      <c r="AK239" s="9" t="s">
        <v>102</v>
      </c>
      <c r="AL239" s="13">
        <f>IFERROR(INDEX('Balizador da Meta'!$D$3:$F$23,MATCH(Quantidade!$P239,'Balizador da Meta'!$C$3:$C$23,0),MATCH(Quantidade!AK239,'Balizador da Meta'!$D$2:$F$2,0)),"")</f>
        <v>0.2</v>
      </c>
      <c r="AM239" s="9"/>
    </row>
    <row r="240" spans="1:39" x14ac:dyDescent="0.3">
      <c r="A240" s="2" t="str">
        <f t="shared" si="92"/>
        <v>NÃO</v>
      </c>
      <c r="B240" s="2" t="str">
        <f>_xlfn.XLOOKUP($N240,'Base de Grupos'!$A:$A,'Base de Grupos'!$D:$D)</f>
        <v>1000065763</v>
      </c>
      <c r="C240" s="5" t="str">
        <f>_xlfn.XLOOKUP($N240,'Base de Grupos'!$A:$A,'Base de Grupos'!$E:$E)</f>
        <v>CANAL VENDA INTERNA</v>
      </c>
      <c r="D240" s="5" t="str">
        <f>_xlfn.XLOOKUP($N240,'Base de Grupos'!$A:$A,'Base de Grupos'!$F:$F)</f>
        <v>1000065763</v>
      </c>
      <c r="E240" s="2" t="str">
        <f>_xlfn.XLOOKUP($N240,'Base de Grupos'!$A:$A,'Base de Grupos'!$G:$G)</f>
        <v>CANAL VENDA INTERNA</v>
      </c>
      <c r="F240" s="2" t="str">
        <f>_xlfn.XLOOKUP($N240,'Base de Grupos'!$A:$A,'Base de Grupos'!$H:$H)</f>
        <v>1000105900</v>
      </c>
      <c r="G240" s="5" t="str">
        <f>_xlfn.XLOOKUP($N240,'Base de Grupos'!$A:$A,'Base de Grupos'!$I:$I)</f>
        <v>REGIONAL VENDA DIRETA CO + NE + NO</v>
      </c>
      <c r="H240" s="5" t="str">
        <f>_xlfn.XLOOKUP($N240,'Base de Grupos'!$A:$A,'Base de Grupos'!$J:$J)</f>
        <v>1000105900</v>
      </c>
      <c r="I240" s="2" t="str">
        <f>_xlfn.XLOOKUP($N240,'Base de Grupos'!$A:$A,'Base de Grupos'!$K:$K)</f>
        <v>REGIONAL VENDA DIRETA CO + NE + NO</v>
      </c>
      <c r="J240" s="2" t="str">
        <f>_xlfn.XLOOKUP($N240,'Base de Grupos'!$A:$A,'Base de Grupos'!$L:$L)</f>
        <v>1000150135</v>
      </c>
      <c r="K240" s="5" t="str">
        <f>_xlfn.XLOOKUP($N240,'Base de Grupos'!$A:$A,'Base de Grupos'!$M:$M)</f>
        <v>HELDER DA SILVA BRUNKOW</v>
      </c>
      <c r="L240" s="5" t="str">
        <f t="shared" si="93"/>
        <v/>
      </c>
      <c r="M240" s="5" t="str">
        <f>_xlfn.XLOOKUP($N240,'Base de Grupos'!$A:$A,'Base de Grupos'!$C:$C)</f>
        <v>AM</v>
      </c>
      <c r="N240" s="3">
        <v>1351</v>
      </c>
      <c r="O240" s="4" t="s">
        <v>237</v>
      </c>
      <c r="P240" s="5" t="s">
        <v>84</v>
      </c>
      <c r="Q240" s="24">
        <v>0</v>
      </c>
      <c r="R240" s="24">
        <v>0</v>
      </c>
      <c r="S240" s="24">
        <v>0</v>
      </c>
      <c r="T240" s="24">
        <v>0</v>
      </c>
      <c r="U240" s="24">
        <v>0</v>
      </c>
      <c r="V240" s="24">
        <v>0</v>
      </c>
      <c r="W240" s="24">
        <v>0</v>
      </c>
      <c r="X240" s="24">
        <v>0</v>
      </c>
      <c r="Y240" s="24">
        <v>0</v>
      </c>
      <c r="Z240" s="24">
        <v>0</v>
      </c>
      <c r="AA240" s="24">
        <v>0</v>
      </c>
      <c r="AB240" s="24">
        <v>0</v>
      </c>
      <c r="AC240" s="30">
        <f t="shared" si="111"/>
        <v>0</v>
      </c>
      <c r="AD240" s="27">
        <f t="shared" si="113"/>
        <v>0</v>
      </c>
      <c r="AE240" s="25">
        <f>IFERROR(_xlfn.XLOOKUP(N240&amp;P240,'Historico Vendas'!G:G,'Historico Vendas'!E:E),0)</f>
        <v>0</v>
      </c>
      <c r="AF240" s="29" t="str">
        <f t="shared" si="94"/>
        <v/>
      </c>
      <c r="AG240" s="24">
        <f>IFERROR(_xlfn.XLOOKUP(N240&amp;P240,'Historico Vendas'!G:G,'Historico Vendas'!F:F),0)</f>
        <v>0</v>
      </c>
      <c r="AH240" s="25">
        <f t="shared" si="114"/>
        <v>0</v>
      </c>
      <c r="AI240" s="24">
        <f t="shared" si="115"/>
        <v>0</v>
      </c>
      <c r="AJ240" s="11" t="str">
        <f t="shared" si="95"/>
        <v/>
      </c>
      <c r="AK240" s="9" t="s">
        <v>102</v>
      </c>
      <c r="AL240" s="13">
        <f>IFERROR(INDEX('Balizador da Meta'!$D$3:$F$23,MATCH(Quantidade!$P240,'Balizador da Meta'!$C$3:$C$23,0),MATCH(Quantidade!AK240,'Balizador da Meta'!$D$2:$F$2,0)),"")</f>
        <v>0.15</v>
      </c>
      <c r="AM240" s="9"/>
    </row>
    <row r="241" spans="1:39" x14ac:dyDescent="0.3">
      <c r="A241" s="2" t="str">
        <f t="shared" si="92"/>
        <v>NÃO</v>
      </c>
      <c r="B241" s="2" t="str">
        <f>_xlfn.XLOOKUP($N241,'Base de Grupos'!$A:$A,'Base de Grupos'!$D:$D)</f>
        <v>1000065763</v>
      </c>
      <c r="C241" s="5" t="str">
        <f>_xlfn.XLOOKUP($N241,'Base de Grupos'!$A:$A,'Base de Grupos'!$E:$E)</f>
        <v>CANAL VENDA INTERNA</v>
      </c>
      <c r="D241" s="5" t="str">
        <f>_xlfn.XLOOKUP($N241,'Base de Grupos'!$A:$A,'Base de Grupos'!$F:$F)</f>
        <v>1000065763</v>
      </c>
      <c r="E241" s="2" t="str">
        <f>_xlfn.XLOOKUP($N241,'Base de Grupos'!$A:$A,'Base de Grupos'!$G:$G)</f>
        <v>CANAL VENDA INTERNA</v>
      </c>
      <c r="F241" s="2" t="str">
        <f>_xlfn.XLOOKUP($N241,'Base de Grupos'!$A:$A,'Base de Grupos'!$H:$H)</f>
        <v>1000105900</v>
      </c>
      <c r="G241" s="5" t="str">
        <f>_xlfn.XLOOKUP($N241,'Base de Grupos'!$A:$A,'Base de Grupos'!$I:$I)</f>
        <v>REGIONAL VENDA DIRETA CO + NE + NO</v>
      </c>
      <c r="H241" s="5" t="str">
        <f>_xlfn.XLOOKUP($N241,'Base de Grupos'!$A:$A,'Base de Grupos'!$J:$J)</f>
        <v>1000105900</v>
      </c>
      <c r="I241" s="2" t="str">
        <f>_xlfn.XLOOKUP($N241,'Base de Grupos'!$A:$A,'Base de Grupos'!$K:$K)</f>
        <v>REGIONAL VENDA DIRETA CO + NE + NO</v>
      </c>
      <c r="J241" s="2" t="str">
        <f>_xlfn.XLOOKUP($N241,'Base de Grupos'!$A:$A,'Base de Grupos'!$L:$L)</f>
        <v>1000150135</v>
      </c>
      <c r="K241" s="5" t="str">
        <f>_xlfn.XLOOKUP($N241,'Base de Grupos'!$A:$A,'Base de Grupos'!$M:$M)</f>
        <v>HELDER DA SILVA BRUNKOW</v>
      </c>
      <c r="L241" s="5" t="str">
        <f t="shared" si="93"/>
        <v/>
      </c>
      <c r="M241" s="5" t="str">
        <f>_xlfn.XLOOKUP($N241,'Base de Grupos'!$A:$A,'Base de Grupos'!$C:$C)</f>
        <v>AM</v>
      </c>
      <c r="N241" s="3">
        <v>1351</v>
      </c>
      <c r="O241" s="4" t="s">
        <v>237</v>
      </c>
      <c r="P241" s="5" t="s">
        <v>83</v>
      </c>
      <c r="Q241" s="24">
        <v>0</v>
      </c>
      <c r="R241" s="24">
        <v>0</v>
      </c>
      <c r="S241" s="24">
        <v>0</v>
      </c>
      <c r="T241" s="24">
        <v>0</v>
      </c>
      <c r="U241" s="24">
        <v>0</v>
      </c>
      <c r="V241" s="24">
        <v>0</v>
      </c>
      <c r="W241" s="24">
        <v>0</v>
      </c>
      <c r="X241" s="24">
        <v>0</v>
      </c>
      <c r="Y241" s="24">
        <v>0</v>
      </c>
      <c r="Z241" s="24">
        <v>0</v>
      </c>
      <c r="AA241" s="24">
        <v>0</v>
      </c>
      <c r="AB241" s="24">
        <v>0</v>
      </c>
      <c r="AC241" s="30">
        <f t="shared" si="111"/>
        <v>0</v>
      </c>
      <c r="AD241" s="27">
        <f t="shared" si="113"/>
        <v>0</v>
      </c>
      <c r="AE241" s="25">
        <f>IFERROR(_xlfn.XLOOKUP(N241&amp;P241,'Historico Vendas'!G:G,'Historico Vendas'!E:E),0)</f>
        <v>0</v>
      </c>
      <c r="AF241" s="29" t="str">
        <f t="shared" si="94"/>
        <v/>
      </c>
      <c r="AG241" s="24">
        <f>IFERROR(_xlfn.XLOOKUP(N241&amp;P241,'Historico Vendas'!G:G,'Historico Vendas'!F:F),0)</f>
        <v>0</v>
      </c>
      <c r="AH241" s="25">
        <f t="shared" si="114"/>
        <v>0</v>
      </c>
      <c r="AI241" s="24">
        <f t="shared" si="115"/>
        <v>0</v>
      </c>
      <c r="AJ241" s="11" t="str">
        <f t="shared" si="95"/>
        <v/>
      </c>
      <c r="AK241" s="9" t="s">
        <v>102</v>
      </c>
      <c r="AL241" s="13">
        <f>IFERROR(INDEX('Balizador da Meta'!$D$3:$F$23,MATCH(Quantidade!$P241,'Balizador da Meta'!$C$3:$C$23,0),MATCH(Quantidade!AK241,'Balizador da Meta'!$D$2:$F$2,0)),"")</f>
        <v>0</v>
      </c>
      <c r="AM241" s="9"/>
    </row>
    <row r="242" spans="1:39" x14ac:dyDescent="0.3">
      <c r="A242" s="2" t="str">
        <f t="shared" si="92"/>
        <v>NÃO</v>
      </c>
      <c r="B242" s="2" t="str">
        <f>_xlfn.XLOOKUP($N242,'Base de Grupos'!$A:$A,'Base de Grupos'!$D:$D)</f>
        <v>1000065763</v>
      </c>
      <c r="C242" s="5" t="str">
        <f>_xlfn.XLOOKUP($N242,'Base de Grupos'!$A:$A,'Base de Grupos'!$E:$E)</f>
        <v>CANAL VENDA INTERNA</v>
      </c>
      <c r="D242" s="5" t="str">
        <f>_xlfn.XLOOKUP($N242,'Base de Grupos'!$A:$A,'Base de Grupos'!$F:$F)</f>
        <v>1000065763</v>
      </c>
      <c r="E242" s="2" t="str">
        <f>_xlfn.XLOOKUP($N242,'Base de Grupos'!$A:$A,'Base de Grupos'!$G:$G)</f>
        <v>CANAL VENDA INTERNA</v>
      </c>
      <c r="F242" s="2" t="str">
        <f>_xlfn.XLOOKUP($N242,'Base de Grupos'!$A:$A,'Base de Grupos'!$H:$H)</f>
        <v>1000105900</v>
      </c>
      <c r="G242" s="5" t="str">
        <f>_xlfn.XLOOKUP($N242,'Base de Grupos'!$A:$A,'Base de Grupos'!$I:$I)</f>
        <v>REGIONAL VENDA DIRETA CO + NE + NO</v>
      </c>
      <c r="H242" s="5" t="str">
        <f>_xlfn.XLOOKUP($N242,'Base de Grupos'!$A:$A,'Base de Grupos'!$J:$J)</f>
        <v>1000105900</v>
      </c>
      <c r="I242" s="2" t="str">
        <f>_xlfn.XLOOKUP($N242,'Base de Grupos'!$A:$A,'Base de Grupos'!$K:$K)</f>
        <v>REGIONAL VENDA DIRETA CO + NE + NO</v>
      </c>
      <c r="J242" s="2" t="str">
        <f>_xlfn.XLOOKUP($N242,'Base de Grupos'!$A:$A,'Base de Grupos'!$L:$L)</f>
        <v>1000150135</v>
      </c>
      <c r="K242" s="5" t="str">
        <f>_xlfn.XLOOKUP($N242,'Base de Grupos'!$A:$A,'Base de Grupos'!$M:$M)</f>
        <v>HELDER DA SILVA BRUNKOW</v>
      </c>
      <c r="L242" s="5" t="str">
        <f t="shared" si="93"/>
        <v/>
      </c>
      <c r="M242" s="5" t="str">
        <f>_xlfn.XLOOKUP($N242,'Base de Grupos'!$A:$A,'Base de Grupos'!$C:$C)</f>
        <v>AM</v>
      </c>
      <c r="N242" s="3">
        <v>1351</v>
      </c>
      <c r="O242" s="4" t="s">
        <v>237</v>
      </c>
      <c r="P242" s="5" t="s">
        <v>87</v>
      </c>
      <c r="Q242" s="24">
        <v>0</v>
      </c>
      <c r="R242" s="24">
        <v>0</v>
      </c>
      <c r="S242" s="24">
        <v>0</v>
      </c>
      <c r="T242" s="24">
        <v>0</v>
      </c>
      <c r="U242" s="24">
        <v>0</v>
      </c>
      <c r="V242" s="24">
        <v>0</v>
      </c>
      <c r="W242" s="24">
        <v>0</v>
      </c>
      <c r="X242" s="24">
        <v>0</v>
      </c>
      <c r="Y242" s="24">
        <v>0</v>
      </c>
      <c r="Z242" s="24">
        <v>0</v>
      </c>
      <c r="AA242" s="24">
        <v>0</v>
      </c>
      <c r="AB242" s="24">
        <v>0</v>
      </c>
      <c r="AC242" s="30">
        <f t="shared" si="111"/>
        <v>0</v>
      </c>
      <c r="AD242" s="27">
        <f t="shared" si="113"/>
        <v>0</v>
      </c>
      <c r="AE242" s="25">
        <f>IFERROR(_xlfn.XLOOKUP(N242&amp;P242,'Historico Vendas'!G:G,'Historico Vendas'!E:E),0)</f>
        <v>0</v>
      </c>
      <c r="AF242" s="29" t="str">
        <f t="shared" si="94"/>
        <v/>
      </c>
      <c r="AG242" s="24">
        <f>IFERROR(_xlfn.XLOOKUP(N242&amp;P242,'Historico Vendas'!G:G,'Historico Vendas'!F:F),0)</f>
        <v>0</v>
      </c>
      <c r="AH242" s="25">
        <f t="shared" si="114"/>
        <v>0</v>
      </c>
      <c r="AI242" s="24">
        <f t="shared" si="115"/>
        <v>0</v>
      </c>
      <c r="AJ242" s="11" t="str">
        <f t="shared" si="95"/>
        <v/>
      </c>
      <c r="AK242" s="9" t="s">
        <v>102</v>
      </c>
      <c r="AL242" s="13">
        <f>IFERROR(INDEX('Balizador da Meta'!$D$3:$F$23,MATCH(Quantidade!$P242,'Balizador da Meta'!$C$3:$C$23,0),MATCH(Quantidade!AK242,'Balizador da Meta'!$D$2:$F$2,0)),"")</f>
        <v>0</v>
      </c>
      <c r="AM242" s="9"/>
    </row>
    <row r="243" spans="1:39" x14ac:dyDescent="0.3">
      <c r="A243" s="2" t="str">
        <f t="shared" si="92"/>
        <v>NÃO</v>
      </c>
      <c r="B243" s="2" t="str">
        <f>_xlfn.XLOOKUP($N243,'Base de Grupos'!$A:$A,'Base de Grupos'!$D:$D)</f>
        <v>1000065763</v>
      </c>
      <c r="C243" s="5" t="str">
        <f>_xlfn.XLOOKUP($N243,'Base de Grupos'!$A:$A,'Base de Grupos'!$E:$E)</f>
        <v>CANAL VENDA INTERNA</v>
      </c>
      <c r="D243" s="5" t="str">
        <f>_xlfn.XLOOKUP($N243,'Base de Grupos'!$A:$A,'Base de Grupos'!$F:$F)</f>
        <v>1000065763</v>
      </c>
      <c r="E243" s="2" t="str">
        <f>_xlfn.XLOOKUP($N243,'Base de Grupos'!$A:$A,'Base de Grupos'!$G:$G)</f>
        <v>CANAL VENDA INTERNA</v>
      </c>
      <c r="F243" s="2" t="str">
        <f>_xlfn.XLOOKUP($N243,'Base de Grupos'!$A:$A,'Base de Grupos'!$H:$H)</f>
        <v>1000105900</v>
      </c>
      <c r="G243" s="5" t="str">
        <f>_xlfn.XLOOKUP($N243,'Base de Grupos'!$A:$A,'Base de Grupos'!$I:$I)</f>
        <v>REGIONAL VENDA DIRETA CO + NE + NO</v>
      </c>
      <c r="H243" s="5" t="str">
        <f>_xlfn.XLOOKUP($N243,'Base de Grupos'!$A:$A,'Base de Grupos'!$J:$J)</f>
        <v>1000105900</v>
      </c>
      <c r="I243" s="2" t="str">
        <f>_xlfn.XLOOKUP($N243,'Base de Grupos'!$A:$A,'Base de Grupos'!$K:$K)</f>
        <v>REGIONAL VENDA DIRETA CO + NE + NO</v>
      </c>
      <c r="J243" s="2" t="str">
        <f>_xlfn.XLOOKUP($N243,'Base de Grupos'!$A:$A,'Base de Grupos'!$L:$L)</f>
        <v>1000150135</v>
      </c>
      <c r="K243" s="5" t="str">
        <f>_xlfn.XLOOKUP($N243,'Base de Grupos'!$A:$A,'Base de Grupos'!$M:$M)</f>
        <v>HELDER DA SILVA BRUNKOW</v>
      </c>
      <c r="L243" s="5" t="str">
        <f t="shared" si="93"/>
        <v/>
      </c>
      <c r="M243" s="5" t="str">
        <f>_xlfn.XLOOKUP($N243,'Base de Grupos'!$A:$A,'Base de Grupos'!$C:$C)</f>
        <v>AM</v>
      </c>
      <c r="N243" s="3">
        <v>1351</v>
      </c>
      <c r="O243" s="4" t="s">
        <v>237</v>
      </c>
      <c r="P243" s="5" t="s">
        <v>85</v>
      </c>
      <c r="Q243" s="24">
        <v>0</v>
      </c>
      <c r="R243" s="24">
        <v>0</v>
      </c>
      <c r="S243" s="24">
        <v>0</v>
      </c>
      <c r="T243" s="24">
        <v>0</v>
      </c>
      <c r="U243" s="24">
        <v>0</v>
      </c>
      <c r="V243" s="24">
        <v>0</v>
      </c>
      <c r="W243" s="24">
        <v>0</v>
      </c>
      <c r="X243" s="24">
        <v>0</v>
      </c>
      <c r="Y243" s="24">
        <v>0</v>
      </c>
      <c r="Z243" s="24">
        <v>0</v>
      </c>
      <c r="AA243" s="24">
        <v>0</v>
      </c>
      <c r="AB243" s="24">
        <v>0</v>
      </c>
      <c r="AC243" s="30">
        <f t="shared" si="111"/>
        <v>0</v>
      </c>
      <c r="AD243" s="27">
        <f t="shared" si="113"/>
        <v>0</v>
      </c>
      <c r="AE243" s="25">
        <f>IFERROR(_xlfn.XLOOKUP(N243&amp;P243,'Historico Vendas'!G:G,'Historico Vendas'!E:E),0)</f>
        <v>0</v>
      </c>
      <c r="AF243" s="29" t="str">
        <f t="shared" si="94"/>
        <v/>
      </c>
      <c r="AG243" s="24">
        <f>IFERROR(_xlfn.XLOOKUP(N243&amp;P243,'Historico Vendas'!G:G,'Historico Vendas'!F:F),0)</f>
        <v>0</v>
      </c>
      <c r="AH243" s="25">
        <f t="shared" si="114"/>
        <v>0</v>
      </c>
      <c r="AI243" s="24">
        <f t="shared" si="115"/>
        <v>0</v>
      </c>
      <c r="AJ243" s="11" t="str">
        <f t="shared" si="95"/>
        <v/>
      </c>
      <c r="AK243" s="9" t="s">
        <v>102</v>
      </c>
      <c r="AL243" s="13">
        <f>IFERROR(INDEX('Balizador da Meta'!$D$3:$F$23,MATCH(Quantidade!$P243,'Balizador da Meta'!$C$3:$C$23,0),MATCH(Quantidade!AK243,'Balizador da Meta'!$D$2:$F$2,0)),"")</f>
        <v>0</v>
      </c>
      <c r="AM243" s="9"/>
    </row>
    <row r="244" spans="1:39" x14ac:dyDescent="0.3">
      <c r="A244" s="2" t="str">
        <f t="shared" si="92"/>
        <v>NÃO</v>
      </c>
      <c r="B244" s="2" t="str">
        <f>_xlfn.XLOOKUP($N244,'Base de Grupos'!$A:$A,'Base de Grupos'!$D:$D)</f>
        <v>1000065763</v>
      </c>
      <c r="C244" s="5" t="str">
        <f>_xlfn.XLOOKUP($N244,'Base de Grupos'!$A:$A,'Base de Grupos'!$E:$E)</f>
        <v>CANAL VENDA INTERNA</v>
      </c>
      <c r="D244" s="5" t="str">
        <f>_xlfn.XLOOKUP($N244,'Base de Grupos'!$A:$A,'Base de Grupos'!$F:$F)</f>
        <v>1000065763</v>
      </c>
      <c r="E244" s="2" t="str">
        <f>_xlfn.XLOOKUP($N244,'Base de Grupos'!$A:$A,'Base de Grupos'!$G:$G)</f>
        <v>CANAL VENDA INTERNA</v>
      </c>
      <c r="F244" s="2" t="str">
        <f>_xlfn.XLOOKUP($N244,'Base de Grupos'!$A:$A,'Base de Grupos'!$H:$H)</f>
        <v>1000105900</v>
      </c>
      <c r="G244" s="5" t="str">
        <f>_xlfn.XLOOKUP($N244,'Base de Grupos'!$A:$A,'Base de Grupos'!$I:$I)</f>
        <v>REGIONAL VENDA DIRETA CO + NE + NO</v>
      </c>
      <c r="H244" s="5" t="str">
        <f>_xlfn.XLOOKUP($N244,'Base de Grupos'!$A:$A,'Base de Grupos'!$J:$J)</f>
        <v>1000105900</v>
      </c>
      <c r="I244" s="2" t="str">
        <f>_xlfn.XLOOKUP($N244,'Base de Grupos'!$A:$A,'Base de Grupos'!$K:$K)</f>
        <v>REGIONAL VENDA DIRETA CO + NE + NO</v>
      </c>
      <c r="J244" s="2" t="str">
        <f>_xlfn.XLOOKUP($N244,'Base de Grupos'!$A:$A,'Base de Grupos'!$L:$L)</f>
        <v>1000150135</v>
      </c>
      <c r="K244" s="5" t="str">
        <f>_xlfn.XLOOKUP($N244,'Base de Grupos'!$A:$A,'Base de Grupos'!$M:$M)</f>
        <v>HELDER DA SILVA BRUNKOW</v>
      </c>
      <c r="L244" s="5" t="str">
        <f t="shared" si="93"/>
        <v/>
      </c>
      <c r="M244" s="5" t="str">
        <f>_xlfn.XLOOKUP($N244,'Base de Grupos'!$A:$A,'Base de Grupos'!$C:$C)</f>
        <v>AM</v>
      </c>
      <c r="N244" s="3">
        <v>1351</v>
      </c>
      <c r="O244" s="4" t="s">
        <v>237</v>
      </c>
      <c r="P244" s="5" t="s">
        <v>92</v>
      </c>
      <c r="Q244" s="24">
        <v>0</v>
      </c>
      <c r="R244" s="24">
        <v>0</v>
      </c>
      <c r="S244" s="24">
        <v>0</v>
      </c>
      <c r="T244" s="24">
        <v>0</v>
      </c>
      <c r="U244" s="24">
        <v>0</v>
      </c>
      <c r="V244" s="24">
        <v>0</v>
      </c>
      <c r="W244" s="24">
        <v>0</v>
      </c>
      <c r="X244" s="24">
        <v>0</v>
      </c>
      <c r="Y244" s="24">
        <v>0</v>
      </c>
      <c r="Z244" s="24">
        <v>0</v>
      </c>
      <c r="AA244" s="24">
        <v>0</v>
      </c>
      <c r="AB244" s="24">
        <v>0</v>
      </c>
      <c r="AC244" s="30">
        <f t="shared" si="111"/>
        <v>0</v>
      </c>
      <c r="AD244" s="27">
        <f t="shared" si="113"/>
        <v>0</v>
      </c>
      <c r="AE244" s="25">
        <f>IFERROR(_xlfn.XLOOKUP(N244&amp;P244,'Historico Vendas'!G:G,'Historico Vendas'!E:E),0)</f>
        <v>0</v>
      </c>
      <c r="AF244" s="29" t="str">
        <f t="shared" si="94"/>
        <v/>
      </c>
      <c r="AG244" s="24">
        <f>IFERROR(_xlfn.XLOOKUP(N244&amp;P244,'Historico Vendas'!G:G,'Historico Vendas'!F:F),0)</f>
        <v>0</v>
      </c>
      <c r="AH244" s="25">
        <f t="shared" si="114"/>
        <v>0</v>
      </c>
      <c r="AI244" s="24">
        <f t="shared" si="115"/>
        <v>0</v>
      </c>
      <c r="AJ244" s="11" t="str">
        <f t="shared" si="95"/>
        <v/>
      </c>
      <c r="AK244" s="9" t="s">
        <v>102</v>
      </c>
      <c r="AL244" s="13">
        <f>IFERROR(INDEX('Balizador da Meta'!$D$3:$F$23,MATCH(Quantidade!$P244,'Balizador da Meta'!$C$3:$C$23,0),MATCH(Quantidade!AK244,'Balizador da Meta'!$D$2:$F$2,0)),"")</f>
        <v>0</v>
      </c>
      <c r="AM244" s="9"/>
    </row>
    <row r="245" spans="1:39" x14ac:dyDescent="0.3">
      <c r="A245" s="2" t="str">
        <f t="shared" si="92"/>
        <v>NÃO</v>
      </c>
      <c r="B245" s="2" t="str">
        <f>_xlfn.XLOOKUP($N245,'Base de Grupos'!$A:$A,'Base de Grupos'!$D:$D)</f>
        <v>1000065763</v>
      </c>
      <c r="C245" s="5" t="str">
        <f>_xlfn.XLOOKUP($N245,'Base de Grupos'!$A:$A,'Base de Grupos'!$E:$E)</f>
        <v>CANAL VENDA INTERNA</v>
      </c>
      <c r="D245" s="5" t="str">
        <f>_xlfn.XLOOKUP($N245,'Base de Grupos'!$A:$A,'Base de Grupos'!$F:$F)</f>
        <v>1000065763</v>
      </c>
      <c r="E245" s="2" t="str">
        <f>_xlfn.XLOOKUP($N245,'Base de Grupos'!$A:$A,'Base de Grupos'!$G:$G)</f>
        <v>CANAL VENDA INTERNA</v>
      </c>
      <c r="F245" s="2" t="str">
        <f>_xlfn.XLOOKUP($N245,'Base de Grupos'!$A:$A,'Base de Grupos'!$H:$H)</f>
        <v>1000105900</v>
      </c>
      <c r="G245" s="5" t="str">
        <f>_xlfn.XLOOKUP($N245,'Base de Grupos'!$A:$A,'Base de Grupos'!$I:$I)</f>
        <v>REGIONAL VENDA DIRETA CO + NE + NO</v>
      </c>
      <c r="H245" s="5" t="str">
        <f>_xlfn.XLOOKUP($N245,'Base de Grupos'!$A:$A,'Base de Grupos'!$J:$J)</f>
        <v>1000105900</v>
      </c>
      <c r="I245" s="2" t="str">
        <f>_xlfn.XLOOKUP($N245,'Base de Grupos'!$A:$A,'Base de Grupos'!$K:$K)</f>
        <v>REGIONAL VENDA DIRETA CO + NE + NO</v>
      </c>
      <c r="J245" s="2" t="str">
        <f>_xlfn.XLOOKUP($N245,'Base de Grupos'!$A:$A,'Base de Grupos'!$L:$L)</f>
        <v>1000150135</v>
      </c>
      <c r="K245" s="5" t="str">
        <f>_xlfn.XLOOKUP($N245,'Base de Grupos'!$A:$A,'Base de Grupos'!$M:$M)</f>
        <v>HELDER DA SILVA BRUNKOW</v>
      </c>
      <c r="L245" s="5" t="str">
        <f t="shared" si="93"/>
        <v/>
      </c>
      <c r="M245" s="5" t="str">
        <f>_xlfn.XLOOKUP($N245,'Base de Grupos'!$A:$A,'Base de Grupos'!$C:$C)</f>
        <v>AM</v>
      </c>
      <c r="N245" s="3">
        <v>1351</v>
      </c>
      <c r="O245" s="4" t="s">
        <v>237</v>
      </c>
      <c r="P245" s="5" t="s">
        <v>86</v>
      </c>
      <c r="Q245" s="24">
        <f>SUM(Q246:Q266)</f>
        <v>0</v>
      </c>
      <c r="R245" s="24">
        <f t="shared" ref="R245" si="116">SUM(R246:R266)</f>
        <v>0</v>
      </c>
      <c r="S245" s="24">
        <f t="shared" ref="S245" si="117">SUM(S246:S266)</f>
        <v>0</v>
      </c>
      <c r="T245" s="24">
        <f t="shared" ref="T245:AC245" si="118">SUM(T246:T266)</f>
        <v>0</v>
      </c>
      <c r="U245" s="24">
        <f t="shared" si="118"/>
        <v>0</v>
      </c>
      <c r="V245" s="24">
        <f t="shared" si="118"/>
        <v>0</v>
      </c>
      <c r="W245" s="24">
        <f t="shared" si="118"/>
        <v>0</v>
      </c>
      <c r="X245" s="24">
        <f t="shared" si="118"/>
        <v>0</v>
      </c>
      <c r="Y245" s="24">
        <f t="shared" si="118"/>
        <v>0</v>
      </c>
      <c r="Z245" s="24">
        <f t="shared" si="118"/>
        <v>0</v>
      </c>
      <c r="AA245" s="24">
        <f t="shared" si="118"/>
        <v>0</v>
      </c>
      <c r="AB245" s="24">
        <f t="shared" si="118"/>
        <v>0</v>
      </c>
      <c r="AC245" s="24">
        <f t="shared" si="118"/>
        <v>0</v>
      </c>
      <c r="AD245" s="27">
        <f t="shared" si="113"/>
        <v>0</v>
      </c>
      <c r="AE245" s="25">
        <f>IFERROR(_xlfn.XLOOKUP(N245&amp;P245,'Historico Vendas'!G:G,'Historico Vendas'!E:E),0)</f>
        <v>0</v>
      </c>
      <c r="AF245" s="29" t="str">
        <f t="shared" si="94"/>
        <v/>
      </c>
      <c r="AG245" s="24">
        <f>IFERROR(_xlfn.XLOOKUP(N245&amp;P245,'Historico Vendas'!G:G,'Historico Vendas'!F:F),0)</f>
        <v>0</v>
      </c>
      <c r="AH245" s="25">
        <f t="shared" si="114"/>
        <v>0</v>
      </c>
      <c r="AI245" s="24">
        <f t="shared" si="115"/>
        <v>0</v>
      </c>
      <c r="AJ245" s="11" t="str">
        <f t="shared" si="95"/>
        <v/>
      </c>
      <c r="AK245" s="9" t="s">
        <v>102</v>
      </c>
      <c r="AL245" s="13">
        <f>IFERROR(INDEX('Balizador da Meta'!$D$3:$F$23,MATCH(Quantidade!$P245,'Balizador da Meta'!$C$3:$C$23,0),MATCH(Quantidade!AK245,'Balizador da Meta'!$D$2:$F$2,0)),"")</f>
        <v>0.15</v>
      </c>
      <c r="AM245" s="9"/>
    </row>
    <row r="246" spans="1:39" x14ac:dyDescent="0.3">
      <c r="A246" s="2" t="str">
        <f t="shared" si="92"/>
        <v>NÃO</v>
      </c>
      <c r="B246" s="2" t="str">
        <f>_xlfn.XLOOKUP($N246,'Base de Grupos'!$A:$A,'Base de Grupos'!$D:$D)</f>
        <v>1000065763</v>
      </c>
      <c r="C246" s="5" t="str">
        <f>_xlfn.XLOOKUP($N246,'Base de Grupos'!$A:$A,'Base de Grupos'!$E:$E)</f>
        <v>CANAL VENDA INTERNA</v>
      </c>
      <c r="D246" s="5" t="str">
        <f>_xlfn.XLOOKUP($N246,'Base de Grupos'!$A:$A,'Base de Grupos'!$F:$F)</f>
        <v>1000065763</v>
      </c>
      <c r="E246" s="2" t="str">
        <f>_xlfn.XLOOKUP($N246,'Base de Grupos'!$A:$A,'Base de Grupos'!$G:$G)</f>
        <v>CANAL VENDA INTERNA</v>
      </c>
      <c r="F246" s="2" t="str">
        <f>_xlfn.XLOOKUP($N246,'Base de Grupos'!$A:$A,'Base de Grupos'!$H:$H)</f>
        <v>1000105900</v>
      </c>
      <c r="G246" s="5" t="str">
        <f>_xlfn.XLOOKUP($N246,'Base de Grupos'!$A:$A,'Base de Grupos'!$I:$I)</f>
        <v>REGIONAL VENDA DIRETA CO + NE + NO</v>
      </c>
      <c r="H246" s="5" t="str">
        <f>_xlfn.XLOOKUP($N246,'Base de Grupos'!$A:$A,'Base de Grupos'!$J:$J)</f>
        <v>1000105900</v>
      </c>
      <c r="I246" s="2" t="str">
        <f>_xlfn.XLOOKUP($N246,'Base de Grupos'!$A:$A,'Base de Grupos'!$K:$K)</f>
        <v>REGIONAL VENDA DIRETA CO + NE + NO</v>
      </c>
      <c r="J246" s="2" t="str">
        <f>_xlfn.XLOOKUP($N246,'Base de Grupos'!$A:$A,'Base de Grupos'!$L:$L)</f>
        <v>1000150135</v>
      </c>
      <c r="K246" s="5" t="str">
        <f>_xlfn.XLOOKUP($N246,'Base de Grupos'!$A:$A,'Base de Grupos'!$M:$M)</f>
        <v>HELDER DA SILVA BRUNKOW</v>
      </c>
      <c r="L246" s="5" t="str">
        <f t="shared" si="93"/>
        <v/>
      </c>
      <c r="M246" s="5" t="str">
        <f>_xlfn.XLOOKUP($N246,'Base de Grupos'!$A:$A,'Base de Grupos'!$C:$C)</f>
        <v>AM</v>
      </c>
      <c r="N246" s="3">
        <v>1351</v>
      </c>
      <c r="O246" s="4" t="s">
        <v>237</v>
      </c>
      <c r="P246" s="5" t="s">
        <v>108</v>
      </c>
      <c r="Q246" s="24">
        <v>0</v>
      </c>
      <c r="R246" s="24">
        <v>0</v>
      </c>
      <c r="S246" s="24">
        <v>0</v>
      </c>
      <c r="T246" s="24">
        <v>0</v>
      </c>
      <c r="U246" s="24">
        <v>0</v>
      </c>
      <c r="V246" s="24">
        <v>0</v>
      </c>
      <c r="W246" s="24">
        <v>0</v>
      </c>
      <c r="X246" s="24">
        <v>0</v>
      </c>
      <c r="Y246" s="24">
        <v>0</v>
      </c>
      <c r="Z246" s="24">
        <v>0</v>
      </c>
      <c r="AA246" s="24">
        <v>0</v>
      </c>
      <c r="AB246" s="24">
        <v>0</v>
      </c>
      <c r="AC246" s="30">
        <f t="shared" ref="AC246:AC266" si="119">SUM(T246:AB246)</f>
        <v>0</v>
      </c>
      <c r="AD246" s="27">
        <f t="shared" si="113"/>
        <v>0</v>
      </c>
      <c r="AE246" s="25">
        <f>IFERROR(_xlfn.XLOOKUP(N246&amp;P246,'Historico Vendas'!G:G,'Historico Vendas'!E:E),0)</f>
        <v>0</v>
      </c>
      <c r="AF246" s="29" t="str">
        <f t="shared" si="94"/>
        <v/>
      </c>
      <c r="AG246" s="24">
        <f>IFERROR(_xlfn.XLOOKUP(N246&amp;P246,'Historico Vendas'!G:G,'Historico Vendas'!F:F),0)</f>
        <v>0</v>
      </c>
      <c r="AH246" s="25">
        <f t="shared" si="114"/>
        <v>0</v>
      </c>
      <c r="AI246" s="24">
        <f t="shared" si="115"/>
        <v>0</v>
      </c>
      <c r="AJ246" s="11" t="str">
        <f t="shared" si="95"/>
        <v/>
      </c>
      <c r="AK246" s="9" t="s">
        <v>102</v>
      </c>
      <c r="AL246" s="13">
        <f>IFERROR(INDEX('Balizador da Meta'!$D$3:$F$23,MATCH(Quantidade!$P246,'Balizador da Meta'!$C$3:$C$23,0),MATCH(Quantidade!AK246,'Balizador da Meta'!$D$2:$F$2,0)),"")</f>
        <v>0</v>
      </c>
      <c r="AM246" s="9"/>
    </row>
    <row r="247" spans="1:39" x14ac:dyDescent="0.3">
      <c r="A247" s="2" t="str">
        <f t="shared" si="92"/>
        <v>NÃO</v>
      </c>
      <c r="B247" s="2" t="str">
        <f>_xlfn.XLOOKUP($N247,'Base de Grupos'!$A:$A,'Base de Grupos'!$D:$D)</f>
        <v>1000065763</v>
      </c>
      <c r="C247" s="5" t="str">
        <f>_xlfn.XLOOKUP($N247,'Base de Grupos'!$A:$A,'Base de Grupos'!$E:$E)</f>
        <v>CANAL VENDA INTERNA</v>
      </c>
      <c r="D247" s="5" t="str">
        <f>_xlfn.XLOOKUP($N247,'Base de Grupos'!$A:$A,'Base de Grupos'!$F:$F)</f>
        <v>1000065763</v>
      </c>
      <c r="E247" s="2" t="str">
        <f>_xlfn.XLOOKUP($N247,'Base de Grupos'!$A:$A,'Base de Grupos'!$G:$G)</f>
        <v>CANAL VENDA INTERNA</v>
      </c>
      <c r="F247" s="2" t="str">
        <f>_xlfn.XLOOKUP($N247,'Base de Grupos'!$A:$A,'Base de Grupos'!$H:$H)</f>
        <v>1000105900</v>
      </c>
      <c r="G247" s="5" t="str">
        <f>_xlfn.XLOOKUP($N247,'Base de Grupos'!$A:$A,'Base de Grupos'!$I:$I)</f>
        <v>REGIONAL VENDA DIRETA CO + NE + NO</v>
      </c>
      <c r="H247" s="5" t="str">
        <f>_xlfn.XLOOKUP($N247,'Base de Grupos'!$A:$A,'Base de Grupos'!$J:$J)</f>
        <v>1000105900</v>
      </c>
      <c r="I247" s="2" t="str">
        <f>_xlfn.XLOOKUP($N247,'Base de Grupos'!$A:$A,'Base de Grupos'!$K:$K)</f>
        <v>REGIONAL VENDA DIRETA CO + NE + NO</v>
      </c>
      <c r="J247" s="2" t="str">
        <f>_xlfn.XLOOKUP($N247,'Base de Grupos'!$A:$A,'Base de Grupos'!$L:$L)</f>
        <v>1000150135</v>
      </c>
      <c r="K247" s="5" t="str">
        <f>_xlfn.XLOOKUP($N247,'Base de Grupos'!$A:$A,'Base de Grupos'!$M:$M)</f>
        <v>HELDER DA SILVA BRUNKOW</v>
      </c>
      <c r="L247" s="5" t="str">
        <f t="shared" si="93"/>
        <v/>
      </c>
      <c r="M247" s="5" t="str">
        <f>_xlfn.XLOOKUP($N247,'Base de Grupos'!$A:$A,'Base de Grupos'!$C:$C)</f>
        <v>AM</v>
      </c>
      <c r="N247" s="3">
        <v>1351</v>
      </c>
      <c r="O247" s="4" t="s">
        <v>237</v>
      </c>
      <c r="P247" s="5" t="s">
        <v>89</v>
      </c>
      <c r="Q247" s="24">
        <v>0</v>
      </c>
      <c r="R247" s="24">
        <v>0</v>
      </c>
      <c r="S247" s="24">
        <v>0</v>
      </c>
      <c r="T247" s="24">
        <v>0</v>
      </c>
      <c r="U247" s="24">
        <v>0</v>
      </c>
      <c r="V247" s="24">
        <v>0</v>
      </c>
      <c r="W247" s="24">
        <v>0</v>
      </c>
      <c r="X247" s="24">
        <v>0</v>
      </c>
      <c r="Y247" s="24">
        <v>0</v>
      </c>
      <c r="Z247" s="24">
        <v>0</v>
      </c>
      <c r="AA247" s="24">
        <v>0</v>
      </c>
      <c r="AB247" s="24">
        <v>0</v>
      </c>
      <c r="AC247" s="30">
        <f t="shared" si="119"/>
        <v>0</v>
      </c>
      <c r="AD247" s="27">
        <f t="shared" si="113"/>
        <v>0</v>
      </c>
      <c r="AE247" s="25">
        <f>IFERROR(_xlfn.XLOOKUP(N247&amp;P247,'Historico Vendas'!G:G,'Historico Vendas'!E:E),0)</f>
        <v>0</v>
      </c>
      <c r="AF247" s="29" t="str">
        <f t="shared" si="94"/>
        <v/>
      </c>
      <c r="AG247" s="24">
        <f>IFERROR(_xlfn.XLOOKUP(N247&amp;P247,'Historico Vendas'!G:G,'Historico Vendas'!F:F),0)</f>
        <v>0</v>
      </c>
      <c r="AH247" s="25">
        <f t="shared" si="114"/>
        <v>0</v>
      </c>
      <c r="AI247" s="24">
        <f t="shared" si="115"/>
        <v>0</v>
      </c>
      <c r="AJ247" s="11" t="str">
        <f t="shared" si="95"/>
        <v/>
      </c>
      <c r="AK247" s="9" t="s">
        <v>102</v>
      </c>
      <c r="AL247" s="13">
        <f>IFERROR(INDEX('Balizador da Meta'!$D$3:$F$23,MATCH(Quantidade!$P247,'Balizador da Meta'!$C$3:$C$23,0),MATCH(Quantidade!AK247,'Balizador da Meta'!$D$2:$F$2,0)),"")</f>
        <v>0.25</v>
      </c>
      <c r="AM247" s="9"/>
    </row>
    <row r="248" spans="1:39" x14ac:dyDescent="0.3">
      <c r="A248" s="2" t="str">
        <f t="shared" si="92"/>
        <v>NÃO</v>
      </c>
      <c r="B248" s="2" t="str">
        <f>_xlfn.XLOOKUP($N248,'Base de Grupos'!$A:$A,'Base de Grupos'!$D:$D)</f>
        <v>1000065763</v>
      </c>
      <c r="C248" s="5" t="str">
        <f>_xlfn.XLOOKUP($N248,'Base de Grupos'!$A:$A,'Base de Grupos'!$E:$E)</f>
        <v>CANAL VENDA INTERNA</v>
      </c>
      <c r="D248" s="5" t="str">
        <f>_xlfn.XLOOKUP($N248,'Base de Grupos'!$A:$A,'Base de Grupos'!$F:$F)</f>
        <v>1000065763</v>
      </c>
      <c r="E248" s="2" t="str">
        <f>_xlfn.XLOOKUP($N248,'Base de Grupos'!$A:$A,'Base de Grupos'!$G:$G)</f>
        <v>CANAL VENDA INTERNA</v>
      </c>
      <c r="F248" s="2" t="str">
        <f>_xlfn.XLOOKUP($N248,'Base de Grupos'!$A:$A,'Base de Grupos'!$H:$H)</f>
        <v>1000105900</v>
      </c>
      <c r="G248" s="5" t="str">
        <f>_xlfn.XLOOKUP($N248,'Base de Grupos'!$A:$A,'Base de Grupos'!$I:$I)</f>
        <v>REGIONAL VENDA DIRETA CO + NE + NO</v>
      </c>
      <c r="H248" s="5" t="str">
        <f>_xlfn.XLOOKUP($N248,'Base de Grupos'!$A:$A,'Base de Grupos'!$J:$J)</f>
        <v>1000105900</v>
      </c>
      <c r="I248" s="2" t="str">
        <f>_xlfn.XLOOKUP($N248,'Base de Grupos'!$A:$A,'Base de Grupos'!$K:$K)</f>
        <v>REGIONAL VENDA DIRETA CO + NE + NO</v>
      </c>
      <c r="J248" s="2" t="str">
        <f>_xlfn.XLOOKUP($N248,'Base de Grupos'!$A:$A,'Base de Grupos'!$L:$L)</f>
        <v>1000150135</v>
      </c>
      <c r="K248" s="5" t="str">
        <f>_xlfn.XLOOKUP($N248,'Base de Grupos'!$A:$A,'Base de Grupos'!$M:$M)</f>
        <v>HELDER DA SILVA BRUNKOW</v>
      </c>
      <c r="L248" s="5" t="str">
        <f t="shared" si="93"/>
        <v/>
      </c>
      <c r="M248" s="5" t="str">
        <f>_xlfn.XLOOKUP($N248,'Base de Grupos'!$A:$A,'Base de Grupos'!$C:$C)</f>
        <v>AM</v>
      </c>
      <c r="N248" s="3">
        <v>1351</v>
      </c>
      <c r="O248" s="4" t="s">
        <v>237</v>
      </c>
      <c r="P248" s="5" t="s">
        <v>88</v>
      </c>
      <c r="Q248" s="24">
        <v>0</v>
      </c>
      <c r="R248" s="24">
        <v>0</v>
      </c>
      <c r="S248" s="24">
        <v>0</v>
      </c>
      <c r="T248" s="24">
        <v>0</v>
      </c>
      <c r="U248" s="24">
        <v>0</v>
      </c>
      <c r="V248" s="24">
        <v>0</v>
      </c>
      <c r="W248" s="24">
        <v>0</v>
      </c>
      <c r="X248" s="24">
        <v>0</v>
      </c>
      <c r="Y248" s="24">
        <v>0</v>
      </c>
      <c r="Z248" s="24">
        <v>0</v>
      </c>
      <c r="AA248" s="24">
        <v>0</v>
      </c>
      <c r="AB248" s="24">
        <v>0</v>
      </c>
      <c r="AC248" s="30">
        <f t="shared" si="119"/>
        <v>0</v>
      </c>
      <c r="AD248" s="27">
        <f t="shared" si="113"/>
        <v>0</v>
      </c>
      <c r="AE248" s="25">
        <f>IFERROR(_xlfn.XLOOKUP(N248&amp;P248,'Historico Vendas'!G:G,'Historico Vendas'!E:E),0)</f>
        <v>0</v>
      </c>
      <c r="AF248" s="29" t="str">
        <f t="shared" si="94"/>
        <v/>
      </c>
      <c r="AG248" s="24">
        <f>IFERROR(_xlfn.XLOOKUP(N248&amp;P248,'Historico Vendas'!G:G,'Historico Vendas'!F:F),0)</f>
        <v>0</v>
      </c>
      <c r="AH248" s="25">
        <f t="shared" si="114"/>
        <v>0</v>
      </c>
      <c r="AI248" s="24">
        <f t="shared" si="115"/>
        <v>0</v>
      </c>
      <c r="AJ248" s="11" t="str">
        <f t="shared" si="95"/>
        <v/>
      </c>
      <c r="AK248" s="9" t="s">
        <v>102</v>
      </c>
      <c r="AL248" s="13">
        <f>IFERROR(INDEX('Balizador da Meta'!$D$3:$F$23,MATCH(Quantidade!$P248,'Balizador da Meta'!$C$3:$C$23,0),MATCH(Quantidade!AK248,'Balizador da Meta'!$D$2:$F$2,0)),"")</f>
        <v>0</v>
      </c>
      <c r="AM248" s="9"/>
    </row>
    <row r="249" spans="1:39" x14ac:dyDescent="0.3">
      <c r="A249" s="2" t="str">
        <f t="shared" si="92"/>
        <v>NÃO</v>
      </c>
      <c r="B249" s="2" t="str">
        <f>_xlfn.XLOOKUP($N249,'Base de Grupos'!$A:$A,'Base de Grupos'!$D:$D)</f>
        <v>1000065763</v>
      </c>
      <c r="C249" s="5" t="str">
        <f>_xlfn.XLOOKUP($N249,'Base de Grupos'!$A:$A,'Base de Grupos'!$E:$E)</f>
        <v>CANAL VENDA INTERNA</v>
      </c>
      <c r="D249" s="5" t="str">
        <f>_xlfn.XLOOKUP($N249,'Base de Grupos'!$A:$A,'Base de Grupos'!$F:$F)</f>
        <v>1000065763</v>
      </c>
      <c r="E249" s="2" t="str">
        <f>_xlfn.XLOOKUP($N249,'Base de Grupos'!$A:$A,'Base de Grupos'!$G:$G)</f>
        <v>CANAL VENDA INTERNA</v>
      </c>
      <c r="F249" s="2" t="str">
        <f>_xlfn.XLOOKUP($N249,'Base de Grupos'!$A:$A,'Base de Grupos'!$H:$H)</f>
        <v>1000105900</v>
      </c>
      <c r="G249" s="5" t="str">
        <f>_xlfn.XLOOKUP($N249,'Base de Grupos'!$A:$A,'Base de Grupos'!$I:$I)</f>
        <v>REGIONAL VENDA DIRETA CO + NE + NO</v>
      </c>
      <c r="H249" s="5" t="str">
        <f>_xlfn.XLOOKUP($N249,'Base de Grupos'!$A:$A,'Base de Grupos'!$J:$J)</f>
        <v>1000105900</v>
      </c>
      <c r="I249" s="2" t="str">
        <f>_xlfn.XLOOKUP($N249,'Base de Grupos'!$A:$A,'Base de Grupos'!$K:$K)</f>
        <v>REGIONAL VENDA DIRETA CO + NE + NO</v>
      </c>
      <c r="J249" s="2" t="str">
        <f>_xlfn.XLOOKUP($N249,'Base de Grupos'!$A:$A,'Base de Grupos'!$L:$L)</f>
        <v>1000150135</v>
      </c>
      <c r="K249" s="5" t="str">
        <f>_xlfn.XLOOKUP($N249,'Base de Grupos'!$A:$A,'Base de Grupos'!$M:$M)</f>
        <v>HELDER DA SILVA BRUNKOW</v>
      </c>
      <c r="L249" s="5" t="str">
        <f t="shared" si="93"/>
        <v/>
      </c>
      <c r="M249" s="5" t="str">
        <f>_xlfn.XLOOKUP($N249,'Base de Grupos'!$A:$A,'Base de Grupos'!$C:$C)</f>
        <v>AM</v>
      </c>
      <c r="N249" s="3">
        <v>1351</v>
      </c>
      <c r="O249" s="4" t="s">
        <v>237</v>
      </c>
      <c r="P249" s="5" t="s">
        <v>90</v>
      </c>
      <c r="Q249" s="24">
        <v>0</v>
      </c>
      <c r="R249" s="24">
        <v>0</v>
      </c>
      <c r="S249" s="24">
        <v>0</v>
      </c>
      <c r="T249" s="24">
        <v>0</v>
      </c>
      <c r="U249" s="24">
        <v>0</v>
      </c>
      <c r="V249" s="24">
        <v>0</v>
      </c>
      <c r="W249" s="24">
        <v>0</v>
      </c>
      <c r="X249" s="24">
        <v>0</v>
      </c>
      <c r="Y249" s="24">
        <v>0</v>
      </c>
      <c r="Z249" s="24">
        <v>0</v>
      </c>
      <c r="AA249" s="24">
        <v>0</v>
      </c>
      <c r="AB249" s="24">
        <v>0</v>
      </c>
      <c r="AC249" s="30">
        <f t="shared" si="119"/>
        <v>0</v>
      </c>
      <c r="AD249" s="27">
        <f t="shared" si="113"/>
        <v>0</v>
      </c>
      <c r="AE249" s="25">
        <f>IFERROR(_xlfn.XLOOKUP(N249&amp;P249,'Historico Vendas'!G:G,'Historico Vendas'!E:E),0)</f>
        <v>0</v>
      </c>
      <c r="AF249" s="29" t="str">
        <f t="shared" si="94"/>
        <v/>
      </c>
      <c r="AG249" s="24">
        <f>IFERROR(_xlfn.XLOOKUP(N249&amp;P249,'Historico Vendas'!G:G,'Historico Vendas'!F:F),0)</f>
        <v>0</v>
      </c>
      <c r="AH249" s="25">
        <f t="shared" si="114"/>
        <v>0</v>
      </c>
      <c r="AI249" s="24">
        <f t="shared" si="115"/>
        <v>0</v>
      </c>
      <c r="AJ249" s="11" t="str">
        <f t="shared" si="95"/>
        <v/>
      </c>
      <c r="AK249" s="9" t="s">
        <v>102</v>
      </c>
      <c r="AL249" s="13">
        <f>IFERROR(INDEX('Balizador da Meta'!$D$3:$F$23,MATCH(Quantidade!$P249,'Balizador da Meta'!$C$3:$C$23,0),MATCH(Quantidade!AK249,'Balizador da Meta'!$D$2:$F$2,0)),"")</f>
        <v>0</v>
      </c>
      <c r="AM249" s="9"/>
    </row>
    <row r="250" spans="1:39" x14ac:dyDescent="0.3">
      <c r="A250" s="2" t="str">
        <f t="shared" si="92"/>
        <v>NÃO</v>
      </c>
      <c r="B250" s="2" t="str">
        <f>_xlfn.XLOOKUP($N250,'Base de Grupos'!$A:$A,'Base de Grupos'!$D:$D)</f>
        <v>1000065763</v>
      </c>
      <c r="C250" s="5" t="str">
        <f>_xlfn.XLOOKUP($N250,'Base de Grupos'!$A:$A,'Base de Grupos'!$E:$E)</f>
        <v>CANAL VENDA INTERNA</v>
      </c>
      <c r="D250" s="5" t="str">
        <f>_xlfn.XLOOKUP($N250,'Base de Grupos'!$A:$A,'Base de Grupos'!$F:$F)</f>
        <v>1000065763</v>
      </c>
      <c r="E250" s="2" t="str">
        <f>_xlfn.XLOOKUP($N250,'Base de Grupos'!$A:$A,'Base de Grupos'!$G:$G)</f>
        <v>CANAL VENDA INTERNA</v>
      </c>
      <c r="F250" s="2" t="str">
        <f>_xlfn.XLOOKUP($N250,'Base de Grupos'!$A:$A,'Base de Grupos'!$H:$H)</f>
        <v>1000105900</v>
      </c>
      <c r="G250" s="5" t="str">
        <f>_xlfn.XLOOKUP($N250,'Base de Grupos'!$A:$A,'Base de Grupos'!$I:$I)</f>
        <v>REGIONAL VENDA DIRETA CO + NE + NO</v>
      </c>
      <c r="H250" s="5" t="str">
        <f>_xlfn.XLOOKUP($N250,'Base de Grupos'!$A:$A,'Base de Grupos'!$J:$J)</f>
        <v>1000105900</v>
      </c>
      <c r="I250" s="2" t="str">
        <f>_xlfn.XLOOKUP($N250,'Base de Grupos'!$A:$A,'Base de Grupos'!$K:$K)</f>
        <v>REGIONAL VENDA DIRETA CO + NE + NO</v>
      </c>
      <c r="J250" s="2" t="str">
        <f>_xlfn.XLOOKUP($N250,'Base de Grupos'!$A:$A,'Base de Grupos'!$L:$L)</f>
        <v>1000150135</v>
      </c>
      <c r="K250" s="5" t="str">
        <f>_xlfn.XLOOKUP($N250,'Base de Grupos'!$A:$A,'Base de Grupos'!$M:$M)</f>
        <v>HELDER DA SILVA BRUNKOW</v>
      </c>
      <c r="L250" s="5" t="str">
        <f t="shared" si="93"/>
        <v/>
      </c>
      <c r="M250" s="5" t="str">
        <f>_xlfn.XLOOKUP($N250,'Base de Grupos'!$A:$A,'Base de Grupos'!$C:$C)</f>
        <v>AM</v>
      </c>
      <c r="N250" s="3">
        <v>1351</v>
      </c>
      <c r="O250" s="4" t="s">
        <v>237</v>
      </c>
      <c r="P250" s="5" t="s">
        <v>91</v>
      </c>
      <c r="Q250" s="24">
        <v>0</v>
      </c>
      <c r="R250" s="24">
        <v>0</v>
      </c>
      <c r="S250" s="24">
        <v>0</v>
      </c>
      <c r="T250" s="24">
        <v>0</v>
      </c>
      <c r="U250" s="24">
        <v>0</v>
      </c>
      <c r="V250" s="24">
        <v>0</v>
      </c>
      <c r="W250" s="24">
        <v>0</v>
      </c>
      <c r="X250" s="24">
        <v>0</v>
      </c>
      <c r="Y250" s="24">
        <v>0</v>
      </c>
      <c r="Z250" s="24">
        <v>0</v>
      </c>
      <c r="AA250" s="24">
        <v>0</v>
      </c>
      <c r="AB250" s="24">
        <v>0</v>
      </c>
      <c r="AC250" s="30">
        <f t="shared" si="119"/>
        <v>0</v>
      </c>
      <c r="AD250" s="27">
        <f t="shared" si="113"/>
        <v>0</v>
      </c>
      <c r="AE250" s="25">
        <f>IFERROR(_xlfn.XLOOKUP(N250&amp;P250,'Historico Vendas'!G:G,'Historico Vendas'!E:E),0)</f>
        <v>0</v>
      </c>
      <c r="AF250" s="29" t="str">
        <f t="shared" si="94"/>
        <v/>
      </c>
      <c r="AG250" s="24">
        <f>IFERROR(_xlfn.XLOOKUP(N250&amp;P250,'Historico Vendas'!G:G,'Historico Vendas'!F:F),0)</f>
        <v>0</v>
      </c>
      <c r="AH250" s="25">
        <f t="shared" si="114"/>
        <v>0</v>
      </c>
      <c r="AI250" s="24">
        <f t="shared" si="115"/>
        <v>0</v>
      </c>
      <c r="AJ250" s="11" t="str">
        <f t="shared" si="95"/>
        <v/>
      </c>
      <c r="AK250" s="9" t="s">
        <v>102</v>
      </c>
      <c r="AL250" s="13">
        <f>IFERROR(INDEX('Balizador da Meta'!$D$3:$F$23,MATCH(Quantidade!$P250,'Balizador da Meta'!$C$3:$C$23,0),MATCH(Quantidade!AK250,'Balizador da Meta'!$D$2:$F$2,0)),"")</f>
        <v>0</v>
      </c>
      <c r="AM250" s="9"/>
    </row>
    <row r="251" spans="1:39" x14ac:dyDescent="0.3">
      <c r="A251" s="2" t="str">
        <f t="shared" si="92"/>
        <v>NÃO</v>
      </c>
      <c r="B251" s="2" t="str">
        <f>_xlfn.XLOOKUP($N251,'Base de Grupos'!$A:$A,'Base de Grupos'!$D:$D)</f>
        <v>1000065763</v>
      </c>
      <c r="C251" s="5" t="str">
        <f>_xlfn.XLOOKUP($N251,'Base de Grupos'!$A:$A,'Base de Grupos'!$E:$E)</f>
        <v>CANAL VENDA INTERNA</v>
      </c>
      <c r="D251" s="5" t="str">
        <f>_xlfn.XLOOKUP($N251,'Base de Grupos'!$A:$A,'Base de Grupos'!$F:$F)</f>
        <v>1000065763</v>
      </c>
      <c r="E251" s="2" t="str">
        <f>_xlfn.XLOOKUP($N251,'Base de Grupos'!$A:$A,'Base de Grupos'!$G:$G)</f>
        <v>CANAL VENDA INTERNA</v>
      </c>
      <c r="F251" s="2" t="str">
        <f>_xlfn.XLOOKUP($N251,'Base de Grupos'!$A:$A,'Base de Grupos'!$H:$H)</f>
        <v>1000105900</v>
      </c>
      <c r="G251" s="5" t="str">
        <f>_xlfn.XLOOKUP($N251,'Base de Grupos'!$A:$A,'Base de Grupos'!$I:$I)</f>
        <v>REGIONAL VENDA DIRETA CO + NE + NO</v>
      </c>
      <c r="H251" s="5" t="str">
        <f>_xlfn.XLOOKUP($N251,'Base de Grupos'!$A:$A,'Base de Grupos'!$J:$J)</f>
        <v>1000105900</v>
      </c>
      <c r="I251" s="2" t="str">
        <f>_xlfn.XLOOKUP($N251,'Base de Grupos'!$A:$A,'Base de Grupos'!$K:$K)</f>
        <v>REGIONAL VENDA DIRETA CO + NE + NO</v>
      </c>
      <c r="J251" s="2" t="str">
        <f>_xlfn.XLOOKUP($N251,'Base de Grupos'!$A:$A,'Base de Grupos'!$L:$L)</f>
        <v>1000150135</v>
      </c>
      <c r="K251" s="5" t="str">
        <f>_xlfn.XLOOKUP($N251,'Base de Grupos'!$A:$A,'Base de Grupos'!$M:$M)</f>
        <v>HELDER DA SILVA BRUNKOW</v>
      </c>
      <c r="L251" s="5" t="str">
        <f t="shared" si="93"/>
        <v/>
      </c>
      <c r="M251" s="5" t="str">
        <f>_xlfn.XLOOKUP($N251,'Base de Grupos'!$A:$A,'Base de Grupos'!$C:$C)</f>
        <v>AM</v>
      </c>
      <c r="N251" s="3">
        <v>1351</v>
      </c>
      <c r="O251" s="4" t="s">
        <v>237</v>
      </c>
      <c r="P251" s="5" t="s">
        <v>96</v>
      </c>
      <c r="Q251" s="24">
        <v>0</v>
      </c>
      <c r="R251" s="24">
        <v>0</v>
      </c>
      <c r="S251" s="24">
        <v>0</v>
      </c>
      <c r="T251" s="24">
        <v>0</v>
      </c>
      <c r="U251" s="24">
        <v>0</v>
      </c>
      <c r="V251" s="24">
        <v>0</v>
      </c>
      <c r="W251" s="24">
        <v>0</v>
      </c>
      <c r="X251" s="24">
        <v>0</v>
      </c>
      <c r="Y251" s="24">
        <v>0</v>
      </c>
      <c r="Z251" s="24">
        <v>0</v>
      </c>
      <c r="AA251" s="24">
        <v>0</v>
      </c>
      <c r="AB251" s="24">
        <v>0</v>
      </c>
      <c r="AC251" s="30">
        <f t="shared" si="119"/>
        <v>0</v>
      </c>
      <c r="AD251" s="27">
        <f t="shared" si="113"/>
        <v>0</v>
      </c>
      <c r="AE251" s="25">
        <f>IFERROR(_xlfn.XLOOKUP(N251&amp;P251,'Historico Vendas'!G:G,'Historico Vendas'!E:E),0)</f>
        <v>0</v>
      </c>
      <c r="AF251" s="29" t="str">
        <f t="shared" si="94"/>
        <v/>
      </c>
      <c r="AG251" s="24">
        <f>IFERROR(_xlfn.XLOOKUP(N251&amp;P251,'Historico Vendas'!G:G,'Historico Vendas'!F:F),0)</f>
        <v>0</v>
      </c>
      <c r="AH251" s="25">
        <f t="shared" si="114"/>
        <v>0</v>
      </c>
      <c r="AI251" s="24">
        <f t="shared" si="115"/>
        <v>0</v>
      </c>
      <c r="AJ251" s="11" t="str">
        <f t="shared" si="95"/>
        <v/>
      </c>
      <c r="AK251" s="9" t="s">
        <v>102</v>
      </c>
      <c r="AL251" s="13">
        <f>IFERROR(INDEX('Balizador da Meta'!$D$3:$F$23,MATCH(Quantidade!$P251,'Balizador da Meta'!$C$3:$C$23,0),MATCH(Quantidade!AK251,'Balizador da Meta'!$D$2:$F$2,0)),"")</f>
        <v>0</v>
      </c>
      <c r="AM251" s="9"/>
    </row>
    <row r="252" spans="1:39" x14ac:dyDescent="0.3">
      <c r="A252" s="2" t="str">
        <f t="shared" si="92"/>
        <v>NÃO</v>
      </c>
      <c r="B252" s="2" t="str">
        <f>_xlfn.XLOOKUP($N252,'Base de Grupos'!$A:$A,'Base de Grupos'!$D:$D)</f>
        <v>1000065763</v>
      </c>
      <c r="C252" s="5" t="str">
        <f>_xlfn.XLOOKUP($N252,'Base de Grupos'!$A:$A,'Base de Grupos'!$E:$E)</f>
        <v>CANAL VENDA INTERNA</v>
      </c>
      <c r="D252" s="5" t="str">
        <f>_xlfn.XLOOKUP($N252,'Base de Grupos'!$A:$A,'Base de Grupos'!$F:$F)</f>
        <v>1000065763</v>
      </c>
      <c r="E252" s="2" t="str">
        <f>_xlfn.XLOOKUP($N252,'Base de Grupos'!$A:$A,'Base de Grupos'!$G:$G)</f>
        <v>CANAL VENDA INTERNA</v>
      </c>
      <c r="F252" s="2" t="str">
        <f>_xlfn.XLOOKUP($N252,'Base de Grupos'!$A:$A,'Base de Grupos'!$H:$H)</f>
        <v>1000105900</v>
      </c>
      <c r="G252" s="5" t="str">
        <f>_xlfn.XLOOKUP($N252,'Base de Grupos'!$A:$A,'Base de Grupos'!$I:$I)</f>
        <v>REGIONAL VENDA DIRETA CO + NE + NO</v>
      </c>
      <c r="H252" s="5" t="str">
        <f>_xlfn.XLOOKUP($N252,'Base de Grupos'!$A:$A,'Base de Grupos'!$J:$J)</f>
        <v>1000105900</v>
      </c>
      <c r="I252" s="2" t="str">
        <f>_xlfn.XLOOKUP($N252,'Base de Grupos'!$A:$A,'Base de Grupos'!$K:$K)</f>
        <v>REGIONAL VENDA DIRETA CO + NE + NO</v>
      </c>
      <c r="J252" s="2" t="str">
        <f>_xlfn.XLOOKUP($N252,'Base de Grupos'!$A:$A,'Base de Grupos'!$L:$L)</f>
        <v>1000150135</v>
      </c>
      <c r="K252" s="5" t="str">
        <f>_xlfn.XLOOKUP($N252,'Base de Grupos'!$A:$A,'Base de Grupos'!$M:$M)</f>
        <v>HELDER DA SILVA BRUNKOW</v>
      </c>
      <c r="L252" s="5" t="str">
        <f t="shared" si="93"/>
        <v/>
      </c>
      <c r="M252" s="5" t="str">
        <f>_xlfn.XLOOKUP($N252,'Base de Grupos'!$A:$A,'Base de Grupos'!$C:$C)</f>
        <v>AM</v>
      </c>
      <c r="N252" s="3">
        <v>1351</v>
      </c>
      <c r="O252" s="4" t="s">
        <v>237</v>
      </c>
      <c r="P252" s="5" t="s">
        <v>94</v>
      </c>
      <c r="Q252" s="24">
        <v>0</v>
      </c>
      <c r="R252" s="24">
        <v>0</v>
      </c>
      <c r="S252" s="24">
        <v>0</v>
      </c>
      <c r="T252" s="24">
        <v>0</v>
      </c>
      <c r="U252" s="24">
        <v>0</v>
      </c>
      <c r="V252" s="24">
        <v>0</v>
      </c>
      <c r="W252" s="24">
        <v>0</v>
      </c>
      <c r="X252" s="24">
        <v>0</v>
      </c>
      <c r="Y252" s="24">
        <v>0</v>
      </c>
      <c r="Z252" s="24">
        <v>0</v>
      </c>
      <c r="AA252" s="24">
        <v>0</v>
      </c>
      <c r="AB252" s="24">
        <v>0</v>
      </c>
      <c r="AC252" s="30">
        <f t="shared" si="119"/>
        <v>0</v>
      </c>
      <c r="AD252" s="27">
        <f t="shared" si="113"/>
        <v>0</v>
      </c>
      <c r="AE252" s="25">
        <f>IFERROR(_xlfn.XLOOKUP(N252&amp;P252,'Historico Vendas'!G:G,'Historico Vendas'!E:E),0)</f>
        <v>0</v>
      </c>
      <c r="AF252" s="29" t="str">
        <f t="shared" si="94"/>
        <v/>
      </c>
      <c r="AG252" s="24">
        <f>IFERROR(_xlfn.XLOOKUP(N252&amp;P252,'Historico Vendas'!G:G,'Historico Vendas'!F:F),0)</f>
        <v>0</v>
      </c>
      <c r="AH252" s="25">
        <f t="shared" si="114"/>
        <v>0</v>
      </c>
      <c r="AI252" s="24">
        <f t="shared" si="115"/>
        <v>0</v>
      </c>
      <c r="AJ252" s="11" t="str">
        <f t="shared" si="95"/>
        <v/>
      </c>
      <c r="AK252" s="9" t="s">
        <v>102</v>
      </c>
      <c r="AL252" s="13">
        <f>IFERROR(INDEX('Balizador da Meta'!$D$3:$F$23,MATCH(Quantidade!$P252,'Balizador da Meta'!$C$3:$C$23,0),MATCH(Quantidade!AK252,'Balizador da Meta'!$D$2:$F$2,0)),"")</f>
        <v>0.25</v>
      </c>
      <c r="AM252" s="9"/>
    </row>
    <row r="253" spans="1:39" x14ac:dyDescent="0.3">
      <c r="A253" s="2" t="str">
        <f t="shared" si="92"/>
        <v>NÃO</v>
      </c>
      <c r="B253" s="2" t="str">
        <f>_xlfn.XLOOKUP($N253,'Base de Grupos'!$A:$A,'Base de Grupos'!$D:$D)</f>
        <v>1000065763</v>
      </c>
      <c r="C253" s="5" t="str">
        <f>_xlfn.XLOOKUP($N253,'Base de Grupos'!$A:$A,'Base de Grupos'!$E:$E)</f>
        <v>CANAL VENDA INTERNA</v>
      </c>
      <c r="D253" s="5" t="str">
        <f>_xlfn.XLOOKUP($N253,'Base de Grupos'!$A:$A,'Base de Grupos'!$F:$F)</f>
        <v>1000065763</v>
      </c>
      <c r="E253" s="2" t="str">
        <f>_xlfn.XLOOKUP($N253,'Base de Grupos'!$A:$A,'Base de Grupos'!$G:$G)</f>
        <v>CANAL VENDA INTERNA</v>
      </c>
      <c r="F253" s="2" t="str">
        <f>_xlfn.XLOOKUP($N253,'Base de Grupos'!$A:$A,'Base de Grupos'!$H:$H)</f>
        <v>1000105900</v>
      </c>
      <c r="G253" s="5" t="str">
        <f>_xlfn.XLOOKUP($N253,'Base de Grupos'!$A:$A,'Base de Grupos'!$I:$I)</f>
        <v>REGIONAL VENDA DIRETA CO + NE + NO</v>
      </c>
      <c r="H253" s="5" t="str">
        <f>_xlfn.XLOOKUP($N253,'Base de Grupos'!$A:$A,'Base de Grupos'!$J:$J)</f>
        <v>1000105900</v>
      </c>
      <c r="I253" s="2" t="str">
        <f>_xlfn.XLOOKUP($N253,'Base de Grupos'!$A:$A,'Base de Grupos'!$K:$K)</f>
        <v>REGIONAL VENDA DIRETA CO + NE + NO</v>
      </c>
      <c r="J253" s="2" t="str">
        <f>_xlfn.XLOOKUP($N253,'Base de Grupos'!$A:$A,'Base de Grupos'!$L:$L)</f>
        <v>1000150135</v>
      </c>
      <c r="K253" s="5" t="str">
        <f>_xlfn.XLOOKUP($N253,'Base de Grupos'!$A:$A,'Base de Grupos'!$M:$M)</f>
        <v>HELDER DA SILVA BRUNKOW</v>
      </c>
      <c r="L253" s="5" t="str">
        <f t="shared" si="93"/>
        <v/>
      </c>
      <c r="M253" s="5" t="str">
        <f>_xlfn.XLOOKUP($N253,'Base de Grupos'!$A:$A,'Base de Grupos'!$C:$C)</f>
        <v>AM</v>
      </c>
      <c r="N253" s="3">
        <v>1351</v>
      </c>
      <c r="O253" s="4" t="s">
        <v>237</v>
      </c>
      <c r="P253" s="5" t="s">
        <v>95</v>
      </c>
      <c r="Q253" s="24">
        <v>0</v>
      </c>
      <c r="R253" s="24">
        <v>0</v>
      </c>
      <c r="S253" s="24">
        <v>0</v>
      </c>
      <c r="T253" s="24">
        <v>0</v>
      </c>
      <c r="U253" s="24">
        <v>0</v>
      </c>
      <c r="V253" s="24">
        <v>0</v>
      </c>
      <c r="W253" s="24">
        <v>0</v>
      </c>
      <c r="X253" s="24">
        <v>0</v>
      </c>
      <c r="Y253" s="24">
        <v>0</v>
      </c>
      <c r="Z253" s="24">
        <v>0</v>
      </c>
      <c r="AA253" s="24">
        <v>0</v>
      </c>
      <c r="AB253" s="24">
        <v>0</v>
      </c>
      <c r="AC253" s="30">
        <f t="shared" si="119"/>
        <v>0</v>
      </c>
      <c r="AD253" s="27">
        <f t="shared" si="113"/>
        <v>0</v>
      </c>
      <c r="AE253" s="25">
        <f>IFERROR(_xlfn.XLOOKUP(N253&amp;P253,'Historico Vendas'!G:G,'Historico Vendas'!E:E),0)</f>
        <v>0</v>
      </c>
      <c r="AF253" s="29" t="str">
        <f t="shared" si="94"/>
        <v/>
      </c>
      <c r="AG253" s="24">
        <f>IFERROR(_xlfn.XLOOKUP(N253&amp;P253,'Historico Vendas'!G:G,'Historico Vendas'!F:F),0)</f>
        <v>0</v>
      </c>
      <c r="AH253" s="25">
        <f t="shared" si="114"/>
        <v>0</v>
      </c>
      <c r="AI253" s="24">
        <f t="shared" si="115"/>
        <v>0</v>
      </c>
      <c r="AJ253" s="11" t="str">
        <f t="shared" si="95"/>
        <v/>
      </c>
      <c r="AK253" s="9" t="s">
        <v>102</v>
      </c>
      <c r="AL253" s="13">
        <f>IFERROR(INDEX('Balizador da Meta'!$D$3:$F$23,MATCH(Quantidade!$P253,'Balizador da Meta'!$C$3:$C$23,0),MATCH(Quantidade!AK253,'Balizador da Meta'!$D$2:$F$2,0)),"")</f>
        <v>0.25</v>
      </c>
      <c r="AM253" s="9"/>
    </row>
    <row r="254" spans="1:39" x14ac:dyDescent="0.3">
      <c r="A254" s="2" t="str">
        <f t="shared" si="92"/>
        <v>NÃO</v>
      </c>
      <c r="B254" s="2" t="str">
        <f>_xlfn.XLOOKUP($N254,'Base de Grupos'!$A:$A,'Base de Grupos'!$D:$D)</f>
        <v>1000065763</v>
      </c>
      <c r="C254" s="5" t="str">
        <f>_xlfn.XLOOKUP($N254,'Base de Grupos'!$A:$A,'Base de Grupos'!$E:$E)</f>
        <v>CANAL VENDA INTERNA</v>
      </c>
      <c r="D254" s="5" t="str">
        <f>_xlfn.XLOOKUP($N254,'Base de Grupos'!$A:$A,'Base de Grupos'!$F:$F)</f>
        <v>1000065763</v>
      </c>
      <c r="E254" s="2" t="str">
        <f>_xlfn.XLOOKUP($N254,'Base de Grupos'!$A:$A,'Base de Grupos'!$G:$G)</f>
        <v>CANAL VENDA INTERNA</v>
      </c>
      <c r="F254" s="2" t="str">
        <f>_xlfn.XLOOKUP($N254,'Base de Grupos'!$A:$A,'Base de Grupos'!$H:$H)</f>
        <v>1000105900</v>
      </c>
      <c r="G254" s="5" t="str">
        <f>_xlfn.XLOOKUP($N254,'Base de Grupos'!$A:$A,'Base de Grupos'!$I:$I)</f>
        <v>REGIONAL VENDA DIRETA CO + NE + NO</v>
      </c>
      <c r="H254" s="5" t="str">
        <f>_xlfn.XLOOKUP($N254,'Base de Grupos'!$A:$A,'Base de Grupos'!$J:$J)</f>
        <v>1000105900</v>
      </c>
      <c r="I254" s="2" t="str">
        <f>_xlfn.XLOOKUP($N254,'Base de Grupos'!$A:$A,'Base de Grupos'!$K:$K)</f>
        <v>REGIONAL VENDA DIRETA CO + NE + NO</v>
      </c>
      <c r="J254" s="2" t="str">
        <f>_xlfn.XLOOKUP($N254,'Base de Grupos'!$A:$A,'Base de Grupos'!$L:$L)</f>
        <v>1000150135</v>
      </c>
      <c r="K254" s="5" t="str">
        <f>_xlfn.XLOOKUP($N254,'Base de Grupos'!$A:$A,'Base de Grupos'!$M:$M)</f>
        <v>HELDER DA SILVA BRUNKOW</v>
      </c>
      <c r="L254" s="5" t="str">
        <f t="shared" si="93"/>
        <v/>
      </c>
      <c r="M254" s="5" t="str">
        <f>_xlfn.XLOOKUP($N254,'Base de Grupos'!$A:$A,'Base de Grupos'!$C:$C)</f>
        <v>AM</v>
      </c>
      <c r="N254" s="3">
        <v>1351</v>
      </c>
      <c r="O254" s="4" t="s">
        <v>237</v>
      </c>
      <c r="P254" s="5" t="s">
        <v>93</v>
      </c>
      <c r="Q254" s="24">
        <v>0</v>
      </c>
      <c r="R254" s="24">
        <v>0</v>
      </c>
      <c r="S254" s="24">
        <v>0</v>
      </c>
      <c r="T254" s="24">
        <v>0</v>
      </c>
      <c r="U254" s="24">
        <v>0</v>
      </c>
      <c r="V254" s="24">
        <v>0</v>
      </c>
      <c r="W254" s="24">
        <v>0</v>
      </c>
      <c r="X254" s="24">
        <v>0</v>
      </c>
      <c r="Y254" s="24">
        <v>0</v>
      </c>
      <c r="Z254" s="24">
        <v>0</v>
      </c>
      <c r="AA254" s="24">
        <v>0</v>
      </c>
      <c r="AB254" s="24">
        <v>0</v>
      </c>
      <c r="AC254" s="30">
        <f t="shared" si="119"/>
        <v>0</v>
      </c>
      <c r="AD254" s="27">
        <f t="shared" si="113"/>
        <v>0</v>
      </c>
      <c r="AE254" s="25">
        <f>IFERROR(_xlfn.XLOOKUP(N254&amp;P254,'Historico Vendas'!G:G,'Historico Vendas'!E:E),0)</f>
        <v>0</v>
      </c>
      <c r="AF254" s="29" t="str">
        <f t="shared" si="94"/>
        <v/>
      </c>
      <c r="AG254" s="24">
        <f>IFERROR(_xlfn.XLOOKUP(N254&amp;P254,'Historico Vendas'!G:G,'Historico Vendas'!F:F),0)</f>
        <v>0</v>
      </c>
      <c r="AH254" s="25">
        <f t="shared" si="114"/>
        <v>0</v>
      </c>
      <c r="AI254" s="24">
        <f t="shared" si="115"/>
        <v>0</v>
      </c>
      <c r="AJ254" s="11" t="str">
        <f t="shared" si="95"/>
        <v/>
      </c>
      <c r="AK254" s="9" t="s">
        <v>102</v>
      </c>
      <c r="AL254" s="13">
        <f>IFERROR(INDEX('Balizador da Meta'!$D$3:$F$23,MATCH(Quantidade!$P254,'Balizador da Meta'!$C$3:$C$23,0),MATCH(Quantidade!AK254,'Balizador da Meta'!$D$2:$F$2,0)),"")</f>
        <v>0.2</v>
      </c>
      <c r="AM254" s="9"/>
    </row>
    <row r="255" spans="1:39" x14ac:dyDescent="0.3">
      <c r="A255" s="2" t="str">
        <f t="shared" si="92"/>
        <v>SIM</v>
      </c>
      <c r="B255" s="2" t="str">
        <f>_xlfn.XLOOKUP($N255,'Base de Grupos'!$A:$A,'Base de Grupos'!$D:$D)</f>
        <v>1000065763</v>
      </c>
      <c r="C255" s="5" t="str">
        <f>_xlfn.XLOOKUP($N255,'Base de Grupos'!$A:$A,'Base de Grupos'!$E:$E)</f>
        <v>CANAL VENDA INTERNA</v>
      </c>
      <c r="D255" s="5" t="str">
        <f>_xlfn.XLOOKUP($N255,'Base de Grupos'!$A:$A,'Base de Grupos'!$F:$F)</f>
        <v>1000065763</v>
      </c>
      <c r="E255" s="2" t="str">
        <f>_xlfn.XLOOKUP($N255,'Base de Grupos'!$A:$A,'Base de Grupos'!$G:$G)</f>
        <v>CANAL VENDA INTERNA</v>
      </c>
      <c r="F255" s="2" t="str">
        <f>_xlfn.XLOOKUP($N255,'Base de Grupos'!$A:$A,'Base de Grupos'!$H:$H)</f>
        <v>1000105900</v>
      </c>
      <c r="G255" s="5" t="str">
        <f>_xlfn.XLOOKUP($N255,'Base de Grupos'!$A:$A,'Base de Grupos'!$I:$I)</f>
        <v>REGIONAL VENDA DIRETA CO + NE + NO</v>
      </c>
      <c r="H255" s="5" t="str">
        <f>_xlfn.XLOOKUP($N255,'Base de Grupos'!$A:$A,'Base de Grupos'!$J:$J)</f>
        <v>1000105900</v>
      </c>
      <c r="I255" s="2" t="str">
        <f>_xlfn.XLOOKUP($N255,'Base de Grupos'!$A:$A,'Base de Grupos'!$K:$K)</f>
        <v>REGIONAL VENDA DIRETA CO + NE + NO</v>
      </c>
      <c r="J255" s="2" t="str">
        <f>_xlfn.XLOOKUP($N255,'Base de Grupos'!$A:$A,'Base de Grupos'!$L:$L)</f>
        <v>1000150135</v>
      </c>
      <c r="K255" s="5" t="str">
        <f>_xlfn.XLOOKUP($N255,'Base de Grupos'!$A:$A,'Base de Grupos'!$M:$M)</f>
        <v>HELDER DA SILVA BRUNKOW</v>
      </c>
      <c r="L255" s="5">
        <f t="shared" si="93"/>
        <v>1</v>
      </c>
      <c r="M255" s="5" t="str">
        <f>_xlfn.XLOOKUP($N255,'Base de Grupos'!$A:$A,'Base de Grupos'!$C:$C)</f>
        <v>DF</v>
      </c>
      <c r="N255" s="3">
        <v>1352</v>
      </c>
      <c r="O255" s="4" t="s">
        <v>238</v>
      </c>
      <c r="P255" s="5" t="s">
        <v>308</v>
      </c>
      <c r="Q255" s="24">
        <v>0</v>
      </c>
      <c r="R255" s="24">
        <v>0</v>
      </c>
      <c r="S255" s="24">
        <v>0</v>
      </c>
      <c r="T255" s="24">
        <v>0</v>
      </c>
      <c r="U255" s="24">
        <v>0</v>
      </c>
      <c r="V255" s="24">
        <v>0</v>
      </c>
      <c r="W255" s="24">
        <v>0</v>
      </c>
      <c r="X255" s="24">
        <v>0</v>
      </c>
      <c r="Y255" s="24">
        <v>0</v>
      </c>
      <c r="Z255" s="24">
        <v>0</v>
      </c>
      <c r="AA255" s="24">
        <v>0</v>
      </c>
      <c r="AB255" s="24">
        <v>0</v>
      </c>
      <c r="AC255" s="30">
        <f t="shared" si="119"/>
        <v>0</v>
      </c>
      <c r="AD255" s="25">
        <f t="shared" ref="AD255:AI255" si="120">SUM(AD256:AD272)</f>
        <v>0</v>
      </c>
      <c r="AE255" s="25">
        <f t="shared" si="120"/>
        <v>0</v>
      </c>
      <c r="AF255" s="11" t="str">
        <f t="shared" si="94"/>
        <v/>
      </c>
      <c r="AG255" s="24">
        <f t="shared" si="120"/>
        <v>0</v>
      </c>
      <c r="AH255" s="25">
        <f t="shared" si="120"/>
        <v>0</v>
      </c>
      <c r="AI255" s="24">
        <f t="shared" si="120"/>
        <v>0</v>
      </c>
      <c r="AJ255" s="11" t="str">
        <f t="shared" si="95"/>
        <v/>
      </c>
      <c r="AK255" s="9"/>
      <c r="AL255" s="13"/>
      <c r="AM255" s="9"/>
    </row>
    <row r="256" spans="1:39" x14ac:dyDescent="0.3">
      <c r="A256" s="2" t="str">
        <f t="shared" si="92"/>
        <v>NÃO</v>
      </c>
      <c r="B256" s="2" t="str">
        <f>_xlfn.XLOOKUP($N256,'Base de Grupos'!$A:$A,'Base de Grupos'!$D:$D)</f>
        <v>1000065763</v>
      </c>
      <c r="C256" s="5" t="str">
        <f>_xlfn.XLOOKUP($N256,'Base de Grupos'!$A:$A,'Base de Grupos'!$E:$E)</f>
        <v>CANAL VENDA INTERNA</v>
      </c>
      <c r="D256" s="5" t="str">
        <f>_xlfn.XLOOKUP($N256,'Base de Grupos'!$A:$A,'Base de Grupos'!$F:$F)</f>
        <v>1000065763</v>
      </c>
      <c r="E256" s="2" t="str">
        <f>_xlfn.XLOOKUP($N256,'Base de Grupos'!$A:$A,'Base de Grupos'!$G:$G)</f>
        <v>CANAL VENDA INTERNA</v>
      </c>
      <c r="F256" s="2" t="str">
        <f>_xlfn.XLOOKUP($N256,'Base de Grupos'!$A:$A,'Base de Grupos'!$H:$H)</f>
        <v>1000105900</v>
      </c>
      <c r="G256" s="5" t="str">
        <f>_xlfn.XLOOKUP($N256,'Base de Grupos'!$A:$A,'Base de Grupos'!$I:$I)</f>
        <v>REGIONAL VENDA DIRETA CO + NE + NO</v>
      </c>
      <c r="H256" s="5" t="str">
        <f>_xlfn.XLOOKUP($N256,'Base de Grupos'!$A:$A,'Base de Grupos'!$J:$J)</f>
        <v>1000105900</v>
      </c>
      <c r="I256" s="2" t="str">
        <f>_xlfn.XLOOKUP($N256,'Base de Grupos'!$A:$A,'Base de Grupos'!$K:$K)</f>
        <v>REGIONAL VENDA DIRETA CO + NE + NO</v>
      </c>
      <c r="J256" s="2" t="str">
        <f>_xlfn.XLOOKUP($N256,'Base de Grupos'!$A:$A,'Base de Grupos'!$L:$L)</f>
        <v>1000150135</v>
      </c>
      <c r="K256" s="5" t="str">
        <f>_xlfn.XLOOKUP($N256,'Base de Grupos'!$A:$A,'Base de Grupos'!$M:$M)</f>
        <v>HELDER DA SILVA BRUNKOW</v>
      </c>
      <c r="L256" s="5" t="str">
        <f t="shared" si="93"/>
        <v/>
      </c>
      <c r="M256" s="5" t="str">
        <f>_xlfn.XLOOKUP($N256,'Base de Grupos'!$A:$A,'Base de Grupos'!$C:$C)</f>
        <v>DF</v>
      </c>
      <c r="N256" s="3">
        <v>1352</v>
      </c>
      <c r="O256" s="4" t="s">
        <v>238</v>
      </c>
      <c r="P256" s="5" t="s">
        <v>81</v>
      </c>
      <c r="Q256" s="24">
        <v>0</v>
      </c>
      <c r="R256" s="24">
        <v>0</v>
      </c>
      <c r="S256" s="24">
        <v>0</v>
      </c>
      <c r="T256" s="24">
        <v>0</v>
      </c>
      <c r="U256" s="24">
        <v>0</v>
      </c>
      <c r="V256" s="24">
        <v>0</v>
      </c>
      <c r="W256" s="24">
        <v>0</v>
      </c>
      <c r="X256" s="24">
        <v>0</v>
      </c>
      <c r="Y256" s="24">
        <v>0</v>
      </c>
      <c r="Z256" s="24">
        <v>0</v>
      </c>
      <c r="AA256" s="24">
        <v>0</v>
      </c>
      <c r="AB256" s="24">
        <v>0</v>
      </c>
      <c r="AC256" s="30">
        <f t="shared" si="119"/>
        <v>0</v>
      </c>
      <c r="AD256" s="27">
        <f t="shared" ref="AD256:AD272" si="121">IF(AC256=0,0,AC256-AG256)</f>
        <v>0</v>
      </c>
      <c r="AE256" s="25">
        <f>IFERROR(_xlfn.XLOOKUP(N256&amp;P256,'Historico Vendas'!G:G,'Historico Vendas'!E:E),0)</f>
        <v>0</v>
      </c>
      <c r="AF256" s="29" t="str">
        <f t="shared" si="94"/>
        <v/>
      </c>
      <c r="AG256" s="24">
        <f>IFERROR(_xlfn.XLOOKUP(N256&amp;P256,'Historico Vendas'!G:G,'Historico Vendas'!F:F),0)</f>
        <v>0</v>
      </c>
      <c r="AH256" s="25">
        <f t="shared" ref="AH256:AH272" si="122">SUM(Q256:S256)</f>
        <v>0</v>
      </c>
      <c r="AI256" s="24">
        <f t="shared" ref="AI256:AI272" si="123">AH256-AG256</f>
        <v>0</v>
      </c>
      <c r="AJ256" s="11" t="str">
        <f t="shared" si="95"/>
        <v/>
      </c>
      <c r="AK256" s="9" t="s">
        <v>102</v>
      </c>
      <c r="AL256" s="13">
        <f>IFERROR(INDEX('Balizador da Meta'!$D$3:$F$23,MATCH(Quantidade!$P256,'Balizador da Meta'!$C$3:$C$23,0),MATCH(Quantidade!AK256,'Balizador da Meta'!$D$2:$F$2,0)),"")</f>
        <v>0.2</v>
      </c>
      <c r="AM256" s="9"/>
    </row>
    <row r="257" spans="1:39" x14ac:dyDescent="0.3">
      <c r="A257" s="2" t="str">
        <f t="shared" si="92"/>
        <v>NÃO</v>
      </c>
      <c r="B257" s="2" t="str">
        <f>_xlfn.XLOOKUP($N257,'Base de Grupos'!$A:$A,'Base de Grupos'!$D:$D)</f>
        <v>1000065763</v>
      </c>
      <c r="C257" s="5" t="str">
        <f>_xlfn.XLOOKUP($N257,'Base de Grupos'!$A:$A,'Base de Grupos'!$E:$E)</f>
        <v>CANAL VENDA INTERNA</v>
      </c>
      <c r="D257" s="5" t="str">
        <f>_xlfn.XLOOKUP($N257,'Base de Grupos'!$A:$A,'Base de Grupos'!$F:$F)</f>
        <v>1000065763</v>
      </c>
      <c r="E257" s="2" t="str">
        <f>_xlfn.XLOOKUP($N257,'Base de Grupos'!$A:$A,'Base de Grupos'!$G:$G)</f>
        <v>CANAL VENDA INTERNA</v>
      </c>
      <c r="F257" s="2" t="str">
        <f>_xlfn.XLOOKUP($N257,'Base de Grupos'!$A:$A,'Base de Grupos'!$H:$H)</f>
        <v>1000105900</v>
      </c>
      <c r="G257" s="5" t="str">
        <f>_xlfn.XLOOKUP($N257,'Base de Grupos'!$A:$A,'Base de Grupos'!$I:$I)</f>
        <v>REGIONAL VENDA DIRETA CO + NE + NO</v>
      </c>
      <c r="H257" s="5" t="str">
        <f>_xlfn.XLOOKUP($N257,'Base de Grupos'!$A:$A,'Base de Grupos'!$J:$J)</f>
        <v>1000105900</v>
      </c>
      <c r="I257" s="2" t="str">
        <f>_xlfn.XLOOKUP($N257,'Base de Grupos'!$A:$A,'Base de Grupos'!$K:$K)</f>
        <v>REGIONAL VENDA DIRETA CO + NE + NO</v>
      </c>
      <c r="J257" s="2" t="str">
        <f>_xlfn.XLOOKUP($N257,'Base de Grupos'!$A:$A,'Base de Grupos'!$L:$L)</f>
        <v>1000150135</v>
      </c>
      <c r="K257" s="5" t="str">
        <f>_xlfn.XLOOKUP($N257,'Base de Grupos'!$A:$A,'Base de Grupos'!$M:$M)</f>
        <v>HELDER DA SILVA BRUNKOW</v>
      </c>
      <c r="L257" s="5" t="str">
        <f t="shared" si="93"/>
        <v/>
      </c>
      <c r="M257" s="5" t="str">
        <f>_xlfn.XLOOKUP($N257,'Base de Grupos'!$A:$A,'Base de Grupos'!$C:$C)</f>
        <v>DF</v>
      </c>
      <c r="N257" s="3">
        <v>1352</v>
      </c>
      <c r="O257" s="4" t="s">
        <v>238</v>
      </c>
      <c r="P257" s="5" t="s">
        <v>82</v>
      </c>
      <c r="Q257" s="24">
        <v>0</v>
      </c>
      <c r="R257" s="24">
        <v>0</v>
      </c>
      <c r="S257" s="24">
        <v>0</v>
      </c>
      <c r="T257" s="24">
        <v>0</v>
      </c>
      <c r="U257" s="24">
        <v>0</v>
      </c>
      <c r="V257" s="24">
        <v>0</v>
      </c>
      <c r="W257" s="24">
        <v>0</v>
      </c>
      <c r="X257" s="24">
        <v>0</v>
      </c>
      <c r="Y257" s="24">
        <v>0</v>
      </c>
      <c r="Z257" s="24">
        <v>0</v>
      </c>
      <c r="AA257" s="24">
        <v>0</v>
      </c>
      <c r="AB257" s="24">
        <v>0</v>
      </c>
      <c r="AC257" s="30">
        <f t="shared" si="119"/>
        <v>0</v>
      </c>
      <c r="AD257" s="27">
        <f t="shared" si="121"/>
        <v>0</v>
      </c>
      <c r="AE257" s="25">
        <f>IFERROR(_xlfn.XLOOKUP(N257&amp;P257,'Historico Vendas'!G:G,'Historico Vendas'!E:E),0)</f>
        <v>0</v>
      </c>
      <c r="AF257" s="29" t="str">
        <f t="shared" si="94"/>
        <v/>
      </c>
      <c r="AG257" s="24">
        <f>IFERROR(_xlfn.XLOOKUP(N257&amp;P257,'Historico Vendas'!G:G,'Historico Vendas'!F:F),0)</f>
        <v>0</v>
      </c>
      <c r="AH257" s="25">
        <f t="shared" si="122"/>
        <v>0</v>
      </c>
      <c r="AI257" s="24">
        <f t="shared" si="123"/>
        <v>0</v>
      </c>
      <c r="AJ257" s="11" t="str">
        <f t="shared" si="95"/>
        <v/>
      </c>
      <c r="AK257" s="9" t="s">
        <v>102</v>
      </c>
      <c r="AL257" s="13">
        <f>IFERROR(INDEX('Balizador da Meta'!$D$3:$F$23,MATCH(Quantidade!$P257,'Balizador da Meta'!$C$3:$C$23,0),MATCH(Quantidade!AK257,'Balizador da Meta'!$D$2:$F$2,0)),"")</f>
        <v>0.2</v>
      </c>
      <c r="AM257" s="9"/>
    </row>
    <row r="258" spans="1:39" x14ac:dyDescent="0.3">
      <c r="A258" s="2" t="str">
        <f t="shared" si="92"/>
        <v>NÃO</v>
      </c>
      <c r="B258" s="2" t="str">
        <f>_xlfn.XLOOKUP($N258,'Base de Grupos'!$A:$A,'Base de Grupos'!$D:$D)</f>
        <v>1000065763</v>
      </c>
      <c r="C258" s="5" t="str">
        <f>_xlfn.XLOOKUP($N258,'Base de Grupos'!$A:$A,'Base de Grupos'!$E:$E)</f>
        <v>CANAL VENDA INTERNA</v>
      </c>
      <c r="D258" s="5" t="str">
        <f>_xlfn.XLOOKUP($N258,'Base de Grupos'!$A:$A,'Base de Grupos'!$F:$F)</f>
        <v>1000065763</v>
      </c>
      <c r="E258" s="2" t="str">
        <f>_xlfn.XLOOKUP($N258,'Base de Grupos'!$A:$A,'Base de Grupos'!$G:$G)</f>
        <v>CANAL VENDA INTERNA</v>
      </c>
      <c r="F258" s="2" t="str">
        <f>_xlfn.XLOOKUP($N258,'Base de Grupos'!$A:$A,'Base de Grupos'!$H:$H)</f>
        <v>1000105900</v>
      </c>
      <c r="G258" s="5" t="str">
        <f>_xlfn.XLOOKUP($N258,'Base de Grupos'!$A:$A,'Base de Grupos'!$I:$I)</f>
        <v>REGIONAL VENDA DIRETA CO + NE + NO</v>
      </c>
      <c r="H258" s="5" t="str">
        <f>_xlfn.XLOOKUP($N258,'Base de Grupos'!$A:$A,'Base de Grupos'!$J:$J)</f>
        <v>1000105900</v>
      </c>
      <c r="I258" s="2" t="str">
        <f>_xlfn.XLOOKUP($N258,'Base de Grupos'!$A:$A,'Base de Grupos'!$K:$K)</f>
        <v>REGIONAL VENDA DIRETA CO + NE + NO</v>
      </c>
      <c r="J258" s="2" t="str">
        <f>_xlfn.XLOOKUP($N258,'Base de Grupos'!$A:$A,'Base de Grupos'!$L:$L)</f>
        <v>1000150135</v>
      </c>
      <c r="K258" s="5" t="str">
        <f>_xlfn.XLOOKUP($N258,'Base de Grupos'!$A:$A,'Base de Grupos'!$M:$M)</f>
        <v>HELDER DA SILVA BRUNKOW</v>
      </c>
      <c r="L258" s="5" t="str">
        <f t="shared" si="93"/>
        <v/>
      </c>
      <c r="M258" s="5" t="str">
        <f>_xlfn.XLOOKUP($N258,'Base de Grupos'!$A:$A,'Base de Grupos'!$C:$C)</f>
        <v>DF</v>
      </c>
      <c r="N258" s="3">
        <v>1352</v>
      </c>
      <c r="O258" s="4" t="s">
        <v>238</v>
      </c>
      <c r="P258" s="5" t="s">
        <v>84</v>
      </c>
      <c r="Q258" s="24">
        <v>0</v>
      </c>
      <c r="R258" s="24">
        <v>0</v>
      </c>
      <c r="S258" s="24">
        <v>0</v>
      </c>
      <c r="T258" s="24">
        <v>0</v>
      </c>
      <c r="U258" s="24">
        <v>0</v>
      </c>
      <c r="V258" s="24">
        <v>0</v>
      </c>
      <c r="W258" s="24">
        <v>0</v>
      </c>
      <c r="X258" s="24">
        <v>0</v>
      </c>
      <c r="Y258" s="24">
        <v>0</v>
      </c>
      <c r="Z258" s="24">
        <v>0</v>
      </c>
      <c r="AA258" s="24">
        <v>0</v>
      </c>
      <c r="AB258" s="24">
        <v>0</v>
      </c>
      <c r="AC258" s="30">
        <f t="shared" si="119"/>
        <v>0</v>
      </c>
      <c r="AD258" s="27">
        <f t="shared" si="121"/>
        <v>0</v>
      </c>
      <c r="AE258" s="25">
        <f>IFERROR(_xlfn.XLOOKUP(N258&amp;P258,'Historico Vendas'!G:G,'Historico Vendas'!E:E),0)</f>
        <v>0</v>
      </c>
      <c r="AF258" s="29" t="str">
        <f t="shared" si="94"/>
        <v/>
      </c>
      <c r="AG258" s="24">
        <f>IFERROR(_xlfn.XLOOKUP(N258&amp;P258,'Historico Vendas'!G:G,'Historico Vendas'!F:F),0)</f>
        <v>0</v>
      </c>
      <c r="AH258" s="25">
        <f t="shared" si="122"/>
        <v>0</v>
      </c>
      <c r="AI258" s="24">
        <f t="shared" si="123"/>
        <v>0</v>
      </c>
      <c r="AJ258" s="11" t="str">
        <f t="shared" si="95"/>
        <v/>
      </c>
      <c r="AK258" s="9" t="s">
        <v>102</v>
      </c>
      <c r="AL258" s="13">
        <f>IFERROR(INDEX('Balizador da Meta'!$D$3:$F$23,MATCH(Quantidade!$P258,'Balizador da Meta'!$C$3:$C$23,0),MATCH(Quantidade!AK258,'Balizador da Meta'!$D$2:$F$2,0)),"")</f>
        <v>0.15</v>
      </c>
      <c r="AM258" s="9"/>
    </row>
    <row r="259" spans="1:39" x14ac:dyDescent="0.3">
      <c r="A259" s="2" t="str">
        <f t="shared" ref="A259:A322" si="124">IF(L259=1,"SIM","NÃO")</f>
        <v>NÃO</v>
      </c>
      <c r="B259" s="2" t="str">
        <f>_xlfn.XLOOKUP($N259,'Base de Grupos'!$A:$A,'Base de Grupos'!$D:$D)</f>
        <v>1000065763</v>
      </c>
      <c r="C259" s="5" t="str">
        <f>_xlfn.XLOOKUP($N259,'Base de Grupos'!$A:$A,'Base de Grupos'!$E:$E)</f>
        <v>CANAL VENDA INTERNA</v>
      </c>
      <c r="D259" s="5" t="str">
        <f>_xlfn.XLOOKUP($N259,'Base de Grupos'!$A:$A,'Base de Grupos'!$F:$F)</f>
        <v>1000065763</v>
      </c>
      <c r="E259" s="2" t="str">
        <f>_xlfn.XLOOKUP($N259,'Base de Grupos'!$A:$A,'Base de Grupos'!$G:$G)</f>
        <v>CANAL VENDA INTERNA</v>
      </c>
      <c r="F259" s="2" t="str">
        <f>_xlfn.XLOOKUP($N259,'Base de Grupos'!$A:$A,'Base de Grupos'!$H:$H)</f>
        <v>1000105900</v>
      </c>
      <c r="G259" s="5" t="str">
        <f>_xlfn.XLOOKUP($N259,'Base de Grupos'!$A:$A,'Base de Grupos'!$I:$I)</f>
        <v>REGIONAL VENDA DIRETA CO + NE + NO</v>
      </c>
      <c r="H259" s="5" t="str">
        <f>_xlfn.XLOOKUP($N259,'Base de Grupos'!$A:$A,'Base de Grupos'!$J:$J)</f>
        <v>1000105900</v>
      </c>
      <c r="I259" s="2" t="str">
        <f>_xlfn.XLOOKUP($N259,'Base de Grupos'!$A:$A,'Base de Grupos'!$K:$K)</f>
        <v>REGIONAL VENDA DIRETA CO + NE + NO</v>
      </c>
      <c r="J259" s="2" t="str">
        <f>_xlfn.XLOOKUP($N259,'Base de Grupos'!$A:$A,'Base de Grupos'!$L:$L)</f>
        <v>1000150135</v>
      </c>
      <c r="K259" s="5" t="str">
        <f>_xlfn.XLOOKUP($N259,'Base de Grupos'!$A:$A,'Base de Grupos'!$M:$M)</f>
        <v>HELDER DA SILVA BRUNKOW</v>
      </c>
      <c r="L259" s="5" t="str">
        <f t="shared" ref="L259:L322" si="125">IF(N259&lt;&gt;N258,1,"")</f>
        <v/>
      </c>
      <c r="M259" s="5" t="str">
        <f>_xlfn.XLOOKUP($N259,'Base de Grupos'!$A:$A,'Base de Grupos'!$C:$C)</f>
        <v>DF</v>
      </c>
      <c r="N259" s="3">
        <v>1352</v>
      </c>
      <c r="O259" s="4" t="s">
        <v>238</v>
      </c>
      <c r="P259" s="5" t="s">
        <v>83</v>
      </c>
      <c r="Q259" s="24">
        <v>0</v>
      </c>
      <c r="R259" s="24">
        <v>0</v>
      </c>
      <c r="S259" s="24">
        <v>0</v>
      </c>
      <c r="T259" s="24">
        <v>0</v>
      </c>
      <c r="U259" s="24">
        <v>0</v>
      </c>
      <c r="V259" s="24">
        <v>0</v>
      </c>
      <c r="W259" s="24">
        <v>0</v>
      </c>
      <c r="X259" s="24">
        <v>0</v>
      </c>
      <c r="Y259" s="24">
        <v>0</v>
      </c>
      <c r="Z259" s="24">
        <v>0</v>
      </c>
      <c r="AA259" s="24">
        <v>0</v>
      </c>
      <c r="AB259" s="24">
        <v>0</v>
      </c>
      <c r="AC259" s="30">
        <f t="shared" si="119"/>
        <v>0</v>
      </c>
      <c r="AD259" s="27">
        <f t="shared" si="121"/>
        <v>0</v>
      </c>
      <c r="AE259" s="25">
        <f>IFERROR(_xlfn.XLOOKUP(N259&amp;P259,'Historico Vendas'!G:G,'Historico Vendas'!E:E),0)</f>
        <v>0</v>
      </c>
      <c r="AF259" s="29" t="str">
        <f t="shared" ref="AF259:AF322" si="126">IFERROR((AC259-AE259)/AE259,"")</f>
        <v/>
      </c>
      <c r="AG259" s="24">
        <f>IFERROR(_xlfn.XLOOKUP(N259&amp;P259,'Historico Vendas'!G:G,'Historico Vendas'!F:F),0)</f>
        <v>0</v>
      </c>
      <c r="AH259" s="25">
        <f t="shared" si="122"/>
        <v>0</v>
      </c>
      <c r="AI259" s="24">
        <f t="shared" si="123"/>
        <v>0</v>
      </c>
      <c r="AJ259" s="11" t="str">
        <f t="shared" ref="AJ259:AJ322" si="127">IFERROR(AG259/AH259,"")</f>
        <v/>
      </c>
      <c r="AK259" s="9" t="s">
        <v>102</v>
      </c>
      <c r="AL259" s="13">
        <f>IFERROR(INDEX('Balizador da Meta'!$D$3:$F$23,MATCH(Quantidade!$P259,'Balizador da Meta'!$C$3:$C$23,0),MATCH(Quantidade!AK259,'Balizador da Meta'!$D$2:$F$2,0)),"")</f>
        <v>0</v>
      </c>
      <c r="AM259" s="9"/>
    </row>
    <row r="260" spans="1:39" x14ac:dyDescent="0.3">
      <c r="A260" s="2" t="str">
        <f t="shared" si="124"/>
        <v>NÃO</v>
      </c>
      <c r="B260" s="2" t="str">
        <f>_xlfn.XLOOKUP($N260,'Base de Grupos'!$A:$A,'Base de Grupos'!$D:$D)</f>
        <v>1000065763</v>
      </c>
      <c r="C260" s="5" t="str">
        <f>_xlfn.XLOOKUP($N260,'Base de Grupos'!$A:$A,'Base de Grupos'!$E:$E)</f>
        <v>CANAL VENDA INTERNA</v>
      </c>
      <c r="D260" s="5" t="str">
        <f>_xlfn.XLOOKUP($N260,'Base de Grupos'!$A:$A,'Base de Grupos'!$F:$F)</f>
        <v>1000065763</v>
      </c>
      <c r="E260" s="2" t="str">
        <f>_xlfn.XLOOKUP($N260,'Base de Grupos'!$A:$A,'Base de Grupos'!$G:$G)</f>
        <v>CANAL VENDA INTERNA</v>
      </c>
      <c r="F260" s="2" t="str">
        <f>_xlfn.XLOOKUP($N260,'Base de Grupos'!$A:$A,'Base de Grupos'!$H:$H)</f>
        <v>1000105900</v>
      </c>
      <c r="G260" s="5" t="str">
        <f>_xlfn.XLOOKUP($N260,'Base de Grupos'!$A:$A,'Base de Grupos'!$I:$I)</f>
        <v>REGIONAL VENDA DIRETA CO + NE + NO</v>
      </c>
      <c r="H260" s="5" t="str">
        <f>_xlfn.XLOOKUP($N260,'Base de Grupos'!$A:$A,'Base de Grupos'!$J:$J)</f>
        <v>1000105900</v>
      </c>
      <c r="I260" s="2" t="str">
        <f>_xlfn.XLOOKUP($N260,'Base de Grupos'!$A:$A,'Base de Grupos'!$K:$K)</f>
        <v>REGIONAL VENDA DIRETA CO + NE + NO</v>
      </c>
      <c r="J260" s="2" t="str">
        <f>_xlfn.XLOOKUP($N260,'Base de Grupos'!$A:$A,'Base de Grupos'!$L:$L)</f>
        <v>1000150135</v>
      </c>
      <c r="K260" s="5" t="str">
        <f>_xlfn.XLOOKUP($N260,'Base de Grupos'!$A:$A,'Base de Grupos'!$M:$M)</f>
        <v>HELDER DA SILVA BRUNKOW</v>
      </c>
      <c r="L260" s="5" t="str">
        <f t="shared" si="125"/>
        <v/>
      </c>
      <c r="M260" s="5" t="str">
        <f>_xlfn.XLOOKUP($N260,'Base de Grupos'!$A:$A,'Base de Grupos'!$C:$C)</f>
        <v>DF</v>
      </c>
      <c r="N260" s="3">
        <v>1352</v>
      </c>
      <c r="O260" s="4" t="s">
        <v>238</v>
      </c>
      <c r="P260" s="5" t="s">
        <v>87</v>
      </c>
      <c r="Q260" s="24">
        <v>0</v>
      </c>
      <c r="R260" s="24">
        <v>0</v>
      </c>
      <c r="S260" s="24">
        <v>0</v>
      </c>
      <c r="T260" s="24">
        <v>0</v>
      </c>
      <c r="U260" s="24">
        <v>0</v>
      </c>
      <c r="V260" s="24">
        <v>0</v>
      </c>
      <c r="W260" s="24">
        <v>0</v>
      </c>
      <c r="X260" s="24">
        <v>0</v>
      </c>
      <c r="Y260" s="24">
        <v>0</v>
      </c>
      <c r="Z260" s="24">
        <v>0</v>
      </c>
      <c r="AA260" s="24">
        <v>0</v>
      </c>
      <c r="AB260" s="24">
        <v>0</v>
      </c>
      <c r="AC260" s="30">
        <f t="shared" si="119"/>
        <v>0</v>
      </c>
      <c r="AD260" s="27">
        <f t="shared" si="121"/>
        <v>0</v>
      </c>
      <c r="AE260" s="25">
        <f>IFERROR(_xlfn.XLOOKUP(N260&amp;P260,'Historico Vendas'!G:G,'Historico Vendas'!E:E),0)</f>
        <v>0</v>
      </c>
      <c r="AF260" s="29" t="str">
        <f t="shared" si="126"/>
        <v/>
      </c>
      <c r="AG260" s="24">
        <f>IFERROR(_xlfn.XLOOKUP(N260&amp;P260,'Historico Vendas'!G:G,'Historico Vendas'!F:F),0)</f>
        <v>0</v>
      </c>
      <c r="AH260" s="25">
        <f t="shared" si="122"/>
        <v>0</v>
      </c>
      <c r="AI260" s="24">
        <f t="shared" si="123"/>
        <v>0</v>
      </c>
      <c r="AJ260" s="11" t="str">
        <f t="shared" si="127"/>
        <v/>
      </c>
      <c r="AK260" s="9" t="s">
        <v>102</v>
      </c>
      <c r="AL260" s="13">
        <f>IFERROR(INDEX('Balizador da Meta'!$D$3:$F$23,MATCH(Quantidade!$P260,'Balizador da Meta'!$C$3:$C$23,0),MATCH(Quantidade!AK260,'Balizador da Meta'!$D$2:$F$2,0)),"")</f>
        <v>0</v>
      </c>
      <c r="AM260" s="9"/>
    </row>
    <row r="261" spans="1:39" x14ac:dyDescent="0.3">
      <c r="A261" s="2" t="str">
        <f t="shared" si="124"/>
        <v>NÃO</v>
      </c>
      <c r="B261" s="2" t="str">
        <f>_xlfn.XLOOKUP($N261,'Base de Grupos'!$A:$A,'Base de Grupos'!$D:$D)</f>
        <v>1000065763</v>
      </c>
      <c r="C261" s="5" t="str">
        <f>_xlfn.XLOOKUP($N261,'Base de Grupos'!$A:$A,'Base de Grupos'!$E:$E)</f>
        <v>CANAL VENDA INTERNA</v>
      </c>
      <c r="D261" s="5" t="str">
        <f>_xlfn.XLOOKUP($N261,'Base de Grupos'!$A:$A,'Base de Grupos'!$F:$F)</f>
        <v>1000065763</v>
      </c>
      <c r="E261" s="2" t="str">
        <f>_xlfn.XLOOKUP($N261,'Base de Grupos'!$A:$A,'Base de Grupos'!$G:$G)</f>
        <v>CANAL VENDA INTERNA</v>
      </c>
      <c r="F261" s="2" t="str">
        <f>_xlfn.XLOOKUP($N261,'Base de Grupos'!$A:$A,'Base de Grupos'!$H:$H)</f>
        <v>1000105900</v>
      </c>
      <c r="G261" s="5" t="str">
        <f>_xlfn.XLOOKUP($N261,'Base de Grupos'!$A:$A,'Base de Grupos'!$I:$I)</f>
        <v>REGIONAL VENDA DIRETA CO + NE + NO</v>
      </c>
      <c r="H261" s="5" t="str">
        <f>_xlfn.XLOOKUP($N261,'Base de Grupos'!$A:$A,'Base de Grupos'!$J:$J)</f>
        <v>1000105900</v>
      </c>
      <c r="I261" s="2" t="str">
        <f>_xlfn.XLOOKUP($N261,'Base de Grupos'!$A:$A,'Base de Grupos'!$K:$K)</f>
        <v>REGIONAL VENDA DIRETA CO + NE + NO</v>
      </c>
      <c r="J261" s="2" t="str">
        <f>_xlfn.XLOOKUP($N261,'Base de Grupos'!$A:$A,'Base de Grupos'!$L:$L)</f>
        <v>1000150135</v>
      </c>
      <c r="K261" s="5" t="str">
        <f>_xlfn.XLOOKUP($N261,'Base de Grupos'!$A:$A,'Base de Grupos'!$M:$M)</f>
        <v>HELDER DA SILVA BRUNKOW</v>
      </c>
      <c r="L261" s="5" t="str">
        <f t="shared" si="125"/>
        <v/>
      </c>
      <c r="M261" s="5" t="str">
        <f>_xlfn.XLOOKUP($N261,'Base de Grupos'!$A:$A,'Base de Grupos'!$C:$C)</f>
        <v>DF</v>
      </c>
      <c r="N261" s="3">
        <v>1352</v>
      </c>
      <c r="O261" s="4" t="s">
        <v>238</v>
      </c>
      <c r="P261" s="5" t="s">
        <v>85</v>
      </c>
      <c r="Q261" s="24">
        <v>0</v>
      </c>
      <c r="R261" s="24">
        <v>0</v>
      </c>
      <c r="S261" s="24">
        <v>0</v>
      </c>
      <c r="T261" s="24">
        <v>0</v>
      </c>
      <c r="U261" s="24">
        <v>0</v>
      </c>
      <c r="V261" s="24">
        <v>0</v>
      </c>
      <c r="W261" s="24">
        <v>0</v>
      </c>
      <c r="X261" s="24">
        <v>0</v>
      </c>
      <c r="Y261" s="24">
        <v>0</v>
      </c>
      <c r="Z261" s="24">
        <v>0</v>
      </c>
      <c r="AA261" s="24">
        <v>0</v>
      </c>
      <c r="AB261" s="24">
        <v>0</v>
      </c>
      <c r="AC261" s="30">
        <f t="shared" si="119"/>
        <v>0</v>
      </c>
      <c r="AD261" s="27">
        <f t="shared" si="121"/>
        <v>0</v>
      </c>
      <c r="AE261" s="25">
        <f>IFERROR(_xlfn.XLOOKUP(N261&amp;P261,'Historico Vendas'!G:G,'Historico Vendas'!E:E),0)</f>
        <v>0</v>
      </c>
      <c r="AF261" s="29" t="str">
        <f t="shared" si="126"/>
        <v/>
      </c>
      <c r="AG261" s="24">
        <f>IFERROR(_xlfn.XLOOKUP(N261&amp;P261,'Historico Vendas'!G:G,'Historico Vendas'!F:F),0)</f>
        <v>0</v>
      </c>
      <c r="AH261" s="25">
        <f t="shared" si="122"/>
        <v>0</v>
      </c>
      <c r="AI261" s="24">
        <f t="shared" si="123"/>
        <v>0</v>
      </c>
      <c r="AJ261" s="11" t="str">
        <f t="shared" si="127"/>
        <v/>
      </c>
      <c r="AK261" s="9" t="s">
        <v>102</v>
      </c>
      <c r="AL261" s="13">
        <f>IFERROR(INDEX('Balizador da Meta'!$D$3:$F$23,MATCH(Quantidade!$P261,'Balizador da Meta'!$C$3:$C$23,0),MATCH(Quantidade!AK261,'Balizador da Meta'!$D$2:$F$2,0)),"")</f>
        <v>0</v>
      </c>
      <c r="AM261" s="9"/>
    </row>
    <row r="262" spans="1:39" x14ac:dyDescent="0.3">
      <c r="A262" s="2" t="str">
        <f t="shared" si="124"/>
        <v>NÃO</v>
      </c>
      <c r="B262" s="2" t="str">
        <f>_xlfn.XLOOKUP($N262,'Base de Grupos'!$A:$A,'Base de Grupos'!$D:$D)</f>
        <v>1000065763</v>
      </c>
      <c r="C262" s="5" t="str">
        <f>_xlfn.XLOOKUP($N262,'Base de Grupos'!$A:$A,'Base de Grupos'!$E:$E)</f>
        <v>CANAL VENDA INTERNA</v>
      </c>
      <c r="D262" s="5" t="str">
        <f>_xlfn.XLOOKUP($N262,'Base de Grupos'!$A:$A,'Base de Grupos'!$F:$F)</f>
        <v>1000065763</v>
      </c>
      <c r="E262" s="2" t="str">
        <f>_xlfn.XLOOKUP($N262,'Base de Grupos'!$A:$A,'Base de Grupos'!$G:$G)</f>
        <v>CANAL VENDA INTERNA</v>
      </c>
      <c r="F262" s="2" t="str">
        <f>_xlfn.XLOOKUP($N262,'Base de Grupos'!$A:$A,'Base de Grupos'!$H:$H)</f>
        <v>1000105900</v>
      </c>
      <c r="G262" s="5" t="str">
        <f>_xlfn.XLOOKUP($N262,'Base de Grupos'!$A:$A,'Base de Grupos'!$I:$I)</f>
        <v>REGIONAL VENDA DIRETA CO + NE + NO</v>
      </c>
      <c r="H262" s="5" t="str">
        <f>_xlfn.XLOOKUP($N262,'Base de Grupos'!$A:$A,'Base de Grupos'!$J:$J)</f>
        <v>1000105900</v>
      </c>
      <c r="I262" s="2" t="str">
        <f>_xlfn.XLOOKUP($N262,'Base de Grupos'!$A:$A,'Base de Grupos'!$K:$K)</f>
        <v>REGIONAL VENDA DIRETA CO + NE + NO</v>
      </c>
      <c r="J262" s="2" t="str">
        <f>_xlfn.XLOOKUP($N262,'Base de Grupos'!$A:$A,'Base de Grupos'!$L:$L)</f>
        <v>1000150135</v>
      </c>
      <c r="K262" s="5" t="str">
        <f>_xlfn.XLOOKUP($N262,'Base de Grupos'!$A:$A,'Base de Grupos'!$M:$M)</f>
        <v>HELDER DA SILVA BRUNKOW</v>
      </c>
      <c r="L262" s="5" t="str">
        <f t="shared" si="125"/>
        <v/>
      </c>
      <c r="M262" s="5" t="str">
        <f>_xlfn.XLOOKUP($N262,'Base de Grupos'!$A:$A,'Base de Grupos'!$C:$C)</f>
        <v>DF</v>
      </c>
      <c r="N262" s="3">
        <v>1352</v>
      </c>
      <c r="O262" s="4" t="s">
        <v>238</v>
      </c>
      <c r="P262" s="5" t="s">
        <v>92</v>
      </c>
      <c r="Q262" s="24">
        <v>0</v>
      </c>
      <c r="R262" s="24">
        <v>0</v>
      </c>
      <c r="S262" s="24">
        <v>0</v>
      </c>
      <c r="T262" s="24">
        <v>0</v>
      </c>
      <c r="U262" s="24">
        <v>0</v>
      </c>
      <c r="V262" s="24">
        <v>0</v>
      </c>
      <c r="W262" s="24">
        <v>0</v>
      </c>
      <c r="X262" s="24">
        <v>0</v>
      </c>
      <c r="Y262" s="24">
        <v>0</v>
      </c>
      <c r="Z262" s="24">
        <v>0</v>
      </c>
      <c r="AA262" s="24">
        <v>0</v>
      </c>
      <c r="AB262" s="24">
        <v>0</v>
      </c>
      <c r="AC262" s="30">
        <f t="shared" si="119"/>
        <v>0</v>
      </c>
      <c r="AD262" s="27">
        <f t="shared" si="121"/>
        <v>0</v>
      </c>
      <c r="AE262" s="25">
        <f>IFERROR(_xlfn.XLOOKUP(N262&amp;P262,'Historico Vendas'!G:G,'Historico Vendas'!E:E),0)</f>
        <v>0</v>
      </c>
      <c r="AF262" s="29" t="str">
        <f t="shared" si="126"/>
        <v/>
      </c>
      <c r="AG262" s="24">
        <f>IFERROR(_xlfn.XLOOKUP(N262&amp;P262,'Historico Vendas'!G:G,'Historico Vendas'!F:F),0)</f>
        <v>0</v>
      </c>
      <c r="AH262" s="25">
        <f t="shared" si="122"/>
        <v>0</v>
      </c>
      <c r="AI262" s="24">
        <f t="shared" si="123"/>
        <v>0</v>
      </c>
      <c r="AJ262" s="11" t="str">
        <f t="shared" si="127"/>
        <v/>
      </c>
      <c r="AK262" s="9" t="s">
        <v>102</v>
      </c>
      <c r="AL262" s="13">
        <f>IFERROR(INDEX('Balizador da Meta'!$D$3:$F$23,MATCH(Quantidade!$P262,'Balizador da Meta'!$C$3:$C$23,0),MATCH(Quantidade!AK262,'Balizador da Meta'!$D$2:$F$2,0)),"")</f>
        <v>0</v>
      </c>
      <c r="AM262" s="9"/>
    </row>
    <row r="263" spans="1:39" x14ac:dyDescent="0.3">
      <c r="A263" s="2" t="str">
        <f t="shared" si="124"/>
        <v>NÃO</v>
      </c>
      <c r="B263" s="2" t="str">
        <f>_xlfn.XLOOKUP($N263,'Base de Grupos'!$A:$A,'Base de Grupos'!$D:$D)</f>
        <v>1000065763</v>
      </c>
      <c r="C263" s="5" t="str">
        <f>_xlfn.XLOOKUP($N263,'Base de Grupos'!$A:$A,'Base de Grupos'!$E:$E)</f>
        <v>CANAL VENDA INTERNA</v>
      </c>
      <c r="D263" s="5" t="str">
        <f>_xlfn.XLOOKUP($N263,'Base de Grupos'!$A:$A,'Base de Grupos'!$F:$F)</f>
        <v>1000065763</v>
      </c>
      <c r="E263" s="2" t="str">
        <f>_xlfn.XLOOKUP($N263,'Base de Grupos'!$A:$A,'Base de Grupos'!$G:$G)</f>
        <v>CANAL VENDA INTERNA</v>
      </c>
      <c r="F263" s="2" t="str">
        <f>_xlfn.XLOOKUP($N263,'Base de Grupos'!$A:$A,'Base de Grupos'!$H:$H)</f>
        <v>1000105900</v>
      </c>
      <c r="G263" s="5" t="str">
        <f>_xlfn.XLOOKUP($N263,'Base de Grupos'!$A:$A,'Base de Grupos'!$I:$I)</f>
        <v>REGIONAL VENDA DIRETA CO + NE + NO</v>
      </c>
      <c r="H263" s="5" t="str">
        <f>_xlfn.XLOOKUP($N263,'Base de Grupos'!$A:$A,'Base de Grupos'!$J:$J)</f>
        <v>1000105900</v>
      </c>
      <c r="I263" s="2" t="str">
        <f>_xlfn.XLOOKUP($N263,'Base de Grupos'!$A:$A,'Base de Grupos'!$K:$K)</f>
        <v>REGIONAL VENDA DIRETA CO + NE + NO</v>
      </c>
      <c r="J263" s="2" t="str">
        <f>_xlfn.XLOOKUP($N263,'Base de Grupos'!$A:$A,'Base de Grupos'!$L:$L)</f>
        <v>1000150135</v>
      </c>
      <c r="K263" s="5" t="str">
        <f>_xlfn.XLOOKUP($N263,'Base de Grupos'!$A:$A,'Base de Grupos'!$M:$M)</f>
        <v>HELDER DA SILVA BRUNKOW</v>
      </c>
      <c r="L263" s="5" t="str">
        <f t="shared" si="125"/>
        <v/>
      </c>
      <c r="M263" s="5" t="str">
        <f>_xlfn.XLOOKUP($N263,'Base de Grupos'!$A:$A,'Base de Grupos'!$C:$C)</f>
        <v>DF</v>
      </c>
      <c r="N263" s="3">
        <v>1352</v>
      </c>
      <c r="O263" s="4" t="s">
        <v>238</v>
      </c>
      <c r="P263" s="5" t="s">
        <v>86</v>
      </c>
      <c r="Q263" s="24">
        <v>0</v>
      </c>
      <c r="R263" s="24">
        <v>0</v>
      </c>
      <c r="S263" s="24">
        <v>0</v>
      </c>
      <c r="T263" s="24">
        <v>0</v>
      </c>
      <c r="U263" s="24">
        <v>0</v>
      </c>
      <c r="V263" s="24">
        <v>0</v>
      </c>
      <c r="W263" s="24">
        <v>0</v>
      </c>
      <c r="X263" s="24">
        <v>0</v>
      </c>
      <c r="Y263" s="24">
        <v>0</v>
      </c>
      <c r="Z263" s="24">
        <v>0</v>
      </c>
      <c r="AA263" s="24">
        <v>0</v>
      </c>
      <c r="AB263" s="24">
        <v>0</v>
      </c>
      <c r="AC263" s="30">
        <f t="shared" si="119"/>
        <v>0</v>
      </c>
      <c r="AD263" s="27">
        <f t="shared" si="121"/>
        <v>0</v>
      </c>
      <c r="AE263" s="25">
        <f>IFERROR(_xlfn.XLOOKUP(N263&amp;P263,'Historico Vendas'!G:G,'Historico Vendas'!E:E),0)</f>
        <v>0</v>
      </c>
      <c r="AF263" s="29" t="str">
        <f t="shared" si="126"/>
        <v/>
      </c>
      <c r="AG263" s="24">
        <f>IFERROR(_xlfn.XLOOKUP(N263&amp;P263,'Historico Vendas'!G:G,'Historico Vendas'!F:F),0)</f>
        <v>0</v>
      </c>
      <c r="AH263" s="25">
        <f t="shared" si="122"/>
        <v>0</v>
      </c>
      <c r="AI263" s="24">
        <f t="shared" si="123"/>
        <v>0</v>
      </c>
      <c r="AJ263" s="11" t="str">
        <f t="shared" si="127"/>
        <v/>
      </c>
      <c r="AK263" s="9" t="s">
        <v>102</v>
      </c>
      <c r="AL263" s="13">
        <f>IFERROR(INDEX('Balizador da Meta'!$D$3:$F$23,MATCH(Quantidade!$P263,'Balizador da Meta'!$C$3:$C$23,0),MATCH(Quantidade!AK263,'Balizador da Meta'!$D$2:$F$2,0)),"")</f>
        <v>0.15</v>
      </c>
      <c r="AM263" s="9"/>
    </row>
    <row r="264" spans="1:39" x14ac:dyDescent="0.3">
      <c r="A264" s="2" t="str">
        <f t="shared" si="124"/>
        <v>NÃO</v>
      </c>
      <c r="B264" s="2" t="str">
        <f>_xlfn.XLOOKUP($N264,'Base de Grupos'!$A:$A,'Base de Grupos'!$D:$D)</f>
        <v>1000065763</v>
      </c>
      <c r="C264" s="5" t="str">
        <f>_xlfn.XLOOKUP($N264,'Base de Grupos'!$A:$A,'Base de Grupos'!$E:$E)</f>
        <v>CANAL VENDA INTERNA</v>
      </c>
      <c r="D264" s="5" t="str">
        <f>_xlfn.XLOOKUP($N264,'Base de Grupos'!$A:$A,'Base de Grupos'!$F:$F)</f>
        <v>1000065763</v>
      </c>
      <c r="E264" s="2" t="str">
        <f>_xlfn.XLOOKUP($N264,'Base de Grupos'!$A:$A,'Base de Grupos'!$G:$G)</f>
        <v>CANAL VENDA INTERNA</v>
      </c>
      <c r="F264" s="2" t="str">
        <f>_xlfn.XLOOKUP($N264,'Base de Grupos'!$A:$A,'Base de Grupos'!$H:$H)</f>
        <v>1000105900</v>
      </c>
      <c r="G264" s="5" t="str">
        <f>_xlfn.XLOOKUP($N264,'Base de Grupos'!$A:$A,'Base de Grupos'!$I:$I)</f>
        <v>REGIONAL VENDA DIRETA CO + NE + NO</v>
      </c>
      <c r="H264" s="5" t="str">
        <f>_xlfn.XLOOKUP($N264,'Base de Grupos'!$A:$A,'Base de Grupos'!$J:$J)</f>
        <v>1000105900</v>
      </c>
      <c r="I264" s="2" t="str">
        <f>_xlfn.XLOOKUP($N264,'Base de Grupos'!$A:$A,'Base de Grupos'!$K:$K)</f>
        <v>REGIONAL VENDA DIRETA CO + NE + NO</v>
      </c>
      <c r="J264" s="2" t="str">
        <f>_xlfn.XLOOKUP($N264,'Base de Grupos'!$A:$A,'Base de Grupos'!$L:$L)</f>
        <v>1000150135</v>
      </c>
      <c r="K264" s="5" t="str">
        <f>_xlfn.XLOOKUP($N264,'Base de Grupos'!$A:$A,'Base de Grupos'!$M:$M)</f>
        <v>HELDER DA SILVA BRUNKOW</v>
      </c>
      <c r="L264" s="5" t="str">
        <f t="shared" si="125"/>
        <v/>
      </c>
      <c r="M264" s="5" t="str">
        <f>_xlfn.XLOOKUP($N264,'Base de Grupos'!$A:$A,'Base de Grupos'!$C:$C)</f>
        <v>DF</v>
      </c>
      <c r="N264" s="3">
        <v>1352</v>
      </c>
      <c r="O264" s="4" t="s">
        <v>238</v>
      </c>
      <c r="P264" s="5" t="s">
        <v>108</v>
      </c>
      <c r="Q264" s="24">
        <v>0</v>
      </c>
      <c r="R264" s="24">
        <v>0</v>
      </c>
      <c r="S264" s="24">
        <v>0</v>
      </c>
      <c r="T264" s="24">
        <v>0</v>
      </c>
      <c r="U264" s="24">
        <v>0</v>
      </c>
      <c r="V264" s="24">
        <v>0</v>
      </c>
      <c r="W264" s="24">
        <v>0</v>
      </c>
      <c r="X264" s="24">
        <v>0</v>
      </c>
      <c r="Y264" s="24">
        <v>0</v>
      </c>
      <c r="Z264" s="24">
        <v>0</v>
      </c>
      <c r="AA264" s="24">
        <v>0</v>
      </c>
      <c r="AB264" s="24">
        <v>0</v>
      </c>
      <c r="AC264" s="30">
        <f t="shared" si="119"/>
        <v>0</v>
      </c>
      <c r="AD264" s="27">
        <f t="shared" si="121"/>
        <v>0</v>
      </c>
      <c r="AE264" s="25">
        <f>IFERROR(_xlfn.XLOOKUP(N264&amp;P264,'Historico Vendas'!G:G,'Historico Vendas'!E:E),0)</f>
        <v>0</v>
      </c>
      <c r="AF264" s="29" t="str">
        <f t="shared" si="126"/>
        <v/>
      </c>
      <c r="AG264" s="24">
        <f>IFERROR(_xlfn.XLOOKUP(N264&amp;P264,'Historico Vendas'!G:G,'Historico Vendas'!F:F),0)</f>
        <v>0</v>
      </c>
      <c r="AH264" s="25">
        <f t="shared" si="122"/>
        <v>0</v>
      </c>
      <c r="AI264" s="24">
        <f t="shared" si="123"/>
        <v>0</v>
      </c>
      <c r="AJ264" s="11" t="str">
        <f t="shared" si="127"/>
        <v/>
      </c>
      <c r="AK264" s="9" t="s">
        <v>102</v>
      </c>
      <c r="AL264" s="13">
        <f>IFERROR(INDEX('Balizador da Meta'!$D$3:$F$23,MATCH(Quantidade!$P264,'Balizador da Meta'!$C$3:$C$23,0),MATCH(Quantidade!AK264,'Balizador da Meta'!$D$2:$F$2,0)),"")</f>
        <v>0</v>
      </c>
      <c r="AM264" s="9"/>
    </row>
    <row r="265" spans="1:39" x14ac:dyDescent="0.3">
      <c r="A265" s="2" t="str">
        <f t="shared" si="124"/>
        <v>NÃO</v>
      </c>
      <c r="B265" s="2" t="str">
        <f>_xlfn.XLOOKUP($N265,'Base de Grupos'!$A:$A,'Base de Grupos'!$D:$D)</f>
        <v>1000065763</v>
      </c>
      <c r="C265" s="5" t="str">
        <f>_xlfn.XLOOKUP($N265,'Base de Grupos'!$A:$A,'Base de Grupos'!$E:$E)</f>
        <v>CANAL VENDA INTERNA</v>
      </c>
      <c r="D265" s="5" t="str">
        <f>_xlfn.XLOOKUP($N265,'Base de Grupos'!$A:$A,'Base de Grupos'!$F:$F)</f>
        <v>1000065763</v>
      </c>
      <c r="E265" s="2" t="str">
        <f>_xlfn.XLOOKUP($N265,'Base de Grupos'!$A:$A,'Base de Grupos'!$G:$G)</f>
        <v>CANAL VENDA INTERNA</v>
      </c>
      <c r="F265" s="2" t="str">
        <f>_xlfn.XLOOKUP($N265,'Base de Grupos'!$A:$A,'Base de Grupos'!$H:$H)</f>
        <v>1000105900</v>
      </c>
      <c r="G265" s="5" t="str">
        <f>_xlfn.XLOOKUP($N265,'Base de Grupos'!$A:$A,'Base de Grupos'!$I:$I)</f>
        <v>REGIONAL VENDA DIRETA CO + NE + NO</v>
      </c>
      <c r="H265" s="5" t="str">
        <f>_xlfn.XLOOKUP($N265,'Base de Grupos'!$A:$A,'Base de Grupos'!$J:$J)</f>
        <v>1000105900</v>
      </c>
      <c r="I265" s="2" t="str">
        <f>_xlfn.XLOOKUP($N265,'Base de Grupos'!$A:$A,'Base de Grupos'!$K:$K)</f>
        <v>REGIONAL VENDA DIRETA CO + NE + NO</v>
      </c>
      <c r="J265" s="2" t="str">
        <f>_xlfn.XLOOKUP($N265,'Base de Grupos'!$A:$A,'Base de Grupos'!$L:$L)</f>
        <v>1000150135</v>
      </c>
      <c r="K265" s="5" t="str">
        <f>_xlfn.XLOOKUP($N265,'Base de Grupos'!$A:$A,'Base de Grupos'!$M:$M)</f>
        <v>HELDER DA SILVA BRUNKOW</v>
      </c>
      <c r="L265" s="5" t="str">
        <f t="shared" si="125"/>
        <v/>
      </c>
      <c r="M265" s="5" t="str">
        <f>_xlfn.XLOOKUP($N265,'Base de Grupos'!$A:$A,'Base de Grupos'!$C:$C)</f>
        <v>DF</v>
      </c>
      <c r="N265" s="3">
        <v>1352</v>
      </c>
      <c r="O265" s="4" t="s">
        <v>238</v>
      </c>
      <c r="P265" s="5" t="s">
        <v>89</v>
      </c>
      <c r="Q265" s="24">
        <v>0</v>
      </c>
      <c r="R265" s="24">
        <v>0</v>
      </c>
      <c r="S265" s="24">
        <v>0</v>
      </c>
      <c r="T265" s="24">
        <v>0</v>
      </c>
      <c r="U265" s="24">
        <v>0</v>
      </c>
      <c r="V265" s="24">
        <v>0</v>
      </c>
      <c r="W265" s="24">
        <v>0</v>
      </c>
      <c r="X265" s="24">
        <v>0</v>
      </c>
      <c r="Y265" s="24">
        <v>0</v>
      </c>
      <c r="Z265" s="24">
        <v>0</v>
      </c>
      <c r="AA265" s="24">
        <v>0</v>
      </c>
      <c r="AB265" s="24">
        <v>0</v>
      </c>
      <c r="AC265" s="30">
        <f t="shared" si="119"/>
        <v>0</v>
      </c>
      <c r="AD265" s="27">
        <f t="shared" si="121"/>
        <v>0</v>
      </c>
      <c r="AE265" s="25">
        <f>IFERROR(_xlfn.XLOOKUP(N265&amp;P265,'Historico Vendas'!G:G,'Historico Vendas'!E:E),0)</f>
        <v>0</v>
      </c>
      <c r="AF265" s="29" t="str">
        <f t="shared" si="126"/>
        <v/>
      </c>
      <c r="AG265" s="24">
        <f>IFERROR(_xlfn.XLOOKUP(N265&amp;P265,'Historico Vendas'!G:G,'Historico Vendas'!F:F),0)</f>
        <v>0</v>
      </c>
      <c r="AH265" s="25">
        <f t="shared" si="122"/>
        <v>0</v>
      </c>
      <c r="AI265" s="24">
        <f t="shared" si="123"/>
        <v>0</v>
      </c>
      <c r="AJ265" s="11" t="str">
        <f t="shared" si="127"/>
        <v/>
      </c>
      <c r="AK265" s="9" t="s">
        <v>102</v>
      </c>
      <c r="AL265" s="13">
        <f>IFERROR(INDEX('Balizador da Meta'!$D$3:$F$23,MATCH(Quantidade!$P265,'Balizador da Meta'!$C$3:$C$23,0),MATCH(Quantidade!AK265,'Balizador da Meta'!$D$2:$F$2,0)),"")</f>
        <v>0.25</v>
      </c>
      <c r="AM265" s="9"/>
    </row>
    <row r="266" spans="1:39" x14ac:dyDescent="0.3">
      <c r="A266" s="2" t="str">
        <f t="shared" si="124"/>
        <v>NÃO</v>
      </c>
      <c r="B266" s="2" t="str">
        <f>_xlfn.XLOOKUP($N266,'Base de Grupos'!$A:$A,'Base de Grupos'!$D:$D)</f>
        <v>1000065763</v>
      </c>
      <c r="C266" s="5" t="str">
        <f>_xlfn.XLOOKUP($N266,'Base de Grupos'!$A:$A,'Base de Grupos'!$E:$E)</f>
        <v>CANAL VENDA INTERNA</v>
      </c>
      <c r="D266" s="5" t="str">
        <f>_xlfn.XLOOKUP($N266,'Base de Grupos'!$A:$A,'Base de Grupos'!$F:$F)</f>
        <v>1000065763</v>
      </c>
      <c r="E266" s="2" t="str">
        <f>_xlfn.XLOOKUP($N266,'Base de Grupos'!$A:$A,'Base de Grupos'!$G:$G)</f>
        <v>CANAL VENDA INTERNA</v>
      </c>
      <c r="F266" s="2" t="str">
        <f>_xlfn.XLOOKUP($N266,'Base de Grupos'!$A:$A,'Base de Grupos'!$H:$H)</f>
        <v>1000105900</v>
      </c>
      <c r="G266" s="5" t="str">
        <f>_xlfn.XLOOKUP($N266,'Base de Grupos'!$A:$A,'Base de Grupos'!$I:$I)</f>
        <v>REGIONAL VENDA DIRETA CO + NE + NO</v>
      </c>
      <c r="H266" s="5" t="str">
        <f>_xlfn.XLOOKUP($N266,'Base de Grupos'!$A:$A,'Base de Grupos'!$J:$J)</f>
        <v>1000105900</v>
      </c>
      <c r="I266" s="2" t="str">
        <f>_xlfn.XLOOKUP($N266,'Base de Grupos'!$A:$A,'Base de Grupos'!$K:$K)</f>
        <v>REGIONAL VENDA DIRETA CO + NE + NO</v>
      </c>
      <c r="J266" s="2" t="str">
        <f>_xlfn.XLOOKUP($N266,'Base de Grupos'!$A:$A,'Base de Grupos'!$L:$L)</f>
        <v>1000150135</v>
      </c>
      <c r="K266" s="5" t="str">
        <f>_xlfn.XLOOKUP($N266,'Base de Grupos'!$A:$A,'Base de Grupos'!$M:$M)</f>
        <v>HELDER DA SILVA BRUNKOW</v>
      </c>
      <c r="L266" s="5" t="str">
        <f t="shared" si="125"/>
        <v/>
      </c>
      <c r="M266" s="5" t="str">
        <f>_xlfn.XLOOKUP($N266,'Base de Grupos'!$A:$A,'Base de Grupos'!$C:$C)</f>
        <v>DF</v>
      </c>
      <c r="N266" s="3">
        <v>1352</v>
      </c>
      <c r="O266" s="4" t="s">
        <v>238</v>
      </c>
      <c r="P266" s="5" t="s">
        <v>88</v>
      </c>
      <c r="Q266" s="24">
        <v>0</v>
      </c>
      <c r="R266" s="24">
        <v>0</v>
      </c>
      <c r="S266" s="24">
        <v>0</v>
      </c>
      <c r="T266" s="24">
        <v>0</v>
      </c>
      <c r="U266" s="24">
        <v>0</v>
      </c>
      <c r="V266" s="24">
        <v>0</v>
      </c>
      <c r="W266" s="24">
        <v>0</v>
      </c>
      <c r="X266" s="24">
        <v>0</v>
      </c>
      <c r="Y266" s="24">
        <v>0</v>
      </c>
      <c r="Z266" s="24">
        <v>0</v>
      </c>
      <c r="AA266" s="24">
        <v>0</v>
      </c>
      <c r="AB266" s="24">
        <v>0</v>
      </c>
      <c r="AC266" s="30">
        <f t="shared" si="119"/>
        <v>0</v>
      </c>
      <c r="AD266" s="27">
        <f t="shared" si="121"/>
        <v>0</v>
      </c>
      <c r="AE266" s="25">
        <f>IFERROR(_xlfn.XLOOKUP(N266&amp;P266,'Historico Vendas'!G:G,'Historico Vendas'!E:E),0)</f>
        <v>0</v>
      </c>
      <c r="AF266" s="29" t="str">
        <f t="shared" si="126"/>
        <v/>
      </c>
      <c r="AG266" s="24">
        <f>IFERROR(_xlfn.XLOOKUP(N266&amp;P266,'Historico Vendas'!G:G,'Historico Vendas'!F:F),0)</f>
        <v>0</v>
      </c>
      <c r="AH266" s="25">
        <f t="shared" si="122"/>
        <v>0</v>
      </c>
      <c r="AI266" s="24">
        <f t="shared" si="123"/>
        <v>0</v>
      </c>
      <c r="AJ266" s="11" t="str">
        <f t="shared" si="127"/>
        <v/>
      </c>
      <c r="AK266" s="9" t="s">
        <v>102</v>
      </c>
      <c r="AL266" s="13">
        <f>IFERROR(INDEX('Balizador da Meta'!$D$3:$F$23,MATCH(Quantidade!$P266,'Balizador da Meta'!$C$3:$C$23,0),MATCH(Quantidade!AK266,'Balizador da Meta'!$D$2:$F$2,0)),"")</f>
        <v>0</v>
      </c>
      <c r="AM266" s="9"/>
    </row>
    <row r="267" spans="1:39" x14ac:dyDescent="0.3">
      <c r="A267" s="2" t="str">
        <f t="shared" si="124"/>
        <v>NÃO</v>
      </c>
      <c r="B267" s="2" t="str">
        <f>_xlfn.XLOOKUP($N267,'Base de Grupos'!$A:$A,'Base de Grupos'!$D:$D)</f>
        <v>1000065763</v>
      </c>
      <c r="C267" s="5" t="str">
        <f>_xlfn.XLOOKUP($N267,'Base de Grupos'!$A:$A,'Base de Grupos'!$E:$E)</f>
        <v>CANAL VENDA INTERNA</v>
      </c>
      <c r="D267" s="5" t="str">
        <f>_xlfn.XLOOKUP($N267,'Base de Grupos'!$A:$A,'Base de Grupos'!$F:$F)</f>
        <v>1000065763</v>
      </c>
      <c r="E267" s="2" t="str">
        <f>_xlfn.XLOOKUP($N267,'Base de Grupos'!$A:$A,'Base de Grupos'!$G:$G)</f>
        <v>CANAL VENDA INTERNA</v>
      </c>
      <c r="F267" s="2" t="str">
        <f>_xlfn.XLOOKUP($N267,'Base de Grupos'!$A:$A,'Base de Grupos'!$H:$H)</f>
        <v>1000105900</v>
      </c>
      <c r="G267" s="5" t="str">
        <f>_xlfn.XLOOKUP($N267,'Base de Grupos'!$A:$A,'Base de Grupos'!$I:$I)</f>
        <v>REGIONAL VENDA DIRETA CO + NE + NO</v>
      </c>
      <c r="H267" s="5" t="str">
        <f>_xlfn.XLOOKUP($N267,'Base de Grupos'!$A:$A,'Base de Grupos'!$J:$J)</f>
        <v>1000105900</v>
      </c>
      <c r="I267" s="2" t="str">
        <f>_xlfn.XLOOKUP($N267,'Base de Grupos'!$A:$A,'Base de Grupos'!$K:$K)</f>
        <v>REGIONAL VENDA DIRETA CO + NE + NO</v>
      </c>
      <c r="J267" s="2" t="str">
        <f>_xlfn.XLOOKUP($N267,'Base de Grupos'!$A:$A,'Base de Grupos'!$L:$L)</f>
        <v>1000150135</v>
      </c>
      <c r="K267" s="5" t="str">
        <f>_xlfn.XLOOKUP($N267,'Base de Grupos'!$A:$A,'Base de Grupos'!$M:$M)</f>
        <v>HELDER DA SILVA BRUNKOW</v>
      </c>
      <c r="L267" s="5" t="str">
        <f t="shared" si="125"/>
        <v/>
      </c>
      <c r="M267" s="5" t="str">
        <f>_xlfn.XLOOKUP($N267,'Base de Grupos'!$A:$A,'Base de Grupos'!$C:$C)</f>
        <v>DF</v>
      </c>
      <c r="N267" s="3">
        <v>1352</v>
      </c>
      <c r="O267" s="4" t="s">
        <v>238</v>
      </c>
      <c r="P267" s="5" t="s">
        <v>90</v>
      </c>
      <c r="Q267" s="24">
        <f>SUM(Q268:Q288)</f>
        <v>0</v>
      </c>
      <c r="R267" s="24">
        <f t="shared" ref="R267" si="128">SUM(R268:R288)</f>
        <v>0</v>
      </c>
      <c r="S267" s="24">
        <f t="shared" ref="S267" si="129">SUM(S268:S288)</f>
        <v>0</v>
      </c>
      <c r="T267" s="24">
        <f t="shared" ref="T267:AC267" si="130">SUM(T268:T288)</f>
        <v>0</v>
      </c>
      <c r="U267" s="24">
        <f t="shared" si="130"/>
        <v>0</v>
      </c>
      <c r="V267" s="24">
        <f t="shared" si="130"/>
        <v>0</v>
      </c>
      <c r="W267" s="24">
        <f t="shared" si="130"/>
        <v>0</v>
      </c>
      <c r="X267" s="24">
        <f t="shared" si="130"/>
        <v>0</v>
      </c>
      <c r="Y267" s="24">
        <f t="shared" si="130"/>
        <v>0</v>
      </c>
      <c r="Z267" s="24">
        <f t="shared" si="130"/>
        <v>0</v>
      </c>
      <c r="AA267" s="24">
        <f t="shared" si="130"/>
        <v>0</v>
      </c>
      <c r="AB267" s="24">
        <f t="shared" si="130"/>
        <v>0</v>
      </c>
      <c r="AC267" s="24">
        <f t="shared" si="130"/>
        <v>0</v>
      </c>
      <c r="AD267" s="27">
        <f t="shared" si="121"/>
        <v>0</v>
      </c>
      <c r="AE267" s="25">
        <f>IFERROR(_xlfn.XLOOKUP(N267&amp;P267,'Historico Vendas'!G:G,'Historico Vendas'!E:E),0)</f>
        <v>0</v>
      </c>
      <c r="AF267" s="29" t="str">
        <f t="shared" si="126"/>
        <v/>
      </c>
      <c r="AG267" s="24">
        <f>IFERROR(_xlfn.XLOOKUP(N267&amp;P267,'Historico Vendas'!G:G,'Historico Vendas'!F:F),0)</f>
        <v>0</v>
      </c>
      <c r="AH267" s="25">
        <f t="shared" si="122"/>
        <v>0</v>
      </c>
      <c r="AI267" s="24">
        <f t="shared" si="123"/>
        <v>0</v>
      </c>
      <c r="AJ267" s="11" t="str">
        <f t="shared" si="127"/>
        <v/>
      </c>
      <c r="AK267" s="9" t="s">
        <v>102</v>
      </c>
      <c r="AL267" s="13">
        <f>IFERROR(INDEX('Balizador da Meta'!$D$3:$F$23,MATCH(Quantidade!$P267,'Balizador da Meta'!$C$3:$C$23,0),MATCH(Quantidade!AK267,'Balizador da Meta'!$D$2:$F$2,0)),"")</f>
        <v>0</v>
      </c>
      <c r="AM267" s="9"/>
    </row>
    <row r="268" spans="1:39" x14ac:dyDescent="0.3">
      <c r="A268" s="2" t="str">
        <f t="shared" si="124"/>
        <v>NÃO</v>
      </c>
      <c r="B268" s="2" t="str">
        <f>_xlfn.XLOOKUP($N268,'Base de Grupos'!$A:$A,'Base de Grupos'!$D:$D)</f>
        <v>1000065763</v>
      </c>
      <c r="C268" s="5" t="str">
        <f>_xlfn.XLOOKUP($N268,'Base de Grupos'!$A:$A,'Base de Grupos'!$E:$E)</f>
        <v>CANAL VENDA INTERNA</v>
      </c>
      <c r="D268" s="5" t="str">
        <f>_xlfn.XLOOKUP($N268,'Base de Grupos'!$A:$A,'Base de Grupos'!$F:$F)</f>
        <v>1000065763</v>
      </c>
      <c r="E268" s="2" t="str">
        <f>_xlfn.XLOOKUP($N268,'Base de Grupos'!$A:$A,'Base de Grupos'!$G:$G)</f>
        <v>CANAL VENDA INTERNA</v>
      </c>
      <c r="F268" s="2" t="str">
        <f>_xlfn.XLOOKUP($N268,'Base de Grupos'!$A:$A,'Base de Grupos'!$H:$H)</f>
        <v>1000105900</v>
      </c>
      <c r="G268" s="5" t="str">
        <f>_xlfn.XLOOKUP($N268,'Base de Grupos'!$A:$A,'Base de Grupos'!$I:$I)</f>
        <v>REGIONAL VENDA DIRETA CO + NE + NO</v>
      </c>
      <c r="H268" s="5" t="str">
        <f>_xlfn.XLOOKUP($N268,'Base de Grupos'!$A:$A,'Base de Grupos'!$J:$J)</f>
        <v>1000105900</v>
      </c>
      <c r="I268" s="2" t="str">
        <f>_xlfn.XLOOKUP($N268,'Base de Grupos'!$A:$A,'Base de Grupos'!$K:$K)</f>
        <v>REGIONAL VENDA DIRETA CO + NE + NO</v>
      </c>
      <c r="J268" s="2" t="str">
        <f>_xlfn.XLOOKUP($N268,'Base de Grupos'!$A:$A,'Base de Grupos'!$L:$L)</f>
        <v>1000150135</v>
      </c>
      <c r="K268" s="5" t="str">
        <f>_xlfn.XLOOKUP($N268,'Base de Grupos'!$A:$A,'Base de Grupos'!$M:$M)</f>
        <v>HELDER DA SILVA BRUNKOW</v>
      </c>
      <c r="L268" s="5" t="str">
        <f t="shared" si="125"/>
        <v/>
      </c>
      <c r="M268" s="5" t="str">
        <f>_xlfn.XLOOKUP($N268,'Base de Grupos'!$A:$A,'Base de Grupos'!$C:$C)</f>
        <v>DF</v>
      </c>
      <c r="N268" s="3">
        <v>1352</v>
      </c>
      <c r="O268" s="4" t="s">
        <v>238</v>
      </c>
      <c r="P268" s="5" t="s">
        <v>91</v>
      </c>
      <c r="Q268" s="24">
        <v>0</v>
      </c>
      <c r="R268" s="24">
        <v>0</v>
      </c>
      <c r="S268" s="24">
        <v>0</v>
      </c>
      <c r="T268" s="24">
        <v>0</v>
      </c>
      <c r="U268" s="24">
        <v>0</v>
      </c>
      <c r="V268" s="24">
        <v>0</v>
      </c>
      <c r="W268" s="24">
        <v>0</v>
      </c>
      <c r="X268" s="24">
        <v>0</v>
      </c>
      <c r="Y268" s="24">
        <v>0</v>
      </c>
      <c r="Z268" s="24">
        <v>0</v>
      </c>
      <c r="AA268" s="24">
        <v>0</v>
      </c>
      <c r="AB268" s="24">
        <v>0</v>
      </c>
      <c r="AC268" s="30">
        <f t="shared" ref="AC268:AC288" si="131">SUM(T268:AB268)</f>
        <v>0</v>
      </c>
      <c r="AD268" s="27">
        <f t="shared" si="121"/>
        <v>0</v>
      </c>
      <c r="AE268" s="25">
        <f>IFERROR(_xlfn.XLOOKUP(N268&amp;P268,'Historico Vendas'!G:G,'Historico Vendas'!E:E),0)</f>
        <v>0</v>
      </c>
      <c r="AF268" s="29" t="str">
        <f t="shared" si="126"/>
        <v/>
      </c>
      <c r="AG268" s="24">
        <f>IFERROR(_xlfn.XLOOKUP(N268&amp;P268,'Historico Vendas'!G:G,'Historico Vendas'!F:F),0)</f>
        <v>0</v>
      </c>
      <c r="AH268" s="25">
        <f t="shared" si="122"/>
        <v>0</v>
      </c>
      <c r="AI268" s="24">
        <f t="shared" si="123"/>
        <v>0</v>
      </c>
      <c r="AJ268" s="11" t="str">
        <f t="shared" si="127"/>
        <v/>
      </c>
      <c r="AK268" s="9" t="s">
        <v>102</v>
      </c>
      <c r="AL268" s="13">
        <f>IFERROR(INDEX('Balizador da Meta'!$D$3:$F$23,MATCH(Quantidade!$P268,'Balizador da Meta'!$C$3:$C$23,0),MATCH(Quantidade!AK268,'Balizador da Meta'!$D$2:$F$2,0)),"")</f>
        <v>0</v>
      </c>
      <c r="AM268" s="9"/>
    </row>
    <row r="269" spans="1:39" x14ac:dyDescent="0.3">
      <c r="A269" s="2" t="str">
        <f t="shared" si="124"/>
        <v>NÃO</v>
      </c>
      <c r="B269" s="2" t="str">
        <f>_xlfn.XLOOKUP($N269,'Base de Grupos'!$A:$A,'Base de Grupos'!$D:$D)</f>
        <v>1000065763</v>
      </c>
      <c r="C269" s="5" t="str">
        <f>_xlfn.XLOOKUP($N269,'Base de Grupos'!$A:$A,'Base de Grupos'!$E:$E)</f>
        <v>CANAL VENDA INTERNA</v>
      </c>
      <c r="D269" s="5" t="str">
        <f>_xlfn.XLOOKUP($N269,'Base de Grupos'!$A:$A,'Base de Grupos'!$F:$F)</f>
        <v>1000065763</v>
      </c>
      <c r="E269" s="2" t="str">
        <f>_xlfn.XLOOKUP($N269,'Base de Grupos'!$A:$A,'Base de Grupos'!$G:$G)</f>
        <v>CANAL VENDA INTERNA</v>
      </c>
      <c r="F269" s="2" t="str">
        <f>_xlfn.XLOOKUP($N269,'Base de Grupos'!$A:$A,'Base de Grupos'!$H:$H)</f>
        <v>1000105900</v>
      </c>
      <c r="G269" s="5" t="str">
        <f>_xlfn.XLOOKUP($N269,'Base de Grupos'!$A:$A,'Base de Grupos'!$I:$I)</f>
        <v>REGIONAL VENDA DIRETA CO + NE + NO</v>
      </c>
      <c r="H269" s="5" t="str">
        <f>_xlfn.XLOOKUP($N269,'Base de Grupos'!$A:$A,'Base de Grupos'!$J:$J)</f>
        <v>1000105900</v>
      </c>
      <c r="I269" s="2" t="str">
        <f>_xlfn.XLOOKUP($N269,'Base de Grupos'!$A:$A,'Base de Grupos'!$K:$K)</f>
        <v>REGIONAL VENDA DIRETA CO + NE + NO</v>
      </c>
      <c r="J269" s="2" t="str">
        <f>_xlfn.XLOOKUP($N269,'Base de Grupos'!$A:$A,'Base de Grupos'!$L:$L)</f>
        <v>1000150135</v>
      </c>
      <c r="K269" s="5" t="str">
        <f>_xlfn.XLOOKUP($N269,'Base de Grupos'!$A:$A,'Base de Grupos'!$M:$M)</f>
        <v>HELDER DA SILVA BRUNKOW</v>
      </c>
      <c r="L269" s="5" t="str">
        <f t="shared" si="125"/>
        <v/>
      </c>
      <c r="M269" s="5" t="str">
        <f>_xlfn.XLOOKUP($N269,'Base de Grupos'!$A:$A,'Base de Grupos'!$C:$C)</f>
        <v>DF</v>
      </c>
      <c r="N269" s="3">
        <v>1352</v>
      </c>
      <c r="O269" s="4" t="s">
        <v>238</v>
      </c>
      <c r="P269" s="5" t="s">
        <v>96</v>
      </c>
      <c r="Q269" s="24">
        <v>0</v>
      </c>
      <c r="R269" s="24">
        <v>0</v>
      </c>
      <c r="S269" s="24">
        <v>0</v>
      </c>
      <c r="T269" s="24">
        <v>0</v>
      </c>
      <c r="U269" s="24">
        <v>0</v>
      </c>
      <c r="V269" s="24">
        <v>0</v>
      </c>
      <c r="W269" s="24">
        <v>0</v>
      </c>
      <c r="X269" s="24">
        <v>0</v>
      </c>
      <c r="Y269" s="24">
        <v>0</v>
      </c>
      <c r="Z269" s="24">
        <v>0</v>
      </c>
      <c r="AA269" s="24">
        <v>0</v>
      </c>
      <c r="AB269" s="24">
        <v>0</v>
      </c>
      <c r="AC269" s="30">
        <f t="shared" si="131"/>
        <v>0</v>
      </c>
      <c r="AD269" s="27">
        <f t="shared" si="121"/>
        <v>0</v>
      </c>
      <c r="AE269" s="25">
        <f>IFERROR(_xlfn.XLOOKUP(N269&amp;P269,'Historico Vendas'!G:G,'Historico Vendas'!E:E),0)</f>
        <v>0</v>
      </c>
      <c r="AF269" s="29" t="str">
        <f t="shared" si="126"/>
        <v/>
      </c>
      <c r="AG269" s="24">
        <f>IFERROR(_xlfn.XLOOKUP(N269&amp;P269,'Historico Vendas'!G:G,'Historico Vendas'!F:F),0)</f>
        <v>0</v>
      </c>
      <c r="AH269" s="25">
        <f t="shared" si="122"/>
        <v>0</v>
      </c>
      <c r="AI269" s="24">
        <f t="shared" si="123"/>
        <v>0</v>
      </c>
      <c r="AJ269" s="11" t="str">
        <f t="shared" si="127"/>
        <v/>
      </c>
      <c r="AK269" s="9" t="s">
        <v>102</v>
      </c>
      <c r="AL269" s="13">
        <f>IFERROR(INDEX('Balizador da Meta'!$D$3:$F$23,MATCH(Quantidade!$P269,'Balizador da Meta'!$C$3:$C$23,0),MATCH(Quantidade!AK269,'Balizador da Meta'!$D$2:$F$2,0)),"")</f>
        <v>0</v>
      </c>
      <c r="AM269" s="9"/>
    </row>
    <row r="270" spans="1:39" x14ac:dyDescent="0.3">
      <c r="A270" s="2" t="str">
        <f t="shared" si="124"/>
        <v>NÃO</v>
      </c>
      <c r="B270" s="2" t="str">
        <f>_xlfn.XLOOKUP($N270,'Base de Grupos'!$A:$A,'Base de Grupos'!$D:$D)</f>
        <v>1000065763</v>
      </c>
      <c r="C270" s="5" t="str">
        <f>_xlfn.XLOOKUP($N270,'Base de Grupos'!$A:$A,'Base de Grupos'!$E:$E)</f>
        <v>CANAL VENDA INTERNA</v>
      </c>
      <c r="D270" s="5" t="str">
        <f>_xlfn.XLOOKUP($N270,'Base de Grupos'!$A:$A,'Base de Grupos'!$F:$F)</f>
        <v>1000065763</v>
      </c>
      <c r="E270" s="2" t="str">
        <f>_xlfn.XLOOKUP($N270,'Base de Grupos'!$A:$A,'Base de Grupos'!$G:$G)</f>
        <v>CANAL VENDA INTERNA</v>
      </c>
      <c r="F270" s="2" t="str">
        <f>_xlfn.XLOOKUP($N270,'Base de Grupos'!$A:$A,'Base de Grupos'!$H:$H)</f>
        <v>1000105900</v>
      </c>
      <c r="G270" s="5" t="str">
        <f>_xlfn.XLOOKUP($N270,'Base de Grupos'!$A:$A,'Base de Grupos'!$I:$I)</f>
        <v>REGIONAL VENDA DIRETA CO + NE + NO</v>
      </c>
      <c r="H270" s="5" t="str">
        <f>_xlfn.XLOOKUP($N270,'Base de Grupos'!$A:$A,'Base de Grupos'!$J:$J)</f>
        <v>1000105900</v>
      </c>
      <c r="I270" s="2" t="str">
        <f>_xlfn.XLOOKUP($N270,'Base de Grupos'!$A:$A,'Base de Grupos'!$K:$K)</f>
        <v>REGIONAL VENDA DIRETA CO + NE + NO</v>
      </c>
      <c r="J270" s="2" t="str">
        <f>_xlfn.XLOOKUP($N270,'Base de Grupos'!$A:$A,'Base de Grupos'!$L:$L)</f>
        <v>1000150135</v>
      </c>
      <c r="K270" s="5" t="str">
        <f>_xlfn.XLOOKUP($N270,'Base de Grupos'!$A:$A,'Base de Grupos'!$M:$M)</f>
        <v>HELDER DA SILVA BRUNKOW</v>
      </c>
      <c r="L270" s="5" t="str">
        <f t="shared" si="125"/>
        <v/>
      </c>
      <c r="M270" s="5" t="str">
        <f>_xlfn.XLOOKUP($N270,'Base de Grupos'!$A:$A,'Base de Grupos'!$C:$C)</f>
        <v>DF</v>
      </c>
      <c r="N270" s="3">
        <v>1352</v>
      </c>
      <c r="O270" s="4" t="s">
        <v>238</v>
      </c>
      <c r="P270" s="5" t="s">
        <v>94</v>
      </c>
      <c r="Q270" s="24">
        <v>0</v>
      </c>
      <c r="R270" s="24">
        <v>0</v>
      </c>
      <c r="S270" s="24">
        <v>0</v>
      </c>
      <c r="T270" s="24">
        <v>0</v>
      </c>
      <c r="U270" s="24">
        <v>0</v>
      </c>
      <c r="V270" s="24">
        <v>0</v>
      </c>
      <c r="W270" s="24">
        <v>0</v>
      </c>
      <c r="X270" s="24">
        <v>0</v>
      </c>
      <c r="Y270" s="24">
        <v>0</v>
      </c>
      <c r="Z270" s="24">
        <v>0</v>
      </c>
      <c r="AA270" s="24">
        <v>0</v>
      </c>
      <c r="AB270" s="24">
        <v>0</v>
      </c>
      <c r="AC270" s="30">
        <f t="shared" si="131"/>
        <v>0</v>
      </c>
      <c r="AD270" s="27">
        <f t="shared" si="121"/>
        <v>0</v>
      </c>
      <c r="AE270" s="25">
        <f>IFERROR(_xlfn.XLOOKUP(N270&amp;P270,'Historico Vendas'!G:G,'Historico Vendas'!E:E),0)</f>
        <v>0</v>
      </c>
      <c r="AF270" s="29" t="str">
        <f t="shared" si="126"/>
        <v/>
      </c>
      <c r="AG270" s="24">
        <f>IFERROR(_xlfn.XLOOKUP(N270&amp;P270,'Historico Vendas'!G:G,'Historico Vendas'!F:F),0)</f>
        <v>0</v>
      </c>
      <c r="AH270" s="25">
        <f t="shared" si="122"/>
        <v>0</v>
      </c>
      <c r="AI270" s="24">
        <f t="shared" si="123"/>
        <v>0</v>
      </c>
      <c r="AJ270" s="11" t="str">
        <f t="shared" si="127"/>
        <v/>
      </c>
      <c r="AK270" s="9" t="s">
        <v>102</v>
      </c>
      <c r="AL270" s="13">
        <f>IFERROR(INDEX('Balizador da Meta'!$D$3:$F$23,MATCH(Quantidade!$P270,'Balizador da Meta'!$C$3:$C$23,0),MATCH(Quantidade!AK270,'Balizador da Meta'!$D$2:$F$2,0)),"")</f>
        <v>0.25</v>
      </c>
      <c r="AM270" s="9"/>
    </row>
    <row r="271" spans="1:39" x14ac:dyDescent="0.3">
      <c r="A271" s="2" t="str">
        <f t="shared" si="124"/>
        <v>NÃO</v>
      </c>
      <c r="B271" s="2" t="str">
        <f>_xlfn.XLOOKUP($N271,'Base de Grupos'!$A:$A,'Base de Grupos'!$D:$D)</f>
        <v>1000065763</v>
      </c>
      <c r="C271" s="5" t="str">
        <f>_xlfn.XLOOKUP($N271,'Base de Grupos'!$A:$A,'Base de Grupos'!$E:$E)</f>
        <v>CANAL VENDA INTERNA</v>
      </c>
      <c r="D271" s="5" t="str">
        <f>_xlfn.XLOOKUP($N271,'Base de Grupos'!$A:$A,'Base de Grupos'!$F:$F)</f>
        <v>1000065763</v>
      </c>
      <c r="E271" s="2" t="str">
        <f>_xlfn.XLOOKUP($N271,'Base de Grupos'!$A:$A,'Base de Grupos'!$G:$G)</f>
        <v>CANAL VENDA INTERNA</v>
      </c>
      <c r="F271" s="2" t="str">
        <f>_xlfn.XLOOKUP($N271,'Base de Grupos'!$A:$A,'Base de Grupos'!$H:$H)</f>
        <v>1000105900</v>
      </c>
      <c r="G271" s="5" t="str">
        <f>_xlfn.XLOOKUP($N271,'Base de Grupos'!$A:$A,'Base de Grupos'!$I:$I)</f>
        <v>REGIONAL VENDA DIRETA CO + NE + NO</v>
      </c>
      <c r="H271" s="5" t="str">
        <f>_xlfn.XLOOKUP($N271,'Base de Grupos'!$A:$A,'Base de Grupos'!$J:$J)</f>
        <v>1000105900</v>
      </c>
      <c r="I271" s="2" t="str">
        <f>_xlfn.XLOOKUP($N271,'Base de Grupos'!$A:$A,'Base de Grupos'!$K:$K)</f>
        <v>REGIONAL VENDA DIRETA CO + NE + NO</v>
      </c>
      <c r="J271" s="2" t="str">
        <f>_xlfn.XLOOKUP($N271,'Base de Grupos'!$A:$A,'Base de Grupos'!$L:$L)</f>
        <v>1000150135</v>
      </c>
      <c r="K271" s="5" t="str">
        <f>_xlfn.XLOOKUP($N271,'Base de Grupos'!$A:$A,'Base de Grupos'!$M:$M)</f>
        <v>HELDER DA SILVA BRUNKOW</v>
      </c>
      <c r="L271" s="5" t="str">
        <f t="shared" si="125"/>
        <v/>
      </c>
      <c r="M271" s="5" t="str">
        <f>_xlfn.XLOOKUP($N271,'Base de Grupos'!$A:$A,'Base de Grupos'!$C:$C)</f>
        <v>DF</v>
      </c>
      <c r="N271" s="3">
        <v>1352</v>
      </c>
      <c r="O271" s="4" t="s">
        <v>238</v>
      </c>
      <c r="P271" s="5" t="s">
        <v>95</v>
      </c>
      <c r="Q271" s="24">
        <v>0</v>
      </c>
      <c r="R271" s="24">
        <v>0</v>
      </c>
      <c r="S271" s="24">
        <v>0</v>
      </c>
      <c r="T271" s="24">
        <v>0</v>
      </c>
      <c r="U271" s="24">
        <v>0</v>
      </c>
      <c r="V271" s="24">
        <v>0</v>
      </c>
      <c r="W271" s="24">
        <v>0</v>
      </c>
      <c r="X271" s="24">
        <v>0</v>
      </c>
      <c r="Y271" s="24">
        <v>0</v>
      </c>
      <c r="Z271" s="24">
        <v>0</v>
      </c>
      <c r="AA271" s="24">
        <v>0</v>
      </c>
      <c r="AB271" s="24">
        <v>0</v>
      </c>
      <c r="AC271" s="30">
        <f t="shared" si="131"/>
        <v>0</v>
      </c>
      <c r="AD271" s="27">
        <f t="shared" si="121"/>
        <v>0</v>
      </c>
      <c r="AE271" s="25">
        <f>IFERROR(_xlfn.XLOOKUP(N271&amp;P271,'Historico Vendas'!G:G,'Historico Vendas'!E:E),0)</f>
        <v>0</v>
      </c>
      <c r="AF271" s="29" t="str">
        <f t="shared" si="126"/>
        <v/>
      </c>
      <c r="AG271" s="24">
        <f>IFERROR(_xlfn.XLOOKUP(N271&amp;P271,'Historico Vendas'!G:G,'Historico Vendas'!F:F),0)</f>
        <v>0</v>
      </c>
      <c r="AH271" s="25">
        <f t="shared" si="122"/>
        <v>0</v>
      </c>
      <c r="AI271" s="24">
        <f t="shared" si="123"/>
        <v>0</v>
      </c>
      <c r="AJ271" s="11" t="str">
        <f t="shared" si="127"/>
        <v/>
      </c>
      <c r="AK271" s="9" t="s">
        <v>102</v>
      </c>
      <c r="AL271" s="13">
        <f>IFERROR(INDEX('Balizador da Meta'!$D$3:$F$23,MATCH(Quantidade!$P271,'Balizador da Meta'!$C$3:$C$23,0),MATCH(Quantidade!AK271,'Balizador da Meta'!$D$2:$F$2,0)),"")</f>
        <v>0.25</v>
      </c>
      <c r="AM271" s="9"/>
    </row>
    <row r="272" spans="1:39" x14ac:dyDescent="0.3">
      <c r="A272" s="2" t="str">
        <f t="shared" si="124"/>
        <v>NÃO</v>
      </c>
      <c r="B272" s="2" t="str">
        <f>_xlfn.XLOOKUP($N272,'Base de Grupos'!$A:$A,'Base de Grupos'!$D:$D)</f>
        <v>1000065763</v>
      </c>
      <c r="C272" s="5" t="str">
        <f>_xlfn.XLOOKUP($N272,'Base de Grupos'!$A:$A,'Base de Grupos'!$E:$E)</f>
        <v>CANAL VENDA INTERNA</v>
      </c>
      <c r="D272" s="5" t="str">
        <f>_xlfn.XLOOKUP($N272,'Base de Grupos'!$A:$A,'Base de Grupos'!$F:$F)</f>
        <v>1000065763</v>
      </c>
      <c r="E272" s="2" t="str">
        <f>_xlfn.XLOOKUP($N272,'Base de Grupos'!$A:$A,'Base de Grupos'!$G:$G)</f>
        <v>CANAL VENDA INTERNA</v>
      </c>
      <c r="F272" s="2" t="str">
        <f>_xlfn.XLOOKUP($N272,'Base de Grupos'!$A:$A,'Base de Grupos'!$H:$H)</f>
        <v>1000105900</v>
      </c>
      <c r="G272" s="5" t="str">
        <f>_xlfn.XLOOKUP($N272,'Base de Grupos'!$A:$A,'Base de Grupos'!$I:$I)</f>
        <v>REGIONAL VENDA DIRETA CO + NE + NO</v>
      </c>
      <c r="H272" s="5" t="str">
        <f>_xlfn.XLOOKUP($N272,'Base de Grupos'!$A:$A,'Base de Grupos'!$J:$J)</f>
        <v>1000105900</v>
      </c>
      <c r="I272" s="2" t="str">
        <f>_xlfn.XLOOKUP($N272,'Base de Grupos'!$A:$A,'Base de Grupos'!$K:$K)</f>
        <v>REGIONAL VENDA DIRETA CO + NE + NO</v>
      </c>
      <c r="J272" s="2" t="str">
        <f>_xlfn.XLOOKUP($N272,'Base de Grupos'!$A:$A,'Base de Grupos'!$L:$L)</f>
        <v>1000150135</v>
      </c>
      <c r="K272" s="5" t="str">
        <f>_xlfn.XLOOKUP($N272,'Base de Grupos'!$A:$A,'Base de Grupos'!$M:$M)</f>
        <v>HELDER DA SILVA BRUNKOW</v>
      </c>
      <c r="L272" s="5" t="str">
        <f t="shared" si="125"/>
        <v/>
      </c>
      <c r="M272" s="5" t="str">
        <f>_xlfn.XLOOKUP($N272,'Base de Grupos'!$A:$A,'Base de Grupos'!$C:$C)</f>
        <v>DF</v>
      </c>
      <c r="N272" s="3">
        <v>1352</v>
      </c>
      <c r="O272" s="4" t="s">
        <v>238</v>
      </c>
      <c r="P272" s="5" t="s">
        <v>93</v>
      </c>
      <c r="Q272" s="24">
        <v>0</v>
      </c>
      <c r="R272" s="24">
        <v>0</v>
      </c>
      <c r="S272" s="24">
        <v>0</v>
      </c>
      <c r="T272" s="24">
        <v>0</v>
      </c>
      <c r="U272" s="24">
        <v>0</v>
      </c>
      <c r="V272" s="24">
        <v>0</v>
      </c>
      <c r="W272" s="24">
        <v>0</v>
      </c>
      <c r="X272" s="24">
        <v>0</v>
      </c>
      <c r="Y272" s="24">
        <v>0</v>
      </c>
      <c r="Z272" s="24">
        <v>0</v>
      </c>
      <c r="AA272" s="24">
        <v>0</v>
      </c>
      <c r="AB272" s="24">
        <v>0</v>
      </c>
      <c r="AC272" s="30">
        <f t="shared" si="131"/>
        <v>0</v>
      </c>
      <c r="AD272" s="27">
        <f t="shared" si="121"/>
        <v>0</v>
      </c>
      <c r="AE272" s="25">
        <f>IFERROR(_xlfn.XLOOKUP(N272&amp;P272,'Historico Vendas'!G:G,'Historico Vendas'!E:E),0)</f>
        <v>0</v>
      </c>
      <c r="AF272" s="29" t="str">
        <f t="shared" si="126"/>
        <v/>
      </c>
      <c r="AG272" s="24">
        <f>IFERROR(_xlfn.XLOOKUP(N272&amp;P272,'Historico Vendas'!G:G,'Historico Vendas'!F:F),0)</f>
        <v>0</v>
      </c>
      <c r="AH272" s="25">
        <f t="shared" si="122"/>
        <v>0</v>
      </c>
      <c r="AI272" s="24">
        <f t="shared" si="123"/>
        <v>0</v>
      </c>
      <c r="AJ272" s="11" t="str">
        <f t="shared" si="127"/>
        <v/>
      </c>
      <c r="AK272" s="9" t="s">
        <v>102</v>
      </c>
      <c r="AL272" s="13">
        <f>IFERROR(INDEX('Balizador da Meta'!$D$3:$F$23,MATCH(Quantidade!$P272,'Balizador da Meta'!$C$3:$C$23,0),MATCH(Quantidade!AK272,'Balizador da Meta'!$D$2:$F$2,0)),"")</f>
        <v>0.2</v>
      </c>
      <c r="AM272" s="9"/>
    </row>
    <row r="273" spans="1:39" x14ac:dyDescent="0.3">
      <c r="A273" s="2" t="str">
        <f t="shared" si="124"/>
        <v>SIM</v>
      </c>
      <c r="B273" s="2" t="str">
        <f>_xlfn.XLOOKUP($N273,'Base de Grupos'!$A:$A,'Base de Grupos'!$D:$D)</f>
        <v>1000065763</v>
      </c>
      <c r="C273" s="5" t="str">
        <f>_xlfn.XLOOKUP($N273,'Base de Grupos'!$A:$A,'Base de Grupos'!$E:$E)</f>
        <v>CANAL VENDA INTERNA</v>
      </c>
      <c r="D273" s="5" t="str">
        <f>_xlfn.XLOOKUP($N273,'Base de Grupos'!$A:$A,'Base de Grupos'!$F:$F)</f>
        <v>1000065763</v>
      </c>
      <c r="E273" s="2" t="str">
        <f>_xlfn.XLOOKUP($N273,'Base de Grupos'!$A:$A,'Base de Grupos'!$G:$G)</f>
        <v>CANAL VENDA INTERNA</v>
      </c>
      <c r="F273" s="2" t="str">
        <f>_xlfn.XLOOKUP($N273,'Base de Grupos'!$A:$A,'Base de Grupos'!$H:$H)</f>
        <v>1000105900</v>
      </c>
      <c r="G273" s="5" t="str">
        <f>_xlfn.XLOOKUP($N273,'Base de Grupos'!$A:$A,'Base de Grupos'!$I:$I)</f>
        <v>REGIONAL VENDA DIRETA CO + NE + NO</v>
      </c>
      <c r="H273" s="5" t="str">
        <f>_xlfn.XLOOKUP($N273,'Base de Grupos'!$A:$A,'Base de Grupos'!$J:$J)</f>
        <v>1000105900</v>
      </c>
      <c r="I273" s="2" t="str">
        <f>_xlfn.XLOOKUP($N273,'Base de Grupos'!$A:$A,'Base de Grupos'!$K:$K)</f>
        <v>REGIONAL VENDA DIRETA CO + NE + NO</v>
      </c>
      <c r="J273" s="2" t="str">
        <f>_xlfn.XLOOKUP($N273,'Base de Grupos'!$A:$A,'Base de Grupos'!$L:$L)</f>
        <v>1000150135</v>
      </c>
      <c r="K273" s="5" t="str">
        <f>_xlfn.XLOOKUP($N273,'Base de Grupos'!$A:$A,'Base de Grupos'!$M:$M)</f>
        <v>HELDER DA SILVA BRUNKOW</v>
      </c>
      <c r="L273" s="5">
        <f t="shared" si="125"/>
        <v>1</v>
      </c>
      <c r="M273" s="5" t="str">
        <f>_xlfn.XLOOKUP($N273,'Base de Grupos'!$A:$A,'Base de Grupos'!$C:$C)</f>
        <v>MS</v>
      </c>
      <c r="N273" s="3">
        <v>1353</v>
      </c>
      <c r="O273" s="4" t="s">
        <v>239</v>
      </c>
      <c r="P273" s="5" t="s">
        <v>309</v>
      </c>
      <c r="Q273" s="24">
        <v>0</v>
      </c>
      <c r="R273" s="24">
        <v>0</v>
      </c>
      <c r="S273" s="24">
        <v>0</v>
      </c>
      <c r="T273" s="24">
        <v>0</v>
      </c>
      <c r="U273" s="24">
        <v>0</v>
      </c>
      <c r="V273" s="24">
        <v>0</v>
      </c>
      <c r="W273" s="24">
        <v>0</v>
      </c>
      <c r="X273" s="24">
        <v>0</v>
      </c>
      <c r="Y273" s="24">
        <v>0</v>
      </c>
      <c r="Z273" s="24">
        <v>0</v>
      </c>
      <c r="AA273" s="24">
        <v>0</v>
      </c>
      <c r="AB273" s="24">
        <v>0</v>
      </c>
      <c r="AC273" s="30">
        <f t="shared" si="131"/>
        <v>0</v>
      </c>
      <c r="AD273" s="25">
        <f t="shared" ref="AD273:AI273" si="132">SUM(AD274:AD290)</f>
        <v>0</v>
      </c>
      <c r="AE273" s="25">
        <f t="shared" si="132"/>
        <v>0</v>
      </c>
      <c r="AF273" s="11" t="str">
        <f t="shared" si="126"/>
        <v/>
      </c>
      <c r="AG273" s="24">
        <f t="shared" si="132"/>
        <v>0</v>
      </c>
      <c r="AH273" s="25">
        <f t="shared" si="132"/>
        <v>0</v>
      </c>
      <c r="AI273" s="24">
        <f t="shared" si="132"/>
        <v>0</v>
      </c>
      <c r="AJ273" s="11" t="str">
        <f t="shared" si="127"/>
        <v/>
      </c>
      <c r="AK273" s="9"/>
      <c r="AL273" s="13"/>
      <c r="AM273" s="9"/>
    </row>
    <row r="274" spans="1:39" x14ac:dyDescent="0.3">
      <c r="A274" s="2" t="str">
        <f t="shared" si="124"/>
        <v>NÃO</v>
      </c>
      <c r="B274" s="2" t="str">
        <f>_xlfn.XLOOKUP($N274,'Base de Grupos'!$A:$A,'Base de Grupos'!$D:$D)</f>
        <v>1000065763</v>
      </c>
      <c r="C274" s="5" t="str">
        <f>_xlfn.XLOOKUP($N274,'Base de Grupos'!$A:$A,'Base de Grupos'!$E:$E)</f>
        <v>CANAL VENDA INTERNA</v>
      </c>
      <c r="D274" s="5" t="str">
        <f>_xlfn.XLOOKUP($N274,'Base de Grupos'!$A:$A,'Base de Grupos'!$F:$F)</f>
        <v>1000065763</v>
      </c>
      <c r="E274" s="2" t="str">
        <f>_xlfn.XLOOKUP($N274,'Base de Grupos'!$A:$A,'Base de Grupos'!$G:$G)</f>
        <v>CANAL VENDA INTERNA</v>
      </c>
      <c r="F274" s="2" t="str">
        <f>_xlfn.XLOOKUP($N274,'Base de Grupos'!$A:$A,'Base de Grupos'!$H:$H)</f>
        <v>1000105900</v>
      </c>
      <c r="G274" s="5" t="str">
        <f>_xlfn.XLOOKUP($N274,'Base de Grupos'!$A:$A,'Base de Grupos'!$I:$I)</f>
        <v>REGIONAL VENDA DIRETA CO + NE + NO</v>
      </c>
      <c r="H274" s="5" t="str">
        <f>_xlfn.XLOOKUP($N274,'Base de Grupos'!$A:$A,'Base de Grupos'!$J:$J)</f>
        <v>1000105900</v>
      </c>
      <c r="I274" s="2" t="str">
        <f>_xlfn.XLOOKUP($N274,'Base de Grupos'!$A:$A,'Base de Grupos'!$K:$K)</f>
        <v>REGIONAL VENDA DIRETA CO + NE + NO</v>
      </c>
      <c r="J274" s="2" t="str">
        <f>_xlfn.XLOOKUP($N274,'Base de Grupos'!$A:$A,'Base de Grupos'!$L:$L)</f>
        <v>1000150135</v>
      </c>
      <c r="K274" s="5" t="str">
        <f>_xlfn.XLOOKUP($N274,'Base de Grupos'!$A:$A,'Base de Grupos'!$M:$M)</f>
        <v>HELDER DA SILVA BRUNKOW</v>
      </c>
      <c r="L274" s="5" t="str">
        <f t="shared" si="125"/>
        <v/>
      </c>
      <c r="M274" s="5" t="str">
        <f>_xlfn.XLOOKUP($N274,'Base de Grupos'!$A:$A,'Base de Grupos'!$C:$C)</f>
        <v>MS</v>
      </c>
      <c r="N274" s="3">
        <v>1353</v>
      </c>
      <c r="O274" s="4" t="s">
        <v>239</v>
      </c>
      <c r="P274" s="5" t="s">
        <v>81</v>
      </c>
      <c r="Q274" s="24">
        <v>0</v>
      </c>
      <c r="R274" s="24">
        <v>0</v>
      </c>
      <c r="S274" s="24">
        <v>0</v>
      </c>
      <c r="T274" s="24">
        <v>0</v>
      </c>
      <c r="U274" s="24">
        <v>0</v>
      </c>
      <c r="V274" s="24">
        <v>0</v>
      </c>
      <c r="W274" s="24">
        <v>0</v>
      </c>
      <c r="X274" s="24">
        <v>0</v>
      </c>
      <c r="Y274" s="24">
        <v>0</v>
      </c>
      <c r="Z274" s="24">
        <v>0</v>
      </c>
      <c r="AA274" s="24">
        <v>0</v>
      </c>
      <c r="AB274" s="24">
        <v>0</v>
      </c>
      <c r="AC274" s="30">
        <f t="shared" si="131"/>
        <v>0</v>
      </c>
      <c r="AD274" s="27">
        <f t="shared" ref="AD274:AD290" si="133">IF(AC274=0,0,AC274-AG274)</f>
        <v>0</v>
      </c>
      <c r="AE274" s="25">
        <f>IFERROR(_xlfn.XLOOKUP(N274&amp;P274,'Historico Vendas'!G:G,'Historico Vendas'!E:E),0)</f>
        <v>0</v>
      </c>
      <c r="AF274" s="29" t="str">
        <f t="shared" si="126"/>
        <v/>
      </c>
      <c r="AG274" s="24">
        <f>IFERROR(_xlfn.XLOOKUP(N274&amp;P274,'Historico Vendas'!G:G,'Historico Vendas'!F:F),0)</f>
        <v>0</v>
      </c>
      <c r="AH274" s="25">
        <f t="shared" ref="AH274:AH290" si="134">SUM(Q274:S274)</f>
        <v>0</v>
      </c>
      <c r="AI274" s="24">
        <f t="shared" ref="AI274:AI290" si="135">AH274-AG274</f>
        <v>0</v>
      </c>
      <c r="AJ274" s="11" t="str">
        <f t="shared" si="127"/>
        <v/>
      </c>
      <c r="AK274" s="9" t="s">
        <v>102</v>
      </c>
      <c r="AL274" s="13">
        <f>IFERROR(INDEX('Balizador da Meta'!$D$3:$F$23,MATCH(Quantidade!$P274,'Balizador da Meta'!$C$3:$C$23,0),MATCH(Quantidade!AK274,'Balizador da Meta'!$D$2:$F$2,0)),"")</f>
        <v>0.2</v>
      </c>
      <c r="AM274" s="9"/>
    </row>
    <row r="275" spans="1:39" x14ac:dyDescent="0.3">
      <c r="A275" s="2" t="str">
        <f t="shared" si="124"/>
        <v>NÃO</v>
      </c>
      <c r="B275" s="2" t="str">
        <f>_xlfn.XLOOKUP($N275,'Base de Grupos'!$A:$A,'Base de Grupos'!$D:$D)</f>
        <v>1000065763</v>
      </c>
      <c r="C275" s="5" t="str">
        <f>_xlfn.XLOOKUP($N275,'Base de Grupos'!$A:$A,'Base de Grupos'!$E:$E)</f>
        <v>CANAL VENDA INTERNA</v>
      </c>
      <c r="D275" s="5" t="str">
        <f>_xlfn.XLOOKUP($N275,'Base de Grupos'!$A:$A,'Base de Grupos'!$F:$F)</f>
        <v>1000065763</v>
      </c>
      <c r="E275" s="2" t="str">
        <f>_xlfn.XLOOKUP($N275,'Base de Grupos'!$A:$A,'Base de Grupos'!$G:$G)</f>
        <v>CANAL VENDA INTERNA</v>
      </c>
      <c r="F275" s="2" t="str">
        <f>_xlfn.XLOOKUP($N275,'Base de Grupos'!$A:$A,'Base de Grupos'!$H:$H)</f>
        <v>1000105900</v>
      </c>
      <c r="G275" s="5" t="str">
        <f>_xlfn.XLOOKUP($N275,'Base de Grupos'!$A:$A,'Base de Grupos'!$I:$I)</f>
        <v>REGIONAL VENDA DIRETA CO + NE + NO</v>
      </c>
      <c r="H275" s="5" t="str">
        <f>_xlfn.XLOOKUP($N275,'Base de Grupos'!$A:$A,'Base de Grupos'!$J:$J)</f>
        <v>1000105900</v>
      </c>
      <c r="I275" s="2" t="str">
        <f>_xlfn.XLOOKUP($N275,'Base de Grupos'!$A:$A,'Base de Grupos'!$K:$K)</f>
        <v>REGIONAL VENDA DIRETA CO + NE + NO</v>
      </c>
      <c r="J275" s="2" t="str">
        <f>_xlfn.XLOOKUP($N275,'Base de Grupos'!$A:$A,'Base de Grupos'!$L:$L)</f>
        <v>1000150135</v>
      </c>
      <c r="K275" s="5" t="str">
        <f>_xlfn.XLOOKUP($N275,'Base de Grupos'!$A:$A,'Base de Grupos'!$M:$M)</f>
        <v>HELDER DA SILVA BRUNKOW</v>
      </c>
      <c r="L275" s="5" t="str">
        <f t="shared" si="125"/>
        <v/>
      </c>
      <c r="M275" s="5" t="str">
        <f>_xlfn.XLOOKUP($N275,'Base de Grupos'!$A:$A,'Base de Grupos'!$C:$C)</f>
        <v>MS</v>
      </c>
      <c r="N275" s="3">
        <v>1353</v>
      </c>
      <c r="O275" s="4" t="s">
        <v>239</v>
      </c>
      <c r="P275" s="5" t="s">
        <v>82</v>
      </c>
      <c r="Q275" s="24">
        <v>0</v>
      </c>
      <c r="R275" s="24">
        <v>0</v>
      </c>
      <c r="S275" s="24">
        <v>0</v>
      </c>
      <c r="T275" s="24">
        <v>0</v>
      </c>
      <c r="U275" s="24">
        <v>0</v>
      </c>
      <c r="V275" s="24">
        <v>0</v>
      </c>
      <c r="W275" s="24">
        <v>0</v>
      </c>
      <c r="X275" s="24">
        <v>0</v>
      </c>
      <c r="Y275" s="24">
        <v>0</v>
      </c>
      <c r="Z275" s="24">
        <v>0</v>
      </c>
      <c r="AA275" s="24">
        <v>0</v>
      </c>
      <c r="AB275" s="24">
        <v>0</v>
      </c>
      <c r="AC275" s="30">
        <f t="shared" si="131"/>
        <v>0</v>
      </c>
      <c r="AD275" s="27">
        <f t="shared" si="133"/>
        <v>0</v>
      </c>
      <c r="AE275" s="25">
        <f>IFERROR(_xlfn.XLOOKUP(N275&amp;P275,'Historico Vendas'!G:G,'Historico Vendas'!E:E),0)</f>
        <v>0</v>
      </c>
      <c r="AF275" s="29" t="str">
        <f t="shared" si="126"/>
        <v/>
      </c>
      <c r="AG275" s="24">
        <f>IFERROR(_xlfn.XLOOKUP(N275&amp;P275,'Historico Vendas'!G:G,'Historico Vendas'!F:F),0)</f>
        <v>0</v>
      </c>
      <c r="AH275" s="25">
        <f t="shared" si="134"/>
        <v>0</v>
      </c>
      <c r="AI275" s="24">
        <f t="shared" si="135"/>
        <v>0</v>
      </c>
      <c r="AJ275" s="11" t="str">
        <f t="shared" si="127"/>
        <v/>
      </c>
      <c r="AK275" s="9" t="s">
        <v>102</v>
      </c>
      <c r="AL275" s="13">
        <f>IFERROR(INDEX('Balizador da Meta'!$D$3:$F$23,MATCH(Quantidade!$P275,'Balizador da Meta'!$C$3:$C$23,0),MATCH(Quantidade!AK275,'Balizador da Meta'!$D$2:$F$2,0)),"")</f>
        <v>0.2</v>
      </c>
      <c r="AM275" s="9"/>
    </row>
    <row r="276" spans="1:39" x14ac:dyDescent="0.3">
      <c r="A276" s="2" t="str">
        <f t="shared" si="124"/>
        <v>NÃO</v>
      </c>
      <c r="B276" s="2" t="str">
        <f>_xlfn.XLOOKUP($N276,'Base de Grupos'!$A:$A,'Base de Grupos'!$D:$D)</f>
        <v>1000065763</v>
      </c>
      <c r="C276" s="5" t="str">
        <f>_xlfn.XLOOKUP($N276,'Base de Grupos'!$A:$A,'Base de Grupos'!$E:$E)</f>
        <v>CANAL VENDA INTERNA</v>
      </c>
      <c r="D276" s="5" t="str">
        <f>_xlfn.XLOOKUP($N276,'Base de Grupos'!$A:$A,'Base de Grupos'!$F:$F)</f>
        <v>1000065763</v>
      </c>
      <c r="E276" s="2" t="str">
        <f>_xlfn.XLOOKUP($N276,'Base de Grupos'!$A:$A,'Base de Grupos'!$G:$G)</f>
        <v>CANAL VENDA INTERNA</v>
      </c>
      <c r="F276" s="2" t="str">
        <f>_xlfn.XLOOKUP($N276,'Base de Grupos'!$A:$A,'Base de Grupos'!$H:$H)</f>
        <v>1000105900</v>
      </c>
      <c r="G276" s="5" t="str">
        <f>_xlfn.XLOOKUP($N276,'Base de Grupos'!$A:$A,'Base de Grupos'!$I:$I)</f>
        <v>REGIONAL VENDA DIRETA CO + NE + NO</v>
      </c>
      <c r="H276" s="5" t="str">
        <f>_xlfn.XLOOKUP($N276,'Base de Grupos'!$A:$A,'Base de Grupos'!$J:$J)</f>
        <v>1000105900</v>
      </c>
      <c r="I276" s="2" t="str">
        <f>_xlfn.XLOOKUP($N276,'Base de Grupos'!$A:$A,'Base de Grupos'!$K:$K)</f>
        <v>REGIONAL VENDA DIRETA CO + NE + NO</v>
      </c>
      <c r="J276" s="2" t="str">
        <f>_xlfn.XLOOKUP($N276,'Base de Grupos'!$A:$A,'Base de Grupos'!$L:$L)</f>
        <v>1000150135</v>
      </c>
      <c r="K276" s="5" t="str">
        <f>_xlfn.XLOOKUP($N276,'Base de Grupos'!$A:$A,'Base de Grupos'!$M:$M)</f>
        <v>HELDER DA SILVA BRUNKOW</v>
      </c>
      <c r="L276" s="5" t="str">
        <f t="shared" si="125"/>
        <v/>
      </c>
      <c r="M276" s="5" t="str">
        <f>_xlfn.XLOOKUP($N276,'Base de Grupos'!$A:$A,'Base de Grupos'!$C:$C)</f>
        <v>MS</v>
      </c>
      <c r="N276" s="3">
        <v>1353</v>
      </c>
      <c r="O276" s="4" t="s">
        <v>239</v>
      </c>
      <c r="P276" s="5" t="s">
        <v>84</v>
      </c>
      <c r="Q276" s="24">
        <v>0</v>
      </c>
      <c r="R276" s="24">
        <v>0</v>
      </c>
      <c r="S276" s="24">
        <v>0</v>
      </c>
      <c r="T276" s="24">
        <v>0</v>
      </c>
      <c r="U276" s="24">
        <v>0</v>
      </c>
      <c r="V276" s="24">
        <v>0</v>
      </c>
      <c r="W276" s="24">
        <v>0</v>
      </c>
      <c r="X276" s="24">
        <v>0</v>
      </c>
      <c r="Y276" s="24">
        <v>0</v>
      </c>
      <c r="Z276" s="24">
        <v>0</v>
      </c>
      <c r="AA276" s="24">
        <v>0</v>
      </c>
      <c r="AB276" s="24">
        <v>0</v>
      </c>
      <c r="AC276" s="30">
        <f t="shared" si="131"/>
        <v>0</v>
      </c>
      <c r="AD276" s="27">
        <f t="shared" si="133"/>
        <v>0</v>
      </c>
      <c r="AE276" s="25">
        <f>IFERROR(_xlfn.XLOOKUP(N276&amp;P276,'Historico Vendas'!G:G,'Historico Vendas'!E:E),0)</f>
        <v>0</v>
      </c>
      <c r="AF276" s="29" t="str">
        <f t="shared" si="126"/>
        <v/>
      </c>
      <c r="AG276" s="24">
        <f>IFERROR(_xlfn.XLOOKUP(N276&amp;P276,'Historico Vendas'!G:G,'Historico Vendas'!F:F),0)</f>
        <v>0</v>
      </c>
      <c r="AH276" s="25">
        <f t="shared" si="134"/>
        <v>0</v>
      </c>
      <c r="AI276" s="24">
        <f t="shared" si="135"/>
        <v>0</v>
      </c>
      <c r="AJ276" s="11" t="str">
        <f t="shared" si="127"/>
        <v/>
      </c>
      <c r="AK276" s="9" t="s">
        <v>102</v>
      </c>
      <c r="AL276" s="13">
        <f>IFERROR(INDEX('Balizador da Meta'!$D$3:$F$23,MATCH(Quantidade!$P276,'Balizador da Meta'!$C$3:$C$23,0),MATCH(Quantidade!AK276,'Balizador da Meta'!$D$2:$F$2,0)),"")</f>
        <v>0.15</v>
      </c>
      <c r="AM276" s="9"/>
    </row>
    <row r="277" spans="1:39" x14ac:dyDescent="0.3">
      <c r="A277" s="2" t="str">
        <f t="shared" si="124"/>
        <v>NÃO</v>
      </c>
      <c r="B277" s="2" t="str">
        <f>_xlfn.XLOOKUP($N277,'Base de Grupos'!$A:$A,'Base de Grupos'!$D:$D)</f>
        <v>1000065763</v>
      </c>
      <c r="C277" s="5" t="str">
        <f>_xlfn.XLOOKUP($N277,'Base de Grupos'!$A:$A,'Base de Grupos'!$E:$E)</f>
        <v>CANAL VENDA INTERNA</v>
      </c>
      <c r="D277" s="5" t="str">
        <f>_xlfn.XLOOKUP($N277,'Base de Grupos'!$A:$A,'Base de Grupos'!$F:$F)</f>
        <v>1000065763</v>
      </c>
      <c r="E277" s="2" t="str">
        <f>_xlfn.XLOOKUP($N277,'Base de Grupos'!$A:$A,'Base de Grupos'!$G:$G)</f>
        <v>CANAL VENDA INTERNA</v>
      </c>
      <c r="F277" s="2" t="str">
        <f>_xlfn.XLOOKUP($N277,'Base de Grupos'!$A:$A,'Base de Grupos'!$H:$H)</f>
        <v>1000105900</v>
      </c>
      <c r="G277" s="5" t="str">
        <f>_xlfn.XLOOKUP($N277,'Base de Grupos'!$A:$A,'Base de Grupos'!$I:$I)</f>
        <v>REGIONAL VENDA DIRETA CO + NE + NO</v>
      </c>
      <c r="H277" s="5" t="str">
        <f>_xlfn.XLOOKUP($N277,'Base de Grupos'!$A:$A,'Base de Grupos'!$J:$J)</f>
        <v>1000105900</v>
      </c>
      <c r="I277" s="2" t="str">
        <f>_xlfn.XLOOKUP($N277,'Base de Grupos'!$A:$A,'Base de Grupos'!$K:$K)</f>
        <v>REGIONAL VENDA DIRETA CO + NE + NO</v>
      </c>
      <c r="J277" s="2" t="str">
        <f>_xlfn.XLOOKUP($N277,'Base de Grupos'!$A:$A,'Base de Grupos'!$L:$L)</f>
        <v>1000150135</v>
      </c>
      <c r="K277" s="5" t="str">
        <f>_xlfn.XLOOKUP($N277,'Base de Grupos'!$A:$A,'Base de Grupos'!$M:$M)</f>
        <v>HELDER DA SILVA BRUNKOW</v>
      </c>
      <c r="L277" s="5" t="str">
        <f t="shared" si="125"/>
        <v/>
      </c>
      <c r="M277" s="5" t="str">
        <f>_xlfn.XLOOKUP($N277,'Base de Grupos'!$A:$A,'Base de Grupos'!$C:$C)</f>
        <v>MS</v>
      </c>
      <c r="N277" s="3">
        <v>1353</v>
      </c>
      <c r="O277" s="4" t="s">
        <v>239</v>
      </c>
      <c r="P277" s="5" t="s">
        <v>83</v>
      </c>
      <c r="Q277" s="24">
        <v>0</v>
      </c>
      <c r="R277" s="24">
        <v>0</v>
      </c>
      <c r="S277" s="24">
        <v>0</v>
      </c>
      <c r="T277" s="24">
        <v>0</v>
      </c>
      <c r="U277" s="24">
        <v>0</v>
      </c>
      <c r="V277" s="24">
        <v>0</v>
      </c>
      <c r="W277" s="24">
        <v>0</v>
      </c>
      <c r="X277" s="24">
        <v>0</v>
      </c>
      <c r="Y277" s="24">
        <v>0</v>
      </c>
      <c r="Z277" s="24">
        <v>0</v>
      </c>
      <c r="AA277" s="24">
        <v>0</v>
      </c>
      <c r="AB277" s="24">
        <v>0</v>
      </c>
      <c r="AC277" s="30">
        <f t="shared" si="131"/>
        <v>0</v>
      </c>
      <c r="AD277" s="27">
        <f t="shared" si="133"/>
        <v>0</v>
      </c>
      <c r="AE277" s="25">
        <f>IFERROR(_xlfn.XLOOKUP(N277&amp;P277,'Historico Vendas'!G:G,'Historico Vendas'!E:E),0)</f>
        <v>0</v>
      </c>
      <c r="AF277" s="29" t="str">
        <f t="shared" si="126"/>
        <v/>
      </c>
      <c r="AG277" s="24">
        <f>IFERROR(_xlfn.XLOOKUP(N277&amp;P277,'Historico Vendas'!G:G,'Historico Vendas'!F:F),0)</f>
        <v>0</v>
      </c>
      <c r="AH277" s="25">
        <f t="shared" si="134"/>
        <v>0</v>
      </c>
      <c r="AI277" s="24">
        <f t="shared" si="135"/>
        <v>0</v>
      </c>
      <c r="AJ277" s="11" t="str">
        <f t="shared" si="127"/>
        <v/>
      </c>
      <c r="AK277" s="9" t="s">
        <v>102</v>
      </c>
      <c r="AL277" s="13">
        <f>IFERROR(INDEX('Balizador da Meta'!$D$3:$F$23,MATCH(Quantidade!$P277,'Balizador da Meta'!$C$3:$C$23,0),MATCH(Quantidade!AK277,'Balizador da Meta'!$D$2:$F$2,0)),"")</f>
        <v>0</v>
      </c>
      <c r="AM277" s="9"/>
    </row>
    <row r="278" spans="1:39" x14ac:dyDescent="0.3">
      <c r="A278" s="2" t="str">
        <f t="shared" si="124"/>
        <v>NÃO</v>
      </c>
      <c r="B278" s="2" t="str">
        <f>_xlfn.XLOOKUP($N278,'Base de Grupos'!$A:$A,'Base de Grupos'!$D:$D)</f>
        <v>1000065763</v>
      </c>
      <c r="C278" s="5" t="str">
        <f>_xlfn.XLOOKUP($N278,'Base de Grupos'!$A:$A,'Base de Grupos'!$E:$E)</f>
        <v>CANAL VENDA INTERNA</v>
      </c>
      <c r="D278" s="5" t="str">
        <f>_xlfn.XLOOKUP($N278,'Base de Grupos'!$A:$A,'Base de Grupos'!$F:$F)</f>
        <v>1000065763</v>
      </c>
      <c r="E278" s="2" t="str">
        <f>_xlfn.XLOOKUP($N278,'Base de Grupos'!$A:$A,'Base de Grupos'!$G:$G)</f>
        <v>CANAL VENDA INTERNA</v>
      </c>
      <c r="F278" s="2" t="str">
        <f>_xlfn.XLOOKUP($N278,'Base de Grupos'!$A:$A,'Base de Grupos'!$H:$H)</f>
        <v>1000105900</v>
      </c>
      <c r="G278" s="5" t="str">
        <f>_xlfn.XLOOKUP($N278,'Base de Grupos'!$A:$A,'Base de Grupos'!$I:$I)</f>
        <v>REGIONAL VENDA DIRETA CO + NE + NO</v>
      </c>
      <c r="H278" s="5" t="str">
        <f>_xlfn.XLOOKUP($N278,'Base de Grupos'!$A:$A,'Base de Grupos'!$J:$J)</f>
        <v>1000105900</v>
      </c>
      <c r="I278" s="2" t="str">
        <f>_xlfn.XLOOKUP($N278,'Base de Grupos'!$A:$A,'Base de Grupos'!$K:$K)</f>
        <v>REGIONAL VENDA DIRETA CO + NE + NO</v>
      </c>
      <c r="J278" s="2" t="str">
        <f>_xlfn.XLOOKUP($N278,'Base de Grupos'!$A:$A,'Base de Grupos'!$L:$L)</f>
        <v>1000150135</v>
      </c>
      <c r="K278" s="5" t="str">
        <f>_xlfn.XLOOKUP($N278,'Base de Grupos'!$A:$A,'Base de Grupos'!$M:$M)</f>
        <v>HELDER DA SILVA BRUNKOW</v>
      </c>
      <c r="L278" s="5" t="str">
        <f t="shared" si="125"/>
        <v/>
      </c>
      <c r="M278" s="5" t="str">
        <f>_xlfn.XLOOKUP($N278,'Base de Grupos'!$A:$A,'Base de Grupos'!$C:$C)</f>
        <v>MS</v>
      </c>
      <c r="N278" s="3">
        <v>1353</v>
      </c>
      <c r="O278" s="4" t="s">
        <v>239</v>
      </c>
      <c r="P278" s="5" t="s">
        <v>87</v>
      </c>
      <c r="Q278" s="24">
        <v>0</v>
      </c>
      <c r="R278" s="24">
        <v>0</v>
      </c>
      <c r="S278" s="24">
        <v>0</v>
      </c>
      <c r="T278" s="24">
        <v>0</v>
      </c>
      <c r="U278" s="24">
        <v>0</v>
      </c>
      <c r="V278" s="24">
        <v>0</v>
      </c>
      <c r="W278" s="24">
        <v>0</v>
      </c>
      <c r="X278" s="24">
        <v>0</v>
      </c>
      <c r="Y278" s="24">
        <v>0</v>
      </c>
      <c r="Z278" s="24">
        <v>0</v>
      </c>
      <c r="AA278" s="24">
        <v>0</v>
      </c>
      <c r="AB278" s="24">
        <v>0</v>
      </c>
      <c r="AC278" s="30">
        <f t="shared" si="131"/>
        <v>0</v>
      </c>
      <c r="AD278" s="27">
        <f t="shared" si="133"/>
        <v>0</v>
      </c>
      <c r="AE278" s="25">
        <f>IFERROR(_xlfn.XLOOKUP(N278&amp;P278,'Historico Vendas'!G:G,'Historico Vendas'!E:E),0)</f>
        <v>0</v>
      </c>
      <c r="AF278" s="29" t="str">
        <f t="shared" si="126"/>
        <v/>
      </c>
      <c r="AG278" s="24">
        <f>IFERROR(_xlfn.XLOOKUP(N278&amp;P278,'Historico Vendas'!G:G,'Historico Vendas'!F:F),0)</f>
        <v>0</v>
      </c>
      <c r="AH278" s="25">
        <f t="shared" si="134"/>
        <v>0</v>
      </c>
      <c r="AI278" s="24">
        <f t="shared" si="135"/>
        <v>0</v>
      </c>
      <c r="AJ278" s="11" t="str">
        <f t="shared" si="127"/>
        <v/>
      </c>
      <c r="AK278" s="9" t="s">
        <v>102</v>
      </c>
      <c r="AL278" s="13">
        <f>IFERROR(INDEX('Balizador da Meta'!$D$3:$F$23,MATCH(Quantidade!$P278,'Balizador da Meta'!$C$3:$C$23,0),MATCH(Quantidade!AK278,'Balizador da Meta'!$D$2:$F$2,0)),"")</f>
        <v>0</v>
      </c>
      <c r="AM278" s="9"/>
    </row>
    <row r="279" spans="1:39" x14ac:dyDescent="0.3">
      <c r="A279" s="2" t="str">
        <f t="shared" si="124"/>
        <v>NÃO</v>
      </c>
      <c r="B279" s="2" t="str">
        <f>_xlfn.XLOOKUP($N279,'Base de Grupos'!$A:$A,'Base de Grupos'!$D:$D)</f>
        <v>1000065763</v>
      </c>
      <c r="C279" s="5" t="str">
        <f>_xlfn.XLOOKUP($N279,'Base de Grupos'!$A:$A,'Base de Grupos'!$E:$E)</f>
        <v>CANAL VENDA INTERNA</v>
      </c>
      <c r="D279" s="5" t="str">
        <f>_xlfn.XLOOKUP($N279,'Base de Grupos'!$A:$A,'Base de Grupos'!$F:$F)</f>
        <v>1000065763</v>
      </c>
      <c r="E279" s="2" t="str">
        <f>_xlfn.XLOOKUP($N279,'Base de Grupos'!$A:$A,'Base de Grupos'!$G:$G)</f>
        <v>CANAL VENDA INTERNA</v>
      </c>
      <c r="F279" s="2" t="str">
        <f>_xlfn.XLOOKUP($N279,'Base de Grupos'!$A:$A,'Base de Grupos'!$H:$H)</f>
        <v>1000105900</v>
      </c>
      <c r="G279" s="5" t="str">
        <f>_xlfn.XLOOKUP($N279,'Base de Grupos'!$A:$A,'Base de Grupos'!$I:$I)</f>
        <v>REGIONAL VENDA DIRETA CO + NE + NO</v>
      </c>
      <c r="H279" s="5" t="str">
        <f>_xlfn.XLOOKUP($N279,'Base de Grupos'!$A:$A,'Base de Grupos'!$J:$J)</f>
        <v>1000105900</v>
      </c>
      <c r="I279" s="2" t="str">
        <f>_xlfn.XLOOKUP($N279,'Base de Grupos'!$A:$A,'Base de Grupos'!$K:$K)</f>
        <v>REGIONAL VENDA DIRETA CO + NE + NO</v>
      </c>
      <c r="J279" s="2" t="str">
        <f>_xlfn.XLOOKUP($N279,'Base de Grupos'!$A:$A,'Base de Grupos'!$L:$L)</f>
        <v>1000150135</v>
      </c>
      <c r="K279" s="5" t="str">
        <f>_xlfn.XLOOKUP($N279,'Base de Grupos'!$A:$A,'Base de Grupos'!$M:$M)</f>
        <v>HELDER DA SILVA BRUNKOW</v>
      </c>
      <c r="L279" s="5" t="str">
        <f t="shared" si="125"/>
        <v/>
      </c>
      <c r="M279" s="5" t="str">
        <f>_xlfn.XLOOKUP($N279,'Base de Grupos'!$A:$A,'Base de Grupos'!$C:$C)</f>
        <v>MS</v>
      </c>
      <c r="N279" s="3">
        <v>1353</v>
      </c>
      <c r="O279" s="4" t="s">
        <v>239</v>
      </c>
      <c r="P279" s="5" t="s">
        <v>85</v>
      </c>
      <c r="Q279" s="24">
        <v>0</v>
      </c>
      <c r="R279" s="24">
        <v>0</v>
      </c>
      <c r="S279" s="24">
        <v>0</v>
      </c>
      <c r="T279" s="24">
        <v>0</v>
      </c>
      <c r="U279" s="24">
        <v>0</v>
      </c>
      <c r="V279" s="24">
        <v>0</v>
      </c>
      <c r="W279" s="24">
        <v>0</v>
      </c>
      <c r="X279" s="24">
        <v>0</v>
      </c>
      <c r="Y279" s="24">
        <v>0</v>
      </c>
      <c r="Z279" s="24">
        <v>0</v>
      </c>
      <c r="AA279" s="24">
        <v>0</v>
      </c>
      <c r="AB279" s="24">
        <v>0</v>
      </c>
      <c r="AC279" s="30">
        <f t="shared" si="131"/>
        <v>0</v>
      </c>
      <c r="AD279" s="27">
        <f t="shared" si="133"/>
        <v>0</v>
      </c>
      <c r="AE279" s="25">
        <f>IFERROR(_xlfn.XLOOKUP(N279&amp;P279,'Historico Vendas'!G:G,'Historico Vendas'!E:E),0)</f>
        <v>0</v>
      </c>
      <c r="AF279" s="29" t="str">
        <f t="shared" si="126"/>
        <v/>
      </c>
      <c r="AG279" s="24">
        <f>IFERROR(_xlfn.XLOOKUP(N279&amp;P279,'Historico Vendas'!G:G,'Historico Vendas'!F:F),0)</f>
        <v>0</v>
      </c>
      <c r="AH279" s="25">
        <f t="shared" si="134"/>
        <v>0</v>
      </c>
      <c r="AI279" s="24">
        <f t="shared" si="135"/>
        <v>0</v>
      </c>
      <c r="AJ279" s="11" t="str">
        <f t="shared" si="127"/>
        <v/>
      </c>
      <c r="AK279" s="9" t="s">
        <v>102</v>
      </c>
      <c r="AL279" s="13">
        <f>IFERROR(INDEX('Balizador da Meta'!$D$3:$F$23,MATCH(Quantidade!$P279,'Balizador da Meta'!$C$3:$C$23,0),MATCH(Quantidade!AK279,'Balizador da Meta'!$D$2:$F$2,0)),"")</f>
        <v>0</v>
      </c>
      <c r="AM279" s="9"/>
    </row>
    <row r="280" spans="1:39" x14ac:dyDescent="0.3">
      <c r="A280" s="2" t="str">
        <f t="shared" si="124"/>
        <v>NÃO</v>
      </c>
      <c r="B280" s="2" t="str">
        <f>_xlfn.XLOOKUP($N280,'Base de Grupos'!$A:$A,'Base de Grupos'!$D:$D)</f>
        <v>1000065763</v>
      </c>
      <c r="C280" s="5" t="str">
        <f>_xlfn.XLOOKUP($N280,'Base de Grupos'!$A:$A,'Base de Grupos'!$E:$E)</f>
        <v>CANAL VENDA INTERNA</v>
      </c>
      <c r="D280" s="5" t="str">
        <f>_xlfn.XLOOKUP($N280,'Base de Grupos'!$A:$A,'Base de Grupos'!$F:$F)</f>
        <v>1000065763</v>
      </c>
      <c r="E280" s="2" t="str">
        <f>_xlfn.XLOOKUP($N280,'Base de Grupos'!$A:$A,'Base de Grupos'!$G:$G)</f>
        <v>CANAL VENDA INTERNA</v>
      </c>
      <c r="F280" s="2" t="str">
        <f>_xlfn.XLOOKUP($N280,'Base de Grupos'!$A:$A,'Base de Grupos'!$H:$H)</f>
        <v>1000105900</v>
      </c>
      <c r="G280" s="5" t="str">
        <f>_xlfn.XLOOKUP($N280,'Base de Grupos'!$A:$A,'Base de Grupos'!$I:$I)</f>
        <v>REGIONAL VENDA DIRETA CO + NE + NO</v>
      </c>
      <c r="H280" s="5" t="str">
        <f>_xlfn.XLOOKUP($N280,'Base de Grupos'!$A:$A,'Base de Grupos'!$J:$J)</f>
        <v>1000105900</v>
      </c>
      <c r="I280" s="2" t="str">
        <f>_xlfn.XLOOKUP($N280,'Base de Grupos'!$A:$A,'Base de Grupos'!$K:$K)</f>
        <v>REGIONAL VENDA DIRETA CO + NE + NO</v>
      </c>
      <c r="J280" s="2" t="str">
        <f>_xlfn.XLOOKUP($N280,'Base de Grupos'!$A:$A,'Base de Grupos'!$L:$L)</f>
        <v>1000150135</v>
      </c>
      <c r="K280" s="5" t="str">
        <f>_xlfn.XLOOKUP($N280,'Base de Grupos'!$A:$A,'Base de Grupos'!$M:$M)</f>
        <v>HELDER DA SILVA BRUNKOW</v>
      </c>
      <c r="L280" s="5" t="str">
        <f t="shared" si="125"/>
        <v/>
      </c>
      <c r="M280" s="5" t="str">
        <f>_xlfn.XLOOKUP($N280,'Base de Grupos'!$A:$A,'Base de Grupos'!$C:$C)</f>
        <v>MS</v>
      </c>
      <c r="N280" s="3">
        <v>1353</v>
      </c>
      <c r="O280" s="4" t="s">
        <v>239</v>
      </c>
      <c r="P280" s="5" t="s">
        <v>92</v>
      </c>
      <c r="Q280" s="24">
        <v>0</v>
      </c>
      <c r="R280" s="24">
        <v>0</v>
      </c>
      <c r="S280" s="24">
        <v>0</v>
      </c>
      <c r="T280" s="24">
        <v>0</v>
      </c>
      <c r="U280" s="24">
        <v>0</v>
      </c>
      <c r="V280" s="24">
        <v>0</v>
      </c>
      <c r="W280" s="24">
        <v>0</v>
      </c>
      <c r="X280" s="24">
        <v>0</v>
      </c>
      <c r="Y280" s="24">
        <v>0</v>
      </c>
      <c r="Z280" s="24">
        <v>0</v>
      </c>
      <c r="AA280" s="24">
        <v>0</v>
      </c>
      <c r="AB280" s="24">
        <v>0</v>
      </c>
      <c r="AC280" s="30">
        <f t="shared" si="131"/>
        <v>0</v>
      </c>
      <c r="AD280" s="27">
        <f t="shared" si="133"/>
        <v>0</v>
      </c>
      <c r="AE280" s="25">
        <f>IFERROR(_xlfn.XLOOKUP(N280&amp;P280,'Historico Vendas'!G:G,'Historico Vendas'!E:E),0)</f>
        <v>0</v>
      </c>
      <c r="AF280" s="29" t="str">
        <f t="shared" si="126"/>
        <v/>
      </c>
      <c r="AG280" s="24">
        <f>IFERROR(_xlfn.XLOOKUP(N280&amp;P280,'Historico Vendas'!G:G,'Historico Vendas'!F:F),0)</f>
        <v>0</v>
      </c>
      <c r="AH280" s="25">
        <f t="shared" si="134"/>
        <v>0</v>
      </c>
      <c r="AI280" s="24">
        <f t="shared" si="135"/>
        <v>0</v>
      </c>
      <c r="AJ280" s="11" t="str">
        <f t="shared" si="127"/>
        <v/>
      </c>
      <c r="AK280" s="9" t="s">
        <v>102</v>
      </c>
      <c r="AL280" s="13">
        <f>IFERROR(INDEX('Balizador da Meta'!$D$3:$F$23,MATCH(Quantidade!$P280,'Balizador da Meta'!$C$3:$C$23,0),MATCH(Quantidade!AK280,'Balizador da Meta'!$D$2:$F$2,0)),"")</f>
        <v>0</v>
      </c>
      <c r="AM280" s="9"/>
    </row>
    <row r="281" spans="1:39" x14ac:dyDescent="0.3">
      <c r="A281" s="2" t="str">
        <f t="shared" si="124"/>
        <v>NÃO</v>
      </c>
      <c r="B281" s="2" t="str">
        <f>_xlfn.XLOOKUP($N281,'Base de Grupos'!$A:$A,'Base de Grupos'!$D:$D)</f>
        <v>1000065763</v>
      </c>
      <c r="C281" s="5" t="str">
        <f>_xlfn.XLOOKUP($N281,'Base de Grupos'!$A:$A,'Base de Grupos'!$E:$E)</f>
        <v>CANAL VENDA INTERNA</v>
      </c>
      <c r="D281" s="5" t="str">
        <f>_xlfn.XLOOKUP($N281,'Base de Grupos'!$A:$A,'Base de Grupos'!$F:$F)</f>
        <v>1000065763</v>
      </c>
      <c r="E281" s="2" t="str">
        <f>_xlfn.XLOOKUP($N281,'Base de Grupos'!$A:$A,'Base de Grupos'!$G:$G)</f>
        <v>CANAL VENDA INTERNA</v>
      </c>
      <c r="F281" s="2" t="str">
        <f>_xlfn.XLOOKUP($N281,'Base de Grupos'!$A:$A,'Base de Grupos'!$H:$H)</f>
        <v>1000105900</v>
      </c>
      <c r="G281" s="5" t="str">
        <f>_xlfn.XLOOKUP($N281,'Base de Grupos'!$A:$A,'Base de Grupos'!$I:$I)</f>
        <v>REGIONAL VENDA DIRETA CO + NE + NO</v>
      </c>
      <c r="H281" s="5" t="str">
        <f>_xlfn.XLOOKUP($N281,'Base de Grupos'!$A:$A,'Base de Grupos'!$J:$J)</f>
        <v>1000105900</v>
      </c>
      <c r="I281" s="2" t="str">
        <f>_xlfn.XLOOKUP($N281,'Base de Grupos'!$A:$A,'Base de Grupos'!$K:$K)</f>
        <v>REGIONAL VENDA DIRETA CO + NE + NO</v>
      </c>
      <c r="J281" s="2" t="str">
        <f>_xlfn.XLOOKUP($N281,'Base de Grupos'!$A:$A,'Base de Grupos'!$L:$L)</f>
        <v>1000150135</v>
      </c>
      <c r="K281" s="5" t="str">
        <f>_xlfn.XLOOKUP($N281,'Base de Grupos'!$A:$A,'Base de Grupos'!$M:$M)</f>
        <v>HELDER DA SILVA BRUNKOW</v>
      </c>
      <c r="L281" s="5" t="str">
        <f t="shared" si="125"/>
        <v/>
      </c>
      <c r="M281" s="5" t="str">
        <f>_xlfn.XLOOKUP($N281,'Base de Grupos'!$A:$A,'Base de Grupos'!$C:$C)</f>
        <v>MS</v>
      </c>
      <c r="N281" s="3">
        <v>1353</v>
      </c>
      <c r="O281" s="4" t="s">
        <v>239</v>
      </c>
      <c r="P281" s="5" t="s">
        <v>86</v>
      </c>
      <c r="Q281" s="24">
        <v>0</v>
      </c>
      <c r="R281" s="24">
        <v>0</v>
      </c>
      <c r="S281" s="24">
        <v>0</v>
      </c>
      <c r="T281" s="24">
        <v>0</v>
      </c>
      <c r="U281" s="24">
        <v>0</v>
      </c>
      <c r="V281" s="24">
        <v>0</v>
      </c>
      <c r="W281" s="24">
        <v>0</v>
      </c>
      <c r="X281" s="24">
        <v>0</v>
      </c>
      <c r="Y281" s="24">
        <v>0</v>
      </c>
      <c r="Z281" s="24">
        <v>0</v>
      </c>
      <c r="AA281" s="24">
        <v>0</v>
      </c>
      <c r="AB281" s="24">
        <v>0</v>
      </c>
      <c r="AC281" s="30">
        <f t="shared" si="131"/>
        <v>0</v>
      </c>
      <c r="AD281" s="27">
        <f t="shared" si="133"/>
        <v>0</v>
      </c>
      <c r="AE281" s="25">
        <f>IFERROR(_xlfn.XLOOKUP(N281&amp;P281,'Historico Vendas'!G:G,'Historico Vendas'!E:E),0)</f>
        <v>0</v>
      </c>
      <c r="AF281" s="29" t="str">
        <f t="shared" si="126"/>
        <v/>
      </c>
      <c r="AG281" s="24">
        <f>IFERROR(_xlfn.XLOOKUP(N281&amp;P281,'Historico Vendas'!G:G,'Historico Vendas'!F:F),0)</f>
        <v>0</v>
      </c>
      <c r="AH281" s="25">
        <f t="shared" si="134"/>
        <v>0</v>
      </c>
      <c r="AI281" s="24">
        <f t="shared" si="135"/>
        <v>0</v>
      </c>
      <c r="AJ281" s="11" t="str">
        <f t="shared" si="127"/>
        <v/>
      </c>
      <c r="AK281" s="9" t="s">
        <v>102</v>
      </c>
      <c r="AL281" s="13">
        <f>IFERROR(INDEX('Balizador da Meta'!$D$3:$F$23,MATCH(Quantidade!$P281,'Balizador da Meta'!$C$3:$C$23,0),MATCH(Quantidade!AK281,'Balizador da Meta'!$D$2:$F$2,0)),"")</f>
        <v>0.15</v>
      </c>
      <c r="AM281" s="9"/>
    </row>
    <row r="282" spans="1:39" x14ac:dyDescent="0.3">
      <c r="A282" s="2" t="str">
        <f t="shared" si="124"/>
        <v>NÃO</v>
      </c>
      <c r="B282" s="2" t="str">
        <f>_xlfn.XLOOKUP($N282,'Base de Grupos'!$A:$A,'Base de Grupos'!$D:$D)</f>
        <v>1000065763</v>
      </c>
      <c r="C282" s="5" t="str">
        <f>_xlfn.XLOOKUP($N282,'Base de Grupos'!$A:$A,'Base de Grupos'!$E:$E)</f>
        <v>CANAL VENDA INTERNA</v>
      </c>
      <c r="D282" s="5" t="str">
        <f>_xlfn.XLOOKUP($N282,'Base de Grupos'!$A:$A,'Base de Grupos'!$F:$F)</f>
        <v>1000065763</v>
      </c>
      <c r="E282" s="2" t="str">
        <f>_xlfn.XLOOKUP($N282,'Base de Grupos'!$A:$A,'Base de Grupos'!$G:$G)</f>
        <v>CANAL VENDA INTERNA</v>
      </c>
      <c r="F282" s="2" t="str">
        <f>_xlfn.XLOOKUP($N282,'Base de Grupos'!$A:$A,'Base de Grupos'!$H:$H)</f>
        <v>1000105900</v>
      </c>
      <c r="G282" s="5" t="str">
        <f>_xlfn.XLOOKUP($N282,'Base de Grupos'!$A:$A,'Base de Grupos'!$I:$I)</f>
        <v>REGIONAL VENDA DIRETA CO + NE + NO</v>
      </c>
      <c r="H282" s="5" t="str">
        <f>_xlfn.XLOOKUP($N282,'Base de Grupos'!$A:$A,'Base de Grupos'!$J:$J)</f>
        <v>1000105900</v>
      </c>
      <c r="I282" s="2" t="str">
        <f>_xlfn.XLOOKUP($N282,'Base de Grupos'!$A:$A,'Base de Grupos'!$K:$K)</f>
        <v>REGIONAL VENDA DIRETA CO + NE + NO</v>
      </c>
      <c r="J282" s="2" t="str">
        <f>_xlfn.XLOOKUP($N282,'Base de Grupos'!$A:$A,'Base de Grupos'!$L:$L)</f>
        <v>1000150135</v>
      </c>
      <c r="K282" s="5" t="str">
        <f>_xlfn.XLOOKUP($N282,'Base de Grupos'!$A:$A,'Base de Grupos'!$M:$M)</f>
        <v>HELDER DA SILVA BRUNKOW</v>
      </c>
      <c r="L282" s="5" t="str">
        <f t="shared" si="125"/>
        <v/>
      </c>
      <c r="M282" s="5" t="str">
        <f>_xlfn.XLOOKUP($N282,'Base de Grupos'!$A:$A,'Base de Grupos'!$C:$C)</f>
        <v>MS</v>
      </c>
      <c r="N282" s="3">
        <v>1353</v>
      </c>
      <c r="O282" s="4" t="s">
        <v>239</v>
      </c>
      <c r="P282" s="5" t="s">
        <v>108</v>
      </c>
      <c r="Q282" s="24">
        <v>0</v>
      </c>
      <c r="R282" s="24">
        <v>0</v>
      </c>
      <c r="S282" s="24">
        <v>0</v>
      </c>
      <c r="T282" s="24">
        <v>0</v>
      </c>
      <c r="U282" s="24">
        <v>0</v>
      </c>
      <c r="V282" s="24">
        <v>0</v>
      </c>
      <c r="W282" s="24">
        <v>0</v>
      </c>
      <c r="X282" s="24">
        <v>0</v>
      </c>
      <c r="Y282" s="24">
        <v>0</v>
      </c>
      <c r="Z282" s="24">
        <v>0</v>
      </c>
      <c r="AA282" s="24">
        <v>0</v>
      </c>
      <c r="AB282" s="24">
        <v>0</v>
      </c>
      <c r="AC282" s="30">
        <f t="shared" si="131"/>
        <v>0</v>
      </c>
      <c r="AD282" s="27">
        <f t="shared" si="133"/>
        <v>0</v>
      </c>
      <c r="AE282" s="25">
        <f>IFERROR(_xlfn.XLOOKUP(N282&amp;P282,'Historico Vendas'!G:G,'Historico Vendas'!E:E),0)</f>
        <v>0</v>
      </c>
      <c r="AF282" s="29" t="str">
        <f t="shared" si="126"/>
        <v/>
      </c>
      <c r="AG282" s="24">
        <f>IFERROR(_xlfn.XLOOKUP(N282&amp;P282,'Historico Vendas'!G:G,'Historico Vendas'!F:F),0)</f>
        <v>0</v>
      </c>
      <c r="AH282" s="25">
        <f t="shared" si="134"/>
        <v>0</v>
      </c>
      <c r="AI282" s="24">
        <f t="shared" si="135"/>
        <v>0</v>
      </c>
      <c r="AJ282" s="11" t="str">
        <f t="shared" si="127"/>
        <v/>
      </c>
      <c r="AK282" s="9" t="s">
        <v>102</v>
      </c>
      <c r="AL282" s="13">
        <f>IFERROR(INDEX('Balizador da Meta'!$D$3:$F$23,MATCH(Quantidade!$P282,'Balizador da Meta'!$C$3:$C$23,0),MATCH(Quantidade!AK282,'Balizador da Meta'!$D$2:$F$2,0)),"")</f>
        <v>0</v>
      </c>
      <c r="AM282" s="9"/>
    </row>
    <row r="283" spans="1:39" x14ac:dyDescent="0.3">
      <c r="A283" s="2" t="str">
        <f t="shared" si="124"/>
        <v>NÃO</v>
      </c>
      <c r="B283" s="2" t="str">
        <f>_xlfn.XLOOKUP($N283,'Base de Grupos'!$A:$A,'Base de Grupos'!$D:$D)</f>
        <v>1000065763</v>
      </c>
      <c r="C283" s="5" t="str">
        <f>_xlfn.XLOOKUP($N283,'Base de Grupos'!$A:$A,'Base de Grupos'!$E:$E)</f>
        <v>CANAL VENDA INTERNA</v>
      </c>
      <c r="D283" s="5" t="str">
        <f>_xlfn.XLOOKUP($N283,'Base de Grupos'!$A:$A,'Base de Grupos'!$F:$F)</f>
        <v>1000065763</v>
      </c>
      <c r="E283" s="2" t="str">
        <f>_xlfn.XLOOKUP($N283,'Base de Grupos'!$A:$A,'Base de Grupos'!$G:$G)</f>
        <v>CANAL VENDA INTERNA</v>
      </c>
      <c r="F283" s="2" t="str">
        <f>_xlfn.XLOOKUP($N283,'Base de Grupos'!$A:$A,'Base de Grupos'!$H:$H)</f>
        <v>1000105900</v>
      </c>
      <c r="G283" s="5" t="str">
        <f>_xlfn.XLOOKUP($N283,'Base de Grupos'!$A:$A,'Base de Grupos'!$I:$I)</f>
        <v>REGIONAL VENDA DIRETA CO + NE + NO</v>
      </c>
      <c r="H283" s="5" t="str">
        <f>_xlfn.XLOOKUP($N283,'Base de Grupos'!$A:$A,'Base de Grupos'!$J:$J)</f>
        <v>1000105900</v>
      </c>
      <c r="I283" s="2" t="str">
        <f>_xlfn.XLOOKUP($N283,'Base de Grupos'!$A:$A,'Base de Grupos'!$K:$K)</f>
        <v>REGIONAL VENDA DIRETA CO + NE + NO</v>
      </c>
      <c r="J283" s="2" t="str">
        <f>_xlfn.XLOOKUP($N283,'Base de Grupos'!$A:$A,'Base de Grupos'!$L:$L)</f>
        <v>1000150135</v>
      </c>
      <c r="K283" s="5" t="str">
        <f>_xlfn.XLOOKUP($N283,'Base de Grupos'!$A:$A,'Base de Grupos'!$M:$M)</f>
        <v>HELDER DA SILVA BRUNKOW</v>
      </c>
      <c r="L283" s="5" t="str">
        <f t="shared" si="125"/>
        <v/>
      </c>
      <c r="M283" s="5" t="str">
        <f>_xlfn.XLOOKUP($N283,'Base de Grupos'!$A:$A,'Base de Grupos'!$C:$C)</f>
        <v>MS</v>
      </c>
      <c r="N283" s="3">
        <v>1353</v>
      </c>
      <c r="O283" s="4" t="s">
        <v>239</v>
      </c>
      <c r="P283" s="5" t="s">
        <v>89</v>
      </c>
      <c r="Q283" s="24">
        <v>0</v>
      </c>
      <c r="R283" s="24">
        <v>0</v>
      </c>
      <c r="S283" s="24">
        <v>0</v>
      </c>
      <c r="T283" s="24">
        <v>0</v>
      </c>
      <c r="U283" s="24">
        <v>0</v>
      </c>
      <c r="V283" s="24">
        <v>0</v>
      </c>
      <c r="W283" s="24">
        <v>0</v>
      </c>
      <c r="X283" s="24">
        <v>0</v>
      </c>
      <c r="Y283" s="24">
        <v>0</v>
      </c>
      <c r="Z283" s="24">
        <v>0</v>
      </c>
      <c r="AA283" s="24">
        <v>0</v>
      </c>
      <c r="AB283" s="24">
        <v>0</v>
      </c>
      <c r="AC283" s="30">
        <f t="shared" si="131"/>
        <v>0</v>
      </c>
      <c r="AD283" s="27">
        <f t="shared" si="133"/>
        <v>0</v>
      </c>
      <c r="AE283" s="25">
        <f>IFERROR(_xlfn.XLOOKUP(N283&amp;P283,'Historico Vendas'!G:G,'Historico Vendas'!E:E),0)</f>
        <v>0</v>
      </c>
      <c r="AF283" s="29" t="str">
        <f t="shared" si="126"/>
        <v/>
      </c>
      <c r="AG283" s="24">
        <f>IFERROR(_xlfn.XLOOKUP(N283&amp;P283,'Historico Vendas'!G:G,'Historico Vendas'!F:F),0)</f>
        <v>0</v>
      </c>
      <c r="AH283" s="25">
        <f t="shared" si="134"/>
        <v>0</v>
      </c>
      <c r="AI283" s="24">
        <f t="shared" si="135"/>
        <v>0</v>
      </c>
      <c r="AJ283" s="11" t="str">
        <f t="shared" si="127"/>
        <v/>
      </c>
      <c r="AK283" s="9" t="s">
        <v>102</v>
      </c>
      <c r="AL283" s="13">
        <f>IFERROR(INDEX('Balizador da Meta'!$D$3:$F$23,MATCH(Quantidade!$P283,'Balizador da Meta'!$C$3:$C$23,0),MATCH(Quantidade!AK283,'Balizador da Meta'!$D$2:$F$2,0)),"")</f>
        <v>0.25</v>
      </c>
      <c r="AM283" s="9"/>
    </row>
    <row r="284" spans="1:39" x14ac:dyDescent="0.3">
      <c r="A284" s="2" t="str">
        <f t="shared" si="124"/>
        <v>NÃO</v>
      </c>
      <c r="B284" s="2" t="str">
        <f>_xlfn.XLOOKUP($N284,'Base de Grupos'!$A:$A,'Base de Grupos'!$D:$D)</f>
        <v>1000065763</v>
      </c>
      <c r="C284" s="5" t="str">
        <f>_xlfn.XLOOKUP($N284,'Base de Grupos'!$A:$A,'Base de Grupos'!$E:$E)</f>
        <v>CANAL VENDA INTERNA</v>
      </c>
      <c r="D284" s="5" t="str">
        <f>_xlfn.XLOOKUP($N284,'Base de Grupos'!$A:$A,'Base de Grupos'!$F:$F)</f>
        <v>1000065763</v>
      </c>
      <c r="E284" s="2" t="str">
        <f>_xlfn.XLOOKUP($N284,'Base de Grupos'!$A:$A,'Base de Grupos'!$G:$G)</f>
        <v>CANAL VENDA INTERNA</v>
      </c>
      <c r="F284" s="2" t="str">
        <f>_xlfn.XLOOKUP($N284,'Base de Grupos'!$A:$A,'Base de Grupos'!$H:$H)</f>
        <v>1000105900</v>
      </c>
      <c r="G284" s="5" t="str">
        <f>_xlfn.XLOOKUP($N284,'Base de Grupos'!$A:$A,'Base de Grupos'!$I:$I)</f>
        <v>REGIONAL VENDA DIRETA CO + NE + NO</v>
      </c>
      <c r="H284" s="5" t="str">
        <f>_xlfn.XLOOKUP($N284,'Base de Grupos'!$A:$A,'Base de Grupos'!$J:$J)</f>
        <v>1000105900</v>
      </c>
      <c r="I284" s="2" t="str">
        <f>_xlfn.XLOOKUP($N284,'Base de Grupos'!$A:$A,'Base de Grupos'!$K:$K)</f>
        <v>REGIONAL VENDA DIRETA CO + NE + NO</v>
      </c>
      <c r="J284" s="2" t="str">
        <f>_xlfn.XLOOKUP($N284,'Base de Grupos'!$A:$A,'Base de Grupos'!$L:$L)</f>
        <v>1000150135</v>
      </c>
      <c r="K284" s="5" t="str">
        <f>_xlfn.XLOOKUP($N284,'Base de Grupos'!$A:$A,'Base de Grupos'!$M:$M)</f>
        <v>HELDER DA SILVA BRUNKOW</v>
      </c>
      <c r="L284" s="5" t="str">
        <f t="shared" si="125"/>
        <v/>
      </c>
      <c r="M284" s="5" t="str">
        <f>_xlfn.XLOOKUP($N284,'Base de Grupos'!$A:$A,'Base de Grupos'!$C:$C)</f>
        <v>MS</v>
      </c>
      <c r="N284" s="3">
        <v>1353</v>
      </c>
      <c r="O284" s="4" t="s">
        <v>239</v>
      </c>
      <c r="P284" s="5" t="s">
        <v>88</v>
      </c>
      <c r="Q284" s="24">
        <v>0</v>
      </c>
      <c r="R284" s="24">
        <v>0</v>
      </c>
      <c r="S284" s="24">
        <v>0</v>
      </c>
      <c r="T284" s="24">
        <v>0</v>
      </c>
      <c r="U284" s="24">
        <v>0</v>
      </c>
      <c r="V284" s="24">
        <v>0</v>
      </c>
      <c r="W284" s="24">
        <v>0</v>
      </c>
      <c r="X284" s="24">
        <v>0</v>
      </c>
      <c r="Y284" s="24">
        <v>0</v>
      </c>
      <c r="Z284" s="24">
        <v>0</v>
      </c>
      <c r="AA284" s="24">
        <v>0</v>
      </c>
      <c r="AB284" s="24">
        <v>0</v>
      </c>
      <c r="AC284" s="30">
        <f t="shared" si="131"/>
        <v>0</v>
      </c>
      <c r="AD284" s="27">
        <f t="shared" si="133"/>
        <v>0</v>
      </c>
      <c r="AE284" s="25">
        <f>IFERROR(_xlfn.XLOOKUP(N284&amp;P284,'Historico Vendas'!G:G,'Historico Vendas'!E:E),0)</f>
        <v>0</v>
      </c>
      <c r="AF284" s="29" t="str">
        <f t="shared" si="126"/>
        <v/>
      </c>
      <c r="AG284" s="24">
        <f>IFERROR(_xlfn.XLOOKUP(N284&amp;P284,'Historico Vendas'!G:G,'Historico Vendas'!F:F),0)</f>
        <v>0</v>
      </c>
      <c r="AH284" s="25">
        <f t="shared" si="134"/>
        <v>0</v>
      </c>
      <c r="AI284" s="24">
        <f t="shared" si="135"/>
        <v>0</v>
      </c>
      <c r="AJ284" s="11" t="str">
        <f t="shared" si="127"/>
        <v/>
      </c>
      <c r="AK284" s="9" t="s">
        <v>102</v>
      </c>
      <c r="AL284" s="13">
        <f>IFERROR(INDEX('Balizador da Meta'!$D$3:$F$23,MATCH(Quantidade!$P284,'Balizador da Meta'!$C$3:$C$23,0),MATCH(Quantidade!AK284,'Balizador da Meta'!$D$2:$F$2,0)),"")</f>
        <v>0</v>
      </c>
      <c r="AM284" s="9"/>
    </row>
    <row r="285" spans="1:39" x14ac:dyDescent="0.3">
      <c r="A285" s="2" t="str">
        <f t="shared" si="124"/>
        <v>NÃO</v>
      </c>
      <c r="B285" s="2" t="str">
        <f>_xlfn.XLOOKUP($N285,'Base de Grupos'!$A:$A,'Base de Grupos'!$D:$D)</f>
        <v>1000065763</v>
      </c>
      <c r="C285" s="5" t="str">
        <f>_xlfn.XLOOKUP($N285,'Base de Grupos'!$A:$A,'Base de Grupos'!$E:$E)</f>
        <v>CANAL VENDA INTERNA</v>
      </c>
      <c r="D285" s="5" t="str">
        <f>_xlfn.XLOOKUP($N285,'Base de Grupos'!$A:$A,'Base de Grupos'!$F:$F)</f>
        <v>1000065763</v>
      </c>
      <c r="E285" s="2" t="str">
        <f>_xlfn.XLOOKUP($N285,'Base de Grupos'!$A:$A,'Base de Grupos'!$G:$G)</f>
        <v>CANAL VENDA INTERNA</v>
      </c>
      <c r="F285" s="2" t="str">
        <f>_xlfn.XLOOKUP($N285,'Base de Grupos'!$A:$A,'Base de Grupos'!$H:$H)</f>
        <v>1000105900</v>
      </c>
      <c r="G285" s="5" t="str">
        <f>_xlfn.XLOOKUP($N285,'Base de Grupos'!$A:$A,'Base de Grupos'!$I:$I)</f>
        <v>REGIONAL VENDA DIRETA CO + NE + NO</v>
      </c>
      <c r="H285" s="5" t="str">
        <f>_xlfn.XLOOKUP($N285,'Base de Grupos'!$A:$A,'Base de Grupos'!$J:$J)</f>
        <v>1000105900</v>
      </c>
      <c r="I285" s="2" t="str">
        <f>_xlfn.XLOOKUP($N285,'Base de Grupos'!$A:$A,'Base de Grupos'!$K:$K)</f>
        <v>REGIONAL VENDA DIRETA CO + NE + NO</v>
      </c>
      <c r="J285" s="2" t="str">
        <f>_xlfn.XLOOKUP($N285,'Base de Grupos'!$A:$A,'Base de Grupos'!$L:$L)</f>
        <v>1000150135</v>
      </c>
      <c r="K285" s="5" t="str">
        <f>_xlfn.XLOOKUP($N285,'Base de Grupos'!$A:$A,'Base de Grupos'!$M:$M)</f>
        <v>HELDER DA SILVA BRUNKOW</v>
      </c>
      <c r="L285" s="5" t="str">
        <f t="shared" si="125"/>
        <v/>
      </c>
      <c r="M285" s="5" t="str">
        <f>_xlfn.XLOOKUP($N285,'Base de Grupos'!$A:$A,'Base de Grupos'!$C:$C)</f>
        <v>MS</v>
      </c>
      <c r="N285" s="3">
        <v>1353</v>
      </c>
      <c r="O285" s="4" t="s">
        <v>239</v>
      </c>
      <c r="P285" s="5" t="s">
        <v>90</v>
      </c>
      <c r="Q285" s="24">
        <v>0</v>
      </c>
      <c r="R285" s="24">
        <v>0</v>
      </c>
      <c r="S285" s="24">
        <v>0</v>
      </c>
      <c r="T285" s="24">
        <v>0</v>
      </c>
      <c r="U285" s="24">
        <v>0</v>
      </c>
      <c r="V285" s="24">
        <v>0</v>
      </c>
      <c r="W285" s="24">
        <v>0</v>
      </c>
      <c r="X285" s="24">
        <v>0</v>
      </c>
      <c r="Y285" s="24">
        <v>0</v>
      </c>
      <c r="Z285" s="24">
        <v>0</v>
      </c>
      <c r="AA285" s="24">
        <v>0</v>
      </c>
      <c r="AB285" s="24">
        <v>0</v>
      </c>
      <c r="AC285" s="30">
        <f t="shared" si="131"/>
        <v>0</v>
      </c>
      <c r="AD285" s="27">
        <f t="shared" si="133"/>
        <v>0</v>
      </c>
      <c r="AE285" s="25">
        <f>IFERROR(_xlfn.XLOOKUP(N285&amp;P285,'Historico Vendas'!G:G,'Historico Vendas'!E:E),0)</f>
        <v>0</v>
      </c>
      <c r="AF285" s="29" t="str">
        <f t="shared" si="126"/>
        <v/>
      </c>
      <c r="AG285" s="24">
        <f>IFERROR(_xlfn.XLOOKUP(N285&amp;P285,'Historico Vendas'!G:G,'Historico Vendas'!F:F),0)</f>
        <v>0</v>
      </c>
      <c r="AH285" s="25">
        <f t="shared" si="134"/>
        <v>0</v>
      </c>
      <c r="AI285" s="24">
        <f t="shared" si="135"/>
        <v>0</v>
      </c>
      <c r="AJ285" s="11" t="str">
        <f t="shared" si="127"/>
        <v/>
      </c>
      <c r="AK285" s="9" t="s">
        <v>102</v>
      </c>
      <c r="AL285" s="13">
        <f>IFERROR(INDEX('Balizador da Meta'!$D$3:$F$23,MATCH(Quantidade!$P285,'Balizador da Meta'!$C$3:$C$23,0),MATCH(Quantidade!AK285,'Balizador da Meta'!$D$2:$F$2,0)),"")</f>
        <v>0</v>
      </c>
      <c r="AM285" s="9"/>
    </row>
    <row r="286" spans="1:39" x14ac:dyDescent="0.3">
      <c r="A286" s="2" t="str">
        <f t="shared" si="124"/>
        <v>NÃO</v>
      </c>
      <c r="B286" s="2" t="str">
        <f>_xlfn.XLOOKUP($N286,'Base de Grupos'!$A:$A,'Base de Grupos'!$D:$D)</f>
        <v>1000065763</v>
      </c>
      <c r="C286" s="5" t="str">
        <f>_xlfn.XLOOKUP($N286,'Base de Grupos'!$A:$A,'Base de Grupos'!$E:$E)</f>
        <v>CANAL VENDA INTERNA</v>
      </c>
      <c r="D286" s="5" t="str">
        <f>_xlfn.XLOOKUP($N286,'Base de Grupos'!$A:$A,'Base de Grupos'!$F:$F)</f>
        <v>1000065763</v>
      </c>
      <c r="E286" s="2" t="str">
        <f>_xlfn.XLOOKUP($N286,'Base de Grupos'!$A:$A,'Base de Grupos'!$G:$G)</f>
        <v>CANAL VENDA INTERNA</v>
      </c>
      <c r="F286" s="2" t="str">
        <f>_xlfn.XLOOKUP($N286,'Base de Grupos'!$A:$A,'Base de Grupos'!$H:$H)</f>
        <v>1000105900</v>
      </c>
      <c r="G286" s="5" t="str">
        <f>_xlfn.XLOOKUP($N286,'Base de Grupos'!$A:$A,'Base de Grupos'!$I:$I)</f>
        <v>REGIONAL VENDA DIRETA CO + NE + NO</v>
      </c>
      <c r="H286" s="5" t="str">
        <f>_xlfn.XLOOKUP($N286,'Base de Grupos'!$A:$A,'Base de Grupos'!$J:$J)</f>
        <v>1000105900</v>
      </c>
      <c r="I286" s="2" t="str">
        <f>_xlfn.XLOOKUP($N286,'Base de Grupos'!$A:$A,'Base de Grupos'!$K:$K)</f>
        <v>REGIONAL VENDA DIRETA CO + NE + NO</v>
      </c>
      <c r="J286" s="2" t="str">
        <f>_xlfn.XLOOKUP($N286,'Base de Grupos'!$A:$A,'Base de Grupos'!$L:$L)</f>
        <v>1000150135</v>
      </c>
      <c r="K286" s="5" t="str">
        <f>_xlfn.XLOOKUP($N286,'Base de Grupos'!$A:$A,'Base de Grupos'!$M:$M)</f>
        <v>HELDER DA SILVA BRUNKOW</v>
      </c>
      <c r="L286" s="5" t="str">
        <f t="shared" si="125"/>
        <v/>
      </c>
      <c r="M286" s="5" t="str">
        <f>_xlfn.XLOOKUP($N286,'Base de Grupos'!$A:$A,'Base de Grupos'!$C:$C)</f>
        <v>MS</v>
      </c>
      <c r="N286" s="3">
        <v>1353</v>
      </c>
      <c r="O286" s="4" t="s">
        <v>239</v>
      </c>
      <c r="P286" s="5" t="s">
        <v>91</v>
      </c>
      <c r="Q286" s="24">
        <v>0</v>
      </c>
      <c r="R286" s="24">
        <v>0</v>
      </c>
      <c r="S286" s="24">
        <v>0</v>
      </c>
      <c r="T286" s="24">
        <v>0</v>
      </c>
      <c r="U286" s="24">
        <v>0</v>
      </c>
      <c r="V286" s="24">
        <v>0</v>
      </c>
      <c r="W286" s="24">
        <v>0</v>
      </c>
      <c r="X286" s="24">
        <v>0</v>
      </c>
      <c r="Y286" s="24">
        <v>0</v>
      </c>
      <c r="Z286" s="24">
        <v>0</v>
      </c>
      <c r="AA286" s="24">
        <v>0</v>
      </c>
      <c r="AB286" s="24">
        <v>0</v>
      </c>
      <c r="AC286" s="30">
        <f t="shared" si="131"/>
        <v>0</v>
      </c>
      <c r="AD286" s="27">
        <f t="shared" si="133"/>
        <v>0</v>
      </c>
      <c r="AE286" s="25">
        <f>IFERROR(_xlfn.XLOOKUP(N286&amp;P286,'Historico Vendas'!G:G,'Historico Vendas'!E:E),0)</f>
        <v>0</v>
      </c>
      <c r="AF286" s="29" t="str">
        <f t="shared" si="126"/>
        <v/>
      </c>
      <c r="AG286" s="24">
        <f>IFERROR(_xlfn.XLOOKUP(N286&amp;P286,'Historico Vendas'!G:G,'Historico Vendas'!F:F),0)</f>
        <v>0</v>
      </c>
      <c r="AH286" s="25">
        <f t="shared" si="134"/>
        <v>0</v>
      </c>
      <c r="AI286" s="24">
        <f t="shared" si="135"/>
        <v>0</v>
      </c>
      <c r="AJ286" s="11" t="str">
        <f t="shared" si="127"/>
        <v/>
      </c>
      <c r="AK286" s="9" t="s">
        <v>102</v>
      </c>
      <c r="AL286" s="13">
        <f>IFERROR(INDEX('Balizador da Meta'!$D$3:$F$23,MATCH(Quantidade!$P286,'Balizador da Meta'!$C$3:$C$23,0),MATCH(Quantidade!AK286,'Balizador da Meta'!$D$2:$F$2,0)),"")</f>
        <v>0</v>
      </c>
      <c r="AM286" s="9"/>
    </row>
    <row r="287" spans="1:39" x14ac:dyDescent="0.3">
      <c r="A287" s="2" t="str">
        <f t="shared" si="124"/>
        <v>NÃO</v>
      </c>
      <c r="B287" s="2" t="str">
        <f>_xlfn.XLOOKUP($N287,'Base de Grupos'!$A:$A,'Base de Grupos'!$D:$D)</f>
        <v>1000065763</v>
      </c>
      <c r="C287" s="5" t="str">
        <f>_xlfn.XLOOKUP($N287,'Base de Grupos'!$A:$A,'Base de Grupos'!$E:$E)</f>
        <v>CANAL VENDA INTERNA</v>
      </c>
      <c r="D287" s="5" t="str">
        <f>_xlfn.XLOOKUP($N287,'Base de Grupos'!$A:$A,'Base de Grupos'!$F:$F)</f>
        <v>1000065763</v>
      </c>
      <c r="E287" s="2" t="str">
        <f>_xlfn.XLOOKUP($N287,'Base de Grupos'!$A:$A,'Base de Grupos'!$G:$G)</f>
        <v>CANAL VENDA INTERNA</v>
      </c>
      <c r="F287" s="2" t="str">
        <f>_xlfn.XLOOKUP($N287,'Base de Grupos'!$A:$A,'Base de Grupos'!$H:$H)</f>
        <v>1000105900</v>
      </c>
      <c r="G287" s="5" t="str">
        <f>_xlfn.XLOOKUP($N287,'Base de Grupos'!$A:$A,'Base de Grupos'!$I:$I)</f>
        <v>REGIONAL VENDA DIRETA CO + NE + NO</v>
      </c>
      <c r="H287" s="5" t="str">
        <f>_xlfn.XLOOKUP($N287,'Base de Grupos'!$A:$A,'Base de Grupos'!$J:$J)</f>
        <v>1000105900</v>
      </c>
      <c r="I287" s="2" t="str">
        <f>_xlfn.XLOOKUP($N287,'Base de Grupos'!$A:$A,'Base de Grupos'!$K:$K)</f>
        <v>REGIONAL VENDA DIRETA CO + NE + NO</v>
      </c>
      <c r="J287" s="2" t="str">
        <f>_xlfn.XLOOKUP($N287,'Base de Grupos'!$A:$A,'Base de Grupos'!$L:$L)</f>
        <v>1000150135</v>
      </c>
      <c r="K287" s="5" t="str">
        <f>_xlfn.XLOOKUP($N287,'Base de Grupos'!$A:$A,'Base de Grupos'!$M:$M)</f>
        <v>HELDER DA SILVA BRUNKOW</v>
      </c>
      <c r="L287" s="5" t="str">
        <f t="shared" si="125"/>
        <v/>
      </c>
      <c r="M287" s="5" t="str">
        <f>_xlfn.XLOOKUP($N287,'Base de Grupos'!$A:$A,'Base de Grupos'!$C:$C)</f>
        <v>MS</v>
      </c>
      <c r="N287" s="3">
        <v>1353</v>
      </c>
      <c r="O287" s="4" t="s">
        <v>239</v>
      </c>
      <c r="P287" s="5" t="s">
        <v>96</v>
      </c>
      <c r="Q287" s="24">
        <v>0</v>
      </c>
      <c r="R287" s="24">
        <v>0</v>
      </c>
      <c r="S287" s="24">
        <v>0</v>
      </c>
      <c r="T287" s="24">
        <v>0</v>
      </c>
      <c r="U287" s="24">
        <v>0</v>
      </c>
      <c r="V287" s="24">
        <v>0</v>
      </c>
      <c r="W287" s="24">
        <v>0</v>
      </c>
      <c r="X287" s="24">
        <v>0</v>
      </c>
      <c r="Y287" s="24">
        <v>0</v>
      </c>
      <c r="Z287" s="24">
        <v>0</v>
      </c>
      <c r="AA287" s="24">
        <v>0</v>
      </c>
      <c r="AB287" s="24">
        <v>0</v>
      </c>
      <c r="AC287" s="30">
        <f t="shared" si="131"/>
        <v>0</v>
      </c>
      <c r="AD287" s="27">
        <f t="shared" si="133"/>
        <v>0</v>
      </c>
      <c r="AE287" s="25">
        <f>IFERROR(_xlfn.XLOOKUP(N287&amp;P287,'Historico Vendas'!G:G,'Historico Vendas'!E:E),0)</f>
        <v>0</v>
      </c>
      <c r="AF287" s="29" t="str">
        <f t="shared" si="126"/>
        <v/>
      </c>
      <c r="AG287" s="24">
        <f>IFERROR(_xlfn.XLOOKUP(N287&amp;P287,'Historico Vendas'!G:G,'Historico Vendas'!F:F),0)</f>
        <v>0</v>
      </c>
      <c r="AH287" s="25">
        <f t="shared" si="134"/>
        <v>0</v>
      </c>
      <c r="AI287" s="24">
        <f t="shared" si="135"/>
        <v>0</v>
      </c>
      <c r="AJ287" s="11" t="str">
        <f t="shared" si="127"/>
        <v/>
      </c>
      <c r="AK287" s="9" t="s">
        <v>102</v>
      </c>
      <c r="AL287" s="13">
        <f>IFERROR(INDEX('Balizador da Meta'!$D$3:$F$23,MATCH(Quantidade!$P287,'Balizador da Meta'!$C$3:$C$23,0),MATCH(Quantidade!AK287,'Balizador da Meta'!$D$2:$F$2,0)),"")</f>
        <v>0</v>
      </c>
      <c r="AM287" s="9"/>
    </row>
    <row r="288" spans="1:39" x14ac:dyDescent="0.3">
      <c r="A288" s="2" t="str">
        <f t="shared" si="124"/>
        <v>NÃO</v>
      </c>
      <c r="B288" s="2" t="str">
        <f>_xlfn.XLOOKUP($N288,'Base de Grupos'!$A:$A,'Base de Grupos'!$D:$D)</f>
        <v>1000065763</v>
      </c>
      <c r="C288" s="5" t="str">
        <f>_xlfn.XLOOKUP($N288,'Base de Grupos'!$A:$A,'Base de Grupos'!$E:$E)</f>
        <v>CANAL VENDA INTERNA</v>
      </c>
      <c r="D288" s="5" t="str">
        <f>_xlfn.XLOOKUP($N288,'Base de Grupos'!$A:$A,'Base de Grupos'!$F:$F)</f>
        <v>1000065763</v>
      </c>
      <c r="E288" s="2" t="str">
        <f>_xlfn.XLOOKUP($N288,'Base de Grupos'!$A:$A,'Base de Grupos'!$G:$G)</f>
        <v>CANAL VENDA INTERNA</v>
      </c>
      <c r="F288" s="2" t="str">
        <f>_xlfn.XLOOKUP($N288,'Base de Grupos'!$A:$A,'Base de Grupos'!$H:$H)</f>
        <v>1000105900</v>
      </c>
      <c r="G288" s="5" t="str">
        <f>_xlfn.XLOOKUP($N288,'Base de Grupos'!$A:$A,'Base de Grupos'!$I:$I)</f>
        <v>REGIONAL VENDA DIRETA CO + NE + NO</v>
      </c>
      <c r="H288" s="5" t="str">
        <f>_xlfn.XLOOKUP($N288,'Base de Grupos'!$A:$A,'Base de Grupos'!$J:$J)</f>
        <v>1000105900</v>
      </c>
      <c r="I288" s="2" t="str">
        <f>_xlfn.XLOOKUP($N288,'Base de Grupos'!$A:$A,'Base de Grupos'!$K:$K)</f>
        <v>REGIONAL VENDA DIRETA CO + NE + NO</v>
      </c>
      <c r="J288" s="2" t="str">
        <f>_xlfn.XLOOKUP($N288,'Base de Grupos'!$A:$A,'Base de Grupos'!$L:$L)</f>
        <v>1000150135</v>
      </c>
      <c r="K288" s="5" t="str">
        <f>_xlfn.XLOOKUP($N288,'Base de Grupos'!$A:$A,'Base de Grupos'!$M:$M)</f>
        <v>HELDER DA SILVA BRUNKOW</v>
      </c>
      <c r="L288" s="5" t="str">
        <f t="shared" si="125"/>
        <v/>
      </c>
      <c r="M288" s="5" t="str">
        <f>_xlfn.XLOOKUP($N288,'Base de Grupos'!$A:$A,'Base de Grupos'!$C:$C)</f>
        <v>MS</v>
      </c>
      <c r="N288" s="3">
        <v>1353</v>
      </c>
      <c r="O288" s="4" t="s">
        <v>239</v>
      </c>
      <c r="P288" s="5" t="s">
        <v>94</v>
      </c>
      <c r="Q288" s="24">
        <v>0</v>
      </c>
      <c r="R288" s="24">
        <v>0</v>
      </c>
      <c r="S288" s="24">
        <v>0</v>
      </c>
      <c r="T288" s="24">
        <v>0</v>
      </c>
      <c r="U288" s="24">
        <v>0</v>
      </c>
      <c r="V288" s="24">
        <v>0</v>
      </c>
      <c r="W288" s="24">
        <v>0</v>
      </c>
      <c r="X288" s="24">
        <v>0</v>
      </c>
      <c r="Y288" s="24">
        <v>0</v>
      </c>
      <c r="Z288" s="24">
        <v>0</v>
      </c>
      <c r="AA288" s="24">
        <v>0</v>
      </c>
      <c r="AB288" s="24">
        <v>0</v>
      </c>
      <c r="AC288" s="30">
        <f t="shared" si="131"/>
        <v>0</v>
      </c>
      <c r="AD288" s="27">
        <f t="shared" si="133"/>
        <v>0</v>
      </c>
      <c r="AE288" s="25">
        <f>IFERROR(_xlfn.XLOOKUP(N288&amp;P288,'Historico Vendas'!G:G,'Historico Vendas'!E:E),0)</f>
        <v>0</v>
      </c>
      <c r="AF288" s="29" t="str">
        <f t="shared" si="126"/>
        <v/>
      </c>
      <c r="AG288" s="24">
        <f>IFERROR(_xlfn.XLOOKUP(N288&amp;P288,'Historico Vendas'!G:G,'Historico Vendas'!F:F),0)</f>
        <v>0</v>
      </c>
      <c r="AH288" s="25">
        <f t="shared" si="134"/>
        <v>0</v>
      </c>
      <c r="AI288" s="24">
        <f t="shared" si="135"/>
        <v>0</v>
      </c>
      <c r="AJ288" s="11" t="str">
        <f t="shared" si="127"/>
        <v/>
      </c>
      <c r="AK288" s="9" t="s">
        <v>102</v>
      </c>
      <c r="AL288" s="13">
        <f>IFERROR(INDEX('Balizador da Meta'!$D$3:$F$23,MATCH(Quantidade!$P288,'Balizador da Meta'!$C$3:$C$23,0),MATCH(Quantidade!AK288,'Balizador da Meta'!$D$2:$F$2,0)),"")</f>
        <v>0.25</v>
      </c>
      <c r="AM288" s="9"/>
    </row>
    <row r="289" spans="1:39" x14ac:dyDescent="0.3">
      <c r="A289" s="2" t="str">
        <f t="shared" si="124"/>
        <v>NÃO</v>
      </c>
      <c r="B289" s="2" t="str">
        <f>_xlfn.XLOOKUP($N289,'Base de Grupos'!$A:$A,'Base de Grupos'!$D:$D)</f>
        <v>1000065763</v>
      </c>
      <c r="C289" s="5" t="str">
        <f>_xlfn.XLOOKUP($N289,'Base de Grupos'!$A:$A,'Base de Grupos'!$E:$E)</f>
        <v>CANAL VENDA INTERNA</v>
      </c>
      <c r="D289" s="5" t="str">
        <f>_xlfn.XLOOKUP($N289,'Base de Grupos'!$A:$A,'Base de Grupos'!$F:$F)</f>
        <v>1000065763</v>
      </c>
      <c r="E289" s="2" t="str">
        <f>_xlfn.XLOOKUP($N289,'Base de Grupos'!$A:$A,'Base de Grupos'!$G:$G)</f>
        <v>CANAL VENDA INTERNA</v>
      </c>
      <c r="F289" s="2" t="str">
        <f>_xlfn.XLOOKUP($N289,'Base de Grupos'!$A:$A,'Base de Grupos'!$H:$H)</f>
        <v>1000105900</v>
      </c>
      <c r="G289" s="5" t="str">
        <f>_xlfn.XLOOKUP($N289,'Base de Grupos'!$A:$A,'Base de Grupos'!$I:$I)</f>
        <v>REGIONAL VENDA DIRETA CO + NE + NO</v>
      </c>
      <c r="H289" s="5" t="str">
        <f>_xlfn.XLOOKUP($N289,'Base de Grupos'!$A:$A,'Base de Grupos'!$J:$J)</f>
        <v>1000105900</v>
      </c>
      <c r="I289" s="2" t="str">
        <f>_xlfn.XLOOKUP($N289,'Base de Grupos'!$A:$A,'Base de Grupos'!$K:$K)</f>
        <v>REGIONAL VENDA DIRETA CO + NE + NO</v>
      </c>
      <c r="J289" s="2" t="str">
        <f>_xlfn.XLOOKUP($N289,'Base de Grupos'!$A:$A,'Base de Grupos'!$L:$L)</f>
        <v>1000150135</v>
      </c>
      <c r="K289" s="5" t="str">
        <f>_xlfn.XLOOKUP($N289,'Base de Grupos'!$A:$A,'Base de Grupos'!$M:$M)</f>
        <v>HELDER DA SILVA BRUNKOW</v>
      </c>
      <c r="L289" s="5" t="str">
        <f t="shared" si="125"/>
        <v/>
      </c>
      <c r="M289" s="5" t="str">
        <f>_xlfn.XLOOKUP($N289,'Base de Grupos'!$A:$A,'Base de Grupos'!$C:$C)</f>
        <v>MS</v>
      </c>
      <c r="N289" s="3">
        <v>1353</v>
      </c>
      <c r="O289" s="4" t="s">
        <v>239</v>
      </c>
      <c r="P289" s="5" t="s">
        <v>95</v>
      </c>
      <c r="Q289" s="24">
        <f>SUM(Q290:Q310)</f>
        <v>0</v>
      </c>
      <c r="R289" s="24">
        <f t="shared" ref="R289" si="136">SUM(R290:R310)</f>
        <v>0</v>
      </c>
      <c r="S289" s="24">
        <f t="shared" ref="S289" si="137">SUM(S290:S310)</f>
        <v>0</v>
      </c>
      <c r="T289" s="24">
        <f t="shared" ref="T289:AC289" si="138">SUM(T290:T310)</f>
        <v>0</v>
      </c>
      <c r="U289" s="24">
        <f t="shared" si="138"/>
        <v>0</v>
      </c>
      <c r="V289" s="24">
        <f t="shared" si="138"/>
        <v>0</v>
      </c>
      <c r="W289" s="24">
        <f t="shared" si="138"/>
        <v>0</v>
      </c>
      <c r="X289" s="24">
        <f t="shared" si="138"/>
        <v>0</v>
      </c>
      <c r="Y289" s="24">
        <f t="shared" si="138"/>
        <v>0</v>
      </c>
      <c r="Z289" s="24">
        <f t="shared" si="138"/>
        <v>0</v>
      </c>
      <c r="AA289" s="24">
        <f t="shared" si="138"/>
        <v>0</v>
      </c>
      <c r="AB289" s="24">
        <f t="shared" si="138"/>
        <v>0</v>
      </c>
      <c r="AC289" s="24">
        <f t="shared" si="138"/>
        <v>0</v>
      </c>
      <c r="AD289" s="27">
        <f t="shared" si="133"/>
        <v>0</v>
      </c>
      <c r="AE289" s="25">
        <f>IFERROR(_xlfn.XLOOKUP(N289&amp;P289,'Historico Vendas'!G:G,'Historico Vendas'!E:E),0)</f>
        <v>0</v>
      </c>
      <c r="AF289" s="29" t="str">
        <f t="shared" si="126"/>
        <v/>
      </c>
      <c r="AG289" s="24">
        <f>IFERROR(_xlfn.XLOOKUP(N289&amp;P289,'Historico Vendas'!G:G,'Historico Vendas'!F:F),0)</f>
        <v>0</v>
      </c>
      <c r="AH289" s="25">
        <f t="shared" si="134"/>
        <v>0</v>
      </c>
      <c r="AI289" s="24">
        <f t="shared" si="135"/>
        <v>0</v>
      </c>
      <c r="AJ289" s="11" t="str">
        <f t="shared" si="127"/>
        <v/>
      </c>
      <c r="AK289" s="9" t="s">
        <v>102</v>
      </c>
      <c r="AL289" s="13">
        <f>IFERROR(INDEX('Balizador da Meta'!$D$3:$F$23,MATCH(Quantidade!$P289,'Balizador da Meta'!$C$3:$C$23,0),MATCH(Quantidade!AK289,'Balizador da Meta'!$D$2:$F$2,0)),"")</f>
        <v>0.25</v>
      </c>
      <c r="AM289" s="9"/>
    </row>
    <row r="290" spans="1:39" x14ac:dyDescent="0.3">
      <c r="A290" s="2" t="str">
        <f t="shared" si="124"/>
        <v>NÃO</v>
      </c>
      <c r="B290" s="2" t="str">
        <f>_xlfn.XLOOKUP($N290,'Base de Grupos'!$A:$A,'Base de Grupos'!$D:$D)</f>
        <v>1000065763</v>
      </c>
      <c r="C290" s="5" t="str">
        <f>_xlfn.XLOOKUP($N290,'Base de Grupos'!$A:$A,'Base de Grupos'!$E:$E)</f>
        <v>CANAL VENDA INTERNA</v>
      </c>
      <c r="D290" s="5" t="str">
        <f>_xlfn.XLOOKUP($N290,'Base de Grupos'!$A:$A,'Base de Grupos'!$F:$F)</f>
        <v>1000065763</v>
      </c>
      <c r="E290" s="2" t="str">
        <f>_xlfn.XLOOKUP($N290,'Base de Grupos'!$A:$A,'Base de Grupos'!$G:$G)</f>
        <v>CANAL VENDA INTERNA</v>
      </c>
      <c r="F290" s="2" t="str">
        <f>_xlfn.XLOOKUP($N290,'Base de Grupos'!$A:$A,'Base de Grupos'!$H:$H)</f>
        <v>1000105900</v>
      </c>
      <c r="G290" s="5" t="str">
        <f>_xlfn.XLOOKUP($N290,'Base de Grupos'!$A:$A,'Base de Grupos'!$I:$I)</f>
        <v>REGIONAL VENDA DIRETA CO + NE + NO</v>
      </c>
      <c r="H290" s="5" t="str">
        <f>_xlfn.XLOOKUP($N290,'Base de Grupos'!$A:$A,'Base de Grupos'!$J:$J)</f>
        <v>1000105900</v>
      </c>
      <c r="I290" s="2" t="str">
        <f>_xlfn.XLOOKUP($N290,'Base de Grupos'!$A:$A,'Base de Grupos'!$K:$K)</f>
        <v>REGIONAL VENDA DIRETA CO + NE + NO</v>
      </c>
      <c r="J290" s="2" t="str">
        <f>_xlfn.XLOOKUP($N290,'Base de Grupos'!$A:$A,'Base de Grupos'!$L:$L)</f>
        <v>1000150135</v>
      </c>
      <c r="K290" s="5" t="str">
        <f>_xlfn.XLOOKUP($N290,'Base de Grupos'!$A:$A,'Base de Grupos'!$M:$M)</f>
        <v>HELDER DA SILVA BRUNKOW</v>
      </c>
      <c r="L290" s="5" t="str">
        <f t="shared" si="125"/>
        <v/>
      </c>
      <c r="M290" s="5" t="str">
        <f>_xlfn.XLOOKUP($N290,'Base de Grupos'!$A:$A,'Base de Grupos'!$C:$C)</f>
        <v>MS</v>
      </c>
      <c r="N290" s="3">
        <v>1353</v>
      </c>
      <c r="O290" s="4" t="s">
        <v>239</v>
      </c>
      <c r="P290" s="5" t="s">
        <v>93</v>
      </c>
      <c r="Q290" s="24">
        <v>0</v>
      </c>
      <c r="R290" s="24">
        <v>0</v>
      </c>
      <c r="S290" s="24">
        <v>0</v>
      </c>
      <c r="T290" s="24">
        <v>0</v>
      </c>
      <c r="U290" s="24">
        <v>0</v>
      </c>
      <c r="V290" s="24">
        <v>0</v>
      </c>
      <c r="W290" s="24">
        <v>0</v>
      </c>
      <c r="X290" s="24">
        <v>0</v>
      </c>
      <c r="Y290" s="24">
        <v>0</v>
      </c>
      <c r="Z290" s="24">
        <v>0</v>
      </c>
      <c r="AA290" s="24">
        <v>0</v>
      </c>
      <c r="AB290" s="24">
        <v>0</v>
      </c>
      <c r="AC290" s="30">
        <f t="shared" ref="AC290:AC310" si="139">SUM(T290:AB290)</f>
        <v>0</v>
      </c>
      <c r="AD290" s="27">
        <f t="shared" si="133"/>
        <v>0</v>
      </c>
      <c r="AE290" s="25">
        <f>IFERROR(_xlfn.XLOOKUP(N290&amp;P290,'Historico Vendas'!G:G,'Historico Vendas'!E:E),0)</f>
        <v>0</v>
      </c>
      <c r="AF290" s="29" t="str">
        <f t="shared" si="126"/>
        <v/>
      </c>
      <c r="AG290" s="24">
        <f>IFERROR(_xlfn.XLOOKUP(N290&amp;P290,'Historico Vendas'!G:G,'Historico Vendas'!F:F),0)</f>
        <v>0</v>
      </c>
      <c r="AH290" s="25">
        <f t="shared" si="134"/>
        <v>0</v>
      </c>
      <c r="AI290" s="24">
        <f t="shared" si="135"/>
        <v>0</v>
      </c>
      <c r="AJ290" s="11" t="str">
        <f t="shared" si="127"/>
        <v/>
      </c>
      <c r="AK290" s="9" t="s">
        <v>102</v>
      </c>
      <c r="AL290" s="13">
        <f>IFERROR(INDEX('Balizador da Meta'!$D$3:$F$23,MATCH(Quantidade!$P290,'Balizador da Meta'!$C$3:$C$23,0),MATCH(Quantidade!AK290,'Balizador da Meta'!$D$2:$F$2,0)),"")</f>
        <v>0.2</v>
      </c>
      <c r="AM290" s="9"/>
    </row>
    <row r="291" spans="1:39" x14ac:dyDescent="0.3">
      <c r="A291" s="2" t="str">
        <f t="shared" si="124"/>
        <v>SIM</v>
      </c>
      <c r="B291" s="2" t="str">
        <f>_xlfn.XLOOKUP($N291,'Base de Grupos'!$A:$A,'Base de Grupos'!$D:$D)</f>
        <v>1000065763</v>
      </c>
      <c r="C291" s="5" t="str">
        <f>_xlfn.XLOOKUP($N291,'Base de Grupos'!$A:$A,'Base de Grupos'!$E:$E)</f>
        <v>CANAL VENDA INTERNA</v>
      </c>
      <c r="D291" s="5" t="str">
        <f>_xlfn.XLOOKUP($N291,'Base de Grupos'!$A:$A,'Base de Grupos'!$F:$F)</f>
        <v>1000065763</v>
      </c>
      <c r="E291" s="2" t="str">
        <f>_xlfn.XLOOKUP($N291,'Base de Grupos'!$A:$A,'Base de Grupos'!$G:$G)</f>
        <v>CANAL VENDA INTERNA</v>
      </c>
      <c r="F291" s="2" t="str">
        <f>_xlfn.XLOOKUP($N291,'Base de Grupos'!$A:$A,'Base de Grupos'!$H:$H)</f>
        <v>1000105900</v>
      </c>
      <c r="G291" s="5" t="str">
        <f>_xlfn.XLOOKUP($N291,'Base de Grupos'!$A:$A,'Base de Grupos'!$I:$I)</f>
        <v>REGIONAL VENDA DIRETA CO + NE + NO</v>
      </c>
      <c r="H291" s="5" t="str">
        <f>_xlfn.XLOOKUP($N291,'Base de Grupos'!$A:$A,'Base de Grupos'!$J:$J)</f>
        <v>1000105900</v>
      </c>
      <c r="I291" s="2" t="str">
        <f>_xlfn.XLOOKUP($N291,'Base de Grupos'!$A:$A,'Base de Grupos'!$K:$K)</f>
        <v>REGIONAL VENDA DIRETA CO + NE + NO</v>
      </c>
      <c r="J291" s="2" t="str">
        <f>_xlfn.XLOOKUP($N291,'Base de Grupos'!$A:$A,'Base de Grupos'!$L:$L)</f>
        <v>1000150135</v>
      </c>
      <c r="K291" s="5" t="str">
        <f>_xlfn.XLOOKUP($N291,'Base de Grupos'!$A:$A,'Base de Grupos'!$M:$M)</f>
        <v>HELDER DA SILVA BRUNKOW</v>
      </c>
      <c r="L291" s="5">
        <f t="shared" si="125"/>
        <v>1</v>
      </c>
      <c r="M291" s="5" t="str">
        <f>_xlfn.XLOOKUP($N291,'Base de Grupos'!$A:$A,'Base de Grupos'!$C:$C)</f>
        <v>MT</v>
      </c>
      <c r="N291" s="3">
        <v>1354</v>
      </c>
      <c r="O291" s="4" t="s">
        <v>240</v>
      </c>
      <c r="P291" s="5" t="s">
        <v>310</v>
      </c>
      <c r="Q291" s="24">
        <v>0</v>
      </c>
      <c r="R291" s="24">
        <v>0</v>
      </c>
      <c r="S291" s="24">
        <v>0</v>
      </c>
      <c r="T291" s="24">
        <v>0</v>
      </c>
      <c r="U291" s="24">
        <v>0</v>
      </c>
      <c r="V291" s="24">
        <v>0</v>
      </c>
      <c r="W291" s="24">
        <v>0</v>
      </c>
      <c r="X291" s="24">
        <v>0</v>
      </c>
      <c r="Y291" s="24">
        <v>0</v>
      </c>
      <c r="Z291" s="24">
        <v>0</v>
      </c>
      <c r="AA291" s="24">
        <v>0</v>
      </c>
      <c r="AB291" s="24">
        <v>0</v>
      </c>
      <c r="AC291" s="30">
        <f t="shared" si="139"/>
        <v>0</v>
      </c>
      <c r="AD291" s="25">
        <f t="shared" ref="AD291:AI291" si="140">SUM(AD292:AD308)</f>
        <v>0</v>
      </c>
      <c r="AE291" s="25">
        <f t="shared" si="140"/>
        <v>0</v>
      </c>
      <c r="AF291" s="11" t="str">
        <f t="shared" si="126"/>
        <v/>
      </c>
      <c r="AG291" s="24">
        <f t="shared" si="140"/>
        <v>0</v>
      </c>
      <c r="AH291" s="25">
        <f t="shared" si="140"/>
        <v>0</v>
      </c>
      <c r="AI291" s="24">
        <f t="shared" si="140"/>
        <v>0</v>
      </c>
      <c r="AJ291" s="11" t="str">
        <f t="shared" si="127"/>
        <v/>
      </c>
      <c r="AK291" s="9"/>
      <c r="AL291" s="13"/>
      <c r="AM291" s="9"/>
    </row>
    <row r="292" spans="1:39" x14ac:dyDescent="0.3">
      <c r="A292" s="2" t="str">
        <f t="shared" si="124"/>
        <v>NÃO</v>
      </c>
      <c r="B292" s="2" t="str">
        <f>_xlfn.XLOOKUP($N292,'Base de Grupos'!$A:$A,'Base de Grupos'!$D:$D)</f>
        <v>1000065763</v>
      </c>
      <c r="C292" s="5" t="str">
        <f>_xlfn.XLOOKUP($N292,'Base de Grupos'!$A:$A,'Base de Grupos'!$E:$E)</f>
        <v>CANAL VENDA INTERNA</v>
      </c>
      <c r="D292" s="5" t="str">
        <f>_xlfn.XLOOKUP($N292,'Base de Grupos'!$A:$A,'Base de Grupos'!$F:$F)</f>
        <v>1000065763</v>
      </c>
      <c r="E292" s="2" t="str">
        <f>_xlfn.XLOOKUP($N292,'Base de Grupos'!$A:$A,'Base de Grupos'!$G:$G)</f>
        <v>CANAL VENDA INTERNA</v>
      </c>
      <c r="F292" s="2" t="str">
        <f>_xlfn.XLOOKUP($N292,'Base de Grupos'!$A:$A,'Base de Grupos'!$H:$H)</f>
        <v>1000105900</v>
      </c>
      <c r="G292" s="5" t="str">
        <f>_xlfn.XLOOKUP($N292,'Base de Grupos'!$A:$A,'Base de Grupos'!$I:$I)</f>
        <v>REGIONAL VENDA DIRETA CO + NE + NO</v>
      </c>
      <c r="H292" s="5" t="str">
        <f>_xlfn.XLOOKUP($N292,'Base de Grupos'!$A:$A,'Base de Grupos'!$J:$J)</f>
        <v>1000105900</v>
      </c>
      <c r="I292" s="2" t="str">
        <f>_xlfn.XLOOKUP($N292,'Base de Grupos'!$A:$A,'Base de Grupos'!$K:$K)</f>
        <v>REGIONAL VENDA DIRETA CO + NE + NO</v>
      </c>
      <c r="J292" s="2" t="str">
        <f>_xlfn.XLOOKUP($N292,'Base de Grupos'!$A:$A,'Base de Grupos'!$L:$L)</f>
        <v>1000150135</v>
      </c>
      <c r="K292" s="5" t="str">
        <f>_xlfn.XLOOKUP($N292,'Base de Grupos'!$A:$A,'Base de Grupos'!$M:$M)</f>
        <v>HELDER DA SILVA BRUNKOW</v>
      </c>
      <c r="L292" s="5" t="str">
        <f t="shared" si="125"/>
        <v/>
      </c>
      <c r="M292" s="5" t="str">
        <f>_xlfn.XLOOKUP($N292,'Base de Grupos'!$A:$A,'Base de Grupos'!$C:$C)</f>
        <v>MT</v>
      </c>
      <c r="N292" s="3">
        <v>1354</v>
      </c>
      <c r="O292" s="4" t="s">
        <v>240</v>
      </c>
      <c r="P292" s="5" t="s">
        <v>81</v>
      </c>
      <c r="Q292" s="24">
        <v>0</v>
      </c>
      <c r="R292" s="24">
        <v>0</v>
      </c>
      <c r="S292" s="24">
        <v>0</v>
      </c>
      <c r="T292" s="24">
        <v>0</v>
      </c>
      <c r="U292" s="24">
        <v>0</v>
      </c>
      <c r="V292" s="24">
        <v>0</v>
      </c>
      <c r="W292" s="24">
        <v>0</v>
      </c>
      <c r="X292" s="24">
        <v>0</v>
      </c>
      <c r="Y292" s="24">
        <v>0</v>
      </c>
      <c r="Z292" s="24">
        <v>0</v>
      </c>
      <c r="AA292" s="24">
        <v>0</v>
      </c>
      <c r="AB292" s="24">
        <v>0</v>
      </c>
      <c r="AC292" s="30">
        <f t="shared" si="139"/>
        <v>0</v>
      </c>
      <c r="AD292" s="27">
        <f t="shared" ref="AD292:AD308" si="141">IF(AC292=0,0,AC292-AG292)</f>
        <v>0</v>
      </c>
      <c r="AE292" s="25">
        <f>IFERROR(_xlfn.XLOOKUP(N292&amp;P292,'Historico Vendas'!G:G,'Historico Vendas'!E:E),0)</f>
        <v>0</v>
      </c>
      <c r="AF292" s="29" t="str">
        <f t="shared" si="126"/>
        <v/>
      </c>
      <c r="AG292" s="24">
        <f>IFERROR(_xlfn.XLOOKUP(N292&amp;P292,'Historico Vendas'!G:G,'Historico Vendas'!F:F),0)</f>
        <v>0</v>
      </c>
      <c r="AH292" s="25">
        <f t="shared" ref="AH292:AH308" si="142">SUM(Q292:S292)</f>
        <v>0</v>
      </c>
      <c r="AI292" s="24">
        <f t="shared" ref="AI292:AI308" si="143">AH292-AG292</f>
        <v>0</v>
      </c>
      <c r="AJ292" s="11" t="str">
        <f t="shared" si="127"/>
        <v/>
      </c>
      <c r="AK292" s="9" t="s">
        <v>102</v>
      </c>
      <c r="AL292" s="13">
        <f>IFERROR(INDEX('Balizador da Meta'!$D$3:$F$23,MATCH(Quantidade!$P292,'Balizador da Meta'!$C$3:$C$23,0),MATCH(Quantidade!AK292,'Balizador da Meta'!$D$2:$F$2,0)),"")</f>
        <v>0.2</v>
      </c>
      <c r="AM292" s="9"/>
    </row>
    <row r="293" spans="1:39" x14ac:dyDescent="0.3">
      <c r="A293" s="2" t="str">
        <f t="shared" si="124"/>
        <v>NÃO</v>
      </c>
      <c r="B293" s="2" t="str">
        <f>_xlfn.XLOOKUP($N293,'Base de Grupos'!$A:$A,'Base de Grupos'!$D:$D)</f>
        <v>1000065763</v>
      </c>
      <c r="C293" s="5" t="str">
        <f>_xlfn.XLOOKUP($N293,'Base de Grupos'!$A:$A,'Base de Grupos'!$E:$E)</f>
        <v>CANAL VENDA INTERNA</v>
      </c>
      <c r="D293" s="5" t="str">
        <f>_xlfn.XLOOKUP($N293,'Base de Grupos'!$A:$A,'Base de Grupos'!$F:$F)</f>
        <v>1000065763</v>
      </c>
      <c r="E293" s="2" t="str">
        <f>_xlfn.XLOOKUP($N293,'Base de Grupos'!$A:$A,'Base de Grupos'!$G:$G)</f>
        <v>CANAL VENDA INTERNA</v>
      </c>
      <c r="F293" s="2" t="str">
        <f>_xlfn.XLOOKUP($N293,'Base de Grupos'!$A:$A,'Base de Grupos'!$H:$H)</f>
        <v>1000105900</v>
      </c>
      <c r="G293" s="5" t="str">
        <f>_xlfn.XLOOKUP($N293,'Base de Grupos'!$A:$A,'Base de Grupos'!$I:$I)</f>
        <v>REGIONAL VENDA DIRETA CO + NE + NO</v>
      </c>
      <c r="H293" s="5" t="str">
        <f>_xlfn.XLOOKUP($N293,'Base de Grupos'!$A:$A,'Base de Grupos'!$J:$J)</f>
        <v>1000105900</v>
      </c>
      <c r="I293" s="2" t="str">
        <f>_xlfn.XLOOKUP($N293,'Base de Grupos'!$A:$A,'Base de Grupos'!$K:$K)</f>
        <v>REGIONAL VENDA DIRETA CO + NE + NO</v>
      </c>
      <c r="J293" s="2" t="str">
        <f>_xlfn.XLOOKUP($N293,'Base de Grupos'!$A:$A,'Base de Grupos'!$L:$L)</f>
        <v>1000150135</v>
      </c>
      <c r="K293" s="5" t="str">
        <f>_xlfn.XLOOKUP($N293,'Base de Grupos'!$A:$A,'Base de Grupos'!$M:$M)</f>
        <v>HELDER DA SILVA BRUNKOW</v>
      </c>
      <c r="L293" s="5" t="str">
        <f t="shared" si="125"/>
        <v/>
      </c>
      <c r="M293" s="5" t="str">
        <f>_xlfn.XLOOKUP($N293,'Base de Grupos'!$A:$A,'Base de Grupos'!$C:$C)</f>
        <v>MT</v>
      </c>
      <c r="N293" s="3">
        <v>1354</v>
      </c>
      <c r="O293" s="4" t="s">
        <v>240</v>
      </c>
      <c r="P293" s="5" t="s">
        <v>82</v>
      </c>
      <c r="Q293" s="24">
        <v>0</v>
      </c>
      <c r="R293" s="24">
        <v>0</v>
      </c>
      <c r="S293" s="24">
        <v>0</v>
      </c>
      <c r="T293" s="24">
        <v>0</v>
      </c>
      <c r="U293" s="24">
        <v>0</v>
      </c>
      <c r="V293" s="24">
        <v>0</v>
      </c>
      <c r="W293" s="24">
        <v>0</v>
      </c>
      <c r="X293" s="24">
        <v>0</v>
      </c>
      <c r="Y293" s="24">
        <v>0</v>
      </c>
      <c r="Z293" s="24">
        <v>0</v>
      </c>
      <c r="AA293" s="24">
        <v>0</v>
      </c>
      <c r="AB293" s="24">
        <v>0</v>
      </c>
      <c r="AC293" s="30">
        <f t="shared" si="139"/>
        <v>0</v>
      </c>
      <c r="AD293" s="27">
        <f t="shared" si="141"/>
        <v>0</v>
      </c>
      <c r="AE293" s="25">
        <f>IFERROR(_xlfn.XLOOKUP(N293&amp;P293,'Historico Vendas'!G:G,'Historico Vendas'!E:E),0)</f>
        <v>0</v>
      </c>
      <c r="AF293" s="29" t="str">
        <f t="shared" si="126"/>
        <v/>
      </c>
      <c r="AG293" s="24">
        <f>IFERROR(_xlfn.XLOOKUP(N293&amp;P293,'Historico Vendas'!G:G,'Historico Vendas'!F:F),0)</f>
        <v>0</v>
      </c>
      <c r="AH293" s="25">
        <f t="shared" si="142"/>
        <v>0</v>
      </c>
      <c r="AI293" s="24">
        <f t="shared" si="143"/>
        <v>0</v>
      </c>
      <c r="AJ293" s="11" t="str">
        <f t="shared" si="127"/>
        <v/>
      </c>
      <c r="AK293" s="9" t="s">
        <v>102</v>
      </c>
      <c r="AL293" s="13">
        <f>IFERROR(INDEX('Balizador da Meta'!$D$3:$F$23,MATCH(Quantidade!$P293,'Balizador da Meta'!$C$3:$C$23,0),MATCH(Quantidade!AK293,'Balizador da Meta'!$D$2:$F$2,0)),"")</f>
        <v>0.2</v>
      </c>
      <c r="AM293" s="9"/>
    </row>
    <row r="294" spans="1:39" x14ac:dyDescent="0.3">
      <c r="A294" s="2" t="str">
        <f t="shared" si="124"/>
        <v>NÃO</v>
      </c>
      <c r="B294" s="2" t="str">
        <f>_xlfn.XLOOKUP($N294,'Base de Grupos'!$A:$A,'Base de Grupos'!$D:$D)</f>
        <v>1000065763</v>
      </c>
      <c r="C294" s="5" t="str">
        <f>_xlfn.XLOOKUP($N294,'Base de Grupos'!$A:$A,'Base de Grupos'!$E:$E)</f>
        <v>CANAL VENDA INTERNA</v>
      </c>
      <c r="D294" s="5" t="str">
        <f>_xlfn.XLOOKUP($N294,'Base de Grupos'!$A:$A,'Base de Grupos'!$F:$F)</f>
        <v>1000065763</v>
      </c>
      <c r="E294" s="2" t="str">
        <f>_xlfn.XLOOKUP($N294,'Base de Grupos'!$A:$A,'Base de Grupos'!$G:$G)</f>
        <v>CANAL VENDA INTERNA</v>
      </c>
      <c r="F294" s="2" t="str">
        <f>_xlfn.XLOOKUP($N294,'Base de Grupos'!$A:$A,'Base de Grupos'!$H:$H)</f>
        <v>1000105900</v>
      </c>
      <c r="G294" s="5" t="str">
        <f>_xlfn.XLOOKUP($N294,'Base de Grupos'!$A:$A,'Base de Grupos'!$I:$I)</f>
        <v>REGIONAL VENDA DIRETA CO + NE + NO</v>
      </c>
      <c r="H294" s="5" t="str">
        <f>_xlfn.XLOOKUP($N294,'Base de Grupos'!$A:$A,'Base de Grupos'!$J:$J)</f>
        <v>1000105900</v>
      </c>
      <c r="I294" s="2" t="str">
        <f>_xlfn.XLOOKUP($N294,'Base de Grupos'!$A:$A,'Base de Grupos'!$K:$K)</f>
        <v>REGIONAL VENDA DIRETA CO + NE + NO</v>
      </c>
      <c r="J294" s="2" t="str">
        <f>_xlfn.XLOOKUP($N294,'Base de Grupos'!$A:$A,'Base de Grupos'!$L:$L)</f>
        <v>1000150135</v>
      </c>
      <c r="K294" s="5" t="str">
        <f>_xlfn.XLOOKUP($N294,'Base de Grupos'!$A:$A,'Base de Grupos'!$M:$M)</f>
        <v>HELDER DA SILVA BRUNKOW</v>
      </c>
      <c r="L294" s="5" t="str">
        <f t="shared" si="125"/>
        <v/>
      </c>
      <c r="M294" s="5" t="str">
        <f>_xlfn.XLOOKUP($N294,'Base de Grupos'!$A:$A,'Base de Grupos'!$C:$C)</f>
        <v>MT</v>
      </c>
      <c r="N294" s="3">
        <v>1354</v>
      </c>
      <c r="O294" s="4" t="s">
        <v>240</v>
      </c>
      <c r="P294" s="5" t="s">
        <v>84</v>
      </c>
      <c r="Q294" s="24">
        <v>0</v>
      </c>
      <c r="R294" s="24">
        <v>0</v>
      </c>
      <c r="S294" s="24">
        <v>0</v>
      </c>
      <c r="T294" s="24">
        <v>0</v>
      </c>
      <c r="U294" s="24">
        <v>0</v>
      </c>
      <c r="V294" s="24">
        <v>0</v>
      </c>
      <c r="W294" s="24">
        <v>0</v>
      </c>
      <c r="X294" s="24">
        <v>0</v>
      </c>
      <c r="Y294" s="24">
        <v>0</v>
      </c>
      <c r="Z294" s="24">
        <v>0</v>
      </c>
      <c r="AA294" s="24">
        <v>0</v>
      </c>
      <c r="AB294" s="24">
        <v>0</v>
      </c>
      <c r="AC294" s="30">
        <f t="shared" si="139"/>
        <v>0</v>
      </c>
      <c r="AD294" s="27">
        <f t="shared" si="141"/>
        <v>0</v>
      </c>
      <c r="AE294" s="25">
        <f>IFERROR(_xlfn.XLOOKUP(N294&amp;P294,'Historico Vendas'!G:G,'Historico Vendas'!E:E),0)</f>
        <v>0</v>
      </c>
      <c r="AF294" s="29" t="str">
        <f t="shared" si="126"/>
        <v/>
      </c>
      <c r="AG294" s="24">
        <f>IFERROR(_xlfn.XLOOKUP(N294&amp;P294,'Historico Vendas'!G:G,'Historico Vendas'!F:F),0)</f>
        <v>0</v>
      </c>
      <c r="AH294" s="25">
        <f t="shared" si="142"/>
        <v>0</v>
      </c>
      <c r="AI294" s="24">
        <f t="shared" si="143"/>
        <v>0</v>
      </c>
      <c r="AJ294" s="11" t="str">
        <f t="shared" si="127"/>
        <v/>
      </c>
      <c r="AK294" s="9" t="s">
        <v>102</v>
      </c>
      <c r="AL294" s="13">
        <f>IFERROR(INDEX('Balizador da Meta'!$D$3:$F$23,MATCH(Quantidade!$P294,'Balizador da Meta'!$C$3:$C$23,0),MATCH(Quantidade!AK294,'Balizador da Meta'!$D$2:$F$2,0)),"")</f>
        <v>0.15</v>
      </c>
      <c r="AM294" s="9"/>
    </row>
    <row r="295" spans="1:39" x14ac:dyDescent="0.3">
      <c r="A295" s="2" t="str">
        <f t="shared" si="124"/>
        <v>NÃO</v>
      </c>
      <c r="B295" s="2" t="str">
        <f>_xlfn.XLOOKUP($N295,'Base de Grupos'!$A:$A,'Base de Grupos'!$D:$D)</f>
        <v>1000065763</v>
      </c>
      <c r="C295" s="5" t="str">
        <f>_xlfn.XLOOKUP($N295,'Base de Grupos'!$A:$A,'Base de Grupos'!$E:$E)</f>
        <v>CANAL VENDA INTERNA</v>
      </c>
      <c r="D295" s="5" t="str">
        <f>_xlfn.XLOOKUP($N295,'Base de Grupos'!$A:$A,'Base de Grupos'!$F:$F)</f>
        <v>1000065763</v>
      </c>
      <c r="E295" s="2" t="str">
        <f>_xlfn.XLOOKUP($N295,'Base de Grupos'!$A:$A,'Base de Grupos'!$G:$G)</f>
        <v>CANAL VENDA INTERNA</v>
      </c>
      <c r="F295" s="2" t="str">
        <f>_xlfn.XLOOKUP($N295,'Base de Grupos'!$A:$A,'Base de Grupos'!$H:$H)</f>
        <v>1000105900</v>
      </c>
      <c r="G295" s="5" t="str">
        <f>_xlfn.XLOOKUP($N295,'Base de Grupos'!$A:$A,'Base de Grupos'!$I:$I)</f>
        <v>REGIONAL VENDA DIRETA CO + NE + NO</v>
      </c>
      <c r="H295" s="5" t="str">
        <f>_xlfn.XLOOKUP($N295,'Base de Grupos'!$A:$A,'Base de Grupos'!$J:$J)</f>
        <v>1000105900</v>
      </c>
      <c r="I295" s="2" t="str">
        <f>_xlfn.XLOOKUP($N295,'Base de Grupos'!$A:$A,'Base de Grupos'!$K:$K)</f>
        <v>REGIONAL VENDA DIRETA CO + NE + NO</v>
      </c>
      <c r="J295" s="2" t="str">
        <f>_xlfn.XLOOKUP($N295,'Base de Grupos'!$A:$A,'Base de Grupos'!$L:$L)</f>
        <v>1000150135</v>
      </c>
      <c r="K295" s="5" t="str">
        <f>_xlfn.XLOOKUP($N295,'Base de Grupos'!$A:$A,'Base de Grupos'!$M:$M)</f>
        <v>HELDER DA SILVA BRUNKOW</v>
      </c>
      <c r="L295" s="5" t="str">
        <f t="shared" si="125"/>
        <v/>
      </c>
      <c r="M295" s="5" t="str">
        <f>_xlfn.XLOOKUP($N295,'Base de Grupos'!$A:$A,'Base de Grupos'!$C:$C)</f>
        <v>MT</v>
      </c>
      <c r="N295" s="3">
        <v>1354</v>
      </c>
      <c r="O295" s="4" t="s">
        <v>240</v>
      </c>
      <c r="P295" s="5" t="s">
        <v>83</v>
      </c>
      <c r="Q295" s="24">
        <v>0</v>
      </c>
      <c r="R295" s="24">
        <v>0</v>
      </c>
      <c r="S295" s="24">
        <v>0</v>
      </c>
      <c r="T295" s="24">
        <v>0</v>
      </c>
      <c r="U295" s="24">
        <v>0</v>
      </c>
      <c r="V295" s="24">
        <v>0</v>
      </c>
      <c r="W295" s="24">
        <v>0</v>
      </c>
      <c r="X295" s="24">
        <v>0</v>
      </c>
      <c r="Y295" s="24">
        <v>0</v>
      </c>
      <c r="Z295" s="24">
        <v>0</v>
      </c>
      <c r="AA295" s="24">
        <v>0</v>
      </c>
      <c r="AB295" s="24">
        <v>0</v>
      </c>
      <c r="AC295" s="30">
        <f t="shared" si="139"/>
        <v>0</v>
      </c>
      <c r="AD295" s="27">
        <f t="shared" si="141"/>
        <v>0</v>
      </c>
      <c r="AE295" s="25">
        <f>IFERROR(_xlfn.XLOOKUP(N295&amp;P295,'Historico Vendas'!G:G,'Historico Vendas'!E:E),0)</f>
        <v>0</v>
      </c>
      <c r="AF295" s="29" t="str">
        <f t="shared" si="126"/>
        <v/>
      </c>
      <c r="AG295" s="24">
        <f>IFERROR(_xlfn.XLOOKUP(N295&amp;P295,'Historico Vendas'!G:G,'Historico Vendas'!F:F),0)</f>
        <v>0</v>
      </c>
      <c r="AH295" s="25">
        <f t="shared" si="142"/>
        <v>0</v>
      </c>
      <c r="AI295" s="24">
        <f t="shared" si="143"/>
        <v>0</v>
      </c>
      <c r="AJ295" s="11" t="str">
        <f t="shared" si="127"/>
        <v/>
      </c>
      <c r="AK295" s="9" t="s">
        <v>102</v>
      </c>
      <c r="AL295" s="13">
        <f>IFERROR(INDEX('Balizador da Meta'!$D$3:$F$23,MATCH(Quantidade!$P295,'Balizador da Meta'!$C$3:$C$23,0),MATCH(Quantidade!AK295,'Balizador da Meta'!$D$2:$F$2,0)),"")</f>
        <v>0</v>
      </c>
      <c r="AM295" s="9"/>
    </row>
    <row r="296" spans="1:39" x14ac:dyDescent="0.3">
      <c r="A296" s="2" t="str">
        <f t="shared" si="124"/>
        <v>NÃO</v>
      </c>
      <c r="B296" s="2" t="str">
        <f>_xlfn.XLOOKUP($N296,'Base de Grupos'!$A:$A,'Base de Grupos'!$D:$D)</f>
        <v>1000065763</v>
      </c>
      <c r="C296" s="5" t="str">
        <f>_xlfn.XLOOKUP($N296,'Base de Grupos'!$A:$A,'Base de Grupos'!$E:$E)</f>
        <v>CANAL VENDA INTERNA</v>
      </c>
      <c r="D296" s="5" t="str">
        <f>_xlfn.XLOOKUP($N296,'Base de Grupos'!$A:$A,'Base de Grupos'!$F:$F)</f>
        <v>1000065763</v>
      </c>
      <c r="E296" s="2" t="str">
        <f>_xlfn.XLOOKUP($N296,'Base de Grupos'!$A:$A,'Base de Grupos'!$G:$G)</f>
        <v>CANAL VENDA INTERNA</v>
      </c>
      <c r="F296" s="2" t="str">
        <f>_xlfn.XLOOKUP($N296,'Base de Grupos'!$A:$A,'Base de Grupos'!$H:$H)</f>
        <v>1000105900</v>
      </c>
      <c r="G296" s="5" t="str">
        <f>_xlfn.XLOOKUP($N296,'Base de Grupos'!$A:$A,'Base de Grupos'!$I:$I)</f>
        <v>REGIONAL VENDA DIRETA CO + NE + NO</v>
      </c>
      <c r="H296" s="5" t="str">
        <f>_xlfn.XLOOKUP($N296,'Base de Grupos'!$A:$A,'Base de Grupos'!$J:$J)</f>
        <v>1000105900</v>
      </c>
      <c r="I296" s="2" t="str">
        <f>_xlfn.XLOOKUP($N296,'Base de Grupos'!$A:$A,'Base de Grupos'!$K:$K)</f>
        <v>REGIONAL VENDA DIRETA CO + NE + NO</v>
      </c>
      <c r="J296" s="2" t="str">
        <f>_xlfn.XLOOKUP($N296,'Base de Grupos'!$A:$A,'Base de Grupos'!$L:$L)</f>
        <v>1000150135</v>
      </c>
      <c r="K296" s="5" t="str">
        <f>_xlfn.XLOOKUP($N296,'Base de Grupos'!$A:$A,'Base de Grupos'!$M:$M)</f>
        <v>HELDER DA SILVA BRUNKOW</v>
      </c>
      <c r="L296" s="5" t="str">
        <f t="shared" si="125"/>
        <v/>
      </c>
      <c r="M296" s="5" t="str">
        <f>_xlfn.XLOOKUP($N296,'Base de Grupos'!$A:$A,'Base de Grupos'!$C:$C)</f>
        <v>MT</v>
      </c>
      <c r="N296" s="3">
        <v>1354</v>
      </c>
      <c r="O296" s="4" t="s">
        <v>240</v>
      </c>
      <c r="P296" s="5" t="s">
        <v>87</v>
      </c>
      <c r="Q296" s="24">
        <v>0</v>
      </c>
      <c r="R296" s="24">
        <v>0</v>
      </c>
      <c r="S296" s="24">
        <v>0</v>
      </c>
      <c r="T296" s="24">
        <v>0</v>
      </c>
      <c r="U296" s="24">
        <v>0</v>
      </c>
      <c r="V296" s="24">
        <v>0</v>
      </c>
      <c r="W296" s="24">
        <v>0</v>
      </c>
      <c r="X296" s="24">
        <v>0</v>
      </c>
      <c r="Y296" s="24">
        <v>0</v>
      </c>
      <c r="Z296" s="24">
        <v>0</v>
      </c>
      <c r="AA296" s="24">
        <v>0</v>
      </c>
      <c r="AB296" s="24">
        <v>0</v>
      </c>
      <c r="AC296" s="30">
        <f t="shared" si="139"/>
        <v>0</v>
      </c>
      <c r="AD296" s="27">
        <f t="shared" si="141"/>
        <v>0</v>
      </c>
      <c r="AE296" s="25">
        <f>IFERROR(_xlfn.XLOOKUP(N296&amp;P296,'Historico Vendas'!G:G,'Historico Vendas'!E:E),0)</f>
        <v>0</v>
      </c>
      <c r="AF296" s="29" t="str">
        <f t="shared" si="126"/>
        <v/>
      </c>
      <c r="AG296" s="24">
        <f>IFERROR(_xlfn.XLOOKUP(N296&amp;P296,'Historico Vendas'!G:G,'Historico Vendas'!F:F),0)</f>
        <v>0</v>
      </c>
      <c r="AH296" s="25">
        <f t="shared" si="142"/>
        <v>0</v>
      </c>
      <c r="AI296" s="24">
        <f t="shared" si="143"/>
        <v>0</v>
      </c>
      <c r="AJ296" s="11" t="str">
        <f t="shared" si="127"/>
        <v/>
      </c>
      <c r="AK296" s="9" t="s">
        <v>102</v>
      </c>
      <c r="AL296" s="13">
        <f>IFERROR(INDEX('Balizador da Meta'!$D$3:$F$23,MATCH(Quantidade!$P296,'Balizador da Meta'!$C$3:$C$23,0),MATCH(Quantidade!AK296,'Balizador da Meta'!$D$2:$F$2,0)),"")</f>
        <v>0</v>
      </c>
      <c r="AM296" s="9"/>
    </row>
    <row r="297" spans="1:39" x14ac:dyDescent="0.3">
      <c r="A297" s="2" t="str">
        <f t="shared" si="124"/>
        <v>NÃO</v>
      </c>
      <c r="B297" s="2" t="str">
        <f>_xlfn.XLOOKUP($N297,'Base de Grupos'!$A:$A,'Base de Grupos'!$D:$D)</f>
        <v>1000065763</v>
      </c>
      <c r="C297" s="5" t="str">
        <f>_xlfn.XLOOKUP($N297,'Base de Grupos'!$A:$A,'Base de Grupos'!$E:$E)</f>
        <v>CANAL VENDA INTERNA</v>
      </c>
      <c r="D297" s="5" t="str">
        <f>_xlfn.XLOOKUP($N297,'Base de Grupos'!$A:$A,'Base de Grupos'!$F:$F)</f>
        <v>1000065763</v>
      </c>
      <c r="E297" s="2" t="str">
        <f>_xlfn.XLOOKUP($N297,'Base de Grupos'!$A:$A,'Base de Grupos'!$G:$G)</f>
        <v>CANAL VENDA INTERNA</v>
      </c>
      <c r="F297" s="2" t="str">
        <f>_xlfn.XLOOKUP($N297,'Base de Grupos'!$A:$A,'Base de Grupos'!$H:$H)</f>
        <v>1000105900</v>
      </c>
      <c r="G297" s="5" t="str">
        <f>_xlfn.XLOOKUP($N297,'Base de Grupos'!$A:$A,'Base de Grupos'!$I:$I)</f>
        <v>REGIONAL VENDA DIRETA CO + NE + NO</v>
      </c>
      <c r="H297" s="5" t="str">
        <f>_xlfn.XLOOKUP($N297,'Base de Grupos'!$A:$A,'Base de Grupos'!$J:$J)</f>
        <v>1000105900</v>
      </c>
      <c r="I297" s="2" t="str">
        <f>_xlfn.XLOOKUP($N297,'Base de Grupos'!$A:$A,'Base de Grupos'!$K:$K)</f>
        <v>REGIONAL VENDA DIRETA CO + NE + NO</v>
      </c>
      <c r="J297" s="2" t="str">
        <f>_xlfn.XLOOKUP($N297,'Base de Grupos'!$A:$A,'Base de Grupos'!$L:$L)</f>
        <v>1000150135</v>
      </c>
      <c r="K297" s="5" t="str">
        <f>_xlfn.XLOOKUP($N297,'Base de Grupos'!$A:$A,'Base de Grupos'!$M:$M)</f>
        <v>HELDER DA SILVA BRUNKOW</v>
      </c>
      <c r="L297" s="5" t="str">
        <f t="shared" si="125"/>
        <v/>
      </c>
      <c r="M297" s="5" t="str">
        <f>_xlfn.XLOOKUP($N297,'Base de Grupos'!$A:$A,'Base de Grupos'!$C:$C)</f>
        <v>MT</v>
      </c>
      <c r="N297" s="3">
        <v>1354</v>
      </c>
      <c r="O297" s="4" t="s">
        <v>240</v>
      </c>
      <c r="P297" s="5" t="s">
        <v>85</v>
      </c>
      <c r="Q297" s="24">
        <v>0</v>
      </c>
      <c r="R297" s="24">
        <v>0</v>
      </c>
      <c r="S297" s="24">
        <v>0</v>
      </c>
      <c r="T297" s="24">
        <v>0</v>
      </c>
      <c r="U297" s="24">
        <v>0</v>
      </c>
      <c r="V297" s="24">
        <v>0</v>
      </c>
      <c r="W297" s="24">
        <v>0</v>
      </c>
      <c r="X297" s="24">
        <v>0</v>
      </c>
      <c r="Y297" s="24">
        <v>0</v>
      </c>
      <c r="Z297" s="24">
        <v>0</v>
      </c>
      <c r="AA297" s="24">
        <v>0</v>
      </c>
      <c r="AB297" s="24">
        <v>0</v>
      </c>
      <c r="AC297" s="30">
        <f t="shared" si="139"/>
        <v>0</v>
      </c>
      <c r="AD297" s="27">
        <f t="shared" si="141"/>
        <v>0</v>
      </c>
      <c r="AE297" s="25">
        <f>IFERROR(_xlfn.XLOOKUP(N297&amp;P297,'Historico Vendas'!G:G,'Historico Vendas'!E:E),0)</f>
        <v>0</v>
      </c>
      <c r="AF297" s="29" t="str">
        <f t="shared" si="126"/>
        <v/>
      </c>
      <c r="AG297" s="24">
        <f>IFERROR(_xlfn.XLOOKUP(N297&amp;P297,'Historico Vendas'!G:G,'Historico Vendas'!F:F),0)</f>
        <v>0</v>
      </c>
      <c r="AH297" s="25">
        <f t="shared" si="142"/>
        <v>0</v>
      </c>
      <c r="AI297" s="24">
        <f t="shared" si="143"/>
        <v>0</v>
      </c>
      <c r="AJ297" s="11" t="str">
        <f t="shared" si="127"/>
        <v/>
      </c>
      <c r="AK297" s="9" t="s">
        <v>102</v>
      </c>
      <c r="AL297" s="13">
        <f>IFERROR(INDEX('Balizador da Meta'!$D$3:$F$23,MATCH(Quantidade!$P297,'Balizador da Meta'!$C$3:$C$23,0),MATCH(Quantidade!AK297,'Balizador da Meta'!$D$2:$F$2,0)),"")</f>
        <v>0</v>
      </c>
      <c r="AM297" s="9"/>
    </row>
    <row r="298" spans="1:39" x14ac:dyDescent="0.3">
      <c r="A298" s="2" t="str">
        <f t="shared" si="124"/>
        <v>NÃO</v>
      </c>
      <c r="B298" s="2" t="str">
        <f>_xlfn.XLOOKUP($N298,'Base de Grupos'!$A:$A,'Base de Grupos'!$D:$D)</f>
        <v>1000065763</v>
      </c>
      <c r="C298" s="5" t="str">
        <f>_xlfn.XLOOKUP($N298,'Base de Grupos'!$A:$A,'Base de Grupos'!$E:$E)</f>
        <v>CANAL VENDA INTERNA</v>
      </c>
      <c r="D298" s="5" t="str">
        <f>_xlfn.XLOOKUP($N298,'Base de Grupos'!$A:$A,'Base de Grupos'!$F:$F)</f>
        <v>1000065763</v>
      </c>
      <c r="E298" s="2" t="str">
        <f>_xlfn.XLOOKUP($N298,'Base de Grupos'!$A:$A,'Base de Grupos'!$G:$G)</f>
        <v>CANAL VENDA INTERNA</v>
      </c>
      <c r="F298" s="2" t="str">
        <f>_xlfn.XLOOKUP($N298,'Base de Grupos'!$A:$A,'Base de Grupos'!$H:$H)</f>
        <v>1000105900</v>
      </c>
      <c r="G298" s="5" t="str">
        <f>_xlfn.XLOOKUP($N298,'Base de Grupos'!$A:$A,'Base de Grupos'!$I:$I)</f>
        <v>REGIONAL VENDA DIRETA CO + NE + NO</v>
      </c>
      <c r="H298" s="5" t="str">
        <f>_xlfn.XLOOKUP($N298,'Base de Grupos'!$A:$A,'Base de Grupos'!$J:$J)</f>
        <v>1000105900</v>
      </c>
      <c r="I298" s="2" t="str">
        <f>_xlfn.XLOOKUP($N298,'Base de Grupos'!$A:$A,'Base de Grupos'!$K:$K)</f>
        <v>REGIONAL VENDA DIRETA CO + NE + NO</v>
      </c>
      <c r="J298" s="2" t="str">
        <f>_xlfn.XLOOKUP($N298,'Base de Grupos'!$A:$A,'Base de Grupos'!$L:$L)</f>
        <v>1000150135</v>
      </c>
      <c r="K298" s="5" t="str">
        <f>_xlfn.XLOOKUP($N298,'Base de Grupos'!$A:$A,'Base de Grupos'!$M:$M)</f>
        <v>HELDER DA SILVA BRUNKOW</v>
      </c>
      <c r="L298" s="5" t="str">
        <f t="shared" si="125"/>
        <v/>
      </c>
      <c r="M298" s="5" t="str">
        <f>_xlfn.XLOOKUP($N298,'Base de Grupos'!$A:$A,'Base de Grupos'!$C:$C)</f>
        <v>MT</v>
      </c>
      <c r="N298" s="3">
        <v>1354</v>
      </c>
      <c r="O298" s="4" t="s">
        <v>240</v>
      </c>
      <c r="P298" s="5" t="s">
        <v>92</v>
      </c>
      <c r="Q298" s="24">
        <v>0</v>
      </c>
      <c r="R298" s="24">
        <v>0</v>
      </c>
      <c r="S298" s="24">
        <v>0</v>
      </c>
      <c r="T298" s="24">
        <v>0</v>
      </c>
      <c r="U298" s="24">
        <v>0</v>
      </c>
      <c r="V298" s="24">
        <v>0</v>
      </c>
      <c r="W298" s="24">
        <v>0</v>
      </c>
      <c r="X298" s="24">
        <v>0</v>
      </c>
      <c r="Y298" s="24">
        <v>0</v>
      </c>
      <c r="Z298" s="24">
        <v>0</v>
      </c>
      <c r="AA298" s="24">
        <v>0</v>
      </c>
      <c r="AB298" s="24">
        <v>0</v>
      </c>
      <c r="AC298" s="30">
        <f t="shared" si="139"/>
        <v>0</v>
      </c>
      <c r="AD298" s="27">
        <f t="shared" si="141"/>
        <v>0</v>
      </c>
      <c r="AE298" s="25">
        <f>IFERROR(_xlfn.XLOOKUP(N298&amp;P298,'Historico Vendas'!G:G,'Historico Vendas'!E:E),0)</f>
        <v>0</v>
      </c>
      <c r="AF298" s="29" t="str">
        <f t="shared" si="126"/>
        <v/>
      </c>
      <c r="AG298" s="24">
        <f>IFERROR(_xlfn.XLOOKUP(N298&amp;P298,'Historico Vendas'!G:G,'Historico Vendas'!F:F),0)</f>
        <v>0</v>
      </c>
      <c r="AH298" s="25">
        <f t="shared" si="142"/>
        <v>0</v>
      </c>
      <c r="AI298" s="24">
        <f t="shared" si="143"/>
        <v>0</v>
      </c>
      <c r="AJ298" s="11" t="str">
        <f t="shared" si="127"/>
        <v/>
      </c>
      <c r="AK298" s="9" t="s">
        <v>102</v>
      </c>
      <c r="AL298" s="13">
        <f>IFERROR(INDEX('Balizador da Meta'!$D$3:$F$23,MATCH(Quantidade!$P298,'Balizador da Meta'!$C$3:$C$23,0),MATCH(Quantidade!AK298,'Balizador da Meta'!$D$2:$F$2,0)),"")</f>
        <v>0</v>
      </c>
      <c r="AM298" s="9"/>
    </row>
    <row r="299" spans="1:39" x14ac:dyDescent="0.3">
      <c r="A299" s="2" t="str">
        <f t="shared" si="124"/>
        <v>NÃO</v>
      </c>
      <c r="B299" s="2" t="str">
        <f>_xlfn.XLOOKUP($N299,'Base de Grupos'!$A:$A,'Base de Grupos'!$D:$D)</f>
        <v>1000065763</v>
      </c>
      <c r="C299" s="5" t="str">
        <f>_xlfn.XLOOKUP($N299,'Base de Grupos'!$A:$A,'Base de Grupos'!$E:$E)</f>
        <v>CANAL VENDA INTERNA</v>
      </c>
      <c r="D299" s="5" t="str">
        <f>_xlfn.XLOOKUP($N299,'Base de Grupos'!$A:$A,'Base de Grupos'!$F:$F)</f>
        <v>1000065763</v>
      </c>
      <c r="E299" s="2" t="str">
        <f>_xlfn.XLOOKUP($N299,'Base de Grupos'!$A:$A,'Base de Grupos'!$G:$G)</f>
        <v>CANAL VENDA INTERNA</v>
      </c>
      <c r="F299" s="2" t="str">
        <f>_xlfn.XLOOKUP($N299,'Base de Grupos'!$A:$A,'Base de Grupos'!$H:$H)</f>
        <v>1000105900</v>
      </c>
      <c r="G299" s="5" t="str">
        <f>_xlfn.XLOOKUP($N299,'Base de Grupos'!$A:$A,'Base de Grupos'!$I:$I)</f>
        <v>REGIONAL VENDA DIRETA CO + NE + NO</v>
      </c>
      <c r="H299" s="5" t="str">
        <f>_xlfn.XLOOKUP($N299,'Base de Grupos'!$A:$A,'Base de Grupos'!$J:$J)</f>
        <v>1000105900</v>
      </c>
      <c r="I299" s="2" t="str">
        <f>_xlfn.XLOOKUP($N299,'Base de Grupos'!$A:$A,'Base de Grupos'!$K:$K)</f>
        <v>REGIONAL VENDA DIRETA CO + NE + NO</v>
      </c>
      <c r="J299" s="2" t="str">
        <f>_xlfn.XLOOKUP($N299,'Base de Grupos'!$A:$A,'Base de Grupos'!$L:$L)</f>
        <v>1000150135</v>
      </c>
      <c r="K299" s="5" t="str">
        <f>_xlfn.XLOOKUP($N299,'Base de Grupos'!$A:$A,'Base de Grupos'!$M:$M)</f>
        <v>HELDER DA SILVA BRUNKOW</v>
      </c>
      <c r="L299" s="5" t="str">
        <f t="shared" si="125"/>
        <v/>
      </c>
      <c r="M299" s="5" t="str">
        <f>_xlfn.XLOOKUP($N299,'Base de Grupos'!$A:$A,'Base de Grupos'!$C:$C)</f>
        <v>MT</v>
      </c>
      <c r="N299" s="3">
        <v>1354</v>
      </c>
      <c r="O299" s="4" t="s">
        <v>240</v>
      </c>
      <c r="P299" s="5" t="s">
        <v>86</v>
      </c>
      <c r="Q299" s="24">
        <v>0</v>
      </c>
      <c r="R299" s="24">
        <v>0</v>
      </c>
      <c r="S299" s="24">
        <v>0</v>
      </c>
      <c r="T299" s="24">
        <v>0</v>
      </c>
      <c r="U299" s="24">
        <v>0</v>
      </c>
      <c r="V299" s="24">
        <v>0</v>
      </c>
      <c r="W299" s="24">
        <v>0</v>
      </c>
      <c r="X299" s="24">
        <v>0</v>
      </c>
      <c r="Y299" s="24">
        <v>0</v>
      </c>
      <c r="Z299" s="24">
        <v>0</v>
      </c>
      <c r="AA299" s="24">
        <v>0</v>
      </c>
      <c r="AB299" s="24">
        <v>0</v>
      </c>
      <c r="AC299" s="30">
        <f t="shared" si="139"/>
        <v>0</v>
      </c>
      <c r="AD299" s="27">
        <f t="shared" si="141"/>
        <v>0</v>
      </c>
      <c r="AE299" s="25">
        <f>IFERROR(_xlfn.XLOOKUP(N299&amp;P299,'Historico Vendas'!G:G,'Historico Vendas'!E:E),0)</f>
        <v>0</v>
      </c>
      <c r="AF299" s="29" t="str">
        <f t="shared" si="126"/>
        <v/>
      </c>
      <c r="AG299" s="24">
        <f>IFERROR(_xlfn.XLOOKUP(N299&amp;P299,'Historico Vendas'!G:G,'Historico Vendas'!F:F),0)</f>
        <v>0</v>
      </c>
      <c r="AH299" s="25">
        <f t="shared" si="142"/>
        <v>0</v>
      </c>
      <c r="AI299" s="24">
        <f t="shared" si="143"/>
        <v>0</v>
      </c>
      <c r="AJ299" s="11" t="str">
        <f t="shared" si="127"/>
        <v/>
      </c>
      <c r="AK299" s="9" t="s">
        <v>102</v>
      </c>
      <c r="AL299" s="13">
        <f>IFERROR(INDEX('Balizador da Meta'!$D$3:$F$23,MATCH(Quantidade!$P299,'Balizador da Meta'!$C$3:$C$23,0),MATCH(Quantidade!AK299,'Balizador da Meta'!$D$2:$F$2,0)),"")</f>
        <v>0.15</v>
      </c>
      <c r="AM299" s="9"/>
    </row>
    <row r="300" spans="1:39" x14ac:dyDescent="0.3">
      <c r="A300" s="2" t="str">
        <f t="shared" si="124"/>
        <v>NÃO</v>
      </c>
      <c r="B300" s="2" t="str">
        <f>_xlfn.XLOOKUP($N300,'Base de Grupos'!$A:$A,'Base de Grupos'!$D:$D)</f>
        <v>1000065763</v>
      </c>
      <c r="C300" s="5" t="str">
        <f>_xlfn.XLOOKUP($N300,'Base de Grupos'!$A:$A,'Base de Grupos'!$E:$E)</f>
        <v>CANAL VENDA INTERNA</v>
      </c>
      <c r="D300" s="5" t="str">
        <f>_xlfn.XLOOKUP($N300,'Base de Grupos'!$A:$A,'Base de Grupos'!$F:$F)</f>
        <v>1000065763</v>
      </c>
      <c r="E300" s="2" t="str">
        <f>_xlfn.XLOOKUP($N300,'Base de Grupos'!$A:$A,'Base de Grupos'!$G:$G)</f>
        <v>CANAL VENDA INTERNA</v>
      </c>
      <c r="F300" s="2" t="str">
        <f>_xlfn.XLOOKUP($N300,'Base de Grupos'!$A:$A,'Base de Grupos'!$H:$H)</f>
        <v>1000105900</v>
      </c>
      <c r="G300" s="5" t="str">
        <f>_xlfn.XLOOKUP($N300,'Base de Grupos'!$A:$A,'Base de Grupos'!$I:$I)</f>
        <v>REGIONAL VENDA DIRETA CO + NE + NO</v>
      </c>
      <c r="H300" s="5" t="str">
        <f>_xlfn.XLOOKUP($N300,'Base de Grupos'!$A:$A,'Base de Grupos'!$J:$J)</f>
        <v>1000105900</v>
      </c>
      <c r="I300" s="2" t="str">
        <f>_xlfn.XLOOKUP($N300,'Base de Grupos'!$A:$A,'Base de Grupos'!$K:$K)</f>
        <v>REGIONAL VENDA DIRETA CO + NE + NO</v>
      </c>
      <c r="J300" s="2" t="str">
        <f>_xlfn.XLOOKUP($N300,'Base de Grupos'!$A:$A,'Base de Grupos'!$L:$L)</f>
        <v>1000150135</v>
      </c>
      <c r="K300" s="5" t="str">
        <f>_xlfn.XLOOKUP($N300,'Base de Grupos'!$A:$A,'Base de Grupos'!$M:$M)</f>
        <v>HELDER DA SILVA BRUNKOW</v>
      </c>
      <c r="L300" s="5" t="str">
        <f t="shared" si="125"/>
        <v/>
      </c>
      <c r="M300" s="5" t="str">
        <f>_xlfn.XLOOKUP($N300,'Base de Grupos'!$A:$A,'Base de Grupos'!$C:$C)</f>
        <v>MT</v>
      </c>
      <c r="N300" s="3">
        <v>1354</v>
      </c>
      <c r="O300" s="4" t="s">
        <v>240</v>
      </c>
      <c r="P300" s="5" t="s">
        <v>108</v>
      </c>
      <c r="Q300" s="24">
        <v>0</v>
      </c>
      <c r="R300" s="24">
        <v>0</v>
      </c>
      <c r="S300" s="24">
        <v>0</v>
      </c>
      <c r="T300" s="24">
        <v>0</v>
      </c>
      <c r="U300" s="24">
        <v>0</v>
      </c>
      <c r="V300" s="24">
        <v>0</v>
      </c>
      <c r="W300" s="24">
        <v>0</v>
      </c>
      <c r="X300" s="24">
        <v>0</v>
      </c>
      <c r="Y300" s="24">
        <v>0</v>
      </c>
      <c r="Z300" s="24">
        <v>0</v>
      </c>
      <c r="AA300" s="24">
        <v>0</v>
      </c>
      <c r="AB300" s="24">
        <v>0</v>
      </c>
      <c r="AC300" s="30">
        <f t="shared" si="139"/>
        <v>0</v>
      </c>
      <c r="AD300" s="27">
        <f t="shared" si="141"/>
        <v>0</v>
      </c>
      <c r="AE300" s="25">
        <f>IFERROR(_xlfn.XLOOKUP(N300&amp;P300,'Historico Vendas'!G:G,'Historico Vendas'!E:E),0)</f>
        <v>0</v>
      </c>
      <c r="AF300" s="29" t="str">
        <f t="shared" si="126"/>
        <v/>
      </c>
      <c r="AG300" s="24">
        <f>IFERROR(_xlfn.XLOOKUP(N300&amp;P300,'Historico Vendas'!G:G,'Historico Vendas'!F:F),0)</f>
        <v>0</v>
      </c>
      <c r="AH300" s="25">
        <f t="shared" si="142"/>
        <v>0</v>
      </c>
      <c r="AI300" s="24">
        <f t="shared" si="143"/>
        <v>0</v>
      </c>
      <c r="AJ300" s="11" t="str">
        <f t="shared" si="127"/>
        <v/>
      </c>
      <c r="AK300" s="9" t="s">
        <v>102</v>
      </c>
      <c r="AL300" s="13">
        <f>IFERROR(INDEX('Balizador da Meta'!$D$3:$F$23,MATCH(Quantidade!$P300,'Balizador da Meta'!$C$3:$C$23,0),MATCH(Quantidade!AK300,'Balizador da Meta'!$D$2:$F$2,0)),"")</f>
        <v>0</v>
      </c>
      <c r="AM300" s="9"/>
    </row>
    <row r="301" spans="1:39" x14ac:dyDescent="0.3">
      <c r="A301" s="2" t="str">
        <f t="shared" si="124"/>
        <v>NÃO</v>
      </c>
      <c r="B301" s="2" t="str">
        <f>_xlfn.XLOOKUP($N301,'Base de Grupos'!$A:$A,'Base de Grupos'!$D:$D)</f>
        <v>1000065763</v>
      </c>
      <c r="C301" s="5" t="str">
        <f>_xlfn.XLOOKUP($N301,'Base de Grupos'!$A:$A,'Base de Grupos'!$E:$E)</f>
        <v>CANAL VENDA INTERNA</v>
      </c>
      <c r="D301" s="5" t="str">
        <f>_xlfn.XLOOKUP($N301,'Base de Grupos'!$A:$A,'Base de Grupos'!$F:$F)</f>
        <v>1000065763</v>
      </c>
      <c r="E301" s="2" t="str">
        <f>_xlfn.XLOOKUP($N301,'Base de Grupos'!$A:$A,'Base de Grupos'!$G:$G)</f>
        <v>CANAL VENDA INTERNA</v>
      </c>
      <c r="F301" s="2" t="str">
        <f>_xlfn.XLOOKUP($N301,'Base de Grupos'!$A:$A,'Base de Grupos'!$H:$H)</f>
        <v>1000105900</v>
      </c>
      <c r="G301" s="5" t="str">
        <f>_xlfn.XLOOKUP($N301,'Base de Grupos'!$A:$A,'Base de Grupos'!$I:$I)</f>
        <v>REGIONAL VENDA DIRETA CO + NE + NO</v>
      </c>
      <c r="H301" s="5" t="str">
        <f>_xlfn.XLOOKUP($N301,'Base de Grupos'!$A:$A,'Base de Grupos'!$J:$J)</f>
        <v>1000105900</v>
      </c>
      <c r="I301" s="2" t="str">
        <f>_xlfn.XLOOKUP($N301,'Base de Grupos'!$A:$A,'Base de Grupos'!$K:$K)</f>
        <v>REGIONAL VENDA DIRETA CO + NE + NO</v>
      </c>
      <c r="J301" s="2" t="str">
        <f>_xlfn.XLOOKUP($N301,'Base de Grupos'!$A:$A,'Base de Grupos'!$L:$L)</f>
        <v>1000150135</v>
      </c>
      <c r="K301" s="5" t="str">
        <f>_xlfn.XLOOKUP($N301,'Base de Grupos'!$A:$A,'Base de Grupos'!$M:$M)</f>
        <v>HELDER DA SILVA BRUNKOW</v>
      </c>
      <c r="L301" s="5" t="str">
        <f t="shared" si="125"/>
        <v/>
      </c>
      <c r="M301" s="5" t="str">
        <f>_xlfn.XLOOKUP($N301,'Base de Grupos'!$A:$A,'Base de Grupos'!$C:$C)</f>
        <v>MT</v>
      </c>
      <c r="N301" s="3">
        <v>1354</v>
      </c>
      <c r="O301" s="4" t="s">
        <v>240</v>
      </c>
      <c r="P301" s="5" t="s">
        <v>89</v>
      </c>
      <c r="Q301" s="24">
        <v>0</v>
      </c>
      <c r="R301" s="24">
        <v>0</v>
      </c>
      <c r="S301" s="24">
        <v>0</v>
      </c>
      <c r="T301" s="24">
        <v>0</v>
      </c>
      <c r="U301" s="24">
        <v>0</v>
      </c>
      <c r="V301" s="24">
        <v>0</v>
      </c>
      <c r="W301" s="24">
        <v>0</v>
      </c>
      <c r="X301" s="24">
        <v>0</v>
      </c>
      <c r="Y301" s="24">
        <v>0</v>
      </c>
      <c r="Z301" s="24">
        <v>0</v>
      </c>
      <c r="AA301" s="24">
        <v>0</v>
      </c>
      <c r="AB301" s="24">
        <v>0</v>
      </c>
      <c r="AC301" s="30">
        <f t="shared" si="139"/>
        <v>0</v>
      </c>
      <c r="AD301" s="27">
        <f t="shared" si="141"/>
        <v>0</v>
      </c>
      <c r="AE301" s="25">
        <f>IFERROR(_xlfn.XLOOKUP(N301&amp;P301,'Historico Vendas'!G:G,'Historico Vendas'!E:E),0)</f>
        <v>0</v>
      </c>
      <c r="AF301" s="29" t="str">
        <f t="shared" si="126"/>
        <v/>
      </c>
      <c r="AG301" s="24">
        <f>IFERROR(_xlfn.XLOOKUP(N301&amp;P301,'Historico Vendas'!G:G,'Historico Vendas'!F:F),0)</f>
        <v>0</v>
      </c>
      <c r="AH301" s="25">
        <f t="shared" si="142"/>
        <v>0</v>
      </c>
      <c r="AI301" s="24">
        <f t="shared" si="143"/>
        <v>0</v>
      </c>
      <c r="AJ301" s="11" t="str">
        <f t="shared" si="127"/>
        <v/>
      </c>
      <c r="AK301" s="9" t="s">
        <v>102</v>
      </c>
      <c r="AL301" s="13">
        <f>IFERROR(INDEX('Balizador da Meta'!$D$3:$F$23,MATCH(Quantidade!$P301,'Balizador da Meta'!$C$3:$C$23,0),MATCH(Quantidade!AK301,'Balizador da Meta'!$D$2:$F$2,0)),"")</f>
        <v>0.25</v>
      </c>
      <c r="AM301" s="9"/>
    </row>
    <row r="302" spans="1:39" x14ac:dyDescent="0.3">
      <c r="A302" s="2" t="str">
        <f t="shared" si="124"/>
        <v>NÃO</v>
      </c>
      <c r="B302" s="2" t="str">
        <f>_xlfn.XLOOKUP($N302,'Base de Grupos'!$A:$A,'Base de Grupos'!$D:$D)</f>
        <v>1000065763</v>
      </c>
      <c r="C302" s="5" t="str">
        <f>_xlfn.XLOOKUP($N302,'Base de Grupos'!$A:$A,'Base de Grupos'!$E:$E)</f>
        <v>CANAL VENDA INTERNA</v>
      </c>
      <c r="D302" s="5" t="str">
        <f>_xlfn.XLOOKUP($N302,'Base de Grupos'!$A:$A,'Base de Grupos'!$F:$F)</f>
        <v>1000065763</v>
      </c>
      <c r="E302" s="2" t="str">
        <f>_xlfn.XLOOKUP($N302,'Base de Grupos'!$A:$A,'Base de Grupos'!$G:$G)</f>
        <v>CANAL VENDA INTERNA</v>
      </c>
      <c r="F302" s="2" t="str">
        <f>_xlfn.XLOOKUP($N302,'Base de Grupos'!$A:$A,'Base de Grupos'!$H:$H)</f>
        <v>1000105900</v>
      </c>
      <c r="G302" s="5" t="str">
        <f>_xlfn.XLOOKUP($N302,'Base de Grupos'!$A:$A,'Base de Grupos'!$I:$I)</f>
        <v>REGIONAL VENDA DIRETA CO + NE + NO</v>
      </c>
      <c r="H302" s="5" t="str">
        <f>_xlfn.XLOOKUP($N302,'Base de Grupos'!$A:$A,'Base de Grupos'!$J:$J)</f>
        <v>1000105900</v>
      </c>
      <c r="I302" s="2" t="str">
        <f>_xlfn.XLOOKUP($N302,'Base de Grupos'!$A:$A,'Base de Grupos'!$K:$K)</f>
        <v>REGIONAL VENDA DIRETA CO + NE + NO</v>
      </c>
      <c r="J302" s="2" t="str">
        <f>_xlfn.XLOOKUP($N302,'Base de Grupos'!$A:$A,'Base de Grupos'!$L:$L)</f>
        <v>1000150135</v>
      </c>
      <c r="K302" s="5" t="str">
        <f>_xlfn.XLOOKUP($N302,'Base de Grupos'!$A:$A,'Base de Grupos'!$M:$M)</f>
        <v>HELDER DA SILVA BRUNKOW</v>
      </c>
      <c r="L302" s="5" t="str">
        <f t="shared" si="125"/>
        <v/>
      </c>
      <c r="M302" s="5" t="str">
        <f>_xlfn.XLOOKUP($N302,'Base de Grupos'!$A:$A,'Base de Grupos'!$C:$C)</f>
        <v>MT</v>
      </c>
      <c r="N302" s="3">
        <v>1354</v>
      </c>
      <c r="O302" s="4" t="s">
        <v>240</v>
      </c>
      <c r="P302" s="5" t="s">
        <v>88</v>
      </c>
      <c r="Q302" s="24">
        <v>0</v>
      </c>
      <c r="R302" s="24">
        <v>0</v>
      </c>
      <c r="S302" s="24">
        <v>0</v>
      </c>
      <c r="T302" s="24">
        <v>0</v>
      </c>
      <c r="U302" s="24">
        <v>0</v>
      </c>
      <c r="V302" s="24">
        <v>0</v>
      </c>
      <c r="W302" s="24">
        <v>0</v>
      </c>
      <c r="X302" s="24">
        <v>0</v>
      </c>
      <c r="Y302" s="24">
        <v>0</v>
      </c>
      <c r="Z302" s="24">
        <v>0</v>
      </c>
      <c r="AA302" s="24">
        <v>0</v>
      </c>
      <c r="AB302" s="24">
        <v>0</v>
      </c>
      <c r="AC302" s="30">
        <f t="shared" si="139"/>
        <v>0</v>
      </c>
      <c r="AD302" s="27">
        <f t="shared" si="141"/>
        <v>0</v>
      </c>
      <c r="AE302" s="25">
        <f>IFERROR(_xlfn.XLOOKUP(N302&amp;P302,'Historico Vendas'!G:G,'Historico Vendas'!E:E),0)</f>
        <v>0</v>
      </c>
      <c r="AF302" s="29" t="str">
        <f t="shared" si="126"/>
        <v/>
      </c>
      <c r="AG302" s="24">
        <f>IFERROR(_xlfn.XLOOKUP(N302&amp;P302,'Historico Vendas'!G:G,'Historico Vendas'!F:F),0)</f>
        <v>0</v>
      </c>
      <c r="AH302" s="25">
        <f t="shared" si="142"/>
        <v>0</v>
      </c>
      <c r="AI302" s="24">
        <f t="shared" si="143"/>
        <v>0</v>
      </c>
      <c r="AJ302" s="11" t="str">
        <f t="shared" si="127"/>
        <v/>
      </c>
      <c r="AK302" s="9" t="s">
        <v>102</v>
      </c>
      <c r="AL302" s="13">
        <f>IFERROR(INDEX('Balizador da Meta'!$D$3:$F$23,MATCH(Quantidade!$P302,'Balizador da Meta'!$C$3:$C$23,0),MATCH(Quantidade!AK302,'Balizador da Meta'!$D$2:$F$2,0)),"")</f>
        <v>0</v>
      </c>
      <c r="AM302" s="9"/>
    </row>
    <row r="303" spans="1:39" x14ac:dyDescent="0.3">
      <c r="A303" s="2" t="str">
        <f t="shared" si="124"/>
        <v>NÃO</v>
      </c>
      <c r="B303" s="2" t="str">
        <f>_xlfn.XLOOKUP($N303,'Base de Grupos'!$A:$A,'Base de Grupos'!$D:$D)</f>
        <v>1000065763</v>
      </c>
      <c r="C303" s="5" t="str">
        <f>_xlfn.XLOOKUP($N303,'Base de Grupos'!$A:$A,'Base de Grupos'!$E:$E)</f>
        <v>CANAL VENDA INTERNA</v>
      </c>
      <c r="D303" s="5" t="str">
        <f>_xlfn.XLOOKUP($N303,'Base de Grupos'!$A:$A,'Base de Grupos'!$F:$F)</f>
        <v>1000065763</v>
      </c>
      <c r="E303" s="2" t="str">
        <f>_xlfn.XLOOKUP($N303,'Base de Grupos'!$A:$A,'Base de Grupos'!$G:$G)</f>
        <v>CANAL VENDA INTERNA</v>
      </c>
      <c r="F303" s="2" t="str">
        <f>_xlfn.XLOOKUP($N303,'Base de Grupos'!$A:$A,'Base de Grupos'!$H:$H)</f>
        <v>1000105900</v>
      </c>
      <c r="G303" s="5" t="str">
        <f>_xlfn.XLOOKUP($N303,'Base de Grupos'!$A:$A,'Base de Grupos'!$I:$I)</f>
        <v>REGIONAL VENDA DIRETA CO + NE + NO</v>
      </c>
      <c r="H303" s="5" t="str">
        <f>_xlfn.XLOOKUP($N303,'Base de Grupos'!$A:$A,'Base de Grupos'!$J:$J)</f>
        <v>1000105900</v>
      </c>
      <c r="I303" s="2" t="str">
        <f>_xlfn.XLOOKUP($N303,'Base de Grupos'!$A:$A,'Base de Grupos'!$K:$K)</f>
        <v>REGIONAL VENDA DIRETA CO + NE + NO</v>
      </c>
      <c r="J303" s="2" t="str">
        <f>_xlfn.XLOOKUP($N303,'Base de Grupos'!$A:$A,'Base de Grupos'!$L:$L)</f>
        <v>1000150135</v>
      </c>
      <c r="K303" s="5" t="str">
        <f>_xlfn.XLOOKUP($N303,'Base de Grupos'!$A:$A,'Base de Grupos'!$M:$M)</f>
        <v>HELDER DA SILVA BRUNKOW</v>
      </c>
      <c r="L303" s="5" t="str">
        <f t="shared" si="125"/>
        <v/>
      </c>
      <c r="M303" s="5" t="str">
        <f>_xlfn.XLOOKUP($N303,'Base de Grupos'!$A:$A,'Base de Grupos'!$C:$C)</f>
        <v>MT</v>
      </c>
      <c r="N303" s="3">
        <v>1354</v>
      </c>
      <c r="O303" s="4" t="s">
        <v>240</v>
      </c>
      <c r="P303" s="5" t="s">
        <v>90</v>
      </c>
      <c r="Q303" s="24">
        <v>0</v>
      </c>
      <c r="R303" s="24">
        <v>0</v>
      </c>
      <c r="S303" s="24">
        <v>0</v>
      </c>
      <c r="T303" s="24">
        <v>0</v>
      </c>
      <c r="U303" s="24">
        <v>0</v>
      </c>
      <c r="V303" s="24">
        <v>0</v>
      </c>
      <c r="W303" s="24">
        <v>0</v>
      </c>
      <c r="X303" s="24">
        <v>0</v>
      </c>
      <c r="Y303" s="24">
        <v>0</v>
      </c>
      <c r="Z303" s="24">
        <v>0</v>
      </c>
      <c r="AA303" s="24">
        <v>0</v>
      </c>
      <c r="AB303" s="24">
        <v>0</v>
      </c>
      <c r="AC303" s="30">
        <f t="shared" si="139"/>
        <v>0</v>
      </c>
      <c r="AD303" s="27">
        <f t="shared" si="141"/>
        <v>0</v>
      </c>
      <c r="AE303" s="25">
        <f>IFERROR(_xlfn.XLOOKUP(N303&amp;P303,'Historico Vendas'!G:G,'Historico Vendas'!E:E),0)</f>
        <v>0</v>
      </c>
      <c r="AF303" s="29" t="str">
        <f t="shared" si="126"/>
        <v/>
      </c>
      <c r="AG303" s="24">
        <f>IFERROR(_xlfn.XLOOKUP(N303&amp;P303,'Historico Vendas'!G:G,'Historico Vendas'!F:F),0)</f>
        <v>0</v>
      </c>
      <c r="AH303" s="25">
        <f t="shared" si="142"/>
        <v>0</v>
      </c>
      <c r="AI303" s="24">
        <f t="shared" si="143"/>
        <v>0</v>
      </c>
      <c r="AJ303" s="11" t="str">
        <f t="shared" si="127"/>
        <v/>
      </c>
      <c r="AK303" s="9" t="s">
        <v>102</v>
      </c>
      <c r="AL303" s="13">
        <f>IFERROR(INDEX('Balizador da Meta'!$D$3:$F$23,MATCH(Quantidade!$P303,'Balizador da Meta'!$C$3:$C$23,0),MATCH(Quantidade!AK303,'Balizador da Meta'!$D$2:$F$2,0)),"")</f>
        <v>0</v>
      </c>
      <c r="AM303" s="9"/>
    </row>
    <row r="304" spans="1:39" x14ac:dyDescent="0.3">
      <c r="A304" s="2" t="str">
        <f t="shared" si="124"/>
        <v>NÃO</v>
      </c>
      <c r="B304" s="2" t="str">
        <f>_xlfn.XLOOKUP($N304,'Base de Grupos'!$A:$A,'Base de Grupos'!$D:$D)</f>
        <v>1000065763</v>
      </c>
      <c r="C304" s="5" t="str">
        <f>_xlfn.XLOOKUP($N304,'Base de Grupos'!$A:$A,'Base de Grupos'!$E:$E)</f>
        <v>CANAL VENDA INTERNA</v>
      </c>
      <c r="D304" s="5" t="str">
        <f>_xlfn.XLOOKUP($N304,'Base de Grupos'!$A:$A,'Base de Grupos'!$F:$F)</f>
        <v>1000065763</v>
      </c>
      <c r="E304" s="2" t="str">
        <f>_xlfn.XLOOKUP($N304,'Base de Grupos'!$A:$A,'Base de Grupos'!$G:$G)</f>
        <v>CANAL VENDA INTERNA</v>
      </c>
      <c r="F304" s="2" t="str">
        <f>_xlfn.XLOOKUP($N304,'Base de Grupos'!$A:$A,'Base de Grupos'!$H:$H)</f>
        <v>1000105900</v>
      </c>
      <c r="G304" s="5" t="str">
        <f>_xlfn.XLOOKUP($N304,'Base de Grupos'!$A:$A,'Base de Grupos'!$I:$I)</f>
        <v>REGIONAL VENDA DIRETA CO + NE + NO</v>
      </c>
      <c r="H304" s="5" t="str">
        <f>_xlfn.XLOOKUP($N304,'Base de Grupos'!$A:$A,'Base de Grupos'!$J:$J)</f>
        <v>1000105900</v>
      </c>
      <c r="I304" s="2" t="str">
        <f>_xlfn.XLOOKUP($N304,'Base de Grupos'!$A:$A,'Base de Grupos'!$K:$K)</f>
        <v>REGIONAL VENDA DIRETA CO + NE + NO</v>
      </c>
      <c r="J304" s="2" t="str">
        <f>_xlfn.XLOOKUP($N304,'Base de Grupos'!$A:$A,'Base de Grupos'!$L:$L)</f>
        <v>1000150135</v>
      </c>
      <c r="K304" s="5" t="str">
        <f>_xlfn.XLOOKUP($N304,'Base de Grupos'!$A:$A,'Base de Grupos'!$M:$M)</f>
        <v>HELDER DA SILVA BRUNKOW</v>
      </c>
      <c r="L304" s="5" t="str">
        <f t="shared" si="125"/>
        <v/>
      </c>
      <c r="M304" s="5" t="str">
        <f>_xlfn.XLOOKUP($N304,'Base de Grupos'!$A:$A,'Base de Grupos'!$C:$C)</f>
        <v>MT</v>
      </c>
      <c r="N304" s="3">
        <v>1354</v>
      </c>
      <c r="O304" s="4" t="s">
        <v>240</v>
      </c>
      <c r="P304" s="5" t="s">
        <v>91</v>
      </c>
      <c r="Q304" s="24">
        <v>0</v>
      </c>
      <c r="R304" s="24">
        <v>0</v>
      </c>
      <c r="S304" s="24">
        <v>0</v>
      </c>
      <c r="T304" s="24">
        <v>0</v>
      </c>
      <c r="U304" s="24">
        <v>0</v>
      </c>
      <c r="V304" s="24">
        <v>0</v>
      </c>
      <c r="W304" s="24">
        <v>0</v>
      </c>
      <c r="X304" s="24">
        <v>0</v>
      </c>
      <c r="Y304" s="24">
        <v>0</v>
      </c>
      <c r="Z304" s="24">
        <v>0</v>
      </c>
      <c r="AA304" s="24">
        <v>0</v>
      </c>
      <c r="AB304" s="24">
        <v>0</v>
      </c>
      <c r="AC304" s="30">
        <f t="shared" si="139"/>
        <v>0</v>
      </c>
      <c r="AD304" s="27">
        <f t="shared" si="141"/>
        <v>0</v>
      </c>
      <c r="AE304" s="25">
        <f>IFERROR(_xlfn.XLOOKUP(N304&amp;P304,'Historico Vendas'!G:G,'Historico Vendas'!E:E),0)</f>
        <v>0</v>
      </c>
      <c r="AF304" s="29" t="str">
        <f t="shared" si="126"/>
        <v/>
      </c>
      <c r="AG304" s="24">
        <f>IFERROR(_xlfn.XLOOKUP(N304&amp;P304,'Historico Vendas'!G:G,'Historico Vendas'!F:F),0)</f>
        <v>0</v>
      </c>
      <c r="AH304" s="25">
        <f t="shared" si="142"/>
        <v>0</v>
      </c>
      <c r="AI304" s="24">
        <f t="shared" si="143"/>
        <v>0</v>
      </c>
      <c r="AJ304" s="11" t="str">
        <f t="shared" si="127"/>
        <v/>
      </c>
      <c r="AK304" s="9" t="s">
        <v>102</v>
      </c>
      <c r="AL304" s="13">
        <f>IFERROR(INDEX('Balizador da Meta'!$D$3:$F$23,MATCH(Quantidade!$P304,'Balizador da Meta'!$C$3:$C$23,0),MATCH(Quantidade!AK304,'Balizador da Meta'!$D$2:$F$2,0)),"")</f>
        <v>0</v>
      </c>
      <c r="AM304" s="9"/>
    </row>
    <row r="305" spans="1:39" x14ac:dyDescent="0.3">
      <c r="A305" s="2" t="str">
        <f t="shared" si="124"/>
        <v>NÃO</v>
      </c>
      <c r="B305" s="2" t="str">
        <f>_xlfn.XLOOKUP($N305,'Base de Grupos'!$A:$A,'Base de Grupos'!$D:$D)</f>
        <v>1000065763</v>
      </c>
      <c r="C305" s="5" t="str">
        <f>_xlfn.XLOOKUP($N305,'Base de Grupos'!$A:$A,'Base de Grupos'!$E:$E)</f>
        <v>CANAL VENDA INTERNA</v>
      </c>
      <c r="D305" s="5" t="str">
        <f>_xlfn.XLOOKUP($N305,'Base de Grupos'!$A:$A,'Base de Grupos'!$F:$F)</f>
        <v>1000065763</v>
      </c>
      <c r="E305" s="2" t="str">
        <f>_xlfn.XLOOKUP($N305,'Base de Grupos'!$A:$A,'Base de Grupos'!$G:$G)</f>
        <v>CANAL VENDA INTERNA</v>
      </c>
      <c r="F305" s="2" t="str">
        <f>_xlfn.XLOOKUP($N305,'Base de Grupos'!$A:$A,'Base de Grupos'!$H:$H)</f>
        <v>1000105900</v>
      </c>
      <c r="G305" s="5" t="str">
        <f>_xlfn.XLOOKUP($N305,'Base de Grupos'!$A:$A,'Base de Grupos'!$I:$I)</f>
        <v>REGIONAL VENDA DIRETA CO + NE + NO</v>
      </c>
      <c r="H305" s="5" t="str">
        <f>_xlfn.XLOOKUP($N305,'Base de Grupos'!$A:$A,'Base de Grupos'!$J:$J)</f>
        <v>1000105900</v>
      </c>
      <c r="I305" s="2" t="str">
        <f>_xlfn.XLOOKUP($N305,'Base de Grupos'!$A:$A,'Base de Grupos'!$K:$K)</f>
        <v>REGIONAL VENDA DIRETA CO + NE + NO</v>
      </c>
      <c r="J305" s="2" t="str">
        <f>_xlfn.XLOOKUP($N305,'Base de Grupos'!$A:$A,'Base de Grupos'!$L:$L)</f>
        <v>1000150135</v>
      </c>
      <c r="K305" s="5" t="str">
        <f>_xlfn.XLOOKUP($N305,'Base de Grupos'!$A:$A,'Base de Grupos'!$M:$M)</f>
        <v>HELDER DA SILVA BRUNKOW</v>
      </c>
      <c r="L305" s="5" t="str">
        <f t="shared" si="125"/>
        <v/>
      </c>
      <c r="M305" s="5" t="str">
        <f>_xlfn.XLOOKUP($N305,'Base de Grupos'!$A:$A,'Base de Grupos'!$C:$C)</f>
        <v>MT</v>
      </c>
      <c r="N305" s="3">
        <v>1354</v>
      </c>
      <c r="O305" s="4" t="s">
        <v>240</v>
      </c>
      <c r="P305" s="5" t="s">
        <v>96</v>
      </c>
      <c r="Q305" s="24">
        <v>0</v>
      </c>
      <c r="R305" s="24">
        <v>0</v>
      </c>
      <c r="S305" s="24">
        <v>0</v>
      </c>
      <c r="T305" s="24">
        <v>0</v>
      </c>
      <c r="U305" s="24">
        <v>0</v>
      </c>
      <c r="V305" s="24">
        <v>0</v>
      </c>
      <c r="W305" s="24">
        <v>0</v>
      </c>
      <c r="X305" s="24">
        <v>0</v>
      </c>
      <c r="Y305" s="24">
        <v>0</v>
      </c>
      <c r="Z305" s="24">
        <v>0</v>
      </c>
      <c r="AA305" s="24">
        <v>0</v>
      </c>
      <c r="AB305" s="24">
        <v>0</v>
      </c>
      <c r="AC305" s="30">
        <f t="shared" si="139"/>
        <v>0</v>
      </c>
      <c r="AD305" s="27">
        <f t="shared" si="141"/>
        <v>0</v>
      </c>
      <c r="AE305" s="25">
        <f>IFERROR(_xlfn.XLOOKUP(N305&amp;P305,'Historico Vendas'!G:G,'Historico Vendas'!E:E),0)</f>
        <v>0</v>
      </c>
      <c r="AF305" s="29" t="str">
        <f t="shared" si="126"/>
        <v/>
      </c>
      <c r="AG305" s="24">
        <f>IFERROR(_xlfn.XLOOKUP(N305&amp;P305,'Historico Vendas'!G:G,'Historico Vendas'!F:F),0)</f>
        <v>0</v>
      </c>
      <c r="AH305" s="25">
        <f t="shared" si="142"/>
        <v>0</v>
      </c>
      <c r="AI305" s="24">
        <f t="shared" si="143"/>
        <v>0</v>
      </c>
      <c r="AJ305" s="11" t="str">
        <f t="shared" si="127"/>
        <v/>
      </c>
      <c r="AK305" s="9" t="s">
        <v>102</v>
      </c>
      <c r="AL305" s="13">
        <f>IFERROR(INDEX('Balizador da Meta'!$D$3:$F$23,MATCH(Quantidade!$P305,'Balizador da Meta'!$C$3:$C$23,0),MATCH(Quantidade!AK305,'Balizador da Meta'!$D$2:$F$2,0)),"")</f>
        <v>0</v>
      </c>
      <c r="AM305" s="9"/>
    </row>
    <row r="306" spans="1:39" x14ac:dyDescent="0.3">
      <c r="A306" s="2" t="str">
        <f t="shared" si="124"/>
        <v>NÃO</v>
      </c>
      <c r="B306" s="2" t="str">
        <f>_xlfn.XLOOKUP($N306,'Base de Grupos'!$A:$A,'Base de Grupos'!$D:$D)</f>
        <v>1000065763</v>
      </c>
      <c r="C306" s="5" t="str">
        <f>_xlfn.XLOOKUP($N306,'Base de Grupos'!$A:$A,'Base de Grupos'!$E:$E)</f>
        <v>CANAL VENDA INTERNA</v>
      </c>
      <c r="D306" s="5" t="str">
        <f>_xlfn.XLOOKUP($N306,'Base de Grupos'!$A:$A,'Base de Grupos'!$F:$F)</f>
        <v>1000065763</v>
      </c>
      <c r="E306" s="2" t="str">
        <f>_xlfn.XLOOKUP($N306,'Base de Grupos'!$A:$A,'Base de Grupos'!$G:$G)</f>
        <v>CANAL VENDA INTERNA</v>
      </c>
      <c r="F306" s="2" t="str">
        <f>_xlfn.XLOOKUP($N306,'Base de Grupos'!$A:$A,'Base de Grupos'!$H:$H)</f>
        <v>1000105900</v>
      </c>
      <c r="G306" s="5" t="str">
        <f>_xlfn.XLOOKUP($N306,'Base de Grupos'!$A:$A,'Base de Grupos'!$I:$I)</f>
        <v>REGIONAL VENDA DIRETA CO + NE + NO</v>
      </c>
      <c r="H306" s="5" t="str">
        <f>_xlfn.XLOOKUP($N306,'Base de Grupos'!$A:$A,'Base de Grupos'!$J:$J)</f>
        <v>1000105900</v>
      </c>
      <c r="I306" s="2" t="str">
        <f>_xlfn.XLOOKUP($N306,'Base de Grupos'!$A:$A,'Base de Grupos'!$K:$K)</f>
        <v>REGIONAL VENDA DIRETA CO + NE + NO</v>
      </c>
      <c r="J306" s="2" t="str">
        <f>_xlfn.XLOOKUP($N306,'Base de Grupos'!$A:$A,'Base de Grupos'!$L:$L)</f>
        <v>1000150135</v>
      </c>
      <c r="K306" s="5" t="str">
        <f>_xlfn.XLOOKUP($N306,'Base de Grupos'!$A:$A,'Base de Grupos'!$M:$M)</f>
        <v>HELDER DA SILVA BRUNKOW</v>
      </c>
      <c r="L306" s="5" t="str">
        <f t="shared" si="125"/>
        <v/>
      </c>
      <c r="M306" s="5" t="str">
        <f>_xlfn.XLOOKUP($N306,'Base de Grupos'!$A:$A,'Base de Grupos'!$C:$C)</f>
        <v>MT</v>
      </c>
      <c r="N306" s="3">
        <v>1354</v>
      </c>
      <c r="O306" s="4" t="s">
        <v>240</v>
      </c>
      <c r="P306" s="5" t="s">
        <v>94</v>
      </c>
      <c r="Q306" s="24">
        <v>0</v>
      </c>
      <c r="R306" s="24">
        <v>0</v>
      </c>
      <c r="S306" s="24">
        <v>0</v>
      </c>
      <c r="T306" s="24">
        <v>0</v>
      </c>
      <c r="U306" s="24">
        <v>0</v>
      </c>
      <c r="V306" s="24">
        <v>0</v>
      </c>
      <c r="W306" s="24">
        <v>0</v>
      </c>
      <c r="X306" s="24">
        <v>0</v>
      </c>
      <c r="Y306" s="24">
        <v>0</v>
      </c>
      <c r="Z306" s="24">
        <v>0</v>
      </c>
      <c r="AA306" s="24">
        <v>0</v>
      </c>
      <c r="AB306" s="24">
        <v>0</v>
      </c>
      <c r="AC306" s="30">
        <f t="shared" si="139"/>
        <v>0</v>
      </c>
      <c r="AD306" s="27">
        <f t="shared" si="141"/>
        <v>0</v>
      </c>
      <c r="AE306" s="25">
        <f>IFERROR(_xlfn.XLOOKUP(N306&amp;P306,'Historico Vendas'!G:G,'Historico Vendas'!E:E),0)</f>
        <v>0</v>
      </c>
      <c r="AF306" s="29" t="str">
        <f t="shared" si="126"/>
        <v/>
      </c>
      <c r="AG306" s="24">
        <f>IFERROR(_xlfn.XLOOKUP(N306&amp;P306,'Historico Vendas'!G:G,'Historico Vendas'!F:F),0)</f>
        <v>0</v>
      </c>
      <c r="AH306" s="25">
        <f t="shared" si="142"/>
        <v>0</v>
      </c>
      <c r="AI306" s="24">
        <f t="shared" si="143"/>
        <v>0</v>
      </c>
      <c r="AJ306" s="11" t="str">
        <f t="shared" si="127"/>
        <v/>
      </c>
      <c r="AK306" s="9" t="s">
        <v>102</v>
      </c>
      <c r="AL306" s="13">
        <f>IFERROR(INDEX('Balizador da Meta'!$D$3:$F$23,MATCH(Quantidade!$P306,'Balizador da Meta'!$C$3:$C$23,0),MATCH(Quantidade!AK306,'Balizador da Meta'!$D$2:$F$2,0)),"")</f>
        <v>0.25</v>
      </c>
      <c r="AM306" s="9"/>
    </row>
    <row r="307" spans="1:39" x14ac:dyDescent="0.3">
      <c r="A307" s="2" t="str">
        <f t="shared" si="124"/>
        <v>NÃO</v>
      </c>
      <c r="B307" s="2" t="str">
        <f>_xlfn.XLOOKUP($N307,'Base de Grupos'!$A:$A,'Base de Grupos'!$D:$D)</f>
        <v>1000065763</v>
      </c>
      <c r="C307" s="5" t="str">
        <f>_xlfn.XLOOKUP($N307,'Base de Grupos'!$A:$A,'Base de Grupos'!$E:$E)</f>
        <v>CANAL VENDA INTERNA</v>
      </c>
      <c r="D307" s="5" t="str">
        <f>_xlfn.XLOOKUP($N307,'Base de Grupos'!$A:$A,'Base de Grupos'!$F:$F)</f>
        <v>1000065763</v>
      </c>
      <c r="E307" s="2" t="str">
        <f>_xlfn.XLOOKUP($N307,'Base de Grupos'!$A:$A,'Base de Grupos'!$G:$G)</f>
        <v>CANAL VENDA INTERNA</v>
      </c>
      <c r="F307" s="2" t="str">
        <f>_xlfn.XLOOKUP($N307,'Base de Grupos'!$A:$A,'Base de Grupos'!$H:$H)</f>
        <v>1000105900</v>
      </c>
      <c r="G307" s="5" t="str">
        <f>_xlfn.XLOOKUP($N307,'Base de Grupos'!$A:$A,'Base de Grupos'!$I:$I)</f>
        <v>REGIONAL VENDA DIRETA CO + NE + NO</v>
      </c>
      <c r="H307" s="5" t="str">
        <f>_xlfn.XLOOKUP($N307,'Base de Grupos'!$A:$A,'Base de Grupos'!$J:$J)</f>
        <v>1000105900</v>
      </c>
      <c r="I307" s="2" t="str">
        <f>_xlfn.XLOOKUP($N307,'Base de Grupos'!$A:$A,'Base de Grupos'!$K:$K)</f>
        <v>REGIONAL VENDA DIRETA CO + NE + NO</v>
      </c>
      <c r="J307" s="2" t="str">
        <f>_xlfn.XLOOKUP($N307,'Base de Grupos'!$A:$A,'Base de Grupos'!$L:$L)</f>
        <v>1000150135</v>
      </c>
      <c r="K307" s="5" t="str">
        <f>_xlfn.XLOOKUP($N307,'Base de Grupos'!$A:$A,'Base de Grupos'!$M:$M)</f>
        <v>HELDER DA SILVA BRUNKOW</v>
      </c>
      <c r="L307" s="5" t="str">
        <f t="shared" si="125"/>
        <v/>
      </c>
      <c r="M307" s="5" t="str">
        <f>_xlfn.XLOOKUP($N307,'Base de Grupos'!$A:$A,'Base de Grupos'!$C:$C)</f>
        <v>MT</v>
      </c>
      <c r="N307" s="3">
        <v>1354</v>
      </c>
      <c r="O307" s="4" t="s">
        <v>240</v>
      </c>
      <c r="P307" s="5" t="s">
        <v>95</v>
      </c>
      <c r="Q307" s="24">
        <v>0</v>
      </c>
      <c r="R307" s="24">
        <v>0</v>
      </c>
      <c r="S307" s="24">
        <v>0</v>
      </c>
      <c r="T307" s="24">
        <v>0</v>
      </c>
      <c r="U307" s="24">
        <v>0</v>
      </c>
      <c r="V307" s="24">
        <v>0</v>
      </c>
      <c r="W307" s="24">
        <v>0</v>
      </c>
      <c r="X307" s="24">
        <v>0</v>
      </c>
      <c r="Y307" s="24">
        <v>0</v>
      </c>
      <c r="Z307" s="24">
        <v>0</v>
      </c>
      <c r="AA307" s="24">
        <v>0</v>
      </c>
      <c r="AB307" s="24">
        <v>0</v>
      </c>
      <c r="AC307" s="30">
        <f t="shared" si="139"/>
        <v>0</v>
      </c>
      <c r="AD307" s="27">
        <f t="shared" si="141"/>
        <v>0</v>
      </c>
      <c r="AE307" s="25">
        <f>IFERROR(_xlfn.XLOOKUP(N307&amp;P307,'Historico Vendas'!G:G,'Historico Vendas'!E:E),0)</f>
        <v>0</v>
      </c>
      <c r="AF307" s="29" t="str">
        <f t="shared" si="126"/>
        <v/>
      </c>
      <c r="AG307" s="24">
        <f>IFERROR(_xlfn.XLOOKUP(N307&amp;P307,'Historico Vendas'!G:G,'Historico Vendas'!F:F),0)</f>
        <v>0</v>
      </c>
      <c r="AH307" s="25">
        <f t="shared" si="142"/>
        <v>0</v>
      </c>
      <c r="AI307" s="24">
        <f t="shared" si="143"/>
        <v>0</v>
      </c>
      <c r="AJ307" s="11" t="str">
        <f t="shared" si="127"/>
        <v/>
      </c>
      <c r="AK307" s="9" t="s">
        <v>102</v>
      </c>
      <c r="AL307" s="13">
        <f>IFERROR(INDEX('Balizador da Meta'!$D$3:$F$23,MATCH(Quantidade!$P307,'Balizador da Meta'!$C$3:$C$23,0),MATCH(Quantidade!AK307,'Balizador da Meta'!$D$2:$F$2,0)),"")</f>
        <v>0.25</v>
      </c>
      <c r="AM307" s="9"/>
    </row>
    <row r="308" spans="1:39" x14ac:dyDescent="0.3">
      <c r="A308" s="2" t="str">
        <f t="shared" si="124"/>
        <v>NÃO</v>
      </c>
      <c r="B308" s="2" t="str">
        <f>_xlfn.XLOOKUP($N308,'Base de Grupos'!$A:$A,'Base de Grupos'!$D:$D)</f>
        <v>1000065763</v>
      </c>
      <c r="C308" s="5" t="str">
        <f>_xlfn.XLOOKUP($N308,'Base de Grupos'!$A:$A,'Base de Grupos'!$E:$E)</f>
        <v>CANAL VENDA INTERNA</v>
      </c>
      <c r="D308" s="5" t="str">
        <f>_xlfn.XLOOKUP($N308,'Base de Grupos'!$A:$A,'Base de Grupos'!$F:$F)</f>
        <v>1000065763</v>
      </c>
      <c r="E308" s="2" t="str">
        <f>_xlfn.XLOOKUP($N308,'Base de Grupos'!$A:$A,'Base de Grupos'!$G:$G)</f>
        <v>CANAL VENDA INTERNA</v>
      </c>
      <c r="F308" s="2" t="str">
        <f>_xlfn.XLOOKUP($N308,'Base de Grupos'!$A:$A,'Base de Grupos'!$H:$H)</f>
        <v>1000105900</v>
      </c>
      <c r="G308" s="5" t="str">
        <f>_xlfn.XLOOKUP($N308,'Base de Grupos'!$A:$A,'Base de Grupos'!$I:$I)</f>
        <v>REGIONAL VENDA DIRETA CO + NE + NO</v>
      </c>
      <c r="H308" s="5" t="str">
        <f>_xlfn.XLOOKUP($N308,'Base de Grupos'!$A:$A,'Base de Grupos'!$J:$J)</f>
        <v>1000105900</v>
      </c>
      <c r="I308" s="2" t="str">
        <f>_xlfn.XLOOKUP($N308,'Base de Grupos'!$A:$A,'Base de Grupos'!$K:$K)</f>
        <v>REGIONAL VENDA DIRETA CO + NE + NO</v>
      </c>
      <c r="J308" s="2" t="str">
        <f>_xlfn.XLOOKUP($N308,'Base de Grupos'!$A:$A,'Base de Grupos'!$L:$L)</f>
        <v>1000150135</v>
      </c>
      <c r="K308" s="5" t="str">
        <f>_xlfn.XLOOKUP($N308,'Base de Grupos'!$A:$A,'Base de Grupos'!$M:$M)</f>
        <v>HELDER DA SILVA BRUNKOW</v>
      </c>
      <c r="L308" s="5" t="str">
        <f t="shared" si="125"/>
        <v/>
      </c>
      <c r="M308" s="5" t="str">
        <f>_xlfn.XLOOKUP($N308,'Base de Grupos'!$A:$A,'Base de Grupos'!$C:$C)</f>
        <v>MT</v>
      </c>
      <c r="N308" s="3">
        <v>1354</v>
      </c>
      <c r="O308" s="4" t="s">
        <v>240</v>
      </c>
      <c r="P308" s="5" t="s">
        <v>93</v>
      </c>
      <c r="Q308" s="24">
        <v>0</v>
      </c>
      <c r="R308" s="24">
        <v>0</v>
      </c>
      <c r="S308" s="24">
        <v>0</v>
      </c>
      <c r="T308" s="24">
        <v>0</v>
      </c>
      <c r="U308" s="24">
        <v>0</v>
      </c>
      <c r="V308" s="24">
        <v>0</v>
      </c>
      <c r="W308" s="24">
        <v>0</v>
      </c>
      <c r="X308" s="24">
        <v>0</v>
      </c>
      <c r="Y308" s="24">
        <v>0</v>
      </c>
      <c r="Z308" s="24">
        <v>0</v>
      </c>
      <c r="AA308" s="24">
        <v>0</v>
      </c>
      <c r="AB308" s="24">
        <v>0</v>
      </c>
      <c r="AC308" s="30">
        <f t="shared" si="139"/>
        <v>0</v>
      </c>
      <c r="AD308" s="27">
        <f t="shared" si="141"/>
        <v>0</v>
      </c>
      <c r="AE308" s="25">
        <f>IFERROR(_xlfn.XLOOKUP(N308&amp;P308,'Historico Vendas'!G:G,'Historico Vendas'!E:E),0)</f>
        <v>0</v>
      </c>
      <c r="AF308" s="29" t="str">
        <f t="shared" si="126"/>
        <v/>
      </c>
      <c r="AG308" s="24">
        <f>IFERROR(_xlfn.XLOOKUP(N308&amp;P308,'Historico Vendas'!G:G,'Historico Vendas'!F:F),0)</f>
        <v>0</v>
      </c>
      <c r="AH308" s="25">
        <f t="shared" si="142"/>
        <v>0</v>
      </c>
      <c r="AI308" s="24">
        <f t="shared" si="143"/>
        <v>0</v>
      </c>
      <c r="AJ308" s="11" t="str">
        <f t="shared" si="127"/>
        <v/>
      </c>
      <c r="AK308" s="9" t="s">
        <v>102</v>
      </c>
      <c r="AL308" s="13">
        <f>IFERROR(INDEX('Balizador da Meta'!$D$3:$F$23,MATCH(Quantidade!$P308,'Balizador da Meta'!$C$3:$C$23,0),MATCH(Quantidade!AK308,'Balizador da Meta'!$D$2:$F$2,0)),"")</f>
        <v>0.2</v>
      </c>
      <c r="AM308" s="9"/>
    </row>
    <row r="309" spans="1:39" x14ac:dyDescent="0.3">
      <c r="A309" s="2" t="str">
        <f t="shared" si="124"/>
        <v>SIM</v>
      </c>
      <c r="B309" s="2" t="str">
        <f>_xlfn.XLOOKUP($N309,'Base de Grupos'!$A:$A,'Base de Grupos'!$D:$D)</f>
        <v>1000065763</v>
      </c>
      <c r="C309" s="5" t="str">
        <f>_xlfn.XLOOKUP($N309,'Base de Grupos'!$A:$A,'Base de Grupos'!$E:$E)</f>
        <v>CANAL VENDA INTERNA</v>
      </c>
      <c r="D309" s="5" t="str">
        <f>_xlfn.XLOOKUP($N309,'Base de Grupos'!$A:$A,'Base de Grupos'!$F:$F)</f>
        <v>1000065763</v>
      </c>
      <c r="E309" s="2" t="str">
        <f>_xlfn.XLOOKUP($N309,'Base de Grupos'!$A:$A,'Base de Grupos'!$G:$G)</f>
        <v>CANAL VENDA INTERNA</v>
      </c>
      <c r="F309" s="2" t="str">
        <f>_xlfn.XLOOKUP($N309,'Base de Grupos'!$A:$A,'Base de Grupos'!$H:$H)</f>
        <v>1000105900</v>
      </c>
      <c r="G309" s="5" t="str">
        <f>_xlfn.XLOOKUP($N309,'Base de Grupos'!$A:$A,'Base de Grupos'!$I:$I)</f>
        <v>REGIONAL VENDA DIRETA CO + NE + NO</v>
      </c>
      <c r="H309" s="5" t="str">
        <f>_xlfn.XLOOKUP($N309,'Base de Grupos'!$A:$A,'Base de Grupos'!$J:$J)</f>
        <v>1000105900</v>
      </c>
      <c r="I309" s="2" t="str">
        <f>_xlfn.XLOOKUP($N309,'Base de Grupos'!$A:$A,'Base de Grupos'!$K:$K)</f>
        <v>REGIONAL VENDA DIRETA CO + NE + NO</v>
      </c>
      <c r="J309" s="2" t="str">
        <f>_xlfn.XLOOKUP($N309,'Base de Grupos'!$A:$A,'Base de Grupos'!$L:$L)</f>
        <v>1000176426</v>
      </c>
      <c r="K309" s="5" t="str">
        <f>_xlfn.XLOOKUP($N309,'Base de Grupos'!$A:$A,'Base de Grupos'!$M:$M)</f>
        <v>HEMANUELE ROSA DITZEL</v>
      </c>
      <c r="L309" s="5">
        <f t="shared" si="125"/>
        <v>1</v>
      </c>
      <c r="M309" s="5" t="str">
        <f>_xlfn.XLOOKUP($N309,'Base de Grupos'!$A:$A,'Base de Grupos'!$C:$C)</f>
        <v>GO</v>
      </c>
      <c r="N309" s="3">
        <v>1356</v>
      </c>
      <c r="O309" s="4" t="s">
        <v>241</v>
      </c>
      <c r="P309" s="5" t="s">
        <v>311</v>
      </c>
      <c r="Q309" s="24">
        <v>0</v>
      </c>
      <c r="R309" s="24">
        <v>0</v>
      </c>
      <c r="S309" s="24">
        <v>0</v>
      </c>
      <c r="T309" s="24">
        <v>0</v>
      </c>
      <c r="U309" s="24">
        <v>0</v>
      </c>
      <c r="V309" s="24">
        <v>0</v>
      </c>
      <c r="W309" s="24">
        <v>0</v>
      </c>
      <c r="X309" s="24">
        <v>0</v>
      </c>
      <c r="Y309" s="24">
        <v>0</v>
      </c>
      <c r="Z309" s="24">
        <v>0</v>
      </c>
      <c r="AA309" s="24">
        <v>0</v>
      </c>
      <c r="AB309" s="24">
        <v>0</v>
      </c>
      <c r="AC309" s="30">
        <f t="shared" si="139"/>
        <v>0</v>
      </c>
      <c r="AD309" s="25">
        <f t="shared" ref="AD309:AI309" si="144">SUM(AD310:AD326)</f>
        <v>0</v>
      </c>
      <c r="AE309" s="25">
        <f t="shared" si="144"/>
        <v>0</v>
      </c>
      <c r="AF309" s="11" t="str">
        <f t="shared" si="126"/>
        <v/>
      </c>
      <c r="AG309" s="24">
        <f t="shared" si="144"/>
        <v>0</v>
      </c>
      <c r="AH309" s="25">
        <f t="shared" si="144"/>
        <v>0</v>
      </c>
      <c r="AI309" s="24">
        <f t="shared" si="144"/>
        <v>0</v>
      </c>
      <c r="AJ309" s="11" t="str">
        <f t="shared" si="127"/>
        <v/>
      </c>
      <c r="AK309" s="9"/>
      <c r="AL309" s="13"/>
      <c r="AM309" s="9"/>
    </row>
    <row r="310" spans="1:39" x14ac:dyDescent="0.3">
      <c r="A310" s="2" t="str">
        <f t="shared" si="124"/>
        <v>NÃO</v>
      </c>
      <c r="B310" s="2" t="str">
        <f>_xlfn.XLOOKUP($N310,'Base de Grupos'!$A:$A,'Base de Grupos'!$D:$D)</f>
        <v>1000065763</v>
      </c>
      <c r="C310" s="5" t="str">
        <f>_xlfn.XLOOKUP($N310,'Base de Grupos'!$A:$A,'Base de Grupos'!$E:$E)</f>
        <v>CANAL VENDA INTERNA</v>
      </c>
      <c r="D310" s="5" t="str">
        <f>_xlfn.XLOOKUP($N310,'Base de Grupos'!$A:$A,'Base de Grupos'!$F:$F)</f>
        <v>1000065763</v>
      </c>
      <c r="E310" s="2" t="str">
        <f>_xlfn.XLOOKUP($N310,'Base de Grupos'!$A:$A,'Base de Grupos'!$G:$G)</f>
        <v>CANAL VENDA INTERNA</v>
      </c>
      <c r="F310" s="2" t="str">
        <f>_xlfn.XLOOKUP($N310,'Base de Grupos'!$A:$A,'Base de Grupos'!$H:$H)</f>
        <v>1000105900</v>
      </c>
      <c r="G310" s="5" t="str">
        <f>_xlfn.XLOOKUP($N310,'Base de Grupos'!$A:$A,'Base de Grupos'!$I:$I)</f>
        <v>REGIONAL VENDA DIRETA CO + NE + NO</v>
      </c>
      <c r="H310" s="5" t="str">
        <f>_xlfn.XLOOKUP($N310,'Base de Grupos'!$A:$A,'Base de Grupos'!$J:$J)</f>
        <v>1000105900</v>
      </c>
      <c r="I310" s="2" t="str">
        <f>_xlfn.XLOOKUP($N310,'Base de Grupos'!$A:$A,'Base de Grupos'!$K:$K)</f>
        <v>REGIONAL VENDA DIRETA CO + NE + NO</v>
      </c>
      <c r="J310" s="2" t="str">
        <f>_xlfn.XLOOKUP($N310,'Base de Grupos'!$A:$A,'Base de Grupos'!$L:$L)</f>
        <v>1000176426</v>
      </c>
      <c r="K310" s="5" t="str">
        <f>_xlfn.XLOOKUP($N310,'Base de Grupos'!$A:$A,'Base de Grupos'!$M:$M)</f>
        <v>HEMANUELE ROSA DITZEL</v>
      </c>
      <c r="L310" s="5" t="str">
        <f t="shared" si="125"/>
        <v/>
      </c>
      <c r="M310" s="5" t="str">
        <f>_xlfn.XLOOKUP($N310,'Base de Grupos'!$A:$A,'Base de Grupos'!$C:$C)</f>
        <v>GO</v>
      </c>
      <c r="N310" s="3">
        <v>1356</v>
      </c>
      <c r="O310" s="4" t="s">
        <v>241</v>
      </c>
      <c r="P310" s="5" t="s">
        <v>81</v>
      </c>
      <c r="Q310" s="24">
        <v>0</v>
      </c>
      <c r="R310" s="24">
        <v>0</v>
      </c>
      <c r="S310" s="24">
        <v>0</v>
      </c>
      <c r="T310" s="24">
        <v>0</v>
      </c>
      <c r="U310" s="24">
        <v>0</v>
      </c>
      <c r="V310" s="24">
        <v>0</v>
      </c>
      <c r="W310" s="24">
        <v>0</v>
      </c>
      <c r="X310" s="24">
        <v>0</v>
      </c>
      <c r="Y310" s="24">
        <v>0</v>
      </c>
      <c r="Z310" s="24">
        <v>0</v>
      </c>
      <c r="AA310" s="24">
        <v>0</v>
      </c>
      <c r="AB310" s="24">
        <v>0</v>
      </c>
      <c r="AC310" s="30">
        <f t="shared" si="139"/>
        <v>0</v>
      </c>
      <c r="AD310" s="27">
        <f t="shared" ref="AD310:AD326" si="145">IF(AC310=0,0,AC310-AG310)</f>
        <v>0</v>
      </c>
      <c r="AE310" s="25">
        <f>IFERROR(_xlfn.XLOOKUP(N310&amp;P310,'Historico Vendas'!G:G,'Historico Vendas'!E:E),0)</f>
        <v>0</v>
      </c>
      <c r="AF310" s="29" t="str">
        <f t="shared" si="126"/>
        <v/>
      </c>
      <c r="AG310" s="24">
        <f>IFERROR(_xlfn.XLOOKUP(N310&amp;P310,'Historico Vendas'!G:G,'Historico Vendas'!F:F),0)</f>
        <v>0</v>
      </c>
      <c r="AH310" s="25">
        <f t="shared" ref="AH310:AH326" si="146">SUM(Q310:S310)</f>
        <v>0</v>
      </c>
      <c r="AI310" s="24">
        <f t="shared" ref="AI310:AI326" si="147">AH310-AG310</f>
        <v>0</v>
      </c>
      <c r="AJ310" s="11" t="str">
        <f t="shared" si="127"/>
        <v/>
      </c>
      <c r="AK310" s="9" t="s">
        <v>102</v>
      </c>
      <c r="AL310" s="13">
        <f>IFERROR(INDEX('Balizador da Meta'!$D$3:$F$23,MATCH(Quantidade!$P310,'Balizador da Meta'!$C$3:$C$23,0),MATCH(Quantidade!AK310,'Balizador da Meta'!$D$2:$F$2,0)),"")</f>
        <v>0.2</v>
      </c>
      <c r="AM310" s="9"/>
    </row>
    <row r="311" spans="1:39" x14ac:dyDescent="0.3">
      <c r="A311" s="2" t="str">
        <f t="shared" si="124"/>
        <v>NÃO</v>
      </c>
      <c r="B311" s="2" t="str">
        <f>_xlfn.XLOOKUP($N311,'Base de Grupos'!$A:$A,'Base de Grupos'!$D:$D)</f>
        <v>1000065763</v>
      </c>
      <c r="C311" s="5" t="str">
        <f>_xlfn.XLOOKUP($N311,'Base de Grupos'!$A:$A,'Base de Grupos'!$E:$E)</f>
        <v>CANAL VENDA INTERNA</v>
      </c>
      <c r="D311" s="5" t="str">
        <f>_xlfn.XLOOKUP($N311,'Base de Grupos'!$A:$A,'Base de Grupos'!$F:$F)</f>
        <v>1000065763</v>
      </c>
      <c r="E311" s="2" t="str">
        <f>_xlfn.XLOOKUP($N311,'Base de Grupos'!$A:$A,'Base de Grupos'!$G:$G)</f>
        <v>CANAL VENDA INTERNA</v>
      </c>
      <c r="F311" s="2" t="str">
        <f>_xlfn.XLOOKUP($N311,'Base de Grupos'!$A:$A,'Base de Grupos'!$H:$H)</f>
        <v>1000105900</v>
      </c>
      <c r="G311" s="5" t="str">
        <f>_xlfn.XLOOKUP($N311,'Base de Grupos'!$A:$A,'Base de Grupos'!$I:$I)</f>
        <v>REGIONAL VENDA DIRETA CO + NE + NO</v>
      </c>
      <c r="H311" s="5" t="str">
        <f>_xlfn.XLOOKUP($N311,'Base de Grupos'!$A:$A,'Base de Grupos'!$J:$J)</f>
        <v>1000105900</v>
      </c>
      <c r="I311" s="2" t="str">
        <f>_xlfn.XLOOKUP($N311,'Base de Grupos'!$A:$A,'Base de Grupos'!$K:$K)</f>
        <v>REGIONAL VENDA DIRETA CO + NE + NO</v>
      </c>
      <c r="J311" s="2" t="str">
        <f>_xlfn.XLOOKUP($N311,'Base de Grupos'!$A:$A,'Base de Grupos'!$L:$L)</f>
        <v>1000176426</v>
      </c>
      <c r="K311" s="5" t="str">
        <f>_xlfn.XLOOKUP($N311,'Base de Grupos'!$A:$A,'Base de Grupos'!$M:$M)</f>
        <v>HEMANUELE ROSA DITZEL</v>
      </c>
      <c r="L311" s="5" t="str">
        <f t="shared" si="125"/>
        <v/>
      </c>
      <c r="M311" s="5" t="str">
        <f>_xlfn.XLOOKUP($N311,'Base de Grupos'!$A:$A,'Base de Grupos'!$C:$C)</f>
        <v>GO</v>
      </c>
      <c r="N311" s="3">
        <v>1356</v>
      </c>
      <c r="O311" s="4" t="s">
        <v>241</v>
      </c>
      <c r="P311" s="5" t="s">
        <v>82</v>
      </c>
      <c r="Q311" s="24">
        <f>SUM(Q312:Q332)</f>
        <v>0</v>
      </c>
      <c r="R311" s="24">
        <f t="shared" ref="R311" si="148">SUM(R312:R332)</f>
        <v>0</v>
      </c>
      <c r="S311" s="24">
        <f t="shared" ref="S311" si="149">SUM(S312:S332)</f>
        <v>0</v>
      </c>
      <c r="T311" s="24">
        <f t="shared" ref="T311:AC311" si="150">SUM(T312:T332)</f>
        <v>0</v>
      </c>
      <c r="U311" s="24">
        <f t="shared" si="150"/>
        <v>0</v>
      </c>
      <c r="V311" s="24">
        <f t="shared" si="150"/>
        <v>0</v>
      </c>
      <c r="W311" s="24">
        <f t="shared" si="150"/>
        <v>0</v>
      </c>
      <c r="X311" s="24">
        <f t="shared" si="150"/>
        <v>0</v>
      </c>
      <c r="Y311" s="24">
        <f t="shared" si="150"/>
        <v>0</v>
      </c>
      <c r="Z311" s="24">
        <f t="shared" si="150"/>
        <v>0</v>
      </c>
      <c r="AA311" s="24">
        <f t="shared" si="150"/>
        <v>0</v>
      </c>
      <c r="AB311" s="24">
        <f t="shared" si="150"/>
        <v>0</v>
      </c>
      <c r="AC311" s="24">
        <f t="shared" si="150"/>
        <v>0</v>
      </c>
      <c r="AD311" s="27">
        <f t="shared" si="145"/>
        <v>0</v>
      </c>
      <c r="AE311" s="25">
        <f>IFERROR(_xlfn.XLOOKUP(N311&amp;P311,'Historico Vendas'!G:G,'Historico Vendas'!E:E),0)</f>
        <v>0</v>
      </c>
      <c r="AF311" s="29" t="str">
        <f t="shared" si="126"/>
        <v/>
      </c>
      <c r="AG311" s="24">
        <f>IFERROR(_xlfn.XLOOKUP(N311&amp;P311,'Historico Vendas'!G:G,'Historico Vendas'!F:F),0)</f>
        <v>0</v>
      </c>
      <c r="AH311" s="25">
        <f t="shared" si="146"/>
        <v>0</v>
      </c>
      <c r="AI311" s="24">
        <f t="shared" si="147"/>
        <v>0</v>
      </c>
      <c r="AJ311" s="11" t="str">
        <f t="shared" si="127"/>
        <v/>
      </c>
      <c r="AK311" s="9" t="s">
        <v>102</v>
      </c>
      <c r="AL311" s="13">
        <f>IFERROR(INDEX('Balizador da Meta'!$D$3:$F$23,MATCH(Quantidade!$P311,'Balizador da Meta'!$C$3:$C$23,0),MATCH(Quantidade!AK311,'Balizador da Meta'!$D$2:$F$2,0)),"")</f>
        <v>0.2</v>
      </c>
      <c r="AM311" s="9"/>
    </row>
    <row r="312" spans="1:39" x14ac:dyDescent="0.3">
      <c r="A312" s="2" t="str">
        <f t="shared" si="124"/>
        <v>NÃO</v>
      </c>
      <c r="B312" s="2" t="str">
        <f>_xlfn.XLOOKUP($N312,'Base de Grupos'!$A:$A,'Base de Grupos'!$D:$D)</f>
        <v>1000065763</v>
      </c>
      <c r="C312" s="5" t="str">
        <f>_xlfn.XLOOKUP($N312,'Base de Grupos'!$A:$A,'Base de Grupos'!$E:$E)</f>
        <v>CANAL VENDA INTERNA</v>
      </c>
      <c r="D312" s="5" t="str">
        <f>_xlfn.XLOOKUP($N312,'Base de Grupos'!$A:$A,'Base de Grupos'!$F:$F)</f>
        <v>1000065763</v>
      </c>
      <c r="E312" s="2" t="str">
        <f>_xlfn.XLOOKUP($N312,'Base de Grupos'!$A:$A,'Base de Grupos'!$G:$G)</f>
        <v>CANAL VENDA INTERNA</v>
      </c>
      <c r="F312" s="2" t="str">
        <f>_xlfn.XLOOKUP($N312,'Base de Grupos'!$A:$A,'Base de Grupos'!$H:$H)</f>
        <v>1000105900</v>
      </c>
      <c r="G312" s="5" t="str">
        <f>_xlfn.XLOOKUP($N312,'Base de Grupos'!$A:$A,'Base de Grupos'!$I:$I)</f>
        <v>REGIONAL VENDA DIRETA CO + NE + NO</v>
      </c>
      <c r="H312" s="5" t="str">
        <f>_xlfn.XLOOKUP($N312,'Base de Grupos'!$A:$A,'Base de Grupos'!$J:$J)</f>
        <v>1000105900</v>
      </c>
      <c r="I312" s="2" t="str">
        <f>_xlfn.XLOOKUP($N312,'Base de Grupos'!$A:$A,'Base de Grupos'!$K:$K)</f>
        <v>REGIONAL VENDA DIRETA CO + NE + NO</v>
      </c>
      <c r="J312" s="2" t="str">
        <f>_xlfn.XLOOKUP($N312,'Base de Grupos'!$A:$A,'Base de Grupos'!$L:$L)</f>
        <v>1000176426</v>
      </c>
      <c r="K312" s="5" t="str">
        <f>_xlfn.XLOOKUP($N312,'Base de Grupos'!$A:$A,'Base de Grupos'!$M:$M)</f>
        <v>HEMANUELE ROSA DITZEL</v>
      </c>
      <c r="L312" s="5" t="str">
        <f t="shared" si="125"/>
        <v/>
      </c>
      <c r="M312" s="5" t="str">
        <f>_xlfn.XLOOKUP($N312,'Base de Grupos'!$A:$A,'Base de Grupos'!$C:$C)</f>
        <v>GO</v>
      </c>
      <c r="N312" s="3">
        <v>1356</v>
      </c>
      <c r="O312" s="4" t="s">
        <v>241</v>
      </c>
      <c r="P312" s="5" t="s">
        <v>84</v>
      </c>
      <c r="Q312" s="24">
        <v>0</v>
      </c>
      <c r="R312" s="24">
        <v>0</v>
      </c>
      <c r="S312" s="24">
        <v>0</v>
      </c>
      <c r="T312" s="24">
        <v>0</v>
      </c>
      <c r="U312" s="24">
        <v>0</v>
      </c>
      <c r="V312" s="24">
        <v>0</v>
      </c>
      <c r="W312" s="24">
        <v>0</v>
      </c>
      <c r="X312" s="24">
        <v>0</v>
      </c>
      <c r="Y312" s="24">
        <v>0</v>
      </c>
      <c r="Z312" s="24">
        <v>0</v>
      </c>
      <c r="AA312" s="24">
        <v>0</v>
      </c>
      <c r="AB312" s="24">
        <v>0</v>
      </c>
      <c r="AC312" s="30">
        <f t="shared" ref="AC312:AC332" si="151">SUM(T312:AB312)</f>
        <v>0</v>
      </c>
      <c r="AD312" s="27">
        <f t="shared" si="145"/>
        <v>0</v>
      </c>
      <c r="AE312" s="25">
        <f>IFERROR(_xlfn.XLOOKUP(N312&amp;P312,'Historico Vendas'!G:G,'Historico Vendas'!E:E),0)</f>
        <v>0</v>
      </c>
      <c r="AF312" s="29" t="str">
        <f t="shared" si="126"/>
        <v/>
      </c>
      <c r="AG312" s="24">
        <f>IFERROR(_xlfn.XLOOKUP(N312&amp;P312,'Historico Vendas'!G:G,'Historico Vendas'!F:F),0)</f>
        <v>0</v>
      </c>
      <c r="AH312" s="25">
        <f t="shared" si="146"/>
        <v>0</v>
      </c>
      <c r="AI312" s="24">
        <f t="shared" si="147"/>
        <v>0</v>
      </c>
      <c r="AJ312" s="11" t="str">
        <f t="shared" si="127"/>
        <v/>
      </c>
      <c r="AK312" s="9" t="s">
        <v>102</v>
      </c>
      <c r="AL312" s="13">
        <f>IFERROR(INDEX('Balizador da Meta'!$D$3:$F$23,MATCH(Quantidade!$P312,'Balizador da Meta'!$C$3:$C$23,0),MATCH(Quantidade!AK312,'Balizador da Meta'!$D$2:$F$2,0)),"")</f>
        <v>0.15</v>
      </c>
      <c r="AM312" s="9"/>
    </row>
    <row r="313" spans="1:39" x14ac:dyDescent="0.3">
      <c r="A313" s="2" t="str">
        <f t="shared" si="124"/>
        <v>NÃO</v>
      </c>
      <c r="B313" s="2" t="str">
        <f>_xlfn.XLOOKUP($N313,'Base de Grupos'!$A:$A,'Base de Grupos'!$D:$D)</f>
        <v>1000065763</v>
      </c>
      <c r="C313" s="5" t="str">
        <f>_xlfn.XLOOKUP($N313,'Base de Grupos'!$A:$A,'Base de Grupos'!$E:$E)</f>
        <v>CANAL VENDA INTERNA</v>
      </c>
      <c r="D313" s="5" t="str">
        <f>_xlfn.XLOOKUP($N313,'Base de Grupos'!$A:$A,'Base de Grupos'!$F:$F)</f>
        <v>1000065763</v>
      </c>
      <c r="E313" s="2" t="str">
        <f>_xlfn.XLOOKUP($N313,'Base de Grupos'!$A:$A,'Base de Grupos'!$G:$G)</f>
        <v>CANAL VENDA INTERNA</v>
      </c>
      <c r="F313" s="2" t="str">
        <f>_xlfn.XLOOKUP($N313,'Base de Grupos'!$A:$A,'Base de Grupos'!$H:$H)</f>
        <v>1000105900</v>
      </c>
      <c r="G313" s="5" t="str">
        <f>_xlfn.XLOOKUP($N313,'Base de Grupos'!$A:$A,'Base de Grupos'!$I:$I)</f>
        <v>REGIONAL VENDA DIRETA CO + NE + NO</v>
      </c>
      <c r="H313" s="5" t="str">
        <f>_xlfn.XLOOKUP($N313,'Base de Grupos'!$A:$A,'Base de Grupos'!$J:$J)</f>
        <v>1000105900</v>
      </c>
      <c r="I313" s="2" t="str">
        <f>_xlfn.XLOOKUP($N313,'Base de Grupos'!$A:$A,'Base de Grupos'!$K:$K)</f>
        <v>REGIONAL VENDA DIRETA CO + NE + NO</v>
      </c>
      <c r="J313" s="2" t="str">
        <f>_xlfn.XLOOKUP($N313,'Base de Grupos'!$A:$A,'Base de Grupos'!$L:$L)</f>
        <v>1000176426</v>
      </c>
      <c r="K313" s="5" t="str">
        <f>_xlfn.XLOOKUP($N313,'Base de Grupos'!$A:$A,'Base de Grupos'!$M:$M)</f>
        <v>HEMANUELE ROSA DITZEL</v>
      </c>
      <c r="L313" s="5" t="str">
        <f t="shared" si="125"/>
        <v/>
      </c>
      <c r="M313" s="5" t="str">
        <f>_xlfn.XLOOKUP($N313,'Base de Grupos'!$A:$A,'Base de Grupos'!$C:$C)</f>
        <v>GO</v>
      </c>
      <c r="N313" s="3">
        <v>1356</v>
      </c>
      <c r="O313" s="4" t="s">
        <v>241</v>
      </c>
      <c r="P313" s="5" t="s">
        <v>83</v>
      </c>
      <c r="Q313" s="24">
        <v>0</v>
      </c>
      <c r="R313" s="24">
        <v>0</v>
      </c>
      <c r="S313" s="24">
        <v>0</v>
      </c>
      <c r="T313" s="24">
        <v>0</v>
      </c>
      <c r="U313" s="24">
        <v>0</v>
      </c>
      <c r="V313" s="24">
        <v>0</v>
      </c>
      <c r="W313" s="24">
        <v>0</v>
      </c>
      <c r="X313" s="24">
        <v>0</v>
      </c>
      <c r="Y313" s="24">
        <v>0</v>
      </c>
      <c r="Z313" s="24">
        <v>0</v>
      </c>
      <c r="AA313" s="24">
        <v>0</v>
      </c>
      <c r="AB313" s="24">
        <v>0</v>
      </c>
      <c r="AC313" s="30">
        <f t="shared" si="151"/>
        <v>0</v>
      </c>
      <c r="AD313" s="27">
        <f t="shared" si="145"/>
        <v>0</v>
      </c>
      <c r="AE313" s="25">
        <f>IFERROR(_xlfn.XLOOKUP(N313&amp;P313,'Historico Vendas'!G:G,'Historico Vendas'!E:E),0)</f>
        <v>0</v>
      </c>
      <c r="AF313" s="29" t="str">
        <f t="shared" si="126"/>
        <v/>
      </c>
      <c r="AG313" s="24">
        <f>IFERROR(_xlfn.XLOOKUP(N313&amp;P313,'Historico Vendas'!G:G,'Historico Vendas'!F:F),0)</f>
        <v>0</v>
      </c>
      <c r="AH313" s="25">
        <f t="shared" si="146"/>
        <v>0</v>
      </c>
      <c r="AI313" s="24">
        <f t="shared" si="147"/>
        <v>0</v>
      </c>
      <c r="AJ313" s="11" t="str">
        <f t="shared" si="127"/>
        <v/>
      </c>
      <c r="AK313" s="9" t="s">
        <v>102</v>
      </c>
      <c r="AL313" s="13">
        <f>IFERROR(INDEX('Balizador da Meta'!$D$3:$F$23,MATCH(Quantidade!$P313,'Balizador da Meta'!$C$3:$C$23,0),MATCH(Quantidade!AK313,'Balizador da Meta'!$D$2:$F$2,0)),"")</f>
        <v>0</v>
      </c>
      <c r="AM313" s="9"/>
    </row>
    <row r="314" spans="1:39" x14ac:dyDescent="0.3">
      <c r="A314" s="2" t="str">
        <f t="shared" si="124"/>
        <v>NÃO</v>
      </c>
      <c r="B314" s="2" t="str">
        <f>_xlfn.XLOOKUP($N314,'Base de Grupos'!$A:$A,'Base de Grupos'!$D:$D)</f>
        <v>1000065763</v>
      </c>
      <c r="C314" s="5" t="str">
        <f>_xlfn.XLOOKUP($N314,'Base de Grupos'!$A:$A,'Base de Grupos'!$E:$E)</f>
        <v>CANAL VENDA INTERNA</v>
      </c>
      <c r="D314" s="5" t="str">
        <f>_xlfn.XLOOKUP($N314,'Base de Grupos'!$A:$A,'Base de Grupos'!$F:$F)</f>
        <v>1000065763</v>
      </c>
      <c r="E314" s="2" t="str">
        <f>_xlfn.XLOOKUP($N314,'Base de Grupos'!$A:$A,'Base de Grupos'!$G:$G)</f>
        <v>CANAL VENDA INTERNA</v>
      </c>
      <c r="F314" s="2" t="str">
        <f>_xlfn.XLOOKUP($N314,'Base de Grupos'!$A:$A,'Base de Grupos'!$H:$H)</f>
        <v>1000105900</v>
      </c>
      <c r="G314" s="5" t="str">
        <f>_xlfn.XLOOKUP($N314,'Base de Grupos'!$A:$A,'Base de Grupos'!$I:$I)</f>
        <v>REGIONAL VENDA DIRETA CO + NE + NO</v>
      </c>
      <c r="H314" s="5" t="str">
        <f>_xlfn.XLOOKUP($N314,'Base de Grupos'!$A:$A,'Base de Grupos'!$J:$J)</f>
        <v>1000105900</v>
      </c>
      <c r="I314" s="2" t="str">
        <f>_xlfn.XLOOKUP($N314,'Base de Grupos'!$A:$A,'Base de Grupos'!$K:$K)</f>
        <v>REGIONAL VENDA DIRETA CO + NE + NO</v>
      </c>
      <c r="J314" s="2" t="str">
        <f>_xlfn.XLOOKUP($N314,'Base de Grupos'!$A:$A,'Base de Grupos'!$L:$L)</f>
        <v>1000176426</v>
      </c>
      <c r="K314" s="5" t="str">
        <f>_xlfn.XLOOKUP($N314,'Base de Grupos'!$A:$A,'Base de Grupos'!$M:$M)</f>
        <v>HEMANUELE ROSA DITZEL</v>
      </c>
      <c r="L314" s="5" t="str">
        <f t="shared" si="125"/>
        <v/>
      </c>
      <c r="M314" s="5" t="str">
        <f>_xlfn.XLOOKUP($N314,'Base de Grupos'!$A:$A,'Base de Grupos'!$C:$C)</f>
        <v>GO</v>
      </c>
      <c r="N314" s="3">
        <v>1356</v>
      </c>
      <c r="O314" s="4" t="s">
        <v>241</v>
      </c>
      <c r="P314" s="5" t="s">
        <v>87</v>
      </c>
      <c r="Q314" s="24">
        <v>0</v>
      </c>
      <c r="R314" s="24">
        <v>0</v>
      </c>
      <c r="S314" s="24">
        <v>0</v>
      </c>
      <c r="T314" s="24">
        <v>0</v>
      </c>
      <c r="U314" s="24">
        <v>0</v>
      </c>
      <c r="V314" s="24">
        <v>0</v>
      </c>
      <c r="W314" s="24">
        <v>0</v>
      </c>
      <c r="X314" s="24">
        <v>0</v>
      </c>
      <c r="Y314" s="24">
        <v>0</v>
      </c>
      <c r="Z314" s="24">
        <v>0</v>
      </c>
      <c r="AA314" s="24">
        <v>0</v>
      </c>
      <c r="AB314" s="24">
        <v>0</v>
      </c>
      <c r="AC314" s="30">
        <f t="shared" si="151"/>
        <v>0</v>
      </c>
      <c r="AD314" s="27">
        <f t="shared" si="145"/>
        <v>0</v>
      </c>
      <c r="AE314" s="25">
        <f>IFERROR(_xlfn.XLOOKUP(N314&amp;P314,'Historico Vendas'!G:G,'Historico Vendas'!E:E),0)</f>
        <v>0</v>
      </c>
      <c r="AF314" s="29" t="str">
        <f t="shared" si="126"/>
        <v/>
      </c>
      <c r="AG314" s="24">
        <f>IFERROR(_xlfn.XLOOKUP(N314&amp;P314,'Historico Vendas'!G:G,'Historico Vendas'!F:F),0)</f>
        <v>0</v>
      </c>
      <c r="AH314" s="25">
        <f t="shared" si="146"/>
        <v>0</v>
      </c>
      <c r="AI314" s="24">
        <f t="shared" si="147"/>
        <v>0</v>
      </c>
      <c r="AJ314" s="11" t="str">
        <f t="shared" si="127"/>
        <v/>
      </c>
      <c r="AK314" s="9" t="s">
        <v>102</v>
      </c>
      <c r="AL314" s="13">
        <f>IFERROR(INDEX('Balizador da Meta'!$D$3:$F$23,MATCH(Quantidade!$P314,'Balizador da Meta'!$C$3:$C$23,0),MATCH(Quantidade!AK314,'Balizador da Meta'!$D$2:$F$2,0)),"")</f>
        <v>0</v>
      </c>
      <c r="AM314" s="9"/>
    </row>
    <row r="315" spans="1:39" x14ac:dyDescent="0.3">
      <c r="A315" s="2" t="str">
        <f t="shared" si="124"/>
        <v>NÃO</v>
      </c>
      <c r="B315" s="2" t="str">
        <f>_xlfn.XLOOKUP($N315,'Base de Grupos'!$A:$A,'Base de Grupos'!$D:$D)</f>
        <v>1000065763</v>
      </c>
      <c r="C315" s="5" t="str">
        <f>_xlfn.XLOOKUP($N315,'Base de Grupos'!$A:$A,'Base de Grupos'!$E:$E)</f>
        <v>CANAL VENDA INTERNA</v>
      </c>
      <c r="D315" s="5" t="str">
        <f>_xlfn.XLOOKUP($N315,'Base de Grupos'!$A:$A,'Base de Grupos'!$F:$F)</f>
        <v>1000065763</v>
      </c>
      <c r="E315" s="2" t="str">
        <f>_xlfn.XLOOKUP($N315,'Base de Grupos'!$A:$A,'Base de Grupos'!$G:$G)</f>
        <v>CANAL VENDA INTERNA</v>
      </c>
      <c r="F315" s="2" t="str">
        <f>_xlfn.XLOOKUP($N315,'Base de Grupos'!$A:$A,'Base de Grupos'!$H:$H)</f>
        <v>1000105900</v>
      </c>
      <c r="G315" s="5" t="str">
        <f>_xlfn.XLOOKUP($N315,'Base de Grupos'!$A:$A,'Base de Grupos'!$I:$I)</f>
        <v>REGIONAL VENDA DIRETA CO + NE + NO</v>
      </c>
      <c r="H315" s="5" t="str">
        <f>_xlfn.XLOOKUP($N315,'Base de Grupos'!$A:$A,'Base de Grupos'!$J:$J)</f>
        <v>1000105900</v>
      </c>
      <c r="I315" s="2" t="str">
        <f>_xlfn.XLOOKUP($N315,'Base de Grupos'!$A:$A,'Base de Grupos'!$K:$K)</f>
        <v>REGIONAL VENDA DIRETA CO + NE + NO</v>
      </c>
      <c r="J315" s="2" t="str">
        <f>_xlfn.XLOOKUP($N315,'Base de Grupos'!$A:$A,'Base de Grupos'!$L:$L)</f>
        <v>1000176426</v>
      </c>
      <c r="K315" s="5" t="str">
        <f>_xlfn.XLOOKUP($N315,'Base de Grupos'!$A:$A,'Base de Grupos'!$M:$M)</f>
        <v>HEMANUELE ROSA DITZEL</v>
      </c>
      <c r="L315" s="5" t="str">
        <f t="shared" si="125"/>
        <v/>
      </c>
      <c r="M315" s="5" t="str">
        <f>_xlfn.XLOOKUP($N315,'Base de Grupos'!$A:$A,'Base de Grupos'!$C:$C)</f>
        <v>GO</v>
      </c>
      <c r="N315" s="3">
        <v>1356</v>
      </c>
      <c r="O315" s="4" t="s">
        <v>241</v>
      </c>
      <c r="P315" s="5" t="s">
        <v>85</v>
      </c>
      <c r="Q315" s="24">
        <v>0</v>
      </c>
      <c r="R315" s="24">
        <v>0</v>
      </c>
      <c r="S315" s="24">
        <v>0</v>
      </c>
      <c r="T315" s="24">
        <v>0</v>
      </c>
      <c r="U315" s="24">
        <v>0</v>
      </c>
      <c r="V315" s="24">
        <v>0</v>
      </c>
      <c r="W315" s="24">
        <v>0</v>
      </c>
      <c r="X315" s="24">
        <v>0</v>
      </c>
      <c r="Y315" s="24">
        <v>0</v>
      </c>
      <c r="Z315" s="24">
        <v>0</v>
      </c>
      <c r="AA315" s="24">
        <v>0</v>
      </c>
      <c r="AB315" s="24">
        <v>0</v>
      </c>
      <c r="AC315" s="30">
        <f t="shared" si="151"/>
        <v>0</v>
      </c>
      <c r="AD315" s="27">
        <f t="shared" si="145"/>
        <v>0</v>
      </c>
      <c r="AE315" s="25">
        <f>IFERROR(_xlfn.XLOOKUP(N315&amp;P315,'Historico Vendas'!G:G,'Historico Vendas'!E:E),0)</f>
        <v>0</v>
      </c>
      <c r="AF315" s="29" t="str">
        <f t="shared" si="126"/>
        <v/>
      </c>
      <c r="AG315" s="24">
        <f>IFERROR(_xlfn.XLOOKUP(N315&amp;P315,'Historico Vendas'!G:G,'Historico Vendas'!F:F),0)</f>
        <v>0</v>
      </c>
      <c r="AH315" s="25">
        <f t="shared" si="146"/>
        <v>0</v>
      </c>
      <c r="AI315" s="24">
        <f t="shared" si="147"/>
        <v>0</v>
      </c>
      <c r="AJ315" s="11" t="str">
        <f t="shared" si="127"/>
        <v/>
      </c>
      <c r="AK315" s="9" t="s">
        <v>102</v>
      </c>
      <c r="AL315" s="13">
        <f>IFERROR(INDEX('Balizador da Meta'!$D$3:$F$23,MATCH(Quantidade!$P315,'Balizador da Meta'!$C$3:$C$23,0),MATCH(Quantidade!AK315,'Balizador da Meta'!$D$2:$F$2,0)),"")</f>
        <v>0</v>
      </c>
      <c r="AM315" s="9"/>
    </row>
    <row r="316" spans="1:39" x14ac:dyDescent="0.3">
      <c r="A316" s="2" t="str">
        <f t="shared" si="124"/>
        <v>NÃO</v>
      </c>
      <c r="B316" s="2" t="str">
        <f>_xlfn.XLOOKUP($N316,'Base de Grupos'!$A:$A,'Base de Grupos'!$D:$D)</f>
        <v>1000065763</v>
      </c>
      <c r="C316" s="5" t="str">
        <f>_xlfn.XLOOKUP($N316,'Base de Grupos'!$A:$A,'Base de Grupos'!$E:$E)</f>
        <v>CANAL VENDA INTERNA</v>
      </c>
      <c r="D316" s="5" t="str">
        <f>_xlfn.XLOOKUP($N316,'Base de Grupos'!$A:$A,'Base de Grupos'!$F:$F)</f>
        <v>1000065763</v>
      </c>
      <c r="E316" s="2" t="str">
        <f>_xlfn.XLOOKUP($N316,'Base de Grupos'!$A:$A,'Base de Grupos'!$G:$G)</f>
        <v>CANAL VENDA INTERNA</v>
      </c>
      <c r="F316" s="2" t="str">
        <f>_xlfn.XLOOKUP($N316,'Base de Grupos'!$A:$A,'Base de Grupos'!$H:$H)</f>
        <v>1000105900</v>
      </c>
      <c r="G316" s="5" t="str">
        <f>_xlfn.XLOOKUP($N316,'Base de Grupos'!$A:$A,'Base de Grupos'!$I:$I)</f>
        <v>REGIONAL VENDA DIRETA CO + NE + NO</v>
      </c>
      <c r="H316" s="5" t="str">
        <f>_xlfn.XLOOKUP($N316,'Base de Grupos'!$A:$A,'Base de Grupos'!$J:$J)</f>
        <v>1000105900</v>
      </c>
      <c r="I316" s="2" t="str">
        <f>_xlfn.XLOOKUP($N316,'Base de Grupos'!$A:$A,'Base de Grupos'!$K:$K)</f>
        <v>REGIONAL VENDA DIRETA CO + NE + NO</v>
      </c>
      <c r="J316" s="2" t="str">
        <f>_xlfn.XLOOKUP($N316,'Base de Grupos'!$A:$A,'Base de Grupos'!$L:$L)</f>
        <v>1000176426</v>
      </c>
      <c r="K316" s="5" t="str">
        <f>_xlfn.XLOOKUP($N316,'Base de Grupos'!$A:$A,'Base de Grupos'!$M:$M)</f>
        <v>HEMANUELE ROSA DITZEL</v>
      </c>
      <c r="L316" s="5" t="str">
        <f t="shared" si="125"/>
        <v/>
      </c>
      <c r="M316" s="5" t="str">
        <f>_xlfn.XLOOKUP($N316,'Base de Grupos'!$A:$A,'Base de Grupos'!$C:$C)</f>
        <v>GO</v>
      </c>
      <c r="N316" s="3">
        <v>1356</v>
      </c>
      <c r="O316" s="4" t="s">
        <v>241</v>
      </c>
      <c r="P316" s="5" t="s">
        <v>92</v>
      </c>
      <c r="Q316" s="24">
        <v>0</v>
      </c>
      <c r="R316" s="24">
        <v>0</v>
      </c>
      <c r="S316" s="24">
        <v>0</v>
      </c>
      <c r="T316" s="24">
        <v>0</v>
      </c>
      <c r="U316" s="24">
        <v>0</v>
      </c>
      <c r="V316" s="24">
        <v>0</v>
      </c>
      <c r="W316" s="24">
        <v>0</v>
      </c>
      <c r="X316" s="24">
        <v>0</v>
      </c>
      <c r="Y316" s="24">
        <v>0</v>
      </c>
      <c r="Z316" s="24">
        <v>0</v>
      </c>
      <c r="AA316" s="24">
        <v>0</v>
      </c>
      <c r="AB316" s="24">
        <v>0</v>
      </c>
      <c r="AC316" s="30">
        <f t="shared" si="151"/>
        <v>0</v>
      </c>
      <c r="AD316" s="27">
        <f t="shared" si="145"/>
        <v>0</v>
      </c>
      <c r="AE316" s="25">
        <f>IFERROR(_xlfn.XLOOKUP(N316&amp;P316,'Historico Vendas'!G:G,'Historico Vendas'!E:E),0)</f>
        <v>0</v>
      </c>
      <c r="AF316" s="29" t="str">
        <f t="shared" si="126"/>
        <v/>
      </c>
      <c r="AG316" s="24">
        <f>IFERROR(_xlfn.XLOOKUP(N316&amp;P316,'Historico Vendas'!G:G,'Historico Vendas'!F:F),0)</f>
        <v>0</v>
      </c>
      <c r="AH316" s="25">
        <f t="shared" si="146"/>
        <v>0</v>
      </c>
      <c r="AI316" s="24">
        <f t="shared" si="147"/>
        <v>0</v>
      </c>
      <c r="AJ316" s="11" t="str">
        <f t="shared" si="127"/>
        <v/>
      </c>
      <c r="AK316" s="9" t="s">
        <v>102</v>
      </c>
      <c r="AL316" s="13">
        <f>IFERROR(INDEX('Balizador da Meta'!$D$3:$F$23,MATCH(Quantidade!$P316,'Balizador da Meta'!$C$3:$C$23,0),MATCH(Quantidade!AK316,'Balizador da Meta'!$D$2:$F$2,0)),"")</f>
        <v>0</v>
      </c>
      <c r="AM316" s="9"/>
    </row>
    <row r="317" spans="1:39" x14ac:dyDescent="0.3">
      <c r="A317" s="2" t="str">
        <f t="shared" si="124"/>
        <v>NÃO</v>
      </c>
      <c r="B317" s="2" t="str">
        <f>_xlfn.XLOOKUP($N317,'Base de Grupos'!$A:$A,'Base de Grupos'!$D:$D)</f>
        <v>1000065763</v>
      </c>
      <c r="C317" s="5" t="str">
        <f>_xlfn.XLOOKUP($N317,'Base de Grupos'!$A:$A,'Base de Grupos'!$E:$E)</f>
        <v>CANAL VENDA INTERNA</v>
      </c>
      <c r="D317" s="5" t="str">
        <f>_xlfn.XLOOKUP($N317,'Base de Grupos'!$A:$A,'Base de Grupos'!$F:$F)</f>
        <v>1000065763</v>
      </c>
      <c r="E317" s="2" t="str">
        <f>_xlfn.XLOOKUP($N317,'Base de Grupos'!$A:$A,'Base de Grupos'!$G:$G)</f>
        <v>CANAL VENDA INTERNA</v>
      </c>
      <c r="F317" s="2" t="str">
        <f>_xlfn.XLOOKUP($N317,'Base de Grupos'!$A:$A,'Base de Grupos'!$H:$H)</f>
        <v>1000105900</v>
      </c>
      <c r="G317" s="5" t="str">
        <f>_xlfn.XLOOKUP($N317,'Base de Grupos'!$A:$A,'Base de Grupos'!$I:$I)</f>
        <v>REGIONAL VENDA DIRETA CO + NE + NO</v>
      </c>
      <c r="H317" s="5" t="str">
        <f>_xlfn.XLOOKUP($N317,'Base de Grupos'!$A:$A,'Base de Grupos'!$J:$J)</f>
        <v>1000105900</v>
      </c>
      <c r="I317" s="2" t="str">
        <f>_xlfn.XLOOKUP($N317,'Base de Grupos'!$A:$A,'Base de Grupos'!$K:$K)</f>
        <v>REGIONAL VENDA DIRETA CO + NE + NO</v>
      </c>
      <c r="J317" s="2" t="str">
        <f>_xlfn.XLOOKUP($N317,'Base de Grupos'!$A:$A,'Base de Grupos'!$L:$L)</f>
        <v>1000176426</v>
      </c>
      <c r="K317" s="5" t="str">
        <f>_xlfn.XLOOKUP($N317,'Base de Grupos'!$A:$A,'Base de Grupos'!$M:$M)</f>
        <v>HEMANUELE ROSA DITZEL</v>
      </c>
      <c r="L317" s="5" t="str">
        <f t="shared" si="125"/>
        <v/>
      </c>
      <c r="M317" s="5" t="str">
        <f>_xlfn.XLOOKUP($N317,'Base de Grupos'!$A:$A,'Base de Grupos'!$C:$C)</f>
        <v>GO</v>
      </c>
      <c r="N317" s="3">
        <v>1356</v>
      </c>
      <c r="O317" s="4" t="s">
        <v>241</v>
      </c>
      <c r="P317" s="5" t="s">
        <v>86</v>
      </c>
      <c r="Q317" s="24">
        <v>0</v>
      </c>
      <c r="R317" s="24">
        <v>0</v>
      </c>
      <c r="S317" s="24">
        <v>0</v>
      </c>
      <c r="T317" s="24">
        <v>0</v>
      </c>
      <c r="U317" s="24">
        <v>0</v>
      </c>
      <c r="V317" s="24">
        <v>0</v>
      </c>
      <c r="W317" s="24">
        <v>0</v>
      </c>
      <c r="X317" s="24">
        <v>0</v>
      </c>
      <c r="Y317" s="24">
        <v>0</v>
      </c>
      <c r="Z317" s="24">
        <v>0</v>
      </c>
      <c r="AA317" s="24">
        <v>0</v>
      </c>
      <c r="AB317" s="24">
        <v>0</v>
      </c>
      <c r="AC317" s="30">
        <f t="shared" si="151"/>
        <v>0</v>
      </c>
      <c r="AD317" s="27">
        <f t="shared" si="145"/>
        <v>0</v>
      </c>
      <c r="AE317" s="25">
        <f>IFERROR(_xlfn.XLOOKUP(N317&amp;P317,'Historico Vendas'!G:G,'Historico Vendas'!E:E),0)</f>
        <v>0</v>
      </c>
      <c r="AF317" s="29" t="str">
        <f t="shared" si="126"/>
        <v/>
      </c>
      <c r="AG317" s="24">
        <f>IFERROR(_xlfn.XLOOKUP(N317&amp;P317,'Historico Vendas'!G:G,'Historico Vendas'!F:F),0)</f>
        <v>0</v>
      </c>
      <c r="AH317" s="25">
        <f t="shared" si="146"/>
        <v>0</v>
      </c>
      <c r="AI317" s="24">
        <f t="shared" si="147"/>
        <v>0</v>
      </c>
      <c r="AJ317" s="11" t="str">
        <f t="shared" si="127"/>
        <v/>
      </c>
      <c r="AK317" s="9" t="s">
        <v>102</v>
      </c>
      <c r="AL317" s="13">
        <f>IFERROR(INDEX('Balizador da Meta'!$D$3:$F$23,MATCH(Quantidade!$P317,'Balizador da Meta'!$C$3:$C$23,0),MATCH(Quantidade!AK317,'Balizador da Meta'!$D$2:$F$2,0)),"")</f>
        <v>0.15</v>
      </c>
      <c r="AM317" s="9"/>
    </row>
    <row r="318" spans="1:39" x14ac:dyDescent="0.3">
      <c r="A318" s="2" t="str">
        <f t="shared" si="124"/>
        <v>NÃO</v>
      </c>
      <c r="B318" s="2" t="str">
        <f>_xlfn.XLOOKUP($N318,'Base de Grupos'!$A:$A,'Base de Grupos'!$D:$D)</f>
        <v>1000065763</v>
      </c>
      <c r="C318" s="5" t="str">
        <f>_xlfn.XLOOKUP($N318,'Base de Grupos'!$A:$A,'Base de Grupos'!$E:$E)</f>
        <v>CANAL VENDA INTERNA</v>
      </c>
      <c r="D318" s="5" t="str">
        <f>_xlfn.XLOOKUP($N318,'Base de Grupos'!$A:$A,'Base de Grupos'!$F:$F)</f>
        <v>1000065763</v>
      </c>
      <c r="E318" s="2" t="str">
        <f>_xlfn.XLOOKUP($N318,'Base de Grupos'!$A:$A,'Base de Grupos'!$G:$G)</f>
        <v>CANAL VENDA INTERNA</v>
      </c>
      <c r="F318" s="2" t="str">
        <f>_xlfn.XLOOKUP($N318,'Base de Grupos'!$A:$A,'Base de Grupos'!$H:$H)</f>
        <v>1000105900</v>
      </c>
      <c r="G318" s="5" t="str">
        <f>_xlfn.XLOOKUP($N318,'Base de Grupos'!$A:$A,'Base de Grupos'!$I:$I)</f>
        <v>REGIONAL VENDA DIRETA CO + NE + NO</v>
      </c>
      <c r="H318" s="5" t="str">
        <f>_xlfn.XLOOKUP($N318,'Base de Grupos'!$A:$A,'Base de Grupos'!$J:$J)</f>
        <v>1000105900</v>
      </c>
      <c r="I318" s="2" t="str">
        <f>_xlfn.XLOOKUP($N318,'Base de Grupos'!$A:$A,'Base de Grupos'!$K:$K)</f>
        <v>REGIONAL VENDA DIRETA CO + NE + NO</v>
      </c>
      <c r="J318" s="2" t="str">
        <f>_xlfn.XLOOKUP($N318,'Base de Grupos'!$A:$A,'Base de Grupos'!$L:$L)</f>
        <v>1000176426</v>
      </c>
      <c r="K318" s="5" t="str">
        <f>_xlfn.XLOOKUP($N318,'Base de Grupos'!$A:$A,'Base de Grupos'!$M:$M)</f>
        <v>HEMANUELE ROSA DITZEL</v>
      </c>
      <c r="L318" s="5" t="str">
        <f t="shared" si="125"/>
        <v/>
      </c>
      <c r="M318" s="5" t="str">
        <f>_xlfn.XLOOKUP($N318,'Base de Grupos'!$A:$A,'Base de Grupos'!$C:$C)</f>
        <v>GO</v>
      </c>
      <c r="N318" s="3">
        <v>1356</v>
      </c>
      <c r="O318" s="4" t="s">
        <v>241</v>
      </c>
      <c r="P318" s="5" t="s">
        <v>108</v>
      </c>
      <c r="Q318" s="24">
        <v>0</v>
      </c>
      <c r="R318" s="24">
        <v>0</v>
      </c>
      <c r="S318" s="24">
        <v>0</v>
      </c>
      <c r="T318" s="24">
        <v>0</v>
      </c>
      <c r="U318" s="24">
        <v>0</v>
      </c>
      <c r="V318" s="24">
        <v>0</v>
      </c>
      <c r="W318" s="24">
        <v>0</v>
      </c>
      <c r="X318" s="24">
        <v>0</v>
      </c>
      <c r="Y318" s="24">
        <v>0</v>
      </c>
      <c r="Z318" s="24">
        <v>0</v>
      </c>
      <c r="AA318" s="24">
        <v>0</v>
      </c>
      <c r="AB318" s="24">
        <v>0</v>
      </c>
      <c r="AC318" s="30">
        <f t="shared" si="151"/>
        <v>0</v>
      </c>
      <c r="AD318" s="27">
        <f t="shared" si="145"/>
        <v>0</v>
      </c>
      <c r="AE318" s="25">
        <f>IFERROR(_xlfn.XLOOKUP(N318&amp;P318,'Historico Vendas'!G:G,'Historico Vendas'!E:E),0)</f>
        <v>0</v>
      </c>
      <c r="AF318" s="29" t="str">
        <f t="shared" si="126"/>
        <v/>
      </c>
      <c r="AG318" s="24">
        <f>IFERROR(_xlfn.XLOOKUP(N318&amp;P318,'Historico Vendas'!G:G,'Historico Vendas'!F:F),0)</f>
        <v>0</v>
      </c>
      <c r="AH318" s="25">
        <f t="shared" si="146"/>
        <v>0</v>
      </c>
      <c r="AI318" s="24">
        <f t="shared" si="147"/>
        <v>0</v>
      </c>
      <c r="AJ318" s="11" t="str">
        <f t="shared" si="127"/>
        <v/>
      </c>
      <c r="AK318" s="9" t="s">
        <v>102</v>
      </c>
      <c r="AL318" s="13">
        <f>IFERROR(INDEX('Balizador da Meta'!$D$3:$F$23,MATCH(Quantidade!$P318,'Balizador da Meta'!$C$3:$C$23,0),MATCH(Quantidade!AK318,'Balizador da Meta'!$D$2:$F$2,0)),"")</f>
        <v>0</v>
      </c>
      <c r="AM318" s="9"/>
    </row>
    <row r="319" spans="1:39" x14ac:dyDescent="0.3">
      <c r="A319" s="2" t="str">
        <f t="shared" si="124"/>
        <v>NÃO</v>
      </c>
      <c r="B319" s="2" t="str">
        <f>_xlfn.XLOOKUP($N319,'Base de Grupos'!$A:$A,'Base de Grupos'!$D:$D)</f>
        <v>1000065763</v>
      </c>
      <c r="C319" s="5" t="str">
        <f>_xlfn.XLOOKUP($N319,'Base de Grupos'!$A:$A,'Base de Grupos'!$E:$E)</f>
        <v>CANAL VENDA INTERNA</v>
      </c>
      <c r="D319" s="5" t="str">
        <f>_xlfn.XLOOKUP($N319,'Base de Grupos'!$A:$A,'Base de Grupos'!$F:$F)</f>
        <v>1000065763</v>
      </c>
      <c r="E319" s="2" t="str">
        <f>_xlfn.XLOOKUP($N319,'Base de Grupos'!$A:$A,'Base de Grupos'!$G:$G)</f>
        <v>CANAL VENDA INTERNA</v>
      </c>
      <c r="F319" s="2" t="str">
        <f>_xlfn.XLOOKUP($N319,'Base de Grupos'!$A:$A,'Base de Grupos'!$H:$H)</f>
        <v>1000105900</v>
      </c>
      <c r="G319" s="5" t="str">
        <f>_xlfn.XLOOKUP($N319,'Base de Grupos'!$A:$A,'Base de Grupos'!$I:$I)</f>
        <v>REGIONAL VENDA DIRETA CO + NE + NO</v>
      </c>
      <c r="H319" s="5" t="str">
        <f>_xlfn.XLOOKUP($N319,'Base de Grupos'!$A:$A,'Base de Grupos'!$J:$J)</f>
        <v>1000105900</v>
      </c>
      <c r="I319" s="2" t="str">
        <f>_xlfn.XLOOKUP($N319,'Base de Grupos'!$A:$A,'Base de Grupos'!$K:$K)</f>
        <v>REGIONAL VENDA DIRETA CO + NE + NO</v>
      </c>
      <c r="J319" s="2" t="str">
        <f>_xlfn.XLOOKUP($N319,'Base de Grupos'!$A:$A,'Base de Grupos'!$L:$L)</f>
        <v>1000176426</v>
      </c>
      <c r="K319" s="5" t="str">
        <f>_xlfn.XLOOKUP($N319,'Base de Grupos'!$A:$A,'Base de Grupos'!$M:$M)</f>
        <v>HEMANUELE ROSA DITZEL</v>
      </c>
      <c r="L319" s="5" t="str">
        <f t="shared" si="125"/>
        <v/>
      </c>
      <c r="M319" s="5" t="str">
        <f>_xlfn.XLOOKUP($N319,'Base de Grupos'!$A:$A,'Base de Grupos'!$C:$C)</f>
        <v>GO</v>
      </c>
      <c r="N319" s="3">
        <v>1356</v>
      </c>
      <c r="O319" s="4" t="s">
        <v>241</v>
      </c>
      <c r="P319" s="5" t="s">
        <v>89</v>
      </c>
      <c r="Q319" s="24">
        <v>0</v>
      </c>
      <c r="R319" s="24">
        <v>0</v>
      </c>
      <c r="S319" s="24">
        <v>0</v>
      </c>
      <c r="T319" s="24">
        <v>0</v>
      </c>
      <c r="U319" s="24">
        <v>0</v>
      </c>
      <c r="V319" s="24">
        <v>0</v>
      </c>
      <c r="W319" s="24">
        <v>0</v>
      </c>
      <c r="X319" s="24">
        <v>0</v>
      </c>
      <c r="Y319" s="24">
        <v>0</v>
      </c>
      <c r="Z319" s="24">
        <v>0</v>
      </c>
      <c r="AA319" s="24">
        <v>0</v>
      </c>
      <c r="AB319" s="24">
        <v>0</v>
      </c>
      <c r="AC319" s="30">
        <f t="shared" si="151"/>
        <v>0</v>
      </c>
      <c r="AD319" s="27">
        <f t="shared" si="145"/>
        <v>0</v>
      </c>
      <c r="AE319" s="25">
        <f>IFERROR(_xlfn.XLOOKUP(N319&amp;P319,'Historico Vendas'!G:G,'Historico Vendas'!E:E),0)</f>
        <v>0</v>
      </c>
      <c r="AF319" s="29" t="str">
        <f t="shared" si="126"/>
        <v/>
      </c>
      <c r="AG319" s="24">
        <f>IFERROR(_xlfn.XLOOKUP(N319&amp;P319,'Historico Vendas'!G:G,'Historico Vendas'!F:F),0)</f>
        <v>0</v>
      </c>
      <c r="AH319" s="25">
        <f t="shared" si="146"/>
        <v>0</v>
      </c>
      <c r="AI319" s="24">
        <f t="shared" si="147"/>
        <v>0</v>
      </c>
      <c r="AJ319" s="11" t="str">
        <f t="shared" si="127"/>
        <v/>
      </c>
      <c r="AK319" s="9" t="s">
        <v>102</v>
      </c>
      <c r="AL319" s="13">
        <f>IFERROR(INDEX('Balizador da Meta'!$D$3:$F$23,MATCH(Quantidade!$P319,'Balizador da Meta'!$C$3:$C$23,0),MATCH(Quantidade!AK319,'Balizador da Meta'!$D$2:$F$2,0)),"")</f>
        <v>0.25</v>
      </c>
      <c r="AM319" s="9"/>
    </row>
    <row r="320" spans="1:39" x14ac:dyDescent="0.3">
      <c r="A320" s="2" t="str">
        <f t="shared" si="124"/>
        <v>NÃO</v>
      </c>
      <c r="B320" s="2" t="str">
        <f>_xlfn.XLOOKUP($N320,'Base de Grupos'!$A:$A,'Base de Grupos'!$D:$D)</f>
        <v>1000065763</v>
      </c>
      <c r="C320" s="5" t="str">
        <f>_xlfn.XLOOKUP($N320,'Base de Grupos'!$A:$A,'Base de Grupos'!$E:$E)</f>
        <v>CANAL VENDA INTERNA</v>
      </c>
      <c r="D320" s="5" t="str">
        <f>_xlfn.XLOOKUP($N320,'Base de Grupos'!$A:$A,'Base de Grupos'!$F:$F)</f>
        <v>1000065763</v>
      </c>
      <c r="E320" s="2" t="str">
        <f>_xlfn.XLOOKUP($N320,'Base de Grupos'!$A:$A,'Base de Grupos'!$G:$G)</f>
        <v>CANAL VENDA INTERNA</v>
      </c>
      <c r="F320" s="2" t="str">
        <f>_xlfn.XLOOKUP($N320,'Base de Grupos'!$A:$A,'Base de Grupos'!$H:$H)</f>
        <v>1000105900</v>
      </c>
      <c r="G320" s="5" t="str">
        <f>_xlfn.XLOOKUP($N320,'Base de Grupos'!$A:$A,'Base de Grupos'!$I:$I)</f>
        <v>REGIONAL VENDA DIRETA CO + NE + NO</v>
      </c>
      <c r="H320" s="5" t="str">
        <f>_xlfn.XLOOKUP($N320,'Base de Grupos'!$A:$A,'Base de Grupos'!$J:$J)</f>
        <v>1000105900</v>
      </c>
      <c r="I320" s="2" t="str">
        <f>_xlfn.XLOOKUP($N320,'Base de Grupos'!$A:$A,'Base de Grupos'!$K:$K)</f>
        <v>REGIONAL VENDA DIRETA CO + NE + NO</v>
      </c>
      <c r="J320" s="2" t="str">
        <f>_xlfn.XLOOKUP($N320,'Base de Grupos'!$A:$A,'Base de Grupos'!$L:$L)</f>
        <v>1000176426</v>
      </c>
      <c r="K320" s="5" t="str">
        <f>_xlfn.XLOOKUP($N320,'Base de Grupos'!$A:$A,'Base de Grupos'!$M:$M)</f>
        <v>HEMANUELE ROSA DITZEL</v>
      </c>
      <c r="L320" s="5" t="str">
        <f t="shared" si="125"/>
        <v/>
      </c>
      <c r="M320" s="5" t="str">
        <f>_xlfn.XLOOKUP($N320,'Base de Grupos'!$A:$A,'Base de Grupos'!$C:$C)</f>
        <v>GO</v>
      </c>
      <c r="N320" s="3">
        <v>1356</v>
      </c>
      <c r="O320" s="4" t="s">
        <v>241</v>
      </c>
      <c r="P320" s="5" t="s">
        <v>88</v>
      </c>
      <c r="Q320" s="24">
        <v>0</v>
      </c>
      <c r="R320" s="24">
        <v>0</v>
      </c>
      <c r="S320" s="24">
        <v>0</v>
      </c>
      <c r="T320" s="24">
        <v>0</v>
      </c>
      <c r="U320" s="24">
        <v>0</v>
      </c>
      <c r="V320" s="24">
        <v>0</v>
      </c>
      <c r="W320" s="24">
        <v>0</v>
      </c>
      <c r="X320" s="24">
        <v>0</v>
      </c>
      <c r="Y320" s="24">
        <v>0</v>
      </c>
      <c r="Z320" s="24">
        <v>0</v>
      </c>
      <c r="AA320" s="24">
        <v>0</v>
      </c>
      <c r="AB320" s="24">
        <v>0</v>
      </c>
      <c r="AC320" s="30">
        <f t="shared" si="151"/>
        <v>0</v>
      </c>
      <c r="AD320" s="27">
        <f t="shared" si="145"/>
        <v>0</v>
      </c>
      <c r="AE320" s="25">
        <f>IFERROR(_xlfn.XLOOKUP(N320&amp;P320,'Historico Vendas'!G:G,'Historico Vendas'!E:E),0)</f>
        <v>0</v>
      </c>
      <c r="AF320" s="29" t="str">
        <f t="shared" si="126"/>
        <v/>
      </c>
      <c r="AG320" s="24">
        <f>IFERROR(_xlfn.XLOOKUP(N320&amp;P320,'Historico Vendas'!G:G,'Historico Vendas'!F:F),0)</f>
        <v>0</v>
      </c>
      <c r="AH320" s="25">
        <f t="shared" si="146"/>
        <v>0</v>
      </c>
      <c r="AI320" s="24">
        <f t="shared" si="147"/>
        <v>0</v>
      </c>
      <c r="AJ320" s="11" t="str">
        <f t="shared" si="127"/>
        <v/>
      </c>
      <c r="AK320" s="9" t="s">
        <v>102</v>
      </c>
      <c r="AL320" s="13">
        <f>IFERROR(INDEX('Balizador da Meta'!$D$3:$F$23,MATCH(Quantidade!$P320,'Balizador da Meta'!$C$3:$C$23,0),MATCH(Quantidade!AK320,'Balizador da Meta'!$D$2:$F$2,0)),"")</f>
        <v>0</v>
      </c>
      <c r="AM320" s="9"/>
    </row>
    <row r="321" spans="1:39" x14ac:dyDescent="0.3">
      <c r="A321" s="2" t="str">
        <f t="shared" si="124"/>
        <v>NÃO</v>
      </c>
      <c r="B321" s="2" t="str">
        <f>_xlfn.XLOOKUP($N321,'Base de Grupos'!$A:$A,'Base de Grupos'!$D:$D)</f>
        <v>1000065763</v>
      </c>
      <c r="C321" s="5" t="str">
        <f>_xlfn.XLOOKUP($N321,'Base de Grupos'!$A:$A,'Base de Grupos'!$E:$E)</f>
        <v>CANAL VENDA INTERNA</v>
      </c>
      <c r="D321" s="5" t="str">
        <f>_xlfn.XLOOKUP($N321,'Base de Grupos'!$A:$A,'Base de Grupos'!$F:$F)</f>
        <v>1000065763</v>
      </c>
      <c r="E321" s="2" t="str">
        <f>_xlfn.XLOOKUP($N321,'Base de Grupos'!$A:$A,'Base de Grupos'!$G:$G)</f>
        <v>CANAL VENDA INTERNA</v>
      </c>
      <c r="F321" s="2" t="str">
        <f>_xlfn.XLOOKUP($N321,'Base de Grupos'!$A:$A,'Base de Grupos'!$H:$H)</f>
        <v>1000105900</v>
      </c>
      <c r="G321" s="5" t="str">
        <f>_xlfn.XLOOKUP($N321,'Base de Grupos'!$A:$A,'Base de Grupos'!$I:$I)</f>
        <v>REGIONAL VENDA DIRETA CO + NE + NO</v>
      </c>
      <c r="H321" s="5" t="str">
        <f>_xlfn.XLOOKUP($N321,'Base de Grupos'!$A:$A,'Base de Grupos'!$J:$J)</f>
        <v>1000105900</v>
      </c>
      <c r="I321" s="2" t="str">
        <f>_xlfn.XLOOKUP($N321,'Base de Grupos'!$A:$A,'Base de Grupos'!$K:$K)</f>
        <v>REGIONAL VENDA DIRETA CO + NE + NO</v>
      </c>
      <c r="J321" s="2" t="str">
        <f>_xlfn.XLOOKUP($N321,'Base de Grupos'!$A:$A,'Base de Grupos'!$L:$L)</f>
        <v>1000176426</v>
      </c>
      <c r="K321" s="5" t="str">
        <f>_xlfn.XLOOKUP($N321,'Base de Grupos'!$A:$A,'Base de Grupos'!$M:$M)</f>
        <v>HEMANUELE ROSA DITZEL</v>
      </c>
      <c r="L321" s="5" t="str">
        <f t="shared" si="125"/>
        <v/>
      </c>
      <c r="M321" s="5" t="str">
        <f>_xlfn.XLOOKUP($N321,'Base de Grupos'!$A:$A,'Base de Grupos'!$C:$C)</f>
        <v>GO</v>
      </c>
      <c r="N321" s="3">
        <v>1356</v>
      </c>
      <c r="O321" s="4" t="s">
        <v>241</v>
      </c>
      <c r="P321" s="5" t="s">
        <v>90</v>
      </c>
      <c r="Q321" s="24">
        <v>0</v>
      </c>
      <c r="R321" s="24">
        <v>0</v>
      </c>
      <c r="S321" s="24">
        <v>0</v>
      </c>
      <c r="T321" s="24">
        <v>0</v>
      </c>
      <c r="U321" s="24">
        <v>0</v>
      </c>
      <c r="V321" s="24">
        <v>0</v>
      </c>
      <c r="W321" s="24">
        <v>0</v>
      </c>
      <c r="X321" s="24">
        <v>0</v>
      </c>
      <c r="Y321" s="24">
        <v>0</v>
      </c>
      <c r="Z321" s="24">
        <v>0</v>
      </c>
      <c r="AA321" s="24">
        <v>0</v>
      </c>
      <c r="AB321" s="24">
        <v>0</v>
      </c>
      <c r="AC321" s="30">
        <f t="shared" si="151"/>
        <v>0</v>
      </c>
      <c r="AD321" s="27">
        <f t="shared" si="145"/>
        <v>0</v>
      </c>
      <c r="AE321" s="25">
        <f>IFERROR(_xlfn.XLOOKUP(N321&amp;P321,'Historico Vendas'!G:G,'Historico Vendas'!E:E),0)</f>
        <v>0</v>
      </c>
      <c r="AF321" s="29" t="str">
        <f t="shared" si="126"/>
        <v/>
      </c>
      <c r="AG321" s="24">
        <f>IFERROR(_xlfn.XLOOKUP(N321&amp;P321,'Historico Vendas'!G:G,'Historico Vendas'!F:F),0)</f>
        <v>0</v>
      </c>
      <c r="AH321" s="25">
        <f t="shared" si="146"/>
        <v>0</v>
      </c>
      <c r="AI321" s="24">
        <f t="shared" si="147"/>
        <v>0</v>
      </c>
      <c r="AJ321" s="11" t="str">
        <f t="shared" si="127"/>
        <v/>
      </c>
      <c r="AK321" s="9" t="s">
        <v>102</v>
      </c>
      <c r="AL321" s="13">
        <f>IFERROR(INDEX('Balizador da Meta'!$D$3:$F$23,MATCH(Quantidade!$P321,'Balizador da Meta'!$C$3:$C$23,0),MATCH(Quantidade!AK321,'Balizador da Meta'!$D$2:$F$2,0)),"")</f>
        <v>0</v>
      </c>
      <c r="AM321" s="9"/>
    </row>
    <row r="322" spans="1:39" x14ac:dyDescent="0.3">
      <c r="A322" s="2" t="str">
        <f t="shared" si="124"/>
        <v>NÃO</v>
      </c>
      <c r="B322" s="2" t="str">
        <f>_xlfn.XLOOKUP($N322,'Base de Grupos'!$A:$A,'Base de Grupos'!$D:$D)</f>
        <v>1000065763</v>
      </c>
      <c r="C322" s="5" t="str">
        <f>_xlfn.XLOOKUP($N322,'Base de Grupos'!$A:$A,'Base de Grupos'!$E:$E)</f>
        <v>CANAL VENDA INTERNA</v>
      </c>
      <c r="D322" s="5" t="str">
        <f>_xlfn.XLOOKUP($N322,'Base de Grupos'!$A:$A,'Base de Grupos'!$F:$F)</f>
        <v>1000065763</v>
      </c>
      <c r="E322" s="2" t="str">
        <f>_xlfn.XLOOKUP($N322,'Base de Grupos'!$A:$A,'Base de Grupos'!$G:$G)</f>
        <v>CANAL VENDA INTERNA</v>
      </c>
      <c r="F322" s="2" t="str">
        <f>_xlfn.XLOOKUP($N322,'Base de Grupos'!$A:$A,'Base de Grupos'!$H:$H)</f>
        <v>1000105900</v>
      </c>
      <c r="G322" s="5" t="str">
        <f>_xlfn.XLOOKUP($N322,'Base de Grupos'!$A:$A,'Base de Grupos'!$I:$I)</f>
        <v>REGIONAL VENDA DIRETA CO + NE + NO</v>
      </c>
      <c r="H322" s="5" t="str">
        <f>_xlfn.XLOOKUP($N322,'Base de Grupos'!$A:$A,'Base de Grupos'!$J:$J)</f>
        <v>1000105900</v>
      </c>
      <c r="I322" s="2" t="str">
        <f>_xlfn.XLOOKUP($N322,'Base de Grupos'!$A:$A,'Base de Grupos'!$K:$K)</f>
        <v>REGIONAL VENDA DIRETA CO + NE + NO</v>
      </c>
      <c r="J322" s="2" t="str">
        <f>_xlfn.XLOOKUP($N322,'Base de Grupos'!$A:$A,'Base de Grupos'!$L:$L)</f>
        <v>1000176426</v>
      </c>
      <c r="K322" s="5" t="str">
        <f>_xlfn.XLOOKUP($N322,'Base de Grupos'!$A:$A,'Base de Grupos'!$M:$M)</f>
        <v>HEMANUELE ROSA DITZEL</v>
      </c>
      <c r="L322" s="5" t="str">
        <f t="shared" si="125"/>
        <v/>
      </c>
      <c r="M322" s="5" t="str">
        <f>_xlfn.XLOOKUP($N322,'Base de Grupos'!$A:$A,'Base de Grupos'!$C:$C)</f>
        <v>GO</v>
      </c>
      <c r="N322" s="3">
        <v>1356</v>
      </c>
      <c r="O322" s="4" t="s">
        <v>241</v>
      </c>
      <c r="P322" s="5" t="s">
        <v>91</v>
      </c>
      <c r="Q322" s="24">
        <v>0</v>
      </c>
      <c r="R322" s="24">
        <v>0</v>
      </c>
      <c r="S322" s="24">
        <v>0</v>
      </c>
      <c r="T322" s="24">
        <v>0</v>
      </c>
      <c r="U322" s="24">
        <v>0</v>
      </c>
      <c r="V322" s="24">
        <v>0</v>
      </c>
      <c r="W322" s="24">
        <v>0</v>
      </c>
      <c r="X322" s="24">
        <v>0</v>
      </c>
      <c r="Y322" s="24">
        <v>0</v>
      </c>
      <c r="Z322" s="24">
        <v>0</v>
      </c>
      <c r="AA322" s="24">
        <v>0</v>
      </c>
      <c r="AB322" s="24">
        <v>0</v>
      </c>
      <c r="AC322" s="30">
        <f t="shared" si="151"/>
        <v>0</v>
      </c>
      <c r="AD322" s="27">
        <f t="shared" si="145"/>
        <v>0</v>
      </c>
      <c r="AE322" s="25">
        <f>IFERROR(_xlfn.XLOOKUP(N322&amp;P322,'Historico Vendas'!G:G,'Historico Vendas'!E:E),0)</f>
        <v>0</v>
      </c>
      <c r="AF322" s="29" t="str">
        <f t="shared" si="126"/>
        <v/>
      </c>
      <c r="AG322" s="24">
        <f>IFERROR(_xlfn.XLOOKUP(N322&amp;P322,'Historico Vendas'!G:G,'Historico Vendas'!F:F),0)</f>
        <v>0</v>
      </c>
      <c r="AH322" s="25">
        <f t="shared" si="146"/>
        <v>0</v>
      </c>
      <c r="AI322" s="24">
        <f t="shared" si="147"/>
        <v>0</v>
      </c>
      <c r="AJ322" s="11" t="str">
        <f t="shared" si="127"/>
        <v/>
      </c>
      <c r="AK322" s="9" t="s">
        <v>102</v>
      </c>
      <c r="AL322" s="13">
        <f>IFERROR(INDEX('Balizador da Meta'!$D$3:$F$23,MATCH(Quantidade!$P322,'Balizador da Meta'!$C$3:$C$23,0),MATCH(Quantidade!AK322,'Balizador da Meta'!$D$2:$F$2,0)),"")</f>
        <v>0</v>
      </c>
      <c r="AM322" s="9"/>
    </row>
    <row r="323" spans="1:39" x14ac:dyDescent="0.3">
      <c r="A323" s="2" t="str">
        <f t="shared" ref="A323:A386" si="152">IF(L323=1,"SIM","NÃO")</f>
        <v>NÃO</v>
      </c>
      <c r="B323" s="2" t="str">
        <f>_xlfn.XLOOKUP($N323,'Base de Grupos'!$A:$A,'Base de Grupos'!$D:$D)</f>
        <v>1000065763</v>
      </c>
      <c r="C323" s="5" t="str">
        <f>_xlfn.XLOOKUP($N323,'Base de Grupos'!$A:$A,'Base de Grupos'!$E:$E)</f>
        <v>CANAL VENDA INTERNA</v>
      </c>
      <c r="D323" s="5" t="str">
        <f>_xlfn.XLOOKUP($N323,'Base de Grupos'!$A:$A,'Base de Grupos'!$F:$F)</f>
        <v>1000065763</v>
      </c>
      <c r="E323" s="2" t="str">
        <f>_xlfn.XLOOKUP($N323,'Base de Grupos'!$A:$A,'Base de Grupos'!$G:$G)</f>
        <v>CANAL VENDA INTERNA</v>
      </c>
      <c r="F323" s="2" t="str">
        <f>_xlfn.XLOOKUP($N323,'Base de Grupos'!$A:$A,'Base de Grupos'!$H:$H)</f>
        <v>1000105900</v>
      </c>
      <c r="G323" s="5" t="str">
        <f>_xlfn.XLOOKUP($N323,'Base de Grupos'!$A:$A,'Base de Grupos'!$I:$I)</f>
        <v>REGIONAL VENDA DIRETA CO + NE + NO</v>
      </c>
      <c r="H323" s="5" t="str">
        <f>_xlfn.XLOOKUP($N323,'Base de Grupos'!$A:$A,'Base de Grupos'!$J:$J)</f>
        <v>1000105900</v>
      </c>
      <c r="I323" s="2" t="str">
        <f>_xlfn.XLOOKUP($N323,'Base de Grupos'!$A:$A,'Base de Grupos'!$K:$K)</f>
        <v>REGIONAL VENDA DIRETA CO + NE + NO</v>
      </c>
      <c r="J323" s="2" t="str">
        <f>_xlfn.XLOOKUP($N323,'Base de Grupos'!$A:$A,'Base de Grupos'!$L:$L)</f>
        <v>1000176426</v>
      </c>
      <c r="K323" s="5" t="str">
        <f>_xlfn.XLOOKUP($N323,'Base de Grupos'!$A:$A,'Base de Grupos'!$M:$M)</f>
        <v>HEMANUELE ROSA DITZEL</v>
      </c>
      <c r="L323" s="5" t="str">
        <f t="shared" ref="L323:L386" si="153">IF(N323&lt;&gt;N322,1,"")</f>
        <v/>
      </c>
      <c r="M323" s="5" t="str">
        <f>_xlfn.XLOOKUP($N323,'Base de Grupos'!$A:$A,'Base de Grupos'!$C:$C)</f>
        <v>GO</v>
      </c>
      <c r="N323" s="3">
        <v>1356</v>
      </c>
      <c r="O323" s="4" t="s">
        <v>241</v>
      </c>
      <c r="P323" s="5" t="s">
        <v>96</v>
      </c>
      <c r="Q323" s="24">
        <v>0</v>
      </c>
      <c r="R323" s="24">
        <v>0</v>
      </c>
      <c r="S323" s="24">
        <v>0</v>
      </c>
      <c r="T323" s="24">
        <v>0</v>
      </c>
      <c r="U323" s="24">
        <v>0</v>
      </c>
      <c r="V323" s="24">
        <v>0</v>
      </c>
      <c r="W323" s="24">
        <v>0</v>
      </c>
      <c r="X323" s="24">
        <v>0</v>
      </c>
      <c r="Y323" s="24">
        <v>0</v>
      </c>
      <c r="Z323" s="24">
        <v>0</v>
      </c>
      <c r="AA323" s="24">
        <v>0</v>
      </c>
      <c r="AB323" s="24">
        <v>0</v>
      </c>
      <c r="AC323" s="30">
        <f t="shared" si="151"/>
        <v>0</v>
      </c>
      <c r="AD323" s="27">
        <f t="shared" si="145"/>
        <v>0</v>
      </c>
      <c r="AE323" s="25">
        <f>IFERROR(_xlfn.XLOOKUP(N323&amp;P323,'Historico Vendas'!G:G,'Historico Vendas'!E:E),0)</f>
        <v>0</v>
      </c>
      <c r="AF323" s="29" t="str">
        <f t="shared" ref="AF323:AF386" si="154">IFERROR((AC323-AE323)/AE323,"")</f>
        <v/>
      </c>
      <c r="AG323" s="24">
        <f>IFERROR(_xlfn.XLOOKUP(N323&amp;P323,'Historico Vendas'!G:G,'Historico Vendas'!F:F),0)</f>
        <v>0</v>
      </c>
      <c r="AH323" s="25">
        <f t="shared" si="146"/>
        <v>0</v>
      </c>
      <c r="AI323" s="24">
        <f t="shared" si="147"/>
        <v>0</v>
      </c>
      <c r="AJ323" s="11" t="str">
        <f t="shared" ref="AJ323:AJ386" si="155">IFERROR(AG323/AH323,"")</f>
        <v/>
      </c>
      <c r="AK323" s="9" t="s">
        <v>102</v>
      </c>
      <c r="AL323" s="13">
        <f>IFERROR(INDEX('Balizador da Meta'!$D$3:$F$23,MATCH(Quantidade!$P323,'Balizador da Meta'!$C$3:$C$23,0),MATCH(Quantidade!AK323,'Balizador da Meta'!$D$2:$F$2,0)),"")</f>
        <v>0</v>
      </c>
      <c r="AM323" s="9"/>
    </row>
    <row r="324" spans="1:39" x14ac:dyDescent="0.3">
      <c r="A324" s="2" t="str">
        <f t="shared" si="152"/>
        <v>NÃO</v>
      </c>
      <c r="B324" s="2" t="str">
        <f>_xlfn.XLOOKUP($N324,'Base de Grupos'!$A:$A,'Base de Grupos'!$D:$D)</f>
        <v>1000065763</v>
      </c>
      <c r="C324" s="5" t="str">
        <f>_xlfn.XLOOKUP($N324,'Base de Grupos'!$A:$A,'Base de Grupos'!$E:$E)</f>
        <v>CANAL VENDA INTERNA</v>
      </c>
      <c r="D324" s="5" t="str">
        <f>_xlfn.XLOOKUP($N324,'Base de Grupos'!$A:$A,'Base de Grupos'!$F:$F)</f>
        <v>1000065763</v>
      </c>
      <c r="E324" s="2" t="str">
        <f>_xlfn.XLOOKUP($N324,'Base de Grupos'!$A:$A,'Base de Grupos'!$G:$G)</f>
        <v>CANAL VENDA INTERNA</v>
      </c>
      <c r="F324" s="2" t="str">
        <f>_xlfn.XLOOKUP($N324,'Base de Grupos'!$A:$A,'Base de Grupos'!$H:$H)</f>
        <v>1000105900</v>
      </c>
      <c r="G324" s="5" t="str">
        <f>_xlfn.XLOOKUP($N324,'Base de Grupos'!$A:$A,'Base de Grupos'!$I:$I)</f>
        <v>REGIONAL VENDA DIRETA CO + NE + NO</v>
      </c>
      <c r="H324" s="5" t="str">
        <f>_xlfn.XLOOKUP($N324,'Base de Grupos'!$A:$A,'Base de Grupos'!$J:$J)</f>
        <v>1000105900</v>
      </c>
      <c r="I324" s="2" t="str">
        <f>_xlfn.XLOOKUP($N324,'Base de Grupos'!$A:$A,'Base de Grupos'!$K:$K)</f>
        <v>REGIONAL VENDA DIRETA CO + NE + NO</v>
      </c>
      <c r="J324" s="2" t="str">
        <f>_xlfn.XLOOKUP($N324,'Base de Grupos'!$A:$A,'Base de Grupos'!$L:$L)</f>
        <v>1000176426</v>
      </c>
      <c r="K324" s="5" t="str">
        <f>_xlfn.XLOOKUP($N324,'Base de Grupos'!$A:$A,'Base de Grupos'!$M:$M)</f>
        <v>HEMANUELE ROSA DITZEL</v>
      </c>
      <c r="L324" s="5" t="str">
        <f t="shared" si="153"/>
        <v/>
      </c>
      <c r="M324" s="5" t="str">
        <f>_xlfn.XLOOKUP($N324,'Base de Grupos'!$A:$A,'Base de Grupos'!$C:$C)</f>
        <v>GO</v>
      </c>
      <c r="N324" s="3">
        <v>1356</v>
      </c>
      <c r="O324" s="4" t="s">
        <v>241</v>
      </c>
      <c r="P324" s="5" t="s">
        <v>94</v>
      </c>
      <c r="Q324" s="24">
        <v>0</v>
      </c>
      <c r="R324" s="24">
        <v>0</v>
      </c>
      <c r="S324" s="24">
        <v>0</v>
      </c>
      <c r="T324" s="24">
        <v>0</v>
      </c>
      <c r="U324" s="24">
        <v>0</v>
      </c>
      <c r="V324" s="24">
        <v>0</v>
      </c>
      <c r="W324" s="24">
        <v>0</v>
      </c>
      <c r="X324" s="24">
        <v>0</v>
      </c>
      <c r="Y324" s="24">
        <v>0</v>
      </c>
      <c r="Z324" s="24">
        <v>0</v>
      </c>
      <c r="AA324" s="24">
        <v>0</v>
      </c>
      <c r="AB324" s="24">
        <v>0</v>
      </c>
      <c r="AC324" s="30">
        <f t="shared" si="151"/>
        <v>0</v>
      </c>
      <c r="AD324" s="27">
        <f t="shared" si="145"/>
        <v>0</v>
      </c>
      <c r="AE324" s="25">
        <f>IFERROR(_xlfn.XLOOKUP(N324&amp;P324,'Historico Vendas'!G:G,'Historico Vendas'!E:E),0)</f>
        <v>0</v>
      </c>
      <c r="AF324" s="29" t="str">
        <f t="shared" si="154"/>
        <v/>
      </c>
      <c r="AG324" s="24">
        <f>IFERROR(_xlfn.XLOOKUP(N324&amp;P324,'Historico Vendas'!G:G,'Historico Vendas'!F:F),0)</f>
        <v>0</v>
      </c>
      <c r="AH324" s="25">
        <f t="shared" si="146"/>
        <v>0</v>
      </c>
      <c r="AI324" s="24">
        <f t="shared" si="147"/>
        <v>0</v>
      </c>
      <c r="AJ324" s="11" t="str">
        <f t="shared" si="155"/>
        <v/>
      </c>
      <c r="AK324" s="9" t="s">
        <v>102</v>
      </c>
      <c r="AL324" s="13">
        <f>IFERROR(INDEX('Balizador da Meta'!$D$3:$F$23,MATCH(Quantidade!$P324,'Balizador da Meta'!$C$3:$C$23,0),MATCH(Quantidade!AK324,'Balizador da Meta'!$D$2:$F$2,0)),"")</f>
        <v>0.25</v>
      </c>
      <c r="AM324" s="9"/>
    </row>
    <row r="325" spans="1:39" x14ac:dyDescent="0.3">
      <c r="A325" s="2" t="str">
        <f t="shared" si="152"/>
        <v>NÃO</v>
      </c>
      <c r="B325" s="2" t="str">
        <f>_xlfn.XLOOKUP($N325,'Base de Grupos'!$A:$A,'Base de Grupos'!$D:$D)</f>
        <v>1000065763</v>
      </c>
      <c r="C325" s="5" t="str">
        <f>_xlfn.XLOOKUP($N325,'Base de Grupos'!$A:$A,'Base de Grupos'!$E:$E)</f>
        <v>CANAL VENDA INTERNA</v>
      </c>
      <c r="D325" s="5" t="str">
        <f>_xlfn.XLOOKUP($N325,'Base de Grupos'!$A:$A,'Base de Grupos'!$F:$F)</f>
        <v>1000065763</v>
      </c>
      <c r="E325" s="2" t="str">
        <f>_xlfn.XLOOKUP($N325,'Base de Grupos'!$A:$A,'Base de Grupos'!$G:$G)</f>
        <v>CANAL VENDA INTERNA</v>
      </c>
      <c r="F325" s="2" t="str">
        <f>_xlfn.XLOOKUP($N325,'Base de Grupos'!$A:$A,'Base de Grupos'!$H:$H)</f>
        <v>1000105900</v>
      </c>
      <c r="G325" s="5" t="str">
        <f>_xlfn.XLOOKUP($N325,'Base de Grupos'!$A:$A,'Base de Grupos'!$I:$I)</f>
        <v>REGIONAL VENDA DIRETA CO + NE + NO</v>
      </c>
      <c r="H325" s="5" t="str">
        <f>_xlfn.XLOOKUP($N325,'Base de Grupos'!$A:$A,'Base de Grupos'!$J:$J)</f>
        <v>1000105900</v>
      </c>
      <c r="I325" s="2" t="str">
        <f>_xlfn.XLOOKUP($N325,'Base de Grupos'!$A:$A,'Base de Grupos'!$K:$K)</f>
        <v>REGIONAL VENDA DIRETA CO + NE + NO</v>
      </c>
      <c r="J325" s="2" t="str">
        <f>_xlfn.XLOOKUP($N325,'Base de Grupos'!$A:$A,'Base de Grupos'!$L:$L)</f>
        <v>1000176426</v>
      </c>
      <c r="K325" s="5" t="str">
        <f>_xlfn.XLOOKUP($N325,'Base de Grupos'!$A:$A,'Base de Grupos'!$M:$M)</f>
        <v>HEMANUELE ROSA DITZEL</v>
      </c>
      <c r="L325" s="5" t="str">
        <f t="shared" si="153"/>
        <v/>
      </c>
      <c r="M325" s="5" t="str">
        <f>_xlfn.XLOOKUP($N325,'Base de Grupos'!$A:$A,'Base de Grupos'!$C:$C)</f>
        <v>GO</v>
      </c>
      <c r="N325" s="3">
        <v>1356</v>
      </c>
      <c r="O325" s="4" t="s">
        <v>241</v>
      </c>
      <c r="P325" s="5" t="s">
        <v>95</v>
      </c>
      <c r="Q325" s="24">
        <v>0</v>
      </c>
      <c r="R325" s="24">
        <v>0</v>
      </c>
      <c r="S325" s="24">
        <v>0</v>
      </c>
      <c r="T325" s="24">
        <v>0</v>
      </c>
      <c r="U325" s="24">
        <v>0</v>
      </c>
      <c r="V325" s="24">
        <v>0</v>
      </c>
      <c r="W325" s="24">
        <v>0</v>
      </c>
      <c r="X325" s="24">
        <v>0</v>
      </c>
      <c r="Y325" s="24">
        <v>0</v>
      </c>
      <c r="Z325" s="24">
        <v>0</v>
      </c>
      <c r="AA325" s="24">
        <v>0</v>
      </c>
      <c r="AB325" s="24">
        <v>0</v>
      </c>
      <c r="AC325" s="30">
        <f t="shared" si="151"/>
        <v>0</v>
      </c>
      <c r="AD325" s="27">
        <f t="shared" si="145"/>
        <v>0</v>
      </c>
      <c r="AE325" s="25">
        <f>IFERROR(_xlfn.XLOOKUP(N325&amp;P325,'Historico Vendas'!G:G,'Historico Vendas'!E:E),0)</f>
        <v>0</v>
      </c>
      <c r="AF325" s="29" t="str">
        <f t="shared" si="154"/>
        <v/>
      </c>
      <c r="AG325" s="24">
        <f>IFERROR(_xlfn.XLOOKUP(N325&amp;P325,'Historico Vendas'!G:G,'Historico Vendas'!F:F),0)</f>
        <v>0</v>
      </c>
      <c r="AH325" s="25">
        <f t="shared" si="146"/>
        <v>0</v>
      </c>
      <c r="AI325" s="24">
        <f t="shared" si="147"/>
        <v>0</v>
      </c>
      <c r="AJ325" s="11" t="str">
        <f t="shared" si="155"/>
        <v/>
      </c>
      <c r="AK325" s="9" t="s">
        <v>102</v>
      </c>
      <c r="AL325" s="13">
        <f>IFERROR(INDEX('Balizador da Meta'!$D$3:$F$23,MATCH(Quantidade!$P325,'Balizador da Meta'!$C$3:$C$23,0),MATCH(Quantidade!AK325,'Balizador da Meta'!$D$2:$F$2,0)),"")</f>
        <v>0.25</v>
      </c>
      <c r="AM325" s="9"/>
    </row>
    <row r="326" spans="1:39" x14ac:dyDescent="0.3">
      <c r="A326" s="2" t="str">
        <f t="shared" si="152"/>
        <v>NÃO</v>
      </c>
      <c r="B326" s="2" t="str">
        <f>_xlfn.XLOOKUP($N326,'Base de Grupos'!$A:$A,'Base de Grupos'!$D:$D)</f>
        <v>1000065763</v>
      </c>
      <c r="C326" s="5" t="str">
        <f>_xlfn.XLOOKUP($N326,'Base de Grupos'!$A:$A,'Base de Grupos'!$E:$E)</f>
        <v>CANAL VENDA INTERNA</v>
      </c>
      <c r="D326" s="5" t="str">
        <f>_xlfn.XLOOKUP($N326,'Base de Grupos'!$A:$A,'Base de Grupos'!$F:$F)</f>
        <v>1000065763</v>
      </c>
      <c r="E326" s="2" t="str">
        <f>_xlfn.XLOOKUP($N326,'Base de Grupos'!$A:$A,'Base de Grupos'!$G:$G)</f>
        <v>CANAL VENDA INTERNA</v>
      </c>
      <c r="F326" s="2" t="str">
        <f>_xlfn.XLOOKUP($N326,'Base de Grupos'!$A:$A,'Base de Grupos'!$H:$H)</f>
        <v>1000105900</v>
      </c>
      <c r="G326" s="5" t="str">
        <f>_xlfn.XLOOKUP($N326,'Base de Grupos'!$A:$A,'Base de Grupos'!$I:$I)</f>
        <v>REGIONAL VENDA DIRETA CO + NE + NO</v>
      </c>
      <c r="H326" s="5" t="str">
        <f>_xlfn.XLOOKUP($N326,'Base de Grupos'!$A:$A,'Base de Grupos'!$J:$J)</f>
        <v>1000105900</v>
      </c>
      <c r="I326" s="2" t="str">
        <f>_xlfn.XLOOKUP($N326,'Base de Grupos'!$A:$A,'Base de Grupos'!$K:$K)</f>
        <v>REGIONAL VENDA DIRETA CO + NE + NO</v>
      </c>
      <c r="J326" s="2" t="str">
        <f>_xlfn.XLOOKUP($N326,'Base de Grupos'!$A:$A,'Base de Grupos'!$L:$L)</f>
        <v>1000176426</v>
      </c>
      <c r="K326" s="5" t="str">
        <f>_xlfn.XLOOKUP($N326,'Base de Grupos'!$A:$A,'Base de Grupos'!$M:$M)</f>
        <v>HEMANUELE ROSA DITZEL</v>
      </c>
      <c r="L326" s="5" t="str">
        <f t="shared" si="153"/>
        <v/>
      </c>
      <c r="M326" s="5" t="str">
        <f>_xlfn.XLOOKUP($N326,'Base de Grupos'!$A:$A,'Base de Grupos'!$C:$C)</f>
        <v>GO</v>
      </c>
      <c r="N326" s="3">
        <v>1356</v>
      </c>
      <c r="O326" s="4" t="s">
        <v>241</v>
      </c>
      <c r="P326" s="5" t="s">
        <v>93</v>
      </c>
      <c r="Q326" s="24">
        <v>0</v>
      </c>
      <c r="R326" s="24">
        <v>0</v>
      </c>
      <c r="S326" s="24">
        <v>0</v>
      </c>
      <c r="T326" s="24">
        <v>0</v>
      </c>
      <c r="U326" s="24">
        <v>0</v>
      </c>
      <c r="V326" s="24">
        <v>0</v>
      </c>
      <c r="W326" s="24">
        <v>0</v>
      </c>
      <c r="X326" s="24">
        <v>0</v>
      </c>
      <c r="Y326" s="24">
        <v>0</v>
      </c>
      <c r="Z326" s="24">
        <v>0</v>
      </c>
      <c r="AA326" s="24">
        <v>0</v>
      </c>
      <c r="AB326" s="24">
        <v>0</v>
      </c>
      <c r="AC326" s="30">
        <f t="shared" si="151"/>
        <v>0</v>
      </c>
      <c r="AD326" s="27">
        <f t="shared" si="145"/>
        <v>0</v>
      </c>
      <c r="AE326" s="25">
        <f>IFERROR(_xlfn.XLOOKUP(N326&amp;P326,'Historico Vendas'!G:G,'Historico Vendas'!E:E),0)</f>
        <v>0</v>
      </c>
      <c r="AF326" s="29" t="str">
        <f t="shared" si="154"/>
        <v/>
      </c>
      <c r="AG326" s="24">
        <f>IFERROR(_xlfn.XLOOKUP(N326&amp;P326,'Historico Vendas'!G:G,'Historico Vendas'!F:F),0)</f>
        <v>0</v>
      </c>
      <c r="AH326" s="25">
        <f t="shared" si="146"/>
        <v>0</v>
      </c>
      <c r="AI326" s="24">
        <f t="shared" si="147"/>
        <v>0</v>
      </c>
      <c r="AJ326" s="11" t="str">
        <f t="shared" si="155"/>
        <v/>
      </c>
      <c r="AK326" s="9" t="s">
        <v>102</v>
      </c>
      <c r="AL326" s="13">
        <f>IFERROR(INDEX('Balizador da Meta'!$D$3:$F$23,MATCH(Quantidade!$P326,'Balizador da Meta'!$C$3:$C$23,0),MATCH(Quantidade!AK326,'Balizador da Meta'!$D$2:$F$2,0)),"")</f>
        <v>0.2</v>
      </c>
      <c r="AM326" s="9"/>
    </row>
    <row r="327" spans="1:39" x14ac:dyDescent="0.3">
      <c r="A327" s="2" t="str">
        <f t="shared" si="152"/>
        <v>SIM</v>
      </c>
      <c r="B327" s="2" t="str">
        <f>_xlfn.XLOOKUP($N327,'Base de Grupos'!$A:$A,'Base de Grupos'!$D:$D)</f>
        <v>1000065763</v>
      </c>
      <c r="C327" s="5" t="str">
        <f>_xlfn.XLOOKUP($N327,'Base de Grupos'!$A:$A,'Base de Grupos'!$E:$E)</f>
        <v>CANAL VENDA INTERNA</v>
      </c>
      <c r="D327" s="5" t="str">
        <f>_xlfn.XLOOKUP($N327,'Base de Grupos'!$A:$A,'Base de Grupos'!$F:$F)</f>
        <v>1000065763</v>
      </c>
      <c r="E327" s="2" t="str">
        <f>_xlfn.XLOOKUP($N327,'Base de Grupos'!$A:$A,'Base de Grupos'!$G:$G)</f>
        <v>CANAL VENDA INTERNA</v>
      </c>
      <c r="F327" s="2" t="str">
        <f>_xlfn.XLOOKUP($N327,'Base de Grupos'!$A:$A,'Base de Grupos'!$H:$H)</f>
        <v>1000105899</v>
      </c>
      <c r="G327" s="5" t="str">
        <f>_xlfn.XLOOKUP($N327,'Base de Grupos'!$A:$A,'Base de Grupos'!$I:$I)</f>
        <v>REGIONAL VENDA DIRETA SUDESTE</v>
      </c>
      <c r="H327" s="5" t="str">
        <f>_xlfn.XLOOKUP($N327,'Base de Grupos'!$A:$A,'Base de Grupos'!$J:$J)</f>
        <v>1000105899</v>
      </c>
      <c r="I327" s="2" t="str">
        <f>_xlfn.XLOOKUP($N327,'Base de Grupos'!$A:$A,'Base de Grupos'!$K:$K)</f>
        <v>REGIONAL VENDA DIRETA SUDESTE</v>
      </c>
      <c r="J327" s="2" t="str">
        <f>_xlfn.XLOOKUP($N327,'Base de Grupos'!$A:$A,'Base de Grupos'!$L:$L)</f>
        <v>1000150135</v>
      </c>
      <c r="K327" s="5" t="str">
        <f>_xlfn.XLOOKUP($N327,'Base de Grupos'!$A:$A,'Base de Grupos'!$M:$M)</f>
        <v>HELDER DA SILVA BRUNKOW</v>
      </c>
      <c r="L327" s="5">
        <f t="shared" si="153"/>
        <v>1</v>
      </c>
      <c r="M327" s="5" t="str">
        <f>_xlfn.XLOOKUP($N327,'Base de Grupos'!$A:$A,'Base de Grupos'!$C:$C)</f>
        <v>ES</v>
      </c>
      <c r="N327" s="3">
        <v>1357</v>
      </c>
      <c r="O327" s="4" t="s">
        <v>242</v>
      </c>
      <c r="P327" s="5" t="s">
        <v>312</v>
      </c>
      <c r="Q327" s="24">
        <v>0</v>
      </c>
      <c r="R327" s="24">
        <v>0</v>
      </c>
      <c r="S327" s="24">
        <v>0</v>
      </c>
      <c r="T327" s="24">
        <v>0</v>
      </c>
      <c r="U327" s="24">
        <v>0</v>
      </c>
      <c r="V327" s="24">
        <v>0</v>
      </c>
      <c r="W327" s="24">
        <v>0</v>
      </c>
      <c r="X327" s="24">
        <v>0</v>
      </c>
      <c r="Y327" s="24">
        <v>0</v>
      </c>
      <c r="Z327" s="24">
        <v>0</v>
      </c>
      <c r="AA327" s="24">
        <v>0</v>
      </c>
      <c r="AB327" s="24">
        <v>0</v>
      </c>
      <c r="AC327" s="30">
        <f t="shared" si="151"/>
        <v>0</v>
      </c>
      <c r="AD327" s="25">
        <f t="shared" ref="AD327:AI327" si="156">SUM(AD328:AD344)</f>
        <v>0</v>
      </c>
      <c r="AE327" s="25">
        <f t="shared" si="156"/>
        <v>0</v>
      </c>
      <c r="AF327" s="11" t="str">
        <f t="shared" si="154"/>
        <v/>
      </c>
      <c r="AG327" s="24">
        <f t="shared" si="156"/>
        <v>0</v>
      </c>
      <c r="AH327" s="25">
        <f t="shared" si="156"/>
        <v>0</v>
      </c>
      <c r="AI327" s="24">
        <f t="shared" si="156"/>
        <v>0</v>
      </c>
      <c r="AJ327" s="11" t="str">
        <f t="shared" si="155"/>
        <v/>
      </c>
      <c r="AK327" s="9"/>
      <c r="AL327" s="13"/>
      <c r="AM327" s="9"/>
    </row>
    <row r="328" spans="1:39" x14ac:dyDescent="0.3">
      <c r="A328" s="2" t="str">
        <f t="shared" si="152"/>
        <v>NÃO</v>
      </c>
      <c r="B328" s="2" t="str">
        <f>_xlfn.XLOOKUP($N328,'Base de Grupos'!$A:$A,'Base de Grupos'!$D:$D)</f>
        <v>1000065763</v>
      </c>
      <c r="C328" s="5" t="str">
        <f>_xlfn.XLOOKUP($N328,'Base de Grupos'!$A:$A,'Base de Grupos'!$E:$E)</f>
        <v>CANAL VENDA INTERNA</v>
      </c>
      <c r="D328" s="5" t="str">
        <f>_xlfn.XLOOKUP($N328,'Base de Grupos'!$A:$A,'Base de Grupos'!$F:$F)</f>
        <v>1000065763</v>
      </c>
      <c r="E328" s="2" t="str">
        <f>_xlfn.XLOOKUP($N328,'Base de Grupos'!$A:$A,'Base de Grupos'!$G:$G)</f>
        <v>CANAL VENDA INTERNA</v>
      </c>
      <c r="F328" s="2" t="str">
        <f>_xlfn.XLOOKUP($N328,'Base de Grupos'!$A:$A,'Base de Grupos'!$H:$H)</f>
        <v>1000105899</v>
      </c>
      <c r="G328" s="5" t="str">
        <f>_xlfn.XLOOKUP($N328,'Base de Grupos'!$A:$A,'Base de Grupos'!$I:$I)</f>
        <v>REGIONAL VENDA DIRETA SUDESTE</v>
      </c>
      <c r="H328" s="5" t="str">
        <f>_xlfn.XLOOKUP($N328,'Base de Grupos'!$A:$A,'Base de Grupos'!$J:$J)</f>
        <v>1000105899</v>
      </c>
      <c r="I328" s="2" t="str">
        <f>_xlfn.XLOOKUP($N328,'Base de Grupos'!$A:$A,'Base de Grupos'!$K:$K)</f>
        <v>REGIONAL VENDA DIRETA SUDESTE</v>
      </c>
      <c r="J328" s="2" t="str">
        <f>_xlfn.XLOOKUP($N328,'Base de Grupos'!$A:$A,'Base de Grupos'!$L:$L)</f>
        <v>1000150135</v>
      </c>
      <c r="K328" s="5" t="str">
        <f>_xlfn.XLOOKUP($N328,'Base de Grupos'!$A:$A,'Base de Grupos'!$M:$M)</f>
        <v>HELDER DA SILVA BRUNKOW</v>
      </c>
      <c r="L328" s="5" t="str">
        <f t="shared" si="153"/>
        <v/>
      </c>
      <c r="M328" s="5" t="str">
        <f>_xlfn.XLOOKUP($N328,'Base de Grupos'!$A:$A,'Base de Grupos'!$C:$C)</f>
        <v>ES</v>
      </c>
      <c r="N328" s="3">
        <v>1357</v>
      </c>
      <c r="O328" s="4" t="s">
        <v>242</v>
      </c>
      <c r="P328" s="5" t="s">
        <v>81</v>
      </c>
      <c r="Q328" s="24">
        <v>0</v>
      </c>
      <c r="R328" s="24">
        <v>0</v>
      </c>
      <c r="S328" s="24">
        <v>0</v>
      </c>
      <c r="T328" s="24">
        <v>0</v>
      </c>
      <c r="U328" s="24">
        <v>0</v>
      </c>
      <c r="V328" s="24">
        <v>0</v>
      </c>
      <c r="W328" s="24">
        <v>0</v>
      </c>
      <c r="X328" s="24">
        <v>0</v>
      </c>
      <c r="Y328" s="24">
        <v>0</v>
      </c>
      <c r="Z328" s="24">
        <v>0</v>
      </c>
      <c r="AA328" s="24">
        <v>0</v>
      </c>
      <c r="AB328" s="24">
        <v>0</v>
      </c>
      <c r="AC328" s="30">
        <f t="shared" si="151"/>
        <v>0</v>
      </c>
      <c r="AD328" s="27">
        <f t="shared" ref="AD328:AD344" si="157">IF(AC328=0,0,AC328-AG328)</f>
        <v>0</v>
      </c>
      <c r="AE328" s="25">
        <f>IFERROR(_xlfn.XLOOKUP(N328&amp;P328,'Historico Vendas'!G:G,'Historico Vendas'!E:E),0)</f>
        <v>0</v>
      </c>
      <c r="AF328" s="29" t="str">
        <f t="shared" si="154"/>
        <v/>
      </c>
      <c r="AG328" s="24">
        <f>IFERROR(_xlfn.XLOOKUP(N328&amp;P328,'Historico Vendas'!G:G,'Historico Vendas'!F:F),0)</f>
        <v>0</v>
      </c>
      <c r="AH328" s="25">
        <f t="shared" ref="AH328:AH344" si="158">SUM(Q328:S328)</f>
        <v>0</v>
      </c>
      <c r="AI328" s="24">
        <f t="shared" ref="AI328:AI344" si="159">AH328-AG328</f>
        <v>0</v>
      </c>
      <c r="AJ328" s="11" t="str">
        <f t="shared" si="155"/>
        <v/>
      </c>
      <c r="AK328" s="9" t="s">
        <v>102</v>
      </c>
      <c r="AL328" s="13">
        <f>IFERROR(INDEX('Balizador da Meta'!$D$3:$F$23,MATCH(Quantidade!$P328,'Balizador da Meta'!$C$3:$C$23,0),MATCH(Quantidade!AK328,'Balizador da Meta'!$D$2:$F$2,0)),"")</f>
        <v>0.2</v>
      </c>
      <c r="AM328" s="9"/>
    </row>
    <row r="329" spans="1:39" x14ac:dyDescent="0.3">
      <c r="A329" s="2" t="str">
        <f t="shared" si="152"/>
        <v>NÃO</v>
      </c>
      <c r="B329" s="2" t="str">
        <f>_xlfn.XLOOKUP($N329,'Base de Grupos'!$A:$A,'Base de Grupos'!$D:$D)</f>
        <v>1000065763</v>
      </c>
      <c r="C329" s="5" t="str">
        <f>_xlfn.XLOOKUP($N329,'Base de Grupos'!$A:$A,'Base de Grupos'!$E:$E)</f>
        <v>CANAL VENDA INTERNA</v>
      </c>
      <c r="D329" s="5" t="str">
        <f>_xlfn.XLOOKUP($N329,'Base de Grupos'!$A:$A,'Base de Grupos'!$F:$F)</f>
        <v>1000065763</v>
      </c>
      <c r="E329" s="2" t="str">
        <f>_xlfn.XLOOKUP($N329,'Base de Grupos'!$A:$A,'Base de Grupos'!$G:$G)</f>
        <v>CANAL VENDA INTERNA</v>
      </c>
      <c r="F329" s="2" t="str">
        <f>_xlfn.XLOOKUP($N329,'Base de Grupos'!$A:$A,'Base de Grupos'!$H:$H)</f>
        <v>1000105899</v>
      </c>
      <c r="G329" s="5" t="str">
        <f>_xlfn.XLOOKUP($N329,'Base de Grupos'!$A:$A,'Base de Grupos'!$I:$I)</f>
        <v>REGIONAL VENDA DIRETA SUDESTE</v>
      </c>
      <c r="H329" s="5" t="str">
        <f>_xlfn.XLOOKUP($N329,'Base de Grupos'!$A:$A,'Base de Grupos'!$J:$J)</f>
        <v>1000105899</v>
      </c>
      <c r="I329" s="2" t="str">
        <f>_xlfn.XLOOKUP($N329,'Base de Grupos'!$A:$A,'Base de Grupos'!$K:$K)</f>
        <v>REGIONAL VENDA DIRETA SUDESTE</v>
      </c>
      <c r="J329" s="2" t="str">
        <f>_xlfn.XLOOKUP($N329,'Base de Grupos'!$A:$A,'Base de Grupos'!$L:$L)</f>
        <v>1000150135</v>
      </c>
      <c r="K329" s="5" t="str">
        <f>_xlfn.XLOOKUP($N329,'Base de Grupos'!$A:$A,'Base de Grupos'!$M:$M)</f>
        <v>HELDER DA SILVA BRUNKOW</v>
      </c>
      <c r="L329" s="5" t="str">
        <f t="shared" si="153"/>
        <v/>
      </c>
      <c r="M329" s="5" t="str">
        <f>_xlfn.XLOOKUP($N329,'Base de Grupos'!$A:$A,'Base de Grupos'!$C:$C)</f>
        <v>ES</v>
      </c>
      <c r="N329" s="3">
        <v>1357</v>
      </c>
      <c r="O329" s="4" t="s">
        <v>242</v>
      </c>
      <c r="P329" s="5" t="s">
        <v>82</v>
      </c>
      <c r="Q329" s="24">
        <v>0</v>
      </c>
      <c r="R329" s="24">
        <v>0</v>
      </c>
      <c r="S329" s="24">
        <v>0</v>
      </c>
      <c r="T329" s="24">
        <v>0</v>
      </c>
      <c r="U329" s="24">
        <v>0</v>
      </c>
      <c r="V329" s="24">
        <v>0</v>
      </c>
      <c r="W329" s="24">
        <v>0</v>
      </c>
      <c r="X329" s="24">
        <v>0</v>
      </c>
      <c r="Y329" s="24">
        <v>0</v>
      </c>
      <c r="Z329" s="24">
        <v>0</v>
      </c>
      <c r="AA329" s="24">
        <v>0</v>
      </c>
      <c r="AB329" s="24">
        <v>0</v>
      </c>
      <c r="AC329" s="30">
        <f t="shared" si="151"/>
        <v>0</v>
      </c>
      <c r="AD329" s="27">
        <f t="shared" si="157"/>
        <v>0</v>
      </c>
      <c r="AE329" s="25">
        <f>IFERROR(_xlfn.XLOOKUP(N329&amp;P329,'Historico Vendas'!G:G,'Historico Vendas'!E:E),0)</f>
        <v>0</v>
      </c>
      <c r="AF329" s="29" t="str">
        <f t="shared" si="154"/>
        <v/>
      </c>
      <c r="AG329" s="24">
        <f>IFERROR(_xlfn.XLOOKUP(N329&amp;P329,'Historico Vendas'!G:G,'Historico Vendas'!F:F),0)</f>
        <v>0</v>
      </c>
      <c r="AH329" s="25">
        <f t="shared" si="158"/>
        <v>0</v>
      </c>
      <c r="AI329" s="24">
        <f t="shared" si="159"/>
        <v>0</v>
      </c>
      <c r="AJ329" s="11" t="str">
        <f t="shared" si="155"/>
        <v/>
      </c>
      <c r="AK329" s="9" t="s">
        <v>102</v>
      </c>
      <c r="AL329" s="13">
        <f>IFERROR(INDEX('Balizador da Meta'!$D$3:$F$23,MATCH(Quantidade!$P329,'Balizador da Meta'!$C$3:$C$23,0),MATCH(Quantidade!AK329,'Balizador da Meta'!$D$2:$F$2,0)),"")</f>
        <v>0.2</v>
      </c>
      <c r="AM329" s="9"/>
    </row>
    <row r="330" spans="1:39" x14ac:dyDescent="0.3">
      <c r="A330" s="2" t="str">
        <f t="shared" si="152"/>
        <v>NÃO</v>
      </c>
      <c r="B330" s="2" t="str">
        <f>_xlfn.XLOOKUP($N330,'Base de Grupos'!$A:$A,'Base de Grupos'!$D:$D)</f>
        <v>1000065763</v>
      </c>
      <c r="C330" s="5" t="str">
        <f>_xlfn.XLOOKUP($N330,'Base de Grupos'!$A:$A,'Base de Grupos'!$E:$E)</f>
        <v>CANAL VENDA INTERNA</v>
      </c>
      <c r="D330" s="5" t="str">
        <f>_xlfn.XLOOKUP($N330,'Base de Grupos'!$A:$A,'Base de Grupos'!$F:$F)</f>
        <v>1000065763</v>
      </c>
      <c r="E330" s="2" t="str">
        <f>_xlfn.XLOOKUP($N330,'Base de Grupos'!$A:$A,'Base de Grupos'!$G:$G)</f>
        <v>CANAL VENDA INTERNA</v>
      </c>
      <c r="F330" s="2" t="str">
        <f>_xlfn.XLOOKUP($N330,'Base de Grupos'!$A:$A,'Base de Grupos'!$H:$H)</f>
        <v>1000105899</v>
      </c>
      <c r="G330" s="5" t="str">
        <f>_xlfn.XLOOKUP($N330,'Base de Grupos'!$A:$A,'Base de Grupos'!$I:$I)</f>
        <v>REGIONAL VENDA DIRETA SUDESTE</v>
      </c>
      <c r="H330" s="5" t="str">
        <f>_xlfn.XLOOKUP($N330,'Base de Grupos'!$A:$A,'Base de Grupos'!$J:$J)</f>
        <v>1000105899</v>
      </c>
      <c r="I330" s="2" t="str">
        <f>_xlfn.XLOOKUP($N330,'Base de Grupos'!$A:$A,'Base de Grupos'!$K:$K)</f>
        <v>REGIONAL VENDA DIRETA SUDESTE</v>
      </c>
      <c r="J330" s="2" t="str">
        <f>_xlfn.XLOOKUP($N330,'Base de Grupos'!$A:$A,'Base de Grupos'!$L:$L)</f>
        <v>1000150135</v>
      </c>
      <c r="K330" s="5" t="str">
        <f>_xlfn.XLOOKUP($N330,'Base de Grupos'!$A:$A,'Base de Grupos'!$M:$M)</f>
        <v>HELDER DA SILVA BRUNKOW</v>
      </c>
      <c r="L330" s="5" t="str">
        <f t="shared" si="153"/>
        <v/>
      </c>
      <c r="M330" s="5" t="str">
        <f>_xlfn.XLOOKUP($N330,'Base de Grupos'!$A:$A,'Base de Grupos'!$C:$C)</f>
        <v>ES</v>
      </c>
      <c r="N330" s="3">
        <v>1357</v>
      </c>
      <c r="O330" s="4" t="s">
        <v>242</v>
      </c>
      <c r="P330" s="5" t="s">
        <v>84</v>
      </c>
      <c r="Q330" s="24">
        <v>0</v>
      </c>
      <c r="R330" s="24">
        <v>0</v>
      </c>
      <c r="S330" s="24">
        <v>0</v>
      </c>
      <c r="T330" s="24">
        <v>0</v>
      </c>
      <c r="U330" s="24">
        <v>0</v>
      </c>
      <c r="V330" s="24">
        <v>0</v>
      </c>
      <c r="W330" s="24">
        <v>0</v>
      </c>
      <c r="X330" s="24">
        <v>0</v>
      </c>
      <c r="Y330" s="24">
        <v>0</v>
      </c>
      <c r="Z330" s="24">
        <v>0</v>
      </c>
      <c r="AA330" s="24">
        <v>0</v>
      </c>
      <c r="AB330" s="24">
        <v>0</v>
      </c>
      <c r="AC330" s="30">
        <f t="shared" si="151"/>
        <v>0</v>
      </c>
      <c r="AD330" s="27">
        <f t="shared" si="157"/>
        <v>0</v>
      </c>
      <c r="AE330" s="25">
        <f>IFERROR(_xlfn.XLOOKUP(N330&amp;P330,'Historico Vendas'!G:G,'Historico Vendas'!E:E),0)</f>
        <v>0</v>
      </c>
      <c r="AF330" s="29" t="str">
        <f t="shared" si="154"/>
        <v/>
      </c>
      <c r="AG330" s="24">
        <f>IFERROR(_xlfn.XLOOKUP(N330&amp;P330,'Historico Vendas'!G:G,'Historico Vendas'!F:F),0)</f>
        <v>0</v>
      </c>
      <c r="AH330" s="25">
        <f t="shared" si="158"/>
        <v>0</v>
      </c>
      <c r="AI330" s="24">
        <f t="shared" si="159"/>
        <v>0</v>
      </c>
      <c r="AJ330" s="11" t="str">
        <f t="shared" si="155"/>
        <v/>
      </c>
      <c r="AK330" s="9" t="s">
        <v>102</v>
      </c>
      <c r="AL330" s="13">
        <f>IFERROR(INDEX('Balizador da Meta'!$D$3:$F$23,MATCH(Quantidade!$P330,'Balizador da Meta'!$C$3:$C$23,0),MATCH(Quantidade!AK330,'Balizador da Meta'!$D$2:$F$2,0)),"")</f>
        <v>0.15</v>
      </c>
      <c r="AM330" s="9"/>
    </row>
    <row r="331" spans="1:39" x14ac:dyDescent="0.3">
      <c r="A331" s="2" t="str">
        <f t="shared" si="152"/>
        <v>NÃO</v>
      </c>
      <c r="B331" s="2" t="str">
        <f>_xlfn.XLOOKUP($N331,'Base de Grupos'!$A:$A,'Base de Grupos'!$D:$D)</f>
        <v>1000065763</v>
      </c>
      <c r="C331" s="5" t="str">
        <f>_xlfn.XLOOKUP($N331,'Base de Grupos'!$A:$A,'Base de Grupos'!$E:$E)</f>
        <v>CANAL VENDA INTERNA</v>
      </c>
      <c r="D331" s="5" t="str">
        <f>_xlfn.XLOOKUP($N331,'Base de Grupos'!$A:$A,'Base de Grupos'!$F:$F)</f>
        <v>1000065763</v>
      </c>
      <c r="E331" s="2" t="str">
        <f>_xlfn.XLOOKUP($N331,'Base de Grupos'!$A:$A,'Base de Grupos'!$G:$G)</f>
        <v>CANAL VENDA INTERNA</v>
      </c>
      <c r="F331" s="2" t="str">
        <f>_xlfn.XLOOKUP($N331,'Base de Grupos'!$A:$A,'Base de Grupos'!$H:$H)</f>
        <v>1000105899</v>
      </c>
      <c r="G331" s="5" t="str">
        <f>_xlfn.XLOOKUP($N331,'Base de Grupos'!$A:$A,'Base de Grupos'!$I:$I)</f>
        <v>REGIONAL VENDA DIRETA SUDESTE</v>
      </c>
      <c r="H331" s="5" t="str">
        <f>_xlfn.XLOOKUP($N331,'Base de Grupos'!$A:$A,'Base de Grupos'!$J:$J)</f>
        <v>1000105899</v>
      </c>
      <c r="I331" s="2" t="str">
        <f>_xlfn.XLOOKUP($N331,'Base de Grupos'!$A:$A,'Base de Grupos'!$K:$K)</f>
        <v>REGIONAL VENDA DIRETA SUDESTE</v>
      </c>
      <c r="J331" s="2" t="str">
        <f>_xlfn.XLOOKUP($N331,'Base de Grupos'!$A:$A,'Base de Grupos'!$L:$L)</f>
        <v>1000150135</v>
      </c>
      <c r="K331" s="5" t="str">
        <f>_xlfn.XLOOKUP($N331,'Base de Grupos'!$A:$A,'Base de Grupos'!$M:$M)</f>
        <v>HELDER DA SILVA BRUNKOW</v>
      </c>
      <c r="L331" s="5" t="str">
        <f t="shared" si="153"/>
        <v/>
      </c>
      <c r="M331" s="5" t="str">
        <f>_xlfn.XLOOKUP($N331,'Base de Grupos'!$A:$A,'Base de Grupos'!$C:$C)</f>
        <v>ES</v>
      </c>
      <c r="N331" s="3">
        <v>1357</v>
      </c>
      <c r="O331" s="4" t="s">
        <v>242</v>
      </c>
      <c r="P331" s="5" t="s">
        <v>83</v>
      </c>
      <c r="Q331" s="24">
        <v>0</v>
      </c>
      <c r="R331" s="24">
        <v>0</v>
      </c>
      <c r="S331" s="24">
        <v>0</v>
      </c>
      <c r="T331" s="24">
        <v>0</v>
      </c>
      <c r="U331" s="24">
        <v>0</v>
      </c>
      <c r="V331" s="24">
        <v>0</v>
      </c>
      <c r="W331" s="24">
        <v>0</v>
      </c>
      <c r="X331" s="24">
        <v>0</v>
      </c>
      <c r="Y331" s="24">
        <v>0</v>
      </c>
      <c r="Z331" s="24">
        <v>0</v>
      </c>
      <c r="AA331" s="24">
        <v>0</v>
      </c>
      <c r="AB331" s="24">
        <v>0</v>
      </c>
      <c r="AC331" s="30">
        <f t="shared" si="151"/>
        <v>0</v>
      </c>
      <c r="AD331" s="27">
        <f t="shared" si="157"/>
        <v>0</v>
      </c>
      <c r="AE331" s="25">
        <f>IFERROR(_xlfn.XLOOKUP(N331&amp;P331,'Historico Vendas'!G:G,'Historico Vendas'!E:E),0)</f>
        <v>0</v>
      </c>
      <c r="AF331" s="29" t="str">
        <f t="shared" si="154"/>
        <v/>
      </c>
      <c r="AG331" s="24">
        <f>IFERROR(_xlfn.XLOOKUP(N331&amp;P331,'Historico Vendas'!G:G,'Historico Vendas'!F:F),0)</f>
        <v>0</v>
      </c>
      <c r="AH331" s="25">
        <f t="shared" si="158"/>
        <v>0</v>
      </c>
      <c r="AI331" s="24">
        <f t="shared" si="159"/>
        <v>0</v>
      </c>
      <c r="AJ331" s="11" t="str">
        <f t="shared" si="155"/>
        <v/>
      </c>
      <c r="AK331" s="9" t="s">
        <v>102</v>
      </c>
      <c r="AL331" s="13">
        <f>IFERROR(INDEX('Balizador da Meta'!$D$3:$F$23,MATCH(Quantidade!$P331,'Balizador da Meta'!$C$3:$C$23,0),MATCH(Quantidade!AK331,'Balizador da Meta'!$D$2:$F$2,0)),"")</f>
        <v>0</v>
      </c>
      <c r="AM331" s="9"/>
    </row>
    <row r="332" spans="1:39" x14ac:dyDescent="0.3">
      <c r="A332" s="2" t="str">
        <f t="shared" si="152"/>
        <v>NÃO</v>
      </c>
      <c r="B332" s="2" t="str">
        <f>_xlfn.XLOOKUP($N332,'Base de Grupos'!$A:$A,'Base de Grupos'!$D:$D)</f>
        <v>1000065763</v>
      </c>
      <c r="C332" s="5" t="str">
        <f>_xlfn.XLOOKUP($N332,'Base de Grupos'!$A:$A,'Base de Grupos'!$E:$E)</f>
        <v>CANAL VENDA INTERNA</v>
      </c>
      <c r="D332" s="5" t="str">
        <f>_xlfn.XLOOKUP($N332,'Base de Grupos'!$A:$A,'Base de Grupos'!$F:$F)</f>
        <v>1000065763</v>
      </c>
      <c r="E332" s="2" t="str">
        <f>_xlfn.XLOOKUP($N332,'Base de Grupos'!$A:$A,'Base de Grupos'!$G:$G)</f>
        <v>CANAL VENDA INTERNA</v>
      </c>
      <c r="F332" s="2" t="str">
        <f>_xlfn.XLOOKUP($N332,'Base de Grupos'!$A:$A,'Base de Grupos'!$H:$H)</f>
        <v>1000105899</v>
      </c>
      <c r="G332" s="5" t="str">
        <f>_xlfn.XLOOKUP($N332,'Base de Grupos'!$A:$A,'Base de Grupos'!$I:$I)</f>
        <v>REGIONAL VENDA DIRETA SUDESTE</v>
      </c>
      <c r="H332" s="5" t="str">
        <f>_xlfn.XLOOKUP($N332,'Base de Grupos'!$A:$A,'Base de Grupos'!$J:$J)</f>
        <v>1000105899</v>
      </c>
      <c r="I332" s="2" t="str">
        <f>_xlfn.XLOOKUP($N332,'Base de Grupos'!$A:$A,'Base de Grupos'!$K:$K)</f>
        <v>REGIONAL VENDA DIRETA SUDESTE</v>
      </c>
      <c r="J332" s="2" t="str">
        <f>_xlfn.XLOOKUP($N332,'Base de Grupos'!$A:$A,'Base de Grupos'!$L:$L)</f>
        <v>1000150135</v>
      </c>
      <c r="K332" s="5" t="str">
        <f>_xlfn.XLOOKUP($N332,'Base de Grupos'!$A:$A,'Base de Grupos'!$M:$M)</f>
        <v>HELDER DA SILVA BRUNKOW</v>
      </c>
      <c r="L332" s="5" t="str">
        <f t="shared" si="153"/>
        <v/>
      </c>
      <c r="M332" s="5" t="str">
        <f>_xlfn.XLOOKUP($N332,'Base de Grupos'!$A:$A,'Base de Grupos'!$C:$C)</f>
        <v>ES</v>
      </c>
      <c r="N332" s="3">
        <v>1357</v>
      </c>
      <c r="O332" s="4" t="s">
        <v>242</v>
      </c>
      <c r="P332" s="5" t="s">
        <v>87</v>
      </c>
      <c r="Q332" s="24">
        <v>0</v>
      </c>
      <c r="R332" s="24">
        <v>0</v>
      </c>
      <c r="S332" s="24">
        <v>0</v>
      </c>
      <c r="T332" s="24">
        <v>0</v>
      </c>
      <c r="U332" s="24">
        <v>0</v>
      </c>
      <c r="V332" s="24">
        <v>0</v>
      </c>
      <c r="W332" s="24">
        <v>0</v>
      </c>
      <c r="X332" s="24">
        <v>0</v>
      </c>
      <c r="Y332" s="24">
        <v>0</v>
      </c>
      <c r="Z332" s="24">
        <v>0</v>
      </c>
      <c r="AA332" s="24">
        <v>0</v>
      </c>
      <c r="AB332" s="24">
        <v>0</v>
      </c>
      <c r="AC332" s="30">
        <f t="shared" si="151"/>
        <v>0</v>
      </c>
      <c r="AD332" s="27">
        <f t="shared" si="157"/>
        <v>0</v>
      </c>
      <c r="AE332" s="25">
        <f>IFERROR(_xlfn.XLOOKUP(N332&amp;P332,'Historico Vendas'!G:G,'Historico Vendas'!E:E),0)</f>
        <v>0</v>
      </c>
      <c r="AF332" s="29" t="str">
        <f t="shared" si="154"/>
        <v/>
      </c>
      <c r="AG332" s="24">
        <f>IFERROR(_xlfn.XLOOKUP(N332&amp;P332,'Historico Vendas'!G:G,'Historico Vendas'!F:F),0)</f>
        <v>0</v>
      </c>
      <c r="AH332" s="25">
        <f t="shared" si="158"/>
        <v>0</v>
      </c>
      <c r="AI332" s="24">
        <f t="shared" si="159"/>
        <v>0</v>
      </c>
      <c r="AJ332" s="11" t="str">
        <f t="shared" si="155"/>
        <v/>
      </c>
      <c r="AK332" s="9" t="s">
        <v>102</v>
      </c>
      <c r="AL332" s="13">
        <f>IFERROR(INDEX('Balizador da Meta'!$D$3:$F$23,MATCH(Quantidade!$P332,'Balizador da Meta'!$C$3:$C$23,0),MATCH(Quantidade!AK332,'Balizador da Meta'!$D$2:$F$2,0)),"")</f>
        <v>0</v>
      </c>
      <c r="AM332" s="9"/>
    </row>
    <row r="333" spans="1:39" x14ac:dyDescent="0.3">
      <c r="A333" s="2" t="str">
        <f t="shared" si="152"/>
        <v>NÃO</v>
      </c>
      <c r="B333" s="2" t="str">
        <f>_xlfn.XLOOKUP($N333,'Base de Grupos'!$A:$A,'Base de Grupos'!$D:$D)</f>
        <v>1000065763</v>
      </c>
      <c r="C333" s="5" t="str">
        <f>_xlfn.XLOOKUP($N333,'Base de Grupos'!$A:$A,'Base de Grupos'!$E:$E)</f>
        <v>CANAL VENDA INTERNA</v>
      </c>
      <c r="D333" s="5" t="str">
        <f>_xlfn.XLOOKUP($N333,'Base de Grupos'!$A:$A,'Base de Grupos'!$F:$F)</f>
        <v>1000065763</v>
      </c>
      <c r="E333" s="2" t="str">
        <f>_xlfn.XLOOKUP($N333,'Base de Grupos'!$A:$A,'Base de Grupos'!$G:$G)</f>
        <v>CANAL VENDA INTERNA</v>
      </c>
      <c r="F333" s="2" t="str">
        <f>_xlfn.XLOOKUP($N333,'Base de Grupos'!$A:$A,'Base de Grupos'!$H:$H)</f>
        <v>1000105899</v>
      </c>
      <c r="G333" s="5" t="str">
        <f>_xlfn.XLOOKUP($N333,'Base de Grupos'!$A:$A,'Base de Grupos'!$I:$I)</f>
        <v>REGIONAL VENDA DIRETA SUDESTE</v>
      </c>
      <c r="H333" s="5" t="str">
        <f>_xlfn.XLOOKUP($N333,'Base de Grupos'!$A:$A,'Base de Grupos'!$J:$J)</f>
        <v>1000105899</v>
      </c>
      <c r="I333" s="2" t="str">
        <f>_xlfn.XLOOKUP($N333,'Base de Grupos'!$A:$A,'Base de Grupos'!$K:$K)</f>
        <v>REGIONAL VENDA DIRETA SUDESTE</v>
      </c>
      <c r="J333" s="2" t="str">
        <f>_xlfn.XLOOKUP($N333,'Base de Grupos'!$A:$A,'Base de Grupos'!$L:$L)</f>
        <v>1000150135</v>
      </c>
      <c r="K333" s="5" t="str">
        <f>_xlfn.XLOOKUP($N333,'Base de Grupos'!$A:$A,'Base de Grupos'!$M:$M)</f>
        <v>HELDER DA SILVA BRUNKOW</v>
      </c>
      <c r="L333" s="5" t="str">
        <f t="shared" si="153"/>
        <v/>
      </c>
      <c r="M333" s="5" t="str">
        <f>_xlfn.XLOOKUP($N333,'Base de Grupos'!$A:$A,'Base de Grupos'!$C:$C)</f>
        <v>ES</v>
      </c>
      <c r="N333" s="3">
        <v>1357</v>
      </c>
      <c r="O333" s="4" t="s">
        <v>242</v>
      </c>
      <c r="P333" s="5" t="s">
        <v>85</v>
      </c>
      <c r="Q333" s="24">
        <f>SUM(Q334:Q354)</f>
        <v>0</v>
      </c>
      <c r="R333" s="24">
        <f t="shared" ref="R333" si="160">SUM(R334:R354)</f>
        <v>0</v>
      </c>
      <c r="S333" s="24">
        <f t="shared" ref="S333" si="161">SUM(S334:S354)</f>
        <v>0</v>
      </c>
      <c r="T333" s="24">
        <f t="shared" ref="T333:AC333" si="162">SUM(T334:T354)</f>
        <v>0</v>
      </c>
      <c r="U333" s="24">
        <f t="shared" si="162"/>
        <v>0</v>
      </c>
      <c r="V333" s="24">
        <f t="shared" si="162"/>
        <v>0</v>
      </c>
      <c r="W333" s="24">
        <f t="shared" si="162"/>
        <v>0</v>
      </c>
      <c r="X333" s="24">
        <f t="shared" si="162"/>
        <v>0</v>
      </c>
      <c r="Y333" s="24">
        <f t="shared" si="162"/>
        <v>0</v>
      </c>
      <c r="Z333" s="24">
        <f t="shared" si="162"/>
        <v>0</v>
      </c>
      <c r="AA333" s="24">
        <f t="shared" si="162"/>
        <v>0</v>
      </c>
      <c r="AB333" s="24">
        <f t="shared" si="162"/>
        <v>0</v>
      </c>
      <c r="AC333" s="24">
        <f t="shared" si="162"/>
        <v>0</v>
      </c>
      <c r="AD333" s="27">
        <f t="shared" si="157"/>
        <v>0</v>
      </c>
      <c r="AE333" s="25">
        <f>IFERROR(_xlfn.XLOOKUP(N333&amp;P333,'Historico Vendas'!G:G,'Historico Vendas'!E:E),0)</f>
        <v>0</v>
      </c>
      <c r="AF333" s="29" t="str">
        <f t="shared" si="154"/>
        <v/>
      </c>
      <c r="AG333" s="24">
        <f>IFERROR(_xlfn.XLOOKUP(N333&amp;P333,'Historico Vendas'!G:G,'Historico Vendas'!F:F),0)</f>
        <v>0</v>
      </c>
      <c r="AH333" s="25">
        <f t="shared" si="158"/>
        <v>0</v>
      </c>
      <c r="AI333" s="24">
        <f t="shared" si="159"/>
        <v>0</v>
      </c>
      <c r="AJ333" s="11" t="str">
        <f t="shared" si="155"/>
        <v/>
      </c>
      <c r="AK333" s="9" t="s">
        <v>102</v>
      </c>
      <c r="AL333" s="13">
        <f>IFERROR(INDEX('Balizador da Meta'!$D$3:$F$23,MATCH(Quantidade!$P333,'Balizador da Meta'!$C$3:$C$23,0),MATCH(Quantidade!AK333,'Balizador da Meta'!$D$2:$F$2,0)),"")</f>
        <v>0</v>
      </c>
      <c r="AM333" s="9"/>
    </row>
    <row r="334" spans="1:39" x14ac:dyDescent="0.3">
      <c r="A334" s="2" t="str">
        <f t="shared" si="152"/>
        <v>NÃO</v>
      </c>
      <c r="B334" s="2" t="str">
        <f>_xlfn.XLOOKUP($N334,'Base de Grupos'!$A:$A,'Base de Grupos'!$D:$D)</f>
        <v>1000065763</v>
      </c>
      <c r="C334" s="5" t="str">
        <f>_xlfn.XLOOKUP($N334,'Base de Grupos'!$A:$A,'Base de Grupos'!$E:$E)</f>
        <v>CANAL VENDA INTERNA</v>
      </c>
      <c r="D334" s="5" t="str">
        <f>_xlfn.XLOOKUP($N334,'Base de Grupos'!$A:$A,'Base de Grupos'!$F:$F)</f>
        <v>1000065763</v>
      </c>
      <c r="E334" s="2" t="str">
        <f>_xlfn.XLOOKUP($N334,'Base de Grupos'!$A:$A,'Base de Grupos'!$G:$G)</f>
        <v>CANAL VENDA INTERNA</v>
      </c>
      <c r="F334" s="2" t="str">
        <f>_xlfn.XLOOKUP($N334,'Base de Grupos'!$A:$A,'Base de Grupos'!$H:$H)</f>
        <v>1000105899</v>
      </c>
      <c r="G334" s="5" t="str">
        <f>_xlfn.XLOOKUP($N334,'Base de Grupos'!$A:$A,'Base de Grupos'!$I:$I)</f>
        <v>REGIONAL VENDA DIRETA SUDESTE</v>
      </c>
      <c r="H334" s="5" t="str">
        <f>_xlfn.XLOOKUP($N334,'Base de Grupos'!$A:$A,'Base de Grupos'!$J:$J)</f>
        <v>1000105899</v>
      </c>
      <c r="I334" s="2" t="str">
        <f>_xlfn.XLOOKUP($N334,'Base de Grupos'!$A:$A,'Base de Grupos'!$K:$K)</f>
        <v>REGIONAL VENDA DIRETA SUDESTE</v>
      </c>
      <c r="J334" s="2" t="str">
        <f>_xlfn.XLOOKUP($N334,'Base de Grupos'!$A:$A,'Base de Grupos'!$L:$L)</f>
        <v>1000150135</v>
      </c>
      <c r="K334" s="5" t="str">
        <f>_xlfn.XLOOKUP($N334,'Base de Grupos'!$A:$A,'Base de Grupos'!$M:$M)</f>
        <v>HELDER DA SILVA BRUNKOW</v>
      </c>
      <c r="L334" s="5" t="str">
        <f t="shared" si="153"/>
        <v/>
      </c>
      <c r="M334" s="5" t="str">
        <f>_xlfn.XLOOKUP($N334,'Base de Grupos'!$A:$A,'Base de Grupos'!$C:$C)</f>
        <v>ES</v>
      </c>
      <c r="N334" s="3">
        <v>1357</v>
      </c>
      <c r="O334" s="4" t="s">
        <v>242</v>
      </c>
      <c r="P334" s="5" t="s">
        <v>92</v>
      </c>
      <c r="Q334" s="24">
        <v>0</v>
      </c>
      <c r="R334" s="24">
        <v>0</v>
      </c>
      <c r="S334" s="24">
        <v>0</v>
      </c>
      <c r="T334" s="24">
        <v>0</v>
      </c>
      <c r="U334" s="24">
        <v>0</v>
      </c>
      <c r="V334" s="24">
        <v>0</v>
      </c>
      <c r="W334" s="24">
        <v>0</v>
      </c>
      <c r="X334" s="24">
        <v>0</v>
      </c>
      <c r="Y334" s="24">
        <v>0</v>
      </c>
      <c r="Z334" s="24">
        <v>0</v>
      </c>
      <c r="AA334" s="24">
        <v>0</v>
      </c>
      <c r="AB334" s="24">
        <v>0</v>
      </c>
      <c r="AC334" s="30">
        <f t="shared" ref="AC334:AC354" si="163">SUM(T334:AB334)</f>
        <v>0</v>
      </c>
      <c r="AD334" s="27">
        <f t="shared" si="157"/>
        <v>0</v>
      </c>
      <c r="AE334" s="25">
        <f>IFERROR(_xlfn.XLOOKUP(N334&amp;P334,'Historico Vendas'!G:G,'Historico Vendas'!E:E),0)</f>
        <v>0</v>
      </c>
      <c r="AF334" s="29" t="str">
        <f t="shared" si="154"/>
        <v/>
      </c>
      <c r="AG334" s="24">
        <f>IFERROR(_xlfn.XLOOKUP(N334&amp;P334,'Historico Vendas'!G:G,'Historico Vendas'!F:F),0)</f>
        <v>0</v>
      </c>
      <c r="AH334" s="25">
        <f t="shared" si="158"/>
        <v>0</v>
      </c>
      <c r="AI334" s="24">
        <f t="shared" si="159"/>
        <v>0</v>
      </c>
      <c r="AJ334" s="11" t="str">
        <f t="shared" si="155"/>
        <v/>
      </c>
      <c r="AK334" s="9" t="s">
        <v>102</v>
      </c>
      <c r="AL334" s="13">
        <f>IFERROR(INDEX('Balizador da Meta'!$D$3:$F$23,MATCH(Quantidade!$P334,'Balizador da Meta'!$C$3:$C$23,0),MATCH(Quantidade!AK334,'Balizador da Meta'!$D$2:$F$2,0)),"")</f>
        <v>0</v>
      </c>
      <c r="AM334" s="9"/>
    </row>
    <row r="335" spans="1:39" x14ac:dyDescent="0.3">
      <c r="A335" s="2" t="str">
        <f t="shared" si="152"/>
        <v>NÃO</v>
      </c>
      <c r="B335" s="2" t="str">
        <f>_xlfn.XLOOKUP($N335,'Base de Grupos'!$A:$A,'Base de Grupos'!$D:$D)</f>
        <v>1000065763</v>
      </c>
      <c r="C335" s="5" t="str">
        <f>_xlfn.XLOOKUP($N335,'Base de Grupos'!$A:$A,'Base de Grupos'!$E:$E)</f>
        <v>CANAL VENDA INTERNA</v>
      </c>
      <c r="D335" s="5" t="str">
        <f>_xlfn.XLOOKUP($N335,'Base de Grupos'!$A:$A,'Base de Grupos'!$F:$F)</f>
        <v>1000065763</v>
      </c>
      <c r="E335" s="2" t="str">
        <f>_xlfn.XLOOKUP($N335,'Base de Grupos'!$A:$A,'Base de Grupos'!$G:$G)</f>
        <v>CANAL VENDA INTERNA</v>
      </c>
      <c r="F335" s="2" t="str">
        <f>_xlfn.XLOOKUP($N335,'Base de Grupos'!$A:$A,'Base de Grupos'!$H:$H)</f>
        <v>1000105899</v>
      </c>
      <c r="G335" s="5" t="str">
        <f>_xlfn.XLOOKUP($N335,'Base de Grupos'!$A:$A,'Base de Grupos'!$I:$I)</f>
        <v>REGIONAL VENDA DIRETA SUDESTE</v>
      </c>
      <c r="H335" s="5" t="str">
        <f>_xlfn.XLOOKUP($N335,'Base de Grupos'!$A:$A,'Base de Grupos'!$J:$J)</f>
        <v>1000105899</v>
      </c>
      <c r="I335" s="2" t="str">
        <f>_xlfn.XLOOKUP($N335,'Base de Grupos'!$A:$A,'Base de Grupos'!$K:$K)</f>
        <v>REGIONAL VENDA DIRETA SUDESTE</v>
      </c>
      <c r="J335" s="2" t="str">
        <f>_xlfn.XLOOKUP($N335,'Base de Grupos'!$A:$A,'Base de Grupos'!$L:$L)</f>
        <v>1000150135</v>
      </c>
      <c r="K335" s="5" t="str">
        <f>_xlfn.XLOOKUP($N335,'Base de Grupos'!$A:$A,'Base de Grupos'!$M:$M)</f>
        <v>HELDER DA SILVA BRUNKOW</v>
      </c>
      <c r="L335" s="5" t="str">
        <f t="shared" si="153"/>
        <v/>
      </c>
      <c r="M335" s="5" t="str">
        <f>_xlfn.XLOOKUP($N335,'Base de Grupos'!$A:$A,'Base de Grupos'!$C:$C)</f>
        <v>ES</v>
      </c>
      <c r="N335" s="3">
        <v>1357</v>
      </c>
      <c r="O335" s="4" t="s">
        <v>242</v>
      </c>
      <c r="P335" s="5" t="s">
        <v>86</v>
      </c>
      <c r="Q335" s="24">
        <v>0</v>
      </c>
      <c r="R335" s="24">
        <v>0</v>
      </c>
      <c r="S335" s="24">
        <v>0</v>
      </c>
      <c r="T335" s="24">
        <v>0</v>
      </c>
      <c r="U335" s="24">
        <v>0</v>
      </c>
      <c r="V335" s="24">
        <v>0</v>
      </c>
      <c r="W335" s="24">
        <v>0</v>
      </c>
      <c r="X335" s="24">
        <v>0</v>
      </c>
      <c r="Y335" s="24">
        <v>0</v>
      </c>
      <c r="Z335" s="24">
        <v>0</v>
      </c>
      <c r="AA335" s="24">
        <v>0</v>
      </c>
      <c r="AB335" s="24">
        <v>0</v>
      </c>
      <c r="AC335" s="30">
        <f t="shared" si="163"/>
        <v>0</v>
      </c>
      <c r="AD335" s="27">
        <f t="shared" si="157"/>
        <v>0</v>
      </c>
      <c r="AE335" s="25">
        <f>IFERROR(_xlfn.XLOOKUP(N335&amp;P335,'Historico Vendas'!G:G,'Historico Vendas'!E:E),0)</f>
        <v>0</v>
      </c>
      <c r="AF335" s="29" t="str">
        <f t="shared" si="154"/>
        <v/>
      </c>
      <c r="AG335" s="24">
        <f>IFERROR(_xlfn.XLOOKUP(N335&amp;P335,'Historico Vendas'!G:G,'Historico Vendas'!F:F),0)</f>
        <v>0</v>
      </c>
      <c r="AH335" s="25">
        <f t="shared" si="158"/>
        <v>0</v>
      </c>
      <c r="AI335" s="24">
        <f t="shared" si="159"/>
        <v>0</v>
      </c>
      <c r="AJ335" s="11" t="str">
        <f t="shared" si="155"/>
        <v/>
      </c>
      <c r="AK335" s="9" t="s">
        <v>102</v>
      </c>
      <c r="AL335" s="13">
        <f>IFERROR(INDEX('Balizador da Meta'!$D$3:$F$23,MATCH(Quantidade!$P335,'Balizador da Meta'!$C$3:$C$23,0),MATCH(Quantidade!AK335,'Balizador da Meta'!$D$2:$F$2,0)),"")</f>
        <v>0.15</v>
      </c>
      <c r="AM335" s="9"/>
    </row>
    <row r="336" spans="1:39" x14ac:dyDescent="0.3">
      <c r="A336" s="2" t="str">
        <f t="shared" si="152"/>
        <v>NÃO</v>
      </c>
      <c r="B336" s="2" t="str">
        <f>_xlfn.XLOOKUP($N336,'Base de Grupos'!$A:$A,'Base de Grupos'!$D:$D)</f>
        <v>1000065763</v>
      </c>
      <c r="C336" s="5" t="str">
        <f>_xlfn.XLOOKUP($N336,'Base de Grupos'!$A:$A,'Base de Grupos'!$E:$E)</f>
        <v>CANAL VENDA INTERNA</v>
      </c>
      <c r="D336" s="5" t="str">
        <f>_xlfn.XLOOKUP($N336,'Base de Grupos'!$A:$A,'Base de Grupos'!$F:$F)</f>
        <v>1000065763</v>
      </c>
      <c r="E336" s="2" t="str">
        <f>_xlfn.XLOOKUP($N336,'Base de Grupos'!$A:$A,'Base de Grupos'!$G:$G)</f>
        <v>CANAL VENDA INTERNA</v>
      </c>
      <c r="F336" s="2" t="str">
        <f>_xlfn.XLOOKUP($N336,'Base de Grupos'!$A:$A,'Base de Grupos'!$H:$H)</f>
        <v>1000105899</v>
      </c>
      <c r="G336" s="5" t="str">
        <f>_xlfn.XLOOKUP($N336,'Base de Grupos'!$A:$A,'Base de Grupos'!$I:$I)</f>
        <v>REGIONAL VENDA DIRETA SUDESTE</v>
      </c>
      <c r="H336" s="5" t="str">
        <f>_xlfn.XLOOKUP($N336,'Base de Grupos'!$A:$A,'Base de Grupos'!$J:$J)</f>
        <v>1000105899</v>
      </c>
      <c r="I336" s="2" t="str">
        <f>_xlfn.XLOOKUP($N336,'Base de Grupos'!$A:$A,'Base de Grupos'!$K:$K)</f>
        <v>REGIONAL VENDA DIRETA SUDESTE</v>
      </c>
      <c r="J336" s="2" t="str">
        <f>_xlfn.XLOOKUP($N336,'Base de Grupos'!$A:$A,'Base de Grupos'!$L:$L)</f>
        <v>1000150135</v>
      </c>
      <c r="K336" s="5" t="str">
        <f>_xlfn.XLOOKUP($N336,'Base de Grupos'!$A:$A,'Base de Grupos'!$M:$M)</f>
        <v>HELDER DA SILVA BRUNKOW</v>
      </c>
      <c r="L336" s="5" t="str">
        <f t="shared" si="153"/>
        <v/>
      </c>
      <c r="M336" s="5" t="str">
        <f>_xlfn.XLOOKUP($N336,'Base de Grupos'!$A:$A,'Base de Grupos'!$C:$C)</f>
        <v>ES</v>
      </c>
      <c r="N336" s="3">
        <v>1357</v>
      </c>
      <c r="O336" s="4" t="s">
        <v>242</v>
      </c>
      <c r="P336" s="5" t="s">
        <v>108</v>
      </c>
      <c r="Q336" s="24">
        <v>0</v>
      </c>
      <c r="R336" s="24">
        <v>0</v>
      </c>
      <c r="S336" s="24">
        <v>0</v>
      </c>
      <c r="T336" s="24">
        <v>0</v>
      </c>
      <c r="U336" s="24">
        <v>0</v>
      </c>
      <c r="V336" s="24">
        <v>0</v>
      </c>
      <c r="W336" s="24">
        <v>0</v>
      </c>
      <c r="X336" s="24">
        <v>0</v>
      </c>
      <c r="Y336" s="24">
        <v>0</v>
      </c>
      <c r="Z336" s="24">
        <v>0</v>
      </c>
      <c r="AA336" s="24">
        <v>0</v>
      </c>
      <c r="AB336" s="24">
        <v>0</v>
      </c>
      <c r="AC336" s="30">
        <f t="shared" si="163"/>
        <v>0</v>
      </c>
      <c r="AD336" s="27">
        <f t="shared" si="157"/>
        <v>0</v>
      </c>
      <c r="AE336" s="25">
        <f>IFERROR(_xlfn.XLOOKUP(N336&amp;P336,'Historico Vendas'!G:G,'Historico Vendas'!E:E),0)</f>
        <v>0</v>
      </c>
      <c r="AF336" s="29" t="str">
        <f t="shared" si="154"/>
        <v/>
      </c>
      <c r="AG336" s="24">
        <f>IFERROR(_xlfn.XLOOKUP(N336&amp;P336,'Historico Vendas'!G:G,'Historico Vendas'!F:F),0)</f>
        <v>0</v>
      </c>
      <c r="AH336" s="25">
        <f t="shared" si="158"/>
        <v>0</v>
      </c>
      <c r="AI336" s="24">
        <f t="shared" si="159"/>
        <v>0</v>
      </c>
      <c r="AJ336" s="11" t="str">
        <f t="shared" si="155"/>
        <v/>
      </c>
      <c r="AK336" s="9" t="s">
        <v>102</v>
      </c>
      <c r="AL336" s="13">
        <f>IFERROR(INDEX('Balizador da Meta'!$D$3:$F$23,MATCH(Quantidade!$P336,'Balizador da Meta'!$C$3:$C$23,0),MATCH(Quantidade!AK336,'Balizador da Meta'!$D$2:$F$2,0)),"")</f>
        <v>0</v>
      </c>
      <c r="AM336" s="9"/>
    </row>
    <row r="337" spans="1:39" x14ac:dyDescent="0.3">
      <c r="A337" s="2" t="str">
        <f t="shared" si="152"/>
        <v>NÃO</v>
      </c>
      <c r="B337" s="2" t="str">
        <f>_xlfn.XLOOKUP($N337,'Base de Grupos'!$A:$A,'Base de Grupos'!$D:$D)</f>
        <v>1000065763</v>
      </c>
      <c r="C337" s="5" t="str">
        <f>_xlfn.XLOOKUP($N337,'Base de Grupos'!$A:$A,'Base de Grupos'!$E:$E)</f>
        <v>CANAL VENDA INTERNA</v>
      </c>
      <c r="D337" s="5" t="str">
        <f>_xlfn.XLOOKUP($N337,'Base de Grupos'!$A:$A,'Base de Grupos'!$F:$F)</f>
        <v>1000065763</v>
      </c>
      <c r="E337" s="2" t="str">
        <f>_xlfn.XLOOKUP($N337,'Base de Grupos'!$A:$A,'Base de Grupos'!$G:$G)</f>
        <v>CANAL VENDA INTERNA</v>
      </c>
      <c r="F337" s="2" t="str">
        <f>_xlfn.XLOOKUP($N337,'Base de Grupos'!$A:$A,'Base de Grupos'!$H:$H)</f>
        <v>1000105899</v>
      </c>
      <c r="G337" s="5" t="str">
        <f>_xlfn.XLOOKUP($N337,'Base de Grupos'!$A:$A,'Base de Grupos'!$I:$I)</f>
        <v>REGIONAL VENDA DIRETA SUDESTE</v>
      </c>
      <c r="H337" s="5" t="str">
        <f>_xlfn.XLOOKUP($N337,'Base de Grupos'!$A:$A,'Base de Grupos'!$J:$J)</f>
        <v>1000105899</v>
      </c>
      <c r="I337" s="2" t="str">
        <f>_xlfn.XLOOKUP($N337,'Base de Grupos'!$A:$A,'Base de Grupos'!$K:$K)</f>
        <v>REGIONAL VENDA DIRETA SUDESTE</v>
      </c>
      <c r="J337" s="2" t="str">
        <f>_xlfn.XLOOKUP($N337,'Base de Grupos'!$A:$A,'Base de Grupos'!$L:$L)</f>
        <v>1000150135</v>
      </c>
      <c r="K337" s="5" t="str">
        <f>_xlfn.XLOOKUP($N337,'Base de Grupos'!$A:$A,'Base de Grupos'!$M:$M)</f>
        <v>HELDER DA SILVA BRUNKOW</v>
      </c>
      <c r="L337" s="5" t="str">
        <f t="shared" si="153"/>
        <v/>
      </c>
      <c r="M337" s="5" t="str">
        <f>_xlfn.XLOOKUP($N337,'Base de Grupos'!$A:$A,'Base de Grupos'!$C:$C)</f>
        <v>ES</v>
      </c>
      <c r="N337" s="3">
        <v>1357</v>
      </c>
      <c r="O337" s="4" t="s">
        <v>242</v>
      </c>
      <c r="P337" s="5" t="s">
        <v>89</v>
      </c>
      <c r="Q337" s="24">
        <v>0</v>
      </c>
      <c r="R337" s="24">
        <v>0</v>
      </c>
      <c r="S337" s="24">
        <v>0</v>
      </c>
      <c r="T337" s="24">
        <v>0</v>
      </c>
      <c r="U337" s="24">
        <v>0</v>
      </c>
      <c r="V337" s="24">
        <v>0</v>
      </c>
      <c r="W337" s="24">
        <v>0</v>
      </c>
      <c r="X337" s="24">
        <v>0</v>
      </c>
      <c r="Y337" s="24">
        <v>0</v>
      </c>
      <c r="Z337" s="24">
        <v>0</v>
      </c>
      <c r="AA337" s="24">
        <v>0</v>
      </c>
      <c r="AB337" s="24">
        <v>0</v>
      </c>
      <c r="AC337" s="30">
        <f t="shared" si="163"/>
        <v>0</v>
      </c>
      <c r="AD337" s="27">
        <f t="shared" si="157"/>
        <v>0</v>
      </c>
      <c r="AE337" s="25">
        <f>IFERROR(_xlfn.XLOOKUP(N337&amp;P337,'Historico Vendas'!G:G,'Historico Vendas'!E:E),0)</f>
        <v>0</v>
      </c>
      <c r="AF337" s="29" t="str">
        <f t="shared" si="154"/>
        <v/>
      </c>
      <c r="AG337" s="24">
        <f>IFERROR(_xlfn.XLOOKUP(N337&amp;P337,'Historico Vendas'!G:G,'Historico Vendas'!F:F),0)</f>
        <v>0</v>
      </c>
      <c r="AH337" s="25">
        <f t="shared" si="158"/>
        <v>0</v>
      </c>
      <c r="AI337" s="24">
        <f t="shared" si="159"/>
        <v>0</v>
      </c>
      <c r="AJ337" s="11" t="str">
        <f t="shared" si="155"/>
        <v/>
      </c>
      <c r="AK337" s="9" t="s">
        <v>102</v>
      </c>
      <c r="AL337" s="13">
        <f>IFERROR(INDEX('Balizador da Meta'!$D$3:$F$23,MATCH(Quantidade!$P337,'Balizador da Meta'!$C$3:$C$23,0),MATCH(Quantidade!AK337,'Balizador da Meta'!$D$2:$F$2,0)),"")</f>
        <v>0.25</v>
      </c>
      <c r="AM337" s="9"/>
    </row>
    <row r="338" spans="1:39" x14ac:dyDescent="0.3">
      <c r="A338" s="2" t="str">
        <f t="shared" si="152"/>
        <v>NÃO</v>
      </c>
      <c r="B338" s="2" t="str">
        <f>_xlfn.XLOOKUP($N338,'Base de Grupos'!$A:$A,'Base de Grupos'!$D:$D)</f>
        <v>1000065763</v>
      </c>
      <c r="C338" s="5" t="str">
        <f>_xlfn.XLOOKUP($N338,'Base de Grupos'!$A:$A,'Base de Grupos'!$E:$E)</f>
        <v>CANAL VENDA INTERNA</v>
      </c>
      <c r="D338" s="5" t="str">
        <f>_xlfn.XLOOKUP($N338,'Base de Grupos'!$A:$A,'Base de Grupos'!$F:$F)</f>
        <v>1000065763</v>
      </c>
      <c r="E338" s="2" t="str">
        <f>_xlfn.XLOOKUP($N338,'Base de Grupos'!$A:$A,'Base de Grupos'!$G:$G)</f>
        <v>CANAL VENDA INTERNA</v>
      </c>
      <c r="F338" s="2" t="str">
        <f>_xlfn.XLOOKUP($N338,'Base de Grupos'!$A:$A,'Base de Grupos'!$H:$H)</f>
        <v>1000105899</v>
      </c>
      <c r="G338" s="5" t="str">
        <f>_xlfn.XLOOKUP($N338,'Base de Grupos'!$A:$A,'Base de Grupos'!$I:$I)</f>
        <v>REGIONAL VENDA DIRETA SUDESTE</v>
      </c>
      <c r="H338" s="5" t="str">
        <f>_xlfn.XLOOKUP($N338,'Base de Grupos'!$A:$A,'Base de Grupos'!$J:$J)</f>
        <v>1000105899</v>
      </c>
      <c r="I338" s="2" t="str">
        <f>_xlfn.XLOOKUP($N338,'Base de Grupos'!$A:$A,'Base de Grupos'!$K:$K)</f>
        <v>REGIONAL VENDA DIRETA SUDESTE</v>
      </c>
      <c r="J338" s="2" t="str">
        <f>_xlfn.XLOOKUP($N338,'Base de Grupos'!$A:$A,'Base de Grupos'!$L:$L)</f>
        <v>1000150135</v>
      </c>
      <c r="K338" s="5" t="str">
        <f>_xlfn.XLOOKUP($N338,'Base de Grupos'!$A:$A,'Base de Grupos'!$M:$M)</f>
        <v>HELDER DA SILVA BRUNKOW</v>
      </c>
      <c r="L338" s="5" t="str">
        <f t="shared" si="153"/>
        <v/>
      </c>
      <c r="M338" s="5" t="str">
        <f>_xlfn.XLOOKUP($N338,'Base de Grupos'!$A:$A,'Base de Grupos'!$C:$C)</f>
        <v>ES</v>
      </c>
      <c r="N338" s="3">
        <v>1357</v>
      </c>
      <c r="O338" s="4" t="s">
        <v>242</v>
      </c>
      <c r="P338" s="5" t="s">
        <v>88</v>
      </c>
      <c r="Q338" s="24">
        <v>0</v>
      </c>
      <c r="R338" s="24">
        <v>0</v>
      </c>
      <c r="S338" s="24">
        <v>0</v>
      </c>
      <c r="T338" s="24">
        <v>0</v>
      </c>
      <c r="U338" s="24">
        <v>0</v>
      </c>
      <c r="V338" s="24">
        <v>0</v>
      </c>
      <c r="W338" s="24">
        <v>0</v>
      </c>
      <c r="X338" s="24">
        <v>0</v>
      </c>
      <c r="Y338" s="24">
        <v>0</v>
      </c>
      <c r="Z338" s="24">
        <v>0</v>
      </c>
      <c r="AA338" s="24">
        <v>0</v>
      </c>
      <c r="AB338" s="24">
        <v>0</v>
      </c>
      <c r="AC338" s="30">
        <f t="shared" si="163"/>
        <v>0</v>
      </c>
      <c r="AD338" s="27">
        <f t="shared" si="157"/>
        <v>0</v>
      </c>
      <c r="AE338" s="25">
        <f>IFERROR(_xlfn.XLOOKUP(N338&amp;P338,'Historico Vendas'!G:G,'Historico Vendas'!E:E),0)</f>
        <v>0</v>
      </c>
      <c r="AF338" s="29" t="str">
        <f t="shared" si="154"/>
        <v/>
      </c>
      <c r="AG338" s="24">
        <f>IFERROR(_xlfn.XLOOKUP(N338&amp;P338,'Historico Vendas'!G:G,'Historico Vendas'!F:F),0)</f>
        <v>0</v>
      </c>
      <c r="AH338" s="25">
        <f t="shared" si="158"/>
        <v>0</v>
      </c>
      <c r="AI338" s="24">
        <f t="shared" si="159"/>
        <v>0</v>
      </c>
      <c r="AJ338" s="11" t="str">
        <f t="shared" si="155"/>
        <v/>
      </c>
      <c r="AK338" s="9" t="s">
        <v>102</v>
      </c>
      <c r="AL338" s="13">
        <f>IFERROR(INDEX('Balizador da Meta'!$D$3:$F$23,MATCH(Quantidade!$P338,'Balizador da Meta'!$C$3:$C$23,0),MATCH(Quantidade!AK338,'Balizador da Meta'!$D$2:$F$2,0)),"")</f>
        <v>0</v>
      </c>
      <c r="AM338" s="9"/>
    </row>
    <row r="339" spans="1:39" x14ac:dyDescent="0.3">
      <c r="A339" s="2" t="str">
        <f t="shared" si="152"/>
        <v>NÃO</v>
      </c>
      <c r="B339" s="2" t="str">
        <f>_xlfn.XLOOKUP($N339,'Base de Grupos'!$A:$A,'Base de Grupos'!$D:$D)</f>
        <v>1000065763</v>
      </c>
      <c r="C339" s="5" t="str">
        <f>_xlfn.XLOOKUP($N339,'Base de Grupos'!$A:$A,'Base de Grupos'!$E:$E)</f>
        <v>CANAL VENDA INTERNA</v>
      </c>
      <c r="D339" s="5" t="str">
        <f>_xlfn.XLOOKUP($N339,'Base de Grupos'!$A:$A,'Base de Grupos'!$F:$F)</f>
        <v>1000065763</v>
      </c>
      <c r="E339" s="2" t="str">
        <f>_xlfn.XLOOKUP($N339,'Base de Grupos'!$A:$A,'Base de Grupos'!$G:$G)</f>
        <v>CANAL VENDA INTERNA</v>
      </c>
      <c r="F339" s="2" t="str">
        <f>_xlfn.XLOOKUP($N339,'Base de Grupos'!$A:$A,'Base de Grupos'!$H:$H)</f>
        <v>1000105899</v>
      </c>
      <c r="G339" s="5" t="str">
        <f>_xlfn.XLOOKUP($N339,'Base de Grupos'!$A:$A,'Base de Grupos'!$I:$I)</f>
        <v>REGIONAL VENDA DIRETA SUDESTE</v>
      </c>
      <c r="H339" s="5" t="str">
        <f>_xlfn.XLOOKUP($N339,'Base de Grupos'!$A:$A,'Base de Grupos'!$J:$J)</f>
        <v>1000105899</v>
      </c>
      <c r="I339" s="2" t="str">
        <f>_xlfn.XLOOKUP($N339,'Base de Grupos'!$A:$A,'Base de Grupos'!$K:$K)</f>
        <v>REGIONAL VENDA DIRETA SUDESTE</v>
      </c>
      <c r="J339" s="2" t="str">
        <f>_xlfn.XLOOKUP($N339,'Base de Grupos'!$A:$A,'Base de Grupos'!$L:$L)</f>
        <v>1000150135</v>
      </c>
      <c r="K339" s="5" t="str">
        <f>_xlfn.XLOOKUP($N339,'Base de Grupos'!$A:$A,'Base de Grupos'!$M:$M)</f>
        <v>HELDER DA SILVA BRUNKOW</v>
      </c>
      <c r="L339" s="5" t="str">
        <f t="shared" si="153"/>
        <v/>
      </c>
      <c r="M339" s="5" t="str">
        <f>_xlfn.XLOOKUP($N339,'Base de Grupos'!$A:$A,'Base de Grupos'!$C:$C)</f>
        <v>ES</v>
      </c>
      <c r="N339" s="3">
        <v>1357</v>
      </c>
      <c r="O339" s="4" t="s">
        <v>242</v>
      </c>
      <c r="P339" s="5" t="s">
        <v>90</v>
      </c>
      <c r="Q339" s="24">
        <v>0</v>
      </c>
      <c r="R339" s="24">
        <v>0</v>
      </c>
      <c r="S339" s="24">
        <v>0</v>
      </c>
      <c r="T339" s="24">
        <v>0</v>
      </c>
      <c r="U339" s="24">
        <v>0</v>
      </c>
      <c r="V339" s="24">
        <v>0</v>
      </c>
      <c r="W339" s="24">
        <v>0</v>
      </c>
      <c r="X339" s="24">
        <v>0</v>
      </c>
      <c r="Y339" s="24">
        <v>0</v>
      </c>
      <c r="Z339" s="24">
        <v>0</v>
      </c>
      <c r="AA339" s="24">
        <v>0</v>
      </c>
      <c r="AB339" s="24">
        <v>0</v>
      </c>
      <c r="AC339" s="30">
        <f t="shared" si="163"/>
        <v>0</v>
      </c>
      <c r="AD339" s="27">
        <f t="shared" si="157"/>
        <v>0</v>
      </c>
      <c r="AE339" s="25">
        <f>IFERROR(_xlfn.XLOOKUP(N339&amp;P339,'Historico Vendas'!G:G,'Historico Vendas'!E:E),0)</f>
        <v>0</v>
      </c>
      <c r="AF339" s="29" t="str">
        <f t="shared" si="154"/>
        <v/>
      </c>
      <c r="AG339" s="24">
        <f>IFERROR(_xlfn.XLOOKUP(N339&amp;P339,'Historico Vendas'!G:G,'Historico Vendas'!F:F),0)</f>
        <v>0</v>
      </c>
      <c r="AH339" s="25">
        <f t="shared" si="158"/>
        <v>0</v>
      </c>
      <c r="AI339" s="24">
        <f t="shared" si="159"/>
        <v>0</v>
      </c>
      <c r="AJ339" s="11" t="str">
        <f t="shared" si="155"/>
        <v/>
      </c>
      <c r="AK339" s="9" t="s">
        <v>102</v>
      </c>
      <c r="AL339" s="13">
        <f>IFERROR(INDEX('Balizador da Meta'!$D$3:$F$23,MATCH(Quantidade!$P339,'Balizador da Meta'!$C$3:$C$23,0),MATCH(Quantidade!AK339,'Balizador da Meta'!$D$2:$F$2,0)),"")</f>
        <v>0</v>
      </c>
      <c r="AM339" s="9"/>
    </row>
    <row r="340" spans="1:39" x14ac:dyDescent="0.3">
      <c r="A340" s="2" t="str">
        <f t="shared" si="152"/>
        <v>NÃO</v>
      </c>
      <c r="B340" s="2" t="str">
        <f>_xlfn.XLOOKUP($N340,'Base de Grupos'!$A:$A,'Base de Grupos'!$D:$D)</f>
        <v>1000065763</v>
      </c>
      <c r="C340" s="5" t="str">
        <f>_xlfn.XLOOKUP($N340,'Base de Grupos'!$A:$A,'Base de Grupos'!$E:$E)</f>
        <v>CANAL VENDA INTERNA</v>
      </c>
      <c r="D340" s="5" t="str">
        <f>_xlfn.XLOOKUP($N340,'Base de Grupos'!$A:$A,'Base de Grupos'!$F:$F)</f>
        <v>1000065763</v>
      </c>
      <c r="E340" s="2" t="str">
        <f>_xlfn.XLOOKUP($N340,'Base de Grupos'!$A:$A,'Base de Grupos'!$G:$G)</f>
        <v>CANAL VENDA INTERNA</v>
      </c>
      <c r="F340" s="2" t="str">
        <f>_xlfn.XLOOKUP($N340,'Base de Grupos'!$A:$A,'Base de Grupos'!$H:$H)</f>
        <v>1000105899</v>
      </c>
      <c r="G340" s="5" t="str">
        <f>_xlfn.XLOOKUP($N340,'Base de Grupos'!$A:$A,'Base de Grupos'!$I:$I)</f>
        <v>REGIONAL VENDA DIRETA SUDESTE</v>
      </c>
      <c r="H340" s="5" t="str">
        <f>_xlfn.XLOOKUP($N340,'Base de Grupos'!$A:$A,'Base de Grupos'!$J:$J)</f>
        <v>1000105899</v>
      </c>
      <c r="I340" s="2" t="str">
        <f>_xlfn.XLOOKUP($N340,'Base de Grupos'!$A:$A,'Base de Grupos'!$K:$K)</f>
        <v>REGIONAL VENDA DIRETA SUDESTE</v>
      </c>
      <c r="J340" s="2" t="str">
        <f>_xlfn.XLOOKUP($N340,'Base de Grupos'!$A:$A,'Base de Grupos'!$L:$L)</f>
        <v>1000150135</v>
      </c>
      <c r="K340" s="5" t="str">
        <f>_xlfn.XLOOKUP($N340,'Base de Grupos'!$A:$A,'Base de Grupos'!$M:$M)</f>
        <v>HELDER DA SILVA BRUNKOW</v>
      </c>
      <c r="L340" s="5" t="str">
        <f t="shared" si="153"/>
        <v/>
      </c>
      <c r="M340" s="5" t="str">
        <f>_xlfn.XLOOKUP($N340,'Base de Grupos'!$A:$A,'Base de Grupos'!$C:$C)</f>
        <v>ES</v>
      </c>
      <c r="N340" s="3">
        <v>1357</v>
      </c>
      <c r="O340" s="4" t="s">
        <v>242</v>
      </c>
      <c r="P340" s="5" t="s">
        <v>91</v>
      </c>
      <c r="Q340" s="24">
        <v>0</v>
      </c>
      <c r="R340" s="24">
        <v>0</v>
      </c>
      <c r="S340" s="24">
        <v>0</v>
      </c>
      <c r="T340" s="24">
        <v>0</v>
      </c>
      <c r="U340" s="24">
        <v>0</v>
      </c>
      <c r="V340" s="24">
        <v>0</v>
      </c>
      <c r="W340" s="24">
        <v>0</v>
      </c>
      <c r="X340" s="24">
        <v>0</v>
      </c>
      <c r="Y340" s="24">
        <v>0</v>
      </c>
      <c r="Z340" s="24">
        <v>0</v>
      </c>
      <c r="AA340" s="24">
        <v>0</v>
      </c>
      <c r="AB340" s="24">
        <v>0</v>
      </c>
      <c r="AC340" s="30">
        <f t="shared" si="163"/>
        <v>0</v>
      </c>
      <c r="AD340" s="27">
        <f t="shared" si="157"/>
        <v>0</v>
      </c>
      <c r="AE340" s="25">
        <f>IFERROR(_xlfn.XLOOKUP(N340&amp;P340,'Historico Vendas'!G:G,'Historico Vendas'!E:E),0)</f>
        <v>0</v>
      </c>
      <c r="AF340" s="29" t="str">
        <f t="shared" si="154"/>
        <v/>
      </c>
      <c r="AG340" s="24">
        <f>IFERROR(_xlfn.XLOOKUP(N340&amp;P340,'Historico Vendas'!G:G,'Historico Vendas'!F:F),0)</f>
        <v>0</v>
      </c>
      <c r="AH340" s="25">
        <f t="shared" si="158"/>
        <v>0</v>
      </c>
      <c r="AI340" s="24">
        <f t="shared" si="159"/>
        <v>0</v>
      </c>
      <c r="AJ340" s="11" t="str">
        <f t="shared" si="155"/>
        <v/>
      </c>
      <c r="AK340" s="9" t="s">
        <v>102</v>
      </c>
      <c r="AL340" s="13">
        <f>IFERROR(INDEX('Balizador da Meta'!$D$3:$F$23,MATCH(Quantidade!$P340,'Balizador da Meta'!$C$3:$C$23,0),MATCH(Quantidade!AK340,'Balizador da Meta'!$D$2:$F$2,0)),"")</f>
        <v>0</v>
      </c>
      <c r="AM340" s="9"/>
    </row>
    <row r="341" spans="1:39" x14ac:dyDescent="0.3">
      <c r="A341" s="2" t="str">
        <f t="shared" si="152"/>
        <v>NÃO</v>
      </c>
      <c r="B341" s="2" t="str">
        <f>_xlfn.XLOOKUP($N341,'Base de Grupos'!$A:$A,'Base de Grupos'!$D:$D)</f>
        <v>1000065763</v>
      </c>
      <c r="C341" s="5" t="str">
        <f>_xlfn.XLOOKUP($N341,'Base de Grupos'!$A:$A,'Base de Grupos'!$E:$E)</f>
        <v>CANAL VENDA INTERNA</v>
      </c>
      <c r="D341" s="5" t="str">
        <f>_xlfn.XLOOKUP($N341,'Base de Grupos'!$A:$A,'Base de Grupos'!$F:$F)</f>
        <v>1000065763</v>
      </c>
      <c r="E341" s="2" t="str">
        <f>_xlfn.XLOOKUP($N341,'Base de Grupos'!$A:$A,'Base de Grupos'!$G:$G)</f>
        <v>CANAL VENDA INTERNA</v>
      </c>
      <c r="F341" s="2" t="str">
        <f>_xlfn.XLOOKUP($N341,'Base de Grupos'!$A:$A,'Base de Grupos'!$H:$H)</f>
        <v>1000105899</v>
      </c>
      <c r="G341" s="5" t="str">
        <f>_xlfn.XLOOKUP($N341,'Base de Grupos'!$A:$A,'Base de Grupos'!$I:$I)</f>
        <v>REGIONAL VENDA DIRETA SUDESTE</v>
      </c>
      <c r="H341" s="5" t="str">
        <f>_xlfn.XLOOKUP($N341,'Base de Grupos'!$A:$A,'Base de Grupos'!$J:$J)</f>
        <v>1000105899</v>
      </c>
      <c r="I341" s="2" t="str">
        <f>_xlfn.XLOOKUP($N341,'Base de Grupos'!$A:$A,'Base de Grupos'!$K:$K)</f>
        <v>REGIONAL VENDA DIRETA SUDESTE</v>
      </c>
      <c r="J341" s="2" t="str">
        <f>_xlfn.XLOOKUP($N341,'Base de Grupos'!$A:$A,'Base de Grupos'!$L:$L)</f>
        <v>1000150135</v>
      </c>
      <c r="K341" s="5" t="str">
        <f>_xlfn.XLOOKUP($N341,'Base de Grupos'!$A:$A,'Base de Grupos'!$M:$M)</f>
        <v>HELDER DA SILVA BRUNKOW</v>
      </c>
      <c r="L341" s="5" t="str">
        <f t="shared" si="153"/>
        <v/>
      </c>
      <c r="M341" s="5" t="str">
        <f>_xlfn.XLOOKUP($N341,'Base de Grupos'!$A:$A,'Base de Grupos'!$C:$C)</f>
        <v>ES</v>
      </c>
      <c r="N341" s="3">
        <v>1357</v>
      </c>
      <c r="O341" s="4" t="s">
        <v>242</v>
      </c>
      <c r="P341" s="5" t="s">
        <v>96</v>
      </c>
      <c r="Q341" s="24">
        <v>0</v>
      </c>
      <c r="R341" s="24">
        <v>0</v>
      </c>
      <c r="S341" s="24">
        <v>0</v>
      </c>
      <c r="T341" s="24">
        <v>0</v>
      </c>
      <c r="U341" s="24">
        <v>0</v>
      </c>
      <c r="V341" s="24">
        <v>0</v>
      </c>
      <c r="W341" s="24">
        <v>0</v>
      </c>
      <c r="X341" s="24">
        <v>0</v>
      </c>
      <c r="Y341" s="24">
        <v>0</v>
      </c>
      <c r="Z341" s="24">
        <v>0</v>
      </c>
      <c r="AA341" s="24">
        <v>0</v>
      </c>
      <c r="AB341" s="24">
        <v>0</v>
      </c>
      <c r="AC341" s="30">
        <f t="shared" si="163"/>
        <v>0</v>
      </c>
      <c r="AD341" s="27">
        <f t="shared" si="157"/>
        <v>0</v>
      </c>
      <c r="AE341" s="25">
        <f>IFERROR(_xlfn.XLOOKUP(N341&amp;P341,'Historico Vendas'!G:G,'Historico Vendas'!E:E),0)</f>
        <v>0</v>
      </c>
      <c r="AF341" s="29" t="str">
        <f t="shared" si="154"/>
        <v/>
      </c>
      <c r="AG341" s="24">
        <f>IFERROR(_xlfn.XLOOKUP(N341&amp;P341,'Historico Vendas'!G:G,'Historico Vendas'!F:F),0)</f>
        <v>0</v>
      </c>
      <c r="AH341" s="25">
        <f t="shared" si="158"/>
        <v>0</v>
      </c>
      <c r="AI341" s="24">
        <f t="shared" si="159"/>
        <v>0</v>
      </c>
      <c r="AJ341" s="11" t="str">
        <f t="shared" si="155"/>
        <v/>
      </c>
      <c r="AK341" s="9" t="s">
        <v>102</v>
      </c>
      <c r="AL341" s="13">
        <f>IFERROR(INDEX('Balizador da Meta'!$D$3:$F$23,MATCH(Quantidade!$P341,'Balizador da Meta'!$C$3:$C$23,0),MATCH(Quantidade!AK341,'Balizador da Meta'!$D$2:$F$2,0)),"")</f>
        <v>0</v>
      </c>
      <c r="AM341" s="9"/>
    </row>
    <row r="342" spans="1:39" x14ac:dyDescent="0.3">
      <c r="A342" s="2" t="str">
        <f t="shared" si="152"/>
        <v>NÃO</v>
      </c>
      <c r="B342" s="2" t="str">
        <f>_xlfn.XLOOKUP($N342,'Base de Grupos'!$A:$A,'Base de Grupos'!$D:$D)</f>
        <v>1000065763</v>
      </c>
      <c r="C342" s="5" t="str">
        <f>_xlfn.XLOOKUP($N342,'Base de Grupos'!$A:$A,'Base de Grupos'!$E:$E)</f>
        <v>CANAL VENDA INTERNA</v>
      </c>
      <c r="D342" s="5" t="str">
        <f>_xlfn.XLOOKUP($N342,'Base de Grupos'!$A:$A,'Base de Grupos'!$F:$F)</f>
        <v>1000065763</v>
      </c>
      <c r="E342" s="2" t="str">
        <f>_xlfn.XLOOKUP($N342,'Base de Grupos'!$A:$A,'Base de Grupos'!$G:$G)</f>
        <v>CANAL VENDA INTERNA</v>
      </c>
      <c r="F342" s="2" t="str">
        <f>_xlfn.XLOOKUP($N342,'Base de Grupos'!$A:$A,'Base de Grupos'!$H:$H)</f>
        <v>1000105899</v>
      </c>
      <c r="G342" s="5" t="str">
        <f>_xlfn.XLOOKUP($N342,'Base de Grupos'!$A:$A,'Base de Grupos'!$I:$I)</f>
        <v>REGIONAL VENDA DIRETA SUDESTE</v>
      </c>
      <c r="H342" s="5" t="str">
        <f>_xlfn.XLOOKUP($N342,'Base de Grupos'!$A:$A,'Base de Grupos'!$J:$J)</f>
        <v>1000105899</v>
      </c>
      <c r="I342" s="2" t="str">
        <f>_xlfn.XLOOKUP($N342,'Base de Grupos'!$A:$A,'Base de Grupos'!$K:$K)</f>
        <v>REGIONAL VENDA DIRETA SUDESTE</v>
      </c>
      <c r="J342" s="2" t="str">
        <f>_xlfn.XLOOKUP($N342,'Base de Grupos'!$A:$A,'Base de Grupos'!$L:$L)</f>
        <v>1000150135</v>
      </c>
      <c r="K342" s="5" t="str">
        <f>_xlfn.XLOOKUP($N342,'Base de Grupos'!$A:$A,'Base de Grupos'!$M:$M)</f>
        <v>HELDER DA SILVA BRUNKOW</v>
      </c>
      <c r="L342" s="5" t="str">
        <f t="shared" si="153"/>
        <v/>
      </c>
      <c r="M342" s="5" t="str">
        <f>_xlfn.XLOOKUP($N342,'Base de Grupos'!$A:$A,'Base de Grupos'!$C:$C)</f>
        <v>ES</v>
      </c>
      <c r="N342" s="3">
        <v>1357</v>
      </c>
      <c r="O342" s="4" t="s">
        <v>242</v>
      </c>
      <c r="P342" s="5" t="s">
        <v>94</v>
      </c>
      <c r="Q342" s="24">
        <v>0</v>
      </c>
      <c r="R342" s="24">
        <v>0</v>
      </c>
      <c r="S342" s="24">
        <v>0</v>
      </c>
      <c r="T342" s="24">
        <v>0</v>
      </c>
      <c r="U342" s="24">
        <v>0</v>
      </c>
      <c r="V342" s="24">
        <v>0</v>
      </c>
      <c r="W342" s="24">
        <v>0</v>
      </c>
      <c r="X342" s="24">
        <v>0</v>
      </c>
      <c r="Y342" s="24">
        <v>0</v>
      </c>
      <c r="Z342" s="24">
        <v>0</v>
      </c>
      <c r="AA342" s="24">
        <v>0</v>
      </c>
      <c r="AB342" s="24">
        <v>0</v>
      </c>
      <c r="AC342" s="30">
        <f t="shared" si="163"/>
        <v>0</v>
      </c>
      <c r="AD342" s="27">
        <f t="shared" si="157"/>
        <v>0</v>
      </c>
      <c r="AE342" s="25">
        <f>IFERROR(_xlfn.XLOOKUP(N342&amp;P342,'Historico Vendas'!G:G,'Historico Vendas'!E:E),0)</f>
        <v>0</v>
      </c>
      <c r="AF342" s="29" t="str">
        <f t="shared" si="154"/>
        <v/>
      </c>
      <c r="AG342" s="24">
        <f>IFERROR(_xlfn.XLOOKUP(N342&amp;P342,'Historico Vendas'!G:G,'Historico Vendas'!F:F),0)</f>
        <v>0</v>
      </c>
      <c r="AH342" s="25">
        <f t="shared" si="158"/>
        <v>0</v>
      </c>
      <c r="AI342" s="24">
        <f t="shared" si="159"/>
        <v>0</v>
      </c>
      <c r="AJ342" s="11" t="str">
        <f t="shared" si="155"/>
        <v/>
      </c>
      <c r="AK342" s="9" t="s">
        <v>102</v>
      </c>
      <c r="AL342" s="13">
        <f>IFERROR(INDEX('Balizador da Meta'!$D$3:$F$23,MATCH(Quantidade!$P342,'Balizador da Meta'!$C$3:$C$23,0),MATCH(Quantidade!AK342,'Balizador da Meta'!$D$2:$F$2,0)),"")</f>
        <v>0.25</v>
      </c>
      <c r="AM342" s="9"/>
    </row>
    <row r="343" spans="1:39" x14ac:dyDescent="0.3">
      <c r="A343" s="2" t="str">
        <f t="shared" si="152"/>
        <v>NÃO</v>
      </c>
      <c r="B343" s="2" t="str">
        <f>_xlfn.XLOOKUP($N343,'Base de Grupos'!$A:$A,'Base de Grupos'!$D:$D)</f>
        <v>1000065763</v>
      </c>
      <c r="C343" s="5" t="str">
        <f>_xlfn.XLOOKUP($N343,'Base de Grupos'!$A:$A,'Base de Grupos'!$E:$E)</f>
        <v>CANAL VENDA INTERNA</v>
      </c>
      <c r="D343" s="5" t="str">
        <f>_xlfn.XLOOKUP($N343,'Base de Grupos'!$A:$A,'Base de Grupos'!$F:$F)</f>
        <v>1000065763</v>
      </c>
      <c r="E343" s="2" t="str">
        <f>_xlfn.XLOOKUP($N343,'Base de Grupos'!$A:$A,'Base de Grupos'!$G:$G)</f>
        <v>CANAL VENDA INTERNA</v>
      </c>
      <c r="F343" s="2" t="str">
        <f>_xlfn.XLOOKUP($N343,'Base de Grupos'!$A:$A,'Base de Grupos'!$H:$H)</f>
        <v>1000105899</v>
      </c>
      <c r="G343" s="5" t="str">
        <f>_xlfn.XLOOKUP($N343,'Base de Grupos'!$A:$A,'Base de Grupos'!$I:$I)</f>
        <v>REGIONAL VENDA DIRETA SUDESTE</v>
      </c>
      <c r="H343" s="5" t="str">
        <f>_xlfn.XLOOKUP($N343,'Base de Grupos'!$A:$A,'Base de Grupos'!$J:$J)</f>
        <v>1000105899</v>
      </c>
      <c r="I343" s="2" t="str">
        <f>_xlfn.XLOOKUP($N343,'Base de Grupos'!$A:$A,'Base de Grupos'!$K:$K)</f>
        <v>REGIONAL VENDA DIRETA SUDESTE</v>
      </c>
      <c r="J343" s="2" t="str">
        <f>_xlfn.XLOOKUP($N343,'Base de Grupos'!$A:$A,'Base de Grupos'!$L:$L)</f>
        <v>1000150135</v>
      </c>
      <c r="K343" s="5" t="str">
        <f>_xlfn.XLOOKUP($N343,'Base de Grupos'!$A:$A,'Base de Grupos'!$M:$M)</f>
        <v>HELDER DA SILVA BRUNKOW</v>
      </c>
      <c r="L343" s="5" t="str">
        <f t="shared" si="153"/>
        <v/>
      </c>
      <c r="M343" s="5" t="str">
        <f>_xlfn.XLOOKUP($N343,'Base de Grupos'!$A:$A,'Base de Grupos'!$C:$C)</f>
        <v>ES</v>
      </c>
      <c r="N343" s="3">
        <v>1357</v>
      </c>
      <c r="O343" s="4" t="s">
        <v>242</v>
      </c>
      <c r="P343" s="5" t="s">
        <v>95</v>
      </c>
      <c r="Q343" s="24">
        <v>0</v>
      </c>
      <c r="R343" s="24">
        <v>0</v>
      </c>
      <c r="S343" s="24">
        <v>0</v>
      </c>
      <c r="T343" s="24">
        <v>0</v>
      </c>
      <c r="U343" s="24">
        <v>0</v>
      </c>
      <c r="V343" s="24">
        <v>0</v>
      </c>
      <c r="W343" s="24">
        <v>0</v>
      </c>
      <c r="X343" s="24">
        <v>0</v>
      </c>
      <c r="Y343" s="24">
        <v>0</v>
      </c>
      <c r="Z343" s="24">
        <v>0</v>
      </c>
      <c r="AA343" s="24">
        <v>0</v>
      </c>
      <c r="AB343" s="24">
        <v>0</v>
      </c>
      <c r="AC343" s="30">
        <f t="shared" si="163"/>
        <v>0</v>
      </c>
      <c r="AD343" s="27">
        <f t="shared" si="157"/>
        <v>0</v>
      </c>
      <c r="AE343" s="25">
        <f>IFERROR(_xlfn.XLOOKUP(N343&amp;P343,'Historico Vendas'!G:G,'Historico Vendas'!E:E),0)</f>
        <v>0</v>
      </c>
      <c r="AF343" s="29" t="str">
        <f t="shared" si="154"/>
        <v/>
      </c>
      <c r="AG343" s="24">
        <f>IFERROR(_xlfn.XLOOKUP(N343&amp;P343,'Historico Vendas'!G:G,'Historico Vendas'!F:F),0)</f>
        <v>0</v>
      </c>
      <c r="AH343" s="25">
        <f t="shared" si="158"/>
        <v>0</v>
      </c>
      <c r="AI343" s="24">
        <f t="shared" si="159"/>
        <v>0</v>
      </c>
      <c r="AJ343" s="11" t="str">
        <f t="shared" si="155"/>
        <v/>
      </c>
      <c r="AK343" s="9" t="s">
        <v>102</v>
      </c>
      <c r="AL343" s="13">
        <f>IFERROR(INDEX('Balizador da Meta'!$D$3:$F$23,MATCH(Quantidade!$P343,'Balizador da Meta'!$C$3:$C$23,0),MATCH(Quantidade!AK343,'Balizador da Meta'!$D$2:$F$2,0)),"")</f>
        <v>0.25</v>
      </c>
      <c r="AM343" s="9"/>
    </row>
    <row r="344" spans="1:39" x14ac:dyDescent="0.3">
      <c r="A344" s="2" t="str">
        <f t="shared" si="152"/>
        <v>NÃO</v>
      </c>
      <c r="B344" s="2" t="str">
        <f>_xlfn.XLOOKUP($N344,'Base de Grupos'!$A:$A,'Base de Grupos'!$D:$D)</f>
        <v>1000065763</v>
      </c>
      <c r="C344" s="5" t="str">
        <f>_xlfn.XLOOKUP($N344,'Base de Grupos'!$A:$A,'Base de Grupos'!$E:$E)</f>
        <v>CANAL VENDA INTERNA</v>
      </c>
      <c r="D344" s="5" t="str">
        <f>_xlfn.XLOOKUP($N344,'Base de Grupos'!$A:$A,'Base de Grupos'!$F:$F)</f>
        <v>1000065763</v>
      </c>
      <c r="E344" s="2" t="str">
        <f>_xlfn.XLOOKUP($N344,'Base de Grupos'!$A:$A,'Base de Grupos'!$G:$G)</f>
        <v>CANAL VENDA INTERNA</v>
      </c>
      <c r="F344" s="2" t="str">
        <f>_xlfn.XLOOKUP($N344,'Base de Grupos'!$A:$A,'Base de Grupos'!$H:$H)</f>
        <v>1000105899</v>
      </c>
      <c r="G344" s="5" t="str">
        <f>_xlfn.XLOOKUP($N344,'Base de Grupos'!$A:$A,'Base de Grupos'!$I:$I)</f>
        <v>REGIONAL VENDA DIRETA SUDESTE</v>
      </c>
      <c r="H344" s="5" t="str">
        <f>_xlfn.XLOOKUP($N344,'Base de Grupos'!$A:$A,'Base de Grupos'!$J:$J)</f>
        <v>1000105899</v>
      </c>
      <c r="I344" s="2" t="str">
        <f>_xlfn.XLOOKUP($N344,'Base de Grupos'!$A:$A,'Base de Grupos'!$K:$K)</f>
        <v>REGIONAL VENDA DIRETA SUDESTE</v>
      </c>
      <c r="J344" s="2" t="str">
        <f>_xlfn.XLOOKUP($N344,'Base de Grupos'!$A:$A,'Base de Grupos'!$L:$L)</f>
        <v>1000150135</v>
      </c>
      <c r="K344" s="5" t="str">
        <f>_xlfn.XLOOKUP($N344,'Base de Grupos'!$A:$A,'Base de Grupos'!$M:$M)</f>
        <v>HELDER DA SILVA BRUNKOW</v>
      </c>
      <c r="L344" s="5" t="str">
        <f t="shared" si="153"/>
        <v/>
      </c>
      <c r="M344" s="5" t="str">
        <f>_xlfn.XLOOKUP($N344,'Base de Grupos'!$A:$A,'Base de Grupos'!$C:$C)</f>
        <v>ES</v>
      </c>
      <c r="N344" s="3">
        <v>1357</v>
      </c>
      <c r="O344" s="4" t="s">
        <v>242</v>
      </c>
      <c r="P344" s="5" t="s">
        <v>93</v>
      </c>
      <c r="Q344" s="24">
        <v>0</v>
      </c>
      <c r="R344" s="24">
        <v>0</v>
      </c>
      <c r="S344" s="24">
        <v>0</v>
      </c>
      <c r="T344" s="24">
        <v>0</v>
      </c>
      <c r="U344" s="24">
        <v>0</v>
      </c>
      <c r="V344" s="24">
        <v>0</v>
      </c>
      <c r="W344" s="24">
        <v>0</v>
      </c>
      <c r="X344" s="24">
        <v>0</v>
      </c>
      <c r="Y344" s="24">
        <v>0</v>
      </c>
      <c r="Z344" s="24">
        <v>0</v>
      </c>
      <c r="AA344" s="24">
        <v>0</v>
      </c>
      <c r="AB344" s="24">
        <v>0</v>
      </c>
      <c r="AC344" s="30">
        <f t="shared" si="163"/>
        <v>0</v>
      </c>
      <c r="AD344" s="27">
        <f t="shared" si="157"/>
        <v>0</v>
      </c>
      <c r="AE344" s="25">
        <f>IFERROR(_xlfn.XLOOKUP(N344&amp;P344,'Historico Vendas'!G:G,'Historico Vendas'!E:E),0)</f>
        <v>0</v>
      </c>
      <c r="AF344" s="29" t="str">
        <f t="shared" si="154"/>
        <v/>
      </c>
      <c r="AG344" s="24">
        <f>IFERROR(_xlfn.XLOOKUP(N344&amp;P344,'Historico Vendas'!G:G,'Historico Vendas'!F:F),0)</f>
        <v>0</v>
      </c>
      <c r="AH344" s="25">
        <f t="shared" si="158"/>
        <v>0</v>
      </c>
      <c r="AI344" s="24">
        <f t="shared" si="159"/>
        <v>0</v>
      </c>
      <c r="AJ344" s="11" t="str">
        <f t="shared" si="155"/>
        <v/>
      </c>
      <c r="AK344" s="9" t="s">
        <v>102</v>
      </c>
      <c r="AL344" s="13">
        <f>IFERROR(INDEX('Balizador da Meta'!$D$3:$F$23,MATCH(Quantidade!$P344,'Balizador da Meta'!$C$3:$C$23,0),MATCH(Quantidade!AK344,'Balizador da Meta'!$D$2:$F$2,0)),"")</f>
        <v>0.2</v>
      </c>
      <c r="AM344" s="9"/>
    </row>
    <row r="345" spans="1:39" x14ac:dyDescent="0.3">
      <c r="A345" s="2" t="str">
        <f t="shared" si="152"/>
        <v>SIM</v>
      </c>
      <c r="B345" s="2" t="str">
        <f>_xlfn.XLOOKUP($N345,'Base de Grupos'!$A:$A,'Base de Grupos'!$D:$D)</f>
        <v>1000065763</v>
      </c>
      <c r="C345" s="5" t="str">
        <f>_xlfn.XLOOKUP($N345,'Base de Grupos'!$A:$A,'Base de Grupos'!$E:$E)</f>
        <v>CANAL VENDA INTERNA</v>
      </c>
      <c r="D345" s="5" t="str">
        <f>_xlfn.XLOOKUP($N345,'Base de Grupos'!$A:$A,'Base de Grupos'!$F:$F)</f>
        <v>1000065763</v>
      </c>
      <c r="E345" s="2" t="str">
        <f>_xlfn.XLOOKUP($N345,'Base de Grupos'!$A:$A,'Base de Grupos'!$G:$G)</f>
        <v>CANAL VENDA INTERNA</v>
      </c>
      <c r="F345" s="2" t="str">
        <f>_xlfn.XLOOKUP($N345,'Base de Grupos'!$A:$A,'Base de Grupos'!$H:$H)</f>
        <v>1000105899</v>
      </c>
      <c r="G345" s="5" t="str">
        <f>_xlfn.XLOOKUP($N345,'Base de Grupos'!$A:$A,'Base de Grupos'!$I:$I)</f>
        <v>REGIONAL VENDA DIRETA SUDESTE</v>
      </c>
      <c r="H345" s="5" t="str">
        <f>_xlfn.XLOOKUP($N345,'Base de Grupos'!$A:$A,'Base de Grupos'!$J:$J)</f>
        <v>1000105899</v>
      </c>
      <c r="I345" s="2" t="str">
        <f>_xlfn.XLOOKUP($N345,'Base de Grupos'!$A:$A,'Base de Grupos'!$K:$K)</f>
        <v>REGIONAL VENDA DIRETA SUDESTE</v>
      </c>
      <c r="J345" s="2" t="str">
        <f>_xlfn.XLOOKUP($N345,'Base de Grupos'!$A:$A,'Base de Grupos'!$L:$L)</f>
        <v>1000150135</v>
      </c>
      <c r="K345" s="5" t="str">
        <f>_xlfn.XLOOKUP($N345,'Base de Grupos'!$A:$A,'Base de Grupos'!$M:$M)</f>
        <v>HELDER DA SILVA BRUNKOW</v>
      </c>
      <c r="L345" s="5">
        <f t="shared" si="153"/>
        <v>1</v>
      </c>
      <c r="M345" s="5" t="str">
        <f>_xlfn.XLOOKUP($N345,'Base de Grupos'!$A:$A,'Base de Grupos'!$C:$C)</f>
        <v>RJ</v>
      </c>
      <c r="N345" s="3">
        <v>1358</v>
      </c>
      <c r="O345" s="4" t="s">
        <v>243</v>
      </c>
      <c r="P345" s="5" t="s">
        <v>313</v>
      </c>
      <c r="Q345" s="24">
        <v>0</v>
      </c>
      <c r="R345" s="24">
        <v>0</v>
      </c>
      <c r="S345" s="24">
        <v>0</v>
      </c>
      <c r="T345" s="24">
        <v>0</v>
      </c>
      <c r="U345" s="24">
        <v>0</v>
      </c>
      <c r="V345" s="24">
        <v>0</v>
      </c>
      <c r="W345" s="24">
        <v>0</v>
      </c>
      <c r="X345" s="24">
        <v>0</v>
      </c>
      <c r="Y345" s="24">
        <v>0</v>
      </c>
      <c r="Z345" s="24">
        <v>0</v>
      </c>
      <c r="AA345" s="24">
        <v>0</v>
      </c>
      <c r="AB345" s="24">
        <v>0</v>
      </c>
      <c r="AC345" s="30">
        <f t="shared" si="163"/>
        <v>0</v>
      </c>
      <c r="AD345" s="25">
        <f t="shared" ref="AD345:AI345" si="164">SUM(AD346:AD362)</f>
        <v>0</v>
      </c>
      <c r="AE345" s="25">
        <f t="shared" si="164"/>
        <v>0</v>
      </c>
      <c r="AF345" s="11" t="str">
        <f t="shared" si="154"/>
        <v/>
      </c>
      <c r="AG345" s="24">
        <f t="shared" si="164"/>
        <v>0</v>
      </c>
      <c r="AH345" s="25">
        <f t="shared" si="164"/>
        <v>0</v>
      </c>
      <c r="AI345" s="24">
        <f t="shared" si="164"/>
        <v>0</v>
      </c>
      <c r="AJ345" s="11" t="str">
        <f t="shared" si="155"/>
        <v/>
      </c>
      <c r="AK345" s="9"/>
      <c r="AL345" s="13"/>
      <c r="AM345" s="9"/>
    </row>
    <row r="346" spans="1:39" x14ac:dyDescent="0.3">
      <c r="A346" s="2" t="str">
        <f t="shared" si="152"/>
        <v>NÃO</v>
      </c>
      <c r="B346" s="2" t="str">
        <f>_xlfn.XLOOKUP($N346,'Base de Grupos'!$A:$A,'Base de Grupos'!$D:$D)</f>
        <v>1000065763</v>
      </c>
      <c r="C346" s="5" t="str">
        <f>_xlfn.XLOOKUP($N346,'Base de Grupos'!$A:$A,'Base de Grupos'!$E:$E)</f>
        <v>CANAL VENDA INTERNA</v>
      </c>
      <c r="D346" s="5" t="str">
        <f>_xlfn.XLOOKUP($N346,'Base de Grupos'!$A:$A,'Base de Grupos'!$F:$F)</f>
        <v>1000065763</v>
      </c>
      <c r="E346" s="2" t="str">
        <f>_xlfn.XLOOKUP($N346,'Base de Grupos'!$A:$A,'Base de Grupos'!$G:$G)</f>
        <v>CANAL VENDA INTERNA</v>
      </c>
      <c r="F346" s="2" t="str">
        <f>_xlfn.XLOOKUP($N346,'Base de Grupos'!$A:$A,'Base de Grupos'!$H:$H)</f>
        <v>1000105899</v>
      </c>
      <c r="G346" s="5" t="str">
        <f>_xlfn.XLOOKUP($N346,'Base de Grupos'!$A:$A,'Base de Grupos'!$I:$I)</f>
        <v>REGIONAL VENDA DIRETA SUDESTE</v>
      </c>
      <c r="H346" s="5" t="str">
        <f>_xlfn.XLOOKUP($N346,'Base de Grupos'!$A:$A,'Base de Grupos'!$J:$J)</f>
        <v>1000105899</v>
      </c>
      <c r="I346" s="2" t="str">
        <f>_xlfn.XLOOKUP($N346,'Base de Grupos'!$A:$A,'Base de Grupos'!$K:$K)</f>
        <v>REGIONAL VENDA DIRETA SUDESTE</v>
      </c>
      <c r="J346" s="2" t="str">
        <f>_xlfn.XLOOKUP($N346,'Base de Grupos'!$A:$A,'Base de Grupos'!$L:$L)</f>
        <v>1000150135</v>
      </c>
      <c r="K346" s="5" t="str">
        <f>_xlfn.XLOOKUP($N346,'Base de Grupos'!$A:$A,'Base de Grupos'!$M:$M)</f>
        <v>HELDER DA SILVA BRUNKOW</v>
      </c>
      <c r="L346" s="5" t="str">
        <f t="shared" si="153"/>
        <v/>
      </c>
      <c r="M346" s="5" t="str">
        <f>_xlfn.XLOOKUP($N346,'Base de Grupos'!$A:$A,'Base de Grupos'!$C:$C)</f>
        <v>RJ</v>
      </c>
      <c r="N346" s="3">
        <v>1358</v>
      </c>
      <c r="O346" s="4" t="s">
        <v>243</v>
      </c>
      <c r="P346" s="5" t="s">
        <v>81</v>
      </c>
      <c r="Q346" s="24">
        <v>0</v>
      </c>
      <c r="R346" s="24">
        <v>0</v>
      </c>
      <c r="S346" s="24">
        <v>0</v>
      </c>
      <c r="T346" s="24">
        <v>0</v>
      </c>
      <c r="U346" s="24">
        <v>0</v>
      </c>
      <c r="V346" s="24">
        <v>0</v>
      </c>
      <c r="W346" s="24">
        <v>0</v>
      </c>
      <c r="X346" s="24">
        <v>0</v>
      </c>
      <c r="Y346" s="24">
        <v>0</v>
      </c>
      <c r="Z346" s="24">
        <v>0</v>
      </c>
      <c r="AA346" s="24">
        <v>0</v>
      </c>
      <c r="AB346" s="24">
        <v>0</v>
      </c>
      <c r="AC346" s="30">
        <f t="shared" si="163"/>
        <v>0</v>
      </c>
      <c r="AD346" s="27">
        <f t="shared" ref="AD346:AD362" si="165">IF(AC346=0,0,AC346-AG346)</f>
        <v>0</v>
      </c>
      <c r="AE346" s="25">
        <f>IFERROR(_xlfn.XLOOKUP(N346&amp;P346,'Historico Vendas'!G:G,'Historico Vendas'!E:E),0)</f>
        <v>0</v>
      </c>
      <c r="AF346" s="29" t="str">
        <f t="shared" si="154"/>
        <v/>
      </c>
      <c r="AG346" s="24">
        <f>IFERROR(_xlfn.XLOOKUP(N346&amp;P346,'Historico Vendas'!G:G,'Historico Vendas'!F:F),0)</f>
        <v>0</v>
      </c>
      <c r="AH346" s="25">
        <f t="shared" ref="AH346:AH362" si="166">SUM(Q346:S346)</f>
        <v>0</v>
      </c>
      <c r="AI346" s="24">
        <f t="shared" ref="AI346:AI362" si="167">AH346-AG346</f>
        <v>0</v>
      </c>
      <c r="AJ346" s="11" t="str">
        <f t="shared" si="155"/>
        <v/>
      </c>
      <c r="AK346" s="9" t="s">
        <v>102</v>
      </c>
      <c r="AL346" s="13">
        <f>IFERROR(INDEX('Balizador da Meta'!$D$3:$F$23,MATCH(Quantidade!$P346,'Balizador da Meta'!$C$3:$C$23,0),MATCH(Quantidade!AK346,'Balizador da Meta'!$D$2:$F$2,0)),"")</f>
        <v>0.2</v>
      </c>
      <c r="AM346" s="9"/>
    </row>
    <row r="347" spans="1:39" x14ac:dyDescent="0.3">
      <c r="A347" s="2" t="str">
        <f t="shared" si="152"/>
        <v>NÃO</v>
      </c>
      <c r="B347" s="2" t="str">
        <f>_xlfn.XLOOKUP($N347,'Base de Grupos'!$A:$A,'Base de Grupos'!$D:$D)</f>
        <v>1000065763</v>
      </c>
      <c r="C347" s="5" t="str">
        <f>_xlfn.XLOOKUP($N347,'Base de Grupos'!$A:$A,'Base de Grupos'!$E:$E)</f>
        <v>CANAL VENDA INTERNA</v>
      </c>
      <c r="D347" s="5" t="str">
        <f>_xlfn.XLOOKUP($N347,'Base de Grupos'!$A:$A,'Base de Grupos'!$F:$F)</f>
        <v>1000065763</v>
      </c>
      <c r="E347" s="2" t="str">
        <f>_xlfn.XLOOKUP($N347,'Base de Grupos'!$A:$A,'Base de Grupos'!$G:$G)</f>
        <v>CANAL VENDA INTERNA</v>
      </c>
      <c r="F347" s="2" t="str">
        <f>_xlfn.XLOOKUP($N347,'Base de Grupos'!$A:$A,'Base de Grupos'!$H:$H)</f>
        <v>1000105899</v>
      </c>
      <c r="G347" s="5" t="str">
        <f>_xlfn.XLOOKUP($N347,'Base de Grupos'!$A:$A,'Base de Grupos'!$I:$I)</f>
        <v>REGIONAL VENDA DIRETA SUDESTE</v>
      </c>
      <c r="H347" s="5" t="str">
        <f>_xlfn.XLOOKUP($N347,'Base de Grupos'!$A:$A,'Base de Grupos'!$J:$J)</f>
        <v>1000105899</v>
      </c>
      <c r="I347" s="2" t="str">
        <f>_xlfn.XLOOKUP($N347,'Base de Grupos'!$A:$A,'Base de Grupos'!$K:$K)</f>
        <v>REGIONAL VENDA DIRETA SUDESTE</v>
      </c>
      <c r="J347" s="2" t="str">
        <f>_xlfn.XLOOKUP($N347,'Base de Grupos'!$A:$A,'Base de Grupos'!$L:$L)</f>
        <v>1000150135</v>
      </c>
      <c r="K347" s="5" t="str">
        <f>_xlfn.XLOOKUP($N347,'Base de Grupos'!$A:$A,'Base de Grupos'!$M:$M)</f>
        <v>HELDER DA SILVA BRUNKOW</v>
      </c>
      <c r="L347" s="5" t="str">
        <f t="shared" si="153"/>
        <v/>
      </c>
      <c r="M347" s="5" t="str">
        <f>_xlfn.XLOOKUP($N347,'Base de Grupos'!$A:$A,'Base de Grupos'!$C:$C)</f>
        <v>RJ</v>
      </c>
      <c r="N347" s="3">
        <v>1358</v>
      </c>
      <c r="O347" s="4" t="s">
        <v>243</v>
      </c>
      <c r="P347" s="5" t="s">
        <v>82</v>
      </c>
      <c r="Q347" s="24">
        <v>0</v>
      </c>
      <c r="R347" s="24">
        <v>0</v>
      </c>
      <c r="S347" s="24">
        <v>0</v>
      </c>
      <c r="T347" s="24">
        <v>0</v>
      </c>
      <c r="U347" s="24">
        <v>0</v>
      </c>
      <c r="V347" s="24">
        <v>0</v>
      </c>
      <c r="W347" s="24">
        <v>0</v>
      </c>
      <c r="X347" s="24">
        <v>0</v>
      </c>
      <c r="Y347" s="24">
        <v>0</v>
      </c>
      <c r="Z347" s="24">
        <v>0</v>
      </c>
      <c r="AA347" s="24">
        <v>0</v>
      </c>
      <c r="AB347" s="24">
        <v>0</v>
      </c>
      <c r="AC347" s="30">
        <f t="shared" si="163"/>
        <v>0</v>
      </c>
      <c r="AD347" s="27">
        <f t="shared" si="165"/>
        <v>0</v>
      </c>
      <c r="AE347" s="25">
        <f>IFERROR(_xlfn.XLOOKUP(N347&amp;P347,'Historico Vendas'!G:G,'Historico Vendas'!E:E),0)</f>
        <v>0</v>
      </c>
      <c r="AF347" s="29" t="str">
        <f t="shared" si="154"/>
        <v/>
      </c>
      <c r="AG347" s="24">
        <f>IFERROR(_xlfn.XLOOKUP(N347&amp;P347,'Historico Vendas'!G:G,'Historico Vendas'!F:F),0)</f>
        <v>0</v>
      </c>
      <c r="AH347" s="25">
        <f t="shared" si="166"/>
        <v>0</v>
      </c>
      <c r="AI347" s="24">
        <f t="shared" si="167"/>
        <v>0</v>
      </c>
      <c r="AJ347" s="11" t="str">
        <f t="shared" si="155"/>
        <v/>
      </c>
      <c r="AK347" s="9" t="s">
        <v>102</v>
      </c>
      <c r="AL347" s="13">
        <f>IFERROR(INDEX('Balizador da Meta'!$D$3:$F$23,MATCH(Quantidade!$P347,'Balizador da Meta'!$C$3:$C$23,0),MATCH(Quantidade!AK347,'Balizador da Meta'!$D$2:$F$2,0)),"")</f>
        <v>0.2</v>
      </c>
      <c r="AM347" s="9"/>
    </row>
    <row r="348" spans="1:39" x14ac:dyDescent="0.3">
      <c r="A348" s="2" t="str">
        <f t="shared" si="152"/>
        <v>NÃO</v>
      </c>
      <c r="B348" s="2" t="str">
        <f>_xlfn.XLOOKUP($N348,'Base de Grupos'!$A:$A,'Base de Grupos'!$D:$D)</f>
        <v>1000065763</v>
      </c>
      <c r="C348" s="5" t="str">
        <f>_xlfn.XLOOKUP($N348,'Base de Grupos'!$A:$A,'Base de Grupos'!$E:$E)</f>
        <v>CANAL VENDA INTERNA</v>
      </c>
      <c r="D348" s="5" t="str">
        <f>_xlfn.XLOOKUP($N348,'Base de Grupos'!$A:$A,'Base de Grupos'!$F:$F)</f>
        <v>1000065763</v>
      </c>
      <c r="E348" s="2" t="str">
        <f>_xlfn.XLOOKUP($N348,'Base de Grupos'!$A:$A,'Base de Grupos'!$G:$G)</f>
        <v>CANAL VENDA INTERNA</v>
      </c>
      <c r="F348" s="2" t="str">
        <f>_xlfn.XLOOKUP($N348,'Base de Grupos'!$A:$A,'Base de Grupos'!$H:$H)</f>
        <v>1000105899</v>
      </c>
      <c r="G348" s="5" t="str">
        <f>_xlfn.XLOOKUP($N348,'Base de Grupos'!$A:$A,'Base de Grupos'!$I:$I)</f>
        <v>REGIONAL VENDA DIRETA SUDESTE</v>
      </c>
      <c r="H348" s="5" t="str">
        <f>_xlfn.XLOOKUP($N348,'Base de Grupos'!$A:$A,'Base de Grupos'!$J:$J)</f>
        <v>1000105899</v>
      </c>
      <c r="I348" s="2" t="str">
        <f>_xlfn.XLOOKUP($N348,'Base de Grupos'!$A:$A,'Base de Grupos'!$K:$K)</f>
        <v>REGIONAL VENDA DIRETA SUDESTE</v>
      </c>
      <c r="J348" s="2" t="str">
        <f>_xlfn.XLOOKUP($N348,'Base de Grupos'!$A:$A,'Base de Grupos'!$L:$L)</f>
        <v>1000150135</v>
      </c>
      <c r="K348" s="5" t="str">
        <f>_xlfn.XLOOKUP($N348,'Base de Grupos'!$A:$A,'Base de Grupos'!$M:$M)</f>
        <v>HELDER DA SILVA BRUNKOW</v>
      </c>
      <c r="L348" s="5" t="str">
        <f t="shared" si="153"/>
        <v/>
      </c>
      <c r="M348" s="5" t="str">
        <f>_xlfn.XLOOKUP($N348,'Base de Grupos'!$A:$A,'Base de Grupos'!$C:$C)</f>
        <v>RJ</v>
      </c>
      <c r="N348" s="3">
        <v>1358</v>
      </c>
      <c r="O348" s="4" t="s">
        <v>243</v>
      </c>
      <c r="P348" s="5" t="s">
        <v>84</v>
      </c>
      <c r="Q348" s="24">
        <v>0</v>
      </c>
      <c r="R348" s="24">
        <v>0</v>
      </c>
      <c r="S348" s="24">
        <v>0</v>
      </c>
      <c r="T348" s="24">
        <v>0</v>
      </c>
      <c r="U348" s="24">
        <v>0</v>
      </c>
      <c r="V348" s="24">
        <v>0</v>
      </c>
      <c r="W348" s="24">
        <v>0</v>
      </c>
      <c r="X348" s="24">
        <v>0</v>
      </c>
      <c r="Y348" s="24">
        <v>0</v>
      </c>
      <c r="Z348" s="24">
        <v>0</v>
      </c>
      <c r="AA348" s="24">
        <v>0</v>
      </c>
      <c r="AB348" s="24">
        <v>0</v>
      </c>
      <c r="AC348" s="30">
        <f t="shared" si="163"/>
        <v>0</v>
      </c>
      <c r="AD348" s="27">
        <f t="shared" si="165"/>
        <v>0</v>
      </c>
      <c r="AE348" s="25">
        <f>IFERROR(_xlfn.XLOOKUP(N348&amp;P348,'Historico Vendas'!G:G,'Historico Vendas'!E:E),0)</f>
        <v>0</v>
      </c>
      <c r="AF348" s="29" t="str">
        <f t="shared" si="154"/>
        <v/>
      </c>
      <c r="AG348" s="24">
        <f>IFERROR(_xlfn.XLOOKUP(N348&amp;P348,'Historico Vendas'!G:G,'Historico Vendas'!F:F),0)</f>
        <v>0</v>
      </c>
      <c r="AH348" s="25">
        <f t="shared" si="166"/>
        <v>0</v>
      </c>
      <c r="AI348" s="24">
        <f t="shared" si="167"/>
        <v>0</v>
      </c>
      <c r="AJ348" s="11" t="str">
        <f t="shared" si="155"/>
        <v/>
      </c>
      <c r="AK348" s="9" t="s">
        <v>102</v>
      </c>
      <c r="AL348" s="13">
        <f>IFERROR(INDEX('Balizador da Meta'!$D$3:$F$23,MATCH(Quantidade!$P348,'Balizador da Meta'!$C$3:$C$23,0),MATCH(Quantidade!AK348,'Balizador da Meta'!$D$2:$F$2,0)),"")</f>
        <v>0.15</v>
      </c>
      <c r="AM348" s="9"/>
    </row>
    <row r="349" spans="1:39" x14ac:dyDescent="0.3">
      <c r="A349" s="2" t="str">
        <f t="shared" si="152"/>
        <v>NÃO</v>
      </c>
      <c r="B349" s="2" t="str">
        <f>_xlfn.XLOOKUP($N349,'Base de Grupos'!$A:$A,'Base de Grupos'!$D:$D)</f>
        <v>1000065763</v>
      </c>
      <c r="C349" s="5" t="str">
        <f>_xlfn.XLOOKUP($N349,'Base de Grupos'!$A:$A,'Base de Grupos'!$E:$E)</f>
        <v>CANAL VENDA INTERNA</v>
      </c>
      <c r="D349" s="5" t="str">
        <f>_xlfn.XLOOKUP($N349,'Base de Grupos'!$A:$A,'Base de Grupos'!$F:$F)</f>
        <v>1000065763</v>
      </c>
      <c r="E349" s="2" t="str">
        <f>_xlfn.XLOOKUP($N349,'Base de Grupos'!$A:$A,'Base de Grupos'!$G:$G)</f>
        <v>CANAL VENDA INTERNA</v>
      </c>
      <c r="F349" s="2" t="str">
        <f>_xlfn.XLOOKUP($N349,'Base de Grupos'!$A:$A,'Base de Grupos'!$H:$H)</f>
        <v>1000105899</v>
      </c>
      <c r="G349" s="5" t="str">
        <f>_xlfn.XLOOKUP($N349,'Base de Grupos'!$A:$A,'Base de Grupos'!$I:$I)</f>
        <v>REGIONAL VENDA DIRETA SUDESTE</v>
      </c>
      <c r="H349" s="5" t="str">
        <f>_xlfn.XLOOKUP($N349,'Base de Grupos'!$A:$A,'Base de Grupos'!$J:$J)</f>
        <v>1000105899</v>
      </c>
      <c r="I349" s="2" t="str">
        <f>_xlfn.XLOOKUP($N349,'Base de Grupos'!$A:$A,'Base de Grupos'!$K:$K)</f>
        <v>REGIONAL VENDA DIRETA SUDESTE</v>
      </c>
      <c r="J349" s="2" t="str">
        <f>_xlfn.XLOOKUP($N349,'Base de Grupos'!$A:$A,'Base de Grupos'!$L:$L)</f>
        <v>1000150135</v>
      </c>
      <c r="K349" s="5" t="str">
        <f>_xlfn.XLOOKUP($N349,'Base de Grupos'!$A:$A,'Base de Grupos'!$M:$M)</f>
        <v>HELDER DA SILVA BRUNKOW</v>
      </c>
      <c r="L349" s="5" t="str">
        <f t="shared" si="153"/>
        <v/>
      </c>
      <c r="M349" s="5" t="str">
        <f>_xlfn.XLOOKUP($N349,'Base de Grupos'!$A:$A,'Base de Grupos'!$C:$C)</f>
        <v>RJ</v>
      </c>
      <c r="N349" s="3">
        <v>1358</v>
      </c>
      <c r="O349" s="4" t="s">
        <v>243</v>
      </c>
      <c r="P349" s="5" t="s">
        <v>83</v>
      </c>
      <c r="Q349" s="24">
        <v>0</v>
      </c>
      <c r="R349" s="24">
        <v>0</v>
      </c>
      <c r="S349" s="24">
        <v>0</v>
      </c>
      <c r="T349" s="24">
        <v>0</v>
      </c>
      <c r="U349" s="24">
        <v>0</v>
      </c>
      <c r="V349" s="24">
        <v>0</v>
      </c>
      <c r="W349" s="24">
        <v>0</v>
      </c>
      <c r="X349" s="24">
        <v>0</v>
      </c>
      <c r="Y349" s="24">
        <v>0</v>
      </c>
      <c r="Z349" s="24">
        <v>0</v>
      </c>
      <c r="AA349" s="24">
        <v>0</v>
      </c>
      <c r="AB349" s="24">
        <v>0</v>
      </c>
      <c r="AC349" s="30">
        <f t="shared" si="163"/>
        <v>0</v>
      </c>
      <c r="AD349" s="27">
        <f t="shared" si="165"/>
        <v>0</v>
      </c>
      <c r="AE349" s="25">
        <f>IFERROR(_xlfn.XLOOKUP(N349&amp;P349,'Historico Vendas'!G:G,'Historico Vendas'!E:E),0)</f>
        <v>0</v>
      </c>
      <c r="AF349" s="29" t="str">
        <f t="shared" si="154"/>
        <v/>
      </c>
      <c r="AG349" s="24">
        <f>IFERROR(_xlfn.XLOOKUP(N349&amp;P349,'Historico Vendas'!G:G,'Historico Vendas'!F:F),0)</f>
        <v>0</v>
      </c>
      <c r="AH349" s="25">
        <f t="shared" si="166"/>
        <v>0</v>
      </c>
      <c r="AI349" s="24">
        <f t="shared" si="167"/>
        <v>0</v>
      </c>
      <c r="AJ349" s="11" t="str">
        <f t="shared" si="155"/>
        <v/>
      </c>
      <c r="AK349" s="9" t="s">
        <v>102</v>
      </c>
      <c r="AL349" s="13">
        <f>IFERROR(INDEX('Balizador da Meta'!$D$3:$F$23,MATCH(Quantidade!$P349,'Balizador da Meta'!$C$3:$C$23,0),MATCH(Quantidade!AK349,'Balizador da Meta'!$D$2:$F$2,0)),"")</f>
        <v>0</v>
      </c>
      <c r="AM349" s="9"/>
    </row>
    <row r="350" spans="1:39" x14ac:dyDescent="0.3">
      <c r="A350" s="2" t="str">
        <f t="shared" si="152"/>
        <v>NÃO</v>
      </c>
      <c r="B350" s="2" t="str">
        <f>_xlfn.XLOOKUP($N350,'Base de Grupos'!$A:$A,'Base de Grupos'!$D:$D)</f>
        <v>1000065763</v>
      </c>
      <c r="C350" s="5" t="str">
        <f>_xlfn.XLOOKUP($N350,'Base de Grupos'!$A:$A,'Base de Grupos'!$E:$E)</f>
        <v>CANAL VENDA INTERNA</v>
      </c>
      <c r="D350" s="5" t="str">
        <f>_xlfn.XLOOKUP($N350,'Base de Grupos'!$A:$A,'Base de Grupos'!$F:$F)</f>
        <v>1000065763</v>
      </c>
      <c r="E350" s="2" t="str">
        <f>_xlfn.XLOOKUP($N350,'Base de Grupos'!$A:$A,'Base de Grupos'!$G:$G)</f>
        <v>CANAL VENDA INTERNA</v>
      </c>
      <c r="F350" s="2" t="str">
        <f>_xlfn.XLOOKUP($N350,'Base de Grupos'!$A:$A,'Base de Grupos'!$H:$H)</f>
        <v>1000105899</v>
      </c>
      <c r="G350" s="5" t="str">
        <f>_xlfn.XLOOKUP($N350,'Base de Grupos'!$A:$A,'Base de Grupos'!$I:$I)</f>
        <v>REGIONAL VENDA DIRETA SUDESTE</v>
      </c>
      <c r="H350" s="5" t="str">
        <f>_xlfn.XLOOKUP($N350,'Base de Grupos'!$A:$A,'Base de Grupos'!$J:$J)</f>
        <v>1000105899</v>
      </c>
      <c r="I350" s="2" t="str">
        <f>_xlfn.XLOOKUP($N350,'Base de Grupos'!$A:$A,'Base de Grupos'!$K:$K)</f>
        <v>REGIONAL VENDA DIRETA SUDESTE</v>
      </c>
      <c r="J350" s="2" t="str">
        <f>_xlfn.XLOOKUP($N350,'Base de Grupos'!$A:$A,'Base de Grupos'!$L:$L)</f>
        <v>1000150135</v>
      </c>
      <c r="K350" s="5" t="str">
        <f>_xlfn.XLOOKUP($N350,'Base de Grupos'!$A:$A,'Base de Grupos'!$M:$M)</f>
        <v>HELDER DA SILVA BRUNKOW</v>
      </c>
      <c r="L350" s="5" t="str">
        <f t="shared" si="153"/>
        <v/>
      </c>
      <c r="M350" s="5" t="str">
        <f>_xlfn.XLOOKUP($N350,'Base de Grupos'!$A:$A,'Base de Grupos'!$C:$C)</f>
        <v>RJ</v>
      </c>
      <c r="N350" s="3">
        <v>1358</v>
      </c>
      <c r="O350" s="4" t="s">
        <v>243</v>
      </c>
      <c r="P350" s="5" t="s">
        <v>87</v>
      </c>
      <c r="Q350" s="24">
        <v>0</v>
      </c>
      <c r="R350" s="24">
        <v>0</v>
      </c>
      <c r="S350" s="24">
        <v>0</v>
      </c>
      <c r="T350" s="24">
        <v>0</v>
      </c>
      <c r="U350" s="24">
        <v>0</v>
      </c>
      <c r="V350" s="24">
        <v>0</v>
      </c>
      <c r="W350" s="24">
        <v>0</v>
      </c>
      <c r="X350" s="24">
        <v>0</v>
      </c>
      <c r="Y350" s="24">
        <v>0</v>
      </c>
      <c r="Z350" s="24">
        <v>0</v>
      </c>
      <c r="AA350" s="24">
        <v>0</v>
      </c>
      <c r="AB350" s="24">
        <v>0</v>
      </c>
      <c r="AC350" s="30">
        <f t="shared" si="163"/>
        <v>0</v>
      </c>
      <c r="AD350" s="27">
        <f t="shared" si="165"/>
        <v>0</v>
      </c>
      <c r="AE350" s="25">
        <f>IFERROR(_xlfn.XLOOKUP(N350&amp;P350,'Historico Vendas'!G:G,'Historico Vendas'!E:E),0)</f>
        <v>0</v>
      </c>
      <c r="AF350" s="29" t="str">
        <f t="shared" si="154"/>
        <v/>
      </c>
      <c r="AG350" s="24">
        <f>IFERROR(_xlfn.XLOOKUP(N350&amp;P350,'Historico Vendas'!G:G,'Historico Vendas'!F:F),0)</f>
        <v>0</v>
      </c>
      <c r="AH350" s="25">
        <f t="shared" si="166"/>
        <v>0</v>
      </c>
      <c r="AI350" s="24">
        <f t="shared" si="167"/>
        <v>0</v>
      </c>
      <c r="AJ350" s="11" t="str">
        <f t="shared" si="155"/>
        <v/>
      </c>
      <c r="AK350" s="9" t="s">
        <v>102</v>
      </c>
      <c r="AL350" s="13">
        <f>IFERROR(INDEX('Balizador da Meta'!$D$3:$F$23,MATCH(Quantidade!$P350,'Balizador da Meta'!$C$3:$C$23,0),MATCH(Quantidade!AK350,'Balizador da Meta'!$D$2:$F$2,0)),"")</f>
        <v>0</v>
      </c>
      <c r="AM350" s="9"/>
    </row>
    <row r="351" spans="1:39" x14ac:dyDescent="0.3">
      <c r="A351" s="2" t="str">
        <f t="shared" si="152"/>
        <v>NÃO</v>
      </c>
      <c r="B351" s="2" t="str">
        <f>_xlfn.XLOOKUP($N351,'Base de Grupos'!$A:$A,'Base de Grupos'!$D:$D)</f>
        <v>1000065763</v>
      </c>
      <c r="C351" s="5" t="str">
        <f>_xlfn.XLOOKUP($N351,'Base de Grupos'!$A:$A,'Base de Grupos'!$E:$E)</f>
        <v>CANAL VENDA INTERNA</v>
      </c>
      <c r="D351" s="5" t="str">
        <f>_xlfn.XLOOKUP($N351,'Base de Grupos'!$A:$A,'Base de Grupos'!$F:$F)</f>
        <v>1000065763</v>
      </c>
      <c r="E351" s="2" t="str">
        <f>_xlfn.XLOOKUP($N351,'Base de Grupos'!$A:$A,'Base de Grupos'!$G:$G)</f>
        <v>CANAL VENDA INTERNA</v>
      </c>
      <c r="F351" s="2" t="str">
        <f>_xlfn.XLOOKUP($N351,'Base de Grupos'!$A:$A,'Base de Grupos'!$H:$H)</f>
        <v>1000105899</v>
      </c>
      <c r="G351" s="5" t="str">
        <f>_xlfn.XLOOKUP($N351,'Base de Grupos'!$A:$A,'Base de Grupos'!$I:$I)</f>
        <v>REGIONAL VENDA DIRETA SUDESTE</v>
      </c>
      <c r="H351" s="5" t="str">
        <f>_xlfn.XLOOKUP($N351,'Base de Grupos'!$A:$A,'Base de Grupos'!$J:$J)</f>
        <v>1000105899</v>
      </c>
      <c r="I351" s="2" t="str">
        <f>_xlfn.XLOOKUP($N351,'Base de Grupos'!$A:$A,'Base de Grupos'!$K:$K)</f>
        <v>REGIONAL VENDA DIRETA SUDESTE</v>
      </c>
      <c r="J351" s="2" t="str">
        <f>_xlfn.XLOOKUP($N351,'Base de Grupos'!$A:$A,'Base de Grupos'!$L:$L)</f>
        <v>1000150135</v>
      </c>
      <c r="K351" s="5" t="str">
        <f>_xlfn.XLOOKUP($N351,'Base de Grupos'!$A:$A,'Base de Grupos'!$M:$M)</f>
        <v>HELDER DA SILVA BRUNKOW</v>
      </c>
      <c r="L351" s="5" t="str">
        <f t="shared" si="153"/>
        <v/>
      </c>
      <c r="M351" s="5" t="str">
        <f>_xlfn.XLOOKUP($N351,'Base de Grupos'!$A:$A,'Base de Grupos'!$C:$C)</f>
        <v>RJ</v>
      </c>
      <c r="N351" s="3">
        <v>1358</v>
      </c>
      <c r="O351" s="4" t="s">
        <v>243</v>
      </c>
      <c r="P351" s="5" t="s">
        <v>85</v>
      </c>
      <c r="Q351" s="24">
        <v>0</v>
      </c>
      <c r="R351" s="24">
        <v>0</v>
      </c>
      <c r="S351" s="24">
        <v>0</v>
      </c>
      <c r="T351" s="24">
        <v>0</v>
      </c>
      <c r="U351" s="24">
        <v>0</v>
      </c>
      <c r="V351" s="24">
        <v>0</v>
      </c>
      <c r="W351" s="24">
        <v>0</v>
      </c>
      <c r="X351" s="24">
        <v>0</v>
      </c>
      <c r="Y351" s="24">
        <v>0</v>
      </c>
      <c r="Z351" s="24">
        <v>0</v>
      </c>
      <c r="AA351" s="24">
        <v>0</v>
      </c>
      <c r="AB351" s="24">
        <v>0</v>
      </c>
      <c r="AC351" s="30">
        <f t="shared" si="163"/>
        <v>0</v>
      </c>
      <c r="AD351" s="27">
        <f t="shared" si="165"/>
        <v>0</v>
      </c>
      <c r="AE351" s="25">
        <f>IFERROR(_xlfn.XLOOKUP(N351&amp;P351,'Historico Vendas'!G:G,'Historico Vendas'!E:E),0)</f>
        <v>0</v>
      </c>
      <c r="AF351" s="29" t="str">
        <f t="shared" si="154"/>
        <v/>
      </c>
      <c r="AG351" s="24">
        <f>IFERROR(_xlfn.XLOOKUP(N351&amp;P351,'Historico Vendas'!G:G,'Historico Vendas'!F:F),0)</f>
        <v>0</v>
      </c>
      <c r="AH351" s="25">
        <f t="shared" si="166"/>
        <v>0</v>
      </c>
      <c r="AI351" s="24">
        <f t="shared" si="167"/>
        <v>0</v>
      </c>
      <c r="AJ351" s="11" t="str">
        <f t="shared" si="155"/>
        <v/>
      </c>
      <c r="AK351" s="9" t="s">
        <v>102</v>
      </c>
      <c r="AL351" s="13">
        <f>IFERROR(INDEX('Balizador da Meta'!$D$3:$F$23,MATCH(Quantidade!$P351,'Balizador da Meta'!$C$3:$C$23,0),MATCH(Quantidade!AK351,'Balizador da Meta'!$D$2:$F$2,0)),"")</f>
        <v>0</v>
      </c>
      <c r="AM351" s="9"/>
    </row>
    <row r="352" spans="1:39" x14ac:dyDescent="0.3">
      <c r="A352" s="2" t="str">
        <f t="shared" si="152"/>
        <v>NÃO</v>
      </c>
      <c r="B352" s="2" t="str">
        <f>_xlfn.XLOOKUP($N352,'Base de Grupos'!$A:$A,'Base de Grupos'!$D:$D)</f>
        <v>1000065763</v>
      </c>
      <c r="C352" s="5" t="str">
        <f>_xlfn.XLOOKUP($N352,'Base de Grupos'!$A:$A,'Base de Grupos'!$E:$E)</f>
        <v>CANAL VENDA INTERNA</v>
      </c>
      <c r="D352" s="5" t="str">
        <f>_xlfn.XLOOKUP($N352,'Base de Grupos'!$A:$A,'Base de Grupos'!$F:$F)</f>
        <v>1000065763</v>
      </c>
      <c r="E352" s="2" t="str">
        <f>_xlfn.XLOOKUP($N352,'Base de Grupos'!$A:$A,'Base de Grupos'!$G:$G)</f>
        <v>CANAL VENDA INTERNA</v>
      </c>
      <c r="F352" s="2" t="str">
        <f>_xlfn.XLOOKUP($N352,'Base de Grupos'!$A:$A,'Base de Grupos'!$H:$H)</f>
        <v>1000105899</v>
      </c>
      <c r="G352" s="5" t="str">
        <f>_xlfn.XLOOKUP($N352,'Base de Grupos'!$A:$A,'Base de Grupos'!$I:$I)</f>
        <v>REGIONAL VENDA DIRETA SUDESTE</v>
      </c>
      <c r="H352" s="5" t="str">
        <f>_xlfn.XLOOKUP($N352,'Base de Grupos'!$A:$A,'Base de Grupos'!$J:$J)</f>
        <v>1000105899</v>
      </c>
      <c r="I352" s="2" t="str">
        <f>_xlfn.XLOOKUP($N352,'Base de Grupos'!$A:$A,'Base de Grupos'!$K:$K)</f>
        <v>REGIONAL VENDA DIRETA SUDESTE</v>
      </c>
      <c r="J352" s="2" t="str">
        <f>_xlfn.XLOOKUP($N352,'Base de Grupos'!$A:$A,'Base de Grupos'!$L:$L)</f>
        <v>1000150135</v>
      </c>
      <c r="K352" s="5" t="str">
        <f>_xlfn.XLOOKUP($N352,'Base de Grupos'!$A:$A,'Base de Grupos'!$M:$M)</f>
        <v>HELDER DA SILVA BRUNKOW</v>
      </c>
      <c r="L352" s="5" t="str">
        <f t="shared" si="153"/>
        <v/>
      </c>
      <c r="M352" s="5" t="str">
        <f>_xlfn.XLOOKUP($N352,'Base de Grupos'!$A:$A,'Base de Grupos'!$C:$C)</f>
        <v>RJ</v>
      </c>
      <c r="N352" s="3">
        <v>1358</v>
      </c>
      <c r="O352" s="4" t="s">
        <v>243</v>
      </c>
      <c r="P352" s="5" t="s">
        <v>92</v>
      </c>
      <c r="Q352" s="24">
        <v>0</v>
      </c>
      <c r="R352" s="24">
        <v>0</v>
      </c>
      <c r="S352" s="24">
        <v>0</v>
      </c>
      <c r="T352" s="24">
        <v>0</v>
      </c>
      <c r="U352" s="24">
        <v>0</v>
      </c>
      <c r="V352" s="24">
        <v>0</v>
      </c>
      <c r="W352" s="24">
        <v>0</v>
      </c>
      <c r="X352" s="24">
        <v>0</v>
      </c>
      <c r="Y352" s="24">
        <v>0</v>
      </c>
      <c r="Z352" s="24">
        <v>0</v>
      </c>
      <c r="AA352" s="24">
        <v>0</v>
      </c>
      <c r="AB352" s="24">
        <v>0</v>
      </c>
      <c r="AC352" s="30">
        <f t="shared" si="163"/>
        <v>0</v>
      </c>
      <c r="AD352" s="27">
        <f t="shared" si="165"/>
        <v>0</v>
      </c>
      <c r="AE352" s="25">
        <f>IFERROR(_xlfn.XLOOKUP(N352&amp;P352,'Historico Vendas'!G:G,'Historico Vendas'!E:E),0)</f>
        <v>0</v>
      </c>
      <c r="AF352" s="29" t="str">
        <f t="shared" si="154"/>
        <v/>
      </c>
      <c r="AG352" s="24">
        <f>IFERROR(_xlfn.XLOOKUP(N352&amp;P352,'Historico Vendas'!G:G,'Historico Vendas'!F:F),0)</f>
        <v>0</v>
      </c>
      <c r="AH352" s="25">
        <f t="shared" si="166"/>
        <v>0</v>
      </c>
      <c r="AI352" s="24">
        <f t="shared" si="167"/>
        <v>0</v>
      </c>
      <c r="AJ352" s="11" t="str">
        <f t="shared" si="155"/>
        <v/>
      </c>
      <c r="AK352" s="9" t="s">
        <v>102</v>
      </c>
      <c r="AL352" s="13">
        <f>IFERROR(INDEX('Balizador da Meta'!$D$3:$F$23,MATCH(Quantidade!$P352,'Balizador da Meta'!$C$3:$C$23,0),MATCH(Quantidade!AK352,'Balizador da Meta'!$D$2:$F$2,0)),"")</f>
        <v>0</v>
      </c>
      <c r="AM352" s="9"/>
    </row>
    <row r="353" spans="1:39" x14ac:dyDescent="0.3">
      <c r="A353" s="2" t="str">
        <f t="shared" si="152"/>
        <v>NÃO</v>
      </c>
      <c r="B353" s="2" t="str">
        <f>_xlfn.XLOOKUP($N353,'Base de Grupos'!$A:$A,'Base de Grupos'!$D:$D)</f>
        <v>1000065763</v>
      </c>
      <c r="C353" s="5" t="str">
        <f>_xlfn.XLOOKUP($N353,'Base de Grupos'!$A:$A,'Base de Grupos'!$E:$E)</f>
        <v>CANAL VENDA INTERNA</v>
      </c>
      <c r="D353" s="5" t="str">
        <f>_xlfn.XLOOKUP($N353,'Base de Grupos'!$A:$A,'Base de Grupos'!$F:$F)</f>
        <v>1000065763</v>
      </c>
      <c r="E353" s="2" t="str">
        <f>_xlfn.XLOOKUP($N353,'Base de Grupos'!$A:$A,'Base de Grupos'!$G:$G)</f>
        <v>CANAL VENDA INTERNA</v>
      </c>
      <c r="F353" s="2" t="str">
        <f>_xlfn.XLOOKUP($N353,'Base de Grupos'!$A:$A,'Base de Grupos'!$H:$H)</f>
        <v>1000105899</v>
      </c>
      <c r="G353" s="5" t="str">
        <f>_xlfn.XLOOKUP($N353,'Base de Grupos'!$A:$A,'Base de Grupos'!$I:$I)</f>
        <v>REGIONAL VENDA DIRETA SUDESTE</v>
      </c>
      <c r="H353" s="5" t="str">
        <f>_xlfn.XLOOKUP($N353,'Base de Grupos'!$A:$A,'Base de Grupos'!$J:$J)</f>
        <v>1000105899</v>
      </c>
      <c r="I353" s="2" t="str">
        <f>_xlfn.XLOOKUP($N353,'Base de Grupos'!$A:$A,'Base de Grupos'!$K:$K)</f>
        <v>REGIONAL VENDA DIRETA SUDESTE</v>
      </c>
      <c r="J353" s="2" t="str">
        <f>_xlfn.XLOOKUP($N353,'Base de Grupos'!$A:$A,'Base de Grupos'!$L:$L)</f>
        <v>1000150135</v>
      </c>
      <c r="K353" s="5" t="str">
        <f>_xlfn.XLOOKUP($N353,'Base de Grupos'!$A:$A,'Base de Grupos'!$M:$M)</f>
        <v>HELDER DA SILVA BRUNKOW</v>
      </c>
      <c r="L353" s="5" t="str">
        <f t="shared" si="153"/>
        <v/>
      </c>
      <c r="M353" s="5" t="str">
        <f>_xlfn.XLOOKUP($N353,'Base de Grupos'!$A:$A,'Base de Grupos'!$C:$C)</f>
        <v>RJ</v>
      </c>
      <c r="N353" s="3">
        <v>1358</v>
      </c>
      <c r="O353" s="4" t="s">
        <v>243</v>
      </c>
      <c r="P353" s="5" t="s">
        <v>86</v>
      </c>
      <c r="Q353" s="24">
        <v>0</v>
      </c>
      <c r="R353" s="24">
        <v>0</v>
      </c>
      <c r="S353" s="24">
        <v>0</v>
      </c>
      <c r="T353" s="24">
        <v>0</v>
      </c>
      <c r="U353" s="24">
        <v>0</v>
      </c>
      <c r="V353" s="24">
        <v>0</v>
      </c>
      <c r="W353" s="24">
        <v>0</v>
      </c>
      <c r="X353" s="24">
        <v>0</v>
      </c>
      <c r="Y353" s="24">
        <v>0</v>
      </c>
      <c r="Z353" s="24">
        <v>0</v>
      </c>
      <c r="AA353" s="24">
        <v>0</v>
      </c>
      <c r="AB353" s="24">
        <v>0</v>
      </c>
      <c r="AC353" s="30">
        <f t="shared" si="163"/>
        <v>0</v>
      </c>
      <c r="AD353" s="27">
        <f t="shared" si="165"/>
        <v>0</v>
      </c>
      <c r="AE353" s="25">
        <f>IFERROR(_xlfn.XLOOKUP(N353&amp;P353,'Historico Vendas'!G:G,'Historico Vendas'!E:E),0)</f>
        <v>0</v>
      </c>
      <c r="AF353" s="29" t="str">
        <f t="shared" si="154"/>
        <v/>
      </c>
      <c r="AG353" s="24">
        <f>IFERROR(_xlfn.XLOOKUP(N353&amp;P353,'Historico Vendas'!G:G,'Historico Vendas'!F:F),0)</f>
        <v>0</v>
      </c>
      <c r="AH353" s="25">
        <f t="shared" si="166"/>
        <v>0</v>
      </c>
      <c r="AI353" s="24">
        <f t="shared" si="167"/>
        <v>0</v>
      </c>
      <c r="AJ353" s="11" t="str">
        <f t="shared" si="155"/>
        <v/>
      </c>
      <c r="AK353" s="9" t="s">
        <v>102</v>
      </c>
      <c r="AL353" s="13">
        <f>IFERROR(INDEX('Balizador da Meta'!$D$3:$F$23,MATCH(Quantidade!$P353,'Balizador da Meta'!$C$3:$C$23,0),MATCH(Quantidade!AK353,'Balizador da Meta'!$D$2:$F$2,0)),"")</f>
        <v>0.15</v>
      </c>
      <c r="AM353" s="9"/>
    </row>
    <row r="354" spans="1:39" x14ac:dyDescent="0.3">
      <c r="A354" s="2" t="str">
        <f t="shared" si="152"/>
        <v>NÃO</v>
      </c>
      <c r="B354" s="2" t="str">
        <f>_xlfn.XLOOKUP($N354,'Base de Grupos'!$A:$A,'Base de Grupos'!$D:$D)</f>
        <v>1000065763</v>
      </c>
      <c r="C354" s="5" t="str">
        <f>_xlfn.XLOOKUP($N354,'Base de Grupos'!$A:$A,'Base de Grupos'!$E:$E)</f>
        <v>CANAL VENDA INTERNA</v>
      </c>
      <c r="D354" s="5" t="str">
        <f>_xlfn.XLOOKUP($N354,'Base de Grupos'!$A:$A,'Base de Grupos'!$F:$F)</f>
        <v>1000065763</v>
      </c>
      <c r="E354" s="2" t="str">
        <f>_xlfn.XLOOKUP($N354,'Base de Grupos'!$A:$A,'Base de Grupos'!$G:$G)</f>
        <v>CANAL VENDA INTERNA</v>
      </c>
      <c r="F354" s="2" t="str">
        <f>_xlfn.XLOOKUP($N354,'Base de Grupos'!$A:$A,'Base de Grupos'!$H:$H)</f>
        <v>1000105899</v>
      </c>
      <c r="G354" s="5" t="str">
        <f>_xlfn.XLOOKUP($N354,'Base de Grupos'!$A:$A,'Base de Grupos'!$I:$I)</f>
        <v>REGIONAL VENDA DIRETA SUDESTE</v>
      </c>
      <c r="H354" s="5" t="str">
        <f>_xlfn.XLOOKUP($N354,'Base de Grupos'!$A:$A,'Base de Grupos'!$J:$J)</f>
        <v>1000105899</v>
      </c>
      <c r="I354" s="2" t="str">
        <f>_xlfn.XLOOKUP($N354,'Base de Grupos'!$A:$A,'Base de Grupos'!$K:$K)</f>
        <v>REGIONAL VENDA DIRETA SUDESTE</v>
      </c>
      <c r="J354" s="2" t="str">
        <f>_xlfn.XLOOKUP($N354,'Base de Grupos'!$A:$A,'Base de Grupos'!$L:$L)</f>
        <v>1000150135</v>
      </c>
      <c r="K354" s="5" t="str">
        <f>_xlfn.XLOOKUP($N354,'Base de Grupos'!$A:$A,'Base de Grupos'!$M:$M)</f>
        <v>HELDER DA SILVA BRUNKOW</v>
      </c>
      <c r="L354" s="5" t="str">
        <f t="shared" si="153"/>
        <v/>
      </c>
      <c r="M354" s="5" t="str">
        <f>_xlfn.XLOOKUP($N354,'Base de Grupos'!$A:$A,'Base de Grupos'!$C:$C)</f>
        <v>RJ</v>
      </c>
      <c r="N354" s="3">
        <v>1358</v>
      </c>
      <c r="O354" s="4" t="s">
        <v>243</v>
      </c>
      <c r="P354" s="5" t="s">
        <v>108</v>
      </c>
      <c r="Q354" s="24">
        <v>0</v>
      </c>
      <c r="R354" s="24">
        <v>0</v>
      </c>
      <c r="S354" s="24">
        <v>0</v>
      </c>
      <c r="T354" s="24">
        <v>0</v>
      </c>
      <c r="U354" s="24">
        <v>0</v>
      </c>
      <c r="V354" s="24">
        <v>0</v>
      </c>
      <c r="W354" s="24">
        <v>0</v>
      </c>
      <c r="X354" s="24">
        <v>0</v>
      </c>
      <c r="Y354" s="24">
        <v>0</v>
      </c>
      <c r="Z354" s="24">
        <v>0</v>
      </c>
      <c r="AA354" s="24">
        <v>0</v>
      </c>
      <c r="AB354" s="24">
        <v>0</v>
      </c>
      <c r="AC354" s="30">
        <f t="shared" si="163"/>
        <v>0</v>
      </c>
      <c r="AD354" s="27">
        <f t="shared" si="165"/>
        <v>0</v>
      </c>
      <c r="AE354" s="25">
        <f>IFERROR(_xlfn.XLOOKUP(N354&amp;P354,'Historico Vendas'!G:G,'Historico Vendas'!E:E),0)</f>
        <v>0</v>
      </c>
      <c r="AF354" s="29" t="str">
        <f t="shared" si="154"/>
        <v/>
      </c>
      <c r="AG354" s="24">
        <f>IFERROR(_xlfn.XLOOKUP(N354&amp;P354,'Historico Vendas'!G:G,'Historico Vendas'!F:F),0)</f>
        <v>0</v>
      </c>
      <c r="AH354" s="25">
        <f t="shared" si="166"/>
        <v>0</v>
      </c>
      <c r="AI354" s="24">
        <f t="shared" si="167"/>
        <v>0</v>
      </c>
      <c r="AJ354" s="11" t="str">
        <f t="shared" si="155"/>
        <v/>
      </c>
      <c r="AK354" s="9" t="s">
        <v>102</v>
      </c>
      <c r="AL354" s="13">
        <f>IFERROR(INDEX('Balizador da Meta'!$D$3:$F$23,MATCH(Quantidade!$P354,'Balizador da Meta'!$C$3:$C$23,0),MATCH(Quantidade!AK354,'Balizador da Meta'!$D$2:$F$2,0)),"")</f>
        <v>0</v>
      </c>
      <c r="AM354" s="9"/>
    </row>
    <row r="355" spans="1:39" x14ac:dyDescent="0.3">
      <c r="A355" s="2" t="str">
        <f t="shared" si="152"/>
        <v>NÃO</v>
      </c>
      <c r="B355" s="2" t="str">
        <f>_xlfn.XLOOKUP($N355,'Base de Grupos'!$A:$A,'Base de Grupos'!$D:$D)</f>
        <v>1000065763</v>
      </c>
      <c r="C355" s="5" t="str">
        <f>_xlfn.XLOOKUP($N355,'Base de Grupos'!$A:$A,'Base de Grupos'!$E:$E)</f>
        <v>CANAL VENDA INTERNA</v>
      </c>
      <c r="D355" s="5" t="str">
        <f>_xlfn.XLOOKUP($N355,'Base de Grupos'!$A:$A,'Base de Grupos'!$F:$F)</f>
        <v>1000065763</v>
      </c>
      <c r="E355" s="2" t="str">
        <f>_xlfn.XLOOKUP($N355,'Base de Grupos'!$A:$A,'Base de Grupos'!$G:$G)</f>
        <v>CANAL VENDA INTERNA</v>
      </c>
      <c r="F355" s="2" t="str">
        <f>_xlfn.XLOOKUP($N355,'Base de Grupos'!$A:$A,'Base de Grupos'!$H:$H)</f>
        <v>1000105899</v>
      </c>
      <c r="G355" s="5" t="str">
        <f>_xlfn.XLOOKUP($N355,'Base de Grupos'!$A:$A,'Base de Grupos'!$I:$I)</f>
        <v>REGIONAL VENDA DIRETA SUDESTE</v>
      </c>
      <c r="H355" s="5" t="str">
        <f>_xlfn.XLOOKUP($N355,'Base de Grupos'!$A:$A,'Base de Grupos'!$J:$J)</f>
        <v>1000105899</v>
      </c>
      <c r="I355" s="2" t="str">
        <f>_xlfn.XLOOKUP($N355,'Base de Grupos'!$A:$A,'Base de Grupos'!$K:$K)</f>
        <v>REGIONAL VENDA DIRETA SUDESTE</v>
      </c>
      <c r="J355" s="2" t="str">
        <f>_xlfn.XLOOKUP($N355,'Base de Grupos'!$A:$A,'Base de Grupos'!$L:$L)</f>
        <v>1000150135</v>
      </c>
      <c r="K355" s="5" t="str">
        <f>_xlfn.XLOOKUP($N355,'Base de Grupos'!$A:$A,'Base de Grupos'!$M:$M)</f>
        <v>HELDER DA SILVA BRUNKOW</v>
      </c>
      <c r="L355" s="5" t="str">
        <f t="shared" si="153"/>
        <v/>
      </c>
      <c r="M355" s="5" t="str">
        <f>_xlfn.XLOOKUP($N355,'Base de Grupos'!$A:$A,'Base de Grupos'!$C:$C)</f>
        <v>RJ</v>
      </c>
      <c r="N355" s="3">
        <v>1358</v>
      </c>
      <c r="O355" s="4" t="s">
        <v>243</v>
      </c>
      <c r="P355" s="5" t="s">
        <v>89</v>
      </c>
      <c r="Q355" s="24">
        <f>SUM(Q356:Q376)</f>
        <v>0</v>
      </c>
      <c r="R355" s="24">
        <f t="shared" ref="R355" si="168">SUM(R356:R376)</f>
        <v>0</v>
      </c>
      <c r="S355" s="24">
        <f t="shared" ref="S355" si="169">SUM(S356:S376)</f>
        <v>0</v>
      </c>
      <c r="T355" s="24">
        <f t="shared" ref="T355:AC355" si="170">SUM(T356:T376)</f>
        <v>0</v>
      </c>
      <c r="U355" s="24">
        <f t="shared" si="170"/>
        <v>0</v>
      </c>
      <c r="V355" s="24">
        <f t="shared" si="170"/>
        <v>0</v>
      </c>
      <c r="W355" s="24">
        <f t="shared" si="170"/>
        <v>0</v>
      </c>
      <c r="X355" s="24">
        <f t="shared" si="170"/>
        <v>0</v>
      </c>
      <c r="Y355" s="24">
        <f t="shared" si="170"/>
        <v>0</v>
      </c>
      <c r="Z355" s="24">
        <f t="shared" si="170"/>
        <v>0</v>
      </c>
      <c r="AA355" s="24">
        <f t="shared" si="170"/>
        <v>0</v>
      </c>
      <c r="AB355" s="24">
        <f t="shared" si="170"/>
        <v>0</v>
      </c>
      <c r="AC355" s="24">
        <f t="shared" si="170"/>
        <v>0</v>
      </c>
      <c r="AD355" s="27">
        <f t="shared" si="165"/>
        <v>0</v>
      </c>
      <c r="AE355" s="25">
        <f>IFERROR(_xlfn.XLOOKUP(N355&amp;P355,'Historico Vendas'!G:G,'Historico Vendas'!E:E),0)</f>
        <v>0</v>
      </c>
      <c r="AF355" s="29" t="str">
        <f t="shared" si="154"/>
        <v/>
      </c>
      <c r="AG355" s="24">
        <f>IFERROR(_xlfn.XLOOKUP(N355&amp;P355,'Historico Vendas'!G:G,'Historico Vendas'!F:F),0)</f>
        <v>0</v>
      </c>
      <c r="AH355" s="25">
        <f t="shared" si="166"/>
        <v>0</v>
      </c>
      <c r="AI355" s="24">
        <f t="shared" si="167"/>
        <v>0</v>
      </c>
      <c r="AJ355" s="11" t="str">
        <f t="shared" si="155"/>
        <v/>
      </c>
      <c r="AK355" s="9" t="s">
        <v>102</v>
      </c>
      <c r="AL355" s="13">
        <f>IFERROR(INDEX('Balizador da Meta'!$D$3:$F$23,MATCH(Quantidade!$P355,'Balizador da Meta'!$C$3:$C$23,0),MATCH(Quantidade!AK355,'Balizador da Meta'!$D$2:$F$2,0)),"")</f>
        <v>0.25</v>
      </c>
      <c r="AM355" s="9"/>
    </row>
    <row r="356" spans="1:39" x14ac:dyDescent="0.3">
      <c r="A356" s="2" t="str">
        <f t="shared" si="152"/>
        <v>NÃO</v>
      </c>
      <c r="B356" s="2" t="str">
        <f>_xlfn.XLOOKUP($N356,'Base de Grupos'!$A:$A,'Base de Grupos'!$D:$D)</f>
        <v>1000065763</v>
      </c>
      <c r="C356" s="5" t="str">
        <f>_xlfn.XLOOKUP($N356,'Base de Grupos'!$A:$A,'Base de Grupos'!$E:$E)</f>
        <v>CANAL VENDA INTERNA</v>
      </c>
      <c r="D356" s="5" t="str">
        <f>_xlfn.XLOOKUP($N356,'Base de Grupos'!$A:$A,'Base de Grupos'!$F:$F)</f>
        <v>1000065763</v>
      </c>
      <c r="E356" s="2" t="str">
        <f>_xlfn.XLOOKUP($N356,'Base de Grupos'!$A:$A,'Base de Grupos'!$G:$G)</f>
        <v>CANAL VENDA INTERNA</v>
      </c>
      <c r="F356" s="2" t="str">
        <f>_xlfn.XLOOKUP($N356,'Base de Grupos'!$A:$A,'Base de Grupos'!$H:$H)</f>
        <v>1000105899</v>
      </c>
      <c r="G356" s="5" t="str">
        <f>_xlfn.XLOOKUP($N356,'Base de Grupos'!$A:$A,'Base de Grupos'!$I:$I)</f>
        <v>REGIONAL VENDA DIRETA SUDESTE</v>
      </c>
      <c r="H356" s="5" t="str">
        <f>_xlfn.XLOOKUP($N356,'Base de Grupos'!$A:$A,'Base de Grupos'!$J:$J)</f>
        <v>1000105899</v>
      </c>
      <c r="I356" s="2" t="str">
        <f>_xlfn.XLOOKUP($N356,'Base de Grupos'!$A:$A,'Base de Grupos'!$K:$K)</f>
        <v>REGIONAL VENDA DIRETA SUDESTE</v>
      </c>
      <c r="J356" s="2" t="str">
        <f>_xlfn.XLOOKUP($N356,'Base de Grupos'!$A:$A,'Base de Grupos'!$L:$L)</f>
        <v>1000150135</v>
      </c>
      <c r="K356" s="5" t="str">
        <f>_xlfn.XLOOKUP($N356,'Base de Grupos'!$A:$A,'Base de Grupos'!$M:$M)</f>
        <v>HELDER DA SILVA BRUNKOW</v>
      </c>
      <c r="L356" s="5" t="str">
        <f t="shared" si="153"/>
        <v/>
      </c>
      <c r="M356" s="5" t="str">
        <f>_xlfn.XLOOKUP($N356,'Base de Grupos'!$A:$A,'Base de Grupos'!$C:$C)</f>
        <v>RJ</v>
      </c>
      <c r="N356" s="3">
        <v>1358</v>
      </c>
      <c r="O356" s="4" t="s">
        <v>243</v>
      </c>
      <c r="P356" s="5" t="s">
        <v>88</v>
      </c>
      <c r="Q356" s="24">
        <v>0</v>
      </c>
      <c r="R356" s="24">
        <v>0</v>
      </c>
      <c r="S356" s="24">
        <v>0</v>
      </c>
      <c r="T356" s="24">
        <v>0</v>
      </c>
      <c r="U356" s="24">
        <v>0</v>
      </c>
      <c r="V356" s="24">
        <v>0</v>
      </c>
      <c r="W356" s="24">
        <v>0</v>
      </c>
      <c r="X356" s="24">
        <v>0</v>
      </c>
      <c r="Y356" s="24">
        <v>0</v>
      </c>
      <c r="Z356" s="24">
        <v>0</v>
      </c>
      <c r="AA356" s="24">
        <v>0</v>
      </c>
      <c r="AB356" s="24">
        <v>0</v>
      </c>
      <c r="AC356" s="30">
        <f t="shared" ref="AC356:AC376" si="171">SUM(T356:AB356)</f>
        <v>0</v>
      </c>
      <c r="AD356" s="27">
        <f t="shared" si="165"/>
        <v>0</v>
      </c>
      <c r="AE356" s="25">
        <f>IFERROR(_xlfn.XLOOKUP(N356&amp;P356,'Historico Vendas'!G:G,'Historico Vendas'!E:E),0)</f>
        <v>0</v>
      </c>
      <c r="AF356" s="29" t="str">
        <f t="shared" si="154"/>
        <v/>
      </c>
      <c r="AG356" s="24">
        <f>IFERROR(_xlfn.XLOOKUP(N356&amp;P356,'Historico Vendas'!G:G,'Historico Vendas'!F:F),0)</f>
        <v>0</v>
      </c>
      <c r="AH356" s="25">
        <f t="shared" si="166"/>
        <v>0</v>
      </c>
      <c r="AI356" s="24">
        <f t="shared" si="167"/>
        <v>0</v>
      </c>
      <c r="AJ356" s="11" t="str">
        <f t="shared" si="155"/>
        <v/>
      </c>
      <c r="AK356" s="9" t="s">
        <v>102</v>
      </c>
      <c r="AL356" s="13">
        <f>IFERROR(INDEX('Balizador da Meta'!$D$3:$F$23,MATCH(Quantidade!$P356,'Balizador da Meta'!$C$3:$C$23,0),MATCH(Quantidade!AK356,'Balizador da Meta'!$D$2:$F$2,0)),"")</f>
        <v>0</v>
      </c>
      <c r="AM356" s="9"/>
    </row>
    <row r="357" spans="1:39" x14ac:dyDescent="0.3">
      <c r="A357" s="2" t="str">
        <f t="shared" si="152"/>
        <v>NÃO</v>
      </c>
      <c r="B357" s="2" t="str">
        <f>_xlfn.XLOOKUP($N357,'Base de Grupos'!$A:$A,'Base de Grupos'!$D:$D)</f>
        <v>1000065763</v>
      </c>
      <c r="C357" s="5" t="str">
        <f>_xlfn.XLOOKUP($N357,'Base de Grupos'!$A:$A,'Base de Grupos'!$E:$E)</f>
        <v>CANAL VENDA INTERNA</v>
      </c>
      <c r="D357" s="5" t="str">
        <f>_xlfn.XLOOKUP($N357,'Base de Grupos'!$A:$A,'Base de Grupos'!$F:$F)</f>
        <v>1000065763</v>
      </c>
      <c r="E357" s="2" t="str">
        <f>_xlfn.XLOOKUP($N357,'Base de Grupos'!$A:$A,'Base de Grupos'!$G:$G)</f>
        <v>CANAL VENDA INTERNA</v>
      </c>
      <c r="F357" s="2" t="str">
        <f>_xlfn.XLOOKUP($N357,'Base de Grupos'!$A:$A,'Base de Grupos'!$H:$H)</f>
        <v>1000105899</v>
      </c>
      <c r="G357" s="5" t="str">
        <f>_xlfn.XLOOKUP($N357,'Base de Grupos'!$A:$A,'Base de Grupos'!$I:$I)</f>
        <v>REGIONAL VENDA DIRETA SUDESTE</v>
      </c>
      <c r="H357" s="5" t="str">
        <f>_xlfn.XLOOKUP($N357,'Base de Grupos'!$A:$A,'Base de Grupos'!$J:$J)</f>
        <v>1000105899</v>
      </c>
      <c r="I357" s="2" t="str">
        <f>_xlfn.XLOOKUP($N357,'Base de Grupos'!$A:$A,'Base de Grupos'!$K:$K)</f>
        <v>REGIONAL VENDA DIRETA SUDESTE</v>
      </c>
      <c r="J357" s="2" t="str">
        <f>_xlfn.XLOOKUP($N357,'Base de Grupos'!$A:$A,'Base de Grupos'!$L:$L)</f>
        <v>1000150135</v>
      </c>
      <c r="K357" s="5" t="str">
        <f>_xlfn.XLOOKUP($N357,'Base de Grupos'!$A:$A,'Base de Grupos'!$M:$M)</f>
        <v>HELDER DA SILVA BRUNKOW</v>
      </c>
      <c r="L357" s="5" t="str">
        <f t="shared" si="153"/>
        <v/>
      </c>
      <c r="M357" s="5" t="str">
        <f>_xlfn.XLOOKUP($N357,'Base de Grupos'!$A:$A,'Base de Grupos'!$C:$C)</f>
        <v>RJ</v>
      </c>
      <c r="N357" s="3">
        <v>1358</v>
      </c>
      <c r="O357" s="4" t="s">
        <v>243</v>
      </c>
      <c r="P357" s="5" t="s">
        <v>90</v>
      </c>
      <c r="Q357" s="24">
        <v>0</v>
      </c>
      <c r="R357" s="24">
        <v>0</v>
      </c>
      <c r="S357" s="24">
        <v>0</v>
      </c>
      <c r="T357" s="24">
        <v>0</v>
      </c>
      <c r="U357" s="24">
        <v>0</v>
      </c>
      <c r="V357" s="24">
        <v>0</v>
      </c>
      <c r="W357" s="24">
        <v>0</v>
      </c>
      <c r="X357" s="24">
        <v>0</v>
      </c>
      <c r="Y357" s="24">
        <v>0</v>
      </c>
      <c r="Z357" s="24">
        <v>0</v>
      </c>
      <c r="AA357" s="24">
        <v>0</v>
      </c>
      <c r="AB357" s="24">
        <v>0</v>
      </c>
      <c r="AC357" s="30">
        <f t="shared" si="171"/>
        <v>0</v>
      </c>
      <c r="AD357" s="27">
        <f t="shared" si="165"/>
        <v>0</v>
      </c>
      <c r="AE357" s="25">
        <f>IFERROR(_xlfn.XLOOKUP(N357&amp;P357,'Historico Vendas'!G:G,'Historico Vendas'!E:E),0)</f>
        <v>0</v>
      </c>
      <c r="AF357" s="29" t="str">
        <f t="shared" si="154"/>
        <v/>
      </c>
      <c r="AG357" s="24">
        <f>IFERROR(_xlfn.XLOOKUP(N357&amp;P357,'Historico Vendas'!G:G,'Historico Vendas'!F:F),0)</f>
        <v>0</v>
      </c>
      <c r="AH357" s="25">
        <f t="shared" si="166"/>
        <v>0</v>
      </c>
      <c r="AI357" s="24">
        <f t="shared" si="167"/>
        <v>0</v>
      </c>
      <c r="AJ357" s="11" t="str">
        <f t="shared" si="155"/>
        <v/>
      </c>
      <c r="AK357" s="9" t="s">
        <v>102</v>
      </c>
      <c r="AL357" s="13">
        <f>IFERROR(INDEX('Balizador da Meta'!$D$3:$F$23,MATCH(Quantidade!$P357,'Balizador da Meta'!$C$3:$C$23,0),MATCH(Quantidade!AK357,'Balizador da Meta'!$D$2:$F$2,0)),"")</f>
        <v>0</v>
      </c>
      <c r="AM357" s="9"/>
    </row>
    <row r="358" spans="1:39" x14ac:dyDescent="0.3">
      <c r="A358" s="2" t="str">
        <f t="shared" si="152"/>
        <v>NÃO</v>
      </c>
      <c r="B358" s="2" t="str">
        <f>_xlfn.XLOOKUP($N358,'Base de Grupos'!$A:$A,'Base de Grupos'!$D:$D)</f>
        <v>1000065763</v>
      </c>
      <c r="C358" s="5" t="str">
        <f>_xlfn.XLOOKUP($N358,'Base de Grupos'!$A:$A,'Base de Grupos'!$E:$E)</f>
        <v>CANAL VENDA INTERNA</v>
      </c>
      <c r="D358" s="5" t="str">
        <f>_xlfn.XLOOKUP($N358,'Base de Grupos'!$A:$A,'Base de Grupos'!$F:$F)</f>
        <v>1000065763</v>
      </c>
      <c r="E358" s="2" t="str">
        <f>_xlfn.XLOOKUP($N358,'Base de Grupos'!$A:$A,'Base de Grupos'!$G:$G)</f>
        <v>CANAL VENDA INTERNA</v>
      </c>
      <c r="F358" s="2" t="str">
        <f>_xlfn.XLOOKUP($N358,'Base de Grupos'!$A:$A,'Base de Grupos'!$H:$H)</f>
        <v>1000105899</v>
      </c>
      <c r="G358" s="5" t="str">
        <f>_xlfn.XLOOKUP($N358,'Base de Grupos'!$A:$A,'Base de Grupos'!$I:$I)</f>
        <v>REGIONAL VENDA DIRETA SUDESTE</v>
      </c>
      <c r="H358" s="5" t="str">
        <f>_xlfn.XLOOKUP($N358,'Base de Grupos'!$A:$A,'Base de Grupos'!$J:$J)</f>
        <v>1000105899</v>
      </c>
      <c r="I358" s="2" t="str">
        <f>_xlfn.XLOOKUP($N358,'Base de Grupos'!$A:$A,'Base de Grupos'!$K:$K)</f>
        <v>REGIONAL VENDA DIRETA SUDESTE</v>
      </c>
      <c r="J358" s="2" t="str">
        <f>_xlfn.XLOOKUP($N358,'Base de Grupos'!$A:$A,'Base de Grupos'!$L:$L)</f>
        <v>1000150135</v>
      </c>
      <c r="K358" s="5" t="str">
        <f>_xlfn.XLOOKUP($N358,'Base de Grupos'!$A:$A,'Base de Grupos'!$M:$M)</f>
        <v>HELDER DA SILVA BRUNKOW</v>
      </c>
      <c r="L358" s="5" t="str">
        <f t="shared" si="153"/>
        <v/>
      </c>
      <c r="M358" s="5" t="str">
        <f>_xlfn.XLOOKUP($N358,'Base de Grupos'!$A:$A,'Base de Grupos'!$C:$C)</f>
        <v>RJ</v>
      </c>
      <c r="N358" s="3">
        <v>1358</v>
      </c>
      <c r="O358" s="4" t="s">
        <v>243</v>
      </c>
      <c r="P358" s="5" t="s">
        <v>91</v>
      </c>
      <c r="Q358" s="24">
        <v>0</v>
      </c>
      <c r="R358" s="24">
        <v>0</v>
      </c>
      <c r="S358" s="24">
        <v>0</v>
      </c>
      <c r="T358" s="24">
        <v>0</v>
      </c>
      <c r="U358" s="24">
        <v>0</v>
      </c>
      <c r="V358" s="24">
        <v>0</v>
      </c>
      <c r="W358" s="24">
        <v>0</v>
      </c>
      <c r="X358" s="24">
        <v>0</v>
      </c>
      <c r="Y358" s="24">
        <v>0</v>
      </c>
      <c r="Z358" s="24">
        <v>0</v>
      </c>
      <c r="AA358" s="24">
        <v>0</v>
      </c>
      <c r="AB358" s="24">
        <v>0</v>
      </c>
      <c r="AC358" s="30">
        <f t="shared" si="171"/>
        <v>0</v>
      </c>
      <c r="AD358" s="27">
        <f t="shared" si="165"/>
        <v>0</v>
      </c>
      <c r="AE358" s="25">
        <f>IFERROR(_xlfn.XLOOKUP(N358&amp;P358,'Historico Vendas'!G:G,'Historico Vendas'!E:E),0)</f>
        <v>0</v>
      </c>
      <c r="AF358" s="29" t="str">
        <f t="shared" si="154"/>
        <v/>
      </c>
      <c r="AG358" s="24">
        <f>IFERROR(_xlfn.XLOOKUP(N358&amp;P358,'Historico Vendas'!G:G,'Historico Vendas'!F:F),0)</f>
        <v>0</v>
      </c>
      <c r="AH358" s="25">
        <f t="shared" si="166"/>
        <v>0</v>
      </c>
      <c r="AI358" s="24">
        <f t="shared" si="167"/>
        <v>0</v>
      </c>
      <c r="AJ358" s="11" t="str">
        <f t="shared" si="155"/>
        <v/>
      </c>
      <c r="AK358" s="9" t="s">
        <v>102</v>
      </c>
      <c r="AL358" s="13">
        <f>IFERROR(INDEX('Balizador da Meta'!$D$3:$F$23,MATCH(Quantidade!$P358,'Balizador da Meta'!$C$3:$C$23,0),MATCH(Quantidade!AK358,'Balizador da Meta'!$D$2:$F$2,0)),"")</f>
        <v>0</v>
      </c>
      <c r="AM358" s="9"/>
    </row>
    <row r="359" spans="1:39" x14ac:dyDescent="0.3">
      <c r="A359" s="2" t="str">
        <f t="shared" si="152"/>
        <v>NÃO</v>
      </c>
      <c r="B359" s="2" t="str">
        <f>_xlfn.XLOOKUP($N359,'Base de Grupos'!$A:$A,'Base de Grupos'!$D:$D)</f>
        <v>1000065763</v>
      </c>
      <c r="C359" s="5" t="str">
        <f>_xlfn.XLOOKUP($N359,'Base de Grupos'!$A:$A,'Base de Grupos'!$E:$E)</f>
        <v>CANAL VENDA INTERNA</v>
      </c>
      <c r="D359" s="5" t="str">
        <f>_xlfn.XLOOKUP($N359,'Base de Grupos'!$A:$A,'Base de Grupos'!$F:$F)</f>
        <v>1000065763</v>
      </c>
      <c r="E359" s="2" t="str">
        <f>_xlfn.XLOOKUP($N359,'Base de Grupos'!$A:$A,'Base de Grupos'!$G:$G)</f>
        <v>CANAL VENDA INTERNA</v>
      </c>
      <c r="F359" s="2" t="str">
        <f>_xlfn.XLOOKUP($N359,'Base de Grupos'!$A:$A,'Base de Grupos'!$H:$H)</f>
        <v>1000105899</v>
      </c>
      <c r="G359" s="5" t="str">
        <f>_xlfn.XLOOKUP($N359,'Base de Grupos'!$A:$A,'Base de Grupos'!$I:$I)</f>
        <v>REGIONAL VENDA DIRETA SUDESTE</v>
      </c>
      <c r="H359" s="5" t="str">
        <f>_xlfn.XLOOKUP($N359,'Base de Grupos'!$A:$A,'Base de Grupos'!$J:$J)</f>
        <v>1000105899</v>
      </c>
      <c r="I359" s="2" t="str">
        <f>_xlfn.XLOOKUP($N359,'Base de Grupos'!$A:$A,'Base de Grupos'!$K:$K)</f>
        <v>REGIONAL VENDA DIRETA SUDESTE</v>
      </c>
      <c r="J359" s="2" t="str">
        <f>_xlfn.XLOOKUP($N359,'Base de Grupos'!$A:$A,'Base de Grupos'!$L:$L)</f>
        <v>1000150135</v>
      </c>
      <c r="K359" s="5" t="str">
        <f>_xlfn.XLOOKUP($N359,'Base de Grupos'!$A:$A,'Base de Grupos'!$M:$M)</f>
        <v>HELDER DA SILVA BRUNKOW</v>
      </c>
      <c r="L359" s="5" t="str">
        <f t="shared" si="153"/>
        <v/>
      </c>
      <c r="M359" s="5" t="str">
        <f>_xlfn.XLOOKUP($N359,'Base de Grupos'!$A:$A,'Base de Grupos'!$C:$C)</f>
        <v>RJ</v>
      </c>
      <c r="N359" s="3">
        <v>1358</v>
      </c>
      <c r="O359" s="4" t="s">
        <v>243</v>
      </c>
      <c r="P359" s="5" t="s">
        <v>96</v>
      </c>
      <c r="Q359" s="24">
        <v>0</v>
      </c>
      <c r="R359" s="24">
        <v>0</v>
      </c>
      <c r="S359" s="24">
        <v>0</v>
      </c>
      <c r="T359" s="24">
        <v>0</v>
      </c>
      <c r="U359" s="24">
        <v>0</v>
      </c>
      <c r="V359" s="24">
        <v>0</v>
      </c>
      <c r="W359" s="24">
        <v>0</v>
      </c>
      <c r="X359" s="24">
        <v>0</v>
      </c>
      <c r="Y359" s="24">
        <v>0</v>
      </c>
      <c r="Z359" s="24">
        <v>0</v>
      </c>
      <c r="AA359" s="24">
        <v>0</v>
      </c>
      <c r="AB359" s="24">
        <v>0</v>
      </c>
      <c r="AC359" s="30">
        <f t="shared" si="171"/>
        <v>0</v>
      </c>
      <c r="AD359" s="27">
        <f t="shared" si="165"/>
        <v>0</v>
      </c>
      <c r="AE359" s="25">
        <f>IFERROR(_xlfn.XLOOKUP(N359&amp;P359,'Historico Vendas'!G:G,'Historico Vendas'!E:E),0)</f>
        <v>0</v>
      </c>
      <c r="AF359" s="29" t="str">
        <f t="shared" si="154"/>
        <v/>
      </c>
      <c r="AG359" s="24">
        <f>IFERROR(_xlfn.XLOOKUP(N359&amp;P359,'Historico Vendas'!G:G,'Historico Vendas'!F:F),0)</f>
        <v>0</v>
      </c>
      <c r="AH359" s="25">
        <f t="shared" si="166"/>
        <v>0</v>
      </c>
      <c r="AI359" s="24">
        <f t="shared" si="167"/>
        <v>0</v>
      </c>
      <c r="AJ359" s="11" t="str">
        <f t="shared" si="155"/>
        <v/>
      </c>
      <c r="AK359" s="9" t="s">
        <v>102</v>
      </c>
      <c r="AL359" s="13">
        <f>IFERROR(INDEX('Balizador da Meta'!$D$3:$F$23,MATCH(Quantidade!$P359,'Balizador da Meta'!$C$3:$C$23,0),MATCH(Quantidade!AK359,'Balizador da Meta'!$D$2:$F$2,0)),"")</f>
        <v>0</v>
      </c>
      <c r="AM359" s="9"/>
    </row>
    <row r="360" spans="1:39" x14ac:dyDescent="0.3">
      <c r="A360" s="2" t="str">
        <f t="shared" si="152"/>
        <v>NÃO</v>
      </c>
      <c r="B360" s="2" t="str">
        <f>_xlfn.XLOOKUP($N360,'Base de Grupos'!$A:$A,'Base de Grupos'!$D:$D)</f>
        <v>1000065763</v>
      </c>
      <c r="C360" s="5" t="str">
        <f>_xlfn.XLOOKUP($N360,'Base de Grupos'!$A:$A,'Base de Grupos'!$E:$E)</f>
        <v>CANAL VENDA INTERNA</v>
      </c>
      <c r="D360" s="5" t="str">
        <f>_xlfn.XLOOKUP($N360,'Base de Grupos'!$A:$A,'Base de Grupos'!$F:$F)</f>
        <v>1000065763</v>
      </c>
      <c r="E360" s="2" t="str">
        <f>_xlfn.XLOOKUP($N360,'Base de Grupos'!$A:$A,'Base de Grupos'!$G:$G)</f>
        <v>CANAL VENDA INTERNA</v>
      </c>
      <c r="F360" s="2" t="str">
        <f>_xlfn.XLOOKUP($N360,'Base de Grupos'!$A:$A,'Base de Grupos'!$H:$H)</f>
        <v>1000105899</v>
      </c>
      <c r="G360" s="5" t="str">
        <f>_xlfn.XLOOKUP($N360,'Base de Grupos'!$A:$A,'Base de Grupos'!$I:$I)</f>
        <v>REGIONAL VENDA DIRETA SUDESTE</v>
      </c>
      <c r="H360" s="5" t="str">
        <f>_xlfn.XLOOKUP($N360,'Base de Grupos'!$A:$A,'Base de Grupos'!$J:$J)</f>
        <v>1000105899</v>
      </c>
      <c r="I360" s="2" t="str">
        <f>_xlfn.XLOOKUP($N360,'Base de Grupos'!$A:$A,'Base de Grupos'!$K:$K)</f>
        <v>REGIONAL VENDA DIRETA SUDESTE</v>
      </c>
      <c r="J360" s="2" t="str">
        <f>_xlfn.XLOOKUP($N360,'Base de Grupos'!$A:$A,'Base de Grupos'!$L:$L)</f>
        <v>1000150135</v>
      </c>
      <c r="K360" s="5" t="str">
        <f>_xlfn.XLOOKUP($N360,'Base de Grupos'!$A:$A,'Base de Grupos'!$M:$M)</f>
        <v>HELDER DA SILVA BRUNKOW</v>
      </c>
      <c r="L360" s="5" t="str">
        <f t="shared" si="153"/>
        <v/>
      </c>
      <c r="M360" s="5" t="str">
        <f>_xlfn.XLOOKUP($N360,'Base de Grupos'!$A:$A,'Base de Grupos'!$C:$C)</f>
        <v>RJ</v>
      </c>
      <c r="N360" s="3">
        <v>1358</v>
      </c>
      <c r="O360" s="4" t="s">
        <v>243</v>
      </c>
      <c r="P360" s="5" t="s">
        <v>94</v>
      </c>
      <c r="Q360" s="24">
        <v>0</v>
      </c>
      <c r="R360" s="24">
        <v>0</v>
      </c>
      <c r="S360" s="24">
        <v>0</v>
      </c>
      <c r="T360" s="24">
        <v>0</v>
      </c>
      <c r="U360" s="24">
        <v>0</v>
      </c>
      <c r="V360" s="24">
        <v>0</v>
      </c>
      <c r="W360" s="24">
        <v>0</v>
      </c>
      <c r="X360" s="24">
        <v>0</v>
      </c>
      <c r="Y360" s="24">
        <v>0</v>
      </c>
      <c r="Z360" s="24">
        <v>0</v>
      </c>
      <c r="AA360" s="24">
        <v>0</v>
      </c>
      <c r="AB360" s="24">
        <v>0</v>
      </c>
      <c r="AC360" s="30">
        <f t="shared" si="171"/>
        <v>0</v>
      </c>
      <c r="AD360" s="27">
        <f t="shared" si="165"/>
        <v>0</v>
      </c>
      <c r="AE360" s="25">
        <f>IFERROR(_xlfn.XLOOKUP(N360&amp;P360,'Historico Vendas'!G:G,'Historico Vendas'!E:E),0)</f>
        <v>0</v>
      </c>
      <c r="AF360" s="29" t="str">
        <f t="shared" si="154"/>
        <v/>
      </c>
      <c r="AG360" s="24">
        <f>IFERROR(_xlfn.XLOOKUP(N360&amp;P360,'Historico Vendas'!G:G,'Historico Vendas'!F:F),0)</f>
        <v>0</v>
      </c>
      <c r="AH360" s="25">
        <f t="shared" si="166"/>
        <v>0</v>
      </c>
      <c r="AI360" s="24">
        <f t="shared" si="167"/>
        <v>0</v>
      </c>
      <c r="AJ360" s="11" t="str">
        <f t="shared" si="155"/>
        <v/>
      </c>
      <c r="AK360" s="9" t="s">
        <v>102</v>
      </c>
      <c r="AL360" s="13">
        <f>IFERROR(INDEX('Balizador da Meta'!$D$3:$F$23,MATCH(Quantidade!$P360,'Balizador da Meta'!$C$3:$C$23,0),MATCH(Quantidade!AK360,'Balizador da Meta'!$D$2:$F$2,0)),"")</f>
        <v>0.25</v>
      </c>
      <c r="AM360" s="9"/>
    </row>
    <row r="361" spans="1:39" x14ac:dyDescent="0.3">
      <c r="A361" s="2" t="str">
        <f t="shared" si="152"/>
        <v>NÃO</v>
      </c>
      <c r="B361" s="2" t="str">
        <f>_xlfn.XLOOKUP($N361,'Base de Grupos'!$A:$A,'Base de Grupos'!$D:$D)</f>
        <v>1000065763</v>
      </c>
      <c r="C361" s="5" t="str">
        <f>_xlfn.XLOOKUP($N361,'Base de Grupos'!$A:$A,'Base de Grupos'!$E:$E)</f>
        <v>CANAL VENDA INTERNA</v>
      </c>
      <c r="D361" s="5" t="str">
        <f>_xlfn.XLOOKUP($N361,'Base de Grupos'!$A:$A,'Base de Grupos'!$F:$F)</f>
        <v>1000065763</v>
      </c>
      <c r="E361" s="2" t="str">
        <f>_xlfn.XLOOKUP($N361,'Base de Grupos'!$A:$A,'Base de Grupos'!$G:$G)</f>
        <v>CANAL VENDA INTERNA</v>
      </c>
      <c r="F361" s="2" t="str">
        <f>_xlfn.XLOOKUP($N361,'Base de Grupos'!$A:$A,'Base de Grupos'!$H:$H)</f>
        <v>1000105899</v>
      </c>
      <c r="G361" s="5" t="str">
        <f>_xlfn.XLOOKUP($N361,'Base de Grupos'!$A:$A,'Base de Grupos'!$I:$I)</f>
        <v>REGIONAL VENDA DIRETA SUDESTE</v>
      </c>
      <c r="H361" s="5" t="str">
        <f>_xlfn.XLOOKUP($N361,'Base de Grupos'!$A:$A,'Base de Grupos'!$J:$J)</f>
        <v>1000105899</v>
      </c>
      <c r="I361" s="2" t="str">
        <f>_xlfn.XLOOKUP($N361,'Base de Grupos'!$A:$A,'Base de Grupos'!$K:$K)</f>
        <v>REGIONAL VENDA DIRETA SUDESTE</v>
      </c>
      <c r="J361" s="2" t="str">
        <f>_xlfn.XLOOKUP($N361,'Base de Grupos'!$A:$A,'Base de Grupos'!$L:$L)</f>
        <v>1000150135</v>
      </c>
      <c r="K361" s="5" t="str">
        <f>_xlfn.XLOOKUP($N361,'Base de Grupos'!$A:$A,'Base de Grupos'!$M:$M)</f>
        <v>HELDER DA SILVA BRUNKOW</v>
      </c>
      <c r="L361" s="5" t="str">
        <f t="shared" si="153"/>
        <v/>
      </c>
      <c r="M361" s="5" t="str">
        <f>_xlfn.XLOOKUP($N361,'Base de Grupos'!$A:$A,'Base de Grupos'!$C:$C)</f>
        <v>RJ</v>
      </c>
      <c r="N361" s="3">
        <v>1358</v>
      </c>
      <c r="O361" s="4" t="s">
        <v>243</v>
      </c>
      <c r="P361" s="5" t="s">
        <v>95</v>
      </c>
      <c r="Q361" s="24">
        <v>0</v>
      </c>
      <c r="R361" s="24">
        <v>0</v>
      </c>
      <c r="S361" s="24">
        <v>0</v>
      </c>
      <c r="T361" s="24">
        <v>0</v>
      </c>
      <c r="U361" s="24">
        <v>0</v>
      </c>
      <c r="V361" s="24">
        <v>0</v>
      </c>
      <c r="W361" s="24">
        <v>0</v>
      </c>
      <c r="X361" s="24">
        <v>0</v>
      </c>
      <c r="Y361" s="24">
        <v>0</v>
      </c>
      <c r="Z361" s="24">
        <v>0</v>
      </c>
      <c r="AA361" s="24">
        <v>0</v>
      </c>
      <c r="AB361" s="24">
        <v>0</v>
      </c>
      <c r="AC361" s="30">
        <f t="shared" si="171"/>
        <v>0</v>
      </c>
      <c r="AD361" s="27">
        <f t="shared" si="165"/>
        <v>0</v>
      </c>
      <c r="AE361" s="25">
        <f>IFERROR(_xlfn.XLOOKUP(N361&amp;P361,'Historico Vendas'!G:G,'Historico Vendas'!E:E),0)</f>
        <v>0</v>
      </c>
      <c r="AF361" s="29" t="str">
        <f t="shared" si="154"/>
        <v/>
      </c>
      <c r="AG361" s="24">
        <f>IFERROR(_xlfn.XLOOKUP(N361&amp;P361,'Historico Vendas'!G:G,'Historico Vendas'!F:F),0)</f>
        <v>0</v>
      </c>
      <c r="AH361" s="25">
        <f t="shared" si="166"/>
        <v>0</v>
      </c>
      <c r="AI361" s="24">
        <f t="shared" si="167"/>
        <v>0</v>
      </c>
      <c r="AJ361" s="11" t="str">
        <f t="shared" si="155"/>
        <v/>
      </c>
      <c r="AK361" s="9" t="s">
        <v>102</v>
      </c>
      <c r="AL361" s="13">
        <f>IFERROR(INDEX('Balizador da Meta'!$D$3:$F$23,MATCH(Quantidade!$P361,'Balizador da Meta'!$C$3:$C$23,0),MATCH(Quantidade!AK361,'Balizador da Meta'!$D$2:$F$2,0)),"")</f>
        <v>0.25</v>
      </c>
      <c r="AM361" s="9"/>
    </row>
    <row r="362" spans="1:39" x14ac:dyDescent="0.3">
      <c r="A362" s="2" t="str">
        <f t="shared" si="152"/>
        <v>NÃO</v>
      </c>
      <c r="B362" s="2" t="str">
        <f>_xlfn.XLOOKUP($N362,'Base de Grupos'!$A:$A,'Base de Grupos'!$D:$D)</f>
        <v>1000065763</v>
      </c>
      <c r="C362" s="5" t="str">
        <f>_xlfn.XLOOKUP($N362,'Base de Grupos'!$A:$A,'Base de Grupos'!$E:$E)</f>
        <v>CANAL VENDA INTERNA</v>
      </c>
      <c r="D362" s="5" t="str">
        <f>_xlfn.XLOOKUP($N362,'Base de Grupos'!$A:$A,'Base de Grupos'!$F:$F)</f>
        <v>1000065763</v>
      </c>
      <c r="E362" s="2" t="str">
        <f>_xlfn.XLOOKUP($N362,'Base de Grupos'!$A:$A,'Base de Grupos'!$G:$G)</f>
        <v>CANAL VENDA INTERNA</v>
      </c>
      <c r="F362" s="2" t="str">
        <f>_xlfn.XLOOKUP($N362,'Base de Grupos'!$A:$A,'Base de Grupos'!$H:$H)</f>
        <v>1000105899</v>
      </c>
      <c r="G362" s="5" t="str">
        <f>_xlfn.XLOOKUP($N362,'Base de Grupos'!$A:$A,'Base de Grupos'!$I:$I)</f>
        <v>REGIONAL VENDA DIRETA SUDESTE</v>
      </c>
      <c r="H362" s="5" t="str">
        <f>_xlfn.XLOOKUP($N362,'Base de Grupos'!$A:$A,'Base de Grupos'!$J:$J)</f>
        <v>1000105899</v>
      </c>
      <c r="I362" s="2" t="str">
        <f>_xlfn.XLOOKUP($N362,'Base de Grupos'!$A:$A,'Base de Grupos'!$K:$K)</f>
        <v>REGIONAL VENDA DIRETA SUDESTE</v>
      </c>
      <c r="J362" s="2" t="str">
        <f>_xlfn.XLOOKUP($N362,'Base de Grupos'!$A:$A,'Base de Grupos'!$L:$L)</f>
        <v>1000150135</v>
      </c>
      <c r="K362" s="5" t="str">
        <f>_xlfn.XLOOKUP($N362,'Base de Grupos'!$A:$A,'Base de Grupos'!$M:$M)</f>
        <v>HELDER DA SILVA BRUNKOW</v>
      </c>
      <c r="L362" s="5" t="str">
        <f t="shared" si="153"/>
        <v/>
      </c>
      <c r="M362" s="5" t="str">
        <f>_xlfn.XLOOKUP($N362,'Base de Grupos'!$A:$A,'Base de Grupos'!$C:$C)</f>
        <v>RJ</v>
      </c>
      <c r="N362" s="3">
        <v>1358</v>
      </c>
      <c r="O362" s="4" t="s">
        <v>243</v>
      </c>
      <c r="P362" s="5" t="s">
        <v>93</v>
      </c>
      <c r="Q362" s="24">
        <v>0</v>
      </c>
      <c r="R362" s="24">
        <v>0</v>
      </c>
      <c r="S362" s="24">
        <v>0</v>
      </c>
      <c r="T362" s="24">
        <v>0</v>
      </c>
      <c r="U362" s="24">
        <v>0</v>
      </c>
      <c r="V362" s="24">
        <v>0</v>
      </c>
      <c r="W362" s="24">
        <v>0</v>
      </c>
      <c r="X362" s="24">
        <v>0</v>
      </c>
      <c r="Y362" s="24">
        <v>0</v>
      </c>
      <c r="Z362" s="24">
        <v>0</v>
      </c>
      <c r="AA362" s="24">
        <v>0</v>
      </c>
      <c r="AB362" s="24">
        <v>0</v>
      </c>
      <c r="AC362" s="30">
        <f t="shared" si="171"/>
        <v>0</v>
      </c>
      <c r="AD362" s="27">
        <f t="shared" si="165"/>
        <v>0</v>
      </c>
      <c r="AE362" s="25">
        <f>IFERROR(_xlfn.XLOOKUP(N362&amp;P362,'Historico Vendas'!G:G,'Historico Vendas'!E:E),0)</f>
        <v>0</v>
      </c>
      <c r="AF362" s="29" t="str">
        <f t="shared" si="154"/>
        <v/>
      </c>
      <c r="AG362" s="24">
        <f>IFERROR(_xlfn.XLOOKUP(N362&amp;P362,'Historico Vendas'!G:G,'Historico Vendas'!F:F),0)</f>
        <v>0</v>
      </c>
      <c r="AH362" s="25">
        <f t="shared" si="166"/>
        <v>0</v>
      </c>
      <c r="AI362" s="24">
        <f t="shared" si="167"/>
        <v>0</v>
      </c>
      <c r="AJ362" s="11" t="str">
        <f t="shared" si="155"/>
        <v/>
      </c>
      <c r="AK362" s="9" t="s">
        <v>102</v>
      </c>
      <c r="AL362" s="13">
        <f>IFERROR(INDEX('Balizador da Meta'!$D$3:$F$23,MATCH(Quantidade!$P362,'Balizador da Meta'!$C$3:$C$23,0),MATCH(Quantidade!AK362,'Balizador da Meta'!$D$2:$F$2,0)),"")</f>
        <v>0.2</v>
      </c>
      <c r="AM362" s="9"/>
    </row>
    <row r="363" spans="1:39" x14ac:dyDescent="0.3">
      <c r="A363" s="2" t="str">
        <f t="shared" si="152"/>
        <v>SIM</v>
      </c>
      <c r="B363" s="2" t="str">
        <f>_xlfn.XLOOKUP($N363,'Base de Grupos'!$A:$A,'Base de Grupos'!$D:$D)</f>
        <v>1000065763</v>
      </c>
      <c r="C363" s="5" t="str">
        <f>_xlfn.XLOOKUP($N363,'Base de Grupos'!$A:$A,'Base de Grupos'!$E:$E)</f>
        <v>CANAL VENDA INTERNA</v>
      </c>
      <c r="D363" s="5" t="str">
        <f>_xlfn.XLOOKUP($N363,'Base de Grupos'!$A:$A,'Base de Grupos'!$F:$F)</f>
        <v>1000065763</v>
      </c>
      <c r="E363" s="2" t="str">
        <f>_xlfn.XLOOKUP($N363,'Base de Grupos'!$A:$A,'Base de Grupos'!$G:$G)</f>
        <v>CANAL VENDA INTERNA</v>
      </c>
      <c r="F363" s="2" t="str">
        <f>_xlfn.XLOOKUP($N363,'Base de Grupos'!$A:$A,'Base de Grupos'!$H:$H)</f>
        <v>1000105899</v>
      </c>
      <c r="G363" s="5" t="str">
        <f>_xlfn.XLOOKUP($N363,'Base de Grupos'!$A:$A,'Base de Grupos'!$I:$I)</f>
        <v>REGIONAL VENDA DIRETA SUDESTE</v>
      </c>
      <c r="H363" s="5" t="str">
        <f>_xlfn.XLOOKUP($N363,'Base de Grupos'!$A:$A,'Base de Grupos'!$J:$J)</f>
        <v>1000105899</v>
      </c>
      <c r="I363" s="2" t="str">
        <f>_xlfn.XLOOKUP($N363,'Base de Grupos'!$A:$A,'Base de Grupos'!$K:$K)</f>
        <v>REGIONAL VENDA DIRETA SUDESTE</v>
      </c>
      <c r="J363" s="2" t="str">
        <f>_xlfn.XLOOKUP($N363,'Base de Grupos'!$A:$A,'Base de Grupos'!$L:$L)</f>
        <v>1000150135</v>
      </c>
      <c r="K363" s="5" t="str">
        <f>_xlfn.XLOOKUP($N363,'Base de Grupos'!$A:$A,'Base de Grupos'!$M:$M)</f>
        <v>HELDER DA SILVA BRUNKOW</v>
      </c>
      <c r="L363" s="5">
        <f t="shared" si="153"/>
        <v>1</v>
      </c>
      <c r="M363" s="5" t="str">
        <f>_xlfn.XLOOKUP($N363,'Base de Grupos'!$A:$A,'Base de Grupos'!$C:$C)</f>
        <v>MG</v>
      </c>
      <c r="N363" s="3">
        <v>1359</v>
      </c>
      <c r="O363" s="4" t="s">
        <v>244</v>
      </c>
      <c r="P363" s="5" t="s">
        <v>314</v>
      </c>
      <c r="Q363" s="24">
        <v>0</v>
      </c>
      <c r="R363" s="24">
        <v>0</v>
      </c>
      <c r="S363" s="24">
        <v>0</v>
      </c>
      <c r="T363" s="24">
        <v>0</v>
      </c>
      <c r="U363" s="24">
        <v>0</v>
      </c>
      <c r="V363" s="24">
        <v>0</v>
      </c>
      <c r="W363" s="24">
        <v>0</v>
      </c>
      <c r="X363" s="24">
        <v>0</v>
      </c>
      <c r="Y363" s="24">
        <v>0</v>
      </c>
      <c r="Z363" s="24">
        <v>0</v>
      </c>
      <c r="AA363" s="24">
        <v>0</v>
      </c>
      <c r="AB363" s="24">
        <v>0</v>
      </c>
      <c r="AC363" s="30">
        <f t="shared" si="171"/>
        <v>0</v>
      </c>
      <c r="AD363" s="25">
        <f t="shared" ref="AD363:AI363" si="172">SUM(AD364:AD380)</f>
        <v>0</v>
      </c>
      <c r="AE363" s="25">
        <f t="shared" si="172"/>
        <v>0</v>
      </c>
      <c r="AF363" s="11" t="str">
        <f t="shared" si="154"/>
        <v/>
      </c>
      <c r="AG363" s="24">
        <f t="shared" si="172"/>
        <v>0</v>
      </c>
      <c r="AH363" s="25">
        <f t="shared" si="172"/>
        <v>0</v>
      </c>
      <c r="AI363" s="24">
        <f t="shared" si="172"/>
        <v>0</v>
      </c>
      <c r="AJ363" s="11" t="str">
        <f t="shared" si="155"/>
        <v/>
      </c>
      <c r="AK363" s="9"/>
      <c r="AL363" s="13"/>
      <c r="AM363" s="9"/>
    </row>
    <row r="364" spans="1:39" x14ac:dyDescent="0.3">
      <c r="A364" s="2" t="str">
        <f t="shared" si="152"/>
        <v>NÃO</v>
      </c>
      <c r="B364" s="2" t="str">
        <f>_xlfn.XLOOKUP($N364,'Base de Grupos'!$A:$A,'Base de Grupos'!$D:$D)</f>
        <v>1000065763</v>
      </c>
      <c r="C364" s="5" t="str">
        <f>_xlfn.XLOOKUP($N364,'Base de Grupos'!$A:$A,'Base de Grupos'!$E:$E)</f>
        <v>CANAL VENDA INTERNA</v>
      </c>
      <c r="D364" s="5" t="str">
        <f>_xlfn.XLOOKUP($N364,'Base de Grupos'!$A:$A,'Base de Grupos'!$F:$F)</f>
        <v>1000065763</v>
      </c>
      <c r="E364" s="2" t="str">
        <f>_xlfn.XLOOKUP($N364,'Base de Grupos'!$A:$A,'Base de Grupos'!$G:$G)</f>
        <v>CANAL VENDA INTERNA</v>
      </c>
      <c r="F364" s="2" t="str">
        <f>_xlfn.XLOOKUP($N364,'Base de Grupos'!$A:$A,'Base de Grupos'!$H:$H)</f>
        <v>1000105899</v>
      </c>
      <c r="G364" s="5" t="str">
        <f>_xlfn.XLOOKUP($N364,'Base de Grupos'!$A:$A,'Base de Grupos'!$I:$I)</f>
        <v>REGIONAL VENDA DIRETA SUDESTE</v>
      </c>
      <c r="H364" s="5" t="str">
        <f>_xlfn.XLOOKUP($N364,'Base de Grupos'!$A:$A,'Base de Grupos'!$J:$J)</f>
        <v>1000105899</v>
      </c>
      <c r="I364" s="2" t="str">
        <f>_xlfn.XLOOKUP($N364,'Base de Grupos'!$A:$A,'Base de Grupos'!$K:$K)</f>
        <v>REGIONAL VENDA DIRETA SUDESTE</v>
      </c>
      <c r="J364" s="2" t="str">
        <f>_xlfn.XLOOKUP($N364,'Base de Grupos'!$A:$A,'Base de Grupos'!$L:$L)</f>
        <v>1000150135</v>
      </c>
      <c r="K364" s="5" t="str">
        <f>_xlfn.XLOOKUP($N364,'Base de Grupos'!$A:$A,'Base de Grupos'!$M:$M)</f>
        <v>HELDER DA SILVA BRUNKOW</v>
      </c>
      <c r="L364" s="5" t="str">
        <f t="shared" si="153"/>
        <v/>
      </c>
      <c r="M364" s="5" t="str">
        <f>_xlfn.XLOOKUP($N364,'Base de Grupos'!$A:$A,'Base de Grupos'!$C:$C)</f>
        <v>MG</v>
      </c>
      <c r="N364" s="3">
        <v>1359</v>
      </c>
      <c r="O364" s="4" t="s">
        <v>244</v>
      </c>
      <c r="P364" s="5" t="s">
        <v>81</v>
      </c>
      <c r="Q364" s="24">
        <v>0</v>
      </c>
      <c r="R364" s="24">
        <v>0</v>
      </c>
      <c r="S364" s="24">
        <v>0</v>
      </c>
      <c r="T364" s="24">
        <v>0</v>
      </c>
      <c r="U364" s="24">
        <v>0</v>
      </c>
      <c r="V364" s="24">
        <v>0</v>
      </c>
      <c r="W364" s="24">
        <v>0</v>
      </c>
      <c r="X364" s="24">
        <v>0</v>
      </c>
      <c r="Y364" s="24">
        <v>0</v>
      </c>
      <c r="Z364" s="24">
        <v>0</v>
      </c>
      <c r="AA364" s="24">
        <v>0</v>
      </c>
      <c r="AB364" s="24">
        <v>0</v>
      </c>
      <c r="AC364" s="30">
        <f t="shared" si="171"/>
        <v>0</v>
      </c>
      <c r="AD364" s="27">
        <f t="shared" ref="AD364:AD380" si="173">IF(AC364=0,0,AC364-AG364)</f>
        <v>0</v>
      </c>
      <c r="AE364" s="25">
        <f>IFERROR(_xlfn.XLOOKUP(N364&amp;P364,'Historico Vendas'!G:G,'Historico Vendas'!E:E),0)</f>
        <v>0</v>
      </c>
      <c r="AF364" s="29" t="str">
        <f t="shared" si="154"/>
        <v/>
      </c>
      <c r="AG364" s="24">
        <f>IFERROR(_xlfn.XLOOKUP(N364&amp;P364,'Historico Vendas'!G:G,'Historico Vendas'!F:F),0)</f>
        <v>0</v>
      </c>
      <c r="AH364" s="25">
        <f t="shared" ref="AH364:AH380" si="174">SUM(Q364:S364)</f>
        <v>0</v>
      </c>
      <c r="AI364" s="24">
        <f t="shared" ref="AI364:AI380" si="175">AH364-AG364</f>
        <v>0</v>
      </c>
      <c r="AJ364" s="11" t="str">
        <f t="shared" si="155"/>
        <v/>
      </c>
      <c r="AK364" s="9" t="s">
        <v>102</v>
      </c>
      <c r="AL364" s="13">
        <f>IFERROR(INDEX('Balizador da Meta'!$D$3:$F$23,MATCH(Quantidade!$P364,'Balizador da Meta'!$C$3:$C$23,0),MATCH(Quantidade!AK364,'Balizador da Meta'!$D$2:$F$2,0)),"")</f>
        <v>0.2</v>
      </c>
      <c r="AM364" s="9"/>
    </row>
    <row r="365" spans="1:39" x14ac:dyDescent="0.3">
      <c r="A365" s="2" t="str">
        <f t="shared" si="152"/>
        <v>NÃO</v>
      </c>
      <c r="B365" s="2" t="str">
        <f>_xlfn.XLOOKUP($N365,'Base de Grupos'!$A:$A,'Base de Grupos'!$D:$D)</f>
        <v>1000065763</v>
      </c>
      <c r="C365" s="5" t="str">
        <f>_xlfn.XLOOKUP($N365,'Base de Grupos'!$A:$A,'Base de Grupos'!$E:$E)</f>
        <v>CANAL VENDA INTERNA</v>
      </c>
      <c r="D365" s="5" t="str">
        <f>_xlfn.XLOOKUP($N365,'Base de Grupos'!$A:$A,'Base de Grupos'!$F:$F)</f>
        <v>1000065763</v>
      </c>
      <c r="E365" s="2" t="str">
        <f>_xlfn.XLOOKUP($N365,'Base de Grupos'!$A:$A,'Base de Grupos'!$G:$G)</f>
        <v>CANAL VENDA INTERNA</v>
      </c>
      <c r="F365" s="2" t="str">
        <f>_xlfn.XLOOKUP($N365,'Base de Grupos'!$A:$A,'Base de Grupos'!$H:$H)</f>
        <v>1000105899</v>
      </c>
      <c r="G365" s="5" t="str">
        <f>_xlfn.XLOOKUP($N365,'Base de Grupos'!$A:$A,'Base de Grupos'!$I:$I)</f>
        <v>REGIONAL VENDA DIRETA SUDESTE</v>
      </c>
      <c r="H365" s="5" t="str">
        <f>_xlfn.XLOOKUP($N365,'Base de Grupos'!$A:$A,'Base de Grupos'!$J:$J)</f>
        <v>1000105899</v>
      </c>
      <c r="I365" s="2" t="str">
        <f>_xlfn.XLOOKUP($N365,'Base de Grupos'!$A:$A,'Base de Grupos'!$K:$K)</f>
        <v>REGIONAL VENDA DIRETA SUDESTE</v>
      </c>
      <c r="J365" s="2" t="str">
        <f>_xlfn.XLOOKUP($N365,'Base de Grupos'!$A:$A,'Base de Grupos'!$L:$L)</f>
        <v>1000150135</v>
      </c>
      <c r="K365" s="5" t="str">
        <f>_xlfn.XLOOKUP($N365,'Base de Grupos'!$A:$A,'Base de Grupos'!$M:$M)</f>
        <v>HELDER DA SILVA BRUNKOW</v>
      </c>
      <c r="L365" s="5" t="str">
        <f t="shared" si="153"/>
        <v/>
      </c>
      <c r="M365" s="5" t="str">
        <f>_xlfn.XLOOKUP($N365,'Base de Grupos'!$A:$A,'Base de Grupos'!$C:$C)</f>
        <v>MG</v>
      </c>
      <c r="N365" s="3">
        <v>1359</v>
      </c>
      <c r="O365" s="4" t="s">
        <v>244</v>
      </c>
      <c r="P365" s="5" t="s">
        <v>82</v>
      </c>
      <c r="Q365" s="24">
        <v>0</v>
      </c>
      <c r="R365" s="24">
        <v>0</v>
      </c>
      <c r="S365" s="24">
        <v>0</v>
      </c>
      <c r="T365" s="24">
        <v>0</v>
      </c>
      <c r="U365" s="24">
        <v>0</v>
      </c>
      <c r="V365" s="24">
        <v>0</v>
      </c>
      <c r="W365" s="24">
        <v>0</v>
      </c>
      <c r="X365" s="24">
        <v>0</v>
      </c>
      <c r="Y365" s="24">
        <v>0</v>
      </c>
      <c r="Z365" s="24">
        <v>0</v>
      </c>
      <c r="AA365" s="24">
        <v>0</v>
      </c>
      <c r="AB365" s="24">
        <v>0</v>
      </c>
      <c r="AC365" s="30">
        <f t="shared" si="171"/>
        <v>0</v>
      </c>
      <c r="AD365" s="27">
        <f t="shared" si="173"/>
        <v>0</v>
      </c>
      <c r="AE365" s="25">
        <f>IFERROR(_xlfn.XLOOKUP(N365&amp;P365,'Historico Vendas'!G:G,'Historico Vendas'!E:E),0)</f>
        <v>0</v>
      </c>
      <c r="AF365" s="29" t="str">
        <f t="shared" si="154"/>
        <v/>
      </c>
      <c r="AG365" s="24">
        <f>IFERROR(_xlfn.XLOOKUP(N365&amp;P365,'Historico Vendas'!G:G,'Historico Vendas'!F:F),0)</f>
        <v>0</v>
      </c>
      <c r="AH365" s="25">
        <f t="shared" si="174"/>
        <v>0</v>
      </c>
      <c r="AI365" s="24">
        <f t="shared" si="175"/>
        <v>0</v>
      </c>
      <c r="AJ365" s="11" t="str">
        <f t="shared" si="155"/>
        <v/>
      </c>
      <c r="AK365" s="9" t="s">
        <v>102</v>
      </c>
      <c r="AL365" s="13">
        <f>IFERROR(INDEX('Balizador da Meta'!$D$3:$F$23,MATCH(Quantidade!$P365,'Balizador da Meta'!$C$3:$C$23,0),MATCH(Quantidade!AK365,'Balizador da Meta'!$D$2:$F$2,0)),"")</f>
        <v>0.2</v>
      </c>
      <c r="AM365" s="9"/>
    </row>
    <row r="366" spans="1:39" x14ac:dyDescent="0.3">
      <c r="A366" s="2" t="str">
        <f t="shared" si="152"/>
        <v>NÃO</v>
      </c>
      <c r="B366" s="2" t="str">
        <f>_xlfn.XLOOKUP($N366,'Base de Grupos'!$A:$A,'Base de Grupos'!$D:$D)</f>
        <v>1000065763</v>
      </c>
      <c r="C366" s="5" t="str">
        <f>_xlfn.XLOOKUP($N366,'Base de Grupos'!$A:$A,'Base de Grupos'!$E:$E)</f>
        <v>CANAL VENDA INTERNA</v>
      </c>
      <c r="D366" s="5" t="str">
        <f>_xlfn.XLOOKUP($N366,'Base de Grupos'!$A:$A,'Base de Grupos'!$F:$F)</f>
        <v>1000065763</v>
      </c>
      <c r="E366" s="2" t="str">
        <f>_xlfn.XLOOKUP($N366,'Base de Grupos'!$A:$A,'Base de Grupos'!$G:$G)</f>
        <v>CANAL VENDA INTERNA</v>
      </c>
      <c r="F366" s="2" t="str">
        <f>_xlfn.XLOOKUP($N366,'Base de Grupos'!$A:$A,'Base de Grupos'!$H:$H)</f>
        <v>1000105899</v>
      </c>
      <c r="G366" s="5" t="str">
        <f>_xlfn.XLOOKUP($N366,'Base de Grupos'!$A:$A,'Base de Grupos'!$I:$I)</f>
        <v>REGIONAL VENDA DIRETA SUDESTE</v>
      </c>
      <c r="H366" s="5" t="str">
        <f>_xlfn.XLOOKUP($N366,'Base de Grupos'!$A:$A,'Base de Grupos'!$J:$J)</f>
        <v>1000105899</v>
      </c>
      <c r="I366" s="2" t="str">
        <f>_xlfn.XLOOKUP($N366,'Base de Grupos'!$A:$A,'Base de Grupos'!$K:$K)</f>
        <v>REGIONAL VENDA DIRETA SUDESTE</v>
      </c>
      <c r="J366" s="2" t="str">
        <f>_xlfn.XLOOKUP($N366,'Base de Grupos'!$A:$A,'Base de Grupos'!$L:$L)</f>
        <v>1000150135</v>
      </c>
      <c r="K366" s="5" t="str">
        <f>_xlfn.XLOOKUP($N366,'Base de Grupos'!$A:$A,'Base de Grupos'!$M:$M)</f>
        <v>HELDER DA SILVA BRUNKOW</v>
      </c>
      <c r="L366" s="5" t="str">
        <f t="shared" si="153"/>
        <v/>
      </c>
      <c r="M366" s="5" t="str">
        <f>_xlfn.XLOOKUP($N366,'Base de Grupos'!$A:$A,'Base de Grupos'!$C:$C)</f>
        <v>MG</v>
      </c>
      <c r="N366" s="3">
        <v>1359</v>
      </c>
      <c r="O366" s="4" t="s">
        <v>244</v>
      </c>
      <c r="P366" s="5" t="s">
        <v>84</v>
      </c>
      <c r="Q366" s="24">
        <v>0</v>
      </c>
      <c r="R366" s="24">
        <v>0</v>
      </c>
      <c r="S366" s="24">
        <v>0</v>
      </c>
      <c r="T366" s="24">
        <v>0</v>
      </c>
      <c r="U366" s="24">
        <v>0</v>
      </c>
      <c r="V366" s="24">
        <v>0</v>
      </c>
      <c r="W366" s="24">
        <v>0</v>
      </c>
      <c r="X366" s="24">
        <v>0</v>
      </c>
      <c r="Y366" s="24">
        <v>0</v>
      </c>
      <c r="Z366" s="24">
        <v>0</v>
      </c>
      <c r="AA366" s="24">
        <v>0</v>
      </c>
      <c r="AB366" s="24">
        <v>0</v>
      </c>
      <c r="AC366" s="30">
        <f t="shared" si="171"/>
        <v>0</v>
      </c>
      <c r="AD366" s="27">
        <f t="shared" si="173"/>
        <v>0</v>
      </c>
      <c r="AE366" s="25">
        <f>IFERROR(_xlfn.XLOOKUP(N366&amp;P366,'Historico Vendas'!G:G,'Historico Vendas'!E:E),0)</f>
        <v>0</v>
      </c>
      <c r="AF366" s="29" t="str">
        <f t="shared" si="154"/>
        <v/>
      </c>
      <c r="AG366" s="24">
        <f>IFERROR(_xlfn.XLOOKUP(N366&amp;P366,'Historico Vendas'!G:G,'Historico Vendas'!F:F),0)</f>
        <v>0</v>
      </c>
      <c r="AH366" s="25">
        <f t="shared" si="174"/>
        <v>0</v>
      </c>
      <c r="AI366" s="24">
        <f t="shared" si="175"/>
        <v>0</v>
      </c>
      <c r="AJ366" s="11" t="str">
        <f t="shared" si="155"/>
        <v/>
      </c>
      <c r="AK366" s="9" t="s">
        <v>102</v>
      </c>
      <c r="AL366" s="13">
        <f>IFERROR(INDEX('Balizador da Meta'!$D$3:$F$23,MATCH(Quantidade!$P366,'Balizador da Meta'!$C$3:$C$23,0),MATCH(Quantidade!AK366,'Balizador da Meta'!$D$2:$F$2,0)),"")</f>
        <v>0.15</v>
      </c>
      <c r="AM366" s="9"/>
    </row>
    <row r="367" spans="1:39" x14ac:dyDescent="0.3">
      <c r="A367" s="2" t="str">
        <f t="shared" si="152"/>
        <v>NÃO</v>
      </c>
      <c r="B367" s="2" t="str">
        <f>_xlfn.XLOOKUP($N367,'Base de Grupos'!$A:$A,'Base de Grupos'!$D:$D)</f>
        <v>1000065763</v>
      </c>
      <c r="C367" s="5" t="str">
        <f>_xlfn.XLOOKUP($N367,'Base de Grupos'!$A:$A,'Base de Grupos'!$E:$E)</f>
        <v>CANAL VENDA INTERNA</v>
      </c>
      <c r="D367" s="5" t="str">
        <f>_xlfn.XLOOKUP($N367,'Base de Grupos'!$A:$A,'Base de Grupos'!$F:$F)</f>
        <v>1000065763</v>
      </c>
      <c r="E367" s="2" t="str">
        <f>_xlfn.XLOOKUP($N367,'Base de Grupos'!$A:$A,'Base de Grupos'!$G:$G)</f>
        <v>CANAL VENDA INTERNA</v>
      </c>
      <c r="F367" s="2" t="str">
        <f>_xlfn.XLOOKUP($N367,'Base de Grupos'!$A:$A,'Base de Grupos'!$H:$H)</f>
        <v>1000105899</v>
      </c>
      <c r="G367" s="5" t="str">
        <f>_xlfn.XLOOKUP($N367,'Base de Grupos'!$A:$A,'Base de Grupos'!$I:$I)</f>
        <v>REGIONAL VENDA DIRETA SUDESTE</v>
      </c>
      <c r="H367" s="5" t="str">
        <f>_xlfn.XLOOKUP($N367,'Base de Grupos'!$A:$A,'Base de Grupos'!$J:$J)</f>
        <v>1000105899</v>
      </c>
      <c r="I367" s="2" t="str">
        <f>_xlfn.XLOOKUP($N367,'Base de Grupos'!$A:$A,'Base de Grupos'!$K:$K)</f>
        <v>REGIONAL VENDA DIRETA SUDESTE</v>
      </c>
      <c r="J367" s="2" t="str">
        <f>_xlfn.XLOOKUP($N367,'Base de Grupos'!$A:$A,'Base de Grupos'!$L:$L)</f>
        <v>1000150135</v>
      </c>
      <c r="K367" s="5" t="str">
        <f>_xlfn.XLOOKUP($N367,'Base de Grupos'!$A:$A,'Base de Grupos'!$M:$M)</f>
        <v>HELDER DA SILVA BRUNKOW</v>
      </c>
      <c r="L367" s="5" t="str">
        <f t="shared" si="153"/>
        <v/>
      </c>
      <c r="M367" s="5" t="str">
        <f>_xlfn.XLOOKUP($N367,'Base de Grupos'!$A:$A,'Base de Grupos'!$C:$C)</f>
        <v>MG</v>
      </c>
      <c r="N367" s="3">
        <v>1359</v>
      </c>
      <c r="O367" s="4" t="s">
        <v>244</v>
      </c>
      <c r="P367" s="5" t="s">
        <v>83</v>
      </c>
      <c r="Q367" s="24">
        <v>0</v>
      </c>
      <c r="R367" s="24">
        <v>0</v>
      </c>
      <c r="S367" s="24">
        <v>0</v>
      </c>
      <c r="T367" s="24">
        <v>0</v>
      </c>
      <c r="U367" s="24">
        <v>0</v>
      </c>
      <c r="V367" s="24">
        <v>0</v>
      </c>
      <c r="W367" s="24">
        <v>0</v>
      </c>
      <c r="X367" s="24">
        <v>0</v>
      </c>
      <c r="Y367" s="24">
        <v>0</v>
      </c>
      <c r="Z367" s="24">
        <v>0</v>
      </c>
      <c r="AA367" s="24">
        <v>0</v>
      </c>
      <c r="AB367" s="24">
        <v>0</v>
      </c>
      <c r="AC367" s="30">
        <f t="shared" si="171"/>
        <v>0</v>
      </c>
      <c r="AD367" s="27">
        <f t="shared" si="173"/>
        <v>0</v>
      </c>
      <c r="AE367" s="25">
        <f>IFERROR(_xlfn.XLOOKUP(N367&amp;P367,'Historico Vendas'!G:G,'Historico Vendas'!E:E),0)</f>
        <v>0</v>
      </c>
      <c r="AF367" s="29" t="str">
        <f t="shared" si="154"/>
        <v/>
      </c>
      <c r="AG367" s="24">
        <f>IFERROR(_xlfn.XLOOKUP(N367&amp;P367,'Historico Vendas'!G:G,'Historico Vendas'!F:F),0)</f>
        <v>0</v>
      </c>
      <c r="AH367" s="25">
        <f t="shared" si="174"/>
        <v>0</v>
      </c>
      <c r="AI367" s="24">
        <f t="shared" si="175"/>
        <v>0</v>
      </c>
      <c r="AJ367" s="11" t="str">
        <f t="shared" si="155"/>
        <v/>
      </c>
      <c r="AK367" s="9" t="s">
        <v>102</v>
      </c>
      <c r="AL367" s="13">
        <f>IFERROR(INDEX('Balizador da Meta'!$D$3:$F$23,MATCH(Quantidade!$P367,'Balizador da Meta'!$C$3:$C$23,0),MATCH(Quantidade!AK367,'Balizador da Meta'!$D$2:$F$2,0)),"")</f>
        <v>0</v>
      </c>
      <c r="AM367" s="9"/>
    </row>
    <row r="368" spans="1:39" x14ac:dyDescent="0.3">
      <c r="A368" s="2" t="str">
        <f t="shared" si="152"/>
        <v>NÃO</v>
      </c>
      <c r="B368" s="2" t="str">
        <f>_xlfn.XLOOKUP($N368,'Base de Grupos'!$A:$A,'Base de Grupos'!$D:$D)</f>
        <v>1000065763</v>
      </c>
      <c r="C368" s="5" t="str">
        <f>_xlfn.XLOOKUP($N368,'Base de Grupos'!$A:$A,'Base de Grupos'!$E:$E)</f>
        <v>CANAL VENDA INTERNA</v>
      </c>
      <c r="D368" s="5" t="str">
        <f>_xlfn.XLOOKUP($N368,'Base de Grupos'!$A:$A,'Base de Grupos'!$F:$F)</f>
        <v>1000065763</v>
      </c>
      <c r="E368" s="2" t="str">
        <f>_xlfn.XLOOKUP($N368,'Base de Grupos'!$A:$A,'Base de Grupos'!$G:$G)</f>
        <v>CANAL VENDA INTERNA</v>
      </c>
      <c r="F368" s="2" t="str">
        <f>_xlfn.XLOOKUP($N368,'Base de Grupos'!$A:$A,'Base de Grupos'!$H:$H)</f>
        <v>1000105899</v>
      </c>
      <c r="G368" s="5" t="str">
        <f>_xlfn.XLOOKUP($N368,'Base de Grupos'!$A:$A,'Base de Grupos'!$I:$I)</f>
        <v>REGIONAL VENDA DIRETA SUDESTE</v>
      </c>
      <c r="H368" s="5" t="str">
        <f>_xlfn.XLOOKUP($N368,'Base de Grupos'!$A:$A,'Base de Grupos'!$J:$J)</f>
        <v>1000105899</v>
      </c>
      <c r="I368" s="2" t="str">
        <f>_xlfn.XLOOKUP($N368,'Base de Grupos'!$A:$A,'Base de Grupos'!$K:$K)</f>
        <v>REGIONAL VENDA DIRETA SUDESTE</v>
      </c>
      <c r="J368" s="2" t="str">
        <f>_xlfn.XLOOKUP($N368,'Base de Grupos'!$A:$A,'Base de Grupos'!$L:$L)</f>
        <v>1000150135</v>
      </c>
      <c r="K368" s="5" t="str">
        <f>_xlfn.XLOOKUP($N368,'Base de Grupos'!$A:$A,'Base de Grupos'!$M:$M)</f>
        <v>HELDER DA SILVA BRUNKOW</v>
      </c>
      <c r="L368" s="5" t="str">
        <f t="shared" si="153"/>
        <v/>
      </c>
      <c r="M368" s="5" t="str">
        <f>_xlfn.XLOOKUP($N368,'Base de Grupos'!$A:$A,'Base de Grupos'!$C:$C)</f>
        <v>MG</v>
      </c>
      <c r="N368" s="3">
        <v>1359</v>
      </c>
      <c r="O368" s="4" t="s">
        <v>244</v>
      </c>
      <c r="P368" s="5" t="s">
        <v>87</v>
      </c>
      <c r="Q368" s="24">
        <v>0</v>
      </c>
      <c r="R368" s="24">
        <v>0</v>
      </c>
      <c r="S368" s="24">
        <v>0</v>
      </c>
      <c r="T368" s="24">
        <v>0</v>
      </c>
      <c r="U368" s="24">
        <v>0</v>
      </c>
      <c r="V368" s="24">
        <v>0</v>
      </c>
      <c r="W368" s="24">
        <v>0</v>
      </c>
      <c r="X368" s="24">
        <v>0</v>
      </c>
      <c r="Y368" s="24">
        <v>0</v>
      </c>
      <c r="Z368" s="24">
        <v>0</v>
      </c>
      <c r="AA368" s="24">
        <v>0</v>
      </c>
      <c r="AB368" s="24">
        <v>0</v>
      </c>
      <c r="AC368" s="30">
        <f t="shared" si="171"/>
        <v>0</v>
      </c>
      <c r="AD368" s="27">
        <f t="shared" si="173"/>
        <v>0</v>
      </c>
      <c r="AE368" s="25">
        <f>IFERROR(_xlfn.XLOOKUP(N368&amp;P368,'Historico Vendas'!G:G,'Historico Vendas'!E:E),0)</f>
        <v>0</v>
      </c>
      <c r="AF368" s="29" t="str">
        <f t="shared" si="154"/>
        <v/>
      </c>
      <c r="AG368" s="24">
        <f>IFERROR(_xlfn.XLOOKUP(N368&amp;P368,'Historico Vendas'!G:G,'Historico Vendas'!F:F),0)</f>
        <v>0</v>
      </c>
      <c r="AH368" s="25">
        <f t="shared" si="174"/>
        <v>0</v>
      </c>
      <c r="AI368" s="24">
        <f t="shared" si="175"/>
        <v>0</v>
      </c>
      <c r="AJ368" s="11" t="str">
        <f t="shared" si="155"/>
        <v/>
      </c>
      <c r="AK368" s="9" t="s">
        <v>102</v>
      </c>
      <c r="AL368" s="13">
        <f>IFERROR(INDEX('Balizador da Meta'!$D$3:$F$23,MATCH(Quantidade!$P368,'Balizador da Meta'!$C$3:$C$23,0),MATCH(Quantidade!AK368,'Balizador da Meta'!$D$2:$F$2,0)),"")</f>
        <v>0</v>
      </c>
      <c r="AM368" s="9"/>
    </row>
    <row r="369" spans="1:39" x14ac:dyDescent="0.3">
      <c r="A369" s="2" t="str">
        <f t="shared" si="152"/>
        <v>NÃO</v>
      </c>
      <c r="B369" s="2" t="str">
        <f>_xlfn.XLOOKUP($N369,'Base de Grupos'!$A:$A,'Base de Grupos'!$D:$D)</f>
        <v>1000065763</v>
      </c>
      <c r="C369" s="5" t="str">
        <f>_xlfn.XLOOKUP($N369,'Base de Grupos'!$A:$A,'Base de Grupos'!$E:$E)</f>
        <v>CANAL VENDA INTERNA</v>
      </c>
      <c r="D369" s="5" t="str">
        <f>_xlfn.XLOOKUP($N369,'Base de Grupos'!$A:$A,'Base de Grupos'!$F:$F)</f>
        <v>1000065763</v>
      </c>
      <c r="E369" s="2" t="str">
        <f>_xlfn.XLOOKUP($N369,'Base de Grupos'!$A:$A,'Base de Grupos'!$G:$G)</f>
        <v>CANAL VENDA INTERNA</v>
      </c>
      <c r="F369" s="2" t="str">
        <f>_xlfn.XLOOKUP($N369,'Base de Grupos'!$A:$A,'Base de Grupos'!$H:$H)</f>
        <v>1000105899</v>
      </c>
      <c r="G369" s="5" t="str">
        <f>_xlfn.XLOOKUP($N369,'Base de Grupos'!$A:$A,'Base de Grupos'!$I:$I)</f>
        <v>REGIONAL VENDA DIRETA SUDESTE</v>
      </c>
      <c r="H369" s="5" t="str">
        <f>_xlfn.XLOOKUP($N369,'Base de Grupos'!$A:$A,'Base de Grupos'!$J:$J)</f>
        <v>1000105899</v>
      </c>
      <c r="I369" s="2" t="str">
        <f>_xlfn.XLOOKUP($N369,'Base de Grupos'!$A:$A,'Base de Grupos'!$K:$K)</f>
        <v>REGIONAL VENDA DIRETA SUDESTE</v>
      </c>
      <c r="J369" s="2" t="str">
        <f>_xlfn.XLOOKUP($N369,'Base de Grupos'!$A:$A,'Base de Grupos'!$L:$L)</f>
        <v>1000150135</v>
      </c>
      <c r="K369" s="5" t="str">
        <f>_xlfn.XLOOKUP($N369,'Base de Grupos'!$A:$A,'Base de Grupos'!$M:$M)</f>
        <v>HELDER DA SILVA BRUNKOW</v>
      </c>
      <c r="L369" s="5" t="str">
        <f t="shared" si="153"/>
        <v/>
      </c>
      <c r="M369" s="5" t="str">
        <f>_xlfn.XLOOKUP($N369,'Base de Grupos'!$A:$A,'Base de Grupos'!$C:$C)</f>
        <v>MG</v>
      </c>
      <c r="N369" s="3">
        <v>1359</v>
      </c>
      <c r="O369" s="4" t="s">
        <v>244</v>
      </c>
      <c r="P369" s="5" t="s">
        <v>85</v>
      </c>
      <c r="Q369" s="24">
        <v>0</v>
      </c>
      <c r="R369" s="24">
        <v>0</v>
      </c>
      <c r="S369" s="24">
        <v>0</v>
      </c>
      <c r="T369" s="24">
        <v>0</v>
      </c>
      <c r="U369" s="24">
        <v>0</v>
      </c>
      <c r="V369" s="24">
        <v>0</v>
      </c>
      <c r="W369" s="24">
        <v>0</v>
      </c>
      <c r="X369" s="24">
        <v>0</v>
      </c>
      <c r="Y369" s="24">
        <v>0</v>
      </c>
      <c r="Z369" s="24">
        <v>0</v>
      </c>
      <c r="AA369" s="24">
        <v>0</v>
      </c>
      <c r="AB369" s="24">
        <v>0</v>
      </c>
      <c r="AC369" s="30">
        <f t="shared" si="171"/>
        <v>0</v>
      </c>
      <c r="AD369" s="27">
        <f t="shared" si="173"/>
        <v>0</v>
      </c>
      <c r="AE369" s="25">
        <f>IFERROR(_xlfn.XLOOKUP(N369&amp;P369,'Historico Vendas'!G:G,'Historico Vendas'!E:E),0)</f>
        <v>0</v>
      </c>
      <c r="AF369" s="29" t="str">
        <f t="shared" si="154"/>
        <v/>
      </c>
      <c r="AG369" s="24">
        <f>IFERROR(_xlfn.XLOOKUP(N369&amp;P369,'Historico Vendas'!G:G,'Historico Vendas'!F:F),0)</f>
        <v>0</v>
      </c>
      <c r="AH369" s="25">
        <f t="shared" si="174"/>
        <v>0</v>
      </c>
      <c r="AI369" s="24">
        <f t="shared" si="175"/>
        <v>0</v>
      </c>
      <c r="AJ369" s="11" t="str">
        <f t="shared" si="155"/>
        <v/>
      </c>
      <c r="AK369" s="9" t="s">
        <v>102</v>
      </c>
      <c r="AL369" s="13">
        <f>IFERROR(INDEX('Balizador da Meta'!$D$3:$F$23,MATCH(Quantidade!$P369,'Balizador da Meta'!$C$3:$C$23,0),MATCH(Quantidade!AK369,'Balizador da Meta'!$D$2:$F$2,0)),"")</f>
        <v>0</v>
      </c>
      <c r="AM369" s="9"/>
    </row>
    <row r="370" spans="1:39" x14ac:dyDescent="0.3">
      <c r="A370" s="2" t="str">
        <f t="shared" si="152"/>
        <v>NÃO</v>
      </c>
      <c r="B370" s="2" t="str">
        <f>_xlfn.XLOOKUP($N370,'Base de Grupos'!$A:$A,'Base de Grupos'!$D:$D)</f>
        <v>1000065763</v>
      </c>
      <c r="C370" s="5" t="str">
        <f>_xlfn.XLOOKUP($N370,'Base de Grupos'!$A:$A,'Base de Grupos'!$E:$E)</f>
        <v>CANAL VENDA INTERNA</v>
      </c>
      <c r="D370" s="5" t="str">
        <f>_xlfn.XLOOKUP($N370,'Base de Grupos'!$A:$A,'Base de Grupos'!$F:$F)</f>
        <v>1000065763</v>
      </c>
      <c r="E370" s="2" t="str">
        <f>_xlfn.XLOOKUP($N370,'Base de Grupos'!$A:$A,'Base de Grupos'!$G:$G)</f>
        <v>CANAL VENDA INTERNA</v>
      </c>
      <c r="F370" s="2" t="str">
        <f>_xlfn.XLOOKUP($N370,'Base de Grupos'!$A:$A,'Base de Grupos'!$H:$H)</f>
        <v>1000105899</v>
      </c>
      <c r="G370" s="5" t="str">
        <f>_xlfn.XLOOKUP($N370,'Base de Grupos'!$A:$A,'Base de Grupos'!$I:$I)</f>
        <v>REGIONAL VENDA DIRETA SUDESTE</v>
      </c>
      <c r="H370" s="5" t="str">
        <f>_xlfn.XLOOKUP($N370,'Base de Grupos'!$A:$A,'Base de Grupos'!$J:$J)</f>
        <v>1000105899</v>
      </c>
      <c r="I370" s="2" t="str">
        <f>_xlfn.XLOOKUP($N370,'Base de Grupos'!$A:$A,'Base de Grupos'!$K:$K)</f>
        <v>REGIONAL VENDA DIRETA SUDESTE</v>
      </c>
      <c r="J370" s="2" t="str">
        <f>_xlfn.XLOOKUP($N370,'Base de Grupos'!$A:$A,'Base de Grupos'!$L:$L)</f>
        <v>1000150135</v>
      </c>
      <c r="K370" s="5" t="str">
        <f>_xlfn.XLOOKUP($N370,'Base de Grupos'!$A:$A,'Base de Grupos'!$M:$M)</f>
        <v>HELDER DA SILVA BRUNKOW</v>
      </c>
      <c r="L370" s="5" t="str">
        <f t="shared" si="153"/>
        <v/>
      </c>
      <c r="M370" s="5" t="str">
        <f>_xlfn.XLOOKUP($N370,'Base de Grupos'!$A:$A,'Base de Grupos'!$C:$C)</f>
        <v>MG</v>
      </c>
      <c r="N370" s="3">
        <v>1359</v>
      </c>
      <c r="O370" s="4" t="s">
        <v>244</v>
      </c>
      <c r="P370" s="5" t="s">
        <v>92</v>
      </c>
      <c r="Q370" s="24">
        <v>0</v>
      </c>
      <c r="R370" s="24">
        <v>0</v>
      </c>
      <c r="S370" s="24">
        <v>0</v>
      </c>
      <c r="T370" s="24">
        <v>0</v>
      </c>
      <c r="U370" s="24">
        <v>0</v>
      </c>
      <c r="V370" s="24">
        <v>0</v>
      </c>
      <c r="W370" s="24">
        <v>0</v>
      </c>
      <c r="X370" s="24">
        <v>0</v>
      </c>
      <c r="Y370" s="24">
        <v>0</v>
      </c>
      <c r="Z370" s="24">
        <v>0</v>
      </c>
      <c r="AA370" s="24">
        <v>0</v>
      </c>
      <c r="AB370" s="24">
        <v>0</v>
      </c>
      <c r="AC370" s="30">
        <f t="shared" si="171"/>
        <v>0</v>
      </c>
      <c r="AD370" s="27">
        <f t="shared" si="173"/>
        <v>0</v>
      </c>
      <c r="AE370" s="25">
        <f>IFERROR(_xlfn.XLOOKUP(N370&amp;P370,'Historico Vendas'!G:G,'Historico Vendas'!E:E),0)</f>
        <v>0</v>
      </c>
      <c r="AF370" s="29" t="str">
        <f t="shared" si="154"/>
        <v/>
      </c>
      <c r="AG370" s="24">
        <f>IFERROR(_xlfn.XLOOKUP(N370&amp;P370,'Historico Vendas'!G:G,'Historico Vendas'!F:F),0)</f>
        <v>0</v>
      </c>
      <c r="AH370" s="25">
        <f t="shared" si="174"/>
        <v>0</v>
      </c>
      <c r="AI370" s="24">
        <f t="shared" si="175"/>
        <v>0</v>
      </c>
      <c r="AJ370" s="11" t="str">
        <f t="shared" si="155"/>
        <v/>
      </c>
      <c r="AK370" s="9" t="s">
        <v>102</v>
      </c>
      <c r="AL370" s="13">
        <f>IFERROR(INDEX('Balizador da Meta'!$D$3:$F$23,MATCH(Quantidade!$P370,'Balizador da Meta'!$C$3:$C$23,0),MATCH(Quantidade!AK370,'Balizador da Meta'!$D$2:$F$2,0)),"")</f>
        <v>0</v>
      </c>
      <c r="AM370" s="9"/>
    </row>
    <row r="371" spans="1:39" x14ac:dyDescent="0.3">
      <c r="A371" s="2" t="str">
        <f t="shared" si="152"/>
        <v>NÃO</v>
      </c>
      <c r="B371" s="2" t="str">
        <f>_xlfn.XLOOKUP($N371,'Base de Grupos'!$A:$A,'Base de Grupos'!$D:$D)</f>
        <v>1000065763</v>
      </c>
      <c r="C371" s="5" t="str">
        <f>_xlfn.XLOOKUP($N371,'Base de Grupos'!$A:$A,'Base de Grupos'!$E:$E)</f>
        <v>CANAL VENDA INTERNA</v>
      </c>
      <c r="D371" s="5" t="str">
        <f>_xlfn.XLOOKUP($N371,'Base de Grupos'!$A:$A,'Base de Grupos'!$F:$F)</f>
        <v>1000065763</v>
      </c>
      <c r="E371" s="2" t="str">
        <f>_xlfn.XLOOKUP($N371,'Base de Grupos'!$A:$A,'Base de Grupos'!$G:$G)</f>
        <v>CANAL VENDA INTERNA</v>
      </c>
      <c r="F371" s="2" t="str">
        <f>_xlfn.XLOOKUP($N371,'Base de Grupos'!$A:$A,'Base de Grupos'!$H:$H)</f>
        <v>1000105899</v>
      </c>
      <c r="G371" s="5" t="str">
        <f>_xlfn.XLOOKUP($N371,'Base de Grupos'!$A:$A,'Base de Grupos'!$I:$I)</f>
        <v>REGIONAL VENDA DIRETA SUDESTE</v>
      </c>
      <c r="H371" s="5" t="str">
        <f>_xlfn.XLOOKUP($N371,'Base de Grupos'!$A:$A,'Base de Grupos'!$J:$J)</f>
        <v>1000105899</v>
      </c>
      <c r="I371" s="2" t="str">
        <f>_xlfn.XLOOKUP($N371,'Base de Grupos'!$A:$A,'Base de Grupos'!$K:$K)</f>
        <v>REGIONAL VENDA DIRETA SUDESTE</v>
      </c>
      <c r="J371" s="2" t="str">
        <f>_xlfn.XLOOKUP($N371,'Base de Grupos'!$A:$A,'Base de Grupos'!$L:$L)</f>
        <v>1000150135</v>
      </c>
      <c r="K371" s="5" t="str">
        <f>_xlfn.XLOOKUP($N371,'Base de Grupos'!$A:$A,'Base de Grupos'!$M:$M)</f>
        <v>HELDER DA SILVA BRUNKOW</v>
      </c>
      <c r="L371" s="5" t="str">
        <f t="shared" si="153"/>
        <v/>
      </c>
      <c r="M371" s="5" t="str">
        <f>_xlfn.XLOOKUP($N371,'Base de Grupos'!$A:$A,'Base de Grupos'!$C:$C)</f>
        <v>MG</v>
      </c>
      <c r="N371" s="3">
        <v>1359</v>
      </c>
      <c r="O371" s="4" t="s">
        <v>244</v>
      </c>
      <c r="P371" s="5" t="s">
        <v>86</v>
      </c>
      <c r="Q371" s="24">
        <v>0</v>
      </c>
      <c r="R371" s="24">
        <v>0</v>
      </c>
      <c r="S371" s="24">
        <v>0</v>
      </c>
      <c r="T371" s="24">
        <v>0</v>
      </c>
      <c r="U371" s="24">
        <v>0</v>
      </c>
      <c r="V371" s="24">
        <v>0</v>
      </c>
      <c r="W371" s="24">
        <v>0</v>
      </c>
      <c r="X371" s="24">
        <v>0</v>
      </c>
      <c r="Y371" s="24">
        <v>0</v>
      </c>
      <c r="Z371" s="24">
        <v>0</v>
      </c>
      <c r="AA371" s="24">
        <v>0</v>
      </c>
      <c r="AB371" s="24">
        <v>0</v>
      </c>
      <c r="AC371" s="30">
        <f t="shared" si="171"/>
        <v>0</v>
      </c>
      <c r="AD371" s="27">
        <f t="shared" si="173"/>
        <v>0</v>
      </c>
      <c r="AE371" s="25">
        <f>IFERROR(_xlfn.XLOOKUP(N371&amp;P371,'Historico Vendas'!G:G,'Historico Vendas'!E:E),0)</f>
        <v>0</v>
      </c>
      <c r="AF371" s="29" t="str">
        <f t="shared" si="154"/>
        <v/>
      </c>
      <c r="AG371" s="24">
        <f>IFERROR(_xlfn.XLOOKUP(N371&amp;P371,'Historico Vendas'!G:G,'Historico Vendas'!F:F),0)</f>
        <v>0</v>
      </c>
      <c r="AH371" s="25">
        <f t="shared" si="174"/>
        <v>0</v>
      </c>
      <c r="AI371" s="24">
        <f t="shared" si="175"/>
        <v>0</v>
      </c>
      <c r="AJ371" s="11" t="str">
        <f t="shared" si="155"/>
        <v/>
      </c>
      <c r="AK371" s="9" t="s">
        <v>102</v>
      </c>
      <c r="AL371" s="13">
        <f>IFERROR(INDEX('Balizador da Meta'!$D$3:$F$23,MATCH(Quantidade!$P371,'Balizador da Meta'!$C$3:$C$23,0),MATCH(Quantidade!AK371,'Balizador da Meta'!$D$2:$F$2,0)),"")</f>
        <v>0.15</v>
      </c>
      <c r="AM371" s="9"/>
    </row>
    <row r="372" spans="1:39" x14ac:dyDescent="0.3">
      <c r="A372" s="2" t="str">
        <f t="shared" si="152"/>
        <v>NÃO</v>
      </c>
      <c r="B372" s="2" t="str">
        <f>_xlfn.XLOOKUP($N372,'Base de Grupos'!$A:$A,'Base de Grupos'!$D:$D)</f>
        <v>1000065763</v>
      </c>
      <c r="C372" s="5" t="str">
        <f>_xlfn.XLOOKUP($N372,'Base de Grupos'!$A:$A,'Base de Grupos'!$E:$E)</f>
        <v>CANAL VENDA INTERNA</v>
      </c>
      <c r="D372" s="5" t="str">
        <f>_xlfn.XLOOKUP($N372,'Base de Grupos'!$A:$A,'Base de Grupos'!$F:$F)</f>
        <v>1000065763</v>
      </c>
      <c r="E372" s="2" t="str">
        <f>_xlfn.XLOOKUP($N372,'Base de Grupos'!$A:$A,'Base de Grupos'!$G:$G)</f>
        <v>CANAL VENDA INTERNA</v>
      </c>
      <c r="F372" s="2" t="str">
        <f>_xlfn.XLOOKUP($N372,'Base de Grupos'!$A:$A,'Base de Grupos'!$H:$H)</f>
        <v>1000105899</v>
      </c>
      <c r="G372" s="5" t="str">
        <f>_xlfn.XLOOKUP($N372,'Base de Grupos'!$A:$A,'Base de Grupos'!$I:$I)</f>
        <v>REGIONAL VENDA DIRETA SUDESTE</v>
      </c>
      <c r="H372" s="5" t="str">
        <f>_xlfn.XLOOKUP($N372,'Base de Grupos'!$A:$A,'Base de Grupos'!$J:$J)</f>
        <v>1000105899</v>
      </c>
      <c r="I372" s="2" t="str">
        <f>_xlfn.XLOOKUP($N372,'Base de Grupos'!$A:$A,'Base de Grupos'!$K:$K)</f>
        <v>REGIONAL VENDA DIRETA SUDESTE</v>
      </c>
      <c r="J372" s="2" t="str">
        <f>_xlfn.XLOOKUP($N372,'Base de Grupos'!$A:$A,'Base de Grupos'!$L:$L)</f>
        <v>1000150135</v>
      </c>
      <c r="K372" s="5" t="str">
        <f>_xlfn.XLOOKUP($N372,'Base de Grupos'!$A:$A,'Base de Grupos'!$M:$M)</f>
        <v>HELDER DA SILVA BRUNKOW</v>
      </c>
      <c r="L372" s="5" t="str">
        <f t="shared" si="153"/>
        <v/>
      </c>
      <c r="M372" s="5" t="str">
        <f>_xlfn.XLOOKUP($N372,'Base de Grupos'!$A:$A,'Base de Grupos'!$C:$C)</f>
        <v>MG</v>
      </c>
      <c r="N372" s="3">
        <v>1359</v>
      </c>
      <c r="O372" s="4" t="s">
        <v>244</v>
      </c>
      <c r="P372" s="5" t="s">
        <v>108</v>
      </c>
      <c r="Q372" s="24">
        <v>0</v>
      </c>
      <c r="R372" s="24">
        <v>0</v>
      </c>
      <c r="S372" s="24">
        <v>0</v>
      </c>
      <c r="T372" s="24">
        <v>0</v>
      </c>
      <c r="U372" s="24">
        <v>0</v>
      </c>
      <c r="V372" s="24">
        <v>0</v>
      </c>
      <c r="W372" s="24">
        <v>0</v>
      </c>
      <c r="X372" s="24">
        <v>0</v>
      </c>
      <c r="Y372" s="24">
        <v>0</v>
      </c>
      <c r="Z372" s="24">
        <v>0</v>
      </c>
      <c r="AA372" s="24">
        <v>0</v>
      </c>
      <c r="AB372" s="24">
        <v>0</v>
      </c>
      <c r="AC372" s="30">
        <f t="shared" si="171"/>
        <v>0</v>
      </c>
      <c r="AD372" s="27">
        <f t="shared" si="173"/>
        <v>0</v>
      </c>
      <c r="AE372" s="25">
        <f>IFERROR(_xlfn.XLOOKUP(N372&amp;P372,'Historico Vendas'!G:G,'Historico Vendas'!E:E),0)</f>
        <v>0</v>
      </c>
      <c r="AF372" s="29" t="str">
        <f t="shared" si="154"/>
        <v/>
      </c>
      <c r="AG372" s="24">
        <f>IFERROR(_xlfn.XLOOKUP(N372&amp;P372,'Historico Vendas'!G:G,'Historico Vendas'!F:F),0)</f>
        <v>0</v>
      </c>
      <c r="AH372" s="25">
        <f t="shared" si="174"/>
        <v>0</v>
      </c>
      <c r="AI372" s="24">
        <f t="shared" si="175"/>
        <v>0</v>
      </c>
      <c r="AJ372" s="11" t="str">
        <f t="shared" si="155"/>
        <v/>
      </c>
      <c r="AK372" s="9" t="s">
        <v>102</v>
      </c>
      <c r="AL372" s="13">
        <f>IFERROR(INDEX('Balizador da Meta'!$D$3:$F$23,MATCH(Quantidade!$P372,'Balizador da Meta'!$C$3:$C$23,0),MATCH(Quantidade!AK372,'Balizador da Meta'!$D$2:$F$2,0)),"")</f>
        <v>0</v>
      </c>
      <c r="AM372" s="9"/>
    </row>
    <row r="373" spans="1:39" x14ac:dyDescent="0.3">
      <c r="A373" s="2" t="str">
        <f t="shared" si="152"/>
        <v>NÃO</v>
      </c>
      <c r="B373" s="2" t="str">
        <f>_xlfn.XLOOKUP($N373,'Base de Grupos'!$A:$A,'Base de Grupos'!$D:$D)</f>
        <v>1000065763</v>
      </c>
      <c r="C373" s="5" t="str">
        <f>_xlfn.XLOOKUP($N373,'Base de Grupos'!$A:$A,'Base de Grupos'!$E:$E)</f>
        <v>CANAL VENDA INTERNA</v>
      </c>
      <c r="D373" s="5" t="str">
        <f>_xlfn.XLOOKUP($N373,'Base de Grupos'!$A:$A,'Base de Grupos'!$F:$F)</f>
        <v>1000065763</v>
      </c>
      <c r="E373" s="2" t="str">
        <f>_xlfn.XLOOKUP($N373,'Base de Grupos'!$A:$A,'Base de Grupos'!$G:$G)</f>
        <v>CANAL VENDA INTERNA</v>
      </c>
      <c r="F373" s="2" t="str">
        <f>_xlfn.XLOOKUP($N373,'Base de Grupos'!$A:$A,'Base de Grupos'!$H:$H)</f>
        <v>1000105899</v>
      </c>
      <c r="G373" s="5" t="str">
        <f>_xlfn.XLOOKUP($N373,'Base de Grupos'!$A:$A,'Base de Grupos'!$I:$I)</f>
        <v>REGIONAL VENDA DIRETA SUDESTE</v>
      </c>
      <c r="H373" s="5" t="str">
        <f>_xlfn.XLOOKUP($N373,'Base de Grupos'!$A:$A,'Base de Grupos'!$J:$J)</f>
        <v>1000105899</v>
      </c>
      <c r="I373" s="2" t="str">
        <f>_xlfn.XLOOKUP($N373,'Base de Grupos'!$A:$A,'Base de Grupos'!$K:$K)</f>
        <v>REGIONAL VENDA DIRETA SUDESTE</v>
      </c>
      <c r="J373" s="2" t="str">
        <f>_xlfn.XLOOKUP($N373,'Base de Grupos'!$A:$A,'Base de Grupos'!$L:$L)</f>
        <v>1000150135</v>
      </c>
      <c r="K373" s="5" t="str">
        <f>_xlfn.XLOOKUP($N373,'Base de Grupos'!$A:$A,'Base de Grupos'!$M:$M)</f>
        <v>HELDER DA SILVA BRUNKOW</v>
      </c>
      <c r="L373" s="5" t="str">
        <f t="shared" si="153"/>
        <v/>
      </c>
      <c r="M373" s="5" t="str">
        <f>_xlfn.XLOOKUP($N373,'Base de Grupos'!$A:$A,'Base de Grupos'!$C:$C)</f>
        <v>MG</v>
      </c>
      <c r="N373" s="3">
        <v>1359</v>
      </c>
      <c r="O373" s="4" t="s">
        <v>244</v>
      </c>
      <c r="P373" s="5" t="s">
        <v>89</v>
      </c>
      <c r="Q373" s="24">
        <v>0</v>
      </c>
      <c r="R373" s="24">
        <v>0</v>
      </c>
      <c r="S373" s="24">
        <v>0</v>
      </c>
      <c r="T373" s="24">
        <v>0</v>
      </c>
      <c r="U373" s="24">
        <v>0</v>
      </c>
      <c r="V373" s="24">
        <v>0</v>
      </c>
      <c r="W373" s="24">
        <v>0</v>
      </c>
      <c r="X373" s="24">
        <v>0</v>
      </c>
      <c r="Y373" s="24">
        <v>0</v>
      </c>
      <c r="Z373" s="24">
        <v>0</v>
      </c>
      <c r="AA373" s="24">
        <v>0</v>
      </c>
      <c r="AB373" s="24">
        <v>0</v>
      </c>
      <c r="AC373" s="30">
        <f t="shared" si="171"/>
        <v>0</v>
      </c>
      <c r="AD373" s="27">
        <f t="shared" si="173"/>
        <v>0</v>
      </c>
      <c r="AE373" s="25">
        <f>IFERROR(_xlfn.XLOOKUP(N373&amp;P373,'Historico Vendas'!G:G,'Historico Vendas'!E:E),0)</f>
        <v>0</v>
      </c>
      <c r="AF373" s="29" t="str">
        <f t="shared" si="154"/>
        <v/>
      </c>
      <c r="AG373" s="24">
        <f>IFERROR(_xlfn.XLOOKUP(N373&amp;P373,'Historico Vendas'!G:G,'Historico Vendas'!F:F),0)</f>
        <v>0</v>
      </c>
      <c r="AH373" s="25">
        <f t="shared" si="174"/>
        <v>0</v>
      </c>
      <c r="AI373" s="24">
        <f t="shared" si="175"/>
        <v>0</v>
      </c>
      <c r="AJ373" s="11" t="str">
        <f t="shared" si="155"/>
        <v/>
      </c>
      <c r="AK373" s="9" t="s">
        <v>102</v>
      </c>
      <c r="AL373" s="13">
        <f>IFERROR(INDEX('Balizador da Meta'!$D$3:$F$23,MATCH(Quantidade!$P373,'Balizador da Meta'!$C$3:$C$23,0),MATCH(Quantidade!AK373,'Balizador da Meta'!$D$2:$F$2,0)),"")</f>
        <v>0.25</v>
      </c>
      <c r="AM373" s="9"/>
    </row>
    <row r="374" spans="1:39" x14ac:dyDescent="0.3">
      <c r="A374" s="2" t="str">
        <f t="shared" si="152"/>
        <v>NÃO</v>
      </c>
      <c r="B374" s="2" t="str">
        <f>_xlfn.XLOOKUP($N374,'Base de Grupos'!$A:$A,'Base de Grupos'!$D:$D)</f>
        <v>1000065763</v>
      </c>
      <c r="C374" s="5" t="str">
        <f>_xlfn.XLOOKUP($N374,'Base de Grupos'!$A:$A,'Base de Grupos'!$E:$E)</f>
        <v>CANAL VENDA INTERNA</v>
      </c>
      <c r="D374" s="5" t="str">
        <f>_xlfn.XLOOKUP($N374,'Base de Grupos'!$A:$A,'Base de Grupos'!$F:$F)</f>
        <v>1000065763</v>
      </c>
      <c r="E374" s="2" t="str">
        <f>_xlfn.XLOOKUP($N374,'Base de Grupos'!$A:$A,'Base de Grupos'!$G:$G)</f>
        <v>CANAL VENDA INTERNA</v>
      </c>
      <c r="F374" s="2" t="str">
        <f>_xlfn.XLOOKUP($N374,'Base de Grupos'!$A:$A,'Base de Grupos'!$H:$H)</f>
        <v>1000105899</v>
      </c>
      <c r="G374" s="5" t="str">
        <f>_xlfn.XLOOKUP($N374,'Base de Grupos'!$A:$A,'Base de Grupos'!$I:$I)</f>
        <v>REGIONAL VENDA DIRETA SUDESTE</v>
      </c>
      <c r="H374" s="5" t="str">
        <f>_xlfn.XLOOKUP($N374,'Base de Grupos'!$A:$A,'Base de Grupos'!$J:$J)</f>
        <v>1000105899</v>
      </c>
      <c r="I374" s="2" t="str">
        <f>_xlfn.XLOOKUP($N374,'Base de Grupos'!$A:$A,'Base de Grupos'!$K:$K)</f>
        <v>REGIONAL VENDA DIRETA SUDESTE</v>
      </c>
      <c r="J374" s="2" t="str">
        <f>_xlfn.XLOOKUP($N374,'Base de Grupos'!$A:$A,'Base de Grupos'!$L:$L)</f>
        <v>1000150135</v>
      </c>
      <c r="K374" s="5" t="str">
        <f>_xlfn.XLOOKUP($N374,'Base de Grupos'!$A:$A,'Base de Grupos'!$M:$M)</f>
        <v>HELDER DA SILVA BRUNKOW</v>
      </c>
      <c r="L374" s="5" t="str">
        <f t="shared" si="153"/>
        <v/>
      </c>
      <c r="M374" s="5" t="str">
        <f>_xlfn.XLOOKUP($N374,'Base de Grupos'!$A:$A,'Base de Grupos'!$C:$C)</f>
        <v>MG</v>
      </c>
      <c r="N374" s="3">
        <v>1359</v>
      </c>
      <c r="O374" s="4" t="s">
        <v>244</v>
      </c>
      <c r="P374" s="5" t="s">
        <v>88</v>
      </c>
      <c r="Q374" s="24">
        <v>0</v>
      </c>
      <c r="R374" s="24">
        <v>0</v>
      </c>
      <c r="S374" s="24">
        <v>0</v>
      </c>
      <c r="T374" s="24">
        <v>0</v>
      </c>
      <c r="U374" s="24">
        <v>0</v>
      </c>
      <c r="V374" s="24">
        <v>0</v>
      </c>
      <c r="W374" s="24">
        <v>0</v>
      </c>
      <c r="X374" s="24">
        <v>0</v>
      </c>
      <c r="Y374" s="24">
        <v>0</v>
      </c>
      <c r="Z374" s="24">
        <v>0</v>
      </c>
      <c r="AA374" s="24">
        <v>0</v>
      </c>
      <c r="AB374" s="24">
        <v>0</v>
      </c>
      <c r="AC374" s="30">
        <f t="shared" si="171"/>
        <v>0</v>
      </c>
      <c r="AD374" s="27">
        <f t="shared" si="173"/>
        <v>0</v>
      </c>
      <c r="AE374" s="25">
        <f>IFERROR(_xlfn.XLOOKUP(N374&amp;P374,'Historico Vendas'!G:G,'Historico Vendas'!E:E),0)</f>
        <v>0</v>
      </c>
      <c r="AF374" s="29" t="str">
        <f t="shared" si="154"/>
        <v/>
      </c>
      <c r="AG374" s="24">
        <f>IFERROR(_xlfn.XLOOKUP(N374&amp;P374,'Historico Vendas'!G:G,'Historico Vendas'!F:F),0)</f>
        <v>0</v>
      </c>
      <c r="AH374" s="25">
        <f t="shared" si="174"/>
        <v>0</v>
      </c>
      <c r="AI374" s="24">
        <f t="shared" si="175"/>
        <v>0</v>
      </c>
      <c r="AJ374" s="11" t="str">
        <f t="shared" si="155"/>
        <v/>
      </c>
      <c r="AK374" s="9" t="s">
        <v>102</v>
      </c>
      <c r="AL374" s="13">
        <f>IFERROR(INDEX('Balizador da Meta'!$D$3:$F$23,MATCH(Quantidade!$P374,'Balizador da Meta'!$C$3:$C$23,0),MATCH(Quantidade!AK374,'Balizador da Meta'!$D$2:$F$2,0)),"")</f>
        <v>0</v>
      </c>
      <c r="AM374" s="9"/>
    </row>
    <row r="375" spans="1:39" x14ac:dyDescent="0.3">
      <c r="A375" s="2" t="str">
        <f t="shared" si="152"/>
        <v>NÃO</v>
      </c>
      <c r="B375" s="2" t="str">
        <f>_xlfn.XLOOKUP($N375,'Base de Grupos'!$A:$A,'Base de Grupos'!$D:$D)</f>
        <v>1000065763</v>
      </c>
      <c r="C375" s="5" t="str">
        <f>_xlfn.XLOOKUP($N375,'Base de Grupos'!$A:$A,'Base de Grupos'!$E:$E)</f>
        <v>CANAL VENDA INTERNA</v>
      </c>
      <c r="D375" s="5" t="str">
        <f>_xlfn.XLOOKUP($N375,'Base de Grupos'!$A:$A,'Base de Grupos'!$F:$F)</f>
        <v>1000065763</v>
      </c>
      <c r="E375" s="2" t="str">
        <f>_xlfn.XLOOKUP($N375,'Base de Grupos'!$A:$A,'Base de Grupos'!$G:$G)</f>
        <v>CANAL VENDA INTERNA</v>
      </c>
      <c r="F375" s="2" t="str">
        <f>_xlfn.XLOOKUP($N375,'Base de Grupos'!$A:$A,'Base de Grupos'!$H:$H)</f>
        <v>1000105899</v>
      </c>
      <c r="G375" s="5" t="str">
        <f>_xlfn.XLOOKUP($N375,'Base de Grupos'!$A:$A,'Base de Grupos'!$I:$I)</f>
        <v>REGIONAL VENDA DIRETA SUDESTE</v>
      </c>
      <c r="H375" s="5" t="str">
        <f>_xlfn.XLOOKUP($N375,'Base de Grupos'!$A:$A,'Base de Grupos'!$J:$J)</f>
        <v>1000105899</v>
      </c>
      <c r="I375" s="2" t="str">
        <f>_xlfn.XLOOKUP($N375,'Base de Grupos'!$A:$A,'Base de Grupos'!$K:$K)</f>
        <v>REGIONAL VENDA DIRETA SUDESTE</v>
      </c>
      <c r="J375" s="2" t="str">
        <f>_xlfn.XLOOKUP($N375,'Base de Grupos'!$A:$A,'Base de Grupos'!$L:$L)</f>
        <v>1000150135</v>
      </c>
      <c r="K375" s="5" t="str">
        <f>_xlfn.XLOOKUP($N375,'Base de Grupos'!$A:$A,'Base de Grupos'!$M:$M)</f>
        <v>HELDER DA SILVA BRUNKOW</v>
      </c>
      <c r="L375" s="5" t="str">
        <f t="shared" si="153"/>
        <v/>
      </c>
      <c r="M375" s="5" t="str">
        <f>_xlfn.XLOOKUP($N375,'Base de Grupos'!$A:$A,'Base de Grupos'!$C:$C)</f>
        <v>MG</v>
      </c>
      <c r="N375" s="3">
        <v>1359</v>
      </c>
      <c r="O375" s="4" t="s">
        <v>244</v>
      </c>
      <c r="P375" s="5" t="s">
        <v>90</v>
      </c>
      <c r="Q375" s="24">
        <v>0</v>
      </c>
      <c r="R375" s="24">
        <v>0</v>
      </c>
      <c r="S375" s="24">
        <v>0</v>
      </c>
      <c r="T375" s="24">
        <v>0</v>
      </c>
      <c r="U375" s="24">
        <v>0</v>
      </c>
      <c r="V375" s="24">
        <v>0</v>
      </c>
      <c r="W375" s="24">
        <v>0</v>
      </c>
      <c r="X375" s="24">
        <v>0</v>
      </c>
      <c r="Y375" s="24">
        <v>0</v>
      </c>
      <c r="Z375" s="24">
        <v>0</v>
      </c>
      <c r="AA375" s="24">
        <v>0</v>
      </c>
      <c r="AB375" s="24">
        <v>0</v>
      </c>
      <c r="AC375" s="30">
        <f t="shared" si="171"/>
        <v>0</v>
      </c>
      <c r="AD375" s="27">
        <f t="shared" si="173"/>
        <v>0</v>
      </c>
      <c r="AE375" s="25">
        <f>IFERROR(_xlfn.XLOOKUP(N375&amp;P375,'Historico Vendas'!G:G,'Historico Vendas'!E:E),0)</f>
        <v>0</v>
      </c>
      <c r="AF375" s="29" t="str">
        <f t="shared" si="154"/>
        <v/>
      </c>
      <c r="AG375" s="24">
        <f>IFERROR(_xlfn.XLOOKUP(N375&amp;P375,'Historico Vendas'!G:G,'Historico Vendas'!F:F),0)</f>
        <v>0</v>
      </c>
      <c r="AH375" s="25">
        <f t="shared" si="174"/>
        <v>0</v>
      </c>
      <c r="AI375" s="24">
        <f t="shared" si="175"/>
        <v>0</v>
      </c>
      <c r="AJ375" s="11" t="str">
        <f t="shared" si="155"/>
        <v/>
      </c>
      <c r="AK375" s="9" t="s">
        <v>102</v>
      </c>
      <c r="AL375" s="13">
        <f>IFERROR(INDEX('Balizador da Meta'!$D$3:$F$23,MATCH(Quantidade!$P375,'Balizador da Meta'!$C$3:$C$23,0),MATCH(Quantidade!AK375,'Balizador da Meta'!$D$2:$F$2,0)),"")</f>
        <v>0</v>
      </c>
      <c r="AM375" s="9"/>
    </row>
    <row r="376" spans="1:39" x14ac:dyDescent="0.3">
      <c r="A376" s="2" t="str">
        <f t="shared" si="152"/>
        <v>NÃO</v>
      </c>
      <c r="B376" s="2" t="str">
        <f>_xlfn.XLOOKUP($N376,'Base de Grupos'!$A:$A,'Base de Grupos'!$D:$D)</f>
        <v>1000065763</v>
      </c>
      <c r="C376" s="5" t="str">
        <f>_xlfn.XLOOKUP($N376,'Base de Grupos'!$A:$A,'Base de Grupos'!$E:$E)</f>
        <v>CANAL VENDA INTERNA</v>
      </c>
      <c r="D376" s="5" t="str">
        <f>_xlfn.XLOOKUP($N376,'Base de Grupos'!$A:$A,'Base de Grupos'!$F:$F)</f>
        <v>1000065763</v>
      </c>
      <c r="E376" s="2" t="str">
        <f>_xlfn.XLOOKUP($N376,'Base de Grupos'!$A:$A,'Base de Grupos'!$G:$G)</f>
        <v>CANAL VENDA INTERNA</v>
      </c>
      <c r="F376" s="2" t="str">
        <f>_xlfn.XLOOKUP($N376,'Base de Grupos'!$A:$A,'Base de Grupos'!$H:$H)</f>
        <v>1000105899</v>
      </c>
      <c r="G376" s="5" t="str">
        <f>_xlfn.XLOOKUP($N376,'Base de Grupos'!$A:$A,'Base de Grupos'!$I:$I)</f>
        <v>REGIONAL VENDA DIRETA SUDESTE</v>
      </c>
      <c r="H376" s="5" t="str">
        <f>_xlfn.XLOOKUP($N376,'Base de Grupos'!$A:$A,'Base de Grupos'!$J:$J)</f>
        <v>1000105899</v>
      </c>
      <c r="I376" s="2" t="str">
        <f>_xlfn.XLOOKUP($N376,'Base de Grupos'!$A:$A,'Base de Grupos'!$K:$K)</f>
        <v>REGIONAL VENDA DIRETA SUDESTE</v>
      </c>
      <c r="J376" s="2" t="str">
        <f>_xlfn.XLOOKUP($N376,'Base de Grupos'!$A:$A,'Base de Grupos'!$L:$L)</f>
        <v>1000150135</v>
      </c>
      <c r="K376" s="5" t="str">
        <f>_xlfn.XLOOKUP($N376,'Base de Grupos'!$A:$A,'Base de Grupos'!$M:$M)</f>
        <v>HELDER DA SILVA BRUNKOW</v>
      </c>
      <c r="L376" s="5" t="str">
        <f t="shared" si="153"/>
        <v/>
      </c>
      <c r="M376" s="5" t="str">
        <f>_xlfn.XLOOKUP($N376,'Base de Grupos'!$A:$A,'Base de Grupos'!$C:$C)</f>
        <v>MG</v>
      </c>
      <c r="N376" s="3">
        <v>1359</v>
      </c>
      <c r="O376" s="4" t="s">
        <v>244</v>
      </c>
      <c r="P376" s="5" t="s">
        <v>91</v>
      </c>
      <c r="Q376" s="24">
        <v>0</v>
      </c>
      <c r="R376" s="24">
        <v>0</v>
      </c>
      <c r="S376" s="24">
        <v>0</v>
      </c>
      <c r="T376" s="24">
        <v>0</v>
      </c>
      <c r="U376" s="24">
        <v>0</v>
      </c>
      <c r="V376" s="24">
        <v>0</v>
      </c>
      <c r="W376" s="24">
        <v>0</v>
      </c>
      <c r="X376" s="24">
        <v>0</v>
      </c>
      <c r="Y376" s="24">
        <v>0</v>
      </c>
      <c r="Z376" s="24">
        <v>0</v>
      </c>
      <c r="AA376" s="24">
        <v>0</v>
      </c>
      <c r="AB376" s="24">
        <v>0</v>
      </c>
      <c r="AC376" s="30">
        <f t="shared" si="171"/>
        <v>0</v>
      </c>
      <c r="AD376" s="27">
        <f t="shared" si="173"/>
        <v>0</v>
      </c>
      <c r="AE376" s="25">
        <f>IFERROR(_xlfn.XLOOKUP(N376&amp;P376,'Historico Vendas'!G:G,'Historico Vendas'!E:E),0)</f>
        <v>0</v>
      </c>
      <c r="AF376" s="29" t="str">
        <f t="shared" si="154"/>
        <v/>
      </c>
      <c r="AG376" s="24">
        <f>IFERROR(_xlfn.XLOOKUP(N376&amp;P376,'Historico Vendas'!G:G,'Historico Vendas'!F:F),0)</f>
        <v>0</v>
      </c>
      <c r="AH376" s="25">
        <f t="shared" si="174"/>
        <v>0</v>
      </c>
      <c r="AI376" s="24">
        <f t="shared" si="175"/>
        <v>0</v>
      </c>
      <c r="AJ376" s="11" t="str">
        <f t="shared" si="155"/>
        <v/>
      </c>
      <c r="AK376" s="9" t="s">
        <v>102</v>
      </c>
      <c r="AL376" s="13">
        <f>IFERROR(INDEX('Balizador da Meta'!$D$3:$F$23,MATCH(Quantidade!$P376,'Balizador da Meta'!$C$3:$C$23,0),MATCH(Quantidade!AK376,'Balizador da Meta'!$D$2:$F$2,0)),"")</f>
        <v>0</v>
      </c>
      <c r="AM376" s="9"/>
    </row>
    <row r="377" spans="1:39" x14ac:dyDescent="0.3">
      <c r="A377" s="2" t="str">
        <f t="shared" si="152"/>
        <v>NÃO</v>
      </c>
      <c r="B377" s="2" t="str">
        <f>_xlfn.XLOOKUP($N377,'Base de Grupos'!$A:$A,'Base de Grupos'!$D:$D)</f>
        <v>1000065763</v>
      </c>
      <c r="C377" s="5" t="str">
        <f>_xlfn.XLOOKUP($N377,'Base de Grupos'!$A:$A,'Base de Grupos'!$E:$E)</f>
        <v>CANAL VENDA INTERNA</v>
      </c>
      <c r="D377" s="5" t="str">
        <f>_xlfn.XLOOKUP($N377,'Base de Grupos'!$A:$A,'Base de Grupos'!$F:$F)</f>
        <v>1000065763</v>
      </c>
      <c r="E377" s="2" t="str">
        <f>_xlfn.XLOOKUP($N377,'Base de Grupos'!$A:$A,'Base de Grupos'!$G:$G)</f>
        <v>CANAL VENDA INTERNA</v>
      </c>
      <c r="F377" s="2" t="str">
        <f>_xlfn.XLOOKUP($N377,'Base de Grupos'!$A:$A,'Base de Grupos'!$H:$H)</f>
        <v>1000105899</v>
      </c>
      <c r="G377" s="5" t="str">
        <f>_xlfn.XLOOKUP($N377,'Base de Grupos'!$A:$A,'Base de Grupos'!$I:$I)</f>
        <v>REGIONAL VENDA DIRETA SUDESTE</v>
      </c>
      <c r="H377" s="5" t="str">
        <f>_xlfn.XLOOKUP($N377,'Base de Grupos'!$A:$A,'Base de Grupos'!$J:$J)</f>
        <v>1000105899</v>
      </c>
      <c r="I377" s="2" t="str">
        <f>_xlfn.XLOOKUP($N377,'Base de Grupos'!$A:$A,'Base de Grupos'!$K:$K)</f>
        <v>REGIONAL VENDA DIRETA SUDESTE</v>
      </c>
      <c r="J377" s="2" t="str">
        <f>_xlfn.XLOOKUP($N377,'Base de Grupos'!$A:$A,'Base de Grupos'!$L:$L)</f>
        <v>1000150135</v>
      </c>
      <c r="K377" s="5" t="str">
        <f>_xlfn.XLOOKUP($N377,'Base de Grupos'!$A:$A,'Base de Grupos'!$M:$M)</f>
        <v>HELDER DA SILVA BRUNKOW</v>
      </c>
      <c r="L377" s="5" t="str">
        <f t="shared" si="153"/>
        <v/>
      </c>
      <c r="M377" s="5" t="str">
        <f>_xlfn.XLOOKUP($N377,'Base de Grupos'!$A:$A,'Base de Grupos'!$C:$C)</f>
        <v>MG</v>
      </c>
      <c r="N377" s="3">
        <v>1359</v>
      </c>
      <c r="O377" s="4" t="s">
        <v>244</v>
      </c>
      <c r="P377" s="5" t="s">
        <v>96</v>
      </c>
      <c r="Q377" s="24">
        <f>SUM(Q378:Q398)</f>
        <v>0</v>
      </c>
      <c r="R377" s="24">
        <f t="shared" ref="R377" si="176">SUM(R378:R398)</f>
        <v>0</v>
      </c>
      <c r="S377" s="24">
        <f t="shared" ref="S377" si="177">SUM(S378:S398)</f>
        <v>0</v>
      </c>
      <c r="T377" s="24">
        <f t="shared" ref="T377:AC377" si="178">SUM(T378:T398)</f>
        <v>0</v>
      </c>
      <c r="U377" s="24">
        <f t="shared" si="178"/>
        <v>0</v>
      </c>
      <c r="V377" s="24">
        <f t="shared" si="178"/>
        <v>0</v>
      </c>
      <c r="W377" s="24">
        <f t="shared" si="178"/>
        <v>0</v>
      </c>
      <c r="X377" s="24">
        <f t="shared" si="178"/>
        <v>0</v>
      </c>
      <c r="Y377" s="24">
        <f t="shared" si="178"/>
        <v>0</v>
      </c>
      <c r="Z377" s="24">
        <f t="shared" si="178"/>
        <v>0</v>
      </c>
      <c r="AA377" s="24">
        <f t="shared" si="178"/>
        <v>0</v>
      </c>
      <c r="AB377" s="24">
        <f t="shared" si="178"/>
        <v>0</v>
      </c>
      <c r="AC377" s="24">
        <f t="shared" si="178"/>
        <v>0</v>
      </c>
      <c r="AD377" s="27">
        <f t="shared" si="173"/>
        <v>0</v>
      </c>
      <c r="AE377" s="25">
        <f>IFERROR(_xlfn.XLOOKUP(N377&amp;P377,'Historico Vendas'!G:G,'Historico Vendas'!E:E),0)</f>
        <v>0</v>
      </c>
      <c r="AF377" s="29" t="str">
        <f t="shared" si="154"/>
        <v/>
      </c>
      <c r="AG377" s="24">
        <f>IFERROR(_xlfn.XLOOKUP(N377&amp;P377,'Historico Vendas'!G:G,'Historico Vendas'!F:F),0)</f>
        <v>0</v>
      </c>
      <c r="AH377" s="25">
        <f t="shared" si="174"/>
        <v>0</v>
      </c>
      <c r="AI377" s="24">
        <f t="shared" si="175"/>
        <v>0</v>
      </c>
      <c r="AJ377" s="11" t="str">
        <f t="shared" si="155"/>
        <v/>
      </c>
      <c r="AK377" s="9" t="s">
        <v>102</v>
      </c>
      <c r="AL377" s="13">
        <f>IFERROR(INDEX('Balizador da Meta'!$D$3:$F$23,MATCH(Quantidade!$P377,'Balizador da Meta'!$C$3:$C$23,0),MATCH(Quantidade!AK377,'Balizador da Meta'!$D$2:$F$2,0)),"")</f>
        <v>0</v>
      </c>
      <c r="AM377" s="9"/>
    </row>
    <row r="378" spans="1:39" x14ac:dyDescent="0.3">
      <c r="A378" s="2" t="str">
        <f t="shared" si="152"/>
        <v>NÃO</v>
      </c>
      <c r="B378" s="2" t="str">
        <f>_xlfn.XLOOKUP($N378,'Base de Grupos'!$A:$A,'Base de Grupos'!$D:$D)</f>
        <v>1000065763</v>
      </c>
      <c r="C378" s="5" t="str">
        <f>_xlfn.XLOOKUP($N378,'Base de Grupos'!$A:$A,'Base de Grupos'!$E:$E)</f>
        <v>CANAL VENDA INTERNA</v>
      </c>
      <c r="D378" s="5" t="str">
        <f>_xlfn.XLOOKUP($N378,'Base de Grupos'!$A:$A,'Base de Grupos'!$F:$F)</f>
        <v>1000065763</v>
      </c>
      <c r="E378" s="2" t="str">
        <f>_xlfn.XLOOKUP($N378,'Base de Grupos'!$A:$A,'Base de Grupos'!$G:$G)</f>
        <v>CANAL VENDA INTERNA</v>
      </c>
      <c r="F378" s="2" t="str">
        <f>_xlfn.XLOOKUP($N378,'Base de Grupos'!$A:$A,'Base de Grupos'!$H:$H)</f>
        <v>1000105899</v>
      </c>
      <c r="G378" s="5" t="str">
        <f>_xlfn.XLOOKUP($N378,'Base de Grupos'!$A:$A,'Base de Grupos'!$I:$I)</f>
        <v>REGIONAL VENDA DIRETA SUDESTE</v>
      </c>
      <c r="H378" s="5" t="str">
        <f>_xlfn.XLOOKUP($N378,'Base de Grupos'!$A:$A,'Base de Grupos'!$J:$J)</f>
        <v>1000105899</v>
      </c>
      <c r="I378" s="2" t="str">
        <f>_xlfn.XLOOKUP($N378,'Base de Grupos'!$A:$A,'Base de Grupos'!$K:$K)</f>
        <v>REGIONAL VENDA DIRETA SUDESTE</v>
      </c>
      <c r="J378" s="2" t="str">
        <f>_xlfn.XLOOKUP($N378,'Base de Grupos'!$A:$A,'Base de Grupos'!$L:$L)</f>
        <v>1000150135</v>
      </c>
      <c r="K378" s="5" t="str">
        <f>_xlfn.XLOOKUP($N378,'Base de Grupos'!$A:$A,'Base de Grupos'!$M:$M)</f>
        <v>HELDER DA SILVA BRUNKOW</v>
      </c>
      <c r="L378" s="5" t="str">
        <f t="shared" si="153"/>
        <v/>
      </c>
      <c r="M378" s="5" t="str">
        <f>_xlfn.XLOOKUP($N378,'Base de Grupos'!$A:$A,'Base de Grupos'!$C:$C)</f>
        <v>MG</v>
      </c>
      <c r="N378" s="3">
        <v>1359</v>
      </c>
      <c r="O378" s="4" t="s">
        <v>244</v>
      </c>
      <c r="P378" s="5" t="s">
        <v>94</v>
      </c>
      <c r="Q378" s="24">
        <v>0</v>
      </c>
      <c r="R378" s="24">
        <v>0</v>
      </c>
      <c r="S378" s="24">
        <v>0</v>
      </c>
      <c r="T378" s="24">
        <v>0</v>
      </c>
      <c r="U378" s="24">
        <v>0</v>
      </c>
      <c r="V378" s="24">
        <v>0</v>
      </c>
      <c r="W378" s="24">
        <v>0</v>
      </c>
      <c r="X378" s="24">
        <v>0</v>
      </c>
      <c r="Y378" s="24">
        <v>0</v>
      </c>
      <c r="Z378" s="24">
        <v>0</v>
      </c>
      <c r="AA378" s="24">
        <v>0</v>
      </c>
      <c r="AB378" s="24">
        <v>0</v>
      </c>
      <c r="AC378" s="30">
        <f t="shared" ref="AC378:AC398" si="179">SUM(T378:AB378)</f>
        <v>0</v>
      </c>
      <c r="AD378" s="27">
        <f t="shared" si="173"/>
        <v>0</v>
      </c>
      <c r="AE378" s="25">
        <f>IFERROR(_xlfn.XLOOKUP(N378&amp;P378,'Historico Vendas'!G:G,'Historico Vendas'!E:E),0)</f>
        <v>0</v>
      </c>
      <c r="AF378" s="29" t="str">
        <f t="shared" si="154"/>
        <v/>
      </c>
      <c r="AG378" s="24">
        <f>IFERROR(_xlfn.XLOOKUP(N378&amp;P378,'Historico Vendas'!G:G,'Historico Vendas'!F:F),0)</f>
        <v>0</v>
      </c>
      <c r="AH378" s="25">
        <f t="shared" si="174"/>
        <v>0</v>
      </c>
      <c r="AI378" s="24">
        <f t="shared" si="175"/>
        <v>0</v>
      </c>
      <c r="AJ378" s="11" t="str">
        <f t="shared" si="155"/>
        <v/>
      </c>
      <c r="AK378" s="9" t="s">
        <v>102</v>
      </c>
      <c r="AL378" s="13">
        <f>IFERROR(INDEX('Balizador da Meta'!$D$3:$F$23,MATCH(Quantidade!$P378,'Balizador da Meta'!$C$3:$C$23,0),MATCH(Quantidade!AK378,'Balizador da Meta'!$D$2:$F$2,0)),"")</f>
        <v>0.25</v>
      </c>
      <c r="AM378" s="9"/>
    </row>
    <row r="379" spans="1:39" x14ac:dyDescent="0.3">
      <c r="A379" s="2" t="str">
        <f t="shared" si="152"/>
        <v>NÃO</v>
      </c>
      <c r="B379" s="2" t="str">
        <f>_xlfn.XLOOKUP($N379,'Base de Grupos'!$A:$A,'Base de Grupos'!$D:$D)</f>
        <v>1000065763</v>
      </c>
      <c r="C379" s="5" t="str">
        <f>_xlfn.XLOOKUP($N379,'Base de Grupos'!$A:$A,'Base de Grupos'!$E:$E)</f>
        <v>CANAL VENDA INTERNA</v>
      </c>
      <c r="D379" s="5" t="str">
        <f>_xlfn.XLOOKUP($N379,'Base de Grupos'!$A:$A,'Base de Grupos'!$F:$F)</f>
        <v>1000065763</v>
      </c>
      <c r="E379" s="2" t="str">
        <f>_xlfn.XLOOKUP($N379,'Base de Grupos'!$A:$A,'Base de Grupos'!$G:$G)</f>
        <v>CANAL VENDA INTERNA</v>
      </c>
      <c r="F379" s="2" t="str">
        <f>_xlfn.XLOOKUP($N379,'Base de Grupos'!$A:$A,'Base de Grupos'!$H:$H)</f>
        <v>1000105899</v>
      </c>
      <c r="G379" s="5" t="str">
        <f>_xlfn.XLOOKUP($N379,'Base de Grupos'!$A:$A,'Base de Grupos'!$I:$I)</f>
        <v>REGIONAL VENDA DIRETA SUDESTE</v>
      </c>
      <c r="H379" s="5" t="str">
        <f>_xlfn.XLOOKUP($N379,'Base de Grupos'!$A:$A,'Base de Grupos'!$J:$J)</f>
        <v>1000105899</v>
      </c>
      <c r="I379" s="2" t="str">
        <f>_xlfn.XLOOKUP($N379,'Base de Grupos'!$A:$A,'Base de Grupos'!$K:$K)</f>
        <v>REGIONAL VENDA DIRETA SUDESTE</v>
      </c>
      <c r="J379" s="2" t="str">
        <f>_xlfn.XLOOKUP($N379,'Base de Grupos'!$A:$A,'Base de Grupos'!$L:$L)</f>
        <v>1000150135</v>
      </c>
      <c r="K379" s="5" t="str">
        <f>_xlfn.XLOOKUP($N379,'Base de Grupos'!$A:$A,'Base de Grupos'!$M:$M)</f>
        <v>HELDER DA SILVA BRUNKOW</v>
      </c>
      <c r="L379" s="5" t="str">
        <f t="shared" si="153"/>
        <v/>
      </c>
      <c r="M379" s="5" t="str">
        <f>_xlfn.XLOOKUP($N379,'Base de Grupos'!$A:$A,'Base de Grupos'!$C:$C)</f>
        <v>MG</v>
      </c>
      <c r="N379" s="3">
        <v>1359</v>
      </c>
      <c r="O379" s="4" t="s">
        <v>244</v>
      </c>
      <c r="P379" s="5" t="s">
        <v>95</v>
      </c>
      <c r="Q379" s="24">
        <v>0</v>
      </c>
      <c r="R379" s="24">
        <v>0</v>
      </c>
      <c r="S379" s="24">
        <v>0</v>
      </c>
      <c r="T379" s="24">
        <v>0</v>
      </c>
      <c r="U379" s="24">
        <v>0</v>
      </c>
      <c r="V379" s="24">
        <v>0</v>
      </c>
      <c r="W379" s="24">
        <v>0</v>
      </c>
      <c r="X379" s="24">
        <v>0</v>
      </c>
      <c r="Y379" s="24">
        <v>0</v>
      </c>
      <c r="Z379" s="24">
        <v>0</v>
      </c>
      <c r="AA379" s="24">
        <v>0</v>
      </c>
      <c r="AB379" s="24">
        <v>0</v>
      </c>
      <c r="AC379" s="30">
        <f t="shared" si="179"/>
        <v>0</v>
      </c>
      <c r="AD379" s="27">
        <f t="shared" si="173"/>
        <v>0</v>
      </c>
      <c r="AE379" s="25">
        <f>IFERROR(_xlfn.XLOOKUP(N379&amp;P379,'Historico Vendas'!G:G,'Historico Vendas'!E:E),0)</f>
        <v>0</v>
      </c>
      <c r="AF379" s="29" t="str">
        <f t="shared" si="154"/>
        <v/>
      </c>
      <c r="AG379" s="24">
        <f>IFERROR(_xlfn.XLOOKUP(N379&amp;P379,'Historico Vendas'!G:G,'Historico Vendas'!F:F),0)</f>
        <v>0</v>
      </c>
      <c r="AH379" s="25">
        <f t="shared" si="174"/>
        <v>0</v>
      </c>
      <c r="AI379" s="24">
        <f t="shared" si="175"/>
        <v>0</v>
      </c>
      <c r="AJ379" s="11" t="str">
        <f t="shared" si="155"/>
        <v/>
      </c>
      <c r="AK379" s="9" t="s">
        <v>102</v>
      </c>
      <c r="AL379" s="13">
        <f>IFERROR(INDEX('Balizador da Meta'!$D$3:$F$23,MATCH(Quantidade!$P379,'Balizador da Meta'!$C$3:$C$23,0),MATCH(Quantidade!AK379,'Balizador da Meta'!$D$2:$F$2,0)),"")</f>
        <v>0.25</v>
      </c>
      <c r="AM379" s="9"/>
    </row>
    <row r="380" spans="1:39" x14ac:dyDescent="0.3">
      <c r="A380" s="2" t="str">
        <f t="shared" si="152"/>
        <v>NÃO</v>
      </c>
      <c r="B380" s="2" t="str">
        <f>_xlfn.XLOOKUP($N380,'Base de Grupos'!$A:$A,'Base de Grupos'!$D:$D)</f>
        <v>1000065763</v>
      </c>
      <c r="C380" s="5" t="str">
        <f>_xlfn.XLOOKUP($N380,'Base de Grupos'!$A:$A,'Base de Grupos'!$E:$E)</f>
        <v>CANAL VENDA INTERNA</v>
      </c>
      <c r="D380" s="5" t="str">
        <f>_xlfn.XLOOKUP($N380,'Base de Grupos'!$A:$A,'Base de Grupos'!$F:$F)</f>
        <v>1000065763</v>
      </c>
      <c r="E380" s="2" t="str">
        <f>_xlfn.XLOOKUP($N380,'Base de Grupos'!$A:$A,'Base de Grupos'!$G:$G)</f>
        <v>CANAL VENDA INTERNA</v>
      </c>
      <c r="F380" s="2" t="str">
        <f>_xlfn.XLOOKUP($N380,'Base de Grupos'!$A:$A,'Base de Grupos'!$H:$H)</f>
        <v>1000105899</v>
      </c>
      <c r="G380" s="5" t="str">
        <f>_xlfn.XLOOKUP($N380,'Base de Grupos'!$A:$A,'Base de Grupos'!$I:$I)</f>
        <v>REGIONAL VENDA DIRETA SUDESTE</v>
      </c>
      <c r="H380" s="5" t="str">
        <f>_xlfn.XLOOKUP($N380,'Base de Grupos'!$A:$A,'Base de Grupos'!$J:$J)</f>
        <v>1000105899</v>
      </c>
      <c r="I380" s="2" t="str">
        <f>_xlfn.XLOOKUP($N380,'Base de Grupos'!$A:$A,'Base de Grupos'!$K:$K)</f>
        <v>REGIONAL VENDA DIRETA SUDESTE</v>
      </c>
      <c r="J380" s="2" t="str">
        <f>_xlfn.XLOOKUP($N380,'Base de Grupos'!$A:$A,'Base de Grupos'!$L:$L)</f>
        <v>1000150135</v>
      </c>
      <c r="K380" s="5" t="str">
        <f>_xlfn.XLOOKUP($N380,'Base de Grupos'!$A:$A,'Base de Grupos'!$M:$M)</f>
        <v>HELDER DA SILVA BRUNKOW</v>
      </c>
      <c r="L380" s="5" t="str">
        <f t="shared" si="153"/>
        <v/>
      </c>
      <c r="M380" s="5" t="str">
        <f>_xlfn.XLOOKUP($N380,'Base de Grupos'!$A:$A,'Base de Grupos'!$C:$C)</f>
        <v>MG</v>
      </c>
      <c r="N380" s="3">
        <v>1359</v>
      </c>
      <c r="O380" s="4" t="s">
        <v>244</v>
      </c>
      <c r="P380" s="5" t="s">
        <v>93</v>
      </c>
      <c r="Q380" s="24">
        <v>0</v>
      </c>
      <c r="R380" s="24">
        <v>0</v>
      </c>
      <c r="S380" s="24">
        <v>0</v>
      </c>
      <c r="T380" s="24">
        <v>0</v>
      </c>
      <c r="U380" s="24">
        <v>0</v>
      </c>
      <c r="V380" s="24">
        <v>0</v>
      </c>
      <c r="W380" s="24">
        <v>0</v>
      </c>
      <c r="X380" s="24">
        <v>0</v>
      </c>
      <c r="Y380" s="24">
        <v>0</v>
      </c>
      <c r="Z380" s="24">
        <v>0</v>
      </c>
      <c r="AA380" s="24">
        <v>0</v>
      </c>
      <c r="AB380" s="24">
        <v>0</v>
      </c>
      <c r="AC380" s="30">
        <f t="shared" si="179"/>
        <v>0</v>
      </c>
      <c r="AD380" s="27">
        <f t="shared" si="173"/>
        <v>0</v>
      </c>
      <c r="AE380" s="25">
        <f>IFERROR(_xlfn.XLOOKUP(N380&amp;P380,'Historico Vendas'!G:G,'Historico Vendas'!E:E),0)</f>
        <v>0</v>
      </c>
      <c r="AF380" s="29" t="str">
        <f t="shared" si="154"/>
        <v/>
      </c>
      <c r="AG380" s="24">
        <f>IFERROR(_xlfn.XLOOKUP(N380&amp;P380,'Historico Vendas'!G:G,'Historico Vendas'!F:F),0)</f>
        <v>0</v>
      </c>
      <c r="AH380" s="25">
        <f t="shared" si="174"/>
        <v>0</v>
      </c>
      <c r="AI380" s="24">
        <f t="shared" si="175"/>
        <v>0</v>
      </c>
      <c r="AJ380" s="11" t="str">
        <f t="shared" si="155"/>
        <v/>
      </c>
      <c r="AK380" s="9" t="s">
        <v>102</v>
      </c>
      <c r="AL380" s="13">
        <f>IFERROR(INDEX('Balizador da Meta'!$D$3:$F$23,MATCH(Quantidade!$P380,'Balizador da Meta'!$C$3:$C$23,0),MATCH(Quantidade!AK380,'Balizador da Meta'!$D$2:$F$2,0)),"")</f>
        <v>0.2</v>
      </c>
      <c r="AM380" s="9"/>
    </row>
    <row r="381" spans="1:39" x14ac:dyDescent="0.3">
      <c r="A381" s="2" t="str">
        <f t="shared" si="152"/>
        <v>SIM</v>
      </c>
      <c r="B381" s="2" t="str">
        <f>_xlfn.XLOOKUP($N381,'Base de Grupos'!$A:$A,'Base de Grupos'!$D:$D)</f>
        <v>1000065763</v>
      </c>
      <c r="C381" s="5" t="str">
        <f>_xlfn.XLOOKUP($N381,'Base de Grupos'!$A:$A,'Base de Grupos'!$E:$E)</f>
        <v>CANAL VENDA INTERNA</v>
      </c>
      <c r="D381" s="5" t="str">
        <f>_xlfn.XLOOKUP($N381,'Base de Grupos'!$A:$A,'Base de Grupos'!$F:$F)</f>
        <v>1000065763</v>
      </c>
      <c r="E381" s="2" t="str">
        <f>_xlfn.XLOOKUP($N381,'Base de Grupos'!$A:$A,'Base de Grupos'!$G:$G)</f>
        <v>CANAL VENDA INTERNA</v>
      </c>
      <c r="F381" s="2" t="str">
        <f>_xlfn.XLOOKUP($N381,'Base de Grupos'!$A:$A,'Base de Grupos'!$H:$H)</f>
        <v>1000105898</v>
      </c>
      <c r="G381" s="5" t="str">
        <f>_xlfn.XLOOKUP($N381,'Base de Grupos'!$A:$A,'Base de Grupos'!$I:$I)</f>
        <v>REGIONAL VENDA DIRETA SP</v>
      </c>
      <c r="H381" s="5" t="str">
        <f>_xlfn.XLOOKUP($N381,'Base de Grupos'!$A:$A,'Base de Grupos'!$J:$J)</f>
        <v>1000105898</v>
      </c>
      <c r="I381" s="2" t="str">
        <f>_xlfn.XLOOKUP($N381,'Base de Grupos'!$A:$A,'Base de Grupos'!$K:$K)</f>
        <v>REGIONAL VENDA DIRETA SP</v>
      </c>
      <c r="J381" s="2" t="str">
        <f>_xlfn.XLOOKUP($N381,'Base de Grupos'!$A:$A,'Base de Grupos'!$L:$L)</f>
        <v>1000150135</v>
      </c>
      <c r="K381" s="5" t="str">
        <f>_xlfn.XLOOKUP($N381,'Base de Grupos'!$A:$A,'Base de Grupos'!$M:$M)</f>
        <v>HELDER DA SILVA BRUNKOW</v>
      </c>
      <c r="L381" s="5">
        <f t="shared" si="153"/>
        <v>1</v>
      </c>
      <c r="M381" s="5" t="str">
        <f>_xlfn.XLOOKUP($N381,'Base de Grupos'!$A:$A,'Base de Grupos'!$C:$C)</f>
        <v>SP</v>
      </c>
      <c r="N381" s="3">
        <v>1360</v>
      </c>
      <c r="O381" s="4" t="s">
        <v>245</v>
      </c>
      <c r="P381" s="5" t="s">
        <v>315</v>
      </c>
      <c r="Q381" s="24">
        <v>0</v>
      </c>
      <c r="R381" s="24">
        <v>0</v>
      </c>
      <c r="S381" s="24">
        <v>0</v>
      </c>
      <c r="T381" s="24">
        <v>0</v>
      </c>
      <c r="U381" s="24">
        <v>0</v>
      </c>
      <c r="V381" s="24">
        <v>0</v>
      </c>
      <c r="W381" s="24">
        <v>0</v>
      </c>
      <c r="X381" s="24">
        <v>0</v>
      </c>
      <c r="Y381" s="24">
        <v>0</v>
      </c>
      <c r="Z381" s="24">
        <v>0</v>
      </c>
      <c r="AA381" s="24">
        <v>0</v>
      </c>
      <c r="AB381" s="24">
        <v>0</v>
      </c>
      <c r="AC381" s="30">
        <f t="shared" si="179"/>
        <v>0</v>
      </c>
      <c r="AD381" s="25">
        <f t="shared" ref="AD381:AI381" si="180">SUM(AD382:AD398)</f>
        <v>0</v>
      </c>
      <c r="AE381" s="25">
        <f t="shared" si="180"/>
        <v>0</v>
      </c>
      <c r="AF381" s="11" t="str">
        <f t="shared" si="154"/>
        <v/>
      </c>
      <c r="AG381" s="24">
        <f t="shared" si="180"/>
        <v>0</v>
      </c>
      <c r="AH381" s="25">
        <f t="shared" si="180"/>
        <v>0</v>
      </c>
      <c r="AI381" s="24">
        <f t="shared" si="180"/>
        <v>0</v>
      </c>
      <c r="AJ381" s="11" t="str">
        <f t="shared" si="155"/>
        <v/>
      </c>
      <c r="AK381" s="9"/>
      <c r="AL381" s="13"/>
      <c r="AM381" s="9"/>
    </row>
    <row r="382" spans="1:39" x14ac:dyDescent="0.3">
      <c r="A382" s="2" t="str">
        <f t="shared" si="152"/>
        <v>NÃO</v>
      </c>
      <c r="B382" s="2" t="str">
        <f>_xlfn.XLOOKUP($N382,'Base de Grupos'!$A:$A,'Base de Grupos'!$D:$D)</f>
        <v>1000065763</v>
      </c>
      <c r="C382" s="5" t="str">
        <f>_xlfn.XLOOKUP($N382,'Base de Grupos'!$A:$A,'Base de Grupos'!$E:$E)</f>
        <v>CANAL VENDA INTERNA</v>
      </c>
      <c r="D382" s="5" t="str">
        <f>_xlfn.XLOOKUP($N382,'Base de Grupos'!$A:$A,'Base de Grupos'!$F:$F)</f>
        <v>1000065763</v>
      </c>
      <c r="E382" s="2" t="str">
        <f>_xlfn.XLOOKUP($N382,'Base de Grupos'!$A:$A,'Base de Grupos'!$G:$G)</f>
        <v>CANAL VENDA INTERNA</v>
      </c>
      <c r="F382" s="2" t="str">
        <f>_xlfn.XLOOKUP($N382,'Base de Grupos'!$A:$A,'Base de Grupos'!$H:$H)</f>
        <v>1000105898</v>
      </c>
      <c r="G382" s="5" t="str">
        <f>_xlfn.XLOOKUP($N382,'Base de Grupos'!$A:$A,'Base de Grupos'!$I:$I)</f>
        <v>REGIONAL VENDA DIRETA SP</v>
      </c>
      <c r="H382" s="5" t="str">
        <f>_xlfn.XLOOKUP($N382,'Base de Grupos'!$A:$A,'Base de Grupos'!$J:$J)</f>
        <v>1000105898</v>
      </c>
      <c r="I382" s="2" t="str">
        <f>_xlfn.XLOOKUP($N382,'Base de Grupos'!$A:$A,'Base de Grupos'!$K:$K)</f>
        <v>REGIONAL VENDA DIRETA SP</v>
      </c>
      <c r="J382" s="2" t="str">
        <f>_xlfn.XLOOKUP($N382,'Base de Grupos'!$A:$A,'Base de Grupos'!$L:$L)</f>
        <v>1000150135</v>
      </c>
      <c r="K382" s="5" t="str">
        <f>_xlfn.XLOOKUP($N382,'Base de Grupos'!$A:$A,'Base de Grupos'!$M:$M)</f>
        <v>HELDER DA SILVA BRUNKOW</v>
      </c>
      <c r="L382" s="5" t="str">
        <f t="shared" si="153"/>
        <v/>
      </c>
      <c r="M382" s="5" t="str">
        <f>_xlfn.XLOOKUP($N382,'Base de Grupos'!$A:$A,'Base de Grupos'!$C:$C)</f>
        <v>SP</v>
      </c>
      <c r="N382" s="3">
        <v>1360</v>
      </c>
      <c r="O382" s="4" t="s">
        <v>245</v>
      </c>
      <c r="P382" s="5" t="s">
        <v>81</v>
      </c>
      <c r="Q382" s="24">
        <v>0</v>
      </c>
      <c r="R382" s="24">
        <v>0</v>
      </c>
      <c r="S382" s="24">
        <v>0</v>
      </c>
      <c r="T382" s="24">
        <v>0</v>
      </c>
      <c r="U382" s="24">
        <v>0</v>
      </c>
      <c r="V382" s="24">
        <v>0</v>
      </c>
      <c r="W382" s="24">
        <v>0</v>
      </c>
      <c r="X382" s="24">
        <v>0</v>
      </c>
      <c r="Y382" s="24">
        <v>0</v>
      </c>
      <c r="Z382" s="24">
        <v>0</v>
      </c>
      <c r="AA382" s="24">
        <v>0</v>
      </c>
      <c r="AB382" s="24">
        <v>0</v>
      </c>
      <c r="AC382" s="30">
        <f t="shared" si="179"/>
        <v>0</v>
      </c>
      <c r="AD382" s="27">
        <f t="shared" ref="AD382:AD398" si="181">IF(AC382=0,0,AC382-AG382)</f>
        <v>0</v>
      </c>
      <c r="AE382" s="25">
        <f>IFERROR(_xlfn.XLOOKUP(N382&amp;P382,'Historico Vendas'!G:G,'Historico Vendas'!E:E),0)</f>
        <v>0</v>
      </c>
      <c r="AF382" s="29" t="str">
        <f t="shared" si="154"/>
        <v/>
      </c>
      <c r="AG382" s="24">
        <f>IFERROR(_xlfn.XLOOKUP(N382&amp;P382,'Historico Vendas'!G:G,'Historico Vendas'!F:F),0)</f>
        <v>0</v>
      </c>
      <c r="AH382" s="25">
        <f t="shared" ref="AH382:AH398" si="182">SUM(Q382:S382)</f>
        <v>0</v>
      </c>
      <c r="AI382" s="24">
        <f t="shared" ref="AI382:AI398" si="183">AH382-AG382</f>
        <v>0</v>
      </c>
      <c r="AJ382" s="11" t="str">
        <f t="shared" si="155"/>
        <v/>
      </c>
      <c r="AK382" s="9" t="s">
        <v>102</v>
      </c>
      <c r="AL382" s="13">
        <f>IFERROR(INDEX('Balizador da Meta'!$D$3:$F$23,MATCH(Quantidade!$P382,'Balizador da Meta'!$C$3:$C$23,0),MATCH(Quantidade!AK382,'Balizador da Meta'!$D$2:$F$2,0)),"")</f>
        <v>0.2</v>
      </c>
      <c r="AM382" s="9"/>
    </row>
    <row r="383" spans="1:39" x14ac:dyDescent="0.3">
      <c r="A383" s="2" t="str">
        <f t="shared" si="152"/>
        <v>NÃO</v>
      </c>
      <c r="B383" s="2" t="str">
        <f>_xlfn.XLOOKUP($N383,'Base de Grupos'!$A:$A,'Base de Grupos'!$D:$D)</f>
        <v>1000065763</v>
      </c>
      <c r="C383" s="5" t="str">
        <f>_xlfn.XLOOKUP($N383,'Base de Grupos'!$A:$A,'Base de Grupos'!$E:$E)</f>
        <v>CANAL VENDA INTERNA</v>
      </c>
      <c r="D383" s="5" t="str">
        <f>_xlfn.XLOOKUP($N383,'Base de Grupos'!$A:$A,'Base de Grupos'!$F:$F)</f>
        <v>1000065763</v>
      </c>
      <c r="E383" s="2" t="str">
        <f>_xlfn.XLOOKUP($N383,'Base de Grupos'!$A:$A,'Base de Grupos'!$G:$G)</f>
        <v>CANAL VENDA INTERNA</v>
      </c>
      <c r="F383" s="2" t="str">
        <f>_xlfn.XLOOKUP($N383,'Base de Grupos'!$A:$A,'Base de Grupos'!$H:$H)</f>
        <v>1000105898</v>
      </c>
      <c r="G383" s="5" t="str">
        <f>_xlfn.XLOOKUP($N383,'Base de Grupos'!$A:$A,'Base de Grupos'!$I:$I)</f>
        <v>REGIONAL VENDA DIRETA SP</v>
      </c>
      <c r="H383" s="5" t="str">
        <f>_xlfn.XLOOKUP($N383,'Base de Grupos'!$A:$A,'Base de Grupos'!$J:$J)</f>
        <v>1000105898</v>
      </c>
      <c r="I383" s="2" t="str">
        <f>_xlfn.XLOOKUP($N383,'Base de Grupos'!$A:$A,'Base de Grupos'!$K:$K)</f>
        <v>REGIONAL VENDA DIRETA SP</v>
      </c>
      <c r="J383" s="2" t="str">
        <f>_xlfn.XLOOKUP($N383,'Base de Grupos'!$A:$A,'Base de Grupos'!$L:$L)</f>
        <v>1000150135</v>
      </c>
      <c r="K383" s="5" t="str">
        <f>_xlfn.XLOOKUP($N383,'Base de Grupos'!$A:$A,'Base de Grupos'!$M:$M)</f>
        <v>HELDER DA SILVA BRUNKOW</v>
      </c>
      <c r="L383" s="5" t="str">
        <f t="shared" si="153"/>
        <v/>
      </c>
      <c r="M383" s="5" t="str">
        <f>_xlfn.XLOOKUP($N383,'Base de Grupos'!$A:$A,'Base de Grupos'!$C:$C)</f>
        <v>SP</v>
      </c>
      <c r="N383" s="3">
        <v>1360</v>
      </c>
      <c r="O383" s="4" t="s">
        <v>245</v>
      </c>
      <c r="P383" s="5" t="s">
        <v>82</v>
      </c>
      <c r="Q383" s="24">
        <v>0</v>
      </c>
      <c r="R383" s="24">
        <v>0</v>
      </c>
      <c r="S383" s="24">
        <v>0</v>
      </c>
      <c r="T383" s="24">
        <v>0</v>
      </c>
      <c r="U383" s="24">
        <v>0</v>
      </c>
      <c r="V383" s="24">
        <v>0</v>
      </c>
      <c r="W383" s="24">
        <v>0</v>
      </c>
      <c r="X383" s="24">
        <v>0</v>
      </c>
      <c r="Y383" s="24">
        <v>0</v>
      </c>
      <c r="Z383" s="24">
        <v>0</v>
      </c>
      <c r="AA383" s="24">
        <v>0</v>
      </c>
      <c r="AB383" s="24">
        <v>0</v>
      </c>
      <c r="AC383" s="30">
        <f t="shared" si="179"/>
        <v>0</v>
      </c>
      <c r="AD383" s="27">
        <f t="shared" si="181"/>
        <v>0</v>
      </c>
      <c r="AE383" s="25">
        <f>IFERROR(_xlfn.XLOOKUP(N383&amp;P383,'Historico Vendas'!G:G,'Historico Vendas'!E:E),0)</f>
        <v>0</v>
      </c>
      <c r="AF383" s="29" t="str">
        <f t="shared" si="154"/>
        <v/>
      </c>
      <c r="AG383" s="24">
        <f>IFERROR(_xlfn.XLOOKUP(N383&amp;P383,'Historico Vendas'!G:G,'Historico Vendas'!F:F),0)</f>
        <v>0</v>
      </c>
      <c r="AH383" s="25">
        <f t="shared" si="182"/>
        <v>0</v>
      </c>
      <c r="AI383" s="24">
        <f t="shared" si="183"/>
        <v>0</v>
      </c>
      <c r="AJ383" s="11" t="str">
        <f t="shared" si="155"/>
        <v/>
      </c>
      <c r="AK383" s="9" t="s">
        <v>102</v>
      </c>
      <c r="AL383" s="13">
        <f>IFERROR(INDEX('Balizador da Meta'!$D$3:$F$23,MATCH(Quantidade!$P383,'Balizador da Meta'!$C$3:$C$23,0),MATCH(Quantidade!AK383,'Balizador da Meta'!$D$2:$F$2,0)),"")</f>
        <v>0.2</v>
      </c>
      <c r="AM383" s="9"/>
    </row>
    <row r="384" spans="1:39" x14ac:dyDescent="0.3">
      <c r="A384" s="2" t="str">
        <f t="shared" si="152"/>
        <v>NÃO</v>
      </c>
      <c r="B384" s="2" t="str">
        <f>_xlfn.XLOOKUP($N384,'Base de Grupos'!$A:$A,'Base de Grupos'!$D:$D)</f>
        <v>1000065763</v>
      </c>
      <c r="C384" s="5" t="str">
        <f>_xlfn.XLOOKUP($N384,'Base de Grupos'!$A:$A,'Base de Grupos'!$E:$E)</f>
        <v>CANAL VENDA INTERNA</v>
      </c>
      <c r="D384" s="5" t="str">
        <f>_xlfn.XLOOKUP($N384,'Base de Grupos'!$A:$A,'Base de Grupos'!$F:$F)</f>
        <v>1000065763</v>
      </c>
      <c r="E384" s="2" t="str">
        <f>_xlfn.XLOOKUP($N384,'Base de Grupos'!$A:$A,'Base de Grupos'!$G:$G)</f>
        <v>CANAL VENDA INTERNA</v>
      </c>
      <c r="F384" s="2" t="str">
        <f>_xlfn.XLOOKUP($N384,'Base de Grupos'!$A:$A,'Base de Grupos'!$H:$H)</f>
        <v>1000105898</v>
      </c>
      <c r="G384" s="5" t="str">
        <f>_xlfn.XLOOKUP($N384,'Base de Grupos'!$A:$A,'Base de Grupos'!$I:$I)</f>
        <v>REGIONAL VENDA DIRETA SP</v>
      </c>
      <c r="H384" s="5" t="str">
        <f>_xlfn.XLOOKUP($N384,'Base de Grupos'!$A:$A,'Base de Grupos'!$J:$J)</f>
        <v>1000105898</v>
      </c>
      <c r="I384" s="2" t="str">
        <f>_xlfn.XLOOKUP($N384,'Base de Grupos'!$A:$A,'Base de Grupos'!$K:$K)</f>
        <v>REGIONAL VENDA DIRETA SP</v>
      </c>
      <c r="J384" s="2" t="str">
        <f>_xlfn.XLOOKUP($N384,'Base de Grupos'!$A:$A,'Base de Grupos'!$L:$L)</f>
        <v>1000150135</v>
      </c>
      <c r="K384" s="5" t="str">
        <f>_xlfn.XLOOKUP($N384,'Base de Grupos'!$A:$A,'Base de Grupos'!$M:$M)</f>
        <v>HELDER DA SILVA BRUNKOW</v>
      </c>
      <c r="L384" s="5" t="str">
        <f t="shared" si="153"/>
        <v/>
      </c>
      <c r="M384" s="5" t="str">
        <f>_xlfn.XLOOKUP($N384,'Base de Grupos'!$A:$A,'Base de Grupos'!$C:$C)</f>
        <v>SP</v>
      </c>
      <c r="N384" s="3">
        <v>1360</v>
      </c>
      <c r="O384" s="4" t="s">
        <v>245</v>
      </c>
      <c r="P384" s="5" t="s">
        <v>84</v>
      </c>
      <c r="Q384" s="24">
        <v>0</v>
      </c>
      <c r="R384" s="24">
        <v>0</v>
      </c>
      <c r="S384" s="24">
        <v>0</v>
      </c>
      <c r="T384" s="24">
        <v>0</v>
      </c>
      <c r="U384" s="24">
        <v>0</v>
      </c>
      <c r="V384" s="24">
        <v>0</v>
      </c>
      <c r="W384" s="24">
        <v>0</v>
      </c>
      <c r="X384" s="24">
        <v>0</v>
      </c>
      <c r="Y384" s="24">
        <v>0</v>
      </c>
      <c r="Z384" s="24">
        <v>0</v>
      </c>
      <c r="AA384" s="24">
        <v>0</v>
      </c>
      <c r="AB384" s="24">
        <v>0</v>
      </c>
      <c r="AC384" s="30">
        <f t="shared" si="179"/>
        <v>0</v>
      </c>
      <c r="AD384" s="27">
        <f t="shared" si="181"/>
        <v>0</v>
      </c>
      <c r="AE384" s="25">
        <f>IFERROR(_xlfn.XLOOKUP(N384&amp;P384,'Historico Vendas'!G:G,'Historico Vendas'!E:E),0)</f>
        <v>0</v>
      </c>
      <c r="AF384" s="29" t="str">
        <f t="shared" si="154"/>
        <v/>
      </c>
      <c r="AG384" s="24">
        <f>IFERROR(_xlfn.XLOOKUP(N384&amp;P384,'Historico Vendas'!G:G,'Historico Vendas'!F:F),0)</f>
        <v>0</v>
      </c>
      <c r="AH384" s="25">
        <f t="shared" si="182"/>
        <v>0</v>
      </c>
      <c r="AI384" s="24">
        <f t="shared" si="183"/>
        <v>0</v>
      </c>
      <c r="AJ384" s="11" t="str">
        <f t="shared" si="155"/>
        <v/>
      </c>
      <c r="AK384" s="9" t="s">
        <v>102</v>
      </c>
      <c r="AL384" s="13">
        <f>IFERROR(INDEX('Balizador da Meta'!$D$3:$F$23,MATCH(Quantidade!$P384,'Balizador da Meta'!$C$3:$C$23,0),MATCH(Quantidade!AK384,'Balizador da Meta'!$D$2:$F$2,0)),"")</f>
        <v>0.15</v>
      </c>
      <c r="AM384" s="9"/>
    </row>
    <row r="385" spans="1:39" x14ac:dyDescent="0.3">
      <c r="A385" s="2" t="str">
        <f t="shared" si="152"/>
        <v>NÃO</v>
      </c>
      <c r="B385" s="2" t="str">
        <f>_xlfn.XLOOKUP($N385,'Base de Grupos'!$A:$A,'Base de Grupos'!$D:$D)</f>
        <v>1000065763</v>
      </c>
      <c r="C385" s="5" t="str">
        <f>_xlfn.XLOOKUP($N385,'Base de Grupos'!$A:$A,'Base de Grupos'!$E:$E)</f>
        <v>CANAL VENDA INTERNA</v>
      </c>
      <c r="D385" s="5" t="str">
        <f>_xlfn.XLOOKUP($N385,'Base de Grupos'!$A:$A,'Base de Grupos'!$F:$F)</f>
        <v>1000065763</v>
      </c>
      <c r="E385" s="2" t="str">
        <f>_xlfn.XLOOKUP($N385,'Base de Grupos'!$A:$A,'Base de Grupos'!$G:$G)</f>
        <v>CANAL VENDA INTERNA</v>
      </c>
      <c r="F385" s="2" t="str">
        <f>_xlfn.XLOOKUP($N385,'Base de Grupos'!$A:$A,'Base de Grupos'!$H:$H)</f>
        <v>1000105898</v>
      </c>
      <c r="G385" s="5" t="str">
        <f>_xlfn.XLOOKUP($N385,'Base de Grupos'!$A:$A,'Base de Grupos'!$I:$I)</f>
        <v>REGIONAL VENDA DIRETA SP</v>
      </c>
      <c r="H385" s="5" t="str">
        <f>_xlfn.XLOOKUP($N385,'Base de Grupos'!$A:$A,'Base de Grupos'!$J:$J)</f>
        <v>1000105898</v>
      </c>
      <c r="I385" s="2" t="str">
        <f>_xlfn.XLOOKUP($N385,'Base de Grupos'!$A:$A,'Base de Grupos'!$K:$K)</f>
        <v>REGIONAL VENDA DIRETA SP</v>
      </c>
      <c r="J385" s="2" t="str">
        <f>_xlfn.XLOOKUP($N385,'Base de Grupos'!$A:$A,'Base de Grupos'!$L:$L)</f>
        <v>1000150135</v>
      </c>
      <c r="K385" s="5" t="str">
        <f>_xlfn.XLOOKUP($N385,'Base de Grupos'!$A:$A,'Base de Grupos'!$M:$M)</f>
        <v>HELDER DA SILVA BRUNKOW</v>
      </c>
      <c r="L385" s="5" t="str">
        <f t="shared" si="153"/>
        <v/>
      </c>
      <c r="M385" s="5" t="str">
        <f>_xlfn.XLOOKUP($N385,'Base de Grupos'!$A:$A,'Base de Grupos'!$C:$C)</f>
        <v>SP</v>
      </c>
      <c r="N385" s="3">
        <v>1360</v>
      </c>
      <c r="O385" s="4" t="s">
        <v>245</v>
      </c>
      <c r="P385" s="5" t="s">
        <v>83</v>
      </c>
      <c r="Q385" s="24">
        <v>0</v>
      </c>
      <c r="R385" s="24">
        <v>0</v>
      </c>
      <c r="S385" s="24">
        <v>0</v>
      </c>
      <c r="T385" s="24">
        <v>0</v>
      </c>
      <c r="U385" s="24">
        <v>0</v>
      </c>
      <c r="V385" s="24">
        <v>0</v>
      </c>
      <c r="W385" s="24">
        <v>0</v>
      </c>
      <c r="X385" s="24">
        <v>0</v>
      </c>
      <c r="Y385" s="24">
        <v>0</v>
      </c>
      <c r="Z385" s="24">
        <v>0</v>
      </c>
      <c r="AA385" s="24">
        <v>0</v>
      </c>
      <c r="AB385" s="24">
        <v>0</v>
      </c>
      <c r="AC385" s="30">
        <f t="shared" si="179"/>
        <v>0</v>
      </c>
      <c r="AD385" s="27">
        <f t="shared" si="181"/>
        <v>0</v>
      </c>
      <c r="AE385" s="25">
        <f>IFERROR(_xlfn.XLOOKUP(N385&amp;P385,'Historico Vendas'!G:G,'Historico Vendas'!E:E),0)</f>
        <v>0</v>
      </c>
      <c r="AF385" s="29" t="str">
        <f t="shared" si="154"/>
        <v/>
      </c>
      <c r="AG385" s="24">
        <f>IFERROR(_xlfn.XLOOKUP(N385&amp;P385,'Historico Vendas'!G:G,'Historico Vendas'!F:F),0)</f>
        <v>0</v>
      </c>
      <c r="AH385" s="25">
        <f t="shared" si="182"/>
        <v>0</v>
      </c>
      <c r="AI385" s="24">
        <f t="shared" si="183"/>
        <v>0</v>
      </c>
      <c r="AJ385" s="11" t="str">
        <f t="shared" si="155"/>
        <v/>
      </c>
      <c r="AK385" s="9" t="s">
        <v>102</v>
      </c>
      <c r="AL385" s="13">
        <f>IFERROR(INDEX('Balizador da Meta'!$D$3:$F$23,MATCH(Quantidade!$P385,'Balizador da Meta'!$C$3:$C$23,0),MATCH(Quantidade!AK385,'Balizador da Meta'!$D$2:$F$2,0)),"")</f>
        <v>0</v>
      </c>
      <c r="AM385" s="9"/>
    </row>
    <row r="386" spans="1:39" x14ac:dyDescent="0.3">
      <c r="A386" s="2" t="str">
        <f t="shared" si="152"/>
        <v>NÃO</v>
      </c>
      <c r="B386" s="2" t="str">
        <f>_xlfn.XLOOKUP($N386,'Base de Grupos'!$A:$A,'Base de Grupos'!$D:$D)</f>
        <v>1000065763</v>
      </c>
      <c r="C386" s="5" t="str">
        <f>_xlfn.XLOOKUP($N386,'Base de Grupos'!$A:$A,'Base de Grupos'!$E:$E)</f>
        <v>CANAL VENDA INTERNA</v>
      </c>
      <c r="D386" s="5" t="str">
        <f>_xlfn.XLOOKUP($N386,'Base de Grupos'!$A:$A,'Base de Grupos'!$F:$F)</f>
        <v>1000065763</v>
      </c>
      <c r="E386" s="2" t="str">
        <f>_xlfn.XLOOKUP($N386,'Base de Grupos'!$A:$A,'Base de Grupos'!$G:$G)</f>
        <v>CANAL VENDA INTERNA</v>
      </c>
      <c r="F386" s="2" t="str">
        <f>_xlfn.XLOOKUP($N386,'Base de Grupos'!$A:$A,'Base de Grupos'!$H:$H)</f>
        <v>1000105898</v>
      </c>
      <c r="G386" s="5" t="str">
        <f>_xlfn.XLOOKUP($N386,'Base de Grupos'!$A:$A,'Base de Grupos'!$I:$I)</f>
        <v>REGIONAL VENDA DIRETA SP</v>
      </c>
      <c r="H386" s="5" t="str">
        <f>_xlfn.XLOOKUP($N386,'Base de Grupos'!$A:$A,'Base de Grupos'!$J:$J)</f>
        <v>1000105898</v>
      </c>
      <c r="I386" s="2" t="str">
        <f>_xlfn.XLOOKUP($N386,'Base de Grupos'!$A:$A,'Base de Grupos'!$K:$K)</f>
        <v>REGIONAL VENDA DIRETA SP</v>
      </c>
      <c r="J386" s="2" t="str">
        <f>_xlfn.XLOOKUP($N386,'Base de Grupos'!$A:$A,'Base de Grupos'!$L:$L)</f>
        <v>1000150135</v>
      </c>
      <c r="K386" s="5" t="str">
        <f>_xlfn.XLOOKUP($N386,'Base de Grupos'!$A:$A,'Base de Grupos'!$M:$M)</f>
        <v>HELDER DA SILVA BRUNKOW</v>
      </c>
      <c r="L386" s="5" t="str">
        <f t="shared" si="153"/>
        <v/>
      </c>
      <c r="M386" s="5" t="str">
        <f>_xlfn.XLOOKUP($N386,'Base de Grupos'!$A:$A,'Base de Grupos'!$C:$C)</f>
        <v>SP</v>
      </c>
      <c r="N386" s="3">
        <v>1360</v>
      </c>
      <c r="O386" s="4" t="s">
        <v>245</v>
      </c>
      <c r="P386" s="5" t="s">
        <v>87</v>
      </c>
      <c r="Q386" s="24">
        <v>0</v>
      </c>
      <c r="R386" s="24">
        <v>0</v>
      </c>
      <c r="S386" s="24">
        <v>0</v>
      </c>
      <c r="T386" s="24">
        <v>0</v>
      </c>
      <c r="U386" s="24">
        <v>0</v>
      </c>
      <c r="V386" s="24">
        <v>0</v>
      </c>
      <c r="W386" s="24">
        <v>0</v>
      </c>
      <c r="X386" s="24">
        <v>0</v>
      </c>
      <c r="Y386" s="24">
        <v>0</v>
      </c>
      <c r="Z386" s="24">
        <v>0</v>
      </c>
      <c r="AA386" s="24">
        <v>0</v>
      </c>
      <c r="AB386" s="24">
        <v>0</v>
      </c>
      <c r="AC386" s="30">
        <f t="shared" si="179"/>
        <v>0</v>
      </c>
      <c r="AD386" s="27">
        <f t="shared" si="181"/>
        <v>0</v>
      </c>
      <c r="AE386" s="25">
        <f>IFERROR(_xlfn.XLOOKUP(N386&amp;P386,'Historico Vendas'!G:G,'Historico Vendas'!E:E),0)</f>
        <v>0</v>
      </c>
      <c r="AF386" s="29" t="str">
        <f t="shared" si="154"/>
        <v/>
      </c>
      <c r="AG386" s="24">
        <f>IFERROR(_xlfn.XLOOKUP(N386&amp;P386,'Historico Vendas'!G:G,'Historico Vendas'!F:F),0)</f>
        <v>0</v>
      </c>
      <c r="AH386" s="25">
        <f t="shared" si="182"/>
        <v>0</v>
      </c>
      <c r="AI386" s="24">
        <f t="shared" si="183"/>
        <v>0</v>
      </c>
      <c r="AJ386" s="11" t="str">
        <f t="shared" si="155"/>
        <v/>
      </c>
      <c r="AK386" s="9" t="s">
        <v>102</v>
      </c>
      <c r="AL386" s="13">
        <f>IFERROR(INDEX('Balizador da Meta'!$D$3:$F$23,MATCH(Quantidade!$P386,'Balizador da Meta'!$C$3:$C$23,0),MATCH(Quantidade!AK386,'Balizador da Meta'!$D$2:$F$2,0)),"")</f>
        <v>0</v>
      </c>
      <c r="AM386" s="9"/>
    </row>
    <row r="387" spans="1:39" x14ac:dyDescent="0.3">
      <c r="A387" s="2" t="str">
        <f t="shared" ref="A387:A450" si="184">IF(L387=1,"SIM","NÃO")</f>
        <v>NÃO</v>
      </c>
      <c r="B387" s="2" t="str">
        <f>_xlfn.XLOOKUP($N387,'Base de Grupos'!$A:$A,'Base de Grupos'!$D:$D)</f>
        <v>1000065763</v>
      </c>
      <c r="C387" s="5" t="str">
        <f>_xlfn.XLOOKUP($N387,'Base de Grupos'!$A:$A,'Base de Grupos'!$E:$E)</f>
        <v>CANAL VENDA INTERNA</v>
      </c>
      <c r="D387" s="5" t="str">
        <f>_xlfn.XLOOKUP($N387,'Base de Grupos'!$A:$A,'Base de Grupos'!$F:$F)</f>
        <v>1000065763</v>
      </c>
      <c r="E387" s="2" t="str">
        <f>_xlfn.XLOOKUP($N387,'Base de Grupos'!$A:$A,'Base de Grupos'!$G:$G)</f>
        <v>CANAL VENDA INTERNA</v>
      </c>
      <c r="F387" s="2" t="str">
        <f>_xlfn.XLOOKUP($N387,'Base de Grupos'!$A:$A,'Base de Grupos'!$H:$H)</f>
        <v>1000105898</v>
      </c>
      <c r="G387" s="5" t="str">
        <f>_xlfn.XLOOKUP($N387,'Base de Grupos'!$A:$A,'Base de Grupos'!$I:$I)</f>
        <v>REGIONAL VENDA DIRETA SP</v>
      </c>
      <c r="H387" s="5" t="str">
        <f>_xlfn.XLOOKUP($N387,'Base de Grupos'!$A:$A,'Base de Grupos'!$J:$J)</f>
        <v>1000105898</v>
      </c>
      <c r="I387" s="2" t="str">
        <f>_xlfn.XLOOKUP($N387,'Base de Grupos'!$A:$A,'Base de Grupos'!$K:$K)</f>
        <v>REGIONAL VENDA DIRETA SP</v>
      </c>
      <c r="J387" s="2" t="str">
        <f>_xlfn.XLOOKUP($N387,'Base de Grupos'!$A:$A,'Base de Grupos'!$L:$L)</f>
        <v>1000150135</v>
      </c>
      <c r="K387" s="5" t="str">
        <f>_xlfn.XLOOKUP($N387,'Base de Grupos'!$A:$A,'Base de Grupos'!$M:$M)</f>
        <v>HELDER DA SILVA BRUNKOW</v>
      </c>
      <c r="L387" s="5" t="str">
        <f t="shared" ref="L387:L450" si="185">IF(N387&lt;&gt;N386,1,"")</f>
        <v/>
      </c>
      <c r="M387" s="5" t="str">
        <f>_xlfn.XLOOKUP($N387,'Base de Grupos'!$A:$A,'Base de Grupos'!$C:$C)</f>
        <v>SP</v>
      </c>
      <c r="N387" s="3">
        <v>1360</v>
      </c>
      <c r="O387" s="4" t="s">
        <v>245</v>
      </c>
      <c r="P387" s="5" t="s">
        <v>85</v>
      </c>
      <c r="Q387" s="24">
        <v>0</v>
      </c>
      <c r="R387" s="24">
        <v>0</v>
      </c>
      <c r="S387" s="24">
        <v>0</v>
      </c>
      <c r="T387" s="24">
        <v>0</v>
      </c>
      <c r="U387" s="24">
        <v>0</v>
      </c>
      <c r="V387" s="24">
        <v>0</v>
      </c>
      <c r="W387" s="24">
        <v>0</v>
      </c>
      <c r="X387" s="24">
        <v>0</v>
      </c>
      <c r="Y387" s="24">
        <v>0</v>
      </c>
      <c r="Z387" s="24">
        <v>0</v>
      </c>
      <c r="AA387" s="24">
        <v>0</v>
      </c>
      <c r="AB387" s="24">
        <v>0</v>
      </c>
      <c r="AC387" s="30">
        <f t="shared" si="179"/>
        <v>0</v>
      </c>
      <c r="AD387" s="27">
        <f t="shared" si="181"/>
        <v>0</v>
      </c>
      <c r="AE387" s="25">
        <f>IFERROR(_xlfn.XLOOKUP(N387&amp;P387,'Historico Vendas'!G:G,'Historico Vendas'!E:E),0)</f>
        <v>0</v>
      </c>
      <c r="AF387" s="29" t="str">
        <f t="shared" ref="AF387:AF450" si="186">IFERROR((AC387-AE387)/AE387,"")</f>
        <v/>
      </c>
      <c r="AG387" s="24">
        <f>IFERROR(_xlfn.XLOOKUP(N387&amp;P387,'Historico Vendas'!G:G,'Historico Vendas'!F:F),0)</f>
        <v>0</v>
      </c>
      <c r="AH387" s="25">
        <f t="shared" si="182"/>
        <v>0</v>
      </c>
      <c r="AI387" s="24">
        <f t="shared" si="183"/>
        <v>0</v>
      </c>
      <c r="AJ387" s="11" t="str">
        <f t="shared" ref="AJ387:AJ450" si="187">IFERROR(AG387/AH387,"")</f>
        <v/>
      </c>
      <c r="AK387" s="9" t="s">
        <v>102</v>
      </c>
      <c r="AL387" s="13">
        <f>IFERROR(INDEX('Balizador da Meta'!$D$3:$F$23,MATCH(Quantidade!$P387,'Balizador da Meta'!$C$3:$C$23,0),MATCH(Quantidade!AK387,'Balizador da Meta'!$D$2:$F$2,0)),"")</f>
        <v>0</v>
      </c>
      <c r="AM387" s="9"/>
    </row>
    <row r="388" spans="1:39" x14ac:dyDescent="0.3">
      <c r="A388" s="2" t="str">
        <f t="shared" si="184"/>
        <v>NÃO</v>
      </c>
      <c r="B388" s="2" t="str">
        <f>_xlfn.XLOOKUP($N388,'Base de Grupos'!$A:$A,'Base de Grupos'!$D:$D)</f>
        <v>1000065763</v>
      </c>
      <c r="C388" s="5" t="str">
        <f>_xlfn.XLOOKUP($N388,'Base de Grupos'!$A:$A,'Base de Grupos'!$E:$E)</f>
        <v>CANAL VENDA INTERNA</v>
      </c>
      <c r="D388" s="5" t="str">
        <f>_xlfn.XLOOKUP($N388,'Base de Grupos'!$A:$A,'Base de Grupos'!$F:$F)</f>
        <v>1000065763</v>
      </c>
      <c r="E388" s="2" t="str">
        <f>_xlfn.XLOOKUP($N388,'Base de Grupos'!$A:$A,'Base de Grupos'!$G:$G)</f>
        <v>CANAL VENDA INTERNA</v>
      </c>
      <c r="F388" s="2" t="str">
        <f>_xlfn.XLOOKUP($N388,'Base de Grupos'!$A:$A,'Base de Grupos'!$H:$H)</f>
        <v>1000105898</v>
      </c>
      <c r="G388" s="5" t="str">
        <f>_xlfn.XLOOKUP($N388,'Base de Grupos'!$A:$A,'Base de Grupos'!$I:$I)</f>
        <v>REGIONAL VENDA DIRETA SP</v>
      </c>
      <c r="H388" s="5" t="str">
        <f>_xlfn.XLOOKUP($N388,'Base de Grupos'!$A:$A,'Base de Grupos'!$J:$J)</f>
        <v>1000105898</v>
      </c>
      <c r="I388" s="2" t="str">
        <f>_xlfn.XLOOKUP($N388,'Base de Grupos'!$A:$A,'Base de Grupos'!$K:$K)</f>
        <v>REGIONAL VENDA DIRETA SP</v>
      </c>
      <c r="J388" s="2" t="str">
        <f>_xlfn.XLOOKUP($N388,'Base de Grupos'!$A:$A,'Base de Grupos'!$L:$L)</f>
        <v>1000150135</v>
      </c>
      <c r="K388" s="5" t="str">
        <f>_xlfn.XLOOKUP($N388,'Base de Grupos'!$A:$A,'Base de Grupos'!$M:$M)</f>
        <v>HELDER DA SILVA BRUNKOW</v>
      </c>
      <c r="L388" s="5" t="str">
        <f t="shared" si="185"/>
        <v/>
      </c>
      <c r="M388" s="5" t="str">
        <f>_xlfn.XLOOKUP($N388,'Base de Grupos'!$A:$A,'Base de Grupos'!$C:$C)</f>
        <v>SP</v>
      </c>
      <c r="N388" s="3">
        <v>1360</v>
      </c>
      <c r="O388" s="4" t="s">
        <v>245</v>
      </c>
      <c r="P388" s="5" t="s">
        <v>92</v>
      </c>
      <c r="Q388" s="24">
        <v>0</v>
      </c>
      <c r="R388" s="24">
        <v>0</v>
      </c>
      <c r="S388" s="24">
        <v>0</v>
      </c>
      <c r="T388" s="24">
        <v>0</v>
      </c>
      <c r="U388" s="24">
        <v>0</v>
      </c>
      <c r="V388" s="24">
        <v>0</v>
      </c>
      <c r="W388" s="24">
        <v>0</v>
      </c>
      <c r="X388" s="24">
        <v>0</v>
      </c>
      <c r="Y388" s="24">
        <v>0</v>
      </c>
      <c r="Z388" s="24">
        <v>0</v>
      </c>
      <c r="AA388" s="24">
        <v>0</v>
      </c>
      <c r="AB388" s="24">
        <v>0</v>
      </c>
      <c r="AC388" s="30">
        <f t="shared" si="179"/>
        <v>0</v>
      </c>
      <c r="AD388" s="27">
        <f t="shared" si="181"/>
        <v>0</v>
      </c>
      <c r="AE388" s="25">
        <f>IFERROR(_xlfn.XLOOKUP(N388&amp;P388,'Historico Vendas'!G:G,'Historico Vendas'!E:E),0)</f>
        <v>0</v>
      </c>
      <c r="AF388" s="29" t="str">
        <f t="shared" si="186"/>
        <v/>
      </c>
      <c r="AG388" s="24">
        <f>IFERROR(_xlfn.XLOOKUP(N388&amp;P388,'Historico Vendas'!G:G,'Historico Vendas'!F:F),0)</f>
        <v>0</v>
      </c>
      <c r="AH388" s="25">
        <f t="shared" si="182"/>
        <v>0</v>
      </c>
      <c r="AI388" s="24">
        <f t="shared" si="183"/>
        <v>0</v>
      </c>
      <c r="AJ388" s="11" t="str">
        <f t="shared" si="187"/>
        <v/>
      </c>
      <c r="AK388" s="9" t="s">
        <v>102</v>
      </c>
      <c r="AL388" s="13">
        <f>IFERROR(INDEX('Balizador da Meta'!$D$3:$F$23,MATCH(Quantidade!$P388,'Balizador da Meta'!$C$3:$C$23,0),MATCH(Quantidade!AK388,'Balizador da Meta'!$D$2:$F$2,0)),"")</f>
        <v>0</v>
      </c>
      <c r="AM388" s="9"/>
    </row>
    <row r="389" spans="1:39" x14ac:dyDescent="0.3">
      <c r="A389" s="2" t="str">
        <f t="shared" si="184"/>
        <v>NÃO</v>
      </c>
      <c r="B389" s="2" t="str">
        <f>_xlfn.XLOOKUP($N389,'Base de Grupos'!$A:$A,'Base de Grupos'!$D:$D)</f>
        <v>1000065763</v>
      </c>
      <c r="C389" s="5" t="str">
        <f>_xlfn.XLOOKUP($N389,'Base de Grupos'!$A:$A,'Base de Grupos'!$E:$E)</f>
        <v>CANAL VENDA INTERNA</v>
      </c>
      <c r="D389" s="5" t="str">
        <f>_xlfn.XLOOKUP($N389,'Base de Grupos'!$A:$A,'Base de Grupos'!$F:$F)</f>
        <v>1000065763</v>
      </c>
      <c r="E389" s="2" t="str">
        <f>_xlfn.XLOOKUP($N389,'Base de Grupos'!$A:$A,'Base de Grupos'!$G:$G)</f>
        <v>CANAL VENDA INTERNA</v>
      </c>
      <c r="F389" s="2" t="str">
        <f>_xlfn.XLOOKUP($N389,'Base de Grupos'!$A:$A,'Base de Grupos'!$H:$H)</f>
        <v>1000105898</v>
      </c>
      <c r="G389" s="5" t="str">
        <f>_xlfn.XLOOKUP($N389,'Base de Grupos'!$A:$A,'Base de Grupos'!$I:$I)</f>
        <v>REGIONAL VENDA DIRETA SP</v>
      </c>
      <c r="H389" s="5" t="str">
        <f>_xlfn.XLOOKUP($N389,'Base de Grupos'!$A:$A,'Base de Grupos'!$J:$J)</f>
        <v>1000105898</v>
      </c>
      <c r="I389" s="2" t="str">
        <f>_xlfn.XLOOKUP($N389,'Base de Grupos'!$A:$A,'Base de Grupos'!$K:$K)</f>
        <v>REGIONAL VENDA DIRETA SP</v>
      </c>
      <c r="J389" s="2" t="str">
        <f>_xlfn.XLOOKUP($N389,'Base de Grupos'!$A:$A,'Base de Grupos'!$L:$L)</f>
        <v>1000150135</v>
      </c>
      <c r="K389" s="5" t="str">
        <f>_xlfn.XLOOKUP($N389,'Base de Grupos'!$A:$A,'Base de Grupos'!$M:$M)</f>
        <v>HELDER DA SILVA BRUNKOW</v>
      </c>
      <c r="L389" s="5" t="str">
        <f t="shared" si="185"/>
        <v/>
      </c>
      <c r="M389" s="5" t="str">
        <f>_xlfn.XLOOKUP($N389,'Base de Grupos'!$A:$A,'Base de Grupos'!$C:$C)</f>
        <v>SP</v>
      </c>
      <c r="N389" s="3">
        <v>1360</v>
      </c>
      <c r="O389" s="4" t="s">
        <v>245</v>
      </c>
      <c r="P389" s="5" t="s">
        <v>86</v>
      </c>
      <c r="Q389" s="24">
        <v>0</v>
      </c>
      <c r="R389" s="24">
        <v>0</v>
      </c>
      <c r="S389" s="24">
        <v>0</v>
      </c>
      <c r="T389" s="24">
        <v>0</v>
      </c>
      <c r="U389" s="24">
        <v>0</v>
      </c>
      <c r="V389" s="24">
        <v>0</v>
      </c>
      <c r="W389" s="24">
        <v>0</v>
      </c>
      <c r="X389" s="24">
        <v>0</v>
      </c>
      <c r="Y389" s="24">
        <v>0</v>
      </c>
      <c r="Z389" s="24">
        <v>0</v>
      </c>
      <c r="AA389" s="24">
        <v>0</v>
      </c>
      <c r="AB389" s="24">
        <v>0</v>
      </c>
      <c r="AC389" s="30">
        <f t="shared" si="179"/>
        <v>0</v>
      </c>
      <c r="AD389" s="27">
        <f t="shared" si="181"/>
        <v>0</v>
      </c>
      <c r="AE389" s="25">
        <f>IFERROR(_xlfn.XLOOKUP(N389&amp;P389,'Historico Vendas'!G:G,'Historico Vendas'!E:E),0)</f>
        <v>0</v>
      </c>
      <c r="AF389" s="29" t="str">
        <f t="shared" si="186"/>
        <v/>
      </c>
      <c r="AG389" s="24">
        <f>IFERROR(_xlfn.XLOOKUP(N389&amp;P389,'Historico Vendas'!G:G,'Historico Vendas'!F:F),0)</f>
        <v>0</v>
      </c>
      <c r="AH389" s="25">
        <f t="shared" si="182"/>
        <v>0</v>
      </c>
      <c r="AI389" s="24">
        <f t="shared" si="183"/>
        <v>0</v>
      </c>
      <c r="AJ389" s="11" t="str">
        <f t="shared" si="187"/>
        <v/>
      </c>
      <c r="AK389" s="9" t="s">
        <v>102</v>
      </c>
      <c r="AL389" s="13">
        <f>IFERROR(INDEX('Balizador da Meta'!$D$3:$F$23,MATCH(Quantidade!$P389,'Balizador da Meta'!$C$3:$C$23,0),MATCH(Quantidade!AK389,'Balizador da Meta'!$D$2:$F$2,0)),"")</f>
        <v>0.15</v>
      </c>
      <c r="AM389" s="9"/>
    </row>
    <row r="390" spans="1:39" x14ac:dyDescent="0.3">
      <c r="A390" s="2" t="str">
        <f t="shared" si="184"/>
        <v>NÃO</v>
      </c>
      <c r="B390" s="2" t="str">
        <f>_xlfn.XLOOKUP($N390,'Base de Grupos'!$A:$A,'Base de Grupos'!$D:$D)</f>
        <v>1000065763</v>
      </c>
      <c r="C390" s="5" t="str">
        <f>_xlfn.XLOOKUP($N390,'Base de Grupos'!$A:$A,'Base de Grupos'!$E:$E)</f>
        <v>CANAL VENDA INTERNA</v>
      </c>
      <c r="D390" s="5" t="str">
        <f>_xlfn.XLOOKUP($N390,'Base de Grupos'!$A:$A,'Base de Grupos'!$F:$F)</f>
        <v>1000065763</v>
      </c>
      <c r="E390" s="2" t="str">
        <f>_xlfn.XLOOKUP($N390,'Base de Grupos'!$A:$A,'Base de Grupos'!$G:$G)</f>
        <v>CANAL VENDA INTERNA</v>
      </c>
      <c r="F390" s="2" t="str">
        <f>_xlfn.XLOOKUP($N390,'Base de Grupos'!$A:$A,'Base de Grupos'!$H:$H)</f>
        <v>1000105898</v>
      </c>
      <c r="G390" s="5" t="str">
        <f>_xlfn.XLOOKUP($N390,'Base de Grupos'!$A:$A,'Base de Grupos'!$I:$I)</f>
        <v>REGIONAL VENDA DIRETA SP</v>
      </c>
      <c r="H390" s="5" t="str">
        <f>_xlfn.XLOOKUP($N390,'Base de Grupos'!$A:$A,'Base de Grupos'!$J:$J)</f>
        <v>1000105898</v>
      </c>
      <c r="I390" s="2" t="str">
        <f>_xlfn.XLOOKUP($N390,'Base de Grupos'!$A:$A,'Base de Grupos'!$K:$K)</f>
        <v>REGIONAL VENDA DIRETA SP</v>
      </c>
      <c r="J390" s="2" t="str">
        <f>_xlfn.XLOOKUP($N390,'Base de Grupos'!$A:$A,'Base de Grupos'!$L:$L)</f>
        <v>1000150135</v>
      </c>
      <c r="K390" s="5" t="str">
        <f>_xlfn.XLOOKUP($N390,'Base de Grupos'!$A:$A,'Base de Grupos'!$M:$M)</f>
        <v>HELDER DA SILVA BRUNKOW</v>
      </c>
      <c r="L390" s="5" t="str">
        <f t="shared" si="185"/>
        <v/>
      </c>
      <c r="M390" s="5" t="str">
        <f>_xlfn.XLOOKUP($N390,'Base de Grupos'!$A:$A,'Base de Grupos'!$C:$C)</f>
        <v>SP</v>
      </c>
      <c r="N390" s="3">
        <v>1360</v>
      </c>
      <c r="O390" s="4" t="s">
        <v>245</v>
      </c>
      <c r="P390" s="5" t="s">
        <v>108</v>
      </c>
      <c r="Q390" s="24">
        <v>0</v>
      </c>
      <c r="R390" s="24">
        <v>0</v>
      </c>
      <c r="S390" s="24">
        <v>0</v>
      </c>
      <c r="T390" s="24">
        <v>0</v>
      </c>
      <c r="U390" s="24">
        <v>0</v>
      </c>
      <c r="V390" s="24">
        <v>0</v>
      </c>
      <c r="W390" s="24">
        <v>0</v>
      </c>
      <c r="X390" s="24">
        <v>0</v>
      </c>
      <c r="Y390" s="24">
        <v>0</v>
      </c>
      <c r="Z390" s="24">
        <v>0</v>
      </c>
      <c r="AA390" s="24">
        <v>0</v>
      </c>
      <c r="AB390" s="24">
        <v>0</v>
      </c>
      <c r="AC390" s="30">
        <f t="shared" si="179"/>
        <v>0</v>
      </c>
      <c r="AD390" s="27">
        <f t="shared" si="181"/>
        <v>0</v>
      </c>
      <c r="AE390" s="25">
        <f>IFERROR(_xlfn.XLOOKUP(N390&amp;P390,'Historico Vendas'!G:G,'Historico Vendas'!E:E),0)</f>
        <v>0</v>
      </c>
      <c r="AF390" s="29" t="str">
        <f t="shared" si="186"/>
        <v/>
      </c>
      <c r="AG390" s="24">
        <f>IFERROR(_xlfn.XLOOKUP(N390&amp;P390,'Historico Vendas'!G:G,'Historico Vendas'!F:F),0)</f>
        <v>0</v>
      </c>
      <c r="AH390" s="25">
        <f t="shared" si="182"/>
        <v>0</v>
      </c>
      <c r="AI390" s="24">
        <f t="shared" si="183"/>
        <v>0</v>
      </c>
      <c r="AJ390" s="11" t="str">
        <f t="shared" si="187"/>
        <v/>
      </c>
      <c r="AK390" s="9" t="s">
        <v>102</v>
      </c>
      <c r="AL390" s="13">
        <f>IFERROR(INDEX('Balizador da Meta'!$D$3:$F$23,MATCH(Quantidade!$P390,'Balizador da Meta'!$C$3:$C$23,0),MATCH(Quantidade!AK390,'Balizador da Meta'!$D$2:$F$2,0)),"")</f>
        <v>0</v>
      </c>
      <c r="AM390" s="9"/>
    </row>
    <row r="391" spans="1:39" x14ac:dyDescent="0.3">
      <c r="A391" s="2" t="str">
        <f t="shared" si="184"/>
        <v>NÃO</v>
      </c>
      <c r="B391" s="2" t="str">
        <f>_xlfn.XLOOKUP($N391,'Base de Grupos'!$A:$A,'Base de Grupos'!$D:$D)</f>
        <v>1000065763</v>
      </c>
      <c r="C391" s="5" t="str">
        <f>_xlfn.XLOOKUP($N391,'Base de Grupos'!$A:$A,'Base de Grupos'!$E:$E)</f>
        <v>CANAL VENDA INTERNA</v>
      </c>
      <c r="D391" s="5" t="str">
        <f>_xlfn.XLOOKUP($N391,'Base de Grupos'!$A:$A,'Base de Grupos'!$F:$F)</f>
        <v>1000065763</v>
      </c>
      <c r="E391" s="2" t="str">
        <f>_xlfn.XLOOKUP($N391,'Base de Grupos'!$A:$A,'Base de Grupos'!$G:$G)</f>
        <v>CANAL VENDA INTERNA</v>
      </c>
      <c r="F391" s="2" t="str">
        <f>_xlfn.XLOOKUP($N391,'Base de Grupos'!$A:$A,'Base de Grupos'!$H:$H)</f>
        <v>1000105898</v>
      </c>
      <c r="G391" s="5" t="str">
        <f>_xlfn.XLOOKUP($N391,'Base de Grupos'!$A:$A,'Base de Grupos'!$I:$I)</f>
        <v>REGIONAL VENDA DIRETA SP</v>
      </c>
      <c r="H391" s="5" t="str">
        <f>_xlfn.XLOOKUP($N391,'Base de Grupos'!$A:$A,'Base de Grupos'!$J:$J)</f>
        <v>1000105898</v>
      </c>
      <c r="I391" s="2" t="str">
        <f>_xlfn.XLOOKUP($N391,'Base de Grupos'!$A:$A,'Base de Grupos'!$K:$K)</f>
        <v>REGIONAL VENDA DIRETA SP</v>
      </c>
      <c r="J391" s="2" t="str">
        <f>_xlfn.XLOOKUP($N391,'Base de Grupos'!$A:$A,'Base de Grupos'!$L:$L)</f>
        <v>1000150135</v>
      </c>
      <c r="K391" s="5" t="str">
        <f>_xlfn.XLOOKUP($N391,'Base de Grupos'!$A:$A,'Base de Grupos'!$M:$M)</f>
        <v>HELDER DA SILVA BRUNKOW</v>
      </c>
      <c r="L391" s="5" t="str">
        <f t="shared" si="185"/>
        <v/>
      </c>
      <c r="M391" s="5" t="str">
        <f>_xlfn.XLOOKUP($N391,'Base de Grupos'!$A:$A,'Base de Grupos'!$C:$C)</f>
        <v>SP</v>
      </c>
      <c r="N391" s="3">
        <v>1360</v>
      </c>
      <c r="O391" s="4" t="s">
        <v>245</v>
      </c>
      <c r="P391" s="5" t="s">
        <v>89</v>
      </c>
      <c r="Q391" s="24">
        <v>0</v>
      </c>
      <c r="R391" s="24">
        <v>0</v>
      </c>
      <c r="S391" s="24">
        <v>0</v>
      </c>
      <c r="T391" s="24">
        <v>0</v>
      </c>
      <c r="U391" s="24">
        <v>0</v>
      </c>
      <c r="V391" s="24">
        <v>0</v>
      </c>
      <c r="W391" s="24">
        <v>0</v>
      </c>
      <c r="X391" s="24">
        <v>0</v>
      </c>
      <c r="Y391" s="24">
        <v>0</v>
      </c>
      <c r="Z391" s="24">
        <v>0</v>
      </c>
      <c r="AA391" s="24">
        <v>0</v>
      </c>
      <c r="AB391" s="24">
        <v>0</v>
      </c>
      <c r="AC391" s="30">
        <f t="shared" si="179"/>
        <v>0</v>
      </c>
      <c r="AD391" s="27">
        <f t="shared" si="181"/>
        <v>0</v>
      </c>
      <c r="AE391" s="25">
        <f>IFERROR(_xlfn.XLOOKUP(N391&amp;P391,'Historico Vendas'!G:G,'Historico Vendas'!E:E),0)</f>
        <v>0</v>
      </c>
      <c r="AF391" s="29" t="str">
        <f t="shared" si="186"/>
        <v/>
      </c>
      <c r="AG391" s="24">
        <f>IFERROR(_xlfn.XLOOKUP(N391&amp;P391,'Historico Vendas'!G:G,'Historico Vendas'!F:F),0)</f>
        <v>0</v>
      </c>
      <c r="AH391" s="25">
        <f t="shared" si="182"/>
        <v>0</v>
      </c>
      <c r="AI391" s="24">
        <f t="shared" si="183"/>
        <v>0</v>
      </c>
      <c r="AJ391" s="11" t="str">
        <f t="shared" si="187"/>
        <v/>
      </c>
      <c r="AK391" s="9" t="s">
        <v>102</v>
      </c>
      <c r="AL391" s="13">
        <f>IFERROR(INDEX('Balizador da Meta'!$D$3:$F$23,MATCH(Quantidade!$P391,'Balizador da Meta'!$C$3:$C$23,0),MATCH(Quantidade!AK391,'Balizador da Meta'!$D$2:$F$2,0)),"")</f>
        <v>0.25</v>
      </c>
      <c r="AM391" s="9"/>
    </row>
    <row r="392" spans="1:39" x14ac:dyDescent="0.3">
      <c r="A392" s="2" t="str">
        <f t="shared" si="184"/>
        <v>NÃO</v>
      </c>
      <c r="B392" s="2" t="str">
        <f>_xlfn.XLOOKUP($N392,'Base de Grupos'!$A:$A,'Base de Grupos'!$D:$D)</f>
        <v>1000065763</v>
      </c>
      <c r="C392" s="5" t="str">
        <f>_xlfn.XLOOKUP($N392,'Base de Grupos'!$A:$A,'Base de Grupos'!$E:$E)</f>
        <v>CANAL VENDA INTERNA</v>
      </c>
      <c r="D392" s="5" t="str">
        <f>_xlfn.XLOOKUP($N392,'Base de Grupos'!$A:$A,'Base de Grupos'!$F:$F)</f>
        <v>1000065763</v>
      </c>
      <c r="E392" s="2" t="str">
        <f>_xlfn.XLOOKUP($N392,'Base de Grupos'!$A:$A,'Base de Grupos'!$G:$G)</f>
        <v>CANAL VENDA INTERNA</v>
      </c>
      <c r="F392" s="2" t="str">
        <f>_xlfn.XLOOKUP($N392,'Base de Grupos'!$A:$A,'Base de Grupos'!$H:$H)</f>
        <v>1000105898</v>
      </c>
      <c r="G392" s="5" t="str">
        <f>_xlfn.XLOOKUP($N392,'Base de Grupos'!$A:$A,'Base de Grupos'!$I:$I)</f>
        <v>REGIONAL VENDA DIRETA SP</v>
      </c>
      <c r="H392" s="5" t="str">
        <f>_xlfn.XLOOKUP($N392,'Base de Grupos'!$A:$A,'Base de Grupos'!$J:$J)</f>
        <v>1000105898</v>
      </c>
      <c r="I392" s="2" t="str">
        <f>_xlfn.XLOOKUP($N392,'Base de Grupos'!$A:$A,'Base de Grupos'!$K:$K)</f>
        <v>REGIONAL VENDA DIRETA SP</v>
      </c>
      <c r="J392" s="2" t="str">
        <f>_xlfn.XLOOKUP($N392,'Base de Grupos'!$A:$A,'Base de Grupos'!$L:$L)</f>
        <v>1000150135</v>
      </c>
      <c r="K392" s="5" t="str">
        <f>_xlfn.XLOOKUP($N392,'Base de Grupos'!$A:$A,'Base de Grupos'!$M:$M)</f>
        <v>HELDER DA SILVA BRUNKOW</v>
      </c>
      <c r="L392" s="5" t="str">
        <f t="shared" si="185"/>
        <v/>
      </c>
      <c r="M392" s="5" t="str">
        <f>_xlfn.XLOOKUP($N392,'Base de Grupos'!$A:$A,'Base de Grupos'!$C:$C)</f>
        <v>SP</v>
      </c>
      <c r="N392" s="3">
        <v>1360</v>
      </c>
      <c r="O392" s="4" t="s">
        <v>245</v>
      </c>
      <c r="P392" s="5" t="s">
        <v>88</v>
      </c>
      <c r="Q392" s="24">
        <v>0</v>
      </c>
      <c r="R392" s="24">
        <v>0</v>
      </c>
      <c r="S392" s="24">
        <v>0</v>
      </c>
      <c r="T392" s="24">
        <v>0</v>
      </c>
      <c r="U392" s="24">
        <v>0</v>
      </c>
      <c r="V392" s="24">
        <v>0</v>
      </c>
      <c r="W392" s="24">
        <v>0</v>
      </c>
      <c r="X392" s="24">
        <v>0</v>
      </c>
      <c r="Y392" s="24">
        <v>0</v>
      </c>
      <c r="Z392" s="24">
        <v>0</v>
      </c>
      <c r="AA392" s="24">
        <v>0</v>
      </c>
      <c r="AB392" s="24">
        <v>0</v>
      </c>
      <c r="AC392" s="30">
        <f t="shared" si="179"/>
        <v>0</v>
      </c>
      <c r="AD392" s="27">
        <f t="shared" si="181"/>
        <v>0</v>
      </c>
      <c r="AE392" s="25">
        <f>IFERROR(_xlfn.XLOOKUP(N392&amp;P392,'Historico Vendas'!G:G,'Historico Vendas'!E:E),0)</f>
        <v>0</v>
      </c>
      <c r="AF392" s="29" t="str">
        <f t="shared" si="186"/>
        <v/>
      </c>
      <c r="AG392" s="24">
        <f>IFERROR(_xlfn.XLOOKUP(N392&amp;P392,'Historico Vendas'!G:G,'Historico Vendas'!F:F),0)</f>
        <v>0</v>
      </c>
      <c r="AH392" s="25">
        <f t="shared" si="182"/>
        <v>0</v>
      </c>
      <c r="AI392" s="24">
        <f t="shared" si="183"/>
        <v>0</v>
      </c>
      <c r="AJ392" s="11" t="str">
        <f t="shared" si="187"/>
        <v/>
      </c>
      <c r="AK392" s="9" t="s">
        <v>102</v>
      </c>
      <c r="AL392" s="13">
        <f>IFERROR(INDEX('Balizador da Meta'!$D$3:$F$23,MATCH(Quantidade!$P392,'Balizador da Meta'!$C$3:$C$23,0),MATCH(Quantidade!AK392,'Balizador da Meta'!$D$2:$F$2,0)),"")</f>
        <v>0</v>
      </c>
      <c r="AM392" s="9"/>
    </row>
    <row r="393" spans="1:39" x14ac:dyDescent="0.3">
      <c r="A393" s="2" t="str">
        <f t="shared" si="184"/>
        <v>NÃO</v>
      </c>
      <c r="B393" s="2" t="str">
        <f>_xlfn.XLOOKUP($N393,'Base de Grupos'!$A:$A,'Base de Grupos'!$D:$D)</f>
        <v>1000065763</v>
      </c>
      <c r="C393" s="5" t="str">
        <f>_xlfn.XLOOKUP($N393,'Base de Grupos'!$A:$A,'Base de Grupos'!$E:$E)</f>
        <v>CANAL VENDA INTERNA</v>
      </c>
      <c r="D393" s="5" t="str">
        <f>_xlfn.XLOOKUP($N393,'Base de Grupos'!$A:$A,'Base de Grupos'!$F:$F)</f>
        <v>1000065763</v>
      </c>
      <c r="E393" s="2" t="str">
        <f>_xlfn.XLOOKUP($N393,'Base de Grupos'!$A:$A,'Base de Grupos'!$G:$G)</f>
        <v>CANAL VENDA INTERNA</v>
      </c>
      <c r="F393" s="2" t="str">
        <f>_xlfn.XLOOKUP($N393,'Base de Grupos'!$A:$A,'Base de Grupos'!$H:$H)</f>
        <v>1000105898</v>
      </c>
      <c r="G393" s="5" t="str">
        <f>_xlfn.XLOOKUP($N393,'Base de Grupos'!$A:$A,'Base de Grupos'!$I:$I)</f>
        <v>REGIONAL VENDA DIRETA SP</v>
      </c>
      <c r="H393" s="5" t="str">
        <f>_xlfn.XLOOKUP($N393,'Base de Grupos'!$A:$A,'Base de Grupos'!$J:$J)</f>
        <v>1000105898</v>
      </c>
      <c r="I393" s="2" t="str">
        <f>_xlfn.XLOOKUP($N393,'Base de Grupos'!$A:$A,'Base de Grupos'!$K:$K)</f>
        <v>REGIONAL VENDA DIRETA SP</v>
      </c>
      <c r="J393" s="2" t="str">
        <f>_xlfn.XLOOKUP($N393,'Base de Grupos'!$A:$A,'Base de Grupos'!$L:$L)</f>
        <v>1000150135</v>
      </c>
      <c r="K393" s="5" t="str">
        <f>_xlfn.XLOOKUP($N393,'Base de Grupos'!$A:$A,'Base de Grupos'!$M:$M)</f>
        <v>HELDER DA SILVA BRUNKOW</v>
      </c>
      <c r="L393" s="5" t="str">
        <f t="shared" si="185"/>
        <v/>
      </c>
      <c r="M393" s="5" t="str">
        <f>_xlfn.XLOOKUP($N393,'Base de Grupos'!$A:$A,'Base de Grupos'!$C:$C)</f>
        <v>SP</v>
      </c>
      <c r="N393" s="3">
        <v>1360</v>
      </c>
      <c r="O393" s="4" t="s">
        <v>245</v>
      </c>
      <c r="P393" s="5" t="s">
        <v>90</v>
      </c>
      <c r="Q393" s="24">
        <v>0</v>
      </c>
      <c r="R393" s="24">
        <v>0</v>
      </c>
      <c r="S393" s="24">
        <v>0</v>
      </c>
      <c r="T393" s="24">
        <v>0</v>
      </c>
      <c r="U393" s="24">
        <v>0</v>
      </c>
      <c r="V393" s="24">
        <v>0</v>
      </c>
      <c r="W393" s="24">
        <v>0</v>
      </c>
      <c r="X393" s="24">
        <v>0</v>
      </c>
      <c r="Y393" s="24">
        <v>0</v>
      </c>
      <c r="Z393" s="24">
        <v>0</v>
      </c>
      <c r="AA393" s="24">
        <v>0</v>
      </c>
      <c r="AB393" s="24">
        <v>0</v>
      </c>
      <c r="AC393" s="30">
        <f t="shared" si="179"/>
        <v>0</v>
      </c>
      <c r="AD393" s="27">
        <f t="shared" si="181"/>
        <v>0</v>
      </c>
      <c r="AE393" s="25">
        <f>IFERROR(_xlfn.XLOOKUP(N393&amp;P393,'Historico Vendas'!G:G,'Historico Vendas'!E:E),0)</f>
        <v>0</v>
      </c>
      <c r="AF393" s="29" t="str">
        <f t="shared" si="186"/>
        <v/>
      </c>
      <c r="AG393" s="24">
        <f>IFERROR(_xlfn.XLOOKUP(N393&amp;P393,'Historico Vendas'!G:G,'Historico Vendas'!F:F),0)</f>
        <v>0</v>
      </c>
      <c r="AH393" s="25">
        <f t="shared" si="182"/>
        <v>0</v>
      </c>
      <c r="AI393" s="24">
        <f t="shared" si="183"/>
        <v>0</v>
      </c>
      <c r="AJ393" s="11" t="str">
        <f t="shared" si="187"/>
        <v/>
      </c>
      <c r="AK393" s="9" t="s">
        <v>102</v>
      </c>
      <c r="AL393" s="13">
        <f>IFERROR(INDEX('Balizador da Meta'!$D$3:$F$23,MATCH(Quantidade!$P393,'Balizador da Meta'!$C$3:$C$23,0),MATCH(Quantidade!AK393,'Balizador da Meta'!$D$2:$F$2,0)),"")</f>
        <v>0</v>
      </c>
      <c r="AM393" s="9"/>
    </row>
    <row r="394" spans="1:39" x14ac:dyDescent="0.3">
      <c r="A394" s="2" t="str">
        <f t="shared" si="184"/>
        <v>NÃO</v>
      </c>
      <c r="B394" s="2" t="str">
        <f>_xlfn.XLOOKUP($N394,'Base de Grupos'!$A:$A,'Base de Grupos'!$D:$D)</f>
        <v>1000065763</v>
      </c>
      <c r="C394" s="5" t="str">
        <f>_xlfn.XLOOKUP($N394,'Base de Grupos'!$A:$A,'Base de Grupos'!$E:$E)</f>
        <v>CANAL VENDA INTERNA</v>
      </c>
      <c r="D394" s="5" t="str">
        <f>_xlfn.XLOOKUP($N394,'Base de Grupos'!$A:$A,'Base de Grupos'!$F:$F)</f>
        <v>1000065763</v>
      </c>
      <c r="E394" s="2" t="str">
        <f>_xlfn.XLOOKUP($N394,'Base de Grupos'!$A:$A,'Base de Grupos'!$G:$G)</f>
        <v>CANAL VENDA INTERNA</v>
      </c>
      <c r="F394" s="2" t="str">
        <f>_xlfn.XLOOKUP($N394,'Base de Grupos'!$A:$A,'Base de Grupos'!$H:$H)</f>
        <v>1000105898</v>
      </c>
      <c r="G394" s="5" t="str">
        <f>_xlfn.XLOOKUP($N394,'Base de Grupos'!$A:$A,'Base de Grupos'!$I:$I)</f>
        <v>REGIONAL VENDA DIRETA SP</v>
      </c>
      <c r="H394" s="5" t="str">
        <f>_xlfn.XLOOKUP($N394,'Base de Grupos'!$A:$A,'Base de Grupos'!$J:$J)</f>
        <v>1000105898</v>
      </c>
      <c r="I394" s="2" t="str">
        <f>_xlfn.XLOOKUP($N394,'Base de Grupos'!$A:$A,'Base de Grupos'!$K:$K)</f>
        <v>REGIONAL VENDA DIRETA SP</v>
      </c>
      <c r="J394" s="2" t="str">
        <f>_xlfn.XLOOKUP($N394,'Base de Grupos'!$A:$A,'Base de Grupos'!$L:$L)</f>
        <v>1000150135</v>
      </c>
      <c r="K394" s="5" t="str">
        <f>_xlfn.XLOOKUP($N394,'Base de Grupos'!$A:$A,'Base de Grupos'!$M:$M)</f>
        <v>HELDER DA SILVA BRUNKOW</v>
      </c>
      <c r="L394" s="5" t="str">
        <f t="shared" si="185"/>
        <v/>
      </c>
      <c r="M394" s="5" t="str">
        <f>_xlfn.XLOOKUP($N394,'Base de Grupos'!$A:$A,'Base de Grupos'!$C:$C)</f>
        <v>SP</v>
      </c>
      <c r="N394" s="3">
        <v>1360</v>
      </c>
      <c r="O394" s="4" t="s">
        <v>245</v>
      </c>
      <c r="P394" s="5" t="s">
        <v>91</v>
      </c>
      <c r="Q394" s="24">
        <v>0</v>
      </c>
      <c r="R394" s="24">
        <v>0</v>
      </c>
      <c r="S394" s="24">
        <v>0</v>
      </c>
      <c r="T394" s="24">
        <v>0</v>
      </c>
      <c r="U394" s="24">
        <v>0</v>
      </c>
      <c r="V394" s="24">
        <v>0</v>
      </c>
      <c r="W394" s="24">
        <v>0</v>
      </c>
      <c r="X394" s="24">
        <v>0</v>
      </c>
      <c r="Y394" s="24">
        <v>0</v>
      </c>
      <c r="Z394" s="24">
        <v>0</v>
      </c>
      <c r="AA394" s="24">
        <v>0</v>
      </c>
      <c r="AB394" s="24">
        <v>0</v>
      </c>
      <c r="AC394" s="30">
        <f t="shared" si="179"/>
        <v>0</v>
      </c>
      <c r="AD394" s="27">
        <f t="shared" si="181"/>
        <v>0</v>
      </c>
      <c r="AE394" s="25">
        <f>IFERROR(_xlfn.XLOOKUP(N394&amp;P394,'Historico Vendas'!G:G,'Historico Vendas'!E:E),0)</f>
        <v>0</v>
      </c>
      <c r="AF394" s="29" t="str">
        <f t="shared" si="186"/>
        <v/>
      </c>
      <c r="AG394" s="24">
        <f>IFERROR(_xlfn.XLOOKUP(N394&amp;P394,'Historico Vendas'!G:G,'Historico Vendas'!F:F),0)</f>
        <v>0</v>
      </c>
      <c r="AH394" s="25">
        <f t="shared" si="182"/>
        <v>0</v>
      </c>
      <c r="AI394" s="24">
        <f t="shared" si="183"/>
        <v>0</v>
      </c>
      <c r="AJ394" s="11" t="str">
        <f t="shared" si="187"/>
        <v/>
      </c>
      <c r="AK394" s="9" t="s">
        <v>102</v>
      </c>
      <c r="AL394" s="13">
        <f>IFERROR(INDEX('Balizador da Meta'!$D$3:$F$23,MATCH(Quantidade!$P394,'Balizador da Meta'!$C$3:$C$23,0),MATCH(Quantidade!AK394,'Balizador da Meta'!$D$2:$F$2,0)),"")</f>
        <v>0</v>
      </c>
      <c r="AM394" s="9"/>
    </row>
    <row r="395" spans="1:39" x14ac:dyDescent="0.3">
      <c r="A395" s="2" t="str">
        <f t="shared" si="184"/>
        <v>NÃO</v>
      </c>
      <c r="B395" s="2" t="str">
        <f>_xlfn.XLOOKUP($N395,'Base de Grupos'!$A:$A,'Base de Grupos'!$D:$D)</f>
        <v>1000065763</v>
      </c>
      <c r="C395" s="5" t="str">
        <f>_xlfn.XLOOKUP($N395,'Base de Grupos'!$A:$A,'Base de Grupos'!$E:$E)</f>
        <v>CANAL VENDA INTERNA</v>
      </c>
      <c r="D395" s="5" t="str">
        <f>_xlfn.XLOOKUP($N395,'Base de Grupos'!$A:$A,'Base de Grupos'!$F:$F)</f>
        <v>1000065763</v>
      </c>
      <c r="E395" s="2" t="str">
        <f>_xlfn.XLOOKUP($N395,'Base de Grupos'!$A:$A,'Base de Grupos'!$G:$G)</f>
        <v>CANAL VENDA INTERNA</v>
      </c>
      <c r="F395" s="2" t="str">
        <f>_xlfn.XLOOKUP($N395,'Base de Grupos'!$A:$A,'Base de Grupos'!$H:$H)</f>
        <v>1000105898</v>
      </c>
      <c r="G395" s="5" t="str">
        <f>_xlfn.XLOOKUP($N395,'Base de Grupos'!$A:$A,'Base de Grupos'!$I:$I)</f>
        <v>REGIONAL VENDA DIRETA SP</v>
      </c>
      <c r="H395" s="5" t="str">
        <f>_xlfn.XLOOKUP($N395,'Base de Grupos'!$A:$A,'Base de Grupos'!$J:$J)</f>
        <v>1000105898</v>
      </c>
      <c r="I395" s="2" t="str">
        <f>_xlfn.XLOOKUP($N395,'Base de Grupos'!$A:$A,'Base de Grupos'!$K:$K)</f>
        <v>REGIONAL VENDA DIRETA SP</v>
      </c>
      <c r="J395" s="2" t="str">
        <f>_xlfn.XLOOKUP($N395,'Base de Grupos'!$A:$A,'Base de Grupos'!$L:$L)</f>
        <v>1000150135</v>
      </c>
      <c r="K395" s="5" t="str">
        <f>_xlfn.XLOOKUP($N395,'Base de Grupos'!$A:$A,'Base de Grupos'!$M:$M)</f>
        <v>HELDER DA SILVA BRUNKOW</v>
      </c>
      <c r="L395" s="5" t="str">
        <f t="shared" si="185"/>
        <v/>
      </c>
      <c r="M395" s="5" t="str">
        <f>_xlfn.XLOOKUP($N395,'Base de Grupos'!$A:$A,'Base de Grupos'!$C:$C)</f>
        <v>SP</v>
      </c>
      <c r="N395" s="3">
        <v>1360</v>
      </c>
      <c r="O395" s="4" t="s">
        <v>245</v>
      </c>
      <c r="P395" s="5" t="s">
        <v>96</v>
      </c>
      <c r="Q395" s="24">
        <v>0</v>
      </c>
      <c r="R395" s="24">
        <v>0</v>
      </c>
      <c r="S395" s="24">
        <v>0</v>
      </c>
      <c r="T395" s="24">
        <v>0</v>
      </c>
      <c r="U395" s="24">
        <v>0</v>
      </c>
      <c r="V395" s="24">
        <v>0</v>
      </c>
      <c r="W395" s="24">
        <v>0</v>
      </c>
      <c r="X395" s="24">
        <v>0</v>
      </c>
      <c r="Y395" s="24">
        <v>0</v>
      </c>
      <c r="Z395" s="24">
        <v>0</v>
      </c>
      <c r="AA395" s="24">
        <v>0</v>
      </c>
      <c r="AB395" s="24">
        <v>0</v>
      </c>
      <c r="AC395" s="30">
        <f t="shared" si="179"/>
        <v>0</v>
      </c>
      <c r="AD395" s="27">
        <f t="shared" si="181"/>
        <v>0</v>
      </c>
      <c r="AE395" s="25">
        <f>IFERROR(_xlfn.XLOOKUP(N395&amp;P395,'Historico Vendas'!G:G,'Historico Vendas'!E:E),0)</f>
        <v>0</v>
      </c>
      <c r="AF395" s="29" t="str">
        <f t="shared" si="186"/>
        <v/>
      </c>
      <c r="AG395" s="24">
        <f>IFERROR(_xlfn.XLOOKUP(N395&amp;P395,'Historico Vendas'!G:G,'Historico Vendas'!F:F),0)</f>
        <v>0</v>
      </c>
      <c r="AH395" s="25">
        <f t="shared" si="182"/>
        <v>0</v>
      </c>
      <c r="AI395" s="24">
        <f t="shared" si="183"/>
        <v>0</v>
      </c>
      <c r="AJ395" s="11" t="str">
        <f t="shared" si="187"/>
        <v/>
      </c>
      <c r="AK395" s="9" t="s">
        <v>102</v>
      </c>
      <c r="AL395" s="13">
        <f>IFERROR(INDEX('Balizador da Meta'!$D$3:$F$23,MATCH(Quantidade!$P395,'Balizador da Meta'!$C$3:$C$23,0),MATCH(Quantidade!AK395,'Balizador da Meta'!$D$2:$F$2,0)),"")</f>
        <v>0</v>
      </c>
      <c r="AM395" s="9"/>
    </row>
    <row r="396" spans="1:39" x14ac:dyDescent="0.3">
      <c r="A396" s="2" t="str">
        <f t="shared" si="184"/>
        <v>NÃO</v>
      </c>
      <c r="B396" s="2" t="str">
        <f>_xlfn.XLOOKUP($N396,'Base de Grupos'!$A:$A,'Base de Grupos'!$D:$D)</f>
        <v>1000065763</v>
      </c>
      <c r="C396" s="5" t="str">
        <f>_xlfn.XLOOKUP($N396,'Base de Grupos'!$A:$A,'Base de Grupos'!$E:$E)</f>
        <v>CANAL VENDA INTERNA</v>
      </c>
      <c r="D396" s="5" t="str">
        <f>_xlfn.XLOOKUP($N396,'Base de Grupos'!$A:$A,'Base de Grupos'!$F:$F)</f>
        <v>1000065763</v>
      </c>
      <c r="E396" s="2" t="str">
        <f>_xlfn.XLOOKUP($N396,'Base de Grupos'!$A:$A,'Base de Grupos'!$G:$G)</f>
        <v>CANAL VENDA INTERNA</v>
      </c>
      <c r="F396" s="2" t="str">
        <f>_xlfn.XLOOKUP($N396,'Base de Grupos'!$A:$A,'Base de Grupos'!$H:$H)</f>
        <v>1000105898</v>
      </c>
      <c r="G396" s="5" t="str">
        <f>_xlfn.XLOOKUP($N396,'Base de Grupos'!$A:$A,'Base de Grupos'!$I:$I)</f>
        <v>REGIONAL VENDA DIRETA SP</v>
      </c>
      <c r="H396" s="5" t="str">
        <f>_xlfn.XLOOKUP($N396,'Base de Grupos'!$A:$A,'Base de Grupos'!$J:$J)</f>
        <v>1000105898</v>
      </c>
      <c r="I396" s="2" t="str">
        <f>_xlfn.XLOOKUP($N396,'Base de Grupos'!$A:$A,'Base de Grupos'!$K:$K)</f>
        <v>REGIONAL VENDA DIRETA SP</v>
      </c>
      <c r="J396" s="2" t="str">
        <f>_xlfn.XLOOKUP($N396,'Base de Grupos'!$A:$A,'Base de Grupos'!$L:$L)</f>
        <v>1000150135</v>
      </c>
      <c r="K396" s="5" t="str">
        <f>_xlfn.XLOOKUP($N396,'Base de Grupos'!$A:$A,'Base de Grupos'!$M:$M)</f>
        <v>HELDER DA SILVA BRUNKOW</v>
      </c>
      <c r="L396" s="5" t="str">
        <f t="shared" si="185"/>
        <v/>
      </c>
      <c r="M396" s="5" t="str">
        <f>_xlfn.XLOOKUP($N396,'Base de Grupos'!$A:$A,'Base de Grupos'!$C:$C)</f>
        <v>SP</v>
      </c>
      <c r="N396" s="3">
        <v>1360</v>
      </c>
      <c r="O396" s="4" t="s">
        <v>245</v>
      </c>
      <c r="P396" s="5" t="s">
        <v>94</v>
      </c>
      <c r="Q396" s="24">
        <v>0</v>
      </c>
      <c r="R396" s="24">
        <v>0</v>
      </c>
      <c r="S396" s="24">
        <v>0</v>
      </c>
      <c r="T396" s="24">
        <v>0</v>
      </c>
      <c r="U396" s="24">
        <v>0</v>
      </c>
      <c r="V396" s="24">
        <v>0</v>
      </c>
      <c r="W396" s="24">
        <v>0</v>
      </c>
      <c r="X396" s="24">
        <v>0</v>
      </c>
      <c r="Y396" s="24">
        <v>0</v>
      </c>
      <c r="Z396" s="24">
        <v>0</v>
      </c>
      <c r="AA396" s="24">
        <v>0</v>
      </c>
      <c r="AB396" s="24">
        <v>0</v>
      </c>
      <c r="AC396" s="30">
        <f t="shared" si="179"/>
        <v>0</v>
      </c>
      <c r="AD396" s="27">
        <f t="shared" si="181"/>
        <v>0</v>
      </c>
      <c r="AE396" s="25">
        <f>IFERROR(_xlfn.XLOOKUP(N396&amp;P396,'Historico Vendas'!G:G,'Historico Vendas'!E:E),0)</f>
        <v>0</v>
      </c>
      <c r="AF396" s="29" t="str">
        <f t="shared" si="186"/>
        <v/>
      </c>
      <c r="AG396" s="24">
        <f>IFERROR(_xlfn.XLOOKUP(N396&amp;P396,'Historico Vendas'!G:G,'Historico Vendas'!F:F),0)</f>
        <v>0</v>
      </c>
      <c r="AH396" s="25">
        <f t="shared" si="182"/>
        <v>0</v>
      </c>
      <c r="AI396" s="24">
        <f t="shared" si="183"/>
        <v>0</v>
      </c>
      <c r="AJ396" s="11" t="str">
        <f t="shared" si="187"/>
        <v/>
      </c>
      <c r="AK396" s="9" t="s">
        <v>102</v>
      </c>
      <c r="AL396" s="13">
        <f>IFERROR(INDEX('Balizador da Meta'!$D$3:$F$23,MATCH(Quantidade!$P396,'Balizador da Meta'!$C$3:$C$23,0),MATCH(Quantidade!AK396,'Balizador da Meta'!$D$2:$F$2,0)),"")</f>
        <v>0.25</v>
      </c>
      <c r="AM396" s="9"/>
    </row>
    <row r="397" spans="1:39" x14ac:dyDescent="0.3">
      <c r="A397" s="2" t="str">
        <f t="shared" si="184"/>
        <v>NÃO</v>
      </c>
      <c r="B397" s="2" t="str">
        <f>_xlfn.XLOOKUP($N397,'Base de Grupos'!$A:$A,'Base de Grupos'!$D:$D)</f>
        <v>1000065763</v>
      </c>
      <c r="C397" s="5" t="str">
        <f>_xlfn.XLOOKUP($N397,'Base de Grupos'!$A:$A,'Base de Grupos'!$E:$E)</f>
        <v>CANAL VENDA INTERNA</v>
      </c>
      <c r="D397" s="5" t="str">
        <f>_xlfn.XLOOKUP($N397,'Base de Grupos'!$A:$A,'Base de Grupos'!$F:$F)</f>
        <v>1000065763</v>
      </c>
      <c r="E397" s="2" t="str">
        <f>_xlfn.XLOOKUP($N397,'Base de Grupos'!$A:$A,'Base de Grupos'!$G:$G)</f>
        <v>CANAL VENDA INTERNA</v>
      </c>
      <c r="F397" s="2" t="str">
        <f>_xlfn.XLOOKUP($N397,'Base de Grupos'!$A:$A,'Base de Grupos'!$H:$H)</f>
        <v>1000105898</v>
      </c>
      <c r="G397" s="5" t="str">
        <f>_xlfn.XLOOKUP($N397,'Base de Grupos'!$A:$A,'Base de Grupos'!$I:$I)</f>
        <v>REGIONAL VENDA DIRETA SP</v>
      </c>
      <c r="H397" s="5" t="str">
        <f>_xlfn.XLOOKUP($N397,'Base de Grupos'!$A:$A,'Base de Grupos'!$J:$J)</f>
        <v>1000105898</v>
      </c>
      <c r="I397" s="2" t="str">
        <f>_xlfn.XLOOKUP($N397,'Base de Grupos'!$A:$A,'Base de Grupos'!$K:$K)</f>
        <v>REGIONAL VENDA DIRETA SP</v>
      </c>
      <c r="J397" s="2" t="str">
        <f>_xlfn.XLOOKUP($N397,'Base de Grupos'!$A:$A,'Base de Grupos'!$L:$L)</f>
        <v>1000150135</v>
      </c>
      <c r="K397" s="5" t="str">
        <f>_xlfn.XLOOKUP($N397,'Base de Grupos'!$A:$A,'Base de Grupos'!$M:$M)</f>
        <v>HELDER DA SILVA BRUNKOW</v>
      </c>
      <c r="L397" s="5" t="str">
        <f t="shared" si="185"/>
        <v/>
      </c>
      <c r="M397" s="5" t="str">
        <f>_xlfn.XLOOKUP($N397,'Base de Grupos'!$A:$A,'Base de Grupos'!$C:$C)</f>
        <v>SP</v>
      </c>
      <c r="N397" s="3">
        <v>1360</v>
      </c>
      <c r="O397" s="4" t="s">
        <v>245</v>
      </c>
      <c r="P397" s="5" t="s">
        <v>95</v>
      </c>
      <c r="Q397" s="24">
        <v>0</v>
      </c>
      <c r="R397" s="24">
        <v>0</v>
      </c>
      <c r="S397" s="24">
        <v>0</v>
      </c>
      <c r="T397" s="24">
        <v>0</v>
      </c>
      <c r="U397" s="24">
        <v>0</v>
      </c>
      <c r="V397" s="24">
        <v>0</v>
      </c>
      <c r="W397" s="24">
        <v>0</v>
      </c>
      <c r="X397" s="24">
        <v>0</v>
      </c>
      <c r="Y397" s="24">
        <v>0</v>
      </c>
      <c r="Z397" s="24">
        <v>0</v>
      </c>
      <c r="AA397" s="24">
        <v>0</v>
      </c>
      <c r="AB397" s="24">
        <v>0</v>
      </c>
      <c r="AC397" s="30">
        <f t="shared" si="179"/>
        <v>0</v>
      </c>
      <c r="AD397" s="27">
        <f t="shared" si="181"/>
        <v>0</v>
      </c>
      <c r="AE397" s="25">
        <f>IFERROR(_xlfn.XLOOKUP(N397&amp;P397,'Historico Vendas'!G:G,'Historico Vendas'!E:E),0)</f>
        <v>0</v>
      </c>
      <c r="AF397" s="29" t="str">
        <f t="shared" si="186"/>
        <v/>
      </c>
      <c r="AG397" s="24">
        <f>IFERROR(_xlfn.XLOOKUP(N397&amp;P397,'Historico Vendas'!G:G,'Historico Vendas'!F:F),0)</f>
        <v>0</v>
      </c>
      <c r="AH397" s="25">
        <f t="shared" si="182"/>
        <v>0</v>
      </c>
      <c r="AI397" s="24">
        <f t="shared" si="183"/>
        <v>0</v>
      </c>
      <c r="AJ397" s="11" t="str">
        <f t="shared" si="187"/>
        <v/>
      </c>
      <c r="AK397" s="9" t="s">
        <v>102</v>
      </c>
      <c r="AL397" s="13">
        <f>IFERROR(INDEX('Balizador da Meta'!$D$3:$F$23,MATCH(Quantidade!$P397,'Balizador da Meta'!$C$3:$C$23,0),MATCH(Quantidade!AK397,'Balizador da Meta'!$D$2:$F$2,0)),"")</f>
        <v>0.25</v>
      </c>
      <c r="AM397" s="9"/>
    </row>
    <row r="398" spans="1:39" x14ac:dyDescent="0.3">
      <c r="A398" s="2" t="str">
        <f t="shared" si="184"/>
        <v>NÃO</v>
      </c>
      <c r="B398" s="2" t="str">
        <f>_xlfn.XLOOKUP($N398,'Base de Grupos'!$A:$A,'Base de Grupos'!$D:$D)</f>
        <v>1000065763</v>
      </c>
      <c r="C398" s="5" t="str">
        <f>_xlfn.XLOOKUP($N398,'Base de Grupos'!$A:$A,'Base de Grupos'!$E:$E)</f>
        <v>CANAL VENDA INTERNA</v>
      </c>
      <c r="D398" s="5" t="str">
        <f>_xlfn.XLOOKUP($N398,'Base de Grupos'!$A:$A,'Base de Grupos'!$F:$F)</f>
        <v>1000065763</v>
      </c>
      <c r="E398" s="2" t="str">
        <f>_xlfn.XLOOKUP($N398,'Base de Grupos'!$A:$A,'Base de Grupos'!$G:$G)</f>
        <v>CANAL VENDA INTERNA</v>
      </c>
      <c r="F398" s="2" t="str">
        <f>_xlfn.XLOOKUP($N398,'Base de Grupos'!$A:$A,'Base de Grupos'!$H:$H)</f>
        <v>1000105898</v>
      </c>
      <c r="G398" s="5" t="str">
        <f>_xlfn.XLOOKUP($N398,'Base de Grupos'!$A:$A,'Base de Grupos'!$I:$I)</f>
        <v>REGIONAL VENDA DIRETA SP</v>
      </c>
      <c r="H398" s="5" t="str">
        <f>_xlfn.XLOOKUP($N398,'Base de Grupos'!$A:$A,'Base de Grupos'!$J:$J)</f>
        <v>1000105898</v>
      </c>
      <c r="I398" s="2" t="str">
        <f>_xlfn.XLOOKUP($N398,'Base de Grupos'!$A:$A,'Base de Grupos'!$K:$K)</f>
        <v>REGIONAL VENDA DIRETA SP</v>
      </c>
      <c r="J398" s="2" t="str">
        <f>_xlfn.XLOOKUP($N398,'Base de Grupos'!$A:$A,'Base de Grupos'!$L:$L)</f>
        <v>1000150135</v>
      </c>
      <c r="K398" s="5" t="str">
        <f>_xlfn.XLOOKUP($N398,'Base de Grupos'!$A:$A,'Base de Grupos'!$M:$M)</f>
        <v>HELDER DA SILVA BRUNKOW</v>
      </c>
      <c r="L398" s="5" t="str">
        <f t="shared" si="185"/>
        <v/>
      </c>
      <c r="M398" s="5" t="str">
        <f>_xlfn.XLOOKUP($N398,'Base de Grupos'!$A:$A,'Base de Grupos'!$C:$C)</f>
        <v>SP</v>
      </c>
      <c r="N398" s="3">
        <v>1360</v>
      </c>
      <c r="O398" s="4" t="s">
        <v>245</v>
      </c>
      <c r="P398" s="5" t="s">
        <v>93</v>
      </c>
      <c r="Q398" s="24">
        <v>0</v>
      </c>
      <c r="R398" s="24">
        <v>0</v>
      </c>
      <c r="S398" s="24">
        <v>0</v>
      </c>
      <c r="T398" s="24">
        <v>0</v>
      </c>
      <c r="U398" s="24">
        <v>0</v>
      </c>
      <c r="V398" s="24">
        <v>0</v>
      </c>
      <c r="W398" s="24">
        <v>0</v>
      </c>
      <c r="X398" s="24">
        <v>0</v>
      </c>
      <c r="Y398" s="24">
        <v>0</v>
      </c>
      <c r="Z398" s="24">
        <v>0</v>
      </c>
      <c r="AA398" s="24">
        <v>0</v>
      </c>
      <c r="AB398" s="24">
        <v>0</v>
      </c>
      <c r="AC398" s="30">
        <f t="shared" si="179"/>
        <v>0</v>
      </c>
      <c r="AD398" s="27">
        <f t="shared" si="181"/>
        <v>0</v>
      </c>
      <c r="AE398" s="25">
        <f>IFERROR(_xlfn.XLOOKUP(N398&amp;P398,'Historico Vendas'!G:G,'Historico Vendas'!E:E),0)</f>
        <v>0</v>
      </c>
      <c r="AF398" s="29" t="str">
        <f t="shared" si="186"/>
        <v/>
      </c>
      <c r="AG398" s="24">
        <f>IFERROR(_xlfn.XLOOKUP(N398&amp;P398,'Historico Vendas'!G:G,'Historico Vendas'!F:F),0)</f>
        <v>0</v>
      </c>
      <c r="AH398" s="25">
        <f t="shared" si="182"/>
        <v>0</v>
      </c>
      <c r="AI398" s="24">
        <f t="shared" si="183"/>
        <v>0</v>
      </c>
      <c r="AJ398" s="11" t="str">
        <f t="shared" si="187"/>
        <v/>
      </c>
      <c r="AK398" s="9" t="s">
        <v>102</v>
      </c>
      <c r="AL398" s="13">
        <f>IFERROR(INDEX('Balizador da Meta'!$D$3:$F$23,MATCH(Quantidade!$P398,'Balizador da Meta'!$C$3:$C$23,0),MATCH(Quantidade!AK398,'Balizador da Meta'!$D$2:$F$2,0)),"")</f>
        <v>0.2</v>
      </c>
      <c r="AM398" s="9"/>
    </row>
    <row r="399" spans="1:39" x14ac:dyDescent="0.3">
      <c r="A399" s="2" t="str">
        <f t="shared" si="184"/>
        <v>SIM</v>
      </c>
      <c r="B399" s="2" t="str">
        <f>_xlfn.XLOOKUP($N399,'Base de Grupos'!$A:$A,'Base de Grupos'!$D:$D)</f>
        <v>1000065763</v>
      </c>
      <c r="C399" s="5" t="str">
        <f>_xlfn.XLOOKUP($N399,'Base de Grupos'!$A:$A,'Base de Grupos'!$E:$E)</f>
        <v>CANAL VENDA INTERNA</v>
      </c>
      <c r="D399" s="5" t="str">
        <f>_xlfn.XLOOKUP($N399,'Base de Grupos'!$A:$A,'Base de Grupos'!$F:$F)</f>
        <v>1000065763</v>
      </c>
      <c r="E399" s="2" t="str">
        <f>_xlfn.XLOOKUP($N399,'Base de Grupos'!$A:$A,'Base de Grupos'!$G:$G)</f>
        <v>CANAL VENDA INTERNA</v>
      </c>
      <c r="F399" s="2" t="str">
        <f>_xlfn.XLOOKUP($N399,'Base de Grupos'!$A:$A,'Base de Grupos'!$H:$H)</f>
        <v>1000105898</v>
      </c>
      <c r="G399" s="5" t="str">
        <f>_xlfn.XLOOKUP($N399,'Base de Grupos'!$A:$A,'Base de Grupos'!$I:$I)</f>
        <v>REGIONAL VENDA DIRETA SP</v>
      </c>
      <c r="H399" s="5" t="str">
        <f>_xlfn.XLOOKUP($N399,'Base de Grupos'!$A:$A,'Base de Grupos'!$J:$J)</f>
        <v>1000105898</v>
      </c>
      <c r="I399" s="2" t="str">
        <f>_xlfn.XLOOKUP($N399,'Base de Grupos'!$A:$A,'Base de Grupos'!$K:$K)</f>
        <v>REGIONAL VENDA DIRETA SP</v>
      </c>
      <c r="J399" s="2" t="str">
        <f>_xlfn.XLOOKUP($N399,'Base de Grupos'!$A:$A,'Base de Grupos'!$L:$L)</f>
        <v>1000150135</v>
      </c>
      <c r="K399" s="5" t="str">
        <f>_xlfn.XLOOKUP($N399,'Base de Grupos'!$A:$A,'Base de Grupos'!$M:$M)</f>
        <v>HELDER DA SILVA BRUNKOW</v>
      </c>
      <c r="L399" s="5">
        <f t="shared" si="185"/>
        <v>1</v>
      </c>
      <c r="M399" s="5" t="str">
        <f>_xlfn.XLOOKUP($N399,'Base de Grupos'!$A:$A,'Base de Grupos'!$C:$C)</f>
        <v>SP</v>
      </c>
      <c r="N399" s="3">
        <v>1361</v>
      </c>
      <c r="O399" s="4" t="s">
        <v>246</v>
      </c>
      <c r="P399" s="5" t="s">
        <v>316</v>
      </c>
      <c r="Q399" s="24">
        <f>SUM(Q400:Q420)</f>
        <v>0</v>
      </c>
      <c r="R399" s="24">
        <f t="shared" ref="R399" si="188">SUM(R400:R420)</f>
        <v>0</v>
      </c>
      <c r="S399" s="24">
        <f t="shared" ref="S399" si="189">SUM(S400:S420)</f>
        <v>0</v>
      </c>
      <c r="T399" s="24">
        <f t="shared" ref="T399:AC399" si="190">SUM(T400:T420)</f>
        <v>0</v>
      </c>
      <c r="U399" s="24">
        <f t="shared" si="190"/>
        <v>0</v>
      </c>
      <c r="V399" s="24">
        <f t="shared" si="190"/>
        <v>0</v>
      </c>
      <c r="W399" s="24">
        <f t="shared" si="190"/>
        <v>0</v>
      </c>
      <c r="X399" s="24">
        <f t="shared" si="190"/>
        <v>0</v>
      </c>
      <c r="Y399" s="24">
        <f t="shared" si="190"/>
        <v>0</v>
      </c>
      <c r="Z399" s="24">
        <f t="shared" si="190"/>
        <v>0</v>
      </c>
      <c r="AA399" s="24">
        <f t="shared" si="190"/>
        <v>0</v>
      </c>
      <c r="AB399" s="24">
        <f t="shared" si="190"/>
        <v>0</v>
      </c>
      <c r="AC399" s="24">
        <f t="shared" si="190"/>
        <v>0</v>
      </c>
      <c r="AD399" s="25">
        <f t="shared" ref="AD399:AI399" si="191">SUM(AD400:AD416)</f>
        <v>0</v>
      </c>
      <c r="AE399" s="25">
        <f t="shared" si="191"/>
        <v>0</v>
      </c>
      <c r="AF399" s="11" t="str">
        <f t="shared" si="186"/>
        <v/>
      </c>
      <c r="AG399" s="24">
        <f t="shared" si="191"/>
        <v>0</v>
      </c>
      <c r="AH399" s="25">
        <f t="shared" si="191"/>
        <v>0</v>
      </c>
      <c r="AI399" s="24">
        <f t="shared" si="191"/>
        <v>0</v>
      </c>
      <c r="AJ399" s="11" t="str">
        <f t="shared" si="187"/>
        <v/>
      </c>
      <c r="AK399" s="9"/>
      <c r="AL399" s="13"/>
      <c r="AM399" s="9"/>
    </row>
    <row r="400" spans="1:39" x14ac:dyDescent="0.3">
      <c r="A400" s="2" t="str">
        <f t="shared" si="184"/>
        <v>NÃO</v>
      </c>
      <c r="B400" s="2" t="str">
        <f>_xlfn.XLOOKUP($N400,'Base de Grupos'!$A:$A,'Base de Grupos'!$D:$D)</f>
        <v>1000065763</v>
      </c>
      <c r="C400" s="5" t="str">
        <f>_xlfn.XLOOKUP($N400,'Base de Grupos'!$A:$A,'Base de Grupos'!$E:$E)</f>
        <v>CANAL VENDA INTERNA</v>
      </c>
      <c r="D400" s="5" t="str">
        <f>_xlfn.XLOOKUP($N400,'Base de Grupos'!$A:$A,'Base de Grupos'!$F:$F)</f>
        <v>1000065763</v>
      </c>
      <c r="E400" s="2" t="str">
        <f>_xlfn.XLOOKUP($N400,'Base de Grupos'!$A:$A,'Base de Grupos'!$G:$G)</f>
        <v>CANAL VENDA INTERNA</v>
      </c>
      <c r="F400" s="2" t="str">
        <f>_xlfn.XLOOKUP($N400,'Base de Grupos'!$A:$A,'Base de Grupos'!$H:$H)</f>
        <v>1000105898</v>
      </c>
      <c r="G400" s="5" t="str">
        <f>_xlfn.XLOOKUP($N400,'Base de Grupos'!$A:$A,'Base de Grupos'!$I:$I)</f>
        <v>REGIONAL VENDA DIRETA SP</v>
      </c>
      <c r="H400" s="5" t="str">
        <f>_xlfn.XLOOKUP($N400,'Base de Grupos'!$A:$A,'Base de Grupos'!$J:$J)</f>
        <v>1000105898</v>
      </c>
      <c r="I400" s="2" t="str">
        <f>_xlfn.XLOOKUP($N400,'Base de Grupos'!$A:$A,'Base de Grupos'!$K:$K)</f>
        <v>REGIONAL VENDA DIRETA SP</v>
      </c>
      <c r="J400" s="2" t="str">
        <f>_xlfn.XLOOKUP($N400,'Base de Grupos'!$A:$A,'Base de Grupos'!$L:$L)</f>
        <v>1000150135</v>
      </c>
      <c r="K400" s="5" t="str">
        <f>_xlfn.XLOOKUP($N400,'Base de Grupos'!$A:$A,'Base de Grupos'!$M:$M)</f>
        <v>HELDER DA SILVA BRUNKOW</v>
      </c>
      <c r="L400" s="5" t="str">
        <f t="shared" si="185"/>
        <v/>
      </c>
      <c r="M400" s="5" t="str">
        <f>_xlfn.XLOOKUP($N400,'Base de Grupos'!$A:$A,'Base de Grupos'!$C:$C)</f>
        <v>SP</v>
      </c>
      <c r="N400" s="3">
        <v>1361</v>
      </c>
      <c r="O400" s="4" t="s">
        <v>246</v>
      </c>
      <c r="P400" s="5" t="s">
        <v>81</v>
      </c>
      <c r="Q400" s="24">
        <v>0</v>
      </c>
      <c r="R400" s="24">
        <v>0</v>
      </c>
      <c r="S400" s="24">
        <v>0</v>
      </c>
      <c r="T400" s="24">
        <v>0</v>
      </c>
      <c r="U400" s="24">
        <v>0</v>
      </c>
      <c r="V400" s="24">
        <v>0</v>
      </c>
      <c r="W400" s="24">
        <v>0</v>
      </c>
      <c r="X400" s="24">
        <v>0</v>
      </c>
      <c r="Y400" s="24">
        <v>0</v>
      </c>
      <c r="Z400" s="24">
        <v>0</v>
      </c>
      <c r="AA400" s="24">
        <v>0</v>
      </c>
      <c r="AB400" s="24">
        <v>0</v>
      </c>
      <c r="AC400" s="30">
        <f t="shared" ref="AC400:AC420" si="192">SUM(T400:AB400)</f>
        <v>0</v>
      </c>
      <c r="AD400" s="27">
        <f t="shared" ref="AD400:AD416" si="193">IF(AC400=0,0,AC400-AG400)</f>
        <v>0</v>
      </c>
      <c r="AE400" s="25">
        <f>IFERROR(_xlfn.XLOOKUP(N400&amp;P400,'Historico Vendas'!G:G,'Historico Vendas'!E:E),0)</f>
        <v>0</v>
      </c>
      <c r="AF400" s="29" t="str">
        <f t="shared" si="186"/>
        <v/>
      </c>
      <c r="AG400" s="24">
        <f>IFERROR(_xlfn.XLOOKUP(N400&amp;P400,'Historico Vendas'!G:G,'Historico Vendas'!F:F),0)</f>
        <v>0</v>
      </c>
      <c r="AH400" s="25">
        <f t="shared" ref="AH400:AH416" si="194">SUM(Q400:S400)</f>
        <v>0</v>
      </c>
      <c r="AI400" s="24">
        <f t="shared" ref="AI400:AI416" si="195">AH400-AG400</f>
        <v>0</v>
      </c>
      <c r="AJ400" s="11" t="str">
        <f t="shared" si="187"/>
        <v/>
      </c>
      <c r="AK400" s="9" t="s">
        <v>102</v>
      </c>
      <c r="AL400" s="13">
        <f>IFERROR(INDEX('Balizador da Meta'!$D$3:$F$23,MATCH(Quantidade!$P400,'Balizador da Meta'!$C$3:$C$23,0),MATCH(Quantidade!AK400,'Balizador da Meta'!$D$2:$F$2,0)),"")</f>
        <v>0.2</v>
      </c>
      <c r="AM400" s="9"/>
    </row>
    <row r="401" spans="1:39" x14ac:dyDescent="0.3">
      <c r="A401" s="2" t="str">
        <f t="shared" si="184"/>
        <v>NÃO</v>
      </c>
      <c r="B401" s="2" t="str">
        <f>_xlfn.XLOOKUP($N401,'Base de Grupos'!$A:$A,'Base de Grupos'!$D:$D)</f>
        <v>1000065763</v>
      </c>
      <c r="C401" s="5" t="str">
        <f>_xlfn.XLOOKUP($N401,'Base de Grupos'!$A:$A,'Base de Grupos'!$E:$E)</f>
        <v>CANAL VENDA INTERNA</v>
      </c>
      <c r="D401" s="5" t="str">
        <f>_xlfn.XLOOKUP($N401,'Base de Grupos'!$A:$A,'Base de Grupos'!$F:$F)</f>
        <v>1000065763</v>
      </c>
      <c r="E401" s="2" t="str">
        <f>_xlfn.XLOOKUP($N401,'Base de Grupos'!$A:$A,'Base de Grupos'!$G:$G)</f>
        <v>CANAL VENDA INTERNA</v>
      </c>
      <c r="F401" s="2" t="str">
        <f>_xlfn.XLOOKUP($N401,'Base de Grupos'!$A:$A,'Base de Grupos'!$H:$H)</f>
        <v>1000105898</v>
      </c>
      <c r="G401" s="5" t="str">
        <f>_xlfn.XLOOKUP($N401,'Base de Grupos'!$A:$A,'Base de Grupos'!$I:$I)</f>
        <v>REGIONAL VENDA DIRETA SP</v>
      </c>
      <c r="H401" s="5" t="str">
        <f>_xlfn.XLOOKUP($N401,'Base de Grupos'!$A:$A,'Base de Grupos'!$J:$J)</f>
        <v>1000105898</v>
      </c>
      <c r="I401" s="2" t="str">
        <f>_xlfn.XLOOKUP($N401,'Base de Grupos'!$A:$A,'Base de Grupos'!$K:$K)</f>
        <v>REGIONAL VENDA DIRETA SP</v>
      </c>
      <c r="J401" s="2" t="str">
        <f>_xlfn.XLOOKUP($N401,'Base de Grupos'!$A:$A,'Base de Grupos'!$L:$L)</f>
        <v>1000150135</v>
      </c>
      <c r="K401" s="5" t="str">
        <f>_xlfn.XLOOKUP($N401,'Base de Grupos'!$A:$A,'Base de Grupos'!$M:$M)</f>
        <v>HELDER DA SILVA BRUNKOW</v>
      </c>
      <c r="L401" s="5" t="str">
        <f t="shared" si="185"/>
        <v/>
      </c>
      <c r="M401" s="5" t="str">
        <f>_xlfn.XLOOKUP($N401,'Base de Grupos'!$A:$A,'Base de Grupos'!$C:$C)</f>
        <v>SP</v>
      </c>
      <c r="N401" s="3">
        <v>1361</v>
      </c>
      <c r="O401" s="4" t="s">
        <v>246</v>
      </c>
      <c r="P401" s="5" t="s">
        <v>82</v>
      </c>
      <c r="Q401" s="24">
        <v>0</v>
      </c>
      <c r="R401" s="24">
        <v>0</v>
      </c>
      <c r="S401" s="24">
        <v>0</v>
      </c>
      <c r="T401" s="24">
        <v>0</v>
      </c>
      <c r="U401" s="24">
        <v>0</v>
      </c>
      <c r="V401" s="24">
        <v>0</v>
      </c>
      <c r="W401" s="24">
        <v>0</v>
      </c>
      <c r="X401" s="24">
        <v>0</v>
      </c>
      <c r="Y401" s="24">
        <v>0</v>
      </c>
      <c r="Z401" s="24">
        <v>0</v>
      </c>
      <c r="AA401" s="24">
        <v>0</v>
      </c>
      <c r="AB401" s="24">
        <v>0</v>
      </c>
      <c r="AC401" s="30">
        <f t="shared" si="192"/>
        <v>0</v>
      </c>
      <c r="AD401" s="27">
        <f t="shared" si="193"/>
        <v>0</v>
      </c>
      <c r="AE401" s="25">
        <f>IFERROR(_xlfn.XLOOKUP(N401&amp;P401,'Historico Vendas'!G:G,'Historico Vendas'!E:E),0)</f>
        <v>0</v>
      </c>
      <c r="AF401" s="29" t="str">
        <f t="shared" si="186"/>
        <v/>
      </c>
      <c r="AG401" s="24">
        <f>IFERROR(_xlfn.XLOOKUP(N401&amp;P401,'Historico Vendas'!G:G,'Historico Vendas'!F:F),0)</f>
        <v>0</v>
      </c>
      <c r="AH401" s="25">
        <f t="shared" si="194"/>
        <v>0</v>
      </c>
      <c r="AI401" s="24">
        <f t="shared" si="195"/>
        <v>0</v>
      </c>
      <c r="AJ401" s="11" t="str">
        <f t="shared" si="187"/>
        <v/>
      </c>
      <c r="AK401" s="9" t="s">
        <v>102</v>
      </c>
      <c r="AL401" s="13">
        <f>IFERROR(INDEX('Balizador da Meta'!$D$3:$F$23,MATCH(Quantidade!$P401,'Balizador da Meta'!$C$3:$C$23,0),MATCH(Quantidade!AK401,'Balizador da Meta'!$D$2:$F$2,0)),"")</f>
        <v>0.2</v>
      </c>
      <c r="AM401" s="9"/>
    </row>
    <row r="402" spans="1:39" x14ac:dyDescent="0.3">
      <c r="A402" s="2" t="str">
        <f t="shared" si="184"/>
        <v>NÃO</v>
      </c>
      <c r="B402" s="2" t="str">
        <f>_xlfn.XLOOKUP($N402,'Base de Grupos'!$A:$A,'Base de Grupos'!$D:$D)</f>
        <v>1000065763</v>
      </c>
      <c r="C402" s="5" t="str">
        <f>_xlfn.XLOOKUP($N402,'Base de Grupos'!$A:$A,'Base de Grupos'!$E:$E)</f>
        <v>CANAL VENDA INTERNA</v>
      </c>
      <c r="D402" s="5" t="str">
        <f>_xlfn.XLOOKUP($N402,'Base de Grupos'!$A:$A,'Base de Grupos'!$F:$F)</f>
        <v>1000065763</v>
      </c>
      <c r="E402" s="2" t="str">
        <f>_xlfn.XLOOKUP($N402,'Base de Grupos'!$A:$A,'Base de Grupos'!$G:$G)</f>
        <v>CANAL VENDA INTERNA</v>
      </c>
      <c r="F402" s="2" t="str">
        <f>_xlfn.XLOOKUP($N402,'Base de Grupos'!$A:$A,'Base de Grupos'!$H:$H)</f>
        <v>1000105898</v>
      </c>
      <c r="G402" s="5" t="str">
        <f>_xlfn.XLOOKUP($N402,'Base de Grupos'!$A:$A,'Base de Grupos'!$I:$I)</f>
        <v>REGIONAL VENDA DIRETA SP</v>
      </c>
      <c r="H402" s="5" t="str">
        <f>_xlfn.XLOOKUP($N402,'Base de Grupos'!$A:$A,'Base de Grupos'!$J:$J)</f>
        <v>1000105898</v>
      </c>
      <c r="I402" s="2" t="str">
        <f>_xlfn.XLOOKUP($N402,'Base de Grupos'!$A:$A,'Base de Grupos'!$K:$K)</f>
        <v>REGIONAL VENDA DIRETA SP</v>
      </c>
      <c r="J402" s="2" t="str">
        <f>_xlfn.XLOOKUP($N402,'Base de Grupos'!$A:$A,'Base de Grupos'!$L:$L)</f>
        <v>1000150135</v>
      </c>
      <c r="K402" s="5" t="str">
        <f>_xlfn.XLOOKUP($N402,'Base de Grupos'!$A:$A,'Base de Grupos'!$M:$M)</f>
        <v>HELDER DA SILVA BRUNKOW</v>
      </c>
      <c r="L402" s="5" t="str">
        <f t="shared" si="185"/>
        <v/>
      </c>
      <c r="M402" s="5" t="str">
        <f>_xlfn.XLOOKUP($N402,'Base de Grupos'!$A:$A,'Base de Grupos'!$C:$C)</f>
        <v>SP</v>
      </c>
      <c r="N402" s="3">
        <v>1361</v>
      </c>
      <c r="O402" s="4" t="s">
        <v>246</v>
      </c>
      <c r="P402" s="5" t="s">
        <v>84</v>
      </c>
      <c r="Q402" s="24">
        <v>0</v>
      </c>
      <c r="R402" s="24">
        <v>0</v>
      </c>
      <c r="S402" s="24">
        <v>0</v>
      </c>
      <c r="T402" s="24">
        <v>0</v>
      </c>
      <c r="U402" s="24">
        <v>0</v>
      </c>
      <c r="V402" s="24">
        <v>0</v>
      </c>
      <c r="W402" s="24">
        <v>0</v>
      </c>
      <c r="X402" s="24">
        <v>0</v>
      </c>
      <c r="Y402" s="24">
        <v>0</v>
      </c>
      <c r="Z402" s="24">
        <v>0</v>
      </c>
      <c r="AA402" s="24">
        <v>0</v>
      </c>
      <c r="AB402" s="24">
        <v>0</v>
      </c>
      <c r="AC402" s="30">
        <f t="shared" si="192"/>
        <v>0</v>
      </c>
      <c r="AD402" s="27">
        <f t="shared" si="193"/>
        <v>0</v>
      </c>
      <c r="AE402" s="25">
        <f>IFERROR(_xlfn.XLOOKUP(N402&amp;P402,'Historico Vendas'!G:G,'Historico Vendas'!E:E),0)</f>
        <v>0</v>
      </c>
      <c r="AF402" s="29" t="str">
        <f t="shared" si="186"/>
        <v/>
      </c>
      <c r="AG402" s="24">
        <f>IFERROR(_xlfn.XLOOKUP(N402&amp;P402,'Historico Vendas'!G:G,'Historico Vendas'!F:F),0)</f>
        <v>0</v>
      </c>
      <c r="AH402" s="25">
        <f t="shared" si="194"/>
        <v>0</v>
      </c>
      <c r="AI402" s="24">
        <f t="shared" si="195"/>
        <v>0</v>
      </c>
      <c r="AJ402" s="11" t="str">
        <f t="shared" si="187"/>
        <v/>
      </c>
      <c r="AK402" s="9" t="s">
        <v>102</v>
      </c>
      <c r="AL402" s="13">
        <f>IFERROR(INDEX('Balizador da Meta'!$D$3:$F$23,MATCH(Quantidade!$P402,'Balizador da Meta'!$C$3:$C$23,0),MATCH(Quantidade!AK402,'Balizador da Meta'!$D$2:$F$2,0)),"")</f>
        <v>0.15</v>
      </c>
      <c r="AM402" s="9"/>
    </row>
    <row r="403" spans="1:39" x14ac:dyDescent="0.3">
      <c r="A403" s="2" t="str">
        <f t="shared" si="184"/>
        <v>NÃO</v>
      </c>
      <c r="B403" s="2" t="str">
        <f>_xlfn.XLOOKUP($N403,'Base de Grupos'!$A:$A,'Base de Grupos'!$D:$D)</f>
        <v>1000065763</v>
      </c>
      <c r="C403" s="5" t="str">
        <f>_xlfn.XLOOKUP($N403,'Base de Grupos'!$A:$A,'Base de Grupos'!$E:$E)</f>
        <v>CANAL VENDA INTERNA</v>
      </c>
      <c r="D403" s="5" t="str">
        <f>_xlfn.XLOOKUP($N403,'Base de Grupos'!$A:$A,'Base de Grupos'!$F:$F)</f>
        <v>1000065763</v>
      </c>
      <c r="E403" s="2" t="str">
        <f>_xlfn.XLOOKUP($N403,'Base de Grupos'!$A:$A,'Base de Grupos'!$G:$G)</f>
        <v>CANAL VENDA INTERNA</v>
      </c>
      <c r="F403" s="2" t="str">
        <f>_xlfn.XLOOKUP($N403,'Base de Grupos'!$A:$A,'Base de Grupos'!$H:$H)</f>
        <v>1000105898</v>
      </c>
      <c r="G403" s="5" t="str">
        <f>_xlfn.XLOOKUP($N403,'Base de Grupos'!$A:$A,'Base de Grupos'!$I:$I)</f>
        <v>REGIONAL VENDA DIRETA SP</v>
      </c>
      <c r="H403" s="5" t="str">
        <f>_xlfn.XLOOKUP($N403,'Base de Grupos'!$A:$A,'Base de Grupos'!$J:$J)</f>
        <v>1000105898</v>
      </c>
      <c r="I403" s="2" t="str">
        <f>_xlfn.XLOOKUP($N403,'Base de Grupos'!$A:$A,'Base de Grupos'!$K:$K)</f>
        <v>REGIONAL VENDA DIRETA SP</v>
      </c>
      <c r="J403" s="2" t="str">
        <f>_xlfn.XLOOKUP($N403,'Base de Grupos'!$A:$A,'Base de Grupos'!$L:$L)</f>
        <v>1000150135</v>
      </c>
      <c r="K403" s="5" t="str">
        <f>_xlfn.XLOOKUP($N403,'Base de Grupos'!$A:$A,'Base de Grupos'!$M:$M)</f>
        <v>HELDER DA SILVA BRUNKOW</v>
      </c>
      <c r="L403" s="5" t="str">
        <f t="shared" si="185"/>
        <v/>
      </c>
      <c r="M403" s="5" t="str">
        <f>_xlfn.XLOOKUP($N403,'Base de Grupos'!$A:$A,'Base de Grupos'!$C:$C)</f>
        <v>SP</v>
      </c>
      <c r="N403" s="3">
        <v>1361</v>
      </c>
      <c r="O403" s="4" t="s">
        <v>246</v>
      </c>
      <c r="P403" s="5" t="s">
        <v>83</v>
      </c>
      <c r="Q403" s="24">
        <v>0</v>
      </c>
      <c r="R403" s="24">
        <v>0</v>
      </c>
      <c r="S403" s="24">
        <v>0</v>
      </c>
      <c r="T403" s="24">
        <v>0</v>
      </c>
      <c r="U403" s="24">
        <v>0</v>
      </c>
      <c r="V403" s="24">
        <v>0</v>
      </c>
      <c r="W403" s="24">
        <v>0</v>
      </c>
      <c r="X403" s="24">
        <v>0</v>
      </c>
      <c r="Y403" s="24">
        <v>0</v>
      </c>
      <c r="Z403" s="24">
        <v>0</v>
      </c>
      <c r="AA403" s="24">
        <v>0</v>
      </c>
      <c r="AB403" s="24">
        <v>0</v>
      </c>
      <c r="AC403" s="30">
        <f t="shared" si="192"/>
        <v>0</v>
      </c>
      <c r="AD403" s="27">
        <f t="shared" si="193"/>
        <v>0</v>
      </c>
      <c r="AE403" s="25">
        <f>IFERROR(_xlfn.XLOOKUP(N403&amp;P403,'Historico Vendas'!G:G,'Historico Vendas'!E:E),0)</f>
        <v>0</v>
      </c>
      <c r="AF403" s="29" t="str">
        <f t="shared" si="186"/>
        <v/>
      </c>
      <c r="AG403" s="24">
        <f>IFERROR(_xlfn.XLOOKUP(N403&amp;P403,'Historico Vendas'!G:G,'Historico Vendas'!F:F),0)</f>
        <v>0</v>
      </c>
      <c r="AH403" s="25">
        <f t="shared" si="194"/>
        <v>0</v>
      </c>
      <c r="AI403" s="24">
        <f t="shared" si="195"/>
        <v>0</v>
      </c>
      <c r="AJ403" s="11" t="str">
        <f t="shared" si="187"/>
        <v/>
      </c>
      <c r="AK403" s="9" t="s">
        <v>102</v>
      </c>
      <c r="AL403" s="13">
        <f>IFERROR(INDEX('Balizador da Meta'!$D$3:$F$23,MATCH(Quantidade!$P403,'Balizador da Meta'!$C$3:$C$23,0),MATCH(Quantidade!AK403,'Balizador da Meta'!$D$2:$F$2,0)),"")</f>
        <v>0</v>
      </c>
      <c r="AM403" s="9"/>
    </row>
    <row r="404" spans="1:39" x14ac:dyDescent="0.3">
      <c r="A404" s="2" t="str">
        <f t="shared" si="184"/>
        <v>NÃO</v>
      </c>
      <c r="B404" s="2" t="str">
        <f>_xlfn.XLOOKUP($N404,'Base de Grupos'!$A:$A,'Base de Grupos'!$D:$D)</f>
        <v>1000065763</v>
      </c>
      <c r="C404" s="5" t="str">
        <f>_xlfn.XLOOKUP($N404,'Base de Grupos'!$A:$A,'Base de Grupos'!$E:$E)</f>
        <v>CANAL VENDA INTERNA</v>
      </c>
      <c r="D404" s="5" t="str">
        <f>_xlfn.XLOOKUP($N404,'Base de Grupos'!$A:$A,'Base de Grupos'!$F:$F)</f>
        <v>1000065763</v>
      </c>
      <c r="E404" s="2" t="str">
        <f>_xlfn.XLOOKUP($N404,'Base de Grupos'!$A:$A,'Base de Grupos'!$G:$G)</f>
        <v>CANAL VENDA INTERNA</v>
      </c>
      <c r="F404" s="2" t="str">
        <f>_xlfn.XLOOKUP($N404,'Base de Grupos'!$A:$A,'Base de Grupos'!$H:$H)</f>
        <v>1000105898</v>
      </c>
      <c r="G404" s="5" t="str">
        <f>_xlfn.XLOOKUP($N404,'Base de Grupos'!$A:$A,'Base de Grupos'!$I:$I)</f>
        <v>REGIONAL VENDA DIRETA SP</v>
      </c>
      <c r="H404" s="5" t="str">
        <f>_xlfn.XLOOKUP($N404,'Base de Grupos'!$A:$A,'Base de Grupos'!$J:$J)</f>
        <v>1000105898</v>
      </c>
      <c r="I404" s="2" t="str">
        <f>_xlfn.XLOOKUP($N404,'Base de Grupos'!$A:$A,'Base de Grupos'!$K:$K)</f>
        <v>REGIONAL VENDA DIRETA SP</v>
      </c>
      <c r="J404" s="2" t="str">
        <f>_xlfn.XLOOKUP($N404,'Base de Grupos'!$A:$A,'Base de Grupos'!$L:$L)</f>
        <v>1000150135</v>
      </c>
      <c r="K404" s="5" t="str">
        <f>_xlfn.XLOOKUP($N404,'Base de Grupos'!$A:$A,'Base de Grupos'!$M:$M)</f>
        <v>HELDER DA SILVA BRUNKOW</v>
      </c>
      <c r="L404" s="5" t="str">
        <f t="shared" si="185"/>
        <v/>
      </c>
      <c r="M404" s="5" t="str">
        <f>_xlfn.XLOOKUP($N404,'Base de Grupos'!$A:$A,'Base de Grupos'!$C:$C)</f>
        <v>SP</v>
      </c>
      <c r="N404" s="3">
        <v>1361</v>
      </c>
      <c r="O404" s="4" t="s">
        <v>246</v>
      </c>
      <c r="P404" s="5" t="s">
        <v>87</v>
      </c>
      <c r="Q404" s="24">
        <v>0</v>
      </c>
      <c r="R404" s="24">
        <v>0</v>
      </c>
      <c r="S404" s="24">
        <v>0</v>
      </c>
      <c r="T404" s="24">
        <v>0</v>
      </c>
      <c r="U404" s="24">
        <v>0</v>
      </c>
      <c r="V404" s="24">
        <v>0</v>
      </c>
      <c r="W404" s="24">
        <v>0</v>
      </c>
      <c r="X404" s="24">
        <v>0</v>
      </c>
      <c r="Y404" s="24">
        <v>0</v>
      </c>
      <c r="Z404" s="24">
        <v>0</v>
      </c>
      <c r="AA404" s="24">
        <v>0</v>
      </c>
      <c r="AB404" s="24">
        <v>0</v>
      </c>
      <c r="AC404" s="30">
        <f t="shared" si="192"/>
        <v>0</v>
      </c>
      <c r="AD404" s="27">
        <f t="shared" si="193"/>
        <v>0</v>
      </c>
      <c r="AE404" s="25">
        <f>IFERROR(_xlfn.XLOOKUP(N404&amp;P404,'Historico Vendas'!G:G,'Historico Vendas'!E:E),0)</f>
        <v>0</v>
      </c>
      <c r="AF404" s="29" t="str">
        <f t="shared" si="186"/>
        <v/>
      </c>
      <c r="AG404" s="24">
        <f>IFERROR(_xlfn.XLOOKUP(N404&amp;P404,'Historico Vendas'!G:G,'Historico Vendas'!F:F),0)</f>
        <v>0</v>
      </c>
      <c r="AH404" s="25">
        <f t="shared" si="194"/>
        <v>0</v>
      </c>
      <c r="AI404" s="24">
        <f t="shared" si="195"/>
        <v>0</v>
      </c>
      <c r="AJ404" s="11" t="str">
        <f t="shared" si="187"/>
        <v/>
      </c>
      <c r="AK404" s="9" t="s">
        <v>102</v>
      </c>
      <c r="AL404" s="13">
        <f>IFERROR(INDEX('Balizador da Meta'!$D$3:$F$23,MATCH(Quantidade!$P404,'Balizador da Meta'!$C$3:$C$23,0),MATCH(Quantidade!AK404,'Balizador da Meta'!$D$2:$F$2,0)),"")</f>
        <v>0</v>
      </c>
      <c r="AM404" s="9"/>
    </row>
    <row r="405" spans="1:39" x14ac:dyDescent="0.3">
      <c r="A405" s="2" t="str">
        <f t="shared" si="184"/>
        <v>NÃO</v>
      </c>
      <c r="B405" s="2" t="str">
        <f>_xlfn.XLOOKUP($N405,'Base de Grupos'!$A:$A,'Base de Grupos'!$D:$D)</f>
        <v>1000065763</v>
      </c>
      <c r="C405" s="5" t="str">
        <f>_xlfn.XLOOKUP($N405,'Base de Grupos'!$A:$A,'Base de Grupos'!$E:$E)</f>
        <v>CANAL VENDA INTERNA</v>
      </c>
      <c r="D405" s="5" t="str">
        <f>_xlfn.XLOOKUP($N405,'Base de Grupos'!$A:$A,'Base de Grupos'!$F:$F)</f>
        <v>1000065763</v>
      </c>
      <c r="E405" s="2" t="str">
        <f>_xlfn.XLOOKUP($N405,'Base de Grupos'!$A:$A,'Base de Grupos'!$G:$G)</f>
        <v>CANAL VENDA INTERNA</v>
      </c>
      <c r="F405" s="2" t="str">
        <f>_xlfn.XLOOKUP($N405,'Base de Grupos'!$A:$A,'Base de Grupos'!$H:$H)</f>
        <v>1000105898</v>
      </c>
      <c r="G405" s="5" t="str">
        <f>_xlfn.XLOOKUP($N405,'Base de Grupos'!$A:$A,'Base de Grupos'!$I:$I)</f>
        <v>REGIONAL VENDA DIRETA SP</v>
      </c>
      <c r="H405" s="5" t="str">
        <f>_xlfn.XLOOKUP($N405,'Base de Grupos'!$A:$A,'Base de Grupos'!$J:$J)</f>
        <v>1000105898</v>
      </c>
      <c r="I405" s="2" t="str">
        <f>_xlfn.XLOOKUP($N405,'Base de Grupos'!$A:$A,'Base de Grupos'!$K:$K)</f>
        <v>REGIONAL VENDA DIRETA SP</v>
      </c>
      <c r="J405" s="2" t="str">
        <f>_xlfn.XLOOKUP($N405,'Base de Grupos'!$A:$A,'Base de Grupos'!$L:$L)</f>
        <v>1000150135</v>
      </c>
      <c r="K405" s="5" t="str">
        <f>_xlfn.XLOOKUP($N405,'Base de Grupos'!$A:$A,'Base de Grupos'!$M:$M)</f>
        <v>HELDER DA SILVA BRUNKOW</v>
      </c>
      <c r="L405" s="5" t="str">
        <f t="shared" si="185"/>
        <v/>
      </c>
      <c r="M405" s="5" t="str">
        <f>_xlfn.XLOOKUP($N405,'Base de Grupos'!$A:$A,'Base de Grupos'!$C:$C)</f>
        <v>SP</v>
      </c>
      <c r="N405" s="3">
        <v>1361</v>
      </c>
      <c r="O405" s="4" t="s">
        <v>246</v>
      </c>
      <c r="P405" s="5" t="s">
        <v>85</v>
      </c>
      <c r="Q405" s="24">
        <v>0</v>
      </c>
      <c r="R405" s="24">
        <v>0</v>
      </c>
      <c r="S405" s="24">
        <v>0</v>
      </c>
      <c r="T405" s="24">
        <v>0</v>
      </c>
      <c r="U405" s="24">
        <v>0</v>
      </c>
      <c r="V405" s="24">
        <v>0</v>
      </c>
      <c r="W405" s="24">
        <v>0</v>
      </c>
      <c r="X405" s="24">
        <v>0</v>
      </c>
      <c r="Y405" s="24">
        <v>0</v>
      </c>
      <c r="Z405" s="24">
        <v>0</v>
      </c>
      <c r="AA405" s="24">
        <v>0</v>
      </c>
      <c r="AB405" s="24">
        <v>0</v>
      </c>
      <c r="AC405" s="30">
        <f t="shared" si="192"/>
        <v>0</v>
      </c>
      <c r="AD405" s="27">
        <f t="shared" si="193"/>
        <v>0</v>
      </c>
      <c r="AE405" s="25">
        <f>IFERROR(_xlfn.XLOOKUP(N405&amp;P405,'Historico Vendas'!G:G,'Historico Vendas'!E:E),0)</f>
        <v>0</v>
      </c>
      <c r="AF405" s="29" t="str">
        <f t="shared" si="186"/>
        <v/>
      </c>
      <c r="AG405" s="24">
        <f>IFERROR(_xlfn.XLOOKUP(N405&amp;P405,'Historico Vendas'!G:G,'Historico Vendas'!F:F),0)</f>
        <v>0</v>
      </c>
      <c r="AH405" s="25">
        <f t="shared" si="194"/>
        <v>0</v>
      </c>
      <c r="AI405" s="24">
        <f t="shared" si="195"/>
        <v>0</v>
      </c>
      <c r="AJ405" s="11" t="str">
        <f t="shared" si="187"/>
        <v/>
      </c>
      <c r="AK405" s="9" t="s">
        <v>102</v>
      </c>
      <c r="AL405" s="13">
        <f>IFERROR(INDEX('Balizador da Meta'!$D$3:$F$23,MATCH(Quantidade!$P405,'Balizador da Meta'!$C$3:$C$23,0),MATCH(Quantidade!AK405,'Balizador da Meta'!$D$2:$F$2,0)),"")</f>
        <v>0</v>
      </c>
      <c r="AM405" s="9"/>
    </row>
    <row r="406" spans="1:39" x14ac:dyDescent="0.3">
      <c r="A406" s="2" t="str">
        <f t="shared" si="184"/>
        <v>NÃO</v>
      </c>
      <c r="B406" s="2" t="str">
        <f>_xlfn.XLOOKUP($N406,'Base de Grupos'!$A:$A,'Base de Grupos'!$D:$D)</f>
        <v>1000065763</v>
      </c>
      <c r="C406" s="5" t="str">
        <f>_xlfn.XLOOKUP($N406,'Base de Grupos'!$A:$A,'Base de Grupos'!$E:$E)</f>
        <v>CANAL VENDA INTERNA</v>
      </c>
      <c r="D406" s="5" t="str">
        <f>_xlfn.XLOOKUP($N406,'Base de Grupos'!$A:$A,'Base de Grupos'!$F:$F)</f>
        <v>1000065763</v>
      </c>
      <c r="E406" s="2" t="str">
        <f>_xlfn.XLOOKUP($N406,'Base de Grupos'!$A:$A,'Base de Grupos'!$G:$G)</f>
        <v>CANAL VENDA INTERNA</v>
      </c>
      <c r="F406" s="2" t="str">
        <f>_xlfn.XLOOKUP($N406,'Base de Grupos'!$A:$A,'Base de Grupos'!$H:$H)</f>
        <v>1000105898</v>
      </c>
      <c r="G406" s="5" t="str">
        <f>_xlfn.XLOOKUP($N406,'Base de Grupos'!$A:$A,'Base de Grupos'!$I:$I)</f>
        <v>REGIONAL VENDA DIRETA SP</v>
      </c>
      <c r="H406" s="5" t="str">
        <f>_xlfn.XLOOKUP($N406,'Base de Grupos'!$A:$A,'Base de Grupos'!$J:$J)</f>
        <v>1000105898</v>
      </c>
      <c r="I406" s="2" t="str">
        <f>_xlfn.XLOOKUP($N406,'Base de Grupos'!$A:$A,'Base de Grupos'!$K:$K)</f>
        <v>REGIONAL VENDA DIRETA SP</v>
      </c>
      <c r="J406" s="2" t="str">
        <f>_xlfn.XLOOKUP($N406,'Base de Grupos'!$A:$A,'Base de Grupos'!$L:$L)</f>
        <v>1000150135</v>
      </c>
      <c r="K406" s="5" t="str">
        <f>_xlfn.XLOOKUP($N406,'Base de Grupos'!$A:$A,'Base de Grupos'!$M:$M)</f>
        <v>HELDER DA SILVA BRUNKOW</v>
      </c>
      <c r="L406" s="5" t="str">
        <f t="shared" si="185"/>
        <v/>
      </c>
      <c r="M406" s="5" t="str">
        <f>_xlfn.XLOOKUP($N406,'Base de Grupos'!$A:$A,'Base de Grupos'!$C:$C)</f>
        <v>SP</v>
      </c>
      <c r="N406" s="3">
        <v>1361</v>
      </c>
      <c r="O406" s="4" t="s">
        <v>246</v>
      </c>
      <c r="P406" s="5" t="s">
        <v>92</v>
      </c>
      <c r="Q406" s="24">
        <v>0</v>
      </c>
      <c r="R406" s="24">
        <v>0</v>
      </c>
      <c r="S406" s="24">
        <v>0</v>
      </c>
      <c r="T406" s="24">
        <v>0</v>
      </c>
      <c r="U406" s="24">
        <v>0</v>
      </c>
      <c r="V406" s="24">
        <v>0</v>
      </c>
      <c r="W406" s="24">
        <v>0</v>
      </c>
      <c r="X406" s="24">
        <v>0</v>
      </c>
      <c r="Y406" s="24">
        <v>0</v>
      </c>
      <c r="Z406" s="24">
        <v>0</v>
      </c>
      <c r="AA406" s="24">
        <v>0</v>
      </c>
      <c r="AB406" s="24">
        <v>0</v>
      </c>
      <c r="AC406" s="30">
        <f t="shared" si="192"/>
        <v>0</v>
      </c>
      <c r="AD406" s="27">
        <f t="shared" si="193"/>
        <v>0</v>
      </c>
      <c r="AE406" s="25">
        <f>IFERROR(_xlfn.XLOOKUP(N406&amp;P406,'Historico Vendas'!G:G,'Historico Vendas'!E:E),0)</f>
        <v>0</v>
      </c>
      <c r="AF406" s="29" t="str">
        <f t="shared" si="186"/>
        <v/>
      </c>
      <c r="AG406" s="24">
        <f>IFERROR(_xlfn.XLOOKUP(N406&amp;P406,'Historico Vendas'!G:G,'Historico Vendas'!F:F),0)</f>
        <v>0</v>
      </c>
      <c r="AH406" s="25">
        <f t="shared" si="194"/>
        <v>0</v>
      </c>
      <c r="AI406" s="24">
        <f t="shared" si="195"/>
        <v>0</v>
      </c>
      <c r="AJ406" s="11" t="str">
        <f t="shared" si="187"/>
        <v/>
      </c>
      <c r="AK406" s="9" t="s">
        <v>102</v>
      </c>
      <c r="AL406" s="13">
        <f>IFERROR(INDEX('Balizador da Meta'!$D$3:$F$23,MATCH(Quantidade!$P406,'Balizador da Meta'!$C$3:$C$23,0),MATCH(Quantidade!AK406,'Balizador da Meta'!$D$2:$F$2,0)),"")</f>
        <v>0</v>
      </c>
      <c r="AM406" s="9"/>
    </row>
    <row r="407" spans="1:39" x14ac:dyDescent="0.3">
      <c r="A407" s="2" t="str">
        <f t="shared" si="184"/>
        <v>NÃO</v>
      </c>
      <c r="B407" s="2" t="str">
        <f>_xlfn.XLOOKUP($N407,'Base de Grupos'!$A:$A,'Base de Grupos'!$D:$D)</f>
        <v>1000065763</v>
      </c>
      <c r="C407" s="5" t="str">
        <f>_xlfn.XLOOKUP($N407,'Base de Grupos'!$A:$A,'Base de Grupos'!$E:$E)</f>
        <v>CANAL VENDA INTERNA</v>
      </c>
      <c r="D407" s="5" t="str">
        <f>_xlfn.XLOOKUP($N407,'Base de Grupos'!$A:$A,'Base de Grupos'!$F:$F)</f>
        <v>1000065763</v>
      </c>
      <c r="E407" s="2" t="str">
        <f>_xlfn.XLOOKUP($N407,'Base de Grupos'!$A:$A,'Base de Grupos'!$G:$G)</f>
        <v>CANAL VENDA INTERNA</v>
      </c>
      <c r="F407" s="2" t="str">
        <f>_xlfn.XLOOKUP($N407,'Base de Grupos'!$A:$A,'Base de Grupos'!$H:$H)</f>
        <v>1000105898</v>
      </c>
      <c r="G407" s="5" t="str">
        <f>_xlfn.XLOOKUP($N407,'Base de Grupos'!$A:$A,'Base de Grupos'!$I:$I)</f>
        <v>REGIONAL VENDA DIRETA SP</v>
      </c>
      <c r="H407" s="5" t="str">
        <f>_xlfn.XLOOKUP($N407,'Base de Grupos'!$A:$A,'Base de Grupos'!$J:$J)</f>
        <v>1000105898</v>
      </c>
      <c r="I407" s="2" t="str">
        <f>_xlfn.XLOOKUP($N407,'Base de Grupos'!$A:$A,'Base de Grupos'!$K:$K)</f>
        <v>REGIONAL VENDA DIRETA SP</v>
      </c>
      <c r="J407" s="2" t="str">
        <f>_xlfn.XLOOKUP($N407,'Base de Grupos'!$A:$A,'Base de Grupos'!$L:$L)</f>
        <v>1000150135</v>
      </c>
      <c r="K407" s="5" t="str">
        <f>_xlfn.XLOOKUP($N407,'Base de Grupos'!$A:$A,'Base de Grupos'!$M:$M)</f>
        <v>HELDER DA SILVA BRUNKOW</v>
      </c>
      <c r="L407" s="5" t="str">
        <f t="shared" si="185"/>
        <v/>
      </c>
      <c r="M407" s="5" t="str">
        <f>_xlfn.XLOOKUP($N407,'Base de Grupos'!$A:$A,'Base de Grupos'!$C:$C)</f>
        <v>SP</v>
      </c>
      <c r="N407" s="3">
        <v>1361</v>
      </c>
      <c r="O407" s="4" t="s">
        <v>246</v>
      </c>
      <c r="P407" s="5" t="s">
        <v>86</v>
      </c>
      <c r="Q407" s="24">
        <v>0</v>
      </c>
      <c r="R407" s="24">
        <v>0</v>
      </c>
      <c r="S407" s="24">
        <v>0</v>
      </c>
      <c r="T407" s="24">
        <v>0</v>
      </c>
      <c r="U407" s="24">
        <v>0</v>
      </c>
      <c r="V407" s="24">
        <v>0</v>
      </c>
      <c r="W407" s="24">
        <v>0</v>
      </c>
      <c r="X407" s="24">
        <v>0</v>
      </c>
      <c r="Y407" s="24">
        <v>0</v>
      </c>
      <c r="Z407" s="24">
        <v>0</v>
      </c>
      <c r="AA407" s="24">
        <v>0</v>
      </c>
      <c r="AB407" s="24">
        <v>0</v>
      </c>
      <c r="AC407" s="30">
        <f t="shared" si="192"/>
        <v>0</v>
      </c>
      <c r="AD407" s="27">
        <f t="shared" si="193"/>
        <v>0</v>
      </c>
      <c r="AE407" s="25">
        <f>IFERROR(_xlfn.XLOOKUP(N407&amp;P407,'Historico Vendas'!G:G,'Historico Vendas'!E:E),0)</f>
        <v>0</v>
      </c>
      <c r="AF407" s="29" t="str">
        <f t="shared" si="186"/>
        <v/>
      </c>
      <c r="AG407" s="24">
        <f>IFERROR(_xlfn.XLOOKUP(N407&amp;P407,'Historico Vendas'!G:G,'Historico Vendas'!F:F),0)</f>
        <v>0</v>
      </c>
      <c r="AH407" s="25">
        <f t="shared" si="194"/>
        <v>0</v>
      </c>
      <c r="AI407" s="24">
        <f t="shared" si="195"/>
        <v>0</v>
      </c>
      <c r="AJ407" s="11" t="str">
        <f t="shared" si="187"/>
        <v/>
      </c>
      <c r="AK407" s="9" t="s">
        <v>102</v>
      </c>
      <c r="AL407" s="13">
        <f>IFERROR(INDEX('Balizador da Meta'!$D$3:$F$23,MATCH(Quantidade!$P407,'Balizador da Meta'!$C$3:$C$23,0),MATCH(Quantidade!AK407,'Balizador da Meta'!$D$2:$F$2,0)),"")</f>
        <v>0.15</v>
      </c>
      <c r="AM407" s="9"/>
    </row>
    <row r="408" spans="1:39" x14ac:dyDescent="0.3">
      <c r="A408" s="2" t="str">
        <f t="shared" si="184"/>
        <v>NÃO</v>
      </c>
      <c r="B408" s="2" t="str">
        <f>_xlfn.XLOOKUP($N408,'Base de Grupos'!$A:$A,'Base de Grupos'!$D:$D)</f>
        <v>1000065763</v>
      </c>
      <c r="C408" s="5" t="str">
        <f>_xlfn.XLOOKUP($N408,'Base de Grupos'!$A:$A,'Base de Grupos'!$E:$E)</f>
        <v>CANAL VENDA INTERNA</v>
      </c>
      <c r="D408" s="5" t="str">
        <f>_xlfn.XLOOKUP($N408,'Base de Grupos'!$A:$A,'Base de Grupos'!$F:$F)</f>
        <v>1000065763</v>
      </c>
      <c r="E408" s="2" t="str">
        <f>_xlfn.XLOOKUP($N408,'Base de Grupos'!$A:$A,'Base de Grupos'!$G:$G)</f>
        <v>CANAL VENDA INTERNA</v>
      </c>
      <c r="F408" s="2" t="str">
        <f>_xlfn.XLOOKUP($N408,'Base de Grupos'!$A:$A,'Base de Grupos'!$H:$H)</f>
        <v>1000105898</v>
      </c>
      <c r="G408" s="5" t="str">
        <f>_xlfn.XLOOKUP($N408,'Base de Grupos'!$A:$A,'Base de Grupos'!$I:$I)</f>
        <v>REGIONAL VENDA DIRETA SP</v>
      </c>
      <c r="H408" s="5" t="str">
        <f>_xlfn.XLOOKUP($N408,'Base de Grupos'!$A:$A,'Base de Grupos'!$J:$J)</f>
        <v>1000105898</v>
      </c>
      <c r="I408" s="2" t="str">
        <f>_xlfn.XLOOKUP($N408,'Base de Grupos'!$A:$A,'Base de Grupos'!$K:$K)</f>
        <v>REGIONAL VENDA DIRETA SP</v>
      </c>
      <c r="J408" s="2" t="str">
        <f>_xlfn.XLOOKUP($N408,'Base de Grupos'!$A:$A,'Base de Grupos'!$L:$L)</f>
        <v>1000150135</v>
      </c>
      <c r="K408" s="5" t="str">
        <f>_xlfn.XLOOKUP($N408,'Base de Grupos'!$A:$A,'Base de Grupos'!$M:$M)</f>
        <v>HELDER DA SILVA BRUNKOW</v>
      </c>
      <c r="L408" s="5" t="str">
        <f t="shared" si="185"/>
        <v/>
      </c>
      <c r="M408" s="5" t="str">
        <f>_xlfn.XLOOKUP($N408,'Base de Grupos'!$A:$A,'Base de Grupos'!$C:$C)</f>
        <v>SP</v>
      </c>
      <c r="N408" s="3">
        <v>1361</v>
      </c>
      <c r="O408" s="4" t="s">
        <v>246</v>
      </c>
      <c r="P408" s="5" t="s">
        <v>108</v>
      </c>
      <c r="Q408" s="24">
        <v>0</v>
      </c>
      <c r="R408" s="24">
        <v>0</v>
      </c>
      <c r="S408" s="24">
        <v>0</v>
      </c>
      <c r="T408" s="24">
        <v>0</v>
      </c>
      <c r="U408" s="24">
        <v>0</v>
      </c>
      <c r="V408" s="24">
        <v>0</v>
      </c>
      <c r="W408" s="24">
        <v>0</v>
      </c>
      <c r="X408" s="24">
        <v>0</v>
      </c>
      <c r="Y408" s="24">
        <v>0</v>
      </c>
      <c r="Z408" s="24">
        <v>0</v>
      </c>
      <c r="AA408" s="24">
        <v>0</v>
      </c>
      <c r="AB408" s="24">
        <v>0</v>
      </c>
      <c r="AC408" s="30">
        <f t="shared" si="192"/>
        <v>0</v>
      </c>
      <c r="AD408" s="27">
        <f t="shared" si="193"/>
        <v>0</v>
      </c>
      <c r="AE408" s="25">
        <f>IFERROR(_xlfn.XLOOKUP(N408&amp;P408,'Historico Vendas'!G:G,'Historico Vendas'!E:E),0)</f>
        <v>0</v>
      </c>
      <c r="AF408" s="29" t="str">
        <f t="shared" si="186"/>
        <v/>
      </c>
      <c r="AG408" s="24">
        <f>IFERROR(_xlfn.XLOOKUP(N408&amp;P408,'Historico Vendas'!G:G,'Historico Vendas'!F:F),0)</f>
        <v>0</v>
      </c>
      <c r="AH408" s="25">
        <f t="shared" si="194"/>
        <v>0</v>
      </c>
      <c r="AI408" s="24">
        <f t="shared" si="195"/>
        <v>0</v>
      </c>
      <c r="AJ408" s="11" t="str">
        <f t="shared" si="187"/>
        <v/>
      </c>
      <c r="AK408" s="9" t="s">
        <v>102</v>
      </c>
      <c r="AL408" s="13">
        <f>IFERROR(INDEX('Balizador da Meta'!$D$3:$F$23,MATCH(Quantidade!$P408,'Balizador da Meta'!$C$3:$C$23,0),MATCH(Quantidade!AK408,'Balizador da Meta'!$D$2:$F$2,0)),"")</f>
        <v>0</v>
      </c>
      <c r="AM408" s="9"/>
    </row>
    <row r="409" spans="1:39" x14ac:dyDescent="0.3">
      <c r="A409" s="2" t="str">
        <f t="shared" si="184"/>
        <v>NÃO</v>
      </c>
      <c r="B409" s="2" t="str">
        <f>_xlfn.XLOOKUP($N409,'Base de Grupos'!$A:$A,'Base de Grupos'!$D:$D)</f>
        <v>1000065763</v>
      </c>
      <c r="C409" s="5" t="str">
        <f>_xlfn.XLOOKUP($N409,'Base de Grupos'!$A:$A,'Base de Grupos'!$E:$E)</f>
        <v>CANAL VENDA INTERNA</v>
      </c>
      <c r="D409" s="5" t="str">
        <f>_xlfn.XLOOKUP($N409,'Base de Grupos'!$A:$A,'Base de Grupos'!$F:$F)</f>
        <v>1000065763</v>
      </c>
      <c r="E409" s="2" t="str">
        <f>_xlfn.XLOOKUP($N409,'Base de Grupos'!$A:$A,'Base de Grupos'!$G:$G)</f>
        <v>CANAL VENDA INTERNA</v>
      </c>
      <c r="F409" s="2" t="str">
        <f>_xlfn.XLOOKUP($N409,'Base de Grupos'!$A:$A,'Base de Grupos'!$H:$H)</f>
        <v>1000105898</v>
      </c>
      <c r="G409" s="5" t="str">
        <f>_xlfn.XLOOKUP($N409,'Base de Grupos'!$A:$A,'Base de Grupos'!$I:$I)</f>
        <v>REGIONAL VENDA DIRETA SP</v>
      </c>
      <c r="H409" s="5" t="str">
        <f>_xlfn.XLOOKUP($N409,'Base de Grupos'!$A:$A,'Base de Grupos'!$J:$J)</f>
        <v>1000105898</v>
      </c>
      <c r="I409" s="2" t="str">
        <f>_xlfn.XLOOKUP($N409,'Base de Grupos'!$A:$A,'Base de Grupos'!$K:$K)</f>
        <v>REGIONAL VENDA DIRETA SP</v>
      </c>
      <c r="J409" s="2" t="str">
        <f>_xlfn.XLOOKUP($N409,'Base de Grupos'!$A:$A,'Base de Grupos'!$L:$L)</f>
        <v>1000150135</v>
      </c>
      <c r="K409" s="5" t="str">
        <f>_xlfn.XLOOKUP($N409,'Base de Grupos'!$A:$A,'Base de Grupos'!$M:$M)</f>
        <v>HELDER DA SILVA BRUNKOW</v>
      </c>
      <c r="L409" s="5" t="str">
        <f t="shared" si="185"/>
        <v/>
      </c>
      <c r="M409" s="5" t="str">
        <f>_xlfn.XLOOKUP($N409,'Base de Grupos'!$A:$A,'Base de Grupos'!$C:$C)</f>
        <v>SP</v>
      </c>
      <c r="N409" s="3">
        <v>1361</v>
      </c>
      <c r="O409" s="4" t="s">
        <v>246</v>
      </c>
      <c r="P409" s="5" t="s">
        <v>89</v>
      </c>
      <c r="Q409" s="24">
        <v>0</v>
      </c>
      <c r="R409" s="24">
        <v>0</v>
      </c>
      <c r="S409" s="24">
        <v>0</v>
      </c>
      <c r="T409" s="24">
        <v>0</v>
      </c>
      <c r="U409" s="24">
        <v>0</v>
      </c>
      <c r="V409" s="24">
        <v>0</v>
      </c>
      <c r="W409" s="24">
        <v>0</v>
      </c>
      <c r="X409" s="24">
        <v>0</v>
      </c>
      <c r="Y409" s="24">
        <v>0</v>
      </c>
      <c r="Z409" s="24">
        <v>0</v>
      </c>
      <c r="AA409" s="24">
        <v>0</v>
      </c>
      <c r="AB409" s="24">
        <v>0</v>
      </c>
      <c r="AC409" s="30">
        <f t="shared" si="192"/>
        <v>0</v>
      </c>
      <c r="AD409" s="27">
        <f t="shared" si="193"/>
        <v>0</v>
      </c>
      <c r="AE409" s="25">
        <f>IFERROR(_xlfn.XLOOKUP(N409&amp;P409,'Historico Vendas'!G:G,'Historico Vendas'!E:E),0)</f>
        <v>0</v>
      </c>
      <c r="AF409" s="29" t="str">
        <f t="shared" si="186"/>
        <v/>
      </c>
      <c r="AG409" s="24">
        <f>IFERROR(_xlfn.XLOOKUP(N409&amp;P409,'Historico Vendas'!G:G,'Historico Vendas'!F:F),0)</f>
        <v>0</v>
      </c>
      <c r="AH409" s="25">
        <f t="shared" si="194"/>
        <v>0</v>
      </c>
      <c r="AI409" s="24">
        <f t="shared" si="195"/>
        <v>0</v>
      </c>
      <c r="AJ409" s="11" t="str">
        <f t="shared" si="187"/>
        <v/>
      </c>
      <c r="AK409" s="9" t="s">
        <v>102</v>
      </c>
      <c r="AL409" s="13">
        <f>IFERROR(INDEX('Balizador da Meta'!$D$3:$F$23,MATCH(Quantidade!$P409,'Balizador da Meta'!$C$3:$C$23,0),MATCH(Quantidade!AK409,'Balizador da Meta'!$D$2:$F$2,0)),"")</f>
        <v>0.25</v>
      </c>
      <c r="AM409" s="9"/>
    </row>
    <row r="410" spans="1:39" x14ac:dyDescent="0.3">
      <c r="A410" s="2" t="str">
        <f t="shared" si="184"/>
        <v>NÃO</v>
      </c>
      <c r="B410" s="2" t="str">
        <f>_xlfn.XLOOKUP($N410,'Base de Grupos'!$A:$A,'Base de Grupos'!$D:$D)</f>
        <v>1000065763</v>
      </c>
      <c r="C410" s="5" t="str">
        <f>_xlfn.XLOOKUP($N410,'Base de Grupos'!$A:$A,'Base de Grupos'!$E:$E)</f>
        <v>CANAL VENDA INTERNA</v>
      </c>
      <c r="D410" s="5" t="str">
        <f>_xlfn.XLOOKUP($N410,'Base de Grupos'!$A:$A,'Base de Grupos'!$F:$F)</f>
        <v>1000065763</v>
      </c>
      <c r="E410" s="2" t="str">
        <f>_xlfn.XLOOKUP($N410,'Base de Grupos'!$A:$A,'Base de Grupos'!$G:$G)</f>
        <v>CANAL VENDA INTERNA</v>
      </c>
      <c r="F410" s="2" t="str">
        <f>_xlfn.XLOOKUP($N410,'Base de Grupos'!$A:$A,'Base de Grupos'!$H:$H)</f>
        <v>1000105898</v>
      </c>
      <c r="G410" s="5" t="str">
        <f>_xlfn.XLOOKUP($N410,'Base de Grupos'!$A:$A,'Base de Grupos'!$I:$I)</f>
        <v>REGIONAL VENDA DIRETA SP</v>
      </c>
      <c r="H410" s="5" t="str">
        <f>_xlfn.XLOOKUP($N410,'Base de Grupos'!$A:$A,'Base de Grupos'!$J:$J)</f>
        <v>1000105898</v>
      </c>
      <c r="I410" s="2" t="str">
        <f>_xlfn.XLOOKUP($N410,'Base de Grupos'!$A:$A,'Base de Grupos'!$K:$K)</f>
        <v>REGIONAL VENDA DIRETA SP</v>
      </c>
      <c r="J410" s="2" t="str">
        <f>_xlfn.XLOOKUP($N410,'Base de Grupos'!$A:$A,'Base de Grupos'!$L:$L)</f>
        <v>1000150135</v>
      </c>
      <c r="K410" s="5" t="str">
        <f>_xlfn.XLOOKUP($N410,'Base de Grupos'!$A:$A,'Base de Grupos'!$M:$M)</f>
        <v>HELDER DA SILVA BRUNKOW</v>
      </c>
      <c r="L410" s="5" t="str">
        <f t="shared" si="185"/>
        <v/>
      </c>
      <c r="M410" s="5" t="str">
        <f>_xlfn.XLOOKUP($N410,'Base de Grupos'!$A:$A,'Base de Grupos'!$C:$C)</f>
        <v>SP</v>
      </c>
      <c r="N410" s="3">
        <v>1361</v>
      </c>
      <c r="O410" s="4" t="s">
        <v>246</v>
      </c>
      <c r="P410" s="5" t="s">
        <v>88</v>
      </c>
      <c r="Q410" s="24">
        <v>0</v>
      </c>
      <c r="R410" s="24">
        <v>0</v>
      </c>
      <c r="S410" s="24">
        <v>0</v>
      </c>
      <c r="T410" s="24">
        <v>0</v>
      </c>
      <c r="U410" s="24">
        <v>0</v>
      </c>
      <c r="V410" s="24">
        <v>0</v>
      </c>
      <c r="W410" s="24">
        <v>0</v>
      </c>
      <c r="X410" s="24">
        <v>0</v>
      </c>
      <c r="Y410" s="24">
        <v>0</v>
      </c>
      <c r="Z410" s="24">
        <v>0</v>
      </c>
      <c r="AA410" s="24">
        <v>0</v>
      </c>
      <c r="AB410" s="24">
        <v>0</v>
      </c>
      <c r="AC410" s="30">
        <f t="shared" si="192"/>
        <v>0</v>
      </c>
      <c r="AD410" s="27">
        <f t="shared" si="193"/>
        <v>0</v>
      </c>
      <c r="AE410" s="25">
        <f>IFERROR(_xlfn.XLOOKUP(N410&amp;P410,'Historico Vendas'!G:G,'Historico Vendas'!E:E),0)</f>
        <v>0</v>
      </c>
      <c r="AF410" s="29" t="str">
        <f t="shared" si="186"/>
        <v/>
      </c>
      <c r="AG410" s="24">
        <f>IFERROR(_xlfn.XLOOKUP(N410&amp;P410,'Historico Vendas'!G:G,'Historico Vendas'!F:F),0)</f>
        <v>0</v>
      </c>
      <c r="AH410" s="25">
        <f t="shared" si="194"/>
        <v>0</v>
      </c>
      <c r="AI410" s="24">
        <f t="shared" si="195"/>
        <v>0</v>
      </c>
      <c r="AJ410" s="11" t="str">
        <f t="shared" si="187"/>
        <v/>
      </c>
      <c r="AK410" s="9" t="s">
        <v>102</v>
      </c>
      <c r="AL410" s="13">
        <f>IFERROR(INDEX('Balizador da Meta'!$D$3:$F$23,MATCH(Quantidade!$P410,'Balizador da Meta'!$C$3:$C$23,0),MATCH(Quantidade!AK410,'Balizador da Meta'!$D$2:$F$2,0)),"")</f>
        <v>0</v>
      </c>
      <c r="AM410" s="9"/>
    </row>
    <row r="411" spans="1:39" x14ac:dyDescent="0.3">
      <c r="A411" s="2" t="str">
        <f t="shared" si="184"/>
        <v>NÃO</v>
      </c>
      <c r="B411" s="2" t="str">
        <f>_xlfn.XLOOKUP($N411,'Base de Grupos'!$A:$A,'Base de Grupos'!$D:$D)</f>
        <v>1000065763</v>
      </c>
      <c r="C411" s="5" t="str">
        <f>_xlfn.XLOOKUP($N411,'Base de Grupos'!$A:$A,'Base de Grupos'!$E:$E)</f>
        <v>CANAL VENDA INTERNA</v>
      </c>
      <c r="D411" s="5" t="str">
        <f>_xlfn.XLOOKUP($N411,'Base de Grupos'!$A:$A,'Base de Grupos'!$F:$F)</f>
        <v>1000065763</v>
      </c>
      <c r="E411" s="2" t="str">
        <f>_xlfn.XLOOKUP($N411,'Base de Grupos'!$A:$A,'Base de Grupos'!$G:$G)</f>
        <v>CANAL VENDA INTERNA</v>
      </c>
      <c r="F411" s="2" t="str">
        <f>_xlfn.XLOOKUP($N411,'Base de Grupos'!$A:$A,'Base de Grupos'!$H:$H)</f>
        <v>1000105898</v>
      </c>
      <c r="G411" s="5" t="str">
        <f>_xlfn.XLOOKUP($N411,'Base de Grupos'!$A:$A,'Base de Grupos'!$I:$I)</f>
        <v>REGIONAL VENDA DIRETA SP</v>
      </c>
      <c r="H411" s="5" t="str">
        <f>_xlfn.XLOOKUP($N411,'Base de Grupos'!$A:$A,'Base de Grupos'!$J:$J)</f>
        <v>1000105898</v>
      </c>
      <c r="I411" s="2" t="str">
        <f>_xlfn.XLOOKUP($N411,'Base de Grupos'!$A:$A,'Base de Grupos'!$K:$K)</f>
        <v>REGIONAL VENDA DIRETA SP</v>
      </c>
      <c r="J411" s="2" t="str">
        <f>_xlfn.XLOOKUP($N411,'Base de Grupos'!$A:$A,'Base de Grupos'!$L:$L)</f>
        <v>1000150135</v>
      </c>
      <c r="K411" s="5" t="str">
        <f>_xlfn.XLOOKUP($N411,'Base de Grupos'!$A:$A,'Base de Grupos'!$M:$M)</f>
        <v>HELDER DA SILVA BRUNKOW</v>
      </c>
      <c r="L411" s="5" t="str">
        <f t="shared" si="185"/>
        <v/>
      </c>
      <c r="M411" s="5" t="str">
        <f>_xlfn.XLOOKUP($N411,'Base de Grupos'!$A:$A,'Base de Grupos'!$C:$C)</f>
        <v>SP</v>
      </c>
      <c r="N411" s="3">
        <v>1361</v>
      </c>
      <c r="O411" s="4" t="s">
        <v>246</v>
      </c>
      <c r="P411" s="5" t="s">
        <v>90</v>
      </c>
      <c r="Q411" s="24">
        <v>0</v>
      </c>
      <c r="R411" s="24">
        <v>0</v>
      </c>
      <c r="S411" s="24">
        <v>0</v>
      </c>
      <c r="T411" s="24">
        <v>0</v>
      </c>
      <c r="U411" s="24">
        <v>0</v>
      </c>
      <c r="V411" s="24">
        <v>0</v>
      </c>
      <c r="W411" s="24">
        <v>0</v>
      </c>
      <c r="X411" s="24">
        <v>0</v>
      </c>
      <c r="Y411" s="24">
        <v>0</v>
      </c>
      <c r="Z411" s="24">
        <v>0</v>
      </c>
      <c r="AA411" s="24">
        <v>0</v>
      </c>
      <c r="AB411" s="24">
        <v>0</v>
      </c>
      <c r="AC411" s="30">
        <f t="shared" si="192"/>
        <v>0</v>
      </c>
      <c r="AD411" s="27">
        <f t="shared" si="193"/>
        <v>0</v>
      </c>
      <c r="AE411" s="25">
        <f>IFERROR(_xlfn.XLOOKUP(N411&amp;P411,'Historico Vendas'!G:G,'Historico Vendas'!E:E),0)</f>
        <v>0</v>
      </c>
      <c r="AF411" s="29" t="str">
        <f t="shared" si="186"/>
        <v/>
      </c>
      <c r="AG411" s="24">
        <f>IFERROR(_xlfn.XLOOKUP(N411&amp;P411,'Historico Vendas'!G:G,'Historico Vendas'!F:F),0)</f>
        <v>0</v>
      </c>
      <c r="AH411" s="25">
        <f t="shared" si="194"/>
        <v>0</v>
      </c>
      <c r="AI411" s="24">
        <f t="shared" si="195"/>
        <v>0</v>
      </c>
      <c r="AJ411" s="11" t="str">
        <f t="shared" si="187"/>
        <v/>
      </c>
      <c r="AK411" s="9" t="s">
        <v>102</v>
      </c>
      <c r="AL411" s="13">
        <f>IFERROR(INDEX('Balizador da Meta'!$D$3:$F$23,MATCH(Quantidade!$P411,'Balizador da Meta'!$C$3:$C$23,0),MATCH(Quantidade!AK411,'Balizador da Meta'!$D$2:$F$2,0)),"")</f>
        <v>0</v>
      </c>
      <c r="AM411" s="9"/>
    </row>
    <row r="412" spans="1:39" x14ac:dyDescent="0.3">
      <c r="A412" s="2" t="str">
        <f t="shared" si="184"/>
        <v>NÃO</v>
      </c>
      <c r="B412" s="2" t="str">
        <f>_xlfn.XLOOKUP($N412,'Base de Grupos'!$A:$A,'Base de Grupos'!$D:$D)</f>
        <v>1000065763</v>
      </c>
      <c r="C412" s="5" t="str">
        <f>_xlfn.XLOOKUP($N412,'Base de Grupos'!$A:$A,'Base de Grupos'!$E:$E)</f>
        <v>CANAL VENDA INTERNA</v>
      </c>
      <c r="D412" s="5" t="str">
        <f>_xlfn.XLOOKUP($N412,'Base de Grupos'!$A:$A,'Base de Grupos'!$F:$F)</f>
        <v>1000065763</v>
      </c>
      <c r="E412" s="2" t="str">
        <f>_xlfn.XLOOKUP($N412,'Base de Grupos'!$A:$A,'Base de Grupos'!$G:$G)</f>
        <v>CANAL VENDA INTERNA</v>
      </c>
      <c r="F412" s="2" t="str">
        <f>_xlfn.XLOOKUP($N412,'Base de Grupos'!$A:$A,'Base de Grupos'!$H:$H)</f>
        <v>1000105898</v>
      </c>
      <c r="G412" s="5" t="str">
        <f>_xlfn.XLOOKUP($N412,'Base de Grupos'!$A:$A,'Base de Grupos'!$I:$I)</f>
        <v>REGIONAL VENDA DIRETA SP</v>
      </c>
      <c r="H412" s="5" t="str">
        <f>_xlfn.XLOOKUP($N412,'Base de Grupos'!$A:$A,'Base de Grupos'!$J:$J)</f>
        <v>1000105898</v>
      </c>
      <c r="I412" s="2" t="str">
        <f>_xlfn.XLOOKUP($N412,'Base de Grupos'!$A:$A,'Base de Grupos'!$K:$K)</f>
        <v>REGIONAL VENDA DIRETA SP</v>
      </c>
      <c r="J412" s="2" t="str">
        <f>_xlfn.XLOOKUP($N412,'Base de Grupos'!$A:$A,'Base de Grupos'!$L:$L)</f>
        <v>1000150135</v>
      </c>
      <c r="K412" s="5" t="str">
        <f>_xlfn.XLOOKUP($N412,'Base de Grupos'!$A:$A,'Base de Grupos'!$M:$M)</f>
        <v>HELDER DA SILVA BRUNKOW</v>
      </c>
      <c r="L412" s="5" t="str">
        <f t="shared" si="185"/>
        <v/>
      </c>
      <c r="M412" s="5" t="str">
        <f>_xlfn.XLOOKUP($N412,'Base de Grupos'!$A:$A,'Base de Grupos'!$C:$C)</f>
        <v>SP</v>
      </c>
      <c r="N412" s="3">
        <v>1361</v>
      </c>
      <c r="O412" s="4" t="s">
        <v>246</v>
      </c>
      <c r="P412" s="5" t="s">
        <v>91</v>
      </c>
      <c r="Q412" s="24">
        <v>0</v>
      </c>
      <c r="R412" s="24">
        <v>0</v>
      </c>
      <c r="S412" s="24">
        <v>0</v>
      </c>
      <c r="T412" s="24">
        <v>0</v>
      </c>
      <c r="U412" s="24">
        <v>0</v>
      </c>
      <c r="V412" s="24">
        <v>0</v>
      </c>
      <c r="W412" s="24">
        <v>0</v>
      </c>
      <c r="X412" s="24">
        <v>0</v>
      </c>
      <c r="Y412" s="24">
        <v>0</v>
      </c>
      <c r="Z412" s="24">
        <v>0</v>
      </c>
      <c r="AA412" s="24">
        <v>0</v>
      </c>
      <c r="AB412" s="24">
        <v>0</v>
      </c>
      <c r="AC412" s="30">
        <f t="shared" si="192"/>
        <v>0</v>
      </c>
      <c r="AD412" s="27">
        <f t="shared" si="193"/>
        <v>0</v>
      </c>
      <c r="AE412" s="25">
        <f>IFERROR(_xlfn.XLOOKUP(N412&amp;P412,'Historico Vendas'!G:G,'Historico Vendas'!E:E),0)</f>
        <v>0</v>
      </c>
      <c r="AF412" s="29" t="str">
        <f t="shared" si="186"/>
        <v/>
      </c>
      <c r="AG412" s="24">
        <f>IFERROR(_xlfn.XLOOKUP(N412&amp;P412,'Historico Vendas'!G:G,'Historico Vendas'!F:F),0)</f>
        <v>0</v>
      </c>
      <c r="AH412" s="25">
        <f t="shared" si="194"/>
        <v>0</v>
      </c>
      <c r="AI412" s="24">
        <f t="shared" si="195"/>
        <v>0</v>
      </c>
      <c r="AJ412" s="11" t="str">
        <f t="shared" si="187"/>
        <v/>
      </c>
      <c r="AK412" s="9" t="s">
        <v>102</v>
      </c>
      <c r="AL412" s="13">
        <f>IFERROR(INDEX('Balizador da Meta'!$D$3:$F$23,MATCH(Quantidade!$P412,'Balizador da Meta'!$C$3:$C$23,0),MATCH(Quantidade!AK412,'Balizador da Meta'!$D$2:$F$2,0)),"")</f>
        <v>0</v>
      </c>
      <c r="AM412" s="9"/>
    </row>
    <row r="413" spans="1:39" x14ac:dyDescent="0.3">
      <c r="A413" s="2" t="str">
        <f t="shared" si="184"/>
        <v>NÃO</v>
      </c>
      <c r="B413" s="2" t="str">
        <f>_xlfn.XLOOKUP($N413,'Base de Grupos'!$A:$A,'Base de Grupos'!$D:$D)</f>
        <v>1000065763</v>
      </c>
      <c r="C413" s="5" t="str">
        <f>_xlfn.XLOOKUP($N413,'Base de Grupos'!$A:$A,'Base de Grupos'!$E:$E)</f>
        <v>CANAL VENDA INTERNA</v>
      </c>
      <c r="D413" s="5" t="str">
        <f>_xlfn.XLOOKUP($N413,'Base de Grupos'!$A:$A,'Base de Grupos'!$F:$F)</f>
        <v>1000065763</v>
      </c>
      <c r="E413" s="2" t="str">
        <f>_xlfn.XLOOKUP($N413,'Base de Grupos'!$A:$A,'Base de Grupos'!$G:$G)</f>
        <v>CANAL VENDA INTERNA</v>
      </c>
      <c r="F413" s="2" t="str">
        <f>_xlfn.XLOOKUP($N413,'Base de Grupos'!$A:$A,'Base de Grupos'!$H:$H)</f>
        <v>1000105898</v>
      </c>
      <c r="G413" s="5" t="str">
        <f>_xlfn.XLOOKUP($N413,'Base de Grupos'!$A:$A,'Base de Grupos'!$I:$I)</f>
        <v>REGIONAL VENDA DIRETA SP</v>
      </c>
      <c r="H413" s="5" t="str">
        <f>_xlfn.XLOOKUP($N413,'Base de Grupos'!$A:$A,'Base de Grupos'!$J:$J)</f>
        <v>1000105898</v>
      </c>
      <c r="I413" s="2" t="str">
        <f>_xlfn.XLOOKUP($N413,'Base de Grupos'!$A:$A,'Base de Grupos'!$K:$K)</f>
        <v>REGIONAL VENDA DIRETA SP</v>
      </c>
      <c r="J413" s="2" t="str">
        <f>_xlfn.XLOOKUP($N413,'Base de Grupos'!$A:$A,'Base de Grupos'!$L:$L)</f>
        <v>1000150135</v>
      </c>
      <c r="K413" s="5" t="str">
        <f>_xlfn.XLOOKUP($N413,'Base de Grupos'!$A:$A,'Base de Grupos'!$M:$M)</f>
        <v>HELDER DA SILVA BRUNKOW</v>
      </c>
      <c r="L413" s="5" t="str">
        <f t="shared" si="185"/>
        <v/>
      </c>
      <c r="M413" s="5" t="str">
        <f>_xlfn.XLOOKUP($N413,'Base de Grupos'!$A:$A,'Base de Grupos'!$C:$C)</f>
        <v>SP</v>
      </c>
      <c r="N413" s="3">
        <v>1361</v>
      </c>
      <c r="O413" s="4" t="s">
        <v>246</v>
      </c>
      <c r="P413" s="5" t="s">
        <v>96</v>
      </c>
      <c r="Q413" s="24">
        <v>0</v>
      </c>
      <c r="R413" s="24">
        <v>0</v>
      </c>
      <c r="S413" s="24">
        <v>0</v>
      </c>
      <c r="T413" s="24">
        <v>0</v>
      </c>
      <c r="U413" s="24">
        <v>0</v>
      </c>
      <c r="V413" s="24">
        <v>0</v>
      </c>
      <c r="W413" s="24">
        <v>0</v>
      </c>
      <c r="X413" s="24">
        <v>0</v>
      </c>
      <c r="Y413" s="24">
        <v>0</v>
      </c>
      <c r="Z413" s="24">
        <v>0</v>
      </c>
      <c r="AA413" s="24">
        <v>0</v>
      </c>
      <c r="AB413" s="24">
        <v>0</v>
      </c>
      <c r="AC413" s="30">
        <f t="shared" si="192"/>
        <v>0</v>
      </c>
      <c r="AD413" s="27">
        <f t="shared" si="193"/>
        <v>0</v>
      </c>
      <c r="AE413" s="25">
        <f>IFERROR(_xlfn.XLOOKUP(N413&amp;P413,'Historico Vendas'!G:G,'Historico Vendas'!E:E),0)</f>
        <v>0</v>
      </c>
      <c r="AF413" s="29" t="str">
        <f t="shared" si="186"/>
        <v/>
      </c>
      <c r="AG413" s="24">
        <f>IFERROR(_xlfn.XLOOKUP(N413&amp;P413,'Historico Vendas'!G:G,'Historico Vendas'!F:F),0)</f>
        <v>0</v>
      </c>
      <c r="AH413" s="25">
        <f t="shared" si="194"/>
        <v>0</v>
      </c>
      <c r="AI413" s="24">
        <f t="shared" si="195"/>
        <v>0</v>
      </c>
      <c r="AJ413" s="11" t="str">
        <f t="shared" si="187"/>
        <v/>
      </c>
      <c r="AK413" s="9" t="s">
        <v>102</v>
      </c>
      <c r="AL413" s="13">
        <f>IFERROR(INDEX('Balizador da Meta'!$D$3:$F$23,MATCH(Quantidade!$P413,'Balizador da Meta'!$C$3:$C$23,0),MATCH(Quantidade!AK413,'Balizador da Meta'!$D$2:$F$2,0)),"")</f>
        <v>0</v>
      </c>
      <c r="AM413" s="9"/>
    </row>
    <row r="414" spans="1:39" x14ac:dyDescent="0.3">
      <c r="A414" s="2" t="str">
        <f t="shared" si="184"/>
        <v>NÃO</v>
      </c>
      <c r="B414" s="2" t="str">
        <f>_xlfn.XLOOKUP($N414,'Base de Grupos'!$A:$A,'Base de Grupos'!$D:$D)</f>
        <v>1000065763</v>
      </c>
      <c r="C414" s="5" t="str">
        <f>_xlfn.XLOOKUP($N414,'Base de Grupos'!$A:$A,'Base de Grupos'!$E:$E)</f>
        <v>CANAL VENDA INTERNA</v>
      </c>
      <c r="D414" s="5" t="str">
        <f>_xlfn.XLOOKUP($N414,'Base de Grupos'!$A:$A,'Base de Grupos'!$F:$F)</f>
        <v>1000065763</v>
      </c>
      <c r="E414" s="2" t="str">
        <f>_xlfn.XLOOKUP($N414,'Base de Grupos'!$A:$A,'Base de Grupos'!$G:$G)</f>
        <v>CANAL VENDA INTERNA</v>
      </c>
      <c r="F414" s="2" t="str">
        <f>_xlfn.XLOOKUP($N414,'Base de Grupos'!$A:$A,'Base de Grupos'!$H:$H)</f>
        <v>1000105898</v>
      </c>
      <c r="G414" s="5" t="str">
        <f>_xlfn.XLOOKUP($N414,'Base de Grupos'!$A:$A,'Base de Grupos'!$I:$I)</f>
        <v>REGIONAL VENDA DIRETA SP</v>
      </c>
      <c r="H414" s="5" t="str">
        <f>_xlfn.XLOOKUP($N414,'Base de Grupos'!$A:$A,'Base de Grupos'!$J:$J)</f>
        <v>1000105898</v>
      </c>
      <c r="I414" s="2" t="str">
        <f>_xlfn.XLOOKUP($N414,'Base de Grupos'!$A:$A,'Base de Grupos'!$K:$K)</f>
        <v>REGIONAL VENDA DIRETA SP</v>
      </c>
      <c r="J414" s="2" t="str">
        <f>_xlfn.XLOOKUP($N414,'Base de Grupos'!$A:$A,'Base de Grupos'!$L:$L)</f>
        <v>1000150135</v>
      </c>
      <c r="K414" s="5" t="str">
        <f>_xlfn.XLOOKUP($N414,'Base de Grupos'!$A:$A,'Base de Grupos'!$M:$M)</f>
        <v>HELDER DA SILVA BRUNKOW</v>
      </c>
      <c r="L414" s="5" t="str">
        <f t="shared" si="185"/>
        <v/>
      </c>
      <c r="M414" s="5" t="str">
        <f>_xlfn.XLOOKUP($N414,'Base de Grupos'!$A:$A,'Base de Grupos'!$C:$C)</f>
        <v>SP</v>
      </c>
      <c r="N414" s="3">
        <v>1361</v>
      </c>
      <c r="O414" s="4" t="s">
        <v>246</v>
      </c>
      <c r="P414" s="5" t="s">
        <v>94</v>
      </c>
      <c r="Q414" s="24">
        <v>0</v>
      </c>
      <c r="R414" s="24">
        <v>0</v>
      </c>
      <c r="S414" s="24">
        <v>0</v>
      </c>
      <c r="T414" s="24">
        <v>0</v>
      </c>
      <c r="U414" s="24">
        <v>0</v>
      </c>
      <c r="V414" s="24">
        <v>0</v>
      </c>
      <c r="W414" s="24">
        <v>0</v>
      </c>
      <c r="X414" s="24">
        <v>0</v>
      </c>
      <c r="Y414" s="24">
        <v>0</v>
      </c>
      <c r="Z414" s="24">
        <v>0</v>
      </c>
      <c r="AA414" s="24">
        <v>0</v>
      </c>
      <c r="AB414" s="24">
        <v>0</v>
      </c>
      <c r="AC414" s="30">
        <f t="shared" si="192"/>
        <v>0</v>
      </c>
      <c r="AD414" s="27">
        <f t="shared" si="193"/>
        <v>0</v>
      </c>
      <c r="AE414" s="25">
        <f>IFERROR(_xlfn.XLOOKUP(N414&amp;P414,'Historico Vendas'!G:G,'Historico Vendas'!E:E),0)</f>
        <v>0</v>
      </c>
      <c r="AF414" s="29" t="str">
        <f t="shared" si="186"/>
        <v/>
      </c>
      <c r="AG414" s="24">
        <f>IFERROR(_xlfn.XLOOKUP(N414&amp;P414,'Historico Vendas'!G:G,'Historico Vendas'!F:F),0)</f>
        <v>0</v>
      </c>
      <c r="AH414" s="25">
        <f t="shared" si="194"/>
        <v>0</v>
      </c>
      <c r="AI414" s="24">
        <f t="shared" si="195"/>
        <v>0</v>
      </c>
      <c r="AJ414" s="11" t="str">
        <f t="shared" si="187"/>
        <v/>
      </c>
      <c r="AK414" s="9" t="s">
        <v>102</v>
      </c>
      <c r="AL414" s="13">
        <f>IFERROR(INDEX('Balizador da Meta'!$D$3:$F$23,MATCH(Quantidade!$P414,'Balizador da Meta'!$C$3:$C$23,0),MATCH(Quantidade!AK414,'Balizador da Meta'!$D$2:$F$2,0)),"")</f>
        <v>0.25</v>
      </c>
      <c r="AM414" s="9"/>
    </row>
    <row r="415" spans="1:39" x14ac:dyDescent="0.3">
      <c r="A415" s="2" t="str">
        <f t="shared" si="184"/>
        <v>NÃO</v>
      </c>
      <c r="B415" s="2" t="str">
        <f>_xlfn.XLOOKUP($N415,'Base de Grupos'!$A:$A,'Base de Grupos'!$D:$D)</f>
        <v>1000065763</v>
      </c>
      <c r="C415" s="5" t="str">
        <f>_xlfn.XLOOKUP($N415,'Base de Grupos'!$A:$A,'Base de Grupos'!$E:$E)</f>
        <v>CANAL VENDA INTERNA</v>
      </c>
      <c r="D415" s="5" t="str">
        <f>_xlfn.XLOOKUP($N415,'Base de Grupos'!$A:$A,'Base de Grupos'!$F:$F)</f>
        <v>1000065763</v>
      </c>
      <c r="E415" s="2" t="str">
        <f>_xlfn.XLOOKUP($N415,'Base de Grupos'!$A:$A,'Base de Grupos'!$G:$G)</f>
        <v>CANAL VENDA INTERNA</v>
      </c>
      <c r="F415" s="2" t="str">
        <f>_xlfn.XLOOKUP($N415,'Base de Grupos'!$A:$A,'Base de Grupos'!$H:$H)</f>
        <v>1000105898</v>
      </c>
      <c r="G415" s="5" t="str">
        <f>_xlfn.XLOOKUP($N415,'Base de Grupos'!$A:$A,'Base de Grupos'!$I:$I)</f>
        <v>REGIONAL VENDA DIRETA SP</v>
      </c>
      <c r="H415" s="5" t="str">
        <f>_xlfn.XLOOKUP($N415,'Base de Grupos'!$A:$A,'Base de Grupos'!$J:$J)</f>
        <v>1000105898</v>
      </c>
      <c r="I415" s="2" t="str">
        <f>_xlfn.XLOOKUP($N415,'Base de Grupos'!$A:$A,'Base de Grupos'!$K:$K)</f>
        <v>REGIONAL VENDA DIRETA SP</v>
      </c>
      <c r="J415" s="2" t="str">
        <f>_xlfn.XLOOKUP($N415,'Base de Grupos'!$A:$A,'Base de Grupos'!$L:$L)</f>
        <v>1000150135</v>
      </c>
      <c r="K415" s="5" t="str">
        <f>_xlfn.XLOOKUP($N415,'Base de Grupos'!$A:$A,'Base de Grupos'!$M:$M)</f>
        <v>HELDER DA SILVA BRUNKOW</v>
      </c>
      <c r="L415" s="5" t="str">
        <f t="shared" si="185"/>
        <v/>
      </c>
      <c r="M415" s="5" t="str">
        <f>_xlfn.XLOOKUP($N415,'Base de Grupos'!$A:$A,'Base de Grupos'!$C:$C)</f>
        <v>SP</v>
      </c>
      <c r="N415" s="3">
        <v>1361</v>
      </c>
      <c r="O415" s="4" t="s">
        <v>246</v>
      </c>
      <c r="P415" s="5" t="s">
        <v>95</v>
      </c>
      <c r="Q415" s="24">
        <v>0</v>
      </c>
      <c r="R415" s="24">
        <v>0</v>
      </c>
      <c r="S415" s="24">
        <v>0</v>
      </c>
      <c r="T415" s="24">
        <v>0</v>
      </c>
      <c r="U415" s="24">
        <v>0</v>
      </c>
      <c r="V415" s="24">
        <v>0</v>
      </c>
      <c r="W415" s="24">
        <v>0</v>
      </c>
      <c r="X415" s="24">
        <v>0</v>
      </c>
      <c r="Y415" s="24">
        <v>0</v>
      </c>
      <c r="Z415" s="24">
        <v>0</v>
      </c>
      <c r="AA415" s="24">
        <v>0</v>
      </c>
      <c r="AB415" s="24">
        <v>0</v>
      </c>
      <c r="AC415" s="30">
        <f t="shared" si="192"/>
        <v>0</v>
      </c>
      <c r="AD415" s="27">
        <f t="shared" si="193"/>
        <v>0</v>
      </c>
      <c r="AE415" s="25">
        <f>IFERROR(_xlfn.XLOOKUP(N415&amp;P415,'Historico Vendas'!G:G,'Historico Vendas'!E:E),0)</f>
        <v>0</v>
      </c>
      <c r="AF415" s="29" t="str">
        <f t="shared" si="186"/>
        <v/>
      </c>
      <c r="AG415" s="24">
        <f>IFERROR(_xlfn.XLOOKUP(N415&amp;P415,'Historico Vendas'!G:G,'Historico Vendas'!F:F),0)</f>
        <v>0</v>
      </c>
      <c r="AH415" s="25">
        <f t="shared" si="194"/>
        <v>0</v>
      </c>
      <c r="AI415" s="24">
        <f t="shared" si="195"/>
        <v>0</v>
      </c>
      <c r="AJ415" s="11" t="str">
        <f t="shared" si="187"/>
        <v/>
      </c>
      <c r="AK415" s="9" t="s">
        <v>102</v>
      </c>
      <c r="AL415" s="13">
        <f>IFERROR(INDEX('Balizador da Meta'!$D$3:$F$23,MATCH(Quantidade!$P415,'Balizador da Meta'!$C$3:$C$23,0),MATCH(Quantidade!AK415,'Balizador da Meta'!$D$2:$F$2,0)),"")</f>
        <v>0.25</v>
      </c>
      <c r="AM415" s="9"/>
    </row>
    <row r="416" spans="1:39" x14ac:dyDescent="0.3">
      <c r="A416" s="2" t="str">
        <f t="shared" si="184"/>
        <v>NÃO</v>
      </c>
      <c r="B416" s="2" t="str">
        <f>_xlfn.XLOOKUP($N416,'Base de Grupos'!$A:$A,'Base de Grupos'!$D:$D)</f>
        <v>1000065763</v>
      </c>
      <c r="C416" s="5" t="str">
        <f>_xlfn.XLOOKUP($N416,'Base de Grupos'!$A:$A,'Base de Grupos'!$E:$E)</f>
        <v>CANAL VENDA INTERNA</v>
      </c>
      <c r="D416" s="5" t="str">
        <f>_xlfn.XLOOKUP($N416,'Base de Grupos'!$A:$A,'Base de Grupos'!$F:$F)</f>
        <v>1000065763</v>
      </c>
      <c r="E416" s="2" t="str">
        <f>_xlfn.XLOOKUP($N416,'Base de Grupos'!$A:$A,'Base de Grupos'!$G:$G)</f>
        <v>CANAL VENDA INTERNA</v>
      </c>
      <c r="F416" s="2" t="str">
        <f>_xlfn.XLOOKUP($N416,'Base de Grupos'!$A:$A,'Base de Grupos'!$H:$H)</f>
        <v>1000105898</v>
      </c>
      <c r="G416" s="5" t="str">
        <f>_xlfn.XLOOKUP($N416,'Base de Grupos'!$A:$A,'Base de Grupos'!$I:$I)</f>
        <v>REGIONAL VENDA DIRETA SP</v>
      </c>
      <c r="H416" s="5" t="str">
        <f>_xlfn.XLOOKUP($N416,'Base de Grupos'!$A:$A,'Base de Grupos'!$J:$J)</f>
        <v>1000105898</v>
      </c>
      <c r="I416" s="2" t="str">
        <f>_xlfn.XLOOKUP($N416,'Base de Grupos'!$A:$A,'Base de Grupos'!$K:$K)</f>
        <v>REGIONAL VENDA DIRETA SP</v>
      </c>
      <c r="J416" s="2" t="str">
        <f>_xlfn.XLOOKUP($N416,'Base de Grupos'!$A:$A,'Base de Grupos'!$L:$L)</f>
        <v>1000150135</v>
      </c>
      <c r="K416" s="5" t="str">
        <f>_xlfn.XLOOKUP($N416,'Base de Grupos'!$A:$A,'Base de Grupos'!$M:$M)</f>
        <v>HELDER DA SILVA BRUNKOW</v>
      </c>
      <c r="L416" s="5" t="str">
        <f t="shared" si="185"/>
        <v/>
      </c>
      <c r="M416" s="5" t="str">
        <f>_xlfn.XLOOKUP($N416,'Base de Grupos'!$A:$A,'Base de Grupos'!$C:$C)</f>
        <v>SP</v>
      </c>
      <c r="N416" s="3">
        <v>1361</v>
      </c>
      <c r="O416" s="4" t="s">
        <v>246</v>
      </c>
      <c r="P416" s="5" t="s">
        <v>93</v>
      </c>
      <c r="Q416" s="24">
        <v>0</v>
      </c>
      <c r="R416" s="24">
        <v>0</v>
      </c>
      <c r="S416" s="24">
        <v>0</v>
      </c>
      <c r="T416" s="24">
        <v>0</v>
      </c>
      <c r="U416" s="24">
        <v>0</v>
      </c>
      <c r="V416" s="24">
        <v>0</v>
      </c>
      <c r="W416" s="24">
        <v>0</v>
      </c>
      <c r="X416" s="24">
        <v>0</v>
      </c>
      <c r="Y416" s="24">
        <v>0</v>
      </c>
      <c r="Z416" s="24">
        <v>0</v>
      </c>
      <c r="AA416" s="24">
        <v>0</v>
      </c>
      <c r="AB416" s="24">
        <v>0</v>
      </c>
      <c r="AC416" s="30">
        <f t="shared" si="192"/>
        <v>0</v>
      </c>
      <c r="AD416" s="27">
        <f t="shared" si="193"/>
        <v>0</v>
      </c>
      <c r="AE416" s="25">
        <f>IFERROR(_xlfn.XLOOKUP(N416&amp;P416,'Historico Vendas'!G:G,'Historico Vendas'!E:E),0)</f>
        <v>0</v>
      </c>
      <c r="AF416" s="29" t="str">
        <f t="shared" si="186"/>
        <v/>
      </c>
      <c r="AG416" s="24">
        <f>IFERROR(_xlfn.XLOOKUP(N416&amp;P416,'Historico Vendas'!G:G,'Historico Vendas'!F:F),0)</f>
        <v>0</v>
      </c>
      <c r="AH416" s="25">
        <f t="shared" si="194"/>
        <v>0</v>
      </c>
      <c r="AI416" s="24">
        <f t="shared" si="195"/>
        <v>0</v>
      </c>
      <c r="AJ416" s="11" t="str">
        <f t="shared" si="187"/>
        <v/>
      </c>
      <c r="AK416" s="9" t="s">
        <v>102</v>
      </c>
      <c r="AL416" s="13">
        <f>IFERROR(INDEX('Balizador da Meta'!$D$3:$F$23,MATCH(Quantidade!$P416,'Balizador da Meta'!$C$3:$C$23,0),MATCH(Quantidade!AK416,'Balizador da Meta'!$D$2:$F$2,0)),"")</f>
        <v>0.2</v>
      </c>
      <c r="AM416" s="9"/>
    </row>
    <row r="417" spans="1:39" x14ac:dyDescent="0.3">
      <c r="A417" s="2" t="str">
        <f t="shared" si="184"/>
        <v>SIM</v>
      </c>
      <c r="B417" s="2" t="str">
        <f>_xlfn.XLOOKUP($N417,'Base de Grupos'!$A:$A,'Base de Grupos'!$D:$D)</f>
        <v>1000065763</v>
      </c>
      <c r="C417" s="5" t="str">
        <f>_xlfn.XLOOKUP($N417,'Base de Grupos'!$A:$A,'Base de Grupos'!$E:$E)</f>
        <v>CANAL VENDA INTERNA</v>
      </c>
      <c r="D417" s="5" t="str">
        <f>_xlfn.XLOOKUP($N417,'Base de Grupos'!$A:$A,'Base de Grupos'!$F:$F)</f>
        <v>1000065763</v>
      </c>
      <c r="E417" s="2" t="str">
        <f>_xlfn.XLOOKUP($N417,'Base de Grupos'!$A:$A,'Base de Grupos'!$G:$G)</f>
        <v>CANAL VENDA INTERNA</v>
      </c>
      <c r="F417" s="2" t="str">
        <f>_xlfn.XLOOKUP($N417,'Base de Grupos'!$A:$A,'Base de Grupos'!$H:$H)</f>
        <v>1000105896</v>
      </c>
      <c r="G417" s="5" t="str">
        <f>_xlfn.XLOOKUP($N417,'Base de Grupos'!$A:$A,'Base de Grupos'!$I:$I)</f>
        <v>REGIONAL VENDA DIRETA SUL</v>
      </c>
      <c r="H417" s="5" t="str">
        <f>_xlfn.XLOOKUP($N417,'Base de Grupos'!$A:$A,'Base de Grupos'!$J:$J)</f>
        <v>1000105896</v>
      </c>
      <c r="I417" s="2" t="str">
        <f>_xlfn.XLOOKUP($N417,'Base de Grupos'!$A:$A,'Base de Grupos'!$K:$K)</f>
        <v>REGIONAL VENDA DIRETA SUL</v>
      </c>
      <c r="J417" s="2" t="str">
        <f>_xlfn.XLOOKUP($N417,'Base de Grupos'!$A:$A,'Base de Grupos'!$L:$L)</f>
        <v>1000176426</v>
      </c>
      <c r="K417" s="5" t="str">
        <f>_xlfn.XLOOKUP($N417,'Base de Grupos'!$A:$A,'Base de Grupos'!$M:$M)</f>
        <v>HEMANUELE ROSA DITZEL</v>
      </c>
      <c r="L417" s="5">
        <f t="shared" si="185"/>
        <v>1</v>
      </c>
      <c r="M417" s="5" t="str">
        <f>_xlfn.XLOOKUP($N417,'Base de Grupos'!$A:$A,'Base de Grupos'!$C:$C)</f>
        <v>RS</v>
      </c>
      <c r="N417" s="3">
        <v>1362</v>
      </c>
      <c r="O417" s="4" t="s">
        <v>247</v>
      </c>
      <c r="P417" s="5" t="s">
        <v>317</v>
      </c>
      <c r="Q417" s="24">
        <v>0</v>
      </c>
      <c r="R417" s="24">
        <v>0</v>
      </c>
      <c r="S417" s="24">
        <v>0</v>
      </c>
      <c r="T417" s="24">
        <v>0</v>
      </c>
      <c r="U417" s="24">
        <v>0</v>
      </c>
      <c r="V417" s="24">
        <v>0</v>
      </c>
      <c r="W417" s="24">
        <v>0</v>
      </c>
      <c r="X417" s="24">
        <v>0</v>
      </c>
      <c r="Y417" s="24">
        <v>0</v>
      </c>
      <c r="Z417" s="24">
        <v>0</v>
      </c>
      <c r="AA417" s="24">
        <v>0</v>
      </c>
      <c r="AB417" s="24">
        <v>0</v>
      </c>
      <c r="AC417" s="30">
        <f t="shared" si="192"/>
        <v>0</v>
      </c>
      <c r="AD417" s="25">
        <f t="shared" ref="AD417:AI417" si="196">SUM(AD418:AD434)</f>
        <v>0</v>
      </c>
      <c r="AE417" s="25">
        <f t="shared" si="196"/>
        <v>0</v>
      </c>
      <c r="AF417" s="11" t="str">
        <f t="shared" si="186"/>
        <v/>
      </c>
      <c r="AG417" s="24">
        <f t="shared" si="196"/>
        <v>0</v>
      </c>
      <c r="AH417" s="25">
        <f t="shared" si="196"/>
        <v>0</v>
      </c>
      <c r="AI417" s="24">
        <f t="shared" si="196"/>
        <v>0</v>
      </c>
      <c r="AJ417" s="11" t="str">
        <f t="shared" si="187"/>
        <v/>
      </c>
      <c r="AK417" s="9"/>
      <c r="AL417" s="13"/>
      <c r="AM417" s="9"/>
    </row>
    <row r="418" spans="1:39" x14ac:dyDescent="0.3">
      <c r="A418" s="2" t="str">
        <f t="shared" si="184"/>
        <v>NÃO</v>
      </c>
      <c r="B418" s="2" t="str">
        <f>_xlfn.XLOOKUP($N418,'Base de Grupos'!$A:$A,'Base de Grupos'!$D:$D)</f>
        <v>1000065763</v>
      </c>
      <c r="C418" s="5" t="str">
        <f>_xlfn.XLOOKUP($N418,'Base de Grupos'!$A:$A,'Base de Grupos'!$E:$E)</f>
        <v>CANAL VENDA INTERNA</v>
      </c>
      <c r="D418" s="5" t="str">
        <f>_xlfn.XLOOKUP($N418,'Base de Grupos'!$A:$A,'Base de Grupos'!$F:$F)</f>
        <v>1000065763</v>
      </c>
      <c r="E418" s="2" t="str">
        <f>_xlfn.XLOOKUP($N418,'Base de Grupos'!$A:$A,'Base de Grupos'!$G:$G)</f>
        <v>CANAL VENDA INTERNA</v>
      </c>
      <c r="F418" s="2" t="str">
        <f>_xlfn.XLOOKUP($N418,'Base de Grupos'!$A:$A,'Base de Grupos'!$H:$H)</f>
        <v>1000105896</v>
      </c>
      <c r="G418" s="5" t="str">
        <f>_xlfn.XLOOKUP($N418,'Base de Grupos'!$A:$A,'Base de Grupos'!$I:$I)</f>
        <v>REGIONAL VENDA DIRETA SUL</v>
      </c>
      <c r="H418" s="5" t="str">
        <f>_xlfn.XLOOKUP($N418,'Base de Grupos'!$A:$A,'Base de Grupos'!$J:$J)</f>
        <v>1000105896</v>
      </c>
      <c r="I418" s="2" t="str">
        <f>_xlfn.XLOOKUP($N418,'Base de Grupos'!$A:$A,'Base de Grupos'!$K:$K)</f>
        <v>REGIONAL VENDA DIRETA SUL</v>
      </c>
      <c r="J418" s="2" t="str">
        <f>_xlfn.XLOOKUP($N418,'Base de Grupos'!$A:$A,'Base de Grupos'!$L:$L)</f>
        <v>1000176426</v>
      </c>
      <c r="K418" s="5" t="str">
        <f>_xlfn.XLOOKUP($N418,'Base de Grupos'!$A:$A,'Base de Grupos'!$M:$M)</f>
        <v>HEMANUELE ROSA DITZEL</v>
      </c>
      <c r="L418" s="5" t="str">
        <f t="shared" si="185"/>
        <v/>
      </c>
      <c r="M418" s="5" t="str">
        <f>_xlfn.XLOOKUP($N418,'Base de Grupos'!$A:$A,'Base de Grupos'!$C:$C)</f>
        <v>RS</v>
      </c>
      <c r="N418" s="3">
        <v>1362</v>
      </c>
      <c r="O418" s="4" t="s">
        <v>247</v>
      </c>
      <c r="P418" s="5" t="s">
        <v>81</v>
      </c>
      <c r="Q418" s="24">
        <v>0</v>
      </c>
      <c r="R418" s="24">
        <v>0</v>
      </c>
      <c r="S418" s="24">
        <v>0</v>
      </c>
      <c r="T418" s="24">
        <v>0</v>
      </c>
      <c r="U418" s="24">
        <v>0</v>
      </c>
      <c r="V418" s="24">
        <v>0</v>
      </c>
      <c r="W418" s="24">
        <v>0</v>
      </c>
      <c r="X418" s="24">
        <v>0</v>
      </c>
      <c r="Y418" s="24">
        <v>0</v>
      </c>
      <c r="Z418" s="24">
        <v>0</v>
      </c>
      <c r="AA418" s="24">
        <v>0</v>
      </c>
      <c r="AB418" s="24">
        <v>0</v>
      </c>
      <c r="AC418" s="30">
        <f t="shared" si="192"/>
        <v>0</v>
      </c>
      <c r="AD418" s="27">
        <f t="shared" ref="AD418:AD434" si="197">IF(AC418=0,0,AC418-AG418)</f>
        <v>0</v>
      </c>
      <c r="AE418" s="25">
        <f>IFERROR(_xlfn.XLOOKUP(N418&amp;P418,'Historico Vendas'!G:G,'Historico Vendas'!E:E),0)</f>
        <v>0</v>
      </c>
      <c r="AF418" s="29" t="str">
        <f t="shared" si="186"/>
        <v/>
      </c>
      <c r="AG418" s="24">
        <f>IFERROR(_xlfn.XLOOKUP(N418&amp;P418,'Historico Vendas'!G:G,'Historico Vendas'!F:F),0)</f>
        <v>0</v>
      </c>
      <c r="AH418" s="25">
        <f t="shared" ref="AH418:AH434" si="198">SUM(Q418:S418)</f>
        <v>0</v>
      </c>
      <c r="AI418" s="24">
        <f t="shared" ref="AI418:AI434" si="199">AH418-AG418</f>
        <v>0</v>
      </c>
      <c r="AJ418" s="11" t="str">
        <f t="shared" si="187"/>
        <v/>
      </c>
      <c r="AK418" s="9" t="s">
        <v>102</v>
      </c>
      <c r="AL418" s="13">
        <f>IFERROR(INDEX('Balizador da Meta'!$D$3:$F$23,MATCH(Quantidade!$P418,'Balizador da Meta'!$C$3:$C$23,0),MATCH(Quantidade!AK418,'Balizador da Meta'!$D$2:$F$2,0)),"")</f>
        <v>0.2</v>
      </c>
      <c r="AM418" s="9"/>
    </row>
    <row r="419" spans="1:39" x14ac:dyDescent="0.3">
      <c r="A419" s="2" t="str">
        <f t="shared" si="184"/>
        <v>NÃO</v>
      </c>
      <c r="B419" s="2" t="str">
        <f>_xlfn.XLOOKUP($N419,'Base de Grupos'!$A:$A,'Base de Grupos'!$D:$D)</f>
        <v>1000065763</v>
      </c>
      <c r="C419" s="5" t="str">
        <f>_xlfn.XLOOKUP($N419,'Base de Grupos'!$A:$A,'Base de Grupos'!$E:$E)</f>
        <v>CANAL VENDA INTERNA</v>
      </c>
      <c r="D419" s="5" t="str">
        <f>_xlfn.XLOOKUP($N419,'Base de Grupos'!$A:$A,'Base de Grupos'!$F:$F)</f>
        <v>1000065763</v>
      </c>
      <c r="E419" s="2" t="str">
        <f>_xlfn.XLOOKUP($N419,'Base de Grupos'!$A:$A,'Base de Grupos'!$G:$G)</f>
        <v>CANAL VENDA INTERNA</v>
      </c>
      <c r="F419" s="2" t="str">
        <f>_xlfn.XLOOKUP($N419,'Base de Grupos'!$A:$A,'Base de Grupos'!$H:$H)</f>
        <v>1000105896</v>
      </c>
      <c r="G419" s="5" t="str">
        <f>_xlfn.XLOOKUP($N419,'Base de Grupos'!$A:$A,'Base de Grupos'!$I:$I)</f>
        <v>REGIONAL VENDA DIRETA SUL</v>
      </c>
      <c r="H419" s="5" t="str">
        <f>_xlfn.XLOOKUP($N419,'Base de Grupos'!$A:$A,'Base de Grupos'!$J:$J)</f>
        <v>1000105896</v>
      </c>
      <c r="I419" s="2" t="str">
        <f>_xlfn.XLOOKUP($N419,'Base de Grupos'!$A:$A,'Base de Grupos'!$K:$K)</f>
        <v>REGIONAL VENDA DIRETA SUL</v>
      </c>
      <c r="J419" s="2" t="str">
        <f>_xlfn.XLOOKUP($N419,'Base de Grupos'!$A:$A,'Base de Grupos'!$L:$L)</f>
        <v>1000176426</v>
      </c>
      <c r="K419" s="5" t="str">
        <f>_xlfn.XLOOKUP($N419,'Base de Grupos'!$A:$A,'Base de Grupos'!$M:$M)</f>
        <v>HEMANUELE ROSA DITZEL</v>
      </c>
      <c r="L419" s="5" t="str">
        <f t="shared" si="185"/>
        <v/>
      </c>
      <c r="M419" s="5" t="str">
        <f>_xlfn.XLOOKUP($N419,'Base de Grupos'!$A:$A,'Base de Grupos'!$C:$C)</f>
        <v>RS</v>
      </c>
      <c r="N419" s="3">
        <v>1362</v>
      </c>
      <c r="O419" s="4" t="s">
        <v>247</v>
      </c>
      <c r="P419" s="5" t="s">
        <v>82</v>
      </c>
      <c r="Q419" s="24">
        <v>0</v>
      </c>
      <c r="R419" s="24">
        <v>0</v>
      </c>
      <c r="S419" s="24">
        <v>0</v>
      </c>
      <c r="T419" s="24">
        <v>0</v>
      </c>
      <c r="U419" s="24">
        <v>0</v>
      </c>
      <c r="V419" s="24">
        <v>0</v>
      </c>
      <c r="W419" s="24">
        <v>0</v>
      </c>
      <c r="X419" s="24">
        <v>0</v>
      </c>
      <c r="Y419" s="24">
        <v>0</v>
      </c>
      <c r="Z419" s="24">
        <v>0</v>
      </c>
      <c r="AA419" s="24">
        <v>0</v>
      </c>
      <c r="AB419" s="24">
        <v>0</v>
      </c>
      <c r="AC419" s="30">
        <f t="shared" si="192"/>
        <v>0</v>
      </c>
      <c r="AD419" s="27">
        <f t="shared" si="197"/>
        <v>0</v>
      </c>
      <c r="AE419" s="25">
        <f>IFERROR(_xlfn.XLOOKUP(N419&amp;P419,'Historico Vendas'!G:G,'Historico Vendas'!E:E),0)</f>
        <v>0</v>
      </c>
      <c r="AF419" s="29" t="str">
        <f t="shared" si="186"/>
        <v/>
      </c>
      <c r="AG419" s="24">
        <f>IFERROR(_xlfn.XLOOKUP(N419&amp;P419,'Historico Vendas'!G:G,'Historico Vendas'!F:F),0)</f>
        <v>0</v>
      </c>
      <c r="AH419" s="25">
        <f t="shared" si="198"/>
        <v>0</v>
      </c>
      <c r="AI419" s="24">
        <f t="shared" si="199"/>
        <v>0</v>
      </c>
      <c r="AJ419" s="11" t="str">
        <f t="shared" si="187"/>
        <v/>
      </c>
      <c r="AK419" s="9" t="s">
        <v>102</v>
      </c>
      <c r="AL419" s="13">
        <f>IFERROR(INDEX('Balizador da Meta'!$D$3:$F$23,MATCH(Quantidade!$P419,'Balizador da Meta'!$C$3:$C$23,0),MATCH(Quantidade!AK419,'Balizador da Meta'!$D$2:$F$2,0)),"")</f>
        <v>0.2</v>
      </c>
      <c r="AM419" s="9"/>
    </row>
    <row r="420" spans="1:39" x14ac:dyDescent="0.3">
      <c r="A420" s="2" t="str">
        <f t="shared" si="184"/>
        <v>NÃO</v>
      </c>
      <c r="B420" s="2" t="str">
        <f>_xlfn.XLOOKUP($N420,'Base de Grupos'!$A:$A,'Base de Grupos'!$D:$D)</f>
        <v>1000065763</v>
      </c>
      <c r="C420" s="5" t="str">
        <f>_xlfn.XLOOKUP($N420,'Base de Grupos'!$A:$A,'Base de Grupos'!$E:$E)</f>
        <v>CANAL VENDA INTERNA</v>
      </c>
      <c r="D420" s="5" t="str">
        <f>_xlfn.XLOOKUP($N420,'Base de Grupos'!$A:$A,'Base de Grupos'!$F:$F)</f>
        <v>1000065763</v>
      </c>
      <c r="E420" s="2" t="str">
        <f>_xlfn.XLOOKUP($N420,'Base de Grupos'!$A:$A,'Base de Grupos'!$G:$G)</f>
        <v>CANAL VENDA INTERNA</v>
      </c>
      <c r="F420" s="2" t="str">
        <f>_xlfn.XLOOKUP($N420,'Base de Grupos'!$A:$A,'Base de Grupos'!$H:$H)</f>
        <v>1000105896</v>
      </c>
      <c r="G420" s="5" t="str">
        <f>_xlfn.XLOOKUP($N420,'Base de Grupos'!$A:$A,'Base de Grupos'!$I:$I)</f>
        <v>REGIONAL VENDA DIRETA SUL</v>
      </c>
      <c r="H420" s="5" t="str">
        <f>_xlfn.XLOOKUP($N420,'Base de Grupos'!$A:$A,'Base de Grupos'!$J:$J)</f>
        <v>1000105896</v>
      </c>
      <c r="I420" s="2" t="str">
        <f>_xlfn.XLOOKUP($N420,'Base de Grupos'!$A:$A,'Base de Grupos'!$K:$K)</f>
        <v>REGIONAL VENDA DIRETA SUL</v>
      </c>
      <c r="J420" s="2" t="str">
        <f>_xlfn.XLOOKUP($N420,'Base de Grupos'!$A:$A,'Base de Grupos'!$L:$L)</f>
        <v>1000176426</v>
      </c>
      <c r="K420" s="5" t="str">
        <f>_xlfn.XLOOKUP($N420,'Base de Grupos'!$A:$A,'Base de Grupos'!$M:$M)</f>
        <v>HEMANUELE ROSA DITZEL</v>
      </c>
      <c r="L420" s="5" t="str">
        <f t="shared" si="185"/>
        <v/>
      </c>
      <c r="M420" s="5" t="str">
        <f>_xlfn.XLOOKUP($N420,'Base de Grupos'!$A:$A,'Base de Grupos'!$C:$C)</f>
        <v>RS</v>
      </c>
      <c r="N420" s="3">
        <v>1362</v>
      </c>
      <c r="O420" s="4" t="s">
        <v>247</v>
      </c>
      <c r="P420" s="5" t="s">
        <v>84</v>
      </c>
      <c r="Q420" s="24">
        <v>0</v>
      </c>
      <c r="R420" s="24">
        <v>0</v>
      </c>
      <c r="S420" s="24">
        <v>0</v>
      </c>
      <c r="T420" s="24">
        <v>0</v>
      </c>
      <c r="U420" s="24">
        <v>0</v>
      </c>
      <c r="V420" s="24">
        <v>0</v>
      </c>
      <c r="W420" s="24">
        <v>0</v>
      </c>
      <c r="X420" s="24">
        <v>0</v>
      </c>
      <c r="Y420" s="24">
        <v>0</v>
      </c>
      <c r="Z420" s="24">
        <v>0</v>
      </c>
      <c r="AA420" s="24">
        <v>0</v>
      </c>
      <c r="AB420" s="24">
        <v>0</v>
      </c>
      <c r="AC420" s="30">
        <f t="shared" si="192"/>
        <v>0</v>
      </c>
      <c r="AD420" s="27">
        <f t="shared" si="197"/>
        <v>0</v>
      </c>
      <c r="AE420" s="25">
        <f>IFERROR(_xlfn.XLOOKUP(N420&amp;P420,'Historico Vendas'!G:G,'Historico Vendas'!E:E),0)</f>
        <v>0</v>
      </c>
      <c r="AF420" s="29" t="str">
        <f t="shared" si="186"/>
        <v/>
      </c>
      <c r="AG420" s="24">
        <f>IFERROR(_xlfn.XLOOKUP(N420&amp;P420,'Historico Vendas'!G:G,'Historico Vendas'!F:F),0)</f>
        <v>0</v>
      </c>
      <c r="AH420" s="25">
        <f t="shared" si="198"/>
        <v>0</v>
      </c>
      <c r="AI420" s="24">
        <f t="shared" si="199"/>
        <v>0</v>
      </c>
      <c r="AJ420" s="11" t="str">
        <f t="shared" si="187"/>
        <v/>
      </c>
      <c r="AK420" s="9" t="s">
        <v>102</v>
      </c>
      <c r="AL420" s="13">
        <f>IFERROR(INDEX('Balizador da Meta'!$D$3:$F$23,MATCH(Quantidade!$P420,'Balizador da Meta'!$C$3:$C$23,0),MATCH(Quantidade!AK420,'Balizador da Meta'!$D$2:$F$2,0)),"")</f>
        <v>0.15</v>
      </c>
      <c r="AM420" s="9"/>
    </row>
    <row r="421" spans="1:39" x14ac:dyDescent="0.3">
      <c r="A421" s="2" t="str">
        <f t="shared" si="184"/>
        <v>NÃO</v>
      </c>
      <c r="B421" s="2" t="str">
        <f>_xlfn.XLOOKUP($N421,'Base de Grupos'!$A:$A,'Base de Grupos'!$D:$D)</f>
        <v>1000065763</v>
      </c>
      <c r="C421" s="5" t="str">
        <f>_xlfn.XLOOKUP($N421,'Base de Grupos'!$A:$A,'Base de Grupos'!$E:$E)</f>
        <v>CANAL VENDA INTERNA</v>
      </c>
      <c r="D421" s="5" t="str">
        <f>_xlfn.XLOOKUP($N421,'Base de Grupos'!$A:$A,'Base de Grupos'!$F:$F)</f>
        <v>1000065763</v>
      </c>
      <c r="E421" s="2" t="str">
        <f>_xlfn.XLOOKUP($N421,'Base de Grupos'!$A:$A,'Base de Grupos'!$G:$G)</f>
        <v>CANAL VENDA INTERNA</v>
      </c>
      <c r="F421" s="2" t="str">
        <f>_xlfn.XLOOKUP($N421,'Base de Grupos'!$A:$A,'Base de Grupos'!$H:$H)</f>
        <v>1000105896</v>
      </c>
      <c r="G421" s="5" t="str">
        <f>_xlfn.XLOOKUP($N421,'Base de Grupos'!$A:$A,'Base de Grupos'!$I:$I)</f>
        <v>REGIONAL VENDA DIRETA SUL</v>
      </c>
      <c r="H421" s="5" t="str">
        <f>_xlfn.XLOOKUP($N421,'Base de Grupos'!$A:$A,'Base de Grupos'!$J:$J)</f>
        <v>1000105896</v>
      </c>
      <c r="I421" s="2" t="str">
        <f>_xlfn.XLOOKUP($N421,'Base de Grupos'!$A:$A,'Base de Grupos'!$K:$K)</f>
        <v>REGIONAL VENDA DIRETA SUL</v>
      </c>
      <c r="J421" s="2" t="str">
        <f>_xlfn.XLOOKUP($N421,'Base de Grupos'!$A:$A,'Base de Grupos'!$L:$L)</f>
        <v>1000176426</v>
      </c>
      <c r="K421" s="5" t="str">
        <f>_xlfn.XLOOKUP($N421,'Base de Grupos'!$A:$A,'Base de Grupos'!$M:$M)</f>
        <v>HEMANUELE ROSA DITZEL</v>
      </c>
      <c r="L421" s="5" t="str">
        <f t="shared" si="185"/>
        <v/>
      </c>
      <c r="M421" s="5" t="str">
        <f>_xlfn.XLOOKUP($N421,'Base de Grupos'!$A:$A,'Base de Grupos'!$C:$C)</f>
        <v>RS</v>
      </c>
      <c r="N421" s="3">
        <v>1362</v>
      </c>
      <c r="O421" s="4" t="s">
        <v>247</v>
      </c>
      <c r="P421" s="5" t="s">
        <v>83</v>
      </c>
      <c r="Q421" s="24">
        <f>SUM(Q422:Q442)</f>
        <v>0</v>
      </c>
      <c r="R421" s="24">
        <f t="shared" ref="R421" si="200">SUM(R422:R442)</f>
        <v>0</v>
      </c>
      <c r="S421" s="24">
        <f t="shared" ref="S421" si="201">SUM(S422:S442)</f>
        <v>0</v>
      </c>
      <c r="T421" s="24">
        <f t="shared" ref="T421:AC421" si="202">SUM(T422:T442)</f>
        <v>0</v>
      </c>
      <c r="U421" s="24">
        <f t="shared" si="202"/>
        <v>0</v>
      </c>
      <c r="V421" s="24">
        <f t="shared" si="202"/>
        <v>0</v>
      </c>
      <c r="W421" s="24">
        <f t="shared" si="202"/>
        <v>0</v>
      </c>
      <c r="X421" s="24">
        <f t="shared" si="202"/>
        <v>0</v>
      </c>
      <c r="Y421" s="24">
        <f t="shared" si="202"/>
        <v>0</v>
      </c>
      <c r="Z421" s="24">
        <f t="shared" si="202"/>
        <v>0</v>
      </c>
      <c r="AA421" s="24">
        <f t="shared" si="202"/>
        <v>0</v>
      </c>
      <c r="AB421" s="24">
        <f t="shared" si="202"/>
        <v>0</v>
      </c>
      <c r="AC421" s="24">
        <f t="shared" si="202"/>
        <v>0</v>
      </c>
      <c r="AD421" s="27">
        <f t="shared" si="197"/>
        <v>0</v>
      </c>
      <c r="AE421" s="25">
        <f>IFERROR(_xlfn.XLOOKUP(N421&amp;P421,'Historico Vendas'!G:G,'Historico Vendas'!E:E),0)</f>
        <v>0</v>
      </c>
      <c r="AF421" s="29" t="str">
        <f t="shared" si="186"/>
        <v/>
      </c>
      <c r="AG421" s="24">
        <f>IFERROR(_xlfn.XLOOKUP(N421&amp;P421,'Historico Vendas'!G:G,'Historico Vendas'!F:F),0)</f>
        <v>0</v>
      </c>
      <c r="AH421" s="25">
        <f t="shared" si="198"/>
        <v>0</v>
      </c>
      <c r="AI421" s="24">
        <f t="shared" si="199"/>
        <v>0</v>
      </c>
      <c r="AJ421" s="11" t="str">
        <f t="shared" si="187"/>
        <v/>
      </c>
      <c r="AK421" s="9" t="s">
        <v>102</v>
      </c>
      <c r="AL421" s="13">
        <f>IFERROR(INDEX('Balizador da Meta'!$D$3:$F$23,MATCH(Quantidade!$P421,'Balizador da Meta'!$C$3:$C$23,0),MATCH(Quantidade!AK421,'Balizador da Meta'!$D$2:$F$2,0)),"")</f>
        <v>0</v>
      </c>
      <c r="AM421" s="9"/>
    </row>
    <row r="422" spans="1:39" x14ac:dyDescent="0.3">
      <c r="A422" s="2" t="str">
        <f t="shared" si="184"/>
        <v>NÃO</v>
      </c>
      <c r="B422" s="2" t="str">
        <f>_xlfn.XLOOKUP($N422,'Base de Grupos'!$A:$A,'Base de Grupos'!$D:$D)</f>
        <v>1000065763</v>
      </c>
      <c r="C422" s="5" t="str">
        <f>_xlfn.XLOOKUP($N422,'Base de Grupos'!$A:$A,'Base de Grupos'!$E:$E)</f>
        <v>CANAL VENDA INTERNA</v>
      </c>
      <c r="D422" s="5" t="str">
        <f>_xlfn.XLOOKUP($N422,'Base de Grupos'!$A:$A,'Base de Grupos'!$F:$F)</f>
        <v>1000065763</v>
      </c>
      <c r="E422" s="2" t="str">
        <f>_xlfn.XLOOKUP($N422,'Base de Grupos'!$A:$A,'Base de Grupos'!$G:$G)</f>
        <v>CANAL VENDA INTERNA</v>
      </c>
      <c r="F422" s="2" t="str">
        <f>_xlfn.XLOOKUP($N422,'Base de Grupos'!$A:$A,'Base de Grupos'!$H:$H)</f>
        <v>1000105896</v>
      </c>
      <c r="G422" s="5" t="str">
        <f>_xlfn.XLOOKUP($N422,'Base de Grupos'!$A:$A,'Base de Grupos'!$I:$I)</f>
        <v>REGIONAL VENDA DIRETA SUL</v>
      </c>
      <c r="H422" s="5" t="str">
        <f>_xlfn.XLOOKUP($N422,'Base de Grupos'!$A:$A,'Base de Grupos'!$J:$J)</f>
        <v>1000105896</v>
      </c>
      <c r="I422" s="2" t="str">
        <f>_xlfn.XLOOKUP($N422,'Base de Grupos'!$A:$A,'Base de Grupos'!$K:$K)</f>
        <v>REGIONAL VENDA DIRETA SUL</v>
      </c>
      <c r="J422" s="2" t="str">
        <f>_xlfn.XLOOKUP($N422,'Base de Grupos'!$A:$A,'Base de Grupos'!$L:$L)</f>
        <v>1000176426</v>
      </c>
      <c r="K422" s="5" t="str">
        <f>_xlfn.XLOOKUP($N422,'Base de Grupos'!$A:$A,'Base de Grupos'!$M:$M)</f>
        <v>HEMANUELE ROSA DITZEL</v>
      </c>
      <c r="L422" s="5" t="str">
        <f t="shared" si="185"/>
        <v/>
      </c>
      <c r="M422" s="5" t="str">
        <f>_xlfn.XLOOKUP($N422,'Base de Grupos'!$A:$A,'Base de Grupos'!$C:$C)</f>
        <v>RS</v>
      </c>
      <c r="N422" s="3">
        <v>1362</v>
      </c>
      <c r="O422" s="4" t="s">
        <v>247</v>
      </c>
      <c r="P422" s="5" t="s">
        <v>87</v>
      </c>
      <c r="Q422" s="24">
        <v>0</v>
      </c>
      <c r="R422" s="24">
        <v>0</v>
      </c>
      <c r="S422" s="24">
        <v>0</v>
      </c>
      <c r="T422" s="24">
        <v>0</v>
      </c>
      <c r="U422" s="24">
        <v>0</v>
      </c>
      <c r="V422" s="24">
        <v>0</v>
      </c>
      <c r="W422" s="24">
        <v>0</v>
      </c>
      <c r="X422" s="24">
        <v>0</v>
      </c>
      <c r="Y422" s="24">
        <v>0</v>
      </c>
      <c r="Z422" s="24">
        <v>0</v>
      </c>
      <c r="AA422" s="24">
        <v>0</v>
      </c>
      <c r="AB422" s="24">
        <v>0</v>
      </c>
      <c r="AC422" s="30">
        <f t="shared" ref="AC422:AC442" si="203">SUM(T422:AB422)</f>
        <v>0</v>
      </c>
      <c r="AD422" s="27">
        <f t="shared" si="197"/>
        <v>0</v>
      </c>
      <c r="AE422" s="25">
        <f>IFERROR(_xlfn.XLOOKUP(N422&amp;P422,'Historico Vendas'!G:G,'Historico Vendas'!E:E),0)</f>
        <v>0</v>
      </c>
      <c r="AF422" s="29" t="str">
        <f t="shared" si="186"/>
        <v/>
      </c>
      <c r="AG422" s="24">
        <f>IFERROR(_xlfn.XLOOKUP(N422&amp;P422,'Historico Vendas'!G:G,'Historico Vendas'!F:F),0)</f>
        <v>0</v>
      </c>
      <c r="AH422" s="25">
        <f t="shared" si="198"/>
        <v>0</v>
      </c>
      <c r="AI422" s="24">
        <f t="shared" si="199"/>
        <v>0</v>
      </c>
      <c r="AJ422" s="11" t="str">
        <f t="shared" si="187"/>
        <v/>
      </c>
      <c r="AK422" s="9" t="s">
        <v>102</v>
      </c>
      <c r="AL422" s="13">
        <f>IFERROR(INDEX('Balizador da Meta'!$D$3:$F$23,MATCH(Quantidade!$P422,'Balizador da Meta'!$C$3:$C$23,0),MATCH(Quantidade!AK422,'Balizador da Meta'!$D$2:$F$2,0)),"")</f>
        <v>0</v>
      </c>
      <c r="AM422" s="9"/>
    </row>
    <row r="423" spans="1:39" x14ac:dyDescent="0.3">
      <c r="A423" s="2" t="str">
        <f t="shared" si="184"/>
        <v>NÃO</v>
      </c>
      <c r="B423" s="2" t="str">
        <f>_xlfn.XLOOKUP($N423,'Base de Grupos'!$A:$A,'Base de Grupos'!$D:$D)</f>
        <v>1000065763</v>
      </c>
      <c r="C423" s="5" t="str">
        <f>_xlfn.XLOOKUP($N423,'Base de Grupos'!$A:$A,'Base de Grupos'!$E:$E)</f>
        <v>CANAL VENDA INTERNA</v>
      </c>
      <c r="D423" s="5" t="str">
        <f>_xlfn.XLOOKUP($N423,'Base de Grupos'!$A:$A,'Base de Grupos'!$F:$F)</f>
        <v>1000065763</v>
      </c>
      <c r="E423" s="2" t="str">
        <f>_xlfn.XLOOKUP($N423,'Base de Grupos'!$A:$A,'Base de Grupos'!$G:$G)</f>
        <v>CANAL VENDA INTERNA</v>
      </c>
      <c r="F423" s="2" t="str">
        <f>_xlfn.XLOOKUP($N423,'Base de Grupos'!$A:$A,'Base de Grupos'!$H:$H)</f>
        <v>1000105896</v>
      </c>
      <c r="G423" s="5" t="str">
        <f>_xlfn.XLOOKUP($N423,'Base de Grupos'!$A:$A,'Base de Grupos'!$I:$I)</f>
        <v>REGIONAL VENDA DIRETA SUL</v>
      </c>
      <c r="H423" s="5" t="str">
        <f>_xlfn.XLOOKUP($N423,'Base de Grupos'!$A:$A,'Base de Grupos'!$J:$J)</f>
        <v>1000105896</v>
      </c>
      <c r="I423" s="2" t="str">
        <f>_xlfn.XLOOKUP($N423,'Base de Grupos'!$A:$A,'Base de Grupos'!$K:$K)</f>
        <v>REGIONAL VENDA DIRETA SUL</v>
      </c>
      <c r="J423" s="2" t="str">
        <f>_xlfn.XLOOKUP($N423,'Base de Grupos'!$A:$A,'Base de Grupos'!$L:$L)</f>
        <v>1000176426</v>
      </c>
      <c r="K423" s="5" t="str">
        <f>_xlfn.XLOOKUP($N423,'Base de Grupos'!$A:$A,'Base de Grupos'!$M:$M)</f>
        <v>HEMANUELE ROSA DITZEL</v>
      </c>
      <c r="L423" s="5" t="str">
        <f t="shared" si="185"/>
        <v/>
      </c>
      <c r="M423" s="5" t="str">
        <f>_xlfn.XLOOKUP($N423,'Base de Grupos'!$A:$A,'Base de Grupos'!$C:$C)</f>
        <v>RS</v>
      </c>
      <c r="N423" s="3">
        <v>1362</v>
      </c>
      <c r="O423" s="4" t="s">
        <v>247</v>
      </c>
      <c r="P423" s="5" t="s">
        <v>85</v>
      </c>
      <c r="Q423" s="24">
        <v>0</v>
      </c>
      <c r="R423" s="24">
        <v>0</v>
      </c>
      <c r="S423" s="24">
        <v>0</v>
      </c>
      <c r="T423" s="24">
        <v>0</v>
      </c>
      <c r="U423" s="24">
        <v>0</v>
      </c>
      <c r="V423" s="24">
        <v>0</v>
      </c>
      <c r="W423" s="24">
        <v>0</v>
      </c>
      <c r="X423" s="24">
        <v>0</v>
      </c>
      <c r="Y423" s="24">
        <v>0</v>
      </c>
      <c r="Z423" s="24">
        <v>0</v>
      </c>
      <c r="AA423" s="24">
        <v>0</v>
      </c>
      <c r="AB423" s="24">
        <v>0</v>
      </c>
      <c r="AC423" s="30">
        <f t="shared" si="203"/>
        <v>0</v>
      </c>
      <c r="AD423" s="27">
        <f t="shared" si="197"/>
        <v>0</v>
      </c>
      <c r="AE423" s="25">
        <f>IFERROR(_xlfn.XLOOKUP(N423&amp;P423,'Historico Vendas'!G:G,'Historico Vendas'!E:E),0)</f>
        <v>0</v>
      </c>
      <c r="AF423" s="29" t="str">
        <f t="shared" si="186"/>
        <v/>
      </c>
      <c r="AG423" s="24">
        <f>IFERROR(_xlfn.XLOOKUP(N423&amp;P423,'Historico Vendas'!G:G,'Historico Vendas'!F:F),0)</f>
        <v>0</v>
      </c>
      <c r="AH423" s="25">
        <f t="shared" si="198"/>
        <v>0</v>
      </c>
      <c r="AI423" s="24">
        <f t="shared" si="199"/>
        <v>0</v>
      </c>
      <c r="AJ423" s="11" t="str">
        <f t="shared" si="187"/>
        <v/>
      </c>
      <c r="AK423" s="9" t="s">
        <v>102</v>
      </c>
      <c r="AL423" s="13">
        <f>IFERROR(INDEX('Balizador da Meta'!$D$3:$F$23,MATCH(Quantidade!$P423,'Balizador da Meta'!$C$3:$C$23,0),MATCH(Quantidade!AK423,'Balizador da Meta'!$D$2:$F$2,0)),"")</f>
        <v>0</v>
      </c>
      <c r="AM423" s="9"/>
    </row>
    <row r="424" spans="1:39" x14ac:dyDescent="0.3">
      <c r="A424" s="2" t="str">
        <f t="shared" si="184"/>
        <v>NÃO</v>
      </c>
      <c r="B424" s="2" t="str">
        <f>_xlfn.XLOOKUP($N424,'Base de Grupos'!$A:$A,'Base de Grupos'!$D:$D)</f>
        <v>1000065763</v>
      </c>
      <c r="C424" s="5" t="str">
        <f>_xlfn.XLOOKUP($N424,'Base de Grupos'!$A:$A,'Base de Grupos'!$E:$E)</f>
        <v>CANAL VENDA INTERNA</v>
      </c>
      <c r="D424" s="5" t="str">
        <f>_xlfn.XLOOKUP($N424,'Base de Grupos'!$A:$A,'Base de Grupos'!$F:$F)</f>
        <v>1000065763</v>
      </c>
      <c r="E424" s="2" t="str">
        <f>_xlfn.XLOOKUP($N424,'Base de Grupos'!$A:$A,'Base de Grupos'!$G:$G)</f>
        <v>CANAL VENDA INTERNA</v>
      </c>
      <c r="F424" s="2" t="str">
        <f>_xlfn.XLOOKUP($N424,'Base de Grupos'!$A:$A,'Base de Grupos'!$H:$H)</f>
        <v>1000105896</v>
      </c>
      <c r="G424" s="5" t="str">
        <f>_xlfn.XLOOKUP($N424,'Base de Grupos'!$A:$A,'Base de Grupos'!$I:$I)</f>
        <v>REGIONAL VENDA DIRETA SUL</v>
      </c>
      <c r="H424" s="5" t="str">
        <f>_xlfn.XLOOKUP($N424,'Base de Grupos'!$A:$A,'Base de Grupos'!$J:$J)</f>
        <v>1000105896</v>
      </c>
      <c r="I424" s="2" t="str">
        <f>_xlfn.XLOOKUP($N424,'Base de Grupos'!$A:$A,'Base de Grupos'!$K:$K)</f>
        <v>REGIONAL VENDA DIRETA SUL</v>
      </c>
      <c r="J424" s="2" t="str">
        <f>_xlfn.XLOOKUP($N424,'Base de Grupos'!$A:$A,'Base de Grupos'!$L:$L)</f>
        <v>1000176426</v>
      </c>
      <c r="K424" s="5" t="str">
        <f>_xlfn.XLOOKUP($N424,'Base de Grupos'!$A:$A,'Base de Grupos'!$M:$M)</f>
        <v>HEMANUELE ROSA DITZEL</v>
      </c>
      <c r="L424" s="5" t="str">
        <f t="shared" si="185"/>
        <v/>
      </c>
      <c r="M424" s="5" t="str">
        <f>_xlfn.XLOOKUP($N424,'Base de Grupos'!$A:$A,'Base de Grupos'!$C:$C)</f>
        <v>RS</v>
      </c>
      <c r="N424" s="3">
        <v>1362</v>
      </c>
      <c r="O424" s="4" t="s">
        <v>247</v>
      </c>
      <c r="P424" s="5" t="s">
        <v>92</v>
      </c>
      <c r="Q424" s="24">
        <v>0</v>
      </c>
      <c r="R424" s="24">
        <v>0</v>
      </c>
      <c r="S424" s="24">
        <v>0</v>
      </c>
      <c r="T424" s="24">
        <v>0</v>
      </c>
      <c r="U424" s="24">
        <v>0</v>
      </c>
      <c r="V424" s="24">
        <v>0</v>
      </c>
      <c r="W424" s="24">
        <v>0</v>
      </c>
      <c r="X424" s="24">
        <v>0</v>
      </c>
      <c r="Y424" s="24">
        <v>0</v>
      </c>
      <c r="Z424" s="24">
        <v>0</v>
      </c>
      <c r="AA424" s="24">
        <v>0</v>
      </c>
      <c r="AB424" s="24">
        <v>0</v>
      </c>
      <c r="AC424" s="30">
        <f t="shared" si="203"/>
        <v>0</v>
      </c>
      <c r="AD424" s="27">
        <f t="shared" si="197"/>
        <v>0</v>
      </c>
      <c r="AE424" s="25">
        <f>IFERROR(_xlfn.XLOOKUP(N424&amp;P424,'Historico Vendas'!G:G,'Historico Vendas'!E:E),0)</f>
        <v>0</v>
      </c>
      <c r="AF424" s="29" t="str">
        <f t="shared" si="186"/>
        <v/>
      </c>
      <c r="AG424" s="24">
        <f>IFERROR(_xlfn.XLOOKUP(N424&amp;P424,'Historico Vendas'!G:G,'Historico Vendas'!F:F),0)</f>
        <v>0</v>
      </c>
      <c r="AH424" s="25">
        <f t="shared" si="198"/>
        <v>0</v>
      </c>
      <c r="AI424" s="24">
        <f t="shared" si="199"/>
        <v>0</v>
      </c>
      <c r="AJ424" s="11" t="str">
        <f t="shared" si="187"/>
        <v/>
      </c>
      <c r="AK424" s="9" t="s">
        <v>102</v>
      </c>
      <c r="AL424" s="13">
        <f>IFERROR(INDEX('Balizador da Meta'!$D$3:$F$23,MATCH(Quantidade!$P424,'Balizador da Meta'!$C$3:$C$23,0),MATCH(Quantidade!AK424,'Balizador da Meta'!$D$2:$F$2,0)),"")</f>
        <v>0</v>
      </c>
      <c r="AM424" s="9"/>
    </row>
    <row r="425" spans="1:39" x14ac:dyDescent="0.3">
      <c r="A425" s="2" t="str">
        <f t="shared" si="184"/>
        <v>NÃO</v>
      </c>
      <c r="B425" s="2" t="str">
        <f>_xlfn.XLOOKUP($N425,'Base de Grupos'!$A:$A,'Base de Grupos'!$D:$D)</f>
        <v>1000065763</v>
      </c>
      <c r="C425" s="5" t="str">
        <f>_xlfn.XLOOKUP($N425,'Base de Grupos'!$A:$A,'Base de Grupos'!$E:$E)</f>
        <v>CANAL VENDA INTERNA</v>
      </c>
      <c r="D425" s="5" t="str">
        <f>_xlfn.XLOOKUP($N425,'Base de Grupos'!$A:$A,'Base de Grupos'!$F:$F)</f>
        <v>1000065763</v>
      </c>
      <c r="E425" s="2" t="str">
        <f>_xlfn.XLOOKUP($N425,'Base de Grupos'!$A:$A,'Base de Grupos'!$G:$G)</f>
        <v>CANAL VENDA INTERNA</v>
      </c>
      <c r="F425" s="2" t="str">
        <f>_xlfn.XLOOKUP($N425,'Base de Grupos'!$A:$A,'Base de Grupos'!$H:$H)</f>
        <v>1000105896</v>
      </c>
      <c r="G425" s="5" t="str">
        <f>_xlfn.XLOOKUP($N425,'Base de Grupos'!$A:$A,'Base de Grupos'!$I:$I)</f>
        <v>REGIONAL VENDA DIRETA SUL</v>
      </c>
      <c r="H425" s="5" t="str">
        <f>_xlfn.XLOOKUP($N425,'Base de Grupos'!$A:$A,'Base de Grupos'!$J:$J)</f>
        <v>1000105896</v>
      </c>
      <c r="I425" s="2" t="str">
        <f>_xlfn.XLOOKUP($N425,'Base de Grupos'!$A:$A,'Base de Grupos'!$K:$K)</f>
        <v>REGIONAL VENDA DIRETA SUL</v>
      </c>
      <c r="J425" s="2" t="str">
        <f>_xlfn.XLOOKUP($N425,'Base de Grupos'!$A:$A,'Base de Grupos'!$L:$L)</f>
        <v>1000176426</v>
      </c>
      <c r="K425" s="5" t="str">
        <f>_xlfn.XLOOKUP($N425,'Base de Grupos'!$A:$A,'Base de Grupos'!$M:$M)</f>
        <v>HEMANUELE ROSA DITZEL</v>
      </c>
      <c r="L425" s="5" t="str">
        <f t="shared" si="185"/>
        <v/>
      </c>
      <c r="M425" s="5" t="str">
        <f>_xlfn.XLOOKUP($N425,'Base de Grupos'!$A:$A,'Base de Grupos'!$C:$C)</f>
        <v>RS</v>
      </c>
      <c r="N425" s="3">
        <v>1362</v>
      </c>
      <c r="O425" s="4" t="s">
        <v>247</v>
      </c>
      <c r="P425" s="5" t="s">
        <v>86</v>
      </c>
      <c r="Q425" s="24">
        <v>0</v>
      </c>
      <c r="R425" s="24">
        <v>0</v>
      </c>
      <c r="S425" s="24">
        <v>0</v>
      </c>
      <c r="T425" s="24">
        <v>0</v>
      </c>
      <c r="U425" s="24">
        <v>0</v>
      </c>
      <c r="V425" s="24">
        <v>0</v>
      </c>
      <c r="W425" s="24">
        <v>0</v>
      </c>
      <c r="X425" s="24">
        <v>0</v>
      </c>
      <c r="Y425" s="24">
        <v>0</v>
      </c>
      <c r="Z425" s="24">
        <v>0</v>
      </c>
      <c r="AA425" s="24">
        <v>0</v>
      </c>
      <c r="AB425" s="24">
        <v>0</v>
      </c>
      <c r="AC425" s="30">
        <f t="shared" si="203"/>
        <v>0</v>
      </c>
      <c r="AD425" s="27">
        <f t="shared" si="197"/>
        <v>0</v>
      </c>
      <c r="AE425" s="25">
        <f>IFERROR(_xlfn.XLOOKUP(N425&amp;P425,'Historico Vendas'!G:G,'Historico Vendas'!E:E),0)</f>
        <v>0</v>
      </c>
      <c r="AF425" s="29" t="str">
        <f t="shared" si="186"/>
        <v/>
      </c>
      <c r="AG425" s="24">
        <f>IFERROR(_xlfn.XLOOKUP(N425&amp;P425,'Historico Vendas'!G:G,'Historico Vendas'!F:F),0)</f>
        <v>0</v>
      </c>
      <c r="AH425" s="25">
        <f t="shared" si="198"/>
        <v>0</v>
      </c>
      <c r="AI425" s="24">
        <f t="shared" si="199"/>
        <v>0</v>
      </c>
      <c r="AJ425" s="11" t="str">
        <f t="shared" si="187"/>
        <v/>
      </c>
      <c r="AK425" s="9" t="s">
        <v>102</v>
      </c>
      <c r="AL425" s="13">
        <f>IFERROR(INDEX('Balizador da Meta'!$D$3:$F$23,MATCH(Quantidade!$P425,'Balizador da Meta'!$C$3:$C$23,0),MATCH(Quantidade!AK425,'Balizador da Meta'!$D$2:$F$2,0)),"")</f>
        <v>0.15</v>
      </c>
      <c r="AM425" s="9"/>
    </row>
    <row r="426" spans="1:39" x14ac:dyDescent="0.3">
      <c r="A426" s="2" t="str">
        <f t="shared" si="184"/>
        <v>NÃO</v>
      </c>
      <c r="B426" s="2" t="str">
        <f>_xlfn.XLOOKUP($N426,'Base de Grupos'!$A:$A,'Base de Grupos'!$D:$D)</f>
        <v>1000065763</v>
      </c>
      <c r="C426" s="5" t="str">
        <f>_xlfn.XLOOKUP($N426,'Base de Grupos'!$A:$A,'Base de Grupos'!$E:$E)</f>
        <v>CANAL VENDA INTERNA</v>
      </c>
      <c r="D426" s="5" t="str">
        <f>_xlfn.XLOOKUP($N426,'Base de Grupos'!$A:$A,'Base de Grupos'!$F:$F)</f>
        <v>1000065763</v>
      </c>
      <c r="E426" s="2" t="str">
        <f>_xlfn.XLOOKUP($N426,'Base de Grupos'!$A:$A,'Base de Grupos'!$G:$G)</f>
        <v>CANAL VENDA INTERNA</v>
      </c>
      <c r="F426" s="2" t="str">
        <f>_xlfn.XLOOKUP($N426,'Base de Grupos'!$A:$A,'Base de Grupos'!$H:$H)</f>
        <v>1000105896</v>
      </c>
      <c r="G426" s="5" t="str">
        <f>_xlfn.XLOOKUP($N426,'Base de Grupos'!$A:$A,'Base de Grupos'!$I:$I)</f>
        <v>REGIONAL VENDA DIRETA SUL</v>
      </c>
      <c r="H426" s="5" t="str">
        <f>_xlfn.XLOOKUP($N426,'Base de Grupos'!$A:$A,'Base de Grupos'!$J:$J)</f>
        <v>1000105896</v>
      </c>
      <c r="I426" s="2" t="str">
        <f>_xlfn.XLOOKUP($N426,'Base de Grupos'!$A:$A,'Base de Grupos'!$K:$K)</f>
        <v>REGIONAL VENDA DIRETA SUL</v>
      </c>
      <c r="J426" s="2" t="str">
        <f>_xlfn.XLOOKUP($N426,'Base de Grupos'!$A:$A,'Base de Grupos'!$L:$L)</f>
        <v>1000176426</v>
      </c>
      <c r="K426" s="5" t="str">
        <f>_xlfn.XLOOKUP($N426,'Base de Grupos'!$A:$A,'Base de Grupos'!$M:$M)</f>
        <v>HEMANUELE ROSA DITZEL</v>
      </c>
      <c r="L426" s="5" t="str">
        <f t="shared" si="185"/>
        <v/>
      </c>
      <c r="M426" s="5" t="str">
        <f>_xlfn.XLOOKUP($N426,'Base de Grupos'!$A:$A,'Base de Grupos'!$C:$C)</f>
        <v>RS</v>
      </c>
      <c r="N426" s="3">
        <v>1362</v>
      </c>
      <c r="O426" s="4" t="s">
        <v>247</v>
      </c>
      <c r="P426" s="5" t="s">
        <v>108</v>
      </c>
      <c r="Q426" s="24">
        <v>0</v>
      </c>
      <c r="R426" s="24">
        <v>0</v>
      </c>
      <c r="S426" s="24">
        <v>0</v>
      </c>
      <c r="T426" s="24">
        <v>0</v>
      </c>
      <c r="U426" s="24">
        <v>0</v>
      </c>
      <c r="V426" s="24">
        <v>0</v>
      </c>
      <c r="W426" s="24">
        <v>0</v>
      </c>
      <c r="X426" s="24">
        <v>0</v>
      </c>
      <c r="Y426" s="24">
        <v>0</v>
      </c>
      <c r="Z426" s="24">
        <v>0</v>
      </c>
      <c r="AA426" s="24">
        <v>0</v>
      </c>
      <c r="AB426" s="24">
        <v>0</v>
      </c>
      <c r="AC426" s="30">
        <f t="shared" si="203"/>
        <v>0</v>
      </c>
      <c r="AD426" s="27">
        <f t="shared" si="197"/>
        <v>0</v>
      </c>
      <c r="AE426" s="25">
        <f>IFERROR(_xlfn.XLOOKUP(N426&amp;P426,'Historico Vendas'!G:G,'Historico Vendas'!E:E),0)</f>
        <v>0</v>
      </c>
      <c r="AF426" s="29" t="str">
        <f t="shared" si="186"/>
        <v/>
      </c>
      <c r="AG426" s="24">
        <f>IFERROR(_xlfn.XLOOKUP(N426&amp;P426,'Historico Vendas'!G:G,'Historico Vendas'!F:F),0)</f>
        <v>0</v>
      </c>
      <c r="AH426" s="25">
        <f t="shared" si="198"/>
        <v>0</v>
      </c>
      <c r="AI426" s="24">
        <f t="shared" si="199"/>
        <v>0</v>
      </c>
      <c r="AJ426" s="11" t="str">
        <f t="shared" si="187"/>
        <v/>
      </c>
      <c r="AK426" s="9" t="s">
        <v>102</v>
      </c>
      <c r="AL426" s="13">
        <f>IFERROR(INDEX('Balizador da Meta'!$D$3:$F$23,MATCH(Quantidade!$P426,'Balizador da Meta'!$C$3:$C$23,0),MATCH(Quantidade!AK426,'Balizador da Meta'!$D$2:$F$2,0)),"")</f>
        <v>0</v>
      </c>
      <c r="AM426" s="9"/>
    </row>
    <row r="427" spans="1:39" x14ac:dyDescent="0.3">
      <c r="A427" s="2" t="str">
        <f t="shared" si="184"/>
        <v>NÃO</v>
      </c>
      <c r="B427" s="2" t="str">
        <f>_xlfn.XLOOKUP($N427,'Base de Grupos'!$A:$A,'Base de Grupos'!$D:$D)</f>
        <v>1000065763</v>
      </c>
      <c r="C427" s="5" t="str">
        <f>_xlfn.XLOOKUP($N427,'Base de Grupos'!$A:$A,'Base de Grupos'!$E:$E)</f>
        <v>CANAL VENDA INTERNA</v>
      </c>
      <c r="D427" s="5" t="str">
        <f>_xlfn.XLOOKUP($N427,'Base de Grupos'!$A:$A,'Base de Grupos'!$F:$F)</f>
        <v>1000065763</v>
      </c>
      <c r="E427" s="2" t="str">
        <f>_xlfn.XLOOKUP($N427,'Base de Grupos'!$A:$A,'Base de Grupos'!$G:$G)</f>
        <v>CANAL VENDA INTERNA</v>
      </c>
      <c r="F427" s="2" t="str">
        <f>_xlfn.XLOOKUP($N427,'Base de Grupos'!$A:$A,'Base de Grupos'!$H:$H)</f>
        <v>1000105896</v>
      </c>
      <c r="G427" s="5" t="str">
        <f>_xlfn.XLOOKUP($N427,'Base de Grupos'!$A:$A,'Base de Grupos'!$I:$I)</f>
        <v>REGIONAL VENDA DIRETA SUL</v>
      </c>
      <c r="H427" s="5" t="str">
        <f>_xlfn.XLOOKUP($N427,'Base de Grupos'!$A:$A,'Base de Grupos'!$J:$J)</f>
        <v>1000105896</v>
      </c>
      <c r="I427" s="2" t="str">
        <f>_xlfn.XLOOKUP($N427,'Base de Grupos'!$A:$A,'Base de Grupos'!$K:$K)</f>
        <v>REGIONAL VENDA DIRETA SUL</v>
      </c>
      <c r="J427" s="2" t="str">
        <f>_xlfn.XLOOKUP($N427,'Base de Grupos'!$A:$A,'Base de Grupos'!$L:$L)</f>
        <v>1000176426</v>
      </c>
      <c r="K427" s="5" t="str">
        <f>_xlfn.XLOOKUP($N427,'Base de Grupos'!$A:$A,'Base de Grupos'!$M:$M)</f>
        <v>HEMANUELE ROSA DITZEL</v>
      </c>
      <c r="L427" s="5" t="str">
        <f t="shared" si="185"/>
        <v/>
      </c>
      <c r="M427" s="5" t="str">
        <f>_xlfn.XLOOKUP($N427,'Base de Grupos'!$A:$A,'Base de Grupos'!$C:$C)</f>
        <v>RS</v>
      </c>
      <c r="N427" s="3">
        <v>1362</v>
      </c>
      <c r="O427" s="4" t="s">
        <v>247</v>
      </c>
      <c r="P427" s="5" t="s">
        <v>89</v>
      </c>
      <c r="Q427" s="24">
        <v>0</v>
      </c>
      <c r="R427" s="24">
        <v>0</v>
      </c>
      <c r="S427" s="24">
        <v>0</v>
      </c>
      <c r="T427" s="24">
        <v>0</v>
      </c>
      <c r="U427" s="24">
        <v>0</v>
      </c>
      <c r="V427" s="24">
        <v>0</v>
      </c>
      <c r="W427" s="24">
        <v>0</v>
      </c>
      <c r="X427" s="24">
        <v>0</v>
      </c>
      <c r="Y427" s="24">
        <v>0</v>
      </c>
      <c r="Z427" s="24">
        <v>0</v>
      </c>
      <c r="AA427" s="24">
        <v>0</v>
      </c>
      <c r="AB427" s="24">
        <v>0</v>
      </c>
      <c r="AC427" s="30">
        <f t="shared" si="203"/>
        <v>0</v>
      </c>
      <c r="AD427" s="27">
        <f t="shared" si="197"/>
        <v>0</v>
      </c>
      <c r="AE427" s="25">
        <f>IFERROR(_xlfn.XLOOKUP(N427&amp;P427,'Historico Vendas'!G:G,'Historico Vendas'!E:E),0)</f>
        <v>0</v>
      </c>
      <c r="AF427" s="29" t="str">
        <f t="shared" si="186"/>
        <v/>
      </c>
      <c r="AG427" s="24">
        <f>IFERROR(_xlfn.XLOOKUP(N427&amp;P427,'Historico Vendas'!G:G,'Historico Vendas'!F:F),0)</f>
        <v>0</v>
      </c>
      <c r="AH427" s="25">
        <f t="shared" si="198"/>
        <v>0</v>
      </c>
      <c r="AI427" s="24">
        <f t="shared" si="199"/>
        <v>0</v>
      </c>
      <c r="AJ427" s="11" t="str">
        <f t="shared" si="187"/>
        <v/>
      </c>
      <c r="AK427" s="9" t="s">
        <v>102</v>
      </c>
      <c r="AL427" s="13">
        <f>IFERROR(INDEX('Balizador da Meta'!$D$3:$F$23,MATCH(Quantidade!$P427,'Balizador da Meta'!$C$3:$C$23,0),MATCH(Quantidade!AK427,'Balizador da Meta'!$D$2:$F$2,0)),"")</f>
        <v>0.25</v>
      </c>
      <c r="AM427" s="9"/>
    </row>
    <row r="428" spans="1:39" x14ac:dyDescent="0.3">
      <c r="A428" s="2" t="str">
        <f t="shared" si="184"/>
        <v>NÃO</v>
      </c>
      <c r="B428" s="2" t="str">
        <f>_xlfn.XLOOKUP($N428,'Base de Grupos'!$A:$A,'Base de Grupos'!$D:$D)</f>
        <v>1000065763</v>
      </c>
      <c r="C428" s="5" t="str">
        <f>_xlfn.XLOOKUP($N428,'Base de Grupos'!$A:$A,'Base de Grupos'!$E:$E)</f>
        <v>CANAL VENDA INTERNA</v>
      </c>
      <c r="D428" s="5" t="str">
        <f>_xlfn.XLOOKUP($N428,'Base de Grupos'!$A:$A,'Base de Grupos'!$F:$F)</f>
        <v>1000065763</v>
      </c>
      <c r="E428" s="2" t="str">
        <f>_xlfn.XLOOKUP($N428,'Base de Grupos'!$A:$A,'Base de Grupos'!$G:$G)</f>
        <v>CANAL VENDA INTERNA</v>
      </c>
      <c r="F428" s="2" t="str">
        <f>_xlfn.XLOOKUP($N428,'Base de Grupos'!$A:$A,'Base de Grupos'!$H:$H)</f>
        <v>1000105896</v>
      </c>
      <c r="G428" s="5" t="str">
        <f>_xlfn.XLOOKUP($N428,'Base de Grupos'!$A:$A,'Base de Grupos'!$I:$I)</f>
        <v>REGIONAL VENDA DIRETA SUL</v>
      </c>
      <c r="H428" s="5" t="str">
        <f>_xlfn.XLOOKUP($N428,'Base de Grupos'!$A:$A,'Base de Grupos'!$J:$J)</f>
        <v>1000105896</v>
      </c>
      <c r="I428" s="2" t="str">
        <f>_xlfn.XLOOKUP($N428,'Base de Grupos'!$A:$A,'Base de Grupos'!$K:$K)</f>
        <v>REGIONAL VENDA DIRETA SUL</v>
      </c>
      <c r="J428" s="2" t="str">
        <f>_xlfn.XLOOKUP($N428,'Base de Grupos'!$A:$A,'Base de Grupos'!$L:$L)</f>
        <v>1000176426</v>
      </c>
      <c r="K428" s="5" t="str">
        <f>_xlfn.XLOOKUP($N428,'Base de Grupos'!$A:$A,'Base de Grupos'!$M:$M)</f>
        <v>HEMANUELE ROSA DITZEL</v>
      </c>
      <c r="L428" s="5" t="str">
        <f t="shared" si="185"/>
        <v/>
      </c>
      <c r="M428" s="5" t="str">
        <f>_xlfn.XLOOKUP($N428,'Base de Grupos'!$A:$A,'Base de Grupos'!$C:$C)</f>
        <v>RS</v>
      </c>
      <c r="N428" s="3">
        <v>1362</v>
      </c>
      <c r="O428" s="4" t="s">
        <v>247</v>
      </c>
      <c r="P428" s="5" t="s">
        <v>88</v>
      </c>
      <c r="Q428" s="24">
        <v>0</v>
      </c>
      <c r="R428" s="24">
        <v>0</v>
      </c>
      <c r="S428" s="24">
        <v>0</v>
      </c>
      <c r="T428" s="24">
        <v>0</v>
      </c>
      <c r="U428" s="24">
        <v>0</v>
      </c>
      <c r="V428" s="24">
        <v>0</v>
      </c>
      <c r="W428" s="24">
        <v>0</v>
      </c>
      <c r="X428" s="24">
        <v>0</v>
      </c>
      <c r="Y428" s="24">
        <v>0</v>
      </c>
      <c r="Z428" s="24">
        <v>0</v>
      </c>
      <c r="AA428" s="24">
        <v>0</v>
      </c>
      <c r="AB428" s="24">
        <v>0</v>
      </c>
      <c r="AC428" s="30">
        <f t="shared" si="203"/>
        <v>0</v>
      </c>
      <c r="AD428" s="27">
        <f t="shared" si="197"/>
        <v>0</v>
      </c>
      <c r="AE428" s="25">
        <f>IFERROR(_xlfn.XLOOKUP(N428&amp;P428,'Historico Vendas'!G:G,'Historico Vendas'!E:E),0)</f>
        <v>0</v>
      </c>
      <c r="AF428" s="29" t="str">
        <f t="shared" si="186"/>
        <v/>
      </c>
      <c r="AG428" s="24">
        <f>IFERROR(_xlfn.XLOOKUP(N428&amp;P428,'Historico Vendas'!G:G,'Historico Vendas'!F:F),0)</f>
        <v>0</v>
      </c>
      <c r="AH428" s="25">
        <f t="shared" si="198"/>
        <v>0</v>
      </c>
      <c r="AI428" s="24">
        <f t="shared" si="199"/>
        <v>0</v>
      </c>
      <c r="AJ428" s="11" t="str">
        <f t="shared" si="187"/>
        <v/>
      </c>
      <c r="AK428" s="9" t="s">
        <v>102</v>
      </c>
      <c r="AL428" s="13">
        <f>IFERROR(INDEX('Balizador da Meta'!$D$3:$F$23,MATCH(Quantidade!$P428,'Balizador da Meta'!$C$3:$C$23,0),MATCH(Quantidade!AK428,'Balizador da Meta'!$D$2:$F$2,0)),"")</f>
        <v>0</v>
      </c>
      <c r="AM428" s="9"/>
    </row>
    <row r="429" spans="1:39" x14ac:dyDescent="0.3">
      <c r="A429" s="2" t="str">
        <f t="shared" si="184"/>
        <v>NÃO</v>
      </c>
      <c r="B429" s="2" t="str">
        <f>_xlfn.XLOOKUP($N429,'Base de Grupos'!$A:$A,'Base de Grupos'!$D:$D)</f>
        <v>1000065763</v>
      </c>
      <c r="C429" s="5" t="str">
        <f>_xlfn.XLOOKUP($N429,'Base de Grupos'!$A:$A,'Base de Grupos'!$E:$E)</f>
        <v>CANAL VENDA INTERNA</v>
      </c>
      <c r="D429" s="5" t="str">
        <f>_xlfn.XLOOKUP($N429,'Base de Grupos'!$A:$A,'Base de Grupos'!$F:$F)</f>
        <v>1000065763</v>
      </c>
      <c r="E429" s="2" t="str">
        <f>_xlfn.XLOOKUP($N429,'Base de Grupos'!$A:$A,'Base de Grupos'!$G:$G)</f>
        <v>CANAL VENDA INTERNA</v>
      </c>
      <c r="F429" s="2" t="str">
        <f>_xlfn.XLOOKUP($N429,'Base de Grupos'!$A:$A,'Base de Grupos'!$H:$H)</f>
        <v>1000105896</v>
      </c>
      <c r="G429" s="5" t="str">
        <f>_xlfn.XLOOKUP($N429,'Base de Grupos'!$A:$A,'Base de Grupos'!$I:$I)</f>
        <v>REGIONAL VENDA DIRETA SUL</v>
      </c>
      <c r="H429" s="5" t="str">
        <f>_xlfn.XLOOKUP($N429,'Base de Grupos'!$A:$A,'Base de Grupos'!$J:$J)</f>
        <v>1000105896</v>
      </c>
      <c r="I429" s="2" t="str">
        <f>_xlfn.XLOOKUP($N429,'Base de Grupos'!$A:$A,'Base de Grupos'!$K:$K)</f>
        <v>REGIONAL VENDA DIRETA SUL</v>
      </c>
      <c r="J429" s="2" t="str">
        <f>_xlfn.XLOOKUP($N429,'Base de Grupos'!$A:$A,'Base de Grupos'!$L:$L)</f>
        <v>1000176426</v>
      </c>
      <c r="K429" s="5" t="str">
        <f>_xlfn.XLOOKUP($N429,'Base de Grupos'!$A:$A,'Base de Grupos'!$M:$M)</f>
        <v>HEMANUELE ROSA DITZEL</v>
      </c>
      <c r="L429" s="5" t="str">
        <f t="shared" si="185"/>
        <v/>
      </c>
      <c r="M429" s="5" t="str">
        <f>_xlfn.XLOOKUP($N429,'Base de Grupos'!$A:$A,'Base de Grupos'!$C:$C)</f>
        <v>RS</v>
      </c>
      <c r="N429" s="3">
        <v>1362</v>
      </c>
      <c r="O429" s="4" t="s">
        <v>247</v>
      </c>
      <c r="P429" s="5" t="s">
        <v>90</v>
      </c>
      <c r="Q429" s="24">
        <v>0</v>
      </c>
      <c r="R429" s="24">
        <v>0</v>
      </c>
      <c r="S429" s="24">
        <v>0</v>
      </c>
      <c r="T429" s="24">
        <v>0</v>
      </c>
      <c r="U429" s="24">
        <v>0</v>
      </c>
      <c r="V429" s="24">
        <v>0</v>
      </c>
      <c r="W429" s="24">
        <v>0</v>
      </c>
      <c r="X429" s="24">
        <v>0</v>
      </c>
      <c r="Y429" s="24">
        <v>0</v>
      </c>
      <c r="Z429" s="24">
        <v>0</v>
      </c>
      <c r="AA429" s="24">
        <v>0</v>
      </c>
      <c r="AB429" s="24">
        <v>0</v>
      </c>
      <c r="AC429" s="30">
        <f t="shared" si="203"/>
        <v>0</v>
      </c>
      <c r="AD429" s="27">
        <f t="shared" si="197"/>
        <v>0</v>
      </c>
      <c r="AE429" s="25">
        <f>IFERROR(_xlfn.XLOOKUP(N429&amp;P429,'Historico Vendas'!G:G,'Historico Vendas'!E:E),0)</f>
        <v>0</v>
      </c>
      <c r="AF429" s="29" t="str">
        <f t="shared" si="186"/>
        <v/>
      </c>
      <c r="AG429" s="24">
        <f>IFERROR(_xlfn.XLOOKUP(N429&amp;P429,'Historico Vendas'!G:G,'Historico Vendas'!F:F),0)</f>
        <v>0</v>
      </c>
      <c r="AH429" s="25">
        <f t="shared" si="198"/>
        <v>0</v>
      </c>
      <c r="AI429" s="24">
        <f t="shared" si="199"/>
        <v>0</v>
      </c>
      <c r="AJ429" s="11" t="str">
        <f t="shared" si="187"/>
        <v/>
      </c>
      <c r="AK429" s="9" t="s">
        <v>102</v>
      </c>
      <c r="AL429" s="13">
        <f>IFERROR(INDEX('Balizador da Meta'!$D$3:$F$23,MATCH(Quantidade!$P429,'Balizador da Meta'!$C$3:$C$23,0),MATCH(Quantidade!AK429,'Balizador da Meta'!$D$2:$F$2,0)),"")</f>
        <v>0</v>
      </c>
      <c r="AM429" s="9"/>
    </row>
    <row r="430" spans="1:39" x14ac:dyDescent="0.3">
      <c r="A430" s="2" t="str">
        <f t="shared" si="184"/>
        <v>NÃO</v>
      </c>
      <c r="B430" s="2" t="str">
        <f>_xlfn.XLOOKUP($N430,'Base de Grupos'!$A:$A,'Base de Grupos'!$D:$D)</f>
        <v>1000065763</v>
      </c>
      <c r="C430" s="5" t="str">
        <f>_xlfn.XLOOKUP($N430,'Base de Grupos'!$A:$A,'Base de Grupos'!$E:$E)</f>
        <v>CANAL VENDA INTERNA</v>
      </c>
      <c r="D430" s="5" t="str">
        <f>_xlfn.XLOOKUP($N430,'Base de Grupos'!$A:$A,'Base de Grupos'!$F:$F)</f>
        <v>1000065763</v>
      </c>
      <c r="E430" s="2" t="str">
        <f>_xlfn.XLOOKUP($N430,'Base de Grupos'!$A:$A,'Base de Grupos'!$G:$G)</f>
        <v>CANAL VENDA INTERNA</v>
      </c>
      <c r="F430" s="2" t="str">
        <f>_xlfn.XLOOKUP($N430,'Base de Grupos'!$A:$A,'Base de Grupos'!$H:$H)</f>
        <v>1000105896</v>
      </c>
      <c r="G430" s="5" t="str">
        <f>_xlfn.XLOOKUP($N430,'Base de Grupos'!$A:$A,'Base de Grupos'!$I:$I)</f>
        <v>REGIONAL VENDA DIRETA SUL</v>
      </c>
      <c r="H430" s="5" t="str">
        <f>_xlfn.XLOOKUP($N430,'Base de Grupos'!$A:$A,'Base de Grupos'!$J:$J)</f>
        <v>1000105896</v>
      </c>
      <c r="I430" s="2" t="str">
        <f>_xlfn.XLOOKUP($N430,'Base de Grupos'!$A:$A,'Base de Grupos'!$K:$K)</f>
        <v>REGIONAL VENDA DIRETA SUL</v>
      </c>
      <c r="J430" s="2" t="str">
        <f>_xlfn.XLOOKUP($N430,'Base de Grupos'!$A:$A,'Base de Grupos'!$L:$L)</f>
        <v>1000176426</v>
      </c>
      <c r="K430" s="5" t="str">
        <f>_xlfn.XLOOKUP($N430,'Base de Grupos'!$A:$A,'Base de Grupos'!$M:$M)</f>
        <v>HEMANUELE ROSA DITZEL</v>
      </c>
      <c r="L430" s="5" t="str">
        <f t="shared" si="185"/>
        <v/>
      </c>
      <c r="M430" s="5" t="str">
        <f>_xlfn.XLOOKUP($N430,'Base de Grupos'!$A:$A,'Base de Grupos'!$C:$C)</f>
        <v>RS</v>
      </c>
      <c r="N430" s="3">
        <v>1362</v>
      </c>
      <c r="O430" s="4" t="s">
        <v>247</v>
      </c>
      <c r="P430" s="5" t="s">
        <v>91</v>
      </c>
      <c r="Q430" s="24">
        <v>0</v>
      </c>
      <c r="R430" s="24">
        <v>0</v>
      </c>
      <c r="S430" s="24">
        <v>0</v>
      </c>
      <c r="T430" s="24">
        <v>0</v>
      </c>
      <c r="U430" s="24">
        <v>0</v>
      </c>
      <c r="V430" s="24">
        <v>0</v>
      </c>
      <c r="W430" s="24">
        <v>0</v>
      </c>
      <c r="X430" s="24">
        <v>0</v>
      </c>
      <c r="Y430" s="24">
        <v>0</v>
      </c>
      <c r="Z430" s="24">
        <v>0</v>
      </c>
      <c r="AA430" s="24">
        <v>0</v>
      </c>
      <c r="AB430" s="24">
        <v>0</v>
      </c>
      <c r="AC430" s="30">
        <f t="shared" si="203"/>
        <v>0</v>
      </c>
      <c r="AD430" s="27">
        <f t="shared" si="197"/>
        <v>0</v>
      </c>
      <c r="AE430" s="25">
        <f>IFERROR(_xlfn.XLOOKUP(N430&amp;P430,'Historico Vendas'!G:G,'Historico Vendas'!E:E),0)</f>
        <v>0</v>
      </c>
      <c r="AF430" s="29" t="str">
        <f t="shared" si="186"/>
        <v/>
      </c>
      <c r="AG430" s="24">
        <f>IFERROR(_xlfn.XLOOKUP(N430&amp;P430,'Historico Vendas'!G:G,'Historico Vendas'!F:F),0)</f>
        <v>0</v>
      </c>
      <c r="AH430" s="25">
        <f t="shared" si="198"/>
        <v>0</v>
      </c>
      <c r="AI430" s="24">
        <f t="shared" si="199"/>
        <v>0</v>
      </c>
      <c r="AJ430" s="11" t="str">
        <f t="shared" si="187"/>
        <v/>
      </c>
      <c r="AK430" s="9" t="s">
        <v>102</v>
      </c>
      <c r="AL430" s="13">
        <f>IFERROR(INDEX('Balizador da Meta'!$D$3:$F$23,MATCH(Quantidade!$P430,'Balizador da Meta'!$C$3:$C$23,0),MATCH(Quantidade!AK430,'Balizador da Meta'!$D$2:$F$2,0)),"")</f>
        <v>0</v>
      </c>
      <c r="AM430" s="9"/>
    </row>
    <row r="431" spans="1:39" x14ac:dyDescent="0.3">
      <c r="A431" s="2" t="str">
        <f t="shared" si="184"/>
        <v>NÃO</v>
      </c>
      <c r="B431" s="2" t="str">
        <f>_xlfn.XLOOKUP($N431,'Base de Grupos'!$A:$A,'Base de Grupos'!$D:$D)</f>
        <v>1000065763</v>
      </c>
      <c r="C431" s="5" t="str">
        <f>_xlfn.XLOOKUP($N431,'Base de Grupos'!$A:$A,'Base de Grupos'!$E:$E)</f>
        <v>CANAL VENDA INTERNA</v>
      </c>
      <c r="D431" s="5" t="str">
        <f>_xlfn.XLOOKUP($N431,'Base de Grupos'!$A:$A,'Base de Grupos'!$F:$F)</f>
        <v>1000065763</v>
      </c>
      <c r="E431" s="2" t="str">
        <f>_xlfn.XLOOKUP($N431,'Base de Grupos'!$A:$A,'Base de Grupos'!$G:$G)</f>
        <v>CANAL VENDA INTERNA</v>
      </c>
      <c r="F431" s="2" t="str">
        <f>_xlfn.XLOOKUP($N431,'Base de Grupos'!$A:$A,'Base de Grupos'!$H:$H)</f>
        <v>1000105896</v>
      </c>
      <c r="G431" s="5" t="str">
        <f>_xlfn.XLOOKUP($N431,'Base de Grupos'!$A:$A,'Base de Grupos'!$I:$I)</f>
        <v>REGIONAL VENDA DIRETA SUL</v>
      </c>
      <c r="H431" s="5" t="str">
        <f>_xlfn.XLOOKUP($N431,'Base de Grupos'!$A:$A,'Base de Grupos'!$J:$J)</f>
        <v>1000105896</v>
      </c>
      <c r="I431" s="2" t="str">
        <f>_xlfn.XLOOKUP($N431,'Base de Grupos'!$A:$A,'Base de Grupos'!$K:$K)</f>
        <v>REGIONAL VENDA DIRETA SUL</v>
      </c>
      <c r="J431" s="2" t="str">
        <f>_xlfn.XLOOKUP($N431,'Base de Grupos'!$A:$A,'Base de Grupos'!$L:$L)</f>
        <v>1000176426</v>
      </c>
      <c r="K431" s="5" t="str">
        <f>_xlfn.XLOOKUP($N431,'Base de Grupos'!$A:$A,'Base de Grupos'!$M:$M)</f>
        <v>HEMANUELE ROSA DITZEL</v>
      </c>
      <c r="L431" s="5" t="str">
        <f t="shared" si="185"/>
        <v/>
      </c>
      <c r="M431" s="5" t="str">
        <f>_xlfn.XLOOKUP($N431,'Base de Grupos'!$A:$A,'Base de Grupos'!$C:$C)</f>
        <v>RS</v>
      </c>
      <c r="N431" s="3">
        <v>1362</v>
      </c>
      <c r="O431" s="4" t="s">
        <v>247</v>
      </c>
      <c r="P431" s="5" t="s">
        <v>96</v>
      </c>
      <c r="Q431" s="24">
        <v>0</v>
      </c>
      <c r="R431" s="24">
        <v>0</v>
      </c>
      <c r="S431" s="24">
        <v>0</v>
      </c>
      <c r="T431" s="24">
        <v>0</v>
      </c>
      <c r="U431" s="24">
        <v>0</v>
      </c>
      <c r="V431" s="24">
        <v>0</v>
      </c>
      <c r="W431" s="24">
        <v>0</v>
      </c>
      <c r="X431" s="24">
        <v>0</v>
      </c>
      <c r="Y431" s="24">
        <v>0</v>
      </c>
      <c r="Z431" s="24">
        <v>0</v>
      </c>
      <c r="AA431" s="24">
        <v>0</v>
      </c>
      <c r="AB431" s="24">
        <v>0</v>
      </c>
      <c r="AC431" s="30">
        <f t="shared" si="203"/>
        <v>0</v>
      </c>
      <c r="AD431" s="27">
        <f t="shared" si="197"/>
        <v>0</v>
      </c>
      <c r="AE431" s="25">
        <f>IFERROR(_xlfn.XLOOKUP(N431&amp;P431,'Historico Vendas'!G:G,'Historico Vendas'!E:E),0)</f>
        <v>0</v>
      </c>
      <c r="AF431" s="29" t="str">
        <f t="shared" si="186"/>
        <v/>
      </c>
      <c r="AG431" s="24">
        <f>IFERROR(_xlfn.XLOOKUP(N431&amp;P431,'Historico Vendas'!G:G,'Historico Vendas'!F:F),0)</f>
        <v>0</v>
      </c>
      <c r="AH431" s="25">
        <f t="shared" si="198"/>
        <v>0</v>
      </c>
      <c r="AI431" s="24">
        <f t="shared" si="199"/>
        <v>0</v>
      </c>
      <c r="AJ431" s="11" t="str">
        <f t="shared" si="187"/>
        <v/>
      </c>
      <c r="AK431" s="9" t="s">
        <v>102</v>
      </c>
      <c r="AL431" s="13">
        <f>IFERROR(INDEX('Balizador da Meta'!$D$3:$F$23,MATCH(Quantidade!$P431,'Balizador da Meta'!$C$3:$C$23,0),MATCH(Quantidade!AK431,'Balizador da Meta'!$D$2:$F$2,0)),"")</f>
        <v>0</v>
      </c>
      <c r="AM431" s="9"/>
    </row>
    <row r="432" spans="1:39" x14ac:dyDescent="0.3">
      <c r="A432" s="2" t="str">
        <f t="shared" si="184"/>
        <v>NÃO</v>
      </c>
      <c r="B432" s="2" t="str">
        <f>_xlfn.XLOOKUP($N432,'Base de Grupos'!$A:$A,'Base de Grupos'!$D:$D)</f>
        <v>1000065763</v>
      </c>
      <c r="C432" s="5" t="str">
        <f>_xlfn.XLOOKUP($N432,'Base de Grupos'!$A:$A,'Base de Grupos'!$E:$E)</f>
        <v>CANAL VENDA INTERNA</v>
      </c>
      <c r="D432" s="5" t="str">
        <f>_xlfn.XLOOKUP($N432,'Base de Grupos'!$A:$A,'Base de Grupos'!$F:$F)</f>
        <v>1000065763</v>
      </c>
      <c r="E432" s="2" t="str">
        <f>_xlfn.XLOOKUP($N432,'Base de Grupos'!$A:$A,'Base de Grupos'!$G:$G)</f>
        <v>CANAL VENDA INTERNA</v>
      </c>
      <c r="F432" s="2" t="str">
        <f>_xlfn.XLOOKUP($N432,'Base de Grupos'!$A:$A,'Base de Grupos'!$H:$H)</f>
        <v>1000105896</v>
      </c>
      <c r="G432" s="5" t="str">
        <f>_xlfn.XLOOKUP($N432,'Base de Grupos'!$A:$A,'Base de Grupos'!$I:$I)</f>
        <v>REGIONAL VENDA DIRETA SUL</v>
      </c>
      <c r="H432" s="5" t="str">
        <f>_xlfn.XLOOKUP($N432,'Base de Grupos'!$A:$A,'Base de Grupos'!$J:$J)</f>
        <v>1000105896</v>
      </c>
      <c r="I432" s="2" t="str">
        <f>_xlfn.XLOOKUP($N432,'Base de Grupos'!$A:$A,'Base de Grupos'!$K:$K)</f>
        <v>REGIONAL VENDA DIRETA SUL</v>
      </c>
      <c r="J432" s="2" t="str">
        <f>_xlfn.XLOOKUP($N432,'Base de Grupos'!$A:$A,'Base de Grupos'!$L:$L)</f>
        <v>1000176426</v>
      </c>
      <c r="K432" s="5" t="str">
        <f>_xlfn.XLOOKUP($N432,'Base de Grupos'!$A:$A,'Base de Grupos'!$M:$M)</f>
        <v>HEMANUELE ROSA DITZEL</v>
      </c>
      <c r="L432" s="5" t="str">
        <f t="shared" si="185"/>
        <v/>
      </c>
      <c r="M432" s="5" t="str">
        <f>_xlfn.XLOOKUP($N432,'Base de Grupos'!$A:$A,'Base de Grupos'!$C:$C)</f>
        <v>RS</v>
      </c>
      <c r="N432" s="3">
        <v>1362</v>
      </c>
      <c r="O432" s="4" t="s">
        <v>247</v>
      </c>
      <c r="P432" s="5" t="s">
        <v>94</v>
      </c>
      <c r="Q432" s="24">
        <v>0</v>
      </c>
      <c r="R432" s="24">
        <v>0</v>
      </c>
      <c r="S432" s="24">
        <v>0</v>
      </c>
      <c r="T432" s="24">
        <v>0</v>
      </c>
      <c r="U432" s="24">
        <v>0</v>
      </c>
      <c r="V432" s="24">
        <v>0</v>
      </c>
      <c r="W432" s="24">
        <v>0</v>
      </c>
      <c r="X432" s="24">
        <v>0</v>
      </c>
      <c r="Y432" s="24">
        <v>0</v>
      </c>
      <c r="Z432" s="24">
        <v>0</v>
      </c>
      <c r="AA432" s="24">
        <v>0</v>
      </c>
      <c r="AB432" s="24">
        <v>0</v>
      </c>
      <c r="AC432" s="30">
        <f t="shared" si="203"/>
        <v>0</v>
      </c>
      <c r="AD432" s="27">
        <f t="shared" si="197"/>
        <v>0</v>
      </c>
      <c r="AE432" s="25">
        <f>IFERROR(_xlfn.XLOOKUP(N432&amp;P432,'Historico Vendas'!G:G,'Historico Vendas'!E:E),0)</f>
        <v>0</v>
      </c>
      <c r="AF432" s="29" t="str">
        <f t="shared" si="186"/>
        <v/>
      </c>
      <c r="AG432" s="24">
        <f>IFERROR(_xlfn.XLOOKUP(N432&amp;P432,'Historico Vendas'!G:G,'Historico Vendas'!F:F),0)</f>
        <v>0</v>
      </c>
      <c r="AH432" s="25">
        <f t="shared" si="198"/>
        <v>0</v>
      </c>
      <c r="AI432" s="24">
        <f t="shared" si="199"/>
        <v>0</v>
      </c>
      <c r="AJ432" s="11" t="str">
        <f t="shared" si="187"/>
        <v/>
      </c>
      <c r="AK432" s="9" t="s">
        <v>102</v>
      </c>
      <c r="AL432" s="13">
        <f>IFERROR(INDEX('Balizador da Meta'!$D$3:$F$23,MATCH(Quantidade!$P432,'Balizador da Meta'!$C$3:$C$23,0),MATCH(Quantidade!AK432,'Balizador da Meta'!$D$2:$F$2,0)),"")</f>
        <v>0.25</v>
      </c>
      <c r="AM432" s="9"/>
    </row>
    <row r="433" spans="1:39" x14ac:dyDescent="0.3">
      <c r="A433" s="2" t="str">
        <f t="shared" si="184"/>
        <v>NÃO</v>
      </c>
      <c r="B433" s="2" t="str">
        <f>_xlfn.XLOOKUP($N433,'Base de Grupos'!$A:$A,'Base de Grupos'!$D:$D)</f>
        <v>1000065763</v>
      </c>
      <c r="C433" s="5" t="str">
        <f>_xlfn.XLOOKUP($N433,'Base de Grupos'!$A:$A,'Base de Grupos'!$E:$E)</f>
        <v>CANAL VENDA INTERNA</v>
      </c>
      <c r="D433" s="5" t="str">
        <f>_xlfn.XLOOKUP($N433,'Base de Grupos'!$A:$A,'Base de Grupos'!$F:$F)</f>
        <v>1000065763</v>
      </c>
      <c r="E433" s="2" t="str">
        <f>_xlfn.XLOOKUP($N433,'Base de Grupos'!$A:$A,'Base de Grupos'!$G:$G)</f>
        <v>CANAL VENDA INTERNA</v>
      </c>
      <c r="F433" s="2" t="str">
        <f>_xlfn.XLOOKUP($N433,'Base de Grupos'!$A:$A,'Base de Grupos'!$H:$H)</f>
        <v>1000105896</v>
      </c>
      <c r="G433" s="5" t="str">
        <f>_xlfn.XLOOKUP($N433,'Base de Grupos'!$A:$A,'Base de Grupos'!$I:$I)</f>
        <v>REGIONAL VENDA DIRETA SUL</v>
      </c>
      <c r="H433" s="5" t="str">
        <f>_xlfn.XLOOKUP($N433,'Base de Grupos'!$A:$A,'Base de Grupos'!$J:$J)</f>
        <v>1000105896</v>
      </c>
      <c r="I433" s="2" t="str">
        <f>_xlfn.XLOOKUP($N433,'Base de Grupos'!$A:$A,'Base de Grupos'!$K:$K)</f>
        <v>REGIONAL VENDA DIRETA SUL</v>
      </c>
      <c r="J433" s="2" t="str">
        <f>_xlfn.XLOOKUP($N433,'Base de Grupos'!$A:$A,'Base de Grupos'!$L:$L)</f>
        <v>1000176426</v>
      </c>
      <c r="K433" s="5" t="str">
        <f>_xlfn.XLOOKUP($N433,'Base de Grupos'!$A:$A,'Base de Grupos'!$M:$M)</f>
        <v>HEMANUELE ROSA DITZEL</v>
      </c>
      <c r="L433" s="5" t="str">
        <f t="shared" si="185"/>
        <v/>
      </c>
      <c r="M433" s="5" t="str">
        <f>_xlfn.XLOOKUP($N433,'Base de Grupos'!$A:$A,'Base de Grupos'!$C:$C)</f>
        <v>RS</v>
      </c>
      <c r="N433" s="3">
        <v>1362</v>
      </c>
      <c r="O433" s="4" t="s">
        <v>247</v>
      </c>
      <c r="P433" s="5" t="s">
        <v>95</v>
      </c>
      <c r="Q433" s="24">
        <v>0</v>
      </c>
      <c r="R433" s="24">
        <v>0</v>
      </c>
      <c r="S433" s="24">
        <v>0</v>
      </c>
      <c r="T433" s="24">
        <v>0</v>
      </c>
      <c r="U433" s="24">
        <v>0</v>
      </c>
      <c r="V433" s="24">
        <v>0</v>
      </c>
      <c r="W433" s="24">
        <v>0</v>
      </c>
      <c r="X433" s="24">
        <v>0</v>
      </c>
      <c r="Y433" s="24">
        <v>0</v>
      </c>
      <c r="Z433" s="24">
        <v>0</v>
      </c>
      <c r="AA433" s="24">
        <v>0</v>
      </c>
      <c r="AB433" s="24">
        <v>0</v>
      </c>
      <c r="AC433" s="30">
        <f t="shared" si="203"/>
        <v>0</v>
      </c>
      <c r="AD433" s="27">
        <f t="shared" si="197"/>
        <v>0</v>
      </c>
      <c r="AE433" s="25">
        <f>IFERROR(_xlfn.XLOOKUP(N433&amp;P433,'Historico Vendas'!G:G,'Historico Vendas'!E:E),0)</f>
        <v>0</v>
      </c>
      <c r="AF433" s="29" t="str">
        <f t="shared" si="186"/>
        <v/>
      </c>
      <c r="AG433" s="24">
        <f>IFERROR(_xlfn.XLOOKUP(N433&amp;P433,'Historico Vendas'!G:G,'Historico Vendas'!F:F),0)</f>
        <v>0</v>
      </c>
      <c r="AH433" s="25">
        <f t="shared" si="198"/>
        <v>0</v>
      </c>
      <c r="AI433" s="24">
        <f t="shared" si="199"/>
        <v>0</v>
      </c>
      <c r="AJ433" s="11" t="str">
        <f t="shared" si="187"/>
        <v/>
      </c>
      <c r="AK433" s="9" t="s">
        <v>102</v>
      </c>
      <c r="AL433" s="13">
        <f>IFERROR(INDEX('Balizador da Meta'!$D$3:$F$23,MATCH(Quantidade!$P433,'Balizador da Meta'!$C$3:$C$23,0),MATCH(Quantidade!AK433,'Balizador da Meta'!$D$2:$F$2,0)),"")</f>
        <v>0.25</v>
      </c>
      <c r="AM433" s="9"/>
    </row>
    <row r="434" spans="1:39" x14ac:dyDescent="0.3">
      <c r="A434" s="2" t="str">
        <f t="shared" si="184"/>
        <v>NÃO</v>
      </c>
      <c r="B434" s="2" t="str">
        <f>_xlfn.XLOOKUP($N434,'Base de Grupos'!$A:$A,'Base de Grupos'!$D:$D)</f>
        <v>1000065763</v>
      </c>
      <c r="C434" s="5" t="str">
        <f>_xlfn.XLOOKUP($N434,'Base de Grupos'!$A:$A,'Base de Grupos'!$E:$E)</f>
        <v>CANAL VENDA INTERNA</v>
      </c>
      <c r="D434" s="5" t="str">
        <f>_xlfn.XLOOKUP($N434,'Base de Grupos'!$A:$A,'Base de Grupos'!$F:$F)</f>
        <v>1000065763</v>
      </c>
      <c r="E434" s="2" t="str">
        <f>_xlfn.XLOOKUP($N434,'Base de Grupos'!$A:$A,'Base de Grupos'!$G:$G)</f>
        <v>CANAL VENDA INTERNA</v>
      </c>
      <c r="F434" s="2" t="str">
        <f>_xlfn.XLOOKUP($N434,'Base de Grupos'!$A:$A,'Base de Grupos'!$H:$H)</f>
        <v>1000105896</v>
      </c>
      <c r="G434" s="5" t="str">
        <f>_xlfn.XLOOKUP($N434,'Base de Grupos'!$A:$A,'Base de Grupos'!$I:$I)</f>
        <v>REGIONAL VENDA DIRETA SUL</v>
      </c>
      <c r="H434" s="5" t="str">
        <f>_xlfn.XLOOKUP($N434,'Base de Grupos'!$A:$A,'Base de Grupos'!$J:$J)</f>
        <v>1000105896</v>
      </c>
      <c r="I434" s="2" t="str">
        <f>_xlfn.XLOOKUP($N434,'Base de Grupos'!$A:$A,'Base de Grupos'!$K:$K)</f>
        <v>REGIONAL VENDA DIRETA SUL</v>
      </c>
      <c r="J434" s="2" t="str">
        <f>_xlfn.XLOOKUP($N434,'Base de Grupos'!$A:$A,'Base de Grupos'!$L:$L)</f>
        <v>1000176426</v>
      </c>
      <c r="K434" s="5" t="str">
        <f>_xlfn.XLOOKUP($N434,'Base de Grupos'!$A:$A,'Base de Grupos'!$M:$M)</f>
        <v>HEMANUELE ROSA DITZEL</v>
      </c>
      <c r="L434" s="5" t="str">
        <f t="shared" si="185"/>
        <v/>
      </c>
      <c r="M434" s="5" t="str">
        <f>_xlfn.XLOOKUP($N434,'Base de Grupos'!$A:$A,'Base de Grupos'!$C:$C)</f>
        <v>RS</v>
      </c>
      <c r="N434" s="3">
        <v>1362</v>
      </c>
      <c r="O434" s="4" t="s">
        <v>247</v>
      </c>
      <c r="P434" s="5" t="s">
        <v>93</v>
      </c>
      <c r="Q434" s="24">
        <v>0</v>
      </c>
      <c r="R434" s="24">
        <v>0</v>
      </c>
      <c r="S434" s="24">
        <v>0</v>
      </c>
      <c r="T434" s="24">
        <v>0</v>
      </c>
      <c r="U434" s="24">
        <v>0</v>
      </c>
      <c r="V434" s="24">
        <v>0</v>
      </c>
      <c r="W434" s="24">
        <v>0</v>
      </c>
      <c r="X434" s="24">
        <v>0</v>
      </c>
      <c r="Y434" s="24">
        <v>0</v>
      </c>
      <c r="Z434" s="24">
        <v>0</v>
      </c>
      <c r="AA434" s="24">
        <v>0</v>
      </c>
      <c r="AB434" s="24">
        <v>0</v>
      </c>
      <c r="AC434" s="30">
        <f t="shared" si="203"/>
        <v>0</v>
      </c>
      <c r="AD434" s="27">
        <f t="shared" si="197"/>
        <v>0</v>
      </c>
      <c r="AE434" s="25">
        <f>IFERROR(_xlfn.XLOOKUP(N434&amp;P434,'Historico Vendas'!G:G,'Historico Vendas'!E:E),0)</f>
        <v>0</v>
      </c>
      <c r="AF434" s="29" t="str">
        <f t="shared" si="186"/>
        <v/>
      </c>
      <c r="AG434" s="24">
        <f>IFERROR(_xlfn.XLOOKUP(N434&amp;P434,'Historico Vendas'!G:G,'Historico Vendas'!F:F),0)</f>
        <v>0</v>
      </c>
      <c r="AH434" s="25">
        <f t="shared" si="198"/>
        <v>0</v>
      </c>
      <c r="AI434" s="24">
        <f t="shared" si="199"/>
        <v>0</v>
      </c>
      <c r="AJ434" s="11" t="str">
        <f t="shared" si="187"/>
        <v/>
      </c>
      <c r="AK434" s="9" t="s">
        <v>102</v>
      </c>
      <c r="AL434" s="13">
        <f>IFERROR(INDEX('Balizador da Meta'!$D$3:$F$23,MATCH(Quantidade!$P434,'Balizador da Meta'!$C$3:$C$23,0),MATCH(Quantidade!AK434,'Balizador da Meta'!$D$2:$F$2,0)),"")</f>
        <v>0.2</v>
      </c>
      <c r="AM434" s="9"/>
    </row>
    <row r="435" spans="1:39" x14ac:dyDescent="0.3">
      <c r="A435" s="2" t="str">
        <f t="shared" si="184"/>
        <v>SIM</v>
      </c>
      <c r="B435" s="2" t="str">
        <f>_xlfn.XLOOKUP($N435,'Base de Grupos'!$A:$A,'Base de Grupos'!$D:$D)</f>
        <v>1000065763</v>
      </c>
      <c r="C435" s="5" t="str">
        <f>_xlfn.XLOOKUP($N435,'Base de Grupos'!$A:$A,'Base de Grupos'!$E:$E)</f>
        <v>CANAL VENDA INTERNA</v>
      </c>
      <c r="D435" s="5" t="str">
        <f>_xlfn.XLOOKUP($N435,'Base de Grupos'!$A:$A,'Base de Grupos'!$F:$F)</f>
        <v>1000065763</v>
      </c>
      <c r="E435" s="2" t="str">
        <f>_xlfn.XLOOKUP($N435,'Base de Grupos'!$A:$A,'Base de Grupos'!$G:$G)</f>
        <v>CANAL VENDA INTERNA</v>
      </c>
      <c r="F435" s="2" t="str">
        <f>_xlfn.XLOOKUP($N435,'Base de Grupos'!$A:$A,'Base de Grupos'!$H:$H)</f>
        <v>1000105896</v>
      </c>
      <c r="G435" s="5" t="str">
        <f>_xlfn.XLOOKUP($N435,'Base de Grupos'!$A:$A,'Base de Grupos'!$I:$I)</f>
        <v>REGIONAL VENDA DIRETA SUL</v>
      </c>
      <c r="H435" s="5" t="str">
        <f>_xlfn.XLOOKUP($N435,'Base de Grupos'!$A:$A,'Base de Grupos'!$J:$J)</f>
        <v>1000105896</v>
      </c>
      <c r="I435" s="2" t="str">
        <f>_xlfn.XLOOKUP($N435,'Base de Grupos'!$A:$A,'Base de Grupos'!$K:$K)</f>
        <v>REGIONAL VENDA DIRETA SUL</v>
      </c>
      <c r="J435" s="2" t="str">
        <f>_xlfn.XLOOKUP($N435,'Base de Grupos'!$A:$A,'Base de Grupos'!$L:$L)</f>
        <v>1000176426</v>
      </c>
      <c r="K435" s="5" t="str">
        <f>_xlfn.XLOOKUP($N435,'Base de Grupos'!$A:$A,'Base de Grupos'!$M:$M)</f>
        <v>HEMANUELE ROSA DITZEL</v>
      </c>
      <c r="L435" s="5">
        <f t="shared" si="185"/>
        <v>1</v>
      </c>
      <c r="M435" s="5" t="str">
        <f>_xlfn.XLOOKUP($N435,'Base de Grupos'!$A:$A,'Base de Grupos'!$C:$C)</f>
        <v>PR</v>
      </c>
      <c r="N435" s="3">
        <v>1363</v>
      </c>
      <c r="O435" s="4" t="s">
        <v>248</v>
      </c>
      <c r="P435" s="5" t="s">
        <v>318</v>
      </c>
      <c r="Q435" s="24">
        <v>0</v>
      </c>
      <c r="R435" s="24">
        <v>0</v>
      </c>
      <c r="S435" s="24">
        <v>0</v>
      </c>
      <c r="T435" s="24">
        <v>0</v>
      </c>
      <c r="U435" s="24">
        <v>0</v>
      </c>
      <c r="V435" s="24">
        <v>0</v>
      </c>
      <c r="W435" s="24">
        <v>0</v>
      </c>
      <c r="X435" s="24">
        <v>0</v>
      </c>
      <c r="Y435" s="24">
        <v>0</v>
      </c>
      <c r="Z435" s="24">
        <v>0</v>
      </c>
      <c r="AA435" s="24">
        <v>0</v>
      </c>
      <c r="AB435" s="24">
        <v>0</v>
      </c>
      <c r="AC435" s="30">
        <f t="shared" si="203"/>
        <v>0</v>
      </c>
      <c r="AD435" s="25">
        <f t="shared" ref="AD435:AI435" si="204">SUM(AD436:AD452)</f>
        <v>0</v>
      </c>
      <c r="AE435" s="25">
        <f t="shared" si="204"/>
        <v>0</v>
      </c>
      <c r="AF435" s="11" t="str">
        <f t="shared" si="186"/>
        <v/>
      </c>
      <c r="AG435" s="24">
        <f t="shared" si="204"/>
        <v>0</v>
      </c>
      <c r="AH435" s="25">
        <f t="shared" si="204"/>
        <v>0</v>
      </c>
      <c r="AI435" s="24">
        <f t="shared" si="204"/>
        <v>0</v>
      </c>
      <c r="AJ435" s="11" t="str">
        <f t="shared" si="187"/>
        <v/>
      </c>
      <c r="AK435" s="9"/>
      <c r="AL435" s="13"/>
      <c r="AM435" s="9"/>
    </row>
    <row r="436" spans="1:39" x14ac:dyDescent="0.3">
      <c r="A436" s="2" t="str">
        <f t="shared" si="184"/>
        <v>NÃO</v>
      </c>
      <c r="B436" s="2" t="str">
        <f>_xlfn.XLOOKUP($N436,'Base de Grupos'!$A:$A,'Base de Grupos'!$D:$D)</f>
        <v>1000065763</v>
      </c>
      <c r="C436" s="5" t="str">
        <f>_xlfn.XLOOKUP($N436,'Base de Grupos'!$A:$A,'Base de Grupos'!$E:$E)</f>
        <v>CANAL VENDA INTERNA</v>
      </c>
      <c r="D436" s="5" t="str">
        <f>_xlfn.XLOOKUP($N436,'Base de Grupos'!$A:$A,'Base de Grupos'!$F:$F)</f>
        <v>1000065763</v>
      </c>
      <c r="E436" s="2" t="str">
        <f>_xlfn.XLOOKUP($N436,'Base de Grupos'!$A:$A,'Base de Grupos'!$G:$G)</f>
        <v>CANAL VENDA INTERNA</v>
      </c>
      <c r="F436" s="2" t="str">
        <f>_xlfn.XLOOKUP($N436,'Base de Grupos'!$A:$A,'Base de Grupos'!$H:$H)</f>
        <v>1000105896</v>
      </c>
      <c r="G436" s="5" t="str">
        <f>_xlfn.XLOOKUP($N436,'Base de Grupos'!$A:$A,'Base de Grupos'!$I:$I)</f>
        <v>REGIONAL VENDA DIRETA SUL</v>
      </c>
      <c r="H436" s="5" t="str">
        <f>_xlfn.XLOOKUP($N436,'Base de Grupos'!$A:$A,'Base de Grupos'!$J:$J)</f>
        <v>1000105896</v>
      </c>
      <c r="I436" s="2" t="str">
        <f>_xlfn.XLOOKUP($N436,'Base de Grupos'!$A:$A,'Base de Grupos'!$K:$K)</f>
        <v>REGIONAL VENDA DIRETA SUL</v>
      </c>
      <c r="J436" s="2" t="str">
        <f>_xlfn.XLOOKUP($N436,'Base de Grupos'!$A:$A,'Base de Grupos'!$L:$L)</f>
        <v>1000176426</v>
      </c>
      <c r="K436" s="5" t="str">
        <f>_xlfn.XLOOKUP($N436,'Base de Grupos'!$A:$A,'Base de Grupos'!$M:$M)</f>
        <v>HEMANUELE ROSA DITZEL</v>
      </c>
      <c r="L436" s="5" t="str">
        <f t="shared" si="185"/>
        <v/>
      </c>
      <c r="M436" s="5" t="str">
        <f>_xlfn.XLOOKUP($N436,'Base de Grupos'!$A:$A,'Base de Grupos'!$C:$C)</f>
        <v>PR</v>
      </c>
      <c r="N436" s="3">
        <v>1363</v>
      </c>
      <c r="O436" s="4" t="s">
        <v>248</v>
      </c>
      <c r="P436" s="5" t="s">
        <v>81</v>
      </c>
      <c r="Q436" s="24">
        <v>0</v>
      </c>
      <c r="R436" s="24">
        <v>0</v>
      </c>
      <c r="S436" s="24">
        <v>0</v>
      </c>
      <c r="T436" s="24">
        <v>0</v>
      </c>
      <c r="U436" s="24">
        <v>0</v>
      </c>
      <c r="V436" s="24">
        <v>0</v>
      </c>
      <c r="W436" s="24">
        <v>0</v>
      </c>
      <c r="X436" s="24">
        <v>0</v>
      </c>
      <c r="Y436" s="24">
        <v>0</v>
      </c>
      <c r="Z436" s="24">
        <v>0</v>
      </c>
      <c r="AA436" s="24">
        <v>0</v>
      </c>
      <c r="AB436" s="24">
        <v>0</v>
      </c>
      <c r="AC436" s="30">
        <f t="shared" si="203"/>
        <v>0</v>
      </c>
      <c r="AD436" s="27">
        <f t="shared" ref="AD436:AD452" si="205">IF(AC436=0,0,AC436-AG436)</f>
        <v>0</v>
      </c>
      <c r="AE436" s="25">
        <f>IFERROR(_xlfn.XLOOKUP(N436&amp;P436,'Historico Vendas'!G:G,'Historico Vendas'!E:E),0)</f>
        <v>0</v>
      </c>
      <c r="AF436" s="29" t="str">
        <f t="shared" si="186"/>
        <v/>
      </c>
      <c r="AG436" s="24">
        <f>IFERROR(_xlfn.XLOOKUP(N436&amp;P436,'Historico Vendas'!G:G,'Historico Vendas'!F:F),0)</f>
        <v>0</v>
      </c>
      <c r="AH436" s="25">
        <f t="shared" ref="AH436:AH452" si="206">SUM(Q436:S436)</f>
        <v>0</v>
      </c>
      <c r="AI436" s="24">
        <f t="shared" ref="AI436:AI452" si="207">AH436-AG436</f>
        <v>0</v>
      </c>
      <c r="AJ436" s="11" t="str">
        <f t="shared" si="187"/>
        <v/>
      </c>
      <c r="AK436" s="9" t="s">
        <v>102</v>
      </c>
      <c r="AL436" s="13">
        <f>IFERROR(INDEX('Balizador da Meta'!$D$3:$F$23,MATCH(Quantidade!$P436,'Balizador da Meta'!$C$3:$C$23,0),MATCH(Quantidade!AK436,'Balizador da Meta'!$D$2:$F$2,0)),"")</f>
        <v>0.2</v>
      </c>
      <c r="AM436" s="9"/>
    </row>
    <row r="437" spans="1:39" x14ac:dyDescent="0.3">
      <c r="A437" s="2" t="str">
        <f t="shared" si="184"/>
        <v>NÃO</v>
      </c>
      <c r="B437" s="2" t="str">
        <f>_xlfn.XLOOKUP($N437,'Base de Grupos'!$A:$A,'Base de Grupos'!$D:$D)</f>
        <v>1000065763</v>
      </c>
      <c r="C437" s="5" t="str">
        <f>_xlfn.XLOOKUP($N437,'Base de Grupos'!$A:$A,'Base de Grupos'!$E:$E)</f>
        <v>CANAL VENDA INTERNA</v>
      </c>
      <c r="D437" s="5" t="str">
        <f>_xlfn.XLOOKUP($N437,'Base de Grupos'!$A:$A,'Base de Grupos'!$F:$F)</f>
        <v>1000065763</v>
      </c>
      <c r="E437" s="2" t="str">
        <f>_xlfn.XLOOKUP($N437,'Base de Grupos'!$A:$A,'Base de Grupos'!$G:$G)</f>
        <v>CANAL VENDA INTERNA</v>
      </c>
      <c r="F437" s="2" t="str">
        <f>_xlfn.XLOOKUP($N437,'Base de Grupos'!$A:$A,'Base de Grupos'!$H:$H)</f>
        <v>1000105896</v>
      </c>
      <c r="G437" s="5" t="str">
        <f>_xlfn.XLOOKUP($N437,'Base de Grupos'!$A:$A,'Base de Grupos'!$I:$I)</f>
        <v>REGIONAL VENDA DIRETA SUL</v>
      </c>
      <c r="H437" s="5" t="str">
        <f>_xlfn.XLOOKUP($N437,'Base de Grupos'!$A:$A,'Base de Grupos'!$J:$J)</f>
        <v>1000105896</v>
      </c>
      <c r="I437" s="2" t="str">
        <f>_xlfn.XLOOKUP($N437,'Base de Grupos'!$A:$A,'Base de Grupos'!$K:$K)</f>
        <v>REGIONAL VENDA DIRETA SUL</v>
      </c>
      <c r="J437" s="2" t="str">
        <f>_xlfn.XLOOKUP($N437,'Base de Grupos'!$A:$A,'Base de Grupos'!$L:$L)</f>
        <v>1000176426</v>
      </c>
      <c r="K437" s="5" t="str">
        <f>_xlfn.XLOOKUP($N437,'Base de Grupos'!$A:$A,'Base de Grupos'!$M:$M)</f>
        <v>HEMANUELE ROSA DITZEL</v>
      </c>
      <c r="L437" s="5" t="str">
        <f t="shared" si="185"/>
        <v/>
      </c>
      <c r="M437" s="5" t="str">
        <f>_xlfn.XLOOKUP($N437,'Base de Grupos'!$A:$A,'Base de Grupos'!$C:$C)</f>
        <v>PR</v>
      </c>
      <c r="N437" s="3">
        <v>1363</v>
      </c>
      <c r="O437" s="4" t="s">
        <v>248</v>
      </c>
      <c r="P437" s="5" t="s">
        <v>82</v>
      </c>
      <c r="Q437" s="24">
        <v>0</v>
      </c>
      <c r="R437" s="24">
        <v>0</v>
      </c>
      <c r="S437" s="24">
        <v>0</v>
      </c>
      <c r="T437" s="24">
        <v>0</v>
      </c>
      <c r="U437" s="24">
        <v>0</v>
      </c>
      <c r="V437" s="24">
        <v>0</v>
      </c>
      <c r="W437" s="24">
        <v>0</v>
      </c>
      <c r="X437" s="24">
        <v>0</v>
      </c>
      <c r="Y437" s="24">
        <v>0</v>
      </c>
      <c r="Z437" s="24">
        <v>0</v>
      </c>
      <c r="AA437" s="24">
        <v>0</v>
      </c>
      <c r="AB437" s="24">
        <v>0</v>
      </c>
      <c r="AC437" s="30">
        <f t="shared" si="203"/>
        <v>0</v>
      </c>
      <c r="AD437" s="27">
        <f t="shared" si="205"/>
        <v>0</v>
      </c>
      <c r="AE437" s="25">
        <f>IFERROR(_xlfn.XLOOKUP(N437&amp;P437,'Historico Vendas'!G:G,'Historico Vendas'!E:E),0)</f>
        <v>0</v>
      </c>
      <c r="AF437" s="29" t="str">
        <f t="shared" si="186"/>
        <v/>
      </c>
      <c r="AG437" s="24">
        <f>IFERROR(_xlfn.XLOOKUP(N437&amp;P437,'Historico Vendas'!G:G,'Historico Vendas'!F:F),0)</f>
        <v>0</v>
      </c>
      <c r="AH437" s="25">
        <f t="shared" si="206"/>
        <v>0</v>
      </c>
      <c r="AI437" s="24">
        <f t="shared" si="207"/>
        <v>0</v>
      </c>
      <c r="AJ437" s="11" t="str">
        <f t="shared" si="187"/>
        <v/>
      </c>
      <c r="AK437" s="9" t="s">
        <v>102</v>
      </c>
      <c r="AL437" s="13">
        <f>IFERROR(INDEX('Balizador da Meta'!$D$3:$F$23,MATCH(Quantidade!$P437,'Balizador da Meta'!$C$3:$C$23,0),MATCH(Quantidade!AK437,'Balizador da Meta'!$D$2:$F$2,0)),"")</f>
        <v>0.2</v>
      </c>
      <c r="AM437" s="9"/>
    </row>
    <row r="438" spans="1:39" x14ac:dyDescent="0.3">
      <c r="A438" s="2" t="str">
        <f t="shared" si="184"/>
        <v>NÃO</v>
      </c>
      <c r="B438" s="2" t="str">
        <f>_xlfn.XLOOKUP($N438,'Base de Grupos'!$A:$A,'Base de Grupos'!$D:$D)</f>
        <v>1000065763</v>
      </c>
      <c r="C438" s="5" t="str">
        <f>_xlfn.XLOOKUP($N438,'Base de Grupos'!$A:$A,'Base de Grupos'!$E:$E)</f>
        <v>CANAL VENDA INTERNA</v>
      </c>
      <c r="D438" s="5" t="str">
        <f>_xlfn.XLOOKUP($N438,'Base de Grupos'!$A:$A,'Base de Grupos'!$F:$F)</f>
        <v>1000065763</v>
      </c>
      <c r="E438" s="2" t="str">
        <f>_xlfn.XLOOKUP($N438,'Base de Grupos'!$A:$A,'Base de Grupos'!$G:$G)</f>
        <v>CANAL VENDA INTERNA</v>
      </c>
      <c r="F438" s="2" t="str">
        <f>_xlfn.XLOOKUP($N438,'Base de Grupos'!$A:$A,'Base de Grupos'!$H:$H)</f>
        <v>1000105896</v>
      </c>
      <c r="G438" s="5" t="str">
        <f>_xlfn.XLOOKUP($N438,'Base de Grupos'!$A:$A,'Base de Grupos'!$I:$I)</f>
        <v>REGIONAL VENDA DIRETA SUL</v>
      </c>
      <c r="H438" s="5" t="str">
        <f>_xlfn.XLOOKUP($N438,'Base de Grupos'!$A:$A,'Base de Grupos'!$J:$J)</f>
        <v>1000105896</v>
      </c>
      <c r="I438" s="2" t="str">
        <f>_xlfn.XLOOKUP($N438,'Base de Grupos'!$A:$A,'Base de Grupos'!$K:$K)</f>
        <v>REGIONAL VENDA DIRETA SUL</v>
      </c>
      <c r="J438" s="2" t="str">
        <f>_xlfn.XLOOKUP($N438,'Base de Grupos'!$A:$A,'Base de Grupos'!$L:$L)</f>
        <v>1000176426</v>
      </c>
      <c r="K438" s="5" t="str">
        <f>_xlfn.XLOOKUP($N438,'Base de Grupos'!$A:$A,'Base de Grupos'!$M:$M)</f>
        <v>HEMANUELE ROSA DITZEL</v>
      </c>
      <c r="L438" s="5" t="str">
        <f t="shared" si="185"/>
        <v/>
      </c>
      <c r="M438" s="5" t="str">
        <f>_xlfn.XLOOKUP($N438,'Base de Grupos'!$A:$A,'Base de Grupos'!$C:$C)</f>
        <v>PR</v>
      </c>
      <c r="N438" s="3">
        <v>1363</v>
      </c>
      <c r="O438" s="4" t="s">
        <v>248</v>
      </c>
      <c r="P438" s="5" t="s">
        <v>84</v>
      </c>
      <c r="Q438" s="24">
        <v>0</v>
      </c>
      <c r="R438" s="24">
        <v>0</v>
      </c>
      <c r="S438" s="24">
        <v>0</v>
      </c>
      <c r="T438" s="24">
        <v>0</v>
      </c>
      <c r="U438" s="24">
        <v>0</v>
      </c>
      <c r="V438" s="24">
        <v>0</v>
      </c>
      <c r="W438" s="24">
        <v>0</v>
      </c>
      <c r="X438" s="24">
        <v>0</v>
      </c>
      <c r="Y438" s="24">
        <v>0</v>
      </c>
      <c r="Z438" s="24">
        <v>0</v>
      </c>
      <c r="AA438" s="24">
        <v>0</v>
      </c>
      <c r="AB438" s="24">
        <v>0</v>
      </c>
      <c r="AC438" s="30">
        <f t="shared" si="203"/>
        <v>0</v>
      </c>
      <c r="AD438" s="27">
        <f t="shared" si="205"/>
        <v>0</v>
      </c>
      <c r="AE438" s="25">
        <f>IFERROR(_xlfn.XLOOKUP(N438&amp;P438,'Historico Vendas'!G:G,'Historico Vendas'!E:E),0)</f>
        <v>0</v>
      </c>
      <c r="AF438" s="29" t="str">
        <f t="shared" si="186"/>
        <v/>
      </c>
      <c r="AG438" s="24">
        <f>IFERROR(_xlfn.XLOOKUP(N438&amp;P438,'Historico Vendas'!G:G,'Historico Vendas'!F:F),0)</f>
        <v>0</v>
      </c>
      <c r="AH438" s="25">
        <f t="shared" si="206"/>
        <v>0</v>
      </c>
      <c r="AI438" s="24">
        <f t="shared" si="207"/>
        <v>0</v>
      </c>
      <c r="AJ438" s="11" t="str">
        <f t="shared" si="187"/>
        <v/>
      </c>
      <c r="AK438" s="9" t="s">
        <v>102</v>
      </c>
      <c r="AL438" s="13">
        <f>IFERROR(INDEX('Balizador da Meta'!$D$3:$F$23,MATCH(Quantidade!$P438,'Balizador da Meta'!$C$3:$C$23,0),MATCH(Quantidade!AK438,'Balizador da Meta'!$D$2:$F$2,0)),"")</f>
        <v>0.15</v>
      </c>
      <c r="AM438" s="9"/>
    </row>
    <row r="439" spans="1:39" x14ac:dyDescent="0.3">
      <c r="A439" s="2" t="str">
        <f t="shared" si="184"/>
        <v>NÃO</v>
      </c>
      <c r="B439" s="2" t="str">
        <f>_xlfn.XLOOKUP($N439,'Base de Grupos'!$A:$A,'Base de Grupos'!$D:$D)</f>
        <v>1000065763</v>
      </c>
      <c r="C439" s="5" t="str">
        <f>_xlfn.XLOOKUP($N439,'Base de Grupos'!$A:$A,'Base de Grupos'!$E:$E)</f>
        <v>CANAL VENDA INTERNA</v>
      </c>
      <c r="D439" s="5" t="str">
        <f>_xlfn.XLOOKUP($N439,'Base de Grupos'!$A:$A,'Base de Grupos'!$F:$F)</f>
        <v>1000065763</v>
      </c>
      <c r="E439" s="2" t="str">
        <f>_xlfn.XLOOKUP($N439,'Base de Grupos'!$A:$A,'Base de Grupos'!$G:$G)</f>
        <v>CANAL VENDA INTERNA</v>
      </c>
      <c r="F439" s="2" t="str">
        <f>_xlfn.XLOOKUP($N439,'Base de Grupos'!$A:$A,'Base de Grupos'!$H:$H)</f>
        <v>1000105896</v>
      </c>
      <c r="G439" s="5" t="str">
        <f>_xlfn.XLOOKUP($N439,'Base de Grupos'!$A:$A,'Base de Grupos'!$I:$I)</f>
        <v>REGIONAL VENDA DIRETA SUL</v>
      </c>
      <c r="H439" s="5" t="str">
        <f>_xlfn.XLOOKUP($N439,'Base de Grupos'!$A:$A,'Base de Grupos'!$J:$J)</f>
        <v>1000105896</v>
      </c>
      <c r="I439" s="2" t="str">
        <f>_xlfn.XLOOKUP($N439,'Base de Grupos'!$A:$A,'Base de Grupos'!$K:$K)</f>
        <v>REGIONAL VENDA DIRETA SUL</v>
      </c>
      <c r="J439" s="2" t="str">
        <f>_xlfn.XLOOKUP($N439,'Base de Grupos'!$A:$A,'Base de Grupos'!$L:$L)</f>
        <v>1000176426</v>
      </c>
      <c r="K439" s="5" t="str">
        <f>_xlfn.XLOOKUP($N439,'Base de Grupos'!$A:$A,'Base de Grupos'!$M:$M)</f>
        <v>HEMANUELE ROSA DITZEL</v>
      </c>
      <c r="L439" s="5" t="str">
        <f t="shared" si="185"/>
        <v/>
      </c>
      <c r="M439" s="5" t="str">
        <f>_xlfn.XLOOKUP($N439,'Base de Grupos'!$A:$A,'Base de Grupos'!$C:$C)</f>
        <v>PR</v>
      </c>
      <c r="N439" s="3">
        <v>1363</v>
      </c>
      <c r="O439" s="4" t="s">
        <v>248</v>
      </c>
      <c r="P439" s="5" t="s">
        <v>83</v>
      </c>
      <c r="Q439" s="24">
        <v>0</v>
      </c>
      <c r="R439" s="24">
        <v>0</v>
      </c>
      <c r="S439" s="24">
        <v>0</v>
      </c>
      <c r="T439" s="24">
        <v>0</v>
      </c>
      <c r="U439" s="24">
        <v>0</v>
      </c>
      <c r="V439" s="24">
        <v>0</v>
      </c>
      <c r="W439" s="24">
        <v>0</v>
      </c>
      <c r="X439" s="24">
        <v>0</v>
      </c>
      <c r="Y439" s="24">
        <v>0</v>
      </c>
      <c r="Z439" s="24">
        <v>0</v>
      </c>
      <c r="AA439" s="24">
        <v>0</v>
      </c>
      <c r="AB439" s="24">
        <v>0</v>
      </c>
      <c r="AC439" s="30">
        <f t="shared" si="203"/>
        <v>0</v>
      </c>
      <c r="AD439" s="27">
        <f t="shared" si="205"/>
        <v>0</v>
      </c>
      <c r="AE439" s="25">
        <f>IFERROR(_xlfn.XLOOKUP(N439&amp;P439,'Historico Vendas'!G:G,'Historico Vendas'!E:E),0)</f>
        <v>0</v>
      </c>
      <c r="AF439" s="29" t="str">
        <f t="shared" si="186"/>
        <v/>
      </c>
      <c r="AG439" s="24">
        <f>IFERROR(_xlfn.XLOOKUP(N439&amp;P439,'Historico Vendas'!G:G,'Historico Vendas'!F:F),0)</f>
        <v>0</v>
      </c>
      <c r="AH439" s="25">
        <f t="shared" si="206"/>
        <v>0</v>
      </c>
      <c r="AI439" s="24">
        <f t="shared" si="207"/>
        <v>0</v>
      </c>
      <c r="AJ439" s="11" t="str">
        <f t="shared" si="187"/>
        <v/>
      </c>
      <c r="AK439" s="9" t="s">
        <v>102</v>
      </c>
      <c r="AL439" s="13">
        <f>IFERROR(INDEX('Balizador da Meta'!$D$3:$F$23,MATCH(Quantidade!$P439,'Balizador da Meta'!$C$3:$C$23,0),MATCH(Quantidade!AK439,'Balizador da Meta'!$D$2:$F$2,0)),"")</f>
        <v>0</v>
      </c>
      <c r="AM439" s="9"/>
    </row>
    <row r="440" spans="1:39" x14ac:dyDescent="0.3">
      <c r="A440" s="2" t="str">
        <f t="shared" si="184"/>
        <v>NÃO</v>
      </c>
      <c r="B440" s="2" t="str">
        <f>_xlfn.XLOOKUP($N440,'Base de Grupos'!$A:$A,'Base de Grupos'!$D:$D)</f>
        <v>1000065763</v>
      </c>
      <c r="C440" s="5" t="str">
        <f>_xlfn.XLOOKUP($N440,'Base de Grupos'!$A:$A,'Base de Grupos'!$E:$E)</f>
        <v>CANAL VENDA INTERNA</v>
      </c>
      <c r="D440" s="5" t="str">
        <f>_xlfn.XLOOKUP($N440,'Base de Grupos'!$A:$A,'Base de Grupos'!$F:$F)</f>
        <v>1000065763</v>
      </c>
      <c r="E440" s="2" t="str">
        <f>_xlfn.XLOOKUP($N440,'Base de Grupos'!$A:$A,'Base de Grupos'!$G:$G)</f>
        <v>CANAL VENDA INTERNA</v>
      </c>
      <c r="F440" s="2" t="str">
        <f>_xlfn.XLOOKUP($N440,'Base de Grupos'!$A:$A,'Base de Grupos'!$H:$H)</f>
        <v>1000105896</v>
      </c>
      <c r="G440" s="5" t="str">
        <f>_xlfn.XLOOKUP($N440,'Base de Grupos'!$A:$A,'Base de Grupos'!$I:$I)</f>
        <v>REGIONAL VENDA DIRETA SUL</v>
      </c>
      <c r="H440" s="5" t="str">
        <f>_xlfn.XLOOKUP($N440,'Base de Grupos'!$A:$A,'Base de Grupos'!$J:$J)</f>
        <v>1000105896</v>
      </c>
      <c r="I440" s="2" t="str">
        <f>_xlfn.XLOOKUP($N440,'Base de Grupos'!$A:$A,'Base de Grupos'!$K:$K)</f>
        <v>REGIONAL VENDA DIRETA SUL</v>
      </c>
      <c r="J440" s="2" t="str">
        <f>_xlfn.XLOOKUP($N440,'Base de Grupos'!$A:$A,'Base de Grupos'!$L:$L)</f>
        <v>1000176426</v>
      </c>
      <c r="K440" s="5" t="str">
        <f>_xlfn.XLOOKUP($N440,'Base de Grupos'!$A:$A,'Base de Grupos'!$M:$M)</f>
        <v>HEMANUELE ROSA DITZEL</v>
      </c>
      <c r="L440" s="5" t="str">
        <f t="shared" si="185"/>
        <v/>
      </c>
      <c r="M440" s="5" t="str">
        <f>_xlfn.XLOOKUP($N440,'Base de Grupos'!$A:$A,'Base de Grupos'!$C:$C)</f>
        <v>PR</v>
      </c>
      <c r="N440" s="3">
        <v>1363</v>
      </c>
      <c r="O440" s="4" t="s">
        <v>248</v>
      </c>
      <c r="P440" s="5" t="s">
        <v>87</v>
      </c>
      <c r="Q440" s="24">
        <v>0</v>
      </c>
      <c r="R440" s="24">
        <v>0</v>
      </c>
      <c r="S440" s="24">
        <v>0</v>
      </c>
      <c r="T440" s="24">
        <v>0</v>
      </c>
      <c r="U440" s="24">
        <v>0</v>
      </c>
      <c r="V440" s="24">
        <v>0</v>
      </c>
      <c r="W440" s="24">
        <v>0</v>
      </c>
      <c r="X440" s="24">
        <v>0</v>
      </c>
      <c r="Y440" s="24">
        <v>0</v>
      </c>
      <c r="Z440" s="24">
        <v>0</v>
      </c>
      <c r="AA440" s="24">
        <v>0</v>
      </c>
      <c r="AB440" s="24">
        <v>0</v>
      </c>
      <c r="AC440" s="30">
        <f t="shared" si="203"/>
        <v>0</v>
      </c>
      <c r="AD440" s="27">
        <f t="shared" si="205"/>
        <v>0</v>
      </c>
      <c r="AE440" s="25">
        <f>IFERROR(_xlfn.XLOOKUP(N440&amp;P440,'Historico Vendas'!G:G,'Historico Vendas'!E:E),0)</f>
        <v>0</v>
      </c>
      <c r="AF440" s="29" t="str">
        <f t="shared" si="186"/>
        <v/>
      </c>
      <c r="AG440" s="24">
        <f>IFERROR(_xlfn.XLOOKUP(N440&amp;P440,'Historico Vendas'!G:G,'Historico Vendas'!F:F),0)</f>
        <v>0</v>
      </c>
      <c r="AH440" s="25">
        <f t="shared" si="206"/>
        <v>0</v>
      </c>
      <c r="AI440" s="24">
        <f t="shared" si="207"/>
        <v>0</v>
      </c>
      <c r="AJ440" s="11" t="str">
        <f t="shared" si="187"/>
        <v/>
      </c>
      <c r="AK440" s="9" t="s">
        <v>102</v>
      </c>
      <c r="AL440" s="13">
        <f>IFERROR(INDEX('Balizador da Meta'!$D$3:$F$23,MATCH(Quantidade!$P440,'Balizador da Meta'!$C$3:$C$23,0),MATCH(Quantidade!AK440,'Balizador da Meta'!$D$2:$F$2,0)),"")</f>
        <v>0</v>
      </c>
      <c r="AM440" s="9"/>
    </row>
    <row r="441" spans="1:39" x14ac:dyDescent="0.3">
      <c r="A441" s="2" t="str">
        <f t="shared" si="184"/>
        <v>NÃO</v>
      </c>
      <c r="B441" s="2" t="str">
        <f>_xlfn.XLOOKUP($N441,'Base de Grupos'!$A:$A,'Base de Grupos'!$D:$D)</f>
        <v>1000065763</v>
      </c>
      <c r="C441" s="5" t="str">
        <f>_xlfn.XLOOKUP($N441,'Base de Grupos'!$A:$A,'Base de Grupos'!$E:$E)</f>
        <v>CANAL VENDA INTERNA</v>
      </c>
      <c r="D441" s="5" t="str">
        <f>_xlfn.XLOOKUP($N441,'Base de Grupos'!$A:$A,'Base de Grupos'!$F:$F)</f>
        <v>1000065763</v>
      </c>
      <c r="E441" s="2" t="str">
        <f>_xlfn.XLOOKUP($N441,'Base de Grupos'!$A:$A,'Base de Grupos'!$G:$G)</f>
        <v>CANAL VENDA INTERNA</v>
      </c>
      <c r="F441" s="2" t="str">
        <f>_xlfn.XLOOKUP($N441,'Base de Grupos'!$A:$A,'Base de Grupos'!$H:$H)</f>
        <v>1000105896</v>
      </c>
      <c r="G441" s="5" t="str">
        <f>_xlfn.XLOOKUP($N441,'Base de Grupos'!$A:$A,'Base de Grupos'!$I:$I)</f>
        <v>REGIONAL VENDA DIRETA SUL</v>
      </c>
      <c r="H441" s="5" t="str">
        <f>_xlfn.XLOOKUP($N441,'Base de Grupos'!$A:$A,'Base de Grupos'!$J:$J)</f>
        <v>1000105896</v>
      </c>
      <c r="I441" s="2" t="str">
        <f>_xlfn.XLOOKUP($N441,'Base de Grupos'!$A:$A,'Base de Grupos'!$K:$K)</f>
        <v>REGIONAL VENDA DIRETA SUL</v>
      </c>
      <c r="J441" s="2" t="str">
        <f>_xlfn.XLOOKUP($N441,'Base de Grupos'!$A:$A,'Base de Grupos'!$L:$L)</f>
        <v>1000176426</v>
      </c>
      <c r="K441" s="5" t="str">
        <f>_xlfn.XLOOKUP($N441,'Base de Grupos'!$A:$A,'Base de Grupos'!$M:$M)</f>
        <v>HEMANUELE ROSA DITZEL</v>
      </c>
      <c r="L441" s="5" t="str">
        <f t="shared" si="185"/>
        <v/>
      </c>
      <c r="M441" s="5" t="str">
        <f>_xlfn.XLOOKUP($N441,'Base de Grupos'!$A:$A,'Base de Grupos'!$C:$C)</f>
        <v>PR</v>
      </c>
      <c r="N441" s="3">
        <v>1363</v>
      </c>
      <c r="O441" s="4" t="s">
        <v>248</v>
      </c>
      <c r="P441" s="5" t="s">
        <v>85</v>
      </c>
      <c r="Q441" s="24">
        <v>0</v>
      </c>
      <c r="R441" s="24">
        <v>0</v>
      </c>
      <c r="S441" s="24">
        <v>0</v>
      </c>
      <c r="T441" s="24">
        <v>0</v>
      </c>
      <c r="U441" s="24">
        <v>0</v>
      </c>
      <c r="V441" s="24">
        <v>0</v>
      </c>
      <c r="W441" s="24">
        <v>0</v>
      </c>
      <c r="X441" s="24">
        <v>0</v>
      </c>
      <c r="Y441" s="24">
        <v>0</v>
      </c>
      <c r="Z441" s="24">
        <v>0</v>
      </c>
      <c r="AA441" s="24">
        <v>0</v>
      </c>
      <c r="AB441" s="24">
        <v>0</v>
      </c>
      <c r="AC441" s="30">
        <f t="shared" si="203"/>
        <v>0</v>
      </c>
      <c r="AD441" s="27">
        <f t="shared" si="205"/>
        <v>0</v>
      </c>
      <c r="AE441" s="25">
        <f>IFERROR(_xlfn.XLOOKUP(N441&amp;P441,'Historico Vendas'!G:G,'Historico Vendas'!E:E),0)</f>
        <v>0</v>
      </c>
      <c r="AF441" s="29" t="str">
        <f t="shared" si="186"/>
        <v/>
      </c>
      <c r="AG441" s="24">
        <f>IFERROR(_xlfn.XLOOKUP(N441&amp;P441,'Historico Vendas'!G:G,'Historico Vendas'!F:F),0)</f>
        <v>0</v>
      </c>
      <c r="AH441" s="25">
        <f t="shared" si="206"/>
        <v>0</v>
      </c>
      <c r="AI441" s="24">
        <f t="shared" si="207"/>
        <v>0</v>
      </c>
      <c r="AJ441" s="11" t="str">
        <f t="shared" si="187"/>
        <v/>
      </c>
      <c r="AK441" s="9" t="s">
        <v>102</v>
      </c>
      <c r="AL441" s="13">
        <f>IFERROR(INDEX('Balizador da Meta'!$D$3:$F$23,MATCH(Quantidade!$P441,'Balizador da Meta'!$C$3:$C$23,0),MATCH(Quantidade!AK441,'Balizador da Meta'!$D$2:$F$2,0)),"")</f>
        <v>0</v>
      </c>
      <c r="AM441" s="9"/>
    </row>
    <row r="442" spans="1:39" x14ac:dyDescent="0.3">
      <c r="A442" s="2" t="str">
        <f t="shared" si="184"/>
        <v>NÃO</v>
      </c>
      <c r="B442" s="2" t="str">
        <f>_xlfn.XLOOKUP($N442,'Base de Grupos'!$A:$A,'Base de Grupos'!$D:$D)</f>
        <v>1000065763</v>
      </c>
      <c r="C442" s="5" t="str">
        <f>_xlfn.XLOOKUP($N442,'Base de Grupos'!$A:$A,'Base de Grupos'!$E:$E)</f>
        <v>CANAL VENDA INTERNA</v>
      </c>
      <c r="D442" s="5" t="str">
        <f>_xlfn.XLOOKUP($N442,'Base de Grupos'!$A:$A,'Base de Grupos'!$F:$F)</f>
        <v>1000065763</v>
      </c>
      <c r="E442" s="2" t="str">
        <f>_xlfn.XLOOKUP($N442,'Base de Grupos'!$A:$A,'Base de Grupos'!$G:$G)</f>
        <v>CANAL VENDA INTERNA</v>
      </c>
      <c r="F442" s="2" t="str">
        <f>_xlfn.XLOOKUP($N442,'Base de Grupos'!$A:$A,'Base de Grupos'!$H:$H)</f>
        <v>1000105896</v>
      </c>
      <c r="G442" s="5" t="str">
        <f>_xlfn.XLOOKUP($N442,'Base de Grupos'!$A:$A,'Base de Grupos'!$I:$I)</f>
        <v>REGIONAL VENDA DIRETA SUL</v>
      </c>
      <c r="H442" s="5" t="str">
        <f>_xlfn.XLOOKUP($N442,'Base de Grupos'!$A:$A,'Base de Grupos'!$J:$J)</f>
        <v>1000105896</v>
      </c>
      <c r="I442" s="2" t="str">
        <f>_xlfn.XLOOKUP($N442,'Base de Grupos'!$A:$A,'Base de Grupos'!$K:$K)</f>
        <v>REGIONAL VENDA DIRETA SUL</v>
      </c>
      <c r="J442" s="2" t="str">
        <f>_xlfn.XLOOKUP($N442,'Base de Grupos'!$A:$A,'Base de Grupos'!$L:$L)</f>
        <v>1000176426</v>
      </c>
      <c r="K442" s="5" t="str">
        <f>_xlfn.XLOOKUP($N442,'Base de Grupos'!$A:$A,'Base de Grupos'!$M:$M)</f>
        <v>HEMANUELE ROSA DITZEL</v>
      </c>
      <c r="L442" s="5" t="str">
        <f t="shared" si="185"/>
        <v/>
      </c>
      <c r="M442" s="5" t="str">
        <f>_xlfn.XLOOKUP($N442,'Base de Grupos'!$A:$A,'Base de Grupos'!$C:$C)</f>
        <v>PR</v>
      </c>
      <c r="N442" s="3">
        <v>1363</v>
      </c>
      <c r="O442" s="4" t="s">
        <v>248</v>
      </c>
      <c r="P442" s="5" t="s">
        <v>92</v>
      </c>
      <c r="Q442" s="24">
        <v>0</v>
      </c>
      <c r="R442" s="24">
        <v>0</v>
      </c>
      <c r="S442" s="24">
        <v>0</v>
      </c>
      <c r="T442" s="24">
        <v>0</v>
      </c>
      <c r="U442" s="24">
        <v>0</v>
      </c>
      <c r="V442" s="24">
        <v>0</v>
      </c>
      <c r="W442" s="24">
        <v>0</v>
      </c>
      <c r="X442" s="24">
        <v>0</v>
      </c>
      <c r="Y442" s="24">
        <v>0</v>
      </c>
      <c r="Z442" s="24">
        <v>0</v>
      </c>
      <c r="AA442" s="24">
        <v>0</v>
      </c>
      <c r="AB442" s="24">
        <v>0</v>
      </c>
      <c r="AC442" s="30">
        <f t="shared" si="203"/>
        <v>0</v>
      </c>
      <c r="AD442" s="27">
        <f t="shared" si="205"/>
        <v>0</v>
      </c>
      <c r="AE442" s="25">
        <f>IFERROR(_xlfn.XLOOKUP(N442&amp;P442,'Historico Vendas'!G:G,'Historico Vendas'!E:E),0)</f>
        <v>0</v>
      </c>
      <c r="AF442" s="29" t="str">
        <f t="shared" si="186"/>
        <v/>
      </c>
      <c r="AG442" s="24">
        <f>IFERROR(_xlfn.XLOOKUP(N442&amp;P442,'Historico Vendas'!G:G,'Historico Vendas'!F:F),0)</f>
        <v>0</v>
      </c>
      <c r="AH442" s="25">
        <f t="shared" si="206"/>
        <v>0</v>
      </c>
      <c r="AI442" s="24">
        <f t="shared" si="207"/>
        <v>0</v>
      </c>
      <c r="AJ442" s="11" t="str">
        <f t="shared" si="187"/>
        <v/>
      </c>
      <c r="AK442" s="9" t="s">
        <v>102</v>
      </c>
      <c r="AL442" s="13">
        <f>IFERROR(INDEX('Balizador da Meta'!$D$3:$F$23,MATCH(Quantidade!$P442,'Balizador da Meta'!$C$3:$C$23,0),MATCH(Quantidade!AK442,'Balizador da Meta'!$D$2:$F$2,0)),"")</f>
        <v>0</v>
      </c>
      <c r="AM442" s="9"/>
    </row>
    <row r="443" spans="1:39" x14ac:dyDescent="0.3">
      <c r="A443" s="2" t="str">
        <f t="shared" si="184"/>
        <v>NÃO</v>
      </c>
      <c r="B443" s="2" t="str">
        <f>_xlfn.XLOOKUP($N443,'Base de Grupos'!$A:$A,'Base de Grupos'!$D:$D)</f>
        <v>1000065763</v>
      </c>
      <c r="C443" s="5" t="str">
        <f>_xlfn.XLOOKUP($N443,'Base de Grupos'!$A:$A,'Base de Grupos'!$E:$E)</f>
        <v>CANAL VENDA INTERNA</v>
      </c>
      <c r="D443" s="5" t="str">
        <f>_xlfn.XLOOKUP($N443,'Base de Grupos'!$A:$A,'Base de Grupos'!$F:$F)</f>
        <v>1000065763</v>
      </c>
      <c r="E443" s="2" t="str">
        <f>_xlfn.XLOOKUP($N443,'Base de Grupos'!$A:$A,'Base de Grupos'!$G:$G)</f>
        <v>CANAL VENDA INTERNA</v>
      </c>
      <c r="F443" s="2" t="str">
        <f>_xlfn.XLOOKUP($N443,'Base de Grupos'!$A:$A,'Base de Grupos'!$H:$H)</f>
        <v>1000105896</v>
      </c>
      <c r="G443" s="5" t="str">
        <f>_xlfn.XLOOKUP($N443,'Base de Grupos'!$A:$A,'Base de Grupos'!$I:$I)</f>
        <v>REGIONAL VENDA DIRETA SUL</v>
      </c>
      <c r="H443" s="5" t="str">
        <f>_xlfn.XLOOKUP($N443,'Base de Grupos'!$A:$A,'Base de Grupos'!$J:$J)</f>
        <v>1000105896</v>
      </c>
      <c r="I443" s="2" t="str">
        <f>_xlfn.XLOOKUP($N443,'Base de Grupos'!$A:$A,'Base de Grupos'!$K:$K)</f>
        <v>REGIONAL VENDA DIRETA SUL</v>
      </c>
      <c r="J443" s="2" t="str">
        <f>_xlfn.XLOOKUP($N443,'Base de Grupos'!$A:$A,'Base de Grupos'!$L:$L)</f>
        <v>1000176426</v>
      </c>
      <c r="K443" s="5" t="str">
        <f>_xlfn.XLOOKUP($N443,'Base de Grupos'!$A:$A,'Base de Grupos'!$M:$M)</f>
        <v>HEMANUELE ROSA DITZEL</v>
      </c>
      <c r="L443" s="5" t="str">
        <f t="shared" si="185"/>
        <v/>
      </c>
      <c r="M443" s="5" t="str">
        <f>_xlfn.XLOOKUP($N443,'Base de Grupos'!$A:$A,'Base de Grupos'!$C:$C)</f>
        <v>PR</v>
      </c>
      <c r="N443" s="3">
        <v>1363</v>
      </c>
      <c r="O443" s="4" t="s">
        <v>248</v>
      </c>
      <c r="P443" s="5" t="s">
        <v>86</v>
      </c>
      <c r="Q443" s="24">
        <f>SUM(Q444:Q464)</f>
        <v>0</v>
      </c>
      <c r="R443" s="24">
        <f t="shared" ref="R443" si="208">SUM(R444:R464)</f>
        <v>0</v>
      </c>
      <c r="S443" s="24">
        <f t="shared" ref="S443" si="209">SUM(S444:S464)</f>
        <v>0</v>
      </c>
      <c r="T443" s="24">
        <f t="shared" ref="T443:AC443" si="210">SUM(T444:T464)</f>
        <v>0</v>
      </c>
      <c r="U443" s="24">
        <f t="shared" si="210"/>
        <v>0</v>
      </c>
      <c r="V443" s="24">
        <f t="shared" si="210"/>
        <v>0</v>
      </c>
      <c r="W443" s="24">
        <f t="shared" si="210"/>
        <v>0</v>
      </c>
      <c r="X443" s="24">
        <f t="shared" si="210"/>
        <v>0</v>
      </c>
      <c r="Y443" s="24">
        <f t="shared" si="210"/>
        <v>0</v>
      </c>
      <c r="Z443" s="24">
        <f t="shared" si="210"/>
        <v>0</v>
      </c>
      <c r="AA443" s="24">
        <f t="shared" si="210"/>
        <v>0</v>
      </c>
      <c r="AB443" s="24">
        <f t="shared" si="210"/>
        <v>0</v>
      </c>
      <c r="AC443" s="24">
        <f t="shared" si="210"/>
        <v>0</v>
      </c>
      <c r="AD443" s="27">
        <f t="shared" si="205"/>
        <v>0</v>
      </c>
      <c r="AE443" s="25">
        <f>IFERROR(_xlfn.XLOOKUP(N443&amp;P443,'Historico Vendas'!G:G,'Historico Vendas'!E:E),0)</f>
        <v>0</v>
      </c>
      <c r="AF443" s="29" t="str">
        <f t="shared" si="186"/>
        <v/>
      </c>
      <c r="AG443" s="24">
        <f>IFERROR(_xlfn.XLOOKUP(N443&amp;P443,'Historico Vendas'!G:G,'Historico Vendas'!F:F),0)</f>
        <v>0</v>
      </c>
      <c r="AH443" s="25">
        <f t="shared" si="206"/>
        <v>0</v>
      </c>
      <c r="AI443" s="24">
        <f t="shared" si="207"/>
        <v>0</v>
      </c>
      <c r="AJ443" s="11" t="str">
        <f t="shared" si="187"/>
        <v/>
      </c>
      <c r="AK443" s="9" t="s">
        <v>102</v>
      </c>
      <c r="AL443" s="13">
        <f>IFERROR(INDEX('Balizador da Meta'!$D$3:$F$23,MATCH(Quantidade!$P443,'Balizador da Meta'!$C$3:$C$23,0),MATCH(Quantidade!AK443,'Balizador da Meta'!$D$2:$F$2,0)),"")</f>
        <v>0.15</v>
      </c>
      <c r="AM443" s="9"/>
    </row>
    <row r="444" spans="1:39" x14ac:dyDescent="0.3">
      <c r="A444" s="2" t="str">
        <f t="shared" si="184"/>
        <v>NÃO</v>
      </c>
      <c r="B444" s="2" t="str">
        <f>_xlfn.XLOOKUP($N444,'Base de Grupos'!$A:$A,'Base de Grupos'!$D:$D)</f>
        <v>1000065763</v>
      </c>
      <c r="C444" s="5" t="str">
        <f>_xlfn.XLOOKUP($N444,'Base de Grupos'!$A:$A,'Base de Grupos'!$E:$E)</f>
        <v>CANAL VENDA INTERNA</v>
      </c>
      <c r="D444" s="5" t="str">
        <f>_xlfn.XLOOKUP($N444,'Base de Grupos'!$A:$A,'Base de Grupos'!$F:$F)</f>
        <v>1000065763</v>
      </c>
      <c r="E444" s="2" t="str">
        <f>_xlfn.XLOOKUP($N444,'Base de Grupos'!$A:$A,'Base de Grupos'!$G:$G)</f>
        <v>CANAL VENDA INTERNA</v>
      </c>
      <c r="F444" s="2" t="str">
        <f>_xlfn.XLOOKUP($N444,'Base de Grupos'!$A:$A,'Base de Grupos'!$H:$H)</f>
        <v>1000105896</v>
      </c>
      <c r="G444" s="5" t="str">
        <f>_xlfn.XLOOKUP($N444,'Base de Grupos'!$A:$A,'Base de Grupos'!$I:$I)</f>
        <v>REGIONAL VENDA DIRETA SUL</v>
      </c>
      <c r="H444" s="5" t="str">
        <f>_xlfn.XLOOKUP($N444,'Base de Grupos'!$A:$A,'Base de Grupos'!$J:$J)</f>
        <v>1000105896</v>
      </c>
      <c r="I444" s="2" t="str">
        <f>_xlfn.XLOOKUP($N444,'Base de Grupos'!$A:$A,'Base de Grupos'!$K:$K)</f>
        <v>REGIONAL VENDA DIRETA SUL</v>
      </c>
      <c r="J444" s="2" t="str">
        <f>_xlfn.XLOOKUP($N444,'Base de Grupos'!$A:$A,'Base de Grupos'!$L:$L)</f>
        <v>1000176426</v>
      </c>
      <c r="K444" s="5" t="str">
        <f>_xlfn.XLOOKUP($N444,'Base de Grupos'!$A:$A,'Base de Grupos'!$M:$M)</f>
        <v>HEMANUELE ROSA DITZEL</v>
      </c>
      <c r="L444" s="5" t="str">
        <f t="shared" si="185"/>
        <v/>
      </c>
      <c r="M444" s="5" t="str">
        <f>_xlfn.XLOOKUP($N444,'Base de Grupos'!$A:$A,'Base de Grupos'!$C:$C)</f>
        <v>PR</v>
      </c>
      <c r="N444" s="3">
        <v>1363</v>
      </c>
      <c r="O444" s="4" t="s">
        <v>248</v>
      </c>
      <c r="P444" s="5" t="s">
        <v>108</v>
      </c>
      <c r="Q444" s="24">
        <v>0</v>
      </c>
      <c r="R444" s="24">
        <v>0</v>
      </c>
      <c r="S444" s="24">
        <v>0</v>
      </c>
      <c r="T444" s="24">
        <v>0</v>
      </c>
      <c r="U444" s="24">
        <v>0</v>
      </c>
      <c r="V444" s="24">
        <v>0</v>
      </c>
      <c r="W444" s="24">
        <v>0</v>
      </c>
      <c r="X444" s="24">
        <v>0</v>
      </c>
      <c r="Y444" s="24">
        <v>0</v>
      </c>
      <c r="Z444" s="24">
        <v>0</v>
      </c>
      <c r="AA444" s="24">
        <v>0</v>
      </c>
      <c r="AB444" s="24">
        <v>0</v>
      </c>
      <c r="AC444" s="30">
        <f t="shared" ref="AC444:AC464" si="211">SUM(T444:AB444)</f>
        <v>0</v>
      </c>
      <c r="AD444" s="27">
        <f t="shared" si="205"/>
        <v>0</v>
      </c>
      <c r="AE444" s="25">
        <f>IFERROR(_xlfn.XLOOKUP(N444&amp;P444,'Historico Vendas'!G:G,'Historico Vendas'!E:E),0)</f>
        <v>0</v>
      </c>
      <c r="AF444" s="29" t="str">
        <f t="shared" si="186"/>
        <v/>
      </c>
      <c r="AG444" s="24">
        <f>IFERROR(_xlfn.XLOOKUP(N444&amp;P444,'Historico Vendas'!G:G,'Historico Vendas'!F:F),0)</f>
        <v>0</v>
      </c>
      <c r="AH444" s="25">
        <f t="shared" si="206"/>
        <v>0</v>
      </c>
      <c r="AI444" s="24">
        <f t="shared" si="207"/>
        <v>0</v>
      </c>
      <c r="AJ444" s="11" t="str">
        <f t="shared" si="187"/>
        <v/>
      </c>
      <c r="AK444" s="9" t="s">
        <v>102</v>
      </c>
      <c r="AL444" s="13">
        <f>IFERROR(INDEX('Balizador da Meta'!$D$3:$F$23,MATCH(Quantidade!$P444,'Balizador da Meta'!$C$3:$C$23,0),MATCH(Quantidade!AK444,'Balizador da Meta'!$D$2:$F$2,0)),"")</f>
        <v>0</v>
      </c>
      <c r="AM444" s="9"/>
    </row>
    <row r="445" spans="1:39" x14ac:dyDescent="0.3">
      <c r="A445" s="2" t="str">
        <f t="shared" si="184"/>
        <v>NÃO</v>
      </c>
      <c r="B445" s="2" t="str">
        <f>_xlfn.XLOOKUP($N445,'Base de Grupos'!$A:$A,'Base de Grupos'!$D:$D)</f>
        <v>1000065763</v>
      </c>
      <c r="C445" s="5" t="str">
        <f>_xlfn.XLOOKUP($N445,'Base de Grupos'!$A:$A,'Base de Grupos'!$E:$E)</f>
        <v>CANAL VENDA INTERNA</v>
      </c>
      <c r="D445" s="5" t="str">
        <f>_xlfn.XLOOKUP($N445,'Base de Grupos'!$A:$A,'Base de Grupos'!$F:$F)</f>
        <v>1000065763</v>
      </c>
      <c r="E445" s="2" t="str">
        <f>_xlfn.XLOOKUP($N445,'Base de Grupos'!$A:$A,'Base de Grupos'!$G:$G)</f>
        <v>CANAL VENDA INTERNA</v>
      </c>
      <c r="F445" s="2" t="str">
        <f>_xlfn.XLOOKUP($N445,'Base de Grupos'!$A:$A,'Base de Grupos'!$H:$H)</f>
        <v>1000105896</v>
      </c>
      <c r="G445" s="5" t="str">
        <f>_xlfn.XLOOKUP($N445,'Base de Grupos'!$A:$A,'Base de Grupos'!$I:$I)</f>
        <v>REGIONAL VENDA DIRETA SUL</v>
      </c>
      <c r="H445" s="5" t="str">
        <f>_xlfn.XLOOKUP($N445,'Base de Grupos'!$A:$A,'Base de Grupos'!$J:$J)</f>
        <v>1000105896</v>
      </c>
      <c r="I445" s="2" t="str">
        <f>_xlfn.XLOOKUP($N445,'Base de Grupos'!$A:$A,'Base de Grupos'!$K:$K)</f>
        <v>REGIONAL VENDA DIRETA SUL</v>
      </c>
      <c r="J445" s="2" t="str">
        <f>_xlfn.XLOOKUP($N445,'Base de Grupos'!$A:$A,'Base de Grupos'!$L:$L)</f>
        <v>1000176426</v>
      </c>
      <c r="K445" s="5" t="str">
        <f>_xlfn.XLOOKUP($N445,'Base de Grupos'!$A:$A,'Base de Grupos'!$M:$M)</f>
        <v>HEMANUELE ROSA DITZEL</v>
      </c>
      <c r="L445" s="5" t="str">
        <f t="shared" si="185"/>
        <v/>
      </c>
      <c r="M445" s="5" t="str">
        <f>_xlfn.XLOOKUP($N445,'Base de Grupos'!$A:$A,'Base de Grupos'!$C:$C)</f>
        <v>PR</v>
      </c>
      <c r="N445" s="3">
        <v>1363</v>
      </c>
      <c r="O445" s="4" t="s">
        <v>248</v>
      </c>
      <c r="P445" s="5" t="s">
        <v>89</v>
      </c>
      <c r="Q445" s="24">
        <v>0</v>
      </c>
      <c r="R445" s="24">
        <v>0</v>
      </c>
      <c r="S445" s="24">
        <v>0</v>
      </c>
      <c r="T445" s="24">
        <v>0</v>
      </c>
      <c r="U445" s="24">
        <v>0</v>
      </c>
      <c r="V445" s="24">
        <v>0</v>
      </c>
      <c r="W445" s="24">
        <v>0</v>
      </c>
      <c r="X445" s="24">
        <v>0</v>
      </c>
      <c r="Y445" s="24">
        <v>0</v>
      </c>
      <c r="Z445" s="24">
        <v>0</v>
      </c>
      <c r="AA445" s="24">
        <v>0</v>
      </c>
      <c r="AB445" s="24">
        <v>0</v>
      </c>
      <c r="AC445" s="30">
        <f t="shared" si="211"/>
        <v>0</v>
      </c>
      <c r="AD445" s="27">
        <f t="shared" si="205"/>
        <v>0</v>
      </c>
      <c r="AE445" s="25">
        <f>IFERROR(_xlfn.XLOOKUP(N445&amp;P445,'Historico Vendas'!G:G,'Historico Vendas'!E:E),0)</f>
        <v>0</v>
      </c>
      <c r="AF445" s="29" t="str">
        <f t="shared" si="186"/>
        <v/>
      </c>
      <c r="AG445" s="24">
        <f>IFERROR(_xlfn.XLOOKUP(N445&amp;P445,'Historico Vendas'!G:G,'Historico Vendas'!F:F),0)</f>
        <v>0</v>
      </c>
      <c r="AH445" s="25">
        <f t="shared" si="206"/>
        <v>0</v>
      </c>
      <c r="AI445" s="24">
        <f t="shared" si="207"/>
        <v>0</v>
      </c>
      <c r="AJ445" s="11" t="str">
        <f t="shared" si="187"/>
        <v/>
      </c>
      <c r="AK445" s="9" t="s">
        <v>102</v>
      </c>
      <c r="AL445" s="13">
        <f>IFERROR(INDEX('Balizador da Meta'!$D$3:$F$23,MATCH(Quantidade!$P445,'Balizador da Meta'!$C$3:$C$23,0),MATCH(Quantidade!AK445,'Balizador da Meta'!$D$2:$F$2,0)),"")</f>
        <v>0.25</v>
      </c>
      <c r="AM445" s="9"/>
    </row>
    <row r="446" spans="1:39" x14ac:dyDescent="0.3">
      <c r="A446" s="2" t="str">
        <f t="shared" si="184"/>
        <v>NÃO</v>
      </c>
      <c r="B446" s="2" t="str">
        <f>_xlfn.XLOOKUP($N446,'Base de Grupos'!$A:$A,'Base de Grupos'!$D:$D)</f>
        <v>1000065763</v>
      </c>
      <c r="C446" s="5" t="str">
        <f>_xlfn.XLOOKUP($N446,'Base de Grupos'!$A:$A,'Base de Grupos'!$E:$E)</f>
        <v>CANAL VENDA INTERNA</v>
      </c>
      <c r="D446" s="5" t="str">
        <f>_xlfn.XLOOKUP($N446,'Base de Grupos'!$A:$A,'Base de Grupos'!$F:$F)</f>
        <v>1000065763</v>
      </c>
      <c r="E446" s="2" t="str">
        <f>_xlfn.XLOOKUP($N446,'Base de Grupos'!$A:$A,'Base de Grupos'!$G:$G)</f>
        <v>CANAL VENDA INTERNA</v>
      </c>
      <c r="F446" s="2" t="str">
        <f>_xlfn.XLOOKUP($N446,'Base de Grupos'!$A:$A,'Base de Grupos'!$H:$H)</f>
        <v>1000105896</v>
      </c>
      <c r="G446" s="5" t="str">
        <f>_xlfn.XLOOKUP($N446,'Base de Grupos'!$A:$A,'Base de Grupos'!$I:$I)</f>
        <v>REGIONAL VENDA DIRETA SUL</v>
      </c>
      <c r="H446" s="5" t="str">
        <f>_xlfn.XLOOKUP($N446,'Base de Grupos'!$A:$A,'Base de Grupos'!$J:$J)</f>
        <v>1000105896</v>
      </c>
      <c r="I446" s="2" t="str">
        <f>_xlfn.XLOOKUP($N446,'Base de Grupos'!$A:$A,'Base de Grupos'!$K:$K)</f>
        <v>REGIONAL VENDA DIRETA SUL</v>
      </c>
      <c r="J446" s="2" t="str">
        <f>_xlfn.XLOOKUP($N446,'Base de Grupos'!$A:$A,'Base de Grupos'!$L:$L)</f>
        <v>1000176426</v>
      </c>
      <c r="K446" s="5" t="str">
        <f>_xlfn.XLOOKUP($N446,'Base de Grupos'!$A:$A,'Base de Grupos'!$M:$M)</f>
        <v>HEMANUELE ROSA DITZEL</v>
      </c>
      <c r="L446" s="5" t="str">
        <f t="shared" si="185"/>
        <v/>
      </c>
      <c r="M446" s="5" t="str">
        <f>_xlfn.XLOOKUP($N446,'Base de Grupos'!$A:$A,'Base de Grupos'!$C:$C)</f>
        <v>PR</v>
      </c>
      <c r="N446" s="3">
        <v>1363</v>
      </c>
      <c r="O446" s="4" t="s">
        <v>248</v>
      </c>
      <c r="P446" s="5" t="s">
        <v>88</v>
      </c>
      <c r="Q446" s="24">
        <v>0</v>
      </c>
      <c r="R446" s="24">
        <v>0</v>
      </c>
      <c r="S446" s="24">
        <v>0</v>
      </c>
      <c r="T446" s="24">
        <v>0</v>
      </c>
      <c r="U446" s="24">
        <v>0</v>
      </c>
      <c r="V446" s="24">
        <v>0</v>
      </c>
      <c r="W446" s="24">
        <v>0</v>
      </c>
      <c r="X446" s="24">
        <v>0</v>
      </c>
      <c r="Y446" s="24">
        <v>0</v>
      </c>
      <c r="Z446" s="24">
        <v>0</v>
      </c>
      <c r="AA446" s="24">
        <v>0</v>
      </c>
      <c r="AB446" s="24">
        <v>0</v>
      </c>
      <c r="AC446" s="30">
        <f t="shared" si="211"/>
        <v>0</v>
      </c>
      <c r="AD446" s="27">
        <f t="shared" si="205"/>
        <v>0</v>
      </c>
      <c r="AE446" s="25">
        <f>IFERROR(_xlfn.XLOOKUP(N446&amp;P446,'Historico Vendas'!G:G,'Historico Vendas'!E:E),0)</f>
        <v>0</v>
      </c>
      <c r="AF446" s="29" t="str">
        <f t="shared" si="186"/>
        <v/>
      </c>
      <c r="AG446" s="24">
        <f>IFERROR(_xlfn.XLOOKUP(N446&amp;P446,'Historico Vendas'!G:G,'Historico Vendas'!F:F),0)</f>
        <v>0</v>
      </c>
      <c r="AH446" s="25">
        <f t="shared" si="206"/>
        <v>0</v>
      </c>
      <c r="AI446" s="24">
        <f t="shared" si="207"/>
        <v>0</v>
      </c>
      <c r="AJ446" s="11" t="str">
        <f t="shared" si="187"/>
        <v/>
      </c>
      <c r="AK446" s="9" t="s">
        <v>102</v>
      </c>
      <c r="AL446" s="13">
        <f>IFERROR(INDEX('Balizador da Meta'!$D$3:$F$23,MATCH(Quantidade!$P446,'Balizador da Meta'!$C$3:$C$23,0),MATCH(Quantidade!AK446,'Balizador da Meta'!$D$2:$F$2,0)),"")</f>
        <v>0</v>
      </c>
      <c r="AM446" s="9"/>
    </row>
    <row r="447" spans="1:39" x14ac:dyDescent="0.3">
      <c r="A447" s="2" t="str">
        <f t="shared" si="184"/>
        <v>NÃO</v>
      </c>
      <c r="B447" s="2" t="str">
        <f>_xlfn.XLOOKUP($N447,'Base de Grupos'!$A:$A,'Base de Grupos'!$D:$D)</f>
        <v>1000065763</v>
      </c>
      <c r="C447" s="5" t="str">
        <f>_xlfn.XLOOKUP($N447,'Base de Grupos'!$A:$A,'Base de Grupos'!$E:$E)</f>
        <v>CANAL VENDA INTERNA</v>
      </c>
      <c r="D447" s="5" t="str">
        <f>_xlfn.XLOOKUP($N447,'Base de Grupos'!$A:$A,'Base de Grupos'!$F:$F)</f>
        <v>1000065763</v>
      </c>
      <c r="E447" s="2" t="str">
        <f>_xlfn.XLOOKUP($N447,'Base de Grupos'!$A:$A,'Base de Grupos'!$G:$G)</f>
        <v>CANAL VENDA INTERNA</v>
      </c>
      <c r="F447" s="2" t="str">
        <f>_xlfn.XLOOKUP($N447,'Base de Grupos'!$A:$A,'Base de Grupos'!$H:$H)</f>
        <v>1000105896</v>
      </c>
      <c r="G447" s="5" t="str">
        <f>_xlfn.XLOOKUP($N447,'Base de Grupos'!$A:$A,'Base de Grupos'!$I:$I)</f>
        <v>REGIONAL VENDA DIRETA SUL</v>
      </c>
      <c r="H447" s="5" t="str">
        <f>_xlfn.XLOOKUP($N447,'Base de Grupos'!$A:$A,'Base de Grupos'!$J:$J)</f>
        <v>1000105896</v>
      </c>
      <c r="I447" s="2" t="str">
        <f>_xlfn.XLOOKUP($N447,'Base de Grupos'!$A:$A,'Base de Grupos'!$K:$K)</f>
        <v>REGIONAL VENDA DIRETA SUL</v>
      </c>
      <c r="J447" s="2" t="str">
        <f>_xlfn.XLOOKUP($N447,'Base de Grupos'!$A:$A,'Base de Grupos'!$L:$L)</f>
        <v>1000176426</v>
      </c>
      <c r="K447" s="5" t="str">
        <f>_xlfn.XLOOKUP($N447,'Base de Grupos'!$A:$A,'Base de Grupos'!$M:$M)</f>
        <v>HEMANUELE ROSA DITZEL</v>
      </c>
      <c r="L447" s="5" t="str">
        <f t="shared" si="185"/>
        <v/>
      </c>
      <c r="M447" s="5" t="str">
        <f>_xlfn.XLOOKUP($N447,'Base de Grupos'!$A:$A,'Base de Grupos'!$C:$C)</f>
        <v>PR</v>
      </c>
      <c r="N447" s="3">
        <v>1363</v>
      </c>
      <c r="O447" s="4" t="s">
        <v>248</v>
      </c>
      <c r="P447" s="5" t="s">
        <v>90</v>
      </c>
      <c r="Q447" s="24">
        <v>0</v>
      </c>
      <c r="R447" s="24">
        <v>0</v>
      </c>
      <c r="S447" s="24">
        <v>0</v>
      </c>
      <c r="T447" s="24">
        <v>0</v>
      </c>
      <c r="U447" s="24">
        <v>0</v>
      </c>
      <c r="V447" s="24">
        <v>0</v>
      </c>
      <c r="W447" s="24">
        <v>0</v>
      </c>
      <c r="X447" s="24">
        <v>0</v>
      </c>
      <c r="Y447" s="24">
        <v>0</v>
      </c>
      <c r="Z447" s="24">
        <v>0</v>
      </c>
      <c r="AA447" s="24">
        <v>0</v>
      </c>
      <c r="AB447" s="24">
        <v>0</v>
      </c>
      <c r="AC447" s="30">
        <f t="shared" si="211"/>
        <v>0</v>
      </c>
      <c r="AD447" s="27">
        <f t="shared" si="205"/>
        <v>0</v>
      </c>
      <c r="AE447" s="25">
        <f>IFERROR(_xlfn.XLOOKUP(N447&amp;P447,'Historico Vendas'!G:G,'Historico Vendas'!E:E),0)</f>
        <v>0</v>
      </c>
      <c r="AF447" s="29" t="str">
        <f t="shared" si="186"/>
        <v/>
      </c>
      <c r="AG447" s="24">
        <f>IFERROR(_xlfn.XLOOKUP(N447&amp;P447,'Historico Vendas'!G:G,'Historico Vendas'!F:F),0)</f>
        <v>0</v>
      </c>
      <c r="AH447" s="25">
        <f t="shared" si="206"/>
        <v>0</v>
      </c>
      <c r="AI447" s="24">
        <f t="shared" si="207"/>
        <v>0</v>
      </c>
      <c r="AJ447" s="11" t="str">
        <f t="shared" si="187"/>
        <v/>
      </c>
      <c r="AK447" s="9" t="s">
        <v>102</v>
      </c>
      <c r="AL447" s="13">
        <f>IFERROR(INDEX('Balizador da Meta'!$D$3:$F$23,MATCH(Quantidade!$P447,'Balizador da Meta'!$C$3:$C$23,0),MATCH(Quantidade!AK447,'Balizador da Meta'!$D$2:$F$2,0)),"")</f>
        <v>0</v>
      </c>
      <c r="AM447" s="9"/>
    </row>
    <row r="448" spans="1:39" x14ac:dyDescent="0.3">
      <c r="A448" s="2" t="str">
        <f t="shared" si="184"/>
        <v>NÃO</v>
      </c>
      <c r="B448" s="2" t="str">
        <f>_xlfn.XLOOKUP($N448,'Base de Grupos'!$A:$A,'Base de Grupos'!$D:$D)</f>
        <v>1000065763</v>
      </c>
      <c r="C448" s="5" t="str">
        <f>_xlfn.XLOOKUP($N448,'Base de Grupos'!$A:$A,'Base de Grupos'!$E:$E)</f>
        <v>CANAL VENDA INTERNA</v>
      </c>
      <c r="D448" s="5" t="str">
        <f>_xlfn.XLOOKUP($N448,'Base de Grupos'!$A:$A,'Base de Grupos'!$F:$F)</f>
        <v>1000065763</v>
      </c>
      <c r="E448" s="2" t="str">
        <f>_xlfn.XLOOKUP($N448,'Base de Grupos'!$A:$A,'Base de Grupos'!$G:$G)</f>
        <v>CANAL VENDA INTERNA</v>
      </c>
      <c r="F448" s="2" t="str">
        <f>_xlfn.XLOOKUP($N448,'Base de Grupos'!$A:$A,'Base de Grupos'!$H:$H)</f>
        <v>1000105896</v>
      </c>
      <c r="G448" s="5" t="str">
        <f>_xlfn.XLOOKUP($N448,'Base de Grupos'!$A:$A,'Base de Grupos'!$I:$I)</f>
        <v>REGIONAL VENDA DIRETA SUL</v>
      </c>
      <c r="H448" s="5" t="str">
        <f>_xlfn.XLOOKUP($N448,'Base de Grupos'!$A:$A,'Base de Grupos'!$J:$J)</f>
        <v>1000105896</v>
      </c>
      <c r="I448" s="2" t="str">
        <f>_xlfn.XLOOKUP($N448,'Base de Grupos'!$A:$A,'Base de Grupos'!$K:$K)</f>
        <v>REGIONAL VENDA DIRETA SUL</v>
      </c>
      <c r="J448" s="2" t="str">
        <f>_xlfn.XLOOKUP($N448,'Base de Grupos'!$A:$A,'Base de Grupos'!$L:$L)</f>
        <v>1000176426</v>
      </c>
      <c r="K448" s="5" t="str">
        <f>_xlfn.XLOOKUP($N448,'Base de Grupos'!$A:$A,'Base de Grupos'!$M:$M)</f>
        <v>HEMANUELE ROSA DITZEL</v>
      </c>
      <c r="L448" s="5" t="str">
        <f t="shared" si="185"/>
        <v/>
      </c>
      <c r="M448" s="5" t="str">
        <f>_xlfn.XLOOKUP($N448,'Base de Grupos'!$A:$A,'Base de Grupos'!$C:$C)</f>
        <v>PR</v>
      </c>
      <c r="N448" s="3">
        <v>1363</v>
      </c>
      <c r="O448" s="4" t="s">
        <v>248</v>
      </c>
      <c r="P448" s="5" t="s">
        <v>91</v>
      </c>
      <c r="Q448" s="24">
        <v>0</v>
      </c>
      <c r="R448" s="24">
        <v>0</v>
      </c>
      <c r="S448" s="24">
        <v>0</v>
      </c>
      <c r="T448" s="24">
        <v>0</v>
      </c>
      <c r="U448" s="24">
        <v>0</v>
      </c>
      <c r="V448" s="24">
        <v>0</v>
      </c>
      <c r="W448" s="24">
        <v>0</v>
      </c>
      <c r="X448" s="24">
        <v>0</v>
      </c>
      <c r="Y448" s="24">
        <v>0</v>
      </c>
      <c r="Z448" s="24">
        <v>0</v>
      </c>
      <c r="AA448" s="24">
        <v>0</v>
      </c>
      <c r="AB448" s="24">
        <v>0</v>
      </c>
      <c r="AC448" s="30">
        <f t="shared" si="211"/>
        <v>0</v>
      </c>
      <c r="AD448" s="27">
        <f t="shared" si="205"/>
        <v>0</v>
      </c>
      <c r="AE448" s="25">
        <f>IFERROR(_xlfn.XLOOKUP(N448&amp;P448,'Historico Vendas'!G:G,'Historico Vendas'!E:E),0)</f>
        <v>0</v>
      </c>
      <c r="AF448" s="29" t="str">
        <f t="shared" si="186"/>
        <v/>
      </c>
      <c r="AG448" s="24">
        <f>IFERROR(_xlfn.XLOOKUP(N448&amp;P448,'Historico Vendas'!G:G,'Historico Vendas'!F:F),0)</f>
        <v>0</v>
      </c>
      <c r="AH448" s="25">
        <f t="shared" si="206"/>
        <v>0</v>
      </c>
      <c r="AI448" s="24">
        <f t="shared" si="207"/>
        <v>0</v>
      </c>
      <c r="AJ448" s="11" t="str">
        <f t="shared" si="187"/>
        <v/>
      </c>
      <c r="AK448" s="9" t="s">
        <v>102</v>
      </c>
      <c r="AL448" s="13">
        <f>IFERROR(INDEX('Balizador da Meta'!$D$3:$F$23,MATCH(Quantidade!$P448,'Balizador da Meta'!$C$3:$C$23,0),MATCH(Quantidade!AK448,'Balizador da Meta'!$D$2:$F$2,0)),"")</f>
        <v>0</v>
      </c>
      <c r="AM448" s="9"/>
    </row>
    <row r="449" spans="1:39" x14ac:dyDescent="0.3">
      <c r="A449" s="2" t="str">
        <f t="shared" si="184"/>
        <v>NÃO</v>
      </c>
      <c r="B449" s="2" t="str">
        <f>_xlfn.XLOOKUP($N449,'Base de Grupos'!$A:$A,'Base de Grupos'!$D:$D)</f>
        <v>1000065763</v>
      </c>
      <c r="C449" s="5" t="str">
        <f>_xlfn.XLOOKUP($N449,'Base de Grupos'!$A:$A,'Base de Grupos'!$E:$E)</f>
        <v>CANAL VENDA INTERNA</v>
      </c>
      <c r="D449" s="5" t="str">
        <f>_xlfn.XLOOKUP($N449,'Base de Grupos'!$A:$A,'Base de Grupos'!$F:$F)</f>
        <v>1000065763</v>
      </c>
      <c r="E449" s="2" t="str">
        <f>_xlfn.XLOOKUP($N449,'Base de Grupos'!$A:$A,'Base de Grupos'!$G:$G)</f>
        <v>CANAL VENDA INTERNA</v>
      </c>
      <c r="F449" s="2" t="str">
        <f>_xlfn.XLOOKUP($N449,'Base de Grupos'!$A:$A,'Base de Grupos'!$H:$H)</f>
        <v>1000105896</v>
      </c>
      <c r="G449" s="5" t="str">
        <f>_xlfn.XLOOKUP($N449,'Base de Grupos'!$A:$A,'Base de Grupos'!$I:$I)</f>
        <v>REGIONAL VENDA DIRETA SUL</v>
      </c>
      <c r="H449" s="5" t="str">
        <f>_xlfn.XLOOKUP($N449,'Base de Grupos'!$A:$A,'Base de Grupos'!$J:$J)</f>
        <v>1000105896</v>
      </c>
      <c r="I449" s="2" t="str">
        <f>_xlfn.XLOOKUP($N449,'Base de Grupos'!$A:$A,'Base de Grupos'!$K:$K)</f>
        <v>REGIONAL VENDA DIRETA SUL</v>
      </c>
      <c r="J449" s="2" t="str">
        <f>_xlfn.XLOOKUP($N449,'Base de Grupos'!$A:$A,'Base de Grupos'!$L:$L)</f>
        <v>1000176426</v>
      </c>
      <c r="K449" s="5" t="str">
        <f>_xlfn.XLOOKUP($N449,'Base de Grupos'!$A:$A,'Base de Grupos'!$M:$M)</f>
        <v>HEMANUELE ROSA DITZEL</v>
      </c>
      <c r="L449" s="5" t="str">
        <f t="shared" si="185"/>
        <v/>
      </c>
      <c r="M449" s="5" t="str">
        <f>_xlfn.XLOOKUP($N449,'Base de Grupos'!$A:$A,'Base de Grupos'!$C:$C)</f>
        <v>PR</v>
      </c>
      <c r="N449" s="3">
        <v>1363</v>
      </c>
      <c r="O449" s="4" t="s">
        <v>248</v>
      </c>
      <c r="P449" s="5" t="s">
        <v>96</v>
      </c>
      <c r="Q449" s="24">
        <v>0</v>
      </c>
      <c r="R449" s="24">
        <v>0</v>
      </c>
      <c r="S449" s="24">
        <v>0</v>
      </c>
      <c r="T449" s="24">
        <v>0</v>
      </c>
      <c r="U449" s="24">
        <v>0</v>
      </c>
      <c r="V449" s="24">
        <v>0</v>
      </c>
      <c r="W449" s="24">
        <v>0</v>
      </c>
      <c r="X449" s="24">
        <v>0</v>
      </c>
      <c r="Y449" s="24">
        <v>0</v>
      </c>
      <c r="Z449" s="24">
        <v>0</v>
      </c>
      <c r="AA449" s="24">
        <v>0</v>
      </c>
      <c r="AB449" s="24">
        <v>0</v>
      </c>
      <c r="AC449" s="30">
        <f t="shared" si="211"/>
        <v>0</v>
      </c>
      <c r="AD449" s="27">
        <f t="shared" si="205"/>
        <v>0</v>
      </c>
      <c r="AE449" s="25">
        <f>IFERROR(_xlfn.XLOOKUP(N449&amp;P449,'Historico Vendas'!G:G,'Historico Vendas'!E:E),0)</f>
        <v>0</v>
      </c>
      <c r="AF449" s="29" t="str">
        <f t="shared" si="186"/>
        <v/>
      </c>
      <c r="AG449" s="24">
        <f>IFERROR(_xlfn.XLOOKUP(N449&amp;P449,'Historico Vendas'!G:G,'Historico Vendas'!F:F),0)</f>
        <v>0</v>
      </c>
      <c r="AH449" s="25">
        <f t="shared" si="206"/>
        <v>0</v>
      </c>
      <c r="AI449" s="24">
        <f t="shared" si="207"/>
        <v>0</v>
      </c>
      <c r="AJ449" s="11" t="str">
        <f t="shared" si="187"/>
        <v/>
      </c>
      <c r="AK449" s="9" t="s">
        <v>102</v>
      </c>
      <c r="AL449" s="13">
        <f>IFERROR(INDEX('Balizador da Meta'!$D$3:$F$23,MATCH(Quantidade!$P449,'Balizador da Meta'!$C$3:$C$23,0),MATCH(Quantidade!AK449,'Balizador da Meta'!$D$2:$F$2,0)),"")</f>
        <v>0</v>
      </c>
      <c r="AM449" s="9"/>
    </row>
    <row r="450" spans="1:39" x14ac:dyDescent="0.3">
      <c r="A450" s="2" t="str">
        <f t="shared" si="184"/>
        <v>NÃO</v>
      </c>
      <c r="B450" s="2" t="str">
        <f>_xlfn.XLOOKUP($N450,'Base de Grupos'!$A:$A,'Base de Grupos'!$D:$D)</f>
        <v>1000065763</v>
      </c>
      <c r="C450" s="5" t="str">
        <f>_xlfn.XLOOKUP($N450,'Base de Grupos'!$A:$A,'Base de Grupos'!$E:$E)</f>
        <v>CANAL VENDA INTERNA</v>
      </c>
      <c r="D450" s="5" t="str">
        <f>_xlfn.XLOOKUP($N450,'Base de Grupos'!$A:$A,'Base de Grupos'!$F:$F)</f>
        <v>1000065763</v>
      </c>
      <c r="E450" s="2" t="str">
        <f>_xlfn.XLOOKUP($N450,'Base de Grupos'!$A:$A,'Base de Grupos'!$G:$G)</f>
        <v>CANAL VENDA INTERNA</v>
      </c>
      <c r="F450" s="2" t="str">
        <f>_xlfn.XLOOKUP($N450,'Base de Grupos'!$A:$A,'Base de Grupos'!$H:$H)</f>
        <v>1000105896</v>
      </c>
      <c r="G450" s="5" t="str">
        <f>_xlfn.XLOOKUP($N450,'Base de Grupos'!$A:$A,'Base de Grupos'!$I:$I)</f>
        <v>REGIONAL VENDA DIRETA SUL</v>
      </c>
      <c r="H450" s="5" t="str">
        <f>_xlfn.XLOOKUP($N450,'Base de Grupos'!$A:$A,'Base de Grupos'!$J:$J)</f>
        <v>1000105896</v>
      </c>
      <c r="I450" s="2" t="str">
        <f>_xlfn.XLOOKUP($N450,'Base de Grupos'!$A:$A,'Base de Grupos'!$K:$K)</f>
        <v>REGIONAL VENDA DIRETA SUL</v>
      </c>
      <c r="J450" s="2" t="str">
        <f>_xlfn.XLOOKUP($N450,'Base de Grupos'!$A:$A,'Base de Grupos'!$L:$L)</f>
        <v>1000176426</v>
      </c>
      <c r="K450" s="5" t="str">
        <f>_xlfn.XLOOKUP($N450,'Base de Grupos'!$A:$A,'Base de Grupos'!$M:$M)</f>
        <v>HEMANUELE ROSA DITZEL</v>
      </c>
      <c r="L450" s="5" t="str">
        <f t="shared" si="185"/>
        <v/>
      </c>
      <c r="M450" s="5" t="str">
        <f>_xlfn.XLOOKUP($N450,'Base de Grupos'!$A:$A,'Base de Grupos'!$C:$C)</f>
        <v>PR</v>
      </c>
      <c r="N450" s="3">
        <v>1363</v>
      </c>
      <c r="O450" s="4" t="s">
        <v>248</v>
      </c>
      <c r="P450" s="5" t="s">
        <v>94</v>
      </c>
      <c r="Q450" s="24">
        <v>0</v>
      </c>
      <c r="R450" s="24">
        <v>0</v>
      </c>
      <c r="S450" s="24">
        <v>0</v>
      </c>
      <c r="T450" s="24">
        <v>0</v>
      </c>
      <c r="U450" s="24">
        <v>0</v>
      </c>
      <c r="V450" s="24">
        <v>0</v>
      </c>
      <c r="W450" s="24">
        <v>0</v>
      </c>
      <c r="X450" s="24">
        <v>0</v>
      </c>
      <c r="Y450" s="24">
        <v>0</v>
      </c>
      <c r="Z450" s="24">
        <v>0</v>
      </c>
      <c r="AA450" s="24">
        <v>0</v>
      </c>
      <c r="AB450" s="24">
        <v>0</v>
      </c>
      <c r="AC450" s="30">
        <f t="shared" si="211"/>
        <v>0</v>
      </c>
      <c r="AD450" s="27">
        <f t="shared" si="205"/>
        <v>0</v>
      </c>
      <c r="AE450" s="25">
        <f>IFERROR(_xlfn.XLOOKUP(N450&amp;P450,'Historico Vendas'!G:G,'Historico Vendas'!E:E),0)</f>
        <v>0</v>
      </c>
      <c r="AF450" s="29" t="str">
        <f t="shared" si="186"/>
        <v/>
      </c>
      <c r="AG450" s="24">
        <f>IFERROR(_xlfn.XLOOKUP(N450&amp;P450,'Historico Vendas'!G:G,'Historico Vendas'!F:F),0)</f>
        <v>0</v>
      </c>
      <c r="AH450" s="25">
        <f t="shared" si="206"/>
        <v>0</v>
      </c>
      <c r="AI450" s="24">
        <f t="shared" si="207"/>
        <v>0</v>
      </c>
      <c r="AJ450" s="11" t="str">
        <f t="shared" si="187"/>
        <v/>
      </c>
      <c r="AK450" s="9" t="s">
        <v>102</v>
      </c>
      <c r="AL450" s="13">
        <f>IFERROR(INDEX('Balizador da Meta'!$D$3:$F$23,MATCH(Quantidade!$P450,'Balizador da Meta'!$C$3:$C$23,0),MATCH(Quantidade!AK450,'Balizador da Meta'!$D$2:$F$2,0)),"")</f>
        <v>0.25</v>
      </c>
      <c r="AM450" s="9"/>
    </row>
    <row r="451" spans="1:39" x14ac:dyDescent="0.3">
      <c r="A451" s="2" t="str">
        <f t="shared" ref="A451:A514" si="212">IF(L451=1,"SIM","NÃO")</f>
        <v>NÃO</v>
      </c>
      <c r="B451" s="2" t="str">
        <f>_xlfn.XLOOKUP($N451,'Base de Grupos'!$A:$A,'Base de Grupos'!$D:$D)</f>
        <v>1000065763</v>
      </c>
      <c r="C451" s="5" t="str">
        <f>_xlfn.XLOOKUP($N451,'Base de Grupos'!$A:$A,'Base de Grupos'!$E:$E)</f>
        <v>CANAL VENDA INTERNA</v>
      </c>
      <c r="D451" s="5" t="str">
        <f>_xlfn.XLOOKUP($N451,'Base de Grupos'!$A:$A,'Base de Grupos'!$F:$F)</f>
        <v>1000065763</v>
      </c>
      <c r="E451" s="2" t="str">
        <f>_xlfn.XLOOKUP($N451,'Base de Grupos'!$A:$A,'Base de Grupos'!$G:$G)</f>
        <v>CANAL VENDA INTERNA</v>
      </c>
      <c r="F451" s="2" t="str">
        <f>_xlfn.XLOOKUP($N451,'Base de Grupos'!$A:$A,'Base de Grupos'!$H:$H)</f>
        <v>1000105896</v>
      </c>
      <c r="G451" s="5" t="str">
        <f>_xlfn.XLOOKUP($N451,'Base de Grupos'!$A:$A,'Base de Grupos'!$I:$I)</f>
        <v>REGIONAL VENDA DIRETA SUL</v>
      </c>
      <c r="H451" s="5" t="str">
        <f>_xlfn.XLOOKUP($N451,'Base de Grupos'!$A:$A,'Base de Grupos'!$J:$J)</f>
        <v>1000105896</v>
      </c>
      <c r="I451" s="2" t="str">
        <f>_xlfn.XLOOKUP($N451,'Base de Grupos'!$A:$A,'Base de Grupos'!$K:$K)</f>
        <v>REGIONAL VENDA DIRETA SUL</v>
      </c>
      <c r="J451" s="2" t="str">
        <f>_xlfn.XLOOKUP($N451,'Base de Grupos'!$A:$A,'Base de Grupos'!$L:$L)</f>
        <v>1000176426</v>
      </c>
      <c r="K451" s="5" t="str">
        <f>_xlfn.XLOOKUP($N451,'Base de Grupos'!$A:$A,'Base de Grupos'!$M:$M)</f>
        <v>HEMANUELE ROSA DITZEL</v>
      </c>
      <c r="L451" s="5" t="str">
        <f t="shared" ref="L451:L514" si="213">IF(N451&lt;&gt;N450,1,"")</f>
        <v/>
      </c>
      <c r="M451" s="5" t="str">
        <f>_xlfn.XLOOKUP($N451,'Base de Grupos'!$A:$A,'Base de Grupos'!$C:$C)</f>
        <v>PR</v>
      </c>
      <c r="N451" s="3">
        <v>1363</v>
      </c>
      <c r="O451" s="4" t="s">
        <v>248</v>
      </c>
      <c r="P451" s="5" t="s">
        <v>95</v>
      </c>
      <c r="Q451" s="24">
        <v>0</v>
      </c>
      <c r="R451" s="24">
        <v>0</v>
      </c>
      <c r="S451" s="24">
        <v>0</v>
      </c>
      <c r="T451" s="24">
        <v>0</v>
      </c>
      <c r="U451" s="24">
        <v>0</v>
      </c>
      <c r="V451" s="24">
        <v>0</v>
      </c>
      <c r="W451" s="24">
        <v>0</v>
      </c>
      <c r="X451" s="24">
        <v>0</v>
      </c>
      <c r="Y451" s="24">
        <v>0</v>
      </c>
      <c r="Z451" s="24">
        <v>0</v>
      </c>
      <c r="AA451" s="24">
        <v>0</v>
      </c>
      <c r="AB451" s="24">
        <v>0</v>
      </c>
      <c r="AC451" s="30">
        <f t="shared" si="211"/>
        <v>0</v>
      </c>
      <c r="AD451" s="27">
        <f t="shared" si="205"/>
        <v>0</v>
      </c>
      <c r="AE451" s="25">
        <f>IFERROR(_xlfn.XLOOKUP(N451&amp;P451,'Historico Vendas'!G:G,'Historico Vendas'!E:E),0)</f>
        <v>0</v>
      </c>
      <c r="AF451" s="29" t="str">
        <f t="shared" ref="AF451:AF514" si="214">IFERROR((AC451-AE451)/AE451,"")</f>
        <v/>
      </c>
      <c r="AG451" s="24">
        <f>IFERROR(_xlfn.XLOOKUP(N451&amp;P451,'Historico Vendas'!G:G,'Historico Vendas'!F:F),0)</f>
        <v>0</v>
      </c>
      <c r="AH451" s="25">
        <f t="shared" si="206"/>
        <v>0</v>
      </c>
      <c r="AI451" s="24">
        <f t="shared" si="207"/>
        <v>0</v>
      </c>
      <c r="AJ451" s="11" t="str">
        <f t="shared" ref="AJ451:AJ514" si="215">IFERROR(AG451/AH451,"")</f>
        <v/>
      </c>
      <c r="AK451" s="9" t="s">
        <v>102</v>
      </c>
      <c r="AL451" s="13">
        <f>IFERROR(INDEX('Balizador da Meta'!$D$3:$F$23,MATCH(Quantidade!$P451,'Balizador da Meta'!$C$3:$C$23,0),MATCH(Quantidade!AK451,'Balizador da Meta'!$D$2:$F$2,0)),"")</f>
        <v>0.25</v>
      </c>
      <c r="AM451" s="9"/>
    </row>
    <row r="452" spans="1:39" x14ac:dyDescent="0.3">
      <c r="A452" s="2" t="str">
        <f t="shared" si="212"/>
        <v>NÃO</v>
      </c>
      <c r="B452" s="2" t="str">
        <f>_xlfn.XLOOKUP($N452,'Base de Grupos'!$A:$A,'Base de Grupos'!$D:$D)</f>
        <v>1000065763</v>
      </c>
      <c r="C452" s="5" t="str">
        <f>_xlfn.XLOOKUP($N452,'Base de Grupos'!$A:$A,'Base de Grupos'!$E:$E)</f>
        <v>CANAL VENDA INTERNA</v>
      </c>
      <c r="D452" s="5" t="str">
        <f>_xlfn.XLOOKUP($N452,'Base de Grupos'!$A:$A,'Base de Grupos'!$F:$F)</f>
        <v>1000065763</v>
      </c>
      <c r="E452" s="2" t="str">
        <f>_xlfn.XLOOKUP($N452,'Base de Grupos'!$A:$A,'Base de Grupos'!$G:$G)</f>
        <v>CANAL VENDA INTERNA</v>
      </c>
      <c r="F452" s="2" t="str">
        <f>_xlfn.XLOOKUP($N452,'Base de Grupos'!$A:$A,'Base de Grupos'!$H:$H)</f>
        <v>1000105896</v>
      </c>
      <c r="G452" s="5" t="str">
        <f>_xlfn.XLOOKUP($N452,'Base de Grupos'!$A:$A,'Base de Grupos'!$I:$I)</f>
        <v>REGIONAL VENDA DIRETA SUL</v>
      </c>
      <c r="H452" s="5" t="str">
        <f>_xlfn.XLOOKUP($N452,'Base de Grupos'!$A:$A,'Base de Grupos'!$J:$J)</f>
        <v>1000105896</v>
      </c>
      <c r="I452" s="2" t="str">
        <f>_xlfn.XLOOKUP($N452,'Base de Grupos'!$A:$A,'Base de Grupos'!$K:$K)</f>
        <v>REGIONAL VENDA DIRETA SUL</v>
      </c>
      <c r="J452" s="2" t="str">
        <f>_xlfn.XLOOKUP($N452,'Base de Grupos'!$A:$A,'Base de Grupos'!$L:$L)</f>
        <v>1000176426</v>
      </c>
      <c r="K452" s="5" t="str">
        <f>_xlfn.XLOOKUP($N452,'Base de Grupos'!$A:$A,'Base de Grupos'!$M:$M)</f>
        <v>HEMANUELE ROSA DITZEL</v>
      </c>
      <c r="L452" s="5" t="str">
        <f t="shared" si="213"/>
        <v/>
      </c>
      <c r="M452" s="5" t="str">
        <f>_xlfn.XLOOKUP($N452,'Base de Grupos'!$A:$A,'Base de Grupos'!$C:$C)</f>
        <v>PR</v>
      </c>
      <c r="N452" s="3">
        <v>1363</v>
      </c>
      <c r="O452" s="4" t="s">
        <v>248</v>
      </c>
      <c r="P452" s="5" t="s">
        <v>93</v>
      </c>
      <c r="Q452" s="24">
        <v>0</v>
      </c>
      <c r="R452" s="24">
        <v>0</v>
      </c>
      <c r="S452" s="24">
        <v>0</v>
      </c>
      <c r="T452" s="24">
        <v>0</v>
      </c>
      <c r="U452" s="24">
        <v>0</v>
      </c>
      <c r="V452" s="24">
        <v>0</v>
      </c>
      <c r="W452" s="24">
        <v>0</v>
      </c>
      <c r="X452" s="24">
        <v>0</v>
      </c>
      <c r="Y452" s="24">
        <v>0</v>
      </c>
      <c r="Z452" s="24">
        <v>0</v>
      </c>
      <c r="AA452" s="24">
        <v>0</v>
      </c>
      <c r="AB452" s="24">
        <v>0</v>
      </c>
      <c r="AC452" s="30">
        <f t="shared" si="211"/>
        <v>0</v>
      </c>
      <c r="AD452" s="27">
        <f t="shared" si="205"/>
        <v>0</v>
      </c>
      <c r="AE452" s="25">
        <f>IFERROR(_xlfn.XLOOKUP(N452&amp;P452,'Historico Vendas'!G:G,'Historico Vendas'!E:E),0)</f>
        <v>0</v>
      </c>
      <c r="AF452" s="29" t="str">
        <f t="shared" si="214"/>
        <v/>
      </c>
      <c r="AG452" s="24">
        <f>IFERROR(_xlfn.XLOOKUP(N452&amp;P452,'Historico Vendas'!G:G,'Historico Vendas'!F:F),0)</f>
        <v>0</v>
      </c>
      <c r="AH452" s="25">
        <f t="shared" si="206"/>
        <v>0</v>
      </c>
      <c r="AI452" s="24">
        <f t="shared" si="207"/>
        <v>0</v>
      </c>
      <c r="AJ452" s="11" t="str">
        <f t="shared" si="215"/>
        <v/>
      </c>
      <c r="AK452" s="9" t="s">
        <v>102</v>
      </c>
      <c r="AL452" s="13">
        <f>IFERROR(INDEX('Balizador da Meta'!$D$3:$F$23,MATCH(Quantidade!$P452,'Balizador da Meta'!$C$3:$C$23,0),MATCH(Quantidade!AK452,'Balizador da Meta'!$D$2:$F$2,0)),"")</f>
        <v>0.2</v>
      </c>
      <c r="AM452" s="9"/>
    </row>
    <row r="453" spans="1:39" x14ac:dyDescent="0.3">
      <c r="A453" s="2" t="str">
        <f t="shared" si="212"/>
        <v>SIM</v>
      </c>
      <c r="B453" s="2" t="str">
        <f>_xlfn.XLOOKUP($N453,'Base de Grupos'!$A:$A,'Base de Grupos'!$D:$D)</f>
        <v>1000065763</v>
      </c>
      <c r="C453" s="5" t="str">
        <f>_xlfn.XLOOKUP($N453,'Base de Grupos'!$A:$A,'Base de Grupos'!$E:$E)</f>
        <v>CANAL VENDA INTERNA</v>
      </c>
      <c r="D453" s="5" t="str">
        <f>_xlfn.XLOOKUP($N453,'Base de Grupos'!$A:$A,'Base de Grupos'!$F:$F)</f>
        <v>1000065763</v>
      </c>
      <c r="E453" s="2" t="str">
        <f>_xlfn.XLOOKUP($N453,'Base de Grupos'!$A:$A,'Base de Grupos'!$G:$G)</f>
        <v>CANAL VENDA INTERNA</v>
      </c>
      <c r="F453" s="2" t="str">
        <f>_xlfn.XLOOKUP($N453,'Base de Grupos'!$A:$A,'Base de Grupos'!$H:$H)</f>
        <v>1000105896</v>
      </c>
      <c r="G453" s="5" t="str">
        <f>_xlfn.XLOOKUP($N453,'Base de Grupos'!$A:$A,'Base de Grupos'!$I:$I)</f>
        <v>REGIONAL VENDA DIRETA SUL</v>
      </c>
      <c r="H453" s="5" t="str">
        <f>_xlfn.XLOOKUP($N453,'Base de Grupos'!$A:$A,'Base de Grupos'!$J:$J)</f>
        <v>1000105896</v>
      </c>
      <c r="I453" s="2" t="str">
        <f>_xlfn.XLOOKUP($N453,'Base de Grupos'!$A:$A,'Base de Grupos'!$K:$K)</f>
        <v>REGIONAL VENDA DIRETA SUL</v>
      </c>
      <c r="J453" s="2" t="str">
        <f>_xlfn.XLOOKUP($N453,'Base de Grupos'!$A:$A,'Base de Grupos'!$L:$L)</f>
        <v>1000176426</v>
      </c>
      <c r="K453" s="5" t="str">
        <f>_xlfn.XLOOKUP($N453,'Base de Grupos'!$A:$A,'Base de Grupos'!$M:$M)</f>
        <v>HEMANUELE ROSA DITZEL</v>
      </c>
      <c r="L453" s="5">
        <f t="shared" si="213"/>
        <v>1</v>
      </c>
      <c r="M453" s="5" t="str">
        <f>_xlfn.XLOOKUP($N453,'Base de Grupos'!$A:$A,'Base de Grupos'!$C:$C)</f>
        <v>SC</v>
      </c>
      <c r="N453" s="3">
        <v>1364</v>
      </c>
      <c r="O453" s="4" t="s">
        <v>249</v>
      </c>
      <c r="P453" s="5" t="s">
        <v>319</v>
      </c>
      <c r="Q453" s="24">
        <v>0</v>
      </c>
      <c r="R453" s="24">
        <v>0</v>
      </c>
      <c r="S453" s="24">
        <v>0</v>
      </c>
      <c r="T453" s="24">
        <v>0</v>
      </c>
      <c r="U453" s="24">
        <v>0</v>
      </c>
      <c r="V453" s="24">
        <v>0</v>
      </c>
      <c r="W453" s="24">
        <v>0</v>
      </c>
      <c r="X453" s="24">
        <v>0</v>
      </c>
      <c r="Y453" s="24">
        <v>0</v>
      </c>
      <c r="Z453" s="24">
        <v>0</v>
      </c>
      <c r="AA453" s="24">
        <v>0</v>
      </c>
      <c r="AB453" s="24">
        <v>0</v>
      </c>
      <c r="AC453" s="30">
        <f t="shared" si="211"/>
        <v>0</v>
      </c>
      <c r="AD453" s="25">
        <f t="shared" ref="AD453:AI453" si="216">SUM(AD454:AD470)</f>
        <v>0</v>
      </c>
      <c r="AE453" s="25">
        <f t="shared" si="216"/>
        <v>0</v>
      </c>
      <c r="AF453" s="11" t="str">
        <f t="shared" si="214"/>
        <v/>
      </c>
      <c r="AG453" s="24">
        <f t="shared" si="216"/>
        <v>0</v>
      </c>
      <c r="AH453" s="25">
        <f t="shared" si="216"/>
        <v>0</v>
      </c>
      <c r="AI453" s="24">
        <f t="shared" si="216"/>
        <v>0</v>
      </c>
      <c r="AJ453" s="11" t="str">
        <f t="shared" si="215"/>
        <v/>
      </c>
      <c r="AK453" s="9"/>
      <c r="AL453" s="13"/>
      <c r="AM453" s="9"/>
    </row>
    <row r="454" spans="1:39" x14ac:dyDescent="0.3">
      <c r="A454" s="2" t="str">
        <f t="shared" si="212"/>
        <v>NÃO</v>
      </c>
      <c r="B454" s="2" t="str">
        <f>_xlfn.XLOOKUP($N454,'Base de Grupos'!$A:$A,'Base de Grupos'!$D:$D)</f>
        <v>1000065763</v>
      </c>
      <c r="C454" s="5" t="str">
        <f>_xlfn.XLOOKUP($N454,'Base de Grupos'!$A:$A,'Base de Grupos'!$E:$E)</f>
        <v>CANAL VENDA INTERNA</v>
      </c>
      <c r="D454" s="5" t="str">
        <f>_xlfn.XLOOKUP($N454,'Base de Grupos'!$A:$A,'Base de Grupos'!$F:$F)</f>
        <v>1000065763</v>
      </c>
      <c r="E454" s="2" t="str">
        <f>_xlfn.XLOOKUP($N454,'Base de Grupos'!$A:$A,'Base de Grupos'!$G:$G)</f>
        <v>CANAL VENDA INTERNA</v>
      </c>
      <c r="F454" s="2" t="str">
        <f>_xlfn.XLOOKUP($N454,'Base de Grupos'!$A:$A,'Base de Grupos'!$H:$H)</f>
        <v>1000105896</v>
      </c>
      <c r="G454" s="5" t="str">
        <f>_xlfn.XLOOKUP($N454,'Base de Grupos'!$A:$A,'Base de Grupos'!$I:$I)</f>
        <v>REGIONAL VENDA DIRETA SUL</v>
      </c>
      <c r="H454" s="5" t="str">
        <f>_xlfn.XLOOKUP($N454,'Base de Grupos'!$A:$A,'Base de Grupos'!$J:$J)</f>
        <v>1000105896</v>
      </c>
      <c r="I454" s="2" t="str">
        <f>_xlfn.XLOOKUP($N454,'Base de Grupos'!$A:$A,'Base de Grupos'!$K:$K)</f>
        <v>REGIONAL VENDA DIRETA SUL</v>
      </c>
      <c r="J454" s="2" t="str">
        <f>_xlfn.XLOOKUP($N454,'Base de Grupos'!$A:$A,'Base de Grupos'!$L:$L)</f>
        <v>1000176426</v>
      </c>
      <c r="K454" s="5" t="str">
        <f>_xlfn.XLOOKUP($N454,'Base de Grupos'!$A:$A,'Base de Grupos'!$M:$M)</f>
        <v>HEMANUELE ROSA DITZEL</v>
      </c>
      <c r="L454" s="5" t="str">
        <f t="shared" si="213"/>
        <v/>
      </c>
      <c r="M454" s="5" t="str">
        <f>_xlfn.XLOOKUP($N454,'Base de Grupos'!$A:$A,'Base de Grupos'!$C:$C)</f>
        <v>SC</v>
      </c>
      <c r="N454" s="3">
        <v>1364</v>
      </c>
      <c r="O454" s="4" t="s">
        <v>249</v>
      </c>
      <c r="P454" s="5" t="s">
        <v>81</v>
      </c>
      <c r="Q454" s="24">
        <v>0</v>
      </c>
      <c r="R454" s="24">
        <v>0</v>
      </c>
      <c r="S454" s="24">
        <v>0</v>
      </c>
      <c r="T454" s="24">
        <v>0</v>
      </c>
      <c r="U454" s="24">
        <v>0</v>
      </c>
      <c r="V454" s="24">
        <v>0</v>
      </c>
      <c r="W454" s="24">
        <v>0</v>
      </c>
      <c r="X454" s="24">
        <v>0</v>
      </c>
      <c r="Y454" s="24">
        <v>0</v>
      </c>
      <c r="Z454" s="24">
        <v>0</v>
      </c>
      <c r="AA454" s="24">
        <v>0</v>
      </c>
      <c r="AB454" s="24">
        <v>0</v>
      </c>
      <c r="AC454" s="30">
        <f t="shared" si="211"/>
        <v>0</v>
      </c>
      <c r="AD454" s="27">
        <f t="shared" ref="AD454:AD470" si="217">IF(AC454=0,0,AC454-AG454)</f>
        <v>0</v>
      </c>
      <c r="AE454" s="25">
        <f>IFERROR(_xlfn.XLOOKUP(N454&amp;P454,'Historico Vendas'!G:G,'Historico Vendas'!E:E),0)</f>
        <v>0</v>
      </c>
      <c r="AF454" s="29" t="str">
        <f t="shared" si="214"/>
        <v/>
      </c>
      <c r="AG454" s="24">
        <f>IFERROR(_xlfn.XLOOKUP(N454&amp;P454,'Historico Vendas'!G:G,'Historico Vendas'!F:F),0)</f>
        <v>0</v>
      </c>
      <c r="AH454" s="25">
        <f t="shared" ref="AH454:AH470" si="218">SUM(Q454:S454)</f>
        <v>0</v>
      </c>
      <c r="AI454" s="24">
        <f t="shared" ref="AI454:AI470" si="219">AH454-AG454</f>
        <v>0</v>
      </c>
      <c r="AJ454" s="11" t="str">
        <f t="shared" si="215"/>
        <v/>
      </c>
      <c r="AK454" s="9" t="s">
        <v>102</v>
      </c>
      <c r="AL454" s="13">
        <f>IFERROR(INDEX('Balizador da Meta'!$D$3:$F$23,MATCH(Quantidade!$P454,'Balizador da Meta'!$C$3:$C$23,0),MATCH(Quantidade!AK454,'Balizador da Meta'!$D$2:$F$2,0)),"")</f>
        <v>0.2</v>
      </c>
      <c r="AM454" s="9"/>
    </row>
    <row r="455" spans="1:39" x14ac:dyDescent="0.3">
      <c r="A455" s="2" t="str">
        <f t="shared" si="212"/>
        <v>NÃO</v>
      </c>
      <c r="B455" s="2" t="str">
        <f>_xlfn.XLOOKUP($N455,'Base de Grupos'!$A:$A,'Base de Grupos'!$D:$D)</f>
        <v>1000065763</v>
      </c>
      <c r="C455" s="5" t="str">
        <f>_xlfn.XLOOKUP($N455,'Base de Grupos'!$A:$A,'Base de Grupos'!$E:$E)</f>
        <v>CANAL VENDA INTERNA</v>
      </c>
      <c r="D455" s="5" t="str">
        <f>_xlfn.XLOOKUP($N455,'Base de Grupos'!$A:$A,'Base de Grupos'!$F:$F)</f>
        <v>1000065763</v>
      </c>
      <c r="E455" s="2" t="str">
        <f>_xlfn.XLOOKUP($N455,'Base de Grupos'!$A:$A,'Base de Grupos'!$G:$G)</f>
        <v>CANAL VENDA INTERNA</v>
      </c>
      <c r="F455" s="2" t="str">
        <f>_xlfn.XLOOKUP($N455,'Base de Grupos'!$A:$A,'Base de Grupos'!$H:$H)</f>
        <v>1000105896</v>
      </c>
      <c r="G455" s="5" t="str">
        <f>_xlfn.XLOOKUP($N455,'Base de Grupos'!$A:$A,'Base de Grupos'!$I:$I)</f>
        <v>REGIONAL VENDA DIRETA SUL</v>
      </c>
      <c r="H455" s="5" t="str">
        <f>_xlfn.XLOOKUP($N455,'Base de Grupos'!$A:$A,'Base de Grupos'!$J:$J)</f>
        <v>1000105896</v>
      </c>
      <c r="I455" s="2" t="str">
        <f>_xlfn.XLOOKUP($N455,'Base de Grupos'!$A:$A,'Base de Grupos'!$K:$K)</f>
        <v>REGIONAL VENDA DIRETA SUL</v>
      </c>
      <c r="J455" s="2" t="str">
        <f>_xlfn.XLOOKUP($N455,'Base de Grupos'!$A:$A,'Base de Grupos'!$L:$L)</f>
        <v>1000176426</v>
      </c>
      <c r="K455" s="5" t="str">
        <f>_xlfn.XLOOKUP($N455,'Base de Grupos'!$A:$A,'Base de Grupos'!$M:$M)</f>
        <v>HEMANUELE ROSA DITZEL</v>
      </c>
      <c r="L455" s="5" t="str">
        <f t="shared" si="213"/>
        <v/>
      </c>
      <c r="M455" s="5" t="str">
        <f>_xlfn.XLOOKUP($N455,'Base de Grupos'!$A:$A,'Base de Grupos'!$C:$C)</f>
        <v>SC</v>
      </c>
      <c r="N455" s="3">
        <v>1364</v>
      </c>
      <c r="O455" s="4" t="s">
        <v>249</v>
      </c>
      <c r="P455" s="5" t="s">
        <v>82</v>
      </c>
      <c r="Q455" s="24">
        <v>0</v>
      </c>
      <c r="R455" s="24">
        <v>0</v>
      </c>
      <c r="S455" s="24">
        <v>0</v>
      </c>
      <c r="T455" s="24">
        <v>0</v>
      </c>
      <c r="U455" s="24">
        <v>0</v>
      </c>
      <c r="V455" s="24">
        <v>0</v>
      </c>
      <c r="W455" s="24">
        <v>0</v>
      </c>
      <c r="X455" s="24">
        <v>0</v>
      </c>
      <c r="Y455" s="24">
        <v>0</v>
      </c>
      <c r="Z455" s="24">
        <v>0</v>
      </c>
      <c r="AA455" s="24">
        <v>0</v>
      </c>
      <c r="AB455" s="24">
        <v>0</v>
      </c>
      <c r="AC455" s="30">
        <f t="shared" si="211"/>
        <v>0</v>
      </c>
      <c r="AD455" s="27">
        <f t="shared" si="217"/>
        <v>0</v>
      </c>
      <c r="AE455" s="25">
        <f>IFERROR(_xlfn.XLOOKUP(N455&amp;P455,'Historico Vendas'!G:G,'Historico Vendas'!E:E),0)</f>
        <v>0</v>
      </c>
      <c r="AF455" s="29" t="str">
        <f t="shared" si="214"/>
        <v/>
      </c>
      <c r="AG455" s="24">
        <f>IFERROR(_xlfn.XLOOKUP(N455&amp;P455,'Historico Vendas'!G:G,'Historico Vendas'!F:F),0)</f>
        <v>0</v>
      </c>
      <c r="AH455" s="25">
        <f t="shared" si="218"/>
        <v>0</v>
      </c>
      <c r="AI455" s="24">
        <f t="shared" si="219"/>
        <v>0</v>
      </c>
      <c r="AJ455" s="11" t="str">
        <f t="shared" si="215"/>
        <v/>
      </c>
      <c r="AK455" s="9" t="s">
        <v>102</v>
      </c>
      <c r="AL455" s="13">
        <f>IFERROR(INDEX('Balizador da Meta'!$D$3:$F$23,MATCH(Quantidade!$P455,'Balizador da Meta'!$C$3:$C$23,0),MATCH(Quantidade!AK455,'Balizador da Meta'!$D$2:$F$2,0)),"")</f>
        <v>0.2</v>
      </c>
      <c r="AM455" s="9"/>
    </row>
    <row r="456" spans="1:39" x14ac:dyDescent="0.3">
      <c r="A456" s="2" t="str">
        <f t="shared" si="212"/>
        <v>NÃO</v>
      </c>
      <c r="B456" s="2" t="str">
        <f>_xlfn.XLOOKUP($N456,'Base de Grupos'!$A:$A,'Base de Grupos'!$D:$D)</f>
        <v>1000065763</v>
      </c>
      <c r="C456" s="5" t="str">
        <f>_xlfn.XLOOKUP($N456,'Base de Grupos'!$A:$A,'Base de Grupos'!$E:$E)</f>
        <v>CANAL VENDA INTERNA</v>
      </c>
      <c r="D456" s="5" t="str">
        <f>_xlfn.XLOOKUP($N456,'Base de Grupos'!$A:$A,'Base de Grupos'!$F:$F)</f>
        <v>1000065763</v>
      </c>
      <c r="E456" s="2" t="str">
        <f>_xlfn.XLOOKUP($N456,'Base de Grupos'!$A:$A,'Base de Grupos'!$G:$G)</f>
        <v>CANAL VENDA INTERNA</v>
      </c>
      <c r="F456" s="2" t="str">
        <f>_xlfn.XLOOKUP($N456,'Base de Grupos'!$A:$A,'Base de Grupos'!$H:$H)</f>
        <v>1000105896</v>
      </c>
      <c r="G456" s="5" t="str">
        <f>_xlfn.XLOOKUP($N456,'Base de Grupos'!$A:$A,'Base de Grupos'!$I:$I)</f>
        <v>REGIONAL VENDA DIRETA SUL</v>
      </c>
      <c r="H456" s="5" t="str">
        <f>_xlfn.XLOOKUP($N456,'Base de Grupos'!$A:$A,'Base de Grupos'!$J:$J)</f>
        <v>1000105896</v>
      </c>
      <c r="I456" s="2" t="str">
        <f>_xlfn.XLOOKUP($N456,'Base de Grupos'!$A:$A,'Base de Grupos'!$K:$K)</f>
        <v>REGIONAL VENDA DIRETA SUL</v>
      </c>
      <c r="J456" s="2" t="str">
        <f>_xlfn.XLOOKUP($N456,'Base de Grupos'!$A:$A,'Base de Grupos'!$L:$L)</f>
        <v>1000176426</v>
      </c>
      <c r="K456" s="5" t="str">
        <f>_xlfn.XLOOKUP($N456,'Base de Grupos'!$A:$A,'Base de Grupos'!$M:$M)</f>
        <v>HEMANUELE ROSA DITZEL</v>
      </c>
      <c r="L456" s="5" t="str">
        <f t="shared" si="213"/>
        <v/>
      </c>
      <c r="M456" s="5" t="str">
        <f>_xlfn.XLOOKUP($N456,'Base de Grupos'!$A:$A,'Base de Grupos'!$C:$C)</f>
        <v>SC</v>
      </c>
      <c r="N456" s="3">
        <v>1364</v>
      </c>
      <c r="O456" s="4" t="s">
        <v>249</v>
      </c>
      <c r="P456" s="5" t="s">
        <v>84</v>
      </c>
      <c r="Q456" s="24">
        <v>0</v>
      </c>
      <c r="R456" s="24">
        <v>0</v>
      </c>
      <c r="S456" s="24">
        <v>0</v>
      </c>
      <c r="T456" s="24">
        <v>0</v>
      </c>
      <c r="U456" s="24">
        <v>0</v>
      </c>
      <c r="V456" s="24">
        <v>0</v>
      </c>
      <c r="W456" s="24">
        <v>0</v>
      </c>
      <c r="X456" s="24">
        <v>0</v>
      </c>
      <c r="Y456" s="24">
        <v>0</v>
      </c>
      <c r="Z456" s="24">
        <v>0</v>
      </c>
      <c r="AA456" s="24">
        <v>0</v>
      </c>
      <c r="AB456" s="24">
        <v>0</v>
      </c>
      <c r="AC456" s="30">
        <f t="shared" si="211"/>
        <v>0</v>
      </c>
      <c r="AD456" s="27">
        <f t="shared" si="217"/>
        <v>0</v>
      </c>
      <c r="AE456" s="25">
        <f>IFERROR(_xlfn.XLOOKUP(N456&amp;P456,'Historico Vendas'!G:G,'Historico Vendas'!E:E),0)</f>
        <v>0</v>
      </c>
      <c r="AF456" s="29" t="str">
        <f t="shared" si="214"/>
        <v/>
      </c>
      <c r="AG456" s="24">
        <f>IFERROR(_xlfn.XLOOKUP(N456&amp;P456,'Historico Vendas'!G:G,'Historico Vendas'!F:F),0)</f>
        <v>0</v>
      </c>
      <c r="AH456" s="25">
        <f t="shared" si="218"/>
        <v>0</v>
      </c>
      <c r="AI456" s="24">
        <f t="shared" si="219"/>
        <v>0</v>
      </c>
      <c r="AJ456" s="11" t="str">
        <f t="shared" si="215"/>
        <v/>
      </c>
      <c r="AK456" s="9" t="s">
        <v>102</v>
      </c>
      <c r="AL456" s="13">
        <f>IFERROR(INDEX('Balizador da Meta'!$D$3:$F$23,MATCH(Quantidade!$P456,'Balizador da Meta'!$C$3:$C$23,0),MATCH(Quantidade!AK456,'Balizador da Meta'!$D$2:$F$2,0)),"")</f>
        <v>0.15</v>
      </c>
      <c r="AM456" s="9"/>
    </row>
    <row r="457" spans="1:39" x14ac:dyDescent="0.3">
      <c r="A457" s="2" t="str">
        <f t="shared" si="212"/>
        <v>NÃO</v>
      </c>
      <c r="B457" s="2" t="str">
        <f>_xlfn.XLOOKUP($N457,'Base de Grupos'!$A:$A,'Base de Grupos'!$D:$D)</f>
        <v>1000065763</v>
      </c>
      <c r="C457" s="5" t="str">
        <f>_xlfn.XLOOKUP($N457,'Base de Grupos'!$A:$A,'Base de Grupos'!$E:$E)</f>
        <v>CANAL VENDA INTERNA</v>
      </c>
      <c r="D457" s="5" t="str">
        <f>_xlfn.XLOOKUP($N457,'Base de Grupos'!$A:$A,'Base de Grupos'!$F:$F)</f>
        <v>1000065763</v>
      </c>
      <c r="E457" s="2" t="str">
        <f>_xlfn.XLOOKUP($N457,'Base de Grupos'!$A:$A,'Base de Grupos'!$G:$G)</f>
        <v>CANAL VENDA INTERNA</v>
      </c>
      <c r="F457" s="2" t="str">
        <f>_xlfn.XLOOKUP($N457,'Base de Grupos'!$A:$A,'Base de Grupos'!$H:$H)</f>
        <v>1000105896</v>
      </c>
      <c r="G457" s="5" t="str">
        <f>_xlfn.XLOOKUP($N457,'Base de Grupos'!$A:$A,'Base de Grupos'!$I:$I)</f>
        <v>REGIONAL VENDA DIRETA SUL</v>
      </c>
      <c r="H457" s="5" t="str">
        <f>_xlfn.XLOOKUP($N457,'Base de Grupos'!$A:$A,'Base de Grupos'!$J:$J)</f>
        <v>1000105896</v>
      </c>
      <c r="I457" s="2" t="str">
        <f>_xlfn.XLOOKUP($N457,'Base de Grupos'!$A:$A,'Base de Grupos'!$K:$K)</f>
        <v>REGIONAL VENDA DIRETA SUL</v>
      </c>
      <c r="J457" s="2" t="str">
        <f>_xlfn.XLOOKUP($N457,'Base de Grupos'!$A:$A,'Base de Grupos'!$L:$L)</f>
        <v>1000176426</v>
      </c>
      <c r="K457" s="5" t="str">
        <f>_xlfn.XLOOKUP($N457,'Base de Grupos'!$A:$A,'Base de Grupos'!$M:$M)</f>
        <v>HEMANUELE ROSA DITZEL</v>
      </c>
      <c r="L457" s="5" t="str">
        <f t="shared" si="213"/>
        <v/>
      </c>
      <c r="M457" s="5" t="str">
        <f>_xlfn.XLOOKUP($N457,'Base de Grupos'!$A:$A,'Base de Grupos'!$C:$C)</f>
        <v>SC</v>
      </c>
      <c r="N457" s="3">
        <v>1364</v>
      </c>
      <c r="O457" s="4" t="s">
        <v>249</v>
      </c>
      <c r="P457" s="5" t="s">
        <v>83</v>
      </c>
      <c r="Q457" s="24">
        <v>0</v>
      </c>
      <c r="R457" s="24">
        <v>0</v>
      </c>
      <c r="S457" s="24">
        <v>0</v>
      </c>
      <c r="T457" s="24">
        <v>0</v>
      </c>
      <c r="U457" s="24">
        <v>0</v>
      </c>
      <c r="V457" s="24">
        <v>0</v>
      </c>
      <c r="W457" s="24">
        <v>0</v>
      </c>
      <c r="X457" s="24">
        <v>0</v>
      </c>
      <c r="Y457" s="24">
        <v>0</v>
      </c>
      <c r="Z457" s="24">
        <v>0</v>
      </c>
      <c r="AA457" s="24">
        <v>0</v>
      </c>
      <c r="AB457" s="24">
        <v>0</v>
      </c>
      <c r="AC457" s="30">
        <f t="shared" si="211"/>
        <v>0</v>
      </c>
      <c r="AD457" s="27">
        <f t="shared" si="217"/>
        <v>0</v>
      </c>
      <c r="AE457" s="25">
        <f>IFERROR(_xlfn.XLOOKUP(N457&amp;P457,'Historico Vendas'!G:G,'Historico Vendas'!E:E),0)</f>
        <v>0</v>
      </c>
      <c r="AF457" s="29" t="str">
        <f t="shared" si="214"/>
        <v/>
      </c>
      <c r="AG457" s="24">
        <f>IFERROR(_xlfn.XLOOKUP(N457&amp;P457,'Historico Vendas'!G:G,'Historico Vendas'!F:F),0)</f>
        <v>0</v>
      </c>
      <c r="AH457" s="25">
        <f t="shared" si="218"/>
        <v>0</v>
      </c>
      <c r="AI457" s="24">
        <f t="shared" si="219"/>
        <v>0</v>
      </c>
      <c r="AJ457" s="11" t="str">
        <f t="shared" si="215"/>
        <v/>
      </c>
      <c r="AK457" s="9" t="s">
        <v>102</v>
      </c>
      <c r="AL457" s="13">
        <f>IFERROR(INDEX('Balizador da Meta'!$D$3:$F$23,MATCH(Quantidade!$P457,'Balizador da Meta'!$C$3:$C$23,0),MATCH(Quantidade!AK457,'Balizador da Meta'!$D$2:$F$2,0)),"")</f>
        <v>0</v>
      </c>
      <c r="AM457" s="9"/>
    </row>
    <row r="458" spans="1:39" x14ac:dyDescent="0.3">
      <c r="A458" s="2" t="str">
        <f t="shared" si="212"/>
        <v>NÃO</v>
      </c>
      <c r="B458" s="2" t="str">
        <f>_xlfn.XLOOKUP($N458,'Base de Grupos'!$A:$A,'Base de Grupos'!$D:$D)</f>
        <v>1000065763</v>
      </c>
      <c r="C458" s="5" t="str">
        <f>_xlfn.XLOOKUP($N458,'Base de Grupos'!$A:$A,'Base de Grupos'!$E:$E)</f>
        <v>CANAL VENDA INTERNA</v>
      </c>
      <c r="D458" s="5" t="str">
        <f>_xlfn.XLOOKUP($N458,'Base de Grupos'!$A:$A,'Base de Grupos'!$F:$F)</f>
        <v>1000065763</v>
      </c>
      <c r="E458" s="2" t="str">
        <f>_xlfn.XLOOKUP($N458,'Base de Grupos'!$A:$A,'Base de Grupos'!$G:$G)</f>
        <v>CANAL VENDA INTERNA</v>
      </c>
      <c r="F458" s="2" t="str">
        <f>_xlfn.XLOOKUP($N458,'Base de Grupos'!$A:$A,'Base de Grupos'!$H:$H)</f>
        <v>1000105896</v>
      </c>
      <c r="G458" s="5" t="str">
        <f>_xlfn.XLOOKUP($N458,'Base de Grupos'!$A:$A,'Base de Grupos'!$I:$I)</f>
        <v>REGIONAL VENDA DIRETA SUL</v>
      </c>
      <c r="H458" s="5" t="str">
        <f>_xlfn.XLOOKUP($N458,'Base de Grupos'!$A:$A,'Base de Grupos'!$J:$J)</f>
        <v>1000105896</v>
      </c>
      <c r="I458" s="2" t="str">
        <f>_xlfn.XLOOKUP($N458,'Base de Grupos'!$A:$A,'Base de Grupos'!$K:$K)</f>
        <v>REGIONAL VENDA DIRETA SUL</v>
      </c>
      <c r="J458" s="2" t="str">
        <f>_xlfn.XLOOKUP($N458,'Base de Grupos'!$A:$A,'Base de Grupos'!$L:$L)</f>
        <v>1000176426</v>
      </c>
      <c r="K458" s="5" t="str">
        <f>_xlfn.XLOOKUP($N458,'Base de Grupos'!$A:$A,'Base de Grupos'!$M:$M)</f>
        <v>HEMANUELE ROSA DITZEL</v>
      </c>
      <c r="L458" s="5" t="str">
        <f t="shared" si="213"/>
        <v/>
      </c>
      <c r="M458" s="5" t="str">
        <f>_xlfn.XLOOKUP($N458,'Base de Grupos'!$A:$A,'Base de Grupos'!$C:$C)</f>
        <v>SC</v>
      </c>
      <c r="N458" s="3">
        <v>1364</v>
      </c>
      <c r="O458" s="4" t="s">
        <v>249</v>
      </c>
      <c r="P458" s="5" t="s">
        <v>87</v>
      </c>
      <c r="Q458" s="24">
        <v>0</v>
      </c>
      <c r="R458" s="24">
        <v>0</v>
      </c>
      <c r="S458" s="24">
        <v>0</v>
      </c>
      <c r="T458" s="24">
        <v>0</v>
      </c>
      <c r="U458" s="24">
        <v>0</v>
      </c>
      <c r="V458" s="24">
        <v>0</v>
      </c>
      <c r="W458" s="24">
        <v>0</v>
      </c>
      <c r="X458" s="24">
        <v>0</v>
      </c>
      <c r="Y458" s="24">
        <v>0</v>
      </c>
      <c r="Z458" s="24">
        <v>0</v>
      </c>
      <c r="AA458" s="24">
        <v>0</v>
      </c>
      <c r="AB458" s="24">
        <v>0</v>
      </c>
      <c r="AC458" s="30">
        <f t="shared" si="211"/>
        <v>0</v>
      </c>
      <c r="AD458" s="27">
        <f t="shared" si="217"/>
        <v>0</v>
      </c>
      <c r="AE458" s="25">
        <f>IFERROR(_xlfn.XLOOKUP(N458&amp;P458,'Historico Vendas'!G:G,'Historico Vendas'!E:E),0)</f>
        <v>0</v>
      </c>
      <c r="AF458" s="29" t="str">
        <f t="shared" si="214"/>
        <v/>
      </c>
      <c r="AG458" s="24">
        <f>IFERROR(_xlfn.XLOOKUP(N458&amp;P458,'Historico Vendas'!G:G,'Historico Vendas'!F:F),0)</f>
        <v>0</v>
      </c>
      <c r="AH458" s="25">
        <f t="shared" si="218"/>
        <v>0</v>
      </c>
      <c r="AI458" s="24">
        <f t="shared" si="219"/>
        <v>0</v>
      </c>
      <c r="AJ458" s="11" t="str">
        <f t="shared" si="215"/>
        <v/>
      </c>
      <c r="AK458" s="9" t="s">
        <v>102</v>
      </c>
      <c r="AL458" s="13">
        <f>IFERROR(INDEX('Balizador da Meta'!$D$3:$F$23,MATCH(Quantidade!$P458,'Balizador da Meta'!$C$3:$C$23,0),MATCH(Quantidade!AK458,'Balizador da Meta'!$D$2:$F$2,0)),"")</f>
        <v>0</v>
      </c>
      <c r="AM458" s="9"/>
    </row>
    <row r="459" spans="1:39" x14ac:dyDescent="0.3">
      <c r="A459" s="2" t="str">
        <f t="shared" si="212"/>
        <v>NÃO</v>
      </c>
      <c r="B459" s="2" t="str">
        <f>_xlfn.XLOOKUP($N459,'Base de Grupos'!$A:$A,'Base de Grupos'!$D:$D)</f>
        <v>1000065763</v>
      </c>
      <c r="C459" s="5" t="str">
        <f>_xlfn.XLOOKUP($N459,'Base de Grupos'!$A:$A,'Base de Grupos'!$E:$E)</f>
        <v>CANAL VENDA INTERNA</v>
      </c>
      <c r="D459" s="5" t="str">
        <f>_xlfn.XLOOKUP($N459,'Base de Grupos'!$A:$A,'Base de Grupos'!$F:$F)</f>
        <v>1000065763</v>
      </c>
      <c r="E459" s="2" t="str">
        <f>_xlfn.XLOOKUP($N459,'Base de Grupos'!$A:$A,'Base de Grupos'!$G:$G)</f>
        <v>CANAL VENDA INTERNA</v>
      </c>
      <c r="F459" s="2" t="str">
        <f>_xlfn.XLOOKUP($N459,'Base de Grupos'!$A:$A,'Base de Grupos'!$H:$H)</f>
        <v>1000105896</v>
      </c>
      <c r="G459" s="5" t="str">
        <f>_xlfn.XLOOKUP($N459,'Base de Grupos'!$A:$A,'Base de Grupos'!$I:$I)</f>
        <v>REGIONAL VENDA DIRETA SUL</v>
      </c>
      <c r="H459" s="5" t="str">
        <f>_xlfn.XLOOKUP($N459,'Base de Grupos'!$A:$A,'Base de Grupos'!$J:$J)</f>
        <v>1000105896</v>
      </c>
      <c r="I459" s="2" t="str">
        <f>_xlfn.XLOOKUP($N459,'Base de Grupos'!$A:$A,'Base de Grupos'!$K:$K)</f>
        <v>REGIONAL VENDA DIRETA SUL</v>
      </c>
      <c r="J459" s="2" t="str">
        <f>_xlfn.XLOOKUP($N459,'Base de Grupos'!$A:$A,'Base de Grupos'!$L:$L)</f>
        <v>1000176426</v>
      </c>
      <c r="K459" s="5" t="str">
        <f>_xlfn.XLOOKUP($N459,'Base de Grupos'!$A:$A,'Base de Grupos'!$M:$M)</f>
        <v>HEMANUELE ROSA DITZEL</v>
      </c>
      <c r="L459" s="5" t="str">
        <f t="shared" si="213"/>
        <v/>
      </c>
      <c r="M459" s="5" t="str">
        <f>_xlfn.XLOOKUP($N459,'Base de Grupos'!$A:$A,'Base de Grupos'!$C:$C)</f>
        <v>SC</v>
      </c>
      <c r="N459" s="3">
        <v>1364</v>
      </c>
      <c r="O459" s="4" t="s">
        <v>249</v>
      </c>
      <c r="P459" s="5" t="s">
        <v>85</v>
      </c>
      <c r="Q459" s="24">
        <v>0</v>
      </c>
      <c r="R459" s="24">
        <v>0</v>
      </c>
      <c r="S459" s="24">
        <v>0</v>
      </c>
      <c r="T459" s="24">
        <v>0</v>
      </c>
      <c r="U459" s="24">
        <v>0</v>
      </c>
      <c r="V459" s="24">
        <v>0</v>
      </c>
      <c r="W459" s="24">
        <v>0</v>
      </c>
      <c r="X459" s="24">
        <v>0</v>
      </c>
      <c r="Y459" s="24">
        <v>0</v>
      </c>
      <c r="Z459" s="24">
        <v>0</v>
      </c>
      <c r="AA459" s="24">
        <v>0</v>
      </c>
      <c r="AB459" s="24">
        <v>0</v>
      </c>
      <c r="AC459" s="30">
        <f t="shared" si="211"/>
        <v>0</v>
      </c>
      <c r="AD459" s="27">
        <f t="shared" si="217"/>
        <v>0</v>
      </c>
      <c r="AE459" s="25">
        <f>IFERROR(_xlfn.XLOOKUP(N459&amp;P459,'Historico Vendas'!G:G,'Historico Vendas'!E:E),0)</f>
        <v>0</v>
      </c>
      <c r="AF459" s="29" t="str">
        <f t="shared" si="214"/>
        <v/>
      </c>
      <c r="AG459" s="24">
        <f>IFERROR(_xlfn.XLOOKUP(N459&amp;P459,'Historico Vendas'!G:G,'Historico Vendas'!F:F),0)</f>
        <v>0</v>
      </c>
      <c r="AH459" s="25">
        <f t="shared" si="218"/>
        <v>0</v>
      </c>
      <c r="AI459" s="24">
        <f t="shared" si="219"/>
        <v>0</v>
      </c>
      <c r="AJ459" s="11" t="str">
        <f t="shared" si="215"/>
        <v/>
      </c>
      <c r="AK459" s="9" t="s">
        <v>102</v>
      </c>
      <c r="AL459" s="13">
        <f>IFERROR(INDEX('Balizador da Meta'!$D$3:$F$23,MATCH(Quantidade!$P459,'Balizador da Meta'!$C$3:$C$23,0),MATCH(Quantidade!AK459,'Balizador da Meta'!$D$2:$F$2,0)),"")</f>
        <v>0</v>
      </c>
      <c r="AM459" s="9"/>
    </row>
    <row r="460" spans="1:39" x14ac:dyDescent="0.3">
      <c r="A460" s="2" t="str">
        <f t="shared" si="212"/>
        <v>NÃO</v>
      </c>
      <c r="B460" s="2" t="str">
        <f>_xlfn.XLOOKUP($N460,'Base de Grupos'!$A:$A,'Base de Grupos'!$D:$D)</f>
        <v>1000065763</v>
      </c>
      <c r="C460" s="5" t="str">
        <f>_xlfn.XLOOKUP($N460,'Base de Grupos'!$A:$A,'Base de Grupos'!$E:$E)</f>
        <v>CANAL VENDA INTERNA</v>
      </c>
      <c r="D460" s="5" t="str">
        <f>_xlfn.XLOOKUP($N460,'Base de Grupos'!$A:$A,'Base de Grupos'!$F:$F)</f>
        <v>1000065763</v>
      </c>
      <c r="E460" s="2" t="str">
        <f>_xlfn.XLOOKUP($N460,'Base de Grupos'!$A:$A,'Base de Grupos'!$G:$G)</f>
        <v>CANAL VENDA INTERNA</v>
      </c>
      <c r="F460" s="2" t="str">
        <f>_xlfn.XLOOKUP($N460,'Base de Grupos'!$A:$A,'Base de Grupos'!$H:$H)</f>
        <v>1000105896</v>
      </c>
      <c r="G460" s="5" t="str">
        <f>_xlfn.XLOOKUP($N460,'Base de Grupos'!$A:$A,'Base de Grupos'!$I:$I)</f>
        <v>REGIONAL VENDA DIRETA SUL</v>
      </c>
      <c r="H460" s="5" t="str">
        <f>_xlfn.XLOOKUP($N460,'Base de Grupos'!$A:$A,'Base de Grupos'!$J:$J)</f>
        <v>1000105896</v>
      </c>
      <c r="I460" s="2" t="str">
        <f>_xlfn.XLOOKUP($N460,'Base de Grupos'!$A:$A,'Base de Grupos'!$K:$K)</f>
        <v>REGIONAL VENDA DIRETA SUL</v>
      </c>
      <c r="J460" s="2" t="str">
        <f>_xlfn.XLOOKUP($N460,'Base de Grupos'!$A:$A,'Base de Grupos'!$L:$L)</f>
        <v>1000176426</v>
      </c>
      <c r="K460" s="5" t="str">
        <f>_xlfn.XLOOKUP($N460,'Base de Grupos'!$A:$A,'Base de Grupos'!$M:$M)</f>
        <v>HEMANUELE ROSA DITZEL</v>
      </c>
      <c r="L460" s="5" t="str">
        <f t="shared" si="213"/>
        <v/>
      </c>
      <c r="M460" s="5" t="str">
        <f>_xlfn.XLOOKUP($N460,'Base de Grupos'!$A:$A,'Base de Grupos'!$C:$C)</f>
        <v>SC</v>
      </c>
      <c r="N460" s="3">
        <v>1364</v>
      </c>
      <c r="O460" s="4" t="s">
        <v>249</v>
      </c>
      <c r="P460" s="5" t="s">
        <v>92</v>
      </c>
      <c r="Q460" s="24">
        <v>0</v>
      </c>
      <c r="R460" s="24">
        <v>0</v>
      </c>
      <c r="S460" s="24">
        <v>0</v>
      </c>
      <c r="T460" s="24">
        <v>0</v>
      </c>
      <c r="U460" s="24">
        <v>0</v>
      </c>
      <c r="V460" s="24">
        <v>0</v>
      </c>
      <c r="W460" s="24">
        <v>0</v>
      </c>
      <c r="X460" s="24">
        <v>0</v>
      </c>
      <c r="Y460" s="24">
        <v>0</v>
      </c>
      <c r="Z460" s="24">
        <v>0</v>
      </c>
      <c r="AA460" s="24">
        <v>0</v>
      </c>
      <c r="AB460" s="24">
        <v>0</v>
      </c>
      <c r="AC460" s="30">
        <f t="shared" si="211"/>
        <v>0</v>
      </c>
      <c r="AD460" s="27">
        <f t="shared" si="217"/>
        <v>0</v>
      </c>
      <c r="AE460" s="25">
        <f>IFERROR(_xlfn.XLOOKUP(N460&amp;P460,'Historico Vendas'!G:G,'Historico Vendas'!E:E),0)</f>
        <v>0</v>
      </c>
      <c r="AF460" s="29" t="str">
        <f t="shared" si="214"/>
        <v/>
      </c>
      <c r="AG460" s="24">
        <f>IFERROR(_xlfn.XLOOKUP(N460&amp;P460,'Historico Vendas'!G:G,'Historico Vendas'!F:F),0)</f>
        <v>0</v>
      </c>
      <c r="AH460" s="25">
        <f t="shared" si="218"/>
        <v>0</v>
      </c>
      <c r="AI460" s="24">
        <f t="shared" si="219"/>
        <v>0</v>
      </c>
      <c r="AJ460" s="11" t="str">
        <f t="shared" si="215"/>
        <v/>
      </c>
      <c r="AK460" s="9" t="s">
        <v>102</v>
      </c>
      <c r="AL460" s="13">
        <f>IFERROR(INDEX('Balizador da Meta'!$D$3:$F$23,MATCH(Quantidade!$P460,'Balizador da Meta'!$C$3:$C$23,0),MATCH(Quantidade!AK460,'Balizador da Meta'!$D$2:$F$2,0)),"")</f>
        <v>0</v>
      </c>
      <c r="AM460" s="9"/>
    </row>
    <row r="461" spans="1:39" x14ac:dyDescent="0.3">
      <c r="A461" s="2" t="str">
        <f t="shared" si="212"/>
        <v>NÃO</v>
      </c>
      <c r="B461" s="2" t="str">
        <f>_xlfn.XLOOKUP($N461,'Base de Grupos'!$A:$A,'Base de Grupos'!$D:$D)</f>
        <v>1000065763</v>
      </c>
      <c r="C461" s="5" t="str">
        <f>_xlfn.XLOOKUP($N461,'Base de Grupos'!$A:$A,'Base de Grupos'!$E:$E)</f>
        <v>CANAL VENDA INTERNA</v>
      </c>
      <c r="D461" s="5" t="str">
        <f>_xlfn.XLOOKUP($N461,'Base de Grupos'!$A:$A,'Base de Grupos'!$F:$F)</f>
        <v>1000065763</v>
      </c>
      <c r="E461" s="2" t="str">
        <f>_xlfn.XLOOKUP($N461,'Base de Grupos'!$A:$A,'Base de Grupos'!$G:$G)</f>
        <v>CANAL VENDA INTERNA</v>
      </c>
      <c r="F461" s="2" t="str">
        <f>_xlfn.XLOOKUP($N461,'Base de Grupos'!$A:$A,'Base de Grupos'!$H:$H)</f>
        <v>1000105896</v>
      </c>
      <c r="G461" s="5" t="str">
        <f>_xlfn.XLOOKUP($N461,'Base de Grupos'!$A:$A,'Base de Grupos'!$I:$I)</f>
        <v>REGIONAL VENDA DIRETA SUL</v>
      </c>
      <c r="H461" s="5" t="str">
        <f>_xlfn.XLOOKUP($N461,'Base de Grupos'!$A:$A,'Base de Grupos'!$J:$J)</f>
        <v>1000105896</v>
      </c>
      <c r="I461" s="2" t="str">
        <f>_xlfn.XLOOKUP($N461,'Base de Grupos'!$A:$A,'Base de Grupos'!$K:$K)</f>
        <v>REGIONAL VENDA DIRETA SUL</v>
      </c>
      <c r="J461" s="2" t="str">
        <f>_xlfn.XLOOKUP($N461,'Base de Grupos'!$A:$A,'Base de Grupos'!$L:$L)</f>
        <v>1000176426</v>
      </c>
      <c r="K461" s="5" t="str">
        <f>_xlfn.XLOOKUP($N461,'Base de Grupos'!$A:$A,'Base de Grupos'!$M:$M)</f>
        <v>HEMANUELE ROSA DITZEL</v>
      </c>
      <c r="L461" s="5" t="str">
        <f t="shared" si="213"/>
        <v/>
      </c>
      <c r="M461" s="5" t="str">
        <f>_xlfn.XLOOKUP($N461,'Base de Grupos'!$A:$A,'Base de Grupos'!$C:$C)</f>
        <v>SC</v>
      </c>
      <c r="N461" s="3">
        <v>1364</v>
      </c>
      <c r="O461" s="4" t="s">
        <v>249</v>
      </c>
      <c r="P461" s="5" t="s">
        <v>86</v>
      </c>
      <c r="Q461" s="24">
        <v>0</v>
      </c>
      <c r="R461" s="24">
        <v>0</v>
      </c>
      <c r="S461" s="24">
        <v>0</v>
      </c>
      <c r="T461" s="24">
        <v>0</v>
      </c>
      <c r="U461" s="24">
        <v>0</v>
      </c>
      <c r="V461" s="24">
        <v>0</v>
      </c>
      <c r="W461" s="24">
        <v>0</v>
      </c>
      <c r="X461" s="24">
        <v>0</v>
      </c>
      <c r="Y461" s="24">
        <v>0</v>
      </c>
      <c r="Z461" s="24">
        <v>0</v>
      </c>
      <c r="AA461" s="24">
        <v>0</v>
      </c>
      <c r="AB461" s="24">
        <v>0</v>
      </c>
      <c r="AC461" s="30">
        <f t="shared" si="211"/>
        <v>0</v>
      </c>
      <c r="AD461" s="27">
        <f t="shared" si="217"/>
        <v>0</v>
      </c>
      <c r="AE461" s="25">
        <f>IFERROR(_xlfn.XLOOKUP(N461&amp;P461,'Historico Vendas'!G:G,'Historico Vendas'!E:E),0)</f>
        <v>0</v>
      </c>
      <c r="AF461" s="29" t="str">
        <f t="shared" si="214"/>
        <v/>
      </c>
      <c r="AG461" s="24">
        <f>IFERROR(_xlfn.XLOOKUP(N461&amp;P461,'Historico Vendas'!G:G,'Historico Vendas'!F:F),0)</f>
        <v>0</v>
      </c>
      <c r="AH461" s="25">
        <f t="shared" si="218"/>
        <v>0</v>
      </c>
      <c r="AI461" s="24">
        <f t="shared" si="219"/>
        <v>0</v>
      </c>
      <c r="AJ461" s="11" t="str">
        <f t="shared" si="215"/>
        <v/>
      </c>
      <c r="AK461" s="9" t="s">
        <v>102</v>
      </c>
      <c r="AL461" s="13">
        <f>IFERROR(INDEX('Balizador da Meta'!$D$3:$F$23,MATCH(Quantidade!$P461,'Balizador da Meta'!$C$3:$C$23,0),MATCH(Quantidade!AK461,'Balizador da Meta'!$D$2:$F$2,0)),"")</f>
        <v>0.15</v>
      </c>
      <c r="AM461" s="9"/>
    </row>
    <row r="462" spans="1:39" x14ac:dyDescent="0.3">
      <c r="A462" s="2" t="str">
        <f t="shared" si="212"/>
        <v>NÃO</v>
      </c>
      <c r="B462" s="2" t="str">
        <f>_xlfn.XLOOKUP($N462,'Base de Grupos'!$A:$A,'Base de Grupos'!$D:$D)</f>
        <v>1000065763</v>
      </c>
      <c r="C462" s="5" t="str">
        <f>_xlfn.XLOOKUP($N462,'Base de Grupos'!$A:$A,'Base de Grupos'!$E:$E)</f>
        <v>CANAL VENDA INTERNA</v>
      </c>
      <c r="D462" s="5" t="str">
        <f>_xlfn.XLOOKUP($N462,'Base de Grupos'!$A:$A,'Base de Grupos'!$F:$F)</f>
        <v>1000065763</v>
      </c>
      <c r="E462" s="2" t="str">
        <f>_xlfn.XLOOKUP($N462,'Base de Grupos'!$A:$A,'Base de Grupos'!$G:$G)</f>
        <v>CANAL VENDA INTERNA</v>
      </c>
      <c r="F462" s="2" t="str">
        <f>_xlfn.XLOOKUP($N462,'Base de Grupos'!$A:$A,'Base de Grupos'!$H:$H)</f>
        <v>1000105896</v>
      </c>
      <c r="G462" s="5" t="str">
        <f>_xlfn.XLOOKUP($N462,'Base de Grupos'!$A:$A,'Base de Grupos'!$I:$I)</f>
        <v>REGIONAL VENDA DIRETA SUL</v>
      </c>
      <c r="H462" s="5" t="str">
        <f>_xlfn.XLOOKUP($N462,'Base de Grupos'!$A:$A,'Base de Grupos'!$J:$J)</f>
        <v>1000105896</v>
      </c>
      <c r="I462" s="2" t="str">
        <f>_xlfn.XLOOKUP($N462,'Base de Grupos'!$A:$A,'Base de Grupos'!$K:$K)</f>
        <v>REGIONAL VENDA DIRETA SUL</v>
      </c>
      <c r="J462" s="2" t="str">
        <f>_xlfn.XLOOKUP($N462,'Base de Grupos'!$A:$A,'Base de Grupos'!$L:$L)</f>
        <v>1000176426</v>
      </c>
      <c r="K462" s="5" t="str">
        <f>_xlfn.XLOOKUP($N462,'Base de Grupos'!$A:$A,'Base de Grupos'!$M:$M)</f>
        <v>HEMANUELE ROSA DITZEL</v>
      </c>
      <c r="L462" s="5" t="str">
        <f t="shared" si="213"/>
        <v/>
      </c>
      <c r="M462" s="5" t="str">
        <f>_xlfn.XLOOKUP($N462,'Base de Grupos'!$A:$A,'Base de Grupos'!$C:$C)</f>
        <v>SC</v>
      </c>
      <c r="N462" s="3">
        <v>1364</v>
      </c>
      <c r="O462" s="4" t="s">
        <v>249</v>
      </c>
      <c r="P462" s="5" t="s">
        <v>108</v>
      </c>
      <c r="Q462" s="24">
        <v>0</v>
      </c>
      <c r="R462" s="24">
        <v>0</v>
      </c>
      <c r="S462" s="24">
        <v>0</v>
      </c>
      <c r="T462" s="24">
        <v>0</v>
      </c>
      <c r="U462" s="24">
        <v>0</v>
      </c>
      <c r="V462" s="24">
        <v>0</v>
      </c>
      <c r="W462" s="24">
        <v>0</v>
      </c>
      <c r="X462" s="24">
        <v>0</v>
      </c>
      <c r="Y462" s="24">
        <v>0</v>
      </c>
      <c r="Z462" s="24">
        <v>0</v>
      </c>
      <c r="AA462" s="24">
        <v>0</v>
      </c>
      <c r="AB462" s="24">
        <v>0</v>
      </c>
      <c r="AC462" s="30">
        <f t="shared" si="211"/>
        <v>0</v>
      </c>
      <c r="AD462" s="27">
        <f t="shared" si="217"/>
        <v>0</v>
      </c>
      <c r="AE462" s="25">
        <f>IFERROR(_xlfn.XLOOKUP(N462&amp;P462,'Historico Vendas'!G:G,'Historico Vendas'!E:E),0)</f>
        <v>0</v>
      </c>
      <c r="AF462" s="29" t="str">
        <f t="shared" si="214"/>
        <v/>
      </c>
      <c r="AG462" s="24">
        <f>IFERROR(_xlfn.XLOOKUP(N462&amp;P462,'Historico Vendas'!G:G,'Historico Vendas'!F:F),0)</f>
        <v>0</v>
      </c>
      <c r="AH462" s="25">
        <f t="shared" si="218"/>
        <v>0</v>
      </c>
      <c r="AI462" s="24">
        <f t="shared" si="219"/>
        <v>0</v>
      </c>
      <c r="AJ462" s="11" t="str">
        <f t="shared" si="215"/>
        <v/>
      </c>
      <c r="AK462" s="9" t="s">
        <v>102</v>
      </c>
      <c r="AL462" s="13">
        <f>IFERROR(INDEX('Balizador da Meta'!$D$3:$F$23,MATCH(Quantidade!$P462,'Balizador da Meta'!$C$3:$C$23,0),MATCH(Quantidade!AK462,'Balizador da Meta'!$D$2:$F$2,0)),"")</f>
        <v>0</v>
      </c>
      <c r="AM462" s="9"/>
    </row>
    <row r="463" spans="1:39" x14ac:dyDescent="0.3">
      <c r="A463" s="2" t="str">
        <f t="shared" si="212"/>
        <v>NÃO</v>
      </c>
      <c r="B463" s="2" t="str">
        <f>_xlfn.XLOOKUP($N463,'Base de Grupos'!$A:$A,'Base de Grupos'!$D:$D)</f>
        <v>1000065763</v>
      </c>
      <c r="C463" s="5" t="str">
        <f>_xlfn.XLOOKUP($N463,'Base de Grupos'!$A:$A,'Base de Grupos'!$E:$E)</f>
        <v>CANAL VENDA INTERNA</v>
      </c>
      <c r="D463" s="5" t="str">
        <f>_xlfn.XLOOKUP($N463,'Base de Grupos'!$A:$A,'Base de Grupos'!$F:$F)</f>
        <v>1000065763</v>
      </c>
      <c r="E463" s="2" t="str">
        <f>_xlfn.XLOOKUP($N463,'Base de Grupos'!$A:$A,'Base de Grupos'!$G:$G)</f>
        <v>CANAL VENDA INTERNA</v>
      </c>
      <c r="F463" s="2" t="str">
        <f>_xlfn.XLOOKUP($N463,'Base de Grupos'!$A:$A,'Base de Grupos'!$H:$H)</f>
        <v>1000105896</v>
      </c>
      <c r="G463" s="5" t="str">
        <f>_xlfn.XLOOKUP($N463,'Base de Grupos'!$A:$A,'Base de Grupos'!$I:$I)</f>
        <v>REGIONAL VENDA DIRETA SUL</v>
      </c>
      <c r="H463" s="5" t="str">
        <f>_xlfn.XLOOKUP($N463,'Base de Grupos'!$A:$A,'Base de Grupos'!$J:$J)</f>
        <v>1000105896</v>
      </c>
      <c r="I463" s="2" t="str">
        <f>_xlfn.XLOOKUP($N463,'Base de Grupos'!$A:$A,'Base de Grupos'!$K:$K)</f>
        <v>REGIONAL VENDA DIRETA SUL</v>
      </c>
      <c r="J463" s="2" t="str">
        <f>_xlfn.XLOOKUP($N463,'Base de Grupos'!$A:$A,'Base de Grupos'!$L:$L)</f>
        <v>1000176426</v>
      </c>
      <c r="K463" s="5" t="str">
        <f>_xlfn.XLOOKUP($N463,'Base de Grupos'!$A:$A,'Base de Grupos'!$M:$M)</f>
        <v>HEMANUELE ROSA DITZEL</v>
      </c>
      <c r="L463" s="5" t="str">
        <f t="shared" si="213"/>
        <v/>
      </c>
      <c r="M463" s="5" t="str">
        <f>_xlfn.XLOOKUP($N463,'Base de Grupos'!$A:$A,'Base de Grupos'!$C:$C)</f>
        <v>SC</v>
      </c>
      <c r="N463" s="3">
        <v>1364</v>
      </c>
      <c r="O463" s="4" t="s">
        <v>249</v>
      </c>
      <c r="P463" s="5" t="s">
        <v>89</v>
      </c>
      <c r="Q463" s="24">
        <v>0</v>
      </c>
      <c r="R463" s="24">
        <v>0</v>
      </c>
      <c r="S463" s="24">
        <v>0</v>
      </c>
      <c r="T463" s="24">
        <v>0</v>
      </c>
      <c r="U463" s="24">
        <v>0</v>
      </c>
      <c r="V463" s="24">
        <v>0</v>
      </c>
      <c r="W463" s="24">
        <v>0</v>
      </c>
      <c r="X463" s="24">
        <v>0</v>
      </c>
      <c r="Y463" s="24">
        <v>0</v>
      </c>
      <c r="Z463" s="24">
        <v>0</v>
      </c>
      <c r="AA463" s="24">
        <v>0</v>
      </c>
      <c r="AB463" s="24">
        <v>0</v>
      </c>
      <c r="AC463" s="30">
        <f t="shared" si="211"/>
        <v>0</v>
      </c>
      <c r="AD463" s="27">
        <f t="shared" si="217"/>
        <v>0</v>
      </c>
      <c r="AE463" s="25">
        <f>IFERROR(_xlfn.XLOOKUP(N463&amp;P463,'Historico Vendas'!G:G,'Historico Vendas'!E:E),0)</f>
        <v>0</v>
      </c>
      <c r="AF463" s="29" t="str">
        <f t="shared" si="214"/>
        <v/>
      </c>
      <c r="AG463" s="24">
        <f>IFERROR(_xlfn.XLOOKUP(N463&amp;P463,'Historico Vendas'!G:G,'Historico Vendas'!F:F),0)</f>
        <v>0</v>
      </c>
      <c r="AH463" s="25">
        <f t="shared" si="218"/>
        <v>0</v>
      </c>
      <c r="AI463" s="24">
        <f t="shared" si="219"/>
        <v>0</v>
      </c>
      <c r="AJ463" s="11" t="str">
        <f t="shared" si="215"/>
        <v/>
      </c>
      <c r="AK463" s="9" t="s">
        <v>102</v>
      </c>
      <c r="AL463" s="13">
        <f>IFERROR(INDEX('Balizador da Meta'!$D$3:$F$23,MATCH(Quantidade!$P463,'Balizador da Meta'!$C$3:$C$23,0),MATCH(Quantidade!AK463,'Balizador da Meta'!$D$2:$F$2,0)),"")</f>
        <v>0.25</v>
      </c>
      <c r="AM463" s="9"/>
    </row>
    <row r="464" spans="1:39" x14ac:dyDescent="0.3">
      <c r="A464" s="2" t="str">
        <f t="shared" si="212"/>
        <v>NÃO</v>
      </c>
      <c r="B464" s="2" t="str">
        <f>_xlfn.XLOOKUP($N464,'Base de Grupos'!$A:$A,'Base de Grupos'!$D:$D)</f>
        <v>1000065763</v>
      </c>
      <c r="C464" s="5" t="str">
        <f>_xlfn.XLOOKUP($N464,'Base de Grupos'!$A:$A,'Base de Grupos'!$E:$E)</f>
        <v>CANAL VENDA INTERNA</v>
      </c>
      <c r="D464" s="5" t="str">
        <f>_xlfn.XLOOKUP($N464,'Base de Grupos'!$A:$A,'Base de Grupos'!$F:$F)</f>
        <v>1000065763</v>
      </c>
      <c r="E464" s="2" t="str">
        <f>_xlfn.XLOOKUP($N464,'Base de Grupos'!$A:$A,'Base de Grupos'!$G:$G)</f>
        <v>CANAL VENDA INTERNA</v>
      </c>
      <c r="F464" s="2" t="str">
        <f>_xlfn.XLOOKUP($N464,'Base de Grupos'!$A:$A,'Base de Grupos'!$H:$H)</f>
        <v>1000105896</v>
      </c>
      <c r="G464" s="5" t="str">
        <f>_xlfn.XLOOKUP($N464,'Base de Grupos'!$A:$A,'Base de Grupos'!$I:$I)</f>
        <v>REGIONAL VENDA DIRETA SUL</v>
      </c>
      <c r="H464" s="5" t="str">
        <f>_xlfn.XLOOKUP($N464,'Base de Grupos'!$A:$A,'Base de Grupos'!$J:$J)</f>
        <v>1000105896</v>
      </c>
      <c r="I464" s="2" t="str">
        <f>_xlfn.XLOOKUP($N464,'Base de Grupos'!$A:$A,'Base de Grupos'!$K:$K)</f>
        <v>REGIONAL VENDA DIRETA SUL</v>
      </c>
      <c r="J464" s="2" t="str">
        <f>_xlfn.XLOOKUP($N464,'Base de Grupos'!$A:$A,'Base de Grupos'!$L:$L)</f>
        <v>1000176426</v>
      </c>
      <c r="K464" s="5" t="str">
        <f>_xlfn.XLOOKUP($N464,'Base de Grupos'!$A:$A,'Base de Grupos'!$M:$M)</f>
        <v>HEMANUELE ROSA DITZEL</v>
      </c>
      <c r="L464" s="5" t="str">
        <f t="shared" si="213"/>
        <v/>
      </c>
      <c r="M464" s="5" t="str">
        <f>_xlfn.XLOOKUP($N464,'Base de Grupos'!$A:$A,'Base de Grupos'!$C:$C)</f>
        <v>SC</v>
      </c>
      <c r="N464" s="3">
        <v>1364</v>
      </c>
      <c r="O464" s="4" t="s">
        <v>249</v>
      </c>
      <c r="P464" s="5" t="s">
        <v>88</v>
      </c>
      <c r="Q464" s="24">
        <v>0</v>
      </c>
      <c r="R464" s="24">
        <v>0</v>
      </c>
      <c r="S464" s="24">
        <v>0</v>
      </c>
      <c r="T464" s="24">
        <v>0</v>
      </c>
      <c r="U464" s="24">
        <v>0</v>
      </c>
      <c r="V464" s="24">
        <v>0</v>
      </c>
      <c r="W464" s="24">
        <v>0</v>
      </c>
      <c r="X464" s="24">
        <v>0</v>
      </c>
      <c r="Y464" s="24">
        <v>0</v>
      </c>
      <c r="Z464" s="24">
        <v>0</v>
      </c>
      <c r="AA464" s="24">
        <v>0</v>
      </c>
      <c r="AB464" s="24">
        <v>0</v>
      </c>
      <c r="AC464" s="30">
        <f t="shared" si="211"/>
        <v>0</v>
      </c>
      <c r="AD464" s="27">
        <f t="shared" si="217"/>
        <v>0</v>
      </c>
      <c r="AE464" s="25">
        <f>IFERROR(_xlfn.XLOOKUP(N464&amp;P464,'Historico Vendas'!G:G,'Historico Vendas'!E:E),0)</f>
        <v>0</v>
      </c>
      <c r="AF464" s="29" t="str">
        <f t="shared" si="214"/>
        <v/>
      </c>
      <c r="AG464" s="24">
        <f>IFERROR(_xlfn.XLOOKUP(N464&amp;P464,'Historico Vendas'!G:G,'Historico Vendas'!F:F),0)</f>
        <v>0</v>
      </c>
      <c r="AH464" s="25">
        <f t="shared" si="218"/>
        <v>0</v>
      </c>
      <c r="AI464" s="24">
        <f t="shared" si="219"/>
        <v>0</v>
      </c>
      <c r="AJ464" s="11" t="str">
        <f t="shared" si="215"/>
        <v/>
      </c>
      <c r="AK464" s="9" t="s">
        <v>102</v>
      </c>
      <c r="AL464" s="13">
        <f>IFERROR(INDEX('Balizador da Meta'!$D$3:$F$23,MATCH(Quantidade!$P464,'Balizador da Meta'!$C$3:$C$23,0),MATCH(Quantidade!AK464,'Balizador da Meta'!$D$2:$F$2,0)),"")</f>
        <v>0</v>
      </c>
      <c r="AM464" s="9"/>
    </row>
    <row r="465" spans="1:39" x14ac:dyDescent="0.3">
      <c r="A465" s="2" t="str">
        <f t="shared" si="212"/>
        <v>NÃO</v>
      </c>
      <c r="B465" s="2" t="str">
        <f>_xlfn.XLOOKUP($N465,'Base de Grupos'!$A:$A,'Base de Grupos'!$D:$D)</f>
        <v>1000065763</v>
      </c>
      <c r="C465" s="5" t="str">
        <f>_xlfn.XLOOKUP($N465,'Base de Grupos'!$A:$A,'Base de Grupos'!$E:$E)</f>
        <v>CANAL VENDA INTERNA</v>
      </c>
      <c r="D465" s="5" t="str">
        <f>_xlfn.XLOOKUP($N465,'Base de Grupos'!$A:$A,'Base de Grupos'!$F:$F)</f>
        <v>1000065763</v>
      </c>
      <c r="E465" s="2" t="str">
        <f>_xlfn.XLOOKUP($N465,'Base de Grupos'!$A:$A,'Base de Grupos'!$G:$G)</f>
        <v>CANAL VENDA INTERNA</v>
      </c>
      <c r="F465" s="2" t="str">
        <f>_xlfn.XLOOKUP($N465,'Base de Grupos'!$A:$A,'Base de Grupos'!$H:$H)</f>
        <v>1000105896</v>
      </c>
      <c r="G465" s="5" t="str">
        <f>_xlfn.XLOOKUP($N465,'Base de Grupos'!$A:$A,'Base de Grupos'!$I:$I)</f>
        <v>REGIONAL VENDA DIRETA SUL</v>
      </c>
      <c r="H465" s="5" t="str">
        <f>_xlfn.XLOOKUP($N465,'Base de Grupos'!$A:$A,'Base de Grupos'!$J:$J)</f>
        <v>1000105896</v>
      </c>
      <c r="I465" s="2" t="str">
        <f>_xlfn.XLOOKUP($N465,'Base de Grupos'!$A:$A,'Base de Grupos'!$K:$K)</f>
        <v>REGIONAL VENDA DIRETA SUL</v>
      </c>
      <c r="J465" s="2" t="str">
        <f>_xlfn.XLOOKUP($N465,'Base de Grupos'!$A:$A,'Base de Grupos'!$L:$L)</f>
        <v>1000176426</v>
      </c>
      <c r="K465" s="5" t="str">
        <f>_xlfn.XLOOKUP($N465,'Base de Grupos'!$A:$A,'Base de Grupos'!$M:$M)</f>
        <v>HEMANUELE ROSA DITZEL</v>
      </c>
      <c r="L465" s="5" t="str">
        <f t="shared" si="213"/>
        <v/>
      </c>
      <c r="M465" s="5" t="str">
        <f>_xlfn.XLOOKUP($N465,'Base de Grupos'!$A:$A,'Base de Grupos'!$C:$C)</f>
        <v>SC</v>
      </c>
      <c r="N465" s="3">
        <v>1364</v>
      </c>
      <c r="O465" s="4" t="s">
        <v>249</v>
      </c>
      <c r="P465" s="5" t="s">
        <v>90</v>
      </c>
      <c r="Q465" s="24">
        <f>SUM(Q466:Q486)</f>
        <v>0</v>
      </c>
      <c r="R465" s="24">
        <f t="shared" ref="R465" si="220">SUM(R466:R486)</f>
        <v>0</v>
      </c>
      <c r="S465" s="24">
        <f t="shared" ref="S465" si="221">SUM(S466:S486)</f>
        <v>0</v>
      </c>
      <c r="T465" s="24">
        <f t="shared" ref="T465:AC465" si="222">SUM(T466:T486)</f>
        <v>0</v>
      </c>
      <c r="U465" s="24">
        <f t="shared" si="222"/>
        <v>0</v>
      </c>
      <c r="V465" s="24">
        <f t="shared" si="222"/>
        <v>0</v>
      </c>
      <c r="W465" s="24">
        <f t="shared" si="222"/>
        <v>0</v>
      </c>
      <c r="X465" s="24">
        <f t="shared" si="222"/>
        <v>0</v>
      </c>
      <c r="Y465" s="24">
        <f t="shared" si="222"/>
        <v>0</v>
      </c>
      <c r="Z465" s="24">
        <f t="shared" si="222"/>
        <v>0</v>
      </c>
      <c r="AA465" s="24">
        <f t="shared" si="222"/>
        <v>0</v>
      </c>
      <c r="AB465" s="24">
        <f t="shared" si="222"/>
        <v>0</v>
      </c>
      <c r="AC465" s="24">
        <f t="shared" si="222"/>
        <v>0</v>
      </c>
      <c r="AD465" s="27">
        <f t="shared" si="217"/>
        <v>0</v>
      </c>
      <c r="AE465" s="25">
        <f>IFERROR(_xlfn.XLOOKUP(N465&amp;P465,'Historico Vendas'!G:G,'Historico Vendas'!E:E),0)</f>
        <v>0</v>
      </c>
      <c r="AF465" s="29" t="str">
        <f t="shared" si="214"/>
        <v/>
      </c>
      <c r="AG465" s="24">
        <f>IFERROR(_xlfn.XLOOKUP(N465&amp;P465,'Historico Vendas'!G:G,'Historico Vendas'!F:F),0)</f>
        <v>0</v>
      </c>
      <c r="AH465" s="25">
        <f t="shared" si="218"/>
        <v>0</v>
      </c>
      <c r="AI465" s="24">
        <f t="shared" si="219"/>
        <v>0</v>
      </c>
      <c r="AJ465" s="11" t="str">
        <f t="shared" si="215"/>
        <v/>
      </c>
      <c r="AK465" s="9" t="s">
        <v>102</v>
      </c>
      <c r="AL465" s="13">
        <f>IFERROR(INDEX('Balizador da Meta'!$D$3:$F$23,MATCH(Quantidade!$P465,'Balizador da Meta'!$C$3:$C$23,0),MATCH(Quantidade!AK465,'Balizador da Meta'!$D$2:$F$2,0)),"")</f>
        <v>0</v>
      </c>
      <c r="AM465" s="9"/>
    </row>
    <row r="466" spans="1:39" x14ac:dyDescent="0.3">
      <c r="A466" s="2" t="str">
        <f t="shared" si="212"/>
        <v>NÃO</v>
      </c>
      <c r="B466" s="2" t="str">
        <f>_xlfn.XLOOKUP($N466,'Base de Grupos'!$A:$A,'Base de Grupos'!$D:$D)</f>
        <v>1000065763</v>
      </c>
      <c r="C466" s="5" t="str">
        <f>_xlfn.XLOOKUP($N466,'Base de Grupos'!$A:$A,'Base de Grupos'!$E:$E)</f>
        <v>CANAL VENDA INTERNA</v>
      </c>
      <c r="D466" s="5" t="str">
        <f>_xlfn.XLOOKUP($N466,'Base de Grupos'!$A:$A,'Base de Grupos'!$F:$F)</f>
        <v>1000065763</v>
      </c>
      <c r="E466" s="2" t="str">
        <f>_xlfn.XLOOKUP($N466,'Base de Grupos'!$A:$A,'Base de Grupos'!$G:$G)</f>
        <v>CANAL VENDA INTERNA</v>
      </c>
      <c r="F466" s="2" t="str">
        <f>_xlfn.XLOOKUP($N466,'Base de Grupos'!$A:$A,'Base de Grupos'!$H:$H)</f>
        <v>1000105896</v>
      </c>
      <c r="G466" s="5" t="str">
        <f>_xlfn.XLOOKUP($N466,'Base de Grupos'!$A:$A,'Base de Grupos'!$I:$I)</f>
        <v>REGIONAL VENDA DIRETA SUL</v>
      </c>
      <c r="H466" s="5" t="str">
        <f>_xlfn.XLOOKUP($N466,'Base de Grupos'!$A:$A,'Base de Grupos'!$J:$J)</f>
        <v>1000105896</v>
      </c>
      <c r="I466" s="2" t="str">
        <f>_xlfn.XLOOKUP($N466,'Base de Grupos'!$A:$A,'Base de Grupos'!$K:$K)</f>
        <v>REGIONAL VENDA DIRETA SUL</v>
      </c>
      <c r="J466" s="2" t="str">
        <f>_xlfn.XLOOKUP($N466,'Base de Grupos'!$A:$A,'Base de Grupos'!$L:$L)</f>
        <v>1000176426</v>
      </c>
      <c r="K466" s="5" t="str">
        <f>_xlfn.XLOOKUP($N466,'Base de Grupos'!$A:$A,'Base de Grupos'!$M:$M)</f>
        <v>HEMANUELE ROSA DITZEL</v>
      </c>
      <c r="L466" s="5" t="str">
        <f t="shared" si="213"/>
        <v/>
      </c>
      <c r="M466" s="5" t="str">
        <f>_xlfn.XLOOKUP($N466,'Base de Grupos'!$A:$A,'Base de Grupos'!$C:$C)</f>
        <v>SC</v>
      </c>
      <c r="N466" s="3">
        <v>1364</v>
      </c>
      <c r="O466" s="4" t="s">
        <v>249</v>
      </c>
      <c r="P466" s="5" t="s">
        <v>91</v>
      </c>
      <c r="Q466" s="24">
        <v>0</v>
      </c>
      <c r="R466" s="24">
        <v>0</v>
      </c>
      <c r="S466" s="24">
        <v>0</v>
      </c>
      <c r="T466" s="24">
        <v>0</v>
      </c>
      <c r="U466" s="24">
        <v>0</v>
      </c>
      <c r="V466" s="24">
        <v>0</v>
      </c>
      <c r="W466" s="24">
        <v>0</v>
      </c>
      <c r="X466" s="24">
        <v>0</v>
      </c>
      <c r="Y466" s="24">
        <v>0</v>
      </c>
      <c r="Z466" s="24">
        <v>0</v>
      </c>
      <c r="AA466" s="24">
        <v>0</v>
      </c>
      <c r="AB466" s="24">
        <v>0</v>
      </c>
      <c r="AC466" s="30">
        <f t="shared" ref="AC466:AC486" si="223">SUM(T466:AB466)</f>
        <v>0</v>
      </c>
      <c r="AD466" s="27">
        <f t="shared" si="217"/>
        <v>0</v>
      </c>
      <c r="AE466" s="25">
        <f>IFERROR(_xlfn.XLOOKUP(N466&amp;P466,'Historico Vendas'!G:G,'Historico Vendas'!E:E),0)</f>
        <v>0</v>
      </c>
      <c r="AF466" s="29" t="str">
        <f t="shared" si="214"/>
        <v/>
      </c>
      <c r="AG466" s="24">
        <f>IFERROR(_xlfn.XLOOKUP(N466&amp;P466,'Historico Vendas'!G:G,'Historico Vendas'!F:F),0)</f>
        <v>0</v>
      </c>
      <c r="AH466" s="25">
        <f t="shared" si="218"/>
        <v>0</v>
      </c>
      <c r="AI466" s="24">
        <f t="shared" si="219"/>
        <v>0</v>
      </c>
      <c r="AJ466" s="11" t="str">
        <f t="shared" si="215"/>
        <v/>
      </c>
      <c r="AK466" s="9" t="s">
        <v>102</v>
      </c>
      <c r="AL466" s="13">
        <f>IFERROR(INDEX('Balizador da Meta'!$D$3:$F$23,MATCH(Quantidade!$P466,'Balizador da Meta'!$C$3:$C$23,0),MATCH(Quantidade!AK466,'Balizador da Meta'!$D$2:$F$2,0)),"")</f>
        <v>0</v>
      </c>
      <c r="AM466" s="9"/>
    </row>
    <row r="467" spans="1:39" x14ac:dyDescent="0.3">
      <c r="A467" s="2" t="str">
        <f t="shared" si="212"/>
        <v>NÃO</v>
      </c>
      <c r="B467" s="2" t="str">
        <f>_xlfn.XLOOKUP($N467,'Base de Grupos'!$A:$A,'Base de Grupos'!$D:$D)</f>
        <v>1000065763</v>
      </c>
      <c r="C467" s="5" t="str">
        <f>_xlfn.XLOOKUP($N467,'Base de Grupos'!$A:$A,'Base de Grupos'!$E:$E)</f>
        <v>CANAL VENDA INTERNA</v>
      </c>
      <c r="D467" s="5" t="str">
        <f>_xlfn.XLOOKUP($N467,'Base de Grupos'!$A:$A,'Base de Grupos'!$F:$F)</f>
        <v>1000065763</v>
      </c>
      <c r="E467" s="2" t="str">
        <f>_xlfn.XLOOKUP($N467,'Base de Grupos'!$A:$A,'Base de Grupos'!$G:$G)</f>
        <v>CANAL VENDA INTERNA</v>
      </c>
      <c r="F467" s="2" t="str">
        <f>_xlfn.XLOOKUP($N467,'Base de Grupos'!$A:$A,'Base de Grupos'!$H:$H)</f>
        <v>1000105896</v>
      </c>
      <c r="G467" s="5" t="str">
        <f>_xlfn.XLOOKUP($N467,'Base de Grupos'!$A:$A,'Base de Grupos'!$I:$I)</f>
        <v>REGIONAL VENDA DIRETA SUL</v>
      </c>
      <c r="H467" s="5" t="str">
        <f>_xlfn.XLOOKUP($N467,'Base de Grupos'!$A:$A,'Base de Grupos'!$J:$J)</f>
        <v>1000105896</v>
      </c>
      <c r="I467" s="2" t="str">
        <f>_xlfn.XLOOKUP($N467,'Base de Grupos'!$A:$A,'Base de Grupos'!$K:$K)</f>
        <v>REGIONAL VENDA DIRETA SUL</v>
      </c>
      <c r="J467" s="2" t="str">
        <f>_xlfn.XLOOKUP($N467,'Base de Grupos'!$A:$A,'Base de Grupos'!$L:$L)</f>
        <v>1000176426</v>
      </c>
      <c r="K467" s="5" t="str">
        <f>_xlfn.XLOOKUP($N467,'Base de Grupos'!$A:$A,'Base de Grupos'!$M:$M)</f>
        <v>HEMANUELE ROSA DITZEL</v>
      </c>
      <c r="L467" s="5" t="str">
        <f t="shared" si="213"/>
        <v/>
      </c>
      <c r="M467" s="5" t="str">
        <f>_xlfn.XLOOKUP($N467,'Base de Grupos'!$A:$A,'Base de Grupos'!$C:$C)</f>
        <v>SC</v>
      </c>
      <c r="N467" s="3">
        <v>1364</v>
      </c>
      <c r="O467" s="4" t="s">
        <v>249</v>
      </c>
      <c r="P467" s="5" t="s">
        <v>96</v>
      </c>
      <c r="Q467" s="24">
        <v>0</v>
      </c>
      <c r="R467" s="24">
        <v>0</v>
      </c>
      <c r="S467" s="24">
        <v>0</v>
      </c>
      <c r="T467" s="24">
        <v>0</v>
      </c>
      <c r="U467" s="24">
        <v>0</v>
      </c>
      <c r="V467" s="24">
        <v>0</v>
      </c>
      <c r="W467" s="24">
        <v>0</v>
      </c>
      <c r="X467" s="24">
        <v>0</v>
      </c>
      <c r="Y467" s="24">
        <v>0</v>
      </c>
      <c r="Z467" s="24">
        <v>0</v>
      </c>
      <c r="AA467" s="24">
        <v>0</v>
      </c>
      <c r="AB467" s="24">
        <v>0</v>
      </c>
      <c r="AC467" s="30">
        <f t="shared" si="223"/>
        <v>0</v>
      </c>
      <c r="AD467" s="27">
        <f t="shared" si="217"/>
        <v>0</v>
      </c>
      <c r="AE467" s="25">
        <f>IFERROR(_xlfn.XLOOKUP(N467&amp;P467,'Historico Vendas'!G:G,'Historico Vendas'!E:E),0)</f>
        <v>0</v>
      </c>
      <c r="AF467" s="29" t="str">
        <f t="shared" si="214"/>
        <v/>
      </c>
      <c r="AG467" s="24">
        <f>IFERROR(_xlfn.XLOOKUP(N467&amp;P467,'Historico Vendas'!G:G,'Historico Vendas'!F:F),0)</f>
        <v>0</v>
      </c>
      <c r="AH467" s="25">
        <f t="shared" si="218"/>
        <v>0</v>
      </c>
      <c r="AI467" s="24">
        <f t="shared" si="219"/>
        <v>0</v>
      </c>
      <c r="AJ467" s="11" t="str">
        <f t="shared" si="215"/>
        <v/>
      </c>
      <c r="AK467" s="9" t="s">
        <v>102</v>
      </c>
      <c r="AL467" s="13">
        <f>IFERROR(INDEX('Balizador da Meta'!$D$3:$F$23,MATCH(Quantidade!$P467,'Balizador da Meta'!$C$3:$C$23,0),MATCH(Quantidade!AK467,'Balizador da Meta'!$D$2:$F$2,0)),"")</f>
        <v>0</v>
      </c>
      <c r="AM467" s="9"/>
    </row>
    <row r="468" spans="1:39" x14ac:dyDescent="0.3">
      <c r="A468" s="2" t="str">
        <f t="shared" si="212"/>
        <v>NÃO</v>
      </c>
      <c r="B468" s="2" t="str">
        <f>_xlfn.XLOOKUP($N468,'Base de Grupos'!$A:$A,'Base de Grupos'!$D:$D)</f>
        <v>1000065763</v>
      </c>
      <c r="C468" s="5" t="str">
        <f>_xlfn.XLOOKUP($N468,'Base de Grupos'!$A:$A,'Base de Grupos'!$E:$E)</f>
        <v>CANAL VENDA INTERNA</v>
      </c>
      <c r="D468" s="5" t="str">
        <f>_xlfn.XLOOKUP($N468,'Base de Grupos'!$A:$A,'Base de Grupos'!$F:$F)</f>
        <v>1000065763</v>
      </c>
      <c r="E468" s="2" t="str">
        <f>_xlfn.XLOOKUP($N468,'Base de Grupos'!$A:$A,'Base de Grupos'!$G:$G)</f>
        <v>CANAL VENDA INTERNA</v>
      </c>
      <c r="F468" s="2" t="str">
        <f>_xlfn.XLOOKUP($N468,'Base de Grupos'!$A:$A,'Base de Grupos'!$H:$H)</f>
        <v>1000105896</v>
      </c>
      <c r="G468" s="5" t="str">
        <f>_xlfn.XLOOKUP($N468,'Base de Grupos'!$A:$A,'Base de Grupos'!$I:$I)</f>
        <v>REGIONAL VENDA DIRETA SUL</v>
      </c>
      <c r="H468" s="5" t="str">
        <f>_xlfn.XLOOKUP($N468,'Base de Grupos'!$A:$A,'Base de Grupos'!$J:$J)</f>
        <v>1000105896</v>
      </c>
      <c r="I468" s="2" t="str">
        <f>_xlfn.XLOOKUP($N468,'Base de Grupos'!$A:$A,'Base de Grupos'!$K:$K)</f>
        <v>REGIONAL VENDA DIRETA SUL</v>
      </c>
      <c r="J468" s="2" t="str">
        <f>_xlfn.XLOOKUP($N468,'Base de Grupos'!$A:$A,'Base de Grupos'!$L:$L)</f>
        <v>1000176426</v>
      </c>
      <c r="K468" s="5" t="str">
        <f>_xlfn.XLOOKUP($N468,'Base de Grupos'!$A:$A,'Base de Grupos'!$M:$M)</f>
        <v>HEMANUELE ROSA DITZEL</v>
      </c>
      <c r="L468" s="5" t="str">
        <f t="shared" si="213"/>
        <v/>
      </c>
      <c r="M468" s="5" t="str">
        <f>_xlfn.XLOOKUP($N468,'Base de Grupos'!$A:$A,'Base de Grupos'!$C:$C)</f>
        <v>SC</v>
      </c>
      <c r="N468" s="3">
        <v>1364</v>
      </c>
      <c r="O468" s="4" t="s">
        <v>249</v>
      </c>
      <c r="P468" s="5" t="s">
        <v>94</v>
      </c>
      <c r="Q468" s="24">
        <v>0</v>
      </c>
      <c r="R468" s="24">
        <v>0</v>
      </c>
      <c r="S468" s="24">
        <v>0</v>
      </c>
      <c r="T468" s="24">
        <v>0</v>
      </c>
      <c r="U468" s="24">
        <v>0</v>
      </c>
      <c r="V468" s="24">
        <v>0</v>
      </c>
      <c r="W468" s="24">
        <v>0</v>
      </c>
      <c r="X468" s="24">
        <v>0</v>
      </c>
      <c r="Y468" s="24">
        <v>0</v>
      </c>
      <c r="Z468" s="24">
        <v>0</v>
      </c>
      <c r="AA468" s="24">
        <v>0</v>
      </c>
      <c r="AB468" s="24">
        <v>0</v>
      </c>
      <c r="AC468" s="30">
        <f t="shared" si="223"/>
        <v>0</v>
      </c>
      <c r="AD468" s="27">
        <f t="shared" si="217"/>
        <v>0</v>
      </c>
      <c r="AE468" s="25">
        <f>IFERROR(_xlfn.XLOOKUP(N468&amp;P468,'Historico Vendas'!G:G,'Historico Vendas'!E:E),0)</f>
        <v>0</v>
      </c>
      <c r="AF468" s="29" t="str">
        <f t="shared" si="214"/>
        <v/>
      </c>
      <c r="AG468" s="24">
        <f>IFERROR(_xlfn.XLOOKUP(N468&amp;P468,'Historico Vendas'!G:G,'Historico Vendas'!F:F),0)</f>
        <v>0</v>
      </c>
      <c r="AH468" s="25">
        <f t="shared" si="218"/>
        <v>0</v>
      </c>
      <c r="AI468" s="24">
        <f t="shared" si="219"/>
        <v>0</v>
      </c>
      <c r="AJ468" s="11" t="str">
        <f t="shared" si="215"/>
        <v/>
      </c>
      <c r="AK468" s="9" t="s">
        <v>102</v>
      </c>
      <c r="AL468" s="13">
        <f>IFERROR(INDEX('Balizador da Meta'!$D$3:$F$23,MATCH(Quantidade!$P468,'Balizador da Meta'!$C$3:$C$23,0),MATCH(Quantidade!AK468,'Balizador da Meta'!$D$2:$F$2,0)),"")</f>
        <v>0.25</v>
      </c>
      <c r="AM468" s="9"/>
    </row>
    <row r="469" spans="1:39" x14ac:dyDescent="0.3">
      <c r="A469" s="2" t="str">
        <f t="shared" si="212"/>
        <v>NÃO</v>
      </c>
      <c r="B469" s="2" t="str">
        <f>_xlfn.XLOOKUP($N469,'Base de Grupos'!$A:$A,'Base de Grupos'!$D:$D)</f>
        <v>1000065763</v>
      </c>
      <c r="C469" s="5" t="str">
        <f>_xlfn.XLOOKUP($N469,'Base de Grupos'!$A:$A,'Base de Grupos'!$E:$E)</f>
        <v>CANAL VENDA INTERNA</v>
      </c>
      <c r="D469" s="5" t="str">
        <f>_xlfn.XLOOKUP($N469,'Base de Grupos'!$A:$A,'Base de Grupos'!$F:$F)</f>
        <v>1000065763</v>
      </c>
      <c r="E469" s="2" t="str">
        <f>_xlfn.XLOOKUP($N469,'Base de Grupos'!$A:$A,'Base de Grupos'!$G:$G)</f>
        <v>CANAL VENDA INTERNA</v>
      </c>
      <c r="F469" s="2" t="str">
        <f>_xlfn.XLOOKUP($N469,'Base de Grupos'!$A:$A,'Base de Grupos'!$H:$H)</f>
        <v>1000105896</v>
      </c>
      <c r="G469" s="5" t="str">
        <f>_xlfn.XLOOKUP($N469,'Base de Grupos'!$A:$A,'Base de Grupos'!$I:$I)</f>
        <v>REGIONAL VENDA DIRETA SUL</v>
      </c>
      <c r="H469" s="5" t="str">
        <f>_xlfn.XLOOKUP($N469,'Base de Grupos'!$A:$A,'Base de Grupos'!$J:$J)</f>
        <v>1000105896</v>
      </c>
      <c r="I469" s="2" t="str">
        <f>_xlfn.XLOOKUP($N469,'Base de Grupos'!$A:$A,'Base de Grupos'!$K:$K)</f>
        <v>REGIONAL VENDA DIRETA SUL</v>
      </c>
      <c r="J469" s="2" t="str">
        <f>_xlfn.XLOOKUP($N469,'Base de Grupos'!$A:$A,'Base de Grupos'!$L:$L)</f>
        <v>1000176426</v>
      </c>
      <c r="K469" s="5" t="str">
        <f>_xlfn.XLOOKUP($N469,'Base de Grupos'!$A:$A,'Base de Grupos'!$M:$M)</f>
        <v>HEMANUELE ROSA DITZEL</v>
      </c>
      <c r="L469" s="5" t="str">
        <f t="shared" si="213"/>
        <v/>
      </c>
      <c r="M469" s="5" t="str">
        <f>_xlfn.XLOOKUP($N469,'Base de Grupos'!$A:$A,'Base de Grupos'!$C:$C)</f>
        <v>SC</v>
      </c>
      <c r="N469" s="3">
        <v>1364</v>
      </c>
      <c r="O469" s="4" t="s">
        <v>249</v>
      </c>
      <c r="P469" s="5" t="s">
        <v>95</v>
      </c>
      <c r="Q469" s="24">
        <v>0</v>
      </c>
      <c r="R469" s="24">
        <v>0</v>
      </c>
      <c r="S469" s="24">
        <v>0</v>
      </c>
      <c r="T469" s="24">
        <v>0</v>
      </c>
      <c r="U469" s="24">
        <v>0</v>
      </c>
      <c r="V469" s="24">
        <v>0</v>
      </c>
      <c r="W469" s="24">
        <v>0</v>
      </c>
      <c r="X469" s="24">
        <v>0</v>
      </c>
      <c r="Y469" s="24">
        <v>0</v>
      </c>
      <c r="Z469" s="24">
        <v>0</v>
      </c>
      <c r="AA469" s="24">
        <v>0</v>
      </c>
      <c r="AB469" s="24">
        <v>0</v>
      </c>
      <c r="AC469" s="30">
        <f t="shared" si="223"/>
        <v>0</v>
      </c>
      <c r="AD469" s="27">
        <f t="shared" si="217"/>
        <v>0</v>
      </c>
      <c r="AE469" s="25">
        <f>IFERROR(_xlfn.XLOOKUP(N469&amp;P469,'Historico Vendas'!G:G,'Historico Vendas'!E:E),0)</f>
        <v>0</v>
      </c>
      <c r="AF469" s="29" t="str">
        <f t="shared" si="214"/>
        <v/>
      </c>
      <c r="AG469" s="24">
        <f>IFERROR(_xlfn.XLOOKUP(N469&amp;P469,'Historico Vendas'!G:G,'Historico Vendas'!F:F),0)</f>
        <v>0</v>
      </c>
      <c r="AH469" s="25">
        <f t="shared" si="218"/>
        <v>0</v>
      </c>
      <c r="AI469" s="24">
        <f t="shared" si="219"/>
        <v>0</v>
      </c>
      <c r="AJ469" s="11" t="str">
        <f t="shared" si="215"/>
        <v/>
      </c>
      <c r="AK469" s="9" t="s">
        <v>102</v>
      </c>
      <c r="AL469" s="13">
        <f>IFERROR(INDEX('Balizador da Meta'!$D$3:$F$23,MATCH(Quantidade!$P469,'Balizador da Meta'!$C$3:$C$23,0),MATCH(Quantidade!AK469,'Balizador da Meta'!$D$2:$F$2,0)),"")</f>
        <v>0.25</v>
      </c>
      <c r="AM469" s="9"/>
    </row>
    <row r="470" spans="1:39" x14ac:dyDescent="0.3">
      <c r="A470" s="2" t="str">
        <f t="shared" si="212"/>
        <v>NÃO</v>
      </c>
      <c r="B470" s="2" t="str">
        <f>_xlfn.XLOOKUP($N470,'Base de Grupos'!$A:$A,'Base de Grupos'!$D:$D)</f>
        <v>1000065763</v>
      </c>
      <c r="C470" s="5" t="str">
        <f>_xlfn.XLOOKUP($N470,'Base de Grupos'!$A:$A,'Base de Grupos'!$E:$E)</f>
        <v>CANAL VENDA INTERNA</v>
      </c>
      <c r="D470" s="5" t="str">
        <f>_xlfn.XLOOKUP($N470,'Base de Grupos'!$A:$A,'Base de Grupos'!$F:$F)</f>
        <v>1000065763</v>
      </c>
      <c r="E470" s="2" t="str">
        <f>_xlfn.XLOOKUP($N470,'Base de Grupos'!$A:$A,'Base de Grupos'!$G:$G)</f>
        <v>CANAL VENDA INTERNA</v>
      </c>
      <c r="F470" s="2" t="str">
        <f>_xlfn.XLOOKUP($N470,'Base de Grupos'!$A:$A,'Base de Grupos'!$H:$H)</f>
        <v>1000105896</v>
      </c>
      <c r="G470" s="5" t="str">
        <f>_xlfn.XLOOKUP($N470,'Base de Grupos'!$A:$A,'Base de Grupos'!$I:$I)</f>
        <v>REGIONAL VENDA DIRETA SUL</v>
      </c>
      <c r="H470" s="5" t="str">
        <f>_xlfn.XLOOKUP($N470,'Base de Grupos'!$A:$A,'Base de Grupos'!$J:$J)</f>
        <v>1000105896</v>
      </c>
      <c r="I470" s="2" t="str">
        <f>_xlfn.XLOOKUP($N470,'Base de Grupos'!$A:$A,'Base de Grupos'!$K:$K)</f>
        <v>REGIONAL VENDA DIRETA SUL</v>
      </c>
      <c r="J470" s="2" t="str">
        <f>_xlfn.XLOOKUP($N470,'Base de Grupos'!$A:$A,'Base de Grupos'!$L:$L)</f>
        <v>1000176426</v>
      </c>
      <c r="K470" s="5" t="str">
        <f>_xlfn.XLOOKUP($N470,'Base de Grupos'!$A:$A,'Base de Grupos'!$M:$M)</f>
        <v>HEMANUELE ROSA DITZEL</v>
      </c>
      <c r="L470" s="5" t="str">
        <f t="shared" si="213"/>
        <v/>
      </c>
      <c r="M470" s="5" t="str">
        <f>_xlfn.XLOOKUP($N470,'Base de Grupos'!$A:$A,'Base de Grupos'!$C:$C)</f>
        <v>SC</v>
      </c>
      <c r="N470" s="3">
        <v>1364</v>
      </c>
      <c r="O470" s="4" t="s">
        <v>249</v>
      </c>
      <c r="P470" s="5" t="s">
        <v>93</v>
      </c>
      <c r="Q470" s="24">
        <v>0</v>
      </c>
      <c r="R470" s="24">
        <v>0</v>
      </c>
      <c r="S470" s="24">
        <v>0</v>
      </c>
      <c r="T470" s="24">
        <v>0</v>
      </c>
      <c r="U470" s="24">
        <v>0</v>
      </c>
      <c r="V470" s="24">
        <v>0</v>
      </c>
      <c r="W470" s="24">
        <v>0</v>
      </c>
      <c r="X470" s="24">
        <v>0</v>
      </c>
      <c r="Y470" s="24">
        <v>0</v>
      </c>
      <c r="Z470" s="24">
        <v>0</v>
      </c>
      <c r="AA470" s="24">
        <v>0</v>
      </c>
      <c r="AB470" s="24">
        <v>0</v>
      </c>
      <c r="AC470" s="30">
        <f t="shared" si="223"/>
        <v>0</v>
      </c>
      <c r="AD470" s="27">
        <f t="shared" si="217"/>
        <v>0</v>
      </c>
      <c r="AE470" s="25">
        <f>IFERROR(_xlfn.XLOOKUP(N470&amp;P470,'Historico Vendas'!G:G,'Historico Vendas'!E:E),0)</f>
        <v>0</v>
      </c>
      <c r="AF470" s="29" t="str">
        <f t="shared" si="214"/>
        <v/>
      </c>
      <c r="AG470" s="24">
        <f>IFERROR(_xlfn.XLOOKUP(N470&amp;P470,'Historico Vendas'!G:G,'Historico Vendas'!F:F),0)</f>
        <v>0</v>
      </c>
      <c r="AH470" s="25">
        <f t="shared" si="218"/>
        <v>0</v>
      </c>
      <c r="AI470" s="24">
        <f t="shared" si="219"/>
        <v>0</v>
      </c>
      <c r="AJ470" s="11" t="str">
        <f t="shared" si="215"/>
        <v/>
      </c>
      <c r="AK470" s="9" t="s">
        <v>102</v>
      </c>
      <c r="AL470" s="13">
        <f>IFERROR(INDEX('Balizador da Meta'!$D$3:$F$23,MATCH(Quantidade!$P470,'Balizador da Meta'!$C$3:$C$23,0),MATCH(Quantidade!AK470,'Balizador da Meta'!$D$2:$F$2,0)),"")</f>
        <v>0.2</v>
      </c>
      <c r="AM470" s="9"/>
    </row>
    <row r="471" spans="1:39" x14ac:dyDescent="0.3">
      <c r="A471" s="2" t="str">
        <f t="shared" si="212"/>
        <v>SIM</v>
      </c>
      <c r="B471" s="2" t="str">
        <f>_xlfn.XLOOKUP($N471,'Base de Grupos'!$A:$A,'Base de Grupos'!$D:$D)</f>
        <v>1000065763</v>
      </c>
      <c r="C471" s="5" t="str">
        <f>_xlfn.XLOOKUP($N471,'Base de Grupos'!$A:$A,'Base de Grupos'!$E:$E)</f>
        <v>CANAL VENDA INTERNA</v>
      </c>
      <c r="D471" s="5" t="str">
        <f>_xlfn.XLOOKUP($N471,'Base de Grupos'!$A:$A,'Base de Grupos'!$F:$F)</f>
        <v>1000065763</v>
      </c>
      <c r="E471" s="2" t="str">
        <f>_xlfn.XLOOKUP($N471,'Base de Grupos'!$A:$A,'Base de Grupos'!$G:$G)</f>
        <v>CANAL VENDA INTERNA</v>
      </c>
      <c r="F471" s="2" t="str">
        <f>_xlfn.XLOOKUP($N471,'Base de Grupos'!$A:$A,'Base de Grupos'!$H:$H)</f>
        <v>1000153245</v>
      </c>
      <c r="G471" s="5" t="str">
        <f>_xlfn.XLOOKUP($N471,'Base de Grupos'!$A:$A,'Base de Grupos'!$I:$I)</f>
        <v>REGIONAL VENDA INTERNA - KEY ACCOUNT</v>
      </c>
      <c r="H471" s="5" t="str">
        <f>_xlfn.XLOOKUP($N471,'Base de Grupos'!$A:$A,'Base de Grupos'!$J:$J)</f>
        <v>1000153245</v>
      </c>
      <c r="I471" s="2" t="str">
        <f>_xlfn.XLOOKUP($N471,'Base de Grupos'!$A:$A,'Base de Grupos'!$K:$K)</f>
        <v>REGIONAL VENDA INTERNA - KEY ACCOUNT</v>
      </c>
      <c r="J471" s="2" t="str">
        <f>_xlfn.XLOOKUP($N471,'Base de Grupos'!$A:$A,'Base de Grupos'!$L:$L)</f>
        <v>1000153245</v>
      </c>
      <c r="K471" s="5" t="str">
        <f>_xlfn.XLOOKUP($N471,'Base de Grupos'!$A:$A,'Base de Grupos'!$M:$M)</f>
        <v>REGIONAL VENDA INTERNA - KEY ACCOUNT</v>
      </c>
      <c r="L471" s="5">
        <f t="shared" si="213"/>
        <v>1</v>
      </c>
      <c r="M471" s="5" t="str">
        <f>_xlfn.XLOOKUP($N471,'Base de Grupos'!$A:$A,'Base de Grupos'!$C:$C)</f>
        <v>PR</v>
      </c>
      <c r="N471" s="3">
        <v>1425</v>
      </c>
      <c r="O471" s="4" t="s">
        <v>250</v>
      </c>
      <c r="P471" s="5" t="s">
        <v>320</v>
      </c>
      <c r="Q471" s="24">
        <v>0</v>
      </c>
      <c r="R471" s="24">
        <v>0</v>
      </c>
      <c r="S471" s="24">
        <v>0</v>
      </c>
      <c r="T471" s="24">
        <v>0</v>
      </c>
      <c r="U471" s="24">
        <v>0</v>
      </c>
      <c r="V471" s="24">
        <v>0</v>
      </c>
      <c r="W471" s="24">
        <v>0</v>
      </c>
      <c r="X471" s="24">
        <v>0</v>
      </c>
      <c r="Y471" s="24">
        <v>0</v>
      </c>
      <c r="Z471" s="24">
        <v>0</v>
      </c>
      <c r="AA471" s="24">
        <v>0</v>
      </c>
      <c r="AB471" s="24">
        <v>0</v>
      </c>
      <c r="AC471" s="30">
        <f t="shared" si="223"/>
        <v>0</v>
      </c>
      <c r="AD471" s="25">
        <f t="shared" ref="AD471:AI471" si="224">SUM(AD472:AD488)</f>
        <v>0</v>
      </c>
      <c r="AE471" s="25">
        <f t="shared" si="224"/>
        <v>0</v>
      </c>
      <c r="AF471" s="11" t="str">
        <f t="shared" si="214"/>
        <v/>
      </c>
      <c r="AG471" s="24">
        <f t="shared" si="224"/>
        <v>0</v>
      </c>
      <c r="AH471" s="25">
        <f t="shared" si="224"/>
        <v>0</v>
      </c>
      <c r="AI471" s="24">
        <f t="shared" si="224"/>
        <v>0</v>
      </c>
      <c r="AJ471" s="11" t="str">
        <f t="shared" si="215"/>
        <v/>
      </c>
      <c r="AK471" s="9"/>
      <c r="AL471" s="13"/>
      <c r="AM471" s="9"/>
    </row>
    <row r="472" spans="1:39" x14ac:dyDescent="0.3">
      <c r="A472" s="2" t="str">
        <f t="shared" si="212"/>
        <v>NÃO</v>
      </c>
      <c r="B472" s="2" t="str">
        <f>_xlfn.XLOOKUP($N472,'Base de Grupos'!$A:$A,'Base de Grupos'!$D:$D)</f>
        <v>1000065763</v>
      </c>
      <c r="C472" s="5" t="str">
        <f>_xlfn.XLOOKUP($N472,'Base de Grupos'!$A:$A,'Base de Grupos'!$E:$E)</f>
        <v>CANAL VENDA INTERNA</v>
      </c>
      <c r="D472" s="5" t="str">
        <f>_xlfn.XLOOKUP($N472,'Base de Grupos'!$A:$A,'Base de Grupos'!$F:$F)</f>
        <v>1000065763</v>
      </c>
      <c r="E472" s="2" t="str">
        <f>_xlfn.XLOOKUP($N472,'Base de Grupos'!$A:$A,'Base de Grupos'!$G:$G)</f>
        <v>CANAL VENDA INTERNA</v>
      </c>
      <c r="F472" s="2" t="str">
        <f>_xlfn.XLOOKUP($N472,'Base de Grupos'!$A:$A,'Base de Grupos'!$H:$H)</f>
        <v>1000153245</v>
      </c>
      <c r="G472" s="5" t="str">
        <f>_xlfn.XLOOKUP($N472,'Base de Grupos'!$A:$A,'Base de Grupos'!$I:$I)</f>
        <v>REGIONAL VENDA INTERNA - KEY ACCOUNT</v>
      </c>
      <c r="H472" s="5" t="str">
        <f>_xlfn.XLOOKUP($N472,'Base de Grupos'!$A:$A,'Base de Grupos'!$J:$J)</f>
        <v>1000153245</v>
      </c>
      <c r="I472" s="2" t="str">
        <f>_xlfn.XLOOKUP($N472,'Base de Grupos'!$A:$A,'Base de Grupos'!$K:$K)</f>
        <v>REGIONAL VENDA INTERNA - KEY ACCOUNT</v>
      </c>
      <c r="J472" s="2" t="str">
        <f>_xlfn.XLOOKUP($N472,'Base de Grupos'!$A:$A,'Base de Grupos'!$L:$L)</f>
        <v>1000153245</v>
      </c>
      <c r="K472" s="5" t="str">
        <f>_xlfn.XLOOKUP($N472,'Base de Grupos'!$A:$A,'Base de Grupos'!$M:$M)</f>
        <v>REGIONAL VENDA INTERNA - KEY ACCOUNT</v>
      </c>
      <c r="L472" s="5" t="str">
        <f t="shared" si="213"/>
        <v/>
      </c>
      <c r="M472" s="5" t="str">
        <f>_xlfn.XLOOKUP($N472,'Base de Grupos'!$A:$A,'Base de Grupos'!$C:$C)</f>
        <v>PR</v>
      </c>
      <c r="N472" s="3">
        <v>1425</v>
      </c>
      <c r="O472" s="4" t="s">
        <v>250</v>
      </c>
      <c r="P472" s="5" t="s">
        <v>81</v>
      </c>
      <c r="Q472" s="24">
        <v>0</v>
      </c>
      <c r="R472" s="24">
        <v>0</v>
      </c>
      <c r="S472" s="24">
        <v>0</v>
      </c>
      <c r="T472" s="24">
        <v>0</v>
      </c>
      <c r="U472" s="24">
        <v>0</v>
      </c>
      <c r="V472" s="24">
        <v>0</v>
      </c>
      <c r="W472" s="24">
        <v>0</v>
      </c>
      <c r="X472" s="24">
        <v>0</v>
      </c>
      <c r="Y472" s="24">
        <v>0</v>
      </c>
      <c r="Z472" s="24">
        <v>0</v>
      </c>
      <c r="AA472" s="24">
        <v>0</v>
      </c>
      <c r="AB472" s="24">
        <v>0</v>
      </c>
      <c r="AC472" s="30">
        <f t="shared" si="223"/>
        <v>0</v>
      </c>
      <c r="AD472" s="27">
        <f t="shared" ref="AD472:AD488" si="225">IF(AC472=0,0,AC472-AG472)</f>
        <v>0</v>
      </c>
      <c r="AE472" s="25">
        <f>IFERROR(_xlfn.XLOOKUP(N472&amp;P472,'Historico Vendas'!G:G,'Historico Vendas'!E:E),0)</f>
        <v>0</v>
      </c>
      <c r="AF472" s="29" t="str">
        <f t="shared" si="214"/>
        <v/>
      </c>
      <c r="AG472" s="24">
        <f>IFERROR(_xlfn.XLOOKUP(N472&amp;P472,'Historico Vendas'!G:G,'Historico Vendas'!F:F),0)</f>
        <v>0</v>
      </c>
      <c r="AH472" s="25">
        <f t="shared" ref="AH472:AH488" si="226">SUM(Q472:S472)</f>
        <v>0</v>
      </c>
      <c r="AI472" s="24">
        <f t="shared" ref="AI472:AI488" si="227">AH472-AG472</f>
        <v>0</v>
      </c>
      <c r="AJ472" s="11" t="str">
        <f t="shared" si="215"/>
        <v/>
      </c>
      <c r="AK472" s="9" t="s">
        <v>102</v>
      </c>
      <c r="AL472" s="13">
        <f>IFERROR(INDEX('Balizador da Meta'!$D$3:$F$23,MATCH(Quantidade!$P472,'Balizador da Meta'!$C$3:$C$23,0),MATCH(Quantidade!AK472,'Balizador da Meta'!$D$2:$F$2,0)),"")</f>
        <v>0.2</v>
      </c>
      <c r="AM472" s="9"/>
    </row>
    <row r="473" spans="1:39" x14ac:dyDescent="0.3">
      <c r="A473" s="2" t="str">
        <f t="shared" si="212"/>
        <v>NÃO</v>
      </c>
      <c r="B473" s="2" t="str">
        <f>_xlfn.XLOOKUP($N473,'Base de Grupos'!$A:$A,'Base de Grupos'!$D:$D)</f>
        <v>1000065763</v>
      </c>
      <c r="C473" s="5" t="str">
        <f>_xlfn.XLOOKUP($N473,'Base de Grupos'!$A:$A,'Base de Grupos'!$E:$E)</f>
        <v>CANAL VENDA INTERNA</v>
      </c>
      <c r="D473" s="5" t="str">
        <f>_xlfn.XLOOKUP($N473,'Base de Grupos'!$A:$A,'Base de Grupos'!$F:$F)</f>
        <v>1000065763</v>
      </c>
      <c r="E473" s="2" t="str">
        <f>_xlfn.XLOOKUP($N473,'Base de Grupos'!$A:$A,'Base de Grupos'!$G:$G)</f>
        <v>CANAL VENDA INTERNA</v>
      </c>
      <c r="F473" s="2" t="str">
        <f>_xlfn.XLOOKUP($N473,'Base de Grupos'!$A:$A,'Base de Grupos'!$H:$H)</f>
        <v>1000153245</v>
      </c>
      <c r="G473" s="5" t="str">
        <f>_xlfn.XLOOKUP($N473,'Base de Grupos'!$A:$A,'Base de Grupos'!$I:$I)</f>
        <v>REGIONAL VENDA INTERNA - KEY ACCOUNT</v>
      </c>
      <c r="H473" s="5" t="str">
        <f>_xlfn.XLOOKUP($N473,'Base de Grupos'!$A:$A,'Base de Grupos'!$J:$J)</f>
        <v>1000153245</v>
      </c>
      <c r="I473" s="2" t="str">
        <f>_xlfn.XLOOKUP($N473,'Base de Grupos'!$A:$A,'Base de Grupos'!$K:$K)</f>
        <v>REGIONAL VENDA INTERNA - KEY ACCOUNT</v>
      </c>
      <c r="J473" s="2" t="str">
        <f>_xlfn.XLOOKUP($N473,'Base de Grupos'!$A:$A,'Base de Grupos'!$L:$L)</f>
        <v>1000153245</v>
      </c>
      <c r="K473" s="5" t="str">
        <f>_xlfn.XLOOKUP($N473,'Base de Grupos'!$A:$A,'Base de Grupos'!$M:$M)</f>
        <v>REGIONAL VENDA INTERNA - KEY ACCOUNT</v>
      </c>
      <c r="L473" s="5" t="str">
        <f t="shared" si="213"/>
        <v/>
      </c>
      <c r="M473" s="5" t="str">
        <f>_xlfn.XLOOKUP($N473,'Base de Grupos'!$A:$A,'Base de Grupos'!$C:$C)</f>
        <v>PR</v>
      </c>
      <c r="N473" s="3">
        <v>1425</v>
      </c>
      <c r="O473" s="4" t="s">
        <v>250</v>
      </c>
      <c r="P473" s="5" t="s">
        <v>82</v>
      </c>
      <c r="Q473" s="24">
        <v>0</v>
      </c>
      <c r="R473" s="24">
        <v>0</v>
      </c>
      <c r="S473" s="24">
        <v>0</v>
      </c>
      <c r="T473" s="24">
        <v>0</v>
      </c>
      <c r="U473" s="24">
        <v>0</v>
      </c>
      <c r="V473" s="24">
        <v>0</v>
      </c>
      <c r="W473" s="24">
        <v>0</v>
      </c>
      <c r="X473" s="24">
        <v>0</v>
      </c>
      <c r="Y473" s="24">
        <v>0</v>
      </c>
      <c r="Z473" s="24">
        <v>0</v>
      </c>
      <c r="AA473" s="24">
        <v>0</v>
      </c>
      <c r="AB473" s="24">
        <v>0</v>
      </c>
      <c r="AC473" s="30">
        <f t="shared" si="223"/>
        <v>0</v>
      </c>
      <c r="AD473" s="27">
        <f t="shared" si="225"/>
        <v>0</v>
      </c>
      <c r="AE473" s="25">
        <f>IFERROR(_xlfn.XLOOKUP(N473&amp;P473,'Historico Vendas'!G:G,'Historico Vendas'!E:E),0)</f>
        <v>0</v>
      </c>
      <c r="AF473" s="29" t="str">
        <f t="shared" si="214"/>
        <v/>
      </c>
      <c r="AG473" s="24">
        <f>IFERROR(_xlfn.XLOOKUP(N473&amp;P473,'Historico Vendas'!G:G,'Historico Vendas'!F:F),0)</f>
        <v>0</v>
      </c>
      <c r="AH473" s="25">
        <f t="shared" si="226"/>
        <v>0</v>
      </c>
      <c r="AI473" s="24">
        <f t="shared" si="227"/>
        <v>0</v>
      </c>
      <c r="AJ473" s="11" t="str">
        <f t="shared" si="215"/>
        <v/>
      </c>
      <c r="AK473" s="9" t="s">
        <v>102</v>
      </c>
      <c r="AL473" s="13">
        <f>IFERROR(INDEX('Balizador da Meta'!$D$3:$F$23,MATCH(Quantidade!$P473,'Balizador da Meta'!$C$3:$C$23,0),MATCH(Quantidade!AK473,'Balizador da Meta'!$D$2:$F$2,0)),"")</f>
        <v>0.2</v>
      </c>
      <c r="AM473" s="9"/>
    </row>
    <row r="474" spans="1:39" x14ac:dyDescent="0.3">
      <c r="A474" s="2" t="str">
        <f t="shared" si="212"/>
        <v>NÃO</v>
      </c>
      <c r="B474" s="2" t="str">
        <f>_xlfn.XLOOKUP($N474,'Base de Grupos'!$A:$A,'Base de Grupos'!$D:$D)</f>
        <v>1000065763</v>
      </c>
      <c r="C474" s="5" t="str">
        <f>_xlfn.XLOOKUP($N474,'Base de Grupos'!$A:$A,'Base de Grupos'!$E:$E)</f>
        <v>CANAL VENDA INTERNA</v>
      </c>
      <c r="D474" s="5" t="str">
        <f>_xlfn.XLOOKUP($N474,'Base de Grupos'!$A:$A,'Base de Grupos'!$F:$F)</f>
        <v>1000065763</v>
      </c>
      <c r="E474" s="2" t="str">
        <f>_xlfn.XLOOKUP($N474,'Base de Grupos'!$A:$A,'Base de Grupos'!$G:$G)</f>
        <v>CANAL VENDA INTERNA</v>
      </c>
      <c r="F474" s="2" t="str">
        <f>_xlfn.XLOOKUP($N474,'Base de Grupos'!$A:$A,'Base de Grupos'!$H:$H)</f>
        <v>1000153245</v>
      </c>
      <c r="G474" s="5" t="str">
        <f>_xlfn.XLOOKUP($N474,'Base de Grupos'!$A:$A,'Base de Grupos'!$I:$I)</f>
        <v>REGIONAL VENDA INTERNA - KEY ACCOUNT</v>
      </c>
      <c r="H474" s="5" t="str">
        <f>_xlfn.XLOOKUP($N474,'Base de Grupos'!$A:$A,'Base de Grupos'!$J:$J)</f>
        <v>1000153245</v>
      </c>
      <c r="I474" s="2" t="str">
        <f>_xlfn.XLOOKUP($N474,'Base de Grupos'!$A:$A,'Base de Grupos'!$K:$K)</f>
        <v>REGIONAL VENDA INTERNA - KEY ACCOUNT</v>
      </c>
      <c r="J474" s="2" t="str">
        <f>_xlfn.XLOOKUP($N474,'Base de Grupos'!$A:$A,'Base de Grupos'!$L:$L)</f>
        <v>1000153245</v>
      </c>
      <c r="K474" s="5" t="str">
        <f>_xlfn.XLOOKUP($N474,'Base de Grupos'!$A:$A,'Base de Grupos'!$M:$M)</f>
        <v>REGIONAL VENDA INTERNA - KEY ACCOUNT</v>
      </c>
      <c r="L474" s="5" t="str">
        <f t="shared" si="213"/>
        <v/>
      </c>
      <c r="M474" s="5" t="str">
        <f>_xlfn.XLOOKUP($N474,'Base de Grupos'!$A:$A,'Base de Grupos'!$C:$C)</f>
        <v>PR</v>
      </c>
      <c r="N474" s="3">
        <v>1425</v>
      </c>
      <c r="O474" s="4" t="s">
        <v>250</v>
      </c>
      <c r="P474" s="5" t="s">
        <v>84</v>
      </c>
      <c r="Q474" s="24">
        <v>0</v>
      </c>
      <c r="R474" s="24">
        <v>0</v>
      </c>
      <c r="S474" s="24">
        <v>0</v>
      </c>
      <c r="T474" s="24">
        <v>0</v>
      </c>
      <c r="U474" s="24">
        <v>0</v>
      </c>
      <c r="V474" s="24">
        <v>0</v>
      </c>
      <c r="W474" s="24">
        <v>0</v>
      </c>
      <c r="X474" s="24">
        <v>0</v>
      </c>
      <c r="Y474" s="24">
        <v>0</v>
      </c>
      <c r="Z474" s="24">
        <v>0</v>
      </c>
      <c r="AA474" s="24">
        <v>0</v>
      </c>
      <c r="AB474" s="24">
        <v>0</v>
      </c>
      <c r="AC474" s="30">
        <f t="shared" si="223"/>
        <v>0</v>
      </c>
      <c r="AD474" s="27">
        <f t="shared" si="225"/>
        <v>0</v>
      </c>
      <c r="AE474" s="25">
        <f>IFERROR(_xlfn.XLOOKUP(N474&amp;P474,'Historico Vendas'!G:G,'Historico Vendas'!E:E),0)</f>
        <v>0</v>
      </c>
      <c r="AF474" s="29" t="str">
        <f t="shared" si="214"/>
        <v/>
      </c>
      <c r="AG474" s="24">
        <f>IFERROR(_xlfn.XLOOKUP(N474&amp;P474,'Historico Vendas'!G:G,'Historico Vendas'!F:F),0)</f>
        <v>0</v>
      </c>
      <c r="AH474" s="25">
        <f t="shared" si="226"/>
        <v>0</v>
      </c>
      <c r="AI474" s="24">
        <f t="shared" si="227"/>
        <v>0</v>
      </c>
      <c r="AJ474" s="11" t="str">
        <f t="shared" si="215"/>
        <v/>
      </c>
      <c r="AK474" s="9" t="s">
        <v>102</v>
      </c>
      <c r="AL474" s="13">
        <f>IFERROR(INDEX('Balizador da Meta'!$D$3:$F$23,MATCH(Quantidade!$P474,'Balizador da Meta'!$C$3:$C$23,0),MATCH(Quantidade!AK474,'Balizador da Meta'!$D$2:$F$2,0)),"")</f>
        <v>0.15</v>
      </c>
      <c r="AM474" s="9"/>
    </row>
    <row r="475" spans="1:39" x14ac:dyDescent="0.3">
      <c r="A475" s="2" t="str">
        <f t="shared" si="212"/>
        <v>NÃO</v>
      </c>
      <c r="B475" s="2" t="str">
        <f>_xlfn.XLOOKUP($N475,'Base de Grupos'!$A:$A,'Base de Grupos'!$D:$D)</f>
        <v>1000065763</v>
      </c>
      <c r="C475" s="5" t="str">
        <f>_xlfn.XLOOKUP($N475,'Base de Grupos'!$A:$A,'Base de Grupos'!$E:$E)</f>
        <v>CANAL VENDA INTERNA</v>
      </c>
      <c r="D475" s="5" t="str">
        <f>_xlfn.XLOOKUP($N475,'Base de Grupos'!$A:$A,'Base de Grupos'!$F:$F)</f>
        <v>1000065763</v>
      </c>
      <c r="E475" s="2" t="str">
        <f>_xlfn.XLOOKUP($N475,'Base de Grupos'!$A:$A,'Base de Grupos'!$G:$G)</f>
        <v>CANAL VENDA INTERNA</v>
      </c>
      <c r="F475" s="2" t="str">
        <f>_xlfn.XLOOKUP($N475,'Base de Grupos'!$A:$A,'Base de Grupos'!$H:$H)</f>
        <v>1000153245</v>
      </c>
      <c r="G475" s="5" t="str">
        <f>_xlfn.XLOOKUP($N475,'Base de Grupos'!$A:$A,'Base de Grupos'!$I:$I)</f>
        <v>REGIONAL VENDA INTERNA - KEY ACCOUNT</v>
      </c>
      <c r="H475" s="5" t="str">
        <f>_xlfn.XLOOKUP($N475,'Base de Grupos'!$A:$A,'Base de Grupos'!$J:$J)</f>
        <v>1000153245</v>
      </c>
      <c r="I475" s="2" t="str">
        <f>_xlfn.XLOOKUP($N475,'Base de Grupos'!$A:$A,'Base de Grupos'!$K:$K)</f>
        <v>REGIONAL VENDA INTERNA - KEY ACCOUNT</v>
      </c>
      <c r="J475" s="2" t="str">
        <f>_xlfn.XLOOKUP($N475,'Base de Grupos'!$A:$A,'Base de Grupos'!$L:$L)</f>
        <v>1000153245</v>
      </c>
      <c r="K475" s="5" t="str">
        <f>_xlfn.XLOOKUP($N475,'Base de Grupos'!$A:$A,'Base de Grupos'!$M:$M)</f>
        <v>REGIONAL VENDA INTERNA - KEY ACCOUNT</v>
      </c>
      <c r="L475" s="5" t="str">
        <f t="shared" si="213"/>
        <v/>
      </c>
      <c r="M475" s="5" t="str">
        <f>_xlfn.XLOOKUP($N475,'Base de Grupos'!$A:$A,'Base de Grupos'!$C:$C)</f>
        <v>PR</v>
      </c>
      <c r="N475" s="3">
        <v>1425</v>
      </c>
      <c r="O475" s="4" t="s">
        <v>250</v>
      </c>
      <c r="P475" s="5" t="s">
        <v>83</v>
      </c>
      <c r="Q475" s="24">
        <v>0</v>
      </c>
      <c r="R475" s="24">
        <v>0</v>
      </c>
      <c r="S475" s="24">
        <v>0</v>
      </c>
      <c r="T475" s="24">
        <v>0</v>
      </c>
      <c r="U475" s="24">
        <v>0</v>
      </c>
      <c r="V475" s="24">
        <v>0</v>
      </c>
      <c r="W475" s="24">
        <v>0</v>
      </c>
      <c r="X475" s="24">
        <v>0</v>
      </c>
      <c r="Y475" s="24">
        <v>0</v>
      </c>
      <c r="Z475" s="24">
        <v>0</v>
      </c>
      <c r="AA475" s="24">
        <v>0</v>
      </c>
      <c r="AB475" s="24">
        <v>0</v>
      </c>
      <c r="AC475" s="30">
        <f t="shared" si="223"/>
        <v>0</v>
      </c>
      <c r="AD475" s="27">
        <f t="shared" si="225"/>
        <v>0</v>
      </c>
      <c r="AE475" s="25">
        <f>IFERROR(_xlfn.XLOOKUP(N475&amp;P475,'Historico Vendas'!G:G,'Historico Vendas'!E:E),0)</f>
        <v>0</v>
      </c>
      <c r="AF475" s="29" t="str">
        <f t="shared" si="214"/>
        <v/>
      </c>
      <c r="AG475" s="24">
        <f>IFERROR(_xlfn.XLOOKUP(N475&amp;P475,'Historico Vendas'!G:G,'Historico Vendas'!F:F),0)</f>
        <v>0</v>
      </c>
      <c r="AH475" s="25">
        <f t="shared" si="226"/>
        <v>0</v>
      </c>
      <c r="AI475" s="24">
        <f t="shared" si="227"/>
        <v>0</v>
      </c>
      <c r="AJ475" s="11" t="str">
        <f t="shared" si="215"/>
        <v/>
      </c>
      <c r="AK475" s="9" t="s">
        <v>102</v>
      </c>
      <c r="AL475" s="13">
        <f>IFERROR(INDEX('Balizador da Meta'!$D$3:$F$23,MATCH(Quantidade!$P475,'Balizador da Meta'!$C$3:$C$23,0),MATCH(Quantidade!AK475,'Balizador da Meta'!$D$2:$F$2,0)),"")</f>
        <v>0</v>
      </c>
      <c r="AM475" s="9"/>
    </row>
    <row r="476" spans="1:39" x14ac:dyDescent="0.3">
      <c r="A476" s="2" t="str">
        <f t="shared" si="212"/>
        <v>NÃO</v>
      </c>
      <c r="B476" s="2" t="str">
        <f>_xlfn.XLOOKUP($N476,'Base de Grupos'!$A:$A,'Base de Grupos'!$D:$D)</f>
        <v>1000065763</v>
      </c>
      <c r="C476" s="5" t="str">
        <f>_xlfn.XLOOKUP($N476,'Base de Grupos'!$A:$A,'Base de Grupos'!$E:$E)</f>
        <v>CANAL VENDA INTERNA</v>
      </c>
      <c r="D476" s="5" t="str">
        <f>_xlfn.XLOOKUP($N476,'Base de Grupos'!$A:$A,'Base de Grupos'!$F:$F)</f>
        <v>1000065763</v>
      </c>
      <c r="E476" s="2" t="str">
        <f>_xlfn.XLOOKUP($N476,'Base de Grupos'!$A:$A,'Base de Grupos'!$G:$G)</f>
        <v>CANAL VENDA INTERNA</v>
      </c>
      <c r="F476" s="2" t="str">
        <f>_xlfn.XLOOKUP($N476,'Base de Grupos'!$A:$A,'Base de Grupos'!$H:$H)</f>
        <v>1000153245</v>
      </c>
      <c r="G476" s="5" t="str">
        <f>_xlfn.XLOOKUP($N476,'Base de Grupos'!$A:$A,'Base de Grupos'!$I:$I)</f>
        <v>REGIONAL VENDA INTERNA - KEY ACCOUNT</v>
      </c>
      <c r="H476" s="5" t="str">
        <f>_xlfn.XLOOKUP($N476,'Base de Grupos'!$A:$A,'Base de Grupos'!$J:$J)</f>
        <v>1000153245</v>
      </c>
      <c r="I476" s="2" t="str">
        <f>_xlfn.XLOOKUP($N476,'Base de Grupos'!$A:$A,'Base de Grupos'!$K:$K)</f>
        <v>REGIONAL VENDA INTERNA - KEY ACCOUNT</v>
      </c>
      <c r="J476" s="2" t="str">
        <f>_xlfn.XLOOKUP($N476,'Base de Grupos'!$A:$A,'Base de Grupos'!$L:$L)</f>
        <v>1000153245</v>
      </c>
      <c r="K476" s="5" t="str">
        <f>_xlfn.XLOOKUP($N476,'Base de Grupos'!$A:$A,'Base de Grupos'!$M:$M)</f>
        <v>REGIONAL VENDA INTERNA - KEY ACCOUNT</v>
      </c>
      <c r="L476" s="5" t="str">
        <f t="shared" si="213"/>
        <v/>
      </c>
      <c r="M476" s="5" t="str">
        <f>_xlfn.XLOOKUP($N476,'Base de Grupos'!$A:$A,'Base de Grupos'!$C:$C)</f>
        <v>PR</v>
      </c>
      <c r="N476" s="3">
        <v>1425</v>
      </c>
      <c r="O476" s="4" t="s">
        <v>250</v>
      </c>
      <c r="P476" s="5" t="s">
        <v>87</v>
      </c>
      <c r="Q476" s="24">
        <v>0</v>
      </c>
      <c r="R476" s="24">
        <v>0</v>
      </c>
      <c r="S476" s="24">
        <v>0</v>
      </c>
      <c r="T476" s="24">
        <v>0</v>
      </c>
      <c r="U476" s="24">
        <v>0</v>
      </c>
      <c r="V476" s="24">
        <v>0</v>
      </c>
      <c r="W476" s="24">
        <v>0</v>
      </c>
      <c r="X476" s="24">
        <v>0</v>
      </c>
      <c r="Y476" s="24">
        <v>0</v>
      </c>
      <c r="Z476" s="24">
        <v>0</v>
      </c>
      <c r="AA476" s="24">
        <v>0</v>
      </c>
      <c r="AB476" s="24">
        <v>0</v>
      </c>
      <c r="AC476" s="30">
        <f t="shared" si="223"/>
        <v>0</v>
      </c>
      <c r="AD476" s="27">
        <f t="shared" si="225"/>
        <v>0</v>
      </c>
      <c r="AE476" s="25">
        <f>IFERROR(_xlfn.XLOOKUP(N476&amp;P476,'Historico Vendas'!G:G,'Historico Vendas'!E:E),0)</f>
        <v>0</v>
      </c>
      <c r="AF476" s="29" t="str">
        <f t="shared" si="214"/>
        <v/>
      </c>
      <c r="AG476" s="24">
        <f>IFERROR(_xlfn.XLOOKUP(N476&amp;P476,'Historico Vendas'!G:G,'Historico Vendas'!F:F),0)</f>
        <v>0</v>
      </c>
      <c r="AH476" s="25">
        <f t="shared" si="226"/>
        <v>0</v>
      </c>
      <c r="AI476" s="24">
        <f t="shared" si="227"/>
        <v>0</v>
      </c>
      <c r="AJ476" s="11" t="str">
        <f t="shared" si="215"/>
        <v/>
      </c>
      <c r="AK476" s="9" t="s">
        <v>102</v>
      </c>
      <c r="AL476" s="13">
        <f>IFERROR(INDEX('Balizador da Meta'!$D$3:$F$23,MATCH(Quantidade!$P476,'Balizador da Meta'!$C$3:$C$23,0),MATCH(Quantidade!AK476,'Balizador da Meta'!$D$2:$F$2,0)),"")</f>
        <v>0</v>
      </c>
      <c r="AM476" s="9"/>
    </row>
    <row r="477" spans="1:39" x14ac:dyDescent="0.3">
      <c r="A477" s="2" t="str">
        <f t="shared" si="212"/>
        <v>NÃO</v>
      </c>
      <c r="B477" s="2" t="str">
        <f>_xlfn.XLOOKUP($N477,'Base de Grupos'!$A:$A,'Base de Grupos'!$D:$D)</f>
        <v>1000065763</v>
      </c>
      <c r="C477" s="5" t="str">
        <f>_xlfn.XLOOKUP($N477,'Base de Grupos'!$A:$A,'Base de Grupos'!$E:$E)</f>
        <v>CANAL VENDA INTERNA</v>
      </c>
      <c r="D477" s="5" t="str">
        <f>_xlfn.XLOOKUP($N477,'Base de Grupos'!$A:$A,'Base de Grupos'!$F:$F)</f>
        <v>1000065763</v>
      </c>
      <c r="E477" s="2" t="str">
        <f>_xlfn.XLOOKUP($N477,'Base de Grupos'!$A:$A,'Base de Grupos'!$G:$G)</f>
        <v>CANAL VENDA INTERNA</v>
      </c>
      <c r="F477" s="2" t="str">
        <f>_xlfn.XLOOKUP($N477,'Base de Grupos'!$A:$A,'Base de Grupos'!$H:$H)</f>
        <v>1000153245</v>
      </c>
      <c r="G477" s="5" t="str">
        <f>_xlfn.XLOOKUP($N477,'Base de Grupos'!$A:$A,'Base de Grupos'!$I:$I)</f>
        <v>REGIONAL VENDA INTERNA - KEY ACCOUNT</v>
      </c>
      <c r="H477" s="5" t="str">
        <f>_xlfn.XLOOKUP($N477,'Base de Grupos'!$A:$A,'Base de Grupos'!$J:$J)</f>
        <v>1000153245</v>
      </c>
      <c r="I477" s="2" t="str">
        <f>_xlfn.XLOOKUP($N477,'Base de Grupos'!$A:$A,'Base de Grupos'!$K:$K)</f>
        <v>REGIONAL VENDA INTERNA - KEY ACCOUNT</v>
      </c>
      <c r="J477" s="2" t="str">
        <f>_xlfn.XLOOKUP($N477,'Base de Grupos'!$A:$A,'Base de Grupos'!$L:$L)</f>
        <v>1000153245</v>
      </c>
      <c r="K477" s="5" t="str">
        <f>_xlfn.XLOOKUP($N477,'Base de Grupos'!$A:$A,'Base de Grupos'!$M:$M)</f>
        <v>REGIONAL VENDA INTERNA - KEY ACCOUNT</v>
      </c>
      <c r="L477" s="5" t="str">
        <f t="shared" si="213"/>
        <v/>
      </c>
      <c r="M477" s="5" t="str">
        <f>_xlfn.XLOOKUP($N477,'Base de Grupos'!$A:$A,'Base de Grupos'!$C:$C)</f>
        <v>PR</v>
      </c>
      <c r="N477" s="3">
        <v>1425</v>
      </c>
      <c r="O477" s="4" t="s">
        <v>250</v>
      </c>
      <c r="P477" s="5" t="s">
        <v>85</v>
      </c>
      <c r="Q477" s="24">
        <v>0</v>
      </c>
      <c r="R477" s="24">
        <v>0</v>
      </c>
      <c r="S477" s="24">
        <v>0</v>
      </c>
      <c r="T477" s="24">
        <v>0</v>
      </c>
      <c r="U477" s="24">
        <v>0</v>
      </c>
      <c r="V477" s="24">
        <v>0</v>
      </c>
      <c r="W477" s="24">
        <v>0</v>
      </c>
      <c r="X477" s="24">
        <v>0</v>
      </c>
      <c r="Y477" s="24">
        <v>0</v>
      </c>
      <c r="Z477" s="24">
        <v>0</v>
      </c>
      <c r="AA477" s="24">
        <v>0</v>
      </c>
      <c r="AB477" s="24">
        <v>0</v>
      </c>
      <c r="AC477" s="30">
        <f t="shared" si="223"/>
        <v>0</v>
      </c>
      <c r="AD477" s="27">
        <f t="shared" si="225"/>
        <v>0</v>
      </c>
      <c r="AE477" s="25">
        <f>IFERROR(_xlfn.XLOOKUP(N477&amp;P477,'Historico Vendas'!G:G,'Historico Vendas'!E:E),0)</f>
        <v>0</v>
      </c>
      <c r="AF477" s="29" t="str">
        <f t="shared" si="214"/>
        <v/>
      </c>
      <c r="AG477" s="24">
        <f>IFERROR(_xlfn.XLOOKUP(N477&amp;P477,'Historico Vendas'!G:G,'Historico Vendas'!F:F),0)</f>
        <v>0</v>
      </c>
      <c r="AH477" s="25">
        <f t="shared" si="226"/>
        <v>0</v>
      </c>
      <c r="AI477" s="24">
        <f t="shared" si="227"/>
        <v>0</v>
      </c>
      <c r="AJ477" s="11" t="str">
        <f t="shared" si="215"/>
        <v/>
      </c>
      <c r="AK477" s="9" t="s">
        <v>102</v>
      </c>
      <c r="AL477" s="13">
        <f>IFERROR(INDEX('Balizador da Meta'!$D$3:$F$23,MATCH(Quantidade!$P477,'Balizador da Meta'!$C$3:$C$23,0),MATCH(Quantidade!AK477,'Balizador da Meta'!$D$2:$F$2,0)),"")</f>
        <v>0</v>
      </c>
      <c r="AM477" s="9"/>
    </row>
    <row r="478" spans="1:39" x14ac:dyDescent="0.3">
      <c r="A478" s="2" t="str">
        <f t="shared" si="212"/>
        <v>NÃO</v>
      </c>
      <c r="B478" s="2" t="str">
        <f>_xlfn.XLOOKUP($N478,'Base de Grupos'!$A:$A,'Base de Grupos'!$D:$D)</f>
        <v>1000065763</v>
      </c>
      <c r="C478" s="5" t="str">
        <f>_xlfn.XLOOKUP($N478,'Base de Grupos'!$A:$A,'Base de Grupos'!$E:$E)</f>
        <v>CANAL VENDA INTERNA</v>
      </c>
      <c r="D478" s="5" t="str">
        <f>_xlfn.XLOOKUP($N478,'Base de Grupos'!$A:$A,'Base de Grupos'!$F:$F)</f>
        <v>1000065763</v>
      </c>
      <c r="E478" s="2" t="str">
        <f>_xlfn.XLOOKUP($N478,'Base de Grupos'!$A:$A,'Base de Grupos'!$G:$G)</f>
        <v>CANAL VENDA INTERNA</v>
      </c>
      <c r="F478" s="2" t="str">
        <f>_xlfn.XLOOKUP($N478,'Base de Grupos'!$A:$A,'Base de Grupos'!$H:$H)</f>
        <v>1000153245</v>
      </c>
      <c r="G478" s="5" t="str">
        <f>_xlfn.XLOOKUP($N478,'Base de Grupos'!$A:$A,'Base de Grupos'!$I:$I)</f>
        <v>REGIONAL VENDA INTERNA - KEY ACCOUNT</v>
      </c>
      <c r="H478" s="5" t="str">
        <f>_xlfn.XLOOKUP($N478,'Base de Grupos'!$A:$A,'Base de Grupos'!$J:$J)</f>
        <v>1000153245</v>
      </c>
      <c r="I478" s="2" t="str">
        <f>_xlfn.XLOOKUP($N478,'Base de Grupos'!$A:$A,'Base de Grupos'!$K:$K)</f>
        <v>REGIONAL VENDA INTERNA - KEY ACCOUNT</v>
      </c>
      <c r="J478" s="2" t="str">
        <f>_xlfn.XLOOKUP($N478,'Base de Grupos'!$A:$A,'Base de Grupos'!$L:$L)</f>
        <v>1000153245</v>
      </c>
      <c r="K478" s="5" t="str">
        <f>_xlfn.XLOOKUP($N478,'Base de Grupos'!$A:$A,'Base de Grupos'!$M:$M)</f>
        <v>REGIONAL VENDA INTERNA - KEY ACCOUNT</v>
      </c>
      <c r="L478" s="5" t="str">
        <f t="shared" si="213"/>
        <v/>
      </c>
      <c r="M478" s="5" t="str">
        <f>_xlfn.XLOOKUP($N478,'Base de Grupos'!$A:$A,'Base de Grupos'!$C:$C)</f>
        <v>PR</v>
      </c>
      <c r="N478" s="3">
        <v>1425</v>
      </c>
      <c r="O478" s="4" t="s">
        <v>250</v>
      </c>
      <c r="P478" s="5" t="s">
        <v>92</v>
      </c>
      <c r="Q478" s="24">
        <v>0</v>
      </c>
      <c r="R478" s="24">
        <v>0</v>
      </c>
      <c r="S478" s="24">
        <v>0</v>
      </c>
      <c r="T478" s="24">
        <v>0</v>
      </c>
      <c r="U478" s="24">
        <v>0</v>
      </c>
      <c r="V478" s="24">
        <v>0</v>
      </c>
      <c r="W478" s="24">
        <v>0</v>
      </c>
      <c r="X478" s="24">
        <v>0</v>
      </c>
      <c r="Y478" s="24">
        <v>0</v>
      </c>
      <c r="Z478" s="24">
        <v>0</v>
      </c>
      <c r="AA478" s="24">
        <v>0</v>
      </c>
      <c r="AB478" s="24">
        <v>0</v>
      </c>
      <c r="AC478" s="30">
        <f t="shared" si="223"/>
        <v>0</v>
      </c>
      <c r="AD478" s="27">
        <f t="shared" si="225"/>
        <v>0</v>
      </c>
      <c r="AE478" s="25">
        <f>IFERROR(_xlfn.XLOOKUP(N478&amp;P478,'Historico Vendas'!G:G,'Historico Vendas'!E:E),0)</f>
        <v>0</v>
      </c>
      <c r="AF478" s="29" t="str">
        <f t="shared" si="214"/>
        <v/>
      </c>
      <c r="AG478" s="24">
        <f>IFERROR(_xlfn.XLOOKUP(N478&amp;P478,'Historico Vendas'!G:G,'Historico Vendas'!F:F),0)</f>
        <v>0</v>
      </c>
      <c r="AH478" s="25">
        <f t="shared" si="226"/>
        <v>0</v>
      </c>
      <c r="AI478" s="24">
        <f t="shared" si="227"/>
        <v>0</v>
      </c>
      <c r="AJ478" s="11" t="str">
        <f t="shared" si="215"/>
        <v/>
      </c>
      <c r="AK478" s="9" t="s">
        <v>102</v>
      </c>
      <c r="AL478" s="13">
        <f>IFERROR(INDEX('Balizador da Meta'!$D$3:$F$23,MATCH(Quantidade!$P478,'Balizador da Meta'!$C$3:$C$23,0),MATCH(Quantidade!AK478,'Balizador da Meta'!$D$2:$F$2,0)),"")</f>
        <v>0</v>
      </c>
      <c r="AM478" s="9"/>
    </row>
    <row r="479" spans="1:39" x14ac:dyDescent="0.3">
      <c r="A479" s="2" t="str">
        <f t="shared" si="212"/>
        <v>NÃO</v>
      </c>
      <c r="B479" s="2" t="str">
        <f>_xlfn.XLOOKUP($N479,'Base de Grupos'!$A:$A,'Base de Grupos'!$D:$D)</f>
        <v>1000065763</v>
      </c>
      <c r="C479" s="5" t="str">
        <f>_xlfn.XLOOKUP($N479,'Base de Grupos'!$A:$A,'Base de Grupos'!$E:$E)</f>
        <v>CANAL VENDA INTERNA</v>
      </c>
      <c r="D479" s="5" t="str">
        <f>_xlfn.XLOOKUP($N479,'Base de Grupos'!$A:$A,'Base de Grupos'!$F:$F)</f>
        <v>1000065763</v>
      </c>
      <c r="E479" s="2" t="str">
        <f>_xlfn.XLOOKUP($N479,'Base de Grupos'!$A:$A,'Base de Grupos'!$G:$G)</f>
        <v>CANAL VENDA INTERNA</v>
      </c>
      <c r="F479" s="2" t="str">
        <f>_xlfn.XLOOKUP($N479,'Base de Grupos'!$A:$A,'Base de Grupos'!$H:$H)</f>
        <v>1000153245</v>
      </c>
      <c r="G479" s="5" t="str">
        <f>_xlfn.XLOOKUP($N479,'Base de Grupos'!$A:$A,'Base de Grupos'!$I:$I)</f>
        <v>REGIONAL VENDA INTERNA - KEY ACCOUNT</v>
      </c>
      <c r="H479" s="5" t="str">
        <f>_xlfn.XLOOKUP($N479,'Base de Grupos'!$A:$A,'Base de Grupos'!$J:$J)</f>
        <v>1000153245</v>
      </c>
      <c r="I479" s="2" t="str">
        <f>_xlfn.XLOOKUP($N479,'Base de Grupos'!$A:$A,'Base de Grupos'!$K:$K)</f>
        <v>REGIONAL VENDA INTERNA - KEY ACCOUNT</v>
      </c>
      <c r="J479" s="2" t="str">
        <f>_xlfn.XLOOKUP($N479,'Base de Grupos'!$A:$A,'Base de Grupos'!$L:$L)</f>
        <v>1000153245</v>
      </c>
      <c r="K479" s="5" t="str">
        <f>_xlfn.XLOOKUP($N479,'Base de Grupos'!$A:$A,'Base de Grupos'!$M:$M)</f>
        <v>REGIONAL VENDA INTERNA - KEY ACCOUNT</v>
      </c>
      <c r="L479" s="5" t="str">
        <f t="shared" si="213"/>
        <v/>
      </c>
      <c r="M479" s="5" t="str">
        <f>_xlfn.XLOOKUP($N479,'Base de Grupos'!$A:$A,'Base de Grupos'!$C:$C)</f>
        <v>PR</v>
      </c>
      <c r="N479" s="3">
        <v>1425</v>
      </c>
      <c r="O479" s="4" t="s">
        <v>250</v>
      </c>
      <c r="P479" s="5" t="s">
        <v>86</v>
      </c>
      <c r="Q479" s="24">
        <v>0</v>
      </c>
      <c r="R479" s="24">
        <v>0</v>
      </c>
      <c r="S479" s="24">
        <v>0</v>
      </c>
      <c r="T479" s="24">
        <v>0</v>
      </c>
      <c r="U479" s="24">
        <v>0</v>
      </c>
      <c r="V479" s="24">
        <v>0</v>
      </c>
      <c r="W479" s="24">
        <v>0</v>
      </c>
      <c r="X479" s="24">
        <v>0</v>
      </c>
      <c r="Y479" s="24">
        <v>0</v>
      </c>
      <c r="Z479" s="24">
        <v>0</v>
      </c>
      <c r="AA479" s="24">
        <v>0</v>
      </c>
      <c r="AB479" s="24">
        <v>0</v>
      </c>
      <c r="AC479" s="30">
        <f t="shared" si="223"/>
        <v>0</v>
      </c>
      <c r="AD479" s="27">
        <f t="shared" si="225"/>
        <v>0</v>
      </c>
      <c r="AE479" s="25">
        <f>IFERROR(_xlfn.XLOOKUP(N479&amp;P479,'Historico Vendas'!G:G,'Historico Vendas'!E:E),0)</f>
        <v>0</v>
      </c>
      <c r="AF479" s="29" t="str">
        <f t="shared" si="214"/>
        <v/>
      </c>
      <c r="AG479" s="24">
        <f>IFERROR(_xlfn.XLOOKUP(N479&amp;P479,'Historico Vendas'!G:G,'Historico Vendas'!F:F),0)</f>
        <v>0</v>
      </c>
      <c r="AH479" s="25">
        <f t="shared" si="226"/>
        <v>0</v>
      </c>
      <c r="AI479" s="24">
        <f t="shared" si="227"/>
        <v>0</v>
      </c>
      <c r="AJ479" s="11" t="str">
        <f t="shared" si="215"/>
        <v/>
      </c>
      <c r="AK479" s="9" t="s">
        <v>102</v>
      </c>
      <c r="AL479" s="13">
        <f>IFERROR(INDEX('Balizador da Meta'!$D$3:$F$23,MATCH(Quantidade!$P479,'Balizador da Meta'!$C$3:$C$23,0),MATCH(Quantidade!AK479,'Balizador da Meta'!$D$2:$F$2,0)),"")</f>
        <v>0.15</v>
      </c>
      <c r="AM479" s="9"/>
    </row>
    <row r="480" spans="1:39" x14ac:dyDescent="0.3">
      <c r="A480" s="2" t="str">
        <f t="shared" si="212"/>
        <v>NÃO</v>
      </c>
      <c r="B480" s="2" t="str">
        <f>_xlfn.XLOOKUP($N480,'Base de Grupos'!$A:$A,'Base de Grupos'!$D:$D)</f>
        <v>1000065763</v>
      </c>
      <c r="C480" s="5" t="str">
        <f>_xlfn.XLOOKUP($N480,'Base de Grupos'!$A:$A,'Base de Grupos'!$E:$E)</f>
        <v>CANAL VENDA INTERNA</v>
      </c>
      <c r="D480" s="5" t="str">
        <f>_xlfn.XLOOKUP($N480,'Base de Grupos'!$A:$A,'Base de Grupos'!$F:$F)</f>
        <v>1000065763</v>
      </c>
      <c r="E480" s="2" t="str">
        <f>_xlfn.XLOOKUP($N480,'Base de Grupos'!$A:$A,'Base de Grupos'!$G:$G)</f>
        <v>CANAL VENDA INTERNA</v>
      </c>
      <c r="F480" s="2" t="str">
        <f>_xlfn.XLOOKUP($N480,'Base de Grupos'!$A:$A,'Base de Grupos'!$H:$H)</f>
        <v>1000153245</v>
      </c>
      <c r="G480" s="5" t="str">
        <f>_xlfn.XLOOKUP($N480,'Base de Grupos'!$A:$A,'Base de Grupos'!$I:$I)</f>
        <v>REGIONAL VENDA INTERNA - KEY ACCOUNT</v>
      </c>
      <c r="H480" s="5" t="str">
        <f>_xlfn.XLOOKUP($N480,'Base de Grupos'!$A:$A,'Base de Grupos'!$J:$J)</f>
        <v>1000153245</v>
      </c>
      <c r="I480" s="2" t="str">
        <f>_xlfn.XLOOKUP($N480,'Base de Grupos'!$A:$A,'Base de Grupos'!$K:$K)</f>
        <v>REGIONAL VENDA INTERNA - KEY ACCOUNT</v>
      </c>
      <c r="J480" s="2" t="str">
        <f>_xlfn.XLOOKUP($N480,'Base de Grupos'!$A:$A,'Base de Grupos'!$L:$L)</f>
        <v>1000153245</v>
      </c>
      <c r="K480" s="5" t="str">
        <f>_xlfn.XLOOKUP($N480,'Base de Grupos'!$A:$A,'Base de Grupos'!$M:$M)</f>
        <v>REGIONAL VENDA INTERNA - KEY ACCOUNT</v>
      </c>
      <c r="L480" s="5" t="str">
        <f t="shared" si="213"/>
        <v/>
      </c>
      <c r="M480" s="5" t="str">
        <f>_xlfn.XLOOKUP($N480,'Base de Grupos'!$A:$A,'Base de Grupos'!$C:$C)</f>
        <v>PR</v>
      </c>
      <c r="N480" s="3">
        <v>1425</v>
      </c>
      <c r="O480" s="4" t="s">
        <v>250</v>
      </c>
      <c r="P480" s="5" t="s">
        <v>108</v>
      </c>
      <c r="Q480" s="24">
        <v>0</v>
      </c>
      <c r="R480" s="24">
        <v>0</v>
      </c>
      <c r="S480" s="24">
        <v>0</v>
      </c>
      <c r="T480" s="24">
        <v>0</v>
      </c>
      <c r="U480" s="24">
        <v>0</v>
      </c>
      <c r="V480" s="24">
        <v>0</v>
      </c>
      <c r="W480" s="24">
        <v>0</v>
      </c>
      <c r="X480" s="24">
        <v>0</v>
      </c>
      <c r="Y480" s="24">
        <v>0</v>
      </c>
      <c r="Z480" s="24">
        <v>0</v>
      </c>
      <c r="AA480" s="24">
        <v>0</v>
      </c>
      <c r="AB480" s="24">
        <v>0</v>
      </c>
      <c r="AC480" s="30">
        <f t="shared" si="223"/>
        <v>0</v>
      </c>
      <c r="AD480" s="27">
        <f t="shared" si="225"/>
        <v>0</v>
      </c>
      <c r="AE480" s="25">
        <f>IFERROR(_xlfn.XLOOKUP(N480&amp;P480,'Historico Vendas'!G:G,'Historico Vendas'!E:E),0)</f>
        <v>0</v>
      </c>
      <c r="AF480" s="29" t="str">
        <f t="shared" si="214"/>
        <v/>
      </c>
      <c r="AG480" s="24">
        <f>IFERROR(_xlfn.XLOOKUP(N480&amp;P480,'Historico Vendas'!G:G,'Historico Vendas'!F:F),0)</f>
        <v>0</v>
      </c>
      <c r="AH480" s="25">
        <f t="shared" si="226"/>
        <v>0</v>
      </c>
      <c r="AI480" s="24">
        <f t="shared" si="227"/>
        <v>0</v>
      </c>
      <c r="AJ480" s="11" t="str">
        <f t="shared" si="215"/>
        <v/>
      </c>
      <c r="AK480" s="9" t="s">
        <v>102</v>
      </c>
      <c r="AL480" s="13">
        <f>IFERROR(INDEX('Balizador da Meta'!$D$3:$F$23,MATCH(Quantidade!$P480,'Balizador da Meta'!$C$3:$C$23,0),MATCH(Quantidade!AK480,'Balizador da Meta'!$D$2:$F$2,0)),"")</f>
        <v>0</v>
      </c>
      <c r="AM480" s="9"/>
    </row>
    <row r="481" spans="1:39" x14ac:dyDescent="0.3">
      <c r="A481" s="2" t="str">
        <f t="shared" si="212"/>
        <v>NÃO</v>
      </c>
      <c r="B481" s="2" t="str">
        <f>_xlfn.XLOOKUP($N481,'Base de Grupos'!$A:$A,'Base de Grupos'!$D:$D)</f>
        <v>1000065763</v>
      </c>
      <c r="C481" s="5" t="str">
        <f>_xlfn.XLOOKUP($N481,'Base de Grupos'!$A:$A,'Base de Grupos'!$E:$E)</f>
        <v>CANAL VENDA INTERNA</v>
      </c>
      <c r="D481" s="5" t="str">
        <f>_xlfn.XLOOKUP($N481,'Base de Grupos'!$A:$A,'Base de Grupos'!$F:$F)</f>
        <v>1000065763</v>
      </c>
      <c r="E481" s="2" t="str">
        <f>_xlfn.XLOOKUP($N481,'Base de Grupos'!$A:$A,'Base de Grupos'!$G:$G)</f>
        <v>CANAL VENDA INTERNA</v>
      </c>
      <c r="F481" s="2" t="str">
        <f>_xlfn.XLOOKUP($N481,'Base de Grupos'!$A:$A,'Base de Grupos'!$H:$H)</f>
        <v>1000153245</v>
      </c>
      <c r="G481" s="5" t="str">
        <f>_xlfn.XLOOKUP($N481,'Base de Grupos'!$A:$A,'Base de Grupos'!$I:$I)</f>
        <v>REGIONAL VENDA INTERNA - KEY ACCOUNT</v>
      </c>
      <c r="H481" s="5" t="str">
        <f>_xlfn.XLOOKUP($N481,'Base de Grupos'!$A:$A,'Base de Grupos'!$J:$J)</f>
        <v>1000153245</v>
      </c>
      <c r="I481" s="2" t="str">
        <f>_xlfn.XLOOKUP($N481,'Base de Grupos'!$A:$A,'Base de Grupos'!$K:$K)</f>
        <v>REGIONAL VENDA INTERNA - KEY ACCOUNT</v>
      </c>
      <c r="J481" s="2" t="str">
        <f>_xlfn.XLOOKUP($N481,'Base de Grupos'!$A:$A,'Base de Grupos'!$L:$L)</f>
        <v>1000153245</v>
      </c>
      <c r="K481" s="5" t="str">
        <f>_xlfn.XLOOKUP($N481,'Base de Grupos'!$A:$A,'Base de Grupos'!$M:$M)</f>
        <v>REGIONAL VENDA INTERNA - KEY ACCOUNT</v>
      </c>
      <c r="L481" s="5" t="str">
        <f t="shared" si="213"/>
        <v/>
      </c>
      <c r="M481" s="5" t="str">
        <f>_xlfn.XLOOKUP($N481,'Base de Grupos'!$A:$A,'Base de Grupos'!$C:$C)</f>
        <v>PR</v>
      </c>
      <c r="N481" s="3">
        <v>1425</v>
      </c>
      <c r="O481" s="4" t="s">
        <v>250</v>
      </c>
      <c r="P481" s="5" t="s">
        <v>89</v>
      </c>
      <c r="Q481" s="24">
        <v>0</v>
      </c>
      <c r="R481" s="24">
        <v>0</v>
      </c>
      <c r="S481" s="24">
        <v>0</v>
      </c>
      <c r="T481" s="24">
        <v>0</v>
      </c>
      <c r="U481" s="24">
        <v>0</v>
      </c>
      <c r="V481" s="24">
        <v>0</v>
      </c>
      <c r="W481" s="24">
        <v>0</v>
      </c>
      <c r="X481" s="24">
        <v>0</v>
      </c>
      <c r="Y481" s="24">
        <v>0</v>
      </c>
      <c r="Z481" s="24">
        <v>0</v>
      </c>
      <c r="AA481" s="24">
        <v>0</v>
      </c>
      <c r="AB481" s="24">
        <v>0</v>
      </c>
      <c r="AC481" s="30">
        <f t="shared" si="223"/>
        <v>0</v>
      </c>
      <c r="AD481" s="27">
        <f t="shared" si="225"/>
        <v>0</v>
      </c>
      <c r="AE481" s="25">
        <f>IFERROR(_xlfn.XLOOKUP(N481&amp;P481,'Historico Vendas'!G:G,'Historico Vendas'!E:E),0)</f>
        <v>0</v>
      </c>
      <c r="AF481" s="29" t="str">
        <f t="shared" si="214"/>
        <v/>
      </c>
      <c r="AG481" s="24">
        <f>IFERROR(_xlfn.XLOOKUP(N481&amp;P481,'Historico Vendas'!G:G,'Historico Vendas'!F:F),0)</f>
        <v>0</v>
      </c>
      <c r="AH481" s="25">
        <f t="shared" si="226"/>
        <v>0</v>
      </c>
      <c r="AI481" s="24">
        <f t="shared" si="227"/>
        <v>0</v>
      </c>
      <c r="AJ481" s="11" t="str">
        <f t="shared" si="215"/>
        <v/>
      </c>
      <c r="AK481" s="9" t="s">
        <v>102</v>
      </c>
      <c r="AL481" s="13">
        <f>IFERROR(INDEX('Balizador da Meta'!$D$3:$F$23,MATCH(Quantidade!$P481,'Balizador da Meta'!$C$3:$C$23,0),MATCH(Quantidade!AK481,'Balizador da Meta'!$D$2:$F$2,0)),"")</f>
        <v>0.25</v>
      </c>
      <c r="AM481" s="9"/>
    </row>
    <row r="482" spans="1:39" x14ac:dyDescent="0.3">
      <c r="A482" s="2" t="str">
        <f t="shared" si="212"/>
        <v>NÃO</v>
      </c>
      <c r="B482" s="2" t="str">
        <f>_xlfn.XLOOKUP($N482,'Base de Grupos'!$A:$A,'Base de Grupos'!$D:$D)</f>
        <v>1000065763</v>
      </c>
      <c r="C482" s="5" t="str">
        <f>_xlfn.XLOOKUP($N482,'Base de Grupos'!$A:$A,'Base de Grupos'!$E:$E)</f>
        <v>CANAL VENDA INTERNA</v>
      </c>
      <c r="D482" s="5" t="str">
        <f>_xlfn.XLOOKUP($N482,'Base de Grupos'!$A:$A,'Base de Grupos'!$F:$F)</f>
        <v>1000065763</v>
      </c>
      <c r="E482" s="2" t="str">
        <f>_xlfn.XLOOKUP($N482,'Base de Grupos'!$A:$A,'Base de Grupos'!$G:$G)</f>
        <v>CANAL VENDA INTERNA</v>
      </c>
      <c r="F482" s="2" t="str">
        <f>_xlfn.XLOOKUP($N482,'Base de Grupos'!$A:$A,'Base de Grupos'!$H:$H)</f>
        <v>1000153245</v>
      </c>
      <c r="G482" s="5" t="str">
        <f>_xlfn.XLOOKUP($N482,'Base de Grupos'!$A:$A,'Base de Grupos'!$I:$I)</f>
        <v>REGIONAL VENDA INTERNA - KEY ACCOUNT</v>
      </c>
      <c r="H482" s="5" t="str">
        <f>_xlfn.XLOOKUP($N482,'Base de Grupos'!$A:$A,'Base de Grupos'!$J:$J)</f>
        <v>1000153245</v>
      </c>
      <c r="I482" s="2" t="str">
        <f>_xlfn.XLOOKUP($N482,'Base de Grupos'!$A:$A,'Base de Grupos'!$K:$K)</f>
        <v>REGIONAL VENDA INTERNA - KEY ACCOUNT</v>
      </c>
      <c r="J482" s="2" t="str">
        <f>_xlfn.XLOOKUP($N482,'Base de Grupos'!$A:$A,'Base de Grupos'!$L:$L)</f>
        <v>1000153245</v>
      </c>
      <c r="K482" s="5" t="str">
        <f>_xlfn.XLOOKUP($N482,'Base de Grupos'!$A:$A,'Base de Grupos'!$M:$M)</f>
        <v>REGIONAL VENDA INTERNA - KEY ACCOUNT</v>
      </c>
      <c r="L482" s="5" t="str">
        <f t="shared" si="213"/>
        <v/>
      </c>
      <c r="M482" s="5" t="str">
        <f>_xlfn.XLOOKUP($N482,'Base de Grupos'!$A:$A,'Base de Grupos'!$C:$C)</f>
        <v>PR</v>
      </c>
      <c r="N482" s="3">
        <v>1425</v>
      </c>
      <c r="O482" s="4" t="s">
        <v>250</v>
      </c>
      <c r="P482" s="5" t="s">
        <v>88</v>
      </c>
      <c r="Q482" s="24">
        <v>0</v>
      </c>
      <c r="R482" s="24">
        <v>0</v>
      </c>
      <c r="S482" s="24">
        <v>0</v>
      </c>
      <c r="T482" s="24">
        <v>0</v>
      </c>
      <c r="U482" s="24">
        <v>0</v>
      </c>
      <c r="V482" s="24">
        <v>0</v>
      </c>
      <c r="W482" s="24">
        <v>0</v>
      </c>
      <c r="X482" s="24">
        <v>0</v>
      </c>
      <c r="Y482" s="24">
        <v>0</v>
      </c>
      <c r="Z482" s="24">
        <v>0</v>
      </c>
      <c r="AA482" s="24">
        <v>0</v>
      </c>
      <c r="AB482" s="24">
        <v>0</v>
      </c>
      <c r="AC482" s="30">
        <f t="shared" si="223"/>
        <v>0</v>
      </c>
      <c r="AD482" s="27">
        <f t="shared" si="225"/>
        <v>0</v>
      </c>
      <c r="AE482" s="25">
        <f>IFERROR(_xlfn.XLOOKUP(N482&amp;P482,'Historico Vendas'!G:G,'Historico Vendas'!E:E),0)</f>
        <v>0</v>
      </c>
      <c r="AF482" s="29" t="str">
        <f t="shared" si="214"/>
        <v/>
      </c>
      <c r="AG482" s="24">
        <f>IFERROR(_xlfn.XLOOKUP(N482&amp;P482,'Historico Vendas'!G:G,'Historico Vendas'!F:F),0)</f>
        <v>0</v>
      </c>
      <c r="AH482" s="25">
        <f t="shared" si="226"/>
        <v>0</v>
      </c>
      <c r="AI482" s="24">
        <f t="shared" si="227"/>
        <v>0</v>
      </c>
      <c r="AJ482" s="11" t="str">
        <f t="shared" si="215"/>
        <v/>
      </c>
      <c r="AK482" s="9" t="s">
        <v>102</v>
      </c>
      <c r="AL482" s="13">
        <f>IFERROR(INDEX('Balizador da Meta'!$D$3:$F$23,MATCH(Quantidade!$P482,'Balizador da Meta'!$C$3:$C$23,0),MATCH(Quantidade!AK482,'Balizador da Meta'!$D$2:$F$2,0)),"")</f>
        <v>0</v>
      </c>
      <c r="AM482" s="9"/>
    </row>
    <row r="483" spans="1:39" x14ac:dyDescent="0.3">
      <c r="A483" s="2" t="str">
        <f t="shared" si="212"/>
        <v>NÃO</v>
      </c>
      <c r="B483" s="2" t="str">
        <f>_xlfn.XLOOKUP($N483,'Base de Grupos'!$A:$A,'Base de Grupos'!$D:$D)</f>
        <v>1000065763</v>
      </c>
      <c r="C483" s="5" t="str">
        <f>_xlfn.XLOOKUP($N483,'Base de Grupos'!$A:$A,'Base de Grupos'!$E:$E)</f>
        <v>CANAL VENDA INTERNA</v>
      </c>
      <c r="D483" s="5" t="str">
        <f>_xlfn.XLOOKUP($N483,'Base de Grupos'!$A:$A,'Base de Grupos'!$F:$F)</f>
        <v>1000065763</v>
      </c>
      <c r="E483" s="2" t="str">
        <f>_xlfn.XLOOKUP($N483,'Base de Grupos'!$A:$A,'Base de Grupos'!$G:$G)</f>
        <v>CANAL VENDA INTERNA</v>
      </c>
      <c r="F483" s="2" t="str">
        <f>_xlfn.XLOOKUP($N483,'Base de Grupos'!$A:$A,'Base de Grupos'!$H:$H)</f>
        <v>1000153245</v>
      </c>
      <c r="G483" s="5" t="str">
        <f>_xlfn.XLOOKUP($N483,'Base de Grupos'!$A:$A,'Base de Grupos'!$I:$I)</f>
        <v>REGIONAL VENDA INTERNA - KEY ACCOUNT</v>
      </c>
      <c r="H483" s="5" t="str">
        <f>_xlfn.XLOOKUP($N483,'Base de Grupos'!$A:$A,'Base de Grupos'!$J:$J)</f>
        <v>1000153245</v>
      </c>
      <c r="I483" s="2" t="str">
        <f>_xlfn.XLOOKUP($N483,'Base de Grupos'!$A:$A,'Base de Grupos'!$K:$K)</f>
        <v>REGIONAL VENDA INTERNA - KEY ACCOUNT</v>
      </c>
      <c r="J483" s="2" t="str">
        <f>_xlfn.XLOOKUP($N483,'Base de Grupos'!$A:$A,'Base de Grupos'!$L:$L)</f>
        <v>1000153245</v>
      </c>
      <c r="K483" s="5" t="str">
        <f>_xlfn.XLOOKUP($N483,'Base de Grupos'!$A:$A,'Base de Grupos'!$M:$M)</f>
        <v>REGIONAL VENDA INTERNA - KEY ACCOUNT</v>
      </c>
      <c r="L483" s="5" t="str">
        <f t="shared" si="213"/>
        <v/>
      </c>
      <c r="M483" s="5" t="str">
        <f>_xlfn.XLOOKUP($N483,'Base de Grupos'!$A:$A,'Base de Grupos'!$C:$C)</f>
        <v>PR</v>
      </c>
      <c r="N483" s="3">
        <v>1425</v>
      </c>
      <c r="O483" s="4" t="s">
        <v>250</v>
      </c>
      <c r="P483" s="5" t="s">
        <v>90</v>
      </c>
      <c r="Q483" s="24">
        <v>0</v>
      </c>
      <c r="R483" s="24">
        <v>0</v>
      </c>
      <c r="S483" s="24">
        <v>0</v>
      </c>
      <c r="T483" s="24">
        <v>0</v>
      </c>
      <c r="U483" s="24">
        <v>0</v>
      </c>
      <c r="V483" s="24">
        <v>0</v>
      </c>
      <c r="W483" s="24">
        <v>0</v>
      </c>
      <c r="X483" s="24">
        <v>0</v>
      </c>
      <c r="Y483" s="24">
        <v>0</v>
      </c>
      <c r="Z483" s="24">
        <v>0</v>
      </c>
      <c r="AA483" s="24">
        <v>0</v>
      </c>
      <c r="AB483" s="24">
        <v>0</v>
      </c>
      <c r="AC483" s="30">
        <f t="shared" si="223"/>
        <v>0</v>
      </c>
      <c r="AD483" s="27">
        <f t="shared" si="225"/>
        <v>0</v>
      </c>
      <c r="AE483" s="25">
        <f>IFERROR(_xlfn.XLOOKUP(N483&amp;P483,'Historico Vendas'!G:G,'Historico Vendas'!E:E),0)</f>
        <v>0</v>
      </c>
      <c r="AF483" s="29" t="str">
        <f t="shared" si="214"/>
        <v/>
      </c>
      <c r="AG483" s="24">
        <f>IFERROR(_xlfn.XLOOKUP(N483&amp;P483,'Historico Vendas'!G:G,'Historico Vendas'!F:F),0)</f>
        <v>0</v>
      </c>
      <c r="AH483" s="25">
        <f t="shared" si="226"/>
        <v>0</v>
      </c>
      <c r="AI483" s="24">
        <f t="shared" si="227"/>
        <v>0</v>
      </c>
      <c r="AJ483" s="11" t="str">
        <f t="shared" si="215"/>
        <v/>
      </c>
      <c r="AK483" s="9" t="s">
        <v>102</v>
      </c>
      <c r="AL483" s="13">
        <f>IFERROR(INDEX('Balizador da Meta'!$D$3:$F$23,MATCH(Quantidade!$P483,'Balizador da Meta'!$C$3:$C$23,0),MATCH(Quantidade!AK483,'Balizador da Meta'!$D$2:$F$2,0)),"")</f>
        <v>0</v>
      </c>
      <c r="AM483" s="9"/>
    </row>
    <row r="484" spans="1:39" x14ac:dyDescent="0.3">
      <c r="A484" s="2" t="str">
        <f t="shared" si="212"/>
        <v>NÃO</v>
      </c>
      <c r="B484" s="2" t="str">
        <f>_xlfn.XLOOKUP($N484,'Base de Grupos'!$A:$A,'Base de Grupos'!$D:$D)</f>
        <v>1000065763</v>
      </c>
      <c r="C484" s="5" t="str">
        <f>_xlfn.XLOOKUP($N484,'Base de Grupos'!$A:$A,'Base de Grupos'!$E:$E)</f>
        <v>CANAL VENDA INTERNA</v>
      </c>
      <c r="D484" s="5" t="str">
        <f>_xlfn.XLOOKUP($N484,'Base de Grupos'!$A:$A,'Base de Grupos'!$F:$F)</f>
        <v>1000065763</v>
      </c>
      <c r="E484" s="2" t="str">
        <f>_xlfn.XLOOKUP($N484,'Base de Grupos'!$A:$A,'Base de Grupos'!$G:$G)</f>
        <v>CANAL VENDA INTERNA</v>
      </c>
      <c r="F484" s="2" t="str">
        <f>_xlfn.XLOOKUP($N484,'Base de Grupos'!$A:$A,'Base de Grupos'!$H:$H)</f>
        <v>1000153245</v>
      </c>
      <c r="G484" s="5" t="str">
        <f>_xlfn.XLOOKUP($N484,'Base de Grupos'!$A:$A,'Base de Grupos'!$I:$I)</f>
        <v>REGIONAL VENDA INTERNA - KEY ACCOUNT</v>
      </c>
      <c r="H484" s="5" t="str">
        <f>_xlfn.XLOOKUP($N484,'Base de Grupos'!$A:$A,'Base de Grupos'!$J:$J)</f>
        <v>1000153245</v>
      </c>
      <c r="I484" s="2" t="str">
        <f>_xlfn.XLOOKUP($N484,'Base de Grupos'!$A:$A,'Base de Grupos'!$K:$K)</f>
        <v>REGIONAL VENDA INTERNA - KEY ACCOUNT</v>
      </c>
      <c r="J484" s="2" t="str">
        <f>_xlfn.XLOOKUP($N484,'Base de Grupos'!$A:$A,'Base de Grupos'!$L:$L)</f>
        <v>1000153245</v>
      </c>
      <c r="K484" s="5" t="str">
        <f>_xlfn.XLOOKUP($N484,'Base de Grupos'!$A:$A,'Base de Grupos'!$M:$M)</f>
        <v>REGIONAL VENDA INTERNA - KEY ACCOUNT</v>
      </c>
      <c r="L484" s="5" t="str">
        <f t="shared" si="213"/>
        <v/>
      </c>
      <c r="M484" s="5" t="str">
        <f>_xlfn.XLOOKUP($N484,'Base de Grupos'!$A:$A,'Base de Grupos'!$C:$C)</f>
        <v>PR</v>
      </c>
      <c r="N484" s="3">
        <v>1425</v>
      </c>
      <c r="O484" s="4" t="s">
        <v>250</v>
      </c>
      <c r="P484" s="5" t="s">
        <v>91</v>
      </c>
      <c r="Q484" s="24">
        <v>0</v>
      </c>
      <c r="R484" s="24">
        <v>0</v>
      </c>
      <c r="S484" s="24">
        <v>0</v>
      </c>
      <c r="T484" s="24">
        <v>0</v>
      </c>
      <c r="U484" s="24">
        <v>0</v>
      </c>
      <c r="V484" s="24">
        <v>0</v>
      </c>
      <c r="W484" s="24">
        <v>0</v>
      </c>
      <c r="X484" s="24">
        <v>0</v>
      </c>
      <c r="Y484" s="24">
        <v>0</v>
      </c>
      <c r="Z484" s="24">
        <v>0</v>
      </c>
      <c r="AA484" s="24">
        <v>0</v>
      </c>
      <c r="AB484" s="24">
        <v>0</v>
      </c>
      <c r="AC484" s="30">
        <f t="shared" si="223"/>
        <v>0</v>
      </c>
      <c r="AD484" s="27">
        <f t="shared" si="225"/>
        <v>0</v>
      </c>
      <c r="AE484" s="25">
        <f>IFERROR(_xlfn.XLOOKUP(N484&amp;P484,'Historico Vendas'!G:G,'Historico Vendas'!E:E),0)</f>
        <v>0</v>
      </c>
      <c r="AF484" s="29" t="str">
        <f t="shared" si="214"/>
        <v/>
      </c>
      <c r="AG484" s="24">
        <f>IFERROR(_xlfn.XLOOKUP(N484&amp;P484,'Historico Vendas'!G:G,'Historico Vendas'!F:F),0)</f>
        <v>0</v>
      </c>
      <c r="AH484" s="25">
        <f t="shared" si="226"/>
        <v>0</v>
      </c>
      <c r="AI484" s="24">
        <f t="shared" si="227"/>
        <v>0</v>
      </c>
      <c r="AJ484" s="11" t="str">
        <f t="shared" si="215"/>
        <v/>
      </c>
      <c r="AK484" s="9" t="s">
        <v>102</v>
      </c>
      <c r="AL484" s="13">
        <f>IFERROR(INDEX('Balizador da Meta'!$D$3:$F$23,MATCH(Quantidade!$P484,'Balizador da Meta'!$C$3:$C$23,0),MATCH(Quantidade!AK484,'Balizador da Meta'!$D$2:$F$2,0)),"")</f>
        <v>0</v>
      </c>
      <c r="AM484" s="9"/>
    </row>
    <row r="485" spans="1:39" x14ac:dyDescent="0.3">
      <c r="A485" s="2" t="str">
        <f t="shared" si="212"/>
        <v>NÃO</v>
      </c>
      <c r="B485" s="2" t="str">
        <f>_xlfn.XLOOKUP($N485,'Base de Grupos'!$A:$A,'Base de Grupos'!$D:$D)</f>
        <v>1000065763</v>
      </c>
      <c r="C485" s="5" t="str">
        <f>_xlfn.XLOOKUP($N485,'Base de Grupos'!$A:$A,'Base de Grupos'!$E:$E)</f>
        <v>CANAL VENDA INTERNA</v>
      </c>
      <c r="D485" s="5" t="str">
        <f>_xlfn.XLOOKUP($N485,'Base de Grupos'!$A:$A,'Base de Grupos'!$F:$F)</f>
        <v>1000065763</v>
      </c>
      <c r="E485" s="2" t="str">
        <f>_xlfn.XLOOKUP($N485,'Base de Grupos'!$A:$A,'Base de Grupos'!$G:$G)</f>
        <v>CANAL VENDA INTERNA</v>
      </c>
      <c r="F485" s="2" t="str">
        <f>_xlfn.XLOOKUP($N485,'Base de Grupos'!$A:$A,'Base de Grupos'!$H:$H)</f>
        <v>1000153245</v>
      </c>
      <c r="G485" s="5" t="str">
        <f>_xlfn.XLOOKUP($N485,'Base de Grupos'!$A:$A,'Base de Grupos'!$I:$I)</f>
        <v>REGIONAL VENDA INTERNA - KEY ACCOUNT</v>
      </c>
      <c r="H485" s="5" t="str">
        <f>_xlfn.XLOOKUP($N485,'Base de Grupos'!$A:$A,'Base de Grupos'!$J:$J)</f>
        <v>1000153245</v>
      </c>
      <c r="I485" s="2" t="str">
        <f>_xlfn.XLOOKUP($N485,'Base de Grupos'!$A:$A,'Base de Grupos'!$K:$K)</f>
        <v>REGIONAL VENDA INTERNA - KEY ACCOUNT</v>
      </c>
      <c r="J485" s="2" t="str">
        <f>_xlfn.XLOOKUP($N485,'Base de Grupos'!$A:$A,'Base de Grupos'!$L:$L)</f>
        <v>1000153245</v>
      </c>
      <c r="K485" s="5" t="str">
        <f>_xlfn.XLOOKUP($N485,'Base de Grupos'!$A:$A,'Base de Grupos'!$M:$M)</f>
        <v>REGIONAL VENDA INTERNA - KEY ACCOUNT</v>
      </c>
      <c r="L485" s="5" t="str">
        <f t="shared" si="213"/>
        <v/>
      </c>
      <c r="M485" s="5" t="str">
        <f>_xlfn.XLOOKUP($N485,'Base de Grupos'!$A:$A,'Base de Grupos'!$C:$C)</f>
        <v>PR</v>
      </c>
      <c r="N485" s="3">
        <v>1425</v>
      </c>
      <c r="O485" s="4" t="s">
        <v>250</v>
      </c>
      <c r="P485" s="5" t="s">
        <v>96</v>
      </c>
      <c r="Q485" s="24">
        <v>0</v>
      </c>
      <c r="R485" s="24">
        <v>0</v>
      </c>
      <c r="S485" s="24">
        <v>0</v>
      </c>
      <c r="T485" s="24">
        <v>0</v>
      </c>
      <c r="U485" s="24">
        <v>0</v>
      </c>
      <c r="V485" s="24">
        <v>0</v>
      </c>
      <c r="W485" s="24">
        <v>0</v>
      </c>
      <c r="X485" s="24">
        <v>0</v>
      </c>
      <c r="Y485" s="24">
        <v>0</v>
      </c>
      <c r="Z485" s="24">
        <v>0</v>
      </c>
      <c r="AA485" s="24">
        <v>0</v>
      </c>
      <c r="AB485" s="24">
        <v>0</v>
      </c>
      <c r="AC485" s="30">
        <f t="shared" si="223"/>
        <v>0</v>
      </c>
      <c r="AD485" s="27">
        <f t="shared" si="225"/>
        <v>0</v>
      </c>
      <c r="AE485" s="25">
        <f>IFERROR(_xlfn.XLOOKUP(N485&amp;P485,'Historico Vendas'!G:G,'Historico Vendas'!E:E),0)</f>
        <v>0</v>
      </c>
      <c r="AF485" s="29" t="str">
        <f t="shared" si="214"/>
        <v/>
      </c>
      <c r="AG485" s="24">
        <f>IFERROR(_xlfn.XLOOKUP(N485&amp;P485,'Historico Vendas'!G:G,'Historico Vendas'!F:F),0)</f>
        <v>0</v>
      </c>
      <c r="AH485" s="25">
        <f t="shared" si="226"/>
        <v>0</v>
      </c>
      <c r="AI485" s="24">
        <f t="shared" si="227"/>
        <v>0</v>
      </c>
      <c r="AJ485" s="11" t="str">
        <f t="shared" si="215"/>
        <v/>
      </c>
      <c r="AK485" s="9" t="s">
        <v>102</v>
      </c>
      <c r="AL485" s="13">
        <f>IFERROR(INDEX('Balizador da Meta'!$D$3:$F$23,MATCH(Quantidade!$P485,'Balizador da Meta'!$C$3:$C$23,0),MATCH(Quantidade!AK485,'Balizador da Meta'!$D$2:$F$2,0)),"")</f>
        <v>0</v>
      </c>
      <c r="AM485" s="9"/>
    </row>
    <row r="486" spans="1:39" x14ac:dyDescent="0.3">
      <c r="A486" s="2" t="str">
        <f t="shared" si="212"/>
        <v>NÃO</v>
      </c>
      <c r="B486" s="2" t="str">
        <f>_xlfn.XLOOKUP($N486,'Base de Grupos'!$A:$A,'Base de Grupos'!$D:$D)</f>
        <v>1000065763</v>
      </c>
      <c r="C486" s="5" t="str">
        <f>_xlfn.XLOOKUP($N486,'Base de Grupos'!$A:$A,'Base de Grupos'!$E:$E)</f>
        <v>CANAL VENDA INTERNA</v>
      </c>
      <c r="D486" s="5" t="str">
        <f>_xlfn.XLOOKUP($N486,'Base de Grupos'!$A:$A,'Base de Grupos'!$F:$F)</f>
        <v>1000065763</v>
      </c>
      <c r="E486" s="2" t="str">
        <f>_xlfn.XLOOKUP($N486,'Base de Grupos'!$A:$A,'Base de Grupos'!$G:$G)</f>
        <v>CANAL VENDA INTERNA</v>
      </c>
      <c r="F486" s="2" t="str">
        <f>_xlfn.XLOOKUP($N486,'Base de Grupos'!$A:$A,'Base de Grupos'!$H:$H)</f>
        <v>1000153245</v>
      </c>
      <c r="G486" s="5" t="str">
        <f>_xlfn.XLOOKUP($N486,'Base de Grupos'!$A:$A,'Base de Grupos'!$I:$I)</f>
        <v>REGIONAL VENDA INTERNA - KEY ACCOUNT</v>
      </c>
      <c r="H486" s="5" t="str">
        <f>_xlfn.XLOOKUP($N486,'Base de Grupos'!$A:$A,'Base de Grupos'!$J:$J)</f>
        <v>1000153245</v>
      </c>
      <c r="I486" s="2" t="str">
        <f>_xlfn.XLOOKUP($N486,'Base de Grupos'!$A:$A,'Base de Grupos'!$K:$K)</f>
        <v>REGIONAL VENDA INTERNA - KEY ACCOUNT</v>
      </c>
      <c r="J486" s="2" t="str">
        <f>_xlfn.XLOOKUP($N486,'Base de Grupos'!$A:$A,'Base de Grupos'!$L:$L)</f>
        <v>1000153245</v>
      </c>
      <c r="K486" s="5" t="str">
        <f>_xlfn.XLOOKUP($N486,'Base de Grupos'!$A:$A,'Base de Grupos'!$M:$M)</f>
        <v>REGIONAL VENDA INTERNA - KEY ACCOUNT</v>
      </c>
      <c r="L486" s="5" t="str">
        <f t="shared" si="213"/>
        <v/>
      </c>
      <c r="M486" s="5" t="str">
        <f>_xlfn.XLOOKUP($N486,'Base de Grupos'!$A:$A,'Base de Grupos'!$C:$C)</f>
        <v>PR</v>
      </c>
      <c r="N486" s="3">
        <v>1425</v>
      </c>
      <c r="O486" s="4" t="s">
        <v>250</v>
      </c>
      <c r="P486" s="5" t="s">
        <v>94</v>
      </c>
      <c r="Q486" s="24">
        <v>0</v>
      </c>
      <c r="R486" s="24">
        <v>0</v>
      </c>
      <c r="S486" s="24">
        <v>0</v>
      </c>
      <c r="T486" s="24">
        <v>0</v>
      </c>
      <c r="U486" s="24">
        <v>0</v>
      </c>
      <c r="V486" s="24">
        <v>0</v>
      </c>
      <c r="W486" s="24">
        <v>0</v>
      </c>
      <c r="X486" s="24">
        <v>0</v>
      </c>
      <c r="Y486" s="24">
        <v>0</v>
      </c>
      <c r="Z486" s="24">
        <v>0</v>
      </c>
      <c r="AA486" s="24">
        <v>0</v>
      </c>
      <c r="AB486" s="24">
        <v>0</v>
      </c>
      <c r="AC486" s="30">
        <f t="shared" si="223"/>
        <v>0</v>
      </c>
      <c r="AD486" s="27">
        <f t="shared" si="225"/>
        <v>0</v>
      </c>
      <c r="AE486" s="25">
        <f>IFERROR(_xlfn.XLOOKUP(N486&amp;P486,'Historico Vendas'!G:G,'Historico Vendas'!E:E),0)</f>
        <v>0</v>
      </c>
      <c r="AF486" s="29" t="str">
        <f t="shared" si="214"/>
        <v/>
      </c>
      <c r="AG486" s="24">
        <f>IFERROR(_xlfn.XLOOKUP(N486&amp;P486,'Historico Vendas'!G:G,'Historico Vendas'!F:F),0)</f>
        <v>0</v>
      </c>
      <c r="AH486" s="25">
        <f t="shared" si="226"/>
        <v>0</v>
      </c>
      <c r="AI486" s="24">
        <f t="shared" si="227"/>
        <v>0</v>
      </c>
      <c r="AJ486" s="11" t="str">
        <f t="shared" si="215"/>
        <v/>
      </c>
      <c r="AK486" s="9" t="s">
        <v>102</v>
      </c>
      <c r="AL486" s="13">
        <f>IFERROR(INDEX('Balizador da Meta'!$D$3:$F$23,MATCH(Quantidade!$P486,'Balizador da Meta'!$C$3:$C$23,0),MATCH(Quantidade!AK486,'Balizador da Meta'!$D$2:$F$2,0)),"")</f>
        <v>0.25</v>
      </c>
      <c r="AM486" s="9"/>
    </row>
    <row r="487" spans="1:39" x14ac:dyDescent="0.3">
      <c r="A487" s="2" t="str">
        <f t="shared" si="212"/>
        <v>NÃO</v>
      </c>
      <c r="B487" s="2" t="str">
        <f>_xlfn.XLOOKUP($N487,'Base de Grupos'!$A:$A,'Base de Grupos'!$D:$D)</f>
        <v>1000065763</v>
      </c>
      <c r="C487" s="5" t="str">
        <f>_xlfn.XLOOKUP($N487,'Base de Grupos'!$A:$A,'Base de Grupos'!$E:$E)</f>
        <v>CANAL VENDA INTERNA</v>
      </c>
      <c r="D487" s="5" t="str">
        <f>_xlfn.XLOOKUP($N487,'Base de Grupos'!$A:$A,'Base de Grupos'!$F:$F)</f>
        <v>1000065763</v>
      </c>
      <c r="E487" s="2" t="str">
        <f>_xlfn.XLOOKUP($N487,'Base de Grupos'!$A:$A,'Base de Grupos'!$G:$G)</f>
        <v>CANAL VENDA INTERNA</v>
      </c>
      <c r="F487" s="2" t="str">
        <f>_xlfn.XLOOKUP($N487,'Base de Grupos'!$A:$A,'Base de Grupos'!$H:$H)</f>
        <v>1000153245</v>
      </c>
      <c r="G487" s="5" t="str">
        <f>_xlfn.XLOOKUP($N487,'Base de Grupos'!$A:$A,'Base de Grupos'!$I:$I)</f>
        <v>REGIONAL VENDA INTERNA - KEY ACCOUNT</v>
      </c>
      <c r="H487" s="5" t="str">
        <f>_xlfn.XLOOKUP($N487,'Base de Grupos'!$A:$A,'Base de Grupos'!$J:$J)</f>
        <v>1000153245</v>
      </c>
      <c r="I487" s="2" t="str">
        <f>_xlfn.XLOOKUP($N487,'Base de Grupos'!$A:$A,'Base de Grupos'!$K:$K)</f>
        <v>REGIONAL VENDA INTERNA - KEY ACCOUNT</v>
      </c>
      <c r="J487" s="2" t="str">
        <f>_xlfn.XLOOKUP($N487,'Base de Grupos'!$A:$A,'Base de Grupos'!$L:$L)</f>
        <v>1000153245</v>
      </c>
      <c r="K487" s="5" t="str">
        <f>_xlfn.XLOOKUP($N487,'Base de Grupos'!$A:$A,'Base de Grupos'!$M:$M)</f>
        <v>REGIONAL VENDA INTERNA - KEY ACCOUNT</v>
      </c>
      <c r="L487" s="5" t="str">
        <f t="shared" si="213"/>
        <v/>
      </c>
      <c r="M487" s="5" t="str">
        <f>_xlfn.XLOOKUP($N487,'Base de Grupos'!$A:$A,'Base de Grupos'!$C:$C)</f>
        <v>PR</v>
      </c>
      <c r="N487" s="3">
        <v>1425</v>
      </c>
      <c r="O487" s="4" t="s">
        <v>250</v>
      </c>
      <c r="P487" s="5" t="s">
        <v>95</v>
      </c>
      <c r="Q487" s="24">
        <f>SUM(Q488:Q508)</f>
        <v>0</v>
      </c>
      <c r="R487" s="24">
        <f t="shared" ref="R487" si="228">SUM(R488:R508)</f>
        <v>0</v>
      </c>
      <c r="S487" s="24">
        <f t="shared" ref="S487" si="229">SUM(S488:S508)</f>
        <v>0</v>
      </c>
      <c r="T487" s="24">
        <f t="shared" ref="T487:AC487" si="230">SUM(T488:T508)</f>
        <v>0</v>
      </c>
      <c r="U487" s="24">
        <f t="shared" si="230"/>
        <v>0</v>
      </c>
      <c r="V487" s="24">
        <f t="shared" si="230"/>
        <v>0</v>
      </c>
      <c r="W487" s="24">
        <f t="shared" si="230"/>
        <v>0</v>
      </c>
      <c r="X487" s="24">
        <f t="shared" si="230"/>
        <v>0</v>
      </c>
      <c r="Y487" s="24">
        <f t="shared" si="230"/>
        <v>0</v>
      </c>
      <c r="Z487" s="24">
        <f t="shared" si="230"/>
        <v>0</v>
      </c>
      <c r="AA487" s="24">
        <f t="shared" si="230"/>
        <v>0</v>
      </c>
      <c r="AB487" s="24">
        <f t="shared" si="230"/>
        <v>0</v>
      </c>
      <c r="AC487" s="24">
        <f t="shared" si="230"/>
        <v>0</v>
      </c>
      <c r="AD487" s="27">
        <f t="shared" si="225"/>
        <v>0</v>
      </c>
      <c r="AE487" s="25">
        <f>IFERROR(_xlfn.XLOOKUP(N487&amp;P487,'Historico Vendas'!G:G,'Historico Vendas'!E:E),0)</f>
        <v>0</v>
      </c>
      <c r="AF487" s="29" t="str">
        <f t="shared" si="214"/>
        <v/>
      </c>
      <c r="AG487" s="24">
        <f>IFERROR(_xlfn.XLOOKUP(N487&amp;P487,'Historico Vendas'!G:G,'Historico Vendas'!F:F),0)</f>
        <v>0</v>
      </c>
      <c r="AH487" s="25">
        <f t="shared" si="226"/>
        <v>0</v>
      </c>
      <c r="AI487" s="24">
        <f t="shared" si="227"/>
        <v>0</v>
      </c>
      <c r="AJ487" s="11" t="str">
        <f t="shared" si="215"/>
        <v/>
      </c>
      <c r="AK487" s="9" t="s">
        <v>102</v>
      </c>
      <c r="AL487" s="13">
        <f>IFERROR(INDEX('Balizador da Meta'!$D$3:$F$23,MATCH(Quantidade!$P487,'Balizador da Meta'!$C$3:$C$23,0),MATCH(Quantidade!AK487,'Balizador da Meta'!$D$2:$F$2,0)),"")</f>
        <v>0.25</v>
      </c>
      <c r="AM487" s="9"/>
    </row>
    <row r="488" spans="1:39" x14ac:dyDescent="0.3">
      <c r="A488" s="2" t="str">
        <f t="shared" si="212"/>
        <v>NÃO</v>
      </c>
      <c r="B488" s="2" t="str">
        <f>_xlfn.XLOOKUP($N488,'Base de Grupos'!$A:$A,'Base de Grupos'!$D:$D)</f>
        <v>1000065763</v>
      </c>
      <c r="C488" s="5" t="str">
        <f>_xlfn.XLOOKUP($N488,'Base de Grupos'!$A:$A,'Base de Grupos'!$E:$E)</f>
        <v>CANAL VENDA INTERNA</v>
      </c>
      <c r="D488" s="5" t="str">
        <f>_xlfn.XLOOKUP($N488,'Base de Grupos'!$A:$A,'Base de Grupos'!$F:$F)</f>
        <v>1000065763</v>
      </c>
      <c r="E488" s="2" t="str">
        <f>_xlfn.XLOOKUP($N488,'Base de Grupos'!$A:$A,'Base de Grupos'!$G:$G)</f>
        <v>CANAL VENDA INTERNA</v>
      </c>
      <c r="F488" s="2" t="str">
        <f>_xlfn.XLOOKUP($N488,'Base de Grupos'!$A:$A,'Base de Grupos'!$H:$H)</f>
        <v>1000153245</v>
      </c>
      <c r="G488" s="5" t="str">
        <f>_xlfn.XLOOKUP($N488,'Base de Grupos'!$A:$A,'Base de Grupos'!$I:$I)</f>
        <v>REGIONAL VENDA INTERNA - KEY ACCOUNT</v>
      </c>
      <c r="H488" s="5" t="str">
        <f>_xlfn.XLOOKUP($N488,'Base de Grupos'!$A:$A,'Base de Grupos'!$J:$J)</f>
        <v>1000153245</v>
      </c>
      <c r="I488" s="2" t="str">
        <f>_xlfn.XLOOKUP($N488,'Base de Grupos'!$A:$A,'Base de Grupos'!$K:$K)</f>
        <v>REGIONAL VENDA INTERNA - KEY ACCOUNT</v>
      </c>
      <c r="J488" s="2" t="str">
        <f>_xlfn.XLOOKUP($N488,'Base de Grupos'!$A:$A,'Base de Grupos'!$L:$L)</f>
        <v>1000153245</v>
      </c>
      <c r="K488" s="5" t="str">
        <f>_xlfn.XLOOKUP($N488,'Base de Grupos'!$A:$A,'Base de Grupos'!$M:$M)</f>
        <v>REGIONAL VENDA INTERNA - KEY ACCOUNT</v>
      </c>
      <c r="L488" s="5" t="str">
        <f t="shared" si="213"/>
        <v/>
      </c>
      <c r="M488" s="5" t="str">
        <f>_xlfn.XLOOKUP($N488,'Base de Grupos'!$A:$A,'Base de Grupos'!$C:$C)</f>
        <v>PR</v>
      </c>
      <c r="N488" s="3">
        <v>1425</v>
      </c>
      <c r="O488" s="4" t="s">
        <v>250</v>
      </c>
      <c r="P488" s="5" t="s">
        <v>93</v>
      </c>
      <c r="Q488" s="24">
        <v>0</v>
      </c>
      <c r="R488" s="24">
        <v>0</v>
      </c>
      <c r="S488" s="24">
        <v>0</v>
      </c>
      <c r="T488" s="24">
        <v>0</v>
      </c>
      <c r="U488" s="24">
        <v>0</v>
      </c>
      <c r="V488" s="24">
        <v>0</v>
      </c>
      <c r="W488" s="24">
        <v>0</v>
      </c>
      <c r="X488" s="24">
        <v>0</v>
      </c>
      <c r="Y488" s="24">
        <v>0</v>
      </c>
      <c r="Z488" s="24">
        <v>0</v>
      </c>
      <c r="AA488" s="24">
        <v>0</v>
      </c>
      <c r="AB488" s="24">
        <v>0</v>
      </c>
      <c r="AC488" s="30">
        <f t="shared" ref="AC488:AC508" si="231">SUM(T488:AB488)</f>
        <v>0</v>
      </c>
      <c r="AD488" s="27">
        <f t="shared" si="225"/>
        <v>0</v>
      </c>
      <c r="AE488" s="25">
        <f>IFERROR(_xlfn.XLOOKUP(N488&amp;P488,'Historico Vendas'!G:G,'Historico Vendas'!E:E),0)</f>
        <v>0</v>
      </c>
      <c r="AF488" s="29" t="str">
        <f t="shared" si="214"/>
        <v/>
      </c>
      <c r="AG488" s="24">
        <f>IFERROR(_xlfn.XLOOKUP(N488&amp;P488,'Historico Vendas'!G:G,'Historico Vendas'!F:F),0)</f>
        <v>0</v>
      </c>
      <c r="AH488" s="25">
        <f t="shared" si="226"/>
        <v>0</v>
      </c>
      <c r="AI488" s="24">
        <f t="shared" si="227"/>
        <v>0</v>
      </c>
      <c r="AJ488" s="11" t="str">
        <f t="shared" si="215"/>
        <v/>
      </c>
      <c r="AK488" s="9" t="s">
        <v>102</v>
      </c>
      <c r="AL488" s="13">
        <f>IFERROR(INDEX('Balizador da Meta'!$D$3:$F$23,MATCH(Quantidade!$P488,'Balizador da Meta'!$C$3:$C$23,0),MATCH(Quantidade!AK488,'Balizador da Meta'!$D$2:$F$2,0)),"")</f>
        <v>0.2</v>
      </c>
      <c r="AM488" s="9"/>
    </row>
    <row r="489" spans="1:39" x14ac:dyDescent="0.3">
      <c r="A489" s="2" t="str">
        <f t="shared" si="212"/>
        <v>SIM</v>
      </c>
      <c r="B489" s="2" t="str">
        <f>_xlfn.XLOOKUP($N489,'Base de Grupos'!$A:$A,'Base de Grupos'!$D:$D)</f>
        <v>1000065763</v>
      </c>
      <c r="C489" s="5" t="str">
        <f>_xlfn.XLOOKUP($N489,'Base de Grupos'!$A:$A,'Base de Grupos'!$E:$E)</f>
        <v>CANAL VENDA INTERNA</v>
      </c>
      <c r="D489" s="5" t="str">
        <f>_xlfn.XLOOKUP($N489,'Base de Grupos'!$A:$A,'Base de Grupos'!$F:$F)</f>
        <v>1000065763</v>
      </c>
      <c r="E489" s="2" t="str">
        <f>_xlfn.XLOOKUP($N489,'Base de Grupos'!$A:$A,'Base de Grupos'!$G:$G)</f>
        <v>CANAL VENDA INTERNA</v>
      </c>
      <c r="F489" s="2" t="str">
        <f>_xlfn.XLOOKUP($N489,'Base de Grupos'!$A:$A,'Base de Grupos'!$H:$H)</f>
        <v>1000153245</v>
      </c>
      <c r="G489" s="5" t="str">
        <f>_xlfn.XLOOKUP($N489,'Base de Grupos'!$A:$A,'Base de Grupos'!$I:$I)</f>
        <v>REGIONAL VENDA INTERNA - KEY ACCOUNT</v>
      </c>
      <c r="H489" s="5" t="str">
        <f>_xlfn.XLOOKUP($N489,'Base de Grupos'!$A:$A,'Base de Grupos'!$J:$J)</f>
        <v>1000153245</v>
      </c>
      <c r="I489" s="2" t="str">
        <f>_xlfn.XLOOKUP($N489,'Base de Grupos'!$A:$A,'Base de Grupos'!$K:$K)</f>
        <v>REGIONAL VENDA INTERNA - KEY ACCOUNT</v>
      </c>
      <c r="J489" s="2" t="str">
        <f>_xlfn.XLOOKUP($N489,'Base de Grupos'!$A:$A,'Base de Grupos'!$L:$L)</f>
        <v>1000153245</v>
      </c>
      <c r="K489" s="5" t="str">
        <f>_xlfn.XLOOKUP($N489,'Base de Grupos'!$A:$A,'Base de Grupos'!$M:$M)</f>
        <v>REGIONAL VENDA INTERNA - KEY ACCOUNT</v>
      </c>
      <c r="L489" s="5">
        <f t="shared" si="213"/>
        <v>1</v>
      </c>
      <c r="M489" s="5" t="str">
        <f>_xlfn.XLOOKUP($N489,'Base de Grupos'!$A:$A,'Base de Grupos'!$C:$C)</f>
        <v>SC</v>
      </c>
      <c r="N489" s="3">
        <v>1427</v>
      </c>
      <c r="O489" s="4" t="s">
        <v>251</v>
      </c>
      <c r="P489" s="5" t="s">
        <v>321</v>
      </c>
      <c r="Q489" s="24">
        <v>0</v>
      </c>
      <c r="R489" s="24">
        <v>0</v>
      </c>
      <c r="S489" s="24">
        <v>0</v>
      </c>
      <c r="T489" s="24">
        <v>0</v>
      </c>
      <c r="U489" s="24">
        <v>0</v>
      </c>
      <c r="V489" s="24">
        <v>0</v>
      </c>
      <c r="W489" s="24">
        <v>0</v>
      </c>
      <c r="X489" s="24">
        <v>0</v>
      </c>
      <c r="Y489" s="24">
        <v>0</v>
      </c>
      <c r="Z489" s="24">
        <v>0</v>
      </c>
      <c r="AA489" s="24">
        <v>0</v>
      </c>
      <c r="AB489" s="24">
        <v>0</v>
      </c>
      <c r="AC489" s="30">
        <f t="shared" si="231"/>
        <v>0</v>
      </c>
      <c r="AD489" s="25">
        <f t="shared" ref="AD489:AI489" si="232">SUM(AD490:AD506)</f>
        <v>0</v>
      </c>
      <c r="AE489" s="25">
        <f t="shared" si="232"/>
        <v>0</v>
      </c>
      <c r="AF489" s="11" t="str">
        <f t="shared" si="214"/>
        <v/>
      </c>
      <c r="AG489" s="24">
        <f t="shared" si="232"/>
        <v>0</v>
      </c>
      <c r="AH489" s="25">
        <f t="shared" si="232"/>
        <v>0</v>
      </c>
      <c r="AI489" s="24">
        <f t="shared" si="232"/>
        <v>0</v>
      </c>
      <c r="AJ489" s="11" t="str">
        <f t="shared" si="215"/>
        <v/>
      </c>
      <c r="AK489" s="9"/>
      <c r="AL489" s="13"/>
      <c r="AM489" s="9"/>
    </row>
    <row r="490" spans="1:39" x14ac:dyDescent="0.3">
      <c r="A490" s="2" t="str">
        <f t="shared" si="212"/>
        <v>NÃO</v>
      </c>
      <c r="B490" s="2" t="str">
        <f>_xlfn.XLOOKUP($N490,'Base de Grupos'!$A:$A,'Base de Grupos'!$D:$D)</f>
        <v>1000065763</v>
      </c>
      <c r="C490" s="5" t="str">
        <f>_xlfn.XLOOKUP($N490,'Base de Grupos'!$A:$A,'Base de Grupos'!$E:$E)</f>
        <v>CANAL VENDA INTERNA</v>
      </c>
      <c r="D490" s="5" t="str">
        <f>_xlfn.XLOOKUP($N490,'Base de Grupos'!$A:$A,'Base de Grupos'!$F:$F)</f>
        <v>1000065763</v>
      </c>
      <c r="E490" s="2" t="str">
        <f>_xlfn.XLOOKUP($N490,'Base de Grupos'!$A:$A,'Base de Grupos'!$G:$G)</f>
        <v>CANAL VENDA INTERNA</v>
      </c>
      <c r="F490" s="2" t="str">
        <f>_xlfn.XLOOKUP($N490,'Base de Grupos'!$A:$A,'Base de Grupos'!$H:$H)</f>
        <v>1000153245</v>
      </c>
      <c r="G490" s="5" t="str">
        <f>_xlfn.XLOOKUP($N490,'Base de Grupos'!$A:$A,'Base de Grupos'!$I:$I)</f>
        <v>REGIONAL VENDA INTERNA - KEY ACCOUNT</v>
      </c>
      <c r="H490" s="5" t="str">
        <f>_xlfn.XLOOKUP($N490,'Base de Grupos'!$A:$A,'Base de Grupos'!$J:$J)</f>
        <v>1000153245</v>
      </c>
      <c r="I490" s="2" t="str">
        <f>_xlfn.XLOOKUP($N490,'Base de Grupos'!$A:$A,'Base de Grupos'!$K:$K)</f>
        <v>REGIONAL VENDA INTERNA - KEY ACCOUNT</v>
      </c>
      <c r="J490" s="2" t="str">
        <f>_xlfn.XLOOKUP($N490,'Base de Grupos'!$A:$A,'Base de Grupos'!$L:$L)</f>
        <v>1000153245</v>
      </c>
      <c r="K490" s="5" t="str">
        <f>_xlfn.XLOOKUP($N490,'Base de Grupos'!$A:$A,'Base de Grupos'!$M:$M)</f>
        <v>REGIONAL VENDA INTERNA - KEY ACCOUNT</v>
      </c>
      <c r="L490" s="5" t="str">
        <f t="shared" si="213"/>
        <v/>
      </c>
      <c r="M490" s="5" t="str">
        <f>_xlfn.XLOOKUP($N490,'Base de Grupos'!$A:$A,'Base de Grupos'!$C:$C)</f>
        <v>SC</v>
      </c>
      <c r="N490" s="3">
        <v>1427</v>
      </c>
      <c r="O490" s="4" t="s">
        <v>251</v>
      </c>
      <c r="P490" s="5" t="s">
        <v>81</v>
      </c>
      <c r="Q490" s="24">
        <v>0</v>
      </c>
      <c r="R490" s="24">
        <v>0</v>
      </c>
      <c r="S490" s="24">
        <v>0</v>
      </c>
      <c r="T490" s="24">
        <v>0</v>
      </c>
      <c r="U490" s="24">
        <v>0</v>
      </c>
      <c r="V490" s="24">
        <v>0</v>
      </c>
      <c r="W490" s="24">
        <v>0</v>
      </c>
      <c r="X490" s="24">
        <v>0</v>
      </c>
      <c r="Y490" s="24">
        <v>0</v>
      </c>
      <c r="Z490" s="24">
        <v>0</v>
      </c>
      <c r="AA490" s="24">
        <v>0</v>
      </c>
      <c r="AB490" s="24">
        <v>0</v>
      </c>
      <c r="AC490" s="30">
        <f t="shared" si="231"/>
        <v>0</v>
      </c>
      <c r="AD490" s="27">
        <f t="shared" ref="AD490:AD506" si="233">IF(AC490=0,0,AC490-AG490)</f>
        <v>0</v>
      </c>
      <c r="AE490" s="25">
        <f>IFERROR(_xlfn.XLOOKUP(N490&amp;P490,'Historico Vendas'!G:G,'Historico Vendas'!E:E),0)</f>
        <v>0</v>
      </c>
      <c r="AF490" s="29" t="str">
        <f t="shared" si="214"/>
        <v/>
      </c>
      <c r="AG490" s="24">
        <f>IFERROR(_xlfn.XLOOKUP(N490&amp;P490,'Historico Vendas'!G:G,'Historico Vendas'!F:F),0)</f>
        <v>0</v>
      </c>
      <c r="AH490" s="25">
        <f t="shared" ref="AH490:AH506" si="234">SUM(Q490:S490)</f>
        <v>0</v>
      </c>
      <c r="AI490" s="24">
        <f t="shared" ref="AI490:AI506" si="235">AH490-AG490</f>
        <v>0</v>
      </c>
      <c r="AJ490" s="11" t="str">
        <f t="shared" si="215"/>
        <v/>
      </c>
      <c r="AK490" s="9" t="s">
        <v>102</v>
      </c>
      <c r="AL490" s="13">
        <f>IFERROR(INDEX('Balizador da Meta'!$D$3:$F$23,MATCH(Quantidade!$P490,'Balizador da Meta'!$C$3:$C$23,0),MATCH(Quantidade!AK490,'Balizador da Meta'!$D$2:$F$2,0)),"")</f>
        <v>0.2</v>
      </c>
      <c r="AM490" s="9"/>
    </row>
    <row r="491" spans="1:39" x14ac:dyDescent="0.3">
      <c r="A491" s="2" t="str">
        <f t="shared" si="212"/>
        <v>NÃO</v>
      </c>
      <c r="B491" s="2" t="str">
        <f>_xlfn.XLOOKUP($N491,'Base de Grupos'!$A:$A,'Base de Grupos'!$D:$D)</f>
        <v>1000065763</v>
      </c>
      <c r="C491" s="5" t="str">
        <f>_xlfn.XLOOKUP($N491,'Base de Grupos'!$A:$A,'Base de Grupos'!$E:$E)</f>
        <v>CANAL VENDA INTERNA</v>
      </c>
      <c r="D491" s="5" t="str">
        <f>_xlfn.XLOOKUP($N491,'Base de Grupos'!$A:$A,'Base de Grupos'!$F:$F)</f>
        <v>1000065763</v>
      </c>
      <c r="E491" s="2" t="str">
        <f>_xlfn.XLOOKUP($N491,'Base de Grupos'!$A:$A,'Base de Grupos'!$G:$G)</f>
        <v>CANAL VENDA INTERNA</v>
      </c>
      <c r="F491" s="2" t="str">
        <f>_xlfn.XLOOKUP($N491,'Base de Grupos'!$A:$A,'Base de Grupos'!$H:$H)</f>
        <v>1000153245</v>
      </c>
      <c r="G491" s="5" t="str">
        <f>_xlfn.XLOOKUP($N491,'Base de Grupos'!$A:$A,'Base de Grupos'!$I:$I)</f>
        <v>REGIONAL VENDA INTERNA - KEY ACCOUNT</v>
      </c>
      <c r="H491" s="5" t="str">
        <f>_xlfn.XLOOKUP($N491,'Base de Grupos'!$A:$A,'Base de Grupos'!$J:$J)</f>
        <v>1000153245</v>
      </c>
      <c r="I491" s="2" t="str">
        <f>_xlfn.XLOOKUP($N491,'Base de Grupos'!$A:$A,'Base de Grupos'!$K:$K)</f>
        <v>REGIONAL VENDA INTERNA - KEY ACCOUNT</v>
      </c>
      <c r="J491" s="2" t="str">
        <f>_xlfn.XLOOKUP($N491,'Base de Grupos'!$A:$A,'Base de Grupos'!$L:$L)</f>
        <v>1000153245</v>
      </c>
      <c r="K491" s="5" t="str">
        <f>_xlfn.XLOOKUP($N491,'Base de Grupos'!$A:$A,'Base de Grupos'!$M:$M)</f>
        <v>REGIONAL VENDA INTERNA - KEY ACCOUNT</v>
      </c>
      <c r="L491" s="5" t="str">
        <f t="shared" si="213"/>
        <v/>
      </c>
      <c r="M491" s="5" t="str">
        <f>_xlfn.XLOOKUP($N491,'Base de Grupos'!$A:$A,'Base de Grupos'!$C:$C)</f>
        <v>SC</v>
      </c>
      <c r="N491" s="3">
        <v>1427</v>
      </c>
      <c r="O491" s="4" t="s">
        <v>251</v>
      </c>
      <c r="P491" s="5" t="s">
        <v>82</v>
      </c>
      <c r="Q491" s="24">
        <v>0</v>
      </c>
      <c r="R491" s="24">
        <v>0</v>
      </c>
      <c r="S491" s="24">
        <v>0</v>
      </c>
      <c r="T491" s="24">
        <v>0</v>
      </c>
      <c r="U491" s="24">
        <v>0</v>
      </c>
      <c r="V491" s="24">
        <v>0</v>
      </c>
      <c r="W491" s="24">
        <v>0</v>
      </c>
      <c r="X491" s="24">
        <v>0</v>
      </c>
      <c r="Y491" s="24">
        <v>0</v>
      </c>
      <c r="Z491" s="24">
        <v>0</v>
      </c>
      <c r="AA491" s="24">
        <v>0</v>
      </c>
      <c r="AB491" s="24">
        <v>0</v>
      </c>
      <c r="AC491" s="30">
        <f t="shared" si="231"/>
        <v>0</v>
      </c>
      <c r="AD491" s="27">
        <f t="shared" si="233"/>
        <v>0</v>
      </c>
      <c r="AE491" s="25">
        <f>IFERROR(_xlfn.XLOOKUP(N491&amp;P491,'Historico Vendas'!G:G,'Historico Vendas'!E:E),0)</f>
        <v>0</v>
      </c>
      <c r="AF491" s="29" t="str">
        <f t="shared" si="214"/>
        <v/>
      </c>
      <c r="AG491" s="24">
        <f>IFERROR(_xlfn.XLOOKUP(N491&amp;P491,'Historico Vendas'!G:G,'Historico Vendas'!F:F),0)</f>
        <v>0</v>
      </c>
      <c r="AH491" s="25">
        <f t="shared" si="234"/>
        <v>0</v>
      </c>
      <c r="AI491" s="24">
        <f t="shared" si="235"/>
        <v>0</v>
      </c>
      <c r="AJ491" s="11" t="str">
        <f t="shared" si="215"/>
        <v/>
      </c>
      <c r="AK491" s="9" t="s">
        <v>102</v>
      </c>
      <c r="AL491" s="13">
        <f>IFERROR(INDEX('Balizador da Meta'!$D$3:$F$23,MATCH(Quantidade!$P491,'Balizador da Meta'!$C$3:$C$23,0),MATCH(Quantidade!AK491,'Balizador da Meta'!$D$2:$F$2,0)),"")</f>
        <v>0.2</v>
      </c>
      <c r="AM491" s="9"/>
    </row>
    <row r="492" spans="1:39" x14ac:dyDescent="0.3">
      <c r="A492" s="2" t="str">
        <f t="shared" si="212"/>
        <v>NÃO</v>
      </c>
      <c r="B492" s="2" t="str">
        <f>_xlfn.XLOOKUP($N492,'Base de Grupos'!$A:$A,'Base de Grupos'!$D:$D)</f>
        <v>1000065763</v>
      </c>
      <c r="C492" s="5" t="str">
        <f>_xlfn.XLOOKUP($N492,'Base de Grupos'!$A:$A,'Base de Grupos'!$E:$E)</f>
        <v>CANAL VENDA INTERNA</v>
      </c>
      <c r="D492" s="5" t="str">
        <f>_xlfn.XLOOKUP($N492,'Base de Grupos'!$A:$A,'Base de Grupos'!$F:$F)</f>
        <v>1000065763</v>
      </c>
      <c r="E492" s="2" t="str">
        <f>_xlfn.XLOOKUP($N492,'Base de Grupos'!$A:$A,'Base de Grupos'!$G:$G)</f>
        <v>CANAL VENDA INTERNA</v>
      </c>
      <c r="F492" s="2" t="str">
        <f>_xlfn.XLOOKUP($N492,'Base de Grupos'!$A:$A,'Base de Grupos'!$H:$H)</f>
        <v>1000153245</v>
      </c>
      <c r="G492" s="5" t="str">
        <f>_xlfn.XLOOKUP($N492,'Base de Grupos'!$A:$A,'Base de Grupos'!$I:$I)</f>
        <v>REGIONAL VENDA INTERNA - KEY ACCOUNT</v>
      </c>
      <c r="H492" s="5" t="str">
        <f>_xlfn.XLOOKUP($N492,'Base de Grupos'!$A:$A,'Base de Grupos'!$J:$J)</f>
        <v>1000153245</v>
      </c>
      <c r="I492" s="2" t="str">
        <f>_xlfn.XLOOKUP($N492,'Base de Grupos'!$A:$A,'Base de Grupos'!$K:$K)</f>
        <v>REGIONAL VENDA INTERNA - KEY ACCOUNT</v>
      </c>
      <c r="J492" s="2" t="str">
        <f>_xlfn.XLOOKUP($N492,'Base de Grupos'!$A:$A,'Base de Grupos'!$L:$L)</f>
        <v>1000153245</v>
      </c>
      <c r="K492" s="5" t="str">
        <f>_xlfn.XLOOKUP($N492,'Base de Grupos'!$A:$A,'Base de Grupos'!$M:$M)</f>
        <v>REGIONAL VENDA INTERNA - KEY ACCOUNT</v>
      </c>
      <c r="L492" s="5" t="str">
        <f t="shared" si="213"/>
        <v/>
      </c>
      <c r="M492" s="5" t="str">
        <f>_xlfn.XLOOKUP($N492,'Base de Grupos'!$A:$A,'Base de Grupos'!$C:$C)</f>
        <v>SC</v>
      </c>
      <c r="N492" s="3">
        <v>1427</v>
      </c>
      <c r="O492" s="4" t="s">
        <v>251</v>
      </c>
      <c r="P492" s="5" t="s">
        <v>84</v>
      </c>
      <c r="Q492" s="24">
        <v>0</v>
      </c>
      <c r="R492" s="24">
        <v>0</v>
      </c>
      <c r="S492" s="24">
        <v>0</v>
      </c>
      <c r="T492" s="24">
        <v>0</v>
      </c>
      <c r="U492" s="24">
        <v>0</v>
      </c>
      <c r="V492" s="24">
        <v>0</v>
      </c>
      <c r="W492" s="24">
        <v>0</v>
      </c>
      <c r="X492" s="24">
        <v>0</v>
      </c>
      <c r="Y492" s="24">
        <v>0</v>
      </c>
      <c r="Z492" s="24">
        <v>0</v>
      </c>
      <c r="AA492" s="24">
        <v>0</v>
      </c>
      <c r="AB492" s="24">
        <v>0</v>
      </c>
      <c r="AC492" s="30">
        <f t="shared" si="231"/>
        <v>0</v>
      </c>
      <c r="AD492" s="27">
        <f t="shared" si="233"/>
        <v>0</v>
      </c>
      <c r="AE492" s="25">
        <f>IFERROR(_xlfn.XLOOKUP(N492&amp;P492,'Historico Vendas'!G:G,'Historico Vendas'!E:E),0)</f>
        <v>0</v>
      </c>
      <c r="AF492" s="29" t="str">
        <f t="shared" si="214"/>
        <v/>
      </c>
      <c r="AG492" s="24">
        <f>IFERROR(_xlfn.XLOOKUP(N492&amp;P492,'Historico Vendas'!G:G,'Historico Vendas'!F:F),0)</f>
        <v>0</v>
      </c>
      <c r="AH492" s="25">
        <f t="shared" si="234"/>
        <v>0</v>
      </c>
      <c r="AI492" s="24">
        <f t="shared" si="235"/>
        <v>0</v>
      </c>
      <c r="AJ492" s="11" t="str">
        <f t="shared" si="215"/>
        <v/>
      </c>
      <c r="AK492" s="9" t="s">
        <v>102</v>
      </c>
      <c r="AL492" s="13">
        <f>IFERROR(INDEX('Balizador da Meta'!$D$3:$F$23,MATCH(Quantidade!$P492,'Balizador da Meta'!$C$3:$C$23,0),MATCH(Quantidade!AK492,'Balizador da Meta'!$D$2:$F$2,0)),"")</f>
        <v>0.15</v>
      </c>
      <c r="AM492" s="9"/>
    </row>
    <row r="493" spans="1:39" x14ac:dyDescent="0.3">
      <c r="A493" s="2" t="str">
        <f t="shared" si="212"/>
        <v>NÃO</v>
      </c>
      <c r="B493" s="2" t="str">
        <f>_xlfn.XLOOKUP($N493,'Base de Grupos'!$A:$A,'Base de Grupos'!$D:$D)</f>
        <v>1000065763</v>
      </c>
      <c r="C493" s="5" t="str">
        <f>_xlfn.XLOOKUP($N493,'Base de Grupos'!$A:$A,'Base de Grupos'!$E:$E)</f>
        <v>CANAL VENDA INTERNA</v>
      </c>
      <c r="D493" s="5" t="str">
        <f>_xlfn.XLOOKUP($N493,'Base de Grupos'!$A:$A,'Base de Grupos'!$F:$F)</f>
        <v>1000065763</v>
      </c>
      <c r="E493" s="2" t="str">
        <f>_xlfn.XLOOKUP($N493,'Base de Grupos'!$A:$A,'Base de Grupos'!$G:$G)</f>
        <v>CANAL VENDA INTERNA</v>
      </c>
      <c r="F493" s="2" t="str">
        <f>_xlfn.XLOOKUP($N493,'Base de Grupos'!$A:$A,'Base de Grupos'!$H:$H)</f>
        <v>1000153245</v>
      </c>
      <c r="G493" s="5" t="str">
        <f>_xlfn.XLOOKUP($N493,'Base de Grupos'!$A:$A,'Base de Grupos'!$I:$I)</f>
        <v>REGIONAL VENDA INTERNA - KEY ACCOUNT</v>
      </c>
      <c r="H493" s="5" t="str">
        <f>_xlfn.XLOOKUP($N493,'Base de Grupos'!$A:$A,'Base de Grupos'!$J:$J)</f>
        <v>1000153245</v>
      </c>
      <c r="I493" s="2" t="str">
        <f>_xlfn.XLOOKUP($N493,'Base de Grupos'!$A:$A,'Base de Grupos'!$K:$K)</f>
        <v>REGIONAL VENDA INTERNA - KEY ACCOUNT</v>
      </c>
      <c r="J493" s="2" t="str">
        <f>_xlfn.XLOOKUP($N493,'Base de Grupos'!$A:$A,'Base de Grupos'!$L:$L)</f>
        <v>1000153245</v>
      </c>
      <c r="K493" s="5" t="str">
        <f>_xlfn.XLOOKUP($N493,'Base de Grupos'!$A:$A,'Base de Grupos'!$M:$M)</f>
        <v>REGIONAL VENDA INTERNA - KEY ACCOUNT</v>
      </c>
      <c r="L493" s="5" t="str">
        <f t="shared" si="213"/>
        <v/>
      </c>
      <c r="M493" s="5" t="str">
        <f>_xlfn.XLOOKUP($N493,'Base de Grupos'!$A:$A,'Base de Grupos'!$C:$C)</f>
        <v>SC</v>
      </c>
      <c r="N493" s="3">
        <v>1427</v>
      </c>
      <c r="O493" s="4" t="s">
        <v>251</v>
      </c>
      <c r="P493" s="5" t="s">
        <v>83</v>
      </c>
      <c r="Q493" s="24">
        <v>0</v>
      </c>
      <c r="R493" s="24">
        <v>0</v>
      </c>
      <c r="S493" s="24">
        <v>0</v>
      </c>
      <c r="T493" s="24">
        <v>0</v>
      </c>
      <c r="U493" s="24">
        <v>0</v>
      </c>
      <c r="V493" s="24">
        <v>0</v>
      </c>
      <c r="W493" s="24">
        <v>0</v>
      </c>
      <c r="X493" s="24">
        <v>0</v>
      </c>
      <c r="Y493" s="24">
        <v>0</v>
      </c>
      <c r="Z493" s="24">
        <v>0</v>
      </c>
      <c r="AA493" s="24">
        <v>0</v>
      </c>
      <c r="AB493" s="24">
        <v>0</v>
      </c>
      <c r="AC493" s="30">
        <f t="shared" si="231"/>
        <v>0</v>
      </c>
      <c r="AD493" s="27">
        <f t="shared" si="233"/>
        <v>0</v>
      </c>
      <c r="AE493" s="25">
        <f>IFERROR(_xlfn.XLOOKUP(N493&amp;P493,'Historico Vendas'!G:G,'Historico Vendas'!E:E),0)</f>
        <v>0</v>
      </c>
      <c r="AF493" s="29" t="str">
        <f t="shared" si="214"/>
        <v/>
      </c>
      <c r="AG493" s="24">
        <f>IFERROR(_xlfn.XLOOKUP(N493&amp;P493,'Historico Vendas'!G:G,'Historico Vendas'!F:F),0)</f>
        <v>0</v>
      </c>
      <c r="AH493" s="25">
        <f t="shared" si="234"/>
        <v>0</v>
      </c>
      <c r="AI493" s="24">
        <f t="shared" si="235"/>
        <v>0</v>
      </c>
      <c r="AJ493" s="11" t="str">
        <f t="shared" si="215"/>
        <v/>
      </c>
      <c r="AK493" s="9" t="s">
        <v>102</v>
      </c>
      <c r="AL493" s="13">
        <f>IFERROR(INDEX('Balizador da Meta'!$D$3:$F$23,MATCH(Quantidade!$P493,'Balizador da Meta'!$C$3:$C$23,0),MATCH(Quantidade!AK493,'Balizador da Meta'!$D$2:$F$2,0)),"")</f>
        <v>0</v>
      </c>
      <c r="AM493" s="9"/>
    </row>
    <row r="494" spans="1:39" x14ac:dyDescent="0.3">
      <c r="A494" s="2" t="str">
        <f t="shared" si="212"/>
        <v>NÃO</v>
      </c>
      <c r="B494" s="2" t="str">
        <f>_xlfn.XLOOKUP($N494,'Base de Grupos'!$A:$A,'Base de Grupos'!$D:$D)</f>
        <v>1000065763</v>
      </c>
      <c r="C494" s="5" t="str">
        <f>_xlfn.XLOOKUP($N494,'Base de Grupos'!$A:$A,'Base de Grupos'!$E:$E)</f>
        <v>CANAL VENDA INTERNA</v>
      </c>
      <c r="D494" s="5" t="str">
        <f>_xlfn.XLOOKUP($N494,'Base de Grupos'!$A:$A,'Base de Grupos'!$F:$F)</f>
        <v>1000065763</v>
      </c>
      <c r="E494" s="2" t="str">
        <f>_xlfn.XLOOKUP($N494,'Base de Grupos'!$A:$A,'Base de Grupos'!$G:$G)</f>
        <v>CANAL VENDA INTERNA</v>
      </c>
      <c r="F494" s="2" t="str">
        <f>_xlfn.XLOOKUP($N494,'Base de Grupos'!$A:$A,'Base de Grupos'!$H:$H)</f>
        <v>1000153245</v>
      </c>
      <c r="G494" s="5" t="str">
        <f>_xlfn.XLOOKUP($N494,'Base de Grupos'!$A:$A,'Base de Grupos'!$I:$I)</f>
        <v>REGIONAL VENDA INTERNA - KEY ACCOUNT</v>
      </c>
      <c r="H494" s="5" t="str">
        <f>_xlfn.XLOOKUP($N494,'Base de Grupos'!$A:$A,'Base de Grupos'!$J:$J)</f>
        <v>1000153245</v>
      </c>
      <c r="I494" s="2" t="str">
        <f>_xlfn.XLOOKUP($N494,'Base de Grupos'!$A:$A,'Base de Grupos'!$K:$K)</f>
        <v>REGIONAL VENDA INTERNA - KEY ACCOUNT</v>
      </c>
      <c r="J494" s="2" t="str">
        <f>_xlfn.XLOOKUP($N494,'Base de Grupos'!$A:$A,'Base de Grupos'!$L:$L)</f>
        <v>1000153245</v>
      </c>
      <c r="K494" s="5" t="str">
        <f>_xlfn.XLOOKUP($N494,'Base de Grupos'!$A:$A,'Base de Grupos'!$M:$M)</f>
        <v>REGIONAL VENDA INTERNA - KEY ACCOUNT</v>
      </c>
      <c r="L494" s="5" t="str">
        <f t="shared" si="213"/>
        <v/>
      </c>
      <c r="M494" s="5" t="str">
        <f>_xlfn.XLOOKUP($N494,'Base de Grupos'!$A:$A,'Base de Grupos'!$C:$C)</f>
        <v>SC</v>
      </c>
      <c r="N494" s="3">
        <v>1427</v>
      </c>
      <c r="O494" s="4" t="s">
        <v>251</v>
      </c>
      <c r="P494" s="5" t="s">
        <v>87</v>
      </c>
      <c r="Q494" s="24">
        <v>0</v>
      </c>
      <c r="R494" s="24">
        <v>0</v>
      </c>
      <c r="S494" s="24">
        <v>0</v>
      </c>
      <c r="T494" s="24">
        <v>0</v>
      </c>
      <c r="U494" s="24">
        <v>0</v>
      </c>
      <c r="V494" s="24">
        <v>0</v>
      </c>
      <c r="W494" s="24">
        <v>0</v>
      </c>
      <c r="X494" s="24">
        <v>0</v>
      </c>
      <c r="Y494" s="24">
        <v>0</v>
      </c>
      <c r="Z494" s="24">
        <v>0</v>
      </c>
      <c r="AA494" s="24">
        <v>0</v>
      </c>
      <c r="AB494" s="24">
        <v>0</v>
      </c>
      <c r="AC494" s="30">
        <f t="shared" si="231"/>
        <v>0</v>
      </c>
      <c r="AD494" s="27">
        <f t="shared" si="233"/>
        <v>0</v>
      </c>
      <c r="AE494" s="25">
        <f>IFERROR(_xlfn.XLOOKUP(N494&amp;P494,'Historico Vendas'!G:G,'Historico Vendas'!E:E),0)</f>
        <v>0</v>
      </c>
      <c r="AF494" s="29" t="str">
        <f t="shared" si="214"/>
        <v/>
      </c>
      <c r="AG494" s="24">
        <f>IFERROR(_xlfn.XLOOKUP(N494&amp;P494,'Historico Vendas'!G:G,'Historico Vendas'!F:F),0)</f>
        <v>0</v>
      </c>
      <c r="AH494" s="25">
        <f t="shared" si="234"/>
        <v>0</v>
      </c>
      <c r="AI494" s="24">
        <f t="shared" si="235"/>
        <v>0</v>
      </c>
      <c r="AJ494" s="11" t="str">
        <f t="shared" si="215"/>
        <v/>
      </c>
      <c r="AK494" s="9" t="s">
        <v>102</v>
      </c>
      <c r="AL494" s="13">
        <f>IFERROR(INDEX('Balizador da Meta'!$D$3:$F$23,MATCH(Quantidade!$P494,'Balizador da Meta'!$C$3:$C$23,0),MATCH(Quantidade!AK494,'Balizador da Meta'!$D$2:$F$2,0)),"")</f>
        <v>0</v>
      </c>
      <c r="AM494" s="9"/>
    </row>
    <row r="495" spans="1:39" x14ac:dyDescent="0.3">
      <c r="A495" s="2" t="str">
        <f t="shared" si="212"/>
        <v>NÃO</v>
      </c>
      <c r="B495" s="2" t="str">
        <f>_xlfn.XLOOKUP($N495,'Base de Grupos'!$A:$A,'Base de Grupos'!$D:$D)</f>
        <v>1000065763</v>
      </c>
      <c r="C495" s="5" t="str">
        <f>_xlfn.XLOOKUP($N495,'Base de Grupos'!$A:$A,'Base de Grupos'!$E:$E)</f>
        <v>CANAL VENDA INTERNA</v>
      </c>
      <c r="D495" s="5" t="str">
        <f>_xlfn.XLOOKUP($N495,'Base de Grupos'!$A:$A,'Base de Grupos'!$F:$F)</f>
        <v>1000065763</v>
      </c>
      <c r="E495" s="2" t="str">
        <f>_xlfn.XLOOKUP($N495,'Base de Grupos'!$A:$A,'Base de Grupos'!$G:$G)</f>
        <v>CANAL VENDA INTERNA</v>
      </c>
      <c r="F495" s="2" t="str">
        <f>_xlfn.XLOOKUP($N495,'Base de Grupos'!$A:$A,'Base de Grupos'!$H:$H)</f>
        <v>1000153245</v>
      </c>
      <c r="G495" s="5" t="str">
        <f>_xlfn.XLOOKUP($N495,'Base de Grupos'!$A:$A,'Base de Grupos'!$I:$I)</f>
        <v>REGIONAL VENDA INTERNA - KEY ACCOUNT</v>
      </c>
      <c r="H495" s="5" t="str">
        <f>_xlfn.XLOOKUP($N495,'Base de Grupos'!$A:$A,'Base de Grupos'!$J:$J)</f>
        <v>1000153245</v>
      </c>
      <c r="I495" s="2" t="str">
        <f>_xlfn.XLOOKUP($N495,'Base de Grupos'!$A:$A,'Base de Grupos'!$K:$K)</f>
        <v>REGIONAL VENDA INTERNA - KEY ACCOUNT</v>
      </c>
      <c r="J495" s="2" t="str">
        <f>_xlfn.XLOOKUP($N495,'Base de Grupos'!$A:$A,'Base de Grupos'!$L:$L)</f>
        <v>1000153245</v>
      </c>
      <c r="K495" s="5" t="str">
        <f>_xlfn.XLOOKUP($N495,'Base de Grupos'!$A:$A,'Base de Grupos'!$M:$M)</f>
        <v>REGIONAL VENDA INTERNA - KEY ACCOUNT</v>
      </c>
      <c r="L495" s="5" t="str">
        <f t="shared" si="213"/>
        <v/>
      </c>
      <c r="M495" s="5" t="str">
        <f>_xlfn.XLOOKUP($N495,'Base de Grupos'!$A:$A,'Base de Grupos'!$C:$C)</f>
        <v>SC</v>
      </c>
      <c r="N495" s="3">
        <v>1427</v>
      </c>
      <c r="O495" s="4" t="s">
        <v>251</v>
      </c>
      <c r="P495" s="5" t="s">
        <v>85</v>
      </c>
      <c r="Q495" s="24">
        <v>0</v>
      </c>
      <c r="R495" s="24">
        <v>0</v>
      </c>
      <c r="S495" s="24">
        <v>0</v>
      </c>
      <c r="T495" s="24">
        <v>0</v>
      </c>
      <c r="U495" s="24">
        <v>0</v>
      </c>
      <c r="V495" s="24">
        <v>0</v>
      </c>
      <c r="W495" s="24">
        <v>0</v>
      </c>
      <c r="X495" s="24">
        <v>0</v>
      </c>
      <c r="Y495" s="24">
        <v>0</v>
      </c>
      <c r="Z495" s="24">
        <v>0</v>
      </c>
      <c r="AA495" s="24">
        <v>0</v>
      </c>
      <c r="AB495" s="24">
        <v>0</v>
      </c>
      <c r="AC495" s="30">
        <f t="shared" si="231"/>
        <v>0</v>
      </c>
      <c r="AD495" s="27">
        <f t="shared" si="233"/>
        <v>0</v>
      </c>
      <c r="AE495" s="25">
        <f>IFERROR(_xlfn.XLOOKUP(N495&amp;P495,'Historico Vendas'!G:G,'Historico Vendas'!E:E),0)</f>
        <v>0</v>
      </c>
      <c r="AF495" s="29" t="str">
        <f t="shared" si="214"/>
        <v/>
      </c>
      <c r="AG495" s="24">
        <f>IFERROR(_xlfn.XLOOKUP(N495&amp;P495,'Historico Vendas'!G:G,'Historico Vendas'!F:F),0)</f>
        <v>0</v>
      </c>
      <c r="AH495" s="25">
        <f t="shared" si="234"/>
        <v>0</v>
      </c>
      <c r="AI495" s="24">
        <f t="shared" si="235"/>
        <v>0</v>
      </c>
      <c r="AJ495" s="11" t="str">
        <f t="shared" si="215"/>
        <v/>
      </c>
      <c r="AK495" s="9" t="s">
        <v>102</v>
      </c>
      <c r="AL495" s="13">
        <f>IFERROR(INDEX('Balizador da Meta'!$D$3:$F$23,MATCH(Quantidade!$P495,'Balizador da Meta'!$C$3:$C$23,0),MATCH(Quantidade!AK495,'Balizador da Meta'!$D$2:$F$2,0)),"")</f>
        <v>0</v>
      </c>
      <c r="AM495" s="9"/>
    </row>
    <row r="496" spans="1:39" x14ac:dyDescent="0.3">
      <c r="A496" s="2" t="str">
        <f t="shared" si="212"/>
        <v>NÃO</v>
      </c>
      <c r="B496" s="2" t="str">
        <f>_xlfn.XLOOKUP($N496,'Base de Grupos'!$A:$A,'Base de Grupos'!$D:$D)</f>
        <v>1000065763</v>
      </c>
      <c r="C496" s="5" t="str">
        <f>_xlfn.XLOOKUP($N496,'Base de Grupos'!$A:$A,'Base de Grupos'!$E:$E)</f>
        <v>CANAL VENDA INTERNA</v>
      </c>
      <c r="D496" s="5" t="str">
        <f>_xlfn.XLOOKUP($N496,'Base de Grupos'!$A:$A,'Base de Grupos'!$F:$F)</f>
        <v>1000065763</v>
      </c>
      <c r="E496" s="2" t="str">
        <f>_xlfn.XLOOKUP($N496,'Base de Grupos'!$A:$A,'Base de Grupos'!$G:$G)</f>
        <v>CANAL VENDA INTERNA</v>
      </c>
      <c r="F496" s="2" t="str">
        <f>_xlfn.XLOOKUP($N496,'Base de Grupos'!$A:$A,'Base de Grupos'!$H:$H)</f>
        <v>1000153245</v>
      </c>
      <c r="G496" s="5" t="str">
        <f>_xlfn.XLOOKUP($N496,'Base de Grupos'!$A:$A,'Base de Grupos'!$I:$I)</f>
        <v>REGIONAL VENDA INTERNA - KEY ACCOUNT</v>
      </c>
      <c r="H496" s="5" t="str">
        <f>_xlfn.XLOOKUP($N496,'Base de Grupos'!$A:$A,'Base de Grupos'!$J:$J)</f>
        <v>1000153245</v>
      </c>
      <c r="I496" s="2" t="str">
        <f>_xlfn.XLOOKUP($N496,'Base de Grupos'!$A:$A,'Base de Grupos'!$K:$K)</f>
        <v>REGIONAL VENDA INTERNA - KEY ACCOUNT</v>
      </c>
      <c r="J496" s="2" t="str">
        <f>_xlfn.XLOOKUP($N496,'Base de Grupos'!$A:$A,'Base de Grupos'!$L:$L)</f>
        <v>1000153245</v>
      </c>
      <c r="K496" s="5" t="str">
        <f>_xlfn.XLOOKUP($N496,'Base de Grupos'!$A:$A,'Base de Grupos'!$M:$M)</f>
        <v>REGIONAL VENDA INTERNA - KEY ACCOUNT</v>
      </c>
      <c r="L496" s="5" t="str">
        <f t="shared" si="213"/>
        <v/>
      </c>
      <c r="M496" s="5" t="str">
        <f>_xlfn.XLOOKUP($N496,'Base de Grupos'!$A:$A,'Base de Grupos'!$C:$C)</f>
        <v>SC</v>
      </c>
      <c r="N496" s="3">
        <v>1427</v>
      </c>
      <c r="O496" s="4" t="s">
        <v>251</v>
      </c>
      <c r="P496" s="5" t="s">
        <v>92</v>
      </c>
      <c r="Q496" s="24">
        <v>0</v>
      </c>
      <c r="R496" s="24">
        <v>0</v>
      </c>
      <c r="S496" s="24">
        <v>0</v>
      </c>
      <c r="T496" s="24">
        <v>0</v>
      </c>
      <c r="U496" s="24">
        <v>0</v>
      </c>
      <c r="V496" s="24">
        <v>0</v>
      </c>
      <c r="W496" s="24">
        <v>0</v>
      </c>
      <c r="X496" s="24">
        <v>0</v>
      </c>
      <c r="Y496" s="24">
        <v>0</v>
      </c>
      <c r="Z496" s="24">
        <v>0</v>
      </c>
      <c r="AA496" s="24">
        <v>0</v>
      </c>
      <c r="AB496" s="24">
        <v>0</v>
      </c>
      <c r="AC496" s="30">
        <f t="shared" si="231"/>
        <v>0</v>
      </c>
      <c r="AD496" s="27">
        <f t="shared" si="233"/>
        <v>0</v>
      </c>
      <c r="AE496" s="25">
        <f>IFERROR(_xlfn.XLOOKUP(N496&amp;P496,'Historico Vendas'!G:G,'Historico Vendas'!E:E),0)</f>
        <v>0</v>
      </c>
      <c r="AF496" s="29" t="str">
        <f t="shared" si="214"/>
        <v/>
      </c>
      <c r="AG496" s="24">
        <f>IFERROR(_xlfn.XLOOKUP(N496&amp;P496,'Historico Vendas'!G:G,'Historico Vendas'!F:F),0)</f>
        <v>0</v>
      </c>
      <c r="AH496" s="25">
        <f t="shared" si="234"/>
        <v>0</v>
      </c>
      <c r="AI496" s="24">
        <f t="shared" si="235"/>
        <v>0</v>
      </c>
      <c r="AJ496" s="11" t="str">
        <f t="shared" si="215"/>
        <v/>
      </c>
      <c r="AK496" s="9" t="s">
        <v>102</v>
      </c>
      <c r="AL496" s="13">
        <f>IFERROR(INDEX('Balizador da Meta'!$D$3:$F$23,MATCH(Quantidade!$P496,'Balizador da Meta'!$C$3:$C$23,0),MATCH(Quantidade!AK496,'Balizador da Meta'!$D$2:$F$2,0)),"")</f>
        <v>0</v>
      </c>
      <c r="AM496" s="9"/>
    </row>
    <row r="497" spans="1:39" x14ac:dyDescent="0.3">
      <c r="A497" s="2" t="str">
        <f t="shared" si="212"/>
        <v>NÃO</v>
      </c>
      <c r="B497" s="2" t="str">
        <f>_xlfn.XLOOKUP($N497,'Base de Grupos'!$A:$A,'Base de Grupos'!$D:$D)</f>
        <v>1000065763</v>
      </c>
      <c r="C497" s="5" t="str">
        <f>_xlfn.XLOOKUP($N497,'Base de Grupos'!$A:$A,'Base de Grupos'!$E:$E)</f>
        <v>CANAL VENDA INTERNA</v>
      </c>
      <c r="D497" s="5" t="str">
        <f>_xlfn.XLOOKUP($N497,'Base de Grupos'!$A:$A,'Base de Grupos'!$F:$F)</f>
        <v>1000065763</v>
      </c>
      <c r="E497" s="2" t="str">
        <f>_xlfn.XLOOKUP($N497,'Base de Grupos'!$A:$A,'Base de Grupos'!$G:$G)</f>
        <v>CANAL VENDA INTERNA</v>
      </c>
      <c r="F497" s="2" t="str">
        <f>_xlfn.XLOOKUP($N497,'Base de Grupos'!$A:$A,'Base de Grupos'!$H:$H)</f>
        <v>1000153245</v>
      </c>
      <c r="G497" s="5" t="str">
        <f>_xlfn.XLOOKUP($N497,'Base de Grupos'!$A:$A,'Base de Grupos'!$I:$I)</f>
        <v>REGIONAL VENDA INTERNA - KEY ACCOUNT</v>
      </c>
      <c r="H497" s="5" t="str">
        <f>_xlfn.XLOOKUP($N497,'Base de Grupos'!$A:$A,'Base de Grupos'!$J:$J)</f>
        <v>1000153245</v>
      </c>
      <c r="I497" s="2" t="str">
        <f>_xlfn.XLOOKUP($N497,'Base de Grupos'!$A:$A,'Base de Grupos'!$K:$K)</f>
        <v>REGIONAL VENDA INTERNA - KEY ACCOUNT</v>
      </c>
      <c r="J497" s="2" t="str">
        <f>_xlfn.XLOOKUP($N497,'Base de Grupos'!$A:$A,'Base de Grupos'!$L:$L)</f>
        <v>1000153245</v>
      </c>
      <c r="K497" s="5" t="str">
        <f>_xlfn.XLOOKUP($N497,'Base de Grupos'!$A:$A,'Base de Grupos'!$M:$M)</f>
        <v>REGIONAL VENDA INTERNA - KEY ACCOUNT</v>
      </c>
      <c r="L497" s="5" t="str">
        <f t="shared" si="213"/>
        <v/>
      </c>
      <c r="M497" s="5" t="str">
        <f>_xlfn.XLOOKUP($N497,'Base de Grupos'!$A:$A,'Base de Grupos'!$C:$C)</f>
        <v>SC</v>
      </c>
      <c r="N497" s="3">
        <v>1427</v>
      </c>
      <c r="O497" s="4" t="s">
        <v>251</v>
      </c>
      <c r="P497" s="5" t="s">
        <v>86</v>
      </c>
      <c r="Q497" s="24">
        <v>0</v>
      </c>
      <c r="R497" s="24">
        <v>0</v>
      </c>
      <c r="S497" s="24">
        <v>0</v>
      </c>
      <c r="T497" s="24">
        <v>0</v>
      </c>
      <c r="U497" s="24">
        <v>0</v>
      </c>
      <c r="V497" s="24">
        <v>0</v>
      </c>
      <c r="W497" s="24">
        <v>0</v>
      </c>
      <c r="X497" s="24">
        <v>0</v>
      </c>
      <c r="Y497" s="24">
        <v>0</v>
      </c>
      <c r="Z497" s="24">
        <v>0</v>
      </c>
      <c r="AA497" s="24">
        <v>0</v>
      </c>
      <c r="AB497" s="24">
        <v>0</v>
      </c>
      <c r="AC497" s="30">
        <f t="shared" si="231"/>
        <v>0</v>
      </c>
      <c r="AD497" s="27">
        <f t="shared" si="233"/>
        <v>0</v>
      </c>
      <c r="AE497" s="25">
        <f>IFERROR(_xlfn.XLOOKUP(N497&amp;P497,'Historico Vendas'!G:G,'Historico Vendas'!E:E),0)</f>
        <v>0</v>
      </c>
      <c r="AF497" s="29" t="str">
        <f t="shared" si="214"/>
        <v/>
      </c>
      <c r="AG497" s="24">
        <f>IFERROR(_xlfn.XLOOKUP(N497&amp;P497,'Historico Vendas'!G:G,'Historico Vendas'!F:F),0)</f>
        <v>0</v>
      </c>
      <c r="AH497" s="25">
        <f t="shared" si="234"/>
        <v>0</v>
      </c>
      <c r="AI497" s="24">
        <f t="shared" si="235"/>
        <v>0</v>
      </c>
      <c r="AJ497" s="11" t="str">
        <f t="shared" si="215"/>
        <v/>
      </c>
      <c r="AK497" s="9" t="s">
        <v>102</v>
      </c>
      <c r="AL497" s="13">
        <f>IFERROR(INDEX('Balizador da Meta'!$D$3:$F$23,MATCH(Quantidade!$P497,'Balizador da Meta'!$C$3:$C$23,0),MATCH(Quantidade!AK497,'Balizador da Meta'!$D$2:$F$2,0)),"")</f>
        <v>0.15</v>
      </c>
      <c r="AM497" s="9"/>
    </row>
    <row r="498" spans="1:39" x14ac:dyDescent="0.3">
      <c r="A498" s="2" t="str">
        <f t="shared" si="212"/>
        <v>NÃO</v>
      </c>
      <c r="B498" s="2" t="str">
        <f>_xlfn.XLOOKUP($N498,'Base de Grupos'!$A:$A,'Base de Grupos'!$D:$D)</f>
        <v>1000065763</v>
      </c>
      <c r="C498" s="5" t="str">
        <f>_xlfn.XLOOKUP($N498,'Base de Grupos'!$A:$A,'Base de Grupos'!$E:$E)</f>
        <v>CANAL VENDA INTERNA</v>
      </c>
      <c r="D498" s="5" t="str">
        <f>_xlfn.XLOOKUP($N498,'Base de Grupos'!$A:$A,'Base de Grupos'!$F:$F)</f>
        <v>1000065763</v>
      </c>
      <c r="E498" s="2" t="str">
        <f>_xlfn.XLOOKUP($N498,'Base de Grupos'!$A:$A,'Base de Grupos'!$G:$G)</f>
        <v>CANAL VENDA INTERNA</v>
      </c>
      <c r="F498" s="2" t="str">
        <f>_xlfn.XLOOKUP($N498,'Base de Grupos'!$A:$A,'Base de Grupos'!$H:$H)</f>
        <v>1000153245</v>
      </c>
      <c r="G498" s="5" t="str">
        <f>_xlfn.XLOOKUP($N498,'Base de Grupos'!$A:$A,'Base de Grupos'!$I:$I)</f>
        <v>REGIONAL VENDA INTERNA - KEY ACCOUNT</v>
      </c>
      <c r="H498" s="5" t="str">
        <f>_xlfn.XLOOKUP($N498,'Base de Grupos'!$A:$A,'Base de Grupos'!$J:$J)</f>
        <v>1000153245</v>
      </c>
      <c r="I498" s="2" t="str">
        <f>_xlfn.XLOOKUP($N498,'Base de Grupos'!$A:$A,'Base de Grupos'!$K:$K)</f>
        <v>REGIONAL VENDA INTERNA - KEY ACCOUNT</v>
      </c>
      <c r="J498" s="2" t="str">
        <f>_xlfn.XLOOKUP($N498,'Base de Grupos'!$A:$A,'Base de Grupos'!$L:$L)</f>
        <v>1000153245</v>
      </c>
      <c r="K498" s="5" t="str">
        <f>_xlfn.XLOOKUP($N498,'Base de Grupos'!$A:$A,'Base de Grupos'!$M:$M)</f>
        <v>REGIONAL VENDA INTERNA - KEY ACCOUNT</v>
      </c>
      <c r="L498" s="5" t="str">
        <f t="shared" si="213"/>
        <v/>
      </c>
      <c r="M498" s="5" t="str">
        <f>_xlfn.XLOOKUP($N498,'Base de Grupos'!$A:$A,'Base de Grupos'!$C:$C)</f>
        <v>SC</v>
      </c>
      <c r="N498" s="3">
        <v>1427</v>
      </c>
      <c r="O498" s="4" t="s">
        <v>251</v>
      </c>
      <c r="P498" s="5" t="s">
        <v>108</v>
      </c>
      <c r="Q498" s="24">
        <v>0</v>
      </c>
      <c r="R498" s="24">
        <v>0</v>
      </c>
      <c r="S498" s="24">
        <v>0</v>
      </c>
      <c r="T498" s="24">
        <v>0</v>
      </c>
      <c r="U498" s="24">
        <v>0</v>
      </c>
      <c r="V498" s="24">
        <v>0</v>
      </c>
      <c r="W498" s="24">
        <v>0</v>
      </c>
      <c r="X498" s="24">
        <v>0</v>
      </c>
      <c r="Y498" s="24">
        <v>0</v>
      </c>
      <c r="Z498" s="24">
        <v>0</v>
      </c>
      <c r="AA498" s="24">
        <v>0</v>
      </c>
      <c r="AB498" s="24">
        <v>0</v>
      </c>
      <c r="AC498" s="30">
        <f t="shared" si="231"/>
        <v>0</v>
      </c>
      <c r="AD498" s="27">
        <f t="shared" si="233"/>
        <v>0</v>
      </c>
      <c r="AE498" s="25">
        <f>IFERROR(_xlfn.XLOOKUP(N498&amp;P498,'Historico Vendas'!G:G,'Historico Vendas'!E:E),0)</f>
        <v>0</v>
      </c>
      <c r="AF498" s="29" t="str">
        <f t="shared" si="214"/>
        <v/>
      </c>
      <c r="AG498" s="24">
        <f>IFERROR(_xlfn.XLOOKUP(N498&amp;P498,'Historico Vendas'!G:G,'Historico Vendas'!F:F),0)</f>
        <v>0</v>
      </c>
      <c r="AH498" s="25">
        <f t="shared" si="234"/>
        <v>0</v>
      </c>
      <c r="AI498" s="24">
        <f t="shared" si="235"/>
        <v>0</v>
      </c>
      <c r="AJ498" s="11" t="str">
        <f t="shared" si="215"/>
        <v/>
      </c>
      <c r="AK498" s="9" t="s">
        <v>102</v>
      </c>
      <c r="AL498" s="13">
        <f>IFERROR(INDEX('Balizador da Meta'!$D$3:$F$23,MATCH(Quantidade!$P498,'Balizador da Meta'!$C$3:$C$23,0),MATCH(Quantidade!AK498,'Balizador da Meta'!$D$2:$F$2,0)),"")</f>
        <v>0</v>
      </c>
      <c r="AM498" s="9"/>
    </row>
    <row r="499" spans="1:39" x14ac:dyDescent="0.3">
      <c r="A499" s="2" t="str">
        <f t="shared" si="212"/>
        <v>NÃO</v>
      </c>
      <c r="B499" s="2" t="str">
        <f>_xlfn.XLOOKUP($N499,'Base de Grupos'!$A:$A,'Base de Grupos'!$D:$D)</f>
        <v>1000065763</v>
      </c>
      <c r="C499" s="5" t="str">
        <f>_xlfn.XLOOKUP($N499,'Base de Grupos'!$A:$A,'Base de Grupos'!$E:$E)</f>
        <v>CANAL VENDA INTERNA</v>
      </c>
      <c r="D499" s="5" t="str">
        <f>_xlfn.XLOOKUP($N499,'Base de Grupos'!$A:$A,'Base de Grupos'!$F:$F)</f>
        <v>1000065763</v>
      </c>
      <c r="E499" s="2" t="str">
        <f>_xlfn.XLOOKUP($N499,'Base de Grupos'!$A:$A,'Base de Grupos'!$G:$G)</f>
        <v>CANAL VENDA INTERNA</v>
      </c>
      <c r="F499" s="2" t="str">
        <f>_xlfn.XLOOKUP($N499,'Base de Grupos'!$A:$A,'Base de Grupos'!$H:$H)</f>
        <v>1000153245</v>
      </c>
      <c r="G499" s="5" t="str">
        <f>_xlfn.XLOOKUP($N499,'Base de Grupos'!$A:$A,'Base de Grupos'!$I:$I)</f>
        <v>REGIONAL VENDA INTERNA - KEY ACCOUNT</v>
      </c>
      <c r="H499" s="5" t="str">
        <f>_xlfn.XLOOKUP($N499,'Base de Grupos'!$A:$A,'Base de Grupos'!$J:$J)</f>
        <v>1000153245</v>
      </c>
      <c r="I499" s="2" t="str">
        <f>_xlfn.XLOOKUP($N499,'Base de Grupos'!$A:$A,'Base de Grupos'!$K:$K)</f>
        <v>REGIONAL VENDA INTERNA - KEY ACCOUNT</v>
      </c>
      <c r="J499" s="2" t="str">
        <f>_xlfn.XLOOKUP($N499,'Base de Grupos'!$A:$A,'Base de Grupos'!$L:$L)</f>
        <v>1000153245</v>
      </c>
      <c r="K499" s="5" t="str">
        <f>_xlfn.XLOOKUP($N499,'Base de Grupos'!$A:$A,'Base de Grupos'!$M:$M)</f>
        <v>REGIONAL VENDA INTERNA - KEY ACCOUNT</v>
      </c>
      <c r="L499" s="5" t="str">
        <f t="shared" si="213"/>
        <v/>
      </c>
      <c r="M499" s="5" t="str">
        <f>_xlfn.XLOOKUP($N499,'Base de Grupos'!$A:$A,'Base de Grupos'!$C:$C)</f>
        <v>SC</v>
      </c>
      <c r="N499" s="3">
        <v>1427</v>
      </c>
      <c r="O499" s="4" t="s">
        <v>251</v>
      </c>
      <c r="P499" s="5" t="s">
        <v>89</v>
      </c>
      <c r="Q499" s="24">
        <v>0</v>
      </c>
      <c r="R499" s="24">
        <v>0</v>
      </c>
      <c r="S499" s="24">
        <v>0</v>
      </c>
      <c r="T499" s="24">
        <v>0</v>
      </c>
      <c r="U499" s="24">
        <v>0</v>
      </c>
      <c r="V499" s="24">
        <v>0</v>
      </c>
      <c r="W499" s="24">
        <v>0</v>
      </c>
      <c r="X499" s="24">
        <v>0</v>
      </c>
      <c r="Y499" s="24">
        <v>0</v>
      </c>
      <c r="Z499" s="24">
        <v>0</v>
      </c>
      <c r="AA499" s="24">
        <v>0</v>
      </c>
      <c r="AB499" s="24">
        <v>0</v>
      </c>
      <c r="AC499" s="30">
        <f t="shared" si="231"/>
        <v>0</v>
      </c>
      <c r="AD499" s="27">
        <f t="shared" si="233"/>
        <v>0</v>
      </c>
      <c r="AE499" s="25">
        <f>IFERROR(_xlfn.XLOOKUP(N499&amp;P499,'Historico Vendas'!G:G,'Historico Vendas'!E:E),0)</f>
        <v>0</v>
      </c>
      <c r="AF499" s="29" t="str">
        <f t="shared" si="214"/>
        <v/>
      </c>
      <c r="AG499" s="24">
        <f>IFERROR(_xlfn.XLOOKUP(N499&amp;P499,'Historico Vendas'!G:G,'Historico Vendas'!F:F),0)</f>
        <v>0</v>
      </c>
      <c r="AH499" s="25">
        <f t="shared" si="234"/>
        <v>0</v>
      </c>
      <c r="AI499" s="24">
        <f t="shared" si="235"/>
        <v>0</v>
      </c>
      <c r="AJ499" s="11" t="str">
        <f t="shared" si="215"/>
        <v/>
      </c>
      <c r="AK499" s="9" t="s">
        <v>102</v>
      </c>
      <c r="AL499" s="13">
        <f>IFERROR(INDEX('Balizador da Meta'!$D$3:$F$23,MATCH(Quantidade!$P499,'Balizador da Meta'!$C$3:$C$23,0),MATCH(Quantidade!AK499,'Balizador da Meta'!$D$2:$F$2,0)),"")</f>
        <v>0.25</v>
      </c>
      <c r="AM499" s="9"/>
    </row>
    <row r="500" spans="1:39" x14ac:dyDescent="0.3">
      <c r="A500" s="2" t="str">
        <f t="shared" si="212"/>
        <v>NÃO</v>
      </c>
      <c r="B500" s="2" t="str">
        <f>_xlfn.XLOOKUP($N500,'Base de Grupos'!$A:$A,'Base de Grupos'!$D:$D)</f>
        <v>1000065763</v>
      </c>
      <c r="C500" s="5" t="str">
        <f>_xlfn.XLOOKUP($N500,'Base de Grupos'!$A:$A,'Base de Grupos'!$E:$E)</f>
        <v>CANAL VENDA INTERNA</v>
      </c>
      <c r="D500" s="5" t="str">
        <f>_xlfn.XLOOKUP($N500,'Base de Grupos'!$A:$A,'Base de Grupos'!$F:$F)</f>
        <v>1000065763</v>
      </c>
      <c r="E500" s="2" t="str">
        <f>_xlfn.XLOOKUP($N500,'Base de Grupos'!$A:$A,'Base de Grupos'!$G:$G)</f>
        <v>CANAL VENDA INTERNA</v>
      </c>
      <c r="F500" s="2" t="str">
        <f>_xlfn.XLOOKUP($N500,'Base de Grupos'!$A:$A,'Base de Grupos'!$H:$H)</f>
        <v>1000153245</v>
      </c>
      <c r="G500" s="5" t="str">
        <f>_xlfn.XLOOKUP($N500,'Base de Grupos'!$A:$A,'Base de Grupos'!$I:$I)</f>
        <v>REGIONAL VENDA INTERNA - KEY ACCOUNT</v>
      </c>
      <c r="H500" s="5" t="str">
        <f>_xlfn.XLOOKUP($N500,'Base de Grupos'!$A:$A,'Base de Grupos'!$J:$J)</f>
        <v>1000153245</v>
      </c>
      <c r="I500" s="2" t="str">
        <f>_xlfn.XLOOKUP($N500,'Base de Grupos'!$A:$A,'Base de Grupos'!$K:$K)</f>
        <v>REGIONAL VENDA INTERNA - KEY ACCOUNT</v>
      </c>
      <c r="J500" s="2" t="str">
        <f>_xlfn.XLOOKUP($N500,'Base de Grupos'!$A:$A,'Base de Grupos'!$L:$L)</f>
        <v>1000153245</v>
      </c>
      <c r="K500" s="5" t="str">
        <f>_xlfn.XLOOKUP($N500,'Base de Grupos'!$A:$A,'Base de Grupos'!$M:$M)</f>
        <v>REGIONAL VENDA INTERNA - KEY ACCOUNT</v>
      </c>
      <c r="L500" s="5" t="str">
        <f t="shared" si="213"/>
        <v/>
      </c>
      <c r="M500" s="5" t="str">
        <f>_xlfn.XLOOKUP($N500,'Base de Grupos'!$A:$A,'Base de Grupos'!$C:$C)</f>
        <v>SC</v>
      </c>
      <c r="N500" s="3">
        <v>1427</v>
      </c>
      <c r="O500" s="4" t="s">
        <v>251</v>
      </c>
      <c r="P500" s="5" t="s">
        <v>88</v>
      </c>
      <c r="Q500" s="24">
        <v>0</v>
      </c>
      <c r="R500" s="24">
        <v>0</v>
      </c>
      <c r="S500" s="24">
        <v>0</v>
      </c>
      <c r="T500" s="24">
        <v>0</v>
      </c>
      <c r="U500" s="24">
        <v>0</v>
      </c>
      <c r="V500" s="24">
        <v>0</v>
      </c>
      <c r="W500" s="24">
        <v>0</v>
      </c>
      <c r="X500" s="24">
        <v>0</v>
      </c>
      <c r="Y500" s="24">
        <v>0</v>
      </c>
      <c r="Z500" s="24">
        <v>0</v>
      </c>
      <c r="AA500" s="24">
        <v>0</v>
      </c>
      <c r="AB500" s="24">
        <v>0</v>
      </c>
      <c r="AC500" s="30">
        <f t="shared" si="231"/>
        <v>0</v>
      </c>
      <c r="AD500" s="27">
        <f t="shared" si="233"/>
        <v>0</v>
      </c>
      <c r="AE500" s="25">
        <f>IFERROR(_xlfn.XLOOKUP(N500&amp;P500,'Historico Vendas'!G:G,'Historico Vendas'!E:E),0)</f>
        <v>0</v>
      </c>
      <c r="AF500" s="29" t="str">
        <f t="shared" si="214"/>
        <v/>
      </c>
      <c r="AG500" s="24">
        <f>IFERROR(_xlfn.XLOOKUP(N500&amp;P500,'Historico Vendas'!G:G,'Historico Vendas'!F:F),0)</f>
        <v>0</v>
      </c>
      <c r="AH500" s="25">
        <f t="shared" si="234"/>
        <v>0</v>
      </c>
      <c r="AI500" s="24">
        <f t="shared" si="235"/>
        <v>0</v>
      </c>
      <c r="AJ500" s="11" t="str">
        <f t="shared" si="215"/>
        <v/>
      </c>
      <c r="AK500" s="9" t="s">
        <v>102</v>
      </c>
      <c r="AL500" s="13">
        <f>IFERROR(INDEX('Balizador da Meta'!$D$3:$F$23,MATCH(Quantidade!$P500,'Balizador da Meta'!$C$3:$C$23,0),MATCH(Quantidade!AK500,'Balizador da Meta'!$D$2:$F$2,0)),"")</f>
        <v>0</v>
      </c>
      <c r="AM500" s="9"/>
    </row>
    <row r="501" spans="1:39" x14ac:dyDescent="0.3">
      <c r="A501" s="2" t="str">
        <f t="shared" si="212"/>
        <v>NÃO</v>
      </c>
      <c r="B501" s="2" t="str">
        <f>_xlfn.XLOOKUP($N501,'Base de Grupos'!$A:$A,'Base de Grupos'!$D:$D)</f>
        <v>1000065763</v>
      </c>
      <c r="C501" s="5" t="str">
        <f>_xlfn.XLOOKUP($N501,'Base de Grupos'!$A:$A,'Base de Grupos'!$E:$E)</f>
        <v>CANAL VENDA INTERNA</v>
      </c>
      <c r="D501" s="5" t="str">
        <f>_xlfn.XLOOKUP($N501,'Base de Grupos'!$A:$A,'Base de Grupos'!$F:$F)</f>
        <v>1000065763</v>
      </c>
      <c r="E501" s="2" t="str">
        <f>_xlfn.XLOOKUP($N501,'Base de Grupos'!$A:$A,'Base de Grupos'!$G:$G)</f>
        <v>CANAL VENDA INTERNA</v>
      </c>
      <c r="F501" s="2" t="str">
        <f>_xlfn.XLOOKUP($N501,'Base de Grupos'!$A:$A,'Base de Grupos'!$H:$H)</f>
        <v>1000153245</v>
      </c>
      <c r="G501" s="5" t="str">
        <f>_xlfn.XLOOKUP($N501,'Base de Grupos'!$A:$A,'Base de Grupos'!$I:$I)</f>
        <v>REGIONAL VENDA INTERNA - KEY ACCOUNT</v>
      </c>
      <c r="H501" s="5" t="str">
        <f>_xlfn.XLOOKUP($N501,'Base de Grupos'!$A:$A,'Base de Grupos'!$J:$J)</f>
        <v>1000153245</v>
      </c>
      <c r="I501" s="2" t="str">
        <f>_xlfn.XLOOKUP($N501,'Base de Grupos'!$A:$A,'Base de Grupos'!$K:$K)</f>
        <v>REGIONAL VENDA INTERNA - KEY ACCOUNT</v>
      </c>
      <c r="J501" s="2" t="str">
        <f>_xlfn.XLOOKUP($N501,'Base de Grupos'!$A:$A,'Base de Grupos'!$L:$L)</f>
        <v>1000153245</v>
      </c>
      <c r="K501" s="5" t="str">
        <f>_xlfn.XLOOKUP($N501,'Base de Grupos'!$A:$A,'Base de Grupos'!$M:$M)</f>
        <v>REGIONAL VENDA INTERNA - KEY ACCOUNT</v>
      </c>
      <c r="L501" s="5" t="str">
        <f t="shared" si="213"/>
        <v/>
      </c>
      <c r="M501" s="5" t="str">
        <f>_xlfn.XLOOKUP($N501,'Base de Grupos'!$A:$A,'Base de Grupos'!$C:$C)</f>
        <v>SC</v>
      </c>
      <c r="N501" s="3">
        <v>1427</v>
      </c>
      <c r="O501" s="4" t="s">
        <v>251</v>
      </c>
      <c r="P501" s="5" t="s">
        <v>90</v>
      </c>
      <c r="Q501" s="24">
        <v>0</v>
      </c>
      <c r="R501" s="24">
        <v>0</v>
      </c>
      <c r="S501" s="24">
        <v>0</v>
      </c>
      <c r="T501" s="24">
        <v>0</v>
      </c>
      <c r="U501" s="24">
        <v>0</v>
      </c>
      <c r="V501" s="24">
        <v>0</v>
      </c>
      <c r="W501" s="24">
        <v>0</v>
      </c>
      <c r="X501" s="24">
        <v>0</v>
      </c>
      <c r="Y501" s="24">
        <v>0</v>
      </c>
      <c r="Z501" s="24">
        <v>0</v>
      </c>
      <c r="AA501" s="24">
        <v>0</v>
      </c>
      <c r="AB501" s="24">
        <v>0</v>
      </c>
      <c r="AC501" s="30">
        <f t="shared" si="231"/>
        <v>0</v>
      </c>
      <c r="AD501" s="27">
        <f t="shared" si="233"/>
        <v>0</v>
      </c>
      <c r="AE501" s="25">
        <f>IFERROR(_xlfn.XLOOKUP(N501&amp;P501,'Historico Vendas'!G:G,'Historico Vendas'!E:E),0)</f>
        <v>0</v>
      </c>
      <c r="AF501" s="29" t="str">
        <f t="shared" si="214"/>
        <v/>
      </c>
      <c r="AG501" s="24">
        <f>IFERROR(_xlfn.XLOOKUP(N501&amp;P501,'Historico Vendas'!G:G,'Historico Vendas'!F:F),0)</f>
        <v>0</v>
      </c>
      <c r="AH501" s="25">
        <f t="shared" si="234"/>
        <v>0</v>
      </c>
      <c r="AI501" s="24">
        <f t="shared" si="235"/>
        <v>0</v>
      </c>
      <c r="AJ501" s="11" t="str">
        <f t="shared" si="215"/>
        <v/>
      </c>
      <c r="AK501" s="9" t="s">
        <v>102</v>
      </c>
      <c r="AL501" s="13">
        <f>IFERROR(INDEX('Balizador da Meta'!$D$3:$F$23,MATCH(Quantidade!$P501,'Balizador da Meta'!$C$3:$C$23,0),MATCH(Quantidade!AK501,'Balizador da Meta'!$D$2:$F$2,0)),"")</f>
        <v>0</v>
      </c>
      <c r="AM501" s="9"/>
    </row>
    <row r="502" spans="1:39" x14ac:dyDescent="0.3">
      <c r="A502" s="2" t="str">
        <f t="shared" si="212"/>
        <v>NÃO</v>
      </c>
      <c r="B502" s="2" t="str">
        <f>_xlfn.XLOOKUP($N502,'Base de Grupos'!$A:$A,'Base de Grupos'!$D:$D)</f>
        <v>1000065763</v>
      </c>
      <c r="C502" s="5" t="str">
        <f>_xlfn.XLOOKUP($N502,'Base de Grupos'!$A:$A,'Base de Grupos'!$E:$E)</f>
        <v>CANAL VENDA INTERNA</v>
      </c>
      <c r="D502" s="5" t="str">
        <f>_xlfn.XLOOKUP($N502,'Base de Grupos'!$A:$A,'Base de Grupos'!$F:$F)</f>
        <v>1000065763</v>
      </c>
      <c r="E502" s="2" t="str">
        <f>_xlfn.XLOOKUP($N502,'Base de Grupos'!$A:$A,'Base de Grupos'!$G:$G)</f>
        <v>CANAL VENDA INTERNA</v>
      </c>
      <c r="F502" s="2" t="str">
        <f>_xlfn.XLOOKUP($N502,'Base de Grupos'!$A:$A,'Base de Grupos'!$H:$H)</f>
        <v>1000153245</v>
      </c>
      <c r="G502" s="5" t="str">
        <f>_xlfn.XLOOKUP($N502,'Base de Grupos'!$A:$A,'Base de Grupos'!$I:$I)</f>
        <v>REGIONAL VENDA INTERNA - KEY ACCOUNT</v>
      </c>
      <c r="H502" s="5" t="str">
        <f>_xlfn.XLOOKUP($N502,'Base de Grupos'!$A:$A,'Base de Grupos'!$J:$J)</f>
        <v>1000153245</v>
      </c>
      <c r="I502" s="2" t="str">
        <f>_xlfn.XLOOKUP($N502,'Base de Grupos'!$A:$A,'Base de Grupos'!$K:$K)</f>
        <v>REGIONAL VENDA INTERNA - KEY ACCOUNT</v>
      </c>
      <c r="J502" s="2" t="str">
        <f>_xlfn.XLOOKUP($N502,'Base de Grupos'!$A:$A,'Base de Grupos'!$L:$L)</f>
        <v>1000153245</v>
      </c>
      <c r="K502" s="5" t="str">
        <f>_xlfn.XLOOKUP($N502,'Base de Grupos'!$A:$A,'Base de Grupos'!$M:$M)</f>
        <v>REGIONAL VENDA INTERNA - KEY ACCOUNT</v>
      </c>
      <c r="L502" s="5" t="str">
        <f t="shared" si="213"/>
        <v/>
      </c>
      <c r="M502" s="5" t="str">
        <f>_xlfn.XLOOKUP($N502,'Base de Grupos'!$A:$A,'Base de Grupos'!$C:$C)</f>
        <v>SC</v>
      </c>
      <c r="N502" s="3">
        <v>1427</v>
      </c>
      <c r="O502" s="4" t="s">
        <v>251</v>
      </c>
      <c r="P502" s="5" t="s">
        <v>91</v>
      </c>
      <c r="Q502" s="24">
        <v>0</v>
      </c>
      <c r="R502" s="24">
        <v>0</v>
      </c>
      <c r="S502" s="24">
        <v>0</v>
      </c>
      <c r="T502" s="24">
        <v>0</v>
      </c>
      <c r="U502" s="24">
        <v>0</v>
      </c>
      <c r="V502" s="24">
        <v>0</v>
      </c>
      <c r="W502" s="24">
        <v>0</v>
      </c>
      <c r="X502" s="24">
        <v>0</v>
      </c>
      <c r="Y502" s="24">
        <v>0</v>
      </c>
      <c r="Z502" s="24">
        <v>0</v>
      </c>
      <c r="AA502" s="24">
        <v>0</v>
      </c>
      <c r="AB502" s="24">
        <v>0</v>
      </c>
      <c r="AC502" s="30">
        <f t="shared" si="231"/>
        <v>0</v>
      </c>
      <c r="AD502" s="27">
        <f t="shared" si="233"/>
        <v>0</v>
      </c>
      <c r="AE502" s="25">
        <f>IFERROR(_xlfn.XLOOKUP(N502&amp;P502,'Historico Vendas'!G:G,'Historico Vendas'!E:E),0)</f>
        <v>0</v>
      </c>
      <c r="AF502" s="29" t="str">
        <f t="shared" si="214"/>
        <v/>
      </c>
      <c r="AG502" s="24">
        <f>IFERROR(_xlfn.XLOOKUP(N502&amp;P502,'Historico Vendas'!G:G,'Historico Vendas'!F:F),0)</f>
        <v>0</v>
      </c>
      <c r="AH502" s="25">
        <f t="shared" si="234"/>
        <v>0</v>
      </c>
      <c r="AI502" s="24">
        <f t="shared" si="235"/>
        <v>0</v>
      </c>
      <c r="AJ502" s="11" t="str">
        <f t="shared" si="215"/>
        <v/>
      </c>
      <c r="AK502" s="9" t="s">
        <v>102</v>
      </c>
      <c r="AL502" s="13">
        <f>IFERROR(INDEX('Balizador da Meta'!$D$3:$F$23,MATCH(Quantidade!$P502,'Balizador da Meta'!$C$3:$C$23,0),MATCH(Quantidade!AK502,'Balizador da Meta'!$D$2:$F$2,0)),"")</f>
        <v>0</v>
      </c>
      <c r="AM502" s="9"/>
    </row>
    <row r="503" spans="1:39" x14ac:dyDescent="0.3">
      <c r="A503" s="2" t="str">
        <f t="shared" si="212"/>
        <v>NÃO</v>
      </c>
      <c r="B503" s="2" t="str">
        <f>_xlfn.XLOOKUP($N503,'Base de Grupos'!$A:$A,'Base de Grupos'!$D:$D)</f>
        <v>1000065763</v>
      </c>
      <c r="C503" s="5" t="str">
        <f>_xlfn.XLOOKUP($N503,'Base de Grupos'!$A:$A,'Base de Grupos'!$E:$E)</f>
        <v>CANAL VENDA INTERNA</v>
      </c>
      <c r="D503" s="5" t="str">
        <f>_xlfn.XLOOKUP($N503,'Base de Grupos'!$A:$A,'Base de Grupos'!$F:$F)</f>
        <v>1000065763</v>
      </c>
      <c r="E503" s="2" t="str">
        <f>_xlfn.XLOOKUP($N503,'Base de Grupos'!$A:$A,'Base de Grupos'!$G:$G)</f>
        <v>CANAL VENDA INTERNA</v>
      </c>
      <c r="F503" s="2" t="str">
        <f>_xlfn.XLOOKUP($N503,'Base de Grupos'!$A:$A,'Base de Grupos'!$H:$H)</f>
        <v>1000153245</v>
      </c>
      <c r="G503" s="5" t="str">
        <f>_xlfn.XLOOKUP($N503,'Base de Grupos'!$A:$A,'Base de Grupos'!$I:$I)</f>
        <v>REGIONAL VENDA INTERNA - KEY ACCOUNT</v>
      </c>
      <c r="H503" s="5" t="str">
        <f>_xlfn.XLOOKUP($N503,'Base de Grupos'!$A:$A,'Base de Grupos'!$J:$J)</f>
        <v>1000153245</v>
      </c>
      <c r="I503" s="2" t="str">
        <f>_xlfn.XLOOKUP($N503,'Base de Grupos'!$A:$A,'Base de Grupos'!$K:$K)</f>
        <v>REGIONAL VENDA INTERNA - KEY ACCOUNT</v>
      </c>
      <c r="J503" s="2" t="str">
        <f>_xlfn.XLOOKUP($N503,'Base de Grupos'!$A:$A,'Base de Grupos'!$L:$L)</f>
        <v>1000153245</v>
      </c>
      <c r="K503" s="5" t="str">
        <f>_xlfn.XLOOKUP($N503,'Base de Grupos'!$A:$A,'Base de Grupos'!$M:$M)</f>
        <v>REGIONAL VENDA INTERNA - KEY ACCOUNT</v>
      </c>
      <c r="L503" s="5" t="str">
        <f t="shared" si="213"/>
        <v/>
      </c>
      <c r="M503" s="5" t="str">
        <f>_xlfn.XLOOKUP($N503,'Base de Grupos'!$A:$A,'Base de Grupos'!$C:$C)</f>
        <v>SC</v>
      </c>
      <c r="N503" s="3">
        <v>1427</v>
      </c>
      <c r="O503" s="4" t="s">
        <v>251</v>
      </c>
      <c r="P503" s="5" t="s">
        <v>96</v>
      </c>
      <c r="Q503" s="24">
        <v>0</v>
      </c>
      <c r="R503" s="24">
        <v>0</v>
      </c>
      <c r="S503" s="24">
        <v>0</v>
      </c>
      <c r="T503" s="24">
        <v>0</v>
      </c>
      <c r="U503" s="24">
        <v>0</v>
      </c>
      <c r="V503" s="24">
        <v>0</v>
      </c>
      <c r="W503" s="24">
        <v>0</v>
      </c>
      <c r="X503" s="24">
        <v>0</v>
      </c>
      <c r="Y503" s="24">
        <v>0</v>
      </c>
      <c r="Z503" s="24">
        <v>0</v>
      </c>
      <c r="AA503" s="24">
        <v>0</v>
      </c>
      <c r="AB503" s="24">
        <v>0</v>
      </c>
      <c r="AC503" s="30">
        <f t="shared" si="231"/>
        <v>0</v>
      </c>
      <c r="AD503" s="27">
        <f t="shared" si="233"/>
        <v>0</v>
      </c>
      <c r="AE503" s="25">
        <f>IFERROR(_xlfn.XLOOKUP(N503&amp;P503,'Historico Vendas'!G:G,'Historico Vendas'!E:E),0)</f>
        <v>0</v>
      </c>
      <c r="AF503" s="29" t="str">
        <f t="shared" si="214"/>
        <v/>
      </c>
      <c r="AG503" s="24">
        <f>IFERROR(_xlfn.XLOOKUP(N503&amp;P503,'Historico Vendas'!G:G,'Historico Vendas'!F:F),0)</f>
        <v>0</v>
      </c>
      <c r="AH503" s="25">
        <f t="shared" si="234"/>
        <v>0</v>
      </c>
      <c r="AI503" s="24">
        <f t="shared" si="235"/>
        <v>0</v>
      </c>
      <c r="AJ503" s="11" t="str">
        <f t="shared" si="215"/>
        <v/>
      </c>
      <c r="AK503" s="9" t="s">
        <v>102</v>
      </c>
      <c r="AL503" s="13">
        <f>IFERROR(INDEX('Balizador da Meta'!$D$3:$F$23,MATCH(Quantidade!$P503,'Balizador da Meta'!$C$3:$C$23,0),MATCH(Quantidade!AK503,'Balizador da Meta'!$D$2:$F$2,0)),"")</f>
        <v>0</v>
      </c>
      <c r="AM503" s="9"/>
    </row>
    <row r="504" spans="1:39" x14ac:dyDescent="0.3">
      <c r="A504" s="2" t="str">
        <f t="shared" si="212"/>
        <v>NÃO</v>
      </c>
      <c r="B504" s="2" t="str">
        <f>_xlfn.XLOOKUP($N504,'Base de Grupos'!$A:$A,'Base de Grupos'!$D:$D)</f>
        <v>1000065763</v>
      </c>
      <c r="C504" s="5" t="str">
        <f>_xlfn.XLOOKUP($N504,'Base de Grupos'!$A:$A,'Base de Grupos'!$E:$E)</f>
        <v>CANAL VENDA INTERNA</v>
      </c>
      <c r="D504" s="5" t="str">
        <f>_xlfn.XLOOKUP($N504,'Base de Grupos'!$A:$A,'Base de Grupos'!$F:$F)</f>
        <v>1000065763</v>
      </c>
      <c r="E504" s="2" t="str">
        <f>_xlfn.XLOOKUP($N504,'Base de Grupos'!$A:$A,'Base de Grupos'!$G:$G)</f>
        <v>CANAL VENDA INTERNA</v>
      </c>
      <c r="F504" s="2" t="str">
        <f>_xlfn.XLOOKUP($N504,'Base de Grupos'!$A:$A,'Base de Grupos'!$H:$H)</f>
        <v>1000153245</v>
      </c>
      <c r="G504" s="5" t="str">
        <f>_xlfn.XLOOKUP($N504,'Base de Grupos'!$A:$A,'Base de Grupos'!$I:$I)</f>
        <v>REGIONAL VENDA INTERNA - KEY ACCOUNT</v>
      </c>
      <c r="H504" s="5" t="str">
        <f>_xlfn.XLOOKUP($N504,'Base de Grupos'!$A:$A,'Base de Grupos'!$J:$J)</f>
        <v>1000153245</v>
      </c>
      <c r="I504" s="2" t="str">
        <f>_xlfn.XLOOKUP($N504,'Base de Grupos'!$A:$A,'Base de Grupos'!$K:$K)</f>
        <v>REGIONAL VENDA INTERNA - KEY ACCOUNT</v>
      </c>
      <c r="J504" s="2" t="str">
        <f>_xlfn.XLOOKUP($N504,'Base de Grupos'!$A:$A,'Base de Grupos'!$L:$L)</f>
        <v>1000153245</v>
      </c>
      <c r="K504" s="5" t="str">
        <f>_xlfn.XLOOKUP($N504,'Base de Grupos'!$A:$A,'Base de Grupos'!$M:$M)</f>
        <v>REGIONAL VENDA INTERNA - KEY ACCOUNT</v>
      </c>
      <c r="L504" s="5" t="str">
        <f t="shared" si="213"/>
        <v/>
      </c>
      <c r="M504" s="5" t="str">
        <f>_xlfn.XLOOKUP($N504,'Base de Grupos'!$A:$A,'Base de Grupos'!$C:$C)</f>
        <v>SC</v>
      </c>
      <c r="N504" s="3">
        <v>1427</v>
      </c>
      <c r="O504" s="4" t="s">
        <v>251</v>
      </c>
      <c r="P504" s="5" t="s">
        <v>94</v>
      </c>
      <c r="Q504" s="24">
        <v>0</v>
      </c>
      <c r="R504" s="24">
        <v>0</v>
      </c>
      <c r="S504" s="24">
        <v>0</v>
      </c>
      <c r="T504" s="24">
        <v>0</v>
      </c>
      <c r="U504" s="24">
        <v>0</v>
      </c>
      <c r="V504" s="24">
        <v>0</v>
      </c>
      <c r="W504" s="24">
        <v>0</v>
      </c>
      <c r="X504" s="24">
        <v>0</v>
      </c>
      <c r="Y504" s="24">
        <v>0</v>
      </c>
      <c r="Z504" s="24">
        <v>0</v>
      </c>
      <c r="AA504" s="24">
        <v>0</v>
      </c>
      <c r="AB504" s="24">
        <v>0</v>
      </c>
      <c r="AC504" s="30">
        <f t="shared" si="231"/>
        <v>0</v>
      </c>
      <c r="AD504" s="27">
        <f t="shared" si="233"/>
        <v>0</v>
      </c>
      <c r="AE504" s="25">
        <f>IFERROR(_xlfn.XLOOKUP(N504&amp;P504,'Historico Vendas'!G:G,'Historico Vendas'!E:E),0)</f>
        <v>0</v>
      </c>
      <c r="AF504" s="29" t="str">
        <f t="shared" si="214"/>
        <v/>
      </c>
      <c r="AG504" s="24">
        <f>IFERROR(_xlfn.XLOOKUP(N504&amp;P504,'Historico Vendas'!G:G,'Historico Vendas'!F:F),0)</f>
        <v>0</v>
      </c>
      <c r="AH504" s="25">
        <f t="shared" si="234"/>
        <v>0</v>
      </c>
      <c r="AI504" s="24">
        <f t="shared" si="235"/>
        <v>0</v>
      </c>
      <c r="AJ504" s="11" t="str">
        <f t="shared" si="215"/>
        <v/>
      </c>
      <c r="AK504" s="9" t="s">
        <v>102</v>
      </c>
      <c r="AL504" s="13">
        <f>IFERROR(INDEX('Balizador da Meta'!$D$3:$F$23,MATCH(Quantidade!$P504,'Balizador da Meta'!$C$3:$C$23,0),MATCH(Quantidade!AK504,'Balizador da Meta'!$D$2:$F$2,0)),"")</f>
        <v>0.25</v>
      </c>
      <c r="AM504" s="9"/>
    </row>
    <row r="505" spans="1:39" x14ac:dyDescent="0.3">
      <c r="A505" s="2" t="str">
        <f t="shared" si="212"/>
        <v>NÃO</v>
      </c>
      <c r="B505" s="2" t="str">
        <f>_xlfn.XLOOKUP($N505,'Base de Grupos'!$A:$A,'Base de Grupos'!$D:$D)</f>
        <v>1000065763</v>
      </c>
      <c r="C505" s="5" t="str">
        <f>_xlfn.XLOOKUP($N505,'Base de Grupos'!$A:$A,'Base de Grupos'!$E:$E)</f>
        <v>CANAL VENDA INTERNA</v>
      </c>
      <c r="D505" s="5" t="str">
        <f>_xlfn.XLOOKUP($N505,'Base de Grupos'!$A:$A,'Base de Grupos'!$F:$F)</f>
        <v>1000065763</v>
      </c>
      <c r="E505" s="2" t="str">
        <f>_xlfn.XLOOKUP($N505,'Base de Grupos'!$A:$A,'Base de Grupos'!$G:$G)</f>
        <v>CANAL VENDA INTERNA</v>
      </c>
      <c r="F505" s="2" t="str">
        <f>_xlfn.XLOOKUP($N505,'Base de Grupos'!$A:$A,'Base de Grupos'!$H:$H)</f>
        <v>1000153245</v>
      </c>
      <c r="G505" s="5" t="str">
        <f>_xlfn.XLOOKUP($N505,'Base de Grupos'!$A:$A,'Base de Grupos'!$I:$I)</f>
        <v>REGIONAL VENDA INTERNA - KEY ACCOUNT</v>
      </c>
      <c r="H505" s="5" t="str">
        <f>_xlfn.XLOOKUP($N505,'Base de Grupos'!$A:$A,'Base de Grupos'!$J:$J)</f>
        <v>1000153245</v>
      </c>
      <c r="I505" s="2" t="str">
        <f>_xlfn.XLOOKUP($N505,'Base de Grupos'!$A:$A,'Base de Grupos'!$K:$K)</f>
        <v>REGIONAL VENDA INTERNA - KEY ACCOUNT</v>
      </c>
      <c r="J505" s="2" t="str">
        <f>_xlfn.XLOOKUP($N505,'Base de Grupos'!$A:$A,'Base de Grupos'!$L:$L)</f>
        <v>1000153245</v>
      </c>
      <c r="K505" s="5" t="str">
        <f>_xlfn.XLOOKUP($N505,'Base de Grupos'!$A:$A,'Base de Grupos'!$M:$M)</f>
        <v>REGIONAL VENDA INTERNA - KEY ACCOUNT</v>
      </c>
      <c r="L505" s="5" t="str">
        <f t="shared" si="213"/>
        <v/>
      </c>
      <c r="M505" s="5" t="str">
        <f>_xlfn.XLOOKUP($N505,'Base de Grupos'!$A:$A,'Base de Grupos'!$C:$C)</f>
        <v>SC</v>
      </c>
      <c r="N505" s="3">
        <v>1427</v>
      </c>
      <c r="O505" s="4" t="s">
        <v>251</v>
      </c>
      <c r="P505" s="5" t="s">
        <v>95</v>
      </c>
      <c r="Q505" s="24">
        <v>0</v>
      </c>
      <c r="R505" s="24">
        <v>0</v>
      </c>
      <c r="S505" s="24">
        <v>0</v>
      </c>
      <c r="T505" s="24">
        <v>0</v>
      </c>
      <c r="U505" s="24">
        <v>0</v>
      </c>
      <c r="V505" s="24">
        <v>0</v>
      </c>
      <c r="W505" s="24">
        <v>0</v>
      </c>
      <c r="X505" s="24">
        <v>0</v>
      </c>
      <c r="Y505" s="24">
        <v>0</v>
      </c>
      <c r="Z505" s="24">
        <v>0</v>
      </c>
      <c r="AA505" s="24">
        <v>0</v>
      </c>
      <c r="AB505" s="24">
        <v>0</v>
      </c>
      <c r="AC505" s="30">
        <f t="shared" si="231"/>
        <v>0</v>
      </c>
      <c r="AD505" s="27">
        <f t="shared" si="233"/>
        <v>0</v>
      </c>
      <c r="AE505" s="25">
        <f>IFERROR(_xlfn.XLOOKUP(N505&amp;P505,'Historico Vendas'!G:G,'Historico Vendas'!E:E),0)</f>
        <v>0</v>
      </c>
      <c r="AF505" s="29" t="str">
        <f t="shared" si="214"/>
        <v/>
      </c>
      <c r="AG505" s="24">
        <f>IFERROR(_xlfn.XLOOKUP(N505&amp;P505,'Historico Vendas'!G:G,'Historico Vendas'!F:F),0)</f>
        <v>0</v>
      </c>
      <c r="AH505" s="25">
        <f t="shared" si="234"/>
        <v>0</v>
      </c>
      <c r="AI505" s="24">
        <f t="shared" si="235"/>
        <v>0</v>
      </c>
      <c r="AJ505" s="11" t="str">
        <f t="shared" si="215"/>
        <v/>
      </c>
      <c r="AK505" s="9" t="s">
        <v>102</v>
      </c>
      <c r="AL505" s="13">
        <f>IFERROR(INDEX('Balizador da Meta'!$D$3:$F$23,MATCH(Quantidade!$P505,'Balizador da Meta'!$C$3:$C$23,0),MATCH(Quantidade!AK505,'Balizador da Meta'!$D$2:$F$2,0)),"")</f>
        <v>0.25</v>
      </c>
      <c r="AM505" s="9"/>
    </row>
    <row r="506" spans="1:39" x14ac:dyDescent="0.3">
      <c r="A506" s="2" t="str">
        <f t="shared" si="212"/>
        <v>NÃO</v>
      </c>
      <c r="B506" s="2" t="str">
        <f>_xlfn.XLOOKUP($N506,'Base de Grupos'!$A:$A,'Base de Grupos'!$D:$D)</f>
        <v>1000065763</v>
      </c>
      <c r="C506" s="5" t="str">
        <f>_xlfn.XLOOKUP($N506,'Base de Grupos'!$A:$A,'Base de Grupos'!$E:$E)</f>
        <v>CANAL VENDA INTERNA</v>
      </c>
      <c r="D506" s="5" t="str">
        <f>_xlfn.XLOOKUP($N506,'Base de Grupos'!$A:$A,'Base de Grupos'!$F:$F)</f>
        <v>1000065763</v>
      </c>
      <c r="E506" s="2" t="str">
        <f>_xlfn.XLOOKUP($N506,'Base de Grupos'!$A:$A,'Base de Grupos'!$G:$G)</f>
        <v>CANAL VENDA INTERNA</v>
      </c>
      <c r="F506" s="2" t="str">
        <f>_xlfn.XLOOKUP($N506,'Base de Grupos'!$A:$A,'Base de Grupos'!$H:$H)</f>
        <v>1000153245</v>
      </c>
      <c r="G506" s="5" t="str">
        <f>_xlfn.XLOOKUP($N506,'Base de Grupos'!$A:$A,'Base de Grupos'!$I:$I)</f>
        <v>REGIONAL VENDA INTERNA - KEY ACCOUNT</v>
      </c>
      <c r="H506" s="5" t="str">
        <f>_xlfn.XLOOKUP($N506,'Base de Grupos'!$A:$A,'Base de Grupos'!$J:$J)</f>
        <v>1000153245</v>
      </c>
      <c r="I506" s="2" t="str">
        <f>_xlfn.XLOOKUP($N506,'Base de Grupos'!$A:$A,'Base de Grupos'!$K:$K)</f>
        <v>REGIONAL VENDA INTERNA - KEY ACCOUNT</v>
      </c>
      <c r="J506" s="2" t="str">
        <f>_xlfn.XLOOKUP($N506,'Base de Grupos'!$A:$A,'Base de Grupos'!$L:$L)</f>
        <v>1000153245</v>
      </c>
      <c r="K506" s="5" t="str">
        <f>_xlfn.XLOOKUP($N506,'Base de Grupos'!$A:$A,'Base de Grupos'!$M:$M)</f>
        <v>REGIONAL VENDA INTERNA - KEY ACCOUNT</v>
      </c>
      <c r="L506" s="5" t="str">
        <f t="shared" si="213"/>
        <v/>
      </c>
      <c r="M506" s="5" t="str">
        <f>_xlfn.XLOOKUP($N506,'Base de Grupos'!$A:$A,'Base de Grupos'!$C:$C)</f>
        <v>SC</v>
      </c>
      <c r="N506" s="3">
        <v>1427</v>
      </c>
      <c r="O506" s="4" t="s">
        <v>251</v>
      </c>
      <c r="P506" s="5" t="s">
        <v>93</v>
      </c>
      <c r="Q506" s="24">
        <v>0</v>
      </c>
      <c r="R506" s="24">
        <v>0</v>
      </c>
      <c r="S506" s="24">
        <v>0</v>
      </c>
      <c r="T506" s="24">
        <v>0</v>
      </c>
      <c r="U506" s="24">
        <v>0</v>
      </c>
      <c r="V506" s="24">
        <v>0</v>
      </c>
      <c r="W506" s="24">
        <v>0</v>
      </c>
      <c r="X506" s="24">
        <v>0</v>
      </c>
      <c r="Y506" s="24">
        <v>0</v>
      </c>
      <c r="Z506" s="24">
        <v>0</v>
      </c>
      <c r="AA506" s="24">
        <v>0</v>
      </c>
      <c r="AB506" s="24">
        <v>0</v>
      </c>
      <c r="AC506" s="30">
        <f t="shared" si="231"/>
        <v>0</v>
      </c>
      <c r="AD506" s="27">
        <f t="shared" si="233"/>
        <v>0</v>
      </c>
      <c r="AE506" s="25">
        <f>IFERROR(_xlfn.XLOOKUP(N506&amp;P506,'Historico Vendas'!G:G,'Historico Vendas'!E:E),0)</f>
        <v>0</v>
      </c>
      <c r="AF506" s="29" t="str">
        <f t="shared" si="214"/>
        <v/>
      </c>
      <c r="AG506" s="24">
        <f>IFERROR(_xlfn.XLOOKUP(N506&amp;P506,'Historico Vendas'!G:G,'Historico Vendas'!F:F),0)</f>
        <v>0</v>
      </c>
      <c r="AH506" s="25">
        <f t="shared" si="234"/>
        <v>0</v>
      </c>
      <c r="AI506" s="24">
        <f t="shared" si="235"/>
        <v>0</v>
      </c>
      <c r="AJ506" s="11" t="str">
        <f t="shared" si="215"/>
        <v/>
      </c>
      <c r="AK506" s="9" t="s">
        <v>102</v>
      </c>
      <c r="AL506" s="13">
        <f>IFERROR(INDEX('Balizador da Meta'!$D$3:$F$23,MATCH(Quantidade!$P506,'Balizador da Meta'!$C$3:$C$23,0),MATCH(Quantidade!AK506,'Balizador da Meta'!$D$2:$F$2,0)),"")</f>
        <v>0.2</v>
      </c>
      <c r="AM506" s="9"/>
    </row>
    <row r="507" spans="1:39" x14ac:dyDescent="0.3">
      <c r="A507" s="2" t="str">
        <f t="shared" si="212"/>
        <v>SIM</v>
      </c>
      <c r="B507" s="2" t="str">
        <f>_xlfn.XLOOKUP($N507,'Base de Grupos'!$A:$A,'Base de Grupos'!$D:$D)</f>
        <v>1000065763</v>
      </c>
      <c r="C507" s="5" t="str">
        <f>_xlfn.XLOOKUP($N507,'Base de Grupos'!$A:$A,'Base de Grupos'!$E:$E)</f>
        <v>CANAL VENDA INTERNA</v>
      </c>
      <c r="D507" s="5" t="str">
        <f>_xlfn.XLOOKUP($N507,'Base de Grupos'!$A:$A,'Base de Grupos'!$F:$F)</f>
        <v>1000065763</v>
      </c>
      <c r="E507" s="2" t="str">
        <f>_xlfn.XLOOKUP($N507,'Base de Grupos'!$A:$A,'Base de Grupos'!$G:$G)</f>
        <v>CANAL VENDA INTERNA</v>
      </c>
      <c r="F507" s="2" t="str">
        <f>_xlfn.XLOOKUP($N507,'Base de Grupos'!$A:$A,'Base de Grupos'!$H:$H)</f>
        <v>1000153245</v>
      </c>
      <c r="G507" s="5" t="str">
        <f>_xlfn.XLOOKUP($N507,'Base de Grupos'!$A:$A,'Base de Grupos'!$I:$I)</f>
        <v>REGIONAL VENDA INTERNA - KEY ACCOUNT</v>
      </c>
      <c r="H507" s="5" t="str">
        <f>_xlfn.XLOOKUP($N507,'Base de Grupos'!$A:$A,'Base de Grupos'!$J:$J)</f>
        <v>1000153245</v>
      </c>
      <c r="I507" s="2" t="str">
        <f>_xlfn.XLOOKUP($N507,'Base de Grupos'!$A:$A,'Base de Grupos'!$K:$K)</f>
        <v>REGIONAL VENDA INTERNA - KEY ACCOUNT</v>
      </c>
      <c r="J507" s="2" t="str">
        <f>_xlfn.XLOOKUP($N507,'Base de Grupos'!$A:$A,'Base de Grupos'!$L:$L)</f>
        <v>1000153245</v>
      </c>
      <c r="K507" s="5" t="str">
        <f>_xlfn.XLOOKUP($N507,'Base de Grupos'!$A:$A,'Base de Grupos'!$M:$M)</f>
        <v>REGIONAL VENDA INTERNA - KEY ACCOUNT</v>
      </c>
      <c r="L507" s="5">
        <f t="shared" si="213"/>
        <v>1</v>
      </c>
      <c r="M507" s="5" t="str">
        <f>_xlfn.XLOOKUP($N507,'Base de Grupos'!$A:$A,'Base de Grupos'!$C:$C)</f>
        <v>PR</v>
      </c>
      <c r="N507" s="3">
        <v>1428</v>
      </c>
      <c r="O507" s="4" t="s">
        <v>252</v>
      </c>
      <c r="P507" s="5" t="s">
        <v>322</v>
      </c>
      <c r="Q507" s="24">
        <v>0</v>
      </c>
      <c r="R507" s="24">
        <v>0</v>
      </c>
      <c r="S507" s="24">
        <v>0</v>
      </c>
      <c r="T507" s="24">
        <v>0</v>
      </c>
      <c r="U507" s="24">
        <v>0</v>
      </c>
      <c r="V507" s="24">
        <v>0</v>
      </c>
      <c r="W507" s="24">
        <v>0</v>
      </c>
      <c r="X507" s="24">
        <v>0</v>
      </c>
      <c r="Y507" s="24">
        <v>0</v>
      </c>
      <c r="Z507" s="24">
        <v>0</v>
      </c>
      <c r="AA507" s="24">
        <v>0</v>
      </c>
      <c r="AB507" s="24">
        <v>0</v>
      </c>
      <c r="AC507" s="30">
        <f t="shared" si="231"/>
        <v>0</v>
      </c>
      <c r="AD507" s="25">
        <f t="shared" ref="AD507:AI507" si="236">SUM(AD508:AD524)</f>
        <v>0</v>
      </c>
      <c r="AE507" s="25">
        <f t="shared" si="236"/>
        <v>0</v>
      </c>
      <c r="AF507" s="11" t="str">
        <f t="shared" si="214"/>
        <v/>
      </c>
      <c r="AG507" s="24">
        <f t="shared" si="236"/>
        <v>0</v>
      </c>
      <c r="AH507" s="25">
        <f t="shared" si="236"/>
        <v>0</v>
      </c>
      <c r="AI507" s="24">
        <f t="shared" si="236"/>
        <v>0</v>
      </c>
      <c r="AJ507" s="11" t="str">
        <f t="shared" si="215"/>
        <v/>
      </c>
      <c r="AK507" s="9"/>
      <c r="AL507" s="13"/>
      <c r="AM507" s="9"/>
    </row>
    <row r="508" spans="1:39" x14ac:dyDescent="0.3">
      <c r="A508" s="2" t="str">
        <f t="shared" si="212"/>
        <v>NÃO</v>
      </c>
      <c r="B508" s="2" t="str">
        <f>_xlfn.XLOOKUP($N508,'Base de Grupos'!$A:$A,'Base de Grupos'!$D:$D)</f>
        <v>1000065763</v>
      </c>
      <c r="C508" s="5" t="str">
        <f>_xlfn.XLOOKUP($N508,'Base de Grupos'!$A:$A,'Base de Grupos'!$E:$E)</f>
        <v>CANAL VENDA INTERNA</v>
      </c>
      <c r="D508" s="5" t="str">
        <f>_xlfn.XLOOKUP($N508,'Base de Grupos'!$A:$A,'Base de Grupos'!$F:$F)</f>
        <v>1000065763</v>
      </c>
      <c r="E508" s="2" t="str">
        <f>_xlfn.XLOOKUP($N508,'Base de Grupos'!$A:$A,'Base de Grupos'!$G:$G)</f>
        <v>CANAL VENDA INTERNA</v>
      </c>
      <c r="F508" s="2" t="str">
        <f>_xlfn.XLOOKUP($N508,'Base de Grupos'!$A:$A,'Base de Grupos'!$H:$H)</f>
        <v>1000153245</v>
      </c>
      <c r="G508" s="5" t="str">
        <f>_xlfn.XLOOKUP($N508,'Base de Grupos'!$A:$A,'Base de Grupos'!$I:$I)</f>
        <v>REGIONAL VENDA INTERNA - KEY ACCOUNT</v>
      </c>
      <c r="H508" s="5" t="str">
        <f>_xlfn.XLOOKUP($N508,'Base de Grupos'!$A:$A,'Base de Grupos'!$J:$J)</f>
        <v>1000153245</v>
      </c>
      <c r="I508" s="2" t="str">
        <f>_xlfn.XLOOKUP($N508,'Base de Grupos'!$A:$A,'Base de Grupos'!$K:$K)</f>
        <v>REGIONAL VENDA INTERNA - KEY ACCOUNT</v>
      </c>
      <c r="J508" s="2" t="str">
        <f>_xlfn.XLOOKUP($N508,'Base de Grupos'!$A:$A,'Base de Grupos'!$L:$L)</f>
        <v>1000153245</v>
      </c>
      <c r="K508" s="5" t="str">
        <f>_xlfn.XLOOKUP($N508,'Base de Grupos'!$A:$A,'Base de Grupos'!$M:$M)</f>
        <v>REGIONAL VENDA INTERNA - KEY ACCOUNT</v>
      </c>
      <c r="L508" s="5" t="str">
        <f t="shared" si="213"/>
        <v/>
      </c>
      <c r="M508" s="5" t="str">
        <f>_xlfn.XLOOKUP($N508,'Base de Grupos'!$A:$A,'Base de Grupos'!$C:$C)</f>
        <v>PR</v>
      </c>
      <c r="N508" s="3">
        <v>1428</v>
      </c>
      <c r="O508" s="4" t="s">
        <v>252</v>
      </c>
      <c r="P508" s="5" t="s">
        <v>81</v>
      </c>
      <c r="Q508" s="24">
        <v>0</v>
      </c>
      <c r="R508" s="24">
        <v>0</v>
      </c>
      <c r="S508" s="24">
        <v>0</v>
      </c>
      <c r="T508" s="24">
        <v>0</v>
      </c>
      <c r="U508" s="24">
        <v>0</v>
      </c>
      <c r="V508" s="24">
        <v>0</v>
      </c>
      <c r="W508" s="24">
        <v>0</v>
      </c>
      <c r="X508" s="24">
        <v>0</v>
      </c>
      <c r="Y508" s="24">
        <v>0</v>
      </c>
      <c r="Z508" s="24">
        <v>0</v>
      </c>
      <c r="AA508" s="24">
        <v>0</v>
      </c>
      <c r="AB508" s="24">
        <v>0</v>
      </c>
      <c r="AC508" s="30">
        <f t="shared" si="231"/>
        <v>0</v>
      </c>
      <c r="AD508" s="27">
        <f t="shared" ref="AD508:AD524" si="237">IF(AC508=0,0,AC508-AG508)</f>
        <v>0</v>
      </c>
      <c r="AE508" s="25">
        <f>IFERROR(_xlfn.XLOOKUP(N508&amp;P508,'Historico Vendas'!G:G,'Historico Vendas'!E:E),0)</f>
        <v>0</v>
      </c>
      <c r="AF508" s="29" t="str">
        <f t="shared" si="214"/>
        <v/>
      </c>
      <c r="AG508" s="24">
        <f>IFERROR(_xlfn.XLOOKUP(N508&amp;P508,'Historico Vendas'!G:G,'Historico Vendas'!F:F),0)</f>
        <v>0</v>
      </c>
      <c r="AH508" s="25">
        <f t="shared" ref="AH508:AH524" si="238">SUM(Q508:S508)</f>
        <v>0</v>
      </c>
      <c r="AI508" s="24">
        <f t="shared" ref="AI508:AI524" si="239">AH508-AG508</f>
        <v>0</v>
      </c>
      <c r="AJ508" s="11" t="str">
        <f t="shared" si="215"/>
        <v/>
      </c>
      <c r="AK508" s="9" t="s">
        <v>102</v>
      </c>
      <c r="AL508" s="13">
        <f>IFERROR(INDEX('Balizador da Meta'!$D$3:$F$23,MATCH(Quantidade!$P508,'Balizador da Meta'!$C$3:$C$23,0),MATCH(Quantidade!AK508,'Balizador da Meta'!$D$2:$F$2,0)),"")</f>
        <v>0.2</v>
      </c>
      <c r="AM508" s="9"/>
    </row>
    <row r="509" spans="1:39" x14ac:dyDescent="0.3">
      <c r="A509" s="2" t="str">
        <f t="shared" si="212"/>
        <v>NÃO</v>
      </c>
      <c r="B509" s="2" t="str">
        <f>_xlfn.XLOOKUP($N509,'Base de Grupos'!$A:$A,'Base de Grupos'!$D:$D)</f>
        <v>1000065763</v>
      </c>
      <c r="C509" s="5" t="str">
        <f>_xlfn.XLOOKUP($N509,'Base de Grupos'!$A:$A,'Base de Grupos'!$E:$E)</f>
        <v>CANAL VENDA INTERNA</v>
      </c>
      <c r="D509" s="5" t="str">
        <f>_xlfn.XLOOKUP($N509,'Base de Grupos'!$A:$A,'Base de Grupos'!$F:$F)</f>
        <v>1000065763</v>
      </c>
      <c r="E509" s="2" t="str">
        <f>_xlfn.XLOOKUP($N509,'Base de Grupos'!$A:$A,'Base de Grupos'!$G:$G)</f>
        <v>CANAL VENDA INTERNA</v>
      </c>
      <c r="F509" s="2" t="str">
        <f>_xlfn.XLOOKUP($N509,'Base de Grupos'!$A:$A,'Base de Grupos'!$H:$H)</f>
        <v>1000153245</v>
      </c>
      <c r="G509" s="5" t="str">
        <f>_xlfn.XLOOKUP($N509,'Base de Grupos'!$A:$A,'Base de Grupos'!$I:$I)</f>
        <v>REGIONAL VENDA INTERNA - KEY ACCOUNT</v>
      </c>
      <c r="H509" s="5" t="str">
        <f>_xlfn.XLOOKUP($N509,'Base de Grupos'!$A:$A,'Base de Grupos'!$J:$J)</f>
        <v>1000153245</v>
      </c>
      <c r="I509" s="2" t="str">
        <f>_xlfn.XLOOKUP($N509,'Base de Grupos'!$A:$A,'Base de Grupos'!$K:$K)</f>
        <v>REGIONAL VENDA INTERNA - KEY ACCOUNT</v>
      </c>
      <c r="J509" s="2" t="str">
        <f>_xlfn.XLOOKUP($N509,'Base de Grupos'!$A:$A,'Base de Grupos'!$L:$L)</f>
        <v>1000153245</v>
      </c>
      <c r="K509" s="5" t="str">
        <f>_xlfn.XLOOKUP($N509,'Base de Grupos'!$A:$A,'Base de Grupos'!$M:$M)</f>
        <v>REGIONAL VENDA INTERNA - KEY ACCOUNT</v>
      </c>
      <c r="L509" s="5" t="str">
        <f t="shared" si="213"/>
        <v/>
      </c>
      <c r="M509" s="5" t="str">
        <f>_xlfn.XLOOKUP($N509,'Base de Grupos'!$A:$A,'Base de Grupos'!$C:$C)</f>
        <v>PR</v>
      </c>
      <c r="N509" s="3">
        <v>1428</v>
      </c>
      <c r="O509" s="4" t="s">
        <v>252</v>
      </c>
      <c r="P509" s="5" t="s">
        <v>82</v>
      </c>
      <c r="Q509" s="24">
        <f>SUM(Q510:Q530)</f>
        <v>0</v>
      </c>
      <c r="R509" s="24">
        <f t="shared" ref="R509" si="240">SUM(R510:R530)</f>
        <v>0</v>
      </c>
      <c r="S509" s="24">
        <f t="shared" ref="S509" si="241">SUM(S510:S530)</f>
        <v>0</v>
      </c>
      <c r="T509" s="24">
        <f t="shared" ref="T509:AC509" si="242">SUM(T510:T530)</f>
        <v>0</v>
      </c>
      <c r="U509" s="24">
        <f t="shared" si="242"/>
        <v>0</v>
      </c>
      <c r="V509" s="24">
        <f t="shared" si="242"/>
        <v>0</v>
      </c>
      <c r="W509" s="24">
        <f t="shared" si="242"/>
        <v>0</v>
      </c>
      <c r="X509" s="24">
        <f t="shared" si="242"/>
        <v>0</v>
      </c>
      <c r="Y509" s="24">
        <f t="shared" si="242"/>
        <v>0</v>
      </c>
      <c r="Z509" s="24">
        <f t="shared" si="242"/>
        <v>0</v>
      </c>
      <c r="AA509" s="24">
        <f t="shared" si="242"/>
        <v>0</v>
      </c>
      <c r="AB509" s="24">
        <f t="shared" si="242"/>
        <v>0</v>
      </c>
      <c r="AC509" s="24">
        <f t="shared" si="242"/>
        <v>0</v>
      </c>
      <c r="AD509" s="27">
        <f t="shared" si="237"/>
        <v>0</v>
      </c>
      <c r="AE509" s="25">
        <f>IFERROR(_xlfn.XLOOKUP(N509&amp;P509,'Historico Vendas'!G:G,'Historico Vendas'!E:E),0)</f>
        <v>0</v>
      </c>
      <c r="AF509" s="29" t="str">
        <f t="shared" si="214"/>
        <v/>
      </c>
      <c r="AG509" s="24">
        <f>IFERROR(_xlfn.XLOOKUP(N509&amp;P509,'Historico Vendas'!G:G,'Historico Vendas'!F:F),0)</f>
        <v>0</v>
      </c>
      <c r="AH509" s="25">
        <f t="shared" si="238"/>
        <v>0</v>
      </c>
      <c r="AI509" s="24">
        <f t="shared" si="239"/>
        <v>0</v>
      </c>
      <c r="AJ509" s="11" t="str">
        <f t="shared" si="215"/>
        <v/>
      </c>
      <c r="AK509" s="9" t="s">
        <v>102</v>
      </c>
      <c r="AL509" s="13">
        <f>IFERROR(INDEX('Balizador da Meta'!$D$3:$F$23,MATCH(Quantidade!$P509,'Balizador da Meta'!$C$3:$C$23,0),MATCH(Quantidade!AK509,'Balizador da Meta'!$D$2:$F$2,0)),"")</f>
        <v>0.2</v>
      </c>
      <c r="AM509" s="9"/>
    </row>
    <row r="510" spans="1:39" x14ac:dyDescent="0.3">
      <c r="A510" s="2" t="str">
        <f t="shared" si="212"/>
        <v>NÃO</v>
      </c>
      <c r="B510" s="2" t="str">
        <f>_xlfn.XLOOKUP($N510,'Base de Grupos'!$A:$A,'Base de Grupos'!$D:$D)</f>
        <v>1000065763</v>
      </c>
      <c r="C510" s="5" t="str">
        <f>_xlfn.XLOOKUP($N510,'Base de Grupos'!$A:$A,'Base de Grupos'!$E:$E)</f>
        <v>CANAL VENDA INTERNA</v>
      </c>
      <c r="D510" s="5" t="str">
        <f>_xlfn.XLOOKUP($N510,'Base de Grupos'!$A:$A,'Base de Grupos'!$F:$F)</f>
        <v>1000065763</v>
      </c>
      <c r="E510" s="2" t="str">
        <f>_xlfn.XLOOKUP($N510,'Base de Grupos'!$A:$A,'Base de Grupos'!$G:$G)</f>
        <v>CANAL VENDA INTERNA</v>
      </c>
      <c r="F510" s="2" t="str">
        <f>_xlfn.XLOOKUP($N510,'Base de Grupos'!$A:$A,'Base de Grupos'!$H:$H)</f>
        <v>1000153245</v>
      </c>
      <c r="G510" s="5" t="str">
        <f>_xlfn.XLOOKUP($N510,'Base de Grupos'!$A:$A,'Base de Grupos'!$I:$I)</f>
        <v>REGIONAL VENDA INTERNA - KEY ACCOUNT</v>
      </c>
      <c r="H510" s="5" t="str">
        <f>_xlfn.XLOOKUP($N510,'Base de Grupos'!$A:$A,'Base de Grupos'!$J:$J)</f>
        <v>1000153245</v>
      </c>
      <c r="I510" s="2" t="str">
        <f>_xlfn.XLOOKUP($N510,'Base de Grupos'!$A:$A,'Base de Grupos'!$K:$K)</f>
        <v>REGIONAL VENDA INTERNA - KEY ACCOUNT</v>
      </c>
      <c r="J510" s="2" t="str">
        <f>_xlfn.XLOOKUP($N510,'Base de Grupos'!$A:$A,'Base de Grupos'!$L:$L)</f>
        <v>1000153245</v>
      </c>
      <c r="K510" s="5" t="str">
        <f>_xlfn.XLOOKUP($N510,'Base de Grupos'!$A:$A,'Base de Grupos'!$M:$M)</f>
        <v>REGIONAL VENDA INTERNA - KEY ACCOUNT</v>
      </c>
      <c r="L510" s="5" t="str">
        <f t="shared" si="213"/>
        <v/>
      </c>
      <c r="M510" s="5" t="str">
        <f>_xlfn.XLOOKUP($N510,'Base de Grupos'!$A:$A,'Base de Grupos'!$C:$C)</f>
        <v>PR</v>
      </c>
      <c r="N510" s="3">
        <v>1428</v>
      </c>
      <c r="O510" s="4" t="s">
        <v>252</v>
      </c>
      <c r="P510" s="5" t="s">
        <v>84</v>
      </c>
      <c r="Q510" s="24">
        <v>0</v>
      </c>
      <c r="R510" s="24">
        <v>0</v>
      </c>
      <c r="S510" s="24">
        <v>0</v>
      </c>
      <c r="T510" s="24">
        <v>0</v>
      </c>
      <c r="U510" s="24">
        <v>0</v>
      </c>
      <c r="V510" s="24">
        <v>0</v>
      </c>
      <c r="W510" s="24">
        <v>0</v>
      </c>
      <c r="X510" s="24">
        <v>0</v>
      </c>
      <c r="Y510" s="24">
        <v>0</v>
      </c>
      <c r="Z510" s="24">
        <v>0</v>
      </c>
      <c r="AA510" s="24">
        <v>0</v>
      </c>
      <c r="AB510" s="24">
        <v>0</v>
      </c>
      <c r="AC510" s="30">
        <f t="shared" ref="AC510:AC530" si="243">SUM(T510:AB510)</f>
        <v>0</v>
      </c>
      <c r="AD510" s="27">
        <f t="shared" si="237"/>
        <v>0</v>
      </c>
      <c r="AE510" s="25">
        <f>IFERROR(_xlfn.XLOOKUP(N510&amp;P510,'Historico Vendas'!G:G,'Historico Vendas'!E:E),0)</f>
        <v>0</v>
      </c>
      <c r="AF510" s="29" t="str">
        <f t="shared" si="214"/>
        <v/>
      </c>
      <c r="AG510" s="24">
        <f>IFERROR(_xlfn.XLOOKUP(N510&amp;P510,'Historico Vendas'!G:G,'Historico Vendas'!F:F),0)</f>
        <v>0</v>
      </c>
      <c r="AH510" s="25">
        <f t="shared" si="238"/>
        <v>0</v>
      </c>
      <c r="AI510" s="24">
        <f t="shared" si="239"/>
        <v>0</v>
      </c>
      <c r="AJ510" s="11" t="str">
        <f t="shared" si="215"/>
        <v/>
      </c>
      <c r="AK510" s="9" t="s">
        <v>102</v>
      </c>
      <c r="AL510" s="13">
        <f>IFERROR(INDEX('Balizador da Meta'!$D$3:$F$23,MATCH(Quantidade!$P510,'Balizador da Meta'!$C$3:$C$23,0),MATCH(Quantidade!AK510,'Balizador da Meta'!$D$2:$F$2,0)),"")</f>
        <v>0.15</v>
      </c>
      <c r="AM510" s="9"/>
    </row>
    <row r="511" spans="1:39" x14ac:dyDescent="0.3">
      <c r="A511" s="2" t="str">
        <f t="shared" si="212"/>
        <v>NÃO</v>
      </c>
      <c r="B511" s="2" t="str">
        <f>_xlfn.XLOOKUP($N511,'Base de Grupos'!$A:$A,'Base de Grupos'!$D:$D)</f>
        <v>1000065763</v>
      </c>
      <c r="C511" s="5" t="str">
        <f>_xlfn.XLOOKUP($N511,'Base de Grupos'!$A:$A,'Base de Grupos'!$E:$E)</f>
        <v>CANAL VENDA INTERNA</v>
      </c>
      <c r="D511" s="5" t="str">
        <f>_xlfn.XLOOKUP($N511,'Base de Grupos'!$A:$A,'Base de Grupos'!$F:$F)</f>
        <v>1000065763</v>
      </c>
      <c r="E511" s="2" t="str">
        <f>_xlfn.XLOOKUP($N511,'Base de Grupos'!$A:$A,'Base de Grupos'!$G:$G)</f>
        <v>CANAL VENDA INTERNA</v>
      </c>
      <c r="F511" s="2" t="str">
        <f>_xlfn.XLOOKUP($N511,'Base de Grupos'!$A:$A,'Base de Grupos'!$H:$H)</f>
        <v>1000153245</v>
      </c>
      <c r="G511" s="5" t="str">
        <f>_xlfn.XLOOKUP($N511,'Base de Grupos'!$A:$A,'Base de Grupos'!$I:$I)</f>
        <v>REGIONAL VENDA INTERNA - KEY ACCOUNT</v>
      </c>
      <c r="H511" s="5" t="str">
        <f>_xlfn.XLOOKUP($N511,'Base de Grupos'!$A:$A,'Base de Grupos'!$J:$J)</f>
        <v>1000153245</v>
      </c>
      <c r="I511" s="2" t="str">
        <f>_xlfn.XLOOKUP($N511,'Base de Grupos'!$A:$A,'Base de Grupos'!$K:$K)</f>
        <v>REGIONAL VENDA INTERNA - KEY ACCOUNT</v>
      </c>
      <c r="J511" s="2" t="str">
        <f>_xlfn.XLOOKUP($N511,'Base de Grupos'!$A:$A,'Base de Grupos'!$L:$L)</f>
        <v>1000153245</v>
      </c>
      <c r="K511" s="5" t="str">
        <f>_xlfn.XLOOKUP($N511,'Base de Grupos'!$A:$A,'Base de Grupos'!$M:$M)</f>
        <v>REGIONAL VENDA INTERNA - KEY ACCOUNT</v>
      </c>
      <c r="L511" s="5" t="str">
        <f t="shared" si="213"/>
        <v/>
      </c>
      <c r="M511" s="5" t="str">
        <f>_xlfn.XLOOKUP($N511,'Base de Grupos'!$A:$A,'Base de Grupos'!$C:$C)</f>
        <v>PR</v>
      </c>
      <c r="N511" s="3">
        <v>1428</v>
      </c>
      <c r="O511" s="4" t="s">
        <v>252</v>
      </c>
      <c r="P511" s="5" t="s">
        <v>83</v>
      </c>
      <c r="Q511" s="24">
        <v>0</v>
      </c>
      <c r="R511" s="24">
        <v>0</v>
      </c>
      <c r="S511" s="24">
        <v>0</v>
      </c>
      <c r="T511" s="24">
        <v>0</v>
      </c>
      <c r="U511" s="24">
        <v>0</v>
      </c>
      <c r="V511" s="24">
        <v>0</v>
      </c>
      <c r="W511" s="24">
        <v>0</v>
      </c>
      <c r="X511" s="24">
        <v>0</v>
      </c>
      <c r="Y511" s="24">
        <v>0</v>
      </c>
      <c r="Z511" s="24">
        <v>0</v>
      </c>
      <c r="AA511" s="24">
        <v>0</v>
      </c>
      <c r="AB511" s="24">
        <v>0</v>
      </c>
      <c r="AC511" s="30">
        <f t="shared" si="243"/>
        <v>0</v>
      </c>
      <c r="AD511" s="27">
        <f t="shared" si="237"/>
        <v>0</v>
      </c>
      <c r="AE511" s="25">
        <f>IFERROR(_xlfn.XLOOKUP(N511&amp;P511,'Historico Vendas'!G:G,'Historico Vendas'!E:E),0)</f>
        <v>0</v>
      </c>
      <c r="AF511" s="29" t="str">
        <f t="shared" si="214"/>
        <v/>
      </c>
      <c r="AG511" s="24">
        <f>IFERROR(_xlfn.XLOOKUP(N511&amp;P511,'Historico Vendas'!G:G,'Historico Vendas'!F:F),0)</f>
        <v>0</v>
      </c>
      <c r="AH511" s="25">
        <f t="shared" si="238"/>
        <v>0</v>
      </c>
      <c r="AI511" s="24">
        <f t="shared" si="239"/>
        <v>0</v>
      </c>
      <c r="AJ511" s="11" t="str">
        <f t="shared" si="215"/>
        <v/>
      </c>
      <c r="AK511" s="9" t="s">
        <v>102</v>
      </c>
      <c r="AL511" s="13">
        <f>IFERROR(INDEX('Balizador da Meta'!$D$3:$F$23,MATCH(Quantidade!$P511,'Balizador da Meta'!$C$3:$C$23,0),MATCH(Quantidade!AK511,'Balizador da Meta'!$D$2:$F$2,0)),"")</f>
        <v>0</v>
      </c>
      <c r="AM511" s="9"/>
    </row>
    <row r="512" spans="1:39" x14ac:dyDescent="0.3">
      <c r="A512" s="2" t="str">
        <f t="shared" si="212"/>
        <v>NÃO</v>
      </c>
      <c r="B512" s="2" t="str">
        <f>_xlfn.XLOOKUP($N512,'Base de Grupos'!$A:$A,'Base de Grupos'!$D:$D)</f>
        <v>1000065763</v>
      </c>
      <c r="C512" s="5" t="str">
        <f>_xlfn.XLOOKUP($N512,'Base de Grupos'!$A:$A,'Base de Grupos'!$E:$E)</f>
        <v>CANAL VENDA INTERNA</v>
      </c>
      <c r="D512" s="5" t="str">
        <f>_xlfn.XLOOKUP($N512,'Base de Grupos'!$A:$A,'Base de Grupos'!$F:$F)</f>
        <v>1000065763</v>
      </c>
      <c r="E512" s="2" t="str">
        <f>_xlfn.XLOOKUP($N512,'Base de Grupos'!$A:$A,'Base de Grupos'!$G:$G)</f>
        <v>CANAL VENDA INTERNA</v>
      </c>
      <c r="F512" s="2" t="str">
        <f>_xlfn.XLOOKUP($N512,'Base de Grupos'!$A:$A,'Base de Grupos'!$H:$H)</f>
        <v>1000153245</v>
      </c>
      <c r="G512" s="5" t="str">
        <f>_xlfn.XLOOKUP($N512,'Base de Grupos'!$A:$A,'Base de Grupos'!$I:$I)</f>
        <v>REGIONAL VENDA INTERNA - KEY ACCOUNT</v>
      </c>
      <c r="H512" s="5" t="str">
        <f>_xlfn.XLOOKUP($N512,'Base de Grupos'!$A:$A,'Base de Grupos'!$J:$J)</f>
        <v>1000153245</v>
      </c>
      <c r="I512" s="2" t="str">
        <f>_xlfn.XLOOKUP($N512,'Base de Grupos'!$A:$A,'Base de Grupos'!$K:$K)</f>
        <v>REGIONAL VENDA INTERNA - KEY ACCOUNT</v>
      </c>
      <c r="J512" s="2" t="str">
        <f>_xlfn.XLOOKUP($N512,'Base de Grupos'!$A:$A,'Base de Grupos'!$L:$L)</f>
        <v>1000153245</v>
      </c>
      <c r="K512" s="5" t="str">
        <f>_xlfn.XLOOKUP($N512,'Base de Grupos'!$A:$A,'Base de Grupos'!$M:$M)</f>
        <v>REGIONAL VENDA INTERNA - KEY ACCOUNT</v>
      </c>
      <c r="L512" s="5" t="str">
        <f t="shared" si="213"/>
        <v/>
      </c>
      <c r="M512" s="5" t="str">
        <f>_xlfn.XLOOKUP($N512,'Base de Grupos'!$A:$A,'Base de Grupos'!$C:$C)</f>
        <v>PR</v>
      </c>
      <c r="N512" s="3">
        <v>1428</v>
      </c>
      <c r="O512" s="4" t="s">
        <v>252</v>
      </c>
      <c r="P512" s="5" t="s">
        <v>87</v>
      </c>
      <c r="Q512" s="24">
        <v>0</v>
      </c>
      <c r="R512" s="24">
        <v>0</v>
      </c>
      <c r="S512" s="24">
        <v>0</v>
      </c>
      <c r="T512" s="24">
        <v>0</v>
      </c>
      <c r="U512" s="24">
        <v>0</v>
      </c>
      <c r="V512" s="24">
        <v>0</v>
      </c>
      <c r="W512" s="24">
        <v>0</v>
      </c>
      <c r="X512" s="24">
        <v>0</v>
      </c>
      <c r="Y512" s="24">
        <v>0</v>
      </c>
      <c r="Z512" s="24">
        <v>0</v>
      </c>
      <c r="AA512" s="24">
        <v>0</v>
      </c>
      <c r="AB512" s="24">
        <v>0</v>
      </c>
      <c r="AC512" s="30">
        <f t="shared" si="243"/>
        <v>0</v>
      </c>
      <c r="AD512" s="27">
        <f t="shared" si="237"/>
        <v>0</v>
      </c>
      <c r="AE512" s="25">
        <f>IFERROR(_xlfn.XLOOKUP(N512&amp;P512,'Historico Vendas'!G:G,'Historico Vendas'!E:E),0)</f>
        <v>0</v>
      </c>
      <c r="AF512" s="29" t="str">
        <f t="shared" si="214"/>
        <v/>
      </c>
      <c r="AG512" s="24">
        <f>IFERROR(_xlfn.XLOOKUP(N512&amp;P512,'Historico Vendas'!G:G,'Historico Vendas'!F:F),0)</f>
        <v>0</v>
      </c>
      <c r="AH512" s="25">
        <f t="shared" si="238"/>
        <v>0</v>
      </c>
      <c r="AI512" s="24">
        <f t="shared" si="239"/>
        <v>0</v>
      </c>
      <c r="AJ512" s="11" t="str">
        <f t="shared" si="215"/>
        <v/>
      </c>
      <c r="AK512" s="9" t="s">
        <v>102</v>
      </c>
      <c r="AL512" s="13">
        <f>IFERROR(INDEX('Balizador da Meta'!$D$3:$F$23,MATCH(Quantidade!$P512,'Balizador da Meta'!$C$3:$C$23,0),MATCH(Quantidade!AK512,'Balizador da Meta'!$D$2:$F$2,0)),"")</f>
        <v>0</v>
      </c>
      <c r="AM512" s="9"/>
    </row>
    <row r="513" spans="1:39" x14ac:dyDescent="0.3">
      <c r="A513" s="2" t="str">
        <f t="shared" si="212"/>
        <v>NÃO</v>
      </c>
      <c r="B513" s="2" t="str">
        <f>_xlfn.XLOOKUP($N513,'Base de Grupos'!$A:$A,'Base de Grupos'!$D:$D)</f>
        <v>1000065763</v>
      </c>
      <c r="C513" s="5" t="str">
        <f>_xlfn.XLOOKUP($N513,'Base de Grupos'!$A:$A,'Base de Grupos'!$E:$E)</f>
        <v>CANAL VENDA INTERNA</v>
      </c>
      <c r="D513" s="5" t="str">
        <f>_xlfn.XLOOKUP($N513,'Base de Grupos'!$A:$A,'Base de Grupos'!$F:$F)</f>
        <v>1000065763</v>
      </c>
      <c r="E513" s="2" t="str">
        <f>_xlfn.XLOOKUP($N513,'Base de Grupos'!$A:$A,'Base de Grupos'!$G:$G)</f>
        <v>CANAL VENDA INTERNA</v>
      </c>
      <c r="F513" s="2" t="str">
        <f>_xlfn.XLOOKUP($N513,'Base de Grupos'!$A:$A,'Base de Grupos'!$H:$H)</f>
        <v>1000153245</v>
      </c>
      <c r="G513" s="5" t="str">
        <f>_xlfn.XLOOKUP($N513,'Base de Grupos'!$A:$A,'Base de Grupos'!$I:$I)</f>
        <v>REGIONAL VENDA INTERNA - KEY ACCOUNT</v>
      </c>
      <c r="H513" s="5" t="str">
        <f>_xlfn.XLOOKUP($N513,'Base de Grupos'!$A:$A,'Base de Grupos'!$J:$J)</f>
        <v>1000153245</v>
      </c>
      <c r="I513" s="2" t="str">
        <f>_xlfn.XLOOKUP($N513,'Base de Grupos'!$A:$A,'Base de Grupos'!$K:$K)</f>
        <v>REGIONAL VENDA INTERNA - KEY ACCOUNT</v>
      </c>
      <c r="J513" s="2" t="str">
        <f>_xlfn.XLOOKUP($N513,'Base de Grupos'!$A:$A,'Base de Grupos'!$L:$L)</f>
        <v>1000153245</v>
      </c>
      <c r="K513" s="5" t="str">
        <f>_xlfn.XLOOKUP($N513,'Base de Grupos'!$A:$A,'Base de Grupos'!$M:$M)</f>
        <v>REGIONAL VENDA INTERNA - KEY ACCOUNT</v>
      </c>
      <c r="L513" s="5" t="str">
        <f t="shared" si="213"/>
        <v/>
      </c>
      <c r="M513" s="5" t="str">
        <f>_xlfn.XLOOKUP($N513,'Base de Grupos'!$A:$A,'Base de Grupos'!$C:$C)</f>
        <v>PR</v>
      </c>
      <c r="N513" s="3">
        <v>1428</v>
      </c>
      <c r="O513" s="4" t="s">
        <v>252</v>
      </c>
      <c r="P513" s="5" t="s">
        <v>85</v>
      </c>
      <c r="Q513" s="24">
        <v>0</v>
      </c>
      <c r="R513" s="24">
        <v>0</v>
      </c>
      <c r="S513" s="24">
        <v>0</v>
      </c>
      <c r="T513" s="24">
        <v>0</v>
      </c>
      <c r="U513" s="24">
        <v>0</v>
      </c>
      <c r="V513" s="24">
        <v>0</v>
      </c>
      <c r="W513" s="24">
        <v>0</v>
      </c>
      <c r="X513" s="24">
        <v>0</v>
      </c>
      <c r="Y513" s="24">
        <v>0</v>
      </c>
      <c r="Z513" s="24">
        <v>0</v>
      </c>
      <c r="AA513" s="24">
        <v>0</v>
      </c>
      <c r="AB513" s="24">
        <v>0</v>
      </c>
      <c r="AC513" s="30">
        <f t="shared" si="243"/>
        <v>0</v>
      </c>
      <c r="AD513" s="27">
        <f t="shared" si="237"/>
        <v>0</v>
      </c>
      <c r="AE513" s="25">
        <f>IFERROR(_xlfn.XLOOKUP(N513&amp;P513,'Historico Vendas'!G:G,'Historico Vendas'!E:E),0)</f>
        <v>0</v>
      </c>
      <c r="AF513" s="29" t="str">
        <f t="shared" si="214"/>
        <v/>
      </c>
      <c r="AG513" s="24">
        <f>IFERROR(_xlfn.XLOOKUP(N513&amp;P513,'Historico Vendas'!G:G,'Historico Vendas'!F:F),0)</f>
        <v>0</v>
      </c>
      <c r="AH513" s="25">
        <f t="shared" si="238"/>
        <v>0</v>
      </c>
      <c r="AI513" s="24">
        <f t="shared" si="239"/>
        <v>0</v>
      </c>
      <c r="AJ513" s="11" t="str">
        <f t="shared" si="215"/>
        <v/>
      </c>
      <c r="AK513" s="9" t="s">
        <v>102</v>
      </c>
      <c r="AL513" s="13">
        <f>IFERROR(INDEX('Balizador da Meta'!$D$3:$F$23,MATCH(Quantidade!$P513,'Balizador da Meta'!$C$3:$C$23,0),MATCH(Quantidade!AK513,'Balizador da Meta'!$D$2:$F$2,0)),"")</f>
        <v>0</v>
      </c>
      <c r="AM513" s="9"/>
    </row>
    <row r="514" spans="1:39" x14ac:dyDescent="0.3">
      <c r="A514" s="2" t="str">
        <f t="shared" si="212"/>
        <v>NÃO</v>
      </c>
      <c r="B514" s="2" t="str">
        <f>_xlfn.XLOOKUP($N514,'Base de Grupos'!$A:$A,'Base de Grupos'!$D:$D)</f>
        <v>1000065763</v>
      </c>
      <c r="C514" s="5" t="str">
        <f>_xlfn.XLOOKUP($N514,'Base de Grupos'!$A:$A,'Base de Grupos'!$E:$E)</f>
        <v>CANAL VENDA INTERNA</v>
      </c>
      <c r="D514" s="5" t="str">
        <f>_xlfn.XLOOKUP($N514,'Base de Grupos'!$A:$A,'Base de Grupos'!$F:$F)</f>
        <v>1000065763</v>
      </c>
      <c r="E514" s="2" t="str">
        <f>_xlfn.XLOOKUP($N514,'Base de Grupos'!$A:$A,'Base de Grupos'!$G:$G)</f>
        <v>CANAL VENDA INTERNA</v>
      </c>
      <c r="F514" s="2" t="str">
        <f>_xlfn.XLOOKUP($N514,'Base de Grupos'!$A:$A,'Base de Grupos'!$H:$H)</f>
        <v>1000153245</v>
      </c>
      <c r="G514" s="5" t="str">
        <f>_xlfn.XLOOKUP($N514,'Base de Grupos'!$A:$A,'Base de Grupos'!$I:$I)</f>
        <v>REGIONAL VENDA INTERNA - KEY ACCOUNT</v>
      </c>
      <c r="H514" s="5" t="str">
        <f>_xlfn.XLOOKUP($N514,'Base de Grupos'!$A:$A,'Base de Grupos'!$J:$J)</f>
        <v>1000153245</v>
      </c>
      <c r="I514" s="2" t="str">
        <f>_xlfn.XLOOKUP($N514,'Base de Grupos'!$A:$A,'Base de Grupos'!$K:$K)</f>
        <v>REGIONAL VENDA INTERNA - KEY ACCOUNT</v>
      </c>
      <c r="J514" s="2" t="str">
        <f>_xlfn.XLOOKUP($N514,'Base de Grupos'!$A:$A,'Base de Grupos'!$L:$L)</f>
        <v>1000153245</v>
      </c>
      <c r="K514" s="5" t="str">
        <f>_xlfn.XLOOKUP($N514,'Base de Grupos'!$A:$A,'Base de Grupos'!$M:$M)</f>
        <v>REGIONAL VENDA INTERNA - KEY ACCOUNT</v>
      </c>
      <c r="L514" s="5" t="str">
        <f t="shared" si="213"/>
        <v/>
      </c>
      <c r="M514" s="5" t="str">
        <f>_xlfn.XLOOKUP($N514,'Base de Grupos'!$A:$A,'Base de Grupos'!$C:$C)</f>
        <v>PR</v>
      </c>
      <c r="N514" s="3">
        <v>1428</v>
      </c>
      <c r="O514" s="4" t="s">
        <v>252</v>
      </c>
      <c r="P514" s="5" t="s">
        <v>92</v>
      </c>
      <c r="Q514" s="24">
        <v>0</v>
      </c>
      <c r="R514" s="24">
        <v>0</v>
      </c>
      <c r="S514" s="24">
        <v>0</v>
      </c>
      <c r="T514" s="24">
        <v>0</v>
      </c>
      <c r="U514" s="24">
        <v>0</v>
      </c>
      <c r="V514" s="24">
        <v>0</v>
      </c>
      <c r="W514" s="24">
        <v>0</v>
      </c>
      <c r="X514" s="24">
        <v>0</v>
      </c>
      <c r="Y514" s="24">
        <v>0</v>
      </c>
      <c r="Z514" s="24">
        <v>0</v>
      </c>
      <c r="AA514" s="24">
        <v>0</v>
      </c>
      <c r="AB514" s="24">
        <v>0</v>
      </c>
      <c r="AC514" s="30">
        <f t="shared" si="243"/>
        <v>0</v>
      </c>
      <c r="AD514" s="27">
        <f t="shared" si="237"/>
        <v>0</v>
      </c>
      <c r="AE514" s="25">
        <f>IFERROR(_xlfn.XLOOKUP(N514&amp;P514,'Historico Vendas'!G:G,'Historico Vendas'!E:E),0)</f>
        <v>0</v>
      </c>
      <c r="AF514" s="29" t="str">
        <f t="shared" si="214"/>
        <v/>
      </c>
      <c r="AG514" s="24">
        <f>IFERROR(_xlfn.XLOOKUP(N514&amp;P514,'Historico Vendas'!G:G,'Historico Vendas'!F:F),0)</f>
        <v>0</v>
      </c>
      <c r="AH514" s="25">
        <f t="shared" si="238"/>
        <v>0</v>
      </c>
      <c r="AI514" s="24">
        <f t="shared" si="239"/>
        <v>0</v>
      </c>
      <c r="AJ514" s="11" t="str">
        <f t="shared" si="215"/>
        <v/>
      </c>
      <c r="AK514" s="9" t="s">
        <v>102</v>
      </c>
      <c r="AL514" s="13">
        <f>IFERROR(INDEX('Balizador da Meta'!$D$3:$F$23,MATCH(Quantidade!$P514,'Balizador da Meta'!$C$3:$C$23,0),MATCH(Quantidade!AK514,'Balizador da Meta'!$D$2:$F$2,0)),"")</f>
        <v>0</v>
      </c>
      <c r="AM514" s="9"/>
    </row>
    <row r="515" spans="1:39" x14ac:dyDescent="0.3">
      <c r="A515" s="2" t="str">
        <f t="shared" ref="A515:A578" si="244">IF(L515=1,"SIM","NÃO")</f>
        <v>NÃO</v>
      </c>
      <c r="B515" s="2" t="str">
        <f>_xlfn.XLOOKUP($N515,'Base de Grupos'!$A:$A,'Base de Grupos'!$D:$D)</f>
        <v>1000065763</v>
      </c>
      <c r="C515" s="5" t="str">
        <f>_xlfn.XLOOKUP($N515,'Base de Grupos'!$A:$A,'Base de Grupos'!$E:$E)</f>
        <v>CANAL VENDA INTERNA</v>
      </c>
      <c r="D515" s="5" t="str">
        <f>_xlfn.XLOOKUP($N515,'Base de Grupos'!$A:$A,'Base de Grupos'!$F:$F)</f>
        <v>1000065763</v>
      </c>
      <c r="E515" s="2" t="str">
        <f>_xlfn.XLOOKUP($N515,'Base de Grupos'!$A:$A,'Base de Grupos'!$G:$G)</f>
        <v>CANAL VENDA INTERNA</v>
      </c>
      <c r="F515" s="2" t="str">
        <f>_xlfn.XLOOKUP($N515,'Base de Grupos'!$A:$A,'Base de Grupos'!$H:$H)</f>
        <v>1000153245</v>
      </c>
      <c r="G515" s="5" t="str">
        <f>_xlfn.XLOOKUP($N515,'Base de Grupos'!$A:$A,'Base de Grupos'!$I:$I)</f>
        <v>REGIONAL VENDA INTERNA - KEY ACCOUNT</v>
      </c>
      <c r="H515" s="5" t="str">
        <f>_xlfn.XLOOKUP($N515,'Base de Grupos'!$A:$A,'Base de Grupos'!$J:$J)</f>
        <v>1000153245</v>
      </c>
      <c r="I515" s="2" t="str">
        <f>_xlfn.XLOOKUP($N515,'Base de Grupos'!$A:$A,'Base de Grupos'!$K:$K)</f>
        <v>REGIONAL VENDA INTERNA - KEY ACCOUNT</v>
      </c>
      <c r="J515" s="2" t="str">
        <f>_xlfn.XLOOKUP($N515,'Base de Grupos'!$A:$A,'Base de Grupos'!$L:$L)</f>
        <v>1000153245</v>
      </c>
      <c r="K515" s="5" t="str">
        <f>_xlfn.XLOOKUP($N515,'Base de Grupos'!$A:$A,'Base de Grupos'!$M:$M)</f>
        <v>REGIONAL VENDA INTERNA - KEY ACCOUNT</v>
      </c>
      <c r="L515" s="5" t="str">
        <f t="shared" ref="L515:L578" si="245">IF(N515&lt;&gt;N514,1,"")</f>
        <v/>
      </c>
      <c r="M515" s="5" t="str">
        <f>_xlfn.XLOOKUP($N515,'Base de Grupos'!$A:$A,'Base de Grupos'!$C:$C)</f>
        <v>PR</v>
      </c>
      <c r="N515" s="3">
        <v>1428</v>
      </c>
      <c r="O515" s="4" t="s">
        <v>252</v>
      </c>
      <c r="P515" s="5" t="s">
        <v>86</v>
      </c>
      <c r="Q515" s="24">
        <v>0</v>
      </c>
      <c r="R515" s="24">
        <v>0</v>
      </c>
      <c r="S515" s="24">
        <v>0</v>
      </c>
      <c r="T515" s="24">
        <v>0</v>
      </c>
      <c r="U515" s="24">
        <v>0</v>
      </c>
      <c r="V515" s="24">
        <v>0</v>
      </c>
      <c r="W515" s="24">
        <v>0</v>
      </c>
      <c r="X515" s="24">
        <v>0</v>
      </c>
      <c r="Y515" s="24">
        <v>0</v>
      </c>
      <c r="Z515" s="24">
        <v>0</v>
      </c>
      <c r="AA515" s="24">
        <v>0</v>
      </c>
      <c r="AB515" s="24">
        <v>0</v>
      </c>
      <c r="AC515" s="30">
        <f t="shared" si="243"/>
        <v>0</v>
      </c>
      <c r="AD515" s="27">
        <f t="shared" si="237"/>
        <v>0</v>
      </c>
      <c r="AE515" s="25">
        <f>IFERROR(_xlfn.XLOOKUP(N515&amp;P515,'Historico Vendas'!G:G,'Historico Vendas'!E:E),0)</f>
        <v>0</v>
      </c>
      <c r="AF515" s="29" t="str">
        <f t="shared" ref="AF515:AF578" si="246">IFERROR((AC515-AE515)/AE515,"")</f>
        <v/>
      </c>
      <c r="AG515" s="24">
        <f>IFERROR(_xlfn.XLOOKUP(N515&amp;P515,'Historico Vendas'!G:G,'Historico Vendas'!F:F),0)</f>
        <v>0</v>
      </c>
      <c r="AH515" s="25">
        <f t="shared" si="238"/>
        <v>0</v>
      </c>
      <c r="AI515" s="24">
        <f t="shared" si="239"/>
        <v>0</v>
      </c>
      <c r="AJ515" s="11" t="str">
        <f t="shared" ref="AJ515:AJ578" si="247">IFERROR(AG515/AH515,"")</f>
        <v/>
      </c>
      <c r="AK515" s="9" t="s">
        <v>102</v>
      </c>
      <c r="AL515" s="13">
        <f>IFERROR(INDEX('Balizador da Meta'!$D$3:$F$23,MATCH(Quantidade!$P515,'Balizador da Meta'!$C$3:$C$23,0),MATCH(Quantidade!AK515,'Balizador da Meta'!$D$2:$F$2,0)),"")</f>
        <v>0.15</v>
      </c>
      <c r="AM515" s="9"/>
    </row>
    <row r="516" spans="1:39" x14ac:dyDescent="0.3">
      <c r="A516" s="2" t="str">
        <f t="shared" si="244"/>
        <v>NÃO</v>
      </c>
      <c r="B516" s="2" t="str">
        <f>_xlfn.XLOOKUP($N516,'Base de Grupos'!$A:$A,'Base de Grupos'!$D:$D)</f>
        <v>1000065763</v>
      </c>
      <c r="C516" s="5" t="str">
        <f>_xlfn.XLOOKUP($N516,'Base de Grupos'!$A:$A,'Base de Grupos'!$E:$E)</f>
        <v>CANAL VENDA INTERNA</v>
      </c>
      <c r="D516" s="5" t="str">
        <f>_xlfn.XLOOKUP($N516,'Base de Grupos'!$A:$A,'Base de Grupos'!$F:$F)</f>
        <v>1000065763</v>
      </c>
      <c r="E516" s="2" t="str">
        <f>_xlfn.XLOOKUP($N516,'Base de Grupos'!$A:$A,'Base de Grupos'!$G:$G)</f>
        <v>CANAL VENDA INTERNA</v>
      </c>
      <c r="F516" s="2" t="str">
        <f>_xlfn.XLOOKUP($N516,'Base de Grupos'!$A:$A,'Base de Grupos'!$H:$H)</f>
        <v>1000153245</v>
      </c>
      <c r="G516" s="5" t="str">
        <f>_xlfn.XLOOKUP($N516,'Base de Grupos'!$A:$A,'Base de Grupos'!$I:$I)</f>
        <v>REGIONAL VENDA INTERNA - KEY ACCOUNT</v>
      </c>
      <c r="H516" s="5" t="str">
        <f>_xlfn.XLOOKUP($N516,'Base de Grupos'!$A:$A,'Base de Grupos'!$J:$J)</f>
        <v>1000153245</v>
      </c>
      <c r="I516" s="2" t="str">
        <f>_xlfn.XLOOKUP($N516,'Base de Grupos'!$A:$A,'Base de Grupos'!$K:$K)</f>
        <v>REGIONAL VENDA INTERNA - KEY ACCOUNT</v>
      </c>
      <c r="J516" s="2" t="str">
        <f>_xlfn.XLOOKUP($N516,'Base de Grupos'!$A:$A,'Base de Grupos'!$L:$L)</f>
        <v>1000153245</v>
      </c>
      <c r="K516" s="5" t="str">
        <f>_xlfn.XLOOKUP($N516,'Base de Grupos'!$A:$A,'Base de Grupos'!$M:$M)</f>
        <v>REGIONAL VENDA INTERNA - KEY ACCOUNT</v>
      </c>
      <c r="L516" s="5" t="str">
        <f t="shared" si="245"/>
        <v/>
      </c>
      <c r="M516" s="5" t="str">
        <f>_xlfn.XLOOKUP($N516,'Base de Grupos'!$A:$A,'Base de Grupos'!$C:$C)</f>
        <v>PR</v>
      </c>
      <c r="N516" s="3">
        <v>1428</v>
      </c>
      <c r="O516" s="4" t="s">
        <v>252</v>
      </c>
      <c r="P516" s="5" t="s">
        <v>108</v>
      </c>
      <c r="Q516" s="24">
        <v>0</v>
      </c>
      <c r="R516" s="24">
        <v>0</v>
      </c>
      <c r="S516" s="24">
        <v>0</v>
      </c>
      <c r="T516" s="24">
        <v>0</v>
      </c>
      <c r="U516" s="24">
        <v>0</v>
      </c>
      <c r="V516" s="24">
        <v>0</v>
      </c>
      <c r="W516" s="24">
        <v>0</v>
      </c>
      <c r="X516" s="24">
        <v>0</v>
      </c>
      <c r="Y516" s="24">
        <v>0</v>
      </c>
      <c r="Z516" s="24">
        <v>0</v>
      </c>
      <c r="AA516" s="24">
        <v>0</v>
      </c>
      <c r="AB516" s="24">
        <v>0</v>
      </c>
      <c r="AC516" s="30">
        <f t="shared" si="243"/>
        <v>0</v>
      </c>
      <c r="AD516" s="27">
        <f t="shared" si="237"/>
        <v>0</v>
      </c>
      <c r="AE516" s="25">
        <f>IFERROR(_xlfn.XLOOKUP(N516&amp;P516,'Historico Vendas'!G:G,'Historico Vendas'!E:E),0)</f>
        <v>0</v>
      </c>
      <c r="AF516" s="29" t="str">
        <f t="shared" si="246"/>
        <v/>
      </c>
      <c r="AG516" s="24">
        <f>IFERROR(_xlfn.XLOOKUP(N516&amp;P516,'Historico Vendas'!G:G,'Historico Vendas'!F:F),0)</f>
        <v>0</v>
      </c>
      <c r="AH516" s="25">
        <f t="shared" si="238"/>
        <v>0</v>
      </c>
      <c r="AI516" s="24">
        <f t="shared" si="239"/>
        <v>0</v>
      </c>
      <c r="AJ516" s="11" t="str">
        <f t="shared" si="247"/>
        <v/>
      </c>
      <c r="AK516" s="9" t="s">
        <v>102</v>
      </c>
      <c r="AL516" s="13">
        <f>IFERROR(INDEX('Balizador da Meta'!$D$3:$F$23,MATCH(Quantidade!$P516,'Balizador da Meta'!$C$3:$C$23,0),MATCH(Quantidade!AK516,'Balizador da Meta'!$D$2:$F$2,0)),"")</f>
        <v>0</v>
      </c>
      <c r="AM516" s="9"/>
    </row>
    <row r="517" spans="1:39" x14ac:dyDescent="0.3">
      <c r="A517" s="2" t="str">
        <f t="shared" si="244"/>
        <v>NÃO</v>
      </c>
      <c r="B517" s="2" t="str">
        <f>_xlfn.XLOOKUP($N517,'Base de Grupos'!$A:$A,'Base de Grupos'!$D:$D)</f>
        <v>1000065763</v>
      </c>
      <c r="C517" s="5" t="str">
        <f>_xlfn.XLOOKUP($N517,'Base de Grupos'!$A:$A,'Base de Grupos'!$E:$E)</f>
        <v>CANAL VENDA INTERNA</v>
      </c>
      <c r="D517" s="5" t="str">
        <f>_xlfn.XLOOKUP($N517,'Base de Grupos'!$A:$A,'Base de Grupos'!$F:$F)</f>
        <v>1000065763</v>
      </c>
      <c r="E517" s="2" t="str">
        <f>_xlfn.XLOOKUP($N517,'Base de Grupos'!$A:$A,'Base de Grupos'!$G:$G)</f>
        <v>CANAL VENDA INTERNA</v>
      </c>
      <c r="F517" s="2" t="str">
        <f>_xlfn.XLOOKUP($N517,'Base de Grupos'!$A:$A,'Base de Grupos'!$H:$H)</f>
        <v>1000153245</v>
      </c>
      <c r="G517" s="5" t="str">
        <f>_xlfn.XLOOKUP($N517,'Base de Grupos'!$A:$A,'Base de Grupos'!$I:$I)</f>
        <v>REGIONAL VENDA INTERNA - KEY ACCOUNT</v>
      </c>
      <c r="H517" s="5" t="str">
        <f>_xlfn.XLOOKUP($N517,'Base de Grupos'!$A:$A,'Base de Grupos'!$J:$J)</f>
        <v>1000153245</v>
      </c>
      <c r="I517" s="2" t="str">
        <f>_xlfn.XLOOKUP($N517,'Base de Grupos'!$A:$A,'Base de Grupos'!$K:$K)</f>
        <v>REGIONAL VENDA INTERNA - KEY ACCOUNT</v>
      </c>
      <c r="J517" s="2" t="str">
        <f>_xlfn.XLOOKUP($N517,'Base de Grupos'!$A:$A,'Base de Grupos'!$L:$L)</f>
        <v>1000153245</v>
      </c>
      <c r="K517" s="5" t="str">
        <f>_xlfn.XLOOKUP($N517,'Base de Grupos'!$A:$A,'Base de Grupos'!$M:$M)</f>
        <v>REGIONAL VENDA INTERNA - KEY ACCOUNT</v>
      </c>
      <c r="L517" s="5" t="str">
        <f t="shared" si="245"/>
        <v/>
      </c>
      <c r="M517" s="5" t="str">
        <f>_xlfn.XLOOKUP($N517,'Base de Grupos'!$A:$A,'Base de Grupos'!$C:$C)</f>
        <v>PR</v>
      </c>
      <c r="N517" s="3">
        <v>1428</v>
      </c>
      <c r="O517" s="4" t="s">
        <v>252</v>
      </c>
      <c r="P517" s="5" t="s">
        <v>89</v>
      </c>
      <c r="Q517" s="24">
        <v>0</v>
      </c>
      <c r="R517" s="24">
        <v>0</v>
      </c>
      <c r="S517" s="24">
        <v>0</v>
      </c>
      <c r="T517" s="24">
        <v>0</v>
      </c>
      <c r="U517" s="24">
        <v>0</v>
      </c>
      <c r="V517" s="24">
        <v>0</v>
      </c>
      <c r="W517" s="24">
        <v>0</v>
      </c>
      <c r="X517" s="24">
        <v>0</v>
      </c>
      <c r="Y517" s="24">
        <v>0</v>
      </c>
      <c r="Z517" s="24">
        <v>0</v>
      </c>
      <c r="AA517" s="24">
        <v>0</v>
      </c>
      <c r="AB517" s="24">
        <v>0</v>
      </c>
      <c r="AC517" s="30">
        <f t="shared" si="243"/>
        <v>0</v>
      </c>
      <c r="AD517" s="27">
        <f t="shared" si="237"/>
        <v>0</v>
      </c>
      <c r="AE517" s="25">
        <f>IFERROR(_xlfn.XLOOKUP(N517&amp;P517,'Historico Vendas'!G:G,'Historico Vendas'!E:E),0)</f>
        <v>0</v>
      </c>
      <c r="AF517" s="29" t="str">
        <f t="shared" si="246"/>
        <v/>
      </c>
      <c r="AG517" s="24">
        <f>IFERROR(_xlfn.XLOOKUP(N517&amp;P517,'Historico Vendas'!G:G,'Historico Vendas'!F:F),0)</f>
        <v>0</v>
      </c>
      <c r="AH517" s="25">
        <f t="shared" si="238"/>
        <v>0</v>
      </c>
      <c r="AI517" s="24">
        <f t="shared" si="239"/>
        <v>0</v>
      </c>
      <c r="AJ517" s="11" t="str">
        <f t="shared" si="247"/>
        <v/>
      </c>
      <c r="AK517" s="9" t="s">
        <v>102</v>
      </c>
      <c r="AL517" s="13">
        <f>IFERROR(INDEX('Balizador da Meta'!$D$3:$F$23,MATCH(Quantidade!$P517,'Balizador da Meta'!$C$3:$C$23,0),MATCH(Quantidade!AK517,'Balizador da Meta'!$D$2:$F$2,0)),"")</f>
        <v>0.25</v>
      </c>
      <c r="AM517" s="9"/>
    </row>
    <row r="518" spans="1:39" x14ac:dyDescent="0.3">
      <c r="A518" s="2" t="str">
        <f t="shared" si="244"/>
        <v>NÃO</v>
      </c>
      <c r="B518" s="2" t="str">
        <f>_xlfn.XLOOKUP($N518,'Base de Grupos'!$A:$A,'Base de Grupos'!$D:$D)</f>
        <v>1000065763</v>
      </c>
      <c r="C518" s="5" t="str">
        <f>_xlfn.XLOOKUP($N518,'Base de Grupos'!$A:$A,'Base de Grupos'!$E:$E)</f>
        <v>CANAL VENDA INTERNA</v>
      </c>
      <c r="D518" s="5" t="str">
        <f>_xlfn.XLOOKUP($N518,'Base de Grupos'!$A:$A,'Base de Grupos'!$F:$F)</f>
        <v>1000065763</v>
      </c>
      <c r="E518" s="2" t="str">
        <f>_xlfn.XLOOKUP($N518,'Base de Grupos'!$A:$A,'Base de Grupos'!$G:$G)</f>
        <v>CANAL VENDA INTERNA</v>
      </c>
      <c r="F518" s="2" t="str">
        <f>_xlfn.XLOOKUP($N518,'Base de Grupos'!$A:$A,'Base de Grupos'!$H:$H)</f>
        <v>1000153245</v>
      </c>
      <c r="G518" s="5" t="str">
        <f>_xlfn.XLOOKUP($N518,'Base de Grupos'!$A:$A,'Base de Grupos'!$I:$I)</f>
        <v>REGIONAL VENDA INTERNA - KEY ACCOUNT</v>
      </c>
      <c r="H518" s="5" t="str">
        <f>_xlfn.XLOOKUP($N518,'Base de Grupos'!$A:$A,'Base de Grupos'!$J:$J)</f>
        <v>1000153245</v>
      </c>
      <c r="I518" s="2" t="str">
        <f>_xlfn.XLOOKUP($N518,'Base de Grupos'!$A:$A,'Base de Grupos'!$K:$K)</f>
        <v>REGIONAL VENDA INTERNA - KEY ACCOUNT</v>
      </c>
      <c r="J518" s="2" t="str">
        <f>_xlfn.XLOOKUP($N518,'Base de Grupos'!$A:$A,'Base de Grupos'!$L:$L)</f>
        <v>1000153245</v>
      </c>
      <c r="K518" s="5" t="str">
        <f>_xlfn.XLOOKUP($N518,'Base de Grupos'!$A:$A,'Base de Grupos'!$M:$M)</f>
        <v>REGIONAL VENDA INTERNA - KEY ACCOUNT</v>
      </c>
      <c r="L518" s="5" t="str">
        <f t="shared" si="245"/>
        <v/>
      </c>
      <c r="M518" s="5" t="str">
        <f>_xlfn.XLOOKUP($N518,'Base de Grupos'!$A:$A,'Base de Grupos'!$C:$C)</f>
        <v>PR</v>
      </c>
      <c r="N518" s="3">
        <v>1428</v>
      </c>
      <c r="O518" s="4" t="s">
        <v>252</v>
      </c>
      <c r="P518" s="5" t="s">
        <v>88</v>
      </c>
      <c r="Q518" s="24">
        <v>0</v>
      </c>
      <c r="R518" s="24">
        <v>0</v>
      </c>
      <c r="S518" s="24">
        <v>0</v>
      </c>
      <c r="T518" s="24">
        <v>0</v>
      </c>
      <c r="U518" s="24">
        <v>0</v>
      </c>
      <c r="V518" s="24">
        <v>0</v>
      </c>
      <c r="W518" s="24">
        <v>0</v>
      </c>
      <c r="X518" s="24">
        <v>0</v>
      </c>
      <c r="Y518" s="24">
        <v>0</v>
      </c>
      <c r="Z518" s="24">
        <v>0</v>
      </c>
      <c r="AA518" s="24">
        <v>0</v>
      </c>
      <c r="AB518" s="24">
        <v>0</v>
      </c>
      <c r="AC518" s="30">
        <f t="shared" si="243"/>
        <v>0</v>
      </c>
      <c r="AD518" s="27">
        <f t="shared" si="237"/>
        <v>0</v>
      </c>
      <c r="AE518" s="25">
        <f>IFERROR(_xlfn.XLOOKUP(N518&amp;P518,'Historico Vendas'!G:G,'Historico Vendas'!E:E),0)</f>
        <v>0</v>
      </c>
      <c r="AF518" s="29" t="str">
        <f t="shared" si="246"/>
        <v/>
      </c>
      <c r="AG518" s="24">
        <f>IFERROR(_xlfn.XLOOKUP(N518&amp;P518,'Historico Vendas'!G:G,'Historico Vendas'!F:F),0)</f>
        <v>0</v>
      </c>
      <c r="AH518" s="25">
        <f t="shared" si="238"/>
        <v>0</v>
      </c>
      <c r="AI518" s="24">
        <f t="shared" si="239"/>
        <v>0</v>
      </c>
      <c r="AJ518" s="11" t="str">
        <f t="shared" si="247"/>
        <v/>
      </c>
      <c r="AK518" s="9" t="s">
        <v>102</v>
      </c>
      <c r="AL518" s="13">
        <f>IFERROR(INDEX('Balizador da Meta'!$D$3:$F$23,MATCH(Quantidade!$P518,'Balizador da Meta'!$C$3:$C$23,0),MATCH(Quantidade!AK518,'Balizador da Meta'!$D$2:$F$2,0)),"")</f>
        <v>0</v>
      </c>
      <c r="AM518" s="9"/>
    </row>
    <row r="519" spans="1:39" x14ac:dyDescent="0.3">
      <c r="A519" s="2" t="str">
        <f t="shared" si="244"/>
        <v>NÃO</v>
      </c>
      <c r="B519" s="2" t="str">
        <f>_xlfn.XLOOKUP($N519,'Base de Grupos'!$A:$A,'Base de Grupos'!$D:$D)</f>
        <v>1000065763</v>
      </c>
      <c r="C519" s="5" t="str">
        <f>_xlfn.XLOOKUP($N519,'Base de Grupos'!$A:$A,'Base de Grupos'!$E:$E)</f>
        <v>CANAL VENDA INTERNA</v>
      </c>
      <c r="D519" s="5" t="str">
        <f>_xlfn.XLOOKUP($N519,'Base de Grupos'!$A:$A,'Base de Grupos'!$F:$F)</f>
        <v>1000065763</v>
      </c>
      <c r="E519" s="2" t="str">
        <f>_xlfn.XLOOKUP($N519,'Base de Grupos'!$A:$A,'Base de Grupos'!$G:$G)</f>
        <v>CANAL VENDA INTERNA</v>
      </c>
      <c r="F519" s="2" t="str">
        <f>_xlfn.XLOOKUP($N519,'Base de Grupos'!$A:$A,'Base de Grupos'!$H:$H)</f>
        <v>1000153245</v>
      </c>
      <c r="G519" s="5" t="str">
        <f>_xlfn.XLOOKUP($N519,'Base de Grupos'!$A:$A,'Base de Grupos'!$I:$I)</f>
        <v>REGIONAL VENDA INTERNA - KEY ACCOUNT</v>
      </c>
      <c r="H519" s="5" t="str">
        <f>_xlfn.XLOOKUP($N519,'Base de Grupos'!$A:$A,'Base de Grupos'!$J:$J)</f>
        <v>1000153245</v>
      </c>
      <c r="I519" s="2" t="str">
        <f>_xlfn.XLOOKUP($N519,'Base de Grupos'!$A:$A,'Base de Grupos'!$K:$K)</f>
        <v>REGIONAL VENDA INTERNA - KEY ACCOUNT</v>
      </c>
      <c r="J519" s="2" t="str">
        <f>_xlfn.XLOOKUP($N519,'Base de Grupos'!$A:$A,'Base de Grupos'!$L:$L)</f>
        <v>1000153245</v>
      </c>
      <c r="K519" s="5" t="str">
        <f>_xlfn.XLOOKUP($N519,'Base de Grupos'!$A:$A,'Base de Grupos'!$M:$M)</f>
        <v>REGIONAL VENDA INTERNA - KEY ACCOUNT</v>
      </c>
      <c r="L519" s="5" t="str">
        <f t="shared" si="245"/>
        <v/>
      </c>
      <c r="M519" s="5" t="str">
        <f>_xlfn.XLOOKUP($N519,'Base de Grupos'!$A:$A,'Base de Grupos'!$C:$C)</f>
        <v>PR</v>
      </c>
      <c r="N519" s="3">
        <v>1428</v>
      </c>
      <c r="O519" s="4" t="s">
        <v>252</v>
      </c>
      <c r="P519" s="5" t="s">
        <v>90</v>
      </c>
      <c r="Q519" s="24">
        <v>0</v>
      </c>
      <c r="R519" s="24">
        <v>0</v>
      </c>
      <c r="S519" s="24">
        <v>0</v>
      </c>
      <c r="T519" s="24">
        <v>0</v>
      </c>
      <c r="U519" s="24">
        <v>0</v>
      </c>
      <c r="V519" s="24">
        <v>0</v>
      </c>
      <c r="W519" s="24">
        <v>0</v>
      </c>
      <c r="X519" s="24">
        <v>0</v>
      </c>
      <c r="Y519" s="24">
        <v>0</v>
      </c>
      <c r="Z519" s="24">
        <v>0</v>
      </c>
      <c r="AA519" s="24">
        <v>0</v>
      </c>
      <c r="AB519" s="24">
        <v>0</v>
      </c>
      <c r="AC519" s="30">
        <f t="shared" si="243"/>
        <v>0</v>
      </c>
      <c r="AD519" s="27">
        <f t="shared" si="237"/>
        <v>0</v>
      </c>
      <c r="AE519" s="25">
        <f>IFERROR(_xlfn.XLOOKUP(N519&amp;P519,'Historico Vendas'!G:G,'Historico Vendas'!E:E),0)</f>
        <v>0</v>
      </c>
      <c r="AF519" s="29" t="str">
        <f t="shared" si="246"/>
        <v/>
      </c>
      <c r="AG519" s="24">
        <f>IFERROR(_xlfn.XLOOKUP(N519&amp;P519,'Historico Vendas'!G:G,'Historico Vendas'!F:F),0)</f>
        <v>0</v>
      </c>
      <c r="AH519" s="25">
        <f t="shared" si="238"/>
        <v>0</v>
      </c>
      <c r="AI519" s="24">
        <f t="shared" si="239"/>
        <v>0</v>
      </c>
      <c r="AJ519" s="11" t="str">
        <f t="shared" si="247"/>
        <v/>
      </c>
      <c r="AK519" s="9" t="s">
        <v>102</v>
      </c>
      <c r="AL519" s="13">
        <f>IFERROR(INDEX('Balizador da Meta'!$D$3:$F$23,MATCH(Quantidade!$P519,'Balizador da Meta'!$C$3:$C$23,0),MATCH(Quantidade!AK519,'Balizador da Meta'!$D$2:$F$2,0)),"")</f>
        <v>0</v>
      </c>
      <c r="AM519" s="9"/>
    </row>
    <row r="520" spans="1:39" x14ac:dyDescent="0.3">
      <c r="A520" s="2" t="str">
        <f t="shared" si="244"/>
        <v>NÃO</v>
      </c>
      <c r="B520" s="2" t="str">
        <f>_xlfn.XLOOKUP($N520,'Base de Grupos'!$A:$A,'Base de Grupos'!$D:$D)</f>
        <v>1000065763</v>
      </c>
      <c r="C520" s="5" t="str">
        <f>_xlfn.XLOOKUP($N520,'Base de Grupos'!$A:$A,'Base de Grupos'!$E:$E)</f>
        <v>CANAL VENDA INTERNA</v>
      </c>
      <c r="D520" s="5" t="str">
        <f>_xlfn.XLOOKUP($N520,'Base de Grupos'!$A:$A,'Base de Grupos'!$F:$F)</f>
        <v>1000065763</v>
      </c>
      <c r="E520" s="2" t="str">
        <f>_xlfn.XLOOKUP($N520,'Base de Grupos'!$A:$A,'Base de Grupos'!$G:$G)</f>
        <v>CANAL VENDA INTERNA</v>
      </c>
      <c r="F520" s="2" t="str">
        <f>_xlfn.XLOOKUP($N520,'Base de Grupos'!$A:$A,'Base de Grupos'!$H:$H)</f>
        <v>1000153245</v>
      </c>
      <c r="G520" s="5" t="str">
        <f>_xlfn.XLOOKUP($N520,'Base de Grupos'!$A:$A,'Base de Grupos'!$I:$I)</f>
        <v>REGIONAL VENDA INTERNA - KEY ACCOUNT</v>
      </c>
      <c r="H520" s="5" t="str">
        <f>_xlfn.XLOOKUP($N520,'Base de Grupos'!$A:$A,'Base de Grupos'!$J:$J)</f>
        <v>1000153245</v>
      </c>
      <c r="I520" s="2" t="str">
        <f>_xlfn.XLOOKUP($N520,'Base de Grupos'!$A:$A,'Base de Grupos'!$K:$K)</f>
        <v>REGIONAL VENDA INTERNA - KEY ACCOUNT</v>
      </c>
      <c r="J520" s="2" t="str">
        <f>_xlfn.XLOOKUP($N520,'Base de Grupos'!$A:$A,'Base de Grupos'!$L:$L)</f>
        <v>1000153245</v>
      </c>
      <c r="K520" s="5" t="str">
        <f>_xlfn.XLOOKUP($N520,'Base de Grupos'!$A:$A,'Base de Grupos'!$M:$M)</f>
        <v>REGIONAL VENDA INTERNA - KEY ACCOUNT</v>
      </c>
      <c r="L520" s="5" t="str">
        <f t="shared" si="245"/>
        <v/>
      </c>
      <c r="M520" s="5" t="str">
        <f>_xlfn.XLOOKUP($N520,'Base de Grupos'!$A:$A,'Base de Grupos'!$C:$C)</f>
        <v>PR</v>
      </c>
      <c r="N520" s="3">
        <v>1428</v>
      </c>
      <c r="O520" s="4" t="s">
        <v>252</v>
      </c>
      <c r="P520" s="5" t="s">
        <v>91</v>
      </c>
      <c r="Q520" s="24">
        <v>0</v>
      </c>
      <c r="R520" s="24">
        <v>0</v>
      </c>
      <c r="S520" s="24">
        <v>0</v>
      </c>
      <c r="T520" s="24">
        <v>0</v>
      </c>
      <c r="U520" s="24">
        <v>0</v>
      </c>
      <c r="V520" s="24">
        <v>0</v>
      </c>
      <c r="W520" s="24">
        <v>0</v>
      </c>
      <c r="X520" s="24">
        <v>0</v>
      </c>
      <c r="Y520" s="24">
        <v>0</v>
      </c>
      <c r="Z520" s="24">
        <v>0</v>
      </c>
      <c r="AA520" s="24">
        <v>0</v>
      </c>
      <c r="AB520" s="24">
        <v>0</v>
      </c>
      <c r="AC520" s="30">
        <f t="shared" si="243"/>
        <v>0</v>
      </c>
      <c r="AD520" s="27">
        <f t="shared" si="237"/>
        <v>0</v>
      </c>
      <c r="AE520" s="25">
        <f>IFERROR(_xlfn.XLOOKUP(N520&amp;P520,'Historico Vendas'!G:G,'Historico Vendas'!E:E),0)</f>
        <v>0</v>
      </c>
      <c r="AF520" s="29" t="str">
        <f t="shared" si="246"/>
        <v/>
      </c>
      <c r="AG520" s="24">
        <f>IFERROR(_xlfn.XLOOKUP(N520&amp;P520,'Historico Vendas'!G:G,'Historico Vendas'!F:F),0)</f>
        <v>0</v>
      </c>
      <c r="AH520" s="25">
        <f t="shared" si="238"/>
        <v>0</v>
      </c>
      <c r="AI520" s="24">
        <f t="shared" si="239"/>
        <v>0</v>
      </c>
      <c r="AJ520" s="11" t="str">
        <f t="shared" si="247"/>
        <v/>
      </c>
      <c r="AK520" s="9" t="s">
        <v>102</v>
      </c>
      <c r="AL520" s="13">
        <f>IFERROR(INDEX('Balizador da Meta'!$D$3:$F$23,MATCH(Quantidade!$P520,'Balizador da Meta'!$C$3:$C$23,0),MATCH(Quantidade!AK520,'Balizador da Meta'!$D$2:$F$2,0)),"")</f>
        <v>0</v>
      </c>
      <c r="AM520" s="9"/>
    </row>
    <row r="521" spans="1:39" x14ac:dyDescent="0.3">
      <c r="A521" s="2" t="str">
        <f t="shared" si="244"/>
        <v>NÃO</v>
      </c>
      <c r="B521" s="2" t="str">
        <f>_xlfn.XLOOKUP($N521,'Base de Grupos'!$A:$A,'Base de Grupos'!$D:$D)</f>
        <v>1000065763</v>
      </c>
      <c r="C521" s="5" t="str">
        <f>_xlfn.XLOOKUP($N521,'Base de Grupos'!$A:$A,'Base de Grupos'!$E:$E)</f>
        <v>CANAL VENDA INTERNA</v>
      </c>
      <c r="D521" s="5" t="str">
        <f>_xlfn.XLOOKUP($N521,'Base de Grupos'!$A:$A,'Base de Grupos'!$F:$F)</f>
        <v>1000065763</v>
      </c>
      <c r="E521" s="2" t="str">
        <f>_xlfn.XLOOKUP($N521,'Base de Grupos'!$A:$A,'Base de Grupos'!$G:$G)</f>
        <v>CANAL VENDA INTERNA</v>
      </c>
      <c r="F521" s="2" t="str">
        <f>_xlfn.XLOOKUP($N521,'Base de Grupos'!$A:$A,'Base de Grupos'!$H:$H)</f>
        <v>1000153245</v>
      </c>
      <c r="G521" s="5" t="str">
        <f>_xlfn.XLOOKUP($N521,'Base de Grupos'!$A:$A,'Base de Grupos'!$I:$I)</f>
        <v>REGIONAL VENDA INTERNA - KEY ACCOUNT</v>
      </c>
      <c r="H521" s="5" t="str">
        <f>_xlfn.XLOOKUP($N521,'Base de Grupos'!$A:$A,'Base de Grupos'!$J:$J)</f>
        <v>1000153245</v>
      </c>
      <c r="I521" s="2" t="str">
        <f>_xlfn.XLOOKUP($N521,'Base de Grupos'!$A:$A,'Base de Grupos'!$K:$K)</f>
        <v>REGIONAL VENDA INTERNA - KEY ACCOUNT</v>
      </c>
      <c r="J521" s="2" t="str">
        <f>_xlfn.XLOOKUP($N521,'Base de Grupos'!$A:$A,'Base de Grupos'!$L:$L)</f>
        <v>1000153245</v>
      </c>
      <c r="K521" s="5" t="str">
        <f>_xlfn.XLOOKUP($N521,'Base de Grupos'!$A:$A,'Base de Grupos'!$M:$M)</f>
        <v>REGIONAL VENDA INTERNA - KEY ACCOUNT</v>
      </c>
      <c r="L521" s="5" t="str">
        <f t="shared" si="245"/>
        <v/>
      </c>
      <c r="M521" s="5" t="str">
        <f>_xlfn.XLOOKUP($N521,'Base de Grupos'!$A:$A,'Base de Grupos'!$C:$C)</f>
        <v>PR</v>
      </c>
      <c r="N521" s="3">
        <v>1428</v>
      </c>
      <c r="O521" s="4" t="s">
        <v>252</v>
      </c>
      <c r="P521" s="5" t="s">
        <v>96</v>
      </c>
      <c r="Q521" s="24">
        <v>0</v>
      </c>
      <c r="R521" s="24">
        <v>0</v>
      </c>
      <c r="S521" s="24">
        <v>0</v>
      </c>
      <c r="T521" s="24">
        <v>0</v>
      </c>
      <c r="U521" s="24">
        <v>0</v>
      </c>
      <c r="V521" s="24">
        <v>0</v>
      </c>
      <c r="W521" s="24">
        <v>0</v>
      </c>
      <c r="X521" s="24">
        <v>0</v>
      </c>
      <c r="Y521" s="24">
        <v>0</v>
      </c>
      <c r="Z521" s="24">
        <v>0</v>
      </c>
      <c r="AA521" s="24">
        <v>0</v>
      </c>
      <c r="AB521" s="24">
        <v>0</v>
      </c>
      <c r="AC521" s="30">
        <f t="shared" si="243"/>
        <v>0</v>
      </c>
      <c r="AD521" s="27">
        <f t="shared" si="237"/>
        <v>0</v>
      </c>
      <c r="AE521" s="25">
        <f>IFERROR(_xlfn.XLOOKUP(N521&amp;P521,'Historico Vendas'!G:G,'Historico Vendas'!E:E),0)</f>
        <v>0</v>
      </c>
      <c r="AF521" s="29" t="str">
        <f t="shared" si="246"/>
        <v/>
      </c>
      <c r="AG521" s="24">
        <f>IFERROR(_xlfn.XLOOKUP(N521&amp;P521,'Historico Vendas'!G:G,'Historico Vendas'!F:F),0)</f>
        <v>0</v>
      </c>
      <c r="AH521" s="25">
        <f t="shared" si="238"/>
        <v>0</v>
      </c>
      <c r="AI521" s="24">
        <f t="shared" si="239"/>
        <v>0</v>
      </c>
      <c r="AJ521" s="11" t="str">
        <f t="shared" si="247"/>
        <v/>
      </c>
      <c r="AK521" s="9" t="s">
        <v>102</v>
      </c>
      <c r="AL521" s="13">
        <f>IFERROR(INDEX('Balizador da Meta'!$D$3:$F$23,MATCH(Quantidade!$P521,'Balizador da Meta'!$C$3:$C$23,0),MATCH(Quantidade!AK521,'Balizador da Meta'!$D$2:$F$2,0)),"")</f>
        <v>0</v>
      </c>
      <c r="AM521" s="9"/>
    </row>
    <row r="522" spans="1:39" x14ac:dyDescent="0.3">
      <c r="A522" s="2" t="str">
        <f t="shared" si="244"/>
        <v>NÃO</v>
      </c>
      <c r="B522" s="2" t="str">
        <f>_xlfn.XLOOKUP($N522,'Base de Grupos'!$A:$A,'Base de Grupos'!$D:$D)</f>
        <v>1000065763</v>
      </c>
      <c r="C522" s="5" t="str">
        <f>_xlfn.XLOOKUP($N522,'Base de Grupos'!$A:$A,'Base de Grupos'!$E:$E)</f>
        <v>CANAL VENDA INTERNA</v>
      </c>
      <c r="D522" s="5" t="str">
        <f>_xlfn.XLOOKUP($N522,'Base de Grupos'!$A:$A,'Base de Grupos'!$F:$F)</f>
        <v>1000065763</v>
      </c>
      <c r="E522" s="2" t="str">
        <f>_xlfn.XLOOKUP($N522,'Base de Grupos'!$A:$A,'Base de Grupos'!$G:$G)</f>
        <v>CANAL VENDA INTERNA</v>
      </c>
      <c r="F522" s="2" t="str">
        <f>_xlfn.XLOOKUP($N522,'Base de Grupos'!$A:$A,'Base de Grupos'!$H:$H)</f>
        <v>1000153245</v>
      </c>
      <c r="G522" s="5" t="str">
        <f>_xlfn.XLOOKUP($N522,'Base de Grupos'!$A:$A,'Base de Grupos'!$I:$I)</f>
        <v>REGIONAL VENDA INTERNA - KEY ACCOUNT</v>
      </c>
      <c r="H522" s="5" t="str">
        <f>_xlfn.XLOOKUP($N522,'Base de Grupos'!$A:$A,'Base de Grupos'!$J:$J)</f>
        <v>1000153245</v>
      </c>
      <c r="I522" s="2" t="str">
        <f>_xlfn.XLOOKUP($N522,'Base de Grupos'!$A:$A,'Base de Grupos'!$K:$K)</f>
        <v>REGIONAL VENDA INTERNA - KEY ACCOUNT</v>
      </c>
      <c r="J522" s="2" t="str">
        <f>_xlfn.XLOOKUP($N522,'Base de Grupos'!$A:$A,'Base de Grupos'!$L:$L)</f>
        <v>1000153245</v>
      </c>
      <c r="K522" s="5" t="str">
        <f>_xlfn.XLOOKUP($N522,'Base de Grupos'!$A:$A,'Base de Grupos'!$M:$M)</f>
        <v>REGIONAL VENDA INTERNA - KEY ACCOUNT</v>
      </c>
      <c r="L522" s="5" t="str">
        <f t="shared" si="245"/>
        <v/>
      </c>
      <c r="M522" s="5" t="str">
        <f>_xlfn.XLOOKUP($N522,'Base de Grupos'!$A:$A,'Base de Grupos'!$C:$C)</f>
        <v>PR</v>
      </c>
      <c r="N522" s="3">
        <v>1428</v>
      </c>
      <c r="O522" s="4" t="s">
        <v>252</v>
      </c>
      <c r="P522" s="5" t="s">
        <v>94</v>
      </c>
      <c r="Q522" s="24">
        <v>0</v>
      </c>
      <c r="R522" s="24">
        <v>0</v>
      </c>
      <c r="S522" s="24">
        <v>0</v>
      </c>
      <c r="T522" s="24">
        <v>0</v>
      </c>
      <c r="U522" s="24">
        <v>0</v>
      </c>
      <c r="V522" s="24">
        <v>0</v>
      </c>
      <c r="W522" s="24">
        <v>0</v>
      </c>
      <c r="X522" s="24">
        <v>0</v>
      </c>
      <c r="Y522" s="24">
        <v>0</v>
      </c>
      <c r="Z522" s="24">
        <v>0</v>
      </c>
      <c r="AA522" s="24">
        <v>0</v>
      </c>
      <c r="AB522" s="24">
        <v>0</v>
      </c>
      <c r="AC522" s="30">
        <f t="shared" si="243"/>
        <v>0</v>
      </c>
      <c r="AD522" s="27">
        <f t="shared" si="237"/>
        <v>0</v>
      </c>
      <c r="AE522" s="25">
        <f>IFERROR(_xlfn.XLOOKUP(N522&amp;P522,'Historico Vendas'!G:G,'Historico Vendas'!E:E),0)</f>
        <v>0</v>
      </c>
      <c r="AF522" s="29" t="str">
        <f t="shared" si="246"/>
        <v/>
      </c>
      <c r="AG522" s="24">
        <f>IFERROR(_xlfn.XLOOKUP(N522&amp;P522,'Historico Vendas'!G:G,'Historico Vendas'!F:F),0)</f>
        <v>0</v>
      </c>
      <c r="AH522" s="25">
        <f t="shared" si="238"/>
        <v>0</v>
      </c>
      <c r="AI522" s="24">
        <f t="shared" si="239"/>
        <v>0</v>
      </c>
      <c r="AJ522" s="11" t="str">
        <f t="shared" si="247"/>
        <v/>
      </c>
      <c r="AK522" s="9" t="s">
        <v>102</v>
      </c>
      <c r="AL522" s="13">
        <f>IFERROR(INDEX('Balizador da Meta'!$D$3:$F$23,MATCH(Quantidade!$P522,'Balizador da Meta'!$C$3:$C$23,0),MATCH(Quantidade!AK522,'Balizador da Meta'!$D$2:$F$2,0)),"")</f>
        <v>0.25</v>
      </c>
      <c r="AM522" s="9"/>
    </row>
    <row r="523" spans="1:39" x14ac:dyDescent="0.3">
      <c r="A523" s="2" t="str">
        <f t="shared" si="244"/>
        <v>NÃO</v>
      </c>
      <c r="B523" s="2" t="str">
        <f>_xlfn.XLOOKUP($N523,'Base de Grupos'!$A:$A,'Base de Grupos'!$D:$D)</f>
        <v>1000065763</v>
      </c>
      <c r="C523" s="5" t="str">
        <f>_xlfn.XLOOKUP($N523,'Base de Grupos'!$A:$A,'Base de Grupos'!$E:$E)</f>
        <v>CANAL VENDA INTERNA</v>
      </c>
      <c r="D523" s="5" t="str">
        <f>_xlfn.XLOOKUP($N523,'Base de Grupos'!$A:$A,'Base de Grupos'!$F:$F)</f>
        <v>1000065763</v>
      </c>
      <c r="E523" s="2" t="str">
        <f>_xlfn.XLOOKUP($N523,'Base de Grupos'!$A:$A,'Base de Grupos'!$G:$G)</f>
        <v>CANAL VENDA INTERNA</v>
      </c>
      <c r="F523" s="2" t="str">
        <f>_xlfn.XLOOKUP($N523,'Base de Grupos'!$A:$A,'Base de Grupos'!$H:$H)</f>
        <v>1000153245</v>
      </c>
      <c r="G523" s="5" t="str">
        <f>_xlfn.XLOOKUP($N523,'Base de Grupos'!$A:$A,'Base de Grupos'!$I:$I)</f>
        <v>REGIONAL VENDA INTERNA - KEY ACCOUNT</v>
      </c>
      <c r="H523" s="5" t="str">
        <f>_xlfn.XLOOKUP($N523,'Base de Grupos'!$A:$A,'Base de Grupos'!$J:$J)</f>
        <v>1000153245</v>
      </c>
      <c r="I523" s="2" t="str">
        <f>_xlfn.XLOOKUP($N523,'Base de Grupos'!$A:$A,'Base de Grupos'!$K:$K)</f>
        <v>REGIONAL VENDA INTERNA - KEY ACCOUNT</v>
      </c>
      <c r="J523" s="2" t="str">
        <f>_xlfn.XLOOKUP($N523,'Base de Grupos'!$A:$A,'Base de Grupos'!$L:$L)</f>
        <v>1000153245</v>
      </c>
      <c r="K523" s="5" t="str">
        <f>_xlfn.XLOOKUP($N523,'Base de Grupos'!$A:$A,'Base de Grupos'!$M:$M)</f>
        <v>REGIONAL VENDA INTERNA - KEY ACCOUNT</v>
      </c>
      <c r="L523" s="5" t="str">
        <f t="shared" si="245"/>
        <v/>
      </c>
      <c r="M523" s="5" t="str">
        <f>_xlfn.XLOOKUP($N523,'Base de Grupos'!$A:$A,'Base de Grupos'!$C:$C)</f>
        <v>PR</v>
      </c>
      <c r="N523" s="3">
        <v>1428</v>
      </c>
      <c r="O523" s="4" t="s">
        <v>252</v>
      </c>
      <c r="P523" s="5" t="s">
        <v>95</v>
      </c>
      <c r="Q523" s="24">
        <v>0</v>
      </c>
      <c r="R523" s="24">
        <v>0</v>
      </c>
      <c r="S523" s="24">
        <v>0</v>
      </c>
      <c r="T523" s="24">
        <v>0</v>
      </c>
      <c r="U523" s="24">
        <v>0</v>
      </c>
      <c r="V523" s="24">
        <v>0</v>
      </c>
      <c r="W523" s="24">
        <v>0</v>
      </c>
      <c r="X523" s="24">
        <v>0</v>
      </c>
      <c r="Y523" s="24">
        <v>0</v>
      </c>
      <c r="Z523" s="24">
        <v>0</v>
      </c>
      <c r="AA523" s="24">
        <v>0</v>
      </c>
      <c r="AB523" s="24">
        <v>0</v>
      </c>
      <c r="AC523" s="30">
        <f t="shared" si="243"/>
        <v>0</v>
      </c>
      <c r="AD523" s="27">
        <f t="shared" si="237"/>
        <v>0</v>
      </c>
      <c r="AE523" s="25">
        <f>IFERROR(_xlfn.XLOOKUP(N523&amp;P523,'Historico Vendas'!G:G,'Historico Vendas'!E:E),0)</f>
        <v>0</v>
      </c>
      <c r="AF523" s="29" t="str">
        <f t="shared" si="246"/>
        <v/>
      </c>
      <c r="AG523" s="24">
        <f>IFERROR(_xlfn.XLOOKUP(N523&amp;P523,'Historico Vendas'!G:G,'Historico Vendas'!F:F),0)</f>
        <v>0</v>
      </c>
      <c r="AH523" s="25">
        <f t="shared" si="238"/>
        <v>0</v>
      </c>
      <c r="AI523" s="24">
        <f t="shared" si="239"/>
        <v>0</v>
      </c>
      <c r="AJ523" s="11" t="str">
        <f t="shared" si="247"/>
        <v/>
      </c>
      <c r="AK523" s="9" t="s">
        <v>102</v>
      </c>
      <c r="AL523" s="13">
        <f>IFERROR(INDEX('Balizador da Meta'!$D$3:$F$23,MATCH(Quantidade!$P523,'Balizador da Meta'!$C$3:$C$23,0),MATCH(Quantidade!AK523,'Balizador da Meta'!$D$2:$F$2,0)),"")</f>
        <v>0.25</v>
      </c>
      <c r="AM523" s="9"/>
    </row>
    <row r="524" spans="1:39" x14ac:dyDescent="0.3">
      <c r="A524" s="2" t="str">
        <f t="shared" si="244"/>
        <v>NÃO</v>
      </c>
      <c r="B524" s="2" t="str">
        <f>_xlfn.XLOOKUP($N524,'Base de Grupos'!$A:$A,'Base de Grupos'!$D:$D)</f>
        <v>1000065763</v>
      </c>
      <c r="C524" s="5" t="str">
        <f>_xlfn.XLOOKUP($N524,'Base de Grupos'!$A:$A,'Base de Grupos'!$E:$E)</f>
        <v>CANAL VENDA INTERNA</v>
      </c>
      <c r="D524" s="5" t="str">
        <f>_xlfn.XLOOKUP($N524,'Base de Grupos'!$A:$A,'Base de Grupos'!$F:$F)</f>
        <v>1000065763</v>
      </c>
      <c r="E524" s="2" t="str">
        <f>_xlfn.XLOOKUP($N524,'Base de Grupos'!$A:$A,'Base de Grupos'!$G:$G)</f>
        <v>CANAL VENDA INTERNA</v>
      </c>
      <c r="F524" s="2" t="str">
        <f>_xlfn.XLOOKUP($N524,'Base de Grupos'!$A:$A,'Base de Grupos'!$H:$H)</f>
        <v>1000153245</v>
      </c>
      <c r="G524" s="5" t="str">
        <f>_xlfn.XLOOKUP($N524,'Base de Grupos'!$A:$A,'Base de Grupos'!$I:$I)</f>
        <v>REGIONAL VENDA INTERNA - KEY ACCOUNT</v>
      </c>
      <c r="H524" s="5" t="str">
        <f>_xlfn.XLOOKUP($N524,'Base de Grupos'!$A:$A,'Base de Grupos'!$J:$J)</f>
        <v>1000153245</v>
      </c>
      <c r="I524" s="2" t="str">
        <f>_xlfn.XLOOKUP($N524,'Base de Grupos'!$A:$A,'Base de Grupos'!$K:$K)</f>
        <v>REGIONAL VENDA INTERNA - KEY ACCOUNT</v>
      </c>
      <c r="J524" s="2" t="str">
        <f>_xlfn.XLOOKUP($N524,'Base de Grupos'!$A:$A,'Base de Grupos'!$L:$L)</f>
        <v>1000153245</v>
      </c>
      <c r="K524" s="5" t="str">
        <f>_xlfn.XLOOKUP($N524,'Base de Grupos'!$A:$A,'Base de Grupos'!$M:$M)</f>
        <v>REGIONAL VENDA INTERNA - KEY ACCOUNT</v>
      </c>
      <c r="L524" s="5" t="str">
        <f t="shared" si="245"/>
        <v/>
      </c>
      <c r="M524" s="5" t="str">
        <f>_xlfn.XLOOKUP($N524,'Base de Grupos'!$A:$A,'Base de Grupos'!$C:$C)</f>
        <v>PR</v>
      </c>
      <c r="N524" s="3">
        <v>1428</v>
      </c>
      <c r="O524" s="4" t="s">
        <v>252</v>
      </c>
      <c r="P524" s="5" t="s">
        <v>93</v>
      </c>
      <c r="Q524" s="24">
        <v>0</v>
      </c>
      <c r="R524" s="24">
        <v>0</v>
      </c>
      <c r="S524" s="24">
        <v>0</v>
      </c>
      <c r="T524" s="24">
        <v>0</v>
      </c>
      <c r="U524" s="24">
        <v>0</v>
      </c>
      <c r="V524" s="24">
        <v>0</v>
      </c>
      <c r="W524" s="24">
        <v>0</v>
      </c>
      <c r="X524" s="24">
        <v>0</v>
      </c>
      <c r="Y524" s="24">
        <v>0</v>
      </c>
      <c r="Z524" s="24">
        <v>0</v>
      </c>
      <c r="AA524" s="24">
        <v>0</v>
      </c>
      <c r="AB524" s="24">
        <v>0</v>
      </c>
      <c r="AC524" s="30">
        <f t="shared" si="243"/>
        <v>0</v>
      </c>
      <c r="AD524" s="27">
        <f t="shared" si="237"/>
        <v>0</v>
      </c>
      <c r="AE524" s="25">
        <f>IFERROR(_xlfn.XLOOKUP(N524&amp;P524,'Historico Vendas'!G:G,'Historico Vendas'!E:E),0)</f>
        <v>0</v>
      </c>
      <c r="AF524" s="29" t="str">
        <f t="shared" si="246"/>
        <v/>
      </c>
      <c r="AG524" s="24">
        <f>IFERROR(_xlfn.XLOOKUP(N524&amp;P524,'Historico Vendas'!G:G,'Historico Vendas'!F:F),0)</f>
        <v>0</v>
      </c>
      <c r="AH524" s="25">
        <f t="shared" si="238"/>
        <v>0</v>
      </c>
      <c r="AI524" s="24">
        <f t="shared" si="239"/>
        <v>0</v>
      </c>
      <c r="AJ524" s="11" t="str">
        <f t="shared" si="247"/>
        <v/>
      </c>
      <c r="AK524" s="9" t="s">
        <v>102</v>
      </c>
      <c r="AL524" s="13">
        <f>IFERROR(INDEX('Balizador da Meta'!$D$3:$F$23,MATCH(Quantidade!$P524,'Balizador da Meta'!$C$3:$C$23,0),MATCH(Quantidade!AK524,'Balizador da Meta'!$D$2:$F$2,0)),"")</f>
        <v>0.2</v>
      </c>
      <c r="AM524" s="9"/>
    </row>
    <row r="525" spans="1:39" x14ac:dyDescent="0.3">
      <c r="A525" s="2" t="str">
        <f t="shared" si="244"/>
        <v>SIM</v>
      </c>
      <c r="B525" s="2" t="str">
        <f>_xlfn.XLOOKUP($N525,'Base de Grupos'!$A:$A,'Base de Grupos'!$D:$D)</f>
        <v>1000065763</v>
      </c>
      <c r="C525" s="5" t="str">
        <f>_xlfn.XLOOKUP($N525,'Base de Grupos'!$A:$A,'Base de Grupos'!$E:$E)</f>
        <v>CANAL VENDA INTERNA</v>
      </c>
      <c r="D525" s="5" t="str">
        <f>_xlfn.XLOOKUP($N525,'Base de Grupos'!$A:$A,'Base de Grupos'!$F:$F)</f>
        <v>1000065763</v>
      </c>
      <c r="E525" s="2" t="str">
        <f>_xlfn.XLOOKUP($N525,'Base de Grupos'!$A:$A,'Base de Grupos'!$G:$G)</f>
        <v>CANAL VENDA INTERNA</v>
      </c>
      <c r="F525" s="2" t="str">
        <f>_xlfn.XLOOKUP($N525,'Base de Grupos'!$A:$A,'Base de Grupos'!$H:$H)</f>
        <v>1000153245</v>
      </c>
      <c r="G525" s="5" t="str">
        <f>_xlfn.XLOOKUP($N525,'Base de Grupos'!$A:$A,'Base de Grupos'!$I:$I)</f>
        <v>REGIONAL VENDA INTERNA - KEY ACCOUNT</v>
      </c>
      <c r="H525" s="5" t="str">
        <f>_xlfn.XLOOKUP($N525,'Base de Grupos'!$A:$A,'Base de Grupos'!$J:$J)</f>
        <v>1000153245</v>
      </c>
      <c r="I525" s="2" t="str">
        <f>_xlfn.XLOOKUP($N525,'Base de Grupos'!$A:$A,'Base de Grupos'!$K:$K)</f>
        <v>REGIONAL VENDA INTERNA - KEY ACCOUNT</v>
      </c>
      <c r="J525" s="2" t="str">
        <f>_xlfn.XLOOKUP($N525,'Base de Grupos'!$A:$A,'Base de Grupos'!$L:$L)</f>
        <v>1000153245</v>
      </c>
      <c r="K525" s="5" t="str">
        <f>_xlfn.XLOOKUP($N525,'Base de Grupos'!$A:$A,'Base de Grupos'!$M:$M)</f>
        <v>REGIONAL VENDA INTERNA - KEY ACCOUNT</v>
      </c>
      <c r="L525" s="5">
        <f t="shared" si="245"/>
        <v>1</v>
      </c>
      <c r="M525" s="5" t="str">
        <f>_xlfn.XLOOKUP($N525,'Base de Grupos'!$A:$A,'Base de Grupos'!$C:$C)</f>
        <v>RS</v>
      </c>
      <c r="N525" s="3">
        <v>1429</v>
      </c>
      <c r="O525" s="4" t="s">
        <v>253</v>
      </c>
      <c r="P525" s="5" t="s">
        <v>323</v>
      </c>
      <c r="Q525" s="24">
        <v>0</v>
      </c>
      <c r="R525" s="24">
        <v>0</v>
      </c>
      <c r="S525" s="24">
        <v>0</v>
      </c>
      <c r="T525" s="24">
        <v>0</v>
      </c>
      <c r="U525" s="24">
        <v>0</v>
      </c>
      <c r="V525" s="24">
        <v>0</v>
      </c>
      <c r="W525" s="24">
        <v>0</v>
      </c>
      <c r="X525" s="24">
        <v>0</v>
      </c>
      <c r="Y525" s="24">
        <v>0</v>
      </c>
      <c r="Z525" s="24">
        <v>0</v>
      </c>
      <c r="AA525" s="24">
        <v>0</v>
      </c>
      <c r="AB525" s="24">
        <v>0</v>
      </c>
      <c r="AC525" s="30">
        <f t="shared" si="243"/>
        <v>0</v>
      </c>
      <c r="AD525" s="25">
        <f t="shared" ref="AD525:AI525" si="248">SUM(AD526:AD542)</f>
        <v>0</v>
      </c>
      <c r="AE525" s="25">
        <f t="shared" si="248"/>
        <v>0</v>
      </c>
      <c r="AF525" s="11" t="str">
        <f t="shared" si="246"/>
        <v/>
      </c>
      <c r="AG525" s="24">
        <f t="shared" si="248"/>
        <v>0</v>
      </c>
      <c r="AH525" s="25">
        <f t="shared" si="248"/>
        <v>0</v>
      </c>
      <c r="AI525" s="24">
        <f t="shared" si="248"/>
        <v>0</v>
      </c>
      <c r="AJ525" s="11" t="str">
        <f t="shared" si="247"/>
        <v/>
      </c>
      <c r="AK525" s="9"/>
      <c r="AL525" s="13"/>
      <c r="AM525" s="9"/>
    </row>
    <row r="526" spans="1:39" x14ac:dyDescent="0.3">
      <c r="A526" s="2" t="str">
        <f t="shared" si="244"/>
        <v>NÃO</v>
      </c>
      <c r="B526" s="2" t="str">
        <f>_xlfn.XLOOKUP($N526,'Base de Grupos'!$A:$A,'Base de Grupos'!$D:$D)</f>
        <v>1000065763</v>
      </c>
      <c r="C526" s="5" t="str">
        <f>_xlfn.XLOOKUP($N526,'Base de Grupos'!$A:$A,'Base de Grupos'!$E:$E)</f>
        <v>CANAL VENDA INTERNA</v>
      </c>
      <c r="D526" s="5" t="str">
        <f>_xlfn.XLOOKUP($N526,'Base de Grupos'!$A:$A,'Base de Grupos'!$F:$F)</f>
        <v>1000065763</v>
      </c>
      <c r="E526" s="2" t="str">
        <f>_xlfn.XLOOKUP($N526,'Base de Grupos'!$A:$A,'Base de Grupos'!$G:$G)</f>
        <v>CANAL VENDA INTERNA</v>
      </c>
      <c r="F526" s="2" t="str">
        <f>_xlfn.XLOOKUP($N526,'Base de Grupos'!$A:$A,'Base de Grupos'!$H:$H)</f>
        <v>1000153245</v>
      </c>
      <c r="G526" s="5" t="str">
        <f>_xlfn.XLOOKUP($N526,'Base de Grupos'!$A:$A,'Base de Grupos'!$I:$I)</f>
        <v>REGIONAL VENDA INTERNA - KEY ACCOUNT</v>
      </c>
      <c r="H526" s="5" t="str">
        <f>_xlfn.XLOOKUP($N526,'Base de Grupos'!$A:$A,'Base de Grupos'!$J:$J)</f>
        <v>1000153245</v>
      </c>
      <c r="I526" s="2" t="str">
        <f>_xlfn.XLOOKUP($N526,'Base de Grupos'!$A:$A,'Base de Grupos'!$K:$K)</f>
        <v>REGIONAL VENDA INTERNA - KEY ACCOUNT</v>
      </c>
      <c r="J526" s="2" t="str">
        <f>_xlfn.XLOOKUP($N526,'Base de Grupos'!$A:$A,'Base de Grupos'!$L:$L)</f>
        <v>1000153245</v>
      </c>
      <c r="K526" s="5" t="str">
        <f>_xlfn.XLOOKUP($N526,'Base de Grupos'!$A:$A,'Base de Grupos'!$M:$M)</f>
        <v>REGIONAL VENDA INTERNA - KEY ACCOUNT</v>
      </c>
      <c r="L526" s="5" t="str">
        <f t="shared" si="245"/>
        <v/>
      </c>
      <c r="M526" s="5" t="str">
        <f>_xlfn.XLOOKUP($N526,'Base de Grupos'!$A:$A,'Base de Grupos'!$C:$C)</f>
        <v>RS</v>
      </c>
      <c r="N526" s="3">
        <v>1429</v>
      </c>
      <c r="O526" s="4" t="s">
        <v>253</v>
      </c>
      <c r="P526" s="5" t="s">
        <v>81</v>
      </c>
      <c r="Q526" s="24">
        <v>0</v>
      </c>
      <c r="R526" s="24">
        <v>0</v>
      </c>
      <c r="S526" s="24">
        <v>0</v>
      </c>
      <c r="T526" s="24">
        <v>0</v>
      </c>
      <c r="U526" s="24">
        <v>0</v>
      </c>
      <c r="V526" s="24">
        <v>0</v>
      </c>
      <c r="W526" s="24">
        <v>0</v>
      </c>
      <c r="X526" s="24">
        <v>0</v>
      </c>
      <c r="Y526" s="24">
        <v>0</v>
      </c>
      <c r="Z526" s="24">
        <v>0</v>
      </c>
      <c r="AA526" s="24">
        <v>0</v>
      </c>
      <c r="AB526" s="24">
        <v>0</v>
      </c>
      <c r="AC526" s="30">
        <f t="shared" si="243"/>
        <v>0</v>
      </c>
      <c r="AD526" s="27">
        <f t="shared" ref="AD526:AD542" si="249">IF(AC526=0,0,AC526-AG526)</f>
        <v>0</v>
      </c>
      <c r="AE526" s="25">
        <f>IFERROR(_xlfn.XLOOKUP(N526&amp;P526,'Historico Vendas'!G:G,'Historico Vendas'!E:E),0)</f>
        <v>0</v>
      </c>
      <c r="AF526" s="29" t="str">
        <f t="shared" si="246"/>
        <v/>
      </c>
      <c r="AG526" s="24">
        <f>IFERROR(_xlfn.XLOOKUP(N526&amp;P526,'Historico Vendas'!G:G,'Historico Vendas'!F:F),0)</f>
        <v>0</v>
      </c>
      <c r="AH526" s="25">
        <f t="shared" ref="AH526:AH542" si="250">SUM(Q526:S526)</f>
        <v>0</v>
      </c>
      <c r="AI526" s="24">
        <f t="shared" ref="AI526:AI542" si="251">AH526-AG526</f>
        <v>0</v>
      </c>
      <c r="AJ526" s="11" t="str">
        <f t="shared" si="247"/>
        <v/>
      </c>
      <c r="AK526" s="9" t="s">
        <v>102</v>
      </c>
      <c r="AL526" s="13">
        <f>IFERROR(INDEX('Balizador da Meta'!$D$3:$F$23,MATCH(Quantidade!$P526,'Balizador da Meta'!$C$3:$C$23,0),MATCH(Quantidade!AK526,'Balizador da Meta'!$D$2:$F$2,0)),"")</f>
        <v>0.2</v>
      </c>
      <c r="AM526" s="9"/>
    </row>
    <row r="527" spans="1:39" x14ac:dyDescent="0.3">
      <c r="A527" s="2" t="str">
        <f t="shared" si="244"/>
        <v>NÃO</v>
      </c>
      <c r="B527" s="2" t="str">
        <f>_xlfn.XLOOKUP($N527,'Base de Grupos'!$A:$A,'Base de Grupos'!$D:$D)</f>
        <v>1000065763</v>
      </c>
      <c r="C527" s="5" t="str">
        <f>_xlfn.XLOOKUP($N527,'Base de Grupos'!$A:$A,'Base de Grupos'!$E:$E)</f>
        <v>CANAL VENDA INTERNA</v>
      </c>
      <c r="D527" s="5" t="str">
        <f>_xlfn.XLOOKUP($N527,'Base de Grupos'!$A:$A,'Base de Grupos'!$F:$F)</f>
        <v>1000065763</v>
      </c>
      <c r="E527" s="2" t="str">
        <f>_xlfn.XLOOKUP($N527,'Base de Grupos'!$A:$A,'Base de Grupos'!$G:$G)</f>
        <v>CANAL VENDA INTERNA</v>
      </c>
      <c r="F527" s="2" t="str">
        <f>_xlfn.XLOOKUP($N527,'Base de Grupos'!$A:$A,'Base de Grupos'!$H:$H)</f>
        <v>1000153245</v>
      </c>
      <c r="G527" s="5" t="str">
        <f>_xlfn.XLOOKUP($N527,'Base de Grupos'!$A:$A,'Base de Grupos'!$I:$I)</f>
        <v>REGIONAL VENDA INTERNA - KEY ACCOUNT</v>
      </c>
      <c r="H527" s="5" t="str">
        <f>_xlfn.XLOOKUP($N527,'Base de Grupos'!$A:$A,'Base de Grupos'!$J:$J)</f>
        <v>1000153245</v>
      </c>
      <c r="I527" s="2" t="str">
        <f>_xlfn.XLOOKUP($N527,'Base de Grupos'!$A:$A,'Base de Grupos'!$K:$K)</f>
        <v>REGIONAL VENDA INTERNA - KEY ACCOUNT</v>
      </c>
      <c r="J527" s="2" t="str">
        <f>_xlfn.XLOOKUP($N527,'Base de Grupos'!$A:$A,'Base de Grupos'!$L:$L)</f>
        <v>1000153245</v>
      </c>
      <c r="K527" s="5" t="str">
        <f>_xlfn.XLOOKUP($N527,'Base de Grupos'!$A:$A,'Base de Grupos'!$M:$M)</f>
        <v>REGIONAL VENDA INTERNA - KEY ACCOUNT</v>
      </c>
      <c r="L527" s="5" t="str">
        <f t="shared" si="245"/>
        <v/>
      </c>
      <c r="M527" s="5" t="str">
        <f>_xlfn.XLOOKUP($N527,'Base de Grupos'!$A:$A,'Base de Grupos'!$C:$C)</f>
        <v>RS</v>
      </c>
      <c r="N527" s="3">
        <v>1429</v>
      </c>
      <c r="O527" s="4" t="s">
        <v>253</v>
      </c>
      <c r="P527" s="5" t="s">
        <v>82</v>
      </c>
      <c r="Q527" s="24">
        <v>0</v>
      </c>
      <c r="R527" s="24">
        <v>0</v>
      </c>
      <c r="S527" s="24">
        <v>0</v>
      </c>
      <c r="T527" s="24">
        <v>0</v>
      </c>
      <c r="U527" s="24">
        <v>0</v>
      </c>
      <c r="V527" s="24">
        <v>0</v>
      </c>
      <c r="W527" s="24">
        <v>0</v>
      </c>
      <c r="X527" s="24">
        <v>0</v>
      </c>
      <c r="Y527" s="24">
        <v>0</v>
      </c>
      <c r="Z527" s="24">
        <v>0</v>
      </c>
      <c r="AA527" s="24">
        <v>0</v>
      </c>
      <c r="AB527" s="24">
        <v>0</v>
      </c>
      <c r="AC527" s="30">
        <f t="shared" si="243"/>
        <v>0</v>
      </c>
      <c r="AD527" s="27">
        <f t="shared" si="249"/>
        <v>0</v>
      </c>
      <c r="AE527" s="25">
        <f>IFERROR(_xlfn.XLOOKUP(N527&amp;P527,'Historico Vendas'!G:G,'Historico Vendas'!E:E),0)</f>
        <v>0</v>
      </c>
      <c r="AF527" s="29" t="str">
        <f t="shared" si="246"/>
        <v/>
      </c>
      <c r="AG527" s="24">
        <f>IFERROR(_xlfn.XLOOKUP(N527&amp;P527,'Historico Vendas'!G:G,'Historico Vendas'!F:F),0)</f>
        <v>0</v>
      </c>
      <c r="AH527" s="25">
        <f t="shared" si="250"/>
        <v>0</v>
      </c>
      <c r="AI527" s="24">
        <f t="shared" si="251"/>
        <v>0</v>
      </c>
      <c r="AJ527" s="11" t="str">
        <f t="shared" si="247"/>
        <v/>
      </c>
      <c r="AK527" s="9" t="s">
        <v>102</v>
      </c>
      <c r="AL527" s="13">
        <f>IFERROR(INDEX('Balizador da Meta'!$D$3:$F$23,MATCH(Quantidade!$P527,'Balizador da Meta'!$C$3:$C$23,0),MATCH(Quantidade!AK527,'Balizador da Meta'!$D$2:$F$2,0)),"")</f>
        <v>0.2</v>
      </c>
      <c r="AM527" s="9"/>
    </row>
    <row r="528" spans="1:39" x14ac:dyDescent="0.3">
      <c r="A528" s="2" t="str">
        <f t="shared" si="244"/>
        <v>NÃO</v>
      </c>
      <c r="B528" s="2" t="str">
        <f>_xlfn.XLOOKUP($N528,'Base de Grupos'!$A:$A,'Base de Grupos'!$D:$D)</f>
        <v>1000065763</v>
      </c>
      <c r="C528" s="5" t="str">
        <f>_xlfn.XLOOKUP($N528,'Base de Grupos'!$A:$A,'Base de Grupos'!$E:$E)</f>
        <v>CANAL VENDA INTERNA</v>
      </c>
      <c r="D528" s="5" t="str">
        <f>_xlfn.XLOOKUP($N528,'Base de Grupos'!$A:$A,'Base de Grupos'!$F:$F)</f>
        <v>1000065763</v>
      </c>
      <c r="E528" s="2" t="str">
        <f>_xlfn.XLOOKUP($N528,'Base de Grupos'!$A:$A,'Base de Grupos'!$G:$G)</f>
        <v>CANAL VENDA INTERNA</v>
      </c>
      <c r="F528" s="2" t="str">
        <f>_xlfn.XLOOKUP($N528,'Base de Grupos'!$A:$A,'Base de Grupos'!$H:$H)</f>
        <v>1000153245</v>
      </c>
      <c r="G528" s="5" t="str">
        <f>_xlfn.XLOOKUP($N528,'Base de Grupos'!$A:$A,'Base de Grupos'!$I:$I)</f>
        <v>REGIONAL VENDA INTERNA - KEY ACCOUNT</v>
      </c>
      <c r="H528" s="5" t="str">
        <f>_xlfn.XLOOKUP($N528,'Base de Grupos'!$A:$A,'Base de Grupos'!$J:$J)</f>
        <v>1000153245</v>
      </c>
      <c r="I528" s="2" t="str">
        <f>_xlfn.XLOOKUP($N528,'Base de Grupos'!$A:$A,'Base de Grupos'!$K:$K)</f>
        <v>REGIONAL VENDA INTERNA - KEY ACCOUNT</v>
      </c>
      <c r="J528" s="2" t="str">
        <f>_xlfn.XLOOKUP($N528,'Base de Grupos'!$A:$A,'Base de Grupos'!$L:$L)</f>
        <v>1000153245</v>
      </c>
      <c r="K528" s="5" t="str">
        <f>_xlfn.XLOOKUP($N528,'Base de Grupos'!$A:$A,'Base de Grupos'!$M:$M)</f>
        <v>REGIONAL VENDA INTERNA - KEY ACCOUNT</v>
      </c>
      <c r="L528" s="5" t="str">
        <f t="shared" si="245"/>
        <v/>
      </c>
      <c r="M528" s="5" t="str">
        <f>_xlfn.XLOOKUP($N528,'Base de Grupos'!$A:$A,'Base de Grupos'!$C:$C)</f>
        <v>RS</v>
      </c>
      <c r="N528" s="3">
        <v>1429</v>
      </c>
      <c r="O528" s="4" t="s">
        <v>253</v>
      </c>
      <c r="P528" s="5" t="s">
        <v>84</v>
      </c>
      <c r="Q528" s="24">
        <v>0</v>
      </c>
      <c r="R528" s="24">
        <v>0</v>
      </c>
      <c r="S528" s="24">
        <v>0</v>
      </c>
      <c r="T528" s="24">
        <v>0</v>
      </c>
      <c r="U528" s="24">
        <v>0</v>
      </c>
      <c r="V528" s="24">
        <v>0</v>
      </c>
      <c r="W528" s="24">
        <v>0</v>
      </c>
      <c r="X528" s="24">
        <v>0</v>
      </c>
      <c r="Y528" s="24">
        <v>0</v>
      </c>
      <c r="Z528" s="24">
        <v>0</v>
      </c>
      <c r="AA528" s="24">
        <v>0</v>
      </c>
      <c r="AB528" s="24">
        <v>0</v>
      </c>
      <c r="AC528" s="30">
        <f t="shared" si="243"/>
        <v>0</v>
      </c>
      <c r="AD528" s="27">
        <f t="shared" si="249"/>
        <v>0</v>
      </c>
      <c r="AE528" s="25">
        <f>IFERROR(_xlfn.XLOOKUP(N528&amp;P528,'Historico Vendas'!G:G,'Historico Vendas'!E:E),0)</f>
        <v>0</v>
      </c>
      <c r="AF528" s="29" t="str">
        <f t="shared" si="246"/>
        <v/>
      </c>
      <c r="AG528" s="24">
        <f>IFERROR(_xlfn.XLOOKUP(N528&amp;P528,'Historico Vendas'!G:G,'Historico Vendas'!F:F),0)</f>
        <v>0</v>
      </c>
      <c r="AH528" s="25">
        <f t="shared" si="250"/>
        <v>0</v>
      </c>
      <c r="AI528" s="24">
        <f t="shared" si="251"/>
        <v>0</v>
      </c>
      <c r="AJ528" s="11" t="str">
        <f t="shared" si="247"/>
        <v/>
      </c>
      <c r="AK528" s="9" t="s">
        <v>102</v>
      </c>
      <c r="AL528" s="13">
        <f>IFERROR(INDEX('Balizador da Meta'!$D$3:$F$23,MATCH(Quantidade!$P528,'Balizador da Meta'!$C$3:$C$23,0),MATCH(Quantidade!AK528,'Balizador da Meta'!$D$2:$F$2,0)),"")</f>
        <v>0.15</v>
      </c>
      <c r="AM528" s="9"/>
    </row>
    <row r="529" spans="1:39" x14ac:dyDescent="0.3">
      <c r="A529" s="2" t="str">
        <f t="shared" si="244"/>
        <v>NÃO</v>
      </c>
      <c r="B529" s="2" t="str">
        <f>_xlfn.XLOOKUP($N529,'Base de Grupos'!$A:$A,'Base de Grupos'!$D:$D)</f>
        <v>1000065763</v>
      </c>
      <c r="C529" s="5" t="str">
        <f>_xlfn.XLOOKUP($N529,'Base de Grupos'!$A:$A,'Base de Grupos'!$E:$E)</f>
        <v>CANAL VENDA INTERNA</v>
      </c>
      <c r="D529" s="5" t="str">
        <f>_xlfn.XLOOKUP($N529,'Base de Grupos'!$A:$A,'Base de Grupos'!$F:$F)</f>
        <v>1000065763</v>
      </c>
      <c r="E529" s="2" t="str">
        <f>_xlfn.XLOOKUP($N529,'Base de Grupos'!$A:$A,'Base de Grupos'!$G:$G)</f>
        <v>CANAL VENDA INTERNA</v>
      </c>
      <c r="F529" s="2" t="str">
        <f>_xlfn.XLOOKUP($N529,'Base de Grupos'!$A:$A,'Base de Grupos'!$H:$H)</f>
        <v>1000153245</v>
      </c>
      <c r="G529" s="5" t="str">
        <f>_xlfn.XLOOKUP($N529,'Base de Grupos'!$A:$A,'Base de Grupos'!$I:$I)</f>
        <v>REGIONAL VENDA INTERNA - KEY ACCOUNT</v>
      </c>
      <c r="H529" s="5" t="str">
        <f>_xlfn.XLOOKUP($N529,'Base de Grupos'!$A:$A,'Base de Grupos'!$J:$J)</f>
        <v>1000153245</v>
      </c>
      <c r="I529" s="2" t="str">
        <f>_xlfn.XLOOKUP($N529,'Base de Grupos'!$A:$A,'Base de Grupos'!$K:$K)</f>
        <v>REGIONAL VENDA INTERNA - KEY ACCOUNT</v>
      </c>
      <c r="J529" s="2" t="str">
        <f>_xlfn.XLOOKUP($N529,'Base de Grupos'!$A:$A,'Base de Grupos'!$L:$L)</f>
        <v>1000153245</v>
      </c>
      <c r="K529" s="5" t="str">
        <f>_xlfn.XLOOKUP($N529,'Base de Grupos'!$A:$A,'Base de Grupos'!$M:$M)</f>
        <v>REGIONAL VENDA INTERNA - KEY ACCOUNT</v>
      </c>
      <c r="L529" s="5" t="str">
        <f t="shared" si="245"/>
        <v/>
      </c>
      <c r="M529" s="5" t="str">
        <f>_xlfn.XLOOKUP($N529,'Base de Grupos'!$A:$A,'Base de Grupos'!$C:$C)</f>
        <v>RS</v>
      </c>
      <c r="N529" s="3">
        <v>1429</v>
      </c>
      <c r="O529" s="4" t="s">
        <v>253</v>
      </c>
      <c r="P529" s="5" t="s">
        <v>83</v>
      </c>
      <c r="Q529" s="24">
        <v>0</v>
      </c>
      <c r="R529" s="24">
        <v>0</v>
      </c>
      <c r="S529" s="24">
        <v>0</v>
      </c>
      <c r="T529" s="24">
        <v>0</v>
      </c>
      <c r="U529" s="24">
        <v>0</v>
      </c>
      <c r="V529" s="24">
        <v>0</v>
      </c>
      <c r="W529" s="24">
        <v>0</v>
      </c>
      <c r="X529" s="24">
        <v>0</v>
      </c>
      <c r="Y529" s="24">
        <v>0</v>
      </c>
      <c r="Z529" s="24">
        <v>0</v>
      </c>
      <c r="AA529" s="24">
        <v>0</v>
      </c>
      <c r="AB529" s="24">
        <v>0</v>
      </c>
      <c r="AC529" s="30">
        <f t="shared" si="243"/>
        <v>0</v>
      </c>
      <c r="AD529" s="27">
        <f t="shared" si="249"/>
        <v>0</v>
      </c>
      <c r="AE529" s="25">
        <f>IFERROR(_xlfn.XLOOKUP(N529&amp;P529,'Historico Vendas'!G:G,'Historico Vendas'!E:E),0)</f>
        <v>0</v>
      </c>
      <c r="AF529" s="29" t="str">
        <f t="shared" si="246"/>
        <v/>
      </c>
      <c r="AG529" s="24">
        <f>IFERROR(_xlfn.XLOOKUP(N529&amp;P529,'Historico Vendas'!G:G,'Historico Vendas'!F:F),0)</f>
        <v>0</v>
      </c>
      <c r="AH529" s="25">
        <f t="shared" si="250"/>
        <v>0</v>
      </c>
      <c r="AI529" s="24">
        <f t="shared" si="251"/>
        <v>0</v>
      </c>
      <c r="AJ529" s="11" t="str">
        <f t="shared" si="247"/>
        <v/>
      </c>
      <c r="AK529" s="9" t="s">
        <v>102</v>
      </c>
      <c r="AL529" s="13">
        <f>IFERROR(INDEX('Balizador da Meta'!$D$3:$F$23,MATCH(Quantidade!$P529,'Balizador da Meta'!$C$3:$C$23,0),MATCH(Quantidade!AK529,'Balizador da Meta'!$D$2:$F$2,0)),"")</f>
        <v>0</v>
      </c>
      <c r="AM529" s="9"/>
    </row>
    <row r="530" spans="1:39" x14ac:dyDescent="0.3">
      <c r="A530" s="2" t="str">
        <f t="shared" si="244"/>
        <v>NÃO</v>
      </c>
      <c r="B530" s="2" t="str">
        <f>_xlfn.XLOOKUP($N530,'Base de Grupos'!$A:$A,'Base de Grupos'!$D:$D)</f>
        <v>1000065763</v>
      </c>
      <c r="C530" s="5" t="str">
        <f>_xlfn.XLOOKUP($N530,'Base de Grupos'!$A:$A,'Base de Grupos'!$E:$E)</f>
        <v>CANAL VENDA INTERNA</v>
      </c>
      <c r="D530" s="5" t="str">
        <f>_xlfn.XLOOKUP($N530,'Base de Grupos'!$A:$A,'Base de Grupos'!$F:$F)</f>
        <v>1000065763</v>
      </c>
      <c r="E530" s="2" t="str">
        <f>_xlfn.XLOOKUP($N530,'Base de Grupos'!$A:$A,'Base de Grupos'!$G:$G)</f>
        <v>CANAL VENDA INTERNA</v>
      </c>
      <c r="F530" s="2" t="str">
        <f>_xlfn.XLOOKUP($N530,'Base de Grupos'!$A:$A,'Base de Grupos'!$H:$H)</f>
        <v>1000153245</v>
      </c>
      <c r="G530" s="5" t="str">
        <f>_xlfn.XLOOKUP($N530,'Base de Grupos'!$A:$A,'Base de Grupos'!$I:$I)</f>
        <v>REGIONAL VENDA INTERNA - KEY ACCOUNT</v>
      </c>
      <c r="H530" s="5" t="str">
        <f>_xlfn.XLOOKUP($N530,'Base de Grupos'!$A:$A,'Base de Grupos'!$J:$J)</f>
        <v>1000153245</v>
      </c>
      <c r="I530" s="2" t="str">
        <f>_xlfn.XLOOKUP($N530,'Base de Grupos'!$A:$A,'Base de Grupos'!$K:$K)</f>
        <v>REGIONAL VENDA INTERNA - KEY ACCOUNT</v>
      </c>
      <c r="J530" s="2" t="str">
        <f>_xlfn.XLOOKUP($N530,'Base de Grupos'!$A:$A,'Base de Grupos'!$L:$L)</f>
        <v>1000153245</v>
      </c>
      <c r="K530" s="5" t="str">
        <f>_xlfn.XLOOKUP($N530,'Base de Grupos'!$A:$A,'Base de Grupos'!$M:$M)</f>
        <v>REGIONAL VENDA INTERNA - KEY ACCOUNT</v>
      </c>
      <c r="L530" s="5" t="str">
        <f t="shared" si="245"/>
        <v/>
      </c>
      <c r="M530" s="5" t="str">
        <f>_xlfn.XLOOKUP($N530,'Base de Grupos'!$A:$A,'Base de Grupos'!$C:$C)</f>
        <v>RS</v>
      </c>
      <c r="N530" s="3">
        <v>1429</v>
      </c>
      <c r="O530" s="4" t="s">
        <v>253</v>
      </c>
      <c r="P530" s="5" t="s">
        <v>87</v>
      </c>
      <c r="Q530" s="24">
        <v>0</v>
      </c>
      <c r="R530" s="24">
        <v>0</v>
      </c>
      <c r="S530" s="24">
        <v>0</v>
      </c>
      <c r="T530" s="24">
        <v>0</v>
      </c>
      <c r="U530" s="24">
        <v>0</v>
      </c>
      <c r="V530" s="24">
        <v>0</v>
      </c>
      <c r="W530" s="24">
        <v>0</v>
      </c>
      <c r="X530" s="24">
        <v>0</v>
      </c>
      <c r="Y530" s="24">
        <v>0</v>
      </c>
      <c r="Z530" s="24">
        <v>0</v>
      </c>
      <c r="AA530" s="24">
        <v>0</v>
      </c>
      <c r="AB530" s="24">
        <v>0</v>
      </c>
      <c r="AC530" s="30">
        <f t="shared" si="243"/>
        <v>0</v>
      </c>
      <c r="AD530" s="27">
        <f t="shared" si="249"/>
        <v>0</v>
      </c>
      <c r="AE530" s="25">
        <f>IFERROR(_xlfn.XLOOKUP(N530&amp;P530,'Historico Vendas'!G:G,'Historico Vendas'!E:E),0)</f>
        <v>0</v>
      </c>
      <c r="AF530" s="29" t="str">
        <f t="shared" si="246"/>
        <v/>
      </c>
      <c r="AG530" s="24">
        <f>IFERROR(_xlfn.XLOOKUP(N530&amp;P530,'Historico Vendas'!G:G,'Historico Vendas'!F:F),0)</f>
        <v>0</v>
      </c>
      <c r="AH530" s="25">
        <f t="shared" si="250"/>
        <v>0</v>
      </c>
      <c r="AI530" s="24">
        <f t="shared" si="251"/>
        <v>0</v>
      </c>
      <c r="AJ530" s="11" t="str">
        <f t="shared" si="247"/>
        <v/>
      </c>
      <c r="AK530" s="9" t="s">
        <v>102</v>
      </c>
      <c r="AL530" s="13">
        <f>IFERROR(INDEX('Balizador da Meta'!$D$3:$F$23,MATCH(Quantidade!$P530,'Balizador da Meta'!$C$3:$C$23,0),MATCH(Quantidade!AK530,'Balizador da Meta'!$D$2:$F$2,0)),"")</f>
        <v>0</v>
      </c>
      <c r="AM530" s="9"/>
    </row>
    <row r="531" spans="1:39" x14ac:dyDescent="0.3">
      <c r="A531" s="2" t="str">
        <f t="shared" si="244"/>
        <v>NÃO</v>
      </c>
      <c r="B531" s="2" t="str">
        <f>_xlfn.XLOOKUP($N531,'Base de Grupos'!$A:$A,'Base de Grupos'!$D:$D)</f>
        <v>1000065763</v>
      </c>
      <c r="C531" s="5" t="str">
        <f>_xlfn.XLOOKUP($N531,'Base de Grupos'!$A:$A,'Base de Grupos'!$E:$E)</f>
        <v>CANAL VENDA INTERNA</v>
      </c>
      <c r="D531" s="5" t="str">
        <f>_xlfn.XLOOKUP($N531,'Base de Grupos'!$A:$A,'Base de Grupos'!$F:$F)</f>
        <v>1000065763</v>
      </c>
      <c r="E531" s="2" t="str">
        <f>_xlfn.XLOOKUP($N531,'Base de Grupos'!$A:$A,'Base de Grupos'!$G:$G)</f>
        <v>CANAL VENDA INTERNA</v>
      </c>
      <c r="F531" s="2" t="str">
        <f>_xlfn.XLOOKUP($N531,'Base de Grupos'!$A:$A,'Base de Grupos'!$H:$H)</f>
        <v>1000153245</v>
      </c>
      <c r="G531" s="5" t="str">
        <f>_xlfn.XLOOKUP($N531,'Base de Grupos'!$A:$A,'Base de Grupos'!$I:$I)</f>
        <v>REGIONAL VENDA INTERNA - KEY ACCOUNT</v>
      </c>
      <c r="H531" s="5" t="str">
        <f>_xlfn.XLOOKUP($N531,'Base de Grupos'!$A:$A,'Base de Grupos'!$J:$J)</f>
        <v>1000153245</v>
      </c>
      <c r="I531" s="2" t="str">
        <f>_xlfn.XLOOKUP($N531,'Base de Grupos'!$A:$A,'Base de Grupos'!$K:$K)</f>
        <v>REGIONAL VENDA INTERNA - KEY ACCOUNT</v>
      </c>
      <c r="J531" s="2" t="str">
        <f>_xlfn.XLOOKUP($N531,'Base de Grupos'!$A:$A,'Base de Grupos'!$L:$L)</f>
        <v>1000153245</v>
      </c>
      <c r="K531" s="5" t="str">
        <f>_xlfn.XLOOKUP($N531,'Base de Grupos'!$A:$A,'Base de Grupos'!$M:$M)</f>
        <v>REGIONAL VENDA INTERNA - KEY ACCOUNT</v>
      </c>
      <c r="L531" s="5" t="str">
        <f t="shared" si="245"/>
        <v/>
      </c>
      <c r="M531" s="5" t="str">
        <f>_xlfn.XLOOKUP($N531,'Base de Grupos'!$A:$A,'Base de Grupos'!$C:$C)</f>
        <v>RS</v>
      </c>
      <c r="N531" s="3">
        <v>1429</v>
      </c>
      <c r="O531" s="4" t="s">
        <v>253</v>
      </c>
      <c r="P531" s="5" t="s">
        <v>85</v>
      </c>
      <c r="Q531" s="24">
        <f>SUM(Q532:Q552)</f>
        <v>0</v>
      </c>
      <c r="R531" s="24">
        <f t="shared" ref="R531" si="252">SUM(R532:R552)</f>
        <v>0</v>
      </c>
      <c r="S531" s="24">
        <f t="shared" ref="S531" si="253">SUM(S532:S552)</f>
        <v>0</v>
      </c>
      <c r="T531" s="24">
        <f t="shared" ref="T531:AC531" si="254">SUM(T532:T552)</f>
        <v>0</v>
      </c>
      <c r="U531" s="24">
        <f t="shared" si="254"/>
        <v>0</v>
      </c>
      <c r="V531" s="24">
        <f t="shared" si="254"/>
        <v>0</v>
      </c>
      <c r="W531" s="24">
        <f t="shared" si="254"/>
        <v>0</v>
      </c>
      <c r="X531" s="24">
        <f t="shared" si="254"/>
        <v>0</v>
      </c>
      <c r="Y531" s="24">
        <f t="shared" si="254"/>
        <v>0</v>
      </c>
      <c r="Z531" s="24">
        <f t="shared" si="254"/>
        <v>0</v>
      </c>
      <c r="AA531" s="24">
        <f t="shared" si="254"/>
        <v>0</v>
      </c>
      <c r="AB531" s="24">
        <f t="shared" si="254"/>
        <v>0</v>
      </c>
      <c r="AC531" s="24">
        <f t="shared" si="254"/>
        <v>0</v>
      </c>
      <c r="AD531" s="27">
        <f t="shared" si="249"/>
        <v>0</v>
      </c>
      <c r="AE531" s="25">
        <f>IFERROR(_xlfn.XLOOKUP(N531&amp;P531,'Historico Vendas'!G:G,'Historico Vendas'!E:E),0)</f>
        <v>0</v>
      </c>
      <c r="AF531" s="29" t="str">
        <f t="shared" si="246"/>
        <v/>
      </c>
      <c r="AG531" s="24">
        <f>IFERROR(_xlfn.XLOOKUP(N531&amp;P531,'Historico Vendas'!G:G,'Historico Vendas'!F:F),0)</f>
        <v>0</v>
      </c>
      <c r="AH531" s="25">
        <f t="shared" si="250"/>
        <v>0</v>
      </c>
      <c r="AI531" s="24">
        <f t="shared" si="251"/>
        <v>0</v>
      </c>
      <c r="AJ531" s="11" t="str">
        <f t="shared" si="247"/>
        <v/>
      </c>
      <c r="AK531" s="9" t="s">
        <v>102</v>
      </c>
      <c r="AL531" s="13">
        <f>IFERROR(INDEX('Balizador da Meta'!$D$3:$F$23,MATCH(Quantidade!$P531,'Balizador da Meta'!$C$3:$C$23,0),MATCH(Quantidade!AK531,'Balizador da Meta'!$D$2:$F$2,0)),"")</f>
        <v>0</v>
      </c>
      <c r="AM531" s="9"/>
    </row>
    <row r="532" spans="1:39" x14ac:dyDescent="0.3">
      <c r="A532" s="2" t="str">
        <f t="shared" si="244"/>
        <v>NÃO</v>
      </c>
      <c r="B532" s="2" t="str">
        <f>_xlfn.XLOOKUP($N532,'Base de Grupos'!$A:$A,'Base de Grupos'!$D:$D)</f>
        <v>1000065763</v>
      </c>
      <c r="C532" s="5" t="str">
        <f>_xlfn.XLOOKUP($N532,'Base de Grupos'!$A:$A,'Base de Grupos'!$E:$E)</f>
        <v>CANAL VENDA INTERNA</v>
      </c>
      <c r="D532" s="5" t="str">
        <f>_xlfn.XLOOKUP($N532,'Base de Grupos'!$A:$A,'Base de Grupos'!$F:$F)</f>
        <v>1000065763</v>
      </c>
      <c r="E532" s="2" t="str">
        <f>_xlfn.XLOOKUP($N532,'Base de Grupos'!$A:$A,'Base de Grupos'!$G:$G)</f>
        <v>CANAL VENDA INTERNA</v>
      </c>
      <c r="F532" s="2" t="str">
        <f>_xlfn.XLOOKUP($N532,'Base de Grupos'!$A:$A,'Base de Grupos'!$H:$H)</f>
        <v>1000153245</v>
      </c>
      <c r="G532" s="5" t="str">
        <f>_xlfn.XLOOKUP($N532,'Base de Grupos'!$A:$A,'Base de Grupos'!$I:$I)</f>
        <v>REGIONAL VENDA INTERNA - KEY ACCOUNT</v>
      </c>
      <c r="H532" s="5" t="str">
        <f>_xlfn.XLOOKUP($N532,'Base de Grupos'!$A:$A,'Base de Grupos'!$J:$J)</f>
        <v>1000153245</v>
      </c>
      <c r="I532" s="2" t="str">
        <f>_xlfn.XLOOKUP($N532,'Base de Grupos'!$A:$A,'Base de Grupos'!$K:$K)</f>
        <v>REGIONAL VENDA INTERNA - KEY ACCOUNT</v>
      </c>
      <c r="J532" s="2" t="str">
        <f>_xlfn.XLOOKUP($N532,'Base de Grupos'!$A:$A,'Base de Grupos'!$L:$L)</f>
        <v>1000153245</v>
      </c>
      <c r="K532" s="5" t="str">
        <f>_xlfn.XLOOKUP($N532,'Base de Grupos'!$A:$A,'Base de Grupos'!$M:$M)</f>
        <v>REGIONAL VENDA INTERNA - KEY ACCOUNT</v>
      </c>
      <c r="L532" s="5" t="str">
        <f t="shared" si="245"/>
        <v/>
      </c>
      <c r="M532" s="5" t="str">
        <f>_xlfn.XLOOKUP($N532,'Base de Grupos'!$A:$A,'Base de Grupos'!$C:$C)</f>
        <v>RS</v>
      </c>
      <c r="N532" s="3">
        <v>1429</v>
      </c>
      <c r="O532" s="4" t="s">
        <v>253</v>
      </c>
      <c r="P532" s="5" t="s">
        <v>92</v>
      </c>
      <c r="Q532" s="24">
        <v>0</v>
      </c>
      <c r="R532" s="24">
        <v>0</v>
      </c>
      <c r="S532" s="24">
        <v>0</v>
      </c>
      <c r="T532" s="24">
        <v>0</v>
      </c>
      <c r="U532" s="24">
        <v>0</v>
      </c>
      <c r="V532" s="24">
        <v>0</v>
      </c>
      <c r="W532" s="24">
        <v>0</v>
      </c>
      <c r="X532" s="24">
        <v>0</v>
      </c>
      <c r="Y532" s="24">
        <v>0</v>
      </c>
      <c r="Z532" s="24">
        <v>0</v>
      </c>
      <c r="AA532" s="24">
        <v>0</v>
      </c>
      <c r="AB532" s="24">
        <v>0</v>
      </c>
      <c r="AC532" s="30">
        <f t="shared" ref="AC532:AC552" si="255">SUM(T532:AB532)</f>
        <v>0</v>
      </c>
      <c r="AD532" s="27">
        <f t="shared" si="249"/>
        <v>0</v>
      </c>
      <c r="AE532" s="25">
        <f>IFERROR(_xlfn.XLOOKUP(N532&amp;P532,'Historico Vendas'!G:G,'Historico Vendas'!E:E),0)</f>
        <v>0</v>
      </c>
      <c r="AF532" s="29" t="str">
        <f t="shared" si="246"/>
        <v/>
      </c>
      <c r="AG532" s="24">
        <f>IFERROR(_xlfn.XLOOKUP(N532&amp;P532,'Historico Vendas'!G:G,'Historico Vendas'!F:F),0)</f>
        <v>0</v>
      </c>
      <c r="AH532" s="25">
        <f t="shared" si="250"/>
        <v>0</v>
      </c>
      <c r="AI532" s="24">
        <f t="shared" si="251"/>
        <v>0</v>
      </c>
      <c r="AJ532" s="11" t="str">
        <f t="shared" si="247"/>
        <v/>
      </c>
      <c r="AK532" s="9" t="s">
        <v>102</v>
      </c>
      <c r="AL532" s="13">
        <f>IFERROR(INDEX('Balizador da Meta'!$D$3:$F$23,MATCH(Quantidade!$P532,'Balizador da Meta'!$C$3:$C$23,0),MATCH(Quantidade!AK532,'Balizador da Meta'!$D$2:$F$2,0)),"")</f>
        <v>0</v>
      </c>
      <c r="AM532" s="9"/>
    </row>
    <row r="533" spans="1:39" x14ac:dyDescent="0.3">
      <c r="A533" s="2" t="str">
        <f t="shared" si="244"/>
        <v>NÃO</v>
      </c>
      <c r="B533" s="2" t="str">
        <f>_xlfn.XLOOKUP($N533,'Base de Grupos'!$A:$A,'Base de Grupos'!$D:$D)</f>
        <v>1000065763</v>
      </c>
      <c r="C533" s="5" t="str">
        <f>_xlfn.XLOOKUP($N533,'Base de Grupos'!$A:$A,'Base de Grupos'!$E:$E)</f>
        <v>CANAL VENDA INTERNA</v>
      </c>
      <c r="D533" s="5" t="str">
        <f>_xlfn.XLOOKUP($N533,'Base de Grupos'!$A:$A,'Base de Grupos'!$F:$F)</f>
        <v>1000065763</v>
      </c>
      <c r="E533" s="2" t="str">
        <f>_xlfn.XLOOKUP($N533,'Base de Grupos'!$A:$A,'Base de Grupos'!$G:$G)</f>
        <v>CANAL VENDA INTERNA</v>
      </c>
      <c r="F533" s="2" t="str">
        <f>_xlfn.XLOOKUP($N533,'Base de Grupos'!$A:$A,'Base de Grupos'!$H:$H)</f>
        <v>1000153245</v>
      </c>
      <c r="G533" s="5" t="str">
        <f>_xlfn.XLOOKUP($N533,'Base de Grupos'!$A:$A,'Base de Grupos'!$I:$I)</f>
        <v>REGIONAL VENDA INTERNA - KEY ACCOUNT</v>
      </c>
      <c r="H533" s="5" t="str">
        <f>_xlfn.XLOOKUP($N533,'Base de Grupos'!$A:$A,'Base de Grupos'!$J:$J)</f>
        <v>1000153245</v>
      </c>
      <c r="I533" s="2" t="str">
        <f>_xlfn.XLOOKUP($N533,'Base de Grupos'!$A:$A,'Base de Grupos'!$K:$K)</f>
        <v>REGIONAL VENDA INTERNA - KEY ACCOUNT</v>
      </c>
      <c r="J533" s="2" t="str">
        <f>_xlfn.XLOOKUP($N533,'Base de Grupos'!$A:$A,'Base de Grupos'!$L:$L)</f>
        <v>1000153245</v>
      </c>
      <c r="K533" s="5" t="str">
        <f>_xlfn.XLOOKUP($N533,'Base de Grupos'!$A:$A,'Base de Grupos'!$M:$M)</f>
        <v>REGIONAL VENDA INTERNA - KEY ACCOUNT</v>
      </c>
      <c r="L533" s="5" t="str">
        <f t="shared" si="245"/>
        <v/>
      </c>
      <c r="M533" s="5" t="str">
        <f>_xlfn.XLOOKUP($N533,'Base de Grupos'!$A:$A,'Base de Grupos'!$C:$C)</f>
        <v>RS</v>
      </c>
      <c r="N533" s="3">
        <v>1429</v>
      </c>
      <c r="O533" s="4" t="s">
        <v>253</v>
      </c>
      <c r="P533" s="5" t="s">
        <v>86</v>
      </c>
      <c r="Q533" s="24">
        <v>0</v>
      </c>
      <c r="R533" s="24">
        <v>0</v>
      </c>
      <c r="S533" s="24">
        <v>0</v>
      </c>
      <c r="T533" s="24">
        <v>0</v>
      </c>
      <c r="U533" s="24">
        <v>0</v>
      </c>
      <c r="V533" s="24">
        <v>0</v>
      </c>
      <c r="W533" s="24">
        <v>0</v>
      </c>
      <c r="X533" s="24">
        <v>0</v>
      </c>
      <c r="Y533" s="24">
        <v>0</v>
      </c>
      <c r="Z533" s="24">
        <v>0</v>
      </c>
      <c r="AA533" s="24">
        <v>0</v>
      </c>
      <c r="AB533" s="24">
        <v>0</v>
      </c>
      <c r="AC533" s="30">
        <f t="shared" si="255"/>
        <v>0</v>
      </c>
      <c r="AD533" s="27">
        <f t="shared" si="249"/>
        <v>0</v>
      </c>
      <c r="AE533" s="25">
        <f>IFERROR(_xlfn.XLOOKUP(N533&amp;P533,'Historico Vendas'!G:G,'Historico Vendas'!E:E),0)</f>
        <v>0</v>
      </c>
      <c r="AF533" s="29" t="str">
        <f t="shared" si="246"/>
        <v/>
      </c>
      <c r="AG533" s="24">
        <f>IFERROR(_xlfn.XLOOKUP(N533&amp;P533,'Historico Vendas'!G:G,'Historico Vendas'!F:F),0)</f>
        <v>0</v>
      </c>
      <c r="AH533" s="25">
        <f t="shared" si="250"/>
        <v>0</v>
      </c>
      <c r="AI533" s="24">
        <f t="shared" si="251"/>
        <v>0</v>
      </c>
      <c r="AJ533" s="11" t="str">
        <f t="shared" si="247"/>
        <v/>
      </c>
      <c r="AK533" s="9" t="s">
        <v>102</v>
      </c>
      <c r="AL533" s="13">
        <f>IFERROR(INDEX('Balizador da Meta'!$D$3:$F$23,MATCH(Quantidade!$P533,'Balizador da Meta'!$C$3:$C$23,0),MATCH(Quantidade!AK533,'Balizador da Meta'!$D$2:$F$2,0)),"")</f>
        <v>0.15</v>
      </c>
      <c r="AM533" s="9"/>
    </row>
    <row r="534" spans="1:39" x14ac:dyDescent="0.3">
      <c r="A534" s="2" t="str">
        <f t="shared" si="244"/>
        <v>NÃO</v>
      </c>
      <c r="B534" s="2" t="str">
        <f>_xlfn.XLOOKUP($N534,'Base de Grupos'!$A:$A,'Base de Grupos'!$D:$D)</f>
        <v>1000065763</v>
      </c>
      <c r="C534" s="5" t="str">
        <f>_xlfn.XLOOKUP($N534,'Base de Grupos'!$A:$A,'Base de Grupos'!$E:$E)</f>
        <v>CANAL VENDA INTERNA</v>
      </c>
      <c r="D534" s="5" t="str">
        <f>_xlfn.XLOOKUP($N534,'Base de Grupos'!$A:$A,'Base de Grupos'!$F:$F)</f>
        <v>1000065763</v>
      </c>
      <c r="E534" s="2" t="str">
        <f>_xlfn.XLOOKUP($N534,'Base de Grupos'!$A:$A,'Base de Grupos'!$G:$G)</f>
        <v>CANAL VENDA INTERNA</v>
      </c>
      <c r="F534" s="2" t="str">
        <f>_xlfn.XLOOKUP($N534,'Base de Grupos'!$A:$A,'Base de Grupos'!$H:$H)</f>
        <v>1000153245</v>
      </c>
      <c r="G534" s="5" t="str">
        <f>_xlfn.XLOOKUP($N534,'Base de Grupos'!$A:$A,'Base de Grupos'!$I:$I)</f>
        <v>REGIONAL VENDA INTERNA - KEY ACCOUNT</v>
      </c>
      <c r="H534" s="5" t="str">
        <f>_xlfn.XLOOKUP($N534,'Base de Grupos'!$A:$A,'Base de Grupos'!$J:$J)</f>
        <v>1000153245</v>
      </c>
      <c r="I534" s="2" t="str">
        <f>_xlfn.XLOOKUP($N534,'Base de Grupos'!$A:$A,'Base de Grupos'!$K:$K)</f>
        <v>REGIONAL VENDA INTERNA - KEY ACCOUNT</v>
      </c>
      <c r="J534" s="2" t="str">
        <f>_xlfn.XLOOKUP($N534,'Base de Grupos'!$A:$A,'Base de Grupos'!$L:$L)</f>
        <v>1000153245</v>
      </c>
      <c r="K534" s="5" t="str">
        <f>_xlfn.XLOOKUP($N534,'Base de Grupos'!$A:$A,'Base de Grupos'!$M:$M)</f>
        <v>REGIONAL VENDA INTERNA - KEY ACCOUNT</v>
      </c>
      <c r="L534" s="5" t="str">
        <f t="shared" si="245"/>
        <v/>
      </c>
      <c r="M534" s="5" t="str">
        <f>_xlfn.XLOOKUP($N534,'Base de Grupos'!$A:$A,'Base de Grupos'!$C:$C)</f>
        <v>RS</v>
      </c>
      <c r="N534" s="3">
        <v>1429</v>
      </c>
      <c r="O534" s="4" t="s">
        <v>253</v>
      </c>
      <c r="P534" s="5" t="s">
        <v>108</v>
      </c>
      <c r="Q534" s="24">
        <v>0</v>
      </c>
      <c r="R534" s="24">
        <v>0</v>
      </c>
      <c r="S534" s="24">
        <v>0</v>
      </c>
      <c r="T534" s="24">
        <v>0</v>
      </c>
      <c r="U534" s="24">
        <v>0</v>
      </c>
      <c r="V534" s="24">
        <v>0</v>
      </c>
      <c r="W534" s="24">
        <v>0</v>
      </c>
      <c r="X534" s="24">
        <v>0</v>
      </c>
      <c r="Y534" s="24">
        <v>0</v>
      </c>
      <c r="Z534" s="24">
        <v>0</v>
      </c>
      <c r="AA534" s="24">
        <v>0</v>
      </c>
      <c r="AB534" s="24">
        <v>0</v>
      </c>
      <c r="AC534" s="30">
        <f t="shared" si="255"/>
        <v>0</v>
      </c>
      <c r="AD534" s="27">
        <f t="shared" si="249"/>
        <v>0</v>
      </c>
      <c r="AE534" s="25">
        <f>IFERROR(_xlfn.XLOOKUP(N534&amp;P534,'Historico Vendas'!G:G,'Historico Vendas'!E:E),0)</f>
        <v>0</v>
      </c>
      <c r="AF534" s="29" t="str">
        <f t="shared" si="246"/>
        <v/>
      </c>
      <c r="AG534" s="24">
        <f>IFERROR(_xlfn.XLOOKUP(N534&amp;P534,'Historico Vendas'!G:G,'Historico Vendas'!F:F),0)</f>
        <v>0</v>
      </c>
      <c r="AH534" s="25">
        <f t="shared" si="250"/>
        <v>0</v>
      </c>
      <c r="AI534" s="24">
        <f t="shared" si="251"/>
        <v>0</v>
      </c>
      <c r="AJ534" s="11" t="str">
        <f t="shared" si="247"/>
        <v/>
      </c>
      <c r="AK534" s="9" t="s">
        <v>102</v>
      </c>
      <c r="AL534" s="13">
        <f>IFERROR(INDEX('Balizador da Meta'!$D$3:$F$23,MATCH(Quantidade!$P534,'Balizador da Meta'!$C$3:$C$23,0),MATCH(Quantidade!AK534,'Balizador da Meta'!$D$2:$F$2,0)),"")</f>
        <v>0</v>
      </c>
      <c r="AM534" s="9"/>
    </row>
    <row r="535" spans="1:39" x14ac:dyDescent="0.3">
      <c r="A535" s="2" t="str">
        <f t="shared" si="244"/>
        <v>NÃO</v>
      </c>
      <c r="B535" s="2" t="str">
        <f>_xlfn.XLOOKUP($N535,'Base de Grupos'!$A:$A,'Base de Grupos'!$D:$D)</f>
        <v>1000065763</v>
      </c>
      <c r="C535" s="5" t="str">
        <f>_xlfn.XLOOKUP($N535,'Base de Grupos'!$A:$A,'Base de Grupos'!$E:$E)</f>
        <v>CANAL VENDA INTERNA</v>
      </c>
      <c r="D535" s="5" t="str">
        <f>_xlfn.XLOOKUP($N535,'Base de Grupos'!$A:$A,'Base de Grupos'!$F:$F)</f>
        <v>1000065763</v>
      </c>
      <c r="E535" s="2" t="str">
        <f>_xlfn.XLOOKUP($N535,'Base de Grupos'!$A:$A,'Base de Grupos'!$G:$G)</f>
        <v>CANAL VENDA INTERNA</v>
      </c>
      <c r="F535" s="2" t="str">
        <f>_xlfn.XLOOKUP($N535,'Base de Grupos'!$A:$A,'Base de Grupos'!$H:$H)</f>
        <v>1000153245</v>
      </c>
      <c r="G535" s="5" t="str">
        <f>_xlfn.XLOOKUP($N535,'Base de Grupos'!$A:$A,'Base de Grupos'!$I:$I)</f>
        <v>REGIONAL VENDA INTERNA - KEY ACCOUNT</v>
      </c>
      <c r="H535" s="5" t="str">
        <f>_xlfn.XLOOKUP($N535,'Base de Grupos'!$A:$A,'Base de Grupos'!$J:$J)</f>
        <v>1000153245</v>
      </c>
      <c r="I535" s="2" t="str">
        <f>_xlfn.XLOOKUP($N535,'Base de Grupos'!$A:$A,'Base de Grupos'!$K:$K)</f>
        <v>REGIONAL VENDA INTERNA - KEY ACCOUNT</v>
      </c>
      <c r="J535" s="2" t="str">
        <f>_xlfn.XLOOKUP($N535,'Base de Grupos'!$A:$A,'Base de Grupos'!$L:$L)</f>
        <v>1000153245</v>
      </c>
      <c r="K535" s="5" t="str">
        <f>_xlfn.XLOOKUP($N535,'Base de Grupos'!$A:$A,'Base de Grupos'!$M:$M)</f>
        <v>REGIONAL VENDA INTERNA - KEY ACCOUNT</v>
      </c>
      <c r="L535" s="5" t="str">
        <f t="shared" si="245"/>
        <v/>
      </c>
      <c r="M535" s="5" t="str">
        <f>_xlfn.XLOOKUP($N535,'Base de Grupos'!$A:$A,'Base de Grupos'!$C:$C)</f>
        <v>RS</v>
      </c>
      <c r="N535" s="3">
        <v>1429</v>
      </c>
      <c r="O535" s="4" t="s">
        <v>253</v>
      </c>
      <c r="P535" s="5" t="s">
        <v>89</v>
      </c>
      <c r="Q535" s="24">
        <v>0</v>
      </c>
      <c r="R535" s="24">
        <v>0</v>
      </c>
      <c r="S535" s="24">
        <v>0</v>
      </c>
      <c r="T535" s="24">
        <v>0</v>
      </c>
      <c r="U535" s="24">
        <v>0</v>
      </c>
      <c r="V535" s="24">
        <v>0</v>
      </c>
      <c r="W535" s="24">
        <v>0</v>
      </c>
      <c r="X535" s="24">
        <v>0</v>
      </c>
      <c r="Y535" s="24">
        <v>0</v>
      </c>
      <c r="Z535" s="24">
        <v>0</v>
      </c>
      <c r="AA535" s="24">
        <v>0</v>
      </c>
      <c r="AB535" s="24">
        <v>0</v>
      </c>
      <c r="AC535" s="30">
        <f t="shared" si="255"/>
        <v>0</v>
      </c>
      <c r="AD535" s="27">
        <f t="shared" si="249"/>
        <v>0</v>
      </c>
      <c r="AE535" s="25">
        <f>IFERROR(_xlfn.XLOOKUP(N535&amp;P535,'Historico Vendas'!G:G,'Historico Vendas'!E:E),0)</f>
        <v>0</v>
      </c>
      <c r="AF535" s="29" t="str">
        <f t="shared" si="246"/>
        <v/>
      </c>
      <c r="AG535" s="24">
        <f>IFERROR(_xlfn.XLOOKUP(N535&amp;P535,'Historico Vendas'!G:G,'Historico Vendas'!F:F),0)</f>
        <v>0</v>
      </c>
      <c r="AH535" s="25">
        <f t="shared" si="250"/>
        <v>0</v>
      </c>
      <c r="AI535" s="24">
        <f t="shared" si="251"/>
        <v>0</v>
      </c>
      <c r="AJ535" s="11" t="str">
        <f t="shared" si="247"/>
        <v/>
      </c>
      <c r="AK535" s="9" t="s">
        <v>102</v>
      </c>
      <c r="AL535" s="13">
        <f>IFERROR(INDEX('Balizador da Meta'!$D$3:$F$23,MATCH(Quantidade!$P535,'Balizador da Meta'!$C$3:$C$23,0),MATCH(Quantidade!AK535,'Balizador da Meta'!$D$2:$F$2,0)),"")</f>
        <v>0.25</v>
      </c>
      <c r="AM535" s="9"/>
    </row>
    <row r="536" spans="1:39" x14ac:dyDescent="0.3">
      <c r="A536" s="2" t="str">
        <f t="shared" si="244"/>
        <v>NÃO</v>
      </c>
      <c r="B536" s="2" t="str">
        <f>_xlfn.XLOOKUP($N536,'Base de Grupos'!$A:$A,'Base de Grupos'!$D:$D)</f>
        <v>1000065763</v>
      </c>
      <c r="C536" s="5" t="str">
        <f>_xlfn.XLOOKUP($N536,'Base de Grupos'!$A:$A,'Base de Grupos'!$E:$E)</f>
        <v>CANAL VENDA INTERNA</v>
      </c>
      <c r="D536" s="5" t="str">
        <f>_xlfn.XLOOKUP($N536,'Base de Grupos'!$A:$A,'Base de Grupos'!$F:$F)</f>
        <v>1000065763</v>
      </c>
      <c r="E536" s="2" t="str">
        <f>_xlfn.XLOOKUP($N536,'Base de Grupos'!$A:$A,'Base de Grupos'!$G:$G)</f>
        <v>CANAL VENDA INTERNA</v>
      </c>
      <c r="F536" s="2" t="str">
        <f>_xlfn.XLOOKUP($N536,'Base de Grupos'!$A:$A,'Base de Grupos'!$H:$H)</f>
        <v>1000153245</v>
      </c>
      <c r="G536" s="5" t="str">
        <f>_xlfn.XLOOKUP($N536,'Base de Grupos'!$A:$A,'Base de Grupos'!$I:$I)</f>
        <v>REGIONAL VENDA INTERNA - KEY ACCOUNT</v>
      </c>
      <c r="H536" s="5" t="str">
        <f>_xlfn.XLOOKUP($N536,'Base de Grupos'!$A:$A,'Base de Grupos'!$J:$J)</f>
        <v>1000153245</v>
      </c>
      <c r="I536" s="2" t="str">
        <f>_xlfn.XLOOKUP($N536,'Base de Grupos'!$A:$A,'Base de Grupos'!$K:$K)</f>
        <v>REGIONAL VENDA INTERNA - KEY ACCOUNT</v>
      </c>
      <c r="J536" s="2" t="str">
        <f>_xlfn.XLOOKUP($N536,'Base de Grupos'!$A:$A,'Base de Grupos'!$L:$L)</f>
        <v>1000153245</v>
      </c>
      <c r="K536" s="5" t="str">
        <f>_xlfn.XLOOKUP($N536,'Base de Grupos'!$A:$A,'Base de Grupos'!$M:$M)</f>
        <v>REGIONAL VENDA INTERNA - KEY ACCOUNT</v>
      </c>
      <c r="L536" s="5" t="str">
        <f t="shared" si="245"/>
        <v/>
      </c>
      <c r="M536" s="5" t="str">
        <f>_xlfn.XLOOKUP($N536,'Base de Grupos'!$A:$A,'Base de Grupos'!$C:$C)</f>
        <v>RS</v>
      </c>
      <c r="N536" s="3">
        <v>1429</v>
      </c>
      <c r="O536" s="4" t="s">
        <v>253</v>
      </c>
      <c r="P536" s="5" t="s">
        <v>88</v>
      </c>
      <c r="Q536" s="24">
        <v>0</v>
      </c>
      <c r="R536" s="24">
        <v>0</v>
      </c>
      <c r="S536" s="24">
        <v>0</v>
      </c>
      <c r="T536" s="24">
        <v>0</v>
      </c>
      <c r="U536" s="24">
        <v>0</v>
      </c>
      <c r="V536" s="24">
        <v>0</v>
      </c>
      <c r="W536" s="24">
        <v>0</v>
      </c>
      <c r="X536" s="24">
        <v>0</v>
      </c>
      <c r="Y536" s="24">
        <v>0</v>
      </c>
      <c r="Z536" s="24">
        <v>0</v>
      </c>
      <c r="AA536" s="24">
        <v>0</v>
      </c>
      <c r="AB536" s="24">
        <v>0</v>
      </c>
      <c r="AC536" s="30">
        <f t="shared" si="255"/>
        <v>0</v>
      </c>
      <c r="AD536" s="27">
        <f t="shared" si="249"/>
        <v>0</v>
      </c>
      <c r="AE536" s="25">
        <f>IFERROR(_xlfn.XLOOKUP(N536&amp;P536,'Historico Vendas'!G:G,'Historico Vendas'!E:E),0)</f>
        <v>0</v>
      </c>
      <c r="AF536" s="29" t="str">
        <f t="shared" si="246"/>
        <v/>
      </c>
      <c r="AG536" s="24">
        <f>IFERROR(_xlfn.XLOOKUP(N536&amp;P536,'Historico Vendas'!G:G,'Historico Vendas'!F:F),0)</f>
        <v>0</v>
      </c>
      <c r="AH536" s="25">
        <f t="shared" si="250"/>
        <v>0</v>
      </c>
      <c r="AI536" s="24">
        <f t="shared" si="251"/>
        <v>0</v>
      </c>
      <c r="AJ536" s="11" t="str">
        <f t="shared" si="247"/>
        <v/>
      </c>
      <c r="AK536" s="9" t="s">
        <v>102</v>
      </c>
      <c r="AL536" s="13">
        <f>IFERROR(INDEX('Balizador da Meta'!$D$3:$F$23,MATCH(Quantidade!$P536,'Balizador da Meta'!$C$3:$C$23,0),MATCH(Quantidade!AK536,'Balizador da Meta'!$D$2:$F$2,0)),"")</f>
        <v>0</v>
      </c>
      <c r="AM536" s="9"/>
    </row>
    <row r="537" spans="1:39" x14ac:dyDescent="0.3">
      <c r="A537" s="2" t="str">
        <f t="shared" si="244"/>
        <v>NÃO</v>
      </c>
      <c r="B537" s="2" t="str">
        <f>_xlfn.XLOOKUP($N537,'Base de Grupos'!$A:$A,'Base de Grupos'!$D:$D)</f>
        <v>1000065763</v>
      </c>
      <c r="C537" s="5" t="str">
        <f>_xlfn.XLOOKUP($N537,'Base de Grupos'!$A:$A,'Base de Grupos'!$E:$E)</f>
        <v>CANAL VENDA INTERNA</v>
      </c>
      <c r="D537" s="5" t="str">
        <f>_xlfn.XLOOKUP($N537,'Base de Grupos'!$A:$A,'Base de Grupos'!$F:$F)</f>
        <v>1000065763</v>
      </c>
      <c r="E537" s="2" t="str">
        <f>_xlfn.XLOOKUP($N537,'Base de Grupos'!$A:$A,'Base de Grupos'!$G:$G)</f>
        <v>CANAL VENDA INTERNA</v>
      </c>
      <c r="F537" s="2" t="str">
        <f>_xlfn.XLOOKUP($N537,'Base de Grupos'!$A:$A,'Base de Grupos'!$H:$H)</f>
        <v>1000153245</v>
      </c>
      <c r="G537" s="5" t="str">
        <f>_xlfn.XLOOKUP($N537,'Base de Grupos'!$A:$A,'Base de Grupos'!$I:$I)</f>
        <v>REGIONAL VENDA INTERNA - KEY ACCOUNT</v>
      </c>
      <c r="H537" s="5" t="str">
        <f>_xlfn.XLOOKUP($N537,'Base de Grupos'!$A:$A,'Base de Grupos'!$J:$J)</f>
        <v>1000153245</v>
      </c>
      <c r="I537" s="2" t="str">
        <f>_xlfn.XLOOKUP($N537,'Base de Grupos'!$A:$A,'Base de Grupos'!$K:$K)</f>
        <v>REGIONAL VENDA INTERNA - KEY ACCOUNT</v>
      </c>
      <c r="J537" s="2" t="str">
        <f>_xlfn.XLOOKUP($N537,'Base de Grupos'!$A:$A,'Base de Grupos'!$L:$L)</f>
        <v>1000153245</v>
      </c>
      <c r="K537" s="5" t="str">
        <f>_xlfn.XLOOKUP($N537,'Base de Grupos'!$A:$A,'Base de Grupos'!$M:$M)</f>
        <v>REGIONAL VENDA INTERNA - KEY ACCOUNT</v>
      </c>
      <c r="L537" s="5" t="str">
        <f t="shared" si="245"/>
        <v/>
      </c>
      <c r="M537" s="5" t="str">
        <f>_xlfn.XLOOKUP($N537,'Base de Grupos'!$A:$A,'Base de Grupos'!$C:$C)</f>
        <v>RS</v>
      </c>
      <c r="N537" s="3">
        <v>1429</v>
      </c>
      <c r="O537" s="4" t="s">
        <v>253</v>
      </c>
      <c r="P537" s="5" t="s">
        <v>90</v>
      </c>
      <c r="Q537" s="24">
        <v>0</v>
      </c>
      <c r="R537" s="24">
        <v>0</v>
      </c>
      <c r="S537" s="24">
        <v>0</v>
      </c>
      <c r="T537" s="24">
        <v>0</v>
      </c>
      <c r="U537" s="24">
        <v>0</v>
      </c>
      <c r="V537" s="24">
        <v>0</v>
      </c>
      <c r="W537" s="24">
        <v>0</v>
      </c>
      <c r="X537" s="24">
        <v>0</v>
      </c>
      <c r="Y537" s="24">
        <v>0</v>
      </c>
      <c r="Z537" s="24">
        <v>0</v>
      </c>
      <c r="AA537" s="24">
        <v>0</v>
      </c>
      <c r="AB537" s="24">
        <v>0</v>
      </c>
      <c r="AC537" s="30">
        <f t="shared" si="255"/>
        <v>0</v>
      </c>
      <c r="AD537" s="27">
        <f t="shared" si="249"/>
        <v>0</v>
      </c>
      <c r="AE537" s="25">
        <f>IFERROR(_xlfn.XLOOKUP(N537&amp;P537,'Historico Vendas'!G:G,'Historico Vendas'!E:E),0)</f>
        <v>0</v>
      </c>
      <c r="AF537" s="29" t="str">
        <f t="shared" si="246"/>
        <v/>
      </c>
      <c r="AG537" s="24">
        <f>IFERROR(_xlfn.XLOOKUP(N537&amp;P537,'Historico Vendas'!G:G,'Historico Vendas'!F:F),0)</f>
        <v>0</v>
      </c>
      <c r="AH537" s="25">
        <f t="shared" si="250"/>
        <v>0</v>
      </c>
      <c r="AI537" s="24">
        <f t="shared" si="251"/>
        <v>0</v>
      </c>
      <c r="AJ537" s="11" t="str">
        <f t="shared" si="247"/>
        <v/>
      </c>
      <c r="AK537" s="9" t="s">
        <v>102</v>
      </c>
      <c r="AL537" s="13">
        <f>IFERROR(INDEX('Balizador da Meta'!$D$3:$F$23,MATCH(Quantidade!$P537,'Balizador da Meta'!$C$3:$C$23,0),MATCH(Quantidade!AK537,'Balizador da Meta'!$D$2:$F$2,0)),"")</f>
        <v>0</v>
      </c>
      <c r="AM537" s="9"/>
    </row>
    <row r="538" spans="1:39" x14ac:dyDescent="0.3">
      <c r="A538" s="2" t="str">
        <f t="shared" si="244"/>
        <v>NÃO</v>
      </c>
      <c r="B538" s="2" t="str">
        <f>_xlfn.XLOOKUP($N538,'Base de Grupos'!$A:$A,'Base de Grupos'!$D:$D)</f>
        <v>1000065763</v>
      </c>
      <c r="C538" s="5" t="str">
        <f>_xlfn.XLOOKUP($N538,'Base de Grupos'!$A:$A,'Base de Grupos'!$E:$E)</f>
        <v>CANAL VENDA INTERNA</v>
      </c>
      <c r="D538" s="5" t="str">
        <f>_xlfn.XLOOKUP($N538,'Base de Grupos'!$A:$A,'Base de Grupos'!$F:$F)</f>
        <v>1000065763</v>
      </c>
      <c r="E538" s="2" t="str">
        <f>_xlfn.XLOOKUP($N538,'Base de Grupos'!$A:$A,'Base de Grupos'!$G:$G)</f>
        <v>CANAL VENDA INTERNA</v>
      </c>
      <c r="F538" s="2" t="str">
        <f>_xlfn.XLOOKUP($N538,'Base de Grupos'!$A:$A,'Base de Grupos'!$H:$H)</f>
        <v>1000153245</v>
      </c>
      <c r="G538" s="5" t="str">
        <f>_xlfn.XLOOKUP($N538,'Base de Grupos'!$A:$A,'Base de Grupos'!$I:$I)</f>
        <v>REGIONAL VENDA INTERNA - KEY ACCOUNT</v>
      </c>
      <c r="H538" s="5" t="str">
        <f>_xlfn.XLOOKUP($N538,'Base de Grupos'!$A:$A,'Base de Grupos'!$J:$J)</f>
        <v>1000153245</v>
      </c>
      <c r="I538" s="2" t="str">
        <f>_xlfn.XLOOKUP($N538,'Base de Grupos'!$A:$A,'Base de Grupos'!$K:$K)</f>
        <v>REGIONAL VENDA INTERNA - KEY ACCOUNT</v>
      </c>
      <c r="J538" s="2" t="str">
        <f>_xlfn.XLOOKUP($N538,'Base de Grupos'!$A:$A,'Base de Grupos'!$L:$L)</f>
        <v>1000153245</v>
      </c>
      <c r="K538" s="5" t="str">
        <f>_xlfn.XLOOKUP($N538,'Base de Grupos'!$A:$A,'Base de Grupos'!$M:$M)</f>
        <v>REGIONAL VENDA INTERNA - KEY ACCOUNT</v>
      </c>
      <c r="L538" s="5" t="str">
        <f t="shared" si="245"/>
        <v/>
      </c>
      <c r="M538" s="5" t="str">
        <f>_xlfn.XLOOKUP($N538,'Base de Grupos'!$A:$A,'Base de Grupos'!$C:$C)</f>
        <v>RS</v>
      </c>
      <c r="N538" s="3">
        <v>1429</v>
      </c>
      <c r="O538" s="4" t="s">
        <v>253</v>
      </c>
      <c r="P538" s="5" t="s">
        <v>91</v>
      </c>
      <c r="Q538" s="24">
        <v>0</v>
      </c>
      <c r="R538" s="24">
        <v>0</v>
      </c>
      <c r="S538" s="24">
        <v>0</v>
      </c>
      <c r="T538" s="24">
        <v>0</v>
      </c>
      <c r="U538" s="24">
        <v>0</v>
      </c>
      <c r="V538" s="24">
        <v>0</v>
      </c>
      <c r="W538" s="24">
        <v>0</v>
      </c>
      <c r="X538" s="24">
        <v>0</v>
      </c>
      <c r="Y538" s="24">
        <v>0</v>
      </c>
      <c r="Z538" s="24">
        <v>0</v>
      </c>
      <c r="AA538" s="24">
        <v>0</v>
      </c>
      <c r="AB538" s="24">
        <v>0</v>
      </c>
      <c r="AC538" s="30">
        <f t="shared" si="255"/>
        <v>0</v>
      </c>
      <c r="AD538" s="27">
        <f t="shared" si="249"/>
        <v>0</v>
      </c>
      <c r="AE538" s="25">
        <f>IFERROR(_xlfn.XLOOKUP(N538&amp;P538,'Historico Vendas'!G:G,'Historico Vendas'!E:E),0)</f>
        <v>0</v>
      </c>
      <c r="AF538" s="29" t="str">
        <f t="shared" si="246"/>
        <v/>
      </c>
      <c r="AG538" s="24">
        <f>IFERROR(_xlfn.XLOOKUP(N538&amp;P538,'Historico Vendas'!G:G,'Historico Vendas'!F:F),0)</f>
        <v>0</v>
      </c>
      <c r="AH538" s="25">
        <f t="shared" si="250"/>
        <v>0</v>
      </c>
      <c r="AI538" s="24">
        <f t="shared" si="251"/>
        <v>0</v>
      </c>
      <c r="AJ538" s="11" t="str">
        <f t="shared" si="247"/>
        <v/>
      </c>
      <c r="AK538" s="9" t="s">
        <v>102</v>
      </c>
      <c r="AL538" s="13">
        <f>IFERROR(INDEX('Balizador da Meta'!$D$3:$F$23,MATCH(Quantidade!$P538,'Balizador da Meta'!$C$3:$C$23,0),MATCH(Quantidade!AK538,'Balizador da Meta'!$D$2:$F$2,0)),"")</f>
        <v>0</v>
      </c>
      <c r="AM538" s="9"/>
    </row>
    <row r="539" spans="1:39" x14ac:dyDescent="0.3">
      <c r="A539" s="2" t="str">
        <f t="shared" si="244"/>
        <v>NÃO</v>
      </c>
      <c r="B539" s="2" t="str">
        <f>_xlfn.XLOOKUP($N539,'Base de Grupos'!$A:$A,'Base de Grupos'!$D:$D)</f>
        <v>1000065763</v>
      </c>
      <c r="C539" s="5" t="str">
        <f>_xlfn.XLOOKUP($N539,'Base de Grupos'!$A:$A,'Base de Grupos'!$E:$E)</f>
        <v>CANAL VENDA INTERNA</v>
      </c>
      <c r="D539" s="5" t="str">
        <f>_xlfn.XLOOKUP($N539,'Base de Grupos'!$A:$A,'Base de Grupos'!$F:$F)</f>
        <v>1000065763</v>
      </c>
      <c r="E539" s="2" t="str">
        <f>_xlfn.XLOOKUP($N539,'Base de Grupos'!$A:$A,'Base de Grupos'!$G:$G)</f>
        <v>CANAL VENDA INTERNA</v>
      </c>
      <c r="F539" s="2" t="str">
        <f>_xlfn.XLOOKUP($N539,'Base de Grupos'!$A:$A,'Base de Grupos'!$H:$H)</f>
        <v>1000153245</v>
      </c>
      <c r="G539" s="5" t="str">
        <f>_xlfn.XLOOKUP($N539,'Base de Grupos'!$A:$A,'Base de Grupos'!$I:$I)</f>
        <v>REGIONAL VENDA INTERNA - KEY ACCOUNT</v>
      </c>
      <c r="H539" s="5" t="str">
        <f>_xlfn.XLOOKUP($N539,'Base de Grupos'!$A:$A,'Base de Grupos'!$J:$J)</f>
        <v>1000153245</v>
      </c>
      <c r="I539" s="2" t="str">
        <f>_xlfn.XLOOKUP($N539,'Base de Grupos'!$A:$A,'Base de Grupos'!$K:$K)</f>
        <v>REGIONAL VENDA INTERNA - KEY ACCOUNT</v>
      </c>
      <c r="J539" s="2" t="str">
        <f>_xlfn.XLOOKUP($N539,'Base de Grupos'!$A:$A,'Base de Grupos'!$L:$L)</f>
        <v>1000153245</v>
      </c>
      <c r="K539" s="5" t="str">
        <f>_xlfn.XLOOKUP($N539,'Base de Grupos'!$A:$A,'Base de Grupos'!$M:$M)</f>
        <v>REGIONAL VENDA INTERNA - KEY ACCOUNT</v>
      </c>
      <c r="L539" s="5" t="str">
        <f t="shared" si="245"/>
        <v/>
      </c>
      <c r="M539" s="5" t="str">
        <f>_xlfn.XLOOKUP($N539,'Base de Grupos'!$A:$A,'Base de Grupos'!$C:$C)</f>
        <v>RS</v>
      </c>
      <c r="N539" s="3">
        <v>1429</v>
      </c>
      <c r="O539" s="4" t="s">
        <v>253</v>
      </c>
      <c r="P539" s="5" t="s">
        <v>96</v>
      </c>
      <c r="Q539" s="24">
        <v>0</v>
      </c>
      <c r="R539" s="24">
        <v>0</v>
      </c>
      <c r="S539" s="24">
        <v>0</v>
      </c>
      <c r="T539" s="24">
        <v>0</v>
      </c>
      <c r="U539" s="24">
        <v>0</v>
      </c>
      <c r="V539" s="24">
        <v>0</v>
      </c>
      <c r="W539" s="24">
        <v>0</v>
      </c>
      <c r="X539" s="24">
        <v>0</v>
      </c>
      <c r="Y539" s="24">
        <v>0</v>
      </c>
      <c r="Z539" s="24">
        <v>0</v>
      </c>
      <c r="AA539" s="24">
        <v>0</v>
      </c>
      <c r="AB539" s="24">
        <v>0</v>
      </c>
      <c r="AC539" s="30">
        <f t="shared" si="255"/>
        <v>0</v>
      </c>
      <c r="AD539" s="27">
        <f t="shared" si="249"/>
        <v>0</v>
      </c>
      <c r="AE539" s="25">
        <f>IFERROR(_xlfn.XLOOKUP(N539&amp;P539,'Historico Vendas'!G:G,'Historico Vendas'!E:E),0)</f>
        <v>0</v>
      </c>
      <c r="AF539" s="29" t="str">
        <f t="shared" si="246"/>
        <v/>
      </c>
      <c r="AG539" s="24">
        <f>IFERROR(_xlfn.XLOOKUP(N539&amp;P539,'Historico Vendas'!G:G,'Historico Vendas'!F:F),0)</f>
        <v>0</v>
      </c>
      <c r="AH539" s="25">
        <f t="shared" si="250"/>
        <v>0</v>
      </c>
      <c r="AI539" s="24">
        <f t="shared" si="251"/>
        <v>0</v>
      </c>
      <c r="AJ539" s="11" t="str">
        <f t="shared" si="247"/>
        <v/>
      </c>
      <c r="AK539" s="9" t="s">
        <v>102</v>
      </c>
      <c r="AL539" s="13">
        <f>IFERROR(INDEX('Balizador da Meta'!$D$3:$F$23,MATCH(Quantidade!$P539,'Balizador da Meta'!$C$3:$C$23,0),MATCH(Quantidade!AK539,'Balizador da Meta'!$D$2:$F$2,0)),"")</f>
        <v>0</v>
      </c>
      <c r="AM539" s="9"/>
    </row>
    <row r="540" spans="1:39" x14ac:dyDescent="0.3">
      <c r="A540" s="2" t="str">
        <f t="shared" si="244"/>
        <v>NÃO</v>
      </c>
      <c r="B540" s="2" t="str">
        <f>_xlfn.XLOOKUP($N540,'Base de Grupos'!$A:$A,'Base de Grupos'!$D:$D)</f>
        <v>1000065763</v>
      </c>
      <c r="C540" s="5" t="str">
        <f>_xlfn.XLOOKUP($N540,'Base de Grupos'!$A:$A,'Base de Grupos'!$E:$E)</f>
        <v>CANAL VENDA INTERNA</v>
      </c>
      <c r="D540" s="5" t="str">
        <f>_xlfn.XLOOKUP($N540,'Base de Grupos'!$A:$A,'Base de Grupos'!$F:$F)</f>
        <v>1000065763</v>
      </c>
      <c r="E540" s="2" t="str">
        <f>_xlfn.XLOOKUP($N540,'Base de Grupos'!$A:$A,'Base de Grupos'!$G:$G)</f>
        <v>CANAL VENDA INTERNA</v>
      </c>
      <c r="F540" s="2" t="str">
        <f>_xlfn.XLOOKUP($N540,'Base de Grupos'!$A:$A,'Base de Grupos'!$H:$H)</f>
        <v>1000153245</v>
      </c>
      <c r="G540" s="5" t="str">
        <f>_xlfn.XLOOKUP($N540,'Base de Grupos'!$A:$A,'Base de Grupos'!$I:$I)</f>
        <v>REGIONAL VENDA INTERNA - KEY ACCOUNT</v>
      </c>
      <c r="H540" s="5" t="str">
        <f>_xlfn.XLOOKUP($N540,'Base de Grupos'!$A:$A,'Base de Grupos'!$J:$J)</f>
        <v>1000153245</v>
      </c>
      <c r="I540" s="2" t="str">
        <f>_xlfn.XLOOKUP($N540,'Base de Grupos'!$A:$A,'Base de Grupos'!$K:$K)</f>
        <v>REGIONAL VENDA INTERNA - KEY ACCOUNT</v>
      </c>
      <c r="J540" s="2" t="str">
        <f>_xlfn.XLOOKUP($N540,'Base de Grupos'!$A:$A,'Base de Grupos'!$L:$L)</f>
        <v>1000153245</v>
      </c>
      <c r="K540" s="5" t="str">
        <f>_xlfn.XLOOKUP($N540,'Base de Grupos'!$A:$A,'Base de Grupos'!$M:$M)</f>
        <v>REGIONAL VENDA INTERNA - KEY ACCOUNT</v>
      </c>
      <c r="L540" s="5" t="str">
        <f t="shared" si="245"/>
        <v/>
      </c>
      <c r="M540" s="5" t="str">
        <f>_xlfn.XLOOKUP($N540,'Base de Grupos'!$A:$A,'Base de Grupos'!$C:$C)</f>
        <v>RS</v>
      </c>
      <c r="N540" s="3">
        <v>1429</v>
      </c>
      <c r="O540" s="4" t="s">
        <v>253</v>
      </c>
      <c r="P540" s="5" t="s">
        <v>94</v>
      </c>
      <c r="Q540" s="24">
        <v>0</v>
      </c>
      <c r="R540" s="24">
        <v>0</v>
      </c>
      <c r="S540" s="24">
        <v>0</v>
      </c>
      <c r="T540" s="24">
        <v>0</v>
      </c>
      <c r="U540" s="24">
        <v>0</v>
      </c>
      <c r="V540" s="24">
        <v>0</v>
      </c>
      <c r="W540" s="24">
        <v>0</v>
      </c>
      <c r="X540" s="24">
        <v>0</v>
      </c>
      <c r="Y540" s="24">
        <v>0</v>
      </c>
      <c r="Z540" s="24">
        <v>0</v>
      </c>
      <c r="AA540" s="24">
        <v>0</v>
      </c>
      <c r="AB540" s="24">
        <v>0</v>
      </c>
      <c r="AC540" s="30">
        <f t="shared" si="255"/>
        <v>0</v>
      </c>
      <c r="AD540" s="27">
        <f t="shared" si="249"/>
        <v>0</v>
      </c>
      <c r="AE540" s="25">
        <f>IFERROR(_xlfn.XLOOKUP(N540&amp;P540,'Historico Vendas'!G:G,'Historico Vendas'!E:E),0)</f>
        <v>0</v>
      </c>
      <c r="AF540" s="29" t="str">
        <f t="shared" si="246"/>
        <v/>
      </c>
      <c r="AG540" s="24">
        <f>IFERROR(_xlfn.XLOOKUP(N540&amp;P540,'Historico Vendas'!G:G,'Historico Vendas'!F:F),0)</f>
        <v>0</v>
      </c>
      <c r="AH540" s="25">
        <f t="shared" si="250"/>
        <v>0</v>
      </c>
      <c r="AI540" s="24">
        <f t="shared" si="251"/>
        <v>0</v>
      </c>
      <c r="AJ540" s="11" t="str">
        <f t="shared" si="247"/>
        <v/>
      </c>
      <c r="AK540" s="9" t="s">
        <v>102</v>
      </c>
      <c r="AL540" s="13">
        <f>IFERROR(INDEX('Balizador da Meta'!$D$3:$F$23,MATCH(Quantidade!$P540,'Balizador da Meta'!$C$3:$C$23,0),MATCH(Quantidade!AK540,'Balizador da Meta'!$D$2:$F$2,0)),"")</f>
        <v>0.25</v>
      </c>
      <c r="AM540" s="9"/>
    </row>
    <row r="541" spans="1:39" x14ac:dyDescent="0.3">
      <c r="A541" s="2" t="str">
        <f t="shared" si="244"/>
        <v>NÃO</v>
      </c>
      <c r="B541" s="2" t="str">
        <f>_xlfn.XLOOKUP($N541,'Base de Grupos'!$A:$A,'Base de Grupos'!$D:$D)</f>
        <v>1000065763</v>
      </c>
      <c r="C541" s="5" t="str">
        <f>_xlfn.XLOOKUP($N541,'Base de Grupos'!$A:$A,'Base de Grupos'!$E:$E)</f>
        <v>CANAL VENDA INTERNA</v>
      </c>
      <c r="D541" s="5" t="str">
        <f>_xlfn.XLOOKUP($N541,'Base de Grupos'!$A:$A,'Base de Grupos'!$F:$F)</f>
        <v>1000065763</v>
      </c>
      <c r="E541" s="2" t="str">
        <f>_xlfn.XLOOKUP($N541,'Base de Grupos'!$A:$A,'Base de Grupos'!$G:$G)</f>
        <v>CANAL VENDA INTERNA</v>
      </c>
      <c r="F541" s="2" t="str">
        <f>_xlfn.XLOOKUP($N541,'Base de Grupos'!$A:$A,'Base de Grupos'!$H:$H)</f>
        <v>1000153245</v>
      </c>
      <c r="G541" s="5" t="str">
        <f>_xlfn.XLOOKUP($N541,'Base de Grupos'!$A:$A,'Base de Grupos'!$I:$I)</f>
        <v>REGIONAL VENDA INTERNA - KEY ACCOUNT</v>
      </c>
      <c r="H541" s="5" t="str">
        <f>_xlfn.XLOOKUP($N541,'Base de Grupos'!$A:$A,'Base de Grupos'!$J:$J)</f>
        <v>1000153245</v>
      </c>
      <c r="I541" s="2" t="str">
        <f>_xlfn.XLOOKUP($N541,'Base de Grupos'!$A:$A,'Base de Grupos'!$K:$K)</f>
        <v>REGIONAL VENDA INTERNA - KEY ACCOUNT</v>
      </c>
      <c r="J541" s="2" t="str">
        <f>_xlfn.XLOOKUP($N541,'Base de Grupos'!$A:$A,'Base de Grupos'!$L:$L)</f>
        <v>1000153245</v>
      </c>
      <c r="K541" s="5" t="str">
        <f>_xlfn.XLOOKUP($N541,'Base de Grupos'!$A:$A,'Base de Grupos'!$M:$M)</f>
        <v>REGIONAL VENDA INTERNA - KEY ACCOUNT</v>
      </c>
      <c r="L541" s="5" t="str">
        <f t="shared" si="245"/>
        <v/>
      </c>
      <c r="M541" s="5" t="str">
        <f>_xlfn.XLOOKUP($N541,'Base de Grupos'!$A:$A,'Base de Grupos'!$C:$C)</f>
        <v>RS</v>
      </c>
      <c r="N541" s="3">
        <v>1429</v>
      </c>
      <c r="O541" s="4" t="s">
        <v>253</v>
      </c>
      <c r="P541" s="5" t="s">
        <v>95</v>
      </c>
      <c r="Q541" s="24">
        <v>0</v>
      </c>
      <c r="R541" s="24">
        <v>0</v>
      </c>
      <c r="S541" s="24">
        <v>0</v>
      </c>
      <c r="T541" s="24">
        <v>0</v>
      </c>
      <c r="U541" s="24">
        <v>0</v>
      </c>
      <c r="V541" s="24">
        <v>0</v>
      </c>
      <c r="W541" s="24">
        <v>0</v>
      </c>
      <c r="X541" s="24">
        <v>0</v>
      </c>
      <c r="Y541" s="24">
        <v>0</v>
      </c>
      <c r="Z541" s="24">
        <v>0</v>
      </c>
      <c r="AA541" s="24">
        <v>0</v>
      </c>
      <c r="AB541" s="24">
        <v>0</v>
      </c>
      <c r="AC541" s="30">
        <f t="shared" si="255"/>
        <v>0</v>
      </c>
      <c r="AD541" s="27">
        <f t="shared" si="249"/>
        <v>0</v>
      </c>
      <c r="AE541" s="25">
        <f>IFERROR(_xlfn.XLOOKUP(N541&amp;P541,'Historico Vendas'!G:G,'Historico Vendas'!E:E),0)</f>
        <v>0</v>
      </c>
      <c r="AF541" s="29" t="str">
        <f t="shared" si="246"/>
        <v/>
      </c>
      <c r="AG541" s="24">
        <f>IFERROR(_xlfn.XLOOKUP(N541&amp;P541,'Historico Vendas'!G:G,'Historico Vendas'!F:F),0)</f>
        <v>0</v>
      </c>
      <c r="AH541" s="25">
        <f t="shared" si="250"/>
        <v>0</v>
      </c>
      <c r="AI541" s="24">
        <f t="shared" si="251"/>
        <v>0</v>
      </c>
      <c r="AJ541" s="11" t="str">
        <f t="shared" si="247"/>
        <v/>
      </c>
      <c r="AK541" s="9" t="s">
        <v>102</v>
      </c>
      <c r="AL541" s="13">
        <f>IFERROR(INDEX('Balizador da Meta'!$D$3:$F$23,MATCH(Quantidade!$P541,'Balizador da Meta'!$C$3:$C$23,0),MATCH(Quantidade!AK541,'Balizador da Meta'!$D$2:$F$2,0)),"")</f>
        <v>0.25</v>
      </c>
      <c r="AM541" s="9"/>
    </row>
    <row r="542" spans="1:39" x14ac:dyDescent="0.3">
      <c r="A542" s="2" t="str">
        <f t="shared" si="244"/>
        <v>NÃO</v>
      </c>
      <c r="B542" s="2" t="str">
        <f>_xlfn.XLOOKUP($N542,'Base de Grupos'!$A:$A,'Base de Grupos'!$D:$D)</f>
        <v>1000065763</v>
      </c>
      <c r="C542" s="5" t="str">
        <f>_xlfn.XLOOKUP($N542,'Base de Grupos'!$A:$A,'Base de Grupos'!$E:$E)</f>
        <v>CANAL VENDA INTERNA</v>
      </c>
      <c r="D542" s="5" t="str">
        <f>_xlfn.XLOOKUP($N542,'Base de Grupos'!$A:$A,'Base de Grupos'!$F:$F)</f>
        <v>1000065763</v>
      </c>
      <c r="E542" s="2" t="str">
        <f>_xlfn.XLOOKUP($N542,'Base de Grupos'!$A:$A,'Base de Grupos'!$G:$G)</f>
        <v>CANAL VENDA INTERNA</v>
      </c>
      <c r="F542" s="2" t="str">
        <f>_xlfn.XLOOKUP($N542,'Base de Grupos'!$A:$A,'Base de Grupos'!$H:$H)</f>
        <v>1000153245</v>
      </c>
      <c r="G542" s="5" t="str">
        <f>_xlfn.XLOOKUP($N542,'Base de Grupos'!$A:$A,'Base de Grupos'!$I:$I)</f>
        <v>REGIONAL VENDA INTERNA - KEY ACCOUNT</v>
      </c>
      <c r="H542" s="5" t="str">
        <f>_xlfn.XLOOKUP($N542,'Base de Grupos'!$A:$A,'Base de Grupos'!$J:$J)</f>
        <v>1000153245</v>
      </c>
      <c r="I542" s="2" t="str">
        <f>_xlfn.XLOOKUP($N542,'Base de Grupos'!$A:$A,'Base de Grupos'!$K:$K)</f>
        <v>REGIONAL VENDA INTERNA - KEY ACCOUNT</v>
      </c>
      <c r="J542" s="2" t="str">
        <f>_xlfn.XLOOKUP($N542,'Base de Grupos'!$A:$A,'Base de Grupos'!$L:$L)</f>
        <v>1000153245</v>
      </c>
      <c r="K542" s="5" t="str">
        <f>_xlfn.XLOOKUP($N542,'Base de Grupos'!$A:$A,'Base de Grupos'!$M:$M)</f>
        <v>REGIONAL VENDA INTERNA - KEY ACCOUNT</v>
      </c>
      <c r="L542" s="5" t="str">
        <f t="shared" si="245"/>
        <v/>
      </c>
      <c r="M542" s="5" t="str">
        <f>_xlfn.XLOOKUP($N542,'Base de Grupos'!$A:$A,'Base de Grupos'!$C:$C)</f>
        <v>RS</v>
      </c>
      <c r="N542" s="3">
        <v>1429</v>
      </c>
      <c r="O542" s="4" t="s">
        <v>253</v>
      </c>
      <c r="P542" s="5" t="s">
        <v>93</v>
      </c>
      <c r="Q542" s="24">
        <v>0</v>
      </c>
      <c r="R542" s="24">
        <v>0</v>
      </c>
      <c r="S542" s="24">
        <v>0</v>
      </c>
      <c r="T542" s="24">
        <v>0</v>
      </c>
      <c r="U542" s="24">
        <v>0</v>
      </c>
      <c r="V542" s="24">
        <v>0</v>
      </c>
      <c r="W542" s="24">
        <v>0</v>
      </c>
      <c r="X542" s="24">
        <v>0</v>
      </c>
      <c r="Y542" s="24">
        <v>0</v>
      </c>
      <c r="Z542" s="24">
        <v>0</v>
      </c>
      <c r="AA542" s="24">
        <v>0</v>
      </c>
      <c r="AB542" s="24">
        <v>0</v>
      </c>
      <c r="AC542" s="30">
        <f t="shared" si="255"/>
        <v>0</v>
      </c>
      <c r="AD542" s="27">
        <f t="shared" si="249"/>
        <v>0</v>
      </c>
      <c r="AE542" s="25">
        <f>IFERROR(_xlfn.XLOOKUP(N542&amp;P542,'Historico Vendas'!G:G,'Historico Vendas'!E:E),0)</f>
        <v>0</v>
      </c>
      <c r="AF542" s="29" t="str">
        <f t="shared" si="246"/>
        <v/>
      </c>
      <c r="AG542" s="24">
        <f>IFERROR(_xlfn.XLOOKUP(N542&amp;P542,'Historico Vendas'!G:G,'Historico Vendas'!F:F),0)</f>
        <v>0</v>
      </c>
      <c r="AH542" s="25">
        <f t="shared" si="250"/>
        <v>0</v>
      </c>
      <c r="AI542" s="24">
        <f t="shared" si="251"/>
        <v>0</v>
      </c>
      <c r="AJ542" s="11" t="str">
        <f t="shared" si="247"/>
        <v/>
      </c>
      <c r="AK542" s="9" t="s">
        <v>102</v>
      </c>
      <c r="AL542" s="13">
        <f>IFERROR(INDEX('Balizador da Meta'!$D$3:$F$23,MATCH(Quantidade!$P542,'Balizador da Meta'!$C$3:$C$23,0),MATCH(Quantidade!AK542,'Balizador da Meta'!$D$2:$F$2,0)),"")</f>
        <v>0.2</v>
      </c>
      <c r="AM542" s="9"/>
    </row>
    <row r="543" spans="1:39" x14ac:dyDescent="0.3">
      <c r="A543" s="2" t="str">
        <f t="shared" si="244"/>
        <v>SIM</v>
      </c>
      <c r="B543" s="2" t="str">
        <f>_xlfn.XLOOKUP($N543,'Base de Grupos'!$A:$A,'Base de Grupos'!$D:$D)</f>
        <v>1000065763</v>
      </c>
      <c r="C543" s="5" t="str">
        <f>_xlfn.XLOOKUP($N543,'Base de Grupos'!$A:$A,'Base de Grupos'!$E:$E)</f>
        <v>CANAL VENDA INTERNA</v>
      </c>
      <c r="D543" s="5" t="str">
        <f>_xlfn.XLOOKUP($N543,'Base de Grupos'!$A:$A,'Base de Grupos'!$F:$F)</f>
        <v>1000065763</v>
      </c>
      <c r="E543" s="2" t="str">
        <f>_xlfn.XLOOKUP($N543,'Base de Grupos'!$A:$A,'Base de Grupos'!$G:$G)</f>
        <v>CANAL VENDA INTERNA</v>
      </c>
      <c r="F543" s="2" t="str">
        <f>_xlfn.XLOOKUP($N543,'Base de Grupos'!$A:$A,'Base de Grupos'!$H:$H)</f>
        <v>1000153245</v>
      </c>
      <c r="G543" s="5" t="str">
        <f>_xlfn.XLOOKUP($N543,'Base de Grupos'!$A:$A,'Base de Grupos'!$I:$I)</f>
        <v>REGIONAL VENDA INTERNA - KEY ACCOUNT</v>
      </c>
      <c r="H543" s="5" t="str">
        <f>_xlfn.XLOOKUP($N543,'Base de Grupos'!$A:$A,'Base de Grupos'!$J:$J)</f>
        <v>1000153245</v>
      </c>
      <c r="I543" s="2" t="str">
        <f>_xlfn.XLOOKUP($N543,'Base de Grupos'!$A:$A,'Base de Grupos'!$K:$K)</f>
        <v>REGIONAL VENDA INTERNA - KEY ACCOUNT</v>
      </c>
      <c r="J543" s="2" t="str">
        <f>_xlfn.XLOOKUP($N543,'Base de Grupos'!$A:$A,'Base de Grupos'!$L:$L)</f>
        <v>1000153245</v>
      </c>
      <c r="K543" s="5" t="str">
        <f>_xlfn.XLOOKUP($N543,'Base de Grupos'!$A:$A,'Base de Grupos'!$M:$M)</f>
        <v>REGIONAL VENDA INTERNA - KEY ACCOUNT</v>
      </c>
      <c r="L543" s="5">
        <f t="shared" si="245"/>
        <v>1</v>
      </c>
      <c r="M543" s="5" t="str">
        <f>_xlfn.XLOOKUP($N543,'Base de Grupos'!$A:$A,'Base de Grupos'!$C:$C)</f>
        <v>PI</v>
      </c>
      <c r="N543" s="3">
        <v>1430</v>
      </c>
      <c r="O543" s="4" t="s">
        <v>254</v>
      </c>
      <c r="P543" s="5" t="s">
        <v>324</v>
      </c>
      <c r="Q543" s="24">
        <v>0</v>
      </c>
      <c r="R543" s="24">
        <v>0</v>
      </c>
      <c r="S543" s="24">
        <v>0</v>
      </c>
      <c r="T543" s="24">
        <v>0</v>
      </c>
      <c r="U543" s="24">
        <v>0</v>
      </c>
      <c r="V543" s="24">
        <v>0</v>
      </c>
      <c r="W543" s="24">
        <v>0</v>
      </c>
      <c r="X543" s="24">
        <v>0</v>
      </c>
      <c r="Y543" s="24">
        <v>0</v>
      </c>
      <c r="Z543" s="24">
        <v>0</v>
      </c>
      <c r="AA543" s="24">
        <v>0</v>
      </c>
      <c r="AB543" s="24">
        <v>0</v>
      </c>
      <c r="AC543" s="30">
        <f t="shared" si="255"/>
        <v>0</v>
      </c>
      <c r="AD543" s="25">
        <f t="shared" ref="AD543:AI543" si="256">SUM(AD544:AD560)</f>
        <v>0</v>
      </c>
      <c r="AE543" s="25">
        <f t="shared" si="256"/>
        <v>0</v>
      </c>
      <c r="AF543" s="11" t="str">
        <f t="shared" si="246"/>
        <v/>
      </c>
      <c r="AG543" s="24">
        <f t="shared" si="256"/>
        <v>0</v>
      </c>
      <c r="AH543" s="25">
        <f t="shared" si="256"/>
        <v>679.2</v>
      </c>
      <c r="AI543" s="24">
        <f t="shared" si="256"/>
        <v>679.2</v>
      </c>
      <c r="AJ543" s="11">
        <f t="shared" si="247"/>
        <v>0</v>
      </c>
      <c r="AK543" s="9"/>
      <c r="AL543" s="13"/>
      <c r="AM543" s="9"/>
    </row>
    <row r="544" spans="1:39" x14ac:dyDescent="0.3">
      <c r="A544" s="2" t="str">
        <f t="shared" si="244"/>
        <v>NÃO</v>
      </c>
      <c r="B544" s="2" t="str">
        <f>_xlfn.XLOOKUP($N544,'Base de Grupos'!$A:$A,'Base de Grupos'!$D:$D)</f>
        <v>1000065763</v>
      </c>
      <c r="C544" s="5" t="str">
        <f>_xlfn.XLOOKUP($N544,'Base de Grupos'!$A:$A,'Base de Grupos'!$E:$E)</f>
        <v>CANAL VENDA INTERNA</v>
      </c>
      <c r="D544" s="5" t="str">
        <f>_xlfn.XLOOKUP($N544,'Base de Grupos'!$A:$A,'Base de Grupos'!$F:$F)</f>
        <v>1000065763</v>
      </c>
      <c r="E544" s="2" t="str">
        <f>_xlfn.XLOOKUP($N544,'Base de Grupos'!$A:$A,'Base de Grupos'!$G:$G)</f>
        <v>CANAL VENDA INTERNA</v>
      </c>
      <c r="F544" s="2" t="str">
        <f>_xlfn.XLOOKUP($N544,'Base de Grupos'!$A:$A,'Base de Grupos'!$H:$H)</f>
        <v>1000153245</v>
      </c>
      <c r="G544" s="5" t="str">
        <f>_xlfn.XLOOKUP($N544,'Base de Grupos'!$A:$A,'Base de Grupos'!$I:$I)</f>
        <v>REGIONAL VENDA INTERNA - KEY ACCOUNT</v>
      </c>
      <c r="H544" s="5" t="str">
        <f>_xlfn.XLOOKUP($N544,'Base de Grupos'!$A:$A,'Base de Grupos'!$J:$J)</f>
        <v>1000153245</v>
      </c>
      <c r="I544" s="2" t="str">
        <f>_xlfn.XLOOKUP($N544,'Base de Grupos'!$A:$A,'Base de Grupos'!$K:$K)</f>
        <v>REGIONAL VENDA INTERNA - KEY ACCOUNT</v>
      </c>
      <c r="J544" s="2" t="str">
        <f>_xlfn.XLOOKUP($N544,'Base de Grupos'!$A:$A,'Base de Grupos'!$L:$L)</f>
        <v>1000153245</v>
      </c>
      <c r="K544" s="5" t="str">
        <f>_xlfn.XLOOKUP($N544,'Base de Grupos'!$A:$A,'Base de Grupos'!$M:$M)</f>
        <v>REGIONAL VENDA INTERNA - KEY ACCOUNT</v>
      </c>
      <c r="L544" s="5" t="str">
        <f t="shared" si="245"/>
        <v/>
      </c>
      <c r="M544" s="5" t="str">
        <f>_xlfn.XLOOKUP($N544,'Base de Grupos'!$A:$A,'Base de Grupos'!$C:$C)</f>
        <v>PI</v>
      </c>
      <c r="N544" s="3">
        <v>1430</v>
      </c>
      <c r="O544" s="4" t="s">
        <v>254</v>
      </c>
      <c r="P544" s="5" t="s">
        <v>81</v>
      </c>
      <c r="Q544" s="24">
        <v>0</v>
      </c>
      <c r="R544" s="24">
        <v>0</v>
      </c>
      <c r="S544" s="24">
        <v>0</v>
      </c>
      <c r="T544" s="24">
        <v>0</v>
      </c>
      <c r="U544" s="24">
        <v>0</v>
      </c>
      <c r="V544" s="24">
        <v>0</v>
      </c>
      <c r="W544" s="24">
        <v>0</v>
      </c>
      <c r="X544" s="24">
        <v>0</v>
      </c>
      <c r="Y544" s="24">
        <v>0</v>
      </c>
      <c r="Z544" s="24">
        <v>0</v>
      </c>
      <c r="AA544" s="24">
        <v>0</v>
      </c>
      <c r="AB544" s="24">
        <v>0</v>
      </c>
      <c r="AC544" s="30">
        <f t="shared" si="255"/>
        <v>0</v>
      </c>
      <c r="AD544" s="27">
        <f t="shared" ref="AD544:AD560" si="257">IF(AC544=0,0,AC544-AG544)</f>
        <v>0</v>
      </c>
      <c r="AE544" s="25">
        <f>IFERROR(_xlfn.XLOOKUP(N544&amp;P544,'Historico Vendas'!G:G,'Historico Vendas'!E:E),0)</f>
        <v>0</v>
      </c>
      <c r="AF544" s="29" t="str">
        <f t="shared" si="246"/>
        <v/>
      </c>
      <c r="AG544" s="24">
        <f>IFERROR(_xlfn.XLOOKUP(N544&amp;P544,'Historico Vendas'!G:G,'Historico Vendas'!F:F),0)</f>
        <v>0</v>
      </c>
      <c r="AH544" s="25">
        <f t="shared" ref="AH544:AH560" si="258">SUM(Q544:S544)</f>
        <v>0</v>
      </c>
      <c r="AI544" s="24">
        <f t="shared" ref="AI544:AI560" si="259">AH544-AG544</f>
        <v>0</v>
      </c>
      <c r="AJ544" s="11" t="str">
        <f t="shared" si="247"/>
        <v/>
      </c>
      <c r="AK544" s="9" t="s">
        <v>102</v>
      </c>
      <c r="AL544" s="13">
        <f>IFERROR(INDEX('Balizador da Meta'!$D$3:$F$23,MATCH(Quantidade!$P544,'Balizador da Meta'!$C$3:$C$23,0),MATCH(Quantidade!AK544,'Balizador da Meta'!$D$2:$F$2,0)),"")</f>
        <v>0.2</v>
      </c>
      <c r="AM544" s="9"/>
    </row>
    <row r="545" spans="1:39" x14ac:dyDescent="0.3">
      <c r="A545" s="2" t="str">
        <f t="shared" si="244"/>
        <v>NÃO</v>
      </c>
      <c r="B545" s="2" t="str">
        <f>_xlfn.XLOOKUP($N545,'Base de Grupos'!$A:$A,'Base de Grupos'!$D:$D)</f>
        <v>1000065763</v>
      </c>
      <c r="C545" s="5" t="str">
        <f>_xlfn.XLOOKUP($N545,'Base de Grupos'!$A:$A,'Base de Grupos'!$E:$E)</f>
        <v>CANAL VENDA INTERNA</v>
      </c>
      <c r="D545" s="5" t="str">
        <f>_xlfn.XLOOKUP($N545,'Base de Grupos'!$A:$A,'Base de Grupos'!$F:$F)</f>
        <v>1000065763</v>
      </c>
      <c r="E545" s="2" t="str">
        <f>_xlfn.XLOOKUP($N545,'Base de Grupos'!$A:$A,'Base de Grupos'!$G:$G)</f>
        <v>CANAL VENDA INTERNA</v>
      </c>
      <c r="F545" s="2" t="str">
        <f>_xlfn.XLOOKUP($N545,'Base de Grupos'!$A:$A,'Base de Grupos'!$H:$H)</f>
        <v>1000153245</v>
      </c>
      <c r="G545" s="5" t="str">
        <f>_xlfn.XLOOKUP($N545,'Base de Grupos'!$A:$A,'Base de Grupos'!$I:$I)</f>
        <v>REGIONAL VENDA INTERNA - KEY ACCOUNT</v>
      </c>
      <c r="H545" s="5" t="str">
        <f>_xlfn.XLOOKUP($N545,'Base de Grupos'!$A:$A,'Base de Grupos'!$J:$J)</f>
        <v>1000153245</v>
      </c>
      <c r="I545" s="2" t="str">
        <f>_xlfn.XLOOKUP($N545,'Base de Grupos'!$A:$A,'Base de Grupos'!$K:$K)</f>
        <v>REGIONAL VENDA INTERNA - KEY ACCOUNT</v>
      </c>
      <c r="J545" s="2" t="str">
        <f>_xlfn.XLOOKUP($N545,'Base de Grupos'!$A:$A,'Base de Grupos'!$L:$L)</f>
        <v>1000153245</v>
      </c>
      <c r="K545" s="5" t="str">
        <f>_xlfn.XLOOKUP($N545,'Base de Grupos'!$A:$A,'Base de Grupos'!$M:$M)</f>
        <v>REGIONAL VENDA INTERNA - KEY ACCOUNT</v>
      </c>
      <c r="L545" s="5" t="str">
        <f t="shared" si="245"/>
        <v/>
      </c>
      <c r="M545" s="5" t="str">
        <f>_xlfn.XLOOKUP($N545,'Base de Grupos'!$A:$A,'Base de Grupos'!$C:$C)</f>
        <v>PI</v>
      </c>
      <c r="N545" s="3">
        <v>1430</v>
      </c>
      <c r="O545" s="4" t="s">
        <v>254</v>
      </c>
      <c r="P545" s="5" t="s">
        <v>82</v>
      </c>
      <c r="Q545" s="24">
        <v>0</v>
      </c>
      <c r="R545" s="24">
        <v>0</v>
      </c>
      <c r="S545" s="24">
        <v>0</v>
      </c>
      <c r="T545" s="24">
        <v>0</v>
      </c>
      <c r="U545" s="24">
        <v>0</v>
      </c>
      <c r="V545" s="24">
        <v>0</v>
      </c>
      <c r="W545" s="24">
        <v>0</v>
      </c>
      <c r="X545" s="24">
        <v>0</v>
      </c>
      <c r="Y545" s="24">
        <v>0</v>
      </c>
      <c r="Z545" s="24">
        <v>0</v>
      </c>
      <c r="AA545" s="24">
        <v>0</v>
      </c>
      <c r="AB545" s="24">
        <v>0</v>
      </c>
      <c r="AC545" s="30">
        <f t="shared" si="255"/>
        <v>0</v>
      </c>
      <c r="AD545" s="27">
        <f t="shared" si="257"/>
        <v>0</v>
      </c>
      <c r="AE545" s="25">
        <f>IFERROR(_xlfn.XLOOKUP(N545&amp;P545,'Historico Vendas'!G:G,'Historico Vendas'!E:E),0)</f>
        <v>0</v>
      </c>
      <c r="AF545" s="29" t="str">
        <f t="shared" si="246"/>
        <v/>
      </c>
      <c r="AG545" s="24">
        <f>IFERROR(_xlfn.XLOOKUP(N545&amp;P545,'Historico Vendas'!G:G,'Historico Vendas'!F:F),0)</f>
        <v>0</v>
      </c>
      <c r="AH545" s="25">
        <f t="shared" si="258"/>
        <v>0</v>
      </c>
      <c r="AI545" s="24">
        <f t="shared" si="259"/>
        <v>0</v>
      </c>
      <c r="AJ545" s="11" t="str">
        <f t="shared" si="247"/>
        <v/>
      </c>
      <c r="AK545" s="9" t="s">
        <v>102</v>
      </c>
      <c r="AL545" s="13">
        <f>IFERROR(INDEX('Balizador da Meta'!$D$3:$F$23,MATCH(Quantidade!$P545,'Balizador da Meta'!$C$3:$C$23,0),MATCH(Quantidade!AK545,'Balizador da Meta'!$D$2:$F$2,0)),"")</f>
        <v>0.2</v>
      </c>
      <c r="AM545" s="9"/>
    </row>
    <row r="546" spans="1:39" x14ac:dyDescent="0.3">
      <c r="A546" s="2" t="str">
        <f t="shared" si="244"/>
        <v>NÃO</v>
      </c>
      <c r="B546" s="2" t="str">
        <f>_xlfn.XLOOKUP($N546,'Base de Grupos'!$A:$A,'Base de Grupos'!$D:$D)</f>
        <v>1000065763</v>
      </c>
      <c r="C546" s="5" t="str">
        <f>_xlfn.XLOOKUP($N546,'Base de Grupos'!$A:$A,'Base de Grupos'!$E:$E)</f>
        <v>CANAL VENDA INTERNA</v>
      </c>
      <c r="D546" s="5" t="str">
        <f>_xlfn.XLOOKUP($N546,'Base de Grupos'!$A:$A,'Base de Grupos'!$F:$F)</f>
        <v>1000065763</v>
      </c>
      <c r="E546" s="2" t="str">
        <f>_xlfn.XLOOKUP($N546,'Base de Grupos'!$A:$A,'Base de Grupos'!$G:$G)</f>
        <v>CANAL VENDA INTERNA</v>
      </c>
      <c r="F546" s="2" t="str">
        <f>_xlfn.XLOOKUP($N546,'Base de Grupos'!$A:$A,'Base de Grupos'!$H:$H)</f>
        <v>1000153245</v>
      </c>
      <c r="G546" s="5" t="str">
        <f>_xlfn.XLOOKUP($N546,'Base de Grupos'!$A:$A,'Base de Grupos'!$I:$I)</f>
        <v>REGIONAL VENDA INTERNA - KEY ACCOUNT</v>
      </c>
      <c r="H546" s="5" t="str">
        <f>_xlfn.XLOOKUP($N546,'Base de Grupos'!$A:$A,'Base de Grupos'!$J:$J)</f>
        <v>1000153245</v>
      </c>
      <c r="I546" s="2" t="str">
        <f>_xlfn.XLOOKUP($N546,'Base de Grupos'!$A:$A,'Base de Grupos'!$K:$K)</f>
        <v>REGIONAL VENDA INTERNA - KEY ACCOUNT</v>
      </c>
      <c r="J546" s="2" t="str">
        <f>_xlfn.XLOOKUP($N546,'Base de Grupos'!$A:$A,'Base de Grupos'!$L:$L)</f>
        <v>1000153245</v>
      </c>
      <c r="K546" s="5" t="str">
        <f>_xlfn.XLOOKUP($N546,'Base de Grupos'!$A:$A,'Base de Grupos'!$M:$M)</f>
        <v>REGIONAL VENDA INTERNA - KEY ACCOUNT</v>
      </c>
      <c r="L546" s="5" t="str">
        <f t="shared" si="245"/>
        <v/>
      </c>
      <c r="M546" s="5" t="str">
        <f>_xlfn.XLOOKUP($N546,'Base de Grupos'!$A:$A,'Base de Grupos'!$C:$C)</f>
        <v>PI</v>
      </c>
      <c r="N546" s="3">
        <v>1430</v>
      </c>
      <c r="O546" s="4" t="s">
        <v>254</v>
      </c>
      <c r="P546" s="5" t="s">
        <v>84</v>
      </c>
      <c r="Q546" s="24">
        <v>0</v>
      </c>
      <c r="R546" s="24">
        <v>0</v>
      </c>
      <c r="S546" s="24">
        <v>0</v>
      </c>
      <c r="T546" s="24">
        <v>0</v>
      </c>
      <c r="U546" s="24">
        <v>0</v>
      </c>
      <c r="V546" s="24">
        <v>0</v>
      </c>
      <c r="W546" s="24">
        <v>0</v>
      </c>
      <c r="X546" s="24">
        <v>0</v>
      </c>
      <c r="Y546" s="24">
        <v>0</v>
      </c>
      <c r="Z546" s="24">
        <v>0</v>
      </c>
      <c r="AA546" s="24">
        <v>0</v>
      </c>
      <c r="AB546" s="24">
        <v>0</v>
      </c>
      <c r="AC546" s="30">
        <f t="shared" si="255"/>
        <v>0</v>
      </c>
      <c r="AD546" s="27">
        <f t="shared" si="257"/>
        <v>0</v>
      </c>
      <c r="AE546" s="25">
        <f>IFERROR(_xlfn.XLOOKUP(N546&amp;P546,'Historico Vendas'!G:G,'Historico Vendas'!E:E),0)</f>
        <v>0</v>
      </c>
      <c r="AF546" s="29" t="str">
        <f t="shared" si="246"/>
        <v/>
      </c>
      <c r="AG546" s="24">
        <f>IFERROR(_xlfn.XLOOKUP(N546&amp;P546,'Historico Vendas'!G:G,'Historico Vendas'!F:F),0)</f>
        <v>0</v>
      </c>
      <c r="AH546" s="25">
        <f t="shared" si="258"/>
        <v>0</v>
      </c>
      <c r="AI546" s="24">
        <f t="shared" si="259"/>
        <v>0</v>
      </c>
      <c r="AJ546" s="11" t="str">
        <f t="shared" si="247"/>
        <v/>
      </c>
      <c r="AK546" s="9" t="s">
        <v>102</v>
      </c>
      <c r="AL546" s="13">
        <f>IFERROR(INDEX('Balizador da Meta'!$D$3:$F$23,MATCH(Quantidade!$P546,'Balizador da Meta'!$C$3:$C$23,0),MATCH(Quantidade!AK546,'Balizador da Meta'!$D$2:$F$2,0)),"")</f>
        <v>0.15</v>
      </c>
      <c r="AM546" s="9"/>
    </row>
    <row r="547" spans="1:39" x14ac:dyDescent="0.3">
      <c r="A547" s="2" t="str">
        <f t="shared" si="244"/>
        <v>NÃO</v>
      </c>
      <c r="B547" s="2" t="str">
        <f>_xlfn.XLOOKUP($N547,'Base de Grupos'!$A:$A,'Base de Grupos'!$D:$D)</f>
        <v>1000065763</v>
      </c>
      <c r="C547" s="5" t="str">
        <f>_xlfn.XLOOKUP($N547,'Base de Grupos'!$A:$A,'Base de Grupos'!$E:$E)</f>
        <v>CANAL VENDA INTERNA</v>
      </c>
      <c r="D547" s="5" t="str">
        <f>_xlfn.XLOOKUP($N547,'Base de Grupos'!$A:$A,'Base de Grupos'!$F:$F)</f>
        <v>1000065763</v>
      </c>
      <c r="E547" s="2" t="str">
        <f>_xlfn.XLOOKUP($N547,'Base de Grupos'!$A:$A,'Base de Grupos'!$G:$G)</f>
        <v>CANAL VENDA INTERNA</v>
      </c>
      <c r="F547" s="2" t="str">
        <f>_xlfn.XLOOKUP($N547,'Base de Grupos'!$A:$A,'Base de Grupos'!$H:$H)</f>
        <v>1000153245</v>
      </c>
      <c r="G547" s="5" t="str">
        <f>_xlfn.XLOOKUP($N547,'Base de Grupos'!$A:$A,'Base de Grupos'!$I:$I)</f>
        <v>REGIONAL VENDA INTERNA - KEY ACCOUNT</v>
      </c>
      <c r="H547" s="5" t="str">
        <f>_xlfn.XLOOKUP($N547,'Base de Grupos'!$A:$A,'Base de Grupos'!$J:$J)</f>
        <v>1000153245</v>
      </c>
      <c r="I547" s="2" t="str">
        <f>_xlfn.XLOOKUP($N547,'Base de Grupos'!$A:$A,'Base de Grupos'!$K:$K)</f>
        <v>REGIONAL VENDA INTERNA - KEY ACCOUNT</v>
      </c>
      <c r="J547" s="2" t="str">
        <f>_xlfn.XLOOKUP($N547,'Base de Grupos'!$A:$A,'Base de Grupos'!$L:$L)</f>
        <v>1000153245</v>
      </c>
      <c r="K547" s="5" t="str">
        <f>_xlfn.XLOOKUP($N547,'Base de Grupos'!$A:$A,'Base de Grupos'!$M:$M)</f>
        <v>REGIONAL VENDA INTERNA - KEY ACCOUNT</v>
      </c>
      <c r="L547" s="5" t="str">
        <f t="shared" si="245"/>
        <v/>
      </c>
      <c r="M547" s="5" t="str">
        <f>_xlfn.XLOOKUP($N547,'Base de Grupos'!$A:$A,'Base de Grupos'!$C:$C)</f>
        <v>PI</v>
      </c>
      <c r="N547" s="3">
        <v>1430</v>
      </c>
      <c r="O547" s="4" t="s">
        <v>254</v>
      </c>
      <c r="P547" s="5" t="s">
        <v>83</v>
      </c>
      <c r="Q547" s="24">
        <v>0</v>
      </c>
      <c r="R547" s="24">
        <v>0</v>
      </c>
      <c r="S547" s="24">
        <v>0</v>
      </c>
      <c r="T547" s="24">
        <v>0</v>
      </c>
      <c r="U547" s="24">
        <v>0</v>
      </c>
      <c r="V547" s="24">
        <v>0</v>
      </c>
      <c r="W547" s="24">
        <v>0</v>
      </c>
      <c r="X547" s="24">
        <v>0</v>
      </c>
      <c r="Y547" s="24">
        <v>0</v>
      </c>
      <c r="Z547" s="24">
        <v>0</v>
      </c>
      <c r="AA547" s="24">
        <v>0</v>
      </c>
      <c r="AB547" s="24">
        <v>0</v>
      </c>
      <c r="AC547" s="30">
        <f t="shared" si="255"/>
        <v>0</v>
      </c>
      <c r="AD547" s="27">
        <f t="shared" si="257"/>
        <v>0</v>
      </c>
      <c r="AE547" s="25">
        <f>IFERROR(_xlfn.XLOOKUP(N547&amp;P547,'Historico Vendas'!G:G,'Historico Vendas'!E:E),0)</f>
        <v>0</v>
      </c>
      <c r="AF547" s="29" t="str">
        <f t="shared" si="246"/>
        <v/>
      </c>
      <c r="AG547" s="24">
        <f>IFERROR(_xlfn.XLOOKUP(N547&amp;P547,'Historico Vendas'!G:G,'Historico Vendas'!F:F),0)</f>
        <v>0</v>
      </c>
      <c r="AH547" s="25">
        <f t="shared" si="258"/>
        <v>0</v>
      </c>
      <c r="AI547" s="24">
        <f t="shared" si="259"/>
        <v>0</v>
      </c>
      <c r="AJ547" s="11" t="str">
        <f t="shared" si="247"/>
        <v/>
      </c>
      <c r="AK547" s="9" t="s">
        <v>102</v>
      </c>
      <c r="AL547" s="13">
        <f>IFERROR(INDEX('Balizador da Meta'!$D$3:$F$23,MATCH(Quantidade!$P547,'Balizador da Meta'!$C$3:$C$23,0),MATCH(Quantidade!AK547,'Balizador da Meta'!$D$2:$F$2,0)),"")</f>
        <v>0</v>
      </c>
      <c r="AM547" s="9"/>
    </row>
    <row r="548" spans="1:39" x14ac:dyDescent="0.3">
      <c r="A548" s="2" t="str">
        <f t="shared" si="244"/>
        <v>NÃO</v>
      </c>
      <c r="B548" s="2" t="str">
        <f>_xlfn.XLOOKUP($N548,'Base de Grupos'!$A:$A,'Base de Grupos'!$D:$D)</f>
        <v>1000065763</v>
      </c>
      <c r="C548" s="5" t="str">
        <f>_xlfn.XLOOKUP($N548,'Base de Grupos'!$A:$A,'Base de Grupos'!$E:$E)</f>
        <v>CANAL VENDA INTERNA</v>
      </c>
      <c r="D548" s="5" t="str">
        <f>_xlfn.XLOOKUP($N548,'Base de Grupos'!$A:$A,'Base de Grupos'!$F:$F)</f>
        <v>1000065763</v>
      </c>
      <c r="E548" s="2" t="str">
        <f>_xlfn.XLOOKUP($N548,'Base de Grupos'!$A:$A,'Base de Grupos'!$G:$G)</f>
        <v>CANAL VENDA INTERNA</v>
      </c>
      <c r="F548" s="2" t="str">
        <f>_xlfn.XLOOKUP($N548,'Base de Grupos'!$A:$A,'Base de Grupos'!$H:$H)</f>
        <v>1000153245</v>
      </c>
      <c r="G548" s="5" t="str">
        <f>_xlfn.XLOOKUP($N548,'Base de Grupos'!$A:$A,'Base de Grupos'!$I:$I)</f>
        <v>REGIONAL VENDA INTERNA - KEY ACCOUNT</v>
      </c>
      <c r="H548" s="5" t="str">
        <f>_xlfn.XLOOKUP($N548,'Base de Grupos'!$A:$A,'Base de Grupos'!$J:$J)</f>
        <v>1000153245</v>
      </c>
      <c r="I548" s="2" t="str">
        <f>_xlfn.XLOOKUP($N548,'Base de Grupos'!$A:$A,'Base de Grupos'!$K:$K)</f>
        <v>REGIONAL VENDA INTERNA - KEY ACCOUNT</v>
      </c>
      <c r="J548" s="2" t="str">
        <f>_xlfn.XLOOKUP($N548,'Base de Grupos'!$A:$A,'Base de Grupos'!$L:$L)</f>
        <v>1000153245</v>
      </c>
      <c r="K548" s="5" t="str">
        <f>_xlfn.XLOOKUP($N548,'Base de Grupos'!$A:$A,'Base de Grupos'!$M:$M)</f>
        <v>REGIONAL VENDA INTERNA - KEY ACCOUNT</v>
      </c>
      <c r="L548" s="5" t="str">
        <f t="shared" si="245"/>
        <v/>
      </c>
      <c r="M548" s="5" t="str">
        <f>_xlfn.XLOOKUP($N548,'Base de Grupos'!$A:$A,'Base de Grupos'!$C:$C)</f>
        <v>PI</v>
      </c>
      <c r="N548" s="3">
        <v>1430</v>
      </c>
      <c r="O548" s="4" t="s">
        <v>254</v>
      </c>
      <c r="P548" s="5" t="s">
        <v>87</v>
      </c>
      <c r="Q548" s="24">
        <v>0</v>
      </c>
      <c r="R548" s="24">
        <v>0</v>
      </c>
      <c r="S548" s="24">
        <v>0</v>
      </c>
      <c r="T548" s="24">
        <v>0</v>
      </c>
      <c r="U548" s="24">
        <v>0</v>
      </c>
      <c r="V548" s="24">
        <v>0</v>
      </c>
      <c r="W548" s="24">
        <v>0</v>
      </c>
      <c r="X548" s="24">
        <v>0</v>
      </c>
      <c r="Y548" s="24">
        <v>0</v>
      </c>
      <c r="Z548" s="24">
        <v>0</v>
      </c>
      <c r="AA548" s="24">
        <v>0</v>
      </c>
      <c r="AB548" s="24">
        <v>0</v>
      </c>
      <c r="AC548" s="30">
        <f t="shared" si="255"/>
        <v>0</v>
      </c>
      <c r="AD548" s="27">
        <f t="shared" si="257"/>
        <v>0</v>
      </c>
      <c r="AE548" s="25">
        <f>IFERROR(_xlfn.XLOOKUP(N548&amp;P548,'Historico Vendas'!G:G,'Historico Vendas'!E:E),0)</f>
        <v>0</v>
      </c>
      <c r="AF548" s="29" t="str">
        <f t="shared" si="246"/>
        <v/>
      </c>
      <c r="AG548" s="24">
        <f>IFERROR(_xlfn.XLOOKUP(N548&amp;P548,'Historico Vendas'!G:G,'Historico Vendas'!F:F),0)</f>
        <v>0</v>
      </c>
      <c r="AH548" s="25">
        <f t="shared" si="258"/>
        <v>0</v>
      </c>
      <c r="AI548" s="24">
        <f t="shared" si="259"/>
        <v>0</v>
      </c>
      <c r="AJ548" s="11" t="str">
        <f t="shared" si="247"/>
        <v/>
      </c>
      <c r="AK548" s="9" t="s">
        <v>102</v>
      </c>
      <c r="AL548" s="13">
        <f>IFERROR(INDEX('Balizador da Meta'!$D$3:$F$23,MATCH(Quantidade!$P548,'Balizador da Meta'!$C$3:$C$23,0),MATCH(Quantidade!AK548,'Balizador da Meta'!$D$2:$F$2,0)),"")</f>
        <v>0</v>
      </c>
      <c r="AM548" s="9"/>
    </row>
    <row r="549" spans="1:39" x14ac:dyDescent="0.3">
      <c r="A549" s="2" t="str">
        <f t="shared" si="244"/>
        <v>NÃO</v>
      </c>
      <c r="B549" s="2" t="str">
        <f>_xlfn.XLOOKUP($N549,'Base de Grupos'!$A:$A,'Base de Grupos'!$D:$D)</f>
        <v>1000065763</v>
      </c>
      <c r="C549" s="5" t="str">
        <f>_xlfn.XLOOKUP($N549,'Base de Grupos'!$A:$A,'Base de Grupos'!$E:$E)</f>
        <v>CANAL VENDA INTERNA</v>
      </c>
      <c r="D549" s="5" t="str">
        <f>_xlfn.XLOOKUP($N549,'Base de Grupos'!$A:$A,'Base de Grupos'!$F:$F)</f>
        <v>1000065763</v>
      </c>
      <c r="E549" s="2" t="str">
        <f>_xlfn.XLOOKUP($N549,'Base de Grupos'!$A:$A,'Base de Grupos'!$G:$G)</f>
        <v>CANAL VENDA INTERNA</v>
      </c>
      <c r="F549" s="2" t="str">
        <f>_xlfn.XLOOKUP($N549,'Base de Grupos'!$A:$A,'Base de Grupos'!$H:$H)</f>
        <v>1000153245</v>
      </c>
      <c r="G549" s="5" t="str">
        <f>_xlfn.XLOOKUP($N549,'Base de Grupos'!$A:$A,'Base de Grupos'!$I:$I)</f>
        <v>REGIONAL VENDA INTERNA - KEY ACCOUNT</v>
      </c>
      <c r="H549" s="5" t="str">
        <f>_xlfn.XLOOKUP($N549,'Base de Grupos'!$A:$A,'Base de Grupos'!$J:$J)</f>
        <v>1000153245</v>
      </c>
      <c r="I549" s="2" t="str">
        <f>_xlfn.XLOOKUP($N549,'Base de Grupos'!$A:$A,'Base de Grupos'!$K:$K)</f>
        <v>REGIONAL VENDA INTERNA - KEY ACCOUNT</v>
      </c>
      <c r="J549" s="2" t="str">
        <f>_xlfn.XLOOKUP($N549,'Base de Grupos'!$A:$A,'Base de Grupos'!$L:$L)</f>
        <v>1000153245</v>
      </c>
      <c r="K549" s="5" t="str">
        <f>_xlfn.XLOOKUP($N549,'Base de Grupos'!$A:$A,'Base de Grupos'!$M:$M)</f>
        <v>REGIONAL VENDA INTERNA - KEY ACCOUNT</v>
      </c>
      <c r="L549" s="5" t="str">
        <f t="shared" si="245"/>
        <v/>
      </c>
      <c r="M549" s="5" t="str">
        <f>_xlfn.XLOOKUP($N549,'Base de Grupos'!$A:$A,'Base de Grupos'!$C:$C)</f>
        <v>PI</v>
      </c>
      <c r="N549" s="3">
        <v>1430</v>
      </c>
      <c r="O549" s="4" t="s">
        <v>254</v>
      </c>
      <c r="P549" s="5" t="s">
        <v>85</v>
      </c>
      <c r="Q549" s="24">
        <v>0</v>
      </c>
      <c r="R549" s="24">
        <v>0</v>
      </c>
      <c r="S549" s="24">
        <v>0</v>
      </c>
      <c r="T549" s="24">
        <v>0</v>
      </c>
      <c r="U549" s="24">
        <v>0</v>
      </c>
      <c r="V549" s="24">
        <v>0</v>
      </c>
      <c r="W549" s="24">
        <v>0</v>
      </c>
      <c r="X549" s="24">
        <v>0</v>
      </c>
      <c r="Y549" s="24">
        <v>0</v>
      </c>
      <c r="Z549" s="24">
        <v>0</v>
      </c>
      <c r="AA549" s="24">
        <v>0</v>
      </c>
      <c r="AB549" s="24">
        <v>0</v>
      </c>
      <c r="AC549" s="30">
        <f t="shared" si="255"/>
        <v>0</v>
      </c>
      <c r="AD549" s="27">
        <f t="shared" si="257"/>
        <v>0</v>
      </c>
      <c r="AE549" s="25">
        <f>IFERROR(_xlfn.XLOOKUP(N549&amp;P549,'Historico Vendas'!G:G,'Historico Vendas'!E:E),0)</f>
        <v>0</v>
      </c>
      <c r="AF549" s="29" t="str">
        <f t="shared" si="246"/>
        <v/>
      </c>
      <c r="AG549" s="24">
        <f>IFERROR(_xlfn.XLOOKUP(N549&amp;P549,'Historico Vendas'!G:G,'Historico Vendas'!F:F),0)</f>
        <v>0</v>
      </c>
      <c r="AH549" s="25">
        <f t="shared" si="258"/>
        <v>0</v>
      </c>
      <c r="AI549" s="24">
        <f t="shared" si="259"/>
        <v>0</v>
      </c>
      <c r="AJ549" s="11" t="str">
        <f t="shared" si="247"/>
        <v/>
      </c>
      <c r="AK549" s="9" t="s">
        <v>102</v>
      </c>
      <c r="AL549" s="13">
        <f>IFERROR(INDEX('Balizador da Meta'!$D$3:$F$23,MATCH(Quantidade!$P549,'Balizador da Meta'!$C$3:$C$23,0),MATCH(Quantidade!AK549,'Balizador da Meta'!$D$2:$F$2,0)),"")</f>
        <v>0</v>
      </c>
      <c r="AM549" s="9"/>
    </row>
    <row r="550" spans="1:39" x14ac:dyDescent="0.3">
      <c r="A550" s="2" t="str">
        <f t="shared" si="244"/>
        <v>NÃO</v>
      </c>
      <c r="B550" s="2" t="str">
        <f>_xlfn.XLOOKUP($N550,'Base de Grupos'!$A:$A,'Base de Grupos'!$D:$D)</f>
        <v>1000065763</v>
      </c>
      <c r="C550" s="5" t="str">
        <f>_xlfn.XLOOKUP($N550,'Base de Grupos'!$A:$A,'Base de Grupos'!$E:$E)</f>
        <v>CANAL VENDA INTERNA</v>
      </c>
      <c r="D550" s="5" t="str">
        <f>_xlfn.XLOOKUP($N550,'Base de Grupos'!$A:$A,'Base de Grupos'!$F:$F)</f>
        <v>1000065763</v>
      </c>
      <c r="E550" s="2" t="str">
        <f>_xlfn.XLOOKUP($N550,'Base de Grupos'!$A:$A,'Base de Grupos'!$G:$G)</f>
        <v>CANAL VENDA INTERNA</v>
      </c>
      <c r="F550" s="2" t="str">
        <f>_xlfn.XLOOKUP($N550,'Base de Grupos'!$A:$A,'Base de Grupos'!$H:$H)</f>
        <v>1000153245</v>
      </c>
      <c r="G550" s="5" t="str">
        <f>_xlfn.XLOOKUP($N550,'Base de Grupos'!$A:$A,'Base de Grupos'!$I:$I)</f>
        <v>REGIONAL VENDA INTERNA - KEY ACCOUNT</v>
      </c>
      <c r="H550" s="5" t="str">
        <f>_xlfn.XLOOKUP($N550,'Base de Grupos'!$A:$A,'Base de Grupos'!$J:$J)</f>
        <v>1000153245</v>
      </c>
      <c r="I550" s="2" t="str">
        <f>_xlfn.XLOOKUP($N550,'Base de Grupos'!$A:$A,'Base de Grupos'!$K:$K)</f>
        <v>REGIONAL VENDA INTERNA - KEY ACCOUNT</v>
      </c>
      <c r="J550" s="2" t="str">
        <f>_xlfn.XLOOKUP($N550,'Base de Grupos'!$A:$A,'Base de Grupos'!$L:$L)</f>
        <v>1000153245</v>
      </c>
      <c r="K550" s="5" t="str">
        <f>_xlfn.XLOOKUP($N550,'Base de Grupos'!$A:$A,'Base de Grupos'!$M:$M)</f>
        <v>REGIONAL VENDA INTERNA - KEY ACCOUNT</v>
      </c>
      <c r="L550" s="5" t="str">
        <f t="shared" si="245"/>
        <v/>
      </c>
      <c r="M550" s="5" t="str">
        <f>_xlfn.XLOOKUP($N550,'Base de Grupos'!$A:$A,'Base de Grupos'!$C:$C)</f>
        <v>PI</v>
      </c>
      <c r="N550" s="3">
        <v>1430</v>
      </c>
      <c r="O550" s="4" t="s">
        <v>254</v>
      </c>
      <c r="P550" s="5" t="s">
        <v>92</v>
      </c>
      <c r="Q550" s="24">
        <v>0</v>
      </c>
      <c r="R550" s="24">
        <v>0</v>
      </c>
      <c r="S550" s="24">
        <v>0</v>
      </c>
      <c r="T550" s="24">
        <v>0</v>
      </c>
      <c r="U550" s="24">
        <v>0</v>
      </c>
      <c r="V550" s="24">
        <v>0</v>
      </c>
      <c r="W550" s="24">
        <v>0</v>
      </c>
      <c r="X550" s="24">
        <v>0</v>
      </c>
      <c r="Y550" s="24">
        <v>0</v>
      </c>
      <c r="Z550" s="24">
        <v>0</v>
      </c>
      <c r="AA550" s="24">
        <v>0</v>
      </c>
      <c r="AB550" s="24">
        <v>0</v>
      </c>
      <c r="AC550" s="30">
        <f t="shared" si="255"/>
        <v>0</v>
      </c>
      <c r="AD550" s="27">
        <f t="shared" si="257"/>
        <v>0</v>
      </c>
      <c r="AE550" s="25">
        <f>IFERROR(_xlfn.XLOOKUP(N550&amp;P550,'Historico Vendas'!G:G,'Historico Vendas'!E:E),0)</f>
        <v>0</v>
      </c>
      <c r="AF550" s="29" t="str">
        <f t="shared" si="246"/>
        <v/>
      </c>
      <c r="AG550" s="24">
        <f>IFERROR(_xlfn.XLOOKUP(N550&amp;P550,'Historico Vendas'!G:G,'Historico Vendas'!F:F),0)</f>
        <v>0</v>
      </c>
      <c r="AH550" s="25">
        <f t="shared" si="258"/>
        <v>0</v>
      </c>
      <c r="AI550" s="24">
        <f t="shared" si="259"/>
        <v>0</v>
      </c>
      <c r="AJ550" s="11" t="str">
        <f t="shared" si="247"/>
        <v/>
      </c>
      <c r="AK550" s="9" t="s">
        <v>102</v>
      </c>
      <c r="AL550" s="13">
        <f>IFERROR(INDEX('Balizador da Meta'!$D$3:$F$23,MATCH(Quantidade!$P550,'Balizador da Meta'!$C$3:$C$23,0),MATCH(Quantidade!AK550,'Balizador da Meta'!$D$2:$F$2,0)),"")</f>
        <v>0</v>
      </c>
      <c r="AM550" s="9"/>
    </row>
    <row r="551" spans="1:39" x14ac:dyDescent="0.3">
      <c r="A551" s="2" t="str">
        <f t="shared" si="244"/>
        <v>NÃO</v>
      </c>
      <c r="B551" s="2" t="str">
        <f>_xlfn.XLOOKUP($N551,'Base de Grupos'!$A:$A,'Base de Grupos'!$D:$D)</f>
        <v>1000065763</v>
      </c>
      <c r="C551" s="5" t="str">
        <f>_xlfn.XLOOKUP($N551,'Base de Grupos'!$A:$A,'Base de Grupos'!$E:$E)</f>
        <v>CANAL VENDA INTERNA</v>
      </c>
      <c r="D551" s="5" t="str">
        <f>_xlfn.XLOOKUP($N551,'Base de Grupos'!$A:$A,'Base de Grupos'!$F:$F)</f>
        <v>1000065763</v>
      </c>
      <c r="E551" s="2" t="str">
        <f>_xlfn.XLOOKUP($N551,'Base de Grupos'!$A:$A,'Base de Grupos'!$G:$G)</f>
        <v>CANAL VENDA INTERNA</v>
      </c>
      <c r="F551" s="2" t="str">
        <f>_xlfn.XLOOKUP($N551,'Base de Grupos'!$A:$A,'Base de Grupos'!$H:$H)</f>
        <v>1000153245</v>
      </c>
      <c r="G551" s="5" t="str">
        <f>_xlfn.XLOOKUP($N551,'Base de Grupos'!$A:$A,'Base de Grupos'!$I:$I)</f>
        <v>REGIONAL VENDA INTERNA - KEY ACCOUNT</v>
      </c>
      <c r="H551" s="5" t="str">
        <f>_xlfn.XLOOKUP($N551,'Base de Grupos'!$A:$A,'Base de Grupos'!$J:$J)</f>
        <v>1000153245</v>
      </c>
      <c r="I551" s="2" t="str">
        <f>_xlfn.XLOOKUP($N551,'Base de Grupos'!$A:$A,'Base de Grupos'!$K:$K)</f>
        <v>REGIONAL VENDA INTERNA - KEY ACCOUNT</v>
      </c>
      <c r="J551" s="2" t="str">
        <f>_xlfn.XLOOKUP($N551,'Base de Grupos'!$A:$A,'Base de Grupos'!$L:$L)</f>
        <v>1000153245</v>
      </c>
      <c r="K551" s="5" t="str">
        <f>_xlfn.XLOOKUP($N551,'Base de Grupos'!$A:$A,'Base de Grupos'!$M:$M)</f>
        <v>REGIONAL VENDA INTERNA - KEY ACCOUNT</v>
      </c>
      <c r="L551" s="5" t="str">
        <f t="shared" si="245"/>
        <v/>
      </c>
      <c r="M551" s="5" t="str">
        <f>_xlfn.XLOOKUP($N551,'Base de Grupos'!$A:$A,'Base de Grupos'!$C:$C)</f>
        <v>PI</v>
      </c>
      <c r="N551" s="3">
        <v>1430</v>
      </c>
      <c r="O551" s="4" t="s">
        <v>254</v>
      </c>
      <c r="P551" s="5" t="s">
        <v>86</v>
      </c>
      <c r="Q551" s="24">
        <v>0</v>
      </c>
      <c r="R551" s="24">
        <v>0</v>
      </c>
      <c r="S551" s="24">
        <v>0</v>
      </c>
      <c r="T551" s="24">
        <v>0</v>
      </c>
      <c r="U551" s="24">
        <v>0</v>
      </c>
      <c r="V551" s="24">
        <v>0</v>
      </c>
      <c r="W551" s="24">
        <v>0</v>
      </c>
      <c r="X551" s="24">
        <v>0</v>
      </c>
      <c r="Y551" s="24">
        <v>0</v>
      </c>
      <c r="Z551" s="24">
        <v>0</v>
      </c>
      <c r="AA551" s="24">
        <v>0</v>
      </c>
      <c r="AB551" s="24">
        <v>0</v>
      </c>
      <c r="AC551" s="30">
        <f t="shared" si="255"/>
        <v>0</v>
      </c>
      <c r="AD551" s="27">
        <f t="shared" si="257"/>
        <v>0</v>
      </c>
      <c r="AE551" s="25">
        <f>IFERROR(_xlfn.XLOOKUP(N551&amp;P551,'Historico Vendas'!G:G,'Historico Vendas'!E:E),0)</f>
        <v>0</v>
      </c>
      <c r="AF551" s="29" t="str">
        <f t="shared" si="246"/>
        <v/>
      </c>
      <c r="AG551" s="24">
        <f>IFERROR(_xlfn.XLOOKUP(N551&amp;P551,'Historico Vendas'!G:G,'Historico Vendas'!F:F),0)</f>
        <v>0</v>
      </c>
      <c r="AH551" s="25">
        <f t="shared" si="258"/>
        <v>0</v>
      </c>
      <c r="AI551" s="24">
        <f t="shared" si="259"/>
        <v>0</v>
      </c>
      <c r="AJ551" s="11" t="str">
        <f t="shared" si="247"/>
        <v/>
      </c>
      <c r="AK551" s="9" t="s">
        <v>102</v>
      </c>
      <c r="AL551" s="13">
        <f>IFERROR(INDEX('Balizador da Meta'!$D$3:$F$23,MATCH(Quantidade!$P551,'Balizador da Meta'!$C$3:$C$23,0),MATCH(Quantidade!AK551,'Balizador da Meta'!$D$2:$F$2,0)),"")</f>
        <v>0.15</v>
      </c>
      <c r="AM551" s="9"/>
    </row>
    <row r="552" spans="1:39" x14ac:dyDescent="0.3">
      <c r="A552" s="2" t="str">
        <f t="shared" si="244"/>
        <v>NÃO</v>
      </c>
      <c r="B552" s="2" t="str">
        <f>_xlfn.XLOOKUP($N552,'Base de Grupos'!$A:$A,'Base de Grupos'!$D:$D)</f>
        <v>1000065763</v>
      </c>
      <c r="C552" s="5" t="str">
        <f>_xlfn.XLOOKUP($N552,'Base de Grupos'!$A:$A,'Base de Grupos'!$E:$E)</f>
        <v>CANAL VENDA INTERNA</v>
      </c>
      <c r="D552" s="5" t="str">
        <f>_xlfn.XLOOKUP($N552,'Base de Grupos'!$A:$A,'Base de Grupos'!$F:$F)</f>
        <v>1000065763</v>
      </c>
      <c r="E552" s="2" t="str">
        <f>_xlfn.XLOOKUP($N552,'Base de Grupos'!$A:$A,'Base de Grupos'!$G:$G)</f>
        <v>CANAL VENDA INTERNA</v>
      </c>
      <c r="F552" s="2" t="str">
        <f>_xlfn.XLOOKUP($N552,'Base de Grupos'!$A:$A,'Base de Grupos'!$H:$H)</f>
        <v>1000153245</v>
      </c>
      <c r="G552" s="5" t="str">
        <f>_xlfn.XLOOKUP($N552,'Base de Grupos'!$A:$A,'Base de Grupos'!$I:$I)</f>
        <v>REGIONAL VENDA INTERNA - KEY ACCOUNT</v>
      </c>
      <c r="H552" s="5" t="str">
        <f>_xlfn.XLOOKUP($N552,'Base de Grupos'!$A:$A,'Base de Grupos'!$J:$J)</f>
        <v>1000153245</v>
      </c>
      <c r="I552" s="2" t="str">
        <f>_xlfn.XLOOKUP($N552,'Base de Grupos'!$A:$A,'Base de Grupos'!$K:$K)</f>
        <v>REGIONAL VENDA INTERNA - KEY ACCOUNT</v>
      </c>
      <c r="J552" s="2" t="str">
        <f>_xlfn.XLOOKUP($N552,'Base de Grupos'!$A:$A,'Base de Grupos'!$L:$L)</f>
        <v>1000153245</v>
      </c>
      <c r="K552" s="5" t="str">
        <f>_xlfn.XLOOKUP($N552,'Base de Grupos'!$A:$A,'Base de Grupos'!$M:$M)</f>
        <v>REGIONAL VENDA INTERNA - KEY ACCOUNT</v>
      </c>
      <c r="L552" s="5" t="str">
        <f t="shared" si="245"/>
        <v/>
      </c>
      <c r="M552" s="5" t="str">
        <f>_xlfn.XLOOKUP($N552,'Base de Grupos'!$A:$A,'Base de Grupos'!$C:$C)</f>
        <v>PI</v>
      </c>
      <c r="N552" s="3">
        <v>1430</v>
      </c>
      <c r="O552" s="4" t="s">
        <v>254</v>
      </c>
      <c r="P552" s="5" t="s">
        <v>108</v>
      </c>
      <c r="Q552" s="24">
        <v>0</v>
      </c>
      <c r="R552" s="24">
        <v>0</v>
      </c>
      <c r="S552" s="24">
        <v>0</v>
      </c>
      <c r="T552" s="24">
        <v>0</v>
      </c>
      <c r="U552" s="24">
        <v>0</v>
      </c>
      <c r="V552" s="24">
        <v>0</v>
      </c>
      <c r="W552" s="24">
        <v>0</v>
      </c>
      <c r="X552" s="24">
        <v>0</v>
      </c>
      <c r="Y552" s="24">
        <v>0</v>
      </c>
      <c r="Z552" s="24">
        <v>0</v>
      </c>
      <c r="AA552" s="24">
        <v>0</v>
      </c>
      <c r="AB552" s="24">
        <v>0</v>
      </c>
      <c r="AC552" s="30">
        <f t="shared" si="255"/>
        <v>0</v>
      </c>
      <c r="AD552" s="27">
        <f t="shared" si="257"/>
        <v>0</v>
      </c>
      <c r="AE552" s="25">
        <f>IFERROR(_xlfn.XLOOKUP(N552&amp;P552,'Historico Vendas'!G:G,'Historico Vendas'!E:E),0)</f>
        <v>0</v>
      </c>
      <c r="AF552" s="29" t="str">
        <f t="shared" si="246"/>
        <v/>
      </c>
      <c r="AG552" s="24">
        <f>IFERROR(_xlfn.XLOOKUP(N552&amp;P552,'Historico Vendas'!G:G,'Historico Vendas'!F:F),0)</f>
        <v>0</v>
      </c>
      <c r="AH552" s="25">
        <f t="shared" si="258"/>
        <v>0</v>
      </c>
      <c r="AI552" s="24">
        <f t="shared" si="259"/>
        <v>0</v>
      </c>
      <c r="AJ552" s="11" t="str">
        <f t="shared" si="247"/>
        <v/>
      </c>
      <c r="AK552" s="9" t="s">
        <v>102</v>
      </c>
      <c r="AL552" s="13">
        <f>IFERROR(INDEX('Balizador da Meta'!$D$3:$F$23,MATCH(Quantidade!$P552,'Balizador da Meta'!$C$3:$C$23,0),MATCH(Quantidade!AK552,'Balizador da Meta'!$D$2:$F$2,0)),"")</f>
        <v>0</v>
      </c>
      <c r="AM552" s="9"/>
    </row>
    <row r="553" spans="1:39" x14ac:dyDescent="0.3">
      <c r="A553" s="2" t="str">
        <f t="shared" si="244"/>
        <v>NÃO</v>
      </c>
      <c r="B553" s="2" t="str">
        <f>_xlfn.XLOOKUP($N553,'Base de Grupos'!$A:$A,'Base de Grupos'!$D:$D)</f>
        <v>1000065763</v>
      </c>
      <c r="C553" s="5" t="str">
        <f>_xlfn.XLOOKUP($N553,'Base de Grupos'!$A:$A,'Base de Grupos'!$E:$E)</f>
        <v>CANAL VENDA INTERNA</v>
      </c>
      <c r="D553" s="5" t="str">
        <f>_xlfn.XLOOKUP($N553,'Base de Grupos'!$A:$A,'Base de Grupos'!$F:$F)</f>
        <v>1000065763</v>
      </c>
      <c r="E553" s="2" t="str">
        <f>_xlfn.XLOOKUP($N553,'Base de Grupos'!$A:$A,'Base de Grupos'!$G:$G)</f>
        <v>CANAL VENDA INTERNA</v>
      </c>
      <c r="F553" s="2" t="str">
        <f>_xlfn.XLOOKUP($N553,'Base de Grupos'!$A:$A,'Base de Grupos'!$H:$H)</f>
        <v>1000153245</v>
      </c>
      <c r="G553" s="5" t="str">
        <f>_xlfn.XLOOKUP($N553,'Base de Grupos'!$A:$A,'Base de Grupos'!$I:$I)</f>
        <v>REGIONAL VENDA INTERNA - KEY ACCOUNT</v>
      </c>
      <c r="H553" s="5" t="str">
        <f>_xlfn.XLOOKUP($N553,'Base de Grupos'!$A:$A,'Base de Grupos'!$J:$J)</f>
        <v>1000153245</v>
      </c>
      <c r="I553" s="2" t="str">
        <f>_xlfn.XLOOKUP($N553,'Base de Grupos'!$A:$A,'Base de Grupos'!$K:$K)</f>
        <v>REGIONAL VENDA INTERNA - KEY ACCOUNT</v>
      </c>
      <c r="J553" s="2" t="str">
        <f>_xlfn.XLOOKUP($N553,'Base de Grupos'!$A:$A,'Base de Grupos'!$L:$L)</f>
        <v>1000153245</v>
      </c>
      <c r="K553" s="5" t="str">
        <f>_xlfn.XLOOKUP($N553,'Base de Grupos'!$A:$A,'Base de Grupos'!$M:$M)</f>
        <v>REGIONAL VENDA INTERNA - KEY ACCOUNT</v>
      </c>
      <c r="L553" s="5" t="str">
        <f t="shared" si="245"/>
        <v/>
      </c>
      <c r="M553" s="5" t="str">
        <f>_xlfn.XLOOKUP($N553,'Base de Grupos'!$A:$A,'Base de Grupos'!$C:$C)</f>
        <v>PI</v>
      </c>
      <c r="N553" s="3">
        <v>1430</v>
      </c>
      <c r="O553" s="4" t="s">
        <v>254</v>
      </c>
      <c r="P553" s="5" t="s">
        <v>89</v>
      </c>
      <c r="Q553" s="24">
        <f>SUM(Q554:Q574)</f>
        <v>0</v>
      </c>
      <c r="R553" s="24">
        <f t="shared" ref="R553" si="260">SUM(R554:R574)</f>
        <v>207.9</v>
      </c>
      <c r="S553" s="24">
        <f t="shared" ref="S553" si="261">SUM(S554:S574)</f>
        <v>235.3</v>
      </c>
      <c r="T553" s="24">
        <f t="shared" ref="T553:AC553" si="262">SUM(T554:T574)</f>
        <v>0</v>
      </c>
      <c r="U553" s="24">
        <f t="shared" si="262"/>
        <v>0</v>
      </c>
      <c r="V553" s="24">
        <f t="shared" si="262"/>
        <v>0</v>
      </c>
      <c r="W553" s="24">
        <f t="shared" si="262"/>
        <v>0</v>
      </c>
      <c r="X553" s="24">
        <f t="shared" si="262"/>
        <v>0</v>
      </c>
      <c r="Y553" s="24">
        <f t="shared" si="262"/>
        <v>0</v>
      </c>
      <c r="Z553" s="24">
        <f t="shared" si="262"/>
        <v>0</v>
      </c>
      <c r="AA553" s="24">
        <f t="shared" si="262"/>
        <v>0</v>
      </c>
      <c r="AB553" s="24">
        <f t="shared" si="262"/>
        <v>0</v>
      </c>
      <c r="AC553" s="24">
        <f t="shared" si="262"/>
        <v>0</v>
      </c>
      <c r="AD553" s="27">
        <f t="shared" si="257"/>
        <v>0</v>
      </c>
      <c r="AE553" s="25">
        <f>IFERROR(_xlfn.XLOOKUP(N553&amp;P553,'Historico Vendas'!G:G,'Historico Vendas'!E:E),0)</f>
        <v>0</v>
      </c>
      <c r="AF553" s="29" t="str">
        <f t="shared" si="246"/>
        <v/>
      </c>
      <c r="AG553" s="24">
        <f>IFERROR(_xlfn.XLOOKUP(N553&amp;P553,'Historico Vendas'!G:G,'Historico Vendas'!F:F),0)</f>
        <v>0</v>
      </c>
      <c r="AH553" s="25">
        <f t="shared" si="258"/>
        <v>443.20000000000005</v>
      </c>
      <c r="AI553" s="24">
        <f t="shared" si="259"/>
        <v>443.20000000000005</v>
      </c>
      <c r="AJ553" s="11">
        <f t="shared" si="247"/>
        <v>0</v>
      </c>
      <c r="AK553" s="9" t="s">
        <v>102</v>
      </c>
      <c r="AL553" s="13">
        <f>IFERROR(INDEX('Balizador da Meta'!$D$3:$F$23,MATCH(Quantidade!$P553,'Balizador da Meta'!$C$3:$C$23,0),MATCH(Quantidade!AK553,'Balizador da Meta'!$D$2:$F$2,0)),"")</f>
        <v>0.25</v>
      </c>
      <c r="AM553" s="9"/>
    </row>
    <row r="554" spans="1:39" x14ac:dyDescent="0.3">
      <c r="A554" s="2" t="str">
        <f t="shared" si="244"/>
        <v>NÃO</v>
      </c>
      <c r="B554" s="2" t="str">
        <f>_xlfn.XLOOKUP($N554,'Base de Grupos'!$A:$A,'Base de Grupos'!$D:$D)</f>
        <v>1000065763</v>
      </c>
      <c r="C554" s="5" t="str">
        <f>_xlfn.XLOOKUP($N554,'Base de Grupos'!$A:$A,'Base de Grupos'!$E:$E)</f>
        <v>CANAL VENDA INTERNA</v>
      </c>
      <c r="D554" s="5" t="str">
        <f>_xlfn.XLOOKUP($N554,'Base de Grupos'!$A:$A,'Base de Grupos'!$F:$F)</f>
        <v>1000065763</v>
      </c>
      <c r="E554" s="2" t="str">
        <f>_xlfn.XLOOKUP($N554,'Base de Grupos'!$A:$A,'Base de Grupos'!$G:$G)</f>
        <v>CANAL VENDA INTERNA</v>
      </c>
      <c r="F554" s="2" t="str">
        <f>_xlfn.XLOOKUP($N554,'Base de Grupos'!$A:$A,'Base de Grupos'!$H:$H)</f>
        <v>1000153245</v>
      </c>
      <c r="G554" s="5" t="str">
        <f>_xlfn.XLOOKUP($N554,'Base de Grupos'!$A:$A,'Base de Grupos'!$I:$I)</f>
        <v>REGIONAL VENDA INTERNA - KEY ACCOUNT</v>
      </c>
      <c r="H554" s="5" t="str">
        <f>_xlfn.XLOOKUP($N554,'Base de Grupos'!$A:$A,'Base de Grupos'!$J:$J)</f>
        <v>1000153245</v>
      </c>
      <c r="I554" s="2" t="str">
        <f>_xlfn.XLOOKUP($N554,'Base de Grupos'!$A:$A,'Base de Grupos'!$K:$K)</f>
        <v>REGIONAL VENDA INTERNA - KEY ACCOUNT</v>
      </c>
      <c r="J554" s="2" t="str">
        <f>_xlfn.XLOOKUP($N554,'Base de Grupos'!$A:$A,'Base de Grupos'!$L:$L)</f>
        <v>1000153245</v>
      </c>
      <c r="K554" s="5" t="str">
        <f>_xlfn.XLOOKUP($N554,'Base de Grupos'!$A:$A,'Base de Grupos'!$M:$M)</f>
        <v>REGIONAL VENDA INTERNA - KEY ACCOUNT</v>
      </c>
      <c r="L554" s="5" t="str">
        <f t="shared" si="245"/>
        <v/>
      </c>
      <c r="M554" s="5" t="str">
        <f>_xlfn.XLOOKUP($N554,'Base de Grupos'!$A:$A,'Base de Grupos'!$C:$C)</f>
        <v>PI</v>
      </c>
      <c r="N554" s="3">
        <v>1430</v>
      </c>
      <c r="O554" s="4" t="s">
        <v>254</v>
      </c>
      <c r="P554" s="5" t="s">
        <v>88</v>
      </c>
      <c r="Q554" s="24">
        <v>0</v>
      </c>
      <c r="R554" s="24">
        <v>24</v>
      </c>
      <c r="S554" s="24">
        <v>28</v>
      </c>
      <c r="T554" s="24">
        <v>0</v>
      </c>
      <c r="U554" s="24">
        <v>0</v>
      </c>
      <c r="V554" s="24">
        <v>0</v>
      </c>
      <c r="W554" s="24">
        <v>0</v>
      </c>
      <c r="X554" s="24">
        <v>0</v>
      </c>
      <c r="Y554" s="24">
        <v>0</v>
      </c>
      <c r="Z554" s="24">
        <v>0</v>
      </c>
      <c r="AA554" s="24">
        <v>0</v>
      </c>
      <c r="AB554" s="24">
        <v>0</v>
      </c>
      <c r="AC554" s="30">
        <f t="shared" ref="AC554:AC574" si="263">SUM(T554:AB554)</f>
        <v>0</v>
      </c>
      <c r="AD554" s="27">
        <f t="shared" si="257"/>
        <v>0</v>
      </c>
      <c r="AE554" s="25">
        <f>IFERROR(_xlfn.XLOOKUP(N554&amp;P554,'Historico Vendas'!G:G,'Historico Vendas'!E:E),0)</f>
        <v>0</v>
      </c>
      <c r="AF554" s="29" t="str">
        <f t="shared" si="246"/>
        <v/>
      </c>
      <c r="AG554" s="24">
        <f>IFERROR(_xlfn.XLOOKUP(N554&amp;P554,'Historico Vendas'!G:G,'Historico Vendas'!F:F),0)</f>
        <v>0</v>
      </c>
      <c r="AH554" s="25">
        <f t="shared" si="258"/>
        <v>52</v>
      </c>
      <c r="AI554" s="24">
        <f t="shared" si="259"/>
        <v>52</v>
      </c>
      <c r="AJ554" s="11">
        <f t="shared" si="247"/>
        <v>0</v>
      </c>
      <c r="AK554" s="9" t="s">
        <v>102</v>
      </c>
      <c r="AL554" s="13">
        <f>IFERROR(INDEX('Balizador da Meta'!$D$3:$F$23,MATCH(Quantidade!$P554,'Balizador da Meta'!$C$3:$C$23,0),MATCH(Quantidade!AK554,'Balizador da Meta'!$D$2:$F$2,0)),"")</f>
        <v>0</v>
      </c>
      <c r="AM554" s="9"/>
    </row>
    <row r="555" spans="1:39" x14ac:dyDescent="0.3">
      <c r="A555" s="2" t="str">
        <f t="shared" si="244"/>
        <v>NÃO</v>
      </c>
      <c r="B555" s="2" t="str">
        <f>_xlfn.XLOOKUP($N555,'Base de Grupos'!$A:$A,'Base de Grupos'!$D:$D)</f>
        <v>1000065763</v>
      </c>
      <c r="C555" s="5" t="str">
        <f>_xlfn.XLOOKUP($N555,'Base de Grupos'!$A:$A,'Base de Grupos'!$E:$E)</f>
        <v>CANAL VENDA INTERNA</v>
      </c>
      <c r="D555" s="5" t="str">
        <f>_xlfn.XLOOKUP($N555,'Base de Grupos'!$A:$A,'Base de Grupos'!$F:$F)</f>
        <v>1000065763</v>
      </c>
      <c r="E555" s="2" t="str">
        <f>_xlfn.XLOOKUP($N555,'Base de Grupos'!$A:$A,'Base de Grupos'!$G:$G)</f>
        <v>CANAL VENDA INTERNA</v>
      </c>
      <c r="F555" s="2" t="str">
        <f>_xlfn.XLOOKUP($N555,'Base de Grupos'!$A:$A,'Base de Grupos'!$H:$H)</f>
        <v>1000153245</v>
      </c>
      <c r="G555" s="5" t="str">
        <f>_xlfn.XLOOKUP($N555,'Base de Grupos'!$A:$A,'Base de Grupos'!$I:$I)</f>
        <v>REGIONAL VENDA INTERNA - KEY ACCOUNT</v>
      </c>
      <c r="H555" s="5" t="str">
        <f>_xlfn.XLOOKUP($N555,'Base de Grupos'!$A:$A,'Base de Grupos'!$J:$J)</f>
        <v>1000153245</v>
      </c>
      <c r="I555" s="2" t="str">
        <f>_xlfn.XLOOKUP($N555,'Base de Grupos'!$A:$A,'Base de Grupos'!$K:$K)</f>
        <v>REGIONAL VENDA INTERNA - KEY ACCOUNT</v>
      </c>
      <c r="J555" s="2" t="str">
        <f>_xlfn.XLOOKUP($N555,'Base de Grupos'!$A:$A,'Base de Grupos'!$L:$L)</f>
        <v>1000153245</v>
      </c>
      <c r="K555" s="5" t="str">
        <f>_xlfn.XLOOKUP($N555,'Base de Grupos'!$A:$A,'Base de Grupos'!$M:$M)</f>
        <v>REGIONAL VENDA INTERNA - KEY ACCOUNT</v>
      </c>
      <c r="L555" s="5" t="str">
        <f t="shared" si="245"/>
        <v/>
      </c>
      <c r="M555" s="5" t="str">
        <f>_xlfn.XLOOKUP($N555,'Base de Grupos'!$A:$A,'Base de Grupos'!$C:$C)</f>
        <v>PI</v>
      </c>
      <c r="N555" s="3">
        <v>1430</v>
      </c>
      <c r="O555" s="4" t="s">
        <v>254</v>
      </c>
      <c r="P555" s="5" t="s">
        <v>90</v>
      </c>
      <c r="Q555" s="24">
        <v>0</v>
      </c>
      <c r="R555" s="24">
        <v>33</v>
      </c>
      <c r="S555" s="24">
        <v>38</v>
      </c>
      <c r="T555" s="24">
        <v>0</v>
      </c>
      <c r="U555" s="24">
        <v>0</v>
      </c>
      <c r="V555" s="24">
        <v>0</v>
      </c>
      <c r="W555" s="24">
        <v>0</v>
      </c>
      <c r="X555" s="24">
        <v>0</v>
      </c>
      <c r="Y555" s="24">
        <v>0</v>
      </c>
      <c r="Z555" s="24">
        <v>0</v>
      </c>
      <c r="AA555" s="24">
        <v>0</v>
      </c>
      <c r="AB555" s="24">
        <v>0</v>
      </c>
      <c r="AC555" s="30">
        <f t="shared" si="263"/>
        <v>0</v>
      </c>
      <c r="AD555" s="27">
        <f t="shared" si="257"/>
        <v>0</v>
      </c>
      <c r="AE555" s="25">
        <f>IFERROR(_xlfn.XLOOKUP(N555&amp;P555,'Historico Vendas'!G:G,'Historico Vendas'!E:E),0)</f>
        <v>0</v>
      </c>
      <c r="AF555" s="29" t="str">
        <f t="shared" si="246"/>
        <v/>
      </c>
      <c r="AG555" s="24">
        <f>IFERROR(_xlfn.XLOOKUP(N555&amp;P555,'Historico Vendas'!G:G,'Historico Vendas'!F:F),0)</f>
        <v>0</v>
      </c>
      <c r="AH555" s="25">
        <f t="shared" si="258"/>
        <v>71</v>
      </c>
      <c r="AI555" s="24">
        <f t="shared" si="259"/>
        <v>71</v>
      </c>
      <c r="AJ555" s="11">
        <f t="shared" si="247"/>
        <v>0</v>
      </c>
      <c r="AK555" s="9" t="s">
        <v>102</v>
      </c>
      <c r="AL555" s="13">
        <f>IFERROR(INDEX('Balizador da Meta'!$D$3:$F$23,MATCH(Quantidade!$P555,'Balizador da Meta'!$C$3:$C$23,0),MATCH(Quantidade!AK555,'Balizador da Meta'!$D$2:$F$2,0)),"")</f>
        <v>0</v>
      </c>
      <c r="AM555" s="9"/>
    </row>
    <row r="556" spans="1:39" x14ac:dyDescent="0.3">
      <c r="A556" s="2" t="str">
        <f t="shared" si="244"/>
        <v>NÃO</v>
      </c>
      <c r="B556" s="2" t="str">
        <f>_xlfn.XLOOKUP($N556,'Base de Grupos'!$A:$A,'Base de Grupos'!$D:$D)</f>
        <v>1000065763</v>
      </c>
      <c r="C556" s="5" t="str">
        <f>_xlfn.XLOOKUP($N556,'Base de Grupos'!$A:$A,'Base de Grupos'!$E:$E)</f>
        <v>CANAL VENDA INTERNA</v>
      </c>
      <c r="D556" s="5" t="str">
        <f>_xlfn.XLOOKUP($N556,'Base de Grupos'!$A:$A,'Base de Grupos'!$F:$F)</f>
        <v>1000065763</v>
      </c>
      <c r="E556" s="2" t="str">
        <f>_xlfn.XLOOKUP($N556,'Base de Grupos'!$A:$A,'Base de Grupos'!$G:$G)</f>
        <v>CANAL VENDA INTERNA</v>
      </c>
      <c r="F556" s="2" t="str">
        <f>_xlfn.XLOOKUP($N556,'Base de Grupos'!$A:$A,'Base de Grupos'!$H:$H)</f>
        <v>1000153245</v>
      </c>
      <c r="G556" s="5" t="str">
        <f>_xlfn.XLOOKUP($N556,'Base de Grupos'!$A:$A,'Base de Grupos'!$I:$I)</f>
        <v>REGIONAL VENDA INTERNA - KEY ACCOUNT</v>
      </c>
      <c r="H556" s="5" t="str">
        <f>_xlfn.XLOOKUP($N556,'Base de Grupos'!$A:$A,'Base de Grupos'!$J:$J)</f>
        <v>1000153245</v>
      </c>
      <c r="I556" s="2" t="str">
        <f>_xlfn.XLOOKUP($N556,'Base de Grupos'!$A:$A,'Base de Grupos'!$K:$K)</f>
        <v>REGIONAL VENDA INTERNA - KEY ACCOUNT</v>
      </c>
      <c r="J556" s="2" t="str">
        <f>_xlfn.XLOOKUP($N556,'Base de Grupos'!$A:$A,'Base de Grupos'!$L:$L)</f>
        <v>1000153245</v>
      </c>
      <c r="K556" s="5" t="str">
        <f>_xlfn.XLOOKUP($N556,'Base de Grupos'!$A:$A,'Base de Grupos'!$M:$M)</f>
        <v>REGIONAL VENDA INTERNA - KEY ACCOUNT</v>
      </c>
      <c r="L556" s="5" t="str">
        <f t="shared" si="245"/>
        <v/>
      </c>
      <c r="M556" s="5" t="str">
        <f>_xlfn.XLOOKUP($N556,'Base de Grupos'!$A:$A,'Base de Grupos'!$C:$C)</f>
        <v>PI</v>
      </c>
      <c r="N556" s="3">
        <v>1430</v>
      </c>
      <c r="O556" s="4" t="s">
        <v>254</v>
      </c>
      <c r="P556" s="5" t="s">
        <v>91</v>
      </c>
      <c r="Q556" s="24">
        <v>0</v>
      </c>
      <c r="R556" s="24">
        <v>16</v>
      </c>
      <c r="S556" s="24">
        <v>18</v>
      </c>
      <c r="T556" s="24">
        <v>0</v>
      </c>
      <c r="U556" s="24">
        <v>0</v>
      </c>
      <c r="V556" s="24">
        <v>0</v>
      </c>
      <c r="W556" s="24">
        <v>0</v>
      </c>
      <c r="X556" s="24">
        <v>0</v>
      </c>
      <c r="Y556" s="24">
        <v>0</v>
      </c>
      <c r="Z556" s="24">
        <v>0</v>
      </c>
      <c r="AA556" s="24">
        <v>0</v>
      </c>
      <c r="AB556" s="24">
        <v>0</v>
      </c>
      <c r="AC556" s="30">
        <f t="shared" si="263"/>
        <v>0</v>
      </c>
      <c r="AD556" s="27">
        <f t="shared" si="257"/>
        <v>0</v>
      </c>
      <c r="AE556" s="25">
        <f>IFERROR(_xlfn.XLOOKUP(N556&amp;P556,'Historico Vendas'!G:G,'Historico Vendas'!E:E),0)</f>
        <v>0</v>
      </c>
      <c r="AF556" s="29" t="str">
        <f t="shared" si="246"/>
        <v/>
      </c>
      <c r="AG556" s="24">
        <f>IFERROR(_xlfn.XLOOKUP(N556&amp;P556,'Historico Vendas'!G:G,'Historico Vendas'!F:F),0)</f>
        <v>0</v>
      </c>
      <c r="AH556" s="25">
        <f t="shared" si="258"/>
        <v>34</v>
      </c>
      <c r="AI556" s="24">
        <f t="shared" si="259"/>
        <v>34</v>
      </c>
      <c r="AJ556" s="11">
        <f t="shared" si="247"/>
        <v>0</v>
      </c>
      <c r="AK556" s="9" t="s">
        <v>102</v>
      </c>
      <c r="AL556" s="13">
        <f>IFERROR(INDEX('Balizador da Meta'!$D$3:$F$23,MATCH(Quantidade!$P556,'Balizador da Meta'!$C$3:$C$23,0),MATCH(Quantidade!AK556,'Balizador da Meta'!$D$2:$F$2,0)),"")</f>
        <v>0</v>
      </c>
      <c r="AM556" s="9"/>
    </row>
    <row r="557" spans="1:39" x14ac:dyDescent="0.3">
      <c r="A557" s="2" t="str">
        <f t="shared" si="244"/>
        <v>NÃO</v>
      </c>
      <c r="B557" s="2" t="str">
        <f>_xlfn.XLOOKUP($N557,'Base de Grupos'!$A:$A,'Base de Grupos'!$D:$D)</f>
        <v>1000065763</v>
      </c>
      <c r="C557" s="5" t="str">
        <f>_xlfn.XLOOKUP($N557,'Base de Grupos'!$A:$A,'Base de Grupos'!$E:$E)</f>
        <v>CANAL VENDA INTERNA</v>
      </c>
      <c r="D557" s="5" t="str">
        <f>_xlfn.XLOOKUP($N557,'Base de Grupos'!$A:$A,'Base de Grupos'!$F:$F)</f>
        <v>1000065763</v>
      </c>
      <c r="E557" s="2" t="str">
        <f>_xlfn.XLOOKUP($N557,'Base de Grupos'!$A:$A,'Base de Grupos'!$G:$G)</f>
        <v>CANAL VENDA INTERNA</v>
      </c>
      <c r="F557" s="2" t="str">
        <f>_xlfn.XLOOKUP($N557,'Base de Grupos'!$A:$A,'Base de Grupos'!$H:$H)</f>
        <v>1000153245</v>
      </c>
      <c r="G557" s="5" t="str">
        <f>_xlfn.XLOOKUP($N557,'Base de Grupos'!$A:$A,'Base de Grupos'!$I:$I)</f>
        <v>REGIONAL VENDA INTERNA - KEY ACCOUNT</v>
      </c>
      <c r="H557" s="5" t="str">
        <f>_xlfn.XLOOKUP($N557,'Base de Grupos'!$A:$A,'Base de Grupos'!$J:$J)</f>
        <v>1000153245</v>
      </c>
      <c r="I557" s="2" t="str">
        <f>_xlfn.XLOOKUP($N557,'Base de Grupos'!$A:$A,'Base de Grupos'!$K:$K)</f>
        <v>REGIONAL VENDA INTERNA - KEY ACCOUNT</v>
      </c>
      <c r="J557" s="2" t="str">
        <f>_xlfn.XLOOKUP($N557,'Base de Grupos'!$A:$A,'Base de Grupos'!$L:$L)</f>
        <v>1000153245</v>
      </c>
      <c r="K557" s="5" t="str">
        <f>_xlfn.XLOOKUP($N557,'Base de Grupos'!$A:$A,'Base de Grupos'!$M:$M)</f>
        <v>REGIONAL VENDA INTERNA - KEY ACCOUNT</v>
      </c>
      <c r="L557" s="5" t="str">
        <f t="shared" si="245"/>
        <v/>
      </c>
      <c r="M557" s="5" t="str">
        <f>_xlfn.XLOOKUP($N557,'Base de Grupos'!$A:$A,'Base de Grupos'!$C:$C)</f>
        <v>PI</v>
      </c>
      <c r="N557" s="3">
        <v>1430</v>
      </c>
      <c r="O557" s="4" t="s">
        <v>254</v>
      </c>
      <c r="P557" s="5" t="s">
        <v>96</v>
      </c>
      <c r="Q557" s="24">
        <v>0</v>
      </c>
      <c r="R557" s="24">
        <v>16</v>
      </c>
      <c r="S557" s="24">
        <v>18</v>
      </c>
      <c r="T557" s="24">
        <v>0</v>
      </c>
      <c r="U557" s="24">
        <v>0</v>
      </c>
      <c r="V557" s="24">
        <v>0</v>
      </c>
      <c r="W557" s="24">
        <v>0</v>
      </c>
      <c r="X557" s="24">
        <v>0</v>
      </c>
      <c r="Y557" s="24">
        <v>0</v>
      </c>
      <c r="Z557" s="24">
        <v>0</v>
      </c>
      <c r="AA557" s="24">
        <v>0</v>
      </c>
      <c r="AB557" s="24">
        <v>0</v>
      </c>
      <c r="AC557" s="30">
        <f t="shared" si="263"/>
        <v>0</v>
      </c>
      <c r="AD557" s="27">
        <f t="shared" si="257"/>
        <v>0</v>
      </c>
      <c r="AE557" s="25">
        <f>IFERROR(_xlfn.XLOOKUP(N557&amp;P557,'Historico Vendas'!G:G,'Historico Vendas'!E:E),0)</f>
        <v>0</v>
      </c>
      <c r="AF557" s="29" t="str">
        <f t="shared" si="246"/>
        <v/>
      </c>
      <c r="AG557" s="24">
        <f>IFERROR(_xlfn.XLOOKUP(N557&amp;P557,'Historico Vendas'!G:G,'Historico Vendas'!F:F),0)</f>
        <v>0</v>
      </c>
      <c r="AH557" s="25">
        <f t="shared" si="258"/>
        <v>34</v>
      </c>
      <c r="AI557" s="24">
        <f t="shared" si="259"/>
        <v>34</v>
      </c>
      <c r="AJ557" s="11">
        <f t="shared" si="247"/>
        <v>0</v>
      </c>
      <c r="AK557" s="9" t="s">
        <v>102</v>
      </c>
      <c r="AL557" s="13">
        <f>IFERROR(INDEX('Balizador da Meta'!$D$3:$F$23,MATCH(Quantidade!$P557,'Balizador da Meta'!$C$3:$C$23,0),MATCH(Quantidade!AK557,'Balizador da Meta'!$D$2:$F$2,0)),"")</f>
        <v>0</v>
      </c>
      <c r="AM557" s="9"/>
    </row>
    <row r="558" spans="1:39" x14ac:dyDescent="0.3">
      <c r="A558" s="2" t="str">
        <f t="shared" si="244"/>
        <v>NÃO</v>
      </c>
      <c r="B558" s="2" t="str">
        <f>_xlfn.XLOOKUP($N558,'Base de Grupos'!$A:$A,'Base de Grupos'!$D:$D)</f>
        <v>1000065763</v>
      </c>
      <c r="C558" s="5" t="str">
        <f>_xlfn.XLOOKUP($N558,'Base de Grupos'!$A:$A,'Base de Grupos'!$E:$E)</f>
        <v>CANAL VENDA INTERNA</v>
      </c>
      <c r="D558" s="5" t="str">
        <f>_xlfn.XLOOKUP($N558,'Base de Grupos'!$A:$A,'Base de Grupos'!$F:$F)</f>
        <v>1000065763</v>
      </c>
      <c r="E558" s="2" t="str">
        <f>_xlfn.XLOOKUP($N558,'Base de Grupos'!$A:$A,'Base de Grupos'!$G:$G)</f>
        <v>CANAL VENDA INTERNA</v>
      </c>
      <c r="F558" s="2" t="str">
        <f>_xlfn.XLOOKUP($N558,'Base de Grupos'!$A:$A,'Base de Grupos'!$H:$H)</f>
        <v>1000153245</v>
      </c>
      <c r="G558" s="5" t="str">
        <f>_xlfn.XLOOKUP($N558,'Base de Grupos'!$A:$A,'Base de Grupos'!$I:$I)</f>
        <v>REGIONAL VENDA INTERNA - KEY ACCOUNT</v>
      </c>
      <c r="H558" s="5" t="str">
        <f>_xlfn.XLOOKUP($N558,'Base de Grupos'!$A:$A,'Base de Grupos'!$J:$J)</f>
        <v>1000153245</v>
      </c>
      <c r="I558" s="2" t="str">
        <f>_xlfn.XLOOKUP($N558,'Base de Grupos'!$A:$A,'Base de Grupos'!$K:$K)</f>
        <v>REGIONAL VENDA INTERNA - KEY ACCOUNT</v>
      </c>
      <c r="J558" s="2" t="str">
        <f>_xlfn.XLOOKUP($N558,'Base de Grupos'!$A:$A,'Base de Grupos'!$L:$L)</f>
        <v>1000153245</v>
      </c>
      <c r="K558" s="5" t="str">
        <f>_xlfn.XLOOKUP($N558,'Base de Grupos'!$A:$A,'Base de Grupos'!$M:$M)</f>
        <v>REGIONAL VENDA INTERNA - KEY ACCOUNT</v>
      </c>
      <c r="L558" s="5" t="str">
        <f t="shared" si="245"/>
        <v/>
      </c>
      <c r="M558" s="5" t="str">
        <f>_xlfn.XLOOKUP($N558,'Base de Grupos'!$A:$A,'Base de Grupos'!$C:$C)</f>
        <v>PI</v>
      </c>
      <c r="N558" s="3">
        <v>1430</v>
      </c>
      <c r="O558" s="4" t="s">
        <v>254</v>
      </c>
      <c r="P558" s="5" t="s">
        <v>94</v>
      </c>
      <c r="Q558" s="24">
        <v>0</v>
      </c>
      <c r="R558" s="24">
        <v>6</v>
      </c>
      <c r="S558" s="24">
        <v>6</v>
      </c>
      <c r="T558" s="24">
        <v>0</v>
      </c>
      <c r="U558" s="24">
        <v>0</v>
      </c>
      <c r="V558" s="24">
        <v>0</v>
      </c>
      <c r="W558" s="24">
        <v>0</v>
      </c>
      <c r="X558" s="24">
        <v>0</v>
      </c>
      <c r="Y558" s="24">
        <v>0</v>
      </c>
      <c r="Z558" s="24">
        <v>0</v>
      </c>
      <c r="AA558" s="24">
        <v>0</v>
      </c>
      <c r="AB558" s="24">
        <v>0</v>
      </c>
      <c r="AC558" s="30">
        <f t="shared" si="263"/>
        <v>0</v>
      </c>
      <c r="AD558" s="27">
        <f t="shared" si="257"/>
        <v>0</v>
      </c>
      <c r="AE558" s="25">
        <f>IFERROR(_xlfn.XLOOKUP(N558&amp;P558,'Historico Vendas'!G:G,'Historico Vendas'!E:E),0)</f>
        <v>0</v>
      </c>
      <c r="AF558" s="29" t="str">
        <f t="shared" si="246"/>
        <v/>
      </c>
      <c r="AG558" s="24">
        <f>IFERROR(_xlfn.XLOOKUP(N558&amp;P558,'Historico Vendas'!G:G,'Historico Vendas'!F:F),0)</f>
        <v>0</v>
      </c>
      <c r="AH558" s="25">
        <f t="shared" si="258"/>
        <v>12</v>
      </c>
      <c r="AI558" s="24">
        <f t="shared" si="259"/>
        <v>12</v>
      </c>
      <c r="AJ558" s="11">
        <f t="shared" si="247"/>
        <v>0</v>
      </c>
      <c r="AK558" s="9" t="s">
        <v>102</v>
      </c>
      <c r="AL558" s="13">
        <f>IFERROR(INDEX('Balizador da Meta'!$D$3:$F$23,MATCH(Quantidade!$P558,'Balizador da Meta'!$C$3:$C$23,0),MATCH(Quantidade!AK558,'Balizador da Meta'!$D$2:$F$2,0)),"")</f>
        <v>0.25</v>
      </c>
      <c r="AM558" s="9"/>
    </row>
    <row r="559" spans="1:39" x14ac:dyDescent="0.3">
      <c r="A559" s="2" t="str">
        <f t="shared" si="244"/>
        <v>NÃO</v>
      </c>
      <c r="B559" s="2" t="str">
        <f>_xlfn.XLOOKUP($N559,'Base de Grupos'!$A:$A,'Base de Grupos'!$D:$D)</f>
        <v>1000065763</v>
      </c>
      <c r="C559" s="5" t="str">
        <f>_xlfn.XLOOKUP($N559,'Base de Grupos'!$A:$A,'Base de Grupos'!$E:$E)</f>
        <v>CANAL VENDA INTERNA</v>
      </c>
      <c r="D559" s="5" t="str">
        <f>_xlfn.XLOOKUP($N559,'Base de Grupos'!$A:$A,'Base de Grupos'!$F:$F)</f>
        <v>1000065763</v>
      </c>
      <c r="E559" s="2" t="str">
        <f>_xlfn.XLOOKUP($N559,'Base de Grupos'!$A:$A,'Base de Grupos'!$G:$G)</f>
        <v>CANAL VENDA INTERNA</v>
      </c>
      <c r="F559" s="2" t="str">
        <f>_xlfn.XLOOKUP($N559,'Base de Grupos'!$A:$A,'Base de Grupos'!$H:$H)</f>
        <v>1000153245</v>
      </c>
      <c r="G559" s="5" t="str">
        <f>_xlfn.XLOOKUP($N559,'Base de Grupos'!$A:$A,'Base de Grupos'!$I:$I)</f>
        <v>REGIONAL VENDA INTERNA - KEY ACCOUNT</v>
      </c>
      <c r="H559" s="5" t="str">
        <f>_xlfn.XLOOKUP($N559,'Base de Grupos'!$A:$A,'Base de Grupos'!$J:$J)</f>
        <v>1000153245</v>
      </c>
      <c r="I559" s="2" t="str">
        <f>_xlfn.XLOOKUP($N559,'Base de Grupos'!$A:$A,'Base de Grupos'!$K:$K)</f>
        <v>REGIONAL VENDA INTERNA - KEY ACCOUNT</v>
      </c>
      <c r="J559" s="2" t="str">
        <f>_xlfn.XLOOKUP($N559,'Base de Grupos'!$A:$A,'Base de Grupos'!$L:$L)</f>
        <v>1000153245</v>
      </c>
      <c r="K559" s="5" t="str">
        <f>_xlfn.XLOOKUP($N559,'Base de Grupos'!$A:$A,'Base de Grupos'!$M:$M)</f>
        <v>REGIONAL VENDA INTERNA - KEY ACCOUNT</v>
      </c>
      <c r="L559" s="5" t="str">
        <f t="shared" si="245"/>
        <v/>
      </c>
      <c r="M559" s="5" t="str">
        <f>_xlfn.XLOOKUP($N559,'Base de Grupos'!$A:$A,'Base de Grupos'!$C:$C)</f>
        <v>PI</v>
      </c>
      <c r="N559" s="3">
        <v>1430</v>
      </c>
      <c r="O559" s="4" t="s">
        <v>254</v>
      </c>
      <c r="P559" s="5" t="s">
        <v>95</v>
      </c>
      <c r="Q559" s="24">
        <v>0</v>
      </c>
      <c r="R559" s="24">
        <v>11</v>
      </c>
      <c r="S559" s="24">
        <v>13</v>
      </c>
      <c r="T559" s="24">
        <v>0</v>
      </c>
      <c r="U559" s="24">
        <v>0</v>
      </c>
      <c r="V559" s="24">
        <v>0</v>
      </c>
      <c r="W559" s="24">
        <v>0</v>
      </c>
      <c r="X559" s="24">
        <v>0</v>
      </c>
      <c r="Y559" s="24">
        <v>0</v>
      </c>
      <c r="Z559" s="24">
        <v>0</v>
      </c>
      <c r="AA559" s="24">
        <v>0</v>
      </c>
      <c r="AB559" s="24">
        <v>0</v>
      </c>
      <c r="AC559" s="30">
        <f t="shared" si="263"/>
        <v>0</v>
      </c>
      <c r="AD559" s="27">
        <f t="shared" si="257"/>
        <v>0</v>
      </c>
      <c r="AE559" s="25">
        <f>IFERROR(_xlfn.XLOOKUP(N559&amp;P559,'Historico Vendas'!G:G,'Historico Vendas'!E:E),0)</f>
        <v>0</v>
      </c>
      <c r="AF559" s="29" t="str">
        <f t="shared" si="246"/>
        <v/>
      </c>
      <c r="AG559" s="24">
        <f>IFERROR(_xlfn.XLOOKUP(N559&amp;P559,'Historico Vendas'!G:G,'Historico Vendas'!F:F),0)</f>
        <v>0</v>
      </c>
      <c r="AH559" s="25">
        <f t="shared" si="258"/>
        <v>24</v>
      </c>
      <c r="AI559" s="24">
        <f t="shared" si="259"/>
        <v>24</v>
      </c>
      <c r="AJ559" s="11">
        <f t="shared" si="247"/>
        <v>0</v>
      </c>
      <c r="AK559" s="9" t="s">
        <v>102</v>
      </c>
      <c r="AL559" s="13">
        <f>IFERROR(INDEX('Balizador da Meta'!$D$3:$F$23,MATCH(Quantidade!$P559,'Balizador da Meta'!$C$3:$C$23,0),MATCH(Quantidade!AK559,'Balizador da Meta'!$D$2:$F$2,0)),"")</f>
        <v>0.25</v>
      </c>
      <c r="AM559" s="9"/>
    </row>
    <row r="560" spans="1:39" x14ac:dyDescent="0.3">
      <c r="A560" s="2" t="str">
        <f t="shared" si="244"/>
        <v>NÃO</v>
      </c>
      <c r="B560" s="2" t="str">
        <f>_xlfn.XLOOKUP($N560,'Base de Grupos'!$A:$A,'Base de Grupos'!$D:$D)</f>
        <v>1000065763</v>
      </c>
      <c r="C560" s="5" t="str">
        <f>_xlfn.XLOOKUP($N560,'Base de Grupos'!$A:$A,'Base de Grupos'!$E:$E)</f>
        <v>CANAL VENDA INTERNA</v>
      </c>
      <c r="D560" s="5" t="str">
        <f>_xlfn.XLOOKUP($N560,'Base de Grupos'!$A:$A,'Base de Grupos'!$F:$F)</f>
        <v>1000065763</v>
      </c>
      <c r="E560" s="2" t="str">
        <f>_xlfn.XLOOKUP($N560,'Base de Grupos'!$A:$A,'Base de Grupos'!$G:$G)</f>
        <v>CANAL VENDA INTERNA</v>
      </c>
      <c r="F560" s="2" t="str">
        <f>_xlfn.XLOOKUP($N560,'Base de Grupos'!$A:$A,'Base de Grupos'!$H:$H)</f>
        <v>1000153245</v>
      </c>
      <c r="G560" s="5" t="str">
        <f>_xlfn.XLOOKUP($N560,'Base de Grupos'!$A:$A,'Base de Grupos'!$I:$I)</f>
        <v>REGIONAL VENDA INTERNA - KEY ACCOUNT</v>
      </c>
      <c r="H560" s="5" t="str">
        <f>_xlfn.XLOOKUP($N560,'Base de Grupos'!$A:$A,'Base de Grupos'!$J:$J)</f>
        <v>1000153245</v>
      </c>
      <c r="I560" s="2" t="str">
        <f>_xlfn.XLOOKUP($N560,'Base de Grupos'!$A:$A,'Base de Grupos'!$K:$K)</f>
        <v>REGIONAL VENDA INTERNA - KEY ACCOUNT</v>
      </c>
      <c r="J560" s="2" t="str">
        <f>_xlfn.XLOOKUP($N560,'Base de Grupos'!$A:$A,'Base de Grupos'!$L:$L)</f>
        <v>1000153245</v>
      </c>
      <c r="K560" s="5" t="str">
        <f>_xlfn.XLOOKUP($N560,'Base de Grupos'!$A:$A,'Base de Grupos'!$M:$M)</f>
        <v>REGIONAL VENDA INTERNA - KEY ACCOUNT</v>
      </c>
      <c r="L560" s="5" t="str">
        <f t="shared" si="245"/>
        <v/>
      </c>
      <c r="M560" s="5" t="str">
        <f>_xlfn.XLOOKUP($N560,'Base de Grupos'!$A:$A,'Base de Grupos'!$C:$C)</f>
        <v>PI</v>
      </c>
      <c r="N560" s="3">
        <v>1430</v>
      </c>
      <c r="O560" s="4" t="s">
        <v>254</v>
      </c>
      <c r="P560" s="5" t="s">
        <v>93</v>
      </c>
      <c r="Q560" s="24">
        <v>0</v>
      </c>
      <c r="R560" s="24">
        <v>4</v>
      </c>
      <c r="S560" s="24">
        <v>5</v>
      </c>
      <c r="T560" s="24">
        <v>0</v>
      </c>
      <c r="U560" s="24">
        <v>0</v>
      </c>
      <c r="V560" s="24">
        <v>0</v>
      </c>
      <c r="W560" s="24">
        <v>0</v>
      </c>
      <c r="X560" s="24">
        <v>0</v>
      </c>
      <c r="Y560" s="24">
        <v>0</v>
      </c>
      <c r="Z560" s="24">
        <v>0</v>
      </c>
      <c r="AA560" s="24">
        <v>0</v>
      </c>
      <c r="AB560" s="24">
        <v>0</v>
      </c>
      <c r="AC560" s="30">
        <f t="shared" si="263"/>
        <v>0</v>
      </c>
      <c r="AD560" s="27">
        <f t="shared" si="257"/>
        <v>0</v>
      </c>
      <c r="AE560" s="25">
        <f>IFERROR(_xlfn.XLOOKUP(N560&amp;P560,'Historico Vendas'!G:G,'Historico Vendas'!E:E),0)</f>
        <v>0</v>
      </c>
      <c r="AF560" s="29" t="str">
        <f t="shared" si="246"/>
        <v/>
      </c>
      <c r="AG560" s="24">
        <f>IFERROR(_xlfn.XLOOKUP(N560&amp;P560,'Historico Vendas'!G:G,'Historico Vendas'!F:F),0)</f>
        <v>0</v>
      </c>
      <c r="AH560" s="25">
        <f t="shared" si="258"/>
        <v>9</v>
      </c>
      <c r="AI560" s="24">
        <f t="shared" si="259"/>
        <v>9</v>
      </c>
      <c r="AJ560" s="11">
        <f t="shared" si="247"/>
        <v>0</v>
      </c>
      <c r="AK560" s="9" t="s">
        <v>102</v>
      </c>
      <c r="AL560" s="13">
        <f>IFERROR(INDEX('Balizador da Meta'!$D$3:$F$23,MATCH(Quantidade!$P560,'Balizador da Meta'!$C$3:$C$23,0),MATCH(Quantidade!AK560,'Balizador da Meta'!$D$2:$F$2,0)),"")</f>
        <v>0.2</v>
      </c>
      <c r="AM560" s="9"/>
    </row>
    <row r="561" spans="1:39" x14ac:dyDescent="0.3">
      <c r="A561" s="2" t="str">
        <f t="shared" si="244"/>
        <v>SIM</v>
      </c>
      <c r="B561" s="2" t="str">
        <f>_xlfn.XLOOKUP($N561,'Base de Grupos'!$A:$A,'Base de Grupos'!$D:$D)</f>
        <v>1000065763</v>
      </c>
      <c r="C561" s="5" t="str">
        <f>_xlfn.XLOOKUP($N561,'Base de Grupos'!$A:$A,'Base de Grupos'!$E:$E)</f>
        <v>CANAL VENDA INTERNA</v>
      </c>
      <c r="D561" s="5" t="str">
        <f>_xlfn.XLOOKUP($N561,'Base de Grupos'!$A:$A,'Base de Grupos'!$F:$F)</f>
        <v>1000065763</v>
      </c>
      <c r="E561" s="2" t="str">
        <f>_xlfn.XLOOKUP($N561,'Base de Grupos'!$A:$A,'Base de Grupos'!$G:$G)</f>
        <v>CANAL VENDA INTERNA</v>
      </c>
      <c r="F561" s="2" t="str">
        <f>_xlfn.XLOOKUP($N561,'Base de Grupos'!$A:$A,'Base de Grupos'!$H:$H)</f>
        <v>1000153245</v>
      </c>
      <c r="G561" s="5" t="str">
        <f>_xlfn.XLOOKUP($N561,'Base de Grupos'!$A:$A,'Base de Grupos'!$I:$I)</f>
        <v>REGIONAL VENDA INTERNA - KEY ACCOUNT</v>
      </c>
      <c r="H561" s="5" t="str">
        <f>_xlfn.XLOOKUP($N561,'Base de Grupos'!$A:$A,'Base de Grupos'!$J:$J)</f>
        <v>1000153245</v>
      </c>
      <c r="I561" s="2" t="str">
        <f>_xlfn.XLOOKUP($N561,'Base de Grupos'!$A:$A,'Base de Grupos'!$K:$K)</f>
        <v>REGIONAL VENDA INTERNA - KEY ACCOUNT</v>
      </c>
      <c r="J561" s="2" t="str">
        <f>_xlfn.XLOOKUP($N561,'Base de Grupos'!$A:$A,'Base de Grupos'!$L:$L)</f>
        <v>1000153245</v>
      </c>
      <c r="K561" s="5" t="str">
        <f>_xlfn.XLOOKUP($N561,'Base de Grupos'!$A:$A,'Base de Grupos'!$M:$M)</f>
        <v>REGIONAL VENDA INTERNA - KEY ACCOUNT</v>
      </c>
      <c r="L561" s="5">
        <f t="shared" si="245"/>
        <v>1</v>
      </c>
      <c r="M561" s="5" t="str">
        <f>_xlfn.XLOOKUP($N561,'Base de Grupos'!$A:$A,'Base de Grupos'!$C:$C)</f>
        <v>SC</v>
      </c>
      <c r="N561" s="3">
        <v>1431</v>
      </c>
      <c r="O561" s="4" t="s">
        <v>255</v>
      </c>
      <c r="P561" s="5" t="s">
        <v>325</v>
      </c>
      <c r="Q561" s="24">
        <v>0</v>
      </c>
      <c r="R561" s="24">
        <v>6</v>
      </c>
      <c r="S561" s="24">
        <v>8</v>
      </c>
      <c r="T561" s="24">
        <v>0</v>
      </c>
      <c r="U561" s="24">
        <v>0</v>
      </c>
      <c r="V561" s="24">
        <v>0</v>
      </c>
      <c r="W561" s="24">
        <v>0</v>
      </c>
      <c r="X561" s="24">
        <v>0</v>
      </c>
      <c r="Y561" s="24">
        <v>0</v>
      </c>
      <c r="Z561" s="24">
        <v>0</v>
      </c>
      <c r="AA561" s="24">
        <v>0</v>
      </c>
      <c r="AB561" s="24">
        <v>0</v>
      </c>
      <c r="AC561" s="30">
        <f t="shared" si="263"/>
        <v>0</v>
      </c>
      <c r="AD561" s="25">
        <f t="shared" ref="AD561:AI561" si="264">SUM(AD562:AD578)</f>
        <v>0</v>
      </c>
      <c r="AE561" s="25">
        <f t="shared" si="264"/>
        <v>0</v>
      </c>
      <c r="AF561" s="11" t="str">
        <f t="shared" si="246"/>
        <v/>
      </c>
      <c r="AG561" s="24">
        <f t="shared" si="264"/>
        <v>0</v>
      </c>
      <c r="AH561" s="25">
        <f t="shared" si="264"/>
        <v>928.5</v>
      </c>
      <c r="AI561" s="24">
        <f t="shared" si="264"/>
        <v>928.5</v>
      </c>
      <c r="AJ561" s="11">
        <f t="shared" si="247"/>
        <v>0</v>
      </c>
      <c r="AK561" s="9"/>
      <c r="AL561" s="13"/>
      <c r="AM561" s="9"/>
    </row>
    <row r="562" spans="1:39" x14ac:dyDescent="0.3">
      <c r="A562" s="2" t="str">
        <f t="shared" si="244"/>
        <v>NÃO</v>
      </c>
      <c r="B562" s="2" t="str">
        <f>_xlfn.XLOOKUP($N562,'Base de Grupos'!$A:$A,'Base de Grupos'!$D:$D)</f>
        <v>1000065763</v>
      </c>
      <c r="C562" s="5" t="str">
        <f>_xlfn.XLOOKUP($N562,'Base de Grupos'!$A:$A,'Base de Grupos'!$E:$E)</f>
        <v>CANAL VENDA INTERNA</v>
      </c>
      <c r="D562" s="5" t="str">
        <f>_xlfn.XLOOKUP($N562,'Base de Grupos'!$A:$A,'Base de Grupos'!$F:$F)</f>
        <v>1000065763</v>
      </c>
      <c r="E562" s="2" t="str">
        <f>_xlfn.XLOOKUP($N562,'Base de Grupos'!$A:$A,'Base de Grupos'!$G:$G)</f>
        <v>CANAL VENDA INTERNA</v>
      </c>
      <c r="F562" s="2" t="str">
        <f>_xlfn.XLOOKUP($N562,'Base de Grupos'!$A:$A,'Base de Grupos'!$H:$H)</f>
        <v>1000153245</v>
      </c>
      <c r="G562" s="5" t="str">
        <f>_xlfn.XLOOKUP($N562,'Base de Grupos'!$A:$A,'Base de Grupos'!$I:$I)</f>
        <v>REGIONAL VENDA INTERNA - KEY ACCOUNT</v>
      </c>
      <c r="H562" s="5" t="str">
        <f>_xlfn.XLOOKUP($N562,'Base de Grupos'!$A:$A,'Base de Grupos'!$J:$J)</f>
        <v>1000153245</v>
      </c>
      <c r="I562" s="2" t="str">
        <f>_xlfn.XLOOKUP($N562,'Base de Grupos'!$A:$A,'Base de Grupos'!$K:$K)</f>
        <v>REGIONAL VENDA INTERNA - KEY ACCOUNT</v>
      </c>
      <c r="J562" s="2" t="str">
        <f>_xlfn.XLOOKUP($N562,'Base de Grupos'!$A:$A,'Base de Grupos'!$L:$L)</f>
        <v>1000153245</v>
      </c>
      <c r="K562" s="5" t="str">
        <f>_xlfn.XLOOKUP($N562,'Base de Grupos'!$A:$A,'Base de Grupos'!$M:$M)</f>
        <v>REGIONAL VENDA INTERNA - KEY ACCOUNT</v>
      </c>
      <c r="L562" s="5" t="str">
        <f t="shared" si="245"/>
        <v/>
      </c>
      <c r="M562" s="5" t="str">
        <f>_xlfn.XLOOKUP($N562,'Base de Grupos'!$A:$A,'Base de Grupos'!$C:$C)</f>
        <v>SC</v>
      </c>
      <c r="N562" s="3">
        <v>1431</v>
      </c>
      <c r="O562" s="4" t="s">
        <v>255</v>
      </c>
      <c r="P562" s="5" t="s">
        <v>81</v>
      </c>
      <c r="Q562" s="24">
        <v>0</v>
      </c>
      <c r="R562" s="24">
        <v>18</v>
      </c>
      <c r="S562" s="24">
        <v>21</v>
      </c>
      <c r="T562" s="24">
        <v>0</v>
      </c>
      <c r="U562" s="24">
        <v>0</v>
      </c>
      <c r="V562" s="24">
        <v>0</v>
      </c>
      <c r="W562" s="24">
        <v>0</v>
      </c>
      <c r="X562" s="24">
        <v>0</v>
      </c>
      <c r="Y562" s="24">
        <v>0</v>
      </c>
      <c r="Z562" s="24">
        <v>0</v>
      </c>
      <c r="AA562" s="24">
        <v>0</v>
      </c>
      <c r="AB562" s="24">
        <v>0</v>
      </c>
      <c r="AC562" s="30">
        <f t="shared" si="263"/>
        <v>0</v>
      </c>
      <c r="AD562" s="27">
        <f t="shared" ref="AD562:AD578" si="265">IF(AC562=0,0,AC562-AG562)</f>
        <v>0</v>
      </c>
      <c r="AE562" s="25">
        <f>IFERROR(_xlfn.XLOOKUP(N562&amp;P562,'Historico Vendas'!G:G,'Historico Vendas'!E:E),0)</f>
        <v>0</v>
      </c>
      <c r="AF562" s="29" t="str">
        <f t="shared" si="246"/>
        <v/>
      </c>
      <c r="AG562" s="24">
        <f>IFERROR(_xlfn.XLOOKUP(N562&amp;P562,'Historico Vendas'!G:G,'Historico Vendas'!F:F),0)</f>
        <v>0</v>
      </c>
      <c r="AH562" s="25">
        <f t="shared" ref="AH562:AH578" si="266">SUM(Q562:S562)</f>
        <v>39</v>
      </c>
      <c r="AI562" s="24">
        <f t="shared" ref="AI562:AI578" si="267">AH562-AG562</f>
        <v>39</v>
      </c>
      <c r="AJ562" s="11">
        <f t="shared" si="247"/>
        <v>0</v>
      </c>
      <c r="AK562" s="9" t="s">
        <v>102</v>
      </c>
      <c r="AL562" s="13">
        <f>IFERROR(INDEX('Balizador da Meta'!$D$3:$F$23,MATCH(Quantidade!$P562,'Balizador da Meta'!$C$3:$C$23,0),MATCH(Quantidade!AK562,'Balizador da Meta'!$D$2:$F$2,0)),"")</f>
        <v>0.2</v>
      </c>
      <c r="AM562" s="9"/>
    </row>
    <row r="563" spans="1:39" x14ac:dyDescent="0.3">
      <c r="A563" s="2" t="str">
        <f t="shared" si="244"/>
        <v>NÃO</v>
      </c>
      <c r="B563" s="2" t="str">
        <f>_xlfn.XLOOKUP($N563,'Base de Grupos'!$A:$A,'Base de Grupos'!$D:$D)</f>
        <v>1000065763</v>
      </c>
      <c r="C563" s="5" t="str">
        <f>_xlfn.XLOOKUP($N563,'Base de Grupos'!$A:$A,'Base de Grupos'!$E:$E)</f>
        <v>CANAL VENDA INTERNA</v>
      </c>
      <c r="D563" s="5" t="str">
        <f>_xlfn.XLOOKUP($N563,'Base de Grupos'!$A:$A,'Base de Grupos'!$F:$F)</f>
        <v>1000065763</v>
      </c>
      <c r="E563" s="2" t="str">
        <f>_xlfn.XLOOKUP($N563,'Base de Grupos'!$A:$A,'Base de Grupos'!$G:$G)</f>
        <v>CANAL VENDA INTERNA</v>
      </c>
      <c r="F563" s="2" t="str">
        <f>_xlfn.XLOOKUP($N563,'Base de Grupos'!$A:$A,'Base de Grupos'!$H:$H)</f>
        <v>1000153245</v>
      </c>
      <c r="G563" s="5" t="str">
        <f>_xlfn.XLOOKUP($N563,'Base de Grupos'!$A:$A,'Base de Grupos'!$I:$I)</f>
        <v>REGIONAL VENDA INTERNA - KEY ACCOUNT</v>
      </c>
      <c r="H563" s="5" t="str">
        <f>_xlfn.XLOOKUP($N563,'Base de Grupos'!$A:$A,'Base de Grupos'!$J:$J)</f>
        <v>1000153245</v>
      </c>
      <c r="I563" s="2" t="str">
        <f>_xlfn.XLOOKUP($N563,'Base de Grupos'!$A:$A,'Base de Grupos'!$K:$K)</f>
        <v>REGIONAL VENDA INTERNA - KEY ACCOUNT</v>
      </c>
      <c r="J563" s="2" t="str">
        <f>_xlfn.XLOOKUP($N563,'Base de Grupos'!$A:$A,'Base de Grupos'!$L:$L)</f>
        <v>1000153245</v>
      </c>
      <c r="K563" s="5" t="str">
        <f>_xlfn.XLOOKUP($N563,'Base de Grupos'!$A:$A,'Base de Grupos'!$M:$M)</f>
        <v>REGIONAL VENDA INTERNA - KEY ACCOUNT</v>
      </c>
      <c r="L563" s="5" t="str">
        <f t="shared" si="245"/>
        <v/>
      </c>
      <c r="M563" s="5" t="str">
        <f>_xlfn.XLOOKUP($N563,'Base de Grupos'!$A:$A,'Base de Grupos'!$C:$C)</f>
        <v>SC</v>
      </c>
      <c r="N563" s="3">
        <v>1431</v>
      </c>
      <c r="O563" s="4" t="s">
        <v>255</v>
      </c>
      <c r="P563" s="5" t="s">
        <v>82</v>
      </c>
      <c r="Q563" s="24">
        <v>0</v>
      </c>
      <c r="R563" s="24">
        <v>0</v>
      </c>
      <c r="S563" s="24">
        <v>0</v>
      </c>
      <c r="T563" s="24">
        <v>0</v>
      </c>
      <c r="U563" s="24">
        <v>0</v>
      </c>
      <c r="V563" s="24">
        <v>0</v>
      </c>
      <c r="W563" s="24">
        <v>0</v>
      </c>
      <c r="X563" s="24">
        <v>0</v>
      </c>
      <c r="Y563" s="24">
        <v>0</v>
      </c>
      <c r="Z563" s="24">
        <v>0</v>
      </c>
      <c r="AA563" s="24">
        <v>0</v>
      </c>
      <c r="AB563" s="24">
        <v>0</v>
      </c>
      <c r="AC563" s="30">
        <f t="shared" si="263"/>
        <v>0</v>
      </c>
      <c r="AD563" s="27">
        <f t="shared" si="265"/>
        <v>0</v>
      </c>
      <c r="AE563" s="25">
        <f>IFERROR(_xlfn.XLOOKUP(N563&amp;P563,'Historico Vendas'!G:G,'Historico Vendas'!E:E),0)</f>
        <v>0</v>
      </c>
      <c r="AF563" s="29" t="str">
        <f t="shared" si="246"/>
        <v/>
      </c>
      <c r="AG563" s="24">
        <f>IFERROR(_xlfn.XLOOKUP(N563&amp;P563,'Historico Vendas'!G:G,'Historico Vendas'!F:F),0)</f>
        <v>0</v>
      </c>
      <c r="AH563" s="25">
        <f t="shared" si="266"/>
        <v>0</v>
      </c>
      <c r="AI563" s="24">
        <f t="shared" si="267"/>
        <v>0</v>
      </c>
      <c r="AJ563" s="11" t="str">
        <f t="shared" si="247"/>
        <v/>
      </c>
      <c r="AK563" s="9" t="s">
        <v>102</v>
      </c>
      <c r="AL563" s="13">
        <f>IFERROR(INDEX('Balizador da Meta'!$D$3:$F$23,MATCH(Quantidade!$P563,'Balizador da Meta'!$C$3:$C$23,0),MATCH(Quantidade!AK563,'Balizador da Meta'!$D$2:$F$2,0)),"")</f>
        <v>0.2</v>
      </c>
      <c r="AM563" s="9"/>
    </row>
    <row r="564" spans="1:39" x14ac:dyDescent="0.3">
      <c r="A564" s="2" t="str">
        <f t="shared" si="244"/>
        <v>NÃO</v>
      </c>
      <c r="B564" s="2" t="str">
        <f>_xlfn.XLOOKUP($N564,'Base de Grupos'!$A:$A,'Base de Grupos'!$D:$D)</f>
        <v>1000065763</v>
      </c>
      <c r="C564" s="5" t="str">
        <f>_xlfn.XLOOKUP($N564,'Base de Grupos'!$A:$A,'Base de Grupos'!$E:$E)</f>
        <v>CANAL VENDA INTERNA</v>
      </c>
      <c r="D564" s="5" t="str">
        <f>_xlfn.XLOOKUP($N564,'Base de Grupos'!$A:$A,'Base de Grupos'!$F:$F)</f>
        <v>1000065763</v>
      </c>
      <c r="E564" s="2" t="str">
        <f>_xlfn.XLOOKUP($N564,'Base de Grupos'!$A:$A,'Base de Grupos'!$G:$G)</f>
        <v>CANAL VENDA INTERNA</v>
      </c>
      <c r="F564" s="2" t="str">
        <f>_xlfn.XLOOKUP($N564,'Base de Grupos'!$A:$A,'Base de Grupos'!$H:$H)</f>
        <v>1000153245</v>
      </c>
      <c r="G564" s="5" t="str">
        <f>_xlfn.XLOOKUP($N564,'Base de Grupos'!$A:$A,'Base de Grupos'!$I:$I)</f>
        <v>REGIONAL VENDA INTERNA - KEY ACCOUNT</v>
      </c>
      <c r="H564" s="5" t="str">
        <f>_xlfn.XLOOKUP($N564,'Base de Grupos'!$A:$A,'Base de Grupos'!$J:$J)</f>
        <v>1000153245</v>
      </c>
      <c r="I564" s="2" t="str">
        <f>_xlfn.XLOOKUP($N564,'Base de Grupos'!$A:$A,'Base de Grupos'!$K:$K)</f>
        <v>REGIONAL VENDA INTERNA - KEY ACCOUNT</v>
      </c>
      <c r="J564" s="2" t="str">
        <f>_xlfn.XLOOKUP($N564,'Base de Grupos'!$A:$A,'Base de Grupos'!$L:$L)</f>
        <v>1000153245</v>
      </c>
      <c r="K564" s="5" t="str">
        <f>_xlfn.XLOOKUP($N564,'Base de Grupos'!$A:$A,'Base de Grupos'!$M:$M)</f>
        <v>REGIONAL VENDA INTERNA - KEY ACCOUNT</v>
      </c>
      <c r="L564" s="5" t="str">
        <f t="shared" si="245"/>
        <v/>
      </c>
      <c r="M564" s="5" t="str">
        <f>_xlfn.XLOOKUP($N564,'Base de Grupos'!$A:$A,'Base de Grupos'!$C:$C)</f>
        <v>SC</v>
      </c>
      <c r="N564" s="3">
        <v>1431</v>
      </c>
      <c r="O564" s="4" t="s">
        <v>255</v>
      </c>
      <c r="P564" s="5" t="s">
        <v>84</v>
      </c>
      <c r="Q564" s="24">
        <v>0</v>
      </c>
      <c r="R564" s="24">
        <v>0</v>
      </c>
      <c r="S564" s="24">
        <v>0</v>
      </c>
      <c r="T564" s="24">
        <v>0</v>
      </c>
      <c r="U564" s="24">
        <v>0</v>
      </c>
      <c r="V564" s="24">
        <v>0</v>
      </c>
      <c r="W564" s="24">
        <v>0</v>
      </c>
      <c r="X564" s="24">
        <v>0</v>
      </c>
      <c r="Y564" s="24">
        <v>0</v>
      </c>
      <c r="Z564" s="24">
        <v>0</v>
      </c>
      <c r="AA564" s="24">
        <v>0</v>
      </c>
      <c r="AB564" s="24">
        <v>0</v>
      </c>
      <c r="AC564" s="30">
        <f t="shared" si="263"/>
        <v>0</v>
      </c>
      <c r="AD564" s="27">
        <f t="shared" si="265"/>
        <v>0</v>
      </c>
      <c r="AE564" s="25">
        <f>IFERROR(_xlfn.XLOOKUP(N564&amp;P564,'Historico Vendas'!G:G,'Historico Vendas'!E:E),0)</f>
        <v>0</v>
      </c>
      <c r="AF564" s="29" t="str">
        <f t="shared" si="246"/>
        <v/>
      </c>
      <c r="AG564" s="24">
        <f>IFERROR(_xlfn.XLOOKUP(N564&amp;P564,'Historico Vendas'!G:G,'Historico Vendas'!F:F),0)</f>
        <v>0</v>
      </c>
      <c r="AH564" s="25">
        <f t="shared" si="266"/>
        <v>0</v>
      </c>
      <c r="AI564" s="24">
        <f t="shared" si="267"/>
        <v>0</v>
      </c>
      <c r="AJ564" s="11" t="str">
        <f t="shared" si="247"/>
        <v/>
      </c>
      <c r="AK564" s="9" t="s">
        <v>102</v>
      </c>
      <c r="AL564" s="13">
        <f>IFERROR(INDEX('Balizador da Meta'!$D$3:$F$23,MATCH(Quantidade!$P564,'Balizador da Meta'!$C$3:$C$23,0),MATCH(Quantidade!AK564,'Balizador da Meta'!$D$2:$F$2,0)),"")</f>
        <v>0.15</v>
      </c>
      <c r="AM564" s="9"/>
    </row>
    <row r="565" spans="1:39" x14ac:dyDescent="0.3">
      <c r="A565" s="2" t="str">
        <f t="shared" si="244"/>
        <v>NÃO</v>
      </c>
      <c r="B565" s="2" t="str">
        <f>_xlfn.XLOOKUP($N565,'Base de Grupos'!$A:$A,'Base de Grupos'!$D:$D)</f>
        <v>1000065763</v>
      </c>
      <c r="C565" s="5" t="str">
        <f>_xlfn.XLOOKUP($N565,'Base de Grupos'!$A:$A,'Base de Grupos'!$E:$E)</f>
        <v>CANAL VENDA INTERNA</v>
      </c>
      <c r="D565" s="5" t="str">
        <f>_xlfn.XLOOKUP($N565,'Base de Grupos'!$A:$A,'Base de Grupos'!$F:$F)</f>
        <v>1000065763</v>
      </c>
      <c r="E565" s="2" t="str">
        <f>_xlfn.XLOOKUP($N565,'Base de Grupos'!$A:$A,'Base de Grupos'!$G:$G)</f>
        <v>CANAL VENDA INTERNA</v>
      </c>
      <c r="F565" s="2" t="str">
        <f>_xlfn.XLOOKUP($N565,'Base de Grupos'!$A:$A,'Base de Grupos'!$H:$H)</f>
        <v>1000153245</v>
      </c>
      <c r="G565" s="5" t="str">
        <f>_xlfn.XLOOKUP($N565,'Base de Grupos'!$A:$A,'Base de Grupos'!$I:$I)</f>
        <v>REGIONAL VENDA INTERNA - KEY ACCOUNT</v>
      </c>
      <c r="H565" s="5" t="str">
        <f>_xlfn.XLOOKUP($N565,'Base de Grupos'!$A:$A,'Base de Grupos'!$J:$J)</f>
        <v>1000153245</v>
      </c>
      <c r="I565" s="2" t="str">
        <f>_xlfn.XLOOKUP($N565,'Base de Grupos'!$A:$A,'Base de Grupos'!$K:$K)</f>
        <v>REGIONAL VENDA INTERNA - KEY ACCOUNT</v>
      </c>
      <c r="J565" s="2" t="str">
        <f>_xlfn.XLOOKUP($N565,'Base de Grupos'!$A:$A,'Base de Grupos'!$L:$L)</f>
        <v>1000153245</v>
      </c>
      <c r="K565" s="5" t="str">
        <f>_xlfn.XLOOKUP($N565,'Base de Grupos'!$A:$A,'Base de Grupos'!$M:$M)</f>
        <v>REGIONAL VENDA INTERNA - KEY ACCOUNT</v>
      </c>
      <c r="L565" s="5" t="str">
        <f t="shared" si="245"/>
        <v/>
      </c>
      <c r="M565" s="5" t="str">
        <f>_xlfn.XLOOKUP($N565,'Base de Grupos'!$A:$A,'Base de Grupos'!$C:$C)</f>
        <v>SC</v>
      </c>
      <c r="N565" s="3">
        <v>1431</v>
      </c>
      <c r="O565" s="4" t="s">
        <v>255</v>
      </c>
      <c r="P565" s="5" t="s">
        <v>83</v>
      </c>
      <c r="Q565" s="24">
        <v>0</v>
      </c>
      <c r="R565" s="24">
        <v>0</v>
      </c>
      <c r="S565" s="24">
        <v>0</v>
      </c>
      <c r="T565" s="24">
        <v>0</v>
      </c>
      <c r="U565" s="24">
        <v>0</v>
      </c>
      <c r="V565" s="24">
        <v>0</v>
      </c>
      <c r="W565" s="24">
        <v>0</v>
      </c>
      <c r="X565" s="24">
        <v>0</v>
      </c>
      <c r="Y565" s="24">
        <v>0</v>
      </c>
      <c r="Z565" s="24">
        <v>0</v>
      </c>
      <c r="AA565" s="24">
        <v>0</v>
      </c>
      <c r="AB565" s="24">
        <v>0</v>
      </c>
      <c r="AC565" s="30">
        <f t="shared" si="263"/>
        <v>0</v>
      </c>
      <c r="AD565" s="27">
        <f t="shared" si="265"/>
        <v>0</v>
      </c>
      <c r="AE565" s="25">
        <f>IFERROR(_xlfn.XLOOKUP(N565&amp;P565,'Historico Vendas'!G:G,'Historico Vendas'!E:E),0)</f>
        <v>0</v>
      </c>
      <c r="AF565" s="29" t="str">
        <f t="shared" si="246"/>
        <v/>
      </c>
      <c r="AG565" s="24">
        <f>IFERROR(_xlfn.XLOOKUP(N565&amp;P565,'Historico Vendas'!G:G,'Historico Vendas'!F:F),0)</f>
        <v>0</v>
      </c>
      <c r="AH565" s="25">
        <f t="shared" si="266"/>
        <v>0</v>
      </c>
      <c r="AI565" s="24">
        <f t="shared" si="267"/>
        <v>0</v>
      </c>
      <c r="AJ565" s="11" t="str">
        <f t="shared" si="247"/>
        <v/>
      </c>
      <c r="AK565" s="9" t="s">
        <v>102</v>
      </c>
      <c r="AL565" s="13">
        <f>IFERROR(INDEX('Balizador da Meta'!$D$3:$F$23,MATCH(Quantidade!$P565,'Balizador da Meta'!$C$3:$C$23,0),MATCH(Quantidade!AK565,'Balizador da Meta'!$D$2:$F$2,0)),"")</f>
        <v>0</v>
      </c>
      <c r="AM565" s="9"/>
    </row>
    <row r="566" spans="1:39" x14ac:dyDescent="0.3">
      <c r="A566" s="2" t="str">
        <f t="shared" si="244"/>
        <v>NÃO</v>
      </c>
      <c r="B566" s="2" t="str">
        <f>_xlfn.XLOOKUP($N566,'Base de Grupos'!$A:$A,'Base de Grupos'!$D:$D)</f>
        <v>1000065763</v>
      </c>
      <c r="C566" s="5" t="str">
        <f>_xlfn.XLOOKUP($N566,'Base de Grupos'!$A:$A,'Base de Grupos'!$E:$E)</f>
        <v>CANAL VENDA INTERNA</v>
      </c>
      <c r="D566" s="5" t="str">
        <f>_xlfn.XLOOKUP($N566,'Base de Grupos'!$A:$A,'Base de Grupos'!$F:$F)</f>
        <v>1000065763</v>
      </c>
      <c r="E566" s="2" t="str">
        <f>_xlfn.XLOOKUP($N566,'Base de Grupos'!$A:$A,'Base de Grupos'!$G:$G)</f>
        <v>CANAL VENDA INTERNA</v>
      </c>
      <c r="F566" s="2" t="str">
        <f>_xlfn.XLOOKUP($N566,'Base de Grupos'!$A:$A,'Base de Grupos'!$H:$H)</f>
        <v>1000153245</v>
      </c>
      <c r="G566" s="5" t="str">
        <f>_xlfn.XLOOKUP($N566,'Base de Grupos'!$A:$A,'Base de Grupos'!$I:$I)</f>
        <v>REGIONAL VENDA INTERNA - KEY ACCOUNT</v>
      </c>
      <c r="H566" s="5" t="str">
        <f>_xlfn.XLOOKUP($N566,'Base de Grupos'!$A:$A,'Base de Grupos'!$J:$J)</f>
        <v>1000153245</v>
      </c>
      <c r="I566" s="2" t="str">
        <f>_xlfn.XLOOKUP($N566,'Base de Grupos'!$A:$A,'Base de Grupos'!$K:$K)</f>
        <v>REGIONAL VENDA INTERNA - KEY ACCOUNT</v>
      </c>
      <c r="J566" s="2" t="str">
        <f>_xlfn.XLOOKUP($N566,'Base de Grupos'!$A:$A,'Base de Grupos'!$L:$L)</f>
        <v>1000153245</v>
      </c>
      <c r="K566" s="5" t="str">
        <f>_xlfn.XLOOKUP($N566,'Base de Grupos'!$A:$A,'Base de Grupos'!$M:$M)</f>
        <v>REGIONAL VENDA INTERNA - KEY ACCOUNT</v>
      </c>
      <c r="L566" s="5" t="str">
        <f t="shared" si="245"/>
        <v/>
      </c>
      <c r="M566" s="5" t="str">
        <f>_xlfn.XLOOKUP($N566,'Base de Grupos'!$A:$A,'Base de Grupos'!$C:$C)</f>
        <v>SC</v>
      </c>
      <c r="N566" s="3">
        <v>1431</v>
      </c>
      <c r="O566" s="4" t="s">
        <v>255</v>
      </c>
      <c r="P566" s="5" t="s">
        <v>87</v>
      </c>
      <c r="Q566" s="24">
        <v>0</v>
      </c>
      <c r="R566" s="24">
        <v>0</v>
      </c>
      <c r="S566" s="24">
        <v>0</v>
      </c>
      <c r="T566" s="24">
        <v>0</v>
      </c>
      <c r="U566" s="24">
        <v>0</v>
      </c>
      <c r="V566" s="24">
        <v>0</v>
      </c>
      <c r="W566" s="24">
        <v>0</v>
      </c>
      <c r="X566" s="24">
        <v>0</v>
      </c>
      <c r="Y566" s="24">
        <v>0</v>
      </c>
      <c r="Z566" s="24">
        <v>0</v>
      </c>
      <c r="AA566" s="24">
        <v>0</v>
      </c>
      <c r="AB566" s="24">
        <v>0</v>
      </c>
      <c r="AC566" s="30">
        <f t="shared" si="263"/>
        <v>0</v>
      </c>
      <c r="AD566" s="27">
        <f t="shared" si="265"/>
        <v>0</v>
      </c>
      <c r="AE566" s="25">
        <f>IFERROR(_xlfn.XLOOKUP(N566&amp;P566,'Historico Vendas'!G:G,'Historico Vendas'!E:E),0)</f>
        <v>0</v>
      </c>
      <c r="AF566" s="29" t="str">
        <f t="shared" si="246"/>
        <v/>
      </c>
      <c r="AG566" s="24">
        <f>IFERROR(_xlfn.XLOOKUP(N566&amp;P566,'Historico Vendas'!G:G,'Historico Vendas'!F:F),0)</f>
        <v>0</v>
      </c>
      <c r="AH566" s="25">
        <f t="shared" si="266"/>
        <v>0</v>
      </c>
      <c r="AI566" s="24">
        <f t="shared" si="267"/>
        <v>0</v>
      </c>
      <c r="AJ566" s="11" t="str">
        <f t="shared" si="247"/>
        <v/>
      </c>
      <c r="AK566" s="9" t="s">
        <v>102</v>
      </c>
      <c r="AL566" s="13">
        <f>IFERROR(INDEX('Balizador da Meta'!$D$3:$F$23,MATCH(Quantidade!$P566,'Balizador da Meta'!$C$3:$C$23,0),MATCH(Quantidade!AK566,'Balizador da Meta'!$D$2:$F$2,0)),"")</f>
        <v>0</v>
      </c>
      <c r="AM566" s="9"/>
    </row>
    <row r="567" spans="1:39" x14ac:dyDescent="0.3">
      <c r="A567" s="2" t="str">
        <f t="shared" si="244"/>
        <v>NÃO</v>
      </c>
      <c r="B567" s="2" t="str">
        <f>_xlfn.XLOOKUP($N567,'Base de Grupos'!$A:$A,'Base de Grupos'!$D:$D)</f>
        <v>1000065763</v>
      </c>
      <c r="C567" s="5" t="str">
        <f>_xlfn.XLOOKUP($N567,'Base de Grupos'!$A:$A,'Base de Grupos'!$E:$E)</f>
        <v>CANAL VENDA INTERNA</v>
      </c>
      <c r="D567" s="5" t="str">
        <f>_xlfn.XLOOKUP($N567,'Base de Grupos'!$A:$A,'Base de Grupos'!$F:$F)</f>
        <v>1000065763</v>
      </c>
      <c r="E567" s="2" t="str">
        <f>_xlfn.XLOOKUP($N567,'Base de Grupos'!$A:$A,'Base de Grupos'!$G:$G)</f>
        <v>CANAL VENDA INTERNA</v>
      </c>
      <c r="F567" s="2" t="str">
        <f>_xlfn.XLOOKUP($N567,'Base de Grupos'!$A:$A,'Base de Grupos'!$H:$H)</f>
        <v>1000153245</v>
      </c>
      <c r="G567" s="5" t="str">
        <f>_xlfn.XLOOKUP($N567,'Base de Grupos'!$A:$A,'Base de Grupos'!$I:$I)</f>
        <v>REGIONAL VENDA INTERNA - KEY ACCOUNT</v>
      </c>
      <c r="H567" s="5" t="str">
        <f>_xlfn.XLOOKUP($N567,'Base de Grupos'!$A:$A,'Base de Grupos'!$J:$J)</f>
        <v>1000153245</v>
      </c>
      <c r="I567" s="2" t="str">
        <f>_xlfn.XLOOKUP($N567,'Base de Grupos'!$A:$A,'Base de Grupos'!$K:$K)</f>
        <v>REGIONAL VENDA INTERNA - KEY ACCOUNT</v>
      </c>
      <c r="J567" s="2" t="str">
        <f>_xlfn.XLOOKUP($N567,'Base de Grupos'!$A:$A,'Base de Grupos'!$L:$L)</f>
        <v>1000153245</v>
      </c>
      <c r="K567" s="5" t="str">
        <f>_xlfn.XLOOKUP($N567,'Base de Grupos'!$A:$A,'Base de Grupos'!$M:$M)</f>
        <v>REGIONAL VENDA INTERNA - KEY ACCOUNT</v>
      </c>
      <c r="L567" s="5" t="str">
        <f t="shared" si="245"/>
        <v/>
      </c>
      <c r="M567" s="5" t="str">
        <f>_xlfn.XLOOKUP($N567,'Base de Grupos'!$A:$A,'Base de Grupos'!$C:$C)</f>
        <v>SC</v>
      </c>
      <c r="N567" s="3">
        <v>1431</v>
      </c>
      <c r="O567" s="4" t="s">
        <v>255</v>
      </c>
      <c r="P567" s="5" t="s">
        <v>85</v>
      </c>
      <c r="Q567" s="24">
        <v>0</v>
      </c>
      <c r="R567" s="24">
        <v>17</v>
      </c>
      <c r="S567" s="24">
        <v>19</v>
      </c>
      <c r="T567" s="24">
        <v>0</v>
      </c>
      <c r="U567" s="24">
        <v>0</v>
      </c>
      <c r="V567" s="24">
        <v>0</v>
      </c>
      <c r="W567" s="24">
        <v>0</v>
      </c>
      <c r="X567" s="24">
        <v>0</v>
      </c>
      <c r="Y567" s="24">
        <v>0</v>
      </c>
      <c r="Z567" s="24">
        <v>0</v>
      </c>
      <c r="AA567" s="24">
        <v>0</v>
      </c>
      <c r="AB567" s="24">
        <v>0</v>
      </c>
      <c r="AC567" s="30">
        <f t="shared" si="263"/>
        <v>0</v>
      </c>
      <c r="AD567" s="27">
        <f t="shared" si="265"/>
        <v>0</v>
      </c>
      <c r="AE567" s="25">
        <f>IFERROR(_xlfn.XLOOKUP(N567&amp;P567,'Historico Vendas'!G:G,'Historico Vendas'!E:E),0)</f>
        <v>0</v>
      </c>
      <c r="AF567" s="29" t="str">
        <f t="shared" si="246"/>
        <v/>
      </c>
      <c r="AG567" s="24">
        <f>IFERROR(_xlfn.XLOOKUP(N567&amp;P567,'Historico Vendas'!G:G,'Historico Vendas'!F:F),0)</f>
        <v>0</v>
      </c>
      <c r="AH567" s="25">
        <f t="shared" si="266"/>
        <v>36</v>
      </c>
      <c r="AI567" s="24">
        <f t="shared" si="267"/>
        <v>36</v>
      </c>
      <c r="AJ567" s="11">
        <f t="shared" si="247"/>
        <v>0</v>
      </c>
      <c r="AK567" s="9" t="s">
        <v>102</v>
      </c>
      <c r="AL567" s="13">
        <f>IFERROR(INDEX('Balizador da Meta'!$D$3:$F$23,MATCH(Quantidade!$P567,'Balizador da Meta'!$C$3:$C$23,0),MATCH(Quantidade!AK567,'Balizador da Meta'!$D$2:$F$2,0)),"")</f>
        <v>0</v>
      </c>
      <c r="AM567" s="9"/>
    </row>
    <row r="568" spans="1:39" x14ac:dyDescent="0.3">
      <c r="A568" s="2" t="str">
        <f t="shared" si="244"/>
        <v>NÃO</v>
      </c>
      <c r="B568" s="2" t="str">
        <f>_xlfn.XLOOKUP($N568,'Base de Grupos'!$A:$A,'Base de Grupos'!$D:$D)</f>
        <v>1000065763</v>
      </c>
      <c r="C568" s="5" t="str">
        <f>_xlfn.XLOOKUP($N568,'Base de Grupos'!$A:$A,'Base de Grupos'!$E:$E)</f>
        <v>CANAL VENDA INTERNA</v>
      </c>
      <c r="D568" s="5" t="str">
        <f>_xlfn.XLOOKUP($N568,'Base de Grupos'!$A:$A,'Base de Grupos'!$F:$F)</f>
        <v>1000065763</v>
      </c>
      <c r="E568" s="2" t="str">
        <f>_xlfn.XLOOKUP($N568,'Base de Grupos'!$A:$A,'Base de Grupos'!$G:$G)</f>
        <v>CANAL VENDA INTERNA</v>
      </c>
      <c r="F568" s="2" t="str">
        <f>_xlfn.XLOOKUP($N568,'Base de Grupos'!$A:$A,'Base de Grupos'!$H:$H)</f>
        <v>1000153245</v>
      </c>
      <c r="G568" s="5" t="str">
        <f>_xlfn.XLOOKUP($N568,'Base de Grupos'!$A:$A,'Base de Grupos'!$I:$I)</f>
        <v>REGIONAL VENDA INTERNA - KEY ACCOUNT</v>
      </c>
      <c r="H568" s="5" t="str">
        <f>_xlfn.XLOOKUP($N568,'Base de Grupos'!$A:$A,'Base de Grupos'!$J:$J)</f>
        <v>1000153245</v>
      </c>
      <c r="I568" s="2" t="str">
        <f>_xlfn.XLOOKUP($N568,'Base de Grupos'!$A:$A,'Base de Grupos'!$K:$K)</f>
        <v>REGIONAL VENDA INTERNA - KEY ACCOUNT</v>
      </c>
      <c r="J568" s="2" t="str">
        <f>_xlfn.XLOOKUP($N568,'Base de Grupos'!$A:$A,'Base de Grupos'!$L:$L)</f>
        <v>1000153245</v>
      </c>
      <c r="K568" s="5" t="str">
        <f>_xlfn.XLOOKUP($N568,'Base de Grupos'!$A:$A,'Base de Grupos'!$M:$M)</f>
        <v>REGIONAL VENDA INTERNA - KEY ACCOUNT</v>
      </c>
      <c r="L568" s="5" t="str">
        <f t="shared" si="245"/>
        <v/>
      </c>
      <c r="M568" s="5" t="str">
        <f>_xlfn.XLOOKUP($N568,'Base de Grupos'!$A:$A,'Base de Grupos'!$C:$C)</f>
        <v>SC</v>
      </c>
      <c r="N568" s="3">
        <v>1431</v>
      </c>
      <c r="O568" s="4" t="s">
        <v>255</v>
      </c>
      <c r="P568" s="5" t="s">
        <v>92</v>
      </c>
      <c r="Q568" s="24">
        <v>0</v>
      </c>
      <c r="R568" s="24">
        <v>6</v>
      </c>
      <c r="S568" s="24">
        <v>6</v>
      </c>
      <c r="T568" s="24">
        <v>0</v>
      </c>
      <c r="U568" s="24">
        <v>0</v>
      </c>
      <c r="V568" s="24">
        <v>0</v>
      </c>
      <c r="W568" s="24">
        <v>0</v>
      </c>
      <c r="X568" s="24">
        <v>0</v>
      </c>
      <c r="Y568" s="24">
        <v>0</v>
      </c>
      <c r="Z568" s="24">
        <v>0</v>
      </c>
      <c r="AA568" s="24">
        <v>0</v>
      </c>
      <c r="AB568" s="24">
        <v>0</v>
      </c>
      <c r="AC568" s="30">
        <f t="shared" si="263"/>
        <v>0</v>
      </c>
      <c r="AD568" s="27">
        <f t="shared" si="265"/>
        <v>0</v>
      </c>
      <c r="AE568" s="25">
        <f>IFERROR(_xlfn.XLOOKUP(N568&amp;P568,'Historico Vendas'!G:G,'Historico Vendas'!E:E),0)</f>
        <v>0</v>
      </c>
      <c r="AF568" s="29" t="str">
        <f t="shared" si="246"/>
        <v/>
      </c>
      <c r="AG568" s="24">
        <f>IFERROR(_xlfn.XLOOKUP(N568&amp;P568,'Historico Vendas'!G:G,'Historico Vendas'!F:F),0)</f>
        <v>0</v>
      </c>
      <c r="AH568" s="25">
        <f t="shared" si="266"/>
        <v>12</v>
      </c>
      <c r="AI568" s="24">
        <f t="shared" si="267"/>
        <v>12</v>
      </c>
      <c r="AJ568" s="11">
        <f t="shared" si="247"/>
        <v>0</v>
      </c>
      <c r="AK568" s="9" t="s">
        <v>102</v>
      </c>
      <c r="AL568" s="13">
        <f>IFERROR(INDEX('Balizador da Meta'!$D$3:$F$23,MATCH(Quantidade!$P568,'Balizador da Meta'!$C$3:$C$23,0),MATCH(Quantidade!AK568,'Balizador da Meta'!$D$2:$F$2,0)),"")</f>
        <v>0</v>
      </c>
      <c r="AM568" s="9"/>
    </row>
    <row r="569" spans="1:39" x14ac:dyDescent="0.3">
      <c r="A569" s="2" t="str">
        <f t="shared" si="244"/>
        <v>NÃO</v>
      </c>
      <c r="B569" s="2" t="str">
        <f>_xlfn.XLOOKUP($N569,'Base de Grupos'!$A:$A,'Base de Grupos'!$D:$D)</f>
        <v>1000065763</v>
      </c>
      <c r="C569" s="5" t="str">
        <f>_xlfn.XLOOKUP($N569,'Base de Grupos'!$A:$A,'Base de Grupos'!$E:$E)</f>
        <v>CANAL VENDA INTERNA</v>
      </c>
      <c r="D569" s="5" t="str">
        <f>_xlfn.XLOOKUP($N569,'Base de Grupos'!$A:$A,'Base de Grupos'!$F:$F)</f>
        <v>1000065763</v>
      </c>
      <c r="E569" s="2" t="str">
        <f>_xlfn.XLOOKUP($N569,'Base de Grupos'!$A:$A,'Base de Grupos'!$G:$G)</f>
        <v>CANAL VENDA INTERNA</v>
      </c>
      <c r="F569" s="2" t="str">
        <f>_xlfn.XLOOKUP($N569,'Base de Grupos'!$A:$A,'Base de Grupos'!$H:$H)</f>
        <v>1000153245</v>
      </c>
      <c r="G569" s="5" t="str">
        <f>_xlfn.XLOOKUP($N569,'Base de Grupos'!$A:$A,'Base de Grupos'!$I:$I)</f>
        <v>REGIONAL VENDA INTERNA - KEY ACCOUNT</v>
      </c>
      <c r="H569" s="5" t="str">
        <f>_xlfn.XLOOKUP($N569,'Base de Grupos'!$A:$A,'Base de Grupos'!$J:$J)</f>
        <v>1000153245</v>
      </c>
      <c r="I569" s="2" t="str">
        <f>_xlfn.XLOOKUP($N569,'Base de Grupos'!$A:$A,'Base de Grupos'!$K:$K)</f>
        <v>REGIONAL VENDA INTERNA - KEY ACCOUNT</v>
      </c>
      <c r="J569" s="2" t="str">
        <f>_xlfn.XLOOKUP($N569,'Base de Grupos'!$A:$A,'Base de Grupos'!$L:$L)</f>
        <v>1000153245</v>
      </c>
      <c r="K569" s="5" t="str">
        <f>_xlfn.XLOOKUP($N569,'Base de Grupos'!$A:$A,'Base de Grupos'!$M:$M)</f>
        <v>REGIONAL VENDA INTERNA - KEY ACCOUNT</v>
      </c>
      <c r="L569" s="5" t="str">
        <f t="shared" si="245"/>
        <v/>
      </c>
      <c r="M569" s="5" t="str">
        <f>_xlfn.XLOOKUP($N569,'Base de Grupos'!$A:$A,'Base de Grupos'!$C:$C)</f>
        <v>SC</v>
      </c>
      <c r="N569" s="3">
        <v>1431</v>
      </c>
      <c r="O569" s="4" t="s">
        <v>255</v>
      </c>
      <c r="P569" s="5" t="s">
        <v>86</v>
      </c>
      <c r="Q569" s="24">
        <v>0</v>
      </c>
      <c r="R569" s="24">
        <v>5</v>
      </c>
      <c r="S569" s="24">
        <v>5</v>
      </c>
      <c r="T569" s="24">
        <v>0</v>
      </c>
      <c r="U569" s="24">
        <v>0</v>
      </c>
      <c r="V569" s="24">
        <v>0</v>
      </c>
      <c r="W569" s="24">
        <v>0</v>
      </c>
      <c r="X569" s="24">
        <v>0</v>
      </c>
      <c r="Y569" s="24">
        <v>0</v>
      </c>
      <c r="Z569" s="24">
        <v>0</v>
      </c>
      <c r="AA569" s="24">
        <v>0</v>
      </c>
      <c r="AB569" s="24">
        <v>0</v>
      </c>
      <c r="AC569" s="30">
        <f t="shared" si="263"/>
        <v>0</v>
      </c>
      <c r="AD569" s="27">
        <f t="shared" si="265"/>
        <v>0</v>
      </c>
      <c r="AE569" s="25">
        <f>IFERROR(_xlfn.XLOOKUP(N569&amp;P569,'Historico Vendas'!G:G,'Historico Vendas'!E:E),0)</f>
        <v>0</v>
      </c>
      <c r="AF569" s="29" t="str">
        <f t="shared" si="246"/>
        <v/>
      </c>
      <c r="AG569" s="24">
        <f>IFERROR(_xlfn.XLOOKUP(N569&amp;P569,'Historico Vendas'!G:G,'Historico Vendas'!F:F),0)</f>
        <v>0</v>
      </c>
      <c r="AH569" s="25">
        <f t="shared" si="266"/>
        <v>10</v>
      </c>
      <c r="AI569" s="24">
        <f t="shared" si="267"/>
        <v>10</v>
      </c>
      <c r="AJ569" s="11">
        <f t="shared" si="247"/>
        <v>0</v>
      </c>
      <c r="AK569" s="9" t="s">
        <v>102</v>
      </c>
      <c r="AL569" s="13">
        <f>IFERROR(INDEX('Balizador da Meta'!$D$3:$F$23,MATCH(Quantidade!$P569,'Balizador da Meta'!$C$3:$C$23,0),MATCH(Quantidade!AK569,'Balizador da Meta'!$D$2:$F$2,0)),"")</f>
        <v>0.15</v>
      </c>
      <c r="AM569" s="9"/>
    </row>
    <row r="570" spans="1:39" x14ac:dyDescent="0.3">
      <c r="A570" s="2" t="str">
        <f t="shared" si="244"/>
        <v>NÃO</v>
      </c>
      <c r="B570" s="2" t="str">
        <f>_xlfn.XLOOKUP($N570,'Base de Grupos'!$A:$A,'Base de Grupos'!$D:$D)</f>
        <v>1000065763</v>
      </c>
      <c r="C570" s="5" t="str">
        <f>_xlfn.XLOOKUP($N570,'Base de Grupos'!$A:$A,'Base de Grupos'!$E:$E)</f>
        <v>CANAL VENDA INTERNA</v>
      </c>
      <c r="D570" s="5" t="str">
        <f>_xlfn.XLOOKUP($N570,'Base de Grupos'!$A:$A,'Base de Grupos'!$F:$F)</f>
        <v>1000065763</v>
      </c>
      <c r="E570" s="2" t="str">
        <f>_xlfn.XLOOKUP($N570,'Base de Grupos'!$A:$A,'Base de Grupos'!$G:$G)</f>
        <v>CANAL VENDA INTERNA</v>
      </c>
      <c r="F570" s="2" t="str">
        <f>_xlfn.XLOOKUP($N570,'Base de Grupos'!$A:$A,'Base de Grupos'!$H:$H)</f>
        <v>1000153245</v>
      </c>
      <c r="G570" s="5" t="str">
        <f>_xlfn.XLOOKUP($N570,'Base de Grupos'!$A:$A,'Base de Grupos'!$I:$I)</f>
        <v>REGIONAL VENDA INTERNA - KEY ACCOUNT</v>
      </c>
      <c r="H570" s="5" t="str">
        <f>_xlfn.XLOOKUP($N570,'Base de Grupos'!$A:$A,'Base de Grupos'!$J:$J)</f>
        <v>1000153245</v>
      </c>
      <c r="I570" s="2" t="str">
        <f>_xlfn.XLOOKUP($N570,'Base de Grupos'!$A:$A,'Base de Grupos'!$K:$K)</f>
        <v>REGIONAL VENDA INTERNA - KEY ACCOUNT</v>
      </c>
      <c r="J570" s="2" t="str">
        <f>_xlfn.XLOOKUP($N570,'Base de Grupos'!$A:$A,'Base de Grupos'!$L:$L)</f>
        <v>1000153245</v>
      </c>
      <c r="K570" s="5" t="str">
        <f>_xlfn.XLOOKUP($N570,'Base de Grupos'!$A:$A,'Base de Grupos'!$M:$M)</f>
        <v>REGIONAL VENDA INTERNA - KEY ACCOUNT</v>
      </c>
      <c r="L570" s="5" t="str">
        <f t="shared" si="245"/>
        <v/>
      </c>
      <c r="M570" s="5" t="str">
        <f>_xlfn.XLOOKUP($N570,'Base de Grupos'!$A:$A,'Base de Grupos'!$C:$C)</f>
        <v>SC</v>
      </c>
      <c r="N570" s="3">
        <v>1431</v>
      </c>
      <c r="O570" s="4" t="s">
        <v>255</v>
      </c>
      <c r="P570" s="5" t="s">
        <v>108</v>
      </c>
      <c r="Q570" s="24">
        <v>0</v>
      </c>
      <c r="R570" s="24">
        <v>4</v>
      </c>
      <c r="S570" s="24">
        <v>5</v>
      </c>
      <c r="T570" s="24">
        <v>0</v>
      </c>
      <c r="U570" s="24">
        <v>0</v>
      </c>
      <c r="V570" s="24">
        <v>0</v>
      </c>
      <c r="W570" s="24">
        <v>0</v>
      </c>
      <c r="X570" s="24">
        <v>0</v>
      </c>
      <c r="Y570" s="24">
        <v>0</v>
      </c>
      <c r="Z570" s="24">
        <v>0</v>
      </c>
      <c r="AA570" s="24">
        <v>0</v>
      </c>
      <c r="AB570" s="24">
        <v>0</v>
      </c>
      <c r="AC570" s="30">
        <f t="shared" si="263"/>
        <v>0</v>
      </c>
      <c r="AD570" s="27">
        <f t="shared" si="265"/>
        <v>0</v>
      </c>
      <c r="AE570" s="25">
        <f>IFERROR(_xlfn.XLOOKUP(N570&amp;P570,'Historico Vendas'!G:G,'Historico Vendas'!E:E),0)</f>
        <v>0</v>
      </c>
      <c r="AF570" s="29" t="str">
        <f t="shared" si="246"/>
        <v/>
      </c>
      <c r="AG570" s="24">
        <f>IFERROR(_xlfn.XLOOKUP(N570&amp;P570,'Historico Vendas'!G:G,'Historico Vendas'!F:F),0)</f>
        <v>0</v>
      </c>
      <c r="AH570" s="25">
        <f t="shared" si="266"/>
        <v>9</v>
      </c>
      <c r="AI570" s="24">
        <f t="shared" si="267"/>
        <v>9</v>
      </c>
      <c r="AJ570" s="11">
        <f t="shared" si="247"/>
        <v>0</v>
      </c>
      <c r="AK570" s="9" t="s">
        <v>102</v>
      </c>
      <c r="AL570" s="13">
        <f>IFERROR(INDEX('Balizador da Meta'!$D$3:$F$23,MATCH(Quantidade!$P570,'Balizador da Meta'!$C$3:$C$23,0),MATCH(Quantidade!AK570,'Balizador da Meta'!$D$2:$F$2,0)),"")</f>
        <v>0</v>
      </c>
      <c r="AM570" s="9"/>
    </row>
    <row r="571" spans="1:39" x14ac:dyDescent="0.3">
      <c r="A571" s="2" t="str">
        <f t="shared" si="244"/>
        <v>NÃO</v>
      </c>
      <c r="B571" s="2" t="str">
        <f>_xlfn.XLOOKUP($N571,'Base de Grupos'!$A:$A,'Base de Grupos'!$D:$D)</f>
        <v>1000065763</v>
      </c>
      <c r="C571" s="5" t="str">
        <f>_xlfn.XLOOKUP($N571,'Base de Grupos'!$A:$A,'Base de Grupos'!$E:$E)</f>
        <v>CANAL VENDA INTERNA</v>
      </c>
      <c r="D571" s="5" t="str">
        <f>_xlfn.XLOOKUP($N571,'Base de Grupos'!$A:$A,'Base de Grupos'!$F:$F)</f>
        <v>1000065763</v>
      </c>
      <c r="E571" s="2" t="str">
        <f>_xlfn.XLOOKUP($N571,'Base de Grupos'!$A:$A,'Base de Grupos'!$G:$G)</f>
        <v>CANAL VENDA INTERNA</v>
      </c>
      <c r="F571" s="2" t="str">
        <f>_xlfn.XLOOKUP($N571,'Base de Grupos'!$A:$A,'Base de Grupos'!$H:$H)</f>
        <v>1000153245</v>
      </c>
      <c r="G571" s="5" t="str">
        <f>_xlfn.XLOOKUP($N571,'Base de Grupos'!$A:$A,'Base de Grupos'!$I:$I)</f>
        <v>REGIONAL VENDA INTERNA - KEY ACCOUNT</v>
      </c>
      <c r="H571" s="5" t="str">
        <f>_xlfn.XLOOKUP($N571,'Base de Grupos'!$A:$A,'Base de Grupos'!$J:$J)</f>
        <v>1000153245</v>
      </c>
      <c r="I571" s="2" t="str">
        <f>_xlfn.XLOOKUP($N571,'Base de Grupos'!$A:$A,'Base de Grupos'!$K:$K)</f>
        <v>REGIONAL VENDA INTERNA - KEY ACCOUNT</v>
      </c>
      <c r="J571" s="2" t="str">
        <f>_xlfn.XLOOKUP($N571,'Base de Grupos'!$A:$A,'Base de Grupos'!$L:$L)</f>
        <v>1000153245</v>
      </c>
      <c r="K571" s="5" t="str">
        <f>_xlfn.XLOOKUP($N571,'Base de Grupos'!$A:$A,'Base de Grupos'!$M:$M)</f>
        <v>REGIONAL VENDA INTERNA - KEY ACCOUNT</v>
      </c>
      <c r="L571" s="5" t="str">
        <f t="shared" si="245"/>
        <v/>
      </c>
      <c r="M571" s="5" t="str">
        <f>_xlfn.XLOOKUP($N571,'Base de Grupos'!$A:$A,'Base de Grupos'!$C:$C)</f>
        <v>SC</v>
      </c>
      <c r="N571" s="3">
        <v>1431</v>
      </c>
      <c r="O571" s="4" t="s">
        <v>255</v>
      </c>
      <c r="P571" s="5" t="s">
        <v>89</v>
      </c>
      <c r="Q571" s="24">
        <v>0</v>
      </c>
      <c r="R571" s="24">
        <v>3</v>
      </c>
      <c r="S571" s="24">
        <v>3</v>
      </c>
      <c r="T571" s="24">
        <v>0</v>
      </c>
      <c r="U571" s="24">
        <v>0</v>
      </c>
      <c r="V571" s="24">
        <v>0</v>
      </c>
      <c r="W571" s="24">
        <v>0</v>
      </c>
      <c r="X571" s="24">
        <v>0</v>
      </c>
      <c r="Y571" s="24">
        <v>0</v>
      </c>
      <c r="Z571" s="24">
        <v>0</v>
      </c>
      <c r="AA571" s="24">
        <v>0</v>
      </c>
      <c r="AB571" s="24">
        <v>0</v>
      </c>
      <c r="AC571" s="30">
        <f t="shared" si="263"/>
        <v>0</v>
      </c>
      <c r="AD571" s="27">
        <f t="shared" si="265"/>
        <v>0</v>
      </c>
      <c r="AE571" s="25">
        <f>IFERROR(_xlfn.XLOOKUP(N571&amp;P571,'Historico Vendas'!G:G,'Historico Vendas'!E:E),0)</f>
        <v>0</v>
      </c>
      <c r="AF571" s="29" t="str">
        <f t="shared" si="246"/>
        <v/>
      </c>
      <c r="AG571" s="24">
        <f>IFERROR(_xlfn.XLOOKUP(N571&amp;P571,'Historico Vendas'!G:G,'Historico Vendas'!F:F),0)</f>
        <v>0</v>
      </c>
      <c r="AH571" s="25">
        <f t="shared" si="266"/>
        <v>6</v>
      </c>
      <c r="AI571" s="24">
        <f t="shared" si="267"/>
        <v>6</v>
      </c>
      <c r="AJ571" s="11">
        <f t="shared" si="247"/>
        <v>0</v>
      </c>
      <c r="AK571" s="9" t="s">
        <v>102</v>
      </c>
      <c r="AL571" s="13">
        <f>IFERROR(INDEX('Balizador da Meta'!$D$3:$F$23,MATCH(Quantidade!$P571,'Balizador da Meta'!$C$3:$C$23,0),MATCH(Quantidade!AK571,'Balizador da Meta'!$D$2:$F$2,0)),"")</f>
        <v>0.25</v>
      </c>
      <c r="AM571" s="9"/>
    </row>
    <row r="572" spans="1:39" x14ac:dyDescent="0.3">
      <c r="A572" s="2" t="str">
        <f t="shared" si="244"/>
        <v>NÃO</v>
      </c>
      <c r="B572" s="2" t="str">
        <f>_xlfn.XLOOKUP($N572,'Base de Grupos'!$A:$A,'Base de Grupos'!$D:$D)</f>
        <v>1000065763</v>
      </c>
      <c r="C572" s="5" t="str">
        <f>_xlfn.XLOOKUP($N572,'Base de Grupos'!$A:$A,'Base de Grupos'!$E:$E)</f>
        <v>CANAL VENDA INTERNA</v>
      </c>
      <c r="D572" s="5" t="str">
        <f>_xlfn.XLOOKUP($N572,'Base de Grupos'!$A:$A,'Base de Grupos'!$F:$F)</f>
        <v>1000065763</v>
      </c>
      <c r="E572" s="2" t="str">
        <f>_xlfn.XLOOKUP($N572,'Base de Grupos'!$A:$A,'Base de Grupos'!$G:$G)</f>
        <v>CANAL VENDA INTERNA</v>
      </c>
      <c r="F572" s="2" t="str">
        <f>_xlfn.XLOOKUP($N572,'Base de Grupos'!$A:$A,'Base de Grupos'!$H:$H)</f>
        <v>1000153245</v>
      </c>
      <c r="G572" s="5" t="str">
        <f>_xlfn.XLOOKUP($N572,'Base de Grupos'!$A:$A,'Base de Grupos'!$I:$I)</f>
        <v>REGIONAL VENDA INTERNA - KEY ACCOUNT</v>
      </c>
      <c r="H572" s="5" t="str">
        <f>_xlfn.XLOOKUP($N572,'Base de Grupos'!$A:$A,'Base de Grupos'!$J:$J)</f>
        <v>1000153245</v>
      </c>
      <c r="I572" s="2" t="str">
        <f>_xlfn.XLOOKUP($N572,'Base de Grupos'!$A:$A,'Base de Grupos'!$K:$K)</f>
        <v>REGIONAL VENDA INTERNA - KEY ACCOUNT</v>
      </c>
      <c r="J572" s="2" t="str">
        <f>_xlfn.XLOOKUP($N572,'Base de Grupos'!$A:$A,'Base de Grupos'!$L:$L)</f>
        <v>1000153245</v>
      </c>
      <c r="K572" s="5" t="str">
        <f>_xlfn.XLOOKUP($N572,'Base de Grupos'!$A:$A,'Base de Grupos'!$M:$M)</f>
        <v>REGIONAL VENDA INTERNA - KEY ACCOUNT</v>
      </c>
      <c r="L572" s="5" t="str">
        <f t="shared" si="245"/>
        <v/>
      </c>
      <c r="M572" s="5" t="str">
        <f>_xlfn.XLOOKUP($N572,'Base de Grupos'!$A:$A,'Base de Grupos'!$C:$C)</f>
        <v>SC</v>
      </c>
      <c r="N572" s="3">
        <v>1431</v>
      </c>
      <c r="O572" s="4" t="s">
        <v>255</v>
      </c>
      <c r="P572" s="5" t="s">
        <v>88</v>
      </c>
      <c r="Q572" s="24">
        <v>0</v>
      </c>
      <c r="R572" s="24">
        <v>17</v>
      </c>
      <c r="S572" s="24">
        <v>19</v>
      </c>
      <c r="T572" s="24">
        <v>0</v>
      </c>
      <c r="U572" s="24">
        <v>0</v>
      </c>
      <c r="V572" s="24">
        <v>0</v>
      </c>
      <c r="W572" s="24">
        <v>0</v>
      </c>
      <c r="X572" s="24">
        <v>0</v>
      </c>
      <c r="Y572" s="24">
        <v>0</v>
      </c>
      <c r="Z572" s="24">
        <v>0</v>
      </c>
      <c r="AA572" s="24">
        <v>0</v>
      </c>
      <c r="AB572" s="24">
        <v>0</v>
      </c>
      <c r="AC572" s="30">
        <f t="shared" si="263"/>
        <v>0</v>
      </c>
      <c r="AD572" s="27">
        <f t="shared" si="265"/>
        <v>0</v>
      </c>
      <c r="AE572" s="25">
        <f>IFERROR(_xlfn.XLOOKUP(N572&amp;P572,'Historico Vendas'!G:G,'Historico Vendas'!E:E),0)</f>
        <v>0</v>
      </c>
      <c r="AF572" s="29" t="str">
        <f t="shared" si="246"/>
        <v/>
      </c>
      <c r="AG572" s="24">
        <f>IFERROR(_xlfn.XLOOKUP(N572&amp;P572,'Historico Vendas'!G:G,'Historico Vendas'!F:F),0)</f>
        <v>0</v>
      </c>
      <c r="AH572" s="25">
        <f t="shared" si="266"/>
        <v>36</v>
      </c>
      <c r="AI572" s="24">
        <f t="shared" si="267"/>
        <v>36</v>
      </c>
      <c r="AJ572" s="11">
        <f t="shared" si="247"/>
        <v>0</v>
      </c>
      <c r="AK572" s="9" t="s">
        <v>102</v>
      </c>
      <c r="AL572" s="13">
        <f>IFERROR(INDEX('Balizador da Meta'!$D$3:$F$23,MATCH(Quantidade!$P572,'Balizador da Meta'!$C$3:$C$23,0),MATCH(Quantidade!AK572,'Balizador da Meta'!$D$2:$F$2,0)),"")</f>
        <v>0</v>
      </c>
      <c r="AM572" s="9"/>
    </row>
    <row r="573" spans="1:39" x14ac:dyDescent="0.3">
      <c r="A573" s="2" t="str">
        <f t="shared" si="244"/>
        <v>NÃO</v>
      </c>
      <c r="B573" s="2" t="str">
        <f>_xlfn.XLOOKUP($N573,'Base de Grupos'!$A:$A,'Base de Grupos'!$D:$D)</f>
        <v>1000065763</v>
      </c>
      <c r="C573" s="5" t="str">
        <f>_xlfn.XLOOKUP($N573,'Base de Grupos'!$A:$A,'Base de Grupos'!$E:$E)</f>
        <v>CANAL VENDA INTERNA</v>
      </c>
      <c r="D573" s="5" t="str">
        <f>_xlfn.XLOOKUP($N573,'Base de Grupos'!$A:$A,'Base de Grupos'!$F:$F)</f>
        <v>1000065763</v>
      </c>
      <c r="E573" s="2" t="str">
        <f>_xlfn.XLOOKUP($N573,'Base de Grupos'!$A:$A,'Base de Grupos'!$G:$G)</f>
        <v>CANAL VENDA INTERNA</v>
      </c>
      <c r="F573" s="2" t="str">
        <f>_xlfn.XLOOKUP($N573,'Base de Grupos'!$A:$A,'Base de Grupos'!$H:$H)</f>
        <v>1000153245</v>
      </c>
      <c r="G573" s="5" t="str">
        <f>_xlfn.XLOOKUP($N573,'Base de Grupos'!$A:$A,'Base de Grupos'!$I:$I)</f>
        <v>REGIONAL VENDA INTERNA - KEY ACCOUNT</v>
      </c>
      <c r="H573" s="5" t="str">
        <f>_xlfn.XLOOKUP($N573,'Base de Grupos'!$A:$A,'Base de Grupos'!$J:$J)</f>
        <v>1000153245</v>
      </c>
      <c r="I573" s="2" t="str">
        <f>_xlfn.XLOOKUP($N573,'Base de Grupos'!$A:$A,'Base de Grupos'!$K:$K)</f>
        <v>REGIONAL VENDA INTERNA - KEY ACCOUNT</v>
      </c>
      <c r="J573" s="2" t="str">
        <f>_xlfn.XLOOKUP($N573,'Base de Grupos'!$A:$A,'Base de Grupos'!$L:$L)</f>
        <v>1000153245</v>
      </c>
      <c r="K573" s="5" t="str">
        <f>_xlfn.XLOOKUP($N573,'Base de Grupos'!$A:$A,'Base de Grupos'!$M:$M)</f>
        <v>REGIONAL VENDA INTERNA - KEY ACCOUNT</v>
      </c>
      <c r="L573" s="5" t="str">
        <f t="shared" si="245"/>
        <v/>
      </c>
      <c r="M573" s="5" t="str">
        <f>_xlfn.XLOOKUP($N573,'Base de Grupos'!$A:$A,'Base de Grupos'!$C:$C)</f>
        <v>SC</v>
      </c>
      <c r="N573" s="3">
        <v>1431</v>
      </c>
      <c r="O573" s="4" t="s">
        <v>255</v>
      </c>
      <c r="P573" s="5" t="s">
        <v>90</v>
      </c>
      <c r="Q573" s="24">
        <v>0</v>
      </c>
      <c r="R573" s="24">
        <v>9.9</v>
      </c>
      <c r="S573" s="24">
        <v>10.3</v>
      </c>
      <c r="T573" s="24">
        <v>0</v>
      </c>
      <c r="U573" s="24">
        <v>0</v>
      </c>
      <c r="V573" s="24">
        <v>0</v>
      </c>
      <c r="W573" s="24">
        <v>0</v>
      </c>
      <c r="X573" s="24">
        <v>0</v>
      </c>
      <c r="Y573" s="24">
        <v>0</v>
      </c>
      <c r="Z573" s="24">
        <v>0</v>
      </c>
      <c r="AA573" s="24">
        <v>0</v>
      </c>
      <c r="AB573" s="24">
        <v>0</v>
      </c>
      <c r="AC573" s="30">
        <f t="shared" si="263"/>
        <v>0</v>
      </c>
      <c r="AD573" s="27">
        <f t="shared" si="265"/>
        <v>0</v>
      </c>
      <c r="AE573" s="25">
        <f>IFERROR(_xlfn.XLOOKUP(N573&amp;P573,'Historico Vendas'!G:G,'Historico Vendas'!E:E),0)</f>
        <v>0</v>
      </c>
      <c r="AF573" s="29" t="str">
        <f t="shared" si="246"/>
        <v/>
      </c>
      <c r="AG573" s="24">
        <f>IFERROR(_xlfn.XLOOKUP(N573&amp;P573,'Historico Vendas'!G:G,'Historico Vendas'!F:F),0)</f>
        <v>0</v>
      </c>
      <c r="AH573" s="25">
        <f t="shared" si="266"/>
        <v>20.200000000000003</v>
      </c>
      <c r="AI573" s="24">
        <f t="shared" si="267"/>
        <v>20.200000000000003</v>
      </c>
      <c r="AJ573" s="11">
        <f t="shared" si="247"/>
        <v>0</v>
      </c>
      <c r="AK573" s="9" t="s">
        <v>102</v>
      </c>
      <c r="AL573" s="13">
        <f>IFERROR(INDEX('Balizador da Meta'!$D$3:$F$23,MATCH(Quantidade!$P573,'Balizador da Meta'!$C$3:$C$23,0),MATCH(Quantidade!AK573,'Balizador da Meta'!$D$2:$F$2,0)),"")</f>
        <v>0</v>
      </c>
      <c r="AM573" s="9"/>
    </row>
    <row r="574" spans="1:39" x14ac:dyDescent="0.3">
      <c r="A574" s="2" t="str">
        <f t="shared" si="244"/>
        <v>NÃO</v>
      </c>
      <c r="B574" s="2" t="str">
        <f>_xlfn.XLOOKUP($N574,'Base de Grupos'!$A:$A,'Base de Grupos'!$D:$D)</f>
        <v>1000065763</v>
      </c>
      <c r="C574" s="5" t="str">
        <f>_xlfn.XLOOKUP($N574,'Base de Grupos'!$A:$A,'Base de Grupos'!$E:$E)</f>
        <v>CANAL VENDA INTERNA</v>
      </c>
      <c r="D574" s="5" t="str">
        <f>_xlfn.XLOOKUP($N574,'Base de Grupos'!$A:$A,'Base de Grupos'!$F:$F)</f>
        <v>1000065763</v>
      </c>
      <c r="E574" s="2" t="str">
        <f>_xlfn.XLOOKUP($N574,'Base de Grupos'!$A:$A,'Base de Grupos'!$G:$G)</f>
        <v>CANAL VENDA INTERNA</v>
      </c>
      <c r="F574" s="2" t="str">
        <f>_xlfn.XLOOKUP($N574,'Base de Grupos'!$A:$A,'Base de Grupos'!$H:$H)</f>
        <v>1000153245</v>
      </c>
      <c r="G574" s="5" t="str">
        <f>_xlfn.XLOOKUP($N574,'Base de Grupos'!$A:$A,'Base de Grupos'!$I:$I)</f>
        <v>REGIONAL VENDA INTERNA - KEY ACCOUNT</v>
      </c>
      <c r="H574" s="5" t="str">
        <f>_xlfn.XLOOKUP($N574,'Base de Grupos'!$A:$A,'Base de Grupos'!$J:$J)</f>
        <v>1000153245</v>
      </c>
      <c r="I574" s="2" t="str">
        <f>_xlfn.XLOOKUP($N574,'Base de Grupos'!$A:$A,'Base de Grupos'!$K:$K)</f>
        <v>REGIONAL VENDA INTERNA - KEY ACCOUNT</v>
      </c>
      <c r="J574" s="2" t="str">
        <f>_xlfn.XLOOKUP($N574,'Base de Grupos'!$A:$A,'Base de Grupos'!$L:$L)</f>
        <v>1000153245</v>
      </c>
      <c r="K574" s="5" t="str">
        <f>_xlfn.XLOOKUP($N574,'Base de Grupos'!$A:$A,'Base de Grupos'!$M:$M)</f>
        <v>REGIONAL VENDA INTERNA - KEY ACCOUNT</v>
      </c>
      <c r="L574" s="5" t="str">
        <f t="shared" si="245"/>
        <v/>
      </c>
      <c r="M574" s="5" t="str">
        <f>_xlfn.XLOOKUP($N574,'Base de Grupos'!$A:$A,'Base de Grupos'!$C:$C)</f>
        <v>SC</v>
      </c>
      <c r="N574" s="3">
        <v>1431</v>
      </c>
      <c r="O574" s="4" t="s">
        <v>255</v>
      </c>
      <c r="P574" s="5" t="s">
        <v>91</v>
      </c>
      <c r="Q574" s="24">
        <v>0</v>
      </c>
      <c r="R574" s="24">
        <v>12</v>
      </c>
      <c r="S574" s="24">
        <v>13</v>
      </c>
      <c r="T574" s="24">
        <v>0</v>
      </c>
      <c r="U574" s="24">
        <v>0</v>
      </c>
      <c r="V574" s="24">
        <v>0</v>
      </c>
      <c r="W574" s="24">
        <v>0</v>
      </c>
      <c r="X574" s="24">
        <v>0</v>
      </c>
      <c r="Y574" s="24">
        <v>0</v>
      </c>
      <c r="Z574" s="24">
        <v>0</v>
      </c>
      <c r="AA574" s="24">
        <v>0</v>
      </c>
      <c r="AB574" s="24">
        <v>0</v>
      </c>
      <c r="AC574" s="30">
        <f t="shared" si="263"/>
        <v>0</v>
      </c>
      <c r="AD574" s="27">
        <f t="shared" si="265"/>
        <v>0</v>
      </c>
      <c r="AE574" s="25">
        <f>IFERROR(_xlfn.XLOOKUP(N574&amp;P574,'Historico Vendas'!G:G,'Historico Vendas'!E:E),0)</f>
        <v>0</v>
      </c>
      <c r="AF574" s="29" t="str">
        <f t="shared" si="246"/>
        <v/>
      </c>
      <c r="AG574" s="24">
        <f>IFERROR(_xlfn.XLOOKUP(N574&amp;P574,'Historico Vendas'!G:G,'Historico Vendas'!F:F),0)</f>
        <v>0</v>
      </c>
      <c r="AH574" s="25">
        <f t="shared" si="266"/>
        <v>25</v>
      </c>
      <c r="AI574" s="24">
        <f t="shared" si="267"/>
        <v>25</v>
      </c>
      <c r="AJ574" s="11">
        <f t="shared" si="247"/>
        <v>0</v>
      </c>
      <c r="AK574" s="9" t="s">
        <v>102</v>
      </c>
      <c r="AL574" s="13">
        <f>IFERROR(INDEX('Balizador da Meta'!$D$3:$F$23,MATCH(Quantidade!$P574,'Balizador da Meta'!$C$3:$C$23,0),MATCH(Quantidade!AK574,'Balizador da Meta'!$D$2:$F$2,0)),"")</f>
        <v>0</v>
      </c>
      <c r="AM574" s="9"/>
    </row>
    <row r="575" spans="1:39" x14ac:dyDescent="0.3">
      <c r="A575" s="2" t="str">
        <f t="shared" si="244"/>
        <v>NÃO</v>
      </c>
      <c r="B575" s="2" t="str">
        <f>_xlfn.XLOOKUP($N575,'Base de Grupos'!$A:$A,'Base de Grupos'!$D:$D)</f>
        <v>1000065763</v>
      </c>
      <c r="C575" s="5" t="str">
        <f>_xlfn.XLOOKUP($N575,'Base de Grupos'!$A:$A,'Base de Grupos'!$E:$E)</f>
        <v>CANAL VENDA INTERNA</v>
      </c>
      <c r="D575" s="5" t="str">
        <f>_xlfn.XLOOKUP($N575,'Base de Grupos'!$A:$A,'Base de Grupos'!$F:$F)</f>
        <v>1000065763</v>
      </c>
      <c r="E575" s="2" t="str">
        <f>_xlfn.XLOOKUP($N575,'Base de Grupos'!$A:$A,'Base de Grupos'!$G:$G)</f>
        <v>CANAL VENDA INTERNA</v>
      </c>
      <c r="F575" s="2" t="str">
        <f>_xlfn.XLOOKUP($N575,'Base de Grupos'!$A:$A,'Base de Grupos'!$H:$H)</f>
        <v>1000153245</v>
      </c>
      <c r="G575" s="5" t="str">
        <f>_xlfn.XLOOKUP($N575,'Base de Grupos'!$A:$A,'Base de Grupos'!$I:$I)</f>
        <v>REGIONAL VENDA INTERNA - KEY ACCOUNT</v>
      </c>
      <c r="H575" s="5" t="str">
        <f>_xlfn.XLOOKUP($N575,'Base de Grupos'!$A:$A,'Base de Grupos'!$J:$J)</f>
        <v>1000153245</v>
      </c>
      <c r="I575" s="2" t="str">
        <f>_xlfn.XLOOKUP($N575,'Base de Grupos'!$A:$A,'Base de Grupos'!$K:$K)</f>
        <v>REGIONAL VENDA INTERNA - KEY ACCOUNT</v>
      </c>
      <c r="J575" s="2" t="str">
        <f>_xlfn.XLOOKUP($N575,'Base de Grupos'!$A:$A,'Base de Grupos'!$L:$L)</f>
        <v>1000153245</v>
      </c>
      <c r="K575" s="5" t="str">
        <f>_xlfn.XLOOKUP($N575,'Base de Grupos'!$A:$A,'Base de Grupos'!$M:$M)</f>
        <v>REGIONAL VENDA INTERNA - KEY ACCOUNT</v>
      </c>
      <c r="L575" s="5" t="str">
        <f t="shared" si="245"/>
        <v/>
      </c>
      <c r="M575" s="5" t="str">
        <f>_xlfn.XLOOKUP($N575,'Base de Grupos'!$A:$A,'Base de Grupos'!$C:$C)</f>
        <v>SC</v>
      </c>
      <c r="N575" s="3">
        <v>1431</v>
      </c>
      <c r="O575" s="4" t="s">
        <v>255</v>
      </c>
      <c r="P575" s="5" t="s">
        <v>96</v>
      </c>
      <c r="Q575" s="24">
        <f>SUM(Q576:Q596)</f>
        <v>0</v>
      </c>
      <c r="R575" s="24">
        <f t="shared" ref="R575" si="268">SUM(R576:R596)</f>
        <v>255.3</v>
      </c>
      <c r="S575" s="24">
        <f t="shared" ref="S575" si="269">SUM(S576:S596)</f>
        <v>293</v>
      </c>
      <c r="T575" s="24">
        <f t="shared" ref="T575:AC575" si="270">SUM(T576:T596)</f>
        <v>0</v>
      </c>
      <c r="U575" s="24">
        <f t="shared" si="270"/>
        <v>0</v>
      </c>
      <c r="V575" s="24">
        <f t="shared" si="270"/>
        <v>0</v>
      </c>
      <c r="W575" s="24">
        <f t="shared" si="270"/>
        <v>0</v>
      </c>
      <c r="X575" s="24">
        <f t="shared" si="270"/>
        <v>0</v>
      </c>
      <c r="Y575" s="24">
        <f t="shared" si="270"/>
        <v>0</v>
      </c>
      <c r="Z575" s="24">
        <f t="shared" si="270"/>
        <v>0</v>
      </c>
      <c r="AA575" s="24">
        <f t="shared" si="270"/>
        <v>0</v>
      </c>
      <c r="AB575" s="24">
        <f t="shared" si="270"/>
        <v>0</v>
      </c>
      <c r="AC575" s="24">
        <f t="shared" si="270"/>
        <v>0</v>
      </c>
      <c r="AD575" s="27">
        <f t="shared" si="265"/>
        <v>0</v>
      </c>
      <c r="AE575" s="25">
        <f>IFERROR(_xlfn.XLOOKUP(N575&amp;P575,'Historico Vendas'!G:G,'Historico Vendas'!E:E),0)</f>
        <v>0</v>
      </c>
      <c r="AF575" s="29" t="str">
        <f t="shared" si="246"/>
        <v/>
      </c>
      <c r="AG575" s="24">
        <f>IFERROR(_xlfn.XLOOKUP(N575&amp;P575,'Historico Vendas'!G:G,'Historico Vendas'!F:F),0)</f>
        <v>0</v>
      </c>
      <c r="AH575" s="25">
        <f t="shared" si="266"/>
        <v>548.29999999999995</v>
      </c>
      <c r="AI575" s="24">
        <f t="shared" si="267"/>
        <v>548.29999999999995</v>
      </c>
      <c r="AJ575" s="11">
        <f t="shared" si="247"/>
        <v>0</v>
      </c>
      <c r="AK575" s="9" t="s">
        <v>102</v>
      </c>
      <c r="AL575" s="13">
        <f>IFERROR(INDEX('Balizador da Meta'!$D$3:$F$23,MATCH(Quantidade!$P575,'Balizador da Meta'!$C$3:$C$23,0),MATCH(Quantidade!AK575,'Balizador da Meta'!$D$2:$F$2,0)),"")</f>
        <v>0</v>
      </c>
      <c r="AM575" s="9"/>
    </row>
    <row r="576" spans="1:39" x14ac:dyDescent="0.3">
      <c r="A576" s="2" t="str">
        <f t="shared" si="244"/>
        <v>NÃO</v>
      </c>
      <c r="B576" s="2" t="str">
        <f>_xlfn.XLOOKUP($N576,'Base de Grupos'!$A:$A,'Base de Grupos'!$D:$D)</f>
        <v>1000065763</v>
      </c>
      <c r="C576" s="5" t="str">
        <f>_xlfn.XLOOKUP($N576,'Base de Grupos'!$A:$A,'Base de Grupos'!$E:$E)</f>
        <v>CANAL VENDA INTERNA</v>
      </c>
      <c r="D576" s="5" t="str">
        <f>_xlfn.XLOOKUP($N576,'Base de Grupos'!$A:$A,'Base de Grupos'!$F:$F)</f>
        <v>1000065763</v>
      </c>
      <c r="E576" s="2" t="str">
        <f>_xlfn.XLOOKUP($N576,'Base de Grupos'!$A:$A,'Base de Grupos'!$G:$G)</f>
        <v>CANAL VENDA INTERNA</v>
      </c>
      <c r="F576" s="2" t="str">
        <f>_xlfn.XLOOKUP($N576,'Base de Grupos'!$A:$A,'Base de Grupos'!$H:$H)</f>
        <v>1000153245</v>
      </c>
      <c r="G576" s="5" t="str">
        <f>_xlfn.XLOOKUP($N576,'Base de Grupos'!$A:$A,'Base de Grupos'!$I:$I)</f>
        <v>REGIONAL VENDA INTERNA - KEY ACCOUNT</v>
      </c>
      <c r="H576" s="5" t="str">
        <f>_xlfn.XLOOKUP($N576,'Base de Grupos'!$A:$A,'Base de Grupos'!$J:$J)</f>
        <v>1000153245</v>
      </c>
      <c r="I576" s="2" t="str">
        <f>_xlfn.XLOOKUP($N576,'Base de Grupos'!$A:$A,'Base de Grupos'!$K:$K)</f>
        <v>REGIONAL VENDA INTERNA - KEY ACCOUNT</v>
      </c>
      <c r="J576" s="2" t="str">
        <f>_xlfn.XLOOKUP($N576,'Base de Grupos'!$A:$A,'Base de Grupos'!$L:$L)</f>
        <v>1000153245</v>
      </c>
      <c r="K576" s="5" t="str">
        <f>_xlfn.XLOOKUP($N576,'Base de Grupos'!$A:$A,'Base de Grupos'!$M:$M)</f>
        <v>REGIONAL VENDA INTERNA - KEY ACCOUNT</v>
      </c>
      <c r="L576" s="5" t="str">
        <f t="shared" si="245"/>
        <v/>
      </c>
      <c r="M576" s="5" t="str">
        <f>_xlfn.XLOOKUP($N576,'Base de Grupos'!$A:$A,'Base de Grupos'!$C:$C)</f>
        <v>SC</v>
      </c>
      <c r="N576" s="3">
        <v>1431</v>
      </c>
      <c r="O576" s="4" t="s">
        <v>255</v>
      </c>
      <c r="P576" s="5" t="s">
        <v>94</v>
      </c>
      <c r="Q576" s="24">
        <v>0</v>
      </c>
      <c r="R576" s="24">
        <v>31</v>
      </c>
      <c r="S576" s="24">
        <v>36</v>
      </c>
      <c r="T576" s="24">
        <v>0</v>
      </c>
      <c r="U576" s="24">
        <v>0</v>
      </c>
      <c r="V576" s="24">
        <v>0</v>
      </c>
      <c r="W576" s="24">
        <v>0</v>
      </c>
      <c r="X576" s="24">
        <v>0</v>
      </c>
      <c r="Y576" s="24">
        <v>0</v>
      </c>
      <c r="Z576" s="24">
        <v>0</v>
      </c>
      <c r="AA576" s="24">
        <v>0</v>
      </c>
      <c r="AB576" s="24">
        <v>0</v>
      </c>
      <c r="AC576" s="30">
        <f t="shared" ref="AC576:AC596" si="271">SUM(T576:AB576)</f>
        <v>0</v>
      </c>
      <c r="AD576" s="27">
        <f t="shared" si="265"/>
        <v>0</v>
      </c>
      <c r="AE576" s="25">
        <f>IFERROR(_xlfn.XLOOKUP(N576&amp;P576,'Historico Vendas'!G:G,'Historico Vendas'!E:E),0)</f>
        <v>0</v>
      </c>
      <c r="AF576" s="29" t="str">
        <f t="shared" si="246"/>
        <v/>
      </c>
      <c r="AG576" s="24">
        <f>IFERROR(_xlfn.XLOOKUP(N576&amp;P576,'Historico Vendas'!G:G,'Historico Vendas'!F:F),0)</f>
        <v>0</v>
      </c>
      <c r="AH576" s="25">
        <f t="shared" si="266"/>
        <v>67</v>
      </c>
      <c r="AI576" s="24">
        <f t="shared" si="267"/>
        <v>67</v>
      </c>
      <c r="AJ576" s="11">
        <f t="shared" si="247"/>
        <v>0</v>
      </c>
      <c r="AK576" s="9" t="s">
        <v>102</v>
      </c>
      <c r="AL576" s="13">
        <f>IFERROR(INDEX('Balizador da Meta'!$D$3:$F$23,MATCH(Quantidade!$P576,'Balizador da Meta'!$C$3:$C$23,0),MATCH(Quantidade!AK576,'Balizador da Meta'!$D$2:$F$2,0)),"")</f>
        <v>0.25</v>
      </c>
      <c r="AM576" s="9"/>
    </row>
    <row r="577" spans="1:39" x14ac:dyDescent="0.3">
      <c r="A577" s="2" t="str">
        <f t="shared" si="244"/>
        <v>NÃO</v>
      </c>
      <c r="B577" s="2" t="str">
        <f>_xlfn.XLOOKUP($N577,'Base de Grupos'!$A:$A,'Base de Grupos'!$D:$D)</f>
        <v>1000065763</v>
      </c>
      <c r="C577" s="5" t="str">
        <f>_xlfn.XLOOKUP($N577,'Base de Grupos'!$A:$A,'Base de Grupos'!$E:$E)</f>
        <v>CANAL VENDA INTERNA</v>
      </c>
      <c r="D577" s="5" t="str">
        <f>_xlfn.XLOOKUP($N577,'Base de Grupos'!$A:$A,'Base de Grupos'!$F:$F)</f>
        <v>1000065763</v>
      </c>
      <c r="E577" s="2" t="str">
        <f>_xlfn.XLOOKUP($N577,'Base de Grupos'!$A:$A,'Base de Grupos'!$G:$G)</f>
        <v>CANAL VENDA INTERNA</v>
      </c>
      <c r="F577" s="2" t="str">
        <f>_xlfn.XLOOKUP($N577,'Base de Grupos'!$A:$A,'Base de Grupos'!$H:$H)</f>
        <v>1000153245</v>
      </c>
      <c r="G577" s="5" t="str">
        <f>_xlfn.XLOOKUP($N577,'Base de Grupos'!$A:$A,'Base de Grupos'!$I:$I)</f>
        <v>REGIONAL VENDA INTERNA - KEY ACCOUNT</v>
      </c>
      <c r="H577" s="5" t="str">
        <f>_xlfn.XLOOKUP($N577,'Base de Grupos'!$A:$A,'Base de Grupos'!$J:$J)</f>
        <v>1000153245</v>
      </c>
      <c r="I577" s="2" t="str">
        <f>_xlfn.XLOOKUP($N577,'Base de Grupos'!$A:$A,'Base de Grupos'!$K:$K)</f>
        <v>REGIONAL VENDA INTERNA - KEY ACCOUNT</v>
      </c>
      <c r="J577" s="2" t="str">
        <f>_xlfn.XLOOKUP($N577,'Base de Grupos'!$A:$A,'Base de Grupos'!$L:$L)</f>
        <v>1000153245</v>
      </c>
      <c r="K577" s="5" t="str">
        <f>_xlfn.XLOOKUP($N577,'Base de Grupos'!$A:$A,'Base de Grupos'!$M:$M)</f>
        <v>REGIONAL VENDA INTERNA - KEY ACCOUNT</v>
      </c>
      <c r="L577" s="5" t="str">
        <f t="shared" si="245"/>
        <v/>
      </c>
      <c r="M577" s="5" t="str">
        <f>_xlfn.XLOOKUP($N577,'Base de Grupos'!$A:$A,'Base de Grupos'!$C:$C)</f>
        <v>SC</v>
      </c>
      <c r="N577" s="3">
        <v>1431</v>
      </c>
      <c r="O577" s="4" t="s">
        <v>255</v>
      </c>
      <c r="P577" s="5" t="s">
        <v>95</v>
      </c>
      <c r="Q577" s="24">
        <v>0</v>
      </c>
      <c r="R577" s="24">
        <v>35</v>
      </c>
      <c r="S577" s="24">
        <v>40</v>
      </c>
      <c r="T577" s="24">
        <v>0</v>
      </c>
      <c r="U577" s="24">
        <v>0</v>
      </c>
      <c r="V577" s="24">
        <v>0</v>
      </c>
      <c r="W577" s="24">
        <v>0</v>
      </c>
      <c r="X577" s="24">
        <v>0</v>
      </c>
      <c r="Y577" s="24">
        <v>0</v>
      </c>
      <c r="Z577" s="24">
        <v>0</v>
      </c>
      <c r="AA577" s="24">
        <v>0</v>
      </c>
      <c r="AB577" s="24">
        <v>0</v>
      </c>
      <c r="AC577" s="30">
        <f t="shared" si="271"/>
        <v>0</v>
      </c>
      <c r="AD577" s="27">
        <f t="shared" si="265"/>
        <v>0</v>
      </c>
      <c r="AE577" s="25">
        <f>IFERROR(_xlfn.XLOOKUP(N577&amp;P577,'Historico Vendas'!G:G,'Historico Vendas'!E:E),0)</f>
        <v>0</v>
      </c>
      <c r="AF577" s="29" t="str">
        <f t="shared" si="246"/>
        <v/>
      </c>
      <c r="AG577" s="24">
        <f>IFERROR(_xlfn.XLOOKUP(N577&amp;P577,'Historico Vendas'!G:G,'Historico Vendas'!F:F),0)</f>
        <v>0</v>
      </c>
      <c r="AH577" s="25">
        <f t="shared" si="266"/>
        <v>75</v>
      </c>
      <c r="AI577" s="24">
        <f t="shared" si="267"/>
        <v>75</v>
      </c>
      <c r="AJ577" s="11">
        <f t="shared" si="247"/>
        <v>0</v>
      </c>
      <c r="AK577" s="9" t="s">
        <v>102</v>
      </c>
      <c r="AL577" s="13">
        <f>IFERROR(INDEX('Balizador da Meta'!$D$3:$F$23,MATCH(Quantidade!$P577,'Balizador da Meta'!$C$3:$C$23,0),MATCH(Quantidade!AK577,'Balizador da Meta'!$D$2:$F$2,0)),"")</f>
        <v>0.25</v>
      </c>
      <c r="AM577" s="9"/>
    </row>
    <row r="578" spans="1:39" x14ac:dyDescent="0.3">
      <c r="A578" s="2" t="str">
        <f t="shared" si="244"/>
        <v>NÃO</v>
      </c>
      <c r="B578" s="2" t="str">
        <f>_xlfn.XLOOKUP($N578,'Base de Grupos'!$A:$A,'Base de Grupos'!$D:$D)</f>
        <v>1000065763</v>
      </c>
      <c r="C578" s="5" t="str">
        <f>_xlfn.XLOOKUP($N578,'Base de Grupos'!$A:$A,'Base de Grupos'!$E:$E)</f>
        <v>CANAL VENDA INTERNA</v>
      </c>
      <c r="D578" s="5" t="str">
        <f>_xlfn.XLOOKUP($N578,'Base de Grupos'!$A:$A,'Base de Grupos'!$F:$F)</f>
        <v>1000065763</v>
      </c>
      <c r="E578" s="2" t="str">
        <f>_xlfn.XLOOKUP($N578,'Base de Grupos'!$A:$A,'Base de Grupos'!$G:$G)</f>
        <v>CANAL VENDA INTERNA</v>
      </c>
      <c r="F578" s="2" t="str">
        <f>_xlfn.XLOOKUP($N578,'Base de Grupos'!$A:$A,'Base de Grupos'!$H:$H)</f>
        <v>1000153245</v>
      </c>
      <c r="G578" s="5" t="str">
        <f>_xlfn.XLOOKUP($N578,'Base de Grupos'!$A:$A,'Base de Grupos'!$I:$I)</f>
        <v>REGIONAL VENDA INTERNA - KEY ACCOUNT</v>
      </c>
      <c r="H578" s="5" t="str">
        <f>_xlfn.XLOOKUP($N578,'Base de Grupos'!$A:$A,'Base de Grupos'!$J:$J)</f>
        <v>1000153245</v>
      </c>
      <c r="I578" s="2" t="str">
        <f>_xlfn.XLOOKUP($N578,'Base de Grupos'!$A:$A,'Base de Grupos'!$K:$K)</f>
        <v>REGIONAL VENDA INTERNA - KEY ACCOUNT</v>
      </c>
      <c r="J578" s="2" t="str">
        <f>_xlfn.XLOOKUP($N578,'Base de Grupos'!$A:$A,'Base de Grupos'!$L:$L)</f>
        <v>1000153245</v>
      </c>
      <c r="K578" s="5" t="str">
        <f>_xlfn.XLOOKUP($N578,'Base de Grupos'!$A:$A,'Base de Grupos'!$M:$M)</f>
        <v>REGIONAL VENDA INTERNA - KEY ACCOUNT</v>
      </c>
      <c r="L578" s="5" t="str">
        <f t="shared" si="245"/>
        <v/>
      </c>
      <c r="M578" s="5" t="str">
        <f>_xlfn.XLOOKUP($N578,'Base de Grupos'!$A:$A,'Base de Grupos'!$C:$C)</f>
        <v>SC</v>
      </c>
      <c r="N578" s="3">
        <v>1431</v>
      </c>
      <c r="O578" s="4" t="s">
        <v>255</v>
      </c>
      <c r="P578" s="5" t="s">
        <v>93</v>
      </c>
      <c r="Q578" s="24">
        <v>0</v>
      </c>
      <c r="R578" s="24">
        <v>21</v>
      </c>
      <c r="S578" s="24">
        <v>24</v>
      </c>
      <c r="T578" s="24">
        <v>0</v>
      </c>
      <c r="U578" s="24">
        <v>0</v>
      </c>
      <c r="V578" s="24">
        <v>0</v>
      </c>
      <c r="W578" s="24">
        <v>0</v>
      </c>
      <c r="X578" s="24">
        <v>0</v>
      </c>
      <c r="Y578" s="24">
        <v>0</v>
      </c>
      <c r="Z578" s="24">
        <v>0</v>
      </c>
      <c r="AA578" s="24">
        <v>0</v>
      </c>
      <c r="AB578" s="24">
        <v>0</v>
      </c>
      <c r="AC578" s="30">
        <f t="shared" si="271"/>
        <v>0</v>
      </c>
      <c r="AD578" s="27">
        <f t="shared" si="265"/>
        <v>0</v>
      </c>
      <c r="AE578" s="25">
        <f>IFERROR(_xlfn.XLOOKUP(N578&amp;P578,'Historico Vendas'!G:G,'Historico Vendas'!E:E),0)</f>
        <v>0</v>
      </c>
      <c r="AF578" s="29" t="str">
        <f t="shared" si="246"/>
        <v/>
      </c>
      <c r="AG578" s="24">
        <f>IFERROR(_xlfn.XLOOKUP(N578&amp;P578,'Historico Vendas'!G:G,'Historico Vendas'!F:F),0)</f>
        <v>0</v>
      </c>
      <c r="AH578" s="25">
        <f t="shared" si="266"/>
        <v>45</v>
      </c>
      <c r="AI578" s="24">
        <f t="shared" si="267"/>
        <v>45</v>
      </c>
      <c r="AJ578" s="11">
        <f t="shared" si="247"/>
        <v>0</v>
      </c>
      <c r="AK578" s="9" t="s">
        <v>102</v>
      </c>
      <c r="AL578" s="13">
        <f>IFERROR(INDEX('Balizador da Meta'!$D$3:$F$23,MATCH(Quantidade!$P578,'Balizador da Meta'!$C$3:$C$23,0),MATCH(Quantidade!AK578,'Balizador da Meta'!$D$2:$F$2,0)),"")</f>
        <v>0.2</v>
      </c>
      <c r="AM578" s="9"/>
    </row>
    <row r="579" spans="1:39" x14ac:dyDescent="0.3">
      <c r="A579" s="2" t="str">
        <f t="shared" ref="A579:A642" si="272">IF(L579=1,"SIM","NÃO")</f>
        <v>SIM</v>
      </c>
      <c r="B579" s="2" t="str">
        <f>_xlfn.XLOOKUP($N579,'Base de Grupos'!$A:$A,'Base de Grupos'!$D:$D)</f>
        <v>1000065763</v>
      </c>
      <c r="C579" s="5" t="str">
        <f>_xlfn.XLOOKUP($N579,'Base de Grupos'!$A:$A,'Base de Grupos'!$E:$E)</f>
        <v>CANAL VENDA INTERNA</v>
      </c>
      <c r="D579" s="5" t="str">
        <f>_xlfn.XLOOKUP($N579,'Base de Grupos'!$A:$A,'Base de Grupos'!$F:$F)</f>
        <v>1000065763</v>
      </c>
      <c r="E579" s="2" t="str">
        <f>_xlfn.XLOOKUP($N579,'Base de Grupos'!$A:$A,'Base de Grupos'!$G:$G)</f>
        <v>CANAL VENDA INTERNA</v>
      </c>
      <c r="F579" s="2" t="str">
        <f>_xlfn.XLOOKUP($N579,'Base de Grupos'!$A:$A,'Base de Grupos'!$H:$H)</f>
        <v>1000153245</v>
      </c>
      <c r="G579" s="5" t="str">
        <f>_xlfn.XLOOKUP($N579,'Base de Grupos'!$A:$A,'Base de Grupos'!$I:$I)</f>
        <v>REGIONAL VENDA INTERNA - KEY ACCOUNT</v>
      </c>
      <c r="H579" s="5" t="str">
        <f>_xlfn.XLOOKUP($N579,'Base de Grupos'!$A:$A,'Base de Grupos'!$J:$J)</f>
        <v>1000153245</v>
      </c>
      <c r="I579" s="2" t="str">
        <f>_xlfn.XLOOKUP($N579,'Base de Grupos'!$A:$A,'Base de Grupos'!$K:$K)</f>
        <v>REGIONAL VENDA INTERNA - KEY ACCOUNT</v>
      </c>
      <c r="J579" s="2" t="str">
        <f>_xlfn.XLOOKUP($N579,'Base de Grupos'!$A:$A,'Base de Grupos'!$L:$L)</f>
        <v>1000153245</v>
      </c>
      <c r="K579" s="5" t="str">
        <f>_xlfn.XLOOKUP($N579,'Base de Grupos'!$A:$A,'Base de Grupos'!$M:$M)</f>
        <v>REGIONAL VENDA INTERNA - KEY ACCOUNT</v>
      </c>
      <c r="L579" s="5">
        <f t="shared" ref="L579:L642" si="273">IF(N579&lt;&gt;N578,1,"")</f>
        <v>1</v>
      </c>
      <c r="M579" s="5" t="str">
        <f>_xlfn.XLOOKUP($N579,'Base de Grupos'!$A:$A,'Base de Grupos'!$C:$C)</f>
        <v>SC</v>
      </c>
      <c r="N579" s="3">
        <v>1432</v>
      </c>
      <c r="O579" s="4" t="s">
        <v>256</v>
      </c>
      <c r="P579" s="5" t="s">
        <v>326</v>
      </c>
      <c r="Q579" s="24">
        <v>0</v>
      </c>
      <c r="R579" s="24">
        <v>17</v>
      </c>
      <c r="S579" s="24">
        <v>19</v>
      </c>
      <c r="T579" s="24">
        <v>0</v>
      </c>
      <c r="U579" s="24">
        <v>0</v>
      </c>
      <c r="V579" s="24">
        <v>0</v>
      </c>
      <c r="W579" s="24">
        <v>0</v>
      </c>
      <c r="X579" s="24">
        <v>0</v>
      </c>
      <c r="Y579" s="24">
        <v>0</v>
      </c>
      <c r="Z579" s="24">
        <v>0</v>
      </c>
      <c r="AA579" s="24">
        <v>0</v>
      </c>
      <c r="AB579" s="24">
        <v>0</v>
      </c>
      <c r="AC579" s="30">
        <f t="shared" si="271"/>
        <v>0</v>
      </c>
      <c r="AD579" s="25">
        <f t="shared" ref="AD579:AI579" si="274">SUM(AD580:AD596)</f>
        <v>0</v>
      </c>
      <c r="AE579" s="25">
        <f t="shared" si="274"/>
        <v>0</v>
      </c>
      <c r="AF579" s="11" t="str">
        <f t="shared" ref="AF579:AF642" si="275">IFERROR((AC579-AE579)/AE579,"")</f>
        <v/>
      </c>
      <c r="AG579" s="24">
        <f t="shared" si="274"/>
        <v>0</v>
      </c>
      <c r="AH579" s="25">
        <f t="shared" si="274"/>
        <v>325.3</v>
      </c>
      <c r="AI579" s="24">
        <f t="shared" si="274"/>
        <v>325.3</v>
      </c>
      <c r="AJ579" s="11">
        <f t="shared" ref="AJ579:AJ642" si="276">IFERROR(AG579/AH579,"")</f>
        <v>0</v>
      </c>
      <c r="AK579" s="9"/>
      <c r="AL579" s="13"/>
      <c r="AM579" s="9"/>
    </row>
    <row r="580" spans="1:39" x14ac:dyDescent="0.3">
      <c r="A580" s="2" t="str">
        <f t="shared" si="272"/>
        <v>NÃO</v>
      </c>
      <c r="B580" s="2" t="str">
        <f>_xlfn.XLOOKUP($N580,'Base de Grupos'!$A:$A,'Base de Grupos'!$D:$D)</f>
        <v>1000065763</v>
      </c>
      <c r="C580" s="5" t="str">
        <f>_xlfn.XLOOKUP($N580,'Base de Grupos'!$A:$A,'Base de Grupos'!$E:$E)</f>
        <v>CANAL VENDA INTERNA</v>
      </c>
      <c r="D580" s="5" t="str">
        <f>_xlfn.XLOOKUP($N580,'Base de Grupos'!$A:$A,'Base de Grupos'!$F:$F)</f>
        <v>1000065763</v>
      </c>
      <c r="E580" s="2" t="str">
        <f>_xlfn.XLOOKUP($N580,'Base de Grupos'!$A:$A,'Base de Grupos'!$G:$G)</f>
        <v>CANAL VENDA INTERNA</v>
      </c>
      <c r="F580" s="2" t="str">
        <f>_xlfn.XLOOKUP($N580,'Base de Grupos'!$A:$A,'Base de Grupos'!$H:$H)</f>
        <v>1000153245</v>
      </c>
      <c r="G580" s="5" t="str">
        <f>_xlfn.XLOOKUP($N580,'Base de Grupos'!$A:$A,'Base de Grupos'!$I:$I)</f>
        <v>REGIONAL VENDA INTERNA - KEY ACCOUNT</v>
      </c>
      <c r="H580" s="5" t="str">
        <f>_xlfn.XLOOKUP($N580,'Base de Grupos'!$A:$A,'Base de Grupos'!$J:$J)</f>
        <v>1000153245</v>
      </c>
      <c r="I580" s="2" t="str">
        <f>_xlfn.XLOOKUP($N580,'Base de Grupos'!$A:$A,'Base de Grupos'!$K:$K)</f>
        <v>REGIONAL VENDA INTERNA - KEY ACCOUNT</v>
      </c>
      <c r="J580" s="2" t="str">
        <f>_xlfn.XLOOKUP($N580,'Base de Grupos'!$A:$A,'Base de Grupos'!$L:$L)</f>
        <v>1000153245</v>
      </c>
      <c r="K580" s="5" t="str">
        <f>_xlfn.XLOOKUP($N580,'Base de Grupos'!$A:$A,'Base de Grupos'!$M:$M)</f>
        <v>REGIONAL VENDA INTERNA - KEY ACCOUNT</v>
      </c>
      <c r="L580" s="5" t="str">
        <f t="shared" si="273"/>
        <v/>
      </c>
      <c r="M580" s="5" t="str">
        <f>_xlfn.XLOOKUP($N580,'Base de Grupos'!$A:$A,'Base de Grupos'!$C:$C)</f>
        <v>SC</v>
      </c>
      <c r="N580" s="3">
        <v>1432</v>
      </c>
      <c r="O580" s="4" t="s">
        <v>256</v>
      </c>
      <c r="P580" s="5" t="s">
        <v>81</v>
      </c>
      <c r="Q580" s="24">
        <v>0</v>
      </c>
      <c r="R580" s="24">
        <v>9</v>
      </c>
      <c r="S580" s="24">
        <v>10</v>
      </c>
      <c r="T580" s="24">
        <v>0</v>
      </c>
      <c r="U580" s="24">
        <v>0</v>
      </c>
      <c r="V580" s="24">
        <v>0</v>
      </c>
      <c r="W580" s="24">
        <v>0</v>
      </c>
      <c r="X580" s="24">
        <v>0</v>
      </c>
      <c r="Y580" s="24">
        <v>0</v>
      </c>
      <c r="Z580" s="24">
        <v>0</v>
      </c>
      <c r="AA580" s="24">
        <v>0</v>
      </c>
      <c r="AB580" s="24">
        <v>0</v>
      </c>
      <c r="AC580" s="30">
        <f t="shared" si="271"/>
        <v>0</v>
      </c>
      <c r="AD580" s="27">
        <f t="shared" ref="AD580:AD596" si="277">IF(AC580=0,0,AC580-AG580)</f>
        <v>0</v>
      </c>
      <c r="AE580" s="25">
        <f>IFERROR(_xlfn.XLOOKUP(N580&amp;P580,'Historico Vendas'!G:G,'Historico Vendas'!E:E),0)</f>
        <v>0</v>
      </c>
      <c r="AF580" s="29" t="str">
        <f t="shared" si="275"/>
        <v/>
      </c>
      <c r="AG580" s="24">
        <f>IFERROR(_xlfn.XLOOKUP(N580&amp;P580,'Historico Vendas'!G:G,'Historico Vendas'!F:F),0)</f>
        <v>0</v>
      </c>
      <c r="AH580" s="25">
        <f t="shared" ref="AH580:AH596" si="278">SUM(Q580:S580)</f>
        <v>19</v>
      </c>
      <c r="AI580" s="24">
        <f t="shared" ref="AI580:AI596" si="279">AH580-AG580</f>
        <v>19</v>
      </c>
      <c r="AJ580" s="11">
        <f t="shared" si="276"/>
        <v>0</v>
      </c>
      <c r="AK580" s="9" t="s">
        <v>102</v>
      </c>
      <c r="AL580" s="13">
        <f>IFERROR(INDEX('Balizador da Meta'!$D$3:$F$23,MATCH(Quantidade!$P580,'Balizador da Meta'!$C$3:$C$23,0),MATCH(Quantidade!AK580,'Balizador da Meta'!$D$2:$F$2,0)),"")</f>
        <v>0.2</v>
      </c>
      <c r="AM580" s="9"/>
    </row>
    <row r="581" spans="1:39" x14ac:dyDescent="0.3">
      <c r="A581" s="2" t="str">
        <f t="shared" si="272"/>
        <v>NÃO</v>
      </c>
      <c r="B581" s="2" t="str">
        <f>_xlfn.XLOOKUP($N581,'Base de Grupos'!$A:$A,'Base de Grupos'!$D:$D)</f>
        <v>1000065763</v>
      </c>
      <c r="C581" s="5" t="str">
        <f>_xlfn.XLOOKUP($N581,'Base de Grupos'!$A:$A,'Base de Grupos'!$E:$E)</f>
        <v>CANAL VENDA INTERNA</v>
      </c>
      <c r="D581" s="5" t="str">
        <f>_xlfn.XLOOKUP($N581,'Base de Grupos'!$A:$A,'Base de Grupos'!$F:$F)</f>
        <v>1000065763</v>
      </c>
      <c r="E581" s="2" t="str">
        <f>_xlfn.XLOOKUP($N581,'Base de Grupos'!$A:$A,'Base de Grupos'!$G:$G)</f>
        <v>CANAL VENDA INTERNA</v>
      </c>
      <c r="F581" s="2" t="str">
        <f>_xlfn.XLOOKUP($N581,'Base de Grupos'!$A:$A,'Base de Grupos'!$H:$H)</f>
        <v>1000153245</v>
      </c>
      <c r="G581" s="5" t="str">
        <f>_xlfn.XLOOKUP($N581,'Base de Grupos'!$A:$A,'Base de Grupos'!$I:$I)</f>
        <v>REGIONAL VENDA INTERNA - KEY ACCOUNT</v>
      </c>
      <c r="H581" s="5" t="str">
        <f>_xlfn.XLOOKUP($N581,'Base de Grupos'!$A:$A,'Base de Grupos'!$J:$J)</f>
        <v>1000153245</v>
      </c>
      <c r="I581" s="2" t="str">
        <f>_xlfn.XLOOKUP($N581,'Base de Grupos'!$A:$A,'Base de Grupos'!$K:$K)</f>
        <v>REGIONAL VENDA INTERNA - KEY ACCOUNT</v>
      </c>
      <c r="J581" s="2" t="str">
        <f>_xlfn.XLOOKUP($N581,'Base de Grupos'!$A:$A,'Base de Grupos'!$L:$L)</f>
        <v>1000153245</v>
      </c>
      <c r="K581" s="5" t="str">
        <f>_xlfn.XLOOKUP($N581,'Base de Grupos'!$A:$A,'Base de Grupos'!$M:$M)</f>
        <v>REGIONAL VENDA INTERNA - KEY ACCOUNT</v>
      </c>
      <c r="L581" s="5" t="str">
        <f t="shared" si="273"/>
        <v/>
      </c>
      <c r="M581" s="5" t="str">
        <f>_xlfn.XLOOKUP($N581,'Base de Grupos'!$A:$A,'Base de Grupos'!$C:$C)</f>
        <v>SC</v>
      </c>
      <c r="N581" s="3">
        <v>1432</v>
      </c>
      <c r="O581" s="4" t="s">
        <v>256</v>
      </c>
      <c r="P581" s="5" t="s">
        <v>82</v>
      </c>
      <c r="Q581" s="24">
        <v>0</v>
      </c>
      <c r="R581" s="24">
        <v>16</v>
      </c>
      <c r="S581" s="24">
        <v>18</v>
      </c>
      <c r="T581" s="24">
        <v>0</v>
      </c>
      <c r="U581" s="24">
        <v>0</v>
      </c>
      <c r="V581" s="24">
        <v>0</v>
      </c>
      <c r="W581" s="24">
        <v>0</v>
      </c>
      <c r="X581" s="24">
        <v>0</v>
      </c>
      <c r="Y581" s="24">
        <v>0</v>
      </c>
      <c r="Z581" s="24">
        <v>0</v>
      </c>
      <c r="AA581" s="24">
        <v>0</v>
      </c>
      <c r="AB581" s="24">
        <v>0</v>
      </c>
      <c r="AC581" s="30">
        <f t="shared" si="271"/>
        <v>0</v>
      </c>
      <c r="AD581" s="27">
        <f t="shared" si="277"/>
        <v>0</v>
      </c>
      <c r="AE581" s="25">
        <f>IFERROR(_xlfn.XLOOKUP(N581&amp;P581,'Historico Vendas'!G:G,'Historico Vendas'!E:E),0)</f>
        <v>0</v>
      </c>
      <c r="AF581" s="29" t="str">
        <f t="shared" si="275"/>
        <v/>
      </c>
      <c r="AG581" s="24">
        <f>IFERROR(_xlfn.XLOOKUP(N581&amp;P581,'Historico Vendas'!G:G,'Historico Vendas'!F:F),0)</f>
        <v>0</v>
      </c>
      <c r="AH581" s="25">
        <f t="shared" si="278"/>
        <v>34</v>
      </c>
      <c r="AI581" s="24">
        <f t="shared" si="279"/>
        <v>34</v>
      </c>
      <c r="AJ581" s="11">
        <f t="shared" si="276"/>
        <v>0</v>
      </c>
      <c r="AK581" s="9" t="s">
        <v>102</v>
      </c>
      <c r="AL581" s="13">
        <f>IFERROR(INDEX('Balizador da Meta'!$D$3:$F$23,MATCH(Quantidade!$P581,'Balizador da Meta'!$C$3:$C$23,0),MATCH(Quantidade!AK581,'Balizador da Meta'!$D$2:$F$2,0)),"")</f>
        <v>0.2</v>
      </c>
      <c r="AM581" s="9"/>
    </row>
    <row r="582" spans="1:39" x14ac:dyDescent="0.3">
      <c r="A582" s="2" t="str">
        <f t="shared" si="272"/>
        <v>NÃO</v>
      </c>
      <c r="B582" s="2" t="str">
        <f>_xlfn.XLOOKUP($N582,'Base de Grupos'!$A:$A,'Base de Grupos'!$D:$D)</f>
        <v>1000065763</v>
      </c>
      <c r="C582" s="5" t="str">
        <f>_xlfn.XLOOKUP($N582,'Base de Grupos'!$A:$A,'Base de Grupos'!$E:$E)</f>
        <v>CANAL VENDA INTERNA</v>
      </c>
      <c r="D582" s="5" t="str">
        <f>_xlfn.XLOOKUP($N582,'Base de Grupos'!$A:$A,'Base de Grupos'!$F:$F)</f>
        <v>1000065763</v>
      </c>
      <c r="E582" s="2" t="str">
        <f>_xlfn.XLOOKUP($N582,'Base de Grupos'!$A:$A,'Base de Grupos'!$G:$G)</f>
        <v>CANAL VENDA INTERNA</v>
      </c>
      <c r="F582" s="2" t="str">
        <f>_xlfn.XLOOKUP($N582,'Base de Grupos'!$A:$A,'Base de Grupos'!$H:$H)</f>
        <v>1000153245</v>
      </c>
      <c r="G582" s="5" t="str">
        <f>_xlfn.XLOOKUP($N582,'Base de Grupos'!$A:$A,'Base de Grupos'!$I:$I)</f>
        <v>REGIONAL VENDA INTERNA - KEY ACCOUNT</v>
      </c>
      <c r="H582" s="5" t="str">
        <f>_xlfn.XLOOKUP($N582,'Base de Grupos'!$A:$A,'Base de Grupos'!$J:$J)</f>
        <v>1000153245</v>
      </c>
      <c r="I582" s="2" t="str">
        <f>_xlfn.XLOOKUP($N582,'Base de Grupos'!$A:$A,'Base de Grupos'!$K:$K)</f>
        <v>REGIONAL VENDA INTERNA - KEY ACCOUNT</v>
      </c>
      <c r="J582" s="2" t="str">
        <f>_xlfn.XLOOKUP($N582,'Base de Grupos'!$A:$A,'Base de Grupos'!$L:$L)</f>
        <v>1000153245</v>
      </c>
      <c r="K582" s="5" t="str">
        <f>_xlfn.XLOOKUP($N582,'Base de Grupos'!$A:$A,'Base de Grupos'!$M:$M)</f>
        <v>REGIONAL VENDA INTERNA - KEY ACCOUNT</v>
      </c>
      <c r="L582" s="5" t="str">
        <f t="shared" si="273"/>
        <v/>
      </c>
      <c r="M582" s="5" t="str">
        <f>_xlfn.XLOOKUP($N582,'Base de Grupos'!$A:$A,'Base de Grupos'!$C:$C)</f>
        <v>SC</v>
      </c>
      <c r="N582" s="3">
        <v>1432</v>
      </c>
      <c r="O582" s="4" t="s">
        <v>256</v>
      </c>
      <c r="P582" s="5" t="s">
        <v>84</v>
      </c>
      <c r="Q582" s="24">
        <v>0</v>
      </c>
      <c r="R582" s="24">
        <v>5</v>
      </c>
      <c r="S582" s="24">
        <v>6</v>
      </c>
      <c r="T582" s="24">
        <v>0</v>
      </c>
      <c r="U582" s="24">
        <v>0</v>
      </c>
      <c r="V582" s="24">
        <v>0</v>
      </c>
      <c r="W582" s="24">
        <v>0</v>
      </c>
      <c r="X582" s="24">
        <v>0</v>
      </c>
      <c r="Y582" s="24">
        <v>0</v>
      </c>
      <c r="Z582" s="24">
        <v>0</v>
      </c>
      <c r="AA582" s="24">
        <v>0</v>
      </c>
      <c r="AB582" s="24">
        <v>0</v>
      </c>
      <c r="AC582" s="30">
        <f t="shared" si="271"/>
        <v>0</v>
      </c>
      <c r="AD582" s="27">
        <f t="shared" si="277"/>
        <v>0</v>
      </c>
      <c r="AE582" s="25">
        <f>IFERROR(_xlfn.XLOOKUP(N582&amp;P582,'Historico Vendas'!G:G,'Historico Vendas'!E:E),0)</f>
        <v>0</v>
      </c>
      <c r="AF582" s="29" t="str">
        <f t="shared" si="275"/>
        <v/>
      </c>
      <c r="AG582" s="24">
        <f>IFERROR(_xlfn.XLOOKUP(N582&amp;P582,'Historico Vendas'!G:G,'Historico Vendas'!F:F),0)</f>
        <v>0</v>
      </c>
      <c r="AH582" s="25">
        <f t="shared" si="278"/>
        <v>11</v>
      </c>
      <c r="AI582" s="24">
        <f t="shared" si="279"/>
        <v>11</v>
      </c>
      <c r="AJ582" s="11">
        <f t="shared" si="276"/>
        <v>0</v>
      </c>
      <c r="AK582" s="9" t="s">
        <v>102</v>
      </c>
      <c r="AL582" s="13">
        <f>IFERROR(INDEX('Balizador da Meta'!$D$3:$F$23,MATCH(Quantidade!$P582,'Balizador da Meta'!$C$3:$C$23,0),MATCH(Quantidade!AK582,'Balizador da Meta'!$D$2:$F$2,0)),"")</f>
        <v>0.15</v>
      </c>
      <c r="AM582" s="9"/>
    </row>
    <row r="583" spans="1:39" x14ac:dyDescent="0.3">
      <c r="A583" s="2" t="str">
        <f t="shared" si="272"/>
        <v>NÃO</v>
      </c>
      <c r="B583" s="2" t="str">
        <f>_xlfn.XLOOKUP($N583,'Base de Grupos'!$A:$A,'Base de Grupos'!$D:$D)</f>
        <v>1000065763</v>
      </c>
      <c r="C583" s="5" t="str">
        <f>_xlfn.XLOOKUP($N583,'Base de Grupos'!$A:$A,'Base de Grupos'!$E:$E)</f>
        <v>CANAL VENDA INTERNA</v>
      </c>
      <c r="D583" s="5" t="str">
        <f>_xlfn.XLOOKUP($N583,'Base de Grupos'!$A:$A,'Base de Grupos'!$F:$F)</f>
        <v>1000065763</v>
      </c>
      <c r="E583" s="2" t="str">
        <f>_xlfn.XLOOKUP($N583,'Base de Grupos'!$A:$A,'Base de Grupos'!$G:$G)</f>
        <v>CANAL VENDA INTERNA</v>
      </c>
      <c r="F583" s="2" t="str">
        <f>_xlfn.XLOOKUP($N583,'Base de Grupos'!$A:$A,'Base de Grupos'!$H:$H)</f>
        <v>1000153245</v>
      </c>
      <c r="G583" s="5" t="str">
        <f>_xlfn.XLOOKUP($N583,'Base de Grupos'!$A:$A,'Base de Grupos'!$I:$I)</f>
        <v>REGIONAL VENDA INTERNA - KEY ACCOUNT</v>
      </c>
      <c r="H583" s="5" t="str">
        <f>_xlfn.XLOOKUP($N583,'Base de Grupos'!$A:$A,'Base de Grupos'!$J:$J)</f>
        <v>1000153245</v>
      </c>
      <c r="I583" s="2" t="str">
        <f>_xlfn.XLOOKUP($N583,'Base de Grupos'!$A:$A,'Base de Grupos'!$K:$K)</f>
        <v>REGIONAL VENDA INTERNA - KEY ACCOUNT</v>
      </c>
      <c r="J583" s="2" t="str">
        <f>_xlfn.XLOOKUP($N583,'Base de Grupos'!$A:$A,'Base de Grupos'!$L:$L)</f>
        <v>1000153245</v>
      </c>
      <c r="K583" s="5" t="str">
        <f>_xlfn.XLOOKUP($N583,'Base de Grupos'!$A:$A,'Base de Grupos'!$M:$M)</f>
        <v>REGIONAL VENDA INTERNA - KEY ACCOUNT</v>
      </c>
      <c r="L583" s="5" t="str">
        <f t="shared" si="273"/>
        <v/>
      </c>
      <c r="M583" s="5" t="str">
        <f>_xlfn.XLOOKUP($N583,'Base de Grupos'!$A:$A,'Base de Grupos'!$C:$C)</f>
        <v>SC</v>
      </c>
      <c r="N583" s="3">
        <v>1432</v>
      </c>
      <c r="O583" s="4" t="s">
        <v>256</v>
      </c>
      <c r="P583" s="5" t="s">
        <v>83</v>
      </c>
      <c r="Q583" s="24">
        <v>0</v>
      </c>
      <c r="R583" s="24">
        <v>7</v>
      </c>
      <c r="S583" s="24">
        <v>8</v>
      </c>
      <c r="T583" s="24">
        <v>0</v>
      </c>
      <c r="U583" s="24">
        <v>0</v>
      </c>
      <c r="V583" s="24">
        <v>0</v>
      </c>
      <c r="W583" s="24">
        <v>0</v>
      </c>
      <c r="X583" s="24">
        <v>0</v>
      </c>
      <c r="Y583" s="24">
        <v>0</v>
      </c>
      <c r="Z583" s="24">
        <v>0</v>
      </c>
      <c r="AA583" s="24">
        <v>0</v>
      </c>
      <c r="AB583" s="24">
        <v>0</v>
      </c>
      <c r="AC583" s="30">
        <f t="shared" si="271"/>
        <v>0</v>
      </c>
      <c r="AD583" s="27">
        <f t="shared" si="277"/>
        <v>0</v>
      </c>
      <c r="AE583" s="25">
        <f>IFERROR(_xlfn.XLOOKUP(N583&amp;P583,'Historico Vendas'!G:G,'Historico Vendas'!E:E),0)</f>
        <v>0</v>
      </c>
      <c r="AF583" s="29" t="str">
        <f t="shared" si="275"/>
        <v/>
      </c>
      <c r="AG583" s="24">
        <f>IFERROR(_xlfn.XLOOKUP(N583&amp;P583,'Historico Vendas'!G:G,'Historico Vendas'!F:F),0)</f>
        <v>0</v>
      </c>
      <c r="AH583" s="25">
        <f t="shared" si="278"/>
        <v>15</v>
      </c>
      <c r="AI583" s="24">
        <f t="shared" si="279"/>
        <v>15</v>
      </c>
      <c r="AJ583" s="11">
        <f t="shared" si="276"/>
        <v>0</v>
      </c>
      <c r="AK583" s="9" t="s">
        <v>102</v>
      </c>
      <c r="AL583" s="13">
        <f>IFERROR(INDEX('Balizador da Meta'!$D$3:$F$23,MATCH(Quantidade!$P583,'Balizador da Meta'!$C$3:$C$23,0),MATCH(Quantidade!AK583,'Balizador da Meta'!$D$2:$F$2,0)),"")</f>
        <v>0</v>
      </c>
      <c r="AM583" s="9"/>
    </row>
    <row r="584" spans="1:39" x14ac:dyDescent="0.3">
      <c r="A584" s="2" t="str">
        <f t="shared" si="272"/>
        <v>NÃO</v>
      </c>
      <c r="B584" s="2" t="str">
        <f>_xlfn.XLOOKUP($N584,'Base de Grupos'!$A:$A,'Base de Grupos'!$D:$D)</f>
        <v>1000065763</v>
      </c>
      <c r="C584" s="5" t="str">
        <f>_xlfn.XLOOKUP($N584,'Base de Grupos'!$A:$A,'Base de Grupos'!$E:$E)</f>
        <v>CANAL VENDA INTERNA</v>
      </c>
      <c r="D584" s="5" t="str">
        <f>_xlfn.XLOOKUP($N584,'Base de Grupos'!$A:$A,'Base de Grupos'!$F:$F)</f>
        <v>1000065763</v>
      </c>
      <c r="E584" s="2" t="str">
        <f>_xlfn.XLOOKUP($N584,'Base de Grupos'!$A:$A,'Base de Grupos'!$G:$G)</f>
        <v>CANAL VENDA INTERNA</v>
      </c>
      <c r="F584" s="2" t="str">
        <f>_xlfn.XLOOKUP($N584,'Base de Grupos'!$A:$A,'Base de Grupos'!$H:$H)</f>
        <v>1000153245</v>
      </c>
      <c r="G584" s="5" t="str">
        <f>_xlfn.XLOOKUP($N584,'Base de Grupos'!$A:$A,'Base de Grupos'!$I:$I)</f>
        <v>REGIONAL VENDA INTERNA - KEY ACCOUNT</v>
      </c>
      <c r="H584" s="5" t="str">
        <f>_xlfn.XLOOKUP($N584,'Base de Grupos'!$A:$A,'Base de Grupos'!$J:$J)</f>
        <v>1000153245</v>
      </c>
      <c r="I584" s="2" t="str">
        <f>_xlfn.XLOOKUP($N584,'Base de Grupos'!$A:$A,'Base de Grupos'!$K:$K)</f>
        <v>REGIONAL VENDA INTERNA - KEY ACCOUNT</v>
      </c>
      <c r="J584" s="2" t="str">
        <f>_xlfn.XLOOKUP($N584,'Base de Grupos'!$A:$A,'Base de Grupos'!$L:$L)</f>
        <v>1000153245</v>
      </c>
      <c r="K584" s="5" t="str">
        <f>_xlfn.XLOOKUP($N584,'Base de Grupos'!$A:$A,'Base de Grupos'!$M:$M)</f>
        <v>REGIONAL VENDA INTERNA - KEY ACCOUNT</v>
      </c>
      <c r="L584" s="5" t="str">
        <f t="shared" si="273"/>
        <v/>
      </c>
      <c r="M584" s="5" t="str">
        <f>_xlfn.XLOOKUP($N584,'Base de Grupos'!$A:$A,'Base de Grupos'!$C:$C)</f>
        <v>SC</v>
      </c>
      <c r="N584" s="3">
        <v>1432</v>
      </c>
      <c r="O584" s="4" t="s">
        <v>256</v>
      </c>
      <c r="P584" s="5" t="s">
        <v>87</v>
      </c>
      <c r="Q584" s="24">
        <v>0</v>
      </c>
      <c r="R584" s="24">
        <v>22</v>
      </c>
      <c r="S584" s="24">
        <v>26</v>
      </c>
      <c r="T584" s="24">
        <v>0</v>
      </c>
      <c r="U584" s="24">
        <v>0</v>
      </c>
      <c r="V584" s="24">
        <v>0</v>
      </c>
      <c r="W584" s="24">
        <v>0</v>
      </c>
      <c r="X584" s="24">
        <v>0</v>
      </c>
      <c r="Y584" s="24">
        <v>0</v>
      </c>
      <c r="Z584" s="24">
        <v>0</v>
      </c>
      <c r="AA584" s="24">
        <v>0</v>
      </c>
      <c r="AB584" s="24">
        <v>0</v>
      </c>
      <c r="AC584" s="30">
        <f t="shared" si="271"/>
        <v>0</v>
      </c>
      <c r="AD584" s="27">
        <f t="shared" si="277"/>
        <v>0</v>
      </c>
      <c r="AE584" s="25">
        <f>IFERROR(_xlfn.XLOOKUP(N584&amp;P584,'Historico Vendas'!G:G,'Historico Vendas'!E:E),0)</f>
        <v>0</v>
      </c>
      <c r="AF584" s="29" t="str">
        <f t="shared" si="275"/>
        <v/>
      </c>
      <c r="AG584" s="24">
        <f>IFERROR(_xlfn.XLOOKUP(N584&amp;P584,'Historico Vendas'!G:G,'Historico Vendas'!F:F),0)</f>
        <v>0</v>
      </c>
      <c r="AH584" s="25">
        <f t="shared" si="278"/>
        <v>48</v>
      </c>
      <c r="AI584" s="24">
        <f t="shared" si="279"/>
        <v>48</v>
      </c>
      <c r="AJ584" s="11">
        <f t="shared" si="276"/>
        <v>0</v>
      </c>
      <c r="AK584" s="9" t="s">
        <v>102</v>
      </c>
      <c r="AL584" s="13">
        <f>IFERROR(INDEX('Balizador da Meta'!$D$3:$F$23,MATCH(Quantidade!$P584,'Balizador da Meta'!$C$3:$C$23,0),MATCH(Quantidade!AK584,'Balizador da Meta'!$D$2:$F$2,0)),"")</f>
        <v>0</v>
      </c>
      <c r="AM584" s="9"/>
    </row>
    <row r="585" spans="1:39" x14ac:dyDescent="0.3">
      <c r="A585" s="2" t="str">
        <f t="shared" si="272"/>
        <v>NÃO</v>
      </c>
      <c r="B585" s="2" t="str">
        <f>_xlfn.XLOOKUP($N585,'Base de Grupos'!$A:$A,'Base de Grupos'!$D:$D)</f>
        <v>1000065763</v>
      </c>
      <c r="C585" s="5" t="str">
        <f>_xlfn.XLOOKUP($N585,'Base de Grupos'!$A:$A,'Base de Grupos'!$E:$E)</f>
        <v>CANAL VENDA INTERNA</v>
      </c>
      <c r="D585" s="5" t="str">
        <f>_xlfn.XLOOKUP($N585,'Base de Grupos'!$A:$A,'Base de Grupos'!$F:$F)</f>
        <v>1000065763</v>
      </c>
      <c r="E585" s="2" t="str">
        <f>_xlfn.XLOOKUP($N585,'Base de Grupos'!$A:$A,'Base de Grupos'!$G:$G)</f>
        <v>CANAL VENDA INTERNA</v>
      </c>
      <c r="F585" s="2" t="str">
        <f>_xlfn.XLOOKUP($N585,'Base de Grupos'!$A:$A,'Base de Grupos'!$H:$H)</f>
        <v>1000153245</v>
      </c>
      <c r="G585" s="5" t="str">
        <f>_xlfn.XLOOKUP($N585,'Base de Grupos'!$A:$A,'Base de Grupos'!$I:$I)</f>
        <v>REGIONAL VENDA INTERNA - KEY ACCOUNT</v>
      </c>
      <c r="H585" s="5" t="str">
        <f>_xlfn.XLOOKUP($N585,'Base de Grupos'!$A:$A,'Base de Grupos'!$J:$J)</f>
        <v>1000153245</v>
      </c>
      <c r="I585" s="2" t="str">
        <f>_xlfn.XLOOKUP($N585,'Base de Grupos'!$A:$A,'Base de Grupos'!$K:$K)</f>
        <v>REGIONAL VENDA INTERNA - KEY ACCOUNT</v>
      </c>
      <c r="J585" s="2" t="str">
        <f>_xlfn.XLOOKUP($N585,'Base de Grupos'!$A:$A,'Base de Grupos'!$L:$L)</f>
        <v>1000153245</v>
      </c>
      <c r="K585" s="5" t="str">
        <f>_xlfn.XLOOKUP($N585,'Base de Grupos'!$A:$A,'Base de Grupos'!$M:$M)</f>
        <v>REGIONAL VENDA INTERNA - KEY ACCOUNT</v>
      </c>
      <c r="L585" s="5" t="str">
        <f t="shared" si="273"/>
        <v/>
      </c>
      <c r="M585" s="5" t="str">
        <f>_xlfn.XLOOKUP($N585,'Base de Grupos'!$A:$A,'Base de Grupos'!$C:$C)</f>
        <v>SC</v>
      </c>
      <c r="N585" s="3">
        <v>1432</v>
      </c>
      <c r="O585" s="4" t="s">
        <v>256</v>
      </c>
      <c r="P585" s="5" t="s">
        <v>85</v>
      </c>
      <c r="Q585" s="24">
        <v>0</v>
      </c>
      <c r="R585" s="24">
        <v>0</v>
      </c>
      <c r="S585" s="24">
        <v>0</v>
      </c>
      <c r="T585" s="24">
        <v>0</v>
      </c>
      <c r="U585" s="24">
        <v>0</v>
      </c>
      <c r="V585" s="24">
        <v>0</v>
      </c>
      <c r="W585" s="24">
        <v>0</v>
      </c>
      <c r="X585" s="24">
        <v>0</v>
      </c>
      <c r="Y585" s="24">
        <v>0</v>
      </c>
      <c r="Z585" s="24">
        <v>0</v>
      </c>
      <c r="AA585" s="24">
        <v>0</v>
      </c>
      <c r="AB585" s="24">
        <v>0</v>
      </c>
      <c r="AC585" s="30">
        <f t="shared" si="271"/>
        <v>0</v>
      </c>
      <c r="AD585" s="27">
        <f t="shared" si="277"/>
        <v>0</v>
      </c>
      <c r="AE585" s="25">
        <f>IFERROR(_xlfn.XLOOKUP(N585&amp;P585,'Historico Vendas'!G:G,'Historico Vendas'!E:E),0)</f>
        <v>0</v>
      </c>
      <c r="AF585" s="29" t="str">
        <f t="shared" si="275"/>
        <v/>
      </c>
      <c r="AG585" s="24">
        <f>IFERROR(_xlfn.XLOOKUP(N585&amp;P585,'Historico Vendas'!G:G,'Historico Vendas'!F:F),0)</f>
        <v>0</v>
      </c>
      <c r="AH585" s="25">
        <f t="shared" si="278"/>
        <v>0</v>
      </c>
      <c r="AI585" s="24">
        <f t="shared" si="279"/>
        <v>0</v>
      </c>
      <c r="AJ585" s="11" t="str">
        <f t="shared" si="276"/>
        <v/>
      </c>
      <c r="AK585" s="9" t="s">
        <v>102</v>
      </c>
      <c r="AL585" s="13">
        <f>IFERROR(INDEX('Balizador da Meta'!$D$3:$F$23,MATCH(Quantidade!$P585,'Balizador da Meta'!$C$3:$C$23,0),MATCH(Quantidade!AK585,'Balizador da Meta'!$D$2:$F$2,0)),"")</f>
        <v>0</v>
      </c>
      <c r="AM585" s="9"/>
    </row>
    <row r="586" spans="1:39" x14ac:dyDescent="0.3">
      <c r="A586" s="2" t="str">
        <f t="shared" si="272"/>
        <v>NÃO</v>
      </c>
      <c r="B586" s="2" t="str">
        <f>_xlfn.XLOOKUP($N586,'Base de Grupos'!$A:$A,'Base de Grupos'!$D:$D)</f>
        <v>1000065763</v>
      </c>
      <c r="C586" s="5" t="str">
        <f>_xlfn.XLOOKUP($N586,'Base de Grupos'!$A:$A,'Base de Grupos'!$E:$E)</f>
        <v>CANAL VENDA INTERNA</v>
      </c>
      <c r="D586" s="5" t="str">
        <f>_xlfn.XLOOKUP($N586,'Base de Grupos'!$A:$A,'Base de Grupos'!$F:$F)</f>
        <v>1000065763</v>
      </c>
      <c r="E586" s="2" t="str">
        <f>_xlfn.XLOOKUP($N586,'Base de Grupos'!$A:$A,'Base de Grupos'!$G:$G)</f>
        <v>CANAL VENDA INTERNA</v>
      </c>
      <c r="F586" s="2" t="str">
        <f>_xlfn.XLOOKUP($N586,'Base de Grupos'!$A:$A,'Base de Grupos'!$H:$H)</f>
        <v>1000153245</v>
      </c>
      <c r="G586" s="5" t="str">
        <f>_xlfn.XLOOKUP($N586,'Base de Grupos'!$A:$A,'Base de Grupos'!$I:$I)</f>
        <v>REGIONAL VENDA INTERNA - KEY ACCOUNT</v>
      </c>
      <c r="H586" s="5" t="str">
        <f>_xlfn.XLOOKUP($N586,'Base de Grupos'!$A:$A,'Base de Grupos'!$J:$J)</f>
        <v>1000153245</v>
      </c>
      <c r="I586" s="2" t="str">
        <f>_xlfn.XLOOKUP($N586,'Base de Grupos'!$A:$A,'Base de Grupos'!$K:$K)</f>
        <v>REGIONAL VENDA INTERNA - KEY ACCOUNT</v>
      </c>
      <c r="J586" s="2" t="str">
        <f>_xlfn.XLOOKUP($N586,'Base de Grupos'!$A:$A,'Base de Grupos'!$L:$L)</f>
        <v>1000153245</v>
      </c>
      <c r="K586" s="5" t="str">
        <f>_xlfn.XLOOKUP($N586,'Base de Grupos'!$A:$A,'Base de Grupos'!$M:$M)</f>
        <v>REGIONAL VENDA INTERNA - KEY ACCOUNT</v>
      </c>
      <c r="L586" s="5" t="str">
        <f t="shared" si="273"/>
        <v/>
      </c>
      <c r="M586" s="5" t="str">
        <f>_xlfn.XLOOKUP($N586,'Base de Grupos'!$A:$A,'Base de Grupos'!$C:$C)</f>
        <v>SC</v>
      </c>
      <c r="N586" s="3">
        <v>1432</v>
      </c>
      <c r="O586" s="4" t="s">
        <v>256</v>
      </c>
      <c r="P586" s="5" t="s">
        <v>92</v>
      </c>
      <c r="Q586" s="24">
        <v>0</v>
      </c>
      <c r="R586" s="24">
        <v>0</v>
      </c>
      <c r="S586" s="24">
        <v>0</v>
      </c>
      <c r="T586" s="24">
        <v>0</v>
      </c>
      <c r="U586" s="24">
        <v>0</v>
      </c>
      <c r="V586" s="24">
        <v>0</v>
      </c>
      <c r="W586" s="24">
        <v>0</v>
      </c>
      <c r="X586" s="24">
        <v>0</v>
      </c>
      <c r="Y586" s="24">
        <v>0</v>
      </c>
      <c r="Z586" s="24">
        <v>0</v>
      </c>
      <c r="AA586" s="24">
        <v>0</v>
      </c>
      <c r="AB586" s="24">
        <v>0</v>
      </c>
      <c r="AC586" s="30">
        <f t="shared" si="271"/>
        <v>0</v>
      </c>
      <c r="AD586" s="27">
        <f t="shared" si="277"/>
        <v>0</v>
      </c>
      <c r="AE586" s="25">
        <f>IFERROR(_xlfn.XLOOKUP(N586&amp;P586,'Historico Vendas'!G:G,'Historico Vendas'!E:E),0)</f>
        <v>0</v>
      </c>
      <c r="AF586" s="29" t="str">
        <f t="shared" si="275"/>
        <v/>
      </c>
      <c r="AG586" s="24">
        <f>IFERROR(_xlfn.XLOOKUP(N586&amp;P586,'Historico Vendas'!G:G,'Historico Vendas'!F:F),0)</f>
        <v>0</v>
      </c>
      <c r="AH586" s="25">
        <f t="shared" si="278"/>
        <v>0</v>
      </c>
      <c r="AI586" s="24">
        <f t="shared" si="279"/>
        <v>0</v>
      </c>
      <c r="AJ586" s="11" t="str">
        <f t="shared" si="276"/>
        <v/>
      </c>
      <c r="AK586" s="9" t="s">
        <v>102</v>
      </c>
      <c r="AL586" s="13">
        <f>IFERROR(INDEX('Balizador da Meta'!$D$3:$F$23,MATCH(Quantidade!$P586,'Balizador da Meta'!$C$3:$C$23,0),MATCH(Quantidade!AK586,'Balizador da Meta'!$D$2:$F$2,0)),"")</f>
        <v>0</v>
      </c>
      <c r="AM586" s="9"/>
    </row>
    <row r="587" spans="1:39" x14ac:dyDescent="0.3">
      <c r="A587" s="2" t="str">
        <f t="shared" si="272"/>
        <v>NÃO</v>
      </c>
      <c r="B587" s="2" t="str">
        <f>_xlfn.XLOOKUP($N587,'Base de Grupos'!$A:$A,'Base de Grupos'!$D:$D)</f>
        <v>1000065763</v>
      </c>
      <c r="C587" s="5" t="str">
        <f>_xlfn.XLOOKUP($N587,'Base de Grupos'!$A:$A,'Base de Grupos'!$E:$E)</f>
        <v>CANAL VENDA INTERNA</v>
      </c>
      <c r="D587" s="5" t="str">
        <f>_xlfn.XLOOKUP($N587,'Base de Grupos'!$A:$A,'Base de Grupos'!$F:$F)</f>
        <v>1000065763</v>
      </c>
      <c r="E587" s="2" t="str">
        <f>_xlfn.XLOOKUP($N587,'Base de Grupos'!$A:$A,'Base de Grupos'!$G:$G)</f>
        <v>CANAL VENDA INTERNA</v>
      </c>
      <c r="F587" s="2" t="str">
        <f>_xlfn.XLOOKUP($N587,'Base de Grupos'!$A:$A,'Base de Grupos'!$H:$H)</f>
        <v>1000153245</v>
      </c>
      <c r="G587" s="5" t="str">
        <f>_xlfn.XLOOKUP($N587,'Base de Grupos'!$A:$A,'Base de Grupos'!$I:$I)</f>
        <v>REGIONAL VENDA INTERNA - KEY ACCOUNT</v>
      </c>
      <c r="H587" s="5" t="str">
        <f>_xlfn.XLOOKUP($N587,'Base de Grupos'!$A:$A,'Base de Grupos'!$J:$J)</f>
        <v>1000153245</v>
      </c>
      <c r="I587" s="2" t="str">
        <f>_xlfn.XLOOKUP($N587,'Base de Grupos'!$A:$A,'Base de Grupos'!$K:$K)</f>
        <v>REGIONAL VENDA INTERNA - KEY ACCOUNT</v>
      </c>
      <c r="J587" s="2" t="str">
        <f>_xlfn.XLOOKUP($N587,'Base de Grupos'!$A:$A,'Base de Grupos'!$L:$L)</f>
        <v>1000153245</v>
      </c>
      <c r="K587" s="5" t="str">
        <f>_xlfn.XLOOKUP($N587,'Base de Grupos'!$A:$A,'Base de Grupos'!$M:$M)</f>
        <v>REGIONAL VENDA INTERNA - KEY ACCOUNT</v>
      </c>
      <c r="L587" s="5" t="str">
        <f t="shared" si="273"/>
        <v/>
      </c>
      <c r="M587" s="5" t="str">
        <f>_xlfn.XLOOKUP($N587,'Base de Grupos'!$A:$A,'Base de Grupos'!$C:$C)</f>
        <v>SC</v>
      </c>
      <c r="N587" s="3">
        <v>1432</v>
      </c>
      <c r="O587" s="4" t="s">
        <v>256</v>
      </c>
      <c r="P587" s="5" t="s">
        <v>86</v>
      </c>
      <c r="Q587" s="24">
        <v>0</v>
      </c>
      <c r="R587" s="24">
        <v>0</v>
      </c>
      <c r="S587" s="24">
        <v>0</v>
      </c>
      <c r="T587" s="24">
        <v>0</v>
      </c>
      <c r="U587" s="24">
        <v>0</v>
      </c>
      <c r="V587" s="24">
        <v>0</v>
      </c>
      <c r="W587" s="24">
        <v>0</v>
      </c>
      <c r="X587" s="24">
        <v>0</v>
      </c>
      <c r="Y587" s="24">
        <v>0</v>
      </c>
      <c r="Z587" s="24">
        <v>0</v>
      </c>
      <c r="AA587" s="24">
        <v>0</v>
      </c>
      <c r="AB587" s="24">
        <v>0</v>
      </c>
      <c r="AC587" s="30">
        <f t="shared" si="271"/>
        <v>0</v>
      </c>
      <c r="AD587" s="27">
        <f t="shared" si="277"/>
        <v>0</v>
      </c>
      <c r="AE587" s="25">
        <f>IFERROR(_xlfn.XLOOKUP(N587&amp;P587,'Historico Vendas'!G:G,'Historico Vendas'!E:E),0)</f>
        <v>0</v>
      </c>
      <c r="AF587" s="29" t="str">
        <f t="shared" si="275"/>
        <v/>
      </c>
      <c r="AG587" s="24">
        <f>IFERROR(_xlfn.XLOOKUP(N587&amp;P587,'Historico Vendas'!G:G,'Historico Vendas'!F:F),0)</f>
        <v>0</v>
      </c>
      <c r="AH587" s="25">
        <f t="shared" si="278"/>
        <v>0</v>
      </c>
      <c r="AI587" s="24">
        <f t="shared" si="279"/>
        <v>0</v>
      </c>
      <c r="AJ587" s="11" t="str">
        <f t="shared" si="276"/>
        <v/>
      </c>
      <c r="AK587" s="9" t="s">
        <v>102</v>
      </c>
      <c r="AL587" s="13">
        <f>IFERROR(INDEX('Balizador da Meta'!$D$3:$F$23,MATCH(Quantidade!$P587,'Balizador da Meta'!$C$3:$C$23,0),MATCH(Quantidade!AK587,'Balizador da Meta'!$D$2:$F$2,0)),"")</f>
        <v>0.15</v>
      </c>
      <c r="AM587" s="9"/>
    </row>
    <row r="588" spans="1:39" x14ac:dyDescent="0.3">
      <c r="A588" s="2" t="str">
        <f t="shared" si="272"/>
        <v>NÃO</v>
      </c>
      <c r="B588" s="2" t="str">
        <f>_xlfn.XLOOKUP($N588,'Base de Grupos'!$A:$A,'Base de Grupos'!$D:$D)</f>
        <v>1000065763</v>
      </c>
      <c r="C588" s="5" t="str">
        <f>_xlfn.XLOOKUP($N588,'Base de Grupos'!$A:$A,'Base de Grupos'!$E:$E)</f>
        <v>CANAL VENDA INTERNA</v>
      </c>
      <c r="D588" s="5" t="str">
        <f>_xlfn.XLOOKUP($N588,'Base de Grupos'!$A:$A,'Base de Grupos'!$F:$F)</f>
        <v>1000065763</v>
      </c>
      <c r="E588" s="2" t="str">
        <f>_xlfn.XLOOKUP($N588,'Base de Grupos'!$A:$A,'Base de Grupos'!$G:$G)</f>
        <v>CANAL VENDA INTERNA</v>
      </c>
      <c r="F588" s="2" t="str">
        <f>_xlfn.XLOOKUP($N588,'Base de Grupos'!$A:$A,'Base de Grupos'!$H:$H)</f>
        <v>1000153245</v>
      </c>
      <c r="G588" s="5" t="str">
        <f>_xlfn.XLOOKUP($N588,'Base de Grupos'!$A:$A,'Base de Grupos'!$I:$I)</f>
        <v>REGIONAL VENDA INTERNA - KEY ACCOUNT</v>
      </c>
      <c r="H588" s="5" t="str">
        <f>_xlfn.XLOOKUP($N588,'Base de Grupos'!$A:$A,'Base de Grupos'!$J:$J)</f>
        <v>1000153245</v>
      </c>
      <c r="I588" s="2" t="str">
        <f>_xlfn.XLOOKUP($N588,'Base de Grupos'!$A:$A,'Base de Grupos'!$K:$K)</f>
        <v>REGIONAL VENDA INTERNA - KEY ACCOUNT</v>
      </c>
      <c r="J588" s="2" t="str">
        <f>_xlfn.XLOOKUP($N588,'Base de Grupos'!$A:$A,'Base de Grupos'!$L:$L)</f>
        <v>1000153245</v>
      </c>
      <c r="K588" s="5" t="str">
        <f>_xlfn.XLOOKUP($N588,'Base de Grupos'!$A:$A,'Base de Grupos'!$M:$M)</f>
        <v>REGIONAL VENDA INTERNA - KEY ACCOUNT</v>
      </c>
      <c r="L588" s="5" t="str">
        <f t="shared" si="273"/>
        <v/>
      </c>
      <c r="M588" s="5" t="str">
        <f>_xlfn.XLOOKUP($N588,'Base de Grupos'!$A:$A,'Base de Grupos'!$C:$C)</f>
        <v>SC</v>
      </c>
      <c r="N588" s="3">
        <v>1432</v>
      </c>
      <c r="O588" s="4" t="s">
        <v>256</v>
      </c>
      <c r="P588" s="5" t="s">
        <v>108</v>
      </c>
      <c r="Q588" s="24">
        <v>0</v>
      </c>
      <c r="R588" s="24">
        <v>0</v>
      </c>
      <c r="S588" s="24">
        <v>0</v>
      </c>
      <c r="T588" s="24">
        <v>0</v>
      </c>
      <c r="U588" s="24">
        <v>0</v>
      </c>
      <c r="V588" s="24">
        <v>0</v>
      </c>
      <c r="W588" s="24">
        <v>0</v>
      </c>
      <c r="X588" s="24">
        <v>0</v>
      </c>
      <c r="Y588" s="24">
        <v>0</v>
      </c>
      <c r="Z588" s="24">
        <v>0</v>
      </c>
      <c r="AA588" s="24">
        <v>0</v>
      </c>
      <c r="AB588" s="24">
        <v>0</v>
      </c>
      <c r="AC588" s="30">
        <f t="shared" si="271"/>
        <v>0</v>
      </c>
      <c r="AD588" s="27">
        <f t="shared" si="277"/>
        <v>0</v>
      </c>
      <c r="AE588" s="25">
        <f>IFERROR(_xlfn.XLOOKUP(N588&amp;P588,'Historico Vendas'!G:G,'Historico Vendas'!E:E),0)</f>
        <v>0</v>
      </c>
      <c r="AF588" s="29" t="str">
        <f t="shared" si="275"/>
        <v/>
      </c>
      <c r="AG588" s="24">
        <f>IFERROR(_xlfn.XLOOKUP(N588&amp;P588,'Historico Vendas'!G:G,'Historico Vendas'!F:F),0)</f>
        <v>0</v>
      </c>
      <c r="AH588" s="25">
        <f t="shared" si="278"/>
        <v>0</v>
      </c>
      <c r="AI588" s="24">
        <f t="shared" si="279"/>
        <v>0</v>
      </c>
      <c r="AJ588" s="11" t="str">
        <f t="shared" si="276"/>
        <v/>
      </c>
      <c r="AK588" s="9" t="s">
        <v>102</v>
      </c>
      <c r="AL588" s="13">
        <f>IFERROR(INDEX('Balizador da Meta'!$D$3:$F$23,MATCH(Quantidade!$P588,'Balizador da Meta'!$C$3:$C$23,0),MATCH(Quantidade!AK588,'Balizador da Meta'!$D$2:$F$2,0)),"")</f>
        <v>0</v>
      </c>
      <c r="AM588" s="9"/>
    </row>
    <row r="589" spans="1:39" x14ac:dyDescent="0.3">
      <c r="A589" s="2" t="str">
        <f t="shared" si="272"/>
        <v>NÃO</v>
      </c>
      <c r="B589" s="2" t="str">
        <f>_xlfn.XLOOKUP($N589,'Base de Grupos'!$A:$A,'Base de Grupos'!$D:$D)</f>
        <v>1000065763</v>
      </c>
      <c r="C589" s="5" t="str">
        <f>_xlfn.XLOOKUP($N589,'Base de Grupos'!$A:$A,'Base de Grupos'!$E:$E)</f>
        <v>CANAL VENDA INTERNA</v>
      </c>
      <c r="D589" s="5" t="str">
        <f>_xlfn.XLOOKUP($N589,'Base de Grupos'!$A:$A,'Base de Grupos'!$F:$F)</f>
        <v>1000065763</v>
      </c>
      <c r="E589" s="2" t="str">
        <f>_xlfn.XLOOKUP($N589,'Base de Grupos'!$A:$A,'Base de Grupos'!$G:$G)</f>
        <v>CANAL VENDA INTERNA</v>
      </c>
      <c r="F589" s="2" t="str">
        <f>_xlfn.XLOOKUP($N589,'Base de Grupos'!$A:$A,'Base de Grupos'!$H:$H)</f>
        <v>1000153245</v>
      </c>
      <c r="G589" s="5" t="str">
        <f>_xlfn.XLOOKUP($N589,'Base de Grupos'!$A:$A,'Base de Grupos'!$I:$I)</f>
        <v>REGIONAL VENDA INTERNA - KEY ACCOUNT</v>
      </c>
      <c r="H589" s="5" t="str">
        <f>_xlfn.XLOOKUP($N589,'Base de Grupos'!$A:$A,'Base de Grupos'!$J:$J)</f>
        <v>1000153245</v>
      </c>
      <c r="I589" s="2" t="str">
        <f>_xlfn.XLOOKUP($N589,'Base de Grupos'!$A:$A,'Base de Grupos'!$K:$K)</f>
        <v>REGIONAL VENDA INTERNA - KEY ACCOUNT</v>
      </c>
      <c r="J589" s="2" t="str">
        <f>_xlfn.XLOOKUP($N589,'Base de Grupos'!$A:$A,'Base de Grupos'!$L:$L)</f>
        <v>1000153245</v>
      </c>
      <c r="K589" s="5" t="str">
        <f>_xlfn.XLOOKUP($N589,'Base de Grupos'!$A:$A,'Base de Grupos'!$M:$M)</f>
        <v>REGIONAL VENDA INTERNA - KEY ACCOUNT</v>
      </c>
      <c r="L589" s="5" t="str">
        <f t="shared" si="273"/>
        <v/>
      </c>
      <c r="M589" s="5" t="str">
        <f>_xlfn.XLOOKUP($N589,'Base de Grupos'!$A:$A,'Base de Grupos'!$C:$C)</f>
        <v>SC</v>
      </c>
      <c r="N589" s="3">
        <v>1432</v>
      </c>
      <c r="O589" s="4" t="s">
        <v>256</v>
      </c>
      <c r="P589" s="5" t="s">
        <v>89</v>
      </c>
      <c r="Q589" s="24">
        <v>0</v>
      </c>
      <c r="R589" s="24">
        <v>19</v>
      </c>
      <c r="S589" s="24">
        <v>22</v>
      </c>
      <c r="T589" s="24">
        <v>0</v>
      </c>
      <c r="U589" s="24">
        <v>0</v>
      </c>
      <c r="V589" s="24">
        <v>0</v>
      </c>
      <c r="W589" s="24">
        <v>0</v>
      </c>
      <c r="X589" s="24">
        <v>0</v>
      </c>
      <c r="Y589" s="24">
        <v>0</v>
      </c>
      <c r="Z589" s="24">
        <v>0</v>
      </c>
      <c r="AA589" s="24">
        <v>0</v>
      </c>
      <c r="AB589" s="24">
        <v>0</v>
      </c>
      <c r="AC589" s="30">
        <f t="shared" si="271"/>
        <v>0</v>
      </c>
      <c r="AD589" s="27">
        <f t="shared" si="277"/>
        <v>0</v>
      </c>
      <c r="AE589" s="25">
        <f>IFERROR(_xlfn.XLOOKUP(N589&amp;P589,'Historico Vendas'!G:G,'Historico Vendas'!E:E),0)</f>
        <v>0</v>
      </c>
      <c r="AF589" s="29" t="str">
        <f t="shared" si="275"/>
        <v/>
      </c>
      <c r="AG589" s="24">
        <f>IFERROR(_xlfn.XLOOKUP(N589&amp;P589,'Historico Vendas'!G:G,'Historico Vendas'!F:F),0)</f>
        <v>0</v>
      </c>
      <c r="AH589" s="25">
        <f t="shared" si="278"/>
        <v>41</v>
      </c>
      <c r="AI589" s="24">
        <f t="shared" si="279"/>
        <v>41</v>
      </c>
      <c r="AJ589" s="11">
        <f t="shared" si="276"/>
        <v>0</v>
      </c>
      <c r="AK589" s="9" t="s">
        <v>102</v>
      </c>
      <c r="AL589" s="13">
        <f>IFERROR(INDEX('Balizador da Meta'!$D$3:$F$23,MATCH(Quantidade!$P589,'Balizador da Meta'!$C$3:$C$23,0),MATCH(Quantidade!AK589,'Balizador da Meta'!$D$2:$F$2,0)),"")</f>
        <v>0.25</v>
      </c>
      <c r="AM589" s="9"/>
    </row>
    <row r="590" spans="1:39" x14ac:dyDescent="0.3">
      <c r="A590" s="2" t="str">
        <f t="shared" si="272"/>
        <v>NÃO</v>
      </c>
      <c r="B590" s="2" t="str">
        <f>_xlfn.XLOOKUP($N590,'Base de Grupos'!$A:$A,'Base de Grupos'!$D:$D)</f>
        <v>1000065763</v>
      </c>
      <c r="C590" s="5" t="str">
        <f>_xlfn.XLOOKUP($N590,'Base de Grupos'!$A:$A,'Base de Grupos'!$E:$E)</f>
        <v>CANAL VENDA INTERNA</v>
      </c>
      <c r="D590" s="5" t="str">
        <f>_xlfn.XLOOKUP($N590,'Base de Grupos'!$A:$A,'Base de Grupos'!$F:$F)</f>
        <v>1000065763</v>
      </c>
      <c r="E590" s="2" t="str">
        <f>_xlfn.XLOOKUP($N590,'Base de Grupos'!$A:$A,'Base de Grupos'!$G:$G)</f>
        <v>CANAL VENDA INTERNA</v>
      </c>
      <c r="F590" s="2" t="str">
        <f>_xlfn.XLOOKUP($N590,'Base de Grupos'!$A:$A,'Base de Grupos'!$H:$H)</f>
        <v>1000153245</v>
      </c>
      <c r="G590" s="5" t="str">
        <f>_xlfn.XLOOKUP($N590,'Base de Grupos'!$A:$A,'Base de Grupos'!$I:$I)</f>
        <v>REGIONAL VENDA INTERNA - KEY ACCOUNT</v>
      </c>
      <c r="H590" s="5" t="str">
        <f>_xlfn.XLOOKUP($N590,'Base de Grupos'!$A:$A,'Base de Grupos'!$J:$J)</f>
        <v>1000153245</v>
      </c>
      <c r="I590" s="2" t="str">
        <f>_xlfn.XLOOKUP($N590,'Base de Grupos'!$A:$A,'Base de Grupos'!$K:$K)</f>
        <v>REGIONAL VENDA INTERNA - KEY ACCOUNT</v>
      </c>
      <c r="J590" s="2" t="str">
        <f>_xlfn.XLOOKUP($N590,'Base de Grupos'!$A:$A,'Base de Grupos'!$L:$L)</f>
        <v>1000153245</v>
      </c>
      <c r="K590" s="5" t="str">
        <f>_xlfn.XLOOKUP($N590,'Base de Grupos'!$A:$A,'Base de Grupos'!$M:$M)</f>
        <v>REGIONAL VENDA INTERNA - KEY ACCOUNT</v>
      </c>
      <c r="L590" s="5" t="str">
        <f t="shared" si="273"/>
        <v/>
      </c>
      <c r="M590" s="5" t="str">
        <f>_xlfn.XLOOKUP($N590,'Base de Grupos'!$A:$A,'Base de Grupos'!$C:$C)</f>
        <v>SC</v>
      </c>
      <c r="N590" s="3">
        <v>1432</v>
      </c>
      <c r="O590" s="4" t="s">
        <v>256</v>
      </c>
      <c r="P590" s="5" t="s">
        <v>88</v>
      </c>
      <c r="Q590" s="24">
        <v>0</v>
      </c>
      <c r="R590" s="24">
        <v>8</v>
      </c>
      <c r="S590" s="24">
        <v>10</v>
      </c>
      <c r="T590" s="24">
        <v>0</v>
      </c>
      <c r="U590" s="24">
        <v>0</v>
      </c>
      <c r="V590" s="24">
        <v>0</v>
      </c>
      <c r="W590" s="24">
        <v>0</v>
      </c>
      <c r="X590" s="24">
        <v>0</v>
      </c>
      <c r="Y590" s="24">
        <v>0</v>
      </c>
      <c r="Z590" s="24">
        <v>0</v>
      </c>
      <c r="AA590" s="24">
        <v>0</v>
      </c>
      <c r="AB590" s="24">
        <v>0</v>
      </c>
      <c r="AC590" s="30">
        <f t="shared" si="271"/>
        <v>0</v>
      </c>
      <c r="AD590" s="27">
        <f t="shared" si="277"/>
        <v>0</v>
      </c>
      <c r="AE590" s="25">
        <f>IFERROR(_xlfn.XLOOKUP(N590&amp;P590,'Historico Vendas'!G:G,'Historico Vendas'!E:E),0)</f>
        <v>0</v>
      </c>
      <c r="AF590" s="29" t="str">
        <f t="shared" si="275"/>
        <v/>
      </c>
      <c r="AG590" s="24">
        <f>IFERROR(_xlfn.XLOOKUP(N590&amp;P590,'Historico Vendas'!G:G,'Historico Vendas'!F:F),0)</f>
        <v>0</v>
      </c>
      <c r="AH590" s="25">
        <f t="shared" si="278"/>
        <v>18</v>
      </c>
      <c r="AI590" s="24">
        <f t="shared" si="279"/>
        <v>18</v>
      </c>
      <c r="AJ590" s="11">
        <f t="shared" si="276"/>
        <v>0</v>
      </c>
      <c r="AK590" s="9" t="s">
        <v>102</v>
      </c>
      <c r="AL590" s="13">
        <f>IFERROR(INDEX('Balizador da Meta'!$D$3:$F$23,MATCH(Quantidade!$P590,'Balizador da Meta'!$C$3:$C$23,0),MATCH(Quantidade!AK590,'Balizador da Meta'!$D$2:$F$2,0)),"")</f>
        <v>0</v>
      </c>
      <c r="AM590" s="9"/>
    </row>
    <row r="591" spans="1:39" x14ac:dyDescent="0.3">
      <c r="A591" s="2" t="str">
        <f t="shared" si="272"/>
        <v>NÃO</v>
      </c>
      <c r="B591" s="2" t="str">
        <f>_xlfn.XLOOKUP($N591,'Base de Grupos'!$A:$A,'Base de Grupos'!$D:$D)</f>
        <v>1000065763</v>
      </c>
      <c r="C591" s="5" t="str">
        <f>_xlfn.XLOOKUP($N591,'Base de Grupos'!$A:$A,'Base de Grupos'!$E:$E)</f>
        <v>CANAL VENDA INTERNA</v>
      </c>
      <c r="D591" s="5" t="str">
        <f>_xlfn.XLOOKUP($N591,'Base de Grupos'!$A:$A,'Base de Grupos'!$F:$F)</f>
        <v>1000065763</v>
      </c>
      <c r="E591" s="2" t="str">
        <f>_xlfn.XLOOKUP($N591,'Base de Grupos'!$A:$A,'Base de Grupos'!$G:$G)</f>
        <v>CANAL VENDA INTERNA</v>
      </c>
      <c r="F591" s="2" t="str">
        <f>_xlfn.XLOOKUP($N591,'Base de Grupos'!$A:$A,'Base de Grupos'!$H:$H)</f>
        <v>1000153245</v>
      </c>
      <c r="G591" s="5" t="str">
        <f>_xlfn.XLOOKUP($N591,'Base de Grupos'!$A:$A,'Base de Grupos'!$I:$I)</f>
        <v>REGIONAL VENDA INTERNA - KEY ACCOUNT</v>
      </c>
      <c r="H591" s="5" t="str">
        <f>_xlfn.XLOOKUP($N591,'Base de Grupos'!$A:$A,'Base de Grupos'!$J:$J)</f>
        <v>1000153245</v>
      </c>
      <c r="I591" s="2" t="str">
        <f>_xlfn.XLOOKUP($N591,'Base de Grupos'!$A:$A,'Base de Grupos'!$K:$K)</f>
        <v>REGIONAL VENDA INTERNA - KEY ACCOUNT</v>
      </c>
      <c r="J591" s="2" t="str">
        <f>_xlfn.XLOOKUP($N591,'Base de Grupos'!$A:$A,'Base de Grupos'!$L:$L)</f>
        <v>1000153245</v>
      </c>
      <c r="K591" s="5" t="str">
        <f>_xlfn.XLOOKUP($N591,'Base de Grupos'!$A:$A,'Base de Grupos'!$M:$M)</f>
        <v>REGIONAL VENDA INTERNA - KEY ACCOUNT</v>
      </c>
      <c r="L591" s="5" t="str">
        <f t="shared" si="273"/>
        <v/>
      </c>
      <c r="M591" s="5" t="str">
        <f>_xlfn.XLOOKUP($N591,'Base de Grupos'!$A:$A,'Base de Grupos'!$C:$C)</f>
        <v>SC</v>
      </c>
      <c r="N591" s="3">
        <v>1432</v>
      </c>
      <c r="O591" s="4" t="s">
        <v>256</v>
      </c>
      <c r="P591" s="5" t="s">
        <v>90</v>
      </c>
      <c r="Q591" s="24">
        <v>0</v>
      </c>
      <c r="R591" s="24">
        <v>6</v>
      </c>
      <c r="S591" s="24">
        <v>7</v>
      </c>
      <c r="T591" s="24">
        <v>0</v>
      </c>
      <c r="U591" s="24">
        <v>0</v>
      </c>
      <c r="V591" s="24">
        <v>0</v>
      </c>
      <c r="W591" s="24">
        <v>0</v>
      </c>
      <c r="X591" s="24">
        <v>0</v>
      </c>
      <c r="Y591" s="24">
        <v>0</v>
      </c>
      <c r="Z591" s="24">
        <v>0</v>
      </c>
      <c r="AA591" s="24">
        <v>0</v>
      </c>
      <c r="AB591" s="24">
        <v>0</v>
      </c>
      <c r="AC591" s="30">
        <f t="shared" si="271"/>
        <v>0</v>
      </c>
      <c r="AD591" s="27">
        <f t="shared" si="277"/>
        <v>0</v>
      </c>
      <c r="AE591" s="25">
        <f>IFERROR(_xlfn.XLOOKUP(N591&amp;P591,'Historico Vendas'!G:G,'Historico Vendas'!E:E),0)</f>
        <v>0</v>
      </c>
      <c r="AF591" s="29" t="str">
        <f t="shared" si="275"/>
        <v/>
      </c>
      <c r="AG591" s="24">
        <f>IFERROR(_xlfn.XLOOKUP(N591&amp;P591,'Historico Vendas'!G:G,'Historico Vendas'!F:F),0)</f>
        <v>0</v>
      </c>
      <c r="AH591" s="25">
        <f t="shared" si="278"/>
        <v>13</v>
      </c>
      <c r="AI591" s="24">
        <f t="shared" si="279"/>
        <v>13</v>
      </c>
      <c r="AJ591" s="11">
        <f t="shared" si="276"/>
        <v>0</v>
      </c>
      <c r="AK591" s="9" t="s">
        <v>102</v>
      </c>
      <c r="AL591" s="13">
        <f>IFERROR(INDEX('Balizador da Meta'!$D$3:$F$23,MATCH(Quantidade!$P591,'Balizador da Meta'!$C$3:$C$23,0),MATCH(Quantidade!AK591,'Balizador da Meta'!$D$2:$F$2,0)),"")</f>
        <v>0</v>
      </c>
      <c r="AM591" s="9"/>
    </row>
    <row r="592" spans="1:39" x14ac:dyDescent="0.3">
      <c r="A592" s="2" t="str">
        <f t="shared" si="272"/>
        <v>NÃO</v>
      </c>
      <c r="B592" s="2" t="str">
        <f>_xlfn.XLOOKUP($N592,'Base de Grupos'!$A:$A,'Base de Grupos'!$D:$D)</f>
        <v>1000065763</v>
      </c>
      <c r="C592" s="5" t="str">
        <f>_xlfn.XLOOKUP($N592,'Base de Grupos'!$A:$A,'Base de Grupos'!$E:$E)</f>
        <v>CANAL VENDA INTERNA</v>
      </c>
      <c r="D592" s="5" t="str">
        <f>_xlfn.XLOOKUP($N592,'Base de Grupos'!$A:$A,'Base de Grupos'!$F:$F)</f>
        <v>1000065763</v>
      </c>
      <c r="E592" s="2" t="str">
        <f>_xlfn.XLOOKUP($N592,'Base de Grupos'!$A:$A,'Base de Grupos'!$G:$G)</f>
        <v>CANAL VENDA INTERNA</v>
      </c>
      <c r="F592" s="2" t="str">
        <f>_xlfn.XLOOKUP($N592,'Base de Grupos'!$A:$A,'Base de Grupos'!$H:$H)</f>
        <v>1000153245</v>
      </c>
      <c r="G592" s="5" t="str">
        <f>_xlfn.XLOOKUP($N592,'Base de Grupos'!$A:$A,'Base de Grupos'!$I:$I)</f>
        <v>REGIONAL VENDA INTERNA - KEY ACCOUNT</v>
      </c>
      <c r="H592" s="5" t="str">
        <f>_xlfn.XLOOKUP($N592,'Base de Grupos'!$A:$A,'Base de Grupos'!$J:$J)</f>
        <v>1000153245</v>
      </c>
      <c r="I592" s="2" t="str">
        <f>_xlfn.XLOOKUP($N592,'Base de Grupos'!$A:$A,'Base de Grupos'!$K:$K)</f>
        <v>REGIONAL VENDA INTERNA - KEY ACCOUNT</v>
      </c>
      <c r="J592" s="2" t="str">
        <f>_xlfn.XLOOKUP($N592,'Base de Grupos'!$A:$A,'Base de Grupos'!$L:$L)</f>
        <v>1000153245</v>
      </c>
      <c r="K592" s="5" t="str">
        <f>_xlfn.XLOOKUP($N592,'Base de Grupos'!$A:$A,'Base de Grupos'!$M:$M)</f>
        <v>REGIONAL VENDA INTERNA - KEY ACCOUNT</v>
      </c>
      <c r="L592" s="5" t="str">
        <f t="shared" si="273"/>
        <v/>
      </c>
      <c r="M592" s="5" t="str">
        <f>_xlfn.XLOOKUP($N592,'Base de Grupos'!$A:$A,'Base de Grupos'!$C:$C)</f>
        <v>SC</v>
      </c>
      <c r="N592" s="3">
        <v>1432</v>
      </c>
      <c r="O592" s="4" t="s">
        <v>256</v>
      </c>
      <c r="P592" s="5" t="s">
        <v>91</v>
      </c>
      <c r="Q592" s="24">
        <v>0</v>
      </c>
      <c r="R592" s="24">
        <v>6</v>
      </c>
      <c r="S592" s="24">
        <v>7</v>
      </c>
      <c r="T592" s="24">
        <v>0</v>
      </c>
      <c r="U592" s="24">
        <v>0</v>
      </c>
      <c r="V592" s="24">
        <v>0</v>
      </c>
      <c r="W592" s="24">
        <v>0</v>
      </c>
      <c r="X592" s="24">
        <v>0</v>
      </c>
      <c r="Y592" s="24">
        <v>0</v>
      </c>
      <c r="Z592" s="24">
        <v>0</v>
      </c>
      <c r="AA592" s="24">
        <v>0</v>
      </c>
      <c r="AB592" s="24">
        <v>0</v>
      </c>
      <c r="AC592" s="30">
        <f t="shared" si="271"/>
        <v>0</v>
      </c>
      <c r="AD592" s="27">
        <f t="shared" si="277"/>
        <v>0</v>
      </c>
      <c r="AE592" s="25">
        <f>IFERROR(_xlfn.XLOOKUP(N592&amp;P592,'Historico Vendas'!G:G,'Historico Vendas'!E:E),0)</f>
        <v>0</v>
      </c>
      <c r="AF592" s="29" t="str">
        <f t="shared" si="275"/>
        <v/>
      </c>
      <c r="AG592" s="24">
        <f>IFERROR(_xlfn.XLOOKUP(N592&amp;P592,'Historico Vendas'!G:G,'Historico Vendas'!F:F),0)</f>
        <v>0</v>
      </c>
      <c r="AH592" s="25">
        <f t="shared" si="278"/>
        <v>13</v>
      </c>
      <c r="AI592" s="24">
        <f t="shared" si="279"/>
        <v>13</v>
      </c>
      <c r="AJ592" s="11">
        <f t="shared" si="276"/>
        <v>0</v>
      </c>
      <c r="AK592" s="9" t="s">
        <v>102</v>
      </c>
      <c r="AL592" s="13">
        <f>IFERROR(INDEX('Balizador da Meta'!$D$3:$F$23,MATCH(Quantidade!$P592,'Balizador da Meta'!$C$3:$C$23,0),MATCH(Quantidade!AK592,'Balizador da Meta'!$D$2:$F$2,0)),"")</f>
        <v>0</v>
      </c>
      <c r="AM592" s="9"/>
    </row>
    <row r="593" spans="1:39" x14ac:dyDescent="0.3">
      <c r="A593" s="2" t="str">
        <f t="shared" si="272"/>
        <v>NÃO</v>
      </c>
      <c r="B593" s="2" t="str">
        <f>_xlfn.XLOOKUP($N593,'Base de Grupos'!$A:$A,'Base de Grupos'!$D:$D)</f>
        <v>1000065763</v>
      </c>
      <c r="C593" s="5" t="str">
        <f>_xlfn.XLOOKUP($N593,'Base de Grupos'!$A:$A,'Base de Grupos'!$E:$E)</f>
        <v>CANAL VENDA INTERNA</v>
      </c>
      <c r="D593" s="5" t="str">
        <f>_xlfn.XLOOKUP($N593,'Base de Grupos'!$A:$A,'Base de Grupos'!$F:$F)</f>
        <v>1000065763</v>
      </c>
      <c r="E593" s="2" t="str">
        <f>_xlfn.XLOOKUP($N593,'Base de Grupos'!$A:$A,'Base de Grupos'!$G:$G)</f>
        <v>CANAL VENDA INTERNA</v>
      </c>
      <c r="F593" s="2" t="str">
        <f>_xlfn.XLOOKUP($N593,'Base de Grupos'!$A:$A,'Base de Grupos'!$H:$H)</f>
        <v>1000153245</v>
      </c>
      <c r="G593" s="5" t="str">
        <f>_xlfn.XLOOKUP($N593,'Base de Grupos'!$A:$A,'Base de Grupos'!$I:$I)</f>
        <v>REGIONAL VENDA INTERNA - KEY ACCOUNT</v>
      </c>
      <c r="H593" s="5" t="str">
        <f>_xlfn.XLOOKUP($N593,'Base de Grupos'!$A:$A,'Base de Grupos'!$J:$J)</f>
        <v>1000153245</v>
      </c>
      <c r="I593" s="2" t="str">
        <f>_xlfn.XLOOKUP($N593,'Base de Grupos'!$A:$A,'Base de Grupos'!$K:$K)</f>
        <v>REGIONAL VENDA INTERNA - KEY ACCOUNT</v>
      </c>
      <c r="J593" s="2" t="str">
        <f>_xlfn.XLOOKUP($N593,'Base de Grupos'!$A:$A,'Base de Grupos'!$L:$L)</f>
        <v>1000153245</v>
      </c>
      <c r="K593" s="5" t="str">
        <f>_xlfn.XLOOKUP($N593,'Base de Grupos'!$A:$A,'Base de Grupos'!$M:$M)</f>
        <v>REGIONAL VENDA INTERNA - KEY ACCOUNT</v>
      </c>
      <c r="L593" s="5" t="str">
        <f t="shared" si="273"/>
        <v/>
      </c>
      <c r="M593" s="5" t="str">
        <f>_xlfn.XLOOKUP($N593,'Base de Grupos'!$A:$A,'Base de Grupos'!$C:$C)</f>
        <v>SC</v>
      </c>
      <c r="N593" s="3">
        <v>1432</v>
      </c>
      <c r="O593" s="4" t="s">
        <v>256</v>
      </c>
      <c r="P593" s="5" t="s">
        <v>96</v>
      </c>
      <c r="Q593" s="24">
        <v>0</v>
      </c>
      <c r="R593" s="24">
        <v>2</v>
      </c>
      <c r="S593" s="24">
        <v>2</v>
      </c>
      <c r="T593" s="24">
        <v>0</v>
      </c>
      <c r="U593" s="24">
        <v>0</v>
      </c>
      <c r="V593" s="24">
        <v>0</v>
      </c>
      <c r="W593" s="24">
        <v>0</v>
      </c>
      <c r="X593" s="24">
        <v>0</v>
      </c>
      <c r="Y593" s="24">
        <v>0</v>
      </c>
      <c r="Z593" s="24">
        <v>0</v>
      </c>
      <c r="AA593" s="24">
        <v>0</v>
      </c>
      <c r="AB593" s="24">
        <v>0</v>
      </c>
      <c r="AC593" s="30">
        <f t="shared" si="271"/>
        <v>0</v>
      </c>
      <c r="AD593" s="27">
        <f t="shared" si="277"/>
        <v>0</v>
      </c>
      <c r="AE593" s="25">
        <f>IFERROR(_xlfn.XLOOKUP(N593&amp;P593,'Historico Vendas'!G:G,'Historico Vendas'!E:E),0)</f>
        <v>0</v>
      </c>
      <c r="AF593" s="29" t="str">
        <f t="shared" si="275"/>
        <v/>
      </c>
      <c r="AG593" s="24">
        <f>IFERROR(_xlfn.XLOOKUP(N593&amp;P593,'Historico Vendas'!G:G,'Historico Vendas'!F:F),0)</f>
        <v>0</v>
      </c>
      <c r="AH593" s="25">
        <f t="shared" si="278"/>
        <v>4</v>
      </c>
      <c r="AI593" s="24">
        <f t="shared" si="279"/>
        <v>4</v>
      </c>
      <c r="AJ593" s="11">
        <f t="shared" si="276"/>
        <v>0</v>
      </c>
      <c r="AK593" s="9" t="s">
        <v>102</v>
      </c>
      <c r="AL593" s="13">
        <f>IFERROR(INDEX('Balizador da Meta'!$D$3:$F$23,MATCH(Quantidade!$P593,'Balizador da Meta'!$C$3:$C$23,0),MATCH(Quantidade!AK593,'Balizador da Meta'!$D$2:$F$2,0)),"")</f>
        <v>0</v>
      </c>
      <c r="AM593" s="9"/>
    </row>
    <row r="594" spans="1:39" x14ac:dyDescent="0.3">
      <c r="A594" s="2" t="str">
        <f t="shared" si="272"/>
        <v>NÃO</v>
      </c>
      <c r="B594" s="2" t="str">
        <f>_xlfn.XLOOKUP($N594,'Base de Grupos'!$A:$A,'Base de Grupos'!$D:$D)</f>
        <v>1000065763</v>
      </c>
      <c r="C594" s="5" t="str">
        <f>_xlfn.XLOOKUP($N594,'Base de Grupos'!$A:$A,'Base de Grupos'!$E:$E)</f>
        <v>CANAL VENDA INTERNA</v>
      </c>
      <c r="D594" s="5" t="str">
        <f>_xlfn.XLOOKUP($N594,'Base de Grupos'!$A:$A,'Base de Grupos'!$F:$F)</f>
        <v>1000065763</v>
      </c>
      <c r="E594" s="2" t="str">
        <f>_xlfn.XLOOKUP($N594,'Base de Grupos'!$A:$A,'Base de Grupos'!$G:$G)</f>
        <v>CANAL VENDA INTERNA</v>
      </c>
      <c r="F594" s="2" t="str">
        <f>_xlfn.XLOOKUP($N594,'Base de Grupos'!$A:$A,'Base de Grupos'!$H:$H)</f>
        <v>1000153245</v>
      </c>
      <c r="G594" s="5" t="str">
        <f>_xlfn.XLOOKUP($N594,'Base de Grupos'!$A:$A,'Base de Grupos'!$I:$I)</f>
        <v>REGIONAL VENDA INTERNA - KEY ACCOUNT</v>
      </c>
      <c r="H594" s="5" t="str">
        <f>_xlfn.XLOOKUP($N594,'Base de Grupos'!$A:$A,'Base de Grupos'!$J:$J)</f>
        <v>1000153245</v>
      </c>
      <c r="I594" s="2" t="str">
        <f>_xlfn.XLOOKUP($N594,'Base de Grupos'!$A:$A,'Base de Grupos'!$K:$K)</f>
        <v>REGIONAL VENDA INTERNA - KEY ACCOUNT</v>
      </c>
      <c r="J594" s="2" t="str">
        <f>_xlfn.XLOOKUP($N594,'Base de Grupos'!$A:$A,'Base de Grupos'!$L:$L)</f>
        <v>1000153245</v>
      </c>
      <c r="K594" s="5" t="str">
        <f>_xlfn.XLOOKUP($N594,'Base de Grupos'!$A:$A,'Base de Grupos'!$M:$M)</f>
        <v>REGIONAL VENDA INTERNA - KEY ACCOUNT</v>
      </c>
      <c r="L594" s="5" t="str">
        <f t="shared" si="273"/>
        <v/>
      </c>
      <c r="M594" s="5" t="str">
        <f>_xlfn.XLOOKUP($N594,'Base de Grupos'!$A:$A,'Base de Grupos'!$C:$C)</f>
        <v>SC</v>
      </c>
      <c r="N594" s="3">
        <v>1432</v>
      </c>
      <c r="O594" s="4" t="s">
        <v>256</v>
      </c>
      <c r="P594" s="5" t="s">
        <v>94</v>
      </c>
      <c r="Q594" s="24">
        <v>0</v>
      </c>
      <c r="R594" s="24">
        <v>20</v>
      </c>
      <c r="S594" s="24">
        <v>23</v>
      </c>
      <c r="T594" s="24">
        <v>0</v>
      </c>
      <c r="U594" s="24">
        <v>0</v>
      </c>
      <c r="V594" s="24">
        <v>0</v>
      </c>
      <c r="W594" s="24">
        <v>0</v>
      </c>
      <c r="X594" s="24">
        <v>0</v>
      </c>
      <c r="Y594" s="24">
        <v>0</v>
      </c>
      <c r="Z594" s="24">
        <v>0</v>
      </c>
      <c r="AA594" s="24">
        <v>0</v>
      </c>
      <c r="AB594" s="24">
        <v>0</v>
      </c>
      <c r="AC594" s="30">
        <f t="shared" si="271"/>
        <v>0</v>
      </c>
      <c r="AD594" s="27">
        <f t="shared" si="277"/>
        <v>0</v>
      </c>
      <c r="AE594" s="25">
        <f>IFERROR(_xlfn.XLOOKUP(N594&amp;P594,'Historico Vendas'!G:G,'Historico Vendas'!E:E),0)</f>
        <v>0</v>
      </c>
      <c r="AF594" s="29" t="str">
        <f t="shared" si="275"/>
        <v/>
      </c>
      <c r="AG594" s="24">
        <f>IFERROR(_xlfn.XLOOKUP(N594&amp;P594,'Historico Vendas'!G:G,'Historico Vendas'!F:F),0)</f>
        <v>0</v>
      </c>
      <c r="AH594" s="25">
        <f t="shared" si="278"/>
        <v>43</v>
      </c>
      <c r="AI594" s="24">
        <f t="shared" si="279"/>
        <v>43</v>
      </c>
      <c r="AJ594" s="11">
        <f t="shared" si="276"/>
        <v>0</v>
      </c>
      <c r="AK594" s="9" t="s">
        <v>102</v>
      </c>
      <c r="AL594" s="13">
        <f>IFERROR(INDEX('Balizador da Meta'!$D$3:$F$23,MATCH(Quantidade!$P594,'Balizador da Meta'!$C$3:$C$23,0),MATCH(Quantidade!AK594,'Balizador da Meta'!$D$2:$F$2,0)),"")</f>
        <v>0.25</v>
      </c>
      <c r="AM594" s="9"/>
    </row>
    <row r="595" spans="1:39" x14ac:dyDescent="0.3">
      <c r="A595" s="2" t="str">
        <f t="shared" si="272"/>
        <v>NÃO</v>
      </c>
      <c r="B595" s="2" t="str">
        <f>_xlfn.XLOOKUP($N595,'Base de Grupos'!$A:$A,'Base de Grupos'!$D:$D)</f>
        <v>1000065763</v>
      </c>
      <c r="C595" s="5" t="str">
        <f>_xlfn.XLOOKUP($N595,'Base de Grupos'!$A:$A,'Base de Grupos'!$E:$E)</f>
        <v>CANAL VENDA INTERNA</v>
      </c>
      <c r="D595" s="5" t="str">
        <f>_xlfn.XLOOKUP($N595,'Base de Grupos'!$A:$A,'Base de Grupos'!$F:$F)</f>
        <v>1000065763</v>
      </c>
      <c r="E595" s="2" t="str">
        <f>_xlfn.XLOOKUP($N595,'Base de Grupos'!$A:$A,'Base de Grupos'!$G:$G)</f>
        <v>CANAL VENDA INTERNA</v>
      </c>
      <c r="F595" s="2" t="str">
        <f>_xlfn.XLOOKUP($N595,'Base de Grupos'!$A:$A,'Base de Grupos'!$H:$H)</f>
        <v>1000153245</v>
      </c>
      <c r="G595" s="5" t="str">
        <f>_xlfn.XLOOKUP($N595,'Base de Grupos'!$A:$A,'Base de Grupos'!$I:$I)</f>
        <v>REGIONAL VENDA INTERNA - KEY ACCOUNT</v>
      </c>
      <c r="H595" s="5" t="str">
        <f>_xlfn.XLOOKUP($N595,'Base de Grupos'!$A:$A,'Base de Grupos'!$J:$J)</f>
        <v>1000153245</v>
      </c>
      <c r="I595" s="2" t="str">
        <f>_xlfn.XLOOKUP($N595,'Base de Grupos'!$A:$A,'Base de Grupos'!$K:$K)</f>
        <v>REGIONAL VENDA INTERNA - KEY ACCOUNT</v>
      </c>
      <c r="J595" s="2" t="str">
        <f>_xlfn.XLOOKUP($N595,'Base de Grupos'!$A:$A,'Base de Grupos'!$L:$L)</f>
        <v>1000153245</v>
      </c>
      <c r="K595" s="5" t="str">
        <f>_xlfn.XLOOKUP($N595,'Base de Grupos'!$A:$A,'Base de Grupos'!$M:$M)</f>
        <v>REGIONAL VENDA INTERNA - KEY ACCOUNT</v>
      </c>
      <c r="L595" s="5" t="str">
        <f t="shared" si="273"/>
        <v/>
      </c>
      <c r="M595" s="5" t="str">
        <f>_xlfn.XLOOKUP($N595,'Base de Grupos'!$A:$A,'Base de Grupos'!$C:$C)</f>
        <v>SC</v>
      </c>
      <c r="N595" s="3">
        <v>1432</v>
      </c>
      <c r="O595" s="4" t="s">
        <v>256</v>
      </c>
      <c r="P595" s="5" t="s">
        <v>95</v>
      </c>
      <c r="Q595" s="24">
        <v>0</v>
      </c>
      <c r="R595" s="24">
        <v>14.3</v>
      </c>
      <c r="S595" s="24">
        <v>16</v>
      </c>
      <c r="T595" s="24">
        <v>0</v>
      </c>
      <c r="U595" s="24">
        <v>0</v>
      </c>
      <c r="V595" s="24">
        <v>0</v>
      </c>
      <c r="W595" s="24">
        <v>0</v>
      </c>
      <c r="X595" s="24">
        <v>0</v>
      </c>
      <c r="Y595" s="24">
        <v>0</v>
      </c>
      <c r="Z595" s="24">
        <v>0</v>
      </c>
      <c r="AA595" s="24">
        <v>0</v>
      </c>
      <c r="AB595" s="24">
        <v>0</v>
      </c>
      <c r="AC595" s="30">
        <f t="shared" si="271"/>
        <v>0</v>
      </c>
      <c r="AD595" s="27">
        <f t="shared" si="277"/>
        <v>0</v>
      </c>
      <c r="AE595" s="25">
        <f>IFERROR(_xlfn.XLOOKUP(N595&amp;P595,'Historico Vendas'!G:G,'Historico Vendas'!E:E),0)</f>
        <v>0</v>
      </c>
      <c r="AF595" s="29" t="str">
        <f t="shared" si="275"/>
        <v/>
      </c>
      <c r="AG595" s="24">
        <f>IFERROR(_xlfn.XLOOKUP(N595&amp;P595,'Historico Vendas'!G:G,'Historico Vendas'!F:F),0)</f>
        <v>0</v>
      </c>
      <c r="AH595" s="25">
        <f t="shared" si="278"/>
        <v>30.3</v>
      </c>
      <c r="AI595" s="24">
        <f t="shared" si="279"/>
        <v>30.3</v>
      </c>
      <c r="AJ595" s="11">
        <f t="shared" si="276"/>
        <v>0</v>
      </c>
      <c r="AK595" s="9" t="s">
        <v>102</v>
      </c>
      <c r="AL595" s="13">
        <f>IFERROR(INDEX('Balizador da Meta'!$D$3:$F$23,MATCH(Quantidade!$P595,'Balizador da Meta'!$C$3:$C$23,0),MATCH(Quantidade!AK595,'Balizador da Meta'!$D$2:$F$2,0)),"")</f>
        <v>0.25</v>
      </c>
      <c r="AM595" s="9"/>
    </row>
    <row r="596" spans="1:39" x14ac:dyDescent="0.3">
      <c r="A596" s="2" t="str">
        <f t="shared" si="272"/>
        <v>NÃO</v>
      </c>
      <c r="B596" s="2" t="str">
        <f>_xlfn.XLOOKUP($N596,'Base de Grupos'!$A:$A,'Base de Grupos'!$D:$D)</f>
        <v>1000065763</v>
      </c>
      <c r="C596" s="5" t="str">
        <f>_xlfn.XLOOKUP($N596,'Base de Grupos'!$A:$A,'Base de Grupos'!$E:$E)</f>
        <v>CANAL VENDA INTERNA</v>
      </c>
      <c r="D596" s="5" t="str">
        <f>_xlfn.XLOOKUP($N596,'Base de Grupos'!$A:$A,'Base de Grupos'!$F:$F)</f>
        <v>1000065763</v>
      </c>
      <c r="E596" s="2" t="str">
        <f>_xlfn.XLOOKUP($N596,'Base de Grupos'!$A:$A,'Base de Grupos'!$G:$G)</f>
        <v>CANAL VENDA INTERNA</v>
      </c>
      <c r="F596" s="2" t="str">
        <f>_xlfn.XLOOKUP($N596,'Base de Grupos'!$A:$A,'Base de Grupos'!$H:$H)</f>
        <v>1000153245</v>
      </c>
      <c r="G596" s="5" t="str">
        <f>_xlfn.XLOOKUP($N596,'Base de Grupos'!$A:$A,'Base de Grupos'!$I:$I)</f>
        <v>REGIONAL VENDA INTERNA - KEY ACCOUNT</v>
      </c>
      <c r="H596" s="5" t="str">
        <f>_xlfn.XLOOKUP($N596,'Base de Grupos'!$A:$A,'Base de Grupos'!$J:$J)</f>
        <v>1000153245</v>
      </c>
      <c r="I596" s="2" t="str">
        <f>_xlfn.XLOOKUP($N596,'Base de Grupos'!$A:$A,'Base de Grupos'!$K:$K)</f>
        <v>REGIONAL VENDA INTERNA - KEY ACCOUNT</v>
      </c>
      <c r="J596" s="2" t="str">
        <f>_xlfn.XLOOKUP($N596,'Base de Grupos'!$A:$A,'Base de Grupos'!$L:$L)</f>
        <v>1000153245</v>
      </c>
      <c r="K596" s="5" t="str">
        <f>_xlfn.XLOOKUP($N596,'Base de Grupos'!$A:$A,'Base de Grupos'!$M:$M)</f>
        <v>REGIONAL VENDA INTERNA - KEY ACCOUNT</v>
      </c>
      <c r="L596" s="5" t="str">
        <f t="shared" si="273"/>
        <v/>
      </c>
      <c r="M596" s="5" t="str">
        <f>_xlfn.XLOOKUP($N596,'Base de Grupos'!$A:$A,'Base de Grupos'!$C:$C)</f>
        <v>SC</v>
      </c>
      <c r="N596" s="3">
        <v>1432</v>
      </c>
      <c r="O596" s="4" t="s">
        <v>256</v>
      </c>
      <c r="P596" s="5" t="s">
        <v>93</v>
      </c>
      <c r="Q596" s="24">
        <v>0</v>
      </c>
      <c r="R596" s="24">
        <v>17</v>
      </c>
      <c r="S596" s="24">
        <v>19</v>
      </c>
      <c r="T596" s="24">
        <v>0</v>
      </c>
      <c r="U596" s="24">
        <v>0</v>
      </c>
      <c r="V596" s="24">
        <v>0</v>
      </c>
      <c r="W596" s="24">
        <v>0</v>
      </c>
      <c r="X596" s="24">
        <v>0</v>
      </c>
      <c r="Y596" s="24">
        <v>0</v>
      </c>
      <c r="Z596" s="24">
        <v>0</v>
      </c>
      <c r="AA596" s="24">
        <v>0</v>
      </c>
      <c r="AB596" s="24">
        <v>0</v>
      </c>
      <c r="AC596" s="30">
        <f t="shared" si="271"/>
        <v>0</v>
      </c>
      <c r="AD596" s="27">
        <f t="shared" si="277"/>
        <v>0</v>
      </c>
      <c r="AE596" s="25">
        <f>IFERROR(_xlfn.XLOOKUP(N596&amp;P596,'Historico Vendas'!G:G,'Historico Vendas'!E:E),0)</f>
        <v>0</v>
      </c>
      <c r="AF596" s="29" t="str">
        <f t="shared" si="275"/>
        <v/>
      </c>
      <c r="AG596" s="24">
        <f>IFERROR(_xlfn.XLOOKUP(N596&amp;P596,'Historico Vendas'!G:G,'Historico Vendas'!F:F),0)</f>
        <v>0</v>
      </c>
      <c r="AH596" s="25">
        <f t="shared" si="278"/>
        <v>36</v>
      </c>
      <c r="AI596" s="24">
        <f t="shared" si="279"/>
        <v>36</v>
      </c>
      <c r="AJ596" s="11">
        <f t="shared" si="276"/>
        <v>0</v>
      </c>
      <c r="AK596" s="9" t="s">
        <v>102</v>
      </c>
      <c r="AL596" s="13">
        <f>IFERROR(INDEX('Balizador da Meta'!$D$3:$F$23,MATCH(Quantidade!$P596,'Balizador da Meta'!$C$3:$C$23,0),MATCH(Quantidade!AK596,'Balizador da Meta'!$D$2:$F$2,0)),"")</f>
        <v>0.2</v>
      </c>
      <c r="AM596" s="9"/>
    </row>
    <row r="597" spans="1:39" x14ac:dyDescent="0.3">
      <c r="A597" s="2" t="str">
        <f t="shared" si="272"/>
        <v>SIM</v>
      </c>
      <c r="B597" s="2" t="str">
        <f>_xlfn.XLOOKUP($N597,'Base de Grupos'!$A:$A,'Base de Grupos'!$D:$D)</f>
        <v>1000065763</v>
      </c>
      <c r="C597" s="5" t="str">
        <f>_xlfn.XLOOKUP($N597,'Base de Grupos'!$A:$A,'Base de Grupos'!$E:$E)</f>
        <v>CANAL VENDA INTERNA</v>
      </c>
      <c r="D597" s="5" t="str">
        <f>_xlfn.XLOOKUP($N597,'Base de Grupos'!$A:$A,'Base de Grupos'!$F:$F)</f>
        <v>1000065763</v>
      </c>
      <c r="E597" s="2" t="str">
        <f>_xlfn.XLOOKUP($N597,'Base de Grupos'!$A:$A,'Base de Grupos'!$G:$G)</f>
        <v>CANAL VENDA INTERNA</v>
      </c>
      <c r="F597" s="2" t="str">
        <f>_xlfn.XLOOKUP($N597,'Base de Grupos'!$A:$A,'Base de Grupos'!$H:$H)</f>
        <v>1000153245</v>
      </c>
      <c r="G597" s="5" t="str">
        <f>_xlfn.XLOOKUP($N597,'Base de Grupos'!$A:$A,'Base de Grupos'!$I:$I)</f>
        <v>REGIONAL VENDA INTERNA - KEY ACCOUNT</v>
      </c>
      <c r="H597" s="5" t="str">
        <f>_xlfn.XLOOKUP($N597,'Base de Grupos'!$A:$A,'Base de Grupos'!$J:$J)</f>
        <v>1000153245</v>
      </c>
      <c r="I597" s="2" t="str">
        <f>_xlfn.XLOOKUP($N597,'Base de Grupos'!$A:$A,'Base de Grupos'!$K:$K)</f>
        <v>REGIONAL VENDA INTERNA - KEY ACCOUNT</v>
      </c>
      <c r="J597" s="2" t="str">
        <f>_xlfn.XLOOKUP($N597,'Base de Grupos'!$A:$A,'Base de Grupos'!$L:$L)</f>
        <v>1000153245</v>
      </c>
      <c r="K597" s="5" t="str">
        <f>_xlfn.XLOOKUP($N597,'Base de Grupos'!$A:$A,'Base de Grupos'!$M:$M)</f>
        <v>REGIONAL VENDA INTERNA - KEY ACCOUNT</v>
      </c>
      <c r="L597" s="5">
        <f t="shared" si="273"/>
        <v>1</v>
      </c>
      <c r="M597" s="5" t="str">
        <f>_xlfn.XLOOKUP($N597,'Base de Grupos'!$A:$A,'Base de Grupos'!$C:$C)</f>
        <v>RJ</v>
      </c>
      <c r="N597" s="3">
        <v>1433</v>
      </c>
      <c r="O597" s="4" t="s">
        <v>257</v>
      </c>
      <c r="P597" s="5" t="s">
        <v>327</v>
      </c>
      <c r="Q597" s="24">
        <f>SUM(Q598:Q618)</f>
        <v>0</v>
      </c>
      <c r="R597" s="24">
        <f t="shared" ref="R597" si="280">SUM(R598:R618)</f>
        <v>63.4</v>
      </c>
      <c r="S597" s="24">
        <f t="shared" ref="S597" si="281">SUM(S598:S618)</f>
        <v>74</v>
      </c>
      <c r="T597" s="24">
        <f t="shared" ref="T597:AC597" si="282">SUM(T598:T618)</f>
        <v>0</v>
      </c>
      <c r="U597" s="24">
        <f t="shared" si="282"/>
        <v>0</v>
      </c>
      <c r="V597" s="24">
        <f t="shared" si="282"/>
        <v>0</v>
      </c>
      <c r="W597" s="24">
        <f t="shared" si="282"/>
        <v>0</v>
      </c>
      <c r="X597" s="24">
        <f t="shared" si="282"/>
        <v>0</v>
      </c>
      <c r="Y597" s="24">
        <f t="shared" si="282"/>
        <v>0</v>
      </c>
      <c r="Z597" s="24">
        <f t="shared" si="282"/>
        <v>0</v>
      </c>
      <c r="AA597" s="24">
        <f t="shared" si="282"/>
        <v>0</v>
      </c>
      <c r="AB597" s="24">
        <f t="shared" si="282"/>
        <v>0</v>
      </c>
      <c r="AC597" s="24">
        <f t="shared" si="282"/>
        <v>0</v>
      </c>
      <c r="AD597" s="25">
        <f t="shared" ref="AD597:AI597" si="283">SUM(AD598:AD614)</f>
        <v>0</v>
      </c>
      <c r="AE597" s="25">
        <f t="shared" si="283"/>
        <v>0</v>
      </c>
      <c r="AF597" s="11" t="str">
        <f t="shared" si="275"/>
        <v/>
      </c>
      <c r="AG597" s="24">
        <f t="shared" si="283"/>
        <v>0</v>
      </c>
      <c r="AH597" s="25">
        <f t="shared" si="283"/>
        <v>110</v>
      </c>
      <c r="AI597" s="24">
        <f t="shared" si="283"/>
        <v>110</v>
      </c>
      <c r="AJ597" s="11">
        <f t="shared" si="276"/>
        <v>0</v>
      </c>
      <c r="AK597" s="9"/>
      <c r="AL597" s="13"/>
      <c r="AM597" s="9"/>
    </row>
    <row r="598" spans="1:39" x14ac:dyDescent="0.3">
      <c r="A598" s="2" t="str">
        <f t="shared" si="272"/>
        <v>NÃO</v>
      </c>
      <c r="B598" s="2" t="str">
        <f>_xlfn.XLOOKUP($N598,'Base de Grupos'!$A:$A,'Base de Grupos'!$D:$D)</f>
        <v>1000065763</v>
      </c>
      <c r="C598" s="5" t="str">
        <f>_xlfn.XLOOKUP($N598,'Base de Grupos'!$A:$A,'Base de Grupos'!$E:$E)</f>
        <v>CANAL VENDA INTERNA</v>
      </c>
      <c r="D598" s="5" t="str">
        <f>_xlfn.XLOOKUP($N598,'Base de Grupos'!$A:$A,'Base de Grupos'!$F:$F)</f>
        <v>1000065763</v>
      </c>
      <c r="E598" s="2" t="str">
        <f>_xlfn.XLOOKUP($N598,'Base de Grupos'!$A:$A,'Base de Grupos'!$G:$G)</f>
        <v>CANAL VENDA INTERNA</v>
      </c>
      <c r="F598" s="2" t="str">
        <f>_xlfn.XLOOKUP($N598,'Base de Grupos'!$A:$A,'Base de Grupos'!$H:$H)</f>
        <v>1000153245</v>
      </c>
      <c r="G598" s="5" t="str">
        <f>_xlfn.XLOOKUP($N598,'Base de Grupos'!$A:$A,'Base de Grupos'!$I:$I)</f>
        <v>REGIONAL VENDA INTERNA - KEY ACCOUNT</v>
      </c>
      <c r="H598" s="5" t="str">
        <f>_xlfn.XLOOKUP($N598,'Base de Grupos'!$A:$A,'Base de Grupos'!$J:$J)</f>
        <v>1000153245</v>
      </c>
      <c r="I598" s="2" t="str">
        <f>_xlfn.XLOOKUP($N598,'Base de Grupos'!$A:$A,'Base de Grupos'!$K:$K)</f>
        <v>REGIONAL VENDA INTERNA - KEY ACCOUNT</v>
      </c>
      <c r="J598" s="2" t="str">
        <f>_xlfn.XLOOKUP($N598,'Base de Grupos'!$A:$A,'Base de Grupos'!$L:$L)</f>
        <v>1000153245</v>
      </c>
      <c r="K598" s="5" t="str">
        <f>_xlfn.XLOOKUP($N598,'Base de Grupos'!$A:$A,'Base de Grupos'!$M:$M)</f>
        <v>REGIONAL VENDA INTERNA - KEY ACCOUNT</v>
      </c>
      <c r="L598" s="5" t="str">
        <f t="shared" si="273"/>
        <v/>
      </c>
      <c r="M598" s="5" t="str">
        <f>_xlfn.XLOOKUP($N598,'Base de Grupos'!$A:$A,'Base de Grupos'!$C:$C)</f>
        <v>RJ</v>
      </c>
      <c r="N598" s="3">
        <v>1433</v>
      </c>
      <c r="O598" s="4" t="s">
        <v>257</v>
      </c>
      <c r="P598" s="5" t="s">
        <v>81</v>
      </c>
      <c r="Q598" s="24">
        <v>0</v>
      </c>
      <c r="R598" s="24">
        <v>8</v>
      </c>
      <c r="S598" s="24">
        <v>10</v>
      </c>
      <c r="T598" s="24">
        <v>0</v>
      </c>
      <c r="U598" s="24">
        <v>0</v>
      </c>
      <c r="V598" s="24">
        <v>0</v>
      </c>
      <c r="W598" s="24">
        <v>0</v>
      </c>
      <c r="X598" s="24">
        <v>0</v>
      </c>
      <c r="Y598" s="24">
        <v>0</v>
      </c>
      <c r="Z598" s="24">
        <v>0</v>
      </c>
      <c r="AA598" s="24">
        <v>0</v>
      </c>
      <c r="AB598" s="24">
        <v>0</v>
      </c>
      <c r="AC598" s="30">
        <f t="shared" ref="AC598:AC618" si="284">SUM(T598:AB598)</f>
        <v>0</v>
      </c>
      <c r="AD598" s="27">
        <f t="shared" ref="AD598:AD614" si="285">IF(AC598=0,0,AC598-AG598)</f>
        <v>0</v>
      </c>
      <c r="AE598" s="25">
        <f>IFERROR(_xlfn.XLOOKUP(N598&amp;P598,'Historico Vendas'!G:G,'Historico Vendas'!E:E),0)</f>
        <v>0</v>
      </c>
      <c r="AF598" s="29" t="str">
        <f t="shared" si="275"/>
        <v/>
      </c>
      <c r="AG598" s="24">
        <f>IFERROR(_xlfn.XLOOKUP(N598&amp;P598,'Historico Vendas'!G:G,'Historico Vendas'!F:F),0)</f>
        <v>0</v>
      </c>
      <c r="AH598" s="25">
        <f t="shared" ref="AH598:AH614" si="286">SUM(Q598:S598)</f>
        <v>18</v>
      </c>
      <c r="AI598" s="24">
        <f t="shared" ref="AI598:AI614" si="287">AH598-AG598</f>
        <v>18</v>
      </c>
      <c r="AJ598" s="11">
        <f t="shared" si="276"/>
        <v>0</v>
      </c>
      <c r="AK598" s="9" t="s">
        <v>102</v>
      </c>
      <c r="AL598" s="13">
        <f>IFERROR(INDEX('Balizador da Meta'!$D$3:$F$23,MATCH(Quantidade!$P598,'Balizador da Meta'!$C$3:$C$23,0),MATCH(Quantidade!AK598,'Balizador da Meta'!$D$2:$F$2,0)),"")</f>
        <v>0.2</v>
      </c>
      <c r="AM598" s="9"/>
    </row>
    <row r="599" spans="1:39" x14ac:dyDescent="0.3">
      <c r="A599" s="2" t="str">
        <f t="shared" si="272"/>
        <v>NÃO</v>
      </c>
      <c r="B599" s="2" t="str">
        <f>_xlfn.XLOOKUP($N599,'Base de Grupos'!$A:$A,'Base de Grupos'!$D:$D)</f>
        <v>1000065763</v>
      </c>
      <c r="C599" s="5" t="str">
        <f>_xlfn.XLOOKUP($N599,'Base de Grupos'!$A:$A,'Base de Grupos'!$E:$E)</f>
        <v>CANAL VENDA INTERNA</v>
      </c>
      <c r="D599" s="5" t="str">
        <f>_xlfn.XLOOKUP($N599,'Base de Grupos'!$A:$A,'Base de Grupos'!$F:$F)</f>
        <v>1000065763</v>
      </c>
      <c r="E599" s="2" t="str">
        <f>_xlfn.XLOOKUP($N599,'Base de Grupos'!$A:$A,'Base de Grupos'!$G:$G)</f>
        <v>CANAL VENDA INTERNA</v>
      </c>
      <c r="F599" s="2" t="str">
        <f>_xlfn.XLOOKUP($N599,'Base de Grupos'!$A:$A,'Base de Grupos'!$H:$H)</f>
        <v>1000153245</v>
      </c>
      <c r="G599" s="5" t="str">
        <f>_xlfn.XLOOKUP($N599,'Base de Grupos'!$A:$A,'Base de Grupos'!$I:$I)</f>
        <v>REGIONAL VENDA INTERNA - KEY ACCOUNT</v>
      </c>
      <c r="H599" s="5" t="str">
        <f>_xlfn.XLOOKUP($N599,'Base de Grupos'!$A:$A,'Base de Grupos'!$J:$J)</f>
        <v>1000153245</v>
      </c>
      <c r="I599" s="2" t="str">
        <f>_xlfn.XLOOKUP($N599,'Base de Grupos'!$A:$A,'Base de Grupos'!$K:$K)</f>
        <v>REGIONAL VENDA INTERNA - KEY ACCOUNT</v>
      </c>
      <c r="J599" s="2" t="str">
        <f>_xlfn.XLOOKUP($N599,'Base de Grupos'!$A:$A,'Base de Grupos'!$L:$L)</f>
        <v>1000153245</v>
      </c>
      <c r="K599" s="5" t="str">
        <f>_xlfn.XLOOKUP($N599,'Base de Grupos'!$A:$A,'Base de Grupos'!$M:$M)</f>
        <v>REGIONAL VENDA INTERNA - KEY ACCOUNT</v>
      </c>
      <c r="L599" s="5" t="str">
        <f t="shared" si="273"/>
        <v/>
      </c>
      <c r="M599" s="5" t="str">
        <f>_xlfn.XLOOKUP($N599,'Base de Grupos'!$A:$A,'Base de Grupos'!$C:$C)</f>
        <v>RJ</v>
      </c>
      <c r="N599" s="3">
        <v>1433</v>
      </c>
      <c r="O599" s="4" t="s">
        <v>257</v>
      </c>
      <c r="P599" s="5" t="s">
        <v>82</v>
      </c>
      <c r="Q599" s="24">
        <v>0</v>
      </c>
      <c r="R599" s="24">
        <v>12</v>
      </c>
      <c r="S599" s="24">
        <v>14</v>
      </c>
      <c r="T599" s="24">
        <v>0</v>
      </c>
      <c r="U599" s="24">
        <v>0</v>
      </c>
      <c r="V599" s="24">
        <v>0</v>
      </c>
      <c r="W599" s="24">
        <v>0</v>
      </c>
      <c r="X599" s="24">
        <v>0</v>
      </c>
      <c r="Y599" s="24">
        <v>0</v>
      </c>
      <c r="Z599" s="24">
        <v>0</v>
      </c>
      <c r="AA599" s="24">
        <v>0</v>
      </c>
      <c r="AB599" s="24">
        <v>0</v>
      </c>
      <c r="AC599" s="30">
        <f t="shared" si="284"/>
        <v>0</v>
      </c>
      <c r="AD599" s="27">
        <f t="shared" si="285"/>
        <v>0</v>
      </c>
      <c r="AE599" s="25">
        <f>IFERROR(_xlfn.XLOOKUP(N599&amp;P599,'Historico Vendas'!G:G,'Historico Vendas'!E:E),0)</f>
        <v>0</v>
      </c>
      <c r="AF599" s="29" t="str">
        <f t="shared" si="275"/>
        <v/>
      </c>
      <c r="AG599" s="24">
        <f>IFERROR(_xlfn.XLOOKUP(N599&amp;P599,'Historico Vendas'!G:G,'Historico Vendas'!F:F),0)</f>
        <v>0</v>
      </c>
      <c r="AH599" s="25">
        <f t="shared" si="286"/>
        <v>26</v>
      </c>
      <c r="AI599" s="24">
        <f t="shared" si="287"/>
        <v>26</v>
      </c>
      <c r="AJ599" s="11">
        <f t="shared" si="276"/>
        <v>0</v>
      </c>
      <c r="AK599" s="9" t="s">
        <v>102</v>
      </c>
      <c r="AL599" s="13">
        <f>IFERROR(INDEX('Balizador da Meta'!$D$3:$F$23,MATCH(Quantidade!$P599,'Balizador da Meta'!$C$3:$C$23,0),MATCH(Quantidade!AK599,'Balizador da Meta'!$D$2:$F$2,0)),"")</f>
        <v>0.2</v>
      </c>
      <c r="AM599" s="9"/>
    </row>
    <row r="600" spans="1:39" x14ac:dyDescent="0.3">
      <c r="A600" s="2" t="str">
        <f t="shared" si="272"/>
        <v>NÃO</v>
      </c>
      <c r="B600" s="2" t="str">
        <f>_xlfn.XLOOKUP($N600,'Base de Grupos'!$A:$A,'Base de Grupos'!$D:$D)</f>
        <v>1000065763</v>
      </c>
      <c r="C600" s="5" t="str">
        <f>_xlfn.XLOOKUP($N600,'Base de Grupos'!$A:$A,'Base de Grupos'!$E:$E)</f>
        <v>CANAL VENDA INTERNA</v>
      </c>
      <c r="D600" s="5" t="str">
        <f>_xlfn.XLOOKUP($N600,'Base de Grupos'!$A:$A,'Base de Grupos'!$F:$F)</f>
        <v>1000065763</v>
      </c>
      <c r="E600" s="2" t="str">
        <f>_xlfn.XLOOKUP($N600,'Base de Grupos'!$A:$A,'Base de Grupos'!$G:$G)</f>
        <v>CANAL VENDA INTERNA</v>
      </c>
      <c r="F600" s="2" t="str">
        <f>_xlfn.XLOOKUP($N600,'Base de Grupos'!$A:$A,'Base de Grupos'!$H:$H)</f>
        <v>1000153245</v>
      </c>
      <c r="G600" s="5" t="str">
        <f>_xlfn.XLOOKUP($N600,'Base de Grupos'!$A:$A,'Base de Grupos'!$I:$I)</f>
        <v>REGIONAL VENDA INTERNA - KEY ACCOUNT</v>
      </c>
      <c r="H600" s="5" t="str">
        <f>_xlfn.XLOOKUP($N600,'Base de Grupos'!$A:$A,'Base de Grupos'!$J:$J)</f>
        <v>1000153245</v>
      </c>
      <c r="I600" s="2" t="str">
        <f>_xlfn.XLOOKUP($N600,'Base de Grupos'!$A:$A,'Base de Grupos'!$K:$K)</f>
        <v>REGIONAL VENDA INTERNA - KEY ACCOUNT</v>
      </c>
      <c r="J600" s="2" t="str">
        <f>_xlfn.XLOOKUP($N600,'Base de Grupos'!$A:$A,'Base de Grupos'!$L:$L)</f>
        <v>1000153245</v>
      </c>
      <c r="K600" s="5" t="str">
        <f>_xlfn.XLOOKUP($N600,'Base de Grupos'!$A:$A,'Base de Grupos'!$M:$M)</f>
        <v>REGIONAL VENDA INTERNA - KEY ACCOUNT</v>
      </c>
      <c r="L600" s="5" t="str">
        <f t="shared" si="273"/>
        <v/>
      </c>
      <c r="M600" s="5" t="str">
        <f>_xlfn.XLOOKUP($N600,'Base de Grupos'!$A:$A,'Base de Grupos'!$C:$C)</f>
        <v>RJ</v>
      </c>
      <c r="N600" s="3">
        <v>1433</v>
      </c>
      <c r="O600" s="4" t="s">
        <v>257</v>
      </c>
      <c r="P600" s="5" t="s">
        <v>84</v>
      </c>
      <c r="Q600" s="24">
        <v>0</v>
      </c>
      <c r="R600" s="24">
        <v>4</v>
      </c>
      <c r="S600" s="24">
        <v>5</v>
      </c>
      <c r="T600" s="24">
        <v>0</v>
      </c>
      <c r="U600" s="24">
        <v>0</v>
      </c>
      <c r="V600" s="24">
        <v>0</v>
      </c>
      <c r="W600" s="24">
        <v>0</v>
      </c>
      <c r="X600" s="24">
        <v>0</v>
      </c>
      <c r="Y600" s="24">
        <v>0</v>
      </c>
      <c r="Z600" s="24">
        <v>0</v>
      </c>
      <c r="AA600" s="24">
        <v>0</v>
      </c>
      <c r="AB600" s="24">
        <v>0</v>
      </c>
      <c r="AC600" s="30">
        <f t="shared" si="284"/>
        <v>0</v>
      </c>
      <c r="AD600" s="27">
        <f t="shared" si="285"/>
        <v>0</v>
      </c>
      <c r="AE600" s="25">
        <f>IFERROR(_xlfn.XLOOKUP(N600&amp;P600,'Historico Vendas'!G:G,'Historico Vendas'!E:E),0)</f>
        <v>0</v>
      </c>
      <c r="AF600" s="29" t="str">
        <f t="shared" si="275"/>
        <v/>
      </c>
      <c r="AG600" s="24">
        <f>IFERROR(_xlfn.XLOOKUP(N600&amp;P600,'Historico Vendas'!G:G,'Historico Vendas'!F:F),0)</f>
        <v>0</v>
      </c>
      <c r="AH600" s="25">
        <f t="shared" si="286"/>
        <v>9</v>
      </c>
      <c r="AI600" s="24">
        <f t="shared" si="287"/>
        <v>9</v>
      </c>
      <c r="AJ600" s="11">
        <f t="shared" si="276"/>
        <v>0</v>
      </c>
      <c r="AK600" s="9" t="s">
        <v>102</v>
      </c>
      <c r="AL600" s="13">
        <f>IFERROR(INDEX('Balizador da Meta'!$D$3:$F$23,MATCH(Quantidade!$P600,'Balizador da Meta'!$C$3:$C$23,0),MATCH(Quantidade!AK600,'Balizador da Meta'!$D$2:$F$2,0)),"")</f>
        <v>0.15</v>
      </c>
      <c r="AM600" s="9"/>
    </row>
    <row r="601" spans="1:39" x14ac:dyDescent="0.3">
      <c r="A601" s="2" t="str">
        <f t="shared" si="272"/>
        <v>NÃO</v>
      </c>
      <c r="B601" s="2" t="str">
        <f>_xlfn.XLOOKUP($N601,'Base de Grupos'!$A:$A,'Base de Grupos'!$D:$D)</f>
        <v>1000065763</v>
      </c>
      <c r="C601" s="5" t="str">
        <f>_xlfn.XLOOKUP($N601,'Base de Grupos'!$A:$A,'Base de Grupos'!$E:$E)</f>
        <v>CANAL VENDA INTERNA</v>
      </c>
      <c r="D601" s="5" t="str">
        <f>_xlfn.XLOOKUP($N601,'Base de Grupos'!$A:$A,'Base de Grupos'!$F:$F)</f>
        <v>1000065763</v>
      </c>
      <c r="E601" s="2" t="str">
        <f>_xlfn.XLOOKUP($N601,'Base de Grupos'!$A:$A,'Base de Grupos'!$G:$G)</f>
        <v>CANAL VENDA INTERNA</v>
      </c>
      <c r="F601" s="2" t="str">
        <f>_xlfn.XLOOKUP($N601,'Base de Grupos'!$A:$A,'Base de Grupos'!$H:$H)</f>
        <v>1000153245</v>
      </c>
      <c r="G601" s="5" t="str">
        <f>_xlfn.XLOOKUP($N601,'Base de Grupos'!$A:$A,'Base de Grupos'!$I:$I)</f>
        <v>REGIONAL VENDA INTERNA - KEY ACCOUNT</v>
      </c>
      <c r="H601" s="5" t="str">
        <f>_xlfn.XLOOKUP($N601,'Base de Grupos'!$A:$A,'Base de Grupos'!$J:$J)</f>
        <v>1000153245</v>
      </c>
      <c r="I601" s="2" t="str">
        <f>_xlfn.XLOOKUP($N601,'Base de Grupos'!$A:$A,'Base de Grupos'!$K:$K)</f>
        <v>REGIONAL VENDA INTERNA - KEY ACCOUNT</v>
      </c>
      <c r="J601" s="2" t="str">
        <f>_xlfn.XLOOKUP($N601,'Base de Grupos'!$A:$A,'Base de Grupos'!$L:$L)</f>
        <v>1000153245</v>
      </c>
      <c r="K601" s="5" t="str">
        <f>_xlfn.XLOOKUP($N601,'Base de Grupos'!$A:$A,'Base de Grupos'!$M:$M)</f>
        <v>REGIONAL VENDA INTERNA - KEY ACCOUNT</v>
      </c>
      <c r="L601" s="5" t="str">
        <f t="shared" si="273"/>
        <v/>
      </c>
      <c r="M601" s="5" t="str">
        <f>_xlfn.XLOOKUP($N601,'Base de Grupos'!$A:$A,'Base de Grupos'!$C:$C)</f>
        <v>RJ</v>
      </c>
      <c r="N601" s="3">
        <v>1433</v>
      </c>
      <c r="O601" s="4" t="s">
        <v>257</v>
      </c>
      <c r="P601" s="5" t="s">
        <v>83</v>
      </c>
      <c r="Q601" s="24">
        <v>0</v>
      </c>
      <c r="R601" s="24">
        <v>4</v>
      </c>
      <c r="S601" s="24">
        <v>4</v>
      </c>
      <c r="T601" s="24">
        <v>0</v>
      </c>
      <c r="U601" s="24">
        <v>0</v>
      </c>
      <c r="V601" s="24">
        <v>0</v>
      </c>
      <c r="W601" s="24">
        <v>0</v>
      </c>
      <c r="X601" s="24">
        <v>0</v>
      </c>
      <c r="Y601" s="24">
        <v>0</v>
      </c>
      <c r="Z601" s="24">
        <v>0</v>
      </c>
      <c r="AA601" s="24">
        <v>0</v>
      </c>
      <c r="AB601" s="24">
        <v>0</v>
      </c>
      <c r="AC601" s="30">
        <f t="shared" si="284"/>
        <v>0</v>
      </c>
      <c r="AD601" s="27">
        <f t="shared" si="285"/>
        <v>0</v>
      </c>
      <c r="AE601" s="25">
        <f>IFERROR(_xlfn.XLOOKUP(N601&amp;P601,'Historico Vendas'!G:G,'Historico Vendas'!E:E),0)</f>
        <v>0</v>
      </c>
      <c r="AF601" s="29" t="str">
        <f t="shared" si="275"/>
        <v/>
      </c>
      <c r="AG601" s="24">
        <f>IFERROR(_xlfn.XLOOKUP(N601&amp;P601,'Historico Vendas'!G:G,'Historico Vendas'!F:F),0)</f>
        <v>0</v>
      </c>
      <c r="AH601" s="25">
        <f t="shared" si="286"/>
        <v>8</v>
      </c>
      <c r="AI601" s="24">
        <f t="shared" si="287"/>
        <v>8</v>
      </c>
      <c r="AJ601" s="11">
        <f t="shared" si="276"/>
        <v>0</v>
      </c>
      <c r="AK601" s="9" t="s">
        <v>102</v>
      </c>
      <c r="AL601" s="13">
        <f>IFERROR(INDEX('Balizador da Meta'!$D$3:$F$23,MATCH(Quantidade!$P601,'Balizador da Meta'!$C$3:$C$23,0),MATCH(Quantidade!AK601,'Balizador da Meta'!$D$2:$F$2,0)),"")</f>
        <v>0</v>
      </c>
      <c r="AM601" s="9"/>
    </row>
    <row r="602" spans="1:39" x14ac:dyDescent="0.3">
      <c r="A602" s="2" t="str">
        <f t="shared" si="272"/>
        <v>NÃO</v>
      </c>
      <c r="B602" s="2" t="str">
        <f>_xlfn.XLOOKUP($N602,'Base de Grupos'!$A:$A,'Base de Grupos'!$D:$D)</f>
        <v>1000065763</v>
      </c>
      <c r="C602" s="5" t="str">
        <f>_xlfn.XLOOKUP($N602,'Base de Grupos'!$A:$A,'Base de Grupos'!$E:$E)</f>
        <v>CANAL VENDA INTERNA</v>
      </c>
      <c r="D602" s="5" t="str">
        <f>_xlfn.XLOOKUP($N602,'Base de Grupos'!$A:$A,'Base de Grupos'!$F:$F)</f>
        <v>1000065763</v>
      </c>
      <c r="E602" s="2" t="str">
        <f>_xlfn.XLOOKUP($N602,'Base de Grupos'!$A:$A,'Base de Grupos'!$G:$G)</f>
        <v>CANAL VENDA INTERNA</v>
      </c>
      <c r="F602" s="2" t="str">
        <f>_xlfn.XLOOKUP($N602,'Base de Grupos'!$A:$A,'Base de Grupos'!$H:$H)</f>
        <v>1000153245</v>
      </c>
      <c r="G602" s="5" t="str">
        <f>_xlfn.XLOOKUP($N602,'Base de Grupos'!$A:$A,'Base de Grupos'!$I:$I)</f>
        <v>REGIONAL VENDA INTERNA - KEY ACCOUNT</v>
      </c>
      <c r="H602" s="5" t="str">
        <f>_xlfn.XLOOKUP($N602,'Base de Grupos'!$A:$A,'Base de Grupos'!$J:$J)</f>
        <v>1000153245</v>
      </c>
      <c r="I602" s="2" t="str">
        <f>_xlfn.XLOOKUP($N602,'Base de Grupos'!$A:$A,'Base de Grupos'!$K:$K)</f>
        <v>REGIONAL VENDA INTERNA - KEY ACCOUNT</v>
      </c>
      <c r="J602" s="2" t="str">
        <f>_xlfn.XLOOKUP($N602,'Base de Grupos'!$A:$A,'Base de Grupos'!$L:$L)</f>
        <v>1000153245</v>
      </c>
      <c r="K602" s="5" t="str">
        <f>_xlfn.XLOOKUP($N602,'Base de Grupos'!$A:$A,'Base de Grupos'!$M:$M)</f>
        <v>REGIONAL VENDA INTERNA - KEY ACCOUNT</v>
      </c>
      <c r="L602" s="5" t="str">
        <f t="shared" si="273"/>
        <v/>
      </c>
      <c r="M602" s="5" t="str">
        <f>_xlfn.XLOOKUP($N602,'Base de Grupos'!$A:$A,'Base de Grupos'!$C:$C)</f>
        <v>RJ</v>
      </c>
      <c r="N602" s="3">
        <v>1433</v>
      </c>
      <c r="O602" s="4" t="s">
        <v>257</v>
      </c>
      <c r="P602" s="5" t="s">
        <v>87</v>
      </c>
      <c r="Q602" s="24">
        <v>0</v>
      </c>
      <c r="R602" s="24">
        <v>1</v>
      </c>
      <c r="S602" s="24">
        <v>2</v>
      </c>
      <c r="T602" s="24">
        <v>0</v>
      </c>
      <c r="U602" s="24">
        <v>0</v>
      </c>
      <c r="V602" s="24">
        <v>0</v>
      </c>
      <c r="W602" s="24">
        <v>0</v>
      </c>
      <c r="X602" s="24">
        <v>0</v>
      </c>
      <c r="Y602" s="24">
        <v>0</v>
      </c>
      <c r="Z602" s="24">
        <v>0</v>
      </c>
      <c r="AA602" s="24">
        <v>0</v>
      </c>
      <c r="AB602" s="24">
        <v>0</v>
      </c>
      <c r="AC602" s="30">
        <f t="shared" si="284"/>
        <v>0</v>
      </c>
      <c r="AD602" s="27">
        <f t="shared" si="285"/>
        <v>0</v>
      </c>
      <c r="AE602" s="25">
        <f>IFERROR(_xlfn.XLOOKUP(N602&amp;P602,'Historico Vendas'!G:G,'Historico Vendas'!E:E),0)</f>
        <v>0</v>
      </c>
      <c r="AF602" s="29" t="str">
        <f t="shared" si="275"/>
        <v/>
      </c>
      <c r="AG602" s="24">
        <f>IFERROR(_xlfn.XLOOKUP(N602&amp;P602,'Historico Vendas'!G:G,'Historico Vendas'!F:F),0)</f>
        <v>0</v>
      </c>
      <c r="AH602" s="25">
        <f t="shared" si="286"/>
        <v>3</v>
      </c>
      <c r="AI602" s="24">
        <f t="shared" si="287"/>
        <v>3</v>
      </c>
      <c r="AJ602" s="11">
        <f t="shared" si="276"/>
        <v>0</v>
      </c>
      <c r="AK602" s="9" t="s">
        <v>102</v>
      </c>
      <c r="AL602" s="13">
        <f>IFERROR(INDEX('Balizador da Meta'!$D$3:$F$23,MATCH(Quantidade!$P602,'Balizador da Meta'!$C$3:$C$23,0),MATCH(Quantidade!AK602,'Balizador da Meta'!$D$2:$F$2,0)),"")</f>
        <v>0</v>
      </c>
      <c r="AM602" s="9"/>
    </row>
    <row r="603" spans="1:39" x14ac:dyDescent="0.3">
      <c r="A603" s="2" t="str">
        <f t="shared" si="272"/>
        <v>NÃO</v>
      </c>
      <c r="B603" s="2" t="str">
        <f>_xlfn.XLOOKUP($N603,'Base de Grupos'!$A:$A,'Base de Grupos'!$D:$D)</f>
        <v>1000065763</v>
      </c>
      <c r="C603" s="5" t="str">
        <f>_xlfn.XLOOKUP($N603,'Base de Grupos'!$A:$A,'Base de Grupos'!$E:$E)</f>
        <v>CANAL VENDA INTERNA</v>
      </c>
      <c r="D603" s="5" t="str">
        <f>_xlfn.XLOOKUP($N603,'Base de Grupos'!$A:$A,'Base de Grupos'!$F:$F)</f>
        <v>1000065763</v>
      </c>
      <c r="E603" s="2" t="str">
        <f>_xlfn.XLOOKUP($N603,'Base de Grupos'!$A:$A,'Base de Grupos'!$G:$G)</f>
        <v>CANAL VENDA INTERNA</v>
      </c>
      <c r="F603" s="2" t="str">
        <f>_xlfn.XLOOKUP($N603,'Base de Grupos'!$A:$A,'Base de Grupos'!$H:$H)</f>
        <v>1000153245</v>
      </c>
      <c r="G603" s="5" t="str">
        <f>_xlfn.XLOOKUP($N603,'Base de Grupos'!$A:$A,'Base de Grupos'!$I:$I)</f>
        <v>REGIONAL VENDA INTERNA - KEY ACCOUNT</v>
      </c>
      <c r="H603" s="5" t="str">
        <f>_xlfn.XLOOKUP($N603,'Base de Grupos'!$A:$A,'Base de Grupos'!$J:$J)</f>
        <v>1000153245</v>
      </c>
      <c r="I603" s="2" t="str">
        <f>_xlfn.XLOOKUP($N603,'Base de Grupos'!$A:$A,'Base de Grupos'!$K:$K)</f>
        <v>REGIONAL VENDA INTERNA - KEY ACCOUNT</v>
      </c>
      <c r="J603" s="2" t="str">
        <f>_xlfn.XLOOKUP($N603,'Base de Grupos'!$A:$A,'Base de Grupos'!$L:$L)</f>
        <v>1000153245</v>
      </c>
      <c r="K603" s="5" t="str">
        <f>_xlfn.XLOOKUP($N603,'Base de Grupos'!$A:$A,'Base de Grupos'!$M:$M)</f>
        <v>REGIONAL VENDA INTERNA - KEY ACCOUNT</v>
      </c>
      <c r="L603" s="5" t="str">
        <f t="shared" si="273"/>
        <v/>
      </c>
      <c r="M603" s="5" t="str">
        <f>_xlfn.XLOOKUP($N603,'Base de Grupos'!$A:$A,'Base de Grupos'!$C:$C)</f>
        <v>RJ</v>
      </c>
      <c r="N603" s="3">
        <v>1433</v>
      </c>
      <c r="O603" s="4" t="s">
        <v>257</v>
      </c>
      <c r="P603" s="5" t="s">
        <v>85</v>
      </c>
      <c r="Q603" s="24">
        <v>0</v>
      </c>
      <c r="R603" s="24">
        <v>3</v>
      </c>
      <c r="S603" s="24">
        <v>4</v>
      </c>
      <c r="T603" s="24">
        <v>0</v>
      </c>
      <c r="U603" s="24">
        <v>0</v>
      </c>
      <c r="V603" s="24">
        <v>0</v>
      </c>
      <c r="W603" s="24">
        <v>0</v>
      </c>
      <c r="X603" s="24">
        <v>0</v>
      </c>
      <c r="Y603" s="24">
        <v>0</v>
      </c>
      <c r="Z603" s="24">
        <v>0</v>
      </c>
      <c r="AA603" s="24">
        <v>0</v>
      </c>
      <c r="AB603" s="24">
        <v>0</v>
      </c>
      <c r="AC603" s="30">
        <f t="shared" si="284"/>
        <v>0</v>
      </c>
      <c r="AD603" s="27">
        <f t="shared" si="285"/>
        <v>0</v>
      </c>
      <c r="AE603" s="25">
        <f>IFERROR(_xlfn.XLOOKUP(N603&amp;P603,'Historico Vendas'!G:G,'Historico Vendas'!E:E),0)</f>
        <v>0</v>
      </c>
      <c r="AF603" s="29" t="str">
        <f t="shared" si="275"/>
        <v/>
      </c>
      <c r="AG603" s="24">
        <f>IFERROR(_xlfn.XLOOKUP(N603&amp;P603,'Historico Vendas'!G:G,'Historico Vendas'!F:F),0)</f>
        <v>0</v>
      </c>
      <c r="AH603" s="25">
        <f t="shared" si="286"/>
        <v>7</v>
      </c>
      <c r="AI603" s="24">
        <f t="shared" si="287"/>
        <v>7</v>
      </c>
      <c r="AJ603" s="11">
        <f t="shared" si="276"/>
        <v>0</v>
      </c>
      <c r="AK603" s="9" t="s">
        <v>102</v>
      </c>
      <c r="AL603" s="13">
        <f>IFERROR(INDEX('Balizador da Meta'!$D$3:$F$23,MATCH(Quantidade!$P603,'Balizador da Meta'!$C$3:$C$23,0),MATCH(Quantidade!AK603,'Balizador da Meta'!$D$2:$F$2,0)),"")</f>
        <v>0</v>
      </c>
      <c r="AM603" s="9"/>
    </row>
    <row r="604" spans="1:39" x14ac:dyDescent="0.3">
      <c r="A604" s="2" t="str">
        <f t="shared" si="272"/>
        <v>NÃO</v>
      </c>
      <c r="B604" s="2" t="str">
        <f>_xlfn.XLOOKUP($N604,'Base de Grupos'!$A:$A,'Base de Grupos'!$D:$D)</f>
        <v>1000065763</v>
      </c>
      <c r="C604" s="5" t="str">
        <f>_xlfn.XLOOKUP($N604,'Base de Grupos'!$A:$A,'Base de Grupos'!$E:$E)</f>
        <v>CANAL VENDA INTERNA</v>
      </c>
      <c r="D604" s="5" t="str">
        <f>_xlfn.XLOOKUP($N604,'Base de Grupos'!$A:$A,'Base de Grupos'!$F:$F)</f>
        <v>1000065763</v>
      </c>
      <c r="E604" s="2" t="str">
        <f>_xlfn.XLOOKUP($N604,'Base de Grupos'!$A:$A,'Base de Grupos'!$G:$G)</f>
        <v>CANAL VENDA INTERNA</v>
      </c>
      <c r="F604" s="2" t="str">
        <f>_xlfn.XLOOKUP($N604,'Base de Grupos'!$A:$A,'Base de Grupos'!$H:$H)</f>
        <v>1000153245</v>
      </c>
      <c r="G604" s="5" t="str">
        <f>_xlfn.XLOOKUP($N604,'Base de Grupos'!$A:$A,'Base de Grupos'!$I:$I)</f>
        <v>REGIONAL VENDA INTERNA - KEY ACCOUNT</v>
      </c>
      <c r="H604" s="5" t="str">
        <f>_xlfn.XLOOKUP($N604,'Base de Grupos'!$A:$A,'Base de Grupos'!$J:$J)</f>
        <v>1000153245</v>
      </c>
      <c r="I604" s="2" t="str">
        <f>_xlfn.XLOOKUP($N604,'Base de Grupos'!$A:$A,'Base de Grupos'!$K:$K)</f>
        <v>REGIONAL VENDA INTERNA - KEY ACCOUNT</v>
      </c>
      <c r="J604" s="2" t="str">
        <f>_xlfn.XLOOKUP($N604,'Base de Grupos'!$A:$A,'Base de Grupos'!$L:$L)</f>
        <v>1000153245</v>
      </c>
      <c r="K604" s="5" t="str">
        <f>_xlfn.XLOOKUP($N604,'Base de Grupos'!$A:$A,'Base de Grupos'!$M:$M)</f>
        <v>REGIONAL VENDA INTERNA - KEY ACCOUNT</v>
      </c>
      <c r="L604" s="5" t="str">
        <f t="shared" si="273"/>
        <v/>
      </c>
      <c r="M604" s="5" t="str">
        <f>_xlfn.XLOOKUP($N604,'Base de Grupos'!$A:$A,'Base de Grupos'!$C:$C)</f>
        <v>RJ</v>
      </c>
      <c r="N604" s="3">
        <v>1433</v>
      </c>
      <c r="O604" s="4" t="s">
        <v>257</v>
      </c>
      <c r="P604" s="5" t="s">
        <v>92</v>
      </c>
      <c r="Q604" s="24">
        <v>0</v>
      </c>
      <c r="R604" s="24">
        <v>2</v>
      </c>
      <c r="S604" s="24">
        <v>2</v>
      </c>
      <c r="T604" s="24">
        <v>0</v>
      </c>
      <c r="U604" s="24">
        <v>0</v>
      </c>
      <c r="V604" s="24">
        <v>0</v>
      </c>
      <c r="W604" s="24">
        <v>0</v>
      </c>
      <c r="X604" s="24">
        <v>0</v>
      </c>
      <c r="Y604" s="24">
        <v>0</v>
      </c>
      <c r="Z604" s="24">
        <v>0</v>
      </c>
      <c r="AA604" s="24">
        <v>0</v>
      </c>
      <c r="AB604" s="24">
        <v>0</v>
      </c>
      <c r="AC604" s="30">
        <f t="shared" si="284"/>
        <v>0</v>
      </c>
      <c r="AD604" s="27">
        <f t="shared" si="285"/>
        <v>0</v>
      </c>
      <c r="AE604" s="25">
        <f>IFERROR(_xlfn.XLOOKUP(N604&amp;P604,'Historico Vendas'!G:G,'Historico Vendas'!E:E),0)</f>
        <v>0</v>
      </c>
      <c r="AF604" s="29" t="str">
        <f t="shared" si="275"/>
        <v/>
      </c>
      <c r="AG604" s="24">
        <f>IFERROR(_xlfn.XLOOKUP(N604&amp;P604,'Historico Vendas'!G:G,'Historico Vendas'!F:F),0)</f>
        <v>0</v>
      </c>
      <c r="AH604" s="25">
        <f t="shared" si="286"/>
        <v>4</v>
      </c>
      <c r="AI604" s="24">
        <f t="shared" si="287"/>
        <v>4</v>
      </c>
      <c r="AJ604" s="11">
        <f t="shared" si="276"/>
        <v>0</v>
      </c>
      <c r="AK604" s="9" t="s">
        <v>102</v>
      </c>
      <c r="AL604" s="13">
        <f>IFERROR(INDEX('Balizador da Meta'!$D$3:$F$23,MATCH(Quantidade!$P604,'Balizador da Meta'!$C$3:$C$23,0),MATCH(Quantidade!AK604,'Balizador da Meta'!$D$2:$F$2,0)),"")</f>
        <v>0</v>
      </c>
      <c r="AM604" s="9"/>
    </row>
    <row r="605" spans="1:39" x14ac:dyDescent="0.3">
      <c r="A605" s="2" t="str">
        <f t="shared" si="272"/>
        <v>NÃO</v>
      </c>
      <c r="B605" s="2" t="str">
        <f>_xlfn.XLOOKUP($N605,'Base de Grupos'!$A:$A,'Base de Grupos'!$D:$D)</f>
        <v>1000065763</v>
      </c>
      <c r="C605" s="5" t="str">
        <f>_xlfn.XLOOKUP($N605,'Base de Grupos'!$A:$A,'Base de Grupos'!$E:$E)</f>
        <v>CANAL VENDA INTERNA</v>
      </c>
      <c r="D605" s="5" t="str">
        <f>_xlfn.XLOOKUP($N605,'Base de Grupos'!$A:$A,'Base de Grupos'!$F:$F)</f>
        <v>1000065763</v>
      </c>
      <c r="E605" s="2" t="str">
        <f>_xlfn.XLOOKUP($N605,'Base de Grupos'!$A:$A,'Base de Grupos'!$G:$G)</f>
        <v>CANAL VENDA INTERNA</v>
      </c>
      <c r="F605" s="2" t="str">
        <f>_xlfn.XLOOKUP($N605,'Base de Grupos'!$A:$A,'Base de Grupos'!$H:$H)</f>
        <v>1000153245</v>
      </c>
      <c r="G605" s="5" t="str">
        <f>_xlfn.XLOOKUP($N605,'Base de Grupos'!$A:$A,'Base de Grupos'!$I:$I)</f>
        <v>REGIONAL VENDA INTERNA - KEY ACCOUNT</v>
      </c>
      <c r="H605" s="5" t="str">
        <f>_xlfn.XLOOKUP($N605,'Base de Grupos'!$A:$A,'Base de Grupos'!$J:$J)</f>
        <v>1000153245</v>
      </c>
      <c r="I605" s="2" t="str">
        <f>_xlfn.XLOOKUP($N605,'Base de Grupos'!$A:$A,'Base de Grupos'!$K:$K)</f>
        <v>REGIONAL VENDA INTERNA - KEY ACCOUNT</v>
      </c>
      <c r="J605" s="2" t="str">
        <f>_xlfn.XLOOKUP($N605,'Base de Grupos'!$A:$A,'Base de Grupos'!$L:$L)</f>
        <v>1000153245</v>
      </c>
      <c r="K605" s="5" t="str">
        <f>_xlfn.XLOOKUP($N605,'Base de Grupos'!$A:$A,'Base de Grupos'!$M:$M)</f>
        <v>REGIONAL VENDA INTERNA - KEY ACCOUNT</v>
      </c>
      <c r="L605" s="5" t="str">
        <f t="shared" si="273"/>
        <v/>
      </c>
      <c r="M605" s="5" t="str">
        <f>_xlfn.XLOOKUP($N605,'Base de Grupos'!$A:$A,'Base de Grupos'!$C:$C)</f>
        <v>RJ</v>
      </c>
      <c r="N605" s="3">
        <v>1433</v>
      </c>
      <c r="O605" s="4" t="s">
        <v>257</v>
      </c>
      <c r="P605" s="5" t="s">
        <v>86</v>
      </c>
      <c r="Q605" s="24">
        <v>0</v>
      </c>
      <c r="R605" s="24">
        <v>1</v>
      </c>
      <c r="S605" s="24">
        <v>2</v>
      </c>
      <c r="T605" s="24">
        <v>0</v>
      </c>
      <c r="U605" s="24">
        <v>0</v>
      </c>
      <c r="V605" s="24">
        <v>0</v>
      </c>
      <c r="W605" s="24">
        <v>0</v>
      </c>
      <c r="X605" s="24">
        <v>0</v>
      </c>
      <c r="Y605" s="24">
        <v>0</v>
      </c>
      <c r="Z605" s="24">
        <v>0</v>
      </c>
      <c r="AA605" s="24">
        <v>0</v>
      </c>
      <c r="AB605" s="24">
        <v>0</v>
      </c>
      <c r="AC605" s="30">
        <f t="shared" si="284"/>
        <v>0</v>
      </c>
      <c r="AD605" s="27">
        <f t="shared" si="285"/>
        <v>0</v>
      </c>
      <c r="AE605" s="25">
        <f>IFERROR(_xlfn.XLOOKUP(N605&amp;P605,'Historico Vendas'!G:G,'Historico Vendas'!E:E),0)</f>
        <v>0</v>
      </c>
      <c r="AF605" s="29" t="str">
        <f t="shared" si="275"/>
        <v/>
      </c>
      <c r="AG605" s="24">
        <f>IFERROR(_xlfn.XLOOKUP(N605&amp;P605,'Historico Vendas'!G:G,'Historico Vendas'!F:F),0)</f>
        <v>0</v>
      </c>
      <c r="AH605" s="25">
        <f t="shared" si="286"/>
        <v>3</v>
      </c>
      <c r="AI605" s="24">
        <f t="shared" si="287"/>
        <v>3</v>
      </c>
      <c r="AJ605" s="11">
        <f t="shared" si="276"/>
        <v>0</v>
      </c>
      <c r="AK605" s="9" t="s">
        <v>102</v>
      </c>
      <c r="AL605" s="13">
        <f>IFERROR(INDEX('Balizador da Meta'!$D$3:$F$23,MATCH(Quantidade!$P605,'Balizador da Meta'!$C$3:$C$23,0),MATCH(Quantidade!AK605,'Balizador da Meta'!$D$2:$F$2,0)),"")</f>
        <v>0.15</v>
      </c>
      <c r="AM605" s="9"/>
    </row>
    <row r="606" spans="1:39" x14ac:dyDescent="0.3">
      <c r="A606" s="2" t="str">
        <f t="shared" si="272"/>
        <v>NÃO</v>
      </c>
      <c r="B606" s="2" t="str">
        <f>_xlfn.XLOOKUP($N606,'Base de Grupos'!$A:$A,'Base de Grupos'!$D:$D)</f>
        <v>1000065763</v>
      </c>
      <c r="C606" s="5" t="str">
        <f>_xlfn.XLOOKUP($N606,'Base de Grupos'!$A:$A,'Base de Grupos'!$E:$E)</f>
        <v>CANAL VENDA INTERNA</v>
      </c>
      <c r="D606" s="5" t="str">
        <f>_xlfn.XLOOKUP($N606,'Base de Grupos'!$A:$A,'Base de Grupos'!$F:$F)</f>
        <v>1000065763</v>
      </c>
      <c r="E606" s="2" t="str">
        <f>_xlfn.XLOOKUP($N606,'Base de Grupos'!$A:$A,'Base de Grupos'!$G:$G)</f>
        <v>CANAL VENDA INTERNA</v>
      </c>
      <c r="F606" s="2" t="str">
        <f>_xlfn.XLOOKUP($N606,'Base de Grupos'!$A:$A,'Base de Grupos'!$H:$H)</f>
        <v>1000153245</v>
      </c>
      <c r="G606" s="5" t="str">
        <f>_xlfn.XLOOKUP($N606,'Base de Grupos'!$A:$A,'Base de Grupos'!$I:$I)</f>
        <v>REGIONAL VENDA INTERNA - KEY ACCOUNT</v>
      </c>
      <c r="H606" s="5" t="str">
        <f>_xlfn.XLOOKUP($N606,'Base de Grupos'!$A:$A,'Base de Grupos'!$J:$J)</f>
        <v>1000153245</v>
      </c>
      <c r="I606" s="2" t="str">
        <f>_xlfn.XLOOKUP($N606,'Base de Grupos'!$A:$A,'Base de Grupos'!$K:$K)</f>
        <v>REGIONAL VENDA INTERNA - KEY ACCOUNT</v>
      </c>
      <c r="J606" s="2" t="str">
        <f>_xlfn.XLOOKUP($N606,'Base de Grupos'!$A:$A,'Base de Grupos'!$L:$L)</f>
        <v>1000153245</v>
      </c>
      <c r="K606" s="5" t="str">
        <f>_xlfn.XLOOKUP($N606,'Base de Grupos'!$A:$A,'Base de Grupos'!$M:$M)</f>
        <v>REGIONAL VENDA INTERNA - KEY ACCOUNT</v>
      </c>
      <c r="L606" s="5" t="str">
        <f t="shared" si="273"/>
        <v/>
      </c>
      <c r="M606" s="5" t="str">
        <f>_xlfn.XLOOKUP($N606,'Base de Grupos'!$A:$A,'Base de Grupos'!$C:$C)</f>
        <v>RJ</v>
      </c>
      <c r="N606" s="3">
        <v>1433</v>
      </c>
      <c r="O606" s="4" t="s">
        <v>257</v>
      </c>
      <c r="P606" s="5" t="s">
        <v>108</v>
      </c>
      <c r="Q606" s="24">
        <v>0</v>
      </c>
      <c r="R606" s="24">
        <v>6</v>
      </c>
      <c r="S606" s="24">
        <v>7</v>
      </c>
      <c r="T606" s="24">
        <v>0</v>
      </c>
      <c r="U606" s="24">
        <v>0</v>
      </c>
      <c r="V606" s="24">
        <v>0</v>
      </c>
      <c r="W606" s="24">
        <v>0</v>
      </c>
      <c r="X606" s="24">
        <v>0</v>
      </c>
      <c r="Y606" s="24">
        <v>0</v>
      </c>
      <c r="Z606" s="24">
        <v>0</v>
      </c>
      <c r="AA606" s="24">
        <v>0</v>
      </c>
      <c r="AB606" s="24">
        <v>0</v>
      </c>
      <c r="AC606" s="30">
        <f t="shared" si="284"/>
        <v>0</v>
      </c>
      <c r="AD606" s="27">
        <f t="shared" si="285"/>
        <v>0</v>
      </c>
      <c r="AE606" s="25">
        <f>IFERROR(_xlfn.XLOOKUP(N606&amp;P606,'Historico Vendas'!G:G,'Historico Vendas'!E:E),0)</f>
        <v>0</v>
      </c>
      <c r="AF606" s="29" t="str">
        <f t="shared" si="275"/>
        <v/>
      </c>
      <c r="AG606" s="24">
        <f>IFERROR(_xlfn.XLOOKUP(N606&amp;P606,'Historico Vendas'!G:G,'Historico Vendas'!F:F),0)</f>
        <v>0</v>
      </c>
      <c r="AH606" s="25">
        <f t="shared" si="286"/>
        <v>13</v>
      </c>
      <c r="AI606" s="24">
        <f t="shared" si="287"/>
        <v>13</v>
      </c>
      <c r="AJ606" s="11">
        <f t="shared" si="276"/>
        <v>0</v>
      </c>
      <c r="AK606" s="9" t="s">
        <v>102</v>
      </c>
      <c r="AL606" s="13">
        <f>IFERROR(INDEX('Balizador da Meta'!$D$3:$F$23,MATCH(Quantidade!$P606,'Balizador da Meta'!$C$3:$C$23,0),MATCH(Quantidade!AK606,'Balizador da Meta'!$D$2:$F$2,0)),"")</f>
        <v>0</v>
      </c>
      <c r="AM606" s="9"/>
    </row>
    <row r="607" spans="1:39" x14ac:dyDescent="0.3">
      <c r="A607" s="2" t="str">
        <f t="shared" si="272"/>
        <v>NÃO</v>
      </c>
      <c r="B607" s="2" t="str">
        <f>_xlfn.XLOOKUP($N607,'Base de Grupos'!$A:$A,'Base de Grupos'!$D:$D)</f>
        <v>1000065763</v>
      </c>
      <c r="C607" s="5" t="str">
        <f>_xlfn.XLOOKUP($N607,'Base de Grupos'!$A:$A,'Base de Grupos'!$E:$E)</f>
        <v>CANAL VENDA INTERNA</v>
      </c>
      <c r="D607" s="5" t="str">
        <f>_xlfn.XLOOKUP($N607,'Base de Grupos'!$A:$A,'Base de Grupos'!$F:$F)</f>
        <v>1000065763</v>
      </c>
      <c r="E607" s="2" t="str">
        <f>_xlfn.XLOOKUP($N607,'Base de Grupos'!$A:$A,'Base de Grupos'!$G:$G)</f>
        <v>CANAL VENDA INTERNA</v>
      </c>
      <c r="F607" s="2" t="str">
        <f>_xlfn.XLOOKUP($N607,'Base de Grupos'!$A:$A,'Base de Grupos'!$H:$H)</f>
        <v>1000153245</v>
      </c>
      <c r="G607" s="5" t="str">
        <f>_xlfn.XLOOKUP($N607,'Base de Grupos'!$A:$A,'Base de Grupos'!$I:$I)</f>
        <v>REGIONAL VENDA INTERNA - KEY ACCOUNT</v>
      </c>
      <c r="H607" s="5" t="str">
        <f>_xlfn.XLOOKUP($N607,'Base de Grupos'!$A:$A,'Base de Grupos'!$J:$J)</f>
        <v>1000153245</v>
      </c>
      <c r="I607" s="2" t="str">
        <f>_xlfn.XLOOKUP($N607,'Base de Grupos'!$A:$A,'Base de Grupos'!$K:$K)</f>
        <v>REGIONAL VENDA INTERNA - KEY ACCOUNT</v>
      </c>
      <c r="J607" s="2" t="str">
        <f>_xlfn.XLOOKUP($N607,'Base de Grupos'!$A:$A,'Base de Grupos'!$L:$L)</f>
        <v>1000153245</v>
      </c>
      <c r="K607" s="5" t="str">
        <f>_xlfn.XLOOKUP($N607,'Base de Grupos'!$A:$A,'Base de Grupos'!$M:$M)</f>
        <v>REGIONAL VENDA INTERNA - KEY ACCOUNT</v>
      </c>
      <c r="L607" s="5" t="str">
        <f t="shared" si="273"/>
        <v/>
      </c>
      <c r="M607" s="5" t="str">
        <f>_xlfn.XLOOKUP($N607,'Base de Grupos'!$A:$A,'Base de Grupos'!$C:$C)</f>
        <v>RJ</v>
      </c>
      <c r="N607" s="3">
        <v>1433</v>
      </c>
      <c r="O607" s="4" t="s">
        <v>257</v>
      </c>
      <c r="P607" s="5" t="s">
        <v>89</v>
      </c>
      <c r="Q607" s="24">
        <v>0</v>
      </c>
      <c r="R607" s="24">
        <v>0</v>
      </c>
      <c r="S607" s="24">
        <v>0</v>
      </c>
      <c r="T607" s="24">
        <v>0</v>
      </c>
      <c r="U607" s="24">
        <v>0</v>
      </c>
      <c r="V607" s="24">
        <v>0</v>
      </c>
      <c r="W607" s="24">
        <v>0</v>
      </c>
      <c r="X607" s="24">
        <v>0</v>
      </c>
      <c r="Y607" s="24">
        <v>0</v>
      </c>
      <c r="Z607" s="24">
        <v>0</v>
      </c>
      <c r="AA607" s="24">
        <v>0</v>
      </c>
      <c r="AB607" s="24">
        <v>0</v>
      </c>
      <c r="AC607" s="30">
        <f t="shared" si="284"/>
        <v>0</v>
      </c>
      <c r="AD607" s="27">
        <f t="shared" si="285"/>
        <v>0</v>
      </c>
      <c r="AE607" s="25">
        <f>IFERROR(_xlfn.XLOOKUP(N607&amp;P607,'Historico Vendas'!G:G,'Historico Vendas'!E:E),0)</f>
        <v>0</v>
      </c>
      <c r="AF607" s="29" t="str">
        <f t="shared" si="275"/>
        <v/>
      </c>
      <c r="AG607" s="24">
        <f>IFERROR(_xlfn.XLOOKUP(N607&amp;P607,'Historico Vendas'!G:G,'Historico Vendas'!F:F),0)</f>
        <v>0</v>
      </c>
      <c r="AH607" s="25">
        <f t="shared" si="286"/>
        <v>0</v>
      </c>
      <c r="AI607" s="24">
        <f t="shared" si="287"/>
        <v>0</v>
      </c>
      <c r="AJ607" s="11" t="str">
        <f t="shared" si="276"/>
        <v/>
      </c>
      <c r="AK607" s="9" t="s">
        <v>102</v>
      </c>
      <c r="AL607" s="13">
        <f>IFERROR(INDEX('Balizador da Meta'!$D$3:$F$23,MATCH(Quantidade!$P607,'Balizador da Meta'!$C$3:$C$23,0),MATCH(Quantidade!AK607,'Balizador da Meta'!$D$2:$F$2,0)),"")</f>
        <v>0.25</v>
      </c>
      <c r="AM607" s="9"/>
    </row>
    <row r="608" spans="1:39" x14ac:dyDescent="0.3">
      <c r="A608" s="2" t="str">
        <f t="shared" si="272"/>
        <v>NÃO</v>
      </c>
      <c r="B608" s="2" t="str">
        <f>_xlfn.XLOOKUP($N608,'Base de Grupos'!$A:$A,'Base de Grupos'!$D:$D)</f>
        <v>1000065763</v>
      </c>
      <c r="C608" s="5" t="str">
        <f>_xlfn.XLOOKUP($N608,'Base de Grupos'!$A:$A,'Base de Grupos'!$E:$E)</f>
        <v>CANAL VENDA INTERNA</v>
      </c>
      <c r="D608" s="5" t="str">
        <f>_xlfn.XLOOKUP($N608,'Base de Grupos'!$A:$A,'Base de Grupos'!$F:$F)</f>
        <v>1000065763</v>
      </c>
      <c r="E608" s="2" t="str">
        <f>_xlfn.XLOOKUP($N608,'Base de Grupos'!$A:$A,'Base de Grupos'!$G:$G)</f>
        <v>CANAL VENDA INTERNA</v>
      </c>
      <c r="F608" s="2" t="str">
        <f>_xlfn.XLOOKUP($N608,'Base de Grupos'!$A:$A,'Base de Grupos'!$H:$H)</f>
        <v>1000153245</v>
      </c>
      <c r="G608" s="5" t="str">
        <f>_xlfn.XLOOKUP($N608,'Base de Grupos'!$A:$A,'Base de Grupos'!$I:$I)</f>
        <v>REGIONAL VENDA INTERNA - KEY ACCOUNT</v>
      </c>
      <c r="H608" s="5" t="str">
        <f>_xlfn.XLOOKUP($N608,'Base de Grupos'!$A:$A,'Base de Grupos'!$J:$J)</f>
        <v>1000153245</v>
      </c>
      <c r="I608" s="2" t="str">
        <f>_xlfn.XLOOKUP($N608,'Base de Grupos'!$A:$A,'Base de Grupos'!$K:$K)</f>
        <v>REGIONAL VENDA INTERNA - KEY ACCOUNT</v>
      </c>
      <c r="J608" s="2" t="str">
        <f>_xlfn.XLOOKUP($N608,'Base de Grupos'!$A:$A,'Base de Grupos'!$L:$L)</f>
        <v>1000153245</v>
      </c>
      <c r="K608" s="5" t="str">
        <f>_xlfn.XLOOKUP($N608,'Base de Grupos'!$A:$A,'Base de Grupos'!$M:$M)</f>
        <v>REGIONAL VENDA INTERNA - KEY ACCOUNT</v>
      </c>
      <c r="L608" s="5" t="str">
        <f t="shared" si="273"/>
        <v/>
      </c>
      <c r="M608" s="5" t="str">
        <f>_xlfn.XLOOKUP($N608,'Base de Grupos'!$A:$A,'Base de Grupos'!$C:$C)</f>
        <v>RJ</v>
      </c>
      <c r="N608" s="3">
        <v>1433</v>
      </c>
      <c r="O608" s="4" t="s">
        <v>257</v>
      </c>
      <c r="P608" s="5" t="s">
        <v>88</v>
      </c>
      <c r="Q608" s="24">
        <v>0</v>
      </c>
      <c r="R608" s="24">
        <v>0</v>
      </c>
      <c r="S608" s="24">
        <v>0</v>
      </c>
      <c r="T608" s="24">
        <v>0</v>
      </c>
      <c r="U608" s="24">
        <v>0</v>
      </c>
      <c r="V608" s="24">
        <v>0</v>
      </c>
      <c r="W608" s="24">
        <v>0</v>
      </c>
      <c r="X608" s="24">
        <v>0</v>
      </c>
      <c r="Y608" s="24">
        <v>0</v>
      </c>
      <c r="Z608" s="24">
        <v>0</v>
      </c>
      <c r="AA608" s="24">
        <v>0</v>
      </c>
      <c r="AB608" s="24">
        <v>0</v>
      </c>
      <c r="AC608" s="30">
        <f t="shared" si="284"/>
        <v>0</v>
      </c>
      <c r="AD608" s="27">
        <f t="shared" si="285"/>
        <v>0</v>
      </c>
      <c r="AE608" s="25">
        <f>IFERROR(_xlfn.XLOOKUP(N608&amp;P608,'Historico Vendas'!G:G,'Historico Vendas'!E:E),0)</f>
        <v>0</v>
      </c>
      <c r="AF608" s="29" t="str">
        <f t="shared" si="275"/>
        <v/>
      </c>
      <c r="AG608" s="24">
        <f>IFERROR(_xlfn.XLOOKUP(N608&amp;P608,'Historico Vendas'!G:G,'Historico Vendas'!F:F),0)</f>
        <v>0</v>
      </c>
      <c r="AH608" s="25">
        <f t="shared" si="286"/>
        <v>0</v>
      </c>
      <c r="AI608" s="24">
        <f t="shared" si="287"/>
        <v>0</v>
      </c>
      <c r="AJ608" s="11" t="str">
        <f t="shared" si="276"/>
        <v/>
      </c>
      <c r="AK608" s="9" t="s">
        <v>102</v>
      </c>
      <c r="AL608" s="13">
        <f>IFERROR(INDEX('Balizador da Meta'!$D$3:$F$23,MATCH(Quantidade!$P608,'Balizador da Meta'!$C$3:$C$23,0),MATCH(Quantidade!AK608,'Balizador da Meta'!$D$2:$F$2,0)),"")</f>
        <v>0</v>
      </c>
      <c r="AM608" s="9"/>
    </row>
    <row r="609" spans="1:39" x14ac:dyDescent="0.3">
      <c r="A609" s="2" t="str">
        <f t="shared" si="272"/>
        <v>NÃO</v>
      </c>
      <c r="B609" s="2" t="str">
        <f>_xlfn.XLOOKUP($N609,'Base de Grupos'!$A:$A,'Base de Grupos'!$D:$D)</f>
        <v>1000065763</v>
      </c>
      <c r="C609" s="5" t="str">
        <f>_xlfn.XLOOKUP($N609,'Base de Grupos'!$A:$A,'Base de Grupos'!$E:$E)</f>
        <v>CANAL VENDA INTERNA</v>
      </c>
      <c r="D609" s="5" t="str">
        <f>_xlfn.XLOOKUP($N609,'Base de Grupos'!$A:$A,'Base de Grupos'!$F:$F)</f>
        <v>1000065763</v>
      </c>
      <c r="E609" s="2" t="str">
        <f>_xlfn.XLOOKUP($N609,'Base de Grupos'!$A:$A,'Base de Grupos'!$G:$G)</f>
        <v>CANAL VENDA INTERNA</v>
      </c>
      <c r="F609" s="2" t="str">
        <f>_xlfn.XLOOKUP($N609,'Base de Grupos'!$A:$A,'Base de Grupos'!$H:$H)</f>
        <v>1000153245</v>
      </c>
      <c r="G609" s="5" t="str">
        <f>_xlfn.XLOOKUP($N609,'Base de Grupos'!$A:$A,'Base de Grupos'!$I:$I)</f>
        <v>REGIONAL VENDA INTERNA - KEY ACCOUNT</v>
      </c>
      <c r="H609" s="5" t="str">
        <f>_xlfn.XLOOKUP($N609,'Base de Grupos'!$A:$A,'Base de Grupos'!$J:$J)</f>
        <v>1000153245</v>
      </c>
      <c r="I609" s="2" t="str">
        <f>_xlfn.XLOOKUP($N609,'Base de Grupos'!$A:$A,'Base de Grupos'!$K:$K)</f>
        <v>REGIONAL VENDA INTERNA - KEY ACCOUNT</v>
      </c>
      <c r="J609" s="2" t="str">
        <f>_xlfn.XLOOKUP($N609,'Base de Grupos'!$A:$A,'Base de Grupos'!$L:$L)</f>
        <v>1000153245</v>
      </c>
      <c r="K609" s="5" t="str">
        <f>_xlfn.XLOOKUP($N609,'Base de Grupos'!$A:$A,'Base de Grupos'!$M:$M)</f>
        <v>REGIONAL VENDA INTERNA - KEY ACCOUNT</v>
      </c>
      <c r="L609" s="5" t="str">
        <f t="shared" si="273"/>
        <v/>
      </c>
      <c r="M609" s="5" t="str">
        <f>_xlfn.XLOOKUP($N609,'Base de Grupos'!$A:$A,'Base de Grupos'!$C:$C)</f>
        <v>RJ</v>
      </c>
      <c r="N609" s="3">
        <v>1433</v>
      </c>
      <c r="O609" s="4" t="s">
        <v>257</v>
      </c>
      <c r="P609" s="5" t="s">
        <v>90</v>
      </c>
      <c r="Q609" s="24">
        <v>0</v>
      </c>
      <c r="R609" s="24">
        <v>0</v>
      </c>
      <c r="S609" s="24">
        <v>0</v>
      </c>
      <c r="T609" s="24">
        <v>0</v>
      </c>
      <c r="U609" s="24">
        <v>0</v>
      </c>
      <c r="V609" s="24">
        <v>0</v>
      </c>
      <c r="W609" s="24">
        <v>0</v>
      </c>
      <c r="X609" s="24">
        <v>0</v>
      </c>
      <c r="Y609" s="24">
        <v>0</v>
      </c>
      <c r="Z609" s="24">
        <v>0</v>
      </c>
      <c r="AA609" s="24">
        <v>0</v>
      </c>
      <c r="AB609" s="24">
        <v>0</v>
      </c>
      <c r="AC609" s="30">
        <f t="shared" si="284"/>
        <v>0</v>
      </c>
      <c r="AD609" s="27">
        <f t="shared" si="285"/>
        <v>0</v>
      </c>
      <c r="AE609" s="25">
        <f>IFERROR(_xlfn.XLOOKUP(N609&amp;P609,'Historico Vendas'!G:G,'Historico Vendas'!E:E),0)</f>
        <v>0</v>
      </c>
      <c r="AF609" s="29" t="str">
        <f t="shared" si="275"/>
        <v/>
      </c>
      <c r="AG609" s="24">
        <f>IFERROR(_xlfn.XLOOKUP(N609&amp;P609,'Historico Vendas'!G:G,'Historico Vendas'!F:F),0)</f>
        <v>0</v>
      </c>
      <c r="AH609" s="25">
        <f t="shared" si="286"/>
        <v>0</v>
      </c>
      <c r="AI609" s="24">
        <f t="shared" si="287"/>
        <v>0</v>
      </c>
      <c r="AJ609" s="11" t="str">
        <f t="shared" si="276"/>
        <v/>
      </c>
      <c r="AK609" s="9" t="s">
        <v>102</v>
      </c>
      <c r="AL609" s="13">
        <f>IFERROR(INDEX('Balizador da Meta'!$D$3:$F$23,MATCH(Quantidade!$P609,'Balizador da Meta'!$C$3:$C$23,0),MATCH(Quantidade!AK609,'Balizador da Meta'!$D$2:$F$2,0)),"")</f>
        <v>0</v>
      </c>
      <c r="AM609" s="9"/>
    </row>
    <row r="610" spans="1:39" x14ac:dyDescent="0.3">
      <c r="A610" s="2" t="str">
        <f t="shared" si="272"/>
        <v>NÃO</v>
      </c>
      <c r="B610" s="2" t="str">
        <f>_xlfn.XLOOKUP($N610,'Base de Grupos'!$A:$A,'Base de Grupos'!$D:$D)</f>
        <v>1000065763</v>
      </c>
      <c r="C610" s="5" t="str">
        <f>_xlfn.XLOOKUP($N610,'Base de Grupos'!$A:$A,'Base de Grupos'!$E:$E)</f>
        <v>CANAL VENDA INTERNA</v>
      </c>
      <c r="D610" s="5" t="str">
        <f>_xlfn.XLOOKUP($N610,'Base de Grupos'!$A:$A,'Base de Grupos'!$F:$F)</f>
        <v>1000065763</v>
      </c>
      <c r="E610" s="2" t="str">
        <f>_xlfn.XLOOKUP($N610,'Base de Grupos'!$A:$A,'Base de Grupos'!$G:$G)</f>
        <v>CANAL VENDA INTERNA</v>
      </c>
      <c r="F610" s="2" t="str">
        <f>_xlfn.XLOOKUP($N610,'Base de Grupos'!$A:$A,'Base de Grupos'!$H:$H)</f>
        <v>1000153245</v>
      </c>
      <c r="G610" s="5" t="str">
        <f>_xlfn.XLOOKUP($N610,'Base de Grupos'!$A:$A,'Base de Grupos'!$I:$I)</f>
        <v>REGIONAL VENDA INTERNA - KEY ACCOUNT</v>
      </c>
      <c r="H610" s="5" t="str">
        <f>_xlfn.XLOOKUP($N610,'Base de Grupos'!$A:$A,'Base de Grupos'!$J:$J)</f>
        <v>1000153245</v>
      </c>
      <c r="I610" s="2" t="str">
        <f>_xlfn.XLOOKUP($N610,'Base de Grupos'!$A:$A,'Base de Grupos'!$K:$K)</f>
        <v>REGIONAL VENDA INTERNA - KEY ACCOUNT</v>
      </c>
      <c r="J610" s="2" t="str">
        <f>_xlfn.XLOOKUP($N610,'Base de Grupos'!$A:$A,'Base de Grupos'!$L:$L)</f>
        <v>1000153245</v>
      </c>
      <c r="K610" s="5" t="str">
        <f>_xlfn.XLOOKUP($N610,'Base de Grupos'!$A:$A,'Base de Grupos'!$M:$M)</f>
        <v>REGIONAL VENDA INTERNA - KEY ACCOUNT</v>
      </c>
      <c r="L610" s="5" t="str">
        <f t="shared" si="273"/>
        <v/>
      </c>
      <c r="M610" s="5" t="str">
        <f>_xlfn.XLOOKUP($N610,'Base de Grupos'!$A:$A,'Base de Grupos'!$C:$C)</f>
        <v>RJ</v>
      </c>
      <c r="N610" s="3">
        <v>1433</v>
      </c>
      <c r="O610" s="4" t="s">
        <v>257</v>
      </c>
      <c r="P610" s="5" t="s">
        <v>91</v>
      </c>
      <c r="Q610" s="24">
        <v>0</v>
      </c>
      <c r="R610" s="24">
        <v>0</v>
      </c>
      <c r="S610" s="24">
        <v>0</v>
      </c>
      <c r="T610" s="24">
        <v>0</v>
      </c>
      <c r="U610" s="24">
        <v>0</v>
      </c>
      <c r="V610" s="24">
        <v>0</v>
      </c>
      <c r="W610" s="24">
        <v>0</v>
      </c>
      <c r="X610" s="24">
        <v>0</v>
      </c>
      <c r="Y610" s="24">
        <v>0</v>
      </c>
      <c r="Z610" s="24">
        <v>0</v>
      </c>
      <c r="AA610" s="24">
        <v>0</v>
      </c>
      <c r="AB610" s="24">
        <v>0</v>
      </c>
      <c r="AC610" s="30">
        <f t="shared" si="284"/>
        <v>0</v>
      </c>
      <c r="AD610" s="27">
        <f t="shared" si="285"/>
        <v>0</v>
      </c>
      <c r="AE610" s="25">
        <f>IFERROR(_xlfn.XLOOKUP(N610&amp;P610,'Historico Vendas'!G:G,'Historico Vendas'!E:E),0)</f>
        <v>0</v>
      </c>
      <c r="AF610" s="29" t="str">
        <f t="shared" si="275"/>
        <v/>
      </c>
      <c r="AG610" s="24">
        <f>IFERROR(_xlfn.XLOOKUP(N610&amp;P610,'Historico Vendas'!G:G,'Historico Vendas'!F:F),0)</f>
        <v>0</v>
      </c>
      <c r="AH610" s="25">
        <f t="shared" si="286"/>
        <v>0</v>
      </c>
      <c r="AI610" s="24">
        <f t="shared" si="287"/>
        <v>0</v>
      </c>
      <c r="AJ610" s="11" t="str">
        <f t="shared" si="276"/>
        <v/>
      </c>
      <c r="AK610" s="9" t="s">
        <v>102</v>
      </c>
      <c r="AL610" s="13">
        <f>IFERROR(INDEX('Balizador da Meta'!$D$3:$F$23,MATCH(Quantidade!$P610,'Balizador da Meta'!$C$3:$C$23,0),MATCH(Quantidade!AK610,'Balizador da Meta'!$D$2:$F$2,0)),"")</f>
        <v>0</v>
      </c>
      <c r="AM610" s="9"/>
    </row>
    <row r="611" spans="1:39" x14ac:dyDescent="0.3">
      <c r="A611" s="2" t="str">
        <f t="shared" si="272"/>
        <v>NÃO</v>
      </c>
      <c r="B611" s="2" t="str">
        <f>_xlfn.XLOOKUP($N611,'Base de Grupos'!$A:$A,'Base de Grupos'!$D:$D)</f>
        <v>1000065763</v>
      </c>
      <c r="C611" s="5" t="str">
        <f>_xlfn.XLOOKUP($N611,'Base de Grupos'!$A:$A,'Base de Grupos'!$E:$E)</f>
        <v>CANAL VENDA INTERNA</v>
      </c>
      <c r="D611" s="5" t="str">
        <f>_xlfn.XLOOKUP($N611,'Base de Grupos'!$A:$A,'Base de Grupos'!$F:$F)</f>
        <v>1000065763</v>
      </c>
      <c r="E611" s="2" t="str">
        <f>_xlfn.XLOOKUP($N611,'Base de Grupos'!$A:$A,'Base de Grupos'!$G:$G)</f>
        <v>CANAL VENDA INTERNA</v>
      </c>
      <c r="F611" s="2" t="str">
        <f>_xlfn.XLOOKUP($N611,'Base de Grupos'!$A:$A,'Base de Grupos'!$H:$H)</f>
        <v>1000153245</v>
      </c>
      <c r="G611" s="5" t="str">
        <f>_xlfn.XLOOKUP($N611,'Base de Grupos'!$A:$A,'Base de Grupos'!$I:$I)</f>
        <v>REGIONAL VENDA INTERNA - KEY ACCOUNT</v>
      </c>
      <c r="H611" s="5" t="str">
        <f>_xlfn.XLOOKUP($N611,'Base de Grupos'!$A:$A,'Base de Grupos'!$J:$J)</f>
        <v>1000153245</v>
      </c>
      <c r="I611" s="2" t="str">
        <f>_xlfn.XLOOKUP($N611,'Base de Grupos'!$A:$A,'Base de Grupos'!$K:$K)</f>
        <v>REGIONAL VENDA INTERNA - KEY ACCOUNT</v>
      </c>
      <c r="J611" s="2" t="str">
        <f>_xlfn.XLOOKUP($N611,'Base de Grupos'!$A:$A,'Base de Grupos'!$L:$L)</f>
        <v>1000153245</v>
      </c>
      <c r="K611" s="5" t="str">
        <f>_xlfn.XLOOKUP($N611,'Base de Grupos'!$A:$A,'Base de Grupos'!$M:$M)</f>
        <v>REGIONAL VENDA INTERNA - KEY ACCOUNT</v>
      </c>
      <c r="L611" s="5" t="str">
        <f t="shared" si="273"/>
        <v/>
      </c>
      <c r="M611" s="5" t="str">
        <f>_xlfn.XLOOKUP($N611,'Base de Grupos'!$A:$A,'Base de Grupos'!$C:$C)</f>
        <v>RJ</v>
      </c>
      <c r="N611" s="3">
        <v>1433</v>
      </c>
      <c r="O611" s="4" t="s">
        <v>257</v>
      </c>
      <c r="P611" s="5" t="s">
        <v>96</v>
      </c>
      <c r="Q611" s="24">
        <v>0</v>
      </c>
      <c r="R611" s="24">
        <v>4</v>
      </c>
      <c r="S611" s="24">
        <v>4</v>
      </c>
      <c r="T611" s="24">
        <v>0</v>
      </c>
      <c r="U611" s="24">
        <v>0</v>
      </c>
      <c r="V611" s="24">
        <v>0</v>
      </c>
      <c r="W611" s="24">
        <v>0</v>
      </c>
      <c r="X611" s="24">
        <v>0</v>
      </c>
      <c r="Y611" s="24">
        <v>0</v>
      </c>
      <c r="Z611" s="24">
        <v>0</v>
      </c>
      <c r="AA611" s="24">
        <v>0</v>
      </c>
      <c r="AB611" s="24">
        <v>0</v>
      </c>
      <c r="AC611" s="30">
        <f t="shared" si="284"/>
        <v>0</v>
      </c>
      <c r="AD611" s="27">
        <f t="shared" si="285"/>
        <v>0</v>
      </c>
      <c r="AE611" s="25">
        <f>IFERROR(_xlfn.XLOOKUP(N611&amp;P611,'Historico Vendas'!G:G,'Historico Vendas'!E:E),0)</f>
        <v>0</v>
      </c>
      <c r="AF611" s="29" t="str">
        <f t="shared" si="275"/>
        <v/>
      </c>
      <c r="AG611" s="24">
        <f>IFERROR(_xlfn.XLOOKUP(N611&amp;P611,'Historico Vendas'!G:G,'Historico Vendas'!F:F),0)</f>
        <v>0</v>
      </c>
      <c r="AH611" s="25">
        <f t="shared" si="286"/>
        <v>8</v>
      </c>
      <c r="AI611" s="24">
        <f t="shared" si="287"/>
        <v>8</v>
      </c>
      <c r="AJ611" s="11">
        <f t="shared" si="276"/>
        <v>0</v>
      </c>
      <c r="AK611" s="9" t="s">
        <v>102</v>
      </c>
      <c r="AL611" s="13">
        <f>IFERROR(INDEX('Balizador da Meta'!$D$3:$F$23,MATCH(Quantidade!$P611,'Balizador da Meta'!$C$3:$C$23,0),MATCH(Quantidade!AK611,'Balizador da Meta'!$D$2:$F$2,0)),"")</f>
        <v>0</v>
      </c>
      <c r="AM611" s="9"/>
    </row>
    <row r="612" spans="1:39" x14ac:dyDescent="0.3">
      <c r="A612" s="2" t="str">
        <f t="shared" si="272"/>
        <v>NÃO</v>
      </c>
      <c r="B612" s="2" t="str">
        <f>_xlfn.XLOOKUP($N612,'Base de Grupos'!$A:$A,'Base de Grupos'!$D:$D)</f>
        <v>1000065763</v>
      </c>
      <c r="C612" s="5" t="str">
        <f>_xlfn.XLOOKUP($N612,'Base de Grupos'!$A:$A,'Base de Grupos'!$E:$E)</f>
        <v>CANAL VENDA INTERNA</v>
      </c>
      <c r="D612" s="5" t="str">
        <f>_xlfn.XLOOKUP($N612,'Base de Grupos'!$A:$A,'Base de Grupos'!$F:$F)</f>
        <v>1000065763</v>
      </c>
      <c r="E612" s="2" t="str">
        <f>_xlfn.XLOOKUP($N612,'Base de Grupos'!$A:$A,'Base de Grupos'!$G:$G)</f>
        <v>CANAL VENDA INTERNA</v>
      </c>
      <c r="F612" s="2" t="str">
        <f>_xlfn.XLOOKUP($N612,'Base de Grupos'!$A:$A,'Base de Grupos'!$H:$H)</f>
        <v>1000153245</v>
      </c>
      <c r="G612" s="5" t="str">
        <f>_xlfn.XLOOKUP($N612,'Base de Grupos'!$A:$A,'Base de Grupos'!$I:$I)</f>
        <v>REGIONAL VENDA INTERNA - KEY ACCOUNT</v>
      </c>
      <c r="H612" s="5" t="str">
        <f>_xlfn.XLOOKUP($N612,'Base de Grupos'!$A:$A,'Base de Grupos'!$J:$J)</f>
        <v>1000153245</v>
      </c>
      <c r="I612" s="2" t="str">
        <f>_xlfn.XLOOKUP($N612,'Base de Grupos'!$A:$A,'Base de Grupos'!$K:$K)</f>
        <v>REGIONAL VENDA INTERNA - KEY ACCOUNT</v>
      </c>
      <c r="J612" s="2" t="str">
        <f>_xlfn.XLOOKUP($N612,'Base de Grupos'!$A:$A,'Base de Grupos'!$L:$L)</f>
        <v>1000153245</v>
      </c>
      <c r="K612" s="5" t="str">
        <f>_xlfn.XLOOKUP($N612,'Base de Grupos'!$A:$A,'Base de Grupos'!$M:$M)</f>
        <v>REGIONAL VENDA INTERNA - KEY ACCOUNT</v>
      </c>
      <c r="L612" s="5" t="str">
        <f t="shared" si="273"/>
        <v/>
      </c>
      <c r="M612" s="5" t="str">
        <f>_xlfn.XLOOKUP($N612,'Base de Grupos'!$A:$A,'Base de Grupos'!$C:$C)</f>
        <v>RJ</v>
      </c>
      <c r="N612" s="3">
        <v>1433</v>
      </c>
      <c r="O612" s="4" t="s">
        <v>257</v>
      </c>
      <c r="P612" s="5" t="s">
        <v>94</v>
      </c>
      <c r="Q612" s="24">
        <v>0</v>
      </c>
      <c r="R612" s="24">
        <v>1</v>
      </c>
      <c r="S612" s="24">
        <v>2</v>
      </c>
      <c r="T612" s="24">
        <v>0</v>
      </c>
      <c r="U612" s="24">
        <v>0</v>
      </c>
      <c r="V612" s="24">
        <v>0</v>
      </c>
      <c r="W612" s="24">
        <v>0</v>
      </c>
      <c r="X612" s="24">
        <v>0</v>
      </c>
      <c r="Y612" s="24">
        <v>0</v>
      </c>
      <c r="Z612" s="24">
        <v>0</v>
      </c>
      <c r="AA612" s="24">
        <v>0</v>
      </c>
      <c r="AB612" s="24">
        <v>0</v>
      </c>
      <c r="AC612" s="30">
        <f t="shared" si="284"/>
        <v>0</v>
      </c>
      <c r="AD612" s="27">
        <f t="shared" si="285"/>
        <v>0</v>
      </c>
      <c r="AE612" s="25">
        <f>IFERROR(_xlfn.XLOOKUP(N612&amp;P612,'Historico Vendas'!G:G,'Historico Vendas'!E:E),0)</f>
        <v>0</v>
      </c>
      <c r="AF612" s="29" t="str">
        <f t="shared" si="275"/>
        <v/>
      </c>
      <c r="AG612" s="24">
        <f>IFERROR(_xlfn.XLOOKUP(N612&amp;P612,'Historico Vendas'!G:G,'Historico Vendas'!F:F),0)</f>
        <v>0</v>
      </c>
      <c r="AH612" s="25">
        <f t="shared" si="286"/>
        <v>3</v>
      </c>
      <c r="AI612" s="24">
        <f t="shared" si="287"/>
        <v>3</v>
      </c>
      <c r="AJ612" s="11">
        <f t="shared" si="276"/>
        <v>0</v>
      </c>
      <c r="AK612" s="9" t="s">
        <v>102</v>
      </c>
      <c r="AL612" s="13">
        <f>IFERROR(INDEX('Balizador da Meta'!$D$3:$F$23,MATCH(Quantidade!$P612,'Balizador da Meta'!$C$3:$C$23,0),MATCH(Quantidade!AK612,'Balizador da Meta'!$D$2:$F$2,0)),"")</f>
        <v>0.25</v>
      </c>
      <c r="AM612" s="9"/>
    </row>
    <row r="613" spans="1:39" x14ac:dyDescent="0.3">
      <c r="A613" s="2" t="str">
        <f t="shared" si="272"/>
        <v>NÃO</v>
      </c>
      <c r="B613" s="2" t="str">
        <f>_xlfn.XLOOKUP($N613,'Base de Grupos'!$A:$A,'Base de Grupos'!$D:$D)</f>
        <v>1000065763</v>
      </c>
      <c r="C613" s="5" t="str">
        <f>_xlfn.XLOOKUP($N613,'Base de Grupos'!$A:$A,'Base de Grupos'!$E:$E)</f>
        <v>CANAL VENDA INTERNA</v>
      </c>
      <c r="D613" s="5" t="str">
        <f>_xlfn.XLOOKUP($N613,'Base de Grupos'!$A:$A,'Base de Grupos'!$F:$F)</f>
        <v>1000065763</v>
      </c>
      <c r="E613" s="2" t="str">
        <f>_xlfn.XLOOKUP($N613,'Base de Grupos'!$A:$A,'Base de Grupos'!$G:$G)</f>
        <v>CANAL VENDA INTERNA</v>
      </c>
      <c r="F613" s="2" t="str">
        <f>_xlfn.XLOOKUP($N613,'Base de Grupos'!$A:$A,'Base de Grupos'!$H:$H)</f>
        <v>1000153245</v>
      </c>
      <c r="G613" s="5" t="str">
        <f>_xlfn.XLOOKUP($N613,'Base de Grupos'!$A:$A,'Base de Grupos'!$I:$I)</f>
        <v>REGIONAL VENDA INTERNA - KEY ACCOUNT</v>
      </c>
      <c r="H613" s="5" t="str">
        <f>_xlfn.XLOOKUP($N613,'Base de Grupos'!$A:$A,'Base de Grupos'!$J:$J)</f>
        <v>1000153245</v>
      </c>
      <c r="I613" s="2" t="str">
        <f>_xlfn.XLOOKUP($N613,'Base de Grupos'!$A:$A,'Base de Grupos'!$K:$K)</f>
        <v>REGIONAL VENDA INTERNA - KEY ACCOUNT</v>
      </c>
      <c r="J613" s="2" t="str">
        <f>_xlfn.XLOOKUP($N613,'Base de Grupos'!$A:$A,'Base de Grupos'!$L:$L)</f>
        <v>1000153245</v>
      </c>
      <c r="K613" s="5" t="str">
        <f>_xlfn.XLOOKUP($N613,'Base de Grupos'!$A:$A,'Base de Grupos'!$M:$M)</f>
        <v>REGIONAL VENDA INTERNA - KEY ACCOUNT</v>
      </c>
      <c r="L613" s="5" t="str">
        <f t="shared" si="273"/>
        <v/>
      </c>
      <c r="M613" s="5" t="str">
        <f>_xlfn.XLOOKUP($N613,'Base de Grupos'!$A:$A,'Base de Grupos'!$C:$C)</f>
        <v>RJ</v>
      </c>
      <c r="N613" s="3">
        <v>1433</v>
      </c>
      <c r="O613" s="4" t="s">
        <v>257</v>
      </c>
      <c r="P613" s="5" t="s">
        <v>95</v>
      </c>
      <c r="Q613" s="24">
        <v>0</v>
      </c>
      <c r="R613" s="24">
        <v>2</v>
      </c>
      <c r="S613" s="24">
        <v>2</v>
      </c>
      <c r="T613" s="24">
        <v>0</v>
      </c>
      <c r="U613" s="24">
        <v>0</v>
      </c>
      <c r="V613" s="24">
        <v>0</v>
      </c>
      <c r="W613" s="24">
        <v>0</v>
      </c>
      <c r="X613" s="24">
        <v>0</v>
      </c>
      <c r="Y613" s="24">
        <v>0</v>
      </c>
      <c r="Z613" s="24">
        <v>0</v>
      </c>
      <c r="AA613" s="24">
        <v>0</v>
      </c>
      <c r="AB613" s="24">
        <v>0</v>
      </c>
      <c r="AC613" s="30">
        <f t="shared" si="284"/>
        <v>0</v>
      </c>
      <c r="AD613" s="27">
        <f t="shared" si="285"/>
        <v>0</v>
      </c>
      <c r="AE613" s="25">
        <f>IFERROR(_xlfn.XLOOKUP(N613&amp;P613,'Historico Vendas'!G:G,'Historico Vendas'!E:E),0)</f>
        <v>0</v>
      </c>
      <c r="AF613" s="29" t="str">
        <f t="shared" si="275"/>
        <v/>
      </c>
      <c r="AG613" s="24">
        <f>IFERROR(_xlfn.XLOOKUP(N613&amp;P613,'Historico Vendas'!G:G,'Historico Vendas'!F:F),0)</f>
        <v>0</v>
      </c>
      <c r="AH613" s="25">
        <f t="shared" si="286"/>
        <v>4</v>
      </c>
      <c r="AI613" s="24">
        <f t="shared" si="287"/>
        <v>4</v>
      </c>
      <c r="AJ613" s="11">
        <f t="shared" si="276"/>
        <v>0</v>
      </c>
      <c r="AK613" s="9" t="s">
        <v>102</v>
      </c>
      <c r="AL613" s="13">
        <f>IFERROR(INDEX('Balizador da Meta'!$D$3:$F$23,MATCH(Quantidade!$P613,'Balizador da Meta'!$C$3:$C$23,0),MATCH(Quantidade!AK613,'Balizador da Meta'!$D$2:$F$2,0)),"")</f>
        <v>0.25</v>
      </c>
      <c r="AM613" s="9"/>
    </row>
    <row r="614" spans="1:39" x14ac:dyDescent="0.3">
      <c r="A614" s="2" t="str">
        <f t="shared" si="272"/>
        <v>NÃO</v>
      </c>
      <c r="B614" s="2" t="str">
        <f>_xlfn.XLOOKUP($N614,'Base de Grupos'!$A:$A,'Base de Grupos'!$D:$D)</f>
        <v>1000065763</v>
      </c>
      <c r="C614" s="5" t="str">
        <f>_xlfn.XLOOKUP($N614,'Base de Grupos'!$A:$A,'Base de Grupos'!$E:$E)</f>
        <v>CANAL VENDA INTERNA</v>
      </c>
      <c r="D614" s="5" t="str">
        <f>_xlfn.XLOOKUP($N614,'Base de Grupos'!$A:$A,'Base de Grupos'!$F:$F)</f>
        <v>1000065763</v>
      </c>
      <c r="E614" s="2" t="str">
        <f>_xlfn.XLOOKUP($N614,'Base de Grupos'!$A:$A,'Base de Grupos'!$G:$G)</f>
        <v>CANAL VENDA INTERNA</v>
      </c>
      <c r="F614" s="2" t="str">
        <f>_xlfn.XLOOKUP($N614,'Base de Grupos'!$A:$A,'Base de Grupos'!$H:$H)</f>
        <v>1000153245</v>
      </c>
      <c r="G614" s="5" t="str">
        <f>_xlfn.XLOOKUP($N614,'Base de Grupos'!$A:$A,'Base de Grupos'!$I:$I)</f>
        <v>REGIONAL VENDA INTERNA - KEY ACCOUNT</v>
      </c>
      <c r="H614" s="5" t="str">
        <f>_xlfn.XLOOKUP($N614,'Base de Grupos'!$A:$A,'Base de Grupos'!$J:$J)</f>
        <v>1000153245</v>
      </c>
      <c r="I614" s="2" t="str">
        <f>_xlfn.XLOOKUP($N614,'Base de Grupos'!$A:$A,'Base de Grupos'!$K:$K)</f>
        <v>REGIONAL VENDA INTERNA - KEY ACCOUNT</v>
      </c>
      <c r="J614" s="2" t="str">
        <f>_xlfn.XLOOKUP($N614,'Base de Grupos'!$A:$A,'Base de Grupos'!$L:$L)</f>
        <v>1000153245</v>
      </c>
      <c r="K614" s="5" t="str">
        <f>_xlfn.XLOOKUP($N614,'Base de Grupos'!$A:$A,'Base de Grupos'!$M:$M)</f>
        <v>REGIONAL VENDA INTERNA - KEY ACCOUNT</v>
      </c>
      <c r="L614" s="5" t="str">
        <f t="shared" si="273"/>
        <v/>
      </c>
      <c r="M614" s="5" t="str">
        <f>_xlfn.XLOOKUP($N614,'Base de Grupos'!$A:$A,'Base de Grupos'!$C:$C)</f>
        <v>RJ</v>
      </c>
      <c r="N614" s="3">
        <v>1433</v>
      </c>
      <c r="O614" s="4" t="s">
        <v>257</v>
      </c>
      <c r="P614" s="5" t="s">
        <v>93</v>
      </c>
      <c r="Q614" s="24">
        <v>0</v>
      </c>
      <c r="R614" s="24">
        <v>2</v>
      </c>
      <c r="S614" s="24">
        <v>2</v>
      </c>
      <c r="T614" s="24">
        <v>0</v>
      </c>
      <c r="U614" s="24">
        <v>0</v>
      </c>
      <c r="V614" s="24">
        <v>0</v>
      </c>
      <c r="W614" s="24">
        <v>0</v>
      </c>
      <c r="X614" s="24">
        <v>0</v>
      </c>
      <c r="Y614" s="24">
        <v>0</v>
      </c>
      <c r="Z614" s="24">
        <v>0</v>
      </c>
      <c r="AA614" s="24">
        <v>0</v>
      </c>
      <c r="AB614" s="24">
        <v>0</v>
      </c>
      <c r="AC614" s="30">
        <f t="shared" si="284"/>
        <v>0</v>
      </c>
      <c r="AD614" s="27">
        <f t="shared" si="285"/>
        <v>0</v>
      </c>
      <c r="AE614" s="25">
        <f>IFERROR(_xlfn.XLOOKUP(N614&amp;P614,'Historico Vendas'!G:G,'Historico Vendas'!E:E),0)</f>
        <v>0</v>
      </c>
      <c r="AF614" s="29" t="str">
        <f t="shared" si="275"/>
        <v/>
      </c>
      <c r="AG614" s="24">
        <f>IFERROR(_xlfn.XLOOKUP(N614&amp;P614,'Historico Vendas'!G:G,'Historico Vendas'!F:F),0)</f>
        <v>0</v>
      </c>
      <c r="AH614" s="25">
        <f t="shared" si="286"/>
        <v>4</v>
      </c>
      <c r="AI614" s="24">
        <f t="shared" si="287"/>
        <v>4</v>
      </c>
      <c r="AJ614" s="11">
        <f t="shared" si="276"/>
        <v>0</v>
      </c>
      <c r="AK614" s="9" t="s">
        <v>102</v>
      </c>
      <c r="AL614" s="13">
        <f>IFERROR(INDEX('Balizador da Meta'!$D$3:$F$23,MATCH(Quantidade!$P614,'Balizador da Meta'!$C$3:$C$23,0),MATCH(Quantidade!AK614,'Balizador da Meta'!$D$2:$F$2,0)),"")</f>
        <v>0.2</v>
      </c>
      <c r="AM614" s="9"/>
    </row>
    <row r="615" spans="1:39" x14ac:dyDescent="0.3">
      <c r="A615" s="2" t="str">
        <f t="shared" si="272"/>
        <v>SIM</v>
      </c>
      <c r="B615" s="2" t="str">
        <f>_xlfn.XLOOKUP($N615,'Base de Grupos'!$A:$A,'Base de Grupos'!$D:$D)</f>
        <v>1000065763</v>
      </c>
      <c r="C615" s="5" t="str">
        <f>_xlfn.XLOOKUP($N615,'Base de Grupos'!$A:$A,'Base de Grupos'!$E:$E)</f>
        <v>CANAL VENDA INTERNA</v>
      </c>
      <c r="D615" s="5" t="str">
        <f>_xlfn.XLOOKUP($N615,'Base de Grupos'!$A:$A,'Base de Grupos'!$F:$F)</f>
        <v>1000065763</v>
      </c>
      <c r="E615" s="2" t="str">
        <f>_xlfn.XLOOKUP($N615,'Base de Grupos'!$A:$A,'Base de Grupos'!$G:$G)</f>
        <v>CANAL VENDA INTERNA</v>
      </c>
      <c r="F615" s="2" t="str">
        <f>_xlfn.XLOOKUP($N615,'Base de Grupos'!$A:$A,'Base de Grupos'!$H:$H)</f>
        <v>1000153245</v>
      </c>
      <c r="G615" s="5" t="str">
        <f>_xlfn.XLOOKUP($N615,'Base de Grupos'!$A:$A,'Base de Grupos'!$I:$I)</f>
        <v>REGIONAL VENDA INTERNA - KEY ACCOUNT</v>
      </c>
      <c r="H615" s="5" t="str">
        <f>_xlfn.XLOOKUP($N615,'Base de Grupos'!$A:$A,'Base de Grupos'!$J:$J)</f>
        <v>1000153245</v>
      </c>
      <c r="I615" s="2" t="str">
        <f>_xlfn.XLOOKUP($N615,'Base de Grupos'!$A:$A,'Base de Grupos'!$K:$K)</f>
        <v>REGIONAL VENDA INTERNA - KEY ACCOUNT</v>
      </c>
      <c r="J615" s="2" t="str">
        <f>_xlfn.XLOOKUP($N615,'Base de Grupos'!$A:$A,'Base de Grupos'!$L:$L)</f>
        <v>1000153245</v>
      </c>
      <c r="K615" s="5" t="str">
        <f>_xlfn.XLOOKUP($N615,'Base de Grupos'!$A:$A,'Base de Grupos'!$M:$M)</f>
        <v>REGIONAL VENDA INTERNA - KEY ACCOUNT</v>
      </c>
      <c r="L615" s="5">
        <f t="shared" si="273"/>
        <v>1</v>
      </c>
      <c r="M615" s="5" t="str">
        <f>_xlfn.XLOOKUP($N615,'Base de Grupos'!$A:$A,'Base de Grupos'!$C:$C)</f>
        <v>RS</v>
      </c>
      <c r="N615" s="3">
        <v>1438</v>
      </c>
      <c r="O615" s="4" t="s">
        <v>258</v>
      </c>
      <c r="P615" s="5" t="s">
        <v>328</v>
      </c>
      <c r="Q615" s="24">
        <v>0</v>
      </c>
      <c r="R615" s="24">
        <v>1</v>
      </c>
      <c r="S615" s="24">
        <v>1</v>
      </c>
      <c r="T615" s="24">
        <v>0</v>
      </c>
      <c r="U615" s="24">
        <v>0</v>
      </c>
      <c r="V615" s="24">
        <v>0</v>
      </c>
      <c r="W615" s="24">
        <v>0</v>
      </c>
      <c r="X615" s="24">
        <v>0</v>
      </c>
      <c r="Y615" s="24">
        <v>0</v>
      </c>
      <c r="Z615" s="24">
        <v>0</v>
      </c>
      <c r="AA615" s="24">
        <v>0</v>
      </c>
      <c r="AB615" s="24">
        <v>0</v>
      </c>
      <c r="AC615" s="30">
        <f t="shared" si="284"/>
        <v>0</v>
      </c>
      <c r="AD615" s="25">
        <f t="shared" ref="AD615:AI615" si="288">SUM(AD616:AD632)</f>
        <v>0</v>
      </c>
      <c r="AE615" s="25">
        <f t="shared" si="288"/>
        <v>0</v>
      </c>
      <c r="AF615" s="11" t="str">
        <f t="shared" si="275"/>
        <v/>
      </c>
      <c r="AG615" s="24">
        <f t="shared" si="288"/>
        <v>0</v>
      </c>
      <c r="AH615" s="25">
        <f t="shared" si="288"/>
        <v>253.8</v>
      </c>
      <c r="AI615" s="24">
        <f t="shared" si="288"/>
        <v>253.8</v>
      </c>
      <c r="AJ615" s="11">
        <f t="shared" si="276"/>
        <v>0</v>
      </c>
      <c r="AK615" s="9"/>
      <c r="AL615" s="13"/>
      <c r="AM615" s="9"/>
    </row>
    <row r="616" spans="1:39" x14ac:dyDescent="0.3">
      <c r="A616" s="2" t="str">
        <f t="shared" si="272"/>
        <v>NÃO</v>
      </c>
      <c r="B616" s="2" t="str">
        <f>_xlfn.XLOOKUP($N616,'Base de Grupos'!$A:$A,'Base de Grupos'!$D:$D)</f>
        <v>1000065763</v>
      </c>
      <c r="C616" s="5" t="str">
        <f>_xlfn.XLOOKUP($N616,'Base de Grupos'!$A:$A,'Base de Grupos'!$E:$E)</f>
        <v>CANAL VENDA INTERNA</v>
      </c>
      <c r="D616" s="5" t="str">
        <f>_xlfn.XLOOKUP($N616,'Base de Grupos'!$A:$A,'Base de Grupos'!$F:$F)</f>
        <v>1000065763</v>
      </c>
      <c r="E616" s="2" t="str">
        <f>_xlfn.XLOOKUP($N616,'Base de Grupos'!$A:$A,'Base de Grupos'!$G:$G)</f>
        <v>CANAL VENDA INTERNA</v>
      </c>
      <c r="F616" s="2" t="str">
        <f>_xlfn.XLOOKUP($N616,'Base de Grupos'!$A:$A,'Base de Grupos'!$H:$H)</f>
        <v>1000153245</v>
      </c>
      <c r="G616" s="5" t="str">
        <f>_xlfn.XLOOKUP($N616,'Base de Grupos'!$A:$A,'Base de Grupos'!$I:$I)</f>
        <v>REGIONAL VENDA INTERNA - KEY ACCOUNT</v>
      </c>
      <c r="H616" s="5" t="str">
        <f>_xlfn.XLOOKUP($N616,'Base de Grupos'!$A:$A,'Base de Grupos'!$J:$J)</f>
        <v>1000153245</v>
      </c>
      <c r="I616" s="2" t="str">
        <f>_xlfn.XLOOKUP($N616,'Base de Grupos'!$A:$A,'Base de Grupos'!$K:$K)</f>
        <v>REGIONAL VENDA INTERNA - KEY ACCOUNT</v>
      </c>
      <c r="J616" s="2" t="str">
        <f>_xlfn.XLOOKUP($N616,'Base de Grupos'!$A:$A,'Base de Grupos'!$L:$L)</f>
        <v>1000153245</v>
      </c>
      <c r="K616" s="5" t="str">
        <f>_xlfn.XLOOKUP($N616,'Base de Grupos'!$A:$A,'Base de Grupos'!$M:$M)</f>
        <v>REGIONAL VENDA INTERNA - KEY ACCOUNT</v>
      </c>
      <c r="L616" s="5" t="str">
        <f t="shared" si="273"/>
        <v/>
      </c>
      <c r="M616" s="5" t="str">
        <f>_xlfn.XLOOKUP($N616,'Base de Grupos'!$A:$A,'Base de Grupos'!$C:$C)</f>
        <v>RS</v>
      </c>
      <c r="N616" s="3">
        <v>1438</v>
      </c>
      <c r="O616" s="4" t="s">
        <v>258</v>
      </c>
      <c r="P616" s="5" t="s">
        <v>81</v>
      </c>
      <c r="Q616" s="24">
        <v>0</v>
      </c>
      <c r="R616" s="24">
        <v>4</v>
      </c>
      <c r="S616" s="24">
        <v>4</v>
      </c>
      <c r="T616" s="24">
        <v>0</v>
      </c>
      <c r="U616" s="24">
        <v>0</v>
      </c>
      <c r="V616" s="24">
        <v>0</v>
      </c>
      <c r="W616" s="24">
        <v>0</v>
      </c>
      <c r="X616" s="24">
        <v>0</v>
      </c>
      <c r="Y616" s="24">
        <v>0</v>
      </c>
      <c r="Z616" s="24">
        <v>0</v>
      </c>
      <c r="AA616" s="24">
        <v>0</v>
      </c>
      <c r="AB616" s="24">
        <v>0</v>
      </c>
      <c r="AC616" s="30">
        <f t="shared" si="284"/>
        <v>0</v>
      </c>
      <c r="AD616" s="27">
        <f t="shared" ref="AD616:AD632" si="289">IF(AC616=0,0,AC616-AG616)</f>
        <v>0</v>
      </c>
      <c r="AE616" s="25">
        <f>IFERROR(_xlfn.XLOOKUP(N616&amp;P616,'Historico Vendas'!G:G,'Historico Vendas'!E:E),0)</f>
        <v>0</v>
      </c>
      <c r="AF616" s="29" t="str">
        <f t="shared" si="275"/>
        <v/>
      </c>
      <c r="AG616" s="24">
        <f>IFERROR(_xlfn.XLOOKUP(N616&amp;P616,'Historico Vendas'!G:G,'Historico Vendas'!F:F),0)</f>
        <v>0</v>
      </c>
      <c r="AH616" s="25">
        <f t="shared" ref="AH616:AH632" si="290">SUM(Q616:S616)</f>
        <v>8</v>
      </c>
      <c r="AI616" s="24">
        <f t="shared" ref="AI616:AI632" si="291">AH616-AG616</f>
        <v>8</v>
      </c>
      <c r="AJ616" s="11">
        <f t="shared" si="276"/>
        <v>0</v>
      </c>
      <c r="AK616" s="9" t="s">
        <v>102</v>
      </c>
      <c r="AL616" s="13">
        <f>IFERROR(INDEX('Balizador da Meta'!$D$3:$F$23,MATCH(Quantidade!$P616,'Balizador da Meta'!$C$3:$C$23,0),MATCH(Quantidade!AK616,'Balizador da Meta'!$D$2:$F$2,0)),"")</f>
        <v>0.2</v>
      </c>
      <c r="AM616" s="9"/>
    </row>
    <row r="617" spans="1:39" x14ac:dyDescent="0.3">
      <c r="A617" s="2" t="str">
        <f t="shared" si="272"/>
        <v>NÃO</v>
      </c>
      <c r="B617" s="2" t="str">
        <f>_xlfn.XLOOKUP($N617,'Base de Grupos'!$A:$A,'Base de Grupos'!$D:$D)</f>
        <v>1000065763</v>
      </c>
      <c r="C617" s="5" t="str">
        <f>_xlfn.XLOOKUP($N617,'Base de Grupos'!$A:$A,'Base de Grupos'!$E:$E)</f>
        <v>CANAL VENDA INTERNA</v>
      </c>
      <c r="D617" s="5" t="str">
        <f>_xlfn.XLOOKUP($N617,'Base de Grupos'!$A:$A,'Base de Grupos'!$F:$F)</f>
        <v>1000065763</v>
      </c>
      <c r="E617" s="2" t="str">
        <f>_xlfn.XLOOKUP($N617,'Base de Grupos'!$A:$A,'Base de Grupos'!$G:$G)</f>
        <v>CANAL VENDA INTERNA</v>
      </c>
      <c r="F617" s="2" t="str">
        <f>_xlfn.XLOOKUP($N617,'Base de Grupos'!$A:$A,'Base de Grupos'!$H:$H)</f>
        <v>1000153245</v>
      </c>
      <c r="G617" s="5" t="str">
        <f>_xlfn.XLOOKUP($N617,'Base de Grupos'!$A:$A,'Base de Grupos'!$I:$I)</f>
        <v>REGIONAL VENDA INTERNA - KEY ACCOUNT</v>
      </c>
      <c r="H617" s="5" t="str">
        <f>_xlfn.XLOOKUP($N617,'Base de Grupos'!$A:$A,'Base de Grupos'!$J:$J)</f>
        <v>1000153245</v>
      </c>
      <c r="I617" s="2" t="str">
        <f>_xlfn.XLOOKUP($N617,'Base de Grupos'!$A:$A,'Base de Grupos'!$K:$K)</f>
        <v>REGIONAL VENDA INTERNA - KEY ACCOUNT</v>
      </c>
      <c r="J617" s="2" t="str">
        <f>_xlfn.XLOOKUP($N617,'Base de Grupos'!$A:$A,'Base de Grupos'!$L:$L)</f>
        <v>1000153245</v>
      </c>
      <c r="K617" s="5" t="str">
        <f>_xlfn.XLOOKUP($N617,'Base de Grupos'!$A:$A,'Base de Grupos'!$M:$M)</f>
        <v>REGIONAL VENDA INTERNA - KEY ACCOUNT</v>
      </c>
      <c r="L617" s="5" t="str">
        <f t="shared" si="273"/>
        <v/>
      </c>
      <c r="M617" s="5" t="str">
        <f>_xlfn.XLOOKUP($N617,'Base de Grupos'!$A:$A,'Base de Grupos'!$C:$C)</f>
        <v>RS</v>
      </c>
      <c r="N617" s="3">
        <v>1438</v>
      </c>
      <c r="O617" s="4" t="s">
        <v>258</v>
      </c>
      <c r="P617" s="5" t="s">
        <v>82</v>
      </c>
      <c r="Q617" s="24">
        <v>0</v>
      </c>
      <c r="R617" s="24">
        <v>4.4000000000000004</v>
      </c>
      <c r="S617" s="24">
        <v>5</v>
      </c>
      <c r="T617" s="24">
        <v>0</v>
      </c>
      <c r="U617" s="24">
        <v>0</v>
      </c>
      <c r="V617" s="24">
        <v>0</v>
      </c>
      <c r="W617" s="24">
        <v>0</v>
      </c>
      <c r="X617" s="24">
        <v>0</v>
      </c>
      <c r="Y617" s="24">
        <v>0</v>
      </c>
      <c r="Z617" s="24">
        <v>0</v>
      </c>
      <c r="AA617" s="24">
        <v>0</v>
      </c>
      <c r="AB617" s="24">
        <v>0</v>
      </c>
      <c r="AC617" s="30">
        <f t="shared" si="284"/>
        <v>0</v>
      </c>
      <c r="AD617" s="27">
        <f t="shared" si="289"/>
        <v>0</v>
      </c>
      <c r="AE617" s="25">
        <f>IFERROR(_xlfn.XLOOKUP(N617&amp;P617,'Historico Vendas'!G:G,'Historico Vendas'!E:E),0)</f>
        <v>0</v>
      </c>
      <c r="AF617" s="29" t="str">
        <f t="shared" si="275"/>
        <v/>
      </c>
      <c r="AG617" s="24">
        <f>IFERROR(_xlfn.XLOOKUP(N617&amp;P617,'Historico Vendas'!G:G,'Historico Vendas'!F:F),0)</f>
        <v>0</v>
      </c>
      <c r="AH617" s="25">
        <f t="shared" si="290"/>
        <v>9.4</v>
      </c>
      <c r="AI617" s="24">
        <f t="shared" si="291"/>
        <v>9.4</v>
      </c>
      <c r="AJ617" s="11">
        <f t="shared" si="276"/>
        <v>0</v>
      </c>
      <c r="AK617" s="9" t="s">
        <v>102</v>
      </c>
      <c r="AL617" s="13">
        <f>IFERROR(INDEX('Balizador da Meta'!$D$3:$F$23,MATCH(Quantidade!$P617,'Balizador da Meta'!$C$3:$C$23,0),MATCH(Quantidade!AK617,'Balizador da Meta'!$D$2:$F$2,0)),"")</f>
        <v>0.2</v>
      </c>
      <c r="AM617" s="9"/>
    </row>
    <row r="618" spans="1:39" x14ac:dyDescent="0.3">
      <c r="A618" s="2" t="str">
        <f t="shared" si="272"/>
        <v>NÃO</v>
      </c>
      <c r="B618" s="2" t="str">
        <f>_xlfn.XLOOKUP($N618,'Base de Grupos'!$A:$A,'Base de Grupos'!$D:$D)</f>
        <v>1000065763</v>
      </c>
      <c r="C618" s="5" t="str">
        <f>_xlfn.XLOOKUP($N618,'Base de Grupos'!$A:$A,'Base de Grupos'!$E:$E)</f>
        <v>CANAL VENDA INTERNA</v>
      </c>
      <c r="D618" s="5" t="str">
        <f>_xlfn.XLOOKUP($N618,'Base de Grupos'!$A:$A,'Base de Grupos'!$F:$F)</f>
        <v>1000065763</v>
      </c>
      <c r="E618" s="2" t="str">
        <f>_xlfn.XLOOKUP($N618,'Base de Grupos'!$A:$A,'Base de Grupos'!$G:$G)</f>
        <v>CANAL VENDA INTERNA</v>
      </c>
      <c r="F618" s="2" t="str">
        <f>_xlfn.XLOOKUP($N618,'Base de Grupos'!$A:$A,'Base de Grupos'!$H:$H)</f>
        <v>1000153245</v>
      </c>
      <c r="G618" s="5" t="str">
        <f>_xlfn.XLOOKUP($N618,'Base de Grupos'!$A:$A,'Base de Grupos'!$I:$I)</f>
        <v>REGIONAL VENDA INTERNA - KEY ACCOUNT</v>
      </c>
      <c r="H618" s="5" t="str">
        <f>_xlfn.XLOOKUP($N618,'Base de Grupos'!$A:$A,'Base de Grupos'!$J:$J)</f>
        <v>1000153245</v>
      </c>
      <c r="I618" s="2" t="str">
        <f>_xlfn.XLOOKUP($N618,'Base de Grupos'!$A:$A,'Base de Grupos'!$K:$K)</f>
        <v>REGIONAL VENDA INTERNA - KEY ACCOUNT</v>
      </c>
      <c r="J618" s="2" t="str">
        <f>_xlfn.XLOOKUP($N618,'Base de Grupos'!$A:$A,'Base de Grupos'!$L:$L)</f>
        <v>1000153245</v>
      </c>
      <c r="K618" s="5" t="str">
        <f>_xlfn.XLOOKUP($N618,'Base de Grupos'!$A:$A,'Base de Grupos'!$M:$M)</f>
        <v>REGIONAL VENDA INTERNA - KEY ACCOUNT</v>
      </c>
      <c r="L618" s="5" t="str">
        <f t="shared" si="273"/>
        <v/>
      </c>
      <c r="M618" s="5" t="str">
        <f>_xlfn.XLOOKUP($N618,'Base de Grupos'!$A:$A,'Base de Grupos'!$C:$C)</f>
        <v>RS</v>
      </c>
      <c r="N618" s="3">
        <v>1438</v>
      </c>
      <c r="O618" s="4" t="s">
        <v>258</v>
      </c>
      <c r="P618" s="5" t="s">
        <v>84</v>
      </c>
      <c r="Q618" s="24">
        <v>0</v>
      </c>
      <c r="R618" s="24">
        <v>4</v>
      </c>
      <c r="S618" s="24">
        <v>4</v>
      </c>
      <c r="T618" s="24">
        <v>0</v>
      </c>
      <c r="U618" s="24">
        <v>0</v>
      </c>
      <c r="V618" s="24">
        <v>0</v>
      </c>
      <c r="W618" s="24">
        <v>0</v>
      </c>
      <c r="X618" s="24">
        <v>0</v>
      </c>
      <c r="Y618" s="24">
        <v>0</v>
      </c>
      <c r="Z618" s="24">
        <v>0</v>
      </c>
      <c r="AA618" s="24">
        <v>0</v>
      </c>
      <c r="AB618" s="24">
        <v>0</v>
      </c>
      <c r="AC618" s="30">
        <f t="shared" si="284"/>
        <v>0</v>
      </c>
      <c r="AD618" s="27">
        <f t="shared" si="289"/>
        <v>0</v>
      </c>
      <c r="AE618" s="25">
        <f>IFERROR(_xlfn.XLOOKUP(N618&amp;P618,'Historico Vendas'!G:G,'Historico Vendas'!E:E),0)</f>
        <v>0</v>
      </c>
      <c r="AF618" s="29" t="str">
        <f t="shared" si="275"/>
        <v/>
      </c>
      <c r="AG618" s="24">
        <f>IFERROR(_xlfn.XLOOKUP(N618&amp;P618,'Historico Vendas'!G:G,'Historico Vendas'!F:F),0)</f>
        <v>0</v>
      </c>
      <c r="AH618" s="25">
        <f t="shared" si="290"/>
        <v>8</v>
      </c>
      <c r="AI618" s="24">
        <f t="shared" si="291"/>
        <v>8</v>
      </c>
      <c r="AJ618" s="11">
        <f t="shared" si="276"/>
        <v>0</v>
      </c>
      <c r="AK618" s="9" t="s">
        <v>102</v>
      </c>
      <c r="AL618" s="13">
        <f>IFERROR(INDEX('Balizador da Meta'!$D$3:$F$23,MATCH(Quantidade!$P618,'Balizador da Meta'!$C$3:$C$23,0),MATCH(Quantidade!AK618,'Balizador da Meta'!$D$2:$F$2,0)),"")</f>
        <v>0.15</v>
      </c>
      <c r="AM618" s="9"/>
    </row>
    <row r="619" spans="1:39" x14ac:dyDescent="0.3">
      <c r="A619" s="2" t="str">
        <f t="shared" si="272"/>
        <v>NÃO</v>
      </c>
      <c r="B619" s="2" t="str">
        <f>_xlfn.XLOOKUP($N619,'Base de Grupos'!$A:$A,'Base de Grupos'!$D:$D)</f>
        <v>1000065763</v>
      </c>
      <c r="C619" s="5" t="str">
        <f>_xlfn.XLOOKUP($N619,'Base de Grupos'!$A:$A,'Base de Grupos'!$E:$E)</f>
        <v>CANAL VENDA INTERNA</v>
      </c>
      <c r="D619" s="5" t="str">
        <f>_xlfn.XLOOKUP($N619,'Base de Grupos'!$A:$A,'Base de Grupos'!$F:$F)</f>
        <v>1000065763</v>
      </c>
      <c r="E619" s="2" t="str">
        <f>_xlfn.XLOOKUP($N619,'Base de Grupos'!$A:$A,'Base de Grupos'!$G:$G)</f>
        <v>CANAL VENDA INTERNA</v>
      </c>
      <c r="F619" s="2" t="str">
        <f>_xlfn.XLOOKUP($N619,'Base de Grupos'!$A:$A,'Base de Grupos'!$H:$H)</f>
        <v>1000153245</v>
      </c>
      <c r="G619" s="5" t="str">
        <f>_xlfn.XLOOKUP($N619,'Base de Grupos'!$A:$A,'Base de Grupos'!$I:$I)</f>
        <v>REGIONAL VENDA INTERNA - KEY ACCOUNT</v>
      </c>
      <c r="H619" s="5" t="str">
        <f>_xlfn.XLOOKUP($N619,'Base de Grupos'!$A:$A,'Base de Grupos'!$J:$J)</f>
        <v>1000153245</v>
      </c>
      <c r="I619" s="2" t="str">
        <f>_xlfn.XLOOKUP($N619,'Base de Grupos'!$A:$A,'Base de Grupos'!$K:$K)</f>
        <v>REGIONAL VENDA INTERNA - KEY ACCOUNT</v>
      </c>
      <c r="J619" s="2" t="str">
        <f>_xlfn.XLOOKUP($N619,'Base de Grupos'!$A:$A,'Base de Grupos'!$L:$L)</f>
        <v>1000153245</v>
      </c>
      <c r="K619" s="5" t="str">
        <f>_xlfn.XLOOKUP($N619,'Base de Grupos'!$A:$A,'Base de Grupos'!$M:$M)</f>
        <v>REGIONAL VENDA INTERNA - KEY ACCOUNT</v>
      </c>
      <c r="L619" s="5" t="str">
        <f t="shared" si="273"/>
        <v/>
      </c>
      <c r="M619" s="5" t="str">
        <f>_xlfn.XLOOKUP($N619,'Base de Grupos'!$A:$A,'Base de Grupos'!$C:$C)</f>
        <v>RS</v>
      </c>
      <c r="N619" s="3">
        <v>1438</v>
      </c>
      <c r="O619" s="4" t="s">
        <v>258</v>
      </c>
      <c r="P619" s="5" t="s">
        <v>83</v>
      </c>
      <c r="Q619" s="24">
        <f>SUM(Q620:Q640)</f>
        <v>0</v>
      </c>
      <c r="R619" s="24">
        <f t="shared" ref="R619" si="292">SUM(R620:R640)</f>
        <v>63.4</v>
      </c>
      <c r="S619" s="24">
        <f t="shared" ref="S619" si="293">SUM(S620:S640)</f>
        <v>74</v>
      </c>
      <c r="T619" s="24">
        <f t="shared" ref="T619:AC619" si="294">SUM(T620:T640)</f>
        <v>0</v>
      </c>
      <c r="U619" s="24">
        <f t="shared" si="294"/>
        <v>0</v>
      </c>
      <c r="V619" s="24">
        <f t="shared" si="294"/>
        <v>0</v>
      </c>
      <c r="W619" s="24">
        <f t="shared" si="294"/>
        <v>0</v>
      </c>
      <c r="X619" s="24">
        <f t="shared" si="294"/>
        <v>0</v>
      </c>
      <c r="Y619" s="24">
        <f t="shared" si="294"/>
        <v>0</v>
      </c>
      <c r="Z619" s="24">
        <f t="shared" si="294"/>
        <v>0</v>
      </c>
      <c r="AA619" s="24">
        <f t="shared" si="294"/>
        <v>0</v>
      </c>
      <c r="AB619" s="24">
        <f t="shared" si="294"/>
        <v>0</v>
      </c>
      <c r="AC619" s="24">
        <f t="shared" si="294"/>
        <v>0</v>
      </c>
      <c r="AD619" s="27">
        <f t="shared" si="289"/>
        <v>0</v>
      </c>
      <c r="AE619" s="25">
        <f>IFERROR(_xlfn.XLOOKUP(N619&amp;P619,'Historico Vendas'!G:G,'Historico Vendas'!E:E),0)</f>
        <v>0</v>
      </c>
      <c r="AF619" s="29" t="str">
        <f t="shared" si="275"/>
        <v/>
      </c>
      <c r="AG619" s="24">
        <f>IFERROR(_xlfn.XLOOKUP(N619&amp;P619,'Historico Vendas'!G:G,'Historico Vendas'!F:F),0)</f>
        <v>0</v>
      </c>
      <c r="AH619" s="25">
        <f t="shared" si="290"/>
        <v>137.4</v>
      </c>
      <c r="AI619" s="24">
        <f t="shared" si="291"/>
        <v>137.4</v>
      </c>
      <c r="AJ619" s="11">
        <f t="shared" si="276"/>
        <v>0</v>
      </c>
      <c r="AK619" s="9" t="s">
        <v>102</v>
      </c>
      <c r="AL619" s="13">
        <f>IFERROR(INDEX('Balizador da Meta'!$D$3:$F$23,MATCH(Quantidade!$P619,'Balizador da Meta'!$C$3:$C$23,0),MATCH(Quantidade!AK619,'Balizador da Meta'!$D$2:$F$2,0)),"")</f>
        <v>0</v>
      </c>
      <c r="AM619" s="9"/>
    </row>
    <row r="620" spans="1:39" x14ac:dyDescent="0.3">
      <c r="A620" s="2" t="str">
        <f t="shared" si="272"/>
        <v>NÃO</v>
      </c>
      <c r="B620" s="2" t="str">
        <f>_xlfn.XLOOKUP($N620,'Base de Grupos'!$A:$A,'Base de Grupos'!$D:$D)</f>
        <v>1000065763</v>
      </c>
      <c r="C620" s="5" t="str">
        <f>_xlfn.XLOOKUP($N620,'Base de Grupos'!$A:$A,'Base de Grupos'!$E:$E)</f>
        <v>CANAL VENDA INTERNA</v>
      </c>
      <c r="D620" s="5" t="str">
        <f>_xlfn.XLOOKUP($N620,'Base de Grupos'!$A:$A,'Base de Grupos'!$F:$F)</f>
        <v>1000065763</v>
      </c>
      <c r="E620" s="2" t="str">
        <f>_xlfn.XLOOKUP($N620,'Base de Grupos'!$A:$A,'Base de Grupos'!$G:$G)</f>
        <v>CANAL VENDA INTERNA</v>
      </c>
      <c r="F620" s="2" t="str">
        <f>_xlfn.XLOOKUP($N620,'Base de Grupos'!$A:$A,'Base de Grupos'!$H:$H)</f>
        <v>1000153245</v>
      </c>
      <c r="G620" s="5" t="str">
        <f>_xlfn.XLOOKUP($N620,'Base de Grupos'!$A:$A,'Base de Grupos'!$I:$I)</f>
        <v>REGIONAL VENDA INTERNA - KEY ACCOUNT</v>
      </c>
      <c r="H620" s="5" t="str">
        <f>_xlfn.XLOOKUP($N620,'Base de Grupos'!$A:$A,'Base de Grupos'!$J:$J)</f>
        <v>1000153245</v>
      </c>
      <c r="I620" s="2" t="str">
        <f>_xlfn.XLOOKUP($N620,'Base de Grupos'!$A:$A,'Base de Grupos'!$K:$K)</f>
        <v>REGIONAL VENDA INTERNA - KEY ACCOUNT</v>
      </c>
      <c r="J620" s="2" t="str">
        <f>_xlfn.XLOOKUP($N620,'Base de Grupos'!$A:$A,'Base de Grupos'!$L:$L)</f>
        <v>1000153245</v>
      </c>
      <c r="K620" s="5" t="str">
        <f>_xlfn.XLOOKUP($N620,'Base de Grupos'!$A:$A,'Base de Grupos'!$M:$M)</f>
        <v>REGIONAL VENDA INTERNA - KEY ACCOUNT</v>
      </c>
      <c r="L620" s="5" t="str">
        <f t="shared" si="273"/>
        <v/>
      </c>
      <c r="M620" s="5" t="str">
        <f>_xlfn.XLOOKUP($N620,'Base de Grupos'!$A:$A,'Base de Grupos'!$C:$C)</f>
        <v>RS</v>
      </c>
      <c r="N620" s="3">
        <v>1438</v>
      </c>
      <c r="O620" s="4" t="s">
        <v>258</v>
      </c>
      <c r="P620" s="5" t="s">
        <v>87</v>
      </c>
      <c r="Q620" s="24">
        <v>0</v>
      </c>
      <c r="R620" s="24">
        <v>8</v>
      </c>
      <c r="S620" s="24">
        <v>10</v>
      </c>
      <c r="T620" s="24">
        <v>0</v>
      </c>
      <c r="U620" s="24">
        <v>0</v>
      </c>
      <c r="V620" s="24">
        <v>0</v>
      </c>
      <c r="W620" s="24">
        <v>0</v>
      </c>
      <c r="X620" s="24">
        <v>0</v>
      </c>
      <c r="Y620" s="24">
        <v>0</v>
      </c>
      <c r="Z620" s="24">
        <v>0</v>
      </c>
      <c r="AA620" s="24">
        <v>0</v>
      </c>
      <c r="AB620" s="24">
        <v>0</v>
      </c>
      <c r="AC620" s="30">
        <f t="shared" ref="AC620:AC640" si="295">SUM(T620:AB620)</f>
        <v>0</v>
      </c>
      <c r="AD620" s="27">
        <f t="shared" si="289"/>
        <v>0</v>
      </c>
      <c r="AE620" s="25">
        <f>IFERROR(_xlfn.XLOOKUP(N620&amp;P620,'Historico Vendas'!G:G,'Historico Vendas'!E:E),0)</f>
        <v>0</v>
      </c>
      <c r="AF620" s="29" t="str">
        <f t="shared" si="275"/>
        <v/>
      </c>
      <c r="AG620" s="24">
        <f>IFERROR(_xlfn.XLOOKUP(N620&amp;P620,'Historico Vendas'!G:G,'Historico Vendas'!F:F),0)</f>
        <v>0</v>
      </c>
      <c r="AH620" s="25">
        <f t="shared" si="290"/>
        <v>18</v>
      </c>
      <c r="AI620" s="24">
        <f t="shared" si="291"/>
        <v>18</v>
      </c>
      <c r="AJ620" s="11">
        <f t="shared" si="276"/>
        <v>0</v>
      </c>
      <c r="AK620" s="9" t="s">
        <v>102</v>
      </c>
      <c r="AL620" s="13">
        <f>IFERROR(INDEX('Balizador da Meta'!$D$3:$F$23,MATCH(Quantidade!$P620,'Balizador da Meta'!$C$3:$C$23,0),MATCH(Quantidade!AK620,'Balizador da Meta'!$D$2:$F$2,0)),"")</f>
        <v>0</v>
      </c>
      <c r="AM620" s="9"/>
    </row>
    <row r="621" spans="1:39" x14ac:dyDescent="0.3">
      <c r="A621" s="2" t="str">
        <f t="shared" si="272"/>
        <v>NÃO</v>
      </c>
      <c r="B621" s="2" t="str">
        <f>_xlfn.XLOOKUP($N621,'Base de Grupos'!$A:$A,'Base de Grupos'!$D:$D)</f>
        <v>1000065763</v>
      </c>
      <c r="C621" s="5" t="str">
        <f>_xlfn.XLOOKUP($N621,'Base de Grupos'!$A:$A,'Base de Grupos'!$E:$E)</f>
        <v>CANAL VENDA INTERNA</v>
      </c>
      <c r="D621" s="5" t="str">
        <f>_xlfn.XLOOKUP($N621,'Base de Grupos'!$A:$A,'Base de Grupos'!$F:$F)</f>
        <v>1000065763</v>
      </c>
      <c r="E621" s="2" t="str">
        <f>_xlfn.XLOOKUP($N621,'Base de Grupos'!$A:$A,'Base de Grupos'!$G:$G)</f>
        <v>CANAL VENDA INTERNA</v>
      </c>
      <c r="F621" s="2" t="str">
        <f>_xlfn.XLOOKUP($N621,'Base de Grupos'!$A:$A,'Base de Grupos'!$H:$H)</f>
        <v>1000153245</v>
      </c>
      <c r="G621" s="5" t="str">
        <f>_xlfn.XLOOKUP($N621,'Base de Grupos'!$A:$A,'Base de Grupos'!$I:$I)</f>
        <v>REGIONAL VENDA INTERNA - KEY ACCOUNT</v>
      </c>
      <c r="H621" s="5" t="str">
        <f>_xlfn.XLOOKUP($N621,'Base de Grupos'!$A:$A,'Base de Grupos'!$J:$J)</f>
        <v>1000153245</v>
      </c>
      <c r="I621" s="2" t="str">
        <f>_xlfn.XLOOKUP($N621,'Base de Grupos'!$A:$A,'Base de Grupos'!$K:$K)</f>
        <v>REGIONAL VENDA INTERNA - KEY ACCOUNT</v>
      </c>
      <c r="J621" s="2" t="str">
        <f>_xlfn.XLOOKUP($N621,'Base de Grupos'!$A:$A,'Base de Grupos'!$L:$L)</f>
        <v>1000153245</v>
      </c>
      <c r="K621" s="5" t="str">
        <f>_xlfn.XLOOKUP($N621,'Base de Grupos'!$A:$A,'Base de Grupos'!$M:$M)</f>
        <v>REGIONAL VENDA INTERNA - KEY ACCOUNT</v>
      </c>
      <c r="L621" s="5" t="str">
        <f t="shared" si="273"/>
        <v/>
      </c>
      <c r="M621" s="5" t="str">
        <f>_xlfn.XLOOKUP($N621,'Base de Grupos'!$A:$A,'Base de Grupos'!$C:$C)</f>
        <v>RS</v>
      </c>
      <c r="N621" s="3">
        <v>1438</v>
      </c>
      <c r="O621" s="4" t="s">
        <v>258</v>
      </c>
      <c r="P621" s="5" t="s">
        <v>85</v>
      </c>
      <c r="Q621" s="24">
        <v>0</v>
      </c>
      <c r="R621" s="24">
        <v>12</v>
      </c>
      <c r="S621" s="24">
        <v>14</v>
      </c>
      <c r="T621" s="24">
        <v>0</v>
      </c>
      <c r="U621" s="24">
        <v>0</v>
      </c>
      <c r="V621" s="24">
        <v>0</v>
      </c>
      <c r="W621" s="24">
        <v>0</v>
      </c>
      <c r="X621" s="24">
        <v>0</v>
      </c>
      <c r="Y621" s="24">
        <v>0</v>
      </c>
      <c r="Z621" s="24">
        <v>0</v>
      </c>
      <c r="AA621" s="24">
        <v>0</v>
      </c>
      <c r="AB621" s="24">
        <v>0</v>
      </c>
      <c r="AC621" s="30">
        <f t="shared" si="295"/>
        <v>0</v>
      </c>
      <c r="AD621" s="27">
        <f t="shared" si="289"/>
        <v>0</v>
      </c>
      <c r="AE621" s="25">
        <f>IFERROR(_xlfn.XLOOKUP(N621&amp;P621,'Historico Vendas'!G:G,'Historico Vendas'!E:E),0)</f>
        <v>0</v>
      </c>
      <c r="AF621" s="29" t="str">
        <f t="shared" si="275"/>
        <v/>
      </c>
      <c r="AG621" s="24">
        <f>IFERROR(_xlfn.XLOOKUP(N621&amp;P621,'Historico Vendas'!G:G,'Historico Vendas'!F:F),0)</f>
        <v>0</v>
      </c>
      <c r="AH621" s="25">
        <f t="shared" si="290"/>
        <v>26</v>
      </c>
      <c r="AI621" s="24">
        <f t="shared" si="291"/>
        <v>26</v>
      </c>
      <c r="AJ621" s="11">
        <f t="shared" si="276"/>
        <v>0</v>
      </c>
      <c r="AK621" s="9" t="s">
        <v>102</v>
      </c>
      <c r="AL621" s="13">
        <f>IFERROR(INDEX('Balizador da Meta'!$D$3:$F$23,MATCH(Quantidade!$P621,'Balizador da Meta'!$C$3:$C$23,0),MATCH(Quantidade!AK621,'Balizador da Meta'!$D$2:$F$2,0)),"")</f>
        <v>0</v>
      </c>
      <c r="AM621" s="9"/>
    </row>
    <row r="622" spans="1:39" x14ac:dyDescent="0.3">
      <c r="A622" s="2" t="str">
        <f t="shared" si="272"/>
        <v>NÃO</v>
      </c>
      <c r="B622" s="2" t="str">
        <f>_xlfn.XLOOKUP($N622,'Base de Grupos'!$A:$A,'Base de Grupos'!$D:$D)</f>
        <v>1000065763</v>
      </c>
      <c r="C622" s="5" t="str">
        <f>_xlfn.XLOOKUP($N622,'Base de Grupos'!$A:$A,'Base de Grupos'!$E:$E)</f>
        <v>CANAL VENDA INTERNA</v>
      </c>
      <c r="D622" s="5" t="str">
        <f>_xlfn.XLOOKUP($N622,'Base de Grupos'!$A:$A,'Base de Grupos'!$F:$F)</f>
        <v>1000065763</v>
      </c>
      <c r="E622" s="2" t="str">
        <f>_xlfn.XLOOKUP($N622,'Base de Grupos'!$A:$A,'Base de Grupos'!$G:$G)</f>
        <v>CANAL VENDA INTERNA</v>
      </c>
      <c r="F622" s="2" t="str">
        <f>_xlfn.XLOOKUP($N622,'Base de Grupos'!$A:$A,'Base de Grupos'!$H:$H)</f>
        <v>1000153245</v>
      </c>
      <c r="G622" s="5" t="str">
        <f>_xlfn.XLOOKUP($N622,'Base de Grupos'!$A:$A,'Base de Grupos'!$I:$I)</f>
        <v>REGIONAL VENDA INTERNA - KEY ACCOUNT</v>
      </c>
      <c r="H622" s="5" t="str">
        <f>_xlfn.XLOOKUP($N622,'Base de Grupos'!$A:$A,'Base de Grupos'!$J:$J)</f>
        <v>1000153245</v>
      </c>
      <c r="I622" s="2" t="str">
        <f>_xlfn.XLOOKUP($N622,'Base de Grupos'!$A:$A,'Base de Grupos'!$K:$K)</f>
        <v>REGIONAL VENDA INTERNA - KEY ACCOUNT</v>
      </c>
      <c r="J622" s="2" t="str">
        <f>_xlfn.XLOOKUP($N622,'Base de Grupos'!$A:$A,'Base de Grupos'!$L:$L)</f>
        <v>1000153245</v>
      </c>
      <c r="K622" s="5" t="str">
        <f>_xlfn.XLOOKUP($N622,'Base de Grupos'!$A:$A,'Base de Grupos'!$M:$M)</f>
        <v>REGIONAL VENDA INTERNA - KEY ACCOUNT</v>
      </c>
      <c r="L622" s="5" t="str">
        <f t="shared" si="273"/>
        <v/>
      </c>
      <c r="M622" s="5" t="str">
        <f>_xlfn.XLOOKUP($N622,'Base de Grupos'!$A:$A,'Base de Grupos'!$C:$C)</f>
        <v>RS</v>
      </c>
      <c r="N622" s="3">
        <v>1438</v>
      </c>
      <c r="O622" s="4" t="s">
        <v>258</v>
      </c>
      <c r="P622" s="5" t="s">
        <v>92</v>
      </c>
      <c r="Q622" s="24">
        <v>0</v>
      </c>
      <c r="R622" s="24">
        <v>4</v>
      </c>
      <c r="S622" s="24">
        <v>5</v>
      </c>
      <c r="T622" s="24">
        <v>0</v>
      </c>
      <c r="U622" s="24">
        <v>0</v>
      </c>
      <c r="V622" s="24">
        <v>0</v>
      </c>
      <c r="W622" s="24">
        <v>0</v>
      </c>
      <c r="X622" s="24">
        <v>0</v>
      </c>
      <c r="Y622" s="24">
        <v>0</v>
      </c>
      <c r="Z622" s="24">
        <v>0</v>
      </c>
      <c r="AA622" s="24">
        <v>0</v>
      </c>
      <c r="AB622" s="24">
        <v>0</v>
      </c>
      <c r="AC622" s="30">
        <f t="shared" si="295"/>
        <v>0</v>
      </c>
      <c r="AD622" s="27">
        <f t="shared" si="289"/>
        <v>0</v>
      </c>
      <c r="AE622" s="25">
        <f>IFERROR(_xlfn.XLOOKUP(N622&amp;P622,'Historico Vendas'!G:G,'Historico Vendas'!E:E),0)</f>
        <v>0</v>
      </c>
      <c r="AF622" s="29" t="str">
        <f t="shared" si="275"/>
        <v/>
      </c>
      <c r="AG622" s="24">
        <f>IFERROR(_xlfn.XLOOKUP(N622&amp;P622,'Historico Vendas'!G:G,'Historico Vendas'!F:F),0)</f>
        <v>0</v>
      </c>
      <c r="AH622" s="25">
        <f t="shared" si="290"/>
        <v>9</v>
      </c>
      <c r="AI622" s="24">
        <f t="shared" si="291"/>
        <v>9</v>
      </c>
      <c r="AJ622" s="11">
        <f t="shared" si="276"/>
        <v>0</v>
      </c>
      <c r="AK622" s="9" t="s">
        <v>102</v>
      </c>
      <c r="AL622" s="13">
        <f>IFERROR(INDEX('Balizador da Meta'!$D$3:$F$23,MATCH(Quantidade!$P622,'Balizador da Meta'!$C$3:$C$23,0),MATCH(Quantidade!AK622,'Balizador da Meta'!$D$2:$F$2,0)),"")</f>
        <v>0</v>
      </c>
      <c r="AM622" s="9"/>
    </row>
    <row r="623" spans="1:39" x14ac:dyDescent="0.3">
      <c r="A623" s="2" t="str">
        <f t="shared" si="272"/>
        <v>NÃO</v>
      </c>
      <c r="B623" s="2" t="str">
        <f>_xlfn.XLOOKUP($N623,'Base de Grupos'!$A:$A,'Base de Grupos'!$D:$D)</f>
        <v>1000065763</v>
      </c>
      <c r="C623" s="5" t="str">
        <f>_xlfn.XLOOKUP($N623,'Base de Grupos'!$A:$A,'Base de Grupos'!$E:$E)</f>
        <v>CANAL VENDA INTERNA</v>
      </c>
      <c r="D623" s="5" t="str">
        <f>_xlfn.XLOOKUP($N623,'Base de Grupos'!$A:$A,'Base de Grupos'!$F:$F)</f>
        <v>1000065763</v>
      </c>
      <c r="E623" s="2" t="str">
        <f>_xlfn.XLOOKUP($N623,'Base de Grupos'!$A:$A,'Base de Grupos'!$G:$G)</f>
        <v>CANAL VENDA INTERNA</v>
      </c>
      <c r="F623" s="2" t="str">
        <f>_xlfn.XLOOKUP($N623,'Base de Grupos'!$A:$A,'Base de Grupos'!$H:$H)</f>
        <v>1000153245</v>
      </c>
      <c r="G623" s="5" t="str">
        <f>_xlfn.XLOOKUP($N623,'Base de Grupos'!$A:$A,'Base de Grupos'!$I:$I)</f>
        <v>REGIONAL VENDA INTERNA - KEY ACCOUNT</v>
      </c>
      <c r="H623" s="5" t="str">
        <f>_xlfn.XLOOKUP($N623,'Base de Grupos'!$A:$A,'Base de Grupos'!$J:$J)</f>
        <v>1000153245</v>
      </c>
      <c r="I623" s="2" t="str">
        <f>_xlfn.XLOOKUP($N623,'Base de Grupos'!$A:$A,'Base de Grupos'!$K:$K)</f>
        <v>REGIONAL VENDA INTERNA - KEY ACCOUNT</v>
      </c>
      <c r="J623" s="2" t="str">
        <f>_xlfn.XLOOKUP($N623,'Base de Grupos'!$A:$A,'Base de Grupos'!$L:$L)</f>
        <v>1000153245</v>
      </c>
      <c r="K623" s="5" t="str">
        <f>_xlfn.XLOOKUP($N623,'Base de Grupos'!$A:$A,'Base de Grupos'!$M:$M)</f>
        <v>REGIONAL VENDA INTERNA - KEY ACCOUNT</v>
      </c>
      <c r="L623" s="5" t="str">
        <f t="shared" si="273"/>
        <v/>
      </c>
      <c r="M623" s="5" t="str">
        <f>_xlfn.XLOOKUP($N623,'Base de Grupos'!$A:$A,'Base de Grupos'!$C:$C)</f>
        <v>RS</v>
      </c>
      <c r="N623" s="3">
        <v>1438</v>
      </c>
      <c r="O623" s="4" t="s">
        <v>258</v>
      </c>
      <c r="P623" s="5" t="s">
        <v>86</v>
      </c>
      <c r="Q623" s="24">
        <v>0</v>
      </c>
      <c r="R623" s="24">
        <v>4</v>
      </c>
      <c r="S623" s="24">
        <v>4</v>
      </c>
      <c r="T623" s="24">
        <v>0</v>
      </c>
      <c r="U623" s="24">
        <v>0</v>
      </c>
      <c r="V623" s="24">
        <v>0</v>
      </c>
      <c r="W623" s="24">
        <v>0</v>
      </c>
      <c r="X623" s="24">
        <v>0</v>
      </c>
      <c r="Y623" s="24">
        <v>0</v>
      </c>
      <c r="Z623" s="24">
        <v>0</v>
      </c>
      <c r="AA623" s="24">
        <v>0</v>
      </c>
      <c r="AB623" s="24">
        <v>0</v>
      </c>
      <c r="AC623" s="30">
        <f t="shared" si="295"/>
        <v>0</v>
      </c>
      <c r="AD623" s="27">
        <f t="shared" si="289"/>
        <v>0</v>
      </c>
      <c r="AE623" s="25">
        <f>IFERROR(_xlfn.XLOOKUP(N623&amp;P623,'Historico Vendas'!G:G,'Historico Vendas'!E:E),0)</f>
        <v>0</v>
      </c>
      <c r="AF623" s="29" t="str">
        <f t="shared" si="275"/>
        <v/>
      </c>
      <c r="AG623" s="24">
        <f>IFERROR(_xlfn.XLOOKUP(N623&amp;P623,'Historico Vendas'!G:G,'Historico Vendas'!F:F),0)</f>
        <v>0</v>
      </c>
      <c r="AH623" s="25">
        <f t="shared" si="290"/>
        <v>8</v>
      </c>
      <c r="AI623" s="24">
        <f t="shared" si="291"/>
        <v>8</v>
      </c>
      <c r="AJ623" s="11">
        <f t="shared" si="276"/>
        <v>0</v>
      </c>
      <c r="AK623" s="9" t="s">
        <v>102</v>
      </c>
      <c r="AL623" s="13">
        <f>IFERROR(INDEX('Balizador da Meta'!$D$3:$F$23,MATCH(Quantidade!$P623,'Balizador da Meta'!$C$3:$C$23,0),MATCH(Quantidade!AK623,'Balizador da Meta'!$D$2:$F$2,0)),"")</f>
        <v>0.15</v>
      </c>
      <c r="AM623" s="9"/>
    </row>
    <row r="624" spans="1:39" x14ac:dyDescent="0.3">
      <c r="A624" s="2" t="str">
        <f t="shared" si="272"/>
        <v>NÃO</v>
      </c>
      <c r="B624" s="2" t="str">
        <f>_xlfn.XLOOKUP($N624,'Base de Grupos'!$A:$A,'Base de Grupos'!$D:$D)</f>
        <v>1000065763</v>
      </c>
      <c r="C624" s="5" t="str">
        <f>_xlfn.XLOOKUP($N624,'Base de Grupos'!$A:$A,'Base de Grupos'!$E:$E)</f>
        <v>CANAL VENDA INTERNA</v>
      </c>
      <c r="D624" s="5" t="str">
        <f>_xlfn.XLOOKUP($N624,'Base de Grupos'!$A:$A,'Base de Grupos'!$F:$F)</f>
        <v>1000065763</v>
      </c>
      <c r="E624" s="2" t="str">
        <f>_xlfn.XLOOKUP($N624,'Base de Grupos'!$A:$A,'Base de Grupos'!$G:$G)</f>
        <v>CANAL VENDA INTERNA</v>
      </c>
      <c r="F624" s="2" t="str">
        <f>_xlfn.XLOOKUP($N624,'Base de Grupos'!$A:$A,'Base de Grupos'!$H:$H)</f>
        <v>1000153245</v>
      </c>
      <c r="G624" s="5" t="str">
        <f>_xlfn.XLOOKUP($N624,'Base de Grupos'!$A:$A,'Base de Grupos'!$I:$I)</f>
        <v>REGIONAL VENDA INTERNA - KEY ACCOUNT</v>
      </c>
      <c r="H624" s="5" t="str">
        <f>_xlfn.XLOOKUP($N624,'Base de Grupos'!$A:$A,'Base de Grupos'!$J:$J)</f>
        <v>1000153245</v>
      </c>
      <c r="I624" s="2" t="str">
        <f>_xlfn.XLOOKUP($N624,'Base de Grupos'!$A:$A,'Base de Grupos'!$K:$K)</f>
        <v>REGIONAL VENDA INTERNA - KEY ACCOUNT</v>
      </c>
      <c r="J624" s="2" t="str">
        <f>_xlfn.XLOOKUP($N624,'Base de Grupos'!$A:$A,'Base de Grupos'!$L:$L)</f>
        <v>1000153245</v>
      </c>
      <c r="K624" s="5" t="str">
        <f>_xlfn.XLOOKUP($N624,'Base de Grupos'!$A:$A,'Base de Grupos'!$M:$M)</f>
        <v>REGIONAL VENDA INTERNA - KEY ACCOUNT</v>
      </c>
      <c r="L624" s="5" t="str">
        <f t="shared" si="273"/>
        <v/>
      </c>
      <c r="M624" s="5" t="str">
        <f>_xlfn.XLOOKUP($N624,'Base de Grupos'!$A:$A,'Base de Grupos'!$C:$C)</f>
        <v>RS</v>
      </c>
      <c r="N624" s="3">
        <v>1438</v>
      </c>
      <c r="O624" s="4" t="s">
        <v>258</v>
      </c>
      <c r="P624" s="5" t="s">
        <v>108</v>
      </c>
      <c r="Q624" s="24">
        <v>0</v>
      </c>
      <c r="R624" s="24">
        <v>1</v>
      </c>
      <c r="S624" s="24">
        <v>2</v>
      </c>
      <c r="T624" s="24">
        <v>0</v>
      </c>
      <c r="U624" s="24">
        <v>0</v>
      </c>
      <c r="V624" s="24">
        <v>0</v>
      </c>
      <c r="W624" s="24">
        <v>0</v>
      </c>
      <c r="X624" s="24">
        <v>0</v>
      </c>
      <c r="Y624" s="24">
        <v>0</v>
      </c>
      <c r="Z624" s="24">
        <v>0</v>
      </c>
      <c r="AA624" s="24">
        <v>0</v>
      </c>
      <c r="AB624" s="24">
        <v>0</v>
      </c>
      <c r="AC624" s="30">
        <f t="shared" si="295"/>
        <v>0</v>
      </c>
      <c r="AD624" s="27">
        <f t="shared" si="289"/>
        <v>0</v>
      </c>
      <c r="AE624" s="25">
        <f>IFERROR(_xlfn.XLOOKUP(N624&amp;P624,'Historico Vendas'!G:G,'Historico Vendas'!E:E),0)</f>
        <v>0</v>
      </c>
      <c r="AF624" s="29" t="str">
        <f t="shared" si="275"/>
        <v/>
      </c>
      <c r="AG624" s="24">
        <f>IFERROR(_xlfn.XLOOKUP(N624&amp;P624,'Historico Vendas'!G:G,'Historico Vendas'!F:F),0)</f>
        <v>0</v>
      </c>
      <c r="AH624" s="25">
        <f t="shared" si="290"/>
        <v>3</v>
      </c>
      <c r="AI624" s="24">
        <f t="shared" si="291"/>
        <v>3</v>
      </c>
      <c r="AJ624" s="11">
        <f t="shared" si="276"/>
        <v>0</v>
      </c>
      <c r="AK624" s="9" t="s">
        <v>102</v>
      </c>
      <c r="AL624" s="13">
        <f>IFERROR(INDEX('Balizador da Meta'!$D$3:$F$23,MATCH(Quantidade!$P624,'Balizador da Meta'!$C$3:$C$23,0),MATCH(Quantidade!AK624,'Balizador da Meta'!$D$2:$F$2,0)),"")</f>
        <v>0</v>
      </c>
      <c r="AM624" s="9"/>
    </row>
    <row r="625" spans="1:39" x14ac:dyDescent="0.3">
      <c r="A625" s="2" t="str">
        <f t="shared" si="272"/>
        <v>NÃO</v>
      </c>
      <c r="B625" s="2" t="str">
        <f>_xlfn.XLOOKUP($N625,'Base de Grupos'!$A:$A,'Base de Grupos'!$D:$D)</f>
        <v>1000065763</v>
      </c>
      <c r="C625" s="5" t="str">
        <f>_xlfn.XLOOKUP($N625,'Base de Grupos'!$A:$A,'Base de Grupos'!$E:$E)</f>
        <v>CANAL VENDA INTERNA</v>
      </c>
      <c r="D625" s="5" t="str">
        <f>_xlfn.XLOOKUP($N625,'Base de Grupos'!$A:$A,'Base de Grupos'!$F:$F)</f>
        <v>1000065763</v>
      </c>
      <c r="E625" s="2" t="str">
        <f>_xlfn.XLOOKUP($N625,'Base de Grupos'!$A:$A,'Base de Grupos'!$G:$G)</f>
        <v>CANAL VENDA INTERNA</v>
      </c>
      <c r="F625" s="2" t="str">
        <f>_xlfn.XLOOKUP($N625,'Base de Grupos'!$A:$A,'Base de Grupos'!$H:$H)</f>
        <v>1000153245</v>
      </c>
      <c r="G625" s="5" t="str">
        <f>_xlfn.XLOOKUP($N625,'Base de Grupos'!$A:$A,'Base de Grupos'!$I:$I)</f>
        <v>REGIONAL VENDA INTERNA - KEY ACCOUNT</v>
      </c>
      <c r="H625" s="5" t="str">
        <f>_xlfn.XLOOKUP($N625,'Base de Grupos'!$A:$A,'Base de Grupos'!$J:$J)</f>
        <v>1000153245</v>
      </c>
      <c r="I625" s="2" t="str">
        <f>_xlfn.XLOOKUP($N625,'Base de Grupos'!$A:$A,'Base de Grupos'!$K:$K)</f>
        <v>REGIONAL VENDA INTERNA - KEY ACCOUNT</v>
      </c>
      <c r="J625" s="2" t="str">
        <f>_xlfn.XLOOKUP($N625,'Base de Grupos'!$A:$A,'Base de Grupos'!$L:$L)</f>
        <v>1000153245</v>
      </c>
      <c r="K625" s="5" t="str">
        <f>_xlfn.XLOOKUP($N625,'Base de Grupos'!$A:$A,'Base de Grupos'!$M:$M)</f>
        <v>REGIONAL VENDA INTERNA - KEY ACCOUNT</v>
      </c>
      <c r="L625" s="5" t="str">
        <f t="shared" si="273"/>
        <v/>
      </c>
      <c r="M625" s="5" t="str">
        <f>_xlfn.XLOOKUP($N625,'Base de Grupos'!$A:$A,'Base de Grupos'!$C:$C)</f>
        <v>RS</v>
      </c>
      <c r="N625" s="3">
        <v>1438</v>
      </c>
      <c r="O625" s="4" t="s">
        <v>258</v>
      </c>
      <c r="P625" s="5" t="s">
        <v>89</v>
      </c>
      <c r="Q625" s="24">
        <v>0</v>
      </c>
      <c r="R625" s="24">
        <v>3</v>
      </c>
      <c r="S625" s="24">
        <v>4</v>
      </c>
      <c r="T625" s="24">
        <v>0</v>
      </c>
      <c r="U625" s="24">
        <v>0</v>
      </c>
      <c r="V625" s="24">
        <v>0</v>
      </c>
      <c r="W625" s="24">
        <v>0</v>
      </c>
      <c r="X625" s="24">
        <v>0</v>
      </c>
      <c r="Y625" s="24">
        <v>0</v>
      </c>
      <c r="Z625" s="24">
        <v>0</v>
      </c>
      <c r="AA625" s="24">
        <v>0</v>
      </c>
      <c r="AB625" s="24">
        <v>0</v>
      </c>
      <c r="AC625" s="30">
        <f t="shared" si="295"/>
        <v>0</v>
      </c>
      <c r="AD625" s="27">
        <f t="shared" si="289"/>
        <v>0</v>
      </c>
      <c r="AE625" s="25">
        <f>IFERROR(_xlfn.XLOOKUP(N625&amp;P625,'Historico Vendas'!G:G,'Historico Vendas'!E:E),0)</f>
        <v>0</v>
      </c>
      <c r="AF625" s="29" t="str">
        <f t="shared" si="275"/>
        <v/>
      </c>
      <c r="AG625" s="24">
        <f>IFERROR(_xlfn.XLOOKUP(N625&amp;P625,'Historico Vendas'!G:G,'Historico Vendas'!F:F),0)</f>
        <v>0</v>
      </c>
      <c r="AH625" s="25">
        <f t="shared" si="290"/>
        <v>7</v>
      </c>
      <c r="AI625" s="24">
        <f t="shared" si="291"/>
        <v>7</v>
      </c>
      <c r="AJ625" s="11">
        <f t="shared" si="276"/>
        <v>0</v>
      </c>
      <c r="AK625" s="9" t="s">
        <v>102</v>
      </c>
      <c r="AL625" s="13">
        <f>IFERROR(INDEX('Balizador da Meta'!$D$3:$F$23,MATCH(Quantidade!$P625,'Balizador da Meta'!$C$3:$C$23,0),MATCH(Quantidade!AK625,'Balizador da Meta'!$D$2:$F$2,0)),"")</f>
        <v>0.25</v>
      </c>
      <c r="AM625" s="9"/>
    </row>
    <row r="626" spans="1:39" x14ac:dyDescent="0.3">
      <c r="A626" s="2" t="str">
        <f t="shared" si="272"/>
        <v>NÃO</v>
      </c>
      <c r="B626" s="2" t="str">
        <f>_xlfn.XLOOKUP($N626,'Base de Grupos'!$A:$A,'Base de Grupos'!$D:$D)</f>
        <v>1000065763</v>
      </c>
      <c r="C626" s="5" t="str">
        <f>_xlfn.XLOOKUP($N626,'Base de Grupos'!$A:$A,'Base de Grupos'!$E:$E)</f>
        <v>CANAL VENDA INTERNA</v>
      </c>
      <c r="D626" s="5" t="str">
        <f>_xlfn.XLOOKUP($N626,'Base de Grupos'!$A:$A,'Base de Grupos'!$F:$F)</f>
        <v>1000065763</v>
      </c>
      <c r="E626" s="2" t="str">
        <f>_xlfn.XLOOKUP($N626,'Base de Grupos'!$A:$A,'Base de Grupos'!$G:$G)</f>
        <v>CANAL VENDA INTERNA</v>
      </c>
      <c r="F626" s="2" t="str">
        <f>_xlfn.XLOOKUP($N626,'Base de Grupos'!$A:$A,'Base de Grupos'!$H:$H)</f>
        <v>1000153245</v>
      </c>
      <c r="G626" s="5" t="str">
        <f>_xlfn.XLOOKUP($N626,'Base de Grupos'!$A:$A,'Base de Grupos'!$I:$I)</f>
        <v>REGIONAL VENDA INTERNA - KEY ACCOUNT</v>
      </c>
      <c r="H626" s="5" t="str">
        <f>_xlfn.XLOOKUP($N626,'Base de Grupos'!$A:$A,'Base de Grupos'!$J:$J)</f>
        <v>1000153245</v>
      </c>
      <c r="I626" s="2" t="str">
        <f>_xlfn.XLOOKUP($N626,'Base de Grupos'!$A:$A,'Base de Grupos'!$K:$K)</f>
        <v>REGIONAL VENDA INTERNA - KEY ACCOUNT</v>
      </c>
      <c r="J626" s="2" t="str">
        <f>_xlfn.XLOOKUP($N626,'Base de Grupos'!$A:$A,'Base de Grupos'!$L:$L)</f>
        <v>1000153245</v>
      </c>
      <c r="K626" s="5" t="str">
        <f>_xlfn.XLOOKUP($N626,'Base de Grupos'!$A:$A,'Base de Grupos'!$M:$M)</f>
        <v>REGIONAL VENDA INTERNA - KEY ACCOUNT</v>
      </c>
      <c r="L626" s="5" t="str">
        <f t="shared" si="273"/>
        <v/>
      </c>
      <c r="M626" s="5" t="str">
        <f>_xlfn.XLOOKUP($N626,'Base de Grupos'!$A:$A,'Base de Grupos'!$C:$C)</f>
        <v>RS</v>
      </c>
      <c r="N626" s="3">
        <v>1438</v>
      </c>
      <c r="O626" s="4" t="s">
        <v>258</v>
      </c>
      <c r="P626" s="5" t="s">
        <v>88</v>
      </c>
      <c r="Q626" s="24">
        <v>0</v>
      </c>
      <c r="R626" s="24">
        <v>2</v>
      </c>
      <c r="S626" s="24">
        <v>2</v>
      </c>
      <c r="T626" s="24">
        <v>0</v>
      </c>
      <c r="U626" s="24">
        <v>0</v>
      </c>
      <c r="V626" s="24">
        <v>0</v>
      </c>
      <c r="W626" s="24">
        <v>0</v>
      </c>
      <c r="X626" s="24">
        <v>0</v>
      </c>
      <c r="Y626" s="24">
        <v>0</v>
      </c>
      <c r="Z626" s="24">
        <v>0</v>
      </c>
      <c r="AA626" s="24">
        <v>0</v>
      </c>
      <c r="AB626" s="24">
        <v>0</v>
      </c>
      <c r="AC626" s="30">
        <f t="shared" si="295"/>
        <v>0</v>
      </c>
      <c r="AD626" s="27">
        <f t="shared" si="289"/>
        <v>0</v>
      </c>
      <c r="AE626" s="25">
        <f>IFERROR(_xlfn.XLOOKUP(N626&amp;P626,'Historico Vendas'!G:G,'Historico Vendas'!E:E),0)</f>
        <v>0</v>
      </c>
      <c r="AF626" s="29" t="str">
        <f t="shared" si="275"/>
        <v/>
      </c>
      <c r="AG626" s="24">
        <f>IFERROR(_xlfn.XLOOKUP(N626&amp;P626,'Historico Vendas'!G:G,'Historico Vendas'!F:F),0)</f>
        <v>0</v>
      </c>
      <c r="AH626" s="25">
        <f t="shared" si="290"/>
        <v>4</v>
      </c>
      <c r="AI626" s="24">
        <f t="shared" si="291"/>
        <v>4</v>
      </c>
      <c r="AJ626" s="11">
        <f t="shared" si="276"/>
        <v>0</v>
      </c>
      <c r="AK626" s="9" t="s">
        <v>102</v>
      </c>
      <c r="AL626" s="13">
        <f>IFERROR(INDEX('Balizador da Meta'!$D$3:$F$23,MATCH(Quantidade!$P626,'Balizador da Meta'!$C$3:$C$23,0),MATCH(Quantidade!AK626,'Balizador da Meta'!$D$2:$F$2,0)),"")</f>
        <v>0</v>
      </c>
      <c r="AM626" s="9"/>
    </row>
    <row r="627" spans="1:39" x14ac:dyDescent="0.3">
      <c r="A627" s="2" t="str">
        <f t="shared" si="272"/>
        <v>NÃO</v>
      </c>
      <c r="B627" s="2" t="str">
        <f>_xlfn.XLOOKUP($N627,'Base de Grupos'!$A:$A,'Base de Grupos'!$D:$D)</f>
        <v>1000065763</v>
      </c>
      <c r="C627" s="5" t="str">
        <f>_xlfn.XLOOKUP($N627,'Base de Grupos'!$A:$A,'Base de Grupos'!$E:$E)</f>
        <v>CANAL VENDA INTERNA</v>
      </c>
      <c r="D627" s="5" t="str">
        <f>_xlfn.XLOOKUP($N627,'Base de Grupos'!$A:$A,'Base de Grupos'!$F:$F)</f>
        <v>1000065763</v>
      </c>
      <c r="E627" s="2" t="str">
        <f>_xlfn.XLOOKUP($N627,'Base de Grupos'!$A:$A,'Base de Grupos'!$G:$G)</f>
        <v>CANAL VENDA INTERNA</v>
      </c>
      <c r="F627" s="2" t="str">
        <f>_xlfn.XLOOKUP($N627,'Base de Grupos'!$A:$A,'Base de Grupos'!$H:$H)</f>
        <v>1000153245</v>
      </c>
      <c r="G627" s="5" t="str">
        <f>_xlfn.XLOOKUP($N627,'Base de Grupos'!$A:$A,'Base de Grupos'!$I:$I)</f>
        <v>REGIONAL VENDA INTERNA - KEY ACCOUNT</v>
      </c>
      <c r="H627" s="5" t="str">
        <f>_xlfn.XLOOKUP($N627,'Base de Grupos'!$A:$A,'Base de Grupos'!$J:$J)</f>
        <v>1000153245</v>
      </c>
      <c r="I627" s="2" t="str">
        <f>_xlfn.XLOOKUP($N627,'Base de Grupos'!$A:$A,'Base de Grupos'!$K:$K)</f>
        <v>REGIONAL VENDA INTERNA - KEY ACCOUNT</v>
      </c>
      <c r="J627" s="2" t="str">
        <f>_xlfn.XLOOKUP($N627,'Base de Grupos'!$A:$A,'Base de Grupos'!$L:$L)</f>
        <v>1000153245</v>
      </c>
      <c r="K627" s="5" t="str">
        <f>_xlfn.XLOOKUP($N627,'Base de Grupos'!$A:$A,'Base de Grupos'!$M:$M)</f>
        <v>REGIONAL VENDA INTERNA - KEY ACCOUNT</v>
      </c>
      <c r="L627" s="5" t="str">
        <f t="shared" si="273"/>
        <v/>
      </c>
      <c r="M627" s="5" t="str">
        <f>_xlfn.XLOOKUP($N627,'Base de Grupos'!$A:$A,'Base de Grupos'!$C:$C)</f>
        <v>RS</v>
      </c>
      <c r="N627" s="3">
        <v>1438</v>
      </c>
      <c r="O627" s="4" t="s">
        <v>258</v>
      </c>
      <c r="P627" s="5" t="s">
        <v>90</v>
      </c>
      <c r="Q627" s="24">
        <v>0</v>
      </c>
      <c r="R627" s="24">
        <v>1</v>
      </c>
      <c r="S627" s="24">
        <v>2</v>
      </c>
      <c r="T627" s="24">
        <v>0</v>
      </c>
      <c r="U627" s="24">
        <v>0</v>
      </c>
      <c r="V627" s="24">
        <v>0</v>
      </c>
      <c r="W627" s="24">
        <v>0</v>
      </c>
      <c r="X627" s="24">
        <v>0</v>
      </c>
      <c r="Y627" s="24">
        <v>0</v>
      </c>
      <c r="Z627" s="24">
        <v>0</v>
      </c>
      <c r="AA627" s="24">
        <v>0</v>
      </c>
      <c r="AB627" s="24">
        <v>0</v>
      </c>
      <c r="AC627" s="30">
        <f t="shared" si="295"/>
        <v>0</v>
      </c>
      <c r="AD627" s="27">
        <f t="shared" si="289"/>
        <v>0</v>
      </c>
      <c r="AE627" s="25">
        <f>IFERROR(_xlfn.XLOOKUP(N627&amp;P627,'Historico Vendas'!G:G,'Historico Vendas'!E:E),0)</f>
        <v>0</v>
      </c>
      <c r="AF627" s="29" t="str">
        <f t="shared" si="275"/>
        <v/>
      </c>
      <c r="AG627" s="24">
        <f>IFERROR(_xlfn.XLOOKUP(N627&amp;P627,'Historico Vendas'!G:G,'Historico Vendas'!F:F),0)</f>
        <v>0</v>
      </c>
      <c r="AH627" s="25">
        <f t="shared" si="290"/>
        <v>3</v>
      </c>
      <c r="AI627" s="24">
        <f t="shared" si="291"/>
        <v>3</v>
      </c>
      <c r="AJ627" s="11">
        <f t="shared" si="276"/>
        <v>0</v>
      </c>
      <c r="AK627" s="9" t="s">
        <v>102</v>
      </c>
      <c r="AL627" s="13">
        <f>IFERROR(INDEX('Balizador da Meta'!$D$3:$F$23,MATCH(Quantidade!$P627,'Balizador da Meta'!$C$3:$C$23,0),MATCH(Quantidade!AK627,'Balizador da Meta'!$D$2:$F$2,0)),"")</f>
        <v>0</v>
      </c>
      <c r="AM627" s="9"/>
    </row>
    <row r="628" spans="1:39" x14ac:dyDescent="0.3">
      <c r="A628" s="2" t="str">
        <f t="shared" si="272"/>
        <v>NÃO</v>
      </c>
      <c r="B628" s="2" t="str">
        <f>_xlfn.XLOOKUP($N628,'Base de Grupos'!$A:$A,'Base de Grupos'!$D:$D)</f>
        <v>1000065763</v>
      </c>
      <c r="C628" s="5" t="str">
        <f>_xlfn.XLOOKUP($N628,'Base de Grupos'!$A:$A,'Base de Grupos'!$E:$E)</f>
        <v>CANAL VENDA INTERNA</v>
      </c>
      <c r="D628" s="5" t="str">
        <f>_xlfn.XLOOKUP($N628,'Base de Grupos'!$A:$A,'Base de Grupos'!$F:$F)</f>
        <v>1000065763</v>
      </c>
      <c r="E628" s="2" t="str">
        <f>_xlfn.XLOOKUP($N628,'Base de Grupos'!$A:$A,'Base de Grupos'!$G:$G)</f>
        <v>CANAL VENDA INTERNA</v>
      </c>
      <c r="F628" s="2" t="str">
        <f>_xlfn.XLOOKUP($N628,'Base de Grupos'!$A:$A,'Base de Grupos'!$H:$H)</f>
        <v>1000153245</v>
      </c>
      <c r="G628" s="5" t="str">
        <f>_xlfn.XLOOKUP($N628,'Base de Grupos'!$A:$A,'Base de Grupos'!$I:$I)</f>
        <v>REGIONAL VENDA INTERNA - KEY ACCOUNT</v>
      </c>
      <c r="H628" s="5" t="str">
        <f>_xlfn.XLOOKUP($N628,'Base de Grupos'!$A:$A,'Base de Grupos'!$J:$J)</f>
        <v>1000153245</v>
      </c>
      <c r="I628" s="2" t="str">
        <f>_xlfn.XLOOKUP($N628,'Base de Grupos'!$A:$A,'Base de Grupos'!$K:$K)</f>
        <v>REGIONAL VENDA INTERNA - KEY ACCOUNT</v>
      </c>
      <c r="J628" s="2" t="str">
        <f>_xlfn.XLOOKUP($N628,'Base de Grupos'!$A:$A,'Base de Grupos'!$L:$L)</f>
        <v>1000153245</v>
      </c>
      <c r="K628" s="5" t="str">
        <f>_xlfn.XLOOKUP($N628,'Base de Grupos'!$A:$A,'Base de Grupos'!$M:$M)</f>
        <v>REGIONAL VENDA INTERNA - KEY ACCOUNT</v>
      </c>
      <c r="L628" s="5" t="str">
        <f t="shared" si="273"/>
        <v/>
      </c>
      <c r="M628" s="5" t="str">
        <f>_xlfn.XLOOKUP($N628,'Base de Grupos'!$A:$A,'Base de Grupos'!$C:$C)</f>
        <v>RS</v>
      </c>
      <c r="N628" s="3">
        <v>1438</v>
      </c>
      <c r="O628" s="4" t="s">
        <v>258</v>
      </c>
      <c r="P628" s="5" t="s">
        <v>91</v>
      </c>
      <c r="Q628" s="24">
        <v>0</v>
      </c>
      <c r="R628" s="24">
        <v>6</v>
      </c>
      <c r="S628" s="24">
        <v>7</v>
      </c>
      <c r="T628" s="24">
        <v>0</v>
      </c>
      <c r="U628" s="24">
        <v>0</v>
      </c>
      <c r="V628" s="24">
        <v>0</v>
      </c>
      <c r="W628" s="24">
        <v>0</v>
      </c>
      <c r="X628" s="24">
        <v>0</v>
      </c>
      <c r="Y628" s="24">
        <v>0</v>
      </c>
      <c r="Z628" s="24">
        <v>0</v>
      </c>
      <c r="AA628" s="24">
        <v>0</v>
      </c>
      <c r="AB628" s="24">
        <v>0</v>
      </c>
      <c r="AC628" s="30">
        <f t="shared" si="295"/>
        <v>0</v>
      </c>
      <c r="AD628" s="27">
        <f t="shared" si="289"/>
        <v>0</v>
      </c>
      <c r="AE628" s="25">
        <f>IFERROR(_xlfn.XLOOKUP(N628&amp;P628,'Historico Vendas'!G:G,'Historico Vendas'!E:E),0)</f>
        <v>0</v>
      </c>
      <c r="AF628" s="29" t="str">
        <f t="shared" si="275"/>
        <v/>
      </c>
      <c r="AG628" s="24">
        <f>IFERROR(_xlfn.XLOOKUP(N628&amp;P628,'Historico Vendas'!G:G,'Historico Vendas'!F:F),0)</f>
        <v>0</v>
      </c>
      <c r="AH628" s="25">
        <f t="shared" si="290"/>
        <v>13</v>
      </c>
      <c r="AI628" s="24">
        <f t="shared" si="291"/>
        <v>13</v>
      </c>
      <c r="AJ628" s="11">
        <f t="shared" si="276"/>
        <v>0</v>
      </c>
      <c r="AK628" s="9" t="s">
        <v>102</v>
      </c>
      <c r="AL628" s="13">
        <f>IFERROR(INDEX('Balizador da Meta'!$D$3:$F$23,MATCH(Quantidade!$P628,'Balizador da Meta'!$C$3:$C$23,0),MATCH(Quantidade!AK628,'Balizador da Meta'!$D$2:$F$2,0)),"")</f>
        <v>0</v>
      </c>
      <c r="AM628" s="9"/>
    </row>
    <row r="629" spans="1:39" x14ac:dyDescent="0.3">
      <c r="A629" s="2" t="str">
        <f t="shared" si="272"/>
        <v>NÃO</v>
      </c>
      <c r="B629" s="2" t="str">
        <f>_xlfn.XLOOKUP($N629,'Base de Grupos'!$A:$A,'Base de Grupos'!$D:$D)</f>
        <v>1000065763</v>
      </c>
      <c r="C629" s="5" t="str">
        <f>_xlfn.XLOOKUP($N629,'Base de Grupos'!$A:$A,'Base de Grupos'!$E:$E)</f>
        <v>CANAL VENDA INTERNA</v>
      </c>
      <c r="D629" s="5" t="str">
        <f>_xlfn.XLOOKUP($N629,'Base de Grupos'!$A:$A,'Base de Grupos'!$F:$F)</f>
        <v>1000065763</v>
      </c>
      <c r="E629" s="2" t="str">
        <f>_xlfn.XLOOKUP($N629,'Base de Grupos'!$A:$A,'Base de Grupos'!$G:$G)</f>
        <v>CANAL VENDA INTERNA</v>
      </c>
      <c r="F629" s="2" t="str">
        <f>_xlfn.XLOOKUP($N629,'Base de Grupos'!$A:$A,'Base de Grupos'!$H:$H)</f>
        <v>1000153245</v>
      </c>
      <c r="G629" s="5" t="str">
        <f>_xlfn.XLOOKUP($N629,'Base de Grupos'!$A:$A,'Base de Grupos'!$I:$I)</f>
        <v>REGIONAL VENDA INTERNA - KEY ACCOUNT</v>
      </c>
      <c r="H629" s="5" t="str">
        <f>_xlfn.XLOOKUP($N629,'Base de Grupos'!$A:$A,'Base de Grupos'!$J:$J)</f>
        <v>1000153245</v>
      </c>
      <c r="I629" s="2" t="str">
        <f>_xlfn.XLOOKUP($N629,'Base de Grupos'!$A:$A,'Base de Grupos'!$K:$K)</f>
        <v>REGIONAL VENDA INTERNA - KEY ACCOUNT</v>
      </c>
      <c r="J629" s="2" t="str">
        <f>_xlfn.XLOOKUP($N629,'Base de Grupos'!$A:$A,'Base de Grupos'!$L:$L)</f>
        <v>1000153245</v>
      </c>
      <c r="K629" s="5" t="str">
        <f>_xlfn.XLOOKUP($N629,'Base de Grupos'!$A:$A,'Base de Grupos'!$M:$M)</f>
        <v>REGIONAL VENDA INTERNA - KEY ACCOUNT</v>
      </c>
      <c r="L629" s="5" t="str">
        <f t="shared" si="273"/>
        <v/>
      </c>
      <c r="M629" s="5" t="str">
        <f>_xlfn.XLOOKUP($N629,'Base de Grupos'!$A:$A,'Base de Grupos'!$C:$C)</f>
        <v>RS</v>
      </c>
      <c r="N629" s="3">
        <v>1438</v>
      </c>
      <c r="O629" s="4" t="s">
        <v>258</v>
      </c>
      <c r="P629" s="5" t="s">
        <v>96</v>
      </c>
      <c r="Q629" s="24">
        <v>0</v>
      </c>
      <c r="R629" s="24">
        <v>0</v>
      </c>
      <c r="S629" s="24">
        <v>0</v>
      </c>
      <c r="T629" s="24">
        <v>0</v>
      </c>
      <c r="U629" s="24">
        <v>0</v>
      </c>
      <c r="V629" s="24">
        <v>0</v>
      </c>
      <c r="W629" s="24">
        <v>0</v>
      </c>
      <c r="X629" s="24">
        <v>0</v>
      </c>
      <c r="Y629" s="24">
        <v>0</v>
      </c>
      <c r="Z629" s="24">
        <v>0</v>
      </c>
      <c r="AA629" s="24">
        <v>0</v>
      </c>
      <c r="AB629" s="24">
        <v>0</v>
      </c>
      <c r="AC629" s="30">
        <f t="shared" si="295"/>
        <v>0</v>
      </c>
      <c r="AD629" s="27">
        <f t="shared" si="289"/>
        <v>0</v>
      </c>
      <c r="AE629" s="25">
        <f>IFERROR(_xlfn.XLOOKUP(N629&amp;P629,'Historico Vendas'!G:G,'Historico Vendas'!E:E),0)</f>
        <v>0</v>
      </c>
      <c r="AF629" s="29" t="str">
        <f t="shared" si="275"/>
        <v/>
      </c>
      <c r="AG629" s="24">
        <f>IFERROR(_xlfn.XLOOKUP(N629&amp;P629,'Historico Vendas'!G:G,'Historico Vendas'!F:F),0)</f>
        <v>0</v>
      </c>
      <c r="AH629" s="25">
        <f t="shared" si="290"/>
        <v>0</v>
      </c>
      <c r="AI629" s="24">
        <f t="shared" si="291"/>
        <v>0</v>
      </c>
      <c r="AJ629" s="11" t="str">
        <f t="shared" si="276"/>
        <v/>
      </c>
      <c r="AK629" s="9" t="s">
        <v>102</v>
      </c>
      <c r="AL629" s="13">
        <f>IFERROR(INDEX('Balizador da Meta'!$D$3:$F$23,MATCH(Quantidade!$P629,'Balizador da Meta'!$C$3:$C$23,0),MATCH(Quantidade!AK629,'Balizador da Meta'!$D$2:$F$2,0)),"")</f>
        <v>0</v>
      </c>
      <c r="AM629" s="9"/>
    </row>
    <row r="630" spans="1:39" x14ac:dyDescent="0.3">
      <c r="A630" s="2" t="str">
        <f t="shared" si="272"/>
        <v>NÃO</v>
      </c>
      <c r="B630" s="2" t="str">
        <f>_xlfn.XLOOKUP($N630,'Base de Grupos'!$A:$A,'Base de Grupos'!$D:$D)</f>
        <v>1000065763</v>
      </c>
      <c r="C630" s="5" t="str">
        <f>_xlfn.XLOOKUP($N630,'Base de Grupos'!$A:$A,'Base de Grupos'!$E:$E)</f>
        <v>CANAL VENDA INTERNA</v>
      </c>
      <c r="D630" s="5" t="str">
        <f>_xlfn.XLOOKUP($N630,'Base de Grupos'!$A:$A,'Base de Grupos'!$F:$F)</f>
        <v>1000065763</v>
      </c>
      <c r="E630" s="2" t="str">
        <f>_xlfn.XLOOKUP($N630,'Base de Grupos'!$A:$A,'Base de Grupos'!$G:$G)</f>
        <v>CANAL VENDA INTERNA</v>
      </c>
      <c r="F630" s="2" t="str">
        <f>_xlfn.XLOOKUP($N630,'Base de Grupos'!$A:$A,'Base de Grupos'!$H:$H)</f>
        <v>1000153245</v>
      </c>
      <c r="G630" s="5" t="str">
        <f>_xlfn.XLOOKUP($N630,'Base de Grupos'!$A:$A,'Base de Grupos'!$I:$I)</f>
        <v>REGIONAL VENDA INTERNA - KEY ACCOUNT</v>
      </c>
      <c r="H630" s="5" t="str">
        <f>_xlfn.XLOOKUP($N630,'Base de Grupos'!$A:$A,'Base de Grupos'!$J:$J)</f>
        <v>1000153245</v>
      </c>
      <c r="I630" s="2" t="str">
        <f>_xlfn.XLOOKUP($N630,'Base de Grupos'!$A:$A,'Base de Grupos'!$K:$K)</f>
        <v>REGIONAL VENDA INTERNA - KEY ACCOUNT</v>
      </c>
      <c r="J630" s="2" t="str">
        <f>_xlfn.XLOOKUP($N630,'Base de Grupos'!$A:$A,'Base de Grupos'!$L:$L)</f>
        <v>1000153245</v>
      </c>
      <c r="K630" s="5" t="str">
        <f>_xlfn.XLOOKUP($N630,'Base de Grupos'!$A:$A,'Base de Grupos'!$M:$M)</f>
        <v>REGIONAL VENDA INTERNA - KEY ACCOUNT</v>
      </c>
      <c r="L630" s="5" t="str">
        <f t="shared" si="273"/>
        <v/>
      </c>
      <c r="M630" s="5" t="str">
        <f>_xlfn.XLOOKUP($N630,'Base de Grupos'!$A:$A,'Base de Grupos'!$C:$C)</f>
        <v>RS</v>
      </c>
      <c r="N630" s="3">
        <v>1438</v>
      </c>
      <c r="O630" s="4" t="s">
        <v>258</v>
      </c>
      <c r="P630" s="5" t="s">
        <v>94</v>
      </c>
      <c r="Q630" s="24">
        <v>0</v>
      </c>
      <c r="R630" s="24">
        <v>0</v>
      </c>
      <c r="S630" s="24">
        <v>0</v>
      </c>
      <c r="T630" s="24">
        <v>0</v>
      </c>
      <c r="U630" s="24">
        <v>0</v>
      </c>
      <c r="V630" s="24">
        <v>0</v>
      </c>
      <c r="W630" s="24">
        <v>0</v>
      </c>
      <c r="X630" s="24">
        <v>0</v>
      </c>
      <c r="Y630" s="24">
        <v>0</v>
      </c>
      <c r="Z630" s="24">
        <v>0</v>
      </c>
      <c r="AA630" s="24">
        <v>0</v>
      </c>
      <c r="AB630" s="24">
        <v>0</v>
      </c>
      <c r="AC630" s="30">
        <f t="shared" si="295"/>
        <v>0</v>
      </c>
      <c r="AD630" s="27">
        <f t="shared" si="289"/>
        <v>0</v>
      </c>
      <c r="AE630" s="25">
        <f>IFERROR(_xlfn.XLOOKUP(N630&amp;P630,'Historico Vendas'!G:G,'Historico Vendas'!E:E),0)</f>
        <v>0</v>
      </c>
      <c r="AF630" s="29" t="str">
        <f t="shared" si="275"/>
        <v/>
      </c>
      <c r="AG630" s="24">
        <f>IFERROR(_xlfn.XLOOKUP(N630&amp;P630,'Historico Vendas'!G:G,'Historico Vendas'!F:F),0)</f>
        <v>0</v>
      </c>
      <c r="AH630" s="25">
        <f t="shared" si="290"/>
        <v>0</v>
      </c>
      <c r="AI630" s="24">
        <f t="shared" si="291"/>
        <v>0</v>
      </c>
      <c r="AJ630" s="11" t="str">
        <f t="shared" si="276"/>
        <v/>
      </c>
      <c r="AK630" s="9" t="s">
        <v>102</v>
      </c>
      <c r="AL630" s="13">
        <f>IFERROR(INDEX('Balizador da Meta'!$D$3:$F$23,MATCH(Quantidade!$P630,'Balizador da Meta'!$C$3:$C$23,0),MATCH(Quantidade!AK630,'Balizador da Meta'!$D$2:$F$2,0)),"")</f>
        <v>0.25</v>
      </c>
      <c r="AM630" s="9"/>
    </row>
    <row r="631" spans="1:39" x14ac:dyDescent="0.3">
      <c r="A631" s="2" t="str">
        <f t="shared" si="272"/>
        <v>NÃO</v>
      </c>
      <c r="B631" s="2" t="str">
        <f>_xlfn.XLOOKUP($N631,'Base de Grupos'!$A:$A,'Base de Grupos'!$D:$D)</f>
        <v>1000065763</v>
      </c>
      <c r="C631" s="5" t="str">
        <f>_xlfn.XLOOKUP($N631,'Base de Grupos'!$A:$A,'Base de Grupos'!$E:$E)</f>
        <v>CANAL VENDA INTERNA</v>
      </c>
      <c r="D631" s="5" t="str">
        <f>_xlfn.XLOOKUP($N631,'Base de Grupos'!$A:$A,'Base de Grupos'!$F:$F)</f>
        <v>1000065763</v>
      </c>
      <c r="E631" s="2" t="str">
        <f>_xlfn.XLOOKUP($N631,'Base de Grupos'!$A:$A,'Base de Grupos'!$G:$G)</f>
        <v>CANAL VENDA INTERNA</v>
      </c>
      <c r="F631" s="2" t="str">
        <f>_xlfn.XLOOKUP($N631,'Base de Grupos'!$A:$A,'Base de Grupos'!$H:$H)</f>
        <v>1000153245</v>
      </c>
      <c r="G631" s="5" t="str">
        <f>_xlfn.XLOOKUP($N631,'Base de Grupos'!$A:$A,'Base de Grupos'!$I:$I)</f>
        <v>REGIONAL VENDA INTERNA - KEY ACCOUNT</v>
      </c>
      <c r="H631" s="5" t="str">
        <f>_xlfn.XLOOKUP($N631,'Base de Grupos'!$A:$A,'Base de Grupos'!$J:$J)</f>
        <v>1000153245</v>
      </c>
      <c r="I631" s="2" t="str">
        <f>_xlfn.XLOOKUP($N631,'Base de Grupos'!$A:$A,'Base de Grupos'!$K:$K)</f>
        <v>REGIONAL VENDA INTERNA - KEY ACCOUNT</v>
      </c>
      <c r="J631" s="2" t="str">
        <f>_xlfn.XLOOKUP($N631,'Base de Grupos'!$A:$A,'Base de Grupos'!$L:$L)</f>
        <v>1000153245</v>
      </c>
      <c r="K631" s="5" t="str">
        <f>_xlfn.XLOOKUP($N631,'Base de Grupos'!$A:$A,'Base de Grupos'!$M:$M)</f>
        <v>REGIONAL VENDA INTERNA - KEY ACCOUNT</v>
      </c>
      <c r="L631" s="5" t="str">
        <f t="shared" si="273"/>
        <v/>
      </c>
      <c r="M631" s="5" t="str">
        <f>_xlfn.XLOOKUP($N631,'Base de Grupos'!$A:$A,'Base de Grupos'!$C:$C)</f>
        <v>RS</v>
      </c>
      <c r="N631" s="3">
        <v>1438</v>
      </c>
      <c r="O631" s="4" t="s">
        <v>258</v>
      </c>
      <c r="P631" s="5" t="s">
        <v>95</v>
      </c>
      <c r="Q631" s="24">
        <v>0</v>
      </c>
      <c r="R631" s="24">
        <v>0</v>
      </c>
      <c r="S631" s="24">
        <v>0</v>
      </c>
      <c r="T631" s="24">
        <v>0</v>
      </c>
      <c r="U631" s="24">
        <v>0</v>
      </c>
      <c r="V631" s="24">
        <v>0</v>
      </c>
      <c r="W631" s="24">
        <v>0</v>
      </c>
      <c r="X631" s="24">
        <v>0</v>
      </c>
      <c r="Y631" s="24">
        <v>0</v>
      </c>
      <c r="Z631" s="24">
        <v>0</v>
      </c>
      <c r="AA631" s="24">
        <v>0</v>
      </c>
      <c r="AB631" s="24">
        <v>0</v>
      </c>
      <c r="AC631" s="30">
        <f t="shared" si="295"/>
        <v>0</v>
      </c>
      <c r="AD631" s="27">
        <f t="shared" si="289"/>
        <v>0</v>
      </c>
      <c r="AE631" s="25">
        <f>IFERROR(_xlfn.XLOOKUP(N631&amp;P631,'Historico Vendas'!G:G,'Historico Vendas'!E:E),0)</f>
        <v>0</v>
      </c>
      <c r="AF631" s="29" t="str">
        <f t="shared" si="275"/>
        <v/>
      </c>
      <c r="AG631" s="24">
        <f>IFERROR(_xlfn.XLOOKUP(N631&amp;P631,'Historico Vendas'!G:G,'Historico Vendas'!F:F),0)</f>
        <v>0</v>
      </c>
      <c r="AH631" s="25">
        <f t="shared" si="290"/>
        <v>0</v>
      </c>
      <c r="AI631" s="24">
        <f t="shared" si="291"/>
        <v>0</v>
      </c>
      <c r="AJ631" s="11" t="str">
        <f t="shared" si="276"/>
        <v/>
      </c>
      <c r="AK631" s="9" t="s">
        <v>102</v>
      </c>
      <c r="AL631" s="13">
        <f>IFERROR(INDEX('Balizador da Meta'!$D$3:$F$23,MATCH(Quantidade!$P631,'Balizador da Meta'!$C$3:$C$23,0),MATCH(Quantidade!AK631,'Balizador da Meta'!$D$2:$F$2,0)),"")</f>
        <v>0.25</v>
      </c>
      <c r="AM631" s="9"/>
    </row>
    <row r="632" spans="1:39" x14ac:dyDescent="0.3">
      <c r="A632" s="2" t="str">
        <f t="shared" si="272"/>
        <v>NÃO</v>
      </c>
      <c r="B632" s="2" t="str">
        <f>_xlfn.XLOOKUP($N632,'Base de Grupos'!$A:$A,'Base de Grupos'!$D:$D)</f>
        <v>1000065763</v>
      </c>
      <c r="C632" s="5" t="str">
        <f>_xlfn.XLOOKUP($N632,'Base de Grupos'!$A:$A,'Base de Grupos'!$E:$E)</f>
        <v>CANAL VENDA INTERNA</v>
      </c>
      <c r="D632" s="5" t="str">
        <f>_xlfn.XLOOKUP($N632,'Base de Grupos'!$A:$A,'Base de Grupos'!$F:$F)</f>
        <v>1000065763</v>
      </c>
      <c r="E632" s="2" t="str">
        <f>_xlfn.XLOOKUP($N632,'Base de Grupos'!$A:$A,'Base de Grupos'!$G:$G)</f>
        <v>CANAL VENDA INTERNA</v>
      </c>
      <c r="F632" s="2" t="str">
        <f>_xlfn.XLOOKUP($N632,'Base de Grupos'!$A:$A,'Base de Grupos'!$H:$H)</f>
        <v>1000153245</v>
      </c>
      <c r="G632" s="5" t="str">
        <f>_xlfn.XLOOKUP($N632,'Base de Grupos'!$A:$A,'Base de Grupos'!$I:$I)</f>
        <v>REGIONAL VENDA INTERNA - KEY ACCOUNT</v>
      </c>
      <c r="H632" s="5" t="str">
        <f>_xlfn.XLOOKUP($N632,'Base de Grupos'!$A:$A,'Base de Grupos'!$J:$J)</f>
        <v>1000153245</v>
      </c>
      <c r="I632" s="2" t="str">
        <f>_xlfn.XLOOKUP($N632,'Base de Grupos'!$A:$A,'Base de Grupos'!$K:$K)</f>
        <v>REGIONAL VENDA INTERNA - KEY ACCOUNT</v>
      </c>
      <c r="J632" s="2" t="str">
        <f>_xlfn.XLOOKUP($N632,'Base de Grupos'!$A:$A,'Base de Grupos'!$L:$L)</f>
        <v>1000153245</v>
      </c>
      <c r="K632" s="5" t="str">
        <f>_xlfn.XLOOKUP($N632,'Base de Grupos'!$A:$A,'Base de Grupos'!$M:$M)</f>
        <v>REGIONAL VENDA INTERNA - KEY ACCOUNT</v>
      </c>
      <c r="L632" s="5" t="str">
        <f t="shared" si="273"/>
        <v/>
      </c>
      <c r="M632" s="5" t="str">
        <f>_xlfn.XLOOKUP($N632,'Base de Grupos'!$A:$A,'Base de Grupos'!$C:$C)</f>
        <v>RS</v>
      </c>
      <c r="N632" s="3">
        <v>1438</v>
      </c>
      <c r="O632" s="4" t="s">
        <v>258</v>
      </c>
      <c r="P632" s="5" t="s">
        <v>93</v>
      </c>
      <c r="Q632" s="24">
        <v>0</v>
      </c>
      <c r="R632" s="24">
        <v>0</v>
      </c>
      <c r="S632" s="24">
        <v>0</v>
      </c>
      <c r="T632" s="24">
        <v>0</v>
      </c>
      <c r="U632" s="24">
        <v>0</v>
      </c>
      <c r="V632" s="24">
        <v>0</v>
      </c>
      <c r="W632" s="24">
        <v>0</v>
      </c>
      <c r="X632" s="24">
        <v>0</v>
      </c>
      <c r="Y632" s="24">
        <v>0</v>
      </c>
      <c r="Z632" s="24">
        <v>0</v>
      </c>
      <c r="AA632" s="24">
        <v>0</v>
      </c>
      <c r="AB632" s="24">
        <v>0</v>
      </c>
      <c r="AC632" s="30">
        <f t="shared" si="295"/>
        <v>0</v>
      </c>
      <c r="AD632" s="27">
        <f t="shared" si="289"/>
        <v>0</v>
      </c>
      <c r="AE632" s="25">
        <f>IFERROR(_xlfn.XLOOKUP(N632&amp;P632,'Historico Vendas'!G:G,'Historico Vendas'!E:E),0)</f>
        <v>0</v>
      </c>
      <c r="AF632" s="29" t="str">
        <f t="shared" si="275"/>
        <v/>
      </c>
      <c r="AG632" s="24">
        <f>IFERROR(_xlfn.XLOOKUP(N632&amp;P632,'Historico Vendas'!G:G,'Historico Vendas'!F:F),0)</f>
        <v>0</v>
      </c>
      <c r="AH632" s="25">
        <f t="shared" si="290"/>
        <v>0</v>
      </c>
      <c r="AI632" s="24">
        <f t="shared" si="291"/>
        <v>0</v>
      </c>
      <c r="AJ632" s="11" t="str">
        <f t="shared" si="276"/>
        <v/>
      </c>
      <c r="AK632" s="9" t="s">
        <v>102</v>
      </c>
      <c r="AL632" s="13">
        <f>IFERROR(INDEX('Balizador da Meta'!$D$3:$F$23,MATCH(Quantidade!$P632,'Balizador da Meta'!$C$3:$C$23,0),MATCH(Quantidade!AK632,'Balizador da Meta'!$D$2:$F$2,0)),"")</f>
        <v>0.2</v>
      </c>
      <c r="AM632" s="9"/>
    </row>
    <row r="633" spans="1:39" x14ac:dyDescent="0.3">
      <c r="A633" s="2" t="str">
        <f t="shared" si="272"/>
        <v>SIM</v>
      </c>
      <c r="B633" s="2" t="str">
        <f>_xlfn.XLOOKUP($N633,'Base de Grupos'!$A:$A,'Base de Grupos'!$D:$D)</f>
        <v>1000065763</v>
      </c>
      <c r="C633" s="5" t="str">
        <f>_xlfn.XLOOKUP($N633,'Base de Grupos'!$A:$A,'Base de Grupos'!$E:$E)</f>
        <v>CANAL VENDA INTERNA</v>
      </c>
      <c r="D633" s="5" t="str">
        <f>_xlfn.XLOOKUP($N633,'Base de Grupos'!$A:$A,'Base de Grupos'!$F:$F)</f>
        <v>1000065763</v>
      </c>
      <c r="E633" s="2" t="str">
        <f>_xlfn.XLOOKUP($N633,'Base de Grupos'!$A:$A,'Base de Grupos'!$G:$G)</f>
        <v>CANAL VENDA INTERNA</v>
      </c>
      <c r="F633" s="2" t="str">
        <f>_xlfn.XLOOKUP($N633,'Base de Grupos'!$A:$A,'Base de Grupos'!$H:$H)</f>
        <v>1000153245</v>
      </c>
      <c r="G633" s="5" t="str">
        <f>_xlfn.XLOOKUP($N633,'Base de Grupos'!$A:$A,'Base de Grupos'!$I:$I)</f>
        <v>REGIONAL VENDA INTERNA - KEY ACCOUNT</v>
      </c>
      <c r="H633" s="5" t="str">
        <f>_xlfn.XLOOKUP($N633,'Base de Grupos'!$A:$A,'Base de Grupos'!$J:$J)</f>
        <v>1000153245</v>
      </c>
      <c r="I633" s="2" t="str">
        <f>_xlfn.XLOOKUP($N633,'Base de Grupos'!$A:$A,'Base de Grupos'!$K:$K)</f>
        <v>REGIONAL VENDA INTERNA - KEY ACCOUNT</v>
      </c>
      <c r="J633" s="2" t="str">
        <f>_xlfn.XLOOKUP($N633,'Base de Grupos'!$A:$A,'Base de Grupos'!$L:$L)</f>
        <v>1000153245</v>
      </c>
      <c r="K633" s="5" t="str">
        <f>_xlfn.XLOOKUP($N633,'Base de Grupos'!$A:$A,'Base de Grupos'!$M:$M)</f>
        <v>REGIONAL VENDA INTERNA - KEY ACCOUNT</v>
      </c>
      <c r="L633" s="5">
        <f t="shared" si="273"/>
        <v>1</v>
      </c>
      <c r="M633" s="5" t="str">
        <f>_xlfn.XLOOKUP($N633,'Base de Grupos'!$A:$A,'Base de Grupos'!$C:$C)</f>
        <v>RS</v>
      </c>
      <c r="N633" s="3">
        <v>1439</v>
      </c>
      <c r="O633" s="4" t="s">
        <v>259</v>
      </c>
      <c r="P633" s="5" t="s">
        <v>329</v>
      </c>
      <c r="Q633" s="24">
        <v>0</v>
      </c>
      <c r="R633" s="24">
        <v>4</v>
      </c>
      <c r="S633" s="24">
        <v>4</v>
      </c>
      <c r="T633" s="24">
        <v>0</v>
      </c>
      <c r="U633" s="24">
        <v>0</v>
      </c>
      <c r="V633" s="24">
        <v>0</v>
      </c>
      <c r="W633" s="24">
        <v>0</v>
      </c>
      <c r="X633" s="24">
        <v>0</v>
      </c>
      <c r="Y633" s="24">
        <v>0</v>
      </c>
      <c r="Z633" s="24">
        <v>0</v>
      </c>
      <c r="AA633" s="24">
        <v>0</v>
      </c>
      <c r="AB633" s="24">
        <v>0</v>
      </c>
      <c r="AC633" s="30">
        <f t="shared" si="295"/>
        <v>0</v>
      </c>
      <c r="AD633" s="25">
        <f t="shared" ref="AD633:AI633" si="296">SUM(AD634:AD650)</f>
        <v>0</v>
      </c>
      <c r="AE633" s="25">
        <f t="shared" si="296"/>
        <v>0</v>
      </c>
      <c r="AF633" s="11" t="str">
        <f t="shared" si="275"/>
        <v/>
      </c>
      <c r="AG633" s="24">
        <f t="shared" si="296"/>
        <v>0</v>
      </c>
      <c r="AH633" s="25">
        <f t="shared" si="296"/>
        <v>266.8</v>
      </c>
      <c r="AI633" s="24">
        <f t="shared" si="296"/>
        <v>266.8</v>
      </c>
      <c r="AJ633" s="11">
        <f t="shared" si="276"/>
        <v>0</v>
      </c>
      <c r="AK633" s="9"/>
      <c r="AL633" s="13"/>
      <c r="AM633" s="9"/>
    </row>
    <row r="634" spans="1:39" x14ac:dyDescent="0.3">
      <c r="A634" s="2" t="str">
        <f t="shared" si="272"/>
        <v>NÃO</v>
      </c>
      <c r="B634" s="2" t="str">
        <f>_xlfn.XLOOKUP($N634,'Base de Grupos'!$A:$A,'Base de Grupos'!$D:$D)</f>
        <v>1000065763</v>
      </c>
      <c r="C634" s="5" t="str">
        <f>_xlfn.XLOOKUP($N634,'Base de Grupos'!$A:$A,'Base de Grupos'!$E:$E)</f>
        <v>CANAL VENDA INTERNA</v>
      </c>
      <c r="D634" s="5" t="str">
        <f>_xlfn.XLOOKUP($N634,'Base de Grupos'!$A:$A,'Base de Grupos'!$F:$F)</f>
        <v>1000065763</v>
      </c>
      <c r="E634" s="2" t="str">
        <f>_xlfn.XLOOKUP($N634,'Base de Grupos'!$A:$A,'Base de Grupos'!$G:$G)</f>
        <v>CANAL VENDA INTERNA</v>
      </c>
      <c r="F634" s="2" t="str">
        <f>_xlfn.XLOOKUP($N634,'Base de Grupos'!$A:$A,'Base de Grupos'!$H:$H)</f>
        <v>1000153245</v>
      </c>
      <c r="G634" s="5" t="str">
        <f>_xlfn.XLOOKUP($N634,'Base de Grupos'!$A:$A,'Base de Grupos'!$I:$I)</f>
        <v>REGIONAL VENDA INTERNA - KEY ACCOUNT</v>
      </c>
      <c r="H634" s="5" t="str">
        <f>_xlfn.XLOOKUP($N634,'Base de Grupos'!$A:$A,'Base de Grupos'!$J:$J)</f>
        <v>1000153245</v>
      </c>
      <c r="I634" s="2" t="str">
        <f>_xlfn.XLOOKUP($N634,'Base de Grupos'!$A:$A,'Base de Grupos'!$K:$K)</f>
        <v>REGIONAL VENDA INTERNA - KEY ACCOUNT</v>
      </c>
      <c r="J634" s="2" t="str">
        <f>_xlfn.XLOOKUP($N634,'Base de Grupos'!$A:$A,'Base de Grupos'!$L:$L)</f>
        <v>1000153245</v>
      </c>
      <c r="K634" s="5" t="str">
        <f>_xlfn.XLOOKUP($N634,'Base de Grupos'!$A:$A,'Base de Grupos'!$M:$M)</f>
        <v>REGIONAL VENDA INTERNA - KEY ACCOUNT</v>
      </c>
      <c r="L634" s="5" t="str">
        <f t="shared" si="273"/>
        <v/>
      </c>
      <c r="M634" s="5" t="str">
        <f>_xlfn.XLOOKUP($N634,'Base de Grupos'!$A:$A,'Base de Grupos'!$C:$C)</f>
        <v>RS</v>
      </c>
      <c r="N634" s="3">
        <v>1439</v>
      </c>
      <c r="O634" s="4" t="s">
        <v>259</v>
      </c>
      <c r="P634" s="5" t="s">
        <v>81</v>
      </c>
      <c r="Q634" s="24">
        <v>0</v>
      </c>
      <c r="R634" s="24">
        <v>1</v>
      </c>
      <c r="S634" s="24">
        <v>2</v>
      </c>
      <c r="T634" s="24">
        <v>0</v>
      </c>
      <c r="U634" s="24">
        <v>0</v>
      </c>
      <c r="V634" s="24">
        <v>0</v>
      </c>
      <c r="W634" s="24">
        <v>0</v>
      </c>
      <c r="X634" s="24">
        <v>0</v>
      </c>
      <c r="Y634" s="24">
        <v>0</v>
      </c>
      <c r="Z634" s="24">
        <v>0</v>
      </c>
      <c r="AA634" s="24">
        <v>0</v>
      </c>
      <c r="AB634" s="24">
        <v>0</v>
      </c>
      <c r="AC634" s="30">
        <f t="shared" si="295"/>
        <v>0</v>
      </c>
      <c r="AD634" s="27">
        <f t="shared" ref="AD634:AD650" si="297">IF(AC634=0,0,AC634-AG634)</f>
        <v>0</v>
      </c>
      <c r="AE634" s="25">
        <f>IFERROR(_xlfn.XLOOKUP(N634&amp;P634,'Historico Vendas'!G:G,'Historico Vendas'!E:E),0)</f>
        <v>0</v>
      </c>
      <c r="AF634" s="29" t="str">
        <f t="shared" si="275"/>
        <v/>
      </c>
      <c r="AG634" s="24">
        <f>IFERROR(_xlfn.XLOOKUP(N634&amp;P634,'Historico Vendas'!G:G,'Historico Vendas'!F:F),0)</f>
        <v>0</v>
      </c>
      <c r="AH634" s="25">
        <f t="shared" ref="AH634:AH650" si="298">SUM(Q634:S634)</f>
        <v>3</v>
      </c>
      <c r="AI634" s="24">
        <f t="shared" ref="AI634:AI650" si="299">AH634-AG634</f>
        <v>3</v>
      </c>
      <c r="AJ634" s="11">
        <f t="shared" si="276"/>
        <v>0</v>
      </c>
      <c r="AK634" s="9" t="s">
        <v>102</v>
      </c>
      <c r="AL634" s="13">
        <f>IFERROR(INDEX('Balizador da Meta'!$D$3:$F$23,MATCH(Quantidade!$P634,'Balizador da Meta'!$C$3:$C$23,0),MATCH(Quantidade!AK634,'Balizador da Meta'!$D$2:$F$2,0)),"")</f>
        <v>0.2</v>
      </c>
      <c r="AM634" s="9"/>
    </row>
    <row r="635" spans="1:39" x14ac:dyDescent="0.3">
      <c r="A635" s="2" t="str">
        <f t="shared" si="272"/>
        <v>NÃO</v>
      </c>
      <c r="B635" s="2" t="str">
        <f>_xlfn.XLOOKUP($N635,'Base de Grupos'!$A:$A,'Base de Grupos'!$D:$D)</f>
        <v>1000065763</v>
      </c>
      <c r="C635" s="5" t="str">
        <f>_xlfn.XLOOKUP($N635,'Base de Grupos'!$A:$A,'Base de Grupos'!$E:$E)</f>
        <v>CANAL VENDA INTERNA</v>
      </c>
      <c r="D635" s="5" t="str">
        <f>_xlfn.XLOOKUP($N635,'Base de Grupos'!$A:$A,'Base de Grupos'!$F:$F)</f>
        <v>1000065763</v>
      </c>
      <c r="E635" s="2" t="str">
        <f>_xlfn.XLOOKUP($N635,'Base de Grupos'!$A:$A,'Base de Grupos'!$G:$G)</f>
        <v>CANAL VENDA INTERNA</v>
      </c>
      <c r="F635" s="2" t="str">
        <f>_xlfn.XLOOKUP($N635,'Base de Grupos'!$A:$A,'Base de Grupos'!$H:$H)</f>
        <v>1000153245</v>
      </c>
      <c r="G635" s="5" t="str">
        <f>_xlfn.XLOOKUP($N635,'Base de Grupos'!$A:$A,'Base de Grupos'!$I:$I)</f>
        <v>REGIONAL VENDA INTERNA - KEY ACCOUNT</v>
      </c>
      <c r="H635" s="5" t="str">
        <f>_xlfn.XLOOKUP($N635,'Base de Grupos'!$A:$A,'Base de Grupos'!$J:$J)</f>
        <v>1000153245</v>
      </c>
      <c r="I635" s="2" t="str">
        <f>_xlfn.XLOOKUP($N635,'Base de Grupos'!$A:$A,'Base de Grupos'!$K:$K)</f>
        <v>REGIONAL VENDA INTERNA - KEY ACCOUNT</v>
      </c>
      <c r="J635" s="2" t="str">
        <f>_xlfn.XLOOKUP($N635,'Base de Grupos'!$A:$A,'Base de Grupos'!$L:$L)</f>
        <v>1000153245</v>
      </c>
      <c r="K635" s="5" t="str">
        <f>_xlfn.XLOOKUP($N635,'Base de Grupos'!$A:$A,'Base de Grupos'!$M:$M)</f>
        <v>REGIONAL VENDA INTERNA - KEY ACCOUNT</v>
      </c>
      <c r="L635" s="5" t="str">
        <f t="shared" si="273"/>
        <v/>
      </c>
      <c r="M635" s="5" t="str">
        <f>_xlfn.XLOOKUP($N635,'Base de Grupos'!$A:$A,'Base de Grupos'!$C:$C)</f>
        <v>RS</v>
      </c>
      <c r="N635" s="3">
        <v>1439</v>
      </c>
      <c r="O635" s="4" t="s">
        <v>259</v>
      </c>
      <c r="P635" s="5" t="s">
        <v>82</v>
      </c>
      <c r="Q635" s="24">
        <v>0</v>
      </c>
      <c r="R635" s="24">
        <v>2</v>
      </c>
      <c r="S635" s="24">
        <v>2</v>
      </c>
      <c r="T635" s="24">
        <v>0</v>
      </c>
      <c r="U635" s="24">
        <v>0</v>
      </c>
      <c r="V635" s="24">
        <v>0</v>
      </c>
      <c r="W635" s="24">
        <v>0</v>
      </c>
      <c r="X635" s="24">
        <v>0</v>
      </c>
      <c r="Y635" s="24">
        <v>0</v>
      </c>
      <c r="Z635" s="24">
        <v>0</v>
      </c>
      <c r="AA635" s="24">
        <v>0</v>
      </c>
      <c r="AB635" s="24">
        <v>0</v>
      </c>
      <c r="AC635" s="30">
        <f t="shared" si="295"/>
        <v>0</v>
      </c>
      <c r="AD635" s="27">
        <f t="shared" si="297"/>
        <v>0</v>
      </c>
      <c r="AE635" s="25">
        <f>IFERROR(_xlfn.XLOOKUP(N635&amp;P635,'Historico Vendas'!G:G,'Historico Vendas'!E:E),0)</f>
        <v>0</v>
      </c>
      <c r="AF635" s="29" t="str">
        <f t="shared" si="275"/>
        <v/>
      </c>
      <c r="AG635" s="24">
        <f>IFERROR(_xlfn.XLOOKUP(N635&amp;P635,'Historico Vendas'!G:G,'Historico Vendas'!F:F),0)</f>
        <v>0</v>
      </c>
      <c r="AH635" s="25">
        <f t="shared" si="298"/>
        <v>4</v>
      </c>
      <c r="AI635" s="24">
        <f t="shared" si="299"/>
        <v>4</v>
      </c>
      <c r="AJ635" s="11">
        <f t="shared" si="276"/>
        <v>0</v>
      </c>
      <c r="AK635" s="9" t="s">
        <v>102</v>
      </c>
      <c r="AL635" s="13">
        <f>IFERROR(INDEX('Balizador da Meta'!$D$3:$F$23,MATCH(Quantidade!$P635,'Balizador da Meta'!$C$3:$C$23,0),MATCH(Quantidade!AK635,'Balizador da Meta'!$D$2:$F$2,0)),"")</f>
        <v>0.2</v>
      </c>
      <c r="AM635" s="9"/>
    </row>
    <row r="636" spans="1:39" x14ac:dyDescent="0.3">
      <c r="A636" s="2" t="str">
        <f t="shared" si="272"/>
        <v>NÃO</v>
      </c>
      <c r="B636" s="2" t="str">
        <f>_xlfn.XLOOKUP($N636,'Base de Grupos'!$A:$A,'Base de Grupos'!$D:$D)</f>
        <v>1000065763</v>
      </c>
      <c r="C636" s="5" t="str">
        <f>_xlfn.XLOOKUP($N636,'Base de Grupos'!$A:$A,'Base de Grupos'!$E:$E)</f>
        <v>CANAL VENDA INTERNA</v>
      </c>
      <c r="D636" s="5" t="str">
        <f>_xlfn.XLOOKUP($N636,'Base de Grupos'!$A:$A,'Base de Grupos'!$F:$F)</f>
        <v>1000065763</v>
      </c>
      <c r="E636" s="2" t="str">
        <f>_xlfn.XLOOKUP($N636,'Base de Grupos'!$A:$A,'Base de Grupos'!$G:$G)</f>
        <v>CANAL VENDA INTERNA</v>
      </c>
      <c r="F636" s="2" t="str">
        <f>_xlfn.XLOOKUP($N636,'Base de Grupos'!$A:$A,'Base de Grupos'!$H:$H)</f>
        <v>1000153245</v>
      </c>
      <c r="G636" s="5" t="str">
        <f>_xlfn.XLOOKUP($N636,'Base de Grupos'!$A:$A,'Base de Grupos'!$I:$I)</f>
        <v>REGIONAL VENDA INTERNA - KEY ACCOUNT</v>
      </c>
      <c r="H636" s="5" t="str">
        <f>_xlfn.XLOOKUP($N636,'Base de Grupos'!$A:$A,'Base de Grupos'!$J:$J)</f>
        <v>1000153245</v>
      </c>
      <c r="I636" s="2" t="str">
        <f>_xlfn.XLOOKUP($N636,'Base de Grupos'!$A:$A,'Base de Grupos'!$K:$K)</f>
        <v>REGIONAL VENDA INTERNA - KEY ACCOUNT</v>
      </c>
      <c r="J636" s="2" t="str">
        <f>_xlfn.XLOOKUP($N636,'Base de Grupos'!$A:$A,'Base de Grupos'!$L:$L)</f>
        <v>1000153245</v>
      </c>
      <c r="K636" s="5" t="str">
        <f>_xlfn.XLOOKUP($N636,'Base de Grupos'!$A:$A,'Base de Grupos'!$M:$M)</f>
        <v>REGIONAL VENDA INTERNA - KEY ACCOUNT</v>
      </c>
      <c r="L636" s="5" t="str">
        <f t="shared" si="273"/>
        <v/>
      </c>
      <c r="M636" s="5" t="str">
        <f>_xlfn.XLOOKUP($N636,'Base de Grupos'!$A:$A,'Base de Grupos'!$C:$C)</f>
        <v>RS</v>
      </c>
      <c r="N636" s="3">
        <v>1439</v>
      </c>
      <c r="O636" s="4" t="s">
        <v>259</v>
      </c>
      <c r="P636" s="5" t="s">
        <v>84</v>
      </c>
      <c r="Q636" s="24">
        <v>0</v>
      </c>
      <c r="R636" s="24">
        <v>2</v>
      </c>
      <c r="S636" s="24">
        <v>2</v>
      </c>
      <c r="T636" s="24">
        <v>0</v>
      </c>
      <c r="U636" s="24">
        <v>0</v>
      </c>
      <c r="V636" s="24">
        <v>0</v>
      </c>
      <c r="W636" s="24">
        <v>0</v>
      </c>
      <c r="X636" s="24">
        <v>0</v>
      </c>
      <c r="Y636" s="24">
        <v>0</v>
      </c>
      <c r="Z636" s="24">
        <v>0</v>
      </c>
      <c r="AA636" s="24">
        <v>0</v>
      </c>
      <c r="AB636" s="24">
        <v>0</v>
      </c>
      <c r="AC636" s="30">
        <f t="shared" si="295"/>
        <v>0</v>
      </c>
      <c r="AD636" s="27">
        <f t="shared" si="297"/>
        <v>0</v>
      </c>
      <c r="AE636" s="25">
        <f>IFERROR(_xlfn.XLOOKUP(N636&amp;P636,'Historico Vendas'!G:G,'Historico Vendas'!E:E),0)</f>
        <v>0</v>
      </c>
      <c r="AF636" s="29" t="str">
        <f t="shared" si="275"/>
        <v/>
      </c>
      <c r="AG636" s="24">
        <f>IFERROR(_xlfn.XLOOKUP(N636&amp;P636,'Historico Vendas'!G:G,'Historico Vendas'!F:F),0)</f>
        <v>0</v>
      </c>
      <c r="AH636" s="25">
        <f t="shared" si="298"/>
        <v>4</v>
      </c>
      <c r="AI636" s="24">
        <f t="shared" si="299"/>
        <v>4</v>
      </c>
      <c r="AJ636" s="11">
        <f t="shared" si="276"/>
        <v>0</v>
      </c>
      <c r="AK636" s="9" t="s">
        <v>102</v>
      </c>
      <c r="AL636" s="13">
        <f>IFERROR(INDEX('Balizador da Meta'!$D$3:$F$23,MATCH(Quantidade!$P636,'Balizador da Meta'!$C$3:$C$23,0),MATCH(Quantidade!AK636,'Balizador da Meta'!$D$2:$F$2,0)),"")</f>
        <v>0.15</v>
      </c>
      <c r="AM636" s="9"/>
    </row>
    <row r="637" spans="1:39" x14ac:dyDescent="0.3">
      <c r="A637" s="2" t="str">
        <f t="shared" si="272"/>
        <v>NÃO</v>
      </c>
      <c r="B637" s="2" t="str">
        <f>_xlfn.XLOOKUP($N637,'Base de Grupos'!$A:$A,'Base de Grupos'!$D:$D)</f>
        <v>1000065763</v>
      </c>
      <c r="C637" s="5" t="str">
        <f>_xlfn.XLOOKUP($N637,'Base de Grupos'!$A:$A,'Base de Grupos'!$E:$E)</f>
        <v>CANAL VENDA INTERNA</v>
      </c>
      <c r="D637" s="5" t="str">
        <f>_xlfn.XLOOKUP($N637,'Base de Grupos'!$A:$A,'Base de Grupos'!$F:$F)</f>
        <v>1000065763</v>
      </c>
      <c r="E637" s="2" t="str">
        <f>_xlfn.XLOOKUP($N637,'Base de Grupos'!$A:$A,'Base de Grupos'!$G:$G)</f>
        <v>CANAL VENDA INTERNA</v>
      </c>
      <c r="F637" s="2" t="str">
        <f>_xlfn.XLOOKUP($N637,'Base de Grupos'!$A:$A,'Base de Grupos'!$H:$H)</f>
        <v>1000153245</v>
      </c>
      <c r="G637" s="5" t="str">
        <f>_xlfn.XLOOKUP($N637,'Base de Grupos'!$A:$A,'Base de Grupos'!$I:$I)</f>
        <v>REGIONAL VENDA INTERNA - KEY ACCOUNT</v>
      </c>
      <c r="H637" s="5" t="str">
        <f>_xlfn.XLOOKUP($N637,'Base de Grupos'!$A:$A,'Base de Grupos'!$J:$J)</f>
        <v>1000153245</v>
      </c>
      <c r="I637" s="2" t="str">
        <f>_xlfn.XLOOKUP($N637,'Base de Grupos'!$A:$A,'Base de Grupos'!$K:$K)</f>
        <v>REGIONAL VENDA INTERNA - KEY ACCOUNT</v>
      </c>
      <c r="J637" s="2" t="str">
        <f>_xlfn.XLOOKUP($N637,'Base de Grupos'!$A:$A,'Base de Grupos'!$L:$L)</f>
        <v>1000153245</v>
      </c>
      <c r="K637" s="5" t="str">
        <f>_xlfn.XLOOKUP($N637,'Base de Grupos'!$A:$A,'Base de Grupos'!$M:$M)</f>
        <v>REGIONAL VENDA INTERNA - KEY ACCOUNT</v>
      </c>
      <c r="L637" s="5" t="str">
        <f t="shared" si="273"/>
        <v/>
      </c>
      <c r="M637" s="5" t="str">
        <f>_xlfn.XLOOKUP($N637,'Base de Grupos'!$A:$A,'Base de Grupos'!$C:$C)</f>
        <v>RS</v>
      </c>
      <c r="N637" s="3">
        <v>1439</v>
      </c>
      <c r="O637" s="4" t="s">
        <v>259</v>
      </c>
      <c r="P637" s="5" t="s">
        <v>83</v>
      </c>
      <c r="Q637" s="24">
        <v>0</v>
      </c>
      <c r="R637" s="24">
        <v>1</v>
      </c>
      <c r="S637" s="24">
        <v>1</v>
      </c>
      <c r="T637" s="24">
        <v>0</v>
      </c>
      <c r="U637" s="24">
        <v>0</v>
      </c>
      <c r="V637" s="24">
        <v>0</v>
      </c>
      <c r="W637" s="24">
        <v>0</v>
      </c>
      <c r="X637" s="24">
        <v>0</v>
      </c>
      <c r="Y637" s="24">
        <v>0</v>
      </c>
      <c r="Z637" s="24">
        <v>0</v>
      </c>
      <c r="AA637" s="24">
        <v>0</v>
      </c>
      <c r="AB637" s="24">
        <v>0</v>
      </c>
      <c r="AC637" s="30">
        <f t="shared" si="295"/>
        <v>0</v>
      </c>
      <c r="AD637" s="27">
        <f t="shared" si="297"/>
        <v>0</v>
      </c>
      <c r="AE637" s="25">
        <f>IFERROR(_xlfn.XLOOKUP(N637&amp;P637,'Historico Vendas'!G:G,'Historico Vendas'!E:E),0)</f>
        <v>0</v>
      </c>
      <c r="AF637" s="29" t="str">
        <f t="shared" si="275"/>
        <v/>
      </c>
      <c r="AG637" s="24">
        <f>IFERROR(_xlfn.XLOOKUP(N637&amp;P637,'Historico Vendas'!G:G,'Historico Vendas'!F:F),0)</f>
        <v>0</v>
      </c>
      <c r="AH637" s="25">
        <f t="shared" si="298"/>
        <v>2</v>
      </c>
      <c r="AI637" s="24">
        <f t="shared" si="299"/>
        <v>2</v>
      </c>
      <c r="AJ637" s="11">
        <f t="shared" si="276"/>
        <v>0</v>
      </c>
      <c r="AK637" s="9" t="s">
        <v>102</v>
      </c>
      <c r="AL637" s="13">
        <f>IFERROR(INDEX('Balizador da Meta'!$D$3:$F$23,MATCH(Quantidade!$P637,'Balizador da Meta'!$C$3:$C$23,0),MATCH(Quantidade!AK637,'Balizador da Meta'!$D$2:$F$2,0)),"")</f>
        <v>0</v>
      </c>
      <c r="AM637" s="9"/>
    </row>
    <row r="638" spans="1:39" x14ac:dyDescent="0.3">
      <c r="A638" s="2" t="str">
        <f t="shared" si="272"/>
        <v>NÃO</v>
      </c>
      <c r="B638" s="2" t="str">
        <f>_xlfn.XLOOKUP($N638,'Base de Grupos'!$A:$A,'Base de Grupos'!$D:$D)</f>
        <v>1000065763</v>
      </c>
      <c r="C638" s="5" t="str">
        <f>_xlfn.XLOOKUP($N638,'Base de Grupos'!$A:$A,'Base de Grupos'!$E:$E)</f>
        <v>CANAL VENDA INTERNA</v>
      </c>
      <c r="D638" s="5" t="str">
        <f>_xlfn.XLOOKUP($N638,'Base de Grupos'!$A:$A,'Base de Grupos'!$F:$F)</f>
        <v>1000065763</v>
      </c>
      <c r="E638" s="2" t="str">
        <f>_xlfn.XLOOKUP($N638,'Base de Grupos'!$A:$A,'Base de Grupos'!$G:$G)</f>
        <v>CANAL VENDA INTERNA</v>
      </c>
      <c r="F638" s="2" t="str">
        <f>_xlfn.XLOOKUP($N638,'Base de Grupos'!$A:$A,'Base de Grupos'!$H:$H)</f>
        <v>1000153245</v>
      </c>
      <c r="G638" s="5" t="str">
        <f>_xlfn.XLOOKUP($N638,'Base de Grupos'!$A:$A,'Base de Grupos'!$I:$I)</f>
        <v>REGIONAL VENDA INTERNA - KEY ACCOUNT</v>
      </c>
      <c r="H638" s="5" t="str">
        <f>_xlfn.XLOOKUP($N638,'Base de Grupos'!$A:$A,'Base de Grupos'!$J:$J)</f>
        <v>1000153245</v>
      </c>
      <c r="I638" s="2" t="str">
        <f>_xlfn.XLOOKUP($N638,'Base de Grupos'!$A:$A,'Base de Grupos'!$K:$K)</f>
        <v>REGIONAL VENDA INTERNA - KEY ACCOUNT</v>
      </c>
      <c r="J638" s="2" t="str">
        <f>_xlfn.XLOOKUP($N638,'Base de Grupos'!$A:$A,'Base de Grupos'!$L:$L)</f>
        <v>1000153245</v>
      </c>
      <c r="K638" s="5" t="str">
        <f>_xlfn.XLOOKUP($N638,'Base de Grupos'!$A:$A,'Base de Grupos'!$M:$M)</f>
        <v>REGIONAL VENDA INTERNA - KEY ACCOUNT</v>
      </c>
      <c r="L638" s="5" t="str">
        <f t="shared" si="273"/>
        <v/>
      </c>
      <c r="M638" s="5" t="str">
        <f>_xlfn.XLOOKUP($N638,'Base de Grupos'!$A:$A,'Base de Grupos'!$C:$C)</f>
        <v>RS</v>
      </c>
      <c r="N638" s="3">
        <v>1439</v>
      </c>
      <c r="O638" s="4" t="s">
        <v>259</v>
      </c>
      <c r="P638" s="5" t="s">
        <v>87</v>
      </c>
      <c r="Q638" s="24">
        <v>0</v>
      </c>
      <c r="R638" s="24">
        <v>4</v>
      </c>
      <c r="S638" s="24">
        <v>4</v>
      </c>
      <c r="T638" s="24">
        <v>0</v>
      </c>
      <c r="U638" s="24">
        <v>0</v>
      </c>
      <c r="V638" s="24">
        <v>0</v>
      </c>
      <c r="W638" s="24">
        <v>0</v>
      </c>
      <c r="X638" s="24">
        <v>0</v>
      </c>
      <c r="Y638" s="24">
        <v>0</v>
      </c>
      <c r="Z638" s="24">
        <v>0</v>
      </c>
      <c r="AA638" s="24">
        <v>0</v>
      </c>
      <c r="AB638" s="24">
        <v>0</v>
      </c>
      <c r="AC638" s="30">
        <f t="shared" si="295"/>
        <v>0</v>
      </c>
      <c r="AD638" s="27">
        <f t="shared" si="297"/>
        <v>0</v>
      </c>
      <c r="AE638" s="25">
        <f>IFERROR(_xlfn.XLOOKUP(N638&amp;P638,'Historico Vendas'!G:G,'Historico Vendas'!E:E),0)</f>
        <v>0</v>
      </c>
      <c r="AF638" s="29" t="str">
        <f t="shared" si="275"/>
        <v/>
      </c>
      <c r="AG638" s="24">
        <f>IFERROR(_xlfn.XLOOKUP(N638&amp;P638,'Historico Vendas'!G:G,'Historico Vendas'!F:F),0)</f>
        <v>0</v>
      </c>
      <c r="AH638" s="25">
        <f t="shared" si="298"/>
        <v>8</v>
      </c>
      <c r="AI638" s="24">
        <f t="shared" si="299"/>
        <v>8</v>
      </c>
      <c r="AJ638" s="11">
        <f t="shared" si="276"/>
        <v>0</v>
      </c>
      <c r="AK638" s="9" t="s">
        <v>102</v>
      </c>
      <c r="AL638" s="13">
        <f>IFERROR(INDEX('Balizador da Meta'!$D$3:$F$23,MATCH(Quantidade!$P638,'Balizador da Meta'!$C$3:$C$23,0),MATCH(Quantidade!AK638,'Balizador da Meta'!$D$2:$F$2,0)),"")</f>
        <v>0</v>
      </c>
      <c r="AM638" s="9"/>
    </row>
    <row r="639" spans="1:39" x14ac:dyDescent="0.3">
      <c r="A639" s="2" t="str">
        <f t="shared" si="272"/>
        <v>NÃO</v>
      </c>
      <c r="B639" s="2" t="str">
        <f>_xlfn.XLOOKUP($N639,'Base de Grupos'!$A:$A,'Base de Grupos'!$D:$D)</f>
        <v>1000065763</v>
      </c>
      <c r="C639" s="5" t="str">
        <f>_xlfn.XLOOKUP($N639,'Base de Grupos'!$A:$A,'Base de Grupos'!$E:$E)</f>
        <v>CANAL VENDA INTERNA</v>
      </c>
      <c r="D639" s="5" t="str">
        <f>_xlfn.XLOOKUP($N639,'Base de Grupos'!$A:$A,'Base de Grupos'!$F:$F)</f>
        <v>1000065763</v>
      </c>
      <c r="E639" s="2" t="str">
        <f>_xlfn.XLOOKUP($N639,'Base de Grupos'!$A:$A,'Base de Grupos'!$G:$G)</f>
        <v>CANAL VENDA INTERNA</v>
      </c>
      <c r="F639" s="2" t="str">
        <f>_xlfn.XLOOKUP($N639,'Base de Grupos'!$A:$A,'Base de Grupos'!$H:$H)</f>
        <v>1000153245</v>
      </c>
      <c r="G639" s="5" t="str">
        <f>_xlfn.XLOOKUP($N639,'Base de Grupos'!$A:$A,'Base de Grupos'!$I:$I)</f>
        <v>REGIONAL VENDA INTERNA - KEY ACCOUNT</v>
      </c>
      <c r="H639" s="5" t="str">
        <f>_xlfn.XLOOKUP($N639,'Base de Grupos'!$A:$A,'Base de Grupos'!$J:$J)</f>
        <v>1000153245</v>
      </c>
      <c r="I639" s="2" t="str">
        <f>_xlfn.XLOOKUP($N639,'Base de Grupos'!$A:$A,'Base de Grupos'!$K:$K)</f>
        <v>REGIONAL VENDA INTERNA - KEY ACCOUNT</v>
      </c>
      <c r="J639" s="2" t="str">
        <f>_xlfn.XLOOKUP($N639,'Base de Grupos'!$A:$A,'Base de Grupos'!$L:$L)</f>
        <v>1000153245</v>
      </c>
      <c r="K639" s="5" t="str">
        <f>_xlfn.XLOOKUP($N639,'Base de Grupos'!$A:$A,'Base de Grupos'!$M:$M)</f>
        <v>REGIONAL VENDA INTERNA - KEY ACCOUNT</v>
      </c>
      <c r="L639" s="5" t="str">
        <f t="shared" si="273"/>
        <v/>
      </c>
      <c r="M639" s="5" t="str">
        <f>_xlfn.XLOOKUP($N639,'Base de Grupos'!$A:$A,'Base de Grupos'!$C:$C)</f>
        <v>RS</v>
      </c>
      <c r="N639" s="3">
        <v>1439</v>
      </c>
      <c r="O639" s="4" t="s">
        <v>259</v>
      </c>
      <c r="P639" s="5" t="s">
        <v>85</v>
      </c>
      <c r="Q639" s="24">
        <v>0</v>
      </c>
      <c r="R639" s="24">
        <v>4.4000000000000004</v>
      </c>
      <c r="S639" s="24">
        <v>5</v>
      </c>
      <c r="T639" s="24">
        <v>0</v>
      </c>
      <c r="U639" s="24">
        <v>0</v>
      </c>
      <c r="V639" s="24">
        <v>0</v>
      </c>
      <c r="W639" s="24">
        <v>0</v>
      </c>
      <c r="X639" s="24">
        <v>0</v>
      </c>
      <c r="Y639" s="24">
        <v>0</v>
      </c>
      <c r="Z639" s="24">
        <v>0</v>
      </c>
      <c r="AA639" s="24">
        <v>0</v>
      </c>
      <c r="AB639" s="24">
        <v>0</v>
      </c>
      <c r="AC639" s="30">
        <f t="shared" si="295"/>
        <v>0</v>
      </c>
      <c r="AD639" s="27">
        <f t="shared" si="297"/>
        <v>0</v>
      </c>
      <c r="AE639" s="25">
        <f>IFERROR(_xlfn.XLOOKUP(N639&amp;P639,'Historico Vendas'!G:G,'Historico Vendas'!E:E),0)</f>
        <v>0</v>
      </c>
      <c r="AF639" s="29" t="str">
        <f t="shared" si="275"/>
        <v/>
      </c>
      <c r="AG639" s="24">
        <f>IFERROR(_xlfn.XLOOKUP(N639&amp;P639,'Historico Vendas'!G:G,'Historico Vendas'!F:F),0)</f>
        <v>0</v>
      </c>
      <c r="AH639" s="25">
        <f t="shared" si="298"/>
        <v>9.4</v>
      </c>
      <c r="AI639" s="24">
        <f t="shared" si="299"/>
        <v>9.4</v>
      </c>
      <c r="AJ639" s="11">
        <f t="shared" si="276"/>
        <v>0</v>
      </c>
      <c r="AK639" s="9" t="s">
        <v>102</v>
      </c>
      <c r="AL639" s="13">
        <f>IFERROR(INDEX('Balizador da Meta'!$D$3:$F$23,MATCH(Quantidade!$P639,'Balizador da Meta'!$C$3:$C$23,0),MATCH(Quantidade!AK639,'Balizador da Meta'!$D$2:$F$2,0)),"")</f>
        <v>0</v>
      </c>
      <c r="AM639" s="9"/>
    </row>
    <row r="640" spans="1:39" x14ac:dyDescent="0.3">
      <c r="A640" s="2" t="str">
        <f t="shared" si="272"/>
        <v>NÃO</v>
      </c>
      <c r="B640" s="2" t="str">
        <f>_xlfn.XLOOKUP($N640,'Base de Grupos'!$A:$A,'Base de Grupos'!$D:$D)</f>
        <v>1000065763</v>
      </c>
      <c r="C640" s="5" t="str">
        <f>_xlfn.XLOOKUP($N640,'Base de Grupos'!$A:$A,'Base de Grupos'!$E:$E)</f>
        <v>CANAL VENDA INTERNA</v>
      </c>
      <c r="D640" s="5" t="str">
        <f>_xlfn.XLOOKUP($N640,'Base de Grupos'!$A:$A,'Base de Grupos'!$F:$F)</f>
        <v>1000065763</v>
      </c>
      <c r="E640" s="2" t="str">
        <f>_xlfn.XLOOKUP($N640,'Base de Grupos'!$A:$A,'Base de Grupos'!$G:$G)</f>
        <v>CANAL VENDA INTERNA</v>
      </c>
      <c r="F640" s="2" t="str">
        <f>_xlfn.XLOOKUP($N640,'Base de Grupos'!$A:$A,'Base de Grupos'!$H:$H)</f>
        <v>1000153245</v>
      </c>
      <c r="G640" s="5" t="str">
        <f>_xlfn.XLOOKUP($N640,'Base de Grupos'!$A:$A,'Base de Grupos'!$I:$I)</f>
        <v>REGIONAL VENDA INTERNA - KEY ACCOUNT</v>
      </c>
      <c r="H640" s="5" t="str">
        <f>_xlfn.XLOOKUP($N640,'Base de Grupos'!$A:$A,'Base de Grupos'!$J:$J)</f>
        <v>1000153245</v>
      </c>
      <c r="I640" s="2" t="str">
        <f>_xlfn.XLOOKUP($N640,'Base de Grupos'!$A:$A,'Base de Grupos'!$K:$K)</f>
        <v>REGIONAL VENDA INTERNA - KEY ACCOUNT</v>
      </c>
      <c r="J640" s="2" t="str">
        <f>_xlfn.XLOOKUP($N640,'Base de Grupos'!$A:$A,'Base de Grupos'!$L:$L)</f>
        <v>1000153245</v>
      </c>
      <c r="K640" s="5" t="str">
        <f>_xlfn.XLOOKUP($N640,'Base de Grupos'!$A:$A,'Base de Grupos'!$M:$M)</f>
        <v>REGIONAL VENDA INTERNA - KEY ACCOUNT</v>
      </c>
      <c r="L640" s="5" t="str">
        <f t="shared" si="273"/>
        <v/>
      </c>
      <c r="M640" s="5" t="str">
        <f>_xlfn.XLOOKUP($N640,'Base de Grupos'!$A:$A,'Base de Grupos'!$C:$C)</f>
        <v>RS</v>
      </c>
      <c r="N640" s="3">
        <v>1439</v>
      </c>
      <c r="O640" s="4" t="s">
        <v>259</v>
      </c>
      <c r="P640" s="5" t="s">
        <v>92</v>
      </c>
      <c r="Q640" s="24">
        <v>0</v>
      </c>
      <c r="R640" s="24">
        <v>4</v>
      </c>
      <c r="S640" s="24">
        <v>4</v>
      </c>
      <c r="T640" s="24">
        <v>0</v>
      </c>
      <c r="U640" s="24">
        <v>0</v>
      </c>
      <c r="V640" s="24">
        <v>0</v>
      </c>
      <c r="W640" s="24">
        <v>0</v>
      </c>
      <c r="X640" s="24">
        <v>0</v>
      </c>
      <c r="Y640" s="24">
        <v>0</v>
      </c>
      <c r="Z640" s="24">
        <v>0</v>
      </c>
      <c r="AA640" s="24">
        <v>0</v>
      </c>
      <c r="AB640" s="24">
        <v>0</v>
      </c>
      <c r="AC640" s="30">
        <f t="shared" si="295"/>
        <v>0</v>
      </c>
      <c r="AD640" s="27">
        <f t="shared" si="297"/>
        <v>0</v>
      </c>
      <c r="AE640" s="25">
        <f>IFERROR(_xlfn.XLOOKUP(N640&amp;P640,'Historico Vendas'!G:G,'Historico Vendas'!E:E),0)</f>
        <v>0</v>
      </c>
      <c r="AF640" s="29" t="str">
        <f t="shared" si="275"/>
        <v/>
      </c>
      <c r="AG640" s="24">
        <f>IFERROR(_xlfn.XLOOKUP(N640&amp;P640,'Historico Vendas'!G:G,'Historico Vendas'!F:F),0)</f>
        <v>0</v>
      </c>
      <c r="AH640" s="25">
        <f t="shared" si="298"/>
        <v>8</v>
      </c>
      <c r="AI640" s="24">
        <f t="shared" si="299"/>
        <v>8</v>
      </c>
      <c r="AJ640" s="11">
        <f t="shared" si="276"/>
        <v>0</v>
      </c>
      <c r="AK640" s="9" t="s">
        <v>102</v>
      </c>
      <c r="AL640" s="13">
        <f>IFERROR(INDEX('Balizador da Meta'!$D$3:$F$23,MATCH(Quantidade!$P640,'Balizador da Meta'!$C$3:$C$23,0),MATCH(Quantidade!AK640,'Balizador da Meta'!$D$2:$F$2,0)),"")</f>
        <v>0</v>
      </c>
      <c r="AM640" s="9"/>
    </row>
    <row r="641" spans="1:39" x14ac:dyDescent="0.3">
      <c r="A641" s="2" t="str">
        <f t="shared" si="272"/>
        <v>NÃO</v>
      </c>
      <c r="B641" s="2" t="str">
        <f>_xlfn.XLOOKUP($N641,'Base de Grupos'!$A:$A,'Base de Grupos'!$D:$D)</f>
        <v>1000065763</v>
      </c>
      <c r="C641" s="5" t="str">
        <f>_xlfn.XLOOKUP($N641,'Base de Grupos'!$A:$A,'Base de Grupos'!$E:$E)</f>
        <v>CANAL VENDA INTERNA</v>
      </c>
      <c r="D641" s="5" t="str">
        <f>_xlfn.XLOOKUP($N641,'Base de Grupos'!$A:$A,'Base de Grupos'!$F:$F)</f>
        <v>1000065763</v>
      </c>
      <c r="E641" s="2" t="str">
        <f>_xlfn.XLOOKUP($N641,'Base de Grupos'!$A:$A,'Base de Grupos'!$G:$G)</f>
        <v>CANAL VENDA INTERNA</v>
      </c>
      <c r="F641" s="2" t="str">
        <f>_xlfn.XLOOKUP($N641,'Base de Grupos'!$A:$A,'Base de Grupos'!$H:$H)</f>
        <v>1000153245</v>
      </c>
      <c r="G641" s="5" t="str">
        <f>_xlfn.XLOOKUP($N641,'Base de Grupos'!$A:$A,'Base de Grupos'!$I:$I)</f>
        <v>REGIONAL VENDA INTERNA - KEY ACCOUNT</v>
      </c>
      <c r="H641" s="5" t="str">
        <f>_xlfn.XLOOKUP($N641,'Base de Grupos'!$A:$A,'Base de Grupos'!$J:$J)</f>
        <v>1000153245</v>
      </c>
      <c r="I641" s="2" t="str">
        <f>_xlfn.XLOOKUP($N641,'Base de Grupos'!$A:$A,'Base de Grupos'!$K:$K)</f>
        <v>REGIONAL VENDA INTERNA - KEY ACCOUNT</v>
      </c>
      <c r="J641" s="2" t="str">
        <f>_xlfn.XLOOKUP($N641,'Base de Grupos'!$A:$A,'Base de Grupos'!$L:$L)</f>
        <v>1000153245</v>
      </c>
      <c r="K641" s="5" t="str">
        <f>_xlfn.XLOOKUP($N641,'Base de Grupos'!$A:$A,'Base de Grupos'!$M:$M)</f>
        <v>REGIONAL VENDA INTERNA - KEY ACCOUNT</v>
      </c>
      <c r="L641" s="5" t="str">
        <f t="shared" si="273"/>
        <v/>
      </c>
      <c r="M641" s="5" t="str">
        <f>_xlfn.XLOOKUP($N641,'Base de Grupos'!$A:$A,'Base de Grupos'!$C:$C)</f>
        <v>RS</v>
      </c>
      <c r="N641" s="3">
        <v>1439</v>
      </c>
      <c r="O641" s="4" t="s">
        <v>259</v>
      </c>
      <c r="P641" s="5" t="s">
        <v>86</v>
      </c>
      <c r="Q641" s="24">
        <f>SUM(Q642:Q662)</f>
        <v>0</v>
      </c>
      <c r="R641" s="24">
        <f t="shared" ref="R641" si="300">SUM(R642:R662)</f>
        <v>63.4</v>
      </c>
      <c r="S641" s="24">
        <f t="shared" ref="S641" si="301">SUM(S642:S662)</f>
        <v>74</v>
      </c>
      <c r="T641" s="24">
        <f t="shared" ref="T641:AC641" si="302">SUM(T642:T662)</f>
        <v>0</v>
      </c>
      <c r="U641" s="24">
        <f t="shared" si="302"/>
        <v>0</v>
      </c>
      <c r="V641" s="24">
        <f t="shared" si="302"/>
        <v>0</v>
      </c>
      <c r="W641" s="24">
        <f t="shared" si="302"/>
        <v>0</v>
      </c>
      <c r="X641" s="24">
        <f t="shared" si="302"/>
        <v>0</v>
      </c>
      <c r="Y641" s="24">
        <f t="shared" si="302"/>
        <v>0</v>
      </c>
      <c r="Z641" s="24">
        <f t="shared" si="302"/>
        <v>0</v>
      </c>
      <c r="AA641" s="24">
        <f t="shared" si="302"/>
        <v>0</v>
      </c>
      <c r="AB641" s="24">
        <f t="shared" si="302"/>
        <v>0</v>
      </c>
      <c r="AC641" s="24">
        <f t="shared" si="302"/>
        <v>0</v>
      </c>
      <c r="AD641" s="27">
        <f t="shared" si="297"/>
        <v>0</v>
      </c>
      <c r="AE641" s="25">
        <f>IFERROR(_xlfn.XLOOKUP(N641&amp;P641,'Historico Vendas'!G:G,'Historico Vendas'!E:E),0)</f>
        <v>0</v>
      </c>
      <c r="AF641" s="29" t="str">
        <f t="shared" si="275"/>
        <v/>
      </c>
      <c r="AG641" s="24">
        <f>IFERROR(_xlfn.XLOOKUP(N641&amp;P641,'Historico Vendas'!G:G,'Historico Vendas'!F:F),0)</f>
        <v>0</v>
      </c>
      <c r="AH641" s="25">
        <f t="shared" si="298"/>
        <v>137.4</v>
      </c>
      <c r="AI641" s="24">
        <f t="shared" si="299"/>
        <v>137.4</v>
      </c>
      <c r="AJ641" s="11">
        <f t="shared" si="276"/>
        <v>0</v>
      </c>
      <c r="AK641" s="9" t="s">
        <v>102</v>
      </c>
      <c r="AL641" s="13">
        <f>IFERROR(INDEX('Balizador da Meta'!$D$3:$F$23,MATCH(Quantidade!$P641,'Balizador da Meta'!$C$3:$C$23,0),MATCH(Quantidade!AK641,'Balizador da Meta'!$D$2:$F$2,0)),"")</f>
        <v>0.15</v>
      </c>
      <c r="AM641" s="9"/>
    </row>
    <row r="642" spans="1:39" x14ac:dyDescent="0.3">
      <c r="A642" s="2" t="str">
        <f t="shared" si="272"/>
        <v>NÃO</v>
      </c>
      <c r="B642" s="2" t="str">
        <f>_xlfn.XLOOKUP($N642,'Base de Grupos'!$A:$A,'Base de Grupos'!$D:$D)</f>
        <v>1000065763</v>
      </c>
      <c r="C642" s="5" t="str">
        <f>_xlfn.XLOOKUP($N642,'Base de Grupos'!$A:$A,'Base de Grupos'!$E:$E)</f>
        <v>CANAL VENDA INTERNA</v>
      </c>
      <c r="D642" s="5" t="str">
        <f>_xlfn.XLOOKUP($N642,'Base de Grupos'!$A:$A,'Base de Grupos'!$F:$F)</f>
        <v>1000065763</v>
      </c>
      <c r="E642" s="2" t="str">
        <f>_xlfn.XLOOKUP($N642,'Base de Grupos'!$A:$A,'Base de Grupos'!$G:$G)</f>
        <v>CANAL VENDA INTERNA</v>
      </c>
      <c r="F642" s="2" t="str">
        <f>_xlfn.XLOOKUP($N642,'Base de Grupos'!$A:$A,'Base de Grupos'!$H:$H)</f>
        <v>1000153245</v>
      </c>
      <c r="G642" s="5" t="str">
        <f>_xlfn.XLOOKUP($N642,'Base de Grupos'!$A:$A,'Base de Grupos'!$I:$I)</f>
        <v>REGIONAL VENDA INTERNA - KEY ACCOUNT</v>
      </c>
      <c r="H642" s="5" t="str">
        <f>_xlfn.XLOOKUP($N642,'Base de Grupos'!$A:$A,'Base de Grupos'!$J:$J)</f>
        <v>1000153245</v>
      </c>
      <c r="I642" s="2" t="str">
        <f>_xlfn.XLOOKUP($N642,'Base de Grupos'!$A:$A,'Base de Grupos'!$K:$K)</f>
        <v>REGIONAL VENDA INTERNA - KEY ACCOUNT</v>
      </c>
      <c r="J642" s="2" t="str">
        <f>_xlfn.XLOOKUP($N642,'Base de Grupos'!$A:$A,'Base de Grupos'!$L:$L)</f>
        <v>1000153245</v>
      </c>
      <c r="K642" s="5" t="str">
        <f>_xlfn.XLOOKUP($N642,'Base de Grupos'!$A:$A,'Base de Grupos'!$M:$M)</f>
        <v>REGIONAL VENDA INTERNA - KEY ACCOUNT</v>
      </c>
      <c r="L642" s="5" t="str">
        <f t="shared" si="273"/>
        <v/>
      </c>
      <c r="M642" s="5" t="str">
        <f>_xlfn.XLOOKUP($N642,'Base de Grupos'!$A:$A,'Base de Grupos'!$C:$C)</f>
        <v>RS</v>
      </c>
      <c r="N642" s="3">
        <v>1439</v>
      </c>
      <c r="O642" s="4" t="s">
        <v>259</v>
      </c>
      <c r="P642" s="5" t="s">
        <v>108</v>
      </c>
      <c r="Q642" s="24">
        <v>0</v>
      </c>
      <c r="R642" s="24">
        <v>8</v>
      </c>
      <c r="S642" s="24">
        <v>10</v>
      </c>
      <c r="T642" s="24">
        <v>0</v>
      </c>
      <c r="U642" s="24">
        <v>0</v>
      </c>
      <c r="V642" s="24">
        <v>0</v>
      </c>
      <c r="W642" s="24">
        <v>0</v>
      </c>
      <c r="X642" s="24">
        <v>0</v>
      </c>
      <c r="Y642" s="24">
        <v>0</v>
      </c>
      <c r="Z642" s="24">
        <v>0</v>
      </c>
      <c r="AA642" s="24">
        <v>0</v>
      </c>
      <c r="AB642" s="24">
        <v>0</v>
      </c>
      <c r="AC642" s="30">
        <f t="shared" ref="AC642:AC662" si="303">SUM(T642:AB642)</f>
        <v>0</v>
      </c>
      <c r="AD642" s="27">
        <f t="shared" si="297"/>
        <v>0</v>
      </c>
      <c r="AE642" s="25">
        <f>IFERROR(_xlfn.XLOOKUP(N642&amp;P642,'Historico Vendas'!G:G,'Historico Vendas'!E:E),0)</f>
        <v>0</v>
      </c>
      <c r="AF642" s="29" t="str">
        <f t="shared" si="275"/>
        <v/>
      </c>
      <c r="AG642" s="24">
        <f>IFERROR(_xlfn.XLOOKUP(N642&amp;P642,'Historico Vendas'!G:G,'Historico Vendas'!F:F),0)</f>
        <v>0</v>
      </c>
      <c r="AH642" s="25">
        <f t="shared" si="298"/>
        <v>18</v>
      </c>
      <c r="AI642" s="24">
        <f t="shared" si="299"/>
        <v>18</v>
      </c>
      <c r="AJ642" s="11">
        <f t="shared" si="276"/>
        <v>0</v>
      </c>
      <c r="AK642" s="9" t="s">
        <v>102</v>
      </c>
      <c r="AL642" s="13">
        <f>IFERROR(INDEX('Balizador da Meta'!$D$3:$F$23,MATCH(Quantidade!$P642,'Balizador da Meta'!$C$3:$C$23,0),MATCH(Quantidade!AK642,'Balizador da Meta'!$D$2:$F$2,0)),"")</f>
        <v>0</v>
      </c>
      <c r="AM642" s="9"/>
    </row>
    <row r="643" spans="1:39" x14ac:dyDescent="0.3">
      <c r="A643" s="2" t="str">
        <f t="shared" ref="A643:A706" si="304">IF(L643=1,"SIM","NÃO")</f>
        <v>NÃO</v>
      </c>
      <c r="B643" s="2" t="str">
        <f>_xlfn.XLOOKUP($N643,'Base de Grupos'!$A:$A,'Base de Grupos'!$D:$D)</f>
        <v>1000065763</v>
      </c>
      <c r="C643" s="5" t="str">
        <f>_xlfn.XLOOKUP($N643,'Base de Grupos'!$A:$A,'Base de Grupos'!$E:$E)</f>
        <v>CANAL VENDA INTERNA</v>
      </c>
      <c r="D643" s="5" t="str">
        <f>_xlfn.XLOOKUP($N643,'Base de Grupos'!$A:$A,'Base de Grupos'!$F:$F)</f>
        <v>1000065763</v>
      </c>
      <c r="E643" s="2" t="str">
        <f>_xlfn.XLOOKUP($N643,'Base de Grupos'!$A:$A,'Base de Grupos'!$G:$G)</f>
        <v>CANAL VENDA INTERNA</v>
      </c>
      <c r="F643" s="2" t="str">
        <f>_xlfn.XLOOKUP($N643,'Base de Grupos'!$A:$A,'Base de Grupos'!$H:$H)</f>
        <v>1000153245</v>
      </c>
      <c r="G643" s="5" t="str">
        <f>_xlfn.XLOOKUP($N643,'Base de Grupos'!$A:$A,'Base de Grupos'!$I:$I)</f>
        <v>REGIONAL VENDA INTERNA - KEY ACCOUNT</v>
      </c>
      <c r="H643" s="5" t="str">
        <f>_xlfn.XLOOKUP($N643,'Base de Grupos'!$A:$A,'Base de Grupos'!$J:$J)</f>
        <v>1000153245</v>
      </c>
      <c r="I643" s="2" t="str">
        <f>_xlfn.XLOOKUP($N643,'Base de Grupos'!$A:$A,'Base de Grupos'!$K:$K)</f>
        <v>REGIONAL VENDA INTERNA - KEY ACCOUNT</v>
      </c>
      <c r="J643" s="2" t="str">
        <f>_xlfn.XLOOKUP($N643,'Base de Grupos'!$A:$A,'Base de Grupos'!$L:$L)</f>
        <v>1000153245</v>
      </c>
      <c r="K643" s="5" t="str">
        <f>_xlfn.XLOOKUP($N643,'Base de Grupos'!$A:$A,'Base de Grupos'!$M:$M)</f>
        <v>REGIONAL VENDA INTERNA - KEY ACCOUNT</v>
      </c>
      <c r="L643" s="5" t="str">
        <f t="shared" ref="L643:L706" si="305">IF(N643&lt;&gt;N642,1,"")</f>
        <v/>
      </c>
      <c r="M643" s="5" t="str">
        <f>_xlfn.XLOOKUP($N643,'Base de Grupos'!$A:$A,'Base de Grupos'!$C:$C)</f>
        <v>RS</v>
      </c>
      <c r="N643" s="3">
        <v>1439</v>
      </c>
      <c r="O643" s="4" t="s">
        <v>259</v>
      </c>
      <c r="P643" s="5" t="s">
        <v>89</v>
      </c>
      <c r="Q643" s="24">
        <v>0</v>
      </c>
      <c r="R643" s="24">
        <v>12</v>
      </c>
      <c r="S643" s="24">
        <v>14</v>
      </c>
      <c r="T643" s="24">
        <v>0</v>
      </c>
      <c r="U643" s="24">
        <v>0</v>
      </c>
      <c r="V643" s="24">
        <v>0</v>
      </c>
      <c r="W643" s="24">
        <v>0</v>
      </c>
      <c r="X643" s="24">
        <v>0</v>
      </c>
      <c r="Y643" s="24">
        <v>0</v>
      </c>
      <c r="Z643" s="24">
        <v>0</v>
      </c>
      <c r="AA643" s="24">
        <v>0</v>
      </c>
      <c r="AB643" s="24">
        <v>0</v>
      </c>
      <c r="AC643" s="30">
        <f t="shared" si="303"/>
        <v>0</v>
      </c>
      <c r="AD643" s="27">
        <f t="shared" si="297"/>
        <v>0</v>
      </c>
      <c r="AE643" s="25">
        <f>IFERROR(_xlfn.XLOOKUP(N643&amp;P643,'Historico Vendas'!G:G,'Historico Vendas'!E:E),0)</f>
        <v>0</v>
      </c>
      <c r="AF643" s="29" t="str">
        <f t="shared" ref="AF643:AF650" si="306">IFERROR((AC643-AE643)/AE643,"")</f>
        <v/>
      </c>
      <c r="AG643" s="24">
        <f>IFERROR(_xlfn.XLOOKUP(N643&amp;P643,'Historico Vendas'!G:G,'Historico Vendas'!F:F),0)</f>
        <v>0</v>
      </c>
      <c r="AH643" s="25">
        <f t="shared" si="298"/>
        <v>26</v>
      </c>
      <c r="AI643" s="24">
        <f t="shared" si="299"/>
        <v>26</v>
      </c>
      <c r="AJ643" s="11">
        <f t="shared" ref="AJ643:AJ650" si="307">IFERROR(AG643/AH643,"")</f>
        <v>0</v>
      </c>
      <c r="AK643" s="9" t="s">
        <v>102</v>
      </c>
      <c r="AL643" s="13">
        <f>IFERROR(INDEX('Balizador da Meta'!$D$3:$F$23,MATCH(Quantidade!$P643,'Balizador da Meta'!$C$3:$C$23,0),MATCH(Quantidade!AK643,'Balizador da Meta'!$D$2:$F$2,0)),"")</f>
        <v>0.25</v>
      </c>
      <c r="AM643" s="9"/>
    </row>
    <row r="644" spans="1:39" x14ac:dyDescent="0.3">
      <c r="A644" s="2" t="str">
        <f t="shared" si="304"/>
        <v>NÃO</v>
      </c>
      <c r="B644" s="2" t="str">
        <f>_xlfn.XLOOKUP($N644,'Base de Grupos'!$A:$A,'Base de Grupos'!$D:$D)</f>
        <v>1000065763</v>
      </c>
      <c r="C644" s="5" t="str">
        <f>_xlfn.XLOOKUP($N644,'Base de Grupos'!$A:$A,'Base de Grupos'!$E:$E)</f>
        <v>CANAL VENDA INTERNA</v>
      </c>
      <c r="D644" s="5" t="str">
        <f>_xlfn.XLOOKUP($N644,'Base de Grupos'!$A:$A,'Base de Grupos'!$F:$F)</f>
        <v>1000065763</v>
      </c>
      <c r="E644" s="2" t="str">
        <f>_xlfn.XLOOKUP($N644,'Base de Grupos'!$A:$A,'Base de Grupos'!$G:$G)</f>
        <v>CANAL VENDA INTERNA</v>
      </c>
      <c r="F644" s="2" t="str">
        <f>_xlfn.XLOOKUP($N644,'Base de Grupos'!$A:$A,'Base de Grupos'!$H:$H)</f>
        <v>1000153245</v>
      </c>
      <c r="G644" s="5" t="str">
        <f>_xlfn.XLOOKUP($N644,'Base de Grupos'!$A:$A,'Base de Grupos'!$I:$I)</f>
        <v>REGIONAL VENDA INTERNA - KEY ACCOUNT</v>
      </c>
      <c r="H644" s="5" t="str">
        <f>_xlfn.XLOOKUP($N644,'Base de Grupos'!$A:$A,'Base de Grupos'!$J:$J)</f>
        <v>1000153245</v>
      </c>
      <c r="I644" s="2" t="str">
        <f>_xlfn.XLOOKUP($N644,'Base de Grupos'!$A:$A,'Base de Grupos'!$K:$K)</f>
        <v>REGIONAL VENDA INTERNA - KEY ACCOUNT</v>
      </c>
      <c r="J644" s="2" t="str">
        <f>_xlfn.XLOOKUP($N644,'Base de Grupos'!$A:$A,'Base de Grupos'!$L:$L)</f>
        <v>1000153245</v>
      </c>
      <c r="K644" s="5" t="str">
        <f>_xlfn.XLOOKUP($N644,'Base de Grupos'!$A:$A,'Base de Grupos'!$M:$M)</f>
        <v>REGIONAL VENDA INTERNA - KEY ACCOUNT</v>
      </c>
      <c r="L644" s="5" t="str">
        <f t="shared" si="305"/>
        <v/>
      </c>
      <c r="M644" s="5" t="str">
        <f>_xlfn.XLOOKUP($N644,'Base de Grupos'!$A:$A,'Base de Grupos'!$C:$C)</f>
        <v>RS</v>
      </c>
      <c r="N644" s="3">
        <v>1439</v>
      </c>
      <c r="O644" s="4" t="s">
        <v>259</v>
      </c>
      <c r="P644" s="5" t="s">
        <v>88</v>
      </c>
      <c r="Q644" s="24">
        <v>0</v>
      </c>
      <c r="R644" s="24">
        <v>4</v>
      </c>
      <c r="S644" s="24">
        <v>5</v>
      </c>
      <c r="T644" s="24">
        <v>0</v>
      </c>
      <c r="U644" s="24">
        <v>0</v>
      </c>
      <c r="V644" s="24">
        <v>0</v>
      </c>
      <c r="W644" s="24">
        <v>0</v>
      </c>
      <c r="X644" s="24">
        <v>0</v>
      </c>
      <c r="Y644" s="24">
        <v>0</v>
      </c>
      <c r="Z644" s="24">
        <v>0</v>
      </c>
      <c r="AA644" s="24">
        <v>0</v>
      </c>
      <c r="AB644" s="24">
        <v>0</v>
      </c>
      <c r="AC644" s="30">
        <f t="shared" si="303"/>
        <v>0</v>
      </c>
      <c r="AD644" s="27">
        <f t="shared" si="297"/>
        <v>0</v>
      </c>
      <c r="AE644" s="25">
        <f>IFERROR(_xlfn.XLOOKUP(N644&amp;P644,'Historico Vendas'!G:G,'Historico Vendas'!E:E),0)</f>
        <v>0</v>
      </c>
      <c r="AF644" s="29" t="str">
        <f t="shared" si="306"/>
        <v/>
      </c>
      <c r="AG644" s="24">
        <f>IFERROR(_xlfn.XLOOKUP(N644&amp;P644,'Historico Vendas'!G:G,'Historico Vendas'!F:F),0)</f>
        <v>0</v>
      </c>
      <c r="AH644" s="25">
        <f t="shared" si="298"/>
        <v>9</v>
      </c>
      <c r="AI644" s="24">
        <f t="shared" si="299"/>
        <v>9</v>
      </c>
      <c r="AJ644" s="11">
        <f t="shared" si="307"/>
        <v>0</v>
      </c>
      <c r="AK644" s="9" t="s">
        <v>102</v>
      </c>
      <c r="AL644" s="13">
        <f>IFERROR(INDEX('Balizador da Meta'!$D$3:$F$23,MATCH(Quantidade!$P644,'Balizador da Meta'!$C$3:$C$23,0),MATCH(Quantidade!AK644,'Balizador da Meta'!$D$2:$F$2,0)),"")</f>
        <v>0</v>
      </c>
      <c r="AM644" s="9"/>
    </row>
    <row r="645" spans="1:39" x14ac:dyDescent="0.3">
      <c r="A645" s="2" t="str">
        <f t="shared" si="304"/>
        <v>NÃO</v>
      </c>
      <c r="B645" s="2" t="str">
        <f>_xlfn.XLOOKUP($N645,'Base de Grupos'!$A:$A,'Base de Grupos'!$D:$D)</f>
        <v>1000065763</v>
      </c>
      <c r="C645" s="5" t="str">
        <f>_xlfn.XLOOKUP($N645,'Base de Grupos'!$A:$A,'Base de Grupos'!$E:$E)</f>
        <v>CANAL VENDA INTERNA</v>
      </c>
      <c r="D645" s="5" t="str">
        <f>_xlfn.XLOOKUP($N645,'Base de Grupos'!$A:$A,'Base de Grupos'!$F:$F)</f>
        <v>1000065763</v>
      </c>
      <c r="E645" s="2" t="str">
        <f>_xlfn.XLOOKUP($N645,'Base de Grupos'!$A:$A,'Base de Grupos'!$G:$G)</f>
        <v>CANAL VENDA INTERNA</v>
      </c>
      <c r="F645" s="2" t="str">
        <f>_xlfn.XLOOKUP($N645,'Base de Grupos'!$A:$A,'Base de Grupos'!$H:$H)</f>
        <v>1000153245</v>
      </c>
      <c r="G645" s="5" t="str">
        <f>_xlfn.XLOOKUP($N645,'Base de Grupos'!$A:$A,'Base de Grupos'!$I:$I)</f>
        <v>REGIONAL VENDA INTERNA - KEY ACCOUNT</v>
      </c>
      <c r="H645" s="5" t="str">
        <f>_xlfn.XLOOKUP($N645,'Base de Grupos'!$A:$A,'Base de Grupos'!$J:$J)</f>
        <v>1000153245</v>
      </c>
      <c r="I645" s="2" t="str">
        <f>_xlfn.XLOOKUP($N645,'Base de Grupos'!$A:$A,'Base de Grupos'!$K:$K)</f>
        <v>REGIONAL VENDA INTERNA - KEY ACCOUNT</v>
      </c>
      <c r="J645" s="2" t="str">
        <f>_xlfn.XLOOKUP($N645,'Base de Grupos'!$A:$A,'Base de Grupos'!$L:$L)</f>
        <v>1000153245</v>
      </c>
      <c r="K645" s="5" t="str">
        <f>_xlfn.XLOOKUP($N645,'Base de Grupos'!$A:$A,'Base de Grupos'!$M:$M)</f>
        <v>REGIONAL VENDA INTERNA - KEY ACCOUNT</v>
      </c>
      <c r="L645" s="5" t="str">
        <f t="shared" si="305"/>
        <v/>
      </c>
      <c r="M645" s="5" t="str">
        <f>_xlfn.XLOOKUP($N645,'Base de Grupos'!$A:$A,'Base de Grupos'!$C:$C)</f>
        <v>RS</v>
      </c>
      <c r="N645" s="3">
        <v>1439</v>
      </c>
      <c r="O645" s="4" t="s">
        <v>259</v>
      </c>
      <c r="P645" s="5" t="s">
        <v>90</v>
      </c>
      <c r="Q645" s="24">
        <v>0</v>
      </c>
      <c r="R645" s="24">
        <v>4</v>
      </c>
      <c r="S645" s="24">
        <v>4</v>
      </c>
      <c r="T645" s="24">
        <v>0</v>
      </c>
      <c r="U645" s="24">
        <v>0</v>
      </c>
      <c r="V645" s="24">
        <v>0</v>
      </c>
      <c r="W645" s="24">
        <v>0</v>
      </c>
      <c r="X645" s="24">
        <v>0</v>
      </c>
      <c r="Y645" s="24">
        <v>0</v>
      </c>
      <c r="Z645" s="24">
        <v>0</v>
      </c>
      <c r="AA645" s="24">
        <v>0</v>
      </c>
      <c r="AB645" s="24">
        <v>0</v>
      </c>
      <c r="AC645" s="30">
        <f t="shared" si="303"/>
        <v>0</v>
      </c>
      <c r="AD645" s="27">
        <f t="shared" si="297"/>
        <v>0</v>
      </c>
      <c r="AE645" s="25">
        <f>IFERROR(_xlfn.XLOOKUP(N645&amp;P645,'Historico Vendas'!G:G,'Historico Vendas'!E:E),0)</f>
        <v>0</v>
      </c>
      <c r="AF645" s="29" t="str">
        <f t="shared" si="306"/>
        <v/>
      </c>
      <c r="AG645" s="24">
        <f>IFERROR(_xlfn.XLOOKUP(N645&amp;P645,'Historico Vendas'!G:G,'Historico Vendas'!F:F),0)</f>
        <v>0</v>
      </c>
      <c r="AH645" s="25">
        <f t="shared" si="298"/>
        <v>8</v>
      </c>
      <c r="AI645" s="24">
        <f t="shared" si="299"/>
        <v>8</v>
      </c>
      <c r="AJ645" s="11">
        <f t="shared" si="307"/>
        <v>0</v>
      </c>
      <c r="AK645" s="9" t="s">
        <v>102</v>
      </c>
      <c r="AL645" s="13">
        <f>IFERROR(INDEX('Balizador da Meta'!$D$3:$F$23,MATCH(Quantidade!$P645,'Balizador da Meta'!$C$3:$C$23,0),MATCH(Quantidade!AK645,'Balizador da Meta'!$D$2:$F$2,0)),"")</f>
        <v>0</v>
      </c>
      <c r="AM645" s="9"/>
    </row>
    <row r="646" spans="1:39" x14ac:dyDescent="0.3">
      <c r="A646" s="2" t="str">
        <f t="shared" si="304"/>
        <v>NÃO</v>
      </c>
      <c r="B646" s="2" t="str">
        <f>_xlfn.XLOOKUP($N646,'Base de Grupos'!$A:$A,'Base de Grupos'!$D:$D)</f>
        <v>1000065763</v>
      </c>
      <c r="C646" s="5" t="str">
        <f>_xlfn.XLOOKUP($N646,'Base de Grupos'!$A:$A,'Base de Grupos'!$E:$E)</f>
        <v>CANAL VENDA INTERNA</v>
      </c>
      <c r="D646" s="5" t="str">
        <f>_xlfn.XLOOKUP($N646,'Base de Grupos'!$A:$A,'Base de Grupos'!$F:$F)</f>
        <v>1000065763</v>
      </c>
      <c r="E646" s="2" t="str">
        <f>_xlfn.XLOOKUP($N646,'Base de Grupos'!$A:$A,'Base de Grupos'!$G:$G)</f>
        <v>CANAL VENDA INTERNA</v>
      </c>
      <c r="F646" s="2" t="str">
        <f>_xlfn.XLOOKUP($N646,'Base de Grupos'!$A:$A,'Base de Grupos'!$H:$H)</f>
        <v>1000153245</v>
      </c>
      <c r="G646" s="5" t="str">
        <f>_xlfn.XLOOKUP($N646,'Base de Grupos'!$A:$A,'Base de Grupos'!$I:$I)</f>
        <v>REGIONAL VENDA INTERNA - KEY ACCOUNT</v>
      </c>
      <c r="H646" s="5" t="str">
        <f>_xlfn.XLOOKUP($N646,'Base de Grupos'!$A:$A,'Base de Grupos'!$J:$J)</f>
        <v>1000153245</v>
      </c>
      <c r="I646" s="2" t="str">
        <f>_xlfn.XLOOKUP($N646,'Base de Grupos'!$A:$A,'Base de Grupos'!$K:$K)</f>
        <v>REGIONAL VENDA INTERNA - KEY ACCOUNT</v>
      </c>
      <c r="J646" s="2" t="str">
        <f>_xlfn.XLOOKUP($N646,'Base de Grupos'!$A:$A,'Base de Grupos'!$L:$L)</f>
        <v>1000153245</v>
      </c>
      <c r="K646" s="5" t="str">
        <f>_xlfn.XLOOKUP($N646,'Base de Grupos'!$A:$A,'Base de Grupos'!$M:$M)</f>
        <v>REGIONAL VENDA INTERNA - KEY ACCOUNT</v>
      </c>
      <c r="L646" s="5" t="str">
        <f t="shared" si="305"/>
        <v/>
      </c>
      <c r="M646" s="5" t="str">
        <f>_xlfn.XLOOKUP($N646,'Base de Grupos'!$A:$A,'Base de Grupos'!$C:$C)</f>
        <v>RS</v>
      </c>
      <c r="N646" s="3">
        <v>1439</v>
      </c>
      <c r="O646" s="4" t="s">
        <v>259</v>
      </c>
      <c r="P646" s="5" t="s">
        <v>91</v>
      </c>
      <c r="Q646" s="24">
        <v>0</v>
      </c>
      <c r="R646" s="24">
        <v>1</v>
      </c>
      <c r="S646" s="24">
        <v>2</v>
      </c>
      <c r="T646" s="24">
        <v>0</v>
      </c>
      <c r="U646" s="24">
        <v>0</v>
      </c>
      <c r="V646" s="24">
        <v>0</v>
      </c>
      <c r="W646" s="24">
        <v>0</v>
      </c>
      <c r="X646" s="24">
        <v>0</v>
      </c>
      <c r="Y646" s="24">
        <v>0</v>
      </c>
      <c r="Z646" s="24">
        <v>0</v>
      </c>
      <c r="AA646" s="24">
        <v>0</v>
      </c>
      <c r="AB646" s="24">
        <v>0</v>
      </c>
      <c r="AC646" s="30">
        <f t="shared" si="303"/>
        <v>0</v>
      </c>
      <c r="AD646" s="27">
        <f t="shared" si="297"/>
        <v>0</v>
      </c>
      <c r="AE646" s="25">
        <f>IFERROR(_xlfn.XLOOKUP(N646&amp;P646,'Historico Vendas'!G:G,'Historico Vendas'!E:E),0)</f>
        <v>0</v>
      </c>
      <c r="AF646" s="29" t="str">
        <f t="shared" si="306"/>
        <v/>
      </c>
      <c r="AG646" s="24">
        <f>IFERROR(_xlfn.XLOOKUP(N646&amp;P646,'Historico Vendas'!G:G,'Historico Vendas'!F:F),0)</f>
        <v>0</v>
      </c>
      <c r="AH646" s="25">
        <f t="shared" si="298"/>
        <v>3</v>
      </c>
      <c r="AI646" s="24">
        <f t="shared" si="299"/>
        <v>3</v>
      </c>
      <c r="AJ646" s="11">
        <f t="shared" si="307"/>
        <v>0</v>
      </c>
      <c r="AK646" s="9" t="s">
        <v>102</v>
      </c>
      <c r="AL646" s="13">
        <f>IFERROR(INDEX('Balizador da Meta'!$D$3:$F$23,MATCH(Quantidade!$P646,'Balizador da Meta'!$C$3:$C$23,0),MATCH(Quantidade!AK646,'Balizador da Meta'!$D$2:$F$2,0)),"")</f>
        <v>0</v>
      </c>
      <c r="AM646" s="9"/>
    </row>
    <row r="647" spans="1:39" x14ac:dyDescent="0.3">
      <c r="A647" s="2" t="str">
        <f t="shared" si="304"/>
        <v>NÃO</v>
      </c>
      <c r="B647" s="2" t="str">
        <f>_xlfn.XLOOKUP($N647,'Base de Grupos'!$A:$A,'Base de Grupos'!$D:$D)</f>
        <v>1000065763</v>
      </c>
      <c r="C647" s="5" t="str">
        <f>_xlfn.XLOOKUP($N647,'Base de Grupos'!$A:$A,'Base de Grupos'!$E:$E)</f>
        <v>CANAL VENDA INTERNA</v>
      </c>
      <c r="D647" s="5" t="str">
        <f>_xlfn.XLOOKUP($N647,'Base de Grupos'!$A:$A,'Base de Grupos'!$F:$F)</f>
        <v>1000065763</v>
      </c>
      <c r="E647" s="2" t="str">
        <f>_xlfn.XLOOKUP($N647,'Base de Grupos'!$A:$A,'Base de Grupos'!$G:$G)</f>
        <v>CANAL VENDA INTERNA</v>
      </c>
      <c r="F647" s="2" t="str">
        <f>_xlfn.XLOOKUP($N647,'Base de Grupos'!$A:$A,'Base de Grupos'!$H:$H)</f>
        <v>1000153245</v>
      </c>
      <c r="G647" s="5" t="str">
        <f>_xlfn.XLOOKUP($N647,'Base de Grupos'!$A:$A,'Base de Grupos'!$I:$I)</f>
        <v>REGIONAL VENDA INTERNA - KEY ACCOUNT</v>
      </c>
      <c r="H647" s="5" t="str">
        <f>_xlfn.XLOOKUP($N647,'Base de Grupos'!$A:$A,'Base de Grupos'!$J:$J)</f>
        <v>1000153245</v>
      </c>
      <c r="I647" s="2" t="str">
        <f>_xlfn.XLOOKUP($N647,'Base de Grupos'!$A:$A,'Base de Grupos'!$K:$K)</f>
        <v>REGIONAL VENDA INTERNA - KEY ACCOUNT</v>
      </c>
      <c r="J647" s="2" t="str">
        <f>_xlfn.XLOOKUP($N647,'Base de Grupos'!$A:$A,'Base de Grupos'!$L:$L)</f>
        <v>1000153245</v>
      </c>
      <c r="K647" s="5" t="str">
        <f>_xlfn.XLOOKUP($N647,'Base de Grupos'!$A:$A,'Base de Grupos'!$M:$M)</f>
        <v>REGIONAL VENDA INTERNA - KEY ACCOUNT</v>
      </c>
      <c r="L647" s="5" t="str">
        <f t="shared" si="305"/>
        <v/>
      </c>
      <c r="M647" s="5" t="str">
        <f>_xlfn.XLOOKUP($N647,'Base de Grupos'!$A:$A,'Base de Grupos'!$C:$C)</f>
        <v>RS</v>
      </c>
      <c r="N647" s="3">
        <v>1439</v>
      </c>
      <c r="O647" s="4" t="s">
        <v>259</v>
      </c>
      <c r="P647" s="5" t="s">
        <v>96</v>
      </c>
      <c r="Q647" s="24">
        <v>0</v>
      </c>
      <c r="R647" s="24">
        <v>3</v>
      </c>
      <c r="S647" s="24">
        <v>4</v>
      </c>
      <c r="T647" s="24">
        <v>0</v>
      </c>
      <c r="U647" s="24">
        <v>0</v>
      </c>
      <c r="V647" s="24">
        <v>0</v>
      </c>
      <c r="W647" s="24">
        <v>0</v>
      </c>
      <c r="X647" s="24">
        <v>0</v>
      </c>
      <c r="Y647" s="24">
        <v>0</v>
      </c>
      <c r="Z647" s="24">
        <v>0</v>
      </c>
      <c r="AA647" s="24">
        <v>0</v>
      </c>
      <c r="AB647" s="24">
        <v>0</v>
      </c>
      <c r="AC647" s="30">
        <f t="shared" si="303"/>
        <v>0</v>
      </c>
      <c r="AD647" s="27">
        <f t="shared" si="297"/>
        <v>0</v>
      </c>
      <c r="AE647" s="25">
        <f>IFERROR(_xlfn.XLOOKUP(N647&amp;P647,'Historico Vendas'!G:G,'Historico Vendas'!E:E),0)</f>
        <v>0</v>
      </c>
      <c r="AF647" s="29" t="str">
        <f t="shared" si="306"/>
        <v/>
      </c>
      <c r="AG647" s="24">
        <f>IFERROR(_xlfn.XLOOKUP(N647&amp;P647,'Historico Vendas'!G:G,'Historico Vendas'!F:F),0)</f>
        <v>0</v>
      </c>
      <c r="AH647" s="25">
        <f t="shared" si="298"/>
        <v>7</v>
      </c>
      <c r="AI647" s="24">
        <f t="shared" si="299"/>
        <v>7</v>
      </c>
      <c r="AJ647" s="11">
        <f t="shared" si="307"/>
        <v>0</v>
      </c>
      <c r="AK647" s="9" t="s">
        <v>102</v>
      </c>
      <c r="AL647" s="13">
        <f>IFERROR(INDEX('Balizador da Meta'!$D$3:$F$23,MATCH(Quantidade!$P647,'Balizador da Meta'!$C$3:$C$23,0),MATCH(Quantidade!AK647,'Balizador da Meta'!$D$2:$F$2,0)),"")</f>
        <v>0</v>
      </c>
      <c r="AM647" s="9"/>
    </row>
    <row r="648" spans="1:39" x14ac:dyDescent="0.3">
      <c r="A648" s="2" t="str">
        <f t="shared" si="304"/>
        <v>NÃO</v>
      </c>
      <c r="B648" s="2" t="str">
        <f>_xlfn.XLOOKUP($N648,'Base de Grupos'!$A:$A,'Base de Grupos'!$D:$D)</f>
        <v>1000065763</v>
      </c>
      <c r="C648" s="5" t="str">
        <f>_xlfn.XLOOKUP($N648,'Base de Grupos'!$A:$A,'Base de Grupos'!$E:$E)</f>
        <v>CANAL VENDA INTERNA</v>
      </c>
      <c r="D648" s="5" t="str">
        <f>_xlfn.XLOOKUP($N648,'Base de Grupos'!$A:$A,'Base de Grupos'!$F:$F)</f>
        <v>1000065763</v>
      </c>
      <c r="E648" s="2" t="str">
        <f>_xlfn.XLOOKUP($N648,'Base de Grupos'!$A:$A,'Base de Grupos'!$G:$G)</f>
        <v>CANAL VENDA INTERNA</v>
      </c>
      <c r="F648" s="2" t="str">
        <f>_xlfn.XLOOKUP($N648,'Base de Grupos'!$A:$A,'Base de Grupos'!$H:$H)</f>
        <v>1000153245</v>
      </c>
      <c r="G648" s="5" t="str">
        <f>_xlfn.XLOOKUP($N648,'Base de Grupos'!$A:$A,'Base de Grupos'!$I:$I)</f>
        <v>REGIONAL VENDA INTERNA - KEY ACCOUNT</v>
      </c>
      <c r="H648" s="5" t="str">
        <f>_xlfn.XLOOKUP($N648,'Base de Grupos'!$A:$A,'Base de Grupos'!$J:$J)</f>
        <v>1000153245</v>
      </c>
      <c r="I648" s="2" t="str">
        <f>_xlfn.XLOOKUP($N648,'Base de Grupos'!$A:$A,'Base de Grupos'!$K:$K)</f>
        <v>REGIONAL VENDA INTERNA - KEY ACCOUNT</v>
      </c>
      <c r="J648" s="2" t="str">
        <f>_xlfn.XLOOKUP($N648,'Base de Grupos'!$A:$A,'Base de Grupos'!$L:$L)</f>
        <v>1000153245</v>
      </c>
      <c r="K648" s="5" t="str">
        <f>_xlfn.XLOOKUP($N648,'Base de Grupos'!$A:$A,'Base de Grupos'!$M:$M)</f>
        <v>REGIONAL VENDA INTERNA - KEY ACCOUNT</v>
      </c>
      <c r="L648" s="5" t="str">
        <f t="shared" si="305"/>
        <v/>
      </c>
      <c r="M648" s="5" t="str">
        <f>_xlfn.XLOOKUP($N648,'Base de Grupos'!$A:$A,'Base de Grupos'!$C:$C)</f>
        <v>RS</v>
      </c>
      <c r="N648" s="3">
        <v>1439</v>
      </c>
      <c r="O648" s="4" t="s">
        <v>259</v>
      </c>
      <c r="P648" s="5" t="s">
        <v>94</v>
      </c>
      <c r="Q648" s="24">
        <v>0</v>
      </c>
      <c r="R648" s="24">
        <v>2</v>
      </c>
      <c r="S648" s="24">
        <v>2</v>
      </c>
      <c r="T648" s="24">
        <v>0</v>
      </c>
      <c r="U648" s="24">
        <v>0</v>
      </c>
      <c r="V648" s="24">
        <v>0</v>
      </c>
      <c r="W648" s="24">
        <v>0</v>
      </c>
      <c r="X648" s="24">
        <v>0</v>
      </c>
      <c r="Y648" s="24">
        <v>0</v>
      </c>
      <c r="Z648" s="24">
        <v>0</v>
      </c>
      <c r="AA648" s="24">
        <v>0</v>
      </c>
      <c r="AB648" s="24">
        <v>0</v>
      </c>
      <c r="AC648" s="30">
        <f t="shared" si="303"/>
        <v>0</v>
      </c>
      <c r="AD648" s="27">
        <f t="shared" si="297"/>
        <v>0</v>
      </c>
      <c r="AE648" s="25">
        <f>IFERROR(_xlfn.XLOOKUP(N648&amp;P648,'Historico Vendas'!G:G,'Historico Vendas'!E:E),0)</f>
        <v>0</v>
      </c>
      <c r="AF648" s="29" t="str">
        <f t="shared" si="306"/>
        <v/>
      </c>
      <c r="AG648" s="24">
        <f>IFERROR(_xlfn.XLOOKUP(N648&amp;P648,'Historico Vendas'!G:G,'Historico Vendas'!F:F),0)</f>
        <v>0</v>
      </c>
      <c r="AH648" s="25">
        <f t="shared" si="298"/>
        <v>4</v>
      </c>
      <c r="AI648" s="24">
        <f t="shared" si="299"/>
        <v>4</v>
      </c>
      <c r="AJ648" s="11">
        <f t="shared" si="307"/>
        <v>0</v>
      </c>
      <c r="AK648" s="9" t="s">
        <v>102</v>
      </c>
      <c r="AL648" s="13">
        <f>IFERROR(INDEX('Balizador da Meta'!$D$3:$F$23,MATCH(Quantidade!$P648,'Balizador da Meta'!$C$3:$C$23,0),MATCH(Quantidade!AK648,'Balizador da Meta'!$D$2:$F$2,0)),"")</f>
        <v>0.25</v>
      </c>
      <c r="AM648" s="9"/>
    </row>
    <row r="649" spans="1:39" x14ac:dyDescent="0.3">
      <c r="A649" s="2" t="str">
        <f t="shared" si="304"/>
        <v>NÃO</v>
      </c>
      <c r="B649" s="2" t="str">
        <f>_xlfn.XLOOKUP($N649,'Base de Grupos'!$A:$A,'Base de Grupos'!$D:$D)</f>
        <v>1000065763</v>
      </c>
      <c r="C649" s="5" t="str">
        <f>_xlfn.XLOOKUP($N649,'Base de Grupos'!$A:$A,'Base de Grupos'!$E:$E)</f>
        <v>CANAL VENDA INTERNA</v>
      </c>
      <c r="D649" s="5" t="str">
        <f>_xlfn.XLOOKUP($N649,'Base de Grupos'!$A:$A,'Base de Grupos'!$F:$F)</f>
        <v>1000065763</v>
      </c>
      <c r="E649" s="2" t="str">
        <f>_xlfn.XLOOKUP($N649,'Base de Grupos'!$A:$A,'Base de Grupos'!$G:$G)</f>
        <v>CANAL VENDA INTERNA</v>
      </c>
      <c r="F649" s="2" t="str">
        <f>_xlfn.XLOOKUP($N649,'Base de Grupos'!$A:$A,'Base de Grupos'!$H:$H)</f>
        <v>1000153245</v>
      </c>
      <c r="G649" s="5" t="str">
        <f>_xlfn.XLOOKUP($N649,'Base de Grupos'!$A:$A,'Base de Grupos'!$I:$I)</f>
        <v>REGIONAL VENDA INTERNA - KEY ACCOUNT</v>
      </c>
      <c r="H649" s="5" t="str">
        <f>_xlfn.XLOOKUP($N649,'Base de Grupos'!$A:$A,'Base de Grupos'!$J:$J)</f>
        <v>1000153245</v>
      </c>
      <c r="I649" s="2" t="str">
        <f>_xlfn.XLOOKUP($N649,'Base de Grupos'!$A:$A,'Base de Grupos'!$K:$K)</f>
        <v>REGIONAL VENDA INTERNA - KEY ACCOUNT</v>
      </c>
      <c r="J649" s="2" t="str">
        <f>_xlfn.XLOOKUP($N649,'Base de Grupos'!$A:$A,'Base de Grupos'!$L:$L)</f>
        <v>1000153245</v>
      </c>
      <c r="K649" s="5" t="str">
        <f>_xlfn.XLOOKUP($N649,'Base de Grupos'!$A:$A,'Base de Grupos'!$M:$M)</f>
        <v>REGIONAL VENDA INTERNA - KEY ACCOUNT</v>
      </c>
      <c r="L649" s="5" t="str">
        <f t="shared" si="305"/>
        <v/>
      </c>
      <c r="M649" s="5" t="str">
        <f>_xlfn.XLOOKUP($N649,'Base de Grupos'!$A:$A,'Base de Grupos'!$C:$C)</f>
        <v>RS</v>
      </c>
      <c r="N649" s="3">
        <v>1439</v>
      </c>
      <c r="O649" s="4" t="s">
        <v>259</v>
      </c>
      <c r="P649" s="5" t="s">
        <v>95</v>
      </c>
      <c r="Q649" s="24">
        <v>0</v>
      </c>
      <c r="R649" s="24">
        <v>1</v>
      </c>
      <c r="S649" s="24">
        <v>2</v>
      </c>
      <c r="T649" s="24">
        <v>0</v>
      </c>
      <c r="U649" s="24">
        <v>0</v>
      </c>
      <c r="V649" s="24">
        <v>0</v>
      </c>
      <c r="W649" s="24">
        <v>0</v>
      </c>
      <c r="X649" s="24">
        <v>0</v>
      </c>
      <c r="Y649" s="24">
        <v>0</v>
      </c>
      <c r="Z649" s="24">
        <v>0</v>
      </c>
      <c r="AA649" s="24">
        <v>0</v>
      </c>
      <c r="AB649" s="24">
        <v>0</v>
      </c>
      <c r="AC649" s="30">
        <f t="shared" si="303"/>
        <v>0</v>
      </c>
      <c r="AD649" s="27">
        <f t="shared" si="297"/>
        <v>0</v>
      </c>
      <c r="AE649" s="25">
        <f>IFERROR(_xlfn.XLOOKUP(N649&amp;P649,'Historico Vendas'!G:G,'Historico Vendas'!E:E),0)</f>
        <v>0</v>
      </c>
      <c r="AF649" s="29" t="str">
        <f t="shared" si="306"/>
        <v/>
      </c>
      <c r="AG649" s="24">
        <f>IFERROR(_xlfn.XLOOKUP(N649&amp;P649,'Historico Vendas'!G:G,'Historico Vendas'!F:F),0)</f>
        <v>0</v>
      </c>
      <c r="AH649" s="25">
        <f t="shared" si="298"/>
        <v>3</v>
      </c>
      <c r="AI649" s="24">
        <f t="shared" si="299"/>
        <v>3</v>
      </c>
      <c r="AJ649" s="11">
        <f t="shared" si="307"/>
        <v>0</v>
      </c>
      <c r="AK649" s="9" t="s">
        <v>102</v>
      </c>
      <c r="AL649" s="13">
        <f>IFERROR(INDEX('Balizador da Meta'!$D$3:$F$23,MATCH(Quantidade!$P649,'Balizador da Meta'!$C$3:$C$23,0),MATCH(Quantidade!AK649,'Balizador da Meta'!$D$2:$F$2,0)),"")</f>
        <v>0.25</v>
      </c>
      <c r="AM649" s="9"/>
    </row>
    <row r="650" spans="1:39" x14ac:dyDescent="0.3">
      <c r="A650" s="2" t="str">
        <f t="shared" si="304"/>
        <v>NÃO</v>
      </c>
      <c r="B650" s="2" t="str">
        <f>_xlfn.XLOOKUP($N650,'Base de Grupos'!$A:$A,'Base de Grupos'!$D:$D)</f>
        <v>1000065763</v>
      </c>
      <c r="C650" s="5" t="str">
        <f>_xlfn.XLOOKUP($N650,'Base de Grupos'!$A:$A,'Base de Grupos'!$E:$E)</f>
        <v>CANAL VENDA INTERNA</v>
      </c>
      <c r="D650" s="5" t="str">
        <f>_xlfn.XLOOKUP($N650,'Base de Grupos'!$A:$A,'Base de Grupos'!$F:$F)</f>
        <v>1000065763</v>
      </c>
      <c r="E650" s="2" t="str">
        <f>_xlfn.XLOOKUP($N650,'Base de Grupos'!$A:$A,'Base de Grupos'!$G:$G)</f>
        <v>CANAL VENDA INTERNA</v>
      </c>
      <c r="F650" s="2" t="str">
        <f>_xlfn.XLOOKUP($N650,'Base de Grupos'!$A:$A,'Base de Grupos'!$H:$H)</f>
        <v>1000153245</v>
      </c>
      <c r="G650" s="5" t="str">
        <f>_xlfn.XLOOKUP($N650,'Base de Grupos'!$A:$A,'Base de Grupos'!$I:$I)</f>
        <v>REGIONAL VENDA INTERNA - KEY ACCOUNT</v>
      </c>
      <c r="H650" s="5" t="str">
        <f>_xlfn.XLOOKUP($N650,'Base de Grupos'!$A:$A,'Base de Grupos'!$J:$J)</f>
        <v>1000153245</v>
      </c>
      <c r="I650" s="2" t="str">
        <f>_xlfn.XLOOKUP($N650,'Base de Grupos'!$A:$A,'Base de Grupos'!$K:$K)</f>
        <v>REGIONAL VENDA INTERNA - KEY ACCOUNT</v>
      </c>
      <c r="J650" s="2" t="str">
        <f>_xlfn.XLOOKUP($N650,'Base de Grupos'!$A:$A,'Base de Grupos'!$L:$L)</f>
        <v>1000153245</v>
      </c>
      <c r="K650" s="5" t="str">
        <f>_xlfn.XLOOKUP($N650,'Base de Grupos'!$A:$A,'Base de Grupos'!$M:$M)</f>
        <v>REGIONAL VENDA INTERNA - KEY ACCOUNT</v>
      </c>
      <c r="L650" s="5" t="str">
        <f t="shared" si="305"/>
        <v/>
      </c>
      <c r="M650" s="5" t="str">
        <f>_xlfn.XLOOKUP($N650,'Base de Grupos'!$A:$A,'Base de Grupos'!$C:$C)</f>
        <v>RS</v>
      </c>
      <c r="N650" s="3">
        <v>1439</v>
      </c>
      <c r="O650" s="4" t="s">
        <v>259</v>
      </c>
      <c r="P650" s="5" t="s">
        <v>93</v>
      </c>
      <c r="Q650" s="24">
        <v>0</v>
      </c>
      <c r="R650" s="24">
        <v>6</v>
      </c>
      <c r="S650" s="24">
        <v>7</v>
      </c>
      <c r="T650" s="24">
        <v>0</v>
      </c>
      <c r="U650" s="24">
        <v>0</v>
      </c>
      <c r="V650" s="24">
        <v>0</v>
      </c>
      <c r="W650" s="24">
        <v>0</v>
      </c>
      <c r="X650" s="24">
        <v>0</v>
      </c>
      <c r="Y650" s="24">
        <v>0</v>
      </c>
      <c r="Z650" s="24">
        <v>0</v>
      </c>
      <c r="AA650" s="24">
        <v>0</v>
      </c>
      <c r="AB650" s="24">
        <v>0</v>
      </c>
      <c r="AC650" s="30">
        <f t="shared" si="303"/>
        <v>0</v>
      </c>
      <c r="AD650" s="27">
        <f t="shared" si="297"/>
        <v>0</v>
      </c>
      <c r="AE650" s="25">
        <f>IFERROR(_xlfn.XLOOKUP(N650&amp;P650,'Historico Vendas'!G:G,'Historico Vendas'!E:E),0)</f>
        <v>0</v>
      </c>
      <c r="AF650" s="29" t="str">
        <f t="shared" si="306"/>
        <v/>
      </c>
      <c r="AG650" s="24">
        <f>IFERROR(_xlfn.XLOOKUP(N650&amp;P650,'Historico Vendas'!G:G,'Historico Vendas'!F:F),0)</f>
        <v>0</v>
      </c>
      <c r="AH650" s="25">
        <f t="shared" si="298"/>
        <v>13</v>
      </c>
      <c r="AI650" s="24">
        <f t="shared" si="299"/>
        <v>13</v>
      </c>
      <c r="AJ650" s="11">
        <f t="shared" si="307"/>
        <v>0</v>
      </c>
      <c r="AK650" s="9" t="s">
        <v>102</v>
      </c>
      <c r="AL650" s="13">
        <f>IFERROR(INDEX('Balizador da Meta'!$D$3:$F$23,MATCH(Quantidade!$P650,'Balizador da Meta'!$C$3:$C$23,0),MATCH(Quantidade!AK650,'Balizador da Meta'!$D$2:$F$2,0)),"")</f>
        <v>0.2</v>
      </c>
      <c r="AM650" s="9"/>
    </row>
    <row r="651" spans="1:39" x14ac:dyDescent="0.3">
      <c r="A651" s="2" t="str">
        <f t="shared" si="304"/>
        <v>SIM</v>
      </c>
      <c r="B651" s="2" t="str">
        <f>_xlfn.XLOOKUP($N651,'Base de Grupos'!$A:$A,'Base de Grupos'!$D:$D)</f>
        <v>1000065763</v>
      </c>
      <c r="C651" s="5" t="str">
        <f>_xlfn.XLOOKUP($N651,'Base de Grupos'!$A:$A,'Base de Grupos'!$E:$E)</f>
        <v>CANAL VENDA INTERNA</v>
      </c>
      <c r="D651" s="5" t="str">
        <f>_xlfn.XLOOKUP($N651,'Base de Grupos'!$A:$A,'Base de Grupos'!$F:$F)</f>
        <v>1000065763</v>
      </c>
      <c r="E651" s="2" t="str">
        <f>_xlfn.XLOOKUP($N651,'Base de Grupos'!$A:$A,'Base de Grupos'!$G:$G)</f>
        <v>CANAL VENDA INTERNA</v>
      </c>
      <c r="F651" s="2" t="str">
        <f>_xlfn.XLOOKUP($N651,'Base de Grupos'!$A:$A,'Base de Grupos'!$H:$H)</f>
        <v>1000105900</v>
      </c>
      <c r="G651" s="5" t="str">
        <f>_xlfn.XLOOKUP($N651,'Base de Grupos'!$A:$A,'Base de Grupos'!$I:$I)</f>
        <v>REGIONAL VENDA DIRETA CO + NE + NO</v>
      </c>
      <c r="H651" s="5" t="str">
        <f>_xlfn.XLOOKUP($N651,'Base de Grupos'!$A:$A,'Base de Grupos'!$J:$J)</f>
        <v>1000105900</v>
      </c>
      <c r="I651" s="2" t="str">
        <f>_xlfn.XLOOKUP($N651,'Base de Grupos'!$A:$A,'Base de Grupos'!$K:$K)</f>
        <v>REGIONAL VENDA DIRETA CO + NE + NO</v>
      </c>
      <c r="J651" s="2" t="str">
        <f>_xlfn.XLOOKUP($N651,'Base de Grupos'!$A:$A,'Base de Grupos'!$L:$L)</f>
        <v>1000150135</v>
      </c>
      <c r="K651" s="5" t="str">
        <f>_xlfn.XLOOKUP($N651,'Base de Grupos'!$A:$A,'Base de Grupos'!$M:$M)</f>
        <v>HELDER DA SILVA BRUNKOW</v>
      </c>
      <c r="L651" s="5">
        <f t="shared" si="305"/>
        <v>1</v>
      </c>
      <c r="M651" s="5" t="str">
        <f>_xlfn.XLOOKUP($N651,'Base de Grupos'!$A:$A,'Base de Grupos'!$C:$C)</f>
        <v>AL</v>
      </c>
      <c r="N651" s="3">
        <v>1442</v>
      </c>
      <c r="O651" s="4" t="s">
        <v>260</v>
      </c>
      <c r="P651" s="5" t="s">
        <v>330</v>
      </c>
      <c r="Q651" s="24">
        <v>0</v>
      </c>
      <c r="R651" s="24">
        <v>0</v>
      </c>
      <c r="S651" s="24">
        <v>0</v>
      </c>
      <c r="T651" s="24">
        <v>0</v>
      </c>
      <c r="U651" s="24">
        <v>0</v>
      </c>
      <c r="V651" s="24">
        <v>0</v>
      </c>
      <c r="W651" s="24">
        <v>0</v>
      </c>
      <c r="X651" s="24">
        <v>0</v>
      </c>
      <c r="Y651" s="24">
        <v>0</v>
      </c>
      <c r="Z651" s="24">
        <v>0</v>
      </c>
      <c r="AA651" s="24">
        <v>0</v>
      </c>
      <c r="AB651" s="24">
        <v>0</v>
      </c>
      <c r="AC651" s="30">
        <f t="shared" si="303"/>
        <v>0</v>
      </c>
      <c r="AD651" s="28"/>
      <c r="AE651" s="12"/>
      <c r="AF651" s="29"/>
      <c r="AG651" s="9"/>
      <c r="AH651" s="10"/>
      <c r="AI651" s="9"/>
      <c r="AJ651" s="11"/>
      <c r="AK651" s="9"/>
      <c r="AL651" s="13"/>
      <c r="AM651" s="9"/>
    </row>
    <row r="652" spans="1:39" x14ac:dyDescent="0.3">
      <c r="A652" s="2" t="str">
        <f t="shared" si="304"/>
        <v>NÃO</v>
      </c>
      <c r="B652" s="2" t="str">
        <f>_xlfn.XLOOKUP($N652,'Base de Grupos'!$A:$A,'Base de Grupos'!$D:$D)</f>
        <v>1000065763</v>
      </c>
      <c r="C652" s="5" t="str">
        <f>_xlfn.XLOOKUP($N652,'Base de Grupos'!$A:$A,'Base de Grupos'!$E:$E)</f>
        <v>CANAL VENDA INTERNA</v>
      </c>
      <c r="D652" s="5" t="str">
        <f>_xlfn.XLOOKUP($N652,'Base de Grupos'!$A:$A,'Base de Grupos'!$F:$F)</f>
        <v>1000065763</v>
      </c>
      <c r="E652" s="2" t="str">
        <f>_xlfn.XLOOKUP($N652,'Base de Grupos'!$A:$A,'Base de Grupos'!$G:$G)</f>
        <v>CANAL VENDA INTERNA</v>
      </c>
      <c r="F652" s="2" t="str">
        <f>_xlfn.XLOOKUP($N652,'Base de Grupos'!$A:$A,'Base de Grupos'!$H:$H)</f>
        <v>1000105900</v>
      </c>
      <c r="G652" s="5" t="str">
        <f>_xlfn.XLOOKUP($N652,'Base de Grupos'!$A:$A,'Base de Grupos'!$I:$I)</f>
        <v>REGIONAL VENDA DIRETA CO + NE + NO</v>
      </c>
      <c r="H652" s="5" t="str">
        <f>_xlfn.XLOOKUP($N652,'Base de Grupos'!$A:$A,'Base de Grupos'!$J:$J)</f>
        <v>1000105900</v>
      </c>
      <c r="I652" s="2" t="str">
        <f>_xlfn.XLOOKUP($N652,'Base de Grupos'!$A:$A,'Base de Grupos'!$K:$K)</f>
        <v>REGIONAL VENDA DIRETA CO + NE + NO</v>
      </c>
      <c r="J652" s="2" t="str">
        <f>_xlfn.XLOOKUP($N652,'Base de Grupos'!$A:$A,'Base de Grupos'!$L:$L)</f>
        <v>1000150135</v>
      </c>
      <c r="K652" s="5" t="str">
        <f>_xlfn.XLOOKUP($N652,'Base de Grupos'!$A:$A,'Base de Grupos'!$M:$M)</f>
        <v>HELDER DA SILVA BRUNKOW</v>
      </c>
      <c r="L652" s="5" t="str">
        <f t="shared" si="305"/>
        <v/>
      </c>
      <c r="M652" s="5" t="str">
        <f>_xlfn.XLOOKUP($N652,'Base de Grupos'!$A:$A,'Base de Grupos'!$C:$C)</f>
        <v>AL</v>
      </c>
      <c r="N652" s="3">
        <v>1442</v>
      </c>
      <c r="O652" s="4" t="s">
        <v>260</v>
      </c>
      <c r="P652" s="5" t="s">
        <v>81</v>
      </c>
      <c r="Q652" s="24">
        <v>0</v>
      </c>
      <c r="R652" s="24">
        <v>0</v>
      </c>
      <c r="S652" s="24">
        <v>0</v>
      </c>
      <c r="T652" s="24">
        <v>0</v>
      </c>
      <c r="U652" s="24">
        <v>0</v>
      </c>
      <c r="V652" s="24">
        <v>0</v>
      </c>
      <c r="W652" s="24">
        <v>0</v>
      </c>
      <c r="X652" s="24">
        <v>0</v>
      </c>
      <c r="Y652" s="24">
        <v>0</v>
      </c>
      <c r="Z652" s="24">
        <v>0</v>
      </c>
      <c r="AA652" s="24">
        <v>0</v>
      </c>
      <c r="AB652" s="24">
        <v>0</v>
      </c>
      <c r="AC652" s="30">
        <f t="shared" si="303"/>
        <v>0</v>
      </c>
      <c r="AD652" s="28"/>
      <c r="AE652" s="12"/>
      <c r="AF652" s="29"/>
      <c r="AG652" s="9"/>
      <c r="AH652" s="10"/>
      <c r="AI652" s="9"/>
      <c r="AJ652" s="11"/>
      <c r="AK652" s="9"/>
      <c r="AL652" s="13"/>
      <c r="AM652" s="9"/>
    </row>
    <row r="653" spans="1:39" x14ac:dyDescent="0.3">
      <c r="A653" s="2" t="str">
        <f t="shared" si="304"/>
        <v>NÃO</v>
      </c>
      <c r="B653" s="2" t="str">
        <f>_xlfn.XLOOKUP($N653,'Base de Grupos'!$A:$A,'Base de Grupos'!$D:$D)</f>
        <v>1000065763</v>
      </c>
      <c r="C653" s="5" t="str">
        <f>_xlfn.XLOOKUP($N653,'Base de Grupos'!$A:$A,'Base de Grupos'!$E:$E)</f>
        <v>CANAL VENDA INTERNA</v>
      </c>
      <c r="D653" s="5" t="str">
        <f>_xlfn.XLOOKUP($N653,'Base de Grupos'!$A:$A,'Base de Grupos'!$F:$F)</f>
        <v>1000065763</v>
      </c>
      <c r="E653" s="2" t="str">
        <f>_xlfn.XLOOKUP($N653,'Base de Grupos'!$A:$A,'Base de Grupos'!$G:$G)</f>
        <v>CANAL VENDA INTERNA</v>
      </c>
      <c r="F653" s="2" t="str">
        <f>_xlfn.XLOOKUP($N653,'Base de Grupos'!$A:$A,'Base de Grupos'!$H:$H)</f>
        <v>1000105900</v>
      </c>
      <c r="G653" s="5" t="str">
        <f>_xlfn.XLOOKUP($N653,'Base de Grupos'!$A:$A,'Base de Grupos'!$I:$I)</f>
        <v>REGIONAL VENDA DIRETA CO + NE + NO</v>
      </c>
      <c r="H653" s="5" t="str">
        <f>_xlfn.XLOOKUP($N653,'Base de Grupos'!$A:$A,'Base de Grupos'!$J:$J)</f>
        <v>1000105900</v>
      </c>
      <c r="I653" s="2" t="str">
        <f>_xlfn.XLOOKUP($N653,'Base de Grupos'!$A:$A,'Base de Grupos'!$K:$K)</f>
        <v>REGIONAL VENDA DIRETA CO + NE + NO</v>
      </c>
      <c r="J653" s="2" t="str">
        <f>_xlfn.XLOOKUP($N653,'Base de Grupos'!$A:$A,'Base de Grupos'!$L:$L)</f>
        <v>1000150135</v>
      </c>
      <c r="K653" s="5" t="str">
        <f>_xlfn.XLOOKUP($N653,'Base de Grupos'!$A:$A,'Base de Grupos'!$M:$M)</f>
        <v>HELDER DA SILVA BRUNKOW</v>
      </c>
      <c r="L653" s="5" t="str">
        <f t="shared" si="305"/>
        <v/>
      </c>
      <c r="M653" s="5" t="str">
        <f>_xlfn.XLOOKUP($N653,'Base de Grupos'!$A:$A,'Base de Grupos'!$C:$C)</f>
        <v>AL</v>
      </c>
      <c r="N653" s="3">
        <v>1442</v>
      </c>
      <c r="O653" s="4" t="s">
        <v>260</v>
      </c>
      <c r="P653" s="5" t="s">
        <v>82</v>
      </c>
      <c r="Q653" s="24">
        <v>0</v>
      </c>
      <c r="R653" s="24">
        <v>0</v>
      </c>
      <c r="S653" s="24">
        <v>0</v>
      </c>
      <c r="T653" s="24">
        <v>0</v>
      </c>
      <c r="U653" s="24">
        <v>0</v>
      </c>
      <c r="V653" s="24">
        <v>0</v>
      </c>
      <c r="W653" s="24">
        <v>0</v>
      </c>
      <c r="X653" s="24">
        <v>0</v>
      </c>
      <c r="Y653" s="24">
        <v>0</v>
      </c>
      <c r="Z653" s="24">
        <v>0</v>
      </c>
      <c r="AA653" s="24">
        <v>0</v>
      </c>
      <c r="AB653" s="24">
        <v>0</v>
      </c>
      <c r="AC653" s="30">
        <f t="shared" si="303"/>
        <v>0</v>
      </c>
      <c r="AD653" s="28"/>
      <c r="AE653" s="12"/>
      <c r="AF653" s="29"/>
      <c r="AG653" s="9"/>
      <c r="AH653" s="10"/>
      <c r="AI653" s="9"/>
      <c r="AJ653" s="11"/>
      <c r="AK653" s="9"/>
      <c r="AL653" s="13"/>
      <c r="AM653" s="9"/>
    </row>
    <row r="654" spans="1:39" x14ac:dyDescent="0.3">
      <c r="A654" s="2" t="str">
        <f t="shared" si="304"/>
        <v>NÃO</v>
      </c>
      <c r="B654" s="2" t="str">
        <f>_xlfn.XLOOKUP($N654,'Base de Grupos'!$A:$A,'Base de Grupos'!$D:$D)</f>
        <v>1000065763</v>
      </c>
      <c r="C654" s="5" t="str">
        <f>_xlfn.XLOOKUP($N654,'Base de Grupos'!$A:$A,'Base de Grupos'!$E:$E)</f>
        <v>CANAL VENDA INTERNA</v>
      </c>
      <c r="D654" s="5" t="str">
        <f>_xlfn.XLOOKUP($N654,'Base de Grupos'!$A:$A,'Base de Grupos'!$F:$F)</f>
        <v>1000065763</v>
      </c>
      <c r="E654" s="2" t="str">
        <f>_xlfn.XLOOKUP($N654,'Base de Grupos'!$A:$A,'Base de Grupos'!$G:$G)</f>
        <v>CANAL VENDA INTERNA</v>
      </c>
      <c r="F654" s="2" t="str">
        <f>_xlfn.XLOOKUP($N654,'Base de Grupos'!$A:$A,'Base de Grupos'!$H:$H)</f>
        <v>1000105900</v>
      </c>
      <c r="G654" s="5" t="str">
        <f>_xlfn.XLOOKUP($N654,'Base de Grupos'!$A:$A,'Base de Grupos'!$I:$I)</f>
        <v>REGIONAL VENDA DIRETA CO + NE + NO</v>
      </c>
      <c r="H654" s="5" t="str">
        <f>_xlfn.XLOOKUP($N654,'Base de Grupos'!$A:$A,'Base de Grupos'!$J:$J)</f>
        <v>1000105900</v>
      </c>
      <c r="I654" s="2" t="str">
        <f>_xlfn.XLOOKUP($N654,'Base de Grupos'!$A:$A,'Base de Grupos'!$K:$K)</f>
        <v>REGIONAL VENDA DIRETA CO + NE + NO</v>
      </c>
      <c r="J654" s="2" t="str">
        <f>_xlfn.XLOOKUP($N654,'Base de Grupos'!$A:$A,'Base de Grupos'!$L:$L)</f>
        <v>1000150135</v>
      </c>
      <c r="K654" s="5" t="str">
        <f>_xlfn.XLOOKUP($N654,'Base de Grupos'!$A:$A,'Base de Grupos'!$M:$M)</f>
        <v>HELDER DA SILVA BRUNKOW</v>
      </c>
      <c r="L654" s="5" t="str">
        <f t="shared" si="305"/>
        <v/>
      </c>
      <c r="M654" s="5" t="str">
        <f>_xlfn.XLOOKUP($N654,'Base de Grupos'!$A:$A,'Base de Grupos'!$C:$C)</f>
        <v>AL</v>
      </c>
      <c r="N654" s="3">
        <v>1442</v>
      </c>
      <c r="O654" s="4" t="s">
        <v>260</v>
      </c>
      <c r="P654" s="5" t="s">
        <v>84</v>
      </c>
      <c r="Q654" s="24">
        <v>0</v>
      </c>
      <c r="R654" s="24">
        <v>0</v>
      </c>
      <c r="S654" s="24">
        <v>0</v>
      </c>
      <c r="T654" s="24">
        <v>0</v>
      </c>
      <c r="U654" s="24">
        <v>0</v>
      </c>
      <c r="V654" s="24">
        <v>0</v>
      </c>
      <c r="W654" s="24">
        <v>0</v>
      </c>
      <c r="X654" s="24">
        <v>0</v>
      </c>
      <c r="Y654" s="24">
        <v>0</v>
      </c>
      <c r="Z654" s="24">
        <v>0</v>
      </c>
      <c r="AA654" s="24">
        <v>0</v>
      </c>
      <c r="AB654" s="24">
        <v>0</v>
      </c>
      <c r="AC654" s="30">
        <f t="shared" si="303"/>
        <v>0</v>
      </c>
      <c r="AD654" s="28"/>
      <c r="AE654" s="12"/>
      <c r="AF654" s="29"/>
      <c r="AG654" s="9"/>
      <c r="AH654" s="10"/>
      <c r="AI654" s="9"/>
      <c r="AJ654" s="11"/>
      <c r="AK654" s="9"/>
      <c r="AL654" s="13"/>
      <c r="AM654" s="9"/>
    </row>
    <row r="655" spans="1:39" x14ac:dyDescent="0.3">
      <c r="A655" s="2" t="str">
        <f t="shared" si="304"/>
        <v>NÃO</v>
      </c>
      <c r="B655" s="2" t="str">
        <f>_xlfn.XLOOKUP($N655,'Base de Grupos'!$A:$A,'Base de Grupos'!$D:$D)</f>
        <v>1000065763</v>
      </c>
      <c r="C655" s="5" t="str">
        <f>_xlfn.XLOOKUP($N655,'Base de Grupos'!$A:$A,'Base de Grupos'!$E:$E)</f>
        <v>CANAL VENDA INTERNA</v>
      </c>
      <c r="D655" s="5" t="str">
        <f>_xlfn.XLOOKUP($N655,'Base de Grupos'!$A:$A,'Base de Grupos'!$F:$F)</f>
        <v>1000065763</v>
      </c>
      <c r="E655" s="2" t="str">
        <f>_xlfn.XLOOKUP($N655,'Base de Grupos'!$A:$A,'Base de Grupos'!$G:$G)</f>
        <v>CANAL VENDA INTERNA</v>
      </c>
      <c r="F655" s="2" t="str">
        <f>_xlfn.XLOOKUP($N655,'Base de Grupos'!$A:$A,'Base de Grupos'!$H:$H)</f>
        <v>1000105900</v>
      </c>
      <c r="G655" s="5" t="str">
        <f>_xlfn.XLOOKUP($N655,'Base de Grupos'!$A:$A,'Base de Grupos'!$I:$I)</f>
        <v>REGIONAL VENDA DIRETA CO + NE + NO</v>
      </c>
      <c r="H655" s="5" t="str">
        <f>_xlfn.XLOOKUP($N655,'Base de Grupos'!$A:$A,'Base de Grupos'!$J:$J)</f>
        <v>1000105900</v>
      </c>
      <c r="I655" s="2" t="str">
        <f>_xlfn.XLOOKUP($N655,'Base de Grupos'!$A:$A,'Base de Grupos'!$K:$K)</f>
        <v>REGIONAL VENDA DIRETA CO + NE + NO</v>
      </c>
      <c r="J655" s="2" t="str">
        <f>_xlfn.XLOOKUP($N655,'Base de Grupos'!$A:$A,'Base de Grupos'!$L:$L)</f>
        <v>1000150135</v>
      </c>
      <c r="K655" s="5" t="str">
        <f>_xlfn.XLOOKUP($N655,'Base de Grupos'!$A:$A,'Base de Grupos'!$M:$M)</f>
        <v>HELDER DA SILVA BRUNKOW</v>
      </c>
      <c r="L655" s="5" t="str">
        <f t="shared" si="305"/>
        <v/>
      </c>
      <c r="M655" s="5" t="str">
        <f>_xlfn.XLOOKUP($N655,'Base de Grupos'!$A:$A,'Base de Grupos'!$C:$C)</f>
        <v>AL</v>
      </c>
      <c r="N655" s="3">
        <v>1442</v>
      </c>
      <c r="O655" s="4" t="s">
        <v>260</v>
      </c>
      <c r="P655" s="5" t="s">
        <v>83</v>
      </c>
      <c r="Q655" s="24">
        <v>0</v>
      </c>
      <c r="R655" s="24">
        <v>4</v>
      </c>
      <c r="S655" s="24">
        <v>4</v>
      </c>
      <c r="T655" s="24">
        <v>0</v>
      </c>
      <c r="U655" s="24">
        <v>0</v>
      </c>
      <c r="V655" s="24">
        <v>0</v>
      </c>
      <c r="W655" s="24">
        <v>0</v>
      </c>
      <c r="X655" s="24">
        <v>0</v>
      </c>
      <c r="Y655" s="24">
        <v>0</v>
      </c>
      <c r="Z655" s="24">
        <v>0</v>
      </c>
      <c r="AA655" s="24">
        <v>0</v>
      </c>
      <c r="AB655" s="24">
        <v>0</v>
      </c>
      <c r="AC655" s="30">
        <f t="shared" si="303"/>
        <v>0</v>
      </c>
      <c r="AD655" s="28"/>
      <c r="AE655" s="12"/>
      <c r="AF655" s="29"/>
      <c r="AG655" s="9"/>
      <c r="AH655" s="10"/>
      <c r="AI655" s="9"/>
      <c r="AJ655" s="11"/>
      <c r="AK655" s="9"/>
      <c r="AL655" s="13"/>
      <c r="AM655" s="9"/>
    </row>
    <row r="656" spans="1:39" x14ac:dyDescent="0.3">
      <c r="A656" s="2" t="str">
        <f t="shared" si="304"/>
        <v>NÃO</v>
      </c>
      <c r="B656" s="2" t="str">
        <f>_xlfn.XLOOKUP($N656,'Base de Grupos'!$A:$A,'Base de Grupos'!$D:$D)</f>
        <v>1000065763</v>
      </c>
      <c r="C656" s="5" t="str">
        <f>_xlfn.XLOOKUP($N656,'Base de Grupos'!$A:$A,'Base de Grupos'!$E:$E)</f>
        <v>CANAL VENDA INTERNA</v>
      </c>
      <c r="D656" s="5" t="str">
        <f>_xlfn.XLOOKUP($N656,'Base de Grupos'!$A:$A,'Base de Grupos'!$F:$F)</f>
        <v>1000065763</v>
      </c>
      <c r="E656" s="2" t="str">
        <f>_xlfn.XLOOKUP($N656,'Base de Grupos'!$A:$A,'Base de Grupos'!$G:$G)</f>
        <v>CANAL VENDA INTERNA</v>
      </c>
      <c r="F656" s="2" t="str">
        <f>_xlfn.XLOOKUP($N656,'Base de Grupos'!$A:$A,'Base de Grupos'!$H:$H)</f>
        <v>1000105900</v>
      </c>
      <c r="G656" s="5" t="str">
        <f>_xlfn.XLOOKUP($N656,'Base de Grupos'!$A:$A,'Base de Grupos'!$I:$I)</f>
        <v>REGIONAL VENDA DIRETA CO + NE + NO</v>
      </c>
      <c r="H656" s="5" t="str">
        <f>_xlfn.XLOOKUP($N656,'Base de Grupos'!$A:$A,'Base de Grupos'!$J:$J)</f>
        <v>1000105900</v>
      </c>
      <c r="I656" s="2" t="str">
        <f>_xlfn.XLOOKUP($N656,'Base de Grupos'!$A:$A,'Base de Grupos'!$K:$K)</f>
        <v>REGIONAL VENDA DIRETA CO + NE + NO</v>
      </c>
      <c r="J656" s="2" t="str">
        <f>_xlfn.XLOOKUP($N656,'Base de Grupos'!$A:$A,'Base de Grupos'!$L:$L)</f>
        <v>1000150135</v>
      </c>
      <c r="K656" s="5" t="str">
        <f>_xlfn.XLOOKUP($N656,'Base de Grupos'!$A:$A,'Base de Grupos'!$M:$M)</f>
        <v>HELDER DA SILVA BRUNKOW</v>
      </c>
      <c r="L656" s="5" t="str">
        <f t="shared" si="305"/>
        <v/>
      </c>
      <c r="M656" s="5" t="str">
        <f>_xlfn.XLOOKUP($N656,'Base de Grupos'!$A:$A,'Base de Grupos'!$C:$C)</f>
        <v>AL</v>
      </c>
      <c r="N656" s="3">
        <v>1442</v>
      </c>
      <c r="O656" s="4" t="s">
        <v>260</v>
      </c>
      <c r="P656" s="5" t="s">
        <v>87</v>
      </c>
      <c r="Q656" s="24">
        <v>0</v>
      </c>
      <c r="R656" s="24">
        <v>1</v>
      </c>
      <c r="S656" s="24">
        <v>2</v>
      </c>
      <c r="T656" s="24">
        <v>0</v>
      </c>
      <c r="U656" s="24">
        <v>0</v>
      </c>
      <c r="V656" s="24">
        <v>0</v>
      </c>
      <c r="W656" s="24">
        <v>0</v>
      </c>
      <c r="X656" s="24">
        <v>0</v>
      </c>
      <c r="Y656" s="24">
        <v>0</v>
      </c>
      <c r="Z656" s="24">
        <v>0</v>
      </c>
      <c r="AA656" s="24">
        <v>0</v>
      </c>
      <c r="AB656" s="24">
        <v>0</v>
      </c>
      <c r="AC656" s="30">
        <f t="shared" si="303"/>
        <v>0</v>
      </c>
      <c r="AD656" s="28"/>
      <c r="AE656" s="12"/>
      <c r="AF656" s="29"/>
      <c r="AG656" s="9"/>
      <c r="AH656" s="10"/>
      <c r="AI656" s="9"/>
      <c r="AJ656" s="11"/>
      <c r="AK656" s="9"/>
      <c r="AL656" s="13"/>
      <c r="AM656" s="9"/>
    </row>
    <row r="657" spans="1:39" x14ac:dyDescent="0.3">
      <c r="A657" s="2" t="str">
        <f t="shared" si="304"/>
        <v>NÃO</v>
      </c>
      <c r="B657" s="2" t="str">
        <f>_xlfn.XLOOKUP($N657,'Base de Grupos'!$A:$A,'Base de Grupos'!$D:$D)</f>
        <v>1000065763</v>
      </c>
      <c r="C657" s="5" t="str">
        <f>_xlfn.XLOOKUP($N657,'Base de Grupos'!$A:$A,'Base de Grupos'!$E:$E)</f>
        <v>CANAL VENDA INTERNA</v>
      </c>
      <c r="D657" s="5" t="str">
        <f>_xlfn.XLOOKUP($N657,'Base de Grupos'!$A:$A,'Base de Grupos'!$F:$F)</f>
        <v>1000065763</v>
      </c>
      <c r="E657" s="2" t="str">
        <f>_xlfn.XLOOKUP($N657,'Base de Grupos'!$A:$A,'Base de Grupos'!$G:$G)</f>
        <v>CANAL VENDA INTERNA</v>
      </c>
      <c r="F657" s="2" t="str">
        <f>_xlfn.XLOOKUP($N657,'Base de Grupos'!$A:$A,'Base de Grupos'!$H:$H)</f>
        <v>1000105900</v>
      </c>
      <c r="G657" s="5" t="str">
        <f>_xlfn.XLOOKUP($N657,'Base de Grupos'!$A:$A,'Base de Grupos'!$I:$I)</f>
        <v>REGIONAL VENDA DIRETA CO + NE + NO</v>
      </c>
      <c r="H657" s="5" t="str">
        <f>_xlfn.XLOOKUP($N657,'Base de Grupos'!$A:$A,'Base de Grupos'!$J:$J)</f>
        <v>1000105900</v>
      </c>
      <c r="I657" s="2" t="str">
        <f>_xlfn.XLOOKUP($N657,'Base de Grupos'!$A:$A,'Base de Grupos'!$K:$K)</f>
        <v>REGIONAL VENDA DIRETA CO + NE + NO</v>
      </c>
      <c r="J657" s="2" t="str">
        <f>_xlfn.XLOOKUP($N657,'Base de Grupos'!$A:$A,'Base de Grupos'!$L:$L)</f>
        <v>1000150135</v>
      </c>
      <c r="K657" s="5" t="str">
        <f>_xlfn.XLOOKUP($N657,'Base de Grupos'!$A:$A,'Base de Grupos'!$M:$M)</f>
        <v>HELDER DA SILVA BRUNKOW</v>
      </c>
      <c r="L657" s="5" t="str">
        <f t="shared" si="305"/>
        <v/>
      </c>
      <c r="M657" s="5" t="str">
        <f>_xlfn.XLOOKUP($N657,'Base de Grupos'!$A:$A,'Base de Grupos'!$C:$C)</f>
        <v>AL</v>
      </c>
      <c r="N657" s="3">
        <v>1442</v>
      </c>
      <c r="O657" s="4" t="s">
        <v>260</v>
      </c>
      <c r="P657" s="5" t="s">
        <v>85</v>
      </c>
      <c r="Q657" s="24">
        <v>0</v>
      </c>
      <c r="R657" s="24">
        <v>2</v>
      </c>
      <c r="S657" s="24">
        <v>2</v>
      </c>
      <c r="T657" s="24">
        <v>0</v>
      </c>
      <c r="U657" s="24">
        <v>0</v>
      </c>
      <c r="V657" s="24">
        <v>0</v>
      </c>
      <c r="W657" s="24">
        <v>0</v>
      </c>
      <c r="X657" s="24">
        <v>0</v>
      </c>
      <c r="Y657" s="24">
        <v>0</v>
      </c>
      <c r="Z657" s="24">
        <v>0</v>
      </c>
      <c r="AA657" s="24">
        <v>0</v>
      </c>
      <c r="AB657" s="24">
        <v>0</v>
      </c>
      <c r="AC657" s="30">
        <f t="shared" si="303"/>
        <v>0</v>
      </c>
      <c r="AD657" s="28"/>
      <c r="AE657" s="12"/>
      <c r="AF657" s="29"/>
      <c r="AG657" s="9"/>
      <c r="AH657" s="10"/>
      <c r="AI657" s="9"/>
      <c r="AJ657" s="11"/>
      <c r="AK657" s="9"/>
      <c r="AL657" s="13"/>
      <c r="AM657" s="9"/>
    </row>
    <row r="658" spans="1:39" x14ac:dyDescent="0.3">
      <c r="A658" s="2" t="str">
        <f t="shared" si="304"/>
        <v>NÃO</v>
      </c>
      <c r="B658" s="2" t="str">
        <f>_xlfn.XLOOKUP($N658,'Base de Grupos'!$A:$A,'Base de Grupos'!$D:$D)</f>
        <v>1000065763</v>
      </c>
      <c r="C658" s="5" t="str">
        <f>_xlfn.XLOOKUP($N658,'Base de Grupos'!$A:$A,'Base de Grupos'!$E:$E)</f>
        <v>CANAL VENDA INTERNA</v>
      </c>
      <c r="D658" s="5" t="str">
        <f>_xlfn.XLOOKUP($N658,'Base de Grupos'!$A:$A,'Base de Grupos'!$F:$F)</f>
        <v>1000065763</v>
      </c>
      <c r="E658" s="2" t="str">
        <f>_xlfn.XLOOKUP($N658,'Base de Grupos'!$A:$A,'Base de Grupos'!$G:$G)</f>
        <v>CANAL VENDA INTERNA</v>
      </c>
      <c r="F658" s="2" t="str">
        <f>_xlfn.XLOOKUP($N658,'Base de Grupos'!$A:$A,'Base de Grupos'!$H:$H)</f>
        <v>1000105900</v>
      </c>
      <c r="G658" s="5" t="str">
        <f>_xlfn.XLOOKUP($N658,'Base de Grupos'!$A:$A,'Base de Grupos'!$I:$I)</f>
        <v>REGIONAL VENDA DIRETA CO + NE + NO</v>
      </c>
      <c r="H658" s="5" t="str">
        <f>_xlfn.XLOOKUP($N658,'Base de Grupos'!$A:$A,'Base de Grupos'!$J:$J)</f>
        <v>1000105900</v>
      </c>
      <c r="I658" s="2" t="str">
        <f>_xlfn.XLOOKUP($N658,'Base de Grupos'!$A:$A,'Base de Grupos'!$K:$K)</f>
        <v>REGIONAL VENDA DIRETA CO + NE + NO</v>
      </c>
      <c r="J658" s="2" t="str">
        <f>_xlfn.XLOOKUP($N658,'Base de Grupos'!$A:$A,'Base de Grupos'!$L:$L)</f>
        <v>1000150135</v>
      </c>
      <c r="K658" s="5" t="str">
        <f>_xlfn.XLOOKUP($N658,'Base de Grupos'!$A:$A,'Base de Grupos'!$M:$M)</f>
        <v>HELDER DA SILVA BRUNKOW</v>
      </c>
      <c r="L658" s="5" t="str">
        <f t="shared" si="305"/>
        <v/>
      </c>
      <c r="M658" s="5" t="str">
        <f>_xlfn.XLOOKUP($N658,'Base de Grupos'!$A:$A,'Base de Grupos'!$C:$C)</f>
        <v>AL</v>
      </c>
      <c r="N658" s="3">
        <v>1442</v>
      </c>
      <c r="O658" s="4" t="s">
        <v>260</v>
      </c>
      <c r="P658" s="5" t="s">
        <v>92</v>
      </c>
      <c r="Q658" s="24">
        <v>0</v>
      </c>
      <c r="R658" s="24">
        <v>2</v>
      </c>
      <c r="S658" s="24">
        <v>2</v>
      </c>
      <c r="T658" s="24">
        <v>0</v>
      </c>
      <c r="U658" s="24">
        <v>0</v>
      </c>
      <c r="V658" s="24">
        <v>0</v>
      </c>
      <c r="W658" s="24">
        <v>0</v>
      </c>
      <c r="X658" s="24">
        <v>0</v>
      </c>
      <c r="Y658" s="24">
        <v>0</v>
      </c>
      <c r="Z658" s="24">
        <v>0</v>
      </c>
      <c r="AA658" s="24">
        <v>0</v>
      </c>
      <c r="AB658" s="24">
        <v>0</v>
      </c>
      <c r="AC658" s="30">
        <f t="shared" si="303"/>
        <v>0</v>
      </c>
      <c r="AD658" s="28"/>
      <c r="AE658" s="12"/>
      <c r="AF658" s="29"/>
      <c r="AG658" s="9"/>
      <c r="AH658" s="10"/>
      <c r="AI658" s="9"/>
      <c r="AJ658" s="11"/>
      <c r="AK658" s="9"/>
      <c r="AL658" s="13"/>
      <c r="AM658" s="9"/>
    </row>
    <row r="659" spans="1:39" x14ac:dyDescent="0.3">
      <c r="A659" s="2" t="str">
        <f t="shared" si="304"/>
        <v>NÃO</v>
      </c>
      <c r="B659" s="2" t="str">
        <f>_xlfn.XLOOKUP($N659,'Base de Grupos'!$A:$A,'Base de Grupos'!$D:$D)</f>
        <v>1000065763</v>
      </c>
      <c r="C659" s="5" t="str">
        <f>_xlfn.XLOOKUP($N659,'Base de Grupos'!$A:$A,'Base de Grupos'!$E:$E)</f>
        <v>CANAL VENDA INTERNA</v>
      </c>
      <c r="D659" s="5" t="str">
        <f>_xlfn.XLOOKUP($N659,'Base de Grupos'!$A:$A,'Base de Grupos'!$F:$F)</f>
        <v>1000065763</v>
      </c>
      <c r="E659" s="2" t="str">
        <f>_xlfn.XLOOKUP($N659,'Base de Grupos'!$A:$A,'Base de Grupos'!$G:$G)</f>
        <v>CANAL VENDA INTERNA</v>
      </c>
      <c r="F659" s="2" t="str">
        <f>_xlfn.XLOOKUP($N659,'Base de Grupos'!$A:$A,'Base de Grupos'!$H:$H)</f>
        <v>1000105900</v>
      </c>
      <c r="G659" s="5" t="str">
        <f>_xlfn.XLOOKUP($N659,'Base de Grupos'!$A:$A,'Base de Grupos'!$I:$I)</f>
        <v>REGIONAL VENDA DIRETA CO + NE + NO</v>
      </c>
      <c r="H659" s="5" t="str">
        <f>_xlfn.XLOOKUP($N659,'Base de Grupos'!$A:$A,'Base de Grupos'!$J:$J)</f>
        <v>1000105900</v>
      </c>
      <c r="I659" s="2" t="str">
        <f>_xlfn.XLOOKUP($N659,'Base de Grupos'!$A:$A,'Base de Grupos'!$K:$K)</f>
        <v>REGIONAL VENDA DIRETA CO + NE + NO</v>
      </c>
      <c r="J659" s="2" t="str">
        <f>_xlfn.XLOOKUP($N659,'Base de Grupos'!$A:$A,'Base de Grupos'!$L:$L)</f>
        <v>1000150135</v>
      </c>
      <c r="K659" s="5" t="str">
        <f>_xlfn.XLOOKUP($N659,'Base de Grupos'!$A:$A,'Base de Grupos'!$M:$M)</f>
        <v>HELDER DA SILVA BRUNKOW</v>
      </c>
      <c r="L659" s="5" t="str">
        <f t="shared" si="305"/>
        <v/>
      </c>
      <c r="M659" s="5" t="str">
        <f>_xlfn.XLOOKUP($N659,'Base de Grupos'!$A:$A,'Base de Grupos'!$C:$C)</f>
        <v>AL</v>
      </c>
      <c r="N659" s="3">
        <v>1442</v>
      </c>
      <c r="O659" s="4" t="s">
        <v>260</v>
      </c>
      <c r="P659" s="5" t="s">
        <v>86</v>
      </c>
      <c r="Q659" s="24">
        <v>0</v>
      </c>
      <c r="R659" s="24">
        <v>1</v>
      </c>
      <c r="S659" s="24">
        <v>1</v>
      </c>
      <c r="T659" s="24">
        <v>0</v>
      </c>
      <c r="U659" s="24">
        <v>0</v>
      </c>
      <c r="V659" s="24">
        <v>0</v>
      </c>
      <c r="W659" s="24">
        <v>0</v>
      </c>
      <c r="X659" s="24">
        <v>0</v>
      </c>
      <c r="Y659" s="24">
        <v>0</v>
      </c>
      <c r="Z659" s="24">
        <v>0</v>
      </c>
      <c r="AA659" s="24">
        <v>0</v>
      </c>
      <c r="AB659" s="24">
        <v>0</v>
      </c>
      <c r="AC659" s="30">
        <f t="shared" si="303"/>
        <v>0</v>
      </c>
      <c r="AD659" s="28"/>
      <c r="AE659" s="12"/>
      <c r="AF659" s="29"/>
      <c r="AG659" s="9"/>
      <c r="AH659" s="10"/>
      <c r="AI659" s="9"/>
      <c r="AJ659" s="11"/>
      <c r="AK659" s="9"/>
      <c r="AL659" s="13"/>
      <c r="AM659" s="9"/>
    </row>
    <row r="660" spans="1:39" x14ac:dyDescent="0.3">
      <c r="A660" s="2" t="str">
        <f t="shared" si="304"/>
        <v>NÃO</v>
      </c>
      <c r="B660" s="2" t="str">
        <f>_xlfn.XLOOKUP($N660,'Base de Grupos'!$A:$A,'Base de Grupos'!$D:$D)</f>
        <v>1000065763</v>
      </c>
      <c r="C660" s="5" t="str">
        <f>_xlfn.XLOOKUP($N660,'Base de Grupos'!$A:$A,'Base de Grupos'!$E:$E)</f>
        <v>CANAL VENDA INTERNA</v>
      </c>
      <c r="D660" s="5" t="str">
        <f>_xlfn.XLOOKUP($N660,'Base de Grupos'!$A:$A,'Base de Grupos'!$F:$F)</f>
        <v>1000065763</v>
      </c>
      <c r="E660" s="2" t="str">
        <f>_xlfn.XLOOKUP($N660,'Base de Grupos'!$A:$A,'Base de Grupos'!$G:$G)</f>
        <v>CANAL VENDA INTERNA</v>
      </c>
      <c r="F660" s="2" t="str">
        <f>_xlfn.XLOOKUP($N660,'Base de Grupos'!$A:$A,'Base de Grupos'!$H:$H)</f>
        <v>1000105900</v>
      </c>
      <c r="G660" s="5" t="str">
        <f>_xlfn.XLOOKUP($N660,'Base de Grupos'!$A:$A,'Base de Grupos'!$I:$I)</f>
        <v>REGIONAL VENDA DIRETA CO + NE + NO</v>
      </c>
      <c r="H660" s="5" t="str">
        <f>_xlfn.XLOOKUP($N660,'Base de Grupos'!$A:$A,'Base de Grupos'!$J:$J)</f>
        <v>1000105900</v>
      </c>
      <c r="I660" s="2" t="str">
        <f>_xlfn.XLOOKUP($N660,'Base de Grupos'!$A:$A,'Base de Grupos'!$K:$K)</f>
        <v>REGIONAL VENDA DIRETA CO + NE + NO</v>
      </c>
      <c r="J660" s="2" t="str">
        <f>_xlfn.XLOOKUP($N660,'Base de Grupos'!$A:$A,'Base de Grupos'!$L:$L)</f>
        <v>1000150135</v>
      </c>
      <c r="K660" s="5" t="str">
        <f>_xlfn.XLOOKUP($N660,'Base de Grupos'!$A:$A,'Base de Grupos'!$M:$M)</f>
        <v>HELDER DA SILVA BRUNKOW</v>
      </c>
      <c r="L660" s="5" t="str">
        <f t="shared" si="305"/>
        <v/>
      </c>
      <c r="M660" s="5" t="str">
        <f>_xlfn.XLOOKUP($N660,'Base de Grupos'!$A:$A,'Base de Grupos'!$C:$C)</f>
        <v>AL</v>
      </c>
      <c r="N660" s="3">
        <v>1442</v>
      </c>
      <c r="O660" s="4" t="s">
        <v>260</v>
      </c>
      <c r="P660" s="5" t="s">
        <v>108</v>
      </c>
      <c r="Q660" s="24">
        <v>0</v>
      </c>
      <c r="R660" s="24">
        <v>4</v>
      </c>
      <c r="S660" s="24">
        <v>4</v>
      </c>
      <c r="T660" s="24">
        <v>0</v>
      </c>
      <c r="U660" s="24">
        <v>0</v>
      </c>
      <c r="V660" s="24">
        <v>0</v>
      </c>
      <c r="W660" s="24">
        <v>0</v>
      </c>
      <c r="X660" s="24">
        <v>0</v>
      </c>
      <c r="Y660" s="24">
        <v>0</v>
      </c>
      <c r="Z660" s="24">
        <v>0</v>
      </c>
      <c r="AA660" s="24">
        <v>0</v>
      </c>
      <c r="AB660" s="24">
        <v>0</v>
      </c>
      <c r="AC660" s="30">
        <f t="shared" si="303"/>
        <v>0</v>
      </c>
      <c r="AD660" s="28"/>
      <c r="AE660" s="12"/>
      <c r="AF660" s="29"/>
      <c r="AG660" s="9"/>
      <c r="AH660" s="10"/>
      <c r="AI660" s="9"/>
      <c r="AJ660" s="11"/>
      <c r="AK660" s="9"/>
      <c r="AL660" s="13"/>
      <c r="AM660" s="9"/>
    </row>
    <row r="661" spans="1:39" x14ac:dyDescent="0.3">
      <c r="A661" s="2" t="str">
        <f t="shared" si="304"/>
        <v>NÃO</v>
      </c>
      <c r="B661" s="2" t="str">
        <f>_xlfn.XLOOKUP($N661,'Base de Grupos'!$A:$A,'Base de Grupos'!$D:$D)</f>
        <v>1000065763</v>
      </c>
      <c r="C661" s="5" t="str">
        <f>_xlfn.XLOOKUP($N661,'Base de Grupos'!$A:$A,'Base de Grupos'!$E:$E)</f>
        <v>CANAL VENDA INTERNA</v>
      </c>
      <c r="D661" s="5" t="str">
        <f>_xlfn.XLOOKUP($N661,'Base de Grupos'!$A:$A,'Base de Grupos'!$F:$F)</f>
        <v>1000065763</v>
      </c>
      <c r="E661" s="2" t="str">
        <f>_xlfn.XLOOKUP($N661,'Base de Grupos'!$A:$A,'Base de Grupos'!$G:$G)</f>
        <v>CANAL VENDA INTERNA</v>
      </c>
      <c r="F661" s="2" t="str">
        <f>_xlfn.XLOOKUP($N661,'Base de Grupos'!$A:$A,'Base de Grupos'!$H:$H)</f>
        <v>1000105900</v>
      </c>
      <c r="G661" s="5" t="str">
        <f>_xlfn.XLOOKUP($N661,'Base de Grupos'!$A:$A,'Base de Grupos'!$I:$I)</f>
        <v>REGIONAL VENDA DIRETA CO + NE + NO</v>
      </c>
      <c r="H661" s="5" t="str">
        <f>_xlfn.XLOOKUP($N661,'Base de Grupos'!$A:$A,'Base de Grupos'!$J:$J)</f>
        <v>1000105900</v>
      </c>
      <c r="I661" s="2" t="str">
        <f>_xlfn.XLOOKUP($N661,'Base de Grupos'!$A:$A,'Base de Grupos'!$K:$K)</f>
        <v>REGIONAL VENDA DIRETA CO + NE + NO</v>
      </c>
      <c r="J661" s="2" t="str">
        <f>_xlfn.XLOOKUP($N661,'Base de Grupos'!$A:$A,'Base de Grupos'!$L:$L)</f>
        <v>1000150135</v>
      </c>
      <c r="K661" s="5" t="str">
        <f>_xlfn.XLOOKUP($N661,'Base de Grupos'!$A:$A,'Base de Grupos'!$M:$M)</f>
        <v>HELDER DA SILVA BRUNKOW</v>
      </c>
      <c r="L661" s="5" t="str">
        <f t="shared" si="305"/>
        <v/>
      </c>
      <c r="M661" s="5" t="str">
        <f>_xlfn.XLOOKUP($N661,'Base de Grupos'!$A:$A,'Base de Grupos'!$C:$C)</f>
        <v>AL</v>
      </c>
      <c r="N661" s="3">
        <v>1442</v>
      </c>
      <c r="O661" s="4" t="s">
        <v>260</v>
      </c>
      <c r="P661" s="5" t="s">
        <v>89</v>
      </c>
      <c r="Q661" s="24">
        <v>0</v>
      </c>
      <c r="R661" s="24">
        <v>4.4000000000000004</v>
      </c>
      <c r="S661" s="24">
        <v>5</v>
      </c>
      <c r="T661" s="24">
        <v>0</v>
      </c>
      <c r="U661" s="24">
        <v>0</v>
      </c>
      <c r="V661" s="24">
        <v>0</v>
      </c>
      <c r="W661" s="24">
        <v>0</v>
      </c>
      <c r="X661" s="24">
        <v>0</v>
      </c>
      <c r="Y661" s="24">
        <v>0</v>
      </c>
      <c r="Z661" s="24">
        <v>0</v>
      </c>
      <c r="AA661" s="24">
        <v>0</v>
      </c>
      <c r="AB661" s="24">
        <v>0</v>
      </c>
      <c r="AC661" s="30">
        <f t="shared" si="303"/>
        <v>0</v>
      </c>
      <c r="AD661" s="28"/>
      <c r="AE661" s="12"/>
      <c r="AF661" s="29"/>
      <c r="AG661" s="9"/>
      <c r="AH661" s="10"/>
      <c r="AI661" s="9"/>
      <c r="AJ661" s="11"/>
      <c r="AK661" s="9"/>
      <c r="AL661" s="13"/>
      <c r="AM661" s="9"/>
    </row>
    <row r="662" spans="1:39" x14ac:dyDescent="0.3">
      <c r="A662" s="2" t="str">
        <f t="shared" si="304"/>
        <v>NÃO</v>
      </c>
      <c r="B662" s="2" t="str">
        <f>_xlfn.XLOOKUP($N662,'Base de Grupos'!$A:$A,'Base de Grupos'!$D:$D)</f>
        <v>1000065763</v>
      </c>
      <c r="C662" s="5" t="str">
        <f>_xlfn.XLOOKUP($N662,'Base de Grupos'!$A:$A,'Base de Grupos'!$E:$E)</f>
        <v>CANAL VENDA INTERNA</v>
      </c>
      <c r="D662" s="5" t="str">
        <f>_xlfn.XLOOKUP($N662,'Base de Grupos'!$A:$A,'Base de Grupos'!$F:$F)</f>
        <v>1000065763</v>
      </c>
      <c r="E662" s="2" t="str">
        <f>_xlfn.XLOOKUP($N662,'Base de Grupos'!$A:$A,'Base de Grupos'!$G:$G)</f>
        <v>CANAL VENDA INTERNA</v>
      </c>
      <c r="F662" s="2" t="str">
        <f>_xlfn.XLOOKUP($N662,'Base de Grupos'!$A:$A,'Base de Grupos'!$H:$H)</f>
        <v>1000105900</v>
      </c>
      <c r="G662" s="5" t="str">
        <f>_xlfn.XLOOKUP($N662,'Base de Grupos'!$A:$A,'Base de Grupos'!$I:$I)</f>
        <v>REGIONAL VENDA DIRETA CO + NE + NO</v>
      </c>
      <c r="H662" s="5" t="str">
        <f>_xlfn.XLOOKUP($N662,'Base de Grupos'!$A:$A,'Base de Grupos'!$J:$J)</f>
        <v>1000105900</v>
      </c>
      <c r="I662" s="2" t="str">
        <f>_xlfn.XLOOKUP($N662,'Base de Grupos'!$A:$A,'Base de Grupos'!$K:$K)</f>
        <v>REGIONAL VENDA DIRETA CO + NE + NO</v>
      </c>
      <c r="J662" s="2" t="str">
        <f>_xlfn.XLOOKUP($N662,'Base de Grupos'!$A:$A,'Base de Grupos'!$L:$L)</f>
        <v>1000150135</v>
      </c>
      <c r="K662" s="5" t="str">
        <f>_xlfn.XLOOKUP($N662,'Base de Grupos'!$A:$A,'Base de Grupos'!$M:$M)</f>
        <v>HELDER DA SILVA BRUNKOW</v>
      </c>
      <c r="L662" s="5" t="str">
        <f t="shared" si="305"/>
        <v/>
      </c>
      <c r="M662" s="5" t="str">
        <f>_xlfn.XLOOKUP($N662,'Base de Grupos'!$A:$A,'Base de Grupos'!$C:$C)</f>
        <v>AL</v>
      </c>
      <c r="N662" s="3">
        <v>1442</v>
      </c>
      <c r="O662" s="4" t="s">
        <v>260</v>
      </c>
      <c r="P662" s="5" t="s">
        <v>88</v>
      </c>
      <c r="Q662" s="24">
        <v>0</v>
      </c>
      <c r="R662" s="24">
        <v>4</v>
      </c>
      <c r="S662" s="24">
        <v>4</v>
      </c>
      <c r="T662" s="24">
        <v>0</v>
      </c>
      <c r="U662" s="24">
        <v>0</v>
      </c>
      <c r="V662" s="24">
        <v>0</v>
      </c>
      <c r="W662" s="24">
        <v>0</v>
      </c>
      <c r="X662" s="24">
        <v>0</v>
      </c>
      <c r="Y662" s="24">
        <v>0</v>
      </c>
      <c r="Z662" s="24">
        <v>0</v>
      </c>
      <c r="AA662" s="24">
        <v>0</v>
      </c>
      <c r="AB662" s="24">
        <v>0</v>
      </c>
      <c r="AC662" s="30">
        <f t="shared" si="303"/>
        <v>0</v>
      </c>
      <c r="AD662" s="28"/>
      <c r="AE662" s="12"/>
      <c r="AF662" s="29"/>
      <c r="AG662" s="9"/>
      <c r="AH662" s="10"/>
      <c r="AI662" s="9"/>
      <c r="AJ662" s="11"/>
      <c r="AK662" s="9"/>
      <c r="AL662" s="13"/>
      <c r="AM662" s="9"/>
    </row>
    <row r="663" spans="1:39" x14ac:dyDescent="0.3">
      <c r="A663" s="2" t="str">
        <f t="shared" si="304"/>
        <v>NÃO</v>
      </c>
      <c r="B663" s="2" t="str">
        <f>_xlfn.XLOOKUP($N663,'Base de Grupos'!$A:$A,'Base de Grupos'!$D:$D)</f>
        <v>1000065763</v>
      </c>
      <c r="C663" s="5" t="str">
        <f>_xlfn.XLOOKUP($N663,'Base de Grupos'!$A:$A,'Base de Grupos'!$E:$E)</f>
        <v>CANAL VENDA INTERNA</v>
      </c>
      <c r="D663" s="5" t="str">
        <f>_xlfn.XLOOKUP($N663,'Base de Grupos'!$A:$A,'Base de Grupos'!$F:$F)</f>
        <v>1000065763</v>
      </c>
      <c r="E663" s="2" t="str">
        <f>_xlfn.XLOOKUP($N663,'Base de Grupos'!$A:$A,'Base de Grupos'!$G:$G)</f>
        <v>CANAL VENDA INTERNA</v>
      </c>
      <c r="F663" s="2" t="str">
        <f>_xlfn.XLOOKUP($N663,'Base de Grupos'!$A:$A,'Base de Grupos'!$H:$H)</f>
        <v>1000105900</v>
      </c>
      <c r="G663" s="5" t="str">
        <f>_xlfn.XLOOKUP($N663,'Base de Grupos'!$A:$A,'Base de Grupos'!$I:$I)</f>
        <v>REGIONAL VENDA DIRETA CO + NE + NO</v>
      </c>
      <c r="H663" s="5" t="str">
        <f>_xlfn.XLOOKUP($N663,'Base de Grupos'!$A:$A,'Base de Grupos'!$J:$J)</f>
        <v>1000105900</v>
      </c>
      <c r="I663" s="2" t="str">
        <f>_xlfn.XLOOKUP($N663,'Base de Grupos'!$A:$A,'Base de Grupos'!$K:$K)</f>
        <v>REGIONAL VENDA DIRETA CO + NE + NO</v>
      </c>
      <c r="J663" s="2" t="str">
        <f>_xlfn.XLOOKUP($N663,'Base de Grupos'!$A:$A,'Base de Grupos'!$L:$L)</f>
        <v>1000150135</v>
      </c>
      <c r="K663" s="5" t="str">
        <f>_xlfn.XLOOKUP($N663,'Base de Grupos'!$A:$A,'Base de Grupos'!$M:$M)</f>
        <v>HELDER DA SILVA BRUNKOW</v>
      </c>
      <c r="L663" s="5" t="str">
        <f t="shared" si="305"/>
        <v/>
      </c>
      <c r="M663" s="5" t="str">
        <f>_xlfn.XLOOKUP($N663,'Base de Grupos'!$A:$A,'Base de Grupos'!$C:$C)</f>
        <v>AL</v>
      </c>
      <c r="N663" s="3">
        <v>1442</v>
      </c>
      <c r="O663" s="4" t="s">
        <v>260</v>
      </c>
      <c r="P663" s="5" t="s">
        <v>90</v>
      </c>
      <c r="Q663" s="24">
        <f>SUM(Q664:Q684)</f>
        <v>0</v>
      </c>
      <c r="R663" s="24">
        <f t="shared" ref="R663" si="308">SUM(R664:R684)</f>
        <v>63.4</v>
      </c>
      <c r="S663" s="24">
        <f t="shared" ref="S663" si="309">SUM(S664:S684)</f>
        <v>74</v>
      </c>
      <c r="T663" s="24">
        <f t="shared" ref="T663:AC663" si="310">SUM(T664:T684)</f>
        <v>0</v>
      </c>
      <c r="U663" s="24">
        <f t="shared" si="310"/>
        <v>0</v>
      </c>
      <c r="V663" s="24">
        <f t="shared" si="310"/>
        <v>0</v>
      </c>
      <c r="W663" s="24">
        <f t="shared" si="310"/>
        <v>0</v>
      </c>
      <c r="X663" s="24">
        <f t="shared" si="310"/>
        <v>0</v>
      </c>
      <c r="Y663" s="24">
        <f t="shared" si="310"/>
        <v>0</v>
      </c>
      <c r="Z663" s="24">
        <f t="shared" si="310"/>
        <v>0</v>
      </c>
      <c r="AA663" s="24">
        <f t="shared" si="310"/>
        <v>0</v>
      </c>
      <c r="AB663" s="24">
        <f t="shared" si="310"/>
        <v>0</v>
      </c>
      <c r="AC663" s="24">
        <f t="shared" si="310"/>
        <v>0</v>
      </c>
      <c r="AD663" s="28"/>
      <c r="AE663" s="12"/>
      <c r="AF663" s="29"/>
      <c r="AG663" s="9"/>
      <c r="AH663" s="10"/>
      <c r="AI663" s="9"/>
      <c r="AJ663" s="11"/>
      <c r="AK663" s="9"/>
      <c r="AL663" s="13"/>
      <c r="AM663" s="9"/>
    </row>
    <row r="664" spans="1:39" x14ac:dyDescent="0.3">
      <c r="A664" s="2" t="str">
        <f t="shared" si="304"/>
        <v>NÃO</v>
      </c>
      <c r="B664" s="2" t="str">
        <f>_xlfn.XLOOKUP($N664,'Base de Grupos'!$A:$A,'Base de Grupos'!$D:$D)</f>
        <v>1000065763</v>
      </c>
      <c r="C664" s="5" t="str">
        <f>_xlfn.XLOOKUP($N664,'Base de Grupos'!$A:$A,'Base de Grupos'!$E:$E)</f>
        <v>CANAL VENDA INTERNA</v>
      </c>
      <c r="D664" s="5" t="str">
        <f>_xlfn.XLOOKUP($N664,'Base de Grupos'!$A:$A,'Base de Grupos'!$F:$F)</f>
        <v>1000065763</v>
      </c>
      <c r="E664" s="2" t="str">
        <f>_xlfn.XLOOKUP($N664,'Base de Grupos'!$A:$A,'Base de Grupos'!$G:$G)</f>
        <v>CANAL VENDA INTERNA</v>
      </c>
      <c r="F664" s="2" t="str">
        <f>_xlfn.XLOOKUP($N664,'Base de Grupos'!$A:$A,'Base de Grupos'!$H:$H)</f>
        <v>1000105900</v>
      </c>
      <c r="G664" s="5" t="str">
        <f>_xlfn.XLOOKUP($N664,'Base de Grupos'!$A:$A,'Base de Grupos'!$I:$I)</f>
        <v>REGIONAL VENDA DIRETA CO + NE + NO</v>
      </c>
      <c r="H664" s="5" t="str">
        <f>_xlfn.XLOOKUP($N664,'Base de Grupos'!$A:$A,'Base de Grupos'!$J:$J)</f>
        <v>1000105900</v>
      </c>
      <c r="I664" s="2" t="str">
        <f>_xlfn.XLOOKUP($N664,'Base de Grupos'!$A:$A,'Base de Grupos'!$K:$K)</f>
        <v>REGIONAL VENDA DIRETA CO + NE + NO</v>
      </c>
      <c r="J664" s="2" t="str">
        <f>_xlfn.XLOOKUP($N664,'Base de Grupos'!$A:$A,'Base de Grupos'!$L:$L)</f>
        <v>1000150135</v>
      </c>
      <c r="K664" s="5" t="str">
        <f>_xlfn.XLOOKUP($N664,'Base de Grupos'!$A:$A,'Base de Grupos'!$M:$M)</f>
        <v>HELDER DA SILVA BRUNKOW</v>
      </c>
      <c r="L664" s="5" t="str">
        <f t="shared" si="305"/>
        <v/>
      </c>
      <c r="M664" s="5" t="str">
        <f>_xlfn.XLOOKUP($N664,'Base de Grupos'!$A:$A,'Base de Grupos'!$C:$C)</f>
        <v>AL</v>
      </c>
      <c r="N664" s="3">
        <v>1442</v>
      </c>
      <c r="O664" s="4" t="s">
        <v>260</v>
      </c>
      <c r="P664" s="5" t="s">
        <v>91</v>
      </c>
      <c r="Q664" s="24">
        <v>0</v>
      </c>
      <c r="R664" s="24">
        <v>8</v>
      </c>
      <c r="S664" s="24">
        <v>10</v>
      </c>
      <c r="T664" s="24">
        <v>0</v>
      </c>
      <c r="U664" s="24">
        <v>0</v>
      </c>
      <c r="V664" s="24">
        <v>0</v>
      </c>
      <c r="W664" s="24">
        <v>0</v>
      </c>
      <c r="X664" s="24">
        <v>0</v>
      </c>
      <c r="Y664" s="24">
        <v>0</v>
      </c>
      <c r="Z664" s="24">
        <v>0</v>
      </c>
      <c r="AA664" s="24">
        <v>0</v>
      </c>
      <c r="AB664" s="24">
        <v>0</v>
      </c>
      <c r="AC664" s="30">
        <f t="shared" ref="AC664:AC684" si="311">SUM(T664:AB664)</f>
        <v>0</v>
      </c>
      <c r="AD664" s="28"/>
      <c r="AE664" s="12"/>
      <c r="AF664" s="29"/>
      <c r="AG664" s="9"/>
      <c r="AH664" s="10"/>
      <c r="AI664" s="9"/>
      <c r="AJ664" s="11"/>
      <c r="AK664" s="9"/>
      <c r="AL664" s="13"/>
      <c r="AM664" s="9"/>
    </row>
    <row r="665" spans="1:39" x14ac:dyDescent="0.3">
      <c r="A665" s="2" t="str">
        <f t="shared" si="304"/>
        <v>NÃO</v>
      </c>
      <c r="B665" s="2" t="str">
        <f>_xlfn.XLOOKUP($N665,'Base de Grupos'!$A:$A,'Base de Grupos'!$D:$D)</f>
        <v>1000065763</v>
      </c>
      <c r="C665" s="5" t="str">
        <f>_xlfn.XLOOKUP($N665,'Base de Grupos'!$A:$A,'Base de Grupos'!$E:$E)</f>
        <v>CANAL VENDA INTERNA</v>
      </c>
      <c r="D665" s="5" t="str">
        <f>_xlfn.XLOOKUP($N665,'Base de Grupos'!$A:$A,'Base de Grupos'!$F:$F)</f>
        <v>1000065763</v>
      </c>
      <c r="E665" s="2" t="str">
        <f>_xlfn.XLOOKUP($N665,'Base de Grupos'!$A:$A,'Base de Grupos'!$G:$G)</f>
        <v>CANAL VENDA INTERNA</v>
      </c>
      <c r="F665" s="2" t="str">
        <f>_xlfn.XLOOKUP($N665,'Base de Grupos'!$A:$A,'Base de Grupos'!$H:$H)</f>
        <v>1000105900</v>
      </c>
      <c r="G665" s="5" t="str">
        <f>_xlfn.XLOOKUP($N665,'Base de Grupos'!$A:$A,'Base de Grupos'!$I:$I)</f>
        <v>REGIONAL VENDA DIRETA CO + NE + NO</v>
      </c>
      <c r="H665" s="5" t="str">
        <f>_xlfn.XLOOKUP($N665,'Base de Grupos'!$A:$A,'Base de Grupos'!$J:$J)</f>
        <v>1000105900</v>
      </c>
      <c r="I665" s="2" t="str">
        <f>_xlfn.XLOOKUP($N665,'Base de Grupos'!$A:$A,'Base de Grupos'!$K:$K)</f>
        <v>REGIONAL VENDA DIRETA CO + NE + NO</v>
      </c>
      <c r="J665" s="2" t="str">
        <f>_xlfn.XLOOKUP($N665,'Base de Grupos'!$A:$A,'Base de Grupos'!$L:$L)</f>
        <v>1000150135</v>
      </c>
      <c r="K665" s="5" t="str">
        <f>_xlfn.XLOOKUP($N665,'Base de Grupos'!$A:$A,'Base de Grupos'!$M:$M)</f>
        <v>HELDER DA SILVA BRUNKOW</v>
      </c>
      <c r="L665" s="5" t="str">
        <f t="shared" si="305"/>
        <v/>
      </c>
      <c r="M665" s="5" t="str">
        <f>_xlfn.XLOOKUP($N665,'Base de Grupos'!$A:$A,'Base de Grupos'!$C:$C)</f>
        <v>AL</v>
      </c>
      <c r="N665" s="3">
        <v>1442</v>
      </c>
      <c r="O665" s="4" t="s">
        <v>260</v>
      </c>
      <c r="P665" s="5" t="s">
        <v>96</v>
      </c>
      <c r="Q665" s="24">
        <v>0</v>
      </c>
      <c r="R665" s="24">
        <v>12</v>
      </c>
      <c r="S665" s="24">
        <v>14</v>
      </c>
      <c r="T665" s="24">
        <v>0</v>
      </c>
      <c r="U665" s="24">
        <v>0</v>
      </c>
      <c r="V665" s="24">
        <v>0</v>
      </c>
      <c r="W665" s="24">
        <v>0</v>
      </c>
      <c r="X665" s="24">
        <v>0</v>
      </c>
      <c r="Y665" s="24">
        <v>0</v>
      </c>
      <c r="Z665" s="24">
        <v>0</v>
      </c>
      <c r="AA665" s="24">
        <v>0</v>
      </c>
      <c r="AB665" s="24">
        <v>0</v>
      </c>
      <c r="AC665" s="30">
        <f t="shared" si="311"/>
        <v>0</v>
      </c>
      <c r="AD665" s="28"/>
      <c r="AE665" s="12"/>
      <c r="AF665" s="29"/>
      <c r="AG665" s="9"/>
      <c r="AH665" s="10"/>
      <c r="AI665" s="9"/>
      <c r="AJ665" s="11"/>
      <c r="AK665" s="9"/>
      <c r="AL665" s="13"/>
      <c r="AM665" s="9"/>
    </row>
    <row r="666" spans="1:39" x14ac:dyDescent="0.3">
      <c r="A666" s="2" t="str">
        <f t="shared" si="304"/>
        <v>NÃO</v>
      </c>
      <c r="B666" s="2" t="str">
        <f>_xlfn.XLOOKUP($N666,'Base de Grupos'!$A:$A,'Base de Grupos'!$D:$D)</f>
        <v>1000065763</v>
      </c>
      <c r="C666" s="5" t="str">
        <f>_xlfn.XLOOKUP($N666,'Base de Grupos'!$A:$A,'Base de Grupos'!$E:$E)</f>
        <v>CANAL VENDA INTERNA</v>
      </c>
      <c r="D666" s="5" t="str">
        <f>_xlfn.XLOOKUP($N666,'Base de Grupos'!$A:$A,'Base de Grupos'!$F:$F)</f>
        <v>1000065763</v>
      </c>
      <c r="E666" s="2" t="str">
        <f>_xlfn.XLOOKUP($N666,'Base de Grupos'!$A:$A,'Base de Grupos'!$G:$G)</f>
        <v>CANAL VENDA INTERNA</v>
      </c>
      <c r="F666" s="2" t="str">
        <f>_xlfn.XLOOKUP($N666,'Base de Grupos'!$A:$A,'Base de Grupos'!$H:$H)</f>
        <v>1000105900</v>
      </c>
      <c r="G666" s="5" t="str">
        <f>_xlfn.XLOOKUP($N666,'Base de Grupos'!$A:$A,'Base de Grupos'!$I:$I)</f>
        <v>REGIONAL VENDA DIRETA CO + NE + NO</v>
      </c>
      <c r="H666" s="5" t="str">
        <f>_xlfn.XLOOKUP($N666,'Base de Grupos'!$A:$A,'Base de Grupos'!$J:$J)</f>
        <v>1000105900</v>
      </c>
      <c r="I666" s="2" t="str">
        <f>_xlfn.XLOOKUP($N666,'Base de Grupos'!$A:$A,'Base de Grupos'!$K:$K)</f>
        <v>REGIONAL VENDA DIRETA CO + NE + NO</v>
      </c>
      <c r="J666" s="2" t="str">
        <f>_xlfn.XLOOKUP($N666,'Base de Grupos'!$A:$A,'Base de Grupos'!$L:$L)</f>
        <v>1000150135</v>
      </c>
      <c r="K666" s="5" t="str">
        <f>_xlfn.XLOOKUP($N666,'Base de Grupos'!$A:$A,'Base de Grupos'!$M:$M)</f>
        <v>HELDER DA SILVA BRUNKOW</v>
      </c>
      <c r="L666" s="5" t="str">
        <f t="shared" si="305"/>
        <v/>
      </c>
      <c r="M666" s="5" t="str">
        <f>_xlfn.XLOOKUP($N666,'Base de Grupos'!$A:$A,'Base de Grupos'!$C:$C)</f>
        <v>AL</v>
      </c>
      <c r="N666" s="3">
        <v>1442</v>
      </c>
      <c r="O666" s="4" t="s">
        <v>260</v>
      </c>
      <c r="P666" s="5" t="s">
        <v>94</v>
      </c>
      <c r="Q666" s="24">
        <v>0</v>
      </c>
      <c r="R666" s="24">
        <v>4</v>
      </c>
      <c r="S666" s="24">
        <v>5</v>
      </c>
      <c r="T666" s="24">
        <v>0</v>
      </c>
      <c r="U666" s="24">
        <v>0</v>
      </c>
      <c r="V666" s="24">
        <v>0</v>
      </c>
      <c r="W666" s="24">
        <v>0</v>
      </c>
      <c r="X666" s="24">
        <v>0</v>
      </c>
      <c r="Y666" s="24">
        <v>0</v>
      </c>
      <c r="Z666" s="24">
        <v>0</v>
      </c>
      <c r="AA666" s="24">
        <v>0</v>
      </c>
      <c r="AB666" s="24">
        <v>0</v>
      </c>
      <c r="AC666" s="30">
        <f t="shared" si="311"/>
        <v>0</v>
      </c>
      <c r="AD666" s="28"/>
      <c r="AE666" s="12"/>
      <c r="AF666" s="29"/>
      <c r="AG666" s="9"/>
      <c r="AH666" s="10"/>
      <c r="AI666" s="9"/>
      <c r="AJ666" s="11"/>
      <c r="AK666" s="9"/>
      <c r="AL666" s="13"/>
      <c r="AM666" s="9"/>
    </row>
    <row r="667" spans="1:39" x14ac:dyDescent="0.3">
      <c r="A667" s="2" t="str">
        <f t="shared" si="304"/>
        <v>NÃO</v>
      </c>
      <c r="B667" s="2" t="str">
        <f>_xlfn.XLOOKUP($N667,'Base de Grupos'!$A:$A,'Base de Grupos'!$D:$D)</f>
        <v>1000065763</v>
      </c>
      <c r="C667" s="5" t="str">
        <f>_xlfn.XLOOKUP($N667,'Base de Grupos'!$A:$A,'Base de Grupos'!$E:$E)</f>
        <v>CANAL VENDA INTERNA</v>
      </c>
      <c r="D667" s="5" t="str">
        <f>_xlfn.XLOOKUP($N667,'Base de Grupos'!$A:$A,'Base de Grupos'!$F:$F)</f>
        <v>1000065763</v>
      </c>
      <c r="E667" s="2" t="str">
        <f>_xlfn.XLOOKUP($N667,'Base de Grupos'!$A:$A,'Base de Grupos'!$G:$G)</f>
        <v>CANAL VENDA INTERNA</v>
      </c>
      <c r="F667" s="2" t="str">
        <f>_xlfn.XLOOKUP($N667,'Base de Grupos'!$A:$A,'Base de Grupos'!$H:$H)</f>
        <v>1000105900</v>
      </c>
      <c r="G667" s="5" t="str">
        <f>_xlfn.XLOOKUP($N667,'Base de Grupos'!$A:$A,'Base de Grupos'!$I:$I)</f>
        <v>REGIONAL VENDA DIRETA CO + NE + NO</v>
      </c>
      <c r="H667" s="5" t="str">
        <f>_xlfn.XLOOKUP($N667,'Base de Grupos'!$A:$A,'Base de Grupos'!$J:$J)</f>
        <v>1000105900</v>
      </c>
      <c r="I667" s="2" t="str">
        <f>_xlfn.XLOOKUP($N667,'Base de Grupos'!$A:$A,'Base de Grupos'!$K:$K)</f>
        <v>REGIONAL VENDA DIRETA CO + NE + NO</v>
      </c>
      <c r="J667" s="2" t="str">
        <f>_xlfn.XLOOKUP($N667,'Base de Grupos'!$A:$A,'Base de Grupos'!$L:$L)</f>
        <v>1000150135</v>
      </c>
      <c r="K667" s="5" t="str">
        <f>_xlfn.XLOOKUP($N667,'Base de Grupos'!$A:$A,'Base de Grupos'!$M:$M)</f>
        <v>HELDER DA SILVA BRUNKOW</v>
      </c>
      <c r="L667" s="5" t="str">
        <f t="shared" si="305"/>
        <v/>
      </c>
      <c r="M667" s="5" t="str">
        <f>_xlfn.XLOOKUP($N667,'Base de Grupos'!$A:$A,'Base de Grupos'!$C:$C)</f>
        <v>AL</v>
      </c>
      <c r="N667" s="3">
        <v>1442</v>
      </c>
      <c r="O667" s="4" t="s">
        <v>260</v>
      </c>
      <c r="P667" s="5" t="s">
        <v>95</v>
      </c>
      <c r="Q667" s="24">
        <v>0</v>
      </c>
      <c r="R667" s="24">
        <v>4</v>
      </c>
      <c r="S667" s="24">
        <v>4</v>
      </c>
      <c r="T667" s="24">
        <v>0</v>
      </c>
      <c r="U667" s="24">
        <v>0</v>
      </c>
      <c r="V667" s="24">
        <v>0</v>
      </c>
      <c r="W667" s="24">
        <v>0</v>
      </c>
      <c r="X667" s="24">
        <v>0</v>
      </c>
      <c r="Y667" s="24">
        <v>0</v>
      </c>
      <c r="Z667" s="24">
        <v>0</v>
      </c>
      <c r="AA667" s="24">
        <v>0</v>
      </c>
      <c r="AB667" s="24">
        <v>0</v>
      </c>
      <c r="AC667" s="30">
        <f t="shared" si="311"/>
        <v>0</v>
      </c>
      <c r="AD667" s="28"/>
      <c r="AE667" s="12"/>
      <c r="AF667" s="29"/>
      <c r="AG667" s="9"/>
      <c r="AH667" s="10"/>
      <c r="AI667" s="9"/>
      <c r="AJ667" s="11"/>
      <c r="AK667" s="9"/>
      <c r="AL667" s="13"/>
      <c r="AM667" s="9"/>
    </row>
    <row r="668" spans="1:39" x14ac:dyDescent="0.3">
      <c r="A668" s="2" t="str">
        <f t="shared" si="304"/>
        <v>NÃO</v>
      </c>
      <c r="B668" s="2" t="str">
        <f>_xlfn.XLOOKUP($N668,'Base de Grupos'!$A:$A,'Base de Grupos'!$D:$D)</f>
        <v>1000065763</v>
      </c>
      <c r="C668" s="5" t="str">
        <f>_xlfn.XLOOKUP($N668,'Base de Grupos'!$A:$A,'Base de Grupos'!$E:$E)</f>
        <v>CANAL VENDA INTERNA</v>
      </c>
      <c r="D668" s="5" t="str">
        <f>_xlfn.XLOOKUP($N668,'Base de Grupos'!$A:$A,'Base de Grupos'!$F:$F)</f>
        <v>1000065763</v>
      </c>
      <c r="E668" s="2" t="str">
        <f>_xlfn.XLOOKUP($N668,'Base de Grupos'!$A:$A,'Base de Grupos'!$G:$G)</f>
        <v>CANAL VENDA INTERNA</v>
      </c>
      <c r="F668" s="2" t="str">
        <f>_xlfn.XLOOKUP($N668,'Base de Grupos'!$A:$A,'Base de Grupos'!$H:$H)</f>
        <v>1000105900</v>
      </c>
      <c r="G668" s="5" t="str">
        <f>_xlfn.XLOOKUP($N668,'Base de Grupos'!$A:$A,'Base de Grupos'!$I:$I)</f>
        <v>REGIONAL VENDA DIRETA CO + NE + NO</v>
      </c>
      <c r="H668" s="5" t="str">
        <f>_xlfn.XLOOKUP($N668,'Base de Grupos'!$A:$A,'Base de Grupos'!$J:$J)</f>
        <v>1000105900</v>
      </c>
      <c r="I668" s="2" t="str">
        <f>_xlfn.XLOOKUP($N668,'Base de Grupos'!$A:$A,'Base de Grupos'!$K:$K)</f>
        <v>REGIONAL VENDA DIRETA CO + NE + NO</v>
      </c>
      <c r="J668" s="2" t="str">
        <f>_xlfn.XLOOKUP($N668,'Base de Grupos'!$A:$A,'Base de Grupos'!$L:$L)</f>
        <v>1000150135</v>
      </c>
      <c r="K668" s="5" t="str">
        <f>_xlfn.XLOOKUP($N668,'Base de Grupos'!$A:$A,'Base de Grupos'!$M:$M)</f>
        <v>HELDER DA SILVA BRUNKOW</v>
      </c>
      <c r="L668" s="5" t="str">
        <f t="shared" si="305"/>
        <v/>
      </c>
      <c r="M668" s="5" t="str">
        <f>_xlfn.XLOOKUP($N668,'Base de Grupos'!$A:$A,'Base de Grupos'!$C:$C)</f>
        <v>AL</v>
      </c>
      <c r="N668" s="3">
        <v>1442</v>
      </c>
      <c r="O668" s="4" t="s">
        <v>260</v>
      </c>
      <c r="P668" s="5" t="s">
        <v>93</v>
      </c>
      <c r="Q668" s="24">
        <v>0</v>
      </c>
      <c r="R668" s="24">
        <v>1</v>
      </c>
      <c r="S668" s="24">
        <v>2</v>
      </c>
      <c r="T668" s="24">
        <v>0</v>
      </c>
      <c r="U668" s="24">
        <v>0</v>
      </c>
      <c r="V668" s="24">
        <v>0</v>
      </c>
      <c r="W668" s="24">
        <v>0</v>
      </c>
      <c r="X668" s="24">
        <v>0</v>
      </c>
      <c r="Y668" s="24">
        <v>0</v>
      </c>
      <c r="Z668" s="24">
        <v>0</v>
      </c>
      <c r="AA668" s="24">
        <v>0</v>
      </c>
      <c r="AB668" s="24">
        <v>0</v>
      </c>
      <c r="AC668" s="30">
        <f t="shared" si="311"/>
        <v>0</v>
      </c>
      <c r="AD668" s="28"/>
      <c r="AE668" s="12"/>
      <c r="AF668" s="29"/>
      <c r="AG668" s="9"/>
      <c r="AH668" s="10"/>
      <c r="AI668" s="9"/>
      <c r="AJ668" s="11"/>
      <c r="AK668" s="9"/>
      <c r="AL668" s="13"/>
      <c r="AM668" s="9"/>
    </row>
    <row r="669" spans="1:39" x14ac:dyDescent="0.3">
      <c r="A669" s="2" t="str">
        <f t="shared" si="304"/>
        <v>SIM</v>
      </c>
      <c r="B669" s="2" t="str">
        <f>_xlfn.XLOOKUP($N669,'Base de Grupos'!$A:$A,'Base de Grupos'!$D:$D)</f>
        <v>1000065763</v>
      </c>
      <c r="C669" s="5" t="str">
        <f>_xlfn.XLOOKUP($N669,'Base de Grupos'!$A:$A,'Base de Grupos'!$E:$E)</f>
        <v>CANAL VENDA INTERNA</v>
      </c>
      <c r="D669" s="5" t="str">
        <f>_xlfn.XLOOKUP($N669,'Base de Grupos'!$A:$A,'Base de Grupos'!$F:$F)</f>
        <v>1000065763</v>
      </c>
      <c r="E669" s="2" t="str">
        <f>_xlfn.XLOOKUP($N669,'Base de Grupos'!$A:$A,'Base de Grupos'!$G:$G)</f>
        <v>CANAL VENDA INTERNA</v>
      </c>
      <c r="F669" s="2" t="str">
        <f>_xlfn.XLOOKUP($N669,'Base de Grupos'!$A:$A,'Base de Grupos'!$H:$H)</f>
        <v>1000174119</v>
      </c>
      <c r="G669" s="5" t="str">
        <f>_xlfn.XLOOKUP($N669,'Base de Grupos'!$A:$A,'Base de Grupos'!$I:$I)</f>
        <v>REGIONAL VENDA INTERNA - CONVENIENCIA</v>
      </c>
      <c r="H669" s="5" t="str">
        <f>_xlfn.XLOOKUP($N669,'Base de Grupos'!$A:$A,'Base de Grupos'!$J:$J)</f>
        <v>1000174119</v>
      </c>
      <c r="I669" s="2" t="str">
        <f>_xlfn.XLOOKUP($N669,'Base de Grupos'!$A:$A,'Base de Grupos'!$K:$K)</f>
        <v>REGIONAL VENDA INTERNA - CONVENIENCIA</v>
      </c>
      <c r="J669" s="2" t="str">
        <f>_xlfn.XLOOKUP($N669,'Base de Grupos'!$A:$A,'Base de Grupos'!$L:$L)</f>
        <v>1000174119</v>
      </c>
      <c r="K669" s="5" t="str">
        <f>_xlfn.XLOOKUP($N669,'Base de Grupos'!$A:$A,'Base de Grupos'!$M:$M)</f>
        <v>REGIONAL VENDA INTERNA - CONVENIENCIA</v>
      </c>
      <c r="L669" s="5">
        <f t="shared" si="305"/>
        <v>1</v>
      </c>
      <c r="M669" s="5" t="str">
        <f>_xlfn.XLOOKUP($N669,'Base de Grupos'!$A:$A,'Base de Grupos'!$C:$C)</f>
        <v>PR</v>
      </c>
      <c r="N669" s="3">
        <v>1501</v>
      </c>
      <c r="O669" s="4" t="s">
        <v>261</v>
      </c>
      <c r="P669" s="5" t="s">
        <v>331</v>
      </c>
      <c r="Q669" s="24">
        <v>0</v>
      </c>
      <c r="R669" s="24">
        <v>3</v>
      </c>
      <c r="S669" s="24">
        <v>4</v>
      </c>
      <c r="T669" s="24">
        <v>0</v>
      </c>
      <c r="U669" s="24">
        <v>0</v>
      </c>
      <c r="V669" s="24">
        <v>0</v>
      </c>
      <c r="W669" s="24">
        <v>0</v>
      </c>
      <c r="X669" s="24">
        <v>0</v>
      </c>
      <c r="Y669" s="24">
        <v>0</v>
      </c>
      <c r="Z669" s="24">
        <v>0</v>
      </c>
      <c r="AA669" s="24">
        <v>0</v>
      </c>
      <c r="AB669" s="24">
        <v>0</v>
      </c>
      <c r="AC669" s="30">
        <f t="shared" si="311"/>
        <v>0</v>
      </c>
      <c r="AD669" s="28"/>
      <c r="AE669" s="12"/>
      <c r="AF669" s="29"/>
      <c r="AG669" s="9"/>
      <c r="AH669" s="10"/>
      <c r="AI669" s="9"/>
      <c r="AJ669" s="11"/>
      <c r="AK669" s="9"/>
      <c r="AL669" s="13"/>
      <c r="AM669" s="9"/>
    </row>
    <row r="670" spans="1:39" x14ac:dyDescent="0.3">
      <c r="A670" s="2" t="str">
        <f t="shared" si="304"/>
        <v>NÃO</v>
      </c>
      <c r="B670" s="2" t="str">
        <f>_xlfn.XLOOKUP($N670,'Base de Grupos'!$A:$A,'Base de Grupos'!$D:$D)</f>
        <v>1000065763</v>
      </c>
      <c r="C670" s="5" t="str">
        <f>_xlfn.XLOOKUP($N670,'Base de Grupos'!$A:$A,'Base de Grupos'!$E:$E)</f>
        <v>CANAL VENDA INTERNA</v>
      </c>
      <c r="D670" s="5" t="str">
        <f>_xlfn.XLOOKUP($N670,'Base de Grupos'!$A:$A,'Base de Grupos'!$F:$F)</f>
        <v>1000065763</v>
      </c>
      <c r="E670" s="2" t="str">
        <f>_xlfn.XLOOKUP($N670,'Base de Grupos'!$A:$A,'Base de Grupos'!$G:$G)</f>
        <v>CANAL VENDA INTERNA</v>
      </c>
      <c r="F670" s="2" t="str">
        <f>_xlfn.XLOOKUP($N670,'Base de Grupos'!$A:$A,'Base de Grupos'!$H:$H)</f>
        <v>1000174119</v>
      </c>
      <c r="G670" s="5" t="str">
        <f>_xlfn.XLOOKUP($N670,'Base de Grupos'!$A:$A,'Base de Grupos'!$I:$I)</f>
        <v>REGIONAL VENDA INTERNA - CONVENIENCIA</v>
      </c>
      <c r="H670" s="5" t="str">
        <f>_xlfn.XLOOKUP($N670,'Base de Grupos'!$A:$A,'Base de Grupos'!$J:$J)</f>
        <v>1000174119</v>
      </c>
      <c r="I670" s="2" t="str">
        <f>_xlfn.XLOOKUP($N670,'Base de Grupos'!$A:$A,'Base de Grupos'!$K:$K)</f>
        <v>REGIONAL VENDA INTERNA - CONVENIENCIA</v>
      </c>
      <c r="J670" s="2" t="str">
        <f>_xlfn.XLOOKUP($N670,'Base de Grupos'!$A:$A,'Base de Grupos'!$L:$L)</f>
        <v>1000174119</v>
      </c>
      <c r="K670" s="5" t="str">
        <f>_xlfn.XLOOKUP($N670,'Base de Grupos'!$A:$A,'Base de Grupos'!$M:$M)</f>
        <v>REGIONAL VENDA INTERNA - CONVENIENCIA</v>
      </c>
      <c r="L670" s="5" t="str">
        <f t="shared" si="305"/>
        <v/>
      </c>
      <c r="M670" s="5" t="str">
        <f>_xlfn.XLOOKUP($N670,'Base de Grupos'!$A:$A,'Base de Grupos'!$C:$C)</f>
        <v>PR</v>
      </c>
      <c r="N670" s="3">
        <v>1501</v>
      </c>
      <c r="O670" s="4" t="s">
        <v>261</v>
      </c>
      <c r="P670" s="5" t="s">
        <v>81</v>
      </c>
      <c r="Q670" s="24">
        <v>0</v>
      </c>
      <c r="R670" s="24">
        <v>2</v>
      </c>
      <c r="S670" s="24">
        <v>2</v>
      </c>
      <c r="T670" s="24">
        <v>0</v>
      </c>
      <c r="U670" s="24">
        <v>0</v>
      </c>
      <c r="V670" s="24">
        <v>0</v>
      </c>
      <c r="W670" s="24">
        <v>0</v>
      </c>
      <c r="X670" s="24">
        <v>0</v>
      </c>
      <c r="Y670" s="24">
        <v>0</v>
      </c>
      <c r="Z670" s="24">
        <v>0</v>
      </c>
      <c r="AA670" s="24">
        <v>0</v>
      </c>
      <c r="AB670" s="24">
        <v>0</v>
      </c>
      <c r="AC670" s="30">
        <f t="shared" si="311"/>
        <v>0</v>
      </c>
      <c r="AD670" s="28"/>
      <c r="AE670" s="12"/>
      <c r="AF670" s="29"/>
      <c r="AG670" s="9"/>
      <c r="AH670" s="10"/>
      <c r="AI670" s="9"/>
      <c r="AJ670" s="11"/>
      <c r="AK670" s="9"/>
      <c r="AL670" s="13"/>
      <c r="AM670" s="9"/>
    </row>
    <row r="671" spans="1:39" x14ac:dyDescent="0.3">
      <c r="A671" s="2" t="str">
        <f t="shared" si="304"/>
        <v>NÃO</v>
      </c>
      <c r="B671" s="2" t="str">
        <f>_xlfn.XLOOKUP($N671,'Base de Grupos'!$A:$A,'Base de Grupos'!$D:$D)</f>
        <v>1000065763</v>
      </c>
      <c r="C671" s="5" t="str">
        <f>_xlfn.XLOOKUP($N671,'Base de Grupos'!$A:$A,'Base de Grupos'!$E:$E)</f>
        <v>CANAL VENDA INTERNA</v>
      </c>
      <c r="D671" s="5" t="str">
        <f>_xlfn.XLOOKUP($N671,'Base de Grupos'!$A:$A,'Base de Grupos'!$F:$F)</f>
        <v>1000065763</v>
      </c>
      <c r="E671" s="2" t="str">
        <f>_xlfn.XLOOKUP($N671,'Base de Grupos'!$A:$A,'Base de Grupos'!$G:$G)</f>
        <v>CANAL VENDA INTERNA</v>
      </c>
      <c r="F671" s="2" t="str">
        <f>_xlfn.XLOOKUP($N671,'Base de Grupos'!$A:$A,'Base de Grupos'!$H:$H)</f>
        <v>1000174119</v>
      </c>
      <c r="G671" s="5" t="str">
        <f>_xlfn.XLOOKUP($N671,'Base de Grupos'!$A:$A,'Base de Grupos'!$I:$I)</f>
        <v>REGIONAL VENDA INTERNA - CONVENIENCIA</v>
      </c>
      <c r="H671" s="5" t="str">
        <f>_xlfn.XLOOKUP($N671,'Base de Grupos'!$A:$A,'Base de Grupos'!$J:$J)</f>
        <v>1000174119</v>
      </c>
      <c r="I671" s="2" t="str">
        <f>_xlfn.XLOOKUP($N671,'Base de Grupos'!$A:$A,'Base de Grupos'!$K:$K)</f>
        <v>REGIONAL VENDA INTERNA - CONVENIENCIA</v>
      </c>
      <c r="J671" s="2" t="str">
        <f>_xlfn.XLOOKUP($N671,'Base de Grupos'!$A:$A,'Base de Grupos'!$L:$L)</f>
        <v>1000174119</v>
      </c>
      <c r="K671" s="5" t="str">
        <f>_xlfn.XLOOKUP($N671,'Base de Grupos'!$A:$A,'Base de Grupos'!$M:$M)</f>
        <v>REGIONAL VENDA INTERNA - CONVENIENCIA</v>
      </c>
      <c r="L671" s="5" t="str">
        <f t="shared" si="305"/>
        <v/>
      </c>
      <c r="M671" s="5" t="str">
        <f>_xlfn.XLOOKUP($N671,'Base de Grupos'!$A:$A,'Base de Grupos'!$C:$C)</f>
        <v>PR</v>
      </c>
      <c r="N671" s="3">
        <v>1501</v>
      </c>
      <c r="O671" s="4" t="s">
        <v>261</v>
      </c>
      <c r="P671" s="5" t="s">
        <v>82</v>
      </c>
      <c r="Q671" s="24">
        <v>0</v>
      </c>
      <c r="R671" s="24">
        <v>1</v>
      </c>
      <c r="S671" s="24">
        <v>2</v>
      </c>
      <c r="T671" s="24">
        <v>0</v>
      </c>
      <c r="U671" s="24">
        <v>0</v>
      </c>
      <c r="V671" s="24">
        <v>0</v>
      </c>
      <c r="W671" s="24">
        <v>0</v>
      </c>
      <c r="X671" s="24">
        <v>0</v>
      </c>
      <c r="Y671" s="24">
        <v>0</v>
      </c>
      <c r="Z671" s="24">
        <v>0</v>
      </c>
      <c r="AA671" s="24">
        <v>0</v>
      </c>
      <c r="AB671" s="24">
        <v>0</v>
      </c>
      <c r="AC671" s="30">
        <f t="shared" si="311"/>
        <v>0</v>
      </c>
      <c r="AD671" s="28"/>
      <c r="AE671" s="12"/>
      <c r="AF671" s="29"/>
      <c r="AG671" s="9"/>
      <c r="AH671" s="10"/>
      <c r="AI671" s="9"/>
      <c r="AJ671" s="11"/>
      <c r="AK671" s="9"/>
      <c r="AL671" s="13"/>
      <c r="AM671" s="9"/>
    </row>
    <row r="672" spans="1:39" x14ac:dyDescent="0.3">
      <c r="A672" s="2" t="str">
        <f t="shared" si="304"/>
        <v>NÃO</v>
      </c>
      <c r="B672" s="2" t="str">
        <f>_xlfn.XLOOKUP($N672,'Base de Grupos'!$A:$A,'Base de Grupos'!$D:$D)</f>
        <v>1000065763</v>
      </c>
      <c r="C672" s="5" t="str">
        <f>_xlfn.XLOOKUP($N672,'Base de Grupos'!$A:$A,'Base de Grupos'!$E:$E)</f>
        <v>CANAL VENDA INTERNA</v>
      </c>
      <c r="D672" s="5" t="str">
        <f>_xlfn.XLOOKUP($N672,'Base de Grupos'!$A:$A,'Base de Grupos'!$F:$F)</f>
        <v>1000065763</v>
      </c>
      <c r="E672" s="2" t="str">
        <f>_xlfn.XLOOKUP($N672,'Base de Grupos'!$A:$A,'Base de Grupos'!$G:$G)</f>
        <v>CANAL VENDA INTERNA</v>
      </c>
      <c r="F672" s="2" t="str">
        <f>_xlfn.XLOOKUP($N672,'Base de Grupos'!$A:$A,'Base de Grupos'!$H:$H)</f>
        <v>1000174119</v>
      </c>
      <c r="G672" s="5" t="str">
        <f>_xlfn.XLOOKUP($N672,'Base de Grupos'!$A:$A,'Base de Grupos'!$I:$I)</f>
        <v>REGIONAL VENDA INTERNA - CONVENIENCIA</v>
      </c>
      <c r="H672" s="5" t="str">
        <f>_xlfn.XLOOKUP($N672,'Base de Grupos'!$A:$A,'Base de Grupos'!$J:$J)</f>
        <v>1000174119</v>
      </c>
      <c r="I672" s="2" t="str">
        <f>_xlfn.XLOOKUP($N672,'Base de Grupos'!$A:$A,'Base de Grupos'!$K:$K)</f>
        <v>REGIONAL VENDA INTERNA - CONVENIENCIA</v>
      </c>
      <c r="J672" s="2" t="str">
        <f>_xlfn.XLOOKUP($N672,'Base de Grupos'!$A:$A,'Base de Grupos'!$L:$L)</f>
        <v>1000174119</v>
      </c>
      <c r="K672" s="5" t="str">
        <f>_xlfn.XLOOKUP($N672,'Base de Grupos'!$A:$A,'Base de Grupos'!$M:$M)</f>
        <v>REGIONAL VENDA INTERNA - CONVENIENCIA</v>
      </c>
      <c r="L672" s="5" t="str">
        <f t="shared" si="305"/>
        <v/>
      </c>
      <c r="M672" s="5" t="str">
        <f>_xlfn.XLOOKUP($N672,'Base de Grupos'!$A:$A,'Base de Grupos'!$C:$C)</f>
        <v>PR</v>
      </c>
      <c r="N672" s="3">
        <v>1501</v>
      </c>
      <c r="O672" s="4" t="s">
        <v>261</v>
      </c>
      <c r="P672" s="5" t="s">
        <v>84</v>
      </c>
      <c r="Q672" s="24">
        <v>0</v>
      </c>
      <c r="R672" s="24">
        <v>6</v>
      </c>
      <c r="S672" s="24">
        <v>7</v>
      </c>
      <c r="T672" s="24">
        <v>0</v>
      </c>
      <c r="U672" s="24">
        <v>0</v>
      </c>
      <c r="V672" s="24">
        <v>0</v>
      </c>
      <c r="W672" s="24">
        <v>0</v>
      </c>
      <c r="X672" s="24">
        <v>0</v>
      </c>
      <c r="Y672" s="24">
        <v>0</v>
      </c>
      <c r="Z672" s="24">
        <v>0</v>
      </c>
      <c r="AA672" s="24">
        <v>0</v>
      </c>
      <c r="AB672" s="24">
        <v>0</v>
      </c>
      <c r="AC672" s="30">
        <f t="shared" si="311"/>
        <v>0</v>
      </c>
      <c r="AD672" s="28"/>
      <c r="AE672" s="12"/>
      <c r="AF672" s="29"/>
      <c r="AG672" s="9"/>
      <c r="AH672" s="10"/>
      <c r="AI672" s="9"/>
      <c r="AJ672" s="11"/>
      <c r="AK672" s="9"/>
      <c r="AL672" s="13"/>
      <c r="AM672" s="9"/>
    </row>
    <row r="673" spans="1:39" x14ac:dyDescent="0.3">
      <c r="A673" s="2" t="str">
        <f t="shared" si="304"/>
        <v>NÃO</v>
      </c>
      <c r="B673" s="2" t="str">
        <f>_xlfn.XLOOKUP($N673,'Base de Grupos'!$A:$A,'Base de Grupos'!$D:$D)</f>
        <v>1000065763</v>
      </c>
      <c r="C673" s="5" t="str">
        <f>_xlfn.XLOOKUP($N673,'Base de Grupos'!$A:$A,'Base de Grupos'!$E:$E)</f>
        <v>CANAL VENDA INTERNA</v>
      </c>
      <c r="D673" s="5" t="str">
        <f>_xlfn.XLOOKUP($N673,'Base de Grupos'!$A:$A,'Base de Grupos'!$F:$F)</f>
        <v>1000065763</v>
      </c>
      <c r="E673" s="2" t="str">
        <f>_xlfn.XLOOKUP($N673,'Base de Grupos'!$A:$A,'Base de Grupos'!$G:$G)</f>
        <v>CANAL VENDA INTERNA</v>
      </c>
      <c r="F673" s="2" t="str">
        <f>_xlfn.XLOOKUP($N673,'Base de Grupos'!$A:$A,'Base de Grupos'!$H:$H)</f>
        <v>1000174119</v>
      </c>
      <c r="G673" s="5" t="str">
        <f>_xlfn.XLOOKUP($N673,'Base de Grupos'!$A:$A,'Base de Grupos'!$I:$I)</f>
        <v>REGIONAL VENDA INTERNA - CONVENIENCIA</v>
      </c>
      <c r="H673" s="5" t="str">
        <f>_xlfn.XLOOKUP($N673,'Base de Grupos'!$A:$A,'Base de Grupos'!$J:$J)</f>
        <v>1000174119</v>
      </c>
      <c r="I673" s="2" t="str">
        <f>_xlfn.XLOOKUP($N673,'Base de Grupos'!$A:$A,'Base de Grupos'!$K:$K)</f>
        <v>REGIONAL VENDA INTERNA - CONVENIENCIA</v>
      </c>
      <c r="J673" s="2" t="str">
        <f>_xlfn.XLOOKUP($N673,'Base de Grupos'!$A:$A,'Base de Grupos'!$L:$L)</f>
        <v>1000174119</v>
      </c>
      <c r="K673" s="5" t="str">
        <f>_xlfn.XLOOKUP($N673,'Base de Grupos'!$A:$A,'Base de Grupos'!$M:$M)</f>
        <v>REGIONAL VENDA INTERNA - CONVENIENCIA</v>
      </c>
      <c r="L673" s="5" t="str">
        <f t="shared" si="305"/>
        <v/>
      </c>
      <c r="M673" s="5" t="str">
        <f>_xlfn.XLOOKUP($N673,'Base de Grupos'!$A:$A,'Base de Grupos'!$C:$C)</f>
        <v>PR</v>
      </c>
      <c r="N673" s="3">
        <v>1501</v>
      </c>
      <c r="O673" s="4" t="s">
        <v>261</v>
      </c>
      <c r="P673" s="5" t="s">
        <v>83</v>
      </c>
      <c r="Q673" s="24">
        <v>0</v>
      </c>
      <c r="R673" s="24">
        <v>0</v>
      </c>
      <c r="S673" s="24">
        <v>0</v>
      </c>
      <c r="T673" s="24">
        <v>0</v>
      </c>
      <c r="U673" s="24">
        <v>0</v>
      </c>
      <c r="V673" s="24">
        <v>0</v>
      </c>
      <c r="W673" s="24">
        <v>0</v>
      </c>
      <c r="X673" s="24">
        <v>0</v>
      </c>
      <c r="Y673" s="24">
        <v>0</v>
      </c>
      <c r="Z673" s="24">
        <v>0</v>
      </c>
      <c r="AA673" s="24">
        <v>0</v>
      </c>
      <c r="AB673" s="24">
        <v>0</v>
      </c>
      <c r="AC673" s="30">
        <f t="shared" si="311"/>
        <v>0</v>
      </c>
      <c r="AD673" s="28"/>
      <c r="AE673" s="12"/>
      <c r="AF673" s="29"/>
      <c r="AG673" s="9"/>
      <c r="AH673" s="10"/>
      <c r="AI673" s="9"/>
      <c r="AJ673" s="11"/>
      <c r="AK673" s="9"/>
      <c r="AL673" s="13"/>
      <c r="AM673" s="9"/>
    </row>
    <row r="674" spans="1:39" x14ac:dyDescent="0.3">
      <c r="A674" s="2" t="str">
        <f t="shared" si="304"/>
        <v>NÃO</v>
      </c>
      <c r="B674" s="2" t="str">
        <f>_xlfn.XLOOKUP($N674,'Base de Grupos'!$A:$A,'Base de Grupos'!$D:$D)</f>
        <v>1000065763</v>
      </c>
      <c r="C674" s="5" t="str">
        <f>_xlfn.XLOOKUP($N674,'Base de Grupos'!$A:$A,'Base de Grupos'!$E:$E)</f>
        <v>CANAL VENDA INTERNA</v>
      </c>
      <c r="D674" s="5" t="str">
        <f>_xlfn.XLOOKUP($N674,'Base de Grupos'!$A:$A,'Base de Grupos'!$F:$F)</f>
        <v>1000065763</v>
      </c>
      <c r="E674" s="2" t="str">
        <f>_xlfn.XLOOKUP($N674,'Base de Grupos'!$A:$A,'Base de Grupos'!$G:$G)</f>
        <v>CANAL VENDA INTERNA</v>
      </c>
      <c r="F674" s="2" t="str">
        <f>_xlfn.XLOOKUP($N674,'Base de Grupos'!$A:$A,'Base de Grupos'!$H:$H)</f>
        <v>1000174119</v>
      </c>
      <c r="G674" s="5" t="str">
        <f>_xlfn.XLOOKUP($N674,'Base de Grupos'!$A:$A,'Base de Grupos'!$I:$I)</f>
        <v>REGIONAL VENDA INTERNA - CONVENIENCIA</v>
      </c>
      <c r="H674" s="5" t="str">
        <f>_xlfn.XLOOKUP($N674,'Base de Grupos'!$A:$A,'Base de Grupos'!$J:$J)</f>
        <v>1000174119</v>
      </c>
      <c r="I674" s="2" t="str">
        <f>_xlfn.XLOOKUP($N674,'Base de Grupos'!$A:$A,'Base de Grupos'!$K:$K)</f>
        <v>REGIONAL VENDA INTERNA - CONVENIENCIA</v>
      </c>
      <c r="J674" s="2" t="str">
        <f>_xlfn.XLOOKUP($N674,'Base de Grupos'!$A:$A,'Base de Grupos'!$L:$L)</f>
        <v>1000174119</v>
      </c>
      <c r="K674" s="5" t="str">
        <f>_xlfn.XLOOKUP($N674,'Base de Grupos'!$A:$A,'Base de Grupos'!$M:$M)</f>
        <v>REGIONAL VENDA INTERNA - CONVENIENCIA</v>
      </c>
      <c r="L674" s="5" t="str">
        <f t="shared" si="305"/>
        <v/>
      </c>
      <c r="M674" s="5" t="str">
        <f>_xlfn.XLOOKUP($N674,'Base de Grupos'!$A:$A,'Base de Grupos'!$C:$C)</f>
        <v>PR</v>
      </c>
      <c r="N674" s="3">
        <v>1501</v>
      </c>
      <c r="O674" s="4" t="s">
        <v>261</v>
      </c>
      <c r="P674" s="5" t="s">
        <v>87</v>
      </c>
      <c r="Q674" s="24">
        <v>0</v>
      </c>
      <c r="R674" s="24">
        <v>0</v>
      </c>
      <c r="S674" s="24">
        <v>0</v>
      </c>
      <c r="T674" s="24">
        <v>0</v>
      </c>
      <c r="U674" s="24">
        <v>0</v>
      </c>
      <c r="V674" s="24">
        <v>0</v>
      </c>
      <c r="W674" s="24">
        <v>0</v>
      </c>
      <c r="X674" s="24">
        <v>0</v>
      </c>
      <c r="Y674" s="24">
        <v>0</v>
      </c>
      <c r="Z674" s="24">
        <v>0</v>
      </c>
      <c r="AA674" s="24">
        <v>0</v>
      </c>
      <c r="AB674" s="24">
        <v>0</v>
      </c>
      <c r="AC674" s="30">
        <f t="shared" si="311"/>
        <v>0</v>
      </c>
      <c r="AD674" s="28"/>
      <c r="AE674" s="12"/>
      <c r="AF674" s="29"/>
      <c r="AG674" s="9"/>
      <c r="AH674" s="10"/>
      <c r="AI674" s="9"/>
      <c r="AJ674" s="11"/>
      <c r="AK674" s="9"/>
      <c r="AL674" s="13"/>
      <c r="AM674" s="9"/>
    </row>
    <row r="675" spans="1:39" x14ac:dyDescent="0.3">
      <c r="A675" s="2" t="str">
        <f t="shared" si="304"/>
        <v>NÃO</v>
      </c>
      <c r="B675" s="2" t="str">
        <f>_xlfn.XLOOKUP($N675,'Base de Grupos'!$A:$A,'Base de Grupos'!$D:$D)</f>
        <v>1000065763</v>
      </c>
      <c r="C675" s="5" t="str">
        <f>_xlfn.XLOOKUP($N675,'Base de Grupos'!$A:$A,'Base de Grupos'!$E:$E)</f>
        <v>CANAL VENDA INTERNA</v>
      </c>
      <c r="D675" s="5" t="str">
        <f>_xlfn.XLOOKUP($N675,'Base de Grupos'!$A:$A,'Base de Grupos'!$F:$F)</f>
        <v>1000065763</v>
      </c>
      <c r="E675" s="2" t="str">
        <f>_xlfn.XLOOKUP($N675,'Base de Grupos'!$A:$A,'Base de Grupos'!$G:$G)</f>
        <v>CANAL VENDA INTERNA</v>
      </c>
      <c r="F675" s="2" t="str">
        <f>_xlfn.XLOOKUP($N675,'Base de Grupos'!$A:$A,'Base de Grupos'!$H:$H)</f>
        <v>1000174119</v>
      </c>
      <c r="G675" s="5" t="str">
        <f>_xlfn.XLOOKUP($N675,'Base de Grupos'!$A:$A,'Base de Grupos'!$I:$I)</f>
        <v>REGIONAL VENDA INTERNA - CONVENIENCIA</v>
      </c>
      <c r="H675" s="5" t="str">
        <f>_xlfn.XLOOKUP($N675,'Base de Grupos'!$A:$A,'Base de Grupos'!$J:$J)</f>
        <v>1000174119</v>
      </c>
      <c r="I675" s="2" t="str">
        <f>_xlfn.XLOOKUP($N675,'Base de Grupos'!$A:$A,'Base de Grupos'!$K:$K)</f>
        <v>REGIONAL VENDA INTERNA - CONVENIENCIA</v>
      </c>
      <c r="J675" s="2" t="str">
        <f>_xlfn.XLOOKUP($N675,'Base de Grupos'!$A:$A,'Base de Grupos'!$L:$L)</f>
        <v>1000174119</v>
      </c>
      <c r="K675" s="5" t="str">
        <f>_xlfn.XLOOKUP($N675,'Base de Grupos'!$A:$A,'Base de Grupos'!$M:$M)</f>
        <v>REGIONAL VENDA INTERNA - CONVENIENCIA</v>
      </c>
      <c r="L675" s="5" t="str">
        <f t="shared" si="305"/>
        <v/>
      </c>
      <c r="M675" s="5" t="str">
        <f>_xlfn.XLOOKUP($N675,'Base de Grupos'!$A:$A,'Base de Grupos'!$C:$C)</f>
        <v>PR</v>
      </c>
      <c r="N675" s="3">
        <v>1501</v>
      </c>
      <c r="O675" s="4" t="s">
        <v>261</v>
      </c>
      <c r="P675" s="5" t="s">
        <v>85</v>
      </c>
      <c r="Q675" s="24">
        <v>0</v>
      </c>
      <c r="R675" s="24">
        <v>0</v>
      </c>
      <c r="S675" s="24">
        <v>0</v>
      </c>
      <c r="T675" s="24">
        <v>0</v>
      </c>
      <c r="U675" s="24">
        <v>0</v>
      </c>
      <c r="V675" s="24">
        <v>0</v>
      </c>
      <c r="W675" s="24">
        <v>0</v>
      </c>
      <c r="X675" s="24">
        <v>0</v>
      </c>
      <c r="Y675" s="24">
        <v>0</v>
      </c>
      <c r="Z675" s="24">
        <v>0</v>
      </c>
      <c r="AA675" s="24">
        <v>0</v>
      </c>
      <c r="AB675" s="24">
        <v>0</v>
      </c>
      <c r="AC675" s="30">
        <f t="shared" si="311"/>
        <v>0</v>
      </c>
      <c r="AD675" s="28"/>
      <c r="AE675" s="12"/>
      <c r="AF675" s="29"/>
      <c r="AG675" s="9"/>
      <c r="AH675" s="10"/>
      <c r="AI675" s="9"/>
      <c r="AJ675" s="11"/>
      <c r="AK675" s="9"/>
      <c r="AL675" s="13"/>
      <c r="AM675" s="9"/>
    </row>
    <row r="676" spans="1:39" x14ac:dyDescent="0.3">
      <c r="A676" s="2" t="str">
        <f t="shared" si="304"/>
        <v>NÃO</v>
      </c>
      <c r="B676" s="2" t="str">
        <f>_xlfn.XLOOKUP($N676,'Base de Grupos'!$A:$A,'Base de Grupos'!$D:$D)</f>
        <v>1000065763</v>
      </c>
      <c r="C676" s="5" t="str">
        <f>_xlfn.XLOOKUP($N676,'Base de Grupos'!$A:$A,'Base de Grupos'!$E:$E)</f>
        <v>CANAL VENDA INTERNA</v>
      </c>
      <c r="D676" s="5" t="str">
        <f>_xlfn.XLOOKUP($N676,'Base de Grupos'!$A:$A,'Base de Grupos'!$F:$F)</f>
        <v>1000065763</v>
      </c>
      <c r="E676" s="2" t="str">
        <f>_xlfn.XLOOKUP($N676,'Base de Grupos'!$A:$A,'Base de Grupos'!$G:$G)</f>
        <v>CANAL VENDA INTERNA</v>
      </c>
      <c r="F676" s="2" t="str">
        <f>_xlfn.XLOOKUP($N676,'Base de Grupos'!$A:$A,'Base de Grupos'!$H:$H)</f>
        <v>1000174119</v>
      </c>
      <c r="G676" s="5" t="str">
        <f>_xlfn.XLOOKUP($N676,'Base de Grupos'!$A:$A,'Base de Grupos'!$I:$I)</f>
        <v>REGIONAL VENDA INTERNA - CONVENIENCIA</v>
      </c>
      <c r="H676" s="5" t="str">
        <f>_xlfn.XLOOKUP($N676,'Base de Grupos'!$A:$A,'Base de Grupos'!$J:$J)</f>
        <v>1000174119</v>
      </c>
      <c r="I676" s="2" t="str">
        <f>_xlfn.XLOOKUP($N676,'Base de Grupos'!$A:$A,'Base de Grupos'!$K:$K)</f>
        <v>REGIONAL VENDA INTERNA - CONVENIENCIA</v>
      </c>
      <c r="J676" s="2" t="str">
        <f>_xlfn.XLOOKUP($N676,'Base de Grupos'!$A:$A,'Base de Grupos'!$L:$L)</f>
        <v>1000174119</v>
      </c>
      <c r="K676" s="5" t="str">
        <f>_xlfn.XLOOKUP($N676,'Base de Grupos'!$A:$A,'Base de Grupos'!$M:$M)</f>
        <v>REGIONAL VENDA INTERNA - CONVENIENCIA</v>
      </c>
      <c r="L676" s="5" t="str">
        <f t="shared" si="305"/>
        <v/>
      </c>
      <c r="M676" s="5" t="str">
        <f>_xlfn.XLOOKUP($N676,'Base de Grupos'!$A:$A,'Base de Grupos'!$C:$C)</f>
        <v>PR</v>
      </c>
      <c r="N676" s="3">
        <v>1501</v>
      </c>
      <c r="O676" s="4" t="s">
        <v>261</v>
      </c>
      <c r="P676" s="5" t="s">
        <v>92</v>
      </c>
      <c r="Q676" s="24">
        <v>0</v>
      </c>
      <c r="R676" s="24">
        <v>0</v>
      </c>
      <c r="S676" s="24">
        <v>0</v>
      </c>
      <c r="T676" s="24">
        <v>0</v>
      </c>
      <c r="U676" s="24">
        <v>0</v>
      </c>
      <c r="V676" s="24">
        <v>0</v>
      </c>
      <c r="W676" s="24">
        <v>0</v>
      </c>
      <c r="X676" s="24">
        <v>0</v>
      </c>
      <c r="Y676" s="24">
        <v>0</v>
      </c>
      <c r="Z676" s="24">
        <v>0</v>
      </c>
      <c r="AA676" s="24">
        <v>0</v>
      </c>
      <c r="AB676" s="24">
        <v>0</v>
      </c>
      <c r="AC676" s="30">
        <f t="shared" si="311"/>
        <v>0</v>
      </c>
      <c r="AD676" s="28"/>
      <c r="AE676" s="12"/>
      <c r="AF676" s="29"/>
      <c r="AG676" s="9"/>
      <c r="AH676" s="10"/>
      <c r="AI676" s="9"/>
      <c r="AJ676" s="11"/>
      <c r="AK676" s="9"/>
      <c r="AL676" s="13"/>
      <c r="AM676" s="9"/>
    </row>
    <row r="677" spans="1:39" x14ac:dyDescent="0.3">
      <c r="A677" s="2" t="str">
        <f t="shared" si="304"/>
        <v>NÃO</v>
      </c>
      <c r="B677" s="2" t="str">
        <f>_xlfn.XLOOKUP($N677,'Base de Grupos'!$A:$A,'Base de Grupos'!$D:$D)</f>
        <v>1000065763</v>
      </c>
      <c r="C677" s="5" t="str">
        <f>_xlfn.XLOOKUP($N677,'Base de Grupos'!$A:$A,'Base de Grupos'!$E:$E)</f>
        <v>CANAL VENDA INTERNA</v>
      </c>
      <c r="D677" s="5" t="str">
        <f>_xlfn.XLOOKUP($N677,'Base de Grupos'!$A:$A,'Base de Grupos'!$F:$F)</f>
        <v>1000065763</v>
      </c>
      <c r="E677" s="2" t="str">
        <f>_xlfn.XLOOKUP($N677,'Base de Grupos'!$A:$A,'Base de Grupos'!$G:$G)</f>
        <v>CANAL VENDA INTERNA</v>
      </c>
      <c r="F677" s="2" t="str">
        <f>_xlfn.XLOOKUP($N677,'Base de Grupos'!$A:$A,'Base de Grupos'!$H:$H)</f>
        <v>1000174119</v>
      </c>
      <c r="G677" s="5" t="str">
        <f>_xlfn.XLOOKUP($N677,'Base de Grupos'!$A:$A,'Base de Grupos'!$I:$I)</f>
        <v>REGIONAL VENDA INTERNA - CONVENIENCIA</v>
      </c>
      <c r="H677" s="5" t="str">
        <f>_xlfn.XLOOKUP($N677,'Base de Grupos'!$A:$A,'Base de Grupos'!$J:$J)</f>
        <v>1000174119</v>
      </c>
      <c r="I677" s="2" t="str">
        <f>_xlfn.XLOOKUP($N677,'Base de Grupos'!$A:$A,'Base de Grupos'!$K:$K)</f>
        <v>REGIONAL VENDA INTERNA - CONVENIENCIA</v>
      </c>
      <c r="J677" s="2" t="str">
        <f>_xlfn.XLOOKUP($N677,'Base de Grupos'!$A:$A,'Base de Grupos'!$L:$L)</f>
        <v>1000174119</v>
      </c>
      <c r="K677" s="5" t="str">
        <f>_xlfn.XLOOKUP($N677,'Base de Grupos'!$A:$A,'Base de Grupos'!$M:$M)</f>
        <v>REGIONAL VENDA INTERNA - CONVENIENCIA</v>
      </c>
      <c r="L677" s="5" t="str">
        <f t="shared" si="305"/>
        <v/>
      </c>
      <c r="M677" s="5" t="str">
        <f>_xlfn.XLOOKUP($N677,'Base de Grupos'!$A:$A,'Base de Grupos'!$C:$C)</f>
        <v>PR</v>
      </c>
      <c r="N677" s="3">
        <v>1501</v>
      </c>
      <c r="O677" s="4" t="s">
        <v>261</v>
      </c>
      <c r="P677" s="5" t="s">
        <v>86</v>
      </c>
      <c r="Q677" s="24">
        <v>0</v>
      </c>
      <c r="R677" s="24">
        <v>4</v>
      </c>
      <c r="S677" s="24">
        <v>4</v>
      </c>
      <c r="T677" s="24">
        <v>0</v>
      </c>
      <c r="U677" s="24">
        <v>0</v>
      </c>
      <c r="V677" s="24">
        <v>0</v>
      </c>
      <c r="W677" s="24">
        <v>0</v>
      </c>
      <c r="X677" s="24">
        <v>0</v>
      </c>
      <c r="Y677" s="24">
        <v>0</v>
      </c>
      <c r="Z677" s="24">
        <v>0</v>
      </c>
      <c r="AA677" s="24">
        <v>0</v>
      </c>
      <c r="AB677" s="24">
        <v>0</v>
      </c>
      <c r="AC677" s="30">
        <f t="shared" si="311"/>
        <v>0</v>
      </c>
      <c r="AD677" s="28"/>
      <c r="AE677" s="12"/>
      <c r="AF677" s="29"/>
      <c r="AG677" s="9"/>
      <c r="AH677" s="10"/>
      <c r="AI677" s="9"/>
      <c r="AJ677" s="11"/>
      <c r="AK677" s="9"/>
      <c r="AL677" s="13"/>
      <c r="AM677" s="9"/>
    </row>
    <row r="678" spans="1:39" x14ac:dyDescent="0.3">
      <c r="A678" s="2" t="str">
        <f t="shared" si="304"/>
        <v>NÃO</v>
      </c>
      <c r="B678" s="2" t="str">
        <f>_xlfn.XLOOKUP($N678,'Base de Grupos'!$A:$A,'Base de Grupos'!$D:$D)</f>
        <v>1000065763</v>
      </c>
      <c r="C678" s="5" t="str">
        <f>_xlfn.XLOOKUP($N678,'Base de Grupos'!$A:$A,'Base de Grupos'!$E:$E)</f>
        <v>CANAL VENDA INTERNA</v>
      </c>
      <c r="D678" s="5" t="str">
        <f>_xlfn.XLOOKUP($N678,'Base de Grupos'!$A:$A,'Base de Grupos'!$F:$F)</f>
        <v>1000065763</v>
      </c>
      <c r="E678" s="2" t="str">
        <f>_xlfn.XLOOKUP($N678,'Base de Grupos'!$A:$A,'Base de Grupos'!$G:$G)</f>
        <v>CANAL VENDA INTERNA</v>
      </c>
      <c r="F678" s="2" t="str">
        <f>_xlfn.XLOOKUP($N678,'Base de Grupos'!$A:$A,'Base de Grupos'!$H:$H)</f>
        <v>1000174119</v>
      </c>
      <c r="G678" s="5" t="str">
        <f>_xlfn.XLOOKUP($N678,'Base de Grupos'!$A:$A,'Base de Grupos'!$I:$I)</f>
        <v>REGIONAL VENDA INTERNA - CONVENIENCIA</v>
      </c>
      <c r="H678" s="5" t="str">
        <f>_xlfn.XLOOKUP($N678,'Base de Grupos'!$A:$A,'Base de Grupos'!$J:$J)</f>
        <v>1000174119</v>
      </c>
      <c r="I678" s="2" t="str">
        <f>_xlfn.XLOOKUP($N678,'Base de Grupos'!$A:$A,'Base de Grupos'!$K:$K)</f>
        <v>REGIONAL VENDA INTERNA - CONVENIENCIA</v>
      </c>
      <c r="J678" s="2" t="str">
        <f>_xlfn.XLOOKUP($N678,'Base de Grupos'!$A:$A,'Base de Grupos'!$L:$L)</f>
        <v>1000174119</v>
      </c>
      <c r="K678" s="5" t="str">
        <f>_xlfn.XLOOKUP($N678,'Base de Grupos'!$A:$A,'Base de Grupos'!$M:$M)</f>
        <v>REGIONAL VENDA INTERNA - CONVENIENCIA</v>
      </c>
      <c r="L678" s="5" t="str">
        <f t="shared" si="305"/>
        <v/>
      </c>
      <c r="M678" s="5" t="str">
        <f>_xlfn.XLOOKUP($N678,'Base de Grupos'!$A:$A,'Base de Grupos'!$C:$C)</f>
        <v>PR</v>
      </c>
      <c r="N678" s="3">
        <v>1501</v>
      </c>
      <c r="O678" s="4" t="s">
        <v>261</v>
      </c>
      <c r="P678" s="5" t="s">
        <v>108</v>
      </c>
      <c r="Q678" s="24">
        <v>0</v>
      </c>
      <c r="R678" s="24">
        <v>1</v>
      </c>
      <c r="S678" s="24">
        <v>2</v>
      </c>
      <c r="T678" s="24">
        <v>0</v>
      </c>
      <c r="U678" s="24">
        <v>0</v>
      </c>
      <c r="V678" s="24">
        <v>0</v>
      </c>
      <c r="W678" s="24">
        <v>0</v>
      </c>
      <c r="X678" s="24">
        <v>0</v>
      </c>
      <c r="Y678" s="24">
        <v>0</v>
      </c>
      <c r="Z678" s="24">
        <v>0</v>
      </c>
      <c r="AA678" s="24">
        <v>0</v>
      </c>
      <c r="AB678" s="24">
        <v>0</v>
      </c>
      <c r="AC678" s="30">
        <f t="shared" si="311"/>
        <v>0</v>
      </c>
      <c r="AD678" s="28"/>
      <c r="AE678" s="12"/>
      <c r="AF678" s="29"/>
      <c r="AG678" s="9"/>
      <c r="AH678" s="10"/>
      <c r="AI678" s="9"/>
      <c r="AJ678" s="11"/>
      <c r="AK678" s="9"/>
      <c r="AL678" s="13"/>
      <c r="AM678" s="9"/>
    </row>
    <row r="679" spans="1:39" x14ac:dyDescent="0.3">
      <c r="A679" s="2" t="str">
        <f t="shared" si="304"/>
        <v>NÃO</v>
      </c>
      <c r="B679" s="2" t="str">
        <f>_xlfn.XLOOKUP($N679,'Base de Grupos'!$A:$A,'Base de Grupos'!$D:$D)</f>
        <v>1000065763</v>
      </c>
      <c r="C679" s="5" t="str">
        <f>_xlfn.XLOOKUP($N679,'Base de Grupos'!$A:$A,'Base de Grupos'!$E:$E)</f>
        <v>CANAL VENDA INTERNA</v>
      </c>
      <c r="D679" s="5" t="str">
        <f>_xlfn.XLOOKUP($N679,'Base de Grupos'!$A:$A,'Base de Grupos'!$F:$F)</f>
        <v>1000065763</v>
      </c>
      <c r="E679" s="2" t="str">
        <f>_xlfn.XLOOKUP($N679,'Base de Grupos'!$A:$A,'Base de Grupos'!$G:$G)</f>
        <v>CANAL VENDA INTERNA</v>
      </c>
      <c r="F679" s="2" t="str">
        <f>_xlfn.XLOOKUP($N679,'Base de Grupos'!$A:$A,'Base de Grupos'!$H:$H)</f>
        <v>1000174119</v>
      </c>
      <c r="G679" s="5" t="str">
        <f>_xlfn.XLOOKUP($N679,'Base de Grupos'!$A:$A,'Base de Grupos'!$I:$I)</f>
        <v>REGIONAL VENDA INTERNA - CONVENIENCIA</v>
      </c>
      <c r="H679" s="5" t="str">
        <f>_xlfn.XLOOKUP($N679,'Base de Grupos'!$A:$A,'Base de Grupos'!$J:$J)</f>
        <v>1000174119</v>
      </c>
      <c r="I679" s="2" t="str">
        <f>_xlfn.XLOOKUP($N679,'Base de Grupos'!$A:$A,'Base de Grupos'!$K:$K)</f>
        <v>REGIONAL VENDA INTERNA - CONVENIENCIA</v>
      </c>
      <c r="J679" s="2" t="str">
        <f>_xlfn.XLOOKUP($N679,'Base de Grupos'!$A:$A,'Base de Grupos'!$L:$L)</f>
        <v>1000174119</v>
      </c>
      <c r="K679" s="5" t="str">
        <f>_xlfn.XLOOKUP($N679,'Base de Grupos'!$A:$A,'Base de Grupos'!$M:$M)</f>
        <v>REGIONAL VENDA INTERNA - CONVENIENCIA</v>
      </c>
      <c r="L679" s="5" t="str">
        <f t="shared" si="305"/>
        <v/>
      </c>
      <c r="M679" s="5" t="str">
        <f>_xlfn.XLOOKUP($N679,'Base de Grupos'!$A:$A,'Base de Grupos'!$C:$C)</f>
        <v>PR</v>
      </c>
      <c r="N679" s="3">
        <v>1501</v>
      </c>
      <c r="O679" s="4" t="s">
        <v>261</v>
      </c>
      <c r="P679" s="5" t="s">
        <v>89</v>
      </c>
      <c r="Q679" s="24">
        <v>0</v>
      </c>
      <c r="R679" s="24">
        <v>2</v>
      </c>
      <c r="S679" s="24">
        <v>2</v>
      </c>
      <c r="T679" s="24">
        <v>0</v>
      </c>
      <c r="U679" s="24">
        <v>0</v>
      </c>
      <c r="V679" s="24">
        <v>0</v>
      </c>
      <c r="W679" s="24">
        <v>0</v>
      </c>
      <c r="X679" s="24">
        <v>0</v>
      </c>
      <c r="Y679" s="24">
        <v>0</v>
      </c>
      <c r="Z679" s="24">
        <v>0</v>
      </c>
      <c r="AA679" s="24">
        <v>0</v>
      </c>
      <c r="AB679" s="24">
        <v>0</v>
      </c>
      <c r="AC679" s="30">
        <f t="shared" si="311"/>
        <v>0</v>
      </c>
      <c r="AD679" s="28"/>
      <c r="AE679" s="12"/>
      <c r="AF679" s="29"/>
      <c r="AG679" s="9"/>
      <c r="AH679" s="10"/>
      <c r="AI679" s="9"/>
      <c r="AJ679" s="11"/>
      <c r="AK679" s="9"/>
      <c r="AL679" s="13"/>
      <c r="AM679" s="9"/>
    </row>
    <row r="680" spans="1:39" x14ac:dyDescent="0.3">
      <c r="A680" s="2" t="str">
        <f t="shared" si="304"/>
        <v>NÃO</v>
      </c>
      <c r="B680" s="2" t="str">
        <f>_xlfn.XLOOKUP($N680,'Base de Grupos'!$A:$A,'Base de Grupos'!$D:$D)</f>
        <v>1000065763</v>
      </c>
      <c r="C680" s="5" t="str">
        <f>_xlfn.XLOOKUP($N680,'Base de Grupos'!$A:$A,'Base de Grupos'!$E:$E)</f>
        <v>CANAL VENDA INTERNA</v>
      </c>
      <c r="D680" s="5" t="str">
        <f>_xlfn.XLOOKUP($N680,'Base de Grupos'!$A:$A,'Base de Grupos'!$F:$F)</f>
        <v>1000065763</v>
      </c>
      <c r="E680" s="2" t="str">
        <f>_xlfn.XLOOKUP($N680,'Base de Grupos'!$A:$A,'Base de Grupos'!$G:$G)</f>
        <v>CANAL VENDA INTERNA</v>
      </c>
      <c r="F680" s="2" t="str">
        <f>_xlfn.XLOOKUP($N680,'Base de Grupos'!$A:$A,'Base de Grupos'!$H:$H)</f>
        <v>1000174119</v>
      </c>
      <c r="G680" s="5" t="str">
        <f>_xlfn.XLOOKUP($N680,'Base de Grupos'!$A:$A,'Base de Grupos'!$I:$I)</f>
        <v>REGIONAL VENDA INTERNA - CONVENIENCIA</v>
      </c>
      <c r="H680" s="5" t="str">
        <f>_xlfn.XLOOKUP($N680,'Base de Grupos'!$A:$A,'Base de Grupos'!$J:$J)</f>
        <v>1000174119</v>
      </c>
      <c r="I680" s="2" t="str">
        <f>_xlfn.XLOOKUP($N680,'Base de Grupos'!$A:$A,'Base de Grupos'!$K:$K)</f>
        <v>REGIONAL VENDA INTERNA - CONVENIENCIA</v>
      </c>
      <c r="J680" s="2" t="str">
        <f>_xlfn.XLOOKUP($N680,'Base de Grupos'!$A:$A,'Base de Grupos'!$L:$L)</f>
        <v>1000174119</v>
      </c>
      <c r="K680" s="5" t="str">
        <f>_xlfn.XLOOKUP($N680,'Base de Grupos'!$A:$A,'Base de Grupos'!$M:$M)</f>
        <v>REGIONAL VENDA INTERNA - CONVENIENCIA</v>
      </c>
      <c r="L680" s="5" t="str">
        <f t="shared" si="305"/>
        <v/>
      </c>
      <c r="M680" s="5" t="str">
        <f>_xlfn.XLOOKUP($N680,'Base de Grupos'!$A:$A,'Base de Grupos'!$C:$C)</f>
        <v>PR</v>
      </c>
      <c r="N680" s="3">
        <v>1501</v>
      </c>
      <c r="O680" s="4" t="s">
        <v>261</v>
      </c>
      <c r="P680" s="5" t="s">
        <v>88</v>
      </c>
      <c r="Q680" s="24">
        <v>0</v>
      </c>
      <c r="R680" s="24">
        <v>2</v>
      </c>
      <c r="S680" s="24">
        <v>2</v>
      </c>
      <c r="T680" s="24">
        <v>0</v>
      </c>
      <c r="U680" s="24">
        <v>0</v>
      </c>
      <c r="V680" s="24">
        <v>0</v>
      </c>
      <c r="W680" s="24">
        <v>0</v>
      </c>
      <c r="X680" s="24">
        <v>0</v>
      </c>
      <c r="Y680" s="24">
        <v>0</v>
      </c>
      <c r="Z680" s="24">
        <v>0</v>
      </c>
      <c r="AA680" s="24">
        <v>0</v>
      </c>
      <c r="AB680" s="24">
        <v>0</v>
      </c>
      <c r="AC680" s="30">
        <f t="shared" si="311"/>
        <v>0</v>
      </c>
      <c r="AD680" s="28"/>
      <c r="AE680" s="12"/>
      <c r="AF680" s="29"/>
      <c r="AG680" s="9"/>
      <c r="AH680" s="10"/>
      <c r="AI680" s="9"/>
      <c r="AJ680" s="11"/>
      <c r="AK680" s="9"/>
      <c r="AL680" s="13"/>
      <c r="AM680" s="9"/>
    </row>
    <row r="681" spans="1:39" x14ac:dyDescent="0.3">
      <c r="A681" s="2" t="str">
        <f t="shared" si="304"/>
        <v>NÃO</v>
      </c>
      <c r="B681" s="2" t="str">
        <f>_xlfn.XLOOKUP($N681,'Base de Grupos'!$A:$A,'Base de Grupos'!$D:$D)</f>
        <v>1000065763</v>
      </c>
      <c r="C681" s="5" t="str">
        <f>_xlfn.XLOOKUP($N681,'Base de Grupos'!$A:$A,'Base de Grupos'!$E:$E)</f>
        <v>CANAL VENDA INTERNA</v>
      </c>
      <c r="D681" s="5" t="str">
        <f>_xlfn.XLOOKUP($N681,'Base de Grupos'!$A:$A,'Base de Grupos'!$F:$F)</f>
        <v>1000065763</v>
      </c>
      <c r="E681" s="2" t="str">
        <f>_xlfn.XLOOKUP($N681,'Base de Grupos'!$A:$A,'Base de Grupos'!$G:$G)</f>
        <v>CANAL VENDA INTERNA</v>
      </c>
      <c r="F681" s="2" t="str">
        <f>_xlfn.XLOOKUP($N681,'Base de Grupos'!$A:$A,'Base de Grupos'!$H:$H)</f>
        <v>1000174119</v>
      </c>
      <c r="G681" s="5" t="str">
        <f>_xlfn.XLOOKUP($N681,'Base de Grupos'!$A:$A,'Base de Grupos'!$I:$I)</f>
        <v>REGIONAL VENDA INTERNA - CONVENIENCIA</v>
      </c>
      <c r="H681" s="5" t="str">
        <f>_xlfn.XLOOKUP($N681,'Base de Grupos'!$A:$A,'Base de Grupos'!$J:$J)</f>
        <v>1000174119</v>
      </c>
      <c r="I681" s="2" t="str">
        <f>_xlfn.XLOOKUP($N681,'Base de Grupos'!$A:$A,'Base de Grupos'!$K:$K)</f>
        <v>REGIONAL VENDA INTERNA - CONVENIENCIA</v>
      </c>
      <c r="J681" s="2" t="str">
        <f>_xlfn.XLOOKUP($N681,'Base de Grupos'!$A:$A,'Base de Grupos'!$L:$L)</f>
        <v>1000174119</v>
      </c>
      <c r="K681" s="5" t="str">
        <f>_xlfn.XLOOKUP($N681,'Base de Grupos'!$A:$A,'Base de Grupos'!$M:$M)</f>
        <v>REGIONAL VENDA INTERNA - CONVENIENCIA</v>
      </c>
      <c r="L681" s="5" t="str">
        <f t="shared" si="305"/>
        <v/>
      </c>
      <c r="M681" s="5" t="str">
        <f>_xlfn.XLOOKUP($N681,'Base de Grupos'!$A:$A,'Base de Grupos'!$C:$C)</f>
        <v>PR</v>
      </c>
      <c r="N681" s="3">
        <v>1501</v>
      </c>
      <c r="O681" s="4" t="s">
        <v>261</v>
      </c>
      <c r="P681" s="5" t="s">
        <v>90</v>
      </c>
      <c r="Q681" s="24">
        <v>0</v>
      </c>
      <c r="R681" s="24">
        <v>1</v>
      </c>
      <c r="S681" s="24">
        <v>1</v>
      </c>
      <c r="T681" s="24">
        <v>0</v>
      </c>
      <c r="U681" s="24">
        <v>0</v>
      </c>
      <c r="V681" s="24">
        <v>0</v>
      </c>
      <c r="W681" s="24">
        <v>0</v>
      </c>
      <c r="X681" s="24">
        <v>0</v>
      </c>
      <c r="Y681" s="24">
        <v>0</v>
      </c>
      <c r="Z681" s="24">
        <v>0</v>
      </c>
      <c r="AA681" s="24">
        <v>0</v>
      </c>
      <c r="AB681" s="24">
        <v>0</v>
      </c>
      <c r="AC681" s="30">
        <f t="shared" si="311"/>
        <v>0</v>
      </c>
      <c r="AD681" s="28"/>
      <c r="AE681" s="12"/>
      <c r="AF681" s="29"/>
      <c r="AG681" s="9"/>
      <c r="AH681" s="10"/>
      <c r="AI681" s="9"/>
      <c r="AJ681" s="11"/>
      <c r="AK681" s="9"/>
      <c r="AL681" s="13"/>
      <c r="AM681" s="9"/>
    </row>
    <row r="682" spans="1:39" x14ac:dyDescent="0.3">
      <c r="A682" s="2" t="str">
        <f t="shared" si="304"/>
        <v>NÃO</v>
      </c>
      <c r="B682" s="2" t="str">
        <f>_xlfn.XLOOKUP($N682,'Base de Grupos'!$A:$A,'Base de Grupos'!$D:$D)</f>
        <v>1000065763</v>
      </c>
      <c r="C682" s="5" t="str">
        <f>_xlfn.XLOOKUP($N682,'Base de Grupos'!$A:$A,'Base de Grupos'!$E:$E)</f>
        <v>CANAL VENDA INTERNA</v>
      </c>
      <c r="D682" s="5" t="str">
        <f>_xlfn.XLOOKUP($N682,'Base de Grupos'!$A:$A,'Base de Grupos'!$F:$F)</f>
        <v>1000065763</v>
      </c>
      <c r="E682" s="2" t="str">
        <f>_xlfn.XLOOKUP($N682,'Base de Grupos'!$A:$A,'Base de Grupos'!$G:$G)</f>
        <v>CANAL VENDA INTERNA</v>
      </c>
      <c r="F682" s="2" t="str">
        <f>_xlfn.XLOOKUP($N682,'Base de Grupos'!$A:$A,'Base de Grupos'!$H:$H)</f>
        <v>1000174119</v>
      </c>
      <c r="G682" s="5" t="str">
        <f>_xlfn.XLOOKUP($N682,'Base de Grupos'!$A:$A,'Base de Grupos'!$I:$I)</f>
        <v>REGIONAL VENDA INTERNA - CONVENIENCIA</v>
      </c>
      <c r="H682" s="5" t="str">
        <f>_xlfn.XLOOKUP($N682,'Base de Grupos'!$A:$A,'Base de Grupos'!$J:$J)</f>
        <v>1000174119</v>
      </c>
      <c r="I682" s="2" t="str">
        <f>_xlfn.XLOOKUP($N682,'Base de Grupos'!$A:$A,'Base de Grupos'!$K:$K)</f>
        <v>REGIONAL VENDA INTERNA - CONVENIENCIA</v>
      </c>
      <c r="J682" s="2" t="str">
        <f>_xlfn.XLOOKUP($N682,'Base de Grupos'!$A:$A,'Base de Grupos'!$L:$L)</f>
        <v>1000174119</v>
      </c>
      <c r="K682" s="5" t="str">
        <f>_xlfn.XLOOKUP($N682,'Base de Grupos'!$A:$A,'Base de Grupos'!$M:$M)</f>
        <v>REGIONAL VENDA INTERNA - CONVENIENCIA</v>
      </c>
      <c r="L682" s="5" t="str">
        <f t="shared" si="305"/>
        <v/>
      </c>
      <c r="M682" s="5" t="str">
        <f>_xlfn.XLOOKUP($N682,'Base de Grupos'!$A:$A,'Base de Grupos'!$C:$C)</f>
        <v>PR</v>
      </c>
      <c r="N682" s="3">
        <v>1501</v>
      </c>
      <c r="O682" s="4" t="s">
        <v>261</v>
      </c>
      <c r="P682" s="5" t="s">
        <v>91</v>
      </c>
      <c r="Q682" s="24">
        <v>0</v>
      </c>
      <c r="R682" s="24">
        <v>4</v>
      </c>
      <c r="S682" s="24">
        <v>4</v>
      </c>
      <c r="T682" s="24">
        <v>0</v>
      </c>
      <c r="U682" s="24">
        <v>0</v>
      </c>
      <c r="V682" s="24">
        <v>0</v>
      </c>
      <c r="W682" s="24">
        <v>0</v>
      </c>
      <c r="X682" s="24">
        <v>0</v>
      </c>
      <c r="Y682" s="24">
        <v>0</v>
      </c>
      <c r="Z682" s="24">
        <v>0</v>
      </c>
      <c r="AA682" s="24">
        <v>0</v>
      </c>
      <c r="AB682" s="24">
        <v>0</v>
      </c>
      <c r="AC682" s="30">
        <f t="shared" si="311"/>
        <v>0</v>
      </c>
      <c r="AD682" s="28"/>
      <c r="AE682" s="12"/>
      <c r="AF682" s="29"/>
      <c r="AG682" s="9"/>
      <c r="AH682" s="10"/>
      <c r="AI682" s="9"/>
      <c r="AJ682" s="11"/>
      <c r="AK682" s="9"/>
      <c r="AL682" s="13"/>
      <c r="AM682" s="9"/>
    </row>
    <row r="683" spans="1:39" x14ac:dyDescent="0.3">
      <c r="A683" s="2" t="str">
        <f t="shared" si="304"/>
        <v>NÃO</v>
      </c>
      <c r="B683" s="2" t="str">
        <f>_xlfn.XLOOKUP($N683,'Base de Grupos'!$A:$A,'Base de Grupos'!$D:$D)</f>
        <v>1000065763</v>
      </c>
      <c r="C683" s="5" t="str">
        <f>_xlfn.XLOOKUP($N683,'Base de Grupos'!$A:$A,'Base de Grupos'!$E:$E)</f>
        <v>CANAL VENDA INTERNA</v>
      </c>
      <c r="D683" s="5" t="str">
        <f>_xlfn.XLOOKUP($N683,'Base de Grupos'!$A:$A,'Base de Grupos'!$F:$F)</f>
        <v>1000065763</v>
      </c>
      <c r="E683" s="2" t="str">
        <f>_xlfn.XLOOKUP($N683,'Base de Grupos'!$A:$A,'Base de Grupos'!$G:$G)</f>
        <v>CANAL VENDA INTERNA</v>
      </c>
      <c r="F683" s="2" t="str">
        <f>_xlfn.XLOOKUP($N683,'Base de Grupos'!$A:$A,'Base de Grupos'!$H:$H)</f>
        <v>1000174119</v>
      </c>
      <c r="G683" s="5" t="str">
        <f>_xlfn.XLOOKUP($N683,'Base de Grupos'!$A:$A,'Base de Grupos'!$I:$I)</f>
        <v>REGIONAL VENDA INTERNA - CONVENIENCIA</v>
      </c>
      <c r="H683" s="5" t="str">
        <f>_xlfn.XLOOKUP($N683,'Base de Grupos'!$A:$A,'Base de Grupos'!$J:$J)</f>
        <v>1000174119</v>
      </c>
      <c r="I683" s="2" t="str">
        <f>_xlfn.XLOOKUP($N683,'Base de Grupos'!$A:$A,'Base de Grupos'!$K:$K)</f>
        <v>REGIONAL VENDA INTERNA - CONVENIENCIA</v>
      </c>
      <c r="J683" s="2" t="str">
        <f>_xlfn.XLOOKUP($N683,'Base de Grupos'!$A:$A,'Base de Grupos'!$L:$L)</f>
        <v>1000174119</v>
      </c>
      <c r="K683" s="5" t="str">
        <f>_xlfn.XLOOKUP($N683,'Base de Grupos'!$A:$A,'Base de Grupos'!$M:$M)</f>
        <v>REGIONAL VENDA INTERNA - CONVENIENCIA</v>
      </c>
      <c r="L683" s="5" t="str">
        <f t="shared" si="305"/>
        <v/>
      </c>
      <c r="M683" s="5" t="str">
        <f>_xlfn.XLOOKUP($N683,'Base de Grupos'!$A:$A,'Base de Grupos'!$C:$C)</f>
        <v>PR</v>
      </c>
      <c r="N683" s="3">
        <v>1501</v>
      </c>
      <c r="O683" s="4" t="s">
        <v>261</v>
      </c>
      <c r="P683" s="5" t="s">
        <v>96</v>
      </c>
      <c r="Q683" s="24">
        <v>0</v>
      </c>
      <c r="R683" s="24">
        <v>4.4000000000000004</v>
      </c>
      <c r="S683" s="24">
        <v>5</v>
      </c>
      <c r="T683" s="24">
        <v>0</v>
      </c>
      <c r="U683" s="24">
        <v>0</v>
      </c>
      <c r="V683" s="24">
        <v>0</v>
      </c>
      <c r="W683" s="24">
        <v>0</v>
      </c>
      <c r="X683" s="24">
        <v>0</v>
      </c>
      <c r="Y683" s="24">
        <v>0</v>
      </c>
      <c r="Z683" s="24">
        <v>0</v>
      </c>
      <c r="AA683" s="24">
        <v>0</v>
      </c>
      <c r="AB683" s="24">
        <v>0</v>
      </c>
      <c r="AC683" s="30">
        <f t="shared" si="311"/>
        <v>0</v>
      </c>
      <c r="AD683" s="28"/>
      <c r="AE683" s="12"/>
      <c r="AF683" s="29"/>
      <c r="AG683" s="9"/>
      <c r="AH683" s="10"/>
      <c r="AI683" s="9"/>
      <c r="AJ683" s="11"/>
      <c r="AK683" s="9"/>
      <c r="AL683" s="13"/>
      <c r="AM683" s="9"/>
    </row>
    <row r="684" spans="1:39" x14ac:dyDescent="0.3">
      <c r="A684" s="2" t="str">
        <f t="shared" si="304"/>
        <v>NÃO</v>
      </c>
      <c r="B684" s="2" t="str">
        <f>_xlfn.XLOOKUP($N684,'Base de Grupos'!$A:$A,'Base de Grupos'!$D:$D)</f>
        <v>1000065763</v>
      </c>
      <c r="C684" s="5" t="str">
        <f>_xlfn.XLOOKUP($N684,'Base de Grupos'!$A:$A,'Base de Grupos'!$E:$E)</f>
        <v>CANAL VENDA INTERNA</v>
      </c>
      <c r="D684" s="5" t="str">
        <f>_xlfn.XLOOKUP($N684,'Base de Grupos'!$A:$A,'Base de Grupos'!$F:$F)</f>
        <v>1000065763</v>
      </c>
      <c r="E684" s="2" t="str">
        <f>_xlfn.XLOOKUP($N684,'Base de Grupos'!$A:$A,'Base de Grupos'!$G:$G)</f>
        <v>CANAL VENDA INTERNA</v>
      </c>
      <c r="F684" s="2" t="str">
        <f>_xlfn.XLOOKUP($N684,'Base de Grupos'!$A:$A,'Base de Grupos'!$H:$H)</f>
        <v>1000174119</v>
      </c>
      <c r="G684" s="5" t="str">
        <f>_xlfn.XLOOKUP($N684,'Base de Grupos'!$A:$A,'Base de Grupos'!$I:$I)</f>
        <v>REGIONAL VENDA INTERNA - CONVENIENCIA</v>
      </c>
      <c r="H684" s="5" t="str">
        <f>_xlfn.XLOOKUP($N684,'Base de Grupos'!$A:$A,'Base de Grupos'!$J:$J)</f>
        <v>1000174119</v>
      </c>
      <c r="I684" s="2" t="str">
        <f>_xlfn.XLOOKUP($N684,'Base de Grupos'!$A:$A,'Base de Grupos'!$K:$K)</f>
        <v>REGIONAL VENDA INTERNA - CONVENIENCIA</v>
      </c>
      <c r="J684" s="2" t="str">
        <f>_xlfn.XLOOKUP($N684,'Base de Grupos'!$A:$A,'Base de Grupos'!$L:$L)</f>
        <v>1000174119</v>
      </c>
      <c r="K684" s="5" t="str">
        <f>_xlfn.XLOOKUP($N684,'Base de Grupos'!$A:$A,'Base de Grupos'!$M:$M)</f>
        <v>REGIONAL VENDA INTERNA - CONVENIENCIA</v>
      </c>
      <c r="L684" s="5" t="str">
        <f t="shared" si="305"/>
        <v/>
      </c>
      <c r="M684" s="5" t="str">
        <f>_xlfn.XLOOKUP($N684,'Base de Grupos'!$A:$A,'Base de Grupos'!$C:$C)</f>
        <v>PR</v>
      </c>
      <c r="N684" s="3">
        <v>1501</v>
      </c>
      <c r="O684" s="4" t="s">
        <v>261</v>
      </c>
      <c r="P684" s="5" t="s">
        <v>94</v>
      </c>
      <c r="Q684" s="24">
        <v>0</v>
      </c>
      <c r="R684" s="24">
        <v>4</v>
      </c>
      <c r="S684" s="24">
        <v>4</v>
      </c>
      <c r="T684" s="24">
        <v>0</v>
      </c>
      <c r="U684" s="24">
        <v>0</v>
      </c>
      <c r="V684" s="24">
        <v>0</v>
      </c>
      <c r="W684" s="24">
        <v>0</v>
      </c>
      <c r="X684" s="24">
        <v>0</v>
      </c>
      <c r="Y684" s="24">
        <v>0</v>
      </c>
      <c r="Z684" s="24">
        <v>0</v>
      </c>
      <c r="AA684" s="24">
        <v>0</v>
      </c>
      <c r="AB684" s="24">
        <v>0</v>
      </c>
      <c r="AC684" s="30">
        <f t="shared" si="311"/>
        <v>0</v>
      </c>
      <c r="AD684" s="28"/>
      <c r="AE684" s="12"/>
      <c r="AF684" s="29"/>
      <c r="AG684" s="9"/>
      <c r="AH684" s="10"/>
      <c r="AI684" s="9"/>
      <c r="AJ684" s="11"/>
      <c r="AK684" s="9"/>
      <c r="AL684" s="13"/>
      <c r="AM684" s="9"/>
    </row>
    <row r="685" spans="1:39" x14ac:dyDescent="0.3">
      <c r="A685" s="2" t="str">
        <f t="shared" si="304"/>
        <v>NÃO</v>
      </c>
      <c r="B685" s="2" t="str">
        <f>_xlfn.XLOOKUP($N685,'Base de Grupos'!$A:$A,'Base de Grupos'!$D:$D)</f>
        <v>1000065763</v>
      </c>
      <c r="C685" s="5" t="str">
        <f>_xlfn.XLOOKUP($N685,'Base de Grupos'!$A:$A,'Base de Grupos'!$E:$E)</f>
        <v>CANAL VENDA INTERNA</v>
      </c>
      <c r="D685" s="5" t="str">
        <f>_xlfn.XLOOKUP($N685,'Base de Grupos'!$A:$A,'Base de Grupos'!$F:$F)</f>
        <v>1000065763</v>
      </c>
      <c r="E685" s="2" t="str">
        <f>_xlfn.XLOOKUP($N685,'Base de Grupos'!$A:$A,'Base de Grupos'!$G:$G)</f>
        <v>CANAL VENDA INTERNA</v>
      </c>
      <c r="F685" s="2" t="str">
        <f>_xlfn.XLOOKUP($N685,'Base de Grupos'!$A:$A,'Base de Grupos'!$H:$H)</f>
        <v>1000174119</v>
      </c>
      <c r="G685" s="5" t="str">
        <f>_xlfn.XLOOKUP($N685,'Base de Grupos'!$A:$A,'Base de Grupos'!$I:$I)</f>
        <v>REGIONAL VENDA INTERNA - CONVENIENCIA</v>
      </c>
      <c r="H685" s="5" t="str">
        <f>_xlfn.XLOOKUP($N685,'Base de Grupos'!$A:$A,'Base de Grupos'!$J:$J)</f>
        <v>1000174119</v>
      </c>
      <c r="I685" s="2" t="str">
        <f>_xlfn.XLOOKUP($N685,'Base de Grupos'!$A:$A,'Base de Grupos'!$K:$K)</f>
        <v>REGIONAL VENDA INTERNA - CONVENIENCIA</v>
      </c>
      <c r="J685" s="2" t="str">
        <f>_xlfn.XLOOKUP($N685,'Base de Grupos'!$A:$A,'Base de Grupos'!$L:$L)</f>
        <v>1000174119</v>
      </c>
      <c r="K685" s="5" t="str">
        <f>_xlfn.XLOOKUP($N685,'Base de Grupos'!$A:$A,'Base de Grupos'!$M:$M)</f>
        <v>REGIONAL VENDA INTERNA - CONVENIENCIA</v>
      </c>
      <c r="L685" s="5" t="str">
        <f t="shared" si="305"/>
        <v/>
      </c>
      <c r="M685" s="5" t="str">
        <f>_xlfn.XLOOKUP($N685,'Base de Grupos'!$A:$A,'Base de Grupos'!$C:$C)</f>
        <v>PR</v>
      </c>
      <c r="N685" s="3">
        <v>1501</v>
      </c>
      <c r="O685" s="4" t="s">
        <v>261</v>
      </c>
      <c r="P685" s="5" t="s">
        <v>95</v>
      </c>
      <c r="Q685" s="24">
        <f>SUM(Q686:Q706)</f>
        <v>0</v>
      </c>
      <c r="R685" s="24">
        <f t="shared" ref="R685" si="312">SUM(R686:R706)</f>
        <v>63.4</v>
      </c>
      <c r="S685" s="24">
        <f t="shared" ref="S685" si="313">SUM(S686:S706)</f>
        <v>74</v>
      </c>
      <c r="T685" s="24">
        <f t="shared" ref="T685:AC685" si="314">SUM(T686:T706)</f>
        <v>0</v>
      </c>
      <c r="U685" s="24">
        <f t="shared" si="314"/>
        <v>0</v>
      </c>
      <c r="V685" s="24">
        <f t="shared" si="314"/>
        <v>0</v>
      </c>
      <c r="W685" s="24">
        <f t="shared" si="314"/>
        <v>0</v>
      </c>
      <c r="X685" s="24">
        <f t="shared" si="314"/>
        <v>0</v>
      </c>
      <c r="Y685" s="24">
        <f t="shared" si="314"/>
        <v>0</v>
      </c>
      <c r="Z685" s="24">
        <f t="shared" si="314"/>
        <v>0</v>
      </c>
      <c r="AA685" s="24">
        <f t="shared" si="314"/>
        <v>0</v>
      </c>
      <c r="AB685" s="24">
        <f t="shared" si="314"/>
        <v>0</v>
      </c>
      <c r="AC685" s="24">
        <f t="shared" si="314"/>
        <v>0</v>
      </c>
      <c r="AD685" s="28"/>
      <c r="AE685" s="12"/>
      <c r="AF685" s="29"/>
      <c r="AG685" s="9"/>
      <c r="AH685" s="10"/>
      <c r="AI685" s="9"/>
      <c r="AJ685" s="11"/>
      <c r="AK685" s="9"/>
      <c r="AL685" s="13"/>
      <c r="AM685" s="9"/>
    </row>
    <row r="686" spans="1:39" x14ac:dyDescent="0.3">
      <c r="A686" s="2" t="str">
        <f t="shared" si="304"/>
        <v>NÃO</v>
      </c>
      <c r="B686" s="2" t="str">
        <f>_xlfn.XLOOKUP($N686,'Base de Grupos'!$A:$A,'Base de Grupos'!$D:$D)</f>
        <v>1000065763</v>
      </c>
      <c r="C686" s="5" t="str">
        <f>_xlfn.XLOOKUP($N686,'Base de Grupos'!$A:$A,'Base de Grupos'!$E:$E)</f>
        <v>CANAL VENDA INTERNA</v>
      </c>
      <c r="D686" s="5" t="str">
        <f>_xlfn.XLOOKUP($N686,'Base de Grupos'!$A:$A,'Base de Grupos'!$F:$F)</f>
        <v>1000065763</v>
      </c>
      <c r="E686" s="2" t="str">
        <f>_xlfn.XLOOKUP($N686,'Base de Grupos'!$A:$A,'Base de Grupos'!$G:$G)</f>
        <v>CANAL VENDA INTERNA</v>
      </c>
      <c r="F686" s="2" t="str">
        <f>_xlfn.XLOOKUP($N686,'Base de Grupos'!$A:$A,'Base de Grupos'!$H:$H)</f>
        <v>1000174119</v>
      </c>
      <c r="G686" s="5" t="str">
        <f>_xlfn.XLOOKUP($N686,'Base de Grupos'!$A:$A,'Base de Grupos'!$I:$I)</f>
        <v>REGIONAL VENDA INTERNA - CONVENIENCIA</v>
      </c>
      <c r="H686" s="5" t="str">
        <f>_xlfn.XLOOKUP($N686,'Base de Grupos'!$A:$A,'Base de Grupos'!$J:$J)</f>
        <v>1000174119</v>
      </c>
      <c r="I686" s="2" t="str">
        <f>_xlfn.XLOOKUP($N686,'Base de Grupos'!$A:$A,'Base de Grupos'!$K:$K)</f>
        <v>REGIONAL VENDA INTERNA - CONVENIENCIA</v>
      </c>
      <c r="J686" s="2" t="str">
        <f>_xlfn.XLOOKUP($N686,'Base de Grupos'!$A:$A,'Base de Grupos'!$L:$L)</f>
        <v>1000174119</v>
      </c>
      <c r="K686" s="5" t="str">
        <f>_xlfn.XLOOKUP($N686,'Base de Grupos'!$A:$A,'Base de Grupos'!$M:$M)</f>
        <v>REGIONAL VENDA INTERNA - CONVENIENCIA</v>
      </c>
      <c r="L686" s="5" t="str">
        <f t="shared" si="305"/>
        <v/>
      </c>
      <c r="M686" s="5" t="str">
        <f>_xlfn.XLOOKUP($N686,'Base de Grupos'!$A:$A,'Base de Grupos'!$C:$C)</f>
        <v>PR</v>
      </c>
      <c r="N686" s="3">
        <v>1501</v>
      </c>
      <c r="O686" s="4" t="s">
        <v>261</v>
      </c>
      <c r="P686" s="5" t="s">
        <v>93</v>
      </c>
      <c r="Q686" s="24">
        <v>0</v>
      </c>
      <c r="R686" s="24">
        <v>8</v>
      </c>
      <c r="S686" s="24">
        <v>10</v>
      </c>
      <c r="T686" s="24">
        <v>0</v>
      </c>
      <c r="U686" s="24">
        <v>0</v>
      </c>
      <c r="V686" s="24">
        <v>0</v>
      </c>
      <c r="W686" s="24">
        <v>0</v>
      </c>
      <c r="X686" s="24">
        <v>0</v>
      </c>
      <c r="Y686" s="24">
        <v>0</v>
      </c>
      <c r="Z686" s="24">
        <v>0</v>
      </c>
      <c r="AA686" s="24">
        <v>0</v>
      </c>
      <c r="AB686" s="24">
        <v>0</v>
      </c>
      <c r="AC686" s="30">
        <f t="shared" ref="AC686:AC706" si="315">SUM(T686:AB686)</f>
        <v>0</v>
      </c>
      <c r="AD686" s="28"/>
      <c r="AE686" s="12"/>
      <c r="AF686" s="29"/>
      <c r="AG686" s="9"/>
      <c r="AH686" s="10"/>
      <c r="AI686" s="9"/>
      <c r="AJ686" s="11"/>
      <c r="AK686" s="9"/>
      <c r="AL686" s="13"/>
      <c r="AM686" s="9"/>
    </row>
    <row r="687" spans="1:39" x14ac:dyDescent="0.3">
      <c r="A687" s="2" t="str">
        <f t="shared" si="304"/>
        <v>SIM</v>
      </c>
      <c r="B687" s="2" t="str">
        <f>_xlfn.XLOOKUP($N687,'Base de Grupos'!$A:$A,'Base de Grupos'!$D:$D)</f>
        <v>1000065763</v>
      </c>
      <c r="C687" s="5" t="str">
        <f>_xlfn.XLOOKUP($N687,'Base de Grupos'!$A:$A,'Base de Grupos'!$E:$E)</f>
        <v>CANAL VENDA INTERNA</v>
      </c>
      <c r="D687" s="5" t="str">
        <f>_xlfn.XLOOKUP($N687,'Base de Grupos'!$A:$A,'Base de Grupos'!$F:$F)</f>
        <v>1000065763</v>
      </c>
      <c r="E687" s="2" t="str">
        <f>_xlfn.XLOOKUP($N687,'Base de Grupos'!$A:$A,'Base de Grupos'!$G:$G)</f>
        <v>CANAL VENDA INTERNA</v>
      </c>
      <c r="F687" s="2" t="str">
        <f>_xlfn.XLOOKUP($N687,'Base de Grupos'!$A:$A,'Base de Grupos'!$H:$H)</f>
        <v>1000174119</v>
      </c>
      <c r="G687" s="5" t="str">
        <f>_xlfn.XLOOKUP($N687,'Base de Grupos'!$A:$A,'Base de Grupos'!$I:$I)</f>
        <v>REGIONAL VENDA INTERNA - CONVENIENCIA</v>
      </c>
      <c r="H687" s="5" t="str">
        <f>_xlfn.XLOOKUP($N687,'Base de Grupos'!$A:$A,'Base de Grupos'!$J:$J)</f>
        <v>1000174119</v>
      </c>
      <c r="I687" s="2" t="str">
        <f>_xlfn.XLOOKUP($N687,'Base de Grupos'!$A:$A,'Base de Grupos'!$K:$K)</f>
        <v>REGIONAL VENDA INTERNA - CONVENIENCIA</v>
      </c>
      <c r="J687" s="2" t="str">
        <f>_xlfn.XLOOKUP($N687,'Base de Grupos'!$A:$A,'Base de Grupos'!$L:$L)</f>
        <v>1000174119</v>
      </c>
      <c r="K687" s="5" t="str">
        <f>_xlfn.XLOOKUP($N687,'Base de Grupos'!$A:$A,'Base de Grupos'!$M:$M)</f>
        <v>REGIONAL VENDA INTERNA - CONVENIENCIA</v>
      </c>
      <c r="L687" s="5">
        <f t="shared" si="305"/>
        <v>1</v>
      </c>
      <c r="M687" s="5" t="str">
        <f>_xlfn.XLOOKUP($N687,'Base de Grupos'!$A:$A,'Base de Grupos'!$C:$C)</f>
        <v>AP</v>
      </c>
      <c r="N687" s="3">
        <v>1502</v>
      </c>
      <c r="O687" s="4" t="s">
        <v>262</v>
      </c>
      <c r="P687" s="5" t="s">
        <v>332</v>
      </c>
      <c r="Q687" s="24">
        <v>0</v>
      </c>
      <c r="R687" s="24">
        <v>12</v>
      </c>
      <c r="S687" s="24">
        <v>14</v>
      </c>
      <c r="T687" s="24">
        <v>0</v>
      </c>
      <c r="U687" s="24">
        <v>0</v>
      </c>
      <c r="V687" s="24">
        <v>0</v>
      </c>
      <c r="W687" s="24">
        <v>0</v>
      </c>
      <c r="X687" s="24">
        <v>0</v>
      </c>
      <c r="Y687" s="24">
        <v>0</v>
      </c>
      <c r="Z687" s="24">
        <v>0</v>
      </c>
      <c r="AA687" s="24">
        <v>0</v>
      </c>
      <c r="AB687" s="24">
        <v>0</v>
      </c>
      <c r="AC687" s="30">
        <f t="shared" si="315"/>
        <v>0</v>
      </c>
      <c r="AD687" s="28"/>
      <c r="AE687" s="12"/>
      <c r="AF687" s="29"/>
      <c r="AG687" s="9"/>
      <c r="AH687" s="10"/>
      <c r="AI687" s="9"/>
      <c r="AJ687" s="11"/>
      <c r="AK687" s="9"/>
      <c r="AL687" s="13"/>
      <c r="AM687" s="9"/>
    </row>
    <row r="688" spans="1:39" x14ac:dyDescent="0.3">
      <c r="A688" s="2" t="str">
        <f t="shared" si="304"/>
        <v>NÃO</v>
      </c>
      <c r="B688" s="2" t="str">
        <f>_xlfn.XLOOKUP($N688,'Base de Grupos'!$A:$A,'Base de Grupos'!$D:$D)</f>
        <v>1000065763</v>
      </c>
      <c r="C688" s="5" t="str">
        <f>_xlfn.XLOOKUP($N688,'Base de Grupos'!$A:$A,'Base de Grupos'!$E:$E)</f>
        <v>CANAL VENDA INTERNA</v>
      </c>
      <c r="D688" s="5" t="str">
        <f>_xlfn.XLOOKUP($N688,'Base de Grupos'!$A:$A,'Base de Grupos'!$F:$F)</f>
        <v>1000065763</v>
      </c>
      <c r="E688" s="2" t="str">
        <f>_xlfn.XLOOKUP($N688,'Base de Grupos'!$A:$A,'Base de Grupos'!$G:$G)</f>
        <v>CANAL VENDA INTERNA</v>
      </c>
      <c r="F688" s="2" t="str">
        <f>_xlfn.XLOOKUP($N688,'Base de Grupos'!$A:$A,'Base de Grupos'!$H:$H)</f>
        <v>1000174119</v>
      </c>
      <c r="G688" s="5" t="str">
        <f>_xlfn.XLOOKUP($N688,'Base de Grupos'!$A:$A,'Base de Grupos'!$I:$I)</f>
        <v>REGIONAL VENDA INTERNA - CONVENIENCIA</v>
      </c>
      <c r="H688" s="5" t="str">
        <f>_xlfn.XLOOKUP($N688,'Base de Grupos'!$A:$A,'Base de Grupos'!$J:$J)</f>
        <v>1000174119</v>
      </c>
      <c r="I688" s="2" t="str">
        <f>_xlfn.XLOOKUP($N688,'Base de Grupos'!$A:$A,'Base de Grupos'!$K:$K)</f>
        <v>REGIONAL VENDA INTERNA - CONVENIENCIA</v>
      </c>
      <c r="J688" s="2" t="str">
        <f>_xlfn.XLOOKUP($N688,'Base de Grupos'!$A:$A,'Base de Grupos'!$L:$L)</f>
        <v>1000174119</v>
      </c>
      <c r="K688" s="5" t="str">
        <f>_xlfn.XLOOKUP($N688,'Base de Grupos'!$A:$A,'Base de Grupos'!$M:$M)</f>
        <v>REGIONAL VENDA INTERNA - CONVENIENCIA</v>
      </c>
      <c r="L688" s="5" t="str">
        <f t="shared" si="305"/>
        <v/>
      </c>
      <c r="M688" s="5" t="str">
        <f>_xlfn.XLOOKUP($N688,'Base de Grupos'!$A:$A,'Base de Grupos'!$C:$C)</f>
        <v>AP</v>
      </c>
      <c r="N688" s="3">
        <v>1502</v>
      </c>
      <c r="O688" s="4" t="s">
        <v>262</v>
      </c>
      <c r="P688" s="5" t="s">
        <v>81</v>
      </c>
      <c r="Q688" s="24">
        <v>0</v>
      </c>
      <c r="R688" s="24">
        <v>4</v>
      </c>
      <c r="S688" s="24">
        <v>5</v>
      </c>
      <c r="T688" s="24">
        <v>0</v>
      </c>
      <c r="U688" s="24">
        <v>0</v>
      </c>
      <c r="V688" s="24">
        <v>0</v>
      </c>
      <c r="W688" s="24">
        <v>0</v>
      </c>
      <c r="X688" s="24">
        <v>0</v>
      </c>
      <c r="Y688" s="24">
        <v>0</v>
      </c>
      <c r="Z688" s="24">
        <v>0</v>
      </c>
      <c r="AA688" s="24">
        <v>0</v>
      </c>
      <c r="AB688" s="24">
        <v>0</v>
      </c>
      <c r="AC688" s="30">
        <f t="shared" si="315"/>
        <v>0</v>
      </c>
      <c r="AD688" s="28"/>
      <c r="AE688" s="12"/>
      <c r="AF688" s="29"/>
      <c r="AG688" s="9"/>
      <c r="AH688" s="10"/>
      <c r="AI688" s="9"/>
      <c r="AJ688" s="11"/>
      <c r="AK688" s="9"/>
      <c r="AL688" s="13"/>
      <c r="AM688" s="9"/>
    </row>
    <row r="689" spans="1:39" x14ac:dyDescent="0.3">
      <c r="A689" s="2" t="str">
        <f t="shared" si="304"/>
        <v>NÃO</v>
      </c>
      <c r="B689" s="2" t="str">
        <f>_xlfn.XLOOKUP($N689,'Base de Grupos'!$A:$A,'Base de Grupos'!$D:$D)</f>
        <v>1000065763</v>
      </c>
      <c r="C689" s="5" t="str">
        <f>_xlfn.XLOOKUP($N689,'Base de Grupos'!$A:$A,'Base de Grupos'!$E:$E)</f>
        <v>CANAL VENDA INTERNA</v>
      </c>
      <c r="D689" s="5" t="str">
        <f>_xlfn.XLOOKUP($N689,'Base de Grupos'!$A:$A,'Base de Grupos'!$F:$F)</f>
        <v>1000065763</v>
      </c>
      <c r="E689" s="2" t="str">
        <f>_xlfn.XLOOKUP($N689,'Base de Grupos'!$A:$A,'Base de Grupos'!$G:$G)</f>
        <v>CANAL VENDA INTERNA</v>
      </c>
      <c r="F689" s="2" t="str">
        <f>_xlfn.XLOOKUP($N689,'Base de Grupos'!$A:$A,'Base de Grupos'!$H:$H)</f>
        <v>1000174119</v>
      </c>
      <c r="G689" s="5" t="str">
        <f>_xlfn.XLOOKUP($N689,'Base de Grupos'!$A:$A,'Base de Grupos'!$I:$I)</f>
        <v>REGIONAL VENDA INTERNA - CONVENIENCIA</v>
      </c>
      <c r="H689" s="5" t="str">
        <f>_xlfn.XLOOKUP($N689,'Base de Grupos'!$A:$A,'Base de Grupos'!$J:$J)</f>
        <v>1000174119</v>
      </c>
      <c r="I689" s="2" t="str">
        <f>_xlfn.XLOOKUP($N689,'Base de Grupos'!$A:$A,'Base de Grupos'!$K:$K)</f>
        <v>REGIONAL VENDA INTERNA - CONVENIENCIA</v>
      </c>
      <c r="J689" s="2" t="str">
        <f>_xlfn.XLOOKUP($N689,'Base de Grupos'!$A:$A,'Base de Grupos'!$L:$L)</f>
        <v>1000174119</v>
      </c>
      <c r="K689" s="5" t="str">
        <f>_xlfn.XLOOKUP($N689,'Base de Grupos'!$A:$A,'Base de Grupos'!$M:$M)</f>
        <v>REGIONAL VENDA INTERNA - CONVENIENCIA</v>
      </c>
      <c r="L689" s="5" t="str">
        <f t="shared" si="305"/>
        <v/>
      </c>
      <c r="M689" s="5" t="str">
        <f>_xlfn.XLOOKUP($N689,'Base de Grupos'!$A:$A,'Base de Grupos'!$C:$C)</f>
        <v>AP</v>
      </c>
      <c r="N689" s="3">
        <v>1502</v>
      </c>
      <c r="O689" s="4" t="s">
        <v>262</v>
      </c>
      <c r="P689" s="5" t="s">
        <v>82</v>
      </c>
      <c r="Q689" s="24">
        <v>0</v>
      </c>
      <c r="R689" s="24">
        <v>4</v>
      </c>
      <c r="S689" s="24">
        <v>4</v>
      </c>
      <c r="T689" s="24">
        <v>0</v>
      </c>
      <c r="U689" s="24">
        <v>0</v>
      </c>
      <c r="V689" s="24">
        <v>0</v>
      </c>
      <c r="W689" s="24">
        <v>0</v>
      </c>
      <c r="X689" s="24">
        <v>0</v>
      </c>
      <c r="Y689" s="24">
        <v>0</v>
      </c>
      <c r="Z689" s="24">
        <v>0</v>
      </c>
      <c r="AA689" s="24">
        <v>0</v>
      </c>
      <c r="AB689" s="24">
        <v>0</v>
      </c>
      <c r="AC689" s="30">
        <f t="shared" si="315"/>
        <v>0</v>
      </c>
      <c r="AD689" s="28"/>
      <c r="AE689" s="12"/>
      <c r="AF689" s="29"/>
      <c r="AG689" s="9"/>
      <c r="AH689" s="10"/>
      <c r="AI689" s="9"/>
      <c r="AJ689" s="11"/>
      <c r="AK689" s="9"/>
      <c r="AL689" s="13"/>
      <c r="AM689" s="9"/>
    </row>
    <row r="690" spans="1:39" x14ac:dyDescent="0.3">
      <c r="A690" s="2" t="str">
        <f t="shared" si="304"/>
        <v>NÃO</v>
      </c>
      <c r="B690" s="2" t="str">
        <f>_xlfn.XLOOKUP($N690,'Base de Grupos'!$A:$A,'Base de Grupos'!$D:$D)</f>
        <v>1000065763</v>
      </c>
      <c r="C690" s="5" t="str">
        <f>_xlfn.XLOOKUP($N690,'Base de Grupos'!$A:$A,'Base de Grupos'!$E:$E)</f>
        <v>CANAL VENDA INTERNA</v>
      </c>
      <c r="D690" s="5" t="str">
        <f>_xlfn.XLOOKUP($N690,'Base de Grupos'!$A:$A,'Base de Grupos'!$F:$F)</f>
        <v>1000065763</v>
      </c>
      <c r="E690" s="2" t="str">
        <f>_xlfn.XLOOKUP($N690,'Base de Grupos'!$A:$A,'Base de Grupos'!$G:$G)</f>
        <v>CANAL VENDA INTERNA</v>
      </c>
      <c r="F690" s="2" t="str">
        <f>_xlfn.XLOOKUP($N690,'Base de Grupos'!$A:$A,'Base de Grupos'!$H:$H)</f>
        <v>1000174119</v>
      </c>
      <c r="G690" s="5" t="str">
        <f>_xlfn.XLOOKUP($N690,'Base de Grupos'!$A:$A,'Base de Grupos'!$I:$I)</f>
        <v>REGIONAL VENDA INTERNA - CONVENIENCIA</v>
      </c>
      <c r="H690" s="5" t="str">
        <f>_xlfn.XLOOKUP($N690,'Base de Grupos'!$A:$A,'Base de Grupos'!$J:$J)</f>
        <v>1000174119</v>
      </c>
      <c r="I690" s="2" t="str">
        <f>_xlfn.XLOOKUP($N690,'Base de Grupos'!$A:$A,'Base de Grupos'!$K:$K)</f>
        <v>REGIONAL VENDA INTERNA - CONVENIENCIA</v>
      </c>
      <c r="J690" s="2" t="str">
        <f>_xlfn.XLOOKUP($N690,'Base de Grupos'!$A:$A,'Base de Grupos'!$L:$L)</f>
        <v>1000174119</v>
      </c>
      <c r="K690" s="5" t="str">
        <f>_xlfn.XLOOKUP($N690,'Base de Grupos'!$A:$A,'Base de Grupos'!$M:$M)</f>
        <v>REGIONAL VENDA INTERNA - CONVENIENCIA</v>
      </c>
      <c r="L690" s="5" t="str">
        <f t="shared" si="305"/>
        <v/>
      </c>
      <c r="M690" s="5" t="str">
        <f>_xlfn.XLOOKUP($N690,'Base de Grupos'!$A:$A,'Base de Grupos'!$C:$C)</f>
        <v>AP</v>
      </c>
      <c r="N690" s="3">
        <v>1502</v>
      </c>
      <c r="O690" s="4" t="s">
        <v>262</v>
      </c>
      <c r="P690" s="5" t="s">
        <v>84</v>
      </c>
      <c r="Q690" s="24">
        <v>0</v>
      </c>
      <c r="R690" s="24">
        <v>1</v>
      </c>
      <c r="S690" s="24">
        <v>2</v>
      </c>
      <c r="T690" s="24">
        <v>0</v>
      </c>
      <c r="U690" s="24">
        <v>0</v>
      </c>
      <c r="V690" s="24">
        <v>0</v>
      </c>
      <c r="W690" s="24">
        <v>0</v>
      </c>
      <c r="X690" s="24">
        <v>0</v>
      </c>
      <c r="Y690" s="24">
        <v>0</v>
      </c>
      <c r="Z690" s="24">
        <v>0</v>
      </c>
      <c r="AA690" s="24">
        <v>0</v>
      </c>
      <c r="AB690" s="24">
        <v>0</v>
      </c>
      <c r="AC690" s="30">
        <f t="shared" si="315"/>
        <v>0</v>
      </c>
      <c r="AD690" s="28"/>
      <c r="AE690" s="12"/>
      <c r="AF690" s="29"/>
      <c r="AG690" s="9"/>
      <c r="AH690" s="10"/>
      <c r="AI690" s="9"/>
      <c r="AJ690" s="11"/>
      <c r="AK690" s="9"/>
      <c r="AL690" s="13"/>
      <c r="AM690" s="9"/>
    </row>
    <row r="691" spans="1:39" x14ac:dyDescent="0.3">
      <c r="A691" s="2" t="str">
        <f t="shared" si="304"/>
        <v>NÃO</v>
      </c>
      <c r="B691" s="2" t="str">
        <f>_xlfn.XLOOKUP($N691,'Base de Grupos'!$A:$A,'Base de Grupos'!$D:$D)</f>
        <v>1000065763</v>
      </c>
      <c r="C691" s="5" t="str">
        <f>_xlfn.XLOOKUP($N691,'Base de Grupos'!$A:$A,'Base de Grupos'!$E:$E)</f>
        <v>CANAL VENDA INTERNA</v>
      </c>
      <c r="D691" s="5" t="str">
        <f>_xlfn.XLOOKUP($N691,'Base de Grupos'!$A:$A,'Base de Grupos'!$F:$F)</f>
        <v>1000065763</v>
      </c>
      <c r="E691" s="2" t="str">
        <f>_xlfn.XLOOKUP($N691,'Base de Grupos'!$A:$A,'Base de Grupos'!$G:$G)</f>
        <v>CANAL VENDA INTERNA</v>
      </c>
      <c r="F691" s="2" t="str">
        <f>_xlfn.XLOOKUP($N691,'Base de Grupos'!$A:$A,'Base de Grupos'!$H:$H)</f>
        <v>1000174119</v>
      </c>
      <c r="G691" s="5" t="str">
        <f>_xlfn.XLOOKUP($N691,'Base de Grupos'!$A:$A,'Base de Grupos'!$I:$I)</f>
        <v>REGIONAL VENDA INTERNA - CONVENIENCIA</v>
      </c>
      <c r="H691" s="5" t="str">
        <f>_xlfn.XLOOKUP($N691,'Base de Grupos'!$A:$A,'Base de Grupos'!$J:$J)</f>
        <v>1000174119</v>
      </c>
      <c r="I691" s="2" t="str">
        <f>_xlfn.XLOOKUP($N691,'Base de Grupos'!$A:$A,'Base de Grupos'!$K:$K)</f>
        <v>REGIONAL VENDA INTERNA - CONVENIENCIA</v>
      </c>
      <c r="J691" s="2" t="str">
        <f>_xlfn.XLOOKUP($N691,'Base de Grupos'!$A:$A,'Base de Grupos'!$L:$L)</f>
        <v>1000174119</v>
      </c>
      <c r="K691" s="5" t="str">
        <f>_xlfn.XLOOKUP($N691,'Base de Grupos'!$A:$A,'Base de Grupos'!$M:$M)</f>
        <v>REGIONAL VENDA INTERNA - CONVENIENCIA</v>
      </c>
      <c r="L691" s="5" t="str">
        <f t="shared" si="305"/>
        <v/>
      </c>
      <c r="M691" s="5" t="str">
        <f>_xlfn.XLOOKUP($N691,'Base de Grupos'!$A:$A,'Base de Grupos'!$C:$C)</f>
        <v>AP</v>
      </c>
      <c r="N691" s="3">
        <v>1502</v>
      </c>
      <c r="O691" s="4" t="s">
        <v>262</v>
      </c>
      <c r="P691" s="5" t="s">
        <v>83</v>
      </c>
      <c r="Q691" s="24">
        <v>0</v>
      </c>
      <c r="R691" s="24">
        <v>3</v>
      </c>
      <c r="S691" s="24">
        <v>4</v>
      </c>
      <c r="T691" s="24">
        <v>0</v>
      </c>
      <c r="U691" s="24">
        <v>0</v>
      </c>
      <c r="V691" s="24">
        <v>0</v>
      </c>
      <c r="W691" s="24">
        <v>0</v>
      </c>
      <c r="X691" s="24">
        <v>0</v>
      </c>
      <c r="Y691" s="24">
        <v>0</v>
      </c>
      <c r="Z691" s="24">
        <v>0</v>
      </c>
      <c r="AA691" s="24">
        <v>0</v>
      </c>
      <c r="AB691" s="24">
        <v>0</v>
      </c>
      <c r="AC691" s="30">
        <f t="shared" si="315"/>
        <v>0</v>
      </c>
      <c r="AD691" s="28"/>
      <c r="AE691" s="12"/>
      <c r="AF691" s="29"/>
      <c r="AG691" s="9"/>
      <c r="AH691" s="10"/>
      <c r="AI691" s="9"/>
      <c r="AJ691" s="11"/>
      <c r="AK691" s="9"/>
      <c r="AL691" s="13"/>
      <c r="AM691" s="9"/>
    </row>
    <row r="692" spans="1:39" x14ac:dyDescent="0.3">
      <c r="A692" s="2" t="str">
        <f t="shared" si="304"/>
        <v>NÃO</v>
      </c>
      <c r="B692" s="2" t="str">
        <f>_xlfn.XLOOKUP($N692,'Base de Grupos'!$A:$A,'Base de Grupos'!$D:$D)</f>
        <v>1000065763</v>
      </c>
      <c r="C692" s="5" t="str">
        <f>_xlfn.XLOOKUP($N692,'Base de Grupos'!$A:$A,'Base de Grupos'!$E:$E)</f>
        <v>CANAL VENDA INTERNA</v>
      </c>
      <c r="D692" s="5" t="str">
        <f>_xlfn.XLOOKUP($N692,'Base de Grupos'!$A:$A,'Base de Grupos'!$F:$F)</f>
        <v>1000065763</v>
      </c>
      <c r="E692" s="2" t="str">
        <f>_xlfn.XLOOKUP($N692,'Base de Grupos'!$A:$A,'Base de Grupos'!$G:$G)</f>
        <v>CANAL VENDA INTERNA</v>
      </c>
      <c r="F692" s="2" t="str">
        <f>_xlfn.XLOOKUP($N692,'Base de Grupos'!$A:$A,'Base de Grupos'!$H:$H)</f>
        <v>1000174119</v>
      </c>
      <c r="G692" s="5" t="str">
        <f>_xlfn.XLOOKUP($N692,'Base de Grupos'!$A:$A,'Base de Grupos'!$I:$I)</f>
        <v>REGIONAL VENDA INTERNA - CONVENIENCIA</v>
      </c>
      <c r="H692" s="5" t="str">
        <f>_xlfn.XLOOKUP($N692,'Base de Grupos'!$A:$A,'Base de Grupos'!$J:$J)</f>
        <v>1000174119</v>
      </c>
      <c r="I692" s="2" t="str">
        <f>_xlfn.XLOOKUP($N692,'Base de Grupos'!$A:$A,'Base de Grupos'!$K:$K)</f>
        <v>REGIONAL VENDA INTERNA - CONVENIENCIA</v>
      </c>
      <c r="J692" s="2" t="str">
        <f>_xlfn.XLOOKUP($N692,'Base de Grupos'!$A:$A,'Base de Grupos'!$L:$L)</f>
        <v>1000174119</v>
      </c>
      <c r="K692" s="5" t="str">
        <f>_xlfn.XLOOKUP($N692,'Base de Grupos'!$A:$A,'Base de Grupos'!$M:$M)</f>
        <v>REGIONAL VENDA INTERNA - CONVENIENCIA</v>
      </c>
      <c r="L692" s="5" t="str">
        <f t="shared" si="305"/>
        <v/>
      </c>
      <c r="M692" s="5" t="str">
        <f>_xlfn.XLOOKUP($N692,'Base de Grupos'!$A:$A,'Base de Grupos'!$C:$C)</f>
        <v>AP</v>
      </c>
      <c r="N692" s="3">
        <v>1502</v>
      </c>
      <c r="O692" s="4" t="s">
        <v>262</v>
      </c>
      <c r="P692" s="5" t="s">
        <v>87</v>
      </c>
      <c r="Q692" s="24">
        <v>0</v>
      </c>
      <c r="R692" s="24">
        <v>2</v>
      </c>
      <c r="S692" s="24">
        <v>2</v>
      </c>
      <c r="T692" s="24">
        <v>0</v>
      </c>
      <c r="U692" s="24">
        <v>0</v>
      </c>
      <c r="V692" s="24">
        <v>0</v>
      </c>
      <c r="W692" s="24">
        <v>0</v>
      </c>
      <c r="X692" s="24">
        <v>0</v>
      </c>
      <c r="Y692" s="24">
        <v>0</v>
      </c>
      <c r="Z692" s="24">
        <v>0</v>
      </c>
      <c r="AA692" s="24">
        <v>0</v>
      </c>
      <c r="AB692" s="24">
        <v>0</v>
      </c>
      <c r="AC692" s="30">
        <f t="shared" si="315"/>
        <v>0</v>
      </c>
      <c r="AD692" s="28"/>
      <c r="AE692" s="12"/>
      <c r="AF692" s="29"/>
      <c r="AG692" s="9"/>
      <c r="AH692" s="10"/>
      <c r="AI692" s="9"/>
      <c r="AJ692" s="11"/>
      <c r="AK692" s="9"/>
      <c r="AL692" s="13"/>
      <c r="AM692" s="9"/>
    </row>
    <row r="693" spans="1:39" x14ac:dyDescent="0.3">
      <c r="A693" s="2" t="str">
        <f t="shared" si="304"/>
        <v>NÃO</v>
      </c>
      <c r="B693" s="2" t="str">
        <f>_xlfn.XLOOKUP($N693,'Base de Grupos'!$A:$A,'Base de Grupos'!$D:$D)</f>
        <v>1000065763</v>
      </c>
      <c r="C693" s="5" t="str">
        <f>_xlfn.XLOOKUP($N693,'Base de Grupos'!$A:$A,'Base de Grupos'!$E:$E)</f>
        <v>CANAL VENDA INTERNA</v>
      </c>
      <c r="D693" s="5" t="str">
        <f>_xlfn.XLOOKUP($N693,'Base de Grupos'!$A:$A,'Base de Grupos'!$F:$F)</f>
        <v>1000065763</v>
      </c>
      <c r="E693" s="2" t="str">
        <f>_xlfn.XLOOKUP($N693,'Base de Grupos'!$A:$A,'Base de Grupos'!$G:$G)</f>
        <v>CANAL VENDA INTERNA</v>
      </c>
      <c r="F693" s="2" t="str">
        <f>_xlfn.XLOOKUP($N693,'Base de Grupos'!$A:$A,'Base de Grupos'!$H:$H)</f>
        <v>1000174119</v>
      </c>
      <c r="G693" s="5" t="str">
        <f>_xlfn.XLOOKUP($N693,'Base de Grupos'!$A:$A,'Base de Grupos'!$I:$I)</f>
        <v>REGIONAL VENDA INTERNA - CONVENIENCIA</v>
      </c>
      <c r="H693" s="5" t="str">
        <f>_xlfn.XLOOKUP($N693,'Base de Grupos'!$A:$A,'Base de Grupos'!$J:$J)</f>
        <v>1000174119</v>
      </c>
      <c r="I693" s="2" t="str">
        <f>_xlfn.XLOOKUP($N693,'Base de Grupos'!$A:$A,'Base de Grupos'!$K:$K)</f>
        <v>REGIONAL VENDA INTERNA - CONVENIENCIA</v>
      </c>
      <c r="J693" s="2" t="str">
        <f>_xlfn.XLOOKUP($N693,'Base de Grupos'!$A:$A,'Base de Grupos'!$L:$L)</f>
        <v>1000174119</v>
      </c>
      <c r="K693" s="5" t="str">
        <f>_xlfn.XLOOKUP($N693,'Base de Grupos'!$A:$A,'Base de Grupos'!$M:$M)</f>
        <v>REGIONAL VENDA INTERNA - CONVENIENCIA</v>
      </c>
      <c r="L693" s="5" t="str">
        <f t="shared" si="305"/>
        <v/>
      </c>
      <c r="M693" s="5" t="str">
        <f>_xlfn.XLOOKUP($N693,'Base de Grupos'!$A:$A,'Base de Grupos'!$C:$C)</f>
        <v>AP</v>
      </c>
      <c r="N693" s="3">
        <v>1502</v>
      </c>
      <c r="O693" s="4" t="s">
        <v>262</v>
      </c>
      <c r="P693" s="5" t="s">
        <v>85</v>
      </c>
      <c r="Q693" s="24">
        <v>0</v>
      </c>
      <c r="R693" s="24">
        <v>1</v>
      </c>
      <c r="S693" s="24">
        <v>2</v>
      </c>
      <c r="T693" s="24">
        <v>0</v>
      </c>
      <c r="U693" s="24">
        <v>0</v>
      </c>
      <c r="V693" s="24">
        <v>0</v>
      </c>
      <c r="W693" s="24">
        <v>0</v>
      </c>
      <c r="X693" s="24">
        <v>0</v>
      </c>
      <c r="Y693" s="24">
        <v>0</v>
      </c>
      <c r="Z693" s="24">
        <v>0</v>
      </c>
      <c r="AA693" s="24">
        <v>0</v>
      </c>
      <c r="AB693" s="24">
        <v>0</v>
      </c>
      <c r="AC693" s="30">
        <f t="shared" si="315"/>
        <v>0</v>
      </c>
      <c r="AD693" s="28"/>
      <c r="AE693" s="12"/>
      <c r="AF693" s="29"/>
      <c r="AG693" s="9"/>
      <c r="AH693" s="10"/>
      <c r="AI693" s="9"/>
      <c r="AJ693" s="11"/>
      <c r="AK693" s="9"/>
      <c r="AL693" s="13"/>
      <c r="AM693" s="9"/>
    </row>
    <row r="694" spans="1:39" x14ac:dyDescent="0.3">
      <c r="A694" s="2" t="str">
        <f t="shared" si="304"/>
        <v>NÃO</v>
      </c>
      <c r="B694" s="2" t="str">
        <f>_xlfn.XLOOKUP($N694,'Base de Grupos'!$A:$A,'Base de Grupos'!$D:$D)</f>
        <v>1000065763</v>
      </c>
      <c r="C694" s="5" t="str">
        <f>_xlfn.XLOOKUP($N694,'Base de Grupos'!$A:$A,'Base de Grupos'!$E:$E)</f>
        <v>CANAL VENDA INTERNA</v>
      </c>
      <c r="D694" s="5" t="str">
        <f>_xlfn.XLOOKUP($N694,'Base de Grupos'!$A:$A,'Base de Grupos'!$F:$F)</f>
        <v>1000065763</v>
      </c>
      <c r="E694" s="2" t="str">
        <f>_xlfn.XLOOKUP($N694,'Base de Grupos'!$A:$A,'Base de Grupos'!$G:$G)</f>
        <v>CANAL VENDA INTERNA</v>
      </c>
      <c r="F694" s="2" t="str">
        <f>_xlfn.XLOOKUP($N694,'Base de Grupos'!$A:$A,'Base de Grupos'!$H:$H)</f>
        <v>1000174119</v>
      </c>
      <c r="G694" s="5" t="str">
        <f>_xlfn.XLOOKUP($N694,'Base de Grupos'!$A:$A,'Base de Grupos'!$I:$I)</f>
        <v>REGIONAL VENDA INTERNA - CONVENIENCIA</v>
      </c>
      <c r="H694" s="5" t="str">
        <f>_xlfn.XLOOKUP($N694,'Base de Grupos'!$A:$A,'Base de Grupos'!$J:$J)</f>
        <v>1000174119</v>
      </c>
      <c r="I694" s="2" t="str">
        <f>_xlfn.XLOOKUP($N694,'Base de Grupos'!$A:$A,'Base de Grupos'!$K:$K)</f>
        <v>REGIONAL VENDA INTERNA - CONVENIENCIA</v>
      </c>
      <c r="J694" s="2" t="str">
        <f>_xlfn.XLOOKUP($N694,'Base de Grupos'!$A:$A,'Base de Grupos'!$L:$L)</f>
        <v>1000174119</v>
      </c>
      <c r="K694" s="5" t="str">
        <f>_xlfn.XLOOKUP($N694,'Base de Grupos'!$A:$A,'Base de Grupos'!$M:$M)</f>
        <v>REGIONAL VENDA INTERNA - CONVENIENCIA</v>
      </c>
      <c r="L694" s="5" t="str">
        <f t="shared" si="305"/>
        <v/>
      </c>
      <c r="M694" s="5" t="str">
        <f>_xlfn.XLOOKUP($N694,'Base de Grupos'!$A:$A,'Base de Grupos'!$C:$C)</f>
        <v>AP</v>
      </c>
      <c r="N694" s="3">
        <v>1502</v>
      </c>
      <c r="O694" s="4" t="s">
        <v>262</v>
      </c>
      <c r="P694" s="5" t="s">
        <v>92</v>
      </c>
      <c r="Q694" s="24">
        <v>0</v>
      </c>
      <c r="R694" s="24">
        <v>6</v>
      </c>
      <c r="S694" s="24">
        <v>7</v>
      </c>
      <c r="T694" s="24">
        <v>0</v>
      </c>
      <c r="U694" s="24">
        <v>0</v>
      </c>
      <c r="V694" s="24">
        <v>0</v>
      </c>
      <c r="W694" s="24">
        <v>0</v>
      </c>
      <c r="X694" s="24">
        <v>0</v>
      </c>
      <c r="Y694" s="24">
        <v>0</v>
      </c>
      <c r="Z694" s="24">
        <v>0</v>
      </c>
      <c r="AA694" s="24">
        <v>0</v>
      </c>
      <c r="AB694" s="24">
        <v>0</v>
      </c>
      <c r="AC694" s="30">
        <f t="shared" si="315"/>
        <v>0</v>
      </c>
      <c r="AD694" s="28"/>
      <c r="AE694" s="12"/>
      <c r="AF694" s="29"/>
      <c r="AG694" s="9"/>
      <c r="AH694" s="10"/>
      <c r="AI694" s="9"/>
      <c r="AJ694" s="11"/>
      <c r="AK694" s="9"/>
      <c r="AL694" s="13"/>
      <c r="AM694" s="9"/>
    </row>
    <row r="695" spans="1:39" x14ac:dyDescent="0.3">
      <c r="A695" s="2" t="str">
        <f t="shared" si="304"/>
        <v>NÃO</v>
      </c>
      <c r="B695" s="2" t="str">
        <f>_xlfn.XLOOKUP($N695,'Base de Grupos'!$A:$A,'Base de Grupos'!$D:$D)</f>
        <v>1000065763</v>
      </c>
      <c r="C695" s="5" t="str">
        <f>_xlfn.XLOOKUP($N695,'Base de Grupos'!$A:$A,'Base de Grupos'!$E:$E)</f>
        <v>CANAL VENDA INTERNA</v>
      </c>
      <c r="D695" s="5" t="str">
        <f>_xlfn.XLOOKUP($N695,'Base de Grupos'!$A:$A,'Base de Grupos'!$F:$F)</f>
        <v>1000065763</v>
      </c>
      <c r="E695" s="2" t="str">
        <f>_xlfn.XLOOKUP($N695,'Base de Grupos'!$A:$A,'Base de Grupos'!$G:$G)</f>
        <v>CANAL VENDA INTERNA</v>
      </c>
      <c r="F695" s="2" t="str">
        <f>_xlfn.XLOOKUP($N695,'Base de Grupos'!$A:$A,'Base de Grupos'!$H:$H)</f>
        <v>1000174119</v>
      </c>
      <c r="G695" s="5" t="str">
        <f>_xlfn.XLOOKUP($N695,'Base de Grupos'!$A:$A,'Base de Grupos'!$I:$I)</f>
        <v>REGIONAL VENDA INTERNA - CONVENIENCIA</v>
      </c>
      <c r="H695" s="5" t="str">
        <f>_xlfn.XLOOKUP($N695,'Base de Grupos'!$A:$A,'Base de Grupos'!$J:$J)</f>
        <v>1000174119</v>
      </c>
      <c r="I695" s="2" t="str">
        <f>_xlfn.XLOOKUP($N695,'Base de Grupos'!$A:$A,'Base de Grupos'!$K:$K)</f>
        <v>REGIONAL VENDA INTERNA - CONVENIENCIA</v>
      </c>
      <c r="J695" s="2" t="str">
        <f>_xlfn.XLOOKUP($N695,'Base de Grupos'!$A:$A,'Base de Grupos'!$L:$L)</f>
        <v>1000174119</v>
      </c>
      <c r="K695" s="5" t="str">
        <f>_xlfn.XLOOKUP($N695,'Base de Grupos'!$A:$A,'Base de Grupos'!$M:$M)</f>
        <v>REGIONAL VENDA INTERNA - CONVENIENCIA</v>
      </c>
      <c r="L695" s="5" t="str">
        <f t="shared" si="305"/>
        <v/>
      </c>
      <c r="M695" s="5" t="str">
        <f>_xlfn.XLOOKUP($N695,'Base de Grupos'!$A:$A,'Base de Grupos'!$C:$C)</f>
        <v>AP</v>
      </c>
      <c r="N695" s="3">
        <v>1502</v>
      </c>
      <c r="O695" s="4" t="s">
        <v>262</v>
      </c>
      <c r="P695" s="5" t="s">
        <v>86</v>
      </c>
      <c r="Q695" s="24">
        <v>0</v>
      </c>
      <c r="R695" s="24">
        <v>0</v>
      </c>
      <c r="S695" s="24">
        <v>0</v>
      </c>
      <c r="T695" s="24">
        <v>0</v>
      </c>
      <c r="U695" s="24">
        <v>0</v>
      </c>
      <c r="V695" s="24">
        <v>0</v>
      </c>
      <c r="W695" s="24">
        <v>0</v>
      </c>
      <c r="X695" s="24">
        <v>0</v>
      </c>
      <c r="Y695" s="24">
        <v>0</v>
      </c>
      <c r="Z695" s="24">
        <v>0</v>
      </c>
      <c r="AA695" s="24">
        <v>0</v>
      </c>
      <c r="AB695" s="24">
        <v>0</v>
      </c>
      <c r="AC695" s="30">
        <f t="shared" si="315"/>
        <v>0</v>
      </c>
      <c r="AD695" s="28"/>
      <c r="AE695" s="12"/>
      <c r="AF695" s="29"/>
      <c r="AG695" s="9"/>
      <c r="AH695" s="10"/>
      <c r="AI695" s="9"/>
      <c r="AJ695" s="11"/>
      <c r="AK695" s="9"/>
      <c r="AL695" s="13"/>
      <c r="AM695" s="9"/>
    </row>
    <row r="696" spans="1:39" x14ac:dyDescent="0.3">
      <c r="A696" s="2" t="str">
        <f t="shared" si="304"/>
        <v>NÃO</v>
      </c>
      <c r="B696" s="2" t="str">
        <f>_xlfn.XLOOKUP($N696,'Base de Grupos'!$A:$A,'Base de Grupos'!$D:$D)</f>
        <v>1000065763</v>
      </c>
      <c r="C696" s="5" t="str">
        <f>_xlfn.XLOOKUP($N696,'Base de Grupos'!$A:$A,'Base de Grupos'!$E:$E)</f>
        <v>CANAL VENDA INTERNA</v>
      </c>
      <c r="D696" s="5" t="str">
        <f>_xlfn.XLOOKUP($N696,'Base de Grupos'!$A:$A,'Base de Grupos'!$F:$F)</f>
        <v>1000065763</v>
      </c>
      <c r="E696" s="2" t="str">
        <f>_xlfn.XLOOKUP($N696,'Base de Grupos'!$A:$A,'Base de Grupos'!$G:$G)</f>
        <v>CANAL VENDA INTERNA</v>
      </c>
      <c r="F696" s="2" t="str">
        <f>_xlfn.XLOOKUP($N696,'Base de Grupos'!$A:$A,'Base de Grupos'!$H:$H)</f>
        <v>1000174119</v>
      </c>
      <c r="G696" s="5" t="str">
        <f>_xlfn.XLOOKUP($N696,'Base de Grupos'!$A:$A,'Base de Grupos'!$I:$I)</f>
        <v>REGIONAL VENDA INTERNA - CONVENIENCIA</v>
      </c>
      <c r="H696" s="5" t="str">
        <f>_xlfn.XLOOKUP($N696,'Base de Grupos'!$A:$A,'Base de Grupos'!$J:$J)</f>
        <v>1000174119</v>
      </c>
      <c r="I696" s="2" t="str">
        <f>_xlfn.XLOOKUP($N696,'Base de Grupos'!$A:$A,'Base de Grupos'!$K:$K)</f>
        <v>REGIONAL VENDA INTERNA - CONVENIENCIA</v>
      </c>
      <c r="J696" s="2" t="str">
        <f>_xlfn.XLOOKUP($N696,'Base de Grupos'!$A:$A,'Base de Grupos'!$L:$L)</f>
        <v>1000174119</v>
      </c>
      <c r="K696" s="5" t="str">
        <f>_xlfn.XLOOKUP($N696,'Base de Grupos'!$A:$A,'Base de Grupos'!$M:$M)</f>
        <v>REGIONAL VENDA INTERNA - CONVENIENCIA</v>
      </c>
      <c r="L696" s="5" t="str">
        <f t="shared" si="305"/>
        <v/>
      </c>
      <c r="M696" s="5" t="str">
        <f>_xlfn.XLOOKUP($N696,'Base de Grupos'!$A:$A,'Base de Grupos'!$C:$C)</f>
        <v>AP</v>
      </c>
      <c r="N696" s="3">
        <v>1502</v>
      </c>
      <c r="O696" s="4" t="s">
        <v>262</v>
      </c>
      <c r="P696" s="5" t="s">
        <v>108</v>
      </c>
      <c r="Q696" s="24">
        <v>0</v>
      </c>
      <c r="R696" s="24">
        <v>0</v>
      </c>
      <c r="S696" s="24">
        <v>0</v>
      </c>
      <c r="T696" s="24">
        <v>0</v>
      </c>
      <c r="U696" s="24">
        <v>0</v>
      </c>
      <c r="V696" s="24">
        <v>0</v>
      </c>
      <c r="W696" s="24">
        <v>0</v>
      </c>
      <c r="X696" s="24">
        <v>0</v>
      </c>
      <c r="Y696" s="24">
        <v>0</v>
      </c>
      <c r="Z696" s="24">
        <v>0</v>
      </c>
      <c r="AA696" s="24">
        <v>0</v>
      </c>
      <c r="AB696" s="24">
        <v>0</v>
      </c>
      <c r="AC696" s="30">
        <f t="shared" si="315"/>
        <v>0</v>
      </c>
      <c r="AD696" s="28"/>
      <c r="AE696" s="12"/>
      <c r="AF696" s="29"/>
      <c r="AG696" s="9"/>
      <c r="AH696" s="10"/>
      <c r="AI696" s="9"/>
      <c r="AJ696" s="11"/>
      <c r="AK696" s="9"/>
      <c r="AL696" s="13"/>
      <c r="AM696" s="9"/>
    </row>
    <row r="697" spans="1:39" x14ac:dyDescent="0.3">
      <c r="A697" s="2" t="str">
        <f t="shared" si="304"/>
        <v>NÃO</v>
      </c>
      <c r="B697" s="2" t="str">
        <f>_xlfn.XLOOKUP($N697,'Base de Grupos'!$A:$A,'Base de Grupos'!$D:$D)</f>
        <v>1000065763</v>
      </c>
      <c r="C697" s="5" t="str">
        <f>_xlfn.XLOOKUP($N697,'Base de Grupos'!$A:$A,'Base de Grupos'!$E:$E)</f>
        <v>CANAL VENDA INTERNA</v>
      </c>
      <c r="D697" s="5" t="str">
        <f>_xlfn.XLOOKUP($N697,'Base de Grupos'!$A:$A,'Base de Grupos'!$F:$F)</f>
        <v>1000065763</v>
      </c>
      <c r="E697" s="2" t="str">
        <f>_xlfn.XLOOKUP($N697,'Base de Grupos'!$A:$A,'Base de Grupos'!$G:$G)</f>
        <v>CANAL VENDA INTERNA</v>
      </c>
      <c r="F697" s="2" t="str">
        <f>_xlfn.XLOOKUP($N697,'Base de Grupos'!$A:$A,'Base de Grupos'!$H:$H)</f>
        <v>1000174119</v>
      </c>
      <c r="G697" s="5" t="str">
        <f>_xlfn.XLOOKUP($N697,'Base de Grupos'!$A:$A,'Base de Grupos'!$I:$I)</f>
        <v>REGIONAL VENDA INTERNA - CONVENIENCIA</v>
      </c>
      <c r="H697" s="5" t="str">
        <f>_xlfn.XLOOKUP($N697,'Base de Grupos'!$A:$A,'Base de Grupos'!$J:$J)</f>
        <v>1000174119</v>
      </c>
      <c r="I697" s="2" t="str">
        <f>_xlfn.XLOOKUP($N697,'Base de Grupos'!$A:$A,'Base de Grupos'!$K:$K)</f>
        <v>REGIONAL VENDA INTERNA - CONVENIENCIA</v>
      </c>
      <c r="J697" s="2" t="str">
        <f>_xlfn.XLOOKUP($N697,'Base de Grupos'!$A:$A,'Base de Grupos'!$L:$L)</f>
        <v>1000174119</v>
      </c>
      <c r="K697" s="5" t="str">
        <f>_xlfn.XLOOKUP($N697,'Base de Grupos'!$A:$A,'Base de Grupos'!$M:$M)</f>
        <v>REGIONAL VENDA INTERNA - CONVENIENCIA</v>
      </c>
      <c r="L697" s="5" t="str">
        <f t="shared" si="305"/>
        <v/>
      </c>
      <c r="M697" s="5" t="str">
        <f>_xlfn.XLOOKUP($N697,'Base de Grupos'!$A:$A,'Base de Grupos'!$C:$C)</f>
        <v>AP</v>
      </c>
      <c r="N697" s="3">
        <v>1502</v>
      </c>
      <c r="O697" s="4" t="s">
        <v>262</v>
      </c>
      <c r="P697" s="5" t="s">
        <v>89</v>
      </c>
      <c r="Q697" s="24">
        <v>0</v>
      </c>
      <c r="R697" s="24">
        <v>0</v>
      </c>
      <c r="S697" s="24">
        <v>0</v>
      </c>
      <c r="T697" s="24">
        <v>0</v>
      </c>
      <c r="U697" s="24">
        <v>0</v>
      </c>
      <c r="V697" s="24">
        <v>0</v>
      </c>
      <c r="W697" s="24">
        <v>0</v>
      </c>
      <c r="X697" s="24">
        <v>0</v>
      </c>
      <c r="Y697" s="24">
        <v>0</v>
      </c>
      <c r="Z697" s="24">
        <v>0</v>
      </c>
      <c r="AA697" s="24">
        <v>0</v>
      </c>
      <c r="AB697" s="24">
        <v>0</v>
      </c>
      <c r="AC697" s="30">
        <f t="shared" si="315"/>
        <v>0</v>
      </c>
      <c r="AD697" s="28"/>
      <c r="AE697" s="12"/>
      <c r="AF697" s="29"/>
      <c r="AG697" s="9"/>
      <c r="AH697" s="10"/>
      <c r="AI697" s="9"/>
      <c r="AJ697" s="11"/>
      <c r="AK697" s="9"/>
      <c r="AL697" s="13"/>
      <c r="AM697" s="9"/>
    </row>
    <row r="698" spans="1:39" x14ac:dyDescent="0.3">
      <c r="A698" s="2" t="str">
        <f t="shared" si="304"/>
        <v>NÃO</v>
      </c>
      <c r="B698" s="2" t="str">
        <f>_xlfn.XLOOKUP($N698,'Base de Grupos'!$A:$A,'Base de Grupos'!$D:$D)</f>
        <v>1000065763</v>
      </c>
      <c r="C698" s="5" t="str">
        <f>_xlfn.XLOOKUP($N698,'Base de Grupos'!$A:$A,'Base de Grupos'!$E:$E)</f>
        <v>CANAL VENDA INTERNA</v>
      </c>
      <c r="D698" s="5" t="str">
        <f>_xlfn.XLOOKUP($N698,'Base de Grupos'!$A:$A,'Base de Grupos'!$F:$F)</f>
        <v>1000065763</v>
      </c>
      <c r="E698" s="2" t="str">
        <f>_xlfn.XLOOKUP($N698,'Base de Grupos'!$A:$A,'Base de Grupos'!$G:$G)</f>
        <v>CANAL VENDA INTERNA</v>
      </c>
      <c r="F698" s="2" t="str">
        <f>_xlfn.XLOOKUP($N698,'Base de Grupos'!$A:$A,'Base de Grupos'!$H:$H)</f>
        <v>1000174119</v>
      </c>
      <c r="G698" s="5" t="str">
        <f>_xlfn.XLOOKUP($N698,'Base de Grupos'!$A:$A,'Base de Grupos'!$I:$I)</f>
        <v>REGIONAL VENDA INTERNA - CONVENIENCIA</v>
      </c>
      <c r="H698" s="5" t="str">
        <f>_xlfn.XLOOKUP($N698,'Base de Grupos'!$A:$A,'Base de Grupos'!$J:$J)</f>
        <v>1000174119</v>
      </c>
      <c r="I698" s="2" t="str">
        <f>_xlfn.XLOOKUP($N698,'Base de Grupos'!$A:$A,'Base de Grupos'!$K:$K)</f>
        <v>REGIONAL VENDA INTERNA - CONVENIENCIA</v>
      </c>
      <c r="J698" s="2" t="str">
        <f>_xlfn.XLOOKUP($N698,'Base de Grupos'!$A:$A,'Base de Grupos'!$L:$L)</f>
        <v>1000174119</v>
      </c>
      <c r="K698" s="5" t="str">
        <f>_xlfn.XLOOKUP($N698,'Base de Grupos'!$A:$A,'Base de Grupos'!$M:$M)</f>
        <v>REGIONAL VENDA INTERNA - CONVENIENCIA</v>
      </c>
      <c r="L698" s="5" t="str">
        <f t="shared" si="305"/>
        <v/>
      </c>
      <c r="M698" s="5" t="str">
        <f>_xlfn.XLOOKUP($N698,'Base de Grupos'!$A:$A,'Base de Grupos'!$C:$C)</f>
        <v>AP</v>
      </c>
      <c r="N698" s="3">
        <v>1502</v>
      </c>
      <c r="O698" s="4" t="s">
        <v>262</v>
      </c>
      <c r="P698" s="5" t="s">
        <v>88</v>
      </c>
      <c r="Q698" s="24">
        <v>0</v>
      </c>
      <c r="R698" s="24">
        <v>0</v>
      </c>
      <c r="S698" s="24">
        <v>0</v>
      </c>
      <c r="T698" s="24">
        <v>0</v>
      </c>
      <c r="U698" s="24">
        <v>0</v>
      </c>
      <c r="V698" s="24">
        <v>0</v>
      </c>
      <c r="W698" s="24">
        <v>0</v>
      </c>
      <c r="X698" s="24">
        <v>0</v>
      </c>
      <c r="Y698" s="24">
        <v>0</v>
      </c>
      <c r="Z698" s="24">
        <v>0</v>
      </c>
      <c r="AA698" s="24">
        <v>0</v>
      </c>
      <c r="AB698" s="24">
        <v>0</v>
      </c>
      <c r="AC698" s="30">
        <f t="shared" si="315"/>
        <v>0</v>
      </c>
      <c r="AD698" s="28"/>
      <c r="AE698" s="12"/>
      <c r="AF698" s="29"/>
      <c r="AG698" s="9"/>
      <c r="AH698" s="10"/>
      <c r="AI698" s="9"/>
      <c r="AJ698" s="11"/>
      <c r="AK698" s="9"/>
      <c r="AL698" s="13"/>
      <c r="AM698" s="9"/>
    </row>
    <row r="699" spans="1:39" x14ac:dyDescent="0.3">
      <c r="A699" s="2" t="str">
        <f t="shared" si="304"/>
        <v>NÃO</v>
      </c>
      <c r="B699" s="2" t="str">
        <f>_xlfn.XLOOKUP($N699,'Base de Grupos'!$A:$A,'Base de Grupos'!$D:$D)</f>
        <v>1000065763</v>
      </c>
      <c r="C699" s="5" t="str">
        <f>_xlfn.XLOOKUP($N699,'Base de Grupos'!$A:$A,'Base de Grupos'!$E:$E)</f>
        <v>CANAL VENDA INTERNA</v>
      </c>
      <c r="D699" s="5" t="str">
        <f>_xlfn.XLOOKUP($N699,'Base de Grupos'!$A:$A,'Base de Grupos'!$F:$F)</f>
        <v>1000065763</v>
      </c>
      <c r="E699" s="2" t="str">
        <f>_xlfn.XLOOKUP($N699,'Base de Grupos'!$A:$A,'Base de Grupos'!$G:$G)</f>
        <v>CANAL VENDA INTERNA</v>
      </c>
      <c r="F699" s="2" t="str">
        <f>_xlfn.XLOOKUP($N699,'Base de Grupos'!$A:$A,'Base de Grupos'!$H:$H)</f>
        <v>1000174119</v>
      </c>
      <c r="G699" s="5" t="str">
        <f>_xlfn.XLOOKUP($N699,'Base de Grupos'!$A:$A,'Base de Grupos'!$I:$I)</f>
        <v>REGIONAL VENDA INTERNA - CONVENIENCIA</v>
      </c>
      <c r="H699" s="5" t="str">
        <f>_xlfn.XLOOKUP($N699,'Base de Grupos'!$A:$A,'Base de Grupos'!$J:$J)</f>
        <v>1000174119</v>
      </c>
      <c r="I699" s="2" t="str">
        <f>_xlfn.XLOOKUP($N699,'Base de Grupos'!$A:$A,'Base de Grupos'!$K:$K)</f>
        <v>REGIONAL VENDA INTERNA - CONVENIENCIA</v>
      </c>
      <c r="J699" s="2" t="str">
        <f>_xlfn.XLOOKUP($N699,'Base de Grupos'!$A:$A,'Base de Grupos'!$L:$L)</f>
        <v>1000174119</v>
      </c>
      <c r="K699" s="5" t="str">
        <f>_xlfn.XLOOKUP($N699,'Base de Grupos'!$A:$A,'Base de Grupos'!$M:$M)</f>
        <v>REGIONAL VENDA INTERNA - CONVENIENCIA</v>
      </c>
      <c r="L699" s="5" t="str">
        <f t="shared" si="305"/>
        <v/>
      </c>
      <c r="M699" s="5" t="str">
        <f>_xlfn.XLOOKUP($N699,'Base de Grupos'!$A:$A,'Base de Grupos'!$C:$C)</f>
        <v>AP</v>
      </c>
      <c r="N699" s="3">
        <v>1502</v>
      </c>
      <c r="O699" s="4" t="s">
        <v>262</v>
      </c>
      <c r="P699" s="5" t="s">
        <v>90</v>
      </c>
      <c r="Q699" s="24">
        <v>0</v>
      </c>
      <c r="R699" s="24">
        <v>4</v>
      </c>
      <c r="S699" s="24">
        <v>4</v>
      </c>
      <c r="T699" s="24">
        <v>0</v>
      </c>
      <c r="U699" s="24">
        <v>0</v>
      </c>
      <c r="V699" s="24">
        <v>0</v>
      </c>
      <c r="W699" s="24">
        <v>0</v>
      </c>
      <c r="X699" s="24">
        <v>0</v>
      </c>
      <c r="Y699" s="24">
        <v>0</v>
      </c>
      <c r="Z699" s="24">
        <v>0</v>
      </c>
      <c r="AA699" s="24">
        <v>0</v>
      </c>
      <c r="AB699" s="24">
        <v>0</v>
      </c>
      <c r="AC699" s="30">
        <f t="shared" si="315"/>
        <v>0</v>
      </c>
      <c r="AD699" s="28"/>
      <c r="AE699" s="12"/>
      <c r="AF699" s="29"/>
      <c r="AG699" s="9"/>
      <c r="AH699" s="10"/>
      <c r="AI699" s="9"/>
      <c r="AJ699" s="11"/>
      <c r="AK699" s="9"/>
      <c r="AL699" s="13"/>
      <c r="AM699" s="9"/>
    </row>
    <row r="700" spans="1:39" x14ac:dyDescent="0.3">
      <c r="A700" s="2" t="str">
        <f t="shared" si="304"/>
        <v>NÃO</v>
      </c>
      <c r="B700" s="2" t="str">
        <f>_xlfn.XLOOKUP($N700,'Base de Grupos'!$A:$A,'Base de Grupos'!$D:$D)</f>
        <v>1000065763</v>
      </c>
      <c r="C700" s="5" t="str">
        <f>_xlfn.XLOOKUP($N700,'Base de Grupos'!$A:$A,'Base de Grupos'!$E:$E)</f>
        <v>CANAL VENDA INTERNA</v>
      </c>
      <c r="D700" s="5" t="str">
        <f>_xlfn.XLOOKUP($N700,'Base de Grupos'!$A:$A,'Base de Grupos'!$F:$F)</f>
        <v>1000065763</v>
      </c>
      <c r="E700" s="2" t="str">
        <f>_xlfn.XLOOKUP($N700,'Base de Grupos'!$A:$A,'Base de Grupos'!$G:$G)</f>
        <v>CANAL VENDA INTERNA</v>
      </c>
      <c r="F700" s="2" t="str">
        <f>_xlfn.XLOOKUP($N700,'Base de Grupos'!$A:$A,'Base de Grupos'!$H:$H)</f>
        <v>1000174119</v>
      </c>
      <c r="G700" s="5" t="str">
        <f>_xlfn.XLOOKUP($N700,'Base de Grupos'!$A:$A,'Base de Grupos'!$I:$I)</f>
        <v>REGIONAL VENDA INTERNA - CONVENIENCIA</v>
      </c>
      <c r="H700" s="5" t="str">
        <f>_xlfn.XLOOKUP($N700,'Base de Grupos'!$A:$A,'Base de Grupos'!$J:$J)</f>
        <v>1000174119</v>
      </c>
      <c r="I700" s="2" t="str">
        <f>_xlfn.XLOOKUP($N700,'Base de Grupos'!$A:$A,'Base de Grupos'!$K:$K)</f>
        <v>REGIONAL VENDA INTERNA - CONVENIENCIA</v>
      </c>
      <c r="J700" s="2" t="str">
        <f>_xlfn.XLOOKUP($N700,'Base de Grupos'!$A:$A,'Base de Grupos'!$L:$L)</f>
        <v>1000174119</v>
      </c>
      <c r="K700" s="5" t="str">
        <f>_xlfn.XLOOKUP($N700,'Base de Grupos'!$A:$A,'Base de Grupos'!$M:$M)</f>
        <v>REGIONAL VENDA INTERNA - CONVENIENCIA</v>
      </c>
      <c r="L700" s="5" t="str">
        <f t="shared" si="305"/>
        <v/>
      </c>
      <c r="M700" s="5" t="str">
        <f>_xlfn.XLOOKUP($N700,'Base de Grupos'!$A:$A,'Base de Grupos'!$C:$C)</f>
        <v>AP</v>
      </c>
      <c r="N700" s="3">
        <v>1502</v>
      </c>
      <c r="O700" s="4" t="s">
        <v>262</v>
      </c>
      <c r="P700" s="5" t="s">
        <v>91</v>
      </c>
      <c r="Q700" s="24">
        <v>0</v>
      </c>
      <c r="R700" s="24">
        <v>1</v>
      </c>
      <c r="S700" s="24">
        <v>2</v>
      </c>
      <c r="T700" s="24">
        <v>0</v>
      </c>
      <c r="U700" s="24">
        <v>0</v>
      </c>
      <c r="V700" s="24">
        <v>0</v>
      </c>
      <c r="W700" s="24">
        <v>0</v>
      </c>
      <c r="X700" s="24">
        <v>0</v>
      </c>
      <c r="Y700" s="24">
        <v>0</v>
      </c>
      <c r="Z700" s="24">
        <v>0</v>
      </c>
      <c r="AA700" s="24">
        <v>0</v>
      </c>
      <c r="AB700" s="24">
        <v>0</v>
      </c>
      <c r="AC700" s="30">
        <f t="shared" si="315"/>
        <v>0</v>
      </c>
      <c r="AD700" s="28"/>
      <c r="AE700" s="12"/>
      <c r="AF700" s="29"/>
      <c r="AG700" s="9"/>
      <c r="AH700" s="10"/>
      <c r="AI700" s="9"/>
      <c r="AJ700" s="11"/>
      <c r="AK700" s="9"/>
      <c r="AL700" s="13"/>
      <c r="AM700" s="9"/>
    </row>
    <row r="701" spans="1:39" x14ac:dyDescent="0.3">
      <c r="A701" s="2" t="str">
        <f t="shared" si="304"/>
        <v>NÃO</v>
      </c>
      <c r="B701" s="2" t="str">
        <f>_xlfn.XLOOKUP($N701,'Base de Grupos'!$A:$A,'Base de Grupos'!$D:$D)</f>
        <v>1000065763</v>
      </c>
      <c r="C701" s="5" t="str">
        <f>_xlfn.XLOOKUP($N701,'Base de Grupos'!$A:$A,'Base de Grupos'!$E:$E)</f>
        <v>CANAL VENDA INTERNA</v>
      </c>
      <c r="D701" s="5" t="str">
        <f>_xlfn.XLOOKUP($N701,'Base de Grupos'!$A:$A,'Base de Grupos'!$F:$F)</f>
        <v>1000065763</v>
      </c>
      <c r="E701" s="2" t="str">
        <f>_xlfn.XLOOKUP($N701,'Base de Grupos'!$A:$A,'Base de Grupos'!$G:$G)</f>
        <v>CANAL VENDA INTERNA</v>
      </c>
      <c r="F701" s="2" t="str">
        <f>_xlfn.XLOOKUP($N701,'Base de Grupos'!$A:$A,'Base de Grupos'!$H:$H)</f>
        <v>1000174119</v>
      </c>
      <c r="G701" s="5" t="str">
        <f>_xlfn.XLOOKUP($N701,'Base de Grupos'!$A:$A,'Base de Grupos'!$I:$I)</f>
        <v>REGIONAL VENDA INTERNA - CONVENIENCIA</v>
      </c>
      <c r="H701" s="5" t="str">
        <f>_xlfn.XLOOKUP($N701,'Base de Grupos'!$A:$A,'Base de Grupos'!$J:$J)</f>
        <v>1000174119</v>
      </c>
      <c r="I701" s="2" t="str">
        <f>_xlfn.XLOOKUP($N701,'Base de Grupos'!$A:$A,'Base de Grupos'!$K:$K)</f>
        <v>REGIONAL VENDA INTERNA - CONVENIENCIA</v>
      </c>
      <c r="J701" s="2" t="str">
        <f>_xlfn.XLOOKUP($N701,'Base de Grupos'!$A:$A,'Base de Grupos'!$L:$L)</f>
        <v>1000174119</v>
      </c>
      <c r="K701" s="5" t="str">
        <f>_xlfn.XLOOKUP($N701,'Base de Grupos'!$A:$A,'Base de Grupos'!$M:$M)</f>
        <v>REGIONAL VENDA INTERNA - CONVENIENCIA</v>
      </c>
      <c r="L701" s="5" t="str">
        <f t="shared" si="305"/>
        <v/>
      </c>
      <c r="M701" s="5" t="str">
        <f>_xlfn.XLOOKUP($N701,'Base de Grupos'!$A:$A,'Base de Grupos'!$C:$C)</f>
        <v>AP</v>
      </c>
      <c r="N701" s="3">
        <v>1502</v>
      </c>
      <c r="O701" s="4" t="s">
        <v>262</v>
      </c>
      <c r="P701" s="5" t="s">
        <v>96</v>
      </c>
      <c r="Q701" s="24">
        <v>0</v>
      </c>
      <c r="R701" s="24">
        <v>2</v>
      </c>
      <c r="S701" s="24">
        <v>2</v>
      </c>
      <c r="T701" s="24">
        <v>0</v>
      </c>
      <c r="U701" s="24">
        <v>0</v>
      </c>
      <c r="V701" s="24">
        <v>0</v>
      </c>
      <c r="W701" s="24">
        <v>0</v>
      </c>
      <c r="X701" s="24">
        <v>0</v>
      </c>
      <c r="Y701" s="24">
        <v>0</v>
      </c>
      <c r="Z701" s="24">
        <v>0</v>
      </c>
      <c r="AA701" s="24">
        <v>0</v>
      </c>
      <c r="AB701" s="24">
        <v>0</v>
      </c>
      <c r="AC701" s="30">
        <f t="shared" si="315"/>
        <v>0</v>
      </c>
      <c r="AD701" s="28"/>
      <c r="AE701" s="12"/>
      <c r="AF701" s="29"/>
      <c r="AG701" s="9"/>
      <c r="AH701" s="10"/>
      <c r="AI701" s="9"/>
      <c r="AJ701" s="11"/>
      <c r="AK701" s="9"/>
      <c r="AL701" s="13"/>
      <c r="AM701" s="9"/>
    </row>
    <row r="702" spans="1:39" x14ac:dyDescent="0.3">
      <c r="A702" s="2" t="str">
        <f t="shared" si="304"/>
        <v>NÃO</v>
      </c>
      <c r="B702" s="2" t="str">
        <f>_xlfn.XLOOKUP($N702,'Base de Grupos'!$A:$A,'Base de Grupos'!$D:$D)</f>
        <v>1000065763</v>
      </c>
      <c r="C702" s="5" t="str">
        <f>_xlfn.XLOOKUP($N702,'Base de Grupos'!$A:$A,'Base de Grupos'!$E:$E)</f>
        <v>CANAL VENDA INTERNA</v>
      </c>
      <c r="D702" s="5" t="str">
        <f>_xlfn.XLOOKUP($N702,'Base de Grupos'!$A:$A,'Base de Grupos'!$F:$F)</f>
        <v>1000065763</v>
      </c>
      <c r="E702" s="2" t="str">
        <f>_xlfn.XLOOKUP($N702,'Base de Grupos'!$A:$A,'Base de Grupos'!$G:$G)</f>
        <v>CANAL VENDA INTERNA</v>
      </c>
      <c r="F702" s="2" t="str">
        <f>_xlfn.XLOOKUP($N702,'Base de Grupos'!$A:$A,'Base de Grupos'!$H:$H)</f>
        <v>1000174119</v>
      </c>
      <c r="G702" s="5" t="str">
        <f>_xlfn.XLOOKUP($N702,'Base de Grupos'!$A:$A,'Base de Grupos'!$I:$I)</f>
        <v>REGIONAL VENDA INTERNA - CONVENIENCIA</v>
      </c>
      <c r="H702" s="5" t="str">
        <f>_xlfn.XLOOKUP($N702,'Base de Grupos'!$A:$A,'Base de Grupos'!$J:$J)</f>
        <v>1000174119</v>
      </c>
      <c r="I702" s="2" t="str">
        <f>_xlfn.XLOOKUP($N702,'Base de Grupos'!$A:$A,'Base de Grupos'!$K:$K)</f>
        <v>REGIONAL VENDA INTERNA - CONVENIENCIA</v>
      </c>
      <c r="J702" s="2" t="str">
        <f>_xlfn.XLOOKUP($N702,'Base de Grupos'!$A:$A,'Base de Grupos'!$L:$L)</f>
        <v>1000174119</v>
      </c>
      <c r="K702" s="5" t="str">
        <f>_xlfn.XLOOKUP($N702,'Base de Grupos'!$A:$A,'Base de Grupos'!$M:$M)</f>
        <v>REGIONAL VENDA INTERNA - CONVENIENCIA</v>
      </c>
      <c r="L702" s="5" t="str">
        <f t="shared" si="305"/>
        <v/>
      </c>
      <c r="M702" s="5" t="str">
        <f>_xlfn.XLOOKUP($N702,'Base de Grupos'!$A:$A,'Base de Grupos'!$C:$C)</f>
        <v>AP</v>
      </c>
      <c r="N702" s="3">
        <v>1502</v>
      </c>
      <c r="O702" s="4" t="s">
        <v>262</v>
      </c>
      <c r="P702" s="5" t="s">
        <v>94</v>
      </c>
      <c r="Q702" s="24">
        <v>0</v>
      </c>
      <c r="R702" s="24">
        <v>2</v>
      </c>
      <c r="S702" s="24">
        <v>2</v>
      </c>
      <c r="T702" s="24">
        <v>0</v>
      </c>
      <c r="U702" s="24">
        <v>0</v>
      </c>
      <c r="V702" s="24">
        <v>0</v>
      </c>
      <c r="W702" s="24">
        <v>0</v>
      </c>
      <c r="X702" s="24">
        <v>0</v>
      </c>
      <c r="Y702" s="24">
        <v>0</v>
      </c>
      <c r="Z702" s="24">
        <v>0</v>
      </c>
      <c r="AA702" s="24">
        <v>0</v>
      </c>
      <c r="AB702" s="24">
        <v>0</v>
      </c>
      <c r="AC702" s="30">
        <f t="shared" si="315"/>
        <v>0</v>
      </c>
      <c r="AD702" s="28"/>
      <c r="AE702" s="12"/>
      <c r="AF702" s="29"/>
      <c r="AG702" s="9"/>
      <c r="AH702" s="10"/>
      <c r="AI702" s="9"/>
      <c r="AJ702" s="11"/>
      <c r="AK702" s="9"/>
      <c r="AL702" s="13"/>
      <c r="AM702" s="9"/>
    </row>
    <row r="703" spans="1:39" x14ac:dyDescent="0.3">
      <c r="A703" s="2" t="str">
        <f t="shared" si="304"/>
        <v>NÃO</v>
      </c>
      <c r="B703" s="2" t="str">
        <f>_xlfn.XLOOKUP($N703,'Base de Grupos'!$A:$A,'Base de Grupos'!$D:$D)</f>
        <v>1000065763</v>
      </c>
      <c r="C703" s="5" t="str">
        <f>_xlfn.XLOOKUP($N703,'Base de Grupos'!$A:$A,'Base de Grupos'!$E:$E)</f>
        <v>CANAL VENDA INTERNA</v>
      </c>
      <c r="D703" s="5" t="str">
        <f>_xlfn.XLOOKUP($N703,'Base de Grupos'!$A:$A,'Base de Grupos'!$F:$F)</f>
        <v>1000065763</v>
      </c>
      <c r="E703" s="2" t="str">
        <f>_xlfn.XLOOKUP($N703,'Base de Grupos'!$A:$A,'Base de Grupos'!$G:$G)</f>
        <v>CANAL VENDA INTERNA</v>
      </c>
      <c r="F703" s="2" t="str">
        <f>_xlfn.XLOOKUP($N703,'Base de Grupos'!$A:$A,'Base de Grupos'!$H:$H)</f>
        <v>1000174119</v>
      </c>
      <c r="G703" s="5" t="str">
        <f>_xlfn.XLOOKUP($N703,'Base de Grupos'!$A:$A,'Base de Grupos'!$I:$I)</f>
        <v>REGIONAL VENDA INTERNA - CONVENIENCIA</v>
      </c>
      <c r="H703" s="5" t="str">
        <f>_xlfn.XLOOKUP($N703,'Base de Grupos'!$A:$A,'Base de Grupos'!$J:$J)</f>
        <v>1000174119</v>
      </c>
      <c r="I703" s="2" t="str">
        <f>_xlfn.XLOOKUP($N703,'Base de Grupos'!$A:$A,'Base de Grupos'!$K:$K)</f>
        <v>REGIONAL VENDA INTERNA - CONVENIENCIA</v>
      </c>
      <c r="J703" s="2" t="str">
        <f>_xlfn.XLOOKUP($N703,'Base de Grupos'!$A:$A,'Base de Grupos'!$L:$L)</f>
        <v>1000174119</v>
      </c>
      <c r="K703" s="5" t="str">
        <f>_xlfn.XLOOKUP($N703,'Base de Grupos'!$A:$A,'Base de Grupos'!$M:$M)</f>
        <v>REGIONAL VENDA INTERNA - CONVENIENCIA</v>
      </c>
      <c r="L703" s="5" t="str">
        <f t="shared" si="305"/>
        <v/>
      </c>
      <c r="M703" s="5" t="str">
        <f>_xlfn.XLOOKUP($N703,'Base de Grupos'!$A:$A,'Base de Grupos'!$C:$C)</f>
        <v>AP</v>
      </c>
      <c r="N703" s="3">
        <v>1502</v>
      </c>
      <c r="O703" s="4" t="s">
        <v>262</v>
      </c>
      <c r="P703" s="5" t="s">
        <v>95</v>
      </c>
      <c r="Q703" s="24">
        <v>0</v>
      </c>
      <c r="R703" s="24">
        <v>1</v>
      </c>
      <c r="S703" s="24">
        <v>1</v>
      </c>
      <c r="T703" s="24">
        <v>0</v>
      </c>
      <c r="U703" s="24">
        <v>0</v>
      </c>
      <c r="V703" s="24">
        <v>0</v>
      </c>
      <c r="W703" s="24">
        <v>0</v>
      </c>
      <c r="X703" s="24">
        <v>0</v>
      </c>
      <c r="Y703" s="24">
        <v>0</v>
      </c>
      <c r="Z703" s="24">
        <v>0</v>
      </c>
      <c r="AA703" s="24">
        <v>0</v>
      </c>
      <c r="AB703" s="24">
        <v>0</v>
      </c>
      <c r="AC703" s="30">
        <f t="shared" si="315"/>
        <v>0</v>
      </c>
      <c r="AD703" s="28"/>
      <c r="AE703" s="12"/>
      <c r="AF703" s="29"/>
      <c r="AG703" s="9"/>
      <c r="AH703" s="10"/>
      <c r="AI703" s="9"/>
      <c r="AJ703" s="11"/>
      <c r="AK703" s="9"/>
      <c r="AL703" s="13"/>
      <c r="AM703" s="9"/>
    </row>
    <row r="704" spans="1:39" x14ac:dyDescent="0.3">
      <c r="A704" s="2" t="str">
        <f t="shared" si="304"/>
        <v>NÃO</v>
      </c>
      <c r="B704" s="2" t="str">
        <f>_xlfn.XLOOKUP($N704,'Base de Grupos'!$A:$A,'Base de Grupos'!$D:$D)</f>
        <v>1000065763</v>
      </c>
      <c r="C704" s="5" t="str">
        <f>_xlfn.XLOOKUP($N704,'Base de Grupos'!$A:$A,'Base de Grupos'!$E:$E)</f>
        <v>CANAL VENDA INTERNA</v>
      </c>
      <c r="D704" s="5" t="str">
        <f>_xlfn.XLOOKUP($N704,'Base de Grupos'!$A:$A,'Base de Grupos'!$F:$F)</f>
        <v>1000065763</v>
      </c>
      <c r="E704" s="2" t="str">
        <f>_xlfn.XLOOKUP($N704,'Base de Grupos'!$A:$A,'Base de Grupos'!$G:$G)</f>
        <v>CANAL VENDA INTERNA</v>
      </c>
      <c r="F704" s="2" t="str">
        <f>_xlfn.XLOOKUP($N704,'Base de Grupos'!$A:$A,'Base de Grupos'!$H:$H)</f>
        <v>1000174119</v>
      </c>
      <c r="G704" s="5" t="str">
        <f>_xlfn.XLOOKUP($N704,'Base de Grupos'!$A:$A,'Base de Grupos'!$I:$I)</f>
        <v>REGIONAL VENDA INTERNA - CONVENIENCIA</v>
      </c>
      <c r="H704" s="5" t="str">
        <f>_xlfn.XLOOKUP($N704,'Base de Grupos'!$A:$A,'Base de Grupos'!$J:$J)</f>
        <v>1000174119</v>
      </c>
      <c r="I704" s="2" t="str">
        <f>_xlfn.XLOOKUP($N704,'Base de Grupos'!$A:$A,'Base de Grupos'!$K:$K)</f>
        <v>REGIONAL VENDA INTERNA - CONVENIENCIA</v>
      </c>
      <c r="J704" s="2" t="str">
        <f>_xlfn.XLOOKUP($N704,'Base de Grupos'!$A:$A,'Base de Grupos'!$L:$L)</f>
        <v>1000174119</v>
      </c>
      <c r="K704" s="5" t="str">
        <f>_xlfn.XLOOKUP($N704,'Base de Grupos'!$A:$A,'Base de Grupos'!$M:$M)</f>
        <v>REGIONAL VENDA INTERNA - CONVENIENCIA</v>
      </c>
      <c r="L704" s="5" t="str">
        <f t="shared" si="305"/>
        <v/>
      </c>
      <c r="M704" s="5" t="str">
        <f>_xlfn.XLOOKUP($N704,'Base de Grupos'!$A:$A,'Base de Grupos'!$C:$C)</f>
        <v>AP</v>
      </c>
      <c r="N704" s="3">
        <v>1502</v>
      </c>
      <c r="O704" s="4" t="s">
        <v>262</v>
      </c>
      <c r="P704" s="5" t="s">
        <v>93</v>
      </c>
      <c r="Q704" s="24">
        <v>0</v>
      </c>
      <c r="R704" s="24">
        <v>4</v>
      </c>
      <c r="S704" s="24">
        <v>4</v>
      </c>
      <c r="T704" s="24">
        <v>0</v>
      </c>
      <c r="U704" s="24">
        <v>0</v>
      </c>
      <c r="V704" s="24">
        <v>0</v>
      </c>
      <c r="W704" s="24">
        <v>0</v>
      </c>
      <c r="X704" s="24">
        <v>0</v>
      </c>
      <c r="Y704" s="24">
        <v>0</v>
      </c>
      <c r="Z704" s="24">
        <v>0</v>
      </c>
      <c r="AA704" s="24">
        <v>0</v>
      </c>
      <c r="AB704" s="24">
        <v>0</v>
      </c>
      <c r="AC704" s="30">
        <f t="shared" si="315"/>
        <v>0</v>
      </c>
      <c r="AD704" s="28"/>
      <c r="AE704" s="12"/>
      <c r="AF704" s="29"/>
      <c r="AG704" s="9"/>
      <c r="AH704" s="10"/>
      <c r="AI704" s="9"/>
      <c r="AJ704" s="11"/>
      <c r="AK704" s="9"/>
      <c r="AL704" s="13"/>
      <c r="AM704" s="9"/>
    </row>
    <row r="705" spans="1:39" x14ac:dyDescent="0.3">
      <c r="A705" s="2" t="str">
        <f t="shared" si="304"/>
        <v>SIM</v>
      </c>
      <c r="B705" s="2" t="str">
        <f>_xlfn.XLOOKUP($N705,'Base de Grupos'!$A:$A,'Base de Grupos'!$D:$D)</f>
        <v>1000065763</v>
      </c>
      <c r="C705" s="5" t="str">
        <f>_xlfn.XLOOKUP($N705,'Base de Grupos'!$A:$A,'Base de Grupos'!$E:$E)</f>
        <v>CANAL VENDA INTERNA</v>
      </c>
      <c r="D705" s="5" t="str">
        <f>_xlfn.XLOOKUP($N705,'Base de Grupos'!$A:$A,'Base de Grupos'!$F:$F)</f>
        <v>1000065763</v>
      </c>
      <c r="E705" s="2" t="str">
        <f>_xlfn.XLOOKUP($N705,'Base de Grupos'!$A:$A,'Base de Grupos'!$G:$G)</f>
        <v>CANAL VENDA INTERNA</v>
      </c>
      <c r="F705" s="2" t="str">
        <f>_xlfn.XLOOKUP($N705,'Base de Grupos'!$A:$A,'Base de Grupos'!$H:$H)</f>
        <v>1000174119</v>
      </c>
      <c r="G705" s="5" t="str">
        <f>_xlfn.XLOOKUP($N705,'Base de Grupos'!$A:$A,'Base de Grupos'!$I:$I)</f>
        <v>REGIONAL VENDA INTERNA - CONVENIENCIA</v>
      </c>
      <c r="H705" s="5" t="str">
        <f>_xlfn.XLOOKUP($N705,'Base de Grupos'!$A:$A,'Base de Grupos'!$J:$J)</f>
        <v>1000174119</v>
      </c>
      <c r="I705" s="2" t="str">
        <f>_xlfn.XLOOKUP($N705,'Base de Grupos'!$A:$A,'Base de Grupos'!$K:$K)</f>
        <v>REGIONAL VENDA INTERNA - CONVENIENCIA</v>
      </c>
      <c r="J705" s="2" t="str">
        <f>_xlfn.XLOOKUP($N705,'Base de Grupos'!$A:$A,'Base de Grupos'!$L:$L)</f>
        <v>1000174119</v>
      </c>
      <c r="K705" s="5" t="str">
        <f>_xlfn.XLOOKUP($N705,'Base de Grupos'!$A:$A,'Base de Grupos'!$M:$M)</f>
        <v>REGIONAL VENDA INTERNA - CONVENIENCIA</v>
      </c>
      <c r="L705" s="5">
        <f t="shared" si="305"/>
        <v>1</v>
      </c>
      <c r="M705" s="5" t="str">
        <f>_xlfn.XLOOKUP($N705,'Base de Grupos'!$A:$A,'Base de Grupos'!$C:$C)</f>
        <v>RN</v>
      </c>
      <c r="N705" s="3">
        <v>1503</v>
      </c>
      <c r="O705" s="4" t="s">
        <v>263</v>
      </c>
      <c r="P705" s="5" t="s">
        <v>333</v>
      </c>
      <c r="Q705" s="24">
        <v>0</v>
      </c>
      <c r="R705" s="24">
        <v>4.4000000000000004</v>
      </c>
      <c r="S705" s="24">
        <v>5</v>
      </c>
      <c r="T705" s="24">
        <v>0</v>
      </c>
      <c r="U705" s="24">
        <v>0</v>
      </c>
      <c r="V705" s="24">
        <v>0</v>
      </c>
      <c r="W705" s="24">
        <v>0</v>
      </c>
      <c r="X705" s="24">
        <v>0</v>
      </c>
      <c r="Y705" s="24">
        <v>0</v>
      </c>
      <c r="Z705" s="24">
        <v>0</v>
      </c>
      <c r="AA705" s="24">
        <v>0</v>
      </c>
      <c r="AB705" s="24">
        <v>0</v>
      </c>
      <c r="AC705" s="30">
        <f t="shared" si="315"/>
        <v>0</v>
      </c>
      <c r="AD705" s="28"/>
      <c r="AE705" s="12"/>
      <c r="AF705" s="29"/>
      <c r="AG705" s="9"/>
      <c r="AH705" s="10"/>
      <c r="AI705" s="9"/>
      <c r="AJ705" s="11"/>
      <c r="AK705" s="9"/>
      <c r="AL705" s="13"/>
      <c r="AM705" s="9"/>
    </row>
    <row r="706" spans="1:39" x14ac:dyDescent="0.3">
      <c r="A706" s="2" t="str">
        <f t="shared" si="304"/>
        <v>NÃO</v>
      </c>
      <c r="B706" s="2" t="str">
        <f>_xlfn.XLOOKUP($N706,'Base de Grupos'!$A:$A,'Base de Grupos'!$D:$D)</f>
        <v>1000065763</v>
      </c>
      <c r="C706" s="5" t="str">
        <f>_xlfn.XLOOKUP($N706,'Base de Grupos'!$A:$A,'Base de Grupos'!$E:$E)</f>
        <v>CANAL VENDA INTERNA</v>
      </c>
      <c r="D706" s="5" t="str">
        <f>_xlfn.XLOOKUP($N706,'Base de Grupos'!$A:$A,'Base de Grupos'!$F:$F)</f>
        <v>1000065763</v>
      </c>
      <c r="E706" s="2" t="str">
        <f>_xlfn.XLOOKUP($N706,'Base de Grupos'!$A:$A,'Base de Grupos'!$G:$G)</f>
        <v>CANAL VENDA INTERNA</v>
      </c>
      <c r="F706" s="2" t="str">
        <f>_xlfn.XLOOKUP($N706,'Base de Grupos'!$A:$A,'Base de Grupos'!$H:$H)</f>
        <v>1000174119</v>
      </c>
      <c r="G706" s="5" t="str">
        <f>_xlfn.XLOOKUP($N706,'Base de Grupos'!$A:$A,'Base de Grupos'!$I:$I)</f>
        <v>REGIONAL VENDA INTERNA - CONVENIENCIA</v>
      </c>
      <c r="H706" s="5" t="str">
        <f>_xlfn.XLOOKUP($N706,'Base de Grupos'!$A:$A,'Base de Grupos'!$J:$J)</f>
        <v>1000174119</v>
      </c>
      <c r="I706" s="2" t="str">
        <f>_xlfn.XLOOKUP($N706,'Base de Grupos'!$A:$A,'Base de Grupos'!$K:$K)</f>
        <v>REGIONAL VENDA INTERNA - CONVENIENCIA</v>
      </c>
      <c r="J706" s="2" t="str">
        <f>_xlfn.XLOOKUP($N706,'Base de Grupos'!$A:$A,'Base de Grupos'!$L:$L)</f>
        <v>1000174119</v>
      </c>
      <c r="K706" s="5" t="str">
        <f>_xlfn.XLOOKUP($N706,'Base de Grupos'!$A:$A,'Base de Grupos'!$M:$M)</f>
        <v>REGIONAL VENDA INTERNA - CONVENIENCIA</v>
      </c>
      <c r="L706" s="5" t="str">
        <f t="shared" si="305"/>
        <v/>
      </c>
      <c r="M706" s="5" t="str">
        <f>_xlfn.XLOOKUP($N706,'Base de Grupos'!$A:$A,'Base de Grupos'!$C:$C)</f>
        <v>RN</v>
      </c>
      <c r="N706" s="3">
        <v>1503</v>
      </c>
      <c r="O706" s="4" t="s">
        <v>263</v>
      </c>
      <c r="P706" s="5" t="s">
        <v>81</v>
      </c>
      <c r="Q706" s="24">
        <v>0</v>
      </c>
      <c r="R706" s="24">
        <v>4</v>
      </c>
      <c r="S706" s="24">
        <v>4</v>
      </c>
      <c r="T706" s="24">
        <v>0</v>
      </c>
      <c r="U706" s="24">
        <v>0</v>
      </c>
      <c r="V706" s="24">
        <v>0</v>
      </c>
      <c r="W706" s="24">
        <v>0</v>
      </c>
      <c r="X706" s="24">
        <v>0</v>
      </c>
      <c r="Y706" s="24">
        <v>0</v>
      </c>
      <c r="Z706" s="24">
        <v>0</v>
      </c>
      <c r="AA706" s="24">
        <v>0</v>
      </c>
      <c r="AB706" s="24">
        <v>0</v>
      </c>
      <c r="AC706" s="30">
        <f t="shared" si="315"/>
        <v>0</v>
      </c>
      <c r="AD706" s="28"/>
      <c r="AE706" s="12"/>
      <c r="AF706" s="29"/>
      <c r="AG706" s="9"/>
      <c r="AH706" s="10"/>
      <c r="AI706" s="9"/>
      <c r="AJ706" s="11"/>
      <c r="AK706" s="9"/>
      <c r="AL706" s="13"/>
      <c r="AM706" s="9"/>
    </row>
    <row r="707" spans="1:39" x14ac:dyDescent="0.3">
      <c r="A707" s="2" t="str">
        <f t="shared" ref="A707:A770" si="316">IF(L707=1,"SIM","NÃO")</f>
        <v>NÃO</v>
      </c>
      <c r="B707" s="2" t="str">
        <f>_xlfn.XLOOKUP($N707,'Base de Grupos'!$A:$A,'Base de Grupos'!$D:$D)</f>
        <v>1000065763</v>
      </c>
      <c r="C707" s="5" t="str">
        <f>_xlfn.XLOOKUP($N707,'Base de Grupos'!$A:$A,'Base de Grupos'!$E:$E)</f>
        <v>CANAL VENDA INTERNA</v>
      </c>
      <c r="D707" s="5" t="str">
        <f>_xlfn.XLOOKUP($N707,'Base de Grupos'!$A:$A,'Base de Grupos'!$F:$F)</f>
        <v>1000065763</v>
      </c>
      <c r="E707" s="2" t="str">
        <f>_xlfn.XLOOKUP($N707,'Base de Grupos'!$A:$A,'Base de Grupos'!$G:$G)</f>
        <v>CANAL VENDA INTERNA</v>
      </c>
      <c r="F707" s="2" t="str">
        <f>_xlfn.XLOOKUP($N707,'Base de Grupos'!$A:$A,'Base de Grupos'!$H:$H)</f>
        <v>1000174119</v>
      </c>
      <c r="G707" s="5" t="str">
        <f>_xlfn.XLOOKUP($N707,'Base de Grupos'!$A:$A,'Base de Grupos'!$I:$I)</f>
        <v>REGIONAL VENDA INTERNA - CONVENIENCIA</v>
      </c>
      <c r="H707" s="5" t="str">
        <f>_xlfn.XLOOKUP($N707,'Base de Grupos'!$A:$A,'Base de Grupos'!$J:$J)</f>
        <v>1000174119</v>
      </c>
      <c r="I707" s="2" t="str">
        <f>_xlfn.XLOOKUP($N707,'Base de Grupos'!$A:$A,'Base de Grupos'!$K:$K)</f>
        <v>REGIONAL VENDA INTERNA - CONVENIENCIA</v>
      </c>
      <c r="J707" s="2" t="str">
        <f>_xlfn.XLOOKUP($N707,'Base de Grupos'!$A:$A,'Base de Grupos'!$L:$L)</f>
        <v>1000174119</v>
      </c>
      <c r="K707" s="5" t="str">
        <f>_xlfn.XLOOKUP($N707,'Base de Grupos'!$A:$A,'Base de Grupos'!$M:$M)</f>
        <v>REGIONAL VENDA INTERNA - CONVENIENCIA</v>
      </c>
      <c r="L707" s="5" t="str">
        <f t="shared" ref="L707:L770" si="317">IF(N707&lt;&gt;N706,1,"")</f>
        <v/>
      </c>
      <c r="M707" s="5" t="str">
        <f>_xlfn.XLOOKUP($N707,'Base de Grupos'!$A:$A,'Base de Grupos'!$C:$C)</f>
        <v>RN</v>
      </c>
      <c r="N707" s="3">
        <v>1503</v>
      </c>
      <c r="O707" s="4" t="s">
        <v>263</v>
      </c>
      <c r="P707" s="5" t="s">
        <v>82</v>
      </c>
      <c r="Q707" s="24">
        <f>SUM(Q708:Q728)</f>
        <v>0</v>
      </c>
      <c r="R707" s="24">
        <f t="shared" ref="R707" si="318">SUM(R708:R728)</f>
        <v>63.4</v>
      </c>
      <c r="S707" s="24">
        <f t="shared" ref="S707" si="319">SUM(S708:S728)</f>
        <v>74</v>
      </c>
      <c r="T707" s="24">
        <f t="shared" ref="T707:AC707" si="320">SUM(T708:T728)</f>
        <v>0</v>
      </c>
      <c r="U707" s="24">
        <f t="shared" si="320"/>
        <v>0</v>
      </c>
      <c r="V707" s="24">
        <f t="shared" si="320"/>
        <v>0</v>
      </c>
      <c r="W707" s="24">
        <f t="shared" si="320"/>
        <v>0</v>
      </c>
      <c r="X707" s="24">
        <f t="shared" si="320"/>
        <v>0</v>
      </c>
      <c r="Y707" s="24">
        <f t="shared" si="320"/>
        <v>0</v>
      </c>
      <c r="Z707" s="24">
        <f t="shared" si="320"/>
        <v>0</v>
      </c>
      <c r="AA707" s="24">
        <f t="shared" si="320"/>
        <v>0</v>
      </c>
      <c r="AB707" s="24">
        <f t="shared" si="320"/>
        <v>0</v>
      </c>
      <c r="AC707" s="24">
        <f t="shared" si="320"/>
        <v>0</v>
      </c>
      <c r="AD707" s="28"/>
      <c r="AE707" s="12"/>
      <c r="AF707" s="29"/>
      <c r="AG707" s="9"/>
      <c r="AH707" s="10"/>
      <c r="AI707" s="9"/>
      <c r="AJ707" s="11"/>
      <c r="AK707" s="9"/>
      <c r="AL707" s="13"/>
      <c r="AM707" s="9"/>
    </row>
    <row r="708" spans="1:39" x14ac:dyDescent="0.3">
      <c r="A708" s="2" t="str">
        <f t="shared" si="316"/>
        <v>NÃO</v>
      </c>
      <c r="B708" s="2" t="str">
        <f>_xlfn.XLOOKUP($N708,'Base de Grupos'!$A:$A,'Base de Grupos'!$D:$D)</f>
        <v>1000065763</v>
      </c>
      <c r="C708" s="5" t="str">
        <f>_xlfn.XLOOKUP($N708,'Base de Grupos'!$A:$A,'Base de Grupos'!$E:$E)</f>
        <v>CANAL VENDA INTERNA</v>
      </c>
      <c r="D708" s="5" t="str">
        <f>_xlfn.XLOOKUP($N708,'Base de Grupos'!$A:$A,'Base de Grupos'!$F:$F)</f>
        <v>1000065763</v>
      </c>
      <c r="E708" s="2" t="str">
        <f>_xlfn.XLOOKUP($N708,'Base de Grupos'!$A:$A,'Base de Grupos'!$G:$G)</f>
        <v>CANAL VENDA INTERNA</v>
      </c>
      <c r="F708" s="2" t="str">
        <f>_xlfn.XLOOKUP($N708,'Base de Grupos'!$A:$A,'Base de Grupos'!$H:$H)</f>
        <v>1000174119</v>
      </c>
      <c r="G708" s="5" t="str">
        <f>_xlfn.XLOOKUP($N708,'Base de Grupos'!$A:$A,'Base de Grupos'!$I:$I)</f>
        <v>REGIONAL VENDA INTERNA - CONVENIENCIA</v>
      </c>
      <c r="H708" s="5" t="str">
        <f>_xlfn.XLOOKUP($N708,'Base de Grupos'!$A:$A,'Base de Grupos'!$J:$J)</f>
        <v>1000174119</v>
      </c>
      <c r="I708" s="2" t="str">
        <f>_xlfn.XLOOKUP($N708,'Base de Grupos'!$A:$A,'Base de Grupos'!$K:$K)</f>
        <v>REGIONAL VENDA INTERNA - CONVENIENCIA</v>
      </c>
      <c r="J708" s="2" t="str">
        <f>_xlfn.XLOOKUP($N708,'Base de Grupos'!$A:$A,'Base de Grupos'!$L:$L)</f>
        <v>1000174119</v>
      </c>
      <c r="K708" s="5" t="str">
        <f>_xlfn.XLOOKUP($N708,'Base de Grupos'!$A:$A,'Base de Grupos'!$M:$M)</f>
        <v>REGIONAL VENDA INTERNA - CONVENIENCIA</v>
      </c>
      <c r="L708" s="5" t="str">
        <f t="shared" si="317"/>
        <v/>
      </c>
      <c r="M708" s="5" t="str">
        <f>_xlfn.XLOOKUP($N708,'Base de Grupos'!$A:$A,'Base de Grupos'!$C:$C)</f>
        <v>RN</v>
      </c>
      <c r="N708" s="3">
        <v>1503</v>
      </c>
      <c r="O708" s="4" t="s">
        <v>263</v>
      </c>
      <c r="P708" s="5" t="s">
        <v>84</v>
      </c>
      <c r="Q708" s="24">
        <v>0</v>
      </c>
      <c r="R708" s="24">
        <v>8</v>
      </c>
      <c r="S708" s="24">
        <v>10</v>
      </c>
      <c r="T708" s="24">
        <v>0</v>
      </c>
      <c r="U708" s="24">
        <v>0</v>
      </c>
      <c r="V708" s="24">
        <v>0</v>
      </c>
      <c r="W708" s="24">
        <v>0</v>
      </c>
      <c r="X708" s="24">
        <v>0</v>
      </c>
      <c r="Y708" s="24">
        <v>0</v>
      </c>
      <c r="Z708" s="24">
        <v>0</v>
      </c>
      <c r="AA708" s="24">
        <v>0</v>
      </c>
      <c r="AB708" s="24">
        <v>0</v>
      </c>
      <c r="AC708" s="30">
        <f t="shared" ref="AC708:AC728" si="321">SUM(T708:AB708)</f>
        <v>0</v>
      </c>
      <c r="AD708" s="28"/>
      <c r="AE708" s="12"/>
      <c r="AF708" s="29"/>
      <c r="AG708" s="9"/>
      <c r="AH708" s="10"/>
      <c r="AI708" s="9"/>
      <c r="AJ708" s="11"/>
      <c r="AK708" s="9"/>
      <c r="AL708" s="13"/>
      <c r="AM708" s="9"/>
    </row>
    <row r="709" spans="1:39" x14ac:dyDescent="0.3">
      <c r="A709" s="2" t="str">
        <f t="shared" si="316"/>
        <v>NÃO</v>
      </c>
      <c r="B709" s="2" t="str">
        <f>_xlfn.XLOOKUP($N709,'Base de Grupos'!$A:$A,'Base de Grupos'!$D:$D)</f>
        <v>1000065763</v>
      </c>
      <c r="C709" s="5" t="str">
        <f>_xlfn.XLOOKUP($N709,'Base de Grupos'!$A:$A,'Base de Grupos'!$E:$E)</f>
        <v>CANAL VENDA INTERNA</v>
      </c>
      <c r="D709" s="5" t="str">
        <f>_xlfn.XLOOKUP($N709,'Base de Grupos'!$A:$A,'Base de Grupos'!$F:$F)</f>
        <v>1000065763</v>
      </c>
      <c r="E709" s="2" t="str">
        <f>_xlfn.XLOOKUP($N709,'Base de Grupos'!$A:$A,'Base de Grupos'!$G:$G)</f>
        <v>CANAL VENDA INTERNA</v>
      </c>
      <c r="F709" s="2" t="str">
        <f>_xlfn.XLOOKUP($N709,'Base de Grupos'!$A:$A,'Base de Grupos'!$H:$H)</f>
        <v>1000174119</v>
      </c>
      <c r="G709" s="5" t="str">
        <f>_xlfn.XLOOKUP($N709,'Base de Grupos'!$A:$A,'Base de Grupos'!$I:$I)</f>
        <v>REGIONAL VENDA INTERNA - CONVENIENCIA</v>
      </c>
      <c r="H709" s="5" t="str">
        <f>_xlfn.XLOOKUP($N709,'Base de Grupos'!$A:$A,'Base de Grupos'!$J:$J)</f>
        <v>1000174119</v>
      </c>
      <c r="I709" s="2" t="str">
        <f>_xlfn.XLOOKUP($N709,'Base de Grupos'!$A:$A,'Base de Grupos'!$K:$K)</f>
        <v>REGIONAL VENDA INTERNA - CONVENIENCIA</v>
      </c>
      <c r="J709" s="2" t="str">
        <f>_xlfn.XLOOKUP($N709,'Base de Grupos'!$A:$A,'Base de Grupos'!$L:$L)</f>
        <v>1000174119</v>
      </c>
      <c r="K709" s="5" t="str">
        <f>_xlfn.XLOOKUP($N709,'Base de Grupos'!$A:$A,'Base de Grupos'!$M:$M)</f>
        <v>REGIONAL VENDA INTERNA - CONVENIENCIA</v>
      </c>
      <c r="L709" s="5" t="str">
        <f t="shared" si="317"/>
        <v/>
      </c>
      <c r="M709" s="5" t="str">
        <f>_xlfn.XLOOKUP($N709,'Base de Grupos'!$A:$A,'Base de Grupos'!$C:$C)</f>
        <v>RN</v>
      </c>
      <c r="N709" s="3">
        <v>1503</v>
      </c>
      <c r="O709" s="4" t="s">
        <v>263</v>
      </c>
      <c r="P709" s="5" t="s">
        <v>83</v>
      </c>
      <c r="Q709" s="24">
        <v>0</v>
      </c>
      <c r="R709" s="24">
        <v>12</v>
      </c>
      <c r="S709" s="24">
        <v>14</v>
      </c>
      <c r="T709" s="24">
        <v>0</v>
      </c>
      <c r="U709" s="24">
        <v>0</v>
      </c>
      <c r="V709" s="24">
        <v>0</v>
      </c>
      <c r="W709" s="24">
        <v>0</v>
      </c>
      <c r="X709" s="24">
        <v>0</v>
      </c>
      <c r="Y709" s="24">
        <v>0</v>
      </c>
      <c r="Z709" s="24">
        <v>0</v>
      </c>
      <c r="AA709" s="24">
        <v>0</v>
      </c>
      <c r="AB709" s="24">
        <v>0</v>
      </c>
      <c r="AC709" s="30">
        <f t="shared" si="321"/>
        <v>0</v>
      </c>
      <c r="AD709" s="28"/>
      <c r="AE709" s="12"/>
      <c r="AF709" s="29"/>
      <c r="AG709" s="9"/>
      <c r="AH709" s="10"/>
      <c r="AI709" s="9"/>
      <c r="AJ709" s="11"/>
      <c r="AK709" s="9"/>
      <c r="AL709" s="13"/>
      <c r="AM709" s="9"/>
    </row>
    <row r="710" spans="1:39" x14ac:dyDescent="0.3">
      <c r="A710" s="2" t="str">
        <f t="shared" si="316"/>
        <v>NÃO</v>
      </c>
      <c r="B710" s="2" t="str">
        <f>_xlfn.XLOOKUP($N710,'Base de Grupos'!$A:$A,'Base de Grupos'!$D:$D)</f>
        <v>1000065763</v>
      </c>
      <c r="C710" s="5" t="str">
        <f>_xlfn.XLOOKUP($N710,'Base de Grupos'!$A:$A,'Base de Grupos'!$E:$E)</f>
        <v>CANAL VENDA INTERNA</v>
      </c>
      <c r="D710" s="5" t="str">
        <f>_xlfn.XLOOKUP($N710,'Base de Grupos'!$A:$A,'Base de Grupos'!$F:$F)</f>
        <v>1000065763</v>
      </c>
      <c r="E710" s="2" t="str">
        <f>_xlfn.XLOOKUP($N710,'Base de Grupos'!$A:$A,'Base de Grupos'!$G:$G)</f>
        <v>CANAL VENDA INTERNA</v>
      </c>
      <c r="F710" s="2" t="str">
        <f>_xlfn.XLOOKUP($N710,'Base de Grupos'!$A:$A,'Base de Grupos'!$H:$H)</f>
        <v>1000174119</v>
      </c>
      <c r="G710" s="5" t="str">
        <f>_xlfn.XLOOKUP($N710,'Base de Grupos'!$A:$A,'Base de Grupos'!$I:$I)</f>
        <v>REGIONAL VENDA INTERNA - CONVENIENCIA</v>
      </c>
      <c r="H710" s="5" t="str">
        <f>_xlfn.XLOOKUP($N710,'Base de Grupos'!$A:$A,'Base de Grupos'!$J:$J)</f>
        <v>1000174119</v>
      </c>
      <c r="I710" s="2" t="str">
        <f>_xlfn.XLOOKUP($N710,'Base de Grupos'!$A:$A,'Base de Grupos'!$K:$K)</f>
        <v>REGIONAL VENDA INTERNA - CONVENIENCIA</v>
      </c>
      <c r="J710" s="2" t="str">
        <f>_xlfn.XLOOKUP($N710,'Base de Grupos'!$A:$A,'Base de Grupos'!$L:$L)</f>
        <v>1000174119</v>
      </c>
      <c r="K710" s="5" t="str">
        <f>_xlfn.XLOOKUP($N710,'Base de Grupos'!$A:$A,'Base de Grupos'!$M:$M)</f>
        <v>REGIONAL VENDA INTERNA - CONVENIENCIA</v>
      </c>
      <c r="L710" s="5" t="str">
        <f t="shared" si="317"/>
        <v/>
      </c>
      <c r="M710" s="5" t="str">
        <f>_xlfn.XLOOKUP($N710,'Base de Grupos'!$A:$A,'Base de Grupos'!$C:$C)</f>
        <v>RN</v>
      </c>
      <c r="N710" s="3">
        <v>1503</v>
      </c>
      <c r="O710" s="4" t="s">
        <v>263</v>
      </c>
      <c r="P710" s="5" t="s">
        <v>87</v>
      </c>
      <c r="Q710" s="24">
        <v>0</v>
      </c>
      <c r="R710" s="24">
        <v>4</v>
      </c>
      <c r="S710" s="24">
        <v>5</v>
      </c>
      <c r="T710" s="24">
        <v>0</v>
      </c>
      <c r="U710" s="24">
        <v>0</v>
      </c>
      <c r="V710" s="24">
        <v>0</v>
      </c>
      <c r="W710" s="24">
        <v>0</v>
      </c>
      <c r="X710" s="24">
        <v>0</v>
      </c>
      <c r="Y710" s="24">
        <v>0</v>
      </c>
      <c r="Z710" s="24">
        <v>0</v>
      </c>
      <c r="AA710" s="24">
        <v>0</v>
      </c>
      <c r="AB710" s="24">
        <v>0</v>
      </c>
      <c r="AC710" s="30">
        <f t="shared" si="321"/>
        <v>0</v>
      </c>
      <c r="AD710" s="28"/>
      <c r="AE710" s="12"/>
      <c r="AF710" s="29"/>
      <c r="AG710" s="9"/>
      <c r="AH710" s="10"/>
      <c r="AI710" s="9"/>
      <c r="AJ710" s="11"/>
      <c r="AK710" s="9"/>
      <c r="AL710" s="13"/>
      <c r="AM710" s="9"/>
    </row>
    <row r="711" spans="1:39" x14ac:dyDescent="0.3">
      <c r="A711" s="2" t="str">
        <f t="shared" si="316"/>
        <v>NÃO</v>
      </c>
      <c r="B711" s="2" t="str">
        <f>_xlfn.XLOOKUP($N711,'Base de Grupos'!$A:$A,'Base de Grupos'!$D:$D)</f>
        <v>1000065763</v>
      </c>
      <c r="C711" s="5" t="str">
        <f>_xlfn.XLOOKUP($N711,'Base de Grupos'!$A:$A,'Base de Grupos'!$E:$E)</f>
        <v>CANAL VENDA INTERNA</v>
      </c>
      <c r="D711" s="5" t="str">
        <f>_xlfn.XLOOKUP($N711,'Base de Grupos'!$A:$A,'Base de Grupos'!$F:$F)</f>
        <v>1000065763</v>
      </c>
      <c r="E711" s="2" t="str">
        <f>_xlfn.XLOOKUP($N711,'Base de Grupos'!$A:$A,'Base de Grupos'!$G:$G)</f>
        <v>CANAL VENDA INTERNA</v>
      </c>
      <c r="F711" s="2" t="str">
        <f>_xlfn.XLOOKUP($N711,'Base de Grupos'!$A:$A,'Base de Grupos'!$H:$H)</f>
        <v>1000174119</v>
      </c>
      <c r="G711" s="5" t="str">
        <f>_xlfn.XLOOKUP($N711,'Base de Grupos'!$A:$A,'Base de Grupos'!$I:$I)</f>
        <v>REGIONAL VENDA INTERNA - CONVENIENCIA</v>
      </c>
      <c r="H711" s="5" t="str">
        <f>_xlfn.XLOOKUP($N711,'Base de Grupos'!$A:$A,'Base de Grupos'!$J:$J)</f>
        <v>1000174119</v>
      </c>
      <c r="I711" s="2" t="str">
        <f>_xlfn.XLOOKUP($N711,'Base de Grupos'!$A:$A,'Base de Grupos'!$K:$K)</f>
        <v>REGIONAL VENDA INTERNA - CONVENIENCIA</v>
      </c>
      <c r="J711" s="2" t="str">
        <f>_xlfn.XLOOKUP($N711,'Base de Grupos'!$A:$A,'Base de Grupos'!$L:$L)</f>
        <v>1000174119</v>
      </c>
      <c r="K711" s="5" t="str">
        <f>_xlfn.XLOOKUP($N711,'Base de Grupos'!$A:$A,'Base de Grupos'!$M:$M)</f>
        <v>REGIONAL VENDA INTERNA - CONVENIENCIA</v>
      </c>
      <c r="L711" s="5" t="str">
        <f t="shared" si="317"/>
        <v/>
      </c>
      <c r="M711" s="5" t="str">
        <f>_xlfn.XLOOKUP($N711,'Base de Grupos'!$A:$A,'Base de Grupos'!$C:$C)</f>
        <v>RN</v>
      </c>
      <c r="N711" s="3">
        <v>1503</v>
      </c>
      <c r="O711" s="4" t="s">
        <v>263</v>
      </c>
      <c r="P711" s="5" t="s">
        <v>85</v>
      </c>
      <c r="Q711" s="24">
        <v>0</v>
      </c>
      <c r="R711" s="24">
        <v>4</v>
      </c>
      <c r="S711" s="24">
        <v>4</v>
      </c>
      <c r="T711" s="24">
        <v>0</v>
      </c>
      <c r="U711" s="24">
        <v>0</v>
      </c>
      <c r="V711" s="24">
        <v>0</v>
      </c>
      <c r="W711" s="24">
        <v>0</v>
      </c>
      <c r="X711" s="24">
        <v>0</v>
      </c>
      <c r="Y711" s="24">
        <v>0</v>
      </c>
      <c r="Z711" s="24">
        <v>0</v>
      </c>
      <c r="AA711" s="24">
        <v>0</v>
      </c>
      <c r="AB711" s="24">
        <v>0</v>
      </c>
      <c r="AC711" s="30">
        <f t="shared" si="321"/>
        <v>0</v>
      </c>
      <c r="AD711" s="28"/>
      <c r="AE711" s="12"/>
      <c r="AF711" s="29"/>
      <c r="AG711" s="9"/>
      <c r="AH711" s="10"/>
      <c r="AI711" s="9"/>
      <c r="AJ711" s="11"/>
      <c r="AK711" s="9"/>
      <c r="AL711" s="13"/>
      <c r="AM711" s="9"/>
    </row>
    <row r="712" spans="1:39" x14ac:dyDescent="0.3">
      <c r="A712" s="2" t="str">
        <f t="shared" si="316"/>
        <v>NÃO</v>
      </c>
      <c r="B712" s="2" t="str">
        <f>_xlfn.XLOOKUP($N712,'Base de Grupos'!$A:$A,'Base de Grupos'!$D:$D)</f>
        <v>1000065763</v>
      </c>
      <c r="C712" s="5" t="str">
        <f>_xlfn.XLOOKUP($N712,'Base de Grupos'!$A:$A,'Base de Grupos'!$E:$E)</f>
        <v>CANAL VENDA INTERNA</v>
      </c>
      <c r="D712" s="5" t="str">
        <f>_xlfn.XLOOKUP($N712,'Base de Grupos'!$A:$A,'Base de Grupos'!$F:$F)</f>
        <v>1000065763</v>
      </c>
      <c r="E712" s="2" t="str">
        <f>_xlfn.XLOOKUP($N712,'Base de Grupos'!$A:$A,'Base de Grupos'!$G:$G)</f>
        <v>CANAL VENDA INTERNA</v>
      </c>
      <c r="F712" s="2" t="str">
        <f>_xlfn.XLOOKUP($N712,'Base de Grupos'!$A:$A,'Base de Grupos'!$H:$H)</f>
        <v>1000174119</v>
      </c>
      <c r="G712" s="5" t="str">
        <f>_xlfn.XLOOKUP($N712,'Base de Grupos'!$A:$A,'Base de Grupos'!$I:$I)</f>
        <v>REGIONAL VENDA INTERNA - CONVENIENCIA</v>
      </c>
      <c r="H712" s="5" t="str">
        <f>_xlfn.XLOOKUP($N712,'Base de Grupos'!$A:$A,'Base de Grupos'!$J:$J)</f>
        <v>1000174119</v>
      </c>
      <c r="I712" s="2" t="str">
        <f>_xlfn.XLOOKUP($N712,'Base de Grupos'!$A:$A,'Base de Grupos'!$K:$K)</f>
        <v>REGIONAL VENDA INTERNA - CONVENIENCIA</v>
      </c>
      <c r="J712" s="2" t="str">
        <f>_xlfn.XLOOKUP($N712,'Base de Grupos'!$A:$A,'Base de Grupos'!$L:$L)</f>
        <v>1000174119</v>
      </c>
      <c r="K712" s="5" t="str">
        <f>_xlfn.XLOOKUP($N712,'Base de Grupos'!$A:$A,'Base de Grupos'!$M:$M)</f>
        <v>REGIONAL VENDA INTERNA - CONVENIENCIA</v>
      </c>
      <c r="L712" s="5" t="str">
        <f t="shared" si="317"/>
        <v/>
      </c>
      <c r="M712" s="5" t="str">
        <f>_xlfn.XLOOKUP($N712,'Base de Grupos'!$A:$A,'Base de Grupos'!$C:$C)</f>
        <v>RN</v>
      </c>
      <c r="N712" s="3">
        <v>1503</v>
      </c>
      <c r="O712" s="4" t="s">
        <v>263</v>
      </c>
      <c r="P712" s="5" t="s">
        <v>92</v>
      </c>
      <c r="Q712" s="24">
        <v>0</v>
      </c>
      <c r="R712" s="24">
        <v>1</v>
      </c>
      <c r="S712" s="24">
        <v>2</v>
      </c>
      <c r="T712" s="24">
        <v>0</v>
      </c>
      <c r="U712" s="24">
        <v>0</v>
      </c>
      <c r="V712" s="24">
        <v>0</v>
      </c>
      <c r="W712" s="24">
        <v>0</v>
      </c>
      <c r="X712" s="24">
        <v>0</v>
      </c>
      <c r="Y712" s="24">
        <v>0</v>
      </c>
      <c r="Z712" s="24">
        <v>0</v>
      </c>
      <c r="AA712" s="24">
        <v>0</v>
      </c>
      <c r="AB712" s="24">
        <v>0</v>
      </c>
      <c r="AC712" s="30">
        <f t="shared" si="321"/>
        <v>0</v>
      </c>
      <c r="AD712" s="28"/>
      <c r="AE712" s="12"/>
      <c r="AF712" s="29"/>
      <c r="AG712" s="9"/>
      <c r="AH712" s="10"/>
      <c r="AI712" s="9"/>
      <c r="AJ712" s="11"/>
      <c r="AK712" s="9"/>
      <c r="AL712" s="13"/>
      <c r="AM712" s="9"/>
    </row>
    <row r="713" spans="1:39" x14ac:dyDescent="0.3">
      <c r="A713" s="2" t="str">
        <f t="shared" si="316"/>
        <v>NÃO</v>
      </c>
      <c r="B713" s="2" t="str">
        <f>_xlfn.XLOOKUP($N713,'Base de Grupos'!$A:$A,'Base de Grupos'!$D:$D)</f>
        <v>1000065763</v>
      </c>
      <c r="C713" s="5" t="str">
        <f>_xlfn.XLOOKUP($N713,'Base de Grupos'!$A:$A,'Base de Grupos'!$E:$E)</f>
        <v>CANAL VENDA INTERNA</v>
      </c>
      <c r="D713" s="5" t="str">
        <f>_xlfn.XLOOKUP($N713,'Base de Grupos'!$A:$A,'Base de Grupos'!$F:$F)</f>
        <v>1000065763</v>
      </c>
      <c r="E713" s="2" t="str">
        <f>_xlfn.XLOOKUP($N713,'Base de Grupos'!$A:$A,'Base de Grupos'!$G:$G)</f>
        <v>CANAL VENDA INTERNA</v>
      </c>
      <c r="F713" s="2" t="str">
        <f>_xlfn.XLOOKUP($N713,'Base de Grupos'!$A:$A,'Base de Grupos'!$H:$H)</f>
        <v>1000174119</v>
      </c>
      <c r="G713" s="5" t="str">
        <f>_xlfn.XLOOKUP($N713,'Base de Grupos'!$A:$A,'Base de Grupos'!$I:$I)</f>
        <v>REGIONAL VENDA INTERNA - CONVENIENCIA</v>
      </c>
      <c r="H713" s="5" t="str">
        <f>_xlfn.XLOOKUP($N713,'Base de Grupos'!$A:$A,'Base de Grupos'!$J:$J)</f>
        <v>1000174119</v>
      </c>
      <c r="I713" s="2" t="str">
        <f>_xlfn.XLOOKUP($N713,'Base de Grupos'!$A:$A,'Base de Grupos'!$K:$K)</f>
        <v>REGIONAL VENDA INTERNA - CONVENIENCIA</v>
      </c>
      <c r="J713" s="2" t="str">
        <f>_xlfn.XLOOKUP($N713,'Base de Grupos'!$A:$A,'Base de Grupos'!$L:$L)</f>
        <v>1000174119</v>
      </c>
      <c r="K713" s="5" t="str">
        <f>_xlfn.XLOOKUP($N713,'Base de Grupos'!$A:$A,'Base de Grupos'!$M:$M)</f>
        <v>REGIONAL VENDA INTERNA - CONVENIENCIA</v>
      </c>
      <c r="L713" s="5" t="str">
        <f t="shared" si="317"/>
        <v/>
      </c>
      <c r="M713" s="5" t="str">
        <f>_xlfn.XLOOKUP($N713,'Base de Grupos'!$A:$A,'Base de Grupos'!$C:$C)</f>
        <v>RN</v>
      </c>
      <c r="N713" s="3">
        <v>1503</v>
      </c>
      <c r="O713" s="4" t="s">
        <v>263</v>
      </c>
      <c r="P713" s="5" t="s">
        <v>86</v>
      </c>
      <c r="Q713" s="24">
        <v>0</v>
      </c>
      <c r="R713" s="24">
        <v>3</v>
      </c>
      <c r="S713" s="24">
        <v>4</v>
      </c>
      <c r="T713" s="24">
        <v>0</v>
      </c>
      <c r="U713" s="24">
        <v>0</v>
      </c>
      <c r="V713" s="24">
        <v>0</v>
      </c>
      <c r="W713" s="24">
        <v>0</v>
      </c>
      <c r="X713" s="24">
        <v>0</v>
      </c>
      <c r="Y713" s="24">
        <v>0</v>
      </c>
      <c r="Z713" s="24">
        <v>0</v>
      </c>
      <c r="AA713" s="24">
        <v>0</v>
      </c>
      <c r="AB713" s="24">
        <v>0</v>
      </c>
      <c r="AC713" s="30">
        <f t="shared" si="321"/>
        <v>0</v>
      </c>
      <c r="AD713" s="28"/>
      <c r="AE713" s="12"/>
      <c r="AF713" s="29"/>
      <c r="AG713" s="9"/>
      <c r="AH713" s="10"/>
      <c r="AI713" s="9"/>
      <c r="AJ713" s="11"/>
      <c r="AK713" s="9"/>
      <c r="AL713" s="13"/>
      <c r="AM713" s="9"/>
    </row>
    <row r="714" spans="1:39" x14ac:dyDescent="0.3">
      <c r="A714" s="2" t="str">
        <f t="shared" si="316"/>
        <v>NÃO</v>
      </c>
      <c r="B714" s="2" t="str">
        <f>_xlfn.XLOOKUP($N714,'Base de Grupos'!$A:$A,'Base de Grupos'!$D:$D)</f>
        <v>1000065763</v>
      </c>
      <c r="C714" s="5" t="str">
        <f>_xlfn.XLOOKUP($N714,'Base de Grupos'!$A:$A,'Base de Grupos'!$E:$E)</f>
        <v>CANAL VENDA INTERNA</v>
      </c>
      <c r="D714" s="5" t="str">
        <f>_xlfn.XLOOKUP($N714,'Base de Grupos'!$A:$A,'Base de Grupos'!$F:$F)</f>
        <v>1000065763</v>
      </c>
      <c r="E714" s="2" t="str">
        <f>_xlfn.XLOOKUP($N714,'Base de Grupos'!$A:$A,'Base de Grupos'!$G:$G)</f>
        <v>CANAL VENDA INTERNA</v>
      </c>
      <c r="F714" s="2" t="str">
        <f>_xlfn.XLOOKUP($N714,'Base de Grupos'!$A:$A,'Base de Grupos'!$H:$H)</f>
        <v>1000174119</v>
      </c>
      <c r="G714" s="5" t="str">
        <f>_xlfn.XLOOKUP($N714,'Base de Grupos'!$A:$A,'Base de Grupos'!$I:$I)</f>
        <v>REGIONAL VENDA INTERNA - CONVENIENCIA</v>
      </c>
      <c r="H714" s="5" t="str">
        <f>_xlfn.XLOOKUP($N714,'Base de Grupos'!$A:$A,'Base de Grupos'!$J:$J)</f>
        <v>1000174119</v>
      </c>
      <c r="I714" s="2" t="str">
        <f>_xlfn.XLOOKUP($N714,'Base de Grupos'!$A:$A,'Base de Grupos'!$K:$K)</f>
        <v>REGIONAL VENDA INTERNA - CONVENIENCIA</v>
      </c>
      <c r="J714" s="2" t="str">
        <f>_xlfn.XLOOKUP($N714,'Base de Grupos'!$A:$A,'Base de Grupos'!$L:$L)</f>
        <v>1000174119</v>
      </c>
      <c r="K714" s="5" t="str">
        <f>_xlfn.XLOOKUP($N714,'Base de Grupos'!$A:$A,'Base de Grupos'!$M:$M)</f>
        <v>REGIONAL VENDA INTERNA - CONVENIENCIA</v>
      </c>
      <c r="L714" s="5" t="str">
        <f t="shared" si="317"/>
        <v/>
      </c>
      <c r="M714" s="5" t="str">
        <f>_xlfn.XLOOKUP($N714,'Base de Grupos'!$A:$A,'Base de Grupos'!$C:$C)</f>
        <v>RN</v>
      </c>
      <c r="N714" s="3">
        <v>1503</v>
      </c>
      <c r="O714" s="4" t="s">
        <v>263</v>
      </c>
      <c r="P714" s="5" t="s">
        <v>108</v>
      </c>
      <c r="Q714" s="24">
        <v>0</v>
      </c>
      <c r="R714" s="24">
        <v>2</v>
      </c>
      <c r="S714" s="24">
        <v>2</v>
      </c>
      <c r="T714" s="24">
        <v>0</v>
      </c>
      <c r="U714" s="24">
        <v>0</v>
      </c>
      <c r="V714" s="24">
        <v>0</v>
      </c>
      <c r="W714" s="24">
        <v>0</v>
      </c>
      <c r="X714" s="24">
        <v>0</v>
      </c>
      <c r="Y714" s="24">
        <v>0</v>
      </c>
      <c r="Z714" s="24">
        <v>0</v>
      </c>
      <c r="AA714" s="24">
        <v>0</v>
      </c>
      <c r="AB714" s="24">
        <v>0</v>
      </c>
      <c r="AC714" s="30">
        <f t="shared" si="321"/>
        <v>0</v>
      </c>
      <c r="AD714" s="28"/>
      <c r="AE714" s="12"/>
      <c r="AF714" s="29"/>
      <c r="AG714" s="9"/>
      <c r="AH714" s="10"/>
      <c r="AI714" s="9"/>
      <c r="AJ714" s="11"/>
      <c r="AK714" s="9"/>
      <c r="AL714" s="13"/>
      <c r="AM714" s="9"/>
    </row>
    <row r="715" spans="1:39" x14ac:dyDescent="0.3">
      <c r="A715" s="2" t="str">
        <f t="shared" si="316"/>
        <v>NÃO</v>
      </c>
      <c r="B715" s="2" t="str">
        <f>_xlfn.XLOOKUP($N715,'Base de Grupos'!$A:$A,'Base de Grupos'!$D:$D)</f>
        <v>1000065763</v>
      </c>
      <c r="C715" s="5" t="str">
        <f>_xlfn.XLOOKUP($N715,'Base de Grupos'!$A:$A,'Base de Grupos'!$E:$E)</f>
        <v>CANAL VENDA INTERNA</v>
      </c>
      <c r="D715" s="5" t="str">
        <f>_xlfn.XLOOKUP($N715,'Base de Grupos'!$A:$A,'Base de Grupos'!$F:$F)</f>
        <v>1000065763</v>
      </c>
      <c r="E715" s="2" t="str">
        <f>_xlfn.XLOOKUP($N715,'Base de Grupos'!$A:$A,'Base de Grupos'!$G:$G)</f>
        <v>CANAL VENDA INTERNA</v>
      </c>
      <c r="F715" s="2" t="str">
        <f>_xlfn.XLOOKUP($N715,'Base de Grupos'!$A:$A,'Base de Grupos'!$H:$H)</f>
        <v>1000174119</v>
      </c>
      <c r="G715" s="5" t="str">
        <f>_xlfn.XLOOKUP($N715,'Base de Grupos'!$A:$A,'Base de Grupos'!$I:$I)</f>
        <v>REGIONAL VENDA INTERNA - CONVENIENCIA</v>
      </c>
      <c r="H715" s="5" t="str">
        <f>_xlfn.XLOOKUP($N715,'Base de Grupos'!$A:$A,'Base de Grupos'!$J:$J)</f>
        <v>1000174119</v>
      </c>
      <c r="I715" s="2" t="str">
        <f>_xlfn.XLOOKUP($N715,'Base de Grupos'!$A:$A,'Base de Grupos'!$K:$K)</f>
        <v>REGIONAL VENDA INTERNA - CONVENIENCIA</v>
      </c>
      <c r="J715" s="2" t="str">
        <f>_xlfn.XLOOKUP($N715,'Base de Grupos'!$A:$A,'Base de Grupos'!$L:$L)</f>
        <v>1000174119</v>
      </c>
      <c r="K715" s="5" t="str">
        <f>_xlfn.XLOOKUP($N715,'Base de Grupos'!$A:$A,'Base de Grupos'!$M:$M)</f>
        <v>REGIONAL VENDA INTERNA - CONVENIENCIA</v>
      </c>
      <c r="L715" s="5" t="str">
        <f t="shared" si="317"/>
        <v/>
      </c>
      <c r="M715" s="5" t="str">
        <f>_xlfn.XLOOKUP($N715,'Base de Grupos'!$A:$A,'Base de Grupos'!$C:$C)</f>
        <v>RN</v>
      </c>
      <c r="N715" s="3">
        <v>1503</v>
      </c>
      <c r="O715" s="4" t="s">
        <v>263</v>
      </c>
      <c r="P715" s="5" t="s">
        <v>89</v>
      </c>
      <c r="Q715" s="24">
        <v>0</v>
      </c>
      <c r="R715" s="24">
        <v>1</v>
      </c>
      <c r="S715" s="24">
        <v>2</v>
      </c>
      <c r="T715" s="24">
        <v>0</v>
      </c>
      <c r="U715" s="24">
        <v>0</v>
      </c>
      <c r="V715" s="24">
        <v>0</v>
      </c>
      <c r="W715" s="24">
        <v>0</v>
      </c>
      <c r="X715" s="24">
        <v>0</v>
      </c>
      <c r="Y715" s="24">
        <v>0</v>
      </c>
      <c r="Z715" s="24">
        <v>0</v>
      </c>
      <c r="AA715" s="24">
        <v>0</v>
      </c>
      <c r="AB715" s="24">
        <v>0</v>
      </c>
      <c r="AC715" s="30">
        <f t="shared" si="321"/>
        <v>0</v>
      </c>
      <c r="AD715" s="28"/>
      <c r="AE715" s="12"/>
      <c r="AF715" s="29"/>
      <c r="AG715" s="9"/>
      <c r="AH715" s="10"/>
      <c r="AI715" s="9"/>
      <c r="AJ715" s="11"/>
      <c r="AK715" s="9"/>
      <c r="AL715" s="13"/>
      <c r="AM715" s="9"/>
    </row>
    <row r="716" spans="1:39" x14ac:dyDescent="0.3">
      <c r="A716" s="2" t="str">
        <f t="shared" si="316"/>
        <v>NÃO</v>
      </c>
      <c r="B716" s="2" t="str">
        <f>_xlfn.XLOOKUP($N716,'Base de Grupos'!$A:$A,'Base de Grupos'!$D:$D)</f>
        <v>1000065763</v>
      </c>
      <c r="C716" s="5" t="str">
        <f>_xlfn.XLOOKUP($N716,'Base de Grupos'!$A:$A,'Base de Grupos'!$E:$E)</f>
        <v>CANAL VENDA INTERNA</v>
      </c>
      <c r="D716" s="5" t="str">
        <f>_xlfn.XLOOKUP($N716,'Base de Grupos'!$A:$A,'Base de Grupos'!$F:$F)</f>
        <v>1000065763</v>
      </c>
      <c r="E716" s="2" t="str">
        <f>_xlfn.XLOOKUP($N716,'Base de Grupos'!$A:$A,'Base de Grupos'!$G:$G)</f>
        <v>CANAL VENDA INTERNA</v>
      </c>
      <c r="F716" s="2" t="str">
        <f>_xlfn.XLOOKUP($N716,'Base de Grupos'!$A:$A,'Base de Grupos'!$H:$H)</f>
        <v>1000174119</v>
      </c>
      <c r="G716" s="5" t="str">
        <f>_xlfn.XLOOKUP($N716,'Base de Grupos'!$A:$A,'Base de Grupos'!$I:$I)</f>
        <v>REGIONAL VENDA INTERNA - CONVENIENCIA</v>
      </c>
      <c r="H716" s="5" t="str">
        <f>_xlfn.XLOOKUP($N716,'Base de Grupos'!$A:$A,'Base de Grupos'!$J:$J)</f>
        <v>1000174119</v>
      </c>
      <c r="I716" s="2" t="str">
        <f>_xlfn.XLOOKUP($N716,'Base de Grupos'!$A:$A,'Base de Grupos'!$K:$K)</f>
        <v>REGIONAL VENDA INTERNA - CONVENIENCIA</v>
      </c>
      <c r="J716" s="2" t="str">
        <f>_xlfn.XLOOKUP($N716,'Base de Grupos'!$A:$A,'Base de Grupos'!$L:$L)</f>
        <v>1000174119</v>
      </c>
      <c r="K716" s="5" t="str">
        <f>_xlfn.XLOOKUP($N716,'Base de Grupos'!$A:$A,'Base de Grupos'!$M:$M)</f>
        <v>REGIONAL VENDA INTERNA - CONVENIENCIA</v>
      </c>
      <c r="L716" s="5" t="str">
        <f t="shared" si="317"/>
        <v/>
      </c>
      <c r="M716" s="5" t="str">
        <f>_xlfn.XLOOKUP($N716,'Base de Grupos'!$A:$A,'Base de Grupos'!$C:$C)</f>
        <v>RN</v>
      </c>
      <c r="N716" s="3">
        <v>1503</v>
      </c>
      <c r="O716" s="4" t="s">
        <v>263</v>
      </c>
      <c r="P716" s="5" t="s">
        <v>88</v>
      </c>
      <c r="Q716" s="24">
        <v>0</v>
      </c>
      <c r="R716" s="24">
        <v>6</v>
      </c>
      <c r="S716" s="24">
        <v>7</v>
      </c>
      <c r="T716" s="24">
        <v>0</v>
      </c>
      <c r="U716" s="24">
        <v>0</v>
      </c>
      <c r="V716" s="24">
        <v>0</v>
      </c>
      <c r="W716" s="24">
        <v>0</v>
      </c>
      <c r="X716" s="24">
        <v>0</v>
      </c>
      <c r="Y716" s="24">
        <v>0</v>
      </c>
      <c r="Z716" s="24">
        <v>0</v>
      </c>
      <c r="AA716" s="24">
        <v>0</v>
      </c>
      <c r="AB716" s="24">
        <v>0</v>
      </c>
      <c r="AC716" s="30">
        <f t="shared" si="321"/>
        <v>0</v>
      </c>
      <c r="AD716" s="28"/>
      <c r="AE716" s="12"/>
      <c r="AF716" s="29"/>
      <c r="AG716" s="9"/>
      <c r="AH716" s="10"/>
      <c r="AI716" s="9"/>
      <c r="AJ716" s="11"/>
      <c r="AK716" s="9"/>
      <c r="AL716" s="13"/>
      <c r="AM716" s="9"/>
    </row>
    <row r="717" spans="1:39" x14ac:dyDescent="0.3">
      <c r="A717" s="2" t="str">
        <f t="shared" si="316"/>
        <v>NÃO</v>
      </c>
      <c r="B717" s="2" t="str">
        <f>_xlfn.XLOOKUP($N717,'Base de Grupos'!$A:$A,'Base de Grupos'!$D:$D)</f>
        <v>1000065763</v>
      </c>
      <c r="C717" s="5" t="str">
        <f>_xlfn.XLOOKUP($N717,'Base de Grupos'!$A:$A,'Base de Grupos'!$E:$E)</f>
        <v>CANAL VENDA INTERNA</v>
      </c>
      <c r="D717" s="5" t="str">
        <f>_xlfn.XLOOKUP($N717,'Base de Grupos'!$A:$A,'Base de Grupos'!$F:$F)</f>
        <v>1000065763</v>
      </c>
      <c r="E717" s="2" t="str">
        <f>_xlfn.XLOOKUP($N717,'Base de Grupos'!$A:$A,'Base de Grupos'!$G:$G)</f>
        <v>CANAL VENDA INTERNA</v>
      </c>
      <c r="F717" s="2" t="str">
        <f>_xlfn.XLOOKUP($N717,'Base de Grupos'!$A:$A,'Base de Grupos'!$H:$H)</f>
        <v>1000174119</v>
      </c>
      <c r="G717" s="5" t="str">
        <f>_xlfn.XLOOKUP($N717,'Base de Grupos'!$A:$A,'Base de Grupos'!$I:$I)</f>
        <v>REGIONAL VENDA INTERNA - CONVENIENCIA</v>
      </c>
      <c r="H717" s="5" t="str">
        <f>_xlfn.XLOOKUP($N717,'Base de Grupos'!$A:$A,'Base de Grupos'!$J:$J)</f>
        <v>1000174119</v>
      </c>
      <c r="I717" s="2" t="str">
        <f>_xlfn.XLOOKUP($N717,'Base de Grupos'!$A:$A,'Base de Grupos'!$K:$K)</f>
        <v>REGIONAL VENDA INTERNA - CONVENIENCIA</v>
      </c>
      <c r="J717" s="2" t="str">
        <f>_xlfn.XLOOKUP($N717,'Base de Grupos'!$A:$A,'Base de Grupos'!$L:$L)</f>
        <v>1000174119</v>
      </c>
      <c r="K717" s="5" t="str">
        <f>_xlfn.XLOOKUP($N717,'Base de Grupos'!$A:$A,'Base de Grupos'!$M:$M)</f>
        <v>REGIONAL VENDA INTERNA - CONVENIENCIA</v>
      </c>
      <c r="L717" s="5" t="str">
        <f t="shared" si="317"/>
        <v/>
      </c>
      <c r="M717" s="5" t="str">
        <f>_xlfn.XLOOKUP($N717,'Base de Grupos'!$A:$A,'Base de Grupos'!$C:$C)</f>
        <v>RN</v>
      </c>
      <c r="N717" s="3">
        <v>1503</v>
      </c>
      <c r="O717" s="4" t="s">
        <v>263</v>
      </c>
      <c r="P717" s="5" t="s">
        <v>90</v>
      </c>
      <c r="Q717" s="24">
        <v>0</v>
      </c>
      <c r="R717" s="24">
        <v>0</v>
      </c>
      <c r="S717" s="24">
        <v>0</v>
      </c>
      <c r="T717" s="24">
        <v>0</v>
      </c>
      <c r="U717" s="24">
        <v>0</v>
      </c>
      <c r="V717" s="24">
        <v>0</v>
      </c>
      <c r="W717" s="24">
        <v>0</v>
      </c>
      <c r="X717" s="24">
        <v>0</v>
      </c>
      <c r="Y717" s="24">
        <v>0</v>
      </c>
      <c r="Z717" s="24">
        <v>0</v>
      </c>
      <c r="AA717" s="24">
        <v>0</v>
      </c>
      <c r="AB717" s="24">
        <v>0</v>
      </c>
      <c r="AC717" s="30">
        <f t="shared" si="321"/>
        <v>0</v>
      </c>
      <c r="AD717" s="28"/>
      <c r="AE717" s="12"/>
      <c r="AF717" s="29"/>
      <c r="AG717" s="9"/>
      <c r="AH717" s="10"/>
      <c r="AI717" s="9"/>
      <c r="AJ717" s="11"/>
      <c r="AK717" s="9"/>
      <c r="AL717" s="13"/>
      <c r="AM717" s="9"/>
    </row>
    <row r="718" spans="1:39" x14ac:dyDescent="0.3">
      <c r="A718" s="2" t="str">
        <f t="shared" si="316"/>
        <v>NÃO</v>
      </c>
      <c r="B718" s="2" t="str">
        <f>_xlfn.XLOOKUP($N718,'Base de Grupos'!$A:$A,'Base de Grupos'!$D:$D)</f>
        <v>1000065763</v>
      </c>
      <c r="C718" s="5" t="str">
        <f>_xlfn.XLOOKUP($N718,'Base de Grupos'!$A:$A,'Base de Grupos'!$E:$E)</f>
        <v>CANAL VENDA INTERNA</v>
      </c>
      <c r="D718" s="5" t="str">
        <f>_xlfn.XLOOKUP($N718,'Base de Grupos'!$A:$A,'Base de Grupos'!$F:$F)</f>
        <v>1000065763</v>
      </c>
      <c r="E718" s="2" t="str">
        <f>_xlfn.XLOOKUP($N718,'Base de Grupos'!$A:$A,'Base de Grupos'!$G:$G)</f>
        <v>CANAL VENDA INTERNA</v>
      </c>
      <c r="F718" s="2" t="str">
        <f>_xlfn.XLOOKUP($N718,'Base de Grupos'!$A:$A,'Base de Grupos'!$H:$H)</f>
        <v>1000174119</v>
      </c>
      <c r="G718" s="5" t="str">
        <f>_xlfn.XLOOKUP($N718,'Base de Grupos'!$A:$A,'Base de Grupos'!$I:$I)</f>
        <v>REGIONAL VENDA INTERNA - CONVENIENCIA</v>
      </c>
      <c r="H718" s="5" t="str">
        <f>_xlfn.XLOOKUP($N718,'Base de Grupos'!$A:$A,'Base de Grupos'!$J:$J)</f>
        <v>1000174119</v>
      </c>
      <c r="I718" s="2" t="str">
        <f>_xlfn.XLOOKUP($N718,'Base de Grupos'!$A:$A,'Base de Grupos'!$K:$K)</f>
        <v>REGIONAL VENDA INTERNA - CONVENIENCIA</v>
      </c>
      <c r="J718" s="2" t="str">
        <f>_xlfn.XLOOKUP($N718,'Base de Grupos'!$A:$A,'Base de Grupos'!$L:$L)</f>
        <v>1000174119</v>
      </c>
      <c r="K718" s="5" t="str">
        <f>_xlfn.XLOOKUP($N718,'Base de Grupos'!$A:$A,'Base de Grupos'!$M:$M)</f>
        <v>REGIONAL VENDA INTERNA - CONVENIENCIA</v>
      </c>
      <c r="L718" s="5" t="str">
        <f t="shared" si="317"/>
        <v/>
      </c>
      <c r="M718" s="5" t="str">
        <f>_xlfn.XLOOKUP($N718,'Base de Grupos'!$A:$A,'Base de Grupos'!$C:$C)</f>
        <v>RN</v>
      </c>
      <c r="N718" s="3">
        <v>1503</v>
      </c>
      <c r="O718" s="4" t="s">
        <v>263</v>
      </c>
      <c r="P718" s="5" t="s">
        <v>91</v>
      </c>
      <c r="Q718" s="24">
        <v>0</v>
      </c>
      <c r="R718" s="24">
        <v>0</v>
      </c>
      <c r="S718" s="24">
        <v>0</v>
      </c>
      <c r="T718" s="24">
        <v>0</v>
      </c>
      <c r="U718" s="24">
        <v>0</v>
      </c>
      <c r="V718" s="24">
        <v>0</v>
      </c>
      <c r="W718" s="24">
        <v>0</v>
      </c>
      <c r="X718" s="24">
        <v>0</v>
      </c>
      <c r="Y718" s="24">
        <v>0</v>
      </c>
      <c r="Z718" s="24">
        <v>0</v>
      </c>
      <c r="AA718" s="24">
        <v>0</v>
      </c>
      <c r="AB718" s="24">
        <v>0</v>
      </c>
      <c r="AC718" s="30">
        <f t="shared" si="321"/>
        <v>0</v>
      </c>
      <c r="AD718" s="28"/>
      <c r="AE718" s="12"/>
      <c r="AF718" s="29"/>
      <c r="AG718" s="9"/>
      <c r="AH718" s="10"/>
      <c r="AI718" s="9"/>
      <c r="AJ718" s="11"/>
      <c r="AK718" s="9"/>
      <c r="AL718" s="13"/>
      <c r="AM718" s="9"/>
    </row>
    <row r="719" spans="1:39" x14ac:dyDescent="0.3">
      <c r="A719" s="2" t="str">
        <f t="shared" si="316"/>
        <v>NÃO</v>
      </c>
      <c r="B719" s="2" t="str">
        <f>_xlfn.XLOOKUP($N719,'Base de Grupos'!$A:$A,'Base de Grupos'!$D:$D)</f>
        <v>1000065763</v>
      </c>
      <c r="C719" s="5" t="str">
        <f>_xlfn.XLOOKUP($N719,'Base de Grupos'!$A:$A,'Base de Grupos'!$E:$E)</f>
        <v>CANAL VENDA INTERNA</v>
      </c>
      <c r="D719" s="5" t="str">
        <f>_xlfn.XLOOKUP($N719,'Base de Grupos'!$A:$A,'Base de Grupos'!$F:$F)</f>
        <v>1000065763</v>
      </c>
      <c r="E719" s="2" t="str">
        <f>_xlfn.XLOOKUP($N719,'Base de Grupos'!$A:$A,'Base de Grupos'!$G:$G)</f>
        <v>CANAL VENDA INTERNA</v>
      </c>
      <c r="F719" s="2" t="str">
        <f>_xlfn.XLOOKUP($N719,'Base de Grupos'!$A:$A,'Base de Grupos'!$H:$H)</f>
        <v>1000174119</v>
      </c>
      <c r="G719" s="5" t="str">
        <f>_xlfn.XLOOKUP($N719,'Base de Grupos'!$A:$A,'Base de Grupos'!$I:$I)</f>
        <v>REGIONAL VENDA INTERNA - CONVENIENCIA</v>
      </c>
      <c r="H719" s="5" t="str">
        <f>_xlfn.XLOOKUP($N719,'Base de Grupos'!$A:$A,'Base de Grupos'!$J:$J)</f>
        <v>1000174119</v>
      </c>
      <c r="I719" s="2" t="str">
        <f>_xlfn.XLOOKUP($N719,'Base de Grupos'!$A:$A,'Base de Grupos'!$K:$K)</f>
        <v>REGIONAL VENDA INTERNA - CONVENIENCIA</v>
      </c>
      <c r="J719" s="2" t="str">
        <f>_xlfn.XLOOKUP($N719,'Base de Grupos'!$A:$A,'Base de Grupos'!$L:$L)</f>
        <v>1000174119</v>
      </c>
      <c r="K719" s="5" t="str">
        <f>_xlfn.XLOOKUP($N719,'Base de Grupos'!$A:$A,'Base de Grupos'!$M:$M)</f>
        <v>REGIONAL VENDA INTERNA - CONVENIENCIA</v>
      </c>
      <c r="L719" s="5" t="str">
        <f t="shared" si="317"/>
        <v/>
      </c>
      <c r="M719" s="5" t="str">
        <f>_xlfn.XLOOKUP($N719,'Base de Grupos'!$A:$A,'Base de Grupos'!$C:$C)</f>
        <v>RN</v>
      </c>
      <c r="N719" s="3">
        <v>1503</v>
      </c>
      <c r="O719" s="4" t="s">
        <v>263</v>
      </c>
      <c r="P719" s="5" t="s">
        <v>96</v>
      </c>
      <c r="Q719" s="24">
        <v>0</v>
      </c>
      <c r="R719" s="24">
        <v>0</v>
      </c>
      <c r="S719" s="24">
        <v>0</v>
      </c>
      <c r="T719" s="24">
        <v>0</v>
      </c>
      <c r="U719" s="24">
        <v>0</v>
      </c>
      <c r="V719" s="24">
        <v>0</v>
      </c>
      <c r="W719" s="24">
        <v>0</v>
      </c>
      <c r="X719" s="24">
        <v>0</v>
      </c>
      <c r="Y719" s="24">
        <v>0</v>
      </c>
      <c r="Z719" s="24">
        <v>0</v>
      </c>
      <c r="AA719" s="24">
        <v>0</v>
      </c>
      <c r="AB719" s="24">
        <v>0</v>
      </c>
      <c r="AC719" s="30">
        <f t="shared" si="321"/>
        <v>0</v>
      </c>
      <c r="AD719" s="28"/>
      <c r="AE719" s="12"/>
      <c r="AF719" s="29"/>
      <c r="AG719" s="9"/>
      <c r="AH719" s="10"/>
      <c r="AI719" s="9"/>
      <c r="AJ719" s="11"/>
      <c r="AK719" s="9"/>
      <c r="AL719" s="13"/>
      <c r="AM719" s="9"/>
    </row>
    <row r="720" spans="1:39" x14ac:dyDescent="0.3">
      <c r="A720" s="2" t="str">
        <f t="shared" si="316"/>
        <v>NÃO</v>
      </c>
      <c r="B720" s="2" t="str">
        <f>_xlfn.XLOOKUP($N720,'Base de Grupos'!$A:$A,'Base de Grupos'!$D:$D)</f>
        <v>1000065763</v>
      </c>
      <c r="C720" s="5" t="str">
        <f>_xlfn.XLOOKUP($N720,'Base de Grupos'!$A:$A,'Base de Grupos'!$E:$E)</f>
        <v>CANAL VENDA INTERNA</v>
      </c>
      <c r="D720" s="5" t="str">
        <f>_xlfn.XLOOKUP($N720,'Base de Grupos'!$A:$A,'Base de Grupos'!$F:$F)</f>
        <v>1000065763</v>
      </c>
      <c r="E720" s="2" t="str">
        <f>_xlfn.XLOOKUP($N720,'Base de Grupos'!$A:$A,'Base de Grupos'!$G:$G)</f>
        <v>CANAL VENDA INTERNA</v>
      </c>
      <c r="F720" s="2" t="str">
        <f>_xlfn.XLOOKUP($N720,'Base de Grupos'!$A:$A,'Base de Grupos'!$H:$H)</f>
        <v>1000174119</v>
      </c>
      <c r="G720" s="5" t="str">
        <f>_xlfn.XLOOKUP($N720,'Base de Grupos'!$A:$A,'Base de Grupos'!$I:$I)</f>
        <v>REGIONAL VENDA INTERNA - CONVENIENCIA</v>
      </c>
      <c r="H720" s="5" t="str">
        <f>_xlfn.XLOOKUP($N720,'Base de Grupos'!$A:$A,'Base de Grupos'!$J:$J)</f>
        <v>1000174119</v>
      </c>
      <c r="I720" s="2" t="str">
        <f>_xlfn.XLOOKUP($N720,'Base de Grupos'!$A:$A,'Base de Grupos'!$K:$K)</f>
        <v>REGIONAL VENDA INTERNA - CONVENIENCIA</v>
      </c>
      <c r="J720" s="2" t="str">
        <f>_xlfn.XLOOKUP($N720,'Base de Grupos'!$A:$A,'Base de Grupos'!$L:$L)</f>
        <v>1000174119</v>
      </c>
      <c r="K720" s="5" t="str">
        <f>_xlfn.XLOOKUP($N720,'Base de Grupos'!$A:$A,'Base de Grupos'!$M:$M)</f>
        <v>REGIONAL VENDA INTERNA - CONVENIENCIA</v>
      </c>
      <c r="L720" s="5" t="str">
        <f t="shared" si="317"/>
        <v/>
      </c>
      <c r="M720" s="5" t="str">
        <f>_xlfn.XLOOKUP($N720,'Base de Grupos'!$A:$A,'Base de Grupos'!$C:$C)</f>
        <v>RN</v>
      </c>
      <c r="N720" s="3">
        <v>1503</v>
      </c>
      <c r="O720" s="4" t="s">
        <v>263</v>
      </c>
      <c r="P720" s="5" t="s">
        <v>94</v>
      </c>
      <c r="Q720" s="24">
        <v>0</v>
      </c>
      <c r="R720" s="24">
        <v>0</v>
      </c>
      <c r="S720" s="24">
        <v>0</v>
      </c>
      <c r="T720" s="24">
        <v>0</v>
      </c>
      <c r="U720" s="24">
        <v>0</v>
      </c>
      <c r="V720" s="24">
        <v>0</v>
      </c>
      <c r="W720" s="24">
        <v>0</v>
      </c>
      <c r="X720" s="24">
        <v>0</v>
      </c>
      <c r="Y720" s="24">
        <v>0</v>
      </c>
      <c r="Z720" s="24">
        <v>0</v>
      </c>
      <c r="AA720" s="24">
        <v>0</v>
      </c>
      <c r="AB720" s="24">
        <v>0</v>
      </c>
      <c r="AC720" s="30">
        <f t="shared" si="321"/>
        <v>0</v>
      </c>
      <c r="AD720" s="28"/>
      <c r="AE720" s="12"/>
      <c r="AF720" s="29"/>
      <c r="AG720" s="9"/>
      <c r="AH720" s="10"/>
      <c r="AI720" s="9"/>
      <c r="AJ720" s="11"/>
      <c r="AK720" s="9"/>
      <c r="AL720" s="13"/>
      <c r="AM720" s="9"/>
    </row>
    <row r="721" spans="1:39" x14ac:dyDescent="0.3">
      <c r="A721" s="2" t="str">
        <f t="shared" si="316"/>
        <v>NÃO</v>
      </c>
      <c r="B721" s="2" t="str">
        <f>_xlfn.XLOOKUP($N721,'Base de Grupos'!$A:$A,'Base de Grupos'!$D:$D)</f>
        <v>1000065763</v>
      </c>
      <c r="C721" s="5" t="str">
        <f>_xlfn.XLOOKUP($N721,'Base de Grupos'!$A:$A,'Base de Grupos'!$E:$E)</f>
        <v>CANAL VENDA INTERNA</v>
      </c>
      <c r="D721" s="5" t="str">
        <f>_xlfn.XLOOKUP($N721,'Base de Grupos'!$A:$A,'Base de Grupos'!$F:$F)</f>
        <v>1000065763</v>
      </c>
      <c r="E721" s="2" t="str">
        <f>_xlfn.XLOOKUP($N721,'Base de Grupos'!$A:$A,'Base de Grupos'!$G:$G)</f>
        <v>CANAL VENDA INTERNA</v>
      </c>
      <c r="F721" s="2" t="str">
        <f>_xlfn.XLOOKUP($N721,'Base de Grupos'!$A:$A,'Base de Grupos'!$H:$H)</f>
        <v>1000174119</v>
      </c>
      <c r="G721" s="5" t="str">
        <f>_xlfn.XLOOKUP($N721,'Base de Grupos'!$A:$A,'Base de Grupos'!$I:$I)</f>
        <v>REGIONAL VENDA INTERNA - CONVENIENCIA</v>
      </c>
      <c r="H721" s="5" t="str">
        <f>_xlfn.XLOOKUP($N721,'Base de Grupos'!$A:$A,'Base de Grupos'!$J:$J)</f>
        <v>1000174119</v>
      </c>
      <c r="I721" s="2" t="str">
        <f>_xlfn.XLOOKUP($N721,'Base de Grupos'!$A:$A,'Base de Grupos'!$K:$K)</f>
        <v>REGIONAL VENDA INTERNA - CONVENIENCIA</v>
      </c>
      <c r="J721" s="2" t="str">
        <f>_xlfn.XLOOKUP($N721,'Base de Grupos'!$A:$A,'Base de Grupos'!$L:$L)</f>
        <v>1000174119</v>
      </c>
      <c r="K721" s="5" t="str">
        <f>_xlfn.XLOOKUP($N721,'Base de Grupos'!$A:$A,'Base de Grupos'!$M:$M)</f>
        <v>REGIONAL VENDA INTERNA - CONVENIENCIA</v>
      </c>
      <c r="L721" s="5" t="str">
        <f t="shared" si="317"/>
        <v/>
      </c>
      <c r="M721" s="5" t="str">
        <f>_xlfn.XLOOKUP($N721,'Base de Grupos'!$A:$A,'Base de Grupos'!$C:$C)</f>
        <v>RN</v>
      </c>
      <c r="N721" s="3">
        <v>1503</v>
      </c>
      <c r="O721" s="4" t="s">
        <v>263</v>
      </c>
      <c r="P721" s="5" t="s">
        <v>95</v>
      </c>
      <c r="Q721" s="24">
        <v>0</v>
      </c>
      <c r="R721" s="24">
        <v>4</v>
      </c>
      <c r="S721" s="24">
        <v>4</v>
      </c>
      <c r="T721" s="24">
        <v>0</v>
      </c>
      <c r="U721" s="24">
        <v>0</v>
      </c>
      <c r="V721" s="24">
        <v>0</v>
      </c>
      <c r="W721" s="24">
        <v>0</v>
      </c>
      <c r="X721" s="24">
        <v>0</v>
      </c>
      <c r="Y721" s="24">
        <v>0</v>
      </c>
      <c r="Z721" s="24">
        <v>0</v>
      </c>
      <c r="AA721" s="24">
        <v>0</v>
      </c>
      <c r="AB721" s="24">
        <v>0</v>
      </c>
      <c r="AC721" s="30">
        <f t="shared" si="321"/>
        <v>0</v>
      </c>
      <c r="AD721" s="28"/>
      <c r="AE721" s="12"/>
      <c r="AF721" s="29"/>
      <c r="AG721" s="9"/>
      <c r="AH721" s="10"/>
      <c r="AI721" s="9"/>
      <c r="AJ721" s="11"/>
      <c r="AK721" s="9"/>
      <c r="AL721" s="13"/>
      <c r="AM721" s="9"/>
    </row>
    <row r="722" spans="1:39" x14ac:dyDescent="0.3">
      <c r="A722" s="2" t="str">
        <f t="shared" si="316"/>
        <v>NÃO</v>
      </c>
      <c r="B722" s="2" t="str">
        <f>_xlfn.XLOOKUP($N722,'Base de Grupos'!$A:$A,'Base de Grupos'!$D:$D)</f>
        <v>1000065763</v>
      </c>
      <c r="C722" s="5" t="str">
        <f>_xlfn.XLOOKUP($N722,'Base de Grupos'!$A:$A,'Base de Grupos'!$E:$E)</f>
        <v>CANAL VENDA INTERNA</v>
      </c>
      <c r="D722" s="5" t="str">
        <f>_xlfn.XLOOKUP($N722,'Base de Grupos'!$A:$A,'Base de Grupos'!$F:$F)</f>
        <v>1000065763</v>
      </c>
      <c r="E722" s="2" t="str">
        <f>_xlfn.XLOOKUP($N722,'Base de Grupos'!$A:$A,'Base de Grupos'!$G:$G)</f>
        <v>CANAL VENDA INTERNA</v>
      </c>
      <c r="F722" s="2" t="str">
        <f>_xlfn.XLOOKUP($N722,'Base de Grupos'!$A:$A,'Base de Grupos'!$H:$H)</f>
        <v>1000174119</v>
      </c>
      <c r="G722" s="5" t="str">
        <f>_xlfn.XLOOKUP($N722,'Base de Grupos'!$A:$A,'Base de Grupos'!$I:$I)</f>
        <v>REGIONAL VENDA INTERNA - CONVENIENCIA</v>
      </c>
      <c r="H722" s="5" t="str">
        <f>_xlfn.XLOOKUP($N722,'Base de Grupos'!$A:$A,'Base de Grupos'!$J:$J)</f>
        <v>1000174119</v>
      </c>
      <c r="I722" s="2" t="str">
        <f>_xlfn.XLOOKUP($N722,'Base de Grupos'!$A:$A,'Base de Grupos'!$K:$K)</f>
        <v>REGIONAL VENDA INTERNA - CONVENIENCIA</v>
      </c>
      <c r="J722" s="2" t="str">
        <f>_xlfn.XLOOKUP($N722,'Base de Grupos'!$A:$A,'Base de Grupos'!$L:$L)</f>
        <v>1000174119</v>
      </c>
      <c r="K722" s="5" t="str">
        <f>_xlfn.XLOOKUP($N722,'Base de Grupos'!$A:$A,'Base de Grupos'!$M:$M)</f>
        <v>REGIONAL VENDA INTERNA - CONVENIENCIA</v>
      </c>
      <c r="L722" s="5" t="str">
        <f t="shared" si="317"/>
        <v/>
      </c>
      <c r="M722" s="5" t="str">
        <f>_xlfn.XLOOKUP($N722,'Base de Grupos'!$A:$A,'Base de Grupos'!$C:$C)</f>
        <v>RN</v>
      </c>
      <c r="N722" s="3">
        <v>1503</v>
      </c>
      <c r="O722" s="4" t="s">
        <v>263</v>
      </c>
      <c r="P722" s="5" t="s">
        <v>93</v>
      </c>
      <c r="Q722" s="24">
        <v>0</v>
      </c>
      <c r="R722" s="24">
        <v>1</v>
      </c>
      <c r="S722" s="24">
        <v>2</v>
      </c>
      <c r="T722" s="24">
        <v>0</v>
      </c>
      <c r="U722" s="24">
        <v>0</v>
      </c>
      <c r="V722" s="24">
        <v>0</v>
      </c>
      <c r="W722" s="24">
        <v>0</v>
      </c>
      <c r="X722" s="24">
        <v>0</v>
      </c>
      <c r="Y722" s="24">
        <v>0</v>
      </c>
      <c r="Z722" s="24">
        <v>0</v>
      </c>
      <c r="AA722" s="24">
        <v>0</v>
      </c>
      <c r="AB722" s="24">
        <v>0</v>
      </c>
      <c r="AC722" s="30">
        <f t="shared" si="321"/>
        <v>0</v>
      </c>
      <c r="AD722" s="28"/>
      <c r="AE722" s="12"/>
      <c r="AF722" s="29"/>
      <c r="AG722" s="9"/>
      <c r="AH722" s="10"/>
      <c r="AI722" s="9"/>
      <c r="AJ722" s="11"/>
      <c r="AK722" s="9"/>
      <c r="AL722" s="13"/>
      <c r="AM722" s="9"/>
    </row>
    <row r="723" spans="1:39" x14ac:dyDescent="0.3">
      <c r="A723" s="2" t="str">
        <f t="shared" si="316"/>
        <v>SIM</v>
      </c>
      <c r="B723" s="2" t="str">
        <f>_xlfn.XLOOKUP($N723,'Base de Grupos'!$A:$A,'Base de Grupos'!$D:$D)</f>
        <v>1000065763</v>
      </c>
      <c r="C723" s="5" t="str">
        <f>_xlfn.XLOOKUP($N723,'Base de Grupos'!$A:$A,'Base de Grupos'!$E:$E)</f>
        <v>CANAL VENDA INTERNA</v>
      </c>
      <c r="D723" s="5" t="str">
        <f>_xlfn.XLOOKUP($N723,'Base de Grupos'!$A:$A,'Base de Grupos'!$F:$F)</f>
        <v>1000065763</v>
      </c>
      <c r="E723" s="2" t="str">
        <f>_xlfn.XLOOKUP($N723,'Base de Grupos'!$A:$A,'Base de Grupos'!$G:$G)</f>
        <v>CANAL VENDA INTERNA</v>
      </c>
      <c r="F723" s="2" t="str">
        <f>_xlfn.XLOOKUP($N723,'Base de Grupos'!$A:$A,'Base de Grupos'!$H:$H)</f>
        <v>1000174119</v>
      </c>
      <c r="G723" s="5" t="str">
        <f>_xlfn.XLOOKUP($N723,'Base de Grupos'!$A:$A,'Base de Grupos'!$I:$I)</f>
        <v>REGIONAL VENDA INTERNA - CONVENIENCIA</v>
      </c>
      <c r="H723" s="5" t="str">
        <f>_xlfn.XLOOKUP($N723,'Base de Grupos'!$A:$A,'Base de Grupos'!$J:$J)</f>
        <v>1000174119</v>
      </c>
      <c r="I723" s="2" t="str">
        <f>_xlfn.XLOOKUP($N723,'Base de Grupos'!$A:$A,'Base de Grupos'!$K:$K)</f>
        <v>REGIONAL VENDA INTERNA - CONVENIENCIA</v>
      </c>
      <c r="J723" s="2" t="str">
        <f>_xlfn.XLOOKUP($N723,'Base de Grupos'!$A:$A,'Base de Grupos'!$L:$L)</f>
        <v>1000174119</v>
      </c>
      <c r="K723" s="5" t="str">
        <f>_xlfn.XLOOKUP($N723,'Base de Grupos'!$A:$A,'Base de Grupos'!$M:$M)</f>
        <v>REGIONAL VENDA INTERNA - CONVENIENCIA</v>
      </c>
      <c r="L723" s="5">
        <f t="shared" si="317"/>
        <v>1</v>
      </c>
      <c r="M723" s="5" t="str">
        <f>_xlfn.XLOOKUP($N723,'Base de Grupos'!$A:$A,'Base de Grupos'!$C:$C)</f>
        <v>CE</v>
      </c>
      <c r="N723" s="3">
        <v>1504</v>
      </c>
      <c r="O723" s="4" t="s">
        <v>264</v>
      </c>
      <c r="P723" s="5" t="s">
        <v>334</v>
      </c>
      <c r="Q723" s="24">
        <v>0</v>
      </c>
      <c r="R723" s="24">
        <v>2</v>
      </c>
      <c r="S723" s="24">
        <v>2</v>
      </c>
      <c r="T723" s="24">
        <v>0</v>
      </c>
      <c r="U723" s="24">
        <v>0</v>
      </c>
      <c r="V723" s="24">
        <v>0</v>
      </c>
      <c r="W723" s="24">
        <v>0</v>
      </c>
      <c r="X723" s="24">
        <v>0</v>
      </c>
      <c r="Y723" s="24">
        <v>0</v>
      </c>
      <c r="Z723" s="24">
        <v>0</v>
      </c>
      <c r="AA723" s="24">
        <v>0</v>
      </c>
      <c r="AB723" s="24">
        <v>0</v>
      </c>
      <c r="AC723" s="30">
        <f t="shared" si="321"/>
        <v>0</v>
      </c>
      <c r="AD723" s="28"/>
      <c r="AE723" s="12"/>
      <c r="AF723" s="29"/>
      <c r="AG723" s="9"/>
      <c r="AH723" s="10"/>
      <c r="AI723" s="9"/>
      <c r="AJ723" s="11"/>
      <c r="AK723" s="9"/>
      <c r="AL723" s="13"/>
      <c r="AM723" s="9"/>
    </row>
    <row r="724" spans="1:39" x14ac:dyDescent="0.3">
      <c r="A724" s="2" t="str">
        <f t="shared" si="316"/>
        <v>NÃO</v>
      </c>
      <c r="B724" s="2" t="str">
        <f>_xlfn.XLOOKUP($N724,'Base de Grupos'!$A:$A,'Base de Grupos'!$D:$D)</f>
        <v>1000065763</v>
      </c>
      <c r="C724" s="5" t="str">
        <f>_xlfn.XLOOKUP($N724,'Base de Grupos'!$A:$A,'Base de Grupos'!$E:$E)</f>
        <v>CANAL VENDA INTERNA</v>
      </c>
      <c r="D724" s="5" t="str">
        <f>_xlfn.XLOOKUP($N724,'Base de Grupos'!$A:$A,'Base de Grupos'!$F:$F)</f>
        <v>1000065763</v>
      </c>
      <c r="E724" s="2" t="str">
        <f>_xlfn.XLOOKUP($N724,'Base de Grupos'!$A:$A,'Base de Grupos'!$G:$G)</f>
        <v>CANAL VENDA INTERNA</v>
      </c>
      <c r="F724" s="2" t="str">
        <f>_xlfn.XLOOKUP($N724,'Base de Grupos'!$A:$A,'Base de Grupos'!$H:$H)</f>
        <v>1000174119</v>
      </c>
      <c r="G724" s="5" t="str">
        <f>_xlfn.XLOOKUP($N724,'Base de Grupos'!$A:$A,'Base de Grupos'!$I:$I)</f>
        <v>REGIONAL VENDA INTERNA - CONVENIENCIA</v>
      </c>
      <c r="H724" s="5" t="str">
        <f>_xlfn.XLOOKUP($N724,'Base de Grupos'!$A:$A,'Base de Grupos'!$J:$J)</f>
        <v>1000174119</v>
      </c>
      <c r="I724" s="2" t="str">
        <f>_xlfn.XLOOKUP($N724,'Base de Grupos'!$A:$A,'Base de Grupos'!$K:$K)</f>
        <v>REGIONAL VENDA INTERNA - CONVENIENCIA</v>
      </c>
      <c r="J724" s="2" t="str">
        <f>_xlfn.XLOOKUP($N724,'Base de Grupos'!$A:$A,'Base de Grupos'!$L:$L)</f>
        <v>1000174119</v>
      </c>
      <c r="K724" s="5" t="str">
        <f>_xlfn.XLOOKUP($N724,'Base de Grupos'!$A:$A,'Base de Grupos'!$M:$M)</f>
        <v>REGIONAL VENDA INTERNA - CONVENIENCIA</v>
      </c>
      <c r="L724" s="5" t="str">
        <f t="shared" si="317"/>
        <v/>
      </c>
      <c r="M724" s="5" t="str">
        <f>_xlfn.XLOOKUP($N724,'Base de Grupos'!$A:$A,'Base de Grupos'!$C:$C)</f>
        <v>CE</v>
      </c>
      <c r="N724" s="3">
        <v>1504</v>
      </c>
      <c r="O724" s="4" t="s">
        <v>264</v>
      </c>
      <c r="P724" s="5" t="s">
        <v>81</v>
      </c>
      <c r="Q724" s="24">
        <v>0</v>
      </c>
      <c r="R724" s="24">
        <v>2</v>
      </c>
      <c r="S724" s="24">
        <v>2</v>
      </c>
      <c r="T724" s="24">
        <v>0</v>
      </c>
      <c r="U724" s="24">
        <v>0</v>
      </c>
      <c r="V724" s="24">
        <v>0</v>
      </c>
      <c r="W724" s="24">
        <v>0</v>
      </c>
      <c r="X724" s="24">
        <v>0</v>
      </c>
      <c r="Y724" s="24">
        <v>0</v>
      </c>
      <c r="Z724" s="24">
        <v>0</v>
      </c>
      <c r="AA724" s="24">
        <v>0</v>
      </c>
      <c r="AB724" s="24">
        <v>0</v>
      </c>
      <c r="AC724" s="30">
        <f t="shared" si="321"/>
        <v>0</v>
      </c>
      <c r="AD724" s="28"/>
      <c r="AE724" s="12"/>
      <c r="AF724" s="29"/>
      <c r="AG724" s="9"/>
      <c r="AH724" s="10"/>
      <c r="AI724" s="9"/>
      <c r="AJ724" s="11"/>
      <c r="AK724" s="9"/>
      <c r="AL724" s="13"/>
      <c r="AM724" s="9"/>
    </row>
    <row r="725" spans="1:39" x14ac:dyDescent="0.3">
      <c r="A725" s="2" t="str">
        <f t="shared" si="316"/>
        <v>NÃO</v>
      </c>
      <c r="B725" s="2" t="str">
        <f>_xlfn.XLOOKUP($N725,'Base de Grupos'!$A:$A,'Base de Grupos'!$D:$D)</f>
        <v>1000065763</v>
      </c>
      <c r="C725" s="5" t="str">
        <f>_xlfn.XLOOKUP($N725,'Base de Grupos'!$A:$A,'Base de Grupos'!$E:$E)</f>
        <v>CANAL VENDA INTERNA</v>
      </c>
      <c r="D725" s="5" t="str">
        <f>_xlfn.XLOOKUP($N725,'Base de Grupos'!$A:$A,'Base de Grupos'!$F:$F)</f>
        <v>1000065763</v>
      </c>
      <c r="E725" s="2" t="str">
        <f>_xlfn.XLOOKUP($N725,'Base de Grupos'!$A:$A,'Base de Grupos'!$G:$G)</f>
        <v>CANAL VENDA INTERNA</v>
      </c>
      <c r="F725" s="2" t="str">
        <f>_xlfn.XLOOKUP($N725,'Base de Grupos'!$A:$A,'Base de Grupos'!$H:$H)</f>
        <v>1000174119</v>
      </c>
      <c r="G725" s="5" t="str">
        <f>_xlfn.XLOOKUP($N725,'Base de Grupos'!$A:$A,'Base de Grupos'!$I:$I)</f>
        <v>REGIONAL VENDA INTERNA - CONVENIENCIA</v>
      </c>
      <c r="H725" s="5" t="str">
        <f>_xlfn.XLOOKUP($N725,'Base de Grupos'!$A:$A,'Base de Grupos'!$J:$J)</f>
        <v>1000174119</v>
      </c>
      <c r="I725" s="2" t="str">
        <f>_xlfn.XLOOKUP($N725,'Base de Grupos'!$A:$A,'Base de Grupos'!$K:$K)</f>
        <v>REGIONAL VENDA INTERNA - CONVENIENCIA</v>
      </c>
      <c r="J725" s="2" t="str">
        <f>_xlfn.XLOOKUP($N725,'Base de Grupos'!$A:$A,'Base de Grupos'!$L:$L)</f>
        <v>1000174119</v>
      </c>
      <c r="K725" s="5" t="str">
        <f>_xlfn.XLOOKUP($N725,'Base de Grupos'!$A:$A,'Base de Grupos'!$M:$M)</f>
        <v>REGIONAL VENDA INTERNA - CONVENIENCIA</v>
      </c>
      <c r="L725" s="5" t="str">
        <f t="shared" si="317"/>
        <v/>
      </c>
      <c r="M725" s="5" t="str">
        <f>_xlfn.XLOOKUP($N725,'Base de Grupos'!$A:$A,'Base de Grupos'!$C:$C)</f>
        <v>CE</v>
      </c>
      <c r="N725" s="3">
        <v>1504</v>
      </c>
      <c r="O725" s="4" t="s">
        <v>264</v>
      </c>
      <c r="P725" s="5" t="s">
        <v>82</v>
      </c>
      <c r="Q725" s="24">
        <v>0</v>
      </c>
      <c r="R725" s="24">
        <v>1</v>
      </c>
      <c r="S725" s="24">
        <v>1</v>
      </c>
      <c r="T725" s="24">
        <v>0</v>
      </c>
      <c r="U725" s="24">
        <v>0</v>
      </c>
      <c r="V725" s="24">
        <v>0</v>
      </c>
      <c r="W725" s="24">
        <v>0</v>
      </c>
      <c r="X725" s="24">
        <v>0</v>
      </c>
      <c r="Y725" s="24">
        <v>0</v>
      </c>
      <c r="Z725" s="24">
        <v>0</v>
      </c>
      <c r="AA725" s="24">
        <v>0</v>
      </c>
      <c r="AB725" s="24">
        <v>0</v>
      </c>
      <c r="AC725" s="30">
        <f t="shared" si="321"/>
        <v>0</v>
      </c>
      <c r="AD725" s="28"/>
      <c r="AE725" s="12"/>
      <c r="AF725" s="29"/>
      <c r="AG725" s="9"/>
      <c r="AH725" s="10"/>
      <c r="AI725" s="9"/>
      <c r="AJ725" s="11"/>
      <c r="AK725" s="9"/>
      <c r="AL725" s="13"/>
      <c r="AM725" s="9"/>
    </row>
    <row r="726" spans="1:39" x14ac:dyDescent="0.3">
      <c r="A726" s="2" t="str">
        <f t="shared" si="316"/>
        <v>NÃO</v>
      </c>
      <c r="B726" s="2" t="str">
        <f>_xlfn.XLOOKUP($N726,'Base de Grupos'!$A:$A,'Base de Grupos'!$D:$D)</f>
        <v>1000065763</v>
      </c>
      <c r="C726" s="5" t="str">
        <f>_xlfn.XLOOKUP($N726,'Base de Grupos'!$A:$A,'Base de Grupos'!$E:$E)</f>
        <v>CANAL VENDA INTERNA</v>
      </c>
      <c r="D726" s="5" t="str">
        <f>_xlfn.XLOOKUP($N726,'Base de Grupos'!$A:$A,'Base de Grupos'!$F:$F)</f>
        <v>1000065763</v>
      </c>
      <c r="E726" s="2" t="str">
        <f>_xlfn.XLOOKUP($N726,'Base de Grupos'!$A:$A,'Base de Grupos'!$G:$G)</f>
        <v>CANAL VENDA INTERNA</v>
      </c>
      <c r="F726" s="2" t="str">
        <f>_xlfn.XLOOKUP($N726,'Base de Grupos'!$A:$A,'Base de Grupos'!$H:$H)</f>
        <v>1000174119</v>
      </c>
      <c r="G726" s="5" t="str">
        <f>_xlfn.XLOOKUP($N726,'Base de Grupos'!$A:$A,'Base de Grupos'!$I:$I)</f>
        <v>REGIONAL VENDA INTERNA - CONVENIENCIA</v>
      </c>
      <c r="H726" s="5" t="str">
        <f>_xlfn.XLOOKUP($N726,'Base de Grupos'!$A:$A,'Base de Grupos'!$J:$J)</f>
        <v>1000174119</v>
      </c>
      <c r="I726" s="2" t="str">
        <f>_xlfn.XLOOKUP($N726,'Base de Grupos'!$A:$A,'Base de Grupos'!$K:$K)</f>
        <v>REGIONAL VENDA INTERNA - CONVENIENCIA</v>
      </c>
      <c r="J726" s="2" t="str">
        <f>_xlfn.XLOOKUP($N726,'Base de Grupos'!$A:$A,'Base de Grupos'!$L:$L)</f>
        <v>1000174119</v>
      </c>
      <c r="K726" s="5" t="str">
        <f>_xlfn.XLOOKUP($N726,'Base de Grupos'!$A:$A,'Base de Grupos'!$M:$M)</f>
        <v>REGIONAL VENDA INTERNA - CONVENIENCIA</v>
      </c>
      <c r="L726" s="5" t="str">
        <f t="shared" si="317"/>
        <v/>
      </c>
      <c r="M726" s="5" t="str">
        <f>_xlfn.XLOOKUP($N726,'Base de Grupos'!$A:$A,'Base de Grupos'!$C:$C)</f>
        <v>CE</v>
      </c>
      <c r="N726" s="3">
        <v>1504</v>
      </c>
      <c r="O726" s="4" t="s">
        <v>264</v>
      </c>
      <c r="P726" s="5" t="s">
        <v>84</v>
      </c>
      <c r="Q726" s="24">
        <v>0</v>
      </c>
      <c r="R726" s="24">
        <v>4</v>
      </c>
      <c r="S726" s="24">
        <v>4</v>
      </c>
      <c r="T726" s="24">
        <v>0</v>
      </c>
      <c r="U726" s="24">
        <v>0</v>
      </c>
      <c r="V726" s="24">
        <v>0</v>
      </c>
      <c r="W726" s="24">
        <v>0</v>
      </c>
      <c r="X726" s="24">
        <v>0</v>
      </c>
      <c r="Y726" s="24">
        <v>0</v>
      </c>
      <c r="Z726" s="24">
        <v>0</v>
      </c>
      <c r="AA726" s="24">
        <v>0</v>
      </c>
      <c r="AB726" s="24">
        <v>0</v>
      </c>
      <c r="AC726" s="30">
        <f t="shared" si="321"/>
        <v>0</v>
      </c>
      <c r="AD726" s="28"/>
      <c r="AE726" s="12"/>
      <c r="AF726" s="29"/>
      <c r="AG726" s="9"/>
      <c r="AH726" s="10"/>
      <c r="AI726" s="9"/>
      <c r="AJ726" s="11"/>
      <c r="AK726" s="9"/>
      <c r="AL726" s="13"/>
      <c r="AM726" s="9"/>
    </row>
    <row r="727" spans="1:39" x14ac:dyDescent="0.3">
      <c r="A727" s="2" t="str">
        <f t="shared" si="316"/>
        <v>NÃO</v>
      </c>
      <c r="B727" s="2" t="str">
        <f>_xlfn.XLOOKUP($N727,'Base de Grupos'!$A:$A,'Base de Grupos'!$D:$D)</f>
        <v>1000065763</v>
      </c>
      <c r="C727" s="5" t="str">
        <f>_xlfn.XLOOKUP($N727,'Base de Grupos'!$A:$A,'Base de Grupos'!$E:$E)</f>
        <v>CANAL VENDA INTERNA</v>
      </c>
      <c r="D727" s="5" t="str">
        <f>_xlfn.XLOOKUP($N727,'Base de Grupos'!$A:$A,'Base de Grupos'!$F:$F)</f>
        <v>1000065763</v>
      </c>
      <c r="E727" s="2" t="str">
        <f>_xlfn.XLOOKUP($N727,'Base de Grupos'!$A:$A,'Base de Grupos'!$G:$G)</f>
        <v>CANAL VENDA INTERNA</v>
      </c>
      <c r="F727" s="2" t="str">
        <f>_xlfn.XLOOKUP($N727,'Base de Grupos'!$A:$A,'Base de Grupos'!$H:$H)</f>
        <v>1000174119</v>
      </c>
      <c r="G727" s="5" t="str">
        <f>_xlfn.XLOOKUP($N727,'Base de Grupos'!$A:$A,'Base de Grupos'!$I:$I)</f>
        <v>REGIONAL VENDA INTERNA - CONVENIENCIA</v>
      </c>
      <c r="H727" s="5" t="str">
        <f>_xlfn.XLOOKUP($N727,'Base de Grupos'!$A:$A,'Base de Grupos'!$J:$J)</f>
        <v>1000174119</v>
      </c>
      <c r="I727" s="2" t="str">
        <f>_xlfn.XLOOKUP($N727,'Base de Grupos'!$A:$A,'Base de Grupos'!$K:$K)</f>
        <v>REGIONAL VENDA INTERNA - CONVENIENCIA</v>
      </c>
      <c r="J727" s="2" t="str">
        <f>_xlfn.XLOOKUP($N727,'Base de Grupos'!$A:$A,'Base de Grupos'!$L:$L)</f>
        <v>1000174119</v>
      </c>
      <c r="K727" s="5" t="str">
        <f>_xlfn.XLOOKUP($N727,'Base de Grupos'!$A:$A,'Base de Grupos'!$M:$M)</f>
        <v>REGIONAL VENDA INTERNA - CONVENIENCIA</v>
      </c>
      <c r="L727" s="5" t="str">
        <f t="shared" si="317"/>
        <v/>
      </c>
      <c r="M727" s="5" t="str">
        <f>_xlfn.XLOOKUP($N727,'Base de Grupos'!$A:$A,'Base de Grupos'!$C:$C)</f>
        <v>CE</v>
      </c>
      <c r="N727" s="3">
        <v>1504</v>
      </c>
      <c r="O727" s="4" t="s">
        <v>264</v>
      </c>
      <c r="P727" s="5" t="s">
        <v>83</v>
      </c>
      <c r="Q727" s="24">
        <v>0</v>
      </c>
      <c r="R727" s="24">
        <v>4.4000000000000004</v>
      </c>
      <c r="S727" s="24">
        <v>5</v>
      </c>
      <c r="T727" s="24">
        <v>0</v>
      </c>
      <c r="U727" s="24">
        <v>0</v>
      </c>
      <c r="V727" s="24">
        <v>0</v>
      </c>
      <c r="W727" s="24">
        <v>0</v>
      </c>
      <c r="X727" s="24">
        <v>0</v>
      </c>
      <c r="Y727" s="24">
        <v>0</v>
      </c>
      <c r="Z727" s="24">
        <v>0</v>
      </c>
      <c r="AA727" s="24">
        <v>0</v>
      </c>
      <c r="AB727" s="24">
        <v>0</v>
      </c>
      <c r="AC727" s="30">
        <f t="shared" si="321"/>
        <v>0</v>
      </c>
      <c r="AD727" s="28"/>
      <c r="AE727" s="12"/>
      <c r="AF727" s="29"/>
      <c r="AG727" s="9"/>
      <c r="AH727" s="10"/>
      <c r="AI727" s="9"/>
      <c r="AJ727" s="11"/>
      <c r="AK727" s="9"/>
      <c r="AL727" s="13"/>
      <c r="AM727" s="9"/>
    </row>
    <row r="728" spans="1:39" x14ac:dyDescent="0.3">
      <c r="A728" s="2" t="str">
        <f t="shared" si="316"/>
        <v>NÃO</v>
      </c>
      <c r="B728" s="2" t="str">
        <f>_xlfn.XLOOKUP($N728,'Base de Grupos'!$A:$A,'Base de Grupos'!$D:$D)</f>
        <v>1000065763</v>
      </c>
      <c r="C728" s="5" t="str">
        <f>_xlfn.XLOOKUP($N728,'Base de Grupos'!$A:$A,'Base de Grupos'!$E:$E)</f>
        <v>CANAL VENDA INTERNA</v>
      </c>
      <c r="D728" s="5" t="str">
        <f>_xlfn.XLOOKUP($N728,'Base de Grupos'!$A:$A,'Base de Grupos'!$F:$F)</f>
        <v>1000065763</v>
      </c>
      <c r="E728" s="2" t="str">
        <f>_xlfn.XLOOKUP($N728,'Base de Grupos'!$A:$A,'Base de Grupos'!$G:$G)</f>
        <v>CANAL VENDA INTERNA</v>
      </c>
      <c r="F728" s="2" t="str">
        <f>_xlfn.XLOOKUP($N728,'Base de Grupos'!$A:$A,'Base de Grupos'!$H:$H)</f>
        <v>1000174119</v>
      </c>
      <c r="G728" s="5" t="str">
        <f>_xlfn.XLOOKUP($N728,'Base de Grupos'!$A:$A,'Base de Grupos'!$I:$I)</f>
        <v>REGIONAL VENDA INTERNA - CONVENIENCIA</v>
      </c>
      <c r="H728" s="5" t="str">
        <f>_xlfn.XLOOKUP($N728,'Base de Grupos'!$A:$A,'Base de Grupos'!$J:$J)</f>
        <v>1000174119</v>
      </c>
      <c r="I728" s="2" t="str">
        <f>_xlfn.XLOOKUP($N728,'Base de Grupos'!$A:$A,'Base de Grupos'!$K:$K)</f>
        <v>REGIONAL VENDA INTERNA - CONVENIENCIA</v>
      </c>
      <c r="J728" s="2" t="str">
        <f>_xlfn.XLOOKUP($N728,'Base de Grupos'!$A:$A,'Base de Grupos'!$L:$L)</f>
        <v>1000174119</v>
      </c>
      <c r="K728" s="5" t="str">
        <f>_xlfn.XLOOKUP($N728,'Base de Grupos'!$A:$A,'Base de Grupos'!$M:$M)</f>
        <v>REGIONAL VENDA INTERNA - CONVENIENCIA</v>
      </c>
      <c r="L728" s="5" t="str">
        <f t="shared" si="317"/>
        <v/>
      </c>
      <c r="M728" s="5" t="str">
        <f>_xlfn.XLOOKUP($N728,'Base de Grupos'!$A:$A,'Base de Grupos'!$C:$C)</f>
        <v>CE</v>
      </c>
      <c r="N728" s="3">
        <v>1504</v>
      </c>
      <c r="O728" s="4" t="s">
        <v>264</v>
      </c>
      <c r="P728" s="5" t="s">
        <v>87</v>
      </c>
      <c r="Q728" s="24">
        <v>0</v>
      </c>
      <c r="R728" s="24">
        <v>4</v>
      </c>
      <c r="S728" s="24">
        <v>4</v>
      </c>
      <c r="T728" s="24">
        <v>0</v>
      </c>
      <c r="U728" s="24">
        <v>0</v>
      </c>
      <c r="V728" s="24">
        <v>0</v>
      </c>
      <c r="W728" s="24">
        <v>0</v>
      </c>
      <c r="X728" s="24">
        <v>0</v>
      </c>
      <c r="Y728" s="24">
        <v>0</v>
      </c>
      <c r="Z728" s="24">
        <v>0</v>
      </c>
      <c r="AA728" s="24">
        <v>0</v>
      </c>
      <c r="AB728" s="24">
        <v>0</v>
      </c>
      <c r="AC728" s="30">
        <f t="shared" si="321"/>
        <v>0</v>
      </c>
      <c r="AD728" s="28"/>
      <c r="AE728" s="12"/>
      <c r="AF728" s="29"/>
      <c r="AG728" s="9"/>
      <c r="AH728" s="10"/>
      <c r="AI728" s="9"/>
      <c r="AJ728" s="11"/>
      <c r="AK728" s="9"/>
      <c r="AL728" s="13"/>
      <c r="AM728" s="9"/>
    </row>
    <row r="729" spans="1:39" x14ac:dyDescent="0.3">
      <c r="A729" s="2" t="str">
        <f t="shared" si="316"/>
        <v>NÃO</v>
      </c>
      <c r="B729" s="2" t="str">
        <f>_xlfn.XLOOKUP($N729,'Base de Grupos'!$A:$A,'Base de Grupos'!$D:$D)</f>
        <v>1000065763</v>
      </c>
      <c r="C729" s="5" t="str">
        <f>_xlfn.XLOOKUP($N729,'Base de Grupos'!$A:$A,'Base de Grupos'!$E:$E)</f>
        <v>CANAL VENDA INTERNA</v>
      </c>
      <c r="D729" s="5" t="str">
        <f>_xlfn.XLOOKUP($N729,'Base de Grupos'!$A:$A,'Base de Grupos'!$F:$F)</f>
        <v>1000065763</v>
      </c>
      <c r="E729" s="2" t="str">
        <f>_xlfn.XLOOKUP($N729,'Base de Grupos'!$A:$A,'Base de Grupos'!$G:$G)</f>
        <v>CANAL VENDA INTERNA</v>
      </c>
      <c r="F729" s="2" t="str">
        <f>_xlfn.XLOOKUP($N729,'Base de Grupos'!$A:$A,'Base de Grupos'!$H:$H)</f>
        <v>1000174119</v>
      </c>
      <c r="G729" s="5" t="str">
        <f>_xlfn.XLOOKUP($N729,'Base de Grupos'!$A:$A,'Base de Grupos'!$I:$I)</f>
        <v>REGIONAL VENDA INTERNA - CONVENIENCIA</v>
      </c>
      <c r="H729" s="5" t="str">
        <f>_xlfn.XLOOKUP($N729,'Base de Grupos'!$A:$A,'Base de Grupos'!$J:$J)</f>
        <v>1000174119</v>
      </c>
      <c r="I729" s="2" t="str">
        <f>_xlfn.XLOOKUP($N729,'Base de Grupos'!$A:$A,'Base de Grupos'!$K:$K)</f>
        <v>REGIONAL VENDA INTERNA - CONVENIENCIA</v>
      </c>
      <c r="J729" s="2" t="str">
        <f>_xlfn.XLOOKUP($N729,'Base de Grupos'!$A:$A,'Base de Grupos'!$L:$L)</f>
        <v>1000174119</v>
      </c>
      <c r="K729" s="5" t="str">
        <f>_xlfn.XLOOKUP($N729,'Base de Grupos'!$A:$A,'Base de Grupos'!$M:$M)</f>
        <v>REGIONAL VENDA INTERNA - CONVENIENCIA</v>
      </c>
      <c r="L729" s="5" t="str">
        <f t="shared" si="317"/>
        <v/>
      </c>
      <c r="M729" s="5" t="str">
        <f>_xlfn.XLOOKUP($N729,'Base de Grupos'!$A:$A,'Base de Grupos'!$C:$C)</f>
        <v>CE</v>
      </c>
      <c r="N729" s="3">
        <v>1504</v>
      </c>
      <c r="O729" s="4" t="s">
        <v>264</v>
      </c>
      <c r="P729" s="5" t="s">
        <v>85</v>
      </c>
      <c r="Q729" s="24">
        <f>SUM(Q730:Q750)</f>
        <v>0</v>
      </c>
      <c r="R729" s="24">
        <f t="shared" ref="R729" si="322">SUM(R730:R750)</f>
        <v>63.4</v>
      </c>
      <c r="S729" s="24">
        <f t="shared" ref="S729" si="323">SUM(S730:S750)</f>
        <v>74</v>
      </c>
      <c r="T729" s="24">
        <f t="shared" ref="T729:AC729" si="324">SUM(T730:T750)</f>
        <v>0</v>
      </c>
      <c r="U729" s="24">
        <f t="shared" si="324"/>
        <v>0</v>
      </c>
      <c r="V729" s="24">
        <f t="shared" si="324"/>
        <v>0</v>
      </c>
      <c r="W729" s="24">
        <f t="shared" si="324"/>
        <v>0</v>
      </c>
      <c r="X729" s="24">
        <f t="shared" si="324"/>
        <v>0</v>
      </c>
      <c r="Y729" s="24">
        <f t="shared" si="324"/>
        <v>0</v>
      </c>
      <c r="Z729" s="24">
        <f t="shared" si="324"/>
        <v>0</v>
      </c>
      <c r="AA729" s="24">
        <f t="shared" si="324"/>
        <v>0</v>
      </c>
      <c r="AB729" s="24">
        <f t="shared" si="324"/>
        <v>0</v>
      </c>
      <c r="AC729" s="24">
        <f t="shared" si="324"/>
        <v>0</v>
      </c>
      <c r="AD729" s="28"/>
      <c r="AE729" s="12"/>
      <c r="AF729" s="29"/>
      <c r="AG729" s="9"/>
      <c r="AH729" s="10"/>
      <c r="AI729" s="9"/>
      <c r="AJ729" s="11"/>
      <c r="AK729" s="9"/>
      <c r="AL729" s="13"/>
      <c r="AM729" s="9"/>
    </row>
    <row r="730" spans="1:39" x14ac:dyDescent="0.3">
      <c r="A730" s="2" t="str">
        <f t="shared" si="316"/>
        <v>NÃO</v>
      </c>
      <c r="B730" s="2" t="str">
        <f>_xlfn.XLOOKUP($N730,'Base de Grupos'!$A:$A,'Base de Grupos'!$D:$D)</f>
        <v>1000065763</v>
      </c>
      <c r="C730" s="5" t="str">
        <f>_xlfn.XLOOKUP($N730,'Base de Grupos'!$A:$A,'Base de Grupos'!$E:$E)</f>
        <v>CANAL VENDA INTERNA</v>
      </c>
      <c r="D730" s="5" t="str">
        <f>_xlfn.XLOOKUP($N730,'Base de Grupos'!$A:$A,'Base de Grupos'!$F:$F)</f>
        <v>1000065763</v>
      </c>
      <c r="E730" s="2" t="str">
        <f>_xlfn.XLOOKUP($N730,'Base de Grupos'!$A:$A,'Base de Grupos'!$G:$G)</f>
        <v>CANAL VENDA INTERNA</v>
      </c>
      <c r="F730" s="2" t="str">
        <f>_xlfn.XLOOKUP($N730,'Base de Grupos'!$A:$A,'Base de Grupos'!$H:$H)</f>
        <v>1000174119</v>
      </c>
      <c r="G730" s="5" t="str">
        <f>_xlfn.XLOOKUP($N730,'Base de Grupos'!$A:$A,'Base de Grupos'!$I:$I)</f>
        <v>REGIONAL VENDA INTERNA - CONVENIENCIA</v>
      </c>
      <c r="H730" s="5" t="str">
        <f>_xlfn.XLOOKUP($N730,'Base de Grupos'!$A:$A,'Base de Grupos'!$J:$J)</f>
        <v>1000174119</v>
      </c>
      <c r="I730" s="2" t="str">
        <f>_xlfn.XLOOKUP($N730,'Base de Grupos'!$A:$A,'Base de Grupos'!$K:$K)</f>
        <v>REGIONAL VENDA INTERNA - CONVENIENCIA</v>
      </c>
      <c r="J730" s="2" t="str">
        <f>_xlfn.XLOOKUP($N730,'Base de Grupos'!$A:$A,'Base de Grupos'!$L:$L)</f>
        <v>1000174119</v>
      </c>
      <c r="K730" s="5" t="str">
        <f>_xlfn.XLOOKUP($N730,'Base de Grupos'!$A:$A,'Base de Grupos'!$M:$M)</f>
        <v>REGIONAL VENDA INTERNA - CONVENIENCIA</v>
      </c>
      <c r="L730" s="5" t="str">
        <f t="shared" si="317"/>
        <v/>
      </c>
      <c r="M730" s="5" t="str">
        <f>_xlfn.XLOOKUP($N730,'Base de Grupos'!$A:$A,'Base de Grupos'!$C:$C)</f>
        <v>CE</v>
      </c>
      <c r="N730" s="3">
        <v>1504</v>
      </c>
      <c r="O730" s="4" t="s">
        <v>264</v>
      </c>
      <c r="P730" s="5" t="s">
        <v>92</v>
      </c>
      <c r="Q730" s="24">
        <v>0</v>
      </c>
      <c r="R730" s="24">
        <v>8</v>
      </c>
      <c r="S730" s="24">
        <v>10</v>
      </c>
      <c r="T730" s="24">
        <v>0</v>
      </c>
      <c r="U730" s="24">
        <v>0</v>
      </c>
      <c r="V730" s="24">
        <v>0</v>
      </c>
      <c r="W730" s="24">
        <v>0</v>
      </c>
      <c r="X730" s="24">
        <v>0</v>
      </c>
      <c r="Y730" s="24">
        <v>0</v>
      </c>
      <c r="Z730" s="24">
        <v>0</v>
      </c>
      <c r="AA730" s="24">
        <v>0</v>
      </c>
      <c r="AB730" s="24">
        <v>0</v>
      </c>
      <c r="AC730" s="30">
        <f t="shared" ref="AC730:AC750" si="325">SUM(T730:AB730)</f>
        <v>0</v>
      </c>
      <c r="AD730" s="28"/>
      <c r="AE730" s="12"/>
      <c r="AF730" s="29"/>
      <c r="AG730" s="9"/>
      <c r="AH730" s="10"/>
      <c r="AI730" s="9"/>
      <c r="AJ730" s="11"/>
      <c r="AK730" s="9"/>
      <c r="AL730" s="13"/>
      <c r="AM730" s="9"/>
    </row>
    <row r="731" spans="1:39" x14ac:dyDescent="0.3">
      <c r="A731" s="2" t="str">
        <f t="shared" si="316"/>
        <v>NÃO</v>
      </c>
      <c r="B731" s="2" t="str">
        <f>_xlfn.XLOOKUP($N731,'Base de Grupos'!$A:$A,'Base de Grupos'!$D:$D)</f>
        <v>1000065763</v>
      </c>
      <c r="C731" s="5" t="str">
        <f>_xlfn.XLOOKUP($N731,'Base de Grupos'!$A:$A,'Base de Grupos'!$E:$E)</f>
        <v>CANAL VENDA INTERNA</v>
      </c>
      <c r="D731" s="5" t="str">
        <f>_xlfn.XLOOKUP($N731,'Base de Grupos'!$A:$A,'Base de Grupos'!$F:$F)</f>
        <v>1000065763</v>
      </c>
      <c r="E731" s="2" t="str">
        <f>_xlfn.XLOOKUP($N731,'Base de Grupos'!$A:$A,'Base de Grupos'!$G:$G)</f>
        <v>CANAL VENDA INTERNA</v>
      </c>
      <c r="F731" s="2" t="str">
        <f>_xlfn.XLOOKUP($N731,'Base de Grupos'!$A:$A,'Base de Grupos'!$H:$H)</f>
        <v>1000174119</v>
      </c>
      <c r="G731" s="5" t="str">
        <f>_xlfn.XLOOKUP($N731,'Base de Grupos'!$A:$A,'Base de Grupos'!$I:$I)</f>
        <v>REGIONAL VENDA INTERNA - CONVENIENCIA</v>
      </c>
      <c r="H731" s="5" t="str">
        <f>_xlfn.XLOOKUP($N731,'Base de Grupos'!$A:$A,'Base de Grupos'!$J:$J)</f>
        <v>1000174119</v>
      </c>
      <c r="I731" s="2" t="str">
        <f>_xlfn.XLOOKUP($N731,'Base de Grupos'!$A:$A,'Base de Grupos'!$K:$K)</f>
        <v>REGIONAL VENDA INTERNA - CONVENIENCIA</v>
      </c>
      <c r="J731" s="2" t="str">
        <f>_xlfn.XLOOKUP($N731,'Base de Grupos'!$A:$A,'Base de Grupos'!$L:$L)</f>
        <v>1000174119</v>
      </c>
      <c r="K731" s="5" t="str">
        <f>_xlfn.XLOOKUP($N731,'Base de Grupos'!$A:$A,'Base de Grupos'!$M:$M)</f>
        <v>REGIONAL VENDA INTERNA - CONVENIENCIA</v>
      </c>
      <c r="L731" s="5" t="str">
        <f t="shared" si="317"/>
        <v/>
      </c>
      <c r="M731" s="5" t="str">
        <f>_xlfn.XLOOKUP($N731,'Base de Grupos'!$A:$A,'Base de Grupos'!$C:$C)</f>
        <v>CE</v>
      </c>
      <c r="N731" s="3">
        <v>1504</v>
      </c>
      <c r="O731" s="4" t="s">
        <v>264</v>
      </c>
      <c r="P731" s="5" t="s">
        <v>86</v>
      </c>
      <c r="Q731" s="24">
        <v>0</v>
      </c>
      <c r="R731" s="24">
        <v>12</v>
      </c>
      <c r="S731" s="24">
        <v>14</v>
      </c>
      <c r="T731" s="24">
        <v>0</v>
      </c>
      <c r="U731" s="24">
        <v>0</v>
      </c>
      <c r="V731" s="24">
        <v>0</v>
      </c>
      <c r="W731" s="24">
        <v>0</v>
      </c>
      <c r="X731" s="24">
        <v>0</v>
      </c>
      <c r="Y731" s="24">
        <v>0</v>
      </c>
      <c r="Z731" s="24">
        <v>0</v>
      </c>
      <c r="AA731" s="24">
        <v>0</v>
      </c>
      <c r="AB731" s="24">
        <v>0</v>
      </c>
      <c r="AC731" s="30">
        <f t="shared" si="325"/>
        <v>0</v>
      </c>
      <c r="AD731" s="28"/>
      <c r="AE731" s="12"/>
      <c r="AF731" s="29"/>
      <c r="AG731" s="9"/>
      <c r="AH731" s="10"/>
      <c r="AI731" s="9"/>
      <c r="AJ731" s="11"/>
      <c r="AK731" s="9"/>
      <c r="AL731" s="13"/>
      <c r="AM731" s="9"/>
    </row>
    <row r="732" spans="1:39" x14ac:dyDescent="0.3">
      <c r="A732" s="2" t="str">
        <f t="shared" si="316"/>
        <v>NÃO</v>
      </c>
      <c r="B732" s="2" t="str">
        <f>_xlfn.XLOOKUP($N732,'Base de Grupos'!$A:$A,'Base de Grupos'!$D:$D)</f>
        <v>1000065763</v>
      </c>
      <c r="C732" s="5" t="str">
        <f>_xlfn.XLOOKUP($N732,'Base de Grupos'!$A:$A,'Base de Grupos'!$E:$E)</f>
        <v>CANAL VENDA INTERNA</v>
      </c>
      <c r="D732" s="5" t="str">
        <f>_xlfn.XLOOKUP($N732,'Base de Grupos'!$A:$A,'Base de Grupos'!$F:$F)</f>
        <v>1000065763</v>
      </c>
      <c r="E732" s="2" t="str">
        <f>_xlfn.XLOOKUP($N732,'Base de Grupos'!$A:$A,'Base de Grupos'!$G:$G)</f>
        <v>CANAL VENDA INTERNA</v>
      </c>
      <c r="F732" s="2" t="str">
        <f>_xlfn.XLOOKUP($N732,'Base de Grupos'!$A:$A,'Base de Grupos'!$H:$H)</f>
        <v>1000174119</v>
      </c>
      <c r="G732" s="5" t="str">
        <f>_xlfn.XLOOKUP($N732,'Base de Grupos'!$A:$A,'Base de Grupos'!$I:$I)</f>
        <v>REGIONAL VENDA INTERNA - CONVENIENCIA</v>
      </c>
      <c r="H732" s="5" t="str">
        <f>_xlfn.XLOOKUP($N732,'Base de Grupos'!$A:$A,'Base de Grupos'!$J:$J)</f>
        <v>1000174119</v>
      </c>
      <c r="I732" s="2" t="str">
        <f>_xlfn.XLOOKUP($N732,'Base de Grupos'!$A:$A,'Base de Grupos'!$K:$K)</f>
        <v>REGIONAL VENDA INTERNA - CONVENIENCIA</v>
      </c>
      <c r="J732" s="2" t="str">
        <f>_xlfn.XLOOKUP($N732,'Base de Grupos'!$A:$A,'Base de Grupos'!$L:$L)</f>
        <v>1000174119</v>
      </c>
      <c r="K732" s="5" t="str">
        <f>_xlfn.XLOOKUP($N732,'Base de Grupos'!$A:$A,'Base de Grupos'!$M:$M)</f>
        <v>REGIONAL VENDA INTERNA - CONVENIENCIA</v>
      </c>
      <c r="L732" s="5" t="str">
        <f t="shared" si="317"/>
        <v/>
      </c>
      <c r="M732" s="5" t="str">
        <f>_xlfn.XLOOKUP($N732,'Base de Grupos'!$A:$A,'Base de Grupos'!$C:$C)</f>
        <v>CE</v>
      </c>
      <c r="N732" s="3">
        <v>1504</v>
      </c>
      <c r="O732" s="4" t="s">
        <v>264</v>
      </c>
      <c r="P732" s="5" t="s">
        <v>108</v>
      </c>
      <c r="Q732" s="24">
        <v>0</v>
      </c>
      <c r="R732" s="24">
        <v>4</v>
      </c>
      <c r="S732" s="24">
        <v>5</v>
      </c>
      <c r="T732" s="24">
        <v>0</v>
      </c>
      <c r="U732" s="24">
        <v>0</v>
      </c>
      <c r="V732" s="24">
        <v>0</v>
      </c>
      <c r="W732" s="24">
        <v>0</v>
      </c>
      <c r="X732" s="24">
        <v>0</v>
      </c>
      <c r="Y732" s="24">
        <v>0</v>
      </c>
      <c r="Z732" s="24">
        <v>0</v>
      </c>
      <c r="AA732" s="24">
        <v>0</v>
      </c>
      <c r="AB732" s="24">
        <v>0</v>
      </c>
      <c r="AC732" s="30">
        <f t="shared" si="325"/>
        <v>0</v>
      </c>
      <c r="AD732" s="28"/>
      <c r="AE732" s="12"/>
      <c r="AF732" s="29"/>
      <c r="AG732" s="9"/>
      <c r="AH732" s="10"/>
      <c r="AI732" s="9"/>
      <c r="AJ732" s="11"/>
      <c r="AK732" s="9"/>
      <c r="AL732" s="13"/>
      <c r="AM732" s="9"/>
    </row>
    <row r="733" spans="1:39" x14ac:dyDescent="0.3">
      <c r="A733" s="2" t="str">
        <f t="shared" si="316"/>
        <v>NÃO</v>
      </c>
      <c r="B733" s="2" t="str">
        <f>_xlfn.XLOOKUP($N733,'Base de Grupos'!$A:$A,'Base de Grupos'!$D:$D)</f>
        <v>1000065763</v>
      </c>
      <c r="C733" s="5" t="str">
        <f>_xlfn.XLOOKUP($N733,'Base de Grupos'!$A:$A,'Base de Grupos'!$E:$E)</f>
        <v>CANAL VENDA INTERNA</v>
      </c>
      <c r="D733" s="5" t="str">
        <f>_xlfn.XLOOKUP($N733,'Base de Grupos'!$A:$A,'Base de Grupos'!$F:$F)</f>
        <v>1000065763</v>
      </c>
      <c r="E733" s="2" t="str">
        <f>_xlfn.XLOOKUP($N733,'Base de Grupos'!$A:$A,'Base de Grupos'!$G:$G)</f>
        <v>CANAL VENDA INTERNA</v>
      </c>
      <c r="F733" s="2" t="str">
        <f>_xlfn.XLOOKUP($N733,'Base de Grupos'!$A:$A,'Base de Grupos'!$H:$H)</f>
        <v>1000174119</v>
      </c>
      <c r="G733" s="5" t="str">
        <f>_xlfn.XLOOKUP($N733,'Base de Grupos'!$A:$A,'Base de Grupos'!$I:$I)</f>
        <v>REGIONAL VENDA INTERNA - CONVENIENCIA</v>
      </c>
      <c r="H733" s="5" t="str">
        <f>_xlfn.XLOOKUP($N733,'Base de Grupos'!$A:$A,'Base de Grupos'!$J:$J)</f>
        <v>1000174119</v>
      </c>
      <c r="I733" s="2" t="str">
        <f>_xlfn.XLOOKUP($N733,'Base de Grupos'!$A:$A,'Base de Grupos'!$K:$K)</f>
        <v>REGIONAL VENDA INTERNA - CONVENIENCIA</v>
      </c>
      <c r="J733" s="2" t="str">
        <f>_xlfn.XLOOKUP($N733,'Base de Grupos'!$A:$A,'Base de Grupos'!$L:$L)</f>
        <v>1000174119</v>
      </c>
      <c r="K733" s="5" t="str">
        <f>_xlfn.XLOOKUP($N733,'Base de Grupos'!$A:$A,'Base de Grupos'!$M:$M)</f>
        <v>REGIONAL VENDA INTERNA - CONVENIENCIA</v>
      </c>
      <c r="L733" s="5" t="str">
        <f t="shared" si="317"/>
        <v/>
      </c>
      <c r="M733" s="5" t="str">
        <f>_xlfn.XLOOKUP($N733,'Base de Grupos'!$A:$A,'Base de Grupos'!$C:$C)</f>
        <v>CE</v>
      </c>
      <c r="N733" s="3">
        <v>1504</v>
      </c>
      <c r="O733" s="4" t="s">
        <v>264</v>
      </c>
      <c r="P733" s="5" t="s">
        <v>89</v>
      </c>
      <c r="Q733" s="24">
        <v>0</v>
      </c>
      <c r="R733" s="24">
        <v>4</v>
      </c>
      <c r="S733" s="24">
        <v>4</v>
      </c>
      <c r="T733" s="24">
        <v>0</v>
      </c>
      <c r="U733" s="24">
        <v>0</v>
      </c>
      <c r="V733" s="24">
        <v>0</v>
      </c>
      <c r="W733" s="24">
        <v>0</v>
      </c>
      <c r="X733" s="24">
        <v>0</v>
      </c>
      <c r="Y733" s="24">
        <v>0</v>
      </c>
      <c r="Z733" s="24">
        <v>0</v>
      </c>
      <c r="AA733" s="24">
        <v>0</v>
      </c>
      <c r="AB733" s="24">
        <v>0</v>
      </c>
      <c r="AC733" s="30">
        <f t="shared" si="325"/>
        <v>0</v>
      </c>
      <c r="AD733" s="28"/>
      <c r="AE733" s="12"/>
      <c r="AF733" s="29"/>
      <c r="AG733" s="9"/>
      <c r="AH733" s="10"/>
      <c r="AI733" s="9"/>
      <c r="AJ733" s="11"/>
      <c r="AK733" s="9"/>
      <c r="AL733" s="13"/>
      <c r="AM733" s="9"/>
    </row>
    <row r="734" spans="1:39" x14ac:dyDescent="0.3">
      <c r="A734" s="2" t="str">
        <f t="shared" si="316"/>
        <v>NÃO</v>
      </c>
      <c r="B734" s="2" t="str">
        <f>_xlfn.XLOOKUP($N734,'Base de Grupos'!$A:$A,'Base de Grupos'!$D:$D)</f>
        <v>1000065763</v>
      </c>
      <c r="C734" s="5" t="str">
        <f>_xlfn.XLOOKUP($N734,'Base de Grupos'!$A:$A,'Base de Grupos'!$E:$E)</f>
        <v>CANAL VENDA INTERNA</v>
      </c>
      <c r="D734" s="5" t="str">
        <f>_xlfn.XLOOKUP($N734,'Base de Grupos'!$A:$A,'Base de Grupos'!$F:$F)</f>
        <v>1000065763</v>
      </c>
      <c r="E734" s="2" t="str">
        <f>_xlfn.XLOOKUP($N734,'Base de Grupos'!$A:$A,'Base de Grupos'!$G:$G)</f>
        <v>CANAL VENDA INTERNA</v>
      </c>
      <c r="F734" s="2" t="str">
        <f>_xlfn.XLOOKUP($N734,'Base de Grupos'!$A:$A,'Base de Grupos'!$H:$H)</f>
        <v>1000174119</v>
      </c>
      <c r="G734" s="5" t="str">
        <f>_xlfn.XLOOKUP($N734,'Base de Grupos'!$A:$A,'Base de Grupos'!$I:$I)</f>
        <v>REGIONAL VENDA INTERNA - CONVENIENCIA</v>
      </c>
      <c r="H734" s="5" t="str">
        <f>_xlfn.XLOOKUP($N734,'Base de Grupos'!$A:$A,'Base de Grupos'!$J:$J)</f>
        <v>1000174119</v>
      </c>
      <c r="I734" s="2" t="str">
        <f>_xlfn.XLOOKUP($N734,'Base de Grupos'!$A:$A,'Base de Grupos'!$K:$K)</f>
        <v>REGIONAL VENDA INTERNA - CONVENIENCIA</v>
      </c>
      <c r="J734" s="2" t="str">
        <f>_xlfn.XLOOKUP($N734,'Base de Grupos'!$A:$A,'Base de Grupos'!$L:$L)</f>
        <v>1000174119</v>
      </c>
      <c r="K734" s="5" t="str">
        <f>_xlfn.XLOOKUP($N734,'Base de Grupos'!$A:$A,'Base de Grupos'!$M:$M)</f>
        <v>REGIONAL VENDA INTERNA - CONVENIENCIA</v>
      </c>
      <c r="L734" s="5" t="str">
        <f t="shared" si="317"/>
        <v/>
      </c>
      <c r="M734" s="5" t="str">
        <f>_xlfn.XLOOKUP($N734,'Base de Grupos'!$A:$A,'Base de Grupos'!$C:$C)</f>
        <v>CE</v>
      </c>
      <c r="N734" s="3">
        <v>1504</v>
      </c>
      <c r="O734" s="4" t="s">
        <v>264</v>
      </c>
      <c r="P734" s="5" t="s">
        <v>88</v>
      </c>
      <c r="Q734" s="24">
        <v>0</v>
      </c>
      <c r="R734" s="24">
        <v>1</v>
      </c>
      <c r="S734" s="24">
        <v>2</v>
      </c>
      <c r="T734" s="24">
        <v>0</v>
      </c>
      <c r="U734" s="24">
        <v>0</v>
      </c>
      <c r="V734" s="24">
        <v>0</v>
      </c>
      <c r="W734" s="24">
        <v>0</v>
      </c>
      <c r="X734" s="24">
        <v>0</v>
      </c>
      <c r="Y734" s="24">
        <v>0</v>
      </c>
      <c r="Z734" s="24">
        <v>0</v>
      </c>
      <c r="AA734" s="24">
        <v>0</v>
      </c>
      <c r="AB734" s="24">
        <v>0</v>
      </c>
      <c r="AC734" s="30">
        <f t="shared" si="325"/>
        <v>0</v>
      </c>
      <c r="AD734" s="28"/>
      <c r="AE734" s="12"/>
      <c r="AF734" s="29"/>
      <c r="AG734" s="9"/>
      <c r="AH734" s="10"/>
      <c r="AI734" s="9"/>
      <c r="AJ734" s="11"/>
      <c r="AK734" s="9"/>
      <c r="AL734" s="13"/>
      <c r="AM734" s="9"/>
    </row>
    <row r="735" spans="1:39" x14ac:dyDescent="0.3">
      <c r="A735" s="2" t="str">
        <f t="shared" si="316"/>
        <v>NÃO</v>
      </c>
      <c r="B735" s="2" t="str">
        <f>_xlfn.XLOOKUP($N735,'Base de Grupos'!$A:$A,'Base de Grupos'!$D:$D)</f>
        <v>1000065763</v>
      </c>
      <c r="C735" s="5" t="str">
        <f>_xlfn.XLOOKUP($N735,'Base de Grupos'!$A:$A,'Base de Grupos'!$E:$E)</f>
        <v>CANAL VENDA INTERNA</v>
      </c>
      <c r="D735" s="5" t="str">
        <f>_xlfn.XLOOKUP($N735,'Base de Grupos'!$A:$A,'Base de Grupos'!$F:$F)</f>
        <v>1000065763</v>
      </c>
      <c r="E735" s="2" t="str">
        <f>_xlfn.XLOOKUP($N735,'Base de Grupos'!$A:$A,'Base de Grupos'!$G:$G)</f>
        <v>CANAL VENDA INTERNA</v>
      </c>
      <c r="F735" s="2" t="str">
        <f>_xlfn.XLOOKUP($N735,'Base de Grupos'!$A:$A,'Base de Grupos'!$H:$H)</f>
        <v>1000174119</v>
      </c>
      <c r="G735" s="5" t="str">
        <f>_xlfn.XLOOKUP($N735,'Base de Grupos'!$A:$A,'Base de Grupos'!$I:$I)</f>
        <v>REGIONAL VENDA INTERNA - CONVENIENCIA</v>
      </c>
      <c r="H735" s="5" t="str">
        <f>_xlfn.XLOOKUP($N735,'Base de Grupos'!$A:$A,'Base de Grupos'!$J:$J)</f>
        <v>1000174119</v>
      </c>
      <c r="I735" s="2" t="str">
        <f>_xlfn.XLOOKUP($N735,'Base de Grupos'!$A:$A,'Base de Grupos'!$K:$K)</f>
        <v>REGIONAL VENDA INTERNA - CONVENIENCIA</v>
      </c>
      <c r="J735" s="2" t="str">
        <f>_xlfn.XLOOKUP($N735,'Base de Grupos'!$A:$A,'Base de Grupos'!$L:$L)</f>
        <v>1000174119</v>
      </c>
      <c r="K735" s="5" t="str">
        <f>_xlfn.XLOOKUP($N735,'Base de Grupos'!$A:$A,'Base de Grupos'!$M:$M)</f>
        <v>REGIONAL VENDA INTERNA - CONVENIENCIA</v>
      </c>
      <c r="L735" s="5" t="str">
        <f t="shared" si="317"/>
        <v/>
      </c>
      <c r="M735" s="5" t="str">
        <f>_xlfn.XLOOKUP($N735,'Base de Grupos'!$A:$A,'Base de Grupos'!$C:$C)</f>
        <v>CE</v>
      </c>
      <c r="N735" s="3">
        <v>1504</v>
      </c>
      <c r="O735" s="4" t="s">
        <v>264</v>
      </c>
      <c r="P735" s="5" t="s">
        <v>90</v>
      </c>
      <c r="Q735" s="24">
        <v>0</v>
      </c>
      <c r="R735" s="24">
        <v>3</v>
      </c>
      <c r="S735" s="24">
        <v>4</v>
      </c>
      <c r="T735" s="24">
        <v>0</v>
      </c>
      <c r="U735" s="24">
        <v>0</v>
      </c>
      <c r="V735" s="24">
        <v>0</v>
      </c>
      <c r="W735" s="24">
        <v>0</v>
      </c>
      <c r="X735" s="24">
        <v>0</v>
      </c>
      <c r="Y735" s="24">
        <v>0</v>
      </c>
      <c r="Z735" s="24">
        <v>0</v>
      </c>
      <c r="AA735" s="24">
        <v>0</v>
      </c>
      <c r="AB735" s="24">
        <v>0</v>
      </c>
      <c r="AC735" s="30">
        <f t="shared" si="325"/>
        <v>0</v>
      </c>
      <c r="AD735" s="28"/>
      <c r="AE735" s="12"/>
      <c r="AF735" s="29"/>
      <c r="AG735" s="9"/>
      <c r="AH735" s="10"/>
      <c r="AI735" s="9"/>
      <c r="AJ735" s="11"/>
      <c r="AK735" s="9"/>
      <c r="AL735" s="13"/>
      <c r="AM735" s="9"/>
    </row>
    <row r="736" spans="1:39" x14ac:dyDescent="0.3">
      <c r="A736" s="2" t="str">
        <f t="shared" si="316"/>
        <v>NÃO</v>
      </c>
      <c r="B736" s="2" t="str">
        <f>_xlfn.XLOOKUP($N736,'Base de Grupos'!$A:$A,'Base de Grupos'!$D:$D)</f>
        <v>1000065763</v>
      </c>
      <c r="C736" s="5" t="str">
        <f>_xlfn.XLOOKUP($N736,'Base de Grupos'!$A:$A,'Base de Grupos'!$E:$E)</f>
        <v>CANAL VENDA INTERNA</v>
      </c>
      <c r="D736" s="5" t="str">
        <f>_xlfn.XLOOKUP($N736,'Base de Grupos'!$A:$A,'Base de Grupos'!$F:$F)</f>
        <v>1000065763</v>
      </c>
      <c r="E736" s="2" t="str">
        <f>_xlfn.XLOOKUP($N736,'Base de Grupos'!$A:$A,'Base de Grupos'!$G:$G)</f>
        <v>CANAL VENDA INTERNA</v>
      </c>
      <c r="F736" s="2" t="str">
        <f>_xlfn.XLOOKUP($N736,'Base de Grupos'!$A:$A,'Base de Grupos'!$H:$H)</f>
        <v>1000174119</v>
      </c>
      <c r="G736" s="5" t="str">
        <f>_xlfn.XLOOKUP($N736,'Base de Grupos'!$A:$A,'Base de Grupos'!$I:$I)</f>
        <v>REGIONAL VENDA INTERNA - CONVENIENCIA</v>
      </c>
      <c r="H736" s="5" t="str">
        <f>_xlfn.XLOOKUP($N736,'Base de Grupos'!$A:$A,'Base de Grupos'!$J:$J)</f>
        <v>1000174119</v>
      </c>
      <c r="I736" s="2" t="str">
        <f>_xlfn.XLOOKUP($N736,'Base de Grupos'!$A:$A,'Base de Grupos'!$K:$K)</f>
        <v>REGIONAL VENDA INTERNA - CONVENIENCIA</v>
      </c>
      <c r="J736" s="2" t="str">
        <f>_xlfn.XLOOKUP($N736,'Base de Grupos'!$A:$A,'Base de Grupos'!$L:$L)</f>
        <v>1000174119</v>
      </c>
      <c r="K736" s="5" t="str">
        <f>_xlfn.XLOOKUP($N736,'Base de Grupos'!$A:$A,'Base de Grupos'!$M:$M)</f>
        <v>REGIONAL VENDA INTERNA - CONVENIENCIA</v>
      </c>
      <c r="L736" s="5" t="str">
        <f t="shared" si="317"/>
        <v/>
      </c>
      <c r="M736" s="5" t="str">
        <f>_xlfn.XLOOKUP($N736,'Base de Grupos'!$A:$A,'Base de Grupos'!$C:$C)</f>
        <v>CE</v>
      </c>
      <c r="N736" s="3">
        <v>1504</v>
      </c>
      <c r="O736" s="4" t="s">
        <v>264</v>
      </c>
      <c r="P736" s="5" t="s">
        <v>91</v>
      </c>
      <c r="Q736" s="24">
        <v>0</v>
      </c>
      <c r="R736" s="24">
        <v>2</v>
      </c>
      <c r="S736" s="24">
        <v>2</v>
      </c>
      <c r="T736" s="24">
        <v>0</v>
      </c>
      <c r="U736" s="24">
        <v>0</v>
      </c>
      <c r="V736" s="24">
        <v>0</v>
      </c>
      <c r="W736" s="24">
        <v>0</v>
      </c>
      <c r="X736" s="24">
        <v>0</v>
      </c>
      <c r="Y736" s="24">
        <v>0</v>
      </c>
      <c r="Z736" s="24">
        <v>0</v>
      </c>
      <c r="AA736" s="24">
        <v>0</v>
      </c>
      <c r="AB736" s="24">
        <v>0</v>
      </c>
      <c r="AC736" s="30">
        <f t="shared" si="325"/>
        <v>0</v>
      </c>
      <c r="AD736" s="28"/>
      <c r="AE736" s="12"/>
      <c r="AF736" s="29"/>
      <c r="AG736" s="9"/>
      <c r="AH736" s="10"/>
      <c r="AI736" s="9"/>
      <c r="AJ736" s="11"/>
      <c r="AK736" s="9"/>
      <c r="AL736" s="13"/>
      <c r="AM736" s="9"/>
    </row>
    <row r="737" spans="1:39" x14ac:dyDescent="0.3">
      <c r="A737" s="2" t="str">
        <f t="shared" si="316"/>
        <v>NÃO</v>
      </c>
      <c r="B737" s="2" t="str">
        <f>_xlfn.XLOOKUP($N737,'Base de Grupos'!$A:$A,'Base de Grupos'!$D:$D)</f>
        <v>1000065763</v>
      </c>
      <c r="C737" s="5" t="str">
        <f>_xlfn.XLOOKUP($N737,'Base de Grupos'!$A:$A,'Base de Grupos'!$E:$E)</f>
        <v>CANAL VENDA INTERNA</v>
      </c>
      <c r="D737" s="5" t="str">
        <f>_xlfn.XLOOKUP($N737,'Base de Grupos'!$A:$A,'Base de Grupos'!$F:$F)</f>
        <v>1000065763</v>
      </c>
      <c r="E737" s="2" t="str">
        <f>_xlfn.XLOOKUP($N737,'Base de Grupos'!$A:$A,'Base de Grupos'!$G:$G)</f>
        <v>CANAL VENDA INTERNA</v>
      </c>
      <c r="F737" s="2" t="str">
        <f>_xlfn.XLOOKUP($N737,'Base de Grupos'!$A:$A,'Base de Grupos'!$H:$H)</f>
        <v>1000174119</v>
      </c>
      <c r="G737" s="5" t="str">
        <f>_xlfn.XLOOKUP($N737,'Base de Grupos'!$A:$A,'Base de Grupos'!$I:$I)</f>
        <v>REGIONAL VENDA INTERNA - CONVENIENCIA</v>
      </c>
      <c r="H737" s="5" t="str">
        <f>_xlfn.XLOOKUP($N737,'Base de Grupos'!$A:$A,'Base de Grupos'!$J:$J)</f>
        <v>1000174119</v>
      </c>
      <c r="I737" s="2" t="str">
        <f>_xlfn.XLOOKUP($N737,'Base de Grupos'!$A:$A,'Base de Grupos'!$K:$K)</f>
        <v>REGIONAL VENDA INTERNA - CONVENIENCIA</v>
      </c>
      <c r="J737" s="2" t="str">
        <f>_xlfn.XLOOKUP($N737,'Base de Grupos'!$A:$A,'Base de Grupos'!$L:$L)</f>
        <v>1000174119</v>
      </c>
      <c r="K737" s="5" t="str">
        <f>_xlfn.XLOOKUP($N737,'Base de Grupos'!$A:$A,'Base de Grupos'!$M:$M)</f>
        <v>REGIONAL VENDA INTERNA - CONVENIENCIA</v>
      </c>
      <c r="L737" s="5" t="str">
        <f t="shared" si="317"/>
        <v/>
      </c>
      <c r="M737" s="5" t="str">
        <f>_xlfn.XLOOKUP($N737,'Base de Grupos'!$A:$A,'Base de Grupos'!$C:$C)</f>
        <v>CE</v>
      </c>
      <c r="N737" s="3">
        <v>1504</v>
      </c>
      <c r="O737" s="4" t="s">
        <v>264</v>
      </c>
      <c r="P737" s="5" t="s">
        <v>96</v>
      </c>
      <c r="Q737" s="24">
        <v>0</v>
      </c>
      <c r="R737" s="24">
        <v>1</v>
      </c>
      <c r="S737" s="24">
        <v>2</v>
      </c>
      <c r="T737" s="24">
        <v>0</v>
      </c>
      <c r="U737" s="24">
        <v>0</v>
      </c>
      <c r="V737" s="24">
        <v>0</v>
      </c>
      <c r="W737" s="24">
        <v>0</v>
      </c>
      <c r="X737" s="24">
        <v>0</v>
      </c>
      <c r="Y737" s="24">
        <v>0</v>
      </c>
      <c r="Z737" s="24">
        <v>0</v>
      </c>
      <c r="AA737" s="24">
        <v>0</v>
      </c>
      <c r="AB737" s="24">
        <v>0</v>
      </c>
      <c r="AC737" s="30">
        <f t="shared" si="325"/>
        <v>0</v>
      </c>
      <c r="AD737" s="28"/>
      <c r="AE737" s="12"/>
      <c r="AF737" s="29"/>
      <c r="AG737" s="9"/>
      <c r="AH737" s="10"/>
      <c r="AI737" s="9"/>
      <c r="AJ737" s="11"/>
      <c r="AK737" s="9"/>
      <c r="AL737" s="13"/>
      <c r="AM737" s="9"/>
    </row>
    <row r="738" spans="1:39" x14ac:dyDescent="0.3">
      <c r="A738" s="2" t="str">
        <f t="shared" si="316"/>
        <v>NÃO</v>
      </c>
      <c r="B738" s="2" t="str">
        <f>_xlfn.XLOOKUP($N738,'Base de Grupos'!$A:$A,'Base de Grupos'!$D:$D)</f>
        <v>1000065763</v>
      </c>
      <c r="C738" s="5" t="str">
        <f>_xlfn.XLOOKUP($N738,'Base de Grupos'!$A:$A,'Base de Grupos'!$E:$E)</f>
        <v>CANAL VENDA INTERNA</v>
      </c>
      <c r="D738" s="5" t="str">
        <f>_xlfn.XLOOKUP($N738,'Base de Grupos'!$A:$A,'Base de Grupos'!$F:$F)</f>
        <v>1000065763</v>
      </c>
      <c r="E738" s="2" t="str">
        <f>_xlfn.XLOOKUP($N738,'Base de Grupos'!$A:$A,'Base de Grupos'!$G:$G)</f>
        <v>CANAL VENDA INTERNA</v>
      </c>
      <c r="F738" s="2" t="str">
        <f>_xlfn.XLOOKUP($N738,'Base de Grupos'!$A:$A,'Base de Grupos'!$H:$H)</f>
        <v>1000174119</v>
      </c>
      <c r="G738" s="5" t="str">
        <f>_xlfn.XLOOKUP($N738,'Base de Grupos'!$A:$A,'Base de Grupos'!$I:$I)</f>
        <v>REGIONAL VENDA INTERNA - CONVENIENCIA</v>
      </c>
      <c r="H738" s="5" t="str">
        <f>_xlfn.XLOOKUP($N738,'Base de Grupos'!$A:$A,'Base de Grupos'!$J:$J)</f>
        <v>1000174119</v>
      </c>
      <c r="I738" s="2" t="str">
        <f>_xlfn.XLOOKUP($N738,'Base de Grupos'!$A:$A,'Base de Grupos'!$K:$K)</f>
        <v>REGIONAL VENDA INTERNA - CONVENIENCIA</v>
      </c>
      <c r="J738" s="2" t="str">
        <f>_xlfn.XLOOKUP($N738,'Base de Grupos'!$A:$A,'Base de Grupos'!$L:$L)</f>
        <v>1000174119</v>
      </c>
      <c r="K738" s="5" t="str">
        <f>_xlfn.XLOOKUP($N738,'Base de Grupos'!$A:$A,'Base de Grupos'!$M:$M)</f>
        <v>REGIONAL VENDA INTERNA - CONVENIENCIA</v>
      </c>
      <c r="L738" s="5" t="str">
        <f t="shared" si="317"/>
        <v/>
      </c>
      <c r="M738" s="5" t="str">
        <f>_xlfn.XLOOKUP($N738,'Base de Grupos'!$A:$A,'Base de Grupos'!$C:$C)</f>
        <v>CE</v>
      </c>
      <c r="N738" s="3">
        <v>1504</v>
      </c>
      <c r="O738" s="4" t="s">
        <v>264</v>
      </c>
      <c r="P738" s="5" t="s">
        <v>94</v>
      </c>
      <c r="Q738" s="24">
        <v>0</v>
      </c>
      <c r="R738" s="24">
        <v>6</v>
      </c>
      <c r="S738" s="24">
        <v>7</v>
      </c>
      <c r="T738" s="24">
        <v>0</v>
      </c>
      <c r="U738" s="24">
        <v>0</v>
      </c>
      <c r="V738" s="24">
        <v>0</v>
      </c>
      <c r="W738" s="24">
        <v>0</v>
      </c>
      <c r="X738" s="24">
        <v>0</v>
      </c>
      <c r="Y738" s="24">
        <v>0</v>
      </c>
      <c r="Z738" s="24">
        <v>0</v>
      </c>
      <c r="AA738" s="24">
        <v>0</v>
      </c>
      <c r="AB738" s="24">
        <v>0</v>
      </c>
      <c r="AC738" s="30">
        <f t="shared" si="325"/>
        <v>0</v>
      </c>
      <c r="AD738" s="28"/>
      <c r="AE738" s="12"/>
      <c r="AF738" s="29"/>
      <c r="AG738" s="9"/>
      <c r="AH738" s="10"/>
      <c r="AI738" s="9"/>
      <c r="AJ738" s="11"/>
      <c r="AK738" s="9"/>
      <c r="AL738" s="13"/>
      <c r="AM738" s="9"/>
    </row>
    <row r="739" spans="1:39" x14ac:dyDescent="0.3">
      <c r="A739" s="2" t="str">
        <f t="shared" si="316"/>
        <v>NÃO</v>
      </c>
      <c r="B739" s="2" t="str">
        <f>_xlfn.XLOOKUP($N739,'Base de Grupos'!$A:$A,'Base de Grupos'!$D:$D)</f>
        <v>1000065763</v>
      </c>
      <c r="C739" s="5" t="str">
        <f>_xlfn.XLOOKUP($N739,'Base de Grupos'!$A:$A,'Base de Grupos'!$E:$E)</f>
        <v>CANAL VENDA INTERNA</v>
      </c>
      <c r="D739" s="5" t="str">
        <f>_xlfn.XLOOKUP($N739,'Base de Grupos'!$A:$A,'Base de Grupos'!$F:$F)</f>
        <v>1000065763</v>
      </c>
      <c r="E739" s="2" t="str">
        <f>_xlfn.XLOOKUP($N739,'Base de Grupos'!$A:$A,'Base de Grupos'!$G:$G)</f>
        <v>CANAL VENDA INTERNA</v>
      </c>
      <c r="F739" s="2" t="str">
        <f>_xlfn.XLOOKUP($N739,'Base de Grupos'!$A:$A,'Base de Grupos'!$H:$H)</f>
        <v>1000174119</v>
      </c>
      <c r="G739" s="5" t="str">
        <f>_xlfn.XLOOKUP($N739,'Base de Grupos'!$A:$A,'Base de Grupos'!$I:$I)</f>
        <v>REGIONAL VENDA INTERNA - CONVENIENCIA</v>
      </c>
      <c r="H739" s="5" t="str">
        <f>_xlfn.XLOOKUP($N739,'Base de Grupos'!$A:$A,'Base de Grupos'!$J:$J)</f>
        <v>1000174119</v>
      </c>
      <c r="I739" s="2" t="str">
        <f>_xlfn.XLOOKUP($N739,'Base de Grupos'!$A:$A,'Base de Grupos'!$K:$K)</f>
        <v>REGIONAL VENDA INTERNA - CONVENIENCIA</v>
      </c>
      <c r="J739" s="2" t="str">
        <f>_xlfn.XLOOKUP($N739,'Base de Grupos'!$A:$A,'Base de Grupos'!$L:$L)</f>
        <v>1000174119</v>
      </c>
      <c r="K739" s="5" t="str">
        <f>_xlfn.XLOOKUP($N739,'Base de Grupos'!$A:$A,'Base de Grupos'!$M:$M)</f>
        <v>REGIONAL VENDA INTERNA - CONVENIENCIA</v>
      </c>
      <c r="L739" s="5" t="str">
        <f t="shared" si="317"/>
        <v/>
      </c>
      <c r="M739" s="5" t="str">
        <f>_xlfn.XLOOKUP($N739,'Base de Grupos'!$A:$A,'Base de Grupos'!$C:$C)</f>
        <v>CE</v>
      </c>
      <c r="N739" s="3">
        <v>1504</v>
      </c>
      <c r="O739" s="4" t="s">
        <v>264</v>
      </c>
      <c r="P739" s="5" t="s">
        <v>95</v>
      </c>
      <c r="Q739" s="24">
        <v>0</v>
      </c>
      <c r="R739" s="24">
        <v>0</v>
      </c>
      <c r="S739" s="24">
        <v>0</v>
      </c>
      <c r="T739" s="24">
        <v>0</v>
      </c>
      <c r="U739" s="24">
        <v>0</v>
      </c>
      <c r="V739" s="24">
        <v>0</v>
      </c>
      <c r="W739" s="24">
        <v>0</v>
      </c>
      <c r="X739" s="24">
        <v>0</v>
      </c>
      <c r="Y739" s="24">
        <v>0</v>
      </c>
      <c r="Z739" s="24">
        <v>0</v>
      </c>
      <c r="AA739" s="24">
        <v>0</v>
      </c>
      <c r="AB739" s="24">
        <v>0</v>
      </c>
      <c r="AC739" s="30">
        <f t="shared" si="325"/>
        <v>0</v>
      </c>
      <c r="AD739" s="28"/>
      <c r="AE739" s="12"/>
      <c r="AF739" s="29"/>
      <c r="AG739" s="9"/>
      <c r="AH739" s="10"/>
      <c r="AI739" s="9"/>
      <c r="AJ739" s="11"/>
      <c r="AK739" s="9"/>
      <c r="AL739" s="13"/>
      <c r="AM739" s="9"/>
    </row>
    <row r="740" spans="1:39" x14ac:dyDescent="0.3">
      <c r="A740" s="2" t="str">
        <f t="shared" si="316"/>
        <v>NÃO</v>
      </c>
      <c r="B740" s="2" t="str">
        <f>_xlfn.XLOOKUP($N740,'Base de Grupos'!$A:$A,'Base de Grupos'!$D:$D)</f>
        <v>1000065763</v>
      </c>
      <c r="C740" s="5" t="str">
        <f>_xlfn.XLOOKUP($N740,'Base de Grupos'!$A:$A,'Base de Grupos'!$E:$E)</f>
        <v>CANAL VENDA INTERNA</v>
      </c>
      <c r="D740" s="5" t="str">
        <f>_xlfn.XLOOKUP($N740,'Base de Grupos'!$A:$A,'Base de Grupos'!$F:$F)</f>
        <v>1000065763</v>
      </c>
      <c r="E740" s="2" t="str">
        <f>_xlfn.XLOOKUP($N740,'Base de Grupos'!$A:$A,'Base de Grupos'!$G:$G)</f>
        <v>CANAL VENDA INTERNA</v>
      </c>
      <c r="F740" s="2" t="str">
        <f>_xlfn.XLOOKUP($N740,'Base de Grupos'!$A:$A,'Base de Grupos'!$H:$H)</f>
        <v>1000174119</v>
      </c>
      <c r="G740" s="5" t="str">
        <f>_xlfn.XLOOKUP($N740,'Base de Grupos'!$A:$A,'Base de Grupos'!$I:$I)</f>
        <v>REGIONAL VENDA INTERNA - CONVENIENCIA</v>
      </c>
      <c r="H740" s="5" t="str">
        <f>_xlfn.XLOOKUP($N740,'Base de Grupos'!$A:$A,'Base de Grupos'!$J:$J)</f>
        <v>1000174119</v>
      </c>
      <c r="I740" s="2" t="str">
        <f>_xlfn.XLOOKUP($N740,'Base de Grupos'!$A:$A,'Base de Grupos'!$K:$K)</f>
        <v>REGIONAL VENDA INTERNA - CONVENIENCIA</v>
      </c>
      <c r="J740" s="2" t="str">
        <f>_xlfn.XLOOKUP($N740,'Base de Grupos'!$A:$A,'Base de Grupos'!$L:$L)</f>
        <v>1000174119</v>
      </c>
      <c r="K740" s="5" t="str">
        <f>_xlfn.XLOOKUP($N740,'Base de Grupos'!$A:$A,'Base de Grupos'!$M:$M)</f>
        <v>REGIONAL VENDA INTERNA - CONVENIENCIA</v>
      </c>
      <c r="L740" s="5" t="str">
        <f t="shared" si="317"/>
        <v/>
      </c>
      <c r="M740" s="5" t="str">
        <f>_xlfn.XLOOKUP($N740,'Base de Grupos'!$A:$A,'Base de Grupos'!$C:$C)</f>
        <v>CE</v>
      </c>
      <c r="N740" s="3">
        <v>1504</v>
      </c>
      <c r="O740" s="4" t="s">
        <v>264</v>
      </c>
      <c r="P740" s="5" t="s">
        <v>93</v>
      </c>
      <c r="Q740" s="24">
        <v>0</v>
      </c>
      <c r="R740" s="24">
        <v>0</v>
      </c>
      <c r="S740" s="24">
        <v>0</v>
      </c>
      <c r="T740" s="24">
        <v>0</v>
      </c>
      <c r="U740" s="24">
        <v>0</v>
      </c>
      <c r="V740" s="24">
        <v>0</v>
      </c>
      <c r="W740" s="24">
        <v>0</v>
      </c>
      <c r="X740" s="24">
        <v>0</v>
      </c>
      <c r="Y740" s="24">
        <v>0</v>
      </c>
      <c r="Z740" s="24">
        <v>0</v>
      </c>
      <c r="AA740" s="24">
        <v>0</v>
      </c>
      <c r="AB740" s="24">
        <v>0</v>
      </c>
      <c r="AC740" s="30">
        <f t="shared" si="325"/>
        <v>0</v>
      </c>
      <c r="AD740" s="28"/>
      <c r="AE740" s="12"/>
      <c r="AF740" s="29"/>
      <c r="AG740" s="9"/>
      <c r="AH740" s="10"/>
      <c r="AI740" s="9"/>
      <c r="AJ740" s="11"/>
      <c r="AK740" s="9"/>
      <c r="AL740" s="13"/>
      <c r="AM740" s="9"/>
    </row>
    <row r="741" spans="1:39" x14ac:dyDescent="0.3">
      <c r="A741" s="2" t="str">
        <f t="shared" si="316"/>
        <v>SIM</v>
      </c>
      <c r="B741" s="2" t="str">
        <f>_xlfn.XLOOKUP($N741,'Base de Grupos'!$A:$A,'Base de Grupos'!$D:$D)</f>
        <v>1000065763</v>
      </c>
      <c r="C741" s="5" t="str">
        <f>_xlfn.XLOOKUP($N741,'Base de Grupos'!$A:$A,'Base de Grupos'!$E:$E)</f>
        <v>CANAL VENDA INTERNA</v>
      </c>
      <c r="D741" s="5" t="str">
        <f>_xlfn.XLOOKUP($N741,'Base de Grupos'!$A:$A,'Base de Grupos'!$F:$F)</f>
        <v>1000065763</v>
      </c>
      <c r="E741" s="2" t="str">
        <f>_xlfn.XLOOKUP($N741,'Base de Grupos'!$A:$A,'Base de Grupos'!$G:$G)</f>
        <v>CANAL VENDA INTERNA</v>
      </c>
      <c r="F741" s="2" t="str">
        <f>_xlfn.XLOOKUP($N741,'Base de Grupos'!$A:$A,'Base de Grupos'!$H:$H)</f>
        <v>1000174119</v>
      </c>
      <c r="G741" s="5" t="str">
        <f>_xlfn.XLOOKUP($N741,'Base de Grupos'!$A:$A,'Base de Grupos'!$I:$I)</f>
        <v>REGIONAL VENDA INTERNA - CONVENIENCIA</v>
      </c>
      <c r="H741" s="5" t="str">
        <f>_xlfn.XLOOKUP($N741,'Base de Grupos'!$A:$A,'Base de Grupos'!$J:$J)</f>
        <v>1000174119</v>
      </c>
      <c r="I741" s="2" t="str">
        <f>_xlfn.XLOOKUP($N741,'Base de Grupos'!$A:$A,'Base de Grupos'!$K:$K)</f>
        <v>REGIONAL VENDA INTERNA - CONVENIENCIA</v>
      </c>
      <c r="J741" s="2" t="str">
        <f>_xlfn.XLOOKUP($N741,'Base de Grupos'!$A:$A,'Base de Grupos'!$L:$L)</f>
        <v>1000174119</v>
      </c>
      <c r="K741" s="5" t="str">
        <f>_xlfn.XLOOKUP($N741,'Base de Grupos'!$A:$A,'Base de Grupos'!$M:$M)</f>
        <v>REGIONAL VENDA INTERNA - CONVENIENCIA</v>
      </c>
      <c r="L741" s="5">
        <f t="shared" si="317"/>
        <v>1</v>
      </c>
      <c r="M741" s="5" t="str">
        <f>_xlfn.XLOOKUP($N741,'Base de Grupos'!$A:$A,'Base de Grupos'!$C:$C)</f>
        <v>PI</v>
      </c>
      <c r="N741" s="3">
        <v>1505</v>
      </c>
      <c r="O741" s="4" t="s">
        <v>265</v>
      </c>
      <c r="P741" s="5" t="s">
        <v>335</v>
      </c>
      <c r="Q741" s="24">
        <v>0</v>
      </c>
      <c r="R741" s="24">
        <v>0</v>
      </c>
      <c r="S741" s="24">
        <v>0</v>
      </c>
      <c r="T741" s="24">
        <v>0</v>
      </c>
      <c r="U741" s="24">
        <v>0</v>
      </c>
      <c r="V741" s="24">
        <v>0</v>
      </c>
      <c r="W741" s="24">
        <v>0</v>
      </c>
      <c r="X741" s="24">
        <v>0</v>
      </c>
      <c r="Y741" s="24">
        <v>0</v>
      </c>
      <c r="Z741" s="24">
        <v>0</v>
      </c>
      <c r="AA741" s="24">
        <v>0</v>
      </c>
      <c r="AB741" s="24">
        <v>0</v>
      </c>
      <c r="AC741" s="30">
        <f t="shared" si="325"/>
        <v>0</v>
      </c>
      <c r="AD741" s="28"/>
      <c r="AE741" s="12"/>
      <c r="AF741" s="29"/>
      <c r="AG741" s="9"/>
      <c r="AH741" s="10"/>
      <c r="AI741" s="9"/>
      <c r="AJ741" s="11"/>
      <c r="AK741" s="9"/>
      <c r="AL741" s="13"/>
      <c r="AM741" s="9"/>
    </row>
    <row r="742" spans="1:39" x14ac:dyDescent="0.3">
      <c r="A742" s="2" t="str">
        <f t="shared" si="316"/>
        <v>NÃO</v>
      </c>
      <c r="B742" s="2" t="str">
        <f>_xlfn.XLOOKUP($N742,'Base de Grupos'!$A:$A,'Base de Grupos'!$D:$D)</f>
        <v>1000065763</v>
      </c>
      <c r="C742" s="5" t="str">
        <f>_xlfn.XLOOKUP($N742,'Base de Grupos'!$A:$A,'Base de Grupos'!$E:$E)</f>
        <v>CANAL VENDA INTERNA</v>
      </c>
      <c r="D742" s="5" t="str">
        <f>_xlfn.XLOOKUP($N742,'Base de Grupos'!$A:$A,'Base de Grupos'!$F:$F)</f>
        <v>1000065763</v>
      </c>
      <c r="E742" s="2" t="str">
        <f>_xlfn.XLOOKUP($N742,'Base de Grupos'!$A:$A,'Base de Grupos'!$G:$G)</f>
        <v>CANAL VENDA INTERNA</v>
      </c>
      <c r="F742" s="2" t="str">
        <f>_xlfn.XLOOKUP($N742,'Base de Grupos'!$A:$A,'Base de Grupos'!$H:$H)</f>
        <v>1000174119</v>
      </c>
      <c r="G742" s="5" t="str">
        <f>_xlfn.XLOOKUP($N742,'Base de Grupos'!$A:$A,'Base de Grupos'!$I:$I)</f>
        <v>REGIONAL VENDA INTERNA - CONVENIENCIA</v>
      </c>
      <c r="H742" s="5" t="str">
        <f>_xlfn.XLOOKUP($N742,'Base de Grupos'!$A:$A,'Base de Grupos'!$J:$J)</f>
        <v>1000174119</v>
      </c>
      <c r="I742" s="2" t="str">
        <f>_xlfn.XLOOKUP($N742,'Base de Grupos'!$A:$A,'Base de Grupos'!$K:$K)</f>
        <v>REGIONAL VENDA INTERNA - CONVENIENCIA</v>
      </c>
      <c r="J742" s="2" t="str">
        <f>_xlfn.XLOOKUP($N742,'Base de Grupos'!$A:$A,'Base de Grupos'!$L:$L)</f>
        <v>1000174119</v>
      </c>
      <c r="K742" s="5" t="str">
        <f>_xlfn.XLOOKUP($N742,'Base de Grupos'!$A:$A,'Base de Grupos'!$M:$M)</f>
        <v>REGIONAL VENDA INTERNA - CONVENIENCIA</v>
      </c>
      <c r="L742" s="5" t="str">
        <f t="shared" si="317"/>
        <v/>
      </c>
      <c r="M742" s="5" t="str">
        <f>_xlfn.XLOOKUP($N742,'Base de Grupos'!$A:$A,'Base de Grupos'!$C:$C)</f>
        <v>PI</v>
      </c>
      <c r="N742" s="3">
        <v>1505</v>
      </c>
      <c r="O742" s="4" t="s">
        <v>265</v>
      </c>
      <c r="P742" s="5" t="s">
        <v>81</v>
      </c>
      <c r="Q742" s="24">
        <v>0</v>
      </c>
      <c r="R742" s="24">
        <v>0</v>
      </c>
      <c r="S742" s="24">
        <v>0</v>
      </c>
      <c r="T742" s="24">
        <v>0</v>
      </c>
      <c r="U742" s="24">
        <v>0</v>
      </c>
      <c r="V742" s="24">
        <v>0</v>
      </c>
      <c r="W742" s="24">
        <v>0</v>
      </c>
      <c r="X742" s="24">
        <v>0</v>
      </c>
      <c r="Y742" s="24">
        <v>0</v>
      </c>
      <c r="Z742" s="24">
        <v>0</v>
      </c>
      <c r="AA742" s="24">
        <v>0</v>
      </c>
      <c r="AB742" s="24">
        <v>0</v>
      </c>
      <c r="AC742" s="30">
        <f t="shared" si="325"/>
        <v>0</v>
      </c>
      <c r="AD742" s="28"/>
      <c r="AE742" s="12"/>
      <c r="AF742" s="29"/>
      <c r="AG742" s="9"/>
      <c r="AH742" s="10"/>
      <c r="AI742" s="9"/>
      <c r="AJ742" s="11"/>
      <c r="AK742" s="9"/>
      <c r="AL742" s="13"/>
      <c r="AM742" s="9"/>
    </row>
    <row r="743" spans="1:39" x14ac:dyDescent="0.3">
      <c r="A743" s="2" t="str">
        <f t="shared" si="316"/>
        <v>NÃO</v>
      </c>
      <c r="B743" s="2" t="str">
        <f>_xlfn.XLOOKUP($N743,'Base de Grupos'!$A:$A,'Base de Grupos'!$D:$D)</f>
        <v>1000065763</v>
      </c>
      <c r="C743" s="5" t="str">
        <f>_xlfn.XLOOKUP($N743,'Base de Grupos'!$A:$A,'Base de Grupos'!$E:$E)</f>
        <v>CANAL VENDA INTERNA</v>
      </c>
      <c r="D743" s="5" t="str">
        <f>_xlfn.XLOOKUP($N743,'Base de Grupos'!$A:$A,'Base de Grupos'!$F:$F)</f>
        <v>1000065763</v>
      </c>
      <c r="E743" s="2" t="str">
        <f>_xlfn.XLOOKUP($N743,'Base de Grupos'!$A:$A,'Base de Grupos'!$G:$G)</f>
        <v>CANAL VENDA INTERNA</v>
      </c>
      <c r="F743" s="2" t="str">
        <f>_xlfn.XLOOKUP($N743,'Base de Grupos'!$A:$A,'Base de Grupos'!$H:$H)</f>
        <v>1000174119</v>
      </c>
      <c r="G743" s="5" t="str">
        <f>_xlfn.XLOOKUP($N743,'Base de Grupos'!$A:$A,'Base de Grupos'!$I:$I)</f>
        <v>REGIONAL VENDA INTERNA - CONVENIENCIA</v>
      </c>
      <c r="H743" s="5" t="str">
        <f>_xlfn.XLOOKUP($N743,'Base de Grupos'!$A:$A,'Base de Grupos'!$J:$J)</f>
        <v>1000174119</v>
      </c>
      <c r="I743" s="2" t="str">
        <f>_xlfn.XLOOKUP($N743,'Base de Grupos'!$A:$A,'Base de Grupos'!$K:$K)</f>
        <v>REGIONAL VENDA INTERNA - CONVENIENCIA</v>
      </c>
      <c r="J743" s="2" t="str">
        <f>_xlfn.XLOOKUP($N743,'Base de Grupos'!$A:$A,'Base de Grupos'!$L:$L)</f>
        <v>1000174119</v>
      </c>
      <c r="K743" s="5" t="str">
        <f>_xlfn.XLOOKUP($N743,'Base de Grupos'!$A:$A,'Base de Grupos'!$M:$M)</f>
        <v>REGIONAL VENDA INTERNA - CONVENIENCIA</v>
      </c>
      <c r="L743" s="5" t="str">
        <f t="shared" si="317"/>
        <v/>
      </c>
      <c r="M743" s="5" t="str">
        <f>_xlfn.XLOOKUP($N743,'Base de Grupos'!$A:$A,'Base de Grupos'!$C:$C)</f>
        <v>PI</v>
      </c>
      <c r="N743" s="3">
        <v>1505</v>
      </c>
      <c r="O743" s="4" t="s">
        <v>265</v>
      </c>
      <c r="P743" s="5" t="s">
        <v>82</v>
      </c>
      <c r="Q743" s="24">
        <v>0</v>
      </c>
      <c r="R743" s="24">
        <v>4</v>
      </c>
      <c r="S743" s="24">
        <v>4</v>
      </c>
      <c r="T743" s="24">
        <v>0</v>
      </c>
      <c r="U743" s="24">
        <v>0</v>
      </c>
      <c r="V743" s="24">
        <v>0</v>
      </c>
      <c r="W743" s="24">
        <v>0</v>
      </c>
      <c r="X743" s="24">
        <v>0</v>
      </c>
      <c r="Y743" s="24">
        <v>0</v>
      </c>
      <c r="Z743" s="24">
        <v>0</v>
      </c>
      <c r="AA743" s="24">
        <v>0</v>
      </c>
      <c r="AB743" s="24">
        <v>0</v>
      </c>
      <c r="AC743" s="30">
        <f t="shared" si="325"/>
        <v>0</v>
      </c>
      <c r="AD743" s="28"/>
      <c r="AE743" s="12"/>
      <c r="AF743" s="29"/>
      <c r="AG743" s="9"/>
      <c r="AH743" s="10"/>
      <c r="AI743" s="9"/>
      <c r="AJ743" s="11"/>
      <c r="AK743" s="9"/>
      <c r="AL743" s="13"/>
      <c r="AM743" s="9"/>
    </row>
    <row r="744" spans="1:39" x14ac:dyDescent="0.3">
      <c r="A744" s="2" t="str">
        <f t="shared" si="316"/>
        <v>NÃO</v>
      </c>
      <c r="B744" s="2" t="str">
        <f>_xlfn.XLOOKUP($N744,'Base de Grupos'!$A:$A,'Base de Grupos'!$D:$D)</f>
        <v>1000065763</v>
      </c>
      <c r="C744" s="5" t="str">
        <f>_xlfn.XLOOKUP($N744,'Base de Grupos'!$A:$A,'Base de Grupos'!$E:$E)</f>
        <v>CANAL VENDA INTERNA</v>
      </c>
      <c r="D744" s="5" t="str">
        <f>_xlfn.XLOOKUP($N744,'Base de Grupos'!$A:$A,'Base de Grupos'!$F:$F)</f>
        <v>1000065763</v>
      </c>
      <c r="E744" s="2" t="str">
        <f>_xlfn.XLOOKUP($N744,'Base de Grupos'!$A:$A,'Base de Grupos'!$G:$G)</f>
        <v>CANAL VENDA INTERNA</v>
      </c>
      <c r="F744" s="2" t="str">
        <f>_xlfn.XLOOKUP($N744,'Base de Grupos'!$A:$A,'Base de Grupos'!$H:$H)</f>
        <v>1000174119</v>
      </c>
      <c r="G744" s="5" t="str">
        <f>_xlfn.XLOOKUP($N744,'Base de Grupos'!$A:$A,'Base de Grupos'!$I:$I)</f>
        <v>REGIONAL VENDA INTERNA - CONVENIENCIA</v>
      </c>
      <c r="H744" s="5" t="str">
        <f>_xlfn.XLOOKUP($N744,'Base de Grupos'!$A:$A,'Base de Grupos'!$J:$J)</f>
        <v>1000174119</v>
      </c>
      <c r="I744" s="2" t="str">
        <f>_xlfn.XLOOKUP($N744,'Base de Grupos'!$A:$A,'Base de Grupos'!$K:$K)</f>
        <v>REGIONAL VENDA INTERNA - CONVENIENCIA</v>
      </c>
      <c r="J744" s="2" t="str">
        <f>_xlfn.XLOOKUP($N744,'Base de Grupos'!$A:$A,'Base de Grupos'!$L:$L)</f>
        <v>1000174119</v>
      </c>
      <c r="K744" s="5" t="str">
        <f>_xlfn.XLOOKUP($N744,'Base de Grupos'!$A:$A,'Base de Grupos'!$M:$M)</f>
        <v>REGIONAL VENDA INTERNA - CONVENIENCIA</v>
      </c>
      <c r="L744" s="5" t="str">
        <f t="shared" si="317"/>
        <v/>
      </c>
      <c r="M744" s="5" t="str">
        <f>_xlfn.XLOOKUP($N744,'Base de Grupos'!$A:$A,'Base de Grupos'!$C:$C)</f>
        <v>PI</v>
      </c>
      <c r="N744" s="3">
        <v>1505</v>
      </c>
      <c r="O744" s="4" t="s">
        <v>265</v>
      </c>
      <c r="P744" s="5" t="s">
        <v>84</v>
      </c>
      <c r="Q744" s="24">
        <v>0</v>
      </c>
      <c r="R744" s="24">
        <v>1</v>
      </c>
      <c r="S744" s="24">
        <v>2</v>
      </c>
      <c r="T744" s="24">
        <v>0</v>
      </c>
      <c r="U744" s="24">
        <v>0</v>
      </c>
      <c r="V744" s="24">
        <v>0</v>
      </c>
      <c r="W744" s="24">
        <v>0</v>
      </c>
      <c r="X744" s="24">
        <v>0</v>
      </c>
      <c r="Y744" s="24">
        <v>0</v>
      </c>
      <c r="Z744" s="24">
        <v>0</v>
      </c>
      <c r="AA744" s="24">
        <v>0</v>
      </c>
      <c r="AB744" s="24">
        <v>0</v>
      </c>
      <c r="AC744" s="30">
        <f t="shared" si="325"/>
        <v>0</v>
      </c>
      <c r="AD744" s="28"/>
      <c r="AE744" s="12"/>
      <c r="AF744" s="29"/>
      <c r="AG744" s="9"/>
      <c r="AH744" s="10"/>
      <c r="AI744" s="9"/>
      <c r="AJ744" s="11"/>
      <c r="AK744" s="9"/>
      <c r="AL744" s="13"/>
      <c r="AM744" s="9"/>
    </row>
    <row r="745" spans="1:39" x14ac:dyDescent="0.3">
      <c r="A745" s="2" t="str">
        <f t="shared" si="316"/>
        <v>NÃO</v>
      </c>
      <c r="B745" s="2" t="str">
        <f>_xlfn.XLOOKUP($N745,'Base de Grupos'!$A:$A,'Base de Grupos'!$D:$D)</f>
        <v>1000065763</v>
      </c>
      <c r="C745" s="5" t="str">
        <f>_xlfn.XLOOKUP($N745,'Base de Grupos'!$A:$A,'Base de Grupos'!$E:$E)</f>
        <v>CANAL VENDA INTERNA</v>
      </c>
      <c r="D745" s="5" t="str">
        <f>_xlfn.XLOOKUP($N745,'Base de Grupos'!$A:$A,'Base de Grupos'!$F:$F)</f>
        <v>1000065763</v>
      </c>
      <c r="E745" s="2" t="str">
        <f>_xlfn.XLOOKUP($N745,'Base de Grupos'!$A:$A,'Base de Grupos'!$G:$G)</f>
        <v>CANAL VENDA INTERNA</v>
      </c>
      <c r="F745" s="2" t="str">
        <f>_xlfn.XLOOKUP($N745,'Base de Grupos'!$A:$A,'Base de Grupos'!$H:$H)</f>
        <v>1000174119</v>
      </c>
      <c r="G745" s="5" t="str">
        <f>_xlfn.XLOOKUP($N745,'Base de Grupos'!$A:$A,'Base de Grupos'!$I:$I)</f>
        <v>REGIONAL VENDA INTERNA - CONVENIENCIA</v>
      </c>
      <c r="H745" s="5" t="str">
        <f>_xlfn.XLOOKUP($N745,'Base de Grupos'!$A:$A,'Base de Grupos'!$J:$J)</f>
        <v>1000174119</v>
      </c>
      <c r="I745" s="2" t="str">
        <f>_xlfn.XLOOKUP($N745,'Base de Grupos'!$A:$A,'Base de Grupos'!$K:$K)</f>
        <v>REGIONAL VENDA INTERNA - CONVENIENCIA</v>
      </c>
      <c r="J745" s="2" t="str">
        <f>_xlfn.XLOOKUP($N745,'Base de Grupos'!$A:$A,'Base de Grupos'!$L:$L)</f>
        <v>1000174119</v>
      </c>
      <c r="K745" s="5" t="str">
        <f>_xlfn.XLOOKUP($N745,'Base de Grupos'!$A:$A,'Base de Grupos'!$M:$M)</f>
        <v>REGIONAL VENDA INTERNA - CONVENIENCIA</v>
      </c>
      <c r="L745" s="5" t="str">
        <f t="shared" si="317"/>
        <v/>
      </c>
      <c r="M745" s="5" t="str">
        <f>_xlfn.XLOOKUP($N745,'Base de Grupos'!$A:$A,'Base de Grupos'!$C:$C)</f>
        <v>PI</v>
      </c>
      <c r="N745" s="3">
        <v>1505</v>
      </c>
      <c r="O745" s="4" t="s">
        <v>265</v>
      </c>
      <c r="P745" s="5" t="s">
        <v>83</v>
      </c>
      <c r="Q745" s="24">
        <v>0</v>
      </c>
      <c r="R745" s="24">
        <v>2</v>
      </c>
      <c r="S745" s="24">
        <v>2</v>
      </c>
      <c r="T745" s="24">
        <v>0</v>
      </c>
      <c r="U745" s="24">
        <v>0</v>
      </c>
      <c r="V745" s="24">
        <v>0</v>
      </c>
      <c r="W745" s="24">
        <v>0</v>
      </c>
      <c r="X745" s="24">
        <v>0</v>
      </c>
      <c r="Y745" s="24">
        <v>0</v>
      </c>
      <c r="Z745" s="24">
        <v>0</v>
      </c>
      <c r="AA745" s="24">
        <v>0</v>
      </c>
      <c r="AB745" s="24">
        <v>0</v>
      </c>
      <c r="AC745" s="30">
        <f t="shared" si="325"/>
        <v>0</v>
      </c>
      <c r="AD745" s="28"/>
      <c r="AE745" s="12"/>
      <c r="AF745" s="29"/>
      <c r="AG745" s="9"/>
      <c r="AH745" s="10"/>
      <c r="AI745" s="9"/>
      <c r="AJ745" s="11"/>
      <c r="AK745" s="9"/>
      <c r="AL745" s="13"/>
      <c r="AM745" s="9"/>
    </row>
    <row r="746" spans="1:39" x14ac:dyDescent="0.3">
      <c r="A746" s="2" t="str">
        <f t="shared" si="316"/>
        <v>NÃO</v>
      </c>
      <c r="B746" s="2" t="str">
        <f>_xlfn.XLOOKUP($N746,'Base de Grupos'!$A:$A,'Base de Grupos'!$D:$D)</f>
        <v>1000065763</v>
      </c>
      <c r="C746" s="5" t="str">
        <f>_xlfn.XLOOKUP($N746,'Base de Grupos'!$A:$A,'Base de Grupos'!$E:$E)</f>
        <v>CANAL VENDA INTERNA</v>
      </c>
      <c r="D746" s="5" t="str">
        <f>_xlfn.XLOOKUP($N746,'Base de Grupos'!$A:$A,'Base de Grupos'!$F:$F)</f>
        <v>1000065763</v>
      </c>
      <c r="E746" s="2" t="str">
        <f>_xlfn.XLOOKUP($N746,'Base de Grupos'!$A:$A,'Base de Grupos'!$G:$G)</f>
        <v>CANAL VENDA INTERNA</v>
      </c>
      <c r="F746" s="2" t="str">
        <f>_xlfn.XLOOKUP($N746,'Base de Grupos'!$A:$A,'Base de Grupos'!$H:$H)</f>
        <v>1000174119</v>
      </c>
      <c r="G746" s="5" t="str">
        <f>_xlfn.XLOOKUP($N746,'Base de Grupos'!$A:$A,'Base de Grupos'!$I:$I)</f>
        <v>REGIONAL VENDA INTERNA - CONVENIENCIA</v>
      </c>
      <c r="H746" s="5" t="str">
        <f>_xlfn.XLOOKUP($N746,'Base de Grupos'!$A:$A,'Base de Grupos'!$J:$J)</f>
        <v>1000174119</v>
      </c>
      <c r="I746" s="2" t="str">
        <f>_xlfn.XLOOKUP($N746,'Base de Grupos'!$A:$A,'Base de Grupos'!$K:$K)</f>
        <v>REGIONAL VENDA INTERNA - CONVENIENCIA</v>
      </c>
      <c r="J746" s="2" t="str">
        <f>_xlfn.XLOOKUP($N746,'Base de Grupos'!$A:$A,'Base de Grupos'!$L:$L)</f>
        <v>1000174119</v>
      </c>
      <c r="K746" s="5" t="str">
        <f>_xlfn.XLOOKUP($N746,'Base de Grupos'!$A:$A,'Base de Grupos'!$M:$M)</f>
        <v>REGIONAL VENDA INTERNA - CONVENIENCIA</v>
      </c>
      <c r="L746" s="5" t="str">
        <f t="shared" si="317"/>
        <v/>
      </c>
      <c r="M746" s="5" t="str">
        <f>_xlfn.XLOOKUP($N746,'Base de Grupos'!$A:$A,'Base de Grupos'!$C:$C)</f>
        <v>PI</v>
      </c>
      <c r="N746" s="3">
        <v>1505</v>
      </c>
      <c r="O746" s="4" t="s">
        <v>265</v>
      </c>
      <c r="P746" s="5" t="s">
        <v>87</v>
      </c>
      <c r="Q746" s="24">
        <v>0</v>
      </c>
      <c r="R746" s="24">
        <v>2</v>
      </c>
      <c r="S746" s="24">
        <v>2</v>
      </c>
      <c r="T746" s="24">
        <v>0</v>
      </c>
      <c r="U746" s="24">
        <v>0</v>
      </c>
      <c r="V746" s="24">
        <v>0</v>
      </c>
      <c r="W746" s="24">
        <v>0</v>
      </c>
      <c r="X746" s="24">
        <v>0</v>
      </c>
      <c r="Y746" s="24">
        <v>0</v>
      </c>
      <c r="Z746" s="24">
        <v>0</v>
      </c>
      <c r="AA746" s="24">
        <v>0</v>
      </c>
      <c r="AB746" s="24">
        <v>0</v>
      </c>
      <c r="AC746" s="30">
        <f t="shared" si="325"/>
        <v>0</v>
      </c>
      <c r="AD746" s="28"/>
      <c r="AE746" s="12"/>
      <c r="AF746" s="29"/>
      <c r="AG746" s="9"/>
      <c r="AH746" s="10"/>
      <c r="AI746" s="9"/>
      <c r="AJ746" s="11"/>
      <c r="AK746" s="9"/>
      <c r="AL746" s="13"/>
      <c r="AM746" s="9"/>
    </row>
    <row r="747" spans="1:39" x14ac:dyDescent="0.3">
      <c r="A747" s="2" t="str">
        <f t="shared" si="316"/>
        <v>NÃO</v>
      </c>
      <c r="B747" s="2" t="str">
        <f>_xlfn.XLOOKUP($N747,'Base de Grupos'!$A:$A,'Base de Grupos'!$D:$D)</f>
        <v>1000065763</v>
      </c>
      <c r="C747" s="5" t="str">
        <f>_xlfn.XLOOKUP($N747,'Base de Grupos'!$A:$A,'Base de Grupos'!$E:$E)</f>
        <v>CANAL VENDA INTERNA</v>
      </c>
      <c r="D747" s="5" t="str">
        <f>_xlfn.XLOOKUP($N747,'Base de Grupos'!$A:$A,'Base de Grupos'!$F:$F)</f>
        <v>1000065763</v>
      </c>
      <c r="E747" s="2" t="str">
        <f>_xlfn.XLOOKUP($N747,'Base de Grupos'!$A:$A,'Base de Grupos'!$G:$G)</f>
        <v>CANAL VENDA INTERNA</v>
      </c>
      <c r="F747" s="2" t="str">
        <f>_xlfn.XLOOKUP($N747,'Base de Grupos'!$A:$A,'Base de Grupos'!$H:$H)</f>
        <v>1000174119</v>
      </c>
      <c r="G747" s="5" t="str">
        <f>_xlfn.XLOOKUP($N747,'Base de Grupos'!$A:$A,'Base de Grupos'!$I:$I)</f>
        <v>REGIONAL VENDA INTERNA - CONVENIENCIA</v>
      </c>
      <c r="H747" s="5" t="str">
        <f>_xlfn.XLOOKUP($N747,'Base de Grupos'!$A:$A,'Base de Grupos'!$J:$J)</f>
        <v>1000174119</v>
      </c>
      <c r="I747" s="2" t="str">
        <f>_xlfn.XLOOKUP($N747,'Base de Grupos'!$A:$A,'Base de Grupos'!$K:$K)</f>
        <v>REGIONAL VENDA INTERNA - CONVENIENCIA</v>
      </c>
      <c r="J747" s="2" t="str">
        <f>_xlfn.XLOOKUP($N747,'Base de Grupos'!$A:$A,'Base de Grupos'!$L:$L)</f>
        <v>1000174119</v>
      </c>
      <c r="K747" s="5" t="str">
        <f>_xlfn.XLOOKUP($N747,'Base de Grupos'!$A:$A,'Base de Grupos'!$M:$M)</f>
        <v>REGIONAL VENDA INTERNA - CONVENIENCIA</v>
      </c>
      <c r="L747" s="5" t="str">
        <f t="shared" si="317"/>
        <v/>
      </c>
      <c r="M747" s="5" t="str">
        <f>_xlfn.XLOOKUP($N747,'Base de Grupos'!$A:$A,'Base de Grupos'!$C:$C)</f>
        <v>PI</v>
      </c>
      <c r="N747" s="3">
        <v>1505</v>
      </c>
      <c r="O747" s="4" t="s">
        <v>265</v>
      </c>
      <c r="P747" s="5" t="s">
        <v>85</v>
      </c>
      <c r="Q747" s="24">
        <v>0</v>
      </c>
      <c r="R747" s="24">
        <v>1</v>
      </c>
      <c r="S747" s="24">
        <v>1</v>
      </c>
      <c r="T747" s="24">
        <v>0</v>
      </c>
      <c r="U747" s="24">
        <v>0</v>
      </c>
      <c r="V747" s="24">
        <v>0</v>
      </c>
      <c r="W747" s="24">
        <v>0</v>
      </c>
      <c r="X747" s="24">
        <v>0</v>
      </c>
      <c r="Y747" s="24">
        <v>0</v>
      </c>
      <c r="Z747" s="24">
        <v>0</v>
      </c>
      <c r="AA747" s="24">
        <v>0</v>
      </c>
      <c r="AB747" s="24">
        <v>0</v>
      </c>
      <c r="AC747" s="30">
        <f t="shared" si="325"/>
        <v>0</v>
      </c>
      <c r="AD747" s="28"/>
      <c r="AE747" s="12"/>
      <c r="AF747" s="29"/>
      <c r="AG747" s="9"/>
      <c r="AH747" s="10"/>
      <c r="AI747" s="9"/>
      <c r="AJ747" s="11"/>
      <c r="AK747" s="9"/>
      <c r="AL747" s="13"/>
      <c r="AM747" s="9"/>
    </row>
    <row r="748" spans="1:39" x14ac:dyDescent="0.3">
      <c r="A748" s="2" t="str">
        <f t="shared" si="316"/>
        <v>NÃO</v>
      </c>
      <c r="B748" s="2" t="str">
        <f>_xlfn.XLOOKUP($N748,'Base de Grupos'!$A:$A,'Base de Grupos'!$D:$D)</f>
        <v>1000065763</v>
      </c>
      <c r="C748" s="5" t="str">
        <f>_xlfn.XLOOKUP($N748,'Base de Grupos'!$A:$A,'Base de Grupos'!$E:$E)</f>
        <v>CANAL VENDA INTERNA</v>
      </c>
      <c r="D748" s="5" t="str">
        <f>_xlfn.XLOOKUP($N748,'Base de Grupos'!$A:$A,'Base de Grupos'!$F:$F)</f>
        <v>1000065763</v>
      </c>
      <c r="E748" s="2" t="str">
        <f>_xlfn.XLOOKUP($N748,'Base de Grupos'!$A:$A,'Base de Grupos'!$G:$G)</f>
        <v>CANAL VENDA INTERNA</v>
      </c>
      <c r="F748" s="2" t="str">
        <f>_xlfn.XLOOKUP($N748,'Base de Grupos'!$A:$A,'Base de Grupos'!$H:$H)</f>
        <v>1000174119</v>
      </c>
      <c r="G748" s="5" t="str">
        <f>_xlfn.XLOOKUP($N748,'Base de Grupos'!$A:$A,'Base de Grupos'!$I:$I)</f>
        <v>REGIONAL VENDA INTERNA - CONVENIENCIA</v>
      </c>
      <c r="H748" s="5" t="str">
        <f>_xlfn.XLOOKUP($N748,'Base de Grupos'!$A:$A,'Base de Grupos'!$J:$J)</f>
        <v>1000174119</v>
      </c>
      <c r="I748" s="2" t="str">
        <f>_xlfn.XLOOKUP($N748,'Base de Grupos'!$A:$A,'Base de Grupos'!$K:$K)</f>
        <v>REGIONAL VENDA INTERNA - CONVENIENCIA</v>
      </c>
      <c r="J748" s="2" t="str">
        <f>_xlfn.XLOOKUP($N748,'Base de Grupos'!$A:$A,'Base de Grupos'!$L:$L)</f>
        <v>1000174119</v>
      </c>
      <c r="K748" s="5" t="str">
        <f>_xlfn.XLOOKUP($N748,'Base de Grupos'!$A:$A,'Base de Grupos'!$M:$M)</f>
        <v>REGIONAL VENDA INTERNA - CONVENIENCIA</v>
      </c>
      <c r="L748" s="5" t="str">
        <f t="shared" si="317"/>
        <v/>
      </c>
      <c r="M748" s="5" t="str">
        <f>_xlfn.XLOOKUP($N748,'Base de Grupos'!$A:$A,'Base de Grupos'!$C:$C)</f>
        <v>PI</v>
      </c>
      <c r="N748" s="3">
        <v>1505</v>
      </c>
      <c r="O748" s="4" t="s">
        <v>265</v>
      </c>
      <c r="P748" s="5" t="s">
        <v>92</v>
      </c>
      <c r="Q748" s="24">
        <v>0</v>
      </c>
      <c r="R748" s="24">
        <v>4</v>
      </c>
      <c r="S748" s="24">
        <v>4</v>
      </c>
      <c r="T748" s="24">
        <v>0</v>
      </c>
      <c r="U748" s="24">
        <v>0</v>
      </c>
      <c r="V748" s="24">
        <v>0</v>
      </c>
      <c r="W748" s="24">
        <v>0</v>
      </c>
      <c r="X748" s="24">
        <v>0</v>
      </c>
      <c r="Y748" s="24">
        <v>0</v>
      </c>
      <c r="Z748" s="24">
        <v>0</v>
      </c>
      <c r="AA748" s="24">
        <v>0</v>
      </c>
      <c r="AB748" s="24">
        <v>0</v>
      </c>
      <c r="AC748" s="30">
        <f t="shared" si="325"/>
        <v>0</v>
      </c>
      <c r="AD748" s="28"/>
      <c r="AE748" s="12"/>
      <c r="AF748" s="29"/>
      <c r="AG748" s="9"/>
      <c r="AH748" s="10"/>
      <c r="AI748" s="9"/>
      <c r="AJ748" s="11"/>
      <c r="AK748" s="9"/>
      <c r="AL748" s="13"/>
      <c r="AM748" s="9"/>
    </row>
    <row r="749" spans="1:39" x14ac:dyDescent="0.3">
      <c r="A749" s="2" t="str">
        <f t="shared" si="316"/>
        <v>NÃO</v>
      </c>
      <c r="B749" s="2" t="str">
        <f>_xlfn.XLOOKUP($N749,'Base de Grupos'!$A:$A,'Base de Grupos'!$D:$D)</f>
        <v>1000065763</v>
      </c>
      <c r="C749" s="5" t="str">
        <f>_xlfn.XLOOKUP($N749,'Base de Grupos'!$A:$A,'Base de Grupos'!$E:$E)</f>
        <v>CANAL VENDA INTERNA</v>
      </c>
      <c r="D749" s="5" t="str">
        <f>_xlfn.XLOOKUP($N749,'Base de Grupos'!$A:$A,'Base de Grupos'!$F:$F)</f>
        <v>1000065763</v>
      </c>
      <c r="E749" s="2" t="str">
        <f>_xlfn.XLOOKUP($N749,'Base de Grupos'!$A:$A,'Base de Grupos'!$G:$G)</f>
        <v>CANAL VENDA INTERNA</v>
      </c>
      <c r="F749" s="2" t="str">
        <f>_xlfn.XLOOKUP($N749,'Base de Grupos'!$A:$A,'Base de Grupos'!$H:$H)</f>
        <v>1000174119</v>
      </c>
      <c r="G749" s="5" t="str">
        <f>_xlfn.XLOOKUP($N749,'Base de Grupos'!$A:$A,'Base de Grupos'!$I:$I)</f>
        <v>REGIONAL VENDA INTERNA - CONVENIENCIA</v>
      </c>
      <c r="H749" s="5" t="str">
        <f>_xlfn.XLOOKUP($N749,'Base de Grupos'!$A:$A,'Base de Grupos'!$J:$J)</f>
        <v>1000174119</v>
      </c>
      <c r="I749" s="2" t="str">
        <f>_xlfn.XLOOKUP($N749,'Base de Grupos'!$A:$A,'Base de Grupos'!$K:$K)</f>
        <v>REGIONAL VENDA INTERNA - CONVENIENCIA</v>
      </c>
      <c r="J749" s="2" t="str">
        <f>_xlfn.XLOOKUP($N749,'Base de Grupos'!$A:$A,'Base de Grupos'!$L:$L)</f>
        <v>1000174119</v>
      </c>
      <c r="K749" s="5" t="str">
        <f>_xlfn.XLOOKUP($N749,'Base de Grupos'!$A:$A,'Base de Grupos'!$M:$M)</f>
        <v>REGIONAL VENDA INTERNA - CONVENIENCIA</v>
      </c>
      <c r="L749" s="5" t="str">
        <f t="shared" si="317"/>
        <v/>
      </c>
      <c r="M749" s="5" t="str">
        <f>_xlfn.XLOOKUP($N749,'Base de Grupos'!$A:$A,'Base de Grupos'!$C:$C)</f>
        <v>PI</v>
      </c>
      <c r="N749" s="3">
        <v>1505</v>
      </c>
      <c r="O749" s="4" t="s">
        <v>265</v>
      </c>
      <c r="P749" s="5" t="s">
        <v>86</v>
      </c>
      <c r="Q749" s="24">
        <v>0</v>
      </c>
      <c r="R749" s="24">
        <v>4.4000000000000004</v>
      </c>
      <c r="S749" s="24">
        <v>5</v>
      </c>
      <c r="T749" s="24">
        <v>0</v>
      </c>
      <c r="U749" s="24">
        <v>0</v>
      </c>
      <c r="V749" s="24">
        <v>0</v>
      </c>
      <c r="W749" s="24">
        <v>0</v>
      </c>
      <c r="X749" s="24">
        <v>0</v>
      </c>
      <c r="Y749" s="24">
        <v>0</v>
      </c>
      <c r="Z749" s="24">
        <v>0</v>
      </c>
      <c r="AA749" s="24">
        <v>0</v>
      </c>
      <c r="AB749" s="24">
        <v>0</v>
      </c>
      <c r="AC749" s="30">
        <f t="shared" si="325"/>
        <v>0</v>
      </c>
      <c r="AD749" s="28"/>
      <c r="AE749" s="12"/>
      <c r="AF749" s="29"/>
      <c r="AG749" s="9"/>
      <c r="AH749" s="10"/>
      <c r="AI749" s="9"/>
      <c r="AJ749" s="11"/>
      <c r="AK749" s="9"/>
      <c r="AL749" s="13"/>
      <c r="AM749" s="9"/>
    </row>
    <row r="750" spans="1:39" x14ac:dyDescent="0.3">
      <c r="A750" s="2" t="str">
        <f t="shared" si="316"/>
        <v>NÃO</v>
      </c>
      <c r="B750" s="2" t="str">
        <f>_xlfn.XLOOKUP($N750,'Base de Grupos'!$A:$A,'Base de Grupos'!$D:$D)</f>
        <v>1000065763</v>
      </c>
      <c r="C750" s="5" t="str">
        <f>_xlfn.XLOOKUP($N750,'Base de Grupos'!$A:$A,'Base de Grupos'!$E:$E)</f>
        <v>CANAL VENDA INTERNA</v>
      </c>
      <c r="D750" s="5" t="str">
        <f>_xlfn.XLOOKUP($N750,'Base de Grupos'!$A:$A,'Base de Grupos'!$F:$F)</f>
        <v>1000065763</v>
      </c>
      <c r="E750" s="2" t="str">
        <f>_xlfn.XLOOKUP($N750,'Base de Grupos'!$A:$A,'Base de Grupos'!$G:$G)</f>
        <v>CANAL VENDA INTERNA</v>
      </c>
      <c r="F750" s="2" t="str">
        <f>_xlfn.XLOOKUP($N750,'Base de Grupos'!$A:$A,'Base de Grupos'!$H:$H)</f>
        <v>1000174119</v>
      </c>
      <c r="G750" s="5" t="str">
        <f>_xlfn.XLOOKUP($N750,'Base de Grupos'!$A:$A,'Base de Grupos'!$I:$I)</f>
        <v>REGIONAL VENDA INTERNA - CONVENIENCIA</v>
      </c>
      <c r="H750" s="5" t="str">
        <f>_xlfn.XLOOKUP($N750,'Base de Grupos'!$A:$A,'Base de Grupos'!$J:$J)</f>
        <v>1000174119</v>
      </c>
      <c r="I750" s="2" t="str">
        <f>_xlfn.XLOOKUP($N750,'Base de Grupos'!$A:$A,'Base de Grupos'!$K:$K)</f>
        <v>REGIONAL VENDA INTERNA - CONVENIENCIA</v>
      </c>
      <c r="J750" s="2" t="str">
        <f>_xlfn.XLOOKUP($N750,'Base de Grupos'!$A:$A,'Base de Grupos'!$L:$L)</f>
        <v>1000174119</v>
      </c>
      <c r="K750" s="5" t="str">
        <f>_xlfn.XLOOKUP($N750,'Base de Grupos'!$A:$A,'Base de Grupos'!$M:$M)</f>
        <v>REGIONAL VENDA INTERNA - CONVENIENCIA</v>
      </c>
      <c r="L750" s="5" t="str">
        <f t="shared" si="317"/>
        <v/>
      </c>
      <c r="M750" s="5" t="str">
        <f>_xlfn.XLOOKUP($N750,'Base de Grupos'!$A:$A,'Base de Grupos'!$C:$C)</f>
        <v>PI</v>
      </c>
      <c r="N750" s="3">
        <v>1505</v>
      </c>
      <c r="O750" s="4" t="s">
        <v>265</v>
      </c>
      <c r="P750" s="5" t="s">
        <v>108</v>
      </c>
      <c r="Q750" s="24">
        <v>0</v>
      </c>
      <c r="R750" s="24">
        <v>4</v>
      </c>
      <c r="S750" s="24">
        <v>4</v>
      </c>
      <c r="T750" s="24">
        <v>0</v>
      </c>
      <c r="U750" s="24">
        <v>0</v>
      </c>
      <c r="V750" s="24">
        <v>0</v>
      </c>
      <c r="W750" s="24">
        <v>0</v>
      </c>
      <c r="X750" s="24">
        <v>0</v>
      </c>
      <c r="Y750" s="24">
        <v>0</v>
      </c>
      <c r="Z750" s="24">
        <v>0</v>
      </c>
      <c r="AA750" s="24">
        <v>0</v>
      </c>
      <c r="AB750" s="24">
        <v>0</v>
      </c>
      <c r="AC750" s="30">
        <f t="shared" si="325"/>
        <v>0</v>
      </c>
      <c r="AD750" s="28"/>
      <c r="AE750" s="12"/>
      <c r="AF750" s="29"/>
      <c r="AG750" s="9"/>
      <c r="AH750" s="10"/>
      <c r="AI750" s="9"/>
      <c r="AJ750" s="11"/>
      <c r="AK750" s="9"/>
      <c r="AL750" s="13"/>
      <c r="AM750" s="9"/>
    </row>
    <row r="751" spans="1:39" x14ac:dyDescent="0.3">
      <c r="A751" s="2" t="str">
        <f t="shared" si="316"/>
        <v>NÃO</v>
      </c>
      <c r="B751" s="2" t="str">
        <f>_xlfn.XLOOKUP($N751,'Base de Grupos'!$A:$A,'Base de Grupos'!$D:$D)</f>
        <v>1000065763</v>
      </c>
      <c r="C751" s="5" t="str">
        <f>_xlfn.XLOOKUP($N751,'Base de Grupos'!$A:$A,'Base de Grupos'!$E:$E)</f>
        <v>CANAL VENDA INTERNA</v>
      </c>
      <c r="D751" s="5" t="str">
        <f>_xlfn.XLOOKUP($N751,'Base de Grupos'!$A:$A,'Base de Grupos'!$F:$F)</f>
        <v>1000065763</v>
      </c>
      <c r="E751" s="2" t="str">
        <f>_xlfn.XLOOKUP($N751,'Base de Grupos'!$A:$A,'Base de Grupos'!$G:$G)</f>
        <v>CANAL VENDA INTERNA</v>
      </c>
      <c r="F751" s="2" t="str">
        <f>_xlfn.XLOOKUP($N751,'Base de Grupos'!$A:$A,'Base de Grupos'!$H:$H)</f>
        <v>1000174119</v>
      </c>
      <c r="G751" s="5" t="str">
        <f>_xlfn.XLOOKUP($N751,'Base de Grupos'!$A:$A,'Base de Grupos'!$I:$I)</f>
        <v>REGIONAL VENDA INTERNA - CONVENIENCIA</v>
      </c>
      <c r="H751" s="5" t="str">
        <f>_xlfn.XLOOKUP($N751,'Base de Grupos'!$A:$A,'Base de Grupos'!$J:$J)</f>
        <v>1000174119</v>
      </c>
      <c r="I751" s="2" t="str">
        <f>_xlfn.XLOOKUP($N751,'Base de Grupos'!$A:$A,'Base de Grupos'!$K:$K)</f>
        <v>REGIONAL VENDA INTERNA - CONVENIENCIA</v>
      </c>
      <c r="J751" s="2" t="str">
        <f>_xlfn.XLOOKUP($N751,'Base de Grupos'!$A:$A,'Base de Grupos'!$L:$L)</f>
        <v>1000174119</v>
      </c>
      <c r="K751" s="5" t="str">
        <f>_xlfn.XLOOKUP($N751,'Base de Grupos'!$A:$A,'Base de Grupos'!$M:$M)</f>
        <v>REGIONAL VENDA INTERNA - CONVENIENCIA</v>
      </c>
      <c r="L751" s="5" t="str">
        <f t="shared" si="317"/>
        <v/>
      </c>
      <c r="M751" s="5" t="str">
        <f>_xlfn.XLOOKUP($N751,'Base de Grupos'!$A:$A,'Base de Grupos'!$C:$C)</f>
        <v>PI</v>
      </c>
      <c r="N751" s="3">
        <v>1505</v>
      </c>
      <c r="O751" s="4" t="s">
        <v>265</v>
      </c>
      <c r="P751" s="5" t="s">
        <v>89</v>
      </c>
      <c r="Q751" s="24">
        <f>SUM(Q752:Q772)</f>
        <v>0</v>
      </c>
      <c r="R751" s="24">
        <f t="shared" ref="R751" si="326">SUM(R752:R772)</f>
        <v>0</v>
      </c>
      <c r="S751" s="24">
        <f t="shared" ref="S751" si="327">SUM(S752:S772)</f>
        <v>0</v>
      </c>
      <c r="T751" s="24">
        <f t="shared" ref="T751:AC751" si="328">SUM(T752:T772)</f>
        <v>0</v>
      </c>
      <c r="U751" s="24">
        <f t="shared" si="328"/>
        <v>0</v>
      </c>
      <c r="V751" s="24">
        <f t="shared" si="328"/>
        <v>0</v>
      </c>
      <c r="W751" s="24">
        <f t="shared" si="328"/>
        <v>0</v>
      </c>
      <c r="X751" s="24">
        <f t="shared" si="328"/>
        <v>0</v>
      </c>
      <c r="Y751" s="24">
        <f t="shared" si="328"/>
        <v>0</v>
      </c>
      <c r="Z751" s="24">
        <f t="shared" si="328"/>
        <v>0</v>
      </c>
      <c r="AA751" s="24">
        <f t="shared" si="328"/>
        <v>0</v>
      </c>
      <c r="AB751" s="24">
        <f t="shared" si="328"/>
        <v>0</v>
      </c>
      <c r="AC751" s="24">
        <f t="shared" si="328"/>
        <v>0</v>
      </c>
      <c r="AD751" s="28"/>
      <c r="AE751" s="12"/>
      <c r="AF751" s="29"/>
      <c r="AG751" s="9"/>
      <c r="AH751" s="10"/>
      <c r="AI751" s="9"/>
      <c r="AJ751" s="11"/>
      <c r="AK751" s="9"/>
      <c r="AL751" s="13"/>
      <c r="AM751" s="9"/>
    </row>
    <row r="752" spans="1:39" x14ac:dyDescent="0.3">
      <c r="A752" s="2" t="str">
        <f t="shared" si="316"/>
        <v>NÃO</v>
      </c>
      <c r="B752" s="2" t="str">
        <f>_xlfn.XLOOKUP($N752,'Base de Grupos'!$A:$A,'Base de Grupos'!$D:$D)</f>
        <v>1000065763</v>
      </c>
      <c r="C752" s="5" t="str">
        <f>_xlfn.XLOOKUP($N752,'Base de Grupos'!$A:$A,'Base de Grupos'!$E:$E)</f>
        <v>CANAL VENDA INTERNA</v>
      </c>
      <c r="D752" s="5" t="str">
        <f>_xlfn.XLOOKUP($N752,'Base de Grupos'!$A:$A,'Base de Grupos'!$F:$F)</f>
        <v>1000065763</v>
      </c>
      <c r="E752" s="2" t="str">
        <f>_xlfn.XLOOKUP($N752,'Base de Grupos'!$A:$A,'Base de Grupos'!$G:$G)</f>
        <v>CANAL VENDA INTERNA</v>
      </c>
      <c r="F752" s="2" t="str">
        <f>_xlfn.XLOOKUP($N752,'Base de Grupos'!$A:$A,'Base de Grupos'!$H:$H)</f>
        <v>1000174119</v>
      </c>
      <c r="G752" s="5" t="str">
        <f>_xlfn.XLOOKUP($N752,'Base de Grupos'!$A:$A,'Base de Grupos'!$I:$I)</f>
        <v>REGIONAL VENDA INTERNA - CONVENIENCIA</v>
      </c>
      <c r="H752" s="5" t="str">
        <f>_xlfn.XLOOKUP($N752,'Base de Grupos'!$A:$A,'Base de Grupos'!$J:$J)</f>
        <v>1000174119</v>
      </c>
      <c r="I752" s="2" t="str">
        <f>_xlfn.XLOOKUP($N752,'Base de Grupos'!$A:$A,'Base de Grupos'!$K:$K)</f>
        <v>REGIONAL VENDA INTERNA - CONVENIENCIA</v>
      </c>
      <c r="J752" s="2" t="str">
        <f>_xlfn.XLOOKUP($N752,'Base de Grupos'!$A:$A,'Base de Grupos'!$L:$L)</f>
        <v>1000174119</v>
      </c>
      <c r="K752" s="5" t="str">
        <f>_xlfn.XLOOKUP($N752,'Base de Grupos'!$A:$A,'Base de Grupos'!$M:$M)</f>
        <v>REGIONAL VENDA INTERNA - CONVENIENCIA</v>
      </c>
      <c r="L752" s="5" t="str">
        <f t="shared" si="317"/>
        <v/>
      </c>
      <c r="M752" s="5" t="str">
        <f>_xlfn.XLOOKUP($N752,'Base de Grupos'!$A:$A,'Base de Grupos'!$C:$C)</f>
        <v>PI</v>
      </c>
      <c r="N752" s="3">
        <v>1505</v>
      </c>
      <c r="O752" s="4" t="s">
        <v>265</v>
      </c>
      <c r="P752" s="5" t="s">
        <v>88</v>
      </c>
      <c r="Q752" s="24">
        <v>0</v>
      </c>
      <c r="R752" s="24">
        <v>0</v>
      </c>
      <c r="S752" s="24">
        <v>0</v>
      </c>
      <c r="T752" s="24">
        <v>0</v>
      </c>
      <c r="U752" s="24">
        <v>0</v>
      </c>
      <c r="V752" s="24">
        <v>0</v>
      </c>
      <c r="W752" s="24">
        <v>0</v>
      </c>
      <c r="X752" s="24">
        <v>0</v>
      </c>
      <c r="Y752" s="24">
        <v>0</v>
      </c>
      <c r="Z752" s="24">
        <v>0</v>
      </c>
      <c r="AA752" s="24">
        <v>0</v>
      </c>
      <c r="AB752" s="24">
        <v>0</v>
      </c>
      <c r="AC752" s="30">
        <f t="shared" ref="AC752:AC772" si="329">SUM(T752:AB752)</f>
        <v>0</v>
      </c>
      <c r="AD752" s="28"/>
      <c r="AE752" s="12"/>
      <c r="AF752" s="29"/>
      <c r="AG752" s="9"/>
      <c r="AH752" s="10"/>
      <c r="AI752" s="9"/>
      <c r="AJ752" s="11"/>
      <c r="AK752" s="9"/>
      <c r="AL752" s="13"/>
      <c r="AM752" s="9"/>
    </row>
    <row r="753" spans="1:39" x14ac:dyDescent="0.3">
      <c r="A753" s="2" t="str">
        <f t="shared" si="316"/>
        <v>NÃO</v>
      </c>
      <c r="B753" s="2" t="str">
        <f>_xlfn.XLOOKUP($N753,'Base de Grupos'!$A:$A,'Base de Grupos'!$D:$D)</f>
        <v>1000065763</v>
      </c>
      <c r="C753" s="5" t="str">
        <f>_xlfn.XLOOKUP($N753,'Base de Grupos'!$A:$A,'Base de Grupos'!$E:$E)</f>
        <v>CANAL VENDA INTERNA</v>
      </c>
      <c r="D753" s="5" t="str">
        <f>_xlfn.XLOOKUP($N753,'Base de Grupos'!$A:$A,'Base de Grupos'!$F:$F)</f>
        <v>1000065763</v>
      </c>
      <c r="E753" s="2" t="str">
        <f>_xlfn.XLOOKUP($N753,'Base de Grupos'!$A:$A,'Base de Grupos'!$G:$G)</f>
        <v>CANAL VENDA INTERNA</v>
      </c>
      <c r="F753" s="2" t="str">
        <f>_xlfn.XLOOKUP($N753,'Base de Grupos'!$A:$A,'Base de Grupos'!$H:$H)</f>
        <v>1000174119</v>
      </c>
      <c r="G753" s="5" t="str">
        <f>_xlfn.XLOOKUP($N753,'Base de Grupos'!$A:$A,'Base de Grupos'!$I:$I)</f>
        <v>REGIONAL VENDA INTERNA - CONVENIENCIA</v>
      </c>
      <c r="H753" s="5" t="str">
        <f>_xlfn.XLOOKUP($N753,'Base de Grupos'!$A:$A,'Base de Grupos'!$J:$J)</f>
        <v>1000174119</v>
      </c>
      <c r="I753" s="2" t="str">
        <f>_xlfn.XLOOKUP($N753,'Base de Grupos'!$A:$A,'Base de Grupos'!$K:$K)</f>
        <v>REGIONAL VENDA INTERNA - CONVENIENCIA</v>
      </c>
      <c r="J753" s="2" t="str">
        <f>_xlfn.XLOOKUP($N753,'Base de Grupos'!$A:$A,'Base de Grupos'!$L:$L)</f>
        <v>1000174119</v>
      </c>
      <c r="K753" s="5" t="str">
        <f>_xlfn.XLOOKUP($N753,'Base de Grupos'!$A:$A,'Base de Grupos'!$M:$M)</f>
        <v>REGIONAL VENDA INTERNA - CONVENIENCIA</v>
      </c>
      <c r="L753" s="5" t="str">
        <f t="shared" si="317"/>
        <v/>
      </c>
      <c r="M753" s="5" t="str">
        <f>_xlfn.XLOOKUP($N753,'Base de Grupos'!$A:$A,'Base de Grupos'!$C:$C)</f>
        <v>PI</v>
      </c>
      <c r="N753" s="3">
        <v>1505</v>
      </c>
      <c r="O753" s="4" t="s">
        <v>265</v>
      </c>
      <c r="P753" s="5" t="s">
        <v>90</v>
      </c>
      <c r="Q753" s="24">
        <v>0</v>
      </c>
      <c r="R753" s="24">
        <v>0</v>
      </c>
      <c r="S753" s="24">
        <v>0</v>
      </c>
      <c r="T753" s="24">
        <v>0</v>
      </c>
      <c r="U753" s="24">
        <v>0</v>
      </c>
      <c r="V753" s="24">
        <v>0</v>
      </c>
      <c r="W753" s="24">
        <v>0</v>
      </c>
      <c r="X753" s="24">
        <v>0</v>
      </c>
      <c r="Y753" s="24">
        <v>0</v>
      </c>
      <c r="Z753" s="24">
        <v>0</v>
      </c>
      <c r="AA753" s="24">
        <v>0</v>
      </c>
      <c r="AB753" s="24">
        <v>0</v>
      </c>
      <c r="AC753" s="30">
        <f t="shared" si="329"/>
        <v>0</v>
      </c>
      <c r="AD753" s="28"/>
      <c r="AE753" s="12"/>
      <c r="AF753" s="29"/>
      <c r="AG753" s="9"/>
      <c r="AH753" s="10"/>
      <c r="AI753" s="9"/>
      <c r="AJ753" s="11"/>
      <c r="AK753" s="9"/>
      <c r="AL753" s="13"/>
      <c r="AM753" s="9"/>
    </row>
    <row r="754" spans="1:39" x14ac:dyDescent="0.3">
      <c r="A754" s="2" t="str">
        <f t="shared" si="316"/>
        <v>NÃO</v>
      </c>
      <c r="B754" s="2" t="str">
        <f>_xlfn.XLOOKUP($N754,'Base de Grupos'!$A:$A,'Base de Grupos'!$D:$D)</f>
        <v>1000065763</v>
      </c>
      <c r="C754" s="5" t="str">
        <f>_xlfn.XLOOKUP($N754,'Base de Grupos'!$A:$A,'Base de Grupos'!$E:$E)</f>
        <v>CANAL VENDA INTERNA</v>
      </c>
      <c r="D754" s="5" t="str">
        <f>_xlfn.XLOOKUP($N754,'Base de Grupos'!$A:$A,'Base de Grupos'!$F:$F)</f>
        <v>1000065763</v>
      </c>
      <c r="E754" s="2" t="str">
        <f>_xlfn.XLOOKUP($N754,'Base de Grupos'!$A:$A,'Base de Grupos'!$G:$G)</f>
        <v>CANAL VENDA INTERNA</v>
      </c>
      <c r="F754" s="2" t="str">
        <f>_xlfn.XLOOKUP($N754,'Base de Grupos'!$A:$A,'Base de Grupos'!$H:$H)</f>
        <v>1000174119</v>
      </c>
      <c r="G754" s="5" t="str">
        <f>_xlfn.XLOOKUP($N754,'Base de Grupos'!$A:$A,'Base de Grupos'!$I:$I)</f>
        <v>REGIONAL VENDA INTERNA - CONVENIENCIA</v>
      </c>
      <c r="H754" s="5" t="str">
        <f>_xlfn.XLOOKUP($N754,'Base de Grupos'!$A:$A,'Base de Grupos'!$J:$J)</f>
        <v>1000174119</v>
      </c>
      <c r="I754" s="2" t="str">
        <f>_xlfn.XLOOKUP($N754,'Base de Grupos'!$A:$A,'Base de Grupos'!$K:$K)</f>
        <v>REGIONAL VENDA INTERNA - CONVENIENCIA</v>
      </c>
      <c r="J754" s="2" t="str">
        <f>_xlfn.XLOOKUP($N754,'Base de Grupos'!$A:$A,'Base de Grupos'!$L:$L)</f>
        <v>1000174119</v>
      </c>
      <c r="K754" s="5" t="str">
        <f>_xlfn.XLOOKUP($N754,'Base de Grupos'!$A:$A,'Base de Grupos'!$M:$M)</f>
        <v>REGIONAL VENDA INTERNA - CONVENIENCIA</v>
      </c>
      <c r="L754" s="5" t="str">
        <f t="shared" si="317"/>
        <v/>
      </c>
      <c r="M754" s="5" t="str">
        <f>_xlfn.XLOOKUP($N754,'Base de Grupos'!$A:$A,'Base de Grupos'!$C:$C)</f>
        <v>PI</v>
      </c>
      <c r="N754" s="3">
        <v>1505</v>
      </c>
      <c r="O754" s="4" t="s">
        <v>265</v>
      </c>
      <c r="P754" s="5" t="s">
        <v>91</v>
      </c>
      <c r="Q754" s="24">
        <v>0</v>
      </c>
      <c r="R754" s="24">
        <v>0</v>
      </c>
      <c r="S754" s="24">
        <v>0</v>
      </c>
      <c r="T754" s="24">
        <v>0</v>
      </c>
      <c r="U754" s="24">
        <v>0</v>
      </c>
      <c r="V754" s="24">
        <v>0</v>
      </c>
      <c r="W754" s="24">
        <v>0</v>
      </c>
      <c r="X754" s="24">
        <v>0</v>
      </c>
      <c r="Y754" s="24">
        <v>0</v>
      </c>
      <c r="Z754" s="24">
        <v>0</v>
      </c>
      <c r="AA754" s="24">
        <v>0</v>
      </c>
      <c r="AB754" s="24">
        <v>0</v>
      </c>
      <c r="AC754" s="30">
        <f t="shared" si="329"/>
        <v>0</v>
      </c>
      <c r="AD754" s="28"/>
      <c r="AE754" s="12"/>
      <c r="AF754" s="29"/>
      <c r="AG754" s="9"/>
      <c r="AH754" s="10"/>
      <c r="AI754" s="9"/>
      <c r="AJ754" s="11"/>
      <c r="AK754" s="9"/>
      <c r="AL754" s="13"/>
      <c r="AM754" s="9"/>
    </row>
    <row r="755" spans="1:39" x14ac:dyDescent="0.3">
      <c r="A755" s="2" t="str">
        <f t="shared" si="316"/>
        <v>NÃO</v>
      </c>
      <c r="B755" s="2" t="str">
        <f>_xlfn.XLOOKUP($N755,'Base de Grupos'!$A:$A,'Base de Grupos'!$D:$D)</f>
        <v>1000065763</v>
      </c>
      <c r="C755" s="5" t="str">
        <f>_xlfn.XLOOKUP($N755,'Base de Grupos'!$A:$A,'Base de Grupos'!$E:$E)</f>
        <v>CANAL VENDA INTERNA</v>
      </c>
      <c r="D755" s="5" t="str">
        <f>_xlfn.XLOOKUP($N755,'Base de Grupos'!$A:$A,'Base de Grupos'!$F:$F)</f>
        <v>1000065763</v>
      </c>
      <c r="E755" s="2" t="str">
        <f>_xlfn.XLOOKUP($N755,'Base de Grupos'!$A:$A,'Base de Grupos'!$G:$G)</f>
        <v>CANAL VENDA INTERNA</v>
      </c>
      <c r="F755" s="2" t="str">
        <f>_xlfn.XLOOKUP($N755,'Base de Grupos'!$A:$A,'Base de Grupos'!$H:$H)</f>
        <v>1000174119</v>
      </c>
      <c r="G755" s="5" t="str">
        <f>_xlfn.XLOOKUP($N755,'Base de Grupos'!$A:$A,'Base de Grupos'!$I:$I)</f>
        <v>REGIONAL VENDA INTERNA - CONVENIENCIA</v>
      </c>
      <c r="H755" s="5" t="str">
        <f>_xlfn.XLOOKUP($N755,'Base de Grupos'!$A:$A,'Base de Grupos'!$J:$J)</f>
        <v>1000174119</v>
      </c>
      <c r="I755" s="2" t="str">
        <f>_xlfn.XLOOKUP($N755,'Base de Grupos'!$A:$A,'Base de Grupos'!$K:$K)</f>
        <v>REGIONAL VENDA INTERNA - CONVENIENCIA</v>
      </c>
      <c r="J755" s="2" t="str">
        <f>_xlfn.XLOOKUP($N755,'Base de Grupos'!$A:$A,'Base de Grupos'!$L:$L)</f>
        <v>1000174119</v>
      </c>
      <c r="K755" s="5" t="str">
        <f>_xlfn.XLOOKUP($N755,'Base de Grupos'!$A:$A,'Base de Grupos'!$M:$M)</f>
        <v>REGIONAL VENDA INTERNA - CONVENIENCIA</v>
      </c>
      <c r="L755" s="5" t="str">
        <f t="shared" si="317"/>
        <v/>
      </c>
      <c r="M755" s="5" t="str">
        <f>_xlfn.XLOOKUP($N755,'Base de Grupos'!$A:$A,'Base de Grupos'!$C:$C)</f>
        <v>PI</v>
      </c>
      <c r="N755" s="3">
        <v>1505</v>
      </c>
      <c r="O755" s="4" t="s">
        <v>265</v>
      </c>
      <c r="P755" s="5" t="s">
        <v>96</v>
      </c>
      <c r="Q755" s="24">
        <v>0</v>
      </c>
      <c r="R755" s="24">
        <v>0</v>
      </c>
      <c r="S755" s="24">
        <v>0</v>
      </c>
      <c r="T755" s="24">
        <v>0</v>
      </c>
      <c r="U755" s="24">
        <v>0</v>
      </c>
      <c r="V755" s="24">
        <v>0</v>
      </c>
      <c r="W755" s="24">
        <v>0</v>
      </c>
      <c r="X755" s="24">
        <v>0</v>
      </c>
      <c r="Y755" s="24">
        <v>0</v>
      </c>
      <c r="Z755" s="24">
        <v>0</v>
      </c>
      <c r="AA755" s="24">
        <v>0</v>
      </c>
      <c r="AB755" s="24">
        <v>0</v>
      </c>
      <c r="AC755" s="30">
        <f t="shared" si="329"/>
        <v>0</v>
      </c>
      <c r="AD755" s="28"/>
      <c r="AE755" s="12"/>
      <c r="AF755" s="29"/>
      <c r="AG755" s="9"/>
      <c r="AH755" s="10"/>
      <c r="AI755" s="9"/>
      <c r="AJ755" s="11"/>
      <c r="AK755" s="9"/>
      <c r="AL755" s="13"/>
      <c r="AM755" s="9"/>
    </row>
    <row r="756" spans="1:39" x14ac:dyDescent="0.3">
      <c r="A756" s="2" t="str">
        <f t="shared" si="316"/>
        <v>NÃO</v>
      </c>
      <c r="B756" s="2" t="str">
        <f>_xlfn.XLOOKUP($N756,'Base de Grupos'!$A:$A,'Base de Grupos'!$D:$D)</f>
        <v>1000065763</v>
      </c>
      <c r="C756" s="5" t="str">
        <f>_xlfn.XLOOKUP($N756,'Base de Grupos'!$A:$A,'Base de Grupos'!$E:$E)</f>
        <v>CANAL VENDA INTERNA</v>
      </c>
      <c r="D756" s="5" t="str">
        <f>_xlfn.XLOOKUP($N756,'Base de Grupos'!$A:$A,'Base de Grupos'!$F:$F)</f>
        <v>1000065763</v>
      </c>
      <c r="E756" s="2" t="str">
        <f>_xlfn.XLOOKUP($N756,'Base de Grupos'!$A:$A,'Base de Grupos'!$G:$G)</f>
        <v>CANAL VENDA INTERNA</v>
      </c>
      <c r="F756" s="2" t="str">
        <f>_xlfn.XLOOKUP($N756,'Base de Grupos'!$A:$A,'Base de Grupos'!$H:$H)</f>
        <v>1000174119</v>
      </c>
      <c r="G756" s="5" t="str">
        <f>_xlfn.XLOOKUP($N756,'Base de Grupos'!$A:$A,'Base de Grupos'!$I:$I)</f>
        <v>REGIONAL VENDA INTERNA - CONVENIENCIA</v>
      </c>
      <c r="H756" s="5" t="str">
        <f>_xlfn.XLOOKUP($N756,'Base de Grupos'!$A:$A,'Base de Grupos'!$J:$J)</f>
        <v>1000174119</v>
      </c>
      <c r="I756" s="2" t="str">
        <f>_xlfn.XLOOKUP($N756,'Base de Grupos'!$A:$A,'Base de Grupos'!$K:$K)</f>
        <v>REGIONAL VENDA INTERNA - CONVENIENCIA</v>
      </c>
      <c r="J756" s="2" t="str">
        <f>_xlfn.XLOOKUP($N756,'Base de Grupos'!$A:$A,'Base de Grupos'!$L:$L)</f>
        <v>1000174119</v>
      </c>
      <c r="K756" s="5" t="str">
        <f>_xlfn.XLOOKUP($N756,'Base de Grupos'!$A:$A,'Base de Grupos'!$M:$M)</f>
        <v>REGIONAL VENDA INTERNA - CONVENIENCIA</v>
      </c>
      <c r="L756" s="5" t="str">
        <f t="shared" si="317"/>
        <v/>
      </c>
      <c r="M756" s="5" t="str">
        <f>_xlfn.XLOOKUP($N756,'Base de Grupos'!$A:$A,'Base de Grupos'!$C:$C)</f>
        <v>PI</v>
      </c>
      <c r="N756" s="3">
        <v>1505</v>
      </c>
      <c r="O756" s="4" t="s">
        <v>265</v>
      </c>
      <c r="P756" s="5" t="s">
        <v>94</v>
      </c>
      <c r="Q756" s="24">
        <v>0</v>
      </c>
      <c r="R756" s="24">
        <v>0</v>
      </c>
      <c r="S756" s="24">
        <v>0</v>
      </c>
      <c r="T756" s="24">
        <v>0</v>
      </c>
      <c r="U756" s="24">
        <v>0</v>
      </c>
      <c r="V756" s="24">
        <v>0</v>
      </c>
      <c r="W756" s="24">
        <v>0</v>
      </c>
      <c r="X756" s="24">
        <v>0</v>
      </c>
      <c r="Y756" s="24">
        <v>0</v>
      </c>
      <c r="Z756" s="24">
        <v>0</v>
      </c>
      <c r="AA756" s="24">
        <v>0</v>
      </c>
      <c r="AB756" s="24">
        <v>0</v>
      </c>
      <c r="AC756" s="30">
        <f t="shared" si="329"/>
        <v>0</v>
      </c>
      <c r="AD756" s="28"/>
      <c r="AE756" s="12"/>
      <c r="AF756" s="29"/>
      <c r="AG756" s="9"/>
      <c r="AH756" s="10"/>
      <c r="AI756" s="9"/>
      <c r="AJ756" s="11"/>
      <c r="AK756" s="9"/>
      <c r="AL756" s="13"/>
      <c r="AM756" s="9"/>
    </row>
    <row r="757" spans="1:39" x14ac:dyDescent="0.3">
      <c r="A757" s="2" t="str">
        <f t="shared" si="316"/>
        <v>NÃO</v>
      </c>
      <c r="B757" s="2" t="str">
        <f>_xlfn.XLOOKUP($N757,'Base de Grupos'!$A:$A,'Base de Grupos'!$D:$D)</f>
        <v>1000065763</v>
      </c>
      <c r="C757" s="5" t="str">
        <f>_xlfn.XLOOKUP($N757,'Base de Grupos'!$A:$A,'Base de Grupos'!$E:$E)</f>
        <v>CANAL VENDA INTERNA</v>
      </c>
      <c r="D757" s="5" t="str">
        <f>_xlfn.XLOOKUP($N757,'Base de Grupos'!$A:$A,'Base de Grupos'!$F:$F)</f>
        <v>1000065763</v>
      </c>
      <c r="E757" s="2" t="str">
        <f>_xlfn.XLOOKUP($N757,'Base de Grupos'!$A:$A,'Base de Grupos'!$G:$G)</f>
        <v>CANAL VENDA INTERNA</v>
      </c>
      <c r="F757" s="2" t="str">
        <f>_xlfn.XLOOKUP($N757,'Base de Grupos'!$A:$A,'Base de Grupos'!$H:$H)</f>
        <v>1000174119</v>
      </c>
      <c r="G757" s="5" t="str">
        <f>_xlfn.XLOOKUP($N757,'Base de Grupos'!$A:$A,'Base de Grupos'!$I:$I)</f>
        <v>REGIONAL VENDA INTERNA - CONVENIENCIA</v>
      </c>
      <c r="H757" s="5" t="str">
        <f>_xlfn.XLOOKUP($N757,'Base de Grupos'!$A:$A,'Base de Grupos'!$J:$J)</f>
        <v>1000174119</v>
      </c>
      <c r="I757" s="2" t="str">
        <f>_xlfn.XLOOKUP($N757,'Base de Grupos'!$A:$A,'Base de Grupos'!$K:$K)</f>
        <v>REGIONAL VENDA INTERNA - CONVENIENCIA</v>
      </c>
      <c r="J757" s="2" t="str">
        <f>_xlfn.XLOOKUP($N757,'Base de Grupos'!$A:$A,'Base de Grupos'!$L:$L)</f>
        <v>1000174119</v>
      </c>
      <c r="K757" s="5" t="str">
        <f>_xlfn.XLOOKUP($N757,'Base de Grupos'!$A:$A,'Base de Grupos'!$M:$M)</f>
        <v>REGIONAL VENDA INTERNA - CONVENIENCIA</v>
      </c>
      <c r="L757" s="5" t="str">
        <f t="shared" si="317"/>
        <v/>
      </c>
      <c r="M757" s="5" t="str">
        <f>_xlfn.XLOOKUP($N757,'Base de Grupos'!$A:$A,'Base de Grupos'!$C:$C)</f>
        <v>PI</v>
      </c>
      <c r="N757" s="3">
        <v>1505</v>
      </c>
      <c r="O757" s="4" t="s">
        <v>265</v>
      </c>
      <c r="P757" s="5" t="s">
        <v>95</v>
      </c>
      <c r="Q757" s="24">
        <v>0</v>
      </c>
      <c r="R757" s="24">
        <v>0</v>
      </c>
      <c r="S757" s="24">
        <v>0</v>
      </c>
      <c r="T757" s="24">
        <v>0</v>
      </c>
      <c r="U757" s="24">
        <v>0</v>
      </c>
      <c r="V757" s="24">
        <v>0</v>
      </c>
      <c r="W757" s="24">
        <v>0</v>
      </c>
      <c r="X757" s="24">
        <v>0</v>
      </c>
      <c r="Y757" s="24">
        <v>0</v>
      </c>
      <c r="Z757" s="24">
        <v>0</v>
      </c>
      <c r="AA757" s="24">
        <v>0</v>
      </c>
      <c r="AB757" s="24">
        <v>0</v>
      </c>
      <c r="AC757" s="30">
        <f t="shared" si="329"/>
        <v>0</v>
      </c>
      <c r="AD757" s="28"/>
      <c r="AE757" s="12"/>
      <c r="AF757" s="29"/>
      <c r="AG757" s="9"/>
      <c r="AH757" s="10"/>
      <c r="AI757" s="9"/>
      <c r="AJ757" s="11"/>
      <c r="AK757" s="9"/>
      <c r="AL757" s="13"/>
      <c r="AM757" s="9"/>
    </row>
    <row r="758" spans="1:39" x14ac:dyDescent="0.3">
      <c r="A758" s="2" t="str">
        <f t="shared" si="316"/>
        <v>NÃO</v>
      </c>
      <c r="B758" s="2" t="str">
        <f>_xlfn.XLOOKUP($N758,'Base de Grupos'!$A:$A,'Base de Grupos'!$D:$D)</f>
        <v>1000065763</v>
      </c>
      <c r="C758" s="5" t="str">
        <f>_xlfn.XLOOKUP($N758,'Base de Grupos'!$A:$A,'Base de Grupos'!$E:$E)</f>
        <v>CANAL VENDA INTERNA</v>
      </c>
      <c r="D758" s="5" t="str">
        <f>_xlfn.XLOOKUP($N758,'Base de Grupos'!$A:$A,'Base de Grupos'!$F:$F)</f>
        <v>1000065763</v>
      </c>
      <c r="E758" s="2" t="str">
        <f>_xlfn.XLOOKUP($N758,'Base de Grupos'!$A:$A,'Base de Grupos'!$G:$G)</f>
        <v>CANAL VENDA INTERNA</v>
      </c>
      <c r="F758" s="2" t="str">
        <f>_xlfn.XLOOKUP($N758,'Base de Grupos'!$A:$A,'Base de Grupos'!$H:$H)</f>
        <v>1000174119</v>
      </c>
      <c r="G758" s="5" t="str">
        <f>_xlfn.XLOOKUP($N758,'Base de Grupos'!$A:$A,'Base de Grupos'!$I:$I)</f>
        <v>REGIONAL VENDA INTERNA - CONVENIENCIA</v>
      </c>
      <c r="H758" s="5" t="str">
        <f>_xlfn.XLOOKUP($N758,'Base de Grupos'!$A:$A,'Base de Grupos'!$J:$J)</f>
        <v>1000174119</v>
      </c>
      <c r="I758" s="2" t="str">
        <f>_xlfn.XLOOKUP($N758,'Base de Grupos'!$A:$A,'Base de Grupos'!$K:$K)</f>
        <v>REGIONAL VENDA INTERNA - CONVENIENCIA</v>
      </c>
      <c r="J758" s="2" t="str">
        <f>_xlfn.XLOOKUP($N758,'Base de Grupos'!$A:$A,'Base de Grupos'!$L:$L)</f>
        <v>1000174119</v>
      </c>
      <c r="K758" s="5" t="str">
        <f>_xlfn.XLOOKUP($N758,'Base de Grupos'!$A:$A,'Base de Grupos'!$M:$M)</f>
        <v>REGIONAL VENDA INTERNA - CONVENIENCIA</v>
      </c>
      <c r="L758" s="5" t="str">
        <f t="shared" si="317"/>
        <v/>
      </c>
      <c r="M758" s="5" t="str">
        <f>_xlfn.XLOOKUP($N758,'Base de Grupos'!$A:$A,'Base de Grupos'!$C:$C)</f>
        <v>PI</v>
      </c>
      <c r="N758" s="3">
        <v>1505</v>
      </c>
      <c r="O758" s="4" t="s">
        <v>265</v>
      </c>
      <c r="P758" s="5" t="s">
        <v>93</v>
      </c>
      <c r="Q758" s="24">
        <v>0</v>
      </c>
      <c r="R758" s="24">
        <v>0</v>
      </c>
      <c r="S758" s="24">
        <v>0</v>
      </c>
      <c r="T758" s="24">
        <v>0</v>
      </c>
      <c r="U758" s="24">
        <v>0</v>
      </c>
      <c r="V758" s="24">
        <v>0</v>
      </c>
      <c r="W758" s="24">
        <v>0</v>
      </c>
      <c r="X758" s="24">
        <v>0</v>
      </c>
      <c r="Y758" s="24">
        <v>0</v>
      </c>
      <c r="Z758" s="24">
        <v>0</v>
      </c>
      <c r="AA758" s="24">
        <v>0</v>
      </c>
      <c r="AB758" s="24">
        <v>0</v>
      </c>
      <c r="AC758" s="30">
        <f t="shared" si="329"/>
        <v>0</v>
      </c>
      <c r="AD758" s="28"/>
      <c r="AE758" s="12"/>
      <c r="AF758" s="29"/>
      <c r="AG758" s="9"/>
      <c r="AH758" s="10"/>
      <c r="AI758" s="9"/>
      <c r="AJ758" s="11"/>
      <c r="AK758" s="9"/>
      <c r="AL758" s="13"/>
      <c r="AM758" s="9"/>
    </row>
    <row r="759" spans="1:39" x14ac:dyDescent="0.3">
      <c r="A759" s="2" t="str">
        <f t="shared" si="316"/>
        <v>SIM</v>
      </c>
      <c r="B759" s="2" t="str">
        <f>_xlfn.XLOOKUP($N759,'Base de Grupos'!$A:$A,'Base de Grupos'!$D:$D)</f>
        <v>1000065763</v>
      </c>
      <c r="C759" s="5" t="str">
        <f>_xlfn.XLOOKUP($N759,'Base de Grupos'!$A:$A,'Base de Grupos'!$E:$E)</f>
        <v>CANAL VENDA INTERNA</v>
      </c>
      <c r="D759" s="5" t="str">
        <f>_xlfn.XLOOKUP($N759,'Base de Grupos'!$A:$A,'Base de Grupos'!$F:$F)</f>
        <v>1000065763</v>
      </c>
      <c r="E759" s="2" t="str">
        <f>_xlfn.XLOOKUP($N759,'Base de Grupos'!$A:$A,'Base de Grupos'!$G:$G)</f>
        <v>CANAL VENDA INTERNA</v>
      </c>
      <c r="F759" s="2" t="str">
        <f>_xlfn.XLOOKUP($N759,'Base de Grupos'!$A:$A,'Base de Grupos'!$H:$H)</f>
        <v>1000174119</v>
      </c>
      <c r="G759" s="5" t="str">
        <f>_xlfn.XLOOKUP($N759,'Base de Grupos'!$A:$A,'Base de Grupos'!$I:$I)</f>
        <v>REGIONAL VENDA INTERNA - CONVENIENCIA</v>
      </c>
      <c r="H759" s="5" t="str">
        <f>_xlfn.XLOOKUP($N759,'Base de Grupos'!$A:$A,'Base de Grupos'!$J:$J)</f>
        <v>1000174119</v>
      </c>
      <c r="I759" s="2" t="str">
        <f>_xlfn.XLOOKUP($N759,'Base de Grupos'!$A:$A,'Base de Grupos'!$K:$K)</f>
        <v>REGIONAL VENDA INTERNA - CONVENIENCIA</v>
      </c>
      <c r="J759" s="2" t="str">
        <f>_xlfn.XLOOKUP($N759,'Base de Grupos'!$A:$A,'Base de Grupos'!$L:$L)</f>
        <v>1000174119</v>
      </c>
      <c r="K759" s="5" t="str">
        <f>_xlfn.XLOOKUP($N759,'Base de Grupos'!$A:$A,'Base de Grupos'!$M:$M)</f>
        <v>REGIONAL VENDA INTERNA - CONVENIENCIA</v>
      </c>
      <c r="L759" s="5">
        <f t="shared" si="317"/>
        <v>1</v>
      </c>
      <c r="M759" s="5" t="str">
        <f>_xlfn.XLOOKUP($N759,'Base de Grupos'!$A:$A,'Base de Grupos'!$C:$C)</f>
        <v>PE</v>
      </c>
      <c r="N759" s="3">
        <v>1507</v>
      </c>
      <c r="O759" s="4" t="s">
        <v>266</v>
      </c>
      <c r="P759" s="5" t="s">
        <v>336</v>
      </c>
      <c r="Q759" s="24">
        <v>0</v>
      </c>
      <c r="R759" s="24">
        <v>0</v>
      </c>
      <c r="S759" s="24">
        <v>0</v>
      </c>
      <c r="T759" s="24">
        <v>0</v>
      </c>
      <c r="U759" s="24">
        <v>0</v>
      </c>
      <c r="V759" s="24">
        <v>0</v>
      </c>
      <c r="W759" s="24">
        <v>0</v>
      </c>
      <c r="X759" s="24">
        <v>0</v>
      </c>
      <c r="Y759" s="24">
        <v>0</v>
      </c>
      <c r="Z759" s="24">
        <v>0</v>
      </c>
      <c r="AA759" s="24">
        <v>0</v>
      </c>
      <c r="AB759" s="24">
        <v>0</v>
      </c>
      <c r="AC759" s="30">
        <f t="shared" si="329"/>
        <v>0</v>
      </c>
      <c r="AD759" s="28"/>
      <c r="AE759" s="12"/>
      <c r="AF759" s="29"/>
      <c r="AG759" s="9"/>
      <c r="AH759" s="10"/>
      <c r="AI759" s="9"/>
      <c r="AJ759" s="11"/>
      <c r="AK759" s="9"/>
      <c r="AL759" s="13"/>
      <c r="AM759" s="9"/>
    </row>
    <row r="760" spans="1:39" x14ac:dyDescent="0.3">
      <c r="A760" s="2" t="str">
        <f t="shared" si="316"/>
        <v>NÃO</v>
      </c>
      <c r="B760" s="2" t="str">
        <f>_xlfn.XLOOKUP($N760,'Base de Grupos'!$A:$A,'Base de Grupos'!$D:$D)</f>
        <v>1000065763</v>
      </c>
      <c r="C760" s="5" t="str">
        <f>_xlfn.XLOOKUP($N760,'Base de Grupos'!$A:$A,'Base de Grupos'!$E:$E)</f>
        <v>CANAL VENDA INTERNA</v>
      </c>
      <c r="D760" s="5" t="str">
        <f>_xlfn.XLOOKUP($N760,'Base de Grupos'!$A:$A,'Base de Grupos'!$F:$F)</f>
        <v>1000065763</v>
      </c>
      <c r="E760" s="2" t="str">
        <f>_xlfn.XLOOKUP($N760,'Base de Grupos'!$A:$A,'Base de Grupos'!$G:$G)</f>
        <v>CANAL VENDA INTERNA</v>
      </c>
      <c r="F760" s="2" t="str">
        <f>_xlfn.XLOOKUP($N760,'Base de Grupos'!$A:$A,'Base de Grupos'!$H:$H)</f>
        <v>1000174119</v>
      </c>
      <c r="G760" s="5" t="str">
        <f>_xlfn.XLOOKUP($N760,'Base de Grupos'!$A:$A,'Base de Grupos'!$I:$I)</f>
        <v>REGIONAL VENDA INTERNA - CONVENIENCIA</v>
      </c>
      <c r="H760" s="5" t="str">
        <f>_xlfn.XLOOKUP($N760,'Base de Grupos'!$A:$A,'Base de Grupos'!$J:$J)</f>
        <v>1000174119</v>
      </c>
      <c r="I760" s="2" t="str">
        <f>_xlfn.XLOOKUP($N760,'Base de Grupos'!$A:$A,'Base de Grupos'!$K:$K)</f>
        <v>REGIONAL VENDA INTERNA - CONVENIENCIA</v>
      </c>
      <c r="J760" s="2" t="str">
        <f>_xlfn.XLOOKUP($N760,'Base de Grupos'!$A:$A,'Base de Grupos'!$L:$L)</f>
        <v>1000174119</v>
      </c>
      <c r="K760" s="5" t="str">
        <f>_xlfn.XLOOKUP($N760,'Base de Grupos'!$A:$A,'Base de Grupos'!$M:$M)</f>
        <v>REGIONAL VENDA INTERNA - CONVENIENCIA</v>
      </c>
      <c r="L760" s="5" t="str">
        <f t="shared" si="317"/>
        <v/>
      </c>
      <c r="M760" s="5" t="str">
        <f>_xlfn.XLOOKUP($N760,'Base de Grupos'!$A:$A,'Base de Grupos'!$C:$C)</f>
        <v>PE</v>
      </c>
      <c r="N760" s="3">
        <v>1507</v>
      </c>
      <c r="O760" s="4" t="s">
        <v>266</v>
      </c>
      <c r="P760" s="5" t="s">
        <v>81</v>
      </c>
      <c r="Q760" s="24">
        <v>0</v>
      </c>
      <c r="R760" s="24">
        <v>0</v>
      </c>
      <c r="S760" s="24">
        <v>0</v>
      </c>
      <c r="T760" s="24">
        <v>0</v>
      </c>
      <c r="U760" s="24">
        <v>0</v>
      </c>
      <c r="V760" s="24">
        <v>0</v>
      </c>
      <c r="W760" s="24">
        <v>0</v>
      </c>
      <c r="X760" s="24">
        <v>0</v>
      </c>
      <c r="Y760" s="24">
        <v>0</v>
      </c>
      <c r="Z760" s="24">
        <v>0</v>
      </c>
      <c r="AA760" s="24">
        <v>0</v>
      </c>
      <c r="AB760" s="24">
        <v>0</v>
      </c>
      <c r="AC760" s="30">
        <f t="shared" si="329"/>
        <v>0</v>
      </c>
      <c r="AD760" s="28"/>
      <c r="AE760" s="12"/>
      <c r="AF760" s="29"/>
      <c r="AG760" s="9"/>
      <c r="AH760" s="10"/>
      <c r="AI760" s="9"/>
      <c r="AJ760" s="11"/>
      <c r="AK760" s="9"/>
      <c r="AL760" s="13"/>
      <c r="AM760" s="9"/>
    </row>
    <row r="761" spans="1:39" x14ac:dyDescent="0.3">
      <c r="A761" s="2" t="str">
        <f t="shared" si="316"/>
        <v>NÃO</v>
      </c>
      <c r="B761" s="2" t="str">
        <f>_xlfn.XLOOKUP($N761,'Base de Grupos'!$A:$A,'Base de Grupos'!$D:$D)</f>
        <v>1000065763</v>
      </c>
      <c r="C761" s="5" t="str">
        <f>_xlfn.XLOOKUP($N761,'Base de Grupos'!$A:$A,'Base de Grupos'!$E:$E)</f>
        <v>CANAL VENDA INTERNA</v>
      </c>
      <c r="D761" s="5" t="str">
        <f>_xlfn.XLOOKUP($N761,'Base de Grupos'!$A:$A,'Base de Grupos'!$F:$F)</f>
        <v>1000065763</v>
      </c>
      <c r="E761" s="2" t="str">
        <f>_xlfn.XLOOKUP($N761,'Base de Grupos'!$A:$A,'Base de Grupos'!$G:$G)</f>
        <v>CANAL VENDA INTERNA</v>
      </c>
      <c r="F761" s="2" t="str">
        <f>_xlfn.XLOOKUP($N761,'Base de Grupos'!$A:$A,'Base de Grupos'!$H:$H)</f>
        <v>1000174119</v>
      </c>
      <c r="G761" s="5" t="str">
        <f>_xlfn.XLOOKUP($N761,'Base de Grupos'!$A:$A,'Base de Grupos'!$I:$I)</f>
        <v>REGIONAL VENDA INTERNA - CONVENIENCIA</v>
      </c>
      <c r="H761" s="5" t="str">
        <f>_xlfn.XLOOKUP($N761,'Base de Grupos'!$A:$A,'Base de Grupos'!$J:$J)</f>
        <v>1000174119</v>
      </c>
      <c r="I761" s="2" t="str">
        <f>_xlfn.XLOOKUP($N761,'Base de Grupos'!$A:$A,'Base de Grupos'!$K:$K)</f>
        <v>REGIONAL VENDA INTERNA - CONVENIENCIA</v>
      </c>
      <c r="J761" s="2" t="str">
        <f>_xlfn.XLOOKUP($N761,'Base de Grupos'!$A:$A,'Base de Grupos'!$L:$L)</f>
        <v>1000174119</v>
      </c>
      <c r="K761" s="5" t="str">
        <f>_xlfn.XLOOKUP($N761,'Base de Grupos'!$A:$A,'Base de Grupos'!$M:$M)</f>
        <v>REGIONAL VENDA INTERNA - CONVENIENCIA</v>
      </c>
      <c r="L761" s="5" t="str">
        <f t="shared" si="317"/>
        <v/>
      </c>
      <c r="M761" s="5" t="str">
        <f>_xlfn.XLOOKUP($N761,'Base de Grupos'!$A:$A,'Base de Grupos'!$C:$C)</f>
        <v>PE</v>
      </c>
      <c r="N761" s="3">
        <v>1507</v>
      </c>
      <c r="O761" s="4" t="s">
        <v>266</v>
      </c>
      <c r="P761" s="5" t="s">
        <v>82</v>
      </c>
      <c r="Q761" s="24">
        <v>0</v>
      </c>
      <c r="R761" s="24">
        <v>0</v>
      </c>
      <c r="S761" s="24">
        <v>0</v>
      </c>
      <c r="T761" s="24">
        <v>0</v>
      </c>
      <c r="U761" s="24">
        <v>0</v>
      </c>
      <c r="V761" s="24">
        <v>0</v>
      </c>
      <c r="W761" s="24">
        <v>0</v>
      </c>
      <c r="X761" s="24">
        <v>0</v>
      </c>
      <c r="Y761" s="24">
        <v>0</v>
      </c>
      <c r="Z761" s="24">
        <v>0</v>
      </c>
      <c r="AA761" s="24">
        <v>0</v>
      </c>
      <c r="AB761" s="24">
        <v>0</v>
      </c>
      <c r="AC761" s="30">
        <f t="shared" si="329"/>
        <v>0</v>
      </c>
      <c r="AD761" s="28"/>
      <c r="AE761" s="12"/>
      <c r="AF761" s="29"/>
      <c r="AG761" s="9"/>
      <c r="AH761" s="10"/>
      <c r="AI761" s="9"/>
      <c r="AJ761" s="11"/>
      <c r="AK761" s="9"/>
      <c r="AL761" s="13"/>
      <c r="AM761" s="9"/>
    </row>
    <row r="762" spans="1:39" x14ac:dyDescent="0.3">
      <c r="A762" s="2" t="str">
        <f t="shared" si="316"/>
        <v>NÃO</v>
      </c>
      <c r="B762" s="2" t="str">
        <f>_xlfn.XLOOKUP($N762,'Base de Grupos'!$A:$A,'Base de Grupos'!$D:$D)</f>
        <v>1000065763</v>
      </c>
      <c r="C762" s="5" t="str">
        <f>_xlfn.XLOOKUP($N762,'Base de Grupos'!$A:$A,'Base de Grupos'!$E:$E)</f>
        <v>CANAL VENDA INTERNA</v>
      </c>
      <c r="D762" s="5" t="str">
        <f>_xlfn.XLOOKUP($N762,'Base de Grupos'!$A:$A,'Base de Grupos'!$F:$F)</f>
        <v>1000065763</v>
      </c>
      <c r="E762" s="2" t="str">
        <f>_xlfn.XLOOKUP($N762,'Base de Grupos'!$A:$A,'Base de Grupos'!$G:$G)</f>
        <v>CANAL VENDA INTERNA</v>
      </c>
      <c r="F762" s="2" t="str">
        <f>_xlfn.XLOOKUP($N762,'Base de Grupos'!$A:$A,'Base de Grupos'!$H:$H)</f>
        <v>1000174119</v>
      </c>
      <c r="G762" s="5" t="str">
        <f>_xlfn.XLOOKUP($N762,'Base de Grupos'!$A:$A,'Base de Grupos'!$I:$I)</f>
        <v>REGIONAL VENDA INTERNA - CONVENIENCIA</v>
      </c>
      <c r="H762" s="5" t="str">
        <f>_xlfn.XLOOKUP($N762,'Base de Grupos'!$A:$A,'Base de Grupos'!$J:$J)</f>
        <v>1000174119</v>
      </c>
      <c r="I762" s="2" t="str">
        <f>_xlfn.XLOOKUP($N762,'Base de Grupos'!$A:$A,'Base de Grupos'!$K:$K)</f>
        <v>REGIONAL VENDA INTERNA - CONVENIENCIA</v>
      </c>
      <c r="J762" s="2" t="str">
        <f>_xlfn.XLOOKUP($N762,'Base de Grupos'!$A:$A,'Base de Grupos'!$L:$L)</f>
        <v>1000174119</v>
      </c>
      <c r="K762" s="5" t="str">
        <f>_xlfn.XLOOKUP($N762,'Base de Grupos'!$A:$A,'Base de Grupos'!$M:$M)</f>
        <v>REGIONAL VENDA INTERNA - CONVENIENCIA</v>
      </c>
      <c r="L762" s="5" t="str">
        <f t="shared" si="317"/>
        <v/>
      </c>
      <c r="M762" s="5" t="str">
        <f>_xlfn.XLOOKUP($N762,'Base de Grupos'!$A:$A,'Base de Grupos'!$C:$C)</f>
        <v>PE</v>
      </c>
      <c r="N762" s="3">
        <v>1507</v>
      </c>
      <c r="O762" s="4" t="s">
        <v>266</v>
      </c>
      <c r="P762" s="5" t="s">
        <v>84</v>
      </c>
      <c r="Q762" s="24">
        <v>0</v>
      </c>
      <c r="R762" s="24">
        <v>0</v>
      </c>
      <c r="S762" s="24">
        <v>0</v>
      </c>
      <c r="T762" s="24">
        <v>0</v>
      </c>
      <c r="U762" s="24">
        <v>0</v>
      </c>
      <c r="V762" s="24">
        <v>0</v>
      </c>
      <c r="W762" s="24">
        <v>0</v>
      </c>
      <c r="X762" s="24">
        <v>0</v>
      </c>
      <c r="Y762" s="24">
        <v>0</v>
      </c>
      <c r="Z762" s="24">
        <v>0</v>
      </c>
      <c r="AA762" s="24">
        <v>0</v>
      </c>
      <c r="AB762" s="24">
        <v>0</v>
      </c>
      <c r="AC762" s="30">
        <f t="shared" si="329"/>
        <v>0</v>
      </c>
      <c r="AD762" s="28"/>
      <c r="AE762" s="12"/>
      <c r="AF762" s="29"/>
      <c r="AG762" s="9"/>
      <c r="AH762" s="10"/>
      <c r="AI762" s="9"/>
      <c r="AJ762" s="11"/>
      <c r="AK762" s="9"/>
      <c r="AL762" s="13"/>
      <c r="AM762" s="9"/>
    </row>
    <row r="763" spans="1:39" x14ac:dyDescent="0.3">
      <c r="A763" s="2" t="str">
        <f t="shared" si="316"/>
        <v>NÃO</v>
      </c>
      <c r="B763" s="2" t="str">
        <f>_xlfn.XLOOKUP($N763,'Base de Grupos'!$A:$A,'Base de Grupos'!$D:$D)</f>
        <v>1000065763</v>
      </c>
      <c r="C763" s="5" t="str">
        <f>_xlfn.XLOOKUP($N763,'Base de Grupos'!$A:$A,'Base de Grupos'!$E:$E)</f>
        <v>CANAL VENDA INTERNA</v>
      </c>
      <c r="D763" s="5" t="str">
        <f>_xlfn.XLOOKUP($N763,'Base de Grupos'!$A:$A,'Base de Grupos'!$F:$F)</f>
        <v>1000065763</v>
      </c>
      <c r="E763" s="2" t="str">
        <f>_xlfn.XLOOKUP($N763,'Base de Grupos'!$A:$A,'Base de Grupos'!$G:$G)</f>
        <v>CANAL VENDA INTERNA</v>
      </c>
      <c r="F763" s="2" t="str">
        <f>_xlfn.XLOOKUP($N763,'Base de Grupos'!$A:$A,'Base de Grupos'!$H:$H)</f>
        <v>1000174119</v>
      </c>
      <c r="G763" s="5" t="str">
        <f>_xlfn.XLOOKUP($N763,'Base de Grupos'!$A:$A,'Base de Grupos'!$I:$I)</f>
        <v>REGIONAL VENDA INTERNA - CONVENIENCIA</v>
      </c>
      <c r="H763" s="5" t="str">
        <f>_xlfn.XLOOKUP($N763,'Base de Grupos'!$A:$A,'Base de Grupos'!$J:$J)</f>
        <v>1000174119</v>
      </c>
      <c r="I763" s="2" t="str">
        <f>_xlfn.XLOOKUP($N763,'Base de Grupos'!$A:$A,'Base de Grupos'!$K:$K)</f>
        <v>REGIONAL VENDA INTERNA - CONVENIENCIA</v>
      </c>
      <c r="J763" s="2" t="str">
        <f>_xlfn.XLOOKUP($N763,'Base de Grupos'!$A:$A,'Base de Grupos'!$L:$L)</f>
        <v>1000174119</v>
      </c>
      <c r="K763" s="5" t="str">
        <f>_xlfn.XLOOKUP($N763,'Base de Grupos'!$A:$A,'Base de Grupos'!$M:$M)</f>
        <v>REGIONAL VENDA INTERNA - CONVENIENCIA</v>
      </c>
      <c r="L763" s="5" t="str">
        <f t="shared" si="317"/>
        <v/>
      </c>
      <c r="M763" s="5" t="str">
        <f>_xlfn.XLOOKUP($N763,'Base de Grupos'!$A:$A,'Base de Grupos'!$C:$C)</f>
        <v>PE</v>
      </c>
      <c r="N763" s="3">
        <v>1507</v>
      </c>
      <c r="O763" s="4" t="s">
        <v>266</v>
      </c>
      <c r="P763" s="5" t="s">
        <v>83</v>
      </c>
      <c r="Q763" s="24">
        <v>0</v>
      </c>
      <c r="R763" s="24">
        <v>0</v>
      </c>
      <c r="S763" s="24">
        <v>0</v>
      </c>
      <c r="T763" s="24">
        <v>0</v>
      </c>
      <c r="U763" s="24">
        <v>0</v>
      </c>
      <c r="V763" s="24">
        <v>0</v>
      </c>
      <c r="W763" s="24">
        <v>0</v>
      </c>
      <c r="X763" s="24">
        <v>0</v>
      </c>
      <c r="Y763" s="24">
        <v>0</v>
      </c>
      <c r="Z763" s="24">
        <v>0</v>
      </c>
      <c r="AA763" s="24">
        <v>0</v>
      </c>
      <c r="AB763" s="24">
        <v>0</v>
      </c>
      <c r="AC763" s="30">
        <f t="shared" si="329"/>
        <v>0</v>
      </c>
      <c r="AD763" s="28"/>
      <c r="AE763" s="12"/>
      <c r="AF763" s="29"/>
      <c r="AG763" s="9"/>
      <c r="AH763" s="10"/>
      <c r="AI763" s="9"/>
      <c r="AJ763" s="11"/>
      <c r="AK763" s="9"/>
      <c r="AL763" s="13"/>
      <c r="AM763" s="9"/>
    </row>
    <row r="764" spans="1:39" x14ac:dyDescent="0.3">
      <c r="A764" s="2" t="str">
        <f t="shared" si="316"/>
        <v>NÃO</v>
      </c>
      <c r="B764" s="2" t="str">
        <f>_xlfn.XLOOKUP($N764,'Base de Grupos'!$A:$A,'Base de Grupos'!$D:$D)</f>
        <v>1000065763</v>
      </c>
      <c r="C764" s="5" t="str">
        <f>_xlfn.XLOOKUP($N764,'Base de Grupos'!$A:$A,'Base de Grupos'!$E:$E)</f>
        <v>CANAL VENDA INTERNA</v>
      </c>
      <c r="D764" s="5" t="str">
        <f>_xlfn.XLOOKUP($N764,'Base de Grupos'!$A:$A,'Base de Grupos'!$F:$F)</f>
        <v>1000065763</v>
      </c>
      <c r="E764" s="2" t="str">
        <f>_xlfn.XLOOKUP($N764,'Base de Grupos'!$A:$A,'Base de Grupos'!$G:$G)</f>
        <v>CANAL VENDA INTERNA</v>
      </c>
      <c r="F764" s="2" t="str">
        <f>_xlfn.XLOOKUP($N764,'Base de Grupos'!$A:$A,'Base de Grupos'!$H:$H)</f>
        <v>1000174119</v>
      </c>
      <c r="G764" s="5" t="str">
        <f>_xlfn.XLOOKUP($N764,'Base de Grupos'!$A:$A,'Base de Grupos'!$I:$I)</f>
        <v>REGIONAL VENDA INTERNA - CONVENIENCIA</v>
      </c>
      <c r="H764" s="5" t="str">
        <f>_xlfn.XLOOKUP($N764,'Base de Grupos'!$A:$A,'Base de Grupos'!$J:$J)</f>
        <v>1000174119</v>
      </c>
      <c r="I764" s="2" t="str">
        <f>_xlfn.XLOOKUP($N764,'Base de Grupos'!$A:$A,'Base de Grupos'!$K:$K)</f>
        <v>REGIONAL VENDA INTERNA - CONVENIENCIA</v>
      </c>
      <c r="J764" s="2" t="str">
        <f>_xlfn.XLOOKUP($N764,'Base de Grupos'!$A:$A,'Base de Grupos'!$L:$L)</f>
        <v>1000174119</v>
      </c>
      <c r="K764" s="5" t="str">
        <f>_xlfn.XLOOKUP($N764,'Base de Grupos'!$A:$A,'Base de Grupos'!$M:$M)</f>
        <v>REGIONAL VENDA INTERNA - CONVENIENCIA</v>
      </c>
      <c r="L764" s="5" t="str">
        <f t="shared" si="317"/>
        <v/>
      </c>
      <c r="M764" s="5" t="str">
        <f>_xlfn.XLOOKUP($N764,'Base de Grupos'!$A:$A,'Base de Grupos'!$C:$C)</f>
        <v>PE</v>
      </c>
      <c r="N764" s="3">
        <v>1507</v>
      </c>
      <c r="O764" s="4" t="s">
        <v>266</v>
      </c>
      <c r="P764" s="5" t="s">
        <v>87</v>
      </c>
      <c r="Q764" s="24">
        <v>0</v>
      </c>
      <c r="R764" s="24">
        <v>0</v>
      </c>
      <c r="S764" s="24">
        <v>0</v>
      </c>
      <c r="T764" s="24">
        <v>0</v>
      </c>
      <c r="U764" s="24">
        <v>0</v>
      </c>
      <c r="V764" s="24">
        <v>0</v>
      </c>
      <c r="W764" s="24">
        <v>0</v>
      </c>
      <c r="X764" s="24">
        <v>0</v>
      </c>
      <c r="Y764" s="24">
        <v>0</v>
      </c>
      <c r="Z764" s="24">
        <v>0</v>
      </c>
      <c r="AA764" s="24">
        <v>0</v>
      </c>
      <c r="AB764" s="24">
        <v>0</v>
      </c>
      <c r="AC764" s="30">
        <f t="shared" si="329"/>
        <v>0</v>
      </c>
      <c r="AD764" s="28"/>
      <c r="AE764" s="12"/>
      <c r="AF764" s="29"/>
      <c r="AG764" s="9"/>
      <c r="AH764" s="10"/>
      <c r="AI764" s="9"/>
      <c r="AJ764" s="11"/>
      <c r="AK764" s="9"/>
      <c r="AL764" s="13"/>
      <c r="AM764" s="9"/>
    </row>
    <row r="765" spans="1:39" x14ac:dyDescent="0.3">
      <c r="A765" s="2" t="str">
        <f t="shared" si="316"/>
        <v>NÃO</v>
      </c>
      <c r="B765" s="2" t="str">
        <f>_xlfn.XLOOKUP($N765,'Base de Grupos'!$A:$A,'Base de Grupos'!$D:$D)</f>
        <v>1000065763</v>
      </c>
      <c r="C765" s="5" t="str">
        <f>_xlfn.XLOOKUP($N765,'Base de Grupos'!$A:$A,'Base de Grupos'!$E:$E)</f>
        <v>CANAL VENDA INTERNA</v>
      </c>
      <c r="D765" s="5" t="str">
        <f>_xlfn.XLOOKUP($N765,'Base de Grupos'!$A:$A,'Base de Grupos'!$F:$F)</f>
        <v>1000065763</v>
      </c>
      <c r="E765" s="2" t="str">
        <f>_xlfn.XLOOKUP($N765,'Base de Grupos'!$A:$A,'Base de Grupos'!$G:$G)</f>
        <v>CANAL VENDA INTERNA</v>
      </c>
      <c r="F765" s="2" t="str">
        <f>_xlfn.XLOOKUP($N765,'Base de Grupos'!$A:$A,'Base de Grupos'!$H:$H)</f>
        <v>1000174119</v>
      </c>
      <c r="G765" s="5" t="str">
        <f>_xlfn.XLOOKUP($N765,'Base de Grupos'!$A:$A,'Base de Grupos'!$I:$I)</f>
        <v>REGIONAL VENDA INTERNA - CONVENIENCIA</v>
      </c>
      <c r="H765" s="5" t="str">
        <f>_xlfn.XLOOKUP($N765,'Base de Grupos'!$A:$A,'Base de Grupos'!$J:$J)</f>
        <v>1000174119</v>
      </c>
      <c r="I765" s="2" t="str">
        <f>_xlfn.XLOOKUP($N765,'Base de Grupos'!$A:$A,'Base de Grupos'!$K:$K)</f>
        <v>REGIONAL VENDA INTERNA - CONVENIENCIA</v>
      </c>
      <c r="J765" s="2" t="str">
        <f>_xlfn.XLOOKUP($N765,'Base de Grupos'!$A:$A,'Base de Grupos'!$L:$L)</f>
        <v>1000174119</v>
      </c>
      <c r="K765" s="5" t="str">
        <f>_xlfn.XLOOKUP($N765,'Base de Grupos'!$A:$A,'Base de Grupos'!$M:$M)</f>
        <v>REGIONAL VENDA INTERNA - CONVENIENCIA</v>
      </c>
      <c r="L765" s="5" t="str">
        <f t="shared" si="317"/>
        <v/>
      </c>
      <c r="M765" s="5" t="str">
        <f>_xlfn.XLOOKUP($N765,'Base de Grupos'!$A:$A,'Base de Grupos'!$C:$C)</f>
        <v>PE</v>
      </c>
      <c r="N765" s="3">
        <v>1507</v>
      </c>
      <c r="O765" s="4" t="s">
        <v>266</v>
      </c>
      <c r="P765" s="5" t="s">
        <v>85</v>
      </c>
      <c r="Q765" s="24">
        <v>0</v>
      </c>
      <c r="R765" s="24">
        <v>0</v>
      </c>
      <c r="S765" s="24">
        <v>0</v>
      </c>
      <c r="T765" s="24">
        <v>0</v>
      </c>
      <c r="U765" s="24">
        <v>0</v>
      </c>
      <c r="V765" s="24">
        <v>0</v>
      </c>
      <c r="W765" s="24">
        <v>0</v>
      </c>
      <c r="X765" s="24">
        <v>0</v>
      </c>
      <c r="Y765" s="24">
        <v>0</v>
      </c>
      <c r="Z765" s="24">
        <v>0</v>
      </c>
      <c r="AA765" s="24">
        <v>0</v>
      </c>
      <c r="AB765" s="24">
        <v>0</v>
      </c>
      <c r="AC765" s="30">
        <f t="shared" si="329"/>
        <v>0</v>
      </c>
      <c r="AD765" s="28"/>
      <c r="AE765" s="12"/>
      <c r="AF765" s="29"/>
      <c r="AG765" s="9"/>
      <c r="AH765" s="10"/>
      <c r="AI765" s="9"/>
      <c r="AJ765" s="11"/>
      <c r="AK765" s="9"/>
      <c r="AL765" s="13"/>
      <c r="AM765" s="9"/>
    </row>
    <row r="766" spans="1:39" x14ac:dyDescent="0.3">
      <c r="A766" s="2" t="str">
        <f t="shared" si="316"/>
        <v>NÃO</v>
      </c>
      <c r="B766" s="2" t="str">
        <f>_xlfn.XLOOKUP($N766,'Base de Grupos'!$A:$A,'Base de Grupos'!$D:$D)</f>
        <v>1000065763</v>
      </c>
      <c r="C766" s="5" t="str">
        <f>_xlfn.XLOOKUP($N766,'Base de Grupos'!$A:$A,'Base de Grupos'!$E:$E)</f>
        <v>CANAL VENDA INTERNA</v>
      </c>
      <c r="D766" s="5" t="str">
        <f>_xlfn.XLOOKUP($N766,'Base de Grupos'!$A:$A,'Base de Grupos'!$F:$F)</f>
        <v>1000065763</v>
      </c>
      <c r="E766" s="2" t="str">
        <f>_xlfn.XLOOKUP($N766,'Base de Grupos'!$A:$A,'Base de Grupos'!$G:$G)</f>
        <v>CANAL VENDA INTERNA</v>
      </c>
      <c r="F766" s="2" t="str">
        <f>_xlfn.XLOOKUP($N766,'Base de Grupos'!$A:$A,'Base de Grupos'!$H:$H)</f>
        <v>1000174119</v>
      </c>
      <c r="G766" s="5" t="str">
        <f>_xlfn.XLOOKUP($N766,'Base de Grupos'!$A:$A,'Base de Grupos'!$I:$I)</f>
        <v>REGIONAL VENDA INTERNA - CONVENIENCIA</v>
      </c>
      <c r="H766" s="5" t="str">
        <f>_xlfn.XLOOKUP($N766,'Base de Grupos'!$A:$A,'Base de Grupos'!$J:$J)</f>
        <v>1000174119</v>
      </c>
      <c r="I766" s="2" t="str">
        <f>_xlfn.XLOOKUP($N766,'Base de Grupos'!$A:$A,'Base de Grupos'!$K:$K)</f>
        <v>REGIONAL VENDA INTERNA - CONVENIENCIA</v>
      </c>
      <c r="J766" s="2" t="str">
        <f>_xlfn.XLOOKUP($N766,'Base de Grupos'!$A:$A,'Base de Grupos'!$L:$L)</f>
        <v>1000174119</v>
      </c>
      <c r="K766" s="5" t="str">
        <f>_xlfn.XLOOKUP($N766,'Base de Grupos'!$A:$A,'Base de Grupos'!$M:$M)</f>
        <v>REGIONAL VENDA INTERNA - CONVENIENCIA</v>
      </c>
      <c r="L766" s="5" t="str">
        <f t="shared" si="317"/>
        <v/>
      </c>
      <c r="M766" s="5" t="str">
        <f>_xlfn.XLOOKUP($N766,'Base de Grupos'!$A:$A,'Base de Grupos'!$C:$C)</f>
        <v>PE</v>
      </c>
      <c r="N766" s="3">
        <v>1507</v>
      </c>
      <c r="O766" s="4" t="s">
        <v>266</v>
      </c>
      <c r="P766" s="5" t="s">
        <v>92</v>
      </c>
      <c r="Q766" s="24">
        <v>0</v>
      </c>
      <c r="R766" s="24">
        <v>0</v>
      </c>
      <c r="S766" s="24">
        <v>0</v>
      </c>
      <c r="T766" s="24">
        <v>0</v>
      </c>
      <c r="U766" s="24">
        <v>0</v>
      </c>
      <c r="V766" s="24">
        <v>0</v>
      </c>
      <c r="W766" s="24">
        <v>0</v>
      </c>
      <c r="X766" s="24">
        <v>0</v>
      </c>
      <c r="Y766" s="24">
        <v>0</v>
      </c>
      <c r="Z766" s="24">
        <v>0</v>
      </c>
      <c r="AA766" s="24">
        <v>0</v>
      </c>
      <c r="AB766" s="24">
        <v>0</v>
      </c>
      <c r="AC766" s="30">
        <f t="shared" si="329"/>
        <v>0</v>
      </c>
      <c r="AD766" s="28"/>
      <c r="AE766" s="12"/>
      <c r="AF766" s="29"/>
      <c r="AG766" s="9"/>
      <c r="AH766" s="10"/>
      <c r="AI766" s="9"/>
      <c r="AJ766" s="11"/>
      <c r="AK766" s="9"/>
      <c r="AL766" s="13"/>
      <c r="AM766" s="9"/>
    </row>
    <row r="767" spans="1:39" x14ac:dyDescent="0.3">
      <c r="A767" s="2" t="str">
        <f t="shared" si="316"/>
        <v>NÃO</v>
      </c>
      <c r="B767" s="2" t="str">
        <f>_xlfn.XLOOKUP($N767,'Base de Grupos'!$A:$A,'Base de Grupos'!$D:$D)</f>
        <v>1000065763</v>
      </c>
      <c r="C767" s="5" t="str">
        <f>_xlfn.XLOOKUP($N767,'Base de Grupos'!$A:$A,'Base de Grupos'!$E:$E)</f>
        <v>CANAL VENDA INTERNA</v>
      </c>
      <c r="D767" s="5" t="str">
        <f>_xlfn.XLOOKUP($N767,'Base de Grupos'!$A:$A,'Base de Grupos'!$F:$F)</f>
        <v>1000065763</v>
      </c>
      <c r="E767" s="2" t="str">
        <f>_xlfn.XLOOKUP($N767,'Base de Grupos'!$A:$A,'Base de Grupos'!$G:$G)</f>
        <v>CANAL VENDA INTERNA</v>
      </c>
      <c r="F767" s="2" t="str">
        <f>_xlfn.XLOOKUP($N767,'Base de Grupos'!$A:$A,'Base de Grupos'!$H:$H)</f>
        <v>1000174119</v>
      </c>
      <c r="G767" s="5" t="str">
        <f>_xlfn.XLOOKUP($N767,'Base de Grupos'!$A:$A,'Base de Grupos'!$I:$I)</f>
        <v>REGIONAL VENDA INTERNA - CONVENIENCIA</v>
      </c>
      <c r="H767" s="5" t="str">
        <f>_xlfn.XLOOKUP($N767,'Base de Grupos'!$A:$A,'Base de Grupos'!$J:$J)</f>
        <v>1000174119</v>
      </c>
      <c r="I767" s="2" t="str">
        <f>_xlfn.XLOOKUP($N767,'Base de Grupos'!$A:$A,'Base de Grupos'!$K:$K)</f>
        <v>REGIONAL VENDA INTERNA - CONVENIENCIA</v>
      </c>
      <c r="J767" s="2" t="str">
        <f>_xlfn.XLOOKUP($N767,'Base de Grupos'!$A:$A,'Base de Grupos'!$L:$L)</f>
        <v>1000174119</v>
      </c>
      <c r="K767" s="5" t="str">
        <f>_xlfn.XLOOKUP($N767,'Base de Grupos'!$A:$A,'Base de Grupos'!$M:$M)</f>
        <v>REGIONAL VENDA INTERNA - CONVENIENCIA</v>
      </c>
      <c r="L767" s="5" t="str">
        <f t="shared" si="317"/>
        <v/>
      </c>
      <c r="M767" s="5" t="str">
        <f>_xlfn.XLOOKUP($N767,'Base de Grupos'!$A:$A,'Base de Grupos'!$C:$C)</f>
        <v>PE</v>
      </c>
      <c r="N767" s="3">
        <v>1507</v>
      </c>
      <c r="O767" s="4" t="s">
        <v>266</v>
      </c>
      <c r="P767" s="5" t="s">
        <v>86</v>
      </c>
      <c r="Q767" s="24">
        <v>0</v>
      </c>
      <c r="R767" s="24">
        <v>0</v>
      </c>
      <c r="S767" s="24">
        <v>0</v>
      </c>
      <c r="T767" s="24">
        <v>0</v>
      </c>
      <c r="U767" s="24">
        <v>0</v>
      </c>
      <c r="V767" s="24">
        <v>0</v>
      </c>
      <c r="W767" s="24">
        <v>0</v>
      </c>
      <c r="X767" s="24">
        <v>0</v>
      </c>
      <c r="Y767" s="24">
        <v>0</v>
      </c>
      <c r="Z767" s="24">
        <v>0</v>
      </c>
      <c r="AA767" s="24">
        <v>0</v>
      </c>
      <c r="AB767" s="24">
        <v>0</v>
      </c>
      <c r="AC767" s="30">
        <f t="shared" si="329"/>
        <v>0</v>
      </c>
      <c r="AD767" s="28"/>
      <c r="AE767" s="12"/>
      <c r="AF767" s="29"/>
      <c r="AG767" s="9"/>
      <c r="AH767" s="10"/>
      <c r="AI767" s="9"/>
      <c r="AJ767" s="11"/>
      <c r="AK767" s="9"/>
      <c r="AL767" s="13"/>
      <c r="AM767" s="9"/>
    </row>
    <row r="768" spans="1:39" x14ac:dyDescent="0.3">
      <c r="A768" s="2" t="str">
        <f t="shared" si="316"/>
        <v>NÃO</v>
      </c>
      <c r="B768" s="2" t="str">
        <f>_xlfn.XLOOKUP($N768,'Base de Grupos'!$A:$A,'Base de Grupos'!$D:$D)</f>
        <v>1000065763</v>
      </c>
      <c r="C768" s="5" t="str">
        <f>_xlfn.XLOOKUP($N768,'Base de Grupos'!$A:$A,'Base de Grupos'!$E:$E)</f>
        <v>CANAL VENDA INTERNA</v>
      </c>
      <c r="D768" s="5" t="str">
        <f>_xlfn.XLOOKUP($N768,'Base de Grupos'!$A:$A,'Base de Grupos'!$F:$F)</f>
        <v>1000065763</v>
      </c>
      <c r="E768" s="2" t="str">
        <f>_xlfn.XLOOKUP($N768,'Base de Grupos'!$A:$A,'Base de Grupos'!$G:$G)</f>
        <v>CANAL VENDA INTERNA</v>
      </c>
      <c r="F768" s="2" t="str">
        <f>_xlfn.XLOOKUP($N768,'Base de Grupos'!$A:$A,'Base de Grupos'!$H:$H)</f>
        <v>1000174119</v>
      </c>
      <c r="G768" s="5" t="str">
        <f>_xlfn.XLOOKUP($N768,'Base de Grupos'!$A:$A,'Base de Grupos'!$I:$I)</f>
        <v>REGIONAL VENDA INTERNA - CONVENIENCIA</v>
      </c>
      <c r="H768" s="5" t="str">
        <f>_xlfn.XLOOKUP($N768,'Base de Grupos'!$A:$A,'Base de Grupos'!$J:$J)</f>
        <v>1000174119</v>
      </c>
      <c r="I768" s="2" t="str">
        <f>_xlfn.XLOOKUP($N768,'Base de Grupos'!$A:$A,'Base de Grupos'!$K:$K)</f>
        <v>REGIONAL VENDA INTERNA - CONVENIENCIA</v>
      </c>
      <c r="J768" s="2" t="str">
        <f>_xlfn.XLOOKUP($N768,'Base de Grupos'!$A:$A,'Base de Grupos'!$L:$L)</f>
        <v>1000174119</v>
      </c>
      <c r="K768" s="5" t="str">
        <f>_xlfn.XLOOKUP($N768,'Base de Grupos'!$A:$A,'Base de Grupos'!$M:$M)</f>
        <v>REGIONAL VENDA INTERNA - CONVENIENCIA</v>
      </c>
      <c r="L768" s="5" t="str">
        <f t="shared" si="317"/>
        <v/>
      </c>
      <c r="M768" s="5" t="str">
        <f>_xlfn.XLOOKUP($N768,'Base de Grupos'!$A:$A,'Base de Grupos'!$C:$C)</f>
        <v>PE</v>
      </c>
      <c r="N768" s="3">
        <v>1507</v>
      </c>
      <c r="O768" s="4" t="s">
        <v>266</v>
      </c>
      <c r="P768" s="5" t="s">
        <v>108</v>
      </c>
      <c r="Q768" s="24">
        <v>0</v>
      </c>
      <c r="R768" s="24">
        <v>0</v>
      </c>
      <c r="S768" s="24">
        <v>0</v>
      </c>
      <c r="T768" s="24">
        <v>0</v>
      </c>
      <c r="U768" s="24">
        <v>0</v>
      </c>
      <c r="V768" s="24">
        <v>0</v>
      </c>
      <c r="W768" s="24">
        <v>0</v>
      </c>
      <c r="X768" s="24">
        <v>0</v>
      </c>
      <c r="Y768" s="24">
        <v>0</v>
      </c>
      <c r="Z768" s="24">
        <v>0</v>
      </c>
      <c r="AA768" s="24">
        <v>0</v>
      </c>
      <c r="AB768" s="24">
        <v>0</v>
      </c>
      <c r="AC768" s="30">
        <f t="shared" si="329"/>
        <v>0</v>
      </c>
      <c r="AD768" s="28"/>
      <c r="AE768" s="12"/>
      <c r="AF768" s="29"/>
      <c r="AG768" s="9"/>
      <c r="AH768" s="10"/>
      <c r="AI768" s="9"/>
      <c r="AJ768" s="11"/>
      <c r="AK768" s="9"/>
      <c r="AL768" s="13"/>
      <c r="AM768" s="9"/>
    </row>
    <row r="769" spans="1:39" x14ac:dyDescent="0.3">
      <c r="A769" s="2" t="str">
        <f t="shared" si="316"/>
        <v>NÃO</v>
      </c>
      <c r="B769" s="2" t="str">
        <f>_xlfn.XLOOKUP($N769,'Base de Grupos'!$A:$A,'Base de Grupos'!$D:$D)</f>
        <v>1000065763</v>
      </c>
      <c r="C769" s="5" t="str">
        <f>_xlfn.XLOOKUP($N769,'Base de Grupos'!$A:$A,'Base de Grupos'!$E:$E)</f>
        <v>CANAL VENDA INTERNA</v>
      </c>
      <c r="D769" s="5" t="str">
        <f>_xlfn.XLOOKUP($N769,'Base de Grupos'!$A:$A,'Base de Grupos'!$F:$F)</f>
        <v>1000065763</v>
      </c>
      <c r="E769" s="2" t="str">
        <f>_xlfn.XLOOKUP($N769,'Base de Grupos'!$A:$A,'Base de Grupos'!$G:$G)</f>
        <v>CANAL VENDA INTERNA</v>
      </c>
      <c r="F769" s="2" t="str">
        <f>_xlfn.XLOOKUP($N769,'Base de Grupos'!$A:$A,'Base de Grupos'!$H:$H)</f>
        <v>1000174119</v>
      </c>
      <c r="G769" s="5" t="str">
        <f>_xlfn.XLOOKUP($N769,'Base de Grupos'!$A:$A,'Base de Grupos'!$I:$I)</f>
        <v>REGIONAL VENDA INTERNA - CONVENIENCIA</v>
      </c>
      <c r="H769" s="5" t="str">
        <f>_xlfn.XLOOKUP($N769,'Base de Grupos'!$A:$A,'Base de Grupos'!$J:$J)</f>
        <v>1000174119</v>
      </c>
      <c r="I769" s="2" t="str">
        <f>_xlfn.XLOOKUP($N769,'Base de Grupos'!$A:$A,'Base de Grupos'!$K:$K)</f>
        <v>REGIONAL VENDA INTERNA - CONVENIENCIA</v>
      </c>
      <c r="J769" s="2" t="str">
        <f>_xlfn.XLOOKUP($N769,'Base de Grupos'!$A:$A,'Base de Grupos'!$L:$L)</f>
        <v>1000174119</v>
      </c>
      <c r="K769" s="5" t="str">
        <f>_xlfn.XLOOKUP($N769,'Base de Grupos'!$A:$A,'Base de Grupos'!$M:$M)</f>
        <v>REGIONAL VENDA INTERNA - CONVENIENCIA</v>
      </c>
      <c r="L769" s="5" t="str">
        <f t="shared" si="317"/>
        <v/>
      </c>
      <c r="M769" s="5" t="str">
        <f>_xlfn.XLOOKUP($N769,'Base de Grupos'!$A:$A,'Base de Grupos'!$C:$C)</f>
        <v>PE</v>
      </c>
      <c r="N769" s="3">
        <v>1507</v>
      </c>
      <c r="O769" s="4" t="s">
        <v>266</v>
      </c>
      <c r="P769" s="5" t="s">
        <v>89</v>
      </c>
      <c r="Q769" s="24">
        <v>0</v>
      </c>
      <c r="R769" s="24">
        <v>0</v>
      </c>
      <c r="S769" s="24">
        <v>0</v>
      </c>
      <c r="T769" s="24">
        <v>0</v>
      </c>
      <c r="U769" s="24">
        <v>0</v>
      </c>
      <c r="V769" s="24">
        <v>0</v>
      </c>
      <c r="W769" s="24">
        <v>0</v>
      </c>
      <c r="X769" s="24">
        <v>0</v>
      </c>
      <c r="Y769" s="24">
        <v>0</v>
      </c>
      <c r="Z769" s="24">
        <v>0</v>
      </c>
      <c r="AA769" s="24">
        <v>0</v>
      </c>
      <c r="AB769" s="24">
        <v>0</v>
      </c>
      <c r="AC769" s="30">
        <f t="shared" si="329"/>
        <v>0</v>
      </c>
      <c r="AD769" s="28"/>
      <c r="AE769" s="12"/>
      <c r="AF769" s="29"/>
      <c r="AG769" s="9"/>
      <c r="AH769" s="10"/>
      <c r="AI769" s="9"/>
      <c r="AJ769" s="11"/>
      <c r="AK769" s="9"/>
      <c r="AL769" s="13"/>
      <c r="AM769" s="9"/>
    </row>
    <row r="770" spans="1:39" x14ac:dyDescent="0.3">
      <c r="A770" s="2" t="str">
        <f t="shared" si="316"/>
        <v>NÃO</v>
      </c>
      <c r="B770" s="2" t="str">
        <f>_xlfn.XLOOKUP($N770,'Base de Grupos'!$A:$A,'Base de Grupos'!$D:$D)</f>
        <v>1000065763</v>
      </c>
      <c r="C770" s="5" t="str">
        <f>_xlfn.XLOOKUP($N770,'Base de Grupos'!$A:$A,'Base de Grupos'!$E:$E)</f>
        <v>CANAL VENDA INTERNA</v>
      </c>
      <c r="D770" s="5" t="str">
        <f>_xlfn.XLOOKUP($N770,'Base de Grupos'!$A:$A,'Base de Grupos'!$F:$F)</f>
        <v>1000065763</v>
      </c>
      <c r="E770" s="2" t="str">
        <f>_xlfn.XLOOKUP($N770,'Base de Grupos'!$A:$A,'Base de Grupos'!$G:$G)</f>
        <v>CANAL VENDA INTERNA</v>
      </c>
      <c r="F770" s="2" t="str">
        <f>_xlfn.XLOOKUP($N770,'Base de Grupos'!$A:$A,'Base de Grupos'!$H:$H)</f>
        <v>1000174119</v>
      </c>
      <c r="G770" s="5" t="str">
        <f>_xlfn.XLOOKUP($N770,'Base de Grupos'!$A:$A,'Base de Grupos'!$I:$I)</f>
        <v>REGIONAL VENDA INTERNA - CONVENIENCIA</v>
      </c>
      <c r="H770" s="5" t="str">
        <f>_xlfn.XLOOKUP($N770,'Base de Grupos'!$A:$A,'Base de Grupos'!$J:$J)</f>
        <v>1000174119</v>
      </c>
      <c r="I770" s="2" t="str">
        <f>_xlfn.XLOOKUP($N770,'Base de Grupos'!$A:$A,'Base de Grupos'!$K:$K)</f>
        <v>REGIONAL VENDA INTERNA - CONVENIENCIA</v>
      </c>
      <c r="J770" s="2" t="str">
        <f>_xlfn.XLOOKUP($N770,'Base de Grupos'!$A:$A,'Base de Grupos'!$L:$L)</f>
        <v>1000174119</v>
      </c>
      <c r="K770" s="5" t="str">
        <f>_xlfn.XLOOKUP($N770,'Base de Grupos'!$A:$A,'Base de Grupos'!$M:$M)</f>
        <v>REGIONAL VENDA INTERNA - CONVENIENCIA</v>
      </c>
      <c r="L770" s="5" t="str">
        <f t="shared" si="317"/>
        <v/>
      </c>
      <c r="M770" s="5" t="str">
        <f>_xlfn.XLOOKUP($N770,'Base de Grupos'!$A:$A,'Base de Grupos'!$C:$C)</f>
        <v>PE</v>
      </c>
      <c r="N770" s="3">
        <v>1507</v>
      </c>
      <c r="O770" s="4" t="s">
        <v>266</v>
      </c>
      <c r="P770" s="5" t="s">
        <v>88</v>
      </c>
      <c r="Q770" s="24">
        <v>0</v>
      </c>
      <c r="R770" s="24">
        <v>0</v>
      </c>
      <c r="S770" s="24">
        <v>0</v>
      </c>
      <c r="T770" s="24">
        <v>0</v>
      </c>
      <c r="U770" s="24">
        <v>0</v>
      </c>
      <c r="V770" s="24">
        <v>0</v>
      </c>
      <c r="W770" s="24">
        <v>0</v>
      </c>
      <c r="X770" s="24">
        <v>0</v>
      </c>
      <c r="Y770" s="24">
        <v>0</v>
      </c>
      <c r="Z770" s="24">
        <v>0</v>
      </c>
      <c r="AA770" s="24">
        <v>0</v>
      </c>
      <c r="AB770" s="24">
        <v>0</v>
      </c>
      <c r="AC770" s="30">
        <f t="shared" si="329"/>
        <v>0</v>
      </c>
      <c r="AD770" s="28"/>
      <c r="AE770" s="12"/>
      <c r="AF770" s="29"/>
      <c r="AG770" s="9"/>
      <c r="AH770" s="10"/>
      <c r="AI770" s="9"/>
      <c r="AJ770" s="11"/>
      <c r="AK770" s="9"/>
      <c r="AL770" s="13"/>
      <c r="AM770" s="9"/>
    </row>
    <row r="771" spans="1:39" x14ac:dyDescent="0.3">
      <c r="A771" s="2" t="str">
        <f t="shared" ref="A771:A793" si="330">IF(L771=1,"SIM","NÃO")</f>
        <v>NÃO</v>
      </c>
      <c r="B771" s="2" t="str">
        <f>_xlfn.XLOOKUP($N771,'Base de Grupos'!$A:$A,'Base de Grupos'!$D:$D)</f>
        <v>1000065763</v>
      </c>
      <c r="C771" s="5" t="str">
        <f>_xlfn.XLOOKUP($N771,'Base de Grupos'!$A:$A,'Base de Grupos'!$E:$E)</f>
        <v>CANAL VENDA INTERNA</v>
      </c>
      <c r="D771" s="5" t="str">
        <f>_xlfn.XLOOKUP($N771,'Base de Grupos'!$A:$A,'Base de Grupos'!$F:$F)</f>
        <v>1000065763</v>
      </c>
      <c r="E771" s="2" t="str">
        <f>_xlfn.XLOOKUP($N771,'Base de Grupos'!$A:$A,'Base de Grupos'!$G:$G)</f>
        <v>CANAL VENDA INTERNA</v>
      </c>
      <c r="F771" s="2" t="str">
        <f>_xlfn.XLOOKUP($N771,'Base de Grupos'!$A:$A,'Base de Grupos'!$H:$H)</f>
        <v>1000174119</v>
      </c>
      <c r="G771" s="5" t="str">
        <f>_xlfn.XLOOKUP($N771,'Base de Grupos'!$A:$A,'Base de Grupos'!$I:$I)</f>
        <v>REGIONAL VENDA INTERNA - CONVENIENCIA</v>
      </c>
      <c r="H771" s="5" t="str">
        <f>_xlfn.XLOOKUP($N771,'Base de Grupos'!$A:$A,'Base de Grupos'!$J:$J)</f>
        <v>1000174119</v>
      </c>
      <c r="I771" s="2" t="str">
        <f>_xlfn.XLOOKUP($N771,'Base de Grupos'!$A:$A,'Base de Grupos'!$K:$K)</f>
        <v>REGIONAL VENDA INTERNA - CONVENIENCIA</v>
      </c>
      <c r="J771" s="2" t="str">
        <f>_xlfn.XLOOKUP($N771,'Base de Grupos'!$A:$A,'Base de Grupos'!$L:$L)</f>
        <v>1000174119</v>
      </c>
      <c r="K771" s="5" t="str">
        <f>_xlfn.XLOOKUP($N771,'Base de Grupos'!$A:$A,'Base de Grupos'!$M:$M)</f>
        <v>REGIONAL VENDA INTERNA - CONVENIENCIA</v>
      </c>
      <c r="L771" s="5" t="str">
        <f t="shared" ref="L771:L793" si="331">IF(N771&lt;&gt;N770,1,"")</f>
        <v/>
      </c>
      <c r="M771" s="5" t="str">
        <f>_xlfn.XLOOKUP($N771,'Base de Grupos'!$A:$A,'Base de Grupos'!$C:$C)</f>
        <v>PE</v>
      </c>
      <c r="N771" s="3">
        <v>1507</v>
      </c>
      <c r="O771" s="4" t="s">
        <v>266</v>
      </c>
      <c r="P771" s="5" t="s">
        <v>90</v>
      </c>
      <c r="Q771" s="24">
        <v>0</v>
      </c>
      <c r="R771" s="24">
        <v>0</v>
      </c>
      <c r="S771" s="24">
        <v>0</v>
      </c>
      <c r="T771" s="24">
        <v>0</v>
      </c>
      <c r="U771" s="24">
        <v>0</v>
      </c>
      <c r="V771" s="24">
        <v>0</v>
      </c>
      <c r="W771" s="24">
        <v>0</v>
      </c>
      <c r="X771" s="24">
        <v>0</v>
      </c>
      <c r="Y771" s="24">
        <v>0</v>
      </c>
      <c r="Z771" s="24">
        <v>0</v>
      </c>
      <c r="AA771" s="24">
        <v>0</v>
      </c>
      <c r="AB771" s="24">
        <v>0</v>
      </c>
      <c r="AC771" s="30">
        <f t="shared" si="329"/>
        <v>0</v>
      </c>
      <c r="AD771" s="28"/>
      <c r="AE771" s="12"/>
      <c r="AF771" s="29"/>
      <c r="AG771" s="9"/>
      <c r="AH771" s="10"/>
      <c r="AI771" s="9"/>
      <c r="AJ771" s="11"/>
      <c r="AK771" s="9"/>
      <c r="AL771" s="13"/>
      <c r="AM771" s="9"/>
    </row>
    <row r="772" spans="1:39" x14ac:dyDescent="0.3">
      <c r="A772" s="2" t="str">
        <f t="shared" si="330"/>
        <v>NÃO</v>
      </c>
      <c r="B772" s="2" t="str">
        <f>_xlfn.XLOOKUP($N772,'Base de Grupos'!$A:$A,'Base de Grupos'!$D:$D)</f>
        <v>1000065763</v>
      </c>
      <c r="C772" s="5" t="str">
        <f>_xlfn.XLOOKUP($N772,'Base de Grupos'!$A:$A,'Base de Grupos'!$E:$E)</f>
        <v>CANAL VENDA INTERNA</v>
      </c>
      <c r="D772" s="5" t="str">
        <f>_xlfn.XLOOKUP($N772,'Base de Grupos'!$A:$A,'Base de Grupos'!$F:$F)</f>
        <v>1000065763</v>
      </c>
      <c r="E772" s="2" t="str">
        <f>_xlfn.XLOOKUP($N772,'Base de Grupos'!$A:$A,'Base de Grupos'!$G:$G)</f>
        <v>CANAL VENDA INTERNA</v>
      </c>
      <c r="F772" s="2" t="str">
        <f>_xlfn.XLOOKUP($N772,'Base de Grupos'!$A:$A,'Base de Grupos'!$H:$H)</f>
        <v>1000174119</v>
      </c>
      <c r="G772" s="5" t="str">
        <f>_xlfn.XLOOKUP($N772,'Base de Grupos'!$A:$A,'Base de Grupos'!$I:$I)</f>
        <v>REGIONAL VENDA INTERNA - CONVENIENCIA</v>
      </c>
      <c r="H772" s="5" t="str">
        <f>_xlfn.XLOOKUP($N772,'Base de Grupos'!$A:$A,'Base de Grupos'!$J:$J)</f>
        <v>1000174119</v>
      </c>
      <c r="I772" s="2" t="str">
        <f>_xlfn.XLOOKUP($N772,'Base de Grupos'!$A:$A,'Base de Grupos'!$K:$K)</f>
        <v>REGIONAL VENDA INTERNA - CONVENIENCIA</v>
      </c>
      <c r="J772" s="2" t="str">
        <f>_xlfn.XLOOKUP($N772,'Base de Grupos'!$A:$A,'Base de Grupos'!$L:$L)</f>
        <v>1000174119</v>
      </c>
      <c r="K772" s="5" t="str">
        <f>_xlfn.XLOOKUP($N772,'Base de Grupos'!$A:$A,'Base de Grupos'!$M:$M)</f>
        <v>REGIONAL VENDA INTERNA - CONVENIENCIA</v>
      </c>
      <c r="L772" s="5" t="str">
        <f t="shared" si="331"/>
        <v/>
      </c>
      <c r="M772" s="5" t="str">
        <f>_xlfn.XLOOKUP($N772,'Base de Grupos'!$A:$A,'Base de Grupos'!$C:$C)</f>
        <v>PE</v>
      </c>
      <c r="N772" s="3">
        <v>1507</v>
      </c>
      <c r="O772" s="4" t="s">
        <v>266</v>
      </c>
      <c r="P772" s="5" t="s">
        <v>91</v>
      </c>
      <c r="Q772" s="24">
        <v>0</v>
      </c>
      <c r="R772" s="24">
        <v>0</v>
      </c>
      <c r="S772" s="24">
        <v>0</v>
      </c>
      <c r="T772" s="24">
        <v>0</v>
      </c>
      <c r="U772" s="24">
        <v>0</v>
      </c>
      <c r="V772" s="24">
        <v>0</v>
      </c>
      <c r="W772" s="24">
        <v>0</v>
      </c>
      <c r="X772" s="24">
        <v>0</v>
      </c>
      <c r="Y772" s="24">
        <v>0</v>
      </c>
      <c r="Z772" s="24">
        <v>0</v>
      </c>
      <c r="AA772" s="24">
        <v>0</v>
      </c>
      <c r="AB772" s="24">
        <v>0</v>
      </c>
      <c r="AC772" s="30">
        <f t="shared" si="329"/>
        <v>0</v>
      </c>
      <c r="AD772" s="28"/>
      <c r="AE772" s="12"/>
      <c r="AF772" s="29"/>
      <c r="AG772" s="9"/>
      <c r="AH772" s="10"/>
      <c r="AI772" s="9"/>
      <c r="AJ772" s="11"/>
      <c r="AK772" s="9"/>
      <c r="AL772" s="13"/>
      <c r="AM772" s="9"/>
    </row>
    <row r="773" spans="1:39" x14ac:dyDescent="0.3">
      <c r="A773" s="2" t="str">
        <f t="shared" si="330"/>
        <v>NÃO</v>
      </c>
      <c r="B773" s="2" t="str">
        <f>_xlfn.XLOOKUP($N773,'Base de Grupos'!$A:$A,'Base de Grupos'!$D:$D)</f>
        <v>1000065763</v>
      </c>
      <c r="C773" s="5" t="str">
        <f>_xlfn.XLOOKUP($N773,'Base de Grupos'!$A:$A,'Base de Grupos'!$E:$E)</f>
        <v>CANAL VENDA INTERNA</v>
      </c>
      <c r="D773" s="5" t="str">
        <f>_xlfn.XLOOKUP($N773,'Base de Grupos'!$A:$A,'Base de Grupos'!$F:$F)</f>
        <v>1000065763</v>
      </c>
      <c r="E773" s="2" t="str">
        <f>_xlfn.XLOOKUP($N773,'Base de Grupos'!$A:$A,'Base de Grupos'!$G:$G)</f>
        <v>CANAL VENDA INTERNA</v>
      </c>
      <c r="F773" s="2" t="str">
        <f>_xlfn.XLOOKUP($N773,'Base de Grupos'!$A:$A,'Base de Grupos'!$H:$H)</f>
        <v>1000174119</v>
      </c>
      <c r="G773" s="5" t="str">
        <f>_xlfn.XLOOKUP($N773,'Base de Grupos'!$A:$A,'Base de Grupos'!$I:$I)</f>
        <v>REGIONAL VENDA INTERNA - CONVENIENCIA</v>
      </c>
      <c r="H773" s="5" t="str">
        <f>_xlfn.XLOOKUP($N773,'Base de Grupos'!$A:$A,'Base de Grupos'!$J:$J)</f>
        <v>1000174119</v>
      </c>
      <c r="I773" s="2" t="str">
        <f>_xlfn.XLOOKUP($N773,'Base de Grupos'!$A:$A,'Base de Grupos'!$K:$K)</f>
        <v>REGIONAL VENDA INTERNA - CONVENIENCIA</v>
      </c>
      <c r="J773" s="2" t="str">
        <f>_xlfn.XLOOKUP($N773,'Base de Grupos'!$A:$A,'Base de Grupos'!$L:$L)</f>
        <v>1000174119</v>
      </c>
      <c r="K773" s="5" t="str">
        <f>_xlfn.XLOOKUP($N773,'Base de Grupos'!$A:$A,'Base de Grupos'!$M:$M)</f>
        <v>REGIONAL VENDA INTERNA - CONVENIENCIA</v>
      </c>
      <c r="L773" s="5" t="str">
        <f t="shared" si="331"/>
        <v/>
      </c>
      <c r="M773" s="5" t="str">
        <f>_xlfn.XLOOKUP($N773,'Base de Grupos'!$A:$A,'Base de Grupos'!$C:$C)</f>
        <v>PE</v>
      </c>
      <c r="N773" s="3">
        <v>1507</v>
      </c>
      <c r="O773" s="4" t="s">
        <v>266</v>
      </c>
      <c r="P773" s="5" t="s">
        <v>96</v>
      </c>
      <c r="Q773" s="24">
        <f>SUM(Q774:Q794)</f>
        <v>0</v>
      </c>
      <c r="R773" s="24">
        <f t="shared" ref="R773" si="332">SUM(R774:R794)</f>
        <v>0</v>
      </c>
      <c r="S773" s="24">
        <f t="shared" ref="S773" si="333">SUM(S774:S794)</f>
        <v>0</v>
      </c>
      <c r="T773" s="24">
        <f t="shared" ref="T773:AC773" si="334">SUM(T774:T794)</f>
        <v>0</v>
      </c>
      <c r="U773" s="24">
        <f t="shared" si="334"/>
        <v>0</v>
      </c>
      <c r="V773" s="24">
        <f t="shared" si="334"/>
        <v>0</v>
      </c>
      <c r="W773" s="24">
        <f t="shared" si="334"/>
        <v>0</v>
      </c>
      <c r="X773" s="24">
        <f t="shared" si="334"/>
        <v>0</v>
      </c>
      <c r="Y773" s="24">
        <f t="shared" si="334"/>
        <v>0</v>
      </c>
      <c r="Z773" s="24">
        <f t="shared" si="334"/>
        <v>0</v>
      </c>
      <c r="AA773" s="24">
        <f t="shared" si="334"/>
        <v>0</v>
      </c>
      <c r="AB773" s="24">
        <f t="shared" si="334"/>
        <v>0</v>
      </c>
      <c r="AC773" s="24">
        <f t="shared" si="334"/>
        <v>0</v>
      </c>
      <c r="AD773" s="28"/>
      <c r="AE773" s="12"/>
      <c r="AF773" s="29"/>
      <c r="AG773" s="9"/>
      <c r="AH773" s="10"/>
      <c r="AI773" s="9"/>
      <c r="AJ773" s="11"/>
      <c r="AK773" s="9"/>
      <c r="AL773" s="13"/>
      <c r="AM773" s="9"/>
    </row>
    <row r="774" spans="1:39" x14ac:dyDescent="0.3">
      <c r="A774" s="2" t="str">
        <f t="shared" si="330"/>
        <v>NÃO</v>
      </c>
      <c r="B774" s="2" t="str">
        <f>_xlfn.XLOOKUP($N774,'Base de Grupos'!$A:$A,'Base de Grupos'!$D:$D)</f>
        <v>1000065763</v>
      </c>
      <c r="C774" s="5" t="str">
        <f>_xlfn.XLOOKUP($N774,'Base de Grupos'!$A:$A,'Base de Grupos'!$E:$E)</f>
        <v>CANAL VENDA INTERNA</v>
      </c>
      <c r="D774" s="5" t="str">
        <f>_xlfn.XLOOKUP($N774,'Base de Grupos'!$A:$A,'Base de Grupos'!$F:$F)</f>
        <v>1000065763</v>
      </c>
      <c r="E774" s="2" t="str">
        <f>_xlfn.XLOOKUP($N774,'Base de Grupos'!$A:$A,'Base de Grupos'!$G:$G)</f>
        <v>CANAL VENDA INTERNA</v>
      </c>
      <c r="F774" s="2" t="str">
        <f>_xlfn.XLOOKUP($N774,'Base de Grupos'!$A:$A,'Base de Grupos'!$H:$H)</f>
        <v>1000174119</v>
      </c>
      <c r="G774" s="5" t="str">
        <f>_xlfn.XLOOKUP($N774,'Base de Grupos'!$A:$A,'Base de Grupos'!$I:$I)</f>
        <v>REGIONAL VENDA INTERNA - CONVENIENCIA</v>
      </c>
      <c r="H774" s="5" t="str">
        <f>_xlfn.XLOOKUP($N774,'Base de Grupos'!$A:$A,'Base de Grupos'!$J:$J)</f>
        <v>1000174119</v>
      </c>
      <c r="I774" s="2" t="str">
        <f>_xlfn.XLOOKUP($N774,'Base de Grupos'!$A:$A,'Base de Grupos'!$K:$K)</f>
        <v>REGIONAL VENDA INTERNA - CONVENIENCIA</v>
      </c>
      <c r="J774" s="2" t="str">
        <f>_xlfn.XLOOKUP($N774,'Base de Grupos'!$A:$A,'Base de Grupos'!$L:$L)</f>
        <v>1000174119</v>
      </c>
      <c r="K774" s="5" t="str">
        <f>_xlfn.XLOOKUP($N774,'Base de Grupos'!$A:$A,'Base de Grupos'!$M:$M)</f>
        <v>REGIONAL VENDA INTERNA - CONVENIENCIA</v>
      </c>
      <c r="L774" s="5" t="str">
        <f t="shared" si="331"/>
        <v/>
      </c>
      <c r="M774" s="5" t="str">
        <f>_xlfn.XLOOKUP($N774,'Base de Grupos'!$A:$A,'Base de Grupos'!$C:$C)</f>
        <v>PE</v>
      </c>
      <c r="N774" s="3">
        <v>1507</v>
      </c>
      <c r="O774" s="4" t="s">
        <v>266</v>
      </c>
      <c r="P774" s="5" t="s">
        <v>94</v>
      </c>
      <c r="Q774" s="24">
        <v>0</v>
      </c>
      <c r="R774" s="24">
        <v>0</v>
      </c>
      <c r="S774" s="24">
        <v>0</v>
      </c>
      <c r="T774" s="24">
        <v>0</v>
      </c>
      <c r="U774" s="24">
        <v>0</v>
      </c>
      <c r="V774" s="24">
        <v>0</v>
      </c>
      <c r="W774" s="24">
        <v>0</v>
      </c>
      <c r="X774" s="24">
        <v>0</v>
      </c>
      <c r="Y774" s="24">
        <v>0</v>
      </c>
      <c r="Z774" s="24">
        <v>0</v>
      </c>
      <c r="AA774" s="24">
        <v>0</v>
      </c>
      <c r="AB774" s="24">
        <v>0</v>
      </c>
      <c r="AC774" s="30">
        <f t="shared" ref="AC774:AC794" si="335">SUM(T774:AB774)</f>
        <v>0</v>
      </c>
      <c r="AD774" s="28"/>
      <c r="AE774" s="12"/>
      <c r="AF774" s="29"/>
      <c r="AG774" s="9"/>
      <c r="AH774" s="10"/>
      <c r="AI774" s="9"/>
      <c r="AJ774" s="11"/>
      <c r="AK774" s="9"/>
      <c r="AL774" s="13"/>
      <c r="AM774" s="9"/>
    </row>
    <row r="775" spans="1:39" x14ac:dyDescent="0.3">
      <c r="A775" s="2" t="str">
        <f t="shared" si="330"/>
        <v>NÃO</v>
      </c>
      <c r="B775" s="2" t="str">
        <f>_xlfn.XLOOKUP($N775,'Base de Grupos'!$A:$A,'Base de Grupos'!$D:$D)</f>
        <v>1000065763</v>
      </c>
      <c r="C775" s="5" t="str">
        <f>_xlfn.XLOOKUP($N775,'Base de Grupos'!$A:$A,'Base de Grupos'!$E:$E)</f>
        <v>CANAL VENDA INTERNA</v>
      </c>
      <c r="D775" s="5" t="str">
        <f>_xlfn.XLOOKUP($N775,'Base de Grupos'!$A:$A,'Base de Grupos'!$F:$F)</f>
        <v>1000065763</v>
      </c>
      <c r="E775" s="2" t="str">
        <f>_xlfn.XLOOKUP($N775,'Base de Grupos'!$A:$A,'Base de Grupos'!$G:$G)</f>
        <v>CANAL VENDA INTERNA</v>
      </c>
      <c r="F775" s="2" t="str">
        <f>_xlfn.XLOOKUP($N775,'Base de Grupos'!$A:$A,'Base de Grupos'!$H:$H)</f>
        <v>1000174119</v>
      </c>
      <c r="G775" s="5" t="str">
        <f>_xlfn.XLOOKUP($N775,'Base de Grupos'!$A:$A,'Base de Grupos'!$I:$I)</f>
        <v>REGIONAL VENDA INTERNA - CONVENIENCIA</v>
      </c>
      <c r="H775" s="5" t="str">
        <f>_xlfn.XLOOKUP($N775,'Base de Grupos'!$A:$A,'Base de Grupos'!$J:$J)</f>
        <v>1000174119</v>
      </c>
      <c r="I775" s="2" t="str">
        <f>_xlfn.XLOOKUP($N775,'Base de Grupos'!$A:$A,'Base de Grupos'!$K:$K)</f>
        <v>REGIONAL VENDA INTERNA - CONVENIENCIA</v>
      </c>
      <c r="J775" s="2" t="str">
        <f>_xlfn.XLOOKUP($N775,'Base de Grupos'!$A:$A,'Base de Grupos'!$L:$L)</f>
        <v>1000174119</v>
      </c>
      <c r="K775" s="5" t="str">
        <f>_xlfn.XLOOKUP($N775,'Base de Grupos'!$A:$A,'Base de Grupos'!$M:$M)</f>
        <v>REGIONAL VENDA INTERNA - CONVENIENCIA</v>
      </c>
      <c r="L775" s="5" t="str">
        <f t="shared" si="331"/>
        <v/>
      </c>
      <c r="M775" s="5" t="str">
        <f>_xlfn.XLOOKUP($N775,'Base de Grupos'!$A:$A,'Base de Grupos'!$C:$C)</f>
        <v>PE</v>
      </c>
      <c r="N775" s="3">
        <v>1507</v>
      </c>
      <c r="O775" s="4" t="s">
        <v>266</v>
      </c>
      <c r="P775" s="5" t="s">
        <v>95</v>
      </c>
      <c r="Q775" s="24">
        <v>0</v>
      </c>
      <c r="R775" s="24">
        <v>0</v>
      </c>
      <c r="S775" s="24">
        <v>0</v>
      </c>
      <c r="T775" s="24">
        <v>0</v>
      </c>
      <c r="U775" s="24">
        <v>0</v>
      </c>
      <c r="V775" s="24">
        <v>0</v>
      </c>
      <c r="W775" s="24">
        <v>0</v>
      </c>
      <c r="X775" s="24">
        <v>0</v>
      </c>
      <c r="Y775" s="24">
        <v>0</v>
      </c>
      <c r="Z775" s="24">
        <v>0</v>
      </c>
      <c r="AA775" s="24">
        <v>0</v>
      </c>
      <c r="AB775" s="24">
        <v>0</v>
      </c>
      <c r="AC775" s="30">
        <f t="shared" si="335"/>
        <v>0</v>
      </c>
      <c r="AD775" s="28"/>
      <c r="AE775" s="12"/>
      <c r="AF775" s="29"/>
      <c r="AG775" s="9"/>
      <c r="AH775" s="10"/>
      <c r="AI775" s="9"/>
      <c r="AJ775" s="11"/>
      <c r="AK775" s="9"/>
      <c r="AL775" s="13"/>
      <c r="AM775" s="9"/>
    </row>
    <row r="776" spans="1:39" x14ac:dyDescent="0.3">
      <c r="A776" s="2" t="str">
        <f t="shared" si="330"/>
        <v>NÃO</v>
      </c>
      <c r="B776" s="2" t="str">
        <f>_xlfn.XLOOKUP($N776,'Base de Grupos'!$A:$A,'Base de Grupos'!$D:$D)</f>
        <v>1000065763</v>
      </c>
      <c r="C776" s="5" t="str">
        <f>_xlfn.XLOOKUP($N776,'Base de Grupos'!$A:$A,'Base de Grupos'!$E:$E)</f>
        <v>CANAL VENDA INTERNA</v>
      </c>
      <c r="D776" s="5" t="str">
        <f>_xlfn.XLOOKUP($N776,'Base de Grupos'!$A:$A,'Base de Grupos'!$F:$F)</f>
        <v>1000065763</v>
      </c>
      <c r="E776" s="2" t="str">
        <f>_xlfn.XLOOKUP($N776,'Base de Grupos'!$A:$A,'Base de Grupos'!$G:$G)</f>
        <v>CANAL VENDA INTERNA</v>
      </c>
      <c r="F776" s="2" t="str">
        <f>_xlfn.XLOOKUP($N776,'Base de Grupos'!$A:$A,'Base de Grupos'!$H:$H)</f>
        <v>1000174119</v>
      </c>
      <c r="G776" s="5" t="str">
        <f>_xlfn.XLOOKUP($N776,'Base de Grupos'!$A:$A,'Base de Grupos'!$I:$I)</f>
        <v>REGIONAL VENDA INTERNA - CONVENIENCIA</v>
      </c>
      <c r="H776" s="5" t="str">
        <f>_xlfn.XLOOKUP($N776,'Base de Grupos'!$A:$A,'Base de Grupos'!$J:$J)</f>
        <v>1000174119</v>
      </c>
      <c r="I776" s="2" t="str">
        <f>_xlfn.XLOOKUP($N776,'Base de Grupos'!$A:$A,'Base de Grupos'!$K:$K)</f>
        <v>REGIONAL VENDA INTERNA - CONVENIENCIA</v>
      </c>
      <c r="J776" s="2" t="str">
        <f>_xlfn.XLOOKUP($N776,'Base de Grupos'!$A:$A,'Base de Grupos'!$L:$L)</f>
        <v>1000174119</v>
      </c>
      <c r="K776" s="5" t="str">
        <f>_xlfn.XLOOKUP($N776,'Base de Grupos'!$A:$A,'Base de Grupos'!$M:$M)</f>
        <v>REGIONAL VENDA INTERNA - CONVENIENCIA</v>
      </c>
      <c r="L776" s="5" t="str">
        <f t="shared" si="331"/>
        <v/>
      </c>
      <c r="M776" s="5" t="str">
        <f>_xlfn.XLOOKUP($N776,'Base de Grupos'!$A:$A,'Base de Grupos'!$C:$C)</f>
        <v>PE</v>
      </c>
      <c r="N776" s="3">
        <v>1507</v>
      </c>
      <c r="O776" s="4" t="s">
        <v>266</v>
      </c>
      <c r="P776" s="5" t="s">
        <v>93</v>
      </c>
      <c r="Q776" s="24">
        <v>0</v>
      </c>
      <c r="R776" s="24">
        <v>0</v>
      </c>
      <c r="S776" s="24">
        <v>0</v>
      </c>
      <c r="T776" s="24">
        <v>0</v>
      </c>
      <c r="U776" s="24">
        <v>0</v>
      </c>
      <c r="V776" s="24">
        <v>0</v>
      </c>
      <c r="W776" s="24">
        <v>0</v>
      </c>
      <c r="X776" s="24">
        <v>0</v>
      </c>
      <c r="Y776" s="24">
        <v>0</v>
      </c>
      <c r="Z776" s="24">
        <v>0</v>
      </c>
      <c r="AA776" s="24">
        <v>0</v>
      </c>
      <c r="AB776" s="24">
        <v>0</v>
      </c>
      <c r="AC776" s="30">
        <f t="shared" si="335"/>
        <v>0</v>
      </c>
      <c r="AD776" s="28"/>
      <c r="AE776" s="12"/>
      <c r="AF776" s="29"/>
      <c r="AG776" s="9"/>
      <c r="AH776" s="10"/>
      <c r="AI776" s="9"/>
      <c r="AJ776" s="11"/>
      <c r="AK776" s="9"/>
      <c r="AL776" s="13"/>
      <c r="AM776" s="9"/>
    </row>
    <row r="777" spans="1:39" x14ac:dyDescent="0.3">
      <c r="A777" s="2" t="str">
        <f t="shared" si="330"/>
        <v>SIM</v>
      </c>
      <c r="B777" s="2" t="str">
        <f>_xlfn.XLOOKUP($N777,'Base de Grupos'!$A:$A,'Base de Grupos'!$D:$D)</f>
        <v>1000065763</v>
      </c>
      <c r="C777" s="5" t="str">
        <f>_xlfn.XLOOKUP($N777,'Base de Grupos'!$A:$A,'Base de Grupos'!$E:$E)</f>
        <v>CANAL VENDA INTERNA</v>
      </c>
      <c r="D777" s="5" t="str">
        <f>_xlfn.XLOOKUP($N777,'Base de Grupos'!$A:$A,'Base de Grupos'!$F:$F)</f>
        <v>1000065763</v>
      </c>
      <c r="E777" s="2" t="str">
        <f>_xlfn.XLOOKUP($N777,'Base de Grupos'!$A:$A,'Base de Grupos'!$G:$G)</f>
        <v>CANAL VENDA INTERNA</v>
      </c>
      <c r="F777" s="2" t="str">
        <f>_xlfn.XLOOKUP($N777,'Base de Grupos'!$A:$A,'Base de Grupos'!$H:$H)</f>
        <v>1000174119</v>
      </c>
      <c r="G777" s="5" t="str">
        <f>_xlfn.XLOOKUP($N777,'Base de Grupos'!$A:$A,'Base de Grupos'!$I:$I)</f>
        <v>REGIONAL VENDA INTERNA - CONVENIENCIA</v>
      </c>
      <c r="H777" s="5" t="str">
        <f>_xlfn.XLOOKUP($N777,'Base de Grupos'!$A:$A,'Base de Grupos'!$J:$J)</f>
        <v>1000174119</v>
      </c>
      <c r="I777" s="2" t="str">
        <f>_xlfn.XLOOKUP($N777,'Base de Grupos'!$A:$A,'Base de Grupos'!$K:$K)</f>
        <v>REGIONAL VENDA INTERNA - CONVENIENCIA</v>
      </c>
      <c r="J777" s="2" t="str">
        <f>_xlfn.XLOOKUP($N777,'Base de Grupos'!$A:$A,'Base de Grupos'!$L:$L)</f>
        <v>1000174119</v>
      </c>
      <c r="K777" s="5" t="str">
        <f>_xlfn.XLOOKUP($N777,'Base de Grupos'!$A:$A,'Base de Grupos'!$M:$M)</f>
        <v>REGIONAL VENDA INTERNA - CONVENIENCIA</v>
      </c>
      <c r="L777" s="5">
        <f t="shared" si="331"/>
        <v>1</v>
      </c>
      <c r="M777" s="5" t="str">
        <f>_xlfn.XLOOKUP($N777,'Base de Grupos'!$A:$A,'Base de Grupos'!$C:$C)</f>
        <v>SE</v>
      </c>
      <c r="N777" s="3">
        <v>1508</v>
      </c>
      <c r="O777" s="4" t="s">
        <v>267</v>
      </c>
      <c r="P777" s="5" t="s">
        <v>337</v>
      </c>
      <c r="Q777" s="24">
        <v>0</v>
      </c>
      <c r="R777" s="24">
        <v>0</v>
      </c>
      <c r="S777" s="24">
        <v>0</v>
      </c>
      <c r="T777" s="24">
        <v>0</v>
      </c>
      <c r="U777" s="24">
        <v>0</v>
      </c>
      <c r="V777" s="24">
        <v>0</v>
      </c>
      <c r="W777" s="24">
        <v>0</v>
      </c>
      <c r="X777" s="24">
        <v>0</v>
      </c>
      <c r="Y777" s="24">
        <v>0</v>
      </c>
      <c r="Z777" s="24">
        <v>0</v>
      </c>
      <c r="AA777" s="24">
        <v>0</v>
      </c>
      <c r="AB777" s="24">
        <v>0</v>
      </c>
      <c r="AC777" s="30">
        <f t="shared" si="335"/>
        <v>0</v>
      </c>
      <c r="AD777" s="28"/>
      <c r="AE777" s="12"/>
      <c r="AF777" s="29"/>
      <c r="AG777" s="9"/>
      <c r="AH777" s="10"/>
      <c r="AI777" s="9"/>
      <c r="AJ777" s="11"/>
      <c r="AK777" s="9"/>
      <c r="AL777" s="13"/>
      <c r="AM777" s="9"/>
    </row>
    <row r="778" spans="1:39" x14ac:dyDescent="0.3">
      <c r="A778" s="2" t="str">
        <f t="shared" si="330"/>
        <v>NÃO</v>
      </c>
      <c r="B778" s="2" t="str">
        <f>_xlfn.XLOOKUP($N778,'Base de Grupos'!$A:$A,'Base de Grupos'!$D:$D)</f>
        <v>1000065763</v>
      </c>
      <c r="C778" s="5" t="str">
        <f>_xlfn.XLOOKUP($N778,'Base de Grupos'!$A:$A,'Base de Grupos'!$E:$E)</f>
        <v>CANAL VENDA INTERNA</v>
      </c>
      <c r="D778" s="5" t="str">
        <f>_xlfn.XLOOKUP($N778,'Base de Grupos'!$A:$A,'Base de Grupos'!$F:$F)</f>
        <v>1000065763</v>
      </c>
      <c r="E778" s="2" t="str">
        <f>_xlfn.XLOOKUP($N778,'Base de Grupos'!$A:$A,'Base de Grupos'!$G:$G)</f>
        <v>CANAL VENDA INTERNA</v>
      </c>
      <c r="F778" s="2" t="str">
        <f>_xlfn.XLOOKUP($N778,'Base de Grupos'!$A:$A,'Base de Grupos'!$H:$H)</f>
        <v>1000174119</v>
      </c>
      <c r="G778" s="5" t="str">
        <f>_xlfn.XLOOKUP($N778,'Base de Grupos'!$A:$A,'Base de Grupos'!$I:$I)</f>
        <v>REGIONAL VENDA INTERNA - CONVENIENCIA</v>
      </c>
      <c r="H778" s="5" t="str">
        <f>_xlfn.XLOOKUP($N778,'Base de Grupos'!$A:$A,'Base de Grupos'!$J:$J)</f>
        <v>1000174119</v>
      </c>
      <c r="I778" s="2" t="str">
        <f>_xlfn.XLOOKUP($N778,'Base de Grupos'!$A:$A,'Base de Grupos'!$K:$K)</f>
        <v>REGIONAL VENDA INTERNA - CONVENIENCIA</v>
      </c>
      <c r="J778" s="2" t="str">
        <f>_xlfn.XLOOKUP($N778,'Base de Grupos'!$A:$A,'Base de Grupos'!$L:$L)</f>
        <v>1000174119</v>
      </c>
      <c r="K778" s="5" t="str">
        <f>_xlfn.XLOOKUP($N778,'Base de Grupos'!$A:$A,'Base de Grupos'!$M:$M)</f>
        <v>REGIONAL VENDA INTERNA - CONVENIENCIA</v>
      </c>
      <c r="L778" s="5" t="str">
        <f t="shared" si="331"/>
        <v/>
      </c>
      <c r="M778" s="5" t="str">
        <f>_xlfn.XLOOKUP($N778,'Base de Grupos'!$A:$A,'Base de Grupos'!$C:$C)</f>
        <v>SE</v>
      </c>
      <c r="N778" s="3">
        <v>1508</v>
      </c>
      <c r="O778" s="4" t="s">
        <v>267</v>
      </c>
      <c r="P778" s="5" t="s">
        <v>81</v>
      </c>
      <c r="Q778" s="24">
        <v>0</v>
      </c>
      <c r="R778" s="24">
        <v>0</v>
      </c>
      <c r="S778" s="24">
        <v>0</v>
      </c>
      <c r="T778" s="24">
        <v>0</v>
      </c>
      <c r="U778" s="24">
        <v>0</v>
      </c>
      <c r="V778" s="24">
        <v>0</v>
      </c>
      <c r="W778" s="24">
        <v>0</v>
      </c>
      <c r="X778" s="24">
        <v>0</v>
      </c>
      <c r="Y778" s="24">
        <v>0</v>
      </c>
      <c r="Z778" s="24">
        <v>0</v>
      </c>
      <c r="AA778" s="24">
        <v>0</v>
      </c>
      <c r="AB778" s="24">
        <v>0</v>
      </c>
      <c r="AC778" s="30">
        <f t="shared" si="335"/>
        <v>0</v>
      </c>
      <c r="AD778" s="28"/>
      <c r="AE778" s="12"/>
      <c r="AF778" s="29"/>
      <c r="AG778" s="9"/>
      <c r="AH778" s="10"/>
      <c r="AI778" s="9"/>
      <c r="AJ778" s="11"/>
      <c r="AK778" s="9"/>
      <c r="AL778" s="13"/>
      <c r="AM778" s="9"/>
    </row>
    <row r="779" spans="1:39" x14ac:dyDescent="0.3">
      <c r="A779" s="2" t="str">
        <f t="shared" si="330"/>
        <v>NÃO</v>
      </c>
      <c r="B779" s="2" t="str">
        <f>_xlfn.XLOOKUP($N779,'Base de Grupos'!$A:$A,'Base de Grupos'!$D:$D)</f>
        <v>1000065763</v>
      </c>
      <c r="C779" s="5" t="str">
        <f>_xlfn.XLOOKUP($N779,'Base de Grupos'!$A:$A,'Base de Grupos'!$E:$E)</f>
        <v>CANAL VENDA INTERNA</v>
      </c>
      <c r="D779" s="5" t="str">
        <f>_xlfn.XLOOKUP($N779,'Base de Grupos'!$A:$A,'Base de Grupos'!$F:$F)</f>
        <v>1000065763</v>
      </c>
      <c r="E779" s="2" t="str">
        <f>_xlfn.XLOOKUP($N779,'Base de Grupos'!$A:$A,'Base de Grupos'!$G:$G)</f>
        <v>CANAL VENDA INTERNA</v>
      </c>
      <c r="F779" s="2" t="str">
        <f>_xlfn.XLOOKUP($N779,'Base de Grupos'!$A:$A,'Base de Grupos'!$H:$H)</f>
        <v>1000174119</v>
      </c>
      <c r="G779" s="5" t="str">
        <f>_xlfn.XLOOKUP($N779,'Base de Grupos'!$A:$A,'Base de Grupos'!$I:$I)</f>
        <v>REGIONAL VENDA INTERNA - CONVENIENCIA</v>
      </c>
      <c r="H779" s="5" t="str">
        <f>_xlfn.XLOOKUP($N779,'Base de Grupos'!$A:$A,'Base de Grupos'!$J:$J)</f>
        <v>1000174119</v>
      </c>
      <c r="I779" s="2" t="str">
        <f>_xlfn.XLOOKUP($N779,'Base de Grupos'!$A:$A,'Base de Grupos'!$K:$K)</f>
        <v>REGIONAL VENDA INTERNA - CONVENIENCIA</v>
      </c>
      <c r="J779" s="2" t="str">
        <f>_xlfn.XLOOKUP($N779,'Base de Grupos'!$A:$A,'Base de Grupos'!$L:$L)</f>
        <v>1000174119</v>
      </c>
      <c r="K779" s="5" t="str">
        <f>_xlfn.XLOOKUP($N779,'Base de Grupos'!$A:$A,'Base de Grupos'!$M:$M)</f>
        <v>REGIONAL VENDA INTERNA - CONVENIENCIA</v>
      </c>
      <c r="L779" s="5" t="str">
        <f t="shared" si="331"/>
        <v/>
      </c>
      <c r="M779" s="5" t="str">
        <f>_xlfn.XLOOKUP($N779,'Base de Grupos'!$A:$A,'Base de Grupos'!$C:$C)</f>
        <v>SE</v>
      </c>
      <c r="N779" s="3">
        <v>1508</v>
      </c>
      <c r="O779" s="4" t="s">
        <v>267</v>
      </c>
      <c r="P779" s="5" t="s">
        <v>82</v>
      </c>
      <c r="Q779" s="24">
        <v>0</v>
      </c>
      <c r="R779" s="24">
        <v>0</v>
      </c>
      <c r="S779" s="24">
        <v>0</v>
      </c>
      <c r="T779" s="24">
        <v>0</v>
      </c>
      <c r="U779" s="24">
        <v>0</v>
      </c>
      <c r="V779" s="24">
        <v>0</v>
      </c>
      <c r="W779" s="24">
        <v>0</v>
      </c>
      <c r="X779" s="24">
        <v>0</v>
      </c>
      <c r="Y779" s="24">
        <v>0</v>
      </c>
      <c r="Z779" s="24">
        <v>0</v>
      </c>
      <c r="AA779" s="24">
        <v>0</v>
      </c>
      <c r="AB779" s="24">
        <v>0</v>
      </c>
      <c r="AC779" s="30">
        <f t="shared" si="335"/>
        <v>0</v>
      </c>
      <c r="AD779" s="28"/>
      <c r="AE779" s="12"/>
      <c r="AF779" s="29"/>
      <c r="AG779" s="9"/>
      <c r="AH779" s="10"/>
      <c r="AI779" s="9"/>
      <c r="AJ779" s="11"/>
      <c r="AK779" s="9"/>
      <c r="AL779" s="13"/>
      <c r="AM779" s="9"/>
    </row>
    <row r="780" spans="1:39" x14ac:dyDescent="0.3">
      <c r="A780" s="2" t="str">
        <f t="shared" si="330"/>
        <v>NÃO</v>
      </c>
      <c r="B780" s="2" t="str">
        <f>_xlfn.XLOOKUP($N780,'Base de Grupos'!$A:$A,'Base de Grupos'!$D:$D)</f>
        <v>1000065763</v>
      </c>
      <c r="C780" s="5" t="str">
        <f>_xlfn.XLOOKUP($N780,'Base de Grupos'!$A:$A,'Base de Grupos'!$E:$E)</f>
        <v>CANAL VENDA INTERNA</v>
      </c>
      <c r="D780" s="5" t="str">
        <f>_xlfn.XLOOKUP($N780,'Base de Grupos'!$A:$A,'Base de Grupos'!$F:$F)</f>
        <v>1000065763</v>
      </c>
      <c r="E780" s="2" t="str">
        <f>_xlfn.XLOOKUP($N780,'Base de Grupos'!$A:$A,'Base de Grupos'!$G:$G)</f>
        <v>CANAL VENDA INTERNA</v>
      </c>
      <c r="F780" s="2" t="str">
        <f>_xlfn.XLOOKUP($N780,'Base de Grupos'!$A:$A,'Base de Grupos'!$H:$H)</f>
        <v>1000174119</v>
      </c>
      <c r="G780" s="5" t="str">
        <f>_xlfn.XLOOKUP($N780,'Base de Grupos'!$A:$A,'Base de Grupos'!$I:$I)</f>
        <v>REGIONAL VENDA INTERNA - CONVENIENCIA</v>
      </c>
      <c r="H780" s="5" t="str">
        <f>_xlfn.XLOOKUP($N780,'Base de Grupos'!$A:$A,'Base de Grupos'!$J:$J)</f>
        <v>1000174119</v>
      </c>
      <c r="I780" s="2" t="str">
        <f>_xlfn.XLOOKUP($N780,'Base de Grupos'!$A:$A,'Base de Grupos'!$K:$K)</f>
        <v>REGIONAL VENDA INTERNA - CONVENIENCIA</v>
      </c>
      <c r="J780" s="2" t="str">
        <f>_xlfn.XLOOKUP($N780,'Base de Grupos'!$A:$A,'Base de Grupos'!$L:$L)</f>
        <v>1000174119</v>
      </c>
      <c r="K780" s="5" t="str">
        <f>_xlfn.XLOOKUP($N780,'Base de Grupos'!$A:$A,'Base de Grupos'!$M:$M)</f>
        <v>REGIONAL VENDA INTERNA - CONVENIENCIA</v>
      </c>
      <c r="L780" s="5" t="str">
        <f t="shared" si="331"/>
        <v/>
      </c>
      <c r="M780" s="5" t="str">
        <f>_xlfn.XLOOKUP($N780,'Base de Grupos'!$A:$A,'Base de Grupos'!$C:$C)</f>
        <v>SE</v>
      </c>
      <c r="N780" s="3">
        <v>1508</v>
      </c>
      <c r="O780" s="4" t="s">
        <v>267</v>
      </c>
      <c r="P780" s="5" t="s">
        <v>84</v>
      </c>
      <c r="Q780" s="24">
        <v>0</v>
      </c>
      <c r="R780" s="24">
        <v>0</v>
      </c>
      <c r="S780" s="24">
        <v>0</v>
      </c>
      <c r="T780" s="24">
        <v>0</v>
      </c>
      <c r="U780" s="24">
        <v>0</v>
      </c>
      <c r="V780" s="24">
        <v>0</v>
      </c>
      <c r="W780" s="24">
        <v>0</v>
      </c>
      <c r="X780" s="24">
        <v>0</v>
      </c>
      <c r="Y780" s="24">
        <v>0</v>
      </c>
      <c r="Z780" s="24">
        <v>0</v>
      </c>
      <c r="AA780" s="24">
        <v>0</v>
      </c>
      <c r="AB780" s="24">
        <v>0</v>
      </c>
      <c r="AC780" s="30">
        <f t="shared" si="335"/>
        <v>0</v>
      </c>
      <c r="AD780" s="28"/>
      <c r="AE780" s="12"/>
      <c r="AF780" s="29"/>
      <c r="AG780" s="9"/>
      <c r="AH780" s="10"/>
      <c r="AI780" s="9"/>
      <c r="AJ780" s="11"/>
      <c r="AK780" s="9"/>
      <c r="AL780" s="13"/>
      <c r="AM780" s="9"/>
    </row>
    <row r="781" spans="1:39" x14ac:dyDescent="0.3">
      <c r="A781" s="2" t="str">
        <f t="shared" si="330"/>
        <v>NÃO</v>
      </c>
      <c r="B781" s="2" t="str">
        <f>_xlfn.XLOOKUP($N781,'Base de Grupos'!$A:$A,'Base de Grupos'!$D:$D)</f>
        <v>1000065763</v>
      </c>
      <c r="C781" s="5" t="str">
        <f>_xlfn.XLOOKUP($N781,'Base de Grupos'!$A:$A,'Base de Grupos'!$E:$E)</f>
        <v>CANAL VENDA INTERNA</v>
      </c>
      <c r="D781" s="5" t="str">
        <f>_xlfn.XLOOKUP($N781,'Base de Grupos'!$A:$A,'Base de Grupos'!$F:$F)</f>
        <v>1000065763</v>
      </c>
      <c r="E781" s="2" t="str">
        <f>_xlfn.XLOOKUP($N781,'Base de Grupos'!$A:$A,'Base de Grupos'!$G:$G)</f>
        <v>CANAL VENDA INTERNA</v>
      </c>
      <c r="F781" s="2" t="str">
        <f>_xlfn.XLOOKUP($N781,'Base de Grupos'!$A:$A,'Base de Grupos'!$H:$H)</f>
        <v>1000174119</v>
      </c>
      <c r="G781" s="5" t="str">
        <f>_xlfn.XLOOKUP($N781,'Base de Grupos'!$A:$A,'Base de Grupos'!$I:$I)</f>
        <v>REGIONAL VENDA INTERNA - CONVENIENCIA</v>
      </c>
      <c r="H781" s="5" t="str">
        <f>_xlfn.XLOOKUP($N781,'Base de Grupos'!$A:$A,'Base de Grupos'!$J:$J)</f>
        <v>1000174119</v>
      </c>
      <c r="I781" s="2" t="str">
        <f>_xlfn.XLOOKUP($N781,'Base de Grupos'!$A:$A,'Base de Grupos'!$K:$K)</f>
        <v>REGIONAL VENDA INTERNA - CONVENIENCIA</v>
      </c>
      <c r="J781" s="2" t="str">
        <f>_xlfn.XLOOKUP($N781,'Base de Grupos'!$A:$A,'Base de Grupos'!$L:$L)</f>
        <v>1000174119</v>
      </c>
      <c r="K781" s="5" t="str">
        <f>_xlfn.XLOOKUP($N781,'Base de Grupos'!$A:$A,'Base de Grupos'!$M:$M)</f>
        <v>REGIONAL VENDA INTERNA - CONVENIENCIA</v>
      </c>
      <c r="L781" s="5" t="str">
        <f t="shared" si="331"/>
        <v/>
      </c>
      <c r="M781" s="5" t="str">
        <f>_xlfn.XLOOKUP($N781,'Base de Grupos'!$A:$A,'Base de Grupos'!$C:$C)</f>
        <v>SE</v>
      </c>
      <c r="N781" s="3">
        <v>1508</v>
      </c>
      <c r="O781" s="4" t="s">
        <v>267</v>
      </c>
      <c r="P781" s="5" t="s">
        <v>83</v>
      </c>
      <c r="Q781" s="24">
        <v>0</v>
      </c>
      <c r="R781" s="24">
        <v>0</v>
      </c>
      <c r="S781" s="24">
        <v>0</v>
      </c>
      <c r="T781" s="24">
        <v>0</v>
      </c>
      <c r="U781" s="24">
        <v>0</v>
      </c>
      <c r="V781" s="24">
        <v>0</v>
      </c>
      <c r="W781" s="24">
        <v>0</v>
      </c>
      <c r="X781" s="24">
        <v>0</v>
      </c>
      <c r="Y781" s="24">
        <v>0</v>
      </c>
      <c r="Z781" s="24">
        <v>0</v>
      </c>
      <c r="AA781" s="24">
        <v>0</v>
      </c>
      <c r="AB781" s="24">
        <v>0</v>
      </c>
      <c r="AC781" s="30">
        <f t="shared" si="335"/>
        <v>0</v>
      </c>
      <c r="AD781" s="28"/>
      <c r="AE781" s="12"/>
      <c r="AF781" s="29"/>
      <c r="AG781" s="9"/>
      <c r="AH781" s="10"/>
      <c r="AI781" s="9"/>
      <c r="AJ781" s="11"/>
      <c r="AK781" s="9"/>
      <c r="AL781" s="13"/>
      <c r="AM781" s="9"/>
    </row>
    <row r="782" spans="1:39" x14ac:dyDescent="0.3">
      <c r="A782" s="2" t="str">
        <f t="shared" si="330"/>
        <v>NÃO</v>
      </c>
      <c r="B782" s="2" t="str">
        <f>_xlfn.XLOOKUP($N782,'Base de Grupos'!$A:$A,'Base de Grupos'!$D:$D)</f>
        <v>1000065763</v>
      </c>
      <c r="C782" s="5" t="str">
        <f>_xlfn.XLOOKUP($N782,'Base de Grupos'!$A:$A,'Base de Grupos'!$E:$E)</f>
        <v>CANAL VENDA INTERNA</v>
      </c>
      <c r="D782" s="5" t="str">
        <f>_xlfn.XLOOKUP($N782,'Base de Grupos'!$A:$A,'Base de Grupos'!$F:$F)</f>
        <v>1000065763</v>
      </c>
      <c r="E782" s="2" t="str">
        <f>_xlfn.XLOOKUP($N782,'Base de Grupos'!$A:$A,'Base de Grupos'!$G:$G)</f>
        <v>CANAL VENDA INTERNA</v>
      </c>
      <c r="F782" s="2" t="str">
        <f>_xlfn.XLOOKUP($N782,'Base de Grupos'!$A:$A,'Base de Grupos'!$H:$H)</f>
        <v>1000174119</v>
      </c>
      <c r="G782" s="5" t="str">
        <f>_xlfn.XLOOKUP($N782,'Base de Grupos'!$A:$A,'Base de Grupos'!$I:$I)</f>
        <v>REGIONAL VENDA INTERNA - CONVENIENCIA</v>
      </c>
      <c r="H782" s="5" t="str">
        <f>_xlfn.XLOOKUP($N782,'Base de Grupos'!$A:$A,'Base de Grupos'!$J:$J)</f>
        <v>1000174119</v>
      </c>
      <c r="I782" s="2" t="str">
        <f>_xlfn.XLOOKUP($N782,'Base de Grupos'!$A:$A,'Base de Grupos'!$K:$K)</f>
        <v>REGIONAL VENDA INTERNA - CONVENIENCIA</v>
      </c>
      <c r="J782" s="2" t="str">
        <f>_xlfn.XLOOKUP($N782,'Base de Grupos'!$A:$A,'Base de Grupos'!$L:$L)</f>
        <v>1000174119</v>
      </c>
      <c r="K782" s="5" t="str">
        <f>_xlfn.XLOOKUP($N782,'Base de Grupos'!$A:$A,'Base de Grupos'!$M:$M)</f>
        <v>REGIONAL VENDA INTERNA - CONVENIENCIA</v>
      </c>
      <c r="L782" s="5" t="str">
        <f t="shared" si="331"/>
        <v/>
      </c>
      <c r="M782" s="5" t="str">
        <f>_xlfn.XLOOKUP($N782,'Base de Grupos'!$A:$A,'Base de Grupos'!$C:$C)</f>
        <v>SE</v>
      </c>
      <c r="N782" s="3">
        <v>1508</v>
      </c>
      <c r="O782" s="4" t="s">
        <v>267</v>
      </c>
      <c r="P782" s="5" t="s">
        <v>87</v>
      </c>
      <c r="Q782" s="24">
        <v>0</v>
      </c>
      <c r="R782" s="24">
        <v>0</v>
      </c>
      <c r="S782" s="24">
        <v>0</v>
      </c>
      <c r="T782" s="24">
        <v>0</v>
      </c>
      <c r="U782" s="24">
        <v>0</v>
      </c>
      <c r="V782" s="24">
        <v>0</v>
      </c>
      <c r="W782" s="24">
        <v>0</v>
      </c>
      <c r="X782" s="24">
        <v>0</v>
      </c>
      <c r="Y782" s="24">
        <v>0</v>
      </c>
      <c r="Z782" s="24">
        <v>0</v>
      </c>
      <c r="AA782" s="24">
        <v>0</v>
      </c>
      <c r="AB782" s="24">
        <v>0</v>
      </c>
      <c r="AC782" s="30">
        <f t="shared" si="335"/>
        <v>0</v>
      </c>
      <c r="AD782" s="28"/>
      <c r="AE782" s="12"/>
      <c r="AF782" s="29"/>
      <c r="AG782" s="9"/>
      <c r="AH782" s="10"/>
      <c r="AI782" s="9"/>
      <c r="AJ782" s="11"/>
      <c r="AK782" s="9"/>
      <c r="AL782" s="13"/>
      <c r="AM782" s="9"/>
    </row>
    <row r="783" spans="1:39" x14ac:dyDescent="0.3">
      <c r="A783" s="2" t="str">
        <f t="shared" si="330"/>
        <v>NÃO</v>
      </c>
      <c r="B783" s="2" t="str">
        <f>_xlfn.XLOOKUP($N783,'Base de Grupos'!$A:$A,'Base de Grupos'!$D:$D)</f>
        <v>1000065763</v>
      </c>
      <c r="C783" s="5" t="str">
        <f>_xlfn.XLOOKUP($N783,'Base de Grupos'!$A:$A,'Base de Grupos'!$E:$E)</f>
        <v>CANAL VENDA INTERNA</v>
      </c>
      <c r="D783" s="5" t="str">
        <f>_xlfn.XLOOKUP($N783,'Base de Grupos'!$A:$A,'Base de Grupos'!$F:$F)</f>
        <v>1000065763</v>
      </c>
      <c r="E783" s="2" t="str">
        <f>_xlfn.XLOOKUP($N783,'Base de Grupos'!$A:$A,'Base de Grupos'!$G:$G)</f>
        <v>CANAL VENDA INTERNA</v>
      </c>
      <c r="F783" s="2" t="str">
        <f>_xlfn.XLOOKUP($N783,'Base de Grupos'!$A:$A,'Base de Grupos'!$H:$H)</f>
        <v>1000174119</v>
      </c>
      <c r="G783" s="5" t="str">
        <f>_xlfn.XLOOKUP($N783,'Base de Grupos'!$A:$A,'Base de Grupos'!$I:$I)</f>
        <v>REGIONAL VENDA INTERNA - CONVENIENCIA</v>
      </c>
      <c r="H783" s="5" t="str">
        <f>_xlfn.XLOOKUP($N783,'Base de Grupos'!$A:$A,'Base de Grupos'!$J:$J)</f>
        <v>1000174119</v>
      </c>
      <c r="I783" s="2" t="str">
        <f>_xlfn.XLOOKUP($N783,'Base de Grupos'!$A:$A,'Base de Grupos'!$K:$K)</f>
        <v>REGIONAL VENDA INTERNA - CONVENIENCIA</v>
      </c>
      <c r="J783" s="2" t="str">
        <f>_xlfn.XLOOKUP($N783,'Base de Grupos'!$A:$A,'Base de Grupos'!$L:$L)</f>
        <v>1000174119</v>
      </c>
      <c r="K783" s="5" t="str">
        <f>_xlfn.XLOOKUP($N783,'Base de Grupos'!$A:$A,'Base de Grupos'!$M:$M)</f>
        <v>REGIONAL VENDA INTERNA - CONVENIENCIA</v>
      </c>
      <c r="L783" s="5" t="str">
        <f t="shared" si="331"/>
        <v/>
      </c>
      <c r="M783" s="5" t="str">
        <f>_xlfn.XLOOKUP($N783,'Base de Grupos'!$A:$A,'Base de Grupos'!$C:$C)</f>
        <v>SE</v>
      </c>
      <c r="N783" s="3">
        <v>1508</v>
      </c>
      <c r="O783" s="4" t="s">
        <v>267</v>
      </c>
      <c r="P783" s="5" t="s">
        <v>85</v>
      </c>
      <c r="Q783" s="24">
        <v>0</v>
      </c>
      <c r="R783" s="24">
        <v>0</v>
      </c>
      <c r="S783" s="24">
        <v>0</v>
      </c>
      <c r="T783" s="24">
        <v>0</v>
      </c>
      <c r="U783" s="24">
        <v>0</v>
      </c>
      <c r="V783" s="24">
        <v>0</v>
      </c>
      <c r="W783" s="24">
        <v>0</v>
      </c>
      <c r="X783" s="24">
        <v>0</v>
      </c>
      <c r="Y783" s="24">
        <v>0</v>
      </c>
      <c r="Z783" s="24">
        <v>0</v>
      </c>
      <c r="AA783" s="24">
        <v>0</v>
      </c>
      <c r="AB783" s="24">
        <v>0</v>
      </c>
      <c r="AC783" s="30">
        <f t="shared" si="335"/>
        <v>0</v>
      </c>
      <c r="AD783" s="28"/>
      <c r="AE783" s="12"/>
      <c r="AF783" s="29"/>
      <c r="AG783" s="9"/>
      <c r="AH783" s="10"/>
      <c r="AI783" s="9"/>
      <c r="AJ783" s="11"/>
      <c r="AK783" s="9"/>
      <c r="AL783" s="13"/>
      <c r="AM783" s="9"/>
    </row>
    <row r="784" spans="1:39" x14ac:dyDescent="0.3">
      <c r="A784" s="2" t="str">
        <f t="shared" si="330"/>
        <v>NÃO</v>
      </c>
      <c r="B784" s="2" t="str">
        <f>_xlfn.XLOOKUP($N784,'Base de Grupos'!$A:$A,'Base de Grupos'!$D:$D)</f>
        <v>1000065763</v>
      </c>
      <c r="C784" s="5" t="str">
        <f>_xlfn.XLOOKUP($N784,'Base de Grupos'!$A:$A,'Base de Grupos'!$E:$E)</f>
        <v>CANAL VENDA INTERNA</v>
      </c>
      <c r="D784" s="5" t="str">
        <f>_xlfn.XLOOKUP($N784,'Base de Grupos'!$A:$A,'Base de Grupos'!$F:$F)</f>
        <v>1000065763</v>
      </c>
      <c r="E784" s="2" t="str">
        <f>_xlfn.XLOOKUP($N784,'Base de Grupos'!$A:$A,'Base de Grupos'!$G:$G)</f>
        <v>CANAL VENDA INTERNA</v>
      </c>
      <c r="F784" s="2" t="str">
        <f>_xlfn.XLOOKUP($N784,'Base de Grupos'!$A:$A,'Base de Grupos'!$H:$H)</f>
        <v>1000174119</v>
      </c>
      <c r="G784" s="5" t="str">
        <f>_xlfn.XLOOKUP($N784,'Base de Grupos'!$A:$A,'Base de Grupos'!$I:$I)</f>
        <v>REGIONAL VENDA INTERNA - CONVENIENCIA</v>
      </c>
      <c r="H784" s="5" t="str">
        <f>_xlfn.XLOOKUP($N784,'Base de Grupos'!$A:$A,'Base de Grupos'!$J:$J)</f>
        <v>1000174119</v>
      </c>
      <c r="I784" s="2" t="str">
        <f>_xlfn.XLOOKUP($N784,'Base de Grupos'!$A:$A,'Base de Grupos'!$K:$K)</f>
        <v>REGIONAL VENDA INTERNA - CONVENIENCIA</v>
      </c>
      <c r="J784" s="2" t="str">
        <f>_xlfn.XLOOKUP($N784,'Base de Grupos'!$A:$A,'Base de Grupos'!$L:$L)</f>
        <v>1000174119</v>
      </c>
      <c r="K784" s="5" t="str">
        <f>_xlfn.XLOOKUP($N784,'Base de Grupos'!$A:$A,'Base de Grupos'!$M:$M)</f>
        <v>REGIONAL VENDA INTERNA - CONVENIENCIA</v>
      </c>
      <c r="L784" s="5" t="str">
        <f t="shared" si="331"/>
        <v/>
      </c>
      <c r="M784" s="5" t="str">
        <f>_xlfn.XLOOKUP($N784,'Base de Grupos'!$A:$A,'Base de Grupos'!$C:$C)</f>
        <v>SE</v>
      </c>
      <c r="N784" s="3">
        <v>1508</v>
      </c>
      <c r="O784" s="4" t="s">
        <v>267</v>
      </c>
      <c r="P784" s="5" t="s">
        <v>92</v>
      </c>
      <c r="Q784" s="24">
        <v>0</v>
      </c>
      <c r="R784" s="24">
        <v>0</v>
      </c>
      <c r="S784" s="24">
        <v>0</v>
      </c>
      <c r="T784" s="24">
        <v>0</v>
      </c>
      <c r="U784" s="24">
        <v>0</v>
      </c>
      <c r="V784" s="24">
        <v>0</v>
      </c>
      <c r="W784" s="24">
        <v>0</v>
      </c>
      <c r="X784" s="24">
        <v>0</v>
      </c>
      <c r="Y784" s="24">
        <v>0</v>
      </c>
      <c r="Z784" s="24">
        <v>0</v>
      </c>
      <c r="AA784" s="24">
        <v>0</v>
      </c>
      <c r="AB784" s="24">
        <v>0</v>
      </c>
      <c r="AC784" s="30">
        <f t="shared" si="335"/>
        <v>0</v>
      </c>
      <c r="AD784" s="28"/>
      <c r="AE784" s="12"/>
      <c r="AF784" s="29"/>
      <c r="AG784" s="9"/>
      <c r="AH784" s="10"/>
      <c r="AI784" s="9"/>
      <c r="AJ784" s="11"/>
      <c r="AK784" s="9"/>
      <c r="AL784" s="13"/>
      <c r="AM784" s="9"/>
    </row>
    <row r="785" spans="1:39" x14ac:dyDescent="0.3">
      <c r="A785" s="2" t="str">
        <f t="shared" si="330"/>
        <v>NÃO</v>
      </c>
      <c r="B785" s="2" t="str">
        <f>_xlfn.XLOOKUP($N785,'Base de Grupos'!$A:$A,'Base de Grupos'!$D:$D)</f>
        <v>1000065763</v>
      </c>
      <c r="C785" s="5" t="str">
        <f>_xlfn.XLOOKUP($N785,'Base de Grupos'!$A:$A,'Base de Grupos'!$E:$E)</f>
        <v>CANAL VENDA INTERNA</v>
      </c>
      <c r="D785" s="5" t="str">
        <f>_xlfn.XLOOKUP($N785,'Base de Grupos'!$A:$A,'Base de Grupos'!$F:$F)</f>
        <v>1000065763</v>
      </c>
      <c r="E785" s="2" t="str">
        <f>_xlfn.XLOOKUP($N785,'Base de Grupos'!$A:$A,'Base de Grupos'!$G:$G)</f>
        <v>CANAL VENDA INTERNA</v>
      </c>
      <c r="F785" s="2" t="str">
        <f>_xlfn.XLOOKUP($N785,'Base de Grupos'!$A:$A,'Base de Grupos'!$H:$H)</f>
        <v>1000174119</v>
      </c>
      <c r="G785" s="5" t="str">
        <f>_xlfn.XLOOKUP($N785,'Base de Grupos'!$A:$A,'Base de Grupos'!$I:$I)</f>
        <v>REGIONAL VENDA INTERNA - CONVENIENCIA</v>
      </c>
      <c r="H785" s="5" t="str">
        <f>_xlfn.XLOOKUP($N785,'Base de Grupos'!$A:$A,'Base de Grupos'!$J:$J)</f>
        <v>1000174119</v>
      </c>
      <c r="I785" s="2" t="str">
        <f>_xlfn.XLOOKUP($N785,'Base de Grupos'!$A:$A,'Base de Grupos'!$K:$K)</f>
        <v>REGIONAL VENDA INTERNA - CONVENIENCIA</v>
      </c>
      <c r="J785" s="2" t="str">
        <f>_xlfn.XLOOKUP($N785,'Base de Grupos'!$A:$A,'Base de Grupos'!$L:$L)</f>
        <v>1000174119</v>
      </c>
      <c r="K785" s="5" t="str">
        <f>_xlfn.XLOOKUP($N785,'Base de Grupos'!$A:$A,'Base de Grupos'!$M:$M)</f>
        <v>REGIONAL VENDA INTERNA - CONVENIENCIA</v>
      </c>
      <c r="L785" s="5" t="str">
        <f t="shared" si="331"/>
        <v/>
      </c>
      <c r="M785" s="5" t="str">
        <f>_xlfn.XLOOKUP($N785,'Base de Grupos'!$A:$A,'Base de Grupos'!$C:$C)</f>
        <v>SE</v>
      </c>
      <c r="N785" s="3">
        <v>1508</v>
      </c>
      <c r="O785" s="4" t="s">
        <v>267</v>
      </c>
      <c r="P785" s="5" t="s">
        <v>86</v>
      </c>
      <c r="Q785" s="24">
        <v>0</v>
      </c>
      <c r="R785" s="24">
        <v>0</v>
      </c>
      <c r="S785" s="24">
        <v>0</v>
      </c>
      <c r="T785" s="24">
        <v>0</v>
      </c>
      <c r="U785" s="24">
        <v>0</v>
      </c>
      <c r="V785" s="24">
        <v>0</v>
      </c>
      <c r="W785" s="24">
        <v>0</v>
      </c>
      <c r="X785" s="24">
        <v>0</v>
      </c>
      <c r="Y785" s="24">
        <v>0</v>
      </c>
      <c r="Z785" s="24">
        <v>0</v>
      </c>
      <c r="AA785" s="24">
        <v>0</v>
      </c>
      <c r="AB785" s="24">
        <v>0</v>
      </c>
      <c r="AC785" s="30">
        <f>SUM(T785:AB785)</f>
        <v>0</v>
      </c>
      <c r="AD785" s="28"/>
      <c r="AE785" s="12"/>
      <c r="AF785" s="29"/>
      <c r="AG785" s="9"/>
      <c r="AH785" s="10"/>
      <c r="AI785" s="9"/>
      <c r="AJ785" s="11"/>
      <c r="AK785" s="9"/>
      <c r="AL785" s="13"/>
      <c r="AM785" s="9"/>
    </row>
    <row r="786" spans="1:39" x14ac:dyDescent="0.3">
      <c r="A786" s="2" t="str">
        <f t="shared" si="330"/>
        <v>NÃO</v>
      </c>
      <c r="B786" s="2" t="str">
        <f>_xlfn.XLOOKUP($N786,'Base de Grupos'!$A:$A,'Base de Grupos'!$D:$D)</f>
        <v>1000065763</v>
      </c>
      <c r="C786" s="5" t="str">
        <f>_xlfn.XLOOKUP($N786,'Base de Grupos'!$A:$A,'Base de Grupos'!$E:$E)</f>
        <v>CANAL VENDA INTERNA</v>
      </c>
      <c r="D786" s="5" t="str">
        <f>_xlfn.XLOOKUP($N786,'Base de Grupos'!$A:$A,'Base de Grupos'!$F:$F)</f>
        <v>1000065763</v>
      </c>
      <c r="E786" s="2" t="str">
        <f>_xlfn.XLOOKUP($N786,'Base de Grupos'!$A:$A,'Base de Grupos'!$G:$G)</f>
        <v>CANAL VENDA INTERNA</v>
      </c>
      <c r="F786" s="2" t="str">
        <f>_xlfn.XLOOKUP($N786,'Base de Grupos'!$A:$A,'Base de Grupos'!$H:$H)</f>
        <v>1000174119</v>
      </c>
      <c r="G786" s="5" t="str">
        <f>_xlfn.XLOOKUP($N786,'Base de Grupos'!$A:$A,'Base de Grupos'!$I:$I)</f>
        <v>REGIONAL VENDA INTERNA - CONVENIENCIA</v>
      </c>
      <c r="H786" s="5" t="str">
        <f>_xlfn.XLOOKUP($N786,'Base de Grupos'!$A:$A,'Base de Grupos'!$J:$J)</f>
        <v>1000174119</v>
      </c>
      <c r="I786" s="2" t="str">
        <f>_xlfn.XLOOKUP($N786,'Base de Grupos'!$A:$A,'Base de Grupos'!$K:$K)</f>
        <v>REGIONAL VENDA INTERNA - CONVENIENCIA</v>
      </c>
      <c r="J786" s="2" t="str">
        <f>_xlfn.XLOOKUP($N786,'Base de Grupos'!$A:$A,'Base de Grupos'!$L:$L)</f>
        <v>1000174119</v>
      </c>
      <c r="K786" s="5" t="str">
        <f>_xlfn.XLOOKUP($N786,'Base de Grupos'!$A:$A,'Base de Grupos'!$M:$M)</f>
        <v>REGIONAL VENDA INTERNA - CONVENIENCIA</v>
      </c>
      <c r="L786" s="5" t="str">
        <f t="shared" si="331"/>
        <v/>
      </c>
      <c r="M786" s="5" t="str">
        <f>_xlfn.XLOOKUP($N786,'Base de Grupos'!$A:$A,'Base de Grupos'!$C:$C)</f>
        <v>SE</v>
      </c>
      <c r="N786" s="3">
        <v>1508</v>
      </c>
      <c r="O786" s="4" t="s">
        <v>267</v>
      </c>
      <c r="P786" s="5" t="s">
        <v>108</v>
      </c>
      <c r="Q786" s="24">
        <v>0</v>
      </c>
      <c r="R786" s="24">
        <v>0</v>
      </c>
      <c r="S786" s="24">
        <v>0</v>
      </c>
      <c r="T786" s="24">
        <v>0</v>
      </c>
      <c r="U786" s="24">
        <v>0</v>
      </c>
      <c r="V786" s="24">
        <v>0</v>
      </c>
      <c r="W786" s="24">
        <v>0</v>
      </c>
      <c r="X786" s="24">
        <v>0</v>
      </c>
      <c r="Y786" s="24">
        <v>0</v>
      </c>
      <c r="Z786" s="24">
        <v>0</v>
      </c>
      <c r="AA786" s="24">
        <v>0</v>
      </c>
      <c r="AB786" s="24">
        <v>0</v>
      </c>
      <c r="AC786" s="30">
        <f t="shared" si="335"/>
        <v>0</v>
      </c>
      <c r="AD786" s="28"/>
      <c r="AE786" s="12"/>
      <c r="AF786" s="29"/>
      <c r="AG786" s="9"/>
      <c r="AH786" s="10"/>
      <c r="AI786" s="9"/>
      <c r="AJ786" s="11"/>
      <c r="AK786" s="9"/>
      <c r="AL786" s="13"/>
      <c r="AM786" s="9"/>
    </row>
    <row r="787" spans="1:39" x14ac:dyDescent="0.3">
      <c r="A787" s="2" t="str">
        <f t="shared" si="330"/>
        <v>NÃO</v>
      </c>
      <c r="B787" s="2" t="str">
        <f>_xlfn.XLOOKUP($N787,'Base de Grupos'!$A:$A,'Base de Grupos'!$D:$D)</f>
        <v>1000065763</v>
      </c>
      <c r="C787" s="5" t="str">
        <f>_xlfn.XLOOKUP($N787,'Base de Grupos'!$A:$A,'Base de Grupos'!$E:$E)</f>
        <v>CANAL VENDA INTERNA</v>
      </c>
      <c r="D787" s="5" t="str">
        <f>_xlfn.XLOOKUP($N787,'Base de Grupos'!$A:$A,'Base de Grupos'!$F:$F)</f>
        <v>1000065763</v>
      </c>
      <c r="E787" s="2" t="str">
        <f>_xlfn.XLOOKUP($N787,'Base de Grupos'!$A:$A,'Base de Grupos'!$G:$G)</f>
        <v>CANAL VENDA INTERNA</v>
      </c>
      <c r="F787" s="2" t="str">
        <f>_xlfn.XLOOKUP($N787,'Base de Grupos'!$A:$A,'Base de Grupos'!$H:$H)</f>
        <v>1000174119</v>
      </c>
      <c r="G787" s="5" t="str">
        <f>_xlfn.XLOOKUP($N787,'Base de Grupos'!$A:$A,'Base de Grupos'!$I:$I)</f>
        <v>REGIONAL VENDA INTERNA - CONVENIENCIA</v>
      </c>
      <c r="H787" s="5" t="str">
        <f>_xlfn.XLOOKUP($N787,'Base de Grupos'!$A:$A,'Base de Grupos'!$J:$J)</f>
        <v>1000174119</v>
      </c>
      <c r="I787" s="2" t="str">
        <f>_xlfn.XLOOKUP($N787,'Base de Grupos'!$A:$A,'Base de Grupos'!$K:$K)</f>
        <v>REGIONAL VENDA INTERNA - CONVENIENCIA</v>
      </c>
      <c r="J787" s="2" t="str">
        <f>_xlfn.XLOOKUP($N787,'Base de Grupos'!$A:$A,'Base de Grupos'!$L:$L)</f>
        <v>1000174119</v>
      </c>
      <c r="K787" s="5" t="str">
        <f>_xlfn.XLOOKUP($N787,'Base de Grupos'!$A:$A,'Base de Grupos'!$M:$M)</f>
        <v>REGIONAL VENDA INTERNA - CONVENIENCIA</v>
      </c>
      <c r="L787" s="5" t="str">
        <f t="shared" si="331"/>
        <v/>
      </c>
      <c r="M787" s="5" t="str">
        <f>_xlfn.XLOOKUP($N787,'Base de Grupos'!$A:$A,'Base de Grupos'!$C:$C)</f>
        <v>SE</v>
      </c>
      <c r="N787" s="3">
        <v>1508</v>
      </c>
      <c r="O787" s="4" t="s">
        <v>267</v>
      </c>
      <c r="P787" s="5" t="s">
        <v>89</v>
      </c>
      <c r="Q787" s="24">
        <v>0</v>
      </c>
      <c r="R787" s="24">
        <v>0</v>
      </c>
      <c r="S787" s="24">
        <v>0</v>
      </c>
      <c r="T787" s="24">
        <v>0</v>
      </c>
      <c r="U787" s="24">
        <v>0</v>
      </c>
      <c r="V787" s="24">
        <v>0</v>
      </c>
      <c r="W787" s="24">
        <v>0</v>
      </c>
      <c r="X787" s="24">
        <v>0</v>
      </c>
      <c r="Y787" s="24">
        <v>0</v>
      </c>
      <c r="Z787" s="24">
        <v>0</v>
      </c>
      <c r="AA787" s="24">
        <v>0</v>
      </c>
      <c r="AB787" s="24">
        <v>0</v>
      </c>
      <c r="AC787" s="30">
        <f t="shared" si="335"/>
        <v>0</v>
      </c>
      <c r="AD787" s="28"/>
      <c r="AE787" s="12"/>
      <c r="AF787" s="29"/>
      <c r="AG787" s="9"/>
      <c r="AH787" s="10"/>
      <c r="AI787" s="9"/>
      <c r="AJ787" s="11"/>
      <c r="AK787" s="9"/>
      <c r="AL787" s="13"/>
      <c r="AM787" s="9"/>
    </row>
    <row r="788" spans="1:39" x14ac:dyDescent="0.3">
      <c r="A788" s="2" t="str">
        <f t="shared" si="330"/>
        <v>NÃO</v>
      </c>
      <c r="B788" s="2" t="str">
        <f>_xlfn.XLOOKUP($N788,'Base de Grupos'!$A:$A,'Base de Grupos'!$D:$D)</f>
        <v>1000065763</v>
      </c>
      <c r="C788" s="5" t="str">
        <f>_xlfn.XLOOKUP($N788,'Base de Grupos'!$A:$A,'Base de Grupos'!$E:$E)</f>
        <v>CANAL VENDA INTERNA</v>
      </c>
      <c r="D788" s="5" t="str">
        <f>_xlfn.XLOOKUP($N788,'Base de Grupos'!$A:$A,'Base de Grupos'!$F:$F)</f>
        <v>1000065763</v>
      </c>
      <c r="E788" s="2" t="str">
        <f>_xlfn.XLOOKUP($N788,'Base de Grupos'!$A:$A,'Base de Grupos'!$G:$G)</f>
        <v>CANAL VENDA INTERNA</v>
      </c>
      <c r="F788" s="2" t="str">
        <f>_xlfn.XLOOKUP($N788,'Base de Grupos'!$A:$A,'Base de Grupos'!$H:$H)</f>
        <v>1000174119</v>
      </c>
      <c r="G788" s="5" t="str">
        <f>_xlfn.XLOOKUP($N788,'Base de Grupos'!$A:$A,'Base de Grupos'!$I:$I)</f>
        <v>REGIONAL VENDA INTERNA - CONVENIENCIA</v>
      </c>
      <c r="H788" s="5" t="str">
        <f>_xlfn.XLOOKUP($N788,'Base de Grupos'!$A:$A,'Base de Grupos'!$J:$J)</f>
        <v>1000174119</v>
      </c>
      <c r="I788" s="2" t="str">
        <f>_xlfn.XLOOKUP($N788,'Base de Grupos'!$A:$A,'Base de Grupos'!$K:$K)</f>
        <v>REGIONAL VENDA INTERNA - CONVENIENCIA</v>
      </c>
      <c r="J788" s="2" t="str">
        <f>_xlfn.XLOOKUP($N788,'Base de Grupos'!$A:$A,'Base de Grupos'!$L:$L)</f>
        <v>1000174119</v>
      </c>
      <c r="K788" s="5" t="str">
        <f>_xlfn.XLOOKUP($N788,'Base de Grupos'!$A:$A,'Base de Grupos'!$M:$M)</f>
        <v>REGIONAL VENDA INTERNA - CONVENIENCIA</v>
      </c>
      <c r="L788" s="5" t="str">
        <f t="shared" si="331"/>
        <v/>
      </c>
      <c r="M788" s="5" t="str">
        <f>_xlfn.XLOOKUP($N788,'Base de Grupos'!$A:$A,'Base de Grupos'!$C:$C)</f>
        <v>SE</v>
      </c>
      <c r="N788" s="3">
        <v>1508</v>
      </c>
      <c r="O788" s="4" t="s">
        <v>267</v>
      </c>
      <c r="P788" s="5" t="s">
        <v>88</v>
      </c>
      <c r="Q788" s="24">
        <v>0</v>
      </c>
      <c r="R788" s="24">
        <v>0</v>
      </c>
      <c r="S788" s="24">
        <v>0</v>
      </c>
      <c r="T788" s="24">
        <v>0</v>
      </c>
      <c r="U788" s="24">
        <v>0</v>
      </c>
      <c r="V788" s="24">
        <v>0</v>
      </c>
      <c r="W788" s="24">
        <v>0</v>
      </c>
      <c r="X788" s="24">
        <v>0</v>
      </c>
      <c r="Y788" s="24">
        <v>0</v>
      </c>
      <c r="Z788" s="24">
        <v>0</v>
      </c>
      <c r="AA788" s="24">
        <v>0</v>
      </c>
      <c r="AB788" s="24">
        <v>0</v>
      </c>
      <c r="AC788" s="30">
        <f t="shared" si="335"/>
        <v>0</v>
      </c>
      <c r="AD788" s="28"/>
      <c r="AE788" s="12"/>
      <c r="AF788" s="29"/>
      <c r="AG788" s="9"/>
      <c r="AH788" s="10"/>
      <c r="AI788" s="9"/>
      <c r="AJ788" s="11"/>
      <c r="AK788" s="9"/>
      <c r="AL788" s="13"/>
      <c r="AM788" s="9"/>
    </row>
    <row r="789" spans="1:39" x14ac:dyDescent="0.3">
      <c r="A789" s="2" t="str">
        <f t="shared" si="330"/>
        <v>NÃO</v>
      </c>
      <c r="B789" s="2" t="str">
        <f>_xlfn.XLOOKUP($N789,'Base de Grupos'!$A:$A,'Base de Grupos'!$D:$D)</f>
        <v>1000065763</v>
      </c>
      <c r="C789" s="5" t="str">
        <f>_xlfn.XLOOKUP($N789,'Base de Grupos'!$A:$A,'Base de Grupos'!$E:$E)</f>
        <v>CANAL VENDA INTERNA</v>
      </c>
      <c r="D789" s="5" t="str">
        <f>_xlfn.XLOOKUP($N789,'Base de Grupos'!$A:$A,'Base de Grupos'!$F:$F)</f>
        <v>1000065763</v>
      </c>
      <c r="E789" s="2" t="str">
        <f>_xlfn.XLOOKUP($N789,'Base de Grupos'!$A:$A,'Base de Grupos'!$G:$G)</f>
        <v>CANAL VENDA INTERNA</v>
      </c>
      <c r="F789" s="2" t="str">
        <f>_xlfn.XLOOKUP($N789,'Base de Grupos'!$A:$A,'Base de Grupos'!$H:$H)</f>
        <v>1000174119</v>
      </c>
      <c r="G789" s="5" t="str">
        <f>_xlfn.XLOOKUP($N789,'Base de Grupos'!$A:$A,'Base de Grupos'!$I:$I)</f>
        <v>REGIONAL VENDA INTERNA - CONVENIENCIA</v>
      </c>
      <c r="H789" s="5" t="str">
        <f>_xlfn.XLOOKUP($N789,'Base de Grupos'!$A:$A,'Base de Grupos'!$J:$J)</f>
        <v>1000174119</v>
      </c>
      <c r="I789" s="2" t="str">
        <f>_xlfn.XLOOKUP($N789,'Base de Grupos'!$A:$A,'Base de Grupos'!$K:$K)</f>
        <v>REGIONAL VENDA INTERNA - CONVENIENCIA</v>
      </c>
      <c r="J789" s="2" t="str">
        <f>_xlfn.XLOOKUP($N789,'Base de Grupos'!$A:$A,'Base de Grupos'!$L:$L)</f>
        <v>1000174119</v>
      </c>
      <c r="K789" s="5" t="str">
        <f>_xlfn.XLOOKUP($N789,'Base de Grupos'!$A:$A,'Base de Grupos'!$M:$M)</f>
        <v>REGIONAL VENDA INTERNA - CONVENIENCIA</v>
      </c>
      <c r="L789" s="5" t="str">
        <f t="shared" si="331"/>
        <v/>
      </c>
      <c r="M789" s="5" t="str">
        <f>_xlfn.XLOOKUP($N789,'Base de Grupos'!$A:$A,'Base de Grupos'!$C:$C)</f>
        <v>SE</v>
      </c>
      <c r="N789" s="3">
        <v>1508</v>
      </c>
      <c r="O789" s="4" t="s">
        <v>267</v>
      </c>
      <c r="P789" s="5" t="s">
        <v>90</v>
      </c>
      <c r="Q789" s="24">
        <v>0</v>
      </c>
      <c r="R789" s="24">
        <v>0</v>
      </c>
      <c r="S789" s="24">
        <v>0</v>
      </c>
      <c r="T789" s="24">
        <v>0</v>
      </c>
      <c r="U789" s="24">
        <v>0</v>
      </c>
      <c r="V789" s="24">
        <v>0</v>
      </c>
      <c r="W789" s="24">
        <v>0</v>
      </c>
      <c r="X789" s="24">
        <v>0</v>
      </c>
      <c r="Y789" s="24">
        <v>0</v>
      </c>
      <c r="Z789" s="24">
        <v>0</v>
      </c>
      <c r="AA789" s="24">
        <v>0</v>
      </c>
      <c r="AB789" s="24">
        <v>0</v>
      </c>
      <c r="AC789" s="30">
        <f t="shared" si="335"/>
        <v>0</v>
      </c>
      <c r="AD789" s="28"/>
      <c r="AE789" s="12"/>
      <c r="AF789" s="29"/>
      <c r="AG789" s="9"/>
      <c r="AH789" s="10"/>
      <c r="AI789" s="9"/>
      <c r="AJ789" s="11"/>
      <c r="AK789" s="9"/>
      <c r="AL789" s="13"/>
      <c r="AM789" s="9"/>
    </row>
    <row r="790" spans="1:39" x14ac:dyDescent="0.3">
      <c r="A790" s="2" t="str">
        <f t="shared" si="330"/>
        <v>NÃO</v>
      </c>
      <c r="B790" s="2" t="str">
        <f>_xlfn.XLOOKUP($N790,'Base de Grupos'!$A:$A,'Base de Grupos'!$D:$D)</f>
        <v>1000065763</v>
      </c>
      <c r="C790" s="5" t="str">
        <f>_xlfn.XLOOKUP($N790,'Base de Grupos'!$A:$A,'Base de Grupos'!$E:$E)</f>
        <v>CANAL VENDA INTERNA</v>
      </c>
      <c r="D790" s="5" t="str">
        <f>_xlfn.XLOOKUP($N790,'Base de Grupos'!$A:$A,'Base de Grupos'!$F:$F)</f>
        <v>1000065763</v>
      </c>
      <c r="E790" s="2" t="str">
        <f>_xlfn.XLOOKUP($N790,'Base de Grupos'!$A:$A,'Base de Grupos'!$G:$G)</f>
        <v>CANAL VENDA INTERNA</v>
      </c>
      <c r="F790" s="2" t="str">
        <f>_xlfn.XLOOKUP($N790,'Base de Grupos'!$A:$A,'Base de Grupos'!$H:$H)</f>
        <v>1000174119</v>
      </c>
      <c r="G790" s="5" t="str">
        <f>_xlfn.XLOOKUP($N790,'Base de Grupos'!$A:$A,'Base de Grupos'!$I:$I)</f>
        <v>REGIONAL VENDA INTERNA - CONVENIENCIA</v>
      </c>
      <c r="H790" s="5" t="str">
        <f>_xlfn.XLOOKUP($N790,'Base de Grupos'!$A:$A,'Base de Grupos'!$J:$J)</f>
        <v>1000174119</v>
      </c>
      <c r="I790" s="2" t="str">
        <f>_xlfn.XLOOKUP($N790,'Base de Grupos'!$A:$A,'Base de Grupos'!$K:$K)</f>
        <v>REGIONAL VENDA INTERNA - CONVENIENCIA</v>
      </c>
      <c r="J790" s="2" t="str">
        <f>_xlfn.XLOOKUP($N790,'Base de Grupos'!$A:$A,'Base de Grupos'!$L:$L)</f>
        <v>1000174119</v>
      </c>
      <c r="K790" s="5" t="str">
        <f>_xlfn.XLOOKUP($N790,'Base de Grupos'!$A:$A,'Base de Grupos'!$M:$M)</f>
        <v>REGIONAL VENDA INTERNA - CONVENIENCIA</v>
      </c>
      <c r="L790" s="5" t="str">
        <f t="shared" si="331"/>
        <v/>
      </c>
      <c r="M790" s="5" t="str">
        <f>_xlfn.XLOOKUP($N790,'Base de Grupos'!$A:$A,'Base de Grupos'!$C:$C)</f>
        <v>SE</v>
      </c>
      <c r="N790" s="3">
        <v>1508</v>
      </c>
      <c r="O790" s="4" t="s">
        <v>267</v>
      </c>
      <c r="P790" s="5" t="s">
        <v>91</v>
      </c>
      <c r="Q790" s="24">
        <v>0</v>
      </c>
      <c r="R790" s="24">
        <v>0</v>
      </c>
      <c r="S790" s="24">
        <v>0</v>
      </c>
      <c r="T790" s="24">
        <v>0</v>
      </c>
      <c r="U790" s="24">
        <v>0</v>
      </c>
      <c r="V790" s="24">
        <v>0</v>
      </c>
      <c r="W790" s="24">
        <v>0</v>
      </c>
      <c r="X790" s="24">
        <v>0</v>
      </c>
      <c r="Y790" s="24">
        <v>0</v>
      </c>
      <c r="Z790" s="24">
        <v>0</v>
      </c>
      <c r="AA790" s="24">
        <v>0</v>
      </c>
      <c r="AB790" s="24">
        <v>0</v>
      </c>
      <c r="AC790" s="30">
        <f t="shared" si="335"/>
        <v>0</v>
      </c>
      <c r="AD790" s="28"/>
      <c r="AE790" s="12"/>
      <c r="AF790" s="29"/>
      <c r="AG790" s="9"/>
      <c r="AH790" s="10"/>
      <c r="AI790" s="9"/>
      <c r="AJ790" s="11"/>
      <c r="AK790" s="9"/>
      <c r="AL790" s="13"/>
      <c r="AM790" s="9"/>
    </row>
    <row r="791" spans="1:39" x14ac:dyDescent="0.3">
      <c r="A791" s="2" t="str">
        <f t="shared" si="330"/>
        <v>NÃO</v>
      </c>
      <c r="B791" s="2" t="str">
        <f>_xlfn.XLOOKUP($N791,'Base de Grupos'!$A:$A,'Base de Grupos'!$D:$D)</f>
        <v>1000065763</v>
      </c>
      <c r="C791" s="5" t="str">
        <f>_xlfn.XLOOKUP($N791,'Base de Grupos'!$A:$A,'Base de Grupos'!$E:$E)</f>
        <v>CANAL VENDA INTERNA</v>
      </c>
      <c r="D791" s="5" t="str">
        <f>_xlfn.XLOOKUP($N791,'Base de Grupos'!$A:$A,'Base de Grupos'!$F:$F)</f>
        <v>1000065763</v>
      </c>
      <c r="E791" s="2" t="str">
        <f>_xlfn.XLOOKUP($N791,'Base de Grupos'!$A:$A,'Base de Grupos'!$G:$G)</f>
        <v>CANAL VENDA INTERNA</v>
      </c>
      <c r="F791" s="2" t="str">
        <f>_xlfn.XLOOKUP($N791,'Base de Grupos'!$A:$A,'Base de Grupos'!$H:$H)</f>
        <v>1000174119</v>
      </c>
      <c r="G791" s="5" t="str">
        <f>_xlfn.XLOOKUP($N791,'Base de Grupos'!$A:$A,'Base de Grupos'!$I:$I)</f>
        <v>REGIONAL VENDA INTERNA - CONVENIENCIA</v>
      </c>
      <c r="H791" s="5" t="str">
        <f>_xlfn.XLOOKUP($N791,'Base de Grupos'!$A:$A,'Base de Grupos'!$J:$J)</f>
        <v>1000174119</v>
      </c>
      <c r="I791" s="2" t="str">
        <f>_xlfn.XLOOKUP($N791,'Base de Grupos'!$A:$A,'Base de Grupos'!$K:$K)</f>
        <v>REGIONAL VENDA INTERNA - CONVENIENCIA</v>
      </c>
      <c r="J791" s="2" t="str">
        <f>_xlfn.XLOOKUP($N791,'Base de Grupos'!$A:$A,'Base de Grupos'!$L:$L)</f>
        <v>1000174119</v>
      </c>
      <c r="K791" s="5" t="str">
        <f>_xlfn.XLOOKUP($N791,'Base de Grupos'!$A:$A,'Base de Grupos'!$M:$M)</f>
        <v>REGIONAL VENDA INTERNA - CONVENIENCIA</v>
      </c>
      <c r="L791" s="5" t="str">
        <f t="shared" si="331"/>
        <v/>
      </c>
      <c r="M791" s="5" t="str">
        <f>_xlfn.XLOOKUP($N791,'Base de Grupos'!$A:$A,'Base de Grupos'!$C:$C)</f>
        <v>SE</v>
      </c>
      <c r="N791" s="3">
        <v>1508</v>
      </c>
      <c r="O791" s="4" t="s">
        <v>267</v>
      </c>
      <c r="P791" s="5" t="s">
        <v>96</v>
      </c>
      <c r="Q791" s="24">
        <v>0</v>
      </c>
      <c r="R791" s="24">
        <v>0</v>
      </c>
      <c r="S791" s="24">
        <v>0</v>
      </c>
      <c r="T791" s="24">
        <v>0</v>
      </c>
      <c r="U791" s="24">
        <v>0</v>
      </c>
      <c r="V791" s="24">
        <v>0</v>
      </c>
      <c r="W791" s="24">
        <v>0</v>
      </c>
      <c r="X791" s="24">
        <v>0</v>
      </c>
      <c r="Y791" s="24">
        <v>0</v>
      </c>
      <c r="Z791" s="24">
        <v>0</v>
      </c>
      <c r="AA791" s="24">
        <v>0</v>
      </c>
      <c r="AB791" s="24">
        <v>0</v>
      </c>
      <c r="AC791" s="30">
        <f t="shared" si="335"/>
        <v>0</v>
      </c>
      <c r="AD791" s="28"/>
      <c r="AE791" s="12"/>
      <c r="AF791" s="29"/>
      <c r="AG791" s="9"/>
      <c r="AH791" s="10"/>
      <c r="AI791" s="9"/>
      <c r="AJ791" s="11"/>
      <c r="AK791" s="9"/>
      <c r="AL791" s="13"/>
      <c r="AM791" s="9"/>
    </row>
    <row r="792" spans="1:39" x14ac:dyDescent="0.3">
      <c r="A792" s="2" t="str">
        <f t="shared" si="330"/>
        <v>NÃO</v>
      </c>
      <c r="B792" s="2" t="str">
        <f>_xlfn.XLOOKUP($N792,'Base de Grupos'!$A:$A,'Base de Grupos'!$D:$D)</f>
        <v>1000065763</v>
      </c>
      <c r="C792" s="5" t="str">
        <f>_xlfn.XLOOKUP($N792,'Base de Grupos'!$A:$A,'Base de Grupos'!$E:$E)</f>
        <v>CANAL VENDA INTERNA</v>
      </c>
      <c r="D792" s="5" t="str">
        <f>_xlfn.XLOOKUP($N792,'Base de Grupos'!$A:$A,'Base de Grupos'!$F:$F)</f>
        <v>1000065763</v>
      </c>
      <c r="E792" s="2" t="str">
        <f>_xlfn.XLOOKUP($N792,'Base de Grupos'!$A:$A,'Base de Grupos'!$G:$G)</f>
        <v>CANAL VENDA INTERNA</v>
      </c>
      <c r="F792" s="2" t="str">
        <f>_xlfn.XLOOKUP($N792,'Base de Grupos'!$A:$A,'Base de Grupos'!$H:$H)</f>
        <v>1000174119</v>
      </c>
      <c r="G792" s="5" t="str">
        <f>_xlfn.XLOOKUP($N792,'Base de Grupos'!$A:$A,'Base de Grupos'!$I:$I)</f>
        <v>REGIONAL VENDA INTERNA - CONVENIENCIA</v>
      </c>
      <c r="H792" s="5" t="str">
        <f>_xlfn.XLOOKUP($N792,'Base de Grupos'!$A:$A,'Base de Grupos'!$J:$J)</f>
        <v>1000174119</v>
      </c>
      <c r="I792" s="2" t="str">
        <f>_xlfn.XLOOKUP($N792,'Base de Grupos'!$A:$A,'Base de Grupos'!$K:$K)</f>
        <v>REGIONAL VENDA INTERNA - CONVENIENCIA</v>
      </c>
      <c r="J792" s="2" t="str">
        <f>_xlfn.XLOOKUP($N792,'Base de Grupos'!$A:$A,'Base de Grupos'!$L:$L)</f>
        <v>1000174119</v>
      </c>
      <c r="K792" s="5" t="str">
        <f>_xlfn.XLOOKUP($N792,'Base de Grupos'!$A:$A,'Base de Grupos'!$M:$M)</f>
        <v>REGIONAL VENDA INTERNA - CONVENIENCIA</v>
      </c>
      <c r="L792" s="5" t="str">
        <f t="shared" si="331"/>
        <v/>
      </c>
      <c r="M792" s="5" t="str">
        <f>_xlfn.XLOOKUP($N792,'Base de Grupos'!$A:$A,'Base de Grupos'!$C:$C)</f>
        <v>SE</v>
      </c>
      <c r="N792" s="3">
        <v>1508</v>
      </c>
      <c r="O792" s="4" t="s">
        <v>267</v>
      </c>
      <c r="P792" s="5" t="s">
        <v>94</v>
      </c>
      <c r="Q792" s="24">
        <v>0</v>
      </c>
      <c r="R792" s="24">
        <v>0</v>
      </c>
      <c r="S792" s="24">
        <v>0</v>
      </c>
      <c r="T792" s="24">
        <v>0</v>
      </c>
      <c r="U792" s="24">
        <v>0</v>
      </c>
      <c r="V792" s="24">
        <v>0</v>
      </c>
      <c r="W792" s="24">
        <v>0</v>
      </c>
      <c r="X792" s="24">
        <v>0</v>
      </c>
      <c r="Y792" s="24">
        <v>0</v>
      </c>
      <c r="Z792" s="24">
        <v>0</v>
      </c>
      <c r="AA792" s="24">
        <v>0</v>
      </c>
      <c r="AB792" s="24">
        <v>0</v>
      </c>
      <c r="AC792" s="30">
        <f t="shared" si="335"/>
        <v>0</v>
      </c>
      <c r="AD792" s="28"/>
      <c r="AE792" s="12"/>
      <c r="AF792" s="29"/>
      <c r="AG792" s="9"/>
      <c r="AH792" s="10"/>
      <c r="AI792" s="9"/>
      <c r="AJ792" s="11"/>
      <c r="AK792" s="9"/>
      <c r="AL792" s="13"/>
      <c r="AM792" s="9"/>
    </row>
    <row r="793" spans="1:39" x14ac:dyDescent="0.3">
      <c r="A793" s="2" t="str">
        <f t="shared" si="330"/>
        <v>NÃO</v>
      </c>
      <c r="B793" s="2" t="str">
        <f>_xlfn.XLOOKUP($N793,'Base de Grupos'!$A:$A,'Base de Grupos'!$D:$D)</f>
        <v>1000065763</v>
      </c>
      <c r="C793" s="5" t="str">
        <f>_xlfn.XLOOKUP($N793,'Base de Grupos'!$A:$A,'Base de Grupos'!$E:$E)</f>
        <v>CANAL VENDA INTERNA</v>
      </c>
      <c r="D793" s="5" t="str">
        <f>_xlfn.XLOOKUP($N793,'Base de Grupos'!$A:$A,'Base de Grupos'!$F:$F)</f>
        <v>1000065763</v>
      </c>
      <c r="E793" s="2" t="str">
        <f>_xlfn.XLOOKUP($N793,'Base de Grupos'!$A:$A,'Base de Grupos'!$G:$G)</f>
        <v>CANAL VENDA INTERNA</v>
      </c>
      <c r="F793" s="2" t="str">
        <f>_xlfn.XLOOKUP($N793,'Base de Grupos'!$A:$A,'Base de Grupos'!$H:$H)</f>
        <v>1000174119</v>
      </c>
      <c r="G793" s="5" t="str">
        <f>_xlfn.XLOOKUP($N793,'Base de Grupos'!$A:$A,'Base de Grupos'!$I:$I)</f>
        <v>REGIONAL VENDA INTERNA - CONVENIENCIA</v>
      </c>
      <c r="H793" s="5" t="str">
        <f>_xlfn.XLOOKUP($N793,'Base de Grupos'!$A:$A,'Base de Grupos'!$J:$J)</f>
        <v>1000174119</v>
      </c>
      <c r="I793" s="2" t="str">
        <f>_xlfn.XLOOKUP($N793,'Base de Grupos'!$A:$A,'Base de Grupos'!$K:$K)</f>
        <v>REGIONAL VENDA INTERNA - CONVENIENCIA</v>
      </c>
      <c r="J793" s="2" t="str">
        <f>_xlfn.XLOOKUP($N793,'Base de Grupos'!$A:$A,'Base de Grupos'!$L:$L)</f>
        <v>1000174119</v>
      </c>
      <c r="K793" s="5" t="str">
        <f>_xlfn.XLOOKUP($N793,'Base de Grupos'!$A:$A,'Base de Grupos'!$M:$M)</f>
        <v>REGIONAL VENDA INTERNA - CONVENIENCIA</v>
      </c>
      <c r="L793" s="5" t="str">
        <f t="shared" si="331"/>
        <v/>
      </c>
      <c r="M793" s="5" t="str">
        <f>_xlfn.XLOOKUP($N793,'Base de Grupos'!$A:$A,'Base de Grupos'!$C:$C)</f>
        <v>SE</v>
      </c>
      <c r="N793" s="3">
        <v>1508</v>
      </c>
      <c r="O793" s="4" t="s">
        <v>267</v>
      </c>
      <c r="P793" s="5" t="s">
        <v>95</v>
      </c>
      <c r="Q793" s="24">
        <v>0</v>
      </c>
      <c r="R793" s="24">
        <v>0</v>
      </c>
      <c r="S793" s="24">
        <v>0</v>
      </c>
      <c r="T793" s="24">
        <v>0</v>
      </c>
      <c r="U793" s="24">
        <v>0</v>
      </c>
      <c r="V793" s="24">
        <v>0</v>
      </c>
      <c r="W793" s="24">
        <v>0</v>
      </c>
      <c r="X793" s="24">
        <v>0</v>
      </c>
      <c r="Y793" s="24">
        <v>0</v>
      </c>
      <c r="Z793" s="24">
        <v>0</v>
      </c>
      <c r="AA793" s="24">
        <v>0</v>
      </c>
      <c r="AB793" s="24">
        <v>0</v>
      </c>
      <c r="AC793" s="30">
        <f t="shared" si="335"/>
        <v>0</v>
      </c>
      <c r="AD793" s="28"/>
      <c r="AE793" s="12"/>
      <c r="AF793" s="29"/>
      <c r="AG793" s="9"/>
      <c r="AH793" s="10"/>
      <c r="AI793" s="9"/>
      <c r="AJ793" s="11"/>
      <c r="AK793" s="9"/>
      <c r="AL793" s="13"/>
      <c r="AM793" s="9"/>
    </row>
    <row r="794" spans="1:39" x14ac:dyDescent="0.3">
      <c r="A794" s="2" t="str">
        <f t="shared" ref="A794:A857" si="336">IF(L794=1,"SIM","NÃO")</f>
        <v>NÃO</v>
      </c>
      <c r="B794" s="2" t="str">
        <f>_xlfn.XLOOKUP($N794,'Base de Grupos'!$A:$A,'Base de Grupos'!$D:$D)</f>
        <v>1000065763</v>
      </c>
      <c r="C794" s="5" t="str">
        <f>_xlfn.XLOOKUP($N794,'Base de Grupos'!$A:$A,'Base de Grupos'!$E:$E)</f>
        <v>CANAL VENDA INTERNA</v>
      </c>
      <c r="D794" s="5" t="str">
        <f>_xlfn.XLOOKUP($N794,'Base de Grupos'!$A:$A,'Base de Grupos'!$F:$F)</f>
        <v>1000065763</v>
      </c>
      <c r="E794" s="2" t="str">
        <f>_xlfn.XLOOKUP($N794,'Base de Grupos'!$A:$A,'Base de Grupos'!$G:$G)</f>
        <v>CANAL VENDA INTERNA</v>
      </c>
      <c r="F794" s="2" t="str">
        <f>_xlfn.XLOOKUP($N794,'Base de Grupos'!$A:$A,'Base de Grupos'!$H:$H)</f>
        <v>1000174119</v>
      </c>
      <c r="G794" s="5" t="str">
        <f>_xlfn.XLOOKUP($N794,'Base de Grupos'!$A:$A,'Base de Grupos'!$I:$I)</f>
        <v>REGIONAL VENDA INTERNA - CONVENIENCIA</v>
      </c>
      <c r="H794" s="5" t="str">
        <f>_xlfn.XLOOKUP($N794,'Base de Grupos'!$A:$A,'Base de Grupos'!$J:$J)</f>
        <v>1000174119</v>
      </c>
      <c r="I794" s="2" t="str">
        <f>_xlfn.XLOOKUP($N794,'Base de Grupos'!$A:$A,'Base de Grupos'!$K:$K)</f>
        <v>REGIONAL VENDA INTERNA - CONVENIENCIA</v>
      </c>
      <c r="J794" s="2" t="str">
        <f>_xlfn.XLOOKUP($N794,'Base de Grupos'!$A:$A,'Base de Grupos'!$L:$L)</f>
        <v>1000174119</v>
      </c>
      <c r="K794" s="5" t="str">
        <f>_xlfn.XLOOKUP($N794,'Base de Grupos'!$A:$A,'Base de Grupos'!$M:$M)</f>
        <v>REGIONAL VENDA INTERNA - CONVENIENCIA</v>
      </c>
      <c r="L794" s="5" t="str">
        <f t="shared" ref="L794:L857" si="337">IF(N794&lt;&gt;N793,1,"")</f>
        <v/>
      </c>
      <c r="M794" s="5" t="str">
        <f>_xlfn.XLOOKUP($N794,'Base de Grupos'!$A:$A,'Base de Grupos'!$C:$C)</f>
        <v>SE</v>
      </c>
      <c r="N794" s="3">
        <v>1508</v>
      </c>
      <c r="O794" s="4" t="s">
        <v>267</v>
      </c>
      <c r="P794" s="5" t="s">
        <v>93</v>
      </c>
      <c r="Q794" s="24">
        <v>0</v>
      </c>
      <c r="R794" s="24">
        <v>0</v>
      </c>
      <c r="S794" s="24">
        <v>0</v>
      </c>
      <c r="T794" s="24">
        <v>0</v>
      </c>
      <c r="U794" s="24">
        <v>0</v>
      </c>
      <c r="V794" s="24">
        <v>0</v>
      </c>
      <c r="W794" s="24">
        <v>0</v>
      </c>
      <c r="X794" s="24">
        <v>0</v>
      </c>
      <c r="Y794" s="24">
        <v>0</v>
      </c>
      <c r="Z794" s="24">
        <v>0</v>
      </c>
      <c r="AA794" s="24">
        <v>0</v>
      </c>
      <c r="AB794" s="24">
        <v>0</v>
      </c>
      <c r="AC794" s="30">
        <f t="shared" si="335"/>
        <v>0</v>
      </c>
      <c r="AD794" s="28"/>
      <c r="AE794" s="12"/>
      <c r="AF794" s="29"/>
      <c r="AG794" s="9"/>
      <c r="AH794" s="10"/>
      <c r="AI794" s="9"/>
      <c r="AJ794" s="11"/>
      <c r="AK794" s="9"/>
      <c r="AL794" s="13"/>
      <c r="AM794" s="9"/>
    </row>
    <row r="795" spans="1:39" x14ac:dyDescent="0.3">
      <c r="A795" s="2" t="str">
        <f t="shared" si="336"/>
        <v>SIM</v>
      </c>
      <c r="B795" s="2" t="str">
        <f>_xlfn.XLOOKUP($N795,'Base de Grupos'!$A:$A,'Base de Grupos'!$D:$D)</f>
        <v>1000065763</v>
      </c>
      <c r="C795" s="5" t="str">
        <f>_xlfn.XLOOKUP($N795,'Base de Grupos'!$A:$A,'Base de Grupos'!$E:$E)</f>
        <v>CANAL VENDA INTERNA</v>
      </c>
      <c r="D795" s="5" t="str">
        <f>_xlfn.XLOOKUP($N795,'Base de Grupos'!$A:$A,'Base de Grupos'!$F:$F)</f>
        <v>1000065763</v>
      </c>
      <c r="E795" s="2" t="str">
        <f>_xlfn.XLOOKUP($N795,'Base de Grupos'!$A:$A,'Base de Grupos'!$G:$G)</f>
        <v>CANAL VENDA INTERNA</v>
      </c>
      <c r="F795" s="2" t="str">
        <f>_xlfn.XLOOKUP($N795,'Base de Grupos'!$A:$A,'Base de Grupos'!$H:$H)</f>
        <v>1000174119</v>
      </c>
      <c r="G795" s="5" t="str">
        <f>_xlfn.XLOOKUP($N795,'Base de Grupos'!$A:$A,'Base de Grupos'!$I:$I)</f>
        <v>REGIONAL VENDA INTERNA - CONVENIENCIA</v>
      </c>
      <c r="H795" s="5" t="str">
        <f>_xlfn.XLOOKUP($N795,'Base de Grupos'!$A:$A,'Base de Grupos'!$J:$J)</f>
        <v>1000174119</v>
      </c>
      <c r="I795" s="2" t="str">
        <f>_xlfn.XLOOKUP($N795,'Base de Grupos'!$A:$A,'Base de Grupos'!$K:$K)</f>
        <v>REGIONAL VENDA INTERNA - CONVENIENCIA</v>
      </c>
      <c r="J795" s="2" t="str">
        <f>_xlfn.XLOOKUP($N795,'Base de Grupos'!$A:$A,'Base de Grupos'!$L:$L)</f>
        <v>1000174119</v>
      </c>
      <c r="K795" s="5" t="str">
        <f>_xlfn.XLOOKUP($N795,'Base de Grupos'!$A:$A,'Base de Grupos'!$M:$M)</f>
        <v>REGIONAL VENDA INTERNA - CONVENIENCIA</v>
      </c>
      <c r="L795" s="5">
        <f t="shared" si="337"/>
        <v>1</v>
      </c>
      <c r="M795" s="5" t="str">
        <f>_xlfn.XLOOKUP($N795,'Base de Grupos'!$A:$A,'Base de Grupos'!$C:$C)</f>
        <v>PB</v>
      </c>
      <c r="N795" s="3">
        <v>1509</v>
      </c>
      <c r="O795" s="4" t="s">
        <v>268</v>
      </c>
      <c r="P795" s="5" t="s">
        <v>338</v>
      </c>
      <c r="Q795" s="24">
        <v>0</v>
      </c>
      <c r="R795" s="24">
        <v>0</v>
      </c>
      <c r="S795" s="24">
        <v>0</v>
      </c>
      <c r="T795" s="24">
        <v>0</v>
      </c>
      <c r="U795" s="24">
        <v>0</v>
      </c>
      <c r="V795" s="24">
        <v>0</v>
      </c>
      <c r="W795" s="24">
        <v>0</v>
      </c>
      <c r="X795" s="24">
        <v>0</v>
      </c>
      <c r="Y795" s="24">
        <v>0</v>
      </c>
      <c r="Z795" s="24">
        <v>0</v>
      </c>
      <c r="AA795" s="24">
        <v>0</v>
      </c>
      <c r="AB795" s="24">
        <v>0</v>
      </c>
      <c r="AC795" s="30">
        <f t="shared" ref="AC795:AC858" si="338">SUM(T795:AB795)</f>
        <v>0</v>
      </c>
      <c r="AD795" s="28"/>
      <c r="AE795" s="12"/>
      <c r="AF795" s="29"/>
      <c r="AG795" s="9"/>
      <c r="AH795" s="10"/>
      <c r="AI795" s="9"/>
      <c r="AJ795" s="11"/>
      <c r="AK795" s="9"/>
      <c r="AL795" s="13"/>
      <c r="AM795" s="9"/>
    </row>
    <row r="796" spans="1:39" x14ac:dyDescent="0.3">
      <c r="A796" s="2" t="str">
        <f t="shared" si="336"/>
        <v>NÃO</v>
      </c>
      <c r="B796" s="2" t="str">
        <f>_xlfn.XLOOKUP($N796,'Base de Grupos'!$A:$A,'Base de Grupos'!$D:$D)</f>
        <v>1000065763</v>
      </c>
      <c r="C796" s="5" t="str">
        <f>_xlfn.XLOOKUP($N796,'Base de Grupos'!$A:$A,'Base de Grupos'!$E:$E)</f>
        <v>CANAL VENDA INTERNA</v>
      </c>
      <c r="D796" s="5" t="str">
        <f>_xlfn.XLOOKUP($N796,'Base de Grupos'!$A:$A,'Base de Grupos'!$F:$F)</f>
        <v>1000065763</v>
      </c>
      <c r="E796" s="2" t="str">
        <f>_xlfn.XLOOKUP($N796,'Base de Grupos'!$A:$A,'Base de Grupos'!$G:$G)</f>
        <v>CANAL VENDA INTERNA</v>
      </c>
      <c r="F796" s="2" t="str">
        <f>_xlfn.XLOOKUP($N796,'Base de Grupos'!$A:$A,'Base de Grupos'!$H:$H)</f>
        <v>1000174119</v>
      </c>
      <c r="G796" s="5" t="str">
        <f>_xlfn.XLOOKUP($N796,'Base de Grupos'!$A:$A,'Base de Grupos'!$I:$I)</f>
        <v>REGIONAL VENDA INTERNA - CONVENIENCIA</v>
      </c>
      <c r="H796" s="5" t="str">
        <f>_xlfn.XLOOKUP($N796,'Base de Grupos'!$A:$A,'Base de Grupos'!$J:$J)</f>
        <v>1000174119</v>
      </c>
      <c r="I796" s="2" t="str">
        <f>_xlfn.XLOOKUP($N796,'Base de Grupos'!$A:$A,'Base de Grupos'!$K:$K)</f>
        <v>REGIONAL VENDA INTERNA - CONVENIENCIA</v>
      </c>
      <c r="J796" s="2" t="str">
        <f>_xlfn.XLOOKUP($N796,'Base de Grupos'!$A:$A,'Base de Grupos'!$L:$L)</f>
        <v>1000174119</v>
      </c>
      <c r="K796" s="5" t="str">
        <f>_xlfn.XLOOKUP($N796,'Base de Grupos'!$A:$A,'Base de Grupos'!$M:$M)</f>
        <v>REGIONAL VENDA INTERNA - CONVENIENCIA</v>
      </c>
      <c r="L796" s="5" t="str">
        <f t="shared" si="337"/>
        <v/>
      </c>
      <c r="M796" s="5" t="str">
        <f>_xlfn.XLOOKUP($N796,'Base de Grupos'!$A:$A,'Base de Grupos'!$C:$C)</f>
        <v>PB</v>
      </c>
      <c r="N796" s="3">
        <v>1509</v>
      </c>
      <c r="O796" s="4" t="s">
        <v>268</v>
      </c>
      <c r="P796" s="5" t="s">
        <v>81</v>
      </c>
      <c r="Q796" s="24">
        <v>0</v>
      </c>
      <c r="R796" s="24">
        <v>0</v>
      </c>
      <c r="S796" s="24">
        <v>0</v>
      </c>
      <c r="T796" s="24">
        <v>0</v>
      </c>
      <c r="U796" s="24">
        <v>0</v>
      </c>
      <c r="V796" s="24">
        <v>0</v>
      </c>
      <c r="W796" s="24">
        <v>0</v>
      </c>
      <c r="X796" s="24">
        <v>0</v>
      </c>
      <c r="Y796" s="24">
        <v>0</v>
      </c>
      <c r="Z796" s="24">
        <v>0</v>
      </c>
      <c r="AA796" s="24">
        <v>0</v>
      </c>
      <c r="AB796" s="24">
        <v>0</v>
      </c>
      <c r="AC796" s="30">
        <f t="shared" si="338"/>
        <v>0</v>
      </c>
      <c r="AD796" s="28"/>
      <c r="AE796" s="12"/>
      <c r="AF796" s="29"/>
      <c r="AG796" s="9"/>
      <c r="AH796" s="10"/>
      <c r="AI796" s="9"/>
      <c r="AJ796" s="11"/>
      <c r="AK796" s="9"/>
      <c r="AL796" s="13"/>
      <c r="AM796" s="9"/>
    </row>
    <row r="797" spans="1:39" x14ac:dyDescent="0.3">
      <c r="A797" s="2" t="str">
        <f t="shared" si="336"/>
        <v>NÃO</v>
      </c>
      <c r="B797" s="2" t="str">
        <f>_xlfn.XLOOKUP($N797,'Base de Grupos'!$A:$A,'Base de Grupos'!$D:$D)</f>
        <v>1000065763</v>
      </c>
      <c r="C797" s="5" t="str">
        <f>_xlfn.XLOOKUP($N797,'Base de Grupos'!$A:$A,'Base de Grupos'!$E:$E)</f>
        <v>CANAL VENDA INTERNA</v>
      </c>
      <c r="D797" s="5" t="str">
        <f>_xlfn.XLOOKUP($N797,'Base de Grupos'!$A:$A,'Base de Grupos'!$F:$F)</f>
        <v>1000065763</v>
      </c>
      <c r="E797" s="2" t="str">
        <f>_xlfn.XLOOKUP($N797,'Base de Grupos'!$A:$A,'Base de Grupos'!$G:$G)</f>
        <v>CANAL VENDA INTERNA</v>
      </c>
      <c r="F797" s="2" t="str">
        <f>_xlfn.XLOOKUP($N797,'Base de Grupos'!$A:$A,'Base de Grupos'!$H:$H)</f>
        <v>1000174119</v>
      </c>
      <c r="G797" s="5" t="str">
        <f>_xlfn.XLOOKUP($N797,'Base de Grupos'!$A:$A,'Base de Grupos'!$I:$I)</f>
        <v>REGIONAL VENDA INTERNA - CONVENIENCIA</v>
      </c>
      <c r="H797" s="5" t="str">
        <f>_xlfn.XLOOKUP($N797,'Base de Grupos'!$A:$A,'Base de Grupos'!$J:$J)</f>
        <v>1000174119</v>
      </c>
      <c r="I797" s="2" t="str">
        <f>_xlfn.XLOOKUP($N797,'Base de Grupos'!$A:$A,'Base de Grupos'!$K:$K)</f>
        <v>REGIONAL VENDA INTERNA - CONVENIENCIA</v>
      </c>
      <c r="J797" s="2" t="str">
        <f>_xlfn.XLOOKUP($N797,'Base de Grupos'!$A:$A,'Base de Grupos'!$L:$L)</f>
        <v>1000174119</v>
      </c>
      <c r="K797" s="5" t="str">
        <f>_xlfn.XLOOKUP($N797,'Base de Grupos'!$A:$A,'Base de Grupos'!$M:$M)</f>
        <v>REGIONAL VENDA INTERNA - CONVENIENCIA</v>
      </c>
      <c r="L797" s="5" t="str">
        <f t="shared" si="337"/>
        <v/>
      </c>
      <c r="M797" s="5" t="str">
        <f>_xlfn.XLOOKUP($N797,'Base de Grupos'!$A:$A,'Base de Grupos'!$C:$C)</f>
        <v>PB</v>
      </c>
      <c r="N797" s="3">
        <v>1509</v>
      </c>
      <c r="O797" s="4" t="s">
        <v>268</v>
      </c>
      <c r="P797" s="5" t="s">
        <v>82</v>
      </c>
      <c r="Q797" s="24">
        <v>0</v>
      </c>
      <c r="R797" s="24">
        <v>0</v>
      </c>
      <c r="S797" s="24">
        <v>0</v>
      </c>
      <c r="T797" s="24">
        <v>0</v>
      </c>
      <c r="U797" s="24">
        <v>0</v>
      </c>
      <c r="V797" s="24">
        <v>0</v>
      </c>
      <c r="W797" s="24">
        <v>0</v>
      </c>
      <c r="X797" s="24">
        <v>0</v>
      </c>
      <c r="Y797" s="24">
        <v>0</v>
      </c>
      <c r="Z797" s="24">
        <v>0</v>
      </c>
      <c r="AA797" s="24">
        <v>0</v>
      </c>
      <c r="AB797" s="24">
        <v>0</v>
      </c>
      <c r="AC797" s="30">
        <f t="shared" si="338"/>
        <v>0</v>
      </c>
      <c r="AD797" s="28"/>
      <c r="AE797" s="12"/>
      <c r="AF797" s="29"/>
      <c r="AG797" s="9"/>
      <c r="AH797" s="10"/>
      <c r="AI797" s="9"/>
      <c r="AJ797" s="11"/>
      <c r="AK797" s="9"/>
      <c r="AL797" s="13"/>
      <c r="AM797" s="9"/>
    </row>
    <row r="798" spans="1:39" x14ac:dyDescent="0.3">
      <c r="A798" s="2" t="str">
        <f t="shared" si="336"/>
        <v>NÃO</v>
      </c>
      <c r="B798" s="2" t="str">
        <f>_xlfn.XLOOKUP($N798,'Base de Grupos'!$A:$A,'Base de Grupos'!$D:$D)</f>
        <v>1000065763</v>
      </c>
      <c r="C798" s="5" t="str">
        <f>_xlfn.XLOOKUP($N798,'Base de Grupos'!$A:$A,'Base de Grupos'!$E:$E)</f>
        <v>CANAL VENDA INTERNA</v>
      </c>
      <c r="D798" s="5" t="str">
        <f>_xlfn.XLOOKUP($N798,'Base de Grupos'!$A:$A,'Base de Grupos'!$F:$F)</f>
        <v>1000065763</v>
      </c>
      <c r="E798" s="2" t="str">
        <f>_xlfn.XLOOKUP($N798,'Base de Grupos'!$A:$A,'Base de Grupos'!$G:$G)</f>
        <v>CANAL VENDA INTERNA</v>
      </c>
      <c r="F798" s="2" t="str">
        <f>_xlfn.XLOOKUP($N798,'Base de Grupos'!$A:$A,'Base de Grupos'!$H:$H)</f>
        <v>1000174119</v>
      </c>
      <c r="G798" s="5" t="str">
        <f>_xlfn.XLOOKUP($N798,'Base de Grupos'!$A:$A,'Base de Grupos'!$I:$I)</f>
        <v>REGIONAL VENDA INTERNA - CONVENIENCIA</v>
      </c>
      <c r="H798" s="5" t="str">
        <f>_xlfn.XLOOKUP($N798,'Base de Grupos'!$A:$A,'Base de Grupos'!$J:$J)</f>
        <v>1000174119</v>
      </c>
      <c r="I798" s="2" t="str">
        <f>_xlfn.XLOOKUP($N798,'Base de Grupos'!$A:$A,'Base de Grupos'!$K:$K)</f>
        <v>REGIONAL VENDA INTERNA - CONVENIENCIA</v>
      </c>
      <c r="J798" s="2" t="str">
        <f>_xlfn.XLOOKUP($N798,'Base de Grupos'!$A:$A,'Base de Grupos'!$L:$L)</f>
        <v>1000174119</v>
      </c>
      <c r="K798" s="5" t="str">
        <f>_xlfn.XLOOKUP($N798,'Base de Grupos'!$A:$A,'Base de Grupos'!$M:$M)</f>
        <v>REGIONAL VENDA INTERNA - CONVENIENCIA</v>
      </c>
      <c r="L798" s="5" t="str">
        <f t="shared" si="337"/>
        <v/>
      </c>
      <c r="M798" s="5" t="str">
        <f>_xlfn.XLOOKUP($N798,'Base de Grupos'!$A:$A,'Base de Grupos'!$C:$C)</f>
        <v>PB</v>
      </c>
      <c r="N798" s="3">
        <v>1509</v>
      </c>
      <c r="O798" s="4" t="s">
        <v>268</v>
      </c>
      <c r="P798" s="5" t="s">
        <v>84</v>
      </c>
      <c r="Q798" s="24">
        <v>0</v>
      </c>
      <c r="R798" s="24">
        <v>0</v>
      </c>
      <c r="S798" s="24">
        <v>0</v>
      </c>
      <c r="T798" s="24">
        <v>0</v>
      </c>
      <c r="U798" s="24">
        <v>0</v>
      </c>
      <c r="V798" s="24">
        <v>0</v>
      </c>
      <c r="W798" s="24">
        <v>0</v>
      </c>
      <c r="X798" s="24">
        <v>0</v>
      </c>
      <c r="Y798" s="24">
        <v>0</v>
      </c>
      <c r="Z798" s="24">
        <v>0</v>
      </c>
      <c r="AA798" s="24">
        <v>0</v>
      </c>
      <c r="AB798" s="24">
        <v>0</v>
      </c>
      <c r="AC798" s="30">
        <f t="shared" si="338"/>
        <v>0</v>
      </c>
      <c r="AD798" s="28"/>
      <c r="AE798" s="12"/>
      <c r="AF798" s="29"/>
      <c r="AG798" s="9"/>
      <c r="AH798" s="10"/>
      <c r="AI798" s="9"/>
      <c r="AJ798" s="11"/>
      <c r="AK798" s="9"/>
      <c r="AL798" s="13"/>
      <c r="AM798" s="9"/>
    </row>
    <row r="799" spans="1:39" x14ac:dyDescent="0.3">
      <c r="A799" s="2" t="str">
        <f t="shared" si="336"/>
        <v>NÃO</v>
      </c>
      <c r="B799" s="2" t="str">
        <f>_xlfn.XLOOKUP($N799,'Base de Grupos'!$A:$A,'Base de Grupos'!$D:$D)</f>
        <v>1000065763</v>
      </c>
      <c r="C799" s="5" t="str">
        <f>_xlfn.XLOOKUP($N799,'Base de Grupos'!$A:$A,'Base de Grupos'!$E:$E)</f>
        <v>CANAL VENDA INTERNA</v>
      </c>
      <c r="D799" s="5" t="str">
        <f>_xlfn.XLOOKUP($N799,'Base de Grupos'!$A:$A,'Base de Grupos'!$F:$F)</f>
        <v>1000065763</v>
      </c>
      <c r="E799" s="2" t="str">
        <f>_xlfn.XLOOKUP($N799,'Base de Grupos'!$A:$A,'Base de Grupos'!$G:$G)</f>
        <v>CANAL VENDA INTERNA</v>
      </c>
      <c r="F799" s="2" t="str">
        <f>_xlfn.XLOOKUP($N799,'Base de Grupos'!$A:$A,'Base de Grupos'!$H:$H)</f>
        <v>1000174119</v>
      </c>
      <c r="G799" s="5" t="str">
        <f>_xlfn.XLOOKUP($N799,'Base de Grupos'!$A:$A,'Base de Grupos'!$I:$I)</f>
        <v>REGIONAL VENDA INTERNA - CONVENIENCIA</v>
      </c>
      <c r="H799" s="5" t="str">
        <f>_xlfn.XLOOKUP($N799,'Base de Grupos'!$A:$A,'Base de Grupos'!$J:$J)</f>
        <v>1000174119</v>
      </c>
      <c r="I799" s="2" t="str">
        <f>_xlfn.XLOOKUP($N799,'Base de Grupos'!$A:$A,'Base de Grupos'!$K:$K)</f>
        <v>REGIONAL VENDA INTERNA - CONVENIENCIA</v>
      </c>
      <c r="J799" s="2" t="str">
        <f>_xlfn.XLOOKUP($N799,'Base de Grupos'!$A:$A,'Base de Grupos'!$L:$L)</f>
        <v>1000174119</v>
      </c>
      <c r="K799" s="5" t="str">
        <f>_xlfn.XLOOKUP($N799,'Base de Grupos'!$A:$A,'Base de Grupos'!$M:$M)</f>
        <v>REGIONAL VENDA INTERNA - CONVENIENCIA</v>
      </c>
      <c r="L799" s="5" t="str">
        <f t="shared" si="337"/>
        <v/>
      </c>
      <c r="M799" s="5" t="str">
        <f>_xlfn.XLOOKUP($N799,'Base de Grupos'!$A:$A,'Base de Grupos'!$C:$C)</f>
        <v>PB</v>
      </c>
      <c r="N799" s="3">
        <v>1509</v>
      </c>
      <c r="O799" s="4" t="s">
        <v>268</v>
      </c>
      <c r="P799" s="5" t="s">
        <v>83</v>
      </c>
      <c r="Q799" s="24">
        <v>0</v>
      </c>
      <c r="R799" s="24">
        <v>0</v>
      </c>
      <c r="S799" s="24">
        <v>0</v>
      </c>
      <c r="T799" s="24">
        <v>0</v>
      </c>
      <c r="U799" s="24">
        <v>0</v>
      </c>
      <c r="V799" s="24">
        <v>0</v>
      </c>
      <c r="W799" s="24">
        <v>0</v>
      </c>
      <c r="X799" s="24">
        <v>0</v>
      </c>
      <c r="Y799" s="24">
        <v>0</v>
      </c>
      <c r="Z799" s="24">
        <v>0</v>
      </c>
      <c r="AA799" s="24">
        <v>0</v>
      </c>
      <c r="AB799" s="24">
        <v>0</v>
      </c>
      <c r="AC799" s="30">
        <f t="shared" si="338"/>
        <v>0</v>
      </c>
      <c r="AD799" s="28"/>
      <c r="AE799" s="12"/>
      <c r="AF799" s="29"/>
      <c r="AG799" s="9"/>
      <c r="AH799" s="10"/>
      <c r="AI799" s="9"/>
      <c r="AJ799" s="11"/>
      <c r="AK799" s="9"/>
      <c r="AL799" s="13"/>
      <c r="AM799" s="9"/>
    </row>
    <row r="800" spans="1:39" x14ac:dyDescent="0.3">
      <c r="A800" s="2" t="str">
        <f t="shared" si="336"/>
        <v>NÃO</v>
      </c>
      <c r="B800" s="2" t="str">
        <f>_xlfn.XLOOKUP($N800,'Base de Grupos'!$A:$A,'Base de Grupos'!$D:$D)</f>
        <v>1000065763</v>
      </c>
      <c r="C800" s="5" t="str">
        <f>_xlfn.XLOOKUP($N800,'Base de Grupos'!$A:$A,'Base de Grupos'!$E:$E)</f>
        <v>CANAL VENDA INTERNA</v>
      </c>
      <c r="D800" s="5" t="str">
        <f>_xlfn.XLOOKUP($N800,'Base de Grupos'!$A:$A,'Base de Grupos'!$F:$F)</f>
        <v>1000065763</v>
      </c>
      <c r="E800" s="2" t="str">
        <f>_xlfn.XLOOKUP($N800,'Base de Grupos'!$A:$A,'Base de Grupos'!$G:$G)</f>
        <v>CANAL VENDA INTERNA</v>
      </c>
      <c r="F800" s="2" t="str">
        <f>_xlfn.XLOOKUP($N800,'Base de Grupos'!$A:$A,'Base de Grupos'!$H:$H)</f>
        <v>1000174119</v>
      </c>
      <c r="G800" s="5" t="str">
        <f>_xlfn.XLOOKUP($N800,'Base de Grupos'!$A:$A,'Base de Grupos'!$I:$I)</f>
        <v>REGIONAL VENDA INTERNA - CONVENIENCIA</v>
      </c>
      <c r="H800" s="5" t="str">
        <f>_xlfn.XLOOKUP($N800,'Base de Grupos'!$A:$A,'Base de Grupos'!$J:$J)</f>
        <v>1000174119</v>
      </c>
      <c r="I800" s="2" t="str">
        <f>_xlfn.XLOOKUP($N800,'Base de Grupos'!$A:$A,'Base de Grupos'!$K:$K)</f>
        <v>REGIONAL VENDA INTERNA - CONVENIENCIA</v>
      </c>
      <c r="J800" s="2" t="str">
        <f>_xlfn.XLOOKUP($N800,'Base de Grupos'!$A:$A,'Base de Grupos'!$L:$L)</f>
        <v>1000174119</v>
      </c>
      <c r="K800" s="5" t="str">
        <f>_xlfn.XLOOKUP($N800,'Base de Grupos'!$A:$A,'Base de Grupos'!$M:$M)</f>
        <v>REGIONAL VENDA INTERNA - CONVENIENCIA</v>
      </c>
      <c r="L800" s="5" t="str">
        <f t="shared" si="337"/>
        <v/>
      </c>
      <c r="M800" s="5" t="str">
        <f>_xlfn.XLOOKUP($N800,'Base de Grupos'!$A:$A,'Base de Grupos'!$C:$C)</f>
        <v>PB</v>
      </c>
      <c r="N800" s="3">
        <v>1509</v>
      </c>
      <c r="O800" s="4" t="s">
        <v>268</v>
      </c>
      <c r="P800" s="5" t="s">
        <v>87</v>
      </c>
      <c r="Q800" s="24">
        <v>0</v>
      </c>
      <c r="R800" s="24">
        <v>0</v>
      </c>
      <c r="S800" s="24">
        <v>0</v>
      </c>
      <c r="T800" s="24">
        <v>0</v>
      </c>
      <c r="U800" s="24">
        <v>0</v>
      </c>
      <c r="V800" s="24">
        <v>0</v>
      </c>
      <c r="W800" s="24">
        <v>0</v>
      </c>
      <c r="X800" s="24">
        <v>0</v>
      </c>
      <c r="Y800" s="24">
        <v>0</v>
      </c>
      <c r="Z800" s="24">
        <v>0</v>
      </c>
      <c r="AA800" s="24">
        <v>0</v>
      </c>
      <c r="AB800" s="24">
        <v>0</v>
      </c>
      <c r="AC800" s="30">
        <f t="shared" si="338"/>
        <v>0</v>
      </c>
      <c r="AD800" s="28"/>
      <c r="AE800" s="12"/>
      <c r="AF800" s="29"/>
      <c r="AG800" s="9"/>
      <c r="AH800" s="10"/>
      <c r="AI800" s="9"/>
      <c r="AJ800" s="11"/>
      <c r="AK800" s="9"/>
      <c r="AL800" s="13"/>
      <c r="AM800" s="9"/>
    </row>
    <row r="801" spans="1:39" x14ac:dyDescent="0.3">
      <c r="A801" s="2" t="str">
        <f t="shared" si="336"/>
        <v>NÃO</v>
      </c>
      <c r="B801" s="2" t="str">
        <f>_xlfn.XLOOKUP($N801,'Base de Grupos'!$A:$A,'Base de Grupos'!$D:$D)</f>
        <v>1000065763</v>
      </c>
      <c r="C801" s="5" t="str">
        <f>_xlfn.XLOOKUP($N801,'Base de Grupos'!$A:$A,'Base de Grupos'!$E:$E)</f>
        <v>CANAL VENDA INTERNA</v>
      </c>
      <c r="D801" s="5" t="str">
        <f>_xlfn.XLOOKUP($N801,'Base de Grupos'!$A:$A,'Base de Grupos'!$F:$F)</f>
        <v>1000065763</v>
      </c>
      <c r="E801" s="2" t="str">
        <f>_xlfn.XLOOKUP($N801,'Base de Grupos'!$A:$A,'Base de Grupos'!$G:$G)</f>
        <v>CANAL VENDA INTERNA</v>
      </c>
      <c r="F801" s="2" t="str">
        <f>_xlfn.XLOOKUP($N801,'Base de Grupos'!$A:$A,'Base de Grupos'!$H:$H)</f>
        <v>1000174119</v>
      </c>
      <c r="G801" s="5" t="str">
        <f>_xlfn.XLOOKUP($N801,'Base de Grupos'!$A:$A,'Base de Grupos'!$I:$I)</f>
        <v>REGIONAL VENDA INTERNA - CONVENIENCIA</v>
      </c>
      <c r="H801" s="5" t="str">
        <f>_xlfn.XLOOKUP($N801,'Base de Grupos'!$A:$A,'Base de Grupos'!$J:$J)</f>
        <v>1000174119</v>
      </c>
      <c r="I801" s="2" t="str">
        <f>_xlfn.XLOOKUP($N801,'Base de Grupos'!$A:$A,'Base de Grupos'!$K:$K)</f>
        <v>REGIONAL VENDA INTERNA - CONVENIENCIA</v>
      </c>
      <c r="J801" s="2" t="str">
        <f>_xlfn.XLOOKUP($N801,'Base de Grupos'!$A:$A,'Base de Grupos'!$L:$L)</f>
        <v>1000174119</v>
      </c>
      <c r="K801" s="5" t="str">
        <f>_xlfn.XLOOKUP($N801,'Base de Grupos'!$A:$A,'Base de Grupos'!$M:$M)</f>
        <v>REGIONAL VENDA INTERNA - CONVENIENCIA</v>
      </c>
      <c r="L801" s="5" t="str">
        <f t="shared" si="337"/>
        <v/>
      </c>
      <c r="M801" s="5" t="str">
        <f>_xlfn.XLOOKUP($N801,'Base de Grupos'!$A:$A,'Base de Grupos'!$C:$C)</f>
        <v>PB</v>
      </c>
      <c r="N801" s="3">
        <v>1509</v>
      </c>
      <c r="O801" s="4" t="s">
        <v>268</v>
      </c>
      <c r="P801" s="5" t="s">
        <v>85</v>
      </c>
      <c r="Q801" s="24">
        <v>0</v>
      </c>
      <c r="R801" s="24">
        <v>0</v>
      </c>
      <c r="S801" s="24">
        <v>0</v>
      </c>
      <c r="T801" s="24">
        <v>0</v>
      </c>
      <c r="U801" s="24">
        <v>0</v>
      </c>
      <c r="V801" s="24">
        <v>0</v>
      </c>
      <c r="W801" s="24">
        <v>0</v>
      </c>
      <c r="X801" s="24">
        <v>0</v>
      </c>
      <c r="Y801" s="24">
        <v>0</v>
      </c>
      <c r="Z801" s="24">
        <v>0</v>
      </c>
      <c r="AA801" s="24">
        <v>0</v>
      </c>
      <c r="AB801" s="24">
        <v>0</v>
      </c>
      <c r="AC801" s="30">
        <f t="shared" si="338"/>
        <v>0</v>
      </c>
      <c r="AD801" s="28"/>
      <c r="AE801" s="12"/>
      <c r="AF801" s="29"/>
      <c r="AG801" s="9"/>
      <c r="AH801" s="10"/>
      <c r="AI801" s="9"/>
      <c r="AJ801" s="11"/>
      <c r="AK801" s="9"/>
      <c r="AL801" s="13"/>
      <c r="AM801" s="9"/>
    </row>
    <row r="802" spans="1:39" x14ac:dyDescent="0.3">
      <c r="A802" s="2" t="str">
        <f t="shared" si="336"/>
        <v>NÃO</v>
      </c>
      <c r="B802" s="2" t="str">
        <f>_xlfn.XLOOKUP($N802,'Base de Grupos'!$A:$A,'Base de Grupos'!$D:$D)</f>
        <v>1000065763</v>
      </c>
      <c r="C802" s="5" t="str">
        <f>_xlfn.XLOOKUP($N802,'Base de Grupos'!$A:$A,'Base de Grupos'!$E:$E)</f>
        <v>CANAL VENDA INTERNA</v>
      </c>
      <c r="D802" s="5" t="str">
        <f>_xlfn.XLOOKUP($N802,'Base de Grupos'!$A:$A,'Base de Grupos'!$F:$F)</f>
        <v>1000065763</v>
      </c>
      <c r="E802" s="2" t="str">
        <f>_xlfn.XLOOKUP($N802,'Base de Grupos'!$A:$A,'Base de Grupos'!$G:$G)</f>
        <v>CANAL VENDA INTERNA</v>
      </c>
      <c r="F802" s="2" t="str">
        <f>_xlfn.XLOOKUP($N802,'Base de Grupos'!$A:$A,'Base de Grupos'!$H:$H)</f>
        <v>1000174119</v>
      </c>
      <c r="G802" s="5" t="str">
        <f>_xlfn.XLOOKUP($N802,'Base de Grupos'!$A:$A,'Base de Grupos'!$I:$I)</f>
        <v>REGIONAL VENDA INTERNA - CONVENIENCIA</v>
      </c>
      <c r="H802" s="5" t="str">
        <f>_xlfn.XLOOKUP($N802,'Base de Grupos'!$A:$A,'Base de Grupos'!$J:$J)</f>
        <v>1000174119</v>
      </c>
      <c r="I802" s="2" t="str">
        <f>_xlfn.XLOOKUP($N802,'Base de Grupos'!$A:$A,'Base de Grupos'!$K:$K)</f>
        <v>REGIONAL VENDA INTERNA - CONVENIENCIA</v>
      </c>
      <c r="J802" s="2" t="str">
        <f>_xlfn.XLOOKUP($N802,'Base de Grupos'!$A:$A,'Base de Grupos'!$L:$L)</f>
        <v>1000174119</v>
      </c>
      <c r="K802" s="5" t="str">
        <f>_xlfn.XLOOKUP($N802,'Base de Grupos'!$A:$A,'Base de Grupos'!$M:$M)</f>
        <v>REGIONAL VENDA INTERNA - CONVENIENCIA</v>
      </c>
      <c r="L802" s="5" t="str">
        <f t="shared" si="337"/>
        <v/>
      </c>
      <c r="M802" s="5" t="str">
        <f>_xlfn.XLOOKUP($N802,'Base de Grupos'!$A:$A,'Base de Grupos'!$C:$C)</f>
        <v>PB</v>
      </c>
      <c r="N802" s="3">
        <v>1509</v>
      </c>
      <c r="O802" s="4" t="s">
        <v>268</v>
      </c>
      <c r="P802" s="5" t="s">
        <v>92</v>
      </c>
      <c r="Q802" s="24">
        <v>0</v>
      </c>
      <c r="R802" s="24">
        <v>0</v>
      </c>
      <c r="S802" s="24">
        <v>0</v>
      </c>
      <c r="T802" s="24">
        <v>0</v>
      </c>
      <c r="U802" s="24">
        <v>0</v>
      </c>
      <c r="V802" s="24">
        <v>0</v>
      </c>
      <c r="W802" s="24">
        <v>0</v>
      </c>
      <c r="X802" s="24">
        <v>0</v>
      </c>
      <c r="Y802" s="24">
        <v>0</v>
      </c>
      <c r="Z802" s="24">
        <v>0</v>
      </c>
      <c r="AA802" s="24">
        <v>0</v>
      </c>
      <c r="AB802" s="24">
        <v>0</v>
      </c>
      <c r="AC802" s="30">
        <f t="shared" si="338"/>
        <v>0</v>
      </c>
      <c r="AD802" s="28"/>
      <c r="AE802" s="12"/>
      <c r="AF802" s="29"/>
      <c r="AG802" s="9"/>
      <c r="AH802" s="10"/>
      <c r="AI802" s="9"/>
      <c r="AJ802" s="11"/>
      <c r="AK802" s="9"/>
      <c r="AL802" s="13"/>
      <c r="AM802" s="9"/>
    </row>
    <row r="803" spans="1:39" x14ac:dyDescent="0.3">
      <c r="A803" s="2" t="str">
        <f t="shared" si="336"/>
        <v>NÃO</v>
      </c>
      <c r="B803" s="2" t="str">
        <f>_xlfn.XLOOKUP($N803,'Base de Grupos'!$A:$A,'Base de Grupos'!$D:$D)</f>
        <v>1000065763</v>
      </c>
      <c r="C803" s="5" t="str">
        <f>_xlfn.XLOOKUP($N803,'Base de Grupos'!$A:$A,'Base de Grupos'!$E:$E)</f>
        <v>CANAL VENDA INTERNA</v>
      </c>
      <c r="D803" s="5" t="str">
        <f>_xlfn.XLOOKUP($N803,'Base de Grupos'!$A:$A,'Base de Grupos'!$F:$F)</f>
        <v>1000065763</v>
      </c>
      <c r="E803" s="2" t="str">
        <f>_xlfn.XLOOKUP($N803,'Base de Grupos'!$A:$A,'Base de Grupos'!$G:$G)</f>
        <v>CANAL VENDA INTERNA</v>
      </c>
      <c r="F803" s="2" t="str">
        <f>_xlfn.XLOOKUP($N803,'Base de Grupos'!$A:$A,'Base de Grupos'!$H:$H)</f>
        <v>1000174119</v>
      </c>
      <c r="G803" s="5" t="str">
        <f>_xlfn.XLOOKUP($N803,'Base de Grupos'!$A:$A,'Base de Grupos'!$I:$I)</f>
        <v>REGIONAL VENDA INTERNA - CONVENIENCIA</v>
      </c>
      <c r="H803" s="5" t="str">
        <f>_xlfn.XLOOKUP($N803,'Base de Grupos'!$A:$A,'Base de Grupos'!$J:$J)</f>
        <v>1000174119</v>
      </c>
      <c r="I803" s="2" t="str">
        <f>_xlfn.XLOOKUP($N803,'Base de Grupos'!$A:$A,'Base de Grupos'!$K:$K)</f>
        <v>REGIONAL VENDA INTERNA - CONVENIENCIA</v>
      </c>
      <c r="J803" s="2" t="str">
        <f>_xlfn.XLOOKUP($N803,'Base de Grupos'!$A:$A,'Base de Grupos'!$L:$L)</f>
        <v>1000174119</v>
      </c>
      <c r="K803" s="5" t="str">
        <f>_xlfn.XLOOKUP($N803,'Base de Grupos'!$A:$A,'Base de Grupos'!$M:$M)</f>
        <v>REGIONAL VENDA INTERNA - CONVENIENCIA</v>
      </c>
      <c r="L803" s="5" t="str">
        <f t="shared" si="337"/>
        <v/>
      </c>
      <c r="M803" s="5" t="str">
        <f>_xlfn.XLOOKUP($N803,'Base de Grupos'!$A:$A,'Base de Grupos'!$C:$C)</f>
        <v>PB</v>
      </c>
      <c r="N803" s="3">
        <v>1509</v>
      </c>
      <c r="O803" s="4" t="s">
        <v>268</v>
      </c>
      <c r="P803" s="5" t="s">
        <v>86</v>
      </c>
      <c r="Q803" s="24">
        <v>0</v>
      </c>
      <c r="R803" s="24">
        <v>0</v>
      </c>
      <c r="S803" s="24">
        <v>0</v>
      </c>
      <c r="T803" s="24">
        <v>0</v>
      </c>
      <c r="U803" s="24">
        <v>0</v>
      </c>
      <c r="V803" s="24">
        <v>0</v>
      </c>
      <c r="W803" s="24">
        <v>0</v>
      </c>
      <c r="X803" s="24">
        <v>0</v>
      </c>
      <c r="Y803" s="24">
        <v>0</v>
      </c>
      <c r="Z803" s="24">
        <v>0</v>
      </c>
      <c r="AA803" s="24">
        <v>0</v>
      </c>
      <c r="AB803" s="24">
        <v>0</v>
      </c>
      <c r="AC803" s="30">
        <f t="shared" si="338"/>
        <v>0</v>
      </c>
      <c r="AD803" s="28"/>
      <c r="AE803" s="12"/>
      <c r="AF803" s="29"/>
      <c r="AG803" s="9"/>
      <c r="AH803" s="10"/>
      <c r="AI803" s="9"/>
      <c r="AJ803" s="11"/>
      <c r="AK803" s="9"/>
      <c r="AL803" s="13"/>
      <c r="AM803" s="9"/>
    </row>
    <row r="804" spans="1:39" x14ac:dyDescent="0.3">
      <c r="A804" s="2" t="str">
        <f t="shared" si="336"/>
        <v>NÃO</v>
      </c>
      <c r="B804" s="2" t="str">
        <f>_xlfn.XLOOKUP($N804,'Base de Grupos'!$A:$A,'Base de Grupos'!$D:$D)</f>
        <v>1000065763</v>
      </c>
      <c r="C804" s="5" t="str">
        <f>_xlfn.XLOOKUP($N804,'Base de Grupos'!$A:$A,'Base de Grupos'!$E:$E)</f>
        <v>CANAL VENDA INTERNA</v>
      </c>
      <c r="D804" s="5" t="str">
        <f>_xlfn.XLOOKUP($N804,'Base de Grupos'!$A:$A,'Base de Grupos'!$F:$F)</f>
        <v>1000065763</v>
      </c>
      <c r="E804" s="2" t="str">
        <f>_xlfn.XLOOKUP($N804,'Base de Grupos'!$A:$A,'Base de Grupos'!$G:$G)</f>
        <v>CANAL VENDA INTERNA</v>
      </c>
      <c r="F804" s="2" t="str">
        <f>_xlfn.XLOOKUP($N804,'Base de Grupos'!$A:$A,'Base de Grupos'!$H:$H)</f>
        <v>1000174119</v>
      </c>
      <c r="G804" s="5" t="str">
        <f>_xlfn.XLOOKUP($N804,'Base de Grupos'!$A:$A,'Base de Grupos'!$I:$I)</f>
        <v>REGIONAL VENDA INTERNA - CONVENIENCIA</v>
      </c>
      <c r="H804" s="5" t="str">
        <f>_xlfn.XLOOKUP($N804,'Base de Grupos'!$A:$A,'Base de Grupos'!$J:$J)</f>
        <v>1000174119</v>
      </c>
      <c r="I804" s="2" t="str">
        <f>_xlfn.XLOOKUP($N804,'Base de Grupos'!$A:$A,'Base de Grupos'!$K:$K)</f>
        <v>REGIONAL VENDA INTERNA - CONVENIENCIA</v>
      </c>
      <c r="J804" s="2" t="str">
        <f>_xlfn.XLOOKUP($N804,'Base de Grupos'!$A:$A,'Base de Grupos'!$L:$L)</f>
        <v>1000174119</v>
      </c>
      <c r="K804" s="5" t="str">
        <f>_xlfn.XLOOKUP($N804,'Base de Grupos'!$A:$A,'Base de Grupos'!$M:$M)</f>
        <v>REGIONAL VENDA INTERNA - CONVENIENCIA</v>
      </c>
      <c r="L804" s="5" t="str">
        <f t="shared" si="337"/>
        <v/>
      </c>
      <c r="M804" s="5" t="str">
        <f>_xlfn.XLOOKUP($N804,'Base de Grupos'!$A:$A,'Base de Grupos'!$C:$C)</f>
        <v>PB</v>
      </c>
      <c r="N804" s="3">
        <v>1509</v>
      </c>
      <c r="O804" s="4" t="s">
        <v>268</v>
      </c>
      <c r="P804" s="5" t="s">
        <v>108</v>
      </c>
      <c r="Q804" s="24">
        <v>0</v>
      </c>
      <c r="R804" s="24">
        <v>0</v>
      </c>
      <c r="S804" s="24">
        <v>0</v>
      </c>
      <c r="T804" s="24">
        <v>0</v>
      </c>
      <c r="U804" s="24">
        <v>0</v>
      </c>
      <c r="V804" s="24">
        <v>0</v>
      </c>
      <c r="W804" s="24">
        <v>0</v>
      </c>
      <c r="X804" s="24">
        <v>0</v>
      </c>
      <c r="Y804" s="24">
        <v>0</v>
      </c>
      <c r="Z804" s="24">
        <v>0</v>
      </c>
      <c r="AA804" s="24">
        <v>0</v>
      </c>
      <c r="AB804" s="24">
        <v>0</v>
      </c>
      <c r="AC804" s="30">
        <f t="shared" si="338"/>
        <v>0</v>
      </c>
      <c r="AD804" s="28"/>
      <c r="AE804" s="12"/>
      <c r="AF804" s="29"/>
      <c r="AG804" s="9"/>
      <c r="AH804" s="10"/>
      <c r="AI804" s="9"/>
      <c r="AJ804" s="11"/>
      <c r="AK804" s="9"/>
      <c r="AL804" s="13"/>
      <c r="AM804" s="9"/>
    </row>
    <row r="805" spans="1:39" x14ac:dyDescent="0.3">
      <c r="A805" s="2" t="str">
        <f t="shared" si="336"/>
        <v>NÃO</v>
      </c>
      <c r="B805" s="2" t="str">
        <f>_xlfn.XLOOKUP($N805,'Base de Grupos'!$A:$A,'Base de Grupos'!$D:$D)</f>
        <v>1000065763</v>
      </c>
      <c r="C805" s="5" t="str">
        <f>_xlfn.XLOOKUP($N805,'Base de Grupos'!$A:$A,'Base de Grupos'!$E:$E)</f>
        <v>CANAL VENDA INTERNA</v>
      </c>
      <c r="D805" s="5" t="str">
        <f>_xlfn.XLOOKUP($N805,'Base de Grupos'!$A:$A,'Base de Grupos'!$F:$F)</f>
        <v>1000065763</v>
      </c>
      <c r="E805" s="2" t="str">
        <f>_xlfn.XLOOKUP($N805,'Base de Grupos'!$A:$A,'Base de Grupos'!$G:$G)</f>
        <v>CANAL VENDA INTERNA</v>
      </c>
      <c r="F805" s="2" t="str">
        <f>_xlfn.XLOOKUP($N805,'Base de Grupos'!$A:$A,'Base de Grupos'!$H:$H)</f>
        <v>1000174119</v>
      </c>
      <c r="G805" s="5" t="str">
        <f>_xlfn.XLOOKUP($N805,'Base de Grupos'!$A:$A,'Base de Grupos'!$I:$I)</f>
        <v>REGIONAL VENDA INTERNA - CONVENIENCIA</v>
      </c>
      <c r="H805" s="5" t="str">
        <f>_xlfn.XLOOKUP($N805,'Base de Grupos'!$A:$A,'Base de Grupos'!$J:$J)</f>
        <v>1000174119</v>
      </c>
      <c r="I805" s="2" t="str">
        <f>_xlfn.XLOOKUP($N805,'Base de Grupos'!$A:$A,'Base de Grupos'!$K:$K)</f>
        <v>REGIONAL VENDA INTERNA - CONVENIENCIA</v>
      </c>
      <c r="J805" s="2" t="str">
        <f>_xlfn.XLOOKUP($N805,'Base de Grupos'!$A:$A,'Base de Grupos'!$L:$L)</f>
        <v>1000174119</v>
      </c>
      <c r="K805" s="5" t="str">
        <f>_xlfn.XLOOKUP($N805,'Base de Grupos'!$A:$A,'Base de Grupos'!$M:$M)</f>
        <v>REGIONAL VENDA INTERNA - CONVENIENCIA</v>
      </c>
      <c r="L805" s="5" t="str">
        <f t="shared" si="337"/>
        <v/>
      </c>
      <c r="M805" s="5" t="str">
        <f>_xlfn.XLOOKUP($N805,'Base de Grupos'!$A:$A,'Base de Grupos'!$C:$C)</f>
        <v>PB</v>
      </c>
      <c r="N805" s="3">
        <v>1509</v>
      </c>
      <c r="O805" s="4" t="s">
        <v>268</v>
      </c>
      <c r="P805" s="5" t="s">
        <v>89</v>
      </c>
      <c r="Q805" s="24">
        <v>0</v>
      </c>
      <c r="R805" s="24">
        <v>0</v>
      </c>
      <c r="S805" s="24">
        <v>0</v>
      </c>
      <c r="T805" s="24">
        <v>0</v>
      </c>
      <c r="U805" s="24">
        <v>0</v>
      </c>
      <c r="V805" s="24">
        <v>0</v>
      </c>
      <c r="W805" s="24">
        <v>0</v>
      </c>
      <c r="X805" s="24">
        <v>0</v>
      </c>
      <c r="Y805" s="24">
        <v>0</v>
      </c>
      <c r="Z805" s="24">
        <v>0</v>
      </c>
      <c r="AA805" s="24">
        <v>0</v>
      </c>
      <c r="AB805" s="24">
        <v>0</v>
      </c>
      <c r="AC805" s="30">
        <f t="shared" si="338"/>
        <v>0</v>
      </c>
      <c r="AD805" s="28"/>
      <c r="AE805" s="12"/>
      <c r="AF805" s="29"/>
      <c r="AG805" s="9"/>
      <c r="AH805" s="10"/>
      <c r="AI805" s="9"/>
      <c r="AJ805" s="11"/>
      <c r="AK805" s="9"/>
      <c r="AL805" s="13"/>
      <c r="AM805" s="9"/>
    </row>
    <row r="806" spans="1:39" x14ac:dyDescent="0.3">
      <c r="A806" s="2" t="str">
        <f t="shared" si="336"/>
        <v>NÃO</v>
      </c>
      <c r="B806" s="2" t="str">
        <f>_xlfn.XLOOKUP($N806,'Base de Grupos'!$A:$A,'Base de Grupos'!$D:$D)</f>
        <v>1000065763</v>
      </c>
      <c r="C806" s="5" t="str">
        <f>_xlfn.XLOOKUP($N806,'Base de Grupos'!$A:$A,'Base de Grupos'!$E:$E)</f>
        <v>CANAL VENDA INTERNA</v>
      </c>
      <c r="D806" s="5" t="str">
        <f>_xlfn.XLOOKUP($N806,'Base de Grupos'!$A:$A,'Base de Grupos'!$F:$F)</f>
        <v>1000065763</v>
      </c>
      <c r="E806" s="2" t="str">
        <f>_xlfn.XLOOKUP($N806,'Base de Grupos'!$A:$A,'Base de Grupos'!$G:$G)</f>
        <v>CANAL VENDA INTERNA</v>
      </c>
      <c r="F806" s="2" t="str">
        <f>_xlfn.XLOOKUP($N806,'Base de Grupos'!$A:$A,'Base de Grupos'!$H:$H)</f>
        <v>1000174119</v>
      </c>
      <c r="G806" s="5" t="str">
        <f>_xlfn.XLOOKUP($N806,'Base de Grupos'!$A:$A,'Base de Grupos'!$I:$I)</f>
        <v>REGIONAL VENDA INTERNA - CONVENIENCIA</v>
      </c>
      <c r="H806" s="5" t="str">
        <f>_xlfn.XLOOKUP($N806,'Base de Grupos'!$A:$A,'Base de Grupos'!$J:$J)</f>
        <v>1000174119</v>
      </c>
      <c r="I806" s="2" t="str">
        <f>_xlfn.XLOOKUP($N806,'Base de Grupos'!$A:$A,'Base de Grupos'!$K:$K)</f>
        <v>REGIONAL VENDA INTERNA - CONVENIENCIA</v>
      </c>
      <c r="J806" s="2" t="str">
        <f>_xlfn.XLOOKUP($N806,'Base de Grupos'!$A:$A,'Base de Grupos'!$L:$L)</f>
        <v>1000174119</v>
      </c>
      <c r="K806" s="5" t="str">
        <f>_xlfn.XLOOKUP($N806,'Base de Grupos'!$A:$A,'Base de Grupos'!$M:$M)</f>
        <v>REGIONAL VENDA INTERNA - CONVENIENCIA</v>
      </c>
      <c r="L806" s="5" t="str">
        <f t="shared" si="337"/>
        <v/>
      </c>
      <c r="M806" s="5" t="str">
        <f>_xlfn.XLOOKUP($N806,'Base de Grupos'!$A:$A,'Base de Grupos'!$C:$C)</f>
        <v>PB</v>
      </c>
      <c r="N806" s="3">
        <v>1509</v>
      </c>
      <c r="O806" s="4" t="s">
        <v>268</v>
      </c>
      <c r="P806" s="5" t="s">
        <v>88</v>
      </c>
      <c r="Q806" s="24">
        <v>0</v>
      </c>
      <c r="R806" s="24">
        <v>0</v>
      </c>
      <c r="S806" s="24">
        <v>0</v>
      </c>
      <c r="T806" s="24">
        <v>0</v>
      </c>
      <c r="U806" s="24">
        <v>0</v>
      </c>
      <c r="V806" s="24">
        <v>0</v>
      </c>
      <c r="W806" s="24">
        <v>0</v>
      </c>
      <c r="X806" s="24">
        <v>0</v>
      </c>
      <c r="Y806" s="24">
        <v>0</v>
      </c>
      <c r="Z806" s="24">
        <v>0</v>
      </c>
      <c r="AA806" s="24">
        <v>0</v>
      </c>
      <c r="AB806" s="24">
        <v>0</v>
      </c>
      <c r="AC806" s="30">
        <f t="shared" si="338"/>
        <v>0</v>
      </c>
      <c r="AD806" s="28"/>
      <c r="AE806" s="12"/>
      <c r="AF806" s="29"/>
      <c r="AG806" s="9"/>
      <c r="AH806" s="10"/>
      <c r="AI806" s="9"/>
      <c r="AJ806" s="11"/>
      <c r="AK806" s="9"/>
      <c r="AL806" s="13"/>
      <c r="AM806" s="9"/>
    </row>
    <row r="807" spans="1:39" x14ac:dyDescent="0.3">
      <c r="A807" s="2" t="str">
        <f t="shared" si="336"/>
        <v>NÃO</v>
      </c>
      <c r="B807" s="2" t="str">
        <f>_xlfn.XLOOKUP($N807,'Base de Grupos'!$A:$A,'Base de Grupos'!$D:$D)</f>
        <v>1000065763</v>
      </c>
      <c r="C807" s="5" t="str">
        <f>_xlfn.XLOOKUP($N807,'Base de Grupos'!$A:$A,'Base de Grupos'!$E:$E)</f>
        <v>CANAL VENDA INTERNA</v>
      </c>
      <c r="D807" s="5" t="str">
        <f>_xlfn.XLOOKUP($N807,'Base de Grupos'!$A:$A,'Base de Grupos'!$F:$F)</f>
        <v>1000065763</v>
      </c>
      <c r="E807" s="2" t="str">
        <f>_xlfn.XLOOKUP($N807,'Base de Grupos'!$A:$A,'Base de Grupos'!$G:$G)</f>
        <v>CANAL VENDA INTERNA</v>
      </c>
      <c r="F807" s="2" t="str">
        <f>_xlfn.XLOOKUP($N807,'Base de Grupos'!$A:$A,'Base de Grupos'!$H:$H)</f>
        <v>1000174119</v>
      </c>
      <c r="G807" s="5" t="str">
        <f>_xlfn.XLOOKUP($N807,'Base de Grupos'!$A:$A,'Base de Grupos'!$I:$I)</f>
        <v>REGIONAL VENDA INTERNA - CONVENIENCIA</v>
      </c>
      <c r="H807" s="5" t="str">
        <f>_xlfn.XLOOKUP($N807,'Base de Grupos'!$A:$A,'Base de Grupos'!$J:$J)</f>
        <v>1000174119</v>
      </c>
      <c r="I807" s="2" t="str">
        <f>_xlfn.XLOOKUP($N807,'Base de Grupos'!$A:$A,'Base de Grupos'!$K:$K)</f>
        <v>REGIONAL VENDA INTERNA - CONVENIENCIA</v>
      </c>
      <c r="J807" s="2" t="str">
        <f>_xlfn.XLOOKUP($N807,'Base de Grupos'!$A:$A,'Base de Grupos'!$L:$L)</f>
        <v>1000174119</v>
      </c>
      <c r="K807" s="5" t="str">
        <f>_xlfn.XLOOKUP($N807,'Base de Grupos'!$A:$A,'Base de Grupos'!$M:$M)</f>
        <v>REGIONAL VENDA INTERNA - CONVENIENCIA</v>
      </c>
      <c r="L807" s="5" t="str">
        <f t="shared" si="337"/>
        <v/>
      </c>
      <c r="M807" s="5" t="str">
        <f>_xlfn.XLOOKUP($N807,'Base de Grupos'!$A:$A,'Base de Grupos'!$C:$C)</f>
        <v>PB</v>
      </c>
      <c r="N807" s="3">
        <v>1509</v>
      </c>
      <c r="O807" s="4" t="s">
        <v>268</v>
      </c>
      <c r="P807" s="5" t="s">
        <v>90</v>
      </c>
      <c r="Q807" s="24">
        <v>0</v>
      </c>
      <c r="R807" s="24">
        <v>0</v>
      </c>
      <c r="S807" s="24">
        <v>0</v>
      </c>
      <c r="T807" s="24">
        <v>0</v>
      </c>
      <c r="U807" s="24">
        <v>0</v>
      </c>
      <c r="V807" s="24">
        <v>0</v>
      </c>
      <c r="W807" s="24">
        <v>0</v>
      </c>
      <c r="X807" s="24">
        <v>0</v>
      </c>
      <c r="Y807" s="24">
        <v>0</v>
      </c>
      <c r="Z807" s="24">
        <v>0</v>
      </c>
      <c r="AA807" s="24">
        <v>0</v>
      </c>
      <c r="AB807" s="24">
        <v>0</v>
      </c>
      <c r="AC807" s="30">
        <f t="shared" si="338"/>
        <v>0</v>
      </c>
      <c r="AD807" s="28"/>
      <c r="AE807" s="12"/>
      <c r="AF807" s="29"/>
      <c r="AG807" s="9"/>
      <c r="AH807" s="10"/>
      <c r="AI807" s="9"/>
      <c r="AJ807" s="11"/>
      <c r="AK807" s="9"/>
      <c r="AL807" s="13"/>
      <c r="AM807" s="9"/>
    </row>
    <row r="808" spans="1:39" x14ac:dyDescent="0.3">
      <c r="A808" s="2" t="str">
        <f t="shared" si="336"/>
        <v>NÃO</v>
      </c>
      <c r="B808" s="2" t="str">
        <f>_xlfn.XLOOKUP($N808,'Base de Grupos'!$A:$A,'Base de Grupos'!$D:$D)</f>
        <v>1000065763</v>
      </c>
      <c r="C808" s="5" t="str">
        <f>_xlfn.XLOOKUP($N808,'Base de Grupos'!$A:$A,'Base de Grupos'!$E:$E)</f>
        <v>CANAL VENDA INTERNA</v>
      </c>
      <c r="D808" s="5" t="str">
        <f>_xlfn.XLOOKUP($N808,'Base de Grupos'!$A:$A,'Base de Grupos'!$F:$F)</f>
        <v>1000065763</v>
      </c>
      <c r="E808" s="2" t="str">
        <f>_xlfn.XLOOKUP($N808,'Base de Grupos'!$A:$A,'Base de Grupos'!$G:$G)</f>
        <v>CANAL VENDA INTERNA</v>
      </c>
      <c r="F808" s="2" t="str">
        <f>_xlfn.XLOOKUP($N808,'Base de Grupos'!$A:$A,'Base de Grupos'!$H:$H)</f>
        <v>1000174119</v>
      </c>
      <c r="G808" s="5" t="str">
        <f>_xlfn.XLOOKUP($N808,'Base de Grupos'!$A:$A,'Base de Grupos'!$I:$I)</f>
        <v>REGIONAL VENDA INTERNA - CONVENIENCIA</v>
      </c>
      <c r="H808" s="5" t="str">
        <f>_xlfn.XLOOKUP($N808,'Base de Grupos'!$A:$A,'Base de Grupos'!$J:$J)</f>
        <v>1000174119</v>
      </c>
      <c r="I808" s="2" t="str">
        <f>_xlfn.XLOOKUP($N808,'Base de Grupos'!$A:$A,'Base de Grupos'!$K:$K)</f>
        <v>REGIONAL VENDA INTERNA - CONVENIENCIA</v>
      </c>
      <c r="J808" s="2" t="str">
        <f>_xlfn.XLOOKUP($N808,'Base de Grupos'!$A:$A,'Base de Grupos'!$L:$L)</f>
        <v>1000174119</v>
      </c>
      <c r="K808" s="5" t="str">
        <f>_xlfn.XLOOKUP($N808,'Base de Grupos'!$A:$A,'Base de Grupos'!$M:$M)</f>
        <v>REGIONAL VENDA INTERNA - CONVENIENCIA</v>
      </c>
      <c r="L808" s="5" t="str">
        <f t="shared" si="337"/>
        <v/>
      </c>
      <c r="M808" s="5" t="str">
        <f>_xlfn.XLOOKUP($N808,'Base de Grupos'!$A:$A,'Base de Grupos'!$C:$C)</f>
        <v>PB</v>
      </c>
      <c r="N808" s="3">
        <v>1509</v>
      </c>
      <c r="O808" s="4" t="s">
        <v>268</v>
      </c>
      <c r="P808" s="5" t="s">
        <v>91</v>
      </c>
      <c r="Q808" s="24">
        <v>0</v>
      </c>
      <c r="R808" s="24">
        <v>0</v>
      </c>
      <c r="S808" s="24">
        <v>0</v>
      </c>
      <c r="T808" s="24">
        <v>0</v>
      </c>
      <c r="U808" s="24">
        <v>0</v>
      </c>
      <c r="V808" s="24">
        <v>0</v>
      </c>
      <c r="W808" s="24">
        <v>0</v>
      </c>
      <c r="X808" s="24">
        <v>0</v>
      </c>
      <c r="Y808" s="24">
        <v>0</v>
      </c>
      <c r="Z808" s="24">
        <v>0</v>
      </c>
      <c r="AA808" s="24">
        <v>0</v>
      </c>
      <c r="AB808" s="24">
        <v>0</v>
      </c>
      <c r="AC808" s="30">
        <f t="shared" si="338"/>
        <v>0</v>
      </c>
      <c r="AD808" s="28"/>
      <c r="AE808" s="12"/>
      <c r="AF808" s="29"/>
      <c r="AG808" s="9"/>
      <c r="AH808" s="10"/>
      <c r="AI808" s="9"/>
      <c r="AJ808" s="11"/>
      <c r="AK808" s="9"/>
      <c r="AL808" s="13"/>
      <c r="AM808" s="9"/>
    </row>
    <row r="809" spans="1:39" x14ac:dyDescent="0.3">
      <c r="A809" s="2" t="str">
        <f t="shared" si="336"/>
        <v>NÃO</v>
      </c>
      <c r="B809" s="2" t="str">
        <f>_xlfn.XLOOKUP($N809,'Base de Grupos'!$A:$A,'Base de Grupos'!$D:$D)</f>
        <v>1000065763</v>
      </c>
      <c r="C809" s="5" t="str">
        <f>_xlfn.XLOOKUP($N809,'Base de Grupos'!$A:$A,'Base de Grupos'!$E:$E)</f>
        <v>CANAL VENDA INTERNA</v>
      </c>
      <c r="D809" s="5" t="str">
        <f>_xlfn.XLOOKUP($N809,'Base de Grupos'!$A:$A,'Base de Grupos'!$F:$F)</f>
        <v>1000065763</v>
      </c>
      <c r="E809" s="2" t="str">
        <f>_xlfn.XLOOKUP($N809,'Base de Grupos'!$A:$A,'Base de Grupos'!$G:$G)</f>
        <v>CANAL VENDA INTERNA</v>
      </c>
      <c r="F809" s="2" t="str">
        <f>_xlfn.XLOOKUP($N809,'Base de Grupos'!$A:$A,'Base de Grupos'!$H:$H)</f>
        <v>1000174119</v>
      </c>
      <c r="G809" s="5" t="str">
        <f>_xlfn.XLOOKUP($N809,'Base de Grupos'!$A:$A,'Base de Grupos'!$I:$I)</f>
        <v>REGIONAL VENDA INTERNA - CONVENIENCIA</v>
      </c>
      <c r="H809" s="5" t="str">
        <f>_xlfn.XLOOKUP($N809,'Base de Grupos'!$A:$A,'Base de Grupos'!$J:$J)</f>
        <v>1000174119</v>
      </c>
      <c r="I809" s="2" t="str">
        <f>_xlfn.XLOOKUP($N809,'Base de Grupos'!$A:$A,'Base de Grupos'!$K:$K)</f>
        <v>REGIONAL VENDA INTERNA - CONVENIENCIA</v>
      </c>
      <c r="J809" s="2" t="str">
        <f>_xlfn.XLOOKUP($N809,'Base de Grupos'!$A:$A,'Base de Grupos'!$L:$L)</f>
        <v>1000174119</v>
      </c>
      <c r="K809" s="5" t="str">
        <f>_xlfn.XLOOKUP($N809,'Base de Grupos'!$A:$A,'Base de Grupos'!$M:$M)</f>
        <v>REGIONAL VENDA INTERNA - CONVENIENCIA</v>
      </c>
      <c r="L809" s="5" t="str">
        <f t="shared" si="337"/>
        <v/>
      </c>
      <c r="M809" s="5" t="str">
        <f>_xlfn.XLOOKUP($N809,'Base de Grupos'!$A:$A,'Base de Grupos'!$C:$C)</f>
        <v>PB</v>
      </c>
      <c r="N809" s="3">
        <v>1509</v>
      </c>
      <c r="O809" s="4" t="s">
        <v>268</v>
      </c>
      <c r="P809" s="5" t="s">
        <v>96</v>
      </c>
      <c r="Q809" s="24">
        <v>0</v>
      </c>
      <c r="R809" s="24">
        <v>0</v>
      </c>
      <c r="S809" s="24">
        <v>0</v>
      </c>
      <c r="T809" s="24">
        <v>0</v>
      </c>
      <c r="U809" s="24">
        <v>0</v>
      </c>
      <c r="V809" s="24">
        <v>0</v>
      </c>
      <c r="W809" s="24">
        <v>0</v>
      </c>
      <c r="X809" s="24">
        <v>0</v>
      </c>
      <c r="Y809" s="24">
        <v>0</v>
      </c>
      <c r="Z809" s="24">
        <v>0</v>
      </c>
      <c r="AA809" s="24">
        <v>0</v>
      </c>
      <c r="AB809" s="24">
        <v>0</v>
      </c>
      <c r="AC809" s="30">
        <f t="shared" si="338"/>
        <v>0</v>
      </c>
      <c r="AD809" s="28"/>
      <c r="AE809" s="12"/>
      <c r="AF809" s="29"/>
      <c r="AG809" s="9"/>
      <c r="AH809" s="10"/>
      <c r="AI809" s="9"/>
      <c r="AJ809" s="11"/>
      <c r="AK809" s="9"/>
      <c r="AL809" s="13"/>
      <c r="AM809" s="9"/>
    </row>
    <row r="810" spans="1:39" x14ac:dyDescent="0.3">
      <c r="A810" s="2" t="str">
        <f t="shared" si="336"/>
        <v>NÃO</v>
      </c>
      <c r="B810" s="2" t="str">
        <f>_xlfn.XLOOKUP($N810,'Base de Grupos'!$A:$A,'Base de Grupos'!$D:$D)</f>
        <v>1000065763</v>
      </c>
      <c r="C810" s="5" t="str">
        <f>_xlfn.XLOOKUP($N810,'Base de Grupos'!$A:$A,'Base de Grupos'!$E:$E)</f>
        <v>CANAL VENDA INTERNA</v>
      </c>
      <c r="D810" s="5" t="str">
        <f>_xlfn.XLOOKUP($N810,'Base de Grupos'!$A:$A,'Base de Grupos'!$F:$F)</f>
        <v>1000065763</v>
      </c>
      <c r="E810" s="2" t="str">
        <f>_xlfn.XLOOKUP($N810,'Base de Grupos'!$A:$A,'Base de Grupos'!$G:$G)</f>
        <v>CANAL VENDA INTERNA</v>
      </c>
      <c r="F810" s="2" t="str">
        <f>_xlfn.XLOOKUP($N810,'Base de Grupos'!$A:$A,'Base de Grupos'!$H:$H)</f>
        <v>1000174119</v>
      </c>
      <c r="G810" s="5" t="str">
        <f>_xlfn.XLOOKUP($N810,'Base de Grupos'!$A:$A,'Base de Grupos'!$I:$I)</f>
        <v>REGIONAL VENDA INTERNA - CONVENIENCIA</v>
      </c>
      <c r="H810" s="5" t="str">
        <f>_xlfn.XLOOKUP($N810,'Base de Grupos'!$A:$A,'Base de Grupos'!$J:$J)</f>
        <v>1000174119</v>
      </c>
      <c r="I810" s="2" t="str">
        <f>_xlfn.XLOOKUP($N810,'Base de Grupos'!$A:$A,'Base de Grupos'!$K:$K)</f>
        <v>REGIONAL VENDA INTERNA - CONVENIENCIA</v>
      </c>
      <c r="J810" s="2" t="str">
        <f>_xlfn.XLOOKUP($N810,'Base de Grupos'!$A:$A,'Base de Grupos'!$L:$L)</f>
        <v>1000174119</v>
      </c>
      <c r="K810" s="5" t="str">
        <f>_xlfn.XLOOKUP($N810,'Base de Grupos'!$A:$A,'Base de Grupos'!$M:$M)</f>
        <v>REGIONAL VENDA INTERNA - CONVENIENCIA</v>
      </c>
      <c r="L810" s="5" t="str">
        <f t="shared" si="337"/>
        <v/>
      </c>
      <c r="M810" s="5" t="str">
        <f>_xlfn.XLOOKUP($N810,'Base de Grupos'!$A:$A,'Base de Grupos'!$C:$C)</f>
        <v>PB</v>
      </c>
      <c r="N810" s="3">
        <v>1509</v>
      </c>
      <c r="O810" s="4" t="s">
        <v>268</v>
      </c>
      <c r="P810" s="5" t="s">
        <v>94</v>
      </c>
      <c r="Q810" s="24">
        <v>0</v>
      </c>
      <c r="R810" s="24">
        <v>0</v>
      </c>
      <c r="S810" s="24">
        <v>0</v>
      </c>
      <c r="T810" s="24">
        <v>0</v>
      </c>
      <c r="U810" s="24">
        <v>0</v>
      </c>
      <c r="V810" s="24">
        <v>0</v>
      </c>
      <c r="W810" s="24">
        <v>0</v>
      </c>
      <c r="X810" s="24">
        <v>0</v>
      </c>
      <c r="Y810" s="24">
        <v>0</v>
      </c>
      <c r="Z810" s="24">
        <v>0</v>
      </c>
      <c r="AA810" s="24">
        <v>0</v>
      </c>
      <c r="AB810" s="24">
        <v>0</v>
      </c>
      <c r="AC810" s="30">
        <f t="shared" si="338"/>
        <v>0</v>
      </c>
      <c r="AD810" s="28"/>
      <c r="AE810" s="12"/>
      <c r="AF810" s="29"/>
      <c r="AG810" s="9"/>
      <c r="AH810" s="10"/>
      <c r="AI810" s="9"/>
      <c r="AJ810" s="11"/>
      <c r="AK810" s="9"/>
      <c r="AL810" s="13"/>
      <c r="AM810" s="9"/>
    </row>
    <row r="811" spans="1:39" x14ac:dyDescent="0.3">
      <c r="A811" s="2" t="str">
        <f t="shared" si="336"/>
        <v>NÃO</v>
      </c>
      <c r="B811" s="2" t="str">
        <f>_xlfn.XLOOKUP($N811,'Base de Grupos'!$A:$A,'Base de Grupos'!$D:$D)</f>
        <v>1000065763</v>
      </c>
      <c r="C811" s="5" t="str">
        <f>_xlfn.XLOOKUP($N811,'Base de Grupos'!$A:$A,'Base de Grupos'!$E:$E)</f>
        <v>CANAL VENDA INTERNA</v>
      </c>
      <c r="D811" s="5" t="str">
        <f>_xlfn.XLOOKUP($N811,'Base de Grupos'!$A:$A,'Base de Grupos'!$F:$F)</f>
        <v>1000065763</v>
      </c>
      <c r="E811" s="2" t="str">
        <f>_xlfn.XLOOKUP($N811,'Base de Grupos'!$A:$A,'Base de Grupos'!$G:$G)</f>
        <v>CANAL VENDA INTERNA</v>
      </c>
      <c r="F811" s="2" t="str">
        <f>_xlfn.XLOOKUP($N811,'Base de Grupos'!$A:$A,'Base de Grupos'!$H:$H)</f>
        <v>1000174119</v>
      </c>
      <c r="G811" s="5" t="str">
        <f>_xlfn.XLOOKUP($N811,'Base de Grupos'!$A:$A,'Base de Grupos'!$I:$I)</f>
        <v>REGIONAL VENDA INTERNA - CONVENIENCIA</v>
      </c>
      <c r="H811" s="5" t="str">
        <f>_xlfn.XLOOKUP($N811,'Base de Grupos'!$A:$A,'Base de Grupos'!$J:$J)</f>
        <v>1000174119</v>
      </c>
      <c r="I811" s="2" t="str">
        <f>_xlfn.XLOOKUP($N811,'Base de Grupos'!$A:$A,'Base de Grupos'!$K:$K)</f>
        <v>REGIONAL VENDA INTERNA - CONVENIENCIA</v>
      </c>
      <c r="J811" s="2" t="str">
        <f>_xlfn.XLOOKUP($N811,'Base de Grupos'!$A:$A,'Base de Grupos'!$L:$L)</f>
        <v>1000174119</v>
      </c>
      <c r="K811" s="5" t="str">
        <f>_xlfn.XLOOKUP($N811,'Base de Grupos'!$A:$A,'Base de Grupos'!$M:$M)</f>
        <v>REGIONAL VENDA INTERNA - CONVENIENCIA</v>
      </c>
      <c r="L811" s="5" t="str">
        <f t="shared" si="337"/>
        <v/>
      </c>
      <c r="M811" s="5" t="str">
        <f>_xlfn.XLOOKUP($N811,'Base de Grupos'!$A:$A,'Base de Grupos'!$C:$C)</f>
        <v>PB</v>
      </c>
      <c r="N811" s="3">
        <v>1509</v>
      </c>
      <c r="O811" s="4" t="s">
        <v>268</v>
      </c>
      <c r="P811" s="5" t="s">
        <v>95</v>
      </c>
      <c r="Q811" s="24">
        <v>0</v>
      </c>
      <c r="R811" s="24">
        <v>0</v>
      </c>
      <c r="S811" s="24">
        <v>0</v>
      </c>
      <c r="T811" s="24">
        <v>0</v>
      </c>
      <c r="U811" s="24">
        <v>0</v>
      </c>
      <c r="V811" s="24">
        <v>0</v>
      </c>
      <c r="W811" s="24">
        <v>0</v>
      </c>
      <c r="X811" s="24">
        <v>0</v>
      </c>
      <c r="Y811" s="24">
        <v>0</v>
      </c>
      <c r="Z811" s="24">
        <v>0</v>
      </c>
      <c r="AA811" s="24">
        <v>0</v>
      </c>
      <c r="AB811" s="24">
        <v>0</v>
      </c>
      <c r="AC811" s="30">
        <f t="shared" si="338"/>
        <v>0</v>
      </c>
      <c r="AD811" s="28"/>
      <c r="AE811" s="12"/>
      <c r="AF811" s="29"/>
      <c r="AG811" s="9"/>
      <c r="AH811" s="10"/>
      <c r="AI811" s="9"/>
      <c r="AJ811" s="11"/>
      <c r="AK811" s="9"/>
      <c r="AL811" s="13"/>
      <c r="AM811" s="9"/>
    </row>
    <row r="812" spans="1:39" x14ac:dyDescent="0.3">
      <c r="A812" s="2" t="str">
        <f t="shared" si="336"/>
        <v>NÃO</v>
      </c>
      <c r="B812" s="2" t="str">
        <f>_xlfn.XLOOKUP($N812,'Base de Grupos'!$A:$A,'Base de Grupos'!$D:$D)</f>
        <v>1000065763</v>
      </c>
      <c r="C812" s="5" t="str">
        <f>_xlfn.XLOOKUP($N812,'Base de Grupos'!$A:$A,'Base de Grupos'!$E:$E)</f>
        <v>CANAL VENDA INTERNA</v>
      </c>
      <c r="D812" s="5" t="str">
        <f>_xlfn.XLOOKUP($N812,'Base de Grupos'!$A:$A,'Base de Grupos'!$F:$F)</f>
        <v>1000065763</v>
      </c>
      <c r="E812" s="2" t="str">
        <f>_xlfn.XLOOKUP($N812,'Base de Grupos'!$A:$A,'Base de Grupos'!$G:$G)</f>
        <v>CANAL VENDA INTERNA</v>
      </c>
      <c r="F812" s="2" t="str">
        <f>_xlfn.XLOOKUP($N812,'Base de Grupos'!$A:$A,'Base de Grupos'!$H:$H)</f>
        <v>1000174119</v>
      </c>
      <c r="G812" s="5" t="str">
        <f>_xlfn.XLOOKUP($N812,'Base de Grupos'!$A:$A,'Base de Grupos'!$I:$I)</f>
        <v>REGIONAL VENDA INTERNA - CONVENIENCIA</v>
      </c>
      <c r="H812" s="5" t="str">
        <f>_xlfn.XLOOKUP($N812,'Base de Grupos'!$A:$A,'Base de Grupos'!$J:$J)</f>
        <v>1000174119</v>
      </c>
      <c r="I812" s="2" t="str">
        <f>_xlfn.XLOOKUP($N812,'Base de Grupos'!$A:$A,'Base de Grupos'!$K:$K)</f>
        <v>REGIONAL VENDA INTERNA - CONVENIENCIA</v>
      </c>
      <c r="J812" s="2" t="str">
        <f>_xlfn.XLOOKUP($N812,'Base de Grupos'!$A:$A,'Base de Grupos'!$L:$L)</f>
        <v>1000174119</v>
      </c>
      <c r="K812" s="5" t="str">
        <f>_xlfn.XLOOKUP($N812,'Base de Grupos'!$A:$A,'Base de Grupos'!$M:$M)</f>
        <v>REGIONAL VENDA INTERNA - CONVENIENCIA</v>
      </c>
      <c r="L812" s="5" t="str">
        <f t="shared" si="337"/>
        <v/>
      </c>
      <c r="M812" s="5" t="str">
        <f>_xlfn.XLOOKUP($N812,'Base de Grupos'!$A:$A,'Base de Grupos'!$C:$C)</f>
        <v>PB</v>
      </c>
      <c r="N812" s="3">
        <v>1509</v>
      </c>
      <c r="O812" s="4" t="s">
        <v>268</v>
      </c>
      <c r="P812" s="5" t="s">
        <v>93</v>
      </c>
      <c r="Q812" s="24">
        <v>0</v>
      </c>
      <c r="R812" s="24">
        <v>0</v>
      </c>
      <c r="S812" s="24">
        <v>0</v>
      </c>
      <c r="T812" s="24">
        <v>0</v>
      </c>
      <c r="U812" s="24">
        <v>0</v>
      </c>
      <c r="V812" s="24">
        <v>0</v>
      </c>
      <c r="W812" s="24">
        <v>0</v>
      </c>
      <c r="X812" s="24">
        <v>0</v>
      </c>
      <c r="Y812" s="24">
        <v>0</v>
      </c>
      <c r="Z812" s="24">
        <v>0</v>
      </c>
      <c r="AA812" s="24">
        <v>0</v>
      </c>
      <c r="AB812" s="24">
        <v>0</v>
      </c>
      <c r="AC812" s="30">
        <f t="shared" si="338"/>
        <v>0</v>
      </c>
      <c r="AD812" s="28"/>
      <c r="AE812" s="12"/>
      <c r="AF812" s="29"/>
      <c r="AG812" s="9"/>
      <c r="AH812" s="10"/>
      <c r="AI812" s="9"/>
      <c r="AJ812" s="11"/>
      <c r="AK812" s="9"/>
      <c r="AL812" s="13"/>
      <c r="AM812" s="9"/>
    </row>
    <row r="813" spans="1:39" x14ac:dyDescent="0.3">
      <c r="A813" s="2" t="str">
        <f t="shared" si="336"/>
        <v>SIM</v>
      </c>
      <c r="B813" s="2" t="str">
        <f>_xlfn.XLOOKUP($N813,'Base de Grupos'!$A:$A,'Base de Grupos'!$D:$D)</f>
        <v>1000065763</v>
      </c>
      <c r="C813" s="5" t="str">
        <f>_xlfn.XLOOKUP($N813,'Base de Grupos'!$A:$A,'Base de Grupos'!$E:$E)</f>
        <v>CANAL VENDA INTERNA</v>
      </c>
      <c r="D813" s="5" t="str">
        <f>_xlfn.XLOOKUP($N813,'Base de Grupos'!$A:$A,'Base de Grupos'!$F:$F)</f>
        <v>1000065763</v>
      </c>
      <c r="E813" s="2" t="str">
        <f>_xlfn.XLOOKUP($N813,'Base de Grupos'!$A:$A,'Base de Grupos'!$G:$G)</f>
        <v>CANAL VENDA INTERNA</v>
      </c>
      <c r="F813" s="2" t="str">
        <f>_xlfn.XLOOKUP($N813,'Base de Grupos'!$A:$A,'Base de Grupos'!$H:$H)</f>
        <v>1000174119</v>
      </c>
      <c r="G813" s="5" t="str">
        <f>_xlfn.XLOOKUP($N813,'Base de Grupos'!$A:$A,'Base de Grupos'!$I:$I)</f>
        <v>REGIONAL VENDA INTERNA - CONVENIENCIA</v>
      </c>
      <c r="H813" s="5" t="str">
        <f>_xlfn.XLOOKUP($N813,'Base de Grupos'!$A:$A,'Base de Grupos'!$J:$J)</f>
        <v>1000174119</v>
      </c>
      <c r="I813" s="2" t="str">
        <f>_xlfn.XLOOKUP($N813,'Base de Grupos'!$A:$A,'Base de Grupos'!$K:$K)</f>
        <v>REGIONAL VENDA INTERNA - CONVENIENCIA</v>
      </c>
      <c r="J813" s="2" t="str">
        <f>_xlfn.XLOOKUP($N813,'Base de Grupos'!$A:$A,'Base de Grupos'!$L:$L)</f>
        <v>1000174119</v>
      </c>
      <c r="K813" s="5" t="str">
        <f>_xlfn.XLOOKUP($N813,'Base de Grupos'!$A:$A,'Base de Grupos'!$M:$M)</f>
        <v>REGIONAL VENDA INTERNA - CONVENIENCIA</v>
      </c>
      <c r="L813" s="5">
        <f t="shared" si="337"/>
        <v>1</v>
      </c>
      <c r="M813" s="5" t="str">
        <f>_xlfn.XLOOKUP($N813,'Base de Grupos'!$A:$A,'Base de Grupos'!$C:$C)</f>
        <v>BA</v>
      </c>
      <c r="N813" s="3">
        <v>1510</v>
      </c>
      <c r="O813" s="4" t="s">
        <v>269</v>
      </c>
      <c r="P813" s="5" t="s">
        <v>339</v>
      </c>
      <c r="Q813" s="24">
        <v>0</v>
      </c>
      <c r="R813" s="24">
        <v>0</v>
      </c>
      <c r="S813" s="24">
        <v>0</v>
      </c>
      <c r="T813" s="24">
        <v>0</v>
      </c>
      <c r="U813" s="24">
        <v>0</v>
      </c>
      <c r="V813" s="24">
        <v>0</v>
      </c>
      <c r="W813" s="24">
        <v>0</v>
      </c>
      <c r="X813" s="24">
        <v>0</v>
      </c>
      <c r="Y813" s="24">
        <v>0</v>
      </c>
      <c r="Z813" s="24">
        <v>0</v>
      </c>
      <c r="AA813" s="24">
        <v>0</v>
      </c>
      <c r="AB813" s="24">
        <v>0</v>
      </c>
      <c r="AC813" s="30">
        <f t="shared" si="338"/>
        <v>0</v>
      </c>
      <c r="AD813" s="28"/>
      <c r="AE813" s="12"/>
      <c r="AF813" s="29"/>
      <c r="AG813" s="9"/>
      <c r="AH813" s="10"/>
      <c r="AI813" s="9"/>
      <c r="AJ813" s="11"/>
      <c r="AK813" s="9"/>
      <c r="AL813" s="13"/>
      <c r="AM813" s="9"/>
    </row>
    <row r="814" spans="1:39" x14ac:dyDescent="0.3">
      <c r="A814" s="2" t="str">
        <f t="shared" si="336"/>
        <v>NÃO</v>
      </c>
      <c r="B814" s="2" t="str">
        <f>_xlfn.XLOOKUP($N814,'Base de Grupos'!$A:$A,'Base de Grupos'!$D:$D)</f>
        <v>1000065763</v>
      </c>
      <c r="C814" s="5" t="str">
        <f>_xlfn.XLOOKUP($N814,'Base de Grupos'!$A:$A,'Base de Grupos'!$E:$E)</f>
        <v>CANAL VENDA INTERNA</v>
      </c>
      <c r="D814" s="5" t="str">
        <f>_xlfn.XLOOKUP($N814,'Base de Grupos'!$A:$A,'Base de Grupos'!$F:$F)</f>
        <v>1000065763</v>
      </c>
      <c r="E814" s="2" t="str">
        <f>_xlfn.XLOOKUP($N814,'Base de Grupos'!$A:$A,'Base de Grupos'!$G:$G)</f>
        <v>CANAL VENDA INTERNA</v>
      </c>
      <c r="F814" s="2" t="str">
        <f>_xlfn.XLOOKUP($N814,'Base de Grupos'!$A:$A,'Base de Grupos'!$H:$H)</f>
        <v>1000174119</v>
      </c>
      <c r="G814" s="5" t="str">
        <f>_xlfn.XLOOKUP($N814,'Base de Grupos'!$A:$A,'Base de Grupos'!$I:$I)</f>
        <v>REGIONAL VENDA INTERNA - CONVENIENCIA</v>
      </c>
      <c r="H814" s="5" t="str">
        <f>_xlfn.XLOOKUP($N814,'Base de Grupos'!$A:$A,'Base de Grupos'!$J:$J)</f>
        <v>1000174119</v>
      </c>
      <c r="I814" s="2" t="str">
        <f>_xlfn.XLOOKUP($N814,'Base de Grupos'!$A:$A,'Base de Grupos'!$K:$K)</f>
        <v>REGIONAL VENDA INTERNA - CONVENIENCIA</v>
      </c>
      <c r="J814" s="2" t="str">
        <f>_xlfn.XLOOKUP($N814,'Base de Grupos'!$A:$A,'Base de Grupos'!$L:$L)</f>
        <v>1000174119</v>
      </c>
      <c r="K814" s="5" t="str">
        <f>_xlfn.XLOOKUP($N814,'Base de Grupos'!$A:$A,'Base de Grupos'!$M:$M)</f>
        <v>REGIONAL VENDA INTERNA - CONVENIENCIA</v>
      </c>
      <c r="L814" s="5" t="str">
        <f t="shared" si="337"/>
        <v/>
      </c>
      <c r="M814" s="5" t="str">
        <f>_xlfn.XLOOKUP($N814,'Base de Grupos'!$A:$A,'Base de Grupos'!$C:$C)</f>
        <v>BA</v>
      </c>
      <c r="N814" s="3">
        <v>1510</v>
      </c>
      <c r="O814" s="4" t="s">
        <v>269</v>
      </c>
      <c r="P814" s="5" t="s">
        <v>81</v>
      </c>
      <c r="Q814" s="24">
        <v>0</v>
      </c>
      <c r="R814" s="24">
        <v>0</v>
      </c>
      <c r="S814" s="24">
        <v>0</v>
      </c>
      <c r="T814" s="24">
        <v>0</v>
      </c>
      <c r="U814" s="24">
        <v>0</v>
      </c>
      <c r="V814" s="24">
        <v>0</v>
      </c>
      <c r="W814" s="24">
        <v>0</v>
      </c>
      <c r="X814" s="24">
        <v>0</v>
      </c>
      <c r="Y814" s="24">
        <v>0</v>
      </c>
      <c r="Z814" s="24">
        <v>0</v>
      </c>
      <c r="AA814" s="24">
        <v>0</v>
      </c>
      <c r="AB814" s="24">
        <v>0</v>
      </c>
      <c r="AC814" s="30">
        <f t="shared" si="338"/>
        <v>0</v>
      </c>
      <c r="AD814" s="28"/>
      <c r="AE814" s="12"/>
      <c r="AF814" s="29"/>
      <c r="AG814" s="9"/>
      <c r="AH814" s="10"/>
      <c r="AI814" s="9"/>
      <c r="AJ814" s="11"/>
      <c r="AK814" s="9"/>
      <c r="AL814" s="13"/>
      <c r="AM814" s="9"/>
    </row>
    <row r="815" spans="1:39" x14ac:dyDescent="0.3">
      <c r="A815" s="2" t="str">
        <f t="shared" si="336"/>
        <v>NÃO</v>
      </c>
      <c r="B815" s="2" t="str">
        <f>_xlfn.XLOOKUP($N815,'Base de Grupos'!$A:$A,'Base de Grupos'!$D:$D)</f>
        <v>1000065763</v>
      </c>
      <c r="C815" s="5" t="str">
        <f>_xlfn.XLOOKUP($N815,'Base de Grupos'!$A:$A,'Base de Grupos'!$E:$E)</f>
        <v>CANAL VENDA INTERNA</v>
      </c>
      <c r="D815" s="5" t="str">
        <f>_xlfn.XLOOKUP($N815,'Base de Grupos'!$A:$A,'Base de Grupos'!$F:$F)</f>
        <v>1000065763</v>
      </c>
      <c r="E815" s="2" t="str">
        <f>_xlfn.XLOOKUP($N815,'Base de Grupos'!$A:$A,'Base de Grupos'!$G:$G)</f>
        <v>CANAL VENDA INTERNA</v>
      </c>
      <c r="F815" s="2" t="str">
        <f>_xlfn.XLOOKUP($N815,'Base de Grupos'!$A:$A,'Base de Grupos'!$H:$H)</f>
        <v>1000174119</v>
      </c>
      <c r="G815" s="5" t="str">
        <f>_xlfn.XLOOKUP($N815,'Base de Grupos'!$A:$A,'Base de Grupos'!$I:$I)</f>
        <v>REGIONAL VENDA INTERNA - CONVENIENCIA</v>
      </c>
      <c r="H815" s="5" t="str">
        <f>_xlfn.XLOOKUP($N815,'Base de Grupos'!$A:$A,'Base de Grupos'!$J:$J)</f>
        <v>1000174119</v>
      </c>
      <c r="I815" s="2" t="str">
        <f>_xlfn.XLOOKUP($N815,'Base de Grupos'!$A:$A,'Base de Grupos'!$K:$K)</f>
        <v>REGIONAL VENDA INTERNA - CONVENIENCIA</v>
      </c>
      <c r="J815" s="2" t="str">
        <f>_xlfn.XLOOKUP($N815,'Base de Grupos'!$A:$A,'Base de Grupos'!$L:$L)</f>
        <v>1000174119</v>
      </c>
      <c r="K815" s="5" t="str">
        <f>_xlfn.XLOOKUP($N815,'Base de Grupos'!$A:$A,'Base de Grupos'!$M:$M)</f>
        <v>REGIONAL VENDA INTERNA - CONVENIENCIA</v>
      </c>
      <c r="L815" s="5" t="str">
        <f t="shared" si="337"/>
        <v/>
      </c>
      <c r="M815" s="5" t="str">
        <f>_xlfn.XLOOKUP($N815,'Base de Grupos'!$A:$A,'Base de Grupos'!$C:$C)</f>
        <v>BA</v>
      </c>
      <c r="N815" s="3">
        <v>1510</v>
      </c>
      <c r="O815" s="4" t="s">
        <v>269</v>
      </c>
      <c r="P815" s="5" t="s">
        <v>82</v>
      </c>
      <c r="Q815" s="24">
        <v>0</v>
      </c>
      <c r="R815" s="24">
        <v>0</v>
      </c>
      <c r="S815" s="24">
        <v>0</v>
      </c>
      <c r="T815" s="24">
        <v>0</v>
      </c>
      <c r="U815" s="24">
        <v>0</v>
      </c>
      <c r="V815" s="24">
        <v>0</v>
      </c>
      <c r="W815" s="24">
        <v>0</v>
      </c>
      <c r="X815" s="24">
        <v>0</v>
      </c>
      <c r="Y815" s="24">
        <v>0</v>
      </c>
      <c r="Z815" s="24">
        <v>0</v>
      </c>
      <c r="AA815" s="24">
        <v>0</v>
      </c>
      <c r="AB815" s="24">
        <v>0</v>
      </c>
      <c r="AC815" s="30">
        <f t="shared" si="338"/>
        <v>0</v>
      </c>
      <c r="AD815" s="28"/>
      <c r="AE815" s="12"/>
      <c r="AF815" s="29"/>
      <c r="AG815" s="9"/>
      <c r="AH815" s="10"/>
      <c r="AI815" s="9"/>
      <c r="AJ815" s="11"/>
      <c r="AK815" s="9"/>
      <c r="AL815" s="13"/>
      <c r="AM815" s="9"/>
    </row>
    <row r="816" spans="1:39" x14ac:dyDescent="0.3">
      <c r="A816" s="2" t="str">
        <f t="shared" si="336"/>
        <v>NÃO</v>
      </c>
      <c r="B816" s="2" t="str">
        <f>_xlfn.XLOOKUP($N816,'Base de Grupos'!$A:$A,'Base de Grupos'!$D:$D)</f>
        <v>1000065763</v>
      </c>
      <c r="C816" s="5" t="str">
        <f>_xlfn.XLOOKUP($N816,'Base de Grupos'!$A:$A,'Base de Grupos'!$E:$E)</f>
        <v>CANAL VENDA INTERNA</v>
      </c>
      <c r="D816" s="5" t="str">
        <f>_xlfn.XLOOKUP($N816,'Base de Grupos'!$A:$A,'Base de Grupos'!$F:$F)</f>
        <v>1000065763</v>
      </c>
      <c r="E816" s="2" t="str">
        <f>_xlfn.XLOOKUP($N816,'Base de Grupos'!$A:$A,'Base de Grupos'!$G:$G)</f>
        <v>CANAL VENDA INTERNA</v>
      </c>
      <c r="F816" s="2" t="str">
        <f>_xlfn.XLOOKUP($N816,'Base de Grupos'!$A:$A,'Base de Grupos'!$H:$H)</f>
        <v>1000174119</v>
      </c>
      <c r="G816" s="5" t="str">
        <f>_xlfn.XLOOKUP($N816,'Base de Grupos'!$A:$A,'Base de Grupos'!$I:$I)</f>
        <v>REGIONAL VENDA INTERNA - CONVENIENCIA</v>
      </c>
      <c r="H816" s="5" t="str">
        <f>_xlfn.XLOOKUP($N816,'Base de Grupos'!$A:$A,'Base de Grupos'!$J:$J)</f>
        <v>1000174119</v>
      </c>
      <c r="I816" s="2" t="str">
        <f>_xlfn.XLOOKUP($N816,'Base de Grupos'!$A:$A,'Base de Grupos'!$K:$K)</f>
        <v>REGIONAL VENDA INTERNA - CONVENIENCIA</v>
      </c>
      <c r="J816" s="2" t="str">
        <f>_xlfn.XLOOKUP($N816,'Base de Grupos'!$A:$A,'Base de Grupos'!$L:$L)</f>
        <v>1000174119</v>
      </c>
      <c r="K816" s="5" t="str">
        <f>_xlfn.XLOOKUP($N816,'Base de Grupos'!$A:$A,'Base de Grupos'!$M:$M)</f>
        <v>REGIONAL VENDA INTERNA - CONVENIENCIA</v>
      </c>
      <c r="L816" s="5" t="str">
        <f t="shared" si="337"/>
        <v/>
      </c>
      <c r="M816" s="5" t="str">
        <f>_xlfn.XLOOKUP($N816,'Base de Grupos'!$A:$A,'Base de Grupos'!$C:$C)</f>
        <v>BA</v>
      </c>
      <c r="N816" s="3">
        <v>1510</v>
      </c>
      <c r="O816" s="4" t="s">
        <v>269</v>
      </c>
      <c r="P816" s="5" t="s">
        <v>84</v>
      </c>
      <c r="Q816" s="24">
        <v>0</v>
      </c>
      <c r="R816" s="24">
        <v>0</v>
      </c>
      <c r="S816" s="24">
        <v>0</v>
      </c>
      <c r="T816" s="24">
        <v>0</v>
      </c>
      <c r="U816" s="24">
        <v>0</v>
      </c>
      <c r="V816" s="24">
        <v>0</v>
      </c>
      <c r="W816" s="24">
        <v>0</v>
      </c>
      <c r="X816" s="24">
        <v>0</v>
      </c>
      <c r="Y816" s="24">
        <v>0</v>
      </c>
      <c r="Z816" s="24">
        <v>0</v>
      </c>
      <c r="AA816" s="24">
        <v>0</v>
      </c>
      <c r="AB816" s="24">
        <v>0</v>
      </c>
      <c r="AC816" s="30">
        <f t="shared" si="338"/>
        <v>0</v>
      </c>
      <c r="AD816" s="28"/>
      <c r="AE816" s="12"/>
      <c r="AF816" s="29"/>
      <c r="AG816" s="9"/>
      <c r="AH816" s="10"/>
      <c r="AI816" s="9"/>
      <c r="AJ816" s="11"/>
      <c r="AK816" s="9"/>
      <c r="AL816" s="13"/>
      <c r="AM816" s="9"/>
    </row>
    <row r="817" spans="1:39" x14ac:dyDescent="0.3">
      <c r="A817" s="2" t="str">
        <f t="shared" si="336"/>
        <v>NÃO</v>
      </c>
      <c r="B817" s="2" t="str">
        <f>_xlfn.XLOOKUP($N817,'Base de Grupos'!$A:$A,'Base de Grupos'!$D:$D)</f>
        <v>1000065763</v>
      </c>
      <c r="C817" s="5" t="str">
        <f>_xlfn.XLOOKUP($N817,'Base de Grupos'!$A:$A,'Base de Grupos'!$E:$E)</f>
        <v>CANAL VENDA INTERNA</v>
      </c>
      <c r="D817" s="5" t="str">
        <f>_xlfn.XLOOKUP($N817,'Base de Grupos'!$A:$A,'Base de Grupos'!$F:$F)</f>
        <v>1000065763</v>
      </c>
      <c r="E817" s="2" t="str">
        <f>_xlfn.XLOOKUP($N817,'Base de Grupos'!$A:$A,'Base de Grupos'!$G:$G)</f>
        <v>CANAL VENDA INTERNA</v>
      </c>
      <c r="F817" s="2" t="str">
        <f>_xlfn.XLOOKUP($N817,'Base de Grupos'!$A:$A,'Base de Grupos'!$H:$H)</f>
        <v>1000174119</v>
      </c>
      <c r="G817" s="5" t="str">
        <f>_xlfn.XLOOKUP($N817,'Base de Grupos'!$A:$A,'Base de Grupos'!$I:$I)</f>
        <v>REGIONAL VENDA INTERNA - CONVENIENCIA</v>
      </c>
      <c r="H817" s="5" t="str">
        <f>_xlfn.XLOOKUP($N817,'Base de Grupos'!$A:$A,'Base de Grupos'!$J:$J)</f>
        <v>1000174119</v>
      </c>
      <c r="I817" s="2" t="str">
        <f>_xlfn.XLOOKUP($N817,'Base de Grupos'!$A:$A,'Base de Grupos'!$K:$K)</f>
        <v>REGIONAL VENDA INTERNA - CONVENIENCIA</v>
      </c>
      <c r="J817" s="2" t="str">
        <f>_xlfn.XLOOKUP($N817,'Base de Grupos'!$A:$A,'Base de Grupos'!$L:$L)</f>
        <v>1000174119</v>
      </c>
      <c r="K817" s="5" t="str">
        <f>_xlfn.XLOOKUP($N817,'Base de Grupos'!$A:$A,'Base de Grupos'!$M:$M)</f>
        <v>REGIONAL VENDA INTERNA - CONVENIENCIA</v>
      </c>
      <c r="L817" s="5" t="str">
        <f t="shared" si="337"/>
        <v/>
      </c>
      <c r="M817" s="5" t="str">
        <f>_xlfn.XLOOKUP($N817,'Base de Grupos'!$A:$A,'Base de Grupos'!$C:$C)</f>
        <v>BA</v>
      </c>
      <c r="N817" s="3">
        <v>1510</v>
      </c>
      <c r="O817" s="4" t="s">
        <v>269</v>
      </c>
      <c r="P817" s="5" t="s">
        <v>83</v>
      </c>
      <c r="Q817" s="24">
        <v>0</v>
      </c>
      <c r="R817" s="24">
        <v>0</v>
      </c>
      <c r="S817" s="24">
        <v>0</v>
      </c>
      <c r="T817" s="24">
        <v>0</v>
      </c>
      <c r="U817" s="24">
        <v>0</v>
      </c>
      <c r="V817" s="24">
        <v>0</v>
      </c>
      <c r="W817" s="24">
        <v>0</v>
      </c>
      <c r="X817" s="24">
        <v>0</v>
      </c>
      <c r="Y817" s="24">
        <v>0</v>
      </c>
      <c r="Z817" s="24">
        <v>0</v>
      </c>
      <c r="AA817" s="24">
        <v>0</v>
      </c>
      <c r="AB817" s="24">
        <v>0</v>
      </c>
      <c r="AC817" s="30">
        <f t="shared" si="338"/>
        <v>0</v>
      </c>
      <c r="AD817" s="28"/>
      <c r="AE817" s="12"/>
      <c r="AF817" s="29"/>
      <c r="AG817" s="9"/>
      <c r="AH817" s="10"/>
      <c r="AI817" s="9"/>
      <c r="AJ817" s="11"/>
      <c r="AK817" s="9"/>
      <c r="AL817" s="13"/>
      <c r="AM817" s="9"/>
    </row>
    <row r="818" spans="1:39" x14ac:dyDescent="0.3">
      <c r="A818" s="2" t="str">
        <f t="shared" si="336"/>
        <v>NÃO</v>
      </c>
      <c r="B818" s="2" t="str">
        <f>_xlfn.XLOOKUP($N818,'Base de Grupos'!$A:$A,'Base de Grupos'!$D:$D)</f>
        <v>1000065763</v>
      </c>
      <c r="C818" s="5" t="str">
        <f>_xlfn.XLOOKUP($N818,'Base de Grupos'!$A:$A,'Base de Grupos'!$E:$E)</f>
        <v>CANAL VENDA INTERNA</v>
      </c>
      <c r="D818" s="5" t="str">
        <f>_xlfn.XLOOKUP($N818,'Base de Grupos'!$A:$A,'Base de Grupos'!$F:$F)</f>
        <v>1000065763</v>
      </c>
      <c r="E818" s="2" t="str">
        <f>_xlfn.XLOOKUP($N818,'Base de Grupos'!$A:$A,'Base de Grupos'!$G:$G)</f>
        <v>CANAL VENDA INTERNA</v>
      </c>
      <c r="F818" s="2" t="str">
        <f>_xlfn.XLOOKUP($N818,'Base de Grupos'!$A:$A,'Base de Grupos'!$H:$H)</f>
        <v>1000174119</v>
      </c>
      <c r="G818" s="5" t="str">
        <f>_xlfn.XLOOKUP($N818,'Base de Grupos'!$A:$A,'Base de Grupos'!$I:$I)</f>
        <v>REGIONAL VENDA INTERNA - CONVENIENCIA</v>
      </c>
      <c r="H818" s="5" t="str">
        <f>_xlfn.XLOOKUP($N818,'Base de Grupos'!$A:$A,'Base de Grupos'!$J:$J)</f>
        <v>1000174119</v>
      </c>
      <c r="I818" s="2" t="str">
        <f>_xlfn.XLOOKUP($N818,'Base de Grupos'!$A:$A,'Base de Grupos'!$K:$K)</f>
        <v>REGIONAL VENDA INTERNA - CONVENIENCIA</v>
      </c>
      <c r="J818" s="2" t="str">
        <f>_xlfn.XLOOKUP($N818,'Base de Grupos'!$A:$A,'Base de Grupos'!$L:$L)</f>
        <v>1000174119</v>
      </c>
      <c r="K818" s="5" t="str">
        <f>_xlfn.XLOOKUP($N818,'Base de Grupos'!$A:$A,'Base de Grupos'!$M:$M)</f>
        <v>REGIONAL VENDA INTERNA - CONVENIENCIA</v>
      </c>
      <c r="L818" s="5" t="str">
        <f t="shared" si="337"/>
        <v/>
      </c>
      <c r="M818" s="5" t="str">
        <f>_xlfn.XLOOKUP($N818,'Base de Grupos'!$A:$A,'Base de Grupos'!$C:$C)</f>
        <v>BA</v>
      </c>
      <c r="N818" s="3">
        <v>1510</v>
      </c>
      <c r="O818" s="4" t="s">
        <v>269</v>
      </c>
      <c r="P818" s="5" t="s">
        <v>87</v>
      </c>
      <c r="Q818" s="24">
        <v>0</v>
      </c>
      <c r="R818" s="24">
        <v>0</v>
      </c>
      <c r="S818" s="24">
        <v>0</v>
      </c>
      <c r="T818" s="24">
        <v>0</v>
      </c>
      <c r="U818" s="24">
        <v>0</v>
      </c>
      <c r="V818" s="24">
        <v>0</v>
      </c>
      <c r="W818" s="24">
        <v>0</v>
      </c>
      <c r="X818" s="24">
        <v>0</v>
      </c>
      <c r="Y818" s="24">
        <v>0</v>
      </c>
      <c r="Z818" s="24">
        <v>0</v>
      </c>
      <c r="AA818" s="24">
        <v>0</v>
      </c>
      <c r="AB818" s="24">
        <v>0</v>
      </c>
      <c r="AC818" s="30">
        <f t="shared" si="338"/>
        <v>0</v>
      </c>
      <c r="AD818" s="28"/>
      <c r="AE818" s="12"/>
      <c r="AF818" s="29"/>
      <c r="AG818" s="9"/>
      <c r="AH818" s="10"/>
      <c r="AI818" s="9"/>
      <c r="AJ818" s="11"/>
      <c r="AK818" s="9"/>
      <c r="AL818" s="13"/>
      <c r="AM818" s="9"/>
    </row>
    <row r="819" spans="1:39" x14ac:dyDescent="0.3">
      <c r="A819" s="2" t="str">
        <f t="shared" si="336"/>
        <v>NÃO</v>
      </c>
      <c r="B819" s="2" t="str">
        <f>_xlfn.XLOOKUP($N819,'Base de Grupos'!$A:$A,'Base de Grupos'!$D:$D)</f>
        <v>1000065763</v>
      </c>
      <c r="C819" s="5" t="str">
        <f>_xlfn.XLOOKUP($N819,'Base de Grupos'!$A:$A,'Base de Grupos'!$E:$E)</f>
        <v>CANAL VENDA INTERNA</v>
      </c>
      <c r="D819" s="5" t="str">
        <f>_xlfn.XLOOKUP($N819,'Base de Grupos'!$A:$A,'Base de Grupos'!$F:$F)</f>
        <v>1000065763</v>
      </c>
      <c r="E819" s="2" t="str">
        <f>_xlfn.XLOOKUP($N819,'Base de Grupos'!$A:$A,'Base de Grupos'!$G:$G)</f>
        <v>CANAL VENDA INTERNA</v>
      </c>
      <c r="F819" s="2" t="str">
        <f>_xlfn.XLOOKUP($N819,'Base de Grupos'!$A:$A,'Base de Grupos'!$H:$H)</f>
        <v>1000174119</v>
      </c>
      <c r="G819" s="5" t="str">
        <f>_xlfn.XLOOKUP($N819,'Base de Grupos'!$A:$A,'Base de Grupos'!$I:$I)</f>
        <v>REGIONAL VENDA INTERNA - CONVENIENCIA</v>
      </c>
      <c r="H819" s="5" t="str">
        <f>_xlfn.XLOOKUP($N819,'Base de Grupos'!$A:$A,'Base de Grupos'!$J:$J)</f>
        <v>1000174119</v>
      </c>
      <c r="I819" s="2" t="str">
        <f>_xlfn.XLOOKUP($N819,'Base de Grupos'!$A:$A,'Base de Grupos'!$K:$K)</f>
        <v>REGIONAL VENDA INTERNA - CONVENIENCIA</v>
      </c>
      <c r="J819" s="2" t="str">
        <f>_xlfn.XLOOKUP($N819,'Base de Grupos'!$A:$A,'Base de Grupos'!$L:$L)</f>
        <v>1000174119</v>
      </c>
      <c r="K819" s="5" t="str">
        <f>_xlfn.XLOOKUP($N819,'Base de Grupos'!$A:$A,'Base de Grupos'!$M:$M)</f>
        <v>REGIONAL VENDA INTERNA - CONVENIENCIA</v>
      </c>
      <c r="L819" s="5" t="str">
        <f t="shared" si="337"/>
        <v/>
      </c>
      <c r="M819" s="5" t="str">
        <f>_xlfn.XLOOKUP($N819,'Base de Grupos'!$A:$A,'Base de Grupos'!$C:$C)</f>
        <v>BA</v>
      </c>
      <c r="N819" s="3">
        <v>1510</v>
      </c>
      <c r="O819" s="4" t="s">
        <v>269</v>
      </c>
      <c r="P819" s="5" t="s">
        <v>85</v>
      </c>
      <c r="Q819" s="24">
        <v>0</v>
      </c>
      <c r="R819" s="24">
        <v>0</v>
      </c>
      <c r="S819" s="24">
        <v>0</v>
      </c>
      <c r="T819" s="24">
        <v>0</v>
      </c>
      <c r="U819" s="24">
        <v>0</v>
      </c>
      <c r="V819" s="24">
        <v>0</v>
      </c>
      <c r="W819" s="24">
        <v>0</v>
      </c>
      <c r="X819" s="24">
        <v>0</v>
      </c>
      <c r="Y819" s="24">
        <v>0</v>
      </c>
      <c r="Z819" s="24">
        <v>0</v>
      </c>
      <c r="AA819" s="24">
        <v>0</v>
      </c>
      <c r="AB819" s="24">
        <v>0</v>
      </c>
      <c r="AC819" s="30">
        <f t="shared" si="338"/>
        <v>0</v>
      </c>
      <c r="AD819" s="28"/>
      <c r="AE819" s="12"/>
      <c r="AF819" s="29"/>
      <c r="AG819" s="9"/>
      <c r="AH819" s="10"/>
      <c r="AI819" s="9"/>
      <c r="AJ819" s="11"/>
      <c r="AK819" s="9"/>
      <c r="AL819" s="13"/>
      <c r="AM819" s="9"/>
    </row>
    <row r="820" spans="1:39" x14ac:dyDescent="0.3">
      <c r="A820" s="2" t="str">
        <f t="shared" si="336"/>
        <v>NÃO</v>
      </c>
      <c r="B820" s="2" t="str">
        <f>_xlfn.XLOOKUP($N820,'Base de Grupos'!$A:$A,'Base de Grupos'!$D:$D)</f>
        <v>1000065763</v>
      </c>
      <c r="C820" s="5" t="str">
        <f>_xlfn.XLOOKUP($N820,'Base de Grupos'!$A:$A,'Base de Grupos'!$E:$E)</f>
        <v>CANAL VENDA INTERNA</v>
      </c>
      <c r="D820" s="5" t="str">
        <f>_xlfn.XLOOKUP($N820,'Base de Grupos'!$A:$A,'Base de Grupos'!$F:$F)</f>
        <v>1000065763</v>
      </c>
      <c r="E820" s="2" t="str">
        <f>_xlfn.XLOOKUP($N820,'Base de Grupos'!$A:$A,'Base de Grupos'!$G:$G)</f>
        <v>CANAL VENDA INTERNA</v>
      </c>
      <c r="F820" s="2" t="str">
        <f>_xlfn.XLOOKUP($N820,'Base de Grupos'!$A:$A,'Base de Grupos'!$H:$H)</f>
        <v>1000174119</v>
      </c>
      <c r="G820" s="5" t="str">
        <f>_xlfn.XLOOKUP($N820,'Base de Grupos'!$A:$A,'Base de Grupos'!$I:$I)</f>
        <v>REGIONAL VENDA INTERNA - CONVENIENCIA</v>
      </c>
      <c r="H820" s="5" t="str">
        <f>_xlfn.XLOOKUP($N820,'Base de Grupos'!$A:$A,'Base de Grupos'!$J:$J)</f>
        <v>1000174119</v>
      </c>
      <c r="I820" s="2" t="str">
        <f>_xlfn.XLOOKUP($N820,'Base de Grupos'!$A:$A,'Base de Grupos'!$K:$K)</f>
        <v>REGIONAL VENDA INTERNA - CONVENIENCIA</v>
      </c>
      <c r="J820" s="2" t="str">
        <f>_xlfn.XLOOKUP($N820,'Base de Grupos'!$A:$A,'Base de Grupos'!$L:$L)</f>
        <v>1000174119</v>
      </c>
      <c r="K820" s="5" t="str">
        <f>_xlfn.XLOOKUP($N820,'Base de Grupos'!$A:$A,'Base de Grupos'!$M:$M)</f>
        <v>REGIONAL VENDA INTERNA - CONVENIENCIA</v>
      </c>
      <c r="L820" s="5" t="str">
        <f t="shared" si="337"/>
        <v/>
      </c>
      <c r="M820" s="5" t="str">
        <f>_xlfn.XLOOKUP($N820,'Base de Grupos'!$A:$A,'Base de Grupos'!$C:$C)</f>
        <v>BA</v>
      </c>
      <c r="N820" s="3">
        <v>1510</v>
      </c>
      <c r="O820" s="4" t="s">
        <v>269</v>
      </c>
      <c r="P820" s="5" t="s">
        <v>92</v>
      </c>
      <c r="Q820" s="24">
        <v>0</v>
      </c>
      <c r="R820" s="24">
        <v>0</v>
      </c>
      <c r="S820" s="24">
        <v>0</v>
      </c>
      <c r="T820" s="24">
        <v>0</v>
      </c>
      <c r="U820" s="24">
        <v>0</v>
      </c>
      <c r="V820" s="24">
        <v>0</v>
      </c>
      <c r="W820" s="24">
        <v>0</v>
      </c>
      <c r="X820" s="24">
        <v>0</v>
      </c>
      <c r="Y820" s="24">
        <v>0</v>
      </c>
      <c r="Z820" s="24">
        <v>0</v>
      </c>
      <c r="AA820" s="24">
        <v>0</v>
      </c>
      <c r="AB820" s="24">
        <v>0</v>
      </c>
      <c r="AC820" s="30">
        <f t="shared" si="338"/>
        <v>0</v>
      </c>
      <c r="AD820" s="28"/>
      <c r="AE820" s="12"/>
      <c r="AF820" s="29"/>
      <c r="AG820" s="9"/>
      <c r="AH820" s="10"/>
      <c r="AI820" s="9"/>
      <c r="AJ820" s="11"/>
      <c r="AK820" s="9"/>
      <c r="AL820" s="13"/>
      <c r="AM820" s="9"/>
    </row>
    <row r="821" spans="1:39" x14ac:dyDescent="0.3">
      <c r="A821" s="2" t="str">
        <f t="shared" si="336"/>
        <v>NÃO</v>
      </c>
      <c r="B821" s="2" t="str">
        <f>_xlfn.XLOOKUP($N821,'Base de Grupos'!$A:$A,'Base de Grupos'!$D:$D)</f>
        <v>1000065763</v>
      </c>
      <c r="C821" s="5" t="str">
        <f>_xlfn.XLOOKUP($N821,'Base de Grupos'!$A:$A,'Base de Grupos'!$E:$E)</f>
        <v>CANAL VENDA INTERNA</v>
      </c>
      <c r="D821" s="5" t="str">
        <f>_xlfn.XLOOKUP($N821,'Base de Grupos'!$A:$A,'Base de Grupos'!$F:$F)</f>
        <v>1000065763</v>
      </c>
      <c r="E821" s="2" t="str">
        <f>_xlfn.XLOOKUP($N821,'Base de Grupos'!$A:$A,'Base de Grupos'!$G:$G)</f>
        <v>CANAL VENDA INTERNA</v>
      </c>
      <c r="F821" s="2" t="str">
        <f>_xlfn.XLOOKUP($N821,'Base de Grupos'!$A:$A,'Base de Grupos'!$H:$H)</f>
        <v>1000174119</v>
      </c>
      <c r="G821" s="5" t="str">
        <f>_xlfn.XLOOKUP($N821,'Base de Grupos'!$A:$A,'Base de Grupos'!$I:$I)</f>
        <v>REGIONAL VENDA INTERNA - CONVENIENCIA</v>
      </c>
      <c r="H821" s="5" t="str">
        <f>_xlfn.XLOOKUP($N821,'Base de Grupos'!$A:$A,'Base de Grupos'!$J:$J)</f>
        <v>1000174119</v>
      </c>
      <c r="I821" s="2" t="str">
        <f>_xlfn.XLOOKUP($N821,'Base de Grupos'!$A:$A,'Base de Grupos'!$K:$K)</f>
        <v>REGIONAL VENDA INTERNA - CONVENIENCIA</v>
      </c>
      <c r="J821" s="2" t="str">
        <f>_xlfn.XLOOKUP($N821,'Base de Grupos'!$A:$A,'Base de Grupos'!$L:$L)</f>
        <v>1000174119</v>
      </c>
      <c r="K821" s="5" t="str">
        <f>_xlfn.XLOOKUP($N821,'Base de Grupos'!$A:$A,'Base de Grupos'!$M:$M)</f>
        <v>REGIONAL VENDA INTERNA - CONVENIENCIA</v>
      </c>
      <c r="L821" s="5" t="str">
        <f t="shared" si="337"/>
        <v/>
      </c>
      <c r="M821" s="5" t="str">
        <f>_xlfn.XLOOKUP($N821,'Base de Grupos'!$A:$A,'Base de Grupos'!$C:$C)</f>
        <v>BA</v>
      </c>
      <c r="N821" s="3">
        <v>1510</v>
      </c>
      <c r="O821" s="4" t="s">
        <v>269</v>
      </c>
      <c r="P821" s="5" t="s">
        <v>86</v>
      </c>
      <c r="Q821" s="24">
        <v>0</v>
      </c>
      <c r="R821" s="24">
        <v>0</v>
      </c>
      <c r="S821" s="24">
        <v>0</v>
      </c>
      <c r="T821" s="24">
        <v>0</v>
      </c>
      <c r="U821" s="24">
        <v>0</v>
      </c>
      <c r="V821" s="24">
        <v>0</v>
      </c>
      <c r="W821" s="24">
        <v>0</v>
      </c>
      <c r="X821" s="24">
        <v>0</v>
      </c>
      <c r="Y821" s="24">
        <v>0</v>
      </c>
      <c r="Z821" s="24">
        <v>0</v>
      </c>
      <c r="AA821" s="24">
        <v>0</v>
      </c>
      <c r="AB821" s="24">
        <v>0</v>
      </c>
      <c r="AC821" s="30">
        <f t="shared" si="338"/>
        <v>0</v>
      </c>
      <c r="AD821" s="28"/>
      <c r="AE821" s="12"/>
      <c r="AF821" s="29"/>
      <c r="AG821" s="9"/>
      <c r="AH821" s="10"/>
      <c r="AI821" s="9"/>
      <c r="AJ821" s="11"/>
      <c r="AK821" s="9"/>
      <c r="AL821" s="13"/>
      <c r="AM821" s="9"/>
    </row>
    <row r="822" spans="1:39" x14ac:dyDescent="0.3">
      <c r="A822" s="2" t="str">
        <f t="shared" si="336"/>
        <v>NÃO</v>
      </c>
      <c r="B822" s="2" t="str">
        <f>_xlfn.XLOOKUP($N822,'Base de Grupos'!$A:$A,'Base de Grupos'!$D:$D)</f>
        <v>1000065763</v>
      </c>
      <c r="C822" s="5" t="str">
        <f>_xlfn.XLOOKUP($N822,'Base de Grupos'!$A:$A,'Base de Grupos'!$E:$E)</f>
        <v>CANAL VENDA INTERNA</v>
      </c>
      <c r="D822" s="5" t="str">
        <f>_xlfn.XLOOKUP($N822,'Base de Grupos'!$A:$A,'Base de Grupos'!$F:$F)</f>
        <v>1000065763</v>
      </c>
      <c r="E822" s="2" t="str">
        <f>_xlfn.XLOOKUP($N822,'Base de Grupos'!$A:$A,'Base de Grupos'!$G:$G)</f>
        <v>CANAL VENDA INTERNA</v>
      </c>
      <c r="F822" s="2" t="str">
        <f>_xlfn.XLOOKUP($N822,'Base de Grupos'!$A:$A,'Base de Grupos'!$H:$H)</f>
        <v>1000174119</v>
      </c>
      <c r="G822" s="5" t="str">
        <f>_xlfn.XLOOKUP($N822,'Base de Grupos'!$A:$A,'Base de Grupos'!$I:$I)</f>
        <v>REGIONAL VENDA INTERNA - CONVENIENCIA</v>
      </c>
      <c r="H822" s="5" t="str">
        <f>_xlfn.XLOOKUP($N822,'Base de Grupos'!$A:$A,'Base de Grupos'!$J:$J)</f>
        <v>1000174119</v>
      </c>
      <c r="I822" s="2" t="str">
        <f>_xlfn.XLOOKUP($N822,'Base de Grupos'!$A:$A,'Base de Grupos'!$K:$K)</f>
        <v>REGIONAL VENDA INTERNA - CONVENIENCIA</v>
      </c>
      <c r="J822" s="2" t="str">
        <f>_xlfn.XLOOKUP($N822,'Base de Grupos'!$A:$A,'Base de Grupos'!$L:$L)</f>
        <v>1000174119</v>
      </c>
      <c r="K822" s="5" t="str">
        <f>_xlfn.XLOOKUP($N822,'Base de Grupos'!$A:$A,'Base de Grupos'!$M:$M)</f>
        <v>REGIONAL VENDA INTERNA - CONVENIENCIA</v>
      </c>
      <c r="L822" s="5" t="str">
        <f t="shared" si="337"/>
        <v/>
      </c>
      <c r="M822" s="5" t="str">
        <f>_xlfn.XLOOKUP($N822,'Base de Grupos'!$A:$A,'Base de Grupos'!$C:$C)</f>
        <v>BA</v>
      </c>
      <c r="N822" s="3">
        <v>1510</v>
      </c>
      <c r="O822" s="4" t="s">
        <v>269</v>
      </c>
      <c r="P822" s="5" t="s">
        <v>108</v>
      </c>
      <c r="Q822" s="24">
        <v>0</v>
      </c>
      <c r="R822" s="24">
        <v>0</v>
      </c>
      <c r="S822" s="24">
        <v>0</v>
      </c>
      <c r="T822" s="24">
        <v>0</v>
      </c>
      <c r="U822" s="24">
        <v>0</v>
      </c>
      <c r="V822" s="24">
        <v>0</v>
      </c>
      <c r="W822" s="24">
        <v>0</v>
      </c>
      <c r="X822" s="24">
        <v>0</v>
      </c>
      <c r="Y822" s="24">
        <v>0</v>
      </c>
      <c r="Z822" s="24">
        <v>0</v>
      </c>
      <c r="AA822" s="24">
        <v>0</v>
      </c>
      <c r="AB822" s="24">
        <v>0</v>
      </c>
      <c r="AC822" s="30">
        <f t="shared" si="338"/>
        <v>0</v>
      </c>
      <c r="AD822" s="28"/>
      <c r="AE822" s="12"/>
      <c r="AF822" s="29"/>
      <c r="AG822" s="9"/>
      <c r="AH822" s="10"/>
      <c r="AI822" s="9"/>
      <c r="AJ822" s="11"/>
      <c r="AK822" s="9"/>
      <c r="AL822" s="13"/>
      <c r="AM822" s="9"/>
    </row>
    <row r="823" spans="1:39" x14ac:dyDescent="0.3">
      <c r="A823" s="2" t="str">
        <f t="shared" si="336"/>
        <v>NÃO</v>
      </c>
      <c r="B823" s="2" t="str">
        <f>_xlfn.XLOOKUP($N823,'Base de Grupos'!$A:$A,'Base de Grupos'!$D:$D)</f>
        <v>1000065763</v>
      </c>
      <c r="C823" s="5" t="str">
        <f>_xlfn.XLOOKUP($N823,'Base de Grupos'!$A:$A,'Base de Grupos'!$E:$E)</f>
        <v>CANAL VENDA INTERNA</v>
      </c>
      <c r="D823" s="5" t="str">
        <f>_xlfn.XLOOKUP($N823,'Base de Grupos'!$A:$A,'Base de Grupos'!$F:$F)</f>
        <v>1000065763</v>
      </c>
      <c r="E823" s="2" t="str">
        <f>_xlfn.XLOOKUP($N823,'Base de Grupos'!$A:$A,'Base de Grupos'!$G:$G)</f>
        <v>CANAL VENDA INTERNA</v>
      </c>
      <c r="F823" s="2" t="str">
        <f>_xlfn.XLOOKUP($N823,'Base de Grupos'!$A:$A,'Base de Grupos'!$H:$H)</f>
        <v>1000174119</v>
      </c>
      <c r="G823" s="5" t="str">
        <f>_xlfn.XLOOKUP($N823,'Base de Grupos'!$A:$A,'Base de Grupos'!$I:$I)</f>
        <v>REGIONAL VENDA INTERNA - CONVENIENCIA</v>
      </c>
      <c r="H823" s="5" t="str">
        <f>_xlfn.XLOOKUP($N823,'Base de Grupos'!$A:$A,'Base de Grupos'!$J:$J)</f>
        <v>1000174119</v>
      </c>
      <c r="I823" s="2" t="str">
        <f>_xlfn.XLOOKUP($N823,'Base de Grupos'!$A:$A,'Base de Grupos'!$K:$K)</f>
        <v>REGIONAL VENDA INTERNA - CONVENIENCIA</v>
      </c>
      <c r="J823" s="2" t="str">
        <f>_xlfn.XLOOKUP($N823,'Base de Grupos'!$A:$A,'Base de Grupos'!$L:$L)</f>
        <v>1000174119</v>
      </c>
      <c r="K823" s="5" t="str">
        <f>_xlfn.XLOOKUP($N823,'Base de Grupos'!$A:$A,'Base de Grupos'!$M:$M)</f>
        <v>REGIONAL VENDA INTERNA - CONVENIENCIA</v>
      </c>
      <c r="L823" s="5" t="str">
        <f t="shared" si="337"/>
        <v/>
      </c>
      <c r="M823" s="5" t="str">
        <f>_xlfn.XLOOKUP($N823,'Base de Grupos'!$A:$A,'Base de Grupos'!$C:$C)</f>
        <v>BA</v>
      </c>
      <c r="N823" s="3">
        <v>1510</v>
      </c>
      <c r="O823" s="4" t="s">
        <v>269</v>
      </c>
      <c r="P823" s="5" t="s">
        <v>89</v>
      </c>
      <c r="Q823" s="24">
        <v>0</v>
      </c>
      <c r="R823" s="24">
        <v>0</v>
      </c>
      <c r="S823" s="24">
        <v>0</v>
      </c>
      <c r="T823" s="24">
        <v>0</v>
      </c>
      <c r="U823" s="24">
        <v>0</v>
      </c>
      <c r="V823" s="24">
        <v>0</v>
      </c>
      <c r="W823" s="24">
        <v>0</v>
      </c>
      <c r="X823" s="24">
        <v>0</v>
      </c>
      <c r="Y823" s="24">
        <v>0</v>
      </c>
      <c r="Z823" s="24">
        <v>0</v>
      </c>
      <c r="AA823" s="24">
        <v>0</v>
      </c>
      <c r="AB823" s="24">
        <v>0</v>
      </c>
      <c r="AC823" s="30">
        <f t="shared" si="338"/>
        <v>0</v>
      </c>
      <c r="AD823" s="28"/>
      <c r="AE823" s="12"/>
      <c r="AF823" s="29"/>
      <c r="AG823" s="9"/>
      <c r="AH823" s="10"/>
      <c r="AI823" s="9"/>
      <c r="AJ823" s="11"/>
      <c r="AK823" s="9"/>
      <c r="AL823" s="13"/>
      <c r="AM823" s="9"/>
    </row>
    <row r="824" spans="1:39" x14ac:dyDescent="0.3">
      <c r="A824" s="2" t="str">
        <f t="shared" si="336"/>
        <v>NÃO</v>
      </c>
      <c r="B824" s="2" t="str">
        <f>_xlfn.XLOOKUP($N824,'Base de Grupos'!$A:$A,'Base de Grupos'!$D:$D)</f>
        <v>1000065763</v>
      </c>
      <c r="C824" s="5" t="str">
        <f>_xlfn.XLOOKUP($N824,'Base de Grupos'!$A:$A,'Base de Grupos'!$E:$E)</f>
        <v>CANAL VENDA INTERNA</v>
      </c>
      <c r="D824" s="5" t="str">
        <f>_xlfn.XLOOKUP($N824,'Base de Grupos'!$A:$A,'Base de Grupos'!$F:$F)</f>
        <v>1000065763</v>
      </c>
      <c r="E824" s="2" t="str">
        <f>_xlfn.XLOOKUP($N824,'Base de Grupos'!$A:$A,'Base de Grupos'!$G:$G)</f>
        <v>CANAL VENDA INTERNA</v>
      </c>
      <c r="F824" s="2" t="str">
        <f>_xlfn.XLOOKUP($N824,'Base de Grupos'!$A:$A,'Base de Grupos'!$H:$H)</f>
        <v>1000174119</v>
      </c>
      <c r="G824" s="5" t="str">
        <f>_xlfn.XLOOKUP($N824,'Base de Grupos'!$A:$A,'Base de Grupos'!$I:$I)</f>
        <v>REGIONAL VENDA INTERNA - CONVENIENCIA</v>
      </c>
      <c r="H824" s="5" t="str">
        <f>_xlfn.XLOOKUP($N824,'Base de Grupos'!$A:$A,'Base de Grupos'!$J:$J)</f>
        <v>1000174119</v>
      </c>
      <c r="I824" s="2" t="str">
        <f>_xlfn.XLOOKUP($N824,'Base de Grupos'!$A:$A,'Base de Grupos'!$K:$K)</f>
        <v>REGIONAL VENDA INTERNA - CONVENIENCIA</v>
      </c>
      <c r="J824" s="2" t="str">
        <f>_xlfn.XLOOKUP($N824,'Base de Grupos'!$A:$A,'Base de Grupos'!$L:$L)</f>
        <v>1000174119</v>
      </c>
      <c r="K824" s="5" t="str">
        <f>_xlfn.XLOOKUP($N824,'Base de Grupos'!$A:$A,'Base de Grupos'!$M:$M)</f>
        <v>REGIONAL VENDA INTERNA - CONVENIENCIA</v>
      </c>
      <c r="L824" s="5" t="str">
        <f t="shared" si="337"/>
        <v/>
      </c>
      <c r="M824" s="5" t="str">
        <f>_xlfn.XLOOKUP($N824,'Base de Grupos'!$A:$A,'Base de Grupos'!$C:$C)</f>
        <v>BA</v>
      </c>
      <c r="N824" s="3">
        <v>1510</v>
      </c>
      <c r="O824" s="4" t="s">
        <v>269</v>
      </c>
      <c r="P824" s="5" t="s">
        <v>88</v>
      </c>
      <c r="Q824" s="24">
        <v>0</v>
      </c>
      <c r="R824" s="24">
        <v>0</v>
      </c>
      <c r="S824" s="24">
        <v>0</v>
      </c>
      <c r="T824" s="24">
        <v>0</v>
      </c>
      <c r="U824" s="24">
        <v>0</v>
      </c>
      <c r="V824" s="24">
        <v>0</v>
      </c>
      <c r="W824" s="24">
        <v>0</v>
      </c>
      <c r="X824" s="24">
        <v>0</v>
      </c>
      <c r="Y824" s="24">
        <v>0</v>
      </c>
      <c r="Z824" s="24">
        <v>0</v>
      </c>
      <c r="AA824" s="24">
        <v>0</v>
      </c>
      <c r="AB824" s="24">
        <v>0</v>
      </c>
      <c r="AC824" s="30">
        <f t="shared" si="338"/>
        <v>0</v>
      </c>
      <c r="AD824" s="28"/>
      <c r="AE824" s="12"/>
      <c r="AF824" s="29"/>
      <c r="AG824" s="9"/>
      <c r="AH824" s="10"/>
      <c r="AI824" s="9"/>
      <c r="AJ824" s="11"/>
      <c r="AK824" s="9"/>
      <c r="AL824" s="13"/>
      <c r="AM824" s="9"/>
    </row>
    <row r="825" spans="1:39" x14ac:dyDescent="0.3">
      <c r="A825" s="2" t="str">
        <f t="shared" si="336"/>
        <v>NÃO</v>
      </c>
      <c r="B825" s="2" t="str">
        <f>_xlfn.XLOOKUP($N825,'Base de Grupos'!$A:$A,'Base de Grupos'!$D:$D)</f>
        <v>1000065763</v>
      </c>
      <c r="C825" s="5" t="str">
        <f>_xlfn.XLOOKUP($N825,'Base de Grupos'!$A:$A,'Base de Grupos'!$E:$E)</f>
        <v>CANAL VENDA INTERNA</v>
      </c>
      <c r="D825" s="5" t="str">
        <f>_xlfn.XLOOKUP($N825,'Base de Grupos'!$A:$A,'Base de Grupos'!$F:$F)</f>
        <v>1000065763</v>
      </c>
      <c r="E825" s="2" t="str">
        <f>_xlfn.XLOOKUP($N825,'Base de Grupos'!$A:$A,'Base de Grupos'!$G:$G)</f>
        <v>CANAL VENDA INTERNA</v>
      </c>
      <c r="F825" s="2" t="str">
        <f>_xlfn.XLOOKUP($N825,'Base de Grupos'!$A:$A,'Base de Grupos'!$H:$H)</f>
        <v>1000174119</v>
      </c>
      <c r="G825" s="5" t="str">
        <f>_xlfn.XLOOKUP($N825,'Base de Grupos'!$A:$A,'Base de Grupos'!$I:$I)</f>
        <v>REGIONAL VENDA INTERNA - CONVENIENCIA</v>
      </c>
      <c r="H825" s="5" t="str">
        <f>_xlfn.XLOOKUP($N825,'Base de Grupos'!$A:$A,'Base de Grupos'!$J:$J)</f>
        <v>1000174119</v>
      </c>
      <c r="I825" s="2" t="str">
        <f>_xlfn.XLOOKUP($N825,'Base de Grupos'!$A:$A,'Base de Grupos'!$K:$K)</f>
        <v>REGIONAL VENDA INTERNA - CONVENIENCIA</v>
      </c>
      <c r="J825" s="2" t="str">
        <f>_xlfn.XLOOKUP($N825,'Base de Grupos'!$A:$A,'Base de Grupos'!$L:$L)</f>
        <v>1000174119</v>
      </c>
      <c r="K825" s="5" t="str">
        <f>_xlfn.XLOOKUP($N825,'Base de Grupos'!$A:$A,'Base de Grupos'!$M:$M)</f>
        <v>REGIONAL VENDA INTERNA - CONVENIENCIA</v>
      </c>
      <c r="L825" s="5" t="str">
        <f t="shared" si="337"/>
        <v/>
      </c>
      <c r="M825" s="5" t="str">
        <f>_xlfn.XLOOKUP($N825,'Base de Grupos'!$A:$A,'Base de Grupos'!$C:$C)</f>
        <v>BA</v>
      </c>
      <c r="N825" s="3">
        <v>1510</v>
      </c>
      <c r="O825" s="4" t="s">
        <v>269</v>
      </c>
      <c r="P825" s="5" t="s">
        <v>90</v>
      </c>
      <c r="Q825" s="24">
        <v>0</v>
      </c>
      <c r="R825" s="24">
        <v>0</v>
      </c>
      <c r="S825" s="24">
        <v>0</v>
      </c>
      <c r="T825" s="24">
        <v>0</v>
      </c>
      <c r="U825" s="24">
        <v>0</v>
      </c>
      <c r="V825" s="24">
        <v>0</v>
      </c>
      <c r="W825" s="24">
        <v>0</v>
      </c>
      <c r="X825" s="24">
        <v>0</v>
      </c>
      <c r="Y825" s="24">
        <v>0</v>
      </c>
      <c r="Z825" s="24">
        <v>0</v>
      </c>
      <c r="AA825" s="24">
        <v>0</v>
      </c>
      <c r="AB825" s="24">
        <v>0</v>
      </c>
      <c r="AC825" s="30">
        <f t="shared" si="338"/>
        <v>0</v>
      </c>
      <c r="AD825" s="28"/>
      <c r="AE825" s="12"/>
      <c r="AF825" s="29"/>
      <c r="AG825" s="9"/>
      <c r="AH825" s="10"/>
      <c r="AI825" s="9"/>
      <c r="AJ825" s="11"/>
      <c r="AK825" s="9"/>
      <c r="AL825" s="13"/>
      <c r="AM825" s="9"/>
    </row>
    <row r="826" spans="1:39" x14ac:dyDescent="0.3">
      <c r="A826" s="2" t="str">
        <f t="shared" si="336"/>
        <v>NÃO</v>
      </c>
      <c r="B826" s="2" t="str">
        <f>_xlfn.XLOOKUP($N826,'Base de Grupos'!$A:$A,'Base de Grupos'!$D:$D)</f>
        <v>1000065763</v>
      </c>
      <c r="C826" s="5" t="str">
        <f>_xlfn.XLOOKUP($N826,'Base de Grupos'!$A:$A,'Base de Grupos'!$E:$E)</f>
        <v>CANAL VENDA INTERNA</v>
      </c>
      <c r="D826" s="5" t="str">
        <f>_xlfn.XLOOKUP($N826,'Base de Grupos'!$A:$A,'Base de Grupos'!$F:$F)</f>
        <v>1000065763</v>
      </c>
      <c r="E826" s="2" t="str">
        <f>_xlfn.XLOOKUP($N826,'Base de Grupos'!$A:$A,'Base de Grupos'!$G:$G)</f>
        <v>CANAL VENDA INTERNA</v>
      </c>
      <c r="F826" s="2" t="str">
        <f>_xlfn.XLOOKUP($N826,'Base de Grupos'!$A:$A,'Base de Grupos'!$H:$H)</f>
        <v>1000174119</v>
      </c>
      <c r="G826" s="5" t="str">
        <f>_xlfn.XLOOKUP($N826,'Base de Grupos'!$A:$A,'Base de Grupos'!$I:$I)</f>
        <v>REGIONAL VENDA INTERNA - CONVENIENCIA</v>
      </c>
      <c r="H826" s="5" t="str">
        <f>_xlfn.XLOOKUP($N826,'Base de Grupos'!$A:$A,'Base de Grupos'!$J:$J)</f>
        <v>1000174119</v>
      </c>
      <c r="I826" s="2" t="str">
        <f>_xlfn.XLOOKUP($N826,'Base de Grupos'!$A:$A,'Base de Grupos'!$K:$K)</f>
        <v>REGIONAL VENDA INTERNA - CONVENIENCIA</v>
      </c>
      <c r="J826" s="2" t="str">
        <f>_xlfn.XLOOKUP($N826,'Base de Grupos'!$A:$A,'Base de Grupos'!$L:$L)</f>
        <v>1000174119</v>
      </c>
      <c r="K826" s="5" t="str">
        <f>_xlfn.XLOOKUP($N826,'Base de Grupos'!$A:$A,'Base de Grupos'!$M:$M)</f>
        <v>REGIONAL VENDA INTERNA - CONVENIENCIA</v>
      </c>
      <c r="L826" s="5" t="str">
        <f t="shared" si="337"/>
        <v/>
      </c>
      <c r="M826" s="5" t="str">
        <f>_xlfn.XLOOKUP($N826,'Base de Grupos'!$A:$A,'Base de Grupos'!$C:$C)</f>
        <v>BA</v>
      </c>
      <c r="N826" s="3">
        <v>1510</v>
      </c>
      <c r="O826" s="4" t="s">
        <v>269</v>
      </c>
      <c r="P826" s="5" t="s">
        <v>91</v>
      </c>
      <c r="Q826" s="24">
        <v>0</v>
      </c>
      <c r="R826" s="24">
        <v>0</v>
      </c>
      <c r="S826" s="24">
        <v>0</v>
      </c>
      <c r="T826" s="24">
        <v>0</v>
      </c>
      <c r="U826" s="24">
        <v>0</v>
      </c>
      <c r="V826" s="24">
        <v>0</v>
      </c>
      <c r="W826" s="24">
        <v>0</v>
      </c>
      <c r="X826" s="24">
        <v>0</v>
      </c>
      <c r="Y826" s="24">
        <v>0</v>
      </c>
      <c r="Z826" s="24">
        <v>0</v>
      </c>
      <c r="AA826" s="24">
        <v>0</v>
      </c>
      <c r="AB826" s="24">
        <v>0</v>
      </c>
      <c r="AC826" s="30">
        <f t="shared" si="338"/>
        <v>0</v>
      </c>
      <c r="AD826" s="28"/>
      <c r="AE826" s="12"/>
      <c r="AF826" s="29"/>
      <c r="AG826" s="9"/>
      <c r="AH826" s="10"/>
      <c r="AI826" s="9"/>
      <c r="AJ826" s="11"/>
      <c r="AK826" s="9"/>
      <c r="AL826" s="13"/>
      <c r="AM826" s="9"/>
    </row>
    <row r="827" spans="1:39" x14ac:dyDescent="0.3">
      <c r="A827" s="2" t="str">
        <f t="shared" si="336"/>
        <v>NÃO</v>
      </c>
      <c r="B827" s="2" t="str">
        <f>_xlfn.XLOOKUP($N827,'Base de Grupos'!$A:$A,'Base de Grupos'!$D:$D)</f>
        <v>1000065763</v>
      </c>
      <c r="C827" s="5" t="str">
        <f>_xlfn.XLOOKUP($N827,'Base de Grupos'!$A:$A,'Base de Grupos'!$E:$E)</f>
        <v>CANAL VENDA INTERNA</v>
      </c>
      <c r="D827" s="5" t="str">
        <f>_xlfn.XLOOKUP($N827,'Base de Grupos'!$A:$A,'Base de Grupos'!$F:$F)</f>
        <v>1000065763</v>
      </c>
      <c r="E827" s="2" t="str">
        <f>_xlfn.XLOOKUP($N827,'Base de Grupos'!$A:$A,'Base de Grupos'!$G:$G)</f>
        <v>CANAL VENDA INTERNA</v>
      </c>
      <c r="F827" s="2" t="str">
        <f>_xlfn.XLOOKUP($N827,'Base de Grupos'!$A:$A,'Base de Grupos'!$H:$H)</f>
        <v>1000174119</v>
      </c>
      <c r="G827" s="5" t="str">
        <f>_xlfn.XLOOKUP($N827,'Base de Grupos'!$A:$A,'Base de Grupos'!$I:$I)</f>
        <v>REGIONAL VENDA INTERNA - CONVENIENCIA</v>
      </c>
      <c r="H827" s="5" t="str">
        <f>_xlfn.XLOOKUP($N827,'Base de Grupos'!$A:$A,'Base de Grupos'!$J:$J)</f>
        <v>1000174119</v>
      </c>
      <c r="I827" s="2" t="str">
        <f>_xlfn.XLOOKUP($N827,'Base de Grupos'!$A:$A,'Base de Grupos'!$K:$K)</f>
        <v>REGIONAL VENDA INTERNA - CONVENIENCIA</v>
      </c>
      <c r="J827" s="2" t="str">
        <f>_xlfn.XLOOKUP($N827,'Base de Grupos'!$A:$A,'Base de Grupos'!$L:$L)</f>
        <v>1000174119</v>
      </c>
      <c r="K827" s="5" t="str">
        <f>_xlfn.XLOOKUP($N827,'Base de Grupos'!$A:$A,'Base de Grupos'!$M:$M)</f>
        <v>REGIONAL VENDA INTERNA - CONVENIENCIA</v>
      </c>
      <c r="L827" s="5" t="str">
        <f t="shared" si="337"/>
        <v/>
      </c>
      <c r="M827" s="5" t="str">
        <f>_xlfn.XLOOKUP($N827,'Base de Grupos'!$A:$A,'Base de Grupos'!$C:$C)</f>
        <v>BA</v>
      </c>
      <c r="N827" s="3">
        <v>1510</v>
      </c>
      <c r="O827" s="4" t="s">
        <v>269</v>
      </c>
      <c r="P827" s="5" t="s">
        <v>96</v>
      </c>
      <c r="Q827" s="24">
        <v>0</v>
      </c>
      <c r="R827" s="24">
        <v>0</v>
      </c>
      <c r="S827" s="24">
        <v>0</v>
      </c>
      <c r="T827" s="24">
        <v>0</v>
      </c>
      <c r="U827" s="24">
        <v>0</v>
      </c>
      <c r="V827" s="24">
        <v>0</v>
      </c>
      <c r="W827" s="24">
        <v>0</v>
      </c>
      <c r="X827" s="24">
        <v>0</v>
      </c>
      <c r="Y827" s="24">
        <v>0</v>
      </c>
      <c r="Z827" s="24">
        <v>0</v>
      </c>
      <c r="AA827" s="24">
        <v>0</v>
      </c>
      <c r="AB827" s="24">
        <v>0</v>
      </c>
      <c r="AC827" s="30">
        <f t="shared" si="338"/>
        <v>0</v>
      </c>
      <c r="AD827" s="28"/>
      <c r="AE827" s="12"/>
      <c r="AF827" s="29"/>
      <c r="AG827" s="9"/>
      <c r="AH827" s="10"/>
      <c r="AI827" s="9"/>
      <c r="AJ827" s="11"/>
      <c r="AK827" s="9"/>
      <c r="AL827" s="13"/>
      <c r="AM827" s="9"/>
    </row>
    <row r="828" spans="1:39" x14ac:dyDescent="0.3">
      <c r="A828" s="2" t="str">
        <f t="shared" si="336"/>
        <v>NÃO</v>
      </c>
      <c r="B828" s="2" t="str">
        <f>_xlfn.XLOOKUP($N828,'Base de Grupos'!$A:$A,'Base de Grupos'!$D:$D)</f>
        <v>1000065763</v>
      </c>
      <c r="C828" s="5" t="str">
        <f>_xlfn.XLOOKUP($N828,'Base de Grupos'!$A:$A,'Base de Grupos'!$E:$E)</f>
        <v>CANAL VENDA INTERNA</v>
      </c>
      <c r="D828" s="5" t="str">
        <f>_xlfn.XLOOKUP($N828,'Base de Grupos'!$A:$A,'Base de Grupos'!$F:$F)</f>
        <v>1000065763</v>
      </c>
      <c r="E828" s="2" t="str">
        <f>_xlfn.XLOOKUP($N828,'Base de Grupos'!$A:$A,'Base de Grupos'!$G:$G)</f>
        <v>CANAL VENDA INTERNA</v>
      </c>
      <c r="F828" s="2" t="str">
        <f>_xlfn.XLOOKUP($N828,'Base de Grupos'!$A:$A,'Base de Grupos'!$H:$H)</f>
        <v>1000174119</v>
      </c>
      <c r="G828" s="5" t="str">
        <f>_xlfn.XLOOKUP($N828,'Base de Grupos'!$A:$A,'Base de Grupos'!$I:$I)</f>
        <v>REGIONAL VENDA INTERNA - CONVENIENCIA</v>
      </c>
      <c r="H828" s="5" t="str">
        <f>_xlfn.XLOOKUP($N828,'Base de Grupos'!$A:$A,'Base de Grupos'!$J:$J)</f>
        <v>1000174119</v>
      </c>
      <c r="I828" s="2" t="str">
        <f>_xlfn.XLOOKUP($N828,'Base de Grupos'!$A:$A,'Base de Grupos'!$K:$K)</f>
        <v>REGIONAL VENDA INTERNA - CONVENIENCIA</v>
      </c>
      <c r="J828" s="2" t="str">
        <f>_xlfn.XLOOKUP($N828,'Base de Grupos'!$A:$A,'Base de Grupos'!$L:$L)</f>
        <v>1000174119</v>
      </c>
      <c r="K828" s="5" t="str">
        <f>_xlfn.XLOOKUP($N828,'Base de Grupos'!$A:$A,'Base de Grupos'!$M:$M)</f>
        <v>REGIONAL VENDA INTERNA - CONVENIENCIA</v>
      </c>
      <c r="L828" s="5" t="str">
        <f t="shared" si="337"/>
        <v/>
      </c>
      <c r="M828" s="5" t="str">
        <f>_xlfn.XLOOKUP($N828,'Base de Grupos'!$A:$A,'Base de Grupos'!$C:$C)</f>
        <v>BA</v>
      </c>
      <c r="N828" s="3">
        <v>1510</v>
      </c>
      <c r="O828" s="4" t="s">
        <v>269</v>
      </c>
      <c r="P828" s="5" t="s">
        <v>94</v>
      </c>
      <c r="Q828" s="24">
        <v>0</v>
      </c>
      <c r="R828" s="24">
        <v>0</v>
      </c>
      <c r="S828" s="24">
        <v>0</v>
      </c>
      <c r="T828" s="24">
        <v>0</v>
      </c>
      <c r="U828" s="24">
        <v>0</v>
      </c>
      <c r="V828" s="24">
        <v>0</v>
      </c>
      <c r="W828" s="24">
        <v>0</v>
      </c>
      <c r="X828" s="24">
        <v>0</v>
      </c>
      <c r="Y828" s="24">
        <v>0</v>
      </c>
      <c r="Z828" s="24">
        <v>0</v>
      </c>
      <c r="AA828" s="24">
        <v>0</v>
      </c>
      <c r="AB828" s="24">
        <v>0</v>
      </c>
      <c r="AC828" s="30">
        <f t="shared" si="338"/>
        <v>0</v>
      </c>
      <c r="AD828" s="28"/>
      <c r="AE828" s="12"/>
      <c r="AF828" s="29"/>
      <c r="AG828" s="9"/>
      <c r="AH828" s="10"/>
      <c r="AI828" s="9"/>
      <c r="AJ828" s="11"/>
      <c r="AK828" s="9"/>
      <c r="AL828" s="13"/>
      <c r="AM828" s="9"/>
    </row>
    <row r="829" spans="1:39" x14ac:dyDescent="0.3">
      <c r="A829" s="2" t="str">
        <f t="shared" si="336"/>
        <v>NÃO</v>
      </c>
      <c r="B829" s="2" t="str">
        <f>_xlfn.XLOOKUP($N829,'Base de Grupos'!$A:$A,'Base de Grupos'!$D:$D)</f>
        <v>1000065763</v>
      </c>
      <c r="C829" s="5" t="str">
        <f>_xlfn.XLOOKUP($N829,'Base de Grupos'!$A:$A,'Base de Grupos'!$E:$E)</f>
        <v>CANAL VENDA INTERNA</v>
      </c>
      <c r="D829" s="5" t="str">
        <f>_xlfn.XLOOKUP($N829,'Base de Grupos'!$A:$A,'Base de Grupos'!$F:$F)</f>
        <v>1000065763</v>
      </c>
      <c r="E829" s="2" t="str">
        <f>_xlfn.XLOOKUP($N829,'Base de Grupos'!$A:$A,'Base de Grupos'!$G:$G)</f>
        <v>CANAL VENDA INTERNA</v>
      </c>
      <c r="F829" s="2" t="str">
        <f>_xlfn.XLOOKUP($N829,'Base de Grupos'!$A:$A,'Base de Grupos'!$H:$H)</f>
        <v>1000174119</v>
      </c>
      <c r="G829" s="5" t="str">
        <f>_xlfn.XLOOKUP($N829,'Base de Grupos'!$A:$A,'Base de Grupos'!$I:$I)</f>
        <v>REGIONAL VENDA INTERNA - CONVENIENCIA</v>
      </c>
      <c r="H829" s="5" t="str">
        <f>_xlfn.XLOOKUP($N829,'Base de Grupos'!$A:$A,'Base de Grupos'!$J:$J)</f>
        <v>1000174119</v>
      </c>
      <c r="I829" s="2" t="str">
        <f>_xlfn.XLOOKUP($N829,'Base de Grupos'!$A:$A,'Base de Grupos'!$K:$K)</f>
        <v>REGIONAL VENDA INTERNA - CONVENIENCIA</v>
      </c>
      <c r="J829" s="2" t="str">
        <f>_xlfn.XLOOKUP($N829,'Base de Grupos'!$A:$A,'Base de Grupos'!$L:$L)</f>
        <v>1000174119</v>
      </c>
      <c r="K829" s="5" t="str">
        <f>_xlfn.XLOOKUP($N829,'Base de Grupos'!$A:$A,'Base de Grupos'!$M:$M)</f>
        <v>REGIONAL VENDA INTERNA - CONVENIENCIA</v>
      </c>
      <c r="L829" s="5" t="str">
        <f t="shared" si="337"/>
        <v/>
      </c>
      <c r="M829" s="5" t="str">
        <f>_xlfn.XLOOKUP($N829,'Base de Grupos'!$A:$A,'Base de Grupos'!$C:$C)</f>
        <v>BA</v>
      </c>
      <c r="N829" s="3">
        <v>1510</v>
      </c>
      <c r="O829" s="4" t="s">
        <v>269</v>
      </c>
      <c r="P829" s="5" t="s">
        <v>95</v>
      </c>
      <c r="Q829" s="24">
        <v>0</v>
      </c>
      <c r="R829" s="24">
        <v>0</v>
      </c>
      <c r="S829" s="24">
        <v>0</v>
      </c>
      <c r="T829" s="24">
        <v>0</v>
      </c>
      <c r="U829" s="24">
        <v>0</v>
      </c>
      <c r="V829" s="24">
        <v>0</v>
      </c>
      <c r="W829" s="24">
        <v>0</v>
      </c>
      <c r="X829" s="24">
        <v>0</v>
      </c>
      <c r="Y829" s="24">
        <v>0</v>
      </c>
      <c r="Z829" s="24">
        <v>0</v>
      </c>
      <c r="AA829" s="24">
        <v>0</v>
      </c>
      <c r="AB829" s="24">
        <v>0</v>
      </c>
      <c r="AC829" s="30">
        <f t="shared" si="338"/>
        <v>0</v>
      </c>
      <c r="AD829" s="28"/>
      <c r="AE829" s="12"/>
      <c r="AF829" s="29"/>
      <c r="AG829" s="9"/>
      <c r="AH829" s="10"/>
      <c r="AI829" s="9"/>
      <c r="AJ829" s="11"/>
      <c r="AK829" s="9"/>
      <c r="AL829" s="13"/>
      <c r="AM829" s="9"/>
    </row>
    <row r="830" spans="1:39" x14ac:dyDescent="0.3">
      <c r="A830" s="2" t="str">
        <f t="shared" si="336"/>
        <v>NÃO</v>
      </c>
      <c r="B830" s="2" t="str">
        <f>_xlfn.XLOOKUP($N830,'Base de Grupos'!$A:$A,'Base de Grupos'!$D:$D)</f>
        <v>1000065763</v>
      </c>
      <c r="C830" s="5" t="str">
        <f>_xlfn.XLOOKUP($N830,'Base de Grupos'!$A:$A,'Base de Grupos'!$E:$E)</f>
        <v>CANAL VENDA INTERNA</v>
      </c>
      <c r="D830" s="5" t="str">
        <f>_xlfn.XLOOKUP($N830,'Base de Grupos'!$A:$A,'Base de Grupos'!$F:$F)</f>
        <v>1000065763</v>
      </c>
      <c r="E830" s="2" t="str">
        <f>_xlfn.XLOOKUP($N830,'Base de Grupos'!$A:$A,'Base de Grupos'!$G:$G)</f>
        <v>CANAL VENDA INTERNA</v>
      </c>
      <c r="F830" s="2" t="str">
        <f>_xlfn.XLOOKUP($N830,'Base de Grupos'!$A:$A,'Base de Grupos'!$H:$H)</f>
        <v>1000174119</v>
      </c>
      <c r="G830" s="5" t="str">
        <f>_xlfn.XLOOKUP($N830,'Base de Grupos'!$A:$A,'Base de Grupos'!$I:$I)</f>
        <v>REGIONAL VENDA INTERNA - CONVENIENCIA</v>
      </c>
      <c r="H830" s="5" t="str">
        <f>_xlfn.XLOOKUP($N830,'Base de Grupos'!$A:$A,'Base de Grupos'!$J:$J)</f>
        <v>1000174119</v>
      </c>
      <c r="I830" s="2" t="str">
        <f>_xlfn.XLOOKUP($N830,'Base de Grupos'!$A:$A,'Base de Grupos'!$K:$K)</f>
        <v>REGIONAL VENDA INTERNA - CONVENIENCIA</v>
      </c>
      <c r="J830" s="2" t="str">
        <f>_xlfn.XLOOKUP($N830,'Base de Grupos'!$A:$A,'Base de Grupos'!$L:$L)</f>
        <v>1000174119</v>
      </c>
      <c r="K830" s="5" t="str">
        <f>_xlfn.XLOOKUP($N830,'Base de Grupos'!$A:$A,'Base de Grupos'!$M:$M)</f>
        <v>REGIONAL VENDA INTERNA - CONVENIENCIA</v>
      </c>
      <c r="L830" s="5" t="str">
        <f t="shared" si="337"/>
        <v/>
      </c>
      <c r="M830" s="5" t="str">
        <f>_xlfn.XLOOKUP($N830,'Base de Grupos'!$A:$A,'Base de Grupos'!$C:$C)</f>
        <v>BA</v>
      </c>
      <c r="N830" s="3">
        <v>1510</v>
      </c>
      <c r="O830" s="4" t="s">
        <v>269</v>
      </c>
      <c r="P830" s="5" t="s">
        <v>93</v>
      </c>
      <c r="Q830" s="24">
        <v>0</v>
      </c>
      <c r="R830" s="24">
        <v>0</v>
      </c>
      <c r="S830" s="24">
        <v>0</v>
      </c>
      <c r="T830" s="24">
        <v>0</v>
      </c>
      <c r="U830" s="24">
        <v>0</v>
      </c>
      <c r="V830" s="24">
        <v>0</v>
      </c>
      <c r="W830" s="24">
        <v>0</v>
      </c>
      <c r="X830" s="24">
        <v>0</v>
      </c>
      <c r="Y830" s="24">
        <v>0</v>
      </c>
      <c r="Z830" s="24">
        <v>0</v>
      </c>
      <c r="AA830" s="24">
        <v>0</v>
      </c>
      <c r="AB830" s="24">
        <v>0</v>
      </c>
      <c r="AC830" s="30">
        <f t="shared" si="338"/>
        <v>0</v>
      </c>
      <c r="AD830" s="28"/>
      <c r="AE830" s="12"/>
      <c r="AF830" s="29"/>
      <c r="AG830" s="9"/>
      <c r="AH830" s="10"/>
      <c r="AI830" s="9"/>
      <c r="AJ830" s="11"/>
      <c r="AK830" s="9"/>
      <c r="AL830" s="13"/>
      <c r="AM830" s="9"/>
    </row>
    <row r="831" spans="1:39" x14ac:dyDescent="0.3">
      <c r="A831" s="2" t="str">
        <f t="shared" si="336"/>
        <v>SIM</v>
      </c>
      <c r="B831" s="2" t="str">
        <f>_xlfn.XLOOKUP($N831,'Base de Grupos'!$A:$A,'Base de Grupos'!$D:$D)</f>
        <v>1000065763</v>
      </c>
      <c r="C831" s="5" t="str">
        <f>_xlfn.XLOOKUP($N831,'Base de Grupos'!$A:$A,'Base de Grupos'!$E:$E)</f>
        <v>CANAL VENDA INTERNA</v>
      </c>
      <c r="D831" s="5" t="str">
        <f>_xlfn.XLOOKUP($N831,'Base de Grupos'!$A:$A,'Base de Grupos'!$F:$F)</f>
        <v>1000065763</v>
      </c>
      <c r="E831" s="2" t="str">
        <f>_xlfn.XLOOKUP($N831,'Base de Grupos'!$A:$A,'Base de Grupos'!$G:$G)</f>
        <v>CANAL VENDA INTERNA</v>
      </c>
      <c r="F831" s="2" t="str">
        <f>_xlfn.XLOOKUP($N831,'Base de Grupos'!$A:$A,'Base de Grupos'!$H:$H)</f>
        <v>1000174119</v>
      </c>
      <c r="G831" s="5" t="str">
        <f>_xlfn.XLOOKUP($N831,'Base de Grupos'!$A:$A,'Base de Grupos'!$I:$I)</f>
        <v>REGIONAL VENDA INTERNA - CONVENIENCIA</v>
      </c>
      <c r="H831" s="5" t="str">
        <f>_xlfn.XLOOKUP($N831,'Base de Grupos'!$A:$A,'Base de Grupos'!$J:$J)</f>
        <v>1000174119</v>
      </c>
      <c r="I831" s="2" t="str">
        <f>_xlfn.XLOOKUP($N831,'Base de Grupos'!$A:$A,'Base de Grupos'!$K:$K)</f>
        <v>REGIONAL VENDA INTERNA - CONVENIENCIA</v>
      </c>
      <c r="J831" s="2" t="str">
        <f>_xlfn.XLOOKUP($N831,'Base de Grupos'!$A:$A,'Base de Grupos'!$L:$L)</f>
        <v>1000174119</v>
      </c>
      <c r="K831" s="5" t="str">
        <f>_xlfn.XLOOKUP($N831,'Base de Grupos'!$A:$A,'Base de Grupos'!$M:$M)</f>
        <v>REGIONAL VENDA INTERNA - CONVENIENCIA</v>
      </c>
      <c r="L831" s="5">
        <f t="shared" si="337"/>
        <v>1</v>
      </c>
      <c r="M831" s="5" t="str">
        <f>_xlfn.XLOOKUP($N831,'Base de Grupos'!$A:$A,'Base de Grupos'!$C:$C)</f>
        <v>MA</v>
      </c>
      <c r="N831" s="3">
        <v>1511</v>
      </c>
      <c r="O831" s="4" t="s">
        <v>270</v>
      </c>
      <c r="P831" s="5" t="s">
        <v>340</v>
      </c>
      <c r="Q831" s="24">
        <v>0</v>
      </c>
      <c r="R831" s="24">
        <v>0</v>
      </c>
      <c r="S831" s="24">
        <v>0</v>
      </c>
      <c r="T831" s="24">
        <v>0</v>
      </c>
      <c r="U831" s="24">
        <v>0</v>
      </c>
      <c r="V831" s="24">
        <v>0</v>
      </c>
      <c r="W831" s="24">
        <v>0</v>
      </c>
      <c r="X831" s="24">
        <v>0</v>
      </c>
      <c r="Y831" s="24">
        <v>0</v>
      </c>
      <c r="Z831" s="24">
        <v>0</v>
      </c>
      <c r="AA831" s="24">
        <v>0</v>
      </c>
      <c r="AB831" s="24">
        <v>0</v>
      </c>
      <c r="AC831" s="30">
        <f t="shared" si="338"/>
        <v>0</v>
      </c>
      <c r="AD831" s="28"/>
      <c r="AE831" s="12"/>
      <c r="AF831" s="29"/>
      <c r="AG831" s="9"/>
      <c r="AH831" s="10"/>
      <c r="AI831" s="9"/>
      <c r="AJ831" s="11"/>
      <c r="AK831" s="9"/>
      <c r="AL831" s="13"/>
      <c r="AM831" s="9"/>
    </row>
    <row r="832" spans="1:39" x14ac:dyDescent="0.3">
      <c r="A832" s="2" t="str">
        <f t="shared" si="336"/>
        <v>NÃO</v>
      </c>
      <c r="B832" s="2" t="str">
        <f>_xlfn.XLOOKUP($N832,'Base de Grupos'!$A:$A,'Base de Grupos'!$D:$D)</f>
        <v>1000065763</v>
      </c>
      <c r="C832" s="5" t="str">
        <f>_xlfn.XLOOKUP($N832,'Base de Grupos'!$A:$A,'Base de Grupos'!$E:$E)</f>
        <v>CANAL VENDA INTERNA</v>
      </c>
      <c r="D832" s="5" t="str">
        <f>_xlfn.XLOOKUP($N832,'Base de Grupos'!$A:$A,'Base de Grupos'!$F:$F)</f>
        <v>1000065763</v>
      </c>
      <c r="E832" s="2" t="str">
        <f>_xlfn.XLOOKUP($N832,'Base de Grupos'!$A:$A,'Base de Grupos'!$G:$G)</f>
        <v>CANAL VENDA INTERNA</v>
      </c>
      <c r="F832" s="2" t="str">
        <f>_xlfn.XLOOKUP($N832,'Base de Grupos'!$A:$A,'Base de Grupos'!$H:$H)</f>
        <v>1000174119</v>
      </c>
      <c r="G832" s="5" t="str">
        <f>_xlfn.XLOOKUP($N832,'Base de Grupos'!$A:$A,'Base de Grupos'!$I:$I)</f>
        <v>REGIONAL VENDA INTERNA - CONVENIENCIA</v>
      </c>
      <c r="H832" s="5" t="str">
        <f>_xlfn.XLOOKUP($N832,'Base de Grupos'!$A:$A,'Base de Grupos'!$J:$J)</f>
        <v>1000174119</v>
      </c>
      <c r="I832" s="2" t="str">
        <f>_xlfn.XLOOKUP($N832,'Base de Grupos'!$A:$A,'Base de Grupos'!$K:$K)</f>
        <v>REGIONAL VENDA INTERNA - CONVENIENCIA</v>
      </c>
      <c r="J832" s="2" t="str">
        <f>_xlfn.XLOOKUP($N832,'Base de Grupos'!$A:$A,'Base de Grupos'!$L:$L)</f>
        <v>1000174119</v>
      </c>
      <c r="K832" s="5" t="str">
        <f>_xlfn.XLOOKUP($N832,'Base de Grupos'!$A:$A,'Base de Grupos'!$M:$M)</f>
        <v>REGIONAL VENDA INTERNA - CONVENIENCIA</v>
      </c>
      <c r="L832" s="5" t="str">
        <f t="shared" si="337"/>
        <v/>
      </c>
      <c r="M832" s="5" t="str">
        <f>_xlfn.XLOOKUP($N832,'Base de Grupos'!$A:$A,'Base de Grupos'!$C:$C)</f>
        <v>MA</v>
      </c>
      <c r="N832" s="3">
        <v>1511</v>
      </c>
      <c r="O832" s="4" t="s">
        <v>270</v>
      </c>
      <c r="P832" s="5" t="s">
        <v>81</v>
      </c>
      <c r="Q832" s="24">
        <v>0</v>
      </c>
      <c r="R832" s="24">
        <v>0</v>
      </c>
      <c r="S832" s="24">
        <v>0</v>
      </c>
      <c r="T832" s="24">
        <v>0</v>
      </c>
      <c r="U832" s="24">
        <v>0</v>
      </c>
      <c r="V832" s="24">
        <v>0</v>
      </c>
      <c r="W832" s="24">
        <v>0</v>
      </c>
      <c r="X832" s="24">
        <v>0</v>
      </c>
      <c r="Y832" s="24">
        <v>0</v>
      </c>
      <c r="Z832" s="24">
        <v>0</v>
      </c>
      <c r="AA832" s="24">
        <v>0</v>
      </c>
      <c r="AB832" s="24">
        <v>0</v>
      </c>
      <c r="AC832" s="30">
        <f t="shared" si="338"/>
        <v>0</v>
      </c>
      <c r="AD832" s="28"/>
      <c r="AE832" s="12"/>
      <c r="AF832" s="29"/>
      <c r="AG832" s="9"/>
      <c r="AH832" s="10"/>
      <c r="AI832" s="9"/>
      <c r="AJ832" s="11"/>
      <c r="AK832" s="9"/>
      <c r="AL832" s="13"/>
      <c r="AM832" s="9"/>
    </row>
    <row r="833" spans="1:39" x14ac:dyDescent="0.3">
      <c r="A833" s="2" t="str">
        <f t="shared" si="336"/>
        <v>NÃO</v>
      </c>
      <c r="B833" s="2" t="str">
        <f>_xlfn.XLOOKUP($N833,'Base de Grupos'!$A:$A,'Base de Grupos'!$D:$D)</f>
        <v>1000065763</v>
      </c>
      <c r="C833" s="5" t="str">
        <f>_xlfn.XLOOKUP($N833,'Base de Grupos'!$A:$A,'Base de Grupos'!$E:$E)</f>
        <v>CANAL VENDA INTERNA</v>
      </c>
      <c r="D833" s="5" t="str">
        <f>_xlfn.XLOOKUP($N833,'Base de Grupos'!$A:$A,'Base de Grupos'!$F:$F)</f>
        <v>1000065763</v>
      </c>
      <c r="E833" s="2" t="str">
        <f>_xlfn.XLOOKUP($N833,'Base de Grupos'!$A:$A,'Base de Grupos'!$G:$G)</f>
        <v>CANAL VENDA INTERNA</v>
      </c>
      <c r="F833" s="2" t="str">
        <f>_xlfn.XLOOKUP($N833,'Base de Grupos'!$A:$A,'Base de Grupos'!$H:$H)</f>
        <v>1000174119</v>
      </c>
      <c r="G833" s="5" t="str">
        <f>_xlfn.XLOOKUP($N833,'Base de Grupos'!$A:$A,'Base de Grupos'!$I:$I)</f>
        <v>REGIONAL VENDA INTERNA - CONVENIENCIA</v>
      </c>
      <c r="H833" s="5" t="str">
        <f>_xlfn.XLOOKUP($N833,'Base de Grupos'!$A:$A,'Base de Grupos'!$J:$J)</f>
        <v>1000174119</v>
      </c>
      <c r="I833" s="2" t="str">
        <f>_xlfn.XLOOKUP($N833,'Base de Grupos'!$A:$A,'Base de Grupos'!$K:$K)</f>
        <v>REGIONAL VENDA INTERNA - CONVENIENCIA</v>
      </c>
      <c r="J833" s="2" t="str">
        <f>_xlfn.XLOOKUP($N833,'Base de Grupos'!$A:$A,'Base de Grupos'!$L:$L)</f>
        <v>1000174119</v>
      </c>
      <c r="K833" s="5" t="str">
        <f>_xlfn.XLOOKUP($N833,'Base de Grupos'!$A:$A,'Base de Grupos'!$M:$M)</f>
        <v>REGIONAL VENDA INTERNA - CONVENIENCIA</v>
      </c>
      <c r="L833" s="5" t="str">
        <f t="shared" si="337"/>
        <v/>
      </c>
      <c r="M833" s="5" t="str">
        <f>_xlfn.XLOOKUP($N833,'Base de Grupos'!$A:$A,'Base de Grupos'!$C:$C)</f>
        <v>MA</v>
      </c>
      <c r="N833" s="3">
        <v>1511</v>
      </c>
      <c r="O833" s="4" t="s">
        <v>270</v>
      </c>
      <c r="P833" s="5" t="s">
        <v>82</v>
      </c>
      <c r="Q833" s="24">
        <v>0</v>
      </c>
      <c r="R833" s="24">
        <v>0</v>
      </c>
      <c r="S833" s="24">
        <v>0</v>
      </c>
      <c r="T833" s="24">
        <v>0</v>
      </c>
      <c r="U833" s="24">
        <v>0</v>
      </c>
      <c r="V833" s="24">
        <v>0</v>
      </c>
      <c r="W833" s="24">
        <v>0</v>
      </c>
      <c r="X833" s="24">
        <v>0</v>
      </c>
      <c r="Y833" s="24">
        <v>0</v>
      </c>
      <c r="Z833" s="24">
        <v>0</v>
      </c>
      <c r="AA833" s="24">
        <v>0</v>
      </c>
      <c r="AB833" s="24">
        <v>0</v>
      </c>
      <c r="AC833" s="30">
        <f t="shared" si="338"/>
        <v>0</v>
      </c>
      <c r="AD833" s="28"/>
      <c r="AE833" s="12"/>
      <c r="AF833" s="29"/>
      <c r="AG833" s="9"/>
      <c r="AH833" s="10"/>
      <c r="AI833" s="9"/>
      <c r="AJ833" s="11"/>
      <c r="AK833" s="9"/>
      <c r="AL833" s="13"/>
      <c r="AM833" s="9"/>
    </row>
    <row r="834" spans="1:39" x14ac:dyDescent="0.3">
      <c r="A834" s="2" t="str">
        <f t="shared" si="336"/>
        <v>NÃO</v>
      </c>
      <c r="B834" s="2" t="str">
        <f>_xlfn.XLOOKUP($N834,'Base de Grupos'!$A:$A,'Base de Grupos'!$D:$D)</f>
        <v>1000065763</v>
      </c>
      <c r="C834" s="5" t="str">
        <f>_xlfn.XLOOKUP($N834,'Base de Grupos'!$A:$A,'Base de Grupos'!$E:$E)</f>
        <v>CANAL VENDA INTERNA</v>
      </c>
      <c r="D834" s="5" t="str">
        <f>_xlfn.XLOOKUP($N834,'Base de Grupos'!$A:$A,'Base de Grupos'!$F:$F)</f>
        <v>1000065763</v>
      </c>
      <c r="E834" s="2" t="str">
        <f>_xlfn.XLOOKUP($N834,'Base de Grupos'!$A:$A,'Base de Grupos'!$G:$G)</f>
        <v>CANAL VENDA INTERNA</v>
      </c>
      <c r="F834" s="2" t="str">
        <f>_xlfn.XLOOKUP($N834,'Base de Grupos'!$A:$A,'Base de Grupos'!$H:$H)</f>
        <v>1000174119</v>
      </c>
      <c r="G834" s="5" t="str">
        <f>_xlfn.XLOOKUP($N834,'Base de Grupos'!$A:$A,'Base de Grupos'!$I:$I)</f>
        <v>REGIONAL VENDA INTERNA - CONVENIENCIA</v>
      </c>
      <c r="H834" s="5" t="str">
        <f>_xlfn.XLOOKUP($N834,'Base de Grupos'!$A:$A,'Base de Grupos'!$J:$J)</f>
        <v>1000174119</v>
      </c>
      <c r="I834" s="2" t="str">
        <f>_xlfn.XLOOKUP($N834,'Base de Grupos'!$A:$A,'Base de Grupos'!$K:$K)</f>
        <v>REGIONAL VENDA INTERNA - CONVENIENCIA</v>
      </c>
      <c r="J834" s="2" t="str">
        <f>_xlfn.XLOOKUP($N834,'Base de Grupos'!$A:$A,'Base de Grupos'!$L:$L)</f>
        <v>1000174119</v>
      </c>
      <c r="K834" s="5" t="str">
        <f>_xlfn.XLOOKUP($N834,'Base de Grupos'!$A:$A,'Base de Grupos'!$M:$M)</f>
        <v>REGIONAL VENDA INTERNA - CONVENIENCIA</v>
      </c>
      <c r="L834" s="5" t="str">
        <f t="shared" si="337"/>
        <v/>
      </c>
      <c r="M834" s="5" t="str">
        <f>_xlfn.XLOOKUP($N834,'Base de Grupos'!$A:$A,'Base de Grupos'!$C:$C)</f>
        <v>MA</v>
      </c>
      <c r="N834" s="3">
        <v>1511</v>
      </c>
      <c r="O834" s="4" t="s">
        <v>270</v>
      </c>
      <c r="P834" s="5" t="s">
        <v>84</v>
      </c>
      <c r="Q834" s="24">
        <v>0</v>
      </c>
      <c r="R834" s="24">
        <v>0</v>
      </c>
      <c r="S834" s="24">
        <v>0</v>
      </c>
      <c r="T834" s="24">
        <v>0</v>
      </c>
      <c r="U834" s="24">
        <v>0</v>
      </c>
      <c r="V834" s="24">
        <v>0</v>
      </c>
      <c r="W834" s="24">
        <v>0</v>
      </c>
      <c r="X834" s="24">
        <v>0</v>
      </c>
      <c r="Y834" s="24">
        <v>0</v>
      </c>
      <c r="Z834" s="24">
        <v>0</v>
      </c>
      <c r="AA834" s="24">
        <v>0</v>
      </c>
      <c r="AB834" s="24">
        <v>0</v>
      </c>
      <c r="AC834" s="30">
        <f t="shared" si="338"/>
        <v>0</v>
      </c>
      <c r="AD834" s="28"/>
      <c r="AE834" s="12"/>
      <c r="AF834" s="29"/>
      <c r="AG834" s="9"/>
      <c r="AH834" s="10"/>
      <c r="AI834" s="9"/>
      <c r="AJ834" s="11"/>
      <c r="AK834" s="9"/>
      <c r="AL834" s="13"/>
      <c r="AM834" s="9"/>
    </row>
    <row r="835" spans="1:39" x14ac:dyDescent="0.3">
      <c r="A835" s="2" t="str">
        <f t="shared" si="336"/>
        <v>NÃO</v>
      </c>
      <c r="B835" s="2" t="str">
        <f>_xlfn.XLOOKUP($N835,'Base de Grupos'!$A:$A,'Base de Grupos'!$D:$D)</f>
        <v>1000065763</v>
      </c>
      <c r="C835" s="5" t="str">
        <f>_xlfn.XLOOKUP($N835,'Base de Grupos'!$A:$A,'Base de Grupos'!$E:$E)</f>
        <v>CANAL VENDA INTERNA</v>
      </c>
      <c r="D835" s="5" t="str">
        <f>_xlfn.XLOOKUP($N835,'Base de Grupos'!$A:$A,'Base de Grupos'!$F:$F)</f>
        <v>1000065763</v>
      </c>
      <c r="E835" s="2" t="str">
        <f>_xlfn.XLOOKUP($N835,'Base de Grupos'!$A:$A,'Base de Grupos'!$G:$G)</f>
        <v>CANAL VENDA INTERNA</v>
      </c>
      <c r="F835" s="2" t="str">
        <f>_xlfn.XLOOKUP($N835,'Base de Grupos'!$A:$A,'Base de Grupos'!$H:$H)</f>
        <v>1000174119</v>
      </c>
      <c r="G835" s="5" t="str">
        <f>_xlfn.XLOOKUP($N835,'Base de Grupos'!$A:$A,'Base de Grupos'!$I:$I)</f>
        <v>REGIONAL VENDA INTERNA - CONVENIENCIA</v>
      </c>
      <c r="H835" s="5" t="str">
        <f>_xlfn.XLOOKUP($N835,'Base de Grupos'!$A:$A,'Base de Grupos'!$J:$J)</f>
        <v>1000174119</v>
      </c>
      <c r="I835" s="2" t="str">
        <f>_xlfn.XLOOKUP($N835,'Base de Grupos'!$A:$A,'Base de Grupos'!$K:$K)</f>
        <v>REGIONAL VENDA INTERNA - CONVENIENCIA</v>
      </c>
      <c r="J835" s="2" t="str">
        <f>_xlfn.XLOOKUP($N835,'Base de Grupos'!$A:$A,'Base de Grupos'!$L:$L)</f>
        <v>1000174119</v>
      </c>
      <c r="K835" s="5" t="str">
        <f>_xlfn.XLOOKUP($N835,'Base de Grupos'!$A:$A,'Base de Grupos'!$M:$M)</f>
        <v>REGIONAL VENDA INTERNA - CONVENIENCIA</v>
      </c>
      <c r="L835" s="5" t="str">
        <f t="shared" si="337"/>
        <v/>
      </c>
      <c r="M835" s="5" t="str">
        <f>_xlfn.XLOOKUP($N835,'Base de Grupos'!$A:$A,'Base de Grupos'!$C:$C)</f>
        <v>MA</v>
      </c>
      <c r="N835" s="3">
        <v>1511</v>
      </c>
      <c r="O835" s="4" t="s">
        <v>270</v>
      </c>
      <c r="P835" s="5" t="s">
        <v>83</v>
      </c>
      <c r="Q835" s="24">
        <v>0</v>
      </c>
      <c r="R835" s="24">
        <v>0</v>
      </c>
      <c r="S835" s="24">
        <v>0</v>
      </c>
      <c r="T835" s="24">
        <v>0</v>
      </c>
      <c r="U835" s="24">
        <v>0</v>
      </c>
      <c r="V835" s="24">
        <v>0</v>
      </c>
      <c r="W835" s="24">
        <v>0</v>
      </c>
      <c r="X835" s="24">
        <v>0</v>
      </c>
      <c r="Y835" s="24">
        <v>0</v>
      </c>
      <c r="Z835" s="24">
        <v>0</v>
      </c>
      <c r="AA835" s="24">
        <v>0</v>
      </c>
      <c r="AB835" s="24">
        <v>0</v>
      </c>
      <c r="AC835" s="30">
        <f t="shared" si="338"/>
        <v>0</v>
      </c>
      <c r="AD835" s="28"/>
      <c r="AE835" s="12"/>
      <c r="AF835" s="29"/>
      <c r="AG835" s="9"/>
      <c r="AH835" s="10"/>
      <c r="AI835" s="9"/>
      <c r="AJ835" s="11"/>
      <c r="AK835" s="9"/>
      <c r="AL835" s="13"/>
      <c r="AM835" s="9"/>
    </row>
    <row r="836" spans="1:39" x14ac:dyDescent="0.3">
      <c r="A836" s="2" t="str">
        <f t="shared" si="336"/>
        <v>NÃO</v>
      </c>
      <c r="B836" s="2" t="str">
        <f>_xlfn.XLOOKUP($N836,'Base de Grupos'!$A:$A,'Base de Grupos'!$D:$D)</f>
        <v>1000065763</v>
      </c>
      <c r="C836" s="5" t="str">
        <f>_xlfn.XLOOKUP($N836,'Base de Grupos'!$A:$A,'Base de Grupos'!$E:$E)</f>
        <v>CANAL VENDA INTERNA</v>
      </c>
      <c r="D836" s="5" t="str">
        <f>_xlfn.XLOOKUP($N836,'Base de Grupos'!$A:$A,'Base de Grupos'!$F:$F)</f>
        <v>1000065763</v>
      </c>
      <c r="E836" s="2" t="str">
        <f>_xlfn.XLOOKUP($N836,'Base de Grupos'!$A:$A,'Base de Grupos'!$G:$G)</f>
        <v>CANAL VENDA INTERNA</v>
      </c>
      <c r="F836" s="2" t="str">
        <f>_xlfn.XLOOKUP($N836,'Base de Grupos'!$A:$A,'Base de Grupos'!$H:$H)</f>
        <v>1000174119</v>
      </c>
      <c r="G836" s="5" t="str">
        <f>_xlfn.XLOOKUP($N836,'Base de Grupos'!$A:$A,'Base de Grupos'!$I:$I)</f>
        <v>REGIONAL VENDA INTERNA - CONVENIENCIA</v>
      </c>
      <c r="H836" s="5" t="str">
        <f>_xlfn.XLOOKUP($N836,'Base de Grupos'!$A:$A,'Base de Grupos'!$J:$J)</f>
        <v>1000174119</v>
      </c>
      <c r="I836" s="2" t="str">
        <f>_xlfn.XLOOKUP($N836,'Base de Grupos'!$A:$A,'Base de Grupos'!$K:$K)</f>
        <v>REGIONAL VENDA INTERNA - CONVENIENCIA</v>
      </c>
      <c r="J836" s="2" t="str">
        <f>_xlfn.XLOOKUP($N836,'Base de Grupos'!$A:$A,'Base de Grupos'!$L:$L)</f>
        <v>1000174119</v>
      </c>
      <c r="K836" s="5" t="str">
        <f>_xlfn.XLOOKUP($N836,'Base de Grupos'!$A:$A,'Base de Grupos'!$M:$M)</f>
        <v>REGIONAL VENDA INTERNA - CONVENIENCIA</v>
      </c>
      <c r="L836" s="5" t="str">
        <f t="shared" si="337"/>
        <v/>
      </c>
      <c r="M836" s="5" t="str">
        <f>_xlfn.XLOOKUP($N836,'Base de Grupos'!$A:$A,'Base de Grupos'!$C:$C)</f>
        <v>MA</v>
      </c>
      <c r="N836" s="3">
        <v>1511</v>
      </c>
      <c r="O836" s="4" t="s">
        <v>270</v>
      </c>
      <c r="P836" s="5" t="s">
        <v>87</v>
      </c>
      <c r="Q836" s="24">
        <v>0</v>
      </c>
      <c r="R836" s="24">
        <v>0</v>
      </c>
      <c r="S836" s="24">
        <v>0</v>
      </c>
      <c r="T836" s="24">
        <v>0</v>
      </c>
      <c r="U836" s="24">
        <v>0</v>
      </c>
      <c r="V836" s="24">
        <v>0</v>
      </c>
      <c r="W836" s="24">
        <v>0</v>
      </c>
      <c r="X836" s="24">
        <v>0</v>
      </c>
      <c r="Y836" s="24">
        <v>0</v>
      </c>
      <c r="Z836" s="24">
        <v>0</v>
      </c>
      <c r="AA836" s="24">
        <v>0</v>
      </c>
      <c r="AB836" s="24">
        <v>0</v>
      </c>
      <c r="AC836" s="30">
        <f t="shared" si="338"/>
        <v>0</v>
      </c>
      <c r="AD836" s="28"/>
      <c r="AE836" s="12"/>
      <c r="AF836" s="29"/>
      <c r="AG836" s="9"/>
      <c r="AH836" s="10"/>
      <c r="AI836" s="9"/>
      <c r="AJ836" s="11"/>
      <c r="AK836" s="9"/>
      <c r="AL836" s="13"/>
      <c r="AM836" s="9"/>
    </row>
    <row r="837" spans="1:39" x14ac:dyDescent="0.3">
      <c r="A837" s="2" t="str">
        <f t="shared" si="336"/>
        <v>NÃO</v>
      </c>
      <c r="B837" s="2" t="str">
        <f>_xlfn.XLOOKUP($N837,'Base de Grupos'!$A:$A,'Base de Grupos'!$D:$D)</f>
        <v>1000065763</v>
      </c>
      <c r="C837" s="5" t="str">
        <f>_xlfn.XLOOKUP($N837,'Base de Grupos'!$A:$A,'Base de Grupos'!$E:$E)</f>
        <v>CANAL VENDA INTERNA</v>
      </c>
      <c r="D837" s="5" t="str">
        <f>_xlfn.XLOOKUP($N837,'Base de Grupos'!$A:$A,'Base de Grupos'!$F:$F)</f>
        <v>1000065763</v>
      </c>
      <c r="E837" s="2" t="str">
        <f>_xlfn.XLOOKUP($N837,'Base de Grupos'!$A:$A,'Base de Grupos'!$G:$G)</f>
        <v>CANAL VENDA INTERNA</v>
      </c>
      <c r="F837" s="2" t="str">
        <f>_xlfn.XLOOKUP($N837,'Base de Grupos'!$A:$A,'Base de Grupos'!$H:$H)</f>
        <v>1000174119</v>
      </c>
      <c r="G837" s="5" t="str">
        <f>_xlfn.XLOOKUP($N837,'Base de Grupos'!$A:$A,'Base de Grupos'!$I:$I)</f>
        <v>REGIONAL VENDA INTERNA - CONVENIENCIA</v>
      </c>
      <c r="H837" s="5" t="str">
        <f>_xlfn.XLOOKUP($N837,'Base de Grupos'!$A:$A,'Base de Grupos'!$J:$J)</f>
        <v>1000174119</v>
      </c>
      <c r="I837" s="2" t="str">
        <f>_xlfn.XLOOKUP($N837,'Base de Grupos'!$A:$A,'Base de Grupos'!$K:$K)</f>
        <v>REGIONAL VENDA INTERNA - CONVENIENCIA</v>
      </c>
      <c r="J837" s="2" t="str">
        <f>_xlfn.XLOOKUP($N837,'Base de Grupos'!$A:$A,'Base de Grupos'!$L:$L)</f>
        <v>1000174119</v>
      </c>
      <c r="K837" s="5" t="str">
        <f>_xlfn.XLOOKUP($N837,'Base de Grupos'!$A:$A,'Base de Grupos'!$M:$M)</f>
        <v>REGIONAL VENDA INTERNA - CONVENIENCIA</v>
      </c>
      <c r="L837" s="5" t="str">
        <f t="shared" si="337"/>
        <v/>
      </c>
      <c r="M837" s="5" t="str">
        <f>_xlfn.XLOOKUP($N837,'Base de Grupos'!$A:$A,'Base de Grupos'!$C:$C)</f>
        <v>MA</v>
      </c>
      <c r="N837" s="3">
        <v>1511</v>
      </c>
      <c r="O837" s="4" t="s">
        <v>270</v>
      </c>
      <c r="P837" s="5" t="s">
        <v>85</v>
      </c>
      <c r="Q837" s="24">
        <v>0</v>
      </c>
      <c r="R837" s="24">
        <v>0</v>
      </c>
      <c r="S837" s="24">
        <v>0</v>
      </c>
      <c r="T837" s="24">
        <v>0</v>
      </c>
      <c r="U837" s="24">
        <v>0</v>
      </c>
      <c r="V837" s="24">
        <v>0</v>
      </c>
      <c r="W837" s="24">
        <v>0</v>
      </c>
      <c r="X837" s="24">
        <v>0</v>
      </c>
      <c r="Y837" s="24">
        <v>0</v>
      </c>
      <c r="Z837" s="24">
        <v>0</v>
      </c>
      <c r="AA837" s="24">
        <v>0</v>
      </c>
      <c r="AB837" s="24">
        <v>0</v>
      </c>
      <c r="AC837" s="30">
        <f t="shared" si="338"/>
        <v>0</v>
      </c>
      <c r="AD837" s="28"/>
      <c r="AE837" s="12"/>
      <c r="AF837" s="29"/>
      <c r="AG837" s="9"/>
      <c r="AH837" s="10"/>
      <c r="AI837" s="9"/>
      <c r="AJ837" s="11"/>
      <c r="AK837" s="9"/>
      <c r="AL837" s="13"/>
      <c r="AM837" s="9"/>
    </row>
    <row r="838" spans="1:39" x14ac:dyDescent="0.3">
      <c r="A838" s="2" t="str">
        <f t="shared" si="336"/>
        <v>NÃO</v>
      </c>
      <c r="B838" s="2" t="str">
        <f>_xlfn.XLOOKUP($N838,'Base de Grupos'!$A:$A,'Base de Grupos'!$D:$D)</f>
        <v>1000065763</v>
      </c>
      <c r="C838" s="5" t="str">
        <f>_xlfn.XLOOKUP($N838,'Base de Grupos'!$A:$A,'Base de Grupos'!$E:$E)</f>
        <v>CANAL VENDA INTERNA</v>
      </c>
      <c r="D838" s="5" t="str">
        <f>_xlfn.XLOOKUP($N838,'Base de Grupos'!$A:$A,'Base de Grupos'!$F:$F)</f>
        <v>1000065763</v>
      </c>
      <c r="E838" s="2" t="str">
        <f>_xlfn.XLOOKUP($N838,'Base de Grupos'!$A:$A,'Base de Grupos'!$G:$G)</f>
        <v>CANAL VENDA INTERNA</v>
      </c>
      <c r="F838" s="2" t="str">
        <f>_xlfn.XLOOKUP($N838,'Base de Grupos'!$A:$A,'Base de Grupos'!$H:$H)</f>
        <v>1000174119</v>
      </c>
      <c r="G838" s="5" t="str">
        <f>_xlfn.XLOOKUP($N838,'Base de Grupos'!$A:$A,'Base de Grupos'!$I:$I)</f>
        <v>REGIONAL VENDA INTERNA - CONVENIENCIA</v>
      </c>
      <c r="H838" s="5" t="str">
        <f>_xlfn.XLOOKUP($N838,'Base de Grupos'!$A:$A,'Base de Grupos'!$J:$J)</f>
        <v>1000174119</v>
      </c>
      <c r="I838" s="2" t="str">
        <f>_xlfn.XLOOKUP($N838,'Base de Grupos'!$A:$A,'Base de Grupos'!$K:$K)</f>
        <v>REGIONAL VENDA INTERNA - CONVENIENCIA</v>
      </c>
      <c r="J838" s="2" t="str">
        <f>_xlfn.XLOOKUP($N838,'Base de Grupos'!$A:$A,'Base de Grupos'!$L:$L)</f>
        <v>1000174119</v>
      </c>
      <c r="K838" s="5" t="str">
        <f>_xlfn.XLOOKUP($N838,'Base de Grupos'!$A:$A,'Base de Grupos'!$M:$M)</f>
        <v>REGIONAL VENDA INTERNA - CONVENIENCIA</v>
      </c>
      <c r="L838" s="5" t="str">
        <f t="shared" si="337"/>
        <v/>
      </c>
      <c r="M838" s="5" t="str">
        <f>_xlfn.XLOOKUP($N838,'Base de Grupos'!$A:$A,'Base de Grupos'!$C:$C)</f>
        <v>MA</v>
      </c>
      <c r="N838" s="3">
        <v>1511</v>
      </c>
      <c r="O838" s="4" t="s">
        <v>270</v>
      </c>
      <c r="P838" s="5" t="s">
        <v>92</v>
      </c>
      <c r="Q838" s="24">
        <v>0</v>
      </c>
      <c r="R838" s="24">
        <v>0</v>
      </c>
      <c r="S838" s="24">
        <v>0</v>
      </c>
      <c r="T838" s="24">
        <v>0</v>
      </c>
      <c r="U838" s="24">
        <v>0</v>
      </c>
      <c r="V838" s="24">
        <v>0</v>
      </c>
      <c r="W838" s="24">
        <v>0</v>
      </c>
      <c r="X838" s="24">
        <v>0</v>
      </c>
      <c r="Y838" s="24">
        <v>0</v>
      </c>
      <c r="Z838" s="24">
        <v>0</v>
      </c>
      <c r="AA838" s="24">
        <v>0</v>
      </c>
      <c r="AB838" s="24">
        <v>0</v>
      </c>
      <c r="AC838" s="30">
        <f t="shared" si="338"/>
        <v>0</v>
      </c>
      <c r="AD838" s="28"/>
      <c r="AE838" s="12"/>
      <c r="AF838" s="29"/>
      <c r="AG838" s="9"/>
      <c r="AH838" s="10"/>
      <c r="AI838" s="9"/>
      <c r="AJ838" s="11"/>
      <c r="AK838" s="9"/>
      <c r="AL838" s="13"/>
      <c r="AM838" s="9"/>
    </row>
    <row r="839" spans="1:39" x14ac:dyDescent="0.3">
      <c r="A839" s="2" t="str">
        <f t="shared" si="336"/>
        <v>NÃO</v>
      </c>
      <c r="B839" s="2" t="str">
        <f>_xlfn.XLOOKUP($N839,'Base de Grupos'!$A:$A,'Base de Grupos'!$D:$D)</f>
        <v>1000065763</v>
      </c>
      <c r="C839" s="5" t="str">
        <f>_xlfn.XLOOKUP($N839,'Base de Grupos'!$A:$A,'Base de Grupos'!$E:$E)</f>
        <v>CANAL VENDA INTERNA</v>
      </c>
      <c r="D839" s="5" t="str">
        <f>_xlfn.XLOOKUP($N839,'Base de Grupos'!$A:$A,'Base de Grupos'!$F:$F)</f>
        <v>1000065763</v>
      </c>
      <c r="E839" s="2" t="str">
        <f>_xlfn.XLOOKUP($N839,'Base de Grupos'!$A:$A,'Base de Grupos'!$G:$G)</f>
        <v>CANAL VENDA INTERNA</v>
      </c>
      <c r="F839" s="2" t="str">
        <f>_xlfn.XLOOKUP($N839,'Base de Grupos'!$A:$A,'Base de Grupos'!$H:$H)</f>
        <v>1000174119</v>
      </c>
      <c r="G839" s="5" t="str">
        <f>_xlfn.XLOOKUP($N839,'Base de Grupos'!$A:$A,'Base de Grupos'!$I:$I)</f>
        <v>REGIONAL VENDA INTERNA - CONVENIENCIA</v>
      </c>
      <c r="H839" s="5" t="str">
        <f>_xlfn.XLOOKUP($N839,'Base de Grupos'!$A:$A,'Base de Grupos'!$J:$J)</f>
        <v>1000174119</v>
      </c>
      <c r="I839" s="2" t="str">
        <f>_xlfn.XLOOKUP($N839,'Base de Grupos'!$A:$A,'Base de Grupos'!$K:$K)</f>
        <v>REGIONAL VENDA INTERNA - CONVENIENCIA</v>
      </c>
      <c r="J839" s="2" t="str">
        <f>_xlfn.XLOOKUP($N839,'Base de Grupos'!$A:$A,'Base de Grupos'!$L:$L)</f>
        <v>1000174119</v>
      </c>
      <c r="K839" s="5" t="str">
        <f>_xlfn.XLOOKUP($N839,'Base de Grupos'!$A:$A,'Base de Grupos'!$M:$M)</f>
        <v>REGIONAL VENDA INTERNA - CONVENIENCIA</v>
      </c>
      <c r="L839" s="5" t="str">
        <f t="shared" si="337"/>
        <v/>
      </c>
      <c r="M839" s="5" t="str">
        <f>_xlfn.XLOOKUP($N839,'Base de Grupos'!$A:$A,'Base de Grupos'!$C:$C)</f>
        <v>MA</v>
      </c>
      <c r="N839" s="3">
        <v>1511</v>
      </c>
      <c r="O839" s="4" t="s">
        <v>270</v>
      </c>
      <c r="P839" s="5" t="s">
        <v>86</v>
      </c>
      <c r="Q839" s="24">
        <v>0</v>
      </c>
      <c r="R839" s="24">
        <v>0</v>
      </c>
      <c r="S839" s="24">
        <v>0</v>
      </c>
      <c r="T839" s="24">
        <v>0</v>
      </c>
      <c r="U839" s="24">
        <v>0</v>
      </c>
      <c r="V839" s="24">
        <v>0</v>
      </c>
      <c r="W839" s="24">
        <v>0</v>
      </c>
      <c r="X839" s="24">
        <v>0</v>
      </c>
      <c r="Y839" s="24">
        <v>0</v>
      </c>
      <c r="Z839" s="24">
        <v>0</v>
      </c>
      <c r="AA839" s="24">
        <v>0</v>
      </c>
      <c r="AB839" s="24">
        <v>0</v>
      </c>
      <c r="AC839" s="30">
        <f t="shared" si="338"/>
        <v>0</v>
      </c>
      <c r="AD839" s="28"/>
      <c r="AE839" s="12"/>
      <c r="AF839" s="29"/>
      <c r="AG839" s="9"/>
      <c r="AH839" s="10"/>
      <c r="AI839" s="9"/>
      <c r="AJ839" s="11"/>
      <c r="AK839" s="9"/>
      <c r="AL839" s="13"/>
      <c r="AM839" s="9"/>
    </row>
    <row r="840" spans="1:39" x14ac:dyDescent="0.3">
      <c r="A840" s="2" t="str">
        <f t="shared" si="336"/>
        <v>NÃO</v>
      </c>
      <c r="B840" s="2" t="str">
        <f>_xlfn.XLOOKUP($N840,'Base de Grupos'!$A:$A,'Base de Grupos'!$D:$D)</f>
        <v>1000065763</v>
      </c>
      <c r="C840" s="5" t="str">
        <f>_xlfn.XLOOKUP($N840,'Base de Grupos'!$A:$A,'Base de Grupos'!$E:$E)</f>
        <v>CANAL VENDA INTERNA</v>
      </c>
      <c r="D840" s="5" t="str">
        <f>_xlfn.XLOOKUP($N840,'Base de Grupos'!$A:$A,'Base de Grupos'!$F:$F)</f>
        <v>1000065763</v>
      </c>
      <c r="E840" s="2" t="str">
        <f>_xlfn.XLOOKUP($N840,'Base de Grupos'!$A:$A,'Base de Grupos'!$G:$G)</f>
        <v>CANAL VENDA INTERNA</v>
      </c>
      <c r="F840" s="2" t="str">
        <f>_xlfn.XLOOKUP($N840,'Base de Grupos'!$A:$A,'Base de Grupos'!$H:$H)</f>
        <v>1000174119</v>
      </c>
      <c r="G840" s="5" t="str">
        <f>_xlfn.XLOOKUP($N840,'Base de Grupos'!$A:$A,'Base de Grupos'!$I:$I)</f>
        <v>REGIONAL VENDA INTERNA - CONVENIENCIA</v>
      </c>
      <c r="H840" s="5" t="str">
        <f>_xlfn.XLOOKUP($N840,'Base de Grupos'!$A:$A,'Base de Grupos'!$J:$J)</f>
        <v>1000174119</v>
      </c>
      <c r="I840" s="2" t="str">
        <f>_xlfn.XLOOKUP($N840,'Base de Grupos'!$A:$A,'Base de Grupos'!$K:$K)</f>
        <v>REGIONAL VENDA INTERNA - CONVENIENCIA</v>
      </c>
      <c r="J840" s="2" t="str">
        <f>_xlfn.XLOOKUP($N840,'Base de Grupos'!$A:$A,'Base de Grupos'!$L:$L)</f>
        <v>1000174119</v>
      </c>
      <c r="K840" s="5" t="str">
        <f>_xlfn.XLOOKUP($N840,'Base de Grupos'!$A:$A,'Base de Grupos'!$M:$M)</f>
        <v>REGIONAL VENDA INTERNA - CONVENIENCIA</v>
      </c>
      <c r="L840" s="5" t="str">
        <f t="shared" si="337"/>
        <v/>
      </c>
      <c r="M840" s="5" t="str">
        <f>_xlfn.XLOOKUP($N840,'Base de Grupos'!$A:$A,'Base de Grupos'!$C:$C)</f>
        <v>MA</v>
      </c>
      <c r="N840" s="3">
        <v>1511</v>
      </c>
      <c r="O840" s="4" t="s">
        <v>270</v>
      </c>
      <c r="P840" s="5" t="s">
        <v>108</v>
      </c>
      <c r="Q840" s="24">
        <v>0</v>
      </c>
      <c r="R840" s="24">
        <v>0</v>
      </c>
      <c r="S840" s="24">
        <v>0</v>
      </c>
      <c r="T840" s="24">
        <v>0</v>
      </c>
      <c r="U840" s="24">
        <v>0</v>
      </c>
      <c r="V840" s="24">
        <v>0</v>
      </c>
      <c r="W840" s="24">
        <v>0</v>
      </c>
      <c r="X840" s="24">
        <v>0</v>
      </c>
      <c r="Y840" s="24">
        <v>0</v>
      </c>
      <c r="Z840" s="24">
        <v>0</v>
      </c>
      <c r="AA840" s="24">
        <v>0</v>
      </c>
      <c r="AB840" s="24">
        <v>0</v>
      </c>
      <c r="AC840" s="30">
        <f t="shared" si="338"/>
        <v>0</v>
      </c>
      <c r="AD840" s="28"/>
      <c r="AE840" s="12"/>
      <c r="AF840" s="29"/>
      <c r="AG840" s="9"/>
      <c r="AH840" s="10"/>
      <c r="AI840" s="9"/>
      <c r="AJ840" s="11"/>
      <c r="AK840" s="9"/>
      <c r="AL840" s="13"/>
      <c r="AM840" s="9"/>
    </row>
    <row r="841" spans="1:39" x14ac:dyDescent="0.3">
      <c r="A841" s="2" t="str">
        <f t="shared" si="336"/>
        <v>NÃO</v>
      </c>
      <c r="B841" s="2" t="str">
        <f>_xlfn.XLOOKUP($N841,'Base de Grupos'!$A:$A,'Base de Grupos'!$D:$D)</f>
        <v>1000065763</v>
      </c>
      <c r="C841" s="5" t="str">
        <f>_xlfn.XLOOKUP($N841,'Base de Grupos'!$A:$A,'Base de Grupos'!$E:$E)</f>
        <v>CANAL VENDA INTERNA</v>
      </c>
      <c r="D841" s="5" t="str">
        <f>_xlfn.XLOOKUP($N841,'Base de Grupos'!$A:$A,'Base de Grupos'!$F:$F)</f>
        <v>1000065763</v>
      </c>
      <c r="E841" s="2" t="str">
        <f>_xlfn.XLOOKUP($N841,'Base de Grupos'!$A:$A,'Base de Grupos'!$G:$G)</f>
        <v>CANAL VENDA INTERNA</v>
      </c>
      <c r="F841" s="2" t="str">
        <f>_xlfn.XLOOKUP($N841,'Base de Grupos'!$A:$A,'Base de Grupos'!$H:$H)</f>
        <v>1000174119</v>
      </c>
      <c r="G841" s="5" t="str">
        <f>_xlfn.XLOOKUP($N841,'Base de Grupos'!$A:$A,'Base de Grupos'!$I:$I)</f>
        <v>REGIONAL VENDA INTERNA - CONVENIENCIA</v>
      </c>
      <c r="H841" s="5" t="str">
        <f>_xlfn.XLOOKUP($N841,'Base de Grupos'!$A:$A,'Base de Grupos'!$J:$J)</f>
        <v>1000174119</v>
      </c>
      <c r="I841" s="2" t="str">
        <f>_xlfn.XLOOKUP($N841,'Base de Grupos'!$A:$A,'Base de Grupos'!$K:$K)</f>
        <v>REGIONAL VENDA INTERNA - CONVENIENCIA</v>
      </c>
      <c r="J841" s="2" t="str">
        <f>_xlfn.XLOOKUP($N841,'Base de Grupos'!$A:$A,'Base de Grupos'!$L:$L)</f>
        <v>1000174119</v>
      </c>
      <c r="K841" s="5" t="str">
        <f>_xlfn.XLOOKUP($N841,'Base de Grupos'!$A:$A,'Base de Grupos'!$M:$M)</f>
        <v>REGIONAL VENDA INTERNA - CONVENIENCIA</v>
      </c>
      <c r="L841" s="5" t="str">
        <f t="shared" si="337"/>
        <v/>
      </c>
      <c r="M841" s="5" t="str">
        <f>_xlfn.XLOOKUP($N841,'Base de Grupos'!$A:$A,'Base de Grupos'!$C:$C)</f>
        <v>MA</v>
      </c>
      <c r="N841" s="3">
        <v>1511</v>
      </c>
      <c r="O841" s="4" t="s">
        <v>270</v>
      </c>
      <c r="P841" s="5" t="s">
        <v>89</v>
      </c>
      <c r="Q841" s="24">
        <v>0</v>
      </c>
      <c r="R841" s="24">
        <v>0</v>
      </c>
      <c r="S841" s="24">
        <v>0</v>
      </c>
      <c r="T841" s="24">
        <v>0</v>
      </c>
      <c r="U841" s="24">
        <v>0</v>
      </c>
      <c r="V841" s="24">
        <v>0</v>
      </c>
      <c r="W841" s="24">
        <v>0</v>
      </c>
      <c r="X841" s="24">
        <v>0</v>
      </c>
      <c r="Y841" s="24">
        <v>0</v>
      </c>
      <c r="Z841" s="24">
        <v>0</v>
      </c>
      <c r="AA841" s="24">
        <v>0</v>
      </c>
      <c r="AB841" s="24">
        <v>0</v>
      </c>
      <c r="AC841" s="30">
        <f t="shared" si="338"/>
        <v>0</v>
      </c>
      <c r="AD841" s="28"/>
      <c r="AE841" s="12"/>
      <c r="AF841" s="29"/>
      <c r="AG841" s="9"/>
      <c r="AH841" s="10"/>
      <c r="AI841" s="9"/>
      <c r="AJ841" s="11"/>
      <c r="AK841" s="9"/>
      <c r="AL841" s="13"/>
      <c r="AM841" s="9"/>
    </row>
    <row r="842" spans="1:39" x14ac:dyDescent="0.3">
      <c r="A842" s="2" t="str">
        <f t="shared" si="336"/>
        <v>NÃO</v>
      </c>
      <c r="B842" s="2" t="str">
        <f>_xlfn.XLOOKUP($N842,'Base de Grupos'!$A:$A,'Base de Grupos'!$D:$D)</f>
        <v>1000065763</v>
      </c>
      <c r="C842" s="5" t="str">
        <f>_xlfn.XLOOKUP($N842,'Base de Grupos'!$A:$A,'Base de Grupos'!$E:$E)</f>
        <v>CANAL VENDA INTERNA</v>
      </c>
      <c r="D842" s="5" t="str">
        <f>_xlfn.XLOOKUP($N842,'Base de Grupos'!$A:$A,'Base de Grupos'!$F:$F)</f>
        <v>1000065763</v>
      </c>
      <c r="E842" s="2" t="str">
        <f>_xlfn.XLOOKUP($N842,'Base de Grupos'!$A:$A,'Base de Grupos'!$G:$G)</f>
        <v>CANAL VENDA INTERNA</v>
      </c>
      <c r="F842" s="2" t="str">
        <f>_xlfn.XLOOKUP($N842,'Base de Grupos'!$A:$A,'Base de Grupos'!$H:$H)</f>
        <v>1000174119</v>
      </c>
      <c r="G842" s="5" t="str">
        <f>_xlfn.XLOOKUP($N842,'Base de Grupos'!$A:$A,'Base de Grupos'!$I:$I)</f>
        <v>REGIONAL VENDA INTERNA - CONVENIENCIA</v>
      </c>
      <c r="H842" s="5" t="str">
        <f>_xlfn.XLOOKUP($N842,'Base de Grupos'!$A:$A,'Base de Grupos'!$J:$J)</f>
        <v>1000174119</v>
      </c>
      <c r="I842" s="2" t="str">
        <f>_xlfn.XLOOKUP($N842,'Base de Grupos'!$A:$A,'Base de Grupos'!$K:$K)</f>
        <v>REGIONAL VENDA INTERNA - CONVENIENCIA</v>
      </c>
      <c r="J842" s="2" t="str">
        <f>_xlfn.XLOOKUP($N842,'Base de Grupos'!$A:$A,'Base de Grupos'!$L:$L)</f>
        <v>1000174119</v>
      </c>
      <c r="K842" s="5" t="str">
        <f>_xlfn.XLOOKUP($N842,'Base de Grupos'!$A:$A,'Base de Grupos'!$M:$M)</f>
        <v>REGIONAL VENDA INTERNA - CONVENIENCIA</v>
      </c>
      <c r="L842" s="5" t="str">
        <f t="shared" si="337"/>
        <v/>
      </c>
      <c r="M842" s="5" t="str">
        <f>_xlfn.XLOOKUP($N842,'Base de Grupos'!$A:$A,'Base de Grupos'!$C:$C)</f>
        <v>MA</v>
      </c>
      <c r="N842" s="3">
        <v>1511</v>
      </c>
      <c r="O842" s="4" t="s">
        <v>270</v>
      </c>
      <c r="P842" s="5" t="s">
        <v>88</v>
      </c>
      <c r="Q842" s="24">
        <v>0</v>
      </c>
      <c r="R842" s="24">
        <v>0</v>
      </c>
      <c r="S842" s="24">
        <v>0</v>
      </c>
      <c r="T842" s="24">
        <v>0</v>
      </c>
      <c r="U842" s="24">
        <v>0</v>
      </c>
      <c r="V842" s="24">
        <v>0</v>
      </c>
      <c r="W842" s="24">
        <v>0</v>
      </c>
      <c r="X842" s="24">
        <v>0</v>
      </c>
      <c r="Y842" s="24">
        <v>0</v>
      </c>
      <c r="Z842" s="24">
        <v>0</v>
      </c>
      <c r="AA842" s="24">
        <v>0</v>
      </c>
      <c r="AB842" s="24">
        <v>0</v>
      </c>
      <c r="AC842" s="30">
        <f t="shared" si="338"/>
        <v>0</v>
      </c>
      <c r="AD842" s="28"/>
      <c r="AE842" s="12"/>
      <c r="AF842" s="29"/>
      <c r="AG842" s="9"/>
      <c r="AH842" s="10"/>
      <c r="AI842" s="9"/>
      <c r="AJ842" s="11"/>
      <c r="AK842" s="9"/>
      <c r="AL842" s="13"/>
      <c r="AM842" s="9"/>
    </row>
    <row r="843" spans="1:39" x14ac:dyDescent="0.3">
      <c r="A843" s="2" t="str">
        <f t="shared" si="336"/>
        <v>NÃO</v>
      </c>
      <c r="B843" s="2" t="str">
        <f>_xlfn.XLOOKUP($N843,'Base de Grupos'!$A:$A,'Base de Grupos'!$D:$D)</f>
        <v>1000065763</v>
      </c>
      <c r="C843" s="5" t="str">
        <f>_xlfn.XLOOKUP($N843,'Base de Grupos'!$A:$A,'Base de Grupos'!$E:$E)</f>
        <v>CANAL VENDA INTERNA</v>
      </c>
      <c r="D843" s="5" t="str">
        <f>_xlfn.XLOOKUP($N843,'Base de Grupos'!$A:$A,'Base de Grupos'!$F:$F)</f>
        <v>1000065763</v>
      </c>
      <c r="E843" s="2" t="str">
        <f>_xlfn.XLOOKUP($N843,'Base de Grupos'!$A:$A,'Base de Grupos'!$G:$G)</f>
        <v>CANAL VENDA INTERNA</v>
      </c>
      <c r="F843" s="2" t="str">
        <f>_xlfn.XLOOKUP($N843,'Base de Grupos'!$A:$A,'Base de Grupos'!$H:$H)</f>
        <v>1000174119</v>
      </c>
      <c r="G843" s="5" t="str">
        <f>_xlfn.XLOOKUP($N843,'Base de Grupos'!$A:$A,'Base de Grupos'!$I:$I)</f>
        <v>REGIONAL VENDA INTERNA - CONVENIENCIA</v>
      </c>
      <c r="H843" s="5" t="str">
        <f>_xlfn.XLOOKUP($N843,'Base de Grupos'!$A:$A,'Base de Grupos'!$J:$J)</f>
        <v>1000174119</v>
      </c>
      <c r="I843" s="2" t="str">
        <f>_xlfn.XLOOKUP($N843,'Base de Grupos'!$A:$A,'Base de Grupos'!$K:$K)</f>
        <v>REGIONAL VENDA INTERNA - CONVENIENCIA</v>
      </c>
      <c r="J843" s="2" t="str">
        <f>_xlfn.XLOOKUP($N843,'Base de Grupos'!$A:$A,'Base de Grupos'!$L:$L)</f>
        <v>1000174119</v>
      </c>
      <c r="K843" s="5" t="str">
        <f>_xlfn.XLOOKUP($N843,'Base de Grupos'!$A:$A,'Base de Grupos'!$M:$M)</f>
        <v>REGIONAL VENDA INTERNA - CONVENIENCIA</v>
      </c>
      <c r="L843" s="5" t="str">
        <f t="shared" si="337"/>
        <v/>
      </c>
      <c r="M843" s="5" t="str">
        <f>_xlfn.XLOOKUP($N843,'Base de Grupos'!$A:$A,'Base de Grupos'!$C:$C)</f>
        <v>MA</v>
      </c>
      <c r="N843" s="3">
        <v>1511</v>
      </c>
      <c r="O843" s="4" t="s">
        <v>270</v>
      </c>
      <c r="P843" s="5" t="s">
        <v>90</v>
      </c>
      <c r="Q843" s="24">
        <v>0</v>
      </c>
      <c r="R843" s="24">
        <v>0</v>
      </c>
      <c r="S843" s="24">
        <v>0</v>
      </c>
      <c r="T843" s="24">
        <v>0</v>
      </c>
      <c r="U843" s="24">
        <v>0</v>
      </c>
      <c r="V843" s="24">
        <v>0</v>
      </c>
      <c r="W843" s="24">
        <v>0</v>
      </c>
      <c r="X843" s="24">
        <v>0</v>
      </c>
      <c r="Y843" s="24">
        <v>0</v>
      </c>
      <c r="Z843" s="24">
        <v>0</v>
      </c>
      <c r="AA843" s="24">
        <v>0</v>
      </c>
      <c r="AB843" s="24">
        <v>0</v>
      </c>
      <c r="AC843" s="30">
        <f t="shared" si="338"/>
        <v>0</v>
      </c>
      <c r="AD843" s="28"/>
      <c r="AE843" s="12"/>
      <c r="AF843" s="29"/>
      <c r="AG843" s="9"/>
      <c r="AH843" s="10"/>
      <c r="AI843" s="9"/>
      <c r="AJ843" s="11"/>
      <c r="AK843" s="9"/>
      <c r="AL843" s="13"/>
      <c r="AM843" s="9"/>
    </row>
    <row r="844" spans="1:39" x14ac:dyDescent="0.3">
      <c r="A844" s="2" t="str">
        <f t="shared" si="336"/>
        <v>NÃO</v>
      </c>
      <c r="B844" s="2" t="str">
        <f>_xlfn.XLOOKUP($N844,'Base de Grupos'!$A:$A,'Base de Grupos'!$D:$D)</f>
        <v>1000065763</v>
      </c>
      <c r="C844" s="5" t="str">
        <f>_xlfn.XLOOKUP($N844,'Base de Grupos'!$A:$A,'Base de Grupos'!$E:$E)</f>
        <v>CANAL VENDA INTERNA</v>
      </c>
      <c r="D844" s="5" t="str">
        <f>_xlfn.XLOOKUP($N844,'Base de Grupos'!$A:$A,'Base de Grupos'!$F:$F)</f>
        <v>1000065763</v>
      </c>
      <c r="E844" s="2" t="str">
        <f>_xlfn.XLOOKUP($N844,'Base de Grupos'!$A:$A,'Base de Grupos'!$G:$G)</f>
        <v>CANAL VENDA INTERNA</v>
      </c>
      <c r="F844" s="2" t="str">
        <f>_xlfn.XLOOKUP($N844,'Base de Grupos'!$A:$A,'Base de Grupos'!$H:$H)</f>
        <v>1000174119</v>
      </c>
      <c r="G844" s="5" t="str">
        <f>_xlfn.XLOOKUP($N844,'Base de Grupos'!$A:$A,'Base de Grupos'!$I:$I)</f>
        <v>REGIONAL VENDA INTERNA - CONVENIENCIA</v>
      </c>
      <c r="H844" s="5" t="str">
        <f>_xlfn.XLOOKUP($N844,'Base de Grupos'!$A:$A,'Base de Grupos'!$J:$J)</f>
        <v>1000174119</v>
      </c>
      <c r="I844" s="2" t="str">
        <f>_xlfn.XLOOKUP($N844,'Base de Grupos'!$A:$A,'Base de Grupos'!$K:$K)</f>
        <v>REGIONAL VENDA INTERNA - CONVENIENCIA</v>
      </c>
      <c r="J844" s="2" t="str">
        <f>_xlfn.XLOOKUP($N844,'Base de Grupos'!$A:$A,'Base de Grupos'!$L:$L)</f>
        <v>1000174119</v>
      </c>
      <c r="K844" s="5" t="str">
        <f>_xlfn.XLOOKUP($N844,'Base de Grupos'!$A:$A,'Base de Grupos'!$M:$M)</f>
        <v>REGIONAL VENDA INTERNA - CONVENIENCIA</v>
      </c>
      <c r="L844" s="5" t="str">
        <f t="shared" si="337"/>
        <v/>
      </c>
      <c r="M844" s="5" t="str">
        <f>_xlfn.XLOOKUP($N844,'Base de Grupos'!$A:$A,'Base de Grupos'!$C:$C)</f>
        <v>MA</v>
      </c>
      <c r="N844" s="3">
        <v>1511</v>
      </c>
      <c r="O844" s="4" t="s">
        <v>270</v>
      </c>
      <c r="P844" s="5" t="s">
        <v>91</v>
      </c>
      <c r="Q844" s="24">
        <v>0</v>
      </c>
      <c r="R844" s="24">
        <v>0</v>
      </c>
      <c r="S844" s="24">
        <v>0</v>
      </c>
      <c r="T844" s="24">
        <v>0</v>
      </c>
      <c r="U844" s="24">
        <v>0</v>
      </c>
      <c r="V844" s="24">
        <v>0</v>
      </c>
      <c r="W844" s="24">
        <v>0</v>
      </c>
      <c r="X844" s="24">
        <v>0</v>
      </c>
      <c r="Y844" s="24">
        <v>0</v>
      </c>
      <c r="Z844" s="24">
        <v>0</v>
      </c>
      <c r="AA844" s="24">
        <v>0</v>
      </c>
      <c r="AB844" s="24">
        <v>0</v>
      </c>
      <c r="AC844" s="30">
        <f t="shared" si="338"/>
        <v>0</v>
      </c>
      <c r="AD844" s="28"/>
      <c r="AE844" s="12"/>
      <c r="AF844" s="29"/>
      <c r="AG844" s="9"/>
      <c r="AH844" s="10"/>
      <c r="AI844" s="9"/>
      <c r="AJ844" s="11"/>
      <c r="AK844" s="9"/>
      <c r="AL844" s="13"/>
      <c r="AM844" s="9"/>
    </row>
    <row r="845" spans="1:39" x14ac:dyDescent="0.3">
      <c r="A845" s="2" t="str">
        <f t="shared" si="336"/>
        <v>NÃO</v>
      </c>
      <c r="B845" s="2" t="str">
        <f>_xlfn.XLOOKUP($N845,'Base de Grupos'!$A:$A,'Base de Grupos'!$D:$D)</f>
        <v>1000065763</v>
      </c>
      <c r="C845" s="5" t="str">
        <f>_xlfn.XLOOKUP($N845,'Base de Grupos'!$A:$A,'Base de Grupos'!$E:$E)</f>
        <v>CANAL VENDA INTERNA</v>
      </c>
      <c r="D845" s="5" t="str">
        <f>_xlfn.XLOOKUP($N845,'Base de Grupos'!$A:$A,'Base de Grupos'!$F:$F)</f>
        <v>1000065763</v>
      </c>
      <c r="E845" s="2" t="str">
        <f>_xlfn.XLOOKUP($N845,'Base de Grupos'!$A:$A,'Base de Grupos'!$G:$G)</f>
        <v>CANAL VENDA INTERNA</v>
      </c>
      <c r="F845" s="2" t="str">
        <f>_xlfn.XLOOKUP($N845,'Base de Grupos'!$A:$A,'Base de Grupos'!$H:$H)</f>
        <v>1000174119</v>
      </c>
      <c r="G845" s="5" t="str">
        <f>_xlfn.XLOOKUP($N845,'Base de Grupos'!$A:$A,'Base de Grupos'!$I:$I)</f>
        <v>REGIONAL VENDA INTERNA - CONVENIENCIA</v>
      </c>
      <c r="H845" s="5" t="str">
        <f>_xlfn.XLOOKUP($N845,'Base de Grupos'!$A:$A,'Base de Grupos'!$J:$J)</f>
        <v>1000174119</v>
      </c>
      <c r="I845" s="2" t="str">
        <f>_xlfn.XLOOKUP($N845,'Base de Grupos'!$A:$A,'Base de Grupos'!$K:$K)</f>
        <v>REGIONAL VENDA INTERNA - CONVENIENCIA</v>
      </c>
      <c r="J845" s="2" t="str">
        <f>_xlfn.XLOOKUP($N845,'Base de Grupos'!$A:$A,'Base de Grupos'!$L:$L)</f>
        <v>1000174119</v>
      </c>
      <c r="K845" s="5" t="str">
        <f>_xlfn.XLOOKUP($N845,'Base de Grupos'!$A:$A,'Base de Grupos'!$M:$M)</f>
        <v>REGIONAL VENDA INTERNA - CONVENIENCIA</v>
      </c>
      <c r="L845" s="5" t="str">
        <f t="shared" si="337"/>
        <v/>
      </c>
      <c r="M845" s="5" t="str">
        <f>_xlfn.XLOOKUP($N845,'Base de Grupos'!$A:$A,'Base de Grupos'!$C:$C)</f>
        <v>MA</v>
      </c>
      <c r="N845" s="3">
        <v>1511</v>
      </c>
      <c r="O845" s="4" t="s">
        <v>270</v>
      </c>
      <c r="P845" s="5" t="s">
        <v>96</v>
      </c>
      <c r="Q845" s="24">
        <v>0</v>
      </c>
      <c r="R845" s="24">
        <v>0</v>
      </c>
      <c r="S845" s="24">
        <v>0</v>
      </c>
      <c r="T845" s="24">
        <v>0</v>
      </c>
      <c r="U845" s="24">
        <v>0</v>
      </c>
      <c r="V845" s="24">
        <v>0</v>
      </c>
      <c r="W845" s="24">
        <v>0</v>
      </c>
      <c r="X845" s="24">
        <v>0</v>
      </c>
      <c r="Y845" s="24">
        <v>0</v>
      </c>
      <c r="Z845" s="24">
        <v>0</v>
      </c>
      <c r="AA845" s="24">
        <v>0</v>
      </c>
      <c r="AB845" s="24">
        <v>0</v>
      </c>
      <c r="AC845" s="30">
        <f t="shared" si="338"/>
        <v>0</v>
      </c>
      <c r="AD845" s="28"/>
      <c r="AE845" s="12"/>
      <c r="AF845" s="29"/>
      <c r="AG845" s="9"/>
      <c r="AH845" s="10"/>
      <c r="AI845" s="9"/>
      <c r="AJ845" s="11"/>
      <c r="AK845" s="9"/>
      <c r="AL845" s="13"/>
      <c r="AM845" s="9"/>
    </row>
    <row r="846" spans="1:39" x14ac:dyDescent="0.3">
      <c r="A846" s="2" t="str">
        <f t="shared" si="336"/>
        <v>NÃO</v>
      </c>
      <c r="B846" s="2" t="str">
        <f>_xlfn.XLOOKUP($N846,'Base de Grupos'!$A:$A,'Base de Grupos'!$D:$D)</f>
        <v>1000065763</v>
      </c>
      <c r="C846" s="5" t="str">
        <f>_xlfn.XLOOKUP($N846,'Base de Grupos'!$A:$A,'Base de Grupos'!$E:$E)</f>
        <v>CANAL VENDA INTERNA</v>
      </c>
      <c r="D846" s="5" t="str">
        <f>_xlfn.XLOOKUP($N846,'Base de Grupos'!$A:$A,'Base de Grupos'!$F:$F)</f>
        <v>1000065763</v>
      </c>
      <c r="E846" s="2" t="str">
        <f>_xlfn.XLOOKUP($N846,'Base de Grupos'!$A:$A,'Base de Grupos'!$G:$G)</f>
        <v>CANAL VENDA INTERNA</v>
      </c>
      <c r="F846" s="2" t="str">
        <f>_xlfn.XLOOKUP($N846,'Base de Grupos'!$A:$A,'Base de Grupos'!$H:$H)</f>
        <v>1000174119</v>
      </c>
      <c r="G846" s="5" t="str">
        <f>_xlfn.XLOOKUP($N846,'Base de Grupos'!$A:$A,'Base de Grupos'!$I:$I)</f>
        <v>REGIONAL VENDA INTERNA - CONVENIENCIA</v>
      </c>
      <c r="H846" s="5" t="str">
        <f>_xlfn.XLOOKUP($N846,'Base de Grupos'!$A:$A,'Base de Grupos'!$J:$J)</f>
        <v>1000174119</v>
      </c>
      <c r="I846" s="2" t="str">
        <f>_xlfn.XLOOKUP($N846,'Base de Grupos'!$A:$A,'Base de Grupos'!$K:$K)</f>
        <v>REGIONAL VENDA INTERNA - CONVENIENCIA</v>
      </c>
      <c r="J846" s="2" t="str">
        <f>_xlfn.XLOOKUP($N846,'Base de Grupos'!$A:$A,'Base de Grupos'!$L:$L)</f>
        <v>1000174119</v>
      </c>
      <c r="K846" s="5" t="str">
        <f>_xlfn.XLOOKUP($N846,'Base de Grupos'!$A:$A,'Base de Grupos'!$M:$M)</f>
        <v>REGIONAL VENDA INTERNA - CONVENIENCIA</v>
      </c>
      <c r="L846" s="5" t="str">
        <f t="shared" si="337"/>
        <v/>
      </c>
      <c r="M846" s="5" t="str">
        <f>_xlfn.XLOOKUP($N846,'Base de Grupos'!$A:$A,'Base de Grupos'!$C:$C)</f>
        <v>MA</v>
      </c>
      <c r="N846" s="3">
        <v>1511</v>
      </c>
      <c r="O846" s="4" t="s">
        <v>270</v>
      </c>
      <c r="P846" s="5" t="s">
        <v>94</v>
      </c>
      <c r="Q846" s="24">
        <v>0</v>
      </c>
      <c r="R846" s="24">
        <v>0</v>
      </c>
      <c r="S846" s="24">
        <v>0</v>
      </c>
      <c r="T846" s="24">
        <v>0</v>
      </c>
      <c r="U846" s="24">
        <v>0</v>
      </c>
      <c r="V846" s="24">
        <v>0</v>
      </c>
      <c r="W846" s="24">
        <v>0</v>
      </c>
      <c r="X846" s="24">
        <v>0</v>
      </c>
      <c r="Y846" s="24">
        <v>0</v>
      </c>
      <c r="Z846" s="24">
        <v>0</v>
      </c>
      <c r="AA846" s="24">
        <v>0</v>
      </c>
      <c r="AB846" s="24">
        <v>0</v>
      </c>
      <c r="AC846" s="30">
        <f t="shared" si="338"/>
        <v>0</v>
      </c>
      <c r="AD846" s="28"/>
      <c r="AE846" s="12"/>
      <c r="AF846" s="29"/>
      <c r="AG846" s="9"/>
      <c r="AH846" s="10"/>
      <c r="AI846" s="9"/>
      <c r="AJ846" s="11"/>
      <c r="AK846" s="9"/>
      <c r="AL846" s="13"/>
      <c r="AM846" s="9"/>
    </row>
    <row r="847" spans="1:39" x14ac:dyDescent="0.3">
      <c r="A847" s="2" t="str">
        <f t="shared" si="336"/>
        <v>NÃO</v>
      </c>
      <c r="B847" s="2" t="str">
        <f>_xlfn.XLOOKUP($N847,'Base de Grupos'!$A:$A,'Base de Grupos'!$D:$D)</f>
        <v>1000065763</v>
      </c>
      <c r="C847" s="5" t="str">
        <f>_xlfn.XLOOKUP($N847,'Base de Grupos'!$A:$A,'Base de Grupos'!$E:$E)</f>
        <v>CANAL VENDA INTERNA</v>
      </c>
      <c r="D847" s="5" t="str">
        <f>_xlfn.XLOOKUP($N847,'Base de Grupos'!$A:$A,'Base de Grupos'!$F:$F)</f>
        <v>1000065763</v>
      </c>
      <c r="E847" s="2" t="str">
        <f>_xlfn.XLOOKUP($N847,'Base de Grupos'!$A:$A,'Base de Grupos'!$G:$G)</f>
        <v>CANAL VENDA INTERNA</v>
      </c>
      <c r="F847" s="2" t="str">
        <f>_xlfn.XLOOKUP($N847,'Base de Grupos'!$A:$A,'Base de Grupos'!$H:$H)</f>
        <v>1000174119</v>
      </c>
      <c r="G847" s="5" t="str">
        <f>_xlfn.XLOOKUP($N847,'Base de Grupos'!$A:$A,'Base de Grupos'!$I:$I)</f>
        <v>REGIONAL VENDA INTERNA - CONVENIENCIA</v>
      </c>
      <c r="H847" s="5" t="str">
        <f>_xlfn.XLOOKUP($N847,'Base de Grupos'!$A:$A,'Base de Grupos'!$J:$J)</f>
        <v>1000174119</v>
      </c>
      <c r="I847" s="2" t="str">
        <f>_xlfn.XLOOKUP($N847,'Base de Grupos'!$A:$A,'Base de Grupos'!$K:$K)</f>
        <v>REGIONAL VENDA INTERNA - CONVENIENCIA</v>
      </c>
      <c r="J847" s="2" t="str">
        <f>_xlfn.XLOOKUP($N847,'Base de Grupos'!$A:$A,'Base de Grupos'!$L:$L)</f>
        <v>1000174119</v>
      </c>
      <c r="K847" s="5" t="str">
        <f>_xlfn.XLOOKUP($N847,'Base de Grupos'!$A:$A,'Base de Grupos'!$M:$M)</f>
        <v>REGIONAL VENDA INTERNA - CONVENIENCIA</v>
      </c>
      <c r="L847" s="5" t="str">
        <f t="shared" si="337"/>
        <v/>
      </c>
      <c r="M847" s="5" t="str">
        <f>_xlfn.XLOOKUP($N847,'Base de Grupos'!$A:$A,'Base de Grupos'!$C:$C)</f>
        <v>MA</v>
      </c>
      <c r="N847" s="3">
        <v>1511</v>
      </c>
      <c r="O847" s="4" t="s">
        <v>270</v>
      </c>
      <c r="P847" s="5" t="s">
        <v>95</v>
      </c>
      <c r="Q847" s="24">
        <v>0</v>
      </c>
      <c r="R847" s="24">
        <v>0</v>
      </c>
      <c r="S847" s="24">
        <v>0</v>
      </c>
      <c r="T847" s="24">
        <v>0</v>
      </c>
      <c r="U847" s="24">
        <v>0</v>
      </c>
      <c r="V847" s="24">
        <v>0</v>
      </c>
      <c r="W847" s="24">
        <v>0</v>
      </c>
      <c r="X847" s="24">
        <v>0</v>
      </c>
      <c r="Y847" s="24">
        <v>0</v>
      </c>
      <c r="Z847" s="24">
        <v>0</v>
      </c>
      <c r="AA847" s="24">
        <v>0</v>
      </c>
      <c r="AB847" s="24">
        <v>0</v>
      </c>
      <c r="AC847" s="30">
        <f t="shared" si="338"/>
        <v>0</v>
      </c>
      <c r="AD847" s="28"/>
      <c r="AE847" s="12"/>
      <c r="AF847" s="29"/>
      <c r="AG847" s="9"/>
      <c r="AH847" s="10"/>
      <c r="AI847" s="9"/>
      <c r="AJ847" s="11"/>
      <c r="AK847" s="9"/>
      <c r="AL847" s="13"/>
      <c r="AM847" s="9"/>
    </row>
    <row r="848" spans="1:39" x14ac:dyDescent="0.3">
      <c r="A848" s="2" t="str">
        <f t="shared" si="336"/>
        <v>NÃO</v>
      </c>
      <c r="B848" s="2" t="str">
        <f>_xlfn.XLOOKUP($N848,'Base de Grupos'!$A:$A,'Base de Grupos'!$D:$D)</f>
        <v>1000065763</v>
      </c>
      <c r="C848" s="5" t="str">
        <f>_xlfn.XLOOKUP($N848,'Base de Grupos'!$A:$A,'Base de Grupos'!$E:$E)</f>
        <v>CANAL VENDA INTERNA</v>
      </c>
      <c r="D848" s="5" t="str">
        <f>_xlfn.XLOOKUP($N848,'Base de Grupos'!$A:$A,'Base de Grupos'!$F:$F)</f>
        <v>1000065763</v>
      </c>
      <c r="E848" s="2" t="str">
        <f>_xlfn.XLOOKUP($N848,'Base de Grupos'!$A:$A,'Base de Grupos'!$G:$G)</f>
        <v>CANAL VENDA INTERNA</v>
      </c>
      <c r="F848" s="2" t="str">
        <f>_xlfn.XLOOKUP($N848,'Base de Grupos'!$A:$A,'Base de Grupos'!$H:$H)</f>
        <v>1000174119</v>
      </c>
      <c r="G848" s="5" t="str">
        <f>_xlfn.XLOOKUP($N848,'Base de Grupos'!$A:$A,'Base de Grupos'!$I:$I)</f>
        <v>REGIONAL VENDA INTERNA - CONVENIENCIA</v>
      </c>
      <c r="H848" s="5" t="str">
        <f>_xlfn.XLOOKUP($N848,'Base de Grupos'!$A:$A,'Base de Grupos'!$J:$J)</f>
        <v>1000174119</v>
      </c>
      <c r="I848" s="2" t="str">
        <f>_xlfn.XLOOKUP($N848,'Base de Grupos'!$A:$A,'Base de Grupos'!$K:$K)</f>
        <v>REGIONAL VENDA INTERNA - CONVENIENCIA</v>
      </c>
      <c r="J848" s="2" t="str">
        <f>_xlfn.XLOOKUP($N848,'Base de Grupos'!$A:$A,'Base de Grupos'!$L:$L)</f>
        <v>1000174119</v>
      </c>
      <c r="K848" s="5" t="str">
        <f>_xlfn.XLOOKUP($N848,'Base de Grupos'!$A:$A,'Base de Grupos'!$M:$M)</f>
        <v>REGIONAL VENDA INTERNA - CONVENIENCIA</v>
      </c>
      <c r="L848" s="5" t="str">
        <f t="shared" si="337"/>
        <v/>
      </c>
      <c r="M848" s="5" t="str">
        <f>_xlfn.XLOOKUP($N848,'Base de Grupos'!$A:$A,'Base de Grupos'!$C:$C)</f>
        <v>MA</v>
      </c>
      <c r="N848" s="3">
        <v>1511</v>
      </c>
      <c r="O848" s="4" t="s">
        <v>270</v>
      </c>
      <c r="P848" s="5" t="s">
        <v>93</v>
      </c>
      <c r="Q848" s="24">
        <v>0</v>
      </c>
      <c r="R848" s="24">
        <v>0</v>
      </c>
      <c r="S848" s="24">
        <v>0</v>
      </c>
      <c r="T848" s="24">
        <v>0</v>
      </c>
      <c r="U848" s="24">
        <v>0</v>
      </c>
      <c r="V848" s="24">
        <v>0</v>
      </c>
      <c r="W848" s="24">
        <v>0</v>
      </c>
      <c r="X848" s="24">
        <v>0</v>
      </c>
      <c r="Y848" s="24">
        <v>0</v>
      </c>
      <c r="Z848" s="24">
        <v>0</v>
      </c>
      <c r="AA848" s="24">
        <v>0</v>
      </c>
      <c r="AB848" s="24">
        <v>0</v>
      </c>
      <c r="AC848" s="30">
        <f t="shared" si="338"/>
        <v>0</v>
      </c>
      <c r="AD848" s="28"/>
      <c r="AE848" s="12"/>
      <c r="AF848" s="29"/>
      <c r="AG848" s="9"/>
      <c r="AH848" s="10"/>
      <c r="AI848" s="9"/>
      <c r="AJ848" s="11"/>
      <c r="AK848" s="9"/>
      <c r="AL848" s="13"/>
      <c r="AM848" s="9"/>
    </row>
    <row r="849" spans="1:39" x14ac:dyDescent="0.3">
      <c r="A849" s="2" t="str">
        <f t="shared" si="336"/>
        <v>SIM</v>
      </c>
      <c r="B849" s="2" t="str">
        <f>_xlfn.XLOOKUP($N849,'Base de Grupos'!$A:$A,'Base de Grupos'!$D:$D)</f>
        <v>1000065763</v>
      </c>
      <c r="C849" s="5" t="str">
        <f>_xlfn.XLOOKUP($N849,'Base de Grupos'!$A:$A,'Base de Grupos'!$E:$E)</f>
        <v>CANAL VENDA INTERNA</v>
      </c>
      <c r="D849" s="5" t="str">
        <f>_xlfn.XLOOKUP($N849,'Base de Grupos'!$A:$A,'Base de Grupos'!$F:$F)</f>
        <v>1000065763</v>
      </c>
      <c r="E849" s="2" t="str">
        <f>_xlfn.XLOOKUP($N849,'Base de Grupos'!$A:$A,'Base de Grupos'!$G:$G)</f>
        <v>CANAL VENDA INTERNA</v>
      </c>
      <c r="F849" s="2" t="str">
        <f>_xlfn.XLOOKUP($N849,'Base de Grupos'!$A:$A,'Base de Grupos'!$H:$H)</f>
        <v>1000174119</v>
      </c>
      <c r="G849" s="5" t="str">
        <f>_xlfn.XLOOKUP($N849,'Base de Grupos'!$A:$A,'Base de Grupos'!$I:$I)</f>
        <v>REGIONAL VENDA INTERNA - CONVENIENCIA</v>
      </c>
      <c r="H849" s="5" t="str">
        <f>_xlfn.XLOOKUP($N849,'Base de Grupos'!$A:$A,'Base de Grupos'!$J:$J)</f>
        <v>1000174119</v>
      </c>
      <c r="I849" s="2" t="str">
        <f>_xlfn.XLOOKUP($N849,'Base de Grupos'!$A:$A,'Base de Grupos'!$K:$K)</f>
        <v>REGIONAL VENDA INTERNA - CONVENIENCIA</v>
      </c>
      <c r="J849" s="2" t="str">
        <f>_xlfn.XLOOKUP($N849,'Base de Grupos'!$A:$A,'Base de Grupos'!$L:$L)</f>
        <v>1000174119</v>
      </c>
      <c r="K849" s="5" t="str">
        <f>_xlfn.XLOOKUP($N849,'Base de Grupos'!$A:$A,'Base de Grupos'!$M:$M)</f>
        <v>REGIONAL VENDA INTERNA - CONVENIENCIA</v>
      </c>
      <c r="L849" s="5">
        <f t="shared" si="337"/>
        <v>1</v>
      </c>
      <c r="M849" s="5" t="str">
        <f>_xlfn.XLOOKUP($N849,'Base de Grupos'!$A:$A,'Base de Grupos'!$C:$C)</f>
        <v>TO</v>
      </c>
      <c r="N849" s="3">
        <v>1512</v>
      </c>
      <c r="O849" s="4" t="s">
        <v>271</v>
      </c>
      <c r="P849" s="5" t="s">
        <v>341</v>
      </c>
      <c r="Q849" s="24">
        <v>0</v>
      </c>
      <c r="R849" s="24">
        <v>0</v>
      </c>
      <c r="S849" s="24">
        <v>0</v>
      </c>
      <c r="T849" s="24">
        <v>0</v>
      </c>
      <c r="U849" s="24">
        <v>0</v>
      </c>
      <c r="V849" s="24">
        <v>0</v>
      </c>
      <c r="W849" s="24">
        <v>0</v>
      </c>
      <c r="X849" s="24">
        <v>0</v>
      </c>
      <c r="Y849" s="24">
        <v>0</v>
      </c>
      <c r="Z849" s="24">
        <v>0</v>
      </c>
      <c r="AA849" s="24">
        <v>0</v>
      </c>
      <c r="AB849" s="24">
        <v>0</v>
      </c>
      <c r="AC849" s="30">
        <f t="shared" si="338"/>
        <v>0</v>
      </c>
      <c r="AD849" s="28"/>
      <c r="AE849" s="12"/>
      <c r="AF849" s="29"/>
      <c r="AG849" s="9"/>
      <c r="AH849" s="10"/>
      <c r="AI849" s="9"/>
      <c r="AJ849" s="11"/>
      <c r="AK849" s="9"/>
      <c r="AL849" s="13"/>
      <c r="AM849" s="9"/>
    </row>
    <row r="850" spans="1:39" x14ac:dyDescent="0.3">
      <c r="A850" s="2" t="str">
        <f t="shared" si="336"/>
        <v>NÃO</v>
      </c>
      <c r="B850" s="2" t="str">
        <f>_xlfn.XLOOKUP($N850,'Base de Grupos'!$A:$A,'Base de Grupos'!$D:$D)</f>
        <v>1000065763</v>
      </c>
      <c r="C850" s="5" t="str">
        <f>_xlfn.XLOOKUP($N850,'Base de Grupos'!$A:$A,'Base de Grupos'!$E:$E)</f>
        <v>CANAL VENDA INTERNA</v>
      </c>
      <c r="D850" s="5" t="str">
        <f>_xlfn.XLOOKUP($N850,'Base de Grupos'!$A:$A,'Base de Grupos'!$F:$F)</f>
        <v>1000065763</v>
      </c>
      <c r="E850" s="2" t="str">
        <f>_xlfn.XLOOKUP($N850,'Base de Grupos'!$A:$A,'Base de Grupos'!$G:$G)</f>
        <v>CANAL VENDA INTERNA</v>
      </c>
      <c r="F850" s="2" t="str">
        <f>_xlfn.XLOOKUP($N850,'Base de Grupos'!$A:$A,'Base de Grupos'!$H:$H)</f>
        <v>1000174119</v>
      </c>
      <c r="G850" s="5" t="str">
        <f>_xlfn.XLOOKUP($N850,'Base de Grupos'!$A:$A,'Base de Grupos'!$I:$I)</f>
        <v>REGIONAL VENDA INTERNA - CONVENIENCIA</v>
      </c>
      <c r="H850" s="5" t="str">
        <f>_xlfn.XLOOKUP($N850,'Base de Grupos'!$A:$A,'Base de Grupos'!$J:$J)</f>
        <v>1000174119</v>
      </c>
      <c r="I850" s="2" t="str">
        <f>_xlfn.XLOOKUP($N850,'Base de Grupos'!$A:$A,'Base de Grupos'!$K:$K)</f>
        <v>REGIONAL VENDA INTERNA - CONVENIENCIA</v>
      </c>
      <c r="J850" s="2" t="str">
        <f>_xlfn.XLOOKUP($N850,'Base de Grupos'!$A:$A,'Base de Grupos'!$L:$L)</f>
        <v>1000174119</v>
      </c>
      <c r="K850" s="5" t="str">
        <f>_xlfn.XLOOKUP($N850,'Base de Grupos'!$A:$A,'Base de Grupos'!$M:$M)</f>
        <v>REGIONAL VENDA INTERNA - CONVENIENCIA</v>
      </c>
      <c r="L850" s="5" t="str">
        <f t="shared" si="337"/>
        <v/>
      </c>
      <c r="M850" s="5" t="str">
        <f>_xlfn.XLOOKUP($N850,'Base de Grupos'!$A:$A,'Base de Grupos'!$C:$C)</f>
        <v>TO</v>
      </c>
      <c r="N850" s="3">
        <v>1512</v>
      </c>
      <c r="O850" s="4" t="s">
        <v>271</v>
      </c>
      <c r="P850" s="5" t="s">
        <v>81</v>
      </c>
      <c r="Q850" s="24">
        <v>0</v>
      </c>
      <c r="R850" s="24">
        <v>0</v>
      </c>
      <c r="S850" s="24">
        <v>0</v>
      </c>
      <c r="T850" s="24">
        <v>0</v>
      </c>
      <c r="U850" s="24">
        <v>0</v>
      </c>
      <c r="V850" s="24">
        <v>0</v>
      </c>
      <c r="W850" s="24">
        <v>0</v>
      </c>
      <c r="X850" s="24">
        <v>0</v>
      </c>
      <c r="Y850" s="24">
        <v>0</v>
      </c>
      <c r="Z850" s="24">
        <v>0</v>
      </c>
      <c r="AA850" s="24">
        <v>0</v>
      </c>
      <c r="AB850" s="24">
        <v>0</v>
      </c>
      <c r="AC850" s="30">
        <f t="shared" si="338"/>
        <v>0</v>
      </c>
      <c r="AD850" s="28"/>
      <c r="AE850" s="12"/>
      <c r="AF850" s="29"/>
      <c r="AG850" s="9"/>
      <c r="AH850" s="10"/>
      <c r="AI850" s="9"/>
      <c r="AJ850" s="11"/>
      <c r="AK850" s="9"/>
      <c r="AL850" s="13"/>
      <c r="AM850" s="9"/>
    </row>
    <row r="851" spans="1:39" x14ac:dyDescent="0.3">
      <c r="A851" s="2" t="str">
        <f t="shared" si="336"/>
        <v>NÃO</v>
      </c>
      <c r="B851" s="2" t="str">
        <f>_xlfn.XLOOKUP($N851,'Base de Grupos'!$A:$A,'Base de Grupos'!$D:$D)</f>
        <v>1000065763</v>
      </c>
      <c r="C851" s="5" t="str">
        <f>_xlfn.XLOOKUP($N851,'Base de Grupos'!$A:$A,'Base de Grupos'!$E:$E)</f>
        <v>CANAL VENDA INTERNA</v>
      </c>
      <c r="D851" s="5" t="str">
        <f>_xlfn.XLOOKUP($N851,'Base de Grupos'!$A:$A,'Base de Grupos'!$F:$F)</f>
        <v>1000065763</v>
      </c>
      <c r="E851" s="2" t="str">
        <f>_xlfn.XLOOKUP($N851,'Base de Grupos'!$A:$A,'Base de Grupos'!$G:$G)</f>
        <v>CANAL VENDA INTERNA</v>
      </c>
      <c r="F851" s="2" t="str">
        <f>_xlfn.XLOOKUP($N851,'Base de Grupos'!$A:$A,'Base de Grupos'!$H:$H)</f>
        <v>1000174119</v>
      </c>
      <c r="G851" s="5" t="str">
        <f>_xlfn.XLOOKUP($N851,'Base de Grupos'!$A:$A,'Base de Grupos'!$I:$I)</f>
        <v>REGIONAL VENDA INTERNA - CONVENIENCIA</v>
      </c>
      <c r="H851" s="5" t="str">
        <f>_xlfn.XLOOKUP($N851,'Base de Grupos'!$A:$A,'Base de Grupos'!$J:$J)</f>
        <v>1000174119</v>
      </c>
      <c r="I851" s="2" t="str">
        <f>_xlfn.XLOOKUP($N851,'Base de Grupos'!$A:$A,'Base de Grupos'!$K:$K)</f>
        <v>REGIONAL VENDA INTERNA - CONVENIENCIA</v>
      </c>
      <c r="J851" s="2" t="str">
        <f>_xlfn.XLOOKUP($N851,'Base de Grupos'!$A:$A,'Base de Grupos'!$L:$L)</f>
        <v>1000174119</v>
      </c>
      <c r="K851" s="5" t="str">
        <f>_xlfn.XLOOKUP($N851,'Base de Grupos'!$A:$A,'Base de Grupos'!$M:$M)</f>
        <v>REGIONAL VENDA INTERNA - CONVENIENCIA</v>
      </c>
      <c r="L851" s="5" t="str">
        <f t="shared" si="337"/>
        <v/>
      </c>
      <c r="M851" s="5" t="str">
        <f>_xlfn.XLOOKUP($N851,'Base de Grupos'!$A:$A,'Base de Grupos'!$C:$C)</f>
        <v>TO</v>
      </c>
      <c r="N851" s="3">
        <v>1512</v>
      </c>
      <c r="O851" s="4" t="s">
        <v>271</v>
      </c>
      <c r="P851" s="5" t="s">
        <v>82</v>
      </c>
      <c r="Q851" s="24">
        <v>0</v>
      </c>
      <c r="R851" s="24">
        <v>0</v>
      </c>
      <c r="S851" s="24">
        <v>0</v>
      </c>
      <c r="T851" s="24">
        <v>0</v>
      </c>
      <c r="U851" s="24">
        <v>0</v>
      </c>
      <c r="V851" s="24">
        <v>0</v>
      </c>
      <c r="W851" s="24">
        <v>0</v>
      </c>
      <c r="X851" s="24">
        <v>0</v>
      </c>
      <c r="Y851" s="24">
        <v>0</v>
      </c>
      <c r="Z851" s="24">
        <v>0</v>
      </c>
      <c r="AA851" s="24">
        <v>0</v>
      </c>
      <c r="AB851" s="24">
        <v>0</v>
      </c>
      <c r="AC851" s="30">
        <f t="shared" si="338"/>
        <v>0</v>
      </c>
      <c r="AD851" s="28"/>
      <c r="AE851" s="12"/>
      <c r="AF851" s="29"/>
      <c r="AG851" s="9"/>
      <c r="AH851" s="10"/>
      <c r="AI851" s="9"/>
      <c r="AJ851" s="11"/>
      <c r="AK851" s="9"/>
      <c r="AL851" s="13"/>
      <c r="AM851" s="9"/>
    </row>
    <row r="852" spans="1:39" x14ac:dyDescent="0.3">
      <c r="A852" s="2" t="str">
        <f t="shared" si="336"/>
        <v>NÃO</v>
      </c>
      <c r="B852" s="2" t="str">
        <f>_xlfn.XLOOKUP($N852,'Base de Grupos'!$A:$A,'Base de Grupos'!$D:$D)</f>
        <v>1000065763</v>
      </c>
      <c r="C852" s="5" t="str">
        <f>_xlfn.XLOOKUP($N852,'Base de Grupos'!$A:$A,'Base de Grupos'!$E:$E)</f>
        <v>CANAL VENDA INTERNA</v>
      </c>
      <c r="D852" s="5" t="str">
        <f>_xlfn.XLOOKUP($N852,'Base de Grupos'!$A:$A,'Base de Grupos'!$F:$F)</f>
        <v>1000065763</v>
      </c>
      <c r="E852" s="2" t="str">
        <f>_xlfn.XLOOKUP($N852,'Base de Grupos'!$A:$A,'Base de Grupos'!$G:$G)</f>
        <v>CANAL VENDA INTERNA</v>
      </c>
      <c r="F852" s="2" t="str">
        <f>_xlfn.XLOOKUP($N852,'Base de Grupos'!$A:$A,'Base de Grupos'!$H:$H)</f>
        <v>1000174119</v>
      </c>
      <c r="G852" s="5" t="str">
        <f>_xlfn.XLOOKUP($N852,'Base de Grupos'!$A:$A,'Base de Grupos'!$I:$I)</f>
        <v>REGIONAL VENDA INTERNA - CONVENIENCIA</v>
      </c>
      <c r="H852" s="5" t="str">
        <f>_xlfn.XLOOKUP($N852,'Base de Grupos'!$A:$A,'Base de Grupos'!$J:$J)</f>
        <v>1000174119</v>
      </c>
      <c r="I852" s="2" t="str">
        <f>_xlfn.XLOOKUP($N852,'Base de Grupos'!$A:$A,'Base de Grupos'!$K:$K)</f>
        <v>REGIONAL VENDA INTERNA - CONVENIENCIA</v>
      </c>
      <c r="J852" s="2" t="str">
        <f>_xlfn.XLOOKUP($N852,'Base de Grupos'!$A:$A,'Base de Grupos'!$L:$L)</f>
        <v>1000174119</v>
      </c>
      <c r="K852" s="5" t="str">
        <f>_xlfn.XLOOKUP($N852,'Base de Grupos'!$A:$A,'Base de Grupos'!$M:$M)</f>
        <v>REGIONAL VENDA INTERNA - CONVENIENCIA</v>
      </c>
      <c r="L852" s="5" t="str">
        <f t="shared" si="337"/>
        <v/>
      </c>
      <c r="M852" s="5" t="str">
        <f>_xlfn.XLOOKUP($N852,'Base de Grupos'!$A:$A,'Base de Grupos'!$C:$C)</f>
        <v>TO</v>
      </c>
      <c r="N852" s="3">
        <v>1512</v>
      </c>
      <c r="O852" s="4" t="s">
        <v>271</v>
      </c>
      <c r="P852" s="5" t="s">
        <v>84</v>
      </c>
      <c r="Q852" s="24">
        <v>0</v>
      </c>
      <c r="R852" s="24">
        <v>0</v>
      </c>
      <c r="S852" s="24">
        <v>0</v>
      </c>
      <c r="T852" s="24">
        <v>0</v>
      </c>
      <c r="U852" s="24">
        <v>0</v>
      </c>
      <c r="V852" s="24">
        <v>0</v>
      </c>
      <c r="W852" s="24">
        <v>0</v>
      </c>
      <c r="X852" s="24">
        <v>0</v>
      </c>
      <c r="Y852" s="24">
        <v>0</v>
      </c>
      <c r="Z852" s="24">
        <v>0</v>
      </c>
      <c r="AA852" s="24">
        <v>0</v>
      </c>
      <c r="AB852" s="24">
        <v>0</v>
      </c>
      <c r="AC852" s="30">
        <f t="shared" si="338"/>
        <v>0</v>
      </c>
      <c r="AD852" s="28"/>
      <c r="AE852" s="12"/>
      <c r="AF852" s="29"/>
      <c r="AG852" s="9"/>
      <c r="AH852" s="10"/>
      <c r="AI852" s="9"/>
      <c r="AJ852" s="11"/>
      <c r="AK852" s="9"/>
      <c r="AL852" s="13"/>
      <c r="AM852" s="9"/>
    </row>
    <row r="853" spans="1:39" x14ac:dyDescent="0.3">
      <c r="A853" s="2" t="str">
        <f t="shared" si="336"/>
        <v>NÃO</v>
      </c>
      <c r="B853" s="2" t="str">
        <f>_xlfn.XLOOKUP($N853,'Base de Grupos'!$A:$A,'Base de Grupos'!$D:$D)</f>
        <v>1000065763</v>
      </c>
      <c r="C853" s="5" t="str">
        <f>_xlfn.XLOOKUP($N853,'Base de Grupos'!$A:$A,'Base de Grupos'!$E:$E)</f>
        <v>CANAL VENDA INTERNA</v>
      </c>
      <c r="D853" s="5" t="str">
        <f>_xlfn.XLOOKUP($N853,'Base de Grupos'!$A:$A,'Base de Grupos'!$F:$F)</f>
        <v>1000065763</v>
      </c>
      <c r="E853" s="2" t="str">
        <f>_xlfn.XLOOKUP($N853,'Base de Grupos'!$A:$A,'Base de Grupos'!$G:$G)</f>
        <v>CANAL VENDA INTERNA</v>
      </c>
      <c r="F853" s="2" t="str">
        <f>_xlfn.XLOOKUP($N853,'Base de Grupos'!$A:$A,'Base de Grupos'!$H:$H)</f>
        <v>1000174119</v>
      </c>
      <c r="G853" s="5" t="str">
        <f>_xlfn.XLOOKUP($N853,'Base de Grupos'!$A:$A,'Base de Grupos'!$I:$I)</f>
        <v>REGIONAL VENDA INTERNA - CONVENIENCIA</v>
      </c>
      <c r="H853" s="5" t="str">
        <f>_xlfn.XLOOKUP($N853,'Base de Grupos'!$A:$A,'Base de Grupos'!$J:$J)</f>
        <v>1000174119</v>
      </c>
      <c r="I853" s="2" t="str">
        <f>_xlfn.XLOOKUP($N853,'Base de Grupos'!$A:$A,'Base de Grupos'!$K:$K)</f>
        <v>REGIONAL VENDA INTERNA - CONVENIENCIA</v>
      </c>
      <c r="J853" s="2" t="str">
        <f>_xlfn.XLOOKUP($N853,'Base de Grupos'!$A:$A,'Base de Grupos'!$L:$L)</f>
        <v>1000174119</v>
      </c>
      <c r="K853" s="5" t="str">
        <f>_xlfn.XLOOKUP($N853,'Base de Grupos'!$A:$A,'Base de Grupos'!$M:$M)</f>
        <v>REGIONAL VENDA INTERNA - CONVENIENCIA</v>
      </c>
      <c r="L853" s="5" t="str">
        <f t="shared" si="337"/>
        <v/>
      </c>
      <c r="M853" s="5" t="str">
        <f>_xlfn.XLOOKUP($N853,'Base de Grupos'!$A:$A,'Base de Grupos'!$C:$C)</f>
        <v>TO</v>
      </c>
      <c r="N853" s="3">
        <v>1512</v>
      </c>
      <c r="O853" s="4" t="s">
        <v>271</v>
      </c>
      <c r="P853" s="5" t="s">
        <v>83</v>
      </c>
      <c r="Q853" s="24">
        <v>0</v>
      </c>
      <c r="R853" s="24">
        <v>0</v>
      </c>
      <c r="S853" s="24">
        <v>0</v>
      </c>
      <c r="T853" s="24">
        <v>0</v>
      </c>
      <c r="U853" s="24">
        <v>0</v>
      </c>
      <c r="V853" s="24">
        <v>0</v>
      </c>
      <c r="W853" s="24">
        <v>0</v>
      </c>
      <c r="X853" s="24">
        <v>0</v>
      </c>
      <c r="Y853" s="24">
        <v>0</v>
      </c>
      <c r="Z853" s="24">
        <v>0</v>
      </c>
      <c r="AA853" s="24">
        <v>0</v>
      </c>
      <c r="AB853" s="24">
        <v>0</v>
      </c>
      <c r="AC853" s="30">
        <f t="shared" si="338"/>
        <v>0</v>
      </c>
      <c r="AD853" s="28"/>
      <c r="AE853" s="12"/>
      <c r="AF853" s="29"/>
      <c r="AG853" s="9"/>
      <c r="AH853" s="10"/>
      <c r="AI853" s="9"/>
      <c r="AJ853" s="11"/>
      <c r="AK853" s="9"/>
      <c r="AL853" s="13"/>
      <c r="AM853" s="9"/>
    </row>
    <row r="854" spans="1:39" x14ac:dyDescent="0.3">
      <c r="A854" s="2" t="str">
        <f t="shared" si="336"/>
        <v>NÃO</v>
      </c>
      <c r="B854" s="2" t="str">
        <f>_xlfn.XLOOKUP($N854,'Base de Grupos'!$A:$A,'Base de Grupos'!$D:$D)</f>
        <v>1000065763</v>
      </c>
      <c r="C854" s="5" t="str">
        <f>_xlfn.XLOOKUP($N854,'Base de Grupos'!$A:$A,'Base de Grupos'!$E:$E)</f>
        <v>CANAL VENDA INTERNA</v>
      </c>
      <c r="D854" s="5" t="str">
        <f>_xlfn.XLOOKUP($N854,'Base de Grupos'!$A:$A,'Base de Grupos'!$F:$F)</f>
        <v>1000065763</v>
      </c>
      <c r="E854" s="2" t="str">
        <f>_xlfn.XLOOKUP($N854,'Base de Grupos'!$A:$A,'Base de Grupos'!$G:$G)</f>
        <v>CANAL VENDA INTERNA</v>
      </c>
      <c r="F854" s="2" t="str">
        <f>_xlfn.XLOOKUP($N854,'Base de Grupos'!$A:$A,'Base de Grupos'!$H:$H)</f>
        <v>1000174119</v>
      </c>
      <c r="G854" s="5" t="str">
        <f>_xlfn.XLOOKUP($N854,'Base de Grupos'!$A:$A,'Base de Grupos'!$I:$I)</f>
        <v>REGIONAL VENDA INTERNA - CONVENIENCIA</v>
      </c>
      <c r="H854" s="5" t="str">
        <f>_xlfn.XLOOKUP($N854,'Base de Grupos'!$A:$A,'Base de Grupos'!$J:$J)</f>
        <v>1000174119</v>
      </c>
      <c r="I854" s="2" t="str">
        <f>_xlfn.XLOOKUP($N854,'Base de Grupos'!$A:$A,'Base de Grupos'!$K:$K)</f>
        <v>REGIONAL VENDA INTERNA - CONVENIENCIA</v>
      </c>
      <c r="J854" s="2" t="str">
        <f>_xlfn.XLOOKUP($N854,'Base de Grupos'!$A:$A,'Base de Grupos'!$L:$L)</f>
        <v>1000174119</v>
      </c>
      <c r="K854" s="5" t="str">
        <f>_xlfn.XLOOKUP($N854,'Base de Grupos'!$A:$A,'Base de Grupos'!$M:$M)</f>
        <v>REGIONAL VENDA INTERNA - CONVENIENCIA</v>
      </c>
      <c r="L854" s="5" t="str">
        <f t="shared" si="337"/>
        <v/>
      </c>
      <c r="M854" s="5" t="str">
        <f>_xlfn.XLOOKUP($N854,'Base de Grupos'!$A:$A,'Base de Grupos'!$C:$C)</f>
        <v>TO</v>
      </c>
      <c r="N854" s="3">
        <v>1512</v>
      </c>
      <c r="O854" s="4" t="s">
        <v>271</v>
      </c>
      <c r="P854" s="5" t="s">
        <v>87</v>
      </c>
      <c r="Q854" s="24">
        <v>0</v>
      </c>
      <c r="R854" s="24">
        <v>0</v>
      </c>
      <c r="S854" s="24">
        <v>0</v>
      </c>
      <c r="T854" s="24">
        <v>0</v>
      </c>
      <c r="U854" s="24">
        <v>0</v>
      </c>
      <c r="V854" s="24">
        <v>0</v>
      </c>
      <c r="W854" s="24">
        <v>0</v>
      </c>
      <c r="X854" s="24">
        <v>0</v>
      </c>
      <c r="Y854" s="24">
        <v>0</v>
      </c>
      <c r="Z854" s="24">
        <v>0</v>
      </c>
      <c r="AA854" s="24">
        <v>0</v>
      </c>
      <c r="AB854" s="24">
        <v>0</v>
      </c>
      <c r="AC854" s="30">
        <f t="shared" si="338"/>
        <v>0</v>
      </c>
      <c r="AD854" s="28"/>
      <c r="AE854" s="12"/>
      <c r="AF854" s="29"/>
      <c r="AG854" s="9"/>
      <c r="AH854" s="10"/>
      <c r="AI854" s="9"/>
      <c r="AJ854" s="11"/>
      <c r="AK854" s="9"/>
      <c r="AL854" s="13"/>
      <c r="AM854" s="9"/>
    </row>
    <row r="855" spans="1:39" x14ac:dyDescent="0.3">
      <c r="A855" s="2" t="str">
        <f t="shared" si="336"/>
        <v>NÃO</v>
      </c>
      <c r="B855" s="2" t="str">
        <f>_xlfn.XLOOKUP($N855,'Base de Grupos'!$A:$A,'Base de Grupos'!$D:$D)</f>
        <v>1000065763</v>
      </c>
      <c r="C855" s="5" t="str">
        <f>_xlfn.XLOOKUP($N855,'Base de Grupos'!$A:$A,'Base de Grupos'!$E:$E)</f>
        <v>CANAL VENDA INTERNA</v>
      </c>
      <c r="D855" s="5" t="str">
        <f>_xlfn.XLOOKUP($N855,'Base de Grupos'!$A:$A,'Base de Grupos'!$F:$F)</f>
        <v>1000065763</v>
      </c>
      <c r="E855" s="2" t="str">
        <f>_xlfn.XLOOKUP($N855,'Base de Grupos'!$A:$A,'Base de Grupos'!$G:$G)</f>
        <v>CANAL VENDA INTERNA</v>
      </c>
      <c r="F855" s="2" t="str">
        <f>_xlfn.XLOOKUP($N855,'Base de Grupos'!$A:$A,'Base de Grupos'!$H:$H)</f>
        <v>1000174119</v>
      </c>
      <c r="G855" s="5" t="str">
        <f>_xlfn.XLOOKUP($N855,'Base de Grupos'!$A:$A,'Base de Grupos'!$I:$I)</f>
        <v>REGIONAL VENDA INTERNA - CONVENIENCIA</v>
      </c>
      <c r="H855" s="5" t="str">
        <f>_xlfn.XLOOKUP($N855,'Base de Grupos'!$A:$A,'Base de Grupos'!$J:$J)</f>
        <v>1000174119</v>
      </c>
      <c r="I855" s="2" t="str">
        <f>_xlfn.XLOOKUP($N855,'Base de Grupos'!$A:$A,'Base de Grupos'!$K:$K)</f>
        <v>REGIONAL VENDA INTERNA - CONVENIENCIA</v>
      </c>
      <c r="J855" s="2" t="str">
        <f>_xlfn.XLOOKUP($N855,'Base de Grupos'!$A:$A,'Base de Grupos'!$L:$L)</f>
        <v>1000174119</v>
      </c>
      <c r="K855" s="5" t="str">
        <f>_xlfn.XLOOKUP($N855,'Base de Grupos'!$A:$A,'Base de Grupos'!$M:$M)</f>
        <v>REGIONAL VENDA INTERNA - CONVENIENCIA</v>
      </c>
      <c r="L855" s="5" t="str">
        <f t="shared" si="337"/>
        <v/>
      </c>
      <c r="M855" s="5" t="str">
        <f>_xlfn.XLOOKUP($N855,'Base de Grupos'!$A:$A,'Base de Grupos'!$C:$C)</f>
        <v>TO</v>
      </c>
      <c r="N855" s="3">
        <v>1512</v>
      </c>
      <c r="O855" s="4" t="s">
        <v>271</v>
      </c>
      <c r="P855" s="5" t="s">
        <v>85</v>
      </c>
      <c r="Q855" s="24">
        <v>0</v>
      </c>
      <c r="R855" s="24">
        <v>0</v>
      </c>
      <c r="S855" s="24">
        <v>0</v>
      </c>
      <c r="T855" s="24">
        <v>0</v>
      </c>
      <c r="U855" s="24">
        <v>0</v>
      </c>
      <c r="V855" s="24">
        <v>0</v>
      </c>
      <c r="W855" s="24">
        <v>0</v>
      </c>
      <c r="X855" s="24">
        <v>0</v>
      </c>
      <c r="Y855" s="24">
        <v>0</v>
      </c>
      <c r="Z855" s="24">
        <v>0</v>
      </c>
      <c r="AA855" s="24">
        <v>0</v>
      </c>
      <c r="AB855" s="24">
        <v>0</v>
      </c>
      <c r="AC855" s="30">
        <f t="shared" si="338"/>
        <v>0</v>
      </c>
      <c r="AD855" s="28"/>
      <c r="AE855" s="12"/>
      <c r="AF855" s="29"/>
      <c r="AG855" s="9"/>
      <c r="AH855" s="10"/>
      <c r="AI855" s="9"/>
      <c r="AJ855" s="11"/>
      <c r="AK855" s="9"/>
      <c r="AL855" s="13"/>
      <c r="AM855" s="9"/>
    </row>
    <row r="856" spans="1:39" x14ac:dyDescent="0.3">
      <c r="A856" s="2" t="str">
        <f t="shared" si="336"/>
        <v>NÃO</v>
      </c>
      <c r="B856" s="2" t="str">
        <f>_xlfn.XLOOKUP($N856,'Base de Grupos'!$A:$A,'Base de Grupos'!$D:$D)</f>
        <v>1000065763</v>
      </c>
      <c r="C856" s="5" t="str">
        <f>_xlfn.XLOOKUP($N856,'Base de Grupos'!$A:$A,'Base de Grupos'!$E:$E)</f>
        <v>CANAL VENDA INTERNA</v>
      </c>
      <c r="D856" s="5" t="str">
        <f>_xlfn.XLOOKUP($N856,'Base de Grupos'!$A:$A,'Base de Grupos'!$F:$F)</f>
        <v>1000065763</v>
      </c>
      <c r="E856" s="2" t="str">
        <f>_xlfn.XLOOKUP($N856,'Base de Grupos'!$A:$A,'Base de Grupos'!$G:$G)</f>
        <v>CANAL VENDA INTERNA</v>
      </c>
      <c r="F856" s="2" t="str">
        <f>_xlfn.XLOOKUP($N856,'Base de Grupos'!$A:$A,'Base de Grupos'!$H:$H)</f>
        <v>1000174119</v>
      </c>
      <c r="G856" s="5" t="str">
        <f>_xlfn.XLOOKUP($N856,'Base de Grupos'!$A:$A,'Base de Grupos'!$I:$I)</f>
        <v>REGIONAL VENDA INTERNA - CONVENIENCIA</v>
      </c>
      <c r="H856" s="5" t="str">
        <f>_xlfn.XLOOKUP($N856,'Base de Grupos'!$A:$A,'Base de Grupos'!$J:$J)</f>
        <v>1000174119</v>
      </c>
      <c r="I856" s="2" t="str">
        <f>_xlfn.XLOOKUP($N856,'Base de Grupos'!$A:$A,'Base de Grupos'!$K:$K)</f>
        <v>REGIONAL VENDA INTERNA - CONVENIENCIA</v>
      </c>
      <c r="J856" s="2" t="str">
        <f>_xlfn.XLOOKUP($N856,'Base de Grupos'!$A:$A,'Base de Grupos'!$L:$L)</f>
        <v>1000174119</v>
      </c>
      <c r="K856" s="5" t="str">
        <f>_xlfn.XLOOKUP($N856,'Base de Grupos'!$A:$A,'Base de Grupos'!$M:$M)</f>
        <v>REGIONAL VENDA INTERNA - CONVENIENCIA</v>
      </c>
      <c r="L856" s="5" t="str">
        <f t="shared" si="337"/>
        <v/>
      </c>
      <c r="M856" s="5" t="str">
        <f>_xlfn.XLOOKUP($N856,'Base de Grupos'!$A:$A,'Base de Grupos'!$C:$C)</f>
        <v>TO</v>
      </c>
      <c r="N856" s="3">
        <v>1512</v>
      </c>
      <c r="O856" s="4" t="s">
        <v>271</v>
      </c>
      <c r="P856" s="5" t="s">
        <v>92</v>
      </c>
      <c r="Q856" s="24">
        <v>0</v>
      </c>
      <c r="R856" s="24">
        <v>0</v>
      </c>
      <c r="S856" s="24">
        <v>0</v>
      </c>
      <c r="T856" s="24">
        <v>0</v>
      </c>
      <c r="U856" s="24">
        <v>0</v>
      </c>
      <c r="V856" s="24">
        <v>0</v>
      </c>
      <c r="W856" s="24">
        <v>0</v>
      </c>
      <c r="X856" s="24">
        <v>0</v>
      </c>
      <c r="Y856" s="24">
        <v>0</v>
      </c>
      <c r="Z856" s="24">
        <v>0</v>
      </c>
      <c r="AA856" s="24">
        <v>0</v>
      </c>
      <c r="AB856" s="24">
        <v>0</v>
      </c>
      <c r="AC856" s="30">
        <f t="shared" si="338"/>
        <v>0</v>
      </c>
      <c r="AD856" s="28"/>
      <c r="AE856" s="12"/>
      <c r="AF856" s="29"/>
      <c r="AG856" s="9"/>
      <c r="AH856" s="10"/>
      <c r="AI856" s="9"/>
      <c r="AJ856" s="11"/>
      <c r="AK856" s="9"/>
      <c r="AL856" s="13"/>
      <c r="AM856" s="9"/>
    </row>
    <row r="857" spans="1:39" x14ac:dyDescent="0.3">
      <c r="A857" s="2" t="str">
        <f t="shared" si="336"/>
        <v>NÃO</v>
      </c>
      <c r="B857" s="2" t="str">
        <f>_xlfn.XLOOKUP($N857,'Base de Grupos'!$A:$A,'Base de Grupos'!$D:$D)</f>
        <v>1000065763</v>
      </c>
      <c r="C857" s="5" t="str">
        <f>_xlfn.XLOOKUP($N857,'Base de Grupos'!$A:$A,'Base de Grupos'!$E:$E)</f>
        <v>CANAL VENDA INTERNA</v>
      </c>
      <c r="D857" s="5" t="str">
        <f>_xlfn.XLOOKUP($N857,'Base de Grupos'!$A:$A,'Base de Grupos'!$F:$F)</f>
        <v>1000065763</v>
      </c>
      <c r="E857" s="2" t="str">
        <f>_xlfn.XLOOKUP($N857,'Base de Grupos'!$A:$A,'Base de Grupos'!$G:$G)</f>
        <v>CANAL VENDA INTERNA</v>
      </c>
      <c r="F857" s="2" t="str">
        <f>_xlfn.XLOOKUP($N857,'Base de Grupos'!$A:$A,'Base de Grupos'!$H:$H)</f>
        <v>1000174119</v>
      </c>
      <c r="G857" s="5" t="str">
        <f>_xlfn.XLOOKUP($N857,'Base de Grupos'!$A:$A,'Base de Grupos'!$I:$I)</f>
        <v>REGIONAL VENDA INTERNA - CONVENIENCIA</v>
      </c>
      <c r="H857" s="5" t="str">
        <f>_xlfn.XLOOKUP($N857,'Base de Grupos'!$A:$A,'Base de Grupos'!$J:$J)</f>
        <v>1000174119</v>
      </c>
      <c r="I857" s="2" t="str">
        <f>_xlfn.XLOOKUP($N857,'Base de Grupos'!$A:$A,'Base de Grupos'!$K:$K)</f>
        <v>REGIONAL VENDA INTERNA - CONVENIENCIA</v>
      </c>
      <c r="J857" s="2" t="str">
        <f>_xlfn.XLOOKUP($N857,'Base de Grupos'!$A:$A,'Base de Grupos'!$L:$L)</f>
        <v>1000174119</v>
      </c>
      <c r="K857" s="5" t="str">
        <f>_xlfn.XLOOKUP($N857,'Base de Grupos'!$A:$A,'Base de Grupos'!$M:$M)</f>
        <v>REGIONAL VENDA INTERNA - CONVENIENCIA</v>
      </c>
      <c r="L857" s="5" t="str">
        <f t="shared" si="337"/>
        <v/>
      </c>
      <c r="M857" s="5" t="str">
        <f>_xlfn.XLOOKUP($N857,'Base de Grupos'!$A:$A,'Base de Grupos'!$C:$C)</f>
        <v>TO</v>
      </c>
      <c r="N857" s="3">
        <v>1512</v>
      </c>
      <c r="O857" s="4" t="s">
        <v>271</v>
      </c>
      <c r="P857" s="5" t="s">
        <v>86</v>
      </c>
      <c r="Q857" s="24">
        <v>0</v>
      </c>
      <c r="R857" s="24">
        <v>0</v>
      </c>
      <c r="S857" s="24">
        <v>0</v>
      </c>
      <c r="T857" s="24">
        <v>0</v>
      </c>
      <c r="U857" s="24">
        <v>0</v>
      </c>
      <c r="V857" s="24">
        <v>0</v>
      </c>
      <c r="W857" s="24">
        <v>0</v>
      </c>
      <c r="X857" s="24">
        <v>0</v>
      </c>
      <c r="Y857" s="24">
        <v>0</v>
      </c>
      <c r="Z857" s="24">
        <v>0</v>
      </c>
      <c r="AA857" s="24">
        <v>0</v>
      </c>
      <c r="AB857" s="24">
        <v>0</v>
      </c>
      <c r="AC857" s="30">
        <f t="shared" si="338"/>
        <v>0</v>
      </c>
      <c r="AD857" s="28"/>
      <c r="AE857" s="12"/>
      <c r="AF857" s="29"/>
      <c r="AG857" s="9"/>
      <c r="AH857" s="10"/>
      <c r="AI857" s="9"/>
      <c r="AJ857" s="11"/>
      <c r="AK857" s="9"/>
      <c r="AL857" s="13"/>
      <c r="AM857" s="9"/>
    </row>
    <row r="858" spans="1:39" x14ac:dyDescent="0.3">
      <c r="A858" s="2" t="str">
        <f t="shared" ref="A858:A921" si="339">IF(L858=1,"SIM","NÃO")</f>
        <v>NÃO</v>
      </c>
      <c r="B858" s="2" t="str">
        <f>_xlfn.XLOOKUP($N858,'Base de Grupos'!$A:$A,'Base de Grupos'!$D:$D)</f>
        <v>1000065763</v>
      </c>
      <c r="C858" s="5" t="str">
        <f>_xlfn.XLOOKUP($N858,'Base de Grupos'!$A:$A,'Base de Grupos'!$E:$E)</f>
        <v>CANAL VENDA INTERNA</v>
      </c>
      <c r="D858" s="5" t="str">
        <f>_xlfn.XLOOKUP($N858,'Base de Grupos'!$A:$A,'Base de Grupos'!$F:$F)</f>
        <v>1000065763</v>
      </c>
      <c r="E858" s="2" t="str">
        <f>_xlfn.XLOOKUP($N858,'Base de Grupos'!$A:$A,'Base de Grupos'!$G:$G)</f>
        <v>CANAL VENDA INTERNA</v>
      </c>
      <c r="F858" s="2" t="str">
        <f>_xlfn.XLOOKUP($N858,'Base de Grupos'!$A:$A,'Base de Grupos'!$H:$H)</f>
        <v>1000174119</v>
      </c>
      <c r="G858" s="5" t="str">
        <f>_xlfn.XLOOKUP($N858,'Base de Grupos'!$A:$A,'Base de Grupos'!$I:$I)</f>
        <v>REGIONAL VENDA INTERNA - CONVENIENCIA</v>
      </c>
      <c r="H858" s="5" t="str">
        <f>_xlfn.XLOOKUP($N858,'Base de Grupos'!$A:$A,'Base de Grupos'!$J:$J)</f>
        <v>1000174119</v>
      </c>
      <c r="I858" s="2" t="str">
        <f>_xlfn.XLOOKUP($N858,'Base de Grupos'!$A:$A,'Base de Grupos'!$K:$K)</f>
        <v>REGIONAL VENDA INTERNA - CONVENIENCIA</v>
      </c>
      <c r="J858" s="2" t="str">
        <f>_xlfn.XLOOKUP($N858,'Base de Grupos'!$A:$A,'Base de Grupos'!$L:$L)</f>
        <v>1000174119</v>
      </c>
      <c r="K858" s="5" t="str">
        <f>_xlfn.XLOOKUP($N858,'Base de Grupos'!$A:$A,'Base de Grupos'!$M:$M)</f>
        <v>REGIONAL VENDA INTERNA - CONVENIENCIA</v>
      </c>
      <c r="L858" s="5" t="str">
        <f t="shared" ref="L858:L921" si="340">IF(N858&lt;&gt;N857,1,"")</f>
        <v/>
      </c>
      <c r="M858" s="5" t="str">
        <f>_xlfn.XLOOKUP($N858,'Base de Grupos'!$A:$A,'Base de Grupos'!$C:$C)</f>
        <v>TO</v>
      </c>
      <c r="N858" s="3">
        <v>1512</v>
      </c>
      <c r="O858" s="4" t="s">
        <v>271</v>
      </c>
      <c r="P858" s="5" t="s">
        <v>108</v>
      </c>
      <c r="Q858" s="24">
        <v>0</v>
      </c>
      <c r="R858" s="24">
        <v>0</v>
      </c>
      <c r="S858" s="24">
        <v>0</v>
      </c>
      <c r="T858" s="24">
        <v>0</v>
      </c>
      <c r="U858" s="24">
        <v>0</v>
      </c>
      <c r="V858" s="24">
        <v>0</v>
      </c>
      <c r="W858" s="24">
        <v>0</v>
      </c>
      <c r="X858" s="24">
        <v>0</v>
      </c>
      <c r="Y858" s="24">
        <v>0</v>
      </c>
      <c r="Z858" s="24">
        <v>0</v>
      </c>
      <c r="AA858" s="24">
        <v>0</v>
      </c>
      <c r="AB858" s="24">
        <v>0</v>
      </c>
      <c r="AC858" s="30">
        <f t="shared" si="338"/>
        <v>0</v>
      </c>
      <c r="AD858" s="28"/>
      <c r="AE858" s="12"/>
      <c r="AF858" s="29"/>
      <c r="AG858" s="9"/>
      <c r="AH858" s="10"/>
      <c r="AI858" s="9"/>
      <c r="AJ858" s="11"/>
      <c r="AK858" s="9"/>
      <c r="AL858" s="13"/>
      <c r="AM858" s="9"/>
    </row>
    <row r="859" spans="1:39" x14ac:dyDescent="0.3">
      <c r="A859" s="2" t="str">
        <f t="shared" si="339"/>
        <v>NÃO</v>
      </c>
      <c r="B859" s="2" t="str">
        <f>_xlfn.XLOOKUP($N859,'Base de Grupos'!$A:$A,'Base de Grupos'!$D:$D)</f>
        <v>1000065763</v>
      </c>
      <c r="C859" s="5" t="str">
        <f>_xlfn.XLOOKUP($N859,'Base de Grupos'!$A:$A,'Base de Grupos'!$E:$E)</f>
        <v>CANAL VENDA INTERNA</v>
      </c>
      <c r="D859" s="5" t="str">
        <f>_xlfn.XLOOKUP($N859,'Base de Grupos'!$A:$A,'Base de Grupos'!$F:$F)</f>
        <v>1000065763</v>
      </c>
      <c r="E859" s="2" t="str">
        <f>_xlfn.XLOOKUP($N859,'Base de Grupos'!$A:$A,'Base de Grupos'!$G:$G)</f>
        <v>CANAL VENDA INTERNA</v>
      </c>
      <c r="F859" s="2" t="str">
        <f>_xlfn.XLOOKUP($N859,'Base de Grupos'!$A:$A,'Base de Grupos'!$H:$H)</f>
        <v>1000174119</v>
      </c>
      <c r="G859" s="5" t="str">
        <f>_xlfn.XLOOKUP($N859,'Base de Grupos'!$A:$A,'Base de Grupos'!$I:$I)</f>
        <v>REGIONAL VENDA INTERNA - CONVENIENCIA</v>
      </c>
      <c r="H859" s="5" t="str">
        <f>_xlfn.XLOOKUP($N859,'Base de Grupos'!$A:$A,'Base de Grupos'!$J:$J)</f>
        <v>1000174119</v>
      </c>
      <c r="I859" s="2" t="str">
        <f>_xlfn.XLOOKUP($N859,'Base de Grupos'!$A:$A,'Base de Grupos'!$K:$K)</f>
        <v>REGIONAL VENDA INTERNA - CONVENIENCIA</v>
      </c>
      <c r="J859" s="2" t="str">
        <f>_xlfn.XLOOKUP($N859,'Base de Grupos'!$A:$A,'Base de Grupos'!$L:$L)</f>
        <v>1000174119</v>
      </c>
      <c r="K859" s="5" t="str">
        <f>_xlfn.XLOOKUP($N859,'Base de Grupos'!$A:$A,'Base de Grupos'!$M:$M)</f>
        <v>REGIONAL VENDA INTERNA - CONVENIENCIA</v>
      </c>
      <c r="L859" s="5" t="str">
        <f t="shared" si="340"/>
        <v/>
      </c>
      <c r="M859" s="5" t="str">
        <f>_xlfn.XLOOKUP($N859,'Base de Grupos'!$A:$A,'Base de Grupos'!$C:$C)</f>
        <v>TO</v>
      </c>
      <c r="N859" s="3">
        <v>1512</v>
      </c>
      <c r="O859" s="4" t="s">
        <v>271</v>
      </c>
      <c r="P859" s="5" t="s">
        <v>89</v>
      </c>
      <c r="Q859" s="24">
        <v>0</v>
      </c>
      <c r="R859" s="24">
        <v>0</v>
      </c>
      <c r="S859" s="24">
        <v>0</v>
      </c>
      <c r="T859" s="24">
        <v>0</v>
      </c>
      <c r="U859" s="24">
        <v>0</v>
      </c>
      <c r="V859" s="24">
        <v>0</v>
      </c>
      <c r="W859" s="24">
        <v>0</v>
      </c>
      <c r="X859" s="24">
        <v>0</v>
      </c>
      <c r="Y859" s="24">
        <v>0</v>
      </c>
      <c r="Z859" s="24">
        <v>0</v>
      </c>
      <c r="AA859" s="24">
        <v>0</v>
      </c>
      <c r="AB859" s="24">
        <v>0</v>
      </c>
      <c r="AC859" s="30">
        <f t="shared" ref="AC859:AC922" si="341">SUM(T859:AB859)</f>
        <v>0</v>
      </c>
      <c r="AD859" s="28"/>
      <c r="AE859" s="12"/>
      <c r="AF859" s="29"/>
      <c r="AG859" s="9"/>
      <c r="AH859" s="10"/>
      <c r="AI859" s="9"/>
      <c r="AJ859" s="11"/>
      <c r="AK859" s="9"/>
      <c r="AL859" s="13"/>
      <c r="AM859" s="9"/>
    </row>
    <row r="860" spans="1:39" x14ac:dyDescent="0.3">
      <c r="A860" s="2" t="str">
        <f t="shared" si="339"/>
        <v>NÃO</v>
      </c>
      <c r="B860" s="2" t="str">
        <f>_xlfn.XLOOKUP($N860,'Base de Grupos'!$A:$A,'Base de Grupos'!$D:$D)</f>
        <v>1000065763</v>
      </c>
      <c r="C860" s="5" t="str">
        <f>_xlfn.XLOOKUP($N860,'Base de Grupos'!$A:$A,'Base de Grupos'!$E:$E)</f>
        <v>CANAL VENDA INTERNA</v>
      </c>
      <c r="D860" s="5" t="str">
        <f>_xlfn.XLOOKUP($N860,'Base de Grupos'!$A:$A,'Base de Grupos'!$F:$F)</f>
        <v>1000065763</v>
      </c>
      <c r="E860" s="2" t="str">
        <f>_xlfn.XLOOKUP($N860,'Base de Grupos'!$A:$A,'Base de Grupos'!$G:$G)</f>
        <v>CANAL VENDA INTERNA</v>
      </c>
      <c r="F860" s="2" t="str">
        <f>_xlfn.XLOOKUP($N860,'Base de Grupos'!$A:$A,'Base de Grupos'!$H:$H)</f>
        <v>1000174119</v>
      </c>
      <c r="G860" s="5" t="str">
        <f>_xlfn.XLOOKUP($N860,'Base de Grupos'!$A:$A,'Base de Grupos'!$I:$I)</f>
        <v>REGIONAL VENDA INTERNA - CONVENIENCIA</v>
      </c>
      <c r="H860" s="5" t="str">
        <f>_xlfn.XLOOKUP($N860,'Base de Grupos'!$A:$A,'Base de Grupos'!$J:$J)</f>
        <v>1000174119</v>
      </c>
      <c r="I860" s="2" t="str">
        <f>_xlfn.XLOOKUP($N860,'Base de Grupos'!$A:$A,'Base de Grupos'!$K:$K)</f>
        <v>REGIONAL VENDA INTERNA - CONVENIENCIA</v>
      </c>
      <c r="J860" s="2" t="str">
        <f>_xlfn.XLOOKUP($N860,'Base de Grupos'!$A:$A,'Base de Grupos'!$L:$L)</f>
        <v>1000174119</v>
      </c>
      <c r="K860" s="5" t="str">
        <f>_xlfn.XLOOKUP($N860,'Base de Grupos'!$A:$A,'Base de Grupos'!$M:$M)</f>
        <v>REGIONAL VENDA INTERNA - CONVENIENCIA</v>
      </c>
      <c r="L860" s="5" t="str">
        <f t="shared" si="340"/>
        <v/>
      </c>
      <c r="M860" s="5" t="str">
        <f>_xlfn.XLOOKUP($N860,'Base de Grupos'!$A:$A,'Base de Grupos'!$C:$C)</f>
        <v>TO</v>
      </c>
      <c r="N860" s="3">
        <v>1512</v>
      </c>
      <c r="O860" s="4" t="s">
        <v>271</v>
      </c>
      <c r="P860" s="5" t="s">
        <v>88</v>
      </c>
      <c r="Q860" s="24">
        <v>0</v>
      </c>
      <c r="R860" s="24">
        <v>0</v>
      </c>
      <c r="S860" s="24">
        <v>0</v>
      </c>
      <c r="T860" s="24">
        <v>0</v>
      </c>
      <c r="U860" s="24">
        <v>0</v>
      </c>
      <c r="V860" s="24">
        <v>0</v>
      </c>
      <c r="W860" s="24">
        <v>0</v>
      </c>
      <c r="X860" s="24">
        <v>0</v>
      </c>
      <c r="Y860" s="24">
        <v>0</v>
      </c>
      <c r="Z860" s="24">
        <v>0</v>
      </c>
      <c r="AA860" s="24">
        <v>0</v>
      </c>
      <c r="AB860" s="24">
        <v>0</v>
      </c>
      <c r="AC860" s="30">
        <f t="shared" si="341"/>
        <v>0</v>
      </c>
      <c r="AD860" s="28"/>
      <c r="AE860" s="12"/>
      <c r="AF860" s="29"/>
      <c r="AG860" s="9"/>
      <c r="AH860" s="10"/>
      <c r="AI860" s="9"/>
      <c r="AJ860" s="11"/>
      <c r="AK860" s="9"/>
      <c r="AL860" s="13"/>
      <c r="AM860" s="9"/>
    </row>
    <row r="861" spans="1:39" x14ac:dyDescent="0.3">
      <c r="A861" s="2" t="str">
        <f t="shared" si="339"/>
        <v>NÃO</v>
      </c>
      <c r="B861" s="2" t="str">
        <f>_xlfn.XLOOKUP($N861,'Base de Grupos'!$A:$A,'Base de Grupos'!$D:$D)</f>
        <v>1000065763</v>
      </c>
      <c r="C861" s="5" t="str">
        <f>_xlfn.XLOOKUP($N861,'Base de Grupos'!$A:$A,'Base de Grupos'!$E:$E)</f>
        <v>CANAL VENDA INTERNA</v>
      </c>
      <c r="D861" s="5" t="str">
        <f>_xlfn.XLOOKUP($N861,'Base de Grupos'!$A:$A,'Base de Grupos'!$F:$F)</f>
        <v>1000065763</v>
      </c>
      <c r="E861" s="2" t="str">
        <f>_xlfn.XLOOKUP($N861,'Base de Grupos'!$A:$A,'Base de Grupos'!$G:$G)</f>
        <v>CANAL VENDA INTERNA</v>
      </c>
      <c r="F861" s="2" t="str">
        <f>_xlfn.XLOOKUP($N861,'Base de Grupos'!$A:$A,'Base de Grupos'!$H:$H)</f>
        <v>1000174119</v>
      </c>
      <c r="G861" s="5" t="str">
        <f>_xlfn.XLOOKUP($N861,'Base de Grupos'!$A:$A,'Base de Grupos'!$I:$I)</f>
        <v>REGIONAL VENDA INTERNA - CONVENIENCIA</v>
      </c>
      <c r="H861" s="5" t="str">
        <f>_xlfn.XLOOKUP($N861,'Base de Grupos'!$A:$A,'Base de Grupos'!$J:$J)</f>
        <v>1000174119</v>
      </c>
      <c r="I861" s="2" t="str">
        <f>_xlfn.XLOOKUP($N861,'Base de Grupos'!$A:$A,'Base de Grupos'!$K:$K)</f>
        <v>REGIONAL VENDA INTERNA - CONVENIENCIA</v>
      </c>
      <c r="J861" s="2" t="str">
        <f>_xlfn.XLOOKUP($N861,'Base de Grupos'!$A:$A,'Base de Grupos'!$L:$L)</f>
        <v>1000174119</v>
      </c>
      <c r="K861" s="5" t="str">
        <f>_xlfn.XLOOKUP($N861,'Base de Grupos'!$A:$A,'Base de Grupos'!$M:$M)</f>
        <v>REGIONAL VENDA INTERNA - CONVENIENCIA</v>
      </c>
      <c r="L861" s="5" t="str">
        <f t="shared" si="340"/>
        <v/>
      </c>
      <c r="M861" s="5" t="str">
        <f>_xlfn.XLOOKUP($N861,'Base de Grupos'!$A:$A,'Base de Grupos'!$C:$C)</f>
        <v>TO</v>
      </c>
      <c r="N861" s="3">
        <v>1512</v>
      </c>
      <c r="O861" s="4" t="s">
        <v>271</v>
      </c>
      <c r="P861" s="5" t="s">
        <v>90</v>
      </c>
      <c r="Q861" s="24">
        <v>0</v>
      </c>
      <c r="R861" s="24">
        <v>0</v>
      </c>
      <c r="S861" s="24">
        <v>0</v>
      </c>
      <c r="T861" s="24">
        <v>0</v>
      </c>
      <c r="U861" s="24">
        <v>0</v>
      </c>
      <c r="V861" s="24">
        <v>0</v>
      </c>
      <c r="W861" s="24">
        <v>0</v>
      </c>
      <c r="X861" s="24">
        <v>0</v>
      </c>
      <c r="Y861" s="24">
        <v>0</v>
      </c>
      <c r="Z861" s="24">
        <v>0</v>
      </c>
      <c r="AA861" s="24">
        <v>0</v>
      </c>
      <c r="AB861" s="24">
        <v>0</v>
      </c>
      <c r="AC861" s="30">
        <f t="shared" si="341"/>
        <v>0</v>
      </c>
      <c r="AD861" s="28"/>
      <c r="AE861" s="12"/>
      <c r="AF861" s="29"/>
      <c r="AG861" s="9"/>
      <c r="AH861" s="10"/>
      <c r="AI861" s="9"/>
      <c r="AJ861" s="11"/>
      <c r="AK861" s="9"/>
      <c r="AL861" s="13"/>
      <c r="AM861" s="9"/>
    </row>
    <row r="862" spans="1:39" x14ac:dyDescent="0.3">
      <c r="A862" s="2" t="str">
        <f t="shared" si="339"/>
        <v>NÃO</v>
      </c>
      <c r="B862" s="2" t="str">
        <f>_xlfn.XLOOKUP($N862,'Base de Grupos'!$A:$A,'Base de Grupos'!$D:$D)</f>
        <v>1000065763</v>
      </c>
      <c r="C862" s="5" t="str">
        <f>_xlfn.XLOOKUP($N862,'Base de Grupos'!$A:$A,'Base de Grupos'!$E:$E)</f>
        <v>CANAL VENDA INTERNA</v>
      </c>
      <c r="D862" s="5" t="str">
        <f>_xlfn.XLOOKUP($N862,'Base de Grupos'!$A:$A,'Base de Grupos'!$F:$F)</f>
        <v>1000065763</v>
      </c>
      <c r="E862" s="2" t="str">
        <f>_xlfn.XLOOKUP($N862,'Base de Grupos'!$A:$A,'Base de Grupos'!$G:$G)</f>
        <v>CANAL VENDA INTERNA</v>
      </c>
      <c r="F862" s="2" t="str">
        <f>_xlfn.XLOOKUP($N862,'Base de Grupos'!$A:$A,'Base de Grupos'!$H:$H)</f>
        <v>1000174119</v>
      </c>
      <c r="G862" s="5" t="str">
        <f>_xlfn.XLOOKUP($N862,'Base de Grupos'!$A:$A,'Base de Grupos'!$I:$I)</f>
        <v>REGIONAL VENDA INTERNA - CONVENIENCIA</v>
      </c>
      <c r="H862" s="5" t="str">
        <f>_xlfn.XLOOKUP($N862,'Base de Grupos'!$A:$A,'Base de Grupos'!$J:$J)</f>
        <v>1000174119</v>
      </c>
      <c r="I862" s="2" t="str">
        <f>_xlfn.XLOOKUP($N862,'Base de Grupos'!$A:$A,'Base de Grupos'!$K:$K)</f>
        <v>REGIONAL VENDA INTERNA - CONVENIENCIA</v>
      </c>
      <c r="J862" s="2" t="str">
        <f>_xlfn.XLOOKUP($N862,'Base de Grupos'!$A:$A,'Base de Grupos'!$L:$L)</f>
        <v>1000174119</v>
      </c>
      <c r="K862" s="5" t="str">
        <f>_xlfn.XLOOKUP($N862,'Base de Grupos'!$A:$A,'Base de Grupos'!$M:$M)</f>
        <v>REGIONAL VENDA INTERNA - CONVENIENCIA</v>
      </c>
      <c r="L862" s="5" t="str">
        <f t="shared" si="340"/>
        <v/>
      </c>
      <c r="M862" s="5" t="str">
        <f>_xlfn.XLOOKUP($N862,'Base de Grupos'!$A:$A,'Base de Grupos'!$C:$C)</f>
        <v>TO</v>
      </c>
      <c r="N862" s="3">
        <v>1512</v>
      </c>
      <c r="O862" s="4" t="s">
        <v>271</v>
      </c>
      <c r="P862" s="5" t="s">
        <v>91</v>
      </c>
      <c r="Q862" s="24">
        <v>0</v>
      </c>
      <c r="R862" s="24">
        <v>0</v>
      </c>
      <c r="S862" s="24">
        <v>0</v>
      </c>
      <c r="T862" s="24">
        <v>0</v>
      </c>
      <c r="U862" s="24">
        <v>0</v>
      </c>
      <c r="V862" s="24">
        <v>0</v>
      </c>
      <c r="W862" s="24">
        <v>0</v>
      </c>
      <c r="X862" s="24">
        <v>0</v>
      </c>
      <c r="Y862" s="24">
        <v>0</v>
      </c>
      <c r="Z862" s="24">
        <v>0</v>
      </c>
      <c r="AA862" s="24">
        <v>0</v>
      </c>
      <c r="AB862" s="24">
        <v>0</v>
      </c>
      <c r="AC862" s="30">
        <f t="shared" si="341"/>
        <v>0</v>
      </c>
      <c r="AD862" s="28"/>
      <c r="AE862" s="12"/>
      <c r="AF862" s="29"/>
      <c r="AG862" s="9"/>
      <c r="AH862" s="10"/>
      <c r="AI862" s="9"/>
      <c r="AJ862" s="11"/>
      <c r="AK862" s="9"/>
      <c r="AL862" s="13"/>
      <c r="AM862" s="9"/>
    </row>
    <row r="863" spans="1:39" x14ac:dyDescent="0.3">
      <c r="A863" s="2" t="str">
        <f t="shared" si="339"/>
        <v>NÃO</v>
      </c>
      <c r="B863" s="2" t="str">
        <f>_xlfn.XLOOKUP($N863,'Base de Grupos'!$A:$A,'Base de Grupos'!$D:$D)</f>
        <v>1000065763</v>
      </c>
      <c r="C863" s="5" t="str">
        <f>_xlfn.XLOOKUP($N863,'Base de Grupos'!$A:$A,'Base de Grupos'!$E:$E)</f>
        <v>CANAL VENDA INTERNA</v>
      </c>
      <c r="D863" s="5" t="str">
        <f>_xlfn.XLOOKUP($N863,'Base de Grupos'!$A:$A,'Base de Grupos'!$F:$F)</f>
        <v>1000065763</v>
      </c>
      <c r="E863" s="2" t="str">
        <f>_xlfn.XLOOKUP($N863,'Base de Grupos'!$A:$A,'Base de Grupos'!$G:$G)</f>
        <v>CANAL VENDA INTERNA</v>
      </c>
      <c r="F863" s="2" t="str">
        <f>_xlfn.XLOOKUP($N863,'Base de Grupos'!$A:$A,'Base de Grupos'!$H:$H)</f>
        <v>1000174119</v>
      </c>
      <c r="G863" s="5" t="str">
        <f>_xlfn.XLOOKUP($N863,'Base de Grupos'!$A:$A,'Base de Grupos'!$I:$I)</f>
        <v>REGIONAL VENDA INTERNA - CONVENIENCIA</v>
      </c>
      <c r="H863" s="5" t="str">
        <f>_xlfn.XLOOKUP($N863,'Base de Grupos'!$A:$A,'Base de Grupos'!$J:$J)</f>
        <v>1000174119</v>
      </c>
      <c r="I863" s="2" t="str">
        <f>_xlfn.XLOOKUP($N863,'Base de Grupos'!$A:$A,'Base de Grupos'!$K:$K)</f>
        <v>REGIONAL VENDA INTERNA - CONVENIENCIA</v>
      </c>
      <c r="J863" s="2" t="str">
        <f>_xlfn.XLOOKUP($N863,'Base de Grupos'!$A:$A,'Base de Grupos'!$L:$L)</f>
        <v>1000174119</v>
      </c>
      <c r="K863" s="5" t="str">
        <f>_xlfn.XLOOKUP($N863,'Base de Grupos'!$A:$A,'Base de Grupos'!$M:$M)</f>
        <v>REGIONAL VENDA INTERNA - CONVENIENCIA</v>
      </c>
      <c r="L863" s="5" t="str">
        <f t="shared" si="340"/>
        <v/>
      </c>
      <c r="M863" s="5" t="str">
        <f>_xlfn.XLOOKUP($N863,'Base de Grupos'!$A:$A,'Base de Grupos'!$C:$C)</f>
        <v>TO</v>
      </c>
      <c r="N863" s="3">
        <v>1512</v>
      </c>
      <c r="O863" s="4" t="s">
        <v>271</v>
      </c>
      <c r="P863" s="5" t="s">
        <v>96</v>
      </c>
      <c r="Q863" s="24">
        <v>0</v>
      </c>
      <c r="R863" s="24">
        <v>0</v>
      </c>
      <c r="S863" s="24">
        <v>0</v>
      </c>
      <c r="T863" s="24">
        <v>0</v>
      </c>
      <c r="U863" s="24">
        <v>0</v>
      </c>
      <c r="V863" s="24">
        <v>0</v>
      </c>
      <c r="W863" s="24">
        <v>0</v>
      </c>
      <c r="X863" s="24">
        <v>0</v>
      </c>
      <c r="Y863" s="24">
        <v>0</v>
      </c>
      <c r="Z863" s="24">
        <v>0</v>
      </c>
      <c r="AA863" s="24">
        <v>0</v>
      </c>
      <c r="AB863" s="24">
        <v>0</v>
      </c>
      <c r="AC863" s="30">
        <f t="shared" si="341"/>
        <v>0</v>
      </c>
      <c r="AD863" s="28"/>
      <c r="AE863" s="12"/>
      <c r="AF863" s="29"/>
      <c r="AG863" s="9"/>
      <c r="AH863" s="10"/>
      <c r="AI863" s="9"/>
      <c r="AJ863" s="11"/>
      <c r="AK863" s="9"/>
      <c r="AL863" s="13"/>
      <c r="AM863" s="9"/>
    </row>
    <row r="864" spans="1:39" x14ac:dyDescent="0.3">
      <c r="A864" s="2" t="str">
        <f t="shared" si="339"/>
        <v>NÃO</v>
      </c>
      <c r="B864" s="2" t="str">
        <f>_xlfn.XLOOKUP($N864,'Base de Grupos'!$A:$A,'Base de Grupos'!$D:$D)</f>
        <v>1000065763</v>
      </c>
      <c r="C864" s="5" t="str">
        <f>_xlfn.XLOOKUP($N864,'Base de Grupos'!$A:$A,'Base de Grupos'!$E:$E)</f>
        <v>CANAL VENDA INTERNA</v>
      </c>
      <c r="D864" s="5" t="str">
        <f>_xlfn.XLOOKUP($N864,'Base de Grupos'!$A:$A,'Base de Grupos'!$F:$F)</f>
        <v>1000065763</v>
      </c>
      <c r="E864" s="2" t="str">
        <f>_xlfn.XLOOKUP($N864,'Base de Grupos'!$A:$A,'Base de Grupos'!$G:$G)</f>
        <v>CANAL VENDA INTERNA</v>
      </c>
      <c r="F864" s="2" t="str">
        <f>_xlfn.XLOOKUP($N864,'Base de Grupos'!$A:$A,'Base de Grupos'!$H:$H)</f>
        <v>1000174119</v>
      </c>
      <c r="G864" s="5" t="str">
        <f>_xlfn.XLOOKUP($N864,'Base de Grupos'!$A:$A,'Base de Grupos'!$I:$I)</f>
        <v>REGIONAL VENDA INTERNA - CONVENIENCIA</v>
      </c>
      <c r="H864" s="5" t="str">
        <f>_xlfn.XLOOKUP($N864,'Base de Grupos'!$A:$A,'Base de Grupos'!$J:$J)</f>
        <v>1000174119</v>
      </c>
      <c r="I864" s="2" t="str">
        <f>_xlfn.XLOOKUP($N864,'Base de Grupos'!$A:$A,'Base de Grupos'!$K:$K)</f>
        <v>REGIONAL VENDA INTERNA - CONVENIENCIA</v>
      </c>
      <c r="J864" s="2" t="str">
        <f>_xlfn.XLOOKUP($N864,'Base de Grupos'!$A:$A,'Base de Grupos'!$L:$L)</f>
        <v>1000174119</v>
      </c>
      <c r="K864" s="5" t="str">
        <f>_xlfn.XLOOKUP($N864,'Base de Grupos'!$A:$A,'Base de Grupos'!$M:$M)</f>
        <v>REGIONAL VENDA INTERNA - CONVENIENCIA</v>
      </c>
      <c r="L864" s="5" t="str">
        <f t="shared" si="340"/>
        <v/>
      </c>
      <c r="M864" s="5" t="str">
        <f>_xlfn.XLOOKUP($N864,'Base de Grupos'!$A:$A,'Base de Grupos'!$C:$C)</f>
        <v>TO</v>
      </c>
      <c r="N864" s="3">
        <v>1512</v>
      </c>
      <c r="O864" s="4" t="s">
        <v>271</v>
      </c>
      <c r="P864" s="5" t="s">
        <v>94</v>
      </c>
      <c r="Q864" s="24">
        <v>0</v>
      </c>
      <c r="R864" s="24">
        <v>0</v>
      </c>
      <c r="S864" s="24">
        <v>0</v>
      </c>
      <c r="T864" s="24">
        <v>0</v>
      </c>
      <c r="U864" s="24">
        <v>0</v>
      </c>
      <c r="V864" s="24">
        <v>0</v>
      </c>
      <c r="W864" s="24">
        <v>0</v>
      </c>
      <c r="X864" s="24">
        <v>0</v>
      </c>
      <c r="Y864" s="24">
        <v>0</v>
      </c>
      <c r="Z864" s="24">
        <v>0</v>
      </c>
      <c r="AA864" s="24">
        <v>0</v>
      </c>
      <c r="AB864" s="24">
        <v>0</v>
      </c>
      <c r="AC864" s="30">
        <f t="shared" si="341"/>
        <v>0</v>
      </c>
      <c r="AD864" s="28"/>
      <c r="AE864" s="12"/>
      <c r="AF864" s="29"/>
      <c r="AG864" s="9"/>
      <c r="AH864" s="10"/>
      <c r="AI864" s="9"/>
      <c r="AJ864" s="11"/>
      <c r="AK864" s="9"/>
      <c r="AL864" s="13"/>
      <c r="AM864" s="9"/>
    </row>
    <row r="865" spans="1:39" x14ac:dyDescent="0.3">
      <c r="A865" s="2" t="str">
        <f t="shared" si="339"/>
        <v>NÃO</v>
      </c>
      <c r="B865" s="2" t="str">
        <f>_xlfn.XLOOKUP($N865,'Base de Grupos'!$A:$A,'Base de Grupos'!$D:$D)</f>
        <v>1000065763</v>
      </c>
      <c r="C865" s="5" t="str">
        <f>_xlfn.XLOOKUP($N865,'Base de Grupos'!$A:$A,'Base de Grupos'!$E:$E)</f>
        <v>CANAL VENDA INTERNA</v>
      </c>
      <c r="D865" s="5" t="str">
        <f>_xlfn.XLOOKUP($N865,'Base de Grupos'!$A:$A,'Base de Grupos'!$F:$F)</f>
        <v>1000065763</v>
      </c>
      <c r="E865" s="2" t="str">
        <f>_xlfn.XLOOKUP($N865,'Base de Grupos'!$A:$A,'Base de Grupos'!$G:$G)</f>
        <v>CANAL VENDA INTERNA</v>
      </c>
      <c r="F865" s="2" t="str">
        <f>_xlfn.XLOOKUP($N865,'Base de Grupos'!$A:$A,'Base de Grupos'!$H:$H)</f>
        <v>1000174119</v>
      </c>
      <c r="G865" s="5" t="str">
        <f>_xlfn.XLOOKUP($N865,'Base de Grupos'!$A:$A,'Base de Grupos'!$I:$I)</f>
        <v>REGIONAL VENDA INTERNA - CONVENIENCIA</v>
      </c>
      <c r="H865" s="5" t="str">
        <f>_xlfn.XLOOKUP($N865,'Base de Grupos'!$A:$A,'Base de Grupos'!$J:$J)</f>
        <v>1000174119</v>
      </c>
      <c r="I865" s="2" t="str">
        <f>_xlfn.XLOOKUP($N865,'Base de Grupos'!$A:$A,'Base de Grupos'!$K:$K)</f>
        <v>REGIONAL VENDA INTERNA - CONVENIENCIA</v>
      </c>
      <c r="J865" s="2" t="str">
        <f>_xlfn.XLOOKUP($N865,'Base de Grupos'!$A:$A,'Base de Grupos'!$L:$L)</f>
        <v>1000174119</v>
      </c>
      <c r="K865" s="5" t="str">
        <f>_xlfn.XLOOKUP($N865,'Base de Grupos'!$A:$A,'Base de Grupos'!$M:$M)</f>
        <v>REGIONAL VENDA INTERNA - CONVENIENCIA</v>
      </c>
      <c r="L865" s="5" t="str">
        <f t="shared" si="340"/>
        <v/>
      </c>
      <c r="M865" s="5" t="str">
        <f>_xlfn.XLOOKUP($N865,'Base de Grupos'!$A:$A,'Base de Grupos'!$C:$C)</f>
        <v>TO</v>
      </c>
      <c r="N865" s="3">
        <v>1512</v>
      </c>
      <c r="O865" s="4" t="s">
        <v>271</v>
      </c>
      <c r="P865" s="5" t="s">
        <v>95</v>
      </c>
      <c r="Q865" s="24">
        <v>0</v>
      </c>
      <c r="R865" s="24">
        <v>0</v>
      </c>
      <c r="S865" s="24">
        <v>0</v>
      </c>
      <c r="T865" s="24">
        <v>0</v>
      </c>
      <c r="U865" s="24">
        <v>0</v>
      </c>
      <c r="V865" s="24">
        <v>0</v>
      </c>
      <c r="W865" s="24">
        <v>0</v>
      </c>
      <c r="X865" s="24">
        <v>0</v>
      </c>
      <c r="Y865" s="24">
        <v>0</v>
      </c>
      <c r="Z865" s="24">
        <v>0</v>
      </c>
      <c r="AA865" s="24">
        <v>0</v>
      </c>
      <c r="AB865" s="24">
        <v>0</v>
      </c>
      <c r="AC865" s="30">
        <f t="shared" si="341"/>
        <v>0</v>
      </c>
      <c r="AD865" s="28"/>
      <c r="AE865" s="12"/>
      <c r="AF865" s="29"/>
      <c r="AG865" s="9"/>
      <c r="AH865" s="10"/>
      <c r="AI865" s="9"/>
      <c r="AJ865" s="11"/>
      <c r="AK865" s="9"/>
      <c r="AL865" s="13"/>
      <c r="AM865" s="9"/>
    </row>
    <row r="866" spans="1:39" x14ac:dyDescent="0.3">
      <c r="A866" s="2" t="str">
        <f t="shared" si="339"/>
        <v>NÃO</v>
      </c>
      <c r="B866" s="2" t="str">
        <f>_xlfn.XLOOKUP($N866,'Base de Grupos'!$A:$A,'Base de Grupos'!$D:$D)</f>
        <v>1000065763</v>
      </c>
      <c r="C866" s="5" t="str">
        <f>_xlfn.XLOOKUP($N866,'Base de Grupos'!$A:$A,'Base de Grupos'!$E:$E)</f>
        <v>CANAL VENDA INTERNA</v>
      </c>
      <c r="D866" s="5" t="str">
        <f>_xlfn.XLOOKUP($N866,'Base de Grupos'!$A:$A,'Base de Grupos'!$F:$F)</f>
        <v>1000065763</v>
      </c>
      <c r="E866" s="2" t="str">
        <f>_xlfn.XLOOKUP($N866,'Base de Grupos'!$A:$A,'Base de Grupos'!$G:$G)</f>
        <v>CANAL VENDA INTERNA</v>
      </c>
      <c r="F866" s="2" t="str">
        <f>_xlfn.XLOOKUP($N866,'Base de Grupos'!$A:$A,'Base de Grupos'!$H:$H)</f>
        <v>1000174119</v>
      </c>
      <c r="G866" s="5" t="str">
        <f>_xlfn.XLOOKUP($N866,'Base de Grupos'!$A:$A,'Base de Grupos'!$I:$I)</f>
        <v>REGIONAL VENDA INTERNA - CONVENIENCIA</v>
      </c>
      <c r="H866" s="5" t="str">
        <f>_xlfn.XLOOKUP($N866,'Base de Grupos'!$A:$A,'Base de Grupos'!$J:$J)</f>
        <v>1000174119</v>
      </c>
      <c r="I866" s="2" t="str">
        <f>_xlfn.XLOOKUP($N866,'Base de Grupos'!$A:$A,'Base de Grupos'!$K:$K)</f>
        <v>REGIONAL VENDA INTERNA - CONVENIENCIA</v>
      </c>
      <c r="J866" s="2" t="str">
        <f>_xlfn.XLOOKUP($N866,'Base de Grupos'!$A:$A,'Base de Grupos'!$L:$L)</f>
        <v>1000174119</v>
      </c>
      <c r="K866" s="5" t="str">
        <f>_xlfn.XLOOKUP($N866,'Base de Grupos'!$A:$A,'Base de Grupos'!$M:$M)</f>
        <v>REGIONAL VENDA INTERNA - CONVENIENCIA</v>
      </c>
      <c r="L866" s="5" t="str">
        <f t="shared" si="340"/>
        <v/>
      </c>
      <c r="M866" s="5" t="str">
        <f>_xlfn.XLOOKUP($N866,'Base de Grupos'!$A:$A,'Base de Grupos'!$C:$C)</f>
        <v>TO</v>
      </c>
      <c r="N866" s="3">
        <v>1512</v>
      </c>
      <c r="O866" s="4" t="s">
        <v>271</v>
      </c>
      <c r="P866" s="5" t="s">
        <v>93</v>
      </c>
      <c r="Q866" s="24">
        <v>0</v>
      </c>
      <c r="R866" s="24">
        <v>0</v>
      </c>
      <c r="S866" s="24">
        <v>0</v>
      </c>
      <c r="T866" s="24">
        <v>0</v>
      </c>
      <c r="U866" s="24">
        <v>0</v>
      </c>
      <c r="V866" s="24">
        <v>0</v>
      </c>
      <c r="W866" s="24">
        <v>0</v>
      </c>
      <c r="X866" s="24">
        <v>0</v>
      </c>
      <c r="Y866" s="24">
        <v>0</v>
      </c>
      <c r="Z866" s="24">
        <v>0</v>
      </c>
      <c r="AA866" s="24">
        <v>0</v>
      </c>
      <c r="AB866" s="24">
        <v>0</v>
      </c>
      <c r="AC866" s="30">
        <f t="shared" si="341"/>
        <v>0</v>
      </c>
      <c r="AD866" s="28"/>
      <c r="AE866" s="12"/>
      <c r="AF866" s="29"/>
      <c r="AG866" s="9"/>
      <c r="AH866" s="10"/>
      <c r="AI866" s="9"/>
      <c r="AJ866" s="11"/>
      <c r="AK866" s="9"/>
      <c r="AL866" s="13"/>
      <c r="AM866" s="9"/>
    </row>
    <row r="867" spans="1:39" x14ac:dyDescent="0.3">
      <c r="A867" s="2" t="str">
        <f t="shared" si="339"/>
        <v>SIM</v>
      </c>
      <c r="B867" s="2" t="str">
        <f>_xlfn.XLOOKUP($N867,'Base de Grupos'!$A:$A,'Base de Grupos'!$D:$D)</f>
        <v>1000065763</v>
      </c>
      <c r="C867" s="5" t="str">
        <f>_xlfn.XLOOKUP($N867,'Base de Grupos'!$A:$A,'Base de Grupos'!$E:$E)</f>
        <v>CANAL VENDA INTERNA</v>
      </c>
      <c r="D867" s="5" t="str">
        <f>_xlfn.XLOOKUP($N867,'Base de Grupos'!$A:$A,'Base de Grupos'!$F:$F)</f>
        <v>1000065763</v>
      </c>
      <c r="E867" s="2" t="str">
        <f>_xlfn.XLOOKUP($N867,'Base de Grupos'!$A:$A,'Base de Grupos'!$G:$G)</f>
        <v>CANAL VENDA INTERNA</v>
      </c>
      <c r="F867" s="2" t="str">
        <f>_xlfn.XLOOKUP($N867,'Base de Grupos'!$A:$A,'Base de Grupos'!$H:$H)</f>
        <v>1000174119</v>
      </c>
      <c r="G867" s="5" t="str">
        <f>_xlfn.XLOOKUP($N867,'Base de Grupos'!$A:$A,'Base de Grupos'!$I:$I)</f>
        <v>REGIONAL VENDA INTERNA - CONVENIENCIA</v>
      </c>
      <c r="H867" s="5" t="str">
        <f>_xlfn.XLOOKUP($N867,'Base de Grupos'!$A:$A,'Base de Grupos'!$J:$J)</f>
        <v>1000174119</v>
      </c>
      <c r="I867" s="2" t="str">
        <f>_xlfn.XLOOKUP($N867,'Base de Grupos'!$A:$A,'Base de Grupos'!$K:$K)</f>
        <v>REGIONAL VENDA INTERNA - CONVENIENCIA</v>
      </c>
      <c r="J867" s="2" t="str">
        <f>_xlfn.XLOOKUP($N867,'Base de Grupos'!$A:$A,'Base de Grupos'!$L:$L)</f>
        <v>1000174119</v>
      </c>
      <c r="K867" s="5" t="str">
        <f>_xlfn.XLOOKUP($N867,'Base de Grupos'!$A:$A,'Base de Grupos'!$M:$M)</f>
        <v>REGIONAL VENDA INTERNA - CONVENIENCIA</v>
      </c>
      <c r="L867" s="5">
        <f t="shared" si="340"/>
        <v>1</v>
      </c>
      <c r="M867" s="5" t="str">
        <f>_xlfn.XLOOKUP($N867,'Base de Grupos'!$A:$A,'Base de Grupos'!$C:$C)</f>
        <v>RO</v>
      </c>
      <c r="N867" s="3">
        <v>1513</v>
      </c>
      <c r="O867" s="4" t="s">
        <v>272</v>
      </c>
      <c r="P867" s="5" t="s">
        <v>342</v>
      </c>
      <c r="Q867" s="24">
        <v>0</v>
      </c>
      <c r="R867" s="24">
        <v>0</v>
      </c>
      <c r="S867" s="24">
        <v>0</v>
      </c>
      <c r="T867" s="24">
        <v>0</v>
      </c>
      <c r="U867" s="24">
        <v>0</v>
      </c>
      <c r="V867" s="24">
        <v>0</v>
      </c>
      <c r="W867" s="24">
        <v>0</v>
      </c>
      <c r="X867" s="24">
        <v>0</v>
      </c>
      <c r="Y867" s="24">
        <v>0</v>
      </c>
      <c r="Z867" s="24">
        <v>0</v>
      </c>
      <c r="AA867" s="24">
        <v>0</v>
      </c>
      <c r="AB867" s="24">
        <v>0</v>
      </c>
      <c r="AC867" s="30">
        <f t="shared" si="341"/>
        <v>0</v>
      </c>
      <c r="AD867" s="28"/>
      <c r="AE867" s="12"/>
      <c r="AF867" s="29"/>
      <c r="AG867" s="9"/>
      <c r="AH867" s="10"/>
      <c r="AI867" s="9"/>
      <c r="AJ867" s="11"/>
      <c r="AK867" s="9"/>
      <c r="AL867" s="13"/>
      <c r="AM867" s="9"/>
    </row>
    <row r="868" spans="1:39" x14ac:dyDescent="0.3">
      <c r="A868" s="2" t="str">
        <f t="shared" si="339"/>
        <v>NÃO</v>
      </c>
      <c r="B868" s="2" t="str">
        <f>_xlfn.XLOOKUP($N868,'Base de Grupos'!$A:$A,'Base de Grupos'!$D:$D)</f>
        <v>1000065763</v>
      </c>
      <c r="C868" s="5" t="str">
        <f>_xlfn.XLOOKUP($N868,'Base de Grupos'!$A:$A,'Base de Grupos'!$E:$E)</f>
        <v>CANAL VENDA INTERNA</v>
      </c>
      <c r="D868" s="5" t="str">
        <f>_xlfn.XLOOKUP($N868,'Base de Grupos'!$A:$A,'Base de Grupos'!$F:$F)</f>
        <v>1000065763</v>
      </c>
      <c r="E868" s="2" t="str">
        <f>_xlfn.XLOOKUP($N868,'Base de Grupos'!$A:$A,'Base de Grupos'!$G:$G)</f>
        <v>CANAL VENDA INTERNA</v>
      </c>
      <c r="F868" s="2" t="str">
        <f>_xlfn.XLOOKUP($N868,'Base de Grupos'!$A:$A,'Base de Grupos'!$H:$H)</f>
        <v>1000174119</v>
      </c>
      <c r="G868" s="5" t="str">
        <f>_xlfn.XLOOKUP($N868,'Base de Grupos'!$A:$A,'Base de Grupos'!$I:$I)</f>
        <v>REGIONAL VENDA INTERNA - CONVENIENCIA</v>
      </c>
      <c r="H868" s="5" t="str">
        <f>_xlfn.XLOOKUP($N868,'Base de Grupos'!$A:$A,'Base de Grupos'!$J:$J)</f>
        <v>1000174119</v>
      </c>
      <c r="I868" s="2" t="str">
        <f>_xlfn.XLOOKUP($N868,'Base de Grupos'!$A:$A,'Base de Grupos'!$K:$K)</f>
        <v>REGIONAL VENDA INTERNA - CONVENIENCIA</v>
      </c>
      <c r="J868" s="2" t="str">
        <f>_xlfn.XLOOKUP($N868,'Base de Grupos'!$A:$A,'Base de Grupos'!$L:$L)</f>
        <v>1000174119</v>
      </c>
      <c r="K868" s="5" t="str">
        <f>_xlfn.XLOOKUP($N868,'Base de Grupos'!$A:$A,'Base de Grupos'!$M:$M)</f>
        <v>REGIONAL VENDA INTERNA - CONVENIENCIA</v>
      </c>
      <c r="L868" s="5" t="str">
        <f t="shared" si="340"/>
        <v/>
      </c>
      <c r="M868" s="5" t="str">
        <f>_xlfn.XLOOKUP($N868,'Base de Grupos'!$A:$A,'Base de Grupos'!$C:$C)</f>
        <v>RO</v>
      </c>
      <c r="N868" s="3">
        <v>1513</v>
      </c>
      <c r="O868" s="4" t="s">
        <v>272</v>
      </c>
      <c r="P868" s="5" t="s">
        <v>81</v>
      </c>
      <c r="Q868" s="24">
        <v>0</v>
      </c>
      <c r="R868" s="24">
        <v>0</v>
      </c>
      <c r="S868" s="24">
        <v>0</v>
      </c>
      <c r="T868" s="24">
        <v>0</v>
      </c>
      <c r="U868" s="24">
        <v>0</v>
      </c>
      <c r="V868" s="24">
        <v>0</v>
      </c>
      <c r="W868" s="24">
        <v>0</v>
      </c>
      <c r="X868" s="24">
        <v>0</v>
      </c>
      <c r="Y868" s="24">
        <v>0</v>
      </c>
      <c r="Z868" s="24">
        <v>0</v>
      </c>
      <c r="AA868" s="24">
        <v>0</v>
      </c>
      <c r="AB868" s="24">
        <v>0</v>
      </c>
      <c r="AC868" s="30">
        <f t="shared" si="341"/>
        <v>0</v>
      </c>
      <c r="AD868" s="28"/>
      <c r="AE868" s="12"/>
      <c r="AF868" s="29"/>
      <c r="AG868" s="9"/>
      <c r="AH868" s="10"/>
      <c r="AI868" s="9"/>
      <c r="AJ868" s="11"/>
      <c r="AK868" s="9"/>
      <c r="AL868" s="13"/>
      <c r="AM868" s="9"/>
    </row>
    <row r="869" spans="1:39" x14ac:dyDescent="0.3">
      <c r="A869" s="2" t="str">
        <f t="shared" si="339"/>
        <v>NÃO</v>
      </c>
      <c r="B869" s="2" t="str">
        <f>_xlfn.XLOOKUP($N869,'Base de Grupos'!$A:$A,'Base de Grupos'!$D:$D)</f>
        <v>1000065763</v>
      </c>
      <c r="C869" s="5" t="str">
        <f>_xlfn.XLOOKUP($N869,'Base de Grupos'!$A:$A,'Base de Grupos'!$E:$E)</f>
        <v>CANAL VENDA INTERNA</v>
      </c>
      <c r="D869" s="5" t="str">
        <f>_xlfn.XLOOKUP($N869,'Base de Grupos'!$A:$A,'Base de Grupos'!$F:$F)</f>
        <v>1000065763</v>
      </c>
      <c r="E869" s="2" t="str">
        <f>_xlfn.XLOOKUP($N869,'Base de Grupos'!$A:$A,'Base de Grupos'!$G:$G)</f>
        <v>CANAL VENDA INTERNA</v>
      </c>
      <c r="F869" s="2" t="str">
        <f>_xlfn.XLOOKUP($N869,'Base de Grupos'!$A:$A,'Base de Grupos'!$H:$H)</f>
        <v>1000174119</v>
      </c>
      <c r="G869" s="5" t="str">
        <f>_xlfn.XLOOKUP($N869,'Base de Grupos'!$A:$A,'Base de Grupos'!$I:$I)</f>
        <v>REGIONAL VENDA INTERNA - CONVENIENCIA</v>
      </c>
      <c r="H869" s="5" t="str">
        <f>_xlfn.XLOOKUP($N869,'Base de Grupos'!$A:$A,'Base de Grupos'!$J:$J)</f>
        <v>1000174119</v>
      </c>
      <c r="I869" s="2" t="str">
        <f>_xlfn.XLOOKUP($N869,'Base de Grupos'!$A:$A,'Base de Grupos'!$K:$K)</f>
        <v>REGIONAL VENDA INTERNA - CONVENIENCIA</v>
      </c>
      <c r="J869" s="2" t="str">
        <f>_xlfn.XLOOKUP($N869,'Base de Grupos'!$A:$A,'Base de Grupos'!$L:$L)</f>
        <v>1000174119</v>
      </c>
      <c r="K869" s="5" t="str">
        <f>_xlfn.XLOOKUP($N869,'Base de Grupos'!$A:$A,'Base de Grupos'!$M:$M)</f>
        <v>REGIONAL VENDA INTERNA - CONVENIENCIA</v>
      </c>
      <c r="L869" s="5" t="str">
        <f t="shared" si="340"/>
        <v/>
      </c>
      <c r="M869" s="5" t="str">
        <f>_xlfn.XLOOKUP($N869,'Base de Grupos'!$A:$A,'Base de Grupos'!$C:$C)</f>
        <v>RO</v>
      </c>
      <c r="N869" s="3">
        <v>1513</v>
      </c>
      <c r="O869" s="4" t="s">
        <v>272</v>
      </c>
      <c r="P869" s="5" t="s">
        <v>82</v>
      </c>
      <c r="Q869" s="24">
        <v>0</v>
      </c>
      <c r="R869" s="24">
        <v>0</v>
      </c>
      <c r="S869" s="24">
        <v>0</v>
      </c>
      <c r="T869" s="24">
        <v>0</v>
      </c>
      <c r="U869" s="24">
        <v>0</v>
      </c>
      <c r="V869" s="24">
        <v>0</v>
      </c>
      <c r="W869" s="24">
        <v>0</v>
      </c>
      <c r="X869" s="24">
        <v>0</v>
      </c>
      <c r="Y869" s="24">
        <v>0</v>
      </c>
      <c r="Z869" s="24">
        <v>0</v>
      </c>
      <c r="AA869" s="24">
        <v>0</v>
      </c>
      <c r="AB869" s="24">
        <v>0</v>
      </c>
      <c r="AC869" s="30">
        <f t="shared" si="341"/>
        <v>0</v>
      </c>
      <c r="AD869" s="28"/>
      <c r="AE869" s="12"/>
      <c r="AF869" s="29"/>
      <c r="AG869" s="9"/>
      <c r="AH869" s="10"/>
      <c r="AI869" s="9"/>
      <c r="AJ869" s="11"/>
      <c r="AK869" s="9"/>
      <c r="AL869" s="13"/>
      <c r="AM869" s="9"/>
    </row>
    <row r="870" spans="1:39" x14ac:dyDescent="0.3">
      <c r="A870" s="2" t="str">
        <f t="shared" si="339"/>
        <v>NÃO</v>
      </c>
      <c r="B870" s="2" t="str">
        <f>_xlfn.XLOOKUP($N870,'Base de Grupos'!$A:$A,'Base de Grupos'!$D:$D)</f>
        <v>1000065763</v>
      </c>
      <c r="C870" s="5" t="str">
        <f>_xlfn.XLOOKUP($N870,'Base de Grupos'!$A:$A,'Base de Grupos'!$E:$E)</f>
        <v>CANAL VENDA INTERNA</v>
      </c>
      <c r="D870" s="5" t="str">
        <f>_xlfn.XLOOKUP($N870,'Base de Grupos'!$A:$A,'Base de Grupos'!$F:$F)</f>
        <v>1000065763</v>
      </c>
      <c r="E870" s="2" t="str">
        <f>_xlfn.XLOOKUP($N870,'Base de Grupos'!$A:$A,'Base de Grupos'!$G:$G)</f>
        <v>CANAL VENDA INTERNA</v>
      </c>
      <c r="F870" s="2" t="str">
        <f>_xlfn.XLOOKUP($N870,'Base de Grupos'!$A:$A,'Base de Grupos'!$H:$H)</f>
        <v>1000174119</v>
      </c>
      <c r="G870" s="5" t="str">
        <f>_xlfn.XLOOKUP($N870,'Base de Grupos'!$A:$A,'Base de Grupos'!$I:$I)</f>
        <v>REGIONAL VENDA INTERNA - CONVENIENCIA</v>
      </c>
      <c r="H870" s="5" t="str">
        <f>_xlfn.XLOOKUP($N870,'Base de Grupos'!$A:$A,'Base de Grupos'!$J:$J)</f>
        <v>1000174119</v>
      </c>
      <c r="I870" s="2" t="str">
        <f>_xlfn.XLOOKUP($N870,'Base de Grupos'!$A:$A,'Base de Grupos'!$K:$K)</f>
        <v>REGIONAL VENDA INTERNA - CONVENIENCIA</v>
      </c>
      <c r="J870" s="2" t="str">
        <f>_xlfn.XLOOKUP($N870,'Base de Grupos'!$A:$A,'Base de Grupos'!$L:$L)</f>
        <v>1000174119</v>
      </c>
      <c r="K870" s="5" t="str">
        <f>_xlfn.XLOOKUP($N870,'Base de Grupos'!$A:$A,'Base de Grupos'!$M:$M)</f>
        <v>REGIONAL VENDA INTERNA - CONVENIENCIA</v>
      </c>
      <c r="L870" s="5" t="str">
        <f t="shared" si="340"/>
        <v/>
      </c>
      <c r="M870" s="5" t="str">
        <f>_xlfn.XLOOKUP($N870,'Base de Grupos'!$A:$A,'Base de Grupos'!$C:$C)</f>
        <v>RO</v>
      </c>
      <c r="N870" s="3">
        <v>1513</v>
      </c>
      <c r="O870" s="4" t="s">
        <v>272</v>
      </c>
      <c r="P870" s="5" t="s">
        <v>84</v>
      </c>
      <c r="Q870" s="24">
        <v>0</v>
      </c>
      <c r="R870" s="24">
        <v>0</v>
      </c>
      <c r="S870" s="24">
        <v>0</v>
      </c>
      <c r="T870" s="24">
        <v>0</v>
      </c>
      <c r="U870" s="24">
        <v>0</v>
      </c>
      <c r="V870" s="24">
        <v>0</v>
      </c>
      <c r="W870" s="24">
        <v>0</v>
      </c>
      <c r="X870" s="24">
        <v>0</v>
      </c>
      <c r="Y870" s="24">
        <v>0</v>
      </c>
      <c r="Z870" s="24">
        <v>0</v>
      </c>
      <c r="AA870" s="24">
        <v>0</v>
      </c>
      <c r="AB870" s="24">
        <v>0</v>
      </c>
      <c r="AC870" s="30">
        <f t="shared" si="341"/>
        <v>0</v>
      </c>
      <c r="AD870" s="28"/>
      <c r="AE870" s="12"/>
      <c r="AF870" s="29"/>
      <c r="AG870" s="9"/>
      <c r="AH870" s="10"/>
      <c r="AI870" s="9"/>
      <c r="AJ870" s="11"/>
      <c r="AK870" s="9"/>
      <c r="AL870" s="13"/>
      <c r="AM870" s="9"/>
    </row>
    <row r="871" spans="1:39" x14ac:dyDescent="0.3">
      <c r="A871" s="2" t="str">
        <f t="shared" si="339"/>
        <v>NÃO</v>
      </c>
      <c r="B871" s="2" t="str">
        <f>_xlfn.XLOOKUP($N871,'Base de Grupos'!$A:$A,'Base de Grupos'!$D:$D)</f>
        <v>1000065763</v>
      </c>
      <c r="C871" s="5" t="str">
        <f>_xlfn.XLOOKUP($N871,'Base de Grupos'!$A:$A,'Base de Grupos'!$E:$E)</f>
        <v>CANAL VENDA INTERNA</v>
      </c>
      <c r="D871" s="5" t="str">
        <f>_xlfn.XLOOKUP($N871,'Base de Grupos'!$A:$A,'Base de Grupos'!$F:$F)</f>
        <v>1000065763</v>
      </c>
      <c r="E871" s="2" t="str">
        <f>_xlfn.XLOOKUP($N871,'Base de Grupos'!$A:$A,'Base de Grupos'!$G:$G)</f>
        <v>CANAL VENDA INTERNA</v>
      </c>
      <c r="F871" s="2" t="str">
        <f>_xlfn.XLOOKUP($N871,'Base de Grupos'!$A:$A,'Base de Grupos'!$H:$H)</f>
        <v>1000174119</v>
      </c>
      <c r="G871" s="5" t="str">
        <f>_xlfn.XLOOKUP($N871,'Base de Grupos'!$A:$A,'Base de Grupos'!$I:$I)</f>
        <v>REGIONAL VENDA INTERNA - CONVENIENCIA</v>
      </c>
      <c r="H871" s="5" t="str">
        <f>_xlfn.XLOOKUP($N871,'Base de Grupos'!$A:$A,'Base de Grupos'!$J:$J)</f>
        <v>1000174119</v>
      </c>
      <c r="I871" s="2" t="str">
        <f>_xlfn.XLOOKUP($N871,'Base de Grupos'!$A:$A,'Base de Grupos'!$K:$K)</f>
        <v>REGIONAL VENDA INTERNA - CONVENIENCIA</v>
      </c>
      <c r="J871" s="2" t="str">
        <f>_xlfn.XLOOKUP($N871,'Base de Grupos'!$A:$A,'Base de Grupos'!$L:$L)</f>
        <v>1000174119</v>
      </c>
      <c r="K871" s="5" t="str">
        <f>_xlfn.XLOOKUP($N871,'Base de Grupos'!$A:$A,'Base de Grupos'!$M:$M)</f>
        <v>REGIONAL VENDA INTERNA - CONVENIENCIA</v>
      </c>
      <c r="L871" s="5" t="str">
        <f t="shared" si="340"/>
        <v/>
      </c>
      <c r="M871" s="5" t="str">
        <f>_xlfn.XLOOKUP($N871,'Base de Grupos'!$A:$A,'Base de Grupos'!$C:$C)</f>
        <v>RO</v>
      </c>
      <c r="N871" s="3">
        <v>1513</v>
      </c>
      <c r="O871" s="4" t="s">
        <v>272</v>
      </c>
      <c r="P871" s="5" t="s">
        <v>83</v>
      </c>
      <c r="Q871" s="24">
        <v>0</v>
      </c>
      <c r="R871" s="24">
        <v>0</v>
      </c>
      <c r="S871" s="24">
        <v>0</v>
      </c>
      <c r="T871" s="24">
        <v>0</v>
      </c>
      <c r="U871" s="24">
        <v>0</v>
      </c>
      <c r="V871" s="24">
        <v>0</v>
      </c>
      <c r="W871" s="24">
        <v>0</v>
      </c>
      <c r="X871" s="24">
        <v>0</v>
      </c>
      <c r="Y871" s="24">
        <v>0</v>
      </c>
      <c r="Z871" s="24">
        <v>0</v>
      </c>
      <c r="AA871" s="24">
        <v>0</v>
      </c>
      <c r="AB871" s="24">
        <v>0</v>
      </c>
      <c r="AC871" s="30">
        <f t="shared" si="341"/>
        <v>0</v>
      </c>
      <c r="AD871" s="28"/>
      <c r="AE871" s="12"/>
      <c r="AF871" s="29"/>
      <c r="AG871" s="9"/>
      <c r="AH871" s="10"/>
      <c r="AI871" s="9"/>
      <c r="AJ871" s="11"/>
      <c r="AK871" s="9"/>
      <c r="AL871" s="13"/>
      <c r="AM871" s="9"/>
    </row>
    <row r="872" spans="1:39" x14ac:dyDescent="0.3">
      <c r="A872" s="2" t="str">
        <f t="shared" si="339"/>
        <v>NÃO</v>
      </c>
      <c r="B872" s="2" t="str">
        <f>_xlfn.XLOOKUP($N872,'Base de Grupos'!$A:$A,'Base de Grupos'!$D:$D)</f>
        <v>1000065763</v>
      </c>
      <c r="C872" s="5" t="str">
        <f>_xlfn.XLOOKUP($N872,'Base de Grupos'!$A:$A,'Base de Grupos'!$E:$E)</f>
        <v>CANAL VENDA INTERNA</v>
      </c>
      <c r="D872" s="5" t="str">
        <f>_xlfn.XLOOKUP($N872,'Base de Grupos'!$A:$A,'Base de Grupos'!$F:$F)</f>
        <v>1000065763</v>
      </c>
      <c r="E872" s="2" t="str">
        <f>_xlfn.XLOOKUP($N872,'Base de Grupos'!$A:$A,'Base de Grupos'!$G:$G)</f>
        <v>CANAL VENDA INTERNA</v>
      </c>
      <c r="F872" s="2" t="str">
        <f>_xlfn.XLOOKUP($N872,'Base de Grupos'!$A:$A,'Base de Grupos'!$H:$H)</f>
        <v>1000174119</v>
      </c>
      <c r="G872" s="5" t="str">
        <f>_xlfn.XLOOKUP($N872,'Base de Grupos'!$A:$A,'Base de Grupos'!$I:$I)</f>
        <v>REGIONAL VENDA INTERNA - CONVENIENCIA</v>
      </c>
      <c r="H872" s="5" t="str">
        <f>_xlfn.XLOOKUP($N872,'Base de Grupos'!$A:$A,'Base de Grupos'!$J:$J)</f>
        <v>1000174119</v>
      </c>
      <c r="I872" s="2" t="str">
        <f>_xlfn.XLOOKUP($N872,'Base de Grupos'!$A:$A,'Base de Grupos'!$K:$K)</f>
        <v>REGIONAL VENDA INTERNA - CONVENIENCIA</v>
      </c>
      <c r="J872" s="2" t="str">
        <f>_xlfn.XLOOKUP($N872,'Base de Grupos'!$A:$A,'Base de Grupos'!$L:$L)</f>
        <v>1000174119</v>
      </c>
      <c r="K872" s="5" t="str">
        <f>_xlfn.XLOOKUP($N872,'Base de Grupos'!$A:$A,'Base de Grupos'!$M:$M)</f>
        <v>REGIONAL VENDA INTERNA - CONVENIENCIA</v>
      </c>
      <c r="L872" s="5" t="str">
        <f t="shared" si="340"/>
        <v/>
      </c>
      <c r="M872" s="5" t="str">
        <f>_xlfn.XLOOKUP($N872,'Base de Grupos'!$A:$A,'Base de Grupos'!$C:$C)</f>
        <v>RO</v>
      </c>
      <c r="N872" s="3">
        <v>1513</v>
      </c>
      <c r="O872" s="4" t="s">
        <v>272</v>
      </c>
      <c r="P872" s="5" t="s">
        <v>87</v>
      </c>
      <c r="Q872" s="24">
        <v>0</v>
      </c>
      <c r="R872" s="24">
        <v>0</v>
      </c>
      <c r="S872" s="24">
        <v>0</v>
      </c>
      <c r="T872" s="24">
        <v>0</v>
      </c>
      <c r="U872" s="24">
        <v>0</v>
      </c>
      <c r="V872" s="24">
        <v>0</v>
      </c>
      <c r="W872" s="24">
        <v>0</v>
      </c>
      <c r="X872" s="24">
        <v>0</v>
      </c>
      <c r="Y872" s="24">
        <v>0</v>
      </c>
      <c r="Z872" s="24">
        <v>0</v>
      </c>
      <c r="AA872" s="24">
        <v>0</v>
      </c>
      <c r="AB872" s="24">
        <v>0</v>
      </c>
      <c r="AC872" s="30">
        <f t="shared" si="341"/>
        <v>0</v>
      </c>
      <c r="AD872" s="28"/>
      <c r="AE872" s="12"/>
      <c r="AF872" s="29"/>
      <c r="AG872" s="9"/>
      <c r="AH872" s="10"/>
      <c r="AI872" s="9"/>
      <c r="AJ872" s="11"/>
      <c r="AK872" s="9"/>
      <c r="AL872" s="13"/>
      <c r="AM872" s="9"/>
    </row>
    <row r="873" spans="1:39" x14ac:dyDescent="0.3">
      <c r="A873" s="2" t="str">
        <f t="shared" si="339"/>
        <v>NÃO</v>
      </c>
      <c r="B873" s="2" t="str">
        <f>_xlfn.XLOOKUP($N873,'Base de Grupos'!$A:$A,'Base de Grupos'!$D:$D)</f>
        <v>1000065763</v>
      </c>
      <c r="C873" s="5" t="str">
        <f>_xlfn.XLOOKUP($N873,'Base de Grupos'!$A:$A,'Base de Grupos'!$E:$E)</f>
        <v>CANAL VENDA INTERNA</v>
      </c>
      <c r="D873" s="5" t="str">
        <f>_xlfn.XLOOKUP($N873,'Base de Grupos'!$A:$A,'Base de Grupos'!$F:$F)</f>
        <v>1000065763</v>
      </c>
      <c r="E873" s="2" t="str">
        <f>_xlfn.XLOOKUP($N873,'Base de Grupos'!$A:$A,'Base de Grupos'!$G:$G)</f>
        <v>CANAL VENDA INTERNA</v>
      </c>
      <c r="F873" s="2" t="str">
        <f>_xlfn.XLOOKUP($N873,'Base de Grupos'!$A:$A,'Base de Grupos'!$H:$H)</f>
        <v>1000174119</v>
      </c>
      <c r="G873" s="5" t="str">
        <f>_xlfn.XLOOKUP($N873,'Base de Grupos'!$A:$A,'Base de Grupos'!$I:$I)</f>
        <v>REGIONAL VENDA INTERNA - CONVENIENCIA</v>
      </c>
      <c r="H873" s="5" t="str">
        <f>_xlfn.XLOOKUP($N873,'Base de Grupos'!$A:$A,'Base de Grupos'!$J:$J)</f>
        <v>1000174119</v>
      </c>
      <c r="I873" s="2" t="str">
        <f>_xlfn.XLOOKUP($N873,'Base de Grupos'!$A:$A,'Base de Grupos'!$K:$K)</f>
        <v>REGIONAL VENDA INTERNA - CONVENIENCIA</v>
      </c>
      <c r="J873" s="2" t="str">
        <f>_xlfn.XLOOKUP($N873,'Base de Grupos'!$A:$A,'Base de Grupos'!$L:$L)</f>
        <v>1000174119</v>
      </c>
      <c r="K873" s="5" t="str">
        <f>_xlfn.XLOOKUP($N873,'Base de Grupos'!$A:$A,'Base de Grupos'!$M:$M)</f>
        <v>REGIONAL VENDA INTERNA - CONVENIENCIA</v>
      </c>
      <c r="L873" s="5" t="str">
        <f t="shared" si="340"/>
        <v/>
      </c>
      <c r="M873" s="5" t="str">
        <f>_xlfn.XLOOKUP($N873,'Base de Grupos'!$A:$A,'Base de Grupos'!$C:$C)</f>
        <v>RO</v>
      </c>
      <c r="N873" s="3">
        <v>1513</v>
      </c>
      <c r="O873" s="4" t="s">
        <v>272</v>
      </c>
      <c r="P873" s="5" t="s">
        <v>85</v>
      </c>
      <c r="Q873" s="24">
        <v>0</v>
      </c>
      <c r="R873" s="24">
        <v>0</v>
      </c>
      <c r="S873" s="24">
        <v>0</v>
      </c>
      <c r="T873" s="24">
        <v>0</v>
      </c>
      <c r="U873" s="24">
        <v>0</v>
      </c>
      <c r="V873" s="24">
        <v>0</v>
      </c>
      <c r="W873" s="24">
        <v>0</v>
      </c>
      <c r="X873" s="24">
        <v>0</v>
      </c>
      <c r="Y873" s="24">
        <v>0</v>
      </c>
      <c r="Z873" s="24">
        <v>0</v>
      </c>
      <c r="AA873" s="24">
        <v>0</v>
      </c>
      <c r="AB873" s="24">
        <v>0</v>
      </c>
      <c r="AC873" s="30">
        <f t="shared" si="341"/>
        <v>0</v>
      </c>
      <c r="AD873" s="28"/>
      <c r="AE873" s="12"/>
      <c r="AF873" s="29"/>
      <c r="AG873" s="9"/>
      <c r="AH873" s="10"/>
      <c r="AI873" s="9"/>
      <c r="AJ873" s="11"/>
      <c r="AK873" s="9"/>
      <c r="AL873" s="13"/>
      <c r="AM873" s="9"/>
    </row>
    <row r="874" spans="1:39" x14ac:dyDescent="0.3">
      <c r="A874" s="2" t="str">
        <f t="shared" si="339"/>
        <v>NÃO</v>
      </c>
      <c r="B874" s="2" t="str">
        <f>_xlfn.XLOOKUP($N874,'Base de Grupos'!$A:$A,'Base de Grupos'!$D:$D)</f>
        <v>1000065763</v>
      </c>
      <c r="C874" s="5" t="str">
        <f>_xlfn.XLOOKUP($N874,'Base de Grupos'!$A:$A,'Base de Grupos'!$E:$E)</f>
        <v>CANAL VENDA INTERNA</v>
      </c>
      <c r="D874" s="5" t="str">
        <f>_xlfn.XLOOKUP($N874,'Base de Grupos'!$A:$A,'Base de Grupos'!$F:$F)</f>
        <v>1000065763</v>
      </c>
      <c r="E874" s="2" t="str">
        <f>_xlfn.XLOOKUP($N874,'Base de Grupos'!$A:$A,'Base de Grupos'!$G:$G)</f>
        <v>CANAL VENDA INTERNA</v>
      </c>
      <c r="F874" s="2" t="str">
        <f>_xlfn.XLOOKUP($N874,'Base de Grupos'!$A:$A,'Base de Grupos'!$H:$H)</f>
        <v>1000174119</v>
      </c>
      <c r="G874" s="5" t="str">
        <f>_xlfn.XLOOKUP($N874,'Base de Grupos'!$A:$A,'Base de Grupos'!$I:$I)</f>
        <v>REGIONAL VENDA INTERNA - CONVENIENCIA</v>
      </c>
      <c r="H874" s="5" t="str">
        <f>_xlfn.XLOOKUP($N874,'Base de Grupos'!$A:$A,'Base de Grupos'!$J:$J)</f>
        <v>1000174119</v>
      </c>
      <c r="I874" s="2" t="str">
        <f>_xlfn.XLOOKUP($N874,'Base de Grupos'!$A:$A,'Base de Grupos'!$K:$K)</f>
        <v>REGIONAL VENDA INTERNA - CONVENIENCIA</v>
      </c>
      <c r="J874" s="2" t="str">
        <f>_xlfn.XLOOKUP($N874,'Base de Grupos'!$A:$A,'Base de Grupos'!$L:$L)</f>
        <v>1000174119</v>
      </c>
      <c r="K874" s="5" t="str">
        <f>_xlfn.XLOOKUP($N874,'Base de Grupos'!$A:$A,'Base de Grupos'!$M:$M)</f>
        <v>REGIONAL VENDA INTERNA - CONVENIENCIA</v>
      </c>
      <c r="L874" s="5" t="str">
        <f t="shared" si="340"/>
        <v/>
      </c>
      <c r="M874" s="5" t="str">
        <f>_xlfn.XLOOKUP($N874,'Base de Grupos'!$A:$A,'Base de Grupos'!$C:$C)</f>
        <v>RO</v>
      </c>
      <c r="N874" s="3">
        <v>1513</v>
      </c>
      <c r="O874" s="4" t="s">
        <v>272</v>
      </c>
      <c r="P874" s="5" t="s">
        <v>92</v>
      </c>
      <c r="Q874" s="24">
        <v>0</v>
      </c>
      <c r="R874" s="24">
        <v>0</v>
      </c>
      <c r="S874" s="24">
        <v>0</v>
      </c>
      <c r="T874" s="24">
        <v>0</v>
      </c>
      <c r="U874" s="24">
        <v>0</v>
      </c>
      <c r="V874" s="24">
        <v>0</v>
      </c>
      <c r="W874" s="24">
        <v>0</v>
      </c>
      <c r="X874" s="24">
        <v>0</v>
      </c>
      <c r="Y874" s="24">
        <v>0</v>
      </c>
      <c r="Z874" s="24">
        <v>0</v>
      </c>
      <c r="AA874" s="24">
        <v>0</v>
      </c>
      <c r="AB874" s="24">
        <v>0</v>
      </c>
      <c r="AC874" s="30">
        <f t="shared" si="341"/>
        <v>0</v>
      </c>
      <c r="AD874" s="28"/>
      <c r="AE874" s="12"/>
      <c r="AF874" s="29"/>
      <c r="AG874" s="9"/>
      <c r="AH874" s="10"/>
      <c r="AI874" s="9"/>
      <c r="AJ874" s="11"/>
      <c r="AK874" s="9"/>
      <c r="AL874" s="13"/>
      <c r="AM874" s="9"/>
    </row>
    <row r="875" spans="1:39" x14ac:dyDescent="0.3">
      <c r="A875" s="2" t="str">
        <f t="shared" si="339"/>
        <v>NÃO</v>
      </c>
      <c r="B875" s="2" t="str">
        <f>_xlfn.XLOOKUP($N875,'Base de Grupos'!$A:$A,'Base de Grupos'!$D:$D)</f>
        <v>1000065763</v>
      </c>
      <c r="C875" s="5" t="str">
        <f>_xlfn.XLOOKUP($N875,'Base de Grupos'!$A:$A,'Base de Grupos'!$E:$E)</f>
        <v>CANAL VENDA INTERNA</v>
      </c>
      <c r="D875" s="5" t="str">
        <f>_xlfn.XLOOKUP($N875,'Base de Grupos'!$A:$A,'Base de Grupos'!$F:$F)</f>
        <v>1000065763</v>
      </c>
      <c r="E875" s="2" t="str">
        <f>_xlfn.XLOOKUP($N875,'Base de Grupos'!$A:$A,'Base de Grupos'!$G:$G)</f>
        <v>CANAL VENDA INTERNA</v>
      </c>
      <c r="F875" s="2" t="str">
        <f>_xlfn.XLOOKUP($N875,'Base de Grupos'!$A:$A,'Base de Grupos'!$H:$H)</f>
        <v>1000174119</v>
      </c>
      <c r="G875" s="5" t="str">
        <f>_xlfn.XLOOKUP($N875,'Base de Grupos'!$A:$A,'Base de Grupos'!$I:$I)</f>
        <v>REGIONAL VENDA INTERNA - CONVENIENCIA</v>
      </c>
      <c r="H875" s="5" t="str">
        <f>_xlfn.XLOOKUP($N875,'Base de Grupos'!$A:$A,'Base de Grupos'!$J:$J)</f>
        <v>1000174119</v>
      </c>
      <c r="I875" s="2" t="str">
        <f>_xlfn.XLOOKUP($N875,'Base de Grupos'!$A:$A,'Base de Grupos'!$K:$K)</f>
        <v>REGIONAL VENDA INTERNA - CONVENIENCIA</v>
      </c>
      <c r="J875" s="2" t="str">
        <f>_xlfn.XLOOKUP($N875,'Base de Grupos'!$A:$A,'Base de Grupos'!$L:$L)</f>
        <v>1000174119</v>
      </c>
      <c r="K875" s="5" t="str">
        <f>_xlfn.XLOOKUP($N875,'Base de Grupos'!$A:$A,'Base de Grupos'!$M:$M)</f>
        <v>REGIONAL VENDA INTERNA - CONVENIENCIA</v>
      </c>
      <c r="L875" s="5" t="str">
        <f t="shared" si="340"/>
        <v/>
      </c>
      <c r="M875" s="5" t="str">
        <f>_xlfn.XLOOKUP($N875,'Base de Grupos'!$A:$A,'Base de Grupos'!$C:$C)</f>
        <v>RO</v>
      </c>
      <c r="N875" s="3">
        <v>1513</v>
      </c>
      <c r="O875" s="4" t="s">
        <v>272</v>
      </c>
      <c r="P875" s="5" t="s">
        <v>86</v>
      </c>
      <c r="Q875" s="24">
        <v>0</v>
      </c>
      <c r="R875" s="24">
        <v>0</v>
      </c>
      <c r="S875" s="24">
        <v>0</v>
      </c>
      <c r="T875" s="24">
        <v>0</v>
      </c>
      <c r="U875" s="24">
        <v>0</v>
      </c>
      <c r="V875" s="24">
        <v>0</v>
      </c>
      <c r="W875" s="24">
        <v>0</v>
      </c>
      <c r="X875" s="24">
        <v>0</v>
      </c>
      <c r="Y875" s="24">
        <v>0</v>
      </c>
      <c r="Z875" s="24">
        <v>0</v>
      </c>
      <c r="AA875" s="24">
        <v>0</v>
      </c>
      <c r="AB875" s="24">
        <v>0</v>
      </c>
      <c r="AC875" s="30">
        <f t="shared" si="341"/>
        <v>0</v>
      </c>
      <c r="AD875" s="28"/>
      <c r="AE875" s="12"/>
      <c r="AF875" s="29"/>
      <c r="AG875" s="9"/>
      <c r="AH875" s="10"/>
      <c r="AI875" s="9"/>
      <c r="AJ875" s="11"/>
      <c r="AK875" s="9"/>
      <c r="AL875" s="13"/>
      <c r="AM875" s="9"/>
    </row>
    <row r="876" spans="1:39" x14ac:dyDescent="0.3">
      <c r="A876" s="2" t="str">
        <f t="shared" si="339"/>
        <v>NÃO</v>
      </c>
      <c r="B876" s="2" t="str">
        <f>_xlfn.XLOOKUP($N876,'Base de Grupos'!$A:$A,'Base de Grupos'!$D:$D)</f>
        <v>1000065763</v>
      </c>
      <c r="C876" s="5" t="str">
        <f>_xlfn.XLOOKUP($N876,'Base de Grupos'!$A:$A,'Base de Grupos'!$E:$E)</f>
        <v>CANAL VENDA INTERNA</v>
      </c>
      <c r="D876" s="5" t="str">
        <f>_xlfn.XLOOKUP($N876,'Base de Grupos'!$A:$A,'Base de Grupos'!$F:$F)</f>
        <v>1000065763</v>
      </c>
      <c r="E876" s="2" t="str">
        <f>_xlfn.XLOOKUP($N876,'Base de Grupos'!$A:$A,'Base de Grupos'!$G:$G)</f>
        <v>CANAL VENDA INTERNA</v>
      </c>
      <c r="F876" s="2" t="str">
        <f>_xlfn.XLOOKUP($N876,'Base de Grupos'!$A:$A,'Base de Grupos'!$H:$H)</f>
        <v>1000174119</v>
      </c>
      <c r="G876" s="5" t="str">
        <f>_xlfn.XLOOKUP($N876,'Base de Grupos'!$A:$A,'Base de Grupos'!$I:$I)</f>
        <v>REGIONAL VENDA INTERNA - CONVENIENCIA</v>
      </c>
      <c r="H876" s="5" t="str">
        <f>_xlfn.XLOOKUP($N876,'Base de Grupos'!$A:$A,'Base de Grupos'!$J:$J)</f>
        <v>1000174119</v>
      </c>
      <c r="I876" s="2" t="str">
        <f>_xlfn.XLOOKUP($N876,'Base de Grupos'!$A:$A,'Base de Grupos'!$K:$K)</f>
        <v>REGIONAL VENDA INTERNA - CONVENIENCIA</v>
      </c>
      <c r="J876" s="2" t="str">
        <f>_xlfn.XLOOKUP($N876,'Base de Grupos'!$A:$A,'Base de Grupos'!$L:$L)</f>
        <v>1000174119</v>
      </c>
      <c r="K876" s="5" t="str">
        <f>_xlfn.XLOOKUP($N876,'Base de Grupos'!$A:$A,'Base de Grupos'!$M:$M)</f>
        <v>REGIONAL VENDA INTERNA - CONVENIENCIA</v>
      </c>
      <c r="L876" s="5" t="str">
        <f t="shared" si="340"/>
        <v/>
      </c>
      <c r="M876" s="5" t="str">
        <f>_xlfn.XLOOKUP($N876,'Base de Grupos'!$A:$A,'Base de Grupos'!$C:$C)</f>
        <v>RO</v>
      </c>
      <c r="N876" s="3">
        <v>1513</v>
      </c>
      <c r="O876" s="4" t="s">
        <v>272</v>
      </c>
      <c r="P876" s="5" t="s">
        <v>108</v>
      </c>
      <c r="Q876" s="24">
        <v>0</v>
      </c>
      <c r="R876" s="24">
        <v>0</v>
      </c>
      <c r="S876" s="24">
        <v>0</v>
      </c>
      <c r="T876" s="24">
        <v>0</v>
      </c>
      <c r="U876" s="24">
        <v>0</v>
      </c>
      <c r="V876" s="24">
        <v>0</v>
      </c>
      <c r="W876" s="24">
        <v>0</v>
      </c>
      <c r="X876" s="24">
        <v>0</v>
      </c>
      <c r="Y876" s="24">
        <v>0</v>
      </c>
      <c r="Z876" s="24">
        <v>0</v>
      </c>
      <c r="AA876" s="24">
        <v>0</v>
      </c>
      <c r="AB876" s="24">
        <v>0</v>
      </c>
      <c r="AC876" s="30">
        <f t="shared" si="341"/>
        <v>0</v>
      </c>
      <c r="AD876" s="28"/>
      <c r="AE876" s="12"/>
      <c r="AF876" s="29"/>
      <c r="AG876" s="9"/>
      <c r="AH876" s="10"/>
      <c r="AI876" s="9"/>
      <c r="AJ876" s="11"/>
      <c r="AK876" s="9"/>
      <c r="AL876" s="13"/>
      <c r="AM876" s="9"/>
    </row>
    <row r="877" spans="1:39" x14ac:dyDescent="0.3">
      <c r="A877" s="2" t="str">
        <f t="shared" si="339"/>
        <v>NÃO</v>
      </c>
      <c r="B877" s="2" t="str">
        <f>_xlfn.XLOOKUP($N877,'Base de Grupos'!$A:$A,'Base de Grupos'!$D:$D)</f>
        <v>1000065763</v>
      </c>
      <c r="C877" s="5" t="str">
        <f>_xlfn.XLOOKUP($N877,'Base de Grupos'!$A:$A,'Base de Grupos'!$E:$E)</f>
        <v>CANAL VENDA INTERNA</v>
      </c>
      <c r="D877" s="5" t="str">
        <f>_xlfn.XLOOKUP($N877,'Base de Grupos'!$A:$A,'Base de Grupos'!$F:$F)</f>
        <v>1000065763</v>
      </c>
      <c r="E877" s="2" t="str">
        <f>_xlfn.XLOOKUP($N877,'Base de Grupos'!$A:$A,'Base de Grupos'!$G:$G)</f>
        <v>CANAL VENDA INTERNA</v>
      </c>
      <c r="F877" s="2" t="str">
        <f>_xlfn.XLOOKUP($N877,'Base de Grupos'!$A:$A,'Base de Grupos'!$H:$H)</f>
        <v>1000174119</v>
      </c>
      <c r="G877" s="5" t="str">
        <f>_xlfn.XLOOKUP($N877,'Base de Grupos'!$A:$A,'Base de Grupos'!$I:$I)</f>
        <v>REGIONAL VENDA INTERNA - CONVENIENCIA</v>
      </c>
      <c r="H877" s="5" t="str">
        <f>_xlfn.XLOOKUP($N877,'Base de Grupos'!$A:$A,'Base de Grupos'!$J:$J)</f>
        <v>1000174119</v>
      </c>
      <c r="I877" s="2" t="str">
        <f>_xlfn.XLOOKUP($N877,'Base de Grupos'!$A:$A,'Base de Grupos'!$K:$K)</f>
        <v>REGIONAL VENDA INTERNA - CONVENIENCIA</v>
      </c>
      <c r="J877" s="2" t="str">
        <f>_xlfn.XLOOKUP($N877,'Base de Grupos'!$A:$A,'Base de Grupos'!$L:$L)</f>
        <v>1000174119</v>
      </c>
      <c r="K877" s="5" t="str">
        <f>_xlfn.XLOOKUP($N877,'Base de Grupos'!$A:$A,'Base de Grupos'!$M:$M)</f>
        <v>REGIONAL VENDA INTERNA - CONVENIENCIA</v>
      </c>
      <c r="L877" s="5" t="str">
        <f t="shared" si="340"/>
        <v/>
      </c>
      <c r="M877" s="5" t="str">
        <f>_xlfn.XLOOKUP($N877,'Base de Grupos'!$A:$A,'Base de Grupos'!$C:$C)</f>
        <v>RO</v>
      </c>
      <c r="N877" s="3">
        <v>1513</v>
      </c>
      <c r="O877" s="4" t="s">
        <v>272</v>
      </c>
      <c r="P877" s="5" t="s">
        <v>89</v>
      </c>
      <c r="Q877" s="24">
        <v>0</v>
      </c>
      <c r="R877" s="24">
        <v>0</v>
      </c>
      <c r="S877" s="24">
        <v>0</v>
      </c>
      <c r="T877" s="24">
        <v>0</v>
      </c>
      <c r="U877" s="24">
        <v>0</v>
      </c>
      <c r="V877" s="24">
        <v>0</v>
      </c>
      <c r="W877" s="24">
        <v>0</v>
      </c>
      <c r="X877" s="24">
        <v>0</v>
      </c>
      <c r="Y877" s="24">
        <v>0</v>
      </c>
      <c r="Z877" s="24">
        <v>0</v>
      </c>
      <c r="AA877" s="24">
        <v>0</v>
      </c>
      <c r="AB877" s="24">
        <v>0</v>
      </c>
      <c r="AC877" s="30">
        <f t="shared" si="341"/>
        <v>0</v>
      </c>
      <c r="AD877" s="28"/>
      <c r="AE877" s="12"/>
      <c r="AF877" s="29"/>
      <c r="AG877" s="9"/>
      <c r="AH877" s="10"/>
      <c r="AI877" s="9"/>
      <c r="AJ877" s="11"/>
      <c r="AK877" s="9"/>
      <c r="AL877" s="13"/>
      <c r="AM877" s="9"/>
    </row>
    <row r="878" spans="1:39" x14ac:dyDescent="0.3">
      <c r="A878" s="2" t="str">
        <f t="shared" si="339"/>
        <v>NÃO</v>
      </c>
      <c r="B878" s="2" t="str">
        <f>_xlfn.XLOOKUP($N878,'Base de Grupos'!$A:$A,'Base de Grupos'!$D:$D)</f>
        <v>1000065763</v>
      </c>
      <c r="C878" s="5" t="str">
        <f>_xlfn.XLOOKUP($N878,'Base de Grupos'!$A:$A,'Base de Grupos'!$E:$E)</f>
        <v>CANAL VENDA INTERNA</v>
      </c>
      <c r="D878" s="5" t="str">
        <f>_xlfn.XLOOKUP($N878,'Base de Grupos'!$A:$A,'Base de Grupos'!$F:$F)</f>
        <v>1000065763</v>
      </c>
      <c r="E878" s="2" t="str">
        <f>_xlfn.XLOOKUP($N878,'Base de Grupos'!$A:$A,'Base de Grupos'!$G:$G)</f>
        <v>CANAL VENDA INTERNA</v>
      </c>
      <c r="F878" s="2" t="str">
        <f>_xlfn.XLOOKUP($N878,'Base de Grupos'!$A:$A,'Base de Grupos'!$H:$H)</f>
        <v>1000174119</v>
      </c>
      <c r="G878" s="5" t="str">
        <f>_xlfn.XLOOKUP($N878,'Base de Grupos'!$A:$A,'Base de Grupos'!$I:$I)</f>
        <v>REGIONAL VENDA INTERNA - CONVENIENCIA</v>
      </c>
      <c r="H878" s="5" t="str">
        <f>_xlfn.XLOOKUP($N878,'Base de Grupos'!$A:$A,'Base de Grupos'!$J:$J)</f>
        <v>1000174119</v>
      </c>
      <c r="I878" s="2" t="str">
        <f>_xlfn.XLOOKUP($N878,'Base de Grupos'!$A:$A,'Base de Grupos'!$K:$K)</f>
        <v>REGIONAL VENDA INTERNA - CONVENIENCIA</v>
      </c>
      <c r="J878" s="2" t="str">
        <f>_xlfn.XLOOKUP($N878,'Base de Grupos'!$A:$A,'Base de Grupos'!$L:$L)</f>
        <v>1000174119</v>
      </c>
      <c r="K878" s="5" t="str">
        <f>_xlfn.XLOOKUP($N878,'Base de Grupos'!$A:$A,'Base de Grupos'!$M:$M)</f>
        <v>REGIONAL VENDA INTERNA - CONVENIENCIA</v>
      </c>
      <c r="L878" s="5" t="str">
        <f t="shared" si="340"/>
        <v/>
      </c>
      <c r="M878" s="5" t="str">
        <f>_xlfn.XLOOKUP($N878,'Base de Grupos'!$A:$A,'Base de Grupos'!$C:$C)</f>
        <v>RO</v>
      </c>
      <c r="N878" s="3">
        <v>1513</v>
      </c>
      <c r="O878" s="4" t="s">
        <v>272</v>
      </c>
      <c r="P878" s="5" t="s">
        <v>88</v>
      </c>
      <c r="Q878" s="24">
        <v>0</v>
      </c>
      <c r="R878" s="24">
        <v>0</v>
      </c>
      <c r="S878" s="24">
        <v>0</v>
      </c>
      <c r="T878" s="24">
        <v>0</v>
      </c>
      <c r="U878" s="24">
        <v>0</v>
      </c>
      <c r="V878" s="24">
        <v>0</v>
      </c>
      <c r="W878" s="24">
        <v>0</v>
      </c>
      <c r="X878" s="24">
        <v>0</v>
      </c>
      <c r="Y878" s="24">
        <v>0</v>
      </c>
      <c r="Z878" s="24">
        <v>0</v>
      </c>
      <c r="AA878" s="24">
        <v>0</v>
      </c>
      <c r="AB878" s="24">
        <v>0</v>
      </c>
      <c r="AC878" s="30">
        <f t="shared" si="341"/>
        <v>0</v>
      </c>
      <c r="AD878" s="28"/>
      <c r="AE878" s="12"/>
      <c r="AF878" s="29"/>
      <c r="AG878" s="9"/>
      <c r="AH878" s="10"/>
      <c r="AI878" s="9"/>
      <c r="AJ878" s="11"/>
      <c r="AK878" s="9"/>
      <c r="AL878" s="13"/>
      <c r="AM878" s="9"/>
    </row>
    <row r="879" spans="1:39" x14ac:dyDescent="0.3">
      <c r="A879" s="2" t="str">
        <f t="shared" si="339"/>
        <v>NÃO</v>
      </c>
      <c r="B879" s="2" t="str">
        <f>_xlfn.XLOOKUP($N879,'Base de Grupos'!$A:$A,'Base de Grupos'!$D:$D)</f>
        <v>1000065763</v>
      </c>
      <c r="C879" s="5" t="str">
        <f>_xlfn.XLOOKUP($N879,'Base de Grupos'!$A:$A,'Base de Grupos'!$E:$E)</f>
        <v>CANAL VENDA INTERNA</v>
      </c>
      <c r="D879" s="5" t="str">
        <f>_xlfn.XLOOKUP($N879,'Base de Grupos'!$A:$A,'Base de Grupos'!$F:$F)</f>
        <v>1000065763</v>
      </c>
      <c r="E879" s="2" t="str">
        <f>_xlfn.XLOOKUP($N879,'Base de Grupos'!$A:$A,'Base de Grupos'!$G:$G)</f>
        <v>CANAL VENDA INTERNA</v>
      </c>
      <c r="F879" s="2" t="str">
        <f>_xlfn.XLOOKUP($N879,'Base de Grupos'!$A:$A,'Base de Grupos'!$H:$H)</f>
        <v>1000174119</v>
      </c>
      <c r="G879" s="5" t="str">
        <f>_xlfn.XLOOKUP($N879,'Base de Grupos'!$A:$A,'Base de Grupos'!$I:$I)</f>
        <v>REGIONAL VENDA INTERNA - CONVENIENCIA</v>
      </c>
      <c r="H879" s="5" t="str">
        <f>_xlfn.XLOOKUP($N879,'Base de Grupos'!$A:$A,'Base de Grupos'!$J:$J)</f>
        <v>1000174119</v>
      </c>
      <c r="I879" s="2" t="str">
        <f>_xlfn.XLOOKUP($N879,'Base de Grupos'!$A:$A,'Base de Grupos'!$K:$K)</f>
        <v>REGIONAL VENDA INTERNA - CONVENIENCIA</v>
      </c>
      <c r="J879" s="2" t="str">
        <f>_xlfn.XLOOKUP($N879,'Base de Grupos'!$A:$A,'Base de Grupos'!$L:$L)</f>
        <v>1000174119</v>
      </c>
      <c r="K879" s="5" t="str">
        <f>_xlfn.XLOOKUP($N879,'Base de Grupos'!$A:$A,'Base de Grupos'!$M:$M)</f>
        <v>REGIONAL VENDA INTERNA - CONVENIENCIA</v>
      </c>
      <c r="L879" s="5" t="str">
        <f t="shared" si="340"/>
        <v/>
      </c>
      <c r="M879" s="5" t="str">
        <f>_xlfn.XLOOKUP($N879,'Base de Grupos'!$A:$A,'Base de Grupos'!$C:$C)</f>
        <v>RO</v>
      </c>
      <c r="N879" s="3">
        <v>1513</v>
      </c>
      <c r="O879" s="4" t="s">
        <v>272</v>
      </c>
      <c r="P879" s="5" t="s">
        <v>90</v>
      </c>
      <c r="Q879" s="24">
        <v>0</v>
      </c>
      <c r="R879" s="24">
        <v>0</v>
      </c>
      <c r="S879" s="24">
        <v>0</v>
      </c>
      <c r="T879" s="24">
        <v>0</v>
      </c>
      <c r="U879" s="24">
        <v>0</v>
      </c>
      <c r="V879" s="24">
        <v>0</v>
      </c>
      <c r="W879" s="24">
        <v>0</v>
      </c>
      <c r="X879" s="24">
        <v>0</v>
      </c>
      <c r="Y879" s="24">
        <v>0</v>
      </c>
      <c r="Z879" s="24">
        <v>0</v>
      </c>
      <c r="AA879" s="24">
        <v>0</v>
      </c>
      <c r="AB879" s="24">
        <v>0</v>
      </c>
      <c r="AC879" s="30">
        <f t="shared" si="341"/>
        <v>0</v>
      </c>
      <c r="AD879" s="28"/>
      <c r="AE879" s="12"/>
      <c r="AF879" s="29"/>
      <c r="AG879" s="9"/>
      <c r="AH879" s="10"/>
      <c r="AI879" s="9"/>
      <c r="AJ879" s="11"/>
      <c r="AK879" s="9"/>
      <c r="AL879" s="13"/>
      <c r="AM879" s="9"/>
    </row>
    <row r="880" spans="1:39" x14ac:dyDescent="0.3">
      <c r="A880" s="2" t="str">
        <f t="shared" si="339"/>
        <v>NÃO</v>
      </c>
      <c r="B880" s="2" t="str">
        <f>_xlfn.XLOOKUP($N880,'Base de Grupos'!$A:$A,'Base de Grupos'!$D:$D)</f>
        <v>1000065763</v>
      </c>
      <c r="C880" s="5" t="str">
        <f>_xlfn.XLOOKUP($N880,'Base de Grupos'!$A:$A,'Base de Grupos'!$E:$E)</f>
        <v>CANAL VENDA INTERNA</v>
      </c>
      <c r="D880" s="5" t="str">
        <f>_xlfn.XLOOKUP($N880,'Base de Grupos'!$A:$A,'Base de Grupos'!$F:$F)</f>
        <v>1000065763</v>
      </c>
      <c r="E880" s="2" t="str">
        <f>_xlfn.XLOOKUP($N880,'Base de Grupos'!$A:$A,'Base de Grupos'!$G:$G)</f>
        <v>CANAL VENDA INTERNA</v>
      </c>
      <c r="F880" s="2" t="str">
        <f>_xlfn.XLOOKUP($N880,'Base de Grupos'!$A:$A,'Base de Grupos'!$H:$H)</f>
        <v>1000174119</v>
      </c>
      <c r="G880" s="5" t="str">
        <f>_xlfn.XLOOKUP($N880,'Base de Grupos'!$A:$A,'Base de Grupos'!$I:$I)</f>
        <v>REGIONAL VENDA INTERNA - CONVENIENCIA</v>
      </c>
      <c r="H880" s="5" t="str">
        <f>_xlfn.XLOOKUP($N880,'Base de Grupos'!$A:$A,'Base de Grupos'!$J:$J)</f>
        <v>1000174119</v>
      </c>
      <c r="I880" s="2" t="str">
        <f>_xlfn.XLOOKUP($N880,'Base de Grupos'!$A:$A,'Base de Grupos'!$K:$K)</f>
        <v>REGIONAL VENDA INTERNA - CONVENIENCIA</v>
      </c>
      <c r="J880" s="2" t="str">
        <f>_xlfn.XLOOKUP($N880,'Base de Grupos'!$A:$A,'Base de Grupos'!$L:$L)</f>
        <v>1000174119</v>
      </c>
      <c r="K880" s="5" t="str">
        <f>_xlfn.XLOOKUP($N880,'Base de Grupos'!$A:$A,'Base de Grupos'!$M:$M)</f>
        <v>REGIONAL VENDA INTERNA - CONVENIENCIA</v>
      </c>
      <c r="L880" s="5" t="str">
        <f t="shared" si="340"/>
        <v/>
      </c>
      <c r="M880" s="5" t="str">
        <f>_xlfn.XLOOKUP($N880,'Base de Grupos'!$A:$A,'Base de Grupos'!$C:$C)</f>
        <v>RO</v>
      </c>
      <c r="N880" s="3">
        <v>1513</v>
      </c>
      <c r="O880" s="4" t="s">
        <v>272</v>
      </c>
      <c r="P880" s="5" t="s">
        <v>91</v>
      </c>
      <c r="Q880" s="24">
        <v>0</v>
      </c>
      <c r="R880" s="24">
        <v>0</v>
      </c>
      <c r="S880" s="24">
        <v>0</v>
      </c>
      <c r="T880" s="24">
        <v>0</v>
      </c>
      <c r="U880" s="24">
        <v>0</v>
      </c>
      <c r="V880" s="24">
        <v>0</v>
      </c>
      <c r="W880" s="24">
        <v>0</v>
      </c>
      <c r="X880" s="24">
        <v>0</v>
      </c>
      <c r="Y880" s="24">
        <v>0</v>
      </c>
      <c r="Z880" s="24">
        <v>0</v>
      </c>
      <c r="AA880" s="24">
        <v>0</v>
      </c>
      <c r="AB880" s="24">
        <v>0</v>
      </c>
      <c r="AC880" s="30">
        <f t="shared" si="341"/>
        <v>0</v>
      </c>
      <c r="AD880" s="28"/>
      <c r="AE880" s="12"/>
      <c r="AF880" s="29"/>
      <c r="AG880" s="9"/>
      <c r="AH880" s="10"/>
      <c r="AI880" s="9"/>
      <c r="AJ880" s="11"/>
      <c r="AK880" s="9"/>
      <c r="AL880" s="13"/>
      <c r="AM880" s="9"/>
    </row>
    <row r="881" spans="1:39" x14ac:dyDescent="0.3">
      <c r="A881" s="2" t="str">
        <f t="shared" si="339"/>
        <v>NÃO</v>
      </c>
      <c r="B881" s="2" t="str">
        <f>_xlfn.XLOOKUP($N881,'Base de Grupos'!$A:$A,'Base de Grupos'!$D:$D)</f>
        <v>1000065763</v>
      </c>
      <c r="C881" s="5" t="str">
        <f>_xlfn.XLOOKUP($N881,'Base de Grupos'!$A:$A,'Base de Grupos'!$E:$E)</f>
        <v>CANAL VENDA INTERNA</v>
      </c>
      <c r="D881" s="5" t="str">
        <f>_xlfn.XLOOKUP($N881,'Base de Grupos'!$A:$A,'Base de Grupos'!$F:$F)</f>
        <v>1000065763</v>
      </c>
      <c r="E881" s="2" t="str">
        <f>_xlfn.XLOOKUP($N881,'Base de Grupos'!$A:$A,'Base de Grupos'!$G:$G)</f>
        <v>CANAL VENDA INTERNA</v>
      </c>
      <c r="F881" s="2" t="str">
        <f>_xlfn.XLOOKUP($N881,'Base de Grupos'!$A:$A,'Base de Grupos'!$H:$H)</f>
        <v>1000174119</v>
      </c>
      <c r="G881" s="5" t="str">
        <f>_xlfn.XLOOKUP($N881,'Base de Grupos'!$A:$A,'Base de Grupos'!$I:$I)</f>
        <v>REGIONAL VENDA INTERNA - CONVENIENCIA</v>
      </c>
      <c r="H881" s="5" t="str">
        <f>_xlfn.XLOOKUP($N881,'Base de Grupos'!$A:$A,'Base de Grupos'!$J:$J)</f>
        <v>1000174119</v>
      </c>
      <c r="I881" s="2" t="str">
        <f>_xlfn.XLOOKUP($N881,'Base de Grupos'!$A:$A,'Base de Grupos'!$K:$K)</f>
        <v>REGIONAL VENDA INTERNA - CONVENIENCIA</v>
      </c>
      <c r="J881" s="2" t="str">
        <f>_xlfn.XLOOKUP($N881,'Base de Grupos'!$A:$A,'Base de Grupos'!$L:$L)</f>
        <v>1000174119</v>
      </c>
      <c r="K881" s="5" t="str">
        <f>_xlfn.XLOOKUP($N881,'Base de Grupos'!$A:$A,'Base de Grupos'!$M:$M)</f>
        <v>REGIONAL VENDA INTERNA - CONVENIENCIA</v>
      </c>
      <c r="L881" s="5" t="str">
        <f t="shared" si="340"/>
        <v/>
      </c>
      <c r="M881" s="5" t="str">
        <f>_xlfn.XLOOKUP($N881,'Base de Grupos'!$A:$A,'Base de Grupos'!$C:$C)</f>
        <v>RO</v>
      </c>
      <c r="N881" s="3">
        <v>1513</v>
      </c>
      <c r="O881" s="4" t="s">
        <v>272</v>
      </c>
      <c r="P881" s="5" t="s">
        <v>96</v>
      </c>
      <c r="Q881" s="24">
        <v>0</v>
      </c>
      <c r="R881" s="24">
        <v>0</v>
      </c>
      <c r="S881" s="24">
        <v>0</v>
      </c>
      <c r="T881" s="24">
        <v>0</v>
      </c>
      <c r="U881" s="24">
        <v>0</v>
      </c>
      <c r="V881" s="24">
        <v>0</v>
      </c>
      <c r="W881" s="24">
        <v>0</v>
      </c>
      <c r="X881" s="24">
        <v>0</v>
      </c>
      <c r="Y881" s="24">
        <v>0</v>
      </c>
      <c r="Z881" s="24">
        <v>0</v>
      </c>
      <c r="AA881" s="24">
        <v>0</v>
      </c>
      <c r="AB881" s="24">
        <v>0</v>
      </c>
      <c r="AC881" s="30">
        <f t="shared" si="341"/>
        <v>0</v>
      </c>
      <c r="AD881" s="28"/>
      <c r="AE881" s="12"/>
      <c r="AF881" s="29"/>
      <c r="AG881" s="9"/>
      <c r="AH881" s="10"/>
      <c r="AI881" s="9"/>
      <c r="AJ881" s="11"/>
      <c r="AK881" s="9"/>
      <c r="AL881" s="13"/>
      <c r="AM881" s="9"/>
    </row>
    <row r="882" spans="1:39" x14ac:dyDescent="0.3">
      <c r="A882" s="2" t="str">
        <f t="shared" si="339"/>
        <v>NÃO</v>
      </c>
      <c r="B882" s="2" t="str">
        <f>_xlfn.XLOOKUP($N882,'Base de Grupos'!$A:$A,'Base de Grupos'!$D:$D)</f>
        <v>1000065763</v>
      </c>
      <c r="C882" s="5" t="str">
        <f>_xlfn.XLOOKUP($N882,'Base de Grupos'!$A:$A,'Base de Grupos'!$E:$E)</f>
        <v>CANAL VENDA INTERNA</v>
      </c>
      <c r="D882" s="5" t="str">
        <f>_xlfn.XLOOKUP($N882,'Base de Grupos'!$A:$A,'Base de Grupos'!$F:$F)</f>
        <v>1000065763</v>
      </c>
      <c r="E882" s="2" t="str">
        <f>_xlfn.XLOOKUP($N882,'Base de Grupos'!$A:$A,'Base de Grupos'!$G:$G)</f>
        <v>CANAL VENDA INTERNA</v>
      </c>
      <c r="F882" s="2" t="str">
        <f>_xlfn.XLOOKUP($N882,'Base de Grupos'!$A:$A,'Base de Grupos'!$H:$H)</f>
        <v>1000174119</v>
      </c>
      <c r="G882" s="5" t="str">
        <f>_xlfn.XLOOKUP($N882,'Base de Grupos'!$A:$A,'Base de Grupos'!$I:$I)</f>
        <v>REGIONAL VENDA INTERNA - CONVENIENCIA</v>
      </c>
      <c r="H882" s="5" t="str">
        <f>_xlfn.XLOOKUP($N882,'Base de Grupos'!$A:$A,'Base de Grupos'!$J:$J)</f>
        <v>1000174119</v>
      </c>
      <c r="I882" s="2" t="str">
        <f>_xlfn.XLOOKUP($N882,'Base de Grupos'!$A:$A,'Base de Grupos'!$K:$K)</f>
        <v>REGIONAL VENDA INTERNA - CONVENIENCIA</v>
      </c>
      <c r="J882" s="2" t="str">
        <f>_xlfn.XLOOKUP($N882,'Base de Grupos'!$A:$A,'Base de Grupos'!$L:$L)</f>
        <v>1000174119</v>
      </c>
      <c r="K882" s="5" t="str">
        <f>_xlfn.XLOOKUP($N882,'Base de Grupos'!$A:$A,'Base de Grupos'!$M:$M)</f>
        <v>REGIONAL VENDA INTERNA - CONVENIENCIA</v>
      </c>
      <c r="L882" s="5" t="str">
        <f t="shared" si="340"/>
        <v/>
      </c>
      <c r="M882" s="5" t="str">
        <f>_xlfn.XLOOKUP($N882,'Base de Grupos'!$A:$A,'Base de Grupos'!$C:$C)</f>
        <v>RO</v>
      </c>
      <c r="N882" s="3">
        <v>1513</v>
      </c>
      <c r="O882" s="4" t="s">
        <v>272</v>
      </c>
      <c r="P882" s="5" t="s">
        <v>94</v>
      </c>
      <c r="Q882" s="24">
        <v>0</v>
      </c>
      <c r="R882" s="24">
        <v>0</v>
      </c>
      <c r="S882" s="24">
        <v>0</v>
      </c>
      <c r="T882" s="24">
        <v>0</v>
      </c>
      <c r="U882" s="24">
        <v>0</v>
      </c>
      <c r="V882" s="24">
        <v>0</v>
      </c>
      <c r="W882" s="24">
        <v>0</v>
      </c>
      <c r="X882" s="24">
        <v>0</v>
      </c>
      <c r="Y882" s="24">
        <v>0</v>
      </c>
      <c r="Z882" s="24">
        <v>0</v>
      </c>
      <c r="AA882" s="24">
        <v>0</v>
      </c>
      <c r="AB882" s="24">
        <v>0</v>
      </c>
      <c r="AC882" s="30">
        <f t="shared" si="341"/>
        <v>0</v>
      </c>
      <c r="AD882" s="28"/>
      <c r="AE882" s="12"/>
      <c r="AF882" s="29"/>
      <c r="AG882" s="9"/>
      <c r="AH882" s="10"/>
      <c r="AI882" s="9"/>
      <c r="AJ882" s="11"/>
      <c r="AK882" s="9"/>
      <c r="AL882" s="13"/>
      <c r="AM882" s="9"/>
    </row>
    <row r="883" spans="1:39" x14ac:dyDescent="0.3">
      <c r="A883" s="2" t="str">
        <f t="shared" si="339"/>
        <v>NÃO</v>
      </c>
      <c r="B883" s="2" t="str">
        <f>_xlfn.XLOOKUP($N883,'Base de Grupos'!$A:$A,'Base de Grupos'!$D:$D)</f>
        <v>1000065763</v>
      </c>
      <c r="C883" s="5" t="str">
        <f>_xlfn.XLOOKUP($N883,'Base de Grupos'!$A:$A,'Base de Grupos'!$E:$E)</f>
        <v>CANAL VENDA INTERNA</v>
      </c>
      <c r="D883" s="5" t="str">
        <f>_xlfn.XLOOKUP($N883,'Base de Grupos'!$A:$A,'Base de Grupos'!$F:$F)</f>
        <v>1000065763</v>
      </c>
      <c r="E883" s="2" t="str">
        <f>_xlfn.XLOOKUP($N883,'Base de Grupos'!$A:$A,'Base de Grupos'!$G:$G)</f>
        <v>CANAL VENDA INTERNA</v>
      </c>
      <c r="F883" s="2" t="str">
        <f>_xlfn.XLOOKUP($N883,'Base de Grupos'!$A:$A,'Base de Grupos'!$H:$H)</f>
        <v>1000174119</v>
      </c>
      <c r="G883" s="5" t="str">
        <f>_xlfn.XLOOKUP($N883,'Base de Grupos'!$A:$A,'Base de Grupos'!$I:$I)</f>
        <v>REGIONAL VENDA INTERNA - CONVENIENCIA</v>
      </c>
      <c r="H883" s="5" t="str">
        <f>_xlfn.XLOOKUP($N883,'Base de Grupos'!$A:$A,'Base de Grupos'!$J:$J)</f>
        <v>1000174119</v>
      </c>
      <c r="I883" s="2" t="str">
        <f>_xlfn.XLOOKUP($N883,'Base de Grupos'!$A:$A,'Base de Grupos'!$K:$K)</f>
        <v>REGIONAL VENDA INTERNA - CONVENIENCIA</v>
      </c>
      <c r="J883" s="2" t="str">
        <f>_xlfn.XLOOKUP($N883,'Base de Grupos'!$A:$A,'Base de Grupos'!$L:$L)</f>
        <v>1000174119</v>
      </c>
      <c r="K883" s="5" t="str">
        <f>_xlfn.XLOOKUP($N883,'Base de Grupos'!$A:$A,'Base de Grupos'!$M:$M)</f>
        <v>REGIONAL VENDA INTERNA - CONVENIENCIA</v>
      </c>
      <c r="L883" s="5" t="str">
        <f t="shared" si="340"/>
        <v/>
      </c>
      <c r="M883" s="5" t="str">
        <f>_xlfn.XLOOKUP($N883,'Base de Grupos'!$A:$A,'Base de Grupos'!$C:$C)</f>
        <v>RO</v>
      </c>
      <c r="N883" s="3">
        <v>1513</v>
      </c>
      <c r="O883" s="4" t="s">
        <v>272</v>
      </c>
      <c r="P883" s="5" t="s">
        <v>95</v>
      </c>
      <c r="Q883" s="24">
        <v>0</v>
      </c>
      <c r="R883" s="24">
        <v>0</v>
      </c>
      <c r="S883" s="24">
        <v>0</v>
      </c>
      <c r="T883" s="24">
        <v>0</v>
      </c>
      <c r="U883" s="24">
        <v>0</v>
      </c>
      <c r="V883" s="24">
        <v>0</v>
      </c>
      <c r="W883" s="24">
        <v>0</v>
      </c>
      <c r="X883" s="24">
        <v>0</v>
      </c>
      <c r="Y883" s="24">
        <v>0</v>
      </c>
      <c r="Z883" s="24">
        <v>0</v>
      </c>
      <c r="AA883" s="24">
        <v>0</v>
      </c>
      <c r="AB883" s="24">
        <v>0</v>
      </c>
      <c r="AC883" s="30">
        <f t="shared" si="341"/>
        <v>0</v>
      </c>
      <c r="AD883" s="28"/>
      <c r="AE883" s="12"/>
      <c r="AF883" s="29"/>
      <c r="AG883" s="9"/>
      <c r="AH883" s="10"/>
      <c r="AI883" s="9"/>
      <c r="AJ883" s="11"/>
      <c r="AK883" s="9"/>
      <c r="AL883" s="13"/>
      <c r="AM883" s="9"/>
    </row>
    <row r="884" spans="1:39" x14ac:dyDescent="0.3">
      <c r="A884" s="2" t="str">
        <f t="shared" si="339"/>
        <v>NÃO</v>
      </c>
      <c r="B884" s="2" t="str">
        <f>_xlfn.XLOOKUP($N884,'Base de Grupos'!$A:$A,'Base de Grupos'!$D:$D)</f>
        <v>1000065763</v>
      </c>
      <c r="C884" s="5" t="str">
        <f>_xlfn.XLOOKUP($N884,'Base de Grupos'!$A:$A,'Base de Grupos'!$E:$E)</f>
        <v>CANAL VENDA INTERNA</v>
      </c>
      <c r="D884" s="5" t="str">
        <f>_xlfn.XLOOKUP($N884,'Base de Grupos'!$A:$A,'Base de Grupos'!$F:$F)</f>
        <v>1000065763</v>
      </c>
      <c r="E884" s="2" t="str">
        <f>_xlfn.XLOOKUP($N884,'Base de Grupos'!$A:$A,'Base de Grupos'!$G:$G)</f>
        <v>CANAL VENDA INTERNA</v>
      </c>
      <c r="F884" s="2" t="str">
        <f>_xlfn.XLOOKUP($N884,'Base de Grupos'!$A:$A,'Base de Grupos'!$H:$H)</f>
        <v>1000174119</v>
      </c>
      <c r="G884" s="5" t="str">
        <f>_xlfn.XLOOKUP($N884,'Base de Grupos'!$A:$A,'Base de Grupos'!$I:$I)</f>
        <v>REGIONAL VENDA INTERNA - CONVENIENCIA</v>
      </c>
      <c r="H884" s="5" t="str">
        <f>_xlfn.XLOOKUP($N884,'Base de Grupos'!$A:$A,'Base de Grupos'!$J:$J)</f>
        <v>1000174119</v>
      </c>
      <c r="I884" s="2" t="str">
        <f>_xlfn.XLOOKUP($N884,'Base de Grupos'!$A:$A,'Base de Grupos'!$K:$K)</f>
        <v>REGIONAL VENDA INTERNA - CONVENIENCIA</v>
      </c>
      <c r="J884" s="2" t="str">
        <f>_xlfn.XLOOKUP($N884,'Base de Grupos'!$A:$A,'Base de Grupos'!$L:$L)</f>
        <v>1000174119</v>
      </c>
      <c r="K884" s="5" t="str">
        <f>_xlfn.XLOOKUP($N884,'Base de Grupos'!$A:$A,'Base de Grupos'!$M:$M)</f>
        <v>REGIONAL VENDA INTERNA - CONVENIENCIA</v>
      </c>
      <c r="L884" s="5" t="str">
        <f t="shared" si="340"/>
        <v/>
      </c>
      <c r="M884" s="5" t="str">
        <f>_xlfn.XLOOKUP($N884,'Base de Grupos'!$A:$A,'Base de Grupos'!$C:$C)</f>
        <v>RO</v>
      </c>
      <c r="N884" s="3">
        <v>1513</v>
      </c>
      <c r="O884" s="4" t="s">
        <v>272</v>
      </c>
      <c r="P884" s="5" t="s">
        <v>93</v>
      </c>
      <c r="Q884" s="24">
        <v>0</v>
      </c>
      <c r="R884" s="24">
        <v>0</v>
      </c>
      <c r="S884" s="24">
        <v>0</v>
      </c>
      <c r="T884" s="24">
        <v>0</v>
      </c>
      <c r="U884" s="24">
        <v>0</v>
      </c>
      <c r="V884" s="24">
        <v>0</v>
      </c>
      <c r="W884" s="24">
        <v>0</v>
      </c>
      <c r="X884" s="24">
        <v>0</v>
      </c>
      <c r="Y884" s="24">
        <v>0</v>
      </c>
      <c r="Z884" s="24">
        <v>0</v>
      </c>
      <c r="AA884" s="24">
        <v>0</v>
      </c>
      <c r="AB884" s="24">
        <v>0</v>
      </c>
      <c r="AC884" s="30">
        <f t="shared" si="341"/>
        <v>0</v>
      </c>
      <c r="AD884" s="28"/>
      <c r="AE884" s="12"/>
      <c r="AF884" s="29"/>
      <c r="AG884" s="9"/>
      <c r="AH884" s="10"/>
      <c r="AI884" s="9"/>
      <c r="AJ884" s="11"/>
      <c r="AK884" s="9"/>
      <c r="AL884" s="13"/>
      <c r="AM884" s="9"/>
    </row>
    <row r="885" spans="1:39" x14ac:dyDescent="0.3">
      <c r="A885" s="2" t="str">
        <f t="shared" si="339"/>
        <v>SIM</v>
      </c>
      <c r="B885" s="2" t="str">
        <f>_xlfn.XLOOKUP($N885,'Base de Grupos'!$A:$A,'Base de Grupos'!$D:$D)</f>
        <v>1000065763</v>
      </c>
      <c r="C885" s="5" t="str">
        <f>_xlfn.XLOOKUP($N885,'Base de Grupos'!$A:$A,'Base de Grupos'!$E:$E)</f>
        <v>CANAL VENDA INTERNA</v>
      </c>
      <c r="D885" s="5" t="str">
        <f>_xlfn.XLOOKUP($N885,'Base de Grupos'!$A:$A,'Base de Grupos'!$F:$F)</f>
        <v>1000065763</v>
      </c>
      <c r="E885" s="2" t="str">
        <f>_xlfn.XLOOKUP($N885,'Base de Grupos'!$A:$A,'Base de Grupos'!$G:$G)</f>
        <v>CANAL VENDA INTERNA</v>
      </c>
      <c r="F885" s="2" t="str">
        <f>_xlfn.XLOOKUP($N885,'Base de Grupos'!$A:$A,'Base de Grupos'!$H:$H)</f>
        <v>1000174119</v>
      </c>
      <c r="G885" s="5" t="str">
        <f>_xlfn.XLOOKUP($N885,'Base de Grupos'!$A:$A,'Base de Grupos'!$I:$I)</f>
        <v>REGIONAL VENDA INTERNA - CONVENIENCIA</v>
      </c>
      <c r="H885" s="5" t="str">
        <f>_xlfn.XLOOKUP($N885,'Base de Grupos'!$A:$A,'Base de Grupos'!$J:$J)</f>
        <v>1000174119</v>
      </c>
      <c r="I885" s="2" t="str">
        <f>_xlfn.XLOOKUP($N885,'Base de Grupos'!$A:$A,'Base de Grupos'!$K:$K)</f>
        <v>REGIONAL VENDA INTERNA - CONVENIENCIA</v>
      </c>
      <c r="J885" s="2" t="str">
        <f>_xlfn.XLOOKUP($N885,'Base de Grupos'!$A:$A,'Base de Grupos'!$L:$L)</f>
        <v>1000174119</v>
      </c>
      <c r="K885" s="5" t="str">
        <f>_xlfn.XLOOKUP($N885,'Base de Grupos'!$A:$A,'Base de Grupos'!$M:$M)</f>
        <v>REGIONAL VENDA INTERNA - CONVENIENCIA</v>
      </c>
      <c r="L885" s="5">
        <f t="shared" si="340"/>
        <v>1</v>
      </c>
      <c r="M885" s="5" t="str">
        <f>_xlfn.XLOOKUP($N885,'Base de Grupos'!$A:$A,'Base de Grupos'!$C:$C)</f>
        <v>RR</v>
      </c>
      <c r="N885" s="3">
        <v>1514</v>
      </c>
      <c r="O885" s="4" t="s">
        <v>273</v>
      </c>
      <c r="P885" s="5" t="s">
        <v>343</v>
      </c>
      <c r="Q885" s="24">
        <v>0</v>
      </c>
      <c r="R885" s="24">
        <v>0</v>
      </c>
      <c r="S885" s="24">
        <v>0</v>
      </c>
      <c r="T885" s="24">
        <v>0</v>
      </c>
      <c r="U885" s="24">
        <v>0</v>
      </c>
      <c r="V885" s="24">
        <v>0</v>
      </c>
      <c r="W885" s="24">
        <v>0</v>
      </c>
      <c r="X885" s="24">
        <v>0</v>
      </c>
      <c r="Y885" s="24">
        <v>0</v>
      </c>
      <c r="Z885" s="24">
        <v>0</v>
      </c>
      <c r="AA885" s="24">
        <v>0</v>
      </c>
      <c r="AB885" s="24">
        <v>0</v>
      </c>
      <c r="AC885" s="30">
        <f t="shared" si="341"/>
        <v>0</v>
      </c>
      <c r="AD885" s="28"/>
      <c r="AE885" s="12"/>
      <c r="AF885" s="29"/>
      <c r="AG885" s="9"/>
      <c r="AH885" s="10"/>
      <c r="AI885" s="9"/>
      <c r="AJ885" s="11"/>
      <c r="AK885" s="9"/>
      <c r="AL885" s="13"/>
      <c r="AM885" s="9"/>
    </row>
    <row r="886" spans="1:39" x14ac:dyDescent="0.3">
      <c r="A886" s="2" t="str">
        <f t="shared" si="339"/>
        <v>NÃO</v>
      </c>
      <c r="B886" s="2" t="str">
        <f>_xlfn.XLOOKUP($N886,'Base de Grupos'!$A:$A,'Base de Grupos'!$D:$D)</f>
        <v>1000065763</v>
      </c>
      <c r="C886" s="5" t="str">
        <f>_xlfn.XLOOKUP($N886,'Base de Grupos'!$A:$A,'Base de Grupos'!$E:$E)</f>
        <v>CANAL VENDA INTERNA</v>
      </c>
      <c r="D886" s="5" t="str">
        <f>_xlfn.XLOOKUP($N886,'Base de Grupos'!$A:$A,'Base de Grupos'!$F:$F)</f>
        <v>1000065763</v>
      </c>
      <c r="E886" s="2" t="str">
        <f>_xlfn.XLOOKUP($N886,'Base de Grupos'!$A:$A,'Base de Grupos'!$G:$G)</f>
        <v>CANAL VENDA INTERNA</v>
      </c>
      <c r="F886" s="2" t="str">
        <f>_xlfn.XLOOKUP($N886,'Base de Grupos'!$A:$A,'Base de Grupos'!$H:$H)</f>
        <v>1000174119</v>
      </c>
      <c r="G886" s="5" t="str">
        <f>_xlfn.XLOOKUP($N886,'Base de Grupos'!$A:$A,'Base de Grupos'!$I:$I)</f>
        <v>REGIONAL VENDA INTERNA - CONVENIENCIA</v>
      </c>
      <c r="H886" s="5" t="str">
        <f>_xlfn.XLOOKUP($N886,'Base de Grupos'!$A:$A,'Base de Grupos'!$J:$J)</f>
        <v>1000174119</v>
      </c>
      <c r="I886" s="2" t="str">
        <f>_xlfn.XLOOKUP($N886,'Base de Grupos'!$A:$A,'Base de Grupos'!$K:$K)</f>
        <v>REGIONAL VENDA INTERNA - CONVENIENCIA</v>
      </c>
      <c r="J886" s="2" t="str">
        <f>_xlfn.XLOOKUP($N886,'Base de Grupos'!$A:$A,'Base de Grupos'!$L:$L)</f>
        <v>1000174119</v>
      </c>
      <c r="K886" s="5" t="str">
        <f>_xlfn.XLOOKUP($N886,'Base de Grupos'!$A:$A,'Base de Grupos'!$M:$M)</f>
        <v>REGIONAL VENDA INTERNA - CONVENIENCIA</v>
      </c>
      <c r="L886" s="5" t="str">
        <f t="shared" si="340"/>
        <v/>
      </c>
      <c r="M886" s="5" t="str">
        <f>_xlfn.XLOOKUP($N886,'Base de Grupos'!$A:$A,'Base de Grupos'!$C:$C)</f>
        <v>RR</v>
      </c>
      <c r="N886" s="3">
        <v>1514</v>
      </c>
      <c r="O886" s="4" t="s">
        <v>273</v>
      </c>
      <c r="P886" s="5" t="s">
        <v>81</v>
      </c>
      <c r="Q886" s="24">
        <v>0</v>
      </c>
      <c r="R886" s="24">
        <v>0</v>
      </c>
      <c r="S886" s="24">
        <v>0</v>
      </c>
      <c r="T886" s="24">
        <v>0</v>
      </c>
      <c r="U886" s="24">
        <v>0</v>
      </c>
      <c r="V886" s="24">
        <v>0</v>
      </c>
      <c r="W886" s="24">
        <v>0</v>
      </c>
      <c r="X886" s="24">
        <v>0</v>
      </c>
      <c r="Y886" s="24">
        <v>0</v>
      </c>
      <c r="Z886" s="24">
        <v>0</v>
      </c>
      <c r="AA886" s="24">
        <v>0</v>
      </c>
      <c r="AB886" s="24">
        <v>0</v>
      </c>
      <c r="AC886" s="30">
        <f t="shared" si="341"/>
        <v>0</v>
      </c>
      <c r="AD886" s="28"/>
      <c r="AE886" s="12"/>
      <c r="AF886" s="29"/>
      <c r="AG886" s="9"/>
      <c r="AH886" s="10"/>
      <c r="AI886" s="9"/>
      <c r="AJ886" s="11"/>
      <c r="AK886" s="9"/>
      <c r="AL886" s="13"/>
      <c r="AM886" s="9"/>
    </row>
    <row r="887" spans="1:39" x14ac:dyDescent="0.3">
      <c r="A887" s="2" t="str">
        <f t="shared" si="339"/>
        <v>NÃO</v>
      </c>
      <c r="B887" s="2" t="str">
        <f>_xlfn.XLOOKUP($N887,'Base de Grupos'!$A:$A,'Base de Grupos'!$D:$D)</f>
        <v>1000065763</v>
      </c>
      <c r="C887" s="5" t="str">
        <f>_xlfn.XLOOKUP($N887,'Base de Grupos'!$A:$A,'Base de Grupos'!$E:$E)</f>
        <v>CANAL VENDA INTERNA</v>
      </c>
      <c r="D887" s="5" t="str">
        <f>_xlfn.XLOOKUP($N887,'Base de Grupos'!$A:$A,'Base de Grupos'!$F:$F)</f>
        <v>1000065763</v>
      </c>
      <c r="E887" s="2" t="str">
        <f>_xlfn.XLOOKUP($N887,'Base de Grupos'!$A:$A,'Base de Grupos'!$G:$G)</f>
        <v>CANAL VENDA INTERNA</v>
      </c>
      <c r="F887" s="2" t="str">
        <f>_xlfn.XLOOKUP($N887,'Base de Grupos'!$A:$A,'Base de Grupos'!$H:$H)</f>
        <v>1000174119</v>
      </c>
      <c r="G887" s="5" t="str">
        <f>_xlfn.XLOOKUP($N887,'Base de Grupos'!$A:$A,'Base de Grupos'!$I:$I)</f>
        <v>REGIONAL VENDA INTERNA - CONVENIENCIA</v>
      </c>
      <c r="H887" s="5" t="str">
        <f>_xlfn.XLOOKUP($N887,'Base de Grupos'!$A:$A,'Base de Grupos'!$J:$J)</f>
        <v>1000174119</v>
      </c>
      <c r="I887" s="2" t="str">
        <f>_xlfn.XLOOKUP($N887,'Base de Grupos'!$A:$A,'Base de Grupos'!$K:$K)</f>
        <v>REGIONAL VENDA INTERNA - CONVENIENCIA</v>
      </c>
      <c r="J887" s="2" t="str">
        <f>_xlfn.XLOOKUP($N887,'Base de Grupos'!$A:$A,'Base de Grupos'!$L:$L)</f>
        <v>1000174119</v>
      </c>
      <c r="K887" s="5" t="str">
        <f>_xlfn.XLOOKUP($N887,'Base de Grupos'!$A:$A,'Base de Grupos'!$M:$M)</f>
        <v>REGIONAL VENDA INTERNA - CONVENIENCIA</v>
      </c>
      <c r="L887" s="5" t="str">
        <f t="shared" si="340"/>
        <v/>
      </c>
      <c r="M887" s="5" t="str">
        <f>_xlfn.XLOOKUP($N887,'Base de Grupos'!$A:$A,'Base de Grupos'!$C:$C)</f>
        <v>RR</v>
      </c>
      <c r="N887" s="3">
        <v>1514</v>
      </c>
      <c r="O887" s="4" t="s">
        <v>273</v>
      </c>
      <c r="P887" s="5" t="s">
        <v>82</v>
      </c>
      <c r="Q887" s="24">
        <v>0</v>
      </c>
      <c r="R887" s="24">
        <v>0</v>
      </c>
      <c r="S887" s="24">
        <v>0</v>
      </c>
      <c r="T887" s="24">
        <v>0</v>
      </c>
      <c r="U887" s="24">
        <v>0</v>
      </c>
      <c r="V887" s="24">
        <v>0</v>
      </c>
      <c r="W887" s="24">
        <v>0</v>
      </c>
      <c r="X887" s="24">
        <v>0</v>
      </c>
      <c r="Y887" s="24">
        <v>0</v>
      </c>
      <c r="Z887" s="24">
        <v>0</v>
      </c>
      <c r="AA887" s="24">
        <v>0</v>
      </c>
      <c r="AB887" s="24">
        <v>0</v>
      </c>
      <c r="AC887" s="30">
        <f t="shared" si="341"/>
        <v>0</v>
      </c>
      <c r="AD887" s="28"/>
      <c r="AE887" s="12"/>
      <c r="AF887" s="29"/>
      <c r="AG887" s="9"/>
      <c r="AH887" s="10"/>
      <c r="AI887" s="9"/>
      <c r="AJ887" s="11"/>
      <c r="AK887" s="9"/>
      <c r="AL887" s="13"/>
      <c r="AM887" s="9"/>
    </row>
    <row r="888" spans="1:39" x14ac:dyDescent="0.3">
      <c r="A888" s="2" t="str">
        <f t="shared" si="339"/>
        <v>NÃO</v>
      </c>
      <c r="B888" s="2" t="str">
        <f>_xlfn.XLOOKUP($N888,'Base de Grupos'!$A:$A,'Base de Grupos'!$D:$D)</f>
        <v>1000065763</v>
      </c>
      <c r="C888" s="5" t="str">
        <f>_xlfn.XLOOKUP($N888,'Base de Grupos'!$A:$A,'Base de Grupos'!$E:$E)</f>
        <v>CANAL VENDA INTERNA</v>
      </c>
      <c r="D888" s="5" t="str">
        <f>_xlfn.XLOOKUP($N888,'Base de Grupos'!$A:$A,'Base de Grupos'!$F:$F)</f>
        <v>1000065763</v>
      </c>
      <c r="E888" s="2" t="str">
        <f>_xlfn.XLOOKUP($N888,'Base de Grupos'!$A:$A,'Base de Grupos'!$G:$G)</f>
        <v>CANAL VENDA INTERNA</v>
      </c>
      <c r="F888" s="2" t="str">
        <f>_xlfn.XLOOKUP($N888,'Base de Grupos'!$A:$A,'Base de Grupos'!$H:$H)</f>
        <v>1000174119</v>
      </c>
      <c r="G888" s="5" t="str">
        <f>_xlfn.XLOOKUP($N888,'Base de Grupos'!$A:$A,'Base de Grupos'!$I:$I)</f>
        <v>REGIONAL VENDA INTERNA - CONVENIENCIA</v>
      </c>
      <c r="H888" s="5" t="str">
        <f>_xlfn.XLOOKUP($N888,'Base de Grupos'!$A:$A,'Base de Grupos'!$J:$J)</f>
        <v>1000174119</v>
      </c>
      <c r="I888" s="2" t="str">
        <f>_xlfn.XLOOKUP($N888,'Base de Grupos'!$A:$A,'Base de Grupos'!$K:$K)</f>
        <v>REGIONAL VENDA INTERNA - CONVENIENCIA</v>
      </c>
      <c r="J888" s="2" t="str">
        <f>_xlfn.XLOOKUP($N888,'Base de Grupos'!$A:$A,'Base de Grupos'!$L:$L)</f>
        <v>1000174119</v>
      </c>
      <c r="K888" s="5" t="str">
        <f>_xlfn.XLOOKUP($N888,'Base de Grupos'!$A:$A,'Base de Grupos'!$M:$M)</f>
        <v>REGIONAL VENDA INTERNA - CONVENIENCIA</v>
      </c>
      <c r="L888" s="5" t="str">
        <f t="shared" si="340"/>
        <v/>
      </c>
      <c r="M888" s="5" t="str">
        <f>_xlfn.XLOOKUP($N888,'Base de Grupos'!$A:$A,'Base de Grupos'!$C:$C)</f>
        <v>RR</v>
      </c>
      <c r="N888" s="3">
        <v>1514</v>
      </c>
      <c r="O888" s="4" t="s">
        <v>273</v>
      </c>
      <c r="P888" s="5" t="s">
        <v>84</v>
      </c>
      <c r="Q888" s="24">
        <v>0</v>
      </c>
      <c r="R888" s="24">
        <v>0</v>
      </c>
      <c r="S888" s="24">
        <v>0</v>
      </c>
      <c r="T888" s="24">
        <v>0</v>
      </c>
      <c r="U888" s="24">
        <v>0</v>
      </c>
      <c r="V888" s="24">
        <v>0</v>
      </c>
      <c r="W888" s="24">
        <v>0</v>
      </c>
      <c r="X888" s="24">
        <v>0</v>
      </c>
      <c r="Y888" s="24">
        <v>0</v>
      </c>
      <c r="Z888" s="24">
        <v>0</v>
      </c>
      <c r="AA888" s="24">
        <v>0</v>
      </c>
      <c r="AB888" s="24">
        <v>0</v>
      </c>
      <c r="AC888" s="30">
        <f t="shared" si="341"/>
        <v>0</v>
      </c>
      <c r="AD888" s="28"/>
      <c r="AE888" s="12"/>
      <c r="AF888" s="29"/>
      <c r="AG888" s="9"/>
      <c r="AH888" s="10"/>
      <c r="AI888" s="9"/>
      <c r="AJ888" s="11"/>
      <c r="AK888" s="9"/>
      <c r="AL888" s="13"/>
      <c r="AM888" s="9"/>
    </row>
    <row r="889" spans="1:39" x14ac:dyDescent="0.3">
      <c r="A889" s="2" t="str">
        <f t="shared" si="339"/>
        <v>NÃO</v>
      </c>
      <c r="B889" s="2" t="str">
        <f>_xlfn.XLOOKUP($N889,'Base de Grupos'!$A:$A,'Base de Grupos'!$D:$D)</f>
        <v>1000065763</v>
      </c>
      <c r="C889" s="5" t="str">
        <f>_xlfn.XLOOKUP($N889,'Base de Grupos'!$A:$A,'Base de Grupos'!$E:$E)</f>
        <v>CANAL VENDA INTERNA</v>
      </c>
      <c r="D889" s="5" t="str">
        <f>_xlfn.XLOOKUP($N889,'Base de Grupos'!$A:$A,'Base de Grupos'!$F:$F)</f>
        <v>1000065763</v>
      </c>
      <c r="E889" s="2" t="str">
        <f>_xlfn.XLOOKUP($N889,'Base de Grupos'!$A:$A,'Base de Grupos'!$G:$G)</f>
        <v>CANAL VENDA INTERNA</v>
      </c>
      <c r="F889" s="2" t="str">
        <f>_xlfn.XLOOKUP($N889,'Base de Grupos'!$A:$A,'Base de Grupos'!$H:$H)</f>
        <v>1000174119</v>
      </c>
      <c r="G889" s="5" t="str">
        <f>_xlfn.XLOOKUP($N889,'Base de Grupos'!$A:$A,'Base de Grupos'!$I:$I)</f>
        <v>REGIONAL VENDA INTERNA - CONVENIENCIA</v>
      </c>
      <c r="H889" s="5" t="str">
        <f>_xlfn.XLOOKUP($N889,'Base de Grupos'!$A:$A,'Base de Grupos'!$J:$J)</f>
        <v>1000174119</v>
      </c>
      <c r="I889" s="2" t="str">
        <f>_xlfn.XLOOKUP($N889,'Base de Grupos'!$A:$A,'Base de Grupos'!$K:$K)</f>
        <v>REGIONAL VENDA INTERNA - CONVENIENCIA</v>
      </c>
      <c r="J889" s="2" t="str">
        <f>_xlfn.XLOOKUP($N889,'Base de Grupos'!$A:$A,'Base de Grupos'!$L:$L)</f>
        <v>1000174119</v>
      </c>
      <c r="K889" s="5" t="str">
        <f>_xlfn.XLOOKUP($N889,'Base de Grupos'!$A:$A,'Base de Grupos'!$M:$M)</f>
        <v>REGIONAL VENDA INTERNA - CONVENIENCIA</v>
      </c>
      <c r="L889" s="5" t="str">
        <f t="shared" si="340"/>
        <v/>
      </c>
      <c r="M889" s="5" t="str">
        <f>_xlfn.XLOOKUP($N889,'Base de Grupos'!$A:$A,'Base de Grupos'!$C:$C)</f>
        <v>RR</v>
      </c>
      <c r="N889" s="3">
        <v>1514</v>
      </c>
      <c r="O889" s="4" t="s">
        <v>273</v>
      </c>
      <c r="P889" s="5" t="s">
        <v>83</v>
      </c>
      <c r="Q889" s="24">
        <v>0</v>
      </c>
      <c r="R889" s="24">
        <v>0</v>
      </c>
      <c r="S889" s="24">
        <v>0</v>
      </c>
      <c r="T889" s="24">
        <v>0</v>
      </c>
      <c r="U889" s="24">
        <v>0</v>
      </c>
      <c r="V889" s="24">
        <v>0</v>
      </c>
      <c r="W889" s="24">
        <v>0</v>
      </c>
      <c r="X889" s="24">
        <v>0</v>
      </c>
      <c r="Y889" s="24">
        <v>0</v>
      </c>
      <c r="Z889" s="24">
        <v>0</v>
      </c>
      <c r="AA889" s="24">
        <v>0</v>
      </c>
      <c r="AB889" s="24">
        <v>0</v>
      </c>
      <c r="AC889" s="30">
        <f t="shared" si="341"/>
        <v>0</v>
      </c>
      <c r="AD889" s="28"/>
      <c r="AE889" s="12"/>
      <c r="AF889" s="29"/>
      <c r="AG889" s="9"/>
      <c r="AH889" s="10"/>
      <c r="AI889" s="9"/>
      <c r="AJ889" s="11"/>
      <c r="AK889" s="9"/>
      <c r="AL889" s="13"/>
      <c r="AM889" s="9"/>
    </row>
    <row r="890" spans="1:39" x14ac:dyDescent="0.3">
      <c r="A890" s="2" t="str">
        <f t="shared" si="339"/>
        <v>NÃO</v>
      </c>
      <c r="B890" s="2" t="str">
        <f>_xlfn.XLOOKUP($N890,'Base de Grupos'!$A:$A,'Base de Grupos'!$D:$D)</f>
        <v>1000065763</v>
      </c>
      <c r="C890" s="5" t="str">
        <f>_xlfn.XLOOKUP($N890,'Base de Grupos'!$A:$A,'Base de Grupos'!$E:$E)</f>
        <v>CANAL VENDA INTERNA</v>
      </c>
      <c r="D890" s="5" t="str">
        <f>_xlfn.XLOOKUP($N890,'Base de Grupos'!$A:$A,'Base de Grupos'!$F:$F)</f>
        <v>1000065763</v>
      </c>
      <c r="E890" s="2" t="str">
        <f>_xlfn.XLOOKUP($N890,'Base de Grupos'!$A:$A,'Base de Grupos'!$G:$G)</f>
        <v>CANAL VENDA INTERNA</v>
      </c>
      <c r="F890" s="2" t="str">
        <f>_xlfn.XLOOKUP($N890,'Base de Grupos'!$A:$A,'Base de Grupos'!$H:$H)</f>
        <v>1000174119</v>
      </c>
      <c r="G890" s="5" t="str">
        <f>_xlfn.XLOOKUP($N890,'Base de Grupos'!$A:$A,'Base de Grupos'!$I:$I)</f>
        <v>REGIONAL VENDA INTERNA - CONVENIENCIA</v>
      </c>
      <c r="H890" s="5" t="str">
        <f>_xlfn.XLOOKUP($N890,'Base de Grupos'!$A:$A,'Base de Grupos'!$J:$J)</f>
        <v>1000174119</v>
      </c>
      <c r="I890" s="2" t="str">
        <f>_xlfn.XLOOKUP($N890,'Base de Grupos'!$A:$A,'Base de Grupos'!$K:$K)</f>
        <v>REGIONAL VENDA INTERNA - CONVENIENCIA</v>
      </c>
      <c r="J890" s="2" t="str">
        <f>_xlfn.XLOOKUP($N890,'Base de Grupos'!$A:$A,'Base de Grupos'!$L:$L)</f>
        <v>1000174119</v>
      </c>
      <c r="K890" s="5" t="str">
        <f>_xlfn.XLOOKUP($N890,'Base de Grupos'!$A:$A,'Base de Grupos'!$M:$M)</f>
        <v>REGIONAL VENDA INTERNA - CONVENIENCIA</v>
      </c>
      <c r="L890" s="5" t="str">
        <f t="shared" si="340"/>
        <v/>
      </c>
      <c r="M890" s="5" t="str">
        <f>_xlfn.XLOOKUP($N890,'Base de Grupos'!$A:$A,'Base de Grupos'!$C:$C)</f>
        <v>RR</v>
      </c>
      <c r="N890" s="3">
        <v>1514</v>
      </c>
      <c r="O890" s="4" t="s">
        <v>273</v>
      </c>
      <c r="P890" s="5" t="s">
        <v>87</v>
      </c>
      <c r="Q890" s="24">
        <v>0</v>
      </c>
      <c r="R890" s="24">
        <v>0</v>
      </c>
      <c r="S890" s="24">
        <v>0</v>
      </c>
      <c r="T890" s="24">
        <v>0</v>
      </c>
      <c r="U890" s="24">
        <v>0</v>
      </c>
      <c r="V890" s="24">
        <v>0</v>
      </c>
      <c r="W890" s="24">
        <v>0</v>
      </c>
      <c r="X890" s="24">
        <v>0</v>
      </c>
      <c r="Y890" s="24">
        <v>0</v>
      </c>
      <c r="Z890" s="24">
        <v>0</v>
      </c>
      <c r="AA890" s="24">
        <v>0</v>
      </c>
      <c r="AB890" s="24">
        <v>0</v>
      </c>
      <c r="AC890" s="30">
        <f t="shared" si="341"/>
        <v>0</v>
      </c>
      <c r="AD890" s="28"/>
      <c r="AE890" s="12"/>
      <c r="AF890" s="29"/>
      <c r="AG890" s="9"/>
      <c r="AH890" s="10"/>
      <c r="AI890" s="9"/>
      <c r="AJ890" s="11"/>
      <c r="AK890" s="9"/>
      <c r="AL890" s="13"/>
      <c r="AM890" s="9"/>
    </row>
    <row r="891" spans="1:39" x14ac:dyDescent="0.3">
      <c r="A891" s="2" t="str">
        <f t="shared" si="339"/>
        <v>NÃO</v>
      </c>
      <c r="B891" s="2" t="str">
        <f>_xlfn.XLOOKUP($N891,'Base de Grupos'!$A:$A,'Base de Grupos'!$D:$D)</f>
        <v>1000065763</v>
      </c>
      <c r="C891" s="5" t="str">
        <f>_xlfn.XLOOKUP($N891,'Base de Grupos'!$A:$A,'Base de Grupos'!$E:$E)</f>
        <v>CANAL VENDA INTERNA</v>
      </c>
      <c r="D891" s="5" t="str">
        <f>_xlfn.XLOOKUP($N891,'Base de Grupos'!$A:$A,'Base de Grupos'!$F:$F)</f>
        <v>1000065763</v>
      </c>
      <c r="E891" s="2" t="str">
        <f>_xlfn.XLOOKUP($N891,'Base de Grupos'!$A:$A,'Base de Grupos'!$G:$G)</f>
        <v>CANAL VENDA INTERNA</v>
      </c>
      <c r="F891" s="2" t="str">
        <f>_xlfn.XLOOKUP($N891,'Base de Grupos'!$A:$A,'Base de Grupos'!$H:$H)</f>
        <v>1000174119</v>
      </c>
      <c r="G891" s="5" t="str">
        <f>_xlfn.XLOOKUP($N891,'Base de Grupos'!$A:$A,'Base de Grupos'!$I:$I)</f>
        <v>REGIONAL VENDA INTERNA - CONVENIENCIA</v>
      </c>
      <c r="H891" s="5" t="str">
        <f>_xlfn.XLOOKUP($N891,'Base de Grupos'!$A:$A,'Base de Grupos'!$J:$J)</f>
        <v>1000174119</v>
      </c>
      <c r="I891" s="2" t="str">
        <f>_xlfn.XLOOKUP($N891,'Base de Grupos'!$A:$A,'Base de Grupos'!$K:$K)</f>
        <v>REGIONAL VENDA INTERNA - CONVENIENCIA</v>
      </c>
      <c r="J891" s="2" t="str">
        <f>_xlfn.XLOOKUP($N891,'Base de Grupos'!$A:$A,'Base de Grupos'!$L:$L)</f>
        <v>1000174119</v>
      </c>
      <c r="K891" s="5" t="str">
        <f>_xlfn.XLOOKUP($N891,'Base de Grupos'!$A:$A,'Base de Grupos'!$M:$M)</f>
        <v>REGIONAL VENDA INTERNA - CONVENIENCIA</v>
      </c>
      <c r="L891" s="5" t="str">
        <f t="shared" si="340"/>
        <v/>
      </c>
      <c r="M891" s="5" t="str">
        <f>_xlfn.XLOOKUP($N891,'Base de Grupos'!$A:$A,'Base de Grupos'!$C:$C)</f>
        <v>RR</v>
      </c>
      <c r="N891" s="3">
        <v>1514</v>
      </c>
      <c r="O891" s="4" t="s">
        <v>273</v>
      </c>
      <c r="P891" s="5" t="s">
        <v>85</v>
      </c>
      <c r="Q891" s="24">
        <v>0</v>
      </c>
      <c r="R891" s="24">
        <v>0</v>
      </c>
      <c r="S891" s="24">
        <v>0</v>
      </c>
      <c r="T891" s="24">
        <v>0</v>
      </c>
      <c r="U891" s="24">
        <v>0</v>
      </c>
      <c r="V891" s="24">
        <v>0</v>
      </c>
      <c r="W891" s="24">
        <v>0</v>
      </c>
      <c r="X891" s="24">
        <v>0</v>
      </c>
      <c r="Y891" s="24">
        <v>0</v>
      </c>
      <c r="Z891" s="24">
        <v>0</v>
      </c>
      <c r="AA891" s="24">
        <v>0</v>
      </c>
      <c r="AB891" s="24">
        <v>0</v>
      </c>
      <c r="AC891" s="30">
        <f t="shared" si="341"/>
        <v>0</v>
      </c>
      <c r="AD891" s="28"/>
      <c r="AE891" s="12"/>
      <c r="AF891" s="29"/>
      <c r="AG891" s="9"/>
      <c r="AH891" s="10"/>
      <c r="AI891" s="9"/>
      <c r="AJ891" s="11"/>
      <c r="AK891" s="9"/>
      <c r="AL891" s="13"/>
      <c r="AM891" s="9"/>
    </row>
    <row r="892" spans="1:39" x14ac:dyDescent="0.3">
      <c r="A892" s="2" t="str">
        <f t="shared" si="339"/>
        <v>NÃO</v>
      </c>
      <c r="B892" s="2" t="str">
        <f>_xlfn.XLOOKUP($N892,'Base de Grupos'!$A:$A,'Base de Grupos'!$D:$D)</f>
        <v>1000065763</v>
      </c>
      <c r="C892" s="5" t="str">
        <f>_xlfn.XLOOKUP($N892,'Base de Grupos'!$A:$A,'Base de Grupos'!$E:$E)</f>
        <v>CANAL VENDA INTERNA</v>
      </c>
      <c r="D892" s="5" t="str">
        <f>_xlfn.XLOOKUP($N892,'Base de Grupos'!$A:$A,'Base de Grupos'!$F:$F)</f>
        <v>1000065763</v>
      </c>
      <c r="E892" s="2" t="str">
        <f>_xlfn.XLOOKUP($N892,'Base de Grupos'!$A:$A,'Base de Grupos'!$G:$G)</f>
        <v>CANAL VENDA INTERNA</v>
      </c>
      <c r="F892" s="2" t="str">
        <f>_xlfn.XLOOKUP($N892,'Base de Grupos'!$A:$A,'Base de Grupos'!$H:$H)</f>
        <v>1000174119</v>
      </c>
      <c r="G892" s="5" t="str">
        <f>_xlfn.XLOOKUP($N892,'Base de Grupos'!$A:$A,'Base de Grupos'!$I:$I)</f>
        <v>REGIONAL VENDA INTERNA - CONVENIENCIA</v>
      </c>
      <c r="H892" s="5" t="str">
        <f>_xlfn.XLOOKUP($N892,'Base de Grupos'!$A:$A,'Base de Grupos'!$J:$J)</f>
        <v>1000174119</v>
      </c>
      <c r="I892" s="2" t="str">
        <f>_xlfn.XLOOKUP($N892,'Base de Grupos'!$A:$A,'Base de Grupos'!$K:$K)</f>
        <v>REGIONAL VENDA INTERNA - CONVENIENCIA</v>
      </c>
      <c r="J892" s="2" t="str">
        <f>_xlfn.XLOOKUP($N892,'Base de Grupos'!$A:$A,'Base de Grupos'!$L:$L)</f>
        <v>1000174119</v>
      </c>
      <c r="K892" s="5" t="str">
        <f>_xlfn.XLOOKUP($N892,'Base de Grupos'!$A:$A,'Base de Grupos'!$M:$M)</f>
        <v>REGIONAL VENDA INTERNA - CONVENIENCIA</v>
      </c>
      <c r="L892" s="5" t="str">
        <f t="shared" si="340"/>
        <v/>
      </c>
      <c r="M892" s="5" t="str">
        <f>_xlfn.XLOOKUP($N892,'Base de Grupos'!$A:$A,'Base de Grupos'!$C:$C)</f>
        <v>RR</v>
      </c>
      <c r="N892" s="3">
        <v>1514</v>
      </c>
      <c r="O892" s="4" t="s">
        <v>273</v>
      </c>
      <c r="P892" s="5" t="s">
        <v>92</v>
      </c>
      <c r="Q892" s="24">
        <v>0</v>
      </c>
      <c r="R892" s="24">
        <v>0</v>
      </c>
      <c r="S892" s="24">
        <v>0</v>
      </c>
      <c r="T892" s="24">
        <v>0</v>
      </c>
      <c r="U892" s="24">
        <v>0</v>
      </c>
      <c r="V892" s="24">
        <v>0</v>
      </c>
      <c r="W892" s="24">
        <v>0</v>
      </c>
      <c r="X892" s="24">
        <v>0</v>
      </c>
      <c r="Y892" s="24">
        <v>0</v>
      </c>
      <c r="Z892" s="24">
        <v>0</v>
      </c>
      <c r="AA892" s="24">
        <v>0</v>
      </c>
      <c r="AB892" s="24">
        <v>0</v>
      </c>
      <c r="AC892" s="30">
        <f t="shared" si="341"/>
        <v>0</v>
      </c>
      <c r="AD892" s="28"/>
      <c r="AE892" s="12"/>
      <c r="AF892" s="29"/>
      <c r="AG892" s="9"/>
      <c r="AH892" s="10"/>
      <c r="AI892" s="9"/>
      <c r="AJ892" s="11"/>
      <c r="AK892" s="9"/>
      <c r="AL892" s="13"/>
      <c r="AM892" s="9"/>
    </row>
    <row r="893" spans="1:39" x14ac:dyDescent="0.3">
      <c r="A893" s="2" t="str">
        <f t="shared" si="339"/>
        <v>NÃO</v>
      </c>
      <c r="B893" s="2" t="str">
        <f>_xlfn.XLOOKUP($N893,'Base de Grupos'!$A:$A,'Base de Grupos'!$D:$D)</f>
        <v>1000065763</v>
      </c>
      <c r="C893" s="5" t="str">
        <f>_xlfn.XLOOKUP($N893,'Base de Grupos'!$A:$A,'Base de Grupos'!$E:$E)</f>
        <v>CANAL VENDA INTERNA</v>
      </c>
      <c r="D893" s="5" t="str">
        <f>_xlfn.XLOOKUP($N893,'Base de Grupos'!$A:$A,'Base de Grupos'!$F:$F)</f>
        <v>1000065763</v>
      </c>
      <c r="E893" s="2" t="str">
        <f>_xlfn.XLOOKUP($N893,'Base de Grupos'!$A:$A,'Base de Grupos'!$G:$G)</f>
        <v>CANAL VENDA INTERNA</v>
      </c>
      <c r="F893" s="2" t="str">
        <f>_xlfn.XLOOKUP($N893,'Base de Grupos'!$A:$A,'Base de Grupos'!$H:$H)</f>
        <v>1000174119</v>
      </c>
      <c r="G893" s="5" t="str">
        <f>_xlfn.XLOOKUP($N893,'Base de Grupos'!$A:$A,'Base de Grupos'!$I:$I)</f>
        <v>REGIONAL VENDA INTERNA - CONVENIENCIA</v>
      </c>
      <c r="H893" s="5" t="str">
        <f>_xlfn.XLOOKUP($N893,'Base de Grupos'!$A:$A,'Base de Grupos'!$J:$J)</f>
        <v>1000174119</v>
      </c>
      <c r="I893" s="2" t="str">
        <f>_xlfn.XLOOKUP($N893,'Base de Grupos'!$A:$A,'Base de Grupos'!$K:$K)</f>
        <v>REGIONAL VENDA INTERNA - CONVENIENCIA</v>
      </c>
      <c r="J893" s="2" t="str">
        <f>_xlfn.XLOOKUP($N893,'Base de Grupos'!$A:$A,'Base de Grupos'!$L:$L)</f>
        <v>1000174119</v>
      </c>
      <c r="K893" s="5" t="str">
        <f>_xlfn.XLOOKUP($N893,'Base de Grupos'!$A:$A,'Base de Grupos'!$M:$M)</f>
        <v>REGIONAL VENDA INTERNA - CONVENIENCIA</v>
      </c>
      <c r="L893" s="5" t="str">
        <f t="shared" si="340"/>
        <v/>
      </c>
      <c r="M893" s="5" t="str">
        <f>_xlfn.XLOOKUP($N893,'Base de Grupos'!$A:$A,'Base de Grupos'!$C:$C)</f>
        <v>RR</v>
      </c>
      <c r="N893" s="3">
        <v>1514</v>
      </c>
      <c r="O893" s="4" t="s">
        <v>273</v>
      </c>
      <c r="P893" s="5" t="s">
        <v>86</v>
      </c>
      <c r="Q893" s="24">
        <v>0</v>
      </c>
      <c r="R893" s="24">
        <v>0</v>
      </c>
      <c r="S893" s="24">
        <v>0</v>
      </c>
      <c r="T893" s="24">
        <v>0</v>
      </c>
      <c r="U893" s="24">
        <v>0</v>
      </c>
      <c r="V893" s="24">
        <v>0</v>
      </c>
      <c r="W893" s="24">
        <v>0</v>
      </c>
      <c r="X893" s="24">
        <v>0</v>
      </c>
      <c r="Y893" s="24">
        <v>0</v>
      </c>
      <c r="Z893" s="24">
        <v>0</v>
      </c>
      <c r="AA893" s="24">
        <v>0</v>
      </c>
      <c r="AB893" s="24">
        <v>0</v>
      </c>
      <c r="AC893" s="30">
        <f t="shared" si="341"/>
        <v>0</v>
      </c>
      <c r="AD893" s="28"/>
      <c r="AE893" s="12"/>
      <c r="AF893" s="29"/>
      <c r="AG893" s="9"/>
      <c r="AH893" s="10"/>
      <c r="AI893" s="9"/>
      <c r="AJ893" s="11"/>
      <c r="AK893" s="9"/>
      <c r="AL893" s="13"/>
      <c r="AM893" s="9"/>
    </row>
    <row r="894" spans="1:39" x14ac:dyDescent="0.3">
      <c r="A894" s="2" t="str">
        <f t="shared" si="339"/>
        <v>NÃO</v>
      </c>
      <c r="B894" s="2" t="str">
        <f>_xlfn.XLOOKUP($N894,'Base de Grupos'!$A:$A,'Base de Grupos'!$D:$D)</f>
        <v>1000065763</v>
      </c>
      <c r="C894" s="5" t="str">
        <f>_xlfn.XLOOKUP($N894,'Base de Grupos'!$A:$A,'Base de Grupos'!$E:$E)</f>
        <v>CANAL VENDA INTERNA</v>
      </c>
      <c r="D894" s="5" t="str">
        <f>_xlfn.XLOOKUP($N894,'Base de Grupos'!$A:$A,'Base de Grupos'!$F:$F)</f>
        <v>1000065763</v>
      </c>
      <c r="E894" s="2" t="str">
        <f>_xlfn.XLOOKUP($N894,'Base de Grupos'!$A:$A,'Base de Grupos'!$G:$G)</f>
        <v>CANAL VENDA INTERNA</v>
      </c>
      <c r="F894" s="2" t="str">
        <f>_xlfn.XLOOKUP($N894,'Base de Grupos'!$A:$A,'Base de Grupos'!$H:$H)</f>
        <v>1000174119</v>
      </c>
      <c r="G894" s="5" t="str">
        <f>_xlfn.XLOOKUP($N894,'Base de Grupos'!$A:$A,'Base de Grupos'!$I:$I)</f>
        <v>REGIONAL VENDA INTERNA - CONVENIENCIA</v>
      </c>
      <c r="H894" s="5" t="str">
        <f>_xlfn.XLOOKUP($N894,'Base de Grupos'!$A:$A,'Base de Grupos'!$J:$J)</f>
        <v>1000174119</v>
      </c>
      <c r="I894" s="2" t="str">
        <f>_xlfn.XLOOKUP($N894,'Base de Grupos'!$A:$A,'Base de Grupos'!$K:$K)</f>
        <v>REGIONAL VENDA INTERNA - CONVENIENCIA</v>
      </c>
      <c r="J894" s="2" t="str">
        <f>_xlfn.XLOOKUP($N894,'Base de Grupos'!$A:$A,'Base de Grupos'!$L:$L)</f>
        <v>1000174119</v>
      </c>
      <c r="K894" s="5" t="str">
        <f>_xlfn.XLOOKUP($N894,'Base de Grupos'!$A:$A,'Base de Grupos'!$M:$M)</f>
        <v>REGIONAL VENDA INTERNA - CONVENIENCIA</v>
      </c>
      <c r="L894" s="5" t="str">
        <f t="shared" si="340"/>
        <v/>
      </c>
      <c r="M894" s="5" t="str">
        <f>_xlfn.XLOOKUP($N894,'Base de Grupos'!$A:$A,'Base de Grupos'!$C:$C)</f>
        <v>RR</v>
      </c>
      <c r="N894" s="3">
        <v>1514</v>
      </c>
      <c r="O894" s="4" t="s">
        <v>273</v>
      </c>
      <c r="P894" s="5" t="s">
        <v>108</v>
      </c>
      <c r="Q894" s="24">
        <v>0</v>
      </c>
      <c r="R894" s="24">
        <v>0</v>
      </c>
      <c r="S894" s="24">
        <v>0</v>
      </c>
      <c r="T894" s="24">
        <v>0</v>
      </c>
      <c r="U894" s="24">
        <v>0</v>
      </c>
      <c r="V894" s="24">
        <v>0</v>
      </c>
      <c r="W894" s="24">
        <v>0</v>
      </c>
      <c r="X894" s="24">
        <v>0</v>
      </c>
      <c r="Y894" s="24">
        <v>0</v>
      </c>
      <c r="Z894" s="24">
        <v>0</v>
      </c>
      <c r="AA894" s="24">
        <v>0</v>
      </c>
      <c r="AB894" s="24">
        <v>0</v>
      </c>
      <c r="AC894" s="30">
        <f t="shared" si="341"/>
        <v>0</v>
      </c>
      <c r="AD894" s="28"/>
      <c r="AE894" s="12"/>
      <c r="AF894" s="29"/>
      <c r="AG894" s="9"/>
      <c r="AH894" s="10"/>
      <c r="AI894" s="9"/>
      <c r="AJ894" s="11"/>
      <c r="AK894" s="9"/>
      <c r="AL894" s="13"/>
      <c r="AM894" s="9"/>
    </row>
    <row r="895" spans="1:39" x14ac:dyDescent="0.3">
      <c r="A895" s="2" t="str">
        <f t="shared" si="339"/>
        <v>NÃO</v>
      </c>
      <c r="B895" s="2" t="str">
        <f>_xlfn.XLOOKUP($N895,'Base de Grupos'!$A:$A,'Base de Grupos'!$D:$D)</f>
        <v>1000065763</v>
      </c>
      <c r="C895" s="5" t="str">
        <f>_xlfn.XLOOKUP($N895,'Base de Grupos'!$A:$A,'Base de Grupos'!$E:$E)</f>
        <v>CANAL VENDA INTERNA</v>
      </c>
      <c r="D895" s="5" t="str">
        <f>_xlfn.XLOOKUP($N895,'Base de Grupos'!$A:$A,'Base de Grupos'!$F:$F)</f>
        <v>1000065763</v>
      </c>
      <c r="E895" s="2" t="str">
        <f>_xlfn.XLOOKUP($N895,'Base de Grupos'!$A:$A,'Base de Grupos'!$G:$G)</f>
        <v>CANAL VENDA INTERNA</v>
      </c>
      <c r="F895" s="2" t="str">
        <f>_xlfn.XLOOKUP($N895,'Base de Grupos'!$A:$A,'Base de Grupos'!$H:$H)</f>
        <v>1000174119</v>
      </c>
      <c r="G895" s="5" t="str">
        <f>_xlfn.XLOOKUP($N895,'Base de Grupos'!$A:$A,'Base de Grupos'!$I:$I)</f>
        <v>REGIONAL VENDA INTERNA - CONVENIENCIA</v>
      </c>
      <c r="H895" s="5" t="str">
        <f>_xlfn.XLOOKUP($N895,'Base de Grupos'!$A:$A,'Base de Grupos'!$J:$J)</f>
        <v>1000174119</v>
      </c>
      <c r="I895" s="2" t="str">
        <f>_xlfn.XLOOKUP($N895,'Base de Grupos'!$A:$A,'Base de Grupos'!$K:$K)</f>
        <v>REGIONAL VENDA INTERNA - CONVENIENCIA</v>
      </c>
      <c r="J895" s="2" t="str">
        <f>_xlfn.XLOOKUP($N895,'Base de Grupos'!$A:$A,'Base de Grupos'!$L:$L)</f>
        <v>1000174119</v>
      </c>
      <c r="K895" s="5" t="str">
        <f>_xlfn.XLOOKUP($N895,'Base de Grupos'!$A:$A,'Base de Grupos'!$M:$M)</f>
        <v>REGIONAL VENDA INTERNA - CONVENIENCIA</v>
      </c>
      <c r="L895" s="5" t="str">
        <f t="shared" si="340"/>
        <v/>
      </c>
      <c r="M895" s="5" t="str">
        <f>_xlfn.XLOOKUP($N895,'Base de Grupos'!$A:$A,'Base de Grupos'!$C:$C)</f>
        <v>RR</v>
      </c>
      <c r="N895" s="3">
        <v>1514</v>
      </c>
      <c r="O895" s="4" t="s">
        <v>273</v>
      </c>
      <c r="P895" s="5" t="s">
        <v>89</v>
      </c>
      <c r="Q895" s="24">
        <v>0</v>
      </c>
      <c r="R895" s="24">
        <v>0</v>
      </c>
      <c r="S895" s="24">
        <v>0</v>
      </c>
      <c r="T895" s="24">
        <v>0</v>
      </c>
      <c r="U895" s="24">
        <v>0</v>
      </c>
      <c r="V895" s="24">
        <v>0</v>
      </c>
      <c r="W895" s="24">
        <v>0</v>
      </c>
      <c r="X895" s="24">
        <v>0</v>
      </c>
      <c r="Y895" s="24">
        <v>0</v>
      </c>
      <c r="Z895" s="24">
        <v>0</v>
      </c>
      <c r="AA895" s="24">
        <v>0</v>
      </c>
      <c r="AB895" s="24">
        <v>0</v>
      </c>
      <c r="AC895" s="30">
        <f t="shared" si="341"/>
        <v>0</v>
      </c>
      <c r="AD895" s="28"/>
      <c r="AE895" s="12"/>
      <c r="AF895" s="29"/>
      <c r="AG895" s="9"/>
      <c r="AH895" s="10"/>
      <c r="AI895" s="9"/>
      <c r="AJ895" s="11"/>
      <c r="AK895" s="9"/>
      <c r="AL895" s="13"/>
      <c r="AM895" s="9"/>
    </row>
    <row r="896" spans="1:39" x14ac:dyDescent="0.3">
      <c r="A896" s="2" t="str">
        <f t="shared" si="339"/>
        <v>NÃO</v>
      </c>
      <c r="B896" s="2" t="str">
        <f>_xlfn.XLOOKUP($N896,'Base de Grupos'!$A:$A,'Base de Grupos'!$D:$D)</f>
        <v>1000065763</v>
      </c>
      <c r="C896" s="5" t="str">
        <f>_xlfn.XLOOKUP($N896,'Base de Grupos'!$A:$A,'Base de Grupos'!$E:$E)</f>
        <v>CANAL VENDA INTERNA</v>
      </c>
      <c r="D896" s="5" t="str">
        <f>_xlfn.XLOOKUP($N896,'Base de Grupos'!$A:$A,'Base de Grupos'!$F:$F)</f>
        <v>1000065763</v>
      </c>
      <c r="E896" s="2" t="str">
        <f>_xlfn.XLOOKUP($N896,'Base de Grupos'!$A:$A,'Base de Grupos'!$G:$G)</f>
        <v>CANAL VENDA INTERNA</v>
      </c>
      <c r="F896" s="2" t="str">
        <f>_xlfn.XLOOKUP($N896,'Base de Grupos'!$A:$A,'Base de Grupos'!$H:$H)</f>
        <v>1000174119</v>
      </c>
      <c r="G896" s="5" t="str">
        <f>_xlfn.XLOOKUP($N896,'Base de Grupos'!$A:$A,'Base de Grupos'!$I:$I)</f>
        <v>REGIONAL VENDA INTERNA - CONVENIENCIA</v>
      </c>
      <c r="H896" s="5" t="str">
        <f>_xlfn.XLOOKUP($N896,'Base de Grupos'!$A:$A,'Base de Grupos'!$J:$J)</f>
        <v>1000174119</v>
      </c>
      <c r="I896" s="2" t="str">
        <f>_xlfn.XLOOKUP($N896,'Base de Grupos'!$A:$A,'Base de Grupos'!$K:$K)</f>
        <v>REGIONAL VENDA INTERNA - CONVENIENCIA</v>
      </c>
      <c r="J896" s="2" t="str">
        <f>_xlfn.XLOOKUP($N896,'Base de Grupos'!$A:$A,'Base de Grupos'!$L:$L)</f>
        <v>1000174119</v>
      </c>
      <c r="K896" s="5" t="str">
        <f>_xlfn.XLOOKUP($N896,'Base de Grupos'!$A:$A,'Base de Grupos'!$M:$M)</f>
        <v>REGIONAL VENDA INTERNA - CONVENIENCIA</v>
      </c>
      <c r="L896" s="5" t="str">
        <f t="shared" si="340"/>
        <v/>
      </c>
      <c r="M896" s="5" t="str">
        <f>_xlfn.XLOOKUP($N896,'Base de Grupos'!$A:$A,'Base de Grupos'!$C:$C)</f>
        <v>RR</v>
      </c>
      <c r="N896" s="3">
        <v>1514</v>
      </c>
      <c r="O896" s="4" t="s">
        <v>273</v>
      </c>
      <c r="P896" s="5" t="s">
        <v>88</v>
      </c>
      <c r="Q896" s="24">
        <v>0</v>
      </c>
      <c r="R896" s="24">
        <v>0</v>
      </c>
      <c r="S896" s="24">
        <v>0</v>
      </c>
      <c r="T896" s="24">
        <v>0</v>
      </c>
      <c r="U896" s="24">
        <v>0</v>
      </c>
      <c r="V896" s="24">
        <v>0</v>
      </c>
      <c r="W896" s="24">
        <v>0</v>
      </c>
      <c r="X896" s="24">
        <v>0</v>
      </c>
      <c r="Y896" s="24">
        <v>0</v>
      </c>
      <c r="Z896" s="24">
        <v>0</v>
      </c>
      <c r="AA896" s="24">
        <v>0</v>
      </c>
      <c r="AB896" s="24">
        <v>0</v>
      </c>
      <c r="AC896" s="30">
        <f t="shared" si="341"/>
        <v>0</v>
      </c>
      <c r="AD896" s="28"/>
      <c r="AE896" s="12"/>
      <c r="AF896" s="29"/>
      <c r="AG896" s="9"/>
      <c r="AH896" s="10"/>
      <c r="AI896" s="9"/>
      <c r="AJ896" s="11"/>
      <c r="AK896" s="9"/>
      <c r="AL896" s="13"/>
      <c r="AM896" s="9"/>
    </row>
    <row r="897" spans="1:39" x14ac:dyDescent="0.3">
      <c r="A897" s="2" t="str">
        <f t="shared" si="339"/>
        <v>NÃO</v>
      </c>
      <c r="B897" s="2" t="str">
        <f>_xlfn.XLOOKUP($N897,'Base de Grupos'!$A:$A,'Base de Grupos'!$D:$D)</f>
        <v>1000065763</v>
      </c>
      <c r="C897" s="5" t="str">
        <f>_xlfn.XLOOKUP($N897,'Base de Grupos'!$A:$A,'Base de Grupos'!$E:$E)</f>
        <v>CANAL VENDA INTERNA</v>
      </c>
      <c r="D897" s="5" t="str">
        <f>_xlfn.XLOOKUP($N897,'Base de Grupos'!$A:$A,'Base de Grupos'!$F:$F)</f>
        <v>1000065763</v>
      </c>
      <c r="E897" s="2" t="str">
        <f>_xlfn.XLOOKUP($N897,'Base de Grupos'!$A:$A,'Base de Grupos'!$G:$G)</f>
        <v>CANAL VENDA INTERNA</v>
      </c>
      <c r="F897" s="2" t="str">
        <f>_xlfn.XLOOKUP($N897,'Base de Grupos'!$A:$A,'Base de Grupos'!$H:$H)</f>
        <v>1000174119</v>
      </c>
      <c r="G897" s="5" t="str">
        <f>_xlfn.XLOOKUP($N897,'Base de Grupos'!$A:$A,'Base de Grupos'!$I:$I)</f>
        <v>REGIONAL VENDA INTERNA - CONVENIENCIA</v>
      </c>
      <c r="H897" s="5" t="str">
        <f>_xlfn.XLOOKUP($N897,'Base de Grupos'!$A:$A,'Base de Grupos'!$J:$J)</f>
        <v>1000174119</v>
      </c>
      <c r="I897" s="2" t="str">
        <f>_xlfn.XLOOKUP($N897,'Base de Grupos'!$A:$A,'Base de Grupos'!$K:$K)</f>
        <v>REGIONAL VENDA INTERNA - CONVENIENCIA</v>
      </c>
      <c r="J897" s="2" t="str">
        <f>_xlfn.XLOOKUP($N897,'Base de Grupos'!$A:$A,'Base de Grupos'!$L:$L)</f>
        <v>1000174119</v>
      </c>
      <c r="K897" s="5" t="str">
        <f>_xlfn.XLOOKUP($N897,'Base de Grupos'!$A:$A,'Base de Grupos'!$M:$M)</f>
        <v>REGIONAL VENDA INTERNA - CONVENIENCIA</v>
      </c>
      <c r="L897" s="5" t="str">
        <f t="shared" si="340"/>
        <v/>
      </c>
      <c r="M897" s="5" t="str">
        <f>_xlfn.XLOOKUP($N897,'Base de Grupos'!$A:$A,'Base de Grupos'!$C:$C)</f>
        <v>RR</v>
      </c>
      <c r="N897" s="3">
        <v>1514</v>
      </c>
      <c r="O897" s="4" t="s">
        <v>273</v>
      </c>
      <c r="P897" s="5" t="s">
        <v>90</v>
      </c>
      <c r="Q897" s="24">
        <v>0</v>
      </c>
      <c r="R897" s="24">
        <v>0</v>
      </c>
      <c r="S897" s="24">
        <v>0</v>
      </c>
      <c r="T897" s="24">
        <v>0</v>
      </c>
      <c r="U897" s="24">
        <v>0</v>
      </c>
      <c r="V897" s="24">
        <v>0</v>
      </c>
      <c r="W897" s="24">
        <v>0</v>
      </c>
      <c r="X897" s="24">
        <v>0</v>
      </c>
      <c r="Y897" s="24">
        <v>0</v>
      </c>
      <c r="Z897" s="24">
        <v>0</v>
      </c>
      <c r="AA897" s="24">
        <v>0</v>
      </c>
      <c r="AB897" s="24">
        <v>0</v>
      </c>
      <c r="AC897" s="30">
        <f t="shared" si="341"/>
        <v>0</v>
      </c>
      <c r="AD897" s="28"/>
      <c r="AE897" s="12"/>
      <c r="AF897" s="29"/>
      <c r="AG897" s="9"/>
      <c r="AH897" s="10"/>
      <c r="AI897" s="9"/>
      <c r="AJ897" s="11"/>
      <c r="AK897" s="9"/>
      <c r="AL897" s="13"/>
      <c r="AM897" s="9"/>
    </row>
    <row r="898" spans="1:39" x14ac:dyDescent="0.3">
      <c r="A898" s="2" t="str">
        <f t="shared" si="339"/>
        <v>NÃO</v>
      </c>
      <c r="B898" s="2" t="str">
        <f>_xlfn.XLOOKUP($N898,'Base de Grupos'!$A:$A,'Base de Grupos'!$D:$D)</f>
        <v>1000065763</v>
      </c>
      <c r="C898" s="5" t="str">
        <f>_xlfn.XLOOKUP($N898,'Base de Grupos'!$A:$A,'Base de Grupos'!$E:$E)</f>
        <v>CANAL VENDA INTERNA</v>
      </c>
      <c r="D898" s="5" t="str">
        <f>_xlfn.XLOOKUP($N898,'Base de Grupos'!$A:$A,'Base de Grupos'!$F:$F)</f>
        <v>1000065763</v>
      </c>
      <c r="E898" s="2" t="str">
        <f>_xlfn.XLOOKUP($N898,'Base de Grupos'!$A:$A,'Base de Grupos'!$G:$G)</f>
        <v>CANAL VENDA INTERNA</v>
      </c>
      <c r="F898" s="2" t="str">
        <f>_xlfn.XLOOKUP($N898,'Base de Grupos'!$A:$A,'Base de Grupos'!$H:$H)</f>
        <v>1000174119</v>
      </c>
      <c r="G898" s="5" t="str">
        <f>_xlfn.XLOOKUP($N898,'Base de Grupos'!$A:$A,'Base de Grupos'!$I:$I)</f>
        <v>REGIONAL VENDA INTERNA - CONVENIENCIA</v>
      </c>
      <c r="H898" s="5" t="str">
        <f>_xlfn.XLOOKUP($N898,'Base de Grupos'!$A:$A,'Base de Grupos'!$J:$J)</f>
        <v>1000174119</v>
      </c>
      <c r="I898" s="2" t="str">
        <f>_xlfn.XLOOKUP($N898,'Base de Grupos'!$A:$A,'Base de Grupos'!$K:$K)</f>
        <v>REGIONAL VENDA INTERNA - CONVENIENCIA</v>
      </c>
      <c r="J898" s="2" t="str">
        <f>_xlfn.XLOOKUP($N898,'Base de Grupos'!$A:$A,'Base de Grupos'!$L:$L)</f>
        <v>1000174119</v>
      </c>
      <c r="K898" s="5" t="str">
        <f>_xlfn.XLOOKUP($N898,'Base de Grupos'!$A:$A,'Base de Grupos'!$M:$M)</f>
        <v>REGIONAL VENDA INTERNA - CONVENIENCIA</v>
      </c>
      <c r="L898" s="5" t="str">
        <f t="shared" si="340"/>
        <v/>
      </c>
      <c r="M898" s="5" t="str">
        <f>_xlfn.XLOOKUP($N898,'Base de Grupos'!$A:$A,'Base de Grupos'!$C:$C)</f>
        <v>RR</v>
      </c>
      <c r="N898" s="3">
        <v>1514</v>
      </c>
      <c r="O898" s="4" t="s">
        <v>273</v>
      </c>
      <c r="P898" s="5" t="s">
        <v>91</v>
      </c>
      <c r="Q898" s="24">
        <v>0</v>
      </c>
      <c r="R898" s="24">
        <v>0</v>
      </c>
      <c r="S898" s="24">
        <v>0</v>
      </c>
      <c r="T898" s="24">
        <v>0</v>
      </c>
      <c r="U898" s="24">
        <v>0</v>
      </c>
      <c r="V898" s="24">
        <v>0</v>
      </c>
      <c r="W898" s="24">
        <v>0</v>
      </c>
      <c r="X898" s="24">
        <v>0</v>
      </c>
      <c r="Y898" s="24">
        <v>0</v>
      </c>
      <c r="Z898" s="24">
        <v>0</v>
      </c>
      <c r="AA898" s="24">
        <v>0</v>
      </c>
      <c r="AB898" s="24">
        <v>0</v>
      </c>
      <c r="AC898" s="30">
        <f t="shared" si="341"/>
        <v>0</v>
      </c>
      <c r="AD898" s="28"/>
      <c r="AE898" s="12"/>
      <c r="AF898" s="29"/>
      <c r="AG898" s="9"/>
      <c r="AH898" s="10"/>
      <c r="AI898" s="9"/>
      <c r="AJ898" s="11"/>
      <c r="AK898" s="9"/>
      <c r="AL898" s="13"/>
      <c r="AM898" s="9"/>
    </row>
    <row r="899" spans="1:39" x14ac:dyDescent="0.3">
      <c r="A899" s="2" t="str">
        <f t="shared" si="339"/>
        <v>NÃO</v>
      </c>
      <c r="B899" s="2" t="str">
        <f>_xlfn.XLOOKUP($N899,'Base de Grupos'!$A:$A,'Base de Grupos'!$D:$D)</f>
        <v>1000065763</v>
      </c>
      <c r="C899" s="5" t="str">
        <f>_xlfn.XLOOKUP($N899,'Base de Grupos'!$A:$A,'Base de Grupos'!$E:$E)</f>
        <v>CANAL VENDA INTERNA</v>
      </c>
      <c r="D899" s="5" t="str">
        <f>_xlfn.XLOOKUP($N899,'Base de Grupos'!$A:$A,'Base de Grupos'!$F:$F)</f>
        <v>1000065763</v>
      </c>
      <c r="E899" s="2" t="str">
        <f>_xlfn.XLOOKUP($N899,'Base de Grupos'!$A:$A,'Base de Grupos'!$G:$G)</f>
        <v>CANAL VENDA INTERNA</v>
      </c>
      <c r="F899" s="2" t="str">
        <f>_xlfn.XLOOKUP($N899,'Base de Grupos'!$A:$A,'Base de Grupos'!$H:$H)</f>
        <v>1000174119</v>
      </c>
      <c r="G899" s="5" t="str">
        <f>_xlfn.XLOOKUP($N899,'Base de Grupos'!$A:$A,'Base de Grupos'!$I:$I)</f>
        <v>REGIONAL VENDA INTERNA - CONVENIENCIA</v>
      </c>
      <c r="H899" s="5" t="str">
        <f>_xlfn.XLOOKUP($N899,'Base de Grupos'!$A:$A,'Base de Grupos'!$J:$J)</f>
        <v>1000174119</v>
      </c>
      <c r="I899" s="2" t="str">
        <f>_xlfn.XLOOKUP($N899,'Base de Grupos'!$A:$A,'Base de Grupos'!$K:$K)</f>
        <v>REGIONAL VENDA INTERNA - CONVENIENCIA</v>
      </c>
      <c r="J899" s="2" t="str">
        <f>_xlfn.XLOOKUP($N899,'Base de Grupos'!$A:$A,'Base de Grupos'!$L:$L)</f>
        <v>1000174119</v>
      </c>
      <c r="K899" s="5" t="str">
        <f>_xlfn.XLOOKUP($N899,'Base de Grupos'!$A:$A,'Base de Grupos'!$M:$M)</f>
        <v>REGIONAL VENDA INTERNA - CONVENIENCIA</v>
      </c>
      <c r="L899" s="5" t="str">
        <f t="shared" si="340"/>
        <v/>
      </c>
      <c r="M899" s="5" t="str">
        <f>_xlfn.XLOOKUP($N899,'Base de Grupos'!$A:$A,'Base de Grupos'!$C:$C)</f>
        <v>RR</v>
      </c>
      <c r="N899" s="3">
        <v>1514</v>
      </c>
      <c r="O899" s="4" t="s">
        <v>273</v>
      </c>
      <c r="P899" s="5" t="s">
        <v>96</v>
      </c>
      <c r="Q899" s="24">
        <v>0</v>
      </c>
      <c r="R899" s="24">
        <v>0</v>
      </c>
      <c r="S899" s="24">
        <v>0</v>
      </c>
      <c r="T899" s="24">
        <v>0</v>
      </c>
      <c r="U899" s="24">
        <v>0</v>
      </c>
      <c r="V899" s="24">
        <v>0</v>
      </c>
      <c r="W899" s="24">
        <v>0</v>
      </c>
      <c r="X899" s="24">
        <v>0</v>
      </c>
      <c r="Y899" s="24">
        <v>0</v>
      </c>
      <c r="Z899" s="24">
        <v>0</v>
      </c>
      <c r="AA899" s="24">
        <v>0</v>
      </c>
      <c r="AB899" s="24">
        <v>0</v>
      </c>
      <c r="AC899" s="30">
        <f t="shared" si="341"/>
        <v>0</v>
      </c>
      <c r="AD899" s="28"/>
      <c r="AE899" s="12"/>
      <c r="AF899" s="29"/>
      <c r="AG899" s="9"/>
      <c r="AH899" s="10"/>
      <c r="AI899" s="9"/>
      <c r="AJ899" s="11"/>
      <c r="AK899" s="9"/>
      <c r="AL899" s="13"/>
      <c r="AM899" s="9"/>
    </row>
    <row r="900" spans="1:39" x14ac:dyDescent="0.3">
      <c r="A900" s="2" t="str">
        <f t="shared" si="339"/>
        <v>NÃO</v>
      </c>
      <c r="B900" s="2" t="str">
        <f>_xlfn.XLOOKUP($N900,'Base de Grupos'!$A:$A,'Base de Grupos'!$D:$D)</f>
        <v>1000065763</v>
      </c>
      <c r="C900" s="5" t="str">
        <f>_xlfn.XLOOKUP($N900,'Base de Grupos'!$A:$A,'Base de Grupos'!$E:$E)</f>
        <v>CANAL VENDA INTERNA</v>
      </c>
      <c r="D900" s="5" t="str">
        <f>_xlfn.XLOOKUP($N900,'Base de Grupos'!$A:$A,'Base de Grupos'!$F:$F)</f>
        <v>1000065763</v>
      </c>
      <c r="E900" s="2" t="str">
        <f>_xlfn.XLOOKUP($N900,'Base de Grupos'!$A:$A,'Base de Grupos'!$G:$G)</f>
        <v>CANAL VENDA INTERNA</v>
      </c>
      <c r="F900" s="2" t="str">
        <f>_xlfn.XLOOKUP($N900,'Base de Grupos'!$A:$A,'Base de Grupos'!$H:$H)</f>
        <v>1000174119</v>
      </c>
      <c r="G900" s="5" t="str">
        <f>_xlfn.XLOOKUP($N900,'Base de Grupos'!$A:$A,'Base de Grupos'!$I:$I)</f>
        <v>REGIONAL VENDA INTERNA - CONVENIENCIA</v>
      </c>
      <c r="H900" s="5" t="str">
        <f>_xlfn.XLOOKUP($N900,'Base de Grupos'!$A:$A,'Base de Grupos'!$J:$J)</f>
        <v>1000174119</v>
      </c>
      <c r="I900" s="2" t="str">
        <f>_xlfn.XLOOKUP($N900,'Base de Grupos'!$A:$A,'Base de Grupos'!$K:$K)</f>
        <v>REGIONAL VENDA INTERNA - CONVENIENCIA</v>
      </c>
      <c r="J900" s="2" t="str">
        <f>_xlfn.XLOOKUP($N900,'Base de Grupos'!$A:$A,'Base de Grupos'!$L:$L)</f>
        <v>1000174119</v>
      </c>
      <c r="K900" s="5" t="str">
        <f>_xlfn.XLOOKUP($N900,'Base de Grupos'!$A:$A,'Base de Grupos'!$M:$M)</f>
        <v>REGIONAL VENDA INTERNA - CONVENIENCIA</v>
      </c>
      <c r="L900" s="5" t="str">
        <f t="shared" si="340"/>
        <v/>
      </c>
      <c r="M900" s="5" t="str">
        <f>_xlfn.XLOOKUP($N900,'Base de Grupos'!$A:$A,'Base de Grupos'!$C:$C)</f>
        <v>RR</v>
      </c>
      <c r="N900" s="3">
        <v>1514</v>
      </c>
      <c r="O900" s="4" t="s">
        <v>273</v>
      </c>
      <c r="P900" s="5" t="s">
        <v>94</v>
      </c>
      <c r="Q900" s="24">
        <v>0</v>
      </c>
      <c r="R900" s="24">
        <v>0</v>
      </c>
      <c r="S900" s="24">
        <v>0</v>
      </c>
      <c r="T900" s="24">
        <v>0</v>
      </c>
      <c r="U900" s="24">
        <v>0</v>
      </c>
      <c r="V900" s="24">
        <v>0</v>
      </c>
      <c r="W900" s="24">
        <v>0</v>
      </c>
      <c r="X900" s="24">
        <v>0</v>
      </c>
      <c r="Y900" s="24">
        <v>0</v>
      </c>
      <c r="Z900" s="24">
        <v>0</v>
      </c>
      <c r="AA900" s="24">
        <v>0</v>
      </c>
      <c r="AB900" s="24">
        <v>0</v>
      </c>
      <c r="AC900" s="30">
        <f t="shared" si="341"/>
        <v>0</v>
      </c>
      <c r="AD900" s="28"/>
      <c r="AE900" s="12"/>
      <c r="AF900" s="29"/>
      <c r="AG900" s="9"/>
      <c r="AH900" s="10"/>
      <c r="AI900" s="9"/>
      <c r="AJ900" s="11"/>
      <c r="AK900" s="9"/>
      <c r="AL900" s="13"/>
      <c r="AM900" s="9"/>
    </row>
    <row r="901" spans="1:39" x14ac:dyDescent="0.3">
      <c r="A901" s="2" t="str">
        <f t="shared" si="339"/>
        <v>NÃO</v>
      </c>
      <c r="B901" s="2" t="str">
        <f>_xlfn.XLOOKUP($N901,'Base de Grupos'!$A:$A,'Base de Grupos'!$D:$D)</f>
        <v>1000065763</v>
      </c>
      <c r="C901" s="5" t="str">
        <f>_xlfn.XLOOKUP($N901,'Base de Grupos'!$A:$A,'Base de Grupos'!$E:$E)</f>
        <v>CANAL VENDA INTERNA</v>
      </c>
      <c r="D901" s="5" t="str">
        <f>_xlfn.XLOOKUP($N901,'Base de Grupos'!$A:$A,'Base de Grupos'!$F:$F)</f>
        <v>1000065763</v>
      </c>
      <c r="E901" s="2" t="str">
        <f>_xlfn.XLOOKUP($N901,'Base de Grupos'!$A:$A,'Base de Grupos'!$G:$G)</f>
        <v>CANAL VENDA INTERNA</v>
      </c>
      <c r="F901" s="2" t="str">
        <f>_xlfn.XLOOKUP($N901,'Base de Grupos'!$A:$A,'Base de Grupos'!$H:$H)</f>
        <v>1000174119</v>
      </c>
      <c r="G901" s="5" t="str">
        <f>_xlfn.XLOOKUP($N901,'Base de Grupos'!$A:$A,'Base de Grupos'!$I:$I)</f>
        <v>REGIONAL VENDA INTERNA - CONVENIENCIA</v>
      </c>
      <c r="H901" s="5" t="str">
        <f>_xlfn.XLOOKUP($N901,'Base de Grupos'!$A:$A,'Base de Grupos'!$J:$J)</f>
        <v>1000174119</v>
      </c>
      <c r="I901" s="2" t="str">
        <f>_xlfn.XLOOKUP($N901,'Base de Grupos'!$A:$A,'Base de Grupos'!$K:$K)</f>
        <v>REGIONAL VENDA INTERNA - CONVENIENCIA</v>
      </c>
      <c r="J901" s="2" t="str">
        <f>_xlfn.XLOOKUP($N901,'Base de Grupos'!$A:$A,'Base de Grupos'!$L:$L)</f>
        <v>1000174119</v>
      </c>
      <c r="K901" s="5" t="str">
        <f>_xlfn.XLOOKUP($N901,'Base de Grupos'!$A:$A,'Base de Grupos'!$M:$M)</f>
        <v>REGIONAL VENDA INTERNA - CONVENIENCIA</v>
      </c>
      <c r="L901" s="5" t="str">
        <f t="shared" si="340"/>
        <v/>
      </c>
      <c r="M901" s="5" t="str">
        <f>_xlfn.XLOOKUP($N901,'Base de Grupos'!$A:$A,'Base de Grupos'!$C:$C)</f>
        <v>RR</v>
      </c>
      <c r="N901" s="3">
        <v>1514</v>
      </c>
      <c r="O901" s="4" t="s">
        <v>273</v>
      </c>
      <c r="P901" s="5" t="s">
        <v>95</v>
      </c>
      <c r="Q901" s="24">
        <v>0</v>
      </c>
      <c r="R901" s="24">
        <v>0</v>
      </c>
      <c r="S901" s="24">
        <v>0</v>
      </c>
      <c r="T901" s="24">
        <v>0</v>
      </c>
      <c r="U901" s="24">
        <v>0</v>
      </c>
      <c r="V901" s="24">
        <v>0</v>
      </c>
      <c r="W901" s="24">
        <v>0</v>
      </c>
      <c r="X901" s="24">
        <v>0</v>
      </c>
      <c r="Y901" s="24">
        <v>0</v>
      </c>
      <c r="Z901" s="24">
        <v>0</v>
      </c>
      <c r="AA901" s="24">
        <v>0</v>
      </c>
      <c r="AB901" s="24">
        <v>0</v>
      </c>
      <c r="AC901" s="30">
        <f t="shared" si="341"/>
        <v>0</v>
      </c>
      <c r="AD901" s="28"/>
      <c r="AE901" s="12"/>
      <c r="AF901" s="29"/>
      <c r="AG901" s="9"/>
      <c r="AH901" s="10"/>
      <c r="AI901" s="9"/>
      <c r="AJ901" s="11"/>
      <c r="AK901" s="9"/>
      <c r="AL901" s="13"/>
      <c r="AM901" s="9"/>
    </row>
    <row r="902" spans="1:39" x14ac:dyDescent="0.3">
      <c r="A902" s="2" t="str">
        <f t="shared" si="339"/>
        <v>NÃO</v>
      </c>
      <c r="B902" s="2" t="str">
        <f>_xlfn.XLOOKUP($N902,'Base de Grupos'!$A:$A,'Base de Grupos'!$D:$D)</f>
        <v>1000065763</v>
      </c>
      <c r="C902" s="5" t="str">
        <f>_xlfn.XLOOKUP($N902,'Base de Grupos'!$A:$A,'Base de Grupos'!$E:$E)</f>
        <v>CANAL VENDA INTERNA</v>
      </c>
      <c r="D902" s="5" t="str">
        <f>_xlfn.XLOOKUP($N902,'Base de Grupos'!$A:$A,'Base de Grupos'!$F:$F)</f>
        <v>1000065763</v>
      </c>
      <c r="E902" s="2" t="str">
        <f>_xlfn.XLOOKUP($N902,'Base de Grupos'!$A:$A,'Base de Grupos'!$G:$G)</f>
        <v>CANAL VENDA INTERNA</v>
      </c>
      <c r="F902" s="2" t="str">
        <f>_xlfn.XLOOKUP($N902,'Base de Grupos'!$A:$A,'Base de Grupos'!$H:$H)</f>
        <v>1000174119</v>
      </c>
      <c r="G902" s="5" t="str">
        <f>_xlfn.XLOOKUP($N902,'Base de Grupos'!$A:$A,'Base de Grupos'!$I:$I)</f>
        <v>REGIONAL VENDA INTERNA - CONVENIENCIA</v>
      </c>
      <c r="H902" s="5" t="str">
        <f>_xlfn.XLOOKUP($N902,'Base de Grupos'!$A:$A,'Base de Grupos'!$J:$J)</f>
        <v>1000174119</v>
      </c>
      <c r="I902" s="2" t="str">
        <f>_xlfn.XLOOKUP($N902,'Base de Grupos'!$A:$A,'Base de Grupos'!$K:$K)</f>
        <v>REGIONAL VENDA INTERNA - CONVENIENCIA</v>
      </c>
      <c r="J902" s="2" t="str">
        <f>_xlfn.XLOOKUP($N902,'Base de Grupos'!$A:$A,'Base de Grupos'!$L:$L)</f>
        <v>1000174119</v>
      </c>
      <c r="K902" s="5" t="str">
        <f>_xlfn.XLOOKUP($N902,'Base de Grupos'!$A:$A,'Base de Grupos'!$M:$M)</f>
        <v>REGIONAL VENDA INTERNA - CONVENIENCIA</v>
      </c>
      <c r="L902" s="5" t="str">
        <f t="shared" si="340"/>
        <v/>
      </c>
      <c r="M902" s="5" t="str">
        <f>_xlfn.XLOOKUP($N902,'Base de Grupos'!$A:$A,'Base de Grupos'!$C:$C)</f>
        <v>RR</v>
      </c>
      <c r="N902" s="3">
        <v>1514</v>
      </c>
      <c r="O902" s="4" t="s">
        <v>273</v>
      </c>
      <c r="P902" s="5" t="s">
        <v>93</v>
      </c>
      <c r="Q902" s="24">
        <v>0</v>
      </c>
      <c r="R902" s="24">
        <v>0</v>
      </c>
      <c r="S902" s="24">
        <v>0</v>
      </c>
      <c r="T902" s="24">
        <v>0</v>
      </c>
      <c r="U902" s="24">
        <v>0</v>
      </c>
      <c r="V902" s="24">
        <v>0</v>
      </c>
      <c r="W902" s="24">
        <v>0</v>
      </c>
      <c r="X902" s="24">
        <v>0</v>
      </c>
      <c r="Y902" s="24">
        <v>0</v>
      </c>
      <c r="Z902" s="24">
        <v>0</v>
      </c>
      <c r="AA902" s="24">
        <v>0</v>
      </c>
      <c r="AB902" s="24">
        <v>0</v>
      </c>
      <c r="AC902" s="30">
        <f t="shared" si="341"/>
        <v>0</v>
      </c>
      <c r="AD902" s="28"/>
      <c r="AE902" s="12"/>
      <c r="AF902" s="29"/>
      <c r="AG902" s="9"/>
      <c r="AH902" s="10"/>
      <c r="AI902" s="9"/>
      <c r="AJ902" s="11"/>
      <c r="AK902" s="9"/>
      <c r="AL902" s="13"/>
      <c r="AM902" s="9"/>
    </row>
    <row r="903" spans="1:39" x14ac:dyDescent="0.3">
      <c r="A903" s="2" t="str">
        <f t="shared" si="339"/>
        <v>SIM</v>
      </c>
      <c r="B903" s="2" t="str">
        <f>_xlfn.XLOOKUP($N903,'Base de Grupos'!$A:$A,'Base de Grupos'!$D:$D)</f>
        <v>1000065763</v>
      </c>
      <c r="C903" s="5" t="str">
        <f>_xlfn.XLOOKUP($N903,'Base de Grupos'!$A:$A,'Base de Grupos'!$E:$E)</f>
        <v>CANAL VENDA INTERNA</v>
      </c>
      <c r="D903" s="5" t="str">
        <f>_xlfn.XLOOKUP($N903,'Base de Grupos'!$A:$A,'Base de Grupos'!$F:$F)</f>
        <v>1000065763</v>
      </c>
      <c r="E903" s="2" t="str">
        <f>_xlfn.XLOOKUP($N903,'Base de Grupos'!$A:$A,'Base de Grupos'!$G:$G)</f>
        <v>CANAL VENDA INTERNA</v>
      </c>
      <c r="F903" s="2" t="str">
        <f>_xlfn.XLOOKUP($N903,'Base de Grupos'!$A:$A,'Base de Grupos'!$H:$H)</f>
        <v>1000174119</v>
      </c>
      <c r="G903" s="5" t="str">
        <f>_xlfn.XLOOKUP($N903,'Base de Grupos'!$A:$A,'Base de Grupos'!$I:$I)</f>
        <v>REGIONAL VENDA INTERNA - CONVENIENCIA</v>
      </c>
      <c r="H903" s="5" t="str">
        <f>_xlfn.XLOOKUP($N903,'Base de Grupos'!$A:$A,'Base de Grupos'!$J:$J)</f>
        <v>1000174119</v>
      </c>
      <c r="I903" s="2" t="str">
        <f>_xlfn.XLOOKUP($N903,'Base de Grupos'!$A:$A,'Base de Grupos'!$K:$K)</f>
        <v>REGIONAL VENDA INTERNA - CONVENIENCIA</v>
      </c>
      <c r="J903" s="2" t="str">
        <f>_xlfn.XLOOKUP($N903,'Base de Grupos'!$A:$A,'Base de Grupos'!$L:$L)</f>
        <v>1000174119</v>
      </c>
      <c r="K903" s="5" t="str">
        <f>_xlfn.XLOOKUP($N903,'Base de Grupos'!$A:$A,'Base de Grupos'!$M:$M)</f>
        <v>REGIONAL VENDA INTERNA - CONVENIENCIA</v>
      </c>
      <c r="L903" s="5">
        <f t="shared" si="340"/>
        <v>1</v>
      </c>
      <c r="M903" s="5" t="str">
        <f>_xlfn.XLOOKUP($N903,'Base de Grupos'!$A:$A,'Base de Grupos'!$C:$C)</f>
        <v>PA</v>
      </c>
      <c r="N903" s="3">
        <v>1515</v>
      </c>
      <c r="O903" s="4" t="s">
        <v>274</v>
      </c>
      <c r="P903" s="5" t="s">
        <v>344</v>
      </c>
      <c r="Q903" s="24">
        <v>0</v>
      </c>
      <c r="R903" s="24">
        <v>0</v>
      </c>
      <c r="S903" s="24">
        <v>0</v>
      </c>
      <c r="T903" s="24">
        <v>0</v>
      </c>
      <c r="U903" s="24">
        <v>0</v>
      </c>
      <c r="V903" s="24">
        <v>0</v>
      </c>
      <c r="W903" s="24">
        <v>0</v>
      </c>
      <c r="X903" s="24">
        <v>0</v>
      </c>
      <c r="Y903" s="24">
        <v>0</v>
      </c>
      <c r="Z903" s="24">
        <v>0</v>
      </c>
      <c r="AA903" s="24">
        <v>0</v>
      </c>
      <c r="AB903" s="24">
        <v>0</v>
      </c>
      <c r="AC903" s="30">
        <f t="shared" si="341"/>
        <v>0</v>
      </c>
      <c r="AD903" s="28"/>
      <c r="AE903" s="12"/>
      <c r="AF903" s="29"/>
      <c r="AG903" s="9"/>
      <c r="AH903" s="10"/>
      <c r="AI903" s="9"/>
      <c r="AJ903" s="11"/>
      <c r="AK903" s="9"/>
      <c r="AL903" s="13"/>
      <c r="AM903" s="9"/>
    </row>
    <row r="904" spans="1:39" x14ac:dyDescent="0.3">
      <c r="A904" s="2" t="str">
        <f t="shared" si="339"/>
        <v>NÃO</v>
      </c>
      <c r="B904" s="2" t="str">
        <f>_xlfn.XLOOKUP($N904,'Base de Grupos'!$A:$A,'Base de Grupos'!$D:$D)</f>
        <v>1000065763</v>
      </c>
      <c r="C904" s="5" t="str">
        <f>_xlfn.XLOOKUP($N904,'Base de Grupos'!$A:$A,'Base de Grupos'!$E:$E)</f>
        <v>CANAL VENDA INTERNA</v>
      </c>
      <c r="D904" s="5" t="str">
        <f>_xlfn.XLOOKUP($N904,'Base de Grupos'!$A:$A,'Base de Grupos'!$F:$F)</f>
        <v>1000065763</v>
      </c>
      <c r="E904" s="2" t="str">
        <f>_xlfn.XLOOKUP($N904,'Base de Grupos'!$A:$A,'Base de Grupos'!$G:$G)</f>
        <v>CANAL VENDA INTERNA</v>
      </c>
      <c r="F904" s="2" t="str">
        <f>_xlfn.XLOOKUP($N904,'Base de Grupos'!$A:$A,'Base de Grupos'!$H:$H)</f>
        <v>1000174119</v>
      </c>
      <c r="G904" s="5" t="str">
        <f>_xlfn.XLOOKUP($N904,'Base de Grupos'!$A:$A,'Base de Grupos'!$I:$I)</f>
        <v>REGIONAL VENDA INTERNA - CONVENIENCIA</v>
      </c>
      <c r="H904" s="5" t="str">
        <f>_xlfn.XLOOKUP($N904,'Base de Grupos'!$A:$A,'Base de Grupos'!$J:$J)</f>
        <v>1000174119</v>
      </c>
      <c r="I904" s="2" t="str">
        <f>_xlfn.XLOOKUP($N904,'Base de Grupos'!$A:$A,'Base de Grupos'!$K:$K)</f>
        <v>REGIONAL VENDA INTERNA - CONVENIENCIA</v>
      </c>
      <c r="J904" s="2" t="str">
        <f>_xlfn.XLOOKUP($N904,'Base de Grupos'!$A:$A,'Base de Grupos'!$L:$L)</f>
        <v>1000174119</v>
      </c>
      <c r="K904" s="5" t="str">
        <f>_xlfn.XLOOKUP($N904,'Base de Grupos'!$A:$A,'Base de Grupos'!$M:$M)</f>
        <v>REGIONAL VENDA INTERNA - CONVENIENCIA</v>
      </c>
      <c r="L904" s="5" t="str">
        <f t="shared" si="340"/>
        <v/>
      </c>
      <c r="M904" s="5" t="str">
        <f>_xlfn.XLOOKUP($N904,'Base de Grupos'!$A:$A,'Base de Grupos'!$C:$C)</f>
        <v>PA</v>
      </c>
      <c r="N904" s="3">
        <v>1515</v>
      </c>
      <c r="O904" s="4" t="s">
        <v>274</v>
      </c>
      <c r="P904" s="5" t="s">
        <v>81</v>
      </c>
      <c r="Q904" s="24">
        <v>0</v>
      </c>
      <c r="R904" s="24">
        <v>0</v>
      </c>
      <c r="S904" s="24">
        <v>0</v>
      </c>
      <c r="T904" s="24">
        <v>0</v>
      </c>
      <c r="U904" s="24">
        <v>0</v>
      </c>
      <c r="V904" s="24">
        <v>0</v>
      </c>
      <c r="W904" s="24">
        <v>0</v>
      </c>
      <c r="X904" s="24">
        <v>0</v>
      </c>
      <c r="Y904" s="24">
        <v>0</v>
      </c>
      <c r="Z904" s="24">
        <v>0</v>
      </c>
      <c r="AA904" s="24">
        <v>0</v>
      </c>
      <c r="AB904" s="24">
        <v>0</v>
      </c>
      <c r="AC904" s="30">
        <f t="shared" si="341"/>
        <v>0</v>
      </c>
      <c r="AD904" s="28"/>
      <c r="AE904" s="12"/>
      <c r="AF904" s="29"/>
      <c r="AG904" s="9"/>
      <c r="AH904" s="10"/>
      <c r="AI904" s="9"/>
      <c r="AJ904" s="11"/>
      <c r="AK904" s="9"/>
      <c r="AL904" s="13"/>
      <c r="AM904" s="9"/>
    </row>
    <row r="905" spans="1:39" x14ac:dyDescent="0.3">
      <c r="A905" s="2" t="str">
        <f t="shared" si="339"/>
        <v>NÃO</v>
      </c>
      <c r="B905" s="2" t="str">
        <f>_xlfn.XLOOKUP($N905,'Base de Grupos'!$A:$A,'Base de Grupos'!$D:$D)</f>
        <v>1000065763</v>
      </c>
      <c r="C905" s="5" t="str">
        <f>_xlfn.XLOOKUP($N905,'Base de Grupos'!$A:$A,'Base de Grupos'!$E:$E)</f>
        <v>CANAL VENDA INTERNA</v>
      </c>
      <c r="D905" s="5" t="str">
        <f>_xlfn.XLOOKUP($N905,'Base de Grupos'!$A:$A,'Base de Grupos'!$F:$F)</f>
        <v>1000065763</v>
      </c>
      <c r="E905" s="2" t="str">
        <f>_xlfn.XLOOKUP($N905,'Base de Grupos'!$A:$A,'Base de Grupos'!$G:$G)</f>
        <v>CANAL VENDA INTERNA</v>
      </c>
      <c r="F905" s="2" t="str">
        <f>_xlfn.XLOOKUP($N905,'Base de Grupos'!$A:$A,'Base de Grupos'!$H:$H)</f>
        <v>1000174119</v>
      </c>
      <c r="G905" s="5" t="str">
        <f>_xlfn.XLOOKUP($N905,'Base de Grupos'!$A:$A,'Base de Grupos'!$I:$I)</f>
        <v>REGIONAL VENDA INTERNA - CONVENIENCIA</v>
      </c>
      <c r="H905" s="5" t="str">
        <f>_xlfn.XLOOKUP($N905,'Base de Grupos'!$A:$A,'Base de Grupos'!$J:$J)</f>
        <v>1000174119</v>
      </c>
      <c r="I905" s="2" t="str">
        <f>_xlfn.XLOOKUP($N905,'Base de Grupos'!$A:$A,'Base de Grupos'!$K:$K)</f>
        <v>REGIONAL VENDA INTERNA - CONVENIENCIA</v>
      </c>
      <c r="J905" s="2" t="str">
        <f>_xlfn.XLOOKUP($N905,'Base de Grupos'!$A:$A,'Base de Grupos'!$L:$L)</f>
        <v>1000174119</v>
      </c>
      <c r="K905" s="5" t="str">
        <f>_xlfn.XLOOKUP($N905,'Base de Grupos'!$A:$A,'Base de Grupos'!$M:$M)</f>
        <v>REGIONAL VENDA INTERNA - CONVENIENCIA</v>
      </c>
      <c r="L905" s="5" t="str">
        <f t="shared" si="340"/>
        <v/>
      </c>
      <c r="M905" s="5" t="str">
        <f>_xlfn.XLOOKUP($N905,'Base de Grupos'!$A:$A,'Base de Grupos'!$C:$C)</f>
        <v>PA</v>
      </c>
      <c r="N905" s="3">
        <v>1515</v>
      </c>
      <c r="O905" s="4" t="s">
        <v>274</v>
      </c>
      <c r="P905" s="5" t="s">
        <v>82</v>
      </c>
      <c r="Q905" s="24">
        <v>0</v>
      </c>
      <c r="R905" s="24">
        <v>0</v>
      </c>
      <c r="S905" s="24">
        <v>0</v>
      </c>
      <c r="T905" s="24">
        <v>0</v>
      </c>
      <c r="U905" s="24">
        <v>0</v>
      </c>
      <c r="V905" s="24">
        <v>0</v>
      </c>
      <c r="W905" s="24">
        <v>0</v>
      </c>
      <c r="X905" s="24">
        <v>0</v>
      </c>
      <c r="Y905" s="24">
        <v>0</v>
      </c>
      <c r="Z905" s="24">
        <v>0</v>
      </c>
      <c r="AA905" s="24">
        <v>0</v>
      </c>
      <c r="AB905" s="24">
        <v>0</v>
      </c>
      <c r="AC905" s="30">
        <f t="shared" si="341"/>
        <v>0</v>
      </c>
      <c r="AD905" s="28"/>
      <c r="AE905" s="12"/>
      <c r="AF905" s="29"/>
      <c r="AG905" s="9"/>
      <c r="AH905" s="10"/>
      <c r="AI905" s="9"/>
      <c r="AJ905" s="11"/>
      <c r="AK905" s="9"/>
      <c r="AL905" s="13"/>
      <c r="AM905" s="9"/>
    </row>
    <row r="906" spans="1:39" x14ac:dyDescent="0.3">
      <c r="A906" s="2" t="str">
        <f t="shared" si="339"/>
        <v>NÃO</v>
      </c>
      <c r="B906" s="2" t="str">
        <f>_xlfn.XLOOKUP($N906,'Base de Grupos'!$A:$A,'Base de Grupos'!$D:$D)</f>
        <v>1000065763</v>
      </c>
      <c r="C906" s="5" t="str">
        <f>_xlfn.XLOOKUP($N906,'Base de Grupos'!$A:$A,'Base de Grupos'!$E:$E)</f>
        <v>CANAL VENDA INTERNA</v>
      </c>
      <c r="D906" s="5" t="str">
        <f>_xlfn.XLOOKUP($N906,'Base de Grupos'!$A:$A,'Base de Grupos'!$F:$F)</f>
        <v>1000065763</v>
      </c>
      <c r="E906" s="2" t="str">
        <f>_xlfn.XLOOKUP($N906,'Base de Grupos'!$A:$A,'Base de Grupos'!$G:$G)</f>
        <v>CANAL VENDA INTERNA</v>
      </c>
      <c r="F906" s="2" t="str">
        <f>_xlfn.XLOOKUP($N906,'Base de Grupos'!$A:$A,'Base de Grupos'!$H:$H)</f>
        <v>1000174119</v>
      </c>
      <c r="G906" s="5" t="str">
        <f>_xlfn.XLOOKUP($N906,'Base de Grupos'!$A:$A,'Base de Grupos'!$I:$I)</f>
        <v>REGIONAL VENDA INTERNA - CONVENIENCIA</v>
      </c>
      <c r="H906" s="5" t="str">
        <f>_xlfn.XLOOKUP($N906,'Base de Grupos'!$A:$A,'Base de Grupos'!$J:$J)</f>
        <v>1000174119</v>
      </c>
      <c r="I906" s="2" t="str">
        <f>_xlfn.XLOOKUP($N906,'Base de Grupos'!$A:$A,'Base de Grupos'!$K:$K)</f>
        <v>REGIONAL VENDA INTERNA - CONVENIENCIA</v>
      </c>
      <c r="J906" s="2" t="str">
        <f>_xlfn.XLOOKUP($N906,'Base de Grupos'!$A:$A,'Base de Grupos'!$L:$L)</f>
        <v>1000174119</v>
      </c>
      <c r="K906" s="5" t="str">
        <f>_xlfn.XLOOKUP($N906,'Base de Grupos'!$A:$A,'Base de Grupos'!$M:$M)</f>
        <v>REGIONAL VENDA INTERNA - CONVENIENCIA</v>
      </c>
      <c r="L906" s="5" t="str">
        <f t="shared" si="340"/>
        <v/>
      </c>
      <c r="M906" s="5" t="str">
        <f>_xlfn.XLOOKUP($N906,'Base de Grupos'!$A:$A,'Base de Grupos'!$C:$C)</f>
        <v>PA</v>
      </c>
      <c r="N906" s="3">
        <v>1515</v>
      </c>
      <c r="O906" s="4" t="s">
        <v>274</v>
      </c>
      <c r="P906" s="5" t="s">
        <v>84</v>
      </c>
      <c r="Q906" s="24">
        <v>0</v>
      </c>
      <c r="R906" s="24">
        <v>0</v>
      </c>
      <c r="S906" s="24">
        <v>0</v>
      </c>
      <c r="T906" s="24">
        <v>0</v>
      </c>
      <c r="U906" s="24">
        <v>0</v>
      </c>
      <c r="V906" s="24">
        <v>0</v>
      </c>
      <c r="W906" s="24">
        <v>0</v>
      </c>
      <c r="X906" s="24">
        <v>0</v>
      </c>
      <c r="Y906" s="24">
        <v>0</v>
      </c>
      <c r="Z906" s="24">
        <v>0</v>
      </c>
      <c r="AA906" s="24">
        <v>0</v>
      </c>
      <c r="AB906" s="24">
        <v>0</v>
      </c>
      <c r="AC906" s="30">
        <f t="shared" si="341"/>
        <v>0</v>
      </c>
      <c r="AD906" s="28"/>
      <c r="AE906" s="12"/>
      <c r="AF906" s="29"/>
      <c r="AG906" s="9"/>
      <c r="AH906" s="10"/>
      <c r="AI906" s="9"/>
      <c r="AJ906" s="11"/>
      <c r="AK906" s="9"/>
      <c r="AL906" s="13"/>
      <c r="AM906" s="9"/>
    </row>
    <row r="907" spans="1:39" x14ac:dyDescent="0.3">
      <c r="A907" s="2" t="str">
        <f t="shared" si="339"/>
        <v>NÃO</v>
      </c>
      <c r="B907" s="2" t="str">
        <f>_xlfn.XLOOKUP($N907,'Base de Grupos'!$A:$A,'Base de Grupos'!$D:$D)</f>
        <v>1000065763</v>
      </c>
      <c r="C907" s="5" t="str">
        <f>_xlfn.XLOOKUP($N907,'Base de Grupos'!$A:$A,'Base de Grupos'!$E:$E)</f>
        <v>CANAL VENDA INTERNA</v>
      </c>
      <c r="D907" s="5" t="str">
        <f>_xlfn.XLOOKUP($N907,'Base de Grupos'!$A:$A,'Base de Grupos'!$F:$F)</f>
        <v>1000065763</v>
      </c>
      <c r="E907" s="2" t="str">
        <f>_xlfn.XLOOKUP($N907,'Base de Grupos'!$A:$A,'Base de Grupos'!$G:$G)</f>
        <v>CANAL VENDA INTERNA</v>
      </c>
      <c r="F907" s="2" t="str">
        <f>_xlfn.XLOOKUP($N907,'Base de Grupos'!$A:$A,'Base de Grupos'!$H:$H)</f>
        <v>1000174119</v>
      </c>
      <c r="G907" s="5" t="str">
        <f>_xlfn.XLOOKUP($N907,'Base de Grupos'!$A:$A,'Base de Grupos'!$I:$I)</f>
        <v>REGIONAL VENDA INTERNA - CONVENIENCIA</v>
      </c>
      <c r="H907" s="5" t="str">
        <f>_xlfn.XLOOKUP($N907,'Base de Grupos'!$A:$A,'Base de Grupos'!$J:$J)</f>
        <v>1000174119</v>
      </c>
      <c r="I907" s="2" t="str">
        <f>_xlfn.XLOOKUP($N907,'Base de Grupos'!$A:$A,'Base de Grupos'!$K:$K)</f>
        <v>REGIONAL VENDA INTERNA - CONVENIENCIA</v>
      </c>
      <c r="J907" s="2" t="str">
        <f>_xlfn.XLOOKUP($N907,'Base de Grupos'!$A:$A,'Base de Grupos'!$L:$L)</f>
        <v>1000174119</v>
      </c>
      <c r="K907" s="5" t="str">
        <f>_xlfn.XLOOKUP($N907,'Base de Grupos'!$A:$A,'Base de Grupos'!$M:$M)</f>
        <v>REGIONAL VENDA INTERNA - CONVENIENCIA</v>
      </c>
      <c r="L907" s="5" t="str">
        <f t="shared" si="340"/>
        <v/>
      </c>
      <c r="M907" s="5" t="str">
        <f>_xlfn.XLOOKUP($N907,'Base de Grupos'!$A:$A,'Base de Grupos'!$C:$C)</f>
        <v>PA</v>
      </c>
      <c r="N907" s="3">
        <v>1515</v>
      </c>
      <c r="O907" s="4" t="s">
        <v>274</v>
      </c>
      <c r="P907" s="5" t="s">
        <v>83</v>
      </c>
      <c r="Q907" s="24">
        <v>0</v>
      </c>
      <c r="R907" s="24">
        <v>0</v>
      </c>
      <c r="S907" s="24">
        <v>0</v>
      </c>
      <c r="T907" s="24">
        <v>0</v>
      </c>
      <c r="U907" s="24">
        <v>0</v>
      </c>
      <c r="V907" s="24">
        <v>0</v>
      </c>
      <c r="W907" s="24">
        <v>0</v>
      </c>
      <c r="X907" s="24">
        <v>0</v>
      </c>
      <c r="Y907" s="24">
        <v>0</v>
      </c>
      <c r="Z907" s="24">
        <v>0</v>
      </c>
      <c r="AA907" s="24">
        <v>0</v>
      </c>
      <c r="AB907" s="24">
        <v>0</v>
      </c>
      <c r="AC907" s="30">
        <f t="shared" si="341"/>
        <v>0</v>
      </c>
      <c r="AD907" s="28"/>
      <c r="AE907" s="12"/>
      <c r="AF907" s="29"/>
      <c r="AG907" s="9"/>
      <c r="AH907" s="10"/>
      <c r="AI907" s="9"/>
      <c r="AJ907" s="11"/>
      <c r="AK907" s="9"/>
      <c r="AL907" s="13"/>
      <c r="AM907" s="9"/>
    </row>
    <row r="908" spans="1:39" x14ac:dyDescent="0.3">
      <c r="A908" s="2" t="str">
        <f t="shared" si="339"/>
        <v>NÃO</v>
      </c>
      <c r="B908" s="2" t="str">
        <f>_xlfn.XLOOKUP($N908,'Base de Grupos'!$A:$A,'Base de Grupos'!$D:$D)</f>
        <v>1000065763</v>
      </c>
      <c r="C908" s="5" t="str">
        <f>_xlfn.XLOOKUP($N908,'Base de Grupos'!$A:$A,'Base de Grupos'!$E:$E)</f>
        <v>CANAL VENDA INTERNA</v>
      </c>
      <c r="D908" s="5" t="str">
        <f>_xlfn.XLOOKUP($N908,'Base de Grupos'!$A:$A,'Base de Grupos'!$F:$F)</f>
        <v>1000065763</v>
      </c>
      <c r="E908" s="2" t="str">
        <f>_xlfn.XLOOKUP($N908,'Base de Grupos'!$A:$A,'Base de Grupos'!$G:$G)</f>
        <v>CANAL VENDA INTERNA</v>
      </c>
      <c r="F908" s="2" t="str">
        <f>_xlfn.XLOOKUP($N908,'Base de Grupos'!$A:$A,'Base de Grupos'!$H:$H)</f>
        <v>1000174119</v>
      </c>
      <c r="G908" s="5" t="str">
        <f>_xlfn.XLOOKUP($N908,'Base de Grupos'!$A:$A,'Base de Grupos'!$I:$I)</f>
        <v>REGIONAL VENDA INTERNA - CONVENIENCIA</v>
      </c>
      <c r="H908" s="5" t="str">
        <f>_xlfn.XLOOKUP($N908,'Base de Grupos'!$A:$A,'Base de Grupos'!$J:$J)</f>
        <v>1000174119</v>
      </c>
      <c r="I908" s="2" t="str">
        <f>_xlfn.XLOOKUP($N908,'Base de Grupos'!$A:$A,'Base de Grupos'!$K:$K)</f>
        <v>REGIONAL VENDA INTERNA - CONVENIENCIA</v>
      </c>
      <c r="J908" s="2" t="str">
        <f>_xlfn.XLOOKUP($N908,'Base de Grupos'!$A:$A,'Base de Grupos'!$L:$L)</f>
        <v>1000174119</v>
      </c>
      <c r="K908" s="5" t="str">
        <f>_xlfn.XLOOKUP($N908,'Base de Grupos'!$A:$A,'Base de Grupos'!$M:$M)</f>
        <v>REGIONAL VENDA INTERNA - CONVENIENCIA</v>
      </c>
      <c r="L908" s="5" t="str">
        <f t="shared" si="340"/>
        <v/>
      </c>
      <c r="M908" s="5" t="str">
        <f>_xlfn.XLOOKUP($N908,'Base de Grupos'!$A:$A,'Base de Grupos'!$C:$C)</f>
        <v>PA</v>
      </c>
      <c r="N908" s="3">
        <v>1515</v>
      </c>
      <c r="O908" s="4" t="s">
        <v>274</v>
      </c>
      <c r="P908" s="5" t="s">
        <v>87</v>
      </c>
      <c r="Q908" s="24">
        <v>0</v>
      </c>
      <c r="R908" s="24">
        <v>0</v>
      </c>
      <c r="S908" s="24">
        <v>0</v>
      </c>
      <c r="T908" s="24">
        <v>0</v>
      </c>
      <c r="U908" s="24">
        <v>0</v>
      </c>
      <c r="V908" s="24">
        <v>0</v>
      </c>
      <c r="W908" s="24">
        <v>0</v>
      </c>
      <c r="X908" s="24">
        <v>0</v>
      </c>
      <c r="Y908" s="24">
        <v>0</v>
      </c>
      <c r="Z908" s="24">
        <v>0</v>
      </c>
      <c r="AA908" s="24">
        <v>0</v>
      </c>
      <c r="AB908" s="24">
        <v>0</v>
      </c>
      <c r="AC908" s="30">
        <f t="shared" si="341"/>
        <v>0</v>
      </c>
      <c r="AD908" s="28"/>
      <c r="AE908" s="12"/>
      <c r="AF908" s="29"/>
      <c r="AG908" s="9"/>
      <c r="AH908" s="10"/>
      <c r="AI908" s="9"/>
      <c r="AJ908" s="11"/>
      <c r="AK908" s="9"/>
      <c r="AL908" s="13"/>
      <c r="AM908" s="9"/>
    </row>
    <row r="909" spans="1:39" x14ac:dyDescent="0.3">
      <c r="A909" s="2" t="str">
        <f t="shared" si="339"/>
        <v>NÃO</v>
      </c>
      <c r="B909" s="2" t="str">
        <f>_xlfn.XLOOKUP($N909,'Base de Grupos'!$A:$A,'Base de Grupos'!$D:$D)</f>
        <v>1000065763</v>
      </c>
      <c r="C909" s="5" t="str">
        <f>_xlfn.XLOOKUP($N909,'Base de Grupos'!$A:$A,'Base de Grupos'!$E:$E)</f>
        <v>CANAL VENDA INTERNA</v>
      </c>
      <c r="D909" s="5" t="str">
        <f>_xlfn.XLOOKUP($N909,'Base de Grupos'!$A:$A,'Base de Grupos'!$F:$F)</f>
        <v>1000065763</v>
      </c>
      <c r="E909" s="2" t="str">
        <f>_xlfn.XLOOKUP($N909,'Base de Grupos'!$A:$A,'Base de Grupos'!$G:$G)</f>
        <v>CANAL VENDA INTERNA</v>
      </c>
      <c r="F909" s="2" t="str">
        <f>_xlfn.XLOOKUP($N909,'Base de Grupos'!$A:$A,'Base de Grupos'!$H:$H)</f>
        <v>1000174119</v>
      </c>
      <c r="G909" s="5" t="str">
        <f>_xlfn.XLOOKUP($N909,'Base de Grupos'!$A:$A,'Base de Grupos'!$I:$I)</f>
        <v>REGIONAL VENDA INTERNA - CONVENIENCIA</v>
      </c>
      <c r="H909" s="5" t="str">
        <f>_xlfn.XLOOKUP($N909,'Base de Grupos'!$A:$A,'Base de Grupos'!$J:$J)</f>
        <v>1000174119</v>
      </c>
      <c r="I909" s="2" t="str">
        <f>_xlfn.XLOOKUP($N909,'Base de Grupos'!$A:$A,'Base de Grupos'!$K:$K)</f>
        <v>REGIONAL VENDA INTERNA - CONVENIENCIA</v>
      </c>
      <c r="J909" s="2" t="str">
        <f>_xlfn.XLOOKUP($N909,'Base de Grupos'!$A:$A,'Base de Grupos'!$L:$L)</f>
        <v>1000174119</v>
      </c>
      <c r="K909" s="5" t="str">
        <f>_xlfn.XLOOKUP($N909,'Base de Grupos'!$A:$A,'Base de Grupos'!$M:$M)</f>
        <v>REGIONAL VENDA INTERNA - CONVENIENCIA</v>
      </c>
      <c r="L909" s="5" t="str">
        <f t="shared" si="340"/>
        <v/>
      </c>
      <c r="M909" s="5" t="str">
        <f>_xlfn.XLOOKUP($N909,'Base de Grupos'!$A:$A,'Base de Grupos'!$C:$C)</f>
        <v>PA</v>
      </c>
      <c r="N909" s="3">
        <v>1515</v>
      </c>
      <c r="O909" s="4" t="s">
        <v>274</v>
      </c>
      <c r="P909" s="5" t="s">
        <v>85</v>
      </c>
      <c r="Q909" s="24">
        <v>0</v>
      </c>
      <c r="R909" s="24">
        <v>0</v>
      </c>
      <c r="S909" s="24">
        <v>0</v>
      </c>
      <c r="T909" s="24">
        <v>0</v>
      </c>
      <c r="U909" s="24">
        <v>0</v>
      </c>
      <c r="V909" s="24">
        <v>0</v>
      </c>
      <c r="W909" s="24">
        <v>0</v>
      </c>
      <c r="X909" s="24">
        <v>0</v>
      </c>
      <c r="Y909" s="24">
        <v>0</v>
      </c>
      <c r="Z909" s="24">
        <v>0</v>
      </c>
      <c r="AA909" s="24">
        <v>0</v>
      </c>
      <c r="AB909" s="24">
        <v>0</v>
      </c>
      <c r="AC909" s="30">
        <f t="shared" si="341"/>
        <v>0</v>
      </c>
      <c r="AD909" s="28"/>
      <c r="AE909" s="12"/>
      <c r="AF909" s="29"/>
      <c r="AG909" s="9"/>
      <c r="AH909" s="10"/>
      <c r="AI909" s="9"/>
      <c r="AJ909" s="11"/>
      <c r="AK909" s="9"/>
      <c r="AL909" s="13"/>
      <c r="AM909" s="9"/>
    </row>
    <row r="910" spans="1:39" x14ac:dyDescent="0.3">
      <c r="A910" s="2" t="str">
        <f t="shared" si="339"/>
        <v>NÃO</v>
      </c>
      <c r="B910" s="2" t="str">
        <f>_xlfn.XLOOKUP($N910,'Base de Grupos'!$A:$A,'Base de Grupos'!$D:$D)</f>
        <v>1000065763</v>
      </c>
      <c r="C910" s="5" t="str">
        <f>_xlfn.XLOOKUP($N910,'Base de Grupos'!$A:$A,'Base de Grupos'!$E:$E)</f>
        <v>CANAL VENDA INTERNA</v>
      </c>
      <c r="D910" s="5" t="str">
        <f>_xlfn.XLOOKUP($N910,'Base de Grupos'!$A:$A,'Base de Grupos'!$F:$F)</f>
        <v>1000065763</v>
      </c>
      <c r="E910" s="2" t="str">
        <f>_xlfn.XLOOKUP($N910,'Base de Grupos'!$A:$A,'Base de Grupos'!$G:$G)</f>
        <v>CANAL VENDA INTERNA</v>
      </c>
      <c r="F910" s="2" t="str">
        <f>_xlfn.XLOOKUP($N910,'Base de Grupos'!$A:$A,'Base de Grupos'!$H:$H)</f>
        <v>1000174119</v>
      </c>
      <c r="G910" s="5" t="str">
        <f>_xlfn.XLOOKUP($N910,'Base de Grupos'!$A:$A,'Base de Grupos'!$I:$I)</f>
        <v>REGIONAL VENDA INTERNA - CONVENIENCIA</v>
      </c>
      <c r="H910" s="5" t="str">
        <f>_xlfn.XLOOKUP($N910,'Base de Grupos'!$A:$A,'Base de Grupos'!$J:$J)</f>
        <v>1000174119</v>
      </c>
      <c r="I910" s="2" t="str">
        <f>_xlfn.XLOOKUP($N910,'Base de Grupos'!$A:$A,'Base de Grupos'!$K:$K)</f>
        <v>REGIONAL VENDA INTERNA - CONVENIENCIA</v>
      </c>
      <c r="J910" s="2" t="str">
        <f>_xlfn.XLOOKUP($N910,'Base de Grupos'!$A:$A,'Base de Grupos'!$L:$L)</f>
        <v>1000174119</v>
      </c>
      <c r="K910" s="5" t="str">
        <f>_xlfn.XLOOKUP($N910,'Base de Grupos'!$A:$A,'Base de Grupos'!$M:$M)</f>
        <v>REGIONAL VENDA INTERNA - CONVENIENCIA</v>
      </c>
      <c r="L910" s="5" t="str">
        <f t="shared" si="340"/>
        <v/>
      </c>
      <c r="M910" s="5" t="str">
        <f>_xlfn.XLOOKUP($N910,'Base de Grupos'!$A:$A,'Base de Grupos'!$C:$C)</f>
        <v>PA</v>
      </c>
      <c r="N910" s="3">
        <v>1515</v>
      </c>
      <c r="O910" s="4" t="s">
        <v>274</v>
      </c>
      <c r="P910" s="5" t="s">
        <v>92</v>
      </c>
      <c r="Q910" s="24">
        <v>0</v>
      </c>
      <c r="R910" s="24">
        <v>0</v>
      </c>
      <c r="S910" s="24">
        <v>0</v>
      </c>
      <c r="T910" s="24">
        <v>0</v>
      </c>
      <c r="U910" s="24">
        <v>0</v>
      </c>
      <c r="V910" s="24">
        <v>0</v>
      </c>
      <c r="W910" s="24">
        <v>0</v>
      </c>
      <c r="X910" s="24">
        <v>0</v>
      </c>
      <c r="Y910" s="24">
        <v>0</v>
      </c>
      <c r="Z910" s="24">
        <v>0</v>
      </c>
      <c r="AA910" s="24">
        <v>0</v>
      </c>
      <c r="AB910" s="24">
        <v>0</v>
      </c>
      <c r="AC910" s="30">
        <f t="shared" si="341"/>
        <v>0</v>
      </c>
      <c r="AD910" s="28"/>
      <c r="AE910" s="12"/>
      <c r="AF910" s="29"/>
      <c r="AG910" s="9"/>
      <c r="AH910" s="10"/>
      <c r="AI910" s="9"/>
      <c r="AJ910" s="11"/>
      <c r="AK910" s="9"/>
      <c r="AL910" s="13"/>
      <c r="AM910" s="9"/>
    </row>
    <row r="911" spans="1:39" x14ac:dyDescent="0.3">
      <c r="A911" s="2" t="str">
        <f t="shared" si="339"/>
        <v>NÃO</v>
      </c>
      <c r="B911" s="2" t="str">
        <f>_xlfn.XLOOKUP($N911,'Base de Grupos'!$A:$A,'Base de Grupos'!$D:$D)</f>
        <v>1000065763</v>
      </c>
      <c r="C911" s="5" t="str">
        <f>_xlfn.XLOOKUP($N911,'Base de Grupos'!$A:$A,'Base de Grupos'!$E:$E)</f>
        <v>CANAL VENDA INTERNA</v>
      </c>
      <c r="D911" s="5" t="str">
        <f>_xlfn.XLOOKUP($N911,'Base de Grupos'!$A:$A,'Base de Grupos'!$F:$F)</f>
        <v>1000065763</v>
      </c>
      <c r="E911" s="2" t="str">
        <f>_xlfn.XLOOKUP($N911,'Base de Grupos'!$A:$A,'Base de Grupos'!$G:$G)</f>
        <v>CANAL VENDA INTERNA</v>
      </c>
      <c r="F911" s="2" t="str">
        <f>_xlfn.XLOOKUP($N911,'Base de Grupos'!$A:$A,'Base de Grupos'!$H:$H)</f>
        <v>1000174119</v>
      </c>
      <c r="G911" s="5" t="str">
        <f>_xlfn.XLOOKUP($N911,'Base de Grupos'!$A:$A,'Base de Grupos'!$I:$I)</f>
        <v>REGIONAL VENDA INTERNA - CONVENIENCIA</v>
      </c>
      <c r="H911" s="5" t="str">
        <f>_xlfn.XLOOKUP($N911,'Base de Grupos'!$A:$A,'Base de Grupos'!$J:$J)</f>
        <v>1000174119</v>
      </c>
      <c r="I911" s="2" t="str">
        <f>_xlfn.XLOOKUP($N911,'Base de Grupos'!$A:$A,'Base de Grupos'!$K:$K)</f>
        <v>REGIONAL VENDA INTERNA - CONVENIENCIA</v>
      </c>
      <c r="J911" s="2" t="str">
        <f>_xlfn.XLOOKUP($N911,'Base de Grupos'!$A:$A,'Base de Grupos'!$L:$L)</f>
        <v>1000174119</v>
      </c>
      <c r="K911" s="5" t="str">
        <f>_xlfn.XLOOKUP($N911,'Base de Grupos'!$A:$A,'Base de Grupos'!$M:$M)</f>
        <v>REGIONAL VENDA INTERNA - CONVENIENCIA</v>
      </c>
      <c r="L911" s="5" t="str">
        <f t="shared" si="340"/>
        <v/>
      </c>
      <c r="M911" s="5" t="str">
        <f>_xlfn.XLOOKUP($N911,'Base de Grupos'!$A:$A,'Base de Grupos'!$C:$C)</f>
        <v>PA</v>
      </c>
      <c r="N911" s="3">
        <v>1515</v>
      </c>
      <c r="O911" s="4" t="s">
        <v>274</v>
      </c>
      <c r="P911" s="5" t="s">
        <v>86</v>
      </c>
      <c r="Q911" s="24">
        <v>0</v>
      </c>
      <c r="R911" s="24">
        <v>0</v>
      </c>
      <c r="S911" s="24">
        <v>0</v>
      </c>
      <c r="T911" s="24">
        <v>0</v>
      </c>
      <c r="U911" s="24">
        <v>0</v>
      </c>
      <c r="V911" s="24">
        <v>0</v>
      </c>
      <c r="W911" s="24">
        <v>0</v>
      </c>
      <c r="X911" s="24">
        <v>0</v>
      </c>
      <c r="Y911" s="24">
        <v>0</v>
      </c>
      <c r="Z911" s="24">
        <v>0</v>
      </c>
      <c r="AA911" s="24">
        <v>0</v>
      </c>
      <c r="AB911" s="24">
        <v>0</v>
      </c>
      <c r="AC911" s="30">
        <f t="shared" si="341"/>
        <v>0</v>
      </c>
      <c r="AD911" s="28"/>
      <c r="AE911" s="12"/>
      <c r="AF911" s="29"/>
      <c r="AG911" s="9"/>
      <c r="AH911" s="10"/>
      <c r="AI911" s="9"/>
      <c r="AJ911" s="11"/>
      <c r="AK911" s="9"/>
      <c r="AL911" s="13"/>
      <c r="AM911" s="9"/>
    </row>
    <row r="912" spans="1:39" x14ac:dyDescent="0.3">
      <c r="A912" s="2" t="str">
        <f t="shared" si="339"/>
        <v>NÃO</v>
      </c>
      <c r="B912" s="2" t="str">
        <f>_xlfn.XLOOKUP($N912,'Base de Grupos'!$A:$A,'Base de Grupos'!$D:$D)</f>
        <v>1000065763</v>
      </c>
      <c r="C912" s="5" t="str">
        <f>_xlfn.XLOOKUP($N912,'Base de Grupos'!$A:$A,'Base de Grupos'!$E:$E)</f>
        <v>CANAL VENDA INTERNA</v>
      </c>
      <c r="D912" s="5" t="str">
        <f>_xlfn.XLOOKUP($N912,'Base de Grupos'!$A:$A,'Base de Grupos'!$F:$F)</f>
        <v>1000065763</v>
      </c>
      <c r="E912" s="2" t="str">
        <f>_xlfn.XLOOKUP($N912,'Base de Grupos'!$A:$A,'Base de Grupos'!$G:$G)</f>
        <v>CANAL VENDA INTERNA</v>
      </c>
      <c r="F912" s="2" t="str">
        <f>_xlfn.XLOOKUP($N912,'Base de Grupos'!$A:$A,'Base de Grupos'!$H:$H)</f>
        <v>1000174119</v>
      </c>
      <c r="G912" s="5" t="str">
        <f>_xlfn.XLOOKUP($N912,'Base de Grupos'!$A:$A,'Base de Grupos'!$I:$I)</f>
        <v>REGIONAL VENDA INTERNA - CONVENIENCIA</v>
      </c>
      <c r="H912" s="5" t="str">
        <f>_xlfn.XLOOKUP($N912,'Base de Grupos'!$A:$A,'Base de Grupos'!$J:$J)</f>
        <v>1000174119</v>
      </c>
      <c r="I912" s="2" t="str">
        <f>_xlfn.XLOOKUP($N912,'Base de Grupos'!$A:$A,'Base de Grupos'!$K:$K)</f>
        <v>REGIONAL VENDA INTERNA - CONVENIENCIA</v>
      </c>
      <c r="J912" s="2" t="str">
        <f>_xlfn.XLOOKUP($N912,'Base de Grupos'!$A:$A,'Base de Grupos'!$L:$L)</f>
        <v>1000174119</v>
      </c>
      <c r="K912" s="5" t="str">
        <f>_xlfn.XLOOKUP($N912,'Base de Grupos'!$A:$A,'Base de Grupos'!$M:$M)</f>
        <v>REGIONAL VENDA INTERNA - CONVENIENCIA</v>
      </c>
      <c r="L912" s="5" t="str">
        <f t="shared" si="340"/>
        <v/>
      </c>
      <c r="M912" s="5" t="str">
        <f>_xlfn.XLOOKUP($N912,'Base de Grupos'!$A:$A,'Base de Grupos'!$C:$C)</f>
        <v>PA</v>
      </c>
      <c r="N912" s="3">
        <v>1515</v>
      </c>
      <c r="O912" s="4" t="s">
        <v>274</v>
      </c>
      <c r="P912" s="5" t="s">
        <v>108</v>
      </c>
      <c r="Q912" s="24">
        <v>0</v>
      </c>
      <c r="R912" s="24">
        <v>0</v>
      </c>
      <c r="S912" s="24">
        <v>0</v>
      </c>
      <c r="T912" s="24">
        <v>0</v>
      </c>
      <c r="U912" s="24">
        <v>0</v>
      </c>
      <c r="V912" s="24">
        <v>0</v>
      </c>
      <c r="W912" s="24">
        <v>0</v>
      </c>
      <c r="X912" s="24">
        <v>0</v>
      </c>
      <c r="Y912" s="24">
        <v>0</v>
      </c>
      <c r="Z912" s="24">
        <v>0</v>
      </c>
      <c r="AA912" s="24">
        <v>0</v>
      </c>
      <c r="AB912" s="24">
        <v>0</v>
      </c>
      <c r="AC912" s="30">
        <f t="shared" si="341"/>
        <v>0</v>
      </c>
      <c r="AD912" s="28"/>
      <c r="AE912" s="12"/>
      <c r="AF912" s="29"/>
      <c r="AG912" s="9"/>
      <c r="AH912" s="10"/>
      <c r="AI912" s="9"/>
      <c r="AJ912" s="11"/>
      <c r="AK912" s="9"/>
      <c r="AL912" s="13"/>
      <c r="AM912" s="9"/>
    </row>
    <row r="913" spans="1:39" x14ac:dyDescent="0.3">
      <c r="A913" s="2" t="str">
        <f t="shared" si="339"/>
        <v>NÃO</v>
      </c>
      <c r="B913" s="2" t="str">
        <f>_xlfn.XLOOKUP($N913,'Base de Grupos'!$A:$A,'Base de Grupos'!$D:$D)</f>
        <v>1000065763</v>
      </c>
      <c r="C913" s="5" t="str">
        <f>_xlfn.XLOOKUP($N913,'Base de Grupos'!$A:$A,'Base de Grupos'!$E:$E)</f>
        <v>CANAL VENDA INTERNA</v>
      </c>
      <c r="D913" s="5" t="str">
        <f>_xlfn.XLOOKUP($N913,'Base de Grupos'!$A:$A,'Base de Grupos'!$F:$F)</f>
        <v>1000065763</v>
      </c>
      <c r="E913" s="2" t="str">
        <f>_xlfn.XLOOKUP($N913,'Base de Grupos'!$A:$A,'Base de Grupos'!$G:$G)</f>
        <v>CANAL VENDA INTERNA</v>
      </c>
      <c r="F913" s="2" t="str">
        <f>_xlfn.XLOOKUP($N913,'Base de Grupos'!$A:$A,'Base de Grupos'!$H:$H)</f>
        <v>1000174119</v>
      </c>
      <c r="G913" s="5" t="str">
        <f>_xlfn.XLOOKUP($N913,'Base de Grupos'!$A:$A,'Base de Grupos'!$I:$I)</f>
        <v>REGIONAL VENDA INTERNA - CONVENIENCIA</v>
      </c>
      <c r="H913" s="5" t="str">
        <f>_xlfn.XLOOKUP($N913,'Base de Grupos'!$A:$A,'Base de Grupos'!$J:$J)</f>
        <v>1000174119</v>
      </c>
      <c r="I913" s="2" t="str">
        <f>_xlfn.XLOOKUP($N913,'Base de Grupos'!$A:$A,'Base de Grupos'!$K:$K)</f>
        <v>REGIONAL VENDA INTERNA - CONVENIENCIA</v>
      </c>
      <c r="J913" s="2" t="str">
        <f>_xlfn.XLOOKUP($N913,'Base de Grupos'!$A:$A,'Base de Grupos'!$L:$L)</f>
        <v>1000174119</v>
      </c>
      <c r="K913" s="5" t="str">
        <f>_xlfn.XLOOKUP($N913,'Base de Grupos'!$A:$A,'Base de Grupos'!$M:$M)</f>
        <v>REGIONAL VENDA INTERNA - CONVENIENCIA</v>
      </c>
      <c r="L913" s="5" t="str">
        <f t="shared" si="340"/>
        <v/>
      </c>
      <c r="M913" s="5" t="str">
        <f>_xlfn.XLOOKUP($N913,'Base de Grupos'!$A:$A,'Base de Grupos'!$C:$C)</f>
        <v>PA</v>
      </c>
      <c r="N913" s="3">
        <v>1515</v>
      </c>
      <c r="O913" s="4" t="s">
        <v>274</v>
      </c>
      <c r="P913" s="5" t="s">
        <v>89</v>
      </c>
      <c r="Q913" s="24">
        <v>0</v>
      </c>
      <c r="R913" s="24">
        <v>0</v>
      </c>
      <c r="S913" s="24">
        <v>0</v>
      </c>
      <c r="T913" s="24">
        <v>0</v>
      </c>
      <c r="U913" s="24">
        <v>0</v>
      </c>
      <c r="V913" s="24">
        <v>0</v>
      </c>
      <c r="W913" s="24">
        <v>0</v>
      </c>
      <c r="X913" s="24">
        <v>0</v>
      </c>
      <c r="Y913" s="24">
        <v>0</v>
      </c>
      <c r="Z913" s="24">
        <v>0</v>
      </c>
      <c r="AA913" s="24">
        <v>0</v>
      </c>
      <c r="AB913" s="24">
        <v>0</v>
      </c>
      <c r="AC913" s="30">
        <f t="shared" si="341"/>
        <v>0</v>
      </c>
      <c r="AD913" s="28"/>
      <c r="AE913" s="12"/>
      <c r="AF913" s="29"/>
      <c r="AG913" s="9"/>
      <c r="AH913" s="10"/>
      <c r="AI913" s="9"/>
      <c r="AJ913" s="11"/>
      <c r="AK913" s="9"/>
      <c r="AL913" s="13"/>
      <c r="AM913" s="9"/>
    </row>
    <row r="914" spans="1:39" x14ac:dyDescent="0.3">
      <c r="A914" s="2" t="str">
        <f t="shared" si="339"/>
        <v>NÃO</v>
      </c>
      <c r="B914" s="2" t="str">
        <f>_xlfn.XLOOKUP($N914,'Base de Grupos'!$A:$A,'Base de Grupos'!$D:$D)</f>
        <v>1000065763</v>
      </c>
      <c r="C914" s="5" t="str">
        <f>_xlfn.XLOOKUP($N914,'Base de Grupos'!$A:$A,'Base de Grupos'!$E:$E)</f>
        <v>CANAL VENDA INTERNA</v>
      </c>
      <c r="D914" s="5" t="str">
        <f>_xlfn.XLOOKUP($N914,'Base de Grupos'!$A:$A,'Base de Grupos'!$F:$F)</f>
        <v>1000065763</v>
      </c>
      <c r="E914" s="2" t="str">
        <f>_xlfn.XLOOKUP($N914,'Base de Grupos'!$A:$A,'Base de Grupos'!$G:$G)</f>
        <v>CANAL VENDA INTERNA</v>
      </c>
      <c r="F914" s="2" t="str">
        <f>_xlfn.XLOOKUP($N914,'Base de Grupos'!$A:$A,'Base de Grupos'!$H:$H)</f>
        <v>1000174119</v>
      </c>
      <c r="G914" s="5" t="str">
        <f>_xlfn.XLOOKUP($N914,'Base de Grupos'!$A:$A,'Base de Grupos'!$I:$I)</f>
        <v>REGIONAL VENDA INTERNA - CONVENIENCIA</v>
      </c>
      <c r="H914" s="5" t="str">
        <f>_xlfn.XLOOKUP($N914,'Base de Grupos'!$A:$A,'Base de Grupos'!$J:$J)</f>
        <v>1000174119</v>
      </c>
      <c r="I914" s="2" t="str">
        <f>_xlfn.XLOOKUP($N914,'Base de Grupos'!$A:$A,'Base de Grupos'!$K:$K)</f>
        <v>REGIONAL VENDA INTERNA - CONVENIENCIA</v>
      </c>
      <c r="J914" s="2" t="str">
        <f>_xlfn.XLOOKUP($N914,'Base de Grupos'!$A:$A,'Base de Grupos'!$L:$L)</f>
        <v>1000174119</v>
      </c>
      <c r="K914" s="5" t="str">
        <f>_xlfn.XLOOKUP($N914,'Base de Grupos'!$A:$A,'Base de Grupos'!$M:$M)</f>
        <v>REGIONAL VENDA INTERNA - CONVENIENCIA</v>
      </c>
      <c r="L914" s="5" t="str">
        <f t="shared" si="340"/>
        <v/>
      </c>
      <c r="M914" s="5" t="str">
        <f>_xlfn.XLOOKUP($N914,'Base de Grupos'!$A:$A,'Base de Grupos'!$C:$C)</f>
        <v>PA</v>
      </c>
      <c r="N914" s="3">
        <v>1515</v>
      </c>
      <c r="O914" s="4" t="s">
        <v>274</v>
      </c>
      <c r="P914" s="5" t="s">
        <v>88</v>
      </c>
      <c r="Q914" s="24">
        <v>0</v>
      </c>
      <c r="R914" s="24">
        <v>0</v>
      </c>
      <c r="S914" s="24">
        <v>0</v>
      </c>
      <c r="T914" s="24">
        <v>0</v>
      </c>
      <c r="U914" s="24">
        <v>0</v>
      </c>
      <c r="V914" s="24">
        <v>0</v>
      </c>
      <c r="W914" s="24">
        <v>0</v>
      </c>
      <c r="X914" s="24">
        <v>0</v>
      </c>
      <c r="Y914" s="24">
        <v>0</v>
      </c>
      <c r="Z914" s="24">
        <v>0</v>
      </c>
      <c r="AA914" s="24">
        <v>0</v>
      </c>
      <c r="AB914" s="24">
        <v>0</v>
      </c>
      <c r="AC914" s="30">
        <f t="shared" si="341"/>
        <v>0</v>
      </c>
      <c r="AD914" s="28"/>
      <c r="AE914" s="12"/>
      <c r="AF914" s="29"/>
      <c r="AG914" s="9"/>
      <c r="AH914" s="10"/>
      <c r="AI914" s="9"/>
      <c r="AJ914" s="11"/>
      <c r="AK914" s="9"/>
      <c r="AL914" s="13"/>
      <c r="AM914" s="9"/>
    </row>
    <row r="915" spans="1:39" x14ac:dyDescent="0.3">
      <c r="A915" s="2" t="str">
        <f t="shared" si="339"/>
        <v>NÃO</v>
      </c>
      <c r="B915" s="2" t="str">
        <f>_xlfn.XLOOKUP($N915,'Base de Grupos'!$A:$A,'Base de Grupos'!$D:$D)</f>
        <v>1000065763</v>
      </c>
      <c r="C915" s="5" t="str">
        <f>_xlfn.XLOOKUP($N915,'Base de Grupos'!$A:$A,'Base de Grupos'!$E:$E)</f>
        <v>CANAL VENDA INTERNA</v>
      </c>
      <c r="D915" s="5" t="str">
        <f>_xlfn.XLOOKUP($N915,'Base de Grupos'!$A:$A,'Base de Grupos'!$F:$F)</f>
        <v>1000065763</v>
      </c>
      <c r="E915" s="2" t="str">
        <f>_xlfn.XLOOKUP($N915,'Base de Grupos'!$A:$A,'Base de Grupos'!$G:$G)</f>
        <v>CANAL VENDA INTERNA</v>
      </c>
      <c r="F915" s="2" t="str">
        <f>_xlfn.XLOOKUP($N915,'Base de Grupos'!$A:$A,'Base de Grupos'!$H:$H)</f>
        <v>1000174119</v>
      </c>
      <c r="G915" s="5" t="str">
        <f>_xlfn.XLOOKUP($N915,'Base de Grupos'!$A:$A,'Base de Grupos'!$I:$I)</f>
        <v>REGIONAL VENDA INTERNA - CONVENIENCIA</v>
      </c>
      <c r="H915" s="5" t="str">
        <f>_xlfn.XLOOKUP($N915,'Base de Grupos'!$A:$A,'Base de Grupos'!$J:$J)</f>
        <v>1000174119</v>
      </c>
      <c r="I915" s="2" t="str">
        <f>_xlfn.XLOOKUP($N915,'Base de Grupos'!$A:$A,'Base de Grupos'!$K:$K)</f>
        <v>REGIONAL VENDA INTERNA - CONVENIENCIA</v>
      </c>
      <c r="J915" s="2" t="str">
        <f>_xlfn.XLOOKUP($N915,'Base de Grupos'!$A:$A,'Base de Grupos'!$L:$L)</f>
        <v>1000174119</v>
      </c>
      <c r="K915" s="5" t="str">
        <f>_xlfn.XLOOKUP($N915,'Base de Grupos'!$A:$A,'Base de Grupos'!$M:$M)</f>
        <v>REGIONAL VENDA INTERNA - CONVENIENCIA</v>
      </c>
      <c r="L915" s="5" t="str">
        <f t="shared" si="340"/>
        <v/>
      </c>
      <c r="M915" s="5" t="str">
        <f>_xlfn.XLOOKUP($N915,'Base de Grupos'!$A:$A,'Base de Grupos'!$C:$C)</f>
        <v>PA</v>
      </c>
      <c r="N915" s="3">
        <v>1515</v>
      </c>
      <c r="O915" s="4" t="s">
        <v>274</v>
      </c>
      <c r="P915" s="5" t="s">
        <v>90</v>
      </c>
      <c r="Q915" s="24">
        <v>0</v>
      </c>
      <c r="R915" s="24">
        <v>0</v>
      </c>
      <c r="S915" s="24">
        <v>0</v>
      </c>
      <c r="T915" s="24">
        <v>0</v>
      </c>
      <c r="U915" s="24">
        <v>0</v>
      </c>
      <c r="V915" s="24">
        <v>0</v>
      </c>
      <c r="W915" s="24">
        <v>0</v>
      </c>
      <c r="X915" s="24">
        <v>0</v>
      </c>
      <c r="Y915" s="24">
        <v>0</v>
      </c>
      <c r="Z915" s="24">
        <v>0</v>
      </c>
      <c r="AA915" s="24">
        <v>0</v>
      </c>
      <c r="AB915" s="24">
        <v>0</v>
      </c>
      <c r="AC915" s="30">
        <f t="shared" si="341"/>
        <v>0</v>
      </c>
      <c r="AD915" s="28"/>
      <c r="AE915" s="12"/>
      <c r="AF915" s="29"/>
      <c r="AG915" s="9"/>
      <c r="AH915" s="10"/>
      <c r="AI915" s="9"/>
      <c r="AJ915" s="11"/>
      <c r="AK915" s="9"/>
      <c r="AL915" s="13"/>
      <c r="AM915" s="9"/>
    </row>
    <row r="916" spans="1:39" x14ac:dyDescent="0.3">
      <c r="A916" s="2" t="str">
        <f t="shared" si="339"/>
        <v>NÃO</v>
      </c>
      <c r="B916" s="2" t="str">
        <f>_xlfn.XLOOKUP($N916,'Base de Grupos'!$A:$A,'Base de Grupos'!$D:$D)</f>
        <v>1000065763</v>
      </c>
      <c r="C916" s="5" t="str">
        <f>_xlfn.XLOOKUP($N916,'Base de Grupos'!$A:$A,'Base de Grupos'!$E:$E)</f>
        <v>CANAL VENDA INTERNA</v>
      </c>
      <c r="D916" s="5" t="str">
        <f>_xlfn.XLOOKUP($N916,'Base de Grupos'!$A:$A,'Base de Grupos'!$F:$F)</f>
        <v>1000065763</v>
      </c>
      <c r="E916" s="2" t="str">
        <f>_xlfn.XLOOKUP($N916,'Base de Grupos'!$A:$A,'Base de Grupos'!$G:$G)</f>
        <v>CANAL VENDA INTERNA</v>
      </c>
      <c r="F916" s="2" t="str">
        <f>_xlfn.XLOOKUP($N916,'Base de Grupos'!$A:$A,'Base de Grupos'!$H:$H)</f>
        <v>1000174119</v>
      </c>
      <c r="G916" s="5" t="str">
        <f>_xlfn.XLOOKUP($N916,'Base de Grupos'!$A:$A,'Base de Grupos'!$I:$I)</f>
        <v>REGIONAL VENDA INTERNA - CONVENIENCIA</v>
      </c>
      <c r="H916" s="5" t="str">
        <f>_xlfn.XLOOKUP($N916,'Base de Grupos'!$A:$A,'Base de Grupos'!$J:$J)</f>
        <v>1000174119</v>
      </c>
      <c r="I916" s="2" t="str">
        <f>_xlfn.XLOOKUP($N916,'Base de Grupos'!$A:$A,'Base de Grupos'!$K:$K)</f>
        <v>REGIONAL VENDA INTERNA - CONVENIENCIA</v>
      </c>
      <c r="J916" s="2" t="str">
        <f>_xlfn.XLOOKUP($N916,'Base de Grupos'!$A:$A,'Base de Grupos'!$L:$L)</f>
        <v>1000174119</v>
      </c>
      <c r="K916" s="5" t="str">
        <f>_xlfn.XLOOKUP($N916,'Base de Grupos'!$A:$A,'Base de Grupos'!$M:$M)</f>
        <v>REGIONAL VENDA INTERNA - CONVENIENCIA</v>
      </c>
      <c r="L916" s="5" t="str">
        <f t="shared" si="340"/>
        <v/>
      </c>
      <c r="M916" s="5" t="str">
        <f>_xlfn.XLOOKUP($N916,'Base de Grupos'!$A:$A,'Base de Grupos'!$C:$C)</f>
        <v>PA</v>
      </c>
      <c r="N916" s="3">
        <v>1515</v>
      </c>
      <c r="O916" s="4" t="s">
        <v>274</v>
      </c>
      <c r="P916" s="5" t="s">
        <v>91</v>
      </c>
      <c r="Q916" s="24">
        <v>0</v>
      </c>
      <c r="R916" s="24">
        <v>0</v>
      </c>
      <c r="S916" s="24">
        <v>0</v>
      </c>
      <c r="T916" s="24">
        <v>0</v>
      </c>
      <c r="U916" s="24">
        <v>0</v>
      </c>
      <c r="V916" s="24">
        <v>0</v>
      </c>
      <c r="W916" s="24">
        <v>0</v>
      </c>
      <c r="X916" s="24">
        <v>0</v>
      </c>
      <c r="Y916" s="24">
        <v>0</v>
      </c>
      <c r="Z916" s="24">
        <v>0</v>
      </c>
      <c r="AA916" s="24">
        <v>0</v>
      </c>
      <c r="AB916" s="24">
        <v>0</v>
      </c>
      <c r="AC916" s="30">
        <f t="shared" si="341"/>
        <v>0</v>
      </c>
      <c r="AD916" s="28"/>
      <c r="AE916" s="12"/>
      <c r="AF916" s="29"/>
      <c r="AG916" s="9"/>
      <c r="AH916" s="10"/>
      <c r="AI916" s="9"/>
      <c r="AJ916" s="11"/>
      <c r="AK916" s="9"/>
      <c r="AL916" s="13"/>
      <c r="AM916" s="9"/>
    </row>
    <row r="917" spans="1:39" x14ac:dyDescent="0.3">
      <c r="A917" s="2" t="str">
        <f t="shared" si="339"/>
        <v>NÃO</v>
      </c>
      <c r="B917" s="2" t="str">
        <f>_xlfn.XLOOKUP($N917,'Base de Grupos'!$A:$A,'Base de Grupos'!$D:$D)</f>
        <v>1000065763</v>
      </c>
      <c r="C917" s="5" t="str">
        <f>_xlfn.XLOOKUP($N917,'Base de Grupos'!$A:$A,'Base de Grupos'!$E:$E)</f>
        <v>CANAL VENDA INTERNA</v>
      </c>
      <c r="D917" s="5" t="str">
        <f>_xlfn.XLOOKUP($N917,'Base de Grupos'!$A:$A,'Base de Grupos'!$F:$F)</f>
        <v>1000065763</v>
      </c>
      <c r="E917" s="2" t="str">
        <f>_xlfn.XLOOKUP($N917,'Base de Grupos'!$A:$A,'Base de Grupos'!$G:$G)</f>
        <v>CANAL VENDA INTERNA</v>
      </c>
      <c r="F917" s="2" t="str">
        <f>_xlfn.XLOOKUP($N917,'Base de Grupos'!$A:$A,'Base de Grupos'!$H:$H)</f>
        <v>1000174119</v>
      </c>
      <c r="G917" s="5" t="str">
        <f>_xlfn.XLOOKUP($N917,'Base de Grupos'!$A:$A,'Base de Grupos'!$I:$I)</f>
        <v>REGIONAL VENDA INTERNA - CONVENIENCIA</v>
      </c>
      <c r="H917" s="5" t="str">
        <f>_xlfn.XLOOKUP($N917,'Base de Grupos'!$A:$A,'Base de Grupos'!$J:$J)</f>
        <v>1000174119</v>
      </c>
      <c r="I917" s="2" t="str">
        <f>_xlfn.XLOOKUP($N917,'Base de Grupos'!$A:$A,'Base de Grupos'!$K:$K)</f>
        <v>REGIONAL VENDA INTERNA - CONVENIENCIA</v>
      </c>
      <c r="J917" s="2" t="str">
        <f>_xlfn.XLOOKUP($N917,'Base de Grupos'!$A:$A,'Base de Grupos'!$L:$L)</f>
        <v>1000174119</v>
      </c>
      <c r="K917" s="5" t="str">
        <f>_xlfn.XLOOKUP($N917,'Base de Grupos'!$A:$A,'Base de Grupos'!$M:$M)</f>
        <v>REGIONAL VENDA INTERNA - CONVENIENCIA</v>
      </c>
      <c r="L917" s="5" t="str">
        <f t="shared" si="340"/>
        <v/>
      </c>
      <c r="M917" s="5" t="str">
        <f>_xlfn.XLOOKUP($N917,'Base de Grupos'!$A:$A,'Base de Grupos'!$C:$C)</f>
        <v>PA</v>
      </c>
      <c r="N917" s="3">
        <v>1515</v>
      </c>
      <c r="O917" s="4" t="s">
        <v>274</v>
      </c>
      <c r="P917" s="5" t="s">
        <v>96</v>
      </c>
      <c r="Q917" s="24">
        <v>0</v>
      </c>
      <c r="R917" s="24">
        <v>0</v>
      </c>
      <c r="S917" s="24">
        <v>0</v>
      </c>
      <c r="T917" s="24">
        <v>0</v>
      </c>
      <c r="U917" s="24">
        <v>0</v>
      </c>
      <c r="V917" s="24">
        <v>0</v>
      </c>
      <c r="W917" s="24">
        <v>0</v>
      </c>
      <c r="X917" s="24">
        <v>0</v>
      </c>
      <c r="Y917" s="24">
        <v>0</v>
      </c>
      <c r="Z917" s="24">
        <v>0</v>
      </c>
      <c r="AA917" s="24">
        <v>0</v>
      </c>
      <c r="AB917" s="24">
        <v>0</v>
      </c>
      <c r="AC917" s="30">
        <f t="shared" si="341"/>
        <v>0</v>
      </c>
      <c r="AD917" s="28"/>
      <c r="AE917" s="12"/>
      <c r="AF917" s="29"/>
      <c r="AG917" s="9"/>
      <c r="AH917" s="10"/>
      <c r="AI917" s="9"/>
      <c r="AJ917" s="11"/>
      <c r="AK917" s="9"/>
      <c r="AL917" s="13"/>
      <c r="AM917" s="9"/>
    </row>
    <row r="918" spans="1:39" x14ac:dyDescent="0.3">
      <c r="A918" s="2" t="str">
        <f t="shared" si="339"/>
        <v>NÃO</v>
      </c>
      <c r="B918" s="2" t="str">
        <f>_xlfn.XLOOKUP($N918,'Base de Grupos'!$A:$A,'Base de Grupos'!$D:$D)</f>
        <v>1000065763</v>
      </c>
      <c r="C918" s="5" t="str">
        <f>_xlfn.XLOOKUP($N918,'Base de Grupos'!$A:$A,'Base de Grupos'!$E:$E)</f>
        <v>CANAL VENDA INTERNA</v>
      </c>
      <c r="D918" s="5" t="str">
        <f>_xlfn.XLOOKUP($N918,'Base de Grupos'!$A:$A,'Base de Grupos'!$F:$F)</f>
        <v>1000065763</v>
      </c>
      <c r="E918" s="2" t="str">
        <f>_xlfn.XLOOKUP($N918,'Base de Grupos'!$A:$A,'Base de Grupos'!$G:$G)</f>
        <v>CANAL VENDA INTERNA</v>
      </c>
      <c r="F918" s="2" t="str">
        <f>_xlfn.XLOOKUP($N918,'Base de Grupos'!$A:$A,'Base de Grupos'!$H:$H)</f>
        <v>1000174119</v>
      </c>
      <c r="G918" s="5" t="str">
        <f>_xlfn.XLOOKUP($N918,'Base de Grupos'!$A:$A,'Base de Grupos'!$I:$I)</f>
        <v>REGIONAL VENDA INTERNA - CONVENIENCIA</v>
      </c>
      <c r="H918" s="5" t="str">
        <f>_xlfn.XLOOKUP($N918,'Base de Grupos'!$A:$A,'Base de Grupos'!$J:$J)</f>
        <v>1000174119</v>
      </c>
      <c r="I918" s="2" t="str">
        <f>_xlfn.XLOOKUP($N918,'Base de Grupos'!$A:$A,'Base de Grupos'!$K:$K)</f>
        <v>REGIONAL VENDA INTERNA - CONVENIENCIA</v>
      </c>
      <c r="J918" s="2" t="str">
        <f>_xlfn.XLOOKUP($N918,'Base de Grupos'!$A:$A,'Base de Grupos'!$L:$L)</f>
        <v>1000174119</v>
      </c>
      <c r="K918" s="5" t="str">
        <f>_xlfn.XLOOKUP($N918,'Base de Grupos'!$A:$A,'Base de Grupos'!$M:$M)</f>
        <v>REGIONAL VENDA INTERNA - CONVENIENCIA</v>
      </c>
      <c r="L918" s="5" t="str">
        <f t="shared" si="340"/>
        <v/>
      </c>
      <c r="M918" s="5" t="str">
        <f>_xlfn.XLOOKUP($N918,'Base de Grupos'!$A:$A,'Base de Grupos'!$C:$C)</f>
        <v>PA</v>
      </c>
      <c r="N918" s="3">
        <v>1515</v>
      </c>
      <c r="O918" s="4" t="s">
        <v>274</v>
      </c>
      <c r="P918" s="5" t="s">
        <v>94</v>
      </c>
      <c r="Q918" s="24">
        <v>0</v>
      </c>
      <c r="R918" s="24">
        <v>0</v>
      </c>
      <c r="S918" s="24">
        <v>0</v>
      </c>
      <c r="T918" s="24">
        <v>0</v>
      </c>
      <c r="U918" s="24">
        <v>0</v>
      </c>
      <c r="V918" s="24">
        <v>0</v>
      </c>
      <c r="W918" s="24">
        <v>0</v>
      </c>
      <c r="X918" s="24">
        <v>0</v>
      </c>
      <c r="Y918" s="24">
        <v>0</v>
      </c>
      <c r="Z918" s="24">
        <v>0</v>
      </c>
      <c r="AA918" s="24">
        <v>0</v>
      </c>
      <c r="AB918" s="24">
        <v>0</v>
      </c>
      <c r="AC918" s="30">
        <f t="shared" si="341"/>
        <v>0</v>
      </c>
      <c r="AD918" s="28"/>
      <c r="AE918" s="12"/>
      <c r="AF918" s="29"/>
      <c r="AG918" s="9"/>
      <c r="AH918" s="10"/>
      <c r="AI918" s="9"/>
      <c r="AJ918" s="11"/>
      <c r="AK918" s="9"/>
      <c r="AL918" s="13"/>
      <c r="AM918" s="9"/>
    </row>
    <row r="919" spans="1:39" x14ac:dyDescent="0.3">
      <c r="A919" s="2" t="str">
        <f t="shared" si="339"/>
        <v>NÃO</v>
      </c>
      <c r="B919" s="2" t="str">
        <f>_xlfn.XLOOKUP($N919,'Base de Grupos'!$A:$A,'Base de Grupos'!$D:$D)</f>
        <v>1000065763</v>
      </c>
      <c r="C919" s="5" t="str">
        <f>_xlfn.XLOOKUP($N919,'Base de Grupos'!$A:$A,'Base de Grupos'!$E:$E)</f>
        <v>CANAL VENDA INTERNA</v>
      </c>
      <c r="D919" s="5" t="str">
        <f>_xlfn.XLOOKUP($N919,'Base de Grupos'!$A:$A,'Base de Grupos'!$F:$F)</f>
        <v>1000065763</v>
      </c>
      <c r="E919" s="2" t="str">
        <f>_xlfn.XLOOKUP($N919,'Base de Grupos'!$A:$A,'Base de Grupos'!$G:$G)</f>
        <v>CANAL VENDA INTERNA</v>
      </c>
      <c r="F919" s="2" t="str">
        <f>_xlfn.XLOOKUP($N919,'Base de Grupos'!$A:$A,'Base de Grupos'!$H:$H)</f>
        <v>1000174119</v>
      </c>
      <c r="G919" s="5" t="str">
        <f>_xlfn.XLOOKUP($N919,'Base de Grupos'!$A:$A,'Base de Grupos'!$I:$I)</f>
        <v>REGIONAL VENDA INTERNA - CONVENIENCIA</v>
      </c>
      <c r="H919" s="5" t="str">
        <f>_xlfn.XLOOKUP($N919,'Base de Grupos'!$A:$A,'Base de Grupos'!$J:$J)</f>
        <v>1000174119</v>
      </c>
      <c r="I919" s="2" t="str">
        <f>_xlfn.XLOOKUP($N919,'Base de Grupos'!$A:$A,'Base de Grupos'!$K:$K)</f>
        <v>REGIONAL VENDA INTERNA - CONVENIENCIA</v>
      </c>
      <c r="J919" s="2" t="str">
        <f>_xlfn.XLOOKUP($N919,'Base de Grupos'!$A:$A,'Base de Grupos'!$L:$L)</f>
        <v>1000174119</v>
      </c>
      <c r="K919" s="5" t="str">
        <f>_xlfn.XLOOKUP($N919,'Base de Grupos'!$A:$A,'Base de Grupos'!$M:$M)</f>
        <v>REGIONAL VENDA INTERNA - CONVENIENCIA</v>
      </c>
      <c r="L919" s="5" t="str">
        <f t="shared" si="340"/>
        <v/>
      </c>
      <c r="M919" s="5" t="str">
        <f>_xlfn.XLOOKUP($N919,'Base de Grupos'!$A:$A,'Base de Grupos'!$C:$C)</f>
        <v>PA</v>
      </c>
      <c r="N919" s="3">
        <v>1515</v>
      </c>
      <c r="O919" s="4" t="s">
        <v>274</v>
      </c>
      <c r="P919" s="5" t="s">
        <v>95</v>
      </c>
      <c r="Q919" s="24">
        <v>0</v>
      </c>
      <c r="R919" s="24">
        <v>0</v>
      </c>
      <c r="S919" s="24">
        <v>0</v>
      </c>
      <c r="T919" s="24">
        <v>0</v>
      </c>
      <c r="U919" s="24">
        <v>0</v>
      </c>
      <c r="V919" s="24">
        <v>0</v>
      </c>
      <c r="W919" s="24">
        <v>0</v>
      </c>
      <c r="X919" s="24">
        <v>0</v>
      </c>
      <c r="Y919" s="24">
        <v>0</v>
      </c>
      <c r="Z919" s="24">
        <v>0</v>
      </c>
      <c r="AA919" s="24">
        <v>0</v>
      </c>
      <c r="AB919" s="24">
        <v>0</v>
      </c>
      <c r="AC919" s="30">
        <f t="shared" si="341"/>
        <v>0</v>
      </c>
      <c r="AD919" s="28"/>
      <c r="AE919" s="12"/>
      <c r="AF919" s="29"/>
      <c r="AG919" s="9"/>
      <c r="AH919" s="10"/>
      <c r="AI919" s="9"/>
      <c r="AJ919" s="11"/>
      <c r="AK919" s="9"/>
      <c r="AL919" s="13"/>
      <c r="AM919" s="9"/>
    </row>
    <row r="920" spans="1:39" x14ac:dyDescent="0.3">
      <c r="A920" s="2" t="str">
        <f t="shared" si="339"/>
        <v>NÃO</v>
      </c>
      <c r="B920" s="2" t="str">
        <f>_xlfn.XLOOKUP($N920,'Base de Grupos'!$A:$A,'Base de Grupos'!$D:$D)</f>
        <v>1000065763</v>
      </c>
      <c r="C920" s="5" t="str">
        <f>_xlfn.XLOOKUP($N920,'Base de Grupos'!$A:$A,'Base de Grupos'!$E:$E)</f>
        <v>CANAL VENDA INTERNA</v>
      </c>
      <c r="D920" s="5" t="str">
        <f>_xlfn.XLOOKUP($N920,'Base de Grupos'!$A:$A,'Base de Grupos'!$F:$F)</f>
        <v>1000065763</v>
      </c>
      <c r="E920" s="2" t="str">
        <f>_xlfn.XLOOKUP($N920,'Base de Grupos'!$A:$A,'Base de Grupos'!$G:$G)</f>
        <v>CANAL VENDA INTERNA</v>
      </c>
      <c r="F920" s="2" t="str">
        <f>_xlfn.XLOOKUP($N920,'Base de Grupos'!$A:$A,'Base de Grupos'!$H:$H)</f>
        <v>1000174119</v>
      </c>
      <c r="G920" s="5" t="str">
        <f>_xlfn.XLOOKUP($N920,'Base de Grupos'!$A:$A,'Base de Grupos'!$I:$I)</f>
        <v>REGIONAL VENDA INTERNA - CONVENIENCIA</v>
      </c>
      <c r="H920" s="5" t="str">
        <f>_xlfn.XLOOKUP($N920,'Base de Grupos'!$A:$A,'Base de Grupos'!$J:$J)</f>
        <v>1000174119</v>
      </c>
      <c r="I920" s="2" t="str">
        <f>_xlfn.XLOOKUP($N920,'Base de Grupos'!$A:$A,'Base de Grupos'!$K:$K)</f>
        <v>REGIONAL VENDA INTERNA - CONVENIENCIA</v>
      </c>
      <c r="J920" s="2" t="str">
        <f>_xlfn.XLOOKUP($N920,'Base de Grupos'!$A:$A,'Base de Grupos'!$L:$L)</f>
        <v>1000174119</v>
      </c>
      <c r="K920" s="5" t="str">
        <f>_xlfn.XLOOKUP($N920,'Base de Grupos'!$A:$A,'Base de Grupos'!$M:$M)</f>
        <v>REGIONAL VENDA INTERNA - CONVENIENCIA</v>
      </c>
      <c r="L920" s="5" t="str">
        <f t="shared" si="340"/>
        <v/>
      </c>
      <c r="M920" s="5" t="str">
        <f>_xlfn.XLOOKUP($N920,'Base de Grupos'!$A:$A,'Base de Grupos'!$C:$C)</f>
        <v>PA</v>
      </c>
      <c r="N920" s="3">
        <v>1515</v>
      </c>
      <c r="O920" s="4" t="s">
        <v>274</v>
      </c>
      <c r="P920" s="5" t="s">
        <v>93</v>
      </c>
      <c r="Q920" s="24">
        <v>0</v>
      </c>
      <c r="R920" s="24">
        <v>0</v>
      </c>
      <c r="S920" s="24">
        <v>0</v>
      </c>
      <c r="T920" s="24">
        <v>0</v>
      </c>
      <c r="U920" s="24">
        <v>0</v>
      </c>
      <c r="V920" s="24">
        <v>0</v>
      </c>
      <c r="W920" s="24">
        <v>0</v>
      </c>
      <c r="X920" s="24">
        <v>0</v>
      </c>
      <c r="Y920" s="24">
        <v>0</v>
      </c>
      <c r="Z920" s="24">
        <v>0</v>
      </c>
      <c r="AA920" s="24">
        <v>0</v>
      </c>
      <c r="AB920" s="24">
        <v>0</v>
      </c>
      <c r="AC920" s="30">
        <f t="shared" si="341"/>
        <v>0</v>
      </c>
      <c r="AD920" s="28"/>
      <c r="AE920" s="12"/>
      <c r="AF920" s="29"/>
      <c r="AG920" s="9"/>
      <c r="AH920" s="10"/>
      <c r="AI920" s="9"/>
      <c r="AJ920" s="11"/>
      <c r="AK920" s="9"/>
      <c r="AL920" s="13"/>
      <c r="AM920" s="9"/>
    </row>
    <row r="921" spans="1:39" x14ac:dyDescent="0.3">
      <c r="A921" s="2" t="str">
        <f t="shared" si="339"/>
        <v>SIM</v>
      </c>
      <c r="B921" s="2" t="str">
        <f>_xlfn.XLOOKUP($N921,'Base de Grupos'!$A:$A,'Base de Grupos'!$D:$D)</f>
        <v>1000065763</v>
      </c>
      <c r="C921" s="5" t="str">
        <f>_xlfn.XLOOKUP($N921,'Base de Grupos'!$A:$A,'Base de Grupos'!$E:$E)</f>
        <v>CANAL VENDA INTERNA</v>
      </c>
      <c r="D921" s="5" t="str">
        <f>_xlfn.XLOOKUP($N921,'Base de Grupos'!$A:$A,'Base de Grupos'!$F:$F)</f>
        <v>1000065763</v>
      </c>
      <c r="E921" s="2" t="str">
        <f>_xlfn.XLOOKUP($N921,'Base de Grupos'!$A:$A,'Base de Grupos'!$G:$G)</f>
        <v>CANAL VENDA INTERNA</v>
      </c>
      <c r="F921" s="2" t="str">
        <f>_xlfn.XLOOKUP($N921,'Base de Grupos'!$A:$A,'Base de Grupos'!$H:$H)</f>
        <v>1000174119</v>
      </c>
      <c r="G921" s="5" t="str">
        <f>_xlfn.XLOOKUP($N921,'Base de Grupos'!$A:$A,'Base de Grupos'!$I:$I)</f>
        <v>REGIONAL VENDA INTERNA - CONVENIENCIA</v>
      </c>
      <c r="H921" s="5" t="str">
        <f>_xlfn.XLOOKUP($N921,'Base de Grupos'!$A:$A,'Base de Grupos'!$J:$J)</f>
        <v>1000174119</v>
      </c>
      <c r="I921" s="2" t="str">
        <f>_xlfn.XLOOKUP($N921,'Base de Grupos'!$A:$A,'Base de Grupos'!$K:$K)</f>
        <v>REGIONAL VENDA INTERNA - CONVENIENCIA</v>
      </c>
      <c r="J921" s="2" t="str">
        <f>_xlfn.XLOOKUP($N921,'Base de Grupos'!$A:$A,'Base de Grupos'!$L:$L)</f>
        <v>1000174119</v>
      </c>
      <c r="K921" s="5" t="str">
        <f>_xlfn.XLOOKUP($N921,'Base de Grupos'!$A:$A,'Base de Grupos'!$M:$M)</f>
        <v>REGIONAL VENDA INTERNA - CONVENIENCIA</v>
      </c>
      <c r="L921" s="5">
        <f t="shared" si="340"/>
        <v>1</v>
      </c>
      <c r="M921" s="5" t="str">
        <f>_xlfn.XLOOKUP($N921,'Base de Grupos'!$A:$A,'Base de Grupos'!$C:$C)</f>
        <v>AL</v>
      </c>
      <c r="N921" s="3">
        <v>1516</v>
      </c>
      <c r="O921" s="4" t="s">
        <v>275</v>
      </c>
      <c r="P921" s="5" t="s">
        <v>345</v>
      </c>
      <c r="Q921" s="24">
        <v>0</v>
      </c>
      <c r="R921" s="24">
        <v>0</v>
      </c>
      <c r="S921" s="24">
        <v>0</v>
      </c>
      <c r="T921" s="24">
        <v>0</v>
      </c>
      <c r="U921" s="24">
        <v>0</v>
      </c>
      <c r="V921" s="24">
        <v>0</v>
      </c>
      <c r="W921" s="24">
        <v>0</v>
      </c>
      <c r="X921" s="24">
        <v>0</v>
      </c>
      <c r="Y921" s="24">
        <v>0</v>
      </c>
      <c r="Z921" s="24">
        <v>0</v>
      </c>
      <c r="AA921" s="24">
        <v>0</v>
      </c>
      <c r="AB921" s="24">
        <v>0</v>
      </c>
      <c r="AC921" s="30">
        <f t="shared" si="341"/>
        <v>0</v>
      </c>
      <c r="AD921" s="28"/>
      <c r="AE921" s="12"/>
      <c r="AF921" s="29"/>
      <c r="AG921" s="9"/>
      <c r="AH921" s="10"/>
      <c r="AI921" s="9"/>
      <c r="AJ921" s="11"/>
      <c r="AK921" s="9"/>
      <c r="AL921" s="13"/>
      <c r="AM921" s="9"/>
    </row>
    <row r="922" spans="1:39" x14ac:dyDescent="0.3">
      <c r="A922" s="2" t="str">
        <f t="shared" ref="A922:A985" si="342">IF(L922=1,"SIM","NÃO")</f>
        <v>NÃO</v>
      </c>
      <c r="B922" s="2" t="str">
        <f>_xlfn.XLOOKUP($N922,'Base de Grupos'!$A:$A,'Base de Grupos'!$D:$D)</f>
        <v>1000065763</v>
      </c>
      <c r="C922" s="5" t="str">
        <f>_xlfn.XLOOKUP($N922,'Base de Grupos'!$A:$A,'Base de Grupos'!$E:$E)</f>
        <v>CANAL VENDA INTERNA</v>
      </c>
      <c r="D922" s="5" t="str">
        <f>_xlfn.XLOOKUP($N922,'Base de Grupos'!$A:$A,'Base de Grupos'!$F:$F)</f>
        <v>1000065763</v>
      </c>
      <c r="E922" s="2" t="str">
        <f>_xlfn.XLOOKUP($N922,'Base de Grupos'!$A:$A,'Base de Grupos'!$G:$G)</f>
        <v>CANAL VENDA INTERNA</v>
      </c>
      <c r="F922" s="2" t="str">
        <f>_xlfn.XLOOKUP($N922,'Base de Grupos'!$A:$A,'Base de Grupos'!$H:$H)</f>
        <v>1000174119</v>
      </c>
      <c r="G922" s="5" t="str">
        <f>_xlfn.XLOOKUP($N922,'Base de Grupos'!$A:$A,'Base de Grupos'!$I:$I)</f>
        <v>REGIONAL VENDA INTERNA - CONVENIENCIA</v>
      </c>
      <c r="H922" s="5" t="str">
        <f>_xlfn.XLOOKUP($N922,'Base de Grupos'!$A:$A,'Base de Grupos'!$J:$J)</f>
        <v>1000174119</v>
      </c>
      <c r="I922" s="2" t="str">
        <f>_xlfn.XLOOKUP($N922,'Base de Grupos'!$A:$A,'Base de Grupos'!$K:$K)</f>
        <v>REGIONAL VENDA INTERNA - CONVENIENCIA</v>
      </c>
      <c r="J922" s="2" t="str">
        <f>_xlfn.XLOOKUP($N922,'Base de Grupos'!$A:$A,'Base de Grupos'!$L:$L)</f>
        <v>1000174119</v>
      </c>
      <c r="K922" s="5" t="str">
        <f>_xlfn.XLOOKUP($N922,'Base de Grupos'!$A:$A,'Base de Grupos'!$M:$M)</f>
        <v>REGIONAL VENDA INTERNA - CONVENIENCIA</v>
      </c>
      <c r="L922" s="5" t="str">
        <f t="shared" ref="L922:L985" si="343">IF(N922&lt;&gt;N921,1,"")</f>
        <v/>
      </c>
      <c r="M922" s="5" t="str">
        <f>_xlfn.XLOOKUP($N922,'Base de Grupos'!$A:$A,'Base de Grupos'!$C:$C)</f>
        <v>AL</v>
      </c>
      <c r="N922" s="3">
        <v>1516</v>
      </c>
      <c r="O922" s="4" t="s">
        <v>275</v>
      </c>
      <c r="P922" s="5" t="s">
        <v>81</v>
      </c>
      <c r="Q922" s="24">
        <v>0</v>
      </c>
      <c r="R922" s="24">
        <v>0</v>
      </c>
      <c r="S922" s="24">
        <v>0</v>
      </c>
      <c r="T922" s="24">
        <v>0</v>
      </c>
      <c r="U922" s="24">
        <v>0</v>
      </c>
      <c r="V922" s="24">
        <v>0</v>
      </c>
      <c r="W922" s="24">
        <v>0</v>
      </c>
      <c r="X922" s="24">
        <v>0</v>
      </c>
      <c r="Y922" s="24">
        <v>0</v>
      </c>
      <c r="Z922" s="24">
        <v>0</v>
      </c>
      <c r="AA922" s="24">
        <v>0</v>
      </c>
      <c r="AB922" s="24">
        <v>0</v>
      </c>
      <c r="AC922" s="30">
        <f t="shared" si="341"/>
        <v>0</v>
      </c>
      <c r="AD922" s="28"/>
      <c r="AE922" s="12"/>
      <c r="AF922" s="29"/>
      <c r="AG922" s="9"/>
      <c r="AH922" s="10"/>
      <c r="AI922" s="9"/>
      <c r="AJ922" s="11"/>
      <c r="AK922" s="9"/>
      <c r="AL922" s="13"/>
      <c r="AM922" s="9"/>
    </row>
    <row r="923" spans="1:39" x14ac:dyDescent="0.3">
      <c r="A923" s="2" t="str">
        <f t="shared" si="342"/>
        <v>NÃO</v>
      </c>
      <c r="B923" s="2" t="str">
        <f>_xlfn.XLOOKUP($N923,'Base de Grupos'!$A:$A,'Base de Grupos'!$D:$D)</f>
        <v>1000065763</v>
      </c>
      <c r="C923" s="5" t="str">
        <f>_xlfn.XLOOKUP($N923,'Base de Grupos'!$A:$A,'Base de Grupos'!$E:$E)</f>
        <v>CANAL VENDA INTERNA</v>
      </c>
      <c r="D923" s="5" t="str">
        <f>_xlfn.XLOOKUP($N923,'Base de Grupos'!$A:$A,'Base de Grupos'!$F:$F)</f>
        <v>1000065763</v>
      </c>
      <c r="E923" s="2" t="str">
        <f>_xlfn.XLOOKUP($N923,'Base de Grupos'!$A:$A,'Base de Grupos'!$G:$G)</f>
        <v>CANAL VENDA INTERNA</v>
      </c>
      <c r="F923" s="2" t="str">
        <f>_xlfn.XLOOKUP($N923,'Base de Grupos'!$A:$A,'Base de Grupos'!$H:$H)</f>
        <v>1000174119</v>
      </c>
      <c r="G923" s="5" t="str">
        <f>_xlfn.XLOOKUP($N923,'Base de Grupos'!$A:$A,'Base de Grupos'!$I:$I)</f>
        <v>REGIONAL VENDA INTERNA - CONVENIENCIA</v>
      </c>
      <c r="H923" s="5" t="str">
        <f>_xlfn.XLOOKUP($N923,'Base de Grupos'!$A:$A,'Base de Grupos'!$J:$J)</f>
        <v>1000174119</v>
      </c>
      <c r="I923" s="2" t="str">
        <f>_xlfn.XLOOKUP($N923,'Base de Grupos'!$A:$A,'Base de Grupos'!$K:$K)</f>
        <v>REGIONAL VENDA INTERNA - CONVENIENCIA</v>
      </c>
      <c r="J923" s="2" t="str">
        <f>_xlfn.XLOOKUP($N923,'Base de Grupos'!$A:$A,'Base de Grupos'!$L:$L)</f>
        <v>1000174119</v>
      </c>
      <c r="K923" s="5" t="str">
        <f>_xlfn.XLOOKUP($N923,'Base de Grupos'!$A:$A,'Base de Grupos'!$M:$M)</f>
        <v>REGIONAL VENDA INTERNA - CONVENIENCIA</v>
      </c>
      <c r="L923" s="5" t="str">
        <f t="shared" si="343"/>
        <v/>
      </c>
      <c r="M923" s="5" t="str">
        <f>_xlfn.XLOOKUP($N923,'Base de Grupos'!$A:$A,'Base de Grupos'!$C:$C)</f>
        <v>AL</v>
      </c>
      <c r="N923" s="3">
        <v>1516</v>
      </c>
      <c r="O923" s="4" t="s">
        <v>275</v>
      </c>
      <c r="P923" s="5" t="s">
        <v>82</v>
      </c>
      <c r="Q923" s="24">
        <v>0</v>
      </c>
      <c r="R923" s="24">
        <v>0</v>
      </c>
      <c r="S923" s="24">
        <v>0</v>
      </c>
      <c r="T923" s="24">
        <v>0</v>
      </c>
      <c r="U923" s="24">
        <v>0</v>
      </c>
      <c r="V923" s="24">
        <v>0</v>
      </c>
      <c r="W923" s="24">
        <v>0</v>
      </c>
      <c r="X923" s="24">
        <v>0</v>
      </c>
      <c r="Y923" s="24">
        <v>0</v>
      </c>
      <c r="Z923" s="24">
        <v>0</v>
      </c>
      <c r="AA923" s="24">
        <v>0</v>
      </c>
      <c r="AB923" s="24">
        <v>0</v>
      </c>
      <c r="AC923" s="30">
        <f t="shared" ref="AC923:AC986" si="344">SUM(T923:AB923)</f>
        <v>0</v>
      </c>
      <c r="AD923" s="28"/>
      <c r="AE923" s="12"/>
      <c r="AF923" s="29"/>
      <c r="AG923" s="9"/>
      <c r="AH923" s="10"/>
      <c r="AI923" s="9"/>
      <c r="AJ923" s="11"/>
      <c r="AK923" s="9"/>
      <c r="AL923" s="13"/>
      <c r="AM923" s="9"/>
    </row>
    <row r="924" spans="1:39" x14ac:dyDescent="0.3">
      <c r="A924" s="2" t="str">
        <f t="shared" si="342"/>
        <v>NÃO</v>
      </c>
      <c r="B924" s="2" t="str">
        <f>_xlfn.XLOOKUP($N924,'Base de Grupos'!$A:$A,'Base de Grupos'!$D:$D)</f>
        <v>1000065763</v>
      </c>
      <c r="C924" s="5" t="str">
        <f>_xlfn.XLOOKUP($N924,'Base de Grupos'!$A:$A,'Base de Grupos'!$E:$E)</f>
        <v>CANAL VENDA INTERNA</v>
      </c>
      <c r="D924" s="5" t="str">
        <f>_xlfn.XLOOKUP($N924,'Base de Grupos'!$A:$A,'Base de Grupos'!$F:$F)</f>
        <v>1000065763</v>
      </c>
      <c r="E924" s="2" t="str">
        <f>_xlfn.XLOOKUP($N924,'Base de Grupos'!$A:$A,'Base de Grupos'!$G:$G)</f>
        <v>CANAL VENDA INTERNA</v>
      </c>
      <c r="F924" s="2" t="str">
        <f>_xlfn.XLOOKUP($N924,'Base de Grupos'!$A:$A,'Base de Grupos'!$H:$H)</f>
        <v>1000174119</v>
      </c>
      <c r="G924" s="5" t="str">
        <f>_xlfn.XLOOKUP($N924,'Base de Grupos'!$A:$A,'Base de Grupos'!$I:$I)</f>
        <v>REGIONAL VENDA INTERNA - CONVENIENCIA</v>
      </c>
      <c r="H924" s="5" t="str">
        <f>_xlfn.XLOOKUP($N924,'Base de Grupos'!$A:$A,'Base de Grupos'!$J:$J)</f>
        <v>1000174119</v>
      </c>
      <c r="I924" s="2" t="str">
        <f>_xlfn.XLOOKUP($N924,'Base de Grupos'!$A:$A,'Base de Grupos'!$K:$K)</f>
        <v>REGIONAL VENDA INTERNA - CONVENIENCIA</v>
      </c>
      <c r="J924" s="2" t="str">
        <f>_xlfn.XLOOKUP($N924,'Base de Grupos'!$A:$A,'Base de Grupos'!$L:$L)</f>
        <v>1000174119</v>
      </c>
      <c r="K924" s="5" t="str">
        <f>_xlfn.XLOOKUP($N924,'Base de Grupos'!$A:$A,'Base de Grupos'!$M:$M)</f>
        <v>REGIONAL VENDA INTERNA - CONVENIENCIA</v>
      </c>
      <c r="L924" s="5" t="str">
        <f t="shared" si="343"/>
        <v/>
      </c>
      <c r="M924" s="5" t="str">
        <f>_xlfn.XLOOKUP($N924,'Base de Grupos'!$A:$A,'Base de Grupos'!$C:$C)</f>
        <v>AL</v>
      </c>
      <c r="N924" s="3">
        <v>1516</v>
      </c>
      <c r="O924" s="4" t="s">
        <v>275</v>
      </c>
      <c r="P924" s="5" t="s">
        <v>84</v>
      </c>
      <c r="Q924" s="24">
        <v>0</v>
      </c>
      <c r="R924" s="24">
        <v>0</v>
      </c>
      <c r="S924" s="24">
        <v>0</v>
      </c>
      <c r="T924" s="24">
        <v>0</v>
      </c>
      <c r="U924" s="24">
        <v>0</v>
      </c>
      <c r="V924" s="24">
        <v>0</v>
      </c>
      <c r="W924" s="24">
        <v>0</v>
      </c>
      <c r="X924" s="24">
        <v>0</v>
      </c>
      <c r="Y924" s="24">
        <v>0</v>
      </c>
      <c r="Z924" s="24">
        <v>0</v>
      </c>
      <c r="AA924" s="24">
        <v>0</v>
      </c>
      <c r="AB924" s="24">
        <v>0</v>
      </c>
      <c r="AC924" s="30">
        <f t="shared" si="344"/>
        <v>0</v>
      </c>
      <c r="AD924" s="28"/>
      <c r="AE924" s="12"/>
      <c r="AF924" s="29"/>
      <c r="AG924" s="9"/>
      <c r="AH924" s="10"/>
      <c r="AI924" s="9"/>
      <c r="AJ924" s="11"/>
      <c r="AK924" s="9"/>
      <c r="AL924" s="13"/>
      <c r="AM924" s="9"/>
    </row>
    <row r="925" spans="1:39" x14ac:dyDescent="0.3">
      <c r="A925" s="2" t="str">
        <f t="shared" si="342"/>
        <v>NÃO</v>
      </c>
      <c r="B925" s="2" t="str">
        <f>_xlfn.XLOOKUP($N925,'Base de Grupos'!$A:$A,'Base de Grupos'!$D:$D)</f>
        <v>1000065763</v>
      </c>
      <c r="C925" s="5" t="str">
        <f>_xlfn.XLOOKUP($N925,'Base de Grupos'!$A:$A,'Base de Grupos'!$E:$E)</f>
        <v>CANAL VENDA INTERNA</v>
      </c>
      <c r="D925" s="5" t="str">
        <f>_xlfn.XLOOKUP($N925,'Base de Grupos'!$A:$A,'Base de Grupos'!$F:$F)</f>
        <v>1000065763</v>
      </c>
      <c r="E925" s="2" t="str">
        <f>_xlfn.XLOOKUP($N925,'Base de Grupos'!$A:$A,'Base de Grupos'!$G:$G)</f>
        <v>CANAL VENDA INTERNA</v>
      </c>
      <c r="F925" s="2" t="str">
        <f>_xlfn.XLOOKUP($N925,'Base de Grupos'!$A:$A,'Base de Grupos'!$H:$H)</f>
        <v>1000174119</v>
      </c>
      <c r="G925" s="5" t="str">
        <f>_xlfn.XLOOKUP($N925,'Base de Grupos'!$A:$A,'Base de Grupos'!$I:$I)</f>
        <v>REGIONAL VENDA INTERNA - CONVENIENCIA</v>
      </c>
      <c r="H925" s="5" t="str">
        <f>_xlfn.XLOOKUP($N925,'Base de Grupos'!$A:$A,'Base de Grupos'!$J:$J)</f>
        <v>1000174119</v>
      </c>
      <c r="I925" s="2" t="str">
        <f>_xlfn.XLOOKUP($N925,'Base de Grupos'!$A:$A,'Base de Grupos'!$K:$K)</f>
        <v>REGIONAL VENDA INTERNA - CONVENIENCIA</v>
      </c>
      <c r="J925" s="2" t="str">
        <f>_xlfn.XLOOKUP($N925,'Base de Grupos'!$A:$A,'Base de Grupos'!$L:$L)</f>
        <v>1000174119</v>
      </c>
      <c r="K925" s="5" t="str">
        <f>_xlfn.XLOOKUP($N925,'Base de Grupos'!$A:$A,'Base de Grupos'!$M:$M)</f>
        <v>REGIONAL VENDA INTERNA - CONVENIENCIA</v>
      </c>
      <c r="L925" s="5" t="str">
        <f t="shared" si="343"/>
        <v/>
      </c>
      <c r="M925" s="5" t="str">
        <f>_xlfn.XLOOKUP($N925,'Base de Grupos'!$A:$A,'Base de Grupos'!$C:$C)</f>
        <v>AL</v>
      </c>
      <c r="N925" s="3">
        <v>1516</v>
      </c>
      <c r="O925" s="4" t="s">
        <v>275</v>
      </c>
      <c r="P925" s="5" t="s">
        <v>83</v>
      </c>
      <c r="Q925" s="24">
        <v>0</v>
      </c>
      <c r="R925" s="24">
        <v>0</v>
      </c>
      <c r="S925" s="24">
        <v>0</v>
      </c>
      <c r="T925" s="24">
        <v>0</v>
      </c>
      <c r="U925" s="24">
        <v>0</v>
      </c>
      <c r="V925" s="24">
        <v>0</v>
      </c>
      <c r="W925" s="24">
        <v>0</v>
      </c>
      <c r="X925" s="24">
        <v>0</v>
      </c>
      <c r="Y925" s="24">
        <v>0</v>
      </c>
      <c r="Z925" s="24">
        <v>0</v>
      </c>
      <c r="AA925" s="24">
        <v>0</v>
      </c>
      <c r="AB925" s="24">
        <v>0</v>
      </c>
      <c r="AC925" s="30">
        <f t="shared" si="344"/>
        <v>0</v>
      </c>
      <c r="AD925" s="28"/>
      <c r="AE925" s="12"/>
      <c r="AF925" s="29"/>
      <c r="AG925" s="9"/>
      <c r="AH925" s="10"/>
      <c r="AI925" s="9"/>
      <c r="AJ925" s="11"/>
      <c r="AK925" s="9"/>
      <c r="AL925" s="13"/>
      <c r="AM925" s="9"/>
    </row>
    <row r="926" spans="1:39" x14ac:dyDescent="0.3">
      <c r="A926" s="2" t="str">
        <f t="shared" si="342"/>
        <v>NÃO</v>
      </c>
      <c r="B926" s="2" t="str">
        <f>_xlfn.XLOOKUP($N926,'Base de Grupos'!$A:$A,'Base de Grupos'!$D:$D)</f>
        <v>1000065763</v>
      </c>
      <c r="C926" s="5" t="str">
        <f>_xlfn.XLOOKUP($N926,'Base de Grupos'!$A:$A,'Base de Grupos'!$E:$E)</f>
        <v>CANAL VENDA INTERNA</v>
      </c>
      <c r="D926" s="5" t="str">
        <f>_xlfn.XLOOKUP($N926,'Base de Grupos'!$A:$A,'Base de Grupos'!$F:$F)</f>
        <v>1000065763</v>
      </c>
      <c r="E926" s="2" t="str">
        <f>_xlfn.XLOOKUP($N926,'Base de Grupos'!$A:$A,'Base de Grupos'!$G:$G)</f>
        <v>CANAL VENDA INTERNA</v>
      </c>
      <c r="F926" s="2" t="str">
        <f>_xlfn.XLOOKUP($N926,'Base de Grupos'!$A:$A,'Base de Grupos'!$H:$H)</f>
        <v>1000174119</v>
      </c>
      <c r="G926" s="5" t="str">
        <f>_xlfn.XLOOKUP($N926,'Base de Grupos'!$A:$A,'Base de Grupos'!$I:$I)</f>
        <v>REGIONAL VENDA INTERNA - CONVENIENCIA</v>
      </c>
      <c r="H926" s="5" t="str">
        <f>_xlfn.XLOOKUP($N926,'Base de Grupos'!$A:$A,'Base de Grupos'!$J:$J)</f>
        <v>1000174119</v>
      </c>
      <c r="I926" s="2" t="str">
        <f>_xlfn.XLOOKUP($N926,'Base de Grupos'!$A:$A,'Base de Grupos'!$K:$K)</f>
        <v>REGIONAL VENDA INTERNA - CONVENIENCIA</v>
      </c>
      <c r="J926" s="2" t="str">
        <f>_xlfn.XLOOKUP($N926,'Base de Grupos'!$A:$A,'Base de Grupos'!$L:$L)</f>
        <v>1000174119</v>
      </c>
      <c r="K926" s="5" t="str">
        <f>_xlfn.XLOOKUP($N926,'Base de Grupos'!$A:$A,'Base de Grupos'!$M:$M)</f>
        <v>REGIONAL VENDA INTERNA - CONVENIENCIA</v>
      </c>
      <c r="L926" s="5" t="str">
        <f t="shared" si="343"/>
        <v/>
      </c>
      <c r="M926" s="5" t="str">
        <f>_xlfn.XLOOKUP($N926,'Base de Grupos'!$A:$A,'Base de Grupos'!$C:$C)</f>
        <v>AL</v>
      </c>
      <c r="N926" s="3">
        <v>1516</v>
      </c>
      <c r="O926" s="4" t="s">
        <v>275</v>
      </c>
      <c r="P926" s="5" t="s">
        <v>87</v>
      </c>
      <c r="Q926" s="24">
        <v>0</v>
      </c>
      <c r="R926" s="24">
        <v>0</v>
      </c>
      <c r="S926" s="24">
        <v>0</v>
      </c>
      <c r="T926" s="24">
        <v>0</v>
      </c>
      <c r="U926" s="24">
        <v>0</v>
      </c>
      <c r="V926" s="24">
        <v>0</v>
      </c>
      <c r="W926" s="24">
        <v>0</v>
      </c>
      <c r="X926" s="24">
        <v>0</v>
      </c>
      <c r="Y926" s="24">
        <v>0</v>
      </c>
      <c r="Z926" s="24">
        <v>0</v>
      </c>
      <c r="AA926" s="24">
        <v>0</v>
      </c>
      <c r="AB926" s="24">
        <v>0</v>
      </c>
      <c r="AC926" s="30">
        <f t="shared" si="344"/>
        <v>0</v>
      </c>
      <c r="AD926" s="28"/>
      <c r="AE926" s="12"/>
      <c r="AF926" s="29"/>
      <c r="AG926" s="9"/>
      <c r="AH926" s="10"/>
      <c r="AI926" s="9"/>
      <c r="AJ926" s="11"/>
      <c r="AK926" s="9"/>
      <c r="AL926" s="13"/>
      <c r="AM926" s="9"/>
    </row>
    <row r="927" spans="1:39" x14ac:dyDescent="0.3">
      <c r="A927" s="2" t="str">
        <f t="shared" si="342"/>
        <v>NÃO</v>
      </c>
      <c r="B927" s="2" t="str">
        <f>_xlfn.XLOOKUP($N927,'Base de Grupos'!$A:$A,'Base de Grupos'!$D:$D)</f>
        <v>1000065763</v>
      </c>
      <c r="C927" s="5" t="str">
        <f>_xlfn.XLOOKUP($N927,'Base de Grupos'!$A:$A,'Base de Grupos'!$E:$E)</f>
        <v>CANAL VENDA INTERNA</v>
      </c>
      <c r="D927" s="5" t="str">
        <f>_xlfn.XLOOKUP($N927,'Base de Grupos'!$A:$A,'Base de Grupos'!$F:$F)</f>
        <v>1000065763</v>
      </c>
      <c r="E927" s="2" t="str">
        <f>_xlfn.XLOOKUP($N927,'Base de Grupos'!$A:$A,'Base de Grupos'!$G:$G)</f>
        <v>CANAL VENDA INTERNA</v>
      </c>
      <c r="F927" s="2" t="str">
        <f>_xlfn.XLOOKUP($N927,'Base de Grupos'!$A:$A,'Base de Grupos'!$H:$H)</f>
        <v>1000174119</v>
      </c>
      <c r="G927" s="5" t="str">
        <f>_xlfn.XLOOKUP($N927,'Base de Grupos'!$A:$A,'Base de Grupos'!$I:$I)</f>
        <v>REGIONAL VENDA INTERNA - CONVENIENCIA</v>
      </c>
      <c r="H927" s="5" t="str">
        <f>_xlfn.XLOOKUP($N927,'Base de Grupos'!$A:$A,'Base de Grupos'!$J:$J)</f>
        <v>1000174119</v>
      </c>
      <c r="I927" s="2" t="str">
        <f>_xlfn.XLOOKUP($N927,'Base de Grupos'!$A:$A,'Base de Grupos'!$K:$K)</f>
        <v>REGIONAL VENDA INTERNA - CONVENIENCIA</v>
      </c>
      <c r="J927" s="2" t="str">
        <f>_xlfn.XLOOKUP($N927,'Base de Grupos'!$A:$A,'Base de Grupos'!$L:$L)</f>
        <v>1000174119</v>
      </c>
      <c r="K927" s="5" t="str">
        <f>_xlfn.XLOOKUP($N927,'Base de Grupos'!$A:$A,'Base de Grupos'!$M:$M)</f>
        <v>REGIONAL VENDA INTERNA - CONVENIENCIA</v>
      </c>
      <c r="L927" s="5" t="str">
        <f t="shared" si="343"/>
        <v/>
      </c>
      <c r="M927" s="5" t="str">
        <f>_xlfn.XLOOKUP($N927,'Base de Grupos'!$A:$A,'Base de Grupos'!$C:$C)</f>
        <v>AL</v>
      </c>
      <c r="N927" s="3">
        <v>1516</v>
      </c>
      <c r="O927" s="4" t="s">
        <v>275</v>
      </c>
      <c r="P927" s="5" t="s">
        <v>85</v>
      </c>
      <c r="Q927" s="24">
        <v>0</v>
      </c>
      <c r="R927" s="24">
        <v>0</v>
      </c>
      <c r="S927" s="24">
        <v>0</v>
      </c>
      <c r="T927" s="24">
        <v>0</v>
      </c>
      <c r="U927" s="24">
        <v>0</v>
      </c>
      <c r="V927" s="24">
        <v>0</v>
      </c>
      <c r="W927" s="24">
        <v>0</v>
      </c>
      <c r="X927" s="24">
        <v>0</v>
      </c>
      <c r="Y927" s="24">
        <v>0</v>
      </c>
      <c r="Z927" s="24">
        <v>0</v>
      </c>
      <c r="AA927" s="24">
        <v>0</v>
      </c>
      <c r="AB927" s="24">
        <v>0</v>
      </c>
      <c r="AC927" s="30">
        <f t="shared" si="344"/>
        <v>0</v>
      </c>
      <c r="AD927" s="28"/>
      <c r="AE927" s="12"/>
      <c r="AF927" s="29"/>
      <c r="AG927" s="9"/>
      <c r="AH927" s="10"/>
      <c r="AI927" s="9"/>
      <c r="AJ927" s="11"/>
      <c r="AK927" s="9"/>
      <c r="AL927" s="13"/>
      <c r="AM927" s="9"/>
    </row>
    <row r="928" spans="1:39" x14ac:dyDescent="0.3">
      <c r="A928" s="2" t="str">
        <f t="shared" si="342"/>
        <v>NÃO</v>
      </c>
      <c r="B928" s="2" t="str">
        <f>_xlfn.XLOOKUP($N928,'Base de Grupos'!$A:$A,'Base de Grupos'!$D:$D)</f>
        <v>1000065763</v>
      </c>
      <c r="C928" s="5" t="str">
        <f>_xlfn.XLOOKUP($N928,'Base de Grupos'!$A:$A,'Base de Grupos'!$E:$E)</f>
        <v>CANAL VENDA INTERNA</v>
      </c>
      <c r="D928" s="5" t="str">
        <f>_xlfn.XLOOKUP($N928,'Base de Grupos'!$A:$A,'Base de Grupos'!$F:$F)</f>
        <v>1000065763</v>
      </c>
      <c r="E928" s="2" t="str">
        <f>_xlfn.XLOOKUP($N928,'Base de Grupos'!$A:$A,'Base de Grupos'!$G:$G)</f>
        <v>CANAL VENDA INTERNA</v>
      </c>
      <c r="F928" s="2" t="str">
        <f>_xlfn.XLOOKUP($N928,'Base de Grupos'!$A:$A,'Base de Grupos'!$H:$H)</f>
        <v>1000174119</v>
      </c>
      <c r="G928" s="5" t="str">
        <f>_xlfn.XLOOKUP($N928,'Base de Grupos'!$A:$A,'Base de Grupos'!$I:$I)</f>
        <v>REGIONAL VENDA INTERNA - CONVENIENCIA</v>
      </c>
      <c r="H928" s="5" t="str">
        <f>_xlfn.XLOOKUP($N928,'Base de Grupos'!$A:$A,'Base de Grupos'!$J:$J)</f>
        <v>1000174119</v>
      </c>
      <c r="I928" s="2" t="str">
        <f>_xlfn.XLOOKUP($N928,'Base de Grupos'!$A:$A,'Base de Grupos'!$K:$K)</f>
        <v>REGIONAL VENDA INTERNA - CONVENIENCIA</v>
      </c>
      <c r="J928" s="2" t="str">
        <f>_xlfn.XLOOKUP($N928,'Base de Grupos'!$A:$A,'Base de Grupos'!$L:$L)</f>
        <v>1000174119</v>
      </c>
      <c r="K928" s="5" t="str">
        <f>_xlfn.XLOOKUP($N928,'Base de Grupos'!$A:$A,'Base de Grupos'!$M:$M)</f>
        <v>REGIONAL VENDA INTERNA - CONVENIENCIA</v>
      </c>
      <c r="L928" s="5" t="str">
        <f t="shared" si="343"/>
        <v/>
      </c>
      <c r="M928" s="5" t="str">
        <f>_xlfn.XLOOKUP($N928,'Base de Grupos'!$A:$A,'Base de Grupos'!$C:$C)</f>
        <v>AL</v>
      </c>
      <c r="N928" s="3">
        <v>1516</v>
      </c>
      <c r="O928" s="4" t="s">
        <v>275</v>
      </c>
      <c r="P928" s="5" t="s">
        <v>92</v>
      </c>
      <c r="Q928" s="24">
        <v>0</v>
      </c>
      <c r="R928" s="24">
        <v>0</v>
      </c>
      <c r="S928" s="24">
        <v>0</v>
      </c>
      <c r="T928" s="24">
        <v>0</v>
      </c>
      <c r="U928" s="24">
        <v>0</v>
      </c>
      <c r="V928" s="24">
        <v>0</v>
      </c>
      <c r="W928" s="24">
        <v>0</v>
      </c>
      <c r="X928" s="24">
        <v>0</v>
      </c>
      <c r="Y928" s="24">
        <v>0</v>
      </c>
      <c r="Z928" s="24">
        <v>0</v>
      </c>
      <c r="AA928" s="24">
        <v>0</v>
      </c>
      <c r="AB928" s="24">
        <v>0</v>
      </c>
      <c r="AC928" s="30">
        <f t="shared" si="344"/>
        <v>0</v>
      </c>
      <c r="AD928" s="28"/>
      <c r="AE928" s="12"/>
      <c r="AF928" s="29"/>
      <c r="AG928" s="9"/>
      <c r="AH928" s="10"/>
      <c r="AI928" s="9"/>
      <c r="AJ928" s="11"/>
      <c r="AK928" s="9"/>
      <c r="AL928" s="13"/>
      <c r="AM928" s="9"/>
    </row>
    <row r="929" spans="1:39" x14ac:dyDescent="0.3">
      <c r="A929" s="2" t="str">
        <f t="shared" si="342"/>
        <v>NÃO</v>
      </c>
      <c r="B929" s="2" t="str">
        <f>_xlfn.XLOOKUP($N929,'Base de Grupos'!$A:$A,'Base de Grupos'!$D:$D)</f>
        <v>1000065763</v>
      </c>
      <c r="C929" s="5" t="str">
        <f>_xlfn.XLOOKUP($N929,'Base de Grupos'!$A:$A,'Base de Grupos'!$E:$E)</f>
        <v>CANAL VENDA INTERNA</v>
      </c>
      <c r="D929" s="5" t="str">
        <f>_xlfn.XLOOKUP($N929,'Base de Grupos'!$A:$A,'Base de Grupos'!$F:$F)</f>
        <v>1000065763</v>
      </c>
      <c r="E929" s="2" t="str">
        <f>_xlfn.XLOOKUP($N929,'Base de Grupos'!$A:$A,'Base de Grupos'!$G:$G)</f>
        <v>CANAL VENDA INTERNA</v>
      </c>
      <c r="F929" s="2" t="str">
        <f>_xlfn.XLOOKUP($N929,'Base de Grupos'!$A:$A,'Base de Grupos'!$H:$H)</f>
        <v>1000174119</v>
      </c>
      <c r="G929" s="5" t="str">
        <f>_xlfn.XLOOKUP($N929,'Base de Grupos'!$A:$A,'Base de Grupos'!$I:$I)</f>
        <v>REGIONAL VENDA INTERNA - CONVENIENCIA</v>
      </c>
      <c r="H929" s="5" t="str">
        <f>_xlfn.XLOOKUP($N929,'Base de Grupos'!$A:$A,'Base de Grupos'!$J:$J)</f>
        <v>1000174119</v>
      </c>
      <c r="I929" s="2" t="str">
        <f>_xlfn.XLOOKUP($N929,'Base de Grupos'!$A:$A,'Base de Grupos'!$K:$K)</f>
        <v>REGIONAL VENDA INTERNA - CONVENIENCIA</v>
      </c>
      <c r="J929" s="2" t="str">
        <f>_xlfn.XLOOKUP($N929,'Base de Grupos'!$A:$A,'Base de Grupos'!$L:$L)</f>
        <v>1000174119</v>
      </c>
      <c r="K929" s="5" t="str">
        <f>_xlfn.XLOOKUP($N929,'Base de Grupos'!$A:$A,'Base de Grupos'!$M:$M)</f>
        <v>REGIONAL VENDA INTERNA - CONVENIENCIA</v>
      </c>
      <c r="L929" s="5" t="str">
        <f t="shared" si="343"/>
        <v/>
      </c>
      <c r="M929" s="5" t="str">
        <f>_xlfn.XLOOKUP($N929,'Base de Grupos'!$A:$A,'Base de Grupos'!$C:$C)</f>
        <v>AL</v>
      </c>
      <c r="N929" s="3">
        <v>1516</v>
      </c>
      <c r="O929" s="4" t="s">
        <v>275</v>
      </c>
      <c r="P929" s="5" t="s">
        <v>86</v>
      </c>
      <c r="Q929" s="24">
        <v>0</v>
      </c>
      <c r="R929" s="24">
        <v>0</v>
      </c>
      <c r="S929" s="24">
        <v>0</v>
      </c>
      <c r="T929" s="24">
        <v>0</v>
      </c>
      <c r="U929" s="24">
        <v>0</v>
      </c>
      <c r="V929" s="24">
        <v>0</v>
      </c>
      <c r="W929" s="24">
        <v>0</v>
      </c>
      <c r="X929" s="24">
        <v>0</v>
      </c>
      <c r="Y929" s="24">
        <v>0</v>
      </c>
      <c r="Z929" s="24">
        <v>0</v>
      </c>
      <c r="AA929" s="24">
        <v>0</v>
      </c>
      <c r="AB929" s="24">
        <v>0</v>
      </c>
      <c r="AC929" s="30">
        <f t="shared" si="344"/>
        <v>0</v>
      </c>
      <c r="AD929" s="28"/>
      <c r="AE929" s="12"/>
      <c r="AF929" s="29"/>
      <c r="AG929" s="9"/>
      <c r="AH929" s="10"/>
      <c r="AI929" s="9"/>
      <c r="AJ929" s="11"/>
      <c r="AK929" s="9"/>
      <c r="AL929" s="13"/>
      <c r="AM929" s="9"/>
    </row>
    <row r="930" spans="1:39" x14ac:dyDescent="0.3">
      <c r="A930" s="2" t="str">
        <f t="shared" si="342"/>
        <v>NÃO</v>
      </c>
      <c r="B930" s="2" t="str">
        <f>_xlfn.XLOOKUP($N930,'Base de Grupos'!$A:$A,'Base de Grupos'!$D:$D)</f>
        <v>1000065763</v>
      </c>
      <c r="C930" s="5" t="str">
        <f>_xlfn.XLOOKUP($N930,'Base de Grupos'!$A:$A,'Base de Grupos'!$E:$E)</f>
        <v>CANAL VENDA INTERNA</v>
      </c>
      <c r="D930" s="5" t="str">
        <f>_xlfn.XLOOKUP($N930,'Base de Grupos'!$A:$A,'Base de Grupos'!$F:$F)</f>
        <v>1000065763</v>
      </c>
      <c r="E930" s="2" t="str">
        <f>_xlfn.XLOOKUP($N930,'Base de Grupos'!$A:$A,'Base de Grupos'!$G:$G)</f>
        <v>CANAL VENDA INTERNA</v>
      </c>
      <c r="F930" s="2" t="str">
        <f>_xlfn.XLOOKUP($N930,'Base de Grupos'!$A:$A,'Base de Grupos'!$H:$H)</f>
        <v>1000174119</v>
      </c>
      <c r="G930" s="5" t="str">
        <f>_xlfn.XLOOKUP($N930,'Base de Grupos'!$A:$A,'Base de Grupos'!$I:$I)</f>
        <v>REGIONAL VENDA INTERNA - CONVENIENCIA</v>
      </c>
      <c r="H930" s="5" t="str">
        <f>_xlfn.XLOOKUP($N930,'Base de Grupos'!$A:$A,'Base de Grupos'!$J:$J)</f>
        <v>1000174119</v>
      </c>
      <c r="I930" s="2" t="str">
        <f>_xlfn.XLOOKUP($N930,'Base de Grupos'!$A:$A,'Base de Grupos'!$K:$K)</f>
        <v>REGIONAL VENDA INTERNA - CONVENIENCIA</v>
      </c>
      <c r="J930" s="2" t="str">
        <f>_xlfn.XLOOKUP($N930,'Base de Grupos'!$A:$A,'Base de Grupos'!$L:$L)</f>
        <v>1000174119</v>
      </c>
      <c r="K930" s="5" t="str">
        <f>_xlfn.XLOOKUP($N930,'Base de Grupos'!$A:$A,'Base de Grupos'!$M:$M)</f>
        <v>REGIONAL VENDA INTERNA - CONVENIENCIA</v>
      </c>
      <c r="L930" s="5" t="str">
        <f t="shared" si="343"/>
        <v/>
      </c>
      <c r="M930" s="5" t="str">
        <f>_xlfn.XLOOKUP($N930,'Base de Grupos'!$A:$A,'Base de Grupos'!$C:$C)</f>
        <v>AL</v>
      </c>
      <c r="N930" s="3">
        <v>1516</v>
      </c>
      <c r="O930" s="4" t="s">
        <v>275</v>
      </c>
      <c r="P930" s="5" t="s">
        <v>108</v>
      </c>
      <c r="Q930" s="24">
        <v>0</v>
      </c>
      <c r="R930" s="24">
        <v>0</v>
      </c>
      <c r="S930" s="24">
        <v>0</v>
      </c>
      <c r="T930" s="24">
        <v>0</v>
      </c>
      <c r="U930" s="24">
        <v>0</v>
      </c>
      <c r="V930" s="24">
        <v>0</v>
      </c>
      <c r="W930" s="24">
        <v>0</v>
      </c>
      <c r="X930" s="24">
        <v>0</v>
      </c>
      <c r="Y930" s="24">
        <v>0</v>
      </c>
      <c r="Z930" s="24">
        <v>0</v>
      </c>
      <c r="AA930" s="24">
        <v>0</v>
      </c>
      <c r="AB930" s="24">
        <v>0</v>
      </c>
      <c r="AC930" s="30">
        <f t="shared" si="344"/>
        <v>0</v>
      </c>
      <c r="AD930" s="28"/>
      <c r="AE930" s="12"/>
      <c r="AF930" s="29"/>
      <c r="AG930" s="9"/>
      <c r="AH930" s="10"/>
      <c r="AI930" s="9"/>
      <c r="AJ930" s="11"/>
      <c r="AK930" s="9"/>
      <c r="AL930" s="13"/>
      <c r="AM930" s="9"/>
    </row>
    <row r="931" spans="1:39" x14ac:dyDescent="0.3">
      <c r="A931" s="2" t="str">
        <f t="shared" si="342"/>
        <v>NÃO</v>
      </c>
      <c r="B931" s="2" t="str">
        <f>_xlfn.XLOOKUP($N931,'Base de Grupos'!$A:$A,'Base de Grupos'!$D:$D)</f>
        <v>1000065763</v>
      </c>
      <c r="C931" s="5" t="str">
        <f>_xlfn.XLOOKUP($N931,'Base de Grupos'!$A:$A,'Base de Grupos'!$E:$E)</f>
        <v>CANAL VENDA INTERNA</v>
      </c>
      <c r="D931" s="5" t="str">
        <f>_xlfn.XLOOKUP($N931,'Base de Grupos'!$A:$A,'Base de Grupos'!$F:$F)</f>
        <v>1000065763</v>
      </c>
      <c r="E931" s="2" t="str">
        <f>_xlfn.XLOOKUP($N931,'Base de Grupos'!$A:$A,'Base de Grupos'!$G:$G)</f>
        <v>CANAL VENDA INTERNA</v>
      </c>
      <c r="F931" s="2" t="str">
        <f>_xlfn.XLOOKUP($N931,'Base de Grupos'!$A:$A,'Base de Grupos'!$H:$H)</f>
        <v>1000174119</v>
      </c>
      <c r="G931" s="5" t="str">
        <f>_xlfn.XLOOKUP($N931,'Base de Grupos'!$A:$A,'Base de Grupos'!$I:$I)</f>
        <v>REGIONAL VENDA INTERNA - CONVENIENCIA</v>
      </c>
      <c r="H931" s="5" t="str">
        <f>_xlfn.XLOOKUP($N931,'Base de Grupos'!$A:$A,'Base de Grupos'!$J:$J)</f>
        <v>1000174119</v>
      </c>
      <c r="I931" s="2" t="str">
        <f>_xlfn.XLOOKUP($N931,'Base de Grupos'!$A:$A,'Base de Grupos'!$K:$K)</f>
        <v>REGIONAL VENDA INTERNA - CONVENIENCIA</v>
      </c>
      <c r="J931" s="2" t="str">
        <f>_xlfn.XLOOKUP($N931,'Base de Grupos'!$A:$A,'Base de Grupos'!$L:$L)</f>
        <v>1000174119</v>
      </c>
      <c r="K931" s="5" t="str">
        <f>_xlfn.XLOOKUP($N931,'Base de Grupos'!$A:$A,'Base de Grupos'!$M:$M)</f>
        <v>REGIONAL VENDA INTERNA - CONVENIENCIA</v>
      </c>
      <c r="L931" s="5" t="str">
        <f t="shared" si="343"/>
        <v/>
      </c>
      <c r="M931" s="5" t="str">
        <f>_xlfn.XLOOKUP($N931,'Base de Grupos'!$A:$A,'Base de Grupos'!$C:$C)</f>
        <v>AL</v>
      </c>
      <c r="N931" s="3">
        <v>1516</v>
      </c>
      <c r="O931" s="4" t="s">
        <v>275</v>
      </c>
      <c r="P931" s="5" t="s">
        <v>89</v>
      </c>
      <c r="Q931" s="24">
        <v>0</v>
      </c>
      <c r="R931" s="24">
        <v>0</v>
      </c>
      <c r="S931" s="24">
        <v>0</v>
      </c>
      <c r="T931" s="24">
        <v>0</v>
      </c>
      <c r="U931" s="24">
        <v>0</v>
      </c>
      <c r="V931" s="24">
        <v>0</v>
      </c>
      <c r="W931" s="24">
        <v>0</v>
      </c>
      <c r="X931" s="24">
        <v>0</v>
      </c>
      <c r="Y931" s="24">
        <v>0</v>
      </c>
      <c r="Z931" s="24">
        <v>0</v>
      </c>
      <c r="AA931" s="24">
        <v>0</v>
      </c>
      <c r="AB931" s="24">
        <v>0</v>
      </c>
      <c r="AC931" s="30">
        <f t="shared" si="344"/>
        <v>0</v>
      </c>
      <c r="AD931" s="28"/>
      <c r="AE931" s="12"/>
      <c r="AF931" s="29"/>
      <c r="AG931" s="9"/>
      <c r="AH931" s="10"/>
      <c r="AI931" s="9"/>
      <c r="AJ931" s="11"/>
      <c r="AK931" s="9"/>
      <c r="AL931" s="13"/>
      <c r="AM931" s="9"/>
    </row>
    <row r="932" spans="1:39" x14ac:dyDescent="0.3">
      <c r="A932" s="2" t="str">
        <f t="shared" si="342"/>
        <v>NÃO</v>
      </c>
      <c r="B932" s="2" t="str">
        <f>_xlfn.XLOOKUP($N932,'Base de Grupos'!$A:$A,'Base de Grupos'!$D:$D)</f>
        <v>1000065763</v>
      </c>
      <c r="C932" s="5" t="str">
        <f>_xlfn.XLOOKUP($N932,'Base de Grupos'!$A:$A,'Base de Grupos'!$E:$E)</f>
        <v>CANAL VENDA INTERNA</v>
      </c>
      <c r="D932" s="5" t="str">
        <f>_xlfn.XLOOKUP($N932,'Base de Grupos'!$A:$A,'Base de Grupos'!$F:$F)</f>
        <v>1000065763</v>
      </c>
      <c r="E932" s="2" t="str">
        <f>_xlfn.XLOOKUP($N932,'Base de Grupos'!$A:$A,'Base de Grupos'!$G:$G)</f>
        <v>CANAL VENDA INTERNA</v>
      </c>
      <c r="F932" s="2" t="str">
        <f>_xlfn.XLOOKUP($N932,'Base de Grupos'!$A:$A,'Base de Grupos'!$H:$H)</f>
        <v>1000174119</v>
      </c>
      <c r="G932" s="5" t="str">
        <f>_xlfn.XLOOKUP($N932,'Base de Grupos'!$A:$A,'Base de Grupos'!$I:$I)</f>
        <v>REGIONAL VENDA INTERNA - CONVENIENCIA</v>
      </c>
      <c r="H932" s="5" t="str">
        <f>_xlfn.XLOOKUP($N932,'Base de Grupos'!$A:$A,'Base de Grupos'!$J:$J)</f>
        <v>1000174119</v>
      </c>
      <c r="I932" s="2" t="str">
        <f>_xlfn.XLOOKUP($N932,'Base de Grupos'!$A:$A,'Base de Grupos'!$K:$K)</f>
        <v>REGIONAL VENDA INTERNA - CONVENIENCIA</v>
      </c>
      <c r="J932" s="2" t="str">
        <f>_xlfn.XLOOKUP($N932,'Base de Grupos'!$A:$A,'Base de Grupos'!$L:$L)</f>
        <v>1000174119</v>
      </c>
      <c r="K932" s="5" t="str">
        <f>_xlfn.XLOOKUP($N932,'Base de Grupos'!$A:$A,'Base de Grupos'!$M:$M)</f>
        <v>REGIONAL VENDA INTERNA - CONVENIENCIA</v>
      </c>
      <c r="L932" s="5" t="str">
        <f t="shared" si="343"/>
        <v/>
      </c>
      <c r="M932" s="5" t="str">
        <f>_xlfn.XLOOKUP($N932,'Base de Grupos'!$A:$A,'Base de Grupos'!$C:$C)</f>
        <v>AL</v>
      </c>
      <c r="N932" s="3">
        <v>1516</v>
      </c>
      <c r="O932" s="4" t="s">
        <v>275</v>
      </c>
      <c r="P932" s="5" t="s">
        <v>88</v>
      </c>
      <c r="Q932" s="24">
        <v>0</v>
      </c>
      <c r="R932" s="24">
        <v>0</v>
      </c>
      <c r="S932" s="24">
        <v>0</v>
      </c>
      <c r="T932" s="24">
        <v>0</v>
      </c>
      <c r="U932" s="24">
        <v>0</v>
      </c>
      <c r="V932" s="24">
        <v>0</v>
      </c>
      <c r="W932" s="24">
        <v>0</v>
      </c>
      <c r="X932" s="24">
        <v>0</v>
      </c>
      <c r="Y932" s="24">
        <v>0</v>
      </c>
      <c r="Z932" s="24">
        <v>0</v>
      </c>
      <c r="AA932" s="24">
        <v>0</v>
      </c>
      <c r="AB932" s="24">
        <v>0</v>
      </c>
      <c r="AC932" s="30">
        <f t="shared" si="344"/>
        <v>0</v>
      </c>
      <c r="AD932" s="28"/>
      <c r="AE932" s="12"/>
      <c r="AF932" s="29"/>
      <c r="AG932" s="9"/>
      <c r="AH932" s="10"/>
      <c r="AI932" s="9"/>
      <c r="AJ932" s="11"/>
      <c r="AK932" s="9"/>
      <c r="AL932" s="13"/>
      <c r="AM932" s="9"/>
    </row>
    <row r="933" spans="1:39" x14ac:dyDescent="0.3">
      <c r="A933" s="2" t="str">
        <f t="shared" si="342"/>
        <v>NÃO</v>
      </c>
      <c r="B933" s="2" t="str">
        <f>_xlfn.XLOOKUP($N933,'Base de Grupos'!$A:$A,'Base de Grupos'!$D:$D)</f>
        <v>1000065763</v>
      </c>
      <c r="C933" s="5" t="str">
        <f>_xlfn.XLOOKUP($N933,'Base de Grupos'!$A:$A,'Base de Grupos'!$E:$E)</f>
        <v>CANAL VENDA INTERNA</v>
      </c>
      <c r="D933" s="5" t="str">
        <f>_xlfn.XLOOKUP($N933,'Base de Grupos'!$A:$A,'Base de Grupos'!$F:$F)</f>
        <v>1000065763</v>
      </c>
      <c r="E933" s="2" t="str">
        <f>_xlfn.XLOOKUP($N933,'Base de Grupos'!$A:$A,'Base de Grupos'!$G:$G)</f>
        <v>CANAL VENDA INTERNA</v>
      </c>
      <c r="F933" s="2" t="str">
        <f>_xlfn.XLOOKUP($N933,'Base de Grupos'!$A:$A,'Base de Grupos'!$H:$H)</f>
        <v>1000174119</v>
      </c>
      <c r="G933" s="5" t="str">
        <f>_xlfn.XLOOKUP($N933,'Base de Grupos'!$A:$A,'Base de Grupos'!$I:$I)</f>
        <v>REGIONAL VENDA INTERNA - CONVENIENCIA</v>
      </c>
      <c r="H933" s="5" t="str">
        <f>_xlfn.XLOOKUP($N933,'Base de Grupos'!$A:$A,'Base de Grupos'!$J:$J)</f>
        <v>1000174119</v>
      </c>
      <c r="I933" s="2" t="str">
        <f>_xlfn.XLOOKUP($N933,'Base de Grupos'!$A:$A,'Base de Grupos'!$K:$K)</f>
        <v>REGIONAL VENDA INTERNA - CONVENIENCIA</v>
      </c>
      <c r="J933" s="2" t="str">
        <f>_xlfn.XLOOKUP($N933,'Base de Grupos'!$A:$A,'Base de Grupos'!$L:$L)</f>
        <v>1000174119</v>
      </c>
      <c r="K933" s="5" t="str">
        <f>_xlfn.XLOOKUP($N933,'Base de Grupos'!$A:$A,'Base de Grupos'!$M:$M)</f>
        <v>REGIONAL VENDA INTERNA - CONVENIENCIA</v>
      </c>
      <c r="L933" s="5" t="str">
        <f t="shared" si="343"/>
        <v/>
      </c>
      <c r="M933" s="5" t="str">
        <f>_xlfn.XLOOKUP($N933,'Base de Grupos'!$A:$A,'Base de Grupos'!$C:$C)</f>
        <v>AL</v>
      </c>
      <c r="N933" s="3">
        <v>1516</v>
      </c>
      <c r="O933" s="4" t="s">
        <v>275</v>
      </c>
      <c r="P933" s="5" t="s">
        <v>90</v>
      </c>
      <c r="Q933" s="24">
        <v>0</v>
      </c>
      <c r="R933" s="24">
        <v>0</v>
      </c>
      <c r="S933" s="24">
        <v>0</v>
      </c>
      <c r="T933" s="24">
        <v>0</v>
      </c>
      <c r="U933" s="24">
        <v>0</v>
      </c>
      <c r="V933" s="24">
        <v>0</v>
      </c>
      <c r="W933" s="24">
        <v>0</v>
      </c>
      <c r="X933" s="24">
        <v>0</v>
      </c>
      <c r="Y933" s="24">
        <v>0</v>
      </c>
      <c r="Z933" s="24">
        <v>0</v>
      </c>
      <c r="AA933" s="24">
        <v>0</v>
      </c>
      <c r="AB933" s="24">
        <v>0</v>
      </c>
      <c r="AC933" s="30">
        <f t="shared" si="344"/>
        <v>0</v>
      </c>
      <c r="AD933" s="28"/>
      <c r="AE933" s="12"/>
      <c r="AF933" s="29"/>
      <c r="AG933" s="9"/>
      <c r="AH933" s="10"/>
      <c r="AI933" s="9"/>
      <c r="AJ933" s="11"/>
      <c r="AK933" s="9"/>
      <c r="AL933" s="13"/>
      <c r="AM933" s="9"/>
    </row>
    <row r="934" spans="1:39" x14ac:dyDescent="0.3">
      <c r="A934" s="2" t="str">
        <f t="shared" si="342"/>
        <v>NÃO</v>
      </c>
      <c r="B934" s="2" t="str">
        <f>_xlfn.XLOOKUP($N934,'Base de Grupos'!$A:$A,'Base de Grupos'!$D:$D)</f>
        <v>1000065763</v>
      </c>
      <c r="C934" s="5" t="str">
        <f>_xlfn.XLOOKUP($N934,'Base de Grupos'!$A:$A,'Base de Grupos'!$E:$E)</f>
        <v>CANAL VENDA INTERNA</v>
      </c>
      <c r="D934" s="5" t="str">
        <f>_xlfn.XLOOKUP($N934,'Base de Grupos'!$A:$A,'Base de Grupos'!$F:$F)</f>
        <v>1000065763</v>
      </c>
      <c r="E934" s="2" t="str">
        <f>_xlfn.XLOOKUP($N934,'Base de Grupos'!$A:$A,'Base de Grupos'!$G:$G)</f>
        <v>CANAL VENDA INTERNA</v>
      </c>
      <c r="F934" s="2" t="str">
        <f>_xlfn.XLOOKUP($N934,'Base de Grupos'!$A:$A,'Base de Grupos'!$H:$H)</f>
        <v>1000174119</v>
      </c>
      <c r="G934" s="5" t="str">
        <f>_xlfn.XLOOKUP($N934,'Base de Grupos'!$A:$A,'Base de Grupos'!$I:$I)</f>
        <v>REGIONAL VENDA INTERNA - CONVENIENCIA</v>
      </c>
      <c r="H934" s="5" t="str">
        <f>_xlfn.XLOOKUP($N934,'Base de Grupos'!$A:$A,'Base de Grupos'!$J:$J)</f>
        <v>1000174119</v>
      </c>
      <c r="I934" s="2" t="str">
        <f>_xlfn.XLOOKUP($N934,'Base de Grupos'!$A:$A,'Base de Grupos'!$K:$K)</f>
        <v>REGIONAL VENDA INTERNA - CONVENIENCIA</v>
      </c>
      <c r="J934" s="2" t="str">
        <f>_xlfn.XLOOKUP($N934,'Base de Grupos'!$A:$A,'Base de Grupos'!$L:$L)</f>
        <v>1000174119</v>
      </c>
      <c r="K934" s="5" t="str">
        <f>_xlfn.XLOOKUP($N934,'Base de Grupos'!$A:$A,'Base de Grupos'!$M:$M)</f>
        <v>REGIONAL VENDA INTERNA - CONVENIENCIA</v>
      </c>
      <c r="L934" s="5" t="str">
        <f t="shared" si="343"/>
        <v/>
      </c>
      <c r="M934" s="5" t="str">
        <f>_xlfn.XLOOKUP($N934,'Base de Grupos'!$A:$A,'Base de Grupos'!$C:$C)</f>
        <v>AL</v>
      </c>
      <c r="N934" s="3">
        <v>1516</v>
      </c>
      <c r="O934" s="4" t="s">
        <v>275</v>
      </c>
      <c r="P934" s="5" t="s">
        <v>91</v>
      </c>
      <c r="Q934" s="24">
        <v>0</v>
      </c>
      <c r="R934" s="24">
        <v>0</v>
      </c>
      <c r="S934" s="24">
        <v>0</v>
      </c>
      <c r="T934" s="24">
        <v>0</v>
      </c>
      <c r="U934" s="24">
        <v>0</v>
      </c>
      <c r="V934" s="24">
        <v>0</v>
      </c>
      <c r="W934" s="24">
        <v>0</v>
      </c>
      <c r="X934" s="24">
        <v>0</v>
      </c>
      <c r="Y934" s="24">
        <v>0</v>
      </c>
      <c r="Z934" s="24">
        <v>0</v>
      </c>
      <c r="AA934" s="24">
        <v>0</v>
      </c>
      <c r="AB934" s="24">
        <v>0</v>
      </c>
      <c r="AC934" s="30">
        <f t="shared" si="344"/>
        <v>0</v>
      </c>
      <c r="AD934" s="28"/>
      <c r="AE934" s="12"/>
      <c r="AF934" s="29"/>
      <c r="AG934" s="9"/>
      <c r="AH934" s="10"/>
      <c r="AI934" s="9"/>
      <c r="AJ934" s="11"/>
      <c r="AK934" s="9"/>
      <c r="AL934" s="13"/>
      <c r="AM934" s="9"/>
    </row>
    <row r="935" spans="1:39" x14ac:dyDescent="0.3">
      <c r="A935" s="2" t="str">
        <f t="shared" si="342"/>
        <v>NÃO</v>
      </c>
      <c r="B935" s="2" t="str">
        <f>_xlfn.XLOOKUP($N935,'Base de Grupos'!$A:$A,'Base de Grupos'!$D:$D)</f>
        <v>1000065763</v>
      </c>
      <c r="C935" s="5" t="str">
        <f>_xlfn.XLOOKUP($N935,'Base de Grupos'!$A:$A,'Base de Grupos'!$E:$E)</f>
        <v>CANAL VENDA INTERNA</v>
      </c>
      <c r="D935" s="5" t="str">
        <f>_xlfn.XLOOKUP($N935,'Base de Grupos'!$A:$A,'Base de Grupos'!$F:$F)</f>
        <v>1000065763</v>
      </c>
      <c r="E935" s="2" t="str">
        <f>_xlfn.XLOOKUP($N935,'Base de Grupos'!$A:$A,'Base de Grupos'!$G:$G)</f>
        <v>CANAL VENDA INTERNA</v>
      </c>
      <c r="F935" s="2" t="str">
        <f>_xlfn.XLOOKUP($N935,'Base de Grupos'!$A:$A,'Base de Grupos'!$H:$H)</f>
        <v>1000174119</v>
      </c>
      <c r="G935" s="5" t="str">
        <f>_xlfn.XLOOKUP($N935,'Base de Grupos'!$A:$A,'Base de Grupos'!$I:$I)</f>
        <v>REGIONAL VENDA INTERNA - CONVENIENCIA</v>
      </c>
      <c r="H935" s="5" t="str">
        <f>_xlfn.XLOOKUP($N935,'Base de Grupos'!$A:$A,'Base de Grupos'!$J:$J)</f>
        <v>1000174119</v>
      </c>
      <c r="I935" s="2" t="str">
        <f>_xlfn.XLOOKUP($N935,'Base de Grupos'!$A:$A,'Base de Grupos'!$K:$K)</f>
        <v>REGIONAL VENDA INTERNA - CONVENIENCIA</v>
      </c>
      <c r="J935" s="2" t="str">
        <f>_xlfn.XLOOKUP($N935,'Base de Grupos'!$A:$A,'Base de Grupos'!$L:$L)</f>
        <v>1000174119</v>
      </c>
      <c r="K935" s="5" t="str">
        <f>_xlfn.XLOOKUP($N935,'Base de Grupos'!$A:$A,'Base de Grupos'!$M:$M)</f>
        <v>REGIONAL VENDA INTERNA - CONVENIENCIA</v>
      </c>
      <c r="L935" s="5" t="str">
        <f t="shared" si="343"/>
        <v/>
      </c>
      <c r="M935" s="5" t="str">
        <f>_xlfn.XLOOKUP($N935,'Base de Grupos'!$A:$A,'Base de Grupos'!$C:$C)</f>
        <v>AL</v>
      </c>
      <c r="N935" s="3">
        <v>1516</v>
      </c>
      <c r="O935" s="4" t="s">
        <v>275</v>
      </c>
      <c r="P935" s="5" t="s">
        <v>96</v>
      </c>
      <c r="Q935" s="24">
        <v>0</v>
      </c>
      <c r="R935" s="24">
        <v>0</v>
      </c>
      <c r="S935" s="24">
        <v>0</v>
      </c>
      <c r="T935" s="24">
        <v>0</v>
      </c>
      <c r="U935" s="24">
        <v>0</v>
      </c>
      <c r="V935" s="24">
        <v>0</v>
      </c>
      <c r="W935" s="24">
        <v>0</v>
      </c>
      <c r="X935" s="24">
        <v>0</v>
      </c>
      <c r="Y935" s="24">
        <v>0</v>
      </c>
      <c r="Z935" s="24">
        <v>0</v>
      </c>
      <c r="AA935" s="24">
        <v>0</v>
      </c>
      <c r="AB935" s="24">
        <v>0</v>
      </c>
      <c r="AC935" s="30">
        <f t="shared" si="344"/>
        <v>0</v>
      </c>
      <c r="AD935" s="28"/>
      <c r="AE935" s="12"/>
      <c r="AF935" s="29"/>
      <c r="AG935" s="9"/>
      <c r="AH935" s="10"/>
      <c r="AI935" s="9"/>
      <c r="AJ935" s="11"/>
      <c r="AK935" s="9"/>
      <c r="AL935" s="13"/>
      <c r="AM935" s="9"/>
    </row>
    <row r="936" spans="1:39" x14ac:dyDescent="0.3">
      <c r="A936" s="2" t="str">
        <f t="shared" si="342"/>
        <v>NÃO</v>
      </c>
      <c r="B936" s="2" t="str">
        <f>_xlfn.XLOOKUP($N936,'Base de Grupos'!$A:$A,'Base de Grupos'!$D:$D)</f>
        <v>1000065763</v>
      </c>
      <c r="C936" s="5" t="str">
        <f>_xlfn.XLOOKUP($N936,'Base de Grupos'!$A:$A,'Base de Grupos'!$E:$E)</f>
        <v>CANAL VENDA INTERNA</v>
      </c>
      <c r="D936" s="5" t="str">
        <f>_xlfn.XLOOKUP($N936,'Base de Grupos'!$A:$A,'Base de Grupos'!$F:$F)</f>
        <v>1000065763</v>
      </c>
      <c r="E936" s="2" t="str">
        <f>_xlfn.XLOOKUP($N936,'Base de Grupos'!$A:$A,'Base de Grupos'!$G:$G)</f>
        <v>CANAL VENDA INTERNA</v>
      </c>
      <c r="F936" s="2" t="str">
        <f>_xlfn.XLOOKUP($N936,'Base de Grupos'!$A:$A,'Base de Grupos'!$H:$H)</f>
        <v>1000174119</v>
      </c>
      <c r="G936" s="5" t="str">
        <f>_xlfn.XLOOKUP($N936,'Base de Grupos'!$A:$A,'Base de Grupos'!$I:$I)</f>
        <v>REGIONAL VENDA INTERNA - CONVENIENCIA</v>
      </c>
      <c r="H936" s="5" t="str">
        <f>_xlfn.XLOOKUP($N936,'Base de Grupos'!$A:$A,'Base de Grupos'!$J:$J)</f>
        <v>1000174119</v>
      </c>
      <c r="I936" s="2" t="str">
        <f>_xlfn.XLOOKUP($N936,'Base de Grupos'!$A:$A,'Base de Grupos'!$K:$K)</f>
        <v>REGIONAL VENDA INTERNA - CONVENIENCIA</v>
      </c>
      <c r="J936" s="2" t="str">
        <f>_xlfn.XLOOKUP($N936,'Base de Grupos'!$A:$A,'Base de Grupos'!$L:$L)</f>
        <v>1000174119</v>
      </c>
      <c r="K936" s="5" t="str">
        <f>_xlfn.XLOOKUP($N936,'Base de Grupos'!$A:$A,'Base de Grupos'!$M:$M)</f>
        <v>REGIONAL VENDA INTERNA - CONVENIENCIA</v>
      </c>
      <c r="L936" s="5" t="str">
        <f t="shared" si="343"/>
        <v/>
      </c>
      <c r="M936" s="5" t="str">
        <f>_xlfn.XLOOKUP($N936,'Base de Grupos'!$A:$A,'Base de Grupos'!$C:$C)</f>
        <v>AL</v>
      </c>
      <c r="N936" s="3">
        <v>1516</v>
      </c>
      <c r="O936" s="4" t="s">
        <v>275</v>
      </c>
      <c r="P936" s="5" t="s">
        <v>94</v>
      </c>
      <c r="Q936" s="24">
        <v>0</v>
      </c>
      <c r="R936" s="24">
        <v>0</v>
      </c>
      <c r="S936" s="24">
        <v>0</v>
      </c>
      <c r="T936" s="24">
        <v>0</v>
      </c>
      <c r="U936" s="24">
        <v>0</v>
      </c>
      <c r="V936" s="24">
        <v>0</v>
      </c>
      <c r="W936" s="24">
        <v>0</v>
      </c>
      <c r="X936" s="24">
        <v>0</v>
      </c>
      <c r="Y936" s="24">
        <v>0</v>
      </c>
      <c r="Z936" s="24">
        <v>0</v>
      </c>
      <c r="AA936" s="24">
        <v>0</v>
      </c>
      <c r="AB936" s="24">
        <v>0</v>
      </c>
      <c r="AC936" s="30">
        <f t="shared" si="344"/>
        <v>0</v>
      </c>
      <c r="AD936" s="28"/>
      <c r="AE936" s="12"/>
      <c r="AF936" s="29"/>
      <c r="AG936" s="9"/>
      <c r="AH936" s="10"/>
      <c r="AI936" s="9"/>
      <c r="AJ936" s="11"/>
      <c r="AK936" s="9"/>
      <c r="AL936" s="13"/>
      <c r="AM936" s="9"/>
    </row>
    <row r="937" spans="1:39" x14ac:dyDescent="0.3">
      <c r="A937" s="2" t="str">
        <f t="shared" si="342"/>
        <v>NÃO</v>
      </c>
      <c r="B937" s="2" t="str">
        <f>_xlfn.XLOOKUP($N937,'Base de Grupos'!$A:$A,'Base de Grupos'!$D:$D)</f>
        <v>1000065763</v>
      </c>
      <c r="C937" s="5" t="str">
        <f>_xlfn.XLOOKUP($N937,'Base de Grupos'!$A:$A,'Base de Grupos'!$E:$E)</f>
        <v>CANAL VENDA INTERNA</v>
      </c>
      <c r="D937" s="5" t="str">
        <f>_xlfn.XLOOKUP($N937,'Base de Grupos'!$A:$A,'Base de Grupos'!$F:$F)</f>
        <v>1000065763</v>
      </c>
      <c r="E937" s="2" t="str">
        <f>_xlfn.XLOOKUP($N937,'Base de Grupos'!$A:$A,'Base de Grupos'!$G:$G)</f>
        <v>CANAL VENDA INTERNA</v>
      </c>
      <c r="F937" s="2" t="str">
        <f>_xlfn.XLOOKUP($N937,'Base de Grupos'!$A:$A,'Base de Grupos'!$H:$H)</f>
        <v>1000174119</v>
      </c>
      <c r="G937" s="5" t="str">
        <f>_xlfn.XLOOKUP($N937,'Base de Grupos'!$A:$A,'Base de Grupos'!$I:$I)</f>
        <v>REGIONAL VENDA INTERNA - CONVENIENCIA</v>
      </c>
      <c r="H937" s="5" t="str">
        <f>_xlfn.XLOOKUP($N937,'Base de Grupos'!$A:$A,'Base de Grupos'!$J:$J)</f>
        <v>1000174119</v>
      </c>
      <c r="I937" s="2" t="str">
        <f>_xlfn.XLOOKUP($N937,'Base de Grupos'!$A:$A,'Base de Grupos'!$K:$K)</f>
        <v>REGIONAL VENDA INTERNA - CONVENIENCIA</v>
      </c>
      <c r="J937" s="2" t="str">
        <f>_xlfn.XLOOKUP($N937,'Base de Grupos'!$A:$A,'Base de Grupos'!$L:$L)</f>
        <v>1000174119</v>
      </c>
      <c r="K937" s="5" t="str">
        <f>_xlfn.XLOOKUP($N937,'Base de Grupos'!$A:$A,'Base de Grupos'!$M:$M)</f>
        <v>REGIONAL VENDA INTERNA - CONVENIENCIA</v>
      </c>
      <c r="L937" s="5" t="str">
        <f t="shared" si="343"/>
        <v/>
      </c>
      <c r="M937" s="5" t="str">
        <f>_xlfn.XLOOKUP($N937,'Base de Grupos'!$A:$A,'Base de Grupos'!$C:$C)</f>
        <v>AL</v>
      </c>
      <c r="N937" s="3">
        <v>1516</v>
      </c>
      <c r="O937" s="4" t="s">
        <v>275</v>
      </c>
      <c r="P937" s="5" t="s">
        <v>95</v>
      </c>
      <c r="Q937" s="24">
        <v>0</v>
      </c>
      <c r="R937" s="24">
        <v>0</v>
      </c>
      <c r="S937" s="24">
        <v>0</v>
      </c>
      <c r="T937" s="24">
        <v>0</v>
      </c>
      <c r="U937" s="24">
        <v>0</v>
      </c>
      <c r="V937" s="24">
        <v>0</v>
      </c>
      <c r="W937" s="24">
        <v>0</v>
      </c>
      <c r="X937" s="24">
        <v>0</v>
      </c>
      <c r="Y937" s="24">
        <v>0</v>
      </c>
      <c r="Z937" s="24">
        <v>0</v>
      </c>
      <c r="AA937" s="24">
        <v>0</v>
      </c>
      <c r="AB937" s="24">
        <v>0</v>
      </c>
      <c r="AC937" s="30">
        <f t="shared" si="344"/>
        <v>0</v>
      </c>
      <c r="AD937" s="28"/>
      <c r="AE937" s="12"/>
      <c r="AF937" s="29"/>
      <c r="AG937" s="9"/>
      <c r="AH937" s="10"/>
      <c r="AI937" s="9"/>
      <c r="AJ937" s="11"/>
      <c r="AK937" s="9"/>
      <c r="AL937" s="13"/>
      <c r="AM937" s="9"/>
    </row>
    <row r="938" spans="1:39" x14ac:dyDescent="0.3">
      <c r="A938" s="2" t="str">
        <f t="shared" si="342"/>
        <v>NÃO</v>
      </c>
      <c r="B938" s="2" t="str">
        <f>_xlfn.XLOOKUP($N938,'Base de Grupos'!$A:$A,'Base de Grupos'!$D:$D)</f>
        <v>1000065763</v>
      </c>
      <c r="C938" s="5" t="str">
        <f>_xlfn.XLOOKUP($N938,'Base de Grupos'!$A:$A,'Base de Grupos'!$E:$E)</f>
        <v>CANAL VENDA INTERNA</v>
      </c>
      <c r="D938" s="5" t="str">
        <f>_xlfn.XLOOKUP($N938,'Base de Grupos'!$A:$A,'Base de Grupos'!$F:$F)</f>
        <v>1000065763</v>
      </c>
      <c r="E938" s="2" t="str">
        <f>_xlfn.XLOOKUP($N938,'Base de Grupos'!$A:$A,'Base de Grupos'!$G:$G)</f>
        <v>CANAL VENDA INTERNA</v>
      </c>
      <c r="F938" s="2" t="str">
        <f>_xlfn.XLOOKUP($N938,'Base de Grupos'!$A:$A,'Base de Grupos'!$H:$H)</f>
        <v>1000174119</v>
      </c>
      <c r="G938" s="5" t="str">
        <f>_xlfn.XLOOKUP($N938,'Base de Grupos'!$A:$A,'Base de Grupos'!$I:$I)</f>
        <v>REGIONAL VENDA INTERNA - CONVENIENCIA</v>
      </c>
      <c r="H938" s="5" t="str">
        <f>_xlfn.XLOOKUP($N938,'Base de Grupos'!$A:$A,'Base de Grupos'!$J:$J)</f>
        <v>1000174119</v>
      </c>
      <c r="I938" s="2" t="str">
        <f>_xlfn.XLOOKUP($N938,'Base de Grupos'!$A:$A,'Base de Grupos'!$K:$K)</f>
        <v>REGIONAL VENDA INTERNA - CONVENIENCIA</v>
      </c>
      <c r="J938" s="2" t="str">
        <f>_xlfn.XLOOKUP($N938,'Base de Grupos'!$A:$A,'Base de Grupos'!$L:$L)</f>
        <v>1000174119</v>
      </c>
      <c r="K938" s="5" t="str">
        <f>_xlfn.XLOOKUP($N938,'Base de Grupos'!$A:$A,'Base de Grupos'!$M:$M)</f>
        <v>REGIONAL VENDA INTERNA - CONVENIENCIA</v>
      </c>
      <c r="L938" s="5" t="str">
        <f t="shared" si="343"/>
        <v/>
      </c>
      <c r="M938" s="5" t="str">
        <f>_xlfn.XLOOKUP($N938,'Base de Grupos'!$A:$A,'Base de Grupos'!$C:$C)</f>
        <v>AL</v>
      </c>
      <c r="N938" s="3">
        <v>1516</v>
      </c>
      <c r="O938" s="4" t="s">
        <v>275</v>
      </c>
      <c r="P938" s="5" t="s">
        <v>93</v>
      </c>
      <c r="Q938" s="24">
        <v>0</v>
      </c>
      <c r="R938" s="24">
        <v>0</v>
      </c>
      <c r="S938" s="24">
        <v>0</v>
      </c>
      <c r="T938" s="24">
        <v>0</v>
      </c>
      <c r="U938" s="24">
        <v>0</v>
      </c>
      <c r="V938" s="24">
        <v>0</v>
      </c>
      <c r="W938" s="24">
        <v>0</v>
      </c>
      <c r="X938" s="24">
        <v>0</v>
      </c>
      <c r="Y938" s="24">
        <v>0</v>
      </c>
      <c r="Z938" s="24">
        <v>0</v>
      </c>
      <c r="AA938" s="24">
        <v>0</v>
      </c>
      <c r="AB938" s="24">
        <v>0</v>
      </c>
      <c r="AC938" s="30">
        <f t="shared" si="344"/>
        <v>0</v>
      </c>
      <c r="AD938" s="28"/>
      <c r="AE938" s="12"/>
      <c r="AF938" s="29"/>
      <c r="AG938" s="9"/>
      <c r="AH938" s="10"/>
      <c r="AI938" s="9"/>
      <c r="AJ938" s="11"/>
      <c r="AK938" s="9"/>
      <c r="AL938" s="13"/>
      <c r="AM938" s="9"/>
    </row>
    <row r="939" spans="1:39" x14ac:dyDescent="0.3">
      <c r="A939" s="2" t="str">
        <f t="shared" si="342"/>
        <v>SIM</v>
      </c>
      <c r="B939" s="2" t="str">
        <f>_xlfn.XLOOKUP($N939,'Base de Grupos'!$A:$A,'Base de Grupos'!$D:$D)</f>
        <v>1000065763</v>
      </c>
      <c r="C939" s="5" t="str">
        <f>_xlfn.XLOOKUP($N939,'Base de Grupos'!$A:$A,'Base de Grupos'!$E:$E)</f>
        <v>CANAL VENDA INTERNA</v>
      </c>
      <c r="D939" s="5" t="str">
        <f>_xlfn.XLOOKUP($N939,'Base de Grupos'!$A:$A,'Base de Grupos'!$F:$F)</f>
        <v>1000065763</v>
      </c>
      <c r="E939" s="2" t="str">
        <f>_xlfn.XLOOKUP($N939,'Base de Grupos'!$A:$A,'Base de Grupos'!$G:$G)</f>
        <v>CANAL VENDA INTERNA</v>
      </c>
      <c r="F939" s="2" t="str">
        <f>_xlfn.XLOOKUP($N939,'Base de Grupos'!$A:$A,'Base de Grupos'!$H:$H)</f>
        <v>1000174119</v>
      </c>
      <c r="G939" s="5" t="str">
        <f>_xlfn.XLOOKUP($N939,'Base de Grupos'!$A:$A,'Base de Grupos'!$I:$I)</f>
        <v>REGIONAL VENDA INTERNA - CONVENIENCIA</v>
      </c>
      <c r="H939" s="5" t="str">
        <f>_xlfn.XLOOKUP($N939,'Base de Grupos'!$A:$A,'Base de Grupos'!$J:$J)</f>
        <v>1000174119</v>
      </c>
      <c r="I939" s="2" t="str">
        <f>_xlfn.XLOOKUP($N939,'Base de Grupos'!$A:$A,'Base de Grupos'!$K:$K)</f>
        <v>REGIONAL VENDA INTERNA - CONVENIENCIA</v>
      </c>
      <c r="J939" s="2" t="str">
        <f>_xlfn.XLOOKUP($N939,'Base de Grupos'!$A:$A,'Base de Grupos'!$L:$L)</f>
        <v>1000174119</v>
      </c>
      <c r="K939" s="5" t="str">
        <f>_xlfn.XLOOKUP($N939,'Base de Grupos'!$A:$A,'Base de Grupos'!$M:$M)</f>
        <v>REGIONAL VENDA INTERNA - CONVENIENCIA</v>
      </c>
      <c r="L939" s="5">
        <f t="shared" si="343"/>
        <v>1</v>
      </c>
      <c r="M939" s="5" t="str">
        <f>_xlfn.XLOOKUP($N939,'Base de Grupos'!$A:$A,'Base de Grupos'!$C:$C)</f>
        <v>AM</v>
      </c>
      <c r="N939" s="3">
        <v>1517</v>
      </c>
      <c r="O939" s="4" t="s">
        <v>276</v>
      </c>
      <c r="P939" s="5" t="s">
        <v>346</v>
      </c>
      <c r="Q939" s="24">
        <v>0</v>
      </c>
      <c r="R939" s="24">
        <v>0</v>
      </c>
      <c r="S939" s="24">
        <v>0</v>
      </c>
      <c r="T939" s="24">
        <v>0</v>
      </c>
      <c r="U939" s="24">
        <v>0</v>
      </c>
      <c r="V939" s="24">
        <v>0</v>
      </c>
      <c r="W939" s="24">
        <v>0</v>
      </c>
      <c r="X939" s="24">
        <v>0</v>
      </c>
      <c r="Y939" s="24">
        <v>0</v>
      </c>
      <c r="Z939" s="24">
        <v>0</v>
      </c>
      <c r="AA939" s="24">
        <v>0</v>
      </c>
      <c r="AB939" s="24">
        <v>0</v>
      </c>
      <c r="AC939" s="30">
        <f t="shared" si="344"/>
        <v>0</v>
      </c>
      <c r="AD939" s="28"/>
      <c r="AE939" s="12"/>
      <c r="AF939" s="29"/>
      <c r="AG939" s="9"/>
      <c r="AH939" s="10"/>
      <c r="AI939" s="9"/>
      <c r="AJ939" s="11"/>
      <c r="AK939" s="9"/>
      <c r="AL939" s="13"/>
      <c r="AM939" s="9"/>
    </row>
    <row r="940" spans="1:39" x14ac:dyDescent="0.3">
      <c r="A940" s="2" t="str">
        <f t="shared" si="342"/>
        <v>NÃO</v>
      </c>
      <c r="B940" s="2" t="str">
        <f>_xlfn.XLOOKUP($N940,'Base de Grupos'!$A:$A,'Base de Grupos'!$D:$D)</f>
        <v>1000065763</v>
      </c>
      <c r="C940" s="5" t="str">
        <f>_xlfn.XLOOKUP($N940,'Base de Grupos'!$A:$A,'Base de Grupos'!$E:$E)</f>
        <v>CANAL VENDA INTERNA</v>
      </c>
      <c r="D940" s="5" t="str">
        <f>_xlfn.XLOOKUP($N940,'Base de Grupos'!$A:$A,'Base de Grupos'!$F:$F)</f>
        <v>1000065763</v>
      </c>
      <c r="E940" s="2" t="str">
        <f>_xlfn.XLOOKUP($N940,'Base de Grupos'!$A:$A,'Base de Grupos'!$G:$G)</f>
        <v>CANAL VENDA INTERNA</v>
      </c>
      <c r="F940" s="2" t="str">
        <f>_xlfn.XLOOKUP($N940,'Base de Grupos'!$A:$A,'Base de Grupos'!$H:$H)</f>
        <v>1000174119</v>
      </c>
      <c r="G940" s="5" t="str">
        <f>_xlfn.XLOOKUP($N940,'Base de Grupos'!$A:$A,'Base de Grupos'!$I:$I)</f>
        <v>REGIONAL VENDA INTERNA - CONVENIENCIA</v>
      </c>
      <c r="H940" s="5" t="str">
        <f>_xlfn.XLOOKUP($N940,'Base de Grupos'!$A:$A,'Base de Grupos'!$J:$J)</f>
        <v>1000174119</v>
      </c>
      <c r="I940" s="2" t="str">
        <f>_xlfn.XLOOKUP($N940,'Base de Grupos'!$A:$A,'Base de Grupos'!$K:$K)</f>
        <v>REGIONAL VENDA INTERNA - CONVENIENCIA</v>
      </c>
      <c r="J940" s="2" t="str">
        <f>_xlfn.XLOOKUP($N940,'Base de Grupos'!$A:$A,'Base de Grupos'!$L:$L)</f>
        <v>1000174119</v>
      </c>
      <c r="K940" s="5" t="str">
        <f>_xlfn.XLOOKUP($N940,'Base de Grupos'!$A:$A,'Base de Grupos'!$M:$M)</f>
        <v>REGIONAL VENDA INTERNA - CONVENIENCIA</v>
      </c>
      <c r="L940" s="5" t="str">
        <f t="shared" si="343"/>
        <v/>
      </c>
      <c r="M940" s="5" t="str">
        <f>_xlfn.XLOOKUP($N940,'Base de Grupos'!$A:$A,'Base de Grupos'!$C:$C)</f>
        <v>AM</v>
      </c>
      <c r="N940" s="3">
        <v>1517</v>
      </c>
      <c r="O940" s="4" t="s">
        <v>276</v>
      </c>
      <c r="P940" s="5" t="s">
        <v>81</v>
      </c>
      <c r="Q940" s="24">
        <v>0</v>
      </c>
      <c r="R940" s="24">
        <v>0</v>
      </c>
      <c r="S940" s="24">
        <v>0</v>
      </c>
      <c r="T940" s="24">
        <v>0</v>
      </c>
      <c r="U940" s="24">
        <v>0</v>
      </c>
      <c r="V940" s="24">
        <v>0</v>
      </c>
      <c r="W940" s="24">
        <v>0</v>
      </c>
      <c r="X940" s="24">
        <v>0</v>
      </c>
      <c r="Y940" s="24">
        <v>0</v>
      </c>
      <c r="Z940" s="24">
        <v>0</v>
      </c>
      <c r="AA940" s="24">
        <v>0</v>
      </c>
      <c r="AB940" s="24">
        <v>0</v>
      </c>
      <c r="AC940" s="30">
        <f t="shared" si="344"/>
        <v>0</v>
      </c>
      <c r="AD940" s="28"/>
      <c r="AE940" s="12"/>
      <c r="AF940" s="29"/>
      <c r="AG940" s="9"/>
      <c r="AH940" s="10"/>
      <c r="AI940" s="9"/>
      <c r="AJ940" s="11"/>
      <c r="AK940" s="9"/>
      <c r="AL940" s="13"/>
      <c r="AM940" s="9"/>
    </row>
    <row r="941" spans="1:39" x14ac:dyDescent="0.3">
      <c r="A941" s="2" t="str">
        <f t="shared" si="342"/>
        <v>NÃO</v>
      </c>
      <c r="B941" s="2" t="str">
        <f>_xlfn.XLOOKUP($N941,'Base de Grupos'!$A:$A,'Base de Grupos'!$D:$D)</f>
        <v>1000065763</v>
      </c>
      <c r="C941" s="5" t="str">
        <f>_xlfn.XLOOKUP($N941,'Base de Grupos'!$A:$A,'Base de Grupos'!$E:$E)</f>
        <v>CANAL VENDA INTERNA</v>
      </c>
      <c r="D941" s="5" t="str">
        <f>_xlfn.XLOOKUP($N941,'Base de Grupos'!$A:$A,'Base de Grupos'!$F:$F)</f>
        <v>1000065763</v>
      </c>
      <c r="E941" s="2" t="str">
        <f>_xlfn.XLOOKUP($N941,'Base de Grupos'!$A:$A,'Base de Grupos'!$G:$G)</f>
        <v>CANAL VENDA INTERNA</v>
      </c>
      <c r="F941" s="2" t="str">
        <f>_xlfn.XLOOKUP($N941,'Base de Grupos'!$A:$A,'Base de Grupos'!$H:$H)</f>
        <v>1000174119</v>
      </c>
      <c r="G941" s="5" t="str">
        <f>_xlfn.XLOOKUP($N941,'Base de Grupos'!$A:$A,'Base de Grupos'!$I:$I)</f>
        <v>REGIONAL VENDA INTERNA - CONVENIENCIA</v>
      </c>
      <c r="H941" s="5" t="str">
        <f>_xlfn.XLOOKUP($N941,'Base de Grupos'!$A:$A,'Base de Grupos'!$J:$J)</f>
        <v>1000174119</v>
      </c>
      <c r="I941" s="2" t="str">
        <f>_xlfn.XLOOKUP($N941,'Base de Grupos'!$A:$A,'Base de Grupos'!$K:$K)</f>
        <v>REGIONAL VENDA INTERNA - CONVENIENCIA</v>
      </c>
      <c r="J941" s="2" t="str">
        <f>_xlfn.XLOOKUP($N941,'Base de Grupos'!$A:$A,'Base de Grupos'!$L:$L)</f>
        <v>1000174119</v>
      </c>
      <c r="K941" s="5" t="str">
        <f>_xlfn.XLOOKUP($N941,'Base de Grupos'!$A:$A,'Base de Grupos'!$M:$M)</f>
        <v>REGIONAL VENDA INTERNA - CONVENIENCIA</v>
      </c>
      <c r="L941" s="5" t="str">
        <f t="shared" si="343"/>
        <v/>
      </c>
      <c r="M941" s="5" t="str">
        <f>_xlfn.XLOOKUP($N941,'Base de Grupos'!$A:$A,'Base de Grupos'!$C:$C)</f>
        <v>AM</v>
      </c>
      <c r="N941" s="3">
        <v>1517</v>
      </c>
      <c r="O941" s="4" t="s">
        <v>276</v>
      </c>
      <c r="P941" s="5" t="s">
        <v>82</v>
      </c>
      <c r="Q941" s="24">
        <v>0</v>
      </c>
      <c r="R941" s="24">
        <v>0</v>
      </c>
      <c r="S941" s="24">
        <v>0</v>
      </c>
      <c r="T941" s="24">
        <v>0</v>
      </c>
      <c r="U941" s="24">
        <v>0</v>
      </c>
      <c r="V941" s="24">
        <v>0</v>
      </c>
      <c r="W941" s="24">
        <v>0</v>
      </c>
      <c r="X941" s="24">
        <v>0</v>
      </c>
      <c r="Y941" s="24">
        <v>0</v>
      </c>
      <c r="Z941" s="24">
        <v>0</v>
      </c>
      <c r="AA941" s="24">
        <v>0</v>
      </c>
      <c r="AB941" s="24">
        <v>0</v>
      </c>
      <c r="AC941" s="30">
        <f t="shared" si="344"/>
        <v>0</v>
      </c>
      <c r="AD941" s="28"/>
      <c r="AE941" s="12"/>
      <c r="AF941" s="29"/>
      <c r="AG941" s="9"/>
      <c r="AH941" s="10"/>
      <c r="AI941" s="9"/>
      <c r="AJ941" s="11"/>
      <c r="AK941" s="9"/>
      <c r="AL941" s="13"/>
      <c r="AM941" s="9"/>
    </row>
    <row r="942" spans="1:39" x14ac:dyDescent="0.3">
      <c r="A942" s="2" t="str">
        <f t="shared" si="342"/>
        <v>NÃO</v>
      </c>
      <c r="B942" s="2" t="str">
        <f>_xlfn.XLOOKUP($N942,'Base de Grupos'!$A:$A,'Base de Grupos'!$D:$D)</f>
        <v>1000065763</v>
      </c>
      <c r="C942" s="5" t="str">
        <f>_xlfn.XLOOKUP($N942,'Base de Grupos'!$A:$A,'Base de Grupos'!$E:$E)</f>
        <v>CANAL VENDA INTERNA</v>
      </c>
      <c r="D942" s="5" t="str">
        <f>_xlfn.XLOOKUP($N942,'Base de Grupos'!$A:$A,'Base de Grupos'!$F:$F)</f>
        <v>1000065763</v>
      </c>
      <c r="E942" s="2" t="str">
        <f>_xlfn.XLOOKUP($N942,'Base de Grupos'!$A:$A,'Base de Grupos'!$G:$G)</f>
        <v>CANAL VENDA INTERNA</v>
      </c>
      <c r="F942" s="2" t="str">
        <f>_xlfn.XLOOKUP($N942,'Base de Grupos'!$A:$A,'Base de Grupos'!$H:$H)</f>
        <v>1000174119</v>
      </c>
      <c r="G942" s="5" t="str">
        <f>_xlfn.XLOOKUP($N942,'Base de Grupos'!$A:$A,'Base de Grupos'!$I:$I)</f>
        <v>REGIONAL VENDA INTERNA - CONVENIENCIA</v>
      </c>
      <c r="H942" s="5" t="str">
        <f>_xlfn.XLOOKUP($N942,'Base de Grupos'!$A:$A,'Base de Grupos'!$J:$J)</f>
        <v>1000174119</v>
      </c>
      <c r="I942" s="2" t="str">
        <f>_xlfn.XLOOKUP($N942,'Base de Grupos'!$A:$A,'Base de Grupos'!$K:$K)</f>
        <v>REGIONAL VENDA INTERNA - CONVENIENCIA</v>
      </c>
      <c r="J942" s="2" t="str">
        <f>_xlfn.XLOOKUP($N942,'Base de Grupos'!$A:$A,'Base de Grupos'!$L:$L)</f>
        <v>1000174119</v>
      </c>
      <c r="K942" s="5" t="str">
        <f>_xlfn.XLOOKUP($N942,'Base de Grupos'!$A:$A,'Base de Grupos'!$M:$M)</f>
        <v>REGIONAL VENDA INTERNA - CONVENIENCIA</v>
      </c>
      <c r="L942" s="5" t="str">
        <f t="shared" si="343"/>
        <v/>
      </c>
      <c r="M942" s="5" t="str">
        <f>_xlfn.XLOOKUP($N942,'Base de Grupos'!$A:$A,'Base de Grupos'!$C:$C)</f>
        <v>AM</v>
      </c>
      <c r="N942" s="3">
        <v>1517</v>
      </c>
      <c r="O942" s="4" t="s">
        <v>276</v>
      </c>
      <c r="P942" s="5" t="s">
        <v>84</v>
      </c>
      <c r="Q942" s="24">
        <v>0</v>
      </c>
      <c r="R942" s="24">
        <v>0</v>
      </c>
      <c r="S942" s="24">
        <v>0</v>
      </c>
      <c r="T942" s="24">
        <v>0</v>
      </c>
      <c r="U942" s="24">
        <v>0</v>
      </c>
      <c r="V942" s="24">
        <v>0</v>
      </c>
      <c r="W942" s="24">
        <v>0</v>
      </c>
      <c r="X942" s="24">
        <v>0</v>
      </c>
      <c r="Y942" s="24">
        <v>0</v>
      </c>
      <c r="Z942" s="24">
        <v>0</v>
      </c>
      <c r="AA942" s="24">
        <v>0</v>
      </c>
      <c r="AB942" s="24">
        <v>0</v>
      </c>
      <c r="AC942" s="30">
        <f t="shared" si="344"/>
        <v>0</v>
      </c>
      <c r="AD942" s="28"/>
      <c r="AE942" s="12"/>
      <c r="AF942" s="29"/>
      <c r="AG942" s="9"/>
      <c r="AH942" s="10"/>
      <c r="AI942" s="9"/>
      <c r="AJ942" s="11"/>
      <c r="AK942" s="9"/>
      <c r="AL942" s="13"/>
      <c r="AM942" s="9"/>
    </row>
    <row r="943" spans="1:39" x14ac:dyDescent="0.3">
      <c r="A943" s="2" t="str">
        <f t="shared" si="342"/>
        <v>NÃO</v>
      </c>
      <c r="B943" s="2" t="str">
        <f>_xlfn.XLOOKUP($N943,'Base de Grupos'!$A:$A,'Base de Grupos'!$D:$D)</f>
        <v>1000065763</v>
      </c>
      <c r="C943" s="5" t="str">
        <f>_xlfn.XLOOKUP($N943,'Base de Grupos'!$A:$A,'Base de Grupos'!$E:$E)</f>
        <v>CANAL VENDA INTERNA</v>
      </c>
      <c r="D943" s="5" t="str">
        <f>_xlfn.XLOOKUP($N943,'Base de Grupos'!$A:$A,'Base de Grupos'!$F:$F)</f>
        <v>1000065763</v>
      </c>
      <c r="E943" s="2" t="str">
        <f>_xlfn.XLOOKUP($N943,'Base de Grupos'!$A:$A,'Base de Grupos'!$G:$G)</f>
        <v>CANAL VENDA INTERNA</v>
      </c>
      <c r="F943" s="2" t="str">
        <f>_xlfn.XLOOKUP($N943,'Base de Grupos'!$A:$A,'Base de Grupos'!$H:$H)</f>
        <v>1000174119</v>
      </c>
      <c r="G943" s="5" t="str">
        <f>_xlfn.XLOOKUP($N943,'Base de Grupos'!$A:$A,'Base de Grupos'!$I:$I)</f>
        <v>REGIONAL VENDA INTERNA - CONVENIENCIA</v>
      </c>
      <c r="H943" s="5" t="str">
        <f>_xlfn.XLOOKUP($N943,'Base de Grupos'!$A:$A,'Base de Grupos'!$J:$J)</f>
        <v>1000174119</v>
      </c>
      <c r="I943" s="2" t="str">
        <f>_xlfn.XLOOKUP($N943,'Base de Grupos'!$A:$A,'Base de Grupos'!$K:$K)</f>
        <v>REGIONAL VENDA INTERNA - CONVENIENCIA</v>
      </c>
      <c r="J943" s="2" t="str">
        <f>_xlfn.XLOOKUP($N943,'Base de Grupos'!$A:$A,'Base de Grupos'!$L:$L)</f>
        <v>1000174119</v>
      </c>
      <c r="K943" s="5" t="str">
        <f>_xlfn.XLOOKUP($N943,'Base de Grupos'!$A:$A,'Base de Grupos'!$M:$M)</f>
        <v>REGIONAL VENDA INTERNA - CONVENIENCIA</v>
      </c>
      <c r="L943" s="5" t="str">
        <f t="shared" si="343"/>
        <v/>
      </c>
      <c r="M943" s="5" t="str">
        <f>_xlfn.XLOOKUP($N943,'Base de Grupos'!$A:$A,'Base de Grupos'!$C:$C)</f>
        <v>AM</v>
      </c>
      <c r="N943" s="3">
        <v>1517</v>
      </c>
      <c r="O943" s="4" t="s">
        <v>276</v>
      </c>
      <c r="P943" s="5" t="s">
        <v>83</v>
      </c>
      <c r="Q943" s="24">
        <v>0</v>
      </c>
      <c r="R943" s="24">
        <v>0</v>
      </c>
      <c r="S943" s="24">
        <v>0</v>
      </c>
      <c r="T943" s="24">
        <v>0</v>
      </c>
      <c r="U943" s="24">
        <v>0</v>
      </c>
      <c r="V943" s="24">
        <v>0</v>
      </c>
      <c r="W943" s="24">
        <v>0</v>
      </c>
      <c r="X943" s="24">
        <v>0</v>
      </c>
      <c r="Y943" s="24">
        <v>0</v>
      </c>
      <c r="Z943" s="24">
        <v>0</v>
      </c>
      <c r="AA943" s="24">
        <v>0</v>
      </c>
      <c r="AB943" s="24">
        <v>0</v>
      </c>
      <c r="AC943" s="30">
        <f t="shared" si="344"/>
        <v>0</v>
      </c>
      <c r="AD943" s="28"/>
      <c r="AE943" s="12"/>
      <c r="AF943" s="29"/>
      <c r="AG943" s="9"/>
      <c r="AH943" s="10"/>
      <c r="AI943" s="9"/>
      <c r="AJ943" s="11"/>
      <c r="AK943" s="9"/>
      <c r="AL943" s="13"/>
      <c r="AM943" s="9"/>
    </row>
    <row r="944" spans="1:39" x14ac:dyDescent="0.3">
      <c r="A944" s="2" t="str">
        <f t="shared" si="342"/>
        <v>NÃO</v>
      </c>
      <c r="B944" s="2" t="str">
        <f>_xlfn.XLOOKUP($N944,'Base de Grupos'!$A:$A,'Base de Grupos'!$D:$D)</f>
        <v>1000065763</v>
      </c>
      <c r="C944" s="5" t="str">
        <f>_xlfn.XLOOKUP($N944,'Base de Grupos'!$A:$A,'Base de Grupos'!$E:$E)</f>
        <v>CANAL VENDA INTERNA</v>
      </c>
      <c r="D944" s="5" t="str">
        <f>_xlfn.XLOOKUP($N944,'Base de Grupos'!$A:$A,'Base de Grupos'!$F:$F)</f>
        <v>1000065763</v>
      </c>
      <c r="E944" s="2" t="str">
        <f>_xlfn.XLOOKUP($N944,'Base de Grupos'!$A:$A,'Base de Grupos'!$G:$G)</f>
        <v>CANAL VENDA INTERNA</v>
      </c>
      <c r="F944" s="2" t="str">
        <f>_xlfn.XLOOKUP($N944,'Base de Grupos'!$A:$A,'Base de Grupos'!$H:$H)</f>
        <v>1000174119</v>
      </c>
      <c r="G944" s="5" t="str">
        <f>_xlfn.XLOOKUP($N944,'Base de Grupos'!$A:$A,'Base de Grupos'!$I:$I)</f>
        <v>REGIONAL VENDA INTERNA - CONVENIENCIA</v>
      </c>
      <c r="H944" s="5" t="str">
        <f>_xlfn.XLOOKUP($N944,'Base de Grupos'!$A:$A,'Base de Grupos'!$J:$J)</f>
        <v>1000174119</v>
      </c>
      <c r="I944" s="2" t="str">
        <f>_xlfn.XLOOKUP($N944,'Base de Grupos'!$A:$A,'Base de Grupos'!$K:$K)</f>
        <v>REGIONAL VENDA INTERNA - CONVENIENCIA</v>
      </c>
      <c r="J944" s="2" t="str">
        <f>_xlfn.XLOOKUP($N944,'Base de Grupos'!$A:$A,'Base de Grupos'!$L:$L)</f>
        <v>1000174119</v>
      </c>
      <c r="K944" s="5" t="str">
        <f>_xlfn.XLOOKUP($N944,'Base de Grupos'!$A:$A,'Base de Grupos'!$M:$M)</f>
        <v>REGIONAL VENDA INTERNA - CONVENIENCIA</v>
      </c>
      <c r="L944" s="5" t="str">
        <f t="shared" si="343"/>
        <v/>
      </c>
      <c r="M944" s="5" t="str">
        <f>_xlfn.XLOOKUP($N944,'Base de Grupos'!$A:$A,'Base de Grupos'!$C:$C)</f>
        <v>AM</v>
      </c>
      <c r="N944" s="3">
        <v>1517</v>
      </c>
      <c r="O944" s="4" t="s">
        <v>276</v>
      </c>
      <c r="P944" s="5" t="s">
        <v>87</v>
      </c>
      <c r="Q944" s="24">
        <v>0</v>
      </c>
      <c r="R944" s="24">
        <v>0</v>
      </c>
      <c r="S944" s="24">
        <v>0</v>
      </c>
      <c r="T944" s="24">
        <v>0</v>
      </c>
      <c r="U944" s="24">
        <v>0</v>
      </c>
      <c r="V944" s="24">
        <v>0</v>
      </c>
      <c r="W944" s="24">
        <v>0</v>
      </c>
      <c r="X944" s="24">
        <v>0</v>
      </c>
      <c r="Y944" s="24">
        <v>0</v>
      </c>
      <c r="Z944" s="24">
        <v>0</v>
      </c>
      <c r="AA944" s="24">
        <v>0</v>
      </c>
      <c r="AB944" s="24">
        <v>0</v>
      </c>
      <c r="AC944" s="30">
        <f t="shared" si="344"/>
        <v>0</v>
      </c>
      <c r="AD944" s="28"/>
      <c r="AE944" s="12"/>
      <c r="AF944" s="29"/>
      <c r="AG944" s="9"/>
      <c r="AH944" s="10"/>
      <c r="AI944" s="9"/>
      <c r="AJ944" s="11"/>
      <c r="AK944" s="9"/>
      <c r="AL944" s="13"/>
      <c r="AM944" s="9"/>
    </row>
    <row r="945" spans="1:39" x14ac:dyDescent="0.3">
      <c r="A945" s="2" t="str">
        <f t="shared" si="342"/>
        <v>NÃO</v>
      </c>
      <c r="B945" s="2" t="str">
        <f>_xlfn.XLOOKUP($N945,'Base de Grupos'!$A:$A,'Base de Grupos'!$D:$D)</f>
        <v>1000065763</v>
      </c>
      <c r="C945" s="5" t="str">
        <f>_xlfn.XLOOKUP($N945,'Base de Grupos'!$A:$A,'Base de Grupos'!$E:$E)</f>
        <v>CANAL VENDA INTERNA</v>
      </c>
      <c r="D945" s="5" t="str">
        <f>_xlfn.XLOOKUP($N945,'Base de Grupos'!$A:$A,'Base de Grupos'!$F:$F)</f>
        <v>1000065763</v>
      </c>
      <c r="E945" s="2" t="str">
        <f>_xlfn.XLOOKUP($N945,'Base de Grupos'!$A:$A,'Base de Grupos'!$G:$G)</f>
        <v>CANAL VENDA INTERNA</v>
      </c>
      <c r="F945" s="2" t="str">
        <f>_xlfn.XLOOKUP($N945,'Base de Grupos'!$A:$A,'Base de Grupos'!$H:$H)</f>
        <v>1000174119</v>
      </c>
      <c r="G945" s="5" t="str">
        <f>_xlfn.XLOOKUP($N945,'Base de Grupos'!$A:$A,'Base de Grupos'!$I:$I)</f>
        <v>REGIONAL VENDA INTERNA - CONVENIENCIA</v>
      </c>
      <c r="H945" s="5" t="str">
        <f>_xlfn.XLOOKUP($N945,'Base de Grupos'!$A:$A,'Base de Grupos'!$J:$J)</f>
        <v>1000174119</v>
      </c>
      <c r="I945" s="2" t="str">
        <f>_xlfn.XLOOKUP($N945,'Base de Grupos'!$A:$A,'Base de Grupos'!$K:$K)</f>
        <v>REGIONAL VENDA INTERNA - CONVENIENCIA</v>
      </c>
      <c r="J945" s="2" t="str">
        <f>_xlfn.XLOOKUP($N945,'Base de Grupos'!$A:$A,'Base de Grupos'!$L:$L)</f>
        <v>1000174119</v>
      </c>
      <c r="K945" s="5" t="str">
        <f>_xlfn.XLOOKUP($N945,'Base de Grupos'!$A:$A,'Base de Grupos'!$M:$M)</f>
        <v>REGIONAL VENDA INTERNA - CONVENIENCIA</v>
      </c>
      <c r="L945" s="5" t="str">
        <f t="shared" si="343"/>
        <v/>
      </c>
      <c r="M945" s="5" t="str">
        <f>_xlfn.XLOOKUP($N945,'Base de Grupos'!$A:$A,'Base de Grupos'!$C:$C)</f>
        <v>AM</v>
      </c>
      <c r="N945" s="3">
        <v>1517</v>
      </c>
      <c r="O945" s="4" t="s">
        <v>276</v>
      </c>
      <c r="P945" s="5" t="s">
        <v>85</v>
      </c>
      <c r="Q945" s="24">
        <v>0</v>
      </c>
      <c r="R945" s="24">
        <v>0</v>
      </c>
      <c r="S945" s="24">
        <v>0</v>
      </c>
      <c r="T945" s="24">
        <v>0</v>
      </c>
      <c r="U945" s="24">
        <v>0</v>
      </c>
      <c r="V945" s="24">
        <v>0</v>
      </c>
      <c r="W945" s="24">
        <v>0</v>
      </c>
      <c r="X945" s="24">
        <v>0</v>
      </c>
      <c r="Y945" s="24">
        <v>0</v>
      </c>
      <c r="Z945" s="24">
        <v>0</v>
      </c>
      <c r="AA945" s="24">
        <v>0</v>
      </c>
      <c r="AB945" s="24">
        <v>0</v>
      </c>
      <c r="AC945" s="30">
        <f t="shared" si="344"/>
        <v>0</v>
      </c>
      <c r="AD945" s="28"/>
      <c r="AE945" s="12"/>
      <c r="AF945" s="29"/>
      <c r="AG945" s="9"/>
      <c r="AH945" s="10"/>
      <c r="AI945" s="9"/>
      <c r="AJ945" s="11"/>
      <c r="AK945" s="9"/>
      <c r="AL945" s="13"/>
      <c r="AM945" s="9"/>
    </row>
    <row r="946" spans="1:39" x14ac:dyDescent="0.3">
      <c r="A946" s="2" t="str">
        <f t="shared" si="342"/>
        <v>NÃO</v>
      </c>
      <c r="B946" s="2" t="str">
        <f>_xlfn.XLOOKUP($N946,'Base de Grupos'!$A:$A,'Base de Grupos'!$D:$D)</f>
        <v>1000065763</v>
      </c>
      <c r="C946" s="5" t="str">
        <f>_xlfn.XLOOKUP($N946,'Base de Grupos'!$A:$A,'Base de Grupos'!$E:$E)</f>
        <v>CANAL VENDA INTERNA</v>
      </c>
      <c r="D946" s="5" t="str">
        <f>_xlfn.XLOOKUP($N946,'Base de Grupos'!$A:$A,'Base de Grupos'!$F:$F)</f>
        <v>1000065763</v>
      </c>
      <c r="E946" s="2" t="str">
        <f>_xlfn.XLOOKUP($N946,'Base de Grupos'!$A:$A,'Base de Grupos'!$G:$G)</f>
        <v>CANAL VENDA INTERNA</v>
      </c>
      <c r="F946" s="2" t="str">
        <f>_xlfn.XLOOKUP($N946,'Base de Grupos'!$A:$A,'Base de Grupos'!$H:$H)</f>
        <v>1000174119</v>
      </c>
      <c r="G946" s="5" t="str">
        <f>_xlfn.XLOOKUP($N946,'Base de Grupos'!$A:$A,'Base de Grupos'!$I:$I)</f>
        <v>REGIONAL VENDA INTERNA - CONVENIENCIA</v>
      </c>
      <c r="H946" s="5" t="str">
        <f>_xlfn.XLOOKUP($N946,'Base de Grupos'!$A:$A,'Base de Grupos'!$J:$J)</f>
        <v>1000174119</v>
      </c>
      <c r="I946" s="2" t="str">
        <f>_xlfn.XLOOKUP($N946,'Base de Grupos'!$A:$A,'Base de Grupos'!$K:$K)</f>
        <v>REGIONAL VENDA INTERNA - CONVENIENCIA</v>
      </c>
      <c r="J946" s="2" t="str">
        <f>_xlfn.XLOOKUP($N946,'Base de Grupos'!$A:$A,'Base de Grupos'!$L:$L)</f>
        <v>1000174119</v>
      </c>
      <c r="K946" s="5" t="str">
        <f>_xlfn.XLOOKUP($N946,'Base de Grupos'!$A:$A,'Base de Grupos'!$M:$M)</f>
        <v>REGIONAL VENDA INTERNA - CONVENIENCIA</v>
      </c>
      <c r="L946" s="5" t="str">
        <f t="shared" si="343"/>
        <v/>
      </c>
      <c r="M946" s="5" t="str">
        <f>_xlfn.XLOOKUP($N946,'Base de Grupos'!$A:$A,'Base de Grupos'!$C:$C)</f>
        <v>AM</v>
      </c>
      <c r="N946" s="3">
        <v>1517</v>
      </c>
      <c r="O946" s="4" t="s">
        <v>276</v>
      </c>
      <c r="P946" s="5" t="s">
        <v>92</v>
      </c>
      <c r="Q946" s="24">
        <v>0</v>
      </c>
      <c r="R946" s="24">
        <v>0</v>
      </c>
      <c r="S946" s="24">
        <v>0</v>
      </c>
      <c r="T946" s="24">
        <v>0</v>
      </c>
      <c r="U946" s="24">
        <v>0</v>
      </c>
      <c r="V946" s="24">
        <v>0</v>
      </c>
      <c r="W946" s="24">
        <v>0</v>
      </c>
      <c r="X946" s="24">
        <v>0</v>
      </c>
      <c r="Y946" s="24">
        <v>0</v>
      </c>
      <c r="Z946" s="24">
        <v>0</v>
      </c>
      <c r="AA946" s="24">
        <v>0</v>
      </c>
      <c r="AB946" s="24">
        <v>0</v>
      </c>
      <c r="AC946" s="30">
        <f t="shared" si="344"/>
        <v>0</v>
      </c>
      <c r="AD946" s="28"/>
      <c r="AE946" s="12"/>
      <c r="AF946" s="29"/>
      <c r="AG946" s="9"/>
      <c r="AH946" s="10"/>
      <c r="AI946" s="9"/>
      <c r="AJ946" s="11"/>
      <c r="AK946" s="9"/>
      <c r="AL946" s="13"/>
      <c r="AM946" s="9"/>
    </row>
    <row r="947" spans="1:39" x14ac:dyDescent="0.3">
      <c r="A947" s="2" t="str">
        <f t="shared" si="342"/>
        <v>NÃO</v>
      </c>
      <c r="B947" s="2" t="str">
        <f>_xlfn.XLOOKUP($N947,'Base de Grupos'!$A:$A,'Base de Grupos'!$D:$D)</f>
        <v>1000065763</v>
      </c>
      <c r="C947" s="5" t="str">
        <f>_xlfn.XLOOKUP($N947,'Base de Grupos'!$A:$A,'Base de Grupos'!$E:$E)</f>
        <v>CANAL VENDA INTERNA</v>
      </c>
      <c r="D947" s="5" t="str">
        <f>_xlfn.XLOOKUP($N947,'Base de Grupos'!$A:$A,'Base de Grupos'!$F:$F)</f>
        <v>1000065763</v>
      </c>
      <c r="E947" s="2" t="str">
        <f>_xlfn.XLOOKUP($N947,'Base de Grupos'!$A:$A,'Base de Grupos'!$G:$G)</f>
        <v>CANAL VENDA INTERNA</v>
      </c>
      <c r="F947" s="2" t="str">
        <f>_xlfn.XLOOKUP($N947,'Base de Grupos'!$A:$A,'Base de Grupos'!$H:$H)</f>
        <v>1000174119</v>
      </c>
      <c r="G947" s="5" t="str">
        <f>_xlfn.XLOOKUP($N947,'Base de Grupos'!$A:$A,'Base de Grupos'!$I:$I)</f>
        <v>REGIONAL VENDA INTERNA - CONVENIENCIA</v>
      </c>
      <c r="H947" s="5" t="str">
        <f>_xlfn.XLOOKUP($N947,'Base de Grupos'!$A:$A,'Base de Grupos'!$J:$J)</f>
        <v>1000174119</v>
      </c>
      <c r="I947" s="2" t="str">
        <f>_xlfn.XLOOKUP($N947,'Base de Grupos'!$A:$A,'Base de Grupos'!$K:$K)</f>
        <v>REGIONAL VENDA INTERNA - CONVENIENCIA</v>
      </c>
      <c r="J947" s="2" t="str">
        <f>_xlfn.XLOOKUP($N947,'Base de Grupos'!$A:$A,'Base de Grupos'!$L:$L)</f>
        <v>1000174119</v>
      </c>
      <c r="K947" s="5" t="str">
        <f>_xlfn.XLOOKUP($N947,'Base de Grupos'!$A:$A,'Base de Grupos'!$M:$M)</f>
        <v>REGIONAL VENDA INTERNA - CONVENIENCIA</v>
      </c>
      <c r="L947" s="5" t="str">
        <f t="shared" si="343"/>
        <v/>
      </c>
      <c r="M947" s="5" t="str">
        <f>_xlfn.XLOOKUP($N947,'Base de Grupos'!$A:$A,'Base de Grupos'!$C:$C)</f>
        <v>AM</v>
      </c>
      <c r="N947" s="3">
        <v>1517</v>
      </c>
      <c r="O947" s="4" t="s">
        <v>276</v>
      </c>
      <c r="P947" s="5" t="s">
        <v>86</v>
      </c>
      <c r="Q947" s="24">
        <v>0</v>
      </c>
      <c r="R947" s="24">
        <v>0</v>
      </c>
      <c r="S947" s="24">
        <v>0</v>
      </c>
      <c r="T947" s="24">
        <v>0</v>
      </c>
      <c r="U947" s="24">
        <v>0</v>
      </c>
      <c r="V947" s="24">
        <v>0</v>
      </c>
      <c r="W947" s="24">
        <v>0</v>
      </c>
      <c r="X947" s="24">
        <v>0</v>
      </c>
      <c r="Y947" s="24">
        <v>0</v>
      </c>
      <c r="Z947" s="24">
        <v>0</v>
      </c>
      <c r="AA947" s="24">
        <v>0</v>
      </c>
      <c r="AB947" s="24">
        <v>0</v>
      </c>
      <c r="AC947" s="30">
        <f t="shared" si="344"/>
        <v>0</v>
      </c>
      <c r="AD947" s="28"/>
      <c r="AE947" s="12"/>
      <c r="AF947" s="29"/>
      <c r="AG947" s="9"/>
      <c r="AH947" s="10"/>
      <c r="AI947" s="9"/>
      <c r="AJ947" s="11"/>
      <c r="AK947" s="9"/>
      <c r="AL947" s="13"/>
      <c r="AM947" s="9"/>
    </row>
    <row r="948" spans="1:39" x14ac:dyDescent="0.3">
      <c r="A948" s="2" t="str">
        <f t="shared" si="342"/>
        <v>NÃO</v>
      </c>
      <c r="B948" s="2" t="str">
        <f>_xlfn.XLOOKUP($N948,'Base de Grupos'!$A:$A,'Base de Grupos'!$D:$D)</f>
        <v>1000065763</v>
      </c>
      <c r="C948" s="5" t="str">
        <f>_xlfn.XLOOKUP($N948,'Base de Grupos'!$A:$A,'Base de Grupos'!$E:$E)</f>
        <v>CANAL VENDA INTERNA</v>
      </c>
      <c r="D948" s="5" t="str">
        <f>_xlfn.XLOOKUP($N948,'Base de Grupos'!$A:$A,'Base de Grupos'!$F:$F)</f>
        <v>1000065763</v>
      </c>
      <c r="E948" s="2" t="str">
        <f>_xlfn.XLOOKUP($N948,'Base de Grupos'!$A:$A,'Base de Grupos'!$G:$G)</f>
        <v>CANAL VENDA INTERNA</v>
      </c>
      <c r="F948" s="2" t="str">
        <f>_xlfn.XLOOKUP($N948,'Base de Grupos'!$A:$A,'Base de Grupos'!$H:$H)</f>
        <v>1000174119</v>
      </c>
      <c r="G948" s="5" t="str">
        <f>_xlfn.XLOOKUP($N948,'Base de Grupos'!$A:$A,'Base de Grupos'!$I:$I)</f>
        <v>REGIONAL VENDA INTERNA - CONVENIENCIA</v>
      </c>
      <c r="H948" s="5" t="str">
        <f>_xlfn.XLOOKUP($N948,'Base de Grupos'!$A:$A,'Base de Grupos'!$J:$J)</f>
        <v>1000174119</v>
      </c>
      <c r="I948" s="2" t="str">
        <f>_xlfn.XLOOKUP($N948,'Base de Grupos'!$A:$A,'Base de Grupos'!$K:$K)</f>
        <v>REGIONAL VENDA INTERNA - CONVENIENCIA</v>
      </c>
      <c r="J948" s="2" t="str">
        <f>_xlfn.XLOOKUP($N948,'Base de Grupos'!$A:$A,'Base de Grupos'!$L:$L)</f>
        <v>1000174119</v>
      </c>
      <c r="K948" s="5" t="str">
        <f>_xlfn.XLOOKUP($N948,'Base de Grupos'!$A:$A,'Base de Grupos'!$M:$M)</f>
        <v>REGIONAL VENDA INTERNA - CONVENIENCIA</v>
      </c>
      <c r="L948" s="5" t="str">
        <f t="shared" si="343"/>
        <v/>
      </c>
      <c r="M948" s="5" t="str">
        <f>_xlfn.XLOOKUP($N948,'Base de Grupos'!$A:$A,'Base de Grupos'!$C:$C)</f>
        <v>AM</v>
      </c>
      <c r="N948" s="3">
        <v>1517</v>
      </c>
      <c r="O948" s="4" t="s">
        <v>276</v>
      </c>
      <c r="P948" s="5" t="s">
        <v>108</v>
      </c>
      <c r="Q948" s="24">
        <v>0</v>
      </c>
      <c r="R948" s="24">
        <v>0</v>
      </c>
      <c r="S948" s="24">
        <v>0</v>
      </c>
      <c r="T948" s="24">
        <v>0</v>
      </c>
      <c r="U948" s="24">
        <v>0</v>
      </c>
      <c r="V948" s="24">
        <v>0</v>
      </c>
      <c r="W948" s="24">
        <v>0</v>
      </c>
      <c r="X948" s="24">
        <v>0</v>
      </c>
      <c r="Y948" s="24">
        <v>0</v>
      </c>
      <c r="Z948" s="24">
        <v>0</v>
      </c>
      <c r="AA948" s="24">
        <v>0</v>
      </c>
      <c r="AB948" s="24">
        <v>0</v>
      </c>
      <c r="AC948" s="30">
        <f t="shared" si="344"/>
        <v>0</v>
      </c>
      <c r="AD948" s="28"/>
      <c r="AE948" s="12"/>
      <c r="AF948" s="29"/>
      <c r="AG948" s="9"/>
      <c r="AH948" s="10"/>
      <c r="AI948" s="9"/>
      <c r="AJ948" s="11"/>
      <c r="AK948" s="9"/>
      <c r="AL948" s="13"/>
      <c r="AM948" s="9"/>
    </row>
    <row r="949" spans="1:39" x14ac:dyDescent="0.3">
      <c r="A949" s="2" t="str">
        <f t="shared" si="342"/>
        <v>NÃO</v>
      </c>
      <c r="B949" s="2" t="str">
        <f>_xlfn.XLOOKUP($N949,'Base de Grupos'!$A:$A,'Base de Grupos'!$D:$D)</f>
        <v>1000065763</v>
      </c>
      <c r="C949" s="5" t="str">
        <f>_xlfn.XLOOKUP($N949,'Base de Grupos'!$A:$A,'Base de Grupos'!$E:$E)</f>
        <v>CANAL VENDA INTERNA</v>
      </c>
      <c r="D949" s="5" t="str">
        <f>_xlfn.XLOOKUP($N949,'Base de Grupos'!$A:$A,'Base de Grupos'!$F:$F)</f>
        <v>1000065763</v>
      </c>
      <c r="E949" s="2" t="str">
        <f>_xlfn.XLOOKUP($N949,'Base de Grupos'!$A:$A,'Base de Grupos'!$G:$G)</f>
        <v>CANAL VENDA INTERNA</v>
      </c>
      <c r="F949" s="2" t="str">
        <f>_xlfn.XLOOKUP($N949,'Base de Grupos'!$A:$A,'Base de Grupos'!$H:$H)</f>
        <v>1000174119</v>
      </c>
      <c r="G949" s="5" t="str">
        <f>_xlfn.XLOOKUP($N949,'Base de Grupos'!$A:$A,'Base de Grupos'!$I:$I)</f>
        <v>REGIONAL VENDA INTERNA - CONVENIENCIA</v>
      </c>
      <c r="H949" s="5" t="str">
        <f>_xlfn.XLOOKUP($N949,'Base de Grupos'!$A:$A,'Base de Grupos'!$J:$J)</f>
        <v>1000174119</v>
      </c>
      <c r="I949" s="2" t="str">
        <f>_xlfn.XLOOKUP($N949,'Base de Grupos'!$A:$A,'Base de Grupos'!$K:$K)</f>
        <v>REGIONAL VENDA INTERNA - CONVENIENCIA</v>
      </c>
      <c r="J949" s="2" t="str">
        <f>_xlfn.XLOOKUP($N949,'Base de Grupos'!$A:$A,'Base de Grupos'!$L:$L)</f>
        <v>1000174119</v>
      </c>
      <c r="K949" s="5" t="str">
        <f>_xlfn.XLOOKUP($N949,'Base de Grupos'!$A:$A,'Base de Grupos'!$M:$M)</f>
        <v>REGIONAL VENDA INTERNA - CONVENIENCIA</v>
      </c>
      <c r="L949" s="5" t="str">
        <f t="shared" si="343"/>
        <v/>
      </c>
      <c r="M949" s="5" t="str">
        <f>_xlfn.XLOOKUP($N949,'Base de Grupos'!$A:$A,'Base de Grupos'!$C:$C)</f>
        <v>AM</v>
      </c>
      <c r="N949" s="3">
        <v>1517</v>
      </c>
      <c r="O949" s="4" t="s">
        <v>276</v>
      </c>
      <c r="P949" s="5" t="s">
        <v>89</v>
      </c>
      <c r="Q949" s="24">
        <v>0</v>
      </c>
      <c r="R949" s="24">
        <v>0</v>
      </c>
      <c r="S949" s="24">
        <v>0</v>
      </c>
      <c r="T949" s="24">
        <v>0</v>
      </c>
      <c r="U949" s="24">
        <v>0</v>
      </c>
      <c r="V949" s="24">
        <v>0</v>
      </c>
      <c r="W949" s="24">
        <v>0</v>
      </c>
      <c r="X949" s="24">
        <v>0</v>
      </c>
      <c r="Y949" s="24">
        <v>0</v>
      </c>
      <c r="Z949" s="24">
        <v>0</v>
      </c>
      <c r="AA949" s="24">
        <v>0</v>
      </c>
      <c r="AB949" s="24">
        <v>0</v>
      </c>
      <c r="AC949" s="30">
        <f t="shared" si="344"/>
        <v>0</v>
      </c>
      <c r="AD949" s="28"/>
      <c r="AE949" s="12"/>
      <c r="AF949" s="29"/>
      <c r="AG949" s="9"/>
      <c r="AH949" s="10"/>
      <c r="AI949" s="9"/>
      <c r="AJ949" s="11"/>
      <c r="AK949" s="9"/>
      <c r="AL949" s="13"/>
      <c r="AM949" s="9"/>
    </row>
    <row r="950" spans="1:39" x14ac:dyDescent="0.3">
      <c r="A950" s="2" t="str">
        <f t="shared" si="342"/>
        <v>NÃO</v>
      </c>
      <c r="B950" s="2" t="str">
        <f>_xlfn.XLOOKUP($N950,'Base de Grupos'!$A:$A,'Base de Grupos'!$D:$D)</f>
        <v>1000065763</v>
      </c>
      <c r="C950" s="5" t="str">
        <f>_xlfn.XLOOKUP($N950,'Base de Grupos'!$A:$A,'Base de Grupos'!$E:$E)</f>
        <v>CANAL VENDA INTERNA</v>
      </c>
      <c r="D950" s="5" t="str">
        <f>_xlfn.XLOOKUP($N950,'Base de Grupos'!$A:$A,'Base de Grupos'!$F:$F)</f>
        <v>1000065763</v>
      </c>
      <c r="E950" s="2" t="str">
        <f>_xlfn.XLOOKUP($N950,'Base de Grupos'!$A:$A,'Base de Grupos'!$G:$G)</f>
        <v>CANAL VENDA INTERNA</v>
      </c>
      <c r="F950" s="2" t="str">
        <f>_xlfn.XLOOKUP($N950,'Base de Grupos'!$A:$A,'Base de Grupos'!$H:$H)</f>
        <v>1000174119</v>
      </c>
      <c r="G950" s="5" t="str">
        <f>_xlfn.XLOOKUP($N950,'Base de Grupos'!$A:$A,'Base de Grupos'!$I:$I)</f>
        <v>REGIONAL VENDA INTERNA - CONVENIENCIA</v>
      </c>
      <c r="H950" s="5" t="str">
        <f>_xlfn.XLOOKUP($N950,'Base de Grupos'!$A:$A,'Base de Grupos'!$J:$J)</f>
        <v>1000174119</v>
      </c>
      <c r="I950" s="2" t="str">
        <f>_xlfn.XLOOKUP($N950,'Base de Grupos'!$A:$A,'Base de Grupos'!$K:$K)</f>
        <v>REGIONAL VENDA INTERNA - CONVENIENCIA</v>
      </c>
      <c r="J950" s="2" t="str">
        <f>_xlfn.XLOOKUP($N950,'Base de Grupos'!$A:$A,'Base de Grupos'!$L:$L)</f>
        <v>1000174119</v>
      </c>
      <c r="K950" s="5" t="str">
        <f>_xlfn.XLOOKUP($N950,'Base de Grupos'!$A:$A,'Base de Grupos'!$M:$M)</f>
        <v>REGIONAL VENDA INTERNA - CONVENIENCIA</v>
      </c>
      <c r="L950" s="5" t="str">
        <f t="shared" si="343"/>
        <v/>
      </c>
      <c r="M950" s="5" t="str">
        <f>_xlfn.XLOOKUP($N950,'Base de Grupos'!$A:$A,'Base de Grupos'!$C:$C)</f>
        <v>AM</v>
      </c>
      <c r="N950" s="3">
        <v>1517</v>
      </c>
      <c r="O950" s="4" t="s">
        <v>276</v>
      </c>
      <c r="P950" s="5" t="s">
        <v>88</v>
      </c>
      <c r="Q950" s="24">
        <v>0</v>
      </c>
      <c r="R950" s="24">
        <v>0</v>
      </c>
      <c r="S950" s="24">
        <v>0</v>
      </c>
      <c r="T950" s="24">
        <v>0</v>
      </c>
      <c r="U950" s="24">
        <v>0</v>
      </c>
      <c r="V950" s="24">
        <v>0</v>
      </c>
      <c r="W950" s="24">
        <v>0</v>
      </c>
      <c r="X950" s="24">
        <v>0</v>
      </c>
      <c r="Y950" s="24">
        <v>0</v>
      </c>
      <c r="Z950" s="24">
        <v>0</v>
      </c>
      <c r="AA950" s="24">
        <v>0</v>
      </c>
      <c r="AB950" s="24">
        <v>0</v>
      </c>
      <c r="AC950" s="30">
        <f t="shared" si="344"/>
        <v>0</v>
      </c>
      <c r="AD950" s="28"/>
      <c r="AE950" s="12"/>
      <c r="AF950" s="29"/>
      <c r="AG950" s="9"/>
      <c r="AH950" s="10"/>
      <c r="AI950" s="9"/>
      <c r="AJ950" s="11"/>
      <c r="AK950" s="9"/>
      <c r="AL950" s="13"/>
      <c r="AM950" s="9"/>
    </row>
    <row r="951" spans="1:39" x14ac:dyDescent="0.3">
      <c r="A951" s="2" t="str">
        <f t="shared" si="342"/>
        <v>NÃO</v>
      </c>
      <c r="B951" s="2" t="str">
        <f>_xlfn.XLOOKUP($N951,'Base de Grupos'!$A:$A,'Base de Grupos'!$D:$D)</f>
        <v>1000065763</v>
      </c>
      <c r="C951" s="5" t="str">
        <f>_xlfn.XLOOKUP($N951,'Base de Grupos'!$A:$A,'Base de Grupos'!$E:$E)</f>
        <v>CANAL VENDA INTERNA</v>
      </c>
      <c r="D951" s="5" t="str">
        <f>_xlfn.XLOOKUP($N951,'Base de Grupos'!$A:$A,'Base de Grupos'!$F:$F)</f>
        <v>1000065763</v>
      </c>
      <c r="E951" s="2" t="str">
        <f>_xlfn.XLOOKUP($N951,'Base de Grupos'!$A:$A,'Base de Grupos'!$G:$G)</f>
        <v>CANAL VENDA INTERNA</v>
      </c>
      <c r="F951" s="2" t="str">
        <f>_xlfn.XLOOKUP($N951,'Base de Grupos'!$A:$A,'Base de Grupos'!$H:$H)</f>
        <v>1000174119</v>
      </c>
      <c r="G951" s="5" t="str">
        <f>_xlfn.XLOOKUP($N951,'Base de Grupos'!$A:$A,'Base de Grupos'!$I:$I)</f>
        <v>REGIONAL VENDA INTERNA - CONVENIENCIA</v>
      </c>
      <c r="H951" s="5" t="str">
        <f>_xlfn.XLOOKUP($N951,'Base de Grupos'!$A:$A,'Base de Grupos'!$J:$J)</f>
        <v>1000174119</v>
      </c>
      <c r="I951" s="2" t="str">
        <f>_xlfn.XLOOKUP($N951,'Base de Grupos'!$A:$A,'Base de Grupos'!$K:$K)</f>
        <v>REGIONAL VENDA INTERNA - CONVENIENCIA</v>
      </c>
      <c r="J951" s="2" t="str">
        <f>_xlfn.XLOOKUP($N951,'Base de Grupos'!$A:$A,'Base de Grupos'!$L:$L)</f>
        <v>1000174119</v>
      </c>
      <c r="K951" s="5" t="str">
        <f>_xlfn.XLOOKUP($N951,'Base de Grupos'!$A:$A,'Base de Grupos'!$M:$M)</f>
        <v>REGIONAL VENDA INTERNA - CONVENIENCIA</v>
      </c>
      <c r="L951" s="5" t="str">
        <f t="shared" si="343"/>
        <v/>
      </c>
      <c r="M951" s="5" t="str">
        <f>_xlfn.XLOOKUP($N951,'Base de Grupos'!$A:$A,'Base de Grupos'!$C:$C)</f>
        <v>AM</v>
      </c>
      <c r="N951" s="3">
        <v>1517</v>
      </c>
      <c r="O951" s="4" t="s">
        <v>276</v>
      </c>
      <c r="P951" s="5" t="s">
        <v>90</v>
      </c>
      <c r="Q951" s="24">
        <v>0</v>
      </c>
      <c r="R951" s="24">
        <v>0</v>
      </c>
      <c r="S951" s="24">
        <v>0</v>
      </c>
      <c r="T951" s="24">
        <v>0</v>
      </c>
      <c r="U951" s="24">
        <v>0</v>
      </c>
      <c r="V951" s="24">
        <v>0</v>
      </c>
      <c r="W951" s="24">
        <v>0</v>
      </c>
      <c r="X951" s="24">
        <v>0</v>
      </c>
      <c r="Y951" s="24">
        <v>0</v>
      </c>
      <c r="Z951" s="24">
        <v>0</v>
      </c>
      <c r="AA951" s="24">
        <v>0</v>
      </c>
      <c r="AB951" s="24">
        <v>0</v>
      </c>
      <c r="AC951" s="30">
        <f t="shared" si="344"/>
        <v>0</v>
      </c>
      <c r="AD951" s="28"/>
      <c r="AE951" s="12"/>
      <c r="AF951" s="29"/>
      <c r="AG951" s="9"/>
      <c r="AH951" s="10"/>
      <c r="AI951" s="9"/>
      <c r="AJ951" s="11"/>
      <c r="AK951" s="9"/>
      <c r="AL951" s="13"/>
      <c r="AM951" s="9"/>
    </row>
    <row r="952" spans="1:39" x14ac:dyDescent="0.3">
      <c r="A952" s="2" t="str">
        <f t="shared" si="342"/>
        <v>NÃO</v>
      </c>
      <c r="B952" s="2" t="str">
        <f>_xlfn.XLOOKUP($N952,'Base de Grupos'!$A:$A,'Base de Grupos'!$D:$D)</f>
        <v>1000065763</v>
      </c>
      <c r="C952" s="5" t="str">
        <f>_xlfn.XLOOKUP($N952,'Base de Grupos'!$A:$A,'Base de Grupos'!$E:$E)</f>
        <v>CANAL VENDA INTERNA</v>
      </c>
      <c r="D952" s="5" t="str">
        <f>_xlfn.XLOOKUP($N952,'Base de Grupos'!$A:$A,'Base de Grupos'!$F:$F)</f>
        <v>1000065763</v>
      </c>
      <c r="E952" s="2" t="str">
        <f>_xlfn.XLOOKUP($N952,'Base de Grupos'!$A:$A,'Base de Grupos'!$G:$G)</f>
        <v>CANAL VENDA INTERNA</v>
      </c>
      <c r="F952" s="2" t="str">
        <f>_xlfn.XLOOKUP($N952,'Base de Grupos'!$A:$A,'Base de Grupos'!$H:$H)</f>
        <v>1000174119</v>
      </c>
      <c r="G952" s="5" t="str">
        <f>_xlfn.XLOOKUP($N952,'Base de Grupos'!$A:$A,'Base de Grupos'!$I:$I)</f>
        <v>REGIONAL VENDA INTERNA - CONVENIENCIA</v>
      </c>
      <c r="H952" s="5" t="str">
        <f>_xlfn.XLOOKUP($N952,'Base de Grupos'!$A:$A,'Base de Grupos'!$J:$J)</f>
        <v>1000174119</v>
      </c>
      <c r="I952" s="2" t="str">
        <f>_xlfn.XLOOKUP($N952,'Base de Grupos'!$A:$A,'Base de Grupos'!$K:$K)</f>
        <v>REGIONAL VENDA INTERNA - CONVENIENCIA</v>
      </c>
      <c r="J952" s="2" t="str">
        <f>_xlfn.XLOOKUP($N952,'Base de Grupos'!$A:$A,'Base de Grupos'!$L:$L)</f>
        <v>1000174119</v>
      </c>
      <c r="K952" s="5" t="str">
        <f>_xlfn.XLOOKUP($N952,'Base de Grupos'!$A:$A,'Base de Grupos'!$M:$M)</f>
        <v>REGIONAL VENDA INTERNA - CONVENIENCIA</v>
      </c>
      <c r="L952" s="5" t="str">
        <f t="shared" si="343"/>
        <v/>
      </c>
      <c r="M952" s="5" t="str">
        <f>_xlfn.XLOOKUP($N952,'Base de Grupos'!$A:$A,'Base de Grupos'!$C:$C)</f>
        <v>AM</v>
      </c>
      <c r="N952" s="3">
        <v>1517</v>
      </c>
      <c r="O952" s="4" t="s">
        <v>276</v>
      </c>
      <c r="P952" s="5" t="s">
        <v>91</v>
      </c>
      <c r="Q952" s="24">
        <v>0</v>
      </c>
      <c r="R952" s="24">
        <v>0</v>
      </c>
      <c r="S952" s="24">
        <v>0</v>
      </c>
      <c r="T952" s="24">
        <v>0</v>
      </c>
      <c r="U952" s="24">
        <v>0</v>
      </c>
      <c r="V952" s="24">
        <v>0</v>
      </c>
      <c r="W952" s="24">
        <v>0</v>
      </c>
      <c r="X952" s="24">
        <v>0</v>
      </c>
      <c r="Y952" s="24">
        <v>0</v>
      </c>
      <c r="Z952" s="24">
        <v>0</v>
      </c>
      <c r="AA952" s="24">
        <v>0</v>
      </c>
      <c r="AB952" s="24">
        <v>0</v>
      </c>
      <c r="AC952" s="30">
        <f t="shared" si="344"/>
        <v>0</v>
      </c>
      <c r="AD952" s="28"/>
      <c r="AE952" s="12"/>
      <c r="AF952" s="29"/>
      <c r="AG952" s="9"/>
      <c r="AH952" s="10"/>
      <c r="AI952" s="9"/>
      <c r="AJ952" s="11"/>
      <c r="AK952" s="9"/>
      <c r="AL952" s="13"/>
      <c r="AM952" s="9"/>
    </row>
    <row r="953" spans="1:39" x14ac:dyDescent="0.3">
      <c r="A953" s="2" t="str">
        <f t="shared" si="342"/>
        <v>NÃO</v>
      </c>
      <c r="B953" s="2" t="str">
        <f>_xlfn.XLOOKUP($N953,'Base de Grupos'!$A:$A,'Base de Grupos'!$D:$D)</f>
        <v>1000065763</v>
      </c>
      <c r="C953" s="5" t="str">
        <f>_xlfn.XLOOKUP($N953,'Base de Grupos'!$A:$A,'Base de Grupos'!$E:$E)</f>
        <v>CANAL VENDA INTERNA</v>
      </c>
      <c r="D953" s="5" t="str">
        <f>_xlfn.XLOOKUP($N953,'Base de Grupos'!$A:$A,'Base de Grupos'!$F:$F)</f>
        <v>1000065763</v>
      </c>
      <c r="E953" s="2" t="str">
        <f>_xlfn.XLOOKUP($N953,'Base de Grupos'!$A:$A,'Base de Grupos'!$G:$G)</f>
        <v>CANAL VENDA INTERNA</v>
      </c>
      <c r="F953" s="2" t="str">
        <f>_xlfn.XLOOKUP($N953,'Base de Grupos'!$A:$A,'Base de Grupos'!$H:$H)</f>
        <v>1000174119</v>
      </c>
      <c r="G953" s="5" t="str">
        <f>_xlfn.XLOOKUP($N953,'Base de Grupos'!$A:$A,'Base de Grupos'!$I:$I)</f>
        <v>REGIONAL VENDA INTERNA - CONVENIENCIA</v>
      </c>
      <c r="H953" s="5" t="str">
        <f>_xlfn.XLOOKUP($N953,'Base de Grupos'!$A:$A,'Base de Grupos'!$J:$J)</f>
        <v>1000174119</v>
      </c>
      <c r="I953" s="2" t="str">
        <f>_xlfn.XLOOKUP($N953,'Base de Grupos'!$A:$A,'Base de Grupos'!$K:$K)</f>
        <v>REGIONAL VENDA INTERNA - CONVENIENCIA</v>
      </c>
      <c r="J953" s="2" t="str">
        <f>_xlfn.XLOOKUP($N953,'Base de Grupos'!$A:$A,'Base de Grupos'!$L:$L)</f>
        <v>1000174119</v>
      </c>
      <c r="K953" s="5" t="str">
        <f>_xlfn.XLOOKUP($N953,'Base de Grupos'!$A:$A,'Base de Grupos'!$M:$M)</f>
        <v>REGIONAL VENDA INTERNA - CONVENIENCIA</v>
      </c>
      <c r="L953" s="5" t="str">
        <f t="shared" si="343"/>
        <v/>
      </c>
      <c r="M953" s="5" t="str">
        <f>_xlfn.XLOOKUP($N953,'Base de Grupos'!$A:$A,'Base de Grupos'!$C:$C)</f>
        <v>AM</v>
      </c>
      <c r="N953" s="3">
        <v>1517</v>
      </c>
      <c r="O953" s="4" t="s">
        <v>276</v>
      </c>
      <c r="P953" s="5" t="s">
        <v>96</v>
      </c>
      <c r="Q953" s="24">
        <v>0</v>
      </c>
      <c r="R953" s="24">
        <v>0</v>
      </c>
      <c r="S953" s="24">
        <v>0</v>
      </c>
      <c r="T953" s="24">
        <v>0</v>
      </c>
      <c r="U953" s="24">
        <v>0</v>
      </c>
      <c r="V953" s="24">
        <v>0</v>
      </c>
      <c r="W953" s="24">
        <v>0</v>
      </c>
      <c r="X953" s="24">
        <v>0</v>
      </c>
      <c r="Y953" s="24">
        <v>0</v>
      </c>
      <c r="Z953" s="24">
        <v>0</v>
      </c>
      <c r="AA953" s="24">
        <v>0</v>
      </c>
      <c r="AB953" s="24">
        <v>0</v>
      </c>
      <c r="AC953" s="30">
        <f t="shared" si="344"/>
        <v>0</v>
      </c>
      <c r="AD953" s="28"/>
      <c r="AE953" s="12"/>
      <c r="AF953" s="29"/>
      <c r="AG953" s="9"/>
      <c r="AH953" s="10"/>
      <c r="AI953" s="9"/>
      <c r="AJ953" s="11"/>
      <c r="AK953" s="9"/>
      <c r="AL953" s="13"/>
      <c r="AM953" s="9"/>
    </row>
    <row r="954" spans="1:39" x14ac:dyDescent="0.3">
      <c r="A954" s="2" t="str">
        <f t="shared" si="342"/>
        <v>NÃO</v>
      </c>
      <c r="B954" s="2" t="str">
        <f>_xlfn.XLOOKUP($N954,'Base de Grupos'!$A:$A,'Base de Grupos'!$D:$D)</f>
        <v>1000065763</v>
      </c>
      <c r="C954" s="5" t="str">
        <f>_xlfn.XLOOKUP($N954,'Base de Grupos'!$A:$A,'Base de Grupos'!$E:$E)</f>
        <v>CANAL VENDA INTERNA</v>
      </c>
      <c r="D954" s="5" t="str">
        <f>_xlfn.XLOOKUP($N954,'Base de Grupos'!$A:$A,'Base de Grupos'!$F:$F)</f>
        <v>1000065763</v>
      </c>
      <c r="E954" s="2" t="str">
        <f>_xlfn.XLOOKUP($N954,'Base de Grupos'!$A:$A,'Base de Grupos'!$G:$G)</f>
        <v>CANAL VENDA INTERNA</v>
      </c>
      <c r="F954" s="2" t="str">
        <f>_xlfn.XLOOKUP($N954,'Base de Grupos'!$A:$A,'Base de Grupos'!$H:$H)</f>
        <v>1000174119</v>
      </c>
      <c r="G954" s="5" t="str">
        <f>_xlfn.XLOOKUP($N954,'Base de Grupos'!$A:$A,'Base de Grupos'!$I:$I)</f>
        <v>REGIONAL VENDA INTERNA - CONVENIENCIA</v>
      </c>
      <c r="H954" s="5" t="str">
        <f>_xlfn.XLOOKUP($N954,'Base de Grupos'!$A:$A,'Base de Grupos'!$J:$J)</f>
        <v>1000174119</v>
      </c>
      <c r="I954" s="2" t="str">
        <f>_xlfn.XLOOKUP($N954,'Base de Grupos'!$A:$A,'Base de Grupos'!$K:$K)</f>
        <v>REGIONAL VENDA INTERNA - CONVENIENCIA</v>
      </c>
      <c r="J954" s="2" t="str">
        <f>_xlfn.XLOOKUP($N954,'Base de Grupos'!$A:$A,'Base de Grupos'!$L:$L)</f>
        <v>1000174119</v>
      </c>
      <c r="K954" s="5" t="str">
        <f>_xlfn.XLOOKUP($N954,'Base de Grupos'!$A:$A,'Base de Grupos'!$M:$M)</f>
        <v>REGIONAL VENDA INTERNA - CONVENIENCIA</v>
      </c>
      <c r="L954" s="5" t="str">
        <f t="shared" si="343"/>
        <v/>
      </c>
      <c r="M954" s="5" t="str">
        <f>_xlfn.XLOOKUP($N954,'Base de Grupos'!$A:$A,'Base de Grupos'!$C:$C)</f>
        <v>AM</v>
      </c>
      <c r="N954" s="3">
        <v>1517</v>
      </c>
      <c r="O954" s="4" t="s">
        <v>276</v>
      </c>
      <c r="P954" s="5" t="s">
        <v>94</v>
      </c>
      <c r="Q954" s="24">
        <v>0</v>
      </c>
      <c r="R954" s="24">
        <v>0</v>
      </c>
      <c r="S954" s="24">
        <v>0</v>
      </c>
      <c r="T954" s="24">
        <v>0</v>
      </c>
      <c r="U954" s="24">
        <v>0</v>
      </c>
      <c r="V954" s="24">
        <v>0</v>
      </c>
      <c r="W954" s="24">
        <v>0</v>
      </c>
      <c r="X954" s="24">
        <v>0</v>
      </c>
      <c r="Y954" s="24">
        <v>0</v>
      </c>
      <c r="Z954" s="24">
        <v>0</v>
      </c>
      <c r="AA954" s="24">
        <v>0</v>
      </c>
      <c r="AB954" s="24">
        <v>0</v>
      </c>
      <c r="AC954" s="30">
        <f t="shared" si="344"/>
        <v>0</v>
      </c>
      <c r="AD954" s="28"/>
      <c r="AE954" s="12"/>
      <c r="AF954" s="29"/>
      <c r="AG954" s="9"/>
      <c r="AH954" s="10"/>
      <c r="AI954" s="9"/>
      <c r="AJ954" s="11"/>
      <c r="AK954" s="9"/>
      <c r="AL954" s="13"/>
      <c r="AM954" s="9"/>
    </row>
    <row r="955" spans="1:39" x14ac:dyDescent="0.3">
      <c r="A955" s="2" t="str">
        <f t="shared" si="342"/>
        <v>NÃO</v>
      </c>
      <c r="B955" s="2" t="str">
        <f>_xlfn.XLOOKUP($N955,'Base de Grupos'!$A:$A,'Base de Grupos'!$D:$D)</f>
        <v>1000065763</v>
      </c>
      <c r="C955" s="5" t="str">
        <f>_xlfn.XLOOKUP($N955,'Base de Grupos'!$A:$A,'Base de Grupos'!$E:$E)</f>
        <v>CANAL VENDA INTERNA</v>
      </c>
      <c r="D955" s="5" t="str">
        <f>_xlfn.XLOOKUP($N955,'Base de Grupos'!$A:$A,'Base de Grupos'!$F:$F)</f>
        <v>1000065763</v>
      </c>
      <c r="E955" s="2" t="str">
        <f>_xlfn.XLOOKUP($N955,'Base de Grupos'!$A:$A,'Base de Grupos'!$G:$G)</f>
        <v>CANAL VENDA INTERNA</v>
      </c>
      <c r="F955" s="2" t="str">
        <f>_xlfn.XLOOKUP($N955,'Base de Grupos'!$A:$A,'Base de Grupos'!$H:$H)</f>
        <v>1000174119</v>
      </c>
      <c r="G955" s="5" t="str">
        <f>_xlfn.XLOOKUP($N955,'Base de Grupos'!$A:$A,'Base de Grupos'!$I:$I)</f>
        <v>REGIONAL VENDA INTERNA - CONVENIENCIA</v>
      </c>
      <c r="H955" s="5" t="str">
        <f>_xlfn.XLOOKUP($N955,'Base de Grupos'!$A:$A,'Base de Grupos'!$J:$J)</f>
        <v>1000174119</v>
      </c>
      <c r="I955" s="2" t="str">
        <f>_xlfn.XLOOKUP($N955,'Base de Grupos'!$A:$A,'Base de Grupos'!$K:$K)</f>
        <v>REGIONAL VENDA INTERNA - CONVENIENCIA</v>
      </c>
      <c r="J955" s="2" t="str">
        <f>_xlfn.XLOOKUP($N955,'Base de Grupos'!$A:$A,'Base de Grupos'!$L:$L)</f>
        <v>1000174119</v>
      </c>
      <c r="K955" s="5" t="str">
        <f>_xlfn.XLOOKUP($N955,'Base de Grupos'!$A:$A,'Base de Grupos'!$M:$M)</f>
        <v>REGIONAL VENDA INTERNA - CONVENIENCIA</v>
      </c>
      <c r="L955" s="5" t="str">
        <f t="shared" si="343"/>
        <v/>
      </c>
      <c r="M955" s="5" t="str">
        <f>_xlfn.XLOOKUP($N955,'Base de Grupos'!$A:$A,'Base de Grupos'!$C:$C)</f>
        <v>AM</v>
      </c>
      <c r="N955" s="3">
        <v>1517</v>
      </c>
      <c r="O955" s="4" t="s">
        <v>276</v>
      </c>
      <c r="P955" s="5" t="s">
        <v>95</v>
      </c>
      <c r="Q955" s="24">
        <v>0</v>
      </c>
      <c r="R955" s="24">
        <v>0</v>
      </c>
      <c r="S955" s="24">
        <v>0</v>
      </c>
      <c r="T955" s="24">
        <v>0</v>
      </c>
      <c r="U955" s="24">
        <v>0</v>
      </c>
      <c r="V955" s="24">
        <v>0</v>
      </c>
      <c r="W955" s="24">
        <v>0</v>
      </c>
      <c r="X955" s="24">
        <v>0</v>
      </c>
      <c r="Y955" s="24">
        <v>0</v>
      </c>
      <c r="Z955" s="24">
        <v>0</v>
      </c>
      <c r="AA955" s="24">
        <v>0</v>
      </c>
      <c r="AB955" s="24">
        <v>0</v>
      </c>
      <c r="AC955" s="30">
        <f t="shared" si="344"/>
        <v>0</v>
      </c>
      <c r="AD955" s="28"/>
      <c r="AE955" s="12"/>
      <c r="AF955" s="29"/>
      <c r="AG955" s="9"/>
      <c r="AH955" s="10"/>
      <c r="AI955" s="9"/>
      <c r="AJ955" s="11"/>
      <c r="AK955" s="9"/>
      <c r="AL955" s="13"/>
      <c r="AM955" s="9"/>
    </row>
    <row r="956" spans="1:39" x14ac:dyDescent="0.3">
      <c r="A956" s="2" t="str">
        <f t="shared" si="342"/>
        <v>NÃO</v>
      </c>
      <c r="B956" s="2" t="str">
        <f>_xlfn.XLOOKUP($N956,'Base de Grupos'!$A:$A,'Base de Grupos'!$D:$D)</f>
        <v>1000065763</v>
      </c>
      <c r="C956" s="5" t="str">
        <f>_xlfn.XLOOKUP($N956,'Base de Grupos'!$A:$A,'Base de Grupos'!$E:$E)</f>
        <v>CANAL VENDA INTERNA</v>
      </c>
      <c r="D956" s="5" t="str">
        <f>_xlfn.XLOOKUP($N956,'Base de Grupos'!$A:$A,'Base de Grupos'!$F:$F)</f>
        <v>1000065763</v>
      </c>
      <c r="E956" s="2" t="str">
        <f>_xlfn.XLOOKUP($N956,'Base de Grupos'!$A:$A,'Base de Grupos'!$G:$G)</f>
        <v>CANAL VENDA INTERNA</v>
      </c>
      <c r="F956" s="2" t="str">
        <f>_xlfn.XLOOKUP($N956,'Base de Grupos'!$A:$A,'Base de Grupos'!$H:$H)</f>
        <v>1000174119</v>
      </c>
      <c r="G956" s="5" t="str">
        <f>_xlfn.XLOOKUP($N956,'Base de Grupos'!$A:$A,'Base de Grupos'!$I:$I)</f>
        <v>REGIONAL VENDA INTERNA - CONVENIENCIA</v>
      </c>
      <c r="H956" s="5" t="str">
        <f>_xlfn.XLOOKUP($N956,'Base de Grupos'!$A:$A,'Base de Grupos'!$J:$J)</f>
        <v>1000174119</v>
      </c>
      <c r="I956" s="2" t="str">
        <f>_xlfn.XLOOKUP($N956,'Base de Grupos'!$A:$A,'Base de Grupos'!$K:$K)</f>
        <v>REGIONAL VENDA INTERNA - CONVENIENCIA</v>
      </c>
      <c r="J956" s="2" t="str">
        <f>_xlfn.XLOOKUP($N956,'Base de Grupos'!$A:$A,'Base de Grupos'!$L:$L)</f>
        <v>1000174119</v>
      </c>
      <c r="K956" s="5" t="str">
        <f>_xlfn.XLOOKUP($N956,'Base de Grupos'!$A:$A,'Base de Grupos'!$M:$M)</f>
        <v>REGIONAL VENDA INTERNA - CONVENIENCIA</v>
      </c>
      <c r="L956" s="5" t="str">
        <f t="shared" si="343"/>
        <v/>
      </c>
      <c r="M956" s="5" t="str">
        <f>_xlfn.XLOOKUP($N956,'Base de Grupos'!$A:$A,'Base de Grupos'!$C:$C)</f>
        <v>AM</v>
      </c>
      <c r="N956" s="3">
        <v>1517</v>
      </c>
      <c r="O956" s="4" t="s">
        <v>276</v>
      </c>
      <c r="P956" s="5" t="s">
        <v>93</v>
      </c>
      <c r="Q956" s="24">
        <v>0</v>
      </c>
      <c r="R956" s="24">
        <v>0</v>
      </c>
      <c r="S956" s="24">
        <v>0</v>
      </c>
      <c r="T956" s="24">
        <v>0</v>
      </c>
      <c r="U956" s="24">
        <v>0</v>
      </c>
      <c r="V956" s="24">
        <v>0</v>
      </c>
      <c r="W956" s="24">
        <v>0</v>
      </c>
      <c r="X956" s="24">
        <v>0</v>
      </c>
      <c r="Y956" s="24">
        <v>0</v>
      </c>
      <c r="Z956" s="24">
        <v>0</v>
      </c>
      <c r="AA956" s="24">
        <v>0</v>
      </c>
      <c r="AB956" s="24">
        <v>0</v>
      </c>
      <c r="AC956" s="30">
        <f t="shared" si="344"/>
        <v>0</v>
      </c>
      <c r="AD956" s="28"/>
      <c r="AE956" s="12"/>
      <c r="AF956" s="29"/>
      <c r="AG956" s="9"/>
      <c r="AH956" s="10"/>
      <c r="AI956" s="9"/>
      <c r="AJ956" s="11"/>
      <c r="AK956" s="9"/>
      <c r="AL956" s="13"/>
      <c r="AM956" s="9"/>
    </row>
    <row r="957" spans="1:39" x14ac:dyDescent="0.3">
      <c r="A957" s="2" t="str">
        <f t="shared" si="342"/>
        <v>SIM</v>
      </c>
      <c r="B957" s="2" t="str">
        <f>_xlfn.XLOOKUP($N957,'Base de Grupos'!$A:$A,'Base de Grupos'!$D:$D)</f>
        <v>1000065763</v>
      </c>
      <c r="C957" s="5" t="str">
        <f>_xlfn.XLOOKUP($N957,'Base de Grupos'!$A:$A,'Base de Grupos'!$E:$E)</f>
        <v>CANAL VENDA INTERNA</v>
      </c>
      <c r="D957" s="5" t="str">
        <f>_xlfn.XLOOKUP($N957,'Base de Grupos'!$A:$A,'Base de Grupos'!$F:$F)</f>
        <v>1000065763</v>
      </c>
      <c r="E957" s="2" t="str">
        <f>_xlfn.XLOOKUP($N957,'Base de Grupos'!$A:$A,'Base de Grupos'!$G:$G)</f>
        <v>CANAL VENDA INTERNA</v>
      </c>
      <c r="F957" s="2" t="str">
        <f>_xlfn.XLOOKUP($N957,'Base de Grupos'!$A:$A,'Base de Grupos'!$H:$H)</f>
        <v>1000174119</v>
      </c>
      <c r="G957" s="5" t="str">
        <f>_xlfn.XLOOKUP($N957,'Base de Grupos'!$A:$A,'Base de Grupos'!$I:$I)</f>
        <v>REGIONAL VENDA INTERNA - CONVENIENCIA</v>
      </c>
      <c r="H957" s="5" t="str">
        <f>_xlfn.XLOOKUP($N957,'Base de Grupos'!$A:$A,'Base de Grupos'!$J:$J)</f>
        <v>1000174119</v>
      </c>
      <c r="I957" s="2" t="str">
        <f>_xlfn.XLOOKUP($N957,'Base de Grupos'!$A:$A,'Base de Grupos'!$K:$K)</f>
        <v>REGIONAL VENDA INTERNA - CONVENIENCIA</v>
      </c>
      <c r="J957" s="2" t="str">
        <f>_xlfn.XLOOKUP($N957,'Base de Grupos'!$A:$A,'Base de Grupos'!$L:$L)</f>
        <v>1000174119</v>
      </c>
      <c r="K957" s="5" t="str">
        <f>_xlfn.XLOOKUP($N957,'Base de Grupos'!$A:$A,'Base de Grupos'!$M:$M)</f>
        <v>REGIONAL VENDA INTERNA - CONVENIENCIA</v>
      </c>
      <c r="L957" s="5">
        <f t="shared" si="343"/>
        <v>1</v>
      </c>
      <c r="M957" s="5" t="str">
        <f>_xlfn.XLOOKUP($N957,'Base de Grupos'!$A:$A,'Base de Grupos'!$C:$C)</f>
        <v>DF</v>
      </c>
      <c r="N957" s="3">
        <v>1518</v>
      </c>
      <c r="O957" s="4" t="s">
        <v>277</v>
      </c>
      <c r="P957" s="5" t="s">
        <v>347</v>
      </c>
      <c r="Q957" s="24">
        <v>0</v>
      </c>
      <c r="R957" s="24">
        <v>0</v>
      </c>
      <c r="S957" s="24">
        <v>0</v>
      </c>
      <c r="T957" s="24">
        <v>0</v>
      </c>
      <c r="U957" s="24">
        <v>0</v>
      </c>
      <c r="V957" s="24">
        <v>0</v>
      </c>
      <c r="W957" s="24">
        <v>0</v>
      </c>
      <c r="X957" s="24">
        <v>0</v>
      </c>
      <c r="Y957" s="24">
        <v>0</v>
      </c>
      <c r="Z957" s="24">
        <v>0</v>
      </c>
      <c r="AA957" s="24">
        <v>0</v>
      </c>
      <c r="AB957" s="24">
        <v>0</v>
      </c>
      <c r="AC957" s="30">
        <f t="shared" si="344"/>
        <v>0</v>
      </c>
      <c r="AD957" s="28"/>
      <c r="AE957" s="12"/>
      <c r="AF957" s="29"/>
      <c r="AG957" s="9"/>
      <c r="AH957" s="10"/>
      <c r="AI957" s="9"/>
      <c r="AJ957" s="11"/>
      <c r="AK957" s="9"/>
      <c r="AL957" s="13"/>
      <c r="AM957" s="9"/>
    </row>
    <row r="958" spans="1:39" x14ac:dyDescent="0.3">
      <c r="A958" s="2" t="str">
        <f t="shared" si="342"/>
        <v>NÃO</v>
      </c>
      <c r="B958" s="2" t="str">
        <f>_xlfn.XLOOKUP($N958,'Base de Grupos'!$A:$A,'Base de Grupos'!$D:$D)</f>
        <v>1000065763</v>
      </c>
      <c r="C958" s="5" t="str">
        <f>_xlfn.XLOOKUP($N958,'Base de Grupos'!$A:$A,'Base de Grupos'!$E:$E)</f>
        <v>CANAL VENDA INTERNA</v>
      </c>
      <c r="D958" s="5" t="str">
        <f>_xlfn.XLOOKUP($N958,'Base de Grupos'!$A:$A,'Base de Grupos'!$F:$F)</f>
        <v>1000065763</v>
      </c>
      <c r="E958" s="2" t="str">
        <f>_xlfn.XLOOKUP($N958,'Base de Grupos'!$A:$A,'Base de Grupos'!$G:$G)</f>
        <v>CANAL VENDA INTERNA</v>
      </c>
      <c r="F958" s="2" t="str">
        <f>_xlfn.XLOOKUP($N958,'Base de Grupos'!$A:$A,'Base de Grupos'!$H:$H)</f>
        <v>1000174119</v>
      </c>
      <c r="G958" s="5" t="str">
        <f>_xlfn.XLOOKUP($N958,'Base de Grupos'!$A:$A,'Base de Grupos'!$I:$I)</f>
        <v>REGIONAL VENDA INTERNA - CONVENIENCIA</v>
      </c>
      <c r="H958" s="5" t="str">
        <f>_xlfn.XLOOKUP($N958,'Base de Grupos'!$A:$A,'Base de Grupos'!$J:$J)</f>
        <v>1000174119</v>
      </c>
      <c r="I958" s="2" t="str">
        <f>_xlfn.XLOOKUP($N958,'Base de Grupos'!$A:$A,'Base de Grupos'!$K:$K)</f>
        <v>REGIONAL VENDA INTERNA - CONVENIENCIA</v>
      </c>
      <c r="J958" s="2" t="str">
        <f>_xlfn.XLOOKUP($N958,'Base de Grupos'!$A:$A,'Base de Grupos'!$L:$L)</f>
        <v>1000174119</v>
      </c>
      <c r="K958" s="5" t="str">
        <f>_xlfn.XLOOKUP($N958,'Base de Grupos'!$A:$A,'Base de Grupos'!$M:$M)</f>
        <v>REGIONAL VENDA INTERNA - CONVENIENCIA</v>
      </c>
      <c r="L958" s="5" t="str">
        <f t="shared" si="343"/>
        <v/>
      </c>
      <c r="M958" s="5" t="str">
        <f>_xlfn.XLOOKUP($N958,'Base de Grupos'!$A:$A,'Base de Grupos'!$C:$C)</f>
        <v>DF</v>
      </c>
      <c r="N958" s="3">
        <v>1518</v>
      </c>
      <c r="O958" s="4" t="s">
        <v>277</v>
      </c>
      <c r="P958" s="5" t="s">
        <v>81</v>
      </c>
      <c r="Q958" s="24">
        <v>0</v>
      </c>
      <c r="R958" s="24">
        <v>0</v>
      </c>
      <c r="S958" s="24">
        <v>0</v>
      </c>
      <c r="T958" s="24">
        <v>0</v>
      </c>
      <c r="U958" s="24">
        <v>0</v>
      </c>
      <c r="V958" s="24">
        <v>0</v>
      </c>
      <c r="W958" s="24">
        <v>0</v>
      </c>
      <c r="X958" s="24">
        <v>0</v>
      </c>
      <c r="Y958" s="24">
        <v>0</v>
      </c>
      <c r="Z958" s="24">
        <v>0</v>
      </c>
      <c r="AA958" s="24">
        <v>0</v>
      </c>
      <c r="AB958" s="24">
        <v>0</v>
      </c>
      <c r="AC958" s="30">
        <f t="shared" si="344"/>
        <v>0</v>
      </c>
      <c r="AD958" s="28"/>
      <c r="AE958" s="12"/>
      <c r="AF958" s="29"/>
      <c r="AG958" s="9"/>
      <c r="AH958" s="10"/>
      <c r="AI958" s="9"/>
      <c r="AJ958" s="11"/>
      <c r="AK958" s="9"/>
      <c r="AL958" s="13"/>
      <c r="AM958" s="9"/>
    </row>
    <row r="959" spans="1:39" x14ac:dyDescent="0.3">
      <c r="A959" s="2" t="str">
        <f t="shared" si="342"/>
        <v>NÃO</v>
      </c>
      <c r="B959" s="2" t="str">
        <f>_xlfn.XLOOKUP($N959,'Base de Grupos'!$A:$A,'Base de Grupos'!$D:$D)</f>
        <v>1000065763</v>
      </c>
      <c r="C959" s="5" t="str">
        <f>_xlfn.XLOOKUP($N959,'Base de Grupos'!$A:$A,'Base de Grupos'!$E:$E)</f>
        <v>CANAL VENDA INTERNA</v>
      </c>
      <c r="D959" s="5" t="str">
        <f>_xlfn.XLOOKUP($N959,'Base de Grupos'!$A:$A,'Base de Grupos'!$F:$F)</f>
        <v>1000065763</v>
      </c>
      <c r="E959" s="2" t="str">
        <f>_xlfn.XLOOKUP($N959,'Base de Grupos'!$A:$A,'Base de Grupos'!$G:$G)</f>
        <v>CANAL VENDA INTERNA</v>
      </c>
      <c r="F959" s="2" t="str">
        <f>_xlfn.XLOOKUP($N959,'Base de Grupos'!$A:$A,'Base de Grupos'!$H:$H)</f>
        <v>1000174119</v>
      </c>
      <c r="G959" s="5" t="str">
        <f>_xlfn.XLOOKUP($N959,'Base de Grupos'!$A:$A,'Base de Grupos'!$I:$I)</f>
        <v>REGIONAL VENDA INTERNA - CONVENIENCIA</v>
      </c>
      <c r="H959" s="5" t="str">
        <f>_xlfn.XLOOKUP($N959,'Base de Grupos'!$A:$A,'Base de Grupos'!$J:$J)</f>
        <v>1000174119</v>
      </c>
      <c r="I959" s="2" t="str">
        <f>_xlfn.XLOOKUP($N959,'Base de Grupos'!$A:$A,'Base de Grupos'!$K:$K)</f>
        <v>REGIONAL VENDA INTERNA - CONVENIENCIA</v>
      </c>
      <c r="J959" s="2" t="str">
        <f>_xlfn.XLOOKUP($N959,'Base de Grupos'!$A:$A,'Base de Grupos'!$L:$L)</f>
        <v>1000174119</v>
      </c>
      <c r="K959" s="5" t="str">
        <f>_xlfn.XLOOKUP($N959,'Base de Grupos'!$A:$A,'Base de Grupos'!$M:$M)</f>
        <v>REGIONAL VENDA INTERNA - CONVENIENCIA</v>
      </c>
      <c r="L959" s="5" t="str">
        <f t="shared" si="343"/>
        <v/>
      </c>
      <c r="M959" s="5" t="str">
        <f>_xlfn.XLOOKUP($N959,'Base de Grupos'!$A:$A,'Base de Grupos'!$C:$C)</f>
        <v>DF</v>
      </c>
      <c r="N959" s="3">
        <v>1518</v>
      </c>
      <c r="O959" s="4" t="s">
        <v>277</v>
      </c>
      <c r="P959" s="5" t="s">
        <v>82</v>
      </c>
      <c r="Q959" s="24">
        <v>0</v>
      </c>
      <c r="R959" s="24">
        <v>0</v>
      </c>
      <c r="S959" s="24">
        <v>0</v>
      </c>
      <c r="T959" s="24">
        <v>0</v>
      </c>
      <c r="U959" s="24">
        <v>0</v>
      </c>
      <c r="V959" s="24">
        <v>0</v>
      </c>
      <c r="W959" s="24">
        <v>0</v>
      </c>
      <c r="X959" s="24">
        <v>0</v>
      </c>
      <c r="Y959" s="24">
        <v>0</v>
      </c>
      <c r="Z959" s="24">
        <v>0</v>
      </c>
      <c r="AA959" s="24">
        <v>0</v>
      </c>
      <c r="AB959" s="24">
        <v>0</v>
      </c>
      <c r="AC959" s="30">
        <f t="shared" si="344"/>
        <v>0</v>
      </c>
      <c r="AD959" s="28"/>
      <c r="AE959" s="12"/>
      <c r="AF959" s="29"/>
      <c r="AG959" s="9"/>
      <c r="AH959" s="10"/>
      <c r="AI959" s="9"/>
      <c r="AJ959" s="11"/>
      <c r="AK959" s="9"/>
      <c r="AL959" s="13"/>
      <c r="AM959" s="9"/>
    </row>
    <row r="960" spans="1:39" x14ac:dyDescent="0.3">
      <c r="A960" s="2" t="str">
        <f t="shared" si="342"/>
        <v>NÃO</v>
      </c>
      <c r="B960" s="2" t="str">
        <f>_xlfn.XLOOKUP($N960,'Base de Grupos'!$A:$A,'Base de Grupos'!$D:$D)</f>
        <v>1000065763</v>
      </c>
      <c r="C960" s="5" t="str">
        <f>_xlfn.XLOOKUP($N960,'Base de Grupos'!$A:$A,'Base de Grupos'!$E:$E)</f>
        <v>CANAL VENDA INTERNA</v>
      </c>
      <c r="D960" s="5" t="str">
        <f>_xlfn.XLOOKUP($N960,'Base de Grupos'!$A:$A,'Base de Grupos'!$F:$F)</f>
        <v>1000065763</v>
      </c>
      <c r="E960" s="2" t="str">
        <f>_xlfn.XLOOKUP($N960,'Base de Grupos'!$A:$A,'Base de Grupos'!$G:$G)</f>
        <v>CANAL VENDA INTERNA</v>
      </c>
      <c r="F960" s="2" t="str">
        <f>_xlfn.XLOOKUP($N960,'Base de Grupos'!$A:$A,'Base de Grupos'!$H:$H)</f>
        <v>1000174119</v>
      </c>
      <c r="G960" s="5" t="str">
        <f>_xlfn.XLOOKUP($N960,'Base de Grupos'!$A:$A,'Base de Grupos'!$I:$I)</f>
        <v>REGIONAL VENDA INTERNA - CONVENIENCIA</v>
      </c>
      <c r="H960" s="5" t="str">
        <f>_xlfn.XLOOKUP($N960,'Base de Grupos'!$A:$A,'Base de Grupos'!$J:$J)</f>
        <v>1000174119</v>
      </c>
      <c r="I960" s="2" t="str">
        <f>_xlfn.XLOOKUP($N960,'Base de Grupos'!$A:$A,'Base de Grupos'!$K:$K)</f>
        <v>REGIONAL VENDA INTERNA - CONVENIENCIA</v>
      </c>
      <c r="J960" s="2" t="str">
        <f>_xlfn.XLOOKUP($N960,'Base de Grupos'!$A:$A,'Base de Grupos'!$L:$L)</f>
        <v>1000174119</v>
      </c>
      <c r="K960" s="5" t="str">
        <f>_xlfn.XLOOKUP($N960,'Base de Grupos'!$A:$A,'Base de Grupos'!$M:$M)</f>
        <v>REGIONAL VENDA INTERNA - CONVENIENCIA</v>
      </c>
      <c r="L960" s="5" t="str">
        <f t="shared" si="343"/>
        <v/>
      </c>
      <c r="M960" s="5" t="str">
        <f>_xlfn.XLOOKUP($N960,'Base de Grupos'!$A:$A,'Base de Grupos'!$C:$C)</f>
        <v>DF</v>
      </c>
      <c r="N960" s="3">
        <v>1518</v>
      </c>
      <c r="O960" s="4" t="s">
        <v>277</v>
      </c>
      <c r="P960" s="5" t="s">
        <v>84</v>
      </c>
      <c r="Q960" s="24">
        <v>0</v>
      </c>
      <c r="R960" s="24">
        <v>0</v>
      </c>
      <c r="S960" s="24">
        <v>0</v>
      </c>
      <c r="T960" s="24">
        <v>0</v>
      </c>
      <c r="U960" s="24">
        <v>0</v>
      </c>
      <c r="V960" s="24">
        <v>0</v>
      </c>
      <c r="W960" s="24">
        <v>0</v>
      </c>
      <c r="X960" s="24">
        <v>0</v>
      </c>
      <c r="Y960" s="24">
        <v>0</v>
      </c>
      <c r="Z960" s="24">
        <v>0</v>
      </c>
      <c r="AA960" s="24">
        <v>0</v>
      </c>
      <c r="AB960" s="24">
        <v>0</v>
      </c>
      <c r="AC960" s="30">
        <f t="shared" si="344"/>
        <v>0</v>
      </c>
      <c r="AD960" s="28"/>
      <c r="AE960" s="12"/>
      <c r="AF960" s="29"/>
      <c r="AG960" s="9"/>
      <c r="AH960" s="10"/>
      <c r="AI960" s="9"/>
      <c r="AJ960" s="11"/>
      <c r="AK960" s="9"/>
      <c r="AL960" s="13"/>
      <c r="AM960" s="9"/>
    </row>
    <row r="961" spans="1:39" x14ac:dyDescent="0.3">
      <c r="A961" s="2" t="str">
        <f t="shared" si="342"/>
        <v>NÃO</v>
      </c>
      <c r="B961" s="2" t="str">
        <f>_xlfn.XLOOKUP($N961,'Base de Grupos'!$A:$A,'Base de Grupos'!$D:$D)</f>
        <v>1000065763</v>
      </c>
      <c r="C961" s="5" t="str">
        <f>_xlfn.XLOOKUP($N961,'Base de Grupos'!$A:$A,'Base de Grupos'!$E:$E)</f>
        <v>CANAL VENDA INTERNA</v>
      </c>
      <c r="D961" s="5" t="str">
        <f>_xlfn.XLOOKUP($N961,'Base de Grupos'!$A:$A,'Base de Grupos'!$F:$F)</f>
        <v>1000065763</v>
      </c>
      <c r="E961" s="2" t="str">
        <f>_xlfn.XLOOKUP($N961,'Base de Grupos'!$A:$A,'Base de Grupos'!$G:$G)</f>
        <v>CANAL VENDA INTERNA</v>
      </c>
      <c r="F961" s="2" t="str">
        <f>_xlfn.XLOOKUP($N961,'Base de Grupos'!$A:$A,'Base de Grupos'!$H:$H)</f>
        <v>1000174119</v>
      </c>
      <c r="G961" s="5" t="str">
        <f>_xlfn.XLOOKUP($N961,'Base de Grupos'!$A:$A,'Base de Grupos'!$I:$I)</f>
        <v>REGIONAL VENDA INTERNA - CONVENIENCIA</v>
      </c>
      <c r="H961" s="5" t="str">
        <f>_xlfn.XLOOKUP($N961,'Base de Grupos'!$A:$A,'Base de Grupos'!$J:$J)</f>
        <v>1000174119</v>
      </c>
      <c r="I961" s="2" t="str">
        <f>_xlfn.XLOOKUP($N961,'Base de Grupos'!$A:$A,'Base de Grupos'!$K:$K)</f>
        <v>REGIONAL VENDA INTERNA - CONVENIENCIA</v>
      </c>
      <c r="J961" s="2" t="str">
        <f>_xlfn.XLOOKUP($N961,'Base de Grupos'!$A:$A,'Base de Grupos'!$L:$L)</f>
        <v>1000174119</v>
      </c>
      <c r="K961" s="5" t="str">
        <f>_xlfn.XLOOKUP($N961,'Base de Grupos'!$A:$A,'Base de Grupos'!$M:$M)</f>
        <v>REGIONAL VENDA INTERNA - CONVENIENCIA</v>
      </c>
      <c r="L961" s="5" t="str">
        <f t="shared" si="343"/>
        <v/>
      </c>
      <c r="M961" s="5" t="str">
        <f>_xlfn.XLOOKUP($N961,'Base de Grupos'!$A:$A,'Base de Grupos'!$C:$C)</f>
        <v>DF</v>
      </c>
      <c r="N961" s="3">
        <v>1518</v>
      </c>
      <c r="O961" s="4" t="s">
        <v>277</v>
      </c>
      <c r="P961" s="5" t="s">
        <v>83</v>
      </c>
      <c r="Q961" s="24">
        <v>0</v>
      </c>
      <c r="R961" s="24">
        <v>0</v>
      </c>
      <c r="S961" s="24">
        <v>0</v>
      </c>
      <c r="T961" s="24">
        <v>0</v>
      </c>
      <c r="U961" s="24">
        <v>0</v>
      </c>
      <c r="V961" s="24">
        <v>0</v>
      </c>
      <c r="W961" s="24">
        <v>0</v>
      </c>
      <c r="X961" s="24">
        <v>0</v>
      </c>
      <c r="Y961" s="24">
        <v>0</v>
      </c>
      <c r="Z961" s="24">
        <v>0</v>
      </c>
      <c r="AA961" s="24">
        <v>0</v>
      </c>
      <c r="AB961" s="24">
        <v>0</v>
      </c>
      <c r="AC961" s="30">
        <f t="shared" si="344"/>
        <v>0</v>
      </c>
      <c r="AD961" s="28"/>
      <c r="AE961" s="12"/>
      <c r="AF961" s="29"/>
      <c r="AG961" s="9"/>
      <c r="AH961" s="10"/>
      <c r="AI961" s="9"/>
      <c r="AJ961" s="11"/>
      <c r="AK961" s="9"/>
      <c r="AL961" s="13"/>
      <c r="AM961" s="9"/>
    </row>
    <row r="962" spans="1:39" x14ac:dyDescent="0.3">
      <c r="A962" s="2" t="str">
        <f t="shared" si="342"/>
        <v>NÃO</v>
      </c>
      <c r="B962" s="2" t="str">
        <f>_xlfn.XLOOKUP($N962,'Base de Grupos'!$A:$A,'Base de Grupos'!$D:$D)</f>
        <v>1000065763</v>
      </c>
      <c r="C962" s="5" t="str">
        <f>_xlfn.XLOOKUP($N962,'Base de Grupos'!$A:$A,'Base de Grupos'!$E:$E)</f>
        <v>CANAL VENDA INTERNA</v>
      </c>
      <c r="D962" s="5" t="str">
        <f>_xlfn.XLOOKUP($N962,'Base de Grupos'!$A:$A,'Base de Grupos'!$F:$F)</f>
        <v>1000065763</v>
      </c>
      <c r="E962" s="2" t="str">
        <f>_xlfn.XLOOKUP($N962,'Base de Grupos'!$A:$A,'Base de Grupos'!$G:$G)</f>
        <v>CANAL VENDA INTERNA</v>
      </c>
      <c r="F962" s="2" t="str">
        <f>_xlfn.XLOOKUP($N962,'Base de Grupos'!$A:$A,'Base de Grupos'!$H:$H)</f>
        <v>1000174119</v>
      </c>
      <c r="G962" s="5" t="str">
        <f>_xlfn.XLOOKUP($N962,'Base de Grupos'!$A:$A,'Base de Grupos'!$I:$I)</f>
        <v>REGIONAL VENDA INTERNA - CONVENIENCIA</v>
      </c>
      <c r="H962" s="5" t="str">
        <f>_xlfn.XLOOKUP($N962,'Base de Grupos'!$A:$A,'Base de Grupos'!$J:$J)</f>
        <v>1000174119</v>
      </c>
      <c r="I962" s="2" t="str">
        <f>_xlfn.XLOOKUP($N962,'Base de Grupos'!$A:$A,'Base de Grupos'!$K:$K)</f>
        <v>REGIONAL VENDA INTERNA - CONVENIENCIA</v>
      </c>
      <c r="J962" s="2" t="str">
        <f>_xlfn.XLOOKUP($N962,'Base de Grupos'!$A:$A,'Base de Grupos'!$L:$L)</f>
        <v>1000174119</v>
      </c>
      <c r="K962" s="5" t="str">
        <f>_xlfn.XLOOKUP($N962,'Base de Grupos'!$A:$A,'Base de Grupos'!$M:$M)</f>
        <v>REGIONAL VENDA INTERNA - CONVENIENCIA</v>
      </c>
      <c r="L962" s="5" t="str">
        <f t="shared" si="343"/>
        <v/>
      </c>
      <c r="M962" s="5" t="str">
        <f>_xlfn.XLOOKUP($N962,'Base de Grupos'!$A:$A,'Base de Grupos'!$C:$C)</f>
        <v>DF</v>
      </c>
      <c r="N962" s="3">
        <v>1518</v>
      </c>
      <c r="O962" s="4" t="s">
        <v>277</v>
      </c>
      <c r="P962" s="5" t="s">
        <v>87</v>
      </c>
      <c r="Q962" s="24">
        <v>0</v>
      </c>
      <c r="R962" s="24">
        <v>0</v>
      </c>
      <c r="S962" s="24">
        <v>0</v>
      </c>
      <c r="T962" s="24">
        <v>0</v>
      </c>
      <c r="U962" s="24">
        <v>0</v>
      </c>
      <c r="V962" s="24">
        <v>0</v>
      </c>
      <c r="W962" s="24">
        <v>0</v>
      </c>
      <c r="X962" s="24">
        <v>0</v>
      </c>
      <c r="Y962" s="24">
        <v>0</v>
      </c>
      <c r="Z962" s="24">
        <v>0</v>
      </c>
      <c r="AA962" s="24">
        <v>0</v>
      </c>
      <c r="AB962" s="24">
        <v>0</v>
      </c>
      <c r="AC962" s="30">
        <f t="shared" si="344"/>
        <v>0</v>
      </c>
      <c r="AD962" s="28"/>
      <c r="AE962" s="12"/>
      <c r="AF962" s="29"/>
      <c r="AG962" s="9"/>
      <c r="AH962" s="10"/>
      <c r="AI962" s="9"/>
      <c r="AJ962" s="11"/>
      <c r="AK962" s="9"/>
      <c r="AL962" s="13"/>
      <c r="AM962" s="9"/>
    </row>
    <row r="963" spans="1:39" x14ac:dyDescent="0.3">
      <c r="A963" s="2" t="str">
        <f t="shared" si="342"/>
        <v>NÃO</v>
      </c>
      <c r="B963" s="2" t="str">
        <f>_xlfn.XLOOKUP($N963,'Base de Grupos'!$A:$A,'Base de Grupos'!$D:$D)</f>
        <v>1000065763</v>
      </c>
      <c r="C963" s="5" t="str">
        <f>_xlfn.XLOOKUP($N963,'Base de Grupos'!$A:$A,'Base de Grupos'!$E:$E)</f>
        <v>CANAL VENDA INTERNA</v>
      </c>
      <c r="D963" s="5" t="str">
        <f>_xlfn.XLOOKUP($N963,'Base de Grupos'!$A:$A,'Base de Grupos'!$F:$F)</f>
        <v>1000065763</v>
      </c>
      <c r="E963" s="2" t="str">
        <f>_xlfn.XLOOKUP($N963,'Base de Grupos'!$A:$A,'Base de Grupos'!$G:$G)</f>
        <v>CANAL VENDA INTERNA</v>
      </c>
      <c r="F963" s="2" t="str">
        <f>_xlfn.XLOOKUP($N963,'Base de Grupos'!$A:$A,'Base de Grupos'!$H:$H)</f>
        <v>1000174119</v>
      </c>
      <c r="G963" s="5" t="str">
        <f>_xlfn.XLOOKUP($N963,'Base de Grupos'!$A:$A,'Base de Grupos'!$I:$I)</f>
        <v>REGIONAL VENDA INTERNA - CONVENIENCIA</v>
      </c>
      <c r="H963" s="5" t="str">
        <f>_xlfn.XLOOKUP($N963,'Base de Grupos'!$A:$A,'Base de Grupos'!$J:$J)</f>
        <v>1000174119</v>
      </c>
      <c r="I963" s="2" t="str">
        <f>_xlfn.XLOOKUP($N963,'Base de Grupos'!$A:$A,'Base de Grupos'!$K:$K)</f>
        <v>REGIONAL VENDA INTERNA - CONVENIENCIA</v>
      </c>
      <c r="J963" s="2" t="str">
        <f>_xlfn.XLOOKUP($N963,'Base de Grupos'!$A:$A,'Base de Grupos'!$L:$L)</f>
        <v>1000174119</v>
      </c>
      <c r="K963" s="5" t="str">
        <f>_xlfn.XLOOKUP($N963,'Base de Grupos'!$A:$A,'Base de Grupos'!$M:$M)</f>
        <v>REGIONAL VENDA INTERNA - CONVENIENCIA</v>
      </c>
      <c r="L963" s="5" t="str">
        <f t="shared" si="343"/>
        <v/>
      </c>
      <c r="M963" s="5" t="str">
        <f>_xlfn.XLOOKUP($N963,'Base de Grupos'!$A:$A,'Base de Grupos'!$C:$C)</f>
        <v>DF</v>
      </c>
      <c r="N963" s="3">
        <v>1518</v>
      </c>
      <c r="O963" s="4" t="s">
        <v>277</v>
      </c>
      <c r="P963" s="5" t="s">
        <v>85</v>
      </c>
      <c r="Q963" s="24">
        <v>0</v>
      </c>
      <c r="R963" s="24">
        <v>0</v>
      </c>
      <c r="S963" s="24">
        <v>0</v>
      </c>
      <c r="T963" s="24">
        <v>0</v>
      </c>
      <c r="U963" s="24">
        <v>0</v>
      </c>
      <c r="V963" s="24">
        <v>0</v>
      </c>
      <c r="W963" s="24">
        <v>0</v>
      </c>
      <c r="X963" s="24">
        <v>0</v>
      </c>
      <c r="Y963" s="24">
        <v>0</v>
      </c>
      <c r="Z963" s="24">
        <v>0</v>
      </c>
      <c r="AA963" s="24">
        <v>0</v>
      </c>
      <c r="AB963" s="24">
        <v>0</v>
      </c>
      <c r="AC963" s="30">
        <f t="shared" si="344"/>
        <v>0</v>
      </c>
      <c r="AD963" s="28"/>
      <c r="AE963" s="12"/>
      <c r="AF963" s="29"/>
      <c r="AG963" s="9"/>
      <c r="AH963" s="10"/>
      <c r="AI963" s="9"/>
      <c r="AJ963" s="11"/>
      <c r="AK963" s="9"/>
      <c r="AL963" s="13"/>
      <c r="AM963" s="9"/>
    </row>
    <row r="964" spans="1:39" x14ac:dyDescent="0.3">
      <c r="A964" s="2" t="str">
        <f t="shared" si="342"/>
        <v>NÃO</v>
      </c>
      <c r="B964" s="2" t="str">
        <f>_xlfn.XLOOKUP($N964,'Base de Grupos'!$A:$A,'Base de Grupos'!$D:$D)</f>
        <v>1000065763</v>
      </c>
      <c r="C964" s="5" t="str">
        <f>_xlfn.XLOOKUP($N964,'Base de Grupos'!$A:$A,'Base de Grupos'!$E:$E)</f>
        <v>CANAL VENDA INTERNA</v>
      </c>
      <c r="D964" s="5" t="str">
        <f>_xlfn.XLOOKUP($N964,'Base de Grupos'!$A:$A,'Base de Grupos'!$F:$F)</f>
        <v>1000065763</v>
      </c>
      <c r="E964" s="2" t="str">
        <f>_xlfn.XLOOKUP($N964,'Base de Grupos'!$A:$A,'Base de Grupos'!$G:$G)</f>
        <v>CANAL VENDA INTERNA</v>
      </c>
      <c r="F964" s="2" t="str">
        <f>_xlfn.XLOOKUP($N964,'Base de Grupos'!$A:$A,'Base de Grupos'!$H:$H)</f>
        <v>1000174119</v>
      </c>
      <c r="G964" s="5" t="str">
        <f>_xlfn.XLOOKUP($N964,'Base de Grupos'!$A:$A,'Base de Grupos'!$I:$I)</f>
        <v>REGIONAL VENDA INTERNA - CONVENIENCIA</v>
      </c>
      <c r="H964" s="5" t="str">
        <f>_xlfn.XLOOKUP($N964,'Base de Grupos'!$A:$A,'Base de Grupos'!$J:$J)</f>
        <v>1000174119</v>
      </c>
      <c r="I964" s="2" t="str">
        <f>_xlfn.XLOOKUP($N964,'Base de Grupos'!$A:$A,'Base de Grupos'!$K:$K)</f>
        <v>REGIONAL VENDA INTERNA - CONVENIENCIA</v>
      </c>
      <c r="J964" s="2" t="str">
        <f>_xlfn.XLOOKUP($N964,'Base de Grupos'!$A:$A,'Base de Grupos'!$L:$L)</f>
        <v>1000174119</v>
      </c>
      <c r="K964" s="5" t="str">
        <f>_xlfn.XLOOKUP($N964,'Base de Grupos'!$A:$A,'Base de Grupos'!$M:$M)</f>
        <v>REGIONAL VENDA INTERNA - CONVENIENCIA</v>
      </c>
      <c r="L964" s="5" t="str">
        <f t="shared" si="343"/>
        <v/>
      </c>
      <c r="M964" s="5" t="str">
        <f>_xlfn.XLOOKUP($N964,'Base de Grupos'!$A:$A,'Base de Grupos'!$C:$C)</f>
        <v>DF</v>
      </c>
      <c r="N964" s="3">
        <v>1518</v>
      </c>
      <c r="O964" s="4" t="s">
        <v>277</v>
      </c>
      <c r="P964" s="5" t="s">
        <v>92</v>
      </c>
      <c r="Q964" s="24">
        <v>0</v>
      </c>
      <c r="R964" s="24">
        <v>0</v>
      </c>
      <c r="S964" s="24">
        <v>0</v>
      </c>
      <c r="T964" s="24">
        <v>0</v>
      </c>
      <c r="U964" s="24">
        <v>0</v>
      </c>
      <c r="V964" s="24">
        <v>0</v>
      </c>
      <c r="W964" s="24">
        <v>0</v>
      </c>
      <c r="X964" s="24">
        <v>0</v>
      </c>
      <c r="Y964" s="24">
        <v>0</v>
      </c>
      <c r="Z964" s="24">
        <v>0</v>
      </c>
      <c r="AA964" s="24">
        <v>0</v>
      </c>
      <c r="AB964" s="24">
        <v>0</v>
      </c>
      <c r="AC964" s="30">
        <f t="shared" si="344"/>
        <v>0</v>
      </c>
      <c r="AD964" s="28"/>
      <c r="AE964" s="12"/>
      <c r="AF964" s="29"/>
      <c r="AG964" s="9"/>
      <c r="AH964" s="10"/>
      <c r="AI964" s="9"/>
      <c r="AJ964" s="11"/>
      <c r="AK964" s="9"/>
      <c r="AL964" s="13"/>
      <c r="AM964" s="9"/>
    </row>
    <row r="965" spans="1:39" x14ac:dyDescent="0.3">
      <c r="A965" s="2" t="str">
        <f t="shared" si="342"/>
        <v>NÃO</v>
      </c>
      <c r="B965" s="2" t="str">
        <f>_xlfn.XLOOKUP($N965,'Base de Grupos'!$A:$A,'Base de Grupos'!$D:$D)</f>
        <v>1000065763</v>
      </c>
      <c r="C965" s="5" t="str">
        <f>_xlfn.XLOOKUP($N965,'Base de Grupos'!$A:$A,'Base de Grupos'!$E:$E)</f>
        <v>CANAL VENDA INTERNA</v>
      </c>
      <c r="D965" s="5" t="str">
        <f>_xlfn.XLOOKUP($N965,'Base de Grupos'!$A:$A,'Base de Grupos'!$F:$F)</f>
        <v>1000065763</v>
      </c>
      <c r="E965" s="2" t="str">
        <f>_xlfn.XLOOKUP($N965,'Base de Grupos'!$A:$A,'Base de Grupos'!$G:$G)</f>
        <v>CANAL VENDA INTERNA</v>
      </c>
      <c r="F965" s="2" t="str">
        <f>_xlfn.XLOOKUP($N965,'Base de Grupos'!$A:$A,'Base de Grupos'!$H:$H)</f>
        <v>1000174119</v>
      </c>
      <c r="G965" s="5" t="str">
        <f>_xlfn.XLOOKUP($N965,'Base de Grupos'!$A:$A,'Base de Grupos'!$I:$I)</f>
        <v>REGIONAL VENDA INTERNA - CONVENIENCIA</v>
      </c>
      <c r="H965" s="5" t="str">
        <f>_xlfn.XLOOKUP($N965,'Base de Grupos'!$A:$A,'Base de Grupos'!$J:$J)</f>
        <v>1000174119</v>
      </c>
      <c r="I965" s="2" t="str">
        <f>_xlfn.XLOOKUP($N965,'Base de Grupos'!$A:$A,'Base de Grupos'!$K:$K)</f>
        <v>REGIONAL VENDA INTERNA - CONVENIENCIA</v>
      </c>
      <c r="J965" s="2" t="str">
        <f>_xlfn.XLOOKUP($N965,'Base de Grupos'!$A:$A,'Base de Grupos'!$L:$L)</f>
        <v>1000174119</v>
      </c>
      <c r="K965" s="5" t="str">
        <f>_xlfn.XLOOKUP($N965,'Base de Grupos'!$A:$A,'Base de Grupos'!$M:$M)</f>
        <v>REGIONAL VENDA INTERNA - CONVENIENCIA</v>
      </c>
      <c r="L965" s="5" t="str">
        <f t="shared" si="343"/>
        <v/>
      </c>
      <c r="M965" s="5" t="str">
        <f>_xlfn.XLOOKUP($N965,'Base de Grupos'!$A:$A,'Base de Grupos'!$C:$C)</f>
        <v>DF</v>
      </c>
      <c r="N965" s="3">
        <v>1518</v>
      </c>
      <c r="O965" s="4" t="s">
        <v>277</v>
      </c>
      <c r="P965" s="5" t="s">
        <v>86</v>
      </c>
      <c r="Q965" s="24">
        <v>0</v>
      </c>
      <c r="R965" s="24">
        <v>0</v>
      </c>
      <c r="S965" s="24">
        <v>0</v>
      </c>
      <c r="T965" s="24">
        <v>0</v>
      </c>
      <c r="U965" s="24">
        <v>0</v>
      </c>
      <c r="V965" s="24">
        <v>0</v>
      </c>
      <c r="W965" s="24">
        <v>0</v>
      </c>
      <c r="X965" s="24">
        <v>0</v>
      </c>
      <c r="Y965" s="24">
        <v>0</v>
      </c>
      <c r="Z965" s="24">
        <v>0</v>
      </c>
      <c r="AA965" s="24">
        <v>0</v>
      </c>
      <c r="AB965" s="24">
        <v>0</v>
      </c>
      <c r="AC965" s="30">
        <f t="shared" si="344"/>
        <v>0</v>
      </c>
      <c r="AD965" s="28"/>
      <c r="AE965" s="12"/>
      <c r="AF965" s="29"/>
      <c r="AG965" s="9"/>
      <c r="AH965" s="10"/>
      <c r="AI965" s="9"/>
      <c r="AJ965" s="11"/>
      <c r="AK965" s="9"/>
      <c r="AL965" s="13"/>
      <c r="AM965" s="9"/>
    </row>
    <row r="966" spans="1:39" x14ac:dyDescent="0.3">
      <c r="A966" s="2" t="str">
        <f t="shared" si="342"/>
        <v>NÃO</v>
      </c>
      <c r="B966" s="2" t="str">
        <f>_xlfn.XLOOKUP($N966,'Base de Grupos'!$A:$A,'Base de Grupos'!$D:$D)</f>
        <v>1000065763</v>
      </c>
      <c r="C966" s="5" t="str">
        <f>_xlfn.XLOOKUP($N966,'Base de Grupos'!$A:$A,'Base de Grupos'!$E:$E)</f>
        <v>CANAL VENDA INTERNA</v>
      </c>
      <c r="D966" s="5" t="str">
        <f>_xlfn.XLOOKUP($N966,'Base de Grupos'!$A:$A,'Base de Grupos'!$F:$F)</f>
        <v>1000065763</v>
      </c>
      <c r="E966" s="2" t="str">
        <f>_xlfn.XLOOKUP($N966,'Base de Grupos'!$A:$A,'Base de Grupos'!$G:$G)</f>
        <v>CANAL VENDA INTERNA</v>
      </c>
      <c r="F966" s="2" t="str">
        <f>_xlfn.XLOOKUP($N966,'Base de Grupos'!$A:$A,'Base de Grupos'!$H:$H)</f>
        <v>1000174119</v>
      </c>
      <c r="G966" s="5" t="str">
        <f>_xlfn.XLOOKUP($N966,'Base de Grupos'!$A:$A,'Base de Grupos'!$I:$I)</f>
        <v>REGIONAL VENDA INTERNA - CONVENIENCIA</v>
      </c>
      <c r="H966" s="5" t="str">
        <f>_xlfn.XLOOKUP($N966,'Base de Grupos'!$A:$A,'Base de Grupos'!$J:$J)</f>
        <v>1000174119</v>
      </c>
      <c r="I966" s="2" t="str">
        <f>_xlfn.XLOOKUP($N966,'Base de Grupos'!$A:$A,'Base de Grupos'!$K:$K)</f>
        <v>REGIONAL VENDA INTERNA - CONVENIENCIA</v>
      </c>
      <c r="J966" s="2" t="str">
        <f>_xlfn.XLOOKUP($N966,'Base de Grupos'!$A:$A,'Base de Grupos'!$L:$L)</f>
        <v>1000174119</v>
      </c>
      <c r="K966" s="5" t="str">
        <f>_xlfn.XLOOKUP($N966,'Base de Grupos'!$A:$A,'Base de Grupos'!$M:$M)</f>
        <v>REGIONAL VENDA INTERNA - CONVENIENCIA</v>
      </c>
      <c r="L966" s="5" t="str">
        <f t="shared" si="343"/>
        <v/>
      </c>
      <c r="M966" s="5" t="str">
        <f>_xlfn.XLOOKUP($N966,'Base de Grupos'!$A:$A,'Base de Grupos'!$C:$C)</f>
        <v>DF</v>
      </c>
      <c r="N966" s="3">
        <v>1518</v>
      </c>
      <c r="O966" s="4" t="s">
        <v>277</v>
      </c>
      <c r="P966" s="5" t="s">
        <v>108</v>
      </c>
      <c r="Q966" s="24">
        <v>0</v>
      </c>
      <c r="R966" s="24">
        <v>0</v>
      </c>
      <c r="S966" s="24">
        <v>0</v>
      </c>
      <c r="T966" s="24">
        <v>0</v>
      </c>
      <c r="U966" s="24">
        <v>0</v>
      </c>
      <c r="V966" s="24">
        <v>0</v>
      </c>
      <c r="W966" s="24">
        <v>0</v>
      </c>
      <c r="X966" s="24">
        <v>0</v>
      </c>
      <c r="Y966" s="24">
        <v>0</v>
      </c>
      <c r="Z966" s="24">
        <v>0</v>
      </c>
      <c r="AA966" s="24">
        <v>0</v>
      </c>
      <c r="AB966" s="24">
        <v>0</v>
      </c>
      <c r="AC966" s="30">
        <f t="shared" si="344"/>
        <v>0</v>
      </c>
      <c r="AD966" s="28"/>
      <c r="AE966" s="12"/>
      <c r="AF966" s="29"/>
      <c r="AG966" s="9"/>
      <c r="AH966" s="10"/>
      <c r="AI966" s="9"/>
      <c r="AJ966" s="11"/>
      <c r="AK966" s="9"/>
      <c r="AL966" s="13"/>
      <c r="AM966" s="9"/>
    </row>
    <row r="967" spans="1:39" x14ac:dyDescent="0.3">
      <c r="A967" s="2" t="str">
        <f t="shared" si="342"/>
        <v>NÃO</v>
      </c>
      <c r="B967" s="2" t="str">
        <f>_xlfn.XLOOKUP($N967,'Base de Grupos'!$A:$A,'Base de Grupos'!$D:$D)</f>
        <v>1000065763</v>
      </c>
      <c r="C967" s="5" t="str">
        <f>_xlfn.XLOOKUP($N967,'Base de Grupos'!$A:$A,'Base de Grupos'!$E:$E)</f>
        <v>CANAL VENDA INTERNA</v>
      </c>
      <c r="D967" s="5" t="str">
        <f>_xlfn.XLOOKUP($N967,'Base de Grupos'!$A:$A,'Base de Grupos'!$F:$F)</f>
        <v>1000065763</v>
      </c>
      <c r="E967" s="2" t="str">
        <f>_xlfn.XLOOKUP($N967,'Base de Grupos'!$A:$A,'Base de Grupos'!$G:$G)</f>
        <v>CANAL VENDA INTERNA</v>
      </c>
      <c r="F967" s="2" t="str">
        <f>_xlfn.XLOOKUP($N967,'Base de Grupos'!$A:$A,'Base de Grupos'!$H:$H)</f>
        <v>1000174119</v>
      </c>
      <c r="G967" s="5" t="str">
        <f>_xlfn.XLOOKUP($N967,'Base de Grupos'!$A:$A,'Base de Grupos'!$I:$I)</f>
        <v>REGIONAL VENDA INTERNA - CONVENIENCIA</v>
      </c>
      <c r="H967" s="5" t="str">
        <f>_xlfn.XLOOKUP($N967,'Base de Grupos'!$A:$A,'Base de Grupos'!$J:$J)</f>
        <v>1000174119</v>
      </c>
      <c r="I967" s="2" t="str">
        <f>_xlfn.XLOOKUP($N967,'Base de Grupos'!$A:$A,'Base de Grupos'!$K:$K)</f>
        <v>REGIONAL VENDA INTERNA - CONVENIENCIA</v>
      </c>
      <c r="J967" s="2" t="str">
        <f>_xlfn.XLOOKUP($N967,'Base de Grupos'!$A:$A,'Base de Grupos'!$L:$L)</f>
        <v>1000174119</v>
      </c>
      <c r="K967" s="5" t="str">
        <f>_xlfn.XLOOKUP($N967,'Base de Grupos'!$A:$A,'Base de Grupos'!$M:$M)</f>
        <v>REGIONAL VENDA INTERNA - CONVENIENCIA</v>
      </c>
      <c r="L967" s="5" t="str">
        <f t="shared" si="343"/>
        <v/>
      </c>
      <c r="M967" s="5" t="str">
        <f>_xlfn.XLOOKUP($N967,'Base de Grupos'!$A:$A,'Base de Grupos'!$C:$C)</f>
        <v>DF</v>
      </c>
      <c r="N967" s="3">
        <v>1518</v>
      </c>
      <c r="O967" s="4" t="s">
        <v>277</v>
      </c>
      <c r="P967" s="5" t="s">
        <v>89</v>
      </c>
      <c r="Q967" s="24">
        <v>0</v>
      </c>
      <c r="R967" s="24">
        <v>0</v>
      </c>
      <c r="S967" s="24">
        <v>0</v>
      </c>
      <c r="T967" s="24">
        <v>0</v>
      </c>
      <c r="U967" s="24">
        <v>0</v>
      </c>
      <c r="V967" s="24">
        <v>0</v>
      </c>
      <c r="W967" s="24">
        <v>0</v>
      </c>
      <c r="X967" s="24">
        <v>0</v>
      </c>
      <c r="Y967" s="24">
        <v>0</v>
      </c>
      <c r="Z967" s="24">
        <v>0</v>
      </c>
      <c r="AA967" s="24">
        <v>0</v>
      </c>
      <c r="AB967" s="24">
        <v>0</v>
      </c>
      <c r="AC967" s="30">
        <f t="shared" si="344"/>
        <v>0</v>
      </c>
      <c r="AD967" s="28"/>
      <c r="AE967" s="12"/>
      <c r="AF967" s="29"/>
      <c r="AG967" s="9"/>
      <c r="AH967" s="10"/>
      <c r="AI967" s="9"/>
      <c r="AJ967" s="11"/>
      <c r="AK967" s="9"/>
      <c r="AL967" s="13"/>
      <c r="AM967" s="9"/>
    </row>
    <row r="968" spans="1:39" x14ac:dyDescent="0.3">
      <c r="A968" s="2" t="str">
        <f t="shared" si="342"/>
        <v>NÃO</v>
      </c>
      <c r="B968" s="2" t="str">
        <f>_xlfn.XLOOKUP($N968,'Base de Grupos'!$A:$A,'Base de Grupos'!$D:$D)</f>
        <v>1000065763</v>
      </c>
      <c r="C968" s="5" t="str">
        <f>_xlfn.XLOOKUP($N968,'Base de Grupos'!$A:$A,'Base de Grupos'!$E:$E)</f>
        <v>CANAL VENDA INTERNA</v>
      </c>
      <c r="D968" s="5" t="str">
        <f>_xlfn.XLOOKUP($N968,'Base de Grupos'!$A:$A,'Base de Grupos'!$F:$F)</f>
        <v>1000065763</v>
      </c>
      <c r="E968" s="2" t="str">
        <f>_xlfn.XLOOKUP($N968,'Base de Grupos'!$A:$A,'Base de Grupos'!$G:$G)</f>
        <v>CANAL VENDA INTERNA</v>
      </c>
      <c r="F968" s="2" t="str">
        <f>_xlfn.XLOOKUP($N968,'Base de Grupos'!$A:$A,'Base de Grupos'!$H:$H)</f>
        <v>1000174119</v>
      </c>
      <c r="G968" s="5" t="str">
        <f>_xlfn.XLOOKUP($N968,'Base de Grupos'!$A:$A,'Base de Grupos'!$I:$I)</f>
        <v>REGIONAL VENDA INTERNA - CONVENIENCIA</v>
      </c>
      <c r="H968" s="5" t="str">
        <f>_xlfn.XLOOKUP($N968,'Base de Grupos'!$A:$A,'Base de Grupos'!$J:$J)</f>
        <v>1000174119</v>
      </c>
      <c r="I968" s="2" t="str">
        <f>_xlfn.XLOOKUP($N968,'Base de Grupos'!$A:$A,'Base de Grupos'!$K:$K)</f>
        <v>REGIONAL VENDA INTERNA - CONVENIENCIA</v>
      </c>
      <c r="J968" s="2" t="str">
        <f>_xlfn.XLOOKUP($N968,'Base de Grupos'!$A:$A,'Base de Grupos'!$L:$L)</f>
        <v>1000174119</v>
      </c>
      <c r="K968" s="5" t="str">
        <f>_xlfn.XLOOKUP($N968,'Base de Grupos'!$A:$A,'Base de Grupos'!$M:$M)</f>
        <v>REGIONAL VENDA INTERNA - CONVENIENCIA</v>
      </c>
      <c r="L968" s="5" t="str">
        <f t="shared" si="343"/>
        <v/>
      </c>
      <c r="M968" s="5" t="str">
        <f>_xlfn.XLOOKUP($N968,'Base de Grupos'!$A:$A,'Base de Grupos'!$C:$C)</f>
        <v>DF</v>
      </c>
      <c r="N968" s="3">
        <v>1518</v>
      </c>
      <c r="O968" s="4" t="s">
        <v>277</v>
      </c>
      <c r="P968" s="5" t="s">
        <v>88</v>
      </c>
      <c r="Q968" s="24">
        <v>0</v>
      </c>
      <c r="R968" s="24">
        <v>0</v>
      </c>
      <c r="S968" s="24">
        <v>0</v>
      </c>
      <c r="T968" s="24">
        <v>0</v>
      </c>
      <c r="U968" s="24">
        <v>0</v>
      </c>
      <c r="V968" s="24">
        <v>0</v>
      </c>
      <c r="W968" s="24">
        <v>0</v>
      </c>
      <c r="X968" s="24">
        <v>0</v>
      </c>
      <c r="Y968" s="24">
        <v>0</v>
      </c>
      <c r="Z968" s="24">
        <v>0</v>
      </c>
      <c r="AA968" s="24">
        <v>0</v>
      </c>
      <c r="AB968" s="24">
        <v>0</v>
      </c>
      <c r="AC968" s="30">
        <f t="shared" si="344"/>
        <v>0</v>
      </c>
      <c r="AD968" s="28"/>
      <c r="AE968" s="12"/>
      <c r="AF968" s="29"/>
      <c r="AG968" s="9"/>
      <c r="AH968" s="10"/>
      <c r="AI968" s="9"/>
      <c r="AJ968" s="11"/>
      <c r="AK968" s="9"/>
      <c r="AL968" s="13"/>
      <c r="AM968" s="9"/>
    </row>
    <row r="969" spans="1:39" x14ac:dyDescent="0.3">
      <c r="A969" s="2" t="str">
        <f t="shared" si="342"/>
        <v>NÃO</v>
      </c>
      <c r="B969" s="2" t="str">
        <f>_xlfn.XLOOKUP($N969,'Base de Grupos'!$A:$A,'Base de Grupos'!$D:$D)</f>
        <v>1000065763</v>
      </c>
      <c r="C969" s="5" t="str">
        <f>_xlfn.XLOOKUP($N969,'Base de Grupos'!$A:$A,'Base de Grupos'!$E:$E)</f>
        <v>CANAL VENDA INTERNA</v>
      </c>
      <c r="D969" s="5" t="str">
        <f>_xlfn.XLOOKUP($N969,'Base de Grupos'!$A:$A,'Base de Grupos'!$F:$F)</f>
        <v>1000065763</v>
      </c>
      <c r="E969" s="2" t="str">
        <f>_xlfn.XLOOKUP($N969,'Base de Grupos'!$A:$A,'Base de Grupos'!$G:$G)</f>
        <v>CANAL VENDA INTERNA</v>
      </c>
      <c r="F969" s="2" t="str">
        <f>_xlfn.XLOOKUP($N969,'Base de Grupos'!$A:$A,'Base de Grupos'!$H:$H)</f>
        <v>1000174119</v>
      </c>
      <c r="G969" s="5" t="str">
        <f>_xlfn.XLOOKUP($N969,'Base de Grupos'!$A:$A,'Base de Grupos'!$I:$I)</f>
        <v>REGIONAL VENDA INTERNA - CONVENIENCIA</v>
      </c>
      <c r="H969" s="5" t="str">
        <f>_xlfn.XLOOKUP($N969,'Base de Grupos'!$A:$A,'Base de Grupos'!$J:$J)</f>
        <v>1000174119</v>
      </c>
      <c r="I969" s="2" t="str">
        <f>_xlfn.XLOOKUP($N969,'Base de Grupos'!$A:$A,'Base de Grupos'!$K:$K)</f>
        <v>REGIONAL VENDA INTERNA - CONVENIENCIA</v>
      </c>
      <c r="J969" s="2" t="str">
        <f>_xlfn.XLOOKUP($N969,'Base de Grupos'!$A:$A,'Base de Grupos'!$L:$L)</f>
        <v>1000174119</v>
      </c>
      <c r="K969" s="5" t="str">
        <f>_xlfn.XLOOKUP($N969,'Base de Grupos'!$A:$A,'Base de Grupos'!$M:$M)</f>
        <v>REGIONAL VENDA INTERNA - CONVENIENCIA</v>
      </c>
      <c r="L969" s="5" t="str">
        <f t="shared" si="343"/>
        <v/>
      </c>
      <c r="M969" s="5" t="str">
        <f>_xlfn.XLOOKUP($N969,'Base de Grupos'!$A:$A,'Base de Grupos'!$C:$C)</f>
        <v>DF</v>
      </c>
      <c r="N969" s="3">
        <v>1518</v>
      </c>
      <c r="O969" s="4" t="s">
        <v>277</v>
      </c>
      <c r="P969" s="5" t="s">
        <v>90</v>
      </c>
      <c r="Q969" s="24">
        <v>0</v>
      </c>
      <c r="R969" s="24">
        <v>0</v>
      </c>
      <c r="S969" s="24">
        <v>0</v>
      </c>
      <c r="T969" s="24">
        <v>0</v>
      </c>
      <c r="U969" s="24">
        <v>0</v>
      </c>
      <c r="V969" s="24">
        <v>0</v>
      </c>
      <c r="W969" s="24">
        <v>0</v>
      </c>
      <c r="X969" s="24">
        <v>0</v>
      </c>
      <c r="Y969" s="24">
        <v>0</v>
      </c>
      <c r="Z969" s="24">
        <v>0</v>
      </c>
      <c r="AA969" s="24">
        <v>0</v>
      </c>
      <c r="AB969" s="24">
        <v>0</v>
      </c>
      <c r="AC969" s="30">
        <f t="shared" si="344"/>
        <v>0</v>
      </c>
      <c r="AD969" s="28"/>
      <c r="AE969" s="12"/>
      <c r="AF969" s="29"/>
      <c r="AG969" s="9"/>
      <c r="AH969" s="10"/>
      <c r="AI969" s="9"/>
      <c r="AJ969" s="11"/>
      <c r="AK969" s="9"/>
      <c r="AL969" s="13"/>
      <c r="AM969" s="9"/>
    </row>
    <row r="970" spans="1:39" x14ac:dyDescent="0.3">
      <c r="A970" s="2" t="str">
        <f t="shared" si="342"/>
        <v>NÃO</v>
      </c>
      <c r="B970" s="2" t="str">
        <f>_xlfn.XLOOKUP($N970,'Base de Grupos'!$A:$A,'Base de Grupos'!$D:$D)</f>
        <v>1000065763</v>
      </c>
      <c r="C970" s="5" t="str">
        <f>_xlfn.XLOOKUP($N970,'Base de Grupos'!$A:$A,'Base de Grupos'!$E:$E)</f>
        <v>CANAL VENDA INTERNA</v>
      </c>
      <c r="D970" s="5" t="str">
        <f>_xlfn.XLOOKUP($N970,'Base de Grupos'!$A:$A,'Base de Grupos'!$F:$F)</f>
        <v>1000065763</v>
      </c>
      <c r="E970" s="2" t="str">
        <f>_xlfn.XLOOKUP($N970,'Base de Grupos'!$A:$A,'Base de Grupos'!$G:$G)</f>
        <v>CANAL VENDA INTERNA</v>
      </c>
      <c r="F970" s="2" t="str">
        <f>_xlfn.XLOOKUP($N970,'Base de Grupos'!$A:$A,'Base de Grupos'!$H:$H)</f>
        <v>1000174119</v>
      </c>
      <c r="G970" s="5" t="str">
        <f>_xlfn.XLOOKUP($N970,'Base de Grupos'!$A:$A,'Base de Grupos'!$I:$I)</f>
        <v>REGIONAL VENDA INTERNA - CONVENIENCIA</v>
      </c>
      <c r="H970" s="5" t="str">
        <f>_xlfn.XLOOKUP($N970,'Base de Grupos'!$A:$A,'Base de Grupos'!$J:$J)</f>
        <v>1000174119</v>
      </c>
      <c r="I970" s="2" t="str">
        <f>_xlfn.XLOOKUP($N970,'Base de Grupos'!$A:$A,'Base de Grupos'!$K:$K)</f>
        <v>REGIONAL VENDA INTERNA - CONVENIENCIA</v>
      </c>
      <c r="J970" s="2" t="str">
        <f>_xlfn.XLOOKUP($N970,'Base de Grupos'!$A:$A,'Base de Grupos'!$L:$L)</f>
        <v>1000174119</v>
      </c>
      <c r="K970" s="5" t="str">
        <f>_xlfn.XLOOKUP($N970,'Base de Grupos'!$A:$A,'Base de Grupos'!$M:$M)</f>
        <v>REGIONAL VENDA INTERNA - CONVENIENCIA</v>
      </c>
      <c r="L970" s="5" t="str">
        <f t="shared" si="343"/>
        <v/>
      </c>
      <c r="M970" s="5" t="str">
        <f>_xlfn.XLOOKUP($N970,'Base de Grupos'!$A:$A,'Base de Grupos'!$C:$C)</f>
        <v>DF</v>
      </c>
      <c r="N970" s="3">
        <v>1518</v>
      </c>
      <c r="O970" s="4" t="s">
        <v>277</v>
      </c>
      <c r="P970" s="5" t="s">
        <v>91</v>
      </c>
      <c r="Q970" s="24">
        <v>0</v>
      </c>
      <c r="R970" s="24">
        <v>0</v>
      </c>
      <c r="S970" s="24">
        <v>0</v>
      </c>
      <c r="T970" s="24">
        <v>0</v>
      </c>
      <c r="U970" s="24">
        <v>0</v>
      </c>
      <c r="V970" s="24">
        <v>0</v>
      </c>
      <c r="W970" s="24">
        <v>0</v>
      </c>
      <c r="X970" s="24">
        <v>0</v>
      </c>
      <c r="Y970" s="24">
        <v>0</v>
      </c>
      <c r="Z970" s="24">
        <v>0</v>
      </c>
      <c r="AA970" s="24">
        <v>0</v>
      </c>
      <c r="AB970" s="24">
        <v>0</v>
      </c>
      <c r="AC970" s="30">
        <f t="shared" si="344"/>
        <v>0</v>
      </c>
      <c r="AD970" s="28"/>
      <c r="AE970" s="12"/>
      <c r="AF970" s="29"/>
      <c r="AG970" s="9"/>
      <c r="AH970" s="10"/>
      <c r="AI970" s="9"/>
      <c r="AJ970" s="11"/>
      <c r="AK970" s="9"/>
      <c r="AL970" s="13"/>
      <c r="AM970" s="9"/>
    </row>
    <row r="971" spans="1:39" x14ac:dyDescent="0.3">
      <c r="A971" s="2" t="str">
        <f t="shared" si="342"/>
        <v>NÃO</v>
      </c>
      <c r="B971" s="2" t="str">
        <f>_xlfn.XLOOKUP($N971,'Base de Grupos'!$A:$A,'Base de Grupos'!$D:$D)</f>
        <v>1000065763</v>
      </c>
      <c r="C971" s="5" t="str">
        <f>_xlfn.XLOOKUP($N971,'Base de Grupos'!$A:$A,'Base de Grupos'!$E:$E)</f>
        <v>CANAL VENDA INTERNA</v>
      </c>
      <c r="D971" s="5" t="str">
        <f>_xlfn.XLOOKUP($N971,'Base de Grupos'!$A:$A,'Base de Grupos'!$F:$F)</f>
        <v>1000065763</v>
      </c>
      <c r="E971" s="2" t="str">
        <f>_xlfn.XLOOKUP($N971,'Base de Grupos'!$A:$A,'Base de Grupos'!$G:$G)</f>
        <v>CANAL VENDA INTERNA</v>
      </c>
      <c r="F971" s="2" t="str">
        <f>_xlfn.XLOOKUP($N971,'Base de Grupos'!$A:$A,'Base de Grupos'!$H:$H)</f>
        <v>1000174119</v>
      </c>
      <c r="G971" s="5" t="str">
        <f>_xlfn.XLOOKUP($N971,'Base de Grupos'!$A:$A,'Base de Grupos'!$I:$I)</f>
        <v>REGIONAL VENDA INTERNA - CONVENIENCIA</v>
      </c>
      <c r="H971" s="5" t="str">
        <f>_xlfn.XLOOKUP($N971,'Base de Grupos'!$A:$A,'Base de Grupos'!$J:$J)</f>
        <v>1000174119</v>
      </c>
      <c r="I971" s="2" t="str">
        <f>_xlfn.XLOOKUP($N971,'Base de Grupos'!$A:$A,'Base de Grupos'!$K:$K)</f>
        <v>REGIONAL VENDA INTERNA - CONVENIENCIA</v>
      </c>
      <c r="J971" s="2" t="str">
        <f>_xlfn.XLOOKUP($N971,'Base de Grupos'!$A:$A,'Base de Grupos'!$L:$L)</f>
        <v>1000174119</v>
      </c>
      <c r="K971" s="5" t="str">
        <f>_xlfn.XLOOKUP($N971,'Base de Grupos'!$A:$A,'Base de Grupos'!$M:$M)</f>
        <v>REGIONAL VENDA INTERNA - CONVENIENCIA</v>
      </c>
      <c r="L971" s="5" t="str">
        <f t="shared" si="343"/>
        <v/>
      </c>
      <c r="M971" s="5" t="str">
        <f>_xlfn.XLOOKUP($N971,'Base de Grupos'!$A:$A,'Base de Grupos'!$C:$C)</f>
        <v>DF</v>
      </c>
      <c r="N971" s="3">
        <v>1518</v>
      </c>
      <c r="O971" s="4" t="s">
        <v>277</v>
      </c>
      <c r="P971" s="5" t="s">
        <v>96</v>
      </c>
      <c r="Q971" s="24">
        <v>0</v>
      </c>
      <c r="R971" s="24">
        <v>0</v>
      </c>
      <c r="S971" s="24">
        <v>0</v>
      </c>
      <c r="T971" s="24">
        <v>0</v>
      </c>
      <c r="U971" s="24">
        <v>0</v>
      </c>
      <c r="V971" s="24">
        <v>0</v>
      </c>
      <c r="W971" s="24">
        <v>0</v>
      </c>
      <c r="X971" s="24">
        <v>0</v>
      </c>
      <c r="Y971" s="24">
        <v>0</v>
      </c>
      <c r="Z971" s="24">
        <v>0</v>
      </c>
      <c r="AA971" s="24">
        <v>0</v>
      </c>
      <c r="AB971" s="24">
        <v>0</v>
      </c>
      <c r="AC971" s="30">
        <f t="shared" si="344"/>
        <v>0</v>
      </c>
      <c r="AD971" s="28"/>
      <c r="AE971" s="12"/>
      <c r="AF971" s="29"/>
      <c r="AG971" s="9"/>
      <c r="AH971" s="10"/>
      <c r="AI971" s="9"/>
      <c r="AJ971" s="11"/>
      <c r="AK971" s="9"/>
      <c r="AL971" s="13"/>
      <c r="AM971" s="9"/>
    </row>
    <row r="972" spans="1:39" x14ac:dyDescent="0.3">
      <c r="A972" s="2" t="str">
        <f t="shared" si="342"/>
        <v>NÃO</v>
      </c>
      <c r="B972" s="2" t="str">
        <f>_xlfn.XLOOKUP($N972,'Base de Grupos'!$A:$A,'Base de Grupos'!$D:$D)</f>
        <v>1000065763</v>
      </c>
      <c r="C972" s="5" t="str">
        <f>_xlfn.XLOOKUP($N972,'Base de Grupos'!$A:$A,'Base de Grupos'!$E:$E)</f>
        <v>CANAL VENDA INTERNA</v>
      </c>
      <c r="D972" s="5" t="str">
        <f>_xlfn.XLOOKUP($N972,'Base de Grupos'!$A:$A,'Base de Grupos'!$F:$F)</f>
        <v>1000065763</v>
      </c>
      <c r="E972" s="2" t="str">
        <f>_xlfn.XLOOKUP($N972,'Base de Grupos'!$A:$A,'Base de Grupos'!$G:$G)</f>
        <v>CANAL VENDA INTERNA</v>
      </c>
      <c r="F972" s="2" t="str">
        <f>_xlfn.XLOOKUP($N972,'Base de Grupos'!$A:$A,'Base de Grupos'!$H:$H)</f>
        <v>1000174119</v>
      </c>
      <c r="G972" s="5" t="str">
        <f>_xlfn.XLOOKUP($N972,'Base de Grupos'!$A:$A,'Base de Grupos'!$I:$I)</f>
        <v>REGIONAL VENDA INTERNA - CONVENIENCIA</v>
      </c>
      <c r="H972" s="5" t="str">
        <f>_xlfn.XLOOKUP($N972,'Base de Grupos'!$A:$A,'Base de Grupos'!$J:$J)</f>
        <v>1000174119</v>
      </c>
      <c r="I972" s="2" t="str">
        <f>_xlfn.XLOOKUP($N972,'Base de Grupos'!$A:$A,'Base de Grupos'!$K:$K)</f>
        <v>REGIONAL VENDA INTERNA - CONVENIENCIA</v>
      </c>
      <c r="J972" s="2" t="str">
        <f>_xlfn.XLOOKUP($N972,'Base de Grupos'!$A:$A,'Base de Grupos'!$L:$L)</f>
        <v>1000174119</v>
      </c>
      <c r="K972" s="5" t="str">
        <f>_xlfn.XLOOKUP($N972,'Base de Grupos'!$A:$A,'Base de Grupos'!$M:$M)</f>
        <v>REGIONAL VENDA INTERNA - CONVENIENCIA</v>
      </c>
      <c r="L972" s="5" t="str">
        <f t="shared" si="343"/>
        <v/>
      </c>
      <c r="M972" s="5" t="str">
        <f>_xlfn.XLOOKUP($N972,'Base de Grupos'!$A:$A,'Base de Grupos'!$C:$C)</f>
        <v>DF</v>
      </c>
      <c r="N972" s="3">
        <v>1518</v>
      </c>
      <c r="O972" s="4" t="s">
        <v>277</v>
      </c>
      <c r="P972" s="5" t="s">
        <v>94</v>
      </c>
      <c r="Q972" s="24">
        <v>0</v>
      </c>
      <c r="R972" s="24">
        <v>0</v>
      </c>
      <c r="S972" s="24">
        <v>0</v>
      </c>
      <c r="T972" s="24">
        <v>0</v>
      </c>
      <c r="U972" s="24">
        <v>0</v>
      </c>
      <c r="V972" s="24">
        <v>0</v>
      </c>
      <c r="W972" s="24">
        <v>0</v>
      </c>
      <c r="X972" s="24">
        <v>0</v>
      </c>
      <c r="Y972" s="24">
        <v>0</v>
      </c>
      <c r="Z972" s="24">
        <v>0</v>
      </c>
      <c r="AA972" s="24">
        <v>0</v>
      </c>
      <c r="AB972" s="24">
        <v>0</v>
      </c>
      <c r="AC972" s="30">
        <f t="shared" si="344"/>
        <v>0</v>
      </c>
      <c r="AD972" s="28"/>
      <c r="AE972" s="12"/>
      <c r="AF972" s="29"/>
      <c r="AG972" s="9"/>
      <c r="AH972" s="10"/>
      <c r="AI972" s="9"/>
      <c r="AJ972" s="11"/>
      <c r="AK972" s="9"/>
      <c r="AL972" s="13"/>
      <c r="AM972" s="9"/>
    </row>
    <row r="973" spans="1:39" x14ac:dyDescent="0.3">
      <c r="A973" s="2" t="str">
        <f t="shared" si="342"/>
        <v>NÃO</v>
      </c>
      <c r="B973" s="2" t="str">
        <f>_xlfn.XLOOKUP($N973,'Base de Grupos'!$A:$A,'Base de Grupos'!$D:$D)</f>
        <v>1000065763</v>
      </c>
      <c r="C973" s="5" t="str">
        <f>_xlfn.XLOOKUP($N973,'Base de Grupos'!$A:$A,'Base de Grupos'!$E:$E)</f>
        <v>CANAL VENDA INTERNA</v>
      </c>
      <c r="D973" s="5" t="str">
        <f>_xlfn.XLOOKUP($N973,'Base de Grupos'!$A:$A,'Base de Grupos'!$F:$F)</f>
        <v>1000065763</v>
      </c>
      <c r="E973" s="2" t="str">
        <f>_xlfn.XLOOKUP($N973,'Base de Grupos'!$A:$A,'Base de Grupos'!$G:$G)</f>
        <v>CANAL VENDA INTERNA</v>
      </c>
      <c r="F973" s="2" t="str">
        <f>_xlfn.XLOOKUP($N973,'Base de Grupos'!$A:$A,'Base de Grupos'!$H:$H)</f>
        <v>1000174119</v>
      </c>
      <c r="G973" s="5" t="str">
        <f>_xlfn.XLOOKUP($N973,'Base de Grupos'!$A:$A,'Base de Grupos'!$I:$I)</f>
        <v>REGIONAL VENDA INTERNA - CONVENIENCIA</v>
      </c>
      <c r="H973" s="5" t="str">
        <f>_xlfn.XLOOKUP($N973,'Base de Grupos'!$A:$A,'Base de Grupos'!$J:$J)</f>
        <v>1000174119</v>
      </c>
      <c r="I973" s="2" t="str">
        <f>_xlfn.XLOOKUP($N973,'Base de Grupos'!$A:$A,'Base de Grupos'!$K:$K)</f>
        <v>REGIONAL VENDA INTERNA - CONVENIENCIA</v>
      </c>
      <c r="J973" s="2" t="str">
        <f>_xlfn.XLOOKUP($N973,'Base de Grupos'!$A:$A,'Base de Grupos'!$L:$L)</f>
        <v>1000174119</v>
      </c>
      <c r="K973" s="5" t="str">
        <f>_xlfn.XLOOKUP($N973,'Base de Grupos'!$A:$A,'Base de Grupos'!$M:$M)</f>
        <v>REGIONAL VENDA INTERNA - CONVENIENCIA</v>
      </c>
      <c r="L973" s="5" t="str">
        <f t="shared" si="343"/>
        <v/>
      </c>
      <c r="M973" s="5" t="str">
        <f>_xlfn.XLOOKUP($N973,'Base de Grupos'!$A:$A,'Base de Grupos'!$C:$C)</f>
        <v>DF</v>
      </c>
      <c r="N973" s="3">
        <v>1518</v>
      </c>
      <c r="O973" s="4" t="s">
        <v>277</v>
      </c>
      <c r="P973" s="5" t="s">
        <v>95</v>
      </c>
      <c r="Q973" s="24">
        <v>0</v>
      </c>
      <c r="R973" s="24">
        <v>0</v>
      </c>
      <c r="S973" s="24">
        <v>0</v>
      </c>
      <c r="T973" s="24">
        <v>0</v>
      </c>
      <c r="U973" s="24">
        <v>0</v>
      </c>
      <c r="V973" s="24">
        <v>0</v>
      </c>
      <c r="W973" s="24">
        <v>0</v>
      </c>
      <c r="X973" s="24">
        <v>0</v>
      </c>
      <c r="Y973" s="24">
        <v>0</v>
      </c>
      <c r="Z973" s="24">
        <v>0</v>
      </c>
      <c r="AA973" s="24">
        <v>0</v>
      </c>
      <c r="AB973" s="24">
        <v>0</v>
      </c>
      <c r="AC973" s="30">
        <f t="shared" si="344"/>
        <v>0</v>
      </c>
      <c r="AD973" s="28"/>
      <c r="AE973" s="12"/>
      <c r="AF973" s="29"/>
      <c r="AG973" s="9"/>
      <c r="AH973" s="10"/>
      <c r="AI973" s="9"/>
      <c r="AJ973" s="11"/>
      <c r="AK973" s="9"/>
      <c r="AL973" s="13"/>
      <c r="AM973" s="9"/>
    </row>
    <row r="974" spans="1:39" x14ac:dyDescent="0.3">
      <c r="A974" s="2" t="str">
        <f t="shared" si="342"/>
        <v>NÃO</v>
      </c>
      <c r="B974" s="2" t="str">
        <f>_xlfn.XLOOKUP($N974,'Base de Grupos'!$A:$A,'Base de Grupos'!$D:$D)</f>
        <v>1000065763</v>
      </c>
      <c r="C974" s="5" t="str">
        <f>_xlfn.XLOOKUP($N974,'Base de Grupos'!$A:$A,'Base de Grupos'!$E:$E)</f>
        <v>CANAL VENDA INTERNA</v>
      </c>
      <c r="D974" s="5" t="str">
        <f>_xlfn.XLOOKUP($N974,'Base de Grupos'!$A:$A,'Base de Grupos'!$F:$F)</f>
        <v>1000065763</v>
      </c>
      <c r="E974" s="2" t="str">
        <f>_xlfn.XLOOKUP($N974,'Base de Grupos'!$A:$A,'Base de Grupos'!$G:$G)</f>
        <v>CANAL VENDA INTERNA</v>
      </c>
      <c r="F974" s="2" t="str">
        <f>_xlfn.XLOOKUP($N974,'Base de Grupos'!$A:$A,'Base de Grupos'!$H:$H)</f>
        <v>1000174119</v>
      </c>
      <c r="G974" s="5" t="str">
        <f>_xlfn.XLOOKUP($N974,'Base de Grupos'!$A:$A,'Base de Grupos'!$I:$I)</f>
        <v>REGIONAL VENDA INTERNA - CONVENIENCIA</v>
      </c>
      <c r="H974" s="5" t="str">
        <f>_xlfn.XLOOKUP($N974,'Base de Grupos'!$A:$A,'Base de Grupos'!$J:$J)</f>
        <v>1000174119</v>
      </c>
      <c r="I974" s="2" t="str">
        <f>_xlfn.XLOOKUP($N974,'Base de Grupos'!$A:$A,'Base de Grupos'!$K:$K)</f>
        <v>REGIONAL VENDA INTERNA - CONVENIENCIA</v>
      </c>
      <c r="J974" s="2" t="str">
        <f>_xlfn.XLOOKUP($N974,'Base de Grupos'!$A:$A,'Base de Grupos'!$L:$L)</f>
        <v>1000174119</v>
      </c>
      <c r="K974" s="5" t="str">
        <f>_xlfn.XLOOKUP($N974,'Base de Grupos'!$A:$A,'Base de Grupos'!$M:$M)</f>
        <v>REGIONAL VENDA INTERNA - CONVENIENCIA</v>
      </c>
      <c r="L974" s="5" t="str">
        <f t="shared" si="343"/>
        <v/>
      </c>
      <c r="M974" s="5" t="str">
        <f>_xlfn.XLOOKUP($N974,'Base de Grupos'!$A:$A,'Base de Grupos'!$C:$C)</f>
        <v>DF</v>
      </c>
      <c r="N974" s="3">
        <v>1518</v>
      </c>
      <c r="O974" s="4" t="s">
        <v>277</v>
      </c>
      <c r="P974" s="5" t="s">
        <v>93</v>
      </c>
      <c r="Q974" s="24">
        <v>0</v>
      </c>
      <c r="R974" s="24">
        <v>0</v>
      </c>
      <c r="S974" s="24">
        <v>0</v>
      </c>
      <c r="T974" s="24">
        <v>0</v>
      </c>
      <c r="U974" s="24">
        <v>0</v>
      </c>
      <c r="V974" s="24">
        <v>0</v>
      </c>
      <c r="W974" s="24">
        <v>0</v>
      </c>
      <c r="X974" s="24">
        <v>0</v>
      </c>
      <c r="Y974" s="24">
        <v>0</v>
      </c>
      <c r="Z974" s="24">
        <v>0</v>
      </c>
      <c r="AA974" s="24">
        <v>0</v>
      </c>
      <c r="AB974" s="24">
        <v>0</v>
      </c>
      <c r="AC974" s="30">
        <f t="shared" si="344"/>
        <v>0</v>
      </c>
      <c r="AD974" s="28"/>
      <c r="AE974" s="12"/>
      <c r="AF974" s="29"/>
      <c r="AG974" s="9"/>
      <c r="AH974" s="10"/>
      <c r="AI974" s="9"/>
      <c r="AJ974" s="11"/>
      <c r="AK974" s="9"/>
      <c r="AL974" s="13"/>
      <c r="AM974" s="9"/>
    </row>
    <row r="975" spans="1:39" x14ac:dyDescent="0.3">
      <c r="A975" s="2" t="str">
        <f t="shared" si="342"/>
        <v>SIM</v>
      </c>
      <c r="B975" s="2" t="str">
        <f>_xlfn.XLOOKUP($N975,'Base de Grupos'!$A:$A,'Base de Grupos'!$D:$D)</f>
        <v>1000065763</v>
      </c>
      <c r="C975" s="5" t="str">
        <f>_xlfn.XLOOKUP($N975,'Base de Grupos'!$A:$A,'Base de Grupos'!$E:$E)</f>
        <v>CANAL VENDA INTERNA</v>
      </c>
      <c r="D975" s="5" t="str">
        <f>_xlfn.XLOOKUP($N975,'Base de Grupos'!$A:$A,'Base de Grupos'!$F:$F)</f>
        <v>1000065763</v>
      </c>
      <c r="E975" s="2" t="str">
        <f>_xlfn.XLOOKUP($N975,'Base de Grupos'!$A:$A,'Base de Grupos'!$G:$G)</f>
        <v>CANAL VENDA INTERNA</v>
      </c>
      <c r="F975" s="2" t="str">
        <f>_xlfn.XLOOKUP($N975,'Base de Grupos'!$A:$A,'Base de Grupos'!$H:$H)</f>
        <v>1000174119</v>
      </c>
      <c r="G975" s="5" t="str">
        <f>_xlfn.XLOOKUP($N975,'Base de Grupos'!$A:$A,'Base de Grupos'!$I:$I)</f>
        <v>REGIONAL VENDA INTERNA - CONVENIENCIA</v>
      </c>
      <c r="H975" s="5" t="str">
        <f>_xlfn.XLOOKUP($N975,'Base de Grupos'!$A:$A,'Base de Grupos'!$J:$J)</f>
        <v>1000174119</v>
      </c>
      <c r="I975" s="2" t="str">
        <f>_xlfn.XLOOKUP($N975,'Base de Grupos'!$A:$A,'Base de Grupos'!$K:$K)</f>
        <v>REGIONAL VENDA INTERNA - CONVENIENCIA</v>
      </c>
      <c r="J975" s="2" t="str">
        <f>_xlfn.XLOOKUP($N975,'Base de Grupos'!$A:$A,'Base de Grupos'!$L:$L)</f>
        <v>1000174119</v>
      </c>
      <c r="K975" s="5" t="str">
        <f>_xlfn.XLOOKUP($N975,'Base de Grupos'!$A:$A,'Base de Grupos'!$M:$M)</f>
        <v>REGIONAL VENDA INTERNA - CONVENIENCIA</v>
      </c>
      <c r="L975" s="5">
        <f t="shared" si="343"/>
        <v>1</v>
      </c>
      <c r="M975" s="5" t="str">
        <f>_xlfn.XLOOKUP($N975,'Base de Grupos'!$A:$A,'Base de Grupos'!$C:$C)</f>
        <v>MS</v>
      </c>
      <c r="N975" s="3">
        <v>1519</v>
      </c>
      <c r="O975" s="4" t="s">
        <v>278</v>
      </c>
      <c r="P975" s="5" t="s">
        <v>348</v>
      </c>
      <c r="Q975" s="24">
        <v>0</v>
      </c>
      <c r="R975" s="24">
        <v>0</v>
      </c>
      <c r="S975" s="24">
        <v>0</v>
      </c>
      <c r="T975" s="24">
        <v>0</v>
      </c>
      <c r="U975" s="24">
        <v>0</v>
      </c>
      <c r="V975" s="24">
        <v>0</v>
      </c>
      <c r="W975" s="24">
        <v>0</v>
      </c>
      <c r="X975" s="24">
        <v>0</v>
      </c>
      <c r="Y975" s="24">
        <v>0</v>
      </c>
      <c r="Z975" s="24">
        <v>0</v>
      </c>
      <c r="AA975" s="24">
        <v>0</v>
      </c>
      <c r="AB975" s="24">
        <v>0</v>
      </c>
      <c r="AC975" s="30">
        <f t="shared" si="344"/>
        <v>0</v>
      </c>
      <c r="AD975" s="28"/>
      <c r="AE975" s="12"/>
      <c r="AF975" s="29"/>
      <c r="AG975" s="9"/>
      <c r="AH975" s="10"/>
      <c r="AI975" s="9"/>
      <c r="AJ975" s="11"/>
      <c r="AK975" s="9"/>
      <c r="AL975" s="13"/>
      <c r="AM975" s="9"/>
    </row>
    <row r="976" spans="1:39" x14ac:dyDescent="0.3">
      <c r="A976" s="2" t="str">
        <f t="shared" si="342"/>
        <v>NÃO</v>
      </c>
      <c r="B976" s="2" t="str">
        <f>_xlfn.XLOOKUP($N976,'Base de Grupos'!$A:$A,'Base de Grupos'!$D:$D)</f>
        <v>1000065763</v>
      </c>
      <c r="C976" s="5" t="str">
        <f>_xlfn.XLOOKUP($N976,'Base de Grupos'!$A:$A,'Base de Grupos'!$E:$E)</f>
        <v>CANAL VENDA INTERNA</v>
      </c>
      <c r="D976" s="5" t="str">
        <f>_xlfn.XLOOKUP($N976,'Base de Grupos'!$A:$A,'Base de Grupos'!$F:$F)</f>
        <v>1000065763</v>
      </c>
      <c r="E976" s="2" t="str">
        <f>_xlfn.XLOOKUP($N976,'Base de Grupos'!$A:$A,'Base de Grupos'!$G:$G)</f>
        <v>CANAL VENDA INTERNA</v>
      </c>
      <c r="F976" s="2" t="str">
        <f>_xlfn.XLOOKUP($N976,'Base de Grupos'!$A:$A,'Base de Grupos'!$H:$H)</f>
        <v>1000174119</v>
      </c>
      <c r="G976" s="5" t="str">
        <f>_xlfn.XLOOKUP($N976,'Base de Grupos'!$A:$A,'Base de Grupos'!$I:$I)</f>
        <v>REGIONAL VENDA INTERNA - CONVENIENCIA</v>
      </c>
      <c r="H976" s="5" t="str">
        <f>_xlfn.XLOOKUP($N976,'Base de Grupos'!$A:$A,'Base de Grupos'!$J:$J)</f>
        <v>1000174119</v>
      </c>
      <c r="I976" s="2" t="str">
        <f>_xlfn.XLOOKUP($N976,'Base de Grupos'!$A:$A,'Base de Grupos'!$K:$K)</f>
        <v>REGIONAL VENDA INTERNA - CONVENIENCIA</v>
      </c>
      <c r="J976" s="2" t="str">
        <f>_xlfn.XLOOKUP($N976,'Base de Grupos'!$A:$A,'Base de Grupos'!$L:$L)</f>
        <v>1000174119</v>
      </c>
      <c r="K976" s="5" t="str">
        <f>_xlfn.XLOOKUP($N976,'Base de Grupos'!$A:$A,'Base de Grupos'!$M:$M)</f>
        <v>REGIONAL VENDA INTERNA - CONVENIENCIA</v>
      </c>
      <c r="L976" s="5" t="str">
        <f t="shared" si="343"/>
        <v/>
      </c>
      <c r="M976" s="5" t="str">
        <f>_xlfn.XLOOKUP($N976,'Base de Grupos'!$A:$A,'Base de Grupos'!$C:$C)</f>
        <v>MS</v>
      </c>
      <c r="N976" s="3">
        <v>1519</v>
      </c>
      <c r="O976" s="4" t="s">
        <v>278</v>
      </c>
      <c r="P976" s="5" t="s">
        <v>81</v>
      </c>
      <c r="Q976" s="24">
        <v>0</v>
      </c>
      <c r="R976" s="24">
        <v>0</v>
      </c>
      <c r="S976" s="24">
        <v>0</v>
      </c>
      <c r="T976" s="24">
        <v>0</v>
      </c>
      <c r="U976" s="24">
        <v>0</v>
      </c>
      <c r="V976" s="24">
        <v>0</v>
      </c>
      <c r="W976" s="24">
        <v>0</v>
      </c>
      <c r="X976" s="24">
        <v>0</v>
      </c>
      <c r="Y976" s="24">
        <v>0</v>
      </c>
      <c r="Z976" s="24">
        <v>0</v>
      </c>
      <c r="AA976" s="24">
        <v>0</v>
      </c>
      <c r="AB976" s="24">
        <v>0</v>
      </c>
      <c r="AC976" s="30">
        <f t="shared" si="344"/>
        <v>0</v>
      </c>
      <c r="AD976" s="28"/>
      <c r="AE976" s="12"/>
      <c r="AF976" s="29"/>
      <c r="AG976" s="9"/>
      <c r="AH976" s="10"/>
      <c r="AI976" s="9"/>
      <c r="AJ976" s="11"/>
      <c r="AK976" s="9"/>
      <c r="AL976" s="13"/>
      <c r="AM976" s="9"/>
    </row>
    <row r="977" spans="1:39" x14ac:dyDescent="0.3">
      <c r="A977" s="2" t="str">
        <f t="shared" si="342"/>
        <v>NÃO</v>
      </c>
      <c r="B977" s="2" t="str">
        <f>_xlfn.XLOOKUP($N977,'Base de Grupos'!$A:$A,'Base de Grupos'!$D:$D)</f>
        <v>1000065763</v>
      </c>
      <c r="C977" s="5" t="str">
        <f>_xlfn.XLOOKUP($N977,'Base de Grupos'!$A:$A,'Base de Grupos'!$E:$E)</f>
        <v>CANAL VENDA INTERNA</v>
      </c>
      <c r="D977" s="5" t="str">
        <f>_xlfn.XLOOKUP($N977,'Base de Grupos'!$A:$A,'Base de Grupos'!$F:$F)</f>
        <v>1000065763</v>
      </c>
      <c r="E977" s="2" t="str">
        <f>_xlfn.XLOOKUP($N977,'Base de Grupos'!$A:$A,'Base de Grupos'!$G:$G)</f>
        <v>CANAL VENDA INTERNA</v>
      </c>
      <c r="F977" s="2" t="str">
        <f>_xlfn.XLOOKUP($N977,'Base de Grupos'!$A:$A,'Base de Grupos'!$H:$H)</f>
        <v>1000174119</v>
      </c>
      <c r="G977" s="5" t="str">
        <f>_xlfn.XLOOKUP($N977,'Base de Grupos'!$A:$A,'Base de Grupos'!$I:$I)</f>
        <v>REGIONAL VENDA INTERNA - CONVENIENCIA</v>
      </c>
      <c r="H977" s="5" t="str">
        <f>_xlfn.XLOOKUP($N977,'Base de Grupos'!$A:$A,'Base de Grupos'!$J:$J)</f>
        <v>1000174119</v>
      </c>
      <c r="I977" s="2" t="str">
        <f>_xlfn.XLOOKUP($N977,'Base de Grupos'!$A:$A,'Base de Grupos'!$K:$K)</f>
        <v>REGIONAL VENDA INTERNA - CONVENIENCIA</v>
      </c>
      <c r="J977" s="2" t="str">
        <f>_xlfn.XLOOKUP($N977,'Base de Grupos'!$A:$A,'Base de Grupos'!$L:$L)</f>
        <v>1000174119</v>
      </c>
      <c r="K977" s="5" t="str">
        <f>_xlfn.XLOOKUP($N977,'Base de Grupos'!$A:$A,'Base de Grupos'!$M:$M)</f>
        <v>REGIONAL VENDA INTERNA - CONVENIENCIA</v>
      </c>
      <c r="L977" s="5" t="str">
        <f t="shared" si="343"/>
        <v/>
      </c>
      <c r="M977" s="5" t="str">
        <f>_xlfn.XLOOKUP($N977,'Base de Grupos'!$A:$A,'Base de Grupos'!$C:$C)</f>
        <v>MS</v>
      </c>
      <c r="N977" s="3">
        <v>1519</v>
      </c>
      <c r="O977" s="4" t="s">
        <v>278</v>
      </c>
      <c r="P977" s="5" t="s">
        <v>82</v>
      </c>
      <c r="Q977" s="24">
        <v>0</v>
      </c>
      <c r="R977" s="24">
        <v>0</v>
      </c>
      <c r="S977" s="24">
        <v>0</v>
      </c>
      <c r="T977" s="24">
        <v>0</v>
      </c>
      <c r="U977" s="24">
        <v>0</v>
      </c>
      <c r="V977" s="24">
        <v>0</v>
      </c>
      <c r="W977" s="24">
        <v>0</v>
      </c>
      <c r="X977" s="24">
        <v>0</v>
      </c>
      <c r="Y977" s="24">
        <v>0</v>
      </c>
      <c r="Z977" s="24">
        <v>0</v>
      </c>
      <c r="AA977" s="24">
        <v>0</v>
      </c>
      <c r="AB977" s="24">
        <v>0</v>
      </c>
      <c r="AC977" s="30">
        <f t="shared" si="344"/>
        <v>0</v>
      </c>
      <c r="AD977" s="28"/>
      <c r="AE977" s="12"/>
      <c r="AF977" s="29"/>
      <c r="AG977" s="9"/>
      <c r="AH977" s="10"/>
      <c r="AI977" s="9"/>
      <c r="AJ977" s="11"/>
      <c r="AK977" s="9"/>
      <c r="AL977" s="13"/>
      <c r="AM977" s="9"/>
    </row>
    <row r="978" spans="1:39" x14ac:dyDescent="0.3">
      <c r="A978" s="2" t="str">
        <f t="shared" si="342"/>
        <v>NÃO</v>
      </c>
      <c r="B978" s="2" t="str">
        <f>_xlfn.XLOOKUP($N978,'Base de Grupos'!$A:$A,'Base de Grupos'!$D:$D)</f>
        <v>1000065763</v>
      </c>
      <c r="C978" s="5" t="str">
        <f>_xlfn.XLOOKUP($N978,'Base de Grupos'!$A:$A,'Base de Grupos'!$E:$E)</f>
        <v>CANAL VENDA INTERNA</v>
      </c>
      <c r="D978" s="5" t="str">
        <f>_xlfn.XLOOKUP($N978,'Base de Grupos'!$A:$A,'Base de Grupos'!$F:$F)</f>
        <v>1000065763</v>
      </c>
      <c r="E978" s="2" t="str">
        <f>_xlfn.XLOOKUP($N978,'Base de Grupos'!$A:$A,'Base de Grupos'!$G:$G)</f>
        <v>CANAL VENDA INTERNA</v>
      </c>
      <c r="F978" s="2" t="str">
        <f>_xlfn.XLOOKUP($N978,'Base de Grupos'!$A:$A,'Base de Grupos'!$H:$H)</f>
        <v>1000174119</v>
      </c>
      <c r="G978" s="5" t="str">
        <f>_xlfn.XLOOKUP($N978,'Base de Grupos'!$A:$A,'Base de Grupos'!$I:$I)</f>
        <v>REGIONAL VENDA INTERNA - CONVENIENCIA</v>
      </c>
      <c r="H978" s="5" t="str">
        <f>_xlfn.XLOOKUP($N978,'Base de Grupos'!$A:$A,'Base de Grupos'!$J:$J)</f>
        <v>1000174119</v>
      </c>
      <c r="I978" s="2" t="str">
        <f>_xlfn.XLOOKUP($N978,'Base de Grupos'!$A:$A,'Base de Grupos'!$K:$K)</f>
        <v>REGIONAL VENDA INTERNA - CONVENIENCIA</v>
      </c>
      <c r="J978" s="2" t="str">
        <f>_xlfn.XLOOKUP($N978,'Base de Grupos'!$A:$A,'Base de Grupos'!$L:$L)</f>
        <v>1000174119</v>
      </c>
      <c r="K978" s="5" t="str">
        <f>_xlfn.XLOOKUP($N978,'Base de Grupos'!$A:$A,'Base de Grupos'!$M:$M)</f>
        <v>REGIONAL VENDA INTERNA - CONVENIENCIA</v>
      </c>
      <c r="L978" s="5" t="str">
        <f t="shared" si="343"/>
        <v/>
      </c>
      <c r="M978" s="5" t="str">
        <f>_xlfn.XLOOKUP($N978,'Base de Grupos'!$A:$A,'Base de Grupos'!$C:$C)</f>
        <v>MS</v>
      </c>
      <c r="N978" s="3">
        <v>1519</v>
      </c>
      <c r="O978" s="4" t="s">
        <v>278</v>
      </c>
      <c r="P978" s="5" t="s">
        <v>84</v>
      </c>
      <c r="Q978" s="24">
        <v>0</v>
      </c>
      <c r="R978" s="24">
        <v>0</v>
      </c>
      <c r="S978" s="24">
        <v>0</v>
      </c>
      <c r="T978" s="24">
        <v>0</v>
      </c>
      <c r="U978" s="24">
        <v>0</v>
      </c>
      <c r="V978" s="24">
        <v>0</v>
      </c>
      <c r="W978" s="24">
        <v>0</v>
      </c>
      <c r="X978" s="24">
        <v>0</v>
      </c>
      <c r="Y978" s="24">
        <v>0</v>
      </c>
      <c r="Z978" s="24">
        <v>0</v>
      </c>
      <c r="AA978" s="24">
        <v>0</v>
      </c>
      <c r="AB978" s="24">
        <v>0</v>
      </c>
      <c r="AC978" s="30">
        <f t="shared" si="344"/>
        <v>0</v>
      </c>
      <c r="AD978" s="28"/>
      <c r="AE978" s="12"/>
      <c r="AF978" s="29"/>
      <c r="AG978" s="9"/>
      <c r="AH978" s="10"/>
      <c r="AI978" s="9"/>
      <c r="AJ978" s="11"/>
      <c r="AK978" s="9"/>
      <c r="AL978" s="13"/>
      <c r="AM978" s="9"/>
    </row>
    <row r="979" spans="1:39" x14ac:dyDescent="0.3">
      <c r="A979" s="2" t="str">
        <f t="shared" si="342"/>
        <v>NÃO</v>
      </c>
      <c r="B979" s="2" t="str">
        <f>_xlfn.XLOOKUP($N979,'Base de Grupos'!$A:$A,'Base de Grupos'!$D:$D)</f>
        <v>1000065763</v>
      </c>
      <c r="C979" s="5" t="str">
        <f>_xlfn.XLOOKUP($N979,'Base de Grupos'!$A:$A,'Base de Grupos'!$E:$E)</f>
        <v>CANAL VENDA INTERNA</v>
      </c>
      <c r="D979" s="5" t="str">
        <f>_xlfn.XLOOKUP($N979,'Base de Grupos'!$A:$A,'Base de Grupos'!$F:$F)</f>
        <v>1000065763</v>
      </c>
      <c r="E979" s="2" t="str">
        <f>_xlfn.XLOOKUP($N979,'Base de Grupos'!$A:$A,'Base de Grupos'!$G:$G)</f>
        <v>CANAL VENDA INTERNA</v>
      </c>
      <c r="F979" s="2" t="str">
        <f>_xlfn.XLOOKUP($N979,'Base de Grupos'!$A:$A,'Base de Grupos'!$H:$H)</f>
        <v>1000174119</v>
      </c>
      <c r="G979" s="5" t="str">
        <f>_xlfn.XLOOKUP($N979,'Base de Grupos'!$A:$A,'Base de Grupos'!$I:$I)</f>
        <v>REGIONAL VENDA INTERNA - CONVENIENCIA</v>
      </c>
      <c r="H979" s="5" t="str">
        <f>_xlfn.XLOOKUP($N979,'Base de Grupos'!$A:$A,'Base de Grupos'!$J:$J)</f>
        <v>1000174119</v>
      </c>
      <c r="I979" s="2" t="str">
        <f>_xlfn.XLOOKUP($N979,'Base de Grupos'!$A:$A,'Base de Grupos'!$K:$K)</f>
        <v>REGIONAL VENDA INTERNA - CONVENIENCIA</v>
      </c>
      <c r="J979" s="2" t="str">
        <f>_xlfn.XLOOKUP($N979,'Base de Grupos'!$A:$A,'Base de Grupos'!$L:$L)</f>
        <v>1000174119</v>
      </c>
      <c r="K979" s="5" t="str">
        <f>_xlfn.XLOOKUP($N979,'Base de Grupos'!$A:$A,'Base de Grupos'!$M:$M)</f>
        <v>REGIONAL VENDA INTERNA - CONVENIENCIA</v>
      </c>
      <c r="L979" s="5" t="str">
        <f t="shared" si="343"/>
        <v/>
      </c>
      <c r="M979" s="5" t="str">
        <f>_xlfn.XLOOKUP($N979,'Base de Grupos'!$A:$A,'Base de Grupos'!$C:$C)</f>
        <v>MS</v>
      </c>
      <c r="N979" s="3">
        <v>1519</v>
      </c>
      <c r="O979" s="4" t="s">
        <v>278</v>
      </c>
      <c r="P979" s="5" t="s">
        <v>83</v>
      </c>
      <c r="Q979" s="24">
        <v>0</v>
      </c>
      <c r="R979" s="24">
        <v>0</v>
      </c>
      <c r="S979" s="24">
        <v>0</v>
      </c>
      <c r="T979" s="24">
        <v>0</v>
      </c>
      <c r="U979" s="24">
        <v>0</v>
      </c>
      <c r="V979" s="24">
        <v>0</v>
      </c>
      <c r="W979" s="24">
        <v>0</v>
      </c>
      <c r="X979" s="24">
        <v>0</v>
      </c>
      <c r="Y979" s="24">
        <v>0</v>
      </c>
      <c r="Z979" s="24">
        <v>0</v>
      </c>
      <c r="AA979" s="24">
        <v>0</v>
      </c>
      <c r="AB979" s="24">
        <v>0</v>
      </c>
      <c r="AC979" s="30">
        <f t="shared" si="344"/>
        <v>0</v>
      </c>
      <c r="AD979" s="28"/>
      <c r="AE979" s="12"/>
      <c r="AF979" s="29"/>
      <c r="AG979" s="9"/>
      <c r="AH979" s="10"/>
      <c r="AI979" s="9"/>
      <c r="AJ979" s="11"/>
      <c r="AK979" s="9"/>
      <c r="AL979" s="13"/>
      <c r="AM979" s="9"/>
    </row>
    <row r="980" spans="1:39" x14ac:dyDescent="0.3">
      <c r="A980" s="2" t="str">
        <f t="shared" si="342"/>
        <v>NÃO</v>
      </c>
      <c r="B980" s="2" t="str">
        <f>_xlfn.XLOOKUP($N980,'Base de Grupos'!$A:$A,'Base de Grupos'!$D:$D)</f>
        <v>1000065763</v>
      </c>
      <c r="C980" s="5" t="str">
        <f>_xlfn.XLOOKUP($N980,'Base de Grupos'!$A:$A,'Base de Grupos'!$E:$E)</f>
        <v>CANAL VENDA INTERNA</v>
      </c>
      <c r="D980" s="5" t="str">
        <f>_xlfn.XLOOKUP($N980,'Base de Grupos'!$A:$A,'Base de Grupos'!$F:$F)</f>
        <v>1000065763</v>
      </c>
      <c r="E980" s="2" t="str">
        <f>_xlfn.XLOOKUP($N980,'Base de Grupos'!$A:$A,'Base de Grupos'!$G:$G)</f>
        <v>CANAL VENDA INTERNA</v>
      </c>
      <c r="F980" s="2" t="str">
        <f>_xlfn.XLOOKUP($N980,'Base de Grupos'!$A:$A,'Base de Grupos'!$H:$H)</f>
        <v>1000174119</v>
      </c>
      <c r="G980" s="5" t="str">
        <f>_xlfn.XLOOKUP($N980,'Base de Grupos'!$A:$A,'Base de Grupos'!$I:$I)</f>
        <v>REGIONAL VENDA INTERNA - CONVENIENCIA</v>
      </c>
      <c r="H980" s="5" t="str">
        <f>_xlfn.XLOOKUP($N980,'Base de Grupos'!$A:$A,'Base de Grupos'!$J:$J)</f>
        <v>1000174119</v>
      </c>
      <c r="I980" s="2" t="str">
        <f>_xlfn.XLOOKUP($N980,'Base de Grupos'!$A:$A,'Base de Grupos'!$K:$K)</f>
        <v>REGIONAL VENDA INTERNA - CONVENIENCIA</v>
      </c>
      <c r="J980" s="2" t="str">
        <f>_xlfn.XLOOKUP($N980,'Base de Grupos'!$A:$A,'Base de Grupos'!$L:$L)</f>
        <v>1000174119</v>
      </c>
      <c r="K980" s="5" t="str">
        <f>_xlfn.XLOOKUP($N980,'Base de Grupos'!$A:$A,'Base de Grupos'!$M:$M)</f>
        <v>REGIONAL VENDA INTERNA - CONVENIENCIA</v>
      </c>
      <c r="L980" s="5" t="str">
        <f t="shared" si="343"/>
        <v/>
      </c>
      <c r="M980" s="5" t="str">
        <f>_xlfn.XLOOKUP($N980,'Base de Grupos'!$A:$A,'Base de Grupos'!$C:$C)</f>
        <v>MS</v>
      </c>
      <c r="N980" s="3">
        <v>1519</v>
      </c>
      <c r="O980" s="4" t="s">
        <v>278</v>
      </c>
      <c r="P980" s="5" t="s">
        <v>87</v>
      </c>
      <c r="Q980" s="24">
        <v>0</v>
      </c>
      <c r="R980" s="24">
        <v>0</v>
      </c>
      <c r="S980" s="24">
        <v>0</v>
      </c>
      <c r="T980" s="24">
        <v>0</v>
      </c>
      <c r="U980" s="24">
        <v>0</v>
      </c>
      <c r="V980" s="24">
        <v>0</v>
      </c>
      <c r="W980" s="24">
        <v>0</v>
      </c>
      <c r="X980" s="24">
        <v>0</v>
      </c>
      <c r="Y980" s="24">
        <v>0</v>
      </c>
      <c r="Z980" s="24">
        <v>0</v>
      </c>
      <c r="AA980" s="24">
        <v>0</v>
      </c>
      <c r="AB980" s="24">
        <v>0</v>
      </c>
      <c r="AC980" s="30">
        <f t="shared" si="344"/>
        <v>0</v>
      </c>
      <c r="AD980" s="28"/>
      <c r="AE980" s="12"/>
      <c r="AF980" s="29"/>
      <c r="AG980" s="9"/>
      <c r="AH980" s="10"/>
      <c r="AI980" s="9"/>
      <c r="AJ980" s="11"/>
      <c r="AK980" s="9"/>
      <c r="AL980" s="13"/>
      <c r="AM980" s="9"/>
    </row>
    <row r="981" spans="1:39" x14ac:dyDescent="0.3">
      <c r="A981" s="2" t="str">
        <f t="shared" si="342"/>
        <v>NÃO</v>
      </c>
      <c r="B981" s="2" t="str">
        <f>_xlfn.XLOOKUP($N981,'Base de Grupos'!$A:$A,'Base de Grupos'!$D:$D)</f>
        <v>1000065763</v>
      </c>
      <c r="C981" s="5" t="str">
        <f>_xlfn.XLOOKUP($N981,'Base de Grupos'!$A:$A,'Base de Grupos'!$E:$E)</f>
        <v>CANAL VENDA INTERNA</v>
      </c>
      <c r="D981" s="5" t="str">
        <f>_xlfn.XLOOKUP($N981,'Base de Grupos'!$A:$A,'Base de Grupos'!$F:$F)</f>
        <v>1000065763</v>
      </c>
      <c r="E981" s="2" t="str">
        <f>_xlfn.XLOOKUP($N981,'Base de Grupos'!$A:$A,'Base de Grupos'!$G:$G)</f>
        <v>CANAL VENDA INTERNA</v>
      </c>
      <c r="F981" s="2" t="str">
        <f>_xlfn.XLOOKUP($N981,'Base de Grupos'!$A:$A,'Base de Grupos'!$H:$H)</f>
        <v>1000174119</v>
      </c>
      <c r="G981" s="5" t="str">
        <f>_xlfn.XLOOKUP($N981,'Base de Grupos'!$A:$A,'Base de Grupos'!$I:$I)</f>
        <v>REGIONAL VENDA INTERNA - CONVENIENCIA</v>
      </c>
      <c r="H981" s="5" t="str">
        <f>_xlfn.XLOOKUP($N981,'Base de Grupos'!$A:$A,'Base de Grupos'!$J:$J)</f>
        <v>1000174119</v>
      </c>
      <c r="I981" s="2" t="str">
        <f>_xlfn.XLOOKUP($N981,'Base de Grupos'!$A:$A,'Base de Grupos'!$K:$K)</f>
        <v>REGIONAL VENDA INTERNA - CONVENIENCIA</v>
      </c>
      <c r="J981" s="2" t="str">
        <f>_xlfn.XLOOKUP($N981,'Base de Grupos'!$A:$A,'Base de Grupos'!$L:$L)</f>
        <v>1000174119</v>
      </c>
      <c r="K981" s="5" t="str">
        <f>_xlfn.XLOOKUP($N981,'Base de Grupos'!$A:$A,'Base de Grupos'!$M:$M)</f>
        <v>REGIONAL VENDA INTERNA - CONVENIENCIA</v>
      </c>
      <c r="L981" s="5" t="str">
        <f t="shared" si="343"/>
        <v/>
      </c>
      <c r="M981" s="5" t="str">
        <f>_xlfn.XLOOKUP($N981,'Base de Grupos'!$A:$A,'Base de Grupos'!$C:$C)</f>
        <v>MS</v>
      </c>
      <c r="N981" s="3">
        <v>1519</v>
      </c>
      <c r="O981" s="4" t="s">
        <v>278</v>
      </c>
      <c r="P981" s="5" t="s">
        <v>85</v>
      </c>
      <c r="Q981" s="24">
        <v>0</v>
      </c>
      <c r="R981" s="24">
        <v>0</v>
      </c>
      <c r="S981" s="24">
        <v>0</v>
      </c>
      <c r="T981" s="24">
        <v>0</v>
      </c>
      <c r="U981" s="24">
        <v>0</v>
      </c>
      <c r="V981" s="24">
        <v>0</v>
      </c>
      <c r="W981" s="24">
        <v>0</v>
      </c>
      <c r="X981" s="24">
        <v>0</v>
      </c>
      <c r="Y981" s="24">
        <v>0</v>
      </c>
      <c r="Z981" s="24">
        <v>0</v>
      </c>
      <c r="AA981" s="24">
        <v>0</v>
      </c>
      <c r="AB981" s="24">
        <v>0</v>
      </c>
      <c r="AC981" s="30">
        <f t="shared" si="344"/>
        <v>0</v>
      </c>
      <c r="AD981" s="28"/>
      <c r="AE981" s="12"/>
      <c r="AF981" s="29"/>
      <c r="AG981" s="9"/>
      <c r="AH981" s="10"/>
      <c r="AI981" s="9"/>
      <c r="AJ981" s="11"/>
      <c r="AK981" s="9"/>
      <c r="AL981" s="13"/>
      <c r="AM981" s="9"/>
    </row>
    <row r="982" spans="1:39" x14ac:dyDescent="0.3">
      <c r="A982" s="2" t="str">
        <f t="shared" si="342"/>
        <v>NÃO</v>
      </c>
      <c r="B982" s="2" t="str">
        <f>_xlfn.XLOOKUP($N982,'Base de Grupos'!$A:$A,'Base de Grupos'!$D:$D)</f>
        <v>1000065763</v>
      </c>
      <c r="C982" s="5" t="str">
        <f>_xlfn.XLOOKUP($N982,'Base de Grupos'!$A:$A,'Base de Grupos'!$E:$E)</f>
        <v>CANAL VENDA INTERNA</v>
      </c>
      <c r="D982" s="5" t="str">
        <f>_xlfn.XLOOKUP($N982,'Base de Grupos'!$A:$A,'Base de Grupos'!$F:$F)</f>
        <v>1000065763</v>
      </c>
      <c r="E982" s="2" t="str">
        <f>_xlfn.XLOOKUP($N982,'Base de Grupos'!$A:$A,'Base de Grupos'!$G:$G)</f>
        <v>CANAL VENDA INTERNA</v>
      </c>
      <c r="F982" s="2" t="str">
        <f>_xlfn.XLOOKUP($N982,'Base de Grupos'!$A:$A,'Base de Grupos'!$H:$H)</f>
        <v>1000174119</v>
      </c>
      <c r="G982" s="5" t="str">
        <f>_xlfn.XLOOKUP($N982,'Base de Grupos'!$A:$A,'Base de Grupos'!$I:$I)</f>
        <v>REGIONAL VENDA INTERNA - CONVENIENCIA</v>
      </c>
      <c r="H982" s="5" t="str">
        <f>_xlfn.XLOOKUP($N982,'Base de Grupos'!$A:$A,'Base de Grupos'!$J:$J)</f>
        <v>1000174119</v>
      </c>
      <c r="I982" s="2" t="str">
        <f>_xlfn.XLOOKUP($N982,'Base de Grupos'!$A:$A,'Base de Grupos'!$K:$K)</f>
        <v>REGIONAL VENDA INTERNA - CONVENIENCIA</v>
      </c>
      <c r="J982" s="2" t="str">
        <f>_xlfn.XLOOKUP($N982,'Base de Grupos'!$A:$A,'Base de Grupos'!$L:$L)</f>
        <v>1000174119</v>
      </c>
      <c r="K982" s="5" t="str">
        <f>_xlfn.XLOOKUP($N982,'Base de Grupos'!$A:$A,'Base de Grupos'!$M:$M)</f>
        <v>REGIONAL VENDA INTERNA - CONVENIENCIA</v>
      </c>
      <c r="L982" s="5" t="str">
        <f t="shared" si="343"/>
        <v/>
      </c>
      <c r="M982" s="5" t="str">
        <f>_xlfn.XLOOKUP($N982,'Base de Grupos'!$A:$A,'Base de Grupos'!$C:$C)</f>
        <v>MS</v>
      </c>
      <c r="N982" s="3">
        <v>1519</v>
      </c>
      <c r="O982" s="4" t="s">
        <v>278</v>
      </c>
      <c r="P982" s="5" t="s">
        <v>92</v>
      </c>
      <c r="Q982" s="24">
        <v>0</v>
      </c>
      <c r="R982" s="24">
        <v>0</v>
      </c>
      <c r="S982" s="24">
        <v>0</v>
      </c>
      <c r="T982" s="24">
        <v>0</v>
      </c>
      <c r="U982" s="24">
        <v>0</v>
      </c>
      <c r="V982" s="24">
        <v>0</v>
      </c>
      <c r="W982" s="24">
        <v>0</v>
      </c>
      <c r="X982" s="24">
        <v>0</v>
      </c>
      <c r="Y982" s="24">
        <v>0</v>
      </c>
      <c r="Z982" s="24">
        <v>0</v>
      </c>
      <c r="AA982" s="24">
        <v>0</v>
      </c>
      <c r="AB982" s="24">
        <v>0</v>
      </c>
      <c r="AC982" s="30">
        <f t="shared" si="344"/>
        <v>0</v>
      </c>
      <c r="AD982" s="28"/>
      <c r="AE982" s="12"/>
      <c r="AF982" s="29"/>
      <c r="AG982" s="9"/>
      <c r="AH982" s="10"/>
      <c r="AI982" s="9"/>
      <c r="AJ982" s="11"/>
      <c r="AK982" s="9"/>
      <c r="AL982" s="13"/>
      <c r="AM982" s="9"/>
    </row>
    <row r="983" spans="1:39" x14ac:dyDescent="0.3">
      <c r="A983" s="2" t="str">
        <f t="shared" si="342"/>
        <v>NÃO</v>
      </c>
      <c r="B983" s="2" t="str">
        <f>_xlfn.XLOOKUP($N983,'Base de Grupos'!$A:$A,'Base de Grupos'!$D:$D)</f>
        <v>1000065763</v>
      </c>
      <c r="C983" s="5" t="str">
        <f>_xlfn.XLOOKUP($N983,'Base de Grupos'!$A:$A,'Base de Grupos'!$E:$E)</f>
        <v>CANAL VENDA INTERNA</v>
      </c>
      <c r="D983" s="5" t="str">
        <f>_xlfn.XLOOKUP($N983,'Base de Grupos'!$A:$A,'Base de Grupos'!$F:$F)</f>
        <v>1000065763</v>
      </c>
      <c r="E983" s="2" t="str">
        <f>_xlfn.XLOOKUP($N983,'Base de Grupos'!$A:$A,'Base de Grupos'!$G:$G)</f>
        <v>CANAL VENDA INTERNA</v>
      </c>
      <c r="F983" s="2" t="str">
        <f>_xlfn.XLOOKUP($N983,'Base de Grupos'!$A:$A,'Base de Grupos'!$H:$H)</f>
        <v>1000174119</v>
      </c>
      <c r="G983" s="5" t="str">
        <f>_xlfn.XLOOKUP($N983,'Base de Grupos'!$A:$A,'Base de Grupos'!$I:$I)</f>
        <v>REGIONAL VENDA INTERNA - CONVENIENCIA</v>
      </c>
      <c r="H983" s="5" t="str">
        <f>_xlfn.XLOOKUP($N983,'Base de Grupos'!$A:$A,'Base de Grupos'!$J:$J)</f>
        <v>1000174119</v>
      </c>
      <c r="I983" s="2" t="str">
        <f>_xlfn.XLOOKUP($N983,'Base de Grupos'!$A:$A,'Base de Grupos'!$K:$K)</f>
        <v>REGIONAL VENDA INTERNA - CONVENIENCIA</v>
      </c>
      <c r="J983" s="2" t="str">
        <f>_xlfn.XLOOKUP($N983,'Base de Grupos'!$A:$A,'Base de Grupos'!$L:$L)</f>
        <v>1000174119</v>
      </c>
      <c r="K983" s="5" t="str">
        <f>_xlfn.XLOOKUP($N983,'Base de Grupos'!$A:$A,'Base de Grupos'!$M:$M)</f>
        <v>REGIONAL VENDA INTERNA - CONVENIENCIA</v>
      </c>
      <c r="L983" s="5" t="str">
        <f t="shared" si="343"/>
        <v/>
      </c>
      <c r="M983" s="5" t="str">
        <f>_xlfn.XLOOKUP($N983,'Base de Grupos'!$A:$A,'Base de Grupos'!$C:$C)</f>
        <v>MS</v>
      </c>
      <c r="N983" s="3">
        <v>1519</v>
      </c>
      <c r="O983" s="4" t="s">
        <v>278</v>
      </c>
      <c r="P983" s="5" t="s">
        <v>86</v>
      </c>
      <c r="Q983" s="24">
        <v>0</v>
      </c>
      <c r="R983" s="24">
        <v>0</v>
      </c>
      <c r="S983" s="24">
        <v>0</v>
      </c>
      <c r="T983" s="24">
        <v>0</v>
      </c>
      <c r="U983" s="24">
        <v>0</v>
      </c>
      <c r="V983" s="24">
        <v>0</v>
      </c>
      <c r="W983" s="24">
        <v>0</v>
      </c>
      <c r="X983" s="24">
        <v>0</v>
      </c>
      <c r="Y983" s="24">
        <v>0</v>
      </c>
      <c r="Z983" s="24">
        <v>0</v>
      </c>
      <c r="AA983" s="24">
        <v>0</v>
      </c>
      <c r="AB983" s="24">
        <v>0</v>
      </c>
      <c r="AC983" s="30">
        <f t="shared" si="344"/>
        <v>0</v>
      </c>
      <c r="AD983" s="28"/>
      <c r="AE983" s="12"/>
      <c r="AF983" s="29"/>
      <c r="AG983" s="9"/>
      <c r="AH983" s="10"/>
      <c r="AI983" s="9"/>
      <c r="AJ983" s="11"/>
      <c r="AK983" s="9"/>
      <c r="AL983" s="13"/>
      <c r="AM983" s="9"/>
    </row>
    <row r="984" spans="1:39" x14ac:dyDescent="0.3">
      <c r="A984" s="2" t="str">
        <f t="shared" si="342"/>
        <v>NÃO</v>
      </c>
      <c r="B984" s="2" t="str">
        <f>_xlfn.XLOOKUP($N984,'Base de Grupos'!$A:$A,'Base de Grupos'!$D:$D)</f>
        <v>1000065763</v>
      </c>
      <c r="C984" s="5" t="str">
        <f>_xlfn.XLOOKUP($N984,'Base de Grupos'!$A:$A,'Base de Grupos'!$E:$E)</f>
        <v>CANAL VENDA INTERNA</v>
      </c>
      <c r="D984" s="5" t="str">
        <f>_xlfn.XLOOKUP($N984,'Base de Grupos'!$A:$A,'Base de Grupos'!$F:$F)</f>
        <v>1000065763</v>
      </c>
      <c r="E984" s="2" t="str">
        <f>_xlfn.XLOOKUP($N984,'Base de Grupos'!$A:$A,'Base de Grupos'!$G:$G)</f>
        <v>CANAL VENDA INTERNA</v>
      </c>
      <c r="F984" s="2" t="str">
        <f>_xlfn.XLOOKUP($N984,'Base de Grupos'!$A:$A,'Base de Grupos'!$H:$H)</f>
        <v>1000174119</v>
      </c>
      <c r="G984" s="5" t="str">
        <f>_xlfn.XLOOKUP($N984,'Base de Grupos'!$A:$A,'Base de Grupos'!$I:$I)</f>
        <v>REGIONAL VENDA INTERNA - CONVENIENCIA</v>
      </c>
      <c r="H984" s="5" t="str">
        <f>_xlfn.XLOOKUP($N984,'Base de Grupos'!$A:$A,'Base de Grupos'!$J:$J)</f>
        <v>1000174119</v>
      </c>
      <c r="I984" s="2" t="str">
        <f>_xlfn.XLOOKUP($N984,'Base de Grupos'!$A:$A,'Base de Grupos'!$K:$K)</f>
        <v>REGIONAL VENDA INTERNA - CONVENIENCIA</v>
      </c>
      <c r="J984" s="2" t="str">
        <f>_xlfn.XLOOKUP($N984,'Base de Grupos'!$A:$A,'Base de Grupos'!$L:$L)</f>
        <v>1000174119</v>
      </c>
      <c r="K984" s="5" t="str">
        <f>_xlfn.XLOOKUP($N984,'Base de Grupos'!$A:$A,'Base de Grupos'!$M:$M)</f>
        <v>REGIONAL VENDA INTERNA - CONVENIENCIA</v>
      </c>
      <c r="L984" s="5" t="str">
        <f t="shared" si="343"/>
        <v/>
      </c>
      <c r="M984" s="5" t="str">
        <f>_xlfn.XLOOKUP($N984,'Base de Grupos'!$A:$A,'Base de Grupos'!$C:$C)</f>
        <v>MS</v>
      </c>
      <c r="N984" s="3">
        <v>1519</v>
      </c>
      <c r="O984" s="4" t="s">
        <v>278</v>
      </c>
      <c r="P984" s="5" t="s">
        <v>108</v>
      </c>
      <c r="Q984" s="24">
        <v>0</v>
      </c>
      <c r="R984" s="24">
        <v>0</v>
      </c>
      <c r="S984" s="24">
        <v>0</v>
      </c>
      <c r="T984" s="24">
        <v>0</v>
      </c>
      <c r="U984" s="24">
        <v>0</v>
      </c>
      <c r="V984" s="24">
        <v>0</v>
      </c>
      <c r="W984" s="24">
        <v>0</v>
      </c>
      <c r="X984" s="24">
        <v>0</v>
      </c>
      <c r="Y984" s="24">
        <v>0</v>
      </c>
      <c r="Z984" s="24">
        <v>0</v>
      </c>
      <c r="AA984" s="24">
        <v>0</v>
      </c>
      <c r="AB984" s="24">
        <v>0</v>
      </c>
      <c r="AC984" s="30">
        <f t="shared" si="344"/>
        <v>0</v>
      </c>
      <c r="AD984" s="28"/>
      <c r="AE984" s="12"/>
      <c r="AF984" s="29"/>
      <c r="AG984" s="9"/>
      <c r="AH984" s="10"/>
      <c r="AI984" s="9"/>
      <c r="AJ984" s="11"/>
      <c r="AK984" s="9"/>
      <c r="AL984" s="13"/>
      <c r="AM984" s="9"/>
    </row>
    <row r="985" spans="1:39" x14ac:dyDescent="0.3">
      <c r="A985" s="2" t="str">
        <f t="shared" si="342"/>
        <v>NÃO</v>
      </c>
      <c r="B985" s="2" t="str">
        <f>_xlfn.XLOOKUP($N985,'Base de Grupos'!$A:$A,'Base de Grupos'!$D:$D)</f>
        <v>1000065763</v>
      </c>
      <c r="C985" s="5" t="str">
        <f>_xlfn.XLOOKUP($N985,'Base de Grupos'!$A:$A,'Base de Grupos'!$E:$E)</f>
        <v>CANAL VENDA INTERNA</v>
      </c>
      <c r="D985" s="5" t="str">
        <f>_xlfn.XLOOKUP($N985,'Base de Grupos'!$A:$A,'Base de Grupos'!$F:$F)</f>
        <v>1000065763</v>
      </c>
      <c r="E985" s="2" t="str">
        <f>_xlfn.XLOOKUP($N985,'Base de Grupos'!$A:$A,'Base de Grupos'!$G:$G)</f>
        <v>CANAL VENDA INTERNA</v>
      </c>
      <c r="F985" s="2" t="str">
        <f>_xlfn.XLOOKUP($N985,'Base de Grupos'!$A:$A,'Base de Grupos'!$H:$H)</f>
        <v>1000174119</v>
      </c>
      <c r="G985" s="5" t="str">
        <f>_xlfn.XLOOKUP($N985,'Base de Grupos'!$A:$A,'Base de Grupos'!$I:$I)</f>
        <v>REGIONAL VENDA INTERNA - CONVENIENCIA</v>
      </c>
      <c r="H985" s="5" t="str">
        <f>_xlfn.XLOOKUP($N985,'Base de Grupos'!$A:$A,'Base de Grupos'!$J:$J)</f>
        <v>1000174119</v>
      </c>
      <c r="I985" s="2" t="str">
        <f>_xlfn.XLOOKUP($N985,'Base de Grupos'!$A:$A,'Base de Grupos'!$K:$K)</f>
        <v>REGIONAL VENDA INTERNA - CONVENIENCIA</v>
      </c>
      <c r="J985" s="2" t="str">
        <f>_xlfn.XLOOKUP($N985,'Base de Grupos'!$A:$A,'Base de Grupos'!$L:$L)</f>
        <v>1000174119</v>
      </c>
      <c r="K985" s="5" t="str">
        <f>_xlfn.XLOOKUP($N985,'Base de Grupos'!$A:$A,'Base de Grupos'!$M:$M)</f>
        <v>REGIONAL VENDA INTERNA - CONVENIENCIA</v>
      </c>
      <c r="L985" s="5" t="str">
        <f t="shared" si="343"/>
        <v/>
      </c>
      <c r="M985" s="5" t="str">
        <f>_xlfn.XLOOKUP($N985,'Base de Grupos'!$A:$A,'Base de Grupos'!$C:$C)</f>
        <v>MS</v>
      </c>
      <c r="N985" s="3">
        <v>1519</v>
      </c>
      <c r="O985" s="4" t="s">
        <v>278</v>
      </c>
      <c r="P985" s="5" t="s">
        <v>89</v>
      </c>
      <c r="Q985" s="24">
        <v>0</v>
      </c>
      <c r="R985" s="24">
        <v>0</v>
      </c>
      <c r="S985" s="24">
        <v>0</v>
      </c>
      <c r="T985" s="24">
        <v>0</v>
      </c>
      <c r="U985" s="24">
        <v>0</v>
      </c>
      <c r="V985" s="24">
        <v>0</v>
      </c>
      <c r="W985" s="24">
        <v>0</v>
      </c>
      <c r="X985" s="24">
        <v>0</v>
      </c>
      <c r="Y985" s="24">
        <v>0</v>
      </c>
      <c r="Z985" s="24">
        <v>0</v>
      </c>
      <c r="AA985" s="24">
        <v>0</v>
      </c>
      <c r="AB985" s="24">
        <v>0</v>
      </c>
      <c r="AC985" s="30">
        <f t="shared" si="344"/>
        <v>0</v>
      </c>
      <c r="AD985" s="28"/>
      <c r="AE985" s="12"/>
      <c r="AF985" s="29"/>
      <c r="AG985" s="9"/>
      <c r="AH985" s="10"/>
      <c r="AI985" s="9"/>
      <c r="AJ985" s="11"/>
      <c r="AK985" s="9"/>
      <c r="AL985" s="13"/>
      <c r="AM985" s="9"/>
    </row>
    <row r="986" spans="1:39" x14ac:dyDescent="0.3">
      <c r="A986" s="2" t="str">
        <f t="shared" ref="A986:A1049" si="345">IF(L986=1,"SIM","NÃO")</f>
        <v>NÃO</v>
      </c>
      <c r="B986" s="2" t="str">
        <f>_xlfn.XLOOKUP($N986,'Base de Grupos'!$A:$A,'Base de Grupos'!$D:$D)</f>
        <v>1000065763</v>
      </c>
      <c r="C986" s="5" t="str">
        <f>_xlfn.XLOOKUP($N986,'Base de Grupos'!$A:$A,'Base de Grupos'!$E:$E)</f>
        <v>CANAL VENDA INTERNA</v>
      </c>
      <c r="D986" s="5" t="str">
        <f>_xlfn.XLOOKUP($N986,'Base de Grupos'!$A:$A,'Base de Grupos'!$F:$F)</f>
        <v>1000065763</v>
      </c>
      <c r="E986" s="2" t="str">
        <f>_xlfn.XLOOKUP($N986,'Base de Grupos'!$A:$A,'Base de Grupos'!$G:$G)</f>
        <v>CANAL VENDA INTERNA</v>
      </c>
      <c r="F986" s="2" t="str">
        <f>_xlfn.XLOOKUP($N986,'Base de Grupos'!$A:$A,'Base de Grupos'!$H:$H)</f>
        <v>1000174119</v>
      </c>
      <c r="G986" s="5" t="str">
        <f>_xlfn.XLOOKUP($N986,'Base de Grupos'!$A:$A,'Base de Grupos'!$I:$I)</f>
        <v>REGIONAL VENDA INTERNA - CONVENIENCIA</v>
      </c>
      <c r="H986" s="5" t="str">
        <f>_xlfn.XLOOKUP($N986,'Base de Grupos'!$A:$A,'Base de Grupos'!$J:$J)</f>
        <v>1000174119</v>
      </c>
      <c r="I986" s="2" t="str">
        <f>_xlfn.XLOOKUP($N986,'Base de Grupos'!$A:$A,'Base de Grupos'!$K:$K)</f>
        <v>REGIONAL VENDA INTERNA - CONVENIENCIA</v>
      </c>
      <c r="J986" s="2" t="str">
        <f>_xlfn.XLOOKUP($N986,'Base de Grupos'!$A:$A,'Base de Grupos'!$L:$L)</f>
        <v>1000174119</v>
      </c>
      <c r="K986" s="5" t="str">
        <f>_xlfn.XLOOKUP($N986,'Base de Grupos'!$A:$A,'Base de Grupos'!$M:$M)</f>
        <v>REGIONAL VENDA INTERNA - CONVENIENCIA</v>
      </c>
      <c r="L986" s="5" t="str">
        <f t="shared" ref="L986:L1049" si="346">IF(N986&lt;&gt;N985,1,"")</f>
        <v/>
      </c>
      <c r="M986" s="5" t="str">
        <f>_xlfn.XLOOKUP($N986,'Base de Grupos'!$A:$A,'Base de Grupos'!$C:$C)</f>
        <v>MS</v>
      </c>
      <c r="N986" s="3">
        <v>1519</v>
      </c>
      <c r="O986" s="4" t="s">
        <v>278</v>
      </c>
      <c r="P986" s="5" t="s">
        <v>88</v>
      </c>
      <c r="Q986" s="24">
        <v>0</v>
      </c>
      <c r="R986" s="24">
        <v>0</v>
      </c>
      <c r="S986" s="24">
        <v>0</v>
      </c>
      <c r="T986" s="24">
        <v>0</v>
      </c>
      <c r="U986" s="24">
        <v>0</v>
      </c>
      <c r="V986" s="24">
        <v>0</v>
      </c>
      <c r="W986" s="24">
        <v>0</v>
      </c>
      <c r="X986" s="24">
        <v>0</v>
      </c>
      <c r="Y986" s="24">
        <v>0</v>
      </c>
      <c r="Z986" s="24">
        <v>0</v>
      </c>
      <c r="AA986" s="24">
        <v>0</v>
      </c>
      <c r="AB986" s="24">
        <v>0</v>
      </c>
      <c r="AC986" s="30">
        <f t="shared" si="344"/>
        <v>0</v>
      </c>
      <c r="AD986" s="28"/>
      <c r="AE986" s="12"/>
      <c r="AF986" s="29"/>
      <c r="AG986" s="9"/>
      <c r="AH986" s="10"/>
      <c r="AI986" s="9"/>
      <c r="AJ986" s="11"/>
      <c r="AK986" s="9"/>
      <c r="AL986" s="13"/>
      <c r="AM986" s="9"/>
    </row>
    <row r="987" spans="1:39" x14ac:dyDescent="0.3">
      <c r="A987" s="2" t="str">
        <f t="shared" si="345"/>
        <v>NÃO</v>
      </c>
      <c r="B987" s="2" t="str">
        <f>_xlfn.XLOOKUP($N987,'Base de Grupos'!$A:$A,'Base de Grupos'!$D:$D)</f>
        <v>1000065763</v>
      </c>
      <c r="C987" s="5" t="str">
        <f>_xlfn.XLOOKUP($N987,'Base de Grupos'!$A:$A,'Base de Grupos'!$E:$E)</f>
        <v>CANAL VENDA INTERNA</v>
      </c>
      <c r="D987" s="5" t="str">
        <f>_xlfn.XLOOKUP($N987,'Base de Grupos'!$A:$A,'Base de Grupos'!$F:$F)</f>
        <v>1000065763</v>
      </c>
      <c r="E987" s="2" t="str">
        <f>_xlfn.XLOOKUP($N987,'Base de Grupos'!$A:$A,'Base de Grupos'!$G:$G)</f>
        <v>CANAL VENDA INTERNA</v>
      </c>
      <c r="F987" s="2" t="str">
        <f>_xlfn.XLOOKUP($N987,'Base de Grupos'!$A:$A,'Base de Grupos'!$H:$H)</f>
        <v>1000174119</v>
      </c>
      <c r="G987" s="5" t="str">
        <f>_xlfn.XLOOKUP($N987,'Base de Grupos'!$A:$A,'Base de Grupos'!$I:$I)</f>
        <v>REGIONAL VENDA INTERNA - CONVENIENCIA</v>
      </c>
      <c r="H987" s="5" t="str">
        <f>_xlfn.XLOOKUP($N987,'Base de Grupos'!$A:$A,'Base de Grupos'!$J:$J)</f>
        <v>1000174119</v>
      </c>
      <c r="I987" s="2" t="str">
        <f>_xlfn.XLOOKUP($N987,'Base de Grupos'!$A:$A,'Base de Grupos'!$K:$K)</f>
        <v>REGIONAL VENDA INTERNA - CONVENIENCIA</v>
      </c>
      <c r="J987" s="2" t="str">
        <f>_xlfn.XLOOKUP($N987,'Base de Grupos'!$A:$A,'Base de Grupos'!$L:$L)</f>
        <v>1000174119</v>
      </c>
      <c r="K987" s="5" t="str">
        <f>_xlfn.XLOOKUP($N987,'Base de Grupos'!$A:$A,'Base de Grupos'!$M:$M)</f>
        <v>REGIONAL VENDA INTERNA - CONVENIENCIA</v>
      </c>
      <c r="L987" s="5" t="str">
        <f t="shared" si="346"/>
        <v/>
      </c>
      <c r="M987" s="5" t="str">
        <f>_xlfn.XLOOKUP($N987,'Base de Grupos'!$A:$A,'Base de Grupos'!$C:$C)</f>
        <v>MS</v>
      </c>
      <c r="N987" s="3">
        <v>1519</v>
      </c>
      <c r="O987" s="4" t="s">
        <v>278</v>
      </c>
      <c r="P987" s="5" t="s">
        <v>90</v>
      </c>
      <c r="Q987" s="24">
        <v>0</v>
      </c>
      <c r="R987" s="24">
        <v>0</v>
      </c>
      <c r="S987" s="24">
        <v>0</v>
      </c>
      <c r="T987" s="24">
        <v>0</v>
      </c>
      <c r="U987" s="24">
        <v>0</v>
      </c>
      <c r="V987" s="24">
        <v>0</v>
      </c>
      <c r="W987" s="24">
        <v>0</v>
      </c>
      <c r="X987" s="24">
        <v>0</v>
      </c>
      <c r="Y987" s="24">
        <v>0</v>
      </c>
      <c r="Z987" s="24">
        <v>0</v>
      </c>
      <c r="AA987" s="24">
        <v>0</v>
      </c>
      <c r="AB987" s="24">
        <v>0</v>
      </c>
      <c r="AC987" s="30">
        <f t="shared" ref="AC987:AC1050" si="347">SUM(T987:AB987)</f>
        <v>0</v>
      </c>
      <c r="AD987" s="28"/>
      <c r="AE987" s="12"/>
      <c r="AF987" s="29"/>
      <c r="AG987" s="9"/>
      <c r="AH987" s="10"/>
      <c r="AI987" s="9"/>
      <c r="AJ987" s="11"/>
      <c r="AK987" s="9"/>
      <c r="AL987" s="13"/>
      <c r="AM987" s="9"/>
    </row>
    <row r="988" spans="1:39" x14ac:dyDescent="0.3">
      <c r="A988" s="2" t="str">
        <f t="shared" si="345"/>
        <v>NÃO</v>
      </c>
      <c r="B988" s="2" t="str">
        <f>_xlfn.XLOOKUP($N988,'Base de Grupos'!$A:$A,'Base de Grupos'!$D:$D)</f>
        <v>1000065763</v>
      </c>
      <c r="C988" s="5" t="str">
        <f>_xlfn.XLOOKUP($N988,'Base de Grupos'!$A:$A,'Base de Grupos'!$E:$E)</f>
        <v>CANAL VENDA INTERNA</v>
      </c>
      <c r="D988" s="5" t="str">
        <f>_xlfn.XLOOKUP($N988,'Base de Grupos'!$A:$A,'Base de Grupos'!$F:$F)</f>
        <v>1000065763</v>
      </c>
      <c r="E988" s="2" t="str">
        <f>_xlfn.XLOOKUP($N988,'Base de Grupos'!$A:$A,'Base de Grupos'!$G:$G)</f>
        <v>CANAL VENDA INTERNA</v>
      </c>
      <c r="F988" s="2" t="str">
        <f>_xlfn.XLOOKUP($N988,'Base de Grupos'!$A:$A,'Base de Grupos'!$H:$H)</f>
        <v>1000174119</v>
      </c>
      <c r="G988" s="5" t="str">
        <f>_xlfn.XLOOKUP($N988,'Base de Grupos'!$A:$A,'Base de Grupos'!$I:$I)</f>
        <v>REGIONAL VENDA INTERNA - CONVENIENCIA</v>
      </c>
      <c r="H988" s="5" t="str">
        <f>_xlfn.XLOOKUP($N988,'Base de Grupos'!$A:$A,'Base de Grupos'!$J:$J)</f>
        <v>1000174119</v>
      </c>
      <c r="I988" s="2" t="str">
        <f>_xlfn.XLOOKUP($N988,'Base de Grupos'!$A:$A,'Base de Grupos'!$K:$K)</f>
        <v>REGIONAL VENDA INTERNA - CONVENIENCIA</v>
      </c>
      <c r="J988" s="2" t="str">
        <f>_xlfn.XLOOKUP($N988,'Base de Grupos'!$A:$A,'Base de Grupos'!$L:$L)</f>
        <v>1000174119</v>
      </c>
      <c r="K988" s="5" t="str">
        <f>_xlfn.XLOOKUP($N988,'Base de Grupos'!$A:$A,'Base de Grupos'!$M:$M)</f>
        <v>REGIONAL VENDA INTERNA - CONVENIENCIA</v>
      </c>
      <c r="L988" s="5" t="str">
        <f t="shared" si="346"/>
        <v/>
      </c>
      <c r="M988" s="5" t="str">
        <f>_xlfn.XLOOKUP($N988,'Base de Grupos'!$A:$A,'Base de Grupos'!$C:$C)</f>
        <v>MS</v>
      </c>
      <c r="N988" s="3">
        <v>1519</v>
      </c>
      <c r="O988" s="4" t="s">
        <v>278</v>
      </c>
      <c r="P988" s="5" t="s">
        <v>91</v>
      </c>
      <c r="Q988" s="24">
        <v>0</v>
      </c>
      <c r="R988" s="24">
        <v>0</v>
      </c>
      <c r="S988" s="24">
        <v>0</v>
      </c>
      <c r="T988" s="24">
        <v>0</v>
      </c>
      <c r="U988" s="24">
        <v>0</v>
      </c>
      <c r="V988" s="24">
        <v>0</v>
      </c>
      <c r="W988" s="24">
        <v>0</v>
      </c>
      <c r="X988" s="24">
        <v>0</v>
      </c>
      <c r="Y988" s="24">
        <v>0</v>
      </c>
      <c r="Z988" s="24">
        <v>0</v>
      </c>
      <c r="AA988" s="24">
        <v>0</v>
      </c>
      <c r="AB988" s="24">
        <v>0</v>
      </c>
      <c r="AC988" s="30">
        <f t="shared" si="347"/>
        <v>0</v>
      </c>
      <c r="AD988" s="28"/>
      <c r="AE988" s="12"/>
      <c r="AF988" s="29"/>
      <c r="AG988" s="9"/>
      <c r="AH988" s="10"/>
      <c r="AI988" s="9"/>
      <c r="AJ988" s="11"/>
      <c r="AK988" s="9"/>
      <c r="AL988" s="13"/>
      <c r="AM988" s="9"/>
    </row>
    <row r="989" spans="1:39" x14ac:dyDescent="0.3">
      <c r="A989" s="2" t="str">
        <f t="shared" si="345"/>
        <v>NÃO</v>
      </c>
      <c r="B989" s="2" t="str">
        <f>_xlfn.XLOOKUP($N989,'Base de Grupos'!$A:$A,'Base de Grupos'!$D:$D)</f>
        <v>1000065763</v>
      </c>
      <c r="C989" s="5" t="str">
        <f>_xlfn.XLOOKUP($N989,'Base de Grupos'!$A:$A,'Base de Grupos'!$E:$E)</f>
        <v>CANAL VENDA INTERNA</v>
      </c>
      <c r="D989" s="5" t="str">
        <f>_xlfn.XLOOKUP($N989,'Base de Grupos'!$A:$A,'Base de Grupos'!$F:$F)</f>
        <v>1000065763</v>
      </c>
      <c r="E989" s="2" t="str">
        <f>_xlfn.XLOOKUP($N989,'Base de Grupos'!$A:$A,'Base de Grupos'!$G:$G)</f>
        <v>CANAL VENDA INTERNA</v>
      </c>
      <c r="F989" s="2" t="str">
        <f>_xlfn.XLOOKUP($N989,'Base de Grupos'!$A:$A,'Base de Grupos'!$H:$H)</f>
        <v>1000174119</v>
      </c>
      <c r="G989" s="5" t="str">
        <f>_xlfn.XLOOKUP($N989,'Base de Grupos'!$A:$A,'Base de Grupos'!$I:$I)</f>
        <v>REGIONAL VENDA INTERNA - CONVENIENCIA</v>
      </c>
      <c r="H989" s="5" t="str">
        <f>_xlfn.XLOOKUP($N989,'Base de Grupos'!$A:$A,'Base de Grupos'!$J:$J)</f>
        <v>1000174119</v>
      </c>
      <c r="I989" s="2" t="str">
        <f>_xlfn.XLOOKUP($N989,'Base de Grupos'!$A:$A,'Base de Grupos'!$K:$K)</f>
        <v>REGIONAL VENDA INTERNA - CONVENIENCIA</v>
      </c>
      <c r="J989" s="2" t="str">
        <f>_xlfn.XLOOKUP($N989,'Base de Grupos'!$A:$A,'Base de Grupos'!$L:$L)</f>
        <v>1000174119</v>
      </c>
      <c r="K989" s="5" t="str">
        <f>_xlfn.XLOOKUP($N989,'Base de Grupos'!$A:$A,'Base de Grupos'!$M:$M)</f>
        <v>REGIONAL VENDA INTERNA - CONVENIENCIA</v>
      </c>
      <c r="L989" s="5" t="str">
        <f t="shared" si="346"/>
        <v/>
      </c>
      <c r="M989" s="5" t="str">
        <f>_xlfn.XLOOKUP($N989,'Base de Grupos'!$A:$A,'Base de Grupos'!$C:$C)</f>
        <v>MS</v>
      </c>
      <c r="N989" s="3">
        <v>1519</v>
      </c>
      <c r="O989" s="4" t="s">
        <v>278</v>
      </c>
      <c r="P989" s="5" t="s">
        <v>96</v>
      </c>
      <c r="Q989" s="24">
        <v>0</v>
      </c>
      <c r="R989" s="24">
        <v>0</v>
      </c>
      <c r="S989" s="24">
        <v>0</v>
      </c>
      <c r="T989" s="24">
        <v>0</v>
      </c>
      <c r="U989" s="24">
        <v>0</v>
      </c>
      <c r="V989" s="24">
        <v>0</v>
      </c>
      <c r="W989" s="24">
        <v>0</v>
      </c>
      <c r="X989" s="24">
        <v>0</v>
      </c>
      <c r="Y989" s="24">
        <v>0</v>
      </c>
      <c r="Z989" s="24">
        <v>0</v>
      </c>
      <c r="AA989" s="24">
        <v>0</v>
      </c>
      <c r="AB989" s="24">
        <v>0</v>
      </c>
      <c r="AC989" s="30">
        <f t="shared" si="347"/>
        <v>0</v>
      </c>
      <c r="AD989" s="28"/>
      <c r="AE989" s="12"/>
      <c r="AF989" s="29"/>
      <c r="AG989" s="9"/>
      <c r="AH989" s="10"/>
      <c r="AI989" s="9"/>
      <c r="AJ989" s="11"/>
      <c r="AK989" s="9"/>
      <c r="AL989" s="13"/>
      <c r="AM989" s="9"/>
    </row>
    <row r="990" spans="1:39" x14ac:dyDescent="0.3">
      <c r="A990" s="2" t="str">
        <f t="shared" si="345"/>
        <v>NÃO</v>
      </c>
      <c r="B990" s="2" t="str">
        <f>_xlfn.XLOOKUP($N990,'Base de Grupos'!$A:$A,'Base de Grupos'!$D:$D)</f>
        <v>1000065763</v>
      </c>
      <c r="C990" s="5" t="str">
        <f>_xlfn.XLOOKUP($N990,'Base de Grupos'!$A:$A,'Base de Grupos'!$E:$E)</f>
        <v>CANAL VENDA INTERNA</v>
      </c>
      <c r="D990" s="5" t="str">
        <f>_xlfn.XLOOKUP($N990,'Base de Grupos'!$A:$A,'Base de Grupos'!$F:$F)</f>
        <v>1000065763</v>
      </c>
      <c r="E990" s="2" t="str">
        <f>_xlfn.XLOOKUP($N990,'Base de Grupos'!$A:$A,'Base de Grupos'!$G:$G)</f>
        <v>CANAL VENDA INTERNA</v>
      </c>
      <c r="F990" s="2" t="str">
        <f>_xlfn.XLOOKUP($N990,'Base de Grupos'!$A:$A,'Base de Grupos'!$H:$H)</f>
        <v>1000174119</v>
      </c>
      <c r="G990" s="5" t="str">
        <f>_xlfn.XLOOKUP($N990,'Base de Grupos'!$A:$A,'Base de Grupos'!$I:$I)</f>
        <v>REGIONAL VENDA INTERNA - CONVENIENCIA</v>
      </c>
      <c r="H990" s="5" t="str">
        <f>_xlfn.XLOOKUP($N990,'Base de Grupos'!$A:$A,'Base de Grupos'!$J:$J)</f>
        <v>1000174119</v>
      </c>
      <c r="I990" s="2" t="str">
        <f>_xlfn.XLOOKUP($N990,'Base de Grupos'!$A:$A,'Base de Grupos'!$K:$K)</f>
        <v>REGIONAL VENDA INTERNA - CONVENIENCIA</v>
      </c>
      <c r="J990" s="2" t="str">
        <f>_xlfn.XLOOKUP($N990,'Base de Grupos'!$A:$A,'Base de Grupos'!$L:$L)</f>
        <v>1000174119</v>
      </c>
      <c r="K990" s="5" t="str">
        <f>_xlfn.XLOOKUP($N990,'Base de Grupos'!$A:$A,'Base de Grupos'!$M:$M)</f>
        <v>REGIONAL VENDA INTERNA - CONVENIENCIA</v>
      </c>
      <c r="L990" s="5" t="str">
        <f t="shared" si="346"/>
        <v/>
      </c>
      <c r="M990" s="5" t="str">
        <f>_xlfn.XLOOKUP($N990,'Base de Grupos'!$A:$A,'Base de Grupos'!$C:$C)</f>
        <v>MS</v>
      </c>
      <c r="N990" s="3">
        <v>1519</v>
      </c>
      <c r="O990" s="4" t="s">
        <v>278</v>
      </c>
      <c r="P990" s="5" t="s">
        <v>94</v>
      </c>
      <c r="Q990" s="24">
        <v>0</v>
      </c>
      <c r="R990" s="24">
        <v>0</v>
      </c>
      <c r="S990" s="24">
        <v>0</v>
      </c>
      <c r="T990" s="24">
        <v>0</v>
      </c>
      <c r="U990" s="24">
        <v>0</v>
      </c>
      <c r="V990" s="24">
        <v>0</v>
      </c>
      <c r="W990" s="24">
        <v>0</v>
      </c>
      <c r="X990" s="24">
        <v>0</v>
      </c>
      <c r="Y990" s="24">
        <v>0</v>
      </c>
      <c r="Z990" s="24">
        <v>0</v>
      </c>
      <c r="AA990" s="24">
        <v>0</v>
      </c>
      <c r="AB990" s="24">
        <v>0</v>
      </c>
      <c r="AC990" s="30">
        <f t="shared" si="347"/>
        <v>0</v>
      </c>
      <c r="AD990" s="28"/>
      <c r="AE990" s="12"/>
      <c r="AF990" s="29"/>
      <c r="AG990" s="9"/>
      <c r="AH990" s="10"/>
      <c r="AI990" s="9"/>
      <c r="AJ990" s="11"/>
      <c r="AK990" s="9"/>
      <c r="AL990" s="13"/>
      <c r="AM990" s="9"/>
    </row>
    <row r="991" spans="1:39" x14ac:dyDescent="0.3">
      <c r="A991" s="2" t="str">
        <f t="shared" si="345"/>
        <v>NÃO</v>
      </c>
      <c r="B991" s="2" t="str">
        <f>_xlfn.XLOOKUP($N991,'Base de Grupos'!$A:$A,'Base de Grupos'!$D:$D)</f>
        <v>1000065763</v>
      </c>
      <c r="C991" s="5" t="str">
        <f>_xlfn.XLOOKUP($N991,'Base de Grupos'!$A:$A,'Base de Grupos'!$E:$E)</f>
        <v>CANAL VENDA INTERNA</v>
      </c>
      <c r="D991" s="5" t="str">
        <f>_xlfn.XLOOKUP($N991,'Base de Grupos'!$A:$A,'Base de Grupos'!$F:$F)</f>
        <v>1000065763</v>
      </c>
      <c r="E991" s="2" t="str">
        <f>_xlfn.XLOOKUP($N991,'Base de Grupos'!$A:$A,'Base de Grupos'!$G:$G)</f>
        <v>CANAL VENDA INTERNA</v>
      </c>
      <c r="F991" s="2" t="str">
        <f>_xlfn.XLOOKUP($N991,'Base de Grupos'!$A:$A,'Base de Grupos'!$H:$H)</f>
        <v>1000174119</v>
      </c>
      <c r="G991" s="5" t="str">
        <f>_xlfn.XLOOKUP($N991,'Base de Grupos'!$A:$A,'Base de Grupos'!$I:$I)</f>
        <v>REGIONAL VENDA INTERNA - CONVENIENCIA</v>
      </c>
      <c r="H991" s="5" t="str">
        <f>_xlfn.XLOOKUP($N991,'Base de Grupos'!$A:$A,'Base de Grupos'!$J:$J)</f>
        <v>1000174119</v>
      </c>
      <c r="I991" s="2" t="str">
        <f>_xlfn.XLOOKUP($N991,'Base de Grupos'!$A:$A,'Base de Grupos'!$K:$K)</f>
        <v>REGIONAL VENDA INTERNA - CONVENIENCIA</v>
      </c>
      <c r="J991" s="2" t="str">
        <f>_xlfn.XLOOKUP($N991,'Base de Grupos'!$A:$A,'Base de Grupos'!$L:$L)</f>
        <v>1000174119</v>
      </c>
      <c r="K991" s="5" t="str">
        <f>_xlfn.XLOOKUP($N991,'Base de Grupos'!$A:$A,'Base de Grupos'!$M:$M)</f>
        <v>REGIONAL VENDA INTERNA - CONVENIENCIA</v>
      </c>
      <c r="L991" s="5" t="str">
        <f t="shared" si="346"/>
        <v/>
      </c>
      <c r="M991" s="5" t="str">
        <f>_xlfn.XLOOKUP($N991,'Base de Grupos'!$A:$A,'Base de Grupos'!$C:$C)</f>
        <v>MS</v>
      </c>
      <c r="N991" s="3">
        <v>1519</v>
      </c>
      <c r="O991" s="4" t="s">
        <v>278</v>
      </c>
      <c r="P991" s="5" t="s">
        <v>95</v>
      </c>
      <c r="Q991" s="24">
        <v>0</v>
      </c>
      <c r="R991" s="24">
        <v>0</v>
      </c>
      <c r="S991" s="24">
        <v>0</v>
      </c>
      <c r="T991" s="24">
        <v>0</v>
      </c>
      <c r="U991" s="24">
        <v>0</v>
      </c>
      <c r="V991" s="24">
        <v>0</v>
      </c>
      <c r="W991" s="24">
        <v>0</v>
      </c>
      <c r="X991" s="24">
        <v>0</v>
      </c>
      <c r="Y991" s="24">
        <v>0</v>
      </c>
      <c r="Z991" s="24">
        <v>0</v>
      </c>
      <c r="AA991" s="24">
        <v>0</v>
      </c>
      <c r="AB991" s="24">
        <v>0</v>
      </c>
      <c r="AC991" s="30">
        <f t="shared" si="347"/>
        <v>0</v>
      </c>
      <c r="AD991" s="28"/>
      <c r="AE991" s="12"/>
      <c r="AF991" s="29"/>
      <c r="AG991" s="9"/>
      <c r="AH991" s="10"/>
      <c r="AI991" s="9"/>
      <c r="AJ991" s="11"/>
      <c r="AK991" s="9"/>
      <c r="AL991" s="13"/>
      <c r="AM991" s="9"/>
    </row>
    <row r="992" spans="1:39" x14ac:dyDescent="0.3">
      <c r="A992" s="2" t="str">
        <f t="shared" si="345"/>
        <v>NÃO</v>
      </c>
      <c r="B992" s="2" t="str">
        <f>_xlfn.XLOOKUP($N992,'Base de Grupos'!$A:$A,'Base de Grupos'!$D:$D)</f>
        <v>1000065763</v>
      </c>
      <c r="C992" s="5" t="str">
        <f>_xlfn.XLOOKUP($N992,'Base de Grupos'!$A:$A,'Base de Grupos'!$E:$E)</f>
        <v>CANAL VENDA INTERNA</v>
      </c>
      <c r="D992" s="5" t="str">
        <f>_xlfn.XLOOKUP($N992,'Base de Grupos'!$A:$A,'Base de Grupos'!$F:$F)</f>
        <v>1000065763</v>
      </c>
      <c r="E992" s="2" t="str">
        <f>_xlfn.XLOOKUP($N992,'Base de Grupos'!$A:$A,'Base de Grupos'!$G:$G)</f>
        <v>CANAL VENDA INTERNA</v>
      </c>
      <c r="F992" s="2" t="str">
        <f>_xlfn.XLOOKUP($N992,'Base de Grupos'!$A:$A,'Base de Grupos'!$H:$H)</f>
        <v>1000174119</v>
      </c>
      <c r="G992" s="5" t="str">
        <f>_xlfn.XLOOKUP($N992,'Base de Grupos'!$A:$A,'Base de Grupos'!$I:$I)</f>
        <v>REGIONAL VENDA INTERNA - CONVENIENCIA</v>
      </c>
      <c r="H992" s="5" t="str">
        <f>_xlfn.XLOOKUP($N992,'Base de Grupos'!$A:$A,'Base de Grupos'!$J:$J)</f>
        <v>1000174119</v>
      </c>
      <c r="I992" s="2" t="str">
        <f>_xlfn.XLOOKUP($N992,'Base de Grupos'!$A:$A,'Base de Grupos'!$K:$K)</f>
        <v>REGIONAL VENDA INTERNA - CONVENIENCIA</v>
      </c>
      <c r="J992" s="2" t="str">
        <f>_xlfn.XLOOKUP($N992,'Base de Grupos'!$A:$A,'Base de Grupos'!$L:$L)</f>
        <v>1000174119</v>
      </c>
      <c r="K992" s="5" t="str">
        <f>_xlfn.XLOOKUP($N992,'Base de Grupos'!$A:$A,'Base de Grupos'!$M:$M)</f>
        <v>REGIONAL VENDA INTERNA - CONVENIENCIA</v>
      </c>
      <c r="L992" s="5" t="str">
        <f t="shared" si="346"/>
        <v/>
      </c>
      <c r="M992" s="5" t="str">
        <f>_xlfn.XLOOKUP($N992,'Base de Grupos'!$A:$A,'Base de Grupos'!$C:$C)</f>
        <v>MS</v>
      </c>
      <c r="N992" s="3">
        <v>1519</v>
      </c>
      <c r="O992" s="4" t="s">
        <v>278</v>
      </c>
      <c r="P992" s="5" t="s">
        <v>93</v>
      </c>
      <c r="Q992" s="24">
        <v>0</v>
      </c>
      <c r="R992" s="24">
        <v>0</v>
      </c>
      <c r="S992" s="24">
        <v>0</v>
      </c>
      <c r="T992" s="24">
        <v>0</v>
      </c>
      <c r="U992" s="24">
        <v>0</v>
      </c>
      <c r="V992" s="24">
        <v>0</v>
      </c>
      <c r="W992" s="24">
        <v>0</v>
      </c>
      <c r="X992" s="24">
        <v>0</v>
      </c>
      <c r="Y992" s="24">
        <v>0</v>
      </c>
      <c r="Z992" s="24">
        <v>0</v>
      </c>
      <c r="AA992" s="24">
        <v>0</v>
      </c>
      <c r="AB992" s="24">
        <v>0</v>
      </c>
      <c r="AC992" s="30">
        <f t="shared" si="347"/>
        <v>0</v>
      </c>
      <c r="AD992" s="28"/>
      <c r="AE992" s="12"/>
      <c r="AF992" s="29"/>
      <c r="AG992" s="9"/>
      <c r="AH992" s="10"/>
      <c r="AI992" s="9"/>
      <c r="AJ992" s="11"/>
      <c r="AK992" s="9"/>
      <c r="AL992" s="13"/>
      <c r="AM992" s="9"/>
    </row>
    <row r="993" spans="1:39" x14ac:dyDescent="0.3">
      <c r="A993" s="2" t="str">
        <f t="shared" si="345"/>
        <v>SIM</v>
      </c>
      <c r="B993" s="2" t="str">
        <f>_xlfn.XLOOKUP($N993,'Base de Grupos'!$A:$A,'Base de Grupos'!$D:$D)</f>
        <v>1000065763</v>
      </c>
      <c r="C993" s="5" t="str">
        <f>_xlfn.XLOOKUP($N993,'Base de Grupos'!$A:$A,'Base de Grupos'!$E:$E)</f>
        <v>CANAL VENDA INTERNA</v>
      </c>
      <c r="D993" s="5" t="str">
        <f>_xlfn.XLOOKUP($N993,'Base de Grupos'!$A:$A,'Base de Grupos'!$F:$F)</f>
        <v>1000065763</v>
      </c>
      <c r="E993" s="2" t="str">
        <f>_xlfn.XLOOKUP($N993,'Base de Grupos'!$A:$A,'Base de Grupos'!$G:$G)</f>
        <v>CANAL VENDA INTERNA</v>
      </c>
      <c r="F993" s="2" t="str">
        <f>_xlfn.XLOOKUP($N993,'Base de Grupos'!$A:$A,'Base de Grupos'!$H:$H)</f>
        <v>1000174119</v>
      </c>
      <c r="G993" s="5" t="str">
        <f>_xlfn.XLOOKUP($N993,'Base de Grupos'!$A:$A,'Base de Grupos'!$I:$I)</f>
        <v>REGIONAL VENDA INTERNA - CONVENIENCIA</v>
      </c>
      <c r="H993" s="5" t="str">
        <f>_xlfn.XLOOKUP($N993,'Base de Grupos'!$A:$A,'Base de Grupos'!$J:$J)</f>
        <v>1000174119</v>
      </c>
      <c r="I993" s="2" t="str">
        <f>_xlfn.XLOOKUP($N993,'Base de Grupos'!$A:$A,'Base de Grupos'!$K:$K)</f>
        <v>REGIONAL VENDA INTERNA - CONVENIENCIA</v>
      </c>
      <c r="J993" s="2" t="str">
        <f>_xlfn.XLOOKUP($N993,'Base de Grupos'!$A:$A,'Base de Grupos'!$L:$L)</f>
        <v>1000174119</v>
      </c>
      <c r="K993" s="5" t="str">
        <f>_xlfn.XLOOKUP($N993,'Base de Grupos'!$A:$A,'Base de Grupos'!$M:$M)</f>
        <v>REGIONAL VENDA INTERNA - CONVENIENCIA</v>
      </c>
      <c r="L993" s="5">
        <f t="shared" si="346"/>
        <v>1</v>
      </c>
      <c r="M993" s="5" t="str">
        <f>_xlfn.XLOOKUP($N993,'Base de Grupos'!$A:$A,'Base de Grupos'!$C:$C)</f>
        <v>MT</v>
      </c>
      <c r="N993" s="3">
        <v>1520</v>
      </c>
      <c r="O993" s="4" t="s">
        <v>279</v>
      </c>
      <c r="P993" s="5" t="s">
        <v>349</v>
      </c>
      <c r="Q993" s="24">
        <v>0</v>
      </c>
      <c r="R993" s="24">
        <v>0</v>
      </c>
      <c r="S993" s="24">
        <v>0</v>
      </c>
      <c r="T993" s="24">
        <v>0</v>
      </c>
      <c r="U993" s="24">
        <v>0</v>
      </c>
      <c r="V993" s="24">
        <v>0</v>
      </c>
      <c r="W993" s="24">
        <v>0</v>
      </c>
      <c r="X993" s="24">
        <v>0</v>
      </c>
      <c r="Y993" s="24">
        <v>0</v>
      </c>
      <c r="Z993" s="24">
        <v>0</v>
      </c>
      <c r="AA993" s="24">
        <v>0</v>
      </c>
      <c r="AB993" s="24">
        <v>0</v>
      </c>
      <c r="AC993" s="30">
        <f t="shared" si="347"/>
        <v>0</v>
      </c>
      <c r="AD993" s="28"/>
      <c r="AE993" s="12"/>
      <c r="AF993" s="29"/>
      <c r="AG993" s="9"/>
      <c r="AH993" s="10"/>
      <c r="AI993" s="9"/>
      <c r="AJ993" s="11"/>
      <c r="AK993" s="9"/>
      <c r="AL993" s="13"/>
      <c r="AM993" s="9"/>
    </row>
    <row r="994" spans="1:39" x14ac:dyDescent="0.3">
      <c r="A994" s="2" t="str">
        <f t="shared" si="345"/>
        <v>NÃO</v>
      </c>
      <c r="B994" s="2" t="str">
        <f>_xlfn.XLOOKUP($N994,'Base de Grupos'!$A:$A,'Base de Grupos'!$D:$D)</f>
        <v>1000065763</v>
      </c>
      <c r="C994" s="5" t="str">
        <f>_xlfn.XLOOKUP($N994,'Base de Grupos'!$A:$A,'Base de Grupos'!$E:$E)</f>
        <v>CANAL VENDA INTERNA</v>
      </c>
      <c r="D994" s="5" t="str">
        <f>_xlfn.XLOOKUP($N994,'Base de Grupos'!$A:$A,'Base de Grupos'!$F:$F)</f>
        <v>1000065763</v>
      </c>
      <c r="E994" s="2" t="str">
        <f>_xlfn.XLOOKUP($N994,'Base de Grupos'!$A:$A,'Base de Grupos'!$G:$G)</f>
        <v>CANAL VENDA INTERNA</v>
      </c>
      <c r="F994" s="2" t="str">
        <f>_xlfn.XLOOKUP($N994,'Base de Grupos'!$A:$A,'Base de Grupos'!$H:$H)</f>
        <v>1000174119</v>
      </c>
      <c r="G994" s="5" t="str">
        <f>_xlfn.XLOOKUP($N994,'Base de Grupos'!$A:$A,'Base de Grupos'!$I:$I)</f>
        <v>REGIONAL VENDA INTERNA - CONVENIENCIA</v>
      </c>
      <c r="H994" s="5" t="str">
        <f>_xlfn.XLOOKUP($N994,'Base de Grupos'!$A:$A,'Base de Grupos'!$J:$J)</f>
        <v>1000174119</v>
      </c>
      <c r="I994" s="2" t="str">
        <f>_xlfn.XLOOKUP($N994,'Base de Grupos'!$A:$A,'Base de Grupos'!$K:$K)</f>
        <v>REGIONAL VENDA INTERNA - CONVENIENCIA</v>
      </c>
      <c r="J994" s="2" t="str">
        <f>_xlfn.XLOOKUP($N994,'Base de Grupos'!$A:$A,'Base de Grupos'!$L:$L)</f>
        <v>1000174119</v>
      </c>
      <c r="K994" s="5" t="str">
        <f>_xlfn.XLOOKUP($N994,'Base de Grupos'!$A:$A,'Base de Grupos'!$M:$M)</f>
        <v>REGIONAL VENDA INTERNA - CONVENIENCIA</v>
      </c>
      <c r="L994" s="5" t="str">
        <f t="shared" si="346"/>
        <v/>
      </c>
      <c r="M994" s="5" t="str">
        <f>_xlfn.XLOOKUP($N994,'Base de Grupos'!$A:$A,'Base de Grupos'!$C:$C)</f>
        <v>MT</v>
      </c>
      <c r="N994" s="3">
        <v>1520</v>
      </c>
      <c r="O994" s="4" t="s">
        <v>279</v>
      </c>
      <c r="P994" s="5" t="s">
        <v>81</v>
      </c>
      <c r="Q994" s="24">
        <v>0</v>
      </c>
      <c r="R994" s="24">
        <v>0</v>
      </c>
      <c r="S994" s="24">
        <v>0</v>
      </c>
      <c r="T994" s="24">
        <v>0</v>
      </c>
      <c r="U994" s="24">
        <v>0</v>
      </c>
      <c r="V994" s="24">
        <v>0</v>
      </c>
      <c r="W994" s="24">
        <v>0</v>
      </c>
      <c r="X994" s="24">
        <v>0</v>
      </c>
      <c r="Y994" s="24">
        <v>0</v>
      </c>
      <c r="Z994" s="24">
        <v>0</v>
      </c>
      <c r="AA994" s="24">
        <v>0</v>
      </c>
      <c r="AB994" s="24">
        <v>0</v>
      </c>
      <c r="AC994" s="30">
        <f t="shared" si="347"/>
        <v>0</v>
      </c>
      <c r="AD994" s="28"/>
      <c r="AE994" s="12"/>
      <c r="AF994" s="29"/>
      <c r="AG994" s="9"/>
      <c r="AH994" s="10"/>
      <c r="AI994" s="9"/>
      <c r="AJ994" s="11"/>
      <c r="AK994" s="9"/>
      <c r="AL994" s="13"/>
      <c r="AM994" s="9"/>
    </row>
    <row r="995" spans="1:39" x14ac:dyDescent="0.3">
      <c r="A995" s="2" t="str">
        <f t="shared" si="345"/>
        <v>NÃO</v>
      </c>
      <c r="B995" s="2" t="str">
        <f>_xlfn.XLOOKUP($N995,'Base de Grupos'!$A:$A,'Base de Grupos'!$D:$D)</f>
        <v>1000065763</v>
      </c>
      <c r="C995" s="5" t="str">
        <f>_xlfn.XLOOKUP($N995,'Base de Grupos'!$A:$A,'Base de Grupos'!$E:$E)</f>
        <v>CANAL VENDA INTERNA</v>
      </c>
      <c r="D995" s="5" t="str">
        <f>_xlfn.XLOOKUP($N995,'Base de Grupos'!$A:$A,'Base de Grupos'!$F:$F)</f>
        <v>1000065763</v>
      </c>
      <c r="E995" s="2" t="str">
        <f>_xlfn.XLOOKUP($N995,'Base de Grupos'!$A:$A,'Base de Grupos'!$G:$G)</f>
        <v>CANAL VENDA INTERNA</v>
      </c>
      <c r="F995" s="2" t="str">
        <f>_xlfn.XLOOKUP($N995,'Base de Grupos'!$A:$A,'Base de Grupos'!$H:$H)</f>
        <v>1000174119</v>
      </c>
      <c r="G995" s="5" t="str">
        <f>_xlfn.XLOOKUP($N995,'Base de Grupos'!$A:$A,'Base de Grupos'!$I:$I)</f>
        <v>REGIONAL VENDA INTERNA - CONVENIENCIA</v>
      </c>
      <c r="H995" s="5" t="str">
        <f>_xlfn.XLOOKUP($N995,'Base de Grupos'!$A:$A,'Base de Grupos'!$J:$J)</f>
        <v>1000174119</v>
      </c>
      <c r="I995" s="2" t="str">
        <f>_xlfn.XLOOKUP($N995,'Base de Grupos'!$A:$A,'Base de Grupos'!$K:$K)</f>
        <v>REGIONAL VENDA INTERNA - CONVENIENCIA</v>
      </c>
      <c r="J995" s="2" t="str">
        <f>_xlfn.XLOOKUP($N995,'Base de Grupos'!$A:$A,'Base de Grupos'!$L:$L)</f>
        <v>1000174119</v>
      </c>
      <c r="K995" s="5" t="str">
        <f>_xlfn.XLOOKUP($N995,'Base de Grupos'!$A:$A,'Base de Grupos'!$M:$M)</f>
        <v>REGIONAL VENDA INTERNA - CONVENIENCIA</v>
      </c>
      <c r="L995" s="5" t="str">
        <f t="shared" si="346"/>
        <v/>
      </c>
      <c r="M995" s="5" t="str">
        <f>_xlfn.XLOOKUP($N995,'Base de Grupos'!$A:$A,'Base de Grupos'!$C:$C)</f>
        <v>MT</v>
      </c>
      <c r="N995" s="3">
        <v>1520</v>
      </c>
      <c r="O995" s="4" t="s">
        <v>279</v>
      </c>
      <c r="P995" s="5" t="s">
        <v>82</v>
      </c>
      <c r="Q995" s="24">
        <v>0</v>
      </c>
      <c r="R995" s="24">
        <v>0</v>
      </c>
      <c r="S995" s="24">
        <v>0</v>
      </c>
      <c r="T995" s="24">
        <v>0</v>
      </c>
      <c r="U995" s="24">
        <v>0</v>
      </c>
      <c r="V995" s="24">
        <v>0</v>
      </c>
      <c r="W995" s="24">
        <v>0</v>
      </c>
      <c r="X995" s="24">
        <v>0</v>
      </c>
      <c r="Y995" s="24">
        <v>0</v>
      </c>
      <c r="Z995" s="24">
        <v>0</v>
      </c>
      <c r="AA995" s="24">
        <v>0</v>
      </c>
      <c r="AB995" s="24">
        <v>0</v>
      </c>
      <c r="AC995" s="30">
        <f t="shared" si="347"/>
        <v>0</v>
      </c>
      <c r="AD995" s="28"/>
      <c r="AE995" s="12"/>
      <c r="AF995" s="29"/>
      <c r="AG995" s="9"/>
      <c r="AH995" s="10"/>
      <c r="AI995" s="9"/>
      <c r="AJ995" s="11"/>
      <c r="AK995" s="9"/>
      <c r="AL995" s="13"/>
      <c r="AM995" s="9"/>
    </row>
    <row r="996" spans="1:39" x14ac:dyDescent="0.3">
      <c r="A996" s="2" t="str">
        <f t="shared" si="345"/>
        <v>NÃO</v>
      </c>
      <c r="B996" s="2" t="str">
        <f>_xlfn.XLOOKUP($N996,'Base de Grupos'!$A:$A,'Base de Grupos'!$D:$D)</f>
        <v>1000065763</v>
      </c>
      <c r="C996" s="5" t="str">
        <f>_xlfn.XLOOKUP($N996,'Base de Grupos'!$A:$A,'Base de Grupos'!$E:$E)</f>
        <v>CANAL VENDA INTERNA</v>
      </c>
      <c r="D996" s="5" t="str">
        <f>_xlfn.XLOOKUP($N996,'Base de Grupos'!$A:$A,'Base de Grupos'!$F:$F)</f>
        <v>1000065763</v>
      </c>
      <c r="E996" s="2" t="str">
        <f>_xlfn.XLOOKUP($N996,'Base de Grupos'!$A:$A,'Base de Grupos'!$G:$G)</f>
        <v>CANAL VENDA INTERNA</v>
      </c>
      <c r="F996" s="2" t="str">
        <f>_xlfn.XLOOKUP($N996,'Base de Grupos'!$A:$A,'Base de Grupos'!$H:$H)</f>
        <v>1000174119</v>
      </c>
      <c r="G996" s="5" t="str">
        <f>_xlfn.XLOOKUP($N996,'Base de Grupos'!$A:$A,'Base de Grupos'!$I:$I)</f>
        <v>REGIONAL VENDA INTERNA - CONVENIENCIA</v>
      </c>
      <c r="H996" s="5" t="str">
        <f>_xlfn.XLOOKUP($N996,'Base de Grupos'!$A:$A,'Base de Grupos'!$J:$J)</f>
        <v>1000174119</v>
      </c>
      <c r="I996" s="2" t="str">
        <f>_xlfn.XLOOKUP($N996,'Base de Grupos'!$A:$A,'Base de Grupos'!$K:$K)</f>
        <v>REGIONAL VENDA INTERNA - CONVENIENCIA</v>
      </c>
      <c r="J996" s="2" t="str">
        <f>_xlfn.XLOOKUP($N996,'Base de Grupos'!$A:$A,'Base de Grupos'!$L:$L)</f>
        <v>1000174119</v>
      </c>
      <c r="K996" s="5" t="str">
        <f>_xlfn.XLOOKUP($N996,'Base de Grupos'!$A:$A,'Base de Grupos'!$M:$M)</f>
        <v>REGIONAL VENDA INTERNA - CONVENIENCIA</v>
      </c>
      <c r="L996" s="5" t="str">
        <f t="shared" si="346"/>
        <v/>
      </c>
      <c r="M996" s="5" t="str">
        <f>_xlfn.XLOOKUP($N996,'Base de Grupos'!$A:$A,'Base de Grupos'!$C:$C)</f>
        <v>MT</v>
      </c>
      <c r="N996" s="3">
        <v>1520</v>
      </c>
      <c r="O996" s="4" t="s">
        <v>279</v>
      </c>
      <c r="P996" s="5" t="s">
        <v>84</v>
      </c>
      <c r="Q996" s="24">
        <v>0</v>
      </c>
      <c r="R996" s="24">
        <v>0</v>
      </c>
      <c r="S996" s="24">
        <v>0</v>
      </c>
      <c r="T996" s="24">
        <v>0</v>
      </c>
      <c r="U996" s="24">
        <v>0</v>
      </c>
      <c r="V996" s="24">
        <v>0</v>
      </c>
      <c r="W996" s="24">
        <v>0</v>
      </c>
      <c r="X996" s="24">
        <v>0</v>
      </c>
      <c r="Y996" s="24">
        <v>0</v>
      </c>
      <c r="Z996" s="24">
        <v>0</v>
      </c>
      <c r="AA996" s="24">
        <v>0</v>
      </c>
      <c r="AB996" s="24">
        <v>0</v>
      </c>
      <c r="AC996" s="30">
        <f t="shared" si="347"/>
        <v>0</v>
      </c>
      <c r="AD996" s="28"/>
      <c r="AE996" s="12"/>
      <c r="AF996" s="29"/>
      <c r="AG996" s="9"/>
      <c r="AH996" s="10"/>
      <c r="AI996" s="9"/>
      <c r="AJ996" s="11"/>
      <c r="AK996" s="9"/>
      <c r="AL996" s="13"/>
      <c r="AM996" s="9"/>
    </row>
    <row r="997" spans="1:39" x14ac:dyDescent="0.3">
      <c r="A997" s="2" t="str">
        <f t="shared" si="345"/>
        <v>NÃO</v>
      </c>
      <c r="B997" s="2" t="str">
        <f>_xlfn.XLOOKUP($N997,'Base de Grupos'!$A:$A,'Base de Grupos'!$D:$D)</f>
        <v>1000065763</v>
      </c>
      <c r="C997" s="5" t="str">
        <f>_xlfn.XLOOKUP($N997,'Base de Grupos'!$A:$A,'Base de Grupos'!$E:$E)</f>
        <v>CANAL VENDA INTERNA</v>
      </c>
      <c r="D997" s="5" t="str">
        <f>_xlfn.XLOOKUP($N997,'Base de Grupos'!$A:$A,'Base de Grupos'!$F:$F)</f>
        <v>1000065763</v>
      </c>
      <c r="E997" s="2" t="str">
        <f>_xlfn.XLOOKUP($N997,'Base de Grupos'!$A:$A,'Base de Grupos'!$G:$G)</f>
        <v>CANAL VENDA INTERNA</v>
      </c>
      <c r="F997" s="2" t="str">
        <f>_xlfn.XLOOKUP($N997,'Base de Grupos'!$A:$A,'Base de Grupos'!$H:$H)</f>
        <v>1000174119</v>
      </c>
      <c r="G997" s="5" t="str">
        <f>_xlfn.XLOOKUP($N997,'Base de Grupos'!$A:$A,'Base de Grupos'!$I:$I)</f>
        <v>REGIONAL VENDA INTERNA - CONVENIENCIA</v>
      </c>
      <c r="H997" s="5" t="str">
        <f>_xlfn.XLOOKUP($N997,'Base de Grupos'!$A:$A,'Base de Grupos'!$J:$J)</f>
        <v>1000174119</v>
      </c>
      <c r="I997" s="2" t="str">
        <f>_xlfn.XLOOKUP($N997,'Base de Grupos'!$A:$A,'Base de Grupos'!$K:$K)</f>
        <v>REGIONAL VENDA INTERNA - CONVENIENCIA</v>
      </c>
      <c r="J997" s="2" t="str">
        <f>_xlfn.XLOOKUP($N997,'Base de Grupos'!$A:$A,'Base de Grupos'!$L:$L)</f>
        <v>1000174119</v>
      </c>
      <c r="K997" s="5" t="str">
        <f>_xlfn.XLOOKUP($N997,'Base de Grupos'!$A:$A,'Base de Grupos'!$M:$M)</f>
        <v>REGIONAL VENDA INTERNA - CONVENIENCIA</v>
      </c>
      <c r="L997" s="5" t="str">
        <f t="shared" si="346"/>
        <v/>
      </c>
      <c r="M997" s="5" t="str">
        <f>_xlfn.XLOOKUP($N997,'Base de Grupos'!$A:$A,'Base de Grupos'!$C:$C)</f>
        <v>MT</v>
      </c>
      <c r="N997" s="3">
        <v>1520</v>
      </c>
      <c r="O997" s="4" t="s">
        <v>279</v>
      </c>
      <c r="P997" s="5" t="s">
        <v>83</v>
      </c>
      <c r="Q997" s="24">
        <v>0</v>
      </c>
      <c r="R997" s="24">
        <v>0</v>
      </c>
      <c r="S997" s="24">
        <v>0</v>
      </c>
      <c r="T997" s="24">
        <v>0</v>
      </c>
      <c r="U997" s="24">
        <v>0</v>
      </c>
      <c r="V997" s="24">
        <v>0</v>
      </c>
      <c r="W997" s="24">
        <v>0</v>
      </c>
      <c r="X997" s="24">
        <v>0</v>
      </c>
      <c r="Y997" s="24">
        <v>0</v>
      </c>
      <c r="Z997" s="24">
        <v>0</v>
      </c>
      <c r="AA997" s="24">
        <v>0</v>
      </c>
      <c r="AB997" s="24">
        <v>0</v>
      </c>
      <c r="AC997" s="30">
        <f t="shared" si="347"/>
        <v>0</v>
      </c>
      <c r="AD997" s="28"/>
      <c r="AE997" s="12"/>
      <c r="AF997" s="29"/>
      <c r="AG997" s="9"/>
      <c r="AH997" s="10"/>
      <c r="AI997" s="9"/>
      <c r="AJ997" s="11"/>
      <c r="AK997" s="9"/>
      <c r="AL997" s="13"/>
      <c r="AM997" s="9"/>
    </row>
    <row r="998" spans="1:39" x14ac:dyDescent="0.3">
      <c r="A998" s="2" t="str">
        <f t="shared" si="345"/>
        <v>NÃO</v>
      </c>
      <c r="B998" s="2" t="str">
        <f>_xlfn.XLOOKUP($N998,'Base de Grupos'!$A:$A,'Base de Grupos'!$D:$D)</f>
        <v>1000065763</v>
      </c>
      <c r="C998" s="5" t="str">
        <f>_xlfn.XLOOKUP($N998,'Base de Grupos'!$A:$A,'Base de Grupos'!$E:$E)</f>
        <v>CANAL VENDA INTERNA</v>
      </c>
      <c r="D998" s="5" t="str">
        <f>_xlfn.XLOOKUP($N998,'Base de Grupos'!$A:$A,'Base de Grupos'!$F:$F)</f>
        <v>1000065763</v>
      </c>
      <c r="E998" s="2" t="str">
        <f>_xlfn.XLOOKUP($N998,'Base de Grupos'!$A:$A,'Base de Grupos'!$G:$G)</f>
        <v>CANAL VENDA INTERNA</v>
      </c>
      <c r="F998" s="2" t="str">
        <f>_xlfn.XLOOKUP($N998,'Base de Grupos'!$A:$A,'Base de Grupos'!$H:$H)</f>
        <v>1000174119</v>
      </c>
      <c r="G998" s="5" t="str">
        <f>_xlfn.XLOOKUP($N998,'Base de Grupos'!$A:$A,'Base de Grupos'!$I:$I)</f>
        <v>REGIONAL VENDA INTERNA - CONVENIENCIA</v>
      </c>
      <c r="H998" s="5" t="str">
        <f>_xlfn.XLOOKUP($N998,'Base de Grupos'!$A:$A,'Base de Grupos'!$J:$J)</f>
        <v>1000174119</v>
      </c>
      <c r="I998" s="2" t="str">
        <f>_xlfn.XLOOKUP($N998,'Base de Grupos'!$A:$A,'Base de Grupos'!$K:$K)</f>
        <v>REGIONAL VENDA INTERNA - CONVENIENCIA</v>
      </c>
      <c r="J998" s="2" t="str">
        <f>_xlfn.XLOOKUP($N998,'Base de Grupos'!$A:$A,'Base de Grupos'!$L:$L)</f>
        <v>1000174119</v>
      </c>
      <c r="K998" s="5" t="str">
        <f>_xlfn.XLOOKUP($N998,'Base de Grupos'!$A:$A,'Base de Grupos'!$M:$M)</f>
        <v>REGIONAL VENDA INTERNA - CONVENIENCIA</v>
      </c>
      <c r="L998" s="5" t="str">
        <f t="shared" si="346"/>
        <v/>
      </c>
      <c r="M998" s="5" t="str">
        <f>_xlfn.XLOOKUP($N998,'Base de Grupos'!$A:$A,'Base de Grupos'!$C:$C)</f>
        <v>MT</v>
      </c>
      <c r="N998" s="3">
        <v>1520</v>
      </c>
      <c r="O998" s="4" t="s">
        <v>279</v>
      </c>
      <c r="P998" s="5" t="s">
        <v>87</v>
      </c>
      <c r="Q998" s="24">
        <v>0</v>
      </c>
      <c r="R998" s="24">
        <v>0</v>
      </c>
      <c r="S998" s="24">
        <v>0</v>
      </c>
      <c r="T998" s="24">
        <v>0</v>
      </c>
      <c r="U998" s="24">
        <v>0</v>
      </c>
      <c r="V998" s="24">
        <v>0</v>
      </c>
      <c r="W998" s="24">
        <v>0</v>
      </c>
      <c r="X998" s="24">
        <v>0</v>
      </c>
      <c r="Y998" s="24">
        <v>0</v>
      </c>
      <c r="Z998" s="24">
        <v>0</v>
      </c>
      <c r="AA998" s="24">
        <v>0</v>
      </c>
      <c r="AB998" s="24">
        <v>0</v>
      </c>
      <c r="AC998" s="30">
        <f t="shared" si="347"/>
        <v>0</v>
      </c>
      <c r="AD998" s="28"/>
      <c r="AE998" s="12"/>
      <c r="AF998" s="29"/>
      <c r="AG998" s="9"/>
      <c r="AH998" s="10"/>
      <c r="AI998" s="9"/>
      <c r="AJ998" s="11"/>
      <c r="AK998" s="9"/>
      <c r="AL998" s="13"/>
      <c r="AM998" s="9"/>
    </row>
    <row r="999" spans="1:39" x14ac:dyDescent="0.3">
      <c r="A999" s="2" t="str">
        <f t="shared" si="345"/>
        <v>NÃO</v>
      </c>
      <c r="B999" s="2" t="str">
        <f>_xlfn.XLOOKUP($N999,'Base de Grupos'!$A:$A,'Base de Grupos'!$D:$D)</f>
        <v>1000065763</v>
      </c>
      <c r="C999" s="5" t="str">
        <f>_xlfn.XLOOKUP($N999,'Base de Grupos'!$A:$A,'Base de Grupos'!$E:$E)</f>
        <v>CANAL VENDA INTERNA</v>
      </c>
      <c r="D999" s="5" t="str">
        <f>_xlfn.XLOOKUP($N999,'Base de Grupos'!$A:$A,'Base de Grupos'!$F:$F)</f>
        <v>1000065763</v>
      </c>
      <c r="E999" s="2" t="str">
        <f>_xlfn.XLOOKUP($N999,'Base de Grupos'!$A:$A,'Base de Grupos'!$G:$G)</f>
        <v>CANAL VENDA INTERNA</v>
      </c>
      <c r="F999" s="2" t="str">
        <f>_xlfn.XLOOKUP($N999,'Base de Grupos'!$A:$A,'Base de Grupos'!$H:$H)</f>
        <v>1000174119</v>
      </c>
      <c r="G999" s="5" t="str">
        <f>_xlfn.XLOOKUP($N999,'Base de Grupos'!$A:$A,'Base de Grupos'!$I:$I)</f>
        <v>REGIONAL VENDA INTERNA - CONVENIENCIA</v>
      </c>
      <c r="H999" s="5" t="str">
        <f>_xlfn.XLOOKUP($N999,'Base de Grupos'!$A:$A,'Base de Grupos'!$J:$J)</f>
        <v>1000174119</v>
      </c>
      <c r="I999" s="2" t="str">
        <f>_xlfn.XLOOKUP($N999,'Base de Grupos'!$A:$A,'Base de Grupos'!$K:$K)</f>
        <v>REGIONAL VENDA INTERNA - CONVENIENCIA</v>
      </c>
      <c r="J999" s="2" t="str">
        <f>_xlfn.XLOOKUP($N999,'Base de Grupos'!$A:$A,'Base de Grupos'!$L:$L)</f>
        <v>1000174119</v>
      </c>
      <c r="K999" s="5" t="str">
        <f>_xlfn.XLOOKUP($N999,'Base de Grupos'!$A:$A,'Base de Grupos'!$M:$M)</f>
        <v>REGIONAL VENDA INTERNA - CONVENIENCIA</v>
      </c>
      <c r="L999" s="5" t="str">
        <f t="shared" si="346"/>
        <v/>
      </c>
      <c r="M999" s="5" t="str">
        <f>_xlfn.XLOOKUP($N999,'Base de Grupos'!$A:$A,'Base de Grupos'!$C:$C)</f>
        <v>MT</v>
      </c>
      <c r="N999" s="3">
        <v>1520</v>
      </c>
      <c r="O999" s="4" t="s">
        <v>279</v>
      </c>
      <c r="P999" s="5" t="s">
        <v>85</v>
      </c>
      <c r="Q999" s="24">
        <v>0</v>
      </c>
      <c r="R999" s="24">
        <v>0</v>
      </c>
      <c r="S999" s="24">
        <v>0</v>
      </c>
      <c r="T999" s="24">
        <v>0</v>
      </c>
      <c r="U999" s="24">
        <v>0</v>
      </c>
      <c r="V999" s="24">
        <v>0</v>
      </c>
      <c r="W999" s="24">
        <v>0</v>
      </c>
      <c r="X999" s="24">
        <v>0</v>
      </c>
      <c r="Y999" s="24">
        <v>0</v>
      </c>
      <c r="Z999" s="24">
        <v>0</v>
      </c>
      <c r="AA999" s="24">
        <v>0</v>
      </c>
      <c r="AB999" s="24">
        <v>0</v>
      </c>
      <c r="AC999" s="30">
        <f t="shared" si="347"/>
        <v>0</v>
      </c>
      <c r="AD999" s="28"/>
      <c r="AE999" s="12"/>
      <c r="AF999" s="29"/>
      <c r="AG999" s="9"/>
      <c r="AH999" s="10"/>
      <c r="AI999" s="9"/>
      <c r="AJ999" s="11"/>
      <c r="AK999" s="9"/>
      <c r="AL999" s="13"/>
      <c r="AM999" s="9"/>
    </row>
    <row r="1000" spans="1:39" x14ac:dyDescent="0.3">
      <c r="A1000" s="2" t="str">
        <f t="shared" si="345"/>
        <v>NÃO</v>
      </c>
      <c r="B1000" s="2" t="str">
        <f>_xlfn.XLOOKUP($N1000,'Base de Grupos'!$A:$A,'Base de Grupos'!$D:$D)</f>
        <v>1000065763</v>
      </c>
      <c r="C1000" s="5" t="str">
        <f>_xlfn.XLOOKUP($N1000,'Base de Grupos'!$A:$A,'Base de Grupos'!$E:$E)</f>
        <v>CANAL VENDA INTERNA</v>
      </c>
      <c r="D1000" s="5" t="str">
        <f>_xlfn.XLOOKUP($N1000,'Base de Grupos'!$A:$A,'Base de Grupos'!$F:$F)</f>
        <v>1000065763</v>
      </c>
      <c r="E1000" s="2" t="str">
        <f>_xlfn.XLOOKUP($N1000,'Base de Grupos'!$A:$A,'Base de Grupos'!$G:$G)</f>
        <v>CANAL VENDA INTERNA</v>
      </c>
      <c r="F1000" s="2" t="str">
        <f>_xlfn.XLOOKUP($N1000,'Base de Grupos'!$A:$A,'Base de Grupos'!$H:$H)</f>
        <v>1000174119</v>
      </c>
      <c r="G1000" s="5" t="str">
        <f>_xlfn.XLOOKUP($N1000,'Base de Grupos'!$A:$A,'Base de Grupos'!$I:$I)</f>
        <v>REGIONAL VENDA INTERNA - CONVENIENCIA</v>
      </c>
      <c r="H1000" s="5" t="str">
        <f>_xlfn.XLOOKUP($N1000,'Base de Grupos'!$A:$A,'Base de Grupos'!$J:$J)</f>
        <v>1000174119</v>
      </c>
      <c r="I1000" s="2" t="str">
        <f>_xlfn.XLOOKUP($N1000,'Base de Grupos'!$A:$A,'Base de Grupos'!$K:$K)</f>
        <v>REGIONAL VENDA INTERNA - CONVENIENCIA</v>
      </c>
      <c r="J1000" s="2" t="str">
        <f>_xlfn.XLOOKUP($N1000,'Base de Grupos'!$A:$A,'Base de Grupos'!$L:$L)</f>
        <v>1000174119</v>
      </c>
      <c r="K1000" s="5" t="str">
        <f>_xlfn.XLOOKUP($N1000,'Base de Grupos'!$A:$A,'Base de Grupos'!$M:$M)</f>
        <v>REGIONAL VENDA INTERNA - CONVENIENCIA</v>
      </c>
      <c r="L1000" s="5" t="str">
        <f t="shared" si="346"/>
        <v/>
      </c>
      <c r="M1000" s="5" t="str">
        <f>_xlfn.XLOOKUP($N1000,'Base de Grupos'!$A:$A,'Base de Grupos'!$C:$C)</f>
        <v>MT</v>
      </c>
      <c r="N1000" s="3">
        <v>1520</v>
      </c>
      <c r="O1000" s="4" t="s">
        <v>279</v>
      </c>
      <c r="P1000" s="5" t="s">
        <v>92</v>
      </c>
      <c r="Q1000" s="24">
        <v>0</v>
      </c>
      <c r="R1000" s="24">
        <v>0</v>
      </c>
      <c r="S1000" s="24">
        <v>0</v>
      </c>
      <c r="T1000" s="24">
        <v>0</v>
      </c>
      <c r="U1000" s="24">
        <v>0</v>
      </c>
      <c r="V1000" s="24">
        <v>0</v>
      </c>
      <c r="W1000" s="24">
        <v>0</v>
      </c>
      <c r="X1000" s="24">
        <v>0</v>
      </c>
      <c r="Y1000" s="24">
        <v>0</v>
      </c>
      <c r="Z1000" s="24">
        <v>0</v>
      </c>
      <c r="AA1000" s="24">
        <v>0</v>
      </c>
      <c r="AB1000" s="24">
        <v>0</v>
      </c>
      <c r="AC1000" s="30">
        <f t="shared" si="347"/>
        <v>0</v>
      </c>
      <c r="AD1000" s="28"/>
      <c r="AE1000" s="12"/>
      <c r="AF1000" s="29"/>
      <c r="AG1000" s="9"/>
      <c r="AH1000" s="10"/>
      <c r="AI1000" s="9"/>
      <c r="AJ1000" s="11"/>
      <c r="AK1000" s="9"/>
      <c r="AL1000" s="13"/>
      <c r="AM1000" s="9"/>
    </row>
    <row r="1001" spans="1:39" x14ac:dyDescent="0.3">
      <c r="A1001" s="2" t="str">
        <f t="shared" si="345"/>
        <v>NÃO</v>
      </c>
      <c r="B1001" s="2" t="str">
        <f>_xlfn.XLOOKUP($N1001,'Base de Grupos'!$A:$A,'Base de Grupos'!$D:$D)</f>
        <v>1000065763</v>
      </c>
      <c r="C1001" s="5" t="str">
        <f>_xlfn.XLOOKUP($N1001,'Base de Grupos'!$A:$A,'Base de Grupos'!$E:$E)</f>
        <v>CANAL VENDA INTERNA</v>
      </c>
      <c r="D1001" s="5" t="str">
        <f>_xlfn.XLOOKUP($N1001,'Base de Grupos'!$A:$A,'Base de Grupos'!$F:$F)</f>
        <v>1000065763</v>
      </c>
      <c r="E1001" s="2" t="str">
        <f>_xlfn.XLOOKUP($N1001,'Base de Grupos'!$A:$A,'Base de Grupos'!$G:$G)</f>
        <v>CANAL VENDA INTERNA</v>
      </c>
      <c r="F1001" s="2" t="str">
        <f>_xlfn.XLOOKUP($N1001,'Base de Grupos'!$A:$A,'Base de Grupos'!$H:$H)</f>
        <v>1000174119</v>
      </c>
      <c r="G1001" s="5" t="str">
        <f>_xlfn.XLOOKUP($N1001,'Base de Grupos'!$A:$A,'Base de Grupos'!$I:$I)</f>
        <v>REGIONAL VENDA INTERNA - CONVENIENCIA</v>
      </c>
      <c r="H1001" s="5" t="str">
        <f>_xlfn.XLOOKUP($N1001,'Base de Grupos'!$A:$A,'Base de Grupos'!$J:$J)</f>
        <v>1000174119</v>
      </c>
      <c r="I1001" s="2" t="str">
        <f>_xlfn.XLOOKUP($N1001,'Base de Grupos'!$A:$A,'Base de Grupos'!$K:$K)</f>
        <v>REGIONAL VENDA INTERNA - CONVENIENCIA</v>
      </c>
      <c r="J1001" s="2" t="str">
        <f>_xlfn.XLOOKUP($N1001,'Base de Grupos'!$A:$A,'Base de Grupos'!$L:$L)</f>
        <v>1000174119</v>
      </c>
      <c r="K1001" s="5" t="str">
        <f>_xlfn.XLOOKUP($N1001,'Base de Grupos'!$A:$A,'Base de Grupos'!$M:$M)</f>
        <v>REGIONAL VENDA INTERNA - CONVENIENCIA</v>
      </c>
      <c r="L1001" s="5" t="str">
        <f t="shared" si="346"/>
        <v/>
      </c>
      <c r="M1001" s="5" t="str">
        <f>_xlfn.XLOOKUP($N1001,'Base de Grupos'!$A:$A,'Base de Grupos'!$C:$C)</f>
        <v>MT</v>
      </c>
      <c r="N1001" s="3">
        <v>1520</v>
      </c>
      <c r="O1001" s="4" t="s">
        <v>279</v>
      </c>
      <c r="P1001" s="5" t="s">
        <v>86</v>
      </c>
      <c r="Q1001" s="24">
        <v>0</v>
      </c>
      <c r="R1001" s="24">
        <v>0</v>
      </c>
      <c r="S1001" s="24">
        <v>0</v>
      </c>
      <c r="T1001" s="24">
        <v>0</v>
      </c>
      <c r="U1001" s="24">
        <v>0</v>
      </c>
      <c r="V1001" s="24">
        <v>0</v>
      </c>
      <c r="W1001" s="24">
        <v>0</v>
      </c>
      <c r="X1001" s="24">
        <v>0</v>
      </c>
      <c r="Y1001" s="24">
        <v>0</v>
      </c>
      <c r="Z1001" s="24">
        <v>0</v>
      </c>
      <c r="AA1001" s="24">
        <v>0</v>
      </c>
      <c r="AB1001" s="24">
        <v>0</v>
      </c>
      <c r="AC1001" s="30">
        <f t="shared" si="347"/>
        <v>0</v>
      </c>
      <c r="AD1001" s="28"/>
      <c r="AE1001" s="12"/>
      <c r="AF1001" s="29"/>
      <c r="AG1001" s="9"/>
      <c r="AH1001" s="10"/>
      <c r="AI1001" s="9"/>
      <c r="AJ1001" s="11"/>
      <c r="AK1001" s="9"/>
      <c r="AL1001" s="13"/>
      <c r="AM1001" s="9"/>
    </row>
    <row r="1002" spans="1:39" x14ac:dyDescent="0.3">
      <c r="A1002" s="2" t="str">
        <f t="shared" si="345"/>
        <v>NÃO</v>
      </c>
      <c r="B1002" s="2" t="str">
        <f>_xlfn.XLOOKUP($N1002,'Base de Grupos'!$A:$A,'Base de Grupos'!$D:$D)</f>
        <v>1000065763</v>
      </c>
      <c r="C1002" s="5" t="str">
        <f>_xlfn.XLOOKUP($N1002,'Base de Grupos'!$A:$A,'Base de Grupos'!$E:$E)</f>
        <v>CANAL VENDA INTERNA</v>
      </c>
      <c r="D1002" s="5" t="str">
        <f>_xlfn.XLOOKUP($N1002,'Base de Grupos'!$A:$A,'Base de Grupos'!$F:$F)</f>
        <v>1000065763</v>
      </c>
      <c r="E1002" s="2" t="str">
        <f>_xlfn.XLOOKUP($N1002,'Base de Grupos'!$A:$A,'Base de Grupos'!$G:$G)</f>
        <v>CANAL VENDA INTERNA</v>
      </c>
      <c r="F1002" s="2" t="str">
        <f>_xlfn.XLOOKUP($N1002,'Base de Grupos'!$A:$A,'Base de Grupos'!$H:$H)</f>
        <v>1000174119</v>
      </c>
      <c r="G1002" s="5" t="str">
        <f>_xlfn.XLOOKUP($N1002,'Base de Grupos'!$A:$A,'Base de Grupos'!$I:$I)</f>
        <v>REGIONAL VENDA INTERNA - CONVENIENCIA</v>
      </c>
      <c r="H1002" s="5" t="str">
        <f>_xlfn.XLOOKUP($N1002,'Base de Grupos'!$A:$A,'Base de Grupos'!$J:$J)</f>
        <v>1000174119</v>
      </c>
      <c r="I1002" s="2" t="str">
        <f>_xlfn.XLOOKUP($N1002,'Base de Grupos'!$A:$A,'Base de Grupos'!$K:$K)</f>
        <v>REGIONAL VENDA INTERNA - CONVENIENCIA</v>
      </c>
      <c r="J1002" s="2" t="str">
        <f>_xlfn.XLOOKUP($N1002,'Base de Grupos'!$A:$A,'Base de Grupos'!$L:$L)</f>
        <v>1000174119</v>
      </c>
      <c r="K1002" s="5" t="str">
        <f>_xlfn.XLOOKUP($N1002,'Base de Grupos'!$A:$A,'Base de Grupos'!$M:$M)</f>
        <v>REGIONAL VENDA INTERNA - CONVENIENCIA</v>
      </c>
      <c r="L1002" s="5" t="str">
        <f t="shared" si="346"/>
        <v/>
      </c>
      <c r="M1002" s="5" t="str">
        <f>_xlfn.XLOOKUP($N1002,'Base de Grupos'!$A:$A,'Base de Grupos'!$C:$C)</f>
        <v>MT</v>
      </c>
      <c r="N1002" s="3">
        <v>1520</v>
      </c>
      <c r="O1002" s="4" t="s">
        <v>279</v>
      </c>
      <c r="P1002" s="5" t="s">
        <v>108</v>
      </c>
      <c r="Q1002" s="24">
        <v>0</v>
      </c>
      <c r="R1002" s="24">
        <v>0</v>
      </c>
      <c r="S1002" s="24">
        <v>0</v>
      </c>
      <c r="T1002" s="24">
        <v>0</v>
      </c>
      <c r="U1002" s="24">
        <v>0</v>
      </c>
      <c r="V1002" s="24">
        <v>0</v>
      </c>
      <c r="W1002" s="24">
        <v>0</v>
      </c>
      <c r="X1002" s="24">
        <v>0</v>
      </c>
      <c r="Y1002" s="24">
        <v>0</v>
      </c>
      <c r="Z1002" s="24">
        <v>0</v>
      </c>
      <c r="AA1002" s="24">
        <v>0</v>
      </c>
      <c r="AB1002" s="24">
        <v>0</v>
      </c>
      <c r="AC1002" s="30">
        <f t="shared" si="347"/>
        <v>0</v>
      </c>
      <c r="AD1002" s="28"/>
      <c r="AE1002" s="12"/>
      <c r="AF1002" s="29"/>
      <c r="AG1002" s="9"/>
      <c r="AH1002" s="10"/>
      <c r="AI1002" s="9"/>
      <c r="AJ1002" s="11"/>
      <c r="AK1002" s="9"/>
      <c r="AL1002" s="13"/>
      <c r="AM1002" s="9"/>
    </row>
    <row r="1003" spans="1:39" x14ac:dyDescent="0.3">
      <c r="A1003" s="2" t="str">
        <f t="shared" si="345"/>
        <v>NÃO</v>
      </c>
      <c r="B1003" s="2" t="str">
        <f>_xlfn.XLOOKUP($N1003,'Base de Grupos'!$A:$A,'Base de Grupos'!$D:$D)</f>
        <v>1000065763</v>
      </c>
      <c r="C1003" s="5" t="str">
        <f>_xlfn.XLOOKUP($N1003,'Base de Grupos'!$A:$A,'Base de Grupos'!$E:$E)</f>
        <v>CANAL VENDA INTERNA</v>
      </c>
      <c r="D1003" s="5" t="str">
        <f>_xlfn.XLOOKUP($N1003,'Base de Grupos'!$A:$A,'Base de Grupos'!$F:$F)</f>
        <v>1000065763</v>
      </c>
      <c r="E1003" s="2" t="str">
        <f>_xlfn.XLOOKUP($N1003,'Base de Grupos'!$A:$A,'Base de Grupos'!$G:$G)</f>
        <v>CANAL VENDA INTERNA</v>
      </c>
      <c r="F1003" s="2" t="str">
        <f>_xlfn.XLOOKUP($N1003,'Base de Grupos'!$A:$A,'Base de Grupos'!$H:$H)</f>
        <v>1000174119</v>
      </c>
      <c r="G1003" s="5" t="str">
        <f>_xlfn.XLOOKUP($N1003,'Base de Grupos'!$A:$A,'Base de Grupos'!$I:$I)</f>
        <v>REGIONAL VENDA INTERNA - CONVENIENCIA</v>
      </c>
      <c r="H1003" s="5" t="str">
        <f>_xlfn.XLOOKUP($N1003,'Base de Grupos'!$A:$A,'Base de Grupos'!$J:$J)</f>
        <v>1000174119</v>
      </c>
      <c r="I1003" s="2" t="str">
        <f>_xlfn.XLOOKUP($N1003,'Base de Grupos'!$A:$A,'Base de Grupos'!$K:$K)</f>
        <v>REGIONAL VENDA INTERNA - CONVENIENCIA</v>
      </c>
      <c r="J1003" s="2" t="str">
        <f>_xlfn.XLOOKUP($N1003,'Base de Grupos'!$A:$A,'Base de Grupos'!$L:$L)</f>
        <v>1000174119</v>
      </c>
      <c r="K1003" s="5" t="str">
        <f>_xlfn.XLOOKUP($N1003,'Base de Grupos'!$A:$A,'Base de Grupos'!$M:$M)</f>
        <v>REGIONAL VENDA INTERNA - CONVENIENCIA</v>
      </c>
      <c r="L1003" s="5" t="str">
        <f t="shared" si="346"/>
        <v/>
      </c>
      <c r="M1003" s="5" t="str">
        <f>_xlfn.XLOOKUP($N1003,'Base de Grupos'!$A:$A,'Base de Grupos'!$C:$C)</f>
        <v>MT</v>
      </c>
      <c r="N1003" s="3">
        <v>1520</v>
      </c>
      <c r="O1003" s="4" t="s">
        <v>279</v>
      </c>
      <c r="P1003" s="5" t="s">
        <v>89</v>
      </c>
      <c r="Q1003" s="24">
        <v>0</v>
      </c>
      <c r="R1003" s="24">
        <v>0</v>
      </c>
      <c r="S1003" s="24">
        <v>0</v>
      </c>
      <c r="T1003" s="24">
        <v>0</v>
      </c>
      <c r="U1003" s="24">
        <v>0</v>
      </c>
      <c r="V1003" s="24">
        <v>0</v>
      </c>
      <c r="W1003" s="24">
        <v>0</v>
      </c>
      <c r="X1003" s="24">
        <v>0</v>
      </c>
      <c r="Y1003" s="24">
        <v>0</v>
      </c>
      <c r="Z1003" s="24">
        <v>0</v>
      </c>
      <c r="AA1003" s="24">
        <v>0</v>
      </c>
      <c r="AB1003" s="24">
        <v>0</v>
      </c>
      <c r="AC1003" s="30">
        <f t="shared" si="347"/>
        <v>0</v>
      </c>
      <c r="AD1003" s="28"/>
      <c r="AE1003" s="12"/>
      <c r="AF1003" s="29"/>
      <c r="AG1003" s="9"/>
      <c r="AH1003" s="10"/>
      <c r="AI1003" s="9"/>
      <c r="AJ1003" s="11"/>
      <c r="AK1003" s="9"/>
      <c r="AL1003" s="13"/>
      <c r="AM1003" s="9"/>
    </row>
    <row r="1004" spans="1:39" x14ac:dyDescent="0.3">
      <c r="A1004" s="2" t="str">
        <f t="shared" si="345"/>
        <v>NÃO</v>
      </c>
      <c r="B1004" s="2" t="str">
        <f>_xlfn.XLOOKUP($N1004,'Base de Grupos'!$A:$A,'Base de Grupos'!$D:$D)</f>
        <v>1000065763</v>
      </c>
      <c r="C1004" s="5" t="str">
        <f>_xlfn.XLOOKUP($N1004,'Base de Grupos'!$A:$A,'Base de Grupos'!$E:$E)</f>
        <v>CANAL VENDA INTERNA</v>
      </c>
      <c r="D1004" s="5" t="str">
        <f>_xlfn.XLOOKUP($N1004,'Base de Grupos'!$A:$A,'Base de Grupos'!$F:$F)</f>
        <v>1000065763</v>
      </c>
      <c r="E1004" s="2" t="str">
        <f>_xlfn.XLOOKUP($N1004,'Base de Grupos'!$A:$A,'Base de Grupos'!$G:$G)</f>
        <v>CANAL VENDA INTERNA</v>
      </c>
      <c r="F1004" s="2" t="str">
        <f>_xlfn.XLOOKUP($N1004,'Base de Grupos'!$A:$A,'Base de Grupos'!$H:$H)</f>
        <v>1000174119</v>
      </c>
      <c r="G1004" s="5" t="str">
        <f>_xlfn.XLOOKUP($N1004,'Base de Grupos'!$A:$A,'Base de Grupos'!$I:$I)</f>
        <v>REGIONAL VENDA INTERNA - CONVENIENCIA</v>
      </c>
      <c r="H1004" s="5" t="str">
        <f>_xlfn.XLOOKUP($N1004,'Base de Grupos'!$A:$A,'Base de Grupos'!$J:$J)</f>
        <v>1000174119</v>
      </c>
      <c r="I1004" s="2" t="str">
        <f>_xlfn.XLOOKUP($N1004,'Base de Grupos'!$A:$A,'Base de Grupos'!$K:$K)</f>
        <v>REGIONAL VENDA INTERNA - CONVENIENCIA</v>
      </c>
      <c r="J1004" s="2" t="str">
        <f>_xlfn.XLOOKUP($N1004,'Base de Grupos'!$A:$A,'Base de Grupos'!$L:$L)</f>
        <v>1000174119</v>
      </c>
      <c r="K1004" s="5" t="str">
        <f>_xlfn.XLOOKUP($N1004,'Base de Grupos'!$A:$A,'Base de Grupos'!$M:$M)</f>
        <v>REGIONAL VENDA INTERNA - CONVENIENCIA</v>
      </c>
      <c r="L1004" s="5" t="str">
        <f t="shared" si="346"/>
        <v/>
      </c>
      <c r="M1004" s="5" t="str">
        <f>_xlfn.XLOOKUP($N1004,'Base de Grupos'!$A:$A,'Base de Grupos'!$C:$C)</f>
        <v>MT</v>
      </c>
      <c r="N1004" s="3">
        <v>1520</v>
      </c>
      <c r="O1004" s="4" t="s">
        <v>279</v>
      </c>
      <c r="P1004" s="5" t="s">
        <v>88</v>
      </c>
      <c r="Q1004" s="24">
        <v>0</v>
      </c>
      <c r="R1004" s="24">
        <v>0</v>
      </c>
      <c r="S1004" s="24">
        <v>0</v>
      </c>
      <c r="T1004" s="24">
        <v>0</v>
      </c>
      <c r="U1004" s="24">
        <v>0</v>
      </c>
      <c r="V1004" s="24">
        <v>0</v>
      </c>
      <c r="W1004" s="24">
        <v>0</v>
      </c>
      <c r="X1004" s="24">
        <v>0</v>
      </c>
      <c r="Y1004" s="24">
        <v>0</v>
      </c>
      <c r="Z1004" s="24">
        <v>0</v>
      </c>
      <c r="AA1004" s="24">
        <v>0</v>
      </c>
      <c r="AB1004" s="24">
        <v>0</v>
      </c>
      <c r="AC1004" s="30">
        <f t="shared" si="347"/>
        <v>0</v>
      </c>
      <c r="AD1004" s="28"/>
      <c r="AE1004" s="12"/>
      <c r="AF1004" s="29"/>
      <c r="AG1004" s="9"/>
      <c r="AH1004" s="10"/>
      <c r="AI1004" s="9"/>
      <c r="AJ1004" s="11"/>
      <c r="AK1004" s="9"/>
      <c r="AL1004" s="13"/>
      <c r="AM1004" s="9"/>
    </row>
    <row r="1005" spans="1:39" x14ac:dyDescent="0.3">
      <c r="A1005" s="2" t="str">
        <f t="shared" si="345"/>
        <v>NÃO</v>
      </c>
      <c r="B1005" s="2" t="str">
        <f>_xlfn.XLOOKUP($N1005,'Base de Grupos'!$A:$A,'Base de Grupos'!$D:$D)</f>
        <v>1000065763</v>
      </c>
      <c r="C1005" s="5" t="str">
        <f>_xlfn.XLOOKUP($N1005,'Base de Grupos'!$A:$A,'Base de Grupos'!$E:$E)</f>
        <v>CANAL VENDA INTERNA</v>
      </c>
      <c r="D1005" s="5" t="str">
        <f>_xlfn.XLOOKUP($N1005,'Base de Grupos'!$A:$A,'Base de Grupos'!$F:$F)</f>
        <v>1000065763</v>
      </c>
      <c r="E1005" s="2" t="str">
        <f>_xlfn.XLOOKUP($N1005,'Base de Grupos'!$A:$A,'Base de Grupos'!$G:$G)</f>
        <v>CANAL VENDA INTERNA</v>
      </c>
      <c r="F1005" s="2" t="str">
        <f>_xlfn.XLOOKUP($N1005,'Base de Grupos'!$A:$A,'Base de Grupos'!$H:$H)</f>
        <v>1000174119</v>
      </c>
      <c r="G1005" s="5" t="str">
        <f>_xlfn.XLOOKUP($N1005,'Base de Grupos'!$A:$A,'Base de Grupos'!$I:$I)</f>
        <v>REGIONAL VENDA INTERNA - CONVENIENCIA</v>
      </c>
      <c r="H1005" s="5" t="str">
        <f>_xlfn.XLOOKUP($N1005,'Base de Grupos'!$A:$A,'Base de Grupos'!$J:$J)</f>
        <v>1000174119</v>
      </c>
      <c r="I1005" s="2" t="str">
        <f>_xlfn.XLOOKUP($N1005,'Base de Grupos'!$A:$A,'Base de Grupos'!$K:$K)</f>
        <v>REGIONAL VENDA INTERNA - CONVENIENCIA</v>
      </c>
      <c r="J1005" s="2" t="str">
        <f>_xlfn.XLOOKUP($N1005,'Base de Grupos'!$A:$A,'Base de Grupos'!$L:$L)</f>
        <v>1000174119</v>
      </c>
      <c r="K1005" s="5" t="str">
        <f>_xlfn.XLOOKUP($N1005,'Base de Grupos'!$A:$A,'Base de Grupos'!$M:$M)</f>
        <v>REGIONAL VENDA INTERNA - CONVENIENCIA</v>
      </c>
      <c r="L1005" s="5" t="str">
        <f t="shared" si="346"/>
        <v/>
      </c>
      <c r="M1005" s="5" t="str">
        <f>_xlfn.XLOOKUP($N1005,'Base de Grupos'!$A:$A,'Base de Grupos'!$C:$C)</f>
        <v>MT</v>
      </c>
      <c r="N1005" s="3">
        <v>1520</v>
      </c>
      <c r="O1005" s="4" t="s">
        <v>279</v>
      </c>
      <c r="P1005" s="5" t="s">
        <v>90</v>
      </c>
      <c r="Q1005" s="24">
        <v>0</v>
      </c>
      <c r="R1005" s="24">
        <v>0</v>
      </c>
      <c r="S1005" s="24">
        <v>0</v>
      </c>
      <c r="T1005" s="24">
        <v>0</v>
      </c>
      <c r="U1005" s="24">
        <v>0</v>
      </c>
      <c r="V1005" s="24">
        <v>0</v>
      </c>
      <c r="W1005" s="24">
        <v>0</v>
      </c>
      <c r="X1005" s="24">
        <v>0</v>
      </c>
      <c r="Y1005" s="24">
        <v>0</v>
      </c>
      <c r="Z1005" s="24">
        <v>0</v>
      </c>
      <c r="AA1005" s="24">
        <v>0</v>
      </c>
      <c r="AB1005" s="24">
        <v>0</v>
      </c>
      <c r="AC1005" s="30">
        <f t="shared" si="347"/>
        <v>0</v>
      </c>
      <c r="AD1005" s="28"/>
      <c r="AE1005" s="12"/>
      <c r="AF1005" s="29"/>
      <c r="AG1005" s="9"/>
      <c r="AH1005" s="10"/>
      <c r="AI1005" s="9"/>
      <c r="AJ1005" s="11"/>
      <c r="AK1005" s="9"/>
      <c r="AL1005" s="13"/>
      <c r="AM1005" s="9"/>
    </row>
    <row r="1006" spans="1:39" x14ac:dyDescent="0.3">
      <c r="A1006" s="2" t="str">
        <f t="shared" si="345"/>
        <v>NÃO</v>
      </c>
      <c r="B1006" s="2" t="str">
        <f>_xlfn.XLOOKUP($N1006,'Base de Grupos'!$A:$A,'Base de Grupos'!$D:$D)</f>
        <v>1000065763</v>
      </c>
      <c r="C1006" s="5" t="str">
        <f>_xlfn.XLOOKUP($N1006,'Base de Grupos'!$A:$A,'Base de Grupos'!$E:$E)</f>
        <v>CANAL VENDA INTERNA</v>
      </c>
      <c r="D1006" s="5" t="str">
        <f>_xlfn.XLOOKUP($N1006,'Base de Grupos'!$A:$A,'Base de Grupos'!$F:$F)</f>
        <v>1000065763</v>
      </c>
      <c r="E1006" s="2" t="str">
        <f>_xlfn.XLOOKUP($N1006,'Base de Grupos'!$A:$A,'Base de Grupos'!$G:$G)</f>
        <v>CANAL VENDA INTERNA</v>
      </c>
      <c r="F1006" s="2" t="str">
        <f>_xlfn.XLOOKUP($N1006,'Base de Grupos'!$A:$A,'Base de Grupos'!$H:$H)</f>
        <v>1000174119</v>
      </c>
      <c r="G1006" s="5" t="str">
        <f>_xlfn.XLOOKUP($N1006,'Base de Grupos'!$A:$A,'Base de Grupos'!$I:$I)</f>
        <v>REGIONAL VENDA INTERNA - CONVENIENCIA</v>
      </c>
      <c r="H1006" s="5" t="str">
        <f>_xlfn.XLOOKUP($N1006,'Base de Grupos'!$A:$A,'Base de Grupos'!$J:$J)</f>
        <v>1000174119</v>
      </c>
      <c r="I1006" s="2" t="str">
        <f>_xlfn.XLOOKUP($N1006,'Base de Grupos'!$A:$A,'Base de Grupos'!$K:$K)</f>
        <v>REGIONAL VENDA INTERNA - CONVENIENCIA</v>
      </c>
      <c r="J1006" s="2" t="str">
        <f>_xlfn.XLOOKUP($N1006,'Base de Grupos'!$A:$A,'Base de Grupos'!$L:$L)</f>
        <v>1000174119</v>
      </c>
      <c r="K1006" s="5" t="str">
        <f>_xlfn.XLOOKUP($N1006,'Base de Grupos'!$A:$A,'Base de Grupos'!$M:$M)</f>
        <v>REGIONAL VENDA INTERNA - CONVENIENCIA</v>
      </c>
      <c r="L1006" s="5" t="str">
        <f t="shared" si="346"/>
        <v/>
      </c>
      <c r="M1006" s="5" t="str">
        <f>_xlfn.XLOOKUP($N1006,'Base de Grupos'!$A:$A,'Base de Grupos'!$C:$C)</f>
        <v>MT</v>
      </c>
      <c r="N1006" s="3">
        <v>1520</v>
      </c>
      <c r="O1006" s="4" t="s">
        <v>279</v>
      </c>
      <c r="P1006" s="5" t="s">
        <v>91</v>
      </c>
      <c r="Q1006" s="24">
        <v>0</v>
      </c>
      <c r="R1006" s="24">
        <v>0</v>
      </c>
      <c r="S1006" s="24">
        <v>0</v>
      </c>
      <c r="T1006" s="24">
        <v>0</v>
      </c>
      <c r="U1006" s="24">
        <v>0</v>
      </c>
      <c r="V1006" s="24">
        <v>0</v>
      </c>
      <c r="W1006" s="24">
        <v>0</v>
      </c>
      <c r="X1006" s="24">
        <v>0</v>
      </c>
      <c r="Y1006" s="24">
        <v>0</v>
      </c>
      <c r="Z1006" s="24">
        <v>0</v>
      </c>
      <c r="AA1006" s="24">
        <v>0</v>
      </c>
      <c r="AB1006" s="24">
        <v>0</v>
      </c>
      <c r="AC1006" s="30">
        <f t="shared" si="347"/>
        <v>0</v>
      </c>
      <c r="AD1006" s="28"/>
      <c r="AE1006" s="12"/>
      <c r="AF1006" s="29"/>
      <c r="AG1006" s="9"/>
      <c r="AH1006" s="10"/>
      <c r="AI1006" s="9"/>
      <c r="AJ1006" s="11"/>
      <c r="AK1006" s="9"/>
      <c r="AL1006" s="13"/>
      <c r="AM1006" s="9"/>
    </row>
    <row r="1007" spans="1:39" x14ac:dyDescent="0.3">
      <c r="A1007" s="2" t="str">
        <f t="shared" si="345"/>
        <v>NÃO</v>
      </c>
      <c r="B1007" s="2" t="str">
        <f>_xlfn.XLOOKUP($N1007,'Base de Grupos'!$A:$A,'Base de Grupos'!$D:$D)</f>
        <v>1000065763</v>
      </c>
      <c r="C1007" s="5" t="str">
        <f>_xlfn.XLOOKUP($N1007,'Base de Grupos'!$A:$A,'Base de Grupos'!$E:$E)</f>
        <v>CANAL VENDA INTERNA</v>
      </c>
      <c r="D1007" s="5" t="str">
        <f>_xlfn.XLOOKUP($N1007,'Base de Grupos'!$A:$A,'Base de Grupos'!$F:$F)</f>
        <v>1000065763</v>
      </c>
      <c r="E1007" s="2" t="str">
        <f>_xlfn.XLOOKUP($N1007,'Base de Grupos'!$A:$A,'Base de Grupos'!$G:$G)</f>
        <v>CANAL VENDA INTERNA</v>
      </c>
      <c r="F1007" s="2" t="str">
        <f>_xlfn.XLOOKUP($N1007,'Base de Grupos'!$A:$A,'Base de Grupos'!$H:$H)</f>
        <v>1000174119</v>
      </c>
      <c r="G1007" s="5" t="str">
        <f>_xlfn.XLOOKUP($N1007,'Base de Grupos'!$A:$A,'Base de Grupos'!$I:$I)</f>
        <v>REGIONAL VENDA INTERNA - CONVENIENCIA</v>
      </c>
      <c r="H1007" s="5" t="str">
        <f>_xlfn.XLOOKUP($N1007,'Base de Grupos'!$A:$A,'Base de Grupos'!$J:$J)</f>
        <v>1000174119</v>
      </c>
      <c r="I1007" s="2" t="str">
        <f>_xlfn.XLOOKUP($N1007,'Base de Grupos'!$A:$A,'Base de Grupos'!$K:$K)</f>
        <v>REGIONAL VENDA INTERNA - CONVENIENCIA</v>
      </c>
      <c r="J1007" s="2" t="str">
        <f>_xlfn.XLOOKUP($N1007,'Base de Grupos'!$A:$A,'Base de Grupos'!$L:$L)</f>
        <v>1000174119</v>
      </c>
      <c r="K1007" s="5" t="str">
        <f>_xlfn.XLOOKUP($N1007,'Base de Grupos'!$A:$A,'Base de Grupos'!$M:$M)</f>
        <v>REGIONAL VENDA INTERNA - CONVENIENCIA</v>
      </c>
      <c r="L1007" s="5" t="str">
        <f t="shared" si="346"/>
        <v/>
      </c>
      <c r="M1007" s="5" t="str">
        <f>_xlfn.XLOOKUP($N1007,'Base de Grupos'!$A:$A,'Base de Grupos'!$C:$C)</f>
        <v>MT</v>
      </c>
      <c r="N1007" s="3">
        <v>1520</v>
      </c>
      <c r="O1007" s="4" t="s">
        <v>279</v>
      </c>
      <c r="P1007" s="5" t="s">
        <v>96</v>
      </c>
      <c r="Q1007" s="24">
        <v>0</v>
      </c>
      <c r="R1007" s="24">
        <v>0</v>
      </c>
      <c r="S1007" s="24">
        <v>0</v>
      </c>
      <c r="T1007" s="24">
        <v>0</v>
      </c>
      <c r="U1007" s="24">
        <v>0</v>
      </c>
      <c r="V1007" s="24">
        <v>0</v>
      </c>
      <c r="W1007" s="24">
        <v>0</v>
      </c>
      <c r="X1007" s="24">
        <v>0</v>
      </c>
      <c r="Y1007" s="24">
        <v>0</v>
      </c>
      <c r="Z1007" s="24">
        <v>0</v>
      </c>
      <c r="AA1007" s="24">
        <v>0</v>
      </c>
      <c r="AB1007" s="24">
        <v>0</v>
      </c>
      <c r="AC1007" s="30">
        <f t="shared" si="347"/>
        <v>0</v>
      </c>
      <c r="AD1007" s="28"/>
      <c r="AE1007" s="12"/>
      <c r="AF1007" s="29"/>
      <c r="AG1007" s="9"/>
      <c r="AH1007" s="10"/>
      <c r="AI1007" s="9"/>
      <c r="AJ1007" s="11"/>
      <c r="AK1007" s="9"/>
      <c r="AL1007" s="13"/>
      <c r="AM1007" s="9"/>
    </row>
    <row r="1008" spans="1:39" x14ac:dyDescent="0.3">
      <c r="A1008" s="2" t="str">
        <f t="shared" si="345"/>
        <v>NÃO</v>
      </c>
      <c r="B1008" s="2" t="str">
        <f>_xlfn.XLOOKUP($N1008,'Base de Grupos'!$A:$A,'Base de Grupos'!$D:$D)</f>
        <v>1000065763</v>
      </c>
      <c r="C1008" s="5" t="str">
        <f>_xlfn.XLOOKUP($N1008,'Base de Grupos'!$A:$A,'Base de Grupos'!$E:$E)</f>
        <v>CANAL VENDA INTERNA</v>
      </c>
      <c r="D1008" s="5" t="str">
        <f>_xlfn.XLOOKUP($N1008,'Base de Grupos'!$A:$A,'Base de Grupos'!$F:$F)</f>
        <v>1000065763</v>
      </c>
      <c r="E1008" s="2" t="str">
        <f>_xlfn.XLOOKUP($N1008,'Base de Grupos'!$A:$A,'Base de Grupos'!$G:$G)</f>
        <v>CANAL VENDA INTERNA</v>
      </c>
      <c r="F1008" s="2" t="str">
        <f>_xlfn.XLOOKUP($N1008,'Base de Grupos'!$A:$A,'Base de Grupos'!$H:$H)</f>
        <v>1000174119</v>
      </c>
      <c r="G1008" s="5" t="str">
        <f>_xlfn.XLOOKUP($N1008,'Base de Grupos'!$A:$A,'Base de Grupos'!$I:$I)</f>
        <v>REGIONAL VENDA INTERNA - CONVENIENCIA</v>
      </c>
      <c r="H1008" s="5" t="str">
        <f>_xlfn.XLOOKUP($N1008,'Base de Grupos'!$A:$A,'Base de Grupos'!$J:$J)</f>
        <v>1000174119</v>
      </c>
      <c r="I1008" s="2" t="str">
        <f>_xlfn.XLOOKUP($N1008,'Base de Grupos'!$A:$A,'Base de Grupos'!$K:$K)</f>
        <v>REGIONAL VENDA INTERNA - CONVENIENCIA</v>
      </c>
      <c r="J1008" s="2" t="str">
        <f>_xlfn.XLOOKUP($N1008,'Base de Grupos'!$A:$A,'Base de Grupos'!$L:$L)</f>
        <v>1000174119</v>
      </c>
      <c r="K1008" s="5" t="str">
        <f>_xlfn.XLOOKUP($N1008,'Base de Grupos'!$A:$A,'Base de Grupos'!$M:$M)</f>
        <v>REGIONAL VENDA INTERNA - CONVENIENCIA</v>
      </c>
      <c r="L1008" s="5" t="str">
        <f t="shared" si="346"/>
        <v/>
      </c>
      <c r="M1008" s="5" t="str">
        <f>_xlfn.XLOOKUP($N1008,'Base de Grupos'!$A:$A,'Base de Grupos'!$C:$C)</f>
        <v>MT</v>
      </c>
      <c r="N1008" s="3">
        <v>1520</v>
      </c>
      <c r="O1008" s="4" t="s">
        <v>279</v>
      </c>
      <c r="P1008" s="5" t="s">
        <v>94</v>
      </c>
      <c r="Q1008" s="24">
        <v>0</v>
      </c>
      <c r="R1008" s="24">
        <v>0</v>
      </c>
      <c r="S1008" s="24">
        <v>0</v>
      </c>
      <c r="T1008" s="24">
        <v>0</v>
      </c>
      <c r="U1008" s="24">
        <v>0</v>
      </c>
      <c r="V1008" s="24">
        <v>0</v>
      </c>
      <c r="W1008" s="24">
        <v>0</v>
      </c>
      <c r="X1008" s="24">
        <v>0</v>
      </c>
      <c r="Y1008" s="24">
        <v>0</v>
      </c>
      <c r="Z1008" s="24">
        <v>0</v>
      </c>
      <c r="AA1008" s="24">
        <v>0</v>
      </c>
      <c r="AB1008" s="24">
        <v>0</v>
      </c>
      <c r="AC1008" s="30">
        <f t="shared" si="347"/>
        <v>0</v>
      </c>
      <c r="AD1008" s="28"/>
      <c r="AE1008" s="12"/>
      <c r="AF1008" s="29"/>
      <c r="AG1008" s="9"/>
      <c r="AH1008" s="10"/>
      <c r="AI1008" s="9"/>
      <c r="AJ1008" s="11"/>
      <c r="AK1008" s="9"/>
      <c r="AL1008" s="13"/>
      <c r="AM1008" s="9"/>
    </row>
    <row r="1009" spans="1:39" x14ac:dyDescent="0.3">
      <c r="A1009" s="2" t="str">
        <f t="shared" si="345"/>
        <v>NÃO</v>
      </c>
      <c r="B1009" s="2" t="str">
        <f>_xlfn.XLOOKUP($N1009,'Base de Grupos'!$A:$A,'Base de Grupos'!$D:$D)</f>
        <v>1000065763</v>
      </c>
      <c r="C1009" s="5" t="str">
        <f>_xlfn.XLOOKUP($N1009,'Base de Grupos'!$A:$A,'Base de Grupos'!$E:$E)</f>
        <v>CANAL VENDA INTERNA</v>
      </c>
      <c r="D1009" s="5" t="str">
        <f>_xlfn.XLOOKUP($N1009,'Base de Grupos'!$A:$A,'Base de Grupos'!$F:$F)</f>
        <v>1000065763</v>
      </c>
      <c r="E1009" s="2" t="str">
        <f>_xlfn.XLOOKUP($N1009,'Base de Grupos'!$A:$A,'Base de Grupos'!$G:$G)</f>
        <v>CANAL VENDA INTERNA</v>
      </c>
      <c r="F1009" s="2" t="str">
        <f>_xlfn.XLOOKUP($N1009,'Base de Grupos'!$A:$A,'Base de Grupos'!$H:$H)</f>
        <v>1000174119</v>
      </c>
      <c r="G1009" s="5" t="str">
        <f>_xlfn.XLOOKUP($N1009,'Base de Grupos'!$A:$A,'Base de Grupos'!$I:$I)</f>
        <v>REGIONAL VENDA INTERNA - CONVENIENCIA</v>
      </c>
      <c r="H1009" s="5" t="str">
        <f>_xlfn.XLOOKUP($N1009,'Base de Grupos'!$A:$A,'Base de Grupos'!$J:$J)</f>
        <v>1000174119</v>
      </c>
      <c r="I1009" s="2" t="str">
        <f>_xlfn.XLOOKUP($N1009,'Base de Grupos'!$A:$A,'Base de Grupos'!$K:$K)</f>
        <v>REGIONAL VENDA INTERNA - CONVENIENCIA</v>
      </c>
      <c r="J1009" s="2" t="str">
        <f>_xlfn.XLOOKUP($N1009,'Base de Grupos'!$A:$A,'Base de Grupos'!$L:$L)</f>
        <v>1000174119</v>
      </c>
      <c r="K1009" s="5" t="str">
        <f>_xlfn.XLOOKUP($N1009,'Base de Grupos'!$A:$A,'Base de Grupos'!$M:$M)</f>
        <v>REGIONAL VENDA INTERNA - CONVENIENCIA</v>
      </c>
      <c r="L1009" s="5" t="str">
        <f t="shared" si="346"/>
        <v/>
      </c>
      <c r="M1009" s="5" t="str">
        <f>_xlfn.XLOOKUP($N1009,'Base de Grupos'!$A:$A,'Base de Grupos'!$C:$C)</f>
        <v>MT</v>
      </c>
      <c r="N1009" s="3">
        <v>1520</v>
      </c>
      <c r="O1009" s="4" t="s">
        <v>279</v>
      </c>
      <c r="P1009" s="5" t="s">
        <v>95</v>
      </c>
      <c r="Q1009" s="24">
        <v>0</v>
      </c>
      <c r="R1009" s="24">
        <v>0</v>
      </c>
      <c r="S1009" s="24">
        <v>0</v>
      </c>
      <c r="T1009" s="24">
        <v>0</v>
      </c>
      <c r="U1009" s="24">
        <v>0</v>
      </c>
      <c r="V1009" s="24">
        <v>0</v>
      </c>
      <c r="W1009" s="24">
        <v>0</v>
      </c>
      <c r="X1009" s="24">
        <v>0</v>
      </c>
      <c r="Y1009" s="24">
        <v>0</v>
      </c>
      <c r="Z1009" s="24">
        <v>0</v>
      </c>
      <c r="AA1009" s="24">
        <v>0</v>
      </c>
      <c r="AB1009" s="24">
        <v>0</v>
      </c>
      <c r="AC1009" s="30">
        <f t="shared" si="347"/>
        <v>0</v>
      </c>
      <c r="AD1009" s="28"/>
      <c r="AE1009" s="12"/>
      <c r="AF1009" s="29"/>
      <c r="AG1009" s="9"/>
      <c r="AH1009" s="10"/>
      <c r="AI1009" s="9"/>
      <c r="AJ1009" s="11"/>
      <c r="AK1009" s="9"/>
      <c r="AL1009" s="13"/>
      <c r="AM1009" s="9"/>
    </row>
    <row r="1010" spans="1:39" x14ac:dyDescent="0.3">
      <c r="A1010" s="2" t="str">
        <f t="shared" si="345"/>
        <v>NÃO</v>
      </c>
      <c r="B1010" s="2" t="str">
        <f>_xlfn.XLOOKUP($N1010,'Base de Grupos'!$A:$A,'Base de Grupos'!$D:$D)</f>
        <v>1000065763</v>
      </c>
      <c r="C1010" s="5" t="str">
        <f>_xlfn.XLOOKUP($N1010,'Base de Grupos'!$A:$A,'Base de Grupos'!$E:$E)</f>
        <v>CANAL VENDA INTERNA</v>
      </c>
      <c r="D1010" s="5" t="str">
        <f>_xlfn.XLOOKUP($N1010,'Base de Grupos'!$A:$A,'Base de Grupos'!$F:$F)</f>
        <v>1000065763</v>
      </c>
      <c r="E1010" s="2" t="str">
        <f>_xlfn.XLOOKUP($N1010,'Base de Grupos'!$A:$A,'Base de Grupos'!$G:$G)</f>
        <v>CANAL VENDA INTERNA</v>
      </c>
      <c r="F1010" s="2" t="str">
        <f>_xlfn.XLOOKUP($N1010,'Base de Grupos'!$A:$A,'Base de Grupos'!$H:$H)</f>
        <v>1000174119</v>
      </c>
      <c r="G1010" s="5" t="str">
        <f>_xlfn.XLOOKUP($N1010,'Base de Grupos'!$A:$A,'Base de Grupos'!$I:$I)</f>
        <v>REGIONAL VENDA INTERNA - CONVENIENCIA</v>
      </c>
      <c r="H1010" s="5" t="str">
        <f>_xlfn.XLOOKUP($N1010,'Base de Grupos'!$A:$A,'Base de Grupos'!$J:$J)</f>
        <v>1000174119</v>
      </c>
      <c r="I1010" s="2" t="str">
        <f>_xlfn.XLOOKUP($N1010,'Base de Grupos'!$A:$A,'Base de Grupos'!$K:$K)</f>
        <v>REGIONAL VENDA INTERNA - CONVENIENCIA</v>
      </c>
      <c r="J1010" s="2" t="str">
        <f>_xlfn.XLOOKUP($N1010,'Base de Grupos'!$A:$A,'Base de Grupos'!$L:$L)</f>
        <v>1000174119</v>
      </c>
      <c r="K1010" s="5" t="str">
        <f>_xlfn.XLOOKUP($N1010,'Base de Grupos'!$A:$A,'Base de Grupos'!$M:$M)</f>
        <v>REGIONAL VENDA INTERNA - CONVENIENCIA</v>
      </c>
      <c r="L1010" s="5" t="str">
        <f t="shared" si="346"/>
        <v/>
      </c>
      <c r="M1010" s="5" t="str">
        <f>_xlfn.XLOOKUP($N1010,'Base de Grupos'!$A:$A,'Base de Grupos'!$C:$C)</f>
        <v>MT</v>
      </c>
      <c r="N1010" s="3">
        <v>1520</v>
      </c>
      <c r="O1010" s="4" t="s">
        <v>279</v>
      </c>
      <c r="P1010" s="5" t="s">
        <v>93</v>
      </c>
      <c r="Q1010" s="24">
        <v>0</v>
      </c>
      <c r="R1010" s="24">
        <v>0</v>
      </c>
      <c r="S1010" s="24">
        <v>0</v>
      </c>
      <c r="T1010" s="24">
        <v>0</v>
      </c>
      <c r="U1010" s="24">
        <v>0</v>
      </c>
      <c r="V1010" s="24">
        <v>0</v>
      </c>
      <c r="W1010" s="24">
        <v>0</v>
      </c>
      <c r="X1010" s="24">
        <v>0</v>
      </c>
      <c r="Y1010" s="24">
        <v>0</v>
      </c>
      <c r="Z1010" s="24">
        <v>0</v>
      </c>
      <c r="AA1010" s="24">
        <v>0</v>
      </c>
      <c r="AB1010" s="24">
        <v>0</v>
      </c>
      <c r="AC1010" s="30">
        <f t="shared" si="347"/>
        <v>0</v>
      </c>
      <c r="AD1010" s="28"/>
      <c r="AE1010" s="12"/>
      <c r="AF1010" s="29"/>
      <c r="AG1010" s="9"/>
      <c r="AH1010" s="10"/>
      <c r="AI1010" s="9"/>
      <c r="AJ1010" s="11"/>
      <c r="AK1010" s="9"/>
      <c r="AL1010" s="13"/>
      <c r="AM1010" s="9"/>
    </row>
    <row r="1011" spans="1:39" x14ac:dyDescent="0.3">
      <c r="A1011" s="2" t="str">
        <f t="shared" si="345"/>
        <v>SIM</v>
      </c>
      <c r="B1011" s="2" t="str">
        <f>_xlfn.XLOOKUP($N1011,'Base de Grupos'!$A:$A,'Base de Grupos'!$D:$D)</f>
        <v>1000065763</v>
      </c>
      <c r="C1011" s="5" t="str">
        <f>_xlfn.XLOOKUP($N1011,'Base de Grupos'!$A:$A,'Base de Grupos'!$E:$E)</f>
        <v>CANAL VENDA INTERNA</v>
      </c>
      <c r="D1011" s="5" t="str">
        <f>_xlfn.XLOOKUP($N1011,'Base de Grupos'!$A:$A,'Base de Grupos'!$F:$F)</f>
        <v>1000065763</v>
      </c>
      <c r="E1011" s="2" t="str">
        <f>_xlfn.XLOOKUP($N1011,'Base de Grupos'!$A:$A,'Base de Grupos'!$G:$G)</f>
        <v>CANAL VENDA INTERNA</v>
      </c>
      <c r="F1011" s="2" t="str">
        <f>_xlfn.XLOOKUP($N1011,'Base de Grupos'!$A:$A,'Base de Grupos'!$H:$H)</f>
        <v>1000174119</v>
      </c>
      <c r="G1011" s="5" t="str">
        <f>_xlfn.XLOOKUP($N1011,'Base de Grupos'!$A:$A,'Base de Grupos'!$I:$I)</f>
        <v>REGIONAL VENDA INTERNA - CONVENIENCIA</v>
      </c>
      <c r="H1011" s="5" t="str">
        <f>_xlfn.XLOOKUP($N1011,'Base de Grupos'!$A:$A,'Base de Grupos'!$J:$J)</f>
        <v>1000174119</v>
      </c>
      <c r="I1011" s="2" t="str">
        <f>_xlfn.XLOOKUP($N1011,'Base de Grupos'!$A:$A,'Base de Grupos'!$K:$K)</f>
        <v>REGIONAL VENDA INTERNA - CONVENIENCIA</v>
      </c>
      <c r="J1011" s="2" t="str">
        <f>_xlfn.XLOOKUP($N1011,'Base de Grupos'!$A:$A,'Base de Grupos'!$L:$L)</f>
        <v>1000174119</v>
      </c>
      <c r="K1011" s="5" t="str">
        <f>_xlfn.XLOOKUP($N1011,'Base de Grupos'!$A:$A,'Base de Grupos'!$M:$M)</f>
        <v>REGIONAL VENDA INTERNA - CONVENIENCIA</v>
      </c>
      <c r="L1011" s="5">
        <f t="shared" si="346"/>
        <v>1</v>
      </c>
      <c r="M1011" s="5" t="str">
        <f>_xlfn.XLOOKUP($N1011,'Base de Grupos'!$A:$A,'Base de Grupos'!$C:$C)</f>
        <v>GO</v>
      </c>
      <c r="N1011" s="3">
        <v>1521</v>
      </c>
      <c r="O1011" s="4" t="s">
        <v>280</v>
      </c>
      <c r="P1011" s="5" t="s">
        <v>350</v>
      </c>
      <c r="Q1011" s="24">
        <v>0</v>
      </c>
      <c r="R1011" s="24">
        <v>0</v>
      </c>
      <c r="S1011" s="24">
        <v>0</v>
      </c>
      <c r="T1011" s="24">
        <v>0</v>
      </c>
      <c r="U1011" s="24">
        <v>0</v>
      </c>
      <c r="V1011" s="24">
        <v>0</v>
      </c>
      <c r="W1011" s="24">
        <v>0</v>
      </c>
      <c r="X1011" s="24">
        <v>0</v>
      </c>
      <c r="Y1011" s="24">
        <v>0</v>
      </c>
      <c r="Z1011" s="24">
        <v>0</v>
      </c>
      <c r="AA1011" s="24">
        <v>0</v>
      </c>
      <c r="AB1011" s="24">
        <v>0</v>
      </c>
      <c r="AC1011" s="30">
        <f t="shared" si="347"/>
        <v>0</v>
      </c>
      <c r="AD1011" s="28"/>
      <c r="AE1011" s="12"/>
      <c r="AF1011" s="29"/>
      <c r="AG1011" s="9"/>
      <c r="AH1011" s="10"/>
      <c r="AI1011" s="9"/>
      <c r="AJ1011" s="11"/>
      <c r="AK1011" s="9"/>
      <c r="AL1011" s="13"/>
      <c r="AM1011" s="9"/>
    </row>
    <row r="1012" spans="1:39" x14ac:dyDescent="0.3">
      <c r="A1012" s="2" t="str">
        <f t="shared" si="345"/>
        <v>NÃO</v>
      </c>
      <c r="B1012" s="2" t="str">
        <f>_xlfn.XLOOKUP($N1012,'Base de Grupos'!$A:$A,'Base de Grupos'!$D:$D)</f>
        <v>1000065763</v>
      </c>
      <c r="C1012" s="5" t="str">
        <f>_xlfn.XLOOKUP($N1012,'Base de Grupos'!$A:$A,'Base de Grupos'!$E:$E)</f>
        <v>CANAL VENDA INTERNA</v>
      </c>
      <c r="D1012" s="5" t="str">
        <f>_xlfn.XLOOKUP($N1012,'Base de Grupos'!$A:$A,'Base de Grupos'!$F:$F)</f>
        <v>1000065763</v>
      </c>
      <c r="E1012" s="2" t="str">
        <f>_xlfn.XLOOKUP($N1012,'Base de Grupos'!$A:$A,'Base de Grupos'!$G:$G)</f>
        <v>CANAL VENDA INTERNA</v>
      </c>
      <c r="F1012" s="2" t="str">
        <f>_xlfn.XLOOKUP($N1012,'Base de Grupos'!$A:$A,'Base de Grupos'!$H:$H)</f>
        <v>1000174119</v>
      </c>
      <c r="G1012" s="5" t="str">
        <f>_xlfn.XLOOKUP($N1012,'Base de Grupos'!$A:$A,'Base de Grupos'!$I:$I)</f>
        <v>REGIONAL VENDA INTERNA - CONVENIENCIA</v>
      </c>
      <c r="H1012" s="5" t="str">
        <f>_xlfn.XLOOKUP($N1012,'Base de Grupos'!$A:$A,'Base de Grupos'!$J:$J)</f>
        <v>1000174119</v>
      </c>
      <c r="I1012" s="2" t="str">
        <f>_xlfn.XLOOKUP($N1012,'Base de Grupos'!$A:$A,'Base de Grupos'!$K:$K)</f>
        <v>REGIONAL VENDA INTERNA - CONVENIENCIA</v>
      </c>
      <c r="J1012" s="2" t="str">
        <f>_xlfn.XLOOKUP($N1012,'Base de Grupos'!$A:$A,'Base de Grupos'!$L:$L)</f>
        <v>1000174119</v>
      </c>
      <c r="K1012" s="5" t="str">
        <f>_xlfn.XLOOKUP($N1012,'Base de Grupos'!$A:$A,'Base de Grupos'!$M:$M)</f>
        <v>REGIONAL VENDA INTERNA - CONVENIENCIA</v>
      </c>
      <c r="L1012" s="5" t="str">
        <f t="shared" si="346"/>
        <v/>
      </c>
      <c r="M1012" s="5" t="str">
        <f>_xlfn.XLOOKUP($N1012,'Base de Grupos'!$A:$A,'Base de Grupos'!$C:$C)</f>
        <v>GO</v>
      </c>
      <c r="N1012" s="3">
        <v>1521</v>
      </c>
      <c r="O1012" s="4" t="s">
        <v>280</v>
      </c>
      <c r="P1012" s="5" t="s">
        <v>81</v>
      </c>
      <c r="Q1012" s="24">
        <v>0</v>
      </c>
      <c r="R1012" s="24">
        <v>0</v>
      </c>
      <c r="S1012" s="24">
        <v>0</v>
      </c>
      <c r="T1012" s="24">
        <v>0</v>
      </c>
      <c r="U1012" s="24">
        <v>0</v>
      </c>
      <c r="V1012" s="24">
        <v>0</v>
      </c>
      <c r="W1012" s="24">
        <v>0</v>
      </c>
      <c r="X1012" s="24">
        <v>0</v>
      </c>
      <c r="Y1012" s="24">
        <v>0</v>
      </c>
      <c r="Z1012" s="24">
        <v>0</v>
      </c>
      <c r="AA1012" s="24">
        <v>0</v>
      </c>
      <c r="AB1012" s="24">
        <v>0</v>
      </c>
      <c r="AC1012" s="30">
        <f t="shared" si="347"/>
        <v>0</v>
      </c>
      <c r="AD1012" s="28"/>
      <c r="AE1012" s="12"/>
      <c r="AF1012" s="29"/>
      <c r="AG1012" s="9"/>
      <c r="AH1012" s="10"/>
      <c r="AI1012" s="9"/>
      <c r="AJ1012" s="11"/>
      <c r="AK1012" s="9"/>
      <c r="AL1012" s="13"/>
      <c r="AM1012" s="9"/>
    </row>
    <row r="1013" spans="1:39" x14ac:dyDescent="0.3">
      <c r="A1013" s="2" t="str">
        <f t="shared" si="345"/>
        <v>NÃO</v>
      </c>
      <c r="B1013" s="2" t="str">
        <f>_xlfn.XLOOKUP($N1013,'Base de Grupos'!$A:$A,'Base de Grupos'!$D:$D)</f>
        <v>1000065763</v>
      </c>
      <c r="C1013" s="5" t="str">
        <f>_xlfn.XLOOKUP($N1013,'Base de Grupos'!$A:$A,'Base de Grupos'!$E:$E)</f>
        <v>CANAL VENDA INTERNA</v>
      </c>
      <c r="D1013" s="5" t="str">
        <f>_xlfn.XLOOKUP($N1013,'Base de Grupos'!$A:$A,'Base de Grupos'!$F:$F)</f>
        <v>1000065763</v>
      </c>
      <c r="E1013" s="2" t="str">
        <f>_xlfn.XLOOKUP($N1013,'Base de Grupos'!$A:$A,'Base de Grupos'!$G:$G)</f>
        <v>CANAL VENDA INTERNA</v>
      </c>
      <c r="F1013" s="2" t="str">
        <f>_xlfn.XLOOKUP($N1013,'Base de Grupos'!$A:$A,'Base de Grupos'!$H:$H)</f>
        <v>1000174119</v>
      </c>
      <c r="G1013" s="5" t="str">
        <f>_xlfn.XLOOKUP($N1013,'Base de Grupos'!$A:$A,'Base de Grupos'!$I:$I)</f>
        <v>REGIONAL VENDA INTERNA - CONVENIENCIA</v>
      </c>
      <c r="H1013" s="5" t="str">
        <f>_xlfn.XLOOKUP($N1013,'Base de Grupos'!$A:$A,'Base de Grupos'!$J:$J)</f>
        <v>1000174119</v>
      </c>
      <c r="I1013" s="2" t="str">
        <f>_xlfn.XLOOKUP($N1013,'Base de Grupos'!$A:$A,'Base de Grupos'!$K:$K)</f>
        <v>REGIONAL VENDA INTERNA - CONVENIENCIA</v>
      </c>
      <c r="J1013" s="2" t="str">
        <f>_xlfn.XLOOKUP($N1013,'Base de Grupos'!$A:$A,'Base de Grupos'!$L:$L)</f>
        <v>1000174119</v>
      </c>
      <c r="K1013" s="5" t="str">
        <f>_xlfn.XLOOKUP($N1013,'Base de Grupos'!$A:$A,'Base de Grupos'!$M:$M)</f>
        <v>REGIONAL VENDA INTERNA - CONVENIENCIA</v>
      </c>
      <c r="L1013" s="5" t="str">
        <f t="shared" si="346"/>
        <v/>
      </c>
      <c r="M1013" s="5" t="str">
        <f>_xlfn.XLOOKUP($N1013,'Base de Grupos'!$A:$A,'Base de Grupos'!$C:$C)</f>
        <v>GO</v>
      </c>
      <c r="N1013" s="3">
        <v>1521</v>
      </c>
      <c r="O1013" s="4" t="s">
        <v>280</v>
      </c>
      <c r="P1013" s="5" t="s">
        <v>82</v>
      </c>
      <c r="Q1013" s="24">
        <v>0</v>
      </c>
      <c r="R1013" s="24">
        <v>0</v>
      </c>
      <c r="S1013" s="24">
        <v>0</v>
      </c>
      <c r="T1013" s="24">
        <v>0</v>
      </c>
      <c r="U1013" s="24">
        <v>0</v>
      </c>
      <c r="V1013" s="24">
        <v>0</v>
      </c>
      <c r="W1013" s="24">
        <v>0</v>
      </c>
      <c r="X1013" s="24">
        <v>0</v>
      </c>
      <c r="Y1013" s="24">
        <v>0</v>
      </c>
      <c r="Z1013" s="24">
        <v>0</v>
      </c>
      <c r="AA1013" s="24">
        <v>0</v>
      </c>
      <c r="AB1013" s="24">
        <v>0</v>
      </c>
      <c r="AC1013" s="30">
        <f t="shared" si="347"/>
        <v>0</v>
      </c>
      <c r="AD1013" s="28"/>
      <c r="AE1013" s="12"/>
      <c r="AF1013" s="29"/>
      <c r="AG1013" s="9"/>
      <c r="AH1013" s="10"/>
      <c r="AI1013" s="9"/>
      <c r="AJ1013" s="11"/>
      <c r="AK1013" s="9"/>
      <c r="AL1013" s="13"/>
      <c r="AM1013" s="9"/>
    </row>
    <row r="1014" spans="1:39" x14ac:dyDescent="0.3">
      <c r="A1014" s="2" t="str">
        <f t="shared" si="345"/>
        <v>NÃO</v>
      </c>
      <c r="B1014" s="2" t="str">
        <f>_xlfn.XLOOKUP($N1014,'Base de Grupos'!$A:$A,'Base de Grupos'!$D:$D)</f>
        <v>1000065763</v>
      </c>
      <c r="C1014" s="5" t="str">
        <f>_xlfn.XLOOKUP($N1014,'Base de Grupos'!$A:$A,'Base de Grupos'!$E:$E)</f>
        <v>CANAL VENDA INTERNA</v>
      </c>
      <c r="D1014" s="5" t="str">
        <f>_xlfn.XLOOKUP($N1014,'Base de Grupos'!$A:$A,'Base de Grupos'!$F:$F)</f>
        <v>1000065763</v>
      </c>
      <c r="E1014" s="2" t="str">
        <f>_xlfn.XLOOKUP($N1014,'Base de Grupos'!$A:$A,'Base de Grupos'!$G:$G)</f>
        <v>CANAL VENDA INTERNA</v>
      </c>
      <c r="F1014" s="2" t="str">
        <f>_xlfn.XLOOKUP($N1014,'Base de Grupos'!$A:$A,'Base de Grupos'!$H:$H)</f>
        <v>1000174119</v>
      </c>
      <c r="G1014" s="5" t="str">
        <f>_xlfn.XLOOKUP($N1014,'Base de Grupos'!$A:$A,'Base de Grupos'!$I:$I)</f>
        <v>REGIONAL VENDA INTERNA - CONVENIENCIA</v>
      </c>
      <c r="H1014" s="5" t="str">
        <f>_xlfn.XLOOKUP($N1014,'Base de Grupos'!$A:$A,'Base de Grupos'!$J:$J)</f>
        <v>1000174119</v>
      </c>
      <c r="I1014" s="2" t="str">
        <f>_xlfn.XLOOKUP($N1014,'Base de Grupos'!$A:$A,'Base de Grupos'!$K:$K)</f>
        <v>REGIONAL VENDA INTERNA - CONVENIENCIA</v>
      </c>
      <c r="J1014" s="2" t="str">
        <f>_xlfn.XLOOKUP($N1014,'Base de Grupos'!$A:$A,'Base de Grupos'!$L:$L)</f>
        <v>1000174119</v>
      </c>
      <c r="K1014" s="5" t="str">
        <f>_xlfn.XLOOKUP($N1014,'Base de Grupos'!$A:$A,'Base de Grupos'!$M:$M)</f>
        <v>REGIONAL VENDA INTERNA - CONVENIENCIA</v>
      </c>
      <c r="L1014" s="5" t="str">
        <f t="shared" si="346"/>
        <v/>
      </c>
      <c r="M1014" s="5" t="str">
        <f>_xlfn.XLOOKUP($N1014,'Base de Grupos'!$A:$A,'Base de Grupos'!$C:$C)</f>
        <v>GO</v>
      </c>
      <c r="N1014" s="3">
        <v>1521</v>
      </c>
      <c r="O1014" s="4" t="s">
        <v>280</v>
      </c>
      <c r="P1014" s="5" t="s">
        <v>84</v>
      </c>
      <c r="Q1014" s="24">
        <v>0</v>
      </c>
      <c r="R1014" s="24">
        <v>0</v>
      </c>
      <c r="S1014" s="24">
        <v>0</v>
      </c>
      <c r="T1014" s="24">
        <v>0</v>
      </c>
      <c r="U1014" s="24">
        <v>0</v>
      </c>
      <c r="V1014" s="24">
        <v>0</v>
      </c>
      <c r="W1014" s="24">
        <v>0</v>
      </c>
      <c r="X1014" s="24">
        <v>0</v>
      </c>
      <c r="Y1014" s="24">
        <v>0</v>
      </c>
      <c r="Z1014" s="24">
        <v>0</v>
      </c>
      <c r="AA1014" s="24">
        <v>0</v>
      </c>
      <c r="AB1014" s="24">
        <v>0</v>
      </c>
      <c r="AC1014" s="30">
        <f t="shared" si="347"/>
        <v>0</v>
      </c>
      <c r="AD1014" s="28"/>
      <c r="AE1014" s="12"/>
      <c r="AF1014" s="29"/>
      <c r="AG1014" s="9"/>
      <c r="AH1014" s="10"/>
      <c r="AI1014" s="9"/>
      <c r="AJ1014" s="11"/>
      <c r="AK1014" s="9"/>
      <c r="AL1014" s="13"/>
      <c r="AM1014" s="9"/>
    </row>
    <row r="1015" spans="1:39" x14ac:dyDescent="0.3">
      <c r="A1015" s="2" t="str">
        <f t="shared" si="345"/>
        <v>NÃO</v>
      </c>
      <c r="B1015" s="2" t="str">
        <f>_xlfn.XLOOKUP($N1015,'Base de Grupos'!$A:$A,'Base de Grupos'!$D:$D)</f>
        <v>1000065763</v>
      </c>
      <c r="C1015" s="5" t="str">
        <f>_xlfn.XLOOKUP($N1015,'Base de Grupos'!$A:$A,'Base de Grupos'!$E:$E)</f>
        <v>CANAL VENDA INTERNA</v>
      </c>
      <c r="D1015" s="5" t="str">
        <f>_xlfn.XLOOKUP($N1015,'Base de Grupos'!$A:$A,'Base de Grupos'!$F:$F)</f>
        <v>1000065763</v>
      </c>
      <c r="E1015" s="2" t="str">
        <f>_xlfn.XLOOKUP($N1015,'Base de Grupos'!$A:$A,'Base de Grupos'!$G:$G)</f>
        <v>CANAL VENDA INTERNA</v>
      </c>
      <c r="F1015" s="2" t="str">
        <f>_xlfn.XLOOKUP($N1015,'Base de Grupos'!$A:$A,'Base de Grupos'!$H:$H)</f>
        <v>1000174119</v>
      </c>
      <c r="G1015" s="5" t="str">
        <f>_xlfn.XLOOKUP($N1015,'Base de Grupos'!$A:$A,'Base de Grupos'!$I:$I)</f>
        <v>REGIONAL VENDA INTERNA - CONVENIENCIA</v>
      </c>
      <c r="H1015" s="5" t="str">
        <f>_xlfn.XLOOKUP($N1015,'Base de Grupos'!$A:$A,'Base de Grupos'!$J:$J)</f>
        <v>1000174119</v>
      </c>
      <c r="I1015" s="2" t="str">
        <f>_xlfn.XLOOKUP($N1015,'Base de Grupos'!$A:$A,'Base de Grupos'!$K:$K)</f>
        <v>REGIONAL VENDA INTERNA - CONVENIENCIA</v>
      </c>
      <c r="J1015" s="2" t="str">
        <f>_xlfn.XLOOKUP($N1015,'Base de Grupos'!$A:$A,'Base de Grupos'!$L:$L)</f>
        <v>1000174119</v>
      </c>
      <c r="K1015" s="5" t="str">
        <f>_xlfn.XLOOKUP($N1015,'Base de Grupos'!$A:$A,'Base de Grupos'!$M:$M)</f>
        <v>REGIONAL VENDA INTERNA - CONVENIENCIA</v>
      </c>
      <c r="L1015" s="5" t="str">
        <f t="shared" si="346"/>
        <v/>
      </c>
      <c r="M1015" s="5" t="str">
        <f>_xlfn.XLOOKUP($N1015,'Base de Grupos'!$A:$A,'Base de Grupos'!$C:$C)</f>
        <v>GO</v>
      </c>
      <c r="N1015" s="3">
        <v>1521</v>
      </c>
      <c r="O1015" s="4" t="s">
        <v>280</v>
      </c>
      <c r="P1015" s="5" t="s">
        <v>83</v>
      </c>
      <c r="Q1015" s="24">
        <v>0</v>
      </c>
      <c r="R1015" s="24">
        <v>0</v>
      </c>
      <c r="S1015" s="24">
        <v>0</v>
      </c>
      <c r="T1015" s="24">
        <v>0</v>
      </c>
      <c r="U1015" s="24">
        <v>0</v>
      </c>
      <c r="V1015" s="24">
        <v>0</v>
      </c>
      <c r="W1015" s="24">
        <v>0</v>
      </c>
      <c r="X1015" s="24">
        <v>0</v>
      </c>
      <c r="Y1015" s="24">
        <v>0</v>
      </c>
      <c r="Z1015" s="24">
        <v>0</v>
      </c>
      <c r="AA1015" s="24">
        <v>0</v>
      </c>
      <c r="AB1015" s="24">
        <v>0</v>
      </c>
      <c r="AC1015" s="30">
        <f t="shared" si="347"/>
        <v>0</v>
      </c>
      <c r="AD1015" s="28"/>
      <c r="AE1015" s="12"/>
      <c r="AF1015" s="29"/>
      <c r="AG1015" s="9"/>
      <c r="AH1015" s="10"/>
      <c r="AI1015" s="9"/>
      <c r="AJ1015" s="11"/>
      <c r="AK1015" s="9"/>
      <c r="AL1015" s="13"/>
      <c r="AM1015" s="9"/>
    </row>
    <row r="1016" spans="1:39" x14ac:dyDescent="0.3">
      <c r="A1016" s="2" t="str">
        <f t="shared" si="345"/>
        <v>NÃO</v>
      </c>
      <c r="B1016" s="2" t="str">
        <f>_xlfn.XLOOKUP($N1016,'Base de Grupos'!$A:$A,'Base de Grupos'!$D:$D)</f>
        <v>1000065763</v>
      </c>
      <c r="C1016" s="5" t="str">
        <f>_xlfn.XLOOKUP($N1016,'Base de Grupos'!$A:$A,'Base de Grupos'!$E:$E)</f>
        <v>CANAL VENDA INTERNA</v>
      </c>
      <c r="D1016" s="5" t="str">
        <f>_xlfn.XLOOKUP($N1016,'Base de Grupos'!$A:$A,'Base de Grupos'!$F:$F)</f>
        <v>1000065763</v>
      </c>
      <c r="E1016" s="2" t="str">
        <f>_xlfn.XLOOKUP($N1016,'Base de Grupos'!$A:$A,'Base de Grupos'!$G:$G)</f>
        <v>CANAL VENDA INTERNA</v>
      </c>
      <c r="F1016" s="2" t="str">
        <f>_xlfn.XLOOKUP($N1016,'Base de Grupos'!$A:$A,'Base de Grupos'!$H:$H)</f>
        <v>1000174119</v>
      </c>
      <c r="G1016" s="5" t="str">
        <f>_xlfn.XLOOKUP($N1016,'Base de Grupos'!$A:$A,'Base de Grupos'!$I:$I)</f>
        <v>REGIONAL VENDA INTERNA - CONVENIENCIA</v>
      </c>
      <c r="H1016" s="5" t="str">
        <f>_xlfn.XLOOKUP($N1016,'Base de Grupos'!$A:$A,'Base de Grupos'!$J:$J)</f>
        <v>1000174119</v>
      </c>
      <c r="I1016" s="2" t="str">
        <f>_xlfn.XLOOKUP($N1016,'Base de Grupos'!$A:$A,'Base de Grupos'!$K:$K)</f>
        <v>REGIONAL VENDA INTERNA - CONVENIENCIA</v>
      </c>
      <c r="J1016" s="2" t="str">
        <f>_xlfn.XLOOKUP($N1016,'Base de Grupos'!$A:$A,'Base de Grupos'!$L:$L)</f>
        <v>1000174119</v>
      </c>
      <c r="K1016" s="5" t="str">
        <f>_xlfn.XLOOKUP($N1016,'Base de Grupos'!$A:$A,'Base de Grupos'!$M:$M)</f>
        <v>REGIONAL VENDA INTERNA - CONVENIENCIA</v>
      </c>
      <c r="L1016" s="5" t="str">
        <f t="shared" si="346"/>
        <v/>
      </c>
      <c r="M1016" s="5" t="str">
        <f>_xlfn.XLOOKUP($N1016,'Base de Grupos'!$A:$A,'Base de Grupos'!$C:$C)</f>
        <v>GO</v>
      </c>
      <c r="N1016" s="3">
        <v>1521</v>
      </c>
      <c r="O1016" s="4" t="s">
        <v>280</v>
      </c>
      <c r="P1016" s="5" t="s">
        <v>87</v>
      </c>
      <c r="Q1016" s="24">
        <v>0</v>
      </c>
      <c r="R1016" s="24">
        <v>0</v>
      </c>
      <c r="S1016" s="24">
        <v>0</v>
      </c>
      <c r="T1016" s="24">
        <v>0</v>
      </c>
      <c r="U1016" s="24">
        <v>0</v>
      </c>
      <c r="V1016" s="24">
        <v>0</v>
      </c>
      <c r="W1016" s="24">
        <v>0</v>
      </c>
      <c r="X1016" s="24">
        <v>0</v>
      </c>
      <c r="Y1016" s="24">
        <v>0</v>
      </c>
      <c r="Z1016" s="24">
        <v>0</v>
      </c>
      <c r="AA1016" s="24">
        <v>0</v>
      </c>
      <c r="AB1016" s="24">
        <v>0</v>
      </c>
      <c r="AC1016" s="30">
        <f t="shared" si="347"/>
        <v>0</v>
      </c>
      <c r="AD1016" s="28"/>
      <c r="AE1016" s="12"/>
      <c r="AF1016" s="29"/>
      <c r="AG1016" s="9"/>
      <c r="AH1016" s="10"/>
      <c r="AI1016" s="9"/>
      <c r="AJ1016" s="11"/>
      <c r="AK1016" s="9"/>
      <c r="AL1016" s="13"/>
      <c r="AM1016" s="9"/>
    </row>
    <row r="1017" spans="1:39" x14ac:dyDescent="0.3">
      <c r="A1017" s="2" t="str">
        <f t="shared" si="345"/>
        <v>NÃO</v>
      </c>
      <c r="B1017" s="2" t="str">
        <f>_xlfn.XLOOKUP($N1017,'Base de Grupos'!$A:$A,'Base de Grupos'!$D:$D)</f>
        <v>1000065763</v>
      </c>
      <c r="C1017" s="5" t="str">
        <f>_xlfn.XLOOKUP($N1017,'Base de Grupos'!$A:$A,'Base de Grupos'!$E:$E)</f>
        <v>CANAL VENDA INTERNA</v>
      </c>
      <c r="D1017" s="5" t="str">
        <f>_xlfn.XLOOKUP($N1017,'Base de Grupos'!$A:$A,'Base de Grupos'!$F:$F)</f>
        <v>1000065763</v>
      </c>
      <c r="E1017" s="2" t="str">
        <f>_xlfn.XLOOKUP($N1017,'Base de Grupos'!$A:$A,'Base de Grupos'!$G:$G)</f>
        <v>CANAL VENDA INTERNA</v>
      </c>
      <c r="F1017" s="2" t="str">
        <f>_xlfn.XLOOKUP($N1017,'Base de Grupos'!$A:$A,'Base de Grupos'!$H:$H)</f>
        <v>1000174119</v>
      </c>
      <c r="G1017" s="5" t="str">
        <f>_xlfn.XLOOKUP($N1017,'Base de Grupos'!$A:$A,'Base de Grupos'!$I:$I)</f>
        <v>REGIONAL VENDA INTERNA - CONVENIENCIA</v>
      </c>
      <c r="H1017" s="5" t="str">
        <f>_xlfn.XLOOKUP($N1017,'Base de Grupos'!$A:$A,'Base de Grupos'!$J:$J)</f>
        <v>1000174119</v>
      </c>
      <c r="I1017" s="2" t="str">
        <f>_xlfn.XLOOKUP($N1017,'Base de Grupos'!$A:$A,'Base de Grupos'!$K:$K)</f>
        <v>REGIONAL VENDA INTERNA - CONVENIENCIA</v>
      </c>
      <c r="J1017" s="2" t="str">
        <f>_xlfn.XLOOKUP($N1017,'Base de Grupos'!$A:$A,'Base de Grupos'!$L:$L)</f>
        <v>1000174119</v>
      </c>
      <c r="K1017" s="5" t="str">
        <f>_xlfn.XLOOKUP($N1017,'Base de Grupos'!$A:$A,'Base de Grupos'!$M:$M)</f>
        <v>REGIONAL VENDA INTERNA - CONVENIENCIA</v>
      </c>
      <c r="L1017" s="5" t="str">
        <f t="shared" si="346"/>
        <v/>
      </c>
      <c r="M1017" s="5" t="str">
        <f>_xlfn.XLOOKUP($N1017,'Base de Grupos'!$A:$A,'Base de Grupos'!$C:$C)</f>
        <v>GO</v>
      </c>
      <c r="N1017" s="3">
        <v>1521</v>
      </c>
      <c r="O1017" s="4" t="s">
        <v>280</v>
      </c>
      <c r="P1017" s="5" t="s">
        <v>85</v>
      </c>
      <c r="Q1017" s="24">
        <v>0</v>
      </c>
      <c r="R1017" s="24">
        <v>0</v>
      </c>
      <c r="S1017" s="24">
        <v>0</v>
      </c>
      <c r="T1017" s="24">
        <v>0</v>
      </c>
      <c r="U1017" s="24">
        <v>0</v>
      </c>
      <c r="V1017" s="24">
        <v>0</v>
      </c>
      <c r="W1017" s="24">
        <v>0</v>
      </c>
      <c r="X1017" s="24">
        <v>0</v>
      </c>
      <c r="Y1017" s="24">
        <v>0</v>
      </c>
      <c r="Z1017" s="24">
        <v>0</v>
      </c>
      <c r="AA1017" s="24">
        <v>0</v>
      </c>
      <c r="AB1017" s="24">
        <v>0</v>
      </c>
      <c r="AC1017" s="30">
        <f t="shared" si="347"/>
        <v>0</v>
      </c>
      <c r="AD1017" s="28"/>
      <c r="AE1017" s="12"/>
      <c r="AF1017" s="29"/>
      <c r="AG1017" s="9"/>
      <c r="AH1017" s="10"/>
      <c r="AI1017" s="9"/>
      <c r="AJ1017" s="11"/>
      <c r="AK1017" s="9"/>
      <c r="AL1017" s="13"/>
      <c r="AM1017" s="9"/>
    </row>
    <row r="1018" spans="1:39" x14ac:dyDescent="0.3">
      <c r="A1018" s="2" t="str">
        <f t="shared" si="345"/>
        <v>NÃO</v>
      </c>
      <c r="B1018" s="2" t="str">
        <f>_xlfn.XLOOKUP($N1018,'Base de Grupos'!$A:$A,'Base de Grupos'!$D:$D)</f>
        <v>1000065763</v>
      </c>
      <c r="C1018" s="5" t="str">
        <f>_xlfn.XLOOKUP($N1018,'Base de Grupos'!$A:$A,'Base de Grupos'!$E:$E)</f>
        <v>CANAL VENDA INTERNA</v>
      </c>
      <c r="D1018" s="5" t="str">
        <f>_xlfn.XLOOKUP($N1018,'Base de Grupos'!$A:$A,'Base de Grupos'!$F:$F)</f>
        <v>1000065763</v>
      </c>
      <c r="E1018" s="2" t="str">
        <f>_xlfn.XLOOKUP($N1018,'Base de Grupos'!$A:$A,'Base de Grupos'!$G:$G)</f>
        <v>CANAL VENDA INTERNA</v>
      </c>
      <c r="F1018" s="2" t="str">
        <f>_xlfn.XLOOKUP($N1018,'Base de Grupos'!$A:$A,'Base de Grupos'!$H:$H)</f>
        <v>1000174119</v>
      </c>
      <c r="G1018" s="5" t="str">
        <f>_xlfn.XLOOKUP($N1018,'Base de Grupos'!$A:$A,'Base de Grupos'!$I:$I)</f>
        <v>REGIONAL VENDA INTERNA - CONVENIENCIA</v>
      </c>
      <c r="H1018" s="5" t="str">
        <f>_xlfn.XLOOKUP($N1018,'Base de Grupos'!$A:$A,'Base de Grupos'!$J:$J)</f>
        <v>1000174119</v>
      </c>
      <c r="I1018" s="2" t="str">
        <f>_xlfn.XLOOKUP($N1018,'Base de Grupos'!$A:$A,'Base de Grupos'!$K:$K)</f>
        <v>REGIONAL VENDA INTERNA - CONVENIENCIA</v>
      </c>
      <c r="J1018" s="2" t="str">
        <f>_xlfn.XLOOKUP($N1018,'Base de Grupos'!$A:$A,'Base de Grupos'!$L:$L)</f>
        <v>1000174119</v>
      </c>
      <c r="K1018" s="5" t="str">
        <f>_xlfn.XLOOKUP($N1018,'Base de Grupos'!$A:$A,'Base de Grupos'!$M:$M)</f>
        <v>REGIONAL VENDA INTERNA - CONVENIENCIA</v>
      </c>
      <c r="L1018" s="5" t="str">
        <f t="shared" si="346"/>
        <v/>
      </c>
      <c r="M1018" s="5" t="str">
        <f>_xlfn.XLOOKUP($N1018,'Base de Grupos'!$A:$A,'Base de Grupos'!$C:$C)</f>
        <v>GO</v>
      </c>
      <c r="N1018" s="3">
        <v>1521</v>
      </c>
      <c r="O1018" s="4" t="s">
        <v>280</v>
      </c>
      <c r="P1018" s="5" t="s">
        <v>92</v>
      </c>
      <c r="Q1018" s="24">
        <v>0</v>
      </c>
      <c r="R1018" s="24">
        <v>0</v>
      </c>
      <c r="S1018" s="24">
        <v>0</v>
      </c>
      <c r="T1018" s="24">
        <v>0</v>
      </c>
      <c r="U1018" s="24">
        <v>0</v>
      </c>
      <c r="V1018" s="24">
        <v>0</v>
      </c>
      <c r="W1018" s="24">
        <v>0</v>
      </c>
      <c r="X1018" s="24">
        <v>0</v>
      </c>
      <c r="Y1018" s="24">
        <v>0</v>
      </c>
      <c r="Z1018" s="24">
        <v>0</v>
      </c>
      <c r="AA1018" s="24">
        <v>0</v>
      </c>
      <c r="AB1018" s="24">
        <v>0</v>
      </c>
      <c r="AC1018" s="30">
        <f t="shared" si="347"/>
        <v>0</v>
      </c>
      <c r="AD1018" s="28"/>
      <c r="AE1018" s="12"/>
      <c r="AF1018" s="29"/>
      <c r="AG1018" s="9"/>
      <c r="AH1018" s="10"/>
      <c r="AI1018" s="9"/>
      <c r="AJ1018" s="11"/>
      <c r="AK1018" s="9"/>
      <c r="AL1018" s="13"/>
      <c r="AM1018" s="9"/>
    </row>
    <row r="1019" spans="1:39" x14ac:dyDescent="0.3">
      <c r="A1019" s="2" t="str">
        <f t="shared" si="345"/>
        <v>NÃO</v>
      </c>
      <c r="B1019" s="2" t="str">
        <f>_xlfn.XLOOKUP($N1019,'Base de Grupos'!$A:$A,'Base de Grupos'!$D:$D)</f>
        <v>1000065763</v>
      </c>
      <c r="C1019" s="5" t="str">
        <f>_xlfn.XLOOKUP($N1019,'Base de Grupos'!$A:$A,'Base de Grupos'!$E:$E)</f>
        <v>CANAL VENDA INTERNA</v>
      </c>
      <c r="D1019" s="5" t="str">
        <f>_xlfn.XLOOKUP($N1019,'Base de Grupos'!$A:$A,'Base de Grupos'!$F:$F)</f>
        <v>1000065763</v>
      </c>
      <c r="E1019" s="2" t="str">
        <f>_xlfn.XLOOKUP($N1019,'Base de Grupos'!$A:$A,'Base de Grupos'!$G:$G)</f>
        <v>CANAL VENDA INTERNA</v>
      </c>
      <c r="F1019" s="2" t="str">
        <f>_xlfn.XLOOKUP($N1019,'Base de Grupos'!$A:$A,'Base de Grupos'!$H:$H)</f>
        <v>1000174119</v>
      </c>
      <c r="G1019" s="5" t="str">
        <f>_xlfn.XLOOKUP($N1019,'Base de Grupos'!$A:$A,'Base de Grupos'!$I:$I)</f>
        <v>REGIONAL VENDA INTERNA - CONVENIENCIA</v>
      </c>
      <c r="H1019" s="5" t="str">
        <f>_xlfn.XLOOKUP($N1019,'Base de Grupos'!$A:$A,'Base de Grupos'!$J:$J)</f>
        <v>1000174119</v>
      </c>
      <c r="I1019" s="2" t="str">
        <f>_xlfn.XLOOKUP($N1019,'Base de Grupos'!$A:$A,'Base de Grupos'!$K:$K)</f>
        <v>REGIONAL VENDA INTERNA - CONVENIENCIA</v>
      </c>
      <c r="J1019" s="2" t="str">
        <f>_xlfn.XLOOKUP($N1019,'Base de Grupos'!$A:$A,'Base de Grupos'!$L:$L)</f>
        <v>1000174119</v>
      </c>
      <c r="K1019" s="5" t="str">
        <f>_xlfn.XLOOKUP($N1019,'Base de Grupos'!$A:$A,'Base de Grupos'!$M:$M)</f>
        <v>REGIONAL VENDA INTERNA - CONVENIENCIA</v>
      </c>
      <c r="L1019" s="5" t="str">
        <f t="shared" si="346"/>
        <v/>
      </c>
      <c r="M1019" s="5" t="str">
        <f>_xlfn.XLOOKUP($N1019,'Base de Grupos'!$A:$A,'Base de Grupos'!$C:$C)</f>
        <v>GO</v>
      </c>
      <c r="N1019" s="3">
        <v>1521</v>
      </c>
      <c r="O1019" s="4" t="s">
        <v>280</v>
      </c>
      <c r="P1019" s="5" t="s">
        <v>86</v>
      </c>
      <c r="Q1019" s="24">
        <v>0</v>
      </c>
      <c r="R1019" s="24">
        <v>0</v>
      </c>
      <c r="S1019" s="24">
        <v>0</v>
      </c>
      <c r="T1019" s="24">
        <v>0</v>
      </c>
      <c r="U1019" s="24">
        <v>0</v>
      </c>
      <c r="V1019" s="24">
        <v>0</v>
      </c>
      <c r="W1019" s="24">
        <v>0</v>
      </c>
      <c r="X1019" s="24">
        <v>0</v>
      </c>
      <c r="Y1019" s="24">
        <v>0</v>
      </c>
      <c r="Z1019" s="24">
        <v>0</v>
      </c>
      <c r="AA1019" s="24">
        <v>0</v>
      </c>
      <c r="AB1019" s="24">
        <v>0</v>
      </c>
      <c r="AC1019" s="30">
        <f t="shared" si="347"/>
        <v>0</v>
      </c>
      <c r="AD1019" s="28"/>
      <c r="AE1019" s="12"/>
      <c r="AF1019" s="29"/>
      <c r="AG1019" s="9"/>
      <c r="AH1019" s="10"/>
      <c r="AI1019" s="9"/>
      <c r="AJ1019" s="11"/>
      <c r="AK1019" s="9"/>
      <c r="AL1019" s="13"/>
      <c r="AM1019" s="9"/>
    </row>
    <row r="1020" spans="1:39" x14ac:dyDescent="0.3">
      <c r="A1020" s="2" t="str">
        <f t="shared" si="345"/>
        <v>NÃO</v>
      </c>
      <c r="B1020" s="2" t="str">
        <f>_xlfn.XLOOKUP($N1020,'Base de Grupos'!$A:$A,'Base de Grupos'!$D:$D)</f>
        <v>1000065763</v>
      </c>
      <c r="C1020" s="5" t="str">
        <f>_xlfn.XLOOKUP($N1020,'Base de Grupos'!$A:$A,'Base de Grupos'!$E:$E)</f>
        <v>CANAL VENDA INTERNA</v>
      </c>
      <c r="D1020" s="5" t="str">
        <f>_xlfn.XLOOKUP($N1020,'Base de Grupos'!$A:$A,'Base de Grupos'!$F:$F)</f>
        <v>1000065763</v>
      </c>
      <c r="E1020" s="2" t="str">
        <f>_xlfn.XLOOKUP($N1020,'Base de Grupos'!$A:$A,'Base de Grupos'!$G:$G)</f>
        <v>CANAL VENDA INTERNA</v>
      </c>
      <c r="F1020" s="2" t="str">
        <f>_xlfn.XLOOKUP($N1020,'Base de Grupos'!$A:$A,'Base de Grupos'!$H:$H)</f>
        <v>1000174119</v>
      </c>
      <c r="G1020" s="5" t="str">
        <f>_xlfn.XLOOKUP($N1020,'Base de Grupos'!$A:$A,'Base de Grupos'!$I:$I)</f>
        <v>REGIONAL VENDA INTERNA - CONVENIENCIA</v>
      </c>
      <c r="H1020" s="5" t="str">
        <f>_xlfn.XLOOKUP($N1020,'Base de Grupos'!$A:$A,'Base de Grupos'!$J:$J)</f>
        <v>1000174119</v>
      </c>
      <c r="I1020" s="2" t="str">
        <f>_xlfn.XLOOKUP($N1020,'Base de Grupos'!$A:$A,'Base de Grupos'!$K:$K)</f>
        <v>REGIONAL VENDA INTERNA - CONVENIENCIA</v>
      </c>
      <c r="J1020" s="2" t="str">
        <f>_xlfn.XLOOKUP($N1020,'Base de Grupos'!$A:$A,'Base de Grupos'!$L:$L)</f>
        <v>1000174119</v>
      </c>
      <c r="K1020" s="5" t="str">
        <f>_xlfn.XLOOKUP($N1020,'Base de Grupos'!$A:$A,'Base de Grupos'!$M:$M)</f>
        <v>REGIONAL VENDA INTERNA - CONVENIENCIA</v>
      </c>
      <c r="L1020" s="5" t="str">
        <f t="shared" si="346"/>
        <v/>
      </c>
      <c r="M1020" s="5" t="str">
        <f>_xlfn.XLOOKUP($N1020,'Base de Grupos'!$A:$A,'Base de Grupos'!$C:$C)</f>
        <v>GO</v>
      </c>
      <c r="N1020" s="3">
        <v>1521</v>
      </c>
      <c r="O1020" s="4" t="s">
        <v>280</v>
      </c>
      <c r="P1020" s="5" t="s">
        <v>108</v>
      </c>
      <c r="Q1020" s="24">
        <v>0</v>
      </c>
      <c r="R1020" s="24">
        <v>0</v>
      </c>
      <c r="S1020" s="24">
        <v>0</v>
      </c>
      <c r="T1020" s="24">
        <v>0</v>
      </c>
      <c r="U1020" s="24">
        <v>0</v>
      </c>
      <c r="V1020" s="24">
        <v>0</v>
      </c>
      <c r="W1020" s="24">
        <v>0</v>
      </c>
      <c r="X1020" s="24">
        <v>0</v>
      </c>
      <c r="Y1020" s="24">
        <v>0</v>
      </c>
      <c r="Z1020" s="24">
        <v>0</v>
      </c>
      <c r="AA1020" s="24">
        <v>0</v>
      </c>
      <c r="AB1020" s="24">
        <v>0</v>
      </c>
      <c r="AC1020" s="30">
        <f t="shared" si="347"/>
        <v>0</v>
      </c>
      <c r="AD1020" s="28"/>
      <c r="AE1020" s="12"/>
      <c r="AF1020" s="29"/>
      <c r="AG1020" s="9"/>
      <c r="AH1020" s="10"/>
      <c r="AI1020" s="9"/>
      <c r="AJ1020" s="11"/>
      <c r="AK1020" s="9"/>
      <c r="AL1020" s="13"/>
      <c r="AM1020" s="9"/>
    </row>
    <row r="1021" spans="1:39" x14ac:dyDescent="0.3">
      <c r="A1021" s="2" t="str">
        <f t="shared" si="345"/>
        <v>NÃO</v>
      </c>
      <c r="B1021" s="2" t="str">
        <f>_xlfn.XLOOKUP($N1021,'Base de Grupos'!$A:$A,'Base de Grupos'!$D:$D)</f>
        <v>1000065763</v>
      </c>
      <c r="C1021" s="5" t="str">
        <f>_xlfn.XLOOKUP($N1021,'Base de Grupos'!$A:$A,'Base de Grupos'!$E:$E)</f>
        <v>CANAL VENDA INTERNA</v>
      </c>
      <c r="D1021" s="5" t="str">
        <f>_xlfn.XLOOKUP($N1021,'Base de Grupos'!$A:$A,'Base de Grupos'!$F:$F)</f>
        <v>1000065763</v>
      </c>
      <c r="E1021" s="2" t="str">
        <f>_xlfn.XLOOKUP($N1021,'Base de Grupos'!$A:$A,'Base de Grupos'!$G:$G)</f>
        <v>CANAL VENDA INTERNA</v>
      </c>
      <c r="F1021" s="2" t="str">
        <f>_xlfn.XLOOKUP($N1021,'Base de Grupos'!$A:$A,'Base de Grupos'!$H:$H)</f>
        <v>1000174119</v>
      </c>
      <c r="G1021" s="5" t="str">
        <f>_xlfn.XLOOKUP($N1021,'Base de Grupos'!$A:$A,'Base de Grupos'!$I:$I)</f>
        <v>REGIONAL VENDA INTERNA - CONVENIENCIA</v>
      </c>
      <c r="H1021" s="5" t="str">
        <f>_xlfn.XLOOKUP($N1021,'Base de Grupos'!$A:$A,'Base de Grupos'!$J:$J)</f>
        <v>1000174119</v>
      </c>
      <c r="I1021" s="2" t="str">
        <f>_xlfn.XLOOKUP($N1021,'Base de Grupos'!$A:$A,'Base de Grupos'!$K:$K)</f>
        <v>REGIONAL VENDA INTERNA - CONVENIENCIA</v>
      </c>
      <c r="J1021" s="2" t="str">
        <f>_xlfn.XLOOKUP($N1021,'Base de Grupos'!$A:$A,'Base de Grupos'!$L:$L)</f>
        <v>1000174119</v>
      </c>
      <c r="K1021" s="5" t="str">
        <f>_xlfn.XLOOKUP($N1021,'Base de Grupos'!$A:$A,'Base de Grupos'!$M:$M)</f>
        <v>REGIONAL VENDA INTERNA - CONVENIENCIA</v>
      </c>
      <c r="L1021" s="5" t="str">
        <f t="shared" si="346"/>
        <v/>
      </c>
      <c r="M1021" s="5" t="str">
        <f>_xlfn.XLOOKUP($N1021,'Base de Grupos'!$A:$A,'Base de Grupos'!$C:$C)</f>
        <v>GO</v>
      </c>
      <c r="N1021" s="3">
        <v>1521</v>
      </c>
      <c r="O1021" s="4" t="s">
        <v>280</v>
      </c>
      <c r="P1021" s="5" t="s">
        <v>89</v>
      </c>
      <c r="Q1021" s="24">
        <v>0</v>
      </c>
      <c r="R1021" s="24">
        <v>0</v>
      </c>
      <c r="S1021" s="24">
        <v>0</v>
      </c>
      <c r="T1021" s="24">
        <v>0</v>
      </c>
      <c r="U1021" s="24">
        <v>0</v>
      </c>
      <c r="V1021" s="24">
        <v>0</v>
      </c>
      <c r="W1021" s="24">
        <v>0</v>
      </c>
      <c r="X1021" s="24">
        <v>0</v>
      </c>
      <c r="Y1021" s="24">
        <v>0</v>
      </c>
      <c r="Z1021" s="24">
        <v>0</v>
      </c>
      <c r="AA1021" s="24">
        <v>0</v>
      </c>
      <c r="AB1021" s="24">
        <v>0</v>
      </c>
      <c r="AC1021" s="30">
        <f t="shared" si="347"/>
        <v>0</v>
      </c>
      <c r="AD1021" s="28"/>
      <c r="AE1021" s="12"/>
      <c r="AF1021" s="29"/>
      <c r="AG1021" s="9"/>
      <c r="AH1021" s="10"/>
      <c r="AI1021" s="9"/>
      <c r="AJ1021" s="11"/>
      <c r="AK1021" s="9"/>
      <c r="AL1021" s="13"/>
      <c r="AM1021" s="9"/>
    </row>
    <row r="1022" spans="1:39" x14ac:dyDescent="0.3">
      <c r="A1022" s="2" t="str">
        <f t="shared" si="345"/>
        <v>NÃO</v>
      </c>
      <c r="B1022" s="2" t="str">
        <f>_xlfn.XLOOKUP($N1022,'Base de Grupos'!$A:$A,'Base de Grupos'!$D:$D)</f>
        <v>1000065763</v>
      </c>
      <c r="C1022" s="5" t="str">
        <f>_xlfn.XLOOKUP($N1022,'Base de Grupos'!$A:$A,'Base de Grupos'!$E:$E)</f>
        <v>CANAL VENDA INTERNA</v>
      </c>
      <c r="D1022" s="5" t="str">
        <f>_xlfn.XLOOKUP($N1022,'Base de Grupos'!$A:$A,'Base de Grupos'!$F:$F)</f>
        <v>1000065763</v>
      </c>
      <c r="E1022" s="2" t="str">
        <f>_xlfn.XLOOKUP($N1022,'Base de Grupos'!$A:$A,'Base de Grupos'!$G:$G)</f>
        <v>CANAL VENDA INTERNA</v>
      </c>
      <c r="F1022" s="2" t="str">
        <f>_xlfn.XLOOKUP($N1022,'Base de Grupos'!$A:$A,'Base de Grupos'!$H:$H)</f>
        <v>1000174119</v>
      </c>
      <c r="G1022" s="5" t="str">
        <f>_xlfn.XLOOKUP($N1022,'Base de Grupos'!$A:$A,'Base de Grupos'!$I:$I)</f>
        <v>REGIONAL VENDA INTERNA - CONVENIENCIA</v>
      </c>
      <c r="H1022" s="5" t="str">
        <f>_xlfn.XLOOKUP($N1022,'Base de Grupos'!$A:$A,'Base de Grupos'!$J:$J)</f>
        <v>1000174119</v>
      </c>
      <c r="I1022" s="2" t="str">
        <f>_xlfn.XLOOKUP($N1022,'Base de Grupos'!$A:$A,'Base de Grupos'!$K:$K)</f>
        <v>REGIONAL VENDA INTERNA - CONVENIENCIA</v>
      </c>
      <c r="J1022" s="2" t="str">
        <f>_xlfn.XLOOKUP($N1022,'Base de Grupos'!$A:$A,'Base de Grupos'!$L:$L)</f>
        <v>1000174119</v>
      </c>
      <c r="K1022" s="5" t="str">
        <f>_xlfn.XLOOKUP($N1022,'Base de Grupos'!$A:$A,'Base de Grupos'!$M:$M)</f>
        <v>REGIONAL VENDA INTERNA - CONVENIENCIA</v>
      </c>
      <c r="L1022" s="5" t="str">
        <f t="shared" si="346"/>
        <v/>
      </c>
      <c r="M1022" s="5" t="str">
        <f>_xlfn.XLOOKUP($N1022,'Base de Grupos'!$A:$A,'Base de Grupos'!$C:$C)</f>
        <v>GO</v>
      </c>
      <c r="N1022" s="3">
        <v>1521</v>
      </c>
      <c r="O1022" s="4" t="s">
        <v>280</v>
      </c>
      <c r="P1022" s="5" t="s">
        <v>88</v>
      </c>
      <c r="Q1022" s="24">
        <v>0</v>
      </c>
      <c r="R1022" s="24">
        <v>0</v>
      </c>
      <c r="S1022" s="24">
        <v>0</v>
      </c>
      <c r="T1022" s="24">
        <v>0</v>
      </c>
      <c r="U1022" s="24">
        <v>0</v>
      </c>
      <c r="V1022" s="24">
        <v>0</v>
      </c>
      <c r="W1022" s="24">
        <v>0</v>
      </c>
      <c r="X1022" s="24">
        <v>0</v>
      </c>
      <c r="Y1022" s="24">
        <v>0</v>
      </c>
      <c r="Z1022" s="24">
        <v>0</v>
      </c>
      <c r="AA1022" s="24">
        <v>0</v>
      </c>
      <c r="AB1022" s="24">
        <v>0</v>
      </c>
      <c r="AC1022" s="30">
        <f t="shared" si="347"/>
        <v>0</v>
      </c>
      <c r="AD1022" s="28"/>
      <c r="AE1022" s="12"/>
      <c r="AF1022" s="29"/>
      <c r="AG1022" s="9"/>
      <c r="AH1022" s="10"/>
      <c r="AI1022" s="9"/>
      <c r="AJ1022" s="11"/>
      <c r="AK1022" s="9"/>
      <c r="AL1022" s="13"/>
      <c r="AM1022" s="9"/>
    </row>
    <row r="1023" spans="1:39" x14ac:dyDescent="0.3">
      <c r="A1023" s="2" t="str">
        <f t="shared" si="345"/>
        <v>NÃO</v>
      </c>
      <c r="B1023" s="2" t="str">
        <f>_xlfn.XLOOKUP($N1023,'Base de Grupos'!$A:$A,'Base de Grupos'!$D:$D)</f>
        <v>1000065763</v>
      </c>
      <c r="C1023" s="5" t="str">
        <f>_xlfn.XLOOKUP($N1023,'Base de Grupos'!$A:$A,'Base de Grupos'!$E:$E)</f>
        <v>CANAL VENDA INTERNA</v>
      </c>
      <c r="D1023" s="5" t="str">
        <f>_xlfn.XLOOKUP($N1023,'Base de Grupos'!$A:$A,'Base de Grupos'!$F:$F)</f>
        <v>1000065763</v>
      </c>
      <c r="E1023" s="2" t="str">
        <f>_xlfn.XLOOKUP($N1023,'Base de Grupos'!$A:$A,'Base de Grupos'!$G:$G)</f>
        <v>CANAL VENDA INTERNA</v>
      </c>
      <c r="F1023" s="2" t="str">
        <f>_xlfn.XLOOKUP($N1023,'Base de Grupos'!$A:$A,'Base de Grupos'!$H:$H)</f>
        <v>1000174119</v>
      </c>
      <c r="G1023" s="5" t="str">
        <f>_xlfn.XLOOKUP($N1023,'Base de Grupos'!$A:$A,'Base de Grupos'!$I:$I)</f>
        <v>REGIONAL VENDA INTERNA - CONVENIENCIA</v>
      </c>
      <c r="H1023" s="5" t="str">
        <f>_xlfn.XLOOKUP($N1023,'Base de Grupos'!$A:$A,'Base de Grupos'!$J:$J)</f>
        <v>1000174119</v>
      </c>
      <c r="I1023" s="2" t="str">
        <f>_xlfn.XLOOKUP($N1023,'Base de Grupos'!$A:$A,'Base de Grupos'!$K:$K)</f>
        <v>REGIONAL VENDA INTERNA - CONVENIENCIA</v>
      </c>
      <c r="J1023" s="2" t="str">
        <f>_xlfn.XLOOKUP($N1023,'Base de Grupos'!$A:$A,'Base de Grupos'!$L:$L)</f>
        <v>1000174119</v>
      </c>
      <c r="K1023" s="5" t="str">
        <f>_xlfn.XLOOKUP($N1023,'Base de Grupos'!$A:$A,'Base de Grupos'!$M:$M)</f>
        <v>REGIONAL VENDA INTERNA - CONVENIENCIA</v>
      </c>
      <c r="L1023" s="5" t="str">
        <f t="shared" si="346"/>
        <v/>
      </c>
      <c r="M1023" s="5" t="str">
        <f>_xlfn.XLOOKUP($N1023,'Base de Grupos'!$A:$A,'Base de Grupos'!$C:$C)</f>
        <v>GO</v>
      </c>
      <c r="N1023" s="3">
        <v>1521</v>
      </c>
      <c r="O1023" s="4" t="s">
        <v>280</v>
      </c>
      <c r="P1023" s="5" t="s">
        <v>90</v>
      </c>
      <c r="Q1023" s="24">
        <v>0</v>
      </c>
      <c r="R1023" s="24">
        <v>0</v>
      </c>
      <c r="S1023" s="24">
        <v>0</v>
      </c>
      <c r="T1023" s="24">
        <v>0</v>
      </c>
      <c r="U1023" s="24">
        <v>0</v>
      </c>
      <c r="V1023" s="24">
        <v>0</v>
      </c>
      <c r="W1023" s="24">
        <v>0</v>
      </c>
      <c r="X1023" s="24">
        <v>0</v>
      </c>
      <c r="Y1023" s="24">
        <v>0</v>
      </c>
      <c r="Z1023" s="24">
        <v>0</v>
      </c>
      <c r="AA1023" s="24">
        <v>0</v>
      </c>
      <c r="AB1023" s="24">
        <v>0</v>
      </c>
      <c r="AC1023" s="30">
        <f t="shared" si="347"/>
        <v>0</v>
      </c>
      <c r="AD1023" s="28"/>
      <c r="AE1023" s="12"/>
      <c r="AF1023" s="29"/>
      <c r="AG1023" s="9"/>
      <c r="AH1023" s="10"/>
      <c r="AI1023" s="9"/>
      <c r="AJ1023" s="11"/>
      <c r="AK1023" s="9"/>
      <c r="AL1023" s="13"/>
      <c r="AM1023" s="9"/>
    </row>
    <row r="1024" spans="1:39" x14ac:dyDescent="0.3">
      <c r="A1024" s="2" t="str">
        <f t="shared" si="345"/>
        <v>NÃO</v>
      </c>
      <c r="B1024" s="2" t="str">
        <f>_xlfn.XLOOKUP($N1024,'Base de Grupos'!$A:$A,'Base de Grupos'!$D:$D)</f>
        <v>1000065763</v>
      </c>
      <c r="C1024" s="5" t="str">
        <f>_xlfn.XLOOKUP($N1024,'Base de Grupos'!$A:$A,'Base de Grupos'!$E:$E)</f>
        <v>CANAL VENDA INTERNA</v>
      </c>
      <c r="D1024" s="5" t="str">
        <f>_xlfn.XLOOKUP($N1024,'Base de Grupos'!$A:$A,'Base de Grupos'!$F:$F)</f>
        <v>1000065763</v>
      </c>
      <c r="E1024" s="2" t="str">
        <f>_xlfn.XLOOKUP($N1024,'Base de Grupos'!$A:$A,'Base de Grupos'!$G:$G)</f>
        <v>CANAL VENDA INTERNA</v>
      </c>
      <c r="F1024" s="2" t="str">
        <f>_xlfn.XLOOKUP($N1024,'Base de Grupos'!$A:$A,'Base de Grupos'!$H:$H)</f>
        <v>1000174119</v>
      </c>
      <c r="G1024" s="5" t="str">
        <f>_xlfn.XLOOKUP($N1024,'Base de Grupos'!$A:$A,'Base de Grupos'!$I:$I)</f>
        <v>REGIONAL VENDA INTERNA - CONVENIENCIA</v>
      </c>
      <c r="H1024" s="5" t="str">
        <f>_xlfn.XLOOKUP($N1024,'Base de Grupos'!$A:$A,'Base de Grupos'!$J:$J)</f>
        <v>1000174119</v>
      </c>
      <c r="I1024" s="2" t="str">
        <f>_xlfn.XLOOKUP($N1024,'Base de Grupos'!$A:$A,'Base de Grupos'!$K:$K)</f>
        <v>REGIONAL VENDA INTERNA - CONVENIENCIA</v>
      </c>
      <c r="J1024" s="2" t="str">
        <f>_xlfn.XLOOKUP($N1024,'Base de Grupos'!$A:$A,'Base de Grupos'!$L:$L)</f>
        <v>1000174119</v>
      </c>
      <c r="K1024" s="5" t="str">
        <f>_xlfn.XLOOKUP($N1024,'Base de Grupos'!$A:$A,'Base de Grupos'!$M:$M)</f>
        <v>REGIONAL VENDA INTERNA - CONVENIENCIA</v>
      </c>
      <c r="L1024" s="5" t="str">
        <f t="shared" si="346"/>
        <v/>
      </c>
      <c r="M1024" s="5" t="str">
        <f>_xlfn.XLOOKUP($N1024,'Base de Grupos'!$A:$A,'Base de Grupos'!$C:$C)</f>
        <v>GO</v>
      </c>
      <c r="N1024" s="3">
        <v>1521</v>
      </c>
      <c r="O1024" s="4" t="s">
        <v>280</v>
      </c>
      <c r="P1024" s="5" t="s">
        <v>91</v>
      </c>
      <c r="Q1024" s="24">
        <v>0</v>
      </c>
      <c r="R1024" s="24">
        <v>0</v>
      </c>
      <c r="S1024" s="24">
        <v>0</v>
      </c>
      <c r="T1024" s="24">
        <v>0</v>
      </c>
      <c r="U1024" s="24">
        <v>0</v>
      </c>
      <c r="V1024" s="24">
        <v>0</v>
      </c>
      <c r="W1024" s="24">
        <v>0</v>
      </c>
      <c r="X1024" s="24">
        <v>0</v>
      </c>
      <c r="Y1024" s="24">
        <v>0</v>
      </c>
      <c r="Z1024" s="24">
        <v>0</v>
      </c>
      <c r="AA1024" s="24">
        <v>0</v>
      </c>
      <c r="AB1024" s="24">
        <v>0</v>
      </c>
      <c r="AC1024" s="30">
        <f t="shared" si="347"/>
        <v>0</v>
      </c>
      <c r="AD1024" s="28"/>
      <c r="AE1024" s="12"/>
      <c r="AF1024" s="29"/>
      <c r="AG1024" s="9"/>
      <c r="AH1024" s="10"/>
      <c r="AI1024" s="9"/>
      <c r="AJ1024" s="11"/>
      <c r="AK1024" s="9"/>
      <c r="AL1024" s="13"/>
      <c r="AM1024" s="9"/>
    </row>
    <row r="1025" spans="1:39" x14ac:dyDescent="0.3">
      <c r="A1025" s="2" t="str">
        <f t="shared" si="345"/>
        <v>NÃO</v>
      </c>
      <c r="B1025" s="2" t="str">
        <f>_xlfn.XLOOKUP($N1025,'Base de Grupos'!$A:$A,'Base de Grupos'!$D:$D)</f>
        <v>1000065763</v>
      </c>
      <c r="C1025" s="5" t="str">
        <f>_xlfn.XLOOKUP($N1025,'Base de Grupos'!$A:$A,'Base de Grupos'!$E:$E)</f>
        <v>CANAL VENDA INTERNA</v>
      </c>
      <c r="D1025" s="5" t="str">
        <f>_xlfn.XLOOKUP($N1025,'Base de Grupos'!$A:$A,'Base de Grupos'!$F:$F)</f>
        <v>1000065763</v>
      </c>
      <c r="E1025" s="2" t="str">
        <f>_xlfn.XLOOKUP($N1025,'Base de Grupos'!$A:$A,'Base de Grupos'!$G:$G)</f>
        <v>CANAL VENDA INTERNA</v>
      </c>
      <c r="F1025" s="2" t="str">
        <f>_xlfn.XLOOKUP($N1025,'Base de Grupos'!$A:$A,'Base de Grupos'!$H:$H)</f>
        <v>1000174119</v>
      </c>
      <c r="G1025" s="5" t="str">
        <f>_xlfn.XLOOKUP($N1025,'Base de Grupos'!$A:$A,'Base de Grupos'!$I:$I)</f>
        <v>REGIONAL VENDA INTERNA - CONVENIENCIA</v>
      </c>
      <c r="H1025" s="5" t="str">
        <f>_xlfn.XLOOKUP($N1025,'Base de Grupos'!$A:$A,'Base de Grupos'!$J:$J)</f>
        <v>1000174119</v>
      </c>
      <c r="I1025" s="2" t="str">
        <f>_xlfn.XLOOKUP($N1025,'Base de Grupos'!$A:$A,'Base de Grupos'!$K:$K)</f>
        <v>REGIONAL VENDA INTERNA - CONVENIENCIA</v>
      </c>
      <c r="J1025" s="2" t="str">
        <f>_xlfn.XLOOKUP($N1025,'Base de Grupos'!$A:$A,'Base de Grupos'!$L:$L)</f>
        <v>1000174119</v>
      </c>
      <c r="K1025" s="5" t="str">
        <f>_xlfn.XLOOKUP($N1025,'Base de Grupos'!$A:$A,'Base de Grupos'!$M:$M)</f>
        <v>REGIONAL VENDA INTERNA - CONVENIENCIA</v>
      </c>
      <c r="L1025" s="5" t="str">
        <f t="shared" si="346"/>
        <v/>
      </c>
      <c r="M1025" s="5" t="str">
        <f>_xlfn.XLOOKUP($N1025,'Base de Grupos'!$A:$A,'Base de Grupos'!$C:$C)</f>
        <v>GO</v>
      </c>
      <c r="N1025" s="3">
        <v>1521</v>
      </c>
      <c r="O1025" s="4" t="s">
        <v>280</v>
      </c>
      <c r="P1025" s="5" t="s">
        <v>96</v>
      </c>
      <c r="Q1025" s="24">
        <v>0</v>
      </c>
      <c r="R1025" s="24">
        <v>0</v>
      </c>
      <c r="S1025" s="24">
        <v>0</v>
      </c>
      <c r="T1025" s="24">
        <v>0</v>
      </c>
      <c r="U1025" s="24">
        <v>0</v>
      </c>
      <c r="V1025" s="24">
        <v>0</v>
      </c>
      <c r="W1025" s="24">
        <v>0</v>
      </c>
      <c r="X1025" s="24">
        <v>0</v>
      </c>
      <c r="Y1025" s="24">
        <v>0</v>
      </c>
      <c r="Z1025" s="24">
        <v>0</v>
      </c>
      <c r="AA1025" s="24">
        <v>0</v>
      </c>
      <c r="AB1025" s="24">
        <v>0</v>
      </c>
      <c r="AC1025" s="30">
        <f t="shared" si="347"/>
        <v>0</v>
      </c>
      <c r="AD1025" s="28"/>
      <c r="AE1025" s="12"/>
      <c r="AF1025" s="29"/>
      <c r="AG1025" s="9"/>
      <c r="AH1025" s="10"/>
      <c r="AI1025" s="9"/>
      <c r="AJ1025" s="11"/>
      <c r="AK1025" s="9"/>
      <c r="AL1025" s="13"/>
      <c r="AM1025" s="9"/>
    </row>
    <row r="1026" spans="1:39" x14ac:dyDescent="0.3">
      <c r="A1026" s="2" t="str">
        <f t="shared" si="345"/>
        <v>NÃO</v>
      </c>
      <c r="B1026" s="2" t="str">
        <f>_xlfn.XLOOKUP($N1026,'Base de Grupos'!$A:$A,'Base de Grupos'!$D:$D)</f>
        <v>1000065763</v>
      </c>
      <c r="C1026" s="5" t="str">
        <f>_xlfn.XLOOKUP($N1026,'Base de Grupos'!$A:$A,'Base de Grupos'!$E:$E)</f>
        <v>CANAL VENDA INTERNA</v>
      </c>
      <c r="D1026" s="5" t="str">
        <f>_xlfn.XLOOKUP($N1026,'Base de Grupos'!$A:$A,'Base de Grupos'!$F:$F)</f>
        <v>1000065763</v>
      </c>
      <c r="E1026" s="2" t="str">
        <f>_xlfn.XLOOKUP($N1026,'Base de Grupos'!$A:$A,'Base de Grupos'!$G:$G)</f>
        <v>CANAL VENDA INTERNA</v>
      </c>
      <c r="F1026" s="2" t="str">
        <f>_xlfn.XLOOKUP($N1026,'Base de Grupos'!$A:$A,'Base de Grupos'!$H:$H)</f>
        <v>1000174119</v>
      </c>
      <c r="G1026" s="5" t="str">
        <f>_xlfn.XLOOKUP($N1026,'Base de Grupos'!$A:$A,'Base de Grupos'!$I:$I)</f>
        <v>REGIONAL VENDA INTERNA - CONVENIENCIA</v>
      </c>
      <c r="H1026" s="5" t="str">
        <f>_xlfn.XLOOKUP($N1026,'Base de Grupos'!$A:$A,'Base de Grupos'!$J:$J)</f>
        <v>1000174119</v>
      </c>
      <c r="I1026" s="2" t="str">
        <f>_xlfn.XLOOKUP($N1026,'Base de Grupos'!$A:$A,'Base de Grupos'!$K:$K)</f>
        <v>REGIONAL VENDA INTERNA - CONVENIENCIA</v>
      </c>
      <c r="J1026" s="2" t="str">
        <f>_xlfn.XLOOKUP($N1026,'Base de Grupos'!$A:$A,'Base de Grupos'!$L:$L)</f>
        <v>1000174119</v>
      </c>
      <c r="K1026" s="5" t="str">
        <f>_xlfn.XLOOKUP($N1026,'Base de Grupos'!$A:$A,'Base de Grupos'!$M:$M)</f>
        <v>REGIONAL VENDA INTERNA - CONVENIENCIA</v>
      </c>
      <c r="L1026" s="5" t="str">
        <f t="shared" si="346"/>
        <v/>
      </c>
      <c r="M1026" s="5" t="str">
        <f>_xlfn.XLOOKUP($N1026,'Base de Grupos'!$A:$A,'Base de Grupos'!$C:$C)</f>
        <v>GO</v>
      </c>
      <c r="N1026" s="3">
        <v>1521</v>
      </c>
      <c r="O1026" s="4" t="s">
        <v>280</v>
      </c>
      <c r="P1026" s="5" t="s">
        <v>94</v>
      </c>
      <c r="Q1026" s="24">
        <v>0</v>
      </c>
      <c r="R1026" s="24">
        <v>0</v>
      </c>
      <c r="S1026" s="24">
        <v>0</v>
      </c>
      <c r="T1026" s="24">
        <v>0</v>
      </c>
      <c r="U1026" s="24">
        <v>0</v>
      </c>
      <c r="V1026" s="24">
        <v>0</v>
      </c>
      <c r="W1026" s="24">
        <v>0</v>
      </c>
      <c r="X1026" s="24">
        <v>0</v>
      </c>
      <c r="Y1026" s="24">
        <v>0</v>
      </c>
      <c r="Z1026" s="24">
        <v>0</v>
      </c>
      <c r="AA1026" s="24">
        <v>0</v>
      </c>
      <c r="AB1026" s="24">
        <v>0</v>
      </c>
      <c r="AC1026" s="30">
        <f t="shared" si="347"/>
        <v>0</v>
      </c>
      <c r="AD1026" s="28"/>
      <c r="AE1026" s="12"/>
      <c r="AF1026" s="29"/>
      <c r="AG1026" s="9"/>
      <c r="AH1026" s="10"/>
      <c r="AI1026" s="9"/>
      <c r="AJ1026" s="11"/>
      <c r="AK1026" s="9"/>
      <c r="AL1026" s="13"/>
      <c r="AM1026" s="9"/>
    </row>
    <row r="1027" spans="1:39" x14ac:dyDescent="0.3">
      <c r="A1027" s="2" t="str">
        <f t="shared" si="345"/>
        <v>NÃO</v>
      </c>
      <c r="B1027" s="2" t="str">
        <f>_xlfn.XLOOKUP($N1027,'Base de Grupos'!$A:$A,'Base de Grupos'!$D:$D)</f>
        <v>1000065763</v>
      </c>
      <c r="C1027" s="5" t="str">
        <f>_xlfn.XLOOKUP($N1027,'Base de Grupos'!$A:$A,'Base de Grupos'!$E:$E)</f>
        <v>CANAL VENDA INTERNA</v>
      </c>
      <c r="D1027" s="5" t="str">
        <f>_xlfn.XLOOKUP($N1027,'Base de Grupos'!$A:$A,'Base de Grupos'!$F:$F)</f>
        <v>1000065763</v>
      </c>
      <c r="E1027" s="2" t="str">
        <f>_xlfn.XLOOKUP($N1027,'Base de Grupos'!$A:$A,'Base de Grupos'!$G:$G)</f>
        <v>CANAL VENDA INTERNA</v>
      </c>
      <c r="F1027" s="2" t="str">
        <f>_xlfn.XLOOKUP($N1027,'Base de Grupos'!$A:$A,'Base de Grupos'!$H:$H)</f>
        <v>1000174119</v>
      </c>
      <c r="G1027" s="5" t="str">
        <f>_xlfn.XLOOKUP($N1027,'Base de Grupos'!$A:$A,'Base de Grupos'!$I:$I)</f>
        <v>REGIONAL VENDA INTERNA - CONVENIENCIA</v>
      </c>
      <c r="H1027" s="5" t="str">
        <f>_xlfn.XLOOKUP($N1027,'Base de Grupos'!$A:$A,'Base de Grupos'!$J:$J)</f>
        <v>1000174119</v>
      </c>
      <c r="I1027" s="2" t="str">
        <f>_xlfn.XLOOKUP($N1027,'Base de Grupos'!$A:$A,'Base de Grupos'!$K:$K)</f>
        <v>REGIONAL VENDA INTERNA - CONVENIENCIA</v>
      </c>
      <c r="J1027" s="2" t="str">
        <f>_xlfn.XLOOKUP($N1027,'Base de Grupos'!$A:$A,'Base de Grupos'!$L:$L)</f>
        <v>1000174119</v>
      </c>
      <c r="K1027" s="5" t="str">
        <f>_xlfn.XLOOKUP($N1027,'Base de Grupos'!$A:$A,'Base de Grupos'!$M:$M)</f>
        <v>REGIONAL VENDA INTERNA - CONVENIENCIA</v>
      </c>
      <c r="L1027" s="5" t="str">
        <f t="shared" si="346"/>
        <v/>
      </c>
      <c r="M1027" s="5" t="str">
        <f>_xlfn.XLOOKUP($N1027,'Base de Grupos'!$A:$A,'Base de Grupos'!$C:$C)</f>
        <v>GO</v>
      </c>
      <c r="N1027" s="3">
        <v>1521</v>
      </c>
      <c r="O1027" s="4" t="s">
        <v>280</v>
      </c>
      <c r="P1027" s="5" t="s">
        <v>95</v>
      </c>
      <c r="Q1027" s="24">
        <v>0</v>
      </c>
      <c r="R1027" s="24">
        <v>0</v>
      </c>
      <c r="S1027" s="24">
        <v>0</v>
      </c>
      <c r="T1027" s="24">
        <v>0</v>
      </c>
      <c r="U1027" s="24">
        <v>0</v>
      </c>
      <c r="V1027" s="24">
        <v>0</v>
      </c>
      <c r="W1027" s="24">
        <v>0</v>
      </c>
      <c r="X1027" s="24">
        <v>0</v>
      </c>
      <c r="Y1027" s="24">
        <v>0</v>
      </c>
      <c r="Z1027" s="24">
        <v>0</v>
      </c>
      <c r="AA1027" s="24">
        <v>0</v>
      </c>
      <c r="AB1027" s="24">
        <v>0</v>
      </c>
      <c r="AC1027" s="30">
        <f t="shared" si="347"/>
        <v>0</v>
      </c>
      <c r="AD1027" s="28"/>
      <c r="AE1027" s="12"/>
      <c r="AF1027" s="29"/>
      <c r="AG1027" s="9"/>
      <c r="AH1027" s="10"/>
      <c r="AI1027" s="9"/>
      <c r="AJ1027" s="11"/>
      <c r="AK1027" s="9"/>
      <c r="AL1027" s="13"/>
      <c r="AM1027" s="9"/>
    </row>
    <row r="1028" spans="1:39" x14ac:dyDescent="0.3">
      <c r="A1028" s="2" t="str">
        <f t="shared" si="345"/>
        <v>NÃO</v>
      </c>
      <c r="B1028" s="2" t="str">
        <f>_xlfn.XLOOKUP($N1028,'Base de Grupos'!$A:$A,'Base de Grupos'!$D:$D)</f>
        <v>1000065763</v>
      </c>
      <c r="C1028" s="5" t="str">
        <f>_xlfn.XLOOKUP($N1028,'Base de Grupos'!$A:$A,'Base de Grupos'!$E:$E)</f>
        <v>CANAL VENDA INTERNA</v>
      </c>
      <c r="D1028" s="5" t="str">
        <f>_xlfn.XLOOKUP($N1028,'Base de Grupos'!$A:$A,'Base de Grupos'!$F:$F)</f>
        <v>1000065763</v>
      </c>
      <c r="E1028" s="2" t="str">
        <f>_xlfn.XLOOKUP($N1028,'Base de Grupos'!$A:$A,'Base de Grupos'!$G:$G)</f>
        <v>CANAL VENDA INTERNA</v>
      </c>
      <c r="F1028" s="2" t="str">
        <f>_xlfn.XLOOKUP($N1028,'Base de Grupos'!$A:$A,'Base de Grupos'!$H:$H)</f>
        <v>1000174119</v>
      </c>
      <c r="G1028" s="5" t="str">
        <f>_xlfn.XLOOKUP($N1028,'Base de Grupos'!$A:$A,'Base de Grupos'!$I:$I)</f>
        <v>REGIONAL VENDA INTERNA - CONVENIENCIA</v>
      </c>
      <c r="H1028" s="5" t="str">
        <f>_xlfn.XLOOKUP($N1028,'Base de Grupos'!$A:$A,'Base de Grupos'!$J:$J)</f>
        <v>1000174119</v>
      </c>
      <c r="I1028" s="2" t="str">
        <f>_xlfn.XLOOKUP($N1028,'Base de Grupos'!$A:$A,'Base de Grupos'!$K:$K)</f>
        <v>REGIONAL VENDA INTERNA - CONVENIENCIA</v>
      </c>
      <c r="J1028" s="2" t="str">
        <f>_xlfn.XLOOKUP($N1028,'Base de Grupos'!$A:$A,'Base de Grupos'!$L:$L)</f>
        <v>1000174119</v>
      </c>
      <c r="K1028" s="5" t="str">
        <f>_xlfn.XLOOKUP($N1028,'Base de Grupos'!$A:$A,'Base de Grupos'!$M:$M)</f>
        <v>REGIONAL VENDA INTERNA - CONVENIENCIA</v>
      </c>
      <c r="L1028" s="5" t="str">
        <f t="shared" si="346"/>
        <v/>
      </c>
      <c r="M1028" s="5" t="str">
        <f>_xlfn.XLOOKUP($N1028,'Base de Grupos'!$A:$A,'Base de Grupos'!$C:$C)</f>
        <v>GO</v>
      </c>
      <c r="N1028" s="3">
        <v>1521</v>
      </c>
      <c r="O1028" s="4" t="s">
        <v>280</v>
      </c>
      <c r="P1028" s="5" t="s">
        <v>93</v>
      </c>
      <c r="Q1028" s="24">
        <v>0</v>
      </c>
      <c r="R1028" s="24">
        <v>0</v>
      </c>
      <c r="S1028" s="24">
        <v>0</v>
      </c>
      <c r="T1028" s="24">
        <v>0</v>
      </c>
      <c r="U1028" s="24">
        <v>0</v>
      </c>
      <c r="V1028" s="24">
        <v>0</v>
      </c>
      <c r="W1028" s="24">
        <v>0</v>
      </c>
      <c r="X1028" s="24">
        <v>0</v>
      </c>
      <c r="Y1028" s="24">
        <v>0</v>
      </c>
      <c r="Z1028" s="24">
        <v>0</v>
      </c>
      <c r="AA1028" s="24">
        <v>0</v>
      </c>
      <c r="AB1028" s="24">
        <v>0</v>
      </c>
      <c r="AC1028" s="30">
        <f t="shared" si="347"/>
        <v>0</v>
      </c>
      <c r="AD1028" s="28"/>
      <c r="AE1028" s="12"/>
      <c r="AF1028" s="29"/>
      <c r="AG1028" s="9"/>
      <c r="AH1028" s="10"/>
      <c r="AI1028" s="9"/>
      <c r="AJ1028" s="11"/>
      <c r="AK1028" s="9"/>
      <c r="AL1028" s="13"/>
      <c r="AM1028" s="9"/>
    </row>
    <row r="1029" spans="1:39" x14ac:dyDescent="0.3">
      <c r="A1029" s="2" t="str">
        <f t="shared" si="345"/>
        <v>SIM</v>
      </c>
      <c r="B1029" s="2" t="str">
        <f>_xlfn.XLOOKUP($N1029,'Base de Grupos'!$A:$A,'Base de Grupos'!$D:$D)</f>
        <v>1000065763</v>
      </c>
      <c r="C1029" s="5" t="str">
        <f>_xlfn.XLOOKUP($N1029,'Base de Grupos'!$A:$A,'Base de Grupos'!$E:$E)</f>
        <v>CANAL VENDA INTERNA</v>
      </c>
      <c r="D1029" s="5" t="str">
        <f>_xlfn.XLOOKUP($N1029,'Base de Grupos'!$A:$A,'Base de Grupos'!$F:$F)</f>
        <v>1000065763</v>
      </c>
      <c r="E1029" s="2" t="str">
        <f>_xlfn.XLOOKUP($N1029,'Base de Grupos'!$A:$A,'Base de Grupos'!$G:$G)</f>
        <v>CANAL VENDA INTERNA</v>
      </c>
      <c r="F1029" s="2" t="str">
        <f>_xlfn.XLOOKUP($N1029,'Base de Grupos'!$A:$A,'Base de Grupos'!$H:$H)</f>
        <v>1000174119</v>
      </c>
      <c r="G1029" s="5" t="str">
        <f>_xlfn.XLOOKUP($N1029,'Base de Grupos'!$A:$A,'Base de Grupos'!$I:$I)</f>
        <v>REGIONAL VENDA INTERNA - CONVENIENCIA</v>
      </c>
      <c r="H1029" s="5" t="str">
        <f>_xlfn.XLOOKUP($N1029,'Base de Grupos'!$A:$A,'Base de Grupos'!$J:$J)</f>
        <v>1000174119</v>
      </c>
      <c r="I1029" s="2" t="str">
        <f>_xlfn.XLOOKUP($N1029,'Base de Grupos'!$A:$A,'Base de Grupos'!$K:$K)</f>
        <v>REGIONAL VENDA INTERNA - CONVENIENCIA</v>
      </c>
      <c r="J1029" s="2" t="str">
        <f>_xlfn.XLOOKUP($N1029,'Base de Grupos'!$A:$A,'Base de Grupos'!$L:$L)</f>
        <v>1000174119</v>
      </c>
      <c r="K1029" s="5" t="str">
        <f>_xlfn.XLOOKUP($N1029,'Base de Grupos'!$A:$A,'Base de Grupos'!$M:$M)</f>
        <v>REGIONAL VENDA INTERNA - CONVENIENCIA</v>
      </c>
      <c r="L1029" s="5">
        <f t="shared" si="346"/>
        <v>1</v>
      </c>
      <c r="M1029" s="5" t="str">
        <f>_xlfn.XLOOKUP($N1029,'Base de Grupos'!$A:$A,'Base de Grupos'!$C:$C)</f>
        <v>ES</v>
      </c>
      <c r="N1029" s="3">
        <v>1522</v>
      </c>
      <c r="O1029" s="4" t="s">
        <v>281</v>
      </c>
      <c r="P1029" s="5" t="s">
        <v>351</v>
      </c>
      <c r="Q1029" s="24">
        <v>0</v>
      </c>
      <c r="R1029" s="24">
        <v>0</v>
      </c>
      <c r="S1029" s="24">
        <v>0</v>
      </c>
      <c r="T1029" s="24">
        <v>0</v>
      </c>
      <c r="U1029" s="24">
        <v>0</v>
      </c>
      <c r="V1029" s="24">
        <v>0</v>
      </c>
      <c r="W1029" s="24">
        <v>0</v>
      </c>
      <c r="X1029" s="24">
        <v>0</v>
      </c>
      <c r="Y1029" s="24">
        <v>0</v>
      </c>
      <c r="Z1029" s="24">
        <v>0</v>
      </c>
      <c r="AA1029" s="24">
        <v>0</v>
      </c>
      <c r="AB1029" s="24">
        <v>0</v>
      </c>
      <c r="AC1029" s="30">
        <f t="shared" si="347"/>
        <v>0</v>
      </c>
      <c r="AD1029" s="28"/>
      <c r="AE1029" s="12"/>
      <c r="AF1029" s="29"/>
      <c r="AG1029" s="9"/>
      <c r="AH1029" s="10"/>
      <c r="AI1029" s="9"/>
      <c r="AJ1029" s="11"/>
      <c r="AK1029" s="9"/>
      <c r="AL1029" s="13"/>
      <c r="AM1029" s="9"/>
    </row>
    <row r="1030" spans="1:39" x14ac:dyDescent="0.3">
      <c r="A1030" s="2" t="str">
        <f t="shared" si="345"/>
        <v>NÃO</v>
      </c>
      <c r="B1030" s="2" t="str">
        <f>_xlfn.XLOOKUP($N1030,'Base de Grupos'!$A:$A,'Base de Grupos'!$D:$D)</f>
        <v>1000065763</v>
      </c>
      <c r="C1030" s="5" t="str">
        <f>_xlfn.XLOOKUP($N1030,'Base de Grupos'!$A:$A,'Base de Grupos'!$E:$E)</f>
        <v>CANAL VENDA INTERNA</v>
      </c>
      <c r="D1030" s="5" t="str">
        <f>_xlfn.XLOOKUP($N1030,'Base de Grupos'!$A:$A,'Base de Grupos'!$F:$F)</f>
        <v>1000065763</v>
      </c>
      <c r="E1030" s="2" t="str">
        <f>_xlfn.XLOOKUP($N1030,'Base de Grupos'!$A:$A,'Base de Grupos'!$G:$G)</f>
        <v>CANAL VENDA INTERNA</v>
      </c>
      <c r="F1030" s="2" t="str">
        <f>_xlfn.XLOOKUP($N1030,'Base de Grupos'!$A:$A,'Base de Grupos'!$H:$H)</f>
        <v>1000174119</v>
      </c>
      <c r="G1030" s="5" t="str">
        <f>_xlfn.XLOOKUP($N1030,'Base de Grupos'!$A:$A,'Base de Grupos'!$I:$I)</f>
        <v>REGIONAL VENDA INTERNA - CONVENIENCIA</v>
      </c>
      <c r="H1030" s="5" t="str">
        <f>_xlfn.XLOOKUP($N1030,'Base de Grupos'!$A:$A,'Base de Grupos'!$J:$J)</f>
        <v>1000174119</v>
      </c>
      <c r="I1030" s="2" t="str">
        <f>_xlfn.XLOOKUP($N1030,'Base de Grupos'!$A:$A,'Base de Grupos'!$K:$K)</f>
        <v>REGIONAL VENDA INTERNA - CONVENIENCIA</v>
      </c>
      <c r="J1030" s="2" t="str">
        <f>_xlfn.XLOOKUP($N1030,'Base de Grupos'!$A:$A,'Base de Grupos'!$L:$L)</f>
        <v>1000174119</v>
      </c>
      <c r="K1030" s="5" t="str">
        <f>_xlfn.XLOOKUP($N1030,'Base de Grupos'!$A:$A,'Base de Grupos'!$M:$M)</f>
        <v>REGIONAL VENDA INTERNA - CONVENIENCIA</v>
      </c>
      <c r="L1030" s="5" t="str">
        <f t="shared" si="346"/>
        <v/>
      </c>
      <c r="M1030" s="5" t="str">
        <f>_xlfn.XLOOKUP($N1030,'Base de Grupos'!$A:$A,'Base de Grupos'!$C:$C)</f>
        <v>ES</v>
      </c>
      <c r="N1030" s="3">
        <v>1522</v>
      </c>
      <c r="O1030" s="4" t="s">
        <v>281</v>
      </c>
      <c r="P1030" s="5" t="s">
        <v>81</v>
      </c>
      <c r="Q1030" s="24">
        <v>0</v>
      </c>
      <c r="R1030" s="24">
        <v>0</v>
      </c>
      <c r="S1030" s="24">
        <v>0</v>
      </c>
      <c r="T1030" s="24">
        <v>0</v>
      </c>
      <c r="U1030" s="24">
        <v>0</v>
      </c>
      <c r="V1030" s="24">
        <v>0</v>
      </c>
      <c r="W1030" s="24">
        <v>0</v>
      </c>
      <c r="X1030" s="24">
        <v>0</v>
      </c>
      <c r="Y1030" s="24">
        <v>0</v>
      </c>
      <c r="Z1030" s="24">
        <v>0</v>
      </c>
      <c r="AA1030" s="24">
        <v>0</v>
      </c>
      <c r="AB1030" s="24">
        <v>0</v>
      </c>
      <c r="AC1030" s="30">
        <f t="shared" si="347"/>
        <v>0</v>
      </c>
      <c r="AD1030" s="28"/>
      <c r="AE1030" s="12"/>
      <c r="AF1030" s="29"/>
      <c r="AG1030" s="9"/>
      <c r="AH1030" s="10"/>
      <c r="AI1030" s="9"/>
      <c r="AJ1030" s="11"/>
      <c r="AK1030" s="9"/>
      <c r="AL1030" s="13"/>
      <c r="AM1030" s="9"/>
    </row>
    <row r="1031" spans="1:39" x14ac:dyDescent="0.3">
      <c r="A1031" s="2" t="str">
        <f t="shared" si="345"/>
        <v>NÃO</v>
      </c>
      <c r="B1031" s="2" t="str">
        <f>_xlfn.XLOOKUP($N1031,'Base de Grupos'!$A:$A,'Base de Grupos'!$D:$D)</f>
        <v>1000065763</v>
      </c>
      <c r="C1031" s="5" t="str">
        <f>_xlfn.XLOOKUP($N1031,'Base de Grupos'!$A:$A,'Base de Grupos'!$E:$E)</f>
        <v>CANAL VENDA INTERNA</v>
      </c>
      <c r="D1031" s="5" t="str">
        <f>_xlfn.XLOOKUP($N1031,'Base de Grupos'!$A:$A,'Base de Grupos'!$F:$F)</f>
        <v>1000065763</v>
      </c>
      <c r="E1031" s="2" t="str">
        <f>_xlfn.XLOOKUP($N1031,'Base de Grupos'!$A:$A,'Base de Grupos'!$G:$G)</f>
        <v>CANAL VENDA INTERNA</v>
      </c>
      <c r="F1031" s="2" t="str">
        <f>_xlfn.XLOOKUP($N1031,'Base de Grupos'!$A:$A,'Base de Grupos'!$H:$H)</f>
        <v>1000174119</v>
      </c>
      <c r="G1031" s="5" t="str">
        <f>_xlfn.XLOOKUP($N1031,'Base de Grupos'!$A:$A,'Base de Grupos'!$I:$I)</f>
        <v>REGIONAL VENDA INTERNA - CONVENIENCIA</v>
      </c>
      <c r="H1031" s="5" t="str">
        <f>_xlfn.XLOOKUP($N1031,'Base de Grupos'!$A:$A,'Base de Grupos'!$J:$J)</f>
        <v>1000174119</v>
      </c>
      <c r="I1031" s="2" t="str">
        <f>_xlfn.XLOOKUP($N1031,'Base de Grupos'!$A:$A,'Base de Grupos'!$K:$K)</f>
        <v>REGIONAL VENDA INTERNA - CONVENIENCIA</v>
      </c>
      <c r="J1031" s="2" t="str">
        <f>_xlfn.XLOOKUP($N1031,'Base de Grupos'!$A:$A,'Base de Grupos'!$L:$L)</f>
        <v>1000174119</v>
      </c>
      <c r="K1031" s="5" t="str">
        <f>_xlfn.XLOOKUP($N1031,'Base de Grupos'!$A:$A,'Base de Grupos'!$M:$M)</f>
        <v>REGIONAL VENDA INTERNA - CONVENIENCIA</v>
      </c>
      <c r="L1031" s="5" t="str">
        <f t="shared" si="346"/>
        <v/>
      </c>
      <c r="M1031" s="5" t="str">
        <f>_xlfn.XLOOKUP($N1031,'Base de Grupos'!$A:$A,'Base de Grupos'!$C:$C)</f>
        <v>ES</v>
      </c>
      <c r="N1031" s="3">
        <v>1522</v>
      </c>
      <c r="O1031" s="4" t="s">
        <v>281</v>
      </c>
      <c r="P1031" s="5" t="s">
        <v>82</v>
      </c>
      <c r="Q1031" s="24">
        <v>0</v>
      </c>
      <c r="R1031" s="24">
        <v>0</v>
      </c>
      <c r="S1031" s="24">
        <v>0</v>
      </c>
      <c r="T1031" s="24">
        <v>0</v>
      </c>
      <c r="U1031" s="24">
        <v>0</v>
      </c>
      <c r="V1031" s="24">
        <v>0</v>
      </c>
      <c r="W1031" s="24">
        <v>0</v>
      </c>
      <c r="X1031" s="24">
        <v>0</v>
      </c>
      <c r="Y1031" s="24">
        <v>0</v>
      </c>
      <c r="Z1031" s="24">
        <v>0</v>
      </c>
      <c r="AA1031" s="24">
        <v>0</v>
      </c>
      <c r="AB1031" s="24">
        <v>0</v>
      </c>
      <c r="AC1031" s="30">
        <f t="shared" si="347"/>
        <v>0</v>
      </c>
      <c r="AD1031" s="28"/>
      <c r="AE1031" s="12"/>
      <c r="AF1031" s="29"/>
      <c r="AG1031" s="9"/>
      <c r="AH1031" s="10"/>
      <c r="AI1031" s="9"/>
      <c r="AJ1031" s="11"/>
      <c r="AK1031" s="9"/>
      <c r="AL1031" s="13"/>
      <c r="AM1031" s="9"/>
    </row>
    <row r="1032" spans="1:39" x14ac:dyDescent="0.3">
      <c r="A1032" s="2" t="str">
        <f t="shared" si="345"/>
        <v>NÃO</v>
      </c>
      <c r="B1032" s="2" t="str">
        <f>_xlfn.XLOOKUP($N1032,'Base de Grupos'!$A:$A,'Base de Grupos'!$D:$D)</f>
        <v>1000065763</v>
      </c>
      <c r="C1032" s="5" t="str">
        <f>_xlfn.XLOOKUP($N1032,'Base de Grupos'!$A:$A,'Base de Grupos'!$E:$E)</f>
        <v>CANAL VENDA INTERNA</v>
      </c>
      <c r="D1032" s="5" t="str">
        <f>_xlfn.XLOOKUP($N1032,'Base de Grupos'!$A:$A,'Base de Grupos'!$F:$F)</f>
        <v>1000065763</v>
      </c>
      <c r="E1032" s="2" t="str">
        <f>_xlfn.XLOOKUP($N1032,'Base de Grupos'!$A:$A,'Base de Grupos'!$G:$G)</f>
        <v>CANAL VENDA INTERNA</v>
      </c>
      <c r="F1032" s="2" t="str">
        <f>_xlfn.XLOOKUP($N1032,'Base de Grupos'!$A:$A,'Base de Grupos'!$H:$H)</f>
        <v>1000174119</v>
      </c>
      <c r="G1032" s="5" t="str">
        <f>_xlfn.XLOOKUP($N1032,'Base de Grupos'!$A:$A,'Base de Grupos'!$I:$I)</f>
        <v>REGIONAL VENDA INTERNA - CONVENIENCIA</v>
      </c>
      <c r="H1032" s="5" t="str">
        <f>_xlfn.XLOOKUP($N1032,'Base de Grupos'!$A:$A,'Base de Grupos'!$J:$J)</f>
        <v>1000174119</v>
      </c>
      <c r="I1032" s="2" t="str">
        <f>_xlfn.XLOOKUP($N1032,'Base de Grupos'!$A:$A,'Base de Grupos'!$K:$K)</f>
        <v>REGIONAL VENDA INTERNA - CONVENIENCIA</v>
      </c>
      <c r="J1032" s="2" t="str">
        <f>_xlfn.XLOOKUP($N1032,'Base de Grupos'!$A:$A,'Base de Grupos'!$L:$L)</f>
        <v>1000174119</v>
      </c>
      <c r="K1032" s="5" t="str">
        <f>_xlfn.XLOOKUP($N1032,'Base de Grupos'!$A:$A,'Base de Grupos'!$M:$M)</f>
        <v>REGIONAL VENDA INTERNA - CONVENIENCIA</v>
      </c>
      <c r="L1032" s="5" t="str">
        <f t="shared" si="346"/>
        <v/>
      </c>
      <c r="M1032" s="5" t="str">
        <f>_xlfn.XLOOKUP($N1032,'Base de Grupos'!$A:$A,'Base de Grupos'!$C:$C)</f>
        <v>ES</v>
      </c>
      <c r="N1032" s="3">
        <v>1522</v>
      </c>
      <c r="O1032" s="4" t="s">
        <v>281</v>
      </c>
      <c r="P1032" s="5" t="s">
        <v>84</v>
      </c>
      <c r="Q1032" s="24">
        <v>0</v>
      </c>
      <c r="R1032" s="24">
        <v>0</v>
      </c>
      <c r="S1032" s="24">
        <v>0</v>
      </c>
      <c r="T1032" s="24">
        <v>0</v>
      </c>
      <c r="U1032" s="24">
        <v>0</v>
      </c>
      <c r="V1032" s="24">
        <v>0</v>
      </c>
      <c r="W1032" s="24">
        <v>0</v>
      </c>
      <c r="X1032" s="24">
        <v>0</v>
      </c>
      <c r="Y1032" s="24">
        <v>0</v>
      </c>
      <c r="Z1032" s="24">
        <v>0</v>
      </c>
      <c r="AA1032" s="24">
        <v>0</v>
      </c>
      <c r="AB1032" s="24">
        <v>0</v>
      </c>
      <c r="AC1032" s="30">
        <f t="shared" si="347"/>
        <v>0</v>
      </c>
      <c r="AD1032" s="28"/>
      <c r="AE1032" s="12"/>
      <c r="AF1032" s="29"/>
      <c r="AG1032" s="9"/>
      <c r="AH1032" s="10"/>
      <c r="AI1032" s="9"/>
      <c r="AJ1032" s="11"/>
      <c r="AK1032" s="9"/>
      <c r="AL1032" s="13"/>
      <c r="AM1032" s="9"/>
    </row>
    <row r="1033" spans="1:39" x14ac:dyDescent="0.3">
      <c r="A1033" s="2" t="str">
        <f t="shared" si="345"/>
        <v>NÃO</v>
      </c>
      <c r="B1033" s="2" t="str">
        <f>_xlfn.XLOOKUP($N1033,'Base de Grupos'!$A:$A,'Base de Grupos'!$D:$D)</f>
        <v>1000065763</v>
      </c>
      <c r="C1033" s="5" t="str">
        <f>_xlfn.XLOOKUP($N1033,'Base de Grupos'!$A:$A,'Base de Grupos'!$E:$E)</f>
        <v>CANAL VENDA INTERNA</v>
      </c>
      <c r="D1033" s="5" t="str">
        <f>_xlfn.XLOOKUP($N1033,'Base de Grupos'!$A:$A,'Base de Grupos'!$F:$F)</f>
        <v>1000065763</v>
      </c>
      <c r="E1033" s="2" t="str">
        <f>_xlfn.XLOOKUP($N1033,'Base de Grupos'!$A:$A,'Base de Grupos'!$G:$G)</f>
        <v>CANAL VENDA INTERNA</v>
      </c>
      <c r="F1033" s="2" t="str">
        <f>_xlfn.XLOOKUP($N1033,'Base de Grupos'!$A:$A,'Base de Grupos'!$H:$H)</f>
        <v>1000174119</v>
      </c>
      <c r="G1033" s="5" t="str">
        <f>_xlfn.XLOOKUP($N1033,'Base de Grupos'!$A:$A,'Base de Grupos'!$I:$I)</f>
        <v>REGIONAL VENDA INTERNA - CONVENIENCIA</v>
      </c>
      <c r="H1033" s="5" t="str">
        <f>_xlfn.XLOOKUP($N1033,'Base de Grupos'!$A:$A,'Base de Grupos'!$J:$J)</f>
        <v>1000174119</v>
      </c>
      <c r="I1033" s="2" t="str">
        <f>_xlfn.XLOOKUP($N1033,'Base de Grupos'!$A:$A,'Base de Grupos'!$K:$K)</f>
        <v>REGIONAL VENDA INTERNA - CONVENIENCIA</v>
      </c>
      <c r="J1033" s="2" t="str">
        <f>_xlfn.XLOOKUP($N1033,'Base de Grupos'!$A:$A,'Base de Grupos'!$L:$L)</f>
        <v>1000174119</v>
      </c>
      <c r="K1033" s="5" t="str">
        <f>_xlfn.XLOOKUP($N1033,'Base de Grupos'!$A:$A,'Base de Grupos'!$M:$M)</f>
        <v>REGIONAL VENDA INTERNA - CONVENIENCIA</v>
      </c>
      <c r="L1033" s="5" t="str">
        <f t="shared" si="346"/>
        <v/>
      </c>
      <c r="M1033" s="5" t="str">
        <f>_xlfn.XLOOKUP($N1033,'Base de Grupos'!$A:$A,'Base de Grupos'!$C:$C)</f>
        <v>ES</v>
      </c>
      <c r="N1033" s="3">
        <v>1522</v>
      </c>
      <c r="O1033" s="4" t="s">
        <v>281</v>
      </c>
      <c r="P1033" s="5" t="s">
        <v>83</v>
      </c>
      <c r="Q1033" s="24">
        <v>0</v>
      </c>
      <c r="R1033" s="24">
        <v>0</v>
      </c>
      <c r="S1033" s="24">
        <v>0</v>
      </c>
      <c r="T1033" s="24">
        <v>0</v>
      </c>
      <c r="U1033" s="24">
        <v>0</v>
      </c>
      <c r="V1033" s="24">
        <v>0</v>
      </c>
      <c r="W1033" s="24">
        <v>0</v>
      </c>
      <c r="X1033" s="24">
        <v>0</v>
      </c>
      <c r="Y1033" s="24">
        <v>0</v>
      </c>
      <c r="Z1033" s="24">
        <v>0</v>
      </c>
      <c r="AA1033" s="24">
        <v>0</v>
      </c>
      <c r="AB1033" s="24">
        <v>0</v>
      </c>
      <c r="AC1033" s="30">
        <f t="shared" si="347"/>
        <v>0</v>
      </c>
      <c r="AD1033" s="28"/>
      <c r="AE1033" s="12"/>
      <c r="AF1033" s="29"/>
      <c r="AG1033" s="9"/>
      <c r="AH1033" s="10"/>
      <c r="AI1033" s="9"/>
      <c r="AJ1033" s="11"/>
      <c r="AK1033" s="9"/>
      <c r="AL1033" s="13"/>
      <c r="AM1033" s="9"/>
    </row>
    <row r="1034" spans="1:39" x14ac:dyDescent="0.3">
      <c r="A1034" s="2" t="str">
        <f t="shared" si="345"/>
        <v>NÃO</v>
      </c>
      <c r="B1034" s="2" t="str">
        <f>_xlfn.XLOOKUP($N1034,'Base de Grupos'!$A:$A,'Base de Grupos'!$D:$D)</f>
        <v>1000065763</v>
      </c>
      <c r="C1034" s="5" t="str">
        <f>_xlfn.XLOOKUP($N1034,'Base de Grupos'!$A:$A,'Base de Grupos'!$E:$E)</f>
        <v>CANAL VENDA INTERNA</v>
      </c>
      <c r="D1034" s="5" t="str">
        <f>_xlfn.XLOOKUP($N1034,'Base de Grupos'!$A:$A,'Base de Grupos'!$F:$F)</f>
        <v>1000065763</v>
      </c>
      <c r="E1034" s="2" t="str">
        <f>_xlfn.XLOOKUP($N1034,'Base de Grupos'!$A:$A,'Base de Grupos'!$G:$G)</f>
        <v>CANAL VENDA INTERNA</v>
      </c>
      <c r="F1034" s="2" t="str">
        <f>_xlfn.XLOOKUP($N1034,'Base de Grupos'!$A:$A,'Base de Grupos'!$H:$H)</f>
        <v>1000174119</v>
      </c>
      <c r="G1034" s="5" t="str">
        <f>_xlfn.XLOOKUP($N1034,'Base de Grupos'!$A:$A,'Base de Grupos'!$I:$I)</f>
        <v>REGIONAL VENDA INTERNA - CONVENIENCIA</v>
      </c>
      <c r="H1034" s="5" t="str">
        <f>_xlfn.XLOOKUP($N1034,'Base de Grupos'!$A:$A,'Base de Grupos'!$J:$J)</f>
        <v>1000174119</v>
      </c>
      <c r="I1034" s="2" t="str">
        <f>_xlfn.XLOOKUP($N1034,'Base de Grupos'!$A:$A,'Base de Grupos'!$K:$K)</f>
        <v>REGIONAL VENDA INTERNA - CONVENIENCIA</v>
      </c>
      <c r="J1034" s="2" t="str">
        <f>_xlfn.XLOOKUP($N1034,'Base de Grupos'!$A:$A,'Base de Grupos'!$L:$L)</f>
        <v>1000174119</v>
      </c>
      <c r="K1034" s="5" t="str">
        <f>_xlfn.XLOOKUP($N1034,'Base de Grupos'!$A:$A,'Base de Grupos'!$M:$M)</f>
        <v>REGIONAL VENDA INTERNA - CONVENIENCIA</v>
      </c>
      <c r="L1034" s="5" t="str">
        <f t="shared" si="346"/>
        <v/>
      </c>
      <c r="M1034" s="5" t="str">
        <f>_xlfn.XLOOKUP($N1034,'Base de Grupos'!$A:$A,'Base de Grupos'!$C:$C)</f>
        <v>ES</v>
      </c>
      <c r="N1034" s="3">
        <v>1522</v>
      </c>
      <c r="O1034" s="4" t="s">
        <v>281</v>
      </c>
      <c r="P1034" s="5" t="s">
        <v>87</v>
      </c>
      <c r="Q1034" s="24">
        <v>0</v>
      </c>
      <c r="R1034" s="24">
        <v>0</v>
      </c>
      <c r="S1034" s="24">
        <v>0</v>
      </c>
      <c r="T1034" s="24">
        <v>0</v>
      </c>
      <c r="U1034" s="24">
        <v>0</v>
      </c>
      <c r="V1034" s="24">
        <v>0</v>
      </c>
      <c r="W1034" s="24">
        <v>0</v>
      </c>
      <c r="X1034" s="24">
        <v>0</v>
      </c>
      <c r="Y1034" s="24">
        <v>0</v>
      </c>
      <c r="Z1034" s="24">
        <v>0</v>
      </c>
      <c r="AA1034" s="24">
        <v>0</v>
      </c>
      <c r="AB1034" s="24">
        <v>0</v>
      </c>
      <c r="AC1034" s="30">
        <f t="shared" si="347"/>
        <v>0</v>
      </c>
      <c r="AD1034" s="28"/>
      <c r="AE1034" s="12"/>
      <c r="AF1034" s="29"/>
      <c r="AG1034" s="9"/>
      <c r="AH1034" s="10"/>
      <c r="AI1034" s="9"/>
      <c r="AJ1034" s="11"/>
      <c r="AK1034" s="9"/>
      <c r="AL1034" s="13"/>
      <c r="AM1034" s="9"/>
    </row>
    <row r="1035" spans="1:39" x14ac:dyDescent="0.3">
      <c r="A1035" s="2" t="str">
        <f t="shared" si="345"/>
        <v>NÃO</v>
      </c>
      <c r="B1035" s="2" t="str">
        <f>_xlfn.XLOOKUP($N1035,'Base de Grupos'!$A:$A,'Base de Grupos'!$D:$D)</f>
        <v>1000065763</v>
      </c>
      <c r="C1035" s="5" t="str">
        <f>_xlfn.XLOOKUP($N1035,'Base de Grupos'!$A:$A,'Base de Grupos'!$E:$E)</f>
        <v>CANAL VENDA INTERNA</v>
      </c>
      <c r="D1035" s="5" t="str">
        <f>_xlfn.XLOOKUP($N1035,'Base de Grupos'!$A:$A,'Base de Grupos'!$F:$F)</f>
        <v>1000065763</v>
      </c>
      <c r="E1035" s="2" t="str">
        <f>_xlfn.XLOOKUP($N1035,'Base de Grupos'!$A:$A,'Base de Grupos'!$G:$G)</f>
        <v>CANAL VENDA INTERNA</v>
      </c>
      <c r="F1035" s="2" t="str">
        <f>_xlfn.XLOOKUP($N1035,'Base de Grupos'!$A:$A,'Base de Grupos'!$H:$H)</f>
        <v>1000174119</v>
      </c>
      <c r="G1035" s="5" t="str">
        <f>_xlfn.XLOOKUP($N1035,'Base de Grupos'!$A:$A,'Base de Grupos'!$I:$I)</f>
        <v>REGIONAL VENDA INTERNA - CONVENIENCIA</v>
      </c>
      <c r="H1035" s="5" t="str">
        <f>_xlfn.XLOOKUP($N1035,'Base de Grupos'!$A:$A,'Base de Grupos'!$J:$J)</f>
        <v>1000174119</v>
      </c>
      <c r="I1035" s="2" t="str">
        <f>_xlfn.XLOOKUP($N1035,'Base de Grupos'!$A:$A,'Base de Grupos'!$K:$K)</f>
        <v>REGIONAL VENDA INTERNA - CONVENIENCIA</v>
      </c>
      <c r="J1035" s="2" t="str">
        <f>_xlfn.XLOOKUP($N1035,'Base de Grupos'!$A:$A,'Base de Grupos'!$L:$L)</f>
        <v>1000174119</v>
      </c>
      <c r="K1035" s="5" t="str">
        <f>_xlfn.XLOOKUP($N1035,'Base de Grupos'!$A:$A,'Base de Grupos'!$M:$M)</f>
        <v>REGIONAL VENDA INTERNA - CONVENIENCIA</v>
      </c>
      <c r="L1035" s="5" t="str">
        <f t="shared" si="346"/>
        <v/>
      </c>
      <c r="M1035" s="5" t="str">
        <f>_xlfn.XLOOKUP($N1035,'Base de Grupos'!$A:$A,'Base de Grupos'!$C:$C)</f>
        <v>ES</v>
      </c>
      <c r="N1035" s="3">
        <v>1522</v>
      </c>
      <c r="O1035" s="4" t="s">
        <v>281</v>
      </c>
      <c r="P1035" s="5" t="s">
        <v>85</v>
      </c>
      <c r="Q1035" s="24">
        <v>0</v>
      </c>
      <c r="R1035" s="24">
        <v>0</v>
      </c>
      <c r="S1035" s="24">
        <v>0</v>
      </c>
      <c r="T1035" s="24">
        <v>0</v>
      </c>
      <c r="U1035" s="24">
        <v>0</v>
      </c>
      <c r="V1035" s="24">
        <v>0</v>
      </c>
      <c r="W1035" s="24">
        <v>0</v>
      </c>
      <c r="X1035" s="24">
        <v>0</v>
      </c>
      <c r="Y1035" s="24">
        <v>0</v>
      </c>
      <c r="Z1035" s="24">
        <v>0</v>
      </c>
      <c r="AA1035" s="24">
        <v>0</v>
      </c>
      <c r="AB1035" s="24">
        <v>0</v>
      </c>
      <c r="AC1035" s="30">
        <f t="shared" si="347"/>
        <v>0</v>
      </c>
      <c r="AD1035" s="28"/>
      <c r="AE1035" s="12"/>
      <c r="AF1035" s="29"/>
      <c r="AG1035" s="9"/>
      <c r="AH1035" s="10"/>
      <c r="AI1035" s="9"/>
      <c r="AJ1035" s="11"/>
      <c r="AK1035" s="9"/>
      <c r="AL1035" s="13"/>
      <c r="AM1035" s="9"/>
    </row>
    <row r="1036" spans="1:39" x14ac:dyDescent="0.3">
      <c r="A1036" s="2" t="str">
        <f t="shared" si="345"/>
        <v>NÃO</v>
      </c>
      <c r="B1036" s="2" t="str">
        <f>_xlfn.XLOOKUP($N1036,'Base de Grupos'!$A:$A,'Base de Grupos'!$D:$D)</f>
        <v>1000065763</v>
      </c>
      <c r="C1036" s="5" t="str">
        <f>_xlfn.XLOOKUP($N1036,'Base de Grupos'!$A:$A,'Base de Grupos'!$E:$E)</f>
        <v>CANAL VENDA INTERNA</v>
      </c>
      <c r="D1036" s="5" t="str">
        <f>_xlfn.XLOOKUP($N1036,'Base de Grupos'!$A:$A,'Base de Grupos'!$F:$F)</f>
        <v>1000065763</v>
      </c>
      <c r="E1036" s="2" t="str">
        <f>_xlfn.XLOOKUP($N1036,'Base de Grupos'!$A:$A,'Base de Grupos'!$G:$G)</f>
        <v>CANAL VENDA INTERNA</v>
      </c>
      <c r="F1036" s="2" t="str">
        <f>_xlfn.XLOOKUP($N1036,'Base de Grupos'!$A:$A,'Base de Grupos'!$H:$H)</f>
        <v>1000174119</v>
      </c>
      <c r="G1036" s="5" t="str">
        <f>_xlfn.XLOOKUP($N1036,'Base de Grupos'!$A:$A,'Base de Grupos'!$I:$I)</f>
        <v>REGIONAL VENDA INTERNA - CONVENIENCIA</v>
      </c>
      <c r="H1036" s="5" t="str">
        <f>_xlfn.XLOOKUP($N1036,'Base de Grupos'!$A:$A,'Base de Grupos'!$J:$J)</f>
        <v>1000174119</v>
      </c>
      <c r="I1036" s="2" t="str">
        <f>_xlfn.XLOOKUP($N1036,'Base de Grupos'!$A:$A,'Base de Grupos'!$K:$K)</f>
        <v>REGIONAL VENDA INTERNA - CONVENIENCIA</v>
      </c>
      <c r="J1036" s="2" t="str">
        <f>_xlfn.XLOOKUP($N1036,'Base de Grupos'!$A:$A,'Base de Grupos'!$L:$L)</f>
        <v>1000174119</v>
      </c>
      <c r="K1036" s="5" t="str">
        <f>_xlfn.XLOOKUP($N1036,'Base de Grupos'!$A:$A,'Base de Grupos'!$M:$M)</f>
        <v>REGIONAL VENDA INTERNA - CONVENIENCIA</v>
      </c>
      <c r="L1036" s="5" t="str">
        <f t="shared" si="346"/>
        <v/>
      </c>
      <c r="M1036" s="5" t="str">
        <f>_xlfn.XLOOKUP($N1036,'Base de Grupos'!$A:$A,'Base de Grupos'!$C:$C)</f>
        <v>ES</v>
      </c>
      <c r="N1036" s="3">
        <v>1522</v>
      </c>
      <c r="O1036" s="4" t="s">
        <v>281</v>
      </c>
      <c r="P1036" s="5" t="s">
        <v>92</v>
      </c>
      <c r="Q1036" s="24">
        <v>0</v>
      </c>
      <c r="R1036" s="24">
        <v>0</v>
      </c>
      <c r="S1036" s="24">
        <v>0</v>
      </c>
      <c r="T1036" s="24">
        <v>0</v>
      </c>
      <c r="U1036" s="24">
        <v>0</v>
      </c>
      <c r="V1036" s="24">
        <v>0</v>
      </c>
      <c r="W1036" s="24">
        <v>0</v>
      </c>
      <c r="X1036" s="24">
        <v>0</v>
      </c>
      <c r="Y1036" s="24">
        <v>0</v>
      </c>
      <c r="Z1036" s="24">
        <v>0</v>
      </c>
      <c r="AA1036" s="24">
        <v>0</v>
      </c>
      <c r="AB1036" s="24">
        <v>0</v>
      </c>
      <c r="AC1036" s="30">
        <f t="shared" si="347"/>
        <v>0</v>
      </c>
      <c r="AD1036" s="28"/>
      <c r="AE1036" s="12"/>
      <c r="AF1036" s="29"/>
      <c r="AG1036" s="9"/>
      <c r="AH1036" s="10"/>
      <c r="AI1036" s="9"/>
      <c r="AJ1036" s="11"/>
      <c r="AK1036" s="9"/>
      <c r="AL1036" s="13"/>
      <c r="AM1036" s="9"/>
    </row>
    <row r="1037" spans="1:39" x14ac:dyDescent="0.3">
      <c r="A1037" s="2" t="str">
        <f t="shared" si="345"/>
        <v>NÃO</v>
      </c>
      <c r="B1037" s="2" t="str">
        <f>_xlfn.XLOOKUP($N1037,'Base de Grupos'!$A:$A,'Base de Grupos'!$D:$D)</f>
        <v>1000065763</v>
      </c>
      <c r="C1037" s="5" t="str">
        <f>_xlfn.XLOOKUP($N1037,'Base de Grupos'!$A:$A,'Base de Grupos'!$E:$E)</f>
        <v>CANAL VENDA INTERNA</v>
      </c>
      <c r="D1037" s="5" t="str">
        <f>_xlfn.XLOOKUP($N1037,'Base de Grupos'!$A:$A,'Base de Grupos'!$F:$F)</f>
        <v>1000065763</v>
      </c>
      <c r="E1037" s="2" t="str">
        <f>_xlfn.XLOOKUP($N1037,'Base de Grupos'!$A:$A,'Base de Grupos'!$G:$G)</f>
        <v>CANAL VENDA INTERNA</v>
      </c>
      <c r="F1037" s="2" t="str">
        <f>_xlfn.XLOOKUP($N1037,'Base de Grupos'!$A:$A,'Base de Grupos'!$H:$H)</f>
        <v>1000174119</v>
      </c>
      <c r="G1037" s="5" t="str">
        <f>_xlfn.XLOOKUP($N1037,'Base de Grupos'!$A:$A,'Base de Grupos'!$I:$I)</f>
        <v>REGIONAL VENDA INTERNA - CONVENIENCIA</v>
      </c>
      <c r="H1037" s="5" t="str">
        <f>_xlfn.XLOOKUP($N1037,'Base de Grupos'!$A:$A,'Base de Grupos'!$J:$J)</f>
        <v>1000174119</v>
      </c>
      <c r="I1037" s="2" t="str">
        <f>_xlfn.XLOOKUP($N1037,'Base de Grupos'!$A:$A,'Base de Grupos'!$K:$K)</f>
        <v>REGIONAL VENDA INTERNA - CONVENIENCIA</v>
      </c>
      <c r="J1037" s="2" t="str">
        <f>_xlfn.XLOOKUP($N1037,'Base de Grupos'!$A:$A,'Base de Grupos'!$L:$L)</f>
        <v>1000174119</v>
      </c>
      <c r="K1037" s="5" t="str">
        <f>_xlfn.XLOOKUP($N1037,'Base de Grupos'!$A:$A,'Base de Grupos'!$M:$M)</f>
        <v>REGIONAL VENDA INTERNA - CONVENIENCIA</v>
      </c>
      <c r="L1037" s="5" t="str">
        <f t="shared" si="346"/>
        <v/>
      </c>
      <c r="M1037" s="5" t="str">
        <f>_xlfn.XLOOKUP($N1037,'Base de Grupos'!$A:$A,'Base de Grupos'!$C:$C)</f>
        <v>ES</v>
      </c>
      <c r="N1037" s="3">
        <v>1522</v>
      </c>
      <c r="O1037" s="4" t="s">
        <v>281</v>
      </c>
      <c r="P1037" s="5" t="s">
        <v>86</v>
      </c>
      <c r="Q1037" s="24">
        <v>0</v>
      </c>
      <c r="R1037" s="24">
        <v>0</v>
      </c>
      <c r="S1037" s="24">
        <v>0</v>
      </c>
      <c r="T1037" s="24">
        <v>0</v>
      </c>
      <c r="U1037" s="24">
        <v>0</v>
      </c>
      <c r="V1037" s="24">
        <v>0</v>
      </c>
      <c r="W1037" s="24">
        <v>0</v>
      </c>
      <c r="X1037" s="24">
        <v>0</v>
      </c>
      <c r="Y1037" s="24">
        <v>0</v>
      </c>
      <c r="Z1037" s="24">
        <v>0</v>
      </c>
      <c r="AA1037" s="24">
        <v>0</v>
      </c>
      <c r="AB1037" s="24">
        <v>0</v>
      </c>
      <c r="AC1037" s="30">
        <f t="shared" si="347"/>
        <v>0</v>
      </c>
      <c r="AD1037" s="28"/>
      <c r="AE1037" s="12"/>
      <c r="AF1037" s="29"/>
      <c r="AG1037" s="9"/>
      <c r="AH1037" s="10"/>
      <c r="AI1037" s="9"/>
      <c r="AJ1037" s="11"/>
      <c r="AK1037" s="9"/>
      <c r="AL1037" s="13"/>
      <c r="AM1037" s="9"/>
    </row>
    <row r="1038" spans="1:39" x14ac:dyDescent="0.3">
      <c r="A1038" s="2" t="str">
        <f t="shared" si="345"/>
        <v>NÃO</v>
      </c>
      <c r="B1038" s="2" t="str">
        <f>_xlfn.XLOOKUP($N1038,'Base de Grupos'!$A:$A,'Base de Grupos'!$D:$D)</f>
        <v>1000065763</v>
      </c>
      <c r="C1038" s="5" t="str">
        <f>_xlfn.XLOOKUP($N1038,'Base de Grupos'!$A:$A,'Base de Grupos'!$E:$E)</f>
        <v>CANAL VENDA INTERNA</v>
      </c>
      <c r="D1038" s="5" t="str">
        <f>_xlfn.XLOOKUP($N1038,'Base de Grupos'!$A:$A,'Base de Grupos'!$F:$F)</f>
        <v>1000065763</v>
      </c>
      <c r="E1038" s="2" t="str">
        <f>_xlfn.XLOOKUP($N1038,'Base de Grupos'!$A:$A,'Base de Grupos'!$G:$G)</f>
        <v>CANAL VENDA INTERNA</v>
      </c>
      <c r="F1038" s="2" t="str">
        <f>_xlfn.XLOOKUP($N1038,'Base de Grupos'!$A:$A,'Base de Grupos'!$H:$H)</f>
        <v>1000174119</v>
      </c>
      <c r="G1038" s="5" t="str">
        <f>_xlfn.XLOOKUP($N1038,'Base de Grupos'!$A:$A,'Base de Grupos'!$I:$I)</f>
        <v>REGIONAL VENDA INTERNA - CONVENIENCIA</v>
      </c>
      <c r="H1038" s="5" t="str">
        <f>_xlfn.XLOOKUP($N1038,'Base de Grupos'!$A:$A,'Base de Grupos'!$J:$J)</f>
        <v>1000174119</v>
      </c>
      <c r="I1038" s="2" t="str">
        <f>_xlfn.XLOOKUP($N1038,'Base de Grupos'!$A:$A,'Base de Grupos'!$K:$K)</f>
        <v>REGIONAL VENDA INTERNA - CONVENIENCIA</v>
      </c>
      <c r="J1038" s="2" t="str">
        <f>_xlfn.XLOOKUP($N1038,'Base de Grupos'!$A:$A,'Base de Grupos'!$L:$L)</f>
        <v>1000174119</v>
      </c>
      <c r="K1038" s="5" t="str">
        <f>_xlfn.XLOOKUP($N1038,'Base de Grupos'!$A:$A,'Base de Grupos'!$M:$M)</f>
        <v>REGIONAL VENDA INTERNA - CONVENIENCIA</v>
      </c>
      <c r="L1038" s="5" t="str">
        <f t="shared" si="346"/>
        <v/>
      </c>
      <c r="M1038" s="5" t="str">
        <f>_xlfn.XLOOKUP($N1038,'Base de Grupos'!$A:$A,'Base de Grupos'!$C:$C)</f>
        <v>ES</v>
      </c>
      <c r="N1038" s="3">
        <v>1522</v>
      </c>
      <c r="O1038" s="4" t="s">
        <v>281</v>
      </c>
      <c r="P1038" s="5" t="s">
        <v>108</v>
      </c>
      <c r="Q1038" s="24">
        <v>0</v>
      </c>
      <c r="R1038" s="24">
        <v>0</v>
      </c>
      <c r="S1038" s="24">
        <v>0</v>
      </c>
      <c r="T1038" s="24">
        <v>0</v>
      </c>
      <c r="U1038" s="24">
        <v>0</v>
      </c>
      <c r="V1038" s="24">
        <v>0</v>
      </c>
      <c r="W1038" s="24">
        <v>0</v>
      </c>
      <c r="X1038" s="24">
        <v>0</v>
      </c>
      <c r="Y1038" s="24">
        <v>0</v>
      </c>
      <c r="Z1038" s="24">
        <v>0</v>
      </c>
      <c r="AA1038" s="24">
        <v>0</v>
      </c>
      <c r="AB1038" s="24">
        <v>0</v>
      </c>
      <c r="AC1038" s="30">
        <f t="shared" si="347"/>
        <v>0</v>
      </c>
      <c r="AD1038" s="28"/>
      <c r="AE1038" s="12"/>
      <c r="AF1038" s="29"/>
      <c r="AG1038" s="9"/>
      <c r="AH1038" s="10"/>
      <c r="AI1038" s="9"/>
      <c r="AJ1038" s="11"/>
      <c r="AK1038" s="9"/>
      <c r="AL1038" s="13"/>
      <c r="AM1038" s="9"/>
    </row>
    <row r="1039" spans="1:39" x14ac:dyDescent="0.3">
      <c r="A1039" s="2" t="str">
        <f t="shared" si="345"/>
        <v>NÃO</v>
      </c>
      <c r="B1039" s="2" t="str">
        <f>_xlfn.XLOOKUP($N1039,'Base de Grupos'!$A:$A,'Base de Grupos'!$D:$D)</f>
        <v>1000065763</v>
      </c>
      <c r="C1039" s="5" t="str">
        <f>_xlfn.XLOOKUP($N1039,'Base de Grupos'!$A:$A,'Base de Grupos'!$E:$E)</f>
        <v>CANAL VENDA INTERNA</v>
      </c>
      <c r="D1039" s="5" t="str">
        <f>_xlfn.XLOOKUP($N1039,'Base de Grupos'!$A:$A,'Base de Grupos'!$F:$F)</f>
        <v>1000065763</v>
      </c>
      <c r="E1039" s="2" t="str">
        <f>_xlfn.XLOOKUP($N1039,'Base de Grupos'!$A:$A,'Base de Grupos'!$G:$G)</f>
        <v>CANAL VENDA INTERNA</v>
      </c>
      <c r="F1039" s="2" t="str">
        <f>_xlfn.XLOOKUP($N1039,'Base de Grupos'!$A:$A,'Base de Grupos'!$H:$H)</f>
        <v>1000174119</v>
      </c>
      <c r="G1039" s="5" t="str">
        <f>_xlfn.XLOOKUP($N1039,'Base de Grupos'!$A:$A,'Base de Grupos'!$I:$I)</f>
        <v>REGIONAL VENDA INTERNA - CONVENIENCIA</v>
      </c>
      <c r="H1039" s="5" t="str">
        <f>_xlfn.XLOOKUP($N1039,'Base de Grupos'!$A:$A,'Base de Grupos'!$J:$J)</f>
        <v>1000174119</v>
      </c>
      <c r="I1039" s="2" t="str">
        <f>_xlfn.XLOOKUP($N1039,'Base de Grupos'!$A:$A,'Base de Grupos'!$K:$K)</f>
        <v>REGIONAL VENDA INTERNA - CONVENIENCIA</v>
      </c>
      <c r="J1039" s="2" t="str">
        <f>_xlfn.XLOOKUP($N1039,'Base de Grupos'!$A:$A,'Base de Grupos'!$L:$L)</f>
        <v>1000174119</v>
      </c>
      <c r="K1039" s="5" t="str">
        <f>_xlfn.XLOOKUP($N1039,'Base de Grupos'!$A:$A,'Base de Grupos'!$M:$M)</f>
        <v>REGIONAL VENDA INTERNA - CONVENIENCIA</v>
      </c>
      <c r="L1039" s="5" t="str">
        <f t="shared" si="346"/>
        <v/>
      </c>
      <c r="M1039" s="5" t="str">
        <f>_xlfn.XLOOKUP($N1039,'Base de Grupos'!$A:$A,'Base de Grupos'!$C:$C)</f>
        <v>ES</v>
      </c>
      <c r="N1039" s="3">
        <v>1522</v>
      </c>
      <c r="O1039" s="4" t="s">
        <v>281</v>
      </c>
      <c r="P1039" s="5" t="s">
        <v>89</v>
      </c>
      <c r="Q1039" s="24">
        <v>0</v>
      </c>
      <c r="R1039" s="24">
        <v>0</v>
      </c>
      <c r="S1039" s="24">
        <v>0</v>
      </c>
      <c r="T1039" s="24">
        <v>0</v>
      </c>
      <c r="U1039" s="24">
        <v>0</v>
      </c>
      <c r="V1039" s="24">
        <v>0</v>
      </c>
      <c r="W1039" s="24">
        <v>0</v>
      </c>
      <c r="X1039" s="24">
        <v>0</v>
      </c>
      <c r="Y1039" s="24">
        <v>0</v>
      </c>
      <c r="Z1039" s="24">
        <v>0</v>
      </c>
      <c r="AA1039" s="24">
        <v>0</v>
      </c>
      <c r="AB1039" s="24">
        <v>0</v>
      </c>
      <c r="AC1039" s="30">
        <f t="shared" si="347"/>
        <v>0</v>
      </c>
      <c r="AD1039" s="28"/>
      <c r="AE1039" s="12"/>
      <c r="AF1039" s="29"/>
      <c r="AG1039" s="9"/>
      <c r="AH1039" s="10"/>
      <c r="AI1039" s="9"/>
      <c r="AJ1039" s="11"/>
      <c r="AK1039" s="9"/>
      <c r="AL1039" s="13"/>
      <c r="AM1039" s="9"/>
    </row>
    <row r="1040" spans="1:39" x14ac:dyDescent="0.3">
      <c r="A1040" s="2" t="str">
        <f t="shared" si="345"/>
        <v>NÃO</v>
      </c>
      <c r="B1040" s="2" t="str">
        <f>_xlfn.XLOOKUP($N1040,'Base de Grupos'!$A:$A,'Base de Grupos'!$D:$D)</f>
        <v>1000065763</v>
      </c>
      <c r="C1040" s="5" t="str">
        <f>_xlfn.XLOOKUP($N1040,'Base de Grupos'!$A:$A,'Base de Grupos'!$E:$E)</f>
        <v>CANAL VENDA INTERNA</v>
      </c>
      <c r="D1040" s="5" t="str">
        <f>_xlfn.XLOOKUP($N1040,'Base de Grupos'!$A:$A,'Base de Grupos'!$F:$F)</f>
        <v>1000065763</v>
      </c>
      <c r="E1040" s="2" t="str">
        <f>_xlfn.XLOOKUP($N1040,'Base de Grupos'!$A:$A,'Base de Grupos'!$G:$G)</f>
        <v>CANAL VENDA INTERNA</v>
      </c>
      <c r="F1040" s="2" t="str">
        <f>_xlfn.XLOOKUP($N1040,'Base de Grupos'!$A:$A,'Base de Grupos'!$H:$H)</f>
        <v>1000174119</v>
      </c>
      <c r="G1040" s="5" t="str">
        <f>_xlfn.XLOOKUP($N1040,'Base de Grupos'!$A:$A,'Base de Grupos'!$I:$I)</f>
        <v>REGIONAL VENDA INTERNA - CONVENIENCIA</v>
      </c>
      <c r="H1040" s="5" t="str">
        <f>_xlfn.XLOOKUP($N1040,'Base de Grupos'!$A:$A,'Base de Grupos'!$J:$J)</f>
        <v>1000174119</v>
      </c>
      <c r="I1040" s="2" t="str">
        <f>_xlfn.XLOOKUP($N1040,'Base de Grupos'!$A:$A,'Base de Grupos'!$K:$K)</f>
        <v>REGIONAL VENDA INTERNA - CONVENIENCIA</v>
      </c>
      <c r="J1040" s="2" t="str">
        <f>_xlfn.XLOOKUP($N1040,'Base de Grupos'!$A:$A,'Base de Grupos'!$L:$L)</f>
        <v>1000174119</v>
      </c>
      <c r="K1040" s="5" t="str">
        <f>_xlfn.XLOOKUP($N1040,'Base de Grupos'!$A:$A,'Base de Grupos'!$M:$M)</f>
        <v>REGIONAL VENDA INTERNA - CONVENIENCIA</v>
      </c>
      <c r="L1040" s="5" t="str">
        <f t="shared" si="346"/>
        <v/>
      </c>
      <c r="M1040" s="5" t="str">
        <f>_xlfn.XLOOKUP($N1040,'Base de Grupos'!$A:$A,'Base de Grupos'!$C:$C)</f>
        <v>ES</v>
      </c>
      <c r="N1040" s="3">
        <v>1522</v>
      </c>
      <c r="O1040" s="4" t="s">
        <v>281</v>
      </c>
      <c r="P1040" s="5" t="s">
        <v>88</v>
      </c>
      <c r="Q1040" s="24">
        <v>0</v>
      </c>
      <c r="R1040" s="24">
        <v>0</v>
      </c>
      <c r="S1040" s="24">
        <v>0</v>
      </c>
      <c r="T1040" s="24">
        <v>0</v>
      </c>
      <c r="U1040" s="24">
        <v>0</v>
      </c>
      <c r="V1040" s="24">
        <v>0</v>
      </c>
      <c r="W1040" s="24">
        <v>0</v>
      </c>
      <c r="X1040" s="24">
        <v>0</v>
      </c>
      <c r="Y1040" s="24">
        <v>0</v>
      </c>
      <c r="Z1040" s="24">
        <v>0</v>
      </c>
      <c r="AA1040" s="24">
        <v>0</v>
      </c>
      <c r="AB1040" s="24">
        <v>0</v>
      </c>
      <c r="AC1040" s="30">
        <f t="shared" si="347"/>
        <v>0</v>
      </c>
      <c r="AD1040" s="28"/>
      <c r="AE1040" s="12"/>
      <c r="AF1040" s="29"/>
      <c r="AG1040" s="9"/>
      <c r="AH1040" s="10"/>
      <c r="AI1040" s="9"/>
      <c r="AJ1040" s="11"/>
      <c r="AK1040" s="9"/>
      <c r="AL1040" s="13"/>
      <c r="AM1040" s="9"/>
    </row>
    <row r="1041" spans="1:39" x14ac:dyDescent="0.3">
      <c r="A1041" s="2" t="str">
        <f t="shared" si="345"/>
        <v>NÃO</v>
      </c>
      <c r="B1041" s="2" t="str">
        <f>_xlfn.XLOOKUP($N1041,'Base de Grupos'!$A:$A,'Base de Grupos'!$D:$D)</f>
        <v>1000065763</v>
      </c>
      <c r="C1041" s="5" t="str">
        <f>_xlfn.XLOOKUP($N1041,'Base de Grupos'!$A:$A,'Base de Grupos'!$E:$E)</f>
        <v>CANAL VENDA INTERNA</v>
      </c>
      <c r="D1041" s="5" t="str">
        <f>_xlfn.XLOOKUP($N1041,'Base de Grupos'!$A:$A,'Base de Grupos'!$F:$F)</f>
        <v>1000065763</v>
      </c>
      <c r="E1041" s="2" t="str">
        <f>_xlfn.XLOOKUP($N1041,'Base de Grupos'!$A:$A,'Base de Grupos'!$G:$G)</f>
        <v>CANAL VENDA INTERNA</v>
      </c>
      <c r="F1041" s="2" t="str">
        <f>_xlfn.XLOOKUP($N1041,'Base de Grupos'!$A:$A,'Base de Grupos'!$H:$H)</f>
        <v>1000174119</v>
      </c>
      <c r="G1041" s="5" t="str">
        <f>_xlfn.XLOOKUP($N1041,'Base de Grupos'!$A:$A,'Base de Grupos'!$I:$I)</f>
        <v>REGIONAL VENDA INTERNA - CONVENIENCIA</v>
      </c>
      <c r="H1041" s="5" t="str">
        <f>_xlfn.XLOOKUP($N1041,'Base de Grupos'!$A:$A,'Base de Grupos'!$J:$J)</f>
        <v>1000174119</v>
      </c>
      <c r="I1041" s="2" t="str">
        <f>_xlfn.XLOOKUP($N1041,'Base de Grupos'!$A:$A,'Base de Grupos'!$K:$K)</f>
        <v>REGIONAL VENDA INTERNA - CONVENIENCIA</v>
      </c>
      <c r="J1041" s="2" t="str">
        <f>_xlfn.XLOOKUP($N1041,'Base de Grupos'!$A:$A,'Base de Grupos'!$L:$L)</f>
        <v>1000174119</v>
      </c>
      <c r="K1041" s="5" t="str">
        <f>_xlfn.XLOOKUP($N1041,'Base de Grupos'!$A:$A,'Base de Grupos'!$M:$M)</f>
        <v>REGIONAL VENDA INTERNA - CONVENIENCIA</v>
      </c>
      <c r="L1041" s="5" t="str">
        <f t="shared" si="346"/>
        <v/>
      </c>
      <c r="M1041" s="5" t="str">
        <f>_xlfn.XLOOKUP($N1041,'Base de Grupos'!$A:$A,'Base de Grupos'!$C:$C)</f>
        <v>ES</v>
      </c>
      <c r="N1041" s="3">
        <v>1522</v>
      </c>
      <c r="O1041" s="4" t="s">
        <v>281</v>
      </c>
      <c r="P1041" s="5" t="s">
        <v>90</v>
      </c>
      <c r="Q1041" s="24">
        <v>0</v>
      </c>
      <c r="R1041" s="24">
        <v>0</v>
      </c>
      <c r="S1041" s="24">
        <v>0</v>
      </c>
      <c r="T1041" s="24">
        <v>0</v>
      </c>
      <c r="U1041" s="24">
        <v>0</v>
      </c>
      <c r="V1041" s="24">
        <v>0</v>
      </c>
      <c r="W1041" s="24">
        <v>0</v>
      </c>
      <c r="X1041" s="24">
        <v>0</v>
      </c>
      <c r="Y1041" s="24">
        <v>0</v>
      </c>
      <c r="Z1041" s="24">
        <v>0</v>
      </c>
      <c r="AA1041" s="24">
        <v>0</v>
      </c>
      <c r="AB1041" s="24">
        <v>0</v>
      </c>
      <c r="AC1041" s="30">
        <f t="shared" si="347"/>
        <v>0</v>
      </c>
      <c r="AD1041" s="28"/>
      <c r="AE1041" s="12"/>
      <c r="AF1041" s="29"/>
      <c r="AG1041" s="9"/>
      <c r="AH1041" s="10"/>
      <c r="AI1041" s="9"/>
      <c r="AJ1041" s="11"/>
      <c r="AK1041" s="9"/>
      <c r="AL1041" s="13"/>
      <c r="AM1041" s="9"/>
    </row>
    <row r="1042" spans="1:39" x14ac:dyDescent="0.3">
      <c r="A1042" s="2" t="str">
        <f t="shared" si="345"/>
        <v>NÃO</v>
      </c>
      <c r="B1042" s="2" t="str">
        <f>_xlfn.XLOOKUP($N1042,'Base de Grupos'!$A:$A,'Base de Grupos'!$D:$D)</f>
        <v>1000065763</v>
      </c>
      <c r="C1042" s="5" t="str">
        <f>_xlfn.XLOOKUP($N1042,'Base de Grupos'!$A:$A,'Base de Grupos'!$E:$E)</f>
        <v>CANAL VENDA INTERNA</v>
      </c>
      <c r="D1042" s="5" t="str">
        <f>_xlfn.XLOOKUP($N1042,'Base de Grupos'!$A:$A,'Base de Grupos'!$F:$F)</f>
        <v>1000065763</v>
      </c>
      <c r="E1042" s="2" t="str">
        <f>_xlfn.XLOOKUP($N1042,'Base de Grupos'!$A:$A,'Base de Grupos'!$G:$G)</f>
        <v>CANAL VENDA INTERNA</v>
      </c>
      <c r="F1042" s="2" t="str">
        <f>_xlfn.XLOOKUP($N1042,'Base de Grupos'!$A:$A,'Base de Grupos'!$H:$H)</f>
        <v>1000174119</v>
      </c>
      <c r="G1042" s="5" t="str">
        <f>_xlfn.XLOOKUP($N1042,'Base de Grupos'!$A:$A,'Base de Grupos'!$I:$I)</f>
        <v>REGIONAL VENDA INTERNA - CONVENIENCIA</v>
      </c>
      <c r="H1042" s="5" t="str">
        <f>_xlfn.XLOOKUP($N1042,'Base de Grupos'!$A:$A,'Base de Grupos'!$J:$J)</f>
        <v>1000174119</v>
      </c>
      <c r="I1042" s="2" t="str">
        <f>_xlfn.XLOOKUP($N1042,'Base de Grupos'!$A:$A,'Base de Grupos'!$K:$K)</f>
        <v>REGIONAL VENDA INTERNA - CONVENIENCIA</v>
      </c>
      <c r="J1042" s="2" t="str">
        <f>_xlfn.XLOOKUP($N1042,'Base de Grupos'!$A:$A,'Base de Grupos'!$L:$L)</f>
        <v>1000174119</v>
      </c>
      <c r="K1042" s="5" t="str">
        <f>_xlfn.XLOOKUP($N1042,'Base de Grupos'!$A:$A,'Base de Grupos'!$M:$M)</f>
        <v>REGIONAL VENDA INTERNA - CONVENIENCIA</v>
      </c>
      <c r="L1042" s="5" t="str">
        <f t="shared" si="346"/>
        <v/>
      </c>
      <c r="M1042" s="5" t="str">
        <f>_xlfn.XLOOKUP($N1042,'Base de Grupos'!$A:$A,'Base de Grupos'!$C:$C)</f>
        <v>ES</v>
      </c>
      <c r="N1042" s="3">
        <v>1522</v>
      </c>
      <c r="O1042" s="4" t="s">
        <v>281</v>
      </c>
      <c r="P1042" s="5" t="s">
        <v>91</v>
      </c>
      <c r="Q1042" s="24">
        <v>0</v>
      </c>
      <c r="R1042" s="24">
        <v>0</v>
      </c>
      <c r="S1042" s="24">
        <v>0</v>
      </c>
      <c r="T1042" s="24">
        <v>0</v>
      </c>
      <c r="U1042" s="24">
        <v>0</v>
      </c>
      <c r="V1042" s="24">
        <v>0</v>
      </c>
      <c r="W1042" s="24">
        <v>0</v>
      </c>
      <c r="X1042" s="24">
        <v>0</v>
      </c>
      <c r="Y1042" s="24">
        <v>0</v>
      </c>
      <c r="Z1042" s="24">
        <v>0</v>
      </c>
      <c r="AA1042" s="24">
        <v>0</v>
      </c>
      <c r="AB1042" s="24">
        <v>0</v>
      </c>
      <c r="AC1042" s="30">
        <f t="shared" si="347"/>
        <v>0</v>
      </c>
      <c r="AD1042" s="28"/>
      <c r="AE1042" s="12"/>
      <c r="AF1042" s="29"/>
      <c r="AG1042" s="9"/>
      <c r="AH1042" s="10"/>
      <c r="AI1042" s="9"/>
      <c r="AJ1042" s="11"/>
      <c r="AK1042" s="9"/>
      <c r="AL1042" s="13"/>
      <c r="AM1042" s="9"/>
    </row>
    <row r="1043" spans="1:39" x14ac:dyDescent="0.3">
      <c r="A1043" s="2" t="str">
        <f t="shared" si="345"/>
        <v>NÃO</v>
      </c>
      <c r="B1043" s="2" t="str">
        <f>_xlfn.XLOOKUP($N1043,'Base de Grupos'!$A:$A,'Base de Grupos'!$D:$D)</f>
        <v>1000065763</v>
      </c>
      <c r="C1043" s="5" t="str">
        <f>_xlfn.XLOOKUP($N1043,'Base de Grupos'!$A:$A,'Base de Grupos'!$E:$E)</f>
        <v>CANAL VENDA INTERNA</v>
      </c>
      <c r="D1043" s="5" t="str">
        <f>_xlfn.XLOOKUP($N1043,'Base de Grupos'!$A:$A,'Base de Grupos'!$F:$F)</f>
        <v>1000065763</v>
      </c>
      <c r="E1043" s="2" t="str">
        <f>_xlfn.XLOOKUP($N1043,'Base de Grupos'!$A:$A,'Base de Grupos'!$G:$G)</f>
        <v>CANAL VENDA INTERNA</v>
      </c>
      <c r="F1043" s="2" t="str">
        <f>_xlfn.XLOOKUP($N1043,'Base de Grupos'!$A:$A,'Base de Grupos'!$H:$H)</f>
        <v>1000174119</v>
      </c>
      <c r="G1043" s="5" t="str">
        <f>_xlfn.XLOOKUP($N1043,'Base de Grupos'!$A:$A,'Base de Grupos'!$I:$I)</f>
        <v>REGIONAL VENDA INTERNA - CONVENIENCIA</v>
      </c>
      <c r="H1043" s="5" t="str">
        <f>_xlfn.XLOOKUP($N1043,'Base de Grupos'!$A:$A,'Base de Grupos'!$J:$J)</f>
        <v>1000174119</v>
      </c>
      <c r="I1043" s="2" t="str">
        <f>_xlfn.XLOOKUP($N1043,'Base de Grupos'!$A:$A,'Base de Grupos'!$K:$K)</f>
        <v>REGIONAL VENDA INTERNA - CONVENIENCIA</v>
      </c>
      <c r="J1043" s="2" t="str">
        <f>_xlfn.XLOOKUP($N1043,'Base de Grupos'!$A:$A,'Base de Grupos'!$L:$L)</f>
        <v>1000174119</v>
      </c>
      <c r="K1043" s="5" t="str">
        <f>_xlfn.XLOOKUP($N1043,'Base de Grupos'!$A:$A,'Base de Grupos'!$M:$M)</f>
        <v>REGIONAL VENDA INTERNA - CONVENIENCIA</v>
      </c>
      <c r="L1043" s="5" t="str">
        <f t="shared" si="346"/>
        <v/>
      </c>
      <c r="M1043" s="5" t="str">
        <f>_xlfn.XLOOKUP($N1043,'Base de Grupos'!$A:$A,'Base de Grupos'!$C:$C)</f>
        <v>ES</v>
      </c>
      <c r="N1043" s="3">
        <v>1522</v>
      </c>
      <c r="O1043" s="4" t="s">
        <v>281</v>
      </c>
      <c r="P1043" s="5" t="s">
        <v>96</v>
      </c>
      <c r="Q1043" s="24">
        <v>0</v>
      </c>
      <c r="R1043" s="24">
        <v>0</v>
      </c>
      <c r="S1043" s="24">
        <v>0</v>
      </c>
      <c r="T1043" s="24">
        <v>0</v>
      </c>
      <c r="U1043" s="24">
        <v>0</v>
      </c>
      <c r="V1043" s="24">
        <v>0</v>
      </c>
      <c r="W1043" s="24">
        <v>0</v>
      </c>
      <c r="X1043" s="24">
        <v>0</v>
      </c>
      <c r="Y1043" s="24">
        <v>0</v>
      </c>
      <c r="Z1043" s="24">
        <v>0</v>
      </c>
      <c r="AA1043" s="24">
        <v>0</v>
      </c>
      <c r="AB1043" s="24">
        <v>0</v>
      </c>
      <c r="AC1043" s="30">
        <f t="shared" si="347"/>
        <v>0</v>
      </c>
      <c r="AD1043" s="28"/>
      <c r="AE1043" s="12"/>
      <c r="AF1043" s="29"/>
      <c r="AG1043" s="9"/>
      <c r="AH1043" s="10"/>
      <c r="AI1043" s="9"/>
      <c r="AJ1043" s="11"/>
      <c r="AK1043" s="9"/>
      <c r="AL1043" s="13"/>
      <c r="AM1043" s="9"/>
    </row>
    <row r="1044" spans="1:39" x14ac:dyDescent="0.3">
      <c r="A1044" s="2" t="str">
        <f t="shared" si="345"/>
        <v>NÃO</v>
      </c>
      <c r="B1044" s="2" t="str">
        <f>_xlfn.XLOOKUP($N1044,'Base de Grupos'!$A:$A,'Base de Grupos'!$D:$D)</f>
        <v>1000065763</v>
      </c>
      <c r="C1044" s="5" t="str">
        <f>_xlfn.XLOOKUP($N1044,'Base de Grupos'!$A:$A,'Base de Grupos'!$E:$E)</f>
        <v>CANAL VENDA INTERNA</v>
      </c>
      <c r="D1044" s="5" t="str">
        <f>_xlfn.XLOOKUP($N1044,'Base de Grupos'!$A:$A,'Base de Grupos'!$F:$F)</f>
        <v>1000065763</v>
      </c>
      <c r="E1044" s="2" t="str">
        <f>_xlfn.XLOOKUP($N1044,'Base de Grupos'!$A:$A,'Base de Grupos'!$G:$G)</f>
        <v>CANAL VENDA INTERNA</v>
      </c>
      <c r="F1044" s="2" t="str">
        <f>_xlfn.XLOOKUP($N1044,'Base de Grupos'!$A:$A,'Base de Grupos'!$H:$H)</f>
        <v>1000174119</v>
      </c>
      <c r="G1044" s="5" t="str">
        <f>_xlfn.XLOOKUP($N1044,'Base de Grupos'!$A:$A,'Base de Grupos'!$I:$I)</f>
        <v>REGIONAL VENDA INTERNA - CONVENIENCIA</v>
      </c>
      <c r="H1044" s="5" t="str">
        <f>_xlfn.XLOOKUP($N1044,'Base de Grupos'!$A:$A,'Base de Grupos'!$J:$J)</f>
        <v>1000174119</v>
      </c>
      <c r="I1044" s="2" t="str">
        <f>_xlfn.XLOOKUP($N1044,'Base de Grupos'!$A:$A,'Base de Grupos'!$K:$K)</f>
        <v>REGIONAL VENDA INTERNA - CONVENIENCIA</v>
      </c>
      <c r="J1044" s="2" t="str">
        <f>_xlfn.XLOOKUP($N1044,'Base de Grupos'!$A:$A,'Base de Grupos'!$L:$L)</f>
        <v>1000174119</v>
      </c>
      <c r="K1044" s="5" t="str">
        <f>_xlfn.XLOOKUP($N1044,'Base de Grupos'!$A:$A,'Base de Grupos'!$M:$M)</f>
        <v>REGIONAL VENDA INTERNA - CONVENIENCIA</v>
      </c>
      <c r="L1044" s="5" t="str">
        <f t="shared" si="346"/>
        <v/>
      </c>
      <c r="M1044" s="5" t="str">
        <f>_xlfn.XLOOKUP($N1044,'Base de Grupos'!$A:$A,'Base de Grupos'!$C:$C)</f>
        <v>ES</v>
      </c>
      <c r="N1044" s="3">
        <v>1522</v>
      </c>
      <c r="O1044" s="4" t="s">
        <v>281</v>
      </c>
      <c r="P1044" s="5" t="s">
        <v>94</v>
      </c>
      <c r="Q1044" s="24">
        <v>0</v>
      </c>
      <c r="R1044" s="24">
        <v>0</v>
      </c>
      <c r="S1044" s="24">
        <v>0</v>
      </c>
      <c r="T1044" s="24">
        <v>0</v>
      </c>
      <c r="U1044" s="24">
        <v>0</v>
      </c>
      <c r="V1044" s="24">
        <v>0</v>
      </c>
      <c r="W1044" s="24">
        <v>0</v>
      </c>
      <c r="X1044" s="24">
        <v>0</v>
      </c>
      <c r="Y1044" s="24">
        <v>0</v>
      </c>
      <c r="Z1044" s="24">
        <v>0</v>
      </c>
      <c r="AA1044" s="24">
        <v>0</v>
      </c>
      <c r="AB1044" s="24">
        <v>0</v>
      </c>
      <c r="AC1044" s="30">
        <f t="shared" si="347"/>
        <v>0</v>
      </c>
      <c r="AD1044" s="28"/>
      <c r="AE1044" s="12"/>
      <c r="AF1044" s="29"/>
      <c r="AG1044" s="9"/>
      <c r="AH1044" s="10"/>
      <c r="AI1044" s="9"/>
      <c r="AJ1044" s="11"/>
      <c r="AK1044" s="9"/>
      <c r="AL1044" s="13"/>
      <c r="AM1044" s="9"/>
    </row>
    <row r="1045" spans="1:39" x14ac:dyDescent="0.3">
      <c r="A1045" s="2" t="str">
        <f t="shared" si="345"/>
        <v>NÃO</v>
      </c>
      <c r="B1045" s="2" t="str">
        <f>_xlfn.XLOOKUP($N1045,'Base de Grupos'!$A:$A,'Base de Grupos'!$D:$D)</f>
        <v>1000065763</v>
      </c>
      <c r="C1045" s="5" t="str">
        <f>_xlfn.XLOOKUP($N1045,'Base de Grupos'!$A:$A,'Base de Grupos'!$E:$E)</f>
        <v>CANAL VENDA INTERNA</v>
      </c>
      <c r="D1045" s="5" t="str">
        <f>_xlfn.XLOOKUP($N1045,'Base de Grupos'!$A:$A,'Base de Grupos'!$F:$F)</f>
        <v>1000065763</v>
      </c>
      <c r="E1045" s="2" t="str">
        <f>_xlfn.XLOOKUP($N1045,'Base de Grupos'!$A:$A,'Base de Grupos'!$G:$G)</f>
        <v>CANAL VENDA INTERNA</v>
      </c>
      <c r="F1045" s="2" t="str">
        <f>_xlfn.XLOOKUP($N1045,'Base de Grupos'!$A:$A,'Base de Grupos'!$H:$H)</f>
        <v>1000174119</v>
      </c>
      <c r="G1045" s="5" t="str">
        <f>_xlfn.XLOOKUP($N1045,'Base de Grupos'!$A:$A,'Base de Grupos'!$I:$I)</f>
        <v>REGIONAL VENDA INTERNA - CONVENIENCIA</v>
      </c>
      <c r="H1045" s="5" t="str">
        <f>_xlfn.XLOOKUP($N1045,'Base de Grupos'!$A:$A,'Base de Grupos'!$J:$J)</f>
        <v>1000174119</v>
      </c>
      <c r="I1045" s="2" t="str">
        <f>_xlfn.XLOOKUP($N1045,'Base de Grupos'!$A:$A,'Base de Grupos'!$K:$K)</f>
        <v>REGIONAL VENDA INTERNA - CONVENIENCIA</v>
      </c>
      <c r="J1045" s="2" t="str">
        <f>_xlfn.XLOOKUP($N1045,'Base de Grupos'!$A:$A,'Base de Grupos'!$L:$L)</f>
        <v>1000174119</v>
      </c>
      <c r="K1045" s="5" t="str">
        <f>_xlfn.XLOOKUP($N1045,'Base de Grupos'!$A:$A,'Base de Grupos'!$M:$M)</f>
        <v>REGIONAL VENDA INTERNA - CONVENIENCIA</v>
      </c>
      <c r="L1045" s="5" t="str">
        <f t="shared" si="346"/>
        <v/>
      </c>
      <c r="M1045" s="5" t="str">
        <f>_xlfn.XLOOKUP($N1045,'Base de Grupos'!$A:$A,'Base de Grupos'!$C:$C)</f>
        <v>ES</v>
      </c>
      <c r="N1045" s="3">
        <v>1522</v>
      </c>
      <c r="O1045" s="4" t="s">
        <v>281</v>
      </c>
      <c r="P1045" s="5" t="s">
        <v>95</v>
      </c>
      <c r="Q1045" s="24">
        <v>0</v>
      </c>
      <c r="R1045" s="24">
        <v>0</v>
      </c>
      <c r="S1045" s="24">
        <v>0</v>
      </c>
      <c r="T1045" s="24">
        <v>0</v>
      </c>
      <c r="U1045" s="24">
        <v>0</v>
      </c>
      <c r="V1045" s="24">
        <v>0</v>
      </c>
      <c r="W1045" s="24">
        <v>0</v>
      </c>
      <c r="X1045" s="24">
        <v>0</v>
      </c>
      <c r="Y1045" s="24">
        <v>0</v>
      </c>
      <c r="Z1045" s="24">
        <v>0</v>
      </c>
      <c r="AA1045" s="24">
        <v>0</v>
      </c>
      <c r="AB1045" s="24">
        <v>0</v>
      </c>
      <c r="AC1045" s="30">
        <f t="shared" si="347"/>
        <v>0</v>
      </c>
      <c r="AD1045" s="28"/>
      <c r="AE1045" s="12"/>
      <c r="AF1045" s="29"/>
      <c r="AG1045" s="9"/>
      <c r="AH1045" s="10"/>
      <c r="AI1045" s="9"/>
      <c r="AJ1045" s="11"/>
      <c r="AK1045" s="9"/>
      <c r="AL1045" s="13"/>
      <c r="AM1045" s="9"/>
    </row>
    <row r="1046" spans="1:39" x14ac:dyDescent="0.3">
      <c r="A1046" s="2" t="str">
        <f t="shared" si="345"/>
        <v>NÃO</v>
      </c>
      <c r="B1046" s="2" t="str">
        <f>_xlfn.XLOOKUP($N1046,'Base de Grupos'!$A:$A,'Base de Grupos'!$D:$D)</f>
        <v>1000065763</v>
      </c>
      <c r="C1046" s="5" t="str">
        <f>_xlfn.XLOOKUP($N1046,'Base de Grupos'!$A:$A,'Base de Grupos'!$E:$E)</f>
        <v>CANAL VENDA INTERNA</v>
      </c>
      <c r="D1046" s="5" t="str">
        <f>_xlfn.XLOOKUP($N1046,'Base de Grupos'!$A:$A,'Base de Grupos'!$F:$F)</f>
        <v>1000065763</v>
      </c>
      <c r="E1046" s="2" t="str">
        <f>_xlfn.XLOOKUP($N1046,'Base de Grupos'!$A:$A,'Base de Grupos'!$G:$G)</f>
        <v>CANAL VENDA INTERNA</v>
      </c>
      <c r="F1046" s="2" t="str">
        <f>_xlfn.XLOOKUP($N1046,'Base de Grupos'!$A:$A,'Base de Grupos'!$H:$H)</f>
        <v>1000174119</v>
      </c>
      <c r="G1046" s="5" t="str">
        <f>_xlfn.XLOOKUP($N1046,'Base de Grupos'!$A:$A,'Base de Grupos'!$I:$I)</f>
        <v>REGIONAL VENDA INTERNA - CONVENIENCIA</v>
      </c>
      <c r="H1046" s="5" t="str">
        <f>_xlfn.XLOOKUP($N1046,'Base de Grupos'!$A:$A,'Base de Grupos'!$J:$J)</f>
        <v>1000174119</v>
      </c>
      <c r="I1046" s="2" t="str">
        <f>_xlfn.XLOOKUP($N1046,'Base de Grupos'!$A:$A,'Base de Grupos'!$K:$K)</f>
        <v>REGIONAL VENDA INTERNA - CONVENIENCIA</v>
      </c>
      <c r="J1046" s="2" t="str">
        <f>_xlfn.XLOOKUP($N1046,'Base de Grupos'!$A:$A,'Base de Grupos'!$L:$L)</f>
        <v>1000174119</v>
      </c>
      <c r="K1046" s="5" t="str">
        <f>_xlfn.XLOOKUP($N1046,'Base de Grupos'!$A:$A,'Base de Grupos'!$M:$M)</f>
        <v>REGIONAL VENDA INTERNA - CONVENIENCIA</v>
      </c>
      <c r="L1046" s="5" t="str">
        <f t="shared" si="346"/>
        <v/>
      </c>
      <c r="M1046" s="5" t="str">
        <f>_xlfn.XLOOKUP($N1046,'Base de Grupos'!$A:$A,'Base de Grupos'!$C:$C)</f>
        <v>ES</v>
      </c>
      <c r="N1046" s="3">
        <v>1522</v>
      </c>
      <c r="O1046" s="4" t="s">
        <v>281</v>
      </c>
      <c r="P1046" s="5" t="s">
        <v>93</v>
      </c>
      <c r="Q1046" s="24">
        <v>0</v>
      </c>
      <c r="R1046" s="24">
        <v>0</v>
      </c>
      <c r="S1046" s="24">
        <v>0</v>
      </c>
      <c r="T1046" s="24">
        <v>0</v>
      </c>
      <c r="U1046" s="24">
        <v>0</v>
      </c>
      <c r="V1046" s="24">
        <v>0</v>
      </c>
      <c r="W1046" s="24">
        <v>0</v>
      </c>
      <c r="X1046" s="24">
        <v>0</v>
      </c>
      <c r="Y1046" s="24">
        <v>0</v>
      </c>
      <c r="Z1046" s="24">
        <v>0</v>
      </c>
      <c r="AA1046" s="24">
        <v>0</v>
      </c>
      <c r="AB1046" s="24">
        <v>0</v>
      </c>
      <c r="AC1046" s="30">
        <f t="shared" si="347"/>
        <v>0</v>
      </c>
      <c r="AD1046" s="28"/>
      <c r="AE1046" s="12"/>
      <c r="AF1046" s="29"/>
      <c r="AG1046" s="9"/>
      <c r="AH1046" s="10"/>
      <c r="AI1046" s="9"/>
      <c r="AJ1046" s="11"/>
      <c r="AK1046" s="9"/>
      <c r="AL1046" s="13"/>
      <c r="AM1046" s="9"/>
    </row>
    <row r="1047" spans="1:39" x14ac:dyDescent="0.3">
      <c r="A1047" s="2" t="str">
        <f t="shared" si="345"/>
        <v>SIM</v>
      </c>
      <c r="B1047" s="2" t="str">
        <f>_xlfn.XLOOKUP($N1047,'Base de Grupos'!$A:$A,'Base de Grupos'!$D:$D)</f>
        <v>1000065763</v>
      </c>
      <c r="C1047" s="5" t="str">
        <f>_xlfn.XLOOKUP($N1047,'Base de Grupos'!$A:$A,'Base de Grupos'!$E:$E)</f>
        <v>CANAL VENDA INTERNA</v>
      </c>
      <c r="D1047" s="5" t="str">
        <f>_xlfn.XLOOKUP($N1047,'Base de Grupos'!$A:$A,'Base de Grupos'!$F:$F)</f>
        <v>1000065763</v>
      </c>
      <c r="E1047" s="2" t="str">
        <f>_xlfn.XLOOKUP($N1047,'Base de Grupos'!$A:$A,'Base de Grupos'!$G:$G)</f>
        <v>CANAL VENDA INTERNA</v>
      </c>
      <c r="F1047" s="2" t="str">
        <f>_xlfn.XLOOKUP($N1047,'Base de Grupos'!$A:$A,'Base de Grupos'!$H:$H)</f>
        <v>1000174119</v>
      </c>
      <c r="G1047" s="5" t="str">
        <f>_xlfn.XLOOKUP($N1047,'Base de Grupos'!$A:$A,'Base de Grupos'!$I:$I)</f>
        <v>REGIONAL VENDA INTERNA - CONVENIENCIA</v>
      </c>
      <c r="H1047" s="5" t="str">
        <f>_xlfn.XLOOKUP($N1047,'Base de Grupos'!$A:$A,'Base de Grupos'!$J:$J)</f>
        <v>1000174119</v>
      </c>
      <c r="I1047" s="2" t="str">
        <f>_xlfn.XLOOKUP($N1047,'Base de Grupos'!$A:$A,'Base de Grupos'!$K:$K)</f>
        <v>REGIONAL VENDA INTERNA - CONVENIENCIA</v>
      </c>
      <c r="J1047" s="2" t="str">
        <f>_xlfn.XLOOKUP($N1047,'Base de Grupos'!$A:$A,'Base de Grupos'!$L:$L)</f>
        <v>1000174119</v>
      </c>
      <c r="K1047" s="5" t="str">
        <f>_xlfn.XLOOKUP($N1047,'Base de Grupos'!$A:$A,'Base de Grupos'!$M:$M)</f>
        <v>REGIONAL VENDA INTERNA - CONVENIENCIA</v>
      </c>
      <c r="L1047" s="5">
        <f t="shared" si="346"/>
        <v>1</v>
      </c>
      <c r="M1047" s="5" t="str">
        <f>_xlfn.XLOOKUP($N1047,'Base de Grupos'!$A:$A,'Base de Grupos'!$C:$C)</f>
        <v>RJ</v>
      </c>
      <c r="N1047" s="3">
        <v>1523</v>
      </c>
      <c r="O1047" s="4" t="s">
        <v>282</v>
      </c>
      <c r="P1047" s="5" t="s">
        <v>352</v>
      </c>
      <c r="Q1047" s="24">
        <v>0</v>
      </c>
      <c r="R1047" s="24">
        <v>0</v>
      </c>
      <c r="S1047" s="24">
        <v>0</v>
      </c>
      <c r="T1047" s="24">
        <v>0</v>
      </c>
      <c r="U1047" s="24">
        <v>0</v>
      </c>
      <c r="V1047" s="24">
        <v>0</v>
      </c>
      <c r="W1047" s="24">
        <v>0</v>
      </c>
      <c r="X1047" s="24">
        <v>0</v>
      </c>
      <c r="Y1047" s="24">
        <v>0</v>
      </c>
      <c r="Z1047" s="24">
        <v>0</v>
      </c>
      <c r="AA1047" s="24">
        <v>0</v>
      </c>
      <c r="AB1047" s="24">
        <v>0</v>
      </c>
      <c r="AC1047" s="30">
        <f t="shared" si="347"/>
        <v>0</v>
      </c>
      <c r="AD1047" s="28"/>
      <c r="AE1047" s="12"/>
      <c r="AF1047" s="29"/>
      <c r="AG1047" s="9"/>
      <c r="AH1047" s="10"/>
      <c r="AI1047" s="9"/>
      <c r="AJ1047" s="11"/>
      <c r="AK1047" s="9"/>
      <c r="AL1047" s="13"/>
      <c r="AM1047" s="9"/>
    </row>
    <row r="1048" spans="1:39" x14ac:dyDescent="0.3">
      <c r="A1048" s="2" t="str">
        <f t="shared" si="345"/>
        <v>NÃO</v>
      </c>
      <c r="B1048" s="2" t="str">
        <f>_xlfn.XLOOKUP($N1048,'Base de Grupos'!$A:$A,'Base de Grupos'!$D:$D)</f>
        <v>1000065763</v>
      </c>
      <c r="C1048" s="5" t="str">
        <f>_xlfn.XLOOKUP($N1048,'Base de Grupos'!$A:$A,'Base de Grupos'!$E:$E)</f>
        <v>CANAL VENDA INTERNA</v>
      </c>
      <c r="D1048" s="5" t="str">
        <f>_xlfn.XLOOKUP($N1048,'Base de Grupos'!$A:$A,'Base de Grupos'!$F:$F)</f>
        <v>1000065763</v>
      </c>
      <c r="E1048" s="2" t="str">
        <f>_xlfn.XLOOKUP($N1048,'Base de Grupos'!$A:$A,'Base de Grupos'!$G:$G)</f>
        <v>CANAL VENDA INTERNA</v>
      </c>
      <c r="F1048" s="2" t="str">
        <f>_xlfn.XLOOKUP($N1048,'Base de Grupos'!$A:$A,'Base de Grupos'!$H:$H)</f>
        <v>1000174119</v>
      </c>
      <c r="G1048" s="5" t="str">
        <f>_xlfn.XLOOKUP($N1048,'Base de Grupos'!$A:$A,'Base de Grupos'!$I:$I)</f>
        <v>REGIONAL VENDA INTERNA - CONVENIENCIA</v>
      </c>
      <c r="H1048" s="5" t="str">
        <f>_xlfn.XLOOKUP($N1048,'Base de Grupos'!$A:$A,'Base de Grupos'!$J:$J)</f>
        <v>1000174119</v>
      </c>
      <c r="I1048" s="2" t="str">
        <f>_xlfn.XLOOKUP($N1048,'Base de Grupos'!$A:$A,'Base de Grupos'!$K:$K)</f>
        <v>REGIONAL VENDA INTERNA - CONVENIENCIA</v>
      </c>
      <c r="J1048" s="2" t="str">
        <f>_xlfn.XLOOKUP($N1048,'Base de Grupos'!$A:$A,'Base de Grupos'!$L:$L)</f>
        <v>1000174119</v>
      </c>
      <c r="K1048" s="5" t="str">
        <f>_xlfn.XLOOKUP($N1048,'Base de Grupos'!$A:$A,'Base de Grupos'!$M:$M)</f>
        <v>REGIONAL VENDA INTERNA - CONVENIENCIA</v>
      </c>
      <c r="L1048" s="5" t="str">
        <f t="shared" si="346"/>
        <v/>
      </c>
      <c r="M1048" s="5" t="str">
        <f>_xlfn.XLOOKUP($N1048,'Base de Grupos'!$A:$A,'Base de Grupos'!$C:$C)</f>
        <v>RJ</v>
      </c>
      <c r="N1048" s="3">
        <v>1523</v>
      </c>
      <c r="O1048" s="4" t="s">
        <v>282</v>
      </c>
      <c r="P1048" s="5" t="s">
        <v>81</v>
      </c>
      <c r="Q1048" s="24">
        <v>0</v>
      </c>
      <c r="R1048" s="24">
        <v>0</v>
      </c>
      <c r="S1048" s="24">
        <v>0</v>
      </c>
      <c r="T1048" s="24">
        <v>0</v>
      </c>
      <c r="U1048" s="24">
        <v>0</v>
      </c>
      <c r="V1048" s="24">
        <v>0</v>
      </c>
      <c r="W1048" s="24">
        <v>0</v>
      </c>
      <c r="X1048" s="24">
        <v>0</v>
      </c>
      <c r="Y1048" s="24">
        <v>0</v>
      </c>
      <c r="Z1048" s="24">
        <v>0</v>
      </c>
      <c r="AA1048" s="24">
        <v>0</v>
      </c>
      <c r="AB1048" s="24">
        <v>0</v>
      </c>
      <c r="AC1048" s="30">
        <f t="shared" si="347"/>
        <v>0</v>
      </c>
      <c r="AD1048" s="28"/>
      <c r="AE1048" s="12"/>
      <c r="AF1048" s="29"/>
      <c r="AG1048" s="9"/>
      <c r="AH1048" s="10"/>
      <c r="AI1048" s="9"/>
      <c r="AJ1048" s="11"/>
      <c r="AK1048" s="9"/>
      <c r="AL1048" s="13"/>
      <c r="AM1048" s="9"/>
    </row>
    <row r="1049" spans="1:39" x14ac:dyDescent="0.3">
      <c r="A1049" s="2" t="str">
        <f t="shared" si="345"/>
        <v>NÃO</v>
      </c>
      <c r="B1049" s="2" t="str">
        <f>_xlfn.XLOOKUP($N1049,'Base de Grupos'!$A:$A,'Base de Grupos'!$D:$D)</f>
        <v>1000065763</v>
      </c>
      <c r="C1049" s="5" t="str">
        <f>_xlfn.XLOOKUP($N1049,'Base de Grupos'!$A:$A,'Base de Grupos'!$E:$E)</f>
        <v>CANAL VENDA INTERNA</v>
      </c>
      <c r="D1049" s="5" t="str">
        <f>_xlfn.XLOOKUP($N1049,'Base de Grupos'!$A:$A,'Base de Grupos'!$F:$F)</f>
        <v>1000065763</v>
      </c>
      <c r="E1049" s="2" t="str">
        <f>_xlfn.XLOOKUP($N1049,'Base de Grupos'!$A:$A,'Base de Grupos'!$G:$G)</f>
        <v>CANAL VENDA INTERNA</v>
      </c>
      <c r="F1049" s="2" t="str">
        <f>_xlfn.XLOOKUP($N1049,'Base de Grupos'!$A:$A,'Base de Grupos'!$H:$H)</f>
        <v>1000174119</v>
      </c>
      <c r="G1049" s="5" t="str">
        <f>_xlfn.XLOOKUP($N1049,'Base de Grupos'!$A:$A,'Base de Grupos'!$I:$I)</f>
        <v>REGIONAL VENDA INTERNA - CONVENIENCIA</v>
      </c>
      <c r="H1049" s="5" t="str">
        <f>_xlfn.XLOOKUP($N1049,'Base de Grupos'!$A:$A,'Base de Grupos'!$J:$J)</f>
        <v>1000174119</v>
      </c>
      <c r="I1049" s="2" t="str">
        <f>_xlfn.XLOOKUP($N1049,'Base de Grupos'!$A:$A,'Base de Grupos'!$K:$K)</f>
        <v>REGIONAL VENDA INTERNA - CONVENIENCIA</v>
      </c>
      <c r="J1049" s="2" t="str">
        <f>_xlfn.XLOOKUP($N1049,'Base de Grupos'!$A:$A,'Base de Grupos'!$L:$L)</f>
        <v>1000174119</v>
      </c>
      <c r="K1049" s="5" t="str">
        <f>_xlfn.XLOOKUP($N1049,'Base de Grupos'!$A:$A,'Base de Grupos'!$M:$M)</f>
        <v>REGIONAL VENDA INTERNA - CONVENIENCIA</v>
      </c>
      <c r="L1049" s="5" t="str">
        <f t="shared" si="346"/>
        <v/>
      </c>
      <c r="M1049" s="5" t="str">
        <f>_xlfn.XLOOKUP($N1049,'Base de Grupos'!$A:$A,'Base de Grupos'!$C:$C)</f>
        <v>RJ</v>
      </c>
      <c r="N1049" s="3">
        <v>1523</v>
      </c>
      <c r="O1049" s="4" t="s">
        <v>282</v>
      </c>
      <c r="P1049" s="5" t="s">
        <v>82</v>
      </c>
      <c r="Q1049" s="24">
        <v>0</v>
      </c>
      <c r="R1049" s="24">
        <v>0</v>
      </c>
      <c r="S1049" s="24">
        <v>0</v>
      </c>
      <c r="T1049" s="24">
        <v>0</v>
      </c>
      <c r="U1049" s="24">
        <v>0</v>
      </c>
      <c r="V1049" s="24">
        <v>0</v>
      </c>
      <c r="W1049" s="24">
        <v>0</v>
      </c>
      <c r="X1049" s="24">
        <v>0</v>
      </c>
      <c r="Y1049" s="24">
        <v>0</v>
      </c>
      <c r="Z1049" s="24">
        <v>0</v>
      </c>
      <c r="AA1049" s="24">
        <v>0</v>
      </c>
      <c r="AB1049" s="24">
        <v>0</v>
      </c>
      <c r="AC1049" s="30">
        <f t="shared" si="347"/>
        <v>0</v>
      </c>
      <c r="AD1049" s="28"/>
      <c r="AE1049" s="12"/>
      <c r="AF1049" s="29"/>
      <c r="AG1049" s="9"/>
      <c r="AH1049" s="10"/>
      <c r="AI1049" s="9"/>
      <c r="AJ1049" s="11"/>
      <c r="AK1049" s="9"/>
      <c r="AL1049" s="13"/>
      <c r="AM1049" s="9"/>
    </row>
    <row r="1050" spans="1:39" x14ac:dyDescent="0.3">
      <c r="A1050" s="2" t="str">
        <f t="shared" ref="A1050:A1113" si="348">IF(L1050=1,"SIM","NÃO")</f>
        <v>NÃO</v>
      </c>
      <c r="B1050" s="2" t="str">
        <f>_xlfn.XLOOKUP($N1050,'Base de Grupos'!$A:$A,'Base de Grupos'!$D:$D)</f>
        <v>1000065763</v>
      </c>
      <c r="C1050" s="5" t="str">
        <f>_xlfn.XLOOKUP($N1050,'Base de Grupos'!$A:$A,'Base de Grupos'!$E:$E)</f>
        <v>CANAL VENDA INTERNA</v>
      </c>
      <c r="D1050" s="5" t="str">
        <f>_xlfn.XLOOKUP($N1050,'Base de Grupos'!$A:$A,'Base de Grupos'!$F:$F)</f>
        <v>1000065763</v>
      </c>
      <c r="E1050" s="2" t="str">
        <f>_xlfn.XLOOKUP($N1050,'Base de Grupos'!$A:$A,'Base de Grupos'!$G:$G)</f>
        <v>CANAL VENDA INTERNA</v>
      </c>
      <c r="F1050" s="2" t="str">
        <f>_xlfn.XLOOKUP($N1050,'Base de Grupos'!$A:$A,'Base de Grupos'!$H:$H)</f>
        <v>1000174119</v>
      </c>
      <c r="G1050" s="5" t="str">
        <f>_xlfn.XLOOKUP($N1050,'Base de Grupos'!$A:$A,'Base de Grupos'!$I:$I)</f>
        <v>REGIONAL VENDA INTERNA - CONVENIENCIA</v>
      </c>
      <c r="H1050" s="5" t="str">
        <f>_xlfn.XLOOKUP($N1050,'Base de Grupos'!$A:$A,'Base de Grupos'!$J:$J)</f>
        <v>1000174119</v>
      </c>
      <c r="I1050" s="2" t="str">
        <f>_xlfn.XLOOKUP($N1050,'Base de Grupos'!$A:$A,'Base de Grupos'!$K:$K)</f>
        <v>REGIONAL VENDA INTERNA - CONVENIENCIA</v>
      </c>
      <c r="J1050" s="2" t="str">
        <f>_xlfn.XLOOKUP($N1050,'Base de Grupos'!$A:$A,'Base de Grupos'!$L:$L)</f>
        <v>1000174119</v>
      </c>
      <c r="K1050" s="5" t="str">
        <f>_xlfn.XLOOKUP($N1050,'Base de Grupos'!$A:$A,'Base de Grupos'!$M:$M)</f>
        <v>REGIONAL VENDA INTERNA - CONVENIENCIA</v>
      </c>
      <c r="L1050" s="5" t="str">
        <f t="shared" ref="L1050:L1113" si="349">IF(N1050&lt;&gt;N1049,1,"")</f>
        <v/>
      </c>
      <c r="M1050" s="5" t="str">
        <f>_xlfn.XLOOKUP($N1050,'Base de Grupos'!$A:$A,'Base de Grupos'!$C:$C)</f>
        <v>RJ</v>
      </c>
      <c r="N1050" s="3">
        <v>1523</v>
      </c>
      <c r="O1050" s="4" t="s">
        <v>282</v>
      </c>
      <c r="P1050" s="5" t="s">
        <v>84</v>
      </c>
      <c r="Q1050" s="24">
        <v>0</v>
      </c>
      <c r="R1050" s="24">
        <v>0</v>
      </c>
      <c r="S1050" s="24">
        <v>0</v>
      </c>
      <c r="T1050" s="24">
        <v>0</v>
      </c>
      <c r="U1050" s="24">
        <v>0</v>
      </c>
      <c r="V1050" s="24">
        <v>0</v>
      </c>
      <c r="W1050" s="24">
        <v>0</v>
      </c>
      <c r="X1050" s="24">
        <v>0</v>
      </c>
      <c r="Y1050" s="24">
        <v>0</v>
      </c>
      <c r="Z1050" s="24">
        <v>0</v>
      </c>
      <c r="AA1050" s="24">
        <v>0</v>
      </c>
      <c r="AB1050" s="24">
        <v>0</v>
      </c>
      <c r="AC1050" s="30">
        <f t="shared" si="347"/>
        <v>0</v>
      </c>
      <c r="AD1050" s="28"/>
      <c r="AE1050" s="12"/>
      <c r="AF1050" s="29"/>
      <c r="AG1050" s="9"/>
      <c r="AH1050" s="10"/>
      <c r="AI1050" s="9"/>
      <c r="AJ1050" s="11"/>
      <c r="AK1050" s="9"/>
      <c r="AL1050" s="13"/>
      <c r="AM1050" s="9"/>
    </row>
    <row r="1051" spans="1:39" x14ac:dyDescent="0.3">
      <c r="A1051" s="2" t="str">
        <f t="shared" si="348"/>
        <v>NÃO</v>
      </c>
      <c r="B1051" s="2" t="str">
        <f>_xlfn.XLOOKUP($N1051,'Base de Grupos'!$A:$A,'Base de Grupos'!$D:$D)</f>
        <v>1000065763</v>
      </c>
      <c r="C1051" s="5" t="str">
        <f>_xlfn.XLOOKUP($N1051,'Base de Grupos'!$A:$A,'Base de Grupos'!$E:$E)</f>
        <v>CANAL VENDA INTERNA</v>
      </c>
      <c r="D1051" s="5" t="str">
        <f>_xlfn.XLOOKUP($N1051,'Base de Grupos'!$A:$A,'Base de Grupos'!$F:$F)</f>
        <v>1000065763</v>
      </c>
      <c r="E1051" s="2" t="str">
        <f>_xlfn.XLOOKUP($N1051,'Base de Grupos'!$A:$A,'Base de Grupos'!$G:$G)</f>
        <v>CANAL VENDA INTERNA</v>
      </c>
      <c r="F1051" s="2" t="str">
        <f>_xlfn.XLOOKUP($N1051,'Base de Grupos'!$A:$A,'Base de Grupos'!$H:$H)</f>
        <v>1000174119</v>
      </c>
      <c r="G1051" s="5" t="str">
        <f>_xlfn.XLOOKUP($N1051,'Base de Grupos'!$A:$A,'Base de Grupos'!$I:$I)</f>
        <v>REGIONAL VENDA INTERNA - CONVENIENCIA</v>
      </c>
      <c r="H1051" s="5" t="str">
        <f>_xlfn.XLOOKUP($N1051,'Base de Grupos'!$A:$A,'Base de Grupos'!$J:$J)</f>
        <v>1000174119</v>
      </c>
      <c r="I1051" s="2" t="str">
        <f>_xlfn.XLOOKUP($N1051,'Base de Grupos'!$A:$A,'Base de Grupos'!$K:$K)</f>
        <v>REGIONAL VENDA INTERNA - CONVENIENCIA</v>
      </c>
      <c r="J1051" s="2" t="str">
        <f>_xlfn.XLOOKUP($N1051,'Base de Grupos'!$A:$A,'Base de Grupos'!$L:$L)</f>
        <v>1000174119</v>
      </c>
      <c r="K1051" s="5" t="str">
        <f>_xlfn.XLOOKUP($N1051,'Base de Grupos'!$A:$A,'Base de Grupos'!$M:$M)</f>
        <v>REGIONAL VENDA INTERNA - CONVENIENCIA</v>
      </c>
      <c r="L1051" s="5" t="str">
        <f t="shared" si="349"/>
        <v/>
      </c>
      <c r="M1051" s="5" t="str">
        <f>_xlfn.XLOOKUP($N1051,'Base de Grupos'!$A:$A,'Base de Grupos'!$C:$C)</f>
        <v>RJ</v>
      </c>
      <c r="N1051" s="3">
        <v>1523</v>
      </c>
      <c r="O1051" s="4" t="s">
        <v>282</v>
      </c>
      <c r="P1051" s="5" t="s">
        <v>83</v>
      </c>
      <c r="Q1051" s="24">
        <v>0</v>
      </c>
      <c r="R1051" s="24">
        <v>0</v>
      </c>
      <c r="S1051" s="24">
        <v>0</v>
      </c>
      <c r="T1051" s="24">
        <v>0</v>
      </c>
      <c r="U1051" s="24">
        <v>0</v>
      </c>
      <c r="V1051" s="24">
        <v>0</v>
      </c>
      <c r="W1051" s="24">
        <v>0</v>
      </c>
      <c r="X1051" s="24">
        <v>0</v>
      </c>
      <c r="Y1051" s="24">
        <v>0</v>
      </c>
      <c r="Z1051" s="24">
        <v>0</v>
      </c>
      <c r="AA1051" s="24">
        <v>0</v>
      </c>
      <c r="AB1051" s="24">
        <v>0</v>
      </c>
      <c r="AC1051" s="30">
        <f t="shared" ref="AC1051:AC1114" si="350">SUM(T1051:AB1051)</f>
        <v>0</v>
      </c>
      <c r="AD1051" s="28"/>
      <c r="AE1051" s="12"/>
      <c r="AF1051" s="29"/>
      <c r="AG1051" s="9"/>
      <c r="AH1051" s="10"/>
      <c r="AI1051" s="9"/>
      <c r="AJ1051" s="11"/>
      <c r="AK1051" s="9"/>
      <c r="AL1051" s="13"/>
      <c r="AM1051" s="9"/>
    </row>
    <row r="1052" spans="1:39" x14ac:dyDescent="0.3">
      <c r="A1052" s="2" t="str">
        <f t="shared" si="348"/>
        <v>NÃO</v>
      </c>
      <c r="B1052" s="2" t="str">
        <f>_xlfn.XLOOKUP($N1052,'Base de Grupos'!$A:$A,'Base de Grupos'!$D:$D)</f>
        <v>1000065763</v>
      </c>
      <c r="C1052" s="5" t="str">
        <f>_xlfn.XLOOKUP($N1052,'Base de Grupos'!$A:$A,'Base de Grupos'!$E:$E)</f>
        <v>CANAL VENDA INTERNA</v>
      </c>
      <c r="D1052" s="5" t="str">
        <f>_xlfn.XLOOKUP($N1052,'Base de Grupos'!$A:$A,'Base de Grupos'!$F:$F)</f>
        <v>1000065763</v>
      </c>
      <c r="E1052" s="2" t="str">
        <f>_xlfn.XLOOKUP($N1052,'Base de Grupos'!$A:$A,'Base de Grupos'!$G:$G)</f>
        <v>CANAL VENDA INTERNA</v>
      </c>
      <c r="F1052" s="2" t="str">
        <f>_xlfn.XLOOKUP($N1052,'Base de Grupos'!$A:$A,'Base de Grupos'!$H:$H)</f>
        <v>1000174119</v>
      </c>
      <c r="G1052" s="5" t="str">
        <f>_xlfn.XLOOKUP($N1052,'Base de Grupos'!$A:$A,'Base de Grupos'!$I:$I)</f>
        <v>REGIONAL VENDA INTERNA - CONVENIENCIA</v>
      </c>
      <c r="H1052" s="5" t="str">
        <f>_xlfn.XLOOKUP($N1052,'Base de Grupos'!$A:$A,'Base de Grupos'!$J:$J)</f>
        <v>1000174119</v>
      </c>
      <c r="I1052" s="2" t="str">
        <f>_xlfn.XLOOKUP($N1052,'Base de Grupos'!$A:$A,'Base de Grupos'!$K:$K)</f>
        <v>REGIONAL VENDA INTERNA - CONVENIENCIA</v>
      </c>
      <c r="J1052" s="2" t="str">
        <f>_xlfn.XLOOKUP($N1052,'Base de Grupos'!$A:$A,'Base de Grupos'!$L:$L)</f>
        <v>1000174119</v>
      </c>
      <c r="K1052" s="5" t="str">
        <f>_xlfn.XLOOKUP($N1052,'Base de Grupos'!$A:$A,'Base de Grupos'!$M:$M)</f>
        <v>REGIONAL VENDA INTERNA - CONVENIENCIA</v>
      </c>
      <c r="L1052" s="5" t="str">
        <f t="shared" si="349"/>
        <v/>
      </c>
      <c r="M1052" s="5" t="str">
        <f>_xlfn.XLOOKUP($N1052,'Base de Grupos'!$A:$A,'Base de Grupos'!$C:$C)</f>
        <v>RJ</v>
      </c>
      <c r="N1052" s="3">
        <v>1523</v>
      </c>
      <c r="O1052" s="4" t="s">
        <v>282</v>
      </c>
      <c r="P1052" s="5" t="s">
        <v>87</v>
      </c>
      <c r="Q1052" s="24">
        <v>0</v>
      </c>
      <c r="R1052" s="24">
        <v>0</v>
      </c>
      <c r="S1052" s="24">
        <v>0</v>
      </c>
      <c r="T1052" s="24">
        <v>0</v>
      </c>
      <c r="U1052" s="24">
        <v>0</v>
      </c>
      <c r="V1052" s="24">
        <v>0</v>
      </c>
      <c r="W1052" s="24">
        <v>0</v>
      </c>
      <c r="X1052" s="24">
        <v>0</v>
      </c>
      <c r="Y1052" s="24">
        <v>0</v>
      </c>
      <c r="Z1052" s="24">
        <v>0</v>
      </c>
      <c r="AA1052" s="24">
        <v>0</v>
      </c>
      <c r="AB1052" s="24">
        <v>0</v>
      </c>
      <c r="AC1052" s="30">
        <f t="shared" si="350"/>
        <v>0</v>
      </c>
      <c r="AD1052" s="28"/>
      <c r="AE1052" s="12"/>
      <c r="AF1052" s="29"/>
      <c r="AG1052" s="9"/>
      <c r="AH1052" s="10"/>
      <c r="AI1052" s="9"/>
      <c r="AJ1052" s="11"/>
      <c r="AK1052" s="9"/>
      <c r="AL1052" s="13"/>
      <c r="AM1052" s="9"/>
    </row>
    <row r="1053" spans="1:39" x14ac:dyDescent="0.3">
      <c r="A1053" s="2" t="str">
        <f t="shared" si="348"/>
        <v>NÃO</v>
      </c>
      <c r="B1053" s="2" t="str">
        <f>_xlfn.XLOOKUP($N1053,'Base de Grupos'!$A:$A,'Base de Grupos'!$D:$D)</f>
        <v>1000065763</v>
      </c>
      <c r="C1053" s="5" t="str">
        <f>_xlfn.XLOOKUP($N1053,'Base de Grupos'!$A:$A,'Base de Grupos'!$E:$E)</f>
        <v>CANAL VENDA INTERNA</v>
      </c>
      <c r="D1053" s="5" t="str">
        <f>_xlfn.XLOOKUP($N1053,'Base de Grupos'!$A:$A,'Base de Grupos'!$F:$F)</f>
        <v>1000065763</v>
      </c>
      <c r="E1053" s="2" t="str">
        <f>_xlfn.XLOOKUP($N1053,'Base de Grupos'!$A:$A,'Base de Grupos'!$G:$G)</f>
        <v>CANAL VENDA INTERNA</v>
      </c>
      <c r="F1053" s="2" t="str">
        <f>_xlfn.XLOOKUP($N1053,'Base de Grupos'!$A:$A,'Base de Grupos'!$H:$H)</f>
        <v>1000174119</v>
      </c>
      <c r="G1053" s="5" t="str">
        <f>_xlfn.XLOOKUP($N1053,'Base de Grupos'!$A:$A,'Base de Grupos'!$I:$I)</f>
        <v>REGIONAL VENDA INTERNA - CONVENIENCIA</v>
      </c>
      <c r="H1053" s="5" t="str">
        <f>_xlfn.XLOOKUP($N1053,'Base de Grupos'!$A:$A,'Base de Grupos'!$J:$J)</f>
        <v>1000174119</v>
      </c>
      <c r="I1053" s="2" t="str">
        <f>_xlfn.XLOOKUP($N1053,'Base de Grupos'!$A:$A,'Base de Grupos'!$K:$K)</f>
        <v>REGIONAL VENDA INTERNA - CONVENIENCIA</v>
      </c>
      <c r="J1053" s="2" t="str">
        <f>_xlfn.XLOOKUP($N1053,'Base de Grupos'!$A:$A,'Base de Grupos'!$L:$L)</f>
        <v>1000174119</v>
      </c>
      <c r="K1053" s="5" t="str">
        <f>_xlfn.XLOOKUP($N1053,'Base de Grupos'!$A:$A,'Base de Grupos'!$M:$M)</f>
        <v>REGIONAL VENDA INTERNA - CONVENIENCIA</v>
      </c>
      <c r="L1053" s="5" t="str">
        <f t="shared" si="349"/>
        <v/>
      </c>
      <c r="M1053" s="5" t="str">
        <f>_xlfn.XLOOKUP($N1053,'Base de Grupos'!$A:$A,'Base de Grupos'!$C:$C)</f>
        <v>RJ</v>
      </c>
      <c r="N1053" s="3">
        <v>1523</v>
      </c>
      <c r="O1053" s="4" t="s">
        <v>282</v>
      </c>
      <c r="P1053" s="5" t="s">
        <v>85</v>
      </c>
      <c r="Q1053" s="24">
        <v>0</v>
      </c>
      <c r="R1053" s="24">
        <v>0</v>
      </c>
      <c r="S1053" s="24">
        <v>0</v>
      </c>
      <c r="T1053" s="24">
        <v>0</v>
      </c>
      <c r="U1053" s="24">
        <v>0</v>
      </c>
      <c r="V1053" s="24">
        <v>0</v>
      </c>
      <c r="W1053" s="24">
        <v>0</v>
      </c>
      <c r="X1053" s="24">
        <v>0</v>
      </c>
      <c r="Y1053" s="24">
        <v>0</v>
      </c>
      <c r="Z1053" s="24">
        <v>0</v>
      </c>
      <c r="AA1053" s="24">
        <v>0</v>
      </c>
      <c r="AB1053" s="24">
        <v>0</v>
      </c>
      <c r="AC1053" s="30">
        <f t="shared" si="350"/>
        <v>0</v>
      </c>
      <c r="AD1053" s="28"/>
      <c r="AE1053" s="12"/>
      <c r="AF1053" s="29"/>
      <c r="AG1053" s="9"/>
      <c r="AH1053" s="10"/>
      <c r="AI1053" s="9"/>
      <c r="AJ1053" s="11"/>
      <c r="AK1053" s="9"/>
      <c r="AL1053" s="13"/>
      <c r="AM1053" s="9"/>
    </row>
    <row r="1054" spans="1:39" x14ac:dyDescent="0.3">
      <c r="A1054" s="2" t="str">
        <f t="shared" si="348"/>
        <v>NÃO</v>
      </c>
      <c r="B1054" s="2" t="str">
        <f>_xlfn.XLOOKUP($N1054,'Base de Grupos'!$A:$A,'Base de Grupos'!$D:$D)</f>
        <v>1000065763</v>
      </c>
      <c r="C1054" s="5" t="str">
        <f>_xlfn.XLOOKUP($N1054,'Base de Grupos'!$A:$A,'Base de Grupos'!$E:$E)</f>
        <v>CANAL VENDA INTERNA</v>
      </c>
      <c r="D1054" s="5" t="str">
        <f>_xlfn.XLOOKUP($N1054,'Base de Grupos'!$A:$A,'Base de Grupos'!$F:$F)</f>
        <v>1000065763</v>
      </c>
      <c r="E1054" s="2" t="str">
        <f>_xlfn.XLOOKUP($N1054,'Base de Grupos'!$A:$A,'Base de Grupos'!$G:$G)</f>
        <v>CANAL VENDA INTERNA</v>
      </c>
      <c r="F1054" s="2" t="str">
        <f>_xlfn.XLOOKUP($N1054,'Base de Grupos'!$A:$A,'Base de Grupos'!$H:$H)</f>
        <v>1000174119</v>
      </c>
      <c r="G1054" s="5" t="str">
        <f>_xlfn.XLOOKUP($N1054,'Base de Grupos'!$A:$A,'Base de Grupos'!$I:$I)</f>
        <v>REGIONAL VENDA INTERNA - CONVENIENCIA</v>
      </c>
      <c r="H1054" s="5" t="str">
        <f>_xlfn.XLOOKUP($N1054,'Base de Grupos'!$A:$A,'Base de Grupos'!$J:$J)</f>
        <v>1000174119</v>
      </c>
      <c r="I1054" s="2" t="str">
        <f>_xlfn.XLOOKUP($N1054,'Base de Grupos'!$A:$A,'Base de Grupos'!$K:$K)</f>
        <v>REGIONAL VENDA INTERNA - CONVENIENCIA</v>
      </c>
      <c r="J1054" s="2" t="str">
        <f>_xlfn.XLOOKUP($N1054,'Base de Grupos'!$A:$A,'Base de Grupos'!$L:$L)</f>
        <v>1000174119</v>
      </c>
      <c r="K1054" s="5" t="str">
        <f>_xlfn.XLOOKUP($N1054,'Base de Grupos'!$A:$A,'Base de Grupos'!$M:$M)</f>
        <v>REGIONAL VENDA INTERNA - CONVENIENCIA</v>
      </c>
      <c r="L1054" s="5" t="str">
        <f t="shared" si="349"/>
        <v/>
      </c>
      <c r="M1054" s="5" t="str">
        <f>_xlfn.XLOOKUP($N1054,'Base de Grupos'!$A:$A,'Base de Grupos'!$C:$C)</f>
        <v>RJ</v>
      </c>
      <c r="N1054" s="3">
        <v>1523</v>
      </c>
      <c r="O1054" s="4" t="s">
        <v>282</v>
      </c>
      <c r="P1054" s="5" t="s">
        <v>92</v>
      </c>
      <c r="Q1054" s="24">
        <v>0</v>
      </c>
      <c r="R1054" s="24">
        <v>0</v>
      </c>
      <c r="S1054" s="24">
        <v>0</v>
      </c>
      <c r="T1054" s="24">
        <v>0</v>
      </c>
      <c r="U1054" s="24">
        <v>0</v>
      </c>
      <c r="V1054" s="24">
        <v>0</v>
      </c>
      <c r="W1054" s="24">
        <v>0</v>
      </c>
      <c r="X1054" s="24">
        <v>0</v>
      </c>
      <c r="Y1054" s="24">
        <v>0</v>
      </c>
      <c r="Z1054" s="24">
        <v>0</v>
      </c>
      <c r="AA1054" s="24">
        <v>0</v>
      </c>
      <c r="AB1054" s="24">
        <v>0</v>
      </c>
      <c r="AC1054" s="30">
        <f t="shared" si="350"/>
        <v>0</v>
      </c>
      <c r="AD1054" s="28"/>
      <c r="AE1054" s="12"/>
      <c r="AF1054" s="29"/>
      <c r="AG1054" s="9"/>
      <c r="AH1054" s="10"/>
      <c r="AI1054" s="9"/>
      <c r="AJ1054" s="11"/>
      <c r="AK1054" s="9"/>
      <c r="AL1054" s="13"/>
      <c r="AM1054" s="9"/>
    </row>
    <row r="1055" spans="1:39" x14ac:dyDescent="0.3">
      <c r="A1055" s="2" t="str">
        <f t="shared" si="348"/>
        <v>NÃO</v>
      </c>
      <c r="B1055" s="2" t="str">
        <f>_xlfn.XLOOKUP($N1055,'Base de Grupos'!$A:$A,'Base de Grupos'!$D:$D)</f>
        <v>1000065763</v>
      </c>
      <c r="C1055" s="5" t="str">
        <f>_xlfn.XLOOKUP($N1055,'Base de Grupos'!$A:$A,'Base de Grupos'!$E:$E)</f>
        <v>CANAL VENDA INTERNA</v>
      </c>
      <c r="D1055" s="5" t="str">
        <f>_xlfn.XLOOKUP($N1055,'Base de Grupos'!$A:$A,'Base de Grupos'!$F:$F)</f>
        <v>1000065763</v>
      </c>
      <c r="E1055" s="2" t="str">
        <f>_xlfn.XLOOKUP($N1055,'Base de Grupos'!$A:$A,'Base de Grupos'!$G:$G)</f>
        <v>CANAL VENDA INTERNA</v>
      </c>
      <c r="F1055" s="2" t="str">
        <f>_xlfn.XLOOKUP($N1055,'Base de Grupos'!$A:$A,'Base de Grupos'!$H:$H)</f>
        <v>1000174119</v>
      </c>
      <c r="G1055" s="5" t="str">
        <f>_xlfn.XLOOKUP($N1055,'Base de Grupos'!$A:$A,'Base de Grupos'!$I:$I)</f>
        <v>REGIONAL VENDA INTERNA - CONVENIENCIA</v>
      </c>
      <c r="H1055" s="5" t="str">
        <f>_xlfn.XLOOKUP($N1055,'Base de Grupos'!$A:$A,'Base de Grupos'!$J:$J)</f>
        <v>1000174119</v>
      </c>
      <c r="I1055" s="2" t="str">
        <f>_xlfn.XLOOKUP($N1055,'Base de Grupos'!$A:$A,'Base de Grupos'!$K:$K)</f>
        <v>REGIONAL VENDA INTERNA - CONVENIENCIA</v>
      </c>
      <c r="J1055" s="2" t="str">
        <f>_xlfn.XLOOKUP($N1055,'Base de Grupos'!$A:$A,'Base de Grupos'!$L:$L)</f>
        <v>1000174119</v>
      </c>
      <c r="K1055" s="5" t="str">
        <f>_xlfn.XLOOKUP($N1055,'Base de Grupos'!$A:$A,'Base de Grupos'!$M:$M)</f>
        <v>REGIONAL VENDA INTERNA - CONVENIENCIA</v>
      </c>
      <c r="L1055" s="5" t="str">
        <f t="shared" si="349"/>
        <v/>
      </c>
      <c r="M1055" s="5" t="str">
        <f>_xlfn.XLOOKUP($N1055,'Base de Grupos'!$A:$A,'Base de Grupos'!$C:$C)</f>
        <v>RJ</v>
      </c>
      <c r="N1055" s="3">
        <v>1523</v>
      </c>
      <c r="O1055" s="4" t="s">
        <v>282</v>
      </c>
      <c r="P1055" s="5" t="s">
        <v>86</v>
      </c>
      <c r="Q1055" s="24">
        <v>0</v>
      </c>
      <c r="R1055" s="24">
        <v>0</v>
      </c>
      <c r="S1055" s="24">
        <v>0</v>
      </c>
      <c r="T1055" s="24">
        <v>0</v>
      </c>
      <c r="U1055" s="24">
        <v>0</v>
      </c>
      <c r="V1055" s="24">
        <v>0</v>
      </c>
      <c r="W1055" s="24">
        <v>0</v>
      </c>
      <c r="X1055" s="24">
        <v>0</v>
      </c>
      <c r="Y1055" s="24">
        <v>0</v>
      </c>
      <c r="Z1055" s="24">
        <v>0</v>
      </c>
      <c r="AA1055" s="24">
        <v>0</v>
      </c>
      <c r="AB1055" s="24">
        <v>0</v>
      </c>
      <c r="AC1055" s="30">
        <f t="shared" si="350"/>
        <v>0</v>
      </c>
      <c r="AD1055" s="28"/>
      <c r="AE1055" s="12"/>
      <c r="AF1055" s="29"/>
      <c r="AG1055" s="9"/>
      <c r="AH1055" s="10"/>
      <c r="AI1055" s="9"/>
      <c r="AJ1055" s="11"/>
      <c r="AK1055" s="9"/>
      <c r="AL1055" s="13"/>
      <c r="AM1055" s="9"/>
    </row>
    <row r="1056" spans="1:39" x14ac:dyDescent="0.3">
      <c r="A1056" s="2" t="str">
        <f t="shared" si="348"/>
        <v>NÃO</v>
      </c>
      <c r="B1056" s="2" t="str">
        <f>_xlfn.XLOOKUP($N1056,'Base de Grupos'!$A:$A,'Base de Grupos'!$D:$D)</f>
        <v>1000065763</v>
      </c>
      <c r="C1056" s="5" t="str">
        <f>_xlfn.XLOOKUP($N1056,'Base de Grupos'!$A:$A,'Base de Grupos'!$E:$E)</f>
        <v>CANAL VENDA INTERNA</v>
      </c>
      <c r="D1056" s="5" t="str">
        <f>_xlfn.XLOOKUP($N1056,'Base de Grupos'!$A:$A,'Base de Grupos'!$F:$F)</f>
        <v>1000065763</v>
      </c>
      <c r="E1056" s="2" t="str">
        <f>_xlfn.XLOOKUP($N1056,'Base de Grupos'!$A:$A,'Base de Grupos'!$G:$G)</f>
        <v>CANAL VENDA INTERNA</v>
      </c>
      <c r="F1056" s="2" t="str">
        <f>_xlfn.XLOOKUP($N1056,'Base de Grupos'!$A:$A,'Base de Grupos'!$H:$H)</f>
        <v>1000174119</v>
      </c>
      <c r="G1056" s="5" t="str">
        <f>_xlfn.XLOOKUP($N1056,'Base de Grupos'!$A:$A,'Base de Grupos'!$I:$I)</f>
        <v>REGIONAL VENDA INTERNA - CONVENIENCIA</v>
      </c>
      <c r="H1056" s="5" t="str">
        <f>_xlfn.XLOOKUP($N1056,'Base de Grupos'!$A:$A,'Base de Grupos'!$J:$J)</f>
        <v>1000174119</v>
      </c>
      <c r="I1056" s="2" t="str">
        <f>_xlfn.XLOOKUP($N1056,'Base de Grupos'!$A:$A,'Base de Grupos'!$K:$K)</f>
        <v>REGIONAL VENDA INTERNA - CONVENIENCIA</v>
      </c>
      <c r="J1056" s="2" t="str">
        <f>_xlfn.XLOOKUP($N1056,'Base de Grupos'!$A:$A,'Base de Grupos'!$L:$L)</f>
        <v>1000174119</v>
      </c>
      <c r="K1056" s="5" t="str">
        <f>_xlfn.XLOOKUP($N1056,'Base de Grupos'!$A:$A,'Base de Grupos'!$M:$M)</f>
        <v>REGIONAL VENDA INTERNA - CONVENIENCIA</v>
      </c>
      <c r="L1056" s="5" t="str">
        <f t="shared" si="349"/>
        <v/>
      </c>
      <c r="M1056" s="5" t="str">
        <f>_xlfn.XLOOKUP($N1056,'Base de Grupos'!$A:$A,'Base de Grupos'!$C:$C)</f>
        <v>RJ</v>
      </c>
      <c r="N1056" s="3">
        <v>1523</v>
      </c>
      <c r="O1056" s="4" t="s">
        <v>282</v>
      </c>
      <c r="P1056" s="5" t="s">
        <v>108</v>
      </c>
      <c r="Q1056" s="24">
        <v>0</v>
      </c>
      <c r="R1056" s="24">
        <v>0</v>
      </c>
      <c r="S1056" s="24">
        <v>0</v>
      </c>
      <c r="T1056" s="24">
        <v>0</v>
      </c>
      <c r="U1056" s="24">
        <v>0</v>
      </c>
      <c r="V1056" s="24">
        <v>0</v>
      </c>
      <c r="W1056" s="24">
        <v>0</v>
      </c>
      <c r="X1056" s="24">
        <v>0</v>
      </c>
      <c r="Y1056" s="24">
        <v>0</v>
      </c>
      <c r="Z1056" s="24">
        <v>0</v>
      </c>
      <c r="AA1056" s="24">
        <v>0</v>
      </c>
      <c r="AB1056" s="24">
        <v>0</v>
      </c>
      <c r="AC1056" s="30">
        <f t="shared" si="350"/>
        <v>0</v>
      </c>
      <c r="AD1056" s="28"/>
      <c r="AE1056" s="12"/>
      <c r="AF1056" s="29"/>
      <c r="AG1056" s="9"/>
      <c r="AH1056" s="10"/>
      <c r="AI1056" s="9"/>
      <c r="AJ1056" s="11"/>
      <c r="AK1056" s="9"/>
      <c r="AL1056" s="13"/>
      <c r="AM1056" s="9"/>
    </row>
    <row r="1057" spans="1:39" x14ac:dyDescent="0.3">
      <c r="A1057" s="2" t="str">
        <f t="shared" si="348"/>
        <v>NÃO</v>
      </c>
      <c r="B1057" s="2" t="str">
        <f>_xlfn.XLOOKUP($N1057,'Base de Grupos'!$A:$A,'Base de Grupos'!$D:$D)</f>
        <v>1000065763</v>
      </c>
      <c r="C1057" s="5" t="str">
        <f>_xlfn.XLOOKUP($N1057,'Base de Grupos'!$A:$A,'Base de Grupos'!$E:$E)</f>
        <v>CANAL VENDA INTERNA</v>
      </c>
      <c r="D1057" s="5" t="str">
        <f>_xlfn.XLOOKUP($N1057,'Base de Grupos'!$A:$A,'Base de Grupos'!$F:$F)</f>
        <v>1000065763</v>
      </c>
      <c r="E1057" s="2" t="str">
        <f>_xlfn.XLOOKUP($N1057,'Base de Grupos'!$A:$A,'Base de Grupos'!$G:$G)</f>
        <v>CANAL VENDA INTERNA</v>
      </c>
      <c r="F1057" s="2" t="str">
        <f>_xlfn.XLOOKUP($N1057,'Base de Grupos'!$A:$A,'Base de Grupos'!$H:$H)</f>
        <v>1000174119</v>
      </c>
      <c r="G1057" s="5" t="str">
        <f>_xlfn.XLOOKUP($N1057,'Base de Grupos'!$A:$A,'Base de Grupos'!$I:$I)</f>
        <v>REGIONAL VENDA INTERNA - CONVENIENCIA</v>
      </c>
      <c r="H1057" s="5" t="str">
        <f>_xlfn.XLOOKUP($N1057,'Base de Grupos'!$A:$A,'Base de Grupos'!$J:$J)</f>
        <v>1000174119</v>
      </c>
      <c r="I1057" s="2" t="str">
        <f>_xlfn.XLOOKUP($N1057,'Base de Grupos'!$A:$A,'Base de Grupos'!$K:$K)</f>
        <v>REGIONAL VENDA INTERNA - CONVENIENCIA</v>
      </c>
      <c r="J1057" s="2" t="str">
        <f>_xlfn.XLOOKUP($N1057,'Base de Grupos'!$A:$A,'Base de Grupos'!$L:$L)</f>
        <v>1000174119</v>
      </c>
      <c r="K1057" s="5" t="str">
        <f>_xlfn.XLOOKUP($N1057,'Base de Grupos'!$A:$A,'Base de Grupos'!$M:$M)</f>
        <v>REGIONAL VENDA INTERNA - CONVENIENCIA</v>
      </c>
      <c r="L1057" s="5" t="str">
        <f t="shared" si="349"/>
        <v/>
      </c>
      <c r="M1057" s="5" t="str">
        <f>_xlfn.XLOOKUP($N1057,'Base de Grupos'!$A:$A,'Base de Grupos'!$C:$C)</f>
        <v>RJ</v>
      </c>
      <c r="N1057" s="3">
        <v>1523</v>
      </c>
      <c r="O1057" s="4" t="s">
        <v>282</v>
      </c>
      <c r="P1057" s="5" t="s">
        <v>89</v>
      </c>
      <c r="Q1057" s="24">
        <v>0</v>
      </c>
      <c r="R1057" s="24">
        <v>0</v>
      </c>
      <c r="S1057" s="24">
        <v>0</v>
      </c>
      <c r="T1057" s="24">
        <v>0</v>
      </c>
      <c r="U1057" s="24">
        <v>0</v>
      </c>
      <c r="V1057" s="24">
        <v>0</v>
      </c>
      <c r="W1057" s="24">
        <v>0</v>
      </c>
      <c r="X1057" s="24">
        <v>0</v>
      </c>
      <c r="Y1057" s="24">
        <v>0</v>
      </c>
      <c r="Z1057" s="24">
        <v>0</v>
      </c>
      <c r="AA1057" s="24">
        <v>0</v>
      </c>
      <c r="AB1057" s="24">
        <v>0</v>
      </c>
      <c r="AC1057" s="30">
        <f t="shared" si="350"/>
        <v>0</v>
      </c>
      <c r="AD1057" s="28"/>
      <c r="AE1057" s="12"/>
      <c r="AF1057" s="29"/>
      <c r="AG1057" s="9"/>
      <c r="AH1057" s="10"/>
      <c r="AI1057" s="9"/>
      <c r="AJ1057" s="11"/>
      <c r="AK1057" s="9"/>
      <c r="AL1057" s="13"/>
      <c r="AM1057" s="9"/>
    </row>
    <row r="1058" spans="1:39" x14ac:dyDescent="0.3">
      <c r="A1058" s="2" t="str">
        <f t="shared" si="348"/>
        <v>NÃO</v>
      </c>
      <c r="B1058" s="2" t="str">
        <f>_xlfn.XLOOKUP($N1058,'Base de Grupos'!$A:$A,'Base de Grupos'!$D:$D)</f>
        <v>1000065763</v>
      </c>
      <c r="C1058" s="5" t="str">
        <f>_xlfn.XLOOKUP($N1058,'Base de Grupos'!$A:$A,'Base de Grupos'!$E:$E)</f>
        <v>CANAL VENDA INTERNA</v>
      </c>
      <c r="D1058" s="5" t="str">
        <f>_xlfn.XLOOKUP($N1058,'Base de Grupos'!$A:$A,'Base de Grupos'!$F:$F)</f>
        <v>1000065763</v>
      </c>
      <c r="E1058" s="2" t="str">
        <f>_xlfn.XLOOKUP($N1058,'Base de Grupos'!$A:$A,'Base de Grupos'!$G:$G)</f>
        <v>CANAL VENDA INTERNA</v>
      </c>
      <c r="F1058" s="2" t="str">
        <f>_xlfn.XLOOKUP($N1058,'Base de Grupos'!$A:$A,'Base de Grupos'!$H:$H)</f>
        <v>1000174119</v>
      </c>
      <c r="G1058" s="5" t="str">
        <f>_xlfn.XLOOKUP($N1058,'Base de Grupos'!$A:$A,'Base de Grupos'!$I:$I)</f>
        <v>REGIONAL VENDA INTERNA - CONVENIENCIA</v>
      </c>
      <c r="H1058" s="5" t="str">
        <f>_xlfn.XLOOKUP($N1058,'Base de Grupos'!$A:$A,'Base de Grupos'!$J:$J)</f>
        <v>1000174119</v>
      </c>
      <c r="I1058" s="2" t="str">
        <f>_xlfn.XLOOKUP($N1058,'Base de Grupos'!$A:$A,'Base de Grupos'!$K:$K)</f>
        <v>REGIONAL VENDA INTERNA - CONVENIENCIA</v>
      </c>
      <c r="J1058" s="2" t="str">
        <f>_xlfn.XLOOKUP($N1058,'Base de Grupos'!$A:$A,'Base de Grupos'!$L:$L)</f>
        <v>1000174119</v>
      </c>
      <c r="K1058" s="5" t="str">
        <f>_xlfn.XLOOKUP($N1058,'Base de Grupos'!$A:$A,'Base de Grupos'!$M:$M)</f>
        <v>REGIONAL VENDA INTERNA - CONVENIENCIA</v>
      </c>
      <c r="L1058" s="5" t="str">
        <f t="shared" si="349"/>
        <v/>
      </c>
      <c r="M1058" s="5" t="str">
        <f>_xlfn.XLOOKUP($N1058,'Base de Grupos'!$A:$A,'Base de Grupos'!$C:$C)</f>
        <v>RJ</v>
      </c>
      <c r="N1058" s="3">
        <v>1523</v>
      </c>
      <c r="O1058" s="4" t="s">
        <v>282</v>
      </c>
      <c r="P1058" s="5" t="s">
        <v>88</v>
      </c>
      <c r="Q1058" s="24">
        <v>0</v>
      </c>
      <c r="R1058" s="24">
        <v>0</v>
      </c>
      <c r="S1058" s="24">
        <v>0</v>
      </c>
      <c r="T1058" s="24">
        <v>0</v>
      </c>
      <c r="U1058" s="24">
        <v>0</v>
      </c>
      <c r="V1058" s="24">
        <v>0</v>
      </c>
      <c r="W1058" s="24">
        <v>0</v>
      </c>
      <c r="X1058" s="24">
        <v>0</v>
      </c>
      <c r="Y1058" s="24">
        <v>0</v>
      </c>
      <c r="Z1058" s="24">
        <v>0</v>
      </c>
      <c r="AA1058" s="24">
        <v>0</v>
      </c>
      <c r="AB1058" s="24">
        <v>0</v>
      </c>
      <c r="AC1058" s="30">
        <f t="shared" si="350"/>
        <v>0</v>
      </c>
      <c r="AD1058" s="28"/>
      <c r="AE1058" s="12"/>
      <c r="AF1058" s="29"/>
      <c r="AG1058" s="9"/>
      <c r="AH1058" s="10"/>
      <c r="AI1058" s="9"/>
      <c r="AJ1058" s="11"/>
      <c r="AK1058" s="9"/>
      <c r="AL1058" s="13"/>
      <c r="AM1058" s="9"/>
    </row>
    <row r="1059" spans="1:39" x14ac:dyDescent="0.3">
      <c r="A1059" s="2" t="str">
        <f t="shared" si="348"/>
        <v>NÃO</v>
      </c>
      <c r="B1059" s="2" t="str">
        <f>_xlfn.XLOOKUP($N1059,'Base de Grupos'!$A:$A,'Base de Grupos'!$D:$D)</f>
        <v>1000065763</v>
      </c>
      <c r="C1059" s="5" t="str">
        <f>_xlfn.XLOOKUP($N1059,'Base de Grupos'!$A:$A,'Base de Grupos'!$E:$E)</f>
        <v>CANAL VENDA INTERNA</v>
      </c>
      <c r="D1059" s="5" t="str">
        <f>_xlfn.XLOOKUP($N1059,'Base de Grupos'!$A:$A,'Base de Grupos'!$F:$F)</f>
        <v>1000065763</v>
      </c>
      <c r="E1059" s="2" t="str">
        <f>_xlfn.XLOOKUP($N1059,'Base de Grupos'!$A:$A,'Base de Grupos'!$G:$G)</f>
        <v>CANAL VENDA INTERNA</v>
      </c>
      <c r="F1059" s="2" t="str">
        <f>_xlfn.XLOOKUP($N1059,'Base de Grupos'!$A:$A,'Base de Grupos'!$H:$H)</f>
        <v>1000174119</v>
      </c>
      <c r="G1059" s="5" t="str">
        <f>_xlfn.XLOOKUP($N1059,'Base de Grupos'!$A:$A,'Base de Grupos'!$I:$I)</f>
        <v>REGIONAL VENDA INTERNA - CONVENIENCIA</v>
      </c>
      <c r="H1059" s="5" t="str">
        <f>_xlfn.XLOOKUP($N1059,'Base de Grupos'!$A:$A,'Base de Grupos'!$J:$J)</f>
        <v>1000174119</v>
      </c>
      <c r="I1059" s="2" t="str">
        <f>_xlfn.XLOOKUP($N1059,'Base de Grupos'!$A:$A,'Base de Grupos'!$K:$K)</f>
        <v>REGIONAL VENDA INTERNA - CONVENIENCIA</v>
      </c>
      <c r="J1059" s="2" t="str">
        <f>_xlfn.XLOOKUP($N1059,'Base de Grupos'!$A:$A,'Base de Grupos'!$L:$L)</f>
        <v>1000174119</v>
      </c>
      <c r="K1059" s="5" t="str">
        <f>_xlfn.XLOOKUP($N1059,'Base de Grupos'!$A:$A,'Base de Grupos'!$M:$M)</f>
        <v>REGIONAL VENDA INTERNA - CONVENIENCIA</v>
      </c>
      <c r="L1059" s="5" t="str">
        <f t="shared" si="349"/>
        <v/>
      </c>
      <c r="M1059" s="5" t="str">
        <f>_xlfn.XLOOKUP($N1059,'Base de Grupos'!$A:$A,'Base de Grupos'!$C:$C)</f>
        <v>RJ</v>
      </c>
      <c r="N1059" s="3">
        <v>1523</v>
      </c>
      <c r="O1059" s="4" t="s">
        <v>282</v>
      </c>
      <c r="P1059" s="5" t="s">
        <v>90</v>
      </c>
      <c r="Q1059" s="24">
        <v>0</v>
      </c>
      <c r="R1059" s="24">
        <v>0</v>
      </c>
      <c r="S1059" s="24">
        <v>0</v>
      </c>
      <c r="T1059" s="24">
        <v>0</v>
      </c>
      <c r="U1059" s="24">
        <v>0</v>
      </c>
      <c r="V1059" s="24">
        <v>0</v>
      </c>
      <c r="W1059" s="24">
        <v>0</v>
      </c>
      <c r="X1059" s="24">
        <v>0</v>
      </c>
      <c r="Y1059" s="24">
        <v>0</v>
      </c>
      <c r="Z1059" s="24">
        <v>0</v>
      </c>
      <c r="AA1059" s="24">
        <v>0</v>
      </c>
      <c r="AB1059" s="24">
        <v>0</v>
      </c>
      <c r="AC1059" s="30">
        <f t="shared" si="350"/>
        <v>0</v>
      </c>
      <c r="AD1059" s="28"/>
      <c r="AE1059" s="12"/>
      <c r="AF1059" s="29"/>
      <c r="AG1059" s="9"/>
      <c r="AH1059" s="10"/>
      <c r="AI1059" s="9"/>
      <c r="AJ1059" s="11"/>
      <c r="AK1059" s="9"/>
      <c r="AL1059" s="13"/>
      <c r="AM1059" s="9"/>
    </row>
    <row r="1060" spans="1:39" x14ac:dyDescent="0.3">
      <c r="A1060" s="2" t="str">
        <f t="shared" si="348"/>
        <v>NÃO</v>
      </c>
      <c r="B1060" s="2" t="str">
        <f>_xlfn.XLOOKUP($N1060,'Base de Grupos'!$A:$A,'Base de Grupos'!$D:$D)</f>
        <v>1000065763</v>
      </c>
      <c r="C1060" s="5" t="str">
        <f>_xlfn.XLOOKUP($N1060,'Base de Grupos'!$A:$A,'Base de Grupos'!$E:$E)</f>
        <v>CANAL VENDA INTERNA</v>
      </c>
      <c r="D1060" s="5" t="str">
        <f>_xlfn.XLOOKUP($N1060,'Base de Grupos'!$A:$A,'Base de Grupos'!$F:$F)</f>
        <v>1000065763</v>
      </c>
      <c r="E1060" s="2" t="str">
        <f>_xlfn.XLOOKUP($N1060,'Base de Grupos'!$A:$A,'Base de Grupos'!$G:$G)</f>
        <v>CANAL VENDA INTERNA</v>
      </c>
      <c r="F1060" s="2" t="str">
        <f>_xlfn.XLOOKUP($N1060,'Base de Grupos'!$A:$A,'Base de Grupos'!$H:$H)</f>
        <v>1000174119</v>
      </c>
      <c r="G1060" s="5" t="str">
        <f>_xlfn.XLOOKUP($N1060,'Base de Grupos'!$A:$A,'Base de Grupos'!$I:$I)</f>
        <v>REGIONAL VENDA INTERNA - CONVENIENCIA</v>
      </c>
      <c r="H1060" s="5" t="str">
        <f>_xlfn.XLOOKUP($N1060,'Base de Grupos'!$A:$A,'Base de Grupos'!$J:$J)</f>
        <v>1000174119</v>
      </c>
      <c r="I1060" s="2" t="str">
        <f>_xlfn.XLOOKUP($N1060,'Base de Grupos'!$A:$A,'Base de Grupos'!$K:$K)</f>
        <v>REGIONAL VENDA INTERNA - CONVENIENCIA</v>
      </c>
      <c r="J1060" s="2" t="str">
        <f>_xlfn.XLOOKUP($N1060,'Base de Grupos'!$A:$A,'Base de Grupos'!$L:$L)</f>
        <v>1000174119</v>
      </c>
      <c r="K1060" s="5" t="str">
        <f>_xlfn.XLOOKUP($N1060,'Base de Grupos'!$A:$A,'Base de Grupos'!$M:$M)</f>
        <v>REGIONAL VENDA INTERNA - CONVENIENCIA</v>
      </c>
      <c r="L1060" s="5" t="str">
        <f t="shared" si="349"/>
        <v/>
      </c>
      <c r="M1060" s="5" t="str">
        <f>_xlfn.XLOOKUP($N1060,'Base de Grupos'!$A:$A,'Base de Grupos'!$C:$C)</f>
        <v>RJ</v>
      </c>
      <c r="N1060" s="3">
        <v>1523</v>
      </c>
      <c r="O1060" s="4" t="s">
        <v>282</v>
      </c>
      <c r="P1060" s="5" t="s">
        <v>91</v>
      </c>
      <c r="Q1060" s="24">
        <v>0</v>
      </c>
      <c r="R1060" s="24">
        <v>0</v>
      </c>
      <c r="S1060" s="24">
        <v>0</v>
      </c>
      <c r="T1060" s="24">
        <v>0</v>
      </c>
      <c r="U1060" s="24">
        <v>0</v>
      </c>
      <c r="V1060" s="24">
        <v>0</v>
      </c>
      <c r="W1060" s="24">
        <v>0</v>
      </c>
      <c r="X1060" s="24">
        <v>0</v>
      </c>
      <c r="Y1060" s="24">
        <v>0</v>
      </c>
      <c r="Z1060" s="24">
        <v>0</v>
      </c>
      <c r="AA1060" s="24">
        <v>0</v>
      </c>
      <c r="AB1060" s="24">
        <v>0</v>
      </c>
      <c r="AC1060" s="30">
        <f t="shared" si="350"/>
        <v>0</v>
      </c>
      <c r="AD1060" s="28"/>
      <c r="AE1060" s="12"/>
      <c r="AF1060" s="29"/>
      <c r="AG1060" s="9"/>
      <c r="AH1060" s="10"/>
      <c r="AI1060" s="9"/>
      <c r="AJ1060" s="11"/>
      <c r="AK1060" s="9"/>
      <c r="AL1060" s="13"/>
      <c r="AM1060" s="9"/>
    </row>
    <row r="1061" spans="1:39" x14ac:dyDescent="0.3">
      <c r="A1061" s="2" t="str">
        <f t="shared" si="348"/>
        <v>NÃO</v>
      </c>
      <c r="B1061" s="2" t="str">
        <f>_xlfn.XLOOKUP($N1061,'Base de Grupos'!$A:$A,'Base de Grupos'!$D:$D)</f>
        <v>1000065763</v>
      </c>
      <c r="C1061" s="5" t="str">
        <f>_xlfn.XLOOKUP($N1061,'Base de Grupos'!$A:$A,'Base de Grupos'!$E:$E)</f>
        <v>CANAL VENDA INTERNA</v>
      </c>
      <c r="D1061" s="5" t="str">
        <f>_xlfn.XLOOKUP($N1061,'Base de Grupos'!$A:$A,'Base de Grupos'!$F:$F)</f>
        <v>1000065763</v>
      </c>
      <c r="E1061" s="2" t="str">
        <f>_xlfn.XLOOKUP($N1061,'Base de Grupos'!$A:$A,'Base de Grupos'!$G:$G)</f>
        <v>CANAL VENDA INTERNA</v>
      </c>
      <c r="F1061" s="2" t="str">
        <f>_xlfn.XLOOKUP($N1061,'Base de Grupos'!$A:$A,'Base de Grupos'!$H:$H)</f>
        <v>1000174119</v>
      </c>
      <c r="G1061" s="5" t="str">
        <f>_xlfn.XLOOKUP($N1061,'Base de Grupos'!$A:$A,'Base de Grupos'!$I:$I)</f>
        <v>REGIONAL VENDA INTERNA - CONVENIENCIA</v>
      </c>
      <c r="H1061" s="5" t="str">
        <f>_xlfn.XLOOKUP($N1061,'Base de Grupos'!$A:$A,'Base de Grupos'!$J:$J)</f>
        <v>1000174119</v>
      </c>
      <c r="I1061" s="2" t="str">
        <f>_xlfn.XLOOKUP($N1061,'Base de Grupos'!$A:$A,'Base de Grupos'!$K:$K)</f>
        <v>REGIONAL VENDA INTERNA - CONVENIENCIA</v>
      </c>
      <c r="J1061" s="2" t="str">
        <f>_xlfn.XLOOKUP($N1061,'Base de Grupos'!$A:$A,'Base de Grupos'!$L:$L)</f>
        <v>1000174119</v>
      </c>
      <c r="K1061" s="5" t="str">
        <f>_xlfn.XLOOKUP($N1061,'Base de Grupos'!$A:$A,'Base de Grupos'!$M:$M)</f>
        <v>REGIONAL VENDA INTERNA - CONVENIENCIA</v>
      </c>
      <c r="L1061" s="5" t="str">
        <f t="shared" si="349"/>
        <v/>
      </c>
      <c r="M1061" s="5" t="str">
        <f>_xlfn.XLOOKUP($N1061,'Base de Grupos'!$A:$A,'Base de Grupos'!$C:$C)</f>
        <v>RJ</v>
      </c>
      <c r="N1061" s="3">
        <v>1523</v>
      </c>
      <c r="O1061" s="4" t="s">
        <v>282</v>
      </c>
      <c r="P1061" s="5" t="s">
        <v>96</v>
      </c>
      <c r="Q1061" s="24">
        <v>0</v>
      </c>
      <c r="R1061" s="24">
        <v>0</v>
      </c>
      <c r="S1061" s="24">
        <v>0</v>
      </c>
      <c r="T1061" s="24">
        <v>0</v>
      </c>
      <c r="U1061" s="24">
        <v>0</v>
      </c>
      <c r="V1061" s="24">
        <v>0</v>
      </c>
      <c r="W1061" s="24">
        <v>0</v>
      </c>
      <c r="X1061" s="24">
        <v>0</v>
      </c>
      <c r="Y1061" s="24">
        <v>0</v>
      </c>
      <c r="Z1061" s="24">
        <v>0</v>
      </c>
      <c r="AA1061" s="24">
        <v>0</v>
      </c>
      <c r="AB1061" s="24">
        <v>0</v>
      </c>
      <c r="AC1061" s="30">
        <f t="shared" si="350"/>
        <v>0</v>
      </c>
      <c r="AD1061" s="28"/>
      <c r="AE1061" s="12"/>
      <c r="AF1061" s="29"/>
      <c r="AG1061" s="9"/>
      <c r="AH1061" s="10"/>
      <c r="AI1061" s="9"/>
      <c r="AJ1061" s="11"/>
      <c r="AK1061" s="9"/>
      <c r="AL1061" s="13"/>
      <c r="AM1061" s="9"/>
    </row>
    <row r="1062" spans="1:39" x14ac:dyDescent="0.3">
      <c r="A1062" s="2" t="str">
        <f t="shared" si="348"/>
        <v>NÃO</v>
      </c>
      <c r="B1062" s="2" t="str">
        <f>_xlfn.XLOOKUP($N1062,'Base de Grupos'!$A:$A,'Base de Grupos'!$D:$D)</f>
        <v>1000065763</v>
      </c>
      <c r="C1062" s="5" t="str">
        <f>_xlfn.XLOOKUP($N1062,'Base de Grupos'!$A:$A,'Base de Grupos'!$E:$E)</f>
        <v>CANAL VENDA INTERNA</v>
      </c>
      <c r="D1062" s="5" t="str">
        <f>_xlfn.XLOOKUP($N1062,'Base de Grupos'!$A:$A,'Base de Grupos'!$F:$F)</f>
        <v>1000065763</v>
      </c>
      <c r="E1062" s="2" t="str">
        <f>_xlfn.XLOOKUP($N1062,'Base de Grupos'!$A:$A,'Base de Grupos'!$G:$G)</f>
        <v>CANAL VENDA INTERNA</v>
      </c>
      <c r="F1062" s="2" t="str">
        <f>_xlfn.XLOOKUP($N1062,'Base de Grupos'!$A:$A,'Base de Grupos'!$H:$H)</f>
        <v>1000174119</v>
      </c>
      <c r="G1062" s="5" t="str">
        <f>_xlfn.XLOOKUP($N1062,'Base de Grupos'!$A:$A,'Base de Grupos'!$I:$I)</f>
        <v>REGIONAL VENDA INTERNA - CONVENIENCIA</v>
      </c>
      <c r="H1062" s="5" t="str">
        <f>_xlfn.XLOOKUP($N1062,'Base de Grupos'!$A:$A,'Base de Grupos'!$J:$J)</f>
        <v>1000174119</v>
      </c>
      <c r="I1062" s="2" t="str">
        <f>_xlfn.XLOOKUP($N1062,'Base de Grupos'!$A:$A,'Base de Grupos'!$K:$K)</f>
        <v>REGIONAL VENDA INTERNA - CONVENIENCIA</v>
      </c>
      <c r="J1062" s="2" t="str">
        <f>_xlfn.XLOOKUP($N1062,'Base de Grupos'!$A:$A,'Base de Grupos'!$L:$L)</f>
        <v>1000174119</v>
      </c>
      <c r="K1062" s="5" t="str">
        <f>_xlfn.XLOOKUP($N1062,'Base de Grupos'!$A:$A,'Base de Grupos'!$M:$M)</f>
        <v>REGIONAL VENDA INTERNA - CONVENIENCIA</v>
      </c>
      <c r="L1062" s="5" t="str">
        <f t="shared" si="349"/>
        <v/>
      </c>
      <c r="M1062" s="5" t="str">
        <f>_xlfn.XLOOKUP($N1062,'Base de Grupos'!$A:$A,'Base de Grupos'!$C:$C)</f>
        <v>RJ</v>
      </c>
      <c r="N1062" s="3">
        <v>1523</v>
      </c>
      <c r="O1062" s="4" t="s">
        <v>282</v>
      </c>
      <c r="P1062" s="5" t="s">
        <v>94</v>
      </c>
      <c r="Q1062" s="24">
        <v>0</v>
      </c>
      <c r="R1062" s="24">
        <v>0</v>
      </c>
      <c r="S1062" s="24">
        <v>0</v>
      </c>
      <c r="T1062" s="24">
        <v>0</v>
      </c>
      <c r="U1062" s="24">
        <v>0</v>
      </c>
      <c r="V1062" s="24">
        <v>0</v>
      </c>
      <c r="W1062" s="24">
        <v>0</v>
      </c>
      <c r="X1062" s="24">
        <v>0</v>
      </c>
      <c r="Y1062" s="24">
        <v>0</v>
      </c>
      <c r="Z1062" s="24">
        <v>0</v>
      </c>
      <c r="AA1062" s="24">
        <v>0</v>
      </c>
      <c r="AB1062" s="24">
        <v>0</v>
      </c>
      <c r="AC1062" s="30">
        <f t="shared" si="350"/>
        <v>0</v>
      </c>
      <c r="AD1062" s="28"/>
      <c r="AE1062" s="12"/>
      <c r="AF1062" s="29"/>
      <c r="AG1062" s="9"/>
      <c r="AH1062" s="10"/>
      <c r="AI1062" s="9"/>
      <c r="AJ1062" s="11"/>
      <c r="AK1062" s="9"/>
      <c r="AL1062" s="13"/>
      <c r="AM1062" s="9"/>
    </row>
    <row r="1063" spans="1:39" x14ac:dyDescent="0.3">
      <c r="A1063" s="2" t="str">
        <f t="shared" si="348"/>
        <v>NÃO</v>
      </c>
      <c r="B1063" s="2" t="str">
        <f>_xlfn.XLOOKUP($N1063,'Base de Grupos'!$A:$A,'Base de Grupos'!$D:$D)</f>
        <v>1000065763</v>
      </c>
      <c r="C1063" s="5" t="str">
        <f>_xlfn.XLOOKUP($N1063,'Base de Grupos'!$A:$A,'Base de Grupos'!$E:$E)</f>
        <v>CANAL VENDA INTERNA</v>
      </c>
      <c r="D1063" s="5" t="str">
        <f>_xlfn.XLOOKUP($N1063,'Base de Grupos'!$A:$A,'Base de Grupos'!$F:$F)</f>
        <v>1000065763</v>
      </c>
      <c r="E1063" s="2" t="str">
        <f>_xlfn.XLOOKUP($N1063,'Base de Grupos'!$A:$A,'Base de Grupos'!$G:$G)</f>
        <v>CANAL VENDA INTERNA</v>
      </c>
      <c r="F1063" s="2" t="str">
        <f>_xlfn.XLOOKUP($N1063,'Base de Grupos'!$A:$A,'Base de Grupos'!$H:$H)</f>
        <v>1000174119</v>
      </c>
      <c r="G1063" s="5" t="str">
        <f>_xlfn.XLOOKUP($N1063,'Base de Grupos'!$A:$A,'Base de Grupos'!$I:$I)</f>
        <v>REGIONAL VENDA INTERNA - CONVENIENCIA</v>
      </c>
      <c r="H1063" s="5" t="str">
        <f>_xlfn.XLOOKUP($N1063,'Base de Grupos'!$A:$A,'Base de Grupos'!$J:$J)</f>
        <v>1000174119</v>
      </c>
      <c r="I1063" s="2" t="str">
        <f>_xlfn.XLOOKUP($N1063,'Base de Grupos'!$A:$A,'Base de Grupos'!$K:$K)</f>
        <v>REGIONAL VENDA INTERNA - CONVENIENCIA</v>
      </c>
      <c r="J1063" s="2" t="str">
        <f>_xlfn.XLOOKUP($N1063,'Base de Grupos'!$A:$A,'Base de Grupos'!$L:$L)</f>
        <v>1000174119</v>
      </c>
      <c r="K1063" s="5" t="str">
        <f>_xlfn.XLOOKUP($N1063,'Base de Grupos'!$A:$A,'Base de Grupos'!$M:$M)</f>
        <v>REGIONAL VENDA INTERNA - CONVENIENCIA</v>
      </c>
      <c r="L1063" s="5" t="str">
        <f t="shared" si="349"/>
        <v/>
      </c>
      <c r="M1063" s="5" t="str">
        <f>_xlfn.XLOOKUP($N1063,'Base de Grupos'!$A:$A,'Base de Grupos'!$C:$C)</f>
        <v>RJ</v>
      </c>
      <c r="N1063" s="3">
        <v>1523</v>
      </c>
      <c r="O1063" s="4" t="s">
        <v>282</v>
      </c>
      <c r="P1063" s="5" t="s">
        <v>95</v>
      </c>
      <c r="Q1063" s="24">
        <v>0</v>
      </c>
      <c r="R1063" s="24">
        <v>0</v>
      </c>
      <c r="S1063" s="24">
        <v>0</v>
      </c>
      <c r="T1063" s="24">
        <v>0</v>
      </c>
      <c r="U1063" s="24">
        <v>0</v>
      </c>
      <c r="V1063" s="24">
        <v>0</v>
      </c>
      <c r="W1063" s="24">
        <v>0</v>
      </c>
      <c r="X1063" s="24">
        <v>0</v>
      </c>
      <c r="Y1063" s="24">
        <v>0</v>
      </c>
      <c r="Z1063" s="24">
        <v>0</v>
      </c>
      <c r="AA1063" s="24">
        <v>0</v>
      </c>
      <c r="AB1063" s="24">
        <v>0</v>
      </c>
      <c r="AC1063" s="30">
        <f t="shared" si="350"/>
        <v>0</v>
      </c>
      <c r="AD1063" s="28"/>
      <c r="AE1063" s="12"/>
      <c r="AF1063" s="29"/>
      <c r="AG1063" s="9"/>
      <c r="AH1063" s="10"/>
      <c r="AI1063" s="9"/>
      <c r="AJ1063" s="11"/>
      <c r="AK1063" s="9"/>
      <c r="AL1063" s="13"/>
      <c r="AM1063" s="9"/>
    </row>
    <row r="1064" spans="1:39" x14ac:dyDescent="0.3">
      <c r="A1064" s="2" t="str">
        <f t="shared" si="348"/>
        <v>NÃO</v>
      </c>
      <c r="B1064" s="2" t="str">
        <f>_xlfn.XLOOKUP($N1064,'Base de Grupos'!$A:$A,'Base de Grupos'!$D:$D)</f>
        <v>1000065763</v>
      </c>
      <c r="C1064" s="5" t="str">
        <f>_xlfn.XLOOKUP($N1064,'Base de Grupos'!$A:$A,'Base de Grupos'!$E:$E)</f>
        <v>CANAL VENDA INTERNA</v>
      </c>
      <c r="D1064" s="5" t="str">
        <f>_xlfn.XLOOKUP($N1064,'Base de Grupos'!$A:$A,'Base de Grupos'!$F:$F)</f>
        <v>1000065763</v>
      </c>
      <c r="E1064" s="2" t="str">
        <f>_xlfn.XLOOKUP($N1064,'Base de Grupos'!$A:$A,'Base de Grupos'!$G:$G)</f>
        <v>CANAL VENDA INTERNA</v>
      </c>
      <c r="F1064" s="2" t="str">
        <f>_xlfn.XLOOKUP($N1064,'Base de Grupos'!$A:$A,'Base de Grupos'!$H:$H)</f>
        <v>1000174119</v>
      </c>
      <c r="G1064" s="5" t="str">
        <f>_xlfn.XLOOKUP($N1064,'Base de Grupos'!$A:$A,'Base de Grupos'!$I:$I)</f>
        <v>REGIONAL VENDA INTERNA - CONVENIENCIA</v>
      </c>
      <c r="H1064" s="5" t="str">
        <f>_xlfn.XLOOKUP($N1064,'Base de Grupos'!$A:$A,'Base de Grupos'!$J:$J)</f>
        <v>1000174119</v>
      </c>
      <c r="I1064" s="2" t="str">
        <f>_xlfn.XLOOKUP($N1064,'Base de Grupos'!$A:$A,'Base de Grupos'!$K:$K)</f>
        <v>REGIONAL VENDA INTERNA - CONVENIENCIA</v>
      </c>
      <c r="J1064" s="2" t="str">
        <f>_xlfn.XLOOKUP($N1064,'Base de Grupos'!$A:$A,'Base de Grupos'!$L:$L)</f>
        <v>1000174119</v>
      </c>
      <c r="K1064" s="5" t="str">
        <f>_xlfn.XLOOKUP($N1064,'Base de Grupos'!$A:$A,'Base de Grupos'!$M:$M)</f>
        <v>REGIONAL VENDA INTERNA - CONVENIENCIA</v>
      </c>
      <c r="L1064" s="5" t="str">
        <f t="shared" si="349"/>
        <v/>
      </c>
      <c r="M1064" s="5" t="str">
        <f>_xlfn.XLOOKUP($N1064,'Base de Grupos'!$A:$A,'Base de Grupos'!$C:$C)</f>
        <v>RJ</v>
      </c>
      <c r="N1064" s="3">
        <v>1523</v>
      </c>
      <c r="O1064" s="4" t="s">
        <v>282</v>
      </c>
      <c r="P1064" s="5" t="s">
        <v>93</v>
      </c>
      <c r="Q1064" s="24">
        <v>0</v>
      </c>
      <c r="R1064" s="24">
        <v>0</v>
      </c>
      <c r="S1064" s="24">
        <v>0</v>
      </c>
      <c r="T1064" s="24">
        <v>0</v>
      </c>
      <c r="U1064" s="24">
        <v>0</v>
      </c>
      <c r="V1064" s="24">
        <v>0</v>
      </c>
      <c r="W1064" s="24">
        <v>0</v>
      </c>
      <c r="X1064" s="24">
        <v>0</v>
      </c>
      <c r="Y1064" s="24">
        <v>0</v>
      </c>
      <c r="Z1064" s="24">
        <v>0</v>
      </c>
      <c r="AA1064" s="24">
        <v>0</v>
      </c>
      <c r="AB1064" s="24">
        <v>0</v>
      </c>
      <c r="AC1064" s="30">
        <f t="shared" si="350"/>
        <v>0</v>
      </c>
      <c r="AD1064" s="28"/>
      <c r="AE1064" s="12"/>
      <c r="AF1064" s="29"/>
      <c r="AG1064" s="9"/>
      <c r="AH1064" s="10"/>
      <c r="AI1064" s="9"/>
      <c r="AJ1064" s="11"/>
      <c r="AK1064" s="9"/>
      <c r="AL1064" s="13"/>
      <c r="AM1064" s="9"/>
    </row>
    <row r="1065" spans="1:39" x14ac:dyDescent="0.3">
      <c r="A1065" s="2" t="str">
        <f t="shared" si="348"/>
        <v>SIM</v>
      </c>
      <c r="B1065" s="2" t="str">
        <f>_xlfn.XLOOKUP($N1065,'Base de Grupos'!$A:$A,'Base de Grupos'!$D:$D)</f>
        <v>1000065763</v>
      </c>
      <c r="C1065" s="5" t="str">
        <f>_xlfn.XLOOKUP($N1065,'Base de Grupos'!$A:$A,'Base de Grupos'!$E:$E)</f>
        <v>CANAL VENDA INTERNA</v>
      </c>
      <c r="D1065" s="5" t="str">
        <f>_xlfn.XLOOKUP($N1065,'Base de Grupos'!$A:$A,'Base de Grupos'!$F:$F)</f>
        <v>1000065763</v>
      </c>
      <c r="E1065" s="2" t="str">
        <f>_xlfn.XLOOKUP($N1065,'Base de Grupos'!$A:$A,'Base de Grupos'!$G:$G)</f>
        <v>CANAL VENDA INTERNA</v>
      </c>
      <c r="F1065" s="2" t="str">
        <f>_xlfn.XLOOKUP($N1065,'Base de Grupos'!$A:$A,'Base de Grupos'!$H:$H)</f>
        <v>1000174119</v>
      </c>
      <c r="G1065" s="5" t="str">
        <f>_xlfn.XLOOKUP($N1065,'Base de Grupos'!$A:$A,'Base de Grupos'!$I:$I)</f>
        <v>REGIONAL VENDA INTERNA - CONVENIENCIA</v>
      </c>
      <c r="H1065" s="5" t="str">
        <f>_xlfn.XLOOKUP($N1065,'Base de Grupos'!$A:$A,'Base de Grupos'!$J:$J)</f>
        <v>1000174119</v>
      </c>
      <c r="I1065" s="2" t="str">
        <f>_xlfn.XLOOKUP($N1065,'Base de Grupos'!$A:$A,'Base de Grupos'!$K:$K)</f>
        <v>REGIONAL VENDA INTERNA - CONVENIENCIA</v>
      </c>
      <c r="J1065" s="2" t="str">
        <f>_xlfn.XLOOKUP($N1065,'Base de Grupos'!$A:$A,'Base de Grupos'!$L:$L)</f>
        <v>1000174119</v>
      </c>
      <c r="K1065" s="5" t="str">
        <f>_xlfn.XLOOKUP($N1065,'Base de Grupos'!$A:$A,'Base de Grupos'!$M:$M)</f>
        <v>REGIONAL VENDA INTERNA - CONVENIENCIA</v>
      </c>
      <c r="L1065" s="5">
        <f t="shared" si="349"/>
        <v>1</v>
      </c>
      <c r="M1065" s="5" t="str">
        <f>_xlfn.XLOOKUP($N1065,'Base de Grupos'!$A:$A,'Base de Grupos'!$C:$C)</f>
        <v>MG</v>
      </c>
      <c r="N1065" s="3">
        <v>1524</v>
      </c>
      <c r="O1065" s="4" t="s">
        <v>283</v>
      </c>
      <c r="P1065" s="5" t="s">
        <v>353</v>
      </c>
      <c r="Q1065" s="24">
        <v>0</v>
      </c>
      <c r="R1065" s="24">
        <v>0</v>
      </c>
      <c r="S1065" s="24">
        <v>0</v>
      </c>
      <c r="T1065" s="24">
        <v>0</v>
      </c>
      <c r="U1065" s="24">
        <v>0</v>
      </c>
      <c r="V1065" s="24">
        <v>0</v>
      </c>
      <c r="W1065" s="24">
        <v>0</v>
      </c>
      <c r="X1065" s="24">
        <v>0</v>
      </c>
      <c r="Y1065" s="24">
        <v>0</v>
      </c>
      <c r="Z1065" s="24">
        <v>0</v>
      </c>
      <c r="AA1065" s="24">
        <v>0</v>
      </c>
      <c r="AB1065" s="24">
        <v>0</v>
      </c>
      <c r="AC1065" s="30">
        <f t="shared" si="350"/>
        <v>0</v>
      </c>
      <c r="AD1065" s="28"/>
      <c r="AE1065" s="12"/>
      <c r="AF1065" s="29"/>
      <c r="AG1065" s="9"/>
      <c r="AH1065" s="10"/>
      <c r="AI1065" s="9"/>
      <c r="AJ1065" s="11"/>
      <c r="AK1065" s="9"/>
      <c r="AL1065" s="13"/>
      <c r="AM1065" s="9"/>
    </row>
    <row r="1066" spans="1:39" x14ac:dyDescent="0.3">
      <c r="A1066" s="2" t="str">
        <f t="shared" si="348"/>
        <v>NÃO</v>
      </c>
      <c r="B1066" s="2" t="str">
        <f>_xlfn.XLOOKUP($N1066,'Base de Grupos'!$A:$A,'Base de Grupos'!$D:$D)</f>
        <v>1000065763</v>
      </c>
      <c r="C1066" s="5" t="str">
        <f>_xlfn.XLOOKUP($N1066,'Base de Grupos'!$A:$A,'Base de Grupos'!$E:$E)</f>
        <v>CANAL VENDA INTERNA</v>
      </c>
      <c r="D1066" s="5" t="str">
        <f>_xlfn.XLOOKUP($N1066,'Base de Grupos'!$A:$A,'Base de Grupos'!$F:$F)</f>
        <v>1000065763</v>
      </c>
      <c r="E1066" s="2" t="str">
        <f>_xlfn.XLOOKUP($N1066,'Base de Grupos'!$A:$A,'Base de Grupos'!$G:$G)</f>
        <v>CANAL VENDA INTERNA</v>
      </c>
      <c r="F1066" s="2" t="str">
        <f>_xlfn.XLOOKUP($N1066,'Base de Grupos'!$A:$A,'Base de Grupos'!$H:$H)</f>
        <v>1000174119</v>
      </c>
      <c r="G1066" s="5" t="str">
        <f>_xlfn.XLOOKUP($N1066,'Base de Grupos'!$A:$A,'Base de Grupos'!$I:$I)</f>
        <v>REGIONAL VENDA INTERNA - CONVENIENCIA</v>
      </c>
      <c r="H1066" s="5" t="str">
        <f>_xlfn.XLOOKUP($N1066,'Base de Grupos'!$A:$A,'Base de Grupos'!$J:$J)</f>
        <v>1000174119</v>
      </c>
      <c r="I1066" s="2" t="str">
        <f>_xlfn.XLOOKUP($N1066,'Base de Grupos'!$A:$A,'Base de Grupos'!$K:$K)</f>
        <v>REGIONAL VENDA INTERNA - CONVENIENCIA</v>
      </c>
      <c r="J1066" s="2" t="str">
        <f>_xlfn.XLOOKUP($N1066,'Base de Grupos'!$A:$A,'Base de Grupos'!$L:$L)</f>
        <v>1000174119</v>
      </c>
      <c r="K1066" s="5" t="str">
        <f>_xlfn.XLOOKUP($N1066,'Base de Grupos'!$A:$A,'Base de Grupos'!$M:$M)</f>
        <v>REGIONAL VENDA INTERNA - CONVENIENCIA</v>
      </c>
      <c r="L1066" s="5" t="str">
        <f t="shared" si="349"/>
        <v/>
      </c>
      <c r="M1066" s="5" t="str">
        <f>_xlfn.XLOOKUP($N1066,'Base de Grupos'!$A:$A,'Base de Grupos'!$C:$C)</f>
        <v>MG</v>
      </c>
      <c r="N1066" s="3">
        <v>1524</v>
      </c>
      <c r="O1066" s="4" t="s">
        <v>283</v>
      </c>
      <c r="P1066" s="5" t="s">
        <v>81</v>
      </c>
      <c r="Q1066" s="24">
        <v>0</v>
      </c>
      <c r="R1066" s="24">
        <v>0</v>
      </c>
      <c r="S1066" s="24">
        <v>0</v>
      </c>
      <c r="T1066" s="24">
        <v>0</v>
      </c>
      <c r="U1066" s="24">
        <v>0</v>
      </c>
      <c r="V1066" s="24">
        <v>0</v>
      </c>
      <c r="W1066" s="24">
        <v>0</v>
      </c>
      <c r="X1066" s="24">
        <v>0</v>
      </c>
      <c r="Y1066" s="24">
        <v>0</v>
      </c>
      <c r="Z1066" s="24">
        <v>0</v>
      </c>
      <c r="AA1066" s="24">
        <v>0</v>
      </c>
      <c r="AB1066" s="24">
        <v>0</v>
      </c>
      <c r="AC1066" s="30">
        <f t="shared" si="350"/>
        <v>0</v>
      </c>
      <c r="AD1066" s="28"/>
      <c r="AE1066" s="12"/>
      <c r="AF1066" s="29"/>
      <c r="AG1066" s="9"/>
      <c r="AH1066" s="10"/>
      <c r="AI1066" s="9"/>
      <c r="AJ1066" s="11"/>
      <c r="AK1066" s="9"/>
      <c r="AL1066" s="13"/>
      <c r="AM1066" s="9"/>
    </row>
    <row r="1067" spans="1:39" x14ac:dyDescent="0.3">
      <c r="A1067" s="2" t="str">
        <f t="shared" si="348"/>
        <v>NÃO</v>
      </c>
      <c r="B1067" s="2" t="str">
        <f>_xlfn.XLOOKUP($N1067,'Base de Grupos'!$A:$A,'Base de Grupos'!$D:$D)</f>
        <v>1000065763</v>
      </c>
      <c r="C1067" s="5" t="str">
        <f>_xlfn.XLOOKUP($N1067,'Base de Grupos'!$A:$A,'Base de Grupos'!$E:$E)</f>
        <v>CANAL VENDA INTERNA</v>
      </c>
      <c r="D1067" s="5" t="str">
        <f>_xlfn.XLOOKUP($N1067,'Base de Grupos'!$A:$A,'Base de Grupos'!$F:$F)</f>
        <v>1000065763</v>
      </c>
      <c r="E1067" s="2" t="str">
        <f>_xlfn.XLOOKUP($N1067,'Base de Grupos'!$A:$A,'Base de Grupos'!$G:$G)</f>
        <v>CANAL VENDA INTERNA</v>
      </c>
      <c r="F1067" s="2" t="str">
        <f>_xlfn.XLOOKUP($N1067,'Base de Grupos'!$A:$A,'Base de Grupos'!$H:$H)</f>
        <v>1000174119</v>
      </c>
      <c r="G1067" s="5" t="str">
        <f>_xlfn.XLOOKUP($N1067,'Base de Grupos'!$A:$A,'Base de Grupos'!$I:$I)</f>
        <v>REGIONAL VENDA INTERNA - CONVENIENCIA</v>
      </c>
      <c r="H1067" s="5" t="str">
        <f>_xlfn.XLOOKUP($N1067,'Base de Grupos'!$A:$A,'Base de Grupos'!$J:$J)</f>
        <v>1000174119</v>
      </c>
      <c r="I1067" s="2" t="str">
        <f>_xlfn.XLOOKUP($N1067,'Base de Grupos'!$A:$A,'Base de Grupos'!$K:$K)</f>
        <v>REGIONAL VENDA INTERNA - CONVENIENCIA</v>
      </c>
      <c r="J1067" s="2" t="str">
        <f>_xlfn.XLOOKUP($N1067,'Base de Grupos'!$A:$A,'Base de Grupos'!$L:$L)</f>
        <v>1000174119</v>
      </c>
      <c r="K1067" s="5" t="str">
        <f>_xlfn.XLOOKUP($N1067,'Base de Grupos'!$A:$A,'Base de Grupos'!$M:$M)</f>
        <v>REGIONAL VENDA INTERNA - CONVENIENCIA</v>
      </c>
      <c r="L1067" s="5" t="str">
        <f t="shared" si="349"/>
        <v/>
      </c>
      <c r="M1067" s="5" t="str">
        <f>_xlfn.XLOOKUP($N1067,'Base de Grupos'!$A:$A,'Base de Grupos'!$C:$C)</f>
        <v>MG</v>
      </c>
      <c r="N1067" s="3">
        <v>1524</v>
      </c>
      <c r="O1067" s="4" t="s">
        <v>283</v>
      </c>
      <c r="P1067" s="5" t="s">
        <v>82</v>
      </c>
      <c r="Q1067" s="24">
        <v>0</v>
      </c>
      <c r="R1067" s="24">
        <v>0</v>
      </c>
      <c r="S1067" s="24">
        <v>0</v>
      </c>
      <c r="T1067" s="24">
        <v>0</v>
      </c>
      <c r="U1067" s="24">
        <v>0</v>
      </c>
      <c r="V1067" s="24">
        <v>0</v>
      </c>
      <c r="W1067" s="24">
        <v>0</v>
      </c>
      <c r="X1067" s="24">
        <v>0</v>
      </c>
      <c r="Y1067" s="24">
        <v>0</v>
      </c>
      <c r="Z1067" s="24">
        <v>0</v>
      </c>
      <c r="AA1067" s="24">
        <v>0</v>
      </c>
      <c r="AB1067" s="24">
        <v>0</v>
      </c>
      <c r="AC1067" s="30">
        <f t="shared" si="350"/>
        <v>0</v>
      </c>
      <c r="AD1067" s="28"/>
      <c r="AE1067" s="12"/>
      <c r="AF1067" s="29"/>
      <c r="AG1067" s="9"/>
      <c r="AH1067" s="10"/>
      <c r="AI1067" s="9"/>
      <c r="AJ1067" s="11"/>
      <c r="AK1067" s="9"/>
      <c r="AL1067" s="13"/>
      <c r="AM1067" s="9"/>
    </row>
    <row r="1068" spans="1:39" x14ac:dyDescent="0.3">
      <c r="A1068" s="2" t="str">
        <f t="shared" si="348"/>
        <v>NÃO</v>
      </c>
      <c r="B1068" s="2" t="str">
        <f>_xlfn.XLOOKUP($N1068,'Base de Grupos'!$A:$A,'Base de Grupos'!$D:$D)</f>
        <v>1000065763</v>
      </c>
      <c r="C1068" s="5" t="str">
        <f>_xlfn.XLOOKUP($N1068,'Base de Grupos'!$A:$A,'Base de Grupos'!$E:$E)</f>
        <v>CANAL VENDA INTERNA</v>
      </c>
      <c r="D1068" s="5" t="str">
        <f>_xlfn.XLOOKUP($N1068,'Base de Grupos'!$A:$A,'Base de Grupos'!$F:$F)</f>
        <v>1000065763</v>
      </c>
      <c r="E1068" s="2" t="str">
        <f>_xlfn.XLOOKUP($N1068,'Base de Grupos'!$A:$A,'Base de Grupos'!$G:$G)</f>
        <v>CANAL VENDA INTERNA</v>
      </c>
      <c r="F1068" s="2" t="str">
        <f>_xlfn.XLOOKUP($N1068,'Base de Grupos'!$A:$A,'Base de Grupos'!$H:$H)</f>
        <v>1000174119</v>
      </c>
      <c r="G1068" s="5" t="str">
        <f>_xlfn.XLOOKUP($N1068,'Base de Grupos'!$A:$A,'Base de Grupos'!$I:$I)</f>
        <v>REGIONAL VENDA INTERNA - CONVENIENCIA</v>
      </c>
      <c r="H1068" s="5" t="str">
        <f>_xlfn.XLOOKUP($N1068,'Base de Grupos'!$A:$A,'Base de Grupos'!$J:$J)</f>
        <v>1000174119</v>
      </c>
      <c r="I1068" s="2" t="str">
        <f>_xlfn.XLOOKUP($N1068,'Base de Grupos'!$A:$A,'Base de Grupos'!$K:$K)</f>
        <v>REGIONAL VENDA INTERNA - CONVENIENCIA</v>
      </c>
      <c r="J1068" s="2" t="str">
        <f>_xlfn.XLOOKUP($N1068,'Base de Grupos'!$A:$A,'Base de Grupos'!$L:$L)</f>
        <v>1000174119</v>
      </c>
      <c r="K1068" s="5" t="str">
        <f>_xlfn.XLOOKUP($N1068,'Base de Grupos'!$A:$A,'Base de Grupos'!$M:$M)</f>
        <v>REGIONAL VENDA INTERNA - CONVENIENCIA</v>
      </c>
      <c r="L1068" s="5" t="str">
        <f t="shared" si="349"/>
        <v/>
      </c>
      <c r="M1068" s="5" t="str">
        <f>_xlfn.XLOOKUP($N1068,'Base de Grupos'!$A:$A,'Base de Grupos'!$C:$C)</f>
        <v>MG</v>
      </c>
      <c r="N1068" s="3">
        <v>1524</v>
      </c>
      <c r="O1068" s="4" t="s">
        <v>283</v>
      </c>
      <c r="P1068" s="5" t="s">
        <v>84</v>
      </c>
      <c r="Q1068" s="24">
        <v>0</v>
      </c>
      <c r="R1068" s="24">
        <v>0</v>
      </c>
      <c r="S1068" s="24">
        <v>0</v>
      </c>
      <c r="T1068" s="24">
        <v>0</v>
      </c>
      <c r="U1068" s="24">
        <v>0</v>
      </c>
      <c r="V1068" s="24">
        <v>0</v>
      </c>
      <c r="W1068" s="24">
        <v>0</v>
      </c>
      <c r="X1068" s="24">
        <v>0</v>
      </c>
      <c r="Y1068" s="24">
        <v>0</v>
      </c>
      <c r="Z1068" s="24">
        <v>0</v>
      </c>
      <c r="AA1068" s="24">
        <v>0</v>
      </c>
      <c r="AB1068" s="24">
        <v>0</v>
      </c>
      <c r="AC1068" s="30">
        <f t="shared" si="350"/>
        <v>0</v>
      </c>
      <c r="AD1068" s="28"/>
      <c r="AE1068" s="12"/>
      <c r="AF1068" s="29"/>
      <c r="AG1068" s="9"/>
      <c r="AH1068" s="10"/>
      <c r="AI1068" s="9"/>
      <c r="AJ1068" s="11"/>
      <c r="AK1068" s="9"/>
      <c r="AL1068" s="13"/>
      <c r="AM1068" s="9"/>
    </row>
    <row r="1069" spans="1:39" x14ac:dyDescent="0.3">
      <c r="A1069" s="2" t="str">
        <f t="shared" si="348"/>
        <v>NÃO</v>
      </c>
      <c r="B1069" s="2" t="str">
        <f>_xlfn.XLOOKUP($N1069,'Base de Grupos'!$A:$A,'Base de Grupos'!$D:$D)</f>
        <v>1000065763</v>
      </c>
      <c r="C1069" s="5" t="str">
        <f>_xlfn.XLOOKUP($N1069,'Base de Grupos'!$A:$A,'Base de Grupos'!$E:$E)</f>
        <v>CANAL VENDA INTERNA</v>
      </c>
      <c r="D1069" s="5" t="str">
        <f>_xlfn.XLOOKUP($N1069,'Base de Grupos'!$A:$A,'Base de Grupos'!$F:$F)</f>
        <v>1000065763</v>
      </c>
      <c r="E1069" s="2" t="str">
        <f>_xlfn.XLOOKUP($N1069,'Base de Grupos'!$A:$A,'Base de Grupos'!$G:$G)</f>
        <v>CANAL VENDA INTERNA</v>
      </c>
      <c r="F1069" s="2" t="str">
        <f>_xlfn.XLOOKUP($N1069,'Base de Grupos'!$A:$A,'Base de Grupos'!$H:$H)</f>
        <v>1000174119</v>
      </c>
      <c r="G1069" s="5" t="str">
        <f>_xlfn.XLOOKUP($N1069,'Base de Grupos'!$A:$A,'Base de Grupos'!$I:$I)</f>
        <v>REGIONAL VENDA INTERNA - CONVENIENCIA</v>
      </c>
      <c r="H1069" s="5" t="str">
        <f>_xlfn.XLOOKUP($N1069,'Base de Grupos'!$A:$A,'Base de Grupos'!$J:$J)</f>
        <v>1000174119</v>
      </c>
      <c r="I1069" s="2" t="str">
        <f>_xlfn.XLOOKUP($N1069,'Base de Grupos'!$A:$A,'Base de Grupos'!$K:$K)</f>
        <v>REGIONAL VENDA INTERNA - CONVENIENCIA</v>
      </c>
      <c r="J1069" s="2" t="str">
        <f>_xlfn.XLOOKUP($N1069,'Base de Grupos'!$A:$A,'Base de Grupos'!$L:$L)</f>
        <v>1000174119</v>
      </c>
      <c r="K1069" s="5" t="str">
        <f>_xlfn.XLOOKUP($N1069,'Base de Grupos'!$A:$A,'Base de Grupos'!$M:$M)</f>
        <v>REGIONAL VENDA INTERNA - CONVENIENCIA</v>
      </c>
      <c r="L1069" s="5" t="str">
        <f t="shared" si="349"/>
        <v/>
      </c>
      <c r="M1069" s="5" t="str">
        <f>_xlfn.XLOOKUP($N1069,'Base de Grupos'!$A:$A,'Base de Grupos'!$C:$C)</f>
        <v>MG</v>
      </c>
      <c r="N1069" s="3">
        <v>1524</v>
      </c>
      <c r="O1069" s="4" t="s">
        <v>283</v>
      </c>
      <c r="P1069" s="5" t="s">
        <v>83</v>
      </c>
      <c r="Q1069" s="24">
        <v>0</v>
      </c>
      <c r="R1069" s="24">
        <v>0</v>
      </c>
      <c r="S1069" s="24">
        <v>0</v>
      </c>
      <c r="T1069" s="24">
        <v>0</v>
      </c>
      <c r="U1069" s="24">
        <v>0</v>
      </c>
      <c r="V1069" s="24">
        <v>0</v>
      </c>
      <c r="W1069" s="24">
        <v>0</v>
      </c>
      <c r="X1069" s="24">
        <v>0</v>
      </c>
      <c r="Y1069" s="24">
        <v>0</v>
      </c>
      <c r="Z1069" s="24">
        <v>0</v>
      </c>
      <c r="AA1069" s="24">
        <v>0</v>
      </c>
      <c r="AB1069" s="24">
        <v>0</v>
      </c>
      <c r="AC1069" s="30">
        <f t="shared" si="350"/>
        <v>0</v>
      </c>
      <c r="AD1069" s="28"/>
      <c r="AE1069" s="12"/>
      <c r="AF1069" s="29"/>
      <c r="AG1069" s="9"/>
      <c r="AH1069" s="10"/>
      <c r="AI1069" s="9"/>
      <c r="AJ1069" s="11"/>
      <c r="AK1069" s="9"/>
      <c r="AL1069" s="13"/>
      <c r="AM1069" s="9"/>
    </row>
    <row r="1070" spans="1:39" x14ac:dyDescent="0.3">
      <c r="A1070" s="2" t="str">
        <f t="shared" si="348"/>
        <v>NÃO</v>
      </c>
      <c r="B1070" s="2" t="str">
        <f>_xlfn.XLOOKUP($N1070,'Base de Grupos'!$A:$A,'Base de Grupos'!$D:$D)</f>
        <v>1000065763</v>
      </c>
      <c r="C1070" s="5" t="str">
        <f>_xlfn.XLOOKUP($N1070,'Base de Grupos'!$A:$A,'Base de Grupos'!$E:$E)</f>
        <v>CANAL VENDA INTERNA</v>
      </c>
      <c r="D1070" s="5" t="str">
        <f>_xlfn.XLOOKUP($N1070,'Base de Grupos'!$A:$A,'Base de Grupos'!$F:$F)</f>
        <v>1000065763</v>
      </c>
      <c r="E1070" s="2" t="str">
        <f>_xlfn.XLOOKUP($N1070,'Base de Grupos'!$A:$A,'Base de Grupos'!$G:$G)</f>
        <v>CANAL VENDA INTERNA</v>
      </c>
      <c r="F1070" s="2" t="str">
        <f>_xlfn.XLOOKUP($N1070,'Base de Grupos'!$A:$A,'Base de Grupos'!$H:$H)</f>
        <v>1000174119</v>
      </c>
      <c r="G1070" s="5" t="str">
        <f>_xlfn.XLOOKUP($N1070,'Base de Grupos'!$A:$A,'Base de Grupos'!$I:$I)</f>
        <v>REGIONAL VENDA INTERNA - CONVENIENCIA</v>
      </c>
      <c r="H1070" s="5" t="str">
        <f>_xlfn.XLOOKUP($N1070,'Base de Grupos'!$A:$A,'Base de Grupos'!$J:$J)</f>
        <v>1000174119</v>
      </c>
      <c r="I1070" s="2" t="str">
        <f>_xlfn.XLOOKUP($N1070,'Base de Grupos'!$A:$A,'Base de Grupos'!$K:$K)</f>
        <v>REGIONAL VENDA INTERNA - CONVENIENCIA</v>
      </c>
      <c r="J1070" s="2" t="str">
        <f>_xlfn.XLOOKUP($N1070,'Base de Grupos'!$A:$A,'Base de Grupos'!$L:$L)</f>
        <v>1000174119</v>
      </c>
      <c r="K1070" s="5" t="str">
        <f>_xlfn.XLOOKUP($N1070,'Base de Grupos'!$A:$A,'Base de Grupos'!$M:$M)</f>
        <v>REGIONAL VENDA INTERNA - CONVENIENCIA</v>
      </c>
      <c r="L1070" s="5" t="str">
        <f t="shared" si="349"/>
        <v/>
      </c>
      <c r="M1070" s="5" t="str">
        <f>_xlfn.XLOOKUP($N1070,'Base de Grupos'!$A:$A,'Base de Grupos'!$C:$C)</f>
        <v>MG</v>
      </c>
      <c r="N1070" s="3">
        <v>1524</v>
      </c>
      <c r="O1070" s="4" t="s">
        <v>283</v>
      </c>
      <c r="P1070" s="5" t="s">
        <v>87</v>
      </c>
      <c r="Q1070" s="24">
        <v>0</v>
      </c>
      <c r="R1070" s="24">
        <v>0</v>
      </c>
      <c r="S1070" s="24">
        <v>0</v>
      </c>
      <c r="T1070" s="24">
        <v>0</v>
      </c>
      <c r="U1070" s="24">
        <v>0</v>
      </c>
      <c r="V1070" s="24">
        <v>0</v>
      </c>
      <c r="W1070" s="24">
        <v>0</v>
      </c>
      <c r="X1070" s="24">
        <v>0</v>
      </c>
      <c r="Y1070" s="24">
        <v>0</v>
      </c>
      <c r="Z1070" s="24">
        <v>0</v>
      </c>
      <c r="AA1070" s="24">
        <v>0</v>
      </c>
      <c r="AB1070" s="24">
        <v>0</v>
      </c>
      <c r="AC1070" s="30">
        <f t="shared" si="350"/>
        <v>0</v>
      </c>
      <c r="AD1070" s="28"/>
      <c r="AE1070" s="12"/>
      <c r="AF1070" s="29"/>
      <c r="AG1070" s="9"/>
      <c r="AH1070" s="10"/>
      <c r="AI1070" s="9"/>
      <c r="AJ1070" s="11"/>
      <c r="AK1070" s="9"/>
      <c r="AL1070" s="13"/>
      <c r="AM1070" s="9"/>
    </row>
    <row r="1071" spans="1:39" x14ac:dyDescent="0.3">
      <c r="A1071" s="2" t="str">
        <f t="shared" si="348"/>
        <v>NÃO</v>
      </c>
      <c r="B1071" s="2" t="str">
        <f>_xlfn.XLOOKUP($N1071,'Base de Grupos'!$A:$A,'Base de Grupos'!$D:$D)</f>
        <v>1000065763</v>
      </c>
      <c r="C1071" s="5" t="str">
        <f>_xlfn.XLOOKUP($N1071,'Base de Grupos'!$A:$A,'Base de Grupos'!$E:$E)</f>
        <v>CANAL VENDA INTERNA</v>
      </c>
      <c r="D1071" s="5" t="str">
        <f>_xlfn.XLOOKUP($N1071,'Base de Grupos'!$A:$A,'Base de Grupos'!$F:$F)</f>
        <v>1000065763</v>
      </c>
      <c r="E1071" s="2" t="str">
        <f>_xlfn.XLOOKUP($N1071,'Base de Grupos'!$A:$A,'Base de Grupos'!$G:$G)</f>
        <v>CANAL VENDA INTERNA</v>
      </c>
      <c r="F1071" s="2" t="str">
        <f>_xlfn.XLOOKUP($N1071,'Base de Grupos'!$A:$A,'Base de Grupos'!$H:$H)</f>
        <v>1000174119</v>
      </c>
      <c r="G1071" s="5" t="str">
        <f>_xlfn.XLOOKUP($N1071,'Base de Grupos'!$A:$A,'Base de Grupos'!$I:$I)</f>
        <v>REGIONAL VENDA INTERNA - CONVENIENCIA</v>
      </c>
      <c r="H1071" s="5" t="str">
        <f>_xlfn.XLOOKUP($N1071,'Base de Grupos'!$A:$A,'Base de Grupos'!$J:$J)</f>
        <v>1000174119</v>
      </c>
      <c r="I1071" s="2" t="str">
        <f>_xlfn.XLOOKUP($N1071,'Base de Grupos'!$A:$A,'Base de Grupos'!$K:$K)</f>
        <v>REGIONAL VENDA INTERNA - CONVENIENCIA</v>
      </c>
      <c r="J1071" s="2" t="str">
        <f>_xlfn.XLOOKUP($N1071,'Base de Grupos'!$A:$A,'Base de Grupos'!$L:$L)</f>
        <v>1000174119</v>
      </c>
      <c r="K1071" s="5" t="str">
        <f>_xlfn.XLOOKUP($N1071,'Base de Grupos'!$A:$A,'Base de Grupos'!$M:$M)</f>
        <v>REGIONAL VENDA INTERNA - CONVENIENCIA</v>
      </c>
      <c r="L1071" s="5" t="str">
        <f t="shared" si="349"/>
        <v/>
      </c>
      <c r="M1071" s="5" t="str">
        <f>_xlfn.XLOOKUP($N1071,'Base de Grupos'!$A:$A,'Base de Grupos'!$C:$C)</f>
        <v>MG</v>
      </c>
      <c r="N1071" s="3">
        <v>1524</v>
      </c>
      <c r="O1071" s="4" t="s">
        <v>283</v>
      </c>
      <c r="P1071" s="5" t="s">
        <v>85</v>
      </c>
      <c r="Q1071" s="24">
        <v>0</v>
      </c>
      <c r="R1071" s="24">
        <v>0</v>
      </c>
      <c r="S1071" s="24">
        <v>0</v>
      </c>
      <c r="T1071" s="24">
        <v>0</v>
      </c>
      <c r="U1071" s="24">
        <v>0</v>
      </c>
      <c r="V1071" s="24">
        <v>0</v>
      </c>
      <c r="W1071" s="24">
        <v>0</v>
      </c>
      <c r="X1071" s="24">
        <v>0</v>
      </c>
      <c r="Y1071" s="24">
        <v>0</v>
      </c>
      <c r="Z1071" s="24">
        <v>0</v>
      </c>
      <c r="AA1071" s="24">
        <v>0</v>
      </c>
      <c r="AB1071" s="24">
        <v>0</v>
      </c>
      <c r="AC1071" s="30">
        <f t="shared" si="350"/>
        <v>0</v>
      </c>
      <c r="AD1071" s="28"/>
      <c r="AE1071" s="12"/>
      <c r="AF1071" s="29"/>
      <c r="AG1071" s="9"/>
      <c r="AH1071" s="10"/>
      <c r="AI1071" s="9"/>
      <c r="AJ1071" s="11"/>
      <c r="AK1071" s="9"/>
      <c r="AL1071" s="13"/>
      <c r="AM1071" s="9"/>
    </row>
    <row r="1072" spans="1:39" x14ac:dyDescent="0.3">
      <c r="A1072" s="2" t="str">
        <f t="shared" si="348"/>
        <v>NÃO</v>
      </c>
      <c r="B1072" s="2" t="str">
        <f>_xlfn.XLOOKUP($N1072,'Base de Grupos'!$A:$A,'Base de Grupos'!$D:$D)</f>
        <v>1000065763</v>
      </c>
      <c r="C1072" s="5" t="str">
        <f>_xlfn.XLOOKUP($N1072,'Base de Grupos'!$A:$A,'Base de Grupos'!$E:$E)</f>
        <v>CANAL VENDA INTERNA</v>
      </c>
      <c r="D1072" s="5" t="str">
        <f>_xlfn.XLOOKUP($N1072,'Base de Grupos'!$A:$A,'Base de Grupos'!$F:$F)</f>
        <v>1000065763</v>
      </c>
      <c r="E1072" s="2" t="str">
        <f>_xlfn.XLOOKUP($N1072,'Base de Grupos'!$A:$A,'Base de Grupos'!$G:$G)</f>
        <v>CANAL VENDA INTERNA</v>
      </c>
      <c r="F1072" s="2" t="str">
        <f>_xlfn.XLOOKUP($N1072,'Base de Grupos'!$A:$A,'Base de Grupos'!$H:$H)</f>
        <v>1000174119</v>
      </c>
      <c r="G1072" s="5" t="str">
        <f>_xlfn.XLOOKUP($N1072,'Base de Grupos'!$A:$A,'Base de Grupos'!$I:$I)</f>
        <v>REGIONAL VENDA INTERNA - CONVENIENCIA</v>
      </c>
      <c r="H1072" s="5" t="str">
        <f>_xlfn.XLOOKUP($N1072,'Base de Grupos'!$A:$A,'Base de Grupos'!$J:$J)</f>
        <v>1000174119</v>
      </c>
      <c r="I1072" s="2" t="str">
        <f>_xlfn.XLOOKUP($N1072,'Base de Grupos'!$A:$A,'Base de Grupos'!$K:$K)</f>
        <v>REGIONAL VENDA INTERNA - CONVENIENCIA</v>
      </c>
      <c r="J1072" s="2" t="str">
        <f>_xlfn.XLOOKUP($N1072,'Base de Grupos'!$A:$A,'Base de Grupos'!$L:$L)</f>
        <v>1000174119</v>
      </c>
      <c r="K1072" s="5" t="str">
        <f>_xlfn.XLOOKUP($N1072,'Base de Grupos'!$A:$A,'Base de Grupos'!$M:$M)</f>
        <v>REGIONAL VENDA INTERNA - CONVENIENCIA</v>
      </c>
      <c r="L1072" s="5" t="str">
        <f t="shared" si="349"/>
        <v/>
      </c>
      <c r="M1072" s="5" t="str">
        <f>_xlfn.XLOOKUP($N1072,'Base de Grupos'!$A:$A,'Base de Grupos'!$C:$C)</f>
        <v>MG</v>
      </c>
      <c r="N1072" s="3">
        <v>1524</v>
      </c>
      <c r="O1072" s="4" t="s">
        <v>283</v>
      </c>
      <c r="P1072" s="5" t="s">
        <v>92</v>
      </c>
      <c r="Q1072" s="24">
        <v>0</v>
      </c>
      <c r="R1072" s="24">
        <v>0</v>
      </c>
      <c r="S1072" s="24">
        <v>0</v>
      </c>
      <c r="T1072" s="24">
        <v>0</v>
      </c>
      <c r="U1072" s="24">
        <v>0</v>
      </c>
      <c r="V1072" s="24">
        <v>0</v>
      </c>
      <c r="W1072" s="24">
        <v>0</v>
      </c>
      <c r="X1072" s="24">
        <v>0</v>
      </c>
      <c r="Y1072" s="24">
        <v>0</v>
      </c>
      <c r="Z1072" s="24">
        <v>0</v>
      </c>
      <c r="AA1072" s="24">
        <v>0</v>
      </c>
      <c r="AB1072" s="24">
        <v>0</v>
      </c>
      <c r="AC1072" s="30">
        <f t="shared" si="350"/>
        <v>0</v>
      </c>
      <c r="AD1072" s="28"/>
      <c r="AE1072" s="12"/>
      <c r="AF1072" s="29"/>
      <c r="AG1072" s="9"/>
      <c r="AH1072" s="10"/>
      <c r="AI1072" s="9"/>
      <c r="AJ1072" s="11"/>
      <c r="AK1072" s="9"/>
      <c r="AL1072" s="13"/>
      <c r="AM1072" s="9"/>
    </row>
    <row r="1073" spans="1:39" x14ac:dyDescent="0.3">
      <c r="A1073" s="2" t="str">
        <f t="shared" si="348"/>
        <v>NÃO</v>
      </c>
      <c r="B1073" s="2" t="str">
        <f>_xlfn.XLOOKUP($N1073,'Base de Grupos'!$A:$A,'Base de Grupos'!$D:$D)</f>
        <v>1000065763</v>
      </c>
      <c r="C1073" s="5" t="str">
        <f>_xlfn.XLOOKUP($N1073,'Base de Grupos'!$A:$A,'Base de Grupos'!$E:$E)</f>
        <v>CANAL VENDA INTERNA</v>
      </c>
      <c r="D1073" s="5" t="str">
        <f>_xlfn.XLOOKUP($N1073,'Base de Grupos'!$A:$A,'Base de Grupos'!$F:$F)</f>
        <v>1000065763</v>
      </c>
      <c r="E1073" s="2" t="str">
        <f>_xlfn.XLOOKUP($N1073,'Base de Grupos'!$A:$A,'Base de Grupos'!$G:$G)</f>
        <v>CANAL VENDA INTERNA</v>
      </c>
      <c r="F1073" s="2" t="str">
        <f>_xlfn.XLOOKUP($N1073,'Base de Grupos'!$A:$A,'Base de Grupos'!$H:$H)</f>
        <v>1000174119</v>
      </c>
      <c r="G1073" s="5" t="str">
        <f>_xlfn.XLOOKUP($N1073,'Base de Grupos'!$A:$A,'Base de Grupos'!$I:$I)</f>
        <v>REGIONAL VENDA INTERNA - CONVENIENCIA</v>
      </c>
      <c r="H1073" s="5" t="str">
        <f>_xlfn.XLOOKUP($N1073,'Base de Grupos'!$A:$A,'Base de Grupos'!$J:$J)</f>
        <v>1000174119</v>
      </c>
      <c r="I1073" s="2" t="str">
        <f>_xlfn.XLOOKUP($N1073,'Base de Grupos'!$A:$A,'Base de Grupos'!$K:$K)</f>
        <v>REGIONAL VENDA INTERNA - CONVENIENCIA</v>
      </c>
      <c r="J1073" s="2" t="str">
        <f>_xlfn.XLOOKUP($N1073,'Base de Grupos'!$A:$A,'Base de Grupos'!$L:$L)</f>
        <v>1000174119</v>
      </c>
      <c r="K1073" s="5" t="str">
        <f>_xlfn.XLOOKUP($N1073,'Base de Grupos'!$A:$A,'Base de Grupos'!$M:$M)</f>
        <v>REGIONAL VENDA INTERNA - CONVENIENCIA</v>
      </c>
      <c r="L1073" s="5" t="str">
        <f t="shared" si="349"/>
        <v/>
      </c>
      <c r="M1073" s="5" t="str">
        <f>_xlfn.XLOOKUP($N1073,'Base de Grupos'!$A:$A,'Base de Grupos'!$C:$C)</f>
        <v>MG</v>
      </c>
      <c r="N1073" s="3">
        <v>1524</v>
      </c>
      <c r="O1073" s="4" t="s">
        <v>283</v>
      </c>
      <c r="P1073" s="5" t="s">
        <v>86</v>
      </c>
      <c r="Q1073" s="24">
        <v>0</v>
      </c>
      <c r="R1073" s="24">
        <v>0</v>
      </c>
      <c r="S1073" s="24">
        <v>0</v>
      </c>
      <c r="T1073" s="24">
        <v>0</v>
      </c>
      <c r="U1073" s="24">
        <v>0</v>
      </c>
      <c r="V1073" s="24">
        <v>0</v>
      </c>
      <c r="W1073" s="24">
        <v>0</v>
      </c>
      <c r="X1073" s="24">
        <v>0</v>
      </c>
      <c r="Y1073" s="24">
        <v>0</v>
      </c>
      <c r="Z1073" s="24">
        <v>0</v>
      </c>
      <c r="AA1073" s="24">
        <v>0</v>
      </c>
      <c r="AB1073" s="24">
        <v>0</v>
      </c>
      <c r="AC1073" s="30">
        <f t="shared" si="350"/>
        <v>0</v>
      </c>
      <c r="AD1073" s="28"/>
      <c r="AE1073" s="12"/>
      <c r="AF1073" s="29"/>
      <c r="AG1073" s="9"/>
      <c r="AH1073" s="10"/>
      <c r="AI1073" s="9"/>
      <c r="AJ1073" s="11"/>
      <c r="AK1073" s="9"/>
      <c r="AL1073" s="13"/>
      <c r="AM1073" s="9"/>
    </row>
    <row r="1074" spans="1:39" x14ac:dyDescent="0.3">
      <c r="A1074" s="2" t="str">
        <f t="shared" si="348"/>
        <v>NÃO</v>
      </c>
      <c r="B1074" s="2" t="str">
        <f>_xlfn.XLOOKUP($N1074,'Base de Grupos'!$A:$A,'Base de Grupos'!$D:$D)</f>
        <v>1000065763</v>
      </c>
      <c r="C1074" s="5" t="str">
        <f>_xlfn.XLOOKUP($N1074,'Base de Grupos'!$A:$A,'Base de Grupos'!$E:$E)</f>
        <v>CANAL VENDA INTERNA</v>
      </c>
      <c r="D1074" s="5" t="str">
        <f>_xlfn.XLOOKUP($N1074,'Base de Grupos'!$A:$A,'Base de Grupos'!$F:$F)</f>
        <v>1000065763</v>
      </c>
      <c r="E1074" s="2" t="str">
        <f>_xlfn.XLOOKUP($N1074,'Base de Grupos'!$A:$A,'Base de Grupos'!$G:$G)</f>
        <v>CANAL VENDA INTERNA</v>
      </c>
      <c r="F1074" s="2" t="str">
        <f>_xlfn.XLOOKUP($N1074,'Base de Grupos'!$A:$A,'Base de Grupos'!$H:$H)</f>
        <v>1000174119</v>
      </c>
      <c r="G1074" s="5" t="str">
        <f>_xlfn.XLOOKUP($N1074,'Base de Grupos'!$A:$A,'Base de Grupos'!$I:$I)</f>
        <v>REGIONAL VENDA INTERNA - CONVENIENCIA</v>
      </c>
      <c r="H1074" s="5" t="str">
        <f>_xlfn.XLOOKUP($N1074,'Base de Grupos'!$A:$A,'Base de Grupos'!$J:$J)</f>
        <v>1000174119</v>
      </c>
      <c r="I1074" s="2" t="str">
        <f>_xlfn.XLOOKUP($N1074,'Base de Grupos'!$A:$A,'Base de Grupos'!$K:$K)</f>
        <v>REGIONAL VENDA INTERNA - CONVENIENCIA</v>
      </c>
      <c r="J1074" s="2" t="str">
        <f>_xlfn.XLOOKUP($N1074,'Base de Grupos'!$A:$A,'Base de Grupos'!$L:$L)</f>
        <v>1000174119</v>
      </c>
      <c r="K1074" s="5" t="str">
        <f>_xlfn.XLOOKUP($N1074,'Base de Grupos'!$A:$A,'Base de Grupos'!$M:$M)</f>
        <v>REGIONAL VENDA INTERNA - CONVENIENCIA</v>
      </c>
      <c r="L1074" s="5" t="str">
        <f t="shared" si="349"/>
        <v/>
      </c>
      <c r="M1074" s="5" t="str">
        <f>_xlfn.XLOOKUP($N1074,'Base de Grupos'!$A:$A,'Base de Grupos'!$C:$C)</f>
        <v>MG</v>
      </c>
      <c r="N1074" s="3">
        <v>1524</v>
      </c>
      <c r="O1074" s="4" t="s">
        <v>283</v>
      </c>
      <c r="P1074" s="5" t="s">
        <v>108</v>
      </c>
      <c r="Q1074" s="24">
        <v>0</v>
      </c>
      <c r="R1074" s="24">
        <v>0</v>
      </c>
      <c r="S1074" s="24">
        <v>0</v>
      </c>
      <c r="T1074" s="24">
        <v>0</v>
      </c>
      <c r="U1074" s="24">
        <v>0</v>
      </c>
      <c r="V1074" s="24">
        <v>0</v>
      </c>
      <c r="W1074" s="24">
        <v>0</v>
      </c>
      <c r="X1074" s="24">
        <v>0</v>
      </c>
      <c r="Y1074" s="24">
        <v>0</v>
      </c>
      <c r="Z1074" s="24">
        <v>0</v>
      </c>
      <c r="AA1074" s="24">
        <v>0</v>
      </c>
      <c r="AB1074" s="24">
        <v>0</v>
      </c>
      <c r="AC1074" s="30">
        <f t="shared" si="350"/>
        <v>0</v>
      </c>
      <c r="AD1074" s="28"/>
      <c r="AE1074" s="12"/>
      <c r="AF1074" s="29"/>
      <c r="AG1074" s="9"/>
      <c r="AH1074" s="10"/>
      <c r="AI1074" s="9"/>
      <c r="AJ1074" s="11"/>
      <c r="AK1074" s="9"/>
      <c r="AL1074" s="13"/>
      <c r="AM1074" s="9"/>
    </row>
    <row r="1075" spans="1:39" x14ac:dyDescent="0.3">
      <c r="A1075" s="2" t="str">
        <f t="shared" si="348"/>
        <v>NÃO</v>
      </c>
      <c r="B1075" s="2" t="str">
        <f>_xlfn.XLOOKUP($N1075,'Base de Grupos'!$A:$A,'Base de Grupos'!$D:$D)</f>
        <v>1000065763</v>
      </c>
      <c r="C1075" s="5" t="str">
        <f>_xlfn.XLOOKUP($N1075,'Base de Grupos'!$A:$A,'Base de Grupos'!$E:$E)</f>
        <v>CANAL VENDA INTERNA</v>
      </c>
      <c r="D1075" s="5" t="str">
        <f>_xlfn.XLOOKUP($N1075,'Base de Grupos'!$A:$A,'Base de Grupos'!$F:$F)</f>
        <v>1000065763</v>
      </c>
      <c r="E1075" s="2" t="str">
        <f>_xlfn.XLOOKUP($N1075,'Base de Grupos'!$A:$A,'Base de Grupos'!$G:$G)</f>
        <v>CANAL VENDA INTERNA</v>
      </c>
      <c r="F1075" s="2" t="str">
        <f>_xlfn.XLOOKUP($N1075,'Base de Grupos'!$A:$A,'Base de Grupos'!$H:$H)</f>
        <v>1000174119</v>
      </c>
      <c r="G1075" s="5" t="str">
        <f>_xlfn.XLOOKUP($N1075,'Base de Grupos'!$A:$A,'Base de Grupos'!$I:$I)</f>
        <v>REGIONAL VENDA INTERNA - CONVENIENCIA</v>
      </c>
      <c r="H1075" s="5" t="str">
        <f>_xlfn.XLOOKUP($N1075,'Base de Grupos'!$A:$A,'Base de Grupos'!$J:$J)</f>
        <v>1000174119</v>
      </c>
      <c r="I1075" s="2" t="str">
        <f>_xlfn.XLOOKUP($N1075,'Base de Grupos'!$A:$A,'Base de Grupos'!$K:$K)</f>
        <v>REGIONAL VENDA INTERNA - CONVENIENCIA</v>
      </c>
      <c r="J1075" s="2" t="str">
        <f>_xlfn.XLOOKUP($N1075,'Base de Grupos'!$A:$A,'Base de Grupos'!$L:$L)</f>
        <v>1000174119</v>
      </c>
      <c r="K1075" s="5" t="str">
        <f>_xlfn.XLOOKUP($N1075,'Base de Grupos'!$A:$A,'Base de Grupos'!$M:$M)</f>
        <v>REGIONAL VENDA INTERNA - CONVENIENCIA</v>
      </c>
      <c r="L1075" s="5" t="str">
        <f t="shared" si="349"/>
        <v/>
      </c>
      <c r="M1075" s="5" t="str">
        <f>_xlfn.XLOOKUP($N1075,'Base de Grupos'!$A:$A,'Base de Grupos'!$C:$C)</f>
        <v>MG</v>
      </c>
      <c r="N1075" s="3">
        <v>1524</v>
      </c>
      <c r="O1075" s="4" t="s">
        <v>283</v>
      </c>
      <c r="P1075" s="5" t="s">
        <v>89</v>
      </c>
      <c r="Q1075" s="24">
        <v>0</v>
      </c>
      <c r="R1075" s="24">
        <v>0</v>
      </c>
      <c r="S1075" s="24">
        <v>0</v>
      </c>
      <c r="T1075" s="24">
        <v>0</v>
      </c>
      <c r="U1075" s="24">
        <v>0</v>
      </c>
      <c r="V1075" s="24">
        <v>0</v>
      </c>
      <c r="W1075" s="24">
        <v>0</v>
      </c>
      <c r="X1075" s="24">
        <v>0</v>
      </c>
      <c r="Y1075" s="24">
        <v>0</v>
      </c>
      <c r="Z1075" s="24">
        <v>0</v>
      </c>
      <c r="AA1075" s="24">
        <v>0</v>
      </c>
      <c r="AB1075" s="24">
        <v>0</v>
      </c>
      <c r="AC1075" s="30">
        <f t="shared" si="350"/>
        <v>0</v>
      </c>
      <c r="AD1075" s="28"/>
      <c r="AE1075" s="12"/>
      <c r="AF1075" s="29"/>
      <c r="AG1075" s="9"/>
      <c r="AH1075" s="10"/>
      <c r="AI1075" s="9"/>
      <c r="AJ1075" s="11"/>
      <c r="AK1075" s="9"/>
      <c r="AL1075" s="13"/>
      <c r="AM1075" s="9"/>
    </row>
    <row r="1076" spans="1:39" x14ac:dyDescent="0.3">
      <c r="A1076" s="2" t="str">
        <f t="shared" si="348"/>
        <v>NÃO</v>
      </c>
      <c r="B1076" s="2" t="str">
        <f>_xlfn.XLOOKUP($N1076,'Base de Grupos'!$A:$A,'Base de Grupos'!$D:$D)</f>
        <v>1000065763</v>
      </c>
      <c r="C1076" s="5" t="str">
        <f>_xlfn.XLOOKUP($N1076,'Base de Grupos'!$A:$A,'Base de Grupos'!$E:$E)</f>
        <v>CANAL VENDA INTERNA</v>
      </c>
      <c r="D1076" s="5" t="str">
        <f>_xlfn.XLOOKUP($N1076,'Base de Grupos'!$A:$A,'Base de Grupos'!$F:$F)</f>
        <v>1000065763</v>
      </c>
      <c r="E1076" s="2" t="str">
        <f>_xlfn.XLOOKUP($N1076,'Base de Grupos'!$A:$A,'Base de Grupos'!$G:$G)</f>
        <v>CANAL VENDA INTERNA</v>
      </c>
      <c r="F1076" s="2" t="str">
        <f>_xlfn.XLOOKUP($N1076,'Base de Grupos'!$A:$A,'Base de Grupos'!$H:$H)</f>
        <v>1000174119</v>
      </c>
      <c r="G1076" s="5" t="str">
        <f>_xlfn.XLOOKUP($N1076,'Base de Grupos'!$A:$A,'Base de Grupos'!$I:$I)</f>
        <v>REGIONAL VENDA INTERNA - CONVENIENCIA</v>
      </c>
      <c r="H1076" s="5" t="str">
        <f>_xlfn.XLOOKUP($N1076,'Base de Grupos'!$A:$A,'Base de Grupos'!$J:$J)</f>
        <v>1000174119</v>
      </c>
      <c r="I1076" s="2" t="str">
        <f>_xlfn.XLOOKUP($N1076,'Base de Grupos'!$A:$A,'Base de Grupos'!$K:$K)</f>
        <v>REGIONAL VENDA INTERNA - CONVENIENCIA</v>
      </c>
      <c r="J1076" s="2" t="str">
        <f>_xlfn.XLOOKUP($N1076,'Base de Grupos'!$A:$A,'Base de Grupos'!$L:$L)</f>
        <v>1000174119</v>
      </c>
      <c r="K1076" s="5" t="str">
        <f>_xlfn.XLOOKUP($N1076,'Base de Grupos'!$A:$A,'Base de Grupos'!$M:$M)</f>
        <v>REGIONAL VENDA INTERNA - CONVENIENCIA</v>
      </c>
      <c r="L1076" s="5" t="str">
        <f t="shared" si="349"/>
        <v/>
      </c>
      <c r="M1076" s="5" t="str">
        <f>_xlfn.XLOOKUP($N1076,'Base de Grupos'!$A:$A,'Base de Grupos'!$C:$C)</f>
        <v>MG</v>
      </c>
      <c r="N1076" s="3">
        <v>1524</v>
      </c>
      <c r="O1076" s="4" t="s">
        <v>283</v>
      </c>
      <c r="P1076" s="5" t="s">
        <v>88</v>
      </c>
      <c r="Q1076" s="24">
        <v>0</v>
      </c>
      <c r="R1076" s="24">
        <v>0</v>
      </c>
      <c r="S1076" s="24">
        <v>0</v>
      </c>
      <c r="T1076" s="24">
        <v>0</v>
      </c>
      <c r="U1076" s="24">
        <v>0</v>
      </c>
      <c r="V1076" s="24">
        <v>0</v>
      </c>
      <c r="W1076" s="24">
        <v>0</v>
      </c>
      <c r="X1076" s="24">
        <v>0</v>
      </c>
      <c r="Y1076" s="24">
        <v>0</v>
      </c>
      <c r="Z1076" s="24">
        <v>0</v>
      </c>
      <c r="AA1076" s="24">
        <v>0</v>
      </c>
      <c r="AB1076" s="24">
        <v>0</v>
      </c>
      <c r="AC1076" s="30">
        <f t="shared" si="350"/>
        <v>0</v>
      </c>
      <c r="AD1076" s="28"/>
      <c r="AE1076" s="12"/>
      <c r="AF1076" s="29"/>
      <c r="AG1076" s="9"/>
      <c r="AH1076" s="10"/>
      <c r="AI1076" s="9"/>
      <c r="AJ1076" s="11"/>
      <c r="AK1076" s="9"/>
      <c r="AL1076" s="13"/>
      <c r="AM1076" s="9"/>
    </row>
    <row r="1077" spans="1:39" x14ac:dyDescent="0.3">
      <c r="A1077" s="2" t="str">
        <f t="shared" si="348"/>
        <v>NÃO</v>
      </c>
      <c r="B1077" s="2" t="str">
        <f>_xlfn.XLOOKUP($N1077,'Base de Grupos'!$A:$A,'Base de Grupos'!$D:$D)</f>
        <v>1000065763</v>
      </c>
      <c r="C1077" s="5" t="str">
        <f>_xlfn.XLOOKUP($N1077,'Base de Grupos'!$A:$A,'Base de Grupos'!$E:$E)</f>
        <v>CANAL VENDA INTERNA</v>
      </c>
      <c r="D1077" s="5" t="str">
        <f>_xlfn.XLOOKUP($N1077,'Base de Grupos'!$A:$A,'Base de Grupos'!$F:$F)</f>
        <v>1000065763</v>
      </c>
      <c r="E1077" s="2" t="str">
        <f>_xlfn.XLOOKUP($N1077,'Base de Grupos'!$A:$A,'Base de Grupos'!$G:$G)</f>
        <v>CANAL VENDA INTERNA</v>
      </c>
      <c r="F1077" s="2" t="str">
        <f>_xlfn.XLOOKUP($N1077,'Base de Grupos'!$A:$A,'Base de Grupos'!$H:$H)</f>
        <v>1000174119</v>
      </c>
      <c r="G1077" s="5" t="str">
        <f>_xlfn.XLOOKUP($N1077,'Base de Grupos'!$A:$A,'Base de Grupos'!$I:$I)</f>
        <v>REGIONAL VENDA INTERNA - CONVENIENCIA</v>
      </c>
      <c r="H1077" s="5" t="str">
        <f>_xlfn.XLOOKUP($N1077,'Base de Grupos'!$A:$A,'Base de Grupos'!$J:$J)</f>
        <v>1000174119</v>
      </c>
      <c r="I1077" s="2" t="str">
        <f>_xlfn.XLOOKUP($N1077,'Base de Grupos'!$A:$A,'Base de Grupos'!$K:$K)</f>
        <v>REGIONAL VENDA INTERNA - CONVENIENCIA</v>
      </c>
      <c r="J1077" s="2" t="str">
        <f>_xlfn.XLOOKUP($N1077,'Base de Grupos'!$A:$A,'Base de Grupos'!$L:$L)</f>
        <v>1000174119</v>
      </c>
      <c r="K1077" s="5" t="str">
        <f>_xlfn.XLOOKUP($N1077,'Base de Grupos'!$A:$A,'Base de Grupos'!$M:$M)</f>
        <v>REGIONAL VENDA INTERNA - CONVENIENCIA</v>
      </c>
      <c r="L1077" s="5" t="str">
        <f t="shared" si="349"/>
        <v/>
      </c>
      <c r="M1077" s="5" t="str">
        <f>_xlfn.XLOOKUP($N1077,'Base de Grupos'!$A:$A,'Base de Grupos'!$C:$C)</f>
        <v>MG</v>
      </c>
      <c r="N1077" s="3">
        <v>1524</v>
      </c>
      <c r="O1077" s="4" t="s">
        <v>283</v>
      </c>
      <c r="P1077" s="5" t="s">
        <v>90</v>
      </c>
      <c r="Q1077" s="24">
        <v>0</v>
      </c>
      <c r="R1077" s="24">
        <v>0</v>
      </c>
      <c r="S1077" s="24">
        <v>0</v>
      </c>
      <c r="T1077" s="24">
        <v>0</v>
      </c>
      <c r="U1077" s="24">
        <v>0</v>
      </c>
      <c r="V1077" s="24">
        <v>0</v>
      </c>
      <c r="W1077" s="24">
        <v>0</v>
      </c>
      <c r="X1077" s="24">
        <v>0</v>
      </c>
      <c r="Y1077" s="24">
        <v>0</v>
      </c>
      <c r="Z1077" s="24">
        <v>0</v>
      </c>
      <c r="AA1077" s="24">
        <v>0</v>
      </c>
      <c r="AB1077" s="24">
        <v>0</v>
      </c>
      <c r="AC1077" s="30">
        <f t="shared" si="350"/>
        <v>0</v>
      </c>
      <c r="AD1077" s="28"/>
      <c r="AE1077" s="12"/>
      <c r="AF1077" s="29"/>
      <c r="AG1077" s="9"/>
      <c r="AH1077" s="10"/>
      <c r="AI1077" s="9"/>
      <c r="AJ1077" s="11"/>
      <c r="AK1077" s="9"/>
      <c r="AL1077" s="13"/>
      <c r="AM1077" s="9"/>
    </row>
    <row r="1078" spans="1:39" x14ac:dyDescent="0.3">
      <c r="A1078" s="2" t="str">
        <f t="shared" si="348"/>
        <v>NÃO</v>
      </c>
      <c r="B1078" s="2" t="str">
        <f>_xlfn.XLOOKUP($N1078,'Base de Grupos'!$A:$A,'Base de Grupos'!$D:$D)</f>
        <v>1000065763</v>
      </c>
      <c r="C1078" s="5" t="str">
        <f>_xlfn.XLOOKUP($N1078,'Base de Grupos'!$A:$A,'Base de Grupos'!$E:$E)</f>
        <v>CANAL VENDA INTERNA</v>
      </c>
      <c r="D1078" s="5" t="str">
        <f>_xlfn.XLOOKUP($N1078,'Base de Grupos'!$A:$A,'Base de Grupos'!$F:$F)</f>
        <v>1000065763</v>
      </c>
      <c r="E1078" s="2" t="str">
        <f>_xlfn.XLOOKUP($N1078,'Base de Grupos'!$A:$A,'Base de Grupos'!$G:$G)</f>
        <v>CANAL VENDA INTERNA</v>
      </c>
      <c r="F1078" s="2" t="str">
        <f>_xlfn.XLOOKUP($N1078,'Base de Grupos'!$A:$A,'Base de Grupos'!$H:$H)</f>
        <v>1000174119</v>
      </c>
      <c r="G1078" s="5" t="str">
        <f>_xlfn.XLOOKUP($N1078,'Base de Grupos'!$A:$A,'Base de Grupos'!$I:$I)</f>
        <v>REGIONAL VENDA INTERNA - CONVENIENCIA</v>
      </c>
      <c r="H1078" s="5" t="str">
        <f>_xlfn.XLOOKUP($N1078,'Base de Grupos'!$A:$A,'Base de Grupos'!$J:$J)</f>
        <v>1000174119</v>
      </c>
      <c r="I1078" s="2" t="str">
        <f>_xlfn.XLOOKUP($N1078,'Base de Grupos'!$A:$A,'Base de Grupos'!$K:$K)</f>
        <v>REGIONAL VENDA INTERNA - CONVENIENCIA</v>
      </c>
      <c r="J1078" s="2" t="str">
        <f>_xlfn.XLOOKUP($N1078,'Base de Grupos'!$A:$A,'Base de Grupos'!$L:$L)</f>
        <v>1000174119</v>
      </c>
      <c r="K1078" s="5" t="str">
        <f>_xlfn.XLOOKUP($N1078,'Base de Grupos'!$A:$A,'Base de Grupos'!$M:$M)</f>
        <v>REGIONAL VENDA INTERNA - CONVENIENCIA</v>
      </c>
      <c r="L1078" s="5" t="str">
        <f t="shared" si="349"/>
        <v/>
      </c>
      <c r="M1078" s="5" t="str">
        <f>_xlfn.XLOOKUP($N1078,'Base de Grupos'!$A:$A,'Base de Grupos'!$C:$C)</f>
        <v>MG</v>
      </c>
      <c r="N1078" s="3">
        <v>1524</v>
      </c>
      <c r="O1078" s="4" t="s">
        <v>283</v>
      </c>
      <c r="P1078" s="5" t="s">
        <v>91</v>
      </c>
      <c r="Q1078" s="24">
        <v>0</v>
      </c>
      <c r="R1078" s="24">
        <v>0</v>
      </c>
      <c r="S1078" s="24">
        <v>0</v>
      </c>
      <c r="T1078" s="24">
        <v>0</v>
      </c>
      <c r="U1078" s="24">
        <v>0</v>
      </c>
      <c r="V1078" s="24">
        <v>0</v>
      </c>
      <c r="W1078" s="24">
        <v>0</v>
      </c>
      <c r="X1078" s="24">
        <v>0</v>
      </c>
      <c r="Y1078" s="24">
        <v>0</v>
      </c>
      <c r="Z1078" s="24">
        <v>0</v>
      </c>
      <c r="AA1078" s="24">
        <v>0</v>
      </c>
      <c r="AB1078" s="24">
        <v>0</v>
      </c>
      <c r="AC1078" s="30">
        <f t="shared" si="350"/>
        <v>0</v>
      </c>
      <c r="AD1078" s="28"/>
      <c r="AE1078" s="12"/>
      <c r="AF1078" s="29"/>
      <c r="AG1078" s="9"/>
      <c r="AH1078" s="10"/>
      <c r="AI1078" s="9"/>
      <c r="AJ1078" s="11"/>
      <c r="AK1078" s="9"/>
      <c r="AL1078" s="13"/>
      <c r="AM1078" s="9"/>
    </row>
    <row r="1079" spans="1:39" x14ac:dyDescent="0.3">
      <c r="A1079" s="2" t="str">
        <f t="shared" si="348"/>
        <v>NÃO</v>
      </c>
      <c r="B1079" s="2" t="str">
        <f>_xlfn.XLOOKUP($N1079,'Base de Grupos'!$A:$A,'Base de Grupos'!$D:$D)</f>
        <v>1000065763</v>
      </c>
      <c r="C1079" s="5" t="str">
        <f>_xlfn.XLOOKUP($N1079,'Base de Grupos'!$A:$A,'Base de Grupos'!$E:$E)</f>
        <v>CANAL VENDA INTERNA</v>
      </c>
      <c r="D1079" s="5" t="str">
        <f>_xlfn.XLOOKUP($N1079,'Base de Grupos'!$A:$A,'Base de Grupos'!$F:$F)</f>
        <v>1000065763</v>
      </c>
      <c r="E1079" s="2" t="str">
        <f>_xlfn.XLOOKUP($N1079,'Base de Grupos'!$A:$A,'Base de Grupos'!$G:$G)</f>
        <v>CANAL VENDA INTERNA</v>
      </c>
      <c r="F1079" s="2" t="str">
        <f>_xlfn.XLOOKUP($N1079,'Base de Grupos'!$A:$A,'Base de Grupos'!$H:$H)</f>
        <v>1000174119</v>
      </c>
      <c r="G1079" s="5" t="str">
        <f>_xlfn.XLOOKUP($N1079,'Base de Grupos'!$A:$A,'Base de Grupos'!$I:$I)</f>
        <v>REGIONAL VENDA INTERNA - CONVENIENCIA</v>
      </c>
      <c r="H1079" s="5" t="str">
        <f>_xlfn.XLOOKUP($N1079,'Base de Grupos'!$A:$A,'Base de Grupos'!$J:$J)</f>
        <v>1000174119</v>
      </c>
      <c r="I1079" s="2" t="str">
        <f>_xlfn.XLOOKUP($N1079,'Base de Grupos'!$A:$A,'Base de Grupos'!$K:$K)</f>
        <v>REGIONAL VENDA INTERNA - CONVENIENCIA</v>
      </c>
      <c r="J1079" s="2" t="str">
        <f>_xlfn.XLOOKUP($N1079,'Base de Grupos'!$A:$A,'Base de Grupos'!$L:$L)</f>
        <v>1000174119</v>
      </c>
      <c r="K1079" s="5" t="str">
        <f>_xlfn.XLOOKUP($N1079,'Base de Grupos'!$A:$A,'Base de Grupos'!$M:$M)</f>
        <v>REGIONAL VENDA INTERNA - CONVENIENCIA</v>
      </c>
      <c r="L1079" s="5" t="str">
        <f t="shared" si="349"/>
        <v/>
      </c>
      <c r="M1079" s="5" t="str">
        <f>_xlfn.XLOOKUP($N1079,'Base de Grupos'!$A:$A,'Base de Grupos'!$C:$C)</f>
        <v>MG</v>
      </c>
      <c r="N1079" s="3">
        <v>1524</v>
      </c>
      <c r="O1079" s="4" t="s">
        <v>283</v>
      </c>
      <c r="P1079" s="5" t="s">
        <v>96</v>
      </c>
      <c r="Q1079" s="24">
        <v>0</v>
      </c>
      <c r="R1079" s="24">
        <v>0</v>
      </c>
      <c r="S1079" s="24">
        <v>0</v>
      </c>
      <c r="T1079" s="24">
        <v>0</v>
      </c>
      <c r="U1079" s="24">
        <v>0</v>
      </c>
      <c r="V1079" s="24">
        <v>0</v>
      </c>
      <c r="W1079" s="24">
        <v>0</v>
      </c>
      <c r="X1079" s="24">
        <v>0</v>
      </c>
      <c r="Y1079" s="24">
        <v>0</v>
      </c>
      <c r="Z1079" s="24">
        <v>0</v>
      </c>
      <c r="AA1079" s="24">
        <v>0</v>
      </c>
      <c r="AB1079" s="24">
        <v>0</v>
      </c>
      <c r="AC1079" s="30">
        <f t="shared" si="350"/>
        <v>0</v>
      </c>
      <c r="AD1079" s="28"/>
      <c r="AE1079" s="12"/>
      <c r="AF1079" s="29"/>
      <c r="AG1079" s="9"/>
      <c r="AH1079" s="10"/>
      <c r="AI1079" s="9"/>
      <c r="AJ1079" s="11"/>
      <c r="AK1079" s="9"/>
      <c r="AL1079" s="13"/>
      <c r="AM1079" s="9"/>
    </row>
    <row r="1080" spans="1:39" x14ac:dyDescent="0.3">
      <c r="A1080" s="2" t="str">
        <f t="shared" si="348"/>
        <v>NÃO</v>
      </c>
      <c r="B1080" s="2" t="str">
        <f>_xlfn.XLOOKUP($N1080,'Base de Grupos'!$A:$A,'Base de Grupos'!$D:$D)</f>
        <v>1000065763</v>
      </c>
      <c r="C1080" s="5" t="str">
        <f>_xlfn.XLOOKUP($N1080,'Base de Grupos'!$A:$A,'Base de Grupos'!$E:$E)</f>
        <v>CANAL VENDA INTERNA</v>
      </c>
      <c r="D1080" s="5" t="str">
        <f>_xlfn.XLOOKUP($N1080,'Base de Grupos'!$A:$A,'Base de Grupos'!$F:$F)</f>
        <v>1000065763</v>
      </c>
      <c r="E1080" s="2" t="str">
        <f>_xlfn.XLOOKUP($N1080,'Base de Grupos'!$A:$A,'Base de Grupos'!$G:$G)</f>
        <v>CANAL VENDA INTERNA</v>
      </c>
      <c r="F1080" s="2" t="str">
        <f>_xlfn.XLOOKUP($N1080,'Base de Grupos'!$A:$A,'Base de Grupos'!$H:$H)</f>
        <v>1000174119</v>
      </c>
      <c r="G1080" s="5" t="str">
        <f>_xlfn.XLOOKUP($N1080,'Base de Grupos'!$A:$A,'Base de Grupos'!$I:$I)</f>
        <v>REGIONAL VENDA INTERNA - CONVENIENCIA</v>
      </c>
      <c r="H1080" s="5" t="str">
        <f>_xlfn.XLOOKUP($N1080,'Base de Grupos'!$A:$A,'Base de Grupos'!$J:$J)</f>
        <v>1000174119</v>
      </c>
      <c r="I1080" s="2" t="str">
        <f>_xlfn.XLOOKUP($N1080,'Base de Grupos'!$A:$A,'Base de Grupos'!$K:$K)</f>
        <v>REGIONAL VENDA INTERNA - CONVENIENCIA</v>
      </c>
      <c r="J1080" s="2" t="str">
        <f>_xlfn.XLOOKUP($N1080,'Base de Grupos'!$A:$A,'Base de Grupos'!$L:$L)</f>
        <v>1000174119</v>
      </c>
      <c r="K1080" s="5" t="str">
        <f>_xlfn.XLOOKUP($N1080,'Base de Grupos'!$A:$A,'Base de Grupos'!$M:$M)</f>
        <v>REGIONAL VENDA INTERNA - CONVENIENCIA</v>
      </c>
      <c r="L1080" s="5" t="str">
        <f t="shared" si="349"/>
        <v/>
      </c>
      <c r="M1080" s="5" t="str">
        <f>_xlfn.XLOOKUP($N1080,'Base de Grupos'!$A:$A,'Base de Grupos'!$C:$C)</f>
        <v>MG</v>
      </c>
      <c r="N1080" s="3">
        <v>1524</v>
      </c>
      <c r="O1080" s="4" t="s">
        <v>283</v>
      </c>
      <c r="P1080" s="5" t="s">
        <v>94</v>
      </c>
      <c r="Q1080" s="24">
        <v>0</v>
      </c>
      <c r="R1080" s="24">
        <v>0</v>
      </c>
      <c r="S1080" s="24">
        <v>0</v>
      </c>
      <c r="T1080" s="24">
        <v>0</v>
      </c>
      <c r="U1080" s="24">
        <v>0</v>
      </c>
      <c r="V1080" s="24">
        <v>0</v>
      </c>
      <c r="W1080" s="24">
        <v>0</v>
      </c>
      <c r="X1080" s="24">
        <v>0</v>
      </c>
      <c r="Y1080" s="24">
        <v>0</v>
      </c>
      <c r="Z1080" s="24">
        <v>0</v>
      </c>
      <c r="AA1080" s="24">
        <v>0</v>
      </c>
      <c r="AB1080" s="24">
        <v>0</v>
      </c>
      <c r="AC1080" s="30">
        <f t="shared" si="350"/>
        <v>0</v>
      </c>
      <c r="AD1080" s="28"/>
      <c r="AE1080" s="12"/>
      <c r="AF1080" s="29"/>
      <c r="AG1080" s="9"/>
      <c r="AH1080" s="10"/>
      <c r="AI1080" s="9"/>
      <c r="AJ1080" s="11"/>
      <c r="AK1080" s="9"/>
      <c r="AL1080" s="13"/>
      <c r="AM1080" s="9"/>
    </row>
    <row r="1081" spans="1:39" x14ac:dyDescent="0.3">
      <c r="A1081" s="2" t="str">
        <f t="shared" si="348"/>
        <v>NÃO</v>
      </c>
      <c r="B1081" s="2" t="str">
        <f>_xlfn.XLOOKUP($N1081,'Base de Grupos'!$A:$A,'Base de Grupos'!$D:$D)</f>
        <v>1000065763</v>
      </c>
      <c r="C1081" s="5" t="str">
        <f>_xlfn.XLOOKUP($N1081,'Base de Grupos'!$A:$A,'Base de Grupos'!$E:$E)</f>
        <v>CANAL VENDA INTERNA</v>
      </c>
      <c r="D1081" s="5" t="str">
        <f>_xlfn.XLOOKUP($N1081,'Base de Grupos'!$A:$A,'Base de Grupos'!$F:$F)</f>
        <v>1000065763</v>
      </c>
      <c r="E1081" s="2" t="str">
        <f>_xlfn.XLOOKUP($N1081,'Base de Grupos'!$A:$A,'Base de Grupos'!$G:$G)</f>
        <v>CANAL VENDA INTERNA</v>
      </c>
      <c r="F1081" s="2" t="str">
        <f>_xlfn.XLOOKUP($N1081,'Base de Grupos'!$A:$A,'Base de Grupos'!$H:$H)</f>
        <v>1000174119</v>
      </c>
      <c r="G1081" s="5" t="str">
        <f>_xlfn.XLOOKUP($N1081,'Base de Grupos'!$A:$A,'Base de Grupos'!$I:$I)</f>
        <v>REGIONAL VENDA INTERNA - CONVENIENCIA</v>
      </c>
      <c r="H1081" s="5" t="str">
        <f>_xlfn.XLOOKUP($N1081,'Base de Grupos'!$A:$A,'Base de Grupos'!$J:$J)</f>
        <v>1000174119</v>
      </c>
      <c r="I1081" s="2" t="str">
        <f>_xlfn.XLOOKUP($N1081,'Base de Grupos'!$A:$A,'Base de Grupos'!$K:$K)</f>
        <v>REGIONAL VENDA INTERNA - CONVENIENCIA</v>
      </c>
      <c r="J1081" s="2" t="str">
        <f>_xlfn.XLOOKUP($N1081,'Base de Grupos'!$A:$A,'Base de Grupos'!$L:$L)</f>
        <v>1000174119</v>
      </c>
      <c r="K1081" s="5" t="str">
        <f>_xlfn.XLOOKUP($N1081,'Base de Grupos'!$A:$A,'Base de Grupos'!$M:$M)</f>
        <v>REGIONAL VENDA INTERNA - CONVENIENCIA</v>
      </c>
      <c r="L1081" s="5" t="str">
        <f t="shared" si="349"/>
        <v/>
      </c>
      <c r="M1081" s="5" t="str">
        <f>_xlfn.XLOOKUP($N1081,'Base de Grupos'!$A:$A,'Base de Grupos'!$C:$C)</f>
        <v>MG</v>
      </c>
      <c r="N1081" s="3">
        <v>1524</v>
      </c>
      <c r="O1081" s="4" t="s">
        <v>283</v>
      </c>
      <c r="P1081" s="5" t="s">
        <v>95</v>
      </c>
      <c r="Q1081" s="24">
        <v>0</v>
      </c>
      <c r="R1081" s="24">
        <v>0</v>
      </c>
      <c r="S1081" s="24">
        <v>0</v>
      </c>
      <c r="T1081" s="24">
        <v>0</v>
      </c>
      <c r="U1081" s="24">
        <v>0</v>
      </c>
      <c r="V1081" s="24">
        <v>0</v>
      </c>
      <c r="W1081" s="24">
        <v>0</v>
      </c>
      <c r="X1081" s="24">
        <v>0</v>
      </c>
      <c r="Y1081" s="24">
        <v>0</v>
      </c>
      <c r="Z1081" s="24">
        <v>0</v>
      </c>
      <c r="AA1081" s="24">
        <v>0</v>
      </c>
      <c r="AB1081" s="24">
        <v>0</v>
      </c>
      <c r="AC1081" s="30">
        <f t="shared" si="350"/>
        <v>0</v>
      </c>
      <c r="AD1081" s="28"/>
      <c r="AE1081" s="12"/>
      <c r="AF1081" s="29"/>
      <c r="AG1081" s="9"/>
      <c r="AH1081" s="10"/>
      <c r="AI1081" s="9"/>
      <c r="AJ1081" s="11"/>
      <c r="AK1081" s="9"/>
      <c r="AL1081" s="13"/>
      <c r="AM1081" s="9"/>
    </row>
    <row r="1082" spans="1:39" x14ac:dyDescent="0.3">
      <c r="A1082" s="2" t="str">
        <f t="shared" si="348"/>
        <v>NÃO</v>
      </c>
      <c r="B1082" s="2" t="str">
        <f>_xlfn.XLOOKUP($N1082,'Base de Grupos'!$A:$A,'Base de Grupos'!$D:$D)</f>
        <v>1000065763</v>
      </c>
      <c r="C1082" s="5" t="str">
        <f>_xlfn.XLOOKUP($N1082,'Base de Grupos'!$A:$A,'Base de Grupos'!$E:$E)</f>
        <v>CANAL VENDA INTERNA</v>
      </c>
      <c r="D1082" s="5" t="str">
        <f>_xlfn.XLOOKUP($N1082,'Base de Grupos'!$A:$A,'Base de Grupos'!$F:$F)</f>
        <v>1000065763</v>
      </c>
      <c r="E1082" s="2" t="str">
        <f>_xlfn.XLOOKUP($N1082,'Base de Grupos'!$A:$A,'Base de Grupos'!$G:$G)</f>
        <v>CANAL VENDA INTERNA</v>
      </c>
      <c r="F1082" s="2" t="str">
        <f>_xlfn.XLOOKUP($N1082,'Base de Grupos'!$A:$A,'Base de Grupos'!$H:$H)</f>
        <v>1000174119</v>
      </c>
      <c r="G1082" s="5" t="str">
        <f>_xlfn.XLOOKUP($N1082,'Base de Grupos'!$A:$A,'Base de Grupos'!$I:$I)</f>
        <v>REGIONAL VENDA INTERNA - CONVENIENCIA</v>
      </c>
      <c r="H1082" s="5" t="str">
        <f>_xlfn.XLOOKUP($N1082,'Base de Grupos'!$A:$A,'Base de Grupos'!$J:$J)</f>
        <v>1000174119</v>
      </c>
      <c r="I1082" s="2" t="str">
        <f>_xlfn.XLOOKUP($N1082,'Base de Grupos'!$A:$A,'Base de Grupos'!$K:$K)</f>
        <v>REGIONAL VENDA INTERNA - CONVENIENCIA</v>
      </c>
      <c r="J1082" s="2" t="str">
        <f>_xlfn.XLOOKUP($N1082,'Base de Grupos'!$A:$A,'Base de Grupos'!$L:$L)</f>
        <v>1000174119</v>
      </c>
      <c r="K1082" s="5" t="str">
        <f>_xlfn.XLOOKUP($N1082,'Base de Grupos'!$A:$A,'Base de Grupos'!$M:$M)</f>
        <v>REGIONAL VENDA INTERNA - CONVENIENCIA</v>
      </c>
      <c r="L1082" s="5" t="str">
        <f t="shared" si="349"/>
        <v/>
      </c>
      <c r="M1082" s="5" t="str">
        <f>_xlfn.XLOOKUP($N1082,'Base de Grupos'!$A:$A,'Base de Grupos'!$C:$C)</f>
        <v>MG</v>
      </c>
      <c r="N1082" s="3">
        <v>1524</v>
      </c>
      <c r="O1082" s="4" t="s">
        <v>283</v>
      </c>
      <c r="P1082" s="5" t="s">
        <v>93</v>
      </c>
      <c r="Q1082" s="24">
        <v>0</v>
      </c>
      <c r="R1082" s="24">
        <v>0</v>
      </c>
      <c r="S1082" s="24">
        <v>0</v>
      </c>
      <c r="T1082" s="24">
        <v>0</v>
      </c>
      <c r="U1082" s="24">
        <v>0</v>
      </c>
      <c r="V1082" s="24">
        <v>0</v>
      </c>
      <c r="W1082" s="24">
        <v>0</v>
      </c>
      <c r="X1082" s="24">
        <v>0</v>
      </c>
      <c r="Y1082" s="24">
        <v>0</v>
      </c>
      <c r="Z1082" s="24">
        <v>0</v>
      </c>
      <c r="AA1082" s="24">
        <v>0</v>
      </c>
      <c r="AB1082" s="24">
        <v>0</v>
      </c>
      <c r="AC1082" s="30">
        <f t="shared" si="350"/>
        <v>0</v>
      </c>
      <c r="AD1082" s="28"/>
      <c r="AE1082" s="12"/>
      <c r="AF1082" s="29"/>
      <c r="AG1082" s="9"/>
      <c r="AH1082" s="10"/>
      <c r="AI1082" s="9"/>
      <c r="AJ1082" s="11"/>
      <c r="AK1082" s="9"/>
      <c r="AL1082" s="13"/>
      <c r="AM1082" s="9"/>
    </row>
    <row r="1083" spans="1:39" x14ac:dyDescent="0.3">
      <c r="A1083" s="2" t="str">
        <f t="shared" si="348"/>
        <v>SIM</v>
      </c>
      <c r="B1083" s="2" t="str">
        <f>_xlfn.XLOOKUP($N1083,'Base de Grupos'!$A:$A,'Base de Grupos'!$D:$D)</f>
        <v>1000065763</v>
      </c>
      <c r="C1083" s="5" t="str">
        <f>_xlfn.XLOOKUP($N1083,'Base de Grupos'!$A:$A,'Base de Grupos'!$E:$E)</f>
        <v>CANAL VENDA INTERNA</v>
      </c>
      <c r="D1083" s="5" t="str">
        <f>_xlfn.XLOOKUP($N1083,'Base de Grupos'!$A:$A,'Base de Grupos'!$F:$F)</f>
        <v>1000065763</v>
      </c>
      <c r="E1083" s="2" t="str">
        <f>_xlfn.XLOOKUP($N1083,'Base de Grupos'!$A:$A,'Base de Grupos'!$G:$G)</f>
        <v>CANAL VENDA INTERNA</v>
      </c>
      <c r="F1083" s="2" t="str">
        <f>_xlfn.XLOOKUP($N1083,'Base de Grupos'!$A:$A,'Base de Grupos'!$H:$H)</f>
        <v>1000174119</v>
      </c>
      <c r="G1083" s="5" t="str">
        <f>_xlfn.XLOOKUP($N1083,'Base de Grupos'!$A:$A,'Base de Grupos'!$I:$I)</f>
        <v>REGIONAL VENDA INTERNA - CONVENIENCIA</v>
      </c>
      <c r="H1083" s="5" t="str">
        <f>_xlfn.XLOOKUP($N1083,'Base de Grupos'!$A:$A,'Base de Grupos'!$J:$J)</f>
        <v>1000174119</v>
      </c>
      <c r="I1083" s="2" t="str">
        <f>_xlfn.XLOOKUP($N1083,'Base de Grupos'!$A:$A,'Base de Grupos'!$K:$K)</f>
        <v>REGIONAL VENDA INTERNA - CONVENIENCIA</v>
      </c>
      <c r="J1083" s="2" t="str">
        <f>_xlfn.XLOOKUP($N1083,'Base de Grupos'!$A:$A,'Base de Grupos'!$L:$L)</f>
        <v>1000174119</v>
      </c>
      <c r="K1083" s="5" t="str">
        <f>_xlfn.XLOOKUP($N1083,'Base de Grupos'!$A:$A,'Base de Grupos'!$M:$M)</f>
        <v>REGIONAL VENDA INTERNA - CONVENIENCIA</v>
      </c>
      <c r="L1083" s="5">
        <f t="shared" si="349"/>
        <v>1</v>
      </c>
      <c r="M1083" s="5" t="str">
        <f>_xlfn.XLOOKUP($N1083,'Base de Grupos'!$A:$A,'Base de Grupos'!$C:$C)</f>
        <v>SP</v>
      </c>
      <c r="N1083" s="3">
        <v>1525</v>
      </c>
      <c r="O1083" s="4" t="s">
        <v>284</v>
      </c>
      <c r="P1083" s="5" t="s">
        <v>354</v>
      </c>
      <c r="Q1083" s="24">
        <v>0</v>
      </c>
      <c r="R1083" s="24">
        <v>0</v>
      </c>
      <c r="S1083" s="24">
        <v>0</v>
      </c>
      <c r="T1083" s="24">
        <v>0</v>
      </c>
      <c r="U1083" s="24">
        <v>0</v>
      </c>
      <c r="V1083" s="24">
        <v>0</v>
      </c>
      <c r="W1083" s="24">
        <v>0</v>
      </c>
      <c r="X1083" s="24">
        <v>0</v>
      </c>
      <c r="Y1083" s="24">
        <v>0</v>
      </c>
      <c r="Z1083" s="24">
        <v>0</v>
      </c>
      <c r="AA1083" s="24">
        <v>0</v>
      </c>
      <c r="AB1083" s="24">
        <v>0</v>
      </c>
      <c r="AC1083" s="30">
        <f t="shared" si="350"/>
        <v>0</v>
      </c>
      <c r="AD1083" s="28"/>
      <c r="AE1083" s="12"/>
      <c r="AF1083" s="29"/>
      <c r="AG1083" s="9"/>
      <c r="AH1083" s="10"/>
      <c r="AI1083" s="9"/>
      <c r="AJ1083" s="11"/>
      <c r="AK1083" s="9"/>
      <c r="AL1083" s="13"/>
      <c r="AM1083" s="9"/>
    </row>
    <row r="1084" spans="1:39" x14ac:dyDescent="0.3">
      <c r="A1084" s="2" t="str">
        <f t="shared" si="348"/>
        <v>NÃO</v>
      </c>
      <c r="B1084" s="2" t="str">
        <f>_xlfn.XLOOKUP($N1084,'Base de Grupos'!$A:$A,'Base de Grupos'!$D:$D)</f>
        <v>1000065763</v>
      </c>
      <c r="C1084" s="5" t="str">
        <f>_xlfn.XLOOKUP($N1084,'Base de Grupos'!$A:$A,'Base de Grupos'!$E:$E)</f>
        <v>CANAL VENDA INTERNA</v>
      </c>
      <c r="D1084" s="5" t="str">
        <f>_xlfn.XLOOKUP($N1084,'Base de Grupos'!$A:$A,'Base de Grupos'!$F:$F)</f>
        <v>1000065763</v>
      </c>
      <c r="E1084" s="2" t="str">
        <f>_xlfn.XLOOKUP($N1084,'Base de Grupos'!$A:$A,'Base de Grupos'!$G:$G)</f>
        <v>CANAL VENDA INTERNA</v>
      </c>
      <c r="F1084" s="2" t="str">
        <f>_xlfn.XLOOKUP($N1084,'Base de Grupos'!$A:$A,'Base de Grupos'!$H:$H)</f>
        <v>1000174119</v>
      </c>
      <c r="G1084" s="5" t="str">
        <f>_xlfn.XLOOKUP($N1084,'Base de Grupos'!$A:$A,'Base de Grupos'!$I:$I)</f>
        <v>REGIONAL VENDA INTERNA - CONVENIENCIA</v>
      </c>
      <c r="H1084" s="5" t="str">
        <f>_xlfn.XLOOKUP($N1084,'Base de Grupos'!$A:$A,'Base de Grupos'!$J:$J)</f>
        <v>1000174119</v>
      </c>
      <c r="I1084" s="2" t="str">
        <f>_xlfn.XLOOKUP($N1084,'Base de Grupos'!$A:$A,'Base de Grupos'!$K:$K)</f>
        <v>REGIONAL VENDA INTERNA - CONVENIENCIA</v>
      </c>
      <c r="J1084" s="2" t="str">
        <f>_xlfn.XLOOKUP($N1084,'Base de Grupos'!$A:$A,'Base de Grupos'!$L:$L)</f>
        <v>1000174119</v>
      </c>
      <c r="K1084" s="5" t="str">
        <f>_xlfn.XLOOKUP($N1084,'Base de Grupos'!$A:$A,'Base de Grupos'!$M:$M)</f>
        <v>REGIONAL VENDA INTERNA - CONVENIENCIA</v>
      </c>
      <c r="L1084" s="5" t="str">
        <f t="shared" si="349"/>
        <v/>
      </c>
      <c r="M1084" s="5" t="str">
        <f>_xlfn.XLOOKUP($N1084,'Base de Grupos'!$A:$A,'Base de Grupos'!$C:$C)</f>
        <v>SP</v>
      </c>
      <c r="N1084" s="3">
        <v>1525</v>
      </c>
      <c r="O1084" s="4" t="s">
        <v>284</v>
      </c>
      <c r="P1084" s="5" t="s">
        <v>81</v>
      </c>
      <c r="Q1084" s="24">
        <v>0</v>
      </c>
      <c r="R1084" s="24">
        <v>0</v>
      </c>
      <c r="S1084" s="24">
        <v>0</v>
      </c>
      <c r="T1084" s="24">
        <v>0</v>
      </c>
      <c r="U1084" s="24">
        <v>0</v>
      </c>
      <c r="V1084" s="24">
        <v>0</v>
      </c>
      <c r="W1084" s="24">
        <v>0</v>
      </c>
      <c r="X1084" s="24">
        <v>0</v>
      </c>
      <c r="Y1084" s="24">
        <v>0</v>
      </c>
      <c r="Z1084" s="24">
        <v>0</v>
      </c>
      <c r="AA1084" s="24">
        <v>0</v>
      </c>
      <c r="AB1084" s="24">
        <v>0</v>
      </c>
      <c r="AC1084" s="30">
        <f t="shared" si="350"/>
        <v>0</v>
      </c>
      <c r="AD1084" s="28"/>
      <c r="AE1084" s="12"/>
      <c r="AF1084" s="29"/>
      <c r="AG1084" s="9"/>
      <c r="AH1084" s="10"/>
      <c r="AI1084" s="9"/>
      <c r="AJ1084" s="11"/>
      <c r="AK1084" s="9"/>
      <c r="AL1084" s="13"/>
      <c r="AM1084" s="9"/>
    </row>
    <row r="1085" spans="1:39" x14ac:dyDescent="0.3">
      <c r="A1085" s="2" t="str">
        <f t="shared" si="348"/>
        <v>NÃO</v>
      </c>
      <c r="B1085" s="2" t="str">
        <f>_xlfn.XLOOKUP($N1085,'Base de Grupos'!$A:$A,'Base de Grupos'!$D:$D)</f>
        <v>1000065763</v>
      </c>
      <c r="C1085" s="5" t="str">
        <f>_xlfn.XLOOKUP($N1085,'Base de Grupos'!$A:$A,'Base de Grupos'!$E:$E)</f>
        <v>CANAL VENDA INTERNA</v>
      </c>
      <c r="D1085" s="5" t="str">
        <f>_xlfn.XLOOKUP($N1085,'Base de Grupos'!$A:$A,'Base de Grupos'!$F:$F)</f>
        <v>1000065763</v>
      </c>
      <c r="E1085" s="2" t="str">
        <f>_xlfn.XLOOKUP($N1085,'Base de Grupos'!$A:$A,'Base de Grupos'!$G:$G)</f>
        <v>CANAL VENDA INTERNA</v>
      </c>
      <c r="F1085" s="2" t="str">
        <f>_xlfn.XLOOKUP($N1085,'Base de Grupos'!$A:$A,'Base de Grupos'!$H:$H)</f>
        <v>1000174119</v>
      </c>
      <c r="G1085" s="5" t="str">
        <f>_xlfn.XLOOKUP($N1085,'Base de Grupos'!$A:$A,'Base de Grupos'!$I:$I)</f>
        <v>REGIONAL VENDA INTERNA - CONVENIENCIA</v>
      </c>
      <c r="H1085" s="5" t="str">
        <f>_xlfn.XLOOKUP($N1085,'Base de Grupos'!$A:$A,'Base de Grupos'!$J:$J)</f>
        <v>1000174119</v>
      </c>
      <c r="I1085" s="2" t="str">
        <f>_xlfn.XLOOKUP($N1085,'Base de Grupos'!$A:$A,'Base de Grupos'!$K:$K)</f>
        <v>REGIONAL VENDA INTERNA - CONVENIENCIA</v>
      </c>
      <c r="J1085" s="2" t="str">
        <f>_xlfn.XLOOKUP($N1085,'Base de Grupos'!$A:$A,'Base de Grupos'!$L:$L)</f>
        <v>1000174119</v>
      </c>
      <c r="K1085" s="5" t="str">
        <f>_xlfn.XLOOKUP($N1085,'Base de Grupos'!$A:$A,'Base de Grupos'!$M:$M)</f>
        <v>REGIONAL VENDA INTERNA - CONVENIENCIA</v>
      </c>
      <c r="L1085" s="5" t="str">
        <f t="shared" si="349"/>
        <v/>
      </c>
      <c r="M1085" s="5" t="str">
        <f>_xlfn.XLOOKUP($N1085,'Base de Grupos'!$A:$A,'Base de Grupos'!$C:$C)</f>
        <v>SP</v>
      </c>
      <c r="N1085" s="3">
        <v>1525</v>
      </c>
      <c r="O1085" s="4" t="s">
        <v>284</v>
      </c>
      <c r="P1085" s="5" t="s">
        <v>82</v>
      </c>
      <c r="Q1085" s="24">
        <v>0</v>
      </c>
      <c r="R1085" s="24">
        <v>0</v>
      </c>
      <c r="S1085" s="24">
        <v>0</v>
      </c>
      <c r="T1085" s="24">
        <v>0</v>
      </c>
      <c r="U1085" s="24">
        <v>0</v>
      </c>
      <c r="V1085" s="24">
        <v>0</v>
      </c>
      <c r="W1085" s="24">
        <v>0</v>
      </c>
      <c r="X1085" s="24">
        <v>0</v>
      </c>
      <c r="Y1085" s="24">
        <v>0</v>
      </c>
      <c r="Z1085" s="24">
        <v>0</v>
      </c>
      <c r="AA1085" s="24">
        <v>0</v>
      </c>
      <c r="AB1085" s="24">
        <v>0</v>
      </c>
      <c r="AC1085" s="30">
        <f t="shared" si="350"/>
        <v>0</v>
      </c>
      <c r="AD1085" s="28"/>
      <c r="AE1085" s="12"/>
      <c r="AF1085" s="29"/>
      <c r="AG1085" s="9"/>
      <c r="AH1085" s="10"/>
      <c r="AI1085" s="9"/>
      <c r="AJ1085" s="11"/>
      <c r="AK1085" s="9"/>
      <c r="AL1085" s="13"/>
      <c r="AM1085" s="9"/>
    </row>
    <row r="1086" spans="1:39" x14ac:dyDescent="0.3">
      <c r="A1086" s="2" t="str">
        <f t="shared" si="348"/>
        <v>NÃO</v>
      </c>
      <c r="B1086" s="2" t="str">
        <f>_xlfn.XLOOKUP($N1086,'Base de Grupos'!$A:$A,'Base de Grupos'!$D:$D)</f>
        <v>1000065763</v>
      </c>
      <c r="C1086" s="5" t="str">
        <f>_xlfn.XLOOKUP($N1086,'Base de Grupos'!$A:$A,'Base de Grupos'!$E:$E)</f>
        <v>CANAL VENDA INTERNA</v>
      </c>
      <c r="D1086" s="5" t="str">
        <f>_xlfn.XLOOKUP($N1086,'Base de Grupos'!$A:$A,'Base de Grupos'!$F:$F)</f>
        <v>1000065763</v>
      </c>
      <c r="E1086" s="2" t="str">
        <f>_xlfn.XLOOKUP($N1086,'Base de Grupos'!$A:$A,'Base de Grupos'!$G:$G)</f>
        <v>CANAL VENDA INTERNA</v>
      </c>
      <c r="F1086" s="2" t="str">
        <f>_xlfn.XLOOKUP($N1086,'Base de Grupos'!$A:$A,'Base de Grupos'!$H:$H)</f>
        <v>1000174119</v>
      </c>
      <c r="G1086" s="5" t="str">
        <f>_xlfn.XLOOKUP($N1086,'Base de Grupos'!$A:$A,'Base de Grupos'!$I:$I)</f>
        <v>REGIONAL VENDA INTERNA - CONVENIENCIA</v>
      </c>
      <c r="H1086" s="5" t="str">
        <f>_xlfn.XLOOKUP($N1086,'Base de Grupos'!$A:$A,'Base de Grupos'!$J:$J)</f>
        <v>1000174119</v>
      </c>
      <c r="I1086" s="2" t="str">
        <f>_xlfn.XLOOKUP($N1086,'Base de Grupos'!$A:$A,'Base de Grupos'!$K:$K)</f>
        <v>REGIONAL VENDA INTERNA - CONVENIENCIA</v>
      </c>
      <c r="J1086" s="2" t="str">
        <f>_xlfn.XLOOKUP($N1086,'Base de Grupos'!$A:$A,'Base de Grupos'!$L:$L)</f>
        <v>1000174119</v>
      </c>
      <c r="K1086" s="5" t="str">
        <f>_xlfn.XLOOKUP($N1086,'Base de Grupos'!$A:$A,'Base de Grupos'!$M:$M)</f>
        <v>REGIONAL VENDA INTERNA - CONVENIENCIA</v>
      </c>
      <c r="L1086" s="5" t="str">
        <f t="shared" si="349"/>
        <v/>
      </c>
      <c r="M1086" s="5" t="str">
        <f>_xlfn.XLOOKUP($N1086,'Base de Grupos'!$A:$A,'Base de Grupos'!$C:$C)</f>
        <v>SP</v>
      </c>
      <c r="N1086" s="3">
        <v>1525</v>
      </c>
      <c r="O1086" s="4" t="s">
        <v>284</v>
      </c>
      <c r="P1086" s="5" t="s">
        <v>84</v>
      </c>
      <c r="Q1086" s="24">
        <v>0</v>
      </c>
      <c r="R1086" s="24">
        <v>0</v>
      </c>
      <c r="S1086" s="24">
        <v>0</v>
      </c>
      <c r="T1086" s="24">
        <v>0</v>
      </c>
      <c r="U1086" s="24">
        <v>0</v>
      </c>
      <c r="V1086" s="24">
        <v>0</v>
      </c>
      <c r="W1086" s="24">
        <v>0</v>
      </c>
      <c r="X1086" s="24">
        <v>0</v>
      </c>
      <c r="Y1086" s="24">
        <v>0</v>
      </c>
      <c r="Z1086" s="24">
        <v>0</v>
      </c>
      <c r="AA1086" s="24">
        <v>0</v>
      </c>
      <c r="AB1086" s="24">
        <v>0</v>
      </c>
      <c r="AC1086" s="30">
        <f t="shared" si="350"/>
        <v>0</v>
      </c>
      <c r="AD1086" s="28"/>
      <c r="AE1086" s="12"/>
      <c r="AF1086" s="29"/>
      <c r="AG1086" s="9"/>
      <c r="AH1086" s="10"/>
      <c r="AI1086" s="9"/>
      <c r="AJ1086" s="11"/>
      <c r="AK1086" s="9"/>
      <c r="AL1086" s="13"/>
      <c r="AM1086" s="9"/>
    </row>
    <row r="1087" spans="1:39" x14ac:dyDescent="0.3">
      <c r="A1087" s="2" t="str">
        <f t="shared" si="348"/>
        <v>NÃO</v>
      </c>
      <c r="B1087" s="2" t="str">
        <f>_xlfn.XLOOKUP($N1087,'Base de Grupos'!$A:$A,'Base de Grupos'!$D:$D)</f>
        <v>1000065763</v>
      </c>
      <c r="C1087" s="5" t="str">
        <f>_xlfn.XLOOKUP($N1087,'Base de Grupos'!$A:$A,'Base de Grupos'!$E:$E)</f>
        <v>CANAL VENDA INTERNA</v>
      </c>
      <c r="D1087" s="5" t="str">
        <f>_xlfn.XLOOKUP($N1087,'Base de Grupos'!$A:$A,'Base de Grupos'!$F:$F)</f>
        <v>1000065763</v>
      </c>
      <c r="E1087" s="2" t="str">
        <f>_xlfn.XLOOKUP($N1087,'Base de Grupos'!$A:$A,'Base de Grupos'!$G:$G)</f>
        <v>CANAL VENDA INTERNA</v>
      </c>
      <c r="F1087" s="2" t="str">
        <f>_xlfn.XLOOKUP($N1087,'Base de Grupos'!$A:$A,'Base de Grupos'!$H:$H)</f>
        <v>1000174119</v>
      </c>
      <c r="G1087" s="5" t="str">
        <f>_xlfn.XLOOKUP($N1087,'Base de Grupos'!$A:$A,'Base de Grupos'!$I:$I)</f>
        <v>REGIONAL VENDA INTERNA - CONVENIENCIA</v>
      </c>
      <c r="H1087" s="5" t="str">
        <f>_xlfn.XLOOKUP($N1087,'Base de Grupos'!$A:$A,'Base de Grupos'!$J:$J)</f>
        <v>1000174119</v>
      </c>
      <c r="I1087" s="2" t="str">
        <f>_xlfn.XLOOKUP($N1087,'Base de Grupos'!$A:$A,'Base de Grupos'!$K:$K)</f>
        <v>REGIONAL VENDA INTERNA - CONVENIENCIA</v>
      </c>
      <c r="J1087" s="2" t="str">
        <f>_xlfn.XLOOKUP($N1087,'Base de Grupos'!$A:$A,'Base de Grupos'!$L:$L)</f>
        <v>1000174119</v>
      </c>
      <c r="K1087" s="5" t="str">
        <f>_xlfn.XLOOKUP($N1087,'Base de Grupos'!$A:$A,'Base de Grupos'!$M:$M)</f>
        <v>REGIONAL VENDA INTERNA - CONVENIENCIA</v>
      </c>
      <c r="L1087" s="5" t="str">
        <f t="shared" si="349"/>
        <v/>
      </c>
      <c r="M1087" s="5" t="str">
        <f>_xlfn.XLOOKUP($N1087,'Base de Grupos'!$A:$A,'Base de Grupos'!$C:$C)</f>
        <v>SP</v>
      </c>
      <c r="N1087" s="3">
        <v>1525</v>
      </c>
      <c r="O1087" s="4" t="s">
        <v>284</v>
      </c>
      <c r="P1087" s="5" t="s">
        <v>83</v>
      </c>
      <c r="Q1087" s="24">
        <v>0</v>
      </c>
      <c r="R1087" s="24">
        <v>0</v>
      </c>
      <c r="S1087" s="24">
        <v>0</v>
      </c>
      <c r="T1087" s="24">
        <v>0</v>
      </c>
      <c r="U1087" s="24">
        <v>0</v>
      </c>
      <c r="V1087" s="24">
        <v>0</v>
      </c>
      <c r="W1087" s="24">
        <v>0</v>
      </c>
      <c r="X1087" s="24">
        <v>0</v>
      </c>
      <c r="Y1087" s="24">
        <v>0</v>
      </c>
      <c r="Z1087" s="24">
        <v>0</v>
      </c>
      <c r="AA1087" s="24">
        <v>0</v>
      </c>
      <c r="AB1087" s="24">
        <v>0</v>
      </c>
      <c r="AC1087" s="30">
        <f t="shared" si="350"/>
        <v>0</v>
      </c>
      <c r="AD1087" s="28"/>
      <c r="AE1087" s="12"/>
      <c r="AF1087" s="29"/>
      <c r="AG1087" s="9"/>
      <c r="AH1087" s="10"/>
      <c r="AI1087" s="9"/>
      <c r="AJ1087" s="11"/>
      <c r="AK1087" s="9"/>
      <c r="AL1087" s="13"/>
      <c r="AM1087" s="9"/>
    </row>
    <row r="1088" spans="1:39" x14ac:dyDescent="0.3">
      <c r="A1088" s="2" t="str">
        <f t="shared" si="348"/>
        <v>NÃO</v>
      </c>
      <c r="B1088" s="2" t="str">
        <f>_xlfn.XLOOKUP($N1088,'Base de Grupos'!$A:$A,'Base de Grupos'!$D:$D)</f>
        <v>1000065763</v>
      </c>
      <c r="C1088" s="5" t="str">
        <f>_xlfn.XLOOKUP($N1088,'Base de Grupos'!$A:$A,'Base de Grupos'!$E:$E)</f>
        <v>CANAL VENDA INTERNA</v>
      </c>
      <c r="D1088" s="5" t="str">
        <f>_xlfn.XLOOKUP($N1088,'Base de Grupos'!$A:$A,'Base de Grupos'!$F:$F)</f>
        <v>1000065763</v>
      </c>
      <c r="E1088" s="2" t="str">
        <f>_xlfn.XLOOKUP($N1088,'Base de Grupos'!$A:$A,'Base de Grupos'!$G:$G)</f>
        <v>CANAL VENDA INTERNA</v>
      </c>
      <c r="F1088" s="2" t="str">
        <f>_xlfn.XLOOKUP($N1088,'Base de Grupos'!$A:$A,'Base de Grupos'!$H:$H)</f>
        <v>1000174119</v>
      </c>
      <c r="G1088" s="5" t="str">
        <f>_xlfn.XLOOKUP($N1088,'Base de Grupos'!$A:$A,'Base de Grupos'!$I:$I)</f>
        <v>REGIONAL VENDA INTERNA - CONVENIENCIA</v>
      </c>
      <c r="H1088" s="5" t="str">
        <f>_xlfn.XLOOKUP($N1088,'Base de Grupos'!$A:$A,'Base de Grupos'!$J:$J)</f>
        <v>1000174119</v>
      </c>
      <c r="I1088" s="2" t="str">
        <f>_xlfn.XLOOKUP($N1088,'Base de Grupos'!$A:$A,'Base de Grupos'!$K:$K)</f>
        <v>REGIONAL VENDA INTERNA - CONVENIENCIA</v>
      </c>
      <c r="J1088" s="2" t="str">
        <f>_xlfn.XLOOKUP($N1088,'Base de Grupos'!$A:$A,'Base de Grupos'!$L:$L)</f>
        <v>1000174119</v>
      </c>
      <c r="K1088" s="5" t="str">
        <f>_xlfn.XLOOKUP($N1088,'Base de Grupos'!$A:$A,'Base de Grupos'!$M:$M)</f>
        <v>REGIONAL VENDA INTERNA - CONVENIENCIA</v>
      </c>
      <c r="L1088" s="5" t="str">
        <f t="shared" si="349"/>
        <v/>
      </c>
      <c r="M1088" s="5" t="str">
        <f>_xlfn.XLOOKUP($N1088,'Base de Grupos'!$A:$A,'Base de Grupos'!$C:$C)</f>
        <v>SP</v>
      </c>
      <c r="N1088" s="3">
        <v>1525</v>
      </c>
      <c r="O1088" s="4" t="s">
        <v>284</v>
      </c>
      <c r="P1088" s="5" t="s">
        <v>87</v>
      </c>
      <c r="Q1088" s="24">
        <v>0</v>
      </c>
      <c r="R1088" s="24">
        <v>0</v>
      </c>
      <c r="S1088" s="24">
        <v>0</v>
      </c>
      <c r="T1088" s="24">
        <v>0</v>
      </c>
      <c r="U1088" s="24">
        <v>0</v>
      </c>
      <c r="V1088" s="24">
        <v>0</v>
      </c>
      <c r="W1088" s="24">
        <v>0</v>
      </c>
      <c r="X1088" s="24">
        <v>0</v>
      </c>
      <c r="Y1088" s="24">
        <v>0</v>
      </c>
      <c r="Z1088" s="24">
        <v>0</v>
      </c>
      <c r="AA1088" s="24">
        <v>0</v>
      </c>
      <c r="AB1088" s="24">
        <v>0</v>
      </c>
      <c r="AC1088" s="30">
        <f t="shared" si="350"/>
        <v>0</v>
      </c>
      <c r="AD1088" s="28"/>
      <c r="AE1088" s="12"/>
      <c r="AF1088" s="29"/>
      <c r="AG1088" s="9"/>
      <c r="AH1088" s="10"/>
      <c r="AI1088" s="9"/>
      <c r="AJ1088" s="11"/>
      <c r="AK1088" s="9"/>
      <c r="AL1088" s="13"/>
      <c r="AM1088" s="9"/>
    </row>
    <row r="1089" spans="1:39" x14ac:dyDescent="0.3">
      <c r="A1089" s="2" t="str">
        <f t="shared" si="348"/>
        <v>NÃO</v>
      </c>
      <c r="B1089" s="2" t="str">
        <f>_xlfn.XLOOKUP($N1089,'Base de Grupos'!$A:$A,'Base de Grupos'!$D:$D)</f>
        <v>1000065763</v>
      </c>
      <c r="C1089" s="5" t="str">
        <f>_xlfn.XLOOKUP($N1089,'Base de Grupos'!$A:$A,'Base de Grupos'!$E:$E)</f>
        <v>CANAL VENDA INTERNA</v>
      </c>
      <c r="D1089" s="5" t="str">
        <f>_xlfn.XLOOKUP($N1089,'Base de Grupos'!$A:$A,'Base de Grupos'!$F:$F)</f>
        <v>1000065763</v>
      </c>
      <c r="E1089" s="2" t="str">
        <f>_xlfn.XLOOKUP($N1089,'Base de Grupos'!$A:$A,'Base de Grupos'!$G:$G)</f>
        <v>CANAL VENDA INTERNA</v>
      </c>
      <c r="F1089" s="2" t="str">
        <f>_xlfn.XLOOKUP($N1089,'Base de Grupos'!$A:$A,'Base de Grupos'!$H:$H)</f>
        <v>1000174119</v>
      </c>
      <c r="G1089" s="5" t="str">
        <f>_xlfn.XLOOKUP($N1089,'Base de Grupos'!$A:$A,'Base de Grupos'!$I:$I)</f>
        <v>REGIONAL VENDA INTERNA - CONVENIENCIA</v>
      </c>
      <c r="H1089" s="5" t="str">
        <f>_xlfn.XLOOKUP($N1089,'Base de Grupos'!$A:$A,'Base de Grupos'!$J:$J)</f>
        <v>1000174119</v>
      </c>
      <c r="I1089" s="2" t="str">
        <f>_xlfn.XLOOKUP($N1089,'Base de Grupos'!$A:$A,'Base de Grupos'!$K:$K)</f>
        <v>REGIONAL VENDA INTERNA - CONVENIENCIA</v>
      </c>
      <c r="J1089" s="2" t="str">
        <f>_xlfn.XLOOKUP($N1089,'Base de Grupos'!$A:$A,'Base de Grupos'!$L:$L)</f>
        <v>1000174119</v>
      </c>
      <c r="K1089" s="5" t="str">
        <f>_xlfn.XLOOKUP($N1089,'Base de Grupos'!$A:$A,'Base de Grupos'!$M:$M)</f>
        <v>REGIONAL VENDA INTERNA - CONVENIENCIA</v>
      </c>
      <c r="L1089" s="5" t="str">
        <f t="shared" si="349"/>
        <v/>
      </c>
      <c r="M1089" s="5" t="str">
        <f>_xlfn.XLOOKUP($N1089,'Base de Grupos'!$A:$A,'Base de Grupos'!$C:$C)</f>
        <v>SP</v>
      </c>
      <c r="N1089" s="3">
        <v>1525</v>
      </c>
      <c r="O1089" s="4" t="s">
        <v>284</v>
      </c>
      <c r="P1089" s="5" t="s">
        <v>85</v>
      </c>
      <c r="Q1089" s="24">
        <v>0</v>
      </c>
      <c r="R1089" s="24">
        <v>0</v>
      </c>
      <c r="S1089" s="24">
        <v>0</v>
      </c>
      <c r="T1089" s="24">
        <v>0</v>
      </c>
      <c r="U1089" s="24">
        <v>0</v>
      </c>
      <c r="V1089" s="24">
        <v>0</v>
      </c>
      <c r="W1089" s="24">
        <v>0</v>
      </c>
      <c r="X1089" s="24">
        <v>0</v>
      </c>
      <c r="Y1089" s="24">
        <v>0</v>
      </c>
      <c r="Z1089" s="24">
        <v>0</v>
      </c>
      <c r="AA1089" s="24">
        <v>0</v>
      </c>
      <c r="AB1089" s="24">
        <v>0</v>
      </c>
      <c r="AC1089" s="30">
        <f t="shared" si="350"/>
        <v>0</v>
      </c>
      <c r="AD1089" s="28"/>
      <c r="AE1089" s="12"/>
      <c r="AF1089" s="29"/>
      <c r="AG1089" s="9"/>
      <c r="AH1089" s="10"/>
      <c r="AI1089" s="9"/>
      <c r="AJ1089" s="11"/>
      <c r="AK1089" s="9"/>
      <c r="AL1089" s="13"/>
      <c r="AM1089" s="9"/>
    </row>
    <row r="1090" spans="1:39" x14ac:dyDescent="0.3">
      <c r="A1090" s="2" t="str">
        <f t="shared" si="348"/>
        <v>NÃO</v>
      </c>
      <c r="B1090" s="2" t="str">
        <f>_xlfn.XLOOKUP($N1090,'Base de Grupos'!$A:$A,'Base de Grupos'!$D:$D)</f>
        <v>1000065763</v>
      </c>
      <c r="C1090" s="5" t="str">
        <f>_xlfn.XLOOKUP($N1090,'Base de Grupos'!$A:$A,'Base de Grupos'!$E:$E)</f>
        <v>CANAL VENDA INTERNA</v>
      </c>
      <c r="D1090" s="5" t="str">
        <f>_xlfn.XLOOKUP($N1090,'Base de Grupos'!$A:$A,'Base de Grupos'!$F:$F)</f>
        <v>1000065763</v>
      </c>
      <c r="E1090" s="2" t="str">
        <f>_xlfn.XLOOKUP($N1090,'Base de Grupos'!$A:$A,'Base de Grupos'!$G:$G)</f>
        <v>CANAL VENDA INTERNA</v>
      </c>
      <c r="F1090" s="2" t="str">
        <f>_xlfn.XLOOKUP($N1090,'Base de Grupos'!$A:$A,'Base de Grupos'!$H:$H)</f>
        <v>1000174119</v>
      </c>
      <c r="G1090" s="5" t="str">
        <f>_xlfn.XLOOKUP($N1090,'Base de Grupos'!$A:$A,'Base de Grupos'!$I:$I)</f>
        <v>REGIONAL VENDA INTERNA - CONVENIENCIA</v>
      </c>
      <c r="H1090" s="5" t="str">
        <f>_xlfn.XLOOKUP($N1090,'Base de Grupos'!$A:$A,'Base de Grupos'!$J:$J)</f>
        <v>1000174119</v>
      </c>
      <c r="I1090" s="2" t="str">
        <f>_xlfn.XLOOKUP($N1090,'Base de Grupos'!$A:$A,'Base de Grupos'!$K:$K)</f>
        <v>REGIONAL VENDA INTERNA - CONVENIENCIA</v>
      </c>
      <c r="J1090" s="2" t="str">
        <f>_xlfn.XLOOKUP($N1090,'Base de Grupos'!$A:$A,'Base de Grupos'!$L:$L)</f>
        <v>1000174119</v>
      </c>
      <c r="K1090" s="5" t="str">
        <f>_xlfn.XLOOKUP($N1090,'Base de Grupos'!$A:$A,'Base de Grupos'!$M:$M)</f>
        <v>REGIONAL VENDA INTERNA - CONVENIENCIA</v>
      </c>
      <c r="L1090" s="5" t="str">
        <f t="shared" si="349"/>
        <v/>
      </c>
      <c r="M1090" s="5" t="str">
        <f>_xlfn.XLOOKUP($N1090,'Base de Grupos'!$A:$A,'Base de Grupos'!$C:$C)</f>
        <v>SP</v>
      </c>
      <c r="N1090" s="3">
        <v>1525</v>
      </c>
      <c r="O1090" s="4" t="s">
        <v>284</v>
      </c>
      <c r="P1090" s="5" t="s">
        <v>92</v>
      </c>
      <c r="Q1090" s="24">
        <v>0</v>
      </c>
      <c r="R1090" s="24">
        <v>0</v>
      </c>
      <c r="S1090" s="24">
        <v>0</v>
      </c>
      <c r="T1090" s="24">
        <v>0</v>
      </c>
      <c r="U1090" s="24">
        <v>0</v>
      </c>
      <c r="V1090" s="24">
        <v>0</v>
      </c>
      <c r="W1090" s="24">
        <v>0</v>
      </c>
      <c r="X1090" s="24">
        <v>0</v>
      </c>
      <c r="Y1090" s="24">
        <v>0</v>
      </c>
      <c r="Z1090" s="24">
        <v>0</v>
      </c>
      <c r="AA1090" s="24">
        <v>0</v>
      </c>
      <c r="AB1090" s="24">
        <v>0</v>
      </c>
      <c r="AC1090" s="30">
        <f t="shared" si="350"/>
        <v>0</v>
      </c>
      <c r="AD1090" s="28"/>
      <c r="AE1090" s="12"/>
      <c r="AF1090" s="29"/>
      <c r="AG1090" s="9"/>
      <c r="AH1090" s="10"/>
      <c r="AI1090" s="9"/>
      <c r="AJ1090" s="11"/>
      <c r="AK1090" s="9"/>
      <c r="AL1090" s="13"/>
      <c r="AM1090" s="9"/>
    </row>
    <row r="1091" spans="1:39" x14ac:dyDescent="0.3">
      <c r="A1091" s="2" t="str">
        <f t="shared" si="348"/>
        <v>NÃO</v>
      </c>
      <c r="B1091" s="2" t="str">
        <f>_xlfn.XLOOKUP($N1091,'Base de Grupos'!$A:$A,'Base de Grupos'!$D:$D)</f>
        <v>1000065763</v>
      </c>
      <c r="C1091" s="5" t="str">
        <f>_xlfn.XLOOKUP($N1091,'Base de Grupos'!$A:$A,'Base de Grupos'!$E:$E)</f>
        <v>CANAL VENDA INTERNA</v>
      </c>
      <c r="D1091" s="5" t="str">
        <f>_xlfn.XLOOKUP($N1091,'Base de Grupos'!$A:$A,'Base de Grupos'!$F:$F)</f>
        <v>1000065763</v>
      </c>
      <c r="E1091" s="2" t="str">
        <f>_xlfn.XLOOKUP($N1091,'Base de Grupos'!$A:$A,'Base de Grupos'!$G:$G)</f>
        <v>CANAL VENDA INTERNA</v>
      </c>
      <c r="F1091" s="2" t="str">
        <f>_xlfn.XLOOKUP($N1091,'Base de Grupos'!$A:$A,'Base de Grupos'!$H:$H)</f>
        <v>1000174119</v>
      </c>
      <c r="G1091" s="5" t="str">
        <f>_xlfn.XLOOKUP($N1091,'Base de Grupos'!$A:$A,'Base de Grupos'!$I:$I)</f>
        <v>REGIONAL VENDA INTERNA - CONVENIENCIA</v>
      </c>
      <c r="H1091" s="5" t="str">
        <f>_xlfn.XLOOKUP($N1091,'Base de Grupos'!$A:$A,'Base de Grupos'!$J:$J)</f>
        <v>1000174119</v>
      </c>
      <c r="I1091" s="2" t="str">
        <f>_xlfn.XLOOKUP($N1091,'Base de Grupos'!$A:$A,'Base de Grupos'!$K:$K)</f>
        <v>REGIONAL VENDA INTERNA - CONVENIENCIA</v>
      </c>
      <c r="J1091" s="2" t="str">
        <f>_xlfn.XLOOKUP($N1091,'Base de Grupos'!$A:$A,'Base de Grupos'!$L:$L)</f>
        <v>1000174119</v>
      </c>
      <c r="K1091" s="5" t="str">
        <f>_xlfn.XLOOKUP($N1091,'Base de Grupos'!$A:$A,'Base de Grupos'!$M:$M)</f>
        <v>REGIONAL VENDA INTERNA - CONVENIENCIA</v>
      </c>
      <c r="L1091" s="5" t="str">
        <f t="shared" si="349"/>
        <v/>
      </c>
      <c r="M1091" s="5" t="str">
        <f>_xlfn.XLOOKUP($N1091,'Base de Grupos'!$A:$A,'Base de Grupos'!$C:$C)</f>
        <v>SP</v>
      </c>
      <c r="N1091" s="3">
        <v>1525</v>
      </c>
      <c r="O1091" s="4" t="s">
        <v>284</v>
      </c>
      <c r="P1091" s="5" t="s">
        <v>86</v>
      </c>
      <c r="Q1091" s="24">
        <v>0</v>
      </c>
      <c r="R1091" s="24">
        <v>0</v>
      </c>
      <c r="S1091" s="24">
        <v>0</v>
      </c>
      <c r="T1091" s="24">
        <v>0</v>
      </c>
      <c r="U1091" s="24">
        <v>0</v>
      </c>
      <c r="V1091" s="24">
        <v>0</v>
      </c>
      <c r="W1091" s="24">
        <v>0</v>
      </c>
      <c r="X1091" s="24">
        <v>0</v>
      </c>
      <c r="Y1091" s="24">
        <v>0</v>
      </c>
      <c r="Z1091" s="24">
        <v>0</v>
      </c>
      <c r="AA1091" s="24">
        <v>0</v>
      </c>
      <c r="AB1091" s="24">
        <v>0</v>
      </c>
      <c r="AC1091" s="30">
        <f t="shared" si="350"/>
        <v>0</v>
      </c>
      <c r="AD1091" s="28"/>
      <c r="AE1091" s="12"/>
      <c r="AF1091" s="29"/>
      <c r="AG1091" s="9"/>
      <c r="AH1091" s="10"/>
      <c r="AI1091" s="9"/>
      <c r="AJ1091" s="11"/>
      <c r="AK1091" s="9"/>
      <c r="AL1091" s="13"/>
      <c r="AM1091" s="9"/>
    </row>
    <row r="1092" spans="1:39" x14ac:dyDescent="0.3">
      <c r="A1092" s="2" t="str">
        <f t="shared" si="348"/>
        <v>NÃO</v>
      </c>
      <c r="B1092" s="2" t="str">
        <f>_xlfn.XLOOKUP($N1092,'Base de Grupos'!$A:$A,'Base de Grupos'!$D:$D)</f>
        <v>1000065763</v>
      </c>
      <c r="C1092" s="5" t="str">
        <f>_xlfn.XLOOKUP($N1092,'Base de Grupos'!$A:$A,'Base de Grupos'!$E:$E)</f>
        <v>CANAL VENDA INTERNA</v>
      </c>
      <c r="D1092" s="5" t="str">
        <f>_xlfn.XLOOKUP($N1092,'Base de Grupos'!$A:$A,'Base de Grupos'!$F:$F)</f>
        <v>1000065763</v>
      </c>
      <c r="E1092" s="2" t="str">
        <f>_xlfn.XLOOKUP($N1092,'Base de Grupos'!$A:$A,'Base de Grupos'!$G:$G)</f>
        <v>CANAL VENDA INTERNA</v>
      </c>
      <c r="F1092" s="2" t="str">
        <f>_xlfn.XLOOKUP($N1092,'Base de Grupos'!$A:$A,'Base de Grupos'!$H:$H)</f>
        <v>1000174119</v>
      </c>
      <c r="G1092" s="5" t="str">
        <f>_xlfn.XLOOKUP($N1092,'Base de Grupos'!$A:$A,'Base de Grupos'!$I:$I)</f>
        <v>REGIONAL VENDA INTERNA - CONVENIENCIA</v>
      </c>
      <c r="H1092" s="5" t="str">
        <f>_xlfn.XLOOKUP($N1092,'Base de Grupos'!$A:$A,'Base de Grupos'!$J:$J)</f>
        <v>1000174119</v>
      </c>
      <c r="I1092" s="2" t="str">
        <f>_xlfn.XLOOKUP($N1092,'Base de Grupos'!$A:$A,'Base de Grupos'!$K:$K)</f>
        <v>REGIONAL VENDA INTERNA - CONVENIENCIA</v>
      </c>
      <c r="J1092" s="2" t="str">
        <f>_xlfn.XLOOKUP($N1092,'Base de Grupos'!$A:$A,'Base de Grupos'!$L:$L)</f>
        <v>1000174119</v>
      </c>
      <c r="K1092" s="5" t="str">
        <f>_xlfn.XLOOKUP($N1092,'Base de Grupos'!$A:$A,'Base de Grupos'!$M:$M)</f>
        <v>REGIONAL VENDA INTERNA - CONVENIENCIA</v>
      </c>
      <c r="L1092" s="5" t="str">
        <f t="shared" si="349"/>
        <v/>
      </c>
      <c r="M1092" s="5" t="str">
        <f>_xlfn.XLOOKUP($N1092,'Base de Grupos'!$A:$A,'Base de Grupos'!$C:$C)</f>
        <v>SP</v>
      </c>
      <c r="N1092" s="3">
        <v>1525</v>
      </c>
      <c r="O1092" s="4" t="s">
        <v>284</v>
      </c>
      <c r="P1092" s="5" t="s">
        <v>108</v>
      </c>
      <c r="Q1092" s="24">
        <v>0</v>
      </c>
      <c r="R1092" s="24">
        <v>0</v>
      </c>
      <c r="S1092" s="24">
        <v>0</v>
      </c>
      <c r="T1092" s="24">
        <v>0</v>
      </c>
      <c r="U1092" s="24">
        <v>0</v>
      </c>
      <c r="V1092" s="24">
        <v>0</v>
      </c>
      <c r="W1092" s="24">
        <v>0</v>
      </c>
      <c r="X1092" s="24">
        <v>0</v>
      </c>
      <c r="Y1092" s="24">
        <v>0</v>
      </c>
      <c r="Z1092" s="24">
        <v>0</v>
      </c>
      <c r="AA1092" s="24">
        <v>0</v>
      </c>
      <c r="AB1092" s="24">
        <v>0</v>
      </c>
      <c r="AC1092" s="30">
        <f t="shared" si="350"/>
        <v>0</v>
      </c>
      <c r="AD1092" s="28"/>
      <c r="AE1092" s="12"/>
      <c r="AF1092" s="29"/>
      <c r="AG1092" s="9"/>
      <c r="AH1092" s="10"/>
      <c r="AI1092" s="9"/>
      <c r="AJ1092" s="11"/>
      <c r="AK1092" s="9"/>
      <c r="AL1092" s="13"/>
      <c r="AM1092" s="9"/>
    </row>
    <row r="1093" spans="1:39" x14ac:dyDescent="0.3">
      <c r="A1093" s="2" t="str">
        <f t="shared" si="348"/>
        <v>NÃO</v>
      </c>
      <c r="B1093" s="2" t="str">
        <f>_xlfn.XLOOKUP($N1093,'Base de Grupos'!$A:$A,'Base de Grupos'!$D:$D)</f>
        <v>1000065763</v>
      </c>
      <c r="C1093" s="5" t="str">
        <f>_xlfn.XLOOKUP($N1093,'Base de Grupos'!$A:$A,'Base de Grupos'!$E:$E)</f>
        <v>CANAL VENDA INTERNA</v>
      </c>
      <c r="D1093" s="5" t="str">
        <f>_xlfn.XLOOKUP($N1093,'Base de Grupos'!$A:$A,'Base de Grupos'!$F:$F)</f>
        <v>1000065763</v>
      </c>
      <c r="E1093" s="2" t="str">
        <f>_xlfn.XLOOKUP($N1093,'Base de Grupos'!$A:$A,'Base de Grupos'!$G:$G)</f>
        <v>CANAL VENDA INTERNA</v>
      </c>
      <c r="F1093" s="2" t="str">
        <f>_xlfn.XLOOKUP($N1093,'Base de Grupos'!$A:$A,'Base de Grupos'!$H:$H)</f>
        <v>1000174119</v>
      </c>
      <c r="G1093" s="5" t="str">
        <f>_xlfn.XLOOKUP($N1093,'Base de Grupos'!$A:$A,'Base de Grupos'!$I:$I)</f>
        <v>REGIONAL VENDA INTERNA - CONVENIENCIA</v>
      </c>
      <c r="H1093" s="5" t="str">
        <f>_xlfn.XLOOKUP($N1093,'Base de Grupos'!$A:$A,'Base de Grupos'!$J:$J)</f>
        <v>1000174119</v>
      </c>
      <c r="I1093" s="2" t="str">
        <f>_xlfn.XLOOKUP($N1093,'Base de Grupos'!$A:$A,'Base de Grupos'!$K:$K)</f>
        <v>REGIONAL VENDA INTERNA - CONVENIENCIA</v>
      </c>
      <c r="J1093" s="2" t="str">
        <f>_xlfn.XLOOKUP($N1093,'Base de Grupos'!$A:$A,'Base de Grupos'!$L:$L)</f>
        <v>1000174119</v>
      </c>
      <c r="K1093" s="5" t="str">
        <f>_xlfn.XLOOKUP($N1093,'Base de Grupos'!$A:$A,'Base de Grupos'!$M:$M)</f>
        <v>REGIONAL VENDA INTERNA - CONVENIENCIA</v>
      </c>
      <c r="L1093" s="5" t="str">
        <f t="shared" si="349"/>
        <v/>
      </c>
      <c r="M1093" s="5" t="str">
        <f>_xlfn.XLOOKUP($N1093,'Base de Grupos'!$A:$A,'Base de Grupos'!$C:$C)</f>
        <v>SP</v>
      </c>
      <c r="N1093" s="3">
        <v>1525</v>
      </c>
      <c r="O1093" s="4" t="s">
        <v>284</v>
      </c>
      <c r="P1093" s="5" t="s">
        <v>89</v>
      </c>
      <c r="Q1093" s="24">
        <v>0</v>
      </c>
      <c r="R1093" s="24">
        <v>0</v>
      </c>
      <c r="S1093" s="24">
        <v>0</v>
      </c>
      <c r="T1093" s="24">
        <v>0</v>
      </c>
      <c r="U1093" s="24">
        <v>0</v>
      </c>
      <c r="V1093" s="24">
        <v>0</v>
      </c>
      <c r="W1093" s="24">
        <v>0</v>
      </c>
      <c r="X1093" s="24">
        <v>0</v>
      </c>
      <c r="Y1093" s="24">
        <v>0</v>
      </c>
      <c r="Z1093" s="24">
        <v>0</v>
      </c>
      <c r="AA1093" s="24">
        <v>0</v>
      </c>
      <c r="AB1093" s="24">
        <v>0</v>
      </c>
      <c r="AC1093" s="30">
        <f t="shared" si="350"/>
        <v>0</v>
      </c>
      <c r="AD1093" s="28"/>
      <c r="AE1093" s="12"/>
      <c r="AF1093" s="29"/>
      <c r="AG1093" s="9"/>
      <c r="AH1093" s="10"/>
      <c r="AI1093" s="9"/>
      <c r="AJ1093" s="11"/>
      <c r="AK1093" s="9"/>
      <c r="AL1093" s="13"/>
      <c r="AM1093" s="9"/>
    </row>
    <row r="1094" spans="1:39" x14ac:dyDescent="0.3">
      <c r="A1094" s="2" t="str">
        <f t="shared" si="348"/>
        <v>NÃO</v>
      </c>
      <c r="B1094" s="2" t="str">
        <f>_xlfn.XLOOKUP($N1094,'Base de Grupos'!$A:$A,'Base de Grupos'!$D:$D)</f>
        <v>1000065763</v>
      </c>
      <c r="C1094" s="5" t="str">
        <f>_xlfn.XLOOKUP($N1094,'Base de Grupos'!$A:$A,'Base de Grupos'!$E:$E)</f>
        <v>CANAL VENDA INTERNA</v>
      </c>
      <c r="D1094" s="5" t="str">
        <f>_xlfn.XLOOKUP($N1094,'Base de Grupos'!$A:$A,'Base de Grupos'!$F:$F)</f>
        <v>1000065763</v>
      </c>
      <c r="E1094" s="2" t="str">
        <f>_xlfn.XLOOKUP($N1094,'Base de Grupos'!$A:$A,'Base de Grupos'!$G:$G)</f>
        <v>CANAL VENDA INTERNA</v>
      </c>
      <c r="F1094" s="2" t="str">
        <f>_xlfn.XLOOKUP($N1094,'Base de Grupos'!$A:$A,'Base de Grupos'!$H:$H)</f>
        <v>1000174119</v>
      </c>
      <c r="G1094" s="5" t="str">
        <f>_xlfn.XLOOKUP($N1094,'Base de Grupos'!$A:$A,'Base de Grupos'!$I:$I)</f>
        <v>REGIONAL VENDA INTERNA - CONVENIENCIA</v>
      </c>
      <c r="H1094" s="5" t="str">
        <f>_xlfn.XLOOKUP($N1094,'Base de Grupos'!$A:$A,'Base de Grupos'!$J:$J)</f>
        <v>1000174119</v>
      </c>
      <c r="I1094" s="2" t="str">
        <f>_xlfn.XLOOKUP($N1094,'Base de Grupos'!$A:$A,'Base de Grupos'!$K:$K)</f>
        <v>REGIONAL VENDA INTERNA - CONVENIENCIA</v>
      </c>
      <c r="J1094" s="2" t="str">
        <f>_xlfn.XLOOKUP($N1094,'Base de Grupos'!$A:$A,'Base de Grupos'!$L:$L)</f>
        <v>1000174119</v>
      </c>
      <c r="K1094" s="5" t="str">
        <f>_xlfn.XLOOKUP($N1094,'Base de Grupos'!$A:$A,'Base de Grupos'!$M:$M)</f>
        <v>REGIONAL VENDA INTERNA - CONVENIENCIA</v>
      </c>
      <c r="L1094" s="5" t="str">
        <f t="shared" si="349"/>
        <v/>
      </c>
      <c r="M1094" s="5" t="str">
        <f>_xlfn.XLOOKUP($N1094,'Base de Grupos'!$A:$A,'Base de Grupos'!$C:$C)</f>
        <v>SP</v>
      </c>
      <c r="N1094" s="3">
        <v>1525</v>
      </c>
      <c r="O1094" s="4" t="s">
        <v>284</v>
      </c>
      <c r="P1094" s="5" t="s">
        <v>88</v>
      </c>
      <c r="Q1094" s="24">
        <v>0</v>
      </c>
      <c r="R1094" s="24">
        <v>0</v>
      </c>
      <c r="S1094" s="24">
        <v>0</v>
      </c>
      <c r="T1094" s="24">
        <v>0</v>
      </c>
      <c r="U1094" s="24">
        <v>0</v>
      </c>
      <c r="V1094" s="24">
        <v>0</v>
      </c>
      <c r="W1094" s="24">
        <v>0</v>
      </c>
      <c r="X1094" s="24">
        <v>0</v>
      </c>
      <c r="Y1094" s="24">
        <v>0</v>
      </c>
      <c r="Z1094" s="24">
        <v>0</v>
      </c>
      <c r="AA1094" s="24">
        <v>0</v>
      </c>
      <c r="AB1094" s="24">
        <v>0</v>
      </c>
      <c r="AC1094" s="30">
        <f t="shared" si="350"/>
        <v>0</v>
      </c>
      <c r="AD1094" s="28"/>
      <c r="AE1094" s="12"/>
      <c r="AF1094" s="29"/>
      <c r="AG1094" s="9"/>
      <c r="AH1094" s="10"/>
      <c r="AI1094" s="9"/>
      <c r="AJ1094" s="11"/>
      <c r="AK1094" s="9"/>
      <c r="AL1094" s="13"/>
      <c r="AM1094" s="9"/>
    </row>
    <row r="1095" spans="1:39" x14ac:dyDescent="0.3">
      <c r="A1095" s="2" t="str">
        <f t="shared" si="348"/>
        <v>NÃO</v>
      </c>
      <c r="B1095" s="2" t="str">
        <f>_xlfn.XLOOKUP($N1095,'Base de Grupos'!$A:$A,'Base de Grupos'!$D:$D)</f>
        <v>1000065763</v>
      </c>
      <c r="C1095" s="5" t="str">
        <f>_xlfn.XLOOKUP($N1095,'Base de Grupos'!$A:$A,'Base de Grupos'!$E:$E)</f>
        <v>CANAL VENDA INTERNA</v>
      </c>
      <c r="D1095" s="5" t="str">
        <f>_xlfn.XLOOKUP($N1095,'Base de Grupos'!$A:$A,'Base de Grupos'!$F:$F)</f>
        <v>1000065763</v>
      </c>
      <c r="E1095" s="2" t="str">
        <f>_xlfn.XLOOKUP($N1095,'Base de Grupos'!$A:$A,'Base de Grupos'!$G:$G)</f>
        <v>CANAL VENDA INTERNA</v>
      </c>
      <c r="F1095" s="2" t="str">
        <f>_xlfn.XLOOKUP($N1095,'Base de Grupos'!$A:$A,'Base de Grupos'!$H:$H)</f>
        <v>1000174119</v>
      </c>
      <c r="G1095" s="5" t="str">
        <f>_xlfn.XLOOKUP($N1095,'Base de Grupos'!$A:$A,'Base de Grupos'!$I:$I)</f>
        <v>REGIONAL VENDA INTERNA - CONVENIENCIA</v>
      </c>
      <c r="H1095" s="5" t="str">
        <f>_xlfn.XLOOKUP($N1095,'Base de Grupos'!$A:$A,'Base de Grupos'!$J:$J)</f>
        <v>1000174119</v>
      </c>
      <c r="I1095" s="2" t="str">
        <f>_xlfn.XLOOKUP($N1095,'Base de Grupos'!$A:$A,'Base de Grupos'!$K:$K)</f>
        <v>REGIONAL VENDA INTERNA - CONVENIENCIA</v>
      </c>
      <c r="J1095" s="2" t="str">
        <f>_xlfn.XLOOKUP($N1095,'Base de Grupos'!$A:$A,'Base de Grupos'!$L:$L)</f>
        <v>1000174119</v>
      </c>
      <c r="K1095" s="5" t="str">
        <f>_xlfn.XLOOKUP($N1095,'Base de Grupos'!$A:$A,'Base de Grupos'!$M:$M)</f>
        <v>REGIONAL VENDA INTERNA - CONVENIENCIA</v>
      </c>
      <c r="L1095" s="5" t="str">
        <f t="shared" si="349"/>
        <v/>
      </c>
      <c r="M1095" s="5" t="str">
        <f>_xlfn.XLOOKUP($N1095,'Base de Grupos'!$A:$A,'Base de Grupos'!$C:$C)</f>
        <v>SP</v>
      </c>
      <c r="N1095" s="3">
        <v>1525</v>
      </c>
      <c r="O1095" s="4" t="s">
        <v>284</v>
      </c>
      <c r="P1095" s="5" t="s">
        <v>90</v>
      </c>
      <c r="Q1095" s="24">
        <v>0</v>
      </c>
      <c r="R1095" s="24">
        <v>0</v>
      </c>
      <c r="S1095" s="24">
        <v>0</v>
      </c>
      <c r="T1095" s="24">
        <v>0</v>
      </c>
      <c r="U1095" s="24">
        <v>0</v>
      </c>
      <c r="V1095" s="24">
        <v>0</v>
      </c>
      <c r="W1095" s="24">
        <v>0</v>
      </c>
      <c r="X1095" s="24">
        <v>0</v>
      </c>
      <c r="Y1095" s="24">
        <v>0</v>
      </c>
      <c r="Z1095" s="24">
        <v>0</v>
      </c>
      <c r="AA1095" s="24">
        <v>0</v>
      </c>
      <c r="AB1095" s="24">
        <v>0</v>
      </c>
      <c r="AC1095" s="30">
        <f t="shared" si="350"/>
        <v>0</v>
      </c>
      <c r="AD1095" s="28"/>
      <c r="AE1095" s="12"/>
      <c r="AF1095" s="29"/>
      <c r="AG1095" s="9"/>
      <c r="AH1095" s="10"/>
      <c r="AI1095" s="9"/>
      <c r="AJ1095" s="11"/>
      <c r="AK1095" s="9"/>
      <c r="AL1095" s="13"/>
      <c r="AM1095" s="9"/>
    </row>
    <row r="1096" spans="1:39" x14ac:dyDescent="0.3">
      <c r="A1096" s="2" t="str">
        <f t="shared" si="348"/>
        <v>NÃO</v>
      </c>
      <c r="B1096" s="2" t="str">
        <f>_xlfn.XLOOKUP($N1096,'Base de Grupos'!$A:$A,'Base de Grupos'!$D:$D)</f>
        <v>1000065763</v>
      </c>
      <c r="C1096" s="5" t="str">
        <f>_xlfn.XLOOKUP($N1096,'Base de Grupos'!$A:$A,'Base de Grupos'!$E:$E)</f>
        <v>CANAL VENDA INTERNA</v>
      </c>
      <c r="D1096" s="5" t="str">
        <f>_xlfn.XLOOKUP($N1096,'Base de Grupos'!$A:$A,'Base de Grupos'!$F:$F)</f>
        <v>1000065763</v>
      </c>
      <c r="E1096" s="2" t="str">
        <f>_xlfn.XLOOKUP($N1096,'Base de Grupos'!$A:$A,'Base de Grupos'!$G:$G)</f>
        <v>CANAL VENDA INTERNA</v>
      </c>
      <c r="F1096" s="2" t="str">
        <f>_xlfn.XLOOKUP($N1096,'Base de Grupos'!$A:$A,'Base de Grupos'!$H:$H)</f>
        <v>1000174119</v>
      </c>
      <c r="G1096" s="5" t="str">
        <f>_xlfn.XLOOKUP($N1096,'Base de Grupos'!$A:$A,'Base de Grupos'!$I:$I)</f>
        <v>REGIONAL VENDA INTERNA - CONVENIENCIA</v>
      </c>
      <c r="H1096" s="5" t="str">
        <f>_xlfn.XLOOKUP($N1096,'Base de Grupos'!$A:$A,'Base de Grupos'!$J:$J)</f>
        <v>1000174119</v>
      </c>
      <c r="I1096" s="2" t="str">
        <f>_xlfn.XLOOKUP($N1096,'Base de Grupos'!$A:$A,'Base de Grupos'!$K:$K)</f>
        <v>REGIONAL VENDA INTERNA - CONVENIENCIA</v>
      </c>
      <c r="J1096" s="2" t="str">
        <f>_xlfn.XLOOKUP($N1096,'Base de Grupos'!$A:$A,'Base de Grupos'!$L:$L)</f>
        <v>1000174119</v>
      </c>
      <c r="K1096" s="5" t="str">
        <f>_xlfn.XLOOKUP($N1096,'Base de Grupos'!$A:$A,'Base de Grupos'!$M:$M)</f>
        <v>REGIONAL VENDA INTERNA - CONVENIENCIA</v>
      </c>
      <c r="L1096" s="5" t="str">
        <f t="shared" si="349"/>
        <v/>
      </c>
      <c r="M1096" s="5" t="str">
        <f>_xlfn.XLOOKUP($N1096,'Base de Grupos'!$A:$A,'Base de Grupos'!$C:$C)</f>
        <v>SP</v>
      </c>
      <c r="N1096" s="3">
        <v>1525</v>
      </c>
      <c r="O1096" s="4" t="s">
        <v>284</v>
      </c>
      <c r="P1096" s="5" t="s">
        <v>91</v>
      </c>
      <c r="Q1096" s="24">
        <v>0</v>
      </c>
      <c r="R1096" s="24">
        <v>0</v>
      </c>
      <c r="S1096" s="24">
        <v>0</v>
      </c>
      <c r="T1096" s="24">
        <v>0</v>
      </c>
      <c r="U1096" s="24">
        <v>0</v>
      </c>
      <c r="V1096" s="24">
        <v>0</v>
      </c>
      <c r="W1096" s="24">
        <v>0</v>
      </c>
      <c r="X1096" s="24">
        <v>0</v>
      </c>
      <c r="Y1096" s="24">
        <v>0</v>
      </c>
      <c r="Z1096" s="24">
        <v>0</v>
      </c>
      <c r="AA1096" s="24">
        <v>0</v>
      </c>
      <c r="AB1096" s="24">
        <v>0</v>
      </c>
      <c r="AC1096" s="30">
        <f t="shared" si="350"/>
        <v>0</v>
      </c>
      <c r="AD1096" s="28"/>
      <c r="AE1096" s="12"/>
      <c r="AF1096" s="29"/>
      <c r="AG1096" s="9"/>
      <c r="AH1096" s="10"/>
      <c r="AI1096" s="9"/>
      <c r="AJ1096" s="11"/>
      <c r="AK1096" s="9"/>
      <c r="AL1096" s="13"/>
      <c r="AM1096" s="9"/>
    </row>
    <row r="1097" spans="1:39" x14ac:dyDescent="0.3">
      <c r="A1097" s="2" t="str">
        <f t="shared" si="348"/>
        <v>NÃO</v>
      </c>
      <c r="B1097" s="2" t="str">
        <f>_xlfn.XLOOKUP($N1097,'Base de Grupos'!$A:$A,'Base de Grupos'!$D:$D)</f>
        <v>1000065763</v>
      </c>
      <c r="C1097" s="5" t="str">
        <f>_xlfn.XLOOKUP($N1097,'Base de Grupos'!$A:$A,'Base de Grupos'!$E:$E)</f>
        <v>CANAL VENDA INTERNA</v>
      </c>
      <c r="D1097" s="5" t="str">
        <f>_xlfn.XLOOKUP($N1097,'Base de Grupos'!$A:$A,'Base de Grupos'!$F:$F)</f>
        <v>1000065763</v>
      </c>
      <c r="E1097" s="2" t="str">
        <f>_xlfn.XLOOKUP($N1097,'Base de Grupos'!$A:$A,'Base de Grupos'!$G:$G)</f>
        <v>CANAL VENDA INTERNA</v>
      </c>
      <c r="F1097" s="2" t="str">
        <f>_xlfn.XLOOKUP($N1097,'Base de Grupos'!$A:$A,'Base de Grupos'!$H:$H)</f>
        <v>1000174119</v>
      </c>
      <c r="G1097" s="5" t="str">
        <f>_xlfn.XLOOKUP($N1097,'Base de Grupos'!$A:$A,'Base de Grupos'!$I:$I)</f>
        <v>REGIONAL VENDA INTERNA - CONVENIENCIA</v>
      </c>
      <c r="H1097" s="5" t="str">
        <f>_xlfn.XLOOKUP($N1097,'Base de Grupos'!$A:$A,'Base de Grupos'!$J:$J)</f>
        <v>1000174119</v>
      </c>
      <c r="I1097" s="2" t="str">
        <f>_xlfn.XLOOKUP($N1097,'Base de Grupos'!$A:$A,'Base de Grupos'!$K:$K)</f>
        <v>REGIONAL VENDA INTERNA - CONVENIENCIA</v>
      </c>
      <c r="J1097" s="2" t="str">
        <f>_xlfn.XLOOKUP($N1097,'Base de Grupos'!$A:$A,'Base de Grupos'!$L:$L)</f>
        <v>1000174119</v>
      </c>
      <c r="K1097" s="5" t="str">
        <f>_xlfn.XLOOKUP($N1097,'Base de Grupos'!$A:$A,'Base de Grupos'!$M:$M)</f>
        <v>REGIONAL VENDA INTERNA - CONVENIENCIA</v>
      </c>
      <c r="L1097" s="5" t="str">
        <f t="shared" si="349"/>
        <v/>
      </c>
      <c r="M1097" s="5" t="str">
        <f>_xlfn.XLOOKUP($N1097,'Base de Grupos'!$A:$A,'Base de Grupos'!$C:$C)</f>
        <v>SP</v>
      </c>
      <c r="N1097" s="3">
        <v>1525</v>
      </c>
      <c r="O1097" s="4" t="s">
        <v>284</v>
      </c>
      <c r="P1097" s="5" t="s">
        <v>96</v>
      </c>
      <c r="Q1097" s="24">
        <v>0</v>
      </c>
      <c r="R1097" s="24">
        <v>0</v>
      </c>
      <c r="S1097" s="24">
        <v>0</v>
      </c>
      <c r="T1097" s="24">
        <v>0</v>
      </c>
      <c r="U1097" s="24">
        <v>0</v>
      </c>
      <c r="V1097" s="24">
        <v>0</v>
      </c>
      <c r="W1097" s="24">
        <v>0</v>
      </c>
      <c r="X1097" s="24">
        <v>0</v>
      </c>
      <c r="Y1097" s="24">
        <v>0</v>
      </c>
      <c r="Z1097" s="24">
        <v>0</v>
      </c>
      <c r="AA1097" s="24">
        <v>0</v>
      </c>
      <c r="AB1097" s="24">
        <v>0</v>
      </c>
      <c r="AC1097" s="30">
        <f t="shared" si="350"/>
        <v>0</v>
      </c>
      <c r="AD1097" s="28"/>
      <c r="AE1097" s="12"/>
      <c r="AF1097" s="29"/>
      <c r="AG1097" s="9"/>
      <c r="AH1097" s="10"/>
      <c r="AI1097" s="9"/>
      <c r="AJ1097" s="11"/>
      <c r="AK1097" s="9"/>
      <c r="AL1097" s="13"/>
      <c r="AM1097" s="9"/>
    </row>
    <row r="1098" spans="1:39" x14ac:dyDescent="0.3">
      <c r="A1098" s="2" t="str">
        <f t="shared" si="348"/>
        <v>NÃO</v>
      </c>
      <c r="B1098" s="2" t="str">
        <f>_xlfn.XLOOKUP($N1098,'Base de Grupos'!$A:$A,'Base de Grupos'!$D:$D)</f>
        <v>1000065763</v>
      </c>
      <c r="C1098" s="5" t="str">
        <f>_xlfn.XLOOKUP($N1098,'Base de Grupos'!$A:$A,'Base de Grupos'!$E:$E)</f>
        <v>CANAL VENDA INTERNA</v>
      </c>
      <c r="D1098" s="5" t="str">
        <f>_xlfn.XLOOKUP($N1098,'Base de Grupos'!$A:$A,'Base de Grupos'!$F:$F)</f>
        <v>1000065763</v>
      </c>
      <c r="E1098" s="2" t="str">
        <f>_xlfn.XLOOKUP($N1098,'Base de Grupos'!$A:$A,'Base de Grupos'!$G:$G)</f>
        <v>CANAL VENDA INTERNA</v>
      </c>
      <c r="F1098" s="2" t="str">
        <f>_xlfn.XLOOKUP($N1098,'Base de Grupos'!$A:$A,'Base de Grupos'!$H:$H)</f>
        <v>1000174119</v>
      </c>
      <c r="G1098" s="5" t="str">
        <f>_xlfn.XLOOKUP($N1098,'Base de Grupos'!$A:$A,'Base de Grupos'!$I:$I)</f>
        <v>REGIONAL VENDA INTERNA - CONVENIENCIA</v>
      </c>
      <c r="H1098" s="5" t="str">
        <f>_xlfn.XLOOKUP($N1098,'Base de Grupos'!$A:$A,'Base de Grupos'!$J:$J)</f>
        <v>1000174119</v>
      </c>
      <c r="I1098" s="2" t="str">
        <f>_xlfn.XLOOKUP($N1098,'Base de Grupos'!$A:$A,'Base de Grupos'!$K:$K)</f>
        <v>REGIONAL VENDA INTERNA - CONVENIENCIA</v>
      </c>
      <c r="J1098" s="2" t="str">
        <f>_xlfn.XLOOKUP($N1098,'Base de Grupos'!$A:$A,'Base de Grupos'!$L:$L)</f>
        <v>1000174119</v>
      </c>
      <c r="K1098" s="5" t="str">
        <f>_xlfn.XLOOKUP($N1098,'Base de Grupos'!$A:$A,'Base de Grupos'!$M:$M)</f>
        <v>REGIONAL VENDA INTERNA - CONVENIENCIA</v>
      </c>
      <c r="L1098" s="5" t="str">
        <f t="shared" si="349"/>
        <v/>
      </c>
      <c r="M1098" s="5" t="str">
        <f>_xlfn.XLOOKUP($N1098,'Base de Grupos'!$A:$A,'Base de Grupos'!$C:$C)</f>
        <v>SP</v>
      </c>
      <c r="N1098" s="3">
        <v>1525</v>
      </c>
      <c r="O1098" s="4" t="s">
        <v>284</v>
      </c>
      <c r="P1098" s="5" t="s">
        <v>94</v>
      </c>
      <c r="Q1098" s="24">
        <v>0</v>
      </c>
      <c r="R1098" s="24">
        <v>0</v>
      </c>
      <c r="S1098" s="24">
        <v>0</v>
      </c>
      <c r="T1098" s="24">
        <v>0</v>
      </c>
      <c r="U1098" s="24">
        <v>0</v>
      </c>
      <c r="V1098" s="24">
        <v>0</v>
      </c>
      <c r="W1098" s="24">
        <v>0</v>
      </c>
      <c r="X1098" s="24">
        <v>0</v>
      </c>
      <c r="Y1098" s="24">
        <v>0</v>
      </c>
      <c r="Z1098" s="24">
        <v>0</v>
      </c>
      <c r="AA1098" s="24">
        <v>0</v>
      </c>
      <c r="AB1098" s="24">
        <v>0</v>
      </c>
      <c r="AC1098" s="30">
        <f t="shared" si="350"/>
        <v>0</v>
      </c>
      <c r="AD1098" s="28"/>
      <c r="AE1098" s="12"/>
      <c r="AF1098" s="29"/>
      <c r="AG1098" s="9"/>
      <c r="AH1098" s="10"/>
      <c r="AI1098" s="9"/>
      <c r="AJ1098" s="11"/>
      <c r="AK1098" s="9"/>
      <c r="AL1098" s="13"/>
      <c r="AM1098" s="9"/>
    </row>
    <row r="1099" spans="1:39" x14ac:dyDescent="0.3">
      <c r="A1099" s="2" t="str">
        <f t="shared" si="348"/>
        <v>NÃO</v>
      </c>
      <c r="B1099" s="2" t="str">
        <f>_xlfn.XLOOKUP($N1099,'Base de Grupos'!$A:$A,'Base de Grupos'!$D:$D)</f>
        <v>1000065763</v>
      </c>
      <c r="C1099" s="5" t="str">
        <f>_xlfn.XLOOKUP($N1099,'Base de Grupos'!$A:$A,'Base de Grupos'!$E:$E)</f>
        <v>CANAL VENDA INTERNA</v>
      </c>
      <c r="D1099" s="5" t="str">
        <f>_xlfn.XLOOKUP($N1099,'Base de Grupos'!$A:$A,'Base de Grupos'!$F:$F)</f>
        <v>1000065763</v>
      </c>
      <c r="E1099" s="2" t="str">
        <f>_xlfn.XLOOKUP($N1099,'Base de Grupos'!$A:$A,'Base de Grupos'!$G:$G)</f>
        <v>CANAL VENDA INTERNA</v>
      </c>
      <c r="F1099" s="2" t="str">
        <f>_xlfn.XLOOKUP($N1099,'Base de Grupos'!$A:$A,'Base de Grupos'!$H:$H)</f>
        <v>1000174119</v>
      </c>
      <c r="G1099" s="5" t="str">
        <f>_xlfn.XLOOKUP($N1099,'Base de Grupos'!$A:$A,'Base de Grupos'!$I:$I)</f>
        <v>REGIONAL VENDA INTERNA - CONVENIENCIA</v>
      </c>
      <c r="H1099" s="5" t="str">
        <f>_xlfn.XLOOKUP($N1099,'Base de Grupos'!$A:$A,'Base de Grupos'!$J:$J)</f>
        <v>1000174119</v>
      </c>
      <c r="I1099" s="2" t="str">
        <f>_xlfn.XLOOKUP($N1099,'Base de Grupos'!$A:$A,'Base de Grupos'!$K:$K)</f>
        <v>REGIONAL VENDA INTERNA - CONVENIENCIA</v>
      </c>
      <c r="J1099" s="2" t="str">
        <f>_xlfn.XLOOKUP($N1099,'Base de Grupos'!$A:$A,'Base de Grupos'!$L:$L)</f>
        <v>1000174119</v>
      </c>
      <c r="K1099" s="5" t="str">
        <f>_xlfn.XLOOKUP($N1099,'Base de Grupos'!$A:$A,'Base de Grupos'!$M:$M)</f>
        <v>REGIONAL VENDA INTERNA - CONVENIENCIA</v>
      </c>
      <c r="L1099" s="5" t="str">
        <f t="shared" si="349"/>
        <v/>
      </c>
      <c r="M1099" s="5" t="str">
        <f>_xlfn.XLOOKUP($N1099,'Base de Grupos'!$A:$A,'Base de Grupos'!$C:$C)</f>
        <v>SP</v>
      </c>
      <c r="N1099" s="3">
        <v>1525</v>
      </c>
      <c r="O1099" s="4" t="s">
        <v>284</v>
      </c>
      <c r="P1099" s="5" t="s">
        <v>95</v>
      </c>
      <c r="Q1099" s="24">
        <v>0</v>
      </c>
      <c r="R1099" s="24">
        <v>0</v>
      </c>
      <c r="S1099" s="24">
        <v>0</v>
      </c>
      <c r="T1099" s="24">
        <v>0</v>
      </c>
      <c r="U1099" s="24">
        <v>0</v>
      </c>
      <c r="V1099" s="24">
        <v>0</v>
      </c>
      <c r="W1099" s="24">
        <v>0</v>
      </c>
      <c r="X1099" s="24">
        <v>0</v>
      </c>
      <c r="Y1099" s="24">
        <v>0</v>
      </c>
      <c r="Z1099" s="24">
        <v>0</v>
      </c>
      <c r="AA1099" s="24">
        <v>0</v>
      </c>
      <c r="AB1099" s="24">
        <v>0</v>
      </c>
      <c r="AC1099" s="30">
        <f t="shared" si="350"/>
        <v>0</v>
      </c>
      <c r="AD1099" s="28"/>
      <c r="AE1099" s="12"/>
      <c r="AF1099" s="29"/>
      <c r="AG1099" s="9"/>
      <c r="AH1099" s="10"/>
      <c r="AI1099" s="9"/>
      <c r="AJ1099" s="11"/>
      <c r="AK1099" s="9"/>
      <c r="AL1099" s="13"/>
      <c r="AM1099" s="9"/>
    </row>
    <row r="1100" spans="1:39" x14ac:dyDescent="0.3">
      <c r="A1100" s="2" t="str">
        <f t="shared" si="348"/>
        <v>NÃO</v>
      </c>
      <c r="B1100" s="2" t="str">
        <f>_xlfn.XLOOKUP($N1100,'Base de Grupos'!$A:$A,'Base de Grupos'!$D:$D)</f>
        <v>1000065763</v>
      </c>
      <c r="C1100" s="5" t="str">
        <f>_xlfn.XLOOKUP($N1100,'Base de Grupos'!$A:$A,'Base de Grupos'!$E:$E)</f>
        <v>CANAL VENDA INTERNA</v>
      </c>
      <c r="D1100" s="5" t="str">
        <f>_xlfn.XLOOKUP($N1100,'Base de Grupos'!$A:$A,'Base de Grupos'!$F:$F)</f>
        <v>1000065763</v>
      </c>
      <c r="E1100" s="2" t="str">
        <f>_xlfn.XLOOKUP($N1100,'Base de Grupos'!$A:$A,'Base de Grupos'!$G:$G)</f>
        <v>CANAL VENDA INTERNA</v>
      </c>
      <c r="F1100" s="2" t="str">
        <f>_xlfn.XLOOKUP($N1100,'Base de Grupos'!$A:$A,'Base de Grupos'!$H:$H)</f>
        <v>1000174119</v>
      </c>
      <c r="G1100" s="5" t="str">
        <f>_xlfn.XLOOKUP($N1100,'Base de Grupos'!$A:$A,'Base de Grupos'!$I:$I)</f>
        <v>REGIONAL VENDA INTERNA - CONVENIENCIA</v>
      </c>
      <c r="H1100" s="5" t="str">
        <f>_xlfn.XLOOKUP($N1100,'Base de Grupos'!$A:$A,'Base de Grupos'!$J:$J)</f>
        <v>1000174119</v>
      </c>
      <c r="I1100" s="2" t="str">
        <f>_xlfn.XLOOKUP($N1100,'Base de Grupos'!$A:$A,'Base de Grupos'!$K:$K)</f>
        <v>REGIONAL VENDA INTERNA - CONVENIENCIA</v>
      </c>
      <c r="J1100" s="2" t="str">
        <f>_xlfn.XLOOKUP($N1100,'Base de Grupos'!$A:$A,'Base de Grupos'!$L:$L)</f>
        <v>1000174119</v>
      </c>
      <c r="K1100" s="5" t="str">
        <f>_xlfn.XLOOKUP($N1100,'Base de Grupos'!$A:$A,'Base de Grupos'!$M:$M)</f>
        <v>REGIONAL VENDA INTERNA - CONVENIENCIA</v>
      </c>
      <c r="L1100" s="5" t="str">
        <f t="shared" si="349"/>
        <v/>
      </c>
      <c r="M1100" s="5" t="str">
        <f>_xlfn.XLOOKUP($N1100,'Base de Grupos'!$A:$A,'Base de Grupos'!$C:$C)</f>
        <v>SP</v>
      </c>
      <c r="N1100" s="3">
        <v>1525</v>
      </c>
      <c r="O1100" s="4" t="s">
        <v>284</v>
      </c>
      <c r="P1100" s="5" t="s">
        <v>93</v>
      </c>
      <c r="Q1100" s="24">
        <v>0</v>
      </c>
      <c r="R1100" s="24">
        <v>0</v>
      </c>
      <c r="S1100" s="24">
        <v>0</v>
      </c>
      <c r="T1100" s="24">
        <v>0</v>
      </c>
      <c r="U1100" s="24">
        <v>0</v>
      </c>
      <c r="V1100" s="24">
        <v>0</v>
      </c>
      <c r="W1100" s="24">
        <v>0</v>
      </c>
      <c r="X1100" s="24">
        <v>0</v>
      </c>
      <c r="Y1100" s="24">
        <v>0</v>
      </c>
      <c r="Z1100" s="24">
        <v>0</v>
      </c>
      <c r="AA1100" s="24">
        <v>0</v>
      </c>
      <c r="AB1100" s="24">
        <v>0</v>
      </c>
      <c r="AC1100" s="30">
        <f t="shared" si="350"/>
        <v>0</v>
      </c>
      <c r="AD1100" s="28"/>
      <c r="AE1100" s="12"/>
      <c r="AF1100" s="29"/>
      <c r="AG1100" s="9"/>
      <c r="AH1100" s="10"/>
      <c r="AI1100" s="9"/>
      <c r="AJ1100" s="11"/>
      <c r="AK1100" s="9"/>
      <c r="AL1100" s="13"/>
      <c r="AM1100" s="9"/>
    </row>
    <row r="1101" spans="1:39" x14ac:dyDescent="0.3">
      <c r="A1101" s="2" t="str">
        <f t="shared" si="348"/>
        <v>SIM</v>
      </c>
      <c r="B1101" s="2" t="str">
        <f>_xlfn.XLOOKUP($N1101,'Base de Grupos'!$A:$A,'Base de Grupos'!$D:$D)</f>
        <v>1000065763</v>
      </c>
      <c r="C1101" s="5" t="str">
        <f>_xlfn.XLOOKUP($N1101,'Base de Grupos'!$A:$A,'Base de Grupos'!$E:$E)</f>
        <v>CANAL VENDA INTERNA</v>
      </c>
      <c r="D1101" s="5" t="str">
        <f>_xlfn.XLOOKUP($N1101,'Base de Grupos'!$A:$A,'Base de Grupos'!$F:$F)</f>
        <v>1000065763</v>
      </c>
      <c r="E1101" s="2" t="str">
        <f>_xlfn.XLOOKUP($N1101,'Base de Grupos'!$A:$A,'Base de Grupos'!$G:$G)</f>
        <v>CANAL VENDA INTERNA</v>
      </c>
      <c r="F1101" s="2" t="str">
        <f>_xlfn.XLOOKUP($N1101,'Base de Grupos'!$A:$A,'Base de Grupos'!$H:$H)</f>
        <v>1000174119</v>
      </c>
      <c r="G1101" s="5" t="str">
        <f>_xlfn.XLOOKUP($N1101,'Base de Grupos'!$A:$A,'Base de Grupos'!$I:$I)</f>
        <v>REGIONAL VENDA INTERNA - CONVENIENCIA</v>
      </c>
      <c r="H1101" s="5" t="str">
        <f>_xlfn.XLOOKUP($N1101,'Base de Grupos'!$A:$A,'Base de Grupos'!$J:$J)</f>
        <v>1000174119</v>
      </c>
      <c r="I1101" s="2" t="str">
        <f>_xlfn.XLOOKUP($N1101,'Base de Grupos'!$A:$A,'Base de Grupos'!$K:$K)</f>
        <v>REGIONAL VENDA INTERNA - CONVENIENCIA</v>
      </c>
      <c r="J1101" s="2" t="str">
        <f>_xlfn.XLOOKUP($N1101,'Base de Grupos'!$A:$A,'Base de Grupos'!$L:$L)</f>
        <v>1000174119</v>
      </c>
      <c r="K1101" s="5" t="str">
        <f>_xlfn.XLOOKUP($N1101,'Base de Grupos'!$A:$A,'Base de Grupos'!$M:$M)</f>
        <v>REGIONAL VENDA INTERNA - CONVENIENCIA</v>
      </c>
      <c r="L1101" s="5">
        <f t="shared" si="349"/>
        <v>1</v>
      </c>
      <c r="M1101" s="5" t="str">
        <f>_xlfn.XLOOKUP($N1101,'Base de Grupos'!$A:$A,'Base de Grupos'!$C:$C)</f>
        <v>SP</v>
      </c>
      <c r="N1101" s="3">
        <v>1526</v>
      </c>
      <c r="O1101" s="4" t="s">
        <v>285</v>
      </c>
      <c r="P1101" s="5" t="s">
        <v>355</v>
      </c>
      <c r="Q1101" s="24">
        <v>0</v>
      </c>
      <c r="R1101" s="24">
        <v>0</v>
      </c>
      <c r="S1101" s="24">
        <v>0</v>
      </c>
      <c r="T1101" s="24">
        <v>0</v>
      </c>
      <c r="U1101" s="24">
        <v>0</v>
      </c>
      <c r="V1101" s="24">
        <v>0</v>
      </c>
      <c r="W1101" s="24">
        <v>0</v>
      </c>
      <c r="X1101" s="24">
        <v>0</v>
      </c>
      <c r="Y1101" s="24">
        <v>0</v>
      </c>
      <c r="Z1101" s="24">
        <v>0</v>
      </c>
      <c r="AA1101" s="24">
        <v>0</v>
      </c>
      <c r="AB1101" s="24">
        <v>0</v>
      </c>
      <c r="AC1101" s="30">
        <f t="shared" si="350"/>
        <v>0</v>
      </c>
      <c r="AD1101" s="28"/>
      <c r="AE1101" s="12"/>
      <c r="AF1101" s="29"/>
      <c r="AG1101" s="9"/>
      <c r="AH1101" s="10"/>
      <c r="AI1101" s="9"/>
      <c r="AJ1101" s="11"/>
      <c r="AK1101" s="9"/>
      <c r="AL1101" s="13"/>
      <c r="AM1101" s="9"/>
    </row>
    <row r="1102" spans="1:39" x14ac:dyDescent="0.3">
      <c r="A1102" s="2" t="str">
        <f t="shared" si="348"/>
        <v>NÃO</v>
      </c>
      <c r="B1102" s="2" t="str">
        <f>_xlfn.XLOOKUP($N1102,'Base de Grupos'!$A:$A,'Base de Grupos'!$D:$D)</f>
        <v>1000065763</v>
      </c>
      <c r="C1102" s="5" t="str">
        <f>_xlfn.XLOOKUP($N1102,'Base de Grupos'!$A:$A,'Base de Grupos'!$E:$E)</f>
        <v>CANAL VENDA INTERNA</v>
      </c>
      <c r="D1102" s="5" t="str">
        <f>_xlfn.XLOOKUP($N1102,'Base de Grupos'!$A:$A,'Base de Grupos'!$F:$F)</f>
        <v>1000065763</v>
      </c>
      <c r="E1102" s="2" t="str">
        <f>_xlfn.XLOOKUP($N1102,'Base de Grupos'!$A:$A,'Base de Grupos'!$G:$G)</f>
        <v>CANAL VENDA INTERNA</v>
      </c>
      <c r="F1102" s="2" t="str">
        <f>_xlfn.XLOOKUP($N1102,'Base de Grupos'!$A:$A,'Base de Grupos'!$H:$H)</f>
        <v>1000174119</v>
      </c>
      <c r="G1102" s="5" t="str">
        <f>_xlfn.XLOOKUP($N1102,'Base de Grupos'!$A:$A,'Base de Grupos'!$I:$I)</f>
        <v>REGIONAL VENDA INTERNA - CONVENIENCIA</v>
      </c>
      <c r="H1102" s="5" t="str">
        <f>_xlfn.XLOOKUP($N1102,'Base de Grupos'!$A:$A,'Base de Grupos'!$J:$J)</f>
        <v>1000174119</v>
      </c>
      <c r="I1102" s="2" t="str">
        <f>_xlfn.XLOOKUP($N1102,'Base de Grupos'!$A:$A,'Base de Grupos'!$K:$K)</f>
        <v>REGIONAL VENDA INTERNA - CONVENIENCIA</v>
      </c>
      <c r="J1102" s="2" t="str">
        <f>_xlfn.XLOOKUP($N1102,'Base de Grupos'!$A:$A,'Base de Grupos'!$L:$L)</f>
        <v>1000174119</v>
      </c>
      <c r="K1102" s="5" t="str">
        <f>_xlfn.XLOOKUP($N1102,'Base de Grupos'!$A:$A,'Base de Grupos'!$M:$M)</f>
        <v>REGIONAL VENDA INTERNA - CONVENIENCIA</v>
      </c>
      <c r="L1102" s="5" t="str">
        <f t="shared" si="349"/>
        <v/>
      </c>
      <c r="M1102" s="5" t="str">
        <f>_xlfn.XLOOKUP($N1102,'Base de Grupos'!$A:$A,'Base de Grupos'!$C:$C)</f>
        <v>SP</v>
      </c>
      <c r="N1102" s="3">
        <v>1526</v>
      </c>
      <c r="O1102" s="4" t="s">
        <v>285</v>
      </c>
      <c r="P1102" s="5" t="s">
        <v>81</v>
      </c>
      <c r="Q1102" s="24">
        <v>0</v>
      </c>
      <c r="R1102" s="24">
        <v>0</v>
      </c>
      <c r="S1102" s="24">
        <v>0</v>
      </c>
      <c r="T1102" s="24">
        <v>0</v>
      </c>
      <c r="U1102" s="24">
        <v>0</v>
      </c>
      <c r="V1102" s="24">
        <v>0</v>
      </c>
      <c r="W1102" s="24">
        <v>0</v>
      </c>
      <c r="X1102" s="24">
        <v>0</v>
      </c>
      <c r="Y1102" s="24">
        <v>0</v>
      </c>
      <c r="Z1102" s="24">
        <v>0</v>
      </c>
      <c r="AA1102" s="24">
        <v>0</v>
      </c>
      <c r="AB1102" s="24">
        <v>0</v>
      </c>
      <c r="AC1102" s="30">
        <f t="shared" si="350"/>
        <v>0</v>
      </c>
      <c r="AD1102" s="28"/>
      <c r="AE1102" s="12"/>
      <c r="AF1102" s="29"/>
      <c r="AG1102" s="9"/>
      <c r="AH1102" s="10"/>
      <c r="AI1102" s="9"/>
      <c r="AJ1102" s="11"/>
      <c r="AK1102" s="9"/>
      <c r="AL1102" s="13"/>
      <c r="AM1102" s="9"/>
    </row>
    <row r="1103" spans="1:39" x14ac:dyDescent="0.3">
      <c r="A1103" s="2" t="str">
        <f t="shared" si="348"/>
        <v>NÃO</v>
      </c>
      <c r="B1103" s="2" t="str">
        <f>_xlfn.XLOOKUP($N1103,'Base de Grupos'!$A:$A,'Base de Grupos'!$D:$D)</f>
        <v>1000065763</v>
      </c>
      <c r="C1103" s="5" t="str">
        <f>_xlfn.XLOOKUP($N1103,'Base de Grupos'!$A:$A,'Base de Grupos'!$E:$E)</f>
        <v>CANAL VENDA INTERNA</v>
      </c>
      <c r="D1103" s="5" t="str">
        <f>_xlfn.XLOOKUP($N1103,'Base de Grupos'!$A:$A,'Base de Grupos'!$F:$F)</f>
        <v>1000065763</v>
      </c>
      <c r="E1103" s="2" t="str">
        <f>_xlfn.XLOOKUP($N1103,'Base de Grupos'!$A:$A,'Base de Grupos'!$G:$G)</f>
        <v>CANAL VENDA INTERNA</v>
      </c>
      <c r="F1103" s="2" t="str">
        <f>_xlfn.XLOOKUP($N1103,'Base de Grupos'!$A:$A,'Base de Grupos'!$H:$H)</f>
        <v>1000174119</v>
      </c>
      <c r="G1103" s="5" t="str">
        <f>_xlfn.XLOOKUP($N1103,'Base de Grupos'!$A:$A,'Base de Grupos'!$I:$I)</f>
        <v>REGIONAL VENDA INTERNA - CONVENIENCIA</v>
      </c>
      <c r="H1103" s="5" t="str">
        <f>_xlfn.XLOOKUP($N1103,'Base de Grupos'!$A:$A,'Base de Grupos'!$J:$J)</f>
        <v>1000174119</v>
      </c>
      <c r="I1103" s="2" t="str">
        <f>_xlfn.XLOOKUP($N1103,'Base de Grupos'!$A:$A,'Base de Grupos'!$K:$K)</f>
        <v>REGIONAL VENDA INTERNA - CONVENIENCIA</v>
      </c>
      <c r="J1103" s="2" t="str">
        <f>_xlfn.XLOOKUP($N1103,'Base de Grupos'!$A:$A,'Base de Grupos'!$L:$L)</f>
        <v>1000174119</v>
      </c>
      <c r="K1103" s="5" t="str">
        <f>_xlfn.XLOOKUP($N1103,'Base de Grupos'!$A:$A,'Base de Grupos'!$M:$M)</f>
        <v>REGIONAL VENDA INTERNA - CONVENIENCIA</v>
      </c>
      <c r="L1103" s="5" t="str">
        <f t="shared" si="349"/>
        <v/>
      </c>
      <c r="M1103" s="5" t="str">
        <f>_xlfn.XLOOKUP($N1103,'Base de Grupos'!$A:$A,'Base de Grupos'!$C:$C)</f>
        <v>SP</v>
      </c>
      <c r="N1103" s="3">
        <v>1526</v>
      </c>
      <c r="O1103" s="4" t="s">
        <v>285</v>
      </c>
      <c r="P1103" s="5" t="s">
        <v>82</v>
      </c>
      <c r="Q1103" s="24">
        <v>0</v>
      </c>
      <c r="R1103" s="24">
        <v>0</v>
      </c>
      <c r="S1103" s="24">
        <v>0</v>
      </c>
      <c r="T1103" s="24">
        <v>0</v>
      </c>
      <c r="U1103" s="24">
        <v>0</v>
      </c>
      <c r="V1103" s="24">
        <v>0</v>
      </c>
      <c r="W1103" s="24">
        <v>0</v>
      </c>
      <c r="X1103" s="24">
        <v>0</v>
      </c>
      <c r="Y1103" s="24">
        <v>0</v>
      </c>
      <c r="Z1103" s="24">
        <v>0</v>
      </c>
      <c r="AA1103" s="24">
        <v>0</v>
      </c>
      <c r="AB1103" s="24">
        <v>0</v>
      </c>
      <c r="AC1103" s="30">
        <f t="shared" si="350"/>
        <v>0</v>
      </c>
      <c r="AD1103" s="28"/>
      <c r="AE1103" s="12"/>
      <c r="AF1103" s="29"/>
      <c r="AG1103" s="9"/>
      <c r="AH1103" s="10"/>
      <c r="AI1103" s="9"/>
      <c r="AJ1103" s="11"/>
      <c r="AK1103" s="9"/>
      <c r="AL1103" s="13"/>
      <c r="AM1103" s="9"/>
    </row>
    <row r="1104" spans="1:39" x14ac:dyDescent="0.3">
      <c r="A1104" s="2" t="str">
        <f t="shared" si="348"/>
        <v>NÃO</v>
      </c>
      <c r="B1104" s="2" t="str">
        <f>_xlfn.XLOOKUP($N1104,'Base de Grupos'!$A:$A,'Base de Grupos'!$D:$D)</f>
        <v>1000065763</v>
      </c>
      <c r="C1104" s="5" t="str">
        <f>_xlfn.XLOOKUP($N1104,'Base de Grupos'!$A:$A,'Base de Grupos'!$E:$E)</f>
        <v>CANAL VENDA INTERNA</v>
      </c>
      <c r="D1104" s="5" t="str">
        <f>_xlfn.XLOOKUP($N1104,'Base de Grupos'!$A:$A,'Base de Grupos'!$F:$F)</f>
        <v>1000065763</v>
      </c>
      <c r="E1104" s="2" t="str">
        <f>_xlfn.XLOOKUP($N1104,'Base de Grupos'!$A:$A,'Base de Grupos'!$G:$G)</f>
        <v>CANAL VENDA INTERNA</v>
      </c>
      <c r="F1104" s="2" t="str">
        <f>_xlfn.XLOOKUP($N1104,'Base de Grupos'!$A:$A,'Base de Grupos'!$H:$H)</f>
        <v>1000174119</v>
      </c>
      <c r="G1104" s="5" t="str">
        <f>_xlfn.XLOOKUP($N1104,'Base de Grupos'!$A:$A,'Base de Grupos'!$I:$I)</f>
        <v>REGIONAL VENDA INTERNA - CONVENIENCIA</v>
      </c>
      <c r="H1104" s="5" t="str">
        <f>_xlfn.XLOOKUP($N1104,'Base de Grupos'!$A:$A,'Base de Grupos'!$J:$J)</f>
        <v>1000174119</v>
      </c>
      <c r="I1104" s="2" t="str">
        <f>_xlfn.XLOOKUP($N1104,'Base de Grupos'!$A:$A,'Base de Grupos'!$K:$K)</f>
        <v>REGIONAL VENDA INTERNA - CONVENIENCIA</v>
      </c>
      <c r="J1104" s="2" t="str">
        <f>_xlfn.XLOOKUP($N1104,'Base de Grupos'!$A:$A,'Base de Grupos'!$L:$L)</f>
        <v>1000174119</v>
      </c>
      <c r="K1104" s="5" t="str">
        <f>_xlfn.XLOOKUP($N1104,'Base de Grupos'!$A:$A,'Base de Grupos'!$M:$M)</f>
        <v>REGIONAL VENDA INTERNA - CONVENIENCIA</v>
      </c>
      <c r="L1104" s="5" t="str">
        <f t="shared" si="349"/>
        <v/>
      </c>
      <c r="M1104" s="5" t="str">
        <f>_xlfn.XLOOKUP($N1104,'Base de Grupos'!$A:$A,'Base de Grupos'!$C:$C)</f>
        <v>SP</v>
      </c>
      <c r="N1104" s="3">
        <v>1526</v>
      </c>
      <c r="O1104" s="4" t="s">
        <v>285</v>
      </c>
      <c r="P1104" s="5" t="s">
        <v>84</v>
      </c>
      <c r="Q1104" s="24">
        <v>0</v>
      </c>
      <c r="R1104" s="24">
        <v>0</v>
      </c>
      <c r="S1104" s="24">
        <v>0</v>
      </c>
      <c r="T1104" s="24">
        <v>0</v>
      </c>
      <c r="U1104" s="24">
        <v>0</v>
      </c>
      <c r="V1104" s="24">
        <v>0</v>
      </c>
      <c r="W1104" s="24">
        <v>0</v>
      </c>
      <c r="X1104" s="24">
        <v>0</v>
      </c>
      <c r="Y1104" s="24">
        <v>0</v>
      </c>
      <c r="Z1104" s="24">
        <v>0</v>
      </c>
      <c r="AA1104" s="24">
        <v>0</v>
      </c>
      <c r="AB1104" s="24">
        <v>0</v>
      </c>
      <c r="AC1104" s="30">
        <f t="shared" si="350"/>
        <v>0</v>
      </c>
      <c r="AD1104" s="28"/>
      <c r="AE1104" s="12"/>
      <c r="AF1104" s="29"/>
      <c r="AG1104" s="9"/>
      <c r="AH1104" s="10"/>
      <c r="AI1104" s="9"/>
      <c r="AJ1104" s="11"/>
      <c r="AK1104" s="9"/>
      <c r="AL1104" s="13"/>
      <c r="AM1104" s="9"/>
    </row>
    <row r="1105" spans="1:39" x14ac:dyDescent="0.3">
      <c r="A1105" s="2" t="str">
        <f t="shared" si="348"/>
        <v>NÃO</v>
      </c>
      <c r="B1105" s="2" t="str">
        <f>_xlfn.XLOOKUP($N1105,'Base de Grupos'!$A:$A,'Base de Grupos'!$D:$D)</f>
        <v>1000065763</v>
      </c>
      <c r="C1105" s="5" t="str">
        <f>_xlfn.XLOOKUP($N1105,'Base de Grupos'!$A:$A,'Base de Grupos'!$E:$E)</f>
        <v>CANAL VENDA INTERNA</v>
      </c>
      <c r="D1105" s="5" t="str">
        <f>_xlfn.XLOOKUP($N1105,'Base de Grupos'!$A:$A,'Base de Grupos'!$F:$F)</f>
        <v>1000065763</v>
      </c>
      <c r="E1105" s="2" t="str">
        <f>_xlfn.XLOOKUP($N1105,'Base de Grupos'!$A:$A,'Base de Grupos'!$G:$G)</f>
        <v>CANAL VENDA INTERNA</v>
      </c>
      <c r="F1105" s="2" t="str">
        <f>_xlfn.XLOOKUP($N1105,'Base de Grupos'!$A:$A,'Base de Grupos'!$H:$H)</f>
        <v>1000174119</v>
      </c>
      <c r="G1105" s="5" t="str">
        <f>_xlfn.XLOOKUP($N1105,'Base de Grupos'!$A:$A,'Base de Grupos'!$I:$I)</f>
        <v>REGIONAL VENDA INTERNA - CONVENIENCIA</v>
      </c>
      <c r="H1105" s="5" t="str">
        <f>_xlfn.XLOOKUP($N1105,'Base de Grupos'!$A:$A,'Base de Grupos'!$J:$J)</f>
        <v>1000174119</v>
      </c>
      <c r="I1105" s="2" t="str">
        <f>_xlfn.XLOOKUP($N1105,'Base de Grupos'!$A:$A,'Base de Grupos'!$K:$K)</f>
        <v>REGIONAL VENDA INTERNA - CONVENIENCIA</v>
      </c>
      <c r="J1105" s="2" t="str">
        <f>_xlfn.XLOOKUP($N1105,'Base de Grupos'!$A:$A,'Base de Grupos'!$L:$L)</f>
        <v>1000174119</v>
      </c>
      <c r="K1105" s="5" t="str">
        <f>_xlfn.XLOOKUP($N1105,'Base de Grupos'!$A:$A,'Base de Grupos'!$M:$M)</f>
        <v>REGIONAL VENDA INTERNA - CONVENIENCIA</v>
      </c>
      <c r="L1105" s="5" t="str">
        <f t="shared" si="349"/>
        <v/>
      </c>
      <c r="M1105" s="5" t="str">
        <f>_xlfn.XLOOKUP($N1105,'Base de Grupos'!$A:$A,'Base de Grupos'!$C:$C)</f>
        <v>SP</v>
      </c>
      <c r="N1105" s="3">
        <v>1526</v>
      </c>
      <c r="O1105" s="4" t="s">
        <v>285</v>
      </c>
      <c r="P1105" s="5" t="s">
        <v>83</v>
      </c>
      <c r="Q1105" s="24">
        <v>0</v>
      </c>
      <c r="R1105" s="24">
        <v>0</v>
      </c>
      <c r="S1105" s="24">
        <v>0</v>
      </c>
      <c r="T1105" s="24">
        <v>0</v>
      </c>
      <c r="U1105" s="24">
        <v>0</v>
      </c>
      <c r="V1105" s="24">
        <v>0</v>
      </c>
      <c r="W1105" s="24">
        <v>0</v>
      </c>
      <c r="X1105" s="24">
        <v>0</v>
      </c>
      <c r="Y1105" s="24">
        <v>0</v>
      </c>
      <c r="Z1105" s="24">
        <v>0</v>
      </c>
      <c r="AA1105" s="24">
        <v>0</v>
      </c>
      <c r="AB1105" s="24">
        <v>0</v>
      </c>
      <c r="AC1105" s="30">
        <f t="shared" si="350"/>
        <v>0</v>
      </c>
      <c r="AD1105" s="28"/>
      <c r="AE1105" s="12"/>
      <c r="AF1105" s="29"/>
      <c r="AG1105" s="9"/>
      <c r="AH1105" s="10"/>
      <c r="AI1105" s="9"/>
      <c r="AJ1105" s="11"/>
      <c r="AK1105" s="9"/>
      <c r="AL1105" s="13"/>
      <c r="AM1105" s="9"/>
    </row>
    <row r="1106" spans="1:39" x14ac:dyDescent="0.3">
      <c r="A1106" s="2" t="str">
        <f t="shared" si="348"/>
        <v>NÃO</v>
      </c>
      <c r="B1106" s="2" t="str">
        <f>_xlfn.XLOOKUP($N1106,'Base de Grupos'!$A:$A,'Base de Grupos'!$D:$D)</f>
        <v>1000065763</v>
      </c>
      <c r="C1106" s="5" t="str">
        <f>_xlfn.XLOOKUP($N1106,'Base de Grupos'!$A:$A,'Base de Grupos'!$E:$E)</f>
        <v>CANAL VENDA INTERNA</v>
      </c>
      <c r="D1106" s="5" t="str">
        <f>_xlfn.XLOOKUP($N1106,'Base de Grupos'!$A:$A,'Base de Grupos'!$F:$F)</f>
        <v>1000065763</v>
      </c>
      <c r="E1106" s="2" t="str">
        <f>_xlfn.XLOOKUP($N1106,'Base de Grupos'!$A:$A,'Base de Grupos'!$G:$G)</f>
        <v>CANAL VENDA INTERNA</v>
      </c>
      <c r="F1106" s="2" t="str">
        <f>_xlfn.XLOOKUP($N1106,'Base de Grupos'!$A:$A,'Base de Grupos'!$H:$H)</f>
        <v>1000174119</v>
      </c>
      <c r="G1106" s="5" t="str">
        <f>_xlfn.XLOOKUP($N1106,'Base de Grupos'!$A:$A,'Base de Grupos'!$I:$I)</f>
        <v>REGIONAL VENDA INTERNA - CONVENIENCIA</v>
      </c>
      <c r="H1106" s="5" t="str">
        <f>_xlfn.XLOOKUP($N1106,'Base de Grupos'!$A:$A,'Base de Grupos'!$J:$J)</f>
        <v>1000174119</v>
      </c>
      <c r="I1106" s="2" t="str">
        <f>_xlfn.XLOOKUP($N1106,'Base de Grupos'!$A:$A,'Base de Grupos'!$K:$K)</f>
        <v>REGIONAL VENDA INTERNA - CONVENIENCIA</v>
      </c>
      <c r="J1106" s="2" t="str">
        <f>_xlfn.XLOOKUP($N1106,'Base de Grupos'!$A:$A,'Base de Grupos'!$L:$L)</f>
        <v>1000174119</v>
      </c>
      <c r="K1106" s="5" t="str">
        <f>_xlfn.XLOOKUP($N1106,'Base de Grupos'!$A:$A,'Base de Grupos'!$M:$M)</f>
        <v>REGIONAL VENDA INTERNA - CONVENIENCIA</v>
      </c>
      <c r="L1106" s="5" t="str">
        <f t="shared" si="349"/>
        <v/>
      </c>
      <c r="M1106" s="5" t="str">
        <f>_xlfn.XLOOKUP($N1106,'Base de Grupos'!$A:$A,'Base de Grupos'!$C:$C)</f>
        <v>SP</v>
      </c>
      <c r="N1106" s="3">
        <v>1526</v>
      </c>
      <c r="O1106" s="4" t="s">
        <v>285</v>
      </c>
      <c r="P1106" s="5" t="s">
        <v>87</v>
      </c>
      <c r="Q1106" s="24">
        <v>0</v>
      </c>
      <c r="R1106" s="24">
        <v>0</v>
      </c>
      <c r="S1106" s="24">
        <v>0</v>
      </c>
      <c r="T1106" s="24">
        <v>0</v>
      </c>
      <c r="U1106" s="24">
        <v>0</v>
      </c>
      <c r="V1106" s="24">
        <v>0</v>
      </c>
      <c r="W1106" s="24">
        <v>0</v>
      </c>
      <c r="X1106" s="24">
        <v>0</v>
      </c>
      <c r="Y1106" s="24">
        <v>0</v>
      </c>
      <c r="Z1106" s="24">
        <v>0</v>
      </c>
      <c r="AA1106" s="24">
        <v>0</v>
      </c>
      <c r="AB1106" s="24">
        <v>0</v>
      </c>
      <c r="AC1106" s="30">
        <f t="shared" si="350"/>
        <v>0</v>
      </c>
      <c r="AD1106" s="28"/>
      <c r="AE1106" s="12"/>
      <c r="AF1106" s="29"/>
      <c r="AG1106" s="9"/>
      <c r="AH1106" s="10"/>
      <c r="AI1106" s="9"/>
      <c r="AJ1106" s="11"/>
      <c r="AK1106" s="9"/>
      <c r="AL1106" s="13"/>
      <c r="AM1106" s="9"/>
    </row>
    <row r="1107" spans="1:39" x14ac:dyDescent="0.3">
      <c r="A1107" s="2" t="str">
        <f t="shared" si="348"/>
        <v>NÃO</v>
      </c>
      <c r="B1107" s="2" t="str">
        <f>_xlfn.XLOOKUP($N1107,'Base de Grupos'!$A:$A,'Base de Grupos'!$D:$D)</f>
        <v>1000065763</v>
      </c>
      <c r="C1107" s="5" t="str">
        <f>_xlfn.XLOOKUP($N1107,'Base de Grupos'!$A:$A,'Base de Grupos'!$E:$E)</f>
        <v>CANAL VENDA INTERNA</v>
      </c>
      <c r="D1107" s="5" t="str">
        <f>_xlfn.XLOOKUP($N1107,'Base de Grupos'!$A:$A,'Base de Grupos'!$F:$F)</f>
        <v>1000065763</v>
      </c>
      <c r="E1107" s="2" t="str">
        <f>_xlfn.XLOOKUP($N1107,'Base de Grupos'!$A:$A,'Base de Grupos'!$G:$G)</f>
        <v>CANAL VENDA INTERNA</v>
      </c>
      <c r="F1107" s="2" t="str">
        <f>_xlfn.XLOOKUP($N1107,'Base de Grupos'!$A:$A,'Base de Grupos'!$H:$H)</f>
        <v>1000174119</v>
      </c>
      <c r="G1107" s="5" t="str">
        <f>_xlfn.XLOOKUP($N1107,'Base de Grupos'!$A:$A,'Base de Grupos'!$I:$I)</f>
        <v>REGIONAL VENDA INTERNA - CONVENIENCIA</v>
      </c>
      <c r="H1107" s="5" t="str">
        <f>_xlfn.XLOOKUP($N1107,'Base de Grupos'!$A:$A,'Base de Grupos'!$J:$J)</f>
        <v>1000174119</v>
      </c>
      <c r="I1107" s="2" t="str">
        <f>_xlfn.XLOOKUP($N1107,'Base de Grupos'!$A:$A,'Base de Grupos'!$K:$K)</f>
        <v>REGIONAL VENDA INTERNA - CONVENIENCIA</v>
      </c>
      <c r="J1107" s="2" t="str">
        <f>_xlfn.XLOOKUP($N1107,'Base de Grupos'!$A:$A,'Base de Grupos'!$L:$L)</f>
        <v>1000174119</v>
      </c>
      <c r="K1107" s="5" t="str">
        <f>_xlfn.XLOOKUP($N1107,'Base de Grupos'!$A:$A,'Base de Grupos'!$M:$M)</f>
        <v>REGIONAL VENDA INTERNA - CONVENIENCIA</v>
      </c>
      <c r="L1107" s="5" t="str">
        <f t="shared" si="349"/>
        <v/>
      </c>
      <c r="M1107" s="5" t="str">
        <f>_xlfn.XLOOKUP($N1107,'Base de Grupos'!$A:$A,'Base de Grupos'!$C:$C)</f>
        <v>SP</v>
      </c>
      <c r="N1107" s="3">
        <v>1526</v>
      </c>
      <c r="O1107" s="4" t="s">
        <v>285</v>
      </c>
      <c r="P1107" s="5" t="s">
        <v>85</v>
      </c>
      <c r="Q1107" s="24">
        <v>0</v>
      </c>
      <c r="R1107" s="24">
        <v>0</v>
      </c>
      <c r="S1107" s="24">
        <v>0</v>
      </c>
      <c r="T1107" s="24">
        <v>0</v>
      </c>
      <c r="U1107" s="24">
        <v>0</v>
      </c>
      <c r="V1107" s="24">
        <v>0</v>
      </c>
      <c r="W1107" s="24">
        <v>0</v>
      </c>
      <c r="X1107" s="24">
        <v>0</v>
      </c>
      <c r="Y1107" s="24">
        <v>0</v>
      </c>
      <c r="Z1107" s="24">
        <v>0</v>
      </c>
      <c r="AA1107" s="24">
        <v>0</v>
      </c>
      <c r="AB1107" s="24">
        <v>0</v>
      </c>
      <c r="AC1107" s="30">
        <f t="shared" si="350"/>
        <v>0</v>
      </c>
      <c r="AD1107" s="28"/>
      <c r="AE1107" s="12"/>
      <c r="AF1107" s="29"/>
      <c r="AG1107" s="9"/>
      <c r="AH1107" s="10"/>
      <c r="AI1107" s="9"/>
      <c r="AJ1107" s="11"/>
      <c r="AK1107" s="9"/>
      <c r="AL1107" s="13"/>
      <c r="AM1107" s="9"/>
    </row>
    <row r="1108" spans="1:39" x14ac:dyDescent="0.3">
      <c r="A1108" s="2" t="str">
        <f t="shared" si="348"/>
        <v>NÃO</v>
      </c>
      <c r="B1108" s="2" t="str">
        <f>_xlfn.XLOOKUP($N1108,'Base de Grupos'!$A:$A,'Base de Grupos'!$D:$D)</f>
        <v>1000065763</v>
      </c>
      <c r="C1108" s="5" t="str">
        <f>_xlfn.XLOOKUP($N1108,'Base de Grupos'!$A:$A,'Base de Grupos'!$E:$E)</f>
        <v>CANAL VENDA INTERNA</v>
      </c>
      <c r="D1108" s="5" t="str">
        <f>_xlfn.XLOOKUP($N1108,'Base de Grupos'!$A:$A,'Base de Grupos'!$F:$F)</f>
        <v>1000065763</v>
      </c>
      <c r="E1108" s="2" t="str">
        <f>_xlfn.XLOOKUP($N1108,'Base de Grupos'!$A:$A,'Base de Grupos'!$G:$G)</f>
        <v>CANAL VENDA INTERNA</v>
      </c>
      <c r="F1108" s="2" t="str">
        <f>_xlfn.XLOOKUP($N1108,'Base de Grupos'!$A:$A,'Base de Grupos'!$H:$H)</f>
        <v>1000174119</v>
      </c>
      <c r="G1108" s="5" t="str">
        <f>_xlfn.XLOOKUP($N1108,'Base de Grupos'!$A:$A,'Base de Grupos'!$I:$I)</f>
        <v>REGIONAL VENDA INTERNA - CONVENIENCIA</v>
      </c>
      <c r="H1108" s="5" t="str">
        <f>_xlfn.XLOOKUP($N1108,'Base de Grupos'!$A:$A,'Base de Grupos'!$J:$J)</f>
        <v>1000174119</v>
      </c>
      <c r="I1108" s="2" t="str">
        <f>_xlfn.XLOOKUP($N1108,'Base de Grupos'!$A:$A,'Base de Grupos'!$K:$K)</f>
        <v>REGIONAL VENDA INTERNA - CONVENIENCIA</v>
      </c>
      <c r="J1108" s="2" t="str">
        <f>_xlfn.XLOOKUP($N1108,'Base de Grupos'!$A:$A,'Base de Grupos'!$L:$L)</f>
        <v>1000174119</v>
      </c>
      <c r="K1108" s="5" t="str">
        <f>_xlfn.XLOOKUP($N1108,'Base de Grupos'!$A:$A,'Base de Grupos'!$M:$M)</f>
        <v>REGIONAL VENDA INTERNA - CONVENIENCIA</v>
      </c>
      <c r="L1108" s="5" t="str">
        <f t="shared" si="349"/>
        <v/>
      </c>
      <c r="M1108" s="5" t="str">
        <f>_xlfn.XLOOKUP($N1108,'Base de Grupos'!$A:$A,'Base de Grupos'!$C:$C)</f>
        <v>SP</v>
      </c>
      <c r="N1108" s="3">
        <v>1526</v>
      </c>
      <c r="O1108" s="4" t="s">
        <v>285</v>
      </c>
      <c r="P1108" s="5" t="s">
        <v>92</v>
      </c>
      <c r="Q1108" s="24">
        <v>0</v>
      </c>
      <c r="R1108" s="24">
        <v>0</v>
      </c>
      <c r="S1108" s="24">
        <v>0</v>
      </c>
      <c r="T1108" s="24">
        <v>0</v>
      </c>
      <c r="U1108" s="24">
        <v>0</v>
      </c>
      <c r="V1108" s="24">
        <v>0</v>
      </c>
      <c r="W1108" s="24">
        <v>0</v>
      </c>
      <c r="X1108" s="24">
        <v>0</v>
      </c>
      <c r="Y1108" s="24">
        <v>0</v>
      </c>
      <c r="Z1108" s="24">
        <v>0</v>
      </c>
      <c r="AA1108" s="24">
        <v>0</v>
      </c>
      <c r="AB1108" s="24">
        <v>0</v>
      </c>
      <c r="AC1108" s="30">
        <f t="shared" si="350"/>
        <v>0</v>
      </c>
      <c r="AD1108" s="28"/>
      <c r="AE1108" s="12"/>
      <c r="AF1108" s="29"/>
      <c r="AG1108" s="9"/>
      <c r="AH1108" s="10"/>
      <c r="AI1108" s="9"/>
      <c r="AJ1108" s="11"/>
      <c r="AK1108" s="9"/>
      <c r="AL1108" s="13"/>
      <c r="AM1108" s="9"/>
    </row>
    <row r="1109" spans="1:39" x14ac:dyDescent="0.3">
      <c r="A1109" s="2" t="str">
        <f t="shared" si="348"/>
        <v>NÃO</v>
      </c>
      <c r="B1109" s="2" t="str">
        <f>_xlfn.XLOOKUP($N1109,'Base de Grupos'!$A:$A,'Base de Grupos'!$D:$D)</f>
        <v>1000065763</v>
      </c>
      <c r="C1109" s="5" t="str">
        <f>_xlfn.XLOOKUP($N1109,'Base de Grupos'!$A:$A,'Base de Grupos'!$E:$E)</f>
        <v>CANAL VENDA INTERNA</v>
      </c>
      <c r="D1109" s="5" t="str">
        <f>_xlfn.XLOOKUP($N1109,'Base de Grupos'!$A:$A,'Base de Grupos'!$F:$F)</f>
        <v>1000065763</v>
      </c>
      <c r="E1109" s="2" t="str">
        <f>_xlfn.XLOOKUP($N1109,'Base de Grupos'!$A:$A,'Base de Grupos'!$G:$G)</f>
        <v>CANAL VENDA INTERNA</v>
      </c>
      <c r="F1109" s="2" t="str">
        <f>_xlfn.XLOOKUP($N1109,'Base de Grupos'!$A:$A,'Base de Grupos'!$H:$H)</f>
        <v>1000174119</v>
      </c>
      <c r="G1109" s="5" t="str">
        <f>_xlfn.XLOOKUP($N1109,'Base de Grupos'!$A:$A,'Base de Grupos'!$I:$I)</f>
        <v>REGIONAL VENDA INTERNA - CONVENIENCIA</v>
      </c>
      <c r="H1109" s="5" t="str">
        <f>_xlfn.XLOOKUP($N1109,'Base de Grupos'!$A:$A,'Base de Grupos'!$J:$J)</f>
        <v>1000174119</v>
      </c>
      <c r="I1109" s="2" t="str">
        <f>_xlfn.XLOOKUP($N1109,'Base de Grupos'!$A:$A,'Base de Grupos'!$K:$K)</f>
        <v>REGIONAL VENDA INTERNA - CONVENIENCIA</v>
      </c>
      <c r="J1109" s="2" t="str">
        <f>_xlfn.XLOOKUP($N1109,'Base de Grupos'!$A:$A,'Base de Grupos'!$L:$L)</f>
        <v>1000174119</v>
      </c>
      <c r="K1109" s="5" t="str">
        <f>_xlfn.XLOOKUP($N1109,'Base de Grupos'!$A:$A,'Base de Grupos'!$M:$M)</f>
        <v>REGIONAL VENDA INTERNA - CONVENIENCIA</v>
      </c>
      <c r="L1109" s="5" t="str">
        <f t="shared" si="349"/>
        <v/>
      </c>
      <c r="M1109" s="5" t="str">
        <f>_xlfn.XLOOKUP($N1109,'Base de Grupos'!$A:$A,'Base de Grupos'!$C:$C)</f>
        <v>SP</v>
      </c>
      <c r="N1109" s="3">
        <v>1526</v>
      </c>
      <c r="O1109" s="4" t="s">
        <v>285</v>
      </c>
      <c r="P1109" s="5" t="s">
        <v>86</v>
      </c>
      <c r="Q1109" s="24">
        <v>0</v>
      </c>
      <c r="R1109" s="24">
        <v>0</v>
      </c>
      <c r="S1109" s="24">
        <v>0</v>
      </c>
      <c r="T1109" s="24">
        <v>0</v>
      </c>
      <c r="U1109" s="24">
        <v>0</v>
      </c>
      <c r="V1109" s="24">
        <v>0</v>
      </c>
      <c r="W1109" s="24">
        <v>0</v>
      </c>
      <c r="X1109" s="24">
        <v>0</v>
      </c>
      <c r="Y1109" s="24">
        <v>0</v>
      </c>
      <c r="Z1109" s="24">
        <v>0</v>
      </c>
      <c r="AA1109" s="24">
        <v>0</v>
      </c>
      <c r="AB1109" s="24">
        <v>0</v>
      </c>
      <c r="AC1109" s="30">
        <f t="shared" si="350"/>
        <v>0</v>
      </c>
      <c r="AD1109" s="28"/>
      <c r="AE1109" s="12"/>
      <c r="AF1109" s="29"/>
      <c r="AG1109" s="9"/>
      <c r="AH1109" s="10"/>
      <c r="AI1109" s="9"/>
      <c r="AJ1109" s="11"/>
      <c r="AK1109" s="9"/>
      <c r="AL1109" s="13"/>
      <c r="AM1109" s="9"/>
    </row>
    <row r="1110" spans="1:39" x14ac:dyDescent="0.3">
      <c r="A1110" s="2" t="str">
        <f t="shared" si="348"/>
        <v>NÃO</v>
      </c>
      <c r="B1110" s="2" t="str">
        <f>_xlfn.XLOOKUP($N1110,'Base de Grupos'!$A:$A,'Base de Grupos'!$D:$D)</f>
        <v>1000065763</v>
      </c>
      <c r="C1110" s="5" t="str">
        <f>_xlfn.XLOOKUP($N1110,'Base de Grupos'!$A:$A,'Base de Grupos'!$E:$E)</f>
        <v>CANAL VENDA INTERNA</v>
      </c>
      <c r="D1110" s="5" t="str">
        <f>_xlfn.XLOOKUP($N1110,'Base de Grupos'!$A:$A,'Base de Grupos'!$F:$F)</f>
        <v>1000065763</v>
      </c>
      <c r="E1110" s="2" t="str">
        <f>_xlfn.XLOOKUP($N1110,'Base de Grupos'!$A:$A,'Base de Grupos'!$G:$G)</f>
        <v>CANAL VENDA INTERNA</v>
      </c>
      <c r="F1110" s="2" t="str">
        <f>_xlfn.XLOOKUP($N1110,'Base de Grupos'!$A:$A,'Base de Grupos'!$H:$H)</f>
        <v>1000174119</v>
      </c>
      <c r="G1110" s="5" t="str">
        <f>_xlfn.XLOOKUP($N1110,'Base de Grupos'!$A:$A,'Base de Grupos'!$I:$I)</f>
        <v>REGIONAL VENDA INTERNA - CONVENIENCIA</v>
      </c>
      <c r="H1110" s="5" t="str">
        <f>_xlfn.XLOOKUP($N1110,'Base de Grupos'!$A:$A,'Base de Grupos'!$J:$J)</f>
        <v>1000174119</v>
      </c>
      <c r="I1110" s="2" t="str">
        <f>_xlfn.XLOOKUP($N1110,'Base de Grupos'!$A:$A,'Base de Grupos'!$K:$K)</f>
        <v>REGIONAL VENDA INTERNA - CONVENIENCIA</v>
      </c>
      <c r="J1110" s="2" t="str">
        <f>_xlfn.XLOOKUP($N1110,'Base de Grupos'!$A:$A,'Base de Grupos'!$L:$L)</f>
        <v>1000174119</v>
      </c>
      <c r="K1110" s="5" t="str">
        <f>_xlfn.XLOOKUP($N1110,'Base de Grupos'!$A:$A,'Base de Grupos'!$M:$M)</f>
        <v>REGIONAL VENDA INTERNA - CONVENIENCIA</v>
      </c>
      <c r="L1110" s="5" t="str">
        <f t="shared" si="349"/>
        <v/>
      </c>
      <c r="M1110" s="5" t="str">
        <f>_xlfn.XLOOKUP($N1110,'Base de Grupos'!$A:$A,'Base de Grupos'!$C:$C)</f>
        <v>SP</v>
      </c>
      <c r="N1110" s="3">
        <v>1526</v>
      </c>
      <c r="O1110" s="4" t="s">
        <v>285</v>
      </c>
      <c r="P1110" s="5" t="s">
        <v>108</v>
      </c>
      <c r="Q1110" s="24">
        <v>0</v>
      </c>
      <c r="R1110" s="24">
        <v>0</v>
      </c>
      <c r="S1110" s="24">
        <v>0</v>
      </c>
      <c r="T1110" s="24">
        <v>0</v>
      </c>
      <c r="U1110" s="24">
        <v>0</v>
      </c>
      <c r="V1110" s="24">
        <v>0</v>
      </c>
      <c r="W1110" s="24">
        <v>0</v>
      </c>
      <c r="X1110" s="24">
        <v>0</v>
      </c>
      <c r="Y1110" s="24">
        <v>0</v>
      </c>
      <c r="Z1110" s="24">
        <v>0</v>
      </c>
      <c r="AA1110" s="24">
        <v>0</v>
      </c>
      <c r="AB1110" s="24">
        <v>0</v>
      </c>
      <c r="AC1110" s="30">
        <f t="shared" si="350"/>
        <v>0</v>
      </c>
      <c r="AD1110" s="28"/>
      <c r="AE1110" s="12"/>
      <c r="AF1110" s="29"/>
      <c r="AG1110" s="9"/>
      <c r="AH1110" s="10"/>
      <c r="AI1110" s="9"/>
      <c r="AJ1110" s="11"/>
      <c r="AK1110" s="9"/>
      <c r="AL1110" s="13"/>
      <c r="AM1110" s="9"/>
    </row>
    <row r="1111" spans="1:39" x14ac:dyDescent="0.3">
      <c r="A1111" s="2" t="str">
        <f t="shared" si="348"/>
        <v>NÃO</v>
      </c>
      <c r="B1111" s="2" t="str">
        <f>_xlfn.XLOOKUP($N1111,'Base de Grupos'!$A:$A,'Base de Grupos'!$D:$D)</f>
        <v>1000065763</v>
      </c>
      <c r="C1111" s="5" t="str">
        <f>_xlfn.XLOOKUP($N1111,'Base de Grupos'!$A:$A,'Base de Grupos'!$E:$E)</f>
        <v>CANAL VENDA INTERNA</v>
      </c>
      <c r="D1111" s="5" t="str">
        <f>_xlfn.XLOOKUP($N1111,'Base de Grupos'!$A:$A,'Base de Grupos'!$F:$F)</f>
        <v>1000065763</v>
      </c>
      <c r="E1111" s="2" t="str">
        <f>_xlfn.XLOOKUP($N1111,'Base de Grupos'!$A:$A,'Base de Grupos'!$G:$G)</f>
        <v>CANAL VENDA INTERNA</v>
      </c>
      <c r="F1111" s="2" t="str">
        <f>_xlfn.XLOOKUP($N1111,'Base de Grupos'!$A:$A,'Base de Grupos'!$H:$H)</f>
        <v>1000174119</v>
      </c>
      <c r="G1111" s="5" t="str">
        <f>_xlfn.XLOOKUP($N1111,'Base de Grupos'!$A:$A,'Base de Grupos'!$I:$I)</f>
        <v>REGIONAL VENDA INTERNA - CONVENIENCIA</v>
      </c>
      <c r="H1111" s="5" t="str">
        <f>_xlfn.XLOOKUP($N1111,'Base de Grupos'!$A:$A,'Base de Grupos'!$J:$J)</f>
        <v>1000174119</v>
      </c>
      <c r="I1111" s="2" t="str">
        <f>_xlfn.XLOOKUP($N1111,'Base de Grupos'!$A:$A,'Base de Grupos'!$K:$K)</f>
        <v>REGIONAL VENDA INTERNA - CONVENIENCIA</v>
      </c>
      <c r="J1111" s="2" t="str">
        <f>_xlfn.XLOOKUP($N1111,'Base de Grupos'!$A:$A,'Base de Grupos'!$L:$L)</f>
        <v>1000174119</v>
      </c>
      <c r="K1111" s="5" t="str">
        <f>_xlfn.XLOOKUP($N1111,'Base de Grupos'!$A:$A,'Base de Grupos'!$M:$M)</f>
        <v>REGIONAL VENDA INTERNA - CONVENIENCIA</v>
      </c>
      <c r="L1111" s="5" t="str">
        <f t="shared" si="349"/>
        <v/>
      </c>
      <c r="M1111" s="5" t="str">
        <f>_xlfn.XLOOKUP($N1111,'Base de Grupos'!$A:$A,'Base de Grupos'!$C:$C)</f>
        <v>SP</v>
      </c>
      <c r="N1111" s="3">
        <v>1526</v>
      </c>
      <c r="O1111" s="4" t="s">
        <v>285</v>
      </c>
      <c r="P1111" s="5" t="s">
        <v>89</v>
      </c>
      <c r="Q1111" s="24">
        <v>0</v>
      </c>
      <c r="R1111" s="24">
        <v>0</v>
      </c>
      <c r="S1111" s="24">
        <v>0</v>
      </c>
      <c r="T1111" s="24">
        <v>0</v>
      </c>
      <c r="U1111" s="24">
        <v>0</v>
      </c>
      <c r="V1111" s="24">
        <v>0</v>
      </c>
      <c r="W1111" s="24">
        <v>0</v>
      </c>
      <c r="X1111" s="24">
        <v>0</v>
      </c>
      <c r="Y1111" s="24">
        <v>0</v>
      </c>
      <c r="Z1111" s="24">
        <v>0</v>
      </c>
      <c r="AA1111" s="24">
        <v>0</v>
      </c>
      <c r="AB1111" s="24">
        <v>0</v>
      </c>
      <c r="AC1111" s="30">
        <f t="shared" si="350"/>
        <v>0</v>
      </c>
      <c r="AD1111" s="28"/>
      <c r="AE1111" s="12"/>
      <c r="AF1111" s="29"/>
      <c r="AG1111" s="9"/>
      <c r="AH1111" s="10"/>
      <c r="AI1111" s="9"/>
      <c r="AJ1111" s="11"/>
      <c r="AK1111" s="9"/>
      <c r="AL1111" s="13"/>
      <c r="AM1111" s="9"/>
    </row>
    <row r="1112" spans="1:39" x14ac:dyDescent="0.3">
      <c r="A1112" s="2" t="str">
        <f t="shared" si="348"/>
        <v>NÃO</v>
      </c>
      <c r="B1112" s="2" t="str">
        <f>_xlfn.XLOOKUP($N1112,'Base de Grupos'!$A:$A,'Base de Grupos'!$D:$D)</f>
        <v>1000065763</v>
      </c>
      <c r="C1112" s="5" t="str">
        <f>_xlfn.XLOOKUP($N1112,'Base de Grupos'!$A:$A,'Base de Grupos'!$E:$E)</f>
        <v>CANAL VENDA INTERNA</v>
      </c>
      <c r="D1112" s="5" t="str">
        <f>_xlfn.XLOOKUP($N1112,'Base de Grupos'!$A:$A,'Base de Grupos'!$F:$F)</f>
        <v>1000065763</v>
      </c>
      <c r="E1112" s="2" t="str">
        <f>_xlfn.XLOOKUP($N1112,'Base de Grupos'!$A:$A,'Base de Grupos'!$G:$G)</f>
        <v>CANAL VENDA INTERNA</v>
      </c>
      <c r="F1112" s="2" t="str">
        <f>_xlfn.XLOOKUP($N1112,'Base de Grupos'!$A:$A,'Base de Grupos'!$H:$H)</f>
        <v>1000174119</v>
      </c>
      <c r="G1112" s="5" t="str">
        <f>_xlfn.XLOOKUP($N1112,'Base de Grupos'!$A:$A,'Base de Grupos'!$I:$I)</f>
        <v>REGIONAL VENDA INTERNA - CONVENIENCIA</v>
      </c>
      <c r="H1112" s="5" t="str">
        <f>_xlfn.XLOOKUP($N1112,'Base de Grupos'!$A:$A,'Base de Grupos'!$J:$J)</f>
        <v>1000174119</v>
      </c>
      <c r="I1112" s="2" t="str">
        <f>_xlfn.XLOOKUP($N1112,'Base de Grupos'!$A:$A,'Base de Grupos'!$K:$K)</f>
        <v>REGIONAL VENDA INTERNA - CONVENIENCIA</v>
      </c>
      <c r="J1112" s="2" t="str">
        <f>_xlfn.XLOOKUP($N1112,'Base de Grupos'!$A:$A,'Base de Grupos'!$L:$L)</f>
        <v>1000174119</v>
      </c>
      <c r="K1112" s="5" t="str">
        <f>_xlfn.XLOOKUP($N1112,'Base de Grupos'!$A:$A,'Base de Grupos'!$M:$M)</f>
        <v>REGIONAL VENDA INTERNA - CONVENIENCIA</v>
      </c>
      <c r="L1112" s="5" t="str">
        <f t="shared" si="349"/>
        <v/>
      </c>
      <c r="M1112" s="5" t="str">
        <f>_xlfn.XLOOKUP($N1112,'Base de Grupos'!$A:$A,'Base de Grupos'!$C:$C)</f>
        <v>SP</v>
      </c>
      <c r="N1112" s="3">
        <v>1526</v>
      </c>
      <c r="O1112" s="4" t="s">
        <v>285</v>
      </c>
      <c r="P1112" s="5" t="s">
        <v>88</v>
      </c>
      <c r="Q1112" s="24">
        <v>0</v>
      </c>
      <c r="R1112" s="24">
        <v>0</v>
      </c>
      <c r="S1112" s="24">
        <v>0</v>
      </c>
      <c r="T1112" s="24">
        <v>0</v>
      </c>
      <c r="U1112" s="24">
        <v>0</v>
      </c>
      <c r="V1112" s="24">
        <v>0</v>
      </c>
      <c r="W1112" s="24">
        <v>0</v>
      </c>
      <c r="X1112" s="24">
        <v>0</v>
      </c>
      <c r="Y1112" s="24">
        <v>0</v>
      </c>
      <c r="Z1112" s="24">
        <v>0</v>
      </c>
      <c r="AA1112" s="24">
        <v>0</v>
      </c>
      <c r="AB1112" s="24">
        <v>0</v>
      </c>
      <c r="AC1112" s="30">
        <f t="shared" si="350"/>
        <v>0</v>
      </c>
      <c r="AD1112" s="28"/>
      <c r="AE1112" s="12"/>
      <c r="AF1112" s="29"/>
      <c r="AG1112" s="9"/>
      <c r="AH1112" s="10"/>
      <c r="AI1112" s="9"/>
      <c r="AJ1112" s="11"/>
      <c r="AK1112" s="9"/>
      <c r="AL1112" s="13"/>
      <c r="AM1112" s="9"/>
    </row>
    <row r="1113" spans="1:39" x14ac:dyDescent="0.3">
      <c r="A1113" s="2" t="str">
        <f t="shared" si="348"/>
        <v>NÃO</v>
      </c>
      <c r="B1113" s="2" t="str">
        <f>_xlfn.XLOOKUP($N1113,'Base de Grupos'!$A:$A,'Base de Grupos'!$D:$D)</f>
        <v>1000065763</v>
      </c>
      <c r="C1113" s="5" t="str">
        <f>_xlfn.XLOOKUP($N1113,'Base de Grupos'!$A:$A,'Base de Grupos'!$E:$E)</f>
        <v>CANAL VENDA INTERNA</v>
      </c>
      <c r="D1113" s="5" t="str">
        <f>_xlfn.XLOOKUP($N1113,'Base de Grupos'!$A:$A,'Base de Grupos'!$F:$F)</f>
        <v>1000065763</v>
      </c>
      <c r="E1113" s="2" t="str">
        <f>_xlfn.XLOOKUP($N1113,'Base de Grupos'!$A:$A,'Base de Grupos'!$G:$G)</f>
        <v>CANAL VENDA INTERNA</v>
      </c>
      <c r="F1113" s="2" t="str">
        <f>_xlfn.XLOOKUP($N1113,'Base de Grupos'!$A:$A,'Base de Grupos'!$H:$H)</f>
        <v>1000174119</v>
      </c>
      <c r="G1113" s="5" t="str">
        <f>_xlfn.XLOOKUP($N1113,'Base de Grupos'!$A:$A,'Base de Grupos'!$I:$I)</f>
        <v>REGIONAL VENDA INTERNA - CONVENIENCIA</v>
      </c>
      <c r="H1113" s="5" t="str">
        <f>_xlfn.XLOOKUP($N1113,'Base de Grupos'!$A:$A,'Base de Grupos'!$J:$J)</f>
        <v>1000174119</v>
      </c>
      <c r="I1113" s="2" t="str">
        <f>_xlfn.XLOOKUP($N1113,'Base de Grupos'!$A:$A,'Base de Grupos'!$K:$K)</f>
        <v>REGIONAL VENDA INTERNA - CONVENIENCIA</v>
      </c>
      <c r="J1113" s="2" t="str">
        <f>_xlfn.XLOOKUP($N1113,'Base de Grupos'!$A:$A,'Base de Grupos'!$L:$L)</f>
        <v>1000174119</v>
      </c>
      <c r="K1113" s="5" t="str">
        <f>_xlfn.XLOOKUP($N1113,'Base de Grupos'!$A:$A,'Base de Grupos'!$M:$M)</f>
        <v>REGIONAL VENDA INTERNA - CONVENIENCIA</v>
      </c>
      <c r="L1113" s="5" t="str">
        <f t="shared" si="349"/>
        <v/>
      </c>
      <c r="M1113" s="5" t="str">
        <f>_xlfn.XLOOKUP($N1113,'Base de Grupos'!$A:$A,'Base de Grupos'!$C:$C)</f>
        <v>SP</v>
      </c>
      <c r="N1113" s="3">
        <v>1526</v>
      </c>
      <c r="O1113" s="4" t="s">
        <v>285</v>
      </c>
      <c r="P1113" s="5" t="s">
        <v>90</v>
      </c>
      <c r="Q1113" s="24">
        <v>0</v>
      </c>
      <c r="R1113" s="24">
        <v>0</v>
      </c>
      <c r="S1113" s="24">
        <v>0</v>
      </c>
      <c r="T1113" s="24">
        <v>0</v>
      </c>
      <c r="U1113" s="24">
        <v>0</v>
      </c>
      <c r="V1113" s="24">
        <v>0</v>
      </c>
      <c r="W1113" s="24">
        <v>0</v>
      </c>
      <c r="X1113" s="24">
        <v>0</v>
      </c>
      <c r="Y1113" s="24">
        <v>0</v>
      </c>
      <c r="Z1113" s="24">
        <v>0</v>
      </c>
      <c r="AA1113" s="24">
        <v>0</v>
      </c>
      <c r="AB1113" s="24">
        <v>0</v>
      </c>
      <c r="AC1113" s="30">
        <f t="shared" si="350"/>
        <v>0</v>
      </c>
      <c r="AD1113" s="28"/>
      <c r="AE1113" s="12"/>
      <c r="AF1113" s="29"/>
      <c r="AG1113" s="9"/>
      <c r="AH1113" s="10"/>
      <c r="AI1113" s="9"/>
      <c r="AJ1113" s="11"/>
      <c r="AK1113" s="9"/>
      <c r="AL1113" s="13"/>
      <c r="AM1113" s="9"/>
    </row>
    <row r="1114" spans="1:39" x14ac:dyDescent="0.3">
      <c r="A1114" s="2" t="str">
        <f t="shared" ref="A1114:A1154" si="351">IF(L1114=1,"SIM","NÃO")</f>
        <v>NÃO</v>
      </c>
      <c r="B1114" s="2" t="str">
        <f>_xlfn.XLOOKUP($N1114,'Base de Grupos'!$A:$A,'Base de Grupos'!$D:$D)</f>
        <v>1000065763</v>
      </c>
      <c r="C1114" s="5" t="str">
        <f>_xlfn.XLOOKUP($N1114,'Base de Grupos'!$A:$A,'Base de Grupos'!$E:$E)</f>
        <v>CANAL VENDA INTERNA</v>
      </c>
      <c r="D1114" s="5" t="str">
        <f>_xlfn.XLOOKUP($N1114,'Base de Grupos'!$A:$A,'Base de Grupos'!$F:$F)</f>
        <v>1000065763</v>
      </c>
      <c r="E1114" s="2" t="str">
        <f>_xlfn.XLOOKUP($N1114,'Base de Grupos'!$A:$A,'Base de Grupos'!$G:$G)</f>
        <v>CANAL VENDA INTERNA</v>
      </c>
      <c r="F1114" s="2" t="str">
        <f>_xlfn.XLOOKUP($N1114,'Base de Grupos'!$A:$A,'Base de Grupos'!$H:$H)</f>
        <v>1000174119</v>
      </c>
      <c r="G1114" s="5" t="str">
        <f>_xlfn.XLOOKUP($N1114,'Base de Grupos'!$A:$A,'Base de Grupos'!$I:$I)</f>
        <v>REGIONAL VENDA INTERNA - CONVENIENCIA</v>
      </c>
      <c r="H1114" s="5" t="str">
        <f>_xlfn.XLOOKUP($N1114,'Base de Grupos'!$A:$A,'Base de Grupos'!$J:$J)</f>
        <v>1000174119</v>
      </c>
      <c r="I1114" s="2" t="str">
        <f>_xlfn.XLOOKUP($N1114,'Base de Grupos'!$A:$A,'Base de Grupos'!$K:$K)</f>
        <v>REGIONAL VENDA INTERNA - CONVENIENCIA</v>
      </c>
      <c r="J1114" s="2" t="str">
        <f>_xlfn.XLOOKUP($N1114,'Base de Grupos'!$A:$A,'Base de Grupos'!$L:$L)</f>
        <v>1000174119</v>
      </c>
      <c r="K1114" s="5" t="str">
        <f>_xlfn.XLOOKUP($N1114,'Base de Grupos'!$A:$A,'Base de Grupos'!$M:$M)</f>
        <v>REGIONAL VENDA INTERNA - CONVENIENCIA</v>
      </c>
      <c r="L1114" s="5" t="str">
        <f t="shared" ref="L1114:L1154" si="352">IF(N1114&lt;&gt;N1113,1,"")</f>
        <v/>
      </c>
      <c r="M1114" s="5" t="str">
        <f>_xlfn.XLOOKUP($N1114,'Base de Grupos'!$A:$A,'Base de Grupos'!$C:$C)</f>
        <v>SP</v>
      </c>
      <c r="N1114" s="3">
        <v>1526</v>
      </c>
      <c r="O1114" s="4" t="s">
        <v>285</v>
      </c>
      <c r="P1114" s="5" t="s">
        <v>91</v>
      </c>
      <c r="Q1114" s="24">
        <v>0</v>
      </c>
      <c r="R1114" s="24">
        <v>0</v>
      </c>
      <c r="S1114" s="24">
        <v>0</v>
      </c>
      <c r="T1114" s="24">
        <v>0</v>
      </c>
      <c r="U1114" s="24">
        <v>0</v>
      </c>
      <c r="V1114" s="24">
        <v>0</v>
      </c>
      <c r="W1114" s="24">
        <v>0</v>
      </c>
      <c r="X1114" s="24">
        <v>0</v>
      </c>
      <c r="Y1114" s="24">
        <v>0</v>
      </c>
      <c r="Z1114" s="24">
        <v>0</v>
      </c>
      <c r="AA1114" s="24">
        <v>0</v>
      </c>
      <c r="AB1114" s="24">
        <v>0</v>
      </c>
      <c r="AC1114" s="30">
        <f t="shared" si="350"/>
        <v>0</v>
      </c>
      <c r="AD1114" s="28"/>
      <c r="AE1114" s="12"/>
      <c r="AF1114" s="29"/>
      <c r="AG1114" s="9"/>
      <c r="AH1114" s="10"/>
      <c r="AI1114" s="9"/>
      <c r="AJ1114" s="11"/>
      <c r="AK1114" s="9"/>
      <c r="AL1114" s="13"/>
      <c r="AM1114" s="9"/>
    </row>
    <row r="1115" spans="1:39" x14ac:dyDescent="0.3">
      <c r="A1115" s="2" t="str">
        <f t="shared" si="351"/>
        <v>NÃO</v>
      </c>
      <c r="B1115" s="2" t="str">
        <f>_xlfn.XLOOKUP($N1115,'Base de Grupos'!$A:$A,'Base de Grupos'!$D:$D)</f>
        <v>1000065763</v>
      </c>
      <c r="C1115" s="5" t="str">
        <f>_xlfn.XLOOKUP($N1115,'Base de Grupos'!$A:$A,'Base de Grupos'!$E:$E)</f>
        <v>CANAL VENDA INTERNA</v>
      </c>
      <c r="D1115" s="5" t="str">
        <f>_xlfn.XLOOKUP($N1115,'Base de Grupos'!$A:$A,'Base de Grupos'!$F:$F)</f>
        <v>1000065763</v>
      </c>
      <c r="E1115" s="2" t="str">
        <f>_xlfn.XLOOKUP($N1115,'Base de Grupos'!$A:$A,'Base de Grupos'!$G:$G)</f>
        <v>CANAL VENDA INTERNA</v>
      </c>
      <c r="F1115" s="2" t="str">
        <f>_xlfn.XLOOKUP($N1115,'Base de Grupos'!$A:$A,'Base de Grupos'!$H:$H)</f>
        <v>1000174119</v>
      </c>
      <c r="G1115" s="5" t="str">
        <f>_xlfn.XLOOKUP($N1115,'Base de Grupos'!$A:$A,'Base de Grupos'!$I:$I)</f>
        <v>REGIONAL VENDA INTERNA - CONVENIENCIA</v>
      </c>
      <c r="H1115" s="5" t="str">
        <f>_xlfn.XLOOKUP($N1115,'Base de Grupos'!$A:$A,'Base de Grupos'!$J:$J)</f>
        <v>1000174119</v>
      </c>
      <c r="I1115" s="2" t="str">
        <f>_xlfn.XLOOKUP($N1115,'Base de Grupos'!$A:$A,'Base de Grupos'!$K:$K)</f>
        <v>REGIONAL VENDA INTERNA - CONVENIENCIA</v>
      </c>
      <c r="J1115" s="2" t="str">
        <f>_xlfn.XLOOKUP($N1115,'Base de Grupos'!$A:$A,'Base de Grupos'!$L:$L)</f>
        <v>1000174119</v>
      </c>
      <c r="K1115" s="5" t="str">
        <f>_xlfn.XLOOKUP($N1115,'Base de Grupos'!$A:$A,'Base de Grupos'!$M:$M)</f>
        <v>REGIONAL VENDA INTERNA - CONVENIENCIA</v>
      </c>
      <c r="L1115" s="5" t="str">
        <f t="shared" si="352"/>
        <v/>
      </c>
      <c r="M1115" s="5" t="str">
        <f>_xlfn.XLOOKUP($N1115,'Base de Grupos'!$A:$A,'Base de Grupos'!$C:$C)</f>
        <v>SP</v>
      </c>
      <c r="N1115" s="3">
        <v>1526</v>
      </c>
      <c r="O1115" s="4" t="s">
        <v>285</v>
      </c>
      <c r="P1115" s="5" t="s">
        <v>96</v>
      </c>
      <c r="Q1115" s="24">
        <v>0</v>
      </c>
      <c r="R1115" s="24">
        <v>0</v>
      </c>
      <c r="S1115" s="24">
        <v>0</v>
      </c>
      <c r="T1115" s="24">
        <v>0</v>
      </c>
      <c r="U1115" s="24">
        <v>0</v>
      </c>
      <c r="V1115" s="24">
        <v>0</v>
      </c>
      <c r="W1115" s="24">
        <v>0</v>
      </c>
      <c r="X1115" s="24">
        <v>0</v>
      </c>
      <c r="Y1115" s="24">
        <v>0</v>
      </c>
      <c r="Z1115" s="24">
        <v>0</v>
      </c>
      <c r="AA1115" s="24">
        <v>0</v>
      </c>
      <c r="AB1115" s="24">
        <v>0</v>
      </c>
      <c r="AC1115" s="30">
        <f t="shared" ref="AC1115:AC1154" si="353">SUM(T1115:AB1115)</f>
        <v>0</v>
      </c>
      <c r="AD1115" s="28"/>
      <c r="AE1115" s="12"/>
      <c r="AF1115" s="29"/>
      <c r="AG1115" s="9"/>
      <c r="AH1115" s="10"/>
      <c r="AI1115" s="9"/>
      <c r="AJ1115" s="11"/>
      <c r="AK1115" s="9"/>
      <c r="AL1115" s="13"/>
      <c r="AM1115" s="9"/>
    </row>
    <row r="1116" spans="1:39" x14ac:dyDescent="0.3">
      <c r="A1116" s="2" t="str">
        <f t="shared" si="351"/>
        <v>NÃO</v>
      </c>
      <c r="B1116" s="2" t="str">
        <f>_xlfn.XLOOKUP($N1116,'Base de Grupos'!$A:$A,'Base de Grupos'!$D:$D)</f>
        <v>1000065763</v>
      </c>
      <c r="C1116" s="5" t="str">
        <f>_xlfn.XLOOKUP($N1116,'Base de Grupos'!$A:$A,'Base de Grupos'!$E:$E)</f>
        <v>CANAL VENDA INTERNA</v>
      </c>
      <c r="D1116" s="5" t="str">
        <f>_xlfn.XLOOKUP($N1116,'Base de Grupos'!$A:$A,'Base de Grupos'!$F:$F)</f>
        <v>1000065763</v>
      </c>
      <c r="E1116" s="2" t="str">
        <f>_xlfn.XLOOKUP($N1116,'Base de Grupos'!$A:$A,'Base de Grupos'!$G:$G)</f>
        <v>CANAL VENDA INTERNA</v>
      </c>
      <c r="F1116" s="2" t="str">
        <f>_xlfn.XLOOKUP($N1116,'Base de Grupos'!$A:$A,'Base de Grupos'!$H:$H)</f>
        <v>1000174119</v>
      </c>
      <c r="G1116" s="5" t="str">
        <f>_xlfn.XLOOKUP($N1116,'Base de Grupos'!$A:$A,'Base de Grupos'!$I:$I)</f>
        <v>REGIONAL VENDA INTERNA - CONVENIENCIA</v>
      </c>
      <c r="H1116" s="5" t="str">
        <f>_xlfn.XLOOKUP($N1116,'Base de Grupos'!$A:$A,'Base de Grupos'!$J:$J)</f>
        <v>1000174119</v>
      </c>
      <c r="I1116" s="2" t="str">
        <f>_xlfn.XLOOKUP($N1116,'Base de Grupos'!$A:$A,'Base de Grupos'!$K:$K)</f>
        <v>REGIONAL VENDA INTERNA - CONVENIENCIA</v>
      </c>
      <c r="J1116" s="2" t="str">
        <f>_xlfn.XLOOKUP($N1116,'Base de Grupos'!$A:$A,'Base de Grupos'!$L:$L)</f>
        <v>1000174119</v>
      </c>
      <c r="K1116" s="5" t="str">
        <f>_xlfn.XLOOKUP($N1116,'Base de Grupos'!$A:$A,'Base de Grupos'!$M:$M)</f>
        <v>REGIONAL VENDA INTERNA - CONVENIENCIA</v>
      </c>
      <c r="L1116" s="5" t="str">
        <f t="shared" si="352"/>
        <v/>
      </c>
      <c r="M1116" s="5" t="str">
        <f>_xlfn.XLOOKUP($N1116,'Base de Grupos'!$A:$A,'Base de Grupos'!$C:$C)</f>
        <v>SP</v>
      </c>
      <c r="N1116" s="3">
        <v>1526</v>
      </c>
      <c r="O1116" s="4" t="s">
        <v>285</v>
      </c>
      <c r="P1116" s="5" t="s">
        <v>94</v>
      </c>
      <c r="Q1116" s="24">
        <v>0</v>
      </c>
      <c r="R1116" s="24">
        <v>0</v>
      </c>
      <c r="S1116" s="24">
        <v>0</v>
      </c>
      <c r="T1116" s="24">
        <v>0</v>
      </c>
      <c r="U1116" s="24">
        <v>0</v>
      </c>
      <c r="V1116" s="24">
        <v>0</v>
      </c>
      <c r="W1116" s="24">
        <v>0</v>
      </c>
      <c r="X1116" s="24">
        <v>0</v>
      </c>
      <c r="Y1116" s="24">
        <v>0</v>
      </c>
      <c r="Z1116" s="24">
        <v>0</v>
      </c>
      <c r="AA1116" s="24">
        <v>0</v>
      </c>
      <c r="AB1116" s="24">
        <v>0</v>
      </c>
      <c r="AC1116" s="30">
        <f t="shared" si="353"/>
        <v>0</v>
      </c>
      <c r="AD1116" s="28"/>
      <c r="AE1116" s="12"/>
      <c r="AF1116" s="29"/>
      <c r="AG1116" s="9"/>
      <c r="AH1116" s="10"/>
      <c r="AI1116" s="9"/>
      <c r="AJ1116" s="11"/>
      <c r="AK1116" s="9"/>
      <c r="AL1116" s="13"/>
      <c r="AM1116" s="9"/>
    </row>
    <row r="1117" spans="1:39" x14ac:dyDescent="0.3">
      <c r="A1117" s="2" t="str">
        <f t="shared" si="351"/>
        <v>NÃO</v>
      </c>
      <c r="B1117" s="2" t="str">
        <f>_xlfn.XLOOKUP($N1117,'Base de Grupos'!$A:$A,'Base de Grupos'!$D:$D)</f>
        <v>1000065763</v>
      </c>
      <c r="C1117" s="5" t="str">
        <f>_xlfn.XLOOKUP($N1117,'Base de Grupos'!$A:$A,'Base de Grupos'!$E:$E)</f>
        <v>CANAL VENDA INTERNA</v>
      </c>
      <c r="D1117" s="5" t="str">
        <f>_xlfn.XLOOKUP($N1117,'Base de Grupos'!$A:$A,'Base de Grupos'!$F:$F)</f>
        <v>1000065763</v>
      </c>
      <c r="E1117" s="2" t="str">
        <f>_xlfn.XLOOKUP($N1117,'Base de Grupos'!$A:$A,'Base de Grupos'!$G:$G)</f>
        <v>CANAL VENDA INTERNA</v>
      </c>
      <c r="F1117" s="2" t="str">
        <f>_xlfn.XLOOKUP($N1117,'Base de Grupos'!$A:$A,'Base de Grupos'!$H:$H)</f>
        <v>1000174119</v>
      </c>
      <c r="G1117" s="5" t="str">
        <f>_xlfn.XLOOKUP($N1117,'Base de Grupos'!$A:$A,'Base de Grupos'!$I:$I)</f>
        <v>REGIONAL VENDA INTERNA - CONVENIENCIA</v>
      </c>
      <c r="H1117" s="5" t="str">
        <f>_xlfn.XLOOKUP($N1117,'Base de Grupos'!$A:$A,'Base de Grupos'!$J:$J)</f>
        <v>1000174119</v>
      </c>
      <c r="I1117" s="2" t="str">
        <f>_xlfn.XLOOKUP($N1117,'Base de Grupos'!$A:$A,'Base de Grupos'!$K:$K)</f>
        <v>REGIONAL VENDA INTERNA - CONVENIENCIA</v>
      </c>
      <c r="J1117" s="2" t="str">
        <f>_xlfn.XLOOKUP($N1117,'Base de Grupos'!$A:$A,'Base de Grupos'!$L:$L)</f>
        <v>1000174119</v>
      </c>
      <c r="K1117" s="5" t="str">
        <f>_xlfn.XLOOKUP($N1117,'Base de Grupos'!$A:$A,'Base de Grupos'!$M:$M)</f>
        <v>REGIONAL VENDA INTERNA - CONVENIENCIA</v>
      </c>
      <c r="L1117" s="5" t="str">
        <f t="shared" si="352"/>
        <v/>
      </c>
      <c r="M1117" s="5" t="str">
        <f>_xlfn.XLOOKUP($N1117,'Base de Grupos'!$A:$A,'Base de Grupos'!$C:$C)</f>
        <v>SP</v>
      </c>
      <c r="N1117" s="3">
        <v>1526</v>
      </c>
      <c r="O1117" s="4" t="s">
        <v>285</v>
      </c>
      <c r="P1117" s="5" t="s">
        <v>95</v>
      </c>
      <c r="Q1117" s="24">
        <v>0</v>
      </c>
      <c r="R1117" s="24">
        <v>0</v>
      </c>
      <c r="S1117" s="24">
        <v>0</v>
      </c>
      <c r="T1117" s="24">
        <v>0</v>
      </c>
      <c r="U1117" s="24">
        <v>0</v>
      </c>
      <c r="V1117" s="24">
        <v>0</v>
      </c>
      <c r="W1117" s="24">
        <v>0</v>
      </c>
      <c r="X1117" s="24">
        <v>0</v>
      </c>
      <c r="Y1117" s="24">
        <v>0</v>
      </c>
      <c r="Z1117" s="24">
        <v>0</v>
      </c>
      <c r="AA1117" s="24">
        <v>0</v>
      </c>
      <c r="AB1117" s="24">
        <v>0</v>
      </c>
      <c r="AC1117" s="30">
        <f t="shared" si="353"/>
        <v>0</v>
      </c>
      <c r="AD1117" s="28"/>
      <c r="AE1117" s="12"/>
      <c r="AF1117" s="29"/>
      <c r="AG1117" s="9"/>
      <c r="AH1117" s="10"/>
      <c r="AI1117" s="9"/>
      <c r="AJ1117" s="11"/>
      <c r="AK1117" s="9"/>
      <c r="AL1117" s="13"/>
      <c r="AM1117" s="9"/>
    </row>
    <row r="1118" spans="1:39" x14ac:dyDescent="0.3">
      <c r="A1118" s="2" t="str">
        <f t="shared" si="351"/>
        <v>NÃO</v>
      </c>
      <c r="B1118" s="2" t="str">
        <f>_xlfn.XLOOKUP($N1118,'Base de Grupos'!$A:$A,'Base de Grupos'!$D:$D)</f>
        <v>1000065763</v>
      </c>
      <c r="C1118" s="5" t="str">
        <f>_xlfn.XLOOKUP($N1118,'Base de Grupos'!$A:$A,'Base de Grupos'!$E:$E)</f>
        <v>CANAL VENDA INTERNA</v>
      </c>
      <c r="D1118" s="5" t="str">
        <f>_xlfn.XLOOKUP($N1118,'Base de Grupos'!$A:$A,'Base de Grupos'!$F:$F)</f>
        <v>1000065763</v>
      </c>
      <c r="E1118" s="2" t="str">
        <f>_xlfn.XLOOKUP($N1118,'Base de Grupos'!$A:$A,'Base de Grupos'!$G:$G)</f>
        <v>CANAL VENDA INTERNA</v>
      </c>
      <c r="F1118" s="2" t="str">
        <f>_xlfn.XLOOKUP($N1118,'Base de Grupos'!$A:$A,'Base de Grupos'!$H:$H)</f>
        <v>1000174119</v>
      </c>
      <c r="G1118" s="5" t="str">
        <f>_xlfn.XLOOKUP($N1118,'Base de Grupos'!$A:$A,'Base de Grupos'!$I:$I)</f>
        <v>REGIONAL VENDA INTERNA - CONVENIENCIA</v>
      </c>
      <c r="H1118" s="5" t="str">
        <f>_xlfn.XLOOKUP($N1118,'Base de Grupos'!$A:$A,'Base de Grupos'!$J:$J)</f>
        <v>1000174119</v>
      </c>
      <c r="I1118" s="2" t="str">
        <f>_xlfn.XLOOKUP($N1118,'Base de Grupos'!$A:$A,'Base de Grupos'!$K:$K)</f>
        <v>REGIONAL VENDA INTERNA - CONVENIENCIA</v>
      </c>
      <c r="J1118" s="2" t="str">
        <f>_xlfn.XLOOKUP($N1118,'Base de Grupos'!$A:$A,'Base de Grupos'!$L:$L)</f>
        <v>1000174119</v>
      </c>
      <c r="K1118" s="5" t="str">
        <f>_xlfn.XLOOKUP($N1118,'Base de Grupos'!$A:$A,'Base de Grupos'!$M:$M)</f>
        <v>REGIONAL VENDA INTERNA - CONVENIENCIA</v>
      </c>
      <c r="L1118" s="5" t="str">
        <f t="shared" si="352"/>
        <v/>
      </c>
      <c r="M1118" s="5" t="str">
        <f>_xlfn.XLOOKUP($N1118,'Base de Grupos'!$A:$A,'Base de Grupos'!$C:$C)</f>
        <v>SP</v>
      </c>
      <c r="N1118" s="3">
        <v>1526</v>
      </c>
      <c r="O1118" s="4" t="s">
        <v>285</v>
      </c>
      <c r="P1118" s="5" t="s">
        <v>93</v>
      </c>
      <c r="Q1118" s="24">
        <v>0</v>
      </c>
      <c r="R1118" s="24">
        <v>0</v>
      </c>
      <c r="S1118" s="24">
        <v>0</v>
      </c>
      <c r="T1118" s="24">
        <v>0</v>
      </c>
      <c r="U1118" s="24">
        <v>0</v>
      </c>
      <c r="V1118" s="24">
        <v>0</v>
      </c>
      <c r="W1118" s="24">
        <v>0</v>
      </c>
      <c r="X1118" s="24">
        <v>0</v>
      </c>
      <c r="Y1118" s="24">
        <v>0</v>
      </c>
      <c r="Z1118" s="24">
        <v>0</v>
      </c>
      <c r="AA1118" s="24">
        <v>0</v>
      </c>
      <c r="AB1118" s="24">
        <v>0</v>
      </c>
      <c r="AC1118" s="30">
        <f t="shared" si="353"/>
        <v>0</v>
      </c>
      <c r="AD1118" s="28"/>
      <c r="AE1118" s="12"/>
      <c r="AF1118" s="29"/>
      <c r="AG1118" s="9"/>
      <c r="AH1118" s="10"/>
      <c r="AI1118" s="9"/>
      <c r="AJ1118" s="11"/>
      <c r="AK1118" s="9"/>
      <c r="AL1118" s="13"/>
      <c r="AM1118" s="9"/>
    </row>
    <row r="1119" spans="1:39" x14ac:dyDescent="0.3">
      <c r="A1119" s="2" t="str">
        <f t="shared" si="351"/>
        <v>SIM</v>
      </c>
      <c r="B1119" s="2" t="str">
        <f>_xlfn.XLOOKUP($N1119,'Base de Grupos'!$A:$A,'Base de Grupos'!$D:$D)</f>
        <v>1000065763</v>
      </c>
      <c r="C1119" s="5" t="str">
        <f>_xlfn.XLOOKUP($N1119,'Base de Grupos'!$A:$A,'Base de Grupos'!$E:$E)</f>
        <v>CANAL VENDA INTERNA</v>
      </c>
      <c r="D1119" s="5" t="str">
        <f>_xlfn.XLOOKUP($N1119,'Base de Grupos'!$A:$A,'Base de Grupos'!$F:$F)</f>
        <v>1000065763</v>
      </c>
      <c r="E1119" s="2" t="str">
        <f>_xlfn.XLOOKUP($N1119,'Base de Grupos'!$A:$A,'Base de Grupos'!$G:$G)</f>
        <v>CANAL VENDA INTERNA</v>
      </c>
      <c r="F1119" s="2" t="str">
        <f>_xlfn.XLOOKUP($N1119,'Base de Grupos'!$A:$A,'Base de Grupos'!$H:$H)</f>
        <v>1000174119</v>
      </c>
      <c r="G1119" s="5" t="str">
        <f>_xlfn.XLOOKUP($N1119,'Base de Grupos'!$A:$A,'Base de Grupos'!$I:$I)</f>
        <v>REGIONAL VENDA INTERNA - CONVENIENCIA</v>
      </c>
      <c r="H1119" s="5" t="str">
        <f>_xlfn.XLOOKUP($N1119,'Base de Grupos'!$A:$A,'Base de Grupos'!$J:$J)</f>
        <v>1000174119</v>
      </c>
      <c r="I1119" s="2" t="str">
        <f>_xlfn.XLOOKUP($N1119,'Base de Grupos'!$A:$A,'Base de Grupos'!$K:$K)</f>
        <v>REGIONAL VENDA INTERNA - CONVENIENCIA</v>
      </c>
      <c r="J1119" s="2" t="str">
        <f>_xlfn.XLOOKUP($N1119,'Base de Grupos'!$A:$A,'Base de Grupos'!$L:$L)</f>
        <v>1000174119</v>
      </c>
      <c r="K1119" s="5" t="str">
        <f>_xlfn.XLOOKUP($N1119,'Base de Grupos'!$A:$A,'Base de Grupos'!$M:$M)</f>
        <v>REGIONAL VENDA INTERNA - CONVENIENCIA</v>
      </c>
      <c r="L1119" s="5">
        <f t="shared" si="352"/>
        <v>1</v>
      </c>
      <c r="M1119" s="5" t="str">
        <f>_xlfn.XLOOKUP($N1119,'Base de Grupos'!$A:$A,'Base de Grupos'!$C:$C)</f>
        <v>RS</v>
      </c>
      <c r="N1119" s="3">
        <v>1528</v>
      </c>
      <c r="O1119" s="4" t="s">
        <v>286</v>
      </c>
      <c r="P1119" s="5" t="s">
        <v>356</v>
      </c>
      <c r="Q1119" s="24">
        <v>0</v>
      </c>
      <c r="R1119" s="24">
        <v>0</v>
      </c>
      <c r="S1119" s="24">
        <v>0</v>
      </c>
      <c r="T1119" s="24">
        <v>0</v>
      </c>
      <c r="U1119" s="24">
        <v>0</v>
      </c>
      <c r="V1119" s="24">
        <v>0</v>
      </c>
      <c r="W1119" s="24">
        <v>0</v>
      </c>
      <c r="X1119" s="24">
        <v>0</v>
      </c>
      <c r="Y1119" s="24">
        <v>0</v>
      </c>
      <c r="Z1119" s="24">
        <v>0</v>
      </c>
      <c r="AA1119" s="24">
        <v>0</v>
      </c>
      <c r="AB1119" s="24">
        <v>0</v>
      </c>
      <c r="AC1119" s="30">
        <f t="shared" si="353"/>
        <v>0</v>
      </c>
      <c r="AD1119" s="28"/>
      <c r="AE1119" s="12"/>
      <c r="AF1119" s="29"/>
      <c r="AG1119" s="9"/>
      <c r="AH1119" s="10"/>
      <c r="AI1119" s="9"/>
      <c r="AJ1119" s="11"/>
      <c r="AK1119" s="9"/>
      <c r="AL1119" s="13"/>
      <c r="AM1119" s="9"/>
    </row>
    <row r="1120" spans="1:39" x14ac:dyDescent="0.3">
      <c r="A1120" s="2" t="str">
        <f t="shared" si="351"/>
        <v>NÃO</v>
      </c>
      <c r="B1120" s="2" t="str">
        <f>_xlfn.XLOOKUP($N1120,'Base de Grupos'!$A:$A,'Base de Grupos'!$D:$D)</f>
        <v>1000065763</v>
      </c>
      <c r="C1120" s="5" t="str">
        <f>_xlfn.XLOOKUP($N1120,'Base de Grupos'!$A:$A,'Base de Grupos'!$E:$E)</f>
        <v>CANAL VENDA INTERNA</v>
      </c>
      <c r="D1120" s="5" t="str">
        <f>_xlfn.XLOOKUP($N1120,'Base de Grupos'!$A:$A,'Base de Grupos'!$F:$F)</f>
        <v>1000065763</v>
      </c>
      <c r="E1120" s="2" t="str">
        <f>_xlfn.XLOOKUP($N1120,'Base de Grupos'!$A:$A,'Base de Grupos'!$G:$G)</f>
        <v>CANAL VENDA INTERNA</v>
      </c>
      <c r="F1120" s="2" t="str">
        <f>_xlfn.XLOOKUP($N1120,'Base de Grupos'!$A:$A,'Base de Grupos'!$H:$H)</f>
        <v>1000174119</v>
      </c>
      <c r="G1120" s="5" t="str">
        <f>_xlfn.XLOOKUP($N1120,'Base de Grupos'!$A:$A,'Base de Grupos'!$I:$I)</f>
        <v>REGIONAL VENDA INTERNA - CONVENIENCIA</v>
      </c>
      <c r="H1120" s="5" t="str">
        <f>_xlfn.XLOOKUP($N1120,'Base de Grupos'!$A:$A,'Base de Grupos'!$J:$J)</f>
        <v>1000174119</v>
      </c>
      <c r="I1120" s="2" t="str">
        <f>_xlfn.XLOOKUP($N1120,'Base de Grupos'!$A:$A,'Base de Grupos'!$K:$K)</f>
        <v>REGIONAL VENDA INTERNA - CONVENIENCIA</v>
      </c>
      <c r="J1120" s="2" t="str">
        <f>_xlfn.XLOOKUP($N1120,'Base de Grupos'!$A:$A,'Base de Grupos'!$L:$L)</f>
        <v>1000174119</v>
      </c>
      <c r="K1120" s="5" t="str">
        <f>_xlfn.XLOOKUP($N1120,'Base de Grupos'!$A:$A,'Base de Grupos'!$M:$M)</f>
        <v>REGIONAL VENDA INTERNA - CONVENIENCIA</v>
      </c>
      <c r="L1120" s="5" t="str">
        <f t="shared" si="352"/>
        <v/>
      </c>
      <c r="M1120" s="5" t="str">
        <f>_xlfn.XLOOKUP($N1120,'Base de Grupos'!$A:$A,'Base de Grupos'!$C:$C)</f>
        <v>RS</v>
      </c>
      <c r="N1120" s="3">
        <v>1528</v>
      </c>
      <c r="O1120" s="4" t="s">
        <v>286</v>
      </c>
      <c r="P1120" s="5" t="s">
        <v>81</v>
      </c>
      <c r="Q1120" s="24">
        <v>0</v>
      </c>
      <c r="R1120" s="24">
        <v>0</v>
      </c>
      <c r="S1120" s="24">
        <v>0</v>
      </c>
      <c r="T1120" s="24">
        <v>0</v>
      </c>
      <c r="U1120" s="24">
        <v>0</v>
      </c>
      <c r="V1120" s="24">
        <v>0</v>
      </c>
      <c r="W1120" s="24">
        <v>0</v>
      </c>
      <c r="X1120" s="24">
        <v>0</v>
      </c>
      <c r="Y1120" s="24">
        <v>0</v>
      </c>
      <c r="Z1120" s="24">
        <v>0</v>
      </c>
      <c r="AA1120" s="24">
        <v>0</v>
      </c>
      <c r="AB1120" s="24">
        <v>0</v>
      </c>
      <c r="AC1120" s="30">
        <f t="shared" si="353"/>
        <v>0</v>
      </c>
      <c r="AD1120" s="28"/>
      <c r="AE1120" s="12"/>
      <c r="AF1120" s="29"/>
      <c r="AG1120" s="9"/>
      <c r="AH1120" s="10"/>
      <c r="AI1120" s="9"/>
      <c r="AJ1120" s="11"/>
      <c r="AK1120" s="9"/>
      <c r="AL1120" s="13"/>
      <c r="AM1120" s="9"/>
    </row>
    <row r="1121" spans="1:39" x14ac:dyDescent="0.3">
      <c r="A1121" s="2" t="str">
        <f t="shared" si="351"/>
        <v>NÃO</v>
      </c>
      <c r="B1121" s="2" t="str">
        <f>_xlfn.XLOOKUP($N1121,'Base de Grupos'!$A:$A,'Base de Grupos'!$D:$D)</f>
        <v>1000065763</v>
      </c>
      <c r="C1121" s="5" t="str">
        <f>_xlfn.XLOOKUP($N1121,'Base de Grupos'!$A:$A,'Base de Grupos'!$E:$E)</f>
        <v>CANAL VENDA INTERNA</v>
      </c>
      <c r="D1121" s="5" t="str">
        <f>_xlfn.XLOOKUP($N1121,'Base de Grupos'!$A:$A,'Base de Grupos'!$F:$F)</f>
        <v>1000065763</v>
      </c>
      <c r="E1121" s="2" t="str">
        <f>_xlfn.XLOOKUP($N1121,'Base de Grupos'!$A:$A,'Base de Grupos'!$G:$G)</f>
        <v>CANAL VENDA INTERNA</v>
      </c>
      <c r="F1121" s="2" t="str">
        <f>_xlfn.XLOOKUP($N1121,'Base de Grupos'!$A:$A,'Base de Grupos'!$H:$H)</f>
        <v>1000174119</v>
      </c>
      <c r="G1121" s="5" t="str">
        <f>_xlfn.XLOOKUP($N1121,'Base de Grupos'!$A:$A,'Base de Grupos'!$I:$I)</f>
        <v>REGIONAL VENDA INTERNA - CONVENIENCIA</v>
      </c>
      <c r="H1121" s="5" t="str">
        <f>_xlfn.XLOOKUP($N1121,'Base de Grupos'!$A:$A,'Base de Grupos'!$J:$J)</f>
        <v>1000174119</v>
      </c>
      <c r="I1121" s="2" t="str">
        <f>_xlfn.XLOOKUP($N1121,'Base de Grupos'!$A:$A,'Base de Grupos'!$K:$K)</f>
        <v>REGIONAL VENDA INTERNA - CONVENIENCIA</v>
      </c>
      <c r="J1121" s="2" t="str">
        <f>_xlfn.XLOOKUP($N1121,'Base de Grupos'!$A:$A,'Base de Grupos'!$L:$L)</f>
        <v>1000174119</v>
      </c>
      <c r="K1121" s="5" t="str">
        <f>_xlfn.XLOOKUP($N1121,'Base de Grupos'!$A:$A,'Base de Grupos'!$M:$M)</f>
        <v>REGIONAL VENDA INTERNA - CONVENIENCIA</v>
      </c>
      <c r="L1121" s="5" t="str">
        <f t="shared" si="352"/>
        <v/>
      </c>
      <c r="M1121" s="5" t="str">
        <f>_xlfn.XLOOKUP($N1121,'Base de Grupos'!$A:$A,'Base de Grupos'!$C:$C)</f>
        <v>RS</v>
      </c>
      <c r="N1121" s="3">
        <v>1528</v>
      </c>
      <c r="O1121" s="4" t="s">
        <v>286</v>
      </c>
      <c r="P1121" s="5" t="s">
        <v>82</v>
      </c>
      <c r="Q1121" s="24">
        <v>0</v>
      </c>
      <c r="R1121" s="24">
        <v>0</v>
      </c>
      <c r="S1121" s="24">
        <v>0</v>
      </c>
      <c r="T1121" s="24">
        <v>0</v>
      </c>
      <c r="U1121" s="24">
        <v>0</v>
      </c>
      <c r="V1121" s="24">
        <v>0</v>
      </c>
      <c r="W1121" s="24">
        <v>0</v>
      </c>
      <c r="X1121" s="24">
        <v>0</v>
      </c>
      <c r="Y1121" s="24">
        <v>0</v>
      </c>
      <c r="Z1121" s="24">
        <v>0</v>
      </c>
      <c r="AA1121" s="24">
        <v>0</v>
      </c>
      <c r="AB1121" s="24">
        <v>0</v>
      </c>
      <c r="AC1121" s="30">
        <f t="shared" si="353"/>
        <v>0</v>
      </c>
      <c r="AD1121" s="28"/>
      <c r="AE1121" s="12"/>
      <c r="AF1121" s="29"/>
      <c r="AG1121" s="9"/>
      <c r="AH1121" s="10"/>
      <c r="AI1121" s="9"/>
      <c r="AJ1121" s="11"/>
      <c r="AK1121" s="9"/>
      <c r="AL1121" s="13"/>
      <c r="AM1121" s="9"/>
    </row>
    <row r="1122" spans="1:39" x14ac:dyDescent="0.3">
      <c r="A1122" s="2" t="str">
        <f t="shared" si="351"/>
        <v>NÃO</v>
      </c>
      <c r="B1122" s="2" t="str">
        <f>_xlfn.XLOOKUP($N1122,'Base de Grupos'!$A:$A,'Base de Grupos'!$D:$D)</f>
        <v>1000065763</v>
      </c>
      <c r="C1122" s="5" t="str">
        <f>_xlfn.XLOOKUP($N1122,'Base de Grupos'!$A:$A,'Base de Grupos'!$E:$E)</f>
        <v>CANAL VENDA INTERNA</v>
      </c>
      <c r="D1122" s="5" t="str">
        <f>_xlfn.XLOOKUP($N1122,'Base de Grupos'!$A:$A,'Base de Grupos'!$F:$F)</f>
        <v>1000065763</v>
      </c>
      <c r="E1122" s="2" t="str">
        <f>_xlfn.XLOOKUP($N1122,'Base de Grupos'!$A:$A,'Base de Grupos'!$G:$G)</f>
        <v>CANAL VENDA INTERNA</v>
      </c>
      <c r="F1122" s="2" t="str">
        <f>_xlfn.XLOOKUP($N1122,'Base de Grupos'!$A:$A,'Base de Grupos'!$H:$H)</f>
        <v>1000174119</v>
      </c>
      <c r="G1122" s="5" t="str">
        <f>_xlfn.XLOOKUP($N1122,'Base de Grupos'!$A:$A,'Base de Grupos'!$I:$I)</f>
        <v>REGIONAL VENDA INTERNA - CONVENIENCIA</v>
      </c>
      <c r="H1122" s="5" t="str">
        <f>_xlfn.XLOOKUP($N1122,'Base de Grupos'!$A:$A,'Base de Grupos'!$J:$J)</f>
        <v>1000174119</v>
      </c>
      <c r="I1122" s="2" t="str">
        <f>_xlfn.XLOOKUP($N1122,'Base de Grupos'!$A:$A,'Base de Grupos'!$K:$K)</f>
        <v>REGIONAL VENDA INTERNA - CONVENIENCIA</v>
      </c>
      <c r="J1122" s="2" t="str">
        <f>_xlfn.XLOOKUP($N1122,'Base de Grupos'!$A:$A,'Base de Grupos'!$L:$L)</f>
        <v>1000174119</v>
      </c>
      <c r="K1122" s="5" t="str">
        <f>_xlfn.XLOOKUP($N1122,'Base de Grupos'!$A:$A,'Base de Grupos'!$M:$M)</f>
        <v>REGIONAL VENDA INTERNA - CONVENIENCIA</v>
      </c>
      <c r="L1122" s="5" t="str">
        <f t="shared" si="352"/>
        <v/>
      </c>
      <c r="M1122" s="5" t="str">
        <f>_xlfn.XLOOKUP($N1122,'Base de Grupos'!$A:$A,'Base de Grupos'!$C:$C)</f>
        <v>RS</v>
      </c>
      <c r="N1122" s="3">
        <v>1528</v>
      </c>
      <c r="O1122" s="4" t="s">
        <v>286</v>
      </c>
      <c r="P1122" s="5" t="s">
        <v>84</v>
      </c>
      <c r="Q1122" s="24">
        <v>0</v>
      </c>
      <c r="R1122" s="24">
        <v>0</v>
      </c>
      <c r="S1122" s="24">
        <v>0</v>
      </c>
      <c r="T1122" s="24">
        <v>0</v>
      </c>
      <c r="U1122" s="24">
        <v>0</v>
      </c>
      <c r="V1122" s="24">
        <v>0</v>
      </c>
      <c r="W1122" s="24">
        <v>0</v>
      </c>
      <c r="X1122" s="24">
        <v>0</v>
      </c>
      <c r="Y1122" s="24">
        <v>0</v>
      </c>
      <c r="Z1122" s="24">
        <v>0</v>
      </c>
      <c r="AA1122" s="24">
        <v>0</v>
      </c>
      <c r="AB1122" s="24">
        <v>0</v>
      </c>
      <c r="AC1122" s="30">
        <f t="shared" si="353"/>
        <v>0</v>
      </c>
      <c r="AD1122" s="28"/>
      <c r="AE1122" s="12"/>
      <c r="AF1122" s="29"/>
      <c r="AG1122" s="9"/>
      <c r="AH1122" s="10"/>
      <c r="AI1122" s="9"/>
      <c r="AJ1122" s="11"/>
      <c r="AK1122" s="9"/>
      <c r="AL1122" s="13"/>
      <c r="AM1122" s="9"/>
    </row>
    <row r="1123" spans="1:39" x14ac:dyDescent="0.3">
      <c r="A1123" s="2" t="str">
        <f t="shared" si="351"/>
        <v>NÃO</v>
      </c>
      <c r="B1123" s="2" t="str">
        <f>_xlfn.XLOOKUP($N1123,'Base de Grupos'!$A:$A,'Base de Grupos'!$D:$D)</f>
        <v>1000065763</v>
      </c>
      <c r="C1123" s="5" t="str">
        <f>_xlfn.XLOOKUP($N1123,'Base de Grupos'!$A:$A,'Base de Grupos'!$E:$E)</f>
        <v>CANAL VENDA INTERNA</v>
      </c>
      <c r="D1123" s="5" t="str">
        <f>_xlfn.XLOOKUP($N1123,'Base de Grupos'!$A:$A,'Base de Grupos'!$F:$F)</f>
        <v>1000065763</v>
      </c>
      <c r="E1123" s="2" t="str">
        <f>_xlfn.XLOOKUP($N1123,'Base de Grupos'!$A:$A,'Base de Grupos'!$G:$G)</f>
        <v>CANAL VENDA INTERNA</v>
      </c>
      <c r="F1123" s="2" t="str">
        <f>_xlfn.XLOOKUP($N1123,'Base de Grupos'!$A:$A,'Base de Grupos'!$H:$H)</f>
        <v>1000174119</v>
      </c>
      <c r="G1123" s="5" t="str">
        <f>_xlfn.XLOOKUP($N1123,'Base de Grupos'!$A:$A,'Base de Grupos'!$I:$I)</f>
        <v>REGIONAL VENDA INTERNA - CONVENIENCIA</v>
      </c>
      <c r="H1123" s="5" t="str">
        <f>_xlfn.XLOOKUP($N1123,'Base de Grupos'!$A:$A,'Base de Grupos'!$J:$J)</f>
        <v>1000174119</v>
      </c>
      <c r="I1123" s="2" t="str">
        <f>_xlfn.XLOOKUP($N1123,'Base de Grupos'!$A:$A,'Base de Grupos'!$K:$K)</f>
        <v>REGIONAL VENDA INTERNA - CONVENIENCIA</v>
      </c>
      <c r="J1123" s="2" t="str">
        <f>_xlfn.XLOOKUP($N1123,'Base de Grupos'!$A:$A,'Base de Grupos'!$L:$L)</f>
        <v>1000174119</v>
      </c>
      <c r="K1123" s="5" t="str">
        <f>_xlfn.XLOOKUP($N1123,'Base de Grupos'!$A:$A,'Base de Grupos'!$M:$M)</f>
        <v>REGIONAL VENDA INTERNA - CONVENIENCIA</v>
      </c>
      <c r="L1123" s="5" t="str">
        <f t="shared" si="352"/>
        <v/>
      </c>
      <c r="M1123" s="5" t="str">
        <f>_xlfn.XLOOKUP($N1123,'Base de Grupos'!$A:$A,'Base de Grupos'!$C:$C)</f>
        <v>RS</v>
      </c>
      <c r="N1123" s="3">
        <v>1528</v>
      </c>
      <c r="O1123" s="4" t="s">
        <v>286</v>
      </c>
      <c r="P1123" s="5" t="s">
        <v>83</v>
      </c>
      <c r="Q1123" s="24">
        <v>0</v>
      </c>
      <c r="R1123" s="24">
        <v>0</v>
      </c>
      <c r="S1123" s="24">
        <v>0</v>
      </c>
      <c r="T1123" s="24">
        <v>0</v>
      </c>
      <c r="U1123" s="24">
        <v>0</v>
      </c>
      <c r="V1123" s="24">
        <v>0</v>
      </c>
      <c r="W1123" s="24">
        <v>0</v>
      </c>
      <c r="X1123" s="24">
        <v>0</v>
      </c>
      <c r="Y1123" s="24">
        <v>0</v>
      </c>
      <c r="Z1123" s="24">
        <v>0</v>
      </c>
      <c r="AA1123" s="24">
        <v>0</v>
      </c>
      <c r="AB1123" s="24">
        <v>0</v>
      </c>
      <c r="AC1123" s="30">
        <f t="shared" si="353"/>
        <v>0</v>
      </c>
      <c r="AD1123" s="28"/>
      <c r="AE1123" s="12"/>
      <c r="AF1123" s="29"/>
      <c r="AG1123" s="9"/>
      <c r="AH1123" s="10"/>
      <c r="AI1123" s="9"/>
      <c r="AJ1123" s="11"/>
      <c r="AK1123" s="9"/>
      <c r="AL1123" s="13"/>
      <c r="AM1123" s="9"/>
    </row>
    <row r="1124" spans="1:39" x14ac:dyDescent="0.3">
      <c r="A1124" s="2" t="str">
        <f t="shared" si="351"/>
        <v>NÃO</v>
      </c>
      <c r="B1124" s="2" t="str">
        <f>_xlfn.XLOOKUP($N1124,'Base de Grupos'!$A:$A,'Base de Grupos'!$D:$D)</f>
        <v>1000065763</v>
      </c>
      <c r="C1124" s="5" t="str">
        <f>_xlfn.XLOOKUP($N1124,'Base de Grupos'!$A:$A,'Base de Grupos'!$E:$E)</f>
        <v>CANAL VENDA INTERNA</v>
      </c>
      <c r="D1124" s="5" t="str">
        <f>_xlfn.XLOOKUP($N1124,'Base de Grupos'!$A:$A,'Base de Grupos'!$F:$F)</f>
        <v>1000065763</v>
      </c>
      <c r="E1124" s="2" t="str">
        <f>_xlfn.XLOOKUP($N1124,'Base de Grupos'!$A:$A,'Base de Grupos'!$G:$G)</f>
        <v>CANAL VENDA INTERNA</v>
      </c>
      <c r="F1124" s="2" t="str">
        <f>_xlfn.XLOOKUP($N1124,'Base de Grupos'!$A:$A,'Base de Grupos'!$H:$H)</f>
        <v>1000174119</v>
      </c>
      <c r="G1124" s="5" t="str">
        <f>_xlfn.XLOOKUP($N1124,'Base de Grupos'!$A:$A,'Base de Grupos'!$I:$I)</f>
        <v>REGIONAL VENDA INTERNA - CONVENIENCIA</v>
      </c>
      <c r="H1124" s="5" t="str">
        <f>_xlfn.XLOOKUP($N1124,'Base de Grupos'!$A:$A,'Base de Grupos'!$J:$J)</f>
        <v>1000174119</v>
      </c>
      <c r="I1124" s="2" t="str">
        <f>_xlfn.XLOOKUP($N1124,'Base de Grupos'!$A:$A,'Base de Grupos'!$K:$K)</f>
        <v>REGIONAL VENDA INTERNA - CONVENIENCIA</v>
      </c>
      <c r="J1124" s="2" t="str">
        <f>_xlfn.XLOOKUP($N1124,'Base de Grupos'!$A:$A,'Base de Grupos'!$L:$L)</f>
        <v>1000174119</v>
      </c>
      <c r="K1124" s="5" t="str">
        <f>_xlfn.XLOOKUP($N1124,'Base de Grupos'!$A:$A,'Base de Grupos'!$M:$M)</f>
        <v>REGIONAL VENDA INTERNA - CONVENIENCIA</v>
      </c>
      <c r="L1124" s="5" t="str">
        <f t="shared" si="352"/>
        <v/>
      </c>
      <c r="M1124" s="5" t="str">
        <f>_xlfn.XLOOKUP($N1124,'Base de Grupos'!$A:$A,'Base de Grupos'!$C:$C)</f>
        <v>RS</v>
      </c>
      <c r="N1124" s="3">
        <v>1528</v>
      </c>
      <c r="O1124" s="4" t="s">
        <v>286</v>
      </c>
      <c r="P1124" s="5" t="s">
        <v>87</v>
      </c>
      <c r="Q1124" s="24">
        <v>0</v>
      </c>
      <c r="R1124" s="24">
        <v>0</v>
      </c>
      <c r="S1124" s="24">
        <v>0</v>
      </c>
      <c r="T1124" s="24">
        <v>0</v>
      </c>
      <c r="U1124" s="24">
        <v>0</v>
      </c>
      <c r="V1124" s="24">
        <v>0</v>
      </c>
      <c r="W1124" s="24">
        <v>0</v>
      </c>
      <c r="X1124" s="24">
        <v>0</v>
      </c>
      <c r="Y1124" s="24">
        <v>0</v>
      </c>
      <c r="Z1124" s="24">
        <v>0</v>
      </c>
      <c r="AA1124" s="24">
        <v>0</v>
      </c>
      <c r="AB1124" s="24">
        <v>0</v>
      </c>
      <c r="AC1124" s="30">
        <f t="shared" si="353"/>
        <v>0</v>
      </c>
      <c r="AD1124" s="28"/>
      <c r="AE1124" s="12"/>
      <c r="AF1124" s="29"/>
      <c r="AG1124" s="9"/>
      <c r="AH1124" s="10"/>
      <c r="AI1124" s="9"/>
      <c r="AJ1124" s="11"/>
      <c r="AK1124" s="9"/>
      <c r="AL1124" s="13"/>
      <c r="AM1124" s="9"/>
    </row>
    <row r="1125" spans="1:39" x14ac:dyDescent="0.3">
      <c r="A1125" s="2" t="str">
        <f t="shared" si="351"/>
        <v>NÃO</v>
      </c>
      <c r="B1125" s="2" t="str">
        <f>_xlfn.XLOOKUP($N1125,'Base de Grupos'!$A:$A,'Base de Grupos'!$D:$D)</f>
        <v>1000065763</v>
      </c>
      <c r="C1125" s="5" t="str">
        <f>_xlfn.XLOOKUP($N1125,'Base de Grupos'!$A:$A,'Base de Grupos'!$E:$E)</f>
        <v>CANAL VENDA INTERNA</v>
      </c>
      <c r="D1125" s="5" t="str">
        <f>_xlfn.XLOOKUP($N1125,'Base de Grupos'!$A:$A,'Base de Grupos'!$F:$F)</f>
        <v>1000065763</v>
      </c>
      <c r="E1125" s="2" t="str">
        <f>_xlfn.XLOOKUP($N1125,'Base de Grupos'!$A:$A,'Base de Grupos'!$G:$G)</f>
        <v>CANAL VENDA INTERNA</v>
      </c>
      <c r="F1125" s="2" t="str">
        <f>_xlfn.XLOOKUP($N1125,'Base de Grupos'!$A:$A,'Base de Grupos'!$H:$H)</f>
        <v>1000174119</v>
      </c>
      <c r="G1125" s="5" t="str">
        <f>_xlfn.XLOOKUP($N1125,'Base de Grupos'!$A:$A,'Base de Grupos'!$I:$I)</f>
        <v>REGIONAL VENDA INTERNA - CONVENIENCIA</v>
      </c>
      <c r="H1125" s="5" t="str">
        <f>_xlfn.XLOOKUP($N1125,'Base de Grupos'!$A:$A,'Base de Grupos'!$J:$J)</f>
        <v>1000174119</v>
      </c>
      <c r="I1125" s="2" t="str">
        <f>_xlfn.XLOOKUP($N1125,'Base de Grupos'!$A:$A,'Base de Grupos'!$K:$K)</f>
        <v>REGIONAL VENDA INTERNA - CONVENIENCIA</v>
      </c>
      <c r="J1125" s="2" t="str">
        <f>_xlfn.XLOOKUP($N1125,'Base de Grupos'!$A:$A,'Base de Grupos'!$L:$L)</f>
        <v>1000174119</v>
      </c>
      <c r="K1125" s="5" t="str">
        <f>_xlfn.XLOOKUP($N1125,'Base de Grupos'!$A:$A,'Base de Grupos'!$M:$M)</f>
        <v>REGIONAL VENDA INTERNA - CONVENIENCIA</v>
      </c>
      <c r="L1125" s="5" t="str">
        <f t="shared" si="352"/>
        <v/>
      </c>
      <c r="M1125" s="5" t="str">
        <f>_xlfn.XLOOKUP($N1125,'Base de Grupos'!$A:$A,'Base de Grupos'!$C:$C)</f>
        <v>RS</v>
      </c>
      <c r="N1125" s="3">
        <v>1528</v>
      </c>
      <c r="O1125" s="4" t="s">
        <v>286</v>
      </c>
      <c r="P1125" s="5" t="s">
        <v>85</v>
      </c>
      <c r="Q1125" s="24">
        <v>0</v>
      </c>
      <c r="R1125" s="24">
        <v>0</v>
      </c>
      <c r="S1125" s="24">
        <v>0</v>
      </c>
      <c r="T1125" s="24">
        <v>0</v>
      </c>
      <c r="U1125" s="24">
        <v>0</v>
      </c>
      <c r="V1125" s="24">
        <v>0</v>
      </c>
      <c r="W1125" s="24">
        <v>0</v>
      </c>
      <c r="X1125" s="24">
        <v>0</v>
      </c>
      <c r="Y1125" s="24">
        <v>0</v>
      </c>
      <c r="Z1125" s="24">
        <v>0</v>
      </c>
      <c r="AA1125" s="24">
        <v>0</v>
      </c>
      <c r="AB1125" s="24">
        <v>0</v>
      </c>
      <c r="AC1125" s="30">
        <f t="shared" si="353"/>
        <v>0</v>
      </c>
      <c r="AD1125" s="28"/>
      <c r="AE1125" s="12"/>
      <c r="AF1125" s="29"/>
      <c r="AG1125" s="9"/>
      <c r="AH1125" s="10"/>
      <c r="AI1125" s="9"/>
      <c r="AJ1125" s="11"/>
      <c r="AK1125" s="9"/>
      <c r="AL1125" s="13"/>
      <c r="AM1125" s="9"/>
    </row>
    <row r="1126" spans="1:39" x14ac:dyDescent="0.3">
      <c r="A1126" s="2" t="str">
        <f t="shared" si="351"/>
        <v>NÃO</v>
      </c>
      <c r="B1126" s="2" t="str">
        <f>_xlfn.XLOOKUP($N1126,'Base de Grupos'!$A:$A,'Base de Grupos'!$D:$D)</f>
        <v>1000065763</v>
      </c>
      <c r="C1126" s="5" t="str">
        <f>_xlfn.XLOOKUP($N1126,'Base de Grupos'!$A:$A,'Base de Grupos'!$E:$E)</f>
        <v>CANAL VENDA INTERNA</v>
      </c>
      <c r="D1126" s="5" t="str">
        <f>_xlfn.XLOOKUP($N1126,'Base de Grupos'!$A:$A,'Base de Grupos'!$F:$F)</f>
        <v>1000065763</v>
      </c>
      <c r="E1126" s="2" t="str">
        <f>_xlfn.XLOOKUP($N1126,'Base de Grupos'!$A:$A,'Base de Grupos'!$G:$G)</f>
        <v>CANAL VENDA INTERNA</v>
      </c>
      <c r="F1126" s="2" t="str">
        <f>_xlfn.XLOOKUP($N1126,'Base de Grupos'!$A:$A,'Base de Grupos'!$H:$H)</f>
        <v>1000174119</v>
      </c>
      <c r="G1126" s="5" t="str">
        <f>_xlfn.XLOOKUP($N1126,'Base de Grupos'!$A:$A,'Base de Grupos'!$I:$I)</f>
        <v>REGIONAL VENDA INTERNA - CONVENIENCIA</v>
      </c>
      <c r="H1126" s="5" t="str">
        <f>_xlfn.XLOOKUP($N1126,'Base de Grupos'!$A:$A,'Base de Grupos'!$J:$J)</f>
        <v>1000174119</v>
      </c>
      <c r="I1126" s="2" t="str">
        <f>_xlfn.XLOOKUP($N1126,'Base de Grupos'!$A:$A,'Base de Grupos'!$K:$K)</f>
        <v>REGIONAL VENDA INTERNA - CONVENIENCIA</v>
      </c>
      <c r="J1126" s="2" t="str">
        <f>_xlfn.XLOOKUP($N1126,'Base de Grupos'!$A:$A,'Base de Grupos'!$L:$L)</f>
        <v>1000174119</v>
      </c>
      <c r="K1126" s="5" t="str">
        <f>_xlfn.XLOOKUP($N1126,'Base de Grupos'!$A:$A,'Base de Grupos'!$M:$M)</f>
        <v>REGIONAL VENDA INTERNA - CONVENIENCIA</v>
      </c>
      <c r="L1126" s="5" t="str">
        <f t="shared" si="352"/>
        <v/>
      </c>
      <c r="M1126" s="5" t="str">
        <f>_xlfn.XLOOKUP($N1126,'Base de Grupos'!$A:$A,'Base de Grupos'!$C:$C)</f>
        <v>RS</v>
      </c>
      <c r="N1126" s="3">
        <v>1528</v>
      </c>
      <c r="O1126" s="4" t="s">
        <v>286</v>
      </c>
      <c r="P1126" s="5" t="s">
        <v>92</v>
      </c>
      <c r="Q1126" s="24">
        <v>0</v>
      </c>
      <c r="R1126" s="24">
        <v>0</v>
      </c>
      <c r="S1126" s="24">
        <v>0</v>
      </c>
      <c r="T1126" s="24">
        <v>0</v>
      </c>
      <c r="U1126" s="24">
        <v>0</v>
      </c>
      <c r="V1126" s="24">
        <v>0</v>
      </c>
      <c r="W1126" s="24">
        <v>0</v>
      </c>
      <c r="X1126" s="24">
        <v>0</v>
      </c>
      <c r="Y1126" s="24">
        <v>0</v>
      </c>
      <c r="Z1126" s="24">
        <v>0</v>
      </c>
      <c r="AA1126" s="24">
        <v>0</v>
      </c>
      <c r="AB1126" s="24">
        <v>0</v>
      </c>
      <c r="AC1126" s="30">
        <f t="shared" si="353"/>
        <v>0</v>
      </c>
      <c r="AD1126" s="28"/>
      <c r="AE1126" s="12"/>
      <c r="AF1126" s="29"/>
      <c r="AG1126" s="9"/>
      <c r="AH1126" s="10"/>
      <c r="AI1126" s="9"/>
      <c r="AJ1126" s="11"/>
      <c r="AK1126" s="9"/>
      <c r="AL1126" s="13"/>
      <c r="AM1126" s="9"/>
    </row>
    <row r="1127" spans="1:39" x14ac:dyDescent="0.3">
      <c r="A1127" s="2" t="str">
        <f t="shared" si="351"/>
        <v>NÃO</v>
      </c>
      <c r="B1127" s="2" t="str">
        <f>_xlfn.XLOOKUP($N1127,'Base de Grupos'!$A:$A,'Base de Grupos'!$D:$D)</f>
        <v>1000065763</v>
      </c>
      <c r="C1127" s="5" t="str">
        <f>_xlfn.XLOOKUP($N1127,'Base de Grupos'!$A:$A,'Base de Grupos'!$E:$E)</f>
        <v>CANAL VENDA INTERNA</v>
      </c>
      <c r="D1127" s="5" t="str">
        <f>_xlfn.XLOOKUP($N1127,'Base de Grupos'!$A:$A,'Base de Grupos'!$F:$F)</f>
        <v>1000065763</v>
      </c>
      <c r="E1127" s="2" t="str">
        <f>_xlfn.XLOOKUP($N1127,'Base de Grupos'!$A:$A,'Base de Grupos'!$G:$G)</f>
        <v>CANAL VENDA INTERNA</v>
      </c>
      <c r="F1127" s="2" t="str">
        <f>_xlfn.XLOOKUP($N1127,'Base de Grupos'!$A:$A,'Base de Grupos'!$H:$H)</f>
        <v>1000174119</v>
      </c>
      <c r="G1127" s="5" t="str">
        <f>_xlfn.XLOOKUP($N1127,'Base de Grupos'!$A:$A,'Base de Grupos'!$I:$I)</f>
        <v>REGIONAL VENDA INTERNA - CONVENIENCIA</v>
      </c>
      <c r="H1127" s="5" t="str">
        <f>_xlfn.XLOOKUP($N1127,'Base de Grupos'!$A:$A,'Base de Grupos'!$J:$J)</f>
        <v>1000174119</v>
      </c>
      <c r="I1127" s="2" t="str">
        <f>_xlfn.XLOOKUP($N1127,'Base de Grupos'!$A:$A,'Base de Grupos'!$K:$K)</f>
        <v>REGIONAL VENDA INTERNA - CONVENIENCIA</v>
      </c>
      <c r="J1127" s="2" t="str">
        <f>_xlfn.XLOOKUP($N1127,'Base de Grupos'!$A:$A,'Base de Grupos'!$L:$L)</f>
        <v>1000174119</v>
      </c>
      <c r="K1127" s="5" t="str">
        <f>_xlfn.XLOOKUP($N1127,'Base de Grupos'!$A:$A,'Base de Grupos'!$M:$M)</f>
        <v>REGIONAL VENDA INTERNA - CONVENIENCIA</v>
      </c>
      <c r="L1127" s="5" t="str">
        <f t="shared" si="352"/>
        <v/>
      </c>
      <c r="M1127" s="5" t="str">
        <f>_xlfn.XLOOKUP($N1127,'Base de Grupos'!$A:$A,'Base de Grupos'!$C:$C)</f>
        <v>RS</v>
      </c>
      <c r="N1127" s="3">
        <v>1528</v>
      </c>
      <c r="O1127" s="4" t="s">
        <v>286</v>
      </c>
      <c r="P1127" s="5" t="s">
        <v>86</v>
      </c>
      <c r="Q1127" s="24">
        <v>0</v>
      </c>
      <c r="R1127" s="24">
        <v>0</v>
      </c>
      <c r="S1127" s="24">
        <v>0</v>
      </c>
      <c r="T1127" s="24">
        <v>0</v>
      </c>
      <c r="U1127" s="24">
        <v>0</v>
      </c>
      <c r="V1127" s="24">
        <v>0</v>
      </c>
      <c r="W1127" s="24">
        <v>0</v>
      </c>
      <c r="X1127" s="24">
        <v>0</v>
      </c>
      <c r="Y1127" s="24">
        <v>0</v>
      </c>
      <c r="Z1127" s="24">
        <v>0</v>
      </c>
      <c r="AA1127" s="24">
        <v>0</v>
      </c>
      <c r="AB1127" s="24">
        <v>0</v>
      </c>
      <c r="AC1127" s="30">
        <f t="shared" si="353"/>
        <v>0</v>
      </c>
      <c r="AD1127" s="28"/>
      <c r="AE1127" s="12"/>
      <c r="AF1127" s="29"/>
      <c r="AG1127" s="9"/>
      <c r="AH1127" s="10"/>
      <c r="AI1127" s="9"/>
      <c r="AJ1127" s="11"/>
      <c r="AK1127" s="9"/>
      <c r="AL1127" s="13"/>
      <c r="AM1127" s="9"/>
    </row>
    <row r="1128" spans="1:39" x14ac:dyDescent="0.3">
      <c r="A1128" s="2" t="str">
        <f t="shared" si="351"/>
        <v>NÃO</v>
      </c>
      <c r="B1128" s="2" t="str">
        <f>_xlfn.XLOOKUP($N1128,'Base de Grupos'!$A:$A,'Base de Grupos'!$D:$D)</f>
        <v>1000065763</v>
      </c>
      <c r="C1128" s="5" t="str">
        <f>_xlfn.XLOOKUP($N1128,'Base de Grupos'!$A:$A,'Base de Grupos'!$E:$E)</f>
        <v>CANAL VENDA INTERNA</v>
      </c>
      <c r="D1128" s="5" t="str">
        <f>_xlfn.XLOOKUP($N1128,'Base de Grupos'!$A:$A,'Base de Grupos'!$F:$F)</f>
        <v>1000065763</v>
      </c>
      <c r="E1128" s="2" t="str">
        <f>_xlfn.XLOOKUP($N1128,'Base de Grupos'!$A:$A,'Base de Grupos'!$G:$G)</f>
        <v>CANAL VENDA INTERNA</v>
      </c>
      <c r="F1128" s="2" t="str">
        <f>_xlfn.XLOOKUP($N1128,'Base de Grupos'!$A:$A,'Base de Grupos'!$H:$H)</f>
        <v>1000174119</v>
      </c>
      <c r="G1128" s="5" t="str">
        <f>_xlfn.XLOOKUP($N1128,'Base de Grupos'!$A:$A,'Base de Grupos'!$I:$I)</f>
        <v>REGIONAL VENDA INTERNA - CONVENIENCIA</v>
      </c>
      <c r="H1128" s="5" t="str">
        <f>_xlfn.XLOOKUP($N1128,'Base de Grupos'!$A:$A,'Base de Grupos'!$J:$J)</f>
        <v>1000174119</v>
      </c>
      <c r="I1128" s="2" t="str">
        <f>_xlfn.XLOOKUP($N1128,'Base de Grupos'!$A:$A,'Base de Grupos'!$K:$K)</f>
        <v>REGIONAL VENDA INTERNA - CONVENIENCIA</v>
      </c>
      <c r="J1128" s="2" t="str">
        <f>_xlfn.XLOOKUP($N1128,'Base de Grupos'!$A:$A,'Base de Grupos'!$L:$L)</f>
        <v>1000174119</v>
      </c>
      <c r="K1128" s="5" t="str">
        <f>_xlfn.XLOOKUP($N1128,'Base de Grupos'!$A:$A,'Base de Grupos'!$M:$M)</f>
        <v>REGIONAL VENDA INTERNA - CONVENIENCIA</v>
      </c>
      <c r="L1128" s="5" t="str">
        <f t="shared" si="352"/>
        <v/>
      </c>
      <c r="M1128" s="5" t="str">
        <f>_xlfn.XLOOKUP($N1128,'Base de Grupos'!$A:$A,'Base de Grupos'!$C:$C)</f>
        <v>RS</v>
      </c>
      <c r="N1128" s="3">
        <v>1528</v>
      </c>
      <c r="O1128" s="4" t="s">
        <v>286</v>
      </c>
      <c r="P1128" s="5" t="s">
        <v>108</v>
      </c>
      <c r="Q1128" s="24">
        <v>0</v>
      </c>
      <c r="R1128" s="24">
        <v>0</v>
      </c>
      <c r="S1128" s="24">
        <v>0</v>
      </c>
      <c r="T1128" s="24">
        <v>0</v>
      </c>
      <c r="U1128" s="24">
        <v>0</v>
      </c>
      <c r="V1128" s="24">
        <v>0</v>
      </c>
      <c r="W1128" s="24">
        <v>0</v>
      </c>
      <c r="X1128" s="24">
        <v>0</v>
      </c>
      <c r="Y1128" s="24">
        <v>0</v>
      </c>
      <c r="Z1128" s="24">
        <v>0</v>
      </c>
      <c r="AA1128" s="24">
        <v>0</v>
      </c>
      <c r="AB1128" s="24">
        <v>0</v>
      </c>
      <c r="AC1128" s="30">
        <f t="shared" si="353"/>
        <v>0</v>
      </c>
      <c r="AD1128" s="28"/>
      <c r="AE1128" s="12"/>
      <c r="AF1128" s="29"/>
      <c r="AG1128" s="9"/>
      <c r="AH1128" s="10"/>
      <c r="AI1128" s="9"/>
      <c r="AJ1128" s="11"/>
      <c r="AK1128" s="9"/>
      <c r="AL1128" s="13"/>
      <c r="AM1128" s="9"/>
    </row>
    <row r="1129" spans="1:39" x14ac:dyDescent="0.3">
      <c r="A1129" s="2" t="str">
        <f t="shared" si="351"/>
        <v>NÃO</v>
      </c>
      <c r="B1129" s="2" t="str">
        <f>_xlfn.XLOOKUP($N1129,'Base de Grupos'!$A:$A,'Base de Grupos'!$D:$D)</f>
        <v>1000065763</v>
      </c>
      <c r="C1129" s="5" t="str">
        <f>_xlfn.XLOOKUP($N1129,'Base de Grupos'!$A:$A,'Base de Grupos'!$E:$E)</f>
        <v>CANAL VENDA INTERNA</v>
      </c>
      <c r="D1129" s="5" t="str">
        <f>_xlfn.XLOOKUP($N1129,'Base de Grupos'!$A:$A,'Base de Grupos'!$F:$F)</f>
        <v>1000065763</v>
      </c>
      <c r="E1129" s="2" t="str">
        <f>_xlfn.XLOOKUP($N1129,'Base de Grupos'!$A:$A,'Base de Grupos'!$G:$G)</f>
        <v>CANAL VENDA INTERNA</v>
      </c>
      <c r="F1129" s="2" t="str">
        <f>_xlfn.XLOOKUP($N1129,'Base de Grupos'!$A:$A,'Base de Grupos'!$H:$H)</f>
        <v>1000174119</v>
      </c>
      <c r="G1129" s="5" t="str">
        <f>_xlfn.XLOOKUP($N1129,'Base de Grupos'!$A:$A,'Base de Grupos'!$I:$I)</f>
        <v>REGIONAL VENDA INTERNA - CONVENIENCIA</v>
      </c>
      <c r="H1129" s="5" t="str">
        <f>_xlfn.XLOOKUP($N1129,'Base de Grupos'!$A:$A,'Base de Grupos'!$J:$J)</f>
        <v>1000174119</v>
      </c>
      <c r="I1129" s="2" t="str">
        <f>_xlfn.XLOOKUP($N1129,'Base de Grupos'!$A:$A,'Base de Grupos'!$K:$K)</f>
        <v>REGIONAL VENDA INTERNA - CONVENIENCIA</v>
      </c>
      <c r="J1129" s="2" t="str">
        <f>_xlfn.XLOOKUP($N1129,'Base de Grupos'!$A:$A,'Base de Grupos'!$L:$L)</f>
        <v>1000174119</v>
      </c>
      <c r="K1129" s="5" t="str">
        <f>_xlfn.XLOOKUP($N1129,'Base de Grupos'!$A:$A,'Base de Grupos'!$M:$M)</f>
        <v>REGIONAL VENDA INTERNA - CONVENIENCIA</v>
      </c>
      <c r="L1129" s="5" t="str">
        <f t="shared" si="352"/>
        <v/>
      </c>
      <c r="M1129" s="5" t="str">
        <f>_xlfn.XLOOKUP($N1129,'Base de Grupos'!$A:$A,'Base de Grupos'!$C:$C)</f>
        <v>RS</v>
      </c>
      <c r="N1129" s="3">
        <v>1528</v>
      </c>
      <c r="O1129" s="4" t="s">
        <v>286</v>
      </c>
      <c r="P1129" s="5" t="s">
        <v>89</v>
      </c>
      <c r="Q1129" s="24">
        <v>0</v>
      </c>
      <c r="R1129" s="24">
        <v>0</v>
      </c>
      <c r="S1129" s="24">
        <v>0</v>
      </c>
      <c r="T1129" s="24">
        <v>0</v>
      </c>
      <c r="U1129" s="24">
        <v>0</v>
      </c>
      <c r="V1129" s="24">
        <v>0</v>
      </c>
      <c r="W1129" s="24">
        <v>0</v>
      </c>
      <c r="X1129" s="24">
        <v>0</v>
      </c>
      <c r="Y1129" s="24">
        <v>0</v>
      </c>
      <c r="Z1129" s="24">
        <v>0</v>
      </c>
      <c r="AA1129" s="24">
        <v>0</v>
      </c>
      <c r="AB1129" s="24">
        <v>0</v>
      </c>
      <c r="AC1129" s="30">
        <f t="shared" si="353"/>
        <v>0</v>
      </c>
      <c r="AD1129" s="28"/>
      <c r="AE1129" s="12"/>
      <c r="AF1129" s="29"/>
      <c r="AG1129" s="9"/>
      <c r="AH1129" s="10"/>
      <c r="AI1129" s="9"/>
      <c r="AJ1129" s="11"/>
      <c r="AK1129" s="9"/>
      <c r="AL1129" s="13"/>
      <c r="AM1129" s="9"/>
    </row>
    <row r="1130" spans="1:39" x14ac:dyDescent="0.3">
      <c r="A1130" s="2" t="str">
        <f t="shared" si="351"/>
        <v>NÃO</v>
      </c>
      <c r="B1130" s="2" t="str">
        <f>_xlfn.XLOOKUP($N1130,'Base de Grupos'!$A:$A,'Base de Grupos'!$D:$D)</f>
        <v>1000065763</v>
      </c>
      <c r="C1130" s="5" t="str">
        <f>_xlfn.XLOOKUP($N1130,'Base de Grupos'!$A:$A,'Base de Grupos'!$E:$E)</f>
        <v>CANAL VENDA INTERNA</v>
      </c>
      <c r="D1130" s="5" t="str">
        <f>_xlfn.XLOOKUP($N1130,'Base de Grupos'!$A:$A,'Base de Grupos'!$F:$F)</f>
        <v>1000065763</v>
      </c>
      <c r="E1130" s="2" t="str">
        <f>_xlfn.XLOOKUP($N1130,'Base de Grupos'!$A:$A,'Base de Grupos'!$G:$G)</f>
        <v>CANAL VENDA INTERNA</v>
      </c>
      <c r="F1130" s="2" t="str">
        <f>_xlfn.XLOOKUP($N1130,'Base de Grupos'!$A:$A,'Base de Grupos'!$H:$H)</f>
        <v>1000174119</v>
      </c>
      <c r="G1130" s="5" t="str">
        <f>_xlfn.XLOOKUP($N1130,'Base de Grupos'!$A:$A,'Base de Grupos'!$I:$I)</f>
        <v>REGIONAL VENDA INTERNA - CONVENIENCIA</v>
      </c>
      <c r="H1130" s="5" t="str">
        <f>_xlfn.XLOOKUP($N1130,'Base de Grupos'!$A:$A,'Base de Grupos'!$J:$J)</f>
        <v>1000174119</v>
      </c>
      <c r="I1130" s="2" t="str">
        <f>_xlfn.XLOOKUP($N1130,'Base de Grupos'!$A:$A,'Base de Grupos'!$K:$K)</f>
        <v>REGIONAL VENDA INTERNA - CONVENIENCIA</v>
      </c>
      <c r="J1130" s="2" t="str">
        <f>_xlfn.XLOOKUP($N1130,'Base de Grupos'!$A:$A,'Base de Grupos'!$L:$L)</f>
        <v>1000174119</v>
      </c>
      <c r="K1130" s="5" t="str">
        <f>_xlfn.XLOOKUP($N1130,'Base de Grupos'!$A:$A,'Base de Grupos'!$M:$M)</f>
        <v>REGIONAL VENDA INTERNA - CONVENIENCIA</v>
      </c>
      <c r="L1130" s="5" t="str">
        <f t="shared" si="352"/>
        <v/>
      </c>
      <c r="M1130" s="5" t="str">
        <f>_xlfn.XLOOKUP($N1130,'Base de Grupos'!$A:$A,'Base de Grupos'!$C:$C)</f>
        <v>RS</v>
      </c>
      <c r="N1130" s="3">
        <v>1528</v>
      </c>
      <c r="O1130" s="4" t="s">
        <v>286</v>
      </c>
      <c r="P1130" s="5" t="s">
        <v>88</v>
      </c>
      <c r="Q1130" s="24">
        <v>0</v>
      </c>
      <c r="R1130" s="24">
        <v>0</v>
      </c>
      <c r="S1130" s="24">
        <v>0</v>
      </c>
      <c r="T1130" s="24">
        <v>0</v>
      </c>
      <c r="U1130" s="24">
        <v>0</v>
      </c>
      <c r="V1130" s="24">
        <v>0</v>
      </c>
      <c r="W1130" s="24">
        <v>0</v>
      </c>
      <c r="X1130" s="24">
        <v>0</v>
      </c>
      <c r="Y1130" s="24">
        <v>0</v>
      </c>
      <c r="Z1130" s="24">
        <v>0</v>
      </c>
      <c r="AA1130" s="24">
        <v>0</v>
      </c>
      <c r="AB1130" s="24">
        <v>0</v>
      </c>
      <c r="AC1130" s="30">
        <f t="shared" si="353"/>
        <v>0</v>
      </c>
      <c r="AD1130" s="28"/>
      <c r="AE1130" s="12"/>
      <c r="AF1130" s="29"/>
      <c r="AG1130" s="9"/>
      <c r="AH1130" s="10"/>
      <c r="AI1130" s="9"/>
      <c r="AJ1130" s="11"/>
      <c r="AK1130" s="9"/>
      <c r="AL1130" s="13"/>
      <c r="AM1130" s="9"/>
    </row>
    <row r="1131" spans="1:39" x14ac:dyDescent="0.3">
      <c r="A1131" s="2" t="str">
        <f t="shared" si="351"/>
        <v>NÃO</v>
      </c>
      <c r="B1131" s="2" t="str">
        <f>_xlfn.XLOOKUP($N1131,'Base de Grupos'!$A:$A,'Base de Grupos'!$D:$D)</f>
        <v>1000065763</v>
      </c>
      <c r="C1131" s="5" t="str">
        <f>_xlfn.XLOOKUP($N1131,'Base de Grupos'!$A:$A,'Base de Grupos'!$E:$E)</f>
        <v>CANAL VENDA INTERNA</v>
      </c>
      <c r="D1131" s="5" t="str">
        <f>_xlfn.XLOOKUP($N1131,'Base de Grupos'!$A:$A,'Base de Grupos'!$F:$F)</f>
        <v>1000065763</v>
      </c>
      <c r="E1131" s="2" t="str">
        <f>_xlfn.XLOOKUP($N1131,'Base de Grupos'!$A:$A,'Base de Grupos'!$G:$G)</f>
        <v>CANAL VENDA INTERNA</v>
      </c>
      <c r="F1131" s="2" t="str">
        <f>_xlfn.XLOOKUP($N1131,'Base de Grupos'!$A:$A,'Base de Grupos'!$H:$H)</f>
        <v>1000174119</v>
      </c>
      <c r="G1131" s="5" t="str">
        <f>_xlfn.XLOOKUP($N1131,'Base de Grupos'!$A:$A,'Base de Grupos'!$I:$I)</f>
        <v>REGIONAL VENDA INTERNA - CONVENIENCIA</v>
      </c>
      <c r="H1131" s="5" t="str">
        <f>_xlfn.XLOOKUP($N1131,'Base de Grupos'!$A:$A,'Base de Grupos'!$J:$J)</f>
        <v>1000174119</v>
      </c>
      <c r="I1131" s="2" t="str">
        <f>_xlfn.XLOOKUP($N1131,'Base de Grupos'!$A:$A,'Base de Grupos'!$K:$K)</f>
        <v>REGIONAL VENDA INTERNA - CONVENIENCIA</v>
      </c>
      <c r="J1131" s="2" t="str">
        <f>_xlfn.XLOOKUP($N1131,'Base de Grupos'!$A:$A,'Base de Grupos'!$L:$L)</f>
        <v>1000174119</v>
      </c>
      <c r="K1131" s="5" t="str">
        <f>_xlfn.XLOOKUP($N1131,'Base de Grupos'!$A:$A,'Base de Grupos'!$M:$M)</f>
        <v>REGIONAL VENDA INTERNA - CONVENIENCIA</v>
      </c>
      <c r="L1131" s="5" t="str">
        <f t="shared" si="352"/>
        <v/>
      </c>
      <c r="M1131" s="5" t="str">
        <f>_xlfn.XLOOKUP($N1131,'Base de Grupos'!$A:$A,'Base de Grupos'!$C:$C)</f>
        <v>RS</v>
      </c>
      <c r="N1131" s="3">
        <v>1528</v>
      </c>
      <c r="O1131" s="4" t="s">
        <v>286</v>
      </c>
      <c r="P1131" s="5" t="s">
        <v>90</v>
      </c>
      <c r="Q1131" s="24">
        <v>0</v>
      </c>
      <c r="R1131" s="24">
        <v>0</v>
      </c>
      <c r="S1131" s="24">
        <v>0</v>
      </c>
      <c r="T1131" s="24">
        <v>0</v>
      </c>
      <c r="U1131" s="24">
        <v>0</v>
      </c>
      <c r="V1131" s="24">
        <v>0</v>
      </c>
      <c r="W1131" s="24">
        <v>0</v>
      </c>
      <c r="X1131" s="24">
        <v>0</v>
      </c>
      <c r="Y1131" s="24">
        <v>0</v>
      </c>
      <c r="Z1131" s="24">
        <v>0</v>
      </c>
      <c r="AA1131" s="24">
        <v>0</v>
      </c>
      <c r="AB1131" s="24">
        <v>0</v>
      </c>
      <c r="AC1131" s="30">
        <f t="shared" si="353"/>
        <v>0</v>
      </c>
      <c r="AD1131" s="28"/>
      <c r="AE1131" s="12"/>
      <c r="AF1131" s="29"/>
      <c r="AG1131" s="9"/>
      <c r="AH1131" s="10"/>
      <c r="AI1131" s="9"/>
      <c r="AJ1131" s="11"/>
      <c r="AK1131" s="9"/>
      <c r="AL1131" s="13"/>
      <c r="AM1131" s="9"/>
    </row>
    <row r="1132" spans="1:39" x14ac:dyDescent="0.3">
      <c r="A1132" s="2" t="str">
        <f t="shared" si="351"/>
        <v>NÃO</v>
      </c>
      <c r="B1132" s="2" t="str">
        <f>_xlfn.XLOOKUP($N1132,'Base de Grupos'!$A:$A,'Base de Grupos'!$D:$D)</f>
        <v>1000065763</v>
      </c>
      <c r="C1132" s="5" t="str">
        <f>_xlfn.XLOOKUP($N1132,'Base de Grupos'!$A:$A,'Base de Grupos'!$E:$E)</f>
        <v>CANAL VENDA INTERNA</v>
      </c>
      <c r="D1132" s="5" t="str">
        <f>_xlfn.XLOOKUP($N1132,'Base de Grupos'!$A:$A,'Base de Grupos'!$F:$F)</f>
        <v>1000065763</v>
      </c>
      <c r="E1132" s="2" t="str">
        <f>_xlfn.XLOOKUP($N1132,'Base de Grupos'!$A:$A,'Base de Grupos'!$G:$G)</f>
        <v>CANAL VENDA INTERNA</v>
      </c>
      <c r="F1132" s="2" t="str">
        <f>_xlfn.XLOOKUP($N1132,'Base de Grupos'!$A:$A,'Base de Grupos'!$H:$H)</f>
        <v>1000174119</v>
      </c>
      <c r="G1132" s="5" t="str">
        <f>_xlfn.XLOOKUP($N1132,'Base de Grupos'!$A:$A,'Base de Grupos'!$I:$I)</f>
        <v>REGIONAL VENDA INTERNA - CONVENIENCIA</v>
      </c>
      <c r="H1132" s="5" t="str">
        <f>_xlfn.XLOOKUP($N1132,'Base de Grupos'!$A:$A,'Base de Grupos'!$J:$J)</f>
        <v>1000174119</v>
      </c>
      <c r="I1132" s="2" t="str">
        <f>_xlfn.XLOOKUP($N1132,'Base de Grupos'!$A:$A,'Base de Grupos'!$K:$K)</f>
        <v>REGIONAL VENDA INTERNA - CONVENIENCIA</v>
      </c>
      <c r="J1132" s="2" t="str">
        <f>_xlfn.XLOOKUP($N1132,'Base de Grupos'!$A:$A,'Base de Grupos'!$L:$L)</f>
        <v>1000174119</v>
      </c>
      <c r="K1132" s="5" t="str">
        <f>_xlfn.XLOOKUP($N1132,'Base de Grupos'!$A:$A,'Base de Grupos'!$M:$M)</f>
        <v>REGIONAL VENDA INTERNA - CONVENIENCIA</v>
      </c>
      <c r="L1132" s="5" t="str">
        <f t="shared" si="352"/>
        <v/>
      </c>
      <c r="M1132" s="5" t="str">
        <f>_xlfn.XLOOKUP($N1132,'Base de Grupos'!$A:$A,'Base de Grupos'!$C:$C)</f>
        <v>RS</v>
      </c>
      <c r="N1132" s="3">
        <v>1528</v>
      </c>
      <c r="O1132" s="4" t="s">
        <v>286</v>
      </c>
      <c r="P1132" s="5" t="s">
        <v>91</v>
      </c>
      <c r="Q1132" s="24">
        <v>0</v>
      </c>
      <c r="R1132" s="24">
        <v>0</v>
      </c>
      <c r="S1132" s="24">
        <v>0</v>
      </c>
      <c r="T1132" s="24">
        <v>0</v>
      </c>
      <c r="U1132" s="24">
        <v>0</v>
      </c>
      <c r="V1132" s="24">
        <v>0</v>
      </c>
      <c r="W1132" s="24">
        <v>0</v>
      </c>
      <c r="X1132" s="24">
        <v>0</v>
      </c>
      <c r="Y1132" s="24">
        <v>0</v>
      </c>
      <c r="Z1132" s="24">
        <v>0</v>
      </c>
      <c r="AA1132" s="24">
        <v>0</v>
      </c>
      <c r="AB1132" s="24">
        <v>0</v>
      </c>
      <c r="AC1132" s="30">
        <f t="shared" si="353"/>
        <v>0</v>
      </c>
      <c r="AD1132" s="28"/>
      <c r="AE1132" s="12"/>
      <c r="AF1132" s="29"/>
      <c r="AG1132" s="9"/>
      <c r="AH1132" s="10"/>
      <c r="AI1132" s="9"/>
      <c r="AJ1132" s="11"/>
      <c r="AK1132" s="9"/>
      <c r="AL1132" s="13"/>
      <c r="AM1132" s="9"/>
    </row>
    <row r="1133" spans="1:39" x14ac:dyDescent="0.3">
      <c r="A1133" s="2" t="str">
        <f t="shared" si="351"/>
        <v>NÃO</v>
      </c>
      <c r="B1133" s="2" t="str">
        <f>_xlfn.XLOOKUP($N1133,'Base de Grupos'!$A:$A,'Base de Grupos'!$D:$D)</f>
        <v>1000065763</v>
      </c>
      <c r="C1133" s="5" t="str">
        <f>_xlfn.XLOOKUP($N1133,'Base de Grupos'!$A:$A,'Base de Grupos'!$E:$E)</f>
        <v>CANAL VENDA INTERNA</v>
      </c>
      <c r="D1133" s="5" t="str">
        <f>_xlfn.XLOOKUP($N1133,'Base de Grupos'!$A:$A,'Base de Grupos'!$F:$F)</f>
        <v>1000065763</v>
      </c>
      <c r="E1133" s="2" t="str">
        <f>_xlfn.XLOOKUP($N1133,'Base de Grupos'!$A:$A,'Base de Grupos'!$G:$G)</f>
        <v>CANAL VENDA INTERNA</v>
      </c>
      <c r="F1133" s="2" t="str">
        <f>_xlfn.XLOOKUP($N1133,'Base de Grupos'!$A:$A,'Base de Grupos'!$H:$H)</f>
        <v>1000174119</v>
      </c>
      <c r="G1133" s="5" t="str">
        <f>_xlfn.XLOOKUP($N1133,'Base de Grupos'!$A:$A,'Base de Grupos'!$I:$I)</f>
        <v>REGIONAL VENDA INTERNA - CONVENIENCIA</v>
      </c>
      <c r="H1133" s="5" t="str">
        <f>_xlfn.XLOOKUP($N1133,'Base de Grupos'!$A:$A,'Base de Grupos'!$J:$J)</f>
        <v>1000174119</v>
      </c>
      <c r="I1133" s="2" t="str">
        <f>_xlfn.XLOOKUP($N1133,'Base de Grupos'!$A:$A,'Base de Grupos'!$K:$K)</f>
        <v>REGIONAL VENDA INTERNA - CONVENIENCIA</v>
      </c>
      <c r="J1133" s="2" t="str">
        <f>_xlfn.XLOOKUP($N1133,'Base de Grupos'!$A:$A,'Base de Grupos'!$L:$L)</f>
        <v>1000174119</v>
      </c>
      <c r="K1133" s="5" t="str">
        <f>_xlfn.XLOOKUP($N1133,'Base de Grupos'!$A:$A,'Base de Grupos'!$M:$M)</f>
        <v>REGIONAL VENDA INTERNA - CONVENIENCIA</v>
      </c>
      <c r="L1133" s="5" t="str">
        <f t="shared" si="352"/>
        <v/>
      </c>
      <c r="M1133" s="5" t="str">
        <f>_xlfn.XLOOKUP($N1133,'Base de Grupos'!$A:$A,'Base de Grupos'!$C:$C)</f>
        <v>RS</v>
      </c>
      <c r="N1133" s="3">
        <v>1528</v>
      </c>
      <c r="O1133" s="4" t="s">
        <v>286</v>
      </c>
      <c r="P1133" s="5" t="s">
        <v>96</v>
      </c>
      <c r="Q1133" s="24">
        <v>0</v>
      </c>
      <c r="R1133" s="24">
        <v>0</v>
      </c>
      <c r="S1133" s="24">
        <v>0</v>
      </c>
      <c r="T1133" s="24">
        <v>0</v>
      </c>
      <c r="U1133" s="24">
        <v>0</v>
      </c>
      <c r="V1133" s="24">
        <v>0</v>
      </c>
      <c r="W1133" s="24">
        <v>0</v>
      </c>
      <c r="X1133" s="24">
        <v>0</v>
      </c>
      <c r="Y1133" s="24">
        <v>0</v>
      </c>
      <c r="Z1133" s="24">
        <v>0</v>
      </c>
      <c r="AA1133" s="24">
        <v>0</v>
      </c>
      <c r="AB1133" s="24">
        <v>0</v>
      </c>
      <c r="AC1133" s="30">
        <f t="shared" si="353"/>
        <v>0</v>
      </c>
      <c r="AD1133" s="28"/>
      <c r="AE1133" s="12"/>
      <c r="AF1133" s="29"/>
      <c r="AG1133" s="9"/>
      <c r="AH1133" s="10"/>
      <c r="AI1133" s="9"/>
      <c r="AJ1133" s="11"/>
      <c r="AK1133" s="9"/>
      <c r="AL1133" s="13"/>
      <c r="AM1133" s="9"/>
    </row>
    <row r="1134" spans="1:39" x14ac:dyDescent="0.3">
      <c r="A1134" s="2" t="str">
        <f t="shared" si="351"/>
        <v>NÃO</v>
      </c>
      <c r="B1134" s="2" t="str">
        <f>_xlfn.XLOOKUP($N1134,'Base de Grupos'!$A:$A,'Base de Grupos'!$D:$D)</f>
        <v>1000065763</v>
      </c>
      <c r="C1134" s="5" t="str">
        <f>_xlfn.XLOOKUP($N1134,'Base de Grupos'!$A:$A,'Base de Grupos'!$E:$E)</f>
        <v>CANAL VENDA INTERNA</v>
      </c>
      <c r="D1134" s="5" t="str">
        <f>_xlfn.XLOOKUP($N1134,'Base de Grupos'!$A:$A,'Base de Grupos'!$F:$F)</f>
        <v>1000065763</v>
      </c>
      <c r="E1134" s="2" t="str">
        <f>_xlfn.XLOOKUP($N1134,'Base de Grupos'!$A:$A,'Base de Grupos'!$G:$G)</f>
        <v>CANAL VENDA INTERNA</v>
      </c>
      <c r="F1134" s="2" t="str">
        <f>_xlfn.XLOOKUP($N1134,'Base de Grupos'!$A:$A,'Base de Grupos'!$H:$H)</f>
        <v>1000174119</v>
      </c>
      <c r="G1134" s="5" t="str">
        <f>_xlfn.XLOOKUP($N1134,'Base de Grupos'!$A:$A,'Base de Grupos'!$I:$I)</f>
        <v>REGIONAL VENDA INTERNA - CONVENIENCIA</v>
      </c>
      <c r="H1134" s="5" t="str">
        <f>_xlfn.XLOOKUP($N1134,'Base de Grupos'!$A:$A,'Base de Grupos'!$J:$J)</f>
        <v>1000174119</v>
      </c>
      <c r="I1134" s="2" t="str">
        <f>_xlfn.XLOOKUP($N1134,'Base de Grupos'!$A:$A,'Base de Grupos'!$K:$K)</f>
        <v>REGIONAL VENDA INTERNA - CONVENIENCIA</v>
      </c>
      <c r="J1134" s="2" t="str">
        <f>_xlfn.XLOOKUP($N1134,'Base de Grupos'!$A:$A,'Base de Grupos'!$L:$L)</f>
        <v>1000174119</v>
      </c>
      <c r="K1134" s="5" t="str">
        <f>_xlfn.XLOOKUP($N1134,'Base de Grupos'!$A:$A,'Base de Grupos'!$M:$M)</f>
        <v>REGIONAL VENDA INTERNA - CONVENIENCIA</v>
      </c>
      <c r="L1134" s="5" t="str">
        <f t="shared" si="352"/>
        <v/>
      </c>
      <c r="M1134" s="5" t="str">
        <f>_xlfn.XLOOKUP($N1134,'Base de Grupos'!$A:$A,'Base de Grupos'!$C:$C)</f>
        <v>RS</v>
      </c>
      <c r="N1134" s="3">
        <v>1528</v>
      </c>
      <c r="O1134" s="4" t="s">
        <v>286</v>
      </c>
      <c r="P1134" s="5" t="s">
        <v>94</v>
      </c>
      <c r="Q1134" s="24">
        <v>0</v>
      </c>
      <c r="R1134" s="24">
        <v>0</v>
      </c>
      <c r="S1134" s="24">
        <v>0</v>
      </c>
      <c r="T1134" s="24">
        <v>0</v>
      </c>
      <c r="U1134" s="24">
        <v>0</v>
      </c>
      <c r="V1134" s="24">
        <v>0</v>
      </c>
      <c r="W1134" s="24">
        <v>0</v>
      </c>
      <c r="X1134" s="24">
        <v>0</v>
      </c>
      <c r="Y1134" s="24">
        <v>0</v>
      </c>
      <c r="Z1134" s="24">
        <v>0</v>
      </c>
      <c r="AA1134" s="24">
        <v>0</v>
      </c>
      <c r="AB1134" s="24">
        <v>0</v>
      </c>
      <c r="AC1134" s="30">
        <f t="shared" si="353"/>
        <v>0</v>
      </c>
      <c r="AD1134" s="28"/>
      <c r="AE1134" s="12"/>
      <c r="AF1134" s="29"/>
      <c r="AG1134" s="9"/>
      <c r="AH1134" s="10"/>
      <c r="AI1134" s="9"/>
      <c r="AJ1134" s="11"/>
      <c r="AK1134" s="9"/>
      <c r="AL1134" s="13"/>
      <c r="AM1134" s="9"/>
    </row>
    <row r="1135" spans="1:39" x14ac:dyDescent="0.3">
      <c r="A1135" s="2" t="str">
        <f t="shared" si="351"/>
        <v>NÃO</v>
      </c>
      <c r="B1135" s="2" t="str">
        <f>_xlfn.XLOOKUP($N1135,'Base de Grupos'!$A:$A,'Base de Grupos'!$D:$D)</f>
        <v>1000065763</v>
      </c>
      <c r="C1135" s="5" t="str">
        <f>_xlfn.XLOOKUP($N1135,'Base de Grupos'!$A:$A,'Base de Grupos'!$E:$E)</f>
        <v>CANAL VENDA INTERNA</v>
      </c>
      <c r="D1135" s="5" t="str">
        <f>_xlfn.XLOOKUP($N1135,'Base de Grupos'!$A:$A,'Base de Grupos'!$F:$F)</f>
        <v>1000065763</v>
      </c>
      <c r="E1135" s="2" t="str">
        <f>_xlfn.XLOOKUP($N1135,'Base de Grupos'!$A:$A,'Base de Grupos'!$G:$G)</f>
        <v>CANAL VENDA INTERNA</v>
      </c>
      <c r="F1135" s="2" t="str">
        <f>_xlfn.XLOOKUP($N1135,'Base de Grupos'!$A:$A,'Base de Grupos'!$H:$H)</f>
        <v>1000174119</v>
      </c>
      <c r="G1135" s="5" t="str">
        <f>_xlfn.XLOOKUP($N1135,'Base de Grupos'!$A:$A,'Base de Grupos'!$I:$I)</f>
        <v>REGIONAL VENDA INTERNA - CONVENIENCIA</v>
      </c>
      <c r="H1135" s="5" t="str">
        <f>_xlfn.XLOOKUP($N1135,'Base de Grupos'!$A:$A,'Base de Grupos'!$J:$J)</f>
        <v>1000174119</v>
      </c>
      <c r="I1135" s="2" t="str">
        <f>_xlfn.XLOOKUP($N1135,'Base de Grupos'!$A:$A,'Base de Grupos'!$K:$K)</f>
        <v>REGIONAL VENDA INTERNA - CONVENIENCIA</v>
      </c>
      <c r="J1135" s="2" t="str">
        <f>_xlfn.XLOOKUP($N1135,'Base de Grupos'!$A:$A,'Base de Grupos'!$L:$L)</f>
        <v>1000174119</v>
      </c>
      <c r="K1135" s="5" t="str">
        <f>_xlfn.XLOOKUP($N1135,'Base de Grupos'!$A:$A,'Base de Grupos'!$M:$M)</f>
        <v>REGIONAL VENDA INTERNA - CONVENIENCIA</v>
      </c>
      <c r="L1135" s="5" t="str">
        <f t="shared" si="352"/>
        <v/>
      </c>
      <c r="M1135" s="5" t="str">
        <f>_xlfn.XLOOKUP($N1135,'Base de Grupos'!$A:$A,'Base de Grupos'!$C:$C)</f>
        <v>RS</v>
      </c>
      <c r="N1135" s="3">
        <v>1528</v>
      </c>
      <c r="O1135" s="4" t="s">
        <v>286</v>
      </c>
      <c r="P1135" s="5" t="s">
        <v>95</v>
      </c>
      <c r="Q1135" s="24">
        <v>0</v>
      </c>
      <c r="R1135" s="24">
        <v>0</v>
      </c>
      <c r="S1135" s="24">
        <v>0</v>
      </c>
      <c r="T1135" s="24">
        <v>0</v>
      </c>
      <c r="U1135" s="24">
        <v>0</v>
      </c>
      <c r="V1135" s="24">
        <v>0</v>
      </c>
      <c r="W1135" s="24">
        <v>0</v>
      </c>
      <c r="X1135" s="24">
        <v>0</v>
      </c>
      <c r="Y1135" s="24">
        <v>0</v>
      </c>
      <c r="Z1135" s="24">
        <v>0</v>
      </c>
      <c r="AA1135" s="24">
        <v>0</v>
      </c>
      <c r="AB1135" s="24">
        <v>0</v>
      </c>
      <c r="AC1135" s="30">
        <f t="shared" si="353"/>
        <v>0</v>
      </c>
      <c r="AD1135" s="28"/>
      <c r="AE1135" s="12"/>
      <c r="AF1135" s="29"/>
      <c r="AG1135" s="9"/>
      <c r="AH1135" s="10"/>
      <c r="AI1135" s="9"/>
      <c r="AJ1135" s="11"/>
      <c r="AK1135" s="9"/>
      <c r="AL1135" s="13"/>
      <c r="AM1135" s="9"/>
    </row>
    <row r="1136" spans="1:39" x14ac:dyDescent="0.3">
      <c r="A1136" s="2" t="str">
        <f t="shared" si="351"/>
        <v>NÃO</v>
      </c>
      <c r="B1136" s="2" t="str">
        <f>_xlfn.XLOOKUP($N1136,'Base de Grupos'!$A:$A,'Base de Grupos'!$D:$D)</f>
        <v>1000065763</v>
      </c>
      <c r="C1136" s="5" t="str">
        <f>_xlfn.XLOOKUP($N1136,'Base de Grupos'!$A:$A,'Base de Grupos'!$E:$E)</f>
        <v>CANAL VENDA INTERNA</v>
      </c>
      <c r="D1136" s="5" t="str">
        <f>_xlfn.XLOOKUP($N1136,'Base de Grupos'!$A:$A,'Base de Grupos'!$F:$F)</f>
        <v>1000065763</v>
      </c>
      <c r="E1136" s="2" t="str">
        <f>_xlfn.XLOOKUP($N1136,'Base de Grupos'!$A:$A,'Base de Grupos'!$G:$G)</f>
        <v>CANAL VENDA INTERNA</v>
      </c>
      <c r="F1136" s="2" t="str">
        <f>_xlfn.XLOOKUP($N1136,'Base de Grupos'!$A:$A,'Base de Grupos'!$H:$H)</f>
        <v>1000174119</v>
      </c>
      <c r="G1136" s="5" t="str">
        <f>_xlfn.XLOOKUP($N1136,'Base de Grupos'!$A:$A,'Base de Grupos'!$I:$I)</f>
        <v>REGIONAL VENDA INTERNA - CONVENIENCIA</v>
      </c>
      <c r="H1136" s="5" t="str">
        <f>_xlfn.XLOOKUP($N1136,'Base de Grupos'!$A:$A,'Base de Grupos'!$J:$J)</f>
        <v>1000174119</v>
      </c>
      <c r="I1136" s="2" t="str">
        <f>_xlfn.XLOOKUP($N1136,'Base de Grupos'!$A:$A,'Base de Grupos'!$K:$K)</f>
        <v>REGIONAL VENDA INTERNA - CONVENIENCIA</v>
      </c>
      <c r="J1136" s="2" t="str">
        <f>_xlfn.XLOOKUP($N1136,'Base de Grupos'!$A:$A,'Base de Grupos'!$L:$L)</f>
        <v>1000174119</v>
      </c>
      <c r="K1136" s="5" t="str">
        <f>_xlfn.XLOOKUP($N1136,'Base de Grupos'!$A:$A,'Base de Grupos'!$M:$M)</f>
        <v>REGIONAL VENDA INTERNA - CONVENIENCIA</v>
      </c>
      <c r="L1136" s="5" t="str">
        <f t="shared" si="352"/>
        <v/>
      </c>
      <c r="M1136" s="5" t="str">
        <f>_xlfn.XLOOKUP($N1136,'Base de Grupos'!$A:$A,'Base de Grupos'!$C:$C)</f>
        <v>RS</v>
      </c>
      <c r="N1136" s="3">
        <v>1528</v>
      </c>
      <c r="O1136" s="4" t="s">
        <v>286</v>
      </c>
      <c r="P1136" s="5" t="s">
        <v>93</v>
      </c>
      <c r="Q1136" s="24">
        <v>0</v>
      </c>
      <c r="R1136" s="24">
        <v>0</v>
      </c>
      <c r="S1136" s="24">
        <v>0</v>
      </c>
      <c r="T1136" s="24">
        <v>0</v>
      </c>
      <c r="U1136" s="24">
        <v>0</v>
      </c>
      <c r="V1136" s="24">
        <v>0</v>
      </c>
      <c r="W1136" s="24">
        <v>0</v>
      </c>
      <c r="X1136" s="24">
        <v>0</v>
      </c>
      <c r="Y1136" s="24">
        <v>0</v>
      </c>
      <c r="Z1136" s="24">
        <v>0</v>
      </c>
      <c r="AA1136" s="24">
        <v>0</v>
      </c>
      <c r="AB1136" s="24">
        <v>0</v>
      </c>
      <c r="AC1136" s="30">
        <f t="shared" si="353"/>
        <v>0</v>
      </c>
      <c r="AD1136" s="28"/>
      <c r="AE1136" s="12"/>
      <c r="AF1136" s="29"/>
      <c r="AG1136" s="9"/>
      <c r="AH1136" s="10"/>
      <c r="AI1136" s="9"/>
      <c r="AJ1136" s="11"/>
      <c r="AK1136" s="9"/>
      <c r="AL1136" s="13"/>
      <c r="AM1136" s="9"/>
    </row>
    <row r="1137" spans="1:39" x14ac:dyDescent="0.3">
      <c r="A1137" s="2" t="str">
        <f t="shared" si="351"/>
        <v>SIM</v>
      </c>
      <c r="B1137" s="2" t="str">
        <f>_xlfn.XLOOKUP($N1137,'Base de Grupos'!$A:$A,'Base de Grupos'!$D:$D)</f>
        <v>1000065763</v>
      </c>
      <c r="C1137" s="5" t="str">
        <f>_xlfn.XLOOKUP($N1137,'Base de Grupos'!$A:$A,'Base de Grupos'!$E:$E)</f>
        <v>CANAL VENDA INTERNA</v>
      </c>
      <c r="D1137" s="5" t="str">
        <f>_xlfn.XLOOKUP($N1137,'Base de Grupos'!$A:$A,'Base de Grupos'!$F:$F)</f>
        <v>1000065763</v>
      </c>
      <c r="E1137" s="2" t="str">
        <f>_xlfn.XLOOKUP($N1137,'Base de Grupos'!$A:$A,'Base de Grupos'!$G:$G)</f>
        <v>CANAL VENDA INTERNA</v>
      </c>
      <c r="F1137" s="2" t="str">
        <f>_xlfn.XLOOKUP($N1137,'Base de Grupos'!$A:$A,'Base de Grupos'!$H:$H)</f>
        <v>1000174119</v>
      </c>
      <c r="G1137" s="5" t="str">
        <f>_xlfn.XLOOKUP($N1137,'Base de Grupos'!$A:$A,'Base de Grupos'!$I:$I)</f>
        <v>REGIONAL VENDA INTERNA - CONVENIENCIA</v>
      </c>
      <c r="H1137" s="5" t="str">
        <f>_xlfn.XLOOKUP($N1137,'Base de Grupos'!$A:$A,'Base de Grupos'!$J:$J)</f>
        <v>1000174119</v>
      </c>
      <c r="I1137" s="2" t="str">
        <f>_xlfn.XLOOKUP($N1137,'Base de Grupos'!$A:$A,'Base de Grupos'!$K:$K)</f>
        <v>REGIONAL VENDA INTERNA - CONVENIENCIA</v>
      </c>
      <c r="J1137" s="2" t="str">
        <f>_xlfn.XLOOKUP($N1137,'Base de Grupos'!$A:$A,'Base de Grupos'!$L:$L)</f>
        <v>1000174119</v>
      </c>
      <c r="K1137" s="5" t="str">
        <f>_xlfn.XLOOKUP($N1137,'Base de Grupos'!$A:$A,'Base de Grupos'!$M:$M)</f>
        <v>REGIONAL VENDA INTERNA - CONVENIENCIA</v>
      </c>
      <c r="L1137" s="5">
        <f t="shared" si="352"/>
        <v>1</v>
      </c>
      <c r="M1137" s="5" t="str">
        <f>_xlfn.XLOOKUP($N1137,'Base de Grupos'!$A:$A,'Base de Grupos'!$C:$C)</f>
        <v>SC</v>
      </c>
      <c r="N1137" s="3">
        <v>1530</v>
      </c>
      <c r="O1137" s="4" t="s">
        <v>287</v>
      </c>
      <c r="P1137" s="5" t="s">
        <v>357</v>
      </c>
      <c r="Q1137" s="24">
        <v>0</v>
      </c>
      <c r="R1137" s="24">
        <v>0</v>
      </c>
      <c r="S1137" s="24">
        <v>0</v>
      </c>
      <c r="T1137" s="24">
        <v>0</v>
      </c>
      <c r="U1137" s="24">
        <v>0</v>
      </c>
      <c r="V1137" s="24">
        <v>0</v>
      </c>
      <c r="W1137" s="24">
        <v>0</v>
      </c>
      <c r="X1137" s="24">
        <v>0</v>
      </c>
      <c r="Y1137" s="24">
        <v>0</v>
      </c>
      <c r="Z1137" s="24">
        <v>0</v>
      </c>
      <c r="AA1137" s="24">
        <v>0</v>
      </c>
      <c r="AB1137" s="24">
        <v>0</v>
      </c>
      <c r="AC1137" s="30">
        <f t="shared" si="353"/>
        <v>0</v>
      </c>
      <c r="AD1137" s="28"/>
      <c r="AE1137" s="12"/>
      <c r="AF1137" s="29"/>
      <c r="AG1137" s="9"/>
      <c r="AH1137" s="10"/>
      <c r="AI1137" s="9"/>
      <c r="AJ1137" s="11"/>
      <c r="AK1137" s="9"/>
      <c r="AL1137" s="13"/>
      <c r="AM1137" s="9"/>
    </row>
    <row r="1138" spans="1:39" x14ac:dyDescent="0.3">
      <c r="A1138" s="2" t="str">
        <f t="shared" si="351"/>
        <v>NÃO</v>
      </c>
      <c r="B1138" s="2" t="str">
        <f>_xlfn.XLOOKUP($N1138,'Base de Grupos'!$A:$A,'Base de Grupos'!$D:$D)</f>
        <v>1000065763</v>
      </c>
      <c r="C1138" s="5" t="str">
        <f>_xlfn.XLOOKUP($N1138,'Base de Grupos'!$A:$A,'Base de Grupos'!$E:$E)</f>
        <v>CANAL VENDA INTERNA</v>
      </c>
      <c r="D1138" s="5" t="str">
        <f>_xlfn.XLOOKUP($N1138,'Base de Grupos'!$A:$A,'Base de Grupos'!$F:$F)</f>
        <v>1000065763</v>
      </c>
      <c r="E1138" s="2" t="str">
        <f>_xlfn.XLOOKUP($N1138,'Base de Grupos'!$A:$A,'Base de Grupos'!$G:$G)</f>
        <v>CANAL VENDA INTERNA</v>
      </c>
      <c r="F1138" s="2" t="str">
        <f>_xlfn.XLOOKUP($N1138,'Base de Grupos'!$A:$A,'Base de Grupos'!$H:$H)</f>
        <v>1000174119</v>
      </c>
      <c r="G1138" s="5" t="str">
        <f>_xlfn.XLOOKUP($N1138,'Base de Grupos'!$A:$A,'Base de Grupos'!$I:$I)</f>
        <v>REGIONAL VENDA INTERNA - CONVENIENCIA</v>
      </c>
      <c r="H1138" s="5" t="str">
        <f>_xlfn.XLOOKUP($N1138,'Base de Grupos'!$A:$A,'Base de Grupos'!$J:$J)</f>
        <v>1000174119</v>
      </c>
      <c r="I1138" s="2" t="str">
        <f>_xlfn.XLOOKUP($N1138,'Base de Grupos'!$A:$A,'Base de Grupos'!$K:$K)</f>
        <v>REGIONAL VENDA INTERNA - CONVENIENCIA</v>
      </c>
      <c r="J1138" s="2" t="str">
        <f>_xlfn.XLOOKUP($N1138,'Base de Grupos'!$A:$A,'Base de Grupos'!$L:$L)</f>
        <v>1000174119</v>
      </c>
      <c r="K1138" s="5" t="str">
        <f>_xlfn.XLOOKUP($N1138,'Base de Grupos'!$A:$A,'Base de Grupos'!$M:$M)</f>
        <v>REGIONAL VENDA INTERNA - CONVENIENCIA</v>
      </c>
      <c r="L1138" s="5" t="str">
        <f t="shared" si="352"/>
        <v/>
      </c>
      <c r="M1138" s="5" t="str">
        <f>_xlfn.XLOOKUP($N1138,'Base de Grupos'!$A:$A,'Base de Grupos'!$C:$C)</f>
        <v>SC</v>
      </c>
      <c r="N1138" s="3">
        <v>1530</v>
      </c>
      <c r="O1138" s="4" t="s">
        <v>287</v>
      </c>
      <c r="P1138" s="5" t="s">
        <v>81</v>
      </c>
      <c r="Q1138" s="24">
        <v>0</v>
      </c>
      <c r="R1138" s="24">
        <v>0</v>
      </c>
      <c r="S1138" s="24">
        <v>0</v>
      </c>
      <c r="T1138" s="24">
        <v>0</v>
      </c>
      <c r="U1138" s="24">
        <v>0</v>
      </c>
      <c r="V1138" s="24">
        <v>0</v>
      </c>
      <c r="W1138" s="24">
        <v>0</v>
      </c>
      <c r="X1138" s="24">
        <v>0</v>
      </c>
      <c r="Y1138" s="24">
        <v>0</v>
      </c>
      <c r="Z1138" s="24">
        <v>0</v>
      </c>
      <c r="AA1138" s="24">
        <v>0</v>
      </c>
      <c r="AB1138" s="24">
        <v>0</v>
      </c>
      <c r="AC1138" s="30">
        <f t="shared" si="353"/>
        <v>0</v>
      </c>
      <c r="AD1138" s="28"/>
      <c r="AE1138" s="12"/>
      <c r="AF1138" s="29"/>
      <c r="AG1138" s="9"/>
      <c r="AH1138" s="10"/>
      <c r="AI1138" s="9"/>
      <c r="AJ1138" s="11"/>
      <c r="AK1138" s="9"/>
      <c r="AL1138" s="13"/>
      <c r="AM1138" s="9"/>
    </row>
    <row r="1139" spans="1:39" x14ac:dyDescent="0.3">
      <c r="A1139" s="2" t="str">
        <f t="shared" si="351"/>
        <v>NÃO</v>
      </c>
      <c r="B1139" s="2" t="str">
        <f>_xlfn.XLOOKUP($N1139,'Base de Grupos'!$A:$A,'Base de Grupos'!$D:$D)</f>
        <v>1000065763</v>
      </c>
      <c r="C1139" s="5" t="str">
        <f>_xlfn.XLOOKUP($N1139,'Base de Grupos'!$A:$A,'Base de Grupos'!$E:$E)</f>
        <v>CANAL VENDA INTERNA</v>
      </c>
      <c r="D1139" s="5" t="str">
        <f>_xlfn.XLOOKUP($N1139,'Base de Grupos'!$A:$A,'Base de Grupos'!$F:$F)</f>
        <v>1000065763</v>
      </c>
      <c r="E1139" s="2" t="str">
        <f>_xlfn.XLOOKUP($N1139,'Base de Grupos'!$A:$A,'Base de Grupos'!$G:$G)</f>
        <v>CANAL VENDA INTERNA</v>
      </c>
      <c r="F1139" s="2" t="str">
        <f>_xlfn.XLOOKUP($N1139,'Base de Grupos'!$A:$A,'Base de Grupos'!$H:$H)</f>
        <v>1000174119</v>
      </c>
      <c r="G1139" s="5" t="str">
        <f>_xlfn.XLOOKUP($N1139,'Base de Grupos'!$A:$A,'Base de Grupos'!$I:$I)</f>
        <v>REGIONAL VENDA INTERNA - CONVENIENCIA</v>
      </c>
      <c r="H1139" s="5" t="str">
        <f>_xlfn.XLOOKUP($N1139,'Base de Grupos'!$A:$A,'Base de Grupos'!$J:$J)</f>
        <v>1000174119</v>
      </c>
      <c r="I1139" s="2" t="str">
        <f>_xlfn.XLOOKUP($N1139,'Base de Grupos'!$A:$A,'Base de Grupos'!$K:$K)</f>
        <v>REGIONAL VENDA INTERNA - CONVENIENCIA</v>
      </c>
      <c r="J1139" s="2" t="str">
        <f>_xlfn.XLOOKUP($N1139,'Base de Grupos'!$A:$A,'Base de Grupos'!$L:$L)</f>
        <v>1000174119</v>
      </c>
      <c r="K1139" s="5" t="str">
        <f>_xlfn.XLOOKUP($N1139,'Base de Grupos'!$A:$A,'Base de Grupos'!$M:$M)</f>
        <v>REGIONAL VENDA INTERNA - CONVENIENCIA</v>
      </c>
      <c r="L1139" s="5" t="str">
        <f t="shared" si="352"/>
        <v/>
      </c>
      <c r="M1139" s="5" t="str">
        <f>_xlfn.XLOOKUP($N1139,'Base de Grupos'!$A:$A,'Base de Grupos'!$C:$C)</f>
        <v>SC</v>
      </c>
      <c r="N1139" s="3">
        <v>1530</v>
      </c>
      <c r="O1139" s="4" t="s">
        <v>287</v>
      </c>
      <c r="P1139" s="5" t="s">
        <v>82</v>
      </c>
      <c r="Q1139" s="24">
        <v>0</v>
      </c>
      <c r="R1139" s="24">
        <v>0</v>
      </c>
      <c r="S1139" s="24">
        <v>0</v>
      </c>
      <c r="T1139" s="24">
        <v>0</v>
      </c>
      <c r="U1139" s="24">
        <v>0</v>
      </c>
      <c r="V1139" s="24">
        <v>0</v>
      </c>
      <c r="W1139" s="24">
        <v>0</v>
      </c>
      <c r="X1139" s="24">
        <v>0</v>
      </c>
      <c r="Y1139" s="24">
        <v>0</v>
      </c>
      <c r="Z1139" s="24">
        <v>0</v>
      </c>
      <c r="AA1139" s="24">
        <v>0</v>
      </c>
      <c r="AB1139" s="24">
        <v>0</v>
      </c>
      <c r="AC1139" s="30">
        <f t="shared" si="353"/>
        <v>0</v>
      </c>
      <c r="AD1139" s="28"/>
      <c r="AE1139" s="12"/>
      <c r="AF1139" s="29"/>
      <c r="AG1139" s="9"/>
      <c r="AH1139" s="10"/>
      <c r="AI1139" s="9"/>
      <c r="AJ1139" s="11"/>
      <c r="AK1139" s="9"/>
      <c r="AL1139" s="13"/>
      <c r="AM1139" s="9"/>
    </row>
    <row r="1140" spans="1:39" x14ac:dyDescent="0.3">
      <c r="A1140" s="2" t="str">
        <f t="shared" si="351"/>
        <v>NÃO</v>
      </c>
      <c r="B1140" s="2" t="str">
        <f>_xlfn.XLOOKUP($N1140,'Base de Grupos'!$A:$A,'Base de Grupos'!$D:$D)</f>
        <v>1000065763</v>
      </c>
      <c r="C1140" s="5" t="str">
        <f>_xlfn.XLOOKUP($N1140,'Base de Grupos'!$A:$A,'Base de Grupos'!$E:$E)</f>
        <v>CANAL VENDA INTERNA</v>
      </c>
      <c r="D1140" s="5" t="str">
        <f>_xlfn.XLOOKUP($N1140,'Base de Grupos'!$A:$A,'Base de Grupos'!$F:$F)</f>
        <v>1000065763</v>
      </c>
      <c r="E1140" s="2" t="str">
        <f>_xlfn.XLOOKUP($N1140,'Base de Grupos'!$A:$A,'Base de Grupos'!$G:$G)</f>
        <v>CANAL VENDA INTERNA</v>
      </c>
      <c r="F1140" s="2" t="str">
        <f>_xlfn.XLOOKUP($N1140,'Base de Grupos'!$A:$A,'Base de Grupos'!$H:$H)</f>
        <v>1000174119</v>
      </c>
      <c r="G1140" s="5" t="str">
        <f>_xlfn.XLOOKUP($N1140,'Base de Grupos'!$A:$A,'Base de Grupos'!$I:$I)</f>
        <v>REGIONAL VENDA INTERNA - CONVENIENCIA</v>
      </c>
      <c r="H1140" s="5" t="str">
        <f>_xlfn.XLOOKUP($N1140,'Base de Grupos'!$A:$A,'Base de Grupos'!$J:$J)</f>
        <v>1000174119</v>
      </c>
      <c r="I1140" s="2" t="str">
        <f>_xlfn.XLOOKUP($N1140,'Base de Grupos'!$A:$A,'Base de Grupos'!$K:$K)</f>
        <v>REGIONAL VENDA INTERNA - CONVENIENCIA</v>
      </c>
      <c r="J1140" s="2" t="str">
        <f>_xlfn.XLOOKUP($N1140,'Base de Grupos'!$A:$A,'Base de Grupos'!$L:$L)</f>
        <v>1000174119</v>
      </c>
      <c r="K1140" s="5" t="str">
        <f>_xlfn.XLOOKUP($N1140,'Base de Grupos'!$A:$A,'Base de Grupos'!$M:$M)</f>
        <v>REGIONAL VENDA INTERNA - CONVENIENCIA</v>
      </c>
      <c r="L1140" s="5" t="str">
        <f t="shared" si="352"/>
        <v/>
      </c>
      <c r="M1140" s="5" t="str">
        <f>_xlfn.XLOOKUP($N1140,'Base de Grupos'!$A:$A,'Base de Grupos'!$C:$C)</f>
        <v>SC</v>
      </c>
      <c r="N1140" s="3">
        <v>1530</v>
      </c>
      <c r="O1140" s="4" t="s">
        <v>287</v>
      </c>
      <c r="P1140" s="5" t="s">
        <v>84</v>
      </c>
      <c r="Q1140" s="24">
        <v>0</v>
      </c>
      <c r="R1140" s="24">
        <v>0</v>
      </c>
      <c r="S1140" s="24">
        <v>0</v>
      </c>
      <c r="T1140" s="24">
        <v>0</v>
      </c>
      <c r="U1140" s="24">
        <v>0</v>
      </c>
      <c r="V1140" s="24">
        <v>0</v>
      </c>
      <c r="W1140" s="24">
        <v>0</v>
      </c>
      <c r="X1140" s="24">
        <v>0</v>
      </c>
      <c r="Y1140" s="24">
        <v>0</v>
      </c>
      <c r="Z1140" s="24">
        <v>0</v>
      </c>
      <c r="AA1140" s="24">
        <v>0</v>
      </c>
      <c r="AB1140" s="24">
        <v>0</v>
      </c>
      <c r="AC1140" s="30">
        <f t="shared" si="353"/>
        <v>0</v>
      </c>
      <c r="AD1140" s="28"/>
      <c r="AE1140" s="12"/>
      <c r="AF1140" s="29"/>
      <c r="AG1140" s="9"/>
      <c r="AH1140" s="10"/>
      <c r="AI1140" s="9"/>
      <c r="AJ1140" s="11"/>
      <c r="AK1140" s="9"/>
      <c r="AL1140" s="13"/>
      <c r="AM1140" s="9"/>
    </row>
    <row r="1141" spans="1:39" x14ac:dyDescent="0.3">
      <c r="A1141" s="2" t="str">
        <f t="shared" si="351"/>
        <v>NÃO</v>
      </c>
      <c r="B1141" s="2" t="str">
        <f>_xlfn.XLOOKUP($N1141,'Base de Grupos'!$A:$A,'Base de Grupos'!$D:$D)</f>
        <v>1000065763</v>
      </c>
      <c r="C1141" s="5" t="str">
        <f>_xlfn.XLOOKUP($N1141,'Base de Grupos'!$A:$A,'Base de Grupos'!$E:$E)</f>
        <v>CANAL VENDA INTERNA</v>
      </c>
      <c r="D1141" s="5" t="str">
        <f>_xlfn.XLOOKUP($N1141,'Base de Grupos'!$A:$A,'Base de Grupos'!$F:$F)</f>
        <v>1000065763</v>
      </c>
      <c r="E1141" s="2" t="str">
        <f>_xlfn.XLOOKUP($N1141,'Base de Grupos'!$A:$A,'Base de Grupos'!$G:$G)</f>
        <v>CANAL VENDA INTERNA</v>
      </c>
      <c r="F1141" s="2" t="str">
        <f>_xlfn.XLOOKUP($N1141,'Base de Grupos'!$A:$A,'Base de Grupos'!$H:$H)</f>
        <v>1000174119</v>
      </c>
      <c r="G1141" s="5" t="str">
        <f>_xlfn.XLOOKUP($N1141,'Base de Grupos'!$A:$A,'Base de Grupos'!$I:$I)</f>
        <v>REGIONAL VENDA INTERNA - CONVENIENCIA</v>
      </c>
      <c r="H1141" s="5" t="str">
        <f>_xlfn.XLOOKUP($N1141,'Base de Grupos'!$A:$A,'Base de Grupos'!$J:$J)</f>
        <v>1000174119</v>
      </c>
      <c r="I1141" s="2" t="str">
        <f>_xlfn.XLOOKUP($N1141,'Base de Grupos'!$A:$A,'Base de Grupos'!$K:$K)</f>
        <v>REGIONAL VENDA INTERNA - CONVENIENCIA</v>
      </c>
      <c r="J1141" s="2" t="str">
        <f>_xlfn.XLOOKUP($N1141,'Base de Grupos'!$A:$A,'Base de Grupos'!$L:$L)</f>
        <v>1000174119</v>
      </c>
      <c r="K1141" s="5" t="str">
        <f>_xlfn.XLOOKUP($N1141,'Base de Grupos'!$A:$A,'Base de Grupos'!$M:$M)</f>
        <v>REGIONAL VENDA INTERNA - CONVENIENCIA</v>
      </c>
      <c r="L1141" s="5" t="str">
        <f t="shared" si="352"/>
        <v/>
      </c>
      <c r="M1141" s="5" t="str">
        <f>_xlfn.XLOOKUP($N1141,'Base de Grupos'!$A:$A,'Base de Grupos'!$C:$C)</f>
        <v>SC</v>
      </c>
      <c r="N1141" s="3">
        <v>1530</v>
      </c>
      <c r="O1141" s="4" t="s">
        <v>287</v>
      </c>
      <c r="P1141" s="5" t="s">
        <v>83</v>
      </c>
      <c r="Q1141" s="24">
        <v>0</v>
      </c>
      <c r="R1141" s="24">
        <v>0</v>
      </c>
      <c r="S1141" s="24">
        <v>0</v>
      </c>
      <c r="T1141" s="24">
        <v>0</v>
      </c>
      <c r="U1141" s="24">
        <v>0</v>
      </c>
      <c r="V1141" s="24">
        <v>0</v>
      </c>
      <c r="W1141" s="24">
        <v>0</v>
      </c>
      <c r="X1141" s="24">
        <v>0</v>
      </c>
      <c r="Y1141" s="24">
        <v>0</v>
      </c>
      <c r="Z1141" s="24">
        <v>0</v>
      </c>
      <c r="AA1141" s="24">
        <v>0</v>
      </c>
      <c r="AB1141" s="24">
        <v>0</v>
      </c>
      <c r="AC1141" s="30">
        <f t="shared" si="353"/>
        <v>0</v>
      </c>
      <c r="AD1141" s="28"/>
      <c r="AE1141" s="12"/>
      <c r="AF1141" s="29"/>
      <c r="AG1141" s="9"/>
      <c r="AH1141" s="10"/>
      <c r="AI1141" s="9"/>
      <c r="AJ1141" s="11"/>
      <c r="AK1141" s="9"/>
      <c r="AL1141" s="13"/>
      <c r="AM1141" s="9"/>
    </row>
    <row r="1142" spans="1:39" x14ac:dyDescent="0.3">
      <c r="A1142" s="2" t="str">
        <f t="shared" si="351"/>
        <v>NÃO</v>
      </c>
      <c r="B1142" s="2" t="str">
        <f>_xlfn.XLOOKUP($N1142,'Base de Grupos'!$A:$A,'Base de Grupos'!$D:$D)</f>
        <v>1000065763</v>
      </c>
      <c r="C1142" s="5" t="str">
        <f>_xlfn.XLOOKUP($N1142,'Base de Grupos'!$A:$A,'Base de Grupos'!$E:$E)</f>
        <v>CANAL VENDA INTERNA</v>
      </c>
      <c r="D1142" s="5" t="str">
        <f>_xlfn.XLOOKUP($N1142,'Base de Grupos'!$A:$A,'Base de Grupos'!$F:$F)</f>
        <v>1000065763</v>
      </c>
      <c r="E1142" s="2" t="str">
        <f>_xlfn.XLOOKUP($N1142,'Base de Grupos'!$A:$A,'Base de Grupos'!$G:$G)</f>
        <v>CANAL VENDA INTERNA</v>
      </c>
      <c r="F1142" s="2" t="str">
        <f>_xlfn.XLOOKUP($N1142,'Base de Grupos'!$A:$A,'Base de Grupos'!$H:$H)</f>
        <v>1000174119</v>
      </c>
      <c r="G1142" s="5" t="str">
        <f>_xlfn.XLOOKUP($N1142,'Base de Grupos'!$A:$A,'Base de Grupos'!$I:$I)</f>
        <v>REGIONAL VENDA INTERNA - CONVENIENCIA</v>
      </c>
      <c r="H1142" s="5" t="str">
        <f>_xlfn.XLOOKUP($N1142,'Base de Grupos'!$A:$A,'Base de Grupos'!$J:$J)</f>
        <v>1000174119</v>
      </c>
      <c r="I1142" s="2" t="str">
        <f>_xlfn.XLOOKUP($N1142,'Base de Grupos'!$A:$A,'Base de Grupos'!$K:$K)</f>
        <v>REGIONAL VENDA INTERNA - CONVENIENCIA</v>
      </c>
      <c r="J1142" s="2" t="str">
        <f>_xlfn.XLOOKUP($N1142,'Base de Grupos'!$A:$A,'Base de Grupos'!$L:$L)</f>
        <v>1000174119</v>
      </c>
      <c r="K1142" s="5" t="str">
        <f>_xlfn.XLOOKUP($N1142,'Base de Grupos'!$A:$A,'Base de Grupos'!$M:$M)</f>
        <v>REGIONAL VENDA INTERNA - CONVENIENCIA</v>
      </c>
      <c r="L1142" s="5" t="str">
        <f t="shared" si="352"/>
        <v/>
      </c>
      <c r="M1142" s="5" t="str">
        <f>_xlfn.XLOOKUP($N1142,'Base de Grupos'!$A:$A,'Base de Grupos'!$C:$C)</f>
        <v>SC</v>
      </c>
      <c r="N1142" s="3">
        <v>1530</v>
      </c>
      <c r="O1142" s="4" t="s">
        <v>287</v>
      </c>
      <c r="P1142" s="5" t="s">
        <v>87</v>
      </c>
      <c r="Q1142" s="24">
        <v>0</v>
      </c>
      <c r="R1142" s="24">
        <v>0</v>
      </c>
      <c r="S1142" s="24">
        <v>0</v>
      </c>
      <c r="T1142" s="24">
        <v>0</v>
      </c>
      <c r="U1142" s="24">
        <v>0</v>
      </c>
      <c r="V1142" s="24">
        <v>0</v>
      </c>
      <c r="W1142" s="24">
        <v>0</v>
      </c>
      <c r="X1142" s="24">
        <v>0</v>
      </c>
      <c r="Y1142" s="24">
        <v>0</v>
      </c>
      <c r="Z1142" s="24">
        <v>0</v>
      </c>
      <c r="AA1142" s="24">
        <v>0</v>
      </c>
      <c r="AB1142" s="24">
        <v>0</v>
      </c>
      <c r="AC1142" s="30">
        <f t="shared" si="353"/>
        <v>0</v>
      </c>
      <c r="AD1142" s="28"/>
      <c r="AE1142" s="12"/>
      <c r="AF1142" s="29"/>
      <c r="AG1142" s="9"/>
      <c r="AH1142" s="10"/>
      <c r="AI1142" s="9"/>
      <c r="AJ1142" s="11"/>
      <c r="AK1142" s="9"/>
      <c r="AL1142" s="13"/>
      <c r="AM1142" s="9"/>
    </row>
    <row r="1143" spans="1:39" x14ac:dyDescent="0.3">
      <c r="A1143" s="2" t="str">
        <f t="shared" si="351"/>
        <v>NÃO</v>
      </c>
      <c r="B1143" s="2" t="str">
        <f>_xlfn.XLOOKUP($N1143,'Base de Grupos'!$A:$A,'Base de Grupos'!$D:$D)</f>
        <v>1000065763</v>
      </c>
      <c r="C1143" s="5" t="str">
        <f>_xlfn.XLOOKUP($N1143,'Base de Grupos'!$A:$A,'Base de Grupos'!$E:$E)</f>
        <v>CANAL VENDA INTERNA</v>
      </c>
      <c r="D1143" s="5" t="str">
        <f>_xlfn.XLOOKUP($N1143,'Base de Grupos'!$A:$A,'Base de Grupos'!$F:$F)</f>
        <v>1000065763</v>
      </c>
      <c r="E1143" s="2" t="str">
        <f>_xlfn.XLOOKUP($N1143,'Base de Grupos'!$A:$A,'Base de Grupos'!$G:$G)</f>
        <v>CANAL VENDA INTERNA</v>
      </c>
      <c r="F1143" s="2" t="str">
        <f>_xlfn.XLOOKUP($N1143,'Base de Grupos'!$A:$A,'Base de Grupos'!$H:$H)</f>
        <v>1000174119</v>
      </c>
      <c r="G1143" s="5" t="str">
        <f>_xlfn.XLOOKUP($N1143,'Base de Grupos'!$A:$A,'Base de Grupos'!$I:$I)</f>
        <v>REGIONAL VENDA INTERNA - CONVENIENCIA</v>
      </c>
      <c r="H1143" s="5" t="str">
        <f>_xlfn.XLOOKUP($N1143,'Base de Grupos'!$A:$A,'Base de Grupos'!$J:$J)</f>
        <v>1000174119</v>
      </c>
      <c r="I1143" s="2" t="str">
        <f>_xlfn.XLOOKUP($N1143,'Base de Grupos'!$A:$A,'Base de Grupos'!$K:$K)</f>
        <v>REGIONAL VENDA INTERNA - CONVENIENCIA</v>
      </c>
      <c r="J1143" s="2" t="str">
        <f>_xlfn.XLOOKUP($N1143,'Base de Grupos'!$A:$A,'Base de Grupos'!$L:$L)</f>
        <v>1000174119</v>
      </c>
      <c r="K1143" s="5" t="str">
        <f>_xlfn.XLOOKUP($N1143,'Base de Grupos'!$A:$A,'Base de Grupos'!$M:$M)</f>
        <v>REGIONAL VENDA INTERNA - CONVENIENCIA</v>
      </c>
      <c r="L1143" s="5" t="str">
        <f t="shared" si="352"/>
        <v/>
      </c>
      <c r="M1143" s="5" t="str">
        <f>_xlfn.XLOOKUP($N1143,'Base de Grupos'!$A:$A,'Base de Grupos'!$C:$C)</f>
        <v>SC</v>
      </c>
      <c r="N1143" s="3">
        <v>1530</v>
      </c>
      <c r="O1143" s="4" t="s">
        <v>287</v>
      </c>
      <c r="P1143" s="5" t="s">
        <v>85</v>
      </c>
      <c r="Q1143" s="24">
        <v>0</v>
      </c>
      <c r="R1143" s="24">
        <v>0</v>
      </c>
      <c r="S1143" s="24">
        <v>0</v>
      </c>
      <c r="T1143" s="24">
        <v>0</v>
      </c>
      <c r="U1143" s="24">
        <v>0</v>
      </c>
      <c r="V1143" s="24">
        <v>0</v>
      </c>
      <c r="W1143" s="24">
        <v>0</v>
      </c>
      <c r="X1143" s="24">
        <v>0</v>
      </c>
      <c r="Y1143" s="24">
        <v>0</v>
      </c>
      <c r="Z1143" s="24">
        <v>0</v>
      </c>
      <c r="AA1143" s="24">
        <v>0</v>
      </c>
      <c r="AB1143" s="24">
        <v>0</v>
      </c>
      <c r="AC1143" s="30">
        <f t="shared" si="353"/>
        <v>0</v>
      </c>
      <c r="AD1143" s="28"/>
      <c r="AE1143" s="12"/>
      <c r="AF1143" s="29"/>
      <c r="AG1143" s="9"/>
      <c r="AH1143" s="10"/>
      <c r="AI1143" s="9"/>
      <c r="AJ1143" s="11"/>
      <c r="AK1143" s="9"/>
      <c r="AL1143" s="13"/>
      <c r="AM1143" s="9"/>
    </row>
    <row r="1144" spans="1:39" x14ac:dyDescent="0.3">
      <c r="A1144" s="2" t="str">
        <f t="shared" si="351"/>
        <v>NÃO</v>
      </c>
      <c r="B1144" s="2" t="str">
        <f>_xlfn.XLOOKUP($N1144,'Base de Grupos'!$A:$A,'Base de Grupos'!$D:$D)</f>
        <v>1000065763</v>
      </c>
      <c r="C1144" s="5" t="str">
        <f>_xlfn.XLOOKUP($N1144,'Base de Grupos'!$A:$A,'Base de Grupos'!$E:$E)</f>
        <v>CANAL VENDA INTERNA</v>
      </c>
      <c r="D1144" s="5" t="str">
        <f>_xlfn.XLOOKUP($N1144,'Base de Grupos'!$A:$A,'Base de Grupos'!$F:$F)</f>
        <v>1000065763</v>
      </c>
      <c r="E1144" s="2" t="str">
        <f>_xlfn.XLOOKUP($N1144,'Base de Grupos'!$A:$A,'Base de Grupos'!$G:$G)</f>
        <v>CANAL VENDA INTERNA</v>
      </c>
      <c r="F1144" s="2" t="str">
        <f>_xlfn.XLOOKUP($N1144,'Base de Grupos'!$A:$A,'Base de Grupos'!$H:$H)</f>
        <v>1000174119</v>
      </c>
      <c r="G1144" s="5" t="str">
        <f>_xlfn.XLOOKUP($N1144,'Base de Grupos'!$A:$A,'Base de Grupos'!$I:$I)</f>
        <v>REGIONAL VENDA INTERNA - CONVENIENCIA</v>
      </c>
      <c r="H1144" s="5" t="str">
        <f>_xlfn.XLOOKUP($N1144,'Base de Grupos'!$A:$A,'Base de Grupos'!$J:$J)</f>
        <v>1000174119</v>
      </c>
      <c r="I1144" s="2" t="str">
        <f>_xlfn.XLOOKUP($N1144,'Base de Grupos'!$A:$A,'Base de Grupos'!$K:$K)</f>
        <v>REGIONAL VENDA INTERNA - CONVENIENCIA</v>
      </c>
      <c r="J1144" s="2" t="str">
        <f>_xlfn.XLOOKUP($N1144,'Base de Grupos'!$A:$A,'Base de Grupos'!$L:$L)</f>
        <v>1000174119</v>
      </c>
      <c r="K1144" s="5" t="str">
        <f>_xlfn.XLOOKUP($N1144,'Base de Grupos'!$A:$A,'Base de Grupos'!$M:$M)</f>
        <v>REGIONAL VENDA INTERNA - CONVENIENCIA</v>
      </c>
      <c r="L1144" s="5" t="str">
        <f t="shared" si="352"/>
        <v/>
      </c>
      <c r="M1144" s="5" t="str">
        <f>_xlfn.XLOOKUP($N1144,'Base de Grupos'!$A:$A,'Base de Grupos'!$C:$C)</f>
        <v>SC</v>
      </c>
      <c r="N1144" s="3">
        <v>1530</v>
      </c>
      <c r="O1144" s="4" t="s">
        <v>287</v>
      </c>
      <c r="P1144" s="5" t="s">
        <v>92</v>
      </c>
      <c r="Q1144" s="24">
        <v>0</v>
      </c>
      <c r="R1144" s="24">
        <v>0</v>
      </c>
      <c r="S1144" s="24">
        <v>0</v>
      </c>
      <c r="T1144" s="24">
        <v>0</v>
      </c>
      <c r="U1144" s="24">
        <v>0</v>
      </c>
      <c r="V1144" s="24">
        <v>0</v>
      </c>
      <c r="W1144" s="24">
        <v>0</v>
      </c>
      <c r="X1144" s="24">
        <v>0</v>
      </c>
      <c r="Y1144" s="24">
        <v>0</v>
      </c>
      <c r="Z1144" s="24">
        <v>0</v>
      </c>
      <c r="AA1144" s="24">
        <v>0</v>
      </c>
      <c r="AB1144" s="24">
        <v>0</v>
      </c>
      <c r="AC1144" s="30">
        <f t="shared" si="353"/>
        <v>0</v>
      </c>
      <c r="AD1144" s="28"/>
      <c r="AE1144" s="12"/>
      <c r="AF1144" s="29"/>
      <c r="AG1144" s="9"/>
      <c r="AH1144" s="10"/>
      <c r="AI1144" s="9"/>
      <c r="AJ1144" s="11"/>
      <c r="AK1144" s="9"/>
      <c r="AL1144" s="13"/>
      <c r="AM1144" s="9"/>
    </row>
    <row r="1145" spans="1:39" x14ac:dyDescent="0.3">
      <c r="A1145" s="2" t="str">
        <f t="shared" si="351"/>
        <v>NÃO</v>
      </c>
      <c r="B1145" s="2" t="str">
        <f>_xlfn.XLOOKUP($N1145,'Base de Grupos'!$A:$A,'Base de Grupos'!$D:$D)</f>
        <v>1000065763</v>
      </c>
      <c r="C1145" s="5" t="str">
        <f>_xlfn.XLOOKUP($N1145,'Base de Grupos'!$A:$A,'Base de Grupos'!$E:$E)</f>
        <v>CANAL VENDA INTERNA</v>
      </c>
      <c r="D1145" s="5" t="str">
        <f>_xlfn.XLOOKUP($N1145,'Base de Grupos'!$A:$A,'Base de Grupos'!$F:$F)</f>
        <v>1000065763</v>
      </c>
      <c r="E1145" s="2" t="str">
        <f>_xlfn.XLOOKUP($N1145,'Base de Grupos'!$A:$A,'Base de Grupos'!$G:$G)</f>
        <v>CANAL VENDA INTERNA</v>
      </c>
      <c r="F1145" s="2" t="str">
        <f>_xlfn.XLOOKUP($N1145,'Base de Grupos'!$A:$A,'Base de Grupos'!$H:$H)</f>
        <v>1000174119</v>
      </c>
      <c r="G1145" s="5" t="str">
        <f>_xlfn.XLOOKUP($N1145,'Base de Grupos'!$A:$A,'Base de Grupos'!$I:$I)</f>
        <v>REGIONAL VENDA INTERNA - CONVENIENCIA</v>
      </c>
      <c r="H1145" s="5" t="str">
        <f>_xlfn.XLOOKUP($N1145,'Base de Grupos'!$A:$A,'Base de Grupos'!$J:$J)</f>
        <v>1000174119</v>
      </c>
      <c r="I1145" s="2" t="str">
        <f>_xlfn.XLOOKUP($N1145,'Base de Grupos'!$A:$A,'Base de Grupos'!$K:$K)</f>
        <v>REGIONAL VENDA INTERNA - CONVENIENCIA</v>
      </c>
      <c r="J1145" s="2" t="str">
        <f>_xlfn.XLOOKUP($N1145,'Base de Grupos'!$A:$A,'Base de Grupos'!$L:$L)</f>
        <v>1000174119</v>
      </c>
      <c r="K1145" s="5" t="str">
        <f>_xlfn.XLOOKUP($N1145,'Base de Grupos'!$A:$A,'Base de Grupos'!$M:$M)</f>
        <v>REGIONAL VENDA INTERNA - CONVENIENCIA</v>
      </c>
      <c r="L1145" s="5" t="str">
        <f t="shared" si="352"/>
        <v/>
      </c>
      <c r="M1145" s="5" t="str">
        <f>_xlfn.XLOOKUP($N1145,'Base de Grupos'!$A:$A,'Base de Grupos'!$C:$C)</f>
        <v>SC</v>
      </c>
      <c r="N1145" s="3">
        <v>1530</v>
      </c>
      <c r="O1145" s="4" t="s">
        <v>287</v>
      </c>
      <c r="P1145" s="5" t="s">
        <v>86</v>
      </c>
      <c r="Q1145" s="24">
        <v>0</v>
      </c>
      <c r="R1145" s="24">
        <v>0</v>
      </c>
      <c r="S1145" s="24">
        <v>0</v>
      </c>
      <c r="T1145" s="24">
        <v>0</v>
      </c>
      <c r="U1145" s="24">
        <v>0</v>
      </c>
      <c r="V1145" s="24">
        <v>0</v>
      </c>
      <c r="W1145" s="24">
        <v>0</v>
      </c>
      <c r="X1145" s="24">
        <v>0</v>
      </c>
      <c r="Y1145" s="24">
        <v>0</v>
      </c>
      <c r="Z1145" s="24">
        <v>0</v>
      </c>
      <c r="AA1145" s="24">
        <v>0</v>
      </c>
      <c r="AB1145" s="24">
        <v>0</v>
      </c>
      <c r="AC1145" s="30">
        <f t="shared" si="353"/>
        <v>0</v>
      </c>
      <c r="AD1145" s="28"/>
      <c r="AE1145" s="12"/>
      <c r="AF1145" s="29"/>
      <c r="AG1145" s="9"/>
      <c r="AH1145" s="10"/>
      <c r="AI1145" s="9"/>
      <c r="AJ1145" s="11"/>
      <c r="AK1145" s="9"/>
      <c r="AL1145" s="13"/>
      <c r="AM1145" s="9"/>
    </row>
    <row r="1146" spans="1:39" x14ac:dyDescent="0.3">
      <c r="A1146" s="2" t="str">
        <f t="shared" si="351"/>
        <v>NÃO</v>
      </c>
      <c r="B1146" s="2" t="str">
        <f>_xlfn.XLOOKUP($N1146,'Base de Grupos'!$A:$A,'Base de Grupos'!$D:$D)</f>
        <v>1000065763</v>
      </c>
      <c r="C1146" s="5" t="str">
        <f>_xlfn.XLOOKUP($N1146,'Base de Grupos'!$A:$A,'Base de Grupos'!$E:$E)</f>
        <v>CANAL VENDA INTERNA</v>
      </c>
      <c r="D1146" s="5" t="str">
        <f>_xlfn.XLOOKUP($N1146,'Base de Grupos'!$A:$A,'Base de Grupos'!$F:$F)</f>
        <v>1000065763</v>
      </c>
      <c r="E1146" s="2" t="str">
        <f>_xlfn.XLOOKUP($N1146,'Base de Grupos'!$A:$A,'Base de Grupos'!$G:$G)</f>
        <v>CANAL VENDA INTERNA</v>
      </c>
      <c r="F1146" s="2" t="str">
        <f>_xlfn.XLOOKUP($N1146,'Base de Grupos'!$A:$A,'Base de Grupos'!$H:$H)</f>
        <v>1000174119</v>
      </c>
      <c r="G1146" s="5" t="str">
        <f>_xlfn.XLOOKUP($N1146,'Base de Grupos'!$A:$A,'Base de Grupos'!$I:$I)</f>
        <v>REGIONAL VENDA INTERNA - CONVENIENCIA</v>
      </c>
      <c r="H1146" s="5" t="str">
        <f>_xlfn.XLOOKUP($N1146,'Base de Grupos'!$A:$A,'Base de Grupos'!$J:$J)</f>
        <v>1000174119</v>
      </c>
      <c r="I1146" s="2" t="str">
        <f>_xlfn.XLOOKUP($N1146,'Base de Grupos'!$A:$A,'Base de Grupos'!$K:$K)</f>
        <v>REGIONAL VENDA INTERNA - CONVENIENCIA</v>
      </c>
      <c r="J1146" s="2" t="str">
        <f>_xlfn.XLOOKUP($N1146,'Base de Grupos'!$A:$A,'Base de Grupos'!$L:$L)</f>
        <v>1000174119</v>
      </c>
      <c r="K1146" s="5" t="str">
        <f>_xlfn.XLOOKUP($N1146,'Base de Grupos'!$A:$A,'Base de Grupos'!$M:$M)</f>
        <v>REGIONAL VENDA INTERNA - CONVENIENCIA</v>
      </c>
      <c r="L1146" s="5" t="str">
        <f t="shared" si="352"/>
        <v/>
      </c>
      <c r="M1146" s="5" t="str">
        <f>_xlfn.XLOOKUP($N1146,'Base de Grupos'!$A:$A,'Base de Grupos'!$C:$C)</f>
        <v>SC</v>
      </c>
      <c r="N1146" s="3">
        <v>1530</v>
      </c>
      <c r="O1146" s="4" t="s">
        <v>287</v>
      </c>
      <c r="P1146" s="5" t="s">
        <v>108</v>
      </c>
      <c r="Q1146" s="24">
        <v>0</v>
      </c>
      <c r="R1146" s="24">
        <v>0</v>
      </c>
      <c r="S1146" s="24">
        <v>0</v>
      </c>
      <c r="T1146" s="24">
        <v>0</v>
      </c>
      <c r="U1146" s="24">
        <v>0</v>
      </c>
      <c r="V1146" s="24">
        <v>0</v>
      </c>
      <c r="W1146" s="24">
        <v>0</v>
      </c>
      <c r="X1146" s="24">
        <v>0</v>
      </c>
      <c r="Y1146" s="24">
        <v>0</v>
      </c>
      <c r="Z1146" s="24">
        <v>0</v>
      </c>
      <c r="AA1146" s="24">
        <v>0</v>
      </c>
      <c r="AB1146" s="24">
        <v>0</v>
      </c>
      <c r="AC1146" s="30">
        <f t="shared" si="353"/>
        <v>0</v>
      </c>
      <c r="AD1146" s="28"/>
      <c r="AE1146" s="12"/>
      <c r="AF1146" s="29"/>
      <c r="AG1146" s="9"/>
      <c r="AH1146" s="10"/>
      <c r="AI1146" s="9"/>
      <c r="AJ1146" s="11"/>
      <c r="AK1146" s="9"/>
      <c r="AL1146" s="13"/>
      <c r="AM1146" s="9"/>
    </row>
    <row r="1147" spans="1:39" x14ac:dyDescent="0.3">
      <c r="A1147" s="2" t="str">
        <f t="shared" si="351"/>
        <v>NÃO</v>
      </c>
      <c r="B1147" s="2" t="str">
        <f>_xlfn.XLOOKUP($N1147,'Base de Grupos'!$A:$A,'Base de Grupos'!$D:$D)</f>
        <v>1000065763</v>
      </c>
      <c r="C1147" s="5" t="str">
        <f>_xlfn.XLOOKUP($N1147,'Base de Grupos'!$A:$A,'Base de Grupos'!$E:$E)</f>
        <v>CANAL VENDA INTERNA</v>
      </c>
      <c r="D1147" s="5" t="str">
        <f>_xlfn.XLOOKUP($N1147,'Base de Grupos'!$A:$A,'Base de Grupos'!$F:$F)</f>
        <v>1000065763</v>
      </c>
      <c r="E1147" s="2" t="str">
        <f>_xlfn.XLOOKUP($N1147,'Base de Grupos'!$A:$A,'Base de Grupos'!$G:$G)</f>
        <v>CANAL VENDA INTERNA</v>
      </c>
      <c r="F1147" s="2" t="str">
        <f>_xlfn.XLOOKUP($N1147,'Base de Grupos'!$A:$A,'Base de Grupos'!$H:$H)</f>
        <v>1000174119</v>
      </c>
      <c r="G1147" s="5" t="str">
        <f>_xlfn.XLOOKUP($N1147,'Base de Grupos'!$A:$A,'Base de Grupos'!$I:$I)</f>
        <v>REGIONAL VENDA INTERNA - CONVENIENCIA</v>
      </c>
      <c r="H1147" s="5" t="str">
        <f>_xlfn.XLOOKUP($N1147,'Base de Grupos'!$A:$A,'Base de Grupos'!$J:$J)</f>
        <v>1000174119</v>
      </c>
      <c r="I1147" s="2" t="str">
        <f>_xlfn.XLOOKUP($N1147,'Base de Grupos'!$A:$A,'Base de Grupos'!$K:$K)</f>
        <v>REGIONAL VENDA INTERNA - CONVENIENCIA</v>
      </c>
      <c r="J1147" s="2" t="str">
        <f>_xlfn.XLOOKUP($N1147,'Base de Grupos'!$A:$A,'Base de Grupos'!$L:$L)</f>
        <v>1000174119</v>
      </c>
      <c r="K1147" s="5" t="str">
        <f>_xlfn.XLOOKUP($N1147,'Base de Grupos'!$A:$A,'Base de Grupos'!$M:$M)</f>
        <v>REGIONAL VENDA INTERNA - CONVENIENCIA</v>
      </c>
      <c r="L1147" s="5" t="str">
        <f t="shared" si="352"/>
        <v/>
      </c>
      <c r="M1147" s="5" t="str">
        <f>_xlfn.XLOOKUP($N1147,'Base de Grupos'!$A:$A,'Base de Grupos'!$C:$C)</f>
        <v>SC</v>
      </c>
      <c r="N1147" s="3">
        <v>1530</v>
      </c>
      <c r="O1147" s="4" t="s">
        <v>287</v>
      </c>
      <c r="P1147" s="5" t="s">
        <v>89</v>
      </c>
      <c r="Q1147" s="24">
        <v>0</v>
      </c>
      <c r="R1147" s="24">
        <v>0</v>
      </c>
      <c r="S1147" s="24">
        <v>0</v>
      </c>
      <c r="T1147" s="24">
        <v>0</v>
      </c>
      <c r="U1147" s="24">
        <v>0</v>
      </c>
      <c r="V1147" s="24">
        <v>0</v>
      </c>
      <c r="W1147" s="24">
        <v>0</v>
      </c>
      <c r="X1147" s="24">
        <v>0</v>
      </c>
      <c r="Y1147" s="24">
        <v>0</v>
      </c>
      <c r="Z1147" s="24">
        <v>0</v>
      </c>
      <c r="AA1147" s="24">
        <v>0</v>
      </c>
      <c r="AB1147" s="24">
        <v>0</v>
      </c>
      <c r="AC1147" s="30">
        <f t="shared" si="353"/>
        <v>0</v>
      </c>
      <c r="AD1147" s="28"/>
      <c r="AE1147" s="12"/>
      <c r="AF1147" s="29"/>
      <c r="AG1147" s="9"/>
      <c r="AH1147" s="10"/>
      <c r="AI1147" s="9"/>
      <c r="AJ1147" s="11"/>
      <c r="AK1147" s="9"/>
      <c r="AL1147" s="13"/>
      <c r="AM1147" s="9"/>
    </row>
    <row r="1148" spans="1:39" x14ac:dyDescent="0.3">
      <c r="A1148" s="2" t="str">
        <f t="shared" si="351"/>
        <v>NÃO</v>
      </c>
      <c r="B1148" s="2" t="str">
        <f>_xlfn.XLOOKUP($N1148,'Base de Grupos'!$A:$A,'Base de Grupos'!$D:$D)</f>
        <v>1000065763</v>
      </c>
      <c r="C1148" s="5" t="str">
        <f>_xlfn.XLOOKUP($N1148,'Base de Grupos'!$A:$A,'Base de Grupos'!$E:$E)</f>
        <v>CANAL VENDA INTERNA</v>
      </c>
      <c r="D1148" s="5" t="str">
        <f>_xlfn.XLOOKUP($N1148,'Base de Grupos'!$A:$A,'Base de Grupos'!$F:$F)</f>
        <v>1000065763</v>
      </c>
      <c r="E1148" s="2" t="str">
        <f>_xlfn.XLOOKUP($N1148,'Base de Grupos'!$A:$A,'Base de Grupos'!$G:$G)</f>
        <v>CANAL VENDA INTERNA</v>
      </c>
      <c r="F1148" s="2" t="str">
        <f>_xlfn.XLOOKUP($N1148,'Base de Grupos'!$A:$A,'Base de Grupos'!$H:$H)</f>
        <v>1000174119</v>
      </c>
      <c r="G1148" s="5" t="str">
        <f>_xlfn.XLOOKUP($N1148,'Base de Grupos'!$A:$A,'Base de Grupos'!$I:$I)</f>
        <v>REGIONAL VENDA INTERNA - CONVENIENCIA</v>
      </c>
      <c r="H1148" s="5" t="str">
        <f>_xlfn.XLOOKUP($N1148,'Base de Grupos'!$A:$A,'Base de Grupos'!$J:$J)</f>
        <v>1000174119</v>
      </c>
      <c r="I1148" s="2" t="str">
        <f>_xlfn.XLOOKUP($N1148,'Base de Grupos'!$A:$A,'Base de Grupos'!$K:$K)</f>
        <v>REGIONAL VENDA INTERNA - CONVENIENCIA</v>
      </c>
      <c r="J1148" s="2" t="str">
        <f>_xlfn.XLOOKUP($N1148,'Base de Grupos'!$A:$A,'Base de Grupos'!$L:$L)</f>
        <v>1000174119</v>
      </c>
      <c r="K1148" s="5" t="str">
        <f>_xlfn.XLOOKUP($N1148,'Base de Grupos'!$A:$A,'Base de Grupos'!$M:$M)</f>
        <v>REGIONAL VENDA INTERNA - CONVENIENCIA</v>
      </c>
      <c r="L1148" s="5" t="str">
        <f t="shared" si="352"/>
        <v/>
      </c>
      <c r="M1148" s="5" t="str">
        <f>_xlfn.XLOOKUP($N1148,'Base de Grupos'!$A:$A,'Base de Grupos'!$C:$C)</f>
        <v>SC</v>
      </c>
      <c r="N1148" s="3">
        <v>1530</v>
      </c>
      <c r="O1148" s="4" t="s">
        <v>287</v>
      </c>
      <c r="P1148" s="5" t="s">
        <v>88</v>
      </c>
      <c r="Q1148" s="24">
        <v>0</v>
      </c>
      <c r="R1148" s="24">
        <v>0</v>
      </c>
      <c r="S1148" s="24">
        <v>0</v>
      </c>
      <c r="T1148" s="24">
        <v>0</v>
      </c>
      <c r="U1148" s="24">
        <v>0</v>
      </c>
      <c r="V1148" s="24">
        <v>0</v>
      </c>
      <c r="W1148" s="24">
        <v>0</v>
      </c>
      <c r="X1148" s="24">
        <v>0</v>
      </c>
      <c r="Y1148" s="24">
        <v>0</v>
      </c>
      <c r="Z1148" s="24">
        <v>0</v>
      </c>
      <c r="AA1148" s="24">
        <v>0</v>
      </c>
      <c r="AB1148" s="24">
        <v>0</v>
      </c>
      <c r="AC1148" s="30">
        <f t="shared" si="353"/>
        <v>0</v>
      </c>
      <c r="AD1148" s="28"/>
      <c r="AE1148" s="12"/>
      <c r="AF1148" s="29"/>
      <c r="AG1148" s="9"/>
      <c r="AH1148" s="10"/>
      <c r="AI1148" s="9"/>
      <c r="AJ1148" s="11"/>
      <c r="AK1148" s="9"/>
      <c r="AL1148" s="13"/>
      <c r="AM1148" s="9"/>
    </row>
    <row r="1149" spans="1:39" x14ac:dyDescent="0.3">
      <c r="A1149" s="2" t="str">
        <f t="shared" si="351"/>
        <v>NÃO</v>
      </c>
      <c r="B1149" s="2" t="str">
        <f>_xlfn.XLOOKUP($N1149,'Base de Grupos'!$A:$A,'Base de Grupos'!$D:$D)</f>
        <v>1000065763</v>
      </c>
      <c r="C1149" s="5" t="str">
        <f>_xlfn.XLOOKUP($N1149,'Base de Grupos'!$A:$A,'Base de Grupos'!$E:$E)</f>
        <v>CANAL VENDA INTERNA</v>
      </c>
      <c r="D1149" s="5" t="str">
        <f>_xlfn.XLOOKUP($N1149,'Base de Grupos'!$A:$A,'Base de Grupos'!$F:$F)</f>
        <v>1000065763</v>
      </c>
      <c r="E1149" s="2" t="str">
        <f>_xlfn.XLOOKUP($N1149,'Base de Grupos'!$A:$A,'Base de Grupos'!$G:$G)</f>
        <v>CANAL VENDA INTERNA</v>
      </c>
      <c r="F1149" s="2" t="str">
        <f>_xlfn.XLOOKUP($N1149,'Base de Grupos'!$A:$A,'Base de Grupos'!$H:$H)</f>
        <v>1000174119</v>
      </c>
      <c r="G1149" s="5" t="str">
        <f>_xlfn.XLOOKUP($N1149,'Base de Grupos'!$A:$A,'Base de Grupos'!$I:$I)</f>
        <v>REGIONAL VENDA INTERNA - CONVENIENCIA</v>
      </c>
      <c r="H1149" s="5" t="str">
        <f>_xlfn.XLOOKUP($N1149,'Base de Grupos'!$A:$A,'Base de Grupos'!$J:$J)</f>
        <v>1000174119</v>
      </c>
      <c r="I1149" s="2" t="str">
        <f>_xlfn.XLOOKUP($N1149,'Base de Grupos'!$A:$A,'Base de Grupos'!$K:$K)</f>
        <v>REGIONAL VENDA INTERNA - CONVENIENCIA</v>
      </c>
      <c r="J1149" s="2" t="str">
        <f>_xlfn.XLOOKUP($N1149,'Base de Grupos'!$A:$A,'Base de Grupos'!$L:$L)</f>
        <v>1000174119</v>
      </c>
      <c r="K1149" s="5" t="str">
        <f>_xlfn.XLOOKUP($N1149,'Base de Grupos'!$A:$A,'Base de Grupos'!$M:$M)</f>
        <v>REGIONAL VENDA INTERNA - CONVENIENCIA</v>
      </c>
      <c r="L1149" s="5" t="str">
        <f t="shared" si="352"/>
        <v/>
      </c>
      <c r="M1149" s="5" t="str">
        <f>_xlfn.XLOOKUP($N1149,'Base de Grupos'!$A:$A,'Base de Grupos'!$C:$C)</f>
        <v>SC</v>
      </c>
      <c r="N1149" s="3">
        <v>1530</v>
      </c>
      <c r="O1149" s="4" t="s">
        <v>287</v>
      </c>
      <c r="P1149" s="5" t="s">
        <v>90</v>
      </c>
      <c r="Q1149" s="24">
        <v>0</v>
      </c>
      <c r="R1149" s="24">
        <v>0</v>
      </c>
      <c r="S1149" s="24">
        <v>0</v>
      </c>
      <c r="T1149" s="24">
        <v>0</v>
      </c>
      <c r="U1149" s="24">
        <v>0</v>
      </c>
      <c r="V1149" s="24">
        <v>0</v>
      </c>
      <c r="W1149" s="24">
        <v>0</v>
      </c>
      <c r="X1149" s="24">
        <v>0</v>
      </c>
      <c r="Y1149" s="24">
        <v>0</v>
      </c>
      <c r="Z1149" s="24">
        <v>0</v>
      </c>
      <c r="AA1149" s="24">
        <v>0</v>
      </c>
      <c r="AB1149" s="24">
        <v>0</v>
      </c>
      <c r="AC1149" s="30">
        <f t="shared" si="353"/>
        <v>0</v>
      </c>
      <c r="AD1149" s="28"/>
      <c r="AE1149" s="12"/>
      <c r="AF1149" s="29"/>
      <c r="AG1149" s="9"/>
      <c r="AH1149" s="10"/>
      <c r="AI1149" s="9"/>
      <c r="AJ1149" s="11"/>
      <c r="AK1149" s="9"/>
      <c r="AL1149" s="13"/>
      <c r="AM1149" s="9"/>
    </row>
    <row r="1150" spans="1:39" x14ac:dyDescent="0.3">
      <c r="A1150" s="2" t="str">
        <f t="shared" si="351"/>
        <v>NÃO</v>
      </c>
      <c r="B1150" s="2" t="str">
        <f>_xlfn.XLOOKUP($N1150,'Base de Grupos'!$A:$A,'Base de Grupos'!$D:$D)</f>
        <v>1000065763</v>
      </c>
      <c r="C1150" s="5" t="str">
        <f>_xlfn.XLOOKUP($N1150,'Base de Grupos'!$A:$A,'Base de Grupos'!$E:$E)</f>
        <v>CANAL VENDA INTERNA</v>
      </c>
      <c r="D1150" s="5" t="str">
        <f>_xlfn.XLOOKUP($N1150,'Base de Grupos'!$A:$A,'Base de Grupos'!$F:$F)</f>
        <v>1000065763</v>
      </c>
      <c r="E1150" s="2" t="str">
        <f>_xlfn.XLOOKUP($N1150,'Base de Grupos'!$A:$A,'Base de Grupos'!$G:$G)</f>
        <v>CANAL VENDA INTERNA</v>
      </c>
      <c r="F1150" s="2" t="str">
        <f>_xlfn.XLOOKUP($N1150,'Base de Grupos'!$A:$A,'Base de Grupos'!$H:$H)</f>
        <v>1000174119</v>
      </c>
      <c r="G1150" s="5" t="str">
        <f>_xlfn.XLOOKUP($N1150,'Base de Grupos'!$A:$A,'Base de Grupos'!$I:$I)</f>
        <v>REGIONAL VENDA INTERNA - CONVENIENCIA</v>
      </c>
      <c r="H1150" s="5" t="str">
        <f>_xlfn.XLOOKUP($N1150,'Base de Grupos'!$A:$A,'Base de Grupos'!$J:$J)</f>
        <v>1000174119</v>
      </c>
      <c r="I1150" s="2" t="str">
        <f>_xlfn.XLOOKUP($N1150,'Base de Grupos'!$A:$A,'Base de Grupos'!$K:$K)</f>
        <v>REGIONAL VENDA INTERNA - CONVENIENCIA</v>
      </c>
      <c r="J1150" s="2" t="str">
        <f>_xlfn.XLOOKUP($N1150,'Base de Grupos'!$A:$A,'Base de Grupos'!$L:$L)</f>
        <v>1000174119</v>
      </c>
      <c r="K1150" s="5" t="str">
        <f>_xlfn.XLOOKUP($N1150,'Base de Grupos'!$A:$A,'Base de Grupos'!$M:$M)</f>
        <v>REGIONAL VENDA INTERNA - CONVENIENCIA</v>
      </c>
      <c r="L1150" s="5" t="str">
        <f t="shared" si="352"/>
        <v/>
      </c>
      <c r="M1150" s="5" t="str">
        <f>_xlfn.XLOOKUP($N1150,'Base de Grupos'!$A:$A,'Base de Grupos'!$C:$C)</f>
        <v>SC</v>
      </c>
      <c r="N1150" s="3">
        <v>1530</v>
      </c>
      <c r="O1150" s="4" t="s">
        <v>287</v>
      </c>
      <c r="P1150" s="5" t="s">
        <v>91</v>
      </c>
      <c r="Q1150" s="24">
        <v>0</v>
      </c>
      <c r="R1150" s="24">
        <v>0</v>
      </c>
      <c r="S1150" s="24">
        <v>0</v>
      </c>
      <c r="T1150" s="24">
        <v>0</v>
      </c>
      <c r="U1150" s="24">
        <v>0</v>
      </c>
      <c r="V1150" s="24">
        <v>0</v>
      </c>
      <c r="W1150" s="24">
        <v>0</v>
      </c>
      <c r="X1150" s="24">
        <v>0</v>
      </c>
      <c r="Y1150" s="24">
        <v>0</v>
      </c>
      <c r="Z1150" s="24">
        <v>0</v>
      </c>
      <c r="AA1150" s="24">
        <v>0</v>
      </c>
      <c r="AB1150" s="24">
        <v>0</v>
      </c>
      <c r="AC1150" s="30">
        <f t="shared" si="353"/>
        <v>0</v>
      </c>
      <c r="AD1150" s="28"/>
      <c r="AE1150" s="12"/>
      <c r="AF1150" s="29"/>
      <c r="AG1150" s="9"/>
      <c r="AH1150" s="10"/>
      <c r="AI1150" s="9"/>
      <c r="AJ1150" s="11"/>
      <c r="AK1150" s="9"/>
      <c r="AL1150" s="13"/>
      <c r="AM1150" s="9"/>
    </row>
    <row r="1151" spans="1:39" x14ac:dyDescent="0.3">
      <c r="A1151" s="2" t="str">
        <f t="shared" si="351"/>
        <v>NÃO</v>
      </c>
      <c r="B1151" s="2" t="str">
        <f>_xlfn.XLOOKUP($N1151,'Base de Grupos'!$A:$A,'Base de Grupos'!$D:$D)</f>
        <v>1000065763</v>
      </c>
      <c r="C1151" s="5" t="str">
        <f>_xlfn.XLOOKUP($N1151,'Base de Grupos'!$A:$A,'Base de Grupos'!$E:$E)</f>
        <v>CANAL VENDA INTERNA</v>
      </c>
      <c r="D1151" s="5" t="str">
        <f>_xlfn.XLOOKUP($N1151,'Base de Grupos'!$A:$A,'Base de Grupos'!$F:$F)</f>
        <v>1000065763</v>
      </c>
      <c r="E1151" s="2" t="str">
        <f>_xlfn.XLOOKUP($N1151,'Base de Grupos'!$A:$A,'Base de Grupos'!$G:$G)</f>
        <v>CANAL VENDA INTERNA</v>
      </c>
      <c r="F1151" s="2" t="str">
        <f>_xlfn.XLOOKUP($N1151,'Base de Grupos'!$A:$A,'Base de Grupos'!$H:$H)</f>
        <v>1000174119</v>
      </c>
      <c r="G1151" s="5" t="str">
        <f>_xlfn.XLOOKUP($N1151,'Base de Grupos'!$A:$A,'Base de Grupos'!$I:$I)</f>
        <v>REGIONAL VENDA INTERNA - CONVENIENCIA</v>
      </c>
      <c r="H1151" s="5" t="str">
        <f>_xlfn.XLOOKUP($N1151,'Base de Grupos'!$A:$A,'Base de Grupos'!$J:$J)</f>
        <v>1000174119</v>
      </c>
      <c r="I1151" s="2" t="str">
        <f>_xlfn.XLOOKUP($N1151,'Base de Grupos'!$A:$A,'Base de Grupos'!$K:$K)</f>
        <v>REGIONAL VENDA INTERNA - CONVENIENCIA</v>
      </c>
      <c r="J1151" s="2" t="str">
        <f>_xlfn.XLOOKUP($N1151,'Base de Grupos'!$A:$A,'Base de Grupos'!$L:$L)</f>
        <v>1000174119</v>
      </c>
      <c r="K1151" s="5" t="str">
        <f>_xlfn.XLOOKUP($N1151,'Base de Grupos'!$A:$A,'Base de Grupos'!$M:$M)</f>
        <v>REGIONAL VENDA INTERNA - CONVENIENCIA</v>
      </c>
      <c r="L1151" s="5" t="str">
        <f t="shared" si="352"/>
        <v/>
      </c>
      <c r="M1151" s="5" t="str">
        <f>_xlfn.XLOOKUP($N1151,'Base de Grupos'!$A:$A,'Base de Grupos'!$C:$C)</f>
        <v>SC</v>
      </c>
      <c r="N1151" s="3">
        <v>1530</v>
      </c>
      <c r="O1151" s="4" t="s">
        <v>287</v>
      </c>
      <c r="P1151" s="5" t="s">
        <v>96</v>
      </c>
      <c r="Q1151" s="24">
        <v>0</v>
      </c>
      <c r="R1151" s="24">
        <v>0</v>
      </c>
      <c r="S1151" s="24">
        <v>0</v>
      </c>
      <c r="T1151" s="24">
        <v>0</v>
      </c>
      <c r="U1151" s="24">
        <v>0</v>
      </c>
      <c r="V1151" s="24">
        <v>0</v>
      </c>
      <c r="W1151" s="24">
        <v>0</v>
      </c>
      <c r="X1151" s="24">
        <v>0</v>
      </c>
      <c r="Y1151" s="24">
        <v>0</v>
      </c>
      <c r="Z1151" s="24">
        <v>0</v>
      </c>
      <c r="AA1151" s="24">
        <v>0</v>
      </c>
      <c r="AB1151" s="24">
        <v>0</v>
      </c>
      <c r="AC1151" s="30">
        <f t="shared" si="353"/>
        <v>0</v>
      </c>
      <c r="AD1151" s="28"/>
      <c r="AE1151" s="12"/>
      <c r="AF1151" s="29"/>
      <c r="AG1151" s="9"/>
      <c r="AH1151" s="10"/>
      <c r="AI1151" s="9"/>
      <c r="AJ1151" s="11"/>
      <c r="AK1151" s="9"/>
      <c r="AL1151" s="13"/>
      <c r="AM1151" s="9"/>
    </row>
    <row r="1152" spans="1:39" x14ac:dyDescent="0.3">
      <c r="A1152" s="2" t="str">
        <f t="shared" si="351"/>
        <v>NÃO</v>
      </c>
      <c r="B1152" s="2" t="str">
        <f>_xlfn.XLOOKUP($N1152,'Base de Grupos'!$A:$A,'Base de Grupos'!$D:$D)</f>
        <v>1000065763</v>
      </c>
      <c r="C1152" s="5" t="str">
        <f>_xlfn.XLOOKUP($N1152,'Base de Grupos'!$A:$A,'Base de Grupos'!$E:$E)</f>
        <v>CANAL VENDA INTERNA</v>
      </c>
      <c r="D1152" s="5" t="str">
        <f>_xlfn.XLOOKUP($N1152,'Base de Grupos'!$A:$A,'Base de Grupos'!$F:$F)</f>
        <v>1000065763</v>
      </c>
      <c r="E1152" s="2" t="str">
        <f>_xlfn.XLOOKUP($N1152,'Base de Grupos'!$A:$A,'Base de Grupos'!$G:$G)</f>
        <v>CANAL VENDA INTERNA</v>
      </c>
      <c r="F1152" s="2" t="str">
        <f>_xlfn.XLOOKUP($N1152,'Base de Grupos'!$A:$A,'Base de Grupos'!$H:$H)</f>
        <v>1000174119</v>
      </c>
      <c r="G1152" s="5" t="str">
        <f>_xlfn.XLOOKUP($N1152,'Base de Grupos'!$A:$A,'Base de Grupos'!$I:$I)</f>
        <v>REGIONAL VENDA INTERNA - CONVENIENCIA</v>
      </c>
      <c r="H1152" s="5" t="str">
        <f>_xlfn.XLOOKUP($N1152,'Base de Grupos'!$A:$A,'Base de Grupos'!$J:$J)</f>
        <v>1000174119</v>
      </c>
      <c r="I1152" s="2" t="str">
        <f>_xlfn.XLOOKUP($N1152,'Base de Grupos'!$A:$A,'Base de Grupos'!$K:$K)</f>
        <v>REGIONAL VENDA INTERNA - CONVENIENCIA</v>
      </c>
      <c r="J1152" s="2" t="str">
        <f>_xlfn.XLOOKUP($N1152,'Base de Grupos'!$A:$A,'Base de Grupos'!$L:$L)</f>
        <v>1000174119</v>
      </c>
      <c r="K1152" s="5" t="str">
        <f>_xlfn.XLOOKUP($N1152,'Base de Grupos'!$A:$A,'Base de Grupos'!$M:$M)</f>
        <v>REGIONAL VENDA INTERNA - CONVENIENCIA</v>
      </c>
      <c r="L1152" s="5" t="str">
        <f t="shared" si="352"/>
        <v/>
      </c>
      <c r="M1152" s="5" t="str">
        <f>_xlfn.XLOOKUP($N1152,'Base de Grupos'!$A:$A,'Base de Grupos'!$C:$C)</f>
        <v>SC</v>
      </c>
      <c r="N1152" s="3">
        <v>1530</v>
      </c>
      <c r="O1152" s="4" t="s">
        <v>287</v>
      </c>
      <c r="P1152" s="5" t="s">
        <v>94</v>
      </c>
      <c r="Q1152" s="24">
        <v>0</v>
      </c>
      <c r="R1152" s="24">
        <v>0</v>
      </c>
      <c r="S1152" s="24">
        <v>0</v>
      </c>
      <c r="T1152" s="24">
        <v>0</v>
      </c>
      <c r="U1152" s="24">
        <v>0</v>
      </c>
      <c r="V1152" s="24">
        <v>0</v>
      </c>
      <c r="W1152" s="24">
        <v>0</v>
      </c>
      <c r="X1152" s="24">
        <v>0</v>
      </c>
      <c r="Y1152" s="24">
        <v>0</v>
      </c>
      <c r="Z1152" s="24">
        <v>0</v>
      </c>
      <c r="AA1152" s="24">
        <v>0</v>
      </c>
      <c r="AB1152" s="24">
        <v>0</v>
      </c>
      <c r="AC1152" s="30">
        <f t="shared" si="353"/>
        <v>0</v>
      </c>
      <c r="AD1152" s="28"/>
      <c r="AE1152" s="12"/>
      <c r="AF1152" s="29"/>
      <c r="AG1152" s="9"/>
      <c r="AH1152" s="10"/>
      <c r="AI1152" s="9"/>
      <c r="AJ1152" s="11"/>
      <c r="AK1152" s="9"/>
      <c r="AL1152" s="13"/>
      <c r="AM1152" s="9"/>
    </row>
    <row r="1153" spans="1:39" x14ac:dyDescent="0.3">
      <c r="A1153" s="2" t="str">
        <f t="shared" si="351"/>
        <v>NÃO</v>
      </c>
      <c r="B1153" s="2" t="str">
        <f>_xlfn.XLOOKUP($N1153,'Base de Grupos'!$A:$A,'Base de Grupos'!$D:$D)</f>
        <v>1000065763</v>
      </c>
      <c r="C1153" s="5" t="str">
        <f>_xlfn.XLOOKUP($N1153,'Base de Grupos'!$A:$A,'Base de Grupos'!$E:$E)</f>
        <v>CANAL VENDA INTERNA</v>
      </c>
      <c r="D1153" s="5" t="str">
        <f>_xlfn.XLOOKUP($N1153,'Base de Grupos'!$A:$A,'Base de Grupos'!$F:$F)</f>
        <v>1000065763</v>
      </c>
      <c r="E1153" s="2" t="str">
        <f>_xlfn.XLOOKUP($N1153,'Base de Grupos'!$A:$A,'Base de Grupos'!$G:$G)</f>
        <v>CANAL VENDA INTERNA</v>
      </c>
      <c r="F1153" s="2" t="str">
        <f>_xlfn.XLOOKUP($N1153,'Base de Grupos'!$A:$A,'Base de Grupos'!$H:$H)</f>
        <v>1000174119</v>
      </c>
      <c r="G1153" s="5" t="str">
        <f>_xlfn.XLOOKUP($N1153,'Base de Grupos'!$A:$A,'Base de Grupos'!$I:$I)</f>
        <v>REGIONAL VENDA INTERNA - CONVENIENCIA</v>
      </c>
      <c r="H1153" s="5" t="str">
        <f>_xlfn.XLOOKUP($N1153,'Base de Grupos'!$A:$A,'Base de Grupos'!$J:$J)</f>
        <v>1000174119</v>
      </c>
      <c r="I1153" s="2" t="str">
        <f>_xlfn.XLOOKUP($N1153,'Base de Grupos'!$A:$A,'Base de Grupos'!$K:$K)</f>
        <v>REGIONAL VENDA INTERNA - CONVENIENCIA</v>
      </c>
      <c r="J1153" s="2" t="str">
        <f>_xlfn.XLOOKUP($N1153,'Base de Grupos'!$A:$A,'Base de Grupos'!$L:$L)</f>
        <v>1000174119</v>
      </c>
      <c r="K1153" s="5" t="str">
        <f>_xlfn.XLOOKUP($N1153,'Base de Grupos'!$A:$A,'Base de Grupos'!$M:$M)</f>
        <v>REGIONAL VENDA INTERNA - CONVENIENCIA</v>
      </c>
      <c r="L1153" s="5" t="str">
        <f t="shared" si="352"/>
        <v/>
      </c>
      <c r="M1153" s="5" t="str">
        <f>_xlfn.XLOOKUP($N1153,'Base de Grupos'!$A:$A,'Base de Grupos'!$C:$C)</f>
        <v>SC</v>
      </c>
      <c r="N1153" s="3">
        <v>1530</v>
      </c>
      <c r="O1153" s="4" t="s">
        <v>287</v>
      </c>
      <c r="P1153" s="5" t="s">
        <v>95</v>
      </c>
      <c r="Q1153" s="24">
        <v>0</v>
      </c>
      <c r="R1153" s="24">
        <v>0</v>
      </c>
      <c r="S1153" s="24">
        <v>0</v>
      </c>
      <c r="T1153" s="24">
        <v>0</v>
      </c>
      <c r="U1153" s="24">
        <v>0</v>
      </c>
      <c r="V1153" s="24">
        <v>0</v>
      </c>
      <c r="W1153" s="24">
        <v>0</v>
      </c>
      <c r="X1153" s="24">
        <v>0</v>
      </c>
      <c r="Y1153" s="24">
        <v>0</v>
      </c>
      <c r="Z1153" s="24">
        <v>0</v>
      </c>
      <c r="AA1153" s="24">
        <v>0</v>
      </c>
      <c r="AB1153" s="24">
        <v>0</v>
      </c>
      <c r="AC1153" s="30">
        <f t="shared" si="353"/>
        <v>0</v>
      </c>
      <c r="AD1153" s="28"/>
      <c r="AE1153" s="12"/>
      <c r="AF1153" s="29"/>
      <c r="AG1153" s="9"/>
      <c r="AH1153" s="10"/>
      <c r="AI1153" s="9"/>
      <c r="AJ1153" s="11"/>
      <c r="AK1153" s="9"/>
      <c r="AL1153" s="13"/>
      <c r="AM1153" s="9"/>
    </row>
    <row r="1154" spans="1:39" x14ac:dyDescent="0.3">
      <c r="A1154" s="2" t="str">
        <f t="shared" si="351"/>
        <v>NÃO</v>
      </c>
      <c r="B1154" s="2" t="str">
        <f>_xlfn.XLOOKUP($N1154,'Base de Grupos'!$A:$A,'Base de Grupos'!$D:$D)</f>
        <v>1000065763</v>
      </c>
      <c r="C1154" s="5" t="str">
        <f>_xlfn.XLOOKUP($N1154,'Base de Grupos'!$A:$A,'Base de Grupos'!$E:$E)</f>
        <v>CANAL VENDA INTERNA</v>
      </c>
      <c r="D1154" s="5" t="str">
        <f>_xlfn.XLOOKUP($N1154,'Base de Grupos'!$A:$A,'Base de Grupos'!$F:$F)</f>
        <v>1000065763</v>
      </c>
      <c r="E1154" s="2" t="str">
        <f>_xlfn.XLOOKUP($N1154,'Base de Grupos'!$A:$A,'Base de Grupos'!$G:$G)</f>
        <v>CANAL VENDA INTERNA</v>
      </c>
      <c r="F1154" s="2" t="str">
        <f>_xlfn.XLOOKUP($N1154,'Base de Grupos'!$A:$A,'Base de Grupos'!$H:$H)</f>
        <v>1000174119</v>
      </c>
      <c r="G1154" s="5" t="str">
        <f>_xlfn.XLOOKUP($N1154,'Base de Grupos'!$A:$A,'Base de Grupos'!$I:$I)</f>
        <v>REGIONAL VENDA INTERNA - CONVENIENCIA</v>
      </c>
      <c r="H1154" s="5" t="str">
        <f>_xlfn.XLOOKUP($N1154,'Base de Grupos'!$A:$A,'Base de Grupos'!$J:$J)</f>
        <v>1000174119</v>
      </c>
      <c r="I1154" s="2" t="str">
        <f>_xlfn.XLOOKUP($N1154,'Base de Grupos'!$A:$A,'Base de Grupos'!$K:$K)</f>
        <v>REGIONAL VENDA INTERNA - CONVENIENCIA</v>
      </c>
      <c r="J1154" s="2" t="str">
        <f>_xlfn.XLOOKUP($N1154,'Base de Grupos'!$A:$A,'Base de Grupos'!$L:$L)</f>
        <v>1000174119</v>
      </c>
      <c r="K1154" s="5" t="str">
        <f>_xlfn.XLOOKUP($N1154,'Base de Grupos'!$A:$A,'Base de Grupos'!$M:$M)</f>
        <v>REGIONAL VENDA INTERNA - CONVENIENCIA</v>
      </c>
      <c r="L1154" s="5" t="str">
        <f t="shared" si="352"/>
        <v/>
      </c>
      <c r="M1154" s="5" t="str">
        <f>_xlfn.XLOOKUP($N1154,'Base de Grupos'!$A:$A,'Base de Grupos'!$C:$C)</f>
        <v>SC</v>
      </c>
      <c r="N1154" s="3">
        <v>1530</v>
      </c>
      <c r="O1154" s="4" t="s">
        <v>287</v>
      </c>
      <c r="P1154" s="5" t="s">
        <v>93</v>
      </c>
      <c r="Q1154" s="24">
        <v>0</v>
      </c>
      <c r="R1154" s="24">
        <v>0</v>
      </c>
      <c r="S1154" s="24">
        <v>0</v>
      </c>
      <c r="T1154" s="24">
        <v>0</v>
      </c>
      <c r="U1154" s="24">
        <v>0</v>
      </c>
      <c r="V1154" s="24">
        <v>0</v>
      </c>
      <c r="W1154" s="24">
        <v>0</v>
      </c>
      <c r="X1154" s="24">
        <v>0</v>
      </c>
      <c r="Y1154" s="24">
        <v>0</v>
      </c>
      <c r="Z1154" s="24">
        <v>0</v>
      </c>
      <c r="AA1154" s="24">
        <v>0</v>
      </c>
      <c r="AB1154" s="24">
        <v>0</v>
      </c>
      <c r="AC1154" s="30">
        <f t="shared" si="353"/>
        <v>0</v>
      </c>
      <c r="AD1154" s="28"/>
      <c r="AE1154" s="12"/>
      <c r="AF1154" s="29"/>
      <c r="AG1154" s="9"/>
      <c r="AH1154" s="10"/>
      <c r="AI1154" s="9"/>
      <c r="AJ1154" s="11"/>
      <c r="AK1154" s="9"/>
      <c r="AL1154" s="13"/>
      <c r="AM1154" s="9"/>
    </row>
    <row r="1155" spans="1:39" x14ac:dyDescent="0.3">
      <c r="A1155" s="2" t="str">
        <f t="shared" ref="A1155:A1190" si="354">IF(L1155=1,"SIM","NÃO")</f>
        <v>SIM</v>
      </c>
      <c r="B1155" s="2" t="str">
        <f>_xlfn.XLOOKUP($N1155,'Base de Grupos'!$A:$A,'Base de Grupos'!$D:$D)</f>
        <v>1000065763</v>
      </c>
      <c r="C1155" s="5" t="str">
        <f>_xlfn.XLOOKUP($N1155,'Base de Grupos'!$A:$A,'Base de Grupos'!$E:$E)</f>
        <v>CANAL VENDA INTERNA</v>
      </c>
      <c r="D1155" s="5" t="str">
        <f>_xlfn.XLOOKUP($N1155,'Base de Grupos'!$A:$A,'Base de Grupos'!$F:$F)</f>
        <v>1000065763</v>
      </c>
      <c r="E1155" s="2" t="str">
        <f>_xlfn.XLOOKUP($N1155,'Base de Grupos'!$A:$A,'Base de Grupos'!$G:$G)</f>
        <v>CANAL VENDA INTERNA</v>
      </c>
      <c r="F1155" s="2" t="str">
        <f>_xlfn.XLOOKUP($N1155,'Base de Grupos'!$A:$A,'Base de Grupos'!$H:$H)</f>
        <v>1000174119</v>
      </c>
      <c r="G1155" s="5" t="str">
        <f>_xlfn.XLOOKUP($N1155,'Base de Grupos'!$A:$A,'Base de Grupos'!$I:$I)</f>
        <v>REGIONAL VENDA INTERNA - CONVENIENCIA</v>
      </c>
      <c r="H1155" s="5" t="str">
        <f>_xlfn.XLOOKUP($N1155,'Base de Grupos'!$A:$A,'Base de Grupos'!$J:$J)</f>
        <v>1000174119</v>
      </c>
      <c r="I1155" s="2" t="str">
        <f>_xlfn.XLOOKUP($N1155,'Base de Grupos'!$A:$A,'Base de Grupos'!$K:$K)</f>
        <v>REGIONAL VENDA INTERNA - CONVENIENCIA</v>
      </c>
      <c r="J1155" s="2" t="str">
        <f>_xlfn.XLOOKUP($N1155,'Base de Grupos'!$A:$A,'Base de Grupos'!$L:$L)</f>
        <v>1000174119</v>
      </c>
      <c r="K1155" s="5" t="str">
        <f>_xlfn.XLOOKUP($N1155,'Base de Grupos'!$A:$A,'Base de Grupos'!$M:$M)</f>
        <v>REGIONAL VENDA INTERNA - CONVENIENCIA</v>
      </c>
      <c r="L1155" s="5">
        <f t="shared" ref="L1155:L1190" si="355">IF(N1155&lt;&gt;N1154,1,"")</f>
        <v>1</v>
      </c>
      <c r="M1155" s="5" t="str">
        <f>_xlfn.XLOOKUP($N1155,'Base de Grupos'!$A:$A,'Base de Grupos'!$C:$C)</f>
        <v>AC</v>
      </c>
      <c r="N1155" s="3">
        <v>1532</v>
      </c>
      <c r="O1155" s="4" t="s">
        <v>368</v>
      </c>
      <c r="P1155" s="5" t="s">
        <v>371</v>
      </c>
      <c r="Q1155" s="24">
        <v>0</v>
      </c>
      <c r="R1155" s="24">
        <v>0</v>
      </c>
      <c r="S1155" s="24">
        <v>0</v>
      </c>
      <c r="T1155" s="24">
        <v>0</v>
      </c>
      <c r="U1155" s="24">
        <v>0</v>
      </c>
      <c r="V1155" s="24">
        <v>0</v>
      </c>
      <c r="W1155" s="24">
        <v>0</v>
      </c>
      <c r="X1155" s="24">
        <v>0</v>
      </c>
      <c r="Y1155" s="24">
        <v>0</v>
      </c>
      <c r="Z1155" s="24">
        <v>0</v>
      </c>
      <c r="AA1155" s="24">
        <v>0</v>
      </c>
      <c r="AB1155" s="24">
        <v>0</v>
      </c>
      <c r="AC1155" s="30">
        <f t="shared" ref="AC1155:AC1190" si="356">SUM(T1155:AB1155)</f>
        <v>0</v>
      </c>
      <c r="AD1155" s="28"/>
      <c r="AE1155" s="12"/>
      <c r="AF1155" s="29"/>
      <c r="AG1155" s="9"/>
      <c r="AH1155" s="10"/>
      <c r="AI1155" s="9"/>
      <c r="AJ1155" s="11"/>
      <c r="AK1155" s="9"/>
      <c r="AL1155" s="13"/>
      <c r="AM1155" s="9"/>
    </row>
    <row r="1156" spans="1:39" x14ac:dyDescent="0.3">
      <c r="A1156" s="2" t="str">
        <f t="shared" si="354"/>
        <v>NÃO</v>
      </c>
      <c r="B1156" s="2" t="str">
        <f>_xlfn.XLOOKUP($N1156,'Base de Grupos'!$A:$A,'Base de Grupos'!$D:$D)</f>
        <v>1000065763</v>
      </c>
      <c r="C1156" s="5" t="str">
        <f>_xlfn.XLOOKUP($N1156,'Base de Grupos'!$A:$A,'Base de Grupos'!$E:$E)</f>
        <v>CANAL VENDA INTERNA</v>
      </c>
      <c r="D1156" s="5" t="str">
        <f>_xlfn.XLOOKUP($N1156,'Base de Grupos'!$A:$A,'Base de Grupos'!$F:$F)</f>
        <v>1000065763</v>
      </c>
      <c r="E1156" s="2" t="str">
        <f>_xlfn.XLOOKUP($N1156,'Base de Grupos'!$A:$A,'Base de Grupos'!$G:$G)</f>
        <v>CANAL VENDA INTERNA</v>
      </c>
      <c r="F1156" s="2" t="str">
        <f>_xlfn.XLOOKUP($N1156,'Base de Grupos'!$A:$A,'Base de Grupos'!$H:$H)</f>
        <v>1000174119</v>
      </c>
      <c r="G1156" s="5" t="str">
        <f>_xlfn.XLOOKUP($N1156,'Base de Grupos'!$A:$A,'Base de Grupos'!$I:$I)</f>
        <v>REGIONAL VENDA INTERNA - CONVENIENCIA</v>
      </c>
      <c r="H1156" s="5" t="str">
        <f>_xlfn.XLOOKUP($N1156,'Base de Grupos'!$A:$A,'Base de Grupos'!$J:$J)</f>
        <v>1000174119</v>
      </c>
      <c r="I1156" s="2" t="str">
        <f>_xlfn.XLOOKUP($N1156,'Base de Grupos'!$A:$A,'Base de Grupos'!$K:$K)</f>
        <v>REGIONAL VENDA INTERNA - CONVENIENCIA</v>
      </c>
      <c r="J1156" s="2" t="str">
        <f>_xlfn.XLOOKUP($N1156,'Base de Grupos'!$A:$A,'Base de Grupos'!$L:$L)</f>
        <v>1000174119</v>
      </c>
      <c r="K1156" s="5" t="str">
        <f>_xlfn.XLOOKUP($N1156,'Base de Grupos'!$A:$A,'Base de Grupos'!$M:$M)</f>
        <v>REGIONAL VENDA INTERNA - CONVENIENCIA</v>
      </c>
      <c r="L1156" s="5" t="str">
        <f t="shared" si="355"/>
        <v/>
      </c>
      <c r="M1156" s="5" t="str">
        <f>_xlfn.XLOOKUP($N1156,'Base de Grupos'!$A:$A,'Base de Grupos'!$C:$C)</f>
        <v>AC</v>
      </c>
      <c r="N1156" s="3">
        <v>1532</v>
      </c>
      <c r="O1156" s="4" t="s">
        <v>368</v>
      </c>
      <c r="P1156" s="5" t="s">
        <v>81</v>
      </c>
      <c r="Q1156" s="24">
        <v>0</v>
      </c>
      <c r="R1156" s="24">
        <v>0</v>
      </c>
      <c r="S1156" s="24">
        <v>0</v>
      </c>
      <c r="T1156" s="24">
        <v>0</v>
      </c>
      <c r="U1156" s="24">
        <v>0</v>
      </c>
      <c r="V1156" s="24">
        <v>0</v>
      </c>
      <c r="W1156" s="24">
        <v>0</v>
      </c>
      <c r="X1156" s="24">
        <v>0</v>
      </c>
      <c r="Y1156" s="24">
        <v>0</v>
      </c>
      <c r="Z1156" s="24">
        <v>0</v>
      </c>
      <c r="AA1156" s="24">
        <v>0</v>
      </c>
      <c r="AB1156" s="24">
        <v>0</v>
      </c>
      <c r="AC1156" s="30">
        <f t="shared" si="356"/>
        <v>0</v>
      </c>
      <c r="AD1156" s="28"/>
      <c r="AE1156" s="12"/>
      <c r="AF1156" s="29"/>
      <c r="AG1156" s="9"/>
      <c r="AH1156" s="10"/>
      <c r="AI1156" s="9"/>
      <c r="AJ1156" s="11"/>
      <c r="AK1156" s="9"/>
      <c r="AL1156" s="13"/>
      <c r="AM1156" s="9"/>
    </row>
    <row r="1157" spans="1:39" x14ac:dyDescent="0.3">
      <c r="A1157" s="2" t="str">
        <f t="shared" si="354"/>
        <v>NÃO</v>
      </c>
      <c r="B1157" s="2" t="str">
        <f>_xlfn.XLOOKUP($N1157,'Base de Grupos'!$A:$A,'Base de Grupos'!$D:$D)</f>
        <v>1000065763</v>
      </c>
      <c r="C1157" s="5" t="str">
        <f>_xlfn.XLOOKUP($N1157,'Base de Grupos'!$A:$A,'Base de Grupos'!$E:$E)</f>
        <v>CANAL VENDA INTERNA</v>
      </c>
      <c r="D1157" s="5" t="str">
        <f>_xlfn.XLOOKUP($N1157,'Base de Grupos'!$A:$A,'Base de Grupos'!$F:$F)</f>
        <v>1000065763</v>
      </c>
      <c r="E1157" s="2" t="str">
        <f>_xlfn.XLOOKUP($N1157,'Base de Grupos'!$A:$A,'Base de Grupos'!$G:$G)</f>
        <v>CANAL VENDA INTERNA</v>
      </c>
      <c r="F1157" s="2" t="str">
        <f>_xlfn.XLOOKUP($N1157,'Base de Grupos'!$A:$A,'Base de Grupos'!$H:$H)</f>
        <v>1000174119</v>
      </c>
      <c r="G1157" s="5" t="str">
        <f>_xlfn.XLOOKUP($N1157,'Base de Grupos'!$A:$A,'Base de Grupos'!$I:$I)</f>
        <v>REGIONAL VENDA INTERNA - CONVENIENCIA</v>
      </c>
      <c r="H1157" s="5" t="str">
        <f>_xlfn.XLOOKUP($N1157,'Base de Grupos'!$A:$A,'Base de Grupos'!$J:$J)</f>
        <v>1000174119</v>
      </c>
      <c r="I1157" s="2" t="str">
        <f>_xlfn.XLOOKUP($N1157,'Base de Grupos'!$A:$A,'Base de Grupos'!$K:$K)</f>
        <v>REGIONAL VENDA INTERNA - CONVENIENCIA</v>
      </c>
      <c r="J1157" s="2" t="str">
        <f>_xlfn.XLOOKUP($N1157,'Base de Grupos'!$A:$A,'Base de Grupos'!$L:$L)</f>
        <v>1000174119</v>
      </c>
      <c r="K1157" s="5" t="str">
        <f>_xlfn.XLOOKUP($N1157,'Base de Grupos'!$A:$A,'Base de Grupos'!$M:$M)</f>
        <v>REGIONAL VENDA INTERNA - CONVENIENCIA</v>
      </c>
      <c r="L1157" s="5" t="str">
        <f t="shared" si="355"/>
        <v/>
      </c>
      <c r="M1157" s="5" t="str">
        <f>_xlfn.XLOOKUP($N1157,'Base de Grupos'!$A:$A,'Base de Grupos'!$C:$C)</f>
        <v>AC</v>
      </c>
      <c r="N1157" s="3">
        <v>1532</v>
      </c>
      <c r="O1157" s="4" t="s">
        <v>368</v>
      </c>
      <c r="P1157" s="5" t="s">
        <v>82</v>
      </c>
      <c r="Q1157" s="24">
        <v>0</v>
      </c>
      <c r="R1157" s="24">
        <v>0</v>
      </c>
      <c r="S1157" s="24">
        <v>0</v>
      </c>
      <c r="T1157" s="24">
        <v>0</v>
      </c>
      <c r="U1157" s="24">
        <v>0</v>
      </c>
      <c r="V1157" s="24">
        <v>0</v>
      </c>
      <c r="W1157" s="24">
        <v>0</v>
      </c>
      <c r="X1157" s="24">
        <v>0</v>
      </c>
      <c r="Y1157" s="24">
        <v>0</v>
      </c>
      <c r="Z1157" s="24">
        <v>0</v>
      </c>
      <c r="AA1157" s="24">
        <v>0</v>
      </c>
      <c r="AB1157" s="24">
        <v>0</v>
      </c>
      <c r="AC1157" s="30">
        <f t="shared" si="356"/>
        <v>0</v>
      </c>
      <c r="AD1157" s="28"/>
      <c r="AE1157" s="12"/>
      <c r="AF1157" s="29"/>
      <c r="AG1157" s="9"/>
      <c r="AH1157" s="10"/>
      <c r="AI1157" s="9"/>
      <c r="AJ1157" s="11"/>
      <c r="AK1157" s="9"/>
      <c r="AL1157" s="13"/>
      <c r="AM1157" s="9"/>
    </row>
    <row r="1158" spans="1:39" x14ac:dyDescent="0.3">
      <c r="A1158" s="2" t="str">
        <f t="shared" si="354"/>
        <v>NÃO</v>
      </c>
      <c r="B1158" s="2" t="str">
        <f>_xlfn.XLOOKUP($N1158,'Base de Grupos'!$A:$A,'Base de Grupos'!$D:$D)</f>
        <v>1000065763</v>
      </c>
      <c r="C1158" s="5" t="str">
        <f>_xlfn.XLOOKUP($N1158,'Base de Grupos'!$A:$A,'Base de Grupos'!$E:$E)</f>
        <v>CANAL VENDA INTERNA</v>
      </c>
      <c r="D1158" s="5" t="str">
        <f>_xlfn.XLOOKUP($N1158,'Base de Grupos'!$A:$A,'Base de Grupos'!$F:$F)</f>
        <v>1000065763</v>
      </c>
      <c r="E1158" s="2" t="str">
        <f>_xlfn.XLOOKUP($N1158,'Base de Grupos'!$A:$A,'Base de Grupos'!$G:$G)</f>
        <v>CANAL VENDA INTERNA</v>
      </c>
      <c r="F1158" s="2" t="str">
        <f>_xlfn.XLOOKUP($N1158,'Base de Grupos'!$A:$A,'Base de Grupos'!$H:$H)</f>
        <v>1000174119</v>
      </c>
      <c r="G1158" s="5" t="str">
        <f>_xlfn.XLOOKUP($N1158,'Base de Grupos'!$A:$A,'Base de Grupos'!$I:$I)</f>
        <v>REGIONAL VENDA INTERNA - CONVENIENCIA</v>
      </c>
      <c r="H1158" s="5" t="str">
        <f>_xlfn.XLOOKUP($N1158,'Base de Grupos'!$A:$A,'Base de Grupos'!$J:$J)</f>
        <v>1000174119</v>
      </c>
      <c r="I1158" s="2" t="str">
        <f>_xlfn.XLOOKUP($N1158,'Base de Grupos'!$A:$A,'Base de Grupos'!$K:$K)</f>
        <v>REGIONAL VENDA INTERNA - CONVENIENCIA</v>
      </c>
      <c r="J1158" s="2" t="str">
        <f>_xlfn.XLOOKUP($N1158,'Base de Grupos'!$A:$A,'Base de Grupos'!$L:$L)</f>
        <v>1000174119</v>
      </c>
      <c r="K1158" s="5" t="str">
        <f>_xlfn.XLOOKUP($N1158,'Base de Grupos'!$A:$A,'Base de Grupos'!$M:$M)</f>
        <v>REGIONAL VENDA INTERNA - CONVENIENCIA</v>
      </c>
      <c r="L1158" s="5" t="str">
        <f t="shared" si="355"/>
        <v/>
      </c>
      <c r="M1158" s="5" t="str">
        <f>_xlfn.XLOOKUP($N1158,'Base de Grupos'!$A:$A,'Base de Grupos'!$C:$C)</f>
        <v>AC</v>
      </c>
      <c r="N1158" s="3">
        <v>1532</v>
      </c>
      <c r="O1158" s="4" t="s">
        <v>368</v>
      </c>
      <c r="P1158" s="5" t="s">
        <v>84</v>
      </c>
      <c r="Q1158" s="24">
        <v>0</v>
      </c>
      <c r="R1158" s="24">
        <v>0</v>
      </c>
      <c r="S1158" s="24">
        <v>0</v>
      </c>
      <c r="T1158" s="24">
        <v>0</v>
      </c>
      <c r="U1158" s="24">
        <v>0</v>
      </c>
      <c r="V1158" s="24">
        <v>0</v>
      </c>
      <c r="W1158" s="24">
        <v>0</v>
      </c>
      <c r="X1158" s="24">
        <v>0</v>
      </c>
      <c r="Y1158" s="24">
        <v>0</v>
      </c>
      <c r="Z1158" s="24">
        <v>0</v>
      </c>
      <c r="AA1158" s="24">
        <v>0</v>
      </c>
      <c r="AB1158" s="24">
        <v>0</v>
      </c>
      <c r="AC1158" s="30">
        <f t="shared" si="356"/>
        <v>0</v>
      </c>
      <c r="AD1158" s="28"/>
      <c r="AE1158" s="12"/>
      <c r="AF1158" s="29"/>
      <c r="AG1158" s="9"/>
      <c r="AH1158" s="10"/>
      <c r="AI1158" s="9"/>
      <c r="AJ1158" s="11"/>
      <c r="AK1158" s="9"/>
      <c r="AL1158" s="13"/>
      <c r="AM1158" s="9"/>
    </row>
    <row r="1159" spans="1:39" x14ac:dyDescent="0.3">
      <c r="A1159" s="2" t="str">
        <f t="shared" si="354"/>
        <v>NÃO</v>
      </c>
      <c r="B1159" s="2" t="str">
        <f>_xlfn.XLOOKUP($N1159,'Base de Grupos'!$A:$A,'Base de Grupos'!$D:$D)</f>
        <v>1000065763</v>
      </c>
      <c r="C1159" s="5" t="str">
        <f>_xlfn.XLOOKUP($N1159,'Base de Grupos'!$A:$A,'Base de Grupos'!$E:$E)</f>
        <v>CANAL VENDA INTERNA</v>
      </c>
      <c r="D1159" s="5" t="str">
        <f>_xlfn.XLOOKUP($N1159,'Base de Grupos'!$A:$A,'Base de Grupos'!$F:$F)</f>
        <v>1000065763</v>
      </c>
      <c r="E1159" s="2" t="str">
        <f>_xlfn.XLOOKUP($N1159,'Base de Grupos'!$A:$A,'Base de Grupos'!$G:$G)</f>
        <v>CANAL VENDA INTERNA</v>
      </c>
      <c r="F1159" s="2" t="str">
        <f>_xlfn.XLOOKUP($N1159,'Base de Grupos'!$A:$A,'Base de Grupos'!$H:$H)</f>
        <v>1000174119</v>
      </c>
      <c r="G1159" s="5" t="str">
        <f>_xlfn.XLOOKUP($N1159,'Base de Grupos'!$A:$A,'Base de Grupos'!$I:$I)</f>
        <v>REGIONAL VENDA INTERNA - CONVENIENCIA</v>
      </c>
      <c r="H1159" s="5" t="str">
        <f>_xlfn.XLOOKUP($N1159,'Base de Grupos'!$A:$A,'Base de Grupos'!$J:$J)</f>
        <v>1000174119</v>
      </c>
      <c r="I1159" s="2" t="str">
        <f>_xlfn.XLOOKUP($N1159,'Base de Grupos'!$A:$A,'Base de Grupos'!$K:$K)</f>
        <v>REGIONAL VENDA INTERNA - CONVENIENCIA</v>
      </c>
      <c r="J1159" s="2" t="str">
        <f>_xlfn.XLOOKUP($N1159,'Base de Grupos'!$A:$A,'Base de Grupos'!$L:$L)</f>
        <v>1000174119</v>
      </c>
      <c r="K1159" s="5" t="str">
        <f>_xlfn.XLOOKUP($N1159,'Base de Grupos'!$A:$A,'Base de Grupos'!$M:$M)</f>
        <v>REGIONAL VENDA INTERNA - CONVENIENCIA</v>
      </c>
      <c r="L1159" s="5" t="str">
        <f t="shared" si="355"/>
        <v/>
      </c>
      <c r="M1159" s="5" t="str">
        <f>_xlfn.XLOOKUP($N1159,'Base de Grupos'!$A:$A,'Base de Grupos'!$C:$C)</f>
        <v>AC</v>
      </c>
      <c r="N1159" s="3">
        <v>1532</v>
      </c>
      <c r="O1159" s="4" t="s">
        <v>368</v>
      </c>
      <c r="P1159" s="5" t="s">
        <v>83</v>
      </c>
      <c r="Q1159" s="24">
        <v>0</v>
      </c>
      <c r="R1159" s="24">
        <v>0</v>
      </c>
      <c r="S1159" s="24">
        <v>0</v>
      </c>
      <c r="T1159" s="24">
        <v>0</v>
      </c>
      <c r="U1159" s="24">
        <v>0</v>
      </c>
      <c r="V1159" s="24">
        <v>0</v>
      </c>
      <c r="W1159" s="24">
        <v>0</v>
      </c>
      <c r="X1159" s="24">
        <v>0</v>
      </c>
      <c r="Y1159" s="24">
        <v>0</v>
      </c>
      <c r="Z1159" s="24">
        <v>0</v>
      </c>
      <c r="AA1159" s="24">
        <v>0</v>
      </c>
      <c r="AB1159" s="24">
        <v>0</v>
      </c>
      <c r="AC1159" s="30">
        <f t="shared" si="356"/>
        <v>0</v>
      </c>
      <c r="AD1159" s="28"/>
      <c r="AE1159" s="12"/>
      <c r="AF1159" s="29"/>
      <c r="AG1159" s="9"/>
      <c r="AH1159" s="10"/>
      <c r="AI1159" s="9"/>
      <c r="AJ1159" s="11"/>
      <c r="AK1159" s="9"/>
      <c r="AL1159" s="13"/>
      <c r="AM1159" s="9"/>
    </row>
    <row r="1160" spans="1:39" x14ac:dyDescent="0.3">
      <c r="A1160" s="2" t="str">
        <f t="shared" si="354"/>
        <v>NÃO</v>
      </c>
      <c r="B1160" s="2" t="str">
        <f>_xlfn.XLOOKUP($N1160,'Base de Grupos'!$A:$A,'Base de Grupos'!$D:$D)</f>
        <v>1000065763</v>
      </c>
      <c r="C1160" s="5" t="str">
        <f>_xlfn.XLOOKUP($N1160,'Base de Grupos'!$A:$A,'Base de Grupos'!$E:$E)</f>
        <v>CANAL VENDA INTERNA</v>
      </c>
      <c r="D1160" s="5" t="str">
        <f>_xlfn.XLOOKUP($N1160,'Base de Grupos'!$A:$A,'Base de Grupos'!$F:$F)</f>
        <v>1000065763</v>
      </c>
      <c r="E1160" s="2" t="str">
        <f>_xlfn.XLOOKUP($N1160,'Base de Grupos'!$A:$A,'Base de Grupos'!$G:$G)</f>
        <v>CANAL VENDA INTERNA</v>
      </c>
      <c r="F1160" s="2" t="str">
        <f>_xlfn.XLOOKUP($N1160,'Base de Grupos'!$A:$A,'Base de Grupos'!$H:$H)</f>
        <v>1000174119</v>
      </c>
      <c r="G1160" s="5" t="str">
        <f>_xlfn.XLOOKUP($N1160,'Base de Grupos'!$A:$A,'Base de Grupos'!$I:$I)</f>
        <v>REGIONAL VENDA INTERNA - CONVENIENCIA</v>
      </c>
      <c r="H1160" s="5" t="str">
        <f>_xlfn.XLOOKUP($N1160,'Base de Grupos'!$A:$A,'Base de Grupos'!$J:$J)</f>
        <v>1000174119</v>
      </c>
      <c r="I1160" s="2" t="str">
        <f>_xlfn.XLOOKUP($N1160,'Base de Grupos'!$A:$A,'Base de Grupos'!$K:$K)</f>
        <v>REGIONAL VENDA INTERNA - CONVENIENCIA</v>
      </c>
      <c r="J1160" s="2" t="str">
        <f>_xlfn.XLOOKUP($N1160,'Base de Grupos'!$A:$A,'Base de Grupos'!$L:$L)</f>
        <v>1000174119</v>
      </c>
      <c r="K1160" s="5" t="str">
        <f>_xlfn.XLOOKUP($N1160,'Base de Grupos'!$A:$A,'Base de Grupos'!$M:$M)</f>
        <v>REGIONAL VENDA INTERNA - CONVENIENCIA</v>
      </c>
      <c r="L1160" s="5" t="str">
        <f t="shared" si="355"/>
        <v/>
      </c>
      <c r="M1160" s="5" t="str">
        <f>_xlfn.XLOOKUP($N1160,'Base de Grupos'!$A:$A,'Base de Grupos'!$C:$C)</f>
        <v>AC</v>
      </c>
      <c r="N1160" s="3">
        <v>1532</v>
      </c>
      <c r="O1160" s="4" t="s">
        <v>368</v>
      </c>
      <c r="P1160" s="5" t="s">
        <v>87</v>
      </c>
      <c r="Q1160" s="24">
        <v>0</v>
      </c>
      <c r="R1160" s="24">
        <v>0</v>
      </c>
      <c r="S1160" s="24">
        <v>0</v>
      </c>
      <c r="T1160" s="24">
        <v>0</v>
      </c>
      <c r="U1160" s="24">
        <v>0</v>
      </c>
      <c r="V1160" s="24">
        <v>0</v>
      </c>
      <c r="W1160" s="24">
        <v>0</v>
      </c>
      <c r="X1160" s="24">
        <v>0</v>
      </c>
      <c r="Y1160" s="24">
        <v>0</v>
      </c>
      <c r="Z1160" s="24">
        <v>0</v>
      </c>
      <c r="AA1160" s="24">
        <v>0</v>
      </c>
      <c r="AB1160" s="24">
        <v>0</v>
      </c>
      <c r="AC1160" s="30">
        <f t="shared" si="356"/>
        <v>0</v>
      </c>
      <c r="AD1160" s="28"/>
      <c r="AE1160" s="12"/>
      <c r="AF1160" s="29"/>
      <c r="AG1160" s="9"/>
      <c r="AH1160" s="10"/>
      <c r="AI1160" s="9"/>
      <c r="AJ1160" s="11"/>
      <c r="AK1160" s="9"/>
      <c r="AL1160" s="13"/>
      <c r="AM1160" s="9"/>
    </row>
    <row r="1161" spans="1:39" x14ac:dyDescent="0.3">
      <c r="A1161" s="2" t="str">
        <f t="shared" si="354"/>
        <v>NÃO</v>
      </c>
      <c r="B1161" s="2" t="str">
        <f>_xlfn.XLOOKUP($N1161,'Base de Grupos'!$A:$A,'Base de Grupos'!$D:$D)</f>
        <v>1000065763</v>
      </c>
      <c r="C1161" s="5" t="str">
        <f>_xlfn.XLOOKUP($N1161,'Base de Grupos'!$A:$A,'Base de Grupos'!$E:$E)</f>
        <v>CANAL VENDA INTERNA</v>
      </c>
      <c r="D1161" s="5" t="str">
        <f>_xlfn.XLOOKUP($N1161,'Base de Grupos'!$A:$A,'Base de Grupos'!$F:$F)</f>
        <v>1000065763</v>
      </c>
      <c r="E1161" s="2" t="str">
        <f>_xlfn.XLOOKUP($N1161,'Base de Grupos'!$A:$A,'Base de Grupos'!$G:$G)</f>
        <v>CANAL VENDA INTERNA</v>
      </c>
      <c r="F1161" s="2" t="str">
        <f>_xlfn.XLOOKUP($N1161,'Base de Grupos'!$A:$A,'Base de Grupos'!$H:$H)</f>
        <v>1000174119</v>
      </c>
      <c r="G1161" s="5" t="str">
        <f>_xlfn.XLOOKUP($N1161,'Base de Grupos'!$A:$A,'Base de Grupos'!$I:$I)</f>
        <v>REGIONAL VENDA INTERNA - CONVENIENCIA</v>
      </c>
      <c r="H1161" s="5" t="str">
        <f>_xlfn.XLOOKUP($N1161,'Base de Grupos'!$A:$A,'Base de Grupos'!$J:$J)</f>
        <v>1000174119</v>
      </c>
      <c r="I1161" s="2" t="str">
        <f>_xlfn.XLOOKUP($N1161,'Base de Grupos'!$A:$A,'Base de Grupos'!$K:$K)</f>
        <v>REGIONAL VENDA INTERNA - CONVENIENCIA</v>
      </c>
      <c r="J1161" s="2" t="str">
        <f>_xlfn.XLOOKUP($N1161,'Base de Grupos'!$A:$A,'Base de Grupos'!$L:$L)</f>
        <v>1000174119</v>
      </c>
      <c r="K1161" s="5" t="str">
        <f>_xlfn.XLOOKUP($N1161,'Base de Grupos'!$A:$A,'Base de Grupos'!$M:$M)</f>
        <v>REGIONAL VENDA INTERNA - CONVENIENCIA</v>
      </c>
      <c r="L1161" s="5" t="str">
        <f t="shared" si="355"/>
        <v/>
      </c>
      <c r="M1161" s="5" t="str">
        <f>_xlfn.XLOOKUP($N1161,'Base de Grupos'!$A:$A,'Base de Grupos'!$C:$C)</f>
        <v>AC</v>
      </c>
      <c r="N1161" s="3">
        <v>1532</v>
      </c>
      <c r="O1161" s="4" t="s">
        <v>368</v>
      </c>
      <c r="P1161" s="5" t="s">
        <v>85</v>
      </c>
      <c r="Q1161" s="24">
        <v>0</v>
      </c>
      <c r="R1161" s="24">
        <v>0</v>
      </c>
      <c r="S1161" s="24">
        <v>0</v>
      </c>
      <c r="T1161" s="24">
        <v>0</v>
      </c>
      <c r="U1161" s="24">
        <v>0</v>
      </c>
      <c r="V1161" s="24">
        <v>0</v>
      </c>
      <c r="W1161" s="24">
        <v>0</v>
      </c>
      <c r="X1161" s="24">
        <v>0</v>
      </c>
      <c r="Y1161" s="24">
        <v>0</v>
      </c>
      <c r="Z1161" s="24">
        <v>0</v>
      </c>
      <c r="AA1161" s="24">
        <v>0</v>
      </c>
      <c r="AB1161" s="24">
        <v>0</v>
      </c>
      <c r="AC1161" s="30">
        <f t="shared" si="356"/>
        <v>0</v>
      </c>
      <c r="AD1161" s="28"/>
      <c r="AE1161" s="12"/>
      <c r="AF1161" s="29"/>
      <c r="AG1161" s="9"/>
      <c r="AH1161" s="10"/>
      <c r="AI1161" s="9"/>
      <c r="AJ1161" s="11"/>
      <c r="AK1161" s="9"/>
      <c r="AL1161" s="13"/>
      <c r="AM1161" s="9"/>
    </row>
    <row r="1162" spans="1:39" x14ac:dyDescent="0.3">
      <c r="A1162" s="2" t="str">
        <f t="shared" si="354"/>
        <v>NÃO</v>
      </c>
      <c r="B1162" s="2" t="str">
        <f>_xlfn.XLOOKUP($N1162,'Base de Grupos'!$A:$A,'Base de Grupos'!$D:$D)</f>
        <v>1000065763</v>
      </c>
      <c r="C1162" s="5" t="str">
        <f>_xlfn.XLOOKUP($N1162,'Base de Grupos'!$A:$A,'Base de Grupos'!$E:$E)</f>
        <v>CANAL VENDA INTERNA</v>
      </c>
      <c r="D1162" s="5" t="str">
        <f>_xlfn.XLOOKUP($N1162,'Base de Grupos'!$A:$A,'Base de Grupos'!$F:$F)</f>
        <v>1000065763</v>
      </c>
      <c r="E1162" s="2" t="str">
        <f>_xlfn.XLOOKUP($N1162,'Base de Grupos'!$A:$A,'Base de Grupos'!$G:$G)</f>
        <v>CANAL VENDA INTERNA</v>
      </c>
      <c r="F1162" s="2" t="str">
        <f>_xlfn.XLOOKUP($N1162,'Base de Grupos'!$A:$A,'Base de Grupos'!$H:$H)</f>
        <v>1000174119</v>
      </c>
      <c r="G1162" s="5" t="str">
        <f>_xlfn.XLOOKUP($N1162,'Base de Grupos'!$A:$A,'Base de Grupos'!$I:$I)</f>
        <v>REGIONAL VENDA INTERNA - CONVENIENCIA</v>
      </c>
      <c r="H1162" s="5" t="str">
        <f>_xlfn.XLOOKUP($N1162,'Base de Grupos'!$A:$A,'Base de Grupos'!$J:$J)</f>
        <v>1000174119</v>
      </c>
      <c r="I1162" s="2" t="str">
        <f>_xlfn.XLOOKUP($N1162,'Base de Grupos'!$A:$A,'Base de Grupos'!$K:$K)</f>
        <v>REGIONAL VENDA INTERNA - CONVENIENCIA</v>
      </c>
      <c r="J1162" s="2" t="str">
        <f>_xlfn.XLOOKUP($N1162,'Base de Grupos'!$A:$A,'Base de Grupos'!$L:$L)</f>
        <v>1000174119</v>
      </c>
      <c r="K1162" s="5" t="str">
        <f>_xlfn.XLOOKUP($N1162,'Base de Grupos'!$A:$A,'Base de Grupos'!$M:$M)</f>
        <v>REGIONAL VENDA INTERNA - CONVENIENCIA</v>
      </c>
      <c r="L1162" s="5" t="str">
        <f t="shared" si="355"/>
        <v/>
      </c>
      <c r="M1162" s="5" t="str">
        <f>_xlfn.XLOOKUP($N1162,'Base de Grupos'!$A:$A,'Base de Grupos'!$C:$C)</f>
        <v>AC</v>
      </c>
      <c r="N1162" s="3">
        <v>1532</v>
      </c>
      <c r="O1162" s="4" t="s">
        <v>368</v>
      </c>
      <c r="P1162" s="5" t="s">
        <v>92</v>
      </c>
      <c r="Q1162" s="24">
        <v>0</v>
      </c>
      <c r="R1162" s="24">
        <v>0</v>
      </c>
      <c r="S1162" s="24">
        <v>0</v>
      </c>
      <c r="T1162" s="24">
        <v>0</v>
      </c>
      <c r="U1162" s="24">
        <v>0</v>
      </c>
      <c r="V1162" s="24">
        <v>0</v>
      </c>
      <c r="W1162" s="24">
        <v>0</v>
      </c>
      <c r="X1162" s="24">
        <v>0</v>
      </c>
      <c r="Y1162" s="24">
        <v>0</v>
      </c>
      <c r="Z1162" s="24">
        <v>0</v>
      </c>
      <c r="AA1162" s="24">
        <v>0</v>
      </c>
      <c r="AB1162" s="24">
        <v>0</v>
      </c>
      <c r="AC1162" s="30">
        <f t="shared" si="356"/>
        <v>0</v>
      </c>
      <c r="AD1162" s="28"/>
      <c r="AE1162" s="12"/>
      <c r="AF1162" s="29"/>
      <c r="AG1162" s="9"/>
      <c r="AH1162" s="10"/>
      <c r="AI1162" s="9"/>
      <c r="AJ1162" s="11"/>
      <c r="AK1162" s="9"/>
      <c r="AL1162" s="13"/>
      <c r="AM1162" s="9"/>
    </row>
    <row r="1163" spans="1:39" x14ac:dyDescent="0.3">
      <c r="A1163" s="2" t="str">
        <f t="shared" si="354"/>
        <v>NÃO</v>
      </c>
      <c r="B1163" s="2" t="str">
        <f>_xlfn.XLOOKUP($N1163,'Base de Grupos'!$A:$A,'Base de Grupos'!$D:$D)</f>
        <v>1000065763</v>
      </c>
      <c r="C1163" s="5" t="str">
        <f>_xlfn.XLOOKUP($N1163,'Base de Grupos'!$A:$A,'Base de Grupos'!$E:$E)</f>
        <v>CANAL VENDA INTERNA</v>
      </c>
      <c r="D1163" s="5" t="str">
        <f>_xlfn.XLOOKUP($N1163,'Base de Grupos'!$A:$A,'Base de Grupos'!$F:$F)</f>
        <v>1000065763</v>
      </c>
      <c r="E1163" s="2" t="str">
        <f>_xlfn.XLOOKUP($N1163,'Base de Grupos'!$A:$A,'Base de Grupos'!$G:$G)</f>
        <v>CANAL VENDA INTERNA</v>
      </c>
      <c r="F1163" s="2" t="str">
        <f>_xlfn.XLOOKUP($N1163,'Base de Grupos'!$A:$A,'Base de Grupos'!$H:$H)</f>
        <v>1000174119</v>
      </c>
      <c r="G1163" s="5" t="str">
        <f>_xlfn.XLOOKUP($N1163,'Base de Grupos'!$A:$A,'Base de Grupos'!$I:$I)</f>
        <v>REGIONAL VENDA INTERNA - CONVENIENCIA</v>
      </c>
      <c r="H1163" s="5" t="str">
        <f>_xlfn.XLOOKUP($N1163,'Base de Grupos'!$A:$A,'Base de Grupos'!$J:$J)</f>
        <v>1000174119</v>
      </c>
      <c r="I1163" s="2" t="str">
        <f>_xlfn.XLOOKUP($N1163,'Base de Grupos'!$A:$A,'Base de Grupos'!$K:$K)</f>
        <v>REGIONAL VENDA INTERNA - CONVENIENCIA</v>
      </c>
      <c r="J1163" s="2" t="str">
        <f>_xlfn.XLOOKUP($N1163,'Base de Grupos'!$A:$A,'Base de Grupos'!$L:$L)</f>
        <v>1000174119</v>
      </c>
      <c r="K1163" s="5" t="str">
        <f>_xlfn.XLOOKUP($N1163,'Base de Grupos'!$A:$A,'Base de Grupos'!$M:$M)</f>
        <v>REGIONAL VENDA INTERNA - CONVENIENCIA</v>
      </c>
      <c r="L1163" s="5" t="str">
        <f t="shared" si="355"/>
        <v/>
      </c>
      <c r="M1163" s="5" t="str">
        <f>_xlfn.XLOOKUP($N1163,'Base de Grupos'!$A:$A,'Base de Grupos'!$C:$C)</f>
        <v>AC</v>
      </c>
      <c r="N1163" s="3">
        <v>1532</v>
      </c>
      <c r="O1163" s="4" t="s">
        <v>368</v>
      </c>
      <c r="P1163" s="5" t="s">
        <v>86</v>
      </c>
      <c r="Q1163" s="24">
        <v>0</v>
      </c>
      <c r="R1163" s="24">
        <v>0</v>
      </c>
      <c r="S1163" s="24">
        <v>0</v>
      </c>
      <c r="T1163" s="24">
        <v>0</v>
      </c>
      <c r="U1163" s="24">
        <v>0</v>
      </c>
      <c r="V1163" s="24">
        <v>0</v>
      </c>
      <c r="W1163" s="24">
        <v>0</v>
      </c>
      <c r="X1163" s="24">
        <v>0</v>
      </c>
      <c r="Y1163" s="24">
        <v>0</v>
      </c>
      <c r="Z1163" s="24">
        <v>0</v>
      </c>
      <c r="AA1163" s="24">
        <v>0</v>
      </c>
      <c r="AB1163" s="24">
        <v>0</v>
      </c>
      <c r="AC1163" s="30">
        <f t="shared" si="356"/>
        <v>0</v>
      </c>
      <c r="AD1163" s="28"/>
      <c r="AE1163" s="12"/>
      <c r="AF1163" s="29"/>
      <c r="AG1163" s="9"/>
      <c r="AH1163" s="10"/>
      <c r="AI1163" s="9"/>
      <c r="AJ1163" s="11"/>
      <c r="AK1163" s="9"/>
      <c r="AL1163" s="13"/>
      <c r="AM1163" s="9"/>
    </row>
    <row r="1164" spans="1:39" x14ac:dyDescent="0.3">
      <c r="A1164" s="2" t="str">
        <f t="shared" si="354"/>
        <v>NÃO</v>
      </c>
      <c r="B1164" s="2" t="str">
        <f>_xlfn.XLOOKUP($N1164,'Base de Grupos'!$A:$A,'Base de Grupos'!$D:$D)</f>
        <v>1000065763</v>
      </c>
      <c r="C1164" s="5" t="str">
        <f>_xlfn.XLOOKUP($N1164,'Base de Grupos'!$A:$A,'Base de Grupos'!$E:$E)</f>
        <v>CANAL VENDA INTERNA</v>
      </c>
      <c r="D1164" s="5" t="str">
        <f>_xlfn.XLOOKUP($N1164,'Base de Grupos'!$A:$A,'Base de Grupos'!$F:$F)</f>
        <v>1000065763</v>
      </c>
      <c r="E1164" s="2" t="str">
        <f>_xlfn.XLOOKUP($N1164,'Base de Grupos'!$A:$A,'Base de Grupos'!$G:$G)</f>
        <v>CANAL VENDA INTERNA</v>
      </c>
      <c r="F1164" s="2" t="str">
        <f>_xlfn.XLOOKUP($N1164,'Base de Grupos'!$A:$A,'Base de Grupos'!$H:$H)</f>
        <v>1000174119</v>
      </c>
      <c r="G1164" s="5" t="str">
        <f>_xlfn.XLOOKUP($N1164,'Base de Grupos'!$A:$A,'Base de Grupos'!$I:$I)</f>
        <v>REGIONAL VENDA INTERNA - CONVENIENCIA</v>
      </c>
      <c r="H1164" s="5" t="str">
        <f>_xlfn.XLOOKUP($N1164,'Base de Grupos'!$A:$A,'Base de Grupos'!$J:$J)</f>
        <v>1000174119</v>
      </c>
      <c r="I1164" s="2" t="str">
        <f>_xlfn.XLOOKUP($N1164,'Base de Grupos'!$A:$A,'Base de Grupos'!$K:$K)</f>
        <v>REGIONAL VENDA INTERNA - CONVENIENCIA</v>
      </c>
      <c r="J1164" s="2" t="str">
        <f>_xlfn.XLOOKUP($N1164,'Base de Grupos'!$A:$A,'Base de Grupos'!$L:$L)</f>
        <v>1000174119</v>
      </c>
      <c r="K1164" s="5" t="str">
        <f>_xlfn.XLOOKUP($N1164,'Base de Grupos'!$A:$A,'Base de Grupos'!$M:$M)</f>
        <v>REGIONAL VENDA INTERNA - CONVENIENCIA</v>
      </c>
      <c r="L1164" s="5" t="str">
        <f t="shared" si="355"/>
        <v/>
      </c>
      <c r="M1164" s="5" t="str">
        <f>_xlfn.XLOOKUP($N1164,'Base de Grupos'!$A:$A,'Base de Grupos'!$C:$C)</f>
        <v>AC</v>
      </c>
      <c r="N1164" s="3">
        <v>1532</v>
      </c>
      <c r="O1164" s="4" t="s">
        <v>368</v>
      </c>
      <c r="P1164" s="5" t="s">
        <v>108</v>
      </c>
      <c r="Q1164" s="24">
        <v>0</v>
      </c>
      <c r="R1164" s="24">
        <v>0</v>
      </c>
      <c r="S1164" s="24">
        <v>0</v>
      </c>
      <c r="T1164" s="24">
        <v>0</v>
      </c>
      <c r="U1164" s="24">
        <v>0</v>
      </c>
      <c r="V1164" s="24">
        <v>0</v>
      </c>
      <c r="W1164" s="24">
        <v>0</v>
      </c>
      <c r="X1164" s="24">
        <v>0</v>
      </c>
      <c r="Y1164" s="24">
        <v>0</v>
      </c>
      <c r="Z1164" s="24">
        <v>0</v>
      </c>
      <c r="AA1164" s="24">
        <v>0</v>
      </c>
      <c r="AB1164" s="24">
        <v>0</v>
      </c>
      <c r="AC1164" s="30">
        <f t="shared" si="356"/>
        <v>0</v>
      </c>
      <c r="AD1164" s="28"/>
      <c r="AE1164" s="12"/>
      <c r="AF1164" s="29"/>
      <c r="AG1164" s="9"/>
      <c r="AH1164" s="10"/>
      <c r="AI1164" s="9"/>
      <c r="AJ1164" s="11"/>
      <c r="AK1164" s="9"/>
      <c r="AL1164" s="13"/>
      <c r="AM1164" s="9"/>
    </row>
    <row r="1165" spans="1:39" x14ac:dyDescent="0.3">
      <c r="A1165" s="2" t="str">
        <f t="shared" si="354"/>
        <v>NÃO</v>
      </c>
      <c r="B1165" s="2" t="str">
        <f>_xlfn.XLOOKUP($N1165,'Base de Grupos'!$A:$A,'Base de Grupos'!$D:$D)</f>
        <v>1000065763</v>
      </c>
      <c r="C1165" s="5" t="str">
        <f>_xlfn.XLOOKUP($N1165,'Base de Grupos'!$A:$A,'Base de Grupos'!$E:$E)</f>
        <v>CANAL VENDA INTERNA</v>
      </c>
      <c r="D1165" s="5" t="str">
        <f>_xlfn.XLOOKUP($N1165,'Base de Grupos'!$A:$A,'Base de Grupos'!$F:$F)</f>
        <v>1000065763</v>
      </c>
      <c r="E1165" s="2" t="str">
        <f>_xlfn.XLOOKUP($N1165,'Base de Grupos'!$A:$A,'Base de Grupos'!$G:$G)</f>
        <v>CANAL VENDA INTERNA</v>
      </c>
      <c r="F1165" s="2" t="str">
        <f>_xlfn.XLOOKUP($N1165,'Base de Grupos'!$A:$A,'Base de Grupos'!$H:$H)</f>
        <v>1000174119</v>
      </c>
      <c r="G1165" s="5" t="str">
        <f>_xlfn.XLOOKUP($N1165,'Base de Grupos'!$A:$A,'Base de Grupos'!$I:$I)</f>
        <v>REGIONAL VENDA INTERNA - CONVENIENCIA</v>
      </c>
      <c r="H1165" s="5" t="str">
        <f>_xlfn.XLOOKUP($N1165,'Base de Grupos'!$A:$A,'Base de Grupos'!$J:$J)</f>
        <v>1000174119</v>
      </c>
      <c r="I1165" s="2" t="str">
        <f>_xlfn.XLOOKUP($N1165,'Base de Grupos'!$A:$A,'Base de Grupos'!$K:$K)</f>
        <v>REGIONAL VENDA INTERNA - CONVENIENCIA</v>
      </c>
      <c r="J1165" s="2" t="str">
        <f>_xlfn.XLOOKUP($N1165,'Base de Grupos'!$A:$A,'Base de Grupos'!$L:$L)</f>
        <v>1000174119</v>
      </c>
      <c r="K1165" s="5" t="str">
        <f>_xlfn.XLOOKUP($N1165,'Base de Grupos'!$A:$A,'Base de Grupos'!$M:$M)</f>
        <v>REGIONAL VENDA INTERNA - CONVENIENCIA</v>
      </c>
      <c r="L1165" s="5" t="str">
        <f t="shared" si="355"/>
        <v/>
      </c>
      <c r="M1165" s="5" t="str">
        <f>_xlfn.XLOOKUP($N1165,'Base de Grupos'!$A:$A,'Base de Grupos'!$C:$C)</f>
        <v>AC</v>
      </c>
      <c r="N1165" s="3">
        <v>1532</v>
      </c>
      <c r="O1165" s="4" t="s">
        <v>368</v>
      </c>
      <c r="P1165" s="5" t="s">
        <v>89</v>
      </c>
      <c r="Q1165" s="24">
        <v>0</v>
      </c>
      <c r="R1165" s="24">
        <v>0</v>
      </c>
      <c r="S1165" s="24">
        <v>0</v>
      </c>
      <c r="T1165" s="24">
        <v>0</v>
      </c>
      <c r="U1165" s="24">
        <v>0</v>
      </c>
      <c r="V1165" s="24">
        <v>0</v>
      </c>
      <c r="W1165" s="24">
        <v>0</v>
      </c>
      <c r="X1165" s="24">
        <v>0</v>
      </c>
      <c r="Y1165" s="24">
        <v>0</v>
      </c>
      <c r="Z1165" s="24">
        <v>0</v>
      </c>
      <c r="AA1165" s="24">
        <v>0</v>
      </c>
      <c r="AB1165" s="24">
        <v>0</v>
      </c>
      <c r="AC1165" s="30">
        <f t="shared" si="356"/>
        <v>0</v>
      </c>
      <c r="AD1165" s="28"/>
      <c r="AE1165" s="12"/>
      <c r="AF1165" s="29"/>
      <c r="AG1165" s="9"/>
      <c r="AH1165" s="10"/>
      <c r="AI1165" s="9"/>
      <c r="AJ1165" s="11"/>
      <c r="AK1165" s="9"/>
      <c r="AL1165" s="13"/>
      <c r="AM1165" s="9"/>
    </row>
    <row r="1166" spans="1:39" x14ac:dyDescent="0.3">
      <c r="A1166" s="2" t="str">
        <f t="shared" si="354"/>
        <v>NÃO</v>
      </c>
      <c r="B1166" s="2" t="str">
        <f>_xlfn.XLOOKUP($N1166,'Base de Grupos'!$A:$A,'Base de Grupos'!$D:$D)</f>
        <v>1000065763</v>
      </c>
      <c r="C1166" s="5" t="str">
        <f>_xlfn.XLOOKUP($N1166,'Base de Grupos'!$A:$A,'Base de Grupos'!$E:$E)</f>
        <v>CANAL VENDA INTERNA</v>
      </c>
      <c r="D1166" s="5" t="str">
        <f>_xlfn.XLOOKUP($N1166,'Base de Grupos'!$A:$A,'Base de Grupos'!$F:$F)</f>
        <v>1000065763</v>
      </c>
      <c r="E1166" s="2" t="str">
        <f>_xlfn.XLOOKUP($N1166,'Base de Grupos'!$A:$A,'Base de Grupos'!$G:$G)</f>
        <v>CANAL VENDA INTERNA</v>
      </c>
      <c r="F1166" s="2" t="str">
        <f>_xlfn.XLOOKUP($N1166,'Base de Grupos'!$A:$A,'Base de Grupos'!$H:$H)</f>
        <v>1000174119</v>
      </c>
      <c r="G1166" s="5" t="str">
        <f>_xlfn.XLOOKUP($N1166,'Base de Grupos'!$A:$A,'Base de Grupos'!$I:$I)</f>
        <v>REGIONAL VENDA INTERNA - CONVENIENCIA</v>
      </c>
      <c r="H1166" s="5" t="str">
        <f>_xlfn.XLOOKUP($N1166,'Base de Grupos'!$A:$A,'Base de Grupos'!$J:$J)</f>
        <v>1000174119</v>
      </c>
      <c r="I1166" s="2" t="str">
        <f>_xlfn.XLOOKUP($N1166,'Base de Grupos'!$A:$A,'Base de Grupos'!$K:$K)</f>
        <v>REGIONAL VENDA INTERNA - CONVENIENCIA</v>
      </c>
      <c r="J1166" s="2" t="str">
        <f>_xlfn.XLOOKUP($N1166,'Base de Grupos'!$A:$A,'Base de Grupos'!$L:$L)</f>
        <v>1000174119</v>
      </c>
      <c r="K1166" s="5" t="str">
        <f>_xlfn.XLOOKUP($N1166,'Base de Grupos'!$A:$A,'Base de Grupos'!$M:$M)</f>
        <v>REGIONAL VENDA INTERNA - CONVENIENCIA</v>
      </c>
      <c r="L1166" s="5" t="str">
        <f t="shared" si="355"/>
        <v/>
      </c>
      <c r="M1166" s="5" t="str">
        <f>_xlfn.XLOOKUP($N1166,'Base de Grupos'!$A:$A,'Base de Grupos'!$C:$C)</f>
        <v>AC</v>
      </c>
      <c r="N1166" s="3">
        <v>1532</v>
      </c>
      <c r="O1166" s="4" t="s">
        <v>368</v>
      </c>
      <c r="P1166" s="5" t="s">
        <v>88</v>
      </c>
      <c r="Q1166" s="24">
        <v>0</v>
      </c>
      <c r="R1166" s="24">
        <v>0</v>
      </c>
      <c r="S1166" s="24">
        <v>0</v>
      </c>
      <c r="T1166" s="24">
        <v>0</v>
      </c>
      <c r="U1166" s="24">
        <v>0</v>
      </c>
      <c r="V1166" s="24">
        <v>0</v>
      </c>
      <c r="W1166" s="24">
        <v>0</v>
      </c>
      <c r="X1166" s="24">
        <v>0</v>
      </c>
      <c r="Y1166" s="24">
        <v>0</v>
      </c>
      <c r="Z1166" s="24">
        <v>0</v>
      </c>
      <c r="AA1166" s="24">
        <v>0</v>
      </c>
      <c r="AB1166" s="24">
        <v>0</v>
      </c>
      <c r="AC1166" s="30">
        <f t="shared" si="356"/>
        <v>0</v>
      </c>
      <c r="AD1166" s="28"/>
      <c r="AE1166" s="12"/>
      <c r="AF1166" s="29"/>
      <c r="AG1166" s="9"/>
      <c r="AH1166" s="10"/>
      <c r="AI1166" s="9"/>
      <c r="AJ1166" s="11"/>
      <c r="AK1166" s="9"/>
      <c r="AL1166" s="13"/>
      <c r="AM1166" s="9"/>
    </row>
    <row r="1167" spans="1:39" x14ac:dyDescent="0.3">
      <c r="A1167" s="2" t="str">
        <f t="shared" si="354"/>
        <v>NÃO</v>
      </c>
      <c r="B1167" s="2" t="str">
        <f>_xlfn.XLOOKUP($N1167,'Base de Grupos'!$A:$A,'Base de Grupos'!$D:$D)</f>
        <v>1000065763</v>
      </c>
      <c r="C1167" s="5" t="str">
        <f>_xlfn.XLOOKUP($N1167,'Base de Grupos'!$A:$A,'Base de Grupos'!$E:$E)</f>
        <v>CANAL VENDA INTERNA</v>
      </c>
      <c r="D1167" s="5" t="str">
        <f>_xlfn.XLOOKUP($N1167,'Base de Grupos'!$A:$A,'Base de Grupos'!$F:$F)</f>
        <v>1000065763</v>
      </c>
      <c r="E1167" s="2" t="str">
        <f>_xlfn.XLOOKUP($N1167,'Base de Grupos'!$A:$A,'Base de Grupos'!$G:$G)</f>
        <v>CANAL VENDA INTERNA</v>
      </c>
      <c r="F1167" s="2" t="str">
        <f>_xlfn.XLOOKUP($N1167,'Base de Grupos'!$A:$A,'Base de Grupos'!$H:$H)</f>
        <v>1000174119</v>
      </c>
      <c r="G1167" s="5" t="str">
        <f>_xlfn.XLOOKUP($N1167,'Base de Grupos'!$A:$A,'Base de Grupos'!$I:$I)</f>
        <v>REGIONAL VENDA INTERNA - CONVENIENCIA</v>
      </c>
      <c r="H1167" s="5" t="str">
        <f>_xlfn.XLOOKUP($N1167,'Base de Grupos'!$A:$A,'Base de Grupos'!$J:$J)</f>
        <v>1000174119</v>
      </c>
      <c r="I1167" s="2" t="str">
        <f>_xlfn.XLOOKUP($N1167,'Base de Grupos'!$A:$A,'Base de Grupos'!$K:$K)</f>
        <v>REGIONAL VENDA INTERNA - CONVENIENCIA</v>
      </c>
      <c r="J1167" s="2" t="str">
        <f>_xlfn.XLOOKUP($N1167,'Base de Grupos'!$A:$A,'Base de Grupos'!$L:$L)</f>
        <v>1000174119</v>
      </c>
      <c r="K1167" s="5" t="str">
        <f>_xlfn.XLOOKUP($N1167,'Base de Grupos'!$A:$A,'Base de Grupos'!$M:$M)</f>
        <v>REGIONAL VENDA INTERNA - CONVENIENCIA</v>
      </c>
      <c r="L1167" s="5" t="str">
        <f t="shared" si="355"/>
        <v/>
      </c>
      <c r="M1167" s="5" t="str">
        <f>_xlfn.XLOOKUP($N1167,'Base de Grupos'!$A:$A,'Base de Grupos'!$C:$C)</f>
        <v>AC</v>
      </c>
      <c r="N1167" s="3">
        <v>1532</v>
      </c>
      <c r="O1167" s="4" t="s">
        <v>368</v>
      </c>
      <c r="P1167" s="5" t="s">
        <v>90</v>
      </c>
      <c r="Q1167" s="24">
        <v>0</v>
      </c>
      <c r="R1167" s="24">
        <v>0</v>
      </c>
      <c r="S1167" s="24">
        <v>0</v>
      </c>
      <c r="T1167" s="24">
        <v>0</v>
      </c>
      <c r="U1167" s="24">
        <v>0</v>
      </c>
      <c r="V1167" s="24">
        <v>0</v>
      </c>
      <c r="W1167" s="24">
        <v>0</v>
      </c>
      <c r="X1167" s="24">
        <v>0</v>
      </c>
      <c r="Y1167" s="24">
        <v>0</v>
      </c>
      <c r="Z1167" s="24">
        <v>0</v>
      </c>
      <c r="AA1167" s="24">
        <v>0</v>
      </c>
      <c r="AB1167" s="24">
        <v>0</v>
      </c>
      <c r="AC1167" s="30">
        <f t="shared" si="356"/>
        <v>0</v>
      </c>
      <c r="AD1167" s="28"/>
      <c r="AE1167" s="12"/>
      <c r="AF1167" s="29"/>
      <c r="AG1167" s="9"/>
      <c r="AH1167" s="10"/>
      <c r="AI1167" s="9"/>
      <c r="AJ1167" s="11"/>
      <c r="AK1167" s="9"/>
      <c r="AL1167" s="13"/>
      <c r="AM1167" s="9"/>
    </row>
    <row r="1168" spans="1:39" x14ac:dyDescent="0.3">
      <c r="A1168" s="2" t="str">
        <f t="shared" si="354"/>
        <v>NÃO</v>
      </c>
      <c r="B1168" s="2" t="str">
        <f>_xlfn.XLOOKUP($N1168,'Base de Grupos'!$A:$A,'Base de Grupos'!$D:$D)</f>
        <v>1000065763</v>
      </c>
      <c r="C1168" s="5" t="str">
        <f>_xlfn.XLOOKUP($N1168,'Base de Grupos'!$A:$A,'Base de Grupos'!$E:$E)</f>
        <v>CANAL VENDA INTERNA</v>
      </c>
      <c r="D1168" s="5" t="str">
        <f>_xlfn.XLOOKUP($N1168,'Base de Grupos'!$A:$A,'Base de Grupos'!$F:$F)</f>
        <v>1000065763</v>
      </c>
      <c r="E1168" s="2" t="str">
        <f>_xlfn.XLOOKUP($N1168,'Base de Grupos'!$A:$A,'Base de Grupos'!$G:$G)</f>
        <v>CANAL VENDA INTERNA</v>
      </c>
      <c r="F1168" s="2" t="str">
        <f>_xlfn.XLOOKUP($N1168,'Base de Grupos'!$A:$A,'Base de Grupos'!$H:$H)</f>
        <v>1000174119</v>
      </c>
      <c r="G1168" s="5" t="str">
        <f>_xlfn.XLOOKUP($N1168,'Base de Grupos'!$A:$A,'Base de Grupos'!$I:$I)</f>
        <v>REGIONAL VENDA INTERNA - CONVENIENCIA</v>
      </c>
      <c r="H1168" s="5" t="str">
        <f>_xlfn.XLOOKUP($N1168,'Base de Grupos'!$A:$A,'Base de Grupos'!$J:$J)</f>
        <v>1000174119</v>
      </c>
      <c r="I1168" s="2" t="str">
        <f>_xlfn.XLOOKUP($N1168,'Base de Grupos'!$A:$A,'Base de Grupos'!$K:$K)</f>
        <v>REGIONAL VENDA INTERNA - CONVENIENCIA</v>
      </c>
      <c r="J1168" s="2" t="str">
        <f>_xlfn.XLOOKUP($N1168,'Base de Grupos'!$A:$A,'Base de Grupos'!$L:$L)</f>
        <v>1000174119</v>
      </c>
      <c r="K1168" s="5" t="str">
        <f>_xlfn.XLOOKUP($N1168,'Base de Grupos'!$A:$A,'Base de Grupos'!$M:$M)</f>
        <v>REGIONAL VENDA INTERNA - CONVENIENCIA</v>
      </c>
      <c r="L1168" s="5" t="str">
        <f t="shared" si="355"/>
        <v/>
      </c>
      <c r="M1168" s="5" t="str">
        <f>_xlfn.XLOOKUP($N1168,'Base de Grupos'!$A:$A,'Base de Grupos'!$C:$C)</f>
        <v>AC</v>
      </c>
      <c r="N1168" s="3">
        <v>1532</v>
      </c>
      <c r="O1168" s="4" t="s">
        <v>368</v>
      </c>
      <c r="P1168" s="5" t="s">
        <v>91</v>
      </c>
      <c r="Q1168" s="24">
        <v>0</v>
      </c>
      <c r="R1168" s="24">
        <v>0</v>
      </c>
      <c r="S1168" s="24">
        <v>0</v>
      </c>
      <c r="T1168" s="24">
        <v>0</v>
      </c>
      <c r="U1168" s="24">
        <v>0</v>
      </c>
      <c r="V1168" s="24">
        <v>0</v>
      </c>
      <c r="W1168" s="24">
        <v>0</v>
      </c>
      <c r="X1168" s="24">
        <v>0</v>
      </c>
      <c r="Y1168" s="24">
        <v>0</v>
      </c>
      <c r="Z1168" s="24">
        <v>0</v>
      </c>
      <c r="AA1168" s="24">
        <v>0</v>
      </c>
      <c r="AB1168" s="24">
        <v>0</v>
      </c>
      <c r="AC1168" s="30">
        <f t="shared" si="356"/>
        <v>0</v>
      </c>
      <c r="AD1168" s="28"/>
      <c r="AE1168" s="12"/>
      <c r="AF1168" s="29"/>
      <c r="AG1168" s="9"/>
      <c r="AH1168" s="10"/>
      <c r="AI1168" s="9"/>
      <c r="AJ1168" s="11"/>
      <c r="AK1168" s="9"/>
      <c r="AL1168" s="13"/>
      <c r="AM1168" s="9"/>
    </row>
    <row r="1169" spans="1:39" x14ac:dyDescent="0.3">
      <c r="A1169" s="2" t="str">
        <f t="shared" si="354"/>
        <v>NÃO</v>
      </c>
      <c r="B1169" s="2" t="str">
        <f>_xlfn.XLOOKUP($N1169,'Base de Grupos'!$A:$A,'Base de Grupos'!$D:$D)</f>
        <v>1000065763</v>
      </c>
      <c r="C1169" s="5" t="str">
        <f>_xlfn.XLOOKUP($N1169,'Base de Grupos'!$A:$A,'Base de Grupos'!$E:$E)</f>
        <v>CANAL VENDA INTERNA</v>
      </c>
      <c r="D1169" s="5" t="str">
        <f>_xlfn.XLOOKUP($N1169,'Base de Grupos'!$A:$A,'Base de Grupos'!$F:$F)</f>
        <v>1000065763</v>
      </c>
      <c r="E1169" s="2" t="str">
        <f>_xlfn.XLOOKUP($N1169,'Base de Grupos'!$A:$A,'Base de Grupos'!$G:$G)</f>
        <v>CANAL VENDA INTERNA</v>
      </c>
      <c r="F1169" s="2" t="str">
        <f>_xlfn.XLOOKUP($N1169,'Base de Grupos'!$A:$A,'Base de Grupos'!$H:$H)</f>
        <v>1000174119</v>
      </c>
      <c r="G1169" s="5" t="str">
        <f>_xlfn.XLOOKUP($N1169,'Base de Grupos'!$A:$A,'Base de Grupos'!$I:$I)</f>
        <v>REGIONAL VENDA INTERNA - CONVENIENCIA</v>
      </c>
      <c r="H1169" s="5" t="str">
        <f>_xlfn.XLOOKUP($N1169,'Base de Grupos'!$A:$A,'Base de Grupos'!$J:$J)</f>
        <v>1000174119</v>
      </c>
      <c r="I1169" s="2" t="str">
        <f>_xlfn.XLOOKUP($N1169,'Base de Grupos'!$A:$A,'Base de Grupos'!$K:$K)</f>
        <v>REGIONAL VENDA INTERNA - CONVENIENCIA</v>
      </c>
      <c r="J1169" s="2" t="str">
        <f>_xlfn.XLOOKUP($N1169,'Base de Grupos'!$A:$A,'Base de Grupos'!$L:$L)</f>
        <v>1000174119</v>
      </c>
      <c r="K1169" s="5" t="str">
        <f>_xlfn.XLOOKUP($N1169,'Base de Grupos'!$A:$A,'Base de Grupos'!$M:$M)</f>
        <v>REGIONAL VENDA INTERNA - CONVENIENCIA</v>
      </c>
      <c r="L1169" s="5" t="str">
        <f t="shared" si="355"/>
        <v/>
      </c>
      <c r="M1169" s="5" t="str">
        <f>_xlfn.XLOOKUP($N1169,'Base de Grupos'!$A:$A,'Base de Grupos'!$C:$C)</f>
        <v>AC</v>
      </c>
      <c r="N1169" s="3">
        <v>1532</v>
      </c>
      <c r="O1169" s="4" t="s">
        <v>368</v>
      </c>
      <c r="P1169" s="5" t="s">
        <v>96</v>
      </c>
      <c r="Q1169" s="24">
        <v>0</v>
      </c>
      <c r="R1169" s="24">
        <v>0</v>
      </c>
      <c r="S1169" s="24">
        <v>0</v>
      </c>
      <c r="T1169" s="24">
        <v>0</v>
      </c>
      <c r="U1169" s="24">
        <v>0</v>
      </c>
      <c r="V1169" s="24">
        <v>0</v>
      </c>
      <c r="W1169" s="24">
        <v>0</v>
      </c>
      <c r="X1169" s="24">
        <v>0</v>
      </c>
      <c r="Y1169" s="24">
        <v>0</v>
      </c>
      <c r="Z1169" s="24">
        <v>0</v>
      </c>
      <c r="AA1169" s="24">
        <v>0</v>
      </c>
      <c r="AB1169" s="24">
        <v>0</v>
      </c>
      <c r="AC1169" s="30">
        <f t="shared" si="356"/>
        <v>0</v>
      </c>
      <c r="AD1169" s="28"/>
      <c r="AE1169" s="12"/>
      <c r="AF1169" s="29"/>
      <c r="AG1169" s="9"/>
      <c r="AH1169" s="10"/>
      <c r="AI1169" s="9"/>
      <c r="AJ1169" s="11"/>
      <c r="AK1169" s="9"/>
      <c r="AL1169" s="13"/>
      <c r="AM1169" s="9"/>
    </row>
    <row r="1170" spans="1:39" x14ac:dyDescent="0.3">
      <c r="A1170" s="2" t="str">
        <f t="shared" si="354"/>
        <v>NÃO</v>
      </c>
      <c r="B1170" s="2" t="str">
        <f>_xlfn.XLOOKUP($N1170,'Base de Grupos'!$A:$A,'Base de Grupos'!$D:$D)</f>
        <v>1000065763</v>
      </c>
      <c r="C1170" s="5" t="str">
        <f>_xlfn.XLOOKUP($N1170,'Base de Grupos'!$A:$A,'Base de Grupos'!$E:$E)</f>
        <v>CANAL VENDA INTERNA</v>
      </c>
      <c r="D1170" s="5" t="str">
        <f>_xlfn.XLOOKUP($N1170,'Base de Grupos'!$A:$A,'Base de Grupos'!$F:$F)</f>
        <v>1000065763</v>
      </c>
      <c r="E1170" s="2" t="str">
        <f>_xlfn.XLOOKUP($N1170,'Base de Grupos'!$A:$A,'Base de Grupos'!$G:$G)</f>
        <v>CANAL VENDA INTERNA</v>
      </c>
      <c r="F1170" s="2" t="str">
        <f>_xlfn.XLOOKUP($N1170,'Base de Grupos'!$A:$A,'Base de Grupos'!$H:$H)</f>
        <v>1000174119</v>
      </c>
      <c r="G1170" s="5" t="str">
        <f>_xlfn.XLOOKUP($N1170,'Base de Grupos'!$A:$A,'Base de Grupos'!$I:$I)</f>
        <v>REGIONAL VENDA INTERNA - CONVENIENCIA</v>
      </c>
      <c r="H1170" s="5" t="str">
        <f>_xlfn.XLOOKUP($N1170,'Base de Grupos'!$A:$A,'Base de Grupos'!$J:$J)</f>
        <v>1000174119</v>
      </c>
      <c r="I1170" s="2" t="str">
        <f>_xlfn.XLOOKUP($N1170,'Base de Grupos'!$A:$A,'Base de Grupos'!$K:$K)</f>
        <v>REGIONAL VENDA INTERNA - CONVENIENCIA</v>
      </c>
      <c r="J1170" s="2" t="str">
        <f>_xlfn.XLOOKUP($N1170,'Base de Grupos'!$A:$A,'Base de Grupos'!$L:$L)</f>
        <v>1000174119</v>
      </c>
      <c r="K1170" s="5" t="str">
        <f>_xlfn.XLOOKUP($N1170,'Base de Grupos'!$A:$A,'Base de Grupos'!$M:$M)</f>
        <v>REGIONAL VENDA INTERNA - CONVENIENCIA</v>
      </c>
      <c r="L1170" s="5" t="str">
        <f t="shared" si="355"/>
        <v/>
      </c>
      <c r="M1170" s="5" t="str">
        <f>_xlfn.XLOOKUP($N1170,'Base de Grupos'!$A:$A,'Base de Grupos'!$C:$C)</f>
        <v>AC</v>
      </c>
      <c r="N1170" s="3">
        <v>1532</v>
      </c>
      <c r="O1170" s="4" t="s">
        <v>368</v>
      </c>
      <c r="P1170" s="5" t="s">
        <v>94</v>
      </c>
      <c r="Q1170" s="24">
        <v>0</v>
      </c>
      <c r="R1170" s="24">
        <v>0</v>
      </c>
      <c r="S1170" s="24">
        <v>0</v>
      </c>
      <c r="T1170" s="24">
        <v>0</v>
      </c>
      <c r="U1170" s="24">
        <v>0</v>
      </c>
      <c r="V1170" s="24">
        <v>0</v>
      </c>
      <c r="W1170" s="24">
        <v>0</v>
      </c>
      <c r="X1170" s="24">
        <v>0</v>
      </c>
      <c r="Y1170" s="24">
        <v>0</v>
      </c>
      <c r="Z1170" s="24">
        <v>0</v>
      </c>
      <c r="AA1170" s="24">
        <v>0</v>
      </c>
      <c r="AB1170" s="24">
        <v>0</v>
      </c>
      <c r="AC1170" s="30">
        <f t="shared" si="356"/>
        <v>0</v>
      </c>
      <c r="AD1170" s="28"/>
      <c r="AE1170" s="12"/>
      <c r="AF1170" s="29"/>
      <c r="AG1170" s="9"/>
      <c r="AH1170" s="10"/>
      <c r="AI1170" s="9"/>
      <c r="AJ1170" s="11"/>
      <c r="AK1170" s="9"/>
      <c r="AL1170" s="13"/>
      <c r="AM1170" s="9"/>
    </row>
    <row r="1171" spans="1:39" x14ac:dyDescent="0.3">
      <c r="A1171" s="2" t="str">
        <f t="shared" si="354"/>
        <v>NÃO</v>
      </c>
      <c r="B1171" s="2" t="str">
        <f>_xlfn.XLOOKUP($N1171,'Base de Grupos'!$A:$A,'Base de Grupos'!$D:$D)</f>
        <v>1000065763</v>
      </c>
      <c r="C1171" s="5" t="str">
        <f>_xlfn.XLOOKUP($N1171,'Base de Grupos'!$A:$A,'Base de Grupos'!$E:$E)</f>
        <v>CANAL VENDA INTERNA</v>
      </c>
      <c r="D1171" s="5" t="str">
        <f>_xlfn.XLOOKUP($N1171,'Base de Grupos'!$A:$A,'Base de Grupos'!$F:$F)</f>
        <v>1000065763</v>
      </c>
      <c r="E1171" s="2" t="str">
        <f>_xlfn.XLOOKUP($N1171,'Base de Grupos'!$A:$A,'Base de Grupos'!$G:$G)</f>
        <v>CANAL VENDA INTERNA</v>
      </c>
      <c r="F1171" s="2" t="str">
        <f>_xlfn.XLOOKUP($N1171,'Base de Grupos'!$A:$A,'Base de Grupos'!$H:$H)</f>
        <v>1000174119</v>
      </c>
      <c r="G1171" s="5" t="str">
        <f>_xlfn.XLOOKUP($N1171,'Base de Grupos'!$A:$A,'Base de Grupos'!$I:$I)</f>
        <v>REGIONAL VENDA INTERNA - CONVENIENCIA</v>
      </c>
      <c r="H1171" s="5" t="str">
        <f>_xlfn.XLOOKUP($N1171,'Base de Grupos'!$A:$A,'Base de Grupos'!$J:$J)</f>
        <v>1000174119</v>
      </c>
      <c r="I1171" s="2" t="str">
        <f>_xlfn.XLOOKUP($N1171,'Base de Grupos'!$A:$A,'Base de Grupos'!$K:$K)</f>
        <v>REGIONAL VENDA INTERNA - CONVENIENCIA</v>
      </c>
      <c r="J1171" s="2" t="str">
        <f>_xlfn.XLOOKUP($N1171,'Base de Grupos'!$A:$A,'Base de Grupos'!$L:$L)</f>
        <v>1000174119</v>
      </c>
      <c r="K1171" s="5" t="str">
        <f>_xlfn.XLOOKUP($N1171,'Base de Grupos'!$A:$A,'Base de Grupos'!$M:$M)</f>
        <v>REGIONAL VENDA INTERNA - CONVENIENCIA</v>
      </c>
      <c r="L1171" s="5" t="str">
        <f t="shared" si="355"/>
        <v/>
      </c>
      <c r="M1171" s="5" t="str">
        <f>_xlfn.XLOOKUP($N1171,'Base de Grupos'!$A:$A,'Base de Grupos'!$C:$C)</f>
        <v>AC</v>
      </c>
      <c r="N1171" s="3">
        <v>1532</v>
      </c>
      <c r="O1171" s="4" t="s">
        <v>368</v>
      </c>
      <c r="P1171" s="5" t="s">
        <v>95</v>
      </c>
      <c r="Q1171" s="24">
        <v>0</v>
      </c>
      <c r="R1171" s="24">
        <v>0</v>
      </c>
      <c r="S1171" s="24">
        <v>0</v>
      </c>
      <c r="T1171" s="24">
        <v>0</v>
      </c>
      <c r="U1171" s="24">
        <v>0</v>
      </c>
      <c r="V1171" s="24">
        <v>0</v>
      </c>
      <c r="W1171" s="24">
        <v>0</v>
      </c>
      <c r="X1171" s="24">
        <v>0</v>
      </c>
      <c r="Y1171" s="24">
        <v>0</v>
      </c>
      <c r="Z1171" s="24">
        <v>0</v>
      </c>
      <c r="AA1171" s="24">
        <v>0</v>
      </c>
      <c r="AB1171" s="24">
        <v>0</v>
      </c>
      <c r="AC1171" s="30">
        <f t="shared" si="356"/>
        <v>0</v>
      </c>
      <c r="AD1171" s="28"/>
      <c r="AE1171" s="12"/>
      <c r="AF1171" s="29"/>
      <c r="AG1171" s="9"/>
      <c r="AH1171" s="10"/>
      <c r="AI1171" s="9"/>
      <c r="AJ1171" s="11"/>
      <c r="AK1171" s="9"/>
      <c r="AL1171" s="13"/>
      <c r="AM1171" s="9"/>
    </row>
    <row r="1172" spans="1:39" x14ac:dyDescent="0.3">
      <c r="A1172" s="2" t="str">
        <f t="shared" si="354"/>
        <v>NÃO</v>
      </c>
      <c r="B1172" s="2" t="str">
        <f>_xlfn.XLOOKUP($N1172,'Base de Grupos'!$A:$A,'Base de Grupos'!$D:$D)</f>
        <v>1000065763</v>
      </c>
      <c r="C1172" s="5" t="str">
        <f>_xlfn.XLOOKUP($N1172,'Base de Grupos'!$A:$A,'Base de Grupos'!$E:$E)</f>
        <v>CANAL VENDA INTERNA</v>
      </c>
      <c r="D1172" s="5" t="str">
        <f>_xlfn.XLOOKUP($N1172,'Base de Grupos'!$A:$A,'Base de Grupos'!$F:$F)</f>
        <v>1000065763</v>
      </c>
      <c r="E1172" s="2" t="str">
        <f>_xlfn.XLOOKUP($N1172,'Base de Grupos'!$A:$A,'Base de Grupos'!$G:$G)</f>
        <v>CANAL VENDA INTERNA</v>
      </c>
      <c r="F1172" s="2" t="str">
        <f>_xlfn.XLOOKUP($N1172,'Base de Grupos'!$A:$A,'Base de Grupos'!$H:$H)</f>
        <v>1000174119</v>
      </c>
      <c r="G1172" s="5" t="str">
        <f>_xlfn.XLOOKUP($N1172,'Base de Grupos'!$A:$A,'Base de Grupos'!$I:$I)</f>
        <v>REGIONAL VENDA INTERNA - CONVENIENCIA</v>
      </c>
      <c r="H1172" s="5" t="str">
        <f>_xlfn.XLOOKUP($N1172,'Base de Grupos'!$A:$A,'Base de Grupos'!$J:$J)</f>
        <v>1000174119</v>
      </c>
      <c r="I1172" s="2" t="str">
        <f>_xlfn.XLOOKUP($N1172,'Base de Grupos'!$A:$A,'Base de Grupos'!$K:$K)</f>
        <v>REGIONAL VENDA INTERNA - CONVENIENCIA</v>
      </c>
      <c r="J1172" s="2" t="str">
        <f>_xlfn.XLOOKUP($N1172,'Base de Grupos'!$A:$A,'Base de Grupos'!$L:$L)</f>
        <v>1000174119</v>
      </c>
      <c r="K1172" s="5" t="str">
        <f>_xlfn.XLOOKUP($N1172,'Base de Grupos'!$A:$A,'Base de Grupos'!$M:$M)</f>
        <v>REGIONAL VENDA INTERNA - CONVENIENCIA</v>
      </c>
      <c r="L1172" s="5" t="str">
        <f t="shared" si="355"/>
        <v/>
      </c>
      <c r="M1172" s="5" t="str">
        <f>_xlfn.XLOOKUP($N1172,'Base de Grupos'!$A:$A,'Base de Grupos'!$C:$C)</f>
        <v>AC</v>
      </c>
      <c r="N1172" s="3">
        <v>1532</v>
      </c>
      <c r="O1172" s="4" t="s">
        <v>368</v>
      </c>
      <c r="P1172" s="5" t="s">
        <v>93</v>
      </c>
      <c r="Q1172" s="24">
        <v>0</v>
      </c>
      <c r="R1172" s="24">
        <v>0</v>
      </c>
      <c r="S1172" s="24">
        <v>0</v>
      </c>
      <c r="T1172" s="24">
        <v>0</v>
      </c>
      <c r="U1172" s="24">
        <v>0</v>
      </c>
      <c r="V1172" s="24">
        <v>0</v>
      </c>
      <c r="W1172" s="24">
        <v>0</v>
      </c>
      <c r="X1172" s="24">
        <v>0</v>
      </c>
      <c r="Y1172" s="24">
        <v>0</v>
      </c>
      <c r="Z1172" s="24">
        <v>0</v>
      </c>
      <c r="AA1172" s="24">
        <v>0</v>
      </c>
      <c r="AB1172" s="24">
        <v>0</v>
      </c>
      <c r="AC1172" s="30">
        <f t="shared" si="356"/>
        <v>0</v>
      </c>
      <c r="AD1172" s="28"/>
      <c r="AE1172" s="12"/>
      <c r="AF1172" s="29"/>
      <c r="AG1172" s="9"/>
      <c r="AH1172" s="10"/>
      <c r="AI1172" s="9"/>
      <c r="AJ1172" s="11"/>
      <c r="AK1172" s="9"/>
      <c r="AL1172" s="13"/>
      <c r="AM1172" s="9"/>
    </row>
    <row r="1173" spans="1:39" x14ac:dyDescent="0.3">
      <c r="A1173" s="2" t="str">
        <f t="shared" si="354"/>
        <v>SIM</v>
      </c>
      <c r="B1173" s="2" t="str">
        <f>_xlfn.XLOOKUP($N1173,'Base de Grupos'!$A:$A,'Base de Grupos'!$D:$D)</f>
        <v>1000065763</v>
      </c>
      <c r="C1173" s="5" t="str">
        <f>_xlfn.XLOOKUP($N1173,'Base de Grupos'!$A:$A,'Base de Grupos'!$E:$E)</f>
        <v>CANAL VENDA INTERNA</v>
      </c>
      <c r="D1173" s="5" t="str">
        <f>_xlfn.XLOOKUP($N1173,'Base de Grupos'!$A:$A,'Base de Grupos'!$F:$F)</f>
        <v>1000065763</v>
      </c>
      <c r="E1173" s="2" t="str">
        <f>_xlfn.XLOOKUP($N1173,'Base de Grupos'!$A:$A,'Base de Grupos'!$G:$G)</f>
        <v>CANAL VENDA INTERNA</v>
      </c>
      <c r="F1173" s="2" t="str">
        <f>_xlfn.XLOOKUP($N1173,'Base de Grupos'!$A:$A,'Base de Grupos'!$H:$H)</f>
        <v>1000105900</v>
      </c>
      <c r="G1173" s="5" t="str">
        <f>_xlfn.XLOOKUP($N1173,'Base de Grupos'!$A:$A,'Base de Grupos'!$I:$I)</f>
        <v>REGIONAL VENDA DIRETA CO + NE + NO</v>
      </c>
      <c r="H1173" s="5" t="str">
        <f>_xlfn.XLOOKUP($N1173,'Base de Grupos'!$A:$A,'Base de Grupos'!$J:$J)</f>
        <v>1000105900</v>
      </c>
      <c r="I1173" s="2" t="str">
        <f>_xlfn.XLOOKUP($N1173,'Base de Grupos'!$A:$A,'Base de Grupos'!$K:$K)</f>
        <v>REGIONAL VENDA DIRETA CO + NE + NO</v>
      </c>
      <c r="J1173" s="2" t="str">
        <f>_xlfn.XLOOKUP($N1173,'Base de Grupos'!$A:$A,'Base de Grupos'!$L:$L)</f>
        <v>1000150135</v>
      </c>
      <c r="K1173" s="5" t="str">
        <f>_xlfn.XLOOKUP($N1173,'Base de Grupos'!$A:$A,'Base de Grupos'!$M:$M)</f>
        <v>HELDER DA SILVA BRUNKOW</v>
      </c>
      <c r="L1173" s="5">
        <f t="shared" si="355"/>
        <v>1</v>
      </c>
      <c r="M1173" s="5" t="str">
        <f>_xlfn.XLOOKUP($N1173,'Base de Grupos'!$A:$A,'Base de Grupos'!$C:$C)</f>
        <v>AC</v>
      </c>
      <c r="N1173" s="3">
        <v>1533</v>
      </c>
      <c r="O1173" s="4" t="s">
        <v>369</v>
      </c>
      <c r="P1173" s="5" t="s">
        <v>372</v>
      </c>
      <c r="Q1173" s="24">
        <v>0</v>
      </c>
      <c r="R1173" s="24">
        <v>0</v>
      </c>
      <c r="S1173" s="24">
        <v>0</v>
      </c>
      <c r="T1173" s="24">
        <v>0</v>
      </c>
      <c r="U1173" s="24">
        <v>0</v>
      </c>
      <c r="V1173" s="24">
        <v>0</v>
      </c>
      <c r="W1173" s="24">
        <v>0</v>
      </c>
      <c r="X1173" s="24">
        <v>0</v>
      </c>
      <c r="Y1173" s="24">
        <v>0</v>
      </c>
      <c r="Z1173" s="24">
        <v>0</v>
      </c>
      <c r="AA1173" s="24">
        <v>0</v>
      </c>
      <c r="AB1173" s="24">
        <v>0</v>
      </c>
      <c r="AC1173" s="30">
        <f t="shared" si="356"/>
        <v>0</v>
      </c>
      <c r="AD1173" s="28"/>
      <c r="AE1173" s="12"/>
      <c r="AF1173" s="29"/>
      <c r="AG1173" s="9"/>
      <c r="AH1173" s="10"/>
      <c r="AI1173" s="9"/>
      <c r="AJ1173" s="11"/>
      <c r="AK1173" s="9"/>
      <c r="AL1173" s="13"/>
      <c r="AM1173" s="9"/>
    </row>
    <row r="1174" spans="1:39" x14ac:dyDescent="0.3">
      <c r="A1174" s="2" t="str">
        <f t="shared" si="354"/>
        <v>NÃO</v>
      </c>
      <c r="B1174" s="2" t="str">
        <f>_xlfn.XLOOKUP($N1174,'Base de Grupos'!$A:$A,'Base de Grupos'!$D:$D)</f>
        <v>1000065763</v>
      </c>
      <c r="C1174" s="5" t="str">
        <f>_xlfn.XLOOKUP($N1174,'Base de Grupos'!$A:$A,'Base de Grupos'!$E:$E)</f>
        <v>CANAL VENDA INTERNA</v>
      </c>
      <c r="D1174" s="5" t="str">
        <f>_xlfn.XLOOKUP($N1174,'Base de Grupos'!$A:$A,'Base de Grupos'!$F:$F)</f>
        <v>1000065763</v>
      </c>
      <c r="E1174" s="2" t="str">
        <f>_xlfn.XLOOKUP($N1174,'Base de Grupos'!$A:$A,'Base de Grupos'!$G:$G)</f>
        <v>CANAL VENDA INTERNA</v>
      </c>
      <c r="F1174" s="2" t="str">
        <f>_xlfn.XLOOKUP($N1174,'Base de Grupos'!$A:$A,'Base de Grupos'!$H:$H)</f>
        <v>1000105900</v>
      </c>
      <c r="G1174" s="5" t="str">
        <f>_xlfn.XLOOKUP($N1174,'Base de Grupos'!$A:$A,'Base de Grupos'!$I:$I)</f>
        <v>REGIONAL VENDA DIRETA CO + NE + NO</v>
      </c>
      <c r="H1174" s="5" t="str">
        <f>_xlfn.XLOOKUP($N1174,'Base de Grupos'!$A:$A,'Base de Grupos'!$J:$J)</f>
        <v>1000105900</v>
      </c>
      <c r="I1174" s="2" t="str">
        <f>_xlfn.XLOOKUP($N1174,'Base de Grupos'!$A:$A,'Base de Grupos'!$K:$K)</f>
        <v>REGIONAL VENDA DIRETA CO + NE + NO</v>
      </c>
      <c r="J1174" s="2" t="str">
        <f>_xlfn.XLOOKUP($N1174,'Base de Grupos'!$A:$A,'Base de Grupos'!$L:$L)</f>
        <v>1000150135</v>
      </c>
      <c r="K1174" s="5" t="str">
        <f>_xlfn.XLOOKUP($N1174,'Base de Grupos'!$A:$A,'Base de Grupos'!$M:$M)</f>
        <v>HELDER DA SILVA BRUNKOW</v>
      </c>
      <c r="L1174" s="5" t="str">
        <f t="shared" si="355"/>
        <v/>
      </c>
      <c r="M1174" s="5" t="str">
        <f>_xlfn.XLOOKUP($N1174,'Base de Grupos'!$A:$A,'Base de Grupos'!$C:$C)</f>
        <v>AC</v>
      </c>
      <c r="N1174" s="3">
        <v>1533</v>
      </c>
      <c r="O1174" s="4" t="s">
        <v>369</v>
      </c>
      <c r="P1174" s="5" t="s">
        <v>81</v>
      </c>
      <c r="Q1174" s="24">
        <v>0</v>
      </c>
      <c r="R1174" s="24">
        <v>0</v>
      </c>
      <c r="S1174" s="24">
        <v>0</v>
      </c>
      <c r="T1174" s="24">
        <v>0</v>
      </c>
      <c r="U1174" s="24">
        <v>0</v>
      </c>
      <c r="V1174" s="24">
        <v>0</v>
      </c>
      <c r="W1174" s="24">
        <v>0</v>
      </c>
      <c r="X1174" s="24">
        <v>0</v>
      </c>
      <c r="Y1174" s="24">
        <v>0</v>
      </c>
      <c r="Z1174" s="24">
        <v>0</v>
      </c>
      <c r="AA1174" s="24">
        <v>0</v>
      </c>
      <c r="AB1174" s="24">
        <v>0</v>
      </c>
      <c r="AC1174" s="30">
        <f t="shared" si="356"/>
        <v>0</v>
      </c>
      <c r="AD1174" s="28"/>
      <c r="AE1174" s="12"/>
      <c r="AF1174" s="29"/>
      <c r="AG1174" s="9"/>
      <c r="AH1174" s="10"/>
      <c r="AI1174" s="9"/>
      <c r="AJ1174" s="11"/>
      <c r="AK1174" s="9"/>
      <c r="AL1174" s="13"/>
      <c r="AM1174" s="9"/>
    </row>
    <row r="1175" spans="1:39" x14ac:dyDescent="0.3">
      <c r="A1175" s="2" t="str">
        <f t="shared" si="354"/>
        <v>NÃO</v>
      </c>
      <c r="B1175" s="2" t="str">
        <f>_xlfn.XLOOKUP($N1175,'Base de Grupos'!$A:$A,'Base de Grupos'!$D:$D)</f>
        <v>1000065763</v>
      </c>
      <c r="C1175" s="5" t="str">
        <f>_xlfn.XLOOKUP($N1175,'Base de Grupos'!$A:$A,'Base de Grupos'!$E:$E)</f>
        <v>CANAL VENDA INTERNA</v>
      </c>
      <c r="D1175" s="5" t="str">
        <f>_xlfn.XLOOKUP($N1175,'Base de Grupos'!$A:$A,'Base de Grupos'!$F:$F)</f>
        <v>1000065763</v>
      </c>
      <c r="E1175" s="2" t="str">
        <f>_xlfn.XLOOKUP($N1175,'Base de Grupos'!$A:$A,'Base de Grupos'!$G:$G)</f>
        <v>CANAL VENDA INTERNA</v>
      </c>
      <c r="F1175" s="2" t="str">
        <f>_xlfn.XLOOKUP($N1175,'Base de Grupos'!$A:$A,'Base de Grupos'!$H:$H)</f>
        <v>1000105900</v>
      </c>
      <c r="G1175" s="5" t="str">
        <f>_xlfn.XLOOKUP($N1175,'Base de Grupos'!$A:$A,'Base de Grupos'!$I:$I)</f>
        <v>REGIONAL VENDA DIRETA CO + NE + NO</v>
      </c>
      <c r="H1175" s="5" t="str">
        <f>_xlfn.XLOOKUP($N1175,'Base de Grupos'!$A:$A,'Base de Grupos'!$J:$J)</f>
        <v>1000105900</v>
      </c>
      <c r="I1175" s="2" t="str">
        <f>_xlfn.XLOOKUP($N1175,'Base de Grupos'!$A:$A,'Base de Grupos'!$K:$K)</f>
        <v>REGIONAL VENDA DIRETA CO + NE + NO</v>
      </c>
      <c r="J1175" s="2" t="str">
        <f>_xlfn.XLOOKUP($N1175,'Base de Grupos'!$A:$A,'Base de Grupos'!$L:$L)</f>
        <v>1000150135</v>
      </c>
      <c r="K1175" s="5" t="str">
        <f>_xlfn.XLOOKUP($N1175,'Base de Grupos'!$A:$A,'Base de Grupos'!$M:$M)</f>
        <v>HELDER DA SILVA BRUNKOW</v>
      </c>
      <c r="L1175" s="5" t="str">
        <f t="shared" si="355"/>
        <v/>
      </c>
      <c r="M1175" s="5" t="str">
        <f>_xlfn.XLOOKUP($N1175,'Base de Grupos'!$A:$A,'Base de Grupos'!$C:$C)</f>
        <v>AC</v>
      </c>
      <c r="N1175" s="3">
        <v>1533</v>
      </c>
      <c r="O1175" s="4" t="s">
        <v>369</v>
      </c>
      <c r="P1175" s="5" t="s">
        <v>82</v>
      </c>
      <c r="Q1175" s="24">
        <v>0</v>
      </c>
      <c r="R1175" s="24">
        <v>0</v>
      </c>
      <c r="S1175" s="24">
        <v>0</v>
      </c>
      <c r="T1175" s="24">
        <v>0</v>
      </c>
      <c r="U1175" s="24">
        <v>0</v>
      </c>
      <c r="V1175" s="24">
        <v>0</v>
      </c>
      <c r="W1175" s="24">
        <v>0</v>
      </c>
      <c r="X1175" s="24">
        <v>0</v>
      </c>
      <c r="Y1175" s="24">
        <v>0</v>
      </c>
      <c r="Z1175" s="24">
        <v>0</v>
      </c>
      <c r="AA1175" s="24">
        <v>0</v>
      </c>
      <c r="AB1175" s="24">
        <v>0</v>
      </c>
      <c r="AC1175" s="30">
        <f t="shared" si="356"/>
        <v>0</v>
      </c>
      <c r="AD1175" s="28"/>
      <c r="AE1175" s="12"/>
      <c r="AF1175" s="29"/>
      <c r="AG1175" s="9"/>
      <c r="AH1175" s="10"/>
      <c r="AI1175" s="9"/>
      <c r="AJ1175" s="11"/>
      <c r="AK1175" s="9"/>
      <c r="AL1175" s="13"/>
      <c r="AM1175" s="9"/>
    </row>
    <row r="1176" spans="1:39" x14ac:dyDescent="0.3">
      <c r="A1176" s="2" t="str">
        <f t="shared" si="354"/>
        <v>NÃO</v>
      </c>
      <c r="B1176" s="2" t="str">
        <f>_xlfn.XLOOKUP($N1176,'Base de Grupos'!$A:$A,'Base de Grupos'!$D:$D)</f>
        <v>1000065763</v>
      </c>
      <c r="C1176" s="5" t="str">
        <f>_xlfn.XLOOKUP($N1176,'Base de Grupos'!$A:$A,'Base de Grupos'!$E:$E)</f>
        <v>CANAL VENDA INTERNA</v>
      </c>
      <c r="D1176" s="5" t="str">
        <f>_xlfn.XLOOKUP($N1176,'Base de Grupos'!$A:$A,'Base de Grupos'!$F:$F)</f>
        <v>1000065763</v>
      </c>
      <c r="E1176" s="2" t="str">
        <f>_xlfn.XLOOKUP($N1176,'Base de Grupos'!$A:$A,'Base de Grupos'!$G:$G)</f>
        <v>CANAL VENDA INTERNA</v>
      </c>
      <c r="F1176" s="2" t="str">
        <f>_xlfn.XLOOKUP($N1176,'Base de Grupos'!$A:$A,'Base de Grupos'!$H:$H)</f>
        <v>1000105900</v>
      </c>
      <c r="G1176" s="5" t="str">
        <f>_xlfn.XLOOKUP($N1176,'Base de Grupos'!$A:$A,'Base de Grupos'!$I:$I)</f>
        <v>REGIONAL VENDA DIRETA CO + NE + NO</v>
      </c>
      <c r="H1176" s="5" t="str">
        <f>_xlfn.XLOOKUP($N1176,'Base de Grupos'!$A:$A,'Base de Grupos'!$J:$J)</f>
        <v>1000105900</v>
      </c>
      <c r="I1176" s="2" t="str">
        <f>_xlfn.XLOOKUP($N1176,'Base de Grupos'!$A:$A,'Base de Grupos'!$K:$K)</f>
        <v>REGIONAL VENDA DIRETA CO + NE + NO</v>
      </c>
      <c r="J1176" s="2" t="str">
        <f>_xlfn.XLOOKUP($N1176,'Base de Grupos'!$A:$A,'Base de Grupos'!$L:$L)</f>
        <v>1000150135</v>
      </c>
      <c r="K1176" s="5" t="str">
        <f>_xlfn.XLOOKUP($N1176,'Base de Grupos'!$A:$A,'Base de Grupos'!$M:$M)</f>
        <v>HELDER DA SILVA BRUNKOW</v>
      </c>
      <c r="L1176" s="5" t="str">
        <f t="shared" si="355"/>
        <v/>
      </c>
      <c r="M1176" s="5" t="str">
        <f>_xlfn.XLOOKUP($N1176,'Base de Grupos'!$A:$A,'Base de Grupos'!$C:$C)</f>
        <v>AC</v>
      </c>
      <c r="N1176" s="3">
        <v>1533</v>
      </c>
      <c r="O1176" s="4" t="s">
        <v>369</v>
      </c>
      <c r="P1176" s="5" t="s">
        <v>84</v>
      </c>
      <c r="Q1176" s="24">
        <v>0</v>
      </c>
      <c r="R1176" s="24">
        <v>0</v>
      </c>
      <c r="S1176" s="24">
        <v>0</v>
      </c>
      <c r="T1176" s="24">
        <v>0</v>
      </c>
      <c r="U1176" s="24">
        <v>0</v>
      </c>
      <c r="V1176" s="24">
        <v>0</v>
      </c>
      <c r="W1176" s="24">
        <v>0</v>
      </c>
      <c r="X1176" s="24">
        <v>0</v>
      </c>
      <c r="Y1176" s="24">
        <v>0</v>
      </c>
      <c r="Z1176" s="24">
        <v>0</v>
      </c>
      <c r="AA1176" s="24">
        <v>0</v>
      </c>
      <c r="AB1176" s="24">
        <v>0</v>
      </c>
      <c r="AC1176" s="30">
        <f t="shared" si="356"/>
        <v>0</v>
      </c>
      <c r="AD1176" s="28"/>
      <c r="AE1176" s="12"/>
      <c r="AF1176" s="29"/>
      <c r="AG1176" s="9"/>
      <c r="AH1176" s="10"/>
      <c r="AI1176" s="9"/>
      <c r="AJ1176" s="11"/>
      <c r="AK1176" s="9"/>
      <c r="AL1176" s="13"/>
      <c r="AM1176" s="9"/>
    </row>
    <row r="1177" spans="1:39" x14ac:dyDescent="0.3">
      <c r="A1177" s="2" t="str">
        <f t="shared" si="354"/>
        <v>NÃO</v>
      </c>
      <c r="B1177" s="2" t="str">
        <f>_xlfn.XLOOKUP($N1177,'Base de Grupos'!$A:$A,'Base de Grupos'!$D:$D)</f>
        <v>1000065763</v>
      </c>
      <c r="C1177" s="5" t="str">
        <f>_xlfn.XLOOKUP($N1177,'Base de Grupos'!$A:$A,'Base de Grupos'!$E:$E)</f>
        <v>CANAL VENDA INTERNA</v>
      </c>
      <c r="D1177" s="5" t="str">
        <f>_xlfn.XLOOKUP($N1177,'Base de Grupos'!$A:$A,'Base de Grupos'!$F:$F)</f>
        <v>1000065763</v>
      </c>
      <c r="E1177" s="2" t="str">
        <f>_xlfn.XLOOKUP($N1177,'Base de Grupos'!$A:$A,'Base de Grupos'!$G:$G)</f>
        <v>CANAL VENDA INTERNA</v>
      </c>
      <c r="F1177" s="2" t="str">
        <f>_xlfn.XLOOKUP($N1177,'Base de Grupos'!$A:$A,'Base de Grupos'!$H:$H)</f>
        <v>1000105900</v>
      </c>
      <c r="G1177" s="5" t="str">
        <f>_xlfn.XLOOKUP($N1177,'Base de Grupos'!$A:$A,'Base de Grupos'!$I:$I)</f>
        <v>REGIONAL VENDA DIRETA CO + NE + NO</v>
      </c>
      <c r="H1177" s="5" t="str">
        <f>_xlfn.XLOOKUP($N1177,'Base de Grupos'!$A:$A,'Base de Grupos'!$J:$J)</f>
        <v>1000105900</v>
      </c>
      <c r="I1177" s="2" t="str">
        <f>_xlfn.XLOOKUP($N1177,'Base de Grupos'!$A:$A,'Base de Grupos'!$K:$K)</f>
        <v>REGIONAL VENDA DIRETA CO + NE + NO</v>
      </c>
      <c r="J1177" s="2" t="str">
        <f>_xlfn.XLOOKUP($N1177,'Base de Grupos'!$A:$A,'Base de Grupos'!$L:$L)</f>
        <v>1000150135</v>
      </c>
      <c r="K1177" s="5" t="str">
        <f>_xlfn.XLOOKUP($N1177,'Base de Grupos'!$A:$A,'Base de Grupos'!$M:$M)</f>
        <v>HELDER DA SILVA BRUNKOW</v>
      </c>
      <c r="L1177" s="5" t="str">
        <f t="shared" si="355"/>
        <v/>
      </c>
      <c r="M1177" s="5" t="str">
        <f>_xlfn.XLOOKUP($N1177,'Base de Grupos'!$A:$A,'Base de Grupos'!$C:$C)</f>
        <v>AC</v>
      </c>
      <c r="N1177" s="3">
        <v>1533</v>
      </c>
      <c r="O1177" s="4" t="s">
        <v>369</v>
      </c>
      <c r="P1177" s="5" t="s">
        <v>83</v>
      </c>
      <c r="Q1177" s="24">
        <v>0</v>
      </c>
      <c r="R1177" s="24">
        <v>0</v>
      </c>
      <c r="S1177" s="24">
        <v>0</v>
      </c>
      <c r="T1177" s="24">
        <v>0</v>
      </c>
      <c r="U1177" s="24">
        <v>0</v>
      </c>
      <c r="V1177" s="24">
        <v>0</v>
      </c>
      <c r="W1177" s="24">
        <v>0</v>
      </c>
      <c r="X1177" s="24">
        <v>0</v>
      </c>
      <c r="Y1177" s="24">
        <v>0</v>
      </c>
      <c r="Z1177" s="24">
        <v>0</v>
      </c>
      <c r="AA1177" s="24">
        <v>0</v>
      </c>
      <c r="AB1177" s="24">
        <v>0</v>
      </c>
      <c r="AC1177" s="30">
        <f t="shared" si="356"/>
        <v>0</v>
      </c>
      <c r="AD1177" s="28"/>
      <c r="AE1177" s="12"/>
      <c r="AF1177" s="29"/>
      <c r="AG1177" s="9"/>
      <c r="AH1177" s="10"/>
      <c r="AI1177" s="9"/>
      <c r="AJ1177" s="11"/>
      <c r="AK1177" s="9"/>
      <c r="AL1177" s="13"/>
      <c r="AM1177" s="9"/>
    </row>
    <row r="1178" spans="1:39" x14ac:dyDescent="0.3">
      <c r="A1178" s="2" t="str">
        <f t="shared" si="354"/>
        <v>NÃO</v>
      </c>
      <c r="B1178" s="2" t="str">
        <f>_xlfn.XLOOKUP($N1178,'Base de Grupos'!$A:$A,'Base de Grupos'!$D:$D)</f>
        <v>1000065763</v>
      </c>
      <c r="C1178" s="5" t="str">
        <f>_xlfn.XLOOKUP($N1178,'Base de Grupos'!$A:$A,'Base de Grupos'!$E:$E)</f>
        <v>CANAL VENDA INTERNA</v>
      </c>
      <c r="D1178" s="5" t="str">
        <f>_xlfn.XLOOKUP($N1178,'Base de Grupos'!$A:$A,'Base de Grupos'!$F:$F)</f>
        <v>1000065763</v>
      </c>
      <c r="E1178" s="2" t="str">
        <f>_xlfn.XLOOKUP($N1178,'Base de Grupos'!$A:$A,'Base de Grupos'!$G:$G)</f>
        <v>CANAL VENDA INTERNA</v>
      </c>
      <c r="F1178" s="2" t="str">
        <f>_xlfn.XLOOKUP($N1178,'Base de Grupos'!$A:$A,'Base de Grupos'!$H:$H)</f>
        <v>1000105900</v>
      </c>
      <c r="G1178" s="5" t="str">
        <f>_xlfn.XLOOKUP($N1178,'Base de Grupos'!$A:$A,'Base de Grupos'!$I:$I)</f>
        <v>REGIONAL VENDA DIRETA CO + NE + NO</v>
      </c>
      <c r="H1178" s="5" t="str">
        <f>_xlfn.XLOOKUP($N1178,'Base de Grupos'!$A:$A,'Base de Grupos'!$J:$J)</f>
        <v>1000105900</v>
      </c>
      <c r="I1178" s="2" t="str">
        <f>_xlfn.XLOOKUP($N1178,'Base de Grupos'!$A:$A,'Base de Grupos'!$K:$K)</f>
        <v>REGIONAL VENDA DIRETA CO + NE + NO</v>
      </c>
      <c r="J1178" s="2" t="str">
        <f>_xlfn.XLOOKUP($N1178,'Base de Grupos'!$A:$A,'Base de Grupos'!$L:$L)</f>
        <v>1000150135</v>
      </c>
      <c r="K1178" s="5" t="str">
        <f>_xlfn.XLOOKUP($N1178,'Base de Grupos'!$A:$A,'Base de Grupos'!$M:$M)</f>
        <v>HELDER DA SILVA BRUNKOW</v>
      </c>
      <c r="L1178" s="5" t="str">
        <f t="shared" si="355"/>
        <v/>
      </c>
      <c r="M1178" s="5" t="str">
        <f>_xlfn.XLOOKUP($N1178,'Base de Grupos'!$A:$A,'Base de Grupos'!$C:$C)</f>
        <v>AC</v>
      </c>
      <c r="N1178" s="3">
        <v>1533</v>
      </c>
      <c r="O1178" s="4" t="s">
        <v>369</v>
      </c>
      <c r="P1178" s="5" t="s">
        <v>87</v>
      </c>
      <c r="Q1178" s="24">
        <v>0</v>
      </c>
      <c r="R1178" s="24">
        <v>0</v>
      </c>
      <c r="S1178" s="24">
        <v>0</v>
      </c>
      <c r="T1178" s="24">
        <v>0</v>
      </c>
      <c r="U1178" s="24">
        <v>0</v>
      </c>
      <c r="V1178" s="24">
        <v>0</v>
      </c>
      <c r="W1178" s="24">
        <v>0</v>
      </c>
      <c r="X1178" s="24">
        <v>0</v>
      </c>
      <c r="Y1178" s="24">
        <v>0</v>
      </c>
      <c r="Z1178" s="24">
        <v>0</v>
      </c>
      <c r="AA1178" s="24">
        <v>0</v>
      </c>
      <c r="AB1178" s="24">
        <v>0</v>
      </c>
      <c r="AC1178" s="30">
        <f t="shared" si="356"/>
        <v>0</v>
      </c>
      <c r="AD1178" s="28"/>
      <c r="AE1178" s="12"/>
      <c r="AF1178" s="29"/>
      <c r="AG1178" s="9"/>
      <c r="AH1178" s="10"/>
      <c r="AI1178" s="9"/>
      <c r="AJ1178" s="11"/>
      <c r="AK1178" s="9"/>
      <c r="AL1178" s="13"/>
      <c r="AM1178" s="9"/>
    </row>
    <row r="1179" spans="1:39" x14ac:dyDescent="0.3">
      <c r="A1179" s="2" t="str">
        <f t="shared" si="354"/>
        <v>NÃO</v>
      </c>
      <c r="B1179" s="2" t="str">
        <f>_xlfn.XLOOKUP($N1179,'Base de Grupos'!$A:$A,'Base de Grupos'!$D:$D)</f>
        <v>1000065763</v>
      </c>
      <c r="C1179" s="5" t="str">
        <f>_xlfn.XLOOKUP($N1179,'Base de Grupos'!$A:$A,'Base de Grupos'!$E:$E)</f>
        <v>CANAL VENDA INTERNA</v>
      </c>
      <c r="D1179" s="5" t="str">
        <f>_xlfn.XLOOKUP($N1179,'Base de Grupos'!$A:$A,'Base de Grupos'!$F:$F)</f>
        <v>1000065763</v>
      </c>
      <c r="E1179" s="2" t="str">
        <f>_xlfn.XLOOKUP($N1179,'Base de Grupos'!$A:$A,'Base de Grupos'!$G:$G)</f>
        <v>CANAL VENDA INTERNA</v>
      </c>
      <c r="F1179" s="2" t="str">
        <f>_xlfn.XLOOKUP($N1179,'Base de Grupos'!$A:$A,'Base de Grupos'!$H:$H)</f>
        <v>1000105900</v>
      </c>
      <c r="G1179" s="5" t="str">
        <f>_xlfn.XLOOKUP($N1179,'Base de Grupos'!$A:$A,'Base de Grupos'!$I:$I)</f>
        <v>REGIONAL VENDA DIRETA CO + NE + NO</v>
      </c>
      <c r="H1179" s="5" t="str">
        <f>_xlfn.XLOOKUP($N1179,'Base de Grupos'!$A:$A,'Base de Grupos'!$J:$J)</f>
        <v>1000105900</v>
      </c>
      <c r="I1179" s="2" t="str">
        <f>_xlfn.XLOOKUP($N1179,'Base de Grupos'!$A:$A,'Base de Grupos'!$K:$K)</f>
        <v>REGIONAL VENDA DIRETA CO + NE + NO</v>
      </c>
      <c r="J1179" s="2" t="str">
        <f>_xlfn.XLOOKUP($N1179,'Base de Grupos'!$A:$A,'Base de Grupos'!$L:$L)</f>
        <v>1000150135</v>
      </c>
      <c r="K1179" s="5" t="str">
        <f>_xlfn.XLOOKUP($N1179,'Base de Grupos'!$A:$A,'Base de Grupos'!$M:$M)</f>
        <v>HELDER DA SILVA BRUNKOW</v>
      </c>
      <c r="L1179" s="5" t="str">
        <f t="shared" si="355"/>
        <v/>
      </c>
      <c r="M1179" s="5" t="str">
        <f>_xlfn.XLOOKUP($N1179,'Base de Grupos'!$A:$A,'Base de Grupos'!$C:$C)</f>
        <v>AC</v>
      </c>
      <c r="N1179" s="3">
        <v>1533</v>
      </c>
      <c r="O1179" s="4" t="s">
        <v>369</v>
      </c>
      <c r="P1179" s="5" t="s">
        <v>85</v>
      </c>
      <c r="Q1179" s="24">
        <v>0</v>
      </c>
      <c r="R1179" s="24">
        <v>0</v>
      </c>
      <c r="S1179" s="24">
        <v>0</v>
      </c>
      <c r="T1179" s="24">
        <v>0</v>
      </c>
      <c r="U1179" s="24">
        <v>0</v>
      </c>
      <c r="V1179" s="24">
        <v>0</v>
      </c>
      <c r="W1179" s="24">
        <v>0</v>
      </c>
      <c r="X1179" s="24">
        <v>0</v>
      </c>
      <c r="Y1179" s="24">
        <v>0</v>
      </c>
      <c r="Z1179" s="24">
        <v>0</v>
      </c>
      <c r="AA1179" s="24">
        <v>0</v>
      </c>
      <c r="AB1179" s="24">
        <v>0</v>
      </c>
      <c r="AC1179" s="30">
        <f t="shared" si="356"/>
        <v>0</v>
      </c>
      <c r="AD1179" s="28"/>
      <c r="AE1179" s="12"/>
      <c r="AF1179" s="29"/>
      <c r="AG1179" s="9"/>
      <c r="AH1179" s="10"/>
      <c r="AI1179" s="9"/>
      <c r="AJ1179" s="11"/>
      <c r="AK1179" s="9"/>
      <c r="AL1179" s="13"/>
      <c r="AM1179" s="9"/>
    </row>
    <row r="1180" spans="1:39" x14ac:dyDescent="0.3">
      <c r="A1180" s="2" t="str">
        <f t="shared" si="354"/>
        <v>NÃO</v>
      </c>
      <c r="B1180" s="2" t="str">
        <f>_xlfn.XLOOKUP($N1180,'Base de Grupos'!$A:$A,'Base de Grupos'!$D:$D)</f>
        <v>1000065763</v>
      </c>
      <c r="C1180" s="5" t="str">
        <f>_xlfn.XLOOKUP($N1180,'Base de Grupos'!$A:$A,'Base de Grupos'!$E:$E)</f>
        <v>CANAL VENDA INTERNA</v>
      </c>
      <c r="D1180" s="5" t="str">
        <f>_xlfn.XLOOKUP($N1180,'Base de Grupos'!$A:$A,'Base de Grupos'!$F:$F)</f>
        <v>1000065763</v>
      </c>
      <c r="E1180" s="2" t="str">
        <f>_xlfn.XLOOKUP($N1180,'Base de Grupos'!$A:$A,'Base de Grupos'!$G:$G)</f>
        <v>CANAL VENDA INTERNA</v>
      </c>
      <c r="F1180" s="2" t="str">
        <f>_xlfn.XLOOKUP($N1180,'Base de Grupos'!$A:$A,'Base de Grupos'!$H:$H)</f>
        <v>1000105900</v>
      </c>
      <c r="G1180" s="5" t="str">
        <f>_xlfn.XLOOKUP($N1180,'Base de Grupos'!$A:$A,'Base de Grupos'!$I:$I)</f>
        <v>REGIONAL VENDA DIRETA CO + NE + NO</v>
      </c>
      <c r="H1180" s="5" t="str">
        <f>_xlfn.XLOOKUP($N1180,'Base de Grupos'!$A:$A,'Base de Grupos'!$J:$J)</f>
        <v>1000105900</v>
      </c>
      <c r="I1180" s="2" t="str">
        <f>_xlfn.XLOOKUP($N1180,'Base de Grupos'!$A:$A,'Base de Grupos'!$K:$K)</f>
        <v>REGIONAL VENDA DIRETA CO + NE + NO</v>
      </c>
      <c r="J1180" s="2" t="str">
        <f>_xlfn.XLOOKUP($N1180,'Base de Grupos'!$A:$A,'Base de Grupos'!$L:$L)</f>
        <v>1000150135</v>
      </c>
      <c r="K1180" s="5" t="str">
        <f>_xlfn.XLOOKUP($N1180,'Base de Grupos'!$A:$A,'Base de Grupos'!$M:$M)</f>
        <v>HELDER DA SILVA BRUNKOW</v>
      </c>
      <c r="L1180" s="5" t="str">
        <f t="shared" si="355"/>
        <v/>
      </c>
      <c r="M1180" s="5" t="str">
        <f>_xlfn.XLOOKUP($N1180,'Base de Grupos'!$A:$A,'Base de Grupos'!$C:$C)</f>
        <v>AC</v>
      </c>
      <c r="N1180" s="3">
        <v>1533</v>
      </c>
      <c r="O1180" s="4" t="s">
        <v>369</v>
      </c>
      <c r="P1180" s="5" t="s">
        <v>92</v>
      </c>
      <c r="Q1180" s="24">
        <v>0</v>
      </c>
      <c r="R1180" s="24">
        <v>0</v>
      </c>
      <c r="S1180" s="24">
        <v>0</v>
      </c>
      <c r="T1180" s="24">
        <v>0</v>
      </c>
      <c r="U1180" s="24">
        <v>0</v>
      </c>
      <c r="V1180" s="24">
        <v>0</v>
      </c>
      <c r="W1180" s="24">
        <v>0</v>
      </c>
      <c r="X1180" s="24">
        <v>0</v>
      </c>
      <c r="Y1180" s="24">
        <v>0</v>
      </c>
      <c r="Z1180" s="24">
        <v>0</v>
      </c>
      <c r="AA1180" s="24">
        <v>0</v>
      </c>
      <c r="AB1180" s="24">
        <v>0</v>
      </c>
      <c r="AC1180" s="30">
        <f t="shared" si="356"/>
        <v>0</v>
      </c>
      <c r="AD1180" s="28"/>
      <c r="AE1180" s="12"/>
      <c r="AF1180" s="29"/>
      <c r="AG1180" s="9"/>
      <c r="AH1180" s="10"/>
      <c r="AI1180" s="9"/>
      <c r="AJ1180" s="11"/>
      <c r="AK1180" s="9"/>
      <c r="AL1180" s="13"/>
      <c r="AM1180" s="9"/>
    </row>
    <row r="1181" spans="1:39" x14ac:dyDescent="0.3">
      <c r="A1181" s="2" t="str">
        <f t="shared" si="354"/>
        <v>NÃO</v>
      </c>
      <c r="B1181" s="2" t="str">
        <f>_xlfn.XLOOKUP($N1181,'Base de Grupos'!$A:$A,'Base de Grupos'!$D:$D)</f>
        <v>1000065763</v>
      </c>
      <c r="C1181" s="5" t="str">
        <f>_xlfn.XLOOKUP($N1181,'Base de Grupos'!$A:$A,'Base de Grupos'!$E:$E)</f>
        <v>CANAL VENDA INTERNA</v>
      </c>
      <c r="D1181" s="5" t="str">
        <f>_xlfn.XLOOKUP($N1181,'Base de Grupos'!$A:$A,'Base de Grupos'!$F:$F)</f>
        <v>1000065763</v>
      </c>
      <c r="E1181" s="2" t="str">
        <f>_xlfn.XLOOKUP($N1181,'Base de Grupos'!$A:$A,'Base de Grupos'!$G:$G)</f>
        <v>CANAL VENDA INTERNA</v>
      </c>
      <c r="F1181" s="2" t="str">
        <f>_xlfn.XLOOKUP($N1181,'Base de Grupos'!$A:$A,'Base de Grupos'!$H:$H)</f>
        <v>1000105900</v>
      </c>
      <c r="G1181" s="5" t="str">
        <f>_xlfn.XLOOKUP($N1181,'Base de Grupos'!$A:$A,'Base de Grupos'!$I:$I)</f>
        <v>REGIONAL VENDA DIRETA CO + NE + NO</v>
      </c>
      <c r="H1181" s="5" t="str">
        <f>_xlfn.XLOOKUP($N1181,'Base de Grupos'!$A:$A,'Base de Grupos'!$J:$J)</f>
        <v>1000105900</v>
      </c>
      <c r="I1181" s="2" t="str">
        <f>_xlfn.XLOOKUP($N1181,'Base de Grupos'!$A:$A,'Base de Grupos'!$K:$K)</f>
        <v>REGIONAL VENDA DIRETA CO + NE + NO</v>
      </c>
      <c r="J1181" s="2" t="str">
        <f>_xlfn.XLOOKUP($N1181,'Base de Grupos'!$A:$A,'Base de Grupos'!$L:$L)</f>
        <v>1000150135</v>
      </c>
      <c r="K1181" s="5" t="str">
        <f>_xlfn.XLOOKUP($N1181,'Base de Grupos'!$A:$A,'Base de Grupos'!$M:$M)</f>
        <v>HELDER DA SILVA BRUNKOW</v>
      </c>
      <c r="L1181" s="5" t="str">
        <f t="shared" si="355"/>
        <v/>
      </c>
      <c r="M1181" s="5" t="str">
        <f>_xlfn.XLOOKUP($N1181,'Base de Grupos'!$A:$A,'Base de Grupos'!$C:$C)</f>
        <v>AC</v>
      </c>
      <c r="N1181" s="3">
        <v>1533</v>
      </c>
      <c r="O1181" s="4" t="s">
        <v>369</v>
      </c>
      <c r="P1181" s="5" t="s">
        <v>86</v>
      </c>
      <c r="Q1181" s="24">
        <v>0</v>
      </c>
      <c r="R1181" s="24">
        <v>0</v>
      </c>
      <c r="S1181" s="24">
        <v>0</v>
      </c>
      <c r="T1181" s="24">
        <v>0</v>
      </c>
      <c r="U1181" s="24">
        <v>0</v>
      </c>
      <c r="V1181" s="24">
        <v>0</v>
      </c>
      <c r="W1181" s="24">
        <v>0</v>
      </c>
      <c r="X1181" s="24">
        <v>0</v>
      </c>
      <c r="Y1181" s="24">
        <v>0</v>
      </c>
      <c r="Z1181" s="24">
        <v>0</v>
      </c>
      <c r="AA1181" s="24">
        <v>0</v>
      </c>
      <c r="AB1181" s="24">
        <v>0</v>
      </c>
      <c r="AC1181" s="30">
        <f t="shared" si="356"/>
        <v>0</v>
      </c>
      <c r="AD1181" s="28"/>
      <c r="AE1181" s="12"/>
      <c r="AF1181" s="29"/>
      <c r="AG1181" s="9"/>
      <c r="AH1181" s="10"/>
      <c r="AI1181" s="9"/>
      <c r="AJ1181" s="11"/>
      <c r="AK1181" s="9"/>
      <c r="AL1181" s="13"/>
      <c r="AM1181" s="9"/>
    </row>
    <row r="1182" spans="1:39" x14ac:dyDescent="0.3">
      <c r="A1182" s="2" t="str">
        <f t="shared" si="354"/>
        <v>NÃO</v>
      </c>
      <c r="B1182" s="2" t="str">
        <f>_xlfn.XLOOKUP($N1182,'Base de Grupos'!$A:$A,'Base de Grupos'!$D:$D)</f>
        <v>1000065763</v>
      </c>
      <c r="C1182" s="5" t="str">
        <f>_xlfn.XLOOKUP($N1182,'Base de Grupos'!$A:$A,'Base de Grupos'!$E:$E)</f>
        <v>CANAL VENDA INTERNA</v>
      </c>
      <c r="D1182" s="5" t="str">
        <f>_xlfn.XLOOKUP($N1182,'Base de Grupos'!$A:$A,'Base de Grupos'!$F:$F)</f>
        <v>1000065763</v>
      </c>
      <c r="E1182" s="2" t="str">
        <f>_xlfn.XLOOKUP($N1182,'Base de Grupos'!$A:$A,'Base de Grupos'!$G:$G)</f>
        <v>CANAL VENDA INTERNA</v>
      </c>
      <c r="F1182" s="2" t="str">
        <f>_xlfn.XLOOKUP($N1182,'Base de Grupos'!$A:$A,'Base de Grupos'!$H:$H)</f>
        <v>1000105900</v>
      </c>
      <c r="G1182" s="5" t="str">
        <f>_xlfn.XLOOKUP($N1182,'Base de Grupos'!$A:$A,'Base de Grupos'!$I:$I)</f>
        <v>REGIONAL VENDA DIRETA CO + NE + NO</v>
      </c>
      <c r="H1182" s="5" t="str">
        <f>_xlfn.XLOOKUP($N1182,'Base de Grupos'!$A:$A,'Base de Grupos'!$J:$J)</f>
        <v>1000105900</v>
      </c>
      <c r="I1182" s="2" t="str">
        <f>_xlfn.XLOOKUP($N1182,'Base de Grupos'!$A:$A,'Base de Grupos'!$K:$K)</f>
        <v>REGIONAL VENDA DIRETA CO + NE + NO</v>
      </c>
      <c r="J1182" s="2" t="str">
        <f>_xlfn.XLOOKUP($N1182,'Base de Grupos'!$A:$A,'Base de Grupos'!$L:$L)</f>
        <v>1000150135</v>
      </c>
      <c r="K1182" s="5" t="str">
        <f>_xlfn.XLOOKUP($N1182,'Base de Grupos'!$A:$A,'Base de Grupos'!$M:$M)</f>
        <v>HELDER DA SILVA BRUNKOW</v>
      </c>
      <c r="L1182" s="5" t="str">
        <f t="shared" si="355"/>
        <v/>
      </c>
      <c r="M1182" s="5" t="str">
        <f>_xlfn.XLOOKUP($N1182,'Base de Grupos'!$A:$A,'Base de Grupos'!$C:$C)</f>
        <v>AC</v>
      </c>
      <c r="N1182" s="3">
        <v>1533</v>
      </c>
      <c r="O1182" s="4" t="s">
        <v>369</v>
      </c>
      <c r="P1182" s="5" t="s">
        <v>108</v>
      </c>
      <c r="Q1182" s="24">
        <v>0</v>
      </c>
      <c r="R1182" s="24">
        <v>0</v>
      </c>
      <c r="S1182" s="24">
        <v>0</v>
      </c>
      <c r="T1182" s="24">
        <v>0</v>
      </c>
      <c r="U1182" s="24">
        <v>0</v>
      </c>
      <c r="V1182" s="24">
        <v>0</v>
      </c>
      <c r="W1182" s="24">
        <v>0</v>
      </c>
      <c r="X1182" s="24">
        <v>0</v>
      </c>
      <c r="Y1182" s="24">
        <v>0</v>
      </c>
      <c r="Z1182" s="24">
        <v>0</v>
      </c>
      <c r="AA1182" s="24">
        <v>0</v>
      </c>
      <c r="AB1182" s="24">
        <v>0</v>
      </c>
      <c r="AC1182" s="30">
        <f t="shared" si="356"/>
        <v>0</v>
      </c>
      <c r="AD1182" s="28"/>
      <c r="AE1182" s="12"/>
      <c r="AF1182" s="29"/>
      <c r="AG1182" s="9"/>
      <c r="AH1182" s="10"/>
      <c r="AI1182" s="9"/>
      <c r="AJ1182" s="11"/>
      <c r="AK1182" s="9"/>
      <c r="AL1182" s="13"/>
      <c r="AM1182" s="9"/>
    </row>
    <row r="1183" spans="1:39" x14ac:dyDescent="0.3">
      <c r="A1183" s="2" t="str">
        <f t="shared" si="354"/>
        <v>NÃO</v>
      </c>
      <c r="B1183" s="2" t="str">
        <f>_xlfn.XLOOKUP($N1183,'Base de Grupos'!$A:$A,'Base de Grupos'!$D:$D)</f>
        <v>1000065763</v>
      </c>
      <c r="C1183" s="5" t="str">
        <f>_xlfn.XLOOKUP($N1183,'Base de Grupos'!$A:$A,'Base de Grupos'!$E:$E)</f>
        <v>CANAL VENDA INTERNA</v>
      </c>
      <c r="D1183" s="5" t="str">
        <f>_xlfn.XLOOKUP($N1183,'Base de Grupos'!$A:$A,'Base de Grupos'!$F:$F)</f>
        <v>1000065763</v>
      </c>
      <c r="E1183" s="2" t="str">
        <f>_xlfn.XLOOKUP($N1183,'Base de Grupos'!$A:$A,'Base de Grupos'!$G:$G)</f>
        <v>CANAL VENDA INTERNA</v>
      </c>
      <c r="F1183" s="2" t="str">
        <f>_xlfn.XLOOKUP($N1183,'Base de Grupos'!$A:$A,'Base de Grupos'!$H:$H)</f>
        <v>1000105900</v>
      </c>
      <c r="G1183" s="5" t="str">
        <f>_xlfn.XLOOKUP($N1183,'Base de Grupos'!$A:$A,'Base de Grupos'!$I:$I)</f>
        <v>REGIONAL VENDA DIRETA CO + NE + NO</v>
      </c>
      <c r="H1183" s="5" t="str">
        <f>_xlfn.XLOOKUP($N1183,'Base de Grupos'!$A:$A,'Base de Grupos'!$J:$J)</f>
        <v>1000105900</v>
      </c>
      <c r="I1183" s="2" t="str">
        <f>_xlfn.XLOOKUP($N1183,'Base de Grupos'!$A:$A,'Base de Grupos'!$K:$K)</f>
        <v>REGIONAL VENDA DIRETA CO + NE + NO</v>
      </c>
      <c r="J1183" s="2" t="str">
        <f>_xlfn.XLOOKUP($N1183,'Base de Grupos'!$A:$A,'Base de Grupos'!$L:$L)</f>
        <v>1000150135</v>
      </c>
      <c r="K1183" s="5" t="str">
        <f>_xlfn.XLOOKUP($N1183,'Base de Grupos'!$A:$A,'Base de Grupos'!$M:$M)</f>
        <v>HELDER DA SILVA BRUNKOW</v>
      </c>
      <c r="L1183" s="5" t="str">
        <f t="shared" si="355"/>
        <v/>
      </c>
      <c r="M1183" s="5" t="str">
        <f>_xlfn.XLOOKUP($N1183,'Base de Grupos'!$A:$A,'Base de Grupos'!$C:$C)</f>
        <v>AC</v>
      </c>
      <c r="N1183" s="3">
        <v>1533</v>
      </c>
      <c r="O1183" s="4" t="s">
        <v>369</v>
      </c>
      <c r="P1183" s="5" t="s">
        <v>89</v>
      </c>
      <c r="Q1183" s="24">
        <v>0</v>
      </c>
      <c r="R1183" s="24">
        <v>0</v>
      </c>
      <c r="S1183" s="24">
        <v>0</v>
      </c>
      <c r="T1183" s="24">
        <v>0</v>
      </c>
      <c r="U1183" s="24">
        <v>0</v>
      </c>
      <c r="V1183" s="24">
        <v>0</v>
      </c>
      <c r="W1183" s="24">
        <v>0</v>
      </c>
      <c r="X1183" s="24">
        <v>0</v>
      </c>
      <c r="Y1183" s="24">
        <v>0</v>
      </c>
      <c r="Z1183" s="24">
        <v>0</v>
      </c>
      <c r="AA1183" s="24">
        <v>0</v>
      </c>
      <c r="AB1183" s="24">
        <v>0</v>
      </c>
      <c r="AC1183" s="30">
        <f t="shared" si="356"/>
        <v>0</v>
      </c>
      <c r="AD1183" s="28"/>
      <c r="AE1183" s="12"/>
      <c r="AF1183" s="29"/>
      <c r="AG1183" s="9"/>
      <c r="AH1183" s="10"/>
      <c r="AI1183" s="9"/>
      <c r="AJ1183" s="11"/>
      <c r="AK1183" s="9"/>
      <c r="AL1183" s="13"/>
      <c r="AM1183" s="9"/>
    </row>
    <row r="1184" spans="1:39" x14ac:dyDescent="0.3">
      <c r="A1184" s="2" t="str">
        <f t="shared" si="354"/>
        <v>NÃO</v>
      </c>
      <c r="B1184" s="2" t="str">
        <f>_xlfn.XLOOKUP($N1184,'Base de Grupos'!$A:$A,'Base de Grupos'!$D:$D)</f>
        <v>1000065763</v>
      </c>
      <c r="C1184" s="5" t="str">
        <f>_xlfn.XLOOKUP($N1184,'Base de Grupos'!$A:$A,'Base de Grupos'!$E:$E)</f>
        <v>CANAL VENDA INTERNA</v>
      </c>
      <c r="D1184" s="5" t="str">
        <f>_xlfn.XLOOKUP($N1184,'Base de Grupos'!$A:$A,'Base de Grupos'!$F:$F)</f>
        <v>1000065763</v>
      </c>
      <c r="E1184" s="2" t="str">
        <f>_xlfn.XLOOKUP($N1184,'Base de Grupos'!$A:$A,'Base de Grupos'!$G:$G)</f>
        <v>CANAL VENDA INTERNA</v>
      </c>
      <c r="F1184" s="2" t="str">
        <f>_xlfn.XLOOKUP($N1184,'Base de Grupos'!$A:$A,'Base de Grupos'!$H:$H)</f>
        <v>1000105900</v>
      </c>
      <c r="G1184" s="5" t="str">
        <f>_xlfn.XLOOKUP($N1184,'Base de Grupos'!$A:$A,'Base de Grupos'!$I:$I)</f>
        <v>REGIONAL VENDA DIRETA CO + NE + NO</v>
      </c>
      <c r="H1184" s="5" t="str">
        <f>_xlfn.XLOOKUP($N1184,'Base de Grupos'!$A:$A,'Base de Grupos'!$J:$J)</f>
        <v>1000105900</v>
      </c>
      <c r="I1184" s="2" t="str">
        <f>_xlfn.XLOOKUP($N1184,'Base de Grupos'!$A:$A,'Base de Grupos'!$K:$K)</f>
        <v>REGIONAL VENDA DIRETA CO + NE + NO</v>
      </c>
      <c r="J1184" s="2" t="str">
        <f>_xlfn.XLOOKUP($N1184,'Base de Grupos'!$A:$A,'Base de Grupos'!$L:$L)</f>
        <v>1000150135</v>
      </c>
      <c r="K1184" s="5" t="str">
        <f>_xlfn.XLOOKUP($N1184,'Base de Grupos'!$A:$A,'Base de Grupos'!$M:$M)</f>
        <v>HELDER DA SILVA BRUNKOW</v>
      </c>
      <c r="L1184" s="5" t="str">
        <f t="shared" si="355"/>
        <v/>
      </c>
      <c r="M1184" s="5" t="str">
        <f>_xlfn.XLOOKUP($N1184,'Base de Grupos'!$A:$A,'Base de Grupos'!$C:$C)</f>
        <v>AC</v>
      </c>
      <c r="N1184" s="3">
        <v>1533</v>
      </c>
      <c r="O1184" s="4" t="s">
        <v>369</v>
      </c>
      <c r="P1184" s="5" t="s">
        <v>88</v>
      </c>
      <c r="Q1184" s="24">
        <v>0</v>
      </c>
      <c r="R1184" s="24">
        <v>0</v>
      </c>
      <c r="S1184" s="24">
        <v>0</v>
      </c>
      <c r="T1184" s="24">
        <v>0</v>
      </c>
      <c r="U1184" s="24">
        <v>0</v>
      </c>
      <c r="V1184" s="24">
        <v>0</v>
      </c>
      <c r="W1184" s="24">
        <v>0</v>
      </c>
      <c r="X1184" s="24">
        <v>0</v>
      </c>
      <c r="Y1184" s="24">
        <v>0</v>
      </c>
      <c r="Z1184" s="24">
        <v>0</v>
      </c>
      <c r="AA1184" s="24">
        <v>0</v>
      </c>
      <c r="AB1184" s="24">
        <v>0</v>
      </c>
      <c r="AC1184" s="30">
        <f t="shared" si="356"/>
        <v>0</v>
      </c>
      <c r="AD1184" s="28"/>
      <c r="AE1184" s="12"/>
      <c r="AF1184" s="29"/>
      <c r="AG1184" s="9"/>
      <c r="AH1184" s="10"/>
      <c r="AI1184" s="9"/>
      <c r="AJ1184" s="11"/>
      <c r="AK1184" s="9"/>
      <c r="AL1184" s="13"/>
      <c r="AM1184" s="9"/>
    </row>
    <row r="1185" spans="1:39" x14ac:dyDescent="0.3">
      <c r="A1185" s="2" t="str">
        <f t="shared" si="354"/>
        <v>NÃO</v>
      </c>
      <c r="B1185" s="2" t="str">
        <f>_xlfn.XLOOKUP($N1185,'Base de Grupos'!$A:$A,'Base de Grupos'!$D:$D)</f>
        <v>1000065763</v>
      </c>
      <c r="C1185" s="5" t="str">
        <f>_xlfn.XLOOKUP($N1185,'Base de Grupos'!$A:$A,'Base de Grupos'!$E:$E)</f>
        <v>CANAL VENDA INTERNA</v>
      </c>
      <c r="D1185" s="5" t="str">
        <f>_xlfn.XLOOKUP($N1185,'Base de Grupos'!$A:$A,'Base de Grupos'!$F:$F)</f>
        <v>1000065763</v>
      </c>
      <c r="E1185" s="2" t="str">
        <f>_xlfn.XLOOKUP($N1185,'Base de Grupos'!$A:$A,'Base de Grupos'!$G:$G)</f>
        <v>CANAL VENDA INTERNA</v>
      </c>
      <c r="F1185" s="2" t="str">
        <f>_xlfn.XLOOKUP($N1185,'Base de Grupos'!$A:$A,'Base de Grupos'!$H:$H)</f>
        <v>1000105900</v>
      </c>
      <c r="G1185" s="5" t="str">
        <f>_xlfn.XLOOKUP($N1185,'Base de Grupos'!$A:$A,'Base de Grupos'!$I:$I)</f>
        <v>REGIONAL VENDA DIRETA CO + NE + NO</v>
      </c>
      <c r="H1185" s="5" t="str">
        <f>_xlfn.XLOOKUP($N1185,'Base de Grupos'!$A:$A,'Base de Grupos'!$J:$J)</f>
        <v>1000105900</v>
      </c>
      <c r="I1185" s="2" t="str">
        <f>_xlfn.XLOOKUP($N1185,'Base de Grupos'!$A:$A,'Base de Grupos'!$K:$K)</f>
        <v>REGIONAL VENDA DIRETA CO + NE + NO</v>
      </c>
      <c r="J1185" s="2" t="str">
        <f>_xlfn.XLOOKUP($N1185,'Base de Grupos'!$A:$A,'Base de Grupos'!$L:$L)</f>
        <v>1000150135</v>
      </c>
      <c r="K1185" s="5" t="str">
        <f>_xlfn.XLOOKUP($N1185,'Base de Grupos'!$A:$A,'Base de Grupos'!$M:$M)</f>
        <v>HELDER DA SILVA BRUNKOW</v>
      </c>
      <c r="L1185" s="5" t="str">
        <f t="shared" si="355"/>
        <v/>
      </c>
      <c r="M1185" s="5" t="str">
        <f>_xlfn.XLOOKUP($N1185,'Base de Grupos'!$A:$A,'Base de Grupos'!$C:$C)</f>
        <v>AC</v>
      </c>
      <c r="N1185" s="3">
        <v>1533</v>
      </c>
      <c r="O1185" s="4" t="s">
        <v>369</v>
      </c>
      <c r="P1185" s="5" t="s">
        <v>90</v>
      </c>
      <c r="Q1185" s="24">
        <v>0</v>
      </c>
      <c r="R1185" s="24">
        <v>0</v>
      </c>
      <c r="S1185" s="24">
        <v>0</v>
      </c>
      <c r="T1185" s="24">
        <v>0</v>
      </c>
      <c r="U1185" s="24">
        <v>0</v>
      </c>
      <c r="V1185" s="24">
        <v>0</v>
      </c>
      <c r="W1185" s="24">
        <v>0</v>
      </c>
      <c r="X1185" s="24">
        <v>0</v>
      </c>
      <c r="Y1185" s="24">
        <v>0</v>
      </c>
      <c r="Z1185" s="24">
        <v>0</v>
      </c>
      <c r="AA1185" s="24">
        <v>0</v>
      </c>
      <c r="AB1185" s="24">
        <v>0</v>
      </c>
      <c r="AC1185" s="30">
        <f t="shared" si="356"/>
        <v>0</v>
      </c>
      <c r="AD1185" s="28"/>
      <c r="AE1185" s="12"/>
      <c r="AF1185" s="29"/>
      <c r="AG1185" s="9"/>
      <c r="AH1185" s="10"/>
      <c r="AI1185" s="9"/>
      <c r="AJ1185" s="11"/>
      <c r="AK1185" s="9"/>
      <c r="AL1185" s="13"/>
      <c r="AM1185" s="9"/>
    </row>
    <row r="1186" spans="1:39" x14ac:dyDescent="0.3">
      <c r="A1186" s="2" t="str">
        <f t="shared" si="354"/>
        <v>NÃO</v>
      </c>
      <c r="B1186" s="2" t="str">
        <f>_xlfn.XLOOKUP($N1186,'Base de Grupos'!$A:$A,'Base de Grupos'!$D:$D)</f>
        <v>1000065763</v>
      </c>
      <c r="C1186" s="5" t="str">
        <f>_xlfn.XLOOKUP($N1186,'Base de Grupos'!$A:$A,'Base de Grupos'!$E:$E)</f>
        <v>CANAL VENDA INTERNA</v>
      </c>
      <c r="D1186" s="5" t="str">
        <f>_xlfn.XLOOKUP($N1186,'Base de Grupos'!$A:$A,'Base de Grupos'!$F:$F)</f>
        <v>1000065763</v>
      </c>
      <c r="E1186" s="2" t="str">
        <f>_xlfn.XLOOKUP($N1186,'Base de Grupos'!$A:$A,'Base de Grupos'!$G:$G)</f>
        <v>CANAL VENDA INTERNA</v>
      </c>
      <c r="F1186" s="2" t="str">
        <f>_xlfn.XLOOKUP($N1186,'Base de Grupos'!$A:$A,'Base de Grupos'!$H:$H)</f>
        <v>1000105900</v>
      </c>
      <c r="G1186" s="5" t="str">
        <f>_xlfn.XLOOKUP($N1186,'Base de Grupos'!$A:$A,'Base de Grupos'!$I:$I)</f>
        <v>REGIONAL VENDA DIRETA CO + NE + NO</v>
      </c>
      <c r="H1186" s="5" t="str">
        <f>_xlfn.XLOOKUP($N1186,'Base de Grupos'!$A:$A,'Base de Grupos'!$J:$J)</f>
        <v>1000105900</v>
      </c>
      <c r="I1186" s="2" t="str">
        <f>_xlfn.XLOOKUP($N1186,'Base de Grupos'!$A:$A,'Base de Grupos'!$K:$K)</f>
        <v>REGIONAL VENDA DIRETA CO + NE + NO</v>
      </c>
      <c r="J1186" s="2" t="str">
        <f>_xlfn.XLOOKUP($N1186,'Base de Grupos'!$A:$A,'Base de Grupos'!$L:$L)</f>
        <v>1000150135</v>
      </c>
      <c r="K1186" s="5" t="str">
        <f>_xlfn.XLOOKUP($N1186,'Base de Grupos'!$A:$A,'Base de Grupos'!$M:$M)</f>
        <v>HELDER DA SILVA BRUNKOW</v>
      </c>
      <c r="L1186" s="5" t="str">
        <f t="shared" si="355"/>
        <v/>
      </c>
      <c r="M1186" s="5" t="str">
        <f>_xlfn.XLOOKUP($N1186,'Base de Grupos'!$A:$A,'Base de Grupos'!$C:$C)</f>
        <v>AC</v>
      </c>
      <c r="N1186" s="3">
        <v>1533</v>
      </c>
      <c r="O1186" s="4" t="s">
        <v>369</v>
      </c>
      <c r="P1186" s="5" t="s">
        <v>91</v>
      </c>
      <c r="Q1186" s="24">
        <v>0</v>
      </c>
      <c r="R1186" s="24">
        <v>0</v>
      </c>
      <c r="S1186" s="24">
        <v>0</v>
      </c>
      <c r="T1186" s="24">
        <v>0</v>
      </c>
      <c r="U1186" s="24">
        <v>0</v>
      </c>
      <c r="V1186" s="24">
        <v>0</v>
      </c>
      <c r="W1186" s="24">
        <v>0</v>
      </c>
      <c r="X1186" s="24">
        <v>0</v>
      </c>
      <c r="Y1186" s="24">
        <v>0</v>
      </c>
      <c r="Z1186" s="24">
        <v>0</v>
      </c>
      <c r="AA1186" s="24">
        <v>0</v>
      </c>
      <c r="AB1186" s="24">
        <v>0</v>
      </c>
      <c r="AC1186" s="30">
        <f t="shared" si="356"/>
        <v>0</v>
      </c>
      <c r="AD1186" s="28"/>
      <c r="AE1186" s="12"/>
      <c r="AF1186" s="29"/>
      <c r="AG1186" s="9"/>
      <c r="AH1186" s="10"/>
      <c r="AI1186" s="9"/>
      <c r="AJ1186" s="11"/>
      <c r="AK1186" s="9"/>
      <c r="AL1186" s="13"/>
      <c r="AM1186" s="9"/>
    </row>
    <row r="1187" spans="1:39" x14ac:dyDescent="0.3">
      <c r="A1187" s="2" t="str">
        <f t="shared" si="354"/>
        <v>NÃO</v>
      </c>
      <c r="B1187" s="2" t="str">
        <f>_xlfn.XLOOKUP($N1187,'Base de Grupos'!$A:$A,'Base de Grupos'!$D:$D)</f>
        <v>1000065763</v>
      </c>
      <c r="C1187" s="5" t="str">
        <f>_xlfn.XLOOKUP($N1187,'Base de Grupos'!$A:$A,'Base de Grupos'!$E:$E)</f>
        <v>CANAL VENDA INTERNA</v>
      </c>
      <c r="D1187" s="5" t="str">
        <f>_xlfn.XLOOKUP($N1187,'Base de Grupos'!$A:$A,'Base de Grupos'!$F:$F)</f>
        <v>1000065763</v>
      </c>
      <c r="E1187" s="2" t="str">
        <f>_xlfn.XLOOKUP($N1187,'Base de Grupos'!$A:$A,'Base de Grupos'!$G:$G)</f>
        <v>CANAL VENDA INTERNA</v>
      </c>
      <c r="F1187" s="2" t="str">
        <f>_xlfn.XLOOKUP($N1187,'Base de Grupos'!$A:$A,'Base de Grupos'!$H:$H)</f>
        <v>1000105900</v>
      </c>
      <c r="G1187" s="5" t="str">
        <f>_xlfn.XLOOKUP($N1187,'Base de Grupos'!$A:$A,'Base de Grupos'!$I:$I)</f>
        <v>REGIONAL VENDA DIRETA CO + NE + NO</v>
      </c>
      <c r="H1187" s="5" t="str">
        <f>_xlfn.XLOOKUP($N1187,'Base de Grupos'!$A:$A,'Base de Grupos'!$J:$J)</f>
        <v>1000105900</v>
      </c>
      <c r="I1187" s="2" t="str">
        <f>_xlfn.XLOOKUP($N1187,'Base de Grupos'!$A:$A,'Base de Grupos'!$K:$K)</f>
        <v>REGIONAL VENDA DIRETA CO + NE + NO</v>
      </c>
      <c r="J1187" s="2" t="str">
        <f>_xlfn.XLOOKUP($N1187,'Base de Grupos'!$A:$A,'Base de Grupos'!$L:$L)</f>
        <v>1000150135</v>
      </c>
      <c r="K1187" s="5" t="str">
        <f>_xlfn.XLOOKUP($N1187,'Base de Grupos'!$A:$A,'Base de Grupos'!$M:$M)</f>
        <v>HELDER DA SILVA BRUNKOW</v>
      </c>
      <c r="L1187" s="5" t="str">
        <f t="shared" si="355"/>
        <v/>
      </c>
      <c r="M1187" s="5" t="str">
        <f>_xlfn.XLOOKUP($N1187,'Base de Grupos'!$A:$A,'Base de Grupos'!$C:$C)</f>
        <v>AC</v>
      </c>
      <c r="N1187" s="3">
        <v>1533</v>
      </c>
      <c r="O1187" s="4" t="s">
        <v>369</v>
      </c>
      <c r="P1187" s="5" t="s">
        <v>96</v>
      </c>
      <c r="Q1187" s="24">
        <v>0</v>
      </c>
      <c r="R1187" s="24">
        <v>0</v>
      </c>
      <c r="S1187" s="24">
        <v>0</v>
      </c>
      <c r="T1187" s="24">
        <v>0</v>
      </c>
      <c r="U1187" s="24">
        <v>0</v>
      </c>
      <c r="V1187" s="24">
        <v>0</v>
      </c>
      <c r="W1187" s="24">
        <v>0</v>
      </c>
      <c r="X1187" s="24">
        <v>0</v>
      </c>
      <c r="Y1187" s="24">
        <v>0</v>
      </c>
      <c r="Z1187" s="24">
        <v>0</v>
      </c>
      <c r="AA1187" s="24">
        <v>0</v>
      </c>
      <c r="AB1187" s="24">
        <v>0</v>
      </c>
      <c r="AC1187" s="30">
        <f t="shared" si="356"/>
        <v>0</v>
      </c>
      <c r="AD1187" s="28"/>
      <c r="AE1187" s="12"/>
      <c r="AF1187" s="29"/>
      <c r="AG1187" s="9"/>
      <c r="AH1187" s="10"/>
      <c r="AI1187" s="9"/>
      <c r="AJ1187" s="11"/>
      <c r="AK1187" s="9"/>
      <c r="AL1187" s="13"/>
      <c r="AM1187" s="9"/>
    </row>
    <row r="1188" spans="1:39" x14ac:dyDescent="0.3">
      <c r="A1188" s="2" t="str">
        <f t="shared" si="354"/>
        <v>NÃO</v>
      </c>
      <c r="B1188" s="2" t="str">
        <f>_xlfn.XLOOKUP($N1188,'Base de Grupos'!$A:$A,'Base de Grupos'!$D:$D)</f>
        <v>1000065763</v>
      </c>
      <c r="C1188" s="5" t="str">
        <f>_xlfn.XLOOKUP($N1188,'Base de Grupos'!$A:$A,'Base de Grupos'!$E:$E)</f>
        <v>CANAL VENDA INTERNA</v>
      </c>
      <c r="D1188" s="5" t="str">
        <f>_xlfn.XLOOKUP($N1188,'Base de Grupos'!$A:$A,'Base de Grupos'!$F:$F)</f>
        <v>1000065763</v>
      </c>
      <c r="E1188" s="2" t="str">
        <f>_xlfn.XLOOKUP($N1188,'Base de Grupos'!$A:$A,'Base de Grupos'!$G:$G)</f>
        <v>CANAL VENDA INTERNA</v>
      </c>
      <c r="F1188" s="2" t="str">
        <f>_xlfn.XLOOKUP($N1188,'Base de Grupos'!$A:$A,'Base de Grupos'!$H:$H)</f>
        <v>1000105900</v>
      </c>
      <c r="G1188" s="5" t="str">
        <f>_xlfn.XLOOKUP($N1188,'Base de Grupos'!$A:$A,'Base de Grupos'!$I:$I)</f>
        <v>REGIONAL VENDA DIRETA CO + NE + NO</v>
      </c>
      <c r="H1188" s="5" t="str">
        <f>_xlfn.XLOOKUP($N1188,'Base de Grupos'!$A:$A,'Base de Grupos'!$J:$J)</f>
        <v>1000105900</v>
      </c>
      <c r="I1188" s="2" t="str">
        <f>_xlfn.XLOOKUP($N1188,'Base de Grupos'!$A:$A,'Base de Grupos'!$K:$K)</f>
        <v>REGIONAL VENDA DIRETA CO + NE + NO</v>
      </c>
      <c r="J1188" s="2" t="str">
        <f>_xlfn.XLOOKUP($N1188,'Base de Grupos'!$A:$A,'Base de Grupos'!$L:$L)</f>
        <v>1000150135</v>
      </c>
      <c r="K1188" s="5" t="str">
        <f>_xlfn.XLOOKUP($N1188,'Base de Grupos'!$A:$A,'Base de Grupos'!$M:$M)</f>
        <v>HELDER DA SILVA BRUNKOW</v>
      </c>
      <c r="L1188" s="5" t="str">
        <f t="shared" si="355"/>
        <v/>
      </c>
      <c r="M1188" s="5" t="str">
        <f>_xlfn.XLOOKUP($N1188,'Base de Grupos'!$A:$A,'Base de Grupos'!$C:$C)</f>
        <v>AC</v>
      </c>
      <c r="N1188" s="3">
        <v>1533</v>
      </c>
      <c r="O1188" s="4" t="s">
        <v>369</v>
      </c>
      <c r="P1188" s="5" t="s">
        <v>94</v>
      </c>
      <c r="Q1188" s="24">
        <v>0</v>
      </c>
      <c r="R1188" s="24">
        <v>0</v>
      </c>
      <c r="S1188" s="24">
        <v>0</v>
      </c>
      <c r="T1188" s="24">
        <v>0</v>
      </c>
      <c r="U1188" s="24">
        <v>0</v>
      </c>
      <c r="V1188" s="24">
        <v>0</v>
      </c>
      <c r="W1188" s="24">
        <v>0</v>
      </c>
      <c r="X1188" s="24">
        <v>0</v>
      </c>
      <c r="Y1188" s="24">
        <v>0</v>
      </c>
      <c r="Z1188" s="24">
        <v>0</v>
      </c>
      <c r="AA1188" s="24">
        <v>0</v>
      </c>
      <c r="AB1188" s="24">
        <v>0</v>
      </c>
      <c r="AC1188" s="30">
        <f t="shared" si="356"/>
        <v>0</v>
      </c>
      <c r="AD1188" s="28"/>
      <c r="AE1188" s="12"/>
      <c r="AF1188" s="29"/>
      <c r="AG1188" s="9"/>
      <c r="AH1188" s="10"/>
      <c r="AI1188" s="9"/>
      <c r="AJ1188" s="11"/>
      <c r="AK1188" s="9"/>
      <c r="AL1188" s="13"/>
      <c r="AM1188" s="9"/>
    </row>
    <row r="1189" spans="1:39" x14ac:dyDescent="0.3">
      <c r="A1189" s="2" t="str">
        <f t="shared" si="354"/>
        <v>NÃO</v>
      </c>
      <c r="B1189" s="2" t="str">
        <f>_xlfn.XLOOKUP($N1189,'Base de Grupos'!$A:$A,'Base de Grupos'!$D:$D)</f>
        <v>1000065763</v>
      </c>
      <c r="C1189" s="5" t="str">
        <f>_xlfn.XLOOKUP($N1189,'Base de Grupos'!$A:$A,'Base de Grupos'!$E:$E)</f>
        <v>CANAL VENDA INTERNA</v>
      </c>
      <c r="D1189" s="5" t="str">
        <f>_xlfn.XLOOKUP($N1189,'Base de Grupos'!$A:$A,'Base de Grupos'!$F:$F)</f>
        <v>1000065763</v>
      </c>
      <c r="E1189" s="2" t="str">
        <f>_xlfn.XLOOKUP($N1189,'Base de Grupos'!$A:$A,'Base de Grupos'!$G:$G)</f>
        <v>CANAL VENDA INTERNA</v>
      </c>
      <c r="F1189" s="2" t="str">
        <f>_xlfn.XLOOKUP($N1189,'Base de Grupos'!$A:$A,'Base de Grupos'!$H:$H)</f>
        <v>1000105900</v>
      </c>
      <c r="G1189" s="5" t="str">
        <f>_xlfn.XLOOKUP($N1189,'Base de Grupos'!$A:$A,'Base de Grupos'!$I:$I)</f>
        <v>REGIONAL VENDA DIRETA CO + NE + NO</v>
      </c>
      <c r="H1189" s="5" t="str">
        <f>_xlfn.XLOOKUP($N1189,'Base de Grupos'!$A:$A,'Base de Grupos'!$J:$J)</f>
        <v>1000105900</v>
      </c>
      <c r="I1189" s="2" t="str">
        <f>_xlfn.XLOOKUP($N1189,'Base de Grupos'!$A:$A,'Base de Grupos'!$K:$K)</f>
        <v>REGIONAL VENDA DIRETA CO + NE + NO</v>
      </c>
      <c r="J1189" s="2" t="str">
        <f>_xlfn.XLOOKUP($N1189,'Base de Grupos'!$A:$A,'Base de Grupos'!$L:$L)</f>
        <v>1000150135</v>
      </c>
      <c r="K1189" s="5" t="str">
        <f>_xlfn.XLOOKUP($N1189,'Base de Grupos'!$A:$A,'Base de Grupos'!$M:$M)</f>
        <v>HELDER DA SILVA BRUNKOW</v>
      </c>
      <c r="L1189" s="5" t="str">
        <f t="shared" si="355"/>
        <v/>
      </c>
      <c r="M1189" s="5" t="str">
        <f>_xlfn.XLOOKUP($N1189,'Base de Grupos'!$A:$A,'Base de Grupos'!$C:$C)</f>
        <v>AC</v>
      </c>
      <c r="N1189" s="3">
        <v>1533</v>
      </c>
      <c r="O1189" s="4" t="s">
        <v>369</v>
      </c>
      <c r="P1189" s="5" t="s">
        <v>95</v>
      </c>
      <c r="Q1189" s="24">
        <v>0</v>
      </c>
      <c r="R1189" s="24">
        <v>0</v>
      </c>
      <c r="S1189" s="24">
        <v>0</v>
      </c>
      <c r="T1189" s="24">
        <v>0</v>
      </c>
      <c r="U1189" s="24">
        <v>0</v>
      </c>
      <c r="V1189" s="24">
        <v>0</v>
      </c>
      <c r="W1189" s="24">
        <v>0</v>
      </c>
      <c r="X1189" s="24">
        <v>0</v>
      </c>
      <c r="Y1189" s="24">
        <v>0</v>
      </c>
      <c r="Z1189" s="24">
        <v>0</v>
      </c>
      <c r="AA1189" s="24">
        <v>0</v>
      </c>
      <c r="AB1189" s="24">
        <v>0</v>
      </c>
      <c r="AC1189" s="30">
        <f t="shared" si="356"/>
        <v>0</v>
      </c>
      <c r="AD1189" s="28"/>
      <c r="AE1189" s="12"/>
      <c r="AF1189" s="29"/>
      <c r="AG1189" s="9"/>
      <c r="AH1189" s="10"/>
      <c r="AI1189" s="9"/>
      <c r="AJ1189" s="11"/>
      <c r="AK1189" s="9"/>
      <c r="AL1189" s="13"/>
      <c r="AM1189" s="9"/>
    </row>
    <row r="1190" spans="1:39" x14ac:dyDescent="0.3">
      <c r="A1190" s="2" t="str">
        <f t="shared" si="354"/>
        <v>NÃO</v>
      </c>
      <c r="B1190" s="2" t="str">
        <f>_xlfn.XLOOKUP($N1190,'Base de Grupos'!$A:$A,'Base de Grupos'!$D:$D)</f>
        <v>1000065763</v>
      </c>
      <c r="C1190" s="5" t="str">
        <f>_xlfn.XLOOKUP($N1190,'Base de Grupos'!$A:$A,'Base de Grupos'!$E:$E)</f>
        <v>CANAL VENDA INTERNA</v>
      </c>
      <c r="D1190" s="5" t="str">
        <f>_xlfn.XLOOKUP($N1190,'Base de Grupos'!$A:$A,'Base de Grupos'!$F:$F)</f>
        <v>1000065763</v>
      </c>
      <c r="E1190" s="2" t="str">
        <f>_xlfn.XLOOKUP($N1190,'Base de Grupos'!$A:$A,'Base de Grupos'!$G:$G)</f>
        <v>CANAL VENDA INTERNA</v>
      </c>
      <c r="F1190" s="2" t="str">
        <f>_xlfn.XLOOKUP($N1190,'Base de Grupos'!$A:$A,'Base de Grupos'!$H:$H)</f>
        <v>1000105900</v>
      </c>
      <c r="G1190" s="5" t="str">
        <f>_xlfn.XLOOKUP($N1190,'Base de Grupos'!$A:$A,'Base de Grupos'!$I:$I)</f>
        <v>REGIONAL VENDA DIRETA CO + NE + NO</v>
      </c>
      <c r="H1190" s="5" t="str">
        <f>_xlfn.XLOOKUP($N1190,'Base de Grupos'!$A:$A,'Base de Grupos'!$J:$J)</f>
        <v>1000105900</v>
      </c>
      <c r="I1190" s="2" t="str">
        <f>_xlfn.XLOOKUP($N1190,'Base de Grupos'!$A:$A,'Base de Grupos'!$K:$K)</f>
        <v>REGIONAL VENDA DIRETA CO + NE + NO</v>
      </c>
      <c r="J1190" s="2" t="str">
        <f>_xlfn.XLOOKUP($N1190,'Base de Grupos'!$A:$A,'Base de Grupos'!$L:$L)</f>
        <v>1000150135</v>
      </c>
      <c r="K1190" s="5" t="str">
        <f>_xlfn.XLOOKUP($N1190,'Base de Grupos'!$A:$A,'Base de Grupos'!$M:$M)</f>
        <v>HELDER DA SILVA BRUNKOW</v>
      </c>
      <c r="L1190" s="5" t="str">
        <f t="shared" si="355"/>
        <v/>
      </c>
      <c r="M1190" s="5" t="str">
        <f>_xlfn.XLOOKUP($N1190,'Base de Grupos'!$A:$A,'Base de Grupos'!$C:$C)</f>
        <v>AC</v>
      </c>
      <c r="N1190" s="3">
        <v>1533</v>
      </c>
      <c r="O1190" s="4" t="s">
        <v>369</v>
      </c>
      <c r="P1190" s="5" t="s">
        <v>93</v>
      </c>
      <c r="Q1190" s="24">
        <v>0</v>
      </c>
      <c r="R1190" s="24">
        <v>0</v>
      </c>
      <c r="S1190" s="24">
        <v>0</v>
      </c>
      <c r="T1190" s="24">
        <v>0</v>
      </c>
      <c r="U1190" s="24">
        <v>0</v>
      </c>
      <c r="V1190" s="24">
        <v>0</v>
      </c>
      <c r="W1190" s="24">
        <v>0</v>
      </c>
      <c r="X1190" s="24">
        <v>0</v>
      </c>
      <c r="Y1190" s="24">
        <v>0</v>
      </c>
      <c r="Z1190" s="24">
        <v>0</v>
      </c>
      <c r="AA1190" s="24">
        <v>0</v>
      </c>
      <c r="AB1190" s="24">
        <v>0</v>
      </c>
      <c r="AC1190" s="30">
        <f t="shared" si="356"/>
        <v>0</v>
      </c>
      <c r="AD1190" s="28"/>
      <c r="AE1190" s="12"/>
      <c r="AF1190" s="29"/>
      <c r="AG1190" s="9"/>
      <c r="AH1190" s="10"/>
      <c r="AI1190" s="9"/>
      <c r="AJ1190" s="11"/>
      <c r="AK1190" s="9"/>
      <c r="AL1190" s="13"/>
      <c r="AM1190" s="9"/>
    </row>
  </sheetData>
  <autoFilter ref="A2:AN794" xr:uid="{534C699E-3AC6-47A5-A078-2BCCF2A44130}"/>
  <conditionalFormatting sqref="A3:AM1190">
    <cfRule type="expression" dxfId="1" priority="1">
      <formula>$L3=1</formula>
    </cfRule>
  </conditionalFormatting>
  <conditionalFormatting sqref="Q1:AG1">
    <cfRule type="expression" dxfId="0" priority="4">
      <formula>$L1=1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xr:uid="{6BD5E84B-7059-46DA-B3D7-2B683540BDA6}">
          <x14:formula1>
            <xm:f>'Balizador da Meta'!$A$2:$A$5</xm:f>
          </x14:formula1>
          <xm:sqref>AM3:AM1048576</xm:sqref>
        </x14:dataValidation>
        <x14:dataValidation type="list" showInputMessage="1" xr:uid="{5D7DEFBF-A7AA-4768-BEED-A2E75786FC2B}">
          <x14:formula1>
            <xm:f>'Balizador da Meta'!$D$2:$F$2</xm:f>
          </x14:formula1>
          <xm:sqref>AK3:AK1048576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CE0F3-42C4-4EA2-9961-F2D5428D7A73}">
  <dimension ref="A1:M22"/>
  <sheetViews>
    <sheetView showGridLines="0" zoomScale="115" zoomScaleNormal="115" workbookViewId="0">
      <selection activeCell="E2" sqref="E2"/>
    </sheetView>
  </sheetViews>
  <sheetFormatPr defaultColWidth="10.109375" defaultRowHeight="13.8" x14ac:dyDescent="0.3"/>
  <cols>
    <col min="1" max="1" width="22.33203125" style="1" bestFit="1" customWidth="1"/>
    <col min="2" max="13" width="9.44140625" style="8" customWidth="1"/>
    <col min="14" max="16384" width="10.109375" style="1"/>
  </cols>
  <sheetData>
    <row r="1" spans="1:13" s="6" customFormat="1" ht="24.75" customHeight="1" x14ac:dyDescent="0.3">
      <c r="A1" s="19" t="s">
        <v>62</v>
      </c>
      <c r="B1" s="20" t="s">
        <v>63</v>
      </c>
      <c r="C1" s="20" t="s">
        <v>64</v>
      </c>
      <c r="D1" s="20" t="s">
        <v>65</v>
      </c>
      <c r="E1" s="20" t="s">
        <v>66</v>
      </c>
      <c r="F1" s="20" t="s">
        <v>67</v>
      </c>
      <c r="G1" s="20" t="s">
        <v>68</v>
      </c>
      <c r="H1" s="20" t="s">
        <v>69</v>
      </c>
      <c r="I1" s="20" t="s">
        <v>70</v>
      </c>
      <c r="J1" s="20" t="s">
        <v>71</v>
      </c>
      <c r="K1" s="20" t="s">
        <v>72</v>
      </c>
      <c r="L1" s="20" t="s">
        <v>73</v>
      </c>
      <c r="M1" s="20" t="s">
        <v>74</v>
      </c>
    </row>
    <row r="2" spans="1:13" x14ac:dyDescent="0.3">
      <c r="A2" s="5" t="s">
        <v>81</v>
      </c>
      <c r="B2" s="16"/>
      <c r="C2" s="16"/>
      <c r="D2" s="16"/>
      <c r="E2" s="13"/>
      <c r="F2" s="13"/>
      <c r="G2" s="13"/>
      <c r="H2" s="13"/>
      <c r="I2" s="13"/>
      <c r="J2" s="13"/>
      <c r="K2" s="13"/>
      <c r="L2" s="13"/>
      <c r="M2" s="13"/>
    </row>
    <row r="3" spans="1:13" x14ac:dyDescent="0.3">
      <c r="A3" s="5" t="s">
        <v>82</v>
      </c>
      <c r="B3" s="16"/>
      <c r="C3" s="16"/>
      <c r="D3" s="16"/>
      <c r="E3" s="13"/>
      <c r="F3" s="13"/>
      <c r="G3" s="13"/>
      <c r="H3" s="13"/>
      <c r="I3" s="13"/>
      <c r="J3" s="13"/>
      <c r="K3" s="13"/>
      <c r="L3" s="13"/>
      <c r="M3" s="13"/>
    </row>
    <row r="4" spans="1:13" x14ac:dyDescent="0.3">
      <c r="A4" s="5" t="s">
        <v>84</v>
      </c>
      <c r="B4" s="16"/>
      <c r="C4" s="16"/>
      <c r="D4" s="16"/>
      <c r="E4" s="13"/>
      <c r="F4" s="13"/>
      <c r="G4" s="13"/>
      <c r="H4" s="13"/>
      <c r="I4" s="13"/>
      <c r="J4" s="13"/>
      <c r="K4" s="13"/>
      <c r="L4" s="13"/>
      <c r="M4" s="13"/>
    </row>
    <row r="5" spans="1:13" x14ac:dyDescent="0.3">
      <c r="A5" s="5" t="s">
        <v>83</v>
      </c>
      <c r="B5" s="16"/>
      <c r="C5" s="16"/>
      <c r="D5" s="16"/>
      <c r="E5" s="13"/>
      <c r="F5" s="13"/>
      <c r="G5" s="13"/>
      <c r="H5" s="13"/>
      <c r="I5" s="13"/>
      <c r="J5" s="13"/>
      <c r="K5" s="13"/>
      <c r="L5" s="13"/>
      <c r="M5" s="13"/>
    </row>
    <row r="6" spans="1:13" x14ac:dyDescent="0.3">
      <c r="A6" s="5" t="s">
        <v>87</v>
      </c>
      <c r="B6" s="16"/>
      <c r="C6" s="16"/>
      <c r="D6" s="16"/>
      <c r="E6" s="13"/>
      <c r="F6" s="13"/>
      <c r="G6" s="13"/>
      <c r="H6" s="13"/>
      <c r="I6" s="13"/>
      <c r="J6" s="13"/>
      <c r="K6" s="13"/>
      <c r="L6" s="13"/>
      <c r="M6" s="13"/>
    </row>
    <row r="7" spans="1:13" x14ac:dyDescent="0.3">
      <c r="A7" s="5" t="s">
        <v>85</v>
      </c>
      <c r="B7" s="16"/>
      <c r="C7" s="16"/>
      <c r="D7" s="16"/>
      <c r="E7" s="13"/>
      <c r="F7" s="13"/>
      <c r="G7" s="13"/>
      <c r="H7" s="13"/>
      <c r="I7" s="13"/>
      <c r="J7" s="13"/>
      <c r="K7" s="13"/>
      <c r="L7" s="13"/>
      <c r="M7" s="13"/>
    </row>
    <row r="8" spans="1:13" x14ac:dyDescent="0.3">
      <c r="A8" s="5" t="s">
        <v>92</v>
      </c>
      <c r="B8" s="16"/>
      <c r="C8" s="16"/>
      <c r="D8" s="16"/>
      <c r="E8" s="13"/>
      <c r="F8" s="13"/>
      <c r="G8" s="13"/>
      <c r="H8" s="13"/>
      <c r="I8" s="13"/>
      <c r="J8" s="13"/>
      <c r="K8" s="13"/>
      <c r="L8" s="13"/>
      <c r="M8" s="13"/>
    </row>
    <row r="9" spans="1:13" x14ac:dyDescent="0.3">
      <c r="A9" s="5" t="s">
        <v>86</v>
      </c>
      <c r="B9" s="16"/>
      <c r="C9" s="16"/>
      <c r="D9" s="16"/>
      <c r="E9" s="13"/>
      <c r="F9" s="13"/>
      <c r="G9" s="13"/>
      <c r="H9" s="13"/>
      <c r="I9" s="13"/>
      <c r="J9" s="13"/>
      <c r="K9" s="13"/>
      <c r="L9" s="13"/>
      <c r="M9" s="13"/>
    </row>
    <row r="10" spans="1:13" x14ac:dyDescent="0.3">
      <c r="A10" s="5" t="s">
        <v>108</v>
      </c>
      <c r="B10" s="16"/>
      <c r="C10" s="16"/>
      <c r="D10" s="16"/>
      <c r="E10" s="13"/>
      <c r="F10" s="13"/>
      <c r="G10" s="13"/>
      <c r="H10" s="13"/>
      <c r="I10" s="13"/>
      <c r="J10" s="13"/>
      <c r="K10" s="13"/>
      <c r="L10" s="13"/>
      <c r="M10" s="13"/>
    </row>
    <row r="11" spans="1:13" x14ac:dyDescent="0.3">
      <c r="A11" s="5" t="s">
        <v>214</v>
      </c>
      <c r="B11" s="16"/>
      <c r="C11" s="16"/>
      <c r="D11" s="16"/>
      <c r="E11" s="13"/>
      <c r="F11" s="13"/>
      <c r="G11" s="13"/>
      <c r="H11" s="13"/>
      <c r="I11" s="13"/>
      <c r="J11" s="13"/>
      <c r="K11" s="13"/>
      <c r="L11" s="13"/>
      <c r="M11" s="13"/>
    </row>
    <row r="12" spans="1:13" x14ac:dyDescent="0.3">
      <c r="A12" s="5" t="s">
        <v>215</v>
      </c>
      <c r="B12" s="16"/>
      <c r="C12" s="16"/>
      <c r="D12" s="16"/>
      <c r="E12" s="13"/>
      <c r="F12" s="13"/>
      <c r="G12" s="13"/>
      <c r="H12" s="13"/>
      <c r="I12" s="13"/>
      <c r="J12" s="13"/>
      <c r="K12" s="13"/>
      <c r="L12" s="13"/>
      <c r="M12" s="13"/>
    </row>
    <row r="13" spans="1:13" x14ac:dyDescent="0.3">
      <c r="A13" s="5" t="s">
        <v>216</v>
      </c>
      <c r="B13" s="16"/>
      <c r="C13" s="16"/>
      <c r="D13" s="16"/>
      <c r="E13" s="13"/>
      <c r="F13" s="13"/>
      <c r="G13" s="13"/>
      <c r="H13" s="13"/>
      <c r="I13" s="13"/>
      <c r="J13" s="13"/>
      <c r="K13" s="13"/>
      <c r="L13" s="13"/>
      <c r="M13" s="13"/>
    </row>
    <row r="14" spans="1:13" x14ac:dyDescent="0.3">
      <c r="A14" s="5" t="s">
        <v>217</v>
      </c>
      <c r="B14" s="16"/>
      <c r="C14" s="16"/>
      <c r="D14" s="16"/>
      <c r="E14" s="13"/>
      <c r="F14" s="13"/>
      <c r="G14" s="13"/>
      <c r="H14" s="13"/>
      <c r="I14" s="13"/>
      <c r="J14" s="13"/>
      <c r="K14" s="13"/>
      <c r="L14" s="13"/>
      <c r="M14" s="13"/>
    </row>
    <row r="15" spans="1:13" x14ac:dyDescent="0.3">
      <c r="A15" s="5" t="s">
        <v>89</v>
      </c>
      <c r="B15" s="16"/>
      <c r="C15" s="16"/>
      <c r="D15" s="16"/>
      <c r="E15" s="13"/>
      <c r="F15" s="13"/>
      <c r="G15" s="13"/>
      <c r="H15" s="13"/>
      <c r="I15" s="13"/>
      <c r="J15" s="13"/>
      <c r="K15" s="13"/>
      <c r="L15" s="13"/>
      <c r="M15" s="13"/>
    </row>
    <row r="16" spans="1:13" x14ac:dyDescent="0.3">
      <c r="A16" s="5" t="s">
        <v>88</v>
      </c>
      <c r="B16" s="16"/>
      <c r="C16" s="16"/>
      <c r="D16" s="16"/>
      <c r="E16" s="13"/>
      <c r="F16" s="13"/>
      <c r="G16" s="13"/>
      <c r="H16" s="13"/>
      <c r="I16" s="13"/>
      <c r="J16" s="13"/>
      <c r="K16" s="13"/>
      <c r="L16" s="13"/>
      <c r="M16" s="13"/>
    </row>
    <row r="17" spans="1:13" x14ac:dyDescent="0.3">
      <c r="A17" s="5" t="s">
        <v>90</v>
      </c>
      <c r="B17" s="16"/>
      <c r="C17" s="16"/>
      <c r="D17" s="16"/>
      <c r="E17" s="13"/>
      <c r="F17" s="13"/>
      <c r="G17" s="13"/>
      <c r="H17" s="13"/>
      <c r="I17" s="13"/>
      <c r="J17" s="13"/>
      <c r="K17" s="13"/>
      <c r="L17" s="13"/>
      <c r="M17" s="13"/>
    </row>
    <row r="18" spans="1:13" x14ac:dyDescent="0.3">
      <c r="A18" s="5" t="s">
        <v>91</v>
      </c>
      <c r="B18" s="16"/>
      <c r="C18" s="16"/>
      <c r="D18" s="16"/>
      <c r="E18" s="13"/>
      <c r="F18" s="13"/>
      <c r="G18" s="13"/>
      <c r="H18" s="13"/>
      <c r="I18" s="13"/>
      <c r="J18" s="13"/>
      <c r="K18" s="13"/>
      <c r="L18" s="13"/>
      <c r="M18" s="13"/>
    </row>
    <row r="19" spans="1:13" x14ac:dyDescent="0.3">
      <c r="A19" s="5" t="s">
        <v>96</v>
      </c>
      <c r="B19" s="16"/>
      <c r="C19" s="16"/>
      <c r="D19" s="16"/>
      <c r="E19" s="13"/>
      <c r="F19" s="13"/>
      <c r="G19" s="13"/>
      <c r="H19" s="13"/>
      <c r="I19" s="13"/>
      <c r="J19" s="13"/>
      <c r="K19" s="13"/>
      <c r="L19" s="13"/>
      <c r="M19" s="13"/>
    </row>
    <row r="20" spans="1:13" x14ac:dyDescent="0.3">
      <c r="A20" s="5" t="s">
        <v>94</v>
      </c>
      <c r="B20" s="16"/>
      <c r="C20" s="16"/>
      <c r="D20" s="16"/>
      <c r="E20" s="13"/>
      <c r="F20" s="13"/>
      <c r="G20" s="13"/>
      <c r="H20" s="13"/>
      <c r="I20" s="13"/>
      <c r="J20" s="13"/>
      <c r="K20" s="13"/>
      <c r="L20" s="13"/>
      <c r="M20" s="13"/>
    </row>
    <row r="21" spans="1:13" x14ac:dyDescent="0.3">
      <c r="A21" s="5" t="s">
        <v>95</v>
      </c>
      <c r="B21" s="16"/>
      <c r="C21" s="16"/>
      <c r="D21" s="16"/>
      <c r="E21" s="13"/>
      <c r="F21" s="13"/>
      <c r="G21" s="13"/>
      <c r="H21" s="13"/>
      <c r="I21" s="13"/>
      <c r="J21" s="13"/>
      <c r="K21" s="13"/>
      <c r="L21" s="13"/>
      <c r="M21" s="13"/>
    </row>
    <row r="22" spans="1:13" x14ac:dyDescent="0.3">
      <c r="A22" s="5" t="s">
        <v>93</v>
      </c>
      <c r="B22" s="16"/>
      <c r="C22" s="16"/>
      <c r="D22" s="16"/>
      <c r="E22" s="13"/>
      <c r="F22" s="13"/>
      <c r="G22" s="13"/>
      <c r="H22" s="13"/>
      <c r="I22" s="13"/>
      <c r="J22" s="13"/>
      <c r="K22" s="13"/>
      <c r="L22" s="13"/>
      <c r="M22" s="13"/>
    </row>
  </sheetData>
  <sortState xmlns:xlrd2="http://schemas.microsoft.com/office/spreadsheetml/2017/richdata2" ref="A2:M22">
    <sortCondition ref="A2:A22"/>
  </sortState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8CB3D-8D3D-4146-A4CD-E43623D181B8}">
  <dimension ref="A1:G33"/>
  <sheetViews>
    <sheetView showGridLines="0" workbookViewId="0">
      <selection activeCell="F19" sqref="F19"/>
    </sheetView>
  </sheetViews>
  <sheetFormatPr defaultRowHeight="14.4" x14ac:dyDescent="0.3"/>
  <cols>
    <col min="1" max="1" width="13.44140625" bestFit="1" customWidth="1"/>
    <col min="3" max="3" width="19.5546875" bestFit="1" customWidth="1"/>
    <col min="4" max="6" width="15.6640625" customWidth="1"/>
    <col min="10" max="10" width="8.44140625" bestFit="1" customWidth="1"/>
    <col min="11" max="12" width="34.33203125" bestFit="1" customWidth="1"/>
    <col min="15" max="15" width="12.5546875" bestFit="1" customWidth="1"/>
  </cols>
  <sheetData>
    <row r="1" spans="1:7" x14ac:dyDescent="0.3">
      <c r="A1" s="54" t="s">
        <v>99</v>
      </c>
      <c r="C1" s="93" t="s">
        <v>103</v>
      </c>
      <c r="D1" s="90" t="s">
        <v>107</v>
      </c>
      <c r="E1" s="91"/>
      <c r="F1" s="92"/>
      <c r="G1" s="58" t="s">
        <v>219</v>
      </c>
    </row>
    <row r="2" spans="1:7" x14ac:dyDescent="0.3">
      <c r="A2" s="9" t="s">
        <v>100</v>
      </c>
      <c r="C2" s="94"/>
      <c r="D2" s="54" t="s">
        <v>101</v>
      </c>
      <c r="E2" s="54" t="s">
        <v>106</v>
      </c>
      <c r="F2" s="54" t="s">
        <v>102</v>
      </c>
    </row>
    <row r="3" spans="1:7" x14ac:dyDescent="0.3">
      <c r="A3" s="13" t="s">
        <v>80</v>
      </c>
      <c r="C3" s="15" t="s">
        <v>81</v>
      </c>
      <c r="D3" s="17">
        <v>0.1</v>
      </c>
      <c r="E3" s="17">
        <v>0.15</v>
      </c>
      <c r="F3" s="17">
        <v>0.2</v>
      </c>
    </row>
    <row r="4" spans="1:7" x14ac:dyDescent="0.3">
      <c r="A4" s="9" t="s">
        <v>97</v>
      </c>
      <c r="C4" s="15" t="s">
        <v>82</v>
      </c>
      <c r="D4" s="17">
        <v>0.1</v>
      </c>
      <c r="E4" s="17">
        <v>0.15</v>
      </c>
      <c r="F4" s="17">
        <v>0.2</v>
      </c>
    </row>
    <row r="5" spans="1:7" x14ac:dyDescent="0.3">
      <c r="A5" s="9" t="s">
        <v>98</v>
      </c>
      <c r="C5" s="15" t="s">
        <v>84</v>
      </c>
      <c r="D5" s="17">
        <v>0.05</v>
      </c>
      <c r="E5" s="17">
        <v>0.1</v>
      </c>
      <c r="F5" s="17">
        <v>0.15</v>
      </c>
    </row>
    <row r="6" spans="1:7" x14ac:dyDescent="0.3">
      <c r="C6" s="15" t="s">
        <v>83</v>
      </c>
      <c r="D6" s="17">
        <v>0</v>
      </c>
      <c r="E6" s="17">
        <v>0</v>
      </c>
      <c r="F6" s="17">
        <v>0</v>
      </c>
    </row>
    <row r="7" spans="1:7" x14ac:dyDescent="0.3">
      <c r="C7" s="15" t="s">
        <v>87</v>
      </c>
      <c r="D7" s="18">
        <v>0</v>
      </c>
      <c r="E7" s="17">
        <v>0</v>
      </c>
      <c r="F7" s="17">
        <v>0</v>
      </c>
    </row>
    <row r="8" spans="1:7" x14ac:dyDescent="0.3">
      <c r="C8" s="15" t="s">
        <v>85</v>
      </c>
      <c r="D8" s="17">
        <v>0</v>
      </c>
      <c r="E8" s="17">
        <v>0</v>
      </c>
      <c r="F8" s="17">
        <v>0</v>
      </c>
    </row>
    <row r="9" spans="1:7" x14ac:dyDescent="0.3">
      <c r="C9" s="15" t="s">
        <v>92</v>
      </c>
      <c r="D9" s="17">
        <v>0</v>
      </c>
      <c r="E9" s="17">
        <v>0</v>
      </c>
      <c r="F9" s="17">
        <v>0</v>
      </c>
    </row>
    <row r="10" spans="1:7" x14ac:dyDescent="0.3">
      <c r="C10" s="15" t="s">
        <v>86</v>
      </c>
      <c r="D10" s="18">
        <v>0.05</v>
      </c>
      <c r="E10" s="17">
        <v>0.1</v>
      </c>
      <c r="F10" s="17">
        <v>0.15</v>
      </c>
    </row>
    <row r="11" spans="1:7" x14ac:dyDescent="0.3">
      <c r="C11" s="15" t="s">
        <v>108</v>
      </c>
      <c r="D11" s="17">
        <v>0</v>
      </c>
      <c r="E11" s="17">
        <v>0</v>
      </c>
      <c r="F11" s="17">
        <v>0</v>
      </c>
    </row>
    <row r="12" spans="1:7" x14ac:dyDescent="0.3">
      <c r="C12" s="15" t="s">
        <v>214</v>
      </c>
      <c r="D12" s="17">
        <v>0.1</v>
      </c>
      <c r="E12" s="17">
        <v>0.15</v>
      </c>
      <c r="F12" s="17">
        <v>0.2</v>
      </c>
    </row>
    <row r="13" spans="1:7" x14ac:dyDescent="0.3">
      <c r="C13" s="15" t="s">
        <v>215</v>
      </c>
      <c r="D13" s="17">
        <v>0.1</v>
      </c>
      <c r="E13" s="17">
        <v>0.15</v>
      </c>
      <c r="F13" s="17">
        <v>0.2</v>
      </c>
    </row>
    <row r="14" spans="1:7" x14ac:dyDescent="0.3">
      <c r="C14" s="15" t="s">
        <v>216</v>
      </c>
      <c r="D14" s="17">
        <v>0.1</v>
      </c>
      <c r="E14" s="17">
        <v>0.15</v>
      </c>
      <c r="F14" s="17">
        <v>0.2</v>
      </c>
    </row>
    <row r="15" spans="1:7" x14ac:dyDescent="0.3">
      <c r="C15" s="15" t="s">
        <v>217</v>
      </c>
      <c r="D15" s="17">
        <v>0.1</v>
      </c>
      <c r="E15" s="17">
        <v>0.15</v>
      </c>
      <c r="F15" s="17">
        <v>0.2</v>
      </c>
    </row>
    <row r="16" spans="1:7" x14ac:dyDescent="0.3">
      <c r="C16" s="15" t="s">
        <v>89</v>
      </c>
      <c r="D16" s="17">
        <v>0.15</v>
      </c>
      <c r="E16" s="17">
        <v>0.2</v>
      </c>
      <c r="F16" s="17">
        <v>0.25</v>
      </c>
    </row>
    <row r="17" spans="3:6" x14ac:dyDescent="0.3">
      <c r="C17" s="15" t="s">
        <v>88</v>
      </c>
      <c r="D17" s="17">
        <v>0</v>
      </c>
      <c r="E17" s="17">
        <v>0</v>
      </c>
      <c r="F17" s="17">
        <v>0</v>
      </c>
    </row>
    <row r="18" spans="3:6" x14ac:dyDescent="0.3">
      <c r="C18" s="15" t="s">
        <v>90</v>
      </c>
      <c r="D18" s="17">
        <v>0</v>
      </c>
      <c r="E18" s="17">
        <v>0</v>
      </c>
      <c r="F18" s="17">
        <v>0</v>
      </c>
    </row>
    <row r="19" spans="3:6" x14ac:dyDescent="0.3">
      <c r="C19" s="15" t="s">
        <v>91</v>
      </c>
      <c r="D19" s="17">
        <v>0</v>
      </c>
      <c r="E19" s="17">
        <v>0</v>
      </c>
      <c r="F19" s="17">
        <v>0</v>
      </c>
    </row>
    <row r="20" spans="3:6" x14ac:dyDescent="0.3">
      <c r="C20" s="15" t="s">
        <v>96</v>
      </c>
      <c r="D20" s="17">
        <v>0</v>
      </c>
      <c r="E20" s="17">
        <v>0</v>
      </c>
      <c r="F20" s="17">
        <v>0</v>
      </c>
    </row>
    <row r="21" spans="3:6" x14ac:dyDescent="0.3">
      <c r="C21" s="15" t="s">
        <v>94</v>
      </c>
      <c r="D21" s="17">
        <v>0.15</v>
      </c>
      <c r="E21" s="17">
        <v>0.2</v>
      </c>
      <c r="F21" s="17">
        <v>0.25</v>
      </c>
    </row>
    <row r="22" spans="3:6" x14ac:dyDescent="0.3">
      <c r="C22" s="15" t="s">
        <v>95</v>
      </c>
      <c r="D22" s="17">
        <v>0.15</v>
      </c>
      <c r="E22" s="17">
        <v>0.2</v>
      </c>
      <c r="F22" s="17">
        <v>0.25</v>
      </c>
    </row>
    <row r="23" spans="3:6" x14ac:dyDescent="0.3">
      <c r="C23" s="15" t="s">
        <v>93</v>
      </c>
      <c r="D23" s="17">
        <v>0.1</v>
      </c>
      <c r="E23" s="17">
        <v>0.15</v>
      </c>
      <c r="F23" s="17">
        <v>0.2</v>
      </c>
    </row>
    <row r="30" spans="3:6" x14ac:dyDescent="0.3">
      <c r="D30" s="1"/>
    </row>
    <row r="31" spans="3:6" x14ac:dyDescent="0.3">
      <c r="D31" s="1"/>
    </row>
    <row r="32" spans="3:6" x14ac:dyDescent="0.3">
      <c r="D32" s="1"/>
    </row>
    <row r="33" spans="4:4" x14ac:dyDescent="0.3">
      <c r="D33" s="1"/>
    </row>
  </sheetData>
  <sortState xmlns:xlrd2="http://schemas.microsoft.com/office/spreadsheetml/2017/richdata2" ref="C3:F23">
    <sortCondition ref="C3:C23"/>
  </sortState>
  <mergeCells count="2">
    <mergeCell ref="D1:F1"/>
    <mergeCell ref="C1:C2"/>
  </mergeCells>
  <phoneticPr fontId="7" type="noConversion"/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3C42A-9516-449D-AB71-15C0EFAD6710}">
  <dimension ref="A1:O135"/>
  <sheetViews>
    <sheetView showGridLines="0" zoomScale="80" zoomScaleNormal="80" workbookViewId="0">
      <selection activeCell="N95" sqref="N95"/>
    </sheetView>
  </sheetViews>
  <sheetFormatPr defaultRowHeight="14.4" x14ac:dyDescent="0.3"/>
  <cols>
    <col min="1" max="1" width="11" customWidth="1"/>
    <col min="2" max="2" width="35.6640625" customWidth="1"/>
    <col min="3" max="15" width="13.33203125" customWidth="1"/>
    <col min="16" max="16" width="11.33203125" bestFit="1" customWidth="1"/>
    <col min="17" max="17" width="26.6640625" bestFit="1" customWidth="1"/>
    <col min="18" max="26" width="11.6640625" customWidth="1"/>
  </cols>
  <sheetData>
    <row r="1" spans="1:15" x14ac:dyDescent="0.3">
      <c r="A1" s="22" t="s">
        <v>55</v>
      </c>
      <c r="B1" s="22" t="s">
        <v>119</v>
      </c>
      <c r="C1" s="22" t="s">
        <v>200</v>
      </c>
      <c r="D1" s="43" t="s">
        <v>63</v>
      </c>
      <c r="E1" s="43" t="s">
        <v>64</v>
      </c>
      <c r="F1" s="43" t="s">
        <v>65</v>
      </c>
      <c r="G1" s="43" t="s">
        <v>66</v>
      </c>
      <c r="H1" s="43" t="s">
        <v>67</v>
      </c>
      <c r="I1" s="43" t="s">
        <v>68</v>
      </c>
      <c r="J1" s="43" t="s">
        <v>69</v>
      </c>
      <c r="K1" s="43" t="s">
        <v>70</v>
      </c>
      <c r="L1" s="43" t="s">
        <v>71</v>
      </c>
      <c r="M1" s="43" t="s">
        <v>72</v>
      </c>
      <c r="N1" s="43" t="s">
        <v>73</v>
      </c>
      <c r="O1" s="43" t="s">
        <v>74</v>
      </c>
    </row>
    <row r="2" spans="1:15" x14ac:dyDescent="0.3">
      <c r="A2" s="3">
        <v>1324</v>
      </c>
      <c r="B2" s="4" t="str">
        <f>_xlfn.XLOOKUP(A2,'Base Grupo de Produtos'!H:H,'Base Grupo de Produtos'!I:I)</f>
        <v>VENDA INTERNA AP</v>
      </c>
      <c r="C2" s="45">
        <v>1</v>
      </c>
      <c r="D2" s="9">
        <f t="shared" ref="D2:O2" si="0">C2+C2*D$41</f>
        <v>1</v>
      </c>
      <c r="E2" s="9">
        <f t="shared" si="0"/>
        <v>1</v>
      </c>
      <c r="F2" s="9">
        <f t="shared" si="0"/>
        <v>1</v>
      </c>
      <c r="G2" s="9">
        <f t="shared" si="0"/>
        <v>1.0148148148148148</v>
      </c>
      <c r="H2" s="9">
        <f t="shared" si="0"/>
        <v>1.0296296296296297</v>
      </c>
      <c r="I2" s="9">
        <f t="shared" si="0"/>
        <v>1.0444444444444443</v>
      </c>
      <c r="J2" s="9">
        <f t="shared" si="0"/>
        <v>1.0592592592592591</v>
      </c>
      <c r="K2" s="9">
        <f t="shared" si="0"/>
        <v>1.074074074074074</v>
      </c>
      <c r="L2" s="9">
        <f t="shared" si="0"/>
        <v>1.0888888888888888</v>
      </c>
      <c r="M2" s="9">
        <f t="shared" si="0"/>
        <v>1.1037037037037036</v>
      </c>
      <c r="N2" s="9">
        <f t="shared" si="0"/>
        <v>1.1185185185185185</v>
      </c>
      <c r="O2" s="9">
        <f t="shared" si="0"/>
        <v>1.1333333333333333</v>
      </c>
    </row>
    <row r="3" spans="1:15" x14ac:dyDescent="0.3">
      <c r="A3" s="3">
        <v>1325</v>
      </c>
      <c r="B3" s="4" t="str">
        <f>_xlfn.XLOOKUP(A3,'Base Grupo de Produtos'!H:H,'Base Grupo de Produtos'!I:I)</f>
        <v>VENDA INTERNA RN</v>
      </c>
      <c r="C3" s="45">
        <v>23</v>
      </c>
      <c r="D3" s="9">
        <f t="shared" ref="D3:O3" si="1">C3+C3*D$41</f>
        <v>23</v>
      </c>
      <c r="E3" s="9">
        <f t="shared" si="1"/>
        <v>23</v>
      </c>
      <c r="F3" s="9">
        <f t="shared" si="1"/>
        <v>23</v>
      </c>
      <c r="G3" s="9">
        <f t="shared" si="1"/>
        <v>23.340740740740742</v>
      </c>
      <c r="H3" s="9">
        <f t="shared" si="1"/>
        <v>23.681481481481484</v>
      </c>
      <c r="I3" s="9">
        <f t="shared" si="1"/>
        <v>24.022222222222222</v>
      </c>
      <c r="J3" s="9">
        <f t="shared" si="1"/>
        <v>24.362962962962964</v>
      </c>
      <c r="K3" s="9">
        <f t="shared" si="1"/>
        <v>24.703703703703702</v>
      </c>
      <c r="L3" s="9">
        <f t="shared" si="1"/>
        <v>25.044444444444444</v>
      </c>
      <c r="M3" s="9">
        <f t="shared" si="1"/>
        <v>25.385185185185186</v>
      </c>
      <c r="N3" s="9">
        <f t="shared" si="1"/>
        <v>25.725925925925928</v>
      </c>
      <c r="O3" s="9">
        <f t="shared" si="1"/>
        <v>26.06666666666667</v>
      </c>
    </row>
    <row r="4" spans="1:15" x14ac:dyDescent="0.3">
      <c r="A4" s="3">
        <v>1326</v>
      </c>
      <c r="B4" s="4" t="str">
        <f>_xlfn.XLOOKUP(A4,'Base Grupo de Produtos'!H:H,'Base Grupo de Produtos'!I:I)</f>
        <v>VENDA INTERNA CE</v>
      </c>
      <c r="C4" s="45">
        <v>18</v>
      </c>
      <c r="D4" s="9">
        <f t="shared" ref="D4:O4" si="2">C4+C4*D$41</f>
        <v>18</v>
      </c>
      <c r="E4" s="9">
        <f t="shared" si="2"/>
        <v>18</v>
      </c>
      <c r="F4" s="9">
        <f t="shared" si="2"/>
        <v>18</v>
      </c>
      <c r="G4" s="9">
        <f t="shared" si="2"/>
        <v>18.266666666666666</v>
      </c>
      <c r="H4" s="9">
        <f t="shared" si="2"/>
        <v>18.533333333333331</v>
      </c>
      <c r="I4" s="9">
        <f t="shared" si="2"/>
        <v>18.799999999999997</v>
      </c>
      <c r="J4" s="9">
        <f t="shared" si="2"/>
        <v>19.066666666666663</v>
      </c>
      <c r="K4" s="9">
        <f t="shared" si="2"/>
        <v>19.333333333333329</v>
      </c>
      <c r="L4" s="9">
        <f t="shared" si="2"/>
        <v>19.599999999999994</v>
      </c>
      <c r="M4" s="9">
        <f t="shared" si="2"/>
        <v>19.86666666666666</v>
      </c>
      <c r="N4" s="9">
        <f t="shared" si="2"/>
        <v>20.133333333333326</v>
      </c>
      <c r="O4" s="9">
        <f t="shared" si="2"/>
        <v>20.399999999999995</v>
      </c>
    </row>
    <row r="5" spans="1:15" x14ac:dyDescent="0.3">
      <c r="A5" s="3">
        <v>1327</v>
      </c>
      <c r="B5" s="4" t="str">
        <f>_xlfn.XLOOKUP(A5,'Base Grupo de Produtos'!H:H,'Base Grupo de Produtos'!I:I)</f>
        <v>VENDA INTERNA PI</v>
      </c>
      <c r="C5" s="45">
        <v>8</v>
      </c>
      <c r="D5" s="9">
        <f t="shared" ref="D5:O5" si="3">C5+C5*D$41</f>
        <v>8</v>
      </c>
      <c r="E5" s="9">
        <f t="shared" si="3"/>
        <v>8</v>
      </c>
      <c r="F5" s="9">
        <f t="shared" si="3"/>
        <v>8</v>
      </c>
      <c r="G5" s="9">
        <f t="shared" si="3"/>
        <v>8.1185185185185187</v>
      </c>
      <c r="H5" s="9">
        <f t="shared" si="3"/>
        <v>8.2370370370370374</v>
      </c>
      <c r="I5" s="9">
        <f t="shared" si="3"/>
        <v>8.3555555555555543</v>
      </c>
      <c r="J5" s="9">
        <f t="shared" si="3"/>
        <v>8.474074074074073</v>
      </c>
      <c r="K5" s="9">
        <f t="shared" si="3"/>
        <v>8.5925925925925917</v>
      </c>
      <c r="L5" s="9">
        <f t="shared" si="3"/>
        <v>8.7111111111111104</v>
      </c>
      <c r="M5" s="9">
        <f t="shared" si="3"/>
        <v>8.8296296296296291</v>
      </c>
      <c r="N5" s="9">
        <f t="shared" si="3"/>
        <v>8.9481481481481477</v>
      </c>
      <c r="O5" s="9">
        <f t="shared" si="3"/>
        <v>9.0666666666666664</v>
      </c>
    </row>
    <row r="6" spans="1:15" x14ac:dyDescent="0.3">
      <c r="A6" s="3">
        <v>1328</v>
      </c>
      <c r="B6" s="4" t="str">
        <f>_xlfn.XLOOKUP(A6,'Base Grupo de Produtos'!H:H,'Base Grupo de Produtos'!I:I)</f>
        <v>VENDA INTERNA PE</v>
      </c>
      <c r="C6" s="45">
        <v>11</v>
      </c>
      <c r="D6" s="9">
        <f t="shared" ref="D6:O6" si="4">C6+C6*D$41</f>
        <v>11</v>
      </c>
      <c r="E6" s="9">
        <f t="shared" si="4"/>
        <v>11</v>
      </c>
      <c r="F6" s="9">
        <f t="shared" si="4"/>
        <v>11</v>
      </c>
      <c r="G6" s="9">
        <f t="shared" si="4"/>
        <v>11.162962962962963</v>
      </c>
      <c r="H6" s="9">
        <f t="shared" si="4"/>
        <v>11.325925925925926</v>
      </c>
      <c r="I6" s="9">
        <f t="shared" si="4"/>
        <v>11.488888888888887</v>
      </c>
      <c r="J6" s="9">
        <f t="shared" si="4"/>
        <v>11.65185185185185</v>
      </c>
      <c r="K6" s="9">
        <f t="shared" si="4"/>
        <v>11.814814814814813</v>
      </c>
      <c r="L6" s="9">
        <f t="shared" si="4"/>
        <v>11.977777777777776</v>
      </c>
      <c r="M6" s="9">
        <f t="shared" si="4"/>
        <v>12.140740740740739</v>
      </c>
      <c r="N6" s="9">
        <f t="shared" si="4"/>
        <v>12.303703703703702</v>
      </c>
      <c r="O6" s="9">
        <f t="shared" si="4"/>
        <v>12.466666666666665</v>
      </c>
    </row>
    <row r="7" spans="1:15" x14ac:dyDescent="0.3">
      <c r="A7" s="3">
        <v>1329</v>
      </c>
      <c r="B7" s="4" t="str">
        <f>_xlfn.XLOOKUP(A7,'Base Grupo de Produtos'!H:H,'Base Grupo de Produtos'!I:I)</f>
        <v>VENDA INTERNA PB</v>
      </c>
      <c r="C7" s="45">
        <v>8</v>
      </c>
      <c r="D7" s="9">
        <f t="shared" ref="D7:O7" si="5">C7+C7*D$41</f>
        <v>8</v>
      </c>
      <c r="E7" s="9">
        <f t="shared" si="5"/>
        <v>8</v>
      </c>
      <c r="F7" s="9">
        <f t="shared" si="5"/>
        <v>8</v>
      </c>
      <c r="G7" s="9">
        <f t="shared" si="5"/>
        <v>8.1185185185185187</v>
      </c>
      <c r="H7" s="9">
        <f t="shared" si="5"/>
        <v>8.2370370370370374</v>
      </c>
      <c r="I7" s="9">
        <f t="shared" si="5"/>
        <v>8.3555555555555543</v>
      </c>
      <c r="J7" s="9">
        <f t="shared" si="5"/>
        <v>8.474074074074073</v>
      </c>
      <c r="K7" s="9">
        <f t="shared" si="5"/>
        <v>8.5925925925925917</v>
      </c>
      <c r="L7" s="9">
        <f t="shared" si="5"/>
        <v>8.7111111111111104</v>
      </c>
      <c r="M7" s="9">
        <f t="shared" si="5"/>
        <v>8.8296296296296291</v>
      </c>
      <c r="N7" s="9">
        <f t="shared" si="5"/>
        <v>8.9481481481481477</v>
      </c>
      <c r="O7" s="9">
        <f t="shared" si="5"/>
        <v>9.0666666666666664</v>
      </c>
    </row>
    <row r="8" spans="1:15" x14ac:dyDescent="0.3">
      <c r="A8" s="3">
        <v>1330</v>
      </c>
      <c r="B8" s="4" t="str">
        <f>_xlfn.XLOOKUP(A8,'Base Grupo de Produtos'!H:H,'Base Grupo de Produtos'!I:I)</f>
        <v>VENDA INTERNA SE</v>
      </c>
      <c r="C8" s="45">
        <v>4</v>
      </c>
      <c r="D8" s="9">
        <f t="shared" ref="D8:O8" si="6">C8+C8*D$41</f>
        <v>4</v>
      </c>
      <c r="E8" s="9">
        <f t="shared" si="6"/>
        <v>4</v>
      </c>
      <c r="F8" s="9">
        <f t="shared" si="6"/>
        <v>4</v>
      </c>
      <c r="G8" s="9">
        <f t="shared" si="6"/>
        <v>4.0592592592592593</v>
      </c>
      <c r="H8" s="9">
        <f t="shared" si="6"/>
        <v>4.1185185185185187</v>
      </c>
      <c r="I8" s="9">
        <f t="shared" si="6"/>
        <v>4.1777777777777771</v>
      </c>
      <c r="J8" s="9">
        <f t="shared" si="6"/>
        <v>4.2370370370370365</v>
      </c>
      <c r="K8" s="9">
        <f t="shared" si="6"/>
        <v>4.2962962962962958</v>
      </c>
      <c r="L8" s="9">
        <f t="shared" si="6"/>
        <v>4.3555555555555552</v>
      </c>
      <c r="M8" s="9">
        <f t="shared" si="6"/>
        <v>4.4148148148148145</v>
      </c>
      <c r="N8" s="9">
        <f t="shared" si="6"/>
        <v>4.4740740740740739</v>
      </c>
      <c r="O8" s="9">
        <f t="shared" si="6"/>
        <v>4.5333333333333332</v>
      </c>
    </row>
    <row r="9" spans="1:15" x14ac:dyDescent="0.3">
      <c r="A9" s="3">
        <v>1331</v>
      </c>
      <c r="B9" s="4" t="str">
        <f>_xlfn.XLOOKUP(A9,'Base Grupo de Produtos'!H:H,'Base Grupo de Produtos'!I:I)</f>
        <v>VENDA INTERNA BA</v>
      </c>
      <c r="C9" s="45">
        <v>54</v>
      </c>
      <c r="D9" s="9">
        <f t="shared" ref="D9:O9" si="7">C9+C9*D$41</f>
        <v>54</v>
      </c>
      <c r="E9" s="9">
        <f t="shared" si="7"/>
        <v>54</v>
      </c>
      <c r="F9" s="9">
        <f t="shared" si="7"/>
        <v>54</v>
      </c>
      <c r="G9" s="9">
        <f t="shared" si="7"/>
        <v>54.800000000000004</v>
      </c>
      <c r="H9" s="9">
        <f t="shared" si="7"/>
        <v>55.6</v>
      </c>
      <c r="I9" s="9">
        <f t="shared" si="7"/>
        <v>56.4</v>
      </c>
      <c r="J9" s="9">
        <f t="shared" si="7"/>
        <v>57.2</v>
      </c>
      <c r="K9" s="9">
        <f t="shared" si="7"/>
        <v>58</v>
      </c>
      <c r="L9" s="9">
        <f t="shared" si="7"/>
        <v>58.800000000000004</v>
      </c>
      <c r="M9" s="9">
        <f t="shared" si="7"/>
        <v>59.600000000000009</v>
      </c>
      <c r="N9" s="9">
        <f t="shared" si="7"/>
        <v>60.400000000000006</v>
      </c>
      <c r="O9" s="9">
        <f t="shared" si="7"/>
        <v>61.20000000000001</v>
      </c>
    </row>
    <row r="10" spans="1:15" x14ac:dyDescent="0.3">
      <c r="A10" s="3">
        <v>1332</v>
      </c>
      <c r="B10" s="4" t="str">
        <f>_xlfn.XLOOKUP(A10,'Base Grupo de Produtos'!H:H,'Base Grupo de Produtos'!I:I)</f>
        <v>VENDA INTERNA MA</v>
      </c>
      <c r="C10" s="45">
        <v>12</v>
      </c>
      <c r="D10" s="9">
        <f t="shared" ref="D10:O10" si="8">C10+C10*D$41</f>
        <v>12</v>
      </c>
      <c r="E10" s="9">
        <f t="shared" si="8"/>
        <v>12</v>
      </c>
      <c r="F10" s="9">
        <f t="shared" si="8"/>
        <v>12</v>
      </c>
      <c r="G10" s="9">
        <f t="shared" si="8"/>
        <v>12.177777777777777</v>
      </c>
      <c r="H10" s="9">
        <f t="shared" si="8"/>
        <v>12.355555555555554</v>
      </c>
      <c r="I10" s="9">
        <f t="shared" si="8"/>
        <v>12.533333333333331</v>
      </c>
      <c r="J10" s="9">
        <f t="shared" si="8"/>
        <v>12.711111111111109</v>
      </c>
      <c r="K10" s="9">
        <f t="shared" si="8"/>
        <v>12.888888888888886</v>
      </c>
      <c r="L10" s="9">
        <f t="shared" si="8"/>
        <v>13.066666666666665</v>
      </c>
      <c r="M10" s="9">
        <f t="shared" si="8"/>
        <v>13.244444444444442</v>
      </c>
      <c r="N10" s="9">
        <f t="shared" si="8"/>
        <v>13.422222222222219</v>
      </c>
      <c r="O10" s="9">
        <f t="shared" si="8"/>
        <v>13.599999999999998</v>
      </c>
    </row>
    <row r="11" spans="1:15" x14ac:dyDescent="0.3">
      <c r="A11" s="3">
        <v>1346</v>
      </c>
      <c r="B11" s="4" t="str">
        <f>_xlfn.XLOOKUP(A11,'Base Grupo de Produtos'!H:H,'Base Grupo de Produtos'!I:I)</f>
        <v>VENDA INTERNA TO</v>
      </c>
      <c r="C11" s="45">
        <v>9</v>
      </c>
      <c r="D11" s="9">
        <f t="shared" ref="D11:O11" si="9">C11+C11*D$41</f>
        <v>9</v>
      </c>
      <c r="E11" s="9">
        <f t="shared" si="9"/>
        <v>9</v>
      </c>
      <c r="F11" s="9">
        <f t="shared" si="9"/>
        <v>9</v>
      </c>
      <c r="G11" s="9">
        <f t="shared" si="9"/>
        <v>9.1333333333333329</v>
      </c>
      <c r="H11" s="9">
        <f t="shared" si="9"/>
        <v>9.2666666666666657</v>
      </c>
      <c r="I11" s="9">
        <f t="shared" si="9"/>
        <v>9.3999999999999986</v>
      </c>
      <c r="J11" s="9">
        <f t="shared" si="9"/>
        <v>9.5333333333333314</v>
      </c>
      <c r="K11" s="9">
        <f t="shared" si="9"/>
        <v>9.6666666666666643</v>
      </c>
      <c r="L11" s="9">
        <f t="shared" si="9"/>
        <v>9.7999999999999972</v>
      </c>
      <c r="M11" s="9">
        <f t="shared" si="9"/>
        <v>9.93333333333333</v>
      </c>
      <c r="N11" s="9">
        <f t="shared" si="9"/>
        <v>10.066666666666663</v>
      </c>
      <c r="O11" s="9">
        <f t="shared" si="9"/>
        <v>10.199999999999998</v>
      </c>
    </row>
    <row r="12" spans="1:15" x14ac:dyDescent="0.3">
      <c r="A12" s="3">
        <v>1347</v>
      </c>
      <c r="B12" s="4" t="str">
        <f>_xlfn.XLOOKUP(A12,'Base Grupo de Produtos'!H:H,'Base Grupo de Produtos'!I:I)</f>
        <v>VENDA INTERNA RO</v>
      </c>
      <c r="C12" s="45">
        <v>7</v>
      </c>
      <c r="D12" s="9">
        <f t="shared" ref="D12:O12" si="10">C12+C12*D$41</f>
        <v>7</v>
      </c>
      <c r="E12" s="9">
        <f t="shared" si="10"/>
        <v>7</v>
      </c>
      <c r="F12" s="9">
        <f t="shared" si="10"/>
        <v>7</v>
      </c>
      <c r="G12" s="9">
        <f t="shared" si="10"/>
        <v>7.1037037037037036</v>
      </c>
      <c r="H12" s="9">
        <f t="shared" si="10"/>
        <v>7.2074074074074073</v>
      </c>
      <c r="I12" s="9">
        <f t="shared" si="10"/>
        <v>7.31111111111111</v>
      </c>
      <c r="J12" s="9">
        <f t="shared" si="10"/>
        <v>7.4148148148148136</v>
      </c>
      <c r="K12" s="9">
        <f t="shared" si="10"/>
        <v>7.5185185185185173</v>
      </c>
      <c r="L12" s="9">
        <f t="shared" si="10"/>
        <v>7.6222222222222209</v>
      </c>
      <c r="M12" s="9">
        <f t="shared" si="10"/>
        <v>7.7259259259259245</v>
      </c>
      <c r="N12" s="9">
        <f t="shared" si="10"/>
        <v>7.8296296296296282</v>
      </c>
      <c r="O12" s="9">
        <f t="shared" si="10"/>
        <v>7.9333333333333327</v>
      </c>
    </row>
    <row r="13" spans="1:15" x14ac:dyDescent="0.3">
      <c r="A13" s="3">
        <v>1348</v>
      </c>
      <c r="B13" s="4" t="str">
        <f>_xlfn.XLOOKUP(A13,'Base Grupo de Produtos'!H:H,'Base Grupo de Produtos'!I:I)</f>
        <v>VENDA INTERNA RR</v>
      </c>
      <c r="C13" s="45">
        <v>2</v>
      </c>
      <c r="D13" s="9">
        <f t="shared" ref="D13:O13" si="11">C13+C13*D$41</f>
        <v>2</v>
      </c>
      <c r="E13" s="9">
        <f t="shared" si="11"/>
        <v>2</v>
      </c>
      <c r="F13" s="9">
        <f t="shared" si="11"/>
        <v>2</v>
      </c>
      <c r="G13" s="9">
        <f t="shared" si="11"/>
        <v>2.0296296296296297</v>
      </c>
      <c r="H13" s="9">
        <f t="shared" si="11"/>
        <v>2.0592592592592593</v>
      </c>
      <c r="I13" s="9">
        <f t="shared" si="11"/>
        <v>2.0888888888888886</v>
      </c>
      <c r="J13" s="9">
        <f t="shared" si="11"/>
        <v>2.1185185185185182</v>
      </c>
      <c r="K13" s="9">
        <f t="shared" si="11"/>
        <v>2.1481481481481479</v>
      </c>
      <c r="L13" s="9">
        <f t="shared" si="11"/>
        <v>2.1777777777777776</v>
      </c>
      <c r="M13" s="9">
        <f t="shared" si="11"/>
        <v>2.2074074074074073</v>
      </c>
      <c r="N13" s="9">
        <f t="shared" si="11"/>
        <v>2.2370370370370369</v>
      </c>
      <c r="O13" s="9">
        <f t="shared" si="11"/>
        <v>2.2666666666666666</v>
      </c>
    </row>
    <row r="14" spans="1:15" x14ac:dyDescent="0.3">
      <c r="A14" s="3">
        <v>1349</v>
      </c>
      <c r="B14" s="4" t="str">
        <f>_xlfn.XLOOKUP(A14,'Base Grupo de Produtos'!H:H,'Base Grupo de Produtos'!I:I)</f>
        <v>VENDA INTERNA PA</v>
      </c>
      <c r="C14" s="45">
        <v>22</v>
      </c>
      <c r="D14" s="9">
        <f t="shared" ref="D14:O14" si="12">C14+C14*D$41</f>
        <v>22</v>
      </c>
      <c r="E14" s="9">
        <f t="shared" si="12"/>
        <v>22</v>
      </c>
      <c r="F14" s="9">
        <f t="shared" si="12"/>
        <v>22</v>
      </c>
      <c r="G14" s="9">
        <f t="shared" si="12"/>
        <v>22.325925925925926</v>
      </c>
      <c r="H14" s="9">
        <f t="shared" si="12"/>
        <v>22.651851851851852</v>
      </c>
      <c r="I14" s="9">
        <f t="shared" si="12"/>
        <v>22.977777777777774</v>
      </c>
      <c r="J14" s="9">
        <f t="shared" si="12"/>
        <v>23.3037037037037</v>
      </c>
      <c r="K14" s="9">
        <f t="shared" si="12"/>
        <v>23.629629629629626</v>
      </c>
      <c r="L14" s="9">
        <f t="shared" si="12"/>
        <v>23.955555555555552</v>
      </c>
      <c r="M14" s="9">
        <f t="shared" si="12"/>
        <v>24.281481481481478</v>
      </c>
      <c r="N14" s="9">
        <f t="shared" si="12"/>
        <v>24.607407407407404</v>
      </c>
      <c r="O14" s="9">
        <f t="shared" si="12"/>
        <v>24.93333333333333</v>
      </c>
    </row>
    <row r="15" spans="1:15" x14ac:dyDescent="0.3">
      <c r="A15" s="3">
        <v>1351</v>
      </c>
      <c r="B15" s="4" t="str">
        <f>_xlfn.XLOOKUP(A15,'Base Grupo de Produtos'!H:H,'Base Grupo de Produtos'!I:I)</f>
        <v>VENDA INTERNA AM</v>
      </c>
      <c r="C15" s="45">
        <v>4</v>
      </c>
      <c r="D15" s="9">
        <f t="shared" ref="D15:O15" si="13">C15+C15*D$41</f>
        <v>4</v>
      </c>
      <c r="E15" s="9">
        <f t="shared" si="13"/>
        <v>4</v>
      </c>
      <c r="F15" s="9">
        <f t="shared" si="13"/>
        <v>4</v>
      </c>
      <c r="G15" s="9">
        <f t="shared" si="13"/>
        <v>4.0592592592592593</v>
      </c>
      <c r="H15" s="9">
        <f t="shared" si="13"/>
        <v>4.1185185185185187</v>
      </c>
      <c r="I15" s="9">
        <f t="shared" si="13"/>
        <v>4.1777777777777771</v>
      </c>
      <c r="J15" s="9">
        <f t="shared" si="13"/>
        <v>4.2370370370370365</v>
      </c>
      <c r="K15" s="9">
        <f t="shared" si="13"/>
        <v>4.2962962962962958</v>
      </c>
      <c r="L15" s="9">
        <f t="shared" si="13"/>
        <v>4.3555555555555552</v>
      </c>
      <c r="M15" s="9">
        <f t="shared" si="13"/>
        <v>4.4148148148148145</v>
      </c>
      <c r="N15" s="9">
        <f t="shared" si="13"/>
        <v>4.4740740740740739</v>
      </c>
      <c r="O15" s="9">
        <f t="shared" si="13"/>
        <v>4.5333333333333332</v>
      </c>
    </row>
    <row r="16" spans="1:15" x14ac:dyDescent="0.3">
      <c r="A16" s="3">
        <v>1352</v>
      </c>
      <c r="B16" s="4" t="str">
        <f>_xlfn.XLOOKUP(A16,'Base Grupo de Produtos'!H:H,'Base Grupo de Produtos'!I:I)</f>
        <v>VENDA INTERNA DF</v>
      </c>
      <c r="C16" s="45">
        <v>8</v>
      </c>
      <c r="D16" s="9">
        <f t="shared" ref="D16:O16" si="14">C16+C16*D$41</f>
        <v>8</v>
      </c>
      <c r="E16" s="9">
        <f t="shared" si="14"/>
        <v>8</v>
      </c>
      <c r="F16" s="9">
        <f t="shared" si="14"/>
        <v>8</v>
      </c>
      <c r="G16" s="9">
        <f t="shared" si="14"/>
        <v>8.1185185185185187</v>
      </c>
      <c r="H16" s="9">
        <f t="shared" si="14"/>
        <v>8.2370370370370374</v>
      </c>
      <c r="I16" s="9">
        <f t="shared" si="14"/>
        <v>8.3555555555555543</v>
      </c>
      <c r="J16" s="9">
        <f t="shared" si="14"/>
        <v>8.474074074074073</v>
      </c>
      <c r="K16" s="9">
        <f t="shared" si="14"/>
        <v>8.5925925925925917</v>
      </c>
      <c r="L16" s="9">
        <f t="shared" si="14"/>
        <v>8.7111111111111104</v>
      </c>
      <c r="M16" s="9">
        <f t="shared" si="14"/>
        <v>8.8296296296296291</v>
      </c>
      <c r="N16" s="9">
        <f t="shared" si="14"/>
        <v>8.9481481481481477</v>
      </c>
      <c r="O16" s="9">
        <f t="shared" si="14"/>
        <v>9.0666666666666664</v>
      </c>
    </row>
    <row r="17" spans="1:15" x14ac:dyDescent="0.3">
      <c r="A17" s="3">
        <v>1353</v>
      </c>
      <c r="B17" s="4" t="str">
        <f>_xlfn.XLOOKUP(A17,'Base Grupo de Produtos'!H:H,'Base Grupo de Produtos'!I:I)</f>
        <v>VENDA INTERNA MS</v>
      </c>
      <c r="C17" s="45">
        <v>21</v>
      </c>
      <c r="D17" s="9">
        <f t="shared" ref="D17:O17" si="15">C17+C17*D$41</f>
        <v>21</v>
      </c>
      <c r="E17" s="9">
        <f t="shared" si="15"/>
        <v>21</v>
      </c>
      <c r="F17" s="9">
        <f t="shared" si="15"/>
        <v>21</v>
      </c>
      <c r="G17" s="9">
        <f t="shared" si="15"/>
        <v>21.31111111111111</v>
      </c>
      <c r="H17" s="9">
        <f t="shared" si="15"/>
        <v>21.62222222222222</v>
      </c>
      <c r="I17" s="9">
        <f t="shared" si="15"/>
        <v>21.93333333333333</v>
      </c>
      <c r="J17" s="9">
        <f t="shared" si="15"/>
        <v>22.24444444444444</v>
      </c>
      <c r="K17" s="9">
        <f t="shared" si="15"/>
        <v>22.55555555555555</v>
      </c>
      <c r="L17" s="9">
        <f t="shared" si="15"/>
        <v>22.86666666666666</v>
      </c>
      <c r="M17" s="9">
        <f t="shared" si="15"/>
        <v>23.17777777777777</v>
      </c>
      <c r="N17" s="9">
        <f t="shared" si="15"/>
        <v>23.48888888888888</v>
      </c>
      <c r="O17" s="9">
        <f t="shared" si="15"/>
        <v>23.799999999999994</v>
      </c>
    </row>
    <row r="18" spans="1:15" x14ac:dyDescent="0.3">
      <c r="A18" s="3">
        <v>1354</v>
      </c>
      <c r="B18" s="4" t="str">
        <f>_xlfn.XLOOKUP(A18,'Base Grupo de Produtos'!H:H,'Base Grupo de Produtos'!I:I)</f>
        <v>VENDA INTERNA MT</v>
      </c>
      <c r="C18" s="45">
        <v>21</v>
      </c>
      <c r="D18" s="9">
        <f t="shared" ref="D18:O18" si="16">C18+C18*D$41</f>
        <v>21</v>
      </c>
      <c r="E18" s="9">
        <f t="shared" si="16"/>
        <v>21</v>
      </c>
      <c r="F18" s="9">
        <f t="shared" si="16"/>
        <v>21</v>
      </c>
      <c r="G18" s="9">
        <f t="shared" si="16"/>
        <v>21.31111111111111</v>
      </c>
      <c r="H18" s="9">
        <f t="shared" si="16"/>
        <v>21.62222222222222</v>
      </c>
      <c r="I18" s="9">
        <f t="shared" si="16"/>
        <v>21.93333333333333</v>
      </c>
      <c r="J18" s="9">
        <f t="shared" si="16"/>
        <v>22.24444444444444</v>
      </c>
      <c r="K18" s="9">
        <f t="shared" si="16"/>
        <v>22.55555555555555</v>
      </c>
      <c r="L18" s="9">
        <f t="shared" si="16"/>
        <v>22.86666666666666</v>
      </c>
      <c r="M18" s="9">
        <f t="shared" si="16"/>
        <v>23.17777777777777</v>
      </c>
      <c r="N18" s="9">
        <f t="shared" si="16"/>
        <v>23.48888888888888</v>
      </c>
      <c r="O18" s="9">
        <f t="shared" si="16"/>
        <v>23.799999999999994</v>
      </c>
    </row>
    <row r="19" spans="1:15" x14ac:dyDescent="0.3">
      <c r="A19" s="3">
        <v>1356</v>
      </c>
      <c r="B19" s="4" t="str">
        <f>_xlfn.XLOOKUP(A19,'Base Grupo de Produtos'!H:H,'Base Grupo de Produtos'!I:I)</f>
        <v>VENDA INTERNA GO</v>
      </c>
      <c r="C19" s="45">
        <v>41</v>
      </c>
      <c r="D19" s="9">
        <f t="shared" ref="D19:O19" si="17">C19+C19*D$41</f>
        <v>41</v>
      </c>
      <c r="E19" s="9">
        <f t="shared" si="17"/>
        <v>41</v>
      </c>
      <c r="F19" s="9">
        <f t="shared" si="17"/>
        <v>41</v>
      </c>
      <c r="G19" s="9">
        <f t="shared" si="17"/>
        <v>41.607407407407408</v>
      </c>
      <c r="H19" s="9">
        <f t="shared" si="17"/>
        <v>42.214814814814815</v>
      </c>
      <c r="I19" s="9">
        <f t="shared" si="17"/>
        <v>42.822222222222216</v>
      </c>
      <c r="J19" s="9">
        <f t="shared" si="17"/>
        <v>43.429629629629623</v>
      </c>
      <c r="K19" s="9">
        <f t="shared" si="17"/>
        <v>44.037037037037031</v>
      </c>
      <c r="L19" s="9">
        <f t="shared" si="17"/>
        <v>44.644444444444439</v>
      </c>
      <c r="M19" s="9">
        <f t="shared" si="17"/>
        <v>45.251851851851846</v>
      </c>
      <c r="N19" s="9">
        <f t="shared" si="17"/>
        <v>45.859259259259254</v>
      </c>
      <c r="O19" s="9">
        <f t="shared" si="17"/>
        <v>46.466666666666661</v>
      </c>
    </row>
    <row r="20" spans="1:15" x14ac:dyDescent="0.3">
      <c r="A20" s="3">
        <v>1357</v>
      </c>
      <c r="B20" s="4" t="str">
        <f>_xlfn.XLOOKUP(A20,'Base Grupo de Produtos'!H:H,'Base Grupo de Produtos'!I:I)</f>
        <v>VENDA INTERNA ES</v>
      </c>
      <c r="C20" s="45">
        <v>20</v>
      </c>
      <c r="D20" s="9">
        <f t="shared" ref="D20:O20" si="18">C20+C20*D$41</f>
        <v>20</v>
      </c>
      <c r="E20" s="9">
        <f t="shared" si="18"/>
        <v>20</v>
      </c>
      <c r="F20" s="9">
        <f t="shared" si="18"/>
        <v>20</v>
      </c>
      <c r="G20" s="9">
        <f t="shared" si="18"/>
        <v>20.296296296296298</v>
      </c>
      <c r="H20" s="9">
        <f t="shared" si="18"/>
        <v>20.592592592592595</v>
      </c>
      <c r="I20" s="9">
        <f t="shared" si="18"/>
        <v>20.888888888888889</v>
      </c>
      <c r="J20" s="9">
        <f t="shared" si="18"/>
        <v>21.185185185185187</v>
      </c>
      <c r="K20" s="9">
        <f t="shared" si="18"/>
        <v>21.481481481481481</v>
      </c>
      <c r="L20" s="9">
        <f t="shared" si="18"/>
        <v>21.777777777777779</v>
      </c>
      <c r="M20" s="9">
        <f t="shared" si="18"/>
        <v>22.074074074074076</v>
      </c>
      <c r="N20" s="9">
        <f t="shared" si="18"/>
        <v>22.370370370370374</v>
      </c>
      <c r="O20" s="9">
        <f t="shared" si="18"/>
        <v>22.666666666666671</v>
      </c>
    </row>
    <row r="21" spans="1:15" x14ac:dyDescent="0.3">
      <c r="A21" s="3">
        <v>1358</v>
      </c>
      <c r="B21" s="4" t="str">
        <f>_xlfn.XLOOKUP(A21,'Base Grupo de Produtos'!H:H,'Base Grupo de Produtos'!I:I)</f>
        <v>VENDA INTERNA RJ</v>
      </c>
      <c r="C21" s="45">
        <v>53</v>
      </c>
      <c r="D21" s="9">
        <f t="shared" ref="D21:O21" si="19">C21+C21*D$41</f>
        <v>53</v>
      </c>
      <c r="E21" s="9">
        <f t="shared" si="19"/>
        <v>53</v>
      </c>
      <c r="F21" s="9">
        <f t="shared" si="19"/>
        <v>53</v>
      </c>
      <c r="G21" s="9">
        <f t="shared" si="19"/>
        <v>53.785185185185185</v>
      </c>
      <c r="H21" s="9">
        <f t="shared" si="19"/>
        <v>54.57037037037037</v>
      </c>
      <c r="I21" s="9">
        <f t="shared" si="19"/>
        <v>55.355555555555547</v>
      </c>
      <c r="J21" s="9">
        <f t="shared" si="19"/>
        <v>56.140740740740732</v>
      </c>
      <c r="K21" s="9">
        <f t="shared" si="19"/>
        <v>56.925925925925917</v>
      </c>
      <c r="L21" s="9">
        <f t="shared" si="19"/>
        <v>57.711111111111101</v>
      </c>
      <c r="M21" s="9">
        <f t="shared" si="19"/>
        <v>58.496296296296286</v>
      </c>
      <c r="N21" s="9">
        <f t="shared" si="19"/>
        <v>59.281481481481471</v>
      </c>
      <c r="O21" s="9">
        <f t="shared" si="19"/>
        <v>60.066666666666663</v>
      </c>
    </row>
    <row r="22" spans="1:15" x14ac:dyDescent="0.3">
      <c r="A22" s="3">
        <v>1359</v>
      </c>
      <c r="B22" s="4" t="str">
        <f>_xlfn.XLOOKUP(A22,'Base Grupo de Produtos'!H:H,'Base Grupo de Produtos'!I:I)</f>
        <v>VENDA INTERNA MG</v>
      </c>
      <c r="C22" s="45">
        <v>66</v>
      </c>
      <c r="D22" s="9">
        <f t="shared" ref="D22:O22" si="20">C22+C22*D$41</f>
        <v>66</v>
      </c>
      <c r="E22" s="9">
        <f t="shared" si="20"/>
        <v>66</v>
      </c>
      <c r="F22" s="9">
        <f t="shared" si="20"/>
        <v>66</v>
      </c>
      <c r="G22" s="9">
        <f t="shared" si="20"/>
        <v>66.977777777777774</v>
      </c>
      <c r="H22" s="9">
        <f t="shared" si="20"/>
        <v>67.955555555555549</v>
      </c>
      <c r="I22" s="9">
        <f t="shared" si="20"/>
        <v>68.933333333333323</v>
      </c>
      <c r="J22" s="9">
        <f t="shared" si="20"/>
        <v>69.911111111111097</v>
      </c>
      <c r="K22" s="9">
        <f t="shared" si="20"/>
        <v>70.888888888888872</v>
      </c>
      <c r="L22" s="9">
        <f t="shared" si="20"/>
        <v>71.866666666666646</v>
      </c>
      <c r="M22" s="9">
        <f t="shared" si="20"/>
        <v>72.84444444444442</v>
      </c>
      <c r="N22" s="9">
        <f t="shared" si="20"/>
        <v>73.822222222222194</v>
      </c>
      <c r="O22" s="9">
        <f t="shared" si="20"/>
        <v>74.799999999999983</v>
      </c>
    </row>
    <row r="23" spans="1:15" x14ac:dyDescent="0.3">
      <c r="A23" s="3">
        <v>1360</v>
      </c>
      <c r="B23" s="4" t="str">
        <f>_xlfn.XLOOKUP(A23,'Base Grupo de Produtos'!H:H,'Base Grupo de Produtos'!I:I)</f>
        <v>VENDA INTERNA SP CAPITAL</v>
      </c>
      <c r="C23" s="45">
        <v>86</v>
      </c>
      <c r="D23" s="9">
        <f t="shared" ref="D23:O23" si="21">C23+C23*D$41</f>
        <v>86</v>
      </c>
      <c r="E23" s="9">
        <f t="shared" si="21"/>
        <v>86</v>
      </c>
      <c r="F23" s="9">
        <f t="shared" si="21"/>
        <v>86</v>
      </c>
      <c r="G23" s="9">
        <f t="shared" si="21"/>
        <v>87.274074074074079</v>
      </c>
      <c r="H23" s="9">
        <f t="shared" si="21"/>
        <v>88.548148148148158</v>
      </c>
      <c r="I23" s="9">
        <f t="shared" si="21"/>
        <v>89.822222222222223</v>
      </c>
      <c r="J23" s="9">
        <f t="shared" si="21"/>
        <v>91.096296296296302</v>
      </c>
      <c r="K23" s="9">
        <f t="shared" si="21"/>
        <v>92.370370370370367</v>
      </c>
      <c r="L23" s="9">
        <f t="shared" si="21"/>
        <v>93.644444444444446</v>
      </c>
      <c r="M23" s="9">
        <f t="shared" si="21"/>
        <v>94.918518518518525</v>
      </c>
      <c r="N23" s="9">
        <f t="shared" si="21"/>
        <v>96.192592592592604</v>
      </c>
      <c r="O23" s="9">
        <f t="shared" si="21"/>
        <v>97.466666666666683</v>
      </c>
    </row>
    <row r="24" spans="1:15" x14ac:dyDescent="0.3">
      <c r="A24" s="3">
        <v>1361</v>
      </c>
      <c r="B24" s="4" t="str">
        <f>_xlfn.XLOOKUP(A24,'Base Grupo de Produtos'!H:H,'Base Grupo de Produtos'!I:I)</f>
        <v>VENDA INTERNA SP INTERIOR</v>
      </c>
      <c r="C24" s="45">
        <v>99</v>
      </c>
      <c r="D24" s="9">
        <f t="shared" ref="D24:O24" si="22">C24+C24*D$41</f>
        <v>99</v>
      </c>
      <c r="E24" s="9">
        <f t="shared" si="22"/>
        <v>99</v>
      </c>
      <c r="F24" s="9">
        <f t="shared" si="22"/>
        <v>99</v>
      </c>
      <c r="G24" s="9">
        <f t="shared" si="22"/>
        <v>100.46666666666667</v>
      </c>
      <c r="H24" s="9">
        <f t="shared" si="22"/>
        <v>101.93333333333334</v>
      </c>
      <c r="I24" s="9">
        <f t="shared" si="22"/>
        <v>103.39999999999999</v>
      </c>
      <c r="J24" s="9">
        <f t="shared" si="22"/>
        <v>104.86666666666666</v>
      </c>
      <c r="K24" s="9">
        <f t="shared" si="22"/>
        <v>106.33333333333333</v>
      </c>
      <c r="L24" s="9">
        <f t="shared" si="22"/>
        <v>107.8</v>
      </c>
      <c r="M24" s="9">
        <f t="shared" si="22"/>
        <v>109.26666666666667</v>
      </c>
      <c r="N24" s="9">
        <f t="shared" si="22"/>
        <v>110.73333333333333</v>
      </c>
      <c r="O24" s="9">
        <f t="shared" si="22"/>
        <v>112.2</v>
      </c>
    </row>
    <row r="25" spans="1:15" x14ac:dyDescent="0.3">
      <c r="A25" s="3">
        <v>1362</v>
      </c>
      <c r="B25" s="4" t="str">
        <f>_xlfn.XLOOKUP(A25,'Base Grupo de Produtos'!H:H,'Base Grupo de Produtos'!I:I)</f>
        <v>VENDA INTERNA RS</v>
      </c>
      <c r="C25" s="45">
        <v>124</v>
      </c>
      <c r="D25" s="9">
        <f t="shared" ref="D25:O25" si="23">C25+C25*D$41</f>
        <v>124</v>
      </c>
      <c r="E25" s="9">
        <f t="shared" si="23"/>
        <v>124</v>
      </c>
      <c r="F25" s="9">
        <f t="shared" si="23"/>
        <v>124</v>
      </c>
      <c r="G25" s="9">
        <f t="shared" si="23"/>
        <v>125.83703703703704</v>
      </c>
      <c r="H25" s="9">
        <f t="shared" si="23"/>
        <v>127.67407407407407</v>
      </c>
      <c r="I25" s="9">
        <f t="shared" si="23"/>
        <v>129.51111111111109</v>
      </c>
      <c r="J25" s="9">
        <f t="shared" si="23"/>
        <v>131.34814814814814</v>
      </c>
      <c r="K25" s="9">
        <f t="shared" si="23"/>
        <v>133.18518518518516</v>
      </c>
      <c r="L25" s="9">
        <f t="shared" si="23"/>
        <v>135.02222222222221</v>
      </c>
      <c r="M25" s="9">
        <f t="shared" si="23"/>
        <v>136.85925925925926</v>
      </c>
      <c r="N25" s="9">
        <f t="shared" si="23"/>
        <v>138.69629629629628</v>
      </c>
      <c r="O25" s="9">
        <f t="shared" si="23"/>
        <v>140.53333333333333</v>
      </c>
    </row>
    <row r="26" spans="1:15" x14ac:dyDescent="0.3">
      <c r="A26" s="3">
        <v>1363</v>
      </c>
      <c r="B26" s="4" t="str">
        <f>_xlfn.XLOOKUP(A26,'Base Grupo de Produtos'!H:H,'Base Grupo de Produtos'!I:I)</f>
        <v>VENDA INTERNA PR</v>
      </c>
      <c r="C26" s="45">
        <v>156</v>
      </c>
      <c r="D26" s="9">
        <f t="shared" ref="D26:O26" si="24">C26+C26*D$41</f>
        <v>156</v>
      </c>
      <c r="E26" s="9">
        <f t="shared" si="24"/>
        <v>156</v>
      </c>
      <c r="F26" s="9">
        <f t="shared" si="24"/>
        <v>156</v>
      </c>
      <c r="G26" s="9">
        <f t="shared" si="24"/>
        <v>158.3111111111111</v>
      </c>
      <c r="H26" s="9">
        <f t="shared" si="24"/>
        <v>160.62222222222221</v>
      </c>
      <c r="I26" s="9">
        <f t="shared" si="24"/>
        <v>162.93333333333331</v>
      </c>
      <c r="J26" s="9">
        <f t="shared" si="24"/>
        <v>165.24444444444441</v>
      </c>
      <c r="K26" s="9">
        <f t="shared" si="24"/>
        <v>167.55555555555551</v>
      </c>
      <c r="L26" s="9">
        <f t="shared" si="24"/>
        <v>169.86666666666662</v>
      </c>
      <c r="M26" s="9">
        <f t="shared" si="24"/>
        <v>172.17777777777772</v>
      </c>
      <c r="N26" s="9">
        <f t="shared" si="24"/>
        <v>174.48888888888882</v>
      </c>
      <c r="O26" s="9">
        <f t="shared" si="24"/>
        <v>176.79999999999995</v>
      </c>
    </row>
    <row r="27" spans="1:15" x14ac:dyDescent="0.3">
      <c r="A27" s="3">
        <v>1364</v>
      </c>
      <c r="B27" s="4" t="str">
        <f>_xlfn.XLOOKUP(A27,'Base Grupo de Produtos'!H:H,'Base Grupo de Produtos'!I:I)</f>
        <v>VENDA INTERNA SC</v>
      </c>
      <c r="C27" s="45">
        <v>277</v>
      </c>
      <c r="D27" s="9">
        <f t="shared" ref="D27:O27" si="25">C27+C27*D$41</f>
        <v>277</v>
      </c>
      <c r="E27" s="9">
        <f t="shared" si="25"/>
        <v>277</v>
      </c>
      <c r="F27" s="9">
        <f t="shared" si="25"/>
        <v>277</v>
      </c>
      <c r="G27" s="9">
        <f t="shared" si="25"/>
        <v>281.10370370370373</v>
      </c>
      <c r="H27" s="9">
        <f t="shared" si="25"/>
        <v>285.2074074074074</v>
      </c>
      <c r="I27" s="9">
        <f t="shared" si="25"/>
        <v>289.31111111111107</v>
      </c>
      <c r="J27" s="9">
        <f t="shared" si="25"/>
        <v>293.4148148148148</v>
      </c>
      <c r="K27" s="9">
        <f t="shared" si="25"/>
        <v>297.51851851851848</v>
      </c>
      <c r="L27" s="9">
        <f t="shared" si="25"/>
        <v>301.62222222222221</v>
      </c>
      <c r="M27" s="9">
        <f t="shared" si="25"/>
        <v>305.72592592592594</v>
      </c>
      <c r="N27" s="9">
        <f t="shared" si="25"/>
        <v>309.82962962962961</v>
      </c>
      <c r="O27" s="9">
        <f t="shared" si="25"/>
        <v>313.93333333333334</v>
      </c>
    </row>
    <row r="28" spans="1:15" x14ac:dyDescent="0.3">
      <c r="A28" s="3">
        <v>1425</v>
      </c>
      <c r="B28" s="4" t="str">
        <f>_xlfn.XLOOKUP(A28,'Base Grupo de Produtos'!H:H,'Base Grupo de Produtos'!I:I)</f>
        <v>VENDA INTERNA - DIVINA TERRA</v>
      </c>
      <c r="C28" s="45">
        <v>30</v>
      </c>
      <c r="D28" s="9">
        <f t="shared" ref="D28:O28" si="26">C28+C28*D$41</f>
        <v>30</v>
      </c>
      <c r="E28" s="9">
        <f t="shared" si="26"/>
        <v>30</v>
      </c>
      <c r="F28" s="9">
        <f t="shared" si="26"/>
        <v>30</v>
      </c>
      <c r="G28" s="9">
        <f t="shared" si="26"/>
        <v>30.444444444444446</v>
      </c>
      <c r="H28" s="9">
        <f t="shared" si="26"/>
        <v>30.888888888888889</v>
      </c>
      <c r="I28" s="9">
        <f t="shared" si="26"/>
        <v>31.333333333333332</v>
      </c>
      <c r="J28" s="9">
        <f t="shared" si="26"/>
        <v>31.777777777777779</v>
      </c>
      <c r="K28" s="9">
        <f t="shared" si="26"/>
        <v>32.222222222222221</v>
      </c>
      <c r="L28" s="9">
        <f t="shared" si="26"/>
        <v>32.666666666666664</v>
      </c>
      <c r="M28" s="9">
        <f t="shared" si="26"/>
        <v>33.111111111111107</v>
      </c>
      <c r="N28" s="9">
        <f t="shared" si="26"/>
        <v>33.55555555555555</v>
      </c>
      <c r="O28" s="9">
        <f t="shared" si="26"/>
        <v>34</v>
      </c>
    </row>
    <row r="29" spans="1:15" x14ac:dyDescent="0.3">
      <c r="A29" s="3">
        <v>1427</v>
      </c>
      <c r="B29" s="4" t="str">
        <f>_xlfn.XLOOKUP(A29,'Base Grupo de Produtos'!H:H,'Base Grupo de Produtos'!I:I)</f>
        <v>VENDA INTERNA - FITLAND</v>
      </c>
      <c r="C29" s="45">
        <v>43</v>
      </c>
      <c r="D29" s="9">
        <f t="shared" ref="D29:O29" si="27">C29+C29*D$41</f>
        <v>43</v>
      </c>
      <c r="E29" s="9">
        <f t="shared" si="27"/>
        <v>43</v>
      </c>
      <c r="F29" s="9">
        <f t="shared" si="27"/>
        <v>43</v>
      </c>
      <c r="G29" s="9">
        <f t="shared" si="27"/>
        <v>43.63703703703704</v>
      </c>
      <c r="H29" s="9">
        <f t="shared" si="27"/>
        <v>44.274074074074079</v>
      </c>
      <c r="I29" s="9">
        <f t="shared" si="27"/>
        <v>44.911111111111111</v>
      </c>
      <c r="J29" s="9">
        <f t="shared" si="27"/>
        <v>45.548148148148151</v>
      </c>
      <c r="K29" s="9">
        <f t="shared" si="27"/>
        <v>46.185185185185183</v>
      </c>
      <c r="L29" s="9">
        <f t="shared" si="27"/>
        <v>46.822222222222223</v>
      </c>
      <c r="M29" s="9">
        <f t="shared" si="27"/>
        <v>47.459259259259262</v>
      </c>
      <c r="N29" s="9">
        <f t="shared" si="27"/>
        <v>48.096296296296302</v>
      </c>
      <c r="O29" s="9">
        <f t="shared" si="27"/>
        <v>48.733333333333341</v>
      </c>
    </row>
    <row r="30" spans="1:15" x14ac:dyDescent="0.3">
      <c r="A30" s="3">
        <v>1428</v>
      </c>
      <c r="B30" s="4" t="str">
        <f>_xlfn.XLOOKUP(A30,'Base Grupo de Produtos'!H:H,'Base Grupo de Produtos'!I:I)</f>
        <v>VENDA INTERNA - JARDIM DAS ERVAS</v>
      </c>
      <c r="C30" s="45">
        <v>3</v>
      </c>
      <c r="D30" s="9">
        <f t="shared" ref="D30:O30" si="28">C30+C30*D$41</f>
        <v>3</v>
      </c>
      <c r="E30" s="9">
        <f t="shared" si="28"/>
        <v>3</v>
      </c>
      <c r="F30" s="9">
        <f t="shared" si="28"/>
        <v>3</v>
      </c>
      <c r="G30" s="9">
        <f t="shared" si="28"/>
        <v>3.0444444444444443</v>
      </c>
      <c r="H30" s="9">
        <f t="shared" si="28"/>
        <v>3.0888888888888886</v>
      </c>
      <c r="I30" s="9">
        <f t="shared" si="28"/>
        <v>3.1333333333333329</v>
      </c>
      <c r="J30" s="9">
        <f t="shared" si="28"/>
        <v>3.1777777777777771</v>
      </c>
      <c r="K30" s="9">
        <f t="shared" si="28"/>
        <v>3.2222222222222214</v>
      </c>
      <c r="L30" s="9">
        <f t="shared" si="28"/>
        <v>3.2666666666666662</v>
      </c>
      <c r="M30" s="9">
        <f t="shared" si="28"/>
        <v>3.3111111111111104</v>
      </c>
      <c r="N30" s="9">
        <f t="shared" si="28"/>
        <v>3.3555555555555547</v>
      </c>
      <c r="O30" s="9">
        <f t="shared" si="28"/>
        <v>3.3999999999999995</v>
      </c>
    </row>
    <row r="31" spans="1:15" x14ac:dyDescent="0.3">
      <c r="A31" s="3">
        <v>1429</v>
      </c>
      <c r="B31" s="4" t="str">
        <f>_xlfn.XLOOKUP(A31,'Base Grupo de Produtos'!H:H,'Base Grupo de Produtos'!I:I)</f>
        <v>VANDA INTERNA - VIDA LEVE</v>
      </c>
      <c r="C31" s="45">
        <v>8</v>
      </c>
      <c r="D31" s="9">
        <f t="shared" ref="D31:O31" si="29">C31+C31*D$41</f>
        <v>8</v>
      </c>
      <c r="E31" s="9">
        <f t="shared" si="29"/>
        <v>8</v>
      </c>
      <c r="F31" s="9">
        <f t="shared" si="29"/>
        <v>8</v>
      </c>
      <c r="G31" s="9">
        <f t="shared" si="29"/>
        <v>8.1185185185185187</v>
      </c>
      <c r="H31" s="9">
        <f t="shared" si="29"/>
        <v>8.2370370370370374</v>
      </c>
      <c r="I31" s="9">
        <f t="shared" si="29"/>
        <v>8.3555555555555543</v>
      </c>
      <c r="J31" s="9">
        <f t="shared" si="29"/>
        <v>8.474074074074073</v>
      </c>
      <c r="K31" s="9">
        <f t="shared" si="29"/>
        <v>8.5925925925925917</v>
      </c>
      <c r="L31" s="9">
        <f t="shared" si="29"/>
        <v>8.7111111111111104</v>
      </c>
      <c r="M31" s="9">
        <f t="shared" si="29"/>
        <v>8.8296296296296291</v>
      </c>
      <c r="N31" s="9">
        <f t="shared" si="29"/>
        <v>8.9481481481481477</v>
      </c>
      <c r="O31" s="9">
        <f t="shared" si="29"/>
        <v>9.0666666666666664</v>
      </c>
    </row>
    <row r="32" spans="1:15" x14ac:dyDescent="0.3">
      <c r="A32" s="3">
        <v>1430</v>
      </c>
      <c r="B32" s="4" t="str">
        <f>_xlfn.XLOOKUP(A32,'Base Grupo de Produtos'!H:H,'Base Grupo de Produtos'!I:I)</f>
        <v>VENDA INTERNA - BIO MUNDO</v>
      </c>
      <c r="C32" s="45">
        <v>12</v>
      </c>
      <c r="D32" s="9">
        <f t="shared" ref="D32:O32" si="30">C32+C32*D$41</f>
        <v>12</v>
      </c>
      <c r="E32" s="9">
        <f t="shared" si="30"/>
        <v>12</v>
      </c>
      <c r="F32" s="9">
        <f t="shared" si="30"/>
        <v>12</v>
      </c>
      <c r="G32" s="9">
        <f t="shared" si="30"/>
        <v>12.177777777777777</v>
      </c>
      <c r="H32" s="9">
        <f t="shared" si="30"/>
        <v>12.355555555555554</v>
      </c>
      <c r="I32" s="9">
        <f t="shared" si="30"/>
        <v>12.533333333333331</v>
      </c>
      <c r="J32" s="9">
        <f t="shared" si="30"/>
        <v>12.711111111111109</v>
      </c>
      <c r="K32" s="9">
        <f t="shared" si="30"/>
        <v>12.888888888888886</v>
      </c>
      <c r="L32" s="9">
        <f t="shared" si="30"/>
        <v>13.066666666666665</v>
      </c>
      <c r="M32" s="9">
        <f t="shared" si="30"/>
        <v>13.244444444444442</v>
      </c>
      <c r="N32" s="9">
        <f t="shared" si="30"/>
        <v>13.422222222222219</v>
      </c>
      <c r="O32" s="9">
        <f t="shared" si="30"/>
        <v>13.599999999999998</v>
      </c>
    </row>
    <row r="33" spans="1:15" x14ac:dyDescent="0.3">
      <c r="A33" s="3">
        <v>1431</v>
      </c>
      <c r="B33" s="4" t="str">
        <f>_xlfn.XLOOKUP(A33,'Base Grupo de Produtos'!H:H,'Base Grupo de Produtos'!I:I)</f>
        <v>VENDA INTERNA - ARMAZEM FIT STORE</v>
      </c>
      <c r="C33" s="45">
        <v>5</v>
      </c>
      <c r="D33" s="9">
        <f t="shared" ref="D33:O33" si="31">C33+C33*D$41</f>
        <v>5</v>
      </c>
      <c r="E33" s="9">
        <f t="shared" si="31"/>
        <v>5</v>
      </c>
      <c r="F33" s="9">
        <f t="shared" si="31"/>
        <v>5</v>
      </c>
      <c r="G33" s="9">
        <f t="shared" si="31"/>
        <v>5.0740740740740744</v>
      </c>
      <c r="H33" s="9">
        <f t="shared" si="31"/>
        <v>5.1481481481481488</v>
      </c>
      <c r="I33" s="9">
        <f t="shared" si="31"/>
        <v>5.2222222222222223</v>
      </c>
      <c r="J33" s="9">
        <f t="shared" si="31"/>
        <v>5.2962962962962967</v>
      </c>
      <c r="K33" s="9">
        <f t="shared" si="31"/>
        <v>5.3703703703703702</v>
      </c>
      <c r="L33" s="9">
        <f t="shared" si="31"/>
        <v>5.4444444444444446</v>
      </c>
      <c r="M33" s="9">
        <f t="shared" si="31"/>
        <v>5.518518518518519</v>
      </c>
      <c r="N33" s="9">
        <f t="shared" si="31"/>
        <v>5.5925925925925934</v>
      </c>
      <c r="O33" s="9">
        <f t="shared" si="31"/>
        <v>5.6666666666666679</v>
      </c>
    </row>
    <row r="34" spans="1:15" x14ac:dyDescent="0.3">
      <c r="A34" s="3">
        <v>1432</v>
      </c>
      <c r="B34" s="4" t="str">
        <f>_xlfn.XLOOKUP(A34,'Base Grupo de Produtos'!H:H,'Base Grupo de Produtos'!I:I)</f>
        <v>VENDA INTERNA - CIA DA SAUDE</v>
      </c>
      <c r="C34" s="45">
        <v>70</v>
      </c>
      <c r="D34" s="9">
        <f t="shared" ref="D34:O34" si="32">C34+C34*D$41</f>
        <v>70</v>
      </c>
      <c r="E34" s="9">
        <f t="shared" si="32"/>
        <v>70</v>
      </c>
      <c r="F34" s="9">
        <f t="shared" si="32"/>
        <v>70</v>
      </c>
      <c r="G34" s="9">
        <f t="shared" si="32"/>
        <v>71.037037037037038</v>
      </c>
      <c r="H34" s="9">
        <f t="shared" si="32"/>
        <v>72.074074074074076</v>
      </c>
      <c r="I34" s="9">
        <f t="shared" si="32"/>
        <v>73.1111111111111</v>
      </c>
      <c r="J34" s="9">
        <f t="shared" si="32"/>
        <v>74.148148148148138</v>
      </c>
      <c r="K34" s="9">
        <f t="shared" si="32"/>
        <v>75.185185185185176</v>
      </c>
      <c r="L34" s="9">
        <f t="shared" si="32"/>
        <v>76.222222222222214</v>
      </c>
      <c r="M34" s="9">
        <f t="shared" si="32"/>
        <v>77.259259259259252</v>
      </c>
      <c r="N34" s="9">
        <f t="shared" si="32"/>
        <v>78.296296296296291</v>
      </c>
      <c r="O34" s="9">
        <f t="shared" si="32"/>
        <v>79.333333333333329</v>
      </c>
    </row>
    <row r="35" spans="1:15" x14ac:dyDescent="0.3">
      <c r="A35" s="3">
        <v>1433</v>
      </c>
      <c r="B35" s="4" t="str">
        <f>_xlfn.XLOOKUP(A35,'Base Grupo de Produtos'!H:H,'Base Grupo de Produtos'!I:I)</f>
        <v>VENDA INTERNA - MUNDO VERDE</v>
      </c>
      <c r="C35" s="45">
        <v>5</v>
      </c>
      <c r="D35" s="9">
        <f t="shared" ref="D35:O35" si="33">C35+C35*D$41</f>
        <v>5</v>
      </c>
      <c r="E35" s="9">
        <f t="shared" si="33"/>
        <v>5</v>
      </c>
      <c r="F35" s="9">
        <f t="shared" si="33"/>
        <v>5</v>
      </c>
      <c r="G35" s="9">
        <f t="shared" si="33"/>
        <v>5.0740740740740744</v>
      </c>
      <c r="H35" s="9">
        <f t="shared" si="33"/>
        <v>5.1481481481481488</v>
      </c>
      <c r="I35" s="9">
        <f t="shared" si="33"/>
        <v>5.2222222222222223</v>
      </c>
      <c r="J35" s="9">
        <f t="shared" si="33"/>
        <v>5.2962962962962967</v>
      </c>
      <c r="K35" s="9">
        <f t="shared" si="33"/>
        <v>5.3703703703703702</v>
      </c>
      <c r="L35" s="9">
        <f t="shared" si="33"/>
        <v>5.4444444444444446</v>
      </c>
      <c r="M35" s="9">
        <f t="shared" si="33"/>
        <v>5.518518518518519</v>
      </c>
      <c r="N35" s="9">
        <f t="shared" si="33"/>
        <v>5.5925925925925934</v>
      </c>
      <c r="O35" s="9">
        <f t="shared" si="33"/>
        <v>5.6666666666666679</v>
      </c>
    </row>
    <row r="36" spans="1:15" x14ac:dyDescent="0.3">
      <c r="A36" s="3">
        <v>1438</v>
      </c>
      <c r="B36" s="4" t="str">
        <f>_xlfn.XLOOKUP(A36,'Base Grupo de Produtos'!H:H,'Base Grupo de Produtos'!I:I)</f>
        <v>VENDA INTERNA - MAIS NATURAL</v>
      </c>
      <c r="C36" s="45">
        <v>5</v>
      </c>
      <c r="D36" s="9">
        <f t="shared" ref="D36:O36" si="34">C36+C36*D$41</f>
        <v>5</v>
      </c>
      <c r="E36" s="9">
        <f t="shared" si="34"/>
        <v>5</v>
      </c>
      <c r="F36" s="9">
        <f t="shared" si="34"/>
        <v>5</v>
      </c>
      <c r="G36" s="9">
        <f t="shared" si="34"/>
        <v>5.0740740740740744</v>
      </c>
      <c r="H36" s="9">
        <f t="shared" si="34"/>
        <v>5.1481481481481488</v>
      </c>
      <c r="I36" s="9">
        <f t="shared" si="34"/>
        <v>5.2222222222222223</v>
      </c>
      <c r="J36" s="9">
        <f t="shared" si="34"/>
        <v>5.2962962962962967</v>
      </c>
      <c r="K36" s="9">
        <f t="shared" si="34"/>
        <v>5.3703703703703702</v>
      </c>
      <c r="L36" s="9">
        <f t="shared" si="34"/>
        <v>5.4444444444444446</v>
      </c>
      <c r="M36" s="9">
        <f t="shared" si="34"/>
        <v>5.518518518518519</v>
      </c>
      <c r="N36" s="9">
        <f t="shared" si="34"/>
        <v>5.5925925925925934</v>
      </c>
      <c r="O36" s="9">
        <f t="shared" si="34"/>
        <v>5.6666666666666679</v>
      </c>
    </row>
    <row r="37" spans="1:15" x14ac:dyDescent="0.3">
      <c r="A37" s="3">
        <v>1439</v>
      </c>
      <c r="B37" s="4" t="str">
        <f>_xlfn.XLOOKUP(A37,'Base Grupo de Produtos'!H:H,'Base Grupo de Produtos'!I:I)</f>
        <v>VENDA INTERNA - TUDO EM GRAOS</v>
      </c>
      <c r="C37" s="45">
        <v>5</v>
      </c>
      <c r="D37" s="9">
        <f t="shared" ref="D37:O38" si="35">C37+C37*D$41</f>
        <v>5</v>
      </c>
      <c r="E37" s="9">
        <f t="shared" si="35"/>
        <v>5</v>
      </c>
      <c r="F37" s="9">
        <f t="shared" si="35"/>
        <v>5</v>
      </c>
      <c r="G37" s="9">
        <f t="shared" si="35"/>
        <v>5.0740740740740744</v>
      </c>
      <c r="H37" s="9">
        <f t="shared" si="35"/>
        <v>5.1481481481481488</v>
      </c>
      <c r="I37" s="9">
        <f t="shared" si="35"/>
        <v>5.2222222222222223</v>
      </c>
      <c r="J37" s="9">
        <f t="shared" si="35"/>
        <v>5.2962962962962967</v>
      </c>
      <c r="K37" s="9">
        <f t="shared" si="35"/>
        <v>5.3703703703703702</v>
      </c>
      <c r="L37" s="9">
        <f t="shared" si="35"/>
        <v>5.4444444444444446</v>
      </c>
      <c r="M37" s="9">
        <f t="shared" si="35"/>
        <v>5.518518518518519</v>
      </c>
      <c r="N37" s="9">
        <f t="shared" si="35"/>
        <v>5.5925925925925934</v>
      </c>
      <c r="O37" s="9">
        <f t="shared" si="35"/>
        <v>5.6666666666666679</v>
      </c>
    </row>
    <row r="38" spans="1:15" x14ac:dyDescent="0.3">
      <c r="A38" s="3">
        <v>1533</v>
      </c>
      <c r="B38" s="4" t="s">
        <v>369</v>
      </c>
      <c r="C38" s="45">
        <v>1</v>
      </c>
      <c r="D38" s="9">
        <f t="shared" si="35"/>
        <v>1</v>
      </c>
      <c r="E38" s="9">
        <f t="shared" si="35"/>
        <v>1</v>
      </c>
      <c r="F38" s="9">
        <f t="shared" si="35"/>
        <v>1</v>
      </c>
      <c r="G38" s="9">
        <f t="shared" si="35"/>
        <v>1.0148148148148148</v>
      </c>
      <c r="H38" s="9">
        <f t="shared" si="35"/>
        <v>1.0296296296296297</v>
      </c>
      <c r="I38" s="9">
        <f t="shared" si="35"/>
        <v>1.0444444444444443</v>
      </c>
      <c r="J38" s="9">
        <f t="shared" si="35"/>
        <v>1.0592592592592591</v>
      </c>
      <c r="K38" s="9">
        <f t="shared" si="35"/>
        <v>1.074074074074074</v>
      </c>
      <c r="L38" s="9">
        <f t="shared" si="35"/>
        <v>1.0888888888888888</v>
      </c>
      <c r="M38" s="9">
        <f t="shared" si="35"/>
        <v>1.1037037037037036</v>
      </c>
      <c r="N38" s="9">
        <f t="shared" si="35"/>
        <v>1.1185185185185185</v>
      </c>
      <c r="O38" s="9">
        <f t="shared" si="35"/>
        <v>1.1333333333333333</v>
      </c>
    </row>
    <row r="39" spans="1:15" x14ac:dyDescent="0.3">
      <c r="A39" s="3">
        <v>1442</v>
      </c>
      <c r="B39" s="4" t="str">
        <f>_xlfn.XLOOKUP(A39,'Base Grupo de Produtos'!H:H,'Base Grupo de Produtos'!I:I)</f>
        <v>VENDA INTERNA AL</v>
      </c>
      <c r="C39" s="45">
        <v>8</v>
      </c>
      <c r="D39" s="9">
        <f t="shared" ref="D39:O39" si="36">C39+C39*D$41</f>
        <v>8</v>
      </c>
      <c r="E39" s="9">
        <f t="shared" si="36"/>
        <v>8</v>
      </c>
      <c r="F39" s="9">
        <f t="shared" si="36"/>
        <v>8</v>
      </c>
      <c r="G39" s="9">
        <f t="shared" si="36"/>
        <v>8.1185185185185187</v>
      </c>
      <c r="H39" s="9">
        <f t="shared" si="36"/>
        <v>8.2370370370370374</v>
      </c>
      <c r="I39" s="9">
        <f t="shared" si="36"/>
        <v>8.3555555555555543</v>
      </c>
      <c r="J39" s="9">
        <f t="shared" si="36"/>
        <v>8.474074074074073</v>
      </c>
      <c r="K39" s="9">
        <f t="shared" si="36"/>
        <v>8.5925925925925917</v>
      </c>
      <c r="L39" s="9">
        <f t="shared" si="36"/>
        <v>8.7111111111111104</v>
      </c>
      <c r="M39" s="9">
        <f t="shared" si="36"/>
        <v>8.8296296296296291</v>
      </c>
      <c r="N39" s="9">
        <f t="shared" si="36"/>
        <v>8.9481481481481477</v>
      </c>
      <c r="O39" s="9">
        <f t="shared" si="36"/>
        <v>9.0666666666666664</v>
      </c>
    </row>
    <row r="40" spans="1:15" x14ac:dyDescent="0.3">
      <c r="A40" s="95" t="s">
        <v>202</v>
      </c>
      <c r="B40" s="96"/>
      <c r="C40" s="43">
        <f>SUM(C2:C39)</f>
        <v>1350</v>
      </c>
      <c r="D40" s="43">
        <f>C40</f>
        <v>1350</v>
      </c>
      <c r="E40" s="43">
        <f t="shared" ref="E40:F40" si="37">D40</f>
        <v>1350</v>
      </c>
      <c r="F40" s="43">
        <f t="shared" si="37"/>
        <v>1350</v>
      </c>
      <c r="G40" s="43">
        <f t="shared" ref="G40:H40" si="38">F40+20</f>
        <v>1370</v>
      </c>
      <c r="H40" s="43">
        <f t="shared" si="38"/>
        <v>1390</v>
      </c>
      <c r="I40" s="43">
        <f t="shared" ref="I40" si="39">H40+20</f>
        <v>1410</v>
      </c>
      <c r="J40" s="43">
        <f t="shared" ref="J40" si="40">I40+20</f>
        <v>1430</v>
      </c>
      <c r="K40" s="43">
        <f t="shared" ref="K40" si="41">J40+20</f>
        <v>1450</v>
      </c>
      <c r="L40" s="43">
        <f t="shared" ref="L40" si="42">K40+20</f>
        <v>1470</v>
      </c>
      <c r="M40" s="43">
        <f t="shared" ref="M40" si="43">L40+20</f>
        <v>1490</v>
      </c>
      <c r="N40" s="43">
        <f t="shared" ref="N40" si="44">M40+20</f>
        <v>1510</v>
      </c>
      <c r="O40" s="43">
        <f t="shared" ref="O40" si="45">N40+20</f>
        <v>1530</v>
      </c>
    </row>
    <row r="41" spans="1:15" x14ac:dyDescent="0.3">
      <c r="A41" s="95" t="s">
        <v>206</v>
      </c>
      <c r="B41" s="96"/>
      <c r="C41" s="4"/>
      <c r="D41" s="46">
        <f t="shared" ref="D41:O41" si="46">D40/C40-1</f>
        <v>0</v>
      </c>
      <c r="E41" s="46">
        <f t="shared" si="46"/>
        <v>0</v>
      </c>
      <c r="F41" s="46">
        <f t="shared" si="46"/>
        <v>0</v>
      </c>
      <c r="G41" s="46">
        <f t="shared" si="46"/>
        <v>1.4814814814814836E-2</v>
      </c>
      <c r="H41" s="46">
        <f t="shared" si="46"/>
        <v>1.4598540145985384E-2</v>
      </c>
      <c r="I41" s="46">
        <f t="shared" si="46"/>
        <v>1.4388489208633004E-2</v>
      </c>
      <c r="J41" s="46">
        <f t="shared" si="46"/>
        <v>1.4184397163120588E-2</v>
      </c>
      <c r="K41" s="46">
        <f t="shared" si="46"/>
        <v>1.3986013986013957E-2</v>
      </c>
      <c r="L41" s="46">
        <f t="shared" si="46"/>
        <v>1.379310344827589E-2</v>
      </c>
      <c r="M41" s="46">
        <f t="shared" si="46"/>
        <v>1.3605442176870763E-2</v>
      </c>
      <c r="N41" s="46">
        <f t="shared" si="46"/>
        <v>1.3422818791946289E-2</v>
      </c>
      <c r="O41" s="46">
        <f t="shared" si="46"/>
        <v>1.3245033112582849E-2</v>
      </c>
    </row>
    <row r="42" spans="1:15" hidden="1" x14ac:dyDescent="0.3">
      <c r="A42" s="95" t="s">
        <v>207</v>
      </c>
      <c r="B42" s="96"/>
      <c r="C42" s="4"/>
      <c r="D42" s="46"/>
      <c r="E42" s="46">
        <f>SUM($D$41:E41)</f>
        <v>0</v>
      </c>
      <c r="F42" s="46">
        <f>SUM($D$41:F41)</f>
        <v>0</v>
      </c>
      <c r="G42" s="46">
        <f>SUM($D$41:G41)</f>
        <v>1.4814814814814836E-2</v>
      </c>
      <c r="H42" s="46">
        <f>SUM($D$41:H41)</f>
        <v>2.941335496080022E-2</v>
      </c>
      <c r="I42" s="46">
        <f>SUM($D$41:I41)</f>
        <v>4.3801844169433224E-2</v>
      </c>
      <c r="J42" s="46">
        <f>SUM($D$41:J41)</f>
        <v>5.7986241332553812E-2</v>
      </c>
      <c r="K42" s="46">
        <f>SUM($D$41:K41)</f>
        <v>7.1972255318567768E-2</v>
      </c>
      <c r="L42" s="46">
        <f>SUM($D$41:L41)</f>
        <v>8.5765358766843658E-2</v>
      </c>
      <c r="M42" s="46">
        <f>SUM($D$41:M41)</f>
        <v>9.9370800943714421E-2</v>
      </c>
      <c r="N42" s="46">
        <f>SUM($D$41:N41)</f>
        <v>0.11279361973566071</v>
      </c>
      <c r="O42" s="46">
        <f>SUM($D$41:O41)</f>
        <v>0.12603865284824356</v>
      </c>
    </row>
    <row r="43" spans="1:15" hidden="1" x14ac:dyDescent="0.3">
      <c r="A43" s="95" t="s">
        <v>201</v>
      </c>
      <c r="B43" s="96"/>
      <c r="C43" s="4"/>
      <c r="D43" s="47">
        <v>0.06</v>
      </c>
      <c r="E43" s="47">
        <v>0.06</v>
      </c>
      <c r="F43" s="47">
        <v>7.0000000000000007E-2</v>
      </c>
      <c r="G43" s="47">
        <v>7.0000000000000007E-2</v>
      </c>
      <c r="H43" s="47">
        <v>0.08</v>
      </c>
      <c r="I43" s="47">
        <v>0.09</v>
      </c>
      <c r="J43" s="47">
        <v>0.09</v>
      </c>
      <c r="K43" s="47">
        <v>0.09</v>
      </c>
      <c r="L43" s="47">
        <v>0.11</v>
      </c>
      <c r="M43" s="47">
        <v>0.11</v>
      </c>
      <c r="N43" s="47">
        <v>0.11</v>
      </c>
      <c r="O43" s="47">
        <v>0.06</v>
      </c>
    </row>
    <row r="44" spans="1:15" hidden="1" x14ac:dyDescent="0.3">
      <c r="A44" s="95" t="s">
        <v>204</v>
      </c>
      <c r="B44" s="96"/>
      <c r="C44" s="4"/>
      <c r="D44" s="46">
        <v>1.49E-2</v>
      </c>
      <c r="E44" s="46">
        <f t="shared" ref="E44:O44" si="47">E41+((E42-E41)*E46)</f>
        <v>0</v>
      </c>
      <c r="F44" s="46">
        <f t="shared" si="47"/>
        <v>0</v>
      </c>
      <c r="G44" s="46">
        <f t="shared" si="47"/>
        <v>1.4814814814814836E-2</v>
      </c>
      <c r="H44" s="46">
        <f t="shared" si="47"/>
        <v>1.6376317923763165E-2</v>
      </c>
      <c r="I44" s="46">
        <f t="shared" si="47"/>
        <v>1.8800492452753038E-2</v>
      </c>
      <c r="J44" s="46">
        <f t="shared" si="47"/>
        <v>2.2068729113618568E-2</v>
      </c>
      <c r="K44" s="46">
        <f t="shared" si="47"/>
        <v>2.5583262252524719E-2</v>
      </c>
      <c r="L44" s="46">
        <f t="shared" si="47"/>
        <v>3.1786167277917832E-2</v>
      </c>
      <c r="M44" s="46">
        <f t="shared" si="47"/>
        <v>3.6762089043918554E-2</v>
      </c>
      <c r="N44" s="46">
        <f t="shared" si="47"/>
        <v>4.3234059075060616E-2</v>
      </c>
      <c r="O44" s="46">
        <f t="shared" si="47"/>
        <v>3.5803757059714988E-2</v>
      </c>
    </row>
    <row r="45" spans="1:15" hidden="1" x14ac:dyDescent="0.3">
      <c r="A45" s="95" t="s">
        <v>205</v>
      </c>
      <c r="B45" s="96" t="s">
        <v>199</v>
      </c>
      <c r="C45" s="4"/>
      <c r="D45" s="46">
        <f>SUM(D44,D43)</f>
        <v>7.4899999999999994E-2</v>
      </c>
      <c r="E45" s="46">
        <f>SUM(E44,E43)</f>
        <v>0.06</v>
      </c>
      <c r="F45" s="46">
        <f t="shared" ref="F45:G45" si="48">SUM(F44,F43)</f>
        <v>7.0000000000000007E-2</v>
      </c>
      <c r="G45" s="46">
        <f t="shared" si="48"/>
        <v>8.4814814814814843E-2</v>
      </c>
      <c r="H45" s="46">
        <f t="shared" ref="H45:O45" si="49">SUM(H44,H43)</f>
        <v>9.6376317923763166E-2</v>
      </c>
      <c r="I45" s="46">
        <f t="shared" si="49"/>
        <v>0.10880049245275303</v>
      </c>
      <c r="J45" s="46">
        <f t="shared" si="49"/>
        <v>0.11206872911361856</v>
      </c>
      <c r="K45" s="46">
        <f t="shared" si="49"/>
        <v>0.11558326225252472</v>
      </c>
      <c r="L45" s="46">
        <f t="shared" si="49"/>
        <v>0.14178616727791782</v>
      </c>
      <c r="M45" s="46">
        <f t="shared" si="49"/>
        <v>0.14676208904391855</v>
      </c>
      <c r="N45" s="46">
        <f t="shared" si="49"/>
        <v>0.1532340590750606</v>
      </c>
      <c r="O45" s="46">
        <f t="shared" si="49"/>
        <v>9.5803757059714986E-2</v>
      </c>
    </row>
    <row r="46" spans="1:15" x14ac:dyDescent="0.3">
      <c r="A46" s="95" t="s">
        <v>203</v>
      </c>
      <c r="B46" s="96"/>
      <c r="C46" s="4"/>
      <c r="D46" s="47">
        <v>0</v>
      </c>
      <c r="E46" s="47">
        <v>0</v>
      </c>
      <c r="F46" s="47">
        <v>0</v>
      </c>
      <c r="G46" s="47">
        <v>0.1</v>
      </c>
      <c r="H46" s="47">
        <v>0.12</v>
      </c>
      <c r="I46" s="47">
        <v>0.15</v>
      </c>
      <c r="J46" s="47">
        <v>0.18</v>
      </c>
      <c r="K46" s="47">
        <v>0.2</v>
      </c>
      <c r="L46" s="47">
        <v>0.25</v>
      </c>
      <c r="M46" s="47">
        <v>0.27</v>
      </c>
      <c r="N46" s="47">
        <v>0.3</v>
      </c>
      <c r="O46" s="47">
        <v>0.2</v>
      </c>
    </row>
    <row r="47" spans="1:15" x14ac:dyDescent="0.3">
      <c r="A47" s="95" t="s">
        <v>211</v>
      </c>
      <c r="B47" s="96"/>
      <c r="C47" s="4"/>
      <c r="D47" s="49">
        <v>1000</v>
      </c>
      <c r="E47" s="49">
        <v>1000</v>
      </c>
      <c r="F47" s="49">
        <v>1000</v>
      </c>
      <c r="G47" s="49">
        <v>1000</v>
      </c>
      <c r="H47" s="49">
        <v>1000</v>
      </c>
      <c r="I47" s="49">
        <v>1000</v>
      </c>
      <c r="J47" s="49">
        <v>1000</v>
      </c>
      <c r="K47" s="49">
        <v>1100</v>
      </c>
      <c r="L47" s="49">
        <v>1100</v>
      </c>
      <c r="M47" s="49">
        <v>1100</v>
      </c>
      <c r="N47" s="49">
        <v>1100</v>
      </c>
      <c r="O47" s="49">
        <v>1100</v>
      </c>
    </row>
    <row r="48" spans="1:15" x14ac:dyDescent="0.3">
      <c r="A48" s="95" t="s">
        <v>212</v>
      </c>
      <c r="B48" s="96" t="s">
        <v>208</v>
      </c>
      <c r="C48" s="50"/>
      <c r="D48" s="51">
        <f>D46*D40</f>
        <v>0</v>
      </c>
      <c r="E48" s="51">
        <f t="shared" ref="E48:O48" si="50">E46*E40</f>
        <v>0</v>
      </c>
      <c r="F48" s="51">
        <f t="shared" si="50"/>
        <v>0</v>
      </c>
      <c r="G48" s="51">
        <f>G46*G40</f>
        <v>137</v>
      </c>
      <c r="H48" s="51">
        <f t="shared" si="50"/>
        <v>166.79999999999998</v>
      </c>
      <c r="I48" s="51">
        <f t="shared" si="50"/>
        <v>211.5</v>
      </c>
      <c r="J48" s="51">
        <f t="shared" si="50"/>
        <v>257.39999999999998</v>
      </c>
      <c r="K48" s="51">
        <f t="shared" si="50"/>
        <v>290</v>
      </c>
      <c r="L48" s="51">
        <f t="shared" si="50"/>
        <v>367.5</v>
      </c>
      <c r="M48" s="51">
        <f t="shared" si="50"/>
        <v>402.3</v>
      </c>
      <c r="N48" s="51">
        <f t="shared" si="50"/>
        <v>453</v>
      </c>
      <c r="O48" s="51">
        <f t="shared" si="50"/>
        <v>306</v>
      </c>
    </row>
    <row r="49" spans="1:15" hidden="1" x14ac:dyDescent="0.3">
      <c r="A49" s="95" t="s">
        <v>213</v>
      </c>
      <c r="B49" s="96" t="s">
        <v>209</v>
      </c>
      <c r="C49" s="4"/>
      <c r="D49" s="49">
        <f>D48*D47</f>
        <v>0</v>
      </c>
      <c r="E49" s="49">
        <f t="shared" ref="E49:O49" si="51">E48*E47</f>
        <v>0</v>
      </c>
      <c r="F49" s="49">
        <f t="shared" si="51"/>
        <v>0</v>
      </c>
      <c r="G49" s="52">
        <f>G48*G47</f>
        <v>137000</v>
      </c>
      <c r="H49" s="52">
        <f t="shared" si="51"/>
        <v>166799.99999999997</v>
      </c>
      <c r="I49" s="52">
        <f>I48*I47</f>
        <v>211500</v>
      </c>
      <c r="J49" s="52">
        <f t="shared" si="51"/>
        <v>257399.99999999997</v>
      </c>
      <c r="K49" s="52">
        <f t="shared" si="51"/>
        <v>319000</v>
      </c>
      <c r="L49" s="52">
        <f t="shared" si="51"/>
        <v>404250</v>
      </c>
      <c r="M49" s="52">
        <f t="shared" si="51"/>
        <v>442530</v>
      </c>
      <c r="N49" s="52">
        <f t="shared" si="51"/>
        <v>498300</v>
      </c>
      <c r="O49" s="52">
        <f t="shared" si="51"/>
        <v>336600</v>
      </c>
    </row>
    <row r="50" spans="1:15" hidden="1" x14ac:dyDescent="0.3">
      <c r="B50" t="s">
        <v>210</v>
      </c>
      <c r="D50" s="48" t="e">
        <f>#REF!*D52</f>
        <v>#REF!</v>
      </c>
      <c r="E50" s="48" t="e">
        <f>#REF!*E52</f>
        <v>#REF!</v>
      </c>
      <c r="F50" s="48" t="e">
        <f>#REF!*F52</f>
        <v>#REF!</v>
      </c>
      <c r="G50" s="48" t="e">
        <f>#REF!*G52</f>
        <v>#REF!</v>
      </c>
      <c r="H50" s="48" t="e">
        <f>#REF!*H52</f>
        <v>#REF!</v>
      </c>
      <c r="I50" s="48" t="e">
        <f>#REF!*I52</f>
        <v>#REF!</v>
      </c>
      <c r="J50" s="48" t="e">
        <f>#REF!*J52</f>
        <v>#REF!</v>
      </c>
      <c r="K50" s="48" t="e">
        <f>#REF!*K52</f>
        <v>#REF!</v>
      </c>
      <c r="L50" s="48" t="e">
        <f>#REF!*L52</f>
        <v>#REF!</v>
      </c>
      <c r="M50" s="48" t="e">
        <f>#REF!*M52</f>
        <v>#REF!</v>
      </c>
      <c r="N50" s="48" t="e">
        <f>#REF!*N52</f>
        <v>#REF!</v>
      </c>
      <c r="O50" s="48" t="e">
        <f>#REF!*O52</f>
        <v>#REF!</v>
      </c>
    </row>
    <row r="51" spans="1:15" hidden="1" x14ac:dyDescent="0.3">
      <c r="G51" s="53" t="e">
        <f>G49/#REF!</f>
        <v>#REF!</v>
      </c>
      <c r="H51" s="53" t="e">
        <f>H49/#REF!</f>
        <v>#REF!</v>
      </c>
      <c r="I51" s="53" t="e">
        <f>I49/#REF!</f>
        <v>#REF!</v>
      </c>
      <c r="J51" s="53" t="e">
        <f>J49/#REF!</f>
        <v>#REF!</v>
      </c>
      <c r="K51" s="53" t="e">
        <f>K49/#REF!</f>
        <v>#REF!</v>
      </c>
      <c r="L51" s="53" t="e">
        <f>L49/#REF!</f>
        <v>#REF!</v>
      </c>
      <c r="M51" s="53" t="e">
        <f>M49/#REF!</f>
        <v>#REF!</v>
      </c>
      <c r="N51" s="53" t="e">
        <f>N49/#REF!</f>
        <v>#REF!</v>
      </c>
      <c r="O51" s="53" t="e">
        <f>O49/#REF!</f>
        <v>#REF!</v>
      </c>
    </row>
    <row r="52" spans="1:15" hidden="1" x14ac:dyDescent="0.3">
      <c r="D52" s="44">
        <f>D45/SUM($D$45:$O$45)</f>
        <v>5.9438326588909317E-2</v>
      </c>
      <c r="E52" s="44">
        <f t="shared" ref="E52:O52" si="52">E45/SUM($D$45:$O$45)</f>
        <v>4.7614146800194379E-2</v>
      </c>
      <c r="F52" s="44">
        <f t="shared" si="52"/>
        <v>5.5549837933560123E-2</v>
      </c>
      <c r="G52" s="44">
        <f t="shared" si="52"/>
        <v>6.7306417390398249E-2</v>
      </c>
      <c r="H52" s="44">
        <f t="shared" si="52"/>
        <v>7.6481269161404408E-2</v>
      </c>
      <c r="I52" s="44">
        <f t="shared" si="52"/>
        <v>8.6340710326313727E-2</v>
      </c>
      <c r="J52" s="44">
        <f t="shared" si="52"/>
        <v>8.8934281995450878E-2</v>
      </c>
      <c r="K52" s="44">
        <f t="shared" si="52"/>
        <v>9.172330694228463E-2</v>
      </c>
      <c r="L52" s="44">
        <f t="shared" si="52"/>
        <v>0.11251712305012827</v>
      </c>
      <c r="M52" s="44">
        <f t="shared" si="52"/>
        <v>0.11646586087400562</v>
      </c>
      <c r="N52" s="44">
        <f t="shared" si="52"/>
        <v>0.12160181639315989</v>
      </c>
      <c r="O52" s="44">
        <f t="shared" si="52"/>
        <v>7.6026902544190478E-2</v>
      </c>
    </row>
    <row r="53" spans="1:15" hidden="1" x14ac:dyDescent="0.3"/>
    <row r="55" spans="1:15" x14ac:dyDescent="0.3">
      <c r="A55" s="22" t="s">
        <v>55</v>
      </c>
      <c r="B55" s="22" t="s">
        <v>119</v>
      </c>
      <c r="C55" s="22" t="s">
        <v>218</v>
      </c>
      <c r="D55" s="43" t="s">
        <v>63</v>
      </c>
      <c r="E55" s="43" t="s">
        <v>64</v>
      </c>
      <c r="F55" s="43" t="s">
        <v>65</v>
      </c>
      <c r="G55" s="43" t="s">
        <v>66</v>
      </c>
      <c r="H55" s="43" t="s">
        <v>67</v>
      </c>
      <c r="I55" s="43" t="s">
        <v>68</v>
      </c>
      <c r="J55" s="43" t="s">
        <v>69</v>
      </c>
      <c r="K55" s="43" t="s">
        <v>70</v>
      </c>
      <c r="L55" s="43" t="s">
        <v>71</v>
      </c>
      <c r="M55" s="43" t="s">
        <v>72</v>
      </c>
      <c r="N55" s="43" t="s">
        <v>73</v>
      </c>
      <c r="O55" s="43" t="s">
        <v>74</v>
      </c>
    </row>
    <row r="56" spans="1:15" x14ac:dyDescent="0.3">
      <c r="A56" s="3">
        <f t="shared" ref="A56:A91" si="53">A2</f>
        <v>1324</v>
      </c>
      <c r="B56" s="4" t="str">
        <f>_xlfn.XLOOKUP(A56,'Base Grupo de Produtos'!H:H,'Base Grupo de Produtos'!I:I)</f>
        <v>VENDA INTERNA AP</v>
      </c>
      <c r="C56" s="9">
        <f>ROUNDUP(C2*C$46,0)</f>
        <v>0</v>
      </c>
      <c r="D56" s="9">
        <f t="shared" ref="D56:O56" si="54">ROUNDUP(D2*D$46,0)</f>
        <v>0</v>
      </c>
      <c r="E56" s="9">
        <f t="shared" si="54"/>
        <v>0</v>
      </c>
      <c r="F56" s="9">
        <f t="shared" si="54"/>
        <v>0</v>
      </c>
      <c r="G56" s="9">
        <f t="shared" si="54"/>
        <v>1</v>
      </c>
      <c r="H56" s="9">
        <f t="shared" si="54"/>
        <v>1</v>
      </c>
      <c r="I56" s="9">
        <f t="shared" si="54"/>
        <v>1</v>
      </c>
      <c r="J56" s="9">
        <f t="shared" si="54"/>
        <v>1</v>
      </c>
      <c r="K56" s="9">
        <f t="shared" si="54"/>
        <v>1</v>
      </c>
      <c r="L56" s="9">
        <f t="shared" si="54"/>
        <v>1</v>
      </c>
      <c r="M56" s="9">
        <f t="shared" si="54"/>
        <v>1</v>
      </c>
      <c r="N56" s="9">
        <f t="shared" si="54"/>
        <v>1</v>
      </c>
      <c r="O56" s="9">
        <f t="shared" si="54"/>
        <v>1</v>
      </c>
    </row>
    <row r="57" spans="1:15" x14ac:dyDescent="0.3">
      <c r="A57" s="3">
        <f t="shared" si="53"/>
        <v>1325</v>
      </c>
      <c r="B57" s="4" t="str">
        <f>_xlfn.XLOOKUP(A57,'Base Grupo de Produtos'!H:H,'Base Grupo de Produtos'!I:I)</f>
        <v>VENDA INTERNA RN</v>
      </c>
      <c r="C57" s="9">
        <f t="shared" ref="C57:O57" si="55">ROUNDUP(C3*C$46,0)</f>
        <v>0</v>
      </c>
      <c r="D57" s="9">
        <f t="shared" si="55"/>
        <v>0</v>
      </c>
      <c r="E57" s="9">
        <f t="shared" si="55"/>
        <v>0</v>
      </c>
      <c r="F57" s="9">
        <f t="shared" si="55"/>
        <v>0</v>
      </c>
      <c r="G57" s="9">
        <f t="shared" si="55"/>
        <v>3</v>
      </c>
      <c r="H57" s="9">
        <f t="shared" si="55"/>
        <v>3</v>
      </c>
      <c r="I57" s="9">
        <f t="shared" si="55"/>
        <v>4</v>
      </c>
      <c r="J57" s="9">
        <f t="shared" si="55"/>
        <v>5</v>
      </c>
      <c r="K57" s="9">
        <f t="shared" si="55"/>
        <v>5</v>
      </c>
      <c r="L57" s="9">
        <f t="shared" si="55"/>
        <v>7</v>
      </c>
      <c r="M57" s="9">
        <f t="shared" si="55"/>
        <v>7</v>
      </c>
      <c r="N57" s="9">
        <f t="shared" si="55"/>
        <v>8</v>
      </c>
      <c r="O57" s="9">
        <f t="shared" si="55"/>
        <v>6</v>
      </c>
    </row>
    <row r="58" spans="1:15" x14ac:dyDescent="0.3">
      <c r="A58" s="3">
        <f t="shared" si="53"/>
        <v>1326</v>
      </c>
      <c r="B58" s="4" t="str">
        <f>_xlfn.XLOOKUP(A58,'Base Grupo de Produtos'!H:H,'Base Grupo de Produtos'!I:I)</f>
        <v>VENDA INTERNA CE</v>
      </c>
      <c r="C58" s="9">
        <f t="shared" ref="C58:O58" si="56">ROUNDUP(C4*C$46,0)</f>
        <v>0</v>
      </c>
      <c r="D58" s="9">
        <f t="shared" si="56"/>
        <v>0</v>
      </c>
      <c r="E58" s="9">
        <f t="shared" si="56"/>
        <v>0</v>
      </c>
      <c r="F58" s="9">
        <f t="shared" si="56"/>
        <v>0</v>
      </c>
      <c r="G58" s="9">
        <f t="shared" si="56"/>
        <v>2</v>
      </c>
      <c r="H58" s="9">
        <f t="shared" si="56"/>
        <v>3</v>
      </c>
      <c r="I58" s="9">
        <f t="shared" si="56"/>
        <v>3</v>
      </c>
      <c r="J58" s="9">
        <f t="shared" si="56"/>
        <v>4</v>
      </c>
      <c r="K58" s="9">
        <f t="shared" si="56"/>
        <v>4</v>
      </c>
      <c r="L58" s="9">
        <f t="shared" si="56"/>
        <v>5</v>
      </c>
      <c r="M58" s="9">
        <f t="shared" si="56"/>
        <v>6</v>
      </c>
      <c r="N58" s="9">
        <f t="shared" si="56"/>
        <v>7</v>
      </c>
      <c r="O58" s="9">
        <f t="shared" si="56"/>
        <v>5</v>
      </c>
    </row>
    <row r="59" spans="1:15" x14ac:dyDescent="0.3">
      <c r="A59" s="3">
        <f t="shared" si="53"/>
        <v>1327</v>
      </c>
      <c r="B59" s="4" t="str">
        <f>_xlfn.XLOOKUP(A59,'Base Grupo de Produtos'!H:H,'Base Grupo de Produtos'!I:I)</f>
        <v>VENDA INTERNA PI</v>
      </c>
      <c r="C59" s="9">
        <f t="shared" ref="C59:O59" si="57">ROUNDUP(C5*C$46,0)</f>
        <v>0</v>
      </c>
      <c r="D59" s="9">
        <f t="shared" si="57"/>
        <v>0</v>
      </c>
      <c r="E59" s="9">
        <f t="shared" si="57"/>
        <v>0</v>
      </c>
      <c r="F59" s="9">
        <f t="shared" si="57"/>
        <v>0</v>
      </c>
      <c r="G59" s="9">
        <f t="shared" si="57"/>
        <v>1</v>
      </c>
      <c r="H59" s="9">
        <f t="shared" si="57"/>
        <v>1</v>
      </c>
      <c r="I59" s="9">
        <f t="shared" si="57"/>
        <v>2</v>
      </c>
      <c r="J59" s="9">
        <f t="shared" si="57"/>
        <v>2</v>
      </c>
      <c r="K59" s="9">
        <f t="shared" si="57"/>
        <v>2</v>
      </c>
      <c r="L59" s="9">
        <f t="shared" si="57"/>
        <v>3</v>
      </c>
      <c r="M59" s="9">
        <f t="shared" si="57"/>
        <v>3</v>
      </c>
      <c r="N59" s="9">
        <f t="shared" si="57"/>
        <v>3</v>
      </c>
      <c r="O59" s="9">
        <f t="shared" si="57"/>
        <v>2</v>
      </c>
    </row>
    <row r="60" spans="1:15" x14ac:dyDescent="0.3">
      <c r="A60" s="3">
        <f t="shared" si="53"/>
        <v>1328</v>
      </c>
      <c r="B60" s="4" t="str">
        <f>_xlfn.XLOOKUP(A60,'Base Grupo de Produtos'!H:H,'Base Grupo de Produtos'!I:I)</f>
        <v>VENDA INTERNA PE</v>
      </c>
      <c r="C60" s="9">
        <f t="shared" ref="C60:O60" si="58">ROUNDUP(C6*C$46,0)</f>
        <v>0</v>
      </c>
      <c r="D60" s="9">
        <f t="shared" si="58"/>
        <v>0</v>
      </c>
      <c r="E60" s="9">
        <f t="shared" si="58"/>
        <v>0</v>
      </c>
      <c r="F60" s="9">
        <f t="shared" si="58"/>
        <v>0</v>
      </c>
      <c r="G60" s="9">
        <f t="shared" si="58"/>
        <v>2</v>
      </c>
      <c r="H60" s="9">
        <f t="shared" si="58"/>
        <v>2</v>
      </c>
      <c r="I60" s="9">
        <f t="shared" si="58"/>
        <v>2</v>
      </c>
      <c r="J60" s="9">
        <f t="shared" si="58"/>
        <v>3</v>
      </c>
      <c r="K60" s="9">
        <f t="shared" si="58"/>
        <v>3</v>
      </c>
      <c r="L60" s="9">
        <f t="shared" si="58"/>
        <v>3</v>
      </c>
      <c r="M60" s="9">
        <f t="shared" si="58"/>
        <v>4</v>
      </c>
      <c r="N60" s="9">
        <f t="shared" si="58"/>
        <v>4</v>
      </c>
      <c r="O60" s="9">
        <f t="shared" si="58"/>
        <v>3</v>
      </c>
    </row>
    <row r="61" spans="1:15" x14ac:dyDescent="0.3">
      <c r="A61" s="3">
        <f t="shared" si="53"/>
        <v>1329</v>
      </c>
      <c r="B61" s="4" t="str">
        <f>_xlfn.XLOOKUP(A61,'Base Grupo de Produtos'!H:H,'Base Grupo de Produtos'!I:I)</f>
        <v>VENDA INTERNA PB</v>
      </c>
      <c r="C61" s="9">
        <f t="shared" ref="C61:O61" si="59">ROUNDUP(C7*C$46,0)</f>
        <v>0</v>
      </c>
      <c r="D61" s="9">
        <f t="shared" si="59"/>
        <v>0</v>
      </c>
      <c r="E61" s="9">
        <f t="shared" si="59"/>
        <v>0</v>
      </c>
      <c r="F61" s="9">
        <f t="shared" si="59"/>
        <v>0</v>
      </c>
      <c r="G61" s="9">
        <f t="shared" si="59"/>
        <v>1</v>
      </c>
      <c r="H61" s="9">
        <f t="shared" si="59"/>
        <v>1</v>
      </c>
      <c r="I61" s="9">
        <f t="shared" si="59"/>
        <v>2</v>
      </c>
      <c r="J61" s="9">
        <f t="shared" si="59"/>
        <v>2</v>
      </c>
      <c r="K61" s="9">
        <f t="shared" si="59"/>
        <v>2</v>
      </c>
      <c r="L61" s="9">
        <f t="shared" si="59"/>
        <v>3</v>
      </c>
      <c r="M61" s="9">
        <f t="shared" si="59"/>
        <v>3</v>
      </c>
      <c r="N61" s="9">
        <f t="shared" si="59"/>
        <v>3</v>
      </c>
      <c r="O61" s="9">
        <f t="shared" si="59"/>
        <v>2</v>
      </c>
    </row>
    <row r="62" spans="1:15" x14ac:dyDescent="0.3">
      <c r="A62" s="3">
        <f t="shared" si="53"/>
        <v>1330</v>
      </c>
      <c r="B62" s="4" t="str">
        <f>_xlfn.XLOOKUP(A62,'Base Grupo de Produtos'!H:H,'Base Grupo de Produtos'!I:I)</f>
        <v>VENDA INTERNA SE</v>
      </c>
      <c r="C62" s="9">
        <f t="shared" ref="C62:O62" si="60">ROUNDUP(C8*C$46,0)</f>
        <v>0</v>
      </c>
      <c r="D62" s="9">
        <f t="shared" si="60"/>
        <v>0</v>
      </c>
      <c r="E62" s="9">
        <f t="shared" si="60"/>
        <v>0</v>
      </c>
      <c r="F62" s="9">
        <f t="shared" si="60"/>
        <v>0</v>
      </c>
      <c r="G62" s="9">
        <f t="shared" si="60"/>
        <v>1</v>
      </c>
      <c r="H62" s="9">
        <f t="shared" si="60"/>
        <v>1</v>
      </c>
      <c r="I62" s="9">
        <f t="shared" si="60"/>
        <v>1</v>
      </c>
      <c r="J62" s="9">
        <f t="shared" si="60"/>
        <v>1</v>
      </c>
      <c r="K62" s="9">
        <f t="shared" si="60"/>
        <v>1</v>
      </c>
      <c r="L62" s="9">
        <f t="shared" si="60"/>
        <v>2</v>
      </c>
      <c r="M62" s="9">
        <f t="shared" si="60"/>
        <v>2</v>
      </c>
      <c r="N62" s="9">
        <f t="shared" si="60"/>
        <v>2</v>
      </c>
      <c r="O62" s="9">
        <f t="shared" si="60"/>
        <v>1</v>
      </c>
    </row>
    <row r="63" spans="1:15" x14ac:dyDescent="0.3">
      <c r="A63" s="3">
        <f t="shared" si="53"/>
        <v>1331</v>
      </c>
      <c r="B63" s="4" t="str">
        <f>_xlfn.XLOOKUP(A63,'Base Grupo de Produtos'!H:H,'Base Grupo de Produtos'!I:I)</f>
        <v>VENDA INTERNA BA</v>
      </c>
      <c r="C63" s="9">
        <f t="shared" ref="C63:O63" si="61">ROUNDUP(C9*C$46,0)</f>
        <v>0</v>
      </c>
      <c r="D63" s="9">
        <f t="shared" si="61"/>
        <v>0</v>
      </c>
      <c r="E63" s="9">
        <f t="shared" si="61"/>
        <v>0</v>
      </c>
      <c r="F63" s="9">
        <f t="shared" si="61"/>
        <v>0</v>
      </c>
      <c r="G63" s="9">
        <f t="shared" si="61"/>
        <v>6</v>
      </c>
      <c r="H63" s="9">
        <f t="shared" si="61"/>
        <v>7</v>
      </c>
      <c r="I63" s="9">
        <f t="shared" si="61"/>
        <v>9</v>
      </c>
      <c r="J63" s="9">
        <f t="shared" si="61"/>
        <v>11</v>
      </c>
      <c r="K63" s="9">
        <f t="shared" si="61"/>
        <v>12</v>
      </c>
      <c r="L63" s="9">
        <f t="shared" si="61"/>
        <v>15</v>
      </c>
      <c r="M63" s="9">
        <f t="shared" si="61"/>
        <v>17</v>
      </c>
      <c r="N63" s="9">
        <f t="shared" si="61"/>
        <v>19</v>
      </c>
      <c r="O63" s="9">
        <f t="shared" si="61"/>
        <v>13</v>
      </c>
    </row>
    <row r="64" spans="1:15" x14ac:dyDescent="0.3">
      <c r="A64" s="3">
        <f t="shared" si="53"/>
        <v>1332</v>
      </c>
      <c r="B64" s="4" t="str">
        <f>_xlfn.XLOOKUP(A64,'Base Grupo de Produtos'!H:H,'Base Grupo de Produtos'!I:I)</f>
        <v>VENDA INTERNA MA</v>
      </c>
      <c r="C64" s="9">
        <f t="shared" ref="C64:O64" si="62">ROUNDUP(C10*C$46,0)</f>
        <v>0</v>
      </c>
      <c r="D64" s="9">
        <f t="shared" si="62"/>
        <v>0</v>
      </c>
      <c r="E64" s="9">
        <f t="shared" si="62"/>
        <v>0</v>
      </c>
      <c r="F64" s="9">
        <f t="shared" si="62"/>
        <v>0</v>
      </c>
      <c r="G64" s="9">
        <f t="shared" si="62"/>
        <v>2</v>
      </c>
      <c r="H64" s="9">
        <f t="shared" si="62"/>
        <v>2</v>
      </c>
      <c r="I64" s="9">
        <f t="shared" si="62"/>
        <v>2</v>
      </c>
      <c r="J64" s="9">
        <f t="shared" si="62"/>
        <v>3</v>
      </c>
      <c r="K64" s="9">
        <f t="shared" si="62"/>
        <v>3</v>
      </c>
      <c r="L64" s="9">
        <f t="shared" si="62"/>
        <v>4</v>
      </c>
      <c r="M64" s="9">
        <f t="shared" si="62"/>
        <v>4</v>
      </c>
      <c r="N64" s="9">
        <f t="shared" si="62"/>
        <v>5</v>
      </c>
      <c r="O64" s="9">
        <f t="shared" si="62"/>
        <v>3</v>
      </c>
    </row>
    <row r="65" spans="1:15" x14ac:dyDescent="0.3">
      <c r="A65" s="3">
        <f t="shared" si="53"/>
        <v>1346</v>
      </c>
      <c r="B65" s="4" t="str">
        <f>_xlfn.XLOOKUP(A65,'Base Grupo de Produtos'!H:H,'Base Grupo de Produtos'!I:I)</f>
        <v>VENDA INTERNA TO</v>
      </c>
      <c r="C65" s="9">
        <f t="shared" ref="C65:O65" si="63">ROUNDUP(C11*C$46,0)</f>
        <v>0</v>
      </c>
      <c r="D65" s="9">
        <f t="shared" si="63"/>
        <v>0</v>
      </c>
      <c r="E65" s="9">
        <f t="shared" si="63"/>
        <v>0</v>
      </c>
      <c r="F65" s="9">
        <f t="shared" si="63"/>
        <v>0</v>
      </c>
      <c r="G65" s="9">
        <f t="shared" si="63"/>
        <v>1</v>
      </c>
      <c r="H65" s="9">
        <f t="shared" si="63"/>
        <v>2</v>
      </c>
      <c r="I65" s="9">
        <f t="shared" si="63"/>
        <v>2</v>
      </c>
      <c r="J65" s="9">
        <f t="shared" si="63"/>
        <v>2</v>
      </c>
      <c r="K65" s="9">
        <f t="shared" si="63"/>
        <v>2</v>
      </c>
      <c r="L65" s="9">
        <f t="shared" si="63"/>
        <v>3</v>
      </c>
      <c r="M65" s="9">
        <f t="shared" si="63"/>
        <v>3</v>
      </c>
      <c r="N65" s="9">
        <f t="shared" si="63"/>
        <v>4</v>
      </c>
      <c r="O65" s="9">
        <f t="shared" si="63"/>
        <v>3</v>
      </c>
    </row>
    <row r="66" spans="1:15" x14ac:dyDescent="0.3">
      <c r="A66" s="3">
        <f t="shared" si="53"/>
        <v>1347</v>
      </c>
      <c r="B66" s="4" t="str">
        <f>_xlfn.XLOOKUP(A66,'Base Grupo de Produtos'!H:H,'Base Grupo de Produtos'!I:I)</f>
        <v>VENDA INTERNA RO</v>
      </c>
      <c r="C66" s="9">
        <f t="shared" ref="C66:O66" si="64">ROUNDUP(C12*C$46,0)</f>
        <v>0</v>
      </c>
      <c r="D66" s="9">
        <f t="shared" si="64"/>
        <v>0</v>
      </c>
      <c r="E66" s="9">
        <f t="shared" si="64"/>
        <v>0</v>
      </c>
      <c r="F66" s="9">
        <f t="shared" si="64"/>
        <v>0</v>
      </c>
      <c r="G66" s="9">
        <f t="shared" si="64"/>
        <v>1</v>
      </c>
      <c r="H66" s="9">
        <f t="shared" si="64"/>
        <v>1</v>
      </c>
      <c r="I66" s="9">
        <f t="shared" si="64"/>
        <v>2</v>
      </c>
      <c r="J66" s="9">
        <f t="shared" si="64"/>
        <v>2</v>
      </c>
      <c r="K66" s="9">
        <f t="shared" si="64"/>
        <v>2</v>
      </c>
      <c r="L66" s="9">
        <f t="shared" si="64"/>
        <v>2</v>
      </c>
      <c r="M66" s="9">
        <f t="shared" si="64"/>
        <v>3</v>
      </c>
      <c r="N66" s="9">
        <f t="shared" si="64"/>
        <v>3</v>
      </c>
      <c r="O66" s="9">
        <f t="shared" si="64"/>
        <v>2</v>
      </c>
    </row>
    <row r="67" spans="1:15" x14ac:dyDescent="0.3">
      <c r="A67" s="3">
        <f t="shared" si="53"/>
        <v>1348</v>
      </c>
      <c r="B67" s="4" t="str">
        <f>_xlfn.XLOOKUP(A67,'Base Grupo de Produtos'!H:H,'Base Grupo de Produtos'!I:I)</f>
        <v>VENDA INTERNA RR</v>
      </c>
      <c r="C67" s="9">
        <f t="shared" ref="C67:O67" si="65">ROUNDUP(C13*C$46,0)</f>
        <v>0</v>
      </c>
      <c r="D67" s="9">
        <f t="shared" si="65"/>
        <v>0</v>
      </c>
      <c r="E67" s="9">
        <f t="shared" si="65"/>
        <v>0</v>
      </c>
      <c r="F67" s="9">
        <f t="shared" si="65"/>
        <v>0</v>
      </c>
      <c r="G67" s="9">
        <f t="shared" si="65"/>
        <v>1</v>
      </c>
      <c r="H67" s="9">
        <f t="shared" si="65"/>
        <v>1</v>
      </c>
      <c r="I67" s="9">
        <f t="shared" si="65"/>
        <v>1</v>
      </c>
      <c r="J67" s="9">
        <f t="shared" si="65"/>
        <v>1</v>
      </c>
      <c r="K67" s="9">
        <f t="shared" si="65"/>
        <v>1</v>
      </c>
      <c r="L67" s="9">
        <f t="shared" si="65"/>
        <v>1</v>
      </c>
      <c r="M67" s="9">
        <f t="shared" si="65"/>
        <v>1</v>
      </c>
      <c r="N67" s="9">
        <f t="shared" si="65"/>
        <v>1</v>
      </c>
      <c r="O67" s="9">
        <f t="shared" si="65"/>
        <v>1</v>
      </c>
    </row>
    <row r="68" spans="1:15" x14ac:dyDescent="0.3">
      <c r="A68" s="3">
        <f t="shared" si="53"/>
        <v>1349</v>
      </c>
      <c r="B68" s="4" t="str">
        <f>_xlfn.XLOOKUP(A68,'Base Grupo de Produtos'!H:H,'Base Grupo de Produtos'!I:I)</f>
        <v>VENDA INTERNA PA</v>
      </c>
      <c r="C68" s="9">
        <f t="shared" ref="C68:O68" si="66">ROUNDUP(C14*C$46,0)</f>
        <v>0</v>
      </c>
      <c r="D68" s="9">
        <f t="shared" si="66"/>
        <v>0</v>
      </c>
      <c r="E68" s="9">
        <f t="shared" si="66"/>
        <v>0</v>
      </c>
      <c r="F68" s="9">
        <f t="shared" si="66"/>
        <v>0</v>
      </c>
      <c r="G68" s="9">
        <f t="shared" si="66"/>
        <v>3</v>
      </c>
      <c r="H68" s="9">
        <f t="shared" si="66"/>
        <v>3</v>
      </c>
      <c r="I68" s="9">
        <f t="shared" si="66"/>
        <v>4</v>
      </c>
      <c r="J68" s="9">
        <f t="shared" si="66"/>
        <v>5</v>
      </c>
      <c r="K68" s="9">
        <f t="shared" si="66"/>
        <v>5</v>
      </c>
      <c r="L68" s="9">
        <f t="shared" si="66"/>
        <v>6</v>
      </c>
      <c r="M68" s="9">
        <f t="shared" si="66"/>
        <v>7</v>
      </c>
      <c r="N68" s="9">
        <f t="shared" si="66"/>
        <v>8</v>
      </c>
      <c r="O68" s="9">
        <f t="shared" si="66"/>
        <v>5</v>
      </c>
    </row>
    <row r="69" spans="1:15" x14ac:dyDescent="0.3">
      <c r="A69" s="3">
        <f t="shared" si="53"/>
        <v>1351</v>
      </c>
      <c r="B69" s="4" t="str">
        <f>_xlfn.XLOOKUP(A69,'Base Grupo de Produtos'!H:H,'Base Grupo de Produtos'!I:I)</f>
        <v>VENDA INTERNA AM</v>
      </c>
      <c r="C69" s="9">
        <f t="shared" ref="C69:O69" si="67">ROUNDUP(C15*C$46,0)</f>
        <v>0</v>
      </c>
      <c r="D69" s="9">
        <f t="shared" si="67"/>
        <v>0</v>
      </c>
      <c r="E69" s="9">
        <f t="shared" si="67"/>
        <v>0</v>
      </c>
      <c r="F69" s="9">
        <f t="shared" si="67"/>
        <v>0</v>
      </c>
      <c r="G69" s="9">
        <f t="shared" si="67"/>
        <v>1</v>
      </c>
      <c r="H69" s="9">
        <f t="shared" si="67"/>
        <v>1</v>
      </c>
      <c r="I69" s="9">
        <f t="shared" si="67"/>
        <v>1</v>
      </c>
      <c r="J69" s="9">
        <f t="shared" si="67"/>
        <v>1</v>
      </c>
      <c r="K69" s="9">
        <f t="shared" si="67"/>
        <v>1</v>
      </c>
      <c r="L69" s="9">
        <f t="shared" si="67"/>
        <v>2</v>
      </c>
      <c r="M69" s="9">
        <f t="shared" si="67"/>
        <v>2</v>
      </c>
      <c r="N69" s="9">
        <f t="shared" si="67"/>
        <v>2</v>
      </c>
      <c r="O69" s="9">
        <f t="shared" si="67"/>
        <v>1</v>
      </c>
    </row>
    <row r="70" spans="1:15" x14ac:dyDescent="0.3">
      <c r="A70" s="3">
        <f t="shared" si="53"/>
        <v>1352</v>
      </c>
      <c r="B70" s="4" t="str">
        <f>_xlfn.XLOOKUP(A70,'Base Grupo de Produtos'!H:H,'Base Grupo de Produtos'!I:I)</f>
        <v>VENDA INTERNA DF</v>
      </c>
      <c r="C70" s="9">
        <f t="shared" ref="C70:O70" si="68">ROUNDUP(C16*C$46,0)</f>
        <v>0</v>
      </c>
      <c r="D70" s="9">
        <f t="shared" si="68"/>
        <v>0</v>
      </c>
      <c r="E70" s="9">
        <f t="shared" si="68"/>
        <v>0</v>
      </c>
      <c r="F70" s="9">
        <f t="shared" si="68"/>
        <v>0</v>
      </c>
      <c r="G70" s="9">
        <f t="shared" si="68"/>
        <v>1</v>
      </c>
      <c r="H70" s="9">
        <f t="shared" si="68"/>
        <v>1</v>
      </c>
      <c r="I70" s="9">
        <f t="shared" si="68"/>
        <v>2</v>
      </c>
      <c r="J70" s="9">
        <f t="shared" si="68"/>
        <v>2</v>
      </c>
      <c r="K70" s="9">
        <f t="shared" si="68"/>
        <v>2</v>
      </c>
      <c r="L70" s="9">
        <f t="shared" si="68"/>
        <v>3</v>
      </c>
      <c r="M70" s="9">
        <f t="shared" si="68"/>
        <v>3</v>
      </c>
      <c r="N70" s="9">
        <f t="shared" si="68"/>
        <v>3</v>
      </c>
      <c r="O70" s="9">
        <f t="shared" si="68"/>
        <v>2</v>
      </c>
    </row>
    <row r="71" spans="1:15" x14ac:dyDescent="0.3">
      <c r="A71" s="3">
        <f t="shared" si="53"/>
        <v>1353</v>
      </c>
      <c r="B71" s="4" t="str">
        <f>_xlfn.XLOOKUP(A71,'Base Grupo de Produtos'!H:H,'Base Grupo de Produtos'!I:I)</f>
        <v>VENDA INTERNA MS</v>
      </c>
      <c r="C71" s="9">
        <f t="shared" ref="C71:O71" si="69">ROUNDUP(C17*C$46,0)</f>
        <v>0</v>
      </c>
      <c r="D71" s="9">
        <f t="shared" si="69"/>
        <v>0</v>
      </c>
      <c r="E71" s="9">
        <f t="shared" si="69"/>
        <v>0</v>
      </c>
      <c r="F71" s="9">
        <f t="shared" si="69"/>
        <v>0</v>
      </c>
      <c r="G71" s="9">
        <f t="shared" si="69"/>
        <v>3</v>
      </c>
      <c r="H71" s="9">
        <f t="shared" si="69"/>
        <v>3</v>
      </c>
      <c r="I71" s="9">
        <f t="shared" si="69"/>
        <v>4</v>
      </c>
      <c r="J71" s="9">
        <f t="shared" si="69"/>
        <v>5</v>
      </c>
      <c r="K71" s="9">
        <f t="shared" si="69"/>
        <v>5</v>
      </c>
      <c r="L71" s="9">
        <f t="shared" si="69"/>
        <v>6</v>
      </c>
      <c r="M71" s="9">
        <f t="shared" si="69"/>
        <v>7</v>
      </c>
      <c r="N71" s="9">
        <f t="shared" si="69"/>
        <v>8</v>
      </c>
      <c r="O71" s="9">
        <f t="shared" si="69"/>
        <v>5</v>
      </c>
    </row>
    <row r="72" spans="1:15" x14ac:dyDescent="0.3">
      <c r="A72" s="3">
        <f t="shared" si="53"/>
        <v>1354</v>
      </c>
      <c r="B72" s="4" t="str">
        <f>_xlfn.XLOOKUP(A72,'Base Grupo de Produtos'!H:H,'Base Grupo de Produtos'!I:I)</f>
        <v>VENDA INTERNA MT</v>
      </c>
      <c r="C72" s="9">
        <f t="shared" ref="C72:O72" si="70">ROUNDUP(C18*C$46,0)</f>
        <v>0</v>
      </c>
      <c r="D72" s="9">
        <f t="shared" si="70"/>
        <v>0</v>
      </c>
      <c r="E72" s="9">
        <f t="shared" si="70"/>
        <v>0</v>
      </c>
      <c r="F72" s="9">
        <f t="shared" si="70"/>
        <v>0</v>
      </c>
      <c r="G72" s="9">
        <f t="shared" si="70"/>
        <v>3</v>
      </c>
      <c r="H72" s="9">
        <f t="shared" si="70"/>
        <v>3</v>
      </c>
      <c r="I72" s="9">
        <f t="shared" si="70"/>
        <v>4</v>
      </c>
      <c r="J72" s="9">
        <f t="shared" si="70"/>
        <v>5</v>
      </c>
      <c r="K72" s="9">
        <f t="shared" si="70"/>
        <v>5</v>
      </c>
      <c r="L72" s="9">
        <f t="shared" si="70"/>
        <v>6</v>
      </c>
      <c r="M72" s="9">
        <f t="shared" si="70"/>
        <v>7</v>
      </c>
      <c r="N72" s="9">
        <f t="shared" si="70"/>
        <v>8</v>
      </c>
      <c r="O72" s="9">
        <f t="shared" si="70"/>
        <v>5</v>
      </c>
    </row>
    <row r="73" spans="1:15" x14ac:dyDescent="0.3">
      <c r="A73" s="3">
        <f t="shared" si="53"/>
        <v>1356</v>
      </c>
      <c r="B73" s="4" t="str">
        <f>_xlfn.XLOOKUP(A73,'Base Grupo de Produtos'!H:H,'Base Grupo de Produtos'!I:I)</f>
        <v>VENDA INTERNA GO</v>
      </c>
      <c r="C73" s="9">
        <f t="shared" ref="C73:O73" si="71">ROUNDUP(C19*C$46,0)</f>
        <v>0</v>
      </c>
      <c r="D73" s="9">
        <f t="shared" si="71"/>
        <v>0</v>
      </c>
      <c r="E73" s="9">
        <f t="shared" si="71"/>
        <v>0</v>
      </c>
      <c r="F73" s="9">
        <f t="shared" si="71"/>
        <v>0</v>
      </c>
      <c r="G73" s="9">
        <f t="shared" si="71"/>
        <v>5</v>
      </c>
      <c r="H73" s="9">
        <f t="shared" si="71"/>
        <v>6</v>
      </c>
      <c r="I73" s="9">
        <f t="shared" si="71"/>
        <v>7</v>
      </c>
      <c r="J73" s="9">
        <f t="shared" si="71"/>
        <v>8</v>
      </c>
      <c r="K73" s="9">
        <f t="shared" si="71"/>
        <v>9</v>
      </c>
      <c r="L73" s="9">
        <f t="shared" si="71"/>
        <v>12</v>
      </c>
      <c r="M73" s="9">
        <f t="shared" si="71"/>
        <v>13</v>
      </c>
      <c r="N73" s="9">
        <f t="shared" si="71"/>
        <v>14</v>
      </c>
      <c r="O73" s="9">
        <f t="shared" si="71"/>
        <v>10</v>
      </c>
    </row>
    <row r="74" spans="1:15" x14ac:dyDescent="0.3">
      <c r="A74" s="3">
        <f t="shared" si="53"/>
        <v>1357</v>
      </c>
      <c r="B74" s="4" t="str">
        <f>_xlfn.XLOOKUP(A74,'Base Grupo de Produtos'!H:H,'Base Grupo de Produtos'!I:I)</f>
        <v>VENDA INTERNA ES</v>
      </c>
      <c r="C74" s="9">
        <f t="shared" ref="C74:O74" si="72">ROUNDUP(C20*C$46,0)</f>
        <v>0</v>
      </c>
      <c r="D74" s="9">
        <f t="shared" si="72"/>
        <v>0</v>
      </c>
      <c r="E74" s="9">
        <f t="shared" si="72"/>
        <v>0</v>
      </c>
      <c r="F74" s="9">
        <f t="shared" si="72"/>
        <v>0</v>
      </c>
      <c r="G74" s="9">
        <f t="shared" si="72"/>
        <v>3</v>
      </c>
      <c r="H74" s="9">
        <f t="shared" si="72"/>
        <v>3</v>
      </c>
      <c r="I74" s="9">
        <f t="shared" si="72"/>
        <v>4</v>
      </c>
      <c r="J74" s="9">
        <f t="shared" si="72"/>
        <v>4</v>
      </c>
      <c r="K74" s="9">
        <f t="shared" si="72"/>
        <v>5</v>
      </c>
      <c r="L74" s="9">
        <f t="shared" si="72"/>
        <v>6</v>
      </c>
      <c r="M74" s="9">
        <f t="shared" si="72"/>
        <v>6</v>
      </c>
      <c r="N74" s="9">
        <f t="shared" si="72"/>
        <v>7</v>
      </c>
      <c r="O74" s="9">
        <f t="shared" si="72"/>
        <v>5</v>
      </c>
    </row>
    <row r="75" spans="1:15" x14ac:dyDescent="0.3">
      <c r="A75" s="3">
        <f t="shared" si="53"/>
        <v>1358</v>
      </c>
      <c r="B75" s="4" t="str">
        <f>_xlfn.XLOOKUP(A75,'Base Grupo de Produtos'!H:H,'Base Grupo de Produtos'!I:I)</f>
        <v>VENDA INTERNA RJ</v>
      </c>
      <c r="C75" s="9">
        <f t="shared" ref="C75:O75" si="73">ROUNDUP(C21*C$46,0)</f>
        <v>0</v>
      </c>
      <c r="D75" s="9">
        <f t="shared" si="73"/>
        <v>0</v>
      </c>
      <c r="E75" s="9">
        <f t="shared" si="73"/>
        <v>0</v>
      </c>
      <c r="F75" s="9">
        <f t="shared" si="73"/>
        <v>0</v>
      </c>
      <c r="G75" s="9">
        <f t="shared" si="73"/>
        <v>6</v>
      </c>
      <c r="H75" s="9">
        <f t="shared" si="73"/>
        <v>7</v>
      </c>
      <c r="I75" s="9">
        <f t="shared" si="73"/>
        <v>9</v>
      </c>
      <c r="J75" s="9">
        <f t="shared" si="73"/>
        <v>11</v>
      </c>
      <c r="K75" s="9">
        <f t="shared" si="73"/>
        <v>12</v>
      </c>
      <c r="L75" s="9">
        <f t="shared" si="73"/>
        <v>15</v>
      </c>
      <c r="M75" s="9">
        <f t="shared" si="73"/>
        <v>16</v>
      </c>
      <c r="N75" s="9">
        <f t="shared" si="73"/>
        <v>18</v>
      </c>
      <c r="O75" s="9">
        <f t="shared" si="73"/>
        <v>13</v>
      </c>
    </row>
    <row r="76" spans="1:15" x14ac:dyDescent="0.3">
      <c r="A76" s="3">
        <f t="shared" si="53"/>
        <v>1359</v>
      </c>
      <c r="B76" s="4" t="str">
        <f>_xlfn.XLOOKUP(A76,'Base Grupo de Produtos'!H:H,'Base Grupo de Produtos'!I:I)</f>
        <v>VENDA INTERNA MG</v>
      </c>
      <c r="C76" s="9">
        <f t="shared" ref="C76:O76" si="74">ROUNDUP(C22*C$46,0)</f>
        <v>0</v>
      </c>
      <c r="D76" s="9">
        <f t="shared" si="74"/>
        <v>0</v>
      </c>
      <c r="E76" s="9">
        <f t="shared" si="74"/>
        <v>0</v>
      </c>
      <c r="F76" s="9">
        <f t="shared" si="74"/>
        <v>0</v>
      </c>
      <c r="G76" s="9">
        <f t="shared" si="74"/>
        <v>7</v>
      </c>
      <c r="H76" s="9">
        <f t="shared" si="74"/>
        <v>9</v>
      </c>
      <c r="I76" s="9">
        <f t="shared" si="74"/>
        <v>11</v>
      </c>
      <c r="J76" s="9">
        <f t="shared" si="74"/>
        <v>13</v>
      </c>
      <c r="K76" s="9">
        <f t="shared" si="74"/>
        <v>15</v>
      </c>
      <c r="L76" s="9">
        <f t="shared" si="74"/>
        <v>18</v>
      </c>
      <c r="M76" s="9">
        <f t="shared" si="74"/>
        <v>20</v>
      </c>
      <c r="N76" s="9">
        <f t="shared" si="74"/>
        <v>23</v>
      </c>
      <c r="O76" s="9">
        <f t="shared" si="74"/>
        <v>15</v>
      </c>
    </row>
    <row r="77" spans="1:15" x14ac:dyDescent="0.3">
      <c r="A77" s="3">
        <f t="shared" si="53"/>
        <v>1360</v>
      </c>
      <c r="B77" s="4" t="str">
        <f>_xlfn.XLOOKUP(A77,'Base Grupo de Produtos'!H:H,'Base Grupo de Produtos'!I:I)</f>
        <v>VENDA INTERNA SP CAPITAL</v>
      </c>
      <c r="C77" s="9">
        <f t="shared" ref="C77:O77" si="75">ROUNDUP(C23*C$46,0)</f>
        <v>0</v>
      </c>
      <c r="D77" s="9">
        <f t="shared" si="75"/>
        <v>0</v>
      </c>
      <c r="E77" s="9">
        <f t="shared" si="75"/>
        <v>0</v>
      </c>
      <c r="F77" s="9">
        <f t="shared" si="75"/>
        <v>0</v>
      </c>
      <c r="G77" s="9">
        <f t="shared" si="75"/>
        <v>9</v>
      </c>
      <c r="H77" s="9">
        <f t="shared" si="75"/>
        <v>11</v>
      </c>
      <c r="I77" s="9">
        <f t="shared" si="75"/>
        <v>14</v>
      </c>
      <c r="J77" s="9">
        <f t="shared" si="75"/>
        <v>17</v>
      </c>
      <c r="K77" s="9">
        <f t="shared" si="75"/>
        <v>19</v>
      </c>
      <c r="L77" s="9">
        <f t="shared" si="75"/>
        <v>24</v>
      </c>
      <c r="M77" s="9">
        <f t="shared" si="75"/>
        <v>26</v>
      </c>
      <c r="N77" s="9">
        <f t="shared" si="75"/>
        <v>29</v>
      </c>
      <c r="O77" s="9">
        <f t="shared" si="75"/>
        <v>20</v>
      </c>
    </row>
    <row r="78" spans="1:15" x14ac:dyDescent="0.3">
      <c r="A78" s="3">
        <f t="shared" si="53"/>
        <v>1361</v>
      </c>
      <c r="B78" s="4" t="str">
        <f>_xlfn.XLOOKUP(A78,'Base Grupo de Produtos'!H:H,'Base Grupo de Produtos'!I:I)</f>
        <v>VENDA INTERNA SP INTERIOR</v>
      </c>
      <c r="C78" s="9">
        <f t="shared" ref="C78:O78" si="76">ROUNDUP(C24*C$46,0)</f>
        <v>0</v>
      </c>
      <c r="D78" s="9">
        <f t="shared" si="76"/>
        <v>0</v>
      </c>
      <c r="E78" s="9">
        <f t="shared" si="76"/>
        <v>0</v>
      </c>
      <c r="F78" s="9">
        <f t="shared" si="76"/>
        <v>0</v>
      </c>
      <c r="G78" s="9">
        <f t="shared" si="76"/>
        <v>11</v>
      </c>
      <c r="H78" s="9">
        <f t="shared" si="76"/>
        <v>13</v>
      </c>
      <c r="I78" s="9">
        <f t="shared" si="76"/>
        <v>16</v>
      </c>
      <c r="J78" s="9">
        <f t="shared" si="76"/>
        <v>19</v>
      </c>
      <c r="K78" s="9">
        <f t="shared" si="76"/>
        <v>22</v>
      </c>
      <c r="L78" s="9">
        <f t="shared" si="76"/>
        <v>27</v>
      </c>
      <c r="M78" s="9">
        <f t="shared" si="76"/>
        <v>30</v>
      </c>
      <c r="N78" s="9">
        <f t="shared" si="76"/>
        <v>34</v>
      </c>
      <c r="O78" s="9">
        <f t="shared" si="76"/>
        <v>23</v>
      </c>
    </row>
    <row r="79" spans="1:15" x14ac:dyDescent="0.3">
      <c r="A79" s="3">
        <f t="shared" si="53"/>
        <v>1362</v>
      </c>
      <c r="B79" s="4" t="str">
        <f>_xlfn.XLOOKUP(A79,'Base Grupo de Produtos'!H:H,'Base Grupo de Produtos'!I:I)</f>
        <v>VENDA INTERNA RS</v>
      </c>
      <c r="C79" s="9">
        <f t="shared" ref="C79:O79" si="77">ROUNDUP(C25*C$46,0)</f>
        <v>0</v>
      </c>
      <c r="D79" s="9">
        <f t="shared" si="77"/>
        <v>0</v>
      </c>
      <c r="E79" s="9">
        <f t="shared" si="77"/>
        <v>0</v>
      </c>
      <c r="F79" s="9">
        <f t="shared" si="77"/>
        <v>0</v>
      </c>
      <c r="G79" s="9">
        <f t="shared" si="77"/>
        <v>13</v>
      </c>
      <c r="H79" s="9">
        <f t="shared" si="77"/>
        <v>16</v>
      </c>
      <c r="I79" s="9">
        <f t="shared" si="77"/>
        <v>20</v>
      </c>
      <c r="J79" s="9">
        <f t="shared" si="77"/>
        <v>24</v>
      </c>
      <c r="K79" s="9">
        <f t="shared" si="77"/>
        <v>27</v>
      </c>
      <c r="L79" s="9">
        <f t="shared" si="77"/>
        <v>34</v>
      </c>
      <c r="M79" s="9">
        <f t="shared" si="77"/>
        <v>37</v>
      </c>
      <c r="N79" s="9">
        <f t="shared" si="77"/>
        <v>42</v>
      </c>
      <c r="O79" s="9">
        <f t="shared" si="77"/>
        <v>29</v>
      </c>
    </row>
    <row r="80" spans="1:15" x14ac:dyDescent="0.3">
      <c r="A80" s="3">
        <f t="shared" si="53"/>
        <v>1363</v>
      </c>
      <c r="B80" s="4" t="str">
        <f>_xlfn.XLOOKUP(A80,'Base Grupo de Produtos'!H:H,'Base Grupo de Produtos'!I:I)</f>
        <v>VENDA INTERNA PR</v>
      </c>
      <c r="C80" s="9">
        <f t="shared" ref="C80:O80" si="78">ROUNDUP(C26*C$46,0)</f>
        <v>0</v>
      </c>
      <c r="D80" s="9">
        <f t="shared" si="78"/>
        <v>0</v>
      </c>
      <c r="E80" s="9">
        <f t="shared" si="78"/>
        <v>0</v>
      </c>
      <c r="F80" s="9">
        <f t="shared" si="78"/>
        <v>0</v>
      </c>
      <c r="G80" s="9">
        <f t="shared" si="78"/>
        <v>16</v>
      </c>
      <c r="H80" s="9">
        <f t="shared" si="78"/>
        <v>20</v>
      </c>
      <c r="I80" s="9">
        <f t="shared" si="78"/>
        <v>25</v>
      </c>
      <c r="J80" s="9">
        <f t="shared" si="78"/>
        <v>30</v>
      </c>
      <c r="K80" s="9">
        <f t="shared" si="78"/>
        <v>34</v>
      </c>
      <c r="L80" s="9">
        <f t="shared" si="78"/>
        <v>43</v>
      </c>
      <c r="M80" s="9">
        <f t="shared" si="78"/>
        <v>47</v>
      </c>
      <c r="N80" s="9">
        <f t="shared" si="78"/>
        <v>53</v>
      </c>
      <c r="O80" s="9">
        <f t="shared" si="78"/>
        <v>36</v>
      </c>
    </row>
    <row r="81" spans="1:15" x14ac:dyDescent="0.3">
      <c r="A81" s="3">
        <f t="shared" si="53"/>
        <v>1364</v>
      </c>
      <c r="B81" s="4" t="str">
        <f>_xlfn.XLOOKUP(A81,'Base Grupo de Produtos'!H:H,'Base Grupo de Produtos'!I:I)</f>
        <v>VENDA INTERNA SC</v>
      </c>
      <c r="C81" s="9">
        <f t="shared" ref="C81:O81" si="79">ROUNDUP(C27*C$46,0)</f>
        <v>0</v>
      </c>
      <c r="D81" s="9">
        <f t="shared" si="79"/>
        <v>0</v>
      </c>
      <c r="E81" s="9">
        <f t="shared" si="79"/>
        <v>0</v>
      </c>
      <c r="F81" s="9">
        <f t="shared" si="79"/>
        <v>0</v>
      </c>
      <c r="G81" s="9">
        <f t="shared" si="79"/>
        <v>29</v>
      </c>
      <c r="H81" s="9">
        <f t="shared" si="79"/>
        <v>35</v>
      </c>
      <c r="I81" s="9">
        <f t="shared" si="79"/>
        <v>44</v>
      </c>
      <c r="J81" s="9">
        <f t="shared" si="79"/>
        <v>53</v>
      </c>
      <c r="K81" s="9">
        <f t="shared" si="79"/>
        <v>60</v>
      </c>
      <c r="L81" s="9">
        <f t="shared" si="79"/>
        <v>76</v>
      </c>
      <c r="M81" s="9">
        <f t="shared" si="79"/>
        <v>83</v>
      </c>
      <c r="N81" s="9">
        <f t="shared" si="79"/>
        <v>93</v>
      </c>
      <c r="O81" s="9">
        <f t="shared" si="79"/>
        <v>63</v>
      </c>
    </row>
    <row r="82" spans="1:15" x14ac:dyDescent="0.3">
      <c r="A82" s="3">
        <f t="shared" si="53"/>
        <v>1425</v>
      </c>
      <c r="B82" s="4" t="str">
        <f>_xlfn.XLOOKUP(A82,'Base Grupo de Produtos'!H:H,'Base Grupo de Produtos'!I:I)</f>
        <v>VENDA INTERNA - DIVINA TERRA</v>
      </c>
      <c r="C82" s="9">
        <f t="shared" ref="C82:O82" si="80">ROUNDUP(C28*C$46,0)</f>
        <v>0</v>
      </c>
      <c r="D82" s="9">
        <f t="shared" si="80"/>
        <v>0</v>
      </c>
      <c r="E82" s="9">
        <f t="shared" si="80"/>
        <v>0</v>
      </c>
      <c r="F82" s="9">
        <f t="shared" si="80"/>
        <v>0</v>
      </c>
      <c r="G82" s="9">
        <f t="shared" si="80"/>
        <v>4</v>
      </c>
      <c r="H82" s="9">
        <f t="shared" si="80"/>
        <v>4</v>
      </c>
      <c r="I82" s="9">
        <f t="shared" si="80"/>
        <v>5</v>
      </c>
      <c r="J82" s="9">
        <f t="shared" si="80"/>
        <v>6</v>
      </c>
      <c r="K82" s="9">
        <f t="shared" si="80"/>
        <v>7</v>
      </c>
      <c r="L82" s="9">
        <f t="shared" si="80"/>
        <v>9</v>
      </c>
      <c r="M82" s="9">
        <f t="shared" si="80"/>
        <v>9</v>
      </c>
      <c r="N82" s="9">
        <f t="shared" si="80"/>
        <v>11</v>
      </c>
      <c r="O82" s="9">
        <f t="shared" si="80"/>
        <v>7</v>
      </c>
    </row>
    <row r="83" spans="1:15" x14ac:dyDescent="0.3">
      <c r="A83" s="3">
        <f t="shared" si="53"/>
        <v>1427</v>
      </c>
      <c r="B83" s="4" t="str">
        <f>_xlfn.XLOOKUP(A83,'Base Grupo de Produtos'!H:H,'Base Grupo de Produtos'!I:I)</f>
        <v>VENDA INTERNA - FITLAND</v>
      </c>
      <c r="C83" s="9">
        <f t="shared" ref="C83:O83" si="81">ROUNDUP(C29*C$46,0)</f>
        <v>0</v>
      </c>
      <c r="D83" s="9">
        <f t="shared" si="81"/>
        <v>0</v>
      </c>
      <c r="E83" s="9">
        <f t="shared" si="81"/>
        <v>0</v>
      </c>
      <c r="F83" s="9">
        <f t="shared" si="81"/>
        <v>0</v>
      </c>
      <c r="G83" s="9">
        <f t="shared" si="81"/>
        <v>5</v>
      </c>
      <c r="H83" s="9">
        <f t="shared" si="81"/>
        <v>6</v>
      </c>
      <c r="I83" s="9">
        <f t="shared" si="81"/>
        <v>7</v>
      </c>
      <c r="J83" s="9">
        <f t="shared" si="81"/>
        <v>9</v>
      </c>
      <c r="K83" s="9">
        <f t="shared" si="81"/>
        <v>10</v>
      </c>
      <c r="L83" s="9">
        <f t="shared" si="81"/>
        <v>12</v>
      </c>
      <c r="M83" s="9">
        <f t="shared" si="81"/>
        <v>13</v>
      </c>
      <c r="N83" s="9">
        <f t="shared" si="81"/>
        <v>15</v>
      </c>
      <c r="O83" s="9">
        <f t="shared" si="81"/>
        <v>10</v>
      </c>
    </row>
    <row r="84" spans="1:15" x14ac:dyDescent="0.3">
      <c r="A84" s="3">
        <f t="shared" si="53"/>
        <v>1428</v>
      </c>
      <c r="B84" s="4" t="str">
        <f>_xlfn.XLOOKUP(A84,'Base Grupo de Produtos'!H:H,'Base Grupo de Produtos'!I:I)</f>
        <v>VENDA INTERNA - JARDIM DAS ERVAS</v>
      </c>
      <c r="C84" s="9">
        <f t="shared" ref="C84:O84" si="82">ROUNDUP(C30*C$46,0)</f>
        <v>0</v>
      </c>
      <c r="D84" s="9">
        <f t="shared" si="82"/>
        <v>0</v>
      </c>
      <c r="E84" s="9">
        <f t="shared" si="82"/>
        <v>0</v>
      </c>
      <c r="F84" s="9">
        <f t="shared" si="82"/>
        <v>0</v>
      </c>
      <c r="G84" s="9">
        <f t="shared" si="82"/>
        <v>1</v>
      </c>
      <c r="H84" s="9">
        <f t="shared" si="82"/>
        <v>1</v>
      </c>
      <c r="I84" s="9">
        <f t="shared" si="82"/>
        <v>1</v>
      </c>
      <c r="J84" s="9">
        <f t="shared" si="82"/>
        <v>1</v>
      </c>
      <c r="K84" s="9">
        <f t="shared" si="82"/>
        <v>1</v>
      </c>
      <c r="L84" s="9">
        <f t="shared" si="82"/>
        <v>1</v>
      </c>
      <c r="M84" s="9">
        <f t="shared" si="82"/>
        <v>1</v>
      </c>
      <c r="N84" s="9">
        <f t="shared" si="82"/>
        <v>2</v>
      </c>
      <c r="O84" s="9">
        <f t="shared" si="82"/>
        <v>1</v>
      </c>
    </row>
    <row r="85" spans="1:15" x14ac:dyDescent="0.3">
      <c r="A85" s="3">
        <f t="shared" si="53"/>
        <v>1429</v>
      </c>
      <c r="B85" s="4" t="str">
        <f>_xlfn.XLOOKUP(A85,'Base Grupo de Produtos'!H:H,'Base Grupo de Produtos'!I:I)</f>
        <v>VANDA INTERNA - VIDA LEVE</v>
      </c>
      <c r="C85" s="9">
        <f t="shared" ref="C85:O85" si="83">ROUNDUP(C31*C$46,0)</f>
        <v>0</v>
      </c>
      <c r="D85" s="9">
        <f t="shared" si="83"/>
        <v>0</v>
      </c>
      <c r="E85" s="9">
        <f t="shared" si="83"/>
        <v>0</v>
      </c>
      <c r="F85" s="9">
        <f t="shared" si="83"/>
        <v>0</v>
      </c>
      <c r="G85" s="9">
        <f t="shared" si="83"/>
        <v>1</v>
      </c>
      <c r="H85" s="9">
        <f t="shared" si="83"/>
        <v>1</v>
      </c>
      <c r="I85" s="9">
        <f t="shared" si="83"/>
        <v>2</v>
      </c>
      <c r="J85" s="9">
        <f t="shared" si="83"/>
        <v>2</v>
      </c>
      <c r="K85" s="9">
        <f t="shared" si="83"/>
        <v>2</v>
      </c>
      <c r="L85" s="9">
        <f t="shared" si="83"/>
        <v>3</v>
      </c>
      <c r="M85" s="9">
        <f t="shared" si="83"/>
        <v>3</v>
      </c>
      <c r="N85" s="9">
        <f t="shared" si="83"/>
        <v>3</v>
      </c>
      <c r="O85" s="9">
        <f t="shared" si="83"/>
        <v>2</v>
      </c>
    </row>
    <row r="86" spans="1:15" x14ac:dyDescent="0.3">
      <c r="A86" s="3">
        <f t="shared" si="53"/>
        <v>1430</v>
      </c>
      <c r="B86" s="4" t="str">
        <f>_xlfn.XLOOKUP(A86,'Base Grupo de Produtos'!H:H,'Base Grupo de Produtos'!I:I)</f>
        <v>VENDA INTERNA - BIO MUNDO</v>
      </c>
      <c r="C86" s="9">
        <f t="shared" ref="C86:O86" si="84">ROUNDUP(C32*C$46,0)</f>
        <v>0</v>
      </c>
      <c r="D86" s="9">
        <f t="shared" si="84"/>
        <v>0</v>
      </c>
      <c r="E86" s="9">
        <f t="shared" si="84"/>
        <v>0</v>
      </c>
      <c r="F86" s="9">
        <f t="shared" si="84"/>
        <v>0</v>
      </c>
      <c r="G86" s="9">
        <f t="shared" si="84"/>
        <v>2</v>
      </c>
      <c r="H86" s="9">
        <f t="shared" si="84"/>
        <v>2</v>
      </c>
      <c r="I86" s="9">
        <f t="shared" si="84"/>
        <v>2</v>
      </c>
      <c r="J86" s="9">
        <f t="shared" si="84"/>
        <v>3</v>
      </c>
      <c r="K86" s="9">
        <f t="shared" si="84"/>
        <v>3</v>
      </c>
      <c r="L86" s="9">
        <f t="shared" si="84"/>
        <v>4</v>
      </c>
      <c r="M86" s="9">
        <f t="shared" si="84"/>
        <v>4</v>
      </c>
      <c r="N86" s="9">
        <f t="shared" si="84"/>
        <v>5</v>
      </c>
      <c r="O86" s="9">
        <f t="shared" si="84"/>
        <v>3</v>
      </c>
    </row>
    <row r="87" spans="1:15" x14ac:dyDescent="0.3">
      <c r="A87" s="3">
        <f t="shared" si="53"/>
        <v>1431</v>
      </c>
      <c r="B87" s="4" t="str">
        <f>_xlfn.XLOOKUP(A87,'Base Grupo de Produtos'!H:H,'Base Grupo de Produtos'!I:I)</f>
        <v>VENDA INTERNA - ARMAZEM FIT STORE</v>
      </c>
      <c r="C87" s="9">
        <f t="shared" ref="C87:O87" si="85">ROUNDUP(C33*C$46,0)</f>
        <v>0</v>
      </c>
      <c r="D87" s="9">
        <f t="shared" si="85"/>
        <v>0</v>
      </c>
      <c r="E87" s="9">
        <f t="shared" si="85"/>
        <v>0</v>
      </c>
      <c r="F87" s="9">
        <f t="shared" si="85"/>
        <v>0</v>
      </c>
      <c r="G87" s="9">
        <f t="shared" si="85"/>
        <v>1</v>
      </c>
      <c r="H87" s="9">
        <f t="shared" si="85"/>
        <v>1</v>
      </c>
      <c r="I87" s="9">
        <f t="shared" si="85"/>
        <v>1</v>
      </c>
      <c r="J87" s="9">
        <f t="shared" si="85"/>
        <v>1</v>
      </c>
      <c r="K87" s="9">
        <f t="shared" si="85"/>
        <v>2</v>
      </c>
      <c r="L87" s="9">
        <f t="shared" si="85"/>
        <v>2</v>
      </c>
      <c r="M87" s="9">
        <f t="shared" si="85"/>
        <v>2</v>
      </c>
      <c r="N87" s="9">
        <f t="shared" si="85"/>
        <v>2</v>
      </c>
      <c r="O87" s="9">
        <f t="shared" si="85"/>
        <v>2</v>
      </c>
    </row>
    <row r="88" spans="1:15" x14ac:dyDescent="0.3">
      <c r="A88" s="3">
        <f t="shared" si="53"/>
        <v>1432</v>
      </c>
      <c r="B88" s="4" t="str">
        <f>_xlfn.XLOOKUP(A88,'Base Grupo de Produtos'!H:H,'Base Grupo de Produtos'!I:I)</f>
        <v>VENDA INTERNA - CIA DA SAUDE</v>
      </c>
      <c r="C88" s="9">
        <f t="shared" ref="C88:O88" si="86">ROUNDUP(C34*C$46,0)</f>
        <v>0</v>
      </c>
      <c r="D88" s="9">
        <f t="shared" si="86"/>
        <v>0</v>
      </c>
      <c r="E88" s="9">
        <f t="shared" si="86"/>
        <v>0</v>
      </c>
      <c r="F88" s="9">
        <f t="shared" si="86"/>
        <v>0</v>
      </c>
      <c r="G88" s="9">
        <f t="shared" si="86"/>
        <v>8</v>
      </c>
      <c r="H88" s="9">
        <f t="shared" si="86"/>
        <v>9</v>
      </c>
      <c r="I88" s="9">
        <f t="shared" si="86"/>
        <v>11</v>
      </c>
      <c r="J88" s="9">
        <f t="shared" si="86"/>
        <v>14</v>
      </c>
      <c r="K88" s="9">
        <f t="shared" si="86"/>
        <v>16</v>
      </c>
      <c r="L88" s="9">
        <f t="shared" si="86"/>
        <v>20</v>
      </c>
      <c r="M88" s="9">
        <f t="shared" si="86"/>
        <v>21</v>
      </c>
      <c r="N88" s="9">
        <f t="shared" si="86"/>
        <v>24</v>
      </c>
      <c r="O88" s="9">
        <f t="shared" si="86"/>
        <v>16</v>
      </c>
    </row>
    <row r="89" spans="1:15" x14ac:dyDescent="0.3">
      <c r="A89" s="3">
        <f t="shared" si="53"/>
        <v>1433</v>
      </c>
      <c r="B89" s="4" t="str">
        <f>_xlfn.XLOOKUP(A89,'Base Grupo de Produtos'!H:H,'Base Grupo de Produtos'!I:I)</f>
        <v>VENDA INTERNA - MUNDO VERDE</v>
      </c>
      <c r="C89" s="9">
        <f t="shared" ref="C89:O89" si="87">ROUNDUP(C35*C$46,0)</f>
        <v>0</v>
      </c>
      <c r="D89" s="9">
        <f t="shared" si="87"/>
        <v>0</v>
      </c>
      <c r="E89" s="9">
        <f t="shared" si="87"/>
        <v>0</v>
      </c>
      <c r="F89" s="9">
        <f t="shared" si="87"/>
        <v>0</v>
      </c>
      <c r="G89" s="9">
        <f t="shared" si="87"/>
        <v>1</v>
      </c>
      <c r="H89" s="9">
        <f t="shared" si="87"/>
        <v>1</v>
      </c>
      <c r="I89" s="9">
        <f t="shared" si="87"/>
        <v>1</v>
      </c>
      <c r="J89" s="9">
        <f t="shared" si="87"/>
        <v>1</v>
      </c>
      <c r="K89" s="9">
        <f t="shared" si="87"/>
        <v>2</v>
      </c>
      <c r="L89" s="9">
        <f t="shared" si="87"/>
        <v>2</v>
      </c>
      <c r="M89" s="9">
        <f t="shared" si="87"/>
        <v>2</v>
      </c>
      <c r="N89" s="9">
        <f t="shared" si="87"/>
        <v>2</v>
      </c>
      <c r="O89" s="9">
        <f t="shared" si="87"/>
        <v>2</v>
      </c>
    </row>
    <row r="90" spans="1:15" x14ac:dyDescent="0.3">
      <c r="A90" s="3">
        <f t="shared" si="53"/>
        <v>1438</v>
      </c>
      <c r="B90" s="4" t="str">
        <f>_xlfn.XLOOKUP(A90,'Base Grupo de Produtos'!H:H,'Base Grupo de Produtos'!I:I)</f>
        <v>VENDA INTERNA - MAIS NATURAL</v>
      </c>
      <c r="C90" s="9">
        <f t="shared" ref="C90:O90" si="88">ROUNDUP(C36*C$46,0)</f>
        <v>0</v>
      </c>
      <c r="D90" s="9">
        <f t="shared" si="88"/>
        <v>0</v>
      </c>
      <c r="E90" s="9">
        <f t="shared" si="88"/>
        <v>0</v>
      </c>
      <c r="F90" s="9">
        <f t="shared" si="88"/>
        <v>0</v>
      </c>
      <c r="G90" s="9">
        <f t="shared" si="88"/>
        <v>1</v>
      </c>
      <c r="H90" s="9">
        <f t="shared" si="88"/>
        <v>1</v>
      </c>
      <c r="I90" s="9">
        <f t="shared" si="88"/>
        <v>1</v>
      </c>
      <c r="J90" s="9">
        <f t="shared" si="88"/>
        <v>1</v>
      </c>
      <c r="K90" s="9">
        <f t="shared" si="88"/>
        <v>2</v>
      </c>
      <c r="L90" s="9">
        <f t="shared" si="88"/>
        <v>2</v>
      </c>
      <c r="M90" s="9">
        <f t="shared" si="88"/>
        <v>2</v>
      </c>
      <c r="N90" s="9">
        <f t="shared" si="88"/>
        <v>2</v>
      </c>
      <c r="O90" s="9">
        <f t="shared" si="88"/>
        <v>2</v>
      </c>
    </row>
    <row r="91" spans="1:15" x14ac:dyDescent="0.3">
      <c r="A91" s="3">
        <f t="shared" si="53"/>
        <v>1439</v>
      </c>
      <c r="B91" s="4" t="str">
        <f>_xlfn.XLOOKUP(A91,'Base Grupo de Produtos'!H:H,'Base Grupo de Produtos'!I:I)</f>
        <v>VENDA INTERNA - TUDO EM GRAOS</v>
      </c>
      <c r="C91" s="9">
        <f t="shared" ref="C91:O92" si="89">ROUNDUP(C37*C$46,0)</f>
        <v>0</v>
      </c>
      <c r="D91" s="9">
        <f t="shared" si="89"/>
        <v>0</v>
      </c>
      <c r="E91" s="9">
        <f t="shared" si="89"/>
        <v>0</v>
      </c>
      <c r="F91" s="9">
        <f t="shared" si="89"/>
        <v>0</v>
      </c>
      <c r="G91" s="9">
        <f t="shared" si="89"/>
        <v>1</v>
      </c>
      <c r="H91" s="9">
        <f t="shared" si="89"/>
        <v>1</v>
      </c>
      <c r="I91" s="9">
        <f t="shared" si="89"/>
        <v>1</v>
      </c>
      <c r="J91" s="9">
        <f t="shared" si="89"/>
        <v>1</v>
      </c>
      <c r="K91" s="9">
        <f t="shared" si="89"/>
        <v>2</v>
      </c>
      <c r="L91" s="9">
        <f t="shared" si="89"/>
        <v>2</v>
      </c>
      <c r="M91" s="9">
        <f t="shared" si="89"/>
        <v>2</v>
      </c>
      <c r="N91" s="9">
        <f t="shared" si="89"/>
        <v>2</v>
      </c>
      <c r="O91" s="9">
        <f t="shared" si="89"/>
        <v>2</v>
      </c>
    </row>
    <row r="92" spans="1:15" x14ac:dyDescent="0.3">
      <c r="A92" s="3">
        <v>1533</v>
      </c>
      <c r="B92" s="4" t="s">
        <v>369</v>
      </c>
      <c r="C92" s="9">
        <f t="shared" si="89"/>
        <v>0</v>
      </c>
      <c r="D92" s="9">
        <f t="shared" si="89"/>
        <v>0</v>
      </c>
      <c r="E92" s="9">
        <f t="shared" si="89"/>
        <v>0</v>
      </c>
      <c r="F92" s="9">
        <f t="shared" si="89"/>
        <v>0</v>
      </c>
      <c r="G92" s="9">
        <f t="shared" si="89"/>
        <v>1</v>
      </c>
      <c r="H92" s="9">
        <f t="shared" si="89"/>
        <v>1</v>
      </c>
      <c r="I92" s="9">
        <f t="shared" si="89"/>
        <v>1</v>
      </c>
      <c r="J92" s="9">
        <f t="shared" si="89"/>
        <v>1</v>
      </c>
      <c r="K92" s="9">
        <f t="shared" si="89"/>
        <v>1</v>
      </c>
      <c r="L92" s="9">
        <f t="shared" si="89"/>
        <v>1</v>
      </c>
      <c r="M92" s="9">
        <f t="shared" si="89"/>
        <v>1</v>
      </c>
      <c r="N92" s="9">
        <f t="shared" si="89"/>
        <v>1</v>
      </c>
      <c r="O92" s="9">
        <f t="shared" si="89"/>
        <v>1</v>
      </c>
    </row>
    <row r="93" spans="1:15" x14ac:dyDescent="0.3">
      <c r="A93" s="3">
        <f t="shared" ref="A93" si="90">A39</f>
        <v>1442</v>
      </c>
      <c r="B93" s="4" t="str">
        <f>_xlfn.XLOOKUP(A93,'Base Grupo de Produtos'!H:H,'Base Grupo de Produtos'!I:I)</f>
        <v>VENDA INTERNA AL</v>
      </c>
      <c r="C93" s="9">
        <f t="shared" ref="C93:O93" si="91">ROUNDUP(C39*C$46,0)</f>
        <v>0</v>
      </c>
      <c r="D93" s="9">
        <f t="shared" si="91"/>
        <v>0</v>
      </c>
      <c r="E93" s="9">
        <f t="shared" si="91"/>
        <v>0</v>
      </c>
      <c r="F93" s="9">
        <f t="shared" si="91"/>
        <v>0</v>
      </c>
      <c r="G93" s="9">
        <f t="shared" si="91"/>
        <v>1</v>
      </c>
      <c r="H93" s="9">
        <f t="shared" si="91"/>
        <v>1</v>
      </c>
      <c r="I93" s="9">
        <f t="shared" si="91"/>
        <v>2</v>
      </c>
      <c r="J93" s="9">
        <f t="shared" si="91"/>
        <v>2</v>
      </c>
      <c r="K93" s="9">
        <f t="shared" si="91"/>
        <v>2</v>
      </c>
      <c r="L93" s="9">
        <f t="shared" si="91"/>
        <v>3</v>
      </c>
      <c r="M93" s="9">
        <f t="shared" si="91"/>
        <v>3</v>
      </c>
      <c r="N93" s="9">
        <f t="shared" si="91"/>
        <v>3</v>
      </c>
      <c r="O93" s="9">
        <f t="shared" si="91"/>
        <v>2</v>
      </c>
    </row>
    <row r="94" spans="1:15" x14ac:dyDescent="0.3">
      <c r="A94" s="95" t="s">
        <v>220</v>
      </c>
      <c r="B94" s="96"/>
      <c r="C94" s="55">
        <f t="shared" ref="C94:F94" si="92">SUM(C56:C93)</f>
        <v>0</v>
      </c>
      <c r="D94" s="55">
        <f t="shared" si="92"/>
        <v>0</v>
      </c>
      <c r="E94" s="55">
        <f t="shared" si="92"/>
        <v>0</v>
      </c>
      <c r="F94" s="55">
        <f t="shared" si="92"/>
        <v>0</v>
      </c>
      <c r="G94" s="55">
        <f>SUM(G56:G93)</f>
        <v>159</v>
      </c>
      <c r="H94" s="55">
        <f t="shared" ref="H94:O94" si="93">SUM(H56:H93)</f>
        <v>185</v>
      </c>
      <c r="I94" s="55">
        <f t="shared" si="93"/>
        <v>231</v>
      </c>
      <c r="J94" s="55">
        <f t="shared" si="93"/>
        <v>276</v>
      </c>
      <c r="K94" s="55">
        <f t="shared" si="93"/>
        <v>309</v>
      </c>
      <c r="L94" s="55">
        <f t="shared" si="93"/>
        <v>388</v>
      </c>
      <c r="M94" s="55">
        <f t="shared" si="93"/>
        <v>421</v>
      </c>
      <c r="N94" s="55">
        <f t="shared" si="93"/>
        <v>474</v>
      </c>
      <c r="O94" s="55">
        <f t="shared" si="93"/>
        <v>324</v>
      </c>
    </row>
    <row r="96" spans="1:15" x14ac:dyDescent="0.3">
      <c r="A96" s="22" t="s">
        <v>55</v>
      </c>
      <c r="B96" s="22" t="s">
        <v>119</v>
      </c>
      <c r="C96" s="22" t="s">
        <v>209</v>
      </c>
      <c r="D96" s="43" t="s">
        <v>63</v>
      </c>
      <c r="E96" s="43" t="s">
        <v>64</v>
      </c>
      <c r="F96" s="43" t="s">
        <v>65</v>
      </c>
      <c r="G96" s="43" t="s">
        <v>66</v>
      </c>
      <c r="H96" s="43" t="s">
        <v>67</v>
      </c>
      <c r="I96" s="43" t="s">
        <v>68</v>
      </c>
      <c r="J96" s="43" t="s">
        <v>69</v>
      </c>
      <c r="K96" s="43" t="s">
        <v>70</v>
      </c>
      <c r="L96" s="43" t="s">
        <v>71</v>
      </c>
      <c r="M96" s="43" t="s">
        <v>72</v>
      </c>
      <c r="N96" s="43" t="s">
        <v>73</v>
      </c>
      <c r="O96" s="43" t="s">
        <v>74</v>
      </c>
    </row>
    <row r="97" spans="1:15" x14ac:dyDescent="0.3">
      <c r="A97" s="3">
        <f t="shared" ref="A97:A132" si="94">A2</f>
        <v>1324</v>
      </c>
      <c r="B97" s="4" t="str">
        <f>_xlfn.XLOOKUP(A97,'Base Grupo de Produtos'!H:H,'Base Grupo de Produtos'!I:I)</f>
        <v>VENDA INTERNA AP</v>
      </c>
      <c r="C97" s="56">
        <f>C56*C$47</f>
        <v>0</v>
      </c>
      <c r="D97" s="56">
        <f t="shared" ref="D97:O97" si="95">D56*D$47</f>
        <v>0</v>
      </c>
      <c r="E97" s="56">
        <f t="shared" si="95"/>
        <v>0</v>
      </c>
      <c r="F97" s="56">
        <f t="shared" si="95"/>
        <v>0</v>
      </c>
      <c r="G97" s="56">
        <f t="shared" si="95"/>
        <v>1000</v>
      </c>
      <c r="H97" s="56">
        <f t="shared" si="95"/>
        <v>1000</v>
      </c>
      <c r="I97" s="56">
        <f t="shared" si="95"/>
        <v>1000</v>
      </c>
      <c r="J97" s="56">
        <f t="shared" si="95"/>
        <v>1000</v>
      </c>
      <c r="K97" s="56">
        <f t="shared" si="95"/>
        <v>1100</v>
      </c>
      <c r="L97" s="56">
        <f t="shared" si="95"/>
        <v>1100</v>
      </c>
      <c r="M97" s="56">
        <f t="shared" si="95"/>
        <v>1100</v>
      </c>
      <c r="N97" s="56">
        <f t="shared" si="95"/>
        <v>1100</v>
      </c>
      <c r="O97" s="56">
        <f t="shared" si="95"/>
        <v>1100</v>
      </c>
    </row>
    <row r="98" spans="1:15" x14ac:dyDescent="0.3">
      <c r="A98" s="3">
        <f t="shared" si="94"/>
        <v>1325</v>
      </c>
      <c r="B98" s="4" t="str">
        <f>_xlfn.XLOOKUP(A98,'Base Grupo de Produtos'!H:H,'Base Grupo de Produtos'!I:I)</f>
        <v>VENDA INTERNA RN</v>
      </c>
      <c r="C98" s="56">
        <f t="shared" ref="C98:O98" si="96">C57*C$47</f>
        <v>0</v>
      </c>
      <c r="D98" s="56">
        <f t="shared" si="96"/>
        <v>0</v>
      </c>
      <c r="E98" s="56">
        <f t="shared" si="96"/>
        <v>0</v>
      </c>
      <c r="F98" s="56">
        <f t="shared" si="96"/>
        <v>0</v>
      </c>
      <c r="G98" s="56">
        <f t="shared" si="96"/>
        <v>3000</v>
      </c>
      <c r="H98" s="56">
        <f t="shared" si="96"/>
        <v>3000</v>
      </c>
      <c r="I98" s="56">
        <f t="shared" si="96"/>
        <v>4000</v>
      </c>
      <c r="J98" s="56">
        <f t="shared" si="96"/>
        <v>5000</v>
      </c>
      <c r="K98" s="56">
        <f t="shared" si="96"/>
        <v>5500</v>
      </c>
      <c r="L98" s="56">
        <f t="shared" si="96"/>
        <v>7700</v>
      </c>
      <c r="M98" s="56">
        <f t="shared" si="96"/>
        <v>7700</v>
      </c>
      <c r="N98" s="56">
        <f t="shared" si="96"/>
        <v>8800</v>
      </c>
      <c r="O98" s="56">
        <f t="shared" si="96"/>
        <v>6600</v>
      </c>
    </row>
    <row r="99" spans="1:15" x14ac:dyDescent="0.3">
      <c r="A99" s="3">
        <f t="shared" si="94"/>
        <v>1326</v>
      </c>
      <c r="B99" s="4" t="str">
        <f>_xlfn.XLOOKUP(A99,'Base Grupo de Produtos'!H:H,'Base Grupo de Produtos'!I:I)</f>
        <v>VENDA INTERNA CE</v>
      </c>
      <c r="C99" s="56">
        <f t="shared" ref="C99:O99" si="97">C58*C$47</f>
        <v>0</v>
      </c>
      <c r="D99" s="56">
        <f t="shared" si="97"/>
        <v>0</v>
      </c>
      <c r="E99" s="56">
        <f t="shared" si="97"/>
        <v>0</v>
      </c>
      <c r="F99" s="56">
        <f t="shared" si="97"/>
        <v>0</v>
      </c>
      <c r="G99" s="56">
        <f t="shared" si="97"/>
        <v>2000</v>
      </c>
      <c r="H99" s="56">
        <f t="shared" si="97"/>
        <v>3000</v>
      </c>
      <c r="I99" s="56">
        <f t="shared" si="97"/>
        <v>3000</v>
      </c>
      <c r="J99" s="56">
        <f t="shared" si="97"/>
        <v>4000</v>
      </c>
      <c r="K99" s="56">
        <f t="shared" si="97"/>
        <v>4400</v>
      </c>
      <c r="L99" s="56">
        <f t="shared" si="97"/>
        <v>5500</v>
      </c>
      <c r="M99" s="56">
        <f t="shared" si="97"/>
        <v>6600</v>
      </c>
      <c r="N99" s="56">
        <f t="shared" si="97"/>
        <v>7700</v>
      </c>
      <c r="O99" s="56">
        <f t="shared" si="97"/>
        <v>5500</v>
      </c>
    </row>
    <row r="100" spans="1:15" x14ac:dyDescent="0.3">
      <c r="A100" s="3">
        <f t="shared" si="94"/>
        <v>1327</v>
      </c>
      <c r="B100" s="4" t="str">
        <f>_xlfn.XLOOKUP(A100,'Base Grupo de Produtos'!H:H,'Base Grupo de Produtos'!I:I)</f>
        <v>VENDA INTERNA PI</v>
      </c>
      <c r="C100" s="56">
        <f t="shared" ref="C100:O100" si="98">C59*C$47</f>
        <v>0</v>
      </c>
      <c r="D100" s="56">
        <f t="shared" si="98"/>
        <v>0</v>
      </c>
      <c r="E100" s="56">
        <f t="shared" si="98"/>
        <v>0</v>
      </c>
      <c r="F100" s="56">
        <f t="shared" si="98"/>
        <v>0</v>
      </c>
      <c r="G100" s="56">
        <f t="shared" si="98"/>
        <v>1000</v>
      </c>
      <c r="H100" s="56">
        <f t="shared" si="98"/>
        <v>1000</v>
      </c>
      <c r="I100" s="56">
        <f t="shared" si="98"/>
        <v>2000</v>
      </c>
      <c r="J100" s="56">
        <f t="shared" si="98"/>
        <v>2000</v>
      </c>
      <c r="K100" s="56">
        <f t="shared" si="98"/>
        <v>2200</v>
      </c>
      <c r="L100" s="56">
        <f t="shared" si="98"/>
        <v>3300</v>
      </c>
      <c r="M100" s="56">
        <f t="shared" si="98"/>
        <v>3300</v>
      </c>
      <c r="N100" s="56">
        <f t="shared" si="98"/>
        <v>3300</v>
      </c>
      <c r="O100" s="56">
        <f t="shared" si="98"/>
        <v>2200</v>
      </c>
    </row>
    <row r="101" spans="1:15" x14ac:dyDescent="0.3">
      <c r="A101" s="3">
        <f t="shared" si="94"/>
        <v>1328</v>
      </c>
      <c r="B101" s="4" t="str">
        <f>_xlfn.XLOOKUP(A101,'Base Grupo de Produtos'!H:H,'Base Grupo de Produtos'!I:I)</f>
        <v>VENDA INTERNA PE</v>
      </c>
      <c r="C101" s="56">
        <f t="shared" ref="C101:O101" si="99">C60*C$47</f>
        <v>0</v>
      </c>
      <c r="D101" s="56">
        <f t="shared" si="99"/>
        <v>0</v>
      </c>
      <c r="E101" s="56">
        <f t="shared" si="99"/>
        <v>0</v>
      </c>
      <c r="F101" s="56">
        <f t="shared" si="99"/>
        <v>0</v>
      </c>
      <c r="G101" s="56">
        <f t="shared" si="99"/>
        <v>2000</v>
      </c>
      <c r="H101" s="56">
        <f t="shared" si="99"/>
        <v>2000</v>
      </c>
      <c r="I101" s="56">
        <f t="shared" si="99"/>
        <v>2000</v>
      </c>
      <c r="J101" s="56">
        <f t="shared" si="99"/>
        <v>3000</v>
      </c>
      <c r="K101" s="56">
        <f t="shared" si="99"/>
        <v>3300</v>
      </c>
      <c r="L101" s="56">
        <f t="shared" si="99"/>
        <v>3300</v>
      </c>
      <c r="M101" s="56">
        <f t="shared" si="99"/>
        <v>4400</v>
      </c>
      <c r="N101" s="56">
        <f t="shared" si="99"/>
        <v>4400</v>
      </c>
      <c r="O101" s="56">
        <f t="shared" si="99"/>
        <v>3300</v>
      </c>
    </row>
    <row r="102" spans="1:15" x14ac:dyDescent="0.3">
      <c r="A102" s="3">
        <f t="shared" si="94"/>
        <v>1329</v>
      </c>
      <c r="B102" s="4" t="str">
        <f>_xlfn.XLOOKUP(A102,'Base Grupo de Produtos'!H:H,'Base Grupo de Produtos'!I:I)</f>
        <v>VENDA INTERNA PB</v>
      </c>
      <c r="C102" s="56">
        <f t="shared" ref="C102:O102" si="100">C61*C$47</f>
        <v>0</v>
      </c>
      <c r="D102" s="56">
        <f t="shared" si="100"/>
        <v>0</v>
      </c>
      <c r="E102" s="56">
        <f t="shared" si="100"/>
        <v>0</v>
      </c>
      <c r="F102" s="56">
        <f t="shared" si="100"/>
        <v>0</v>
      </c>
      <c r="G102" s="56">
        <f t="shared" si="100"/>
        <v>1000</v>
      </c>
      <c r="H102" s="56">
        <f t="shared" si="100"/>
        <v>1000</v>
      </c>
      <c r="I102" s="56">
        <f t="shared" si="100"/>
        <v>2000</v>
      </c>
      <c r="J102" s="56">
        <f t="shared" si="100"/>
        <v>2000</v>
      </c>
      <c r="K102" s="56">
        <f t="shared" si="100"/>
        <v>2200</v>
      </c>
      <c r="L102" s="56">
        <f t="shared" si="100"/>
        <v>3300</v>
      </c>
      <c r="M102" s="56">
        <f t="shared" si="100"/>
        <v>3300</v>
      </c>
      <c r="N102" s="56">
        <f t="shared" si="100"/>
        <v>3300</v>
      </c>
      <c r="O102" s="56">
        <f t="shared" si="100"/>
        <v>2200</v>
      </c>
    </row>
    <row r="103" spans="1:15" x14ac:dyDescent="0.3">
      <c r="A103" s="3">
        <f t="shared" si="94"/>
        <v>1330</v>
      </c>
      <c r="B103" s="4" t="str">
        <f>_xlfn.XLOOKUP(A103,'Base Grupo de Produtos'!H:H,'Base Grupo de Produtos'!I:I)</f>
        <v>VENDA INTERNA SE</v>
      </c>
      <c r="C103" s="56">
        <f t="shared" ref="C103:O103" si="101">C62*C$47</f>
        <v>0</v>
      </c>
      <c r="D103" s="56">
        <f t="shared" si="101"/>
        <v>0</v>
      </c>
      <c r="E103" s="56">
        <f t="shared" si="101"/>
        <v>0</v>
      </c>
      <c r="F103" s="56">
        <f t="shared" si="101"/>
        <v>0</v>
      </c>
      <c r="G103" s="56">
        <f t="shared" si="101"/>
        <v>1000</v>
      </c>
      <c r="H103" s="56">
        <f t="shared" si="101"/>
        <v>1000</v>
      </c>
      <c r="I103" s="56">
        <f t="shared" si="101"/>
        <v>1000</v>
      </c>
      <c r="J103" s="56">
        <f t="shared" si="101"/>
        <v>1000</v>
      </c>
      <c r="K103" s="56">
        <f t="shared" si="101"/>
        <v>1100</v>
      </c>
      <c r="L103" s="56">
        <f t="shared" si="101"/>
        <v>2200</v>
      </c>
      <c r="M103" s="56">
        <f t="shared" si="101"/>
        <v>2200</v>
      </c>
      <c r="N103" s="56">
        <f t="shared" si="101"/>
        <v>2200</v>
      </c>
      <c r="O103" s="56">
        <f t="shared" si="101"/>
        <v>1100</v>
      </c>
    </row>
    <row r="104" spans="1:15" x14ac:dyDescent="0.3">
      <c r="A104" s="3">
        <f t="shared" si="94"/>
        <v>1331</v>
      </c>
      <c r="B104" s="4" t="str">
        <f>_xlfn.XLOOKUP(A104,'Base Grupo de Produtos'!H:H,'Base Grupo de Produtos'!I:I)</f>
        <v>VENDA INTERNA BA</v>
      </c>
      <c r="C104" s="56">
        <f t="shared" ref="C104:O104" si="102">C63*C$47</f>
        <v>0</v>
      </c>
      <c r="D104" s="56">
        <f t="shared" si="102"/>
        <v>0</v>
      </c>
      <c r="E104" s="56">
        <f t="shared" si="102"/>
        <v>0</v>
      </c>
      <c r="F104" s="56">
        <f t="shared" si="102"/>
        <v>0</v>
      </c>
      <c r="G104" s="56">
        <f t="shared" si="102"/>
        <v>6000</v>
      </c>
      <c r="H104" s="56">
        <f t="shared" si="102"/>
        <v>7000</v>
      </c>
      <c r="I104" s="56">
        <f t="shared" si="102"/>
        <v>9000</v>
      </c>
      <c r="J104" s="56">
        <f t="shared" si="102"/>
        <v>11000</v>
      </c>
      <c r="K104" s="56">
        <f t="shared" si="102"/>
        <v>13200</v>
      </c>
      <c r="L104" s="56">
        <f t="shared" si="102"/>
        <v>16500</v>
      </c>
      <c r="M104" s="56">
        <f t="shared" si="102"/>
        <v>18700</v>
      </c>
      <c r="N104" s="56">
        <f t="shared" si="102"/>
        <v>20900</v>
      </c>
      <c r="O104" s="56">
        <f t="shared" si="102"/>
        <v>14300</v>
      </c>
    </row>
    <row r="105" spans="1:15" x14ac:dyDescent="0.3">
      <c r="A105" s="3">
        <f t="shared" si="94"/>
        <v>1332</v>
      </c>
      <c r="B105" s="4" t="str">
        <f>_xlfn.XLOOKUP(A105,'Base Grupo de Produtos'!H:H,'Base Grupo de Produtos'!I:I)</f>
        <v>VENDA INTERNA MA</v>
      </c>
      <c r="C105" s="56">
        <f t="shared" ref="C105:O105" si="103">C64*C$47</f>
        <v>0</v>
      </c>
      <c r="D105" s="56">
        <f t="shared" si="103"/>
        <v>0</v>
      </c>
      <c r="E105" s="56">
        <f t="shared" si="103"/>
        <v>0</v>
      </c>
      <c r="F105" s="56">
        <f t="shared" si="103"/>
        <v>0</v>
      </c>
      <c r="G105" s="56">
        <f t="shared" si="103"/>
        <v>2000</v>
      </c>
      <c r="H105" s="56">
        <f t="shared" si="103"/>
        <v>2000</v>
      </c>
      <c r="I105" s="56">
        <f t="shared" si="103"/>
        <v>2000</v>
      </c>
      <c r="J105" s="56">
        <f t="shared" si="103"/>
        <v>3000</v>
      </c>
      <c r="K105" s="56">
        <f t="shared" si="103"/>
        <v>3300</v>
      </c>
      <c r="L105" s="56">
        <f t="shared" si="103"/>
        <v>4400</v>
      </c>
      <c r="M105" s="56">
        <f t="shared" si="103"/>
        <v>4400</v>
      </c>
      <c r="N105" s="56">
        <f t="shared" si="103"/>
        <v>5500</v>
      </c>
      <c r="O105" s="56">
        <f t="shared" si="103"/>
        <v>3300</v>
      </c>
    </row>
    <row r="106" spans="1:15" x14ac:dyDescent="0.3">
      <c r="A106" s="3">
        <f t="shared" si="94"/>
        <v>1346</v>
      </c>
      <c r="B106" s="4" t="str">
        <f>_xlfn.XLOOKUP(A106,'Base Grupo de Produtos'!H:H,'Base Grupo de Produtos'!I:I)</f>
        <v>VENDA INTERNA TO</v>
      </c>
      <c r="C106" s="56">
        <f t="shared" ref="C106:O106" si="104">C65*C$47</f>
        <v>0</v>
      </c>
      <c r="D106" s="56">
        <f t="shared" si="104"/>
        <v>0</v>
      </c>
      <c r="E106" s="56">
        <f t="shared" si="104"/>
        <v>0</v>
      </c>
      <c r="F106" s="56">
        <f t="shared" si="104"/>
        <v>0</v>
      </c>
      <c r="G106" s="56">
        <f t="shared" si="104"/>
        <v>1000</v>
      </c>
      <c r="H106" s="56">
        <f t="shared" si="104"/>
        <v>2000</v>
      </c>
      <c r="I106" s="56">
        <f t="shared" si="104"/>
        <v>2000</v>
      </c>
      <c r="J106" s="56">
        <f t="shared" si="104"/>
        <v>2000</v>
      </c>
      <c r="K106" s="56">
        <f t="shared" si="104"/>
        <v>2200</v>
      </c>
      <c r="L106" s="56">
        <f t="shared" si="104"/>
        <v>3300</v>
      </c>
      <c r="M106" s="56">
        <f t="shared" si="104"/>
        <v>3300</v>
      </c>
      <c r="N106" s="56">
        <f t="shared" si="104"/>
        <v>4400</v>
      </c>
      <c r="O106" s="56">
        <f t="shared" si="104"/>
        <v>3300</v>
      </c>
    </row>
    <row r="107" spans="1:15" x14ac:dyDescent="0.3">
      <c r="A107" s="3">
        <f t="shared" si="94"/>
        <v>1347</v>
      </c>
      <c r="B107" s="4" t="str">
        <f>_xlfn.XLOOKUP(A107,'Base Grupo de Produtos'!H:H,'Base Grupo de Produtos'!I:I)</f>
        <v>VENDA INTERNA RO</v>
      </c>
      <c r="C107" s="56">
        <f t="shared" ref="C107:O107" si="105">C66*C$47</f>
        <v>0</v>
      </c>
      <c r="D107" s="56">
        <f t="shared" si="105"/>
        <v>0</v>
      </c>
      <c r="E107" s="56">
        <f t="shared" si="105"/>
        <v>0</v>
      </c>
      <c r="F107" s="56">
        <f t="shared" si="105"/>
        <v>0</v>
      </c>
      <c r="G107" s="56">
        <f t="shared" si="105"/>
        <v>1000</v>
      </c>
      <c r="H107" s="56">
        <f t="shared" si="105"/>
        <v>1000</v>
      </c>
      <c r="I107" s="56">
        <f t="shared" si="105"/>
        <v>2000</v>
      </c>
      <c r="J107" s="56">
        <f t="shared" si="105"/>
        <v>2000</v>
      </c>
      <c r="K107" s="56">
        <f t="shared" si="105"/>
        <v>2200</v>
      </c>
      <c r="L107" s="56">
        <f t="shared" si="105"/>
        <v>2200</v>
      </c>
      <c r="M107" s="56">
        <f t="shared" si="105"/>
        <v>3300</v>
      </c>
      <c r="N107" s="56">
        <f t="shared" si="105"/>
        <v>3300</v>
      </c>
      <c r="O107" s="56">
        <f t="shared" si="105"/>
        <v>2200</v>
      </c>
    </row>
    <row r="108" spans="1:15" x14ac:dyDescent="0.3">
      <c r="A108" s="3">
        <f t="shared" si="94"/>
        <v>1348</v>
      </c>
      <c r="B108" s="4" t="str">
        <f>_xlfn.XLOOKUP(A108,'Base Grupo de Produtos'!H:H,'Base Grupo de Produtos'!I:I)</f>
        <v>VENDA INTERNA RR</v>
      </c>
      <c r="C108" s="56">
        <f t="shared" ref="C108:O108" si="106">C67*C$47</f>
        <v>0</v>
      </c>
      <c r="D108" s="56">
        <f t="shared" si="106"/>
        <v>0</v>
      </c>
      <c r="E108" s="56">
        <f t="shared" si="106"/>
        <v>0</v>
      </c>
      <c r="F108" s="56">
        <f t="shared" si="106"/>
        <v>0</v>
      </c>
      <c r="G108" s="56">
        <f t="shared" si="106"/>
        <v>1000</v>
      </c>
      <c r="H108" s="56">
        <f t="shared" si="106"/>
        <v>1000</v>
      </c>
      <c r="I108" s="56">
        <f t="shared" si="106"/>
        <v>1000</v>
      </c>
      <c r="J108" s="56">
        <f t="shared" si="106"/>
        <v>1000</v>
      </c>
      <c r="K108" s="56">
        <f t="shared" si="106"/>
        <v>1100</v>
      </c>
      <c r="L108" s="56">
        <f t="shared" si="106"/>
        <v>1100</v>
      </c>
      <c r="M108" s="56">
        <f t="shared" si="106"/>
        <v>1100</v>
      </c>
      <c r="N108" s="56">
        <f t="shared" si="106"/>
        <v>1100</v>
      </c>
      <c r="O108" s="56">
        <f t="shared" si="106"/>
        <v>1100</v>
      </c>
    </row>
    <row r="109" spans="1:15" x14ac:dyDescent="0.3">
      <c r="A109" s="3">
        <f t="shared" si="94"/>
        <v>1349</v>
      </c>
      <c r="B109" s="4" t="str">
        <f>_xlfn.XLOOKUP(A109,'Base Grupo de Produtos'!H:H,'Base Grupo de Produtos'!I:I)</f>
        <v>VENDA INTERNA PA</v>
      </c>
      <c r="C109" s="56">
        <f t="shared" ref="C109:O109" si="107">C68*C$47</f>
        <v>0</v>
      </c>
      <c r="D109" s="56">
        <f t="shared" si="107"/>
        <v>0</v>
      </c>
      <c r="E109" s="56">
        <f t="shared" si="107"/>
        <v>0</v>
      </c>
      <c r="F109" s="56">
        <f t="shared" si="107"/>
        <v>0</v>
      </c>
      <c r="G109" s="56">
        <f t="shared" si="107"/>
        <v>3000</v>
      </c>
      <c r="H109" s="56">
        <f t="shared" si="107"/>
        <v>3000</v>
      </c>
      <c r="I109" s="56">
        <f t="shared" si="107"/>
        <v>4000</v>
      </c>
      <c r="J109" s="56">
        <f t="shared" si="107"/>
        <v>5000</v>
      </c>
      <c r="K109" s="56">
        <f t="shared" si="107"/>
        <v>5500</v>
      </c>
      <c r="L109" s="56">
        <f t="shared" si="107"/>
        <v>6600</v>
      </c>
      <c r="M109" s="56">
        <f t="shared" si="107"/>
        <v>7700</v>
      </c>
      <c r="N109" s="56">
        <f t="shared" si="107"/>
        <v>8800</v>
      </c>
      <c r="O109" s="56">
        <f t="shared" si="107"/>
        <v>5500</v>
      </c>
    </row>
    <row r="110" spans="1:15" x14ac:dyDescent="0.3">
      <c r="A110" s="3">
        <f t="shared" si="94"/>
        <v>1351</v>
      </c>
      <c r="B110" s="4" t="str">
        <f>_xlfn.XLOOKUP(A110,'Base Grupo de Produtos'!H:H,'Base Grupo de Produtos'!I:I)</f>
        <v>VENDA INTERNA AM</v>
      </c>
      <c r="C110" s="56">
        <f t="shared" ref="C110:O110" si="108">C69*C$47</f>
        <v>0</v>
      </c>
      <c r="D110" s="56">
        <f t="shared" si="108"/>
        <v>0</v>
      </c>
      <c r="E110" s="56">
        <f t="shared" si="108"/>
        <v>0</v>
      </c>
      <c r="F110" s="56">
        <f t="shared" si="108"/>
        <v>0</v>
      </c>
      <c r="G110" s="56">
        <f t="shared" si="108"/>
        <v>1000</v>
      </c>
      <c r="H110" s="56">
        <f t="shared" si="108"/>
        <v>1000</v>
      </c>
      <c r="I110" s="56">
        <f t="shared" si="108"/>
        <v>1000</v>
      </c>
      <c r="J110" s="56">
        <f t="shared" si="108"/>
        <v>1000</v>
      </c>
      <c r="K110" s="56">
        <f t="shared" si="108"/>
        <v>1100</v>
      </c>
      <c r="L110" s="56">
        <f t="shared" si="108"/>
        <v>2200</v>
      </c>
      <c r="M110" s="56">
        <f t="shared" si="108"/>
        <v>2200</v>
      </c>
      <c r="N110" s="56">
        <f t="shared" si="108"/>
        <v>2200</v>
      </c>
      <c r="O110" s="56">
        <f t="shared" si="108"/>
        <v>1100</v>
      </c>
    </row>
    <row r="111" spans="1:15" x14ac:dyDescent="0.3">
      <c r="A111" s="3">
        <f t="shared" si="94"/>
        <v>1352</v>
      </c>
      <c r="B111" s="4" t="str">
        <f>_xlfn.XLOOKUP(A111,'Base Grupo de Produtos'!H:H,'Base Grupo de Produtos'!I:I)</f>
        <v>VENDA INTERNA DF</v>
      </c>
      <c r="C111" s="56">
        <f t="shared" ref="C111:O111" si="109">C70*C$47</f>
        <v>0</v>
      </c>
      <c r="D111" s="56">
        <f t="shared" si="109"/>
        <v>0</v>
      </c>
      <c r="E111" s="56">
        <f t="shared" si="109"/>
        <v>0</v>
      </c>
      <c r="F111" s="56">
        <f t="shared" si="109"/>
        <v>0</v>
      </c>
      <c r="G111" s="56">
        <f t="shared" si="109"/>
        <v>1000</v>
      </c>
      <c r="H111" s="56">
        <f t="shared" si="109"/>
        <v>1000</v>
      </c>
      <c r="I111" s="56">
        <f t="shared" si="109"/>
        <v>2000</v>
      </c>
      <c r="J111" s="56">
        <f t="shared" si="109"/>
        <v>2000</v>
      </c>
      <c r="K111" s="56">
        <f t="shared" si="109"/>
        <v>2200</v>
      </c>
      <c r="L111" s="56">
        <f t="shared" si="109"/>
        <v>3300</v>
      </c>
      <c r="M111" s="56">
        <f t="shared" si="109"/>
        <v>3300</v>
      </c>
      <c r="N111" s="56">
        <f t="shared" si="109"/>
        <v>3300</v>
      </c>
      <c r="O111" s="56">
        <f t="shared" si="109"/>
        <v>2200</v>
      </c>
    </row>
    <row r="112" spans="1:15" x14ac:dyDescent="0.3">
      <c r="A112" s="3">
        <f t="shared" si="94"/>
        <v>1353</v>
      </c>
      <c r="B112" s="4" t="str">
        <f>_xlfn.XLOOKUP(A112,'Base Grupo de Produtos'!H:H,'Base Grupo de Produtos'!I:I)</f>
        <v>VENDA INTERNA MS</v>
      </c>
      <c r="C112" s="56">
        <f t="shared" ref="C112:O112" si="110">C71*C$47</f>
        <v>0</v>
      </c>
      <c r="D112" s="56">
        <f t="shared" si="110"/>
        <v>0</v>
      </c>
      <c r="E112" s="56">
        <f t="shared" si="110"/>
        <v>0</v>
      </c>
      <c r="F112" s="56">
        <f t="shared" si="110"/>
        <v>0</v>
      </c>
      <c r="G112" s="56">
        <f t="shared" si="110"/>
        <v>3000</v>
      </c>
      <c r="H112" s="56">
        <f t="shared" si="110"/>
        <v>3000</v>
      </c>
      <c r="I112" s="56">
        <f t="shared" si="110"/>
        <v>4000</v>
      </c>
      <c r="J112" s="56">
        <f t="shared" si="110"/>
        <v>5000</v>
      </c>
      <c r="K112" s="56">
        <f t="shared" si="110"/>
        <v>5500</v>
      </c>
      <c r="L112" s="56">
        <f t="shared" si="110"/>
        <v>6600</v>
      </c>
      <c r="M112" s="56">
        <f t="shared" si="110"/>
        <v>7700</v>
      </c>
      <c r="N112" s="56">
        <f t="shared" si="110"/>
        <v>8800</v>
      </c>
      <c r="O112" s="56">
        <f t="shared" si="110"/>
        <v>5500</v>
      </c>
    </row>
    <row r="113" spans="1:15" x14ac:dyDescent="0.3">
      <c r="A113" s="3">
        <f t="shared" si="94"/>
        <v>1354</v>
      </c>
      <c r="B113" s="4" t="str">
        <f>_xlfn.XLOOKUP(A113,'Base Grupo de Produtos'!H:H,'Base Grupo de Produtos'!I:I)</f>
        <v>VENDA INTERNA MT</v>
      </c>
      <c r="C113" s="56">
        <f t="shared" ref="C113:O113" si="111">C72*C$47</f>
        <v>0</v>
      </c>
      <c r="D113" s="56">
        <f t="shared" si="111"/>
        <v>0</v>
      </c>
      <c r="E113" s="56">
        <f t="shared" si="111"/>
        <v>0</v>
      </c>
      <c r="F113" s="56">
        <f t="shared" si="111"/>
        <v>0</v>
      </c>
      <c r="G113" s="56">
        <f t="shared" si="111"/>
        <v>3000</v>
      </c>
      <c r="H113" s="56">
        <f t="shared" si="111"/>
        <v>3000</v>
      </c>
      <c r="I113" s="56">
        <f t="shared" si="111"/>
        <v>4000</v>
      </c>
      <c r="J113" s="56">
        <f t="shared" si="111"/>
        <v>5000</v>
      </c>
      <c r="K113" s="56">
        <f t="shared" si="111"/>
        <v>5500</v>
      </c>
      <c r="L113" s="56">
        <f t="shared" si="111"/>
        <v>6600</v>
      </c>
      <c r="M113" s="56">
        <f t="shared" si="111"/>
        <v>7700</v>
      </c>
      <c r="N113" s="56">
        <f t="shared" si="111"/>
        <v>8800</v>
      </c>
      <c r="O113" s="56">
        <f t="shared" si="111"/>
        <v>5500</v>
      </c>
    </row>
    <row r="114" spans="1:15" x14ac:dyDescent="0.3">
      <c r="A114" s="3">
        <f t="shared" si="94"/>
        <v>1356</v>
      </c>
      <c r="B114" s="4" t="str">
        <f>_xlfn.XLOOKUP(A114,'Base Grupo de Produtos'!H:H,'Base Grupo de Produtos'!I:I)</f>
        <v>VENDA INTERNA GO</v>
      </c>
      <c r="C114" s="56">
        <f t="shared" ref="C114:O114" si="112">C73*C$47</f>
        <v>0</v>
      </c>
      <c r="D114" s="56">
        <f t="shared" si="112"/>
        <v>0</v>
      </c>
      <c r="E114" s="56">
        <f t="shared" si="112"/>
        <v>0</v>
      </c>
      <c r="F114" s="56">
        <f t="shared" si="112"/>
        <v>0</v>
      </c>
      <c r="G114" s="56">
        <f t="shared" si="112"/>
        <v>5000</v>
      </c>
      <c r="H114" s="56">
        <f t="shared" si="112"/>
        <v>6000</v>
      </c>
      <c r="I114" s="56">
        <f t="shared" si="112"/>
        <v>7000</v>
      </c>
      <c r="J114" s="56">
        <f t="shared" si="112"/>
        <v>8000</v>
      </c>
      <c r="K114" s="56">
        <f t="shared" si="112"/>
        <v>9900</v>
      </c>
      <c r="L114" s="56">
        <f t="shared" si="112"/>
        <v>13200</v>
      </c>
      <c r="M114" s="56">
        <f t="shared" si="112"/>
        <v>14300</v>
      </c>
      <c r="N114" s="56">
        <f t="shared" si="112"/>
        <v>15400</v>
      </c>
      <c r="O114" s="56">
        <f t="shared" si="112"/>
        <v>11000</v>
      </c>
    </row>
    <row r="115" spans="1:15" x14ac:dyDescent="0.3">
      <c r="A115" s="3">
        <f t="shared" si="94"/>
        <v>1357</v>
      </c>
      <c r="B115" s="4" t="str">
        <f>_xlfn.XLOOKUP(A115,'Base Grupo de Produtos'!H:H,'Base Grupo de Produtos'!I:I)</f>
        <v>VENDA INTERNA ES</v>
      </c>
      <c r="C115" s="56">
        <f t="shared" ref="C115:O115" si="113">C74*C$47</f>
        <v>0</v>
      </c>
      <c r="D115" s="56">
        <f t="shared" si="113"/>
        <v>0</v>
      </c>
      <c r="E115" s="56">
        <f t="shared" si="113"/>
        <v>0</v>
      </c>
      <c r="F115" s="56">
        <f t="shared" si="113"/>
        <v>0</v>
      </c>
      <c r="G115" s="56">
        <f t="shared" si="113"/>
        <v>3000</v>
      </c>
      <c r="H115" s="56">
        <f t="shared" si="113"/>
        <v>3000</v>
      </c>
      <c r="I115" s="56">
        <f t="shared" si="113"/>
        <v>4000</v>
      </c>
      <c r="J115" s="56">
        <f t="shared" si="113"/>
        <v>4000</v>
      </c>
      <c r="K115" s="56">
        <f t="shared" si="113"/>
        <v>5500</v>
      </c>
      <c r="L115" s="56">
        <f t="shared" si="113"/>
        <v>6600</v>
      </c>
      <c r="M115" s="56">
        <f t="shared" si="113"/>
        <v>6600</v>
      </c>
      <c r="N115" s="56">
        <f t="shared" si="113"/>
        <v>7700</v>
      </c>
      <c r="O115" s="56">
        <f t="shared" si="113"/>
        <v>5500</v>
      </c>
    </row>
    <row r="116" spans="1:15" x14ac:dyDescent="0.3">
      <c r="A116" s="3">
        <f t="shared" si="94"/>
        <v>1358</v>
      </c>
      <c r="B116" s="4" t="str">
        <f>_xlfn.XLOOKUP(A116,'Base Grupo de Produtos'!H:H,'Base Grupo de Produtos'!I:I)</f>
        <v>VENDA INTERNA RJ</v>
      </c>
      <c r="C116" s="56">
        <f t="shared" ref="C116:O116" si="114">C75*C$47</f>
        <v>0</v>
      </c>
      <c r="D116" s="56">
        <f t="shared" si="114"/>
        <v>0</v>
      </c>
      <c r="E116" s="56">
        <f t="shared" si="114"/>
        <v>0</v>
      </c>
      <c r="F116" s="56">
        <f t="shared" si="114"/>
        <v>0</v>
      </c>
      <c r="G116" s="56">
        <f t="shared" si="114"/>
        <v>6000</v>
      </c>
      <c r="H116" s="56">
        <f t="shared" si="114"/>
        <v>7000</v>
      </c>
      <c r="I116" s="56">
        <f t="shared" si="114"/>
        <v>9000</v>
      </c>
      <c r="J116" s="56">
        <f t="shared" si="114"/>
        <v>11000</v>
      </c>
      <c r="K116" s="56">
        <f t="shared" si="114"/>
        <v>13200</v>
      </c>
      <c r="L116" s="56">
        <f t="shared" si="114"/>
        <v>16500</v>
      </c>
      <c r="M116" s="56">
        <f t="shared" si="114"/>
        <v>17600</v>
      </c>
      <c r="N116" s="56">
        <f t="shared" si="114"/>
        <v>19800</v>
      </c>
      <c r="O116" s="56">
        <f t="shared" si="114"/>
        <v>14300</v>
      </c>
    </row>
    <row r="117" spans="1:15" x14ac:dyDescent="0.3">
      <c r="A117" s="3">
        <f t="shared" si="94"/>
        <v>1359</v>
      </c>
      <c r="B117" s="4" t="str">
        <f>_xlfn.XLOOKUP(A117,'Base Grupo de Produtos'!H:H,'Base Grupo de Produtos'!I:I)</f>
        <v>VENDA INTERNA MG</v>
      </c>
      <c r="C117" s="56">
        <f t="shared" ref="C117:O117" si="115">C76*C$47</f>
        <v>0</v>
      </c>
      <c r="D117" s="56">
        <f t="shared" si="115"/>
        <v>0</v>
      </c>
      <c r="E117" s="56">
        <f t="shared" si="115"/>
        <v>0</v>
      </c>
      <c r="F117" s="56">
        <f t="shared" si="115"/>
        <v>0</v>
      </c>
      <c r="G117" s="56">
        <f t="shared" si="115"/>
        <v>7000</v>
      </c>
      <c r="H117" s="56">
        <f t="shared" si="115"/>
        <v>9000</v>
      </c>
      <c r="I117" s="56">
        <f t="shared" si="115"/>
        <v>11000</v>
      </c>
      <c r="J117" s="56">
        <f t="shared" si="115"/>
        <v>13000</v>
      </c>
      <c r="K117" s="56">
        <f t="shared" si="115"/>
        <v>16500</v>
      </c>
      <c r="L117" s="56">
        <f t="shared" si="115"/>
        <v>19800</v>
      </c>
      <c r="M117" s="56">
        <f t="shared" si="115"/>
        <v>22000</v>
      </c>
      <c r="N117" s="56">
        <f t="shared" si="115"/>
        <v>25300</v>
      </c>
      <c r="O117" s="56">
        <f t="shared" si="115"/>
        <v>16500</v>
      </c>
    </row>
    <row r="118" spans="1:15" x14ac:dyDescent="0.3">
      <c r="A118" s="3">
        <f t="shared" si="94"/>
        <v>1360</v>
      </c>
      <c r="B118" s="4" t="str">
        <f>_xlfn.XLOOKUP(A118,'Base Grupo de Produtos'!H:H,'Base Grupo de Produtos'!I:I)</f>
        <v>VENDA INTERNA SP CAPITAL</v>
      </c>
      <c r="C118" s="56">
        <f t="shared" ref="C118:O118" si="116">C77*C$47</f>
        <v>0</v>
      </c>
      <c r="D118" s="56">
        <f t="shared" si="116"/>
        <v>0</v>
      </c>
      <c r="E118" s="56">
        <f t="shared" si="116"/>
        <v>0</v>
      </c>
      <c r="F118" s="56">
        <f t="shared" si="116"/>
        <v>0</v>
      </c>
      <c r="G118" s="56">
        <f t="shared" si="116"/>
        <v>9000</v>
      </c>
      <c r="H118" s="56">
        <f t="shared" si="116"/>
        <v>11000</v>
      </c>
      <c r="I118" s="56">
        <f t="shared" si="116"/>
        <v>14000</v>
      </c>
      <c r="J118" s="56">
        <f t="shared" si="116"/>
        <v>17000</v>
      </c>
      <c r="K118" s="56">
        <f t="shared" si="116"/>
        <v>20900</v>
      </c>
      <c r="L118" s="56">
        <f t="shared" si="116"/>
        <v>26400</v>
      </c>
      <c r="M118" s="56">
        <f t="shared" si="116"/>
        <v>28600</v>
      </c>
      <c r="N118" s="56">
        <f t="shared" si="116"/>
        <v>31900</v>
      </c>
      <c r="O118" s="56">
        <f t="shared" si="116"/>
        <v>22000</v>
      </c>
    </row>
    <row r="119" spans="1:15" x14ac:dyDescent="0.3">
      <c r="A119" s="3">
        <f t="shared" si="94"/>
        <v>1361</v>
      </c>
      <c r="B119" s="4" t="str">
        <f>_xlfn.XLOOKUP(A119,'Base Grupo de Produtos'!H:H,'Base Grupo de Produtos'!I:I)</f>
        <v>VENDA INTERNA SP INTERIOR</v>
      </c>
      <c r="C119" s="56">
        <f t="shared" ref="C119:O119" si="117">C78*C$47</f>
        <v>0</v>
      </c>
      <c r="D119" s="56">
        <f t="shared" si="117"/>
        <v>0</v>
      </c>
      <c r="E119" s="56">
        <f t="shared" si="117"/>
        <v>0</v>
      </c>
      <c r="F119" s="56">
        <f t="shared" si="117"/>
        <v>0</v>
      </c>
      <c r="G119" s="56">
        <f t="shared" si="117"/>
        <v>11000</v>
      </c>
      <c r="H119" s="56">
        <f t="shared" si="117"/>
        <v>13000</v>
      </c>
      <c r="I119" s="56">
        <f t="shared" si="117"/>
        <v>16000</v>
      </c>
      <c r="J119" s="56">
        <f t="shared" si="117"/>
        <v>19000</v>
      </c>
      <c r="K119" s="56">
        <f t="shared" si="117"/>
        <v>24200</v>
      </c>
      <c r="L119" s="56">
        <f t="shared" si="117"/>
        <v>29700</v>
      </c>
      <c r="M119" s="56">
        <f t="shared" si="117"/>
        <v>33000</v>
      </c>
      <c r="N119" s="56">
        <f t="shared" si="117"/>
        <v>37400</v>
      </c>
      <c r="O119" s="56">
        <f t="shared" si="117"/>
        <v>25300</v>
      </c>
    </row>
    <row r="120" spans="1:15" x14ac:dyDescent="0.3">
      <c r="A120" s="3">
        <f t="shared" si="94"/>
        <v>1362</v>
      </c>
      <c r="B120" s="4" t="str">
        <f>_xlfn.XLOOKUP(A120,'Base Grupo de Produtos'!H:H,'Base Grupo de Produtos'!I:I)</f>
        <v>VENDA INTERNA RS</v>
      </c>
      <c r="C120" s="56">
        <f t="shared" ref="C120:O120" si="118">C79*C$47</f>
        <v>0</v>
      </c>
      <c r="D120" s="56">
        <f t="shared" si="118"/>
        <v>0</v>
      </c>
      <c r="E120" s="56">
        <f t="shared" si="118"/>
        <v>0</v>
      </c>
      <c r="F120" s="56">
        <f t="shared" si="118"/>
        <v>0</v>
      </c>
      <c r="G120" s="56">
        <f t="shared" si="118"/>
        <v>13000</v>
      </c>
      <c r="H120" s="56">
        <f t="shared" si="118"/>
        <v>16000</v>
      </c>
      <c r="I120" s="56">
        <f t="shared" si="118"/>
        <v>20000</v>
      </c>
      <c r="J120" s="56">
        <f t="shared" si="118"/>
        <v>24000</v>
      </c>
      <c r="K120" s="56">
        <f t="shared" si="118"/>
        <v>29700</v>
      </c>
      <c r="L120" s="56">
        <f t="shared" si="118"/>
        <v>37400</v>
      </c>
      <c r="M120" s="56">
        <f t="shared" si="118"/>
        <v>40700</v>
      </c>
      <c r="N120" s="56">
        <f t="shared" si="118"/>
        <v>46200</v>
      </c>
      <c r="O120" s="56">
        <f t="shared" si="118"/>
        <v>31900</v>
      </c>
    </row>
    <row r="121" spans="1:15" x14ac:dyDescent="0.3">
      <c r="A121" s="3">
        <f t="shared" si="94"/>
        <v>1363</v>
      </c>
      <c r="B121" s="4" t="str">
        <f>_xlfn.XLOOKUP(A121,'Base Grupo de Produtos'!H:H,'Base Grupo de Produtos'!I:I)</f>
        <v>VENDA INTERNA PR</v>
      </c>
      <c r="C121" s="56">
        <f t="shared" ref="C121:O121" si="119">C80*C$47</f>
        <v>0</v>
      </c>
      <c r="D121" s="56">
        <f t="shared" si="119"/>
        <v>0</v>
      </c>
      <c r="E121" s="56">
        <f t="shared" si="119"/>
        <v>0</v>
      </c>
      <c r="F121" s="56">
        <f t="shared" si="119"/>
        <v>0</v>
      </c>
      <c r="G121" s="56">
        <f t="shared" si="119"/>
        <v>16000</v>
      </c>
      <c r="H121" s="56">
        <f t="shared" si="119"/>
        <v>20000</v>
      </c>
      <c r="I121" s="56">
        <f t="shared" si="119"/>
        <v>25000</v>
      </c>
      <c r="J121" s="56">
        <f t="shared" si="119"/>
        <v>30000</v>
      </c>
      <c r="K121" s="56">
        <f t="shared" si="119"/>
        <v>37400</v>
      </c>
      <c r="L121" s="56">
        <f t="shared" si="119"/>
        <v>47300</v>
      </c>
      <c r="M121" s="56">
        <f t="shared" si="119"/>
        <v>51700</v>
      </c>
      <c r="N121" s="56">
        <f t="shared" si="119"/>
        <v>58300</v>
      </c>
      <c r="O121" s="56">
        <f t="shared" si="119"/>
        <v>39600</v>
      </c>
    </row>
    <row r="122" spans="1:15" x14ac:dyDescent="0.3">
      <c r="A122" s="3">
        <f t="shared" si="94"/>
        <v>1364</v>
      </c>
      <c r="B122" s="4" t="str">
        <f>_xlfn.XLOOKUP(A122,'Base Grupo de Produtos'!H:H,'Base Grupo de Produtos'!I:I)</f>
        <v>VENDA INTERNA SC</v>
      </c>
      <c r="C122" s="56">
        <f t="shared" ref="C122:O122" si="120">C81*C$47</f>
        <v>0</v>
      </c>
      <c r="D122" s="56">
        <f t="shared" si="120"/>
        <v>0</v>
      </c>
      <c r="E122" s="56">
        <f t="shared" si="120"/>
        <v>0</v>
      </c>
      <c r="F122" s="56">
        <f t="shared" si="120"/>
        <v>0</v>
      </c>
      <c r="G122" s="56">
        <f t="shared" si="120"/>
        <v>29000</v>
      </c>
      <c r="H122" s="56">
        <f t="shared" si="120"/>
        <v>35000</v>
      </c>
      <c r="I122" s="56">
        <f t="shared" si="120"/>
        <v>44000</v>
      </c>
      <c r="J122" s="56">
        <f t="shared" si="120"/>
        <v>53000</v>
      </c>
      <c r="K122" s="56">
        <f t="shared" si="120"/>
        <v>66000</v>
      </c>
      <c r="L122" s="56">
        <f t="shared" si="120"/>
        <v>83600</v>
      </c>
      <c r="M122" s="56">
        <f t="shared" si="120"/>
        <v>91300</v>
      </c>
      <c r="N122" s="56">
        <f t="shared" si="120"/>
        <v>102300</v>
      </c>
      <c r="O122" s="56">
        <f t="shared" si="120"/>
        <v>69300</v>
      </c>
    </row>
    <row r="123" spans="1:15" x14ac:dyDescent="0.3">
      <c r="A123" s="3">
        <f t="shared" si="94"/>
        <v>1425</v>
      </c>
      <c r="B123" s="4" t="str">
        <f>_xlfn.XLOOKUP(A123,'Base Grupo de Produtos'!H:H,'Base Grupo de Produtos'!I:I)</f>
        <v>VENDA INTERNA - DIVINA TERRA</v>
      </c>
      <c r="C123" s="56">
        <f t="shared" ref="C123:O123" si="121">C82*C$47</f>
        <v>0</v>
      </c>
      <c r="D123" s="56">
        <f t="shared" si="121"/>
        <v>0</v>
      </c>
      <c r="E123" s="56">
        <f t="shared" si="121"/>
        <v>0</v>
      </c>
      <c r="F123" s="56">
        <f t="shared" si="121"/>
        <v>0</v>
      </c>
      <c r="G123" s="56">
        <f t="shared" si="121"/>
        <v>4000</v>
      </c>
      <c r="H123" s="56">
        <f t="shared" si="121"/>
        <v>4000</v>
      </c>
      <c r="I123" s="56">
        <f t="shared" si="121"/>
        <v>5000</v>
      </c>
      <c r="J123" s="56">
        <f t="shared" si="121"/>
        <v>6000</v>
      </c>
      <c r="K123" s="56">
        <f t="shared" si="121"/>
        <v>7700</v>
      </c>
      <c r="L123" s="56">
        <f t="shared" si="121"/>
        <v>9900</v>
      </c>
      <c r="M123" s="56">
        <f t="shared" si="121"/>
        <v>9900</v>
      </c>
      <c r="N123" s="56">
        <f t="shared" si="121"/>
        <v>12100</v>
      </c>
      <c r="O123" s="56">
        <f t="shared" si="121"/>
        <v>7700</v>
      </c>
    </row>
    <row r="124" spans="1:15" x14ac:dyDescent="0.3">
      <c r="A124" s="3">
        <f t="shared" si="94"/>
        <v>1427</v>
      </c>
      <c r="B124" s="4" t="str">
        <f>_xlfn.XLOOKUP(A124,'Base Grupo de Produtos'!H:H,'Base Grupo de Produtos'!I:I)</f>
        <v>VENDA INTERNA - FITLAND</v>
      </c>
      <c r="C124" s="56">
        <f t="shared" ref="C124:O124" si="122">C83*C$47</f>
        <v>0</v>
      </c>
      <c r="D124" s="56">
        <f t="shared" si="122"/>
        <v>0</v>
      </c>
      <c r="E124" s="56">
        <f t="shared" si="122"/>
        <v>0</v>
      </c>
      <c r="F124" s="56">
        <f t="shared" si="122"/>
        <v>0</v>
      </c>
      <c r="G124" s="56">
        <f t="shared" si="122"/>
        <v>5000</v>
      </c>
      <c r="H124" s="56">
        <f t="shared" si="122"/>
        <v>6000</v>
      </c>
      <c r="I124" s="56">
        <f t="shared" si="122"/>
        <v>7000</v>
      </c>
      <c r="J124" s="56">
        <f t="shared" si="122"/>
        <v>9000</v>
      </c>
      <c r="K124" s="56">
        <f t="shared" si="122"/>
        <v>11000</v>
      </c>
      <c r="L124" s="56">
        <f t="shared" si="122"/>
        <v>13200</v>
      </c>
      <c r="M124" s="56">
        <f t="shared" si="122"/>
        <v>14300</v>
      </c>
      <c r="N124" s="56">
        <f t="shared" si="122"/>
        <v>16500</v>
      </c>
      <c r="O124" s="56">
        <f t="shared" si="122"/>
        <v>11000</v>
      </c>
    </row>
    <row r="125" spans="1:15" x14ac:dyDescent="0.3">
      <c r="A125" s="3">
        <f t="shared" si="94"/>
        <v>1428</v>
      </c>
      <c r="B125" s="4" t="str">
        <f>_xlfn.XLOOKUP(A125,'Base Grupo de Produtos'!H:H,'Base Grupo de Produtos'!I:I)</f>
        <v>VENDA INTERNA - JARDIM DAS ERVAS</v>
      </c>
      <c r="C125" s="56">
        <f t="shared" ref="C125:O125" si="123">C84*C$47</f>
        <v>0</v>
      </c>
      <c r="D125" s="56">
        <f t="shared" si="123"/>
        <v>0</v>
      </c>
      <c r="E125" s="56">
        <f t="shared" si="123"/>
        <v>0</v>
      </c>
      <c r="F125" s="56">
        <f t="shared" si="123"/>
        <v>0</v>
      </c>
      <c r="G125" s="56">
        <f t="shared" si="123"/>
        <v>1000</v>
      </c>
      <c r="H125" s="56">
        <f t="shared" si="123"/>
        <v>1000</v>
      </c>
      <c r="I125" s="56">
        <f t="shared" si="123"/>
        <v>1000</v>
      </c>
      <c r="J125" s="56">
        <f t="shared" si="123"/>
        <v>1000</v>
      </c>
      <c r="K125" s="56">
        <f t="shared" si="123"/>
        <v>1100</v>
      </c>
      <c r="L125" s="56">
        <f t="shared" si="123"/>
        <v>1100</v>
      </c>
      <c r="M125" s="56">
        <f t="shared" si="123"/>
        <v>1100</v>
      </c>
      <c r="N125" s="56">
        <f t="shared" si="123"/>
        <v>2200</v>
      </c>
      <c r="O125" s="56">
        <f t="shared" si="123"/>
        <v>1100</v>
      </c>
    </row>
    <row r="126" spans="1:15" x14ac:dyDescent="0.3">
      <c r="A126" s="3">
        <f t="shared" si="94"/>
        <v>1429</v>
      </c>
      <c r="B126" s="4" t="str">
        <f>_xlfn.XLOOKUP(A126,'Base Grupo de Produtos'!H:H,'Base Grupo de Produtos'!I:I)</f>
        <v>VANDA INTERNA - VIDA LEVE</v>
      </c>
      <c r="C126" s="56">
        <f t="shared" ref="C126:O126" si="124">C85*C$47</f>
        <v>0</v>
      </c>
      <c r="D126" s="56">
        <f t="shared" si="124"/>
        <v>0</v>
      </c>
      <c r="E126" s="56">
        <f t="shared" si="124"/>
        <v>0</v>
      </c>
      <c r="F126" s="56">
        <f t="shared" si="124"/>
        <v>0</v>
      </c>
      <c r="G126" s="56">
        <f t="shared" si="124"/>
        <v>1000</v>
      </c>
      <c r="H126" s="56">
        <f t="shared" si="124"/>
        <v>1000</v>
      </c>
      <c r="I126" s="56">
        <f t="shared" si="124"/>
        <v>2000</v>
      </c>
      <c r="J126" s="56">
        <f t="shared" si="124"/>
        <v>2000</v>
      </c>
      <c r="K126" s="56">
        <f t="shared" si="124"/>
        <v>2200</v>
      </c>
      <c r="L126" s="56">
        <f t="shared" si="124"/>
        <v>3300</v>
      </c>
      <c r="M126" s="56">
        <f t="shared" si="124"/>
        <v>3300</v>
      </c>
      <c r="N126" s="56">
        <f t="shared" si="124"/>
        <v>3300</v>
      </c>
      <c r="O126" s="56">
        <f t="shared" si="124"/>
        <v>2200</v>
      </c>
    </row>
    <row r="127" spans="1:15" x14ac:dyDescent="0.3">
      <c r="A127" s="3">
        <f t="shared" si="94"/>
        <v>1430</v>
      </c>
      <c r="B127" s="4" t="str">
        <f>_xlfn.XLOOKUP(A127,'Base Grupo de Produtos'!H:H,'Base Grupo de Produtos'!I:I)</f>
        <v>VENDA INTERNA - BIO MUNDO</v>
      </c>
      <c r="C127" s="56">
        <f t="shared" ref="C127:O127" si="125">C86*C$47</f>
        <v>0</v>
      </c>
      <c r="D127" s="56">
        <f t="shared" si="125"/>
        <v>0</v>
      </c>
      <c r="E127" s="56">
        <f t="shared" si="125"/>
        <v>0</v>
      </c>
      <c r="F127" s="56">
        <f t="shared" si="125"/>
        <v>0</v>
      </c>
      <c r="G127" s="56">
        <f t="shared" si="125"/>
        <v>2000</v>
      </c>
      <c r="H127" s="56">
        <f t="shared" si="125"/>
        <v>2000</v>
      </c>
      <c r="I127" s="56">
        <f t="shared" si="125"/>
        <v>2000</v>
      </c>
      <c r="J127" s="56">
        <f t="shared" si="125"/>
        <v>3000</v>
      </c>
      <c r="K127" s="56">
        <f t="shared" si="125"/>
        <v>3300</v>
      </c>
      <c r="L127" s="56">
        <f t="shared" si="125"/>
        <v>4400</v>
      </c>
      <c r="M127" s="56">
        <f t="shared" si="125"/>
        <v>4400</v>
      </c>
      <c r="N127" s="56">
        <f t="shared" si="125"/>
        <v>5500</v>
      </c>
      <c r="O127" s="56">
        <f t="shared" si="125"/>
        <v>3300</v>
      </c>
    </row>
    <row r="128" spans="1:15" x14ac:dyDescent="0.3">
      <c r="A128" s="3">
        <f t="shared" si="94"/>
        <v>1431</v>
      </c>
      <c r="B128" s="4" t="str">
        <f>_xlfn.XLOOKUP(A128,'Base Grupo de Produtos'!H:H,'Base Grupo de Produtos'!I:I)</f>
        <v>VENDA INTERNA - ARMAZEM FIT STORE</v>
      </c>
      <c r="C128" s="56">
        <f t="shared" ref="C128:O128" si="126">C87*C$47</f>
        <v>0</v>
      </c>
      <c r="D128" s="56">
        <f t="shared" si="126"/>
        <v>0</v>
      </c>
      <c r="E128" s="56">
        <f t="shared" si="126"/>
        <v>0</v>
      </c>
      <c r="F128" s="56">
        <f t="shared" si="126"/>
        <v>0</v>
      </c>
      <c r="G128" s="56">
        <f t="shared" si="126"/>
        <v>1000</v>
      </c>
      <c r="H128" s="56">
        <f t="shared" si="126"/>
        <v>1000</v>
      </c>
      <c r="I128" s="56">
        <f t="shared" si="126"/>
        <v>1000</v>
      </c>
      <c r="J128" s="56">
        <f t="shared" si="126"/>
        <v>1000</v>
      </c>
      <c r="K128" s="56">
        <f t="shared" si="126"/>
        <v>2200</v>
      </c>
      <c r="L128" s="56">
        <f t="shared" si="126"/>
        <v>2200</v>
      </c>
      <c r="M128" s="56">
        <f t="shared" si="126"/>
        <v>2200</v>
      </c>
      <c r="N128" s="56">
        <f t="shared" si="126"/>
        <v>2200</v>
      </c>
      <c r="O128" s="56">
        <f t="shared" si="126"/>
        <v>2200</v>
      </c>
    </row>
    <row r="129" spans="1:15" x14ac:dyDescent="0.3">
      <c r="A129" s="3">
        <f t="shared" si="94"/>
        <v>1432</v>
      </c>
      <c r="B129" s="4" t="str">
        <f>_xlfn.XLOOKUP(A129,'Base Grupo de Produtos'!H:H,'Base Grupo de Produtos'!I:I)</f>
        <v>VENDA INTERNA - CIA DA SAUDE</v>
      </c>
      <c r="C129" s="56">
        <f t="shared" ref="C129:O129" si="127">C88*C$47</f>
        <v>0</v>
      </c>
      <c r="D129" s="56">
        <f t="shared" si="127"/>
        <v>0</v>
      </c>
      <c r="E129" s="56">
        <f t="shared" si="127"/>
        <v>0</v>
      </c>
      <c r="F129" s="56">
        <f t="shared" si="127"/>
        <v>0</v>
      </c>
      <c r="G129" s="56">
        <f t="shared" si="127"/>
        <v>8000</v>
      </c>
      <c r="H129" s="56">
        <f t="shared" si="127"/>
        <v>9000</v>
      </c>
      <c r="I129" s="56">
        <f t="shared" si="127"/>
        <v>11000</v>
      </c>
      <c r="J129" s="56">
        <f t="shared" si="127"/>
        <v>14000</v>
      </c>
      <c r="K129" s="56">
        <f t="shared" si="127"/>
        <v>17600</v>
      </c>
      <c r="L129" s="56">
        <f t="shared" si="127"/>
        <v>22000</v>
      </c>
      <c r="M129" s="56">
        <f t="shared" si="127"/>
        <v>23100</v>
      </c>
      <c r="N129" s="56">
        <f t="shared" si="127"/>
        <v>26400</v>
      </c>
      <c r="O129" s="56">
        <f t="shared" si="127"/>
        <v>17600</v>
      </c>
    </row>
    <row r="130" spans="1:15" x14ac:dyDescent="0.3">
      <c r="A130" s="3">
        <f t="shared" si="94"/>
        <v>1433</v>
      </c>
      <c r="B130" s="4" t="str">
        <f>_xlfn.XLOOKUP(A130,'Base Grupo de Produtos'!H:H,'Base Grupo de Produtos'!I:I)</f>
        <v>VENDA INTERNA - MUNDO VERDE</v>
      </c>
      <c r="C130" s="56">
        <f t="shared" ref="C130:O130" si="128">C89*C$47</f>
        <v>0</v>
      </c>
      <c r="D130" s="56">
        <f t="shared" si="128"/>
        <v>0</v>
      </c>
      <c r="E130" s="56">
        <f t="shared" si="128"/>
        <v>0</v>
      </c>
      <c r="F130" s="56">
        <f t="shared" si="128"/>
        <v>0</v>
      </c>
      <c r="G130" s="56">
        <f t="shared" si="128"/>
        <v>1000</v>
      </c>
      <c r="H130" s="56">
        <f t="shared" si="128"/>
        <v>1000</v>
      </c>
      <c r="I130" s="56">
        <f t="shared" si="128"/>
        <v>1000</v>
      </c>
      <c r="J130" s="56">
        <f t="shared" si="128"/>
        <v>1000</v>
      </c>
      <c r="K130" s="56">
        <f t="shared" si="128"/>
        <v>2200</v>
      </c>
      <c r="L130" s="56">
        <f t="shared" si="128"/>
        <v>2200</v>
      </c>
      <c r="M130" s="56">
        <f t="shared" si="128"/>
        <v>2200</v>
      </c>
      <c r="N130" s="56">
        <f t="shared" si="128"/>
        <v>2200</v>
      </c>
      <c r="O130" s="56">
        <f t="shared" si="128"/>
        <v>2200</v>
      </c>
    </row>
    <row r="131" spans="1:15" x14ac:dyDescent="0.3">
      <c r="A131" s="3">
        <f t="shared" si="94"/>
        <v>1438</v>
      </c>
      <c r="B131" s="4" t="str">
        <f>_xlfn.XLOOKUP(A131,'Base Grupo de Produtos'!H:H,'Base Grupo de Produtos'!I:I)</f>
        <v>VENDA INTERNA - MAIS NATURAL</v>
      </c>
      <c r="C131" s="56">
        <f t="shared" ref="C131:O131" si="129">C90*C$47</f>
        <v>0</v>
      </c>
      <c r="D131" s="56">
        <f t="shared" si="129"/>
        <v>0</v>
      </c>
      <c r="E131" s="56">
        <f t="shared" si="129"/>
        <v>0</v>
      </c>
      <c r="F131" s="56">
        <f t="shared" si="129"/>
        <v>0</v>
      </c>
      <c r="G131" s="56">
        <f t="shared" si="129"/>
        <v>1000</v>
      </c>
      <c r="H131" s="56">
        <f t="shared" si="129"/>
        <v>1000</v>
      </c>
      <c r="I131" s="56">
        <f t="shared" si="129"/>
        <v>1000</v>
      </c>
      <c r="J131" s="56">
        <f t="shared" si="129"/>
        <v>1000</v>
      </c>
      <c r="K131" s="56">
        <f t="shared" si="129"/>
        <v>2200</v>
      </c>
      <c r="L131" s="56">
        <f t="shared" si="129"/>
        <v>2200</v>
      </c>
      <c r="M131" s="56">
        <f t="shared" si="129"/>
        <v>2200</v>
      </c>
      <c r="N131" s="56">
        <f t="shared" si="129"/>
        <v>2200</v>
      </c>
      <c r="O131" s="56">
        <f t="shared" si="129"/>
        <v>2200</v>
      </c>
    </row>
    <row r="132" spans="1:15" x14ac:dyDescent="0.3">
      <c r="A132" s="3">
        <f t="shared" si="94"/>
        <v>1439</v>
      </c>
      <c r="B132" s="4" t="str">
        <f>_xlfn.XLOOKUP(A132,'Base Grupo de Produtos'!H:H,'Base Grupo de Produtos'!I:I)</f>
        <v>VENDA INTERNA - TUDO EM GRAOS</v>
      </c>
      <c r="C132" s="56">
        <f t="shared" ref="C132:O133" si="130">C91*C$47</f>
        <v>0</v>
      </c>
      <c r="D132" s="56">
        <f t="shared" si="130"/>
        <v>0</v>
      </c>
      <c r="E132" s="56">
        <f t="shared" si="130"/>
        <v>0</v>
      </c>
      <c r="F132" s="56">
        <f t="shared" si="130"/>
        <v>0</v>
      </c>
      <c r="G132" s="56">
        <f t="shared" si="130"/>
        <v>1000</v>
      </c>
      <c r="H132" s="56">
        <f t="shared" si="130"/>
        <v>1000</v>
      </c>
      <c r="I132" s="56">
        <f t="shared" si="130"/>
        <v>1000</v>
      </c>
      <c r="J132" s="56">
        <f t="shared" si="130"/>
        <v>1000</v>
      </c>
      <c r="K132" s="56">
        <f t="shared" si="130"/>
        <v>2200</v>
      </c>
      <c r="L132" s="56">
        <f t="shared" si="130"/>
        <v>2200</v>
      </c>
      <c r="M132" s="56">
        <f t="shared" si="130"/>
        <v>2200</v>
      </c>
      <c r="N132" s="56">
        <f t="shared" si="130"/>
        <v>2200</v>
      </c>
      <c r="O132" s="56">
        <f t="shared" si="130"/>
        <v>2200</v>
      </c>
    </row>
    <row r="133" spans="1:15" x14ac:dyDescent="0.3">
      <c r="A133" s="3">
        <v>1533</v>
      </c>
      <c r="B133" s="4" t="s">
        <v>369</v>
      </c>
      <c r="C133" s="56">
        <f t="shared" si="130"/>
        <v>0</v>
      </c>
      <c r="D133" s="56">
        <f t="shared" si="130"/>
        <v>0</v>
      </c>
      <c r="E133" s="56">
        <f t="shared" si="130"/>
        <v>0</v>
      </c>
      <c r="F133" s="56">
        <f t="shared" si="130"/>
        <v>0</v>
      </c>
      <c r="G133" s="56">
        <f t="shared" si="130"/>
        <v>1000</v>
      </c>
      <c r="H133" s="56">
        <f t="shared" si="130"/>
        <v>1000</v>
      </c>
      <c r="I133" s="56">
        <f t="shared" si="130"/>
        <v>1000</v>
      </c>
      <c r="J133" s="56">
        <f t="shared" si="130"/>
        <v>1000</v>
      </c>
      <c r="K133" s="56">
        <f t="shared" si="130"/>
        <v>1100</v>
      </c>
      <c r="L133" s="56">
        <f t="shared" si="130"/>
        <v>1100</v>
      </c>
      <c r="M133" s="56">
        <f t="shared" si="130"/>
        <v>1100</v>
      </c>
      <c r="N133" s="56">
        <f t="shared" si="130"/>
        <v>1100</v>
      </c>
      <c r="O133" s="56">
        <f t="shared" si="130"/>
        <v>1100</v>
      </c>
    </row>
    <row r="134" spans="1:15" x14ac:dyDescent="0.3">
      <c r="A134" s="3">
        <f t="shared" ref="A134" si="131">A39</f>
        <v>1442</v>
      </c>
      <c r="B134" s="4" t="str">
        <f>_xlfn.XLOOKUP(A134,'Base Grupo de Produtos'!H:H,'Base Grupo de Produtos'!I:I)</f>
        <v>VENDA INTERNA AL</v>
      </c>
      <c r="C134" s="56">
        <f t="shared" ref="C134:O134" si="132">C93*C$47</f>
        <v>0</v>
      </c>
      <c r="D134" s="56">
        <f t="shared" si="132"/>
        <v>0</v>
      </c>
      <c r="E134" s="56">
        <f t="shared" si="132"/>
        <v>0</v>
      </c>
      <c r="F134" s="56">
        <f t="shared" si="132"/>
        <v>0</v>
      </c>
      <c r="G134" s="56">
        <f t="shared" si="132"/>
        <v>1000</v>
      </c>
      <c r="H134" s="56">
        <f t="shared" si="132"/>
        <v>1000</v>
      </c>
      <c r="I134" s="56">
        <f t="shared" si="132"/>
        <v>2000</v>
      </c>
      <c r="J134" s="56">
        <f t="shared" si="132"/>
        <v>2000</v>
      </c>
      <c r="K134" s="56">
        <f t="shared" si="132"/>
        <v>2200</v>
      </c>
      <c r="L134" s="56">
        <f t="shared" si="132"/>
        <v>3300</v>
      </c>
      <c r="M134" s="56">
        <f t="shared" si="132"/>
        <v>3300</v>
      </c>
      <c r="N134" s="56">
        <f t="shared" si="132"/>
        <v>3300</v>
      </c>
      <c r="O134" s="56">
        <f t="shared" si="132"/>
        <v>2200</v>
      </c>
    </row>
    <row r="135" spans="1:15" x14ac:dyDescent="0.3">
      <c r="A135" s="95" t="s">
        <v>221</v>
      </c>
      <c r="B135" s="96"/>
      <c r="C135" s="57">
        <f t="shared" ref="C135" si="133">SUM(C97:C134)</f>
        <v>0</v>
      </c>
      <c r="D135" s="57">
        <f t="shared" ref="D135" si="134">SUM(D97:D134)</f>
        <v>0</v>
      </c>
      <c r="E135" s="57">
        <f t="shared" ref="E135" si="135">SUM(E97:E134)</f>
        <v>0</v>
      </c>
      <c r="F135" s="57">
        <f t="shared" ref="F135" si="136">SUM(F97:F134)</f>
        <v>0</v>
      </c>
      <c r="G135" s="57">
        <f>SUM(G97:G134)</f>
        <v>159000</v>
      </c>
      <c r="H135" s="57">
        <f t="shared" ref="H135" si="137">SUM(H97:H134)</f>
        <v>185000</v>
      </c>
      <c r="I135" s="57">
        <f t="shared" ref="I135" si="138">SUM(I97:I134)</f>
        <v>231000</v>
      </c>
      <c r="J135" s="57">
        <f t="shared" ref="J135" si="139">SUM(J97:J134)</f>
        <v>276000</v>
      </c>
      <c r="K135" s="57">
        <f t="shared" ref="K135" si="140">SUM(K97:K134)</f>
        <v>339900</v>
      </c>
      <c r="L135" s="57">
        <f t="shared" ref="L135" si="141">SUM(L97:L134)</f>
        <v>426800</v>
      </c>
      <c r="M135" s="57">
        <f t="shared" ref="M135" si="142">SUM(M97:M134)</f>
        <v>463100</v>
      </c>
      <c r="N135" s="57">
        <f t="shared" ref="N135" si="143">SUM(N97:N134)</f>
        <v>521400</v>
      </c>
      <c r="O135" s="57">
        <f t="shared" ref="O135" si="144">SUM(O97:O134)</f>
        <v>356400</v>
      </c>
    </row>
  </sheetData>
  <autoFilter ref="A55:O94" xr:uid="{E583C42A-9516-449D-AB71-15C0EFAD6710}"/>
  <mergeCells count="12">
    <mergeCell ref="A94:B94"/>
    <mergeCell ref="A135:B135"/>
    <mergeCell ref="A47:B47"/>
    <mergeCell ref="A48:B48"/>
    <mergeCell ref="A49:B49"/>
    <mergeCell ref="A44:B44"/>
    <mergeCell ref="A45:B45"/>
    <mergeCell ref="A46:B46"/>
    <mergeCell ref="A40:B40"/>
    <mergeCell ref="A41:B41"/>
    <mergeCell ref="A42:B42"/>
    <mergeCell ref="A43:B43"/>
  </mergeCells>
  <phoneticPr fontId="7" type="noConversion"/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CACC7-9546-4958-8B0B-F1D8C04A149A}">
  <dimension ref="A1:J1189"/>
  <sheetViews>
    <sheetView showGridLines="0" topLeftCell="A1147" zoomScale="85" zoomScaleNormal="85" workbookViewId="0">
      <selection activeCell="A1154" sqref="A1154:B1154"/>
    </sheetView>
  </sheetViews>
  <sheetFormatPr defaultRowHeight="14.4" x14ac:dyDescent="0.3"/>
  <cols>
    <col min="1" max="1" width="12.6640625" customWidth="1"/>
    <col min="2" max="2" width="34.33203125" bestFit="1" customWidth="1"/>
    <col min="3" max="3" width="48.6640625" bestFit="1" customWidth="1"/>
    <col min="5" max="5" width="25.5546875" bestFit="1" customWidth="1"/>
    <col min="9" max="9" width="30" bestFit="1" customWidth="1"/>
    <col min="10" max="10" width="44.109375" bestFit="1" customWidth="1"/>
  </cols>
  <sheetData>
    <row r="1" spans="1:10" x14ac:dyDescent="0.3">
      <c r="A1" s="22" t="s">
        <v>55</v>
      </c>
      <c r="B1" s="22" t="s">
        <v>61</v>
      </c>
      <c r="C1" s="22" t="s">
        <v>62</v>
      </c>
      <c r="E1" s="95" t="s">
        <v>222</v>
      </c>
      <c r="F1" s="96"/>
      <c r="H1" s="22" t="s">
        <v>55</v>
      </c>
      <c r="I1" s="22" t="s">
        <v>61</v>
      </c>
      <c r="J1" s="22" t="s">
        <v>187</v>
      </c>
    </row>
    <row r="2" spans="1:10" x14ac:dyDescent="0.3">
      <c r="A2" s="3">
        <v>1324</v>
      </c>
      <c r="B2" s="4" t="s">
        <v>224</v>
      </c>
      <c r="C2" s="4" t="str">
        <f>1&amp;". TOTAL - "&amp;B2</f>
        <v>1. TOTAL - VENDA INTERNA AP</v>
      </c>
      <c r="E2" s="15" t="s">
        <v>81</v>
      </c>
      <c r="F2" s="59">
        <v>0.05</v>
      </c>
      <c r="H2" s="3">
        <v>1324</v>
      </c>
      <c r="I2" s="4" t="s">
        <v>224</v>
      </c>
      <c r="J2" s="4" t="str">
        <f t="shared" ref="J2:J37" si="0">1&amp;". TOTAL - "&amp;I2</f>
        <v>1. TOTAL - VENDA INTERNA AP</v>
      </c>
    </row>
    <row r="3" spans="1:10" x14ac:dyDescent="0.3">
      <c r="A3" s="3">
        <v>1324</v>
      </c>
      <c r="B3" s="4" t="s">
        <v>224</v>
      </c>
      <c r="C3" s="15" t="s">
        <v>81</v>
      </c>
      <c r="E3" s="15" t="s">
        <v>82</v>
      </c>
      <c r="F3" s="59">
        <v>0.05</v>
      </c>
      <c r="H3" s="3">
        <v>1325</v>
      </c>
      <c r="I3" s="4" t="s">
        <v>225</v>
      </c>
      <c r="J3" s="4" t="str">
        <f t="shared" si="0"/>
        <v>1. TOTAL - VENDA INTERNA RN</v>
      </c>
    </row>
    <row r="4" spans="1:10" x14ac:dyDescent="0.3">
      <c r="A4" s="3">
        <v>1324</v>
      </c>
      <c r="B4" s="4" t="s">
        <v>224</v>
      </c>
      <c r="C4" s="15" t="s">
        <v>82</v>
      </c>
      <c r="E4" s="15" t="s">
        <v>84</v>
      </c>
      <c r="F4" s="59">
        <v>0.08</v>
      </c>
      <c r="H4" s="3">
        <v>1326</v>
      </c>
      <c r="I4" s="4" t="s">
        <v>226</v>
      </c>
      <c r="J4" s="4" t="str">
        <f t="shared" si="0"/>
        <v>1. TOTAL - VENDA INTERNA CE</v>
      </c>
    </row>
    <row r="5" spans="1:10" x14ac:dyDescent="0.3">
      <c r="A5" s="3">
        <v>1324</v>
      </c>
      <c r="B5" s="4" t="s">
        <v>224</v>
      </c>
      <c r="C5" s="15" t="s">
        <v>84</v>
      </c>
      <c r="E5" s="15" t="s">
        <v>83</v>
      </c>
      <c r="F5" s="59">
        <v>0.1</v>
      </c>
      <c r="H5" s="3">
        <v>1327</v>
      </c>
      <c r="I5" s="4" t="s">
        <v>227</v>
      </c>
      <c r="J5" s="4" t="str">
        <f t="shared" si="0"/>
        <v>1. TOTAL - VENDA INTERNA PI</v>
      </c>
    </row>
    <row r="6" spans="1:10" x14ac:dyDescent="0.3">
      <c r="A6" s="3">
        <v>1324</v>
      </c>
      <c r="B6" s="4" t="s">
        <v>224</v>
      </c>
      <c r="C6" s="15" t="s">
        <v>83</v>
      </c>
      <c r="E6" s="15" t="s">
        <v>87</v>
      </c>
      <c r="F6" s="59">
        <v>1.9999999999999997E-2</v>
      </c>
      <c r="H6" s="3">
        <v>1328</v>
      </c>
      <c r="I6" s="4" t="s">
        <v>228</v>
      </c>
      <c r="J6" s="4" t="str">
        <f t="shared" si="0"/>
        <v>1. TOTAL - VENDA INTERNA PE</v>
      </c>
    </row>
    <row r="7" spans="1:10" x14ac:dyDescent="0.3">
      <c r="A7" s="3">
        <v>1324</v>
      </c>
      <c r="B7" s="4" t="s">
        <v>224</v>
      </c>
      <c r="C7" s="15" t="s">
        <v>87</v>
      </c>
      <c r="E7" s="15" t="s">
        <v>85</v>
      </c>
      <c r="F7" s="59">
        <v>0.02</v>
      </c>
      <c r="H7" s="3">
        <v>1329</v>
      </c>
      <c r="I7" s="4" t="s">
        <v>229</v>
      </c>
      <c r="J7" s="4" t="str">
        <f t="shared" si="0"/>
        <v>1. TOTAL - VENDA INTERNA PB</v>
      </c>
    </row>
    <row r="8" spans="1:10" x14ac:dyDescent="0.3">
      <c r="A8" s="3">
        <v>1324</v>
      </c>
      <c r="B8" s="4" t="s">
        <v>224</v>
      </c>
      <c r="C8" s="15" t="s">
        <v>85</v>
      </c>
      <c r="E8" s="15" t="s">
        <v>92</v>
      </c>
      <c r="F8" s="59">
        <v>0.02</v>
      </c>
      <c r="H8" s="3">
        <v>1330</v>
      </c>
      <c r="I8" s="4" t="s">
        <v>230</v>
      </c>
      <c r="J8" s="4" t="str">
        <f t="shared" si="0"/>
        <v>1. TOTAL - VENDA INTERNA SE</v>
      </c>
    </row>
    <row r="9" spans="1:10" x14ac:dyDescent="0.3">
      <c r="A9" s="3">
        <v>1324</v>
      </c>
      <c r="B9" s="4" t="s">
        <v>224</v>
      </c>
      <c r="C9" s="15" t="s">
        <v>92</v>
      </c>
      <c r="E9" s="15" t="s">
        <v>86</v>
      </c>
      <c r="F9" s="59">
        <v>0.03</v>
      </c>
      <c r="H9" s="3">
        <v>1331</v>
      </c>
      <c r="I9" s="4" t="s">
        <v>231</v>
      </c>
      <c r="J9" s="4" t="str">
        <f t="shared" si="0"/>
        <v>1. TOTAL - VENDA INTERNA BA</v>
      </c>
    </row>
    <row r="10" spans="1:10" x14ac:dyDescent="0.3">
      <c r="A10" s="3">
        <v>1324</v>
      </c>
      <c r="B10" s="4" t="s">
        <v>224</v>
      </c>
      <c r="C10" s="15" t="s">
        <v>86</v>
      </c>
      <c r="E10" s="15" t="s">
        <v>108</v>
      </c>
      <c r="F10" s="59">
        <v>0.25</v>
      </c>
      <c r="H10" s="3">
        <v>1332</v>
      </c>
      <c r="I10" s="4" t="s">
        <v>232</v>
      </c>
      <c r="J10" s="4" t="str">
        <f t="shared" si="0"/>
        <v>1. TOTAL - VENDA INTERNA MA</v>
      </c>
    </row>
    <row r="11" spans="1:10" x14ac:dyDescent="0.3">
      <c r="A11" s="3">
        <v>1324</v>
      </c>
      <c r="B11" s="4" t="s">
        <v>224</v>
      </c>
      <c r="C11" s="15" t="s">
        <v>108</v>
      </c>
      <c r="E11" s="15" t="s">
        <v>89</v>
      </c>
      <c r="F11" s="59">
        <v>0.05</v>
      </c>
      <c r="H11" s="3">
        <v>1346</v>
      </c>
      <c r="I11" s="4" t="s">
        <v>233</v>
      </c>
      <c r="J11" s="4" t="str">
        <f t="shared" si="0"/>
        <v>1. TOTAL - VENDA INTERNA TO</v>
      </c>
    </row>
    <row r="12" spans="1:10" x14ac:dyDescent="0.3">
      <c r="A12" s="3">
        <v>1324</v>
      </c>
      <c r="B12" s="4" t="s">
        <v>224</v>
      </c>
      <c r="C12" s="15" t="s">
        <v>89</v>
      </c>
      <c r="E12" s="15" t="s">
        <v>88</v>
      </c>
      <c r="F12" s="59">
        <v>0.05</v>
      </c>
      <c r="H12" s="3">
        <v>1347</v>
      </c>
      <c r="I12" s="4" t="s">
        <v>234</v>
      </c>
      <c r="J12" s="4" t="str">
        <f t="shared" si="0"/>
        <v>1. TOTAL - VENDA INTERNA RO</v>
      </c>
    </row>
    <row r="13" spans="1:10" x14ac:dyDescent="0.3">
      <c r="A13" s="3">
        <v>1324</v>
      </c>
      <c r="B13" s="4" t="s">
        <v>224</v>
      </c>
      <c r="C13" s="15" t="s">
        <v>88</v>
      </c>
      <c r="E13" s="15" t="s">
        <v>90</v>
      </c>
      <c r="F13" s="59">
        <v>0.05</v>
      </c>
      <c r="H13" s="3">
        <v>1348</v>
      </c>
      <c r="I13" s="4" t="s">
        <v>235</v>
      </c>
      <c r="J13" s="4" t="str">
        <f t="shared" si="0"/>
        <v>1. TOTAL - VENDA INTERNA RR</v>
      </c>
    </row>
    <row r="14" spans="1:10" x14ac:dyDescent="0.3">
      <c r="A14" s="3">
        <v>1324</v>
      </c>
      <c r="B14" s="4" t="s">
        <v>224</v>
      </c>
      <c r="C14" s="15" t="s">
        <v>90</v>
      </c>
      <c r="E14" s="15" t="s">
        <v>91</v>
      </c>
      <c r="F14" s="59">
        <v>0</v>
      </c>
      <c r="H14" s="3">
        <v>1349</v>
      </c>
      <c r="I14" s="4" t="s">
        <v>236</v>
      </c>
      <c r="J14" s="4" t="str">
        <f t="shared" si="0"/>
        <v>1. TOTAL - VENDA INTERNA PA</v>
      </c>
    </row>
    <row r="15" spans="1:10" x14ac:dyDescent="0.3">
      <c r="A15" s="3">
        <v>1324</v>
      </c>
      <c r="B15" s="4" t="s">
        <v>224</v>
      </c>
      <c r="C15" s="15" t="s">
        <v>91</v>
      </c>
      <c r="E15" s="15" t="s">
        <v>96</v>
      </c>
      <c r="F15" s="59">
        <v>7.0000000000000007E-2</v>
      </c>
      <c r="H15" s="3">
        <v>1351</v>
      </c>
      <c r="I15" s="4" t="s">
        <v>237</v>
      </c>
      <c r="J15" s="4" t="str">
        <f t="shared" si="0"/>
        <v>1. TOTAL - VENDA INTERNA AM</v>
      </c>
    </row>
    <row r="16" spans="1:10" x14ac:dyDescent="0.3">
      <c r="A16" s="3">
        <v>1324</v>
      </c>
      <c r="B16" s="4" t="s">
        <v>224</v>
      </c>
      <c r="C16" s="15" t="s">
        <v>96</v>
      </c>
      <c r="E16" s="15" t="s">
        <v>94</v>
      </c>
      <c r="F16" s="59">
        <v>4.9999999999999996E-2</v>
      </c>
      <c r="H16" s="3">
        <v>1352</v>
      </c>
      <c r="I16" s="4" t="s">
        <v>238</v>
      </c>
      <c r="J16" s="4" t="str">
        <f t="shared" si="0"/>
        <v>1. TOTAL - VENDA INTERNA DF</v>
      </c>
    </row>
    <row r="17" spans="1:10" x14ac:dyDescent="0.3">
      <c r="A17" s="3">
        <v>1324</v>
      </c>
      <c r="B17" s="4" t="s">
        <v>224</v>
      </c>
      <c r="C17" s="15" t="s">
        <v>94</v>
      </c>
      <c r="E17" s="15" t="s">
        <v>95</v>
      </c>
      <c r="F17" s="59">
        <v>0.08</v>
      </c>
      <c r="H17" s="3">
        <v>1353</v>
      </c>
      <c r="I17" s="4" t="s">
        <v>239</v>
      </c>
      <c r="J17" s="4" t="str">
        <f t="shared" si="0"/>
        <v>1. TOTAL - VENDA INTERNA MS</v>
      </c>
    </row>
    <row r="18" spans="1:10" x14ac:dyDescent="0.3">
      <c r="A18" s="3">
        <v>1324</v>
      </c>
      <c r="B18" s="4" t="s">
        <v>224</v>
      </c>
      <c r="C18" s="15" t="s">
        <v>95</v>
      </c>
      <c r="E18" s="15" t="s">
        <v>93</v>
      </c>
      <c r="F18" s="59">
        <v>0.03</v>
      </c>
      <c r="H18" s="3">
        <v>1354</v>
      </c>
      <c r="I18" s="4" t="s">
        <v>240</v>
      </c>
      <c r="J18" s="4" t="str">
        <f t="shared" si="0"/>
        <v>1. TOTAL - VENDA INTERNA MT</v>
      </c>
    </row>
    <row r="19" spans="1:10" x14ac:dyDescent="0.3">
      <c r="A19" s="3">
        <v>1324</v>
      </c>
      <c r="B19" s="4" t="s">
        <v>224</v>
      </c>
      <c r="C19" s="15" t="s">
        <v>93</v>
      </c>
      <c r="E19" s="22" t="s">
        <v>199</v>
      </c>
      <c r="F19" s="60">
        <f>SUM(F2:F18)</f>
        <v>1.0000000000000002</v>
      </c>
      <c r="H19" s="3">
        <v>1356</v>
      </c>
      <c r="I19" s="4" t="s">
        <v>241</v>
      </c>
      <c r="J19" s="4" t="str">
        <f t="shared" si="0"/>
        <v>1. TOTAL - VENDA INTERNA GO</v>
      </c>
    </row>
    <row r="20" spans="1:10" x14ac:dyDescent="0.3">
      <c r="A20" s="3">
        <v>1325</v>
      </c>
      <c r="B20" s="4" t="s">
        <v>225</v>
      </c>
      <c r="C20" s="4" t="str">
        <f>1&amp;". TOTAL - "&amp;B20</f>
        <v>1. TOTAL - VENDA INTERNA RN</v>
      </c>
      <c r="H20" s="3">
        <v>1357</v>
      </c>
      <c r="I20" s="4" t="s">
        <v>242</v>
      </c>
      <c r="J20" s="4" t="str">
        <f t="shared" si="0"/>
        <v>1. TOTAL - VENDA INTERNA ES</v>
      </c>
    </row>
    <row r="21" spans="1:10" x14ac:dyDescent="0.3">
      <c r="A21" s="3">
        <v>1325</v>
      </c>
      <c r="B21" s="4" t="s">
        <v>225</v>
      </c>
      <c r="C21" s="15" t="s">
        <v>81</v>
      </c>
      <c r="H21" s="3">
        <v>1358</v>
      </c>
      <c r="I21" s="4" t="s">
        <v>243</v>
      </c>
      <c r="J21" s="4" t="str">
        <f t="shared" si="0"/>
        <v>1. TOTAL - VENDA INTERNA RJ</v>
      </c>
    </row>
    <row r="22" spans="1:10" x14ac:dyDescent="0.3">
      <c r="A22" s="3">
        <v>1325</v>
      </c>
      <c r="B22" s="4" t="s">
        <v>225</v>
      </c>
      <c r="C22" s="15" t="s">
        <v>82</v>
      </c>
      <c r="E22" s="95" t="s">
        <v>223</v>
      </c>
      <c r="F22" s="96"/>
      <c r="H22" s="3">
        <v>1359</v>
      </c>
      <c r="I22" s="4" t="s">
        <v>244</v>
      </c>
      <c r="J22" s="4" t="str">
        <f t="shared" si="0"/>
        <v>1. TOTAL - VENDA INTERNA MG</v>
      </c>
    </row>
    <row r="23" spans="1:10" x14ac:dyDescent="0.3">
      <c r="A23" s="3">
        <v>1325</v>
      </c>
      <c r="B23" s="4" t="s">
        <v>225</v>
      </c>
      <c r="C23" s="15" t="s">
        <v>84</v>
      </c>
      <c r="E23" s="15" t="s">
        <v>81</v>
      </c>
      <c r="F23" s="59">
        <v>0.1</v>
      </c>
      <c r="H23" s="3">
        <v>1360</v>
      </c>
      <c r="I23" s="4" t="s">
        <v>245</v>
      </c>
      <c r="J23" s="4" t="str">
        <f t="shared" si="0"/>
        <v>1. TOTAL - VENDA INTERNA SP CAPITAL</v>
      </c>
    </row>
    <row r="24" spans="1:10" x14ac:dyDescent="0.3">
      <c r="A24" s="3">
        <v>1325</v>
      </c>
      <c r="B24" s="4" t="s">
        <v>225</v>
      </c>
      <c r="C24" s="15" t="s">
        <v>83</v>
      </c>
      <c r="E24" s="15" t="s">
        <v>82</v>
      </c>
      <c r="F24" s="59">
        <v>0.25</v>
      </c>
      <c r="H24" s="3">
        <v>1361</v>
      </c>
      <c r="I24" s="4" t="s">
        <v>246</v>
      </c>
      <c r="J24" s="4" t="str">
        <f t="shared" si="0"/>
        <v>1. TOTAL - VENDA INTERNA SP INTERIOR</v>
      </c>
    </row>
    <row r="25" spans="1:10" x14ac:dyDescent="0.3">
      <c r="A25" s="3">
        <v>1325</v>
      </c>
      <c r="B25" s="4" t="s">
        <v>225</v>
      </c>
      <c r="C25" s="15" t="s">
        <v>87</v>
      </c>
      <c r="E25" s="15" t="s">
        <v>84</v>
      </c>
      <c r="F25" s="59">
        <v>0.15</v>
      </c>
      <c r="H25" s="3">
        <v>1362</v>
      </c>
      <c r="I25" s="4" t="s">
        <v>247</v>
      </c>
      <c r="J25" s="4" t="str">
        <f t="shared" si="0"/>
        <v>1. TOTAL - VENDA INTERNA RS</v>
      </c>
    </row>
    <row r="26" spans="1:10" x14ac:dyDescent="0.3">
      <c r="A26" s="3">
        <v>1325</v>
      </c>
      <c r="B26" s="4" t="s">
        <v>225</v>
      </c>
      <c r="C26" s="15" t="s">
        <v>85</v>
      </c>
      <c r="E26" s="15" t="s">
        <v>83</v>
      </c>
      <c r="F26" s="59">
        <v>0.02</v>
      </c>
      <c r="H26" s="3">
        <v>1363</v>
      </c>
      <c r="I26" s="4" t="s">
        <v>248</v>
      </c>
      <c r="J26" s="4" t="str">
        <f t="shared" si="0"/>
        <v>1. TOTAL - VENDA INTERNA PR</v>
      </c>
    </row>
    <row r="27" spans="1:10" x14ac:dyDescent="0.3">
      <c r="A27" s="3">
        <v>1325</v>
      </c>
      <c r="B27" s="4" t="s">
        <v>225</v>
      </c>
      <c r="C27" s="15" t="s">
        <v>92</v>
      </c>
      <c r="E27" s="15" t="s">
        <v>87</v>
      </c>
      <c r="F27" s="59">
        <v>0.01</v>
      </c>
      <c r="H27" s="3">
        <v>1364</v>
      </c>
      <c r="I27" s="4" t="s">
        <v>249</v>
      </c>
      <c r="J27" s="4" t="str">
        <f t="shared" si="0"/>
        <v>1. TOTAL - VENDA INTERNA SC</v>
      </c>
    </row>
    <row r="28" spans="1:10" x14ac:dyDescent="0.3">
      <c r="A28" s="3">
        <v>1325</v>
      </c>
      <c r="B28" s="4" t="s">
        <v>225</v>
      </c>
      <c r="C28" s="15" t="s">
        <v>86</v>
      </c>
      <c r="E28" s="15" t="s">
        <v>85</v>
      </c>
      <c r="F28" s="59">
        <v>0.01</v>
      </c>
      <c r="H28" s="3">
        <v>1425</v>
      </c>
      <c r="I28" s="4" t="s">
        <v>250</v>
      </c>
      <c r="J28" s="4" t="str">
        <f t="shared" si="0"/>
        <v>1. TOTAL - VENDA INTERNA - DIVINA TERRA</v>
      </c>
    </row>
    <row r="29" spans="1:10" x14ac:dyDescent="0.3">
      <c r="A29" s="3">
        <v>1325</v>
      </c>
      <c r="B29" s="4" t="s">
        <v>225</v>
      </c>
      <c r="C29" s="15" t="s">
        <v>108</v>
      </c>
      <c r="E29" s="15" t="s">
        <v>92</v>
      </c>
      <c r="F29" s="59">
        <v>0.01</v>
      </c>
      <c r="H29" s="3">
        <v>1427</v>
      </c>
      <c r="I29" s="4" t="s">
        <v>251</v>
      </c>
      <c r="J29" s="4" t="str">
        <f t="shared" si="0"/>
        <v>1. TOTAL - VENDA INTERNA - FITLAND</v>
      </c>
    </row>
    <row r="30" spans="1:10" x14ac:dyDescent="0.3">
      <c r="A30" s="3">
        <v>1325</v>
      </c>
      <c r="B30" s="4" t="s">
        <v>225</v>
      </c>
      <c r="C30" s="15" t="s">
        <v>89</v>
      </c>
      <c r="E30" s="15" t="s">
        <v>86</v>
      </c>
      <c r="F30" s="59">
        <v>0.06</v>
      </c>
      <c r="H30" s="3">
        <v>1428</v>
      </c>
      <c r="I30" s="4" t="s">
        <v>252</v>
      </c>
      <c r="J30" s="4" t="str">
        <f t="shared" si="0"/>
        <v>1. TOTAL - VENDA INTERNA - JARDIM DAS ERVAS</v>
      </c>
    </row>
    <row r="31" spans="1:10" x14ac:dyDescent="0.3">
      <c r="A31" s="3">
        <v>1325</v>
      </c>
      <c r="B31" s="4" t="s">
        <v>225</v>
      </c>
      <c r="C31" s="15" t="s">
        <v>88</v>
      </c>
      <c r="E31" s="15" t="s">
        <v>108</v>
      </c>
      <c r="F31" s="59">
        <v>0</v>
      </c>
      <c r="H31" s="3">
        <v>1429</v>
      </c>
      <c r="I31" s="4" t="s">
        <v>253</v>
      </c>
      <c r="J31" s="4" t="str">
        <f t="shared" si="0"/>
        <v>1. TOTAL - VANDA INTERNA - VIDA LEVE</v>
      </c>
    </row>
    <row r="32" spans="1:10" x14ac:dyDescent="0.3">
      <c r="A32" s="3">
        <v>1325</v>
      </c>
      <c r="B32" s="4" t="s">
        <v>225</v>
      </c>
      <c r="C32" s="15" t="s">
        <v>90</v>
      </c>
      <c r="E32" s="15" t="s">
        <v>89</v>
      </c>
      <c r="F32" s="59">
        <v>0.1</v>
      </c>
      <c r="H32" s="3">
        <v>1430</v>
      </c>
      <c r="I32" s="4" t="s">
        <v>254</v>
      </c>
      <c r="J32" s="4" t="str">
        <f t="shared" si="0"/>
        <v>1. TOTAL - VENDA INTERNA - BIO MUNDO</v>
      </c>
    </row>
    <row r="33" spans="1:10" x14ac:dyDescent="0.3">
      <c r="A33" s="3">
        <v>1325</v>
      </c>
      <c r="B33" s="4" t="s">
        <v>225</v>
      </c>
      <c r="C33" s="15" t="s">
        <v>91</v>
      </c>
      <c r="E33" s="15" t="s">
        <v>88</v>
      </c>
      <c r="F33" s="59">
        <v>0.01</v>
      </c>
      <c r="H33" s="3">
        <v>1431</v>
      </c>
      <c r="I33" s="4" t="s">
        <v>255</v>
      </c>
      <c r="J33" s="4" t="str">
        <f t="shared" si="0"/>
        <v>1. TOTAL - VENDA INTERNA - ARMAZEM FIT STORE</v>
      </c>
    </row>
    <row r="34" spans="1:10" x14ac:dyDescent="0.3">
      <c r="A34" s="3">
        <v>1325</v>
      </c>
      <c r="B34" s="4" t="s">
        <v>225</v>
      </c>
      <c r="C34" s="15" t="s">
        <v>96</v>
      </c>
      <c r="E34" s="15" t="s">
        <v>90</v>
      </c>
      <c r="F34" s="59">
        <v>0.01</v>
      </c>
      <c r="H34" s="3">
        <v>1432</v>
      </c>
      <c r="I34" s="4" t="s">
        <v>256</v>
      </c>
      <c r="J34" s="4" t="str">
        <f t="shared" si="0"/>
        <v>1. TOTAL - VENDA INTERNA - CIA DA SAUDE</v>
      </c>
    </row>
    <row r="35" spans="1:10" x14ac:dyDescent="0.3">
      <c r="A35" s="3">
        <v>1325</v>
      </c>
      <c r="B35" s="4" t="s">
        <v>225</v>
      </c>
      <c r="C35" s="15" t="s">
        <v>94</v>
      </c>
      <c r="E35" s="15" t="s">
        <v>91</v>
      </c>
      <c r="F35" s="59">
        <v>0</v>
      </c>
      <c r="H35" s="3">
        <v>1433</v>
      </c>
      <c r="I35" s="4" t="s">
        <v>257</v>
      </c>
      <c r="J35" s="4" t="str">
        <f t="shared" si="0"/>
        <v>1. TOTAL - VENDA INTERNA - MUNDO VERDE</v>
      </c>
    </row>
    <row r="36" spans="1:10" x14ac:dyDescent="0.3">
      <c r="A36" s="3">
        <v>1325</v>
      </c>
      <c r="B36" s="4" t="s">
        <v>225</v>
      </c>
      <c r="C36" s="15" t="s">
        <v>95</v>
      </c>
      <c r="E36" s="15" t="s">
        <v>96</v>
      </c>
      <c r="F36" s="59">
        <v>0.01</v>
      </c>
      <c r="H36" s="3">
        <v>1438</v>
      </c>
      <c r="I36" s="4" t="s">
        <v>258</v>
      </c>
      <c r="J36" s="4" t="str">
        <f t="shared" si="0"/>
        <v>1. TOTAL - VENDA INTERNA - MAIS NATURAL</v>
      </c>
    </row>
    <row r="37" spans="1:10" x14ac:dyDescent="0.3">
      <c r="A37" s="3">
        <v>1325</v>
      </c>
      <c r="B37" s="4" t="s">
        <v>225</v>
      </c>
      <c r="C37" s="15" t="s">
        <v>93</v>
      </c>
      <c r="E37" s="15" t="s">
        <v>94</v>
      </c>
      <c r="F37" s="59">
        <v>0.15</v>
      </c>
      <c r="H37" s="3">
        <v>1439</v>
      </c>
      <c r="I37" s="4" t="s">
        <v>259</v>
      </c>
      <c r="J37" s="4" t="str">
        <f t="shared" si="0"/>
        <v>1. TOTAL - VENDA INTERNA - TUDO EM GRAOS</v>
      </c>
    </row>
    <row r="38" spans="1:10" x14ac:dyDescent="0.3">
      <c r="A38" s="3">
        <v>1326</v>
      </c>
      <c r="B38" s="4" t="s">
        <v>226</v>
      </c>
      <c r="C38" s="4" t="str">
        <f>1&amp;". TOTAL - "&amp;B38</f>
        <v>1. TOTAL - VENDA INTERNA CE</v>
      </c>
      <c r="E38" s="15" t="s">
        <v>95</v>
      </c>
      <c r="F38" s="59">
        <v>0.01</v>
      </c>
      <c r="H38" s="3">
        <v>1442</v>
      </c>
      <c r="I38" s="4" t="s">
        <v>260</v>
      </c>
      <c r="J38" s="4" t="str">
        <f t="shared" ref="J38:J67" si="1">1&amp;". TOTAL - "&amp;I38</f>
        <v>1. TOTAL - VENDA INTERNA AL</v>
      </c>
    </row>
    <row r="39" spans="1:10" x14ac:dyDescent="0.3">
      <c r="A39" s="3">
        <v>1326</v>
      </c>
      <c r="B39" s="4" t="s">
        <v>226</v>
      </c>
      <c r="C39" s="15" t="s">
        <v>81</v>
      </c>
      <c r="E39" s="15" t="s">
        <v>93</v>
      </c>
      <c r="F39" s="59">
        <v>0.1</v>
      </c>
      <c r="H39" s="3">
        <v>1501</v>
      </c>
      <c r="I39" s="4" t="s">
        <v>261</v>
      </c>
      <c r="J39" s="4" t="str">
        <f t="shared" si="1"/>
        <v>1. TOTAL - VENDA INTERNA PR - CONVENIENCIA</v>
      </c>
    </row>
    <row r="40" spans="1:10" x14ac:dyDescent="0.3">
      <c r="A40" s="3">
        <v>1326</v>
      </c>
      <c r="B40" s="4" t="s">
        <v>226</v>
      </c>
      <c r="C40" s="15" t="s">
        <v>82</v>
      </c>
      <c r="E40" s="22" t="s">
        <v>199</v>
      </c>
      <c r="F40" s="60">
        <f>SUM(F23:F39)</f>
        <v>1.0000000000000002</v>
      </c>
      <c r="H40" s="3">
        <v>1502</v>
      </c>
      <c r="I40" s="4" t="s">
        <v>262</v>
      </c>
      <c r="J40" s="4" t="str">
        <f t="shared" si="1"/>
        <v>1. TOTAL - VENDA INTERNA AP - CONVENIENCIA</v>
      </c>
    </row>
    <row r="41" spans="1:10" x14ac:dyDescent="0.3">
      <c r="A41" s="3">
        <v>1326</v>
      </c>
      <c r="B41" s="4" t="s">
        <v>226</v>
      </c>
      <c r="C41" s="15" t="s">
        <v>84</v>
      </c>
      <c r="H41" s="3">
        <v>1503</v>
      </c>
      <c r="I41" s="4" t="s">
        <v>263</v>
      </c>
      <c r="J41" s="4" t="str">
        <f t="shared" si="1"/>
        <v>1. TOTAL - VENDA INTERNA RN - CONVENIENCIA</v>
      </c>
    </row>
    <row r="42" spans="1:10" x14ac:dyDescent="0.3">
      <c r="A42" s="3">
        <v>1326</v>
      </c>
      <c r="B42" s="4" t="s">
        <v>226</v>
      </c>
      <c r="C42" s="15" t="s">
        <v>83</v>
      </c>
      <c r="H42" s="3">
        <v>1504</v>
      </c>
      <c r="I42" s="4" t="s">
        <v>264</v>
      </c>
      <c r="J42" s="4" t="str">
        <f t="shared" si="1"/>
        <v>1. TOTAL - VENDA INTERNA CE - CONVENIENCIA</v>
      </c>
    </row>
    <row r="43" spans="1:10" x14ac:dyDescent="0.3">
      <c r="A43" s="3">
        <v>1326</v>
      </c>
      <c r="B43" s="4" t="s">
        <v>226</v>
      </c>
      <c r="C43" s="15" t="s">
        <v>87</v>
      </c>
      <c r="H43" s="3">
        <v>1505</v>
      </c>
      <c r="I43" s="4" t="s">
        <v>265</v>
      </c>
      <c r="J43" s="4" t="str">
        <f t="shared" si="1"/>
        <v>1. TOTAL - VENDA INTERNA PI - CONVENIENCIA</v>
      </c>
    </row>
    <row r="44" spans="1:10" x14ac:dyDescent="0.3">
      <c r="A44" s="3">
        <v>1326</v>
      </c>
      <c r="B44" s="4" t="s">
        <v>226</v>
      </c>
      <c r="C44" s="15" t="s">
        <v>85</v>
      </c>
      <c r="H44" s="3">
        <v>1507</v>
      </c>
      <c r="I44" s="4" t="s">
        <v>266</v>
      </c>
      <c r="J44" s="4" t="str">
        <f t="shared" si="1"/>
        <v>1. TOTAL - VENDA INTERNA PE - CONVENIENCIA</v>
      </c>
    </row>
    <row r="45" spans="1:10" x14ac:dyDescent="0.3">
      <c r="A45" s="3">
        <v>1326</v>
      </c>
      <c r="B45" s="4" t="s">
        <v>226</v>
      </c>
      <c r="C45" s="15" t="s">
        <v>92</v>
      </c>
      <c r="H45" s="3">
        <v>1508</v>
      </c>
      <c r="I45" s="4" t="s">
        <v>267</v>
      </c>
      <c r="J45" s="4" t="str">
        <f t="shared" si="1"/>
        <v>1. TOTAL - VENDA INTERNA SE - CONVENIENCIA</v>
      </c>
    </row>
    <row r="46" spans="1:10" x14ac:dyDescent="0.3">
      <c r="A46" s="3">
        <v>1326</v>
      </c>
      <c r="B46" s="4" t="s">
        <v>226</v>
      </c>
      <c r="C46" s="15" t="s">
        <v>86</v>
      </c>
      <c r="H46" s="3">
        <v>1509</v>
      </c>
      <c r="I46" s="4" t="s">
        <v>268</v>
      </c>
      <c r="J46" s="4" t="str">
        <f t="shared" si="1"/>
        <v>1. TOTAL - VENDA INTERNA PB - CONVENIENCIA</v>
      </c>
    </row>
    <row r="47" spans="1:10" x14ac:dyDescent="0.3">
      <c r="A47" s="3">
        <v>1326</v>
      </c>
      <c r="B47" s="4" t="s">
        <v>226</v>
      </c>
      <c r="C47" s="15" t="s">
        <v>108</v>
      </c>
      <c r="H47" s="3">
        <v>1510</v>
      </c>
      <c r="I47" s="4" t="s">
        <v>269</v>
      </c>
      <c r="J47" s="4" t="str">
        <f t="shared" si="1"/>
        <v>1. TOTAL - VENDA INTERNA BA - CONVENIENCIA</v>
      </c>
    </row>
    <row r="48" spans="1:10" x14ac:dyDescent="0.3">
      <c r="A48" s="3">
        <v>1326</v>
      </c>
      <c r="B48" s="4" t="s">
        <v>226</v>
      </c>
      <c r="C48" s="15" t="s">
        <v>89</v>
      </c>
      <c r="H48" s="3">
        <v>1511</v>
      </c>
      <c r="I48" s="4" t="s">
        <v>270</v>
      </c>
      <c r="J48" s="4" t="str">
        <f t="shared" si="1"/>
        <v>1. TOTAL - VENDA INTERNA MA - CONVENIENCIA</v>
      </c>
    </row>
    <row r="49" spans="1:10" x14ac:dyDescent="0.3">
      <c r="A49" s="3">
        <v>1326</v>
      </c>
      <c r="B49" s="4" t="s">
        <v>226</v>
      </c>
      <c r="C49" s="15" t="s">
        <v>88</v>
      </c>
      <c r="H49" s="3">
        <v>1512</v>
      </c>
      <c r="I49" s="4" t="s">
        <v>271</v>
      </c>
      <c r="J49" s="4" t="str">
        <f t="shared" si="1"/>
        <v>1. TOTAL - VENDA INTERNA TO - CONVENIENCIA</v>
      </c>
    </row>
    <row r="50" spans="1:10" x14ac:dyDescent="0.3">
      <c r="A50" s="3">
        <v>1326</v>
      </c>
      <c r="B50" s="4" t="s">
        <v>226</v>
      </c>
      <c r="C50" s="15" t="s">
        <v>90</v>
      </c>
      <c r="H50" s="3">
        <v>1513</v>
      </c>
      <c r="I50" s="4" t="s">
        <v>272</v>
      </c>
      <c r="J50" s="4" t="str">
        <f t="shared" si="1"/>
        <v>1. TOTAL - VENDA INTERNA RO - CONVENIENCIA</v>
      </c>
    </row>
    <row r="51" spans="1:10" x14ac:dyDescent="0.3">
      <c r="A51" s="3">
        <v>1326</v>
      </c>
      <c r="B51" s="4" t="s">
        <v>226</v>
      </c>
      <c r="C51" s="15" t="s">
        <v>91</v>
      </c>
      <c r="H51" s="3">
        <v>1514</v>
      </c>
      <c r="I51" s="4" t="s">
        <v>273</v>
      </c>
      <c r="J51" s="4" t="str">
        <f t="shared" si="1"/>
        <v>1. TOTAL - VENDA INTERNA RR - CONVENIENCIA</v>
      </c>
    </row>
    <row r="52" spans="1:10" x14ac:dyDescent="0.3">
      <c r="A52" s="3">
        <v>1326</v>
      </c>
      <c r="B52" s="4" t="s">
        <v>226</v>
      </c>
      <c r="C52" s="15" t="s">
        <v>96</v>
      </c>
      <c r="H52" s="3">
        <v>1515</v>
      </c>
      <c r="I52" s="4" t="s">
        <v>274</v>
      </c>
      <c r="J52" s="4" t="str">
        <f t="shared" si="1"/>
        <v>1. TOTAL - VENDA INTERNA PA - CONVENIENCIA</v>
      </c>
    </row>
    <row r="53" spans="1:10" x14ac:dyDescent="0.3">
      <c r="A53" s="3">
        <v>1326</v>
      </c>
      <c r="B53" s="4" t="s">
        <v>226</v>
      </c>
      <c r="C53" s="15" t="s">
        <v>94</v>
      </c>
      <c r="H53" s="3">
        <v>1516</v>
      </c>
      <c r="I53" s="4" t="s">
        <v>275</v>
      </c>
      <c r="J53" s="4" t="str">
        <f t="shared" si="1"/>
        <v>1. TOTAL - VENDA INTERNA AL - CONVENIENCIA</v>
      </c>
    </row>
    <row r="54" spans="1:10" x14ac:dyDescent="0.3">
      <c r="A54" s="3">
        <v>1326</v>
      </c>
      <c r="B54" s="4" t="s">
        <v>226</v>
      </c>
      <c r="C54" s="15" t="s">
        <v>95</v>
      </c>
      <c r="H54" s="3">
        <v>1517</v>
      </c>
      <c r="I54" s="4" t="s">
        <v>276</v>
      </c>
      <c r="J54" s="4" t="str">
        <f t="shared" si="1"/>
        <v>1. TOTAL - VENDA INTERNA AM - CONVENIENCIA</v>
      </c>
    </row>
    <row r="55" spans="1:10" x14ac:dyDescent="0.3">
      <c r="A55" s="3">
        <v>1326</v>
      </c>
      <c r="B55" s="4" t="s">
        <v>226</v>
      </c>
      <c r="C55" s="15" t="s">
        <v>93</v>
      </c>
      <c r="H55" s="3">
        <v>1518</v>
      </c>
      <c r="I55" s="4" t="s">
        <v>277</v>
      </c>
      <c r="J55" s="4" t="str">
        <f t="shared" si="1"/>
        <v>1. TOTAL - VENDA INTERNA DF - CONVENIENCIA</v>
      </c>
    </row>
    <row r="56" spans="1:10" x14ac:dyDescent="0.3">
      <c r="A56" s="3">
        <v>1327</v>
      </c>
      <c r="B56" s="4" t="s">
        <v>227</v>
      </c>
      <c r="C56" s="4" t="str">
        <f>1&amp;". TOTAL - "&amp;B56</f>
        <v>1. TOTAL - VENDA INTERNA PI</v>
      </c>
      <c r="H56" s="3">
        <v>1519</v>
      </c>
      <c r="I56" s="4" t="s">
        <v>278</v>
      </c>
      <c r="J56" s="4" t="str">
        <f t="shared" si="1"/>
        <v>1. TOTAL - VENDA INTERNA MS - CONVENIENCIA</v>
      </c>
    </row>
    <row r="57" spans="1:10" x14ac:dyDescent="0.3">
      <c r="A57" s="3">
        <v>1327</v>
      </c>
      <c r="B57" s="4" t="s">
        <v>227</v>
      </c>
      <c r="C57" s="15" t="s">
        <v>81</v>
      </c>
      <c r="H57" s="3">
        <v>1520</v>
      </c>
      <c r="I57" s="4" t="s">
        <v>279</v>
      </c>
      <c r="J57" s="4" t="str">
        <f t="shared" si="1"/>
        <v>1. TOTAL - VENDA INTERNA MT - CONVENIENCIA</v>
      </c>
    </row>
    <row r="58" spans="1:10" x14ac:dyDescent="0.3">
      <c r="A58" s="3">
        <v>1327</v>
      </c>
      <c r="B58" s="4" t="s">
        <v>227</v>
      </c>
      <c r="C58" s="15" t="s">
        <v>82</v>
      </c>
      <c r="H58" s="3">
        <v>1521</v>
      </c>
      <c r="I58" s="4" t="s">
        <v>280</v>
      </c>
      <c r="J58" s="4" t="str">
        <f t="shared" si="1"/>
        <v>1. TOTAL - VENDA INTERNA GO - CONVENIENCIA</v>
      </c>
    </row>
    <row r="59" spans="1:10" x14ac:dyDescent="0.3">
      <c r="A59" s="3">
        <v>1327</v>
      </c>
      <c r="B59" s="4" t="s">
        <v>227</v>
      </c>
      <c r="C59" s="15" t="s">
        <v>84</v>
      </c>
      <c r="H59" s="3">
        <v>1522</v>
      </c>
      <c r="I59" s="4" t="s">
        <v>281</v>
      </c>
      <c r="J59" s="4" t="str">
        <f t="shared" si="1"/>
        <v>1. TOTAL - VENDA INTERNA ES - CONVENIENCIA</v>
      </c>
    </row>
    <row r="60" spans="1:10" x14ac:dyDescent="0.3">
      <c r="A60" s="3">
        <v>1327</v>
      </c>
      <c r="B60" s="4" t="s">
        <v>227</v>
      </c>
      <c r="C60" s="15" t="s">
        <v>83</v>
      </c>
      <c r="H60" s="3">
        <v>1523</v>
      </c>
      <c r="I60" s="4" t="s">
        <v>282</v>
      </c>
      <c r="J60" s="4" t="str">
        <f t="shared" si="1"/>
        <v>1. TOTAL - VENDA INTERNA RJ - CONVENIENCIA</v>
      </c>
    </row>
    <row r="61" spans="1:10" x14ac:dyDescent="0.3">
      <c r="A61" s="3">
        <v>1327</v>
      </c>
      <c r="B61" s="4" t="s">
        <v>227</v>
      </c>
      <c r="C61" s="15" t="s">
        <v>87</v>
      </c>
      <c r="H61" s="3">
        <v>1524</v>
      </c>
      <c r="I61" s="4" t="s">
        <v>283</v>
      </c>
      <c r="J61" s="4" t="str">
        <f t="shared" si="1"/>
        <v>1. TOTAL - VENDA INTERNA MG - CONVENIENCIA</v>
      </c>
    </row>
    <row r="62" spans="1:10" x14ac:dyDescent="0.3">
      <c r="A62" s="3">
        <v>1327</v>
      </c>
      <c r="B62" s="4" t="s">
        <v>227</v>
      </c>
      <c r="C62" s="15" t="s">
        <v>85</v>
      </c>
      <c r="H62" s="3">
        <v>1525</v>
      </c>
      <c r="I62" s="4" t="s">
        <v>284</v>
      </c>
      <c r="J62" s="4" t="str">
        <f t="shared" si="1"/>
        <v>1. TOTAL - VENDA INTERNA SP CAPITAL - CONVENIENCIA</v>
      </c>
    </row>
    <row r="63" spans="1:10" x14ac:dyDescent="0.3">
      <c r="A63" s="3">
        <v>1327</v>
      </c>
      <c r="B63" s="4" t="s">
        <v>227</v>
      </c>
      <c r="C63" s="15" t="s">
        <v>92</v>
      </c>
      <c r="H63" s="3">
        <v>1526</v>
      </c>
      <c r="I63" s="4" t="s">
        <v>285</v>
      </c>
      <c r="J63" s="4" t="str">
        <f t="shared" si="1"/>
        <v>1. TOTAL - VENDA INTERNA SP INTERIOR - CONVENIENCIA</v>
      </c>
    </row>
    <row r="64" spans="1:10" x14ac:dyDescent="0.3">
      <c r="A64" s="3">
        <v>1327</v>
      </c>
      <c r="B64" s="4" t="s">
        <v>227</v>
      </c>
      <c r="C64" s="15" t="s">
        <v>86</v>
      </c>
      <c r="H64" s="3">
        <v>1528</v>
      </c>
      <c r="I64" s="4" t="s">
        <v>286</v>
      </c>
      <c r="J64" s="4" t="str">
        <f t="shared" si="1"/>
        <v>1. TOTAL - VENDA INTERNA RS - CONVENIENCIA</v>
      </c>
    </row>
    <row r="65" spans="1:10" x14ac:dyDescent="0.3">
      <c r="A65" s="3">
        <v>1327</v>
      </c>
      <c r="B65" s="4" t="s">
        <v>227</v>
      </c>
      <c r="C65" s="15" t="s">
        <v>108</v>
      </c>
      <c r="H65" s="3">
        <v>1530</v>
      </c>
      <c r="I65" s="4" t="s">
        <v>287</v>
      </c>
      <c r="J65" s="4" t="str">
        <f t="shared" si="1"/>
        <v>1. TOTAL - VENDA INTERNA SC - CONVENIENCIA</v>
      </c>
    </row>
    <row r="66" spans="1:10" x14ac:dyDescent="0.3">
      <c r="A66" s="3">
        <v>1327</v>
      </c>
      <c r="B66" s="4" t="s">
        <v>227</v>
      </c>
      <c r="C66" s="15" t="s">
        <v>89</v>
      </c>
      <c r="H66" s="3">
        <v>1532</v>
      </c>
      <c r="I66" s="4" t="s">
        <v>368</v>
      </c>
      <c r="J66" s="4" t="str">
        <f t="shared" si="1"/>
        <v>1. TOTAL - VENDA INTERNA AC - CONVENIENCIA</v>
      </c>
    </row>
    <row r="67" spans="1:10" x14ac:dyDescent="0.3">
      <c r="A67" s="3">
        <v>1327</v>
      </c>
      <c r="B67" s="4" t="s">
        <v>227</v>
      </c>
      <c r="C67" s="15" t="s">
        <v>88</v>
      </c>
      <c r="H67" s="3">
        <v>1533</v>
      </c>
      <c r="I67" s="4" t="s">
        <v>369</v>
      </c>
      <c r="J67" s="4" t="str">
        <f t="shared" si="1"/>
        <v>1. TOTAL - 	VENDA INTERNA AC</v>
      </c>
    </row>
    <row r="68" spans="1:10" x14ac:dyDescent="0.3">
      <c r="A68" s="3">
        <v>1327</v>
      </c>
      <c r="B68" s="4" t="s">
        <v>227</v>
      </c>
      <c r="C68" s="15" t="s">
        <v>90</v>
      </c>
    </row>
    <row r="69" spans="1:10" x14ac:dyDescent="0.3">
      <c r="A69" s="3">
        <v>1327</v>
      </c>
      <c r="B69" s="4" t="s">
        <v>227</v>
      </c>
      <c r="C69" s="15" t="s">
        <v>91</v>
      </c>
    </row>
    <row r="70" spans="1:10" x14ac:dyDescent="0.3">
      <c r="A70" s="3">
        <v>1327</v>
      </c>
      <c r="B70" s="4" t="s">
        <v>227</v>
      </c>
      <c r="C70" s="15" t="s">
        <v>96</v>
      </c>
    </row>
    <row r="71" spans="1:10" x14ac:dyDescent="0.3">
      <c r="A71" s="3">
        <v>1327</v>
      </c>
      <c r="B71" s="4" t="s">
        <v>227</v>
      </c>
      <c r="C71" s="15" t="s">
        <v>94</v>
      </c>
    </row>
    <row r="72" spans="1:10" x14ac:dyDescent="0.3">
      <c r="A72" s="3">
        <v>1327</v>
      </c>
      <c r="B72" s="4" t="s">
        <v>227</v>
      </c>
      <c r="C72" s="15" t="s">
        <v>95</v>
      </c>
    </row>
    <row r="73" spans="1:10" x14ac:dyDescent="0.3">
      <c r="A73" s="3">
        <v>1327</v>
      </c>
      <c r="B73" s="4" t="s">
        <v>227</v>
      </c>
      <c r="C73" s="15" t="s">
        <v>93</v>
      </c>
    </row>
    <row r="74" spans="1:10" x14ac:dyDescent="0.3">
      <c r="A74" s="3">
        <v>1328</v>
      </c>
      <c r="B74" s="4" t="s">
        <v>228</v>
      </c>
      <c r="C74" s="4" t="str">
        <f>1&amp;". TOTAL - "&amp;B74</f>
        <v>1. TOTAL - VENDA INTERNA PE</v>
      </c>
    </row>
    <row r="75" spans="1:10" x14ac:dyDescent="0.3">
      <c r="A75" s="3">
        <v>1328</v>
      </c>
      <c r="B75" s="4" t="s">
        <v>228</v>
      </c>
      <c r="C75" s="15" t="s">
        <v>81</v>
      </c>
    </row>
    <row r="76" spans="1:10" x14ac:dyDescent="0.3">
      <c r="A76" s="3">
        <v>1328</v>
      </c>
      <c r="B76" s="4" t="s">
        <v>228</v>
      </c>
      <c r="C76" s="15" t="s">
        <v>82</v>
      </c>
    </row>
    <row r="77" spans="1:10" x14ac:dyDescent="0.3">
      <c r="A77" s="3">
        <v>1328</v>
      </c>
      <c r="B77" s="4" t="s">
        <v>228</v>
      </c>
      <c r="C77" s="15" t="s">
        <v>84</v>
      </c>
    </row>
    <row r="78" spans="1:10" x14ac:dyDescent="0.3">
      <c r="A78" s="3">
        <v>1328</v>
      </c>
      <c r="B78" s="4" t="s">
        <v>228</v>
      </c>
      <c r="C78" s="15" t="s">
        <v>83</v>
      </c>
    </row>
    <row r="79" spans="1:10" x14ac:dyDescent="0.3">
      <c r="A79" s="3">
        <v>1328</v>
      </c>
      <c r="B79" s="4" t="s">
        <v>228</v>
      </c>
      <c r="C79" s="15" t="s">
        <v>87</v>
      </c>
    </row>
    <row r="80" spans="1:10" x14ac:dyDescent="0.3">
      <c r="A80" s="3">
        <v>1328</v>
      </c>
      <c r="B80" s="4" t="s">
        <v>228</v>
      </c>
      <c r="C80" s="15" t="s">
        <v>85</v>
      </c>
    </row>
    <row r="81" spans="1:3" x14ac:dyDescent="0.3">
      <c r="A81" s="3">
        <v>1328</v>
      </c>
      <c r="B81" s="4" t="s">
        <v>228</v>
      </c>
      <c r="C81" s="15" t="s">
        <v>92</v>
      </c>
    </row>
    <row r="82" spans="1:3" x14ac:dyDescent="0.3">
      <c r="A82" s="3">
        <v>1328</v>
      </c>
      <c r="B82" s="4" t="s">
        <v>228</v>
      </c>
      <c r="C82" s="15" t="s">
        <v>86</v>
      </c>
    </row>
    <row r="83" spans="1:3" x14ac:dyDescent="0.3">
      <c r="A83" s="3">
        <v>1328</v>
      </c>
      <c r="B83" s="4" t="s">
        <v>228</v>
      </c>
      <c r="C83" s="15" t="s">
        <v>108</v>
      </c>
    </row>
    <row r="84" spans="1:3" x14ac:dyDescent="0.3">
      <c r="A84" s="3">
        <v>1328</v>
      </c>
      <c r="B84" s="4" t="s">
        <v>228</v>
      </c>
      <c r="C84" s="15" t="s">
        <v>89</v>
      </c>
    </row>
    <row r="85" spans="1:3" x14ac:dyDescent="0.3">
      <c r="A85" s="3">
        <v>1328</v>
      </c>
      <c r="B85" s="4" t="s">
        <v>228</v>
      </c>
      <c r="C85" s="15" t="s">
        <v>88</v>
      </c>
    </row>
    <row r="86" spans="1:3" x14ac:dyDescent="0.3">
      <c r="A86" s="3">
        <v>1328</v>
      </c>
      <c r="B86" s="4" t="s">
        <v>228</v>
      </c>
      <c r="C86" s="15" t="s">
        <v>90</v>
      </c>
    </row>
    <row r="87" spans="1:3" x14ac:dyDescent="0.3">
      <c r="A87" s="3">
        <v>1328</v>
      </c>
      <c r="B87" s="4" t="s">
        <v>228</v>
      </c>
      <c r="C87" s="15" t="s">
        <v>91</v>
      </c>
    </row>
    <row r="88" spans="1:3" x14ac:dyDescent="0.3">
      <c r="A88" s="3">
        <v>1328</v>
      </c>
      <c r="B88" s="4" t="s">
        <v>228</v>
      </c>
      <c r="C88" s="15" t="s">
        <v>96</v>
      </c>
    </row>
    <row r="89" spans="1:3" x14ac:dyDescent="0.3">
      <c r="A89" s="3">
        <v>1328</v>
      </c>
      <c r="B89" s="4" t="s">
        <v>228</v>
      </c>
      <c r="C89" s="15" t="s">
        <v>94</v>
      </c>
    </row>
    <row r="90" spans="1:3" x14ac:dyDescent="0.3">
      <c r="A90" s="3">
        <v>1328</v>
      </c>
      <c r="B90" s="4" t="s">
        <v>228</v>
      </c>
      <c r="C90" s="15" t="s">
        <v>95</v>
      </c>
    </row>
    <row r="91" spans="1:3" x14ac:dyDescent="0.3">
      <c r="A91" s="3">
        <v>1328</v>
      </c>
      <c r="B91" s="4" t="s">
        <v>228</v>
      </c>
      <c r="C91" s="15" t="s">
        <v>93</v>
      </c>
    </row>
    <row r="92" spans="1:3" x14ac:dyDescent="0.3">
      <c r="A92" s="3">
        <v>1329</v>
      </c>
      <c r="B92" s="4" t="s">
        <v>229</v>
      </c>
      <c r="C92" s="4" t="str">
        <f>1&amp;". TOTAL - "&amp;B92</f>
        <v>1. TOTAL - VENDA INTERNA PB</v>
      </c>
    </row>
    <row r="93" spans="1:3" x14ac:dyDescent="0.3">
      <c r="A93" s="3">
        <v>1329</v>
      </c>
      <c r="B93" s="4" t="s">
        <v>229</v>
      </c>
      <c r="C93" s="15" t="s">
        <v>81</v>
      </c>
    </row>
    <row r="94" spans="1:3" x14ac:dyDescent="0.3">
      <c r="A94" s="3">
        <v>1329</v>
      </c>
      <c r="B94" s="4" t="s">
        <v>229</v>
      </c>
      <c r="C94" s="15" t="s">
        <v>82</v>
      </c>
    </row>
    <row r="95" spans="1:3" x14ac:dyDescent="0.3">
      <c r="A95" s="3">
        <v>1329</v>
      </c>
      <c r="B95" s="4" t="s">
        <v>229</v>
      </c>
      <c r="C95" s="15" t="s">
        <v>84</v>
      </c>
    </row>
    <row r="96" spans="1:3" x14ac:dyDescent="0.3">
      <c r="A96" s="3">
        <v>1329</v>
      </c>
      <c r="B96" s="4" t="s">
        <v>229</v>
      </c>
      <c r="C96" s="15" t="s">
        <v>83</v>
      </c>
    </row>
    <row r="97" spans="1:3" x14ac:dyDescent="0.3">
      <c r="A97" s="3">
        <v>1329</v>
      </c>
      <c r="B97" s="4" t="s">
        <v>229</v>
      </c>
      <c r="C97" s="15" t="s">
        <v>87</v>
      </c>
    </row>
    <row r="98" spans="1:3" x14ac:dyDescent="0.3">
      <c r="A98" s="3">
        <v>1329</v>
      </c>
      <c r="B98" s="4" t="s">
        <v>229</v>
      </c>
      <c r="C98" s="15" t="s">
        <v>85</v>
      </c>
    </row>
    <row r="99" spans="1:3" x14ac:dyDescent="0.3">
      <c r="A99" s="3">
        <v>1329</v>
      </c>
      <c r="B99" s="4" t="s">
        <v>229</v>
      </c>
      <c r="C99" s="15" t="s">
        <v>92</v>
      </c>
    </row>
    <row r="100" spans="1:3" x14ac:dyDescent="0.3">
      <c r="A100" s="3">
        <v>1329</v>
      </c>
      <c r="B100" s="4" t="s">
        <v>229</v>
      </c>
      <c r="C100" s="15" t="s">
        <v>86</v>
      </c>
    </row>
    <row r="101" spans="1:3" x14ac:dyDescent="0.3">
      <c r="A101" s="3">
        <v>1329</v>
      </c>
      <c r="B101" s="4" t="s">
        <v>229</v>
      </c>
      <c r="C101" s="15" t="s">
        <v>108</v>
      </c>
    </row>
    <row r="102" spans="1:3" x14ac:dyDescent="0.3">
      <c r="A102" s="3">
        <v>1329</v>
      </c>
      <c r="B102" s="4" t="s">
        <v>229</v>
      </c>
      <c r="C102" s="15" t="s">
        <v>89</v>
      </c>
    </row>
    <row r="103" spans="1:3" x14ac:dyDescent="0.3">
      <c r="A103" s="3">
        <v>1329</v>
      </c>
      <c r="B103" s="4" t="s">
        <v>229</v>
      </c>
      <c r="C103" s="15" t="s">
        <v>88</v>
      </c>
    </row>
    <row r="104" spans="1:3" x14ac:dyDescent="0.3">
      <c r="A104" s="3">
        <v>1329</v>
      </c>
      <c r="B104" s="4" t="s">
        <v>229</v>
      </c>
      <c r="C104" s="15" t="s">
        <v>90</v>
      </c>
    </row>
    <row r="105" spans="1:3" x14ac:dyDescent="0.3">
      <c r="A105" s="3">
        <v>1329</v>
      </c>
      <c r="B105" s="4" t="s">
        <v>229</v>
      </c>
      <c r="C105" s="15" t="s">
        <v>91</v>
      </c>
    </row>
    <row r="106" spans="1:3" x14ac:dyDescent="0.3">
      <c r="A106" s="3">
        <v>1329</v>
      </c>
      <c r="B106" s="4" t="s">
        <v>229</v>
      </c>
      <c r="C106" s="15" t="s">
        <v>96</v>
      </c>
    </row>
    <row r="107" spans="1:3" x14ac:dyDescent="0.3">
      <c r="A107" s="3">
        <v>1329</v>
      </c>
      <c r="B107" s="4" t="s">
        <v>229</v>
      </c>
      <c r="C107" s="15" t="s">
        <v>94</v>
      </c>
    </row>
    <row r="108" spans="1:3" x14ac:dyDescent="0.3">
      <c r="A108" s="3">
        <v>1329</v>
      </c>
      <c r="B108" s="4" t="s">
        <v>229</v>
      </c>
      <c r="C108" s="15" t="s">
        <v>95</v>
      </c>
    </row>
    <row r="109" spans="1:3" x14ac:dyDescent="0.3">
      <c r="A109" s="3">
        <v>1329</v>
      </c>
      <c r="B109" s="4" t="s">
        <v>229</v>
      </c>
      <c r="C109" s="15" t="s">
        <v>93</v>
      </c>
    </row>
    <row r="110" spans="1:3" x14ac:dyDescent="0.3">
      <c r="A110" s="3">
        <v>1330</v>
      </c>
      <c r="B110" s="4" t="s">
        <v>230</v>
      </c>
      <c r="C110" s="4" t="str">
        <f>1&amp;". TOTAL - "&amp;B110</f>
        <v>1. TOTAL - VENDA INTERNA SE</v>
      </c>
    </row>
    <row r="111" spans="1:3" x14ac:dyDescent="0.3">
      <c r="A111" s="3">
        <v>1330</v>
      </c>
      <c r="B111" s="4" t="s">
        <v>230</v>
      </c>
      <c r="C111" s="15" t="s">
        <v>81</v>
      </c>
    </row>
    <row r="112" spans="1:3" x14ac:dyDescent="0.3">
      <c r="A112" s="3">
        <v>1330</v>
      </c>
      <c r="B112" s="4" t="s">
        <v>230</v>
      </c>
      <c r="C112" s="15" t="s">
        <v>82</v>
      </c>
    </row>
    <row r="113" spans="1:3" x14ac:dyDescent="0.3">
      <c r="A113" s="3">
        <v>1330</v>
      </c>
      <c r="B113" s="4" t="s">
        <v>230</v>
      </c>
      <c r="C113" s="15" t="s">
        <v>84</v>
      </c>
    </row>
    <row r="114" spans="1:3" x14ac:dyDescent="0.3">
      <c r="A114" s="3">
        <v>1330</v>
      </c>
      <c r="B114" s="4" t="s">
        <v>230</v>
      </c>
      <c r="C114" s="15" t="s">
        <v>83</v>
      </c>
    </row>
    <row r="115" spans="1:3" x14ac:dyDescent="0.3">
      <c r="A115" s="3">
        <v>1330</v>
      </c>
      <c r="B115" s="4" t="s">
        <v>230</v>
      </c>
      <c r="C115" s="15" t="s">
        <v>87</v>
      </c>
    </row>
    <row r="116" spans="1:3" x14ac:dyDescent="0.3">
      <c r="A116" s="3">
        <v>1330</v>
      </c>
      <c r="B116" s="4" t="s">
        <v>230</v>
      </c>
      <c r="C116" s="15" t="s">
        <v>85</v>
      </c>
    </row>
    <row r="117" spans="1:3" x14ac:dyDescent="0.3">
      <c r="A117" s="3">
        <v>1330</v>
      </c>
      <c r="B117" s="4" t="s">
        <v>230</v>
      </c>
      <c r="C117" s="15" t="s">
        <v>92</v>
      </c>
    </row>
    <row r="118" spans="1:3" x14ac:dyDescent="0.3">
      <c r="A118" s="3">
        <v>1330</v>
      </c>
      <c r="B118" s="4" t="s">
        <v>230</v>
      </c>
      <c r="C118" s="15" t="s">
        <v>86</v>
      </c>
    </row>
    <row r="119" spans="1:3" x14ac:dyDescent="0.3">
      <c r="A119" s="3">
        <v>1330</v>
      </c>
      <c r="B119" s="4" t="s">
        <v>230</v>
      </c>
      <c r="C119" s="15" t="s">
        <v>108</v>
      </c>
    </row>
    <row r="120" spans="1:3" x14ac:dyDescent="0.3">
      <c r="A120" s="3">
        <v>1330</v>
      </c>
      <c r="B120" s="4" t="s">
        <v>230</v>
      </c>
      <c r="C120" s="15" t="s">
        <v>89</v>
      </c>
    </row>
    <row r="121" spans="1:3" x14ac:dyDescent="0.3">
      <c r="A121" s="3">
        <v>1330</v>
      </c>
      <c r="B121" s="4" t="s">
        <v>230</v>
      </c>
      <c r="C121" s="15" t="s">
        <v>88</v>
      </c>
    </row>
    <row r="122" spans="1:3" x14ac:dyDescent="0.3">
      <c r="A122" s="3">
        <v>1330</v>
      </c>
      <c r="B122" s="4" t="s">
        <v>230</v>
      </c>
      <c r="C122" s="15" t="s">
        <v>90</v>
      </c>
    </row>
    <row r="123" spans="1:3" x14ac:dyDescent="0.3">
      <c r="A123" s="3">
        <v>1330</v>
      </c>
      <c r="B123" s="4" t="s">
        <v>230</v>
      </c>
      <c r="C123" s="15" t="s">
        <v>91</v>
      </c>
    </row>
    <row r="124" spans="1:3" x14ac:dyDescent="0.3">
      <c r="A124" s="3">
        <v>1330</v>
      </c>
      <c r="B124" s="4" t="s">
        <v>230</v>
      </c>
      <c r="C124" s="15" t="s">
        <v>96</v>
      </c>
    </row>
    <row r="125" spans="1:3" x14ac:dyDescent="0.3">
      <c r="A125" s="3">
        <v>1330</v>
      </c>
      <c r="B125" s="4" t="s">
        <v>230</v>
      </c>
      <c r="C125" s="15" t="s">
        <v>94</v>
      </c>
    </row>
    <row r="126" spans="1:3" x14ac:dyDescent="0.3">
      <c r="A126" s="3">
        <v>1330</v>
      </c>
      <c r="B126" s="4" t="s">
        <v>230</v>
      </c>
      <c r="C126" s="15" t="s">
        <v>95</v>
      </c>
    </row>
    <row r="127" spans="1:3" x14ac:dyDescent="0.3">
      <c r="A127" s="3">
        <v>1330</v>
      </c>
      <c r="B127" s="4" t="s">
        <v>230</v>
      </c>
      <c r="C127" s="15" t="s">
        <v>93</v>
      </c>
    </row>
    <row r="128" spans="1:3" x14ac:dyDescent="0.3">
      <c r="A128" s="3">
        <v>1331</v>
      </c>
      <c r="B128" s="4" t="s">
        <v>231</v>
      </c>
      <c r="C128" s="4" t="str">
        <f>1&amp;". TOTAL - "&amp;B128</f>
        <v>1. TOTAL - VENDA INTERNA BA</v>
      </c>
    </row>
    <row r="129" spans="1:3" x14ac:dyDescent="0.3">
      <c r="A129" s="3">
        <v>1331</v>
      </c>
      <c r="B129" s="4" t="s">
        <v>231</v>
      </c>
      <c r="C129" s="15" t="s">
        <v>81</v>
      </c>
    </row>
    <row r="130" spans="1:3" x14ac:dyDescent="0.3">
      <c r="A130" s="3">
        <v>1331</v>
      </c>
      <c r="B130" s="4" t="s">
        <v>231</v>
      </c>
      <c r="C130" s="15" t="s">
        <v>82</v>
      </c>
    </row>
    <row r="131" spans="1:3" x14ac:dyDescent="0.3">
      <c r="A131" s="3">
        <v>1331</v>
      </c>
      <c r="B131" s="4" t="s">
        <v>231</v>
      </c>
      <c r="C131" s="15" t="s">
        <v>84</v>
      </c>
    </row>
    <row r="132" spans="1:3" x14ac:dyDescent="0.3">
      <c r="A132" s="3">
        <v>1331</v>
      </c>
      <c r="B132" s="4" t="s">
        <v>231</v>
      </c>
      <c r="C132" s="15" t="s">
        <v>83</v>
      </c>
    </row>
    <row r="133" spans="1:3" x14ac:dyDescent="0.3">
      <c r="A133" s="3">
        <v>1331</v>
      </c>
      <c r="B133" s="4" t="s">
        <v>231</v>
      </c>
      <c r="C133" s="15" t="s">
        <v>87</v>
      </c>
    </row>
    <row r="134" spans="1:3" x14ac:dyDescent="0.3">
      <c r="A134" s="3">
        <v>1331</v>
      </c>
      <c r="B134" s="4" t="s">
        <v>231</v>
      </c>
      <c r="C134" s="15" t="s">
        <v>85</v>
      </c>
    </row>
    <row r="135" spans="1:3" x14ac:dyDescent="0.3">
      <c r="A135" s="3">
        <v>1331</v>
      </c>
      <c r="B135" s="4" t="s">
        <v>231</v>
      </c>
      <c r="C135" s="15" t="s">
        <v>92</v>
      </c>
    </row>
    <row r="136" spans="1:3" x14ac:dyDescent="0.3">
      <c r="A136" s="3">
        <v>1331</v>
      </c>
      <c r="B136" s="4" t="s">
        <v>231</v>
      </c>
      <c r="C136" s="15" t="s">
        <v>86</v>
      </c>
    </row>
    <row r="137" spans="1:3" x14ac:dyDescent="0.3">
      <c r="A137" s="3">
        <v>1331</v>
      </c>
      <c r="B137" s="4" t="s">
        <v>231</v>
      </c>
      <c r="C137" s="15" t="s">
        <v>108</v>
      </c>
    </row>
    <row r="138" spans="1:3" x14ac:dyDescent="0.3">
      <c r="A138" s="3">
        <v>1331</v>
      </c>
      <c r="B138" s="4" t="s">
        <v>231</v>
      </c>
      <c r="C138" s="15" t="s">
        <v>89</v>
      </c>
    </row>
    <row r="139" spans="1:3" x14ac:dyDescent="0.3">
      <c r="A139" s="3">
        <v>1331</v>
      </c>
      <c r="B139" s="4" t="s">
        <v>231</v>
      </c>
      <c r="C139" s="15" t="s">
        <v>88</v>
      </c>
    </row>
    <row r="140" spans="1:3" x14ac:dyDescent="0.3">
      <c r="A140" s="3">
        <v>1331</v>
      </c>
      <c r="B140" s="4" t="s">
        <v>231</v>
      </c>
      <c r="C140" s="15" t="s">
        <v>90</v>
      </c>
    </row>
    <row r="141" spans="1:3" x14ac:dyDescent="0.3">
      <c r="A141" s="3">
        <v>1331</v>
      </c>
      <c r="B141" s="4" t="s">
        <v>231</v>
      </c>
      <c r="C141" s="15" t="s">
        <v>91</v>
      </c>
    </row>
    <row r="142" spans="1:3" x14ac:dyDescent="0.3">
      <c r="A142" s="3">
        <v>1331</v>
      </c>
      <c r="B142" s="4" t="s">
        <v>231</v>
      </c>
      <c r="C142" s="15" t="s">
        <v>96</v>
      </c>
    </row>
    <row r="143" spans="1:3" x14ac:dyDescent="0.3">
      <c r="A143" s="3">
        <v>1331</v>
      </c>
      <c r="B143" s="4" t="s">
        <v>231</v>
      </c>
      <c r="C143" s="15" t="s">
        <v>94</v>
      </c>
    </row>
    <row r="144" spans="1:3" x14ac:dyDescent="0.3">
      <c r="A144" s="3">
        <v>1331</v>
      </c>
      <c r="B144" s="4" t="s">
        <v>231</v>
      </c>
      <c r="C144" s="15" t="s">
        <v>95</v>
      </c>
    </row>
    <row r="145" spans="1:3" x14ac:dyDescent="0.3">
      <c r="A145" s="3">
        <v>1331</v>
      </c>
      <c r="B145" s="4" t="s">
        <v>231</v>
      </c>
      <c r="C145" s="15" t="s">
        <v>93</v>
      </c>
    </row>
    <row r="146" spans="1:3" x14ac:dyDescent="0.3">
      <c r="A146" s="3">
        <v>1332</v>
      </c>
      <c r="B146" s="4" t="s">
        <v>232</v>
      </c>
      <c r="C146" s="4" t="str">
        <f>1&amp;". TOTAL - "&amp;B146</f>
        <v>1. TOTAL - VENDA INTERNA MA</v>
      </c>
    </row>
    <row r="147" spans="1:3" x14ac:dyDescent="0.3">
      <c r="A147" s="3">
        <v>1332</v>
      </c>
      <c r="B147" s="4" t="s">
        <v>232</v>
      </c>
      <c r="C147" s="15" t="s">
        <v>81</v>
      </c>
    </row>
    <row r="148" spans="1:3" x14ac:dyDescent="0.3">
      <c r="A148" s="3">
        <v>1332</v>
      </c>
      <c r="B148" s="4" t="s">
        <v>232</v>
      </c>
      <c r="C148" s="15" t="s">
        <v>82</v>
      </c>
    </row>
    <row r="149" spans="1:3" x14ac:dyDescent="0.3">
      <c r="A149" s="3">
        <v>1332</v>
      </c>
      <c r="B149" s="4" t="s">
        <v>232</v>
      </c>
      <c r="C149" s="15" t="s">
        <v>84</v>
      </c>
    </row>
    <row r="150" spans="1:3" x14ac:dyDescent="0.3">
      <c r="A150" s="3">
        <v>1332</v>
      </c>
      <c r="B150" s="4" t="s">
        <v>232</v>
      </c>
      <c r="C150" s="15" t="s">
        <v>83</v>
      </c>
    </row>
    <row r="151" spans="1:3" x14ac:dyDescent="0.3">
      <c r="A151" s="3">
        <v>1332</v>
      </c>
      <c r="B151" s="4" t="s">
        <v>232</v>
      </c>
      <c r="C151" s="15" t="s">
        <v>87</v>
      </c>
    </row>
    <row r="152" spans="1:3" x14ac:dyDescent="0.3">
      <c r="A152" s="3">
        <v>1332</v>
      </c>
      <c r="B152" s="4" t="s">
        <v>232</v>
      </c>
      <c r="C152" s="15" t="s">
        <v>85</v>
      </c>
    </row>
    <row r="153" spans="1:3" x14ac:dyDescent="0.3">
      <c r="A153" s="3">
        <v>1332</v>
      </c>
      <c r="B153" s="4" t="s">
        <v>232</v>
      </c>
      <c r="C153" s="15" t="s">
        <v>92</v>
      </c>
    </row>
    <row r="154" spans="1:3" x14ac:dyDescent="0.3">
      <c r="A154" s="3">
        <v>1332</v>
      </c>
      <c r="B154" s="4" t="s">
        <v>232</v>
      </c>
      <c r="C154" s="15" t="s">
        <v>86</v>
      </c>
    </row>
    <row r="155" spans="1:3" x14ac:dyDescent="0.3">
      <c r="A155" s="3">
        <v>1332</v>
      </c>
      <c r="B155" s="4" t="s">
        <v>232</v>
      </c>
      <c r="C155" s="15" t="s">
        <v>108</v>
      </c>
    </row>
    <row r="156" spans="1:3" x14ac:dyDescent="0.3">
      <c r="A156" s="3">
        <v>1332</v>
      </c>
      <c r="B156" s="4" t="s">
        <v>232</v>
      </c>
      <c r="C156" s="15" t="s">
        <v>89</v>
      </c>
    </row>
    <row r="157" spans="1:3" x14ac:dyDescent="0.3">
      <c r="A157" s="3">
        <v>1332</v>
      </c>
      <c r="B157" s="4" t="s">
        <v>232</v>
      </c>
      <c r="C157" s="15" t="s">
        <v>88</v>
      </c>
    </row>
    <row r="158" spans="1:3" x14ac:dyDescent="0.3">
      <c r="A158" s="3">
        <v>1332</v>
      </c>
      <c r="B158" s="4" t="s">
        <v>232</v>
      </c>
      <c r="C158" s="15" t="s">
        <v>90</v>
      </c>
    </row>
    <row r="159" spans="1:3" x14ac:dyDescent="0.3">
      <c r="A159" s="3">
        <v>1332</v>
      </c>
      <c r="B159" s="4" t="s">
        <v>232</v>
      </c>
      <c r="C159" s="15" t="s">
        <v>91</v>
      </c>
    </row>
    <row r="160" spans="1:3" x14ac:dyDescent="0.3">
      <c r="A160" s="3">
        <v>1332</v>
      </c>
      <c r="B160" s="4" t="s">
        <v>232</v>
      </c>
      <c r="C160" s="15" t="s">
        <v>96</v>
      </c>
    </row>
    <row r="161" spans="1:3" x14ac:dyDescent="0.3">
      <c r="A161" s="3">
        <v>1332</v>
      </c>
      <c r="B161" s="4" t="s">
        <v>232</v>
      </c>
      <c r="C161" s="15" t="s">
        <v>94</v>
      </c>
    </row>
    <row r="162" spans="1:3" x14ac:dyDescent="0.3">
      <c r="A162" s="3">
        <v>1332</v>
      </c>
      <c r="B162" s="4" t="s">
        <v>232</v>
      </c>
      <c r="C162" s="15" t="s">
        <v>95</v>
      </c>
    </row>
    <row r="163" spans="1:3" x14ac:dyDescent="0.3">
      <c r="A163" s="3">
        <v>1332</v>
      </c>
      <c r="B163" s="4" t="s">
        <v>232</v>
      </c>
      <c r="C163" s="15" t="s">
        <v>93</v>
      </c>
    </row>
    <row r="164" spans="1:3" x14ac:dyDescent="0.3">
      <c r="A164" s="3">
        <v>1346</v>
      </c>
      <c r="B164" s="4" t="s">
        <v>233</v>
      </c>
      <c r="C164" s="4" t="str">
        <f>1&amp;". TOTAL - "&amp;B164</f>
        <v>1. TOTAL - VENDA INTERNA TO</v>
      </c>
    </row>
    <row r="165" spans="1:3" x14ac:dyDescent="0.3">
      <c r="A165" s="3">
        <v>1346</v>
      </c>
      <c r="B165" s="4" t="s">
        <v>233</v>
      </c>
      <c r="C165" s="15" t="s">
        <v>81</v>
      </c>
    </row>
    <row r="166" spans="1:3" x14ac:dyDescent="0.3">
      <c r="A166" s="3">
        <v>1346</v>
      </c>
      <c r="B166" s="4" t="s">
        <v>233</v>
      </c>
      <c r="C166" s="15" t="s">
        <v>82</v>
      </c>
    </row>
    <row r="167" spans="1:3" x14ac:dyDescent="0.3">
      <c r="A167" s="3">
        <v>1346</v>
      </c>
      <c r="B167" s="4" t="s">
        <v>233</v>
      </c>
      <c r="C167" s="15" t="s">
        <v>84</v>
      </c>
    </row>
    <row r="168" spans="1:3" x14ac:dyDescent="0.3">
      <c r="A168" s="3">
        <v>1346</v>
      </c>
      <c r="B168" s="4" t="s">
        <v>233</v>
      </c>
      <c r="C168" s="15" t="s">
        <v>83</v>
      </c>
    </row>
    <row r="169" spans="1:3" x14ac:dyDescent="0.3">
      <c r="A169" s="3">
        <v>1346</v>
      </c>
      <c r="B169" s="4" t="s">
        <v>233</v>
      </c>
      <c r="C169" s="15" t="s">
        <v>87</v>
      </c>
    </row>
    <row r="170" spans="1:3" x14ac:dyDescent="0.3">
      <c r="A170" s="3">
        <v>1346</v>
      </c>
      <c r="B170" s="4" t="s">
        <v>233</v>
      </c>
      <c r="C170" s="15" t="s">
        <v>85</v>
      </c>
    </row>
    <row r="171" spans="1:3" x14ac:dyDescent="0.3">
      <c r="A171" s="3">
        <v>1346</v>
      </c>
      <c r="B171" s="4" t="s">
        <v>233</v>
      </c>
      <c r="C171" s="15" t="s">
        <v>92</v>
      </c>
    </row>
    <row r="172" spans="1:3" x14ac:dyDescent="0.3">
      <c r="A172" s="3">
        <v>1346</v>
      </c>
      <c r="B172" s="4" t="s">
        <v>233</v>
      </c>
      <c r="C172" s="15" t="s">
        <v>86</v>
      </c>
    </row>
    <row r="173" spans="1:3" x14ac:dyDescent="0.3">
      <c r="A173" s="3">
        <v>1346</v>
      </c>
      <c r="B173" s="4" t="s">
        <v>233</v>
      </c>
      <c r="C173" s="15" t="s">
        <v>108</v>
      </c>
    </row>
    <row r="174" spans="1:3" x14ac:dyDescent="0.3">
      <c r="A174" s="3">
        <v>1346</v>
      </c>
      <c r="B174" s="4" t="s">
        <v>233</v>
      </c>
      <c r="C174" s="15" t="s">
        <v>89</v>
      </c>
    </row>
    <row r="175" spans="1:3" x14ac:dyDescent="0.3">
      <c r="A175" s="3">
        <v>1346</v>
      </c>
      <c r="B175" s="4" t="s">
        <v>233</v>
      </c>
      <c r="C175" s="15" t="s">
        <v>88</v>
      </c>
    </row>
    <row r="176" spans="1:3" x14ac:dyDescent="0.3">
      <c r="A176" s="3">
        <v>1346</v>
      </c>
      <c r="B176" s="4" t="s">
        <v>233</v>
      </c>
      <c r="C176" s="15" t="s">
        <v>90</v>
      </c>
    </row>
    <row r="177" spans="1:3" x14ac:dyDescent="0.3">
      <c r="A177" s="3">
        <v>1346</v>
      </c>
      <c r="B177" s="4" t="s">
        <v>233</v>
      </c>
      <c r="C177" s="15" t="s">
        <v>91</v>
      </c>
    </row>
    <row r="178" spans="1:3" x14ac:dyDescent="0.3">
      <c r="A178" s="3">
        <v>1346</v>
      </c>
      <c r="B178" s="4" t="s">
        <v>233</v>
      </c>
      <c r="C178" s="15" t="s">
        <v>96</v>
      </c>
    </row>
    <row r="179" spans="1:3" x14ac:dyDescent="0.3">
      <c r="A179" s="3">
        <v>1346</v>
      </c>
      <c r="B179" s="4" t="s">
        <v>233</v>
      </c>
      <c r="C179" s="15" t="s">
        <v>94</v>
      </c>
    </row>
    <row r="180" spans="1:3" x14ac:dyDescent="0.3">
      <c r="A180" s="3">
        <v>1346</v>
      </c>
      <c r="B180" s="4" t="s">
        <v>233</v>
      </c>
      <c r="C180" s="15" t="s">
        <v>95</v>
      </c>
    </row>
    <row r="181" spans="1:3" x14ac:dyDescent="0.3">
      <c r="A181" s="3">
        <v>1346</v>
      </c>
      <c r="B181" s="4" t="s">
        <v>233</v>
      </c>
      <c r="C181" s="15" t="s">
        <v>93</v>
      </c>
    </row>
    <row r="182" spans="1:3" x14ac:dyDescent="0.3">
      <c r="A182" s="3">
        <v>1347</v>
      </c>
      <c r="B182" s="4" t="s">
        <v>234</v>
      </c>
      <c r="C182" s="4" t="str">
        <f>1&amp;". TOTAL - "&amp;B182</f>
        <v>1. TOTAL - VENDA INTERNA RO</v>
      </c>
    </row>
    <row r="183" spans="1:3" x14ac:dyDescent="0.3">
      <c r="A183" s="3">
        <v>1347</v>
      </c>
      <c r="B183" s="4" t="s">
        <v>234</v>
      </c>
      <c r="C183" s="15" t="s">
        <v>81</v>
      </c>
    </row>
    <row r="184" spans="1:3" x14ac:dyDescent="0.3">
      <c r="A184" s="3">
        <v>1347</v>
      </c>
      <c r="B184" s="4" t="s">
        <v>234</v>
      </c>
      <c r="C184" s="15" t="s">
        <v>82</v>
      </c>
    </row>
    <row r="185" spans="1:3" x14ac:dyDescent="0.3">
      <c r="A185" s="3">
        <v>1347</v>
      </c>
      <c r="B185" s="4" t="s">
        <v>234</v>
      </c>
      <c r="C185" s="15" t="s">
        <v>84</v>
      </c>
    </row>
    <row r="186" spans="1:3" x14ac:dyDescent="0.3">
      <c r="A186" s="3">
        <v>1347</v>
      </c>
      <c r="B186" s="4" t="s">
        <v>234</v>
      </c>
      <c r="C186" s="15" t="s">
        <v>83</v>
      </c>
    </row>
    <row r="187" spans="1:3" x14ac:dyDescent="0.3">
      <c r="A187" s="3">
        <v>1347</v>
      </c>
      <c r="B187" s="4" t="s">
        <v>234</v>
      </c>
      <c r="C187" s="15" t="s">
        <v>87</v>
      </c>
    </row>
    <row r="188" spans="1:3" x14ac:dyDescent="0.3">
      <c r="A188" s="3">
        <v>1347</v>
      </c>
      <c r="B188" s="4" t="s">
        <v>234</v>
      </c>
      <c r="C188" s="15" t="s">
        <v>85</v>
      </c>
    </row>
    <row r="189" spans="1:3" x14ac:dyDescent="0.3">
      <c r="A189" s="3">
        <v>1347</v>
      </c>
      <c r="B189" s="4" t="s">
        <v>234</v>
      </c>
      <c r="C189" s="15" t="s">
        <v>92</v>
      </c>
    </row>
    <row r="190" spans="1:3" x14ac:dyDescent="0.3">
      <c r="A190" s="3">
        <v>1347</v>
      </c>
      <c r="B190" s="4" t="s">
        <v>234</v>
      </c>
      <c r="C190" s="15" t="s">
        <v>86</v>
      </c>
    </row>
    <row r="191" spans="1:3" x14ac:dyDescent="0.3">
      <c r="A191" s="3">
        <v>1347</v>
      </c>
      <c r="B191" s="4" t="s">
        <v>234</v>
      </c>
      <c r="C191" s="15" t="s">
        <v>108</v>
      </c>
    </row>
    <row r="192" spans="1:3" x14ac:dyDescent="0.3">
      <c r="A192" s="3">
        <v>1347</v>
      </c>
      <c r="B192" s="4" t="s">
        <v>234</v>
      </c>
      <c r="C192" s="15" t="s">
        <v>89</v>
      </c>
    </row>
    <row r="193" spans="1:3" x14ac:dyDescent="0.3">
      <c r="A193" s="3">
        <v>1347</v>
      </c>
      <c r="B193" s="4" t="s">
        <v>234</v>
      </c>
      <c r="C193" s="15" t="s">
        <v>88</v>
      </c>
    </row>
    <row r="194" spans="1:3" x14ac:dyDescent="0.3">
      <c r="A194" s="3">
        <v>1347</v>
      </c>
      <c r="B194" s="4" t="s">
        <v>234</v>
      </c>
      <c r="C194" s="15" t="s">
        <v>90</v>
      </c>
    </row>
    <row r="195" spans="1:3" x14ac:dyDescent="0.3">
      <c r="A195" s="3">
        <v>1347</v>
      </c>
      <c r="B195" s="4" t="s">
        <v>234</v>
      </c>
      <c r="C195" s="15" t="s">
        <v>91</v>
      </c>
    </row>
    <row r="196" spans="1:3" x14ac:dyDescent="0.3">
      <c r="A196" s="3">
        <v>1347</v>
      </c>
      <c r="B196" s="4" t="s">
        <v>234</v>
      </c>
      <c r="C196" s="15" t="s">
        <v>96</v>
      </c>
    </row>
    <row r="197" spans="1:3" x14ac:dyDescent="0.3">
      <c r="A197" s="3">
        <v>1347</v>
      </c>
      <c r="B197" s="4" t="s">
        <v>234</v>
      </c>
      <c r="C197" s="15" t="s">
        <v>94</v>
      </c>
    </row>
    <row r="198" spans="1:3" x14ac:dyDescent="0.3">
      <c r="A198" s="3">
        <v>1347</v>
      </c>
      <c r="B198" s="4" t="s">
        <v>234</v>
      </c>
      <c r="C198" s="15" t="s">
        <v>95</v>
      </c>
    </row>
    <row r="199" spans="1:3" x14ac:dyDescent="0.3">
      <c r="A199" s="3">
        <v>1347</v>
      </c>
      <c r="B199" s="4" t="s">
        <v>234</v>
      </c>
      <c r="C199" s="15" t="s">
        <v>93</v>
      </c>
    </row>
    <row r="200" spans="1:3" x14ac:dyDescent="0.3">
      <c r="A200" s="3">
        <v>1348</v>
      </c>
      <c r="B200" s="4" t="s">
        <v>235</v>
      </c>
      <c r="C200" s="4" t="str">
        <f>1&amp;". TOTAL - "&amp;B200</f>
        <v>1. TOTAL - VENDA INTERNA RR</v>
      </c>
    </row>
    <row r="201" spans="1:3" x14ac:dyDescent="0.3">
      <c r="A201" s="3">
        <v>1348</v>
      </c>
      <c r="B201" s="4" t="s">
        <v>235</v>
      </c>
      <c r="C201" s="15" t="s">
        <v>81</v>
      </c>
    </row>
    <row r="202" spans="1:3" x14ac:dyDescent="0.3">
      <c r="A202" s="3">
        <v>1348</v>
      </c>
      <c r="B202" s="4" t="s">
        <v>235</v>
      </c>
      <c r="C202" s="15" t="s">
        <v>82</v>
      </c>
    </row>
    <row r="203" spans="1:3" x14ac:dyDescent="0.3">
      <c r="A203" s="3">
        <v>1348</v>
      </c>
      <c r="B203" s="4" t="s">
        <v>235</v>
      </c>
      <c r="C203" s="15" t="s">
        <v>84</v>
      </c>
    </row>
    <row r="204" spans="1:3" x14ac:dyDescent="0.3">
      <c r="A204" s="3">
        <v>1348</v>
      </c>
      <c r="B204" s="4" t="s">
        <v>235</v>
      </c>
      <c r="C204" s="15" t="s">
        <v>83</v>
      </c>
    </row>
    <row r="205" spans="1:3" x14ac:dyDescent="0.3">
      <c r="A205" s="3">
        <v>1348</v>
      </c>
      <c r="B205" s="4" t="s">
        <v>235</v>
      </c>
      <c r="C205" s="15" t="s">
        <v>87</v>
      </c>
    </row>
    <row r="206" spans="1:3" x14ac:dyDescent="0.3">
      <c r="A206" s="3">
        <v>1348</v>
      </c>
      <c r="B206" s="4" t="s">
        <v>235</v>
      </c>
      <c r="C206" s="15" t="s">
        <v>85</v>
      </c>
    </row>
    <row r="207" spans="1:3" x14ac:dyDescent="0.3">
      <c r="A207" s="3">
        <v>1348</v>
      </c>
      <c r="B207" s="4" t="s">
        <v>235</v>
      </c>
      <c r="C207" s="15" t="s">
        <v>92</v>
      </c>
    </row>
    <row r="208" spans="1:3" x14ac:dyDescent="0.3">
      <c r="A208" s="3">
        <v>1348</v>
      </c>
      <c r="B208" s="4" t="s">
        <v>235</v>
      </c>
      <c r="C208" s="15" t="s">
        <v>86</v>
      </c>
    </row>
    <row r="209" spans="1:3" x14ac:dyDescent="0.3">
      <c r="A209" s="3">
        <v>1348</v>
      </c>
      <c r="B209" s="4" t="s">
        <v>235</v>
      </c>
      <c r="C209" s="15" t="s">
        <v>108</v>
      </c>
    </row>
    <row r="210" spans="1:3" x14ac:dyDescent="0.3">
      <c r="A210" s="3">
        <v>1348</v>
      </c>
      <c r="B210" s="4" t="s">
        <v>235</v>
      </c>
      <c r="C210" s="15" t="s">
        <v>89</v>
      </c>
    </row>
    <row r="211" spans="1:3" x14ac:dyDescent="0.3">
      <c r="A211" s="3">
        <v>1348</v>
      </c>
      <c r="B211" s="4" t="s">
        <v>235</v>
      </c>
      <c r="C211" s="15" t="s">
        <v>88</v>
      </c>
    </row>
    <row r="212" spans="1:3" x14ac:dyDescent="0.3">
      <c r="A212" s="3">
        <v>1348</v>
      </c>
      <c r="B212" s="4" t="s">
        <v>235</v>
      </c>
      <c r="C212" s="15" t="s">
        <v>90</v>
      </c>
    </row>
    <row r="213" spans="1:3" x14ac:dyDescent="0.3">
      <c r="A213" s="3">
        <v>1348</v>
      </c>
      <c r="B213" s="4" t="s">
        <v>235</v>
      </c>
      <c r="C213" s="15" t="s">
        <v>91</v>
      </c>
    </row>
    <row r="214" spans="1:3" x14ac:dyDescent="0.3">
      <c r="A214" s="3">
        <v>1348</v>
      </c>
      <c r="B214" s="4" t="s">
        <v>235</v>
      </c>
      <c r="C214" s="15" t="s">
        <v>96</v>
      </c>
    </row>
    <row r="215" spans="1:3" x14ac:dyDescent="0.3">
      <c r="A215" s="3">
        <v>1348</v>
      </c>
      <c r="B215" s="4" t="s">
        <v>235</v>
      </c>
      <c r="C215" s="15" t="s">
        <v>94</v>
      </c>
    </row>
    <row r="216" spans="1:3" x14ac:dyDescent="0.3">
      <c r="A216" s="3">
        <v>1348</v>
      </c>
      <c r="B216" s="4" t="s">
        <v>235</v>
      </c>
      <c r="C216" s="15" t="s">
        <v>95</v>
      </c>
    </row>
    <row r="217" spans="1:3" x14ac:dyDescent="0.3">
      <c r="A217" s="3">
        <v>1348</v>
      </c>
      <c r="B217" s="4" t="s">
        <v>235</v>
      </c>
      <c r="C217" s="15" t="s">
        <v>93</v>
      </c>
    </row>
    <row r="218" spans="1:3" x14ac:dyDescent="0.3">
      <c r="A218" s="3">
        <v>1349</v>
      </c>
      <c r="B218" s="4" t="s">
        <v>236</v>
      </c>
      <c r="C218" s="4" t="str">
        <f>1&amp;". TOTAL - "&amp;B218</f>
        <v>1. TOTAL - VENDA INTERNA PA</v>
      </c>
    </row>
    <row r="219" spans="1:3" x14ac:dyDescent="0.3">
      <c r="A219" s="3">
        <v>1349</v>
      </c>
      <c r="B219" s="4" t="s">
        <v>236</v>
      </c>
      <c r="C219" s="15" t="s">
        <v>81</v>
      </c>
    </row>
    <row r="220" spans="1:3" x14ac:dyDescent="0.3">
      <c r="A220" s="3">
        <v>1349</v>
      </c>
      <c r="B220" s="4" t="s">
        <v>236</v>
      </c>
      <c r="C220" s="15" t="s">
        <v>82</v>
      </c>
    </row>
    <row r="221" spans="1:3" x14ac:dyDescent="0.3">
      <c r="A221" s="3">
        <v>1349</v>
      </c>
      <c r="B221" s="4" t="s">
        <v>236</v>
      </c>
      <c r="C221" s="15" t="s">
        <v>84</v>
      </c>
    </row>
    <row r="222" spans="1:3" x14ac:dyDescent="0.3">
      <c r="A222" s="3">
        <v>1349</v>
      </c>
      <c r="B222" s="4" t="s">
        <v>236</v>
      </c>
      <c r="C222" s="15" t="s">
        <v>83</v>
      </c>
    </row>
    <row r="223" spans="1:3" x14ac:dyDescent="0.3">
      <c r="A223" s="3">
        <v>1349</v>
      </c>
      <c r="B223" s="4" t="s">
        <v>236</v>
      </c>
      <c r="C223" s="15" t="s">
        <v>87</v>
      </c>
    </row>
    <row r="224" spans="1:3" x14ac:dyDescent="0.3">
      <c r="A224" s="3">
        <v>1349</v>
      </c>
      <c r="B224" s="4" t="s">
        <v>236</v>
      </c>
      <c r="C224" s="15" t="s">
        <v>85</v>
      </c>
    </row>
    <row r="225" spans="1:3" x14ac:dyDescent="0.3">
      <c r="A225" s="3">
        <v>1349</v>
      </c>
      <c r="B225" s="4" t="s">
        <v>236</v>
      </c>
      <c r="C225" s="15" t="s">
        <v>92</v>
      </c>
    </row>
    <row r="226" spans="1:3" x14ac:dyDescent="0.3">
      <c r="A226" s="3">
        <v>1349</v>
      </c>
      <c r="B226" s="4" t="s">
        <v>236</v>
      </c>
      <c r="C226" s="15" t="s">
        <v>86</v>
      </c>
    </row>
    <row r="227" spans="1:3" x14ac:dyDescent="0.3">
      <c r="A227" s="3">
        <v>1349</v>
      </c>
      <c r="B227" s="4" t="s">
        <v>236</v>
      </c>
      <c r="C227" s="15" t="s">
        <v>108</v>
      </c>
    </row>
    <row r="228" spans="1:3" x14ac:dyDescent="0.3">
      <c r="A228" s="3">
        <v>1349</v>
      </c>
      <c r="B228" s="4" t="s">
        <v>236</v>
      </c>
      <c r="C228" s="15" t="s">
        <v>89</v>
      </c>
    </row>
    <row r="229" spans="1:3" x14ac:dyDescent="0.3">
      <c r="A229" s="3">
        <v>1349</v>
      </c>
      <c r="B229" s="4" t="s">
        <v>236</v>
      </c>
      <c r="C229" s="15" t="s">
        <v>88</v>
      </c>
    </row>
    <row r="230" spans="1:3" x14ac:dyDescent="0.3">
      <c r="A230" s="3">
        <v>1349</v>
      </c>
      <c r="B230" s="4" t="s">
        <v>236</v>
      </c>
      <c r="C230" s="15" t="s">
        <v>90</v>
      </c>
    </row>
    <row r="231" spans="1:3" x14ac:dyDescent="0.3">
      <c r="A231" s="3">
        <v>1349</v>
      </c>
      <c r="B231" s="4" t="s">
        <v>236</v>
      </c>
      <c r="C231" s="15" t="s">
        <v>91</v>
      </c>
    </row>
    <row r="232" spans="1:3" x14ac:dyDescent="0.3">
      <c r="A232" s="3">
        <v>1349</v>
      </c>
      <c r="B232" s="4" t="s">
        <v>236</v>
      </c>
      <c r="C232" s="15" t="s">
        <v>96</v>
      </c>
    </row>
    <row r="233" spans="1:3" x14ac:dyDescent="0.3">
      <c r="A233" s="3">
        <v>1349</v>
      </c>
      <c r="B233" s="4" t="s">
        <v>236</v>
      </c>
      <c r="C233" s="15" t="s">
        <v>94</v>
      </c>
    </row>
    <row r="234" spans="1:3" x14ac:dyDescent="0.3">
      <c r="A234" s="3">
        <v>1349</v>
      </c>
      <c r="B234" s="4" t="s">
        <v>236</v>
      </c>
      <c r="C234" s="15" t="s">
        <v>95</v>
      </c>
    </row>
    <row r="235" spans="1:3" x14ac:dyDescent="0.3">
      <c r="A235" s="3">
        <v>1349</v>
      </c>
      <c r="B235" s="4" t="s">
        <v>236</v>
      </c>
      <c r="C235" s="15" t="s">
        <v>93</v>
      </c>
    </row>
    <row r="236" spans="1:3" x14ac:dyDescent="0.3">
      <c r="A236" s="3">
        <v>1351</v>
      </c>
      <c r="B236" s="4" t="s">
        <v>237</v>
      </c>
      <c r="C236" s="4" t="str">
        <f>1&amp;". TOTAL - "&amp;B236</f>
        <v>1. TOTAL - VENDA INTERNA AM</v>
      </c>
    </row>
    <row r="237" spans="1:3" x14ac:dyDescent="0.3">
      <c r="A237" s="3">
        <v>1351</v>
      </c>
      <c r="B237" s="4" t="s">
        <v>237</v>
      </c>
      <c r="C237" s="15" t="s">
        <v>81</v>
      </c>
    </row>
    <row r="238" spans="1:3" x14ac:dyDescent="0.3">
      <c r="A238" s="3">
        <v>1351</v>
      </c>
      <c r="B238" s="4" t="s">
        <v>237</v>
      </c>
      <c r="C238" s="15" t="s">
        <v>82</v>
      </c>
    </row>
    <row r="239" spans="1:3" x14ac:dyDescent="0.3">
      <c r="A239" s="3">
        <v>1351</v>
      </c>
      <c r="B239" s="4" t="s">
        <v>237</v>
      </c>
      <c r="C239" s="15" t="s">
        <v>84</v>
      </c>
    </row>
    <row r="240" spans="1:3" x14ac:dyDescent="0.3">
      <c r="A240" s="3">
        <v>1351</v>
      </c>
      <c r="B240" s="4" t="s">
        <v>237</v>
      </c>
      <c r="C240" s="15" t="s">
        <v>83</v>
      </c>
    </row>
    <row r="241" spans="1:3" x14ac:dyDescent="0.3">
      <c r="A241" s="3">
        <v>1351</v>
      </c>
      <c r="B241" s="4" t="s">
        <v>237</v>
      </c>
      <c r="C241" s="15" t="s">
        <v>87</v>
      </c>
    </row>
    <row r="242" spans="1:3" x14ac:dyDescent="0.3">
      <c r="A242" s="3">
        <v>1351</v>
      </c>
      <c r="B242" s="4" t="s">
        <v>237</v>
      </c>
      <c r="C242" s="15" t="s">
        <v>85</v>
      </c>
    </row>
    <row r="243" spans="1:3" x14ac:dyDescent="0.3">
      <c r="A243" s="3">
        <v>1351</v>
      </c>
      <c r="B243" s="4" t="s">
        <v>237</v>
      </c>
      <c r="C243" s="15" t="s">
        <v>92</v>
      </c>
    </row>
    <row r="244" spans="1:3" x14ac:dyDescent="0.3">
      <c r="A244" s="3">
        <v>1351</v>
      </c>
      <c r="B244" s="4" t="s">
        <v>237</v>
      </c>
      <c r="C244" s="15" t="s">
        <v>86</v>
      </c>
    </row>
    <row r="245" spans="1:3" x14ac:dyDescent="0.3">
      <c r="A245" s="3">
        <v>1351</v>
      </c>
      <c r="B245" s="4" t="s">
        <v>237</v>
      </c>
      <c r="C245" s="15" t="s">
        <v>108</v>
      </c>
    </row>
    <row r="246" spans="1:3" x14ac:dyDescent="0.3">
      <c r="A246" s="3">
        <v>1351</v>
      </c>
      <c r="B246" s="4" t="s">
        <v>237</v>
      </c>
      <c r="C246" s="15" t="s">
        <v>89</v>
      </c>
    </row>
    <row r="247" spans="1:3" x14ac:dyDescent="0.3">
      <c r="A247" s="3">
        <v>1351</v>
      </c>
      <c r="B247" s="4" t="s">
        <v>237</v>
      </c>
      <c r="C247" s="15" t="s">
        <v>88</v>
      </c>
    </row>
    <row r="248" spans="1:3" x14ac:dyDescent="0.3">
      <c r="A248" s="3">
        <v>1351</v>
      </c>
      <c r="B248" s="4" t="s">
        <v>237</v>
      </c>
      <c r="C248" s="15" t="s">
        <v>90</v>
      </c>
    </row>
    <row r="249" spans="1:3" x14ac:dyDescent="0.3">
      <c r="A249" s="3">
        <v>1351</v>
      </c>
      <c r="B249" s="4" t="s">
        <v>237</v>
      </c>
      <c r="C249" s="15" t="s">
        <v>91</v>
      </c>
    </row>
    <row r="250" spans="1:3" x14ac:dyDescent="0.3">
      <c r="A250" s="3">
        <v>1351</v>
      </c>
      <c r="B250" s="4" t="s">
        <v>237</v>
      </c>
      <c r="C250" s="15" t="s">
        <v>96</v>
      </c>
    </row>
    <row r="251" spans="1:3" x14ac:dyDescent="0.3">
      <c r="A251" s="3">
        <v>1351</v>
      </c>
      <c r="B251" s="4" t="s">
        <v>237</v>
      </c>
      <c r="C251" s="15" t="s">
        <v>94</v>
      </c>
    </row>
    <row r="252" spans="1:3" x14ac:dyDescent="0.3">
      <c r="A252" s="3">
        <v>1351</v>
      </c>
      <c r="B252" s="4" t="s">
        <v>237</v>
      </c>
      <c r="C252" s="15" t="s">
        <v>95</v>
      </c>
    </row>
    <row r="253" spans="1:3" x14ac:dyDescent="0.3">
      <c r="A253" s="3">
        <v>1351</v>
      </c>
      <c r="B253" s="4" t="s">
        <v>237</v>
      </c>
      <c r="C253" s="15" t="s">
        <v>93</v>
      </c>
    </row>
    <row r="254" spans="1:3" x14ac:dyDescent="0.3">
      <c r="A254" s="3">
        <v>1352</v>
      </c>
      <c r="B254" s="4" t="s">
        <v>238</v>
      </c>
      <c r="C254" s="4" t="str">
        <f>1&amp;". TOTAL - "&amp;B254</f>
        <v>1. TOTAL - VENDA INTERNA DF</v>
      </c>
    </row>
    <row r="255" spans="1:3" x14ac:dyDescent="0.3">
      <c r="A255" s="3">
        <v>1352</v>
      </c>
      <c r="B255" s="4" t="s">
        <v>238</v>
      </c>
      <c r="C255" s="15" t="s">
        <v>81</v>
      </c>
    </row>
    <row r="256" spans="1:3" x14ac:dyDescent="0.3">
      <c r="A256" s="3">
        <v>1352</v>
      </c>
      <c r="B256" s="4" t="s">
        <v>238</v>
      </c>
      <c r="C256" s="15" t="s">
        <v>82</v>
      </c>
    </row>
    <row r="257" spans="1:3" x14ac:dyDescent="0.3">
      <c r="A257" s="3">
        <v>1352</v>
      </c>
      <c r="B257" s="4" t="s">
        <v>238</v>
      </c>
      <c r="C257" s="15" t="s">
        <v>84</v>
      </c>
    </row>
    <row r="258" spans="1:3" x14ac:dyDescent="0.3">
      <c r="A258" s="3">
        <v>1352</v>
      </c>
      <c r="B258" s="4" t="s">
        <v>238</v>
      </c>
      <c r="C258" s="15" t="s">
        <v>83</v>
      </c>
    </row>
    <row r="259" spans="1:3" x14ac:dyDescent="0.3">
      <c r="A259" s="3">
        <v>1352</v>
      </c>
      <c r="B259" s="4" t="s">
        <v>238</v>
      </c>
      <c r="C259" s="15" t="s">
        <v>87</v>
      </c>
    </row>
    <row r="260" spans="1:3" x14ac:dyDescent="0.3">
      <c r="A260" s="3">
        <v>1352</v>
      </c>
      <c r="B260" s="4" t="s">
        <v>238</v>
      </c>
      <c r="C260" s="15" t="s">
        <v>85</v>
      </c>
    </row>
    <row r="261" spans="1:3" x14ac:dyDescent="0.3">
      <c r="A261" s="3">
        <v>1352</v>
      </c>
      <c r="B261" s="4" t="s">
        <v>238</v>
      </c>
      <c r="C261" s="15" t="s">
        <v>92</v>
      </c>
    </row>
    <row r="262" spans="1:3" x14ac:dyDescent="0.3">
      <c r="A262" s="3">
        <v>1352</v>
      </c>
      <c r="B262" s="4" t="s">
        <v>238</v>
      </c>
      <c r="C262" s="15" t="s">
        <v>86</v>
      </c>
    </row>
    <row r="263" spans="1:3" x14ac:dyDescent="0.3">
      <c r="A263" s="3">
        <v>1352</v>
      </c>
      <c r="B263" s="4" t="s">
        <v>238</v>
      </c>
      <c r="C263" s="15" t="s">
        <v>108</v>
      </c>
    </row>
    <row r="264" spans="1:3" x14ac:dyDescent="0.3">
      <c r="A264" s="3">
        <v>1352</v>
      </c>
      <c r="B264" s="4" t="s">
        <v>238</v>
      </c>
      <c r="C264" s="15" t="s">
        <v>89</v>
      </c>
    </row>
    <row r="265" spans="1:3" x14ac:dyDescent="0.3">
      <c r="A265" s="3">
        <v>1352</v>
      </c>
      <c r="B265" s="4" t="s">
        <v>238</v>
      </c>
      <c r="C265" s="15" t="s">
        <v>88</v>
      </c>
    </row>
    <row r="266" spans="1:3" x14ac:dyDescent="0.3">
      <c r="A266" s="3">
        <v>1352</v>
      </c>
      <c r="B266" s="4" t="s">
        <v>238</v>
      </c>
      <c r="C266" s="15" t="s">
        <v>90</v>
      </c>
    </row>
    <row r="267" spans="1:3" x14ac:dyDescent="0.3">
      <c r="A267" s="3">
        <v>1352</v>
      </c>
      <c r="B267" s="4" t="s">
        <v>238</v>
      </c>
      <c r="C267" s="15" t="s">
        <v>91</v>
      </c>
    </row>
    <row r="268" spans="1:3" x14ac:dyDescent="0.3">
      <c r="A268" s="3">
        <v>1352</v>
      </c>
      <c r="B268" s="4" t="s">
        <v>238</v>
      </c>
      <c r="C268" s="15" t="s">
        <v>96</v>
      </c>
    </row>
    <row r="269" spans="1:3" x14ac:dyDescent="0.3">
      <c r="A269" s="3">
        <v>1352</v>
      </c>
      <c r="B269" s="4" t="s">
        <v>238</v>
      </c>
      <c r="C269" s="15" t="s">
        <v>94</v>
      </c>
    </row>
    <row r="270" spans="1:3" x14ac:dyDescent="0.3">
      <c r="A270" s="3">
        <v>1352</v>
      </c>
      <c r="B270" s="4" t="s">
        <v>238</v>
      </c>
      <c r="C270" s="15" t="s">
        <v>95</v>
      </c>
    </row>
    <row r="271" spans="1:3" x14ac:dyDescent="0.3">
      <c r="A271" s="3">
        <v>1352</v>
      </c>
      <c r="B271" s="4" t="s">
        <v>238</v>
      </c>
      <c r="C271" s="15" t="s">
        <v>93</v>
      </c>
    </row>
    <row r="272" spans="1:3" x14ac:dyDescent="0.3">
      <c r="A272" s="3">
        <v>1353</v>
      </c>
      <c r="B272" s="4" t="s">
        <v>239</v>
      </c>
      <c r="C272" s="4" t="str">
        <f>1&amp;". TOTAL - "&amp;B272</f>
        <v>1. TOTAL - VENDA INTERNA MS</v>
      </c>
    </row>
    <row r="273" spans="1:3" x14ac:dyDescent="0.3">
      <c r="A273" s="3">
        <v>1353</v>
      </c>
      <c r="B273" s="4" t="s">
        <v>239</v>
      </c>
      <c r="C273" s="15" t="s">
        <v>81</v>
      </c>
    </row>
    <row r="274" spans="1:3" x14ac:dyDescent="0.3">
      <c r="A274" s="3">
        <v>1353</v>
      </c>
      <c r="B274" s="4" t="s">
        <v>239</v>
      </c>
      <c r="C274" s="15" t="s">
        <v>82</v>
      </c>
    </row>
    <row r="275" spans="1:3" x14ac:dyDescent="0.3">
      <c r="A275" s="3">
        <v>1353</v>
      </c>
      <c r="B275" s="4" t="s">
        <v>239</v>
      </c>
      <c r="C275" s="15" t="s">
        <v>84</v>
      </c>
    </row>
    <row r="276" spans="1:3" x14ac:dyDescent="0.3">
      <c r="A276" s="3">
        <v>1353</v>
      </c>
      <c r="B276" s="4" t="s">
        <v>239</v>
      </c>
      <c r="C276" s="15" t="s">
        <v>83</v>
      </c>
    </row>
    <row r="277" spans="1:3" x14ac:dyDescent="0.3">
      <c r="A277" s="3">
        <v>1353</v>
      </c>
      <c r="B277" s="4" t="s">
        <v>239</v>
      </c>
      <c r="C277" s="15" t="s">
        <v>87</v>
      </c>
    </row>
    <row r="278" spans="1:3" x14ac:dyDescent="0.3">
      <c r="A278" s="3">
        <v>1353</v>
      </c>
      <c r="B278" s="4" t="s">
        <v>239</v>
      </c>
      <c r="C278" s="15" t="s">
        <v>85</v>
      </c>
    </row>
    <row r="279" spans="1:3" x14ac:dyDescent="0.3">
      <c r="A279" s="3">
        <v>1353</v>
      </c>
      <c r="B279" s="4" t="s">
        <v>239</v>
      </c>
      <c r="C279" s="15" t="s">
        <v>92</v>
      </c>
    </row>
    <row r="280" spans="1:3" x14ac:dyDescent="0.3">
      <c r="A280" s="3">
        <v>1353</v>
      </c>
      <c r="B280" s="4" t="s">
        <v>239</v>
      </c>
      <c r="C280" s="15" t="s">
        <v>86</v>
      </c>
    </row>
    <row r="281" spans="1:3" x14ac:dyDescent="0.3">
      <c r="A281" s="3">
        <v>1353</v>
      </c>
      <c r="B281" s="4" t="s">
        <v>239</v>
      </c>
      <c r="C281" s="15" t="s">
        <v>108</v>
      </c>
    </row>
    <row r="282" spans="1:3" x14ac:dyDescent="0.3">
      <c r="A282" s="3">
        <v>1353</v>
      </c>
      <c r="B282" s="4" t="s">
        <v>239</v>
      </c>
      <c r="C282" s="15" t="s">
        <v>89</v>
      </c>
    </row>
    <row r="283" spans="1:3" x14ac:dyDescent="0.3">
      <c r="A283" s="3">
        <v>1353</v>
      </c>
      <c r="B283" s="4" t="s">
        <v>239</v>
      </c>
      <c r="C283" s="15" t="s">
        <v>88</v>
      </c>
    </row>
    <row r="284" spans="1:3" x14ac:dyDescent="0.3">
      <c r="A284" s="3">
        <v>1353</v>
      </c>
      <c r="B284" s="4" t="s">
        <v>239</v>
      </c>
      <c r="C284" s="15" t="s">
        <v>90</v>
      </c>
    </row>
    <row r="285" spans="1:3" x14ac:dyDescent="0.3">
      <c r="A285" s="3">
        <v>1353</v>
      </c>
      <c r="B285" s="4" t="s">
        <v>239</v>
      </c>
      <c r="C285" s="15" t="s">
        <v>91</v>
      </c>
    </row>
    <row r="286" spans="1:3" x14ac:dyDescent="0.3">
      <c r="A286" s="3">
        <v>1353</v>
      </c>
      <c r="B286" s="4" t="s">
        <v>239</v>
      </c>
      <c r="C286" s="15" t="s">
        <v>96</v>
      </c>
    </row>
    <row r="287" spans="1:3" x14ac:dyDescent="0.3">
      <c r="A287" s="3">
        <v>1353</v>
      </c>
      <c r="B287" s="4" t="s">
        <v>239</v>
      </c>
      <c r="C287" s="15" t="s">
        <v>94</v>
      </c>
    </row>
    <row r="288" spans="1:3" x14ac:dyDescent="0.3">
      <c r="A288" s="3">
        <v>1353</v>
      </c>
      <c r="B288" s="4" t="s">
        <v>239</v>
      </c>
      <c r="C288" s="15" t="s">
        <v>95</v>
      </c>
    </row>
    <row r="289" spans="1:3" x14ac:dyDescent="0.3">
      <c r="A289" s="3">
        <v>1353</v>
      </c>
      <c r="B289" s="4" t="s">
        <v>239</v>
      </c>
      <c r="C289" s="15" t="s">
        <v>93</v>
      </c>
    </row>
    <row r="290" spans="1:3" x14ac:dyDescent="0.3">
      <c r="A290" s="3">
        <v>1354</v>
      </c>
      <c r="B290" s="4" t="s">
        <v>240</v>
      </c>
      <c r="C290" s="4" t="str">
        <f>1&amp;". TOTAL - "&amp;B290</f>
        <v>1. TOTAL - VENDA INTERNA MT</v>
      </c>
    </row>
    <row r="291" spans="1:3" x14ac:dyDescent="0.3">
      <c r="A291" s="3">
        <v>1354</v>
      </c>
      <c r="B291" s="4" t="s">
        <v>240</v>
      </c>
      <c r="C291" s="15" t="s">
        <v>81</v>
      </c>
    </row>
    <row r="292" spans="1:3" x14ac:dyDescent="0.3">
      <c r="A292" s="3">
        <v>1354</v>
      </c>
      <c r="B292" s="4" t="s">
        <v>240</v>
      </c>
      <c r="C292" s="15" t="s">
        <v>82</v>
      </c>
    </row>
    <row r="293" spans="1:3" x14ac:dyDescent="0.3">
      <c r="A293" s="3">
        <v>1354</v>
      </c>
      <c r="B293" s="4" t="s">
        <v>240</v>
      </c>
      <c r="C293" s="15" t="s">
        <v>84</v>
      </c>
    </row>
    <row r="294" spans="1:3" x14ac:dyDescent="0.3">
      <c r="A294" s="3">
        <v>1354</v>
      </c>
      <c r="B294" s="4" t="s">
        <v>240</v>
      </c>
      <c r="C294" s="15" t="s">
        <v>83</v>
      </c>
    </row>
    <row r="295" spans="1:3" x14ac:dyDescent="0.3">
      <c r="A295" s="3">
        <v>1354</v>
      </c>
      <c r="B295" s="4" t="s">
        <v>240</v>
      </c>
      <c r="C295" s="15" t="s">
        <v>87</v>
      </c>
    </row>
    <row r="296" spans="1:3" x14ac:dyDescent="0.3">
      <c r="A296" s="3">
        <v>1354</v>
      </c>
      <c r="B296" s="4" t="s">
        <v>240</v>
      </c>
      <c r="C296" s="15" t="s">
        <v>85</v>
      </c>
    </row>
    <row r="297" spans="1:3" x14ac:dyDescent="0.3">
      <c r="A297" s="3">
        <v>1354</v>
      </c>
      <c r="B297" s="4" t="s">
        <v>240</v>
      </c>
      <c r="C297" s="15" t="s">
        <v>92</v>
      </c>
    </row>
    <row r="298" spans="1:3" x14ac:dyDescent="0.3">
      <c r="A298" s="3">
        <v>1354</v>
      </c>
      <c r="B298" s="4" t="s">
        <v>240</v>
      </c>
      <c r="C298" s="15" t="s">
        <v>86</v>
      </c>
    </row>
    <row r="299" spans="1:3" x14ac:dyDescent="0.3">
      <c r="A299" s="3">
        <v>1354</v>
      </c>
      <c r="B299" s="4" t="s">
        <v>240</v>
      </c>
      <c r="C299" s="15" t="s">
        <v>108</v>
      </c>
    </row>
    <row r="300" spans="1:3" x14ac:dyDescent="0.3">
      <c r="A300" s="3">
        <v>1354</v>
      </c>
      <c r="B300" s="4" t="s">
        <v>240</v>
      </c>
      <c r="C300" s="15" t="s">
        <v>89</v>
      </c>
    </row>
    <row r="301" spans="1:3" x14ac:dyDescent="0.3">
      <c r="A301" s="3">
        <v>1354</v>
      </c>
      <c r="B301" s="4" t="s">
        <v>240</v>
      </c>
      <c r="C301" s="15" t="s">
        <v>88</v>
      </c>
    </row>
    <row r="302" spans="1:3" x14ac:dyDescent="0.3">
      <c r="A302" s="3">
        <v>1354</v>
      </c>
      <c r="B302" s="4" t="s">
        <v>240</v>
      </c>
      <c r="C302" s="15" t="s">
        <v>90</v>
      </c>
    </row>
    <row r="303" spans="1:3" x14ac:dyDescent="0.3">
      <c r="A303" s="3">
        <v>1354</v>
      </c>
      <c r="B303" s="4" t="s">
        <v>240</v>
      </c>
      <c r="C303" s="15" t="s">
        <v>91</v>
      </c>
    </row>
    <row r="304" spans="1:3" x14ac:dyDescent="0.3">
      <c r="A304" s="3">
        <v>1354</v>
      </c>
      <c r="B304" s="4" t="s">
        <v>240</v>
      </c>
      <c r="C304" s="15" t="s">
        <v>96</v>
      </c>
    </row>
    <row r="305" spans="1:3" x14ac:dyDescent="0.3">
      <c r="A305" s="3">
        <v>1354</v>
      </c>
      <c r="B305" s="4" t="s">
        <v>240</v>
      </c>
      <c r="C305" s="15" t="s">
        <v>94</v>
      </c>
    </row>
    <row r="306" spans="1:3" x14ac:dyDescent="0.3">
      <c r="A306" s="3">
        <v>1354</v>
      </c>
      <c r="B306" s="4" t="s">
        <v>240</v>
      </c>
      <c r="C306" s="15" t="s">
        <v>95</v>
      </c>
    </row>
    <row r="307" spans="1:3" x14ac:dyDescent="0.3">
      <c r="A307" s="3">
        <v>1354</v>
      </c>
      <c r="B307" s="4" t="s">
        <v>240</v>
      </c>
      <c r="C307" s="15" t="s">
        <v>93</v>
      </c>
    </row>
    <row r="308" spans="1:3" x14ac:dyDescent="0.3">
      <c r="A308" s="3">
        <v>1356</v>
      </c>
      <c r="B308" s="4" t="s">
        <v>241</v>
      </c>
      <c r="C308" s="4" t="str">
        <f>1&amp;". TOTAL - "&amp;B308</f>
        <v>1. TOTAL - VENDA INTERNA GO</v>
      </c>
    </row>
    <row r="309" spans="1:3" x14ac:dyDescent="0.3">
      <c r="A309" s="3">
        <v>1356</v>
      </c>
      <c r="B309" s="4" t="s">
        <v>241</v>
      </c>
      <c r="C309" s="15" t="s">
        <v>81</v>
      </c>
    </row>
    <row r="310" spans="1:3" x14ac:dyDescent="0.3">
      <c r="A310" s="3">
        <v>1356</v>
      </c>
      <c r="B310" s="4" t="s">
        <v>241</v>
      </c>
      <c r="C310" s="15" t="s">
        <v>82</v>
      </c>
    </row>
    <row r="311" spans="1:3" x14ac:dyDescent="0.3">
      <c r="A311" s="3">
        <v>1356</v>
      </c>
      <c r="B311" s="4" t="s">
        <v>241</v>
      </c>
      <c r="C311" s="15" t="s">
        <v>84</v>
      </c>
    </row>
    <row r="312" spans="1:3" x14ac:dyDescent="0.3">
      <c r="A312" s="3">
        <v>1356</v>
      </c>
      <c r="B312" s="4" t="s">
        <v>241</v>
      </c>
      <c r="C312" s="15" t="s">
        <v>83</v>
      </c>
    </row>
    <row r="313" spans="1:3" x14ac:dyDescent="0.3">
      <c r="A313" s="3">
        <v>1356</v>
      </c>
      <c r="B313" s="4" t="s">
        <v>241</v>
      </c>
      <c r="C313" s="15" t="s">
        <v>87</v>
      </c>
    </row>
    <row r="314" spans="1:3" x14ac:dyDescent="0.3">
      <c r="A314" s="3">
        <v>1356</v>
      </c>
      <c r="B314" s="4" t="s">
        <v>241</v>
      </c>
      <c r="C314" s="15" t="s">
        <v>85</v>
      </c>
    </row>
    <row r="315" spans="1:3" x14ac:dyDescent="0.3">
      <c r="A315" s="3">
        <v>1356</v>
      </c>
      <c r="B315" s="4" t="s">
        <v>241</v>
      </c>
      <c r="C315" s="15" t="s">
        <v>92</v>
      </c>
    </row>
    <row r="316" spans="1:3" x14ac:dyDescent="0.3">
      <c r="A316" s="3">
        <v>1356</v>
      </c>
      <c r="B316" s="4" t="s">
        <v>241</v>
      </c>
      <c r="C316" s="15" t="s">
        <v>86</v>
      </c>
    </row>
    <row r="317" spans="1:3" x14ac:dyDescent="0.3">
      <c r="A317" s="3">
        <v>1356</v>
      </c>
      <c r="B317" s="4" t="s">
        <v>241</v>
      </c>
      <c r="C317" s="15" t="s">
        <v>108</v>
      </c>
    </row>
    <row r="318" spans="1:3" x14ac:dyDescent="0.3">
      <c r="A318" s="3">
        <v>1356</v>
      </c>
      <c r="B318" s="4" t="s">
        <v>241</v>
      </c>
      <c r="C318" s="15" t="s">
        <v>89</v>
      </c>
    </row>
    <row r="319" spans="1:3" x14ac:dyDescent="0.3">
      <c r="A319" s="3">
        <v>1356</v>
      </c>
      <c r="B319" s="4" t="s">
        <v>241</v>
      </c>
      <c r="C319" s="15" t="s">
        <v>88</v>
      </c>
    </row>
    <row r="320" spans="1:3" x14ac:dyDescent="0.3">
      <c r="A320" s="3">
        <v>1356</v>
      </c>
      <c r="B320" s="4" t="s">
        <v>241</v>
      </c>
      <c r="C320" s="15" t="s">
        <v>90</v>
      </c>
    </row>
    <row r="321" spans="1:3" x14ac:dyDescent="0.3">
      <c r="A321" s="3">
        <v>1356</v>
      </c>
      <c r="B321" s="4" t="s">
        <v>241</v>
      </c>
      <c r="C321" s="15" t="s">
        <v>91</v>
      </c>
    </row>
    <row r="322" spans="1:3" x14ac:dyDescent="0.3">
      <c r="A322" s="3">
        <v>1356</v>
      </c>
      <c r="B322" s="4" t="s">
        <v>241</v>
      </c>
      <c r="C322" s="15" t="s">
        <v>96</v>
      </c>
    </row>
    <row r="323" spans="1:3" x14ac:dyDescent="0.3">
      <c r="A323" s="3">
        <v>1356</v>
      </c>
      <c r="B323" s="4" t="s">
        <v>241</v>
      </c>
      <c r="C323" s="15" t="s">
        <v>94</v>
      </c>
    </row>
    <row r="324" spans="1:3" x14ac:dyDescent="0.3">
      <c r="A324" s="3">
        <v>1356</v>
      </c>
      <c r="B324" s="4" t="s">
        <v>241</v>
      </c>
      <c r="C324" s="15" t="s">
        <v>95</v>
      </c>
    </row>
    <row r="325" spans="1:3" x14ac:dyDescent="0.3">
      <c r="A325" s="3">
        <v>1356</v>
      </c>
      <c r="B325" s="4" t="s">
        <v>241</v>
      </c>
      <c r="C325" s="15" t="s">
        <v>93</v>
      </c>
    </row>
    <row r="326" spans="1:3" x14ac:dyDescent="0.3">
      <c r="A326" s="3">
        <v>1357</v>
      </c>
      <c r="B326" s="4" t="s">
        <v>242</v>
      </c>
      <c r="C326" s="4" t="str">
        <f>1&amp;". TOTAL - "&amp;B326</f>
        <v>1. TOTAL - VENDA INTERNA ES</v>
      </c>
    </row>
    <row r="327" spans="1:3" x14ac:dyDescent="0.3">
      <c r="A327" s="3">
        <v>1357</v>
      </c>
      <c r="B327" s="4" t="s">
        <v>242</v>
      </c>
      <c r="C327" s="15" t="s">
        <v>81</v>
      </c>
    </row>
    <row r="328" spans="1:3" x14ac:dyDescent="0.3">
      <c r="A328" s="3">
        <v>1357</v>
      </c>
      <c r="B328" s="4" t="s">
        <v>242</v>
      </c>
      <c r="C328" s="15" t="s">
        <v>82</v>
      </c>
    </row>
    <row r="329" spans="1:3" x14ac:dyDescent="0.3">
      <c r="A329" s="3">
        <v>1357</v>
      </c>
      <c r="B329" s="4" t="s">
        <v>242</v>
      </c>
      <c r="C329" s="15" t="s">
        <v>84</v>
      </c>
    </row>
    <row r="330" spans="1:3" x14ac:dyDescent="0.3">
      <c r="A330" s="3">
        <v>1357</v>
      </c>
      <c r="B330" s="4" t="s">
        <v>242</v>
      </c>
      <c r="C330" s="15" t="s">
        <v>83</v>
      </c>
    </row>
    <row r="331" spans="1:3" x14ac:dyDescent="0.3">
      <c r="A331" s="3">
        <v>1357</v>
      </c>
      <c r="B331" s="4" t="s">
        <v>242</v>
      </c>
      <c r="C331" s="15" t="s">
        <v>87</v>
      </c>
    </row>
    <row r="332" spans="1:3" x14ac:dyDescent="0.3">
      <c r="A332" s="3">
        <v>1357</v>
      </c>
      <c r="B332" s="4" t="s">
        <v>242</v>
      </c>
      <c r="C332" s="15" t="s">
        <v>85</v>
      </c>
    </row>
    <row r="333" spans="1:3" x14ac:dyDescent="0.3">
      <c r="A333" s="3">
        <v>1357</v>
      </c>
      <c r="B333" s="4" t="s">
        <v>242</v>
      </c>
      <c r="C333" s="15" t="s">
        <v>92</v>
      </c>
    </row>
    <row r="334" spans="1:3" x14ac:dyDescent="0.3">
      <c r="A334" s="3">
        <v>1357</v>
      </c>
      <c r="B334" s="4" t="s">
        <v>242</v>
      </c>
      <c r="C334" s="15" t="s">
        <v>86</v>
      </c>
    </row>
    <row r="335" spans="1:3" x14ac:dyDescent="0.3">
      <c r="A335" s="3">
        <v>1357</v>
      </c>
      <c r="B335" s="4" t="s">
        <v>242</v>
      </c>
      <c r="C335" s="15" t="s">
        <v>108</v>
      </c>
    </row>
    <row r="336" spans="1:3" x14ac:dyDescent="0.3">
      <c r="A336" s="3">
        <v>1357</v>
      </c>
      <c r="B336" s="4" t="s">
        <v>242</v>
      </c>
      <c r="C336" s="15" t="s">
        <v>89</v>
      </c>
    </row>
    <row r="337" spans="1:3" x14ac:dyDescent="0.3">
      <c r="A337" s="3">
        <v>1357</v>
      </c>
      <c r="B337" s="4" t="s">
        <v>242</v>
      </c>
      <c r="C337" s="15" t="s">
        <v>88</v>
      </c>
    </row>
    <row r="338" spans="1:3" x14ac:dyDescent="0.3">
      <c r="A338" s="3">
        <v>1357</v>
      </c>
      <c r="B338" s="4" t="s">
        <v>242</v>
      </c>
      <c r="C338" s="15" t="s">
        <v>90</v>
      </c>
    </row>
    <row r="339" spans="1:3" x14ac:dyDescent="0.3">
      <c r="A339" s="3">
        <v>1357</v>
      </c>
      <c r="B339" s="4" t="s">
        <v>242</v>
      </c>
      <c r="C339" s="15" t="s">
        <v>91</v>
      </c>
    </row>
    <row r="340" spans="1:3" x14ac:dyDescent="0.3">
      <c r="A340" s="3">
        <v>1357</v>
      </c>
      <c r="B340" s="4" t="s">
        <v>242</v>
      </c>
      <c r="C340" s="15" t="s">
        <v>96</v>
      </c>
    </row>
    <row r="341" spans="1:3" x14ac:dyDescent="0.3">
      <c r="A341" s="3">
        <v>1357</v>
      </c>
      <c r="B341" s="4" t="s">
        <v>242</v>
      </c>
      <c r="C341" s="15" t="s">
        <v>94</v>
      </c>
    </row>
    <row r="342" spans="1:3" x14ac:dyDescent="0.3">
      <c r="A342" s="3">
        <v>1357</v>
      </c>
      <c r="B342" s="4" t="s">
        <v>242</v>
      </c>
      <c r="C342" s="15" t="s">
        <v>95</v>
      </c>
    </row>
    <row r="343" spans="1:3" x14ac:dyDescent="0.3">
      <c r="A343" s="3">
        <v>1357</v>
      </c>
      <c r="B343" s="4" t="s">
        <v>242</v>
      </c>
      <c r="C343" s="15" t="s">
        <v>93</v>
      </c>
    </row>
    <row r="344" spans="1:3" x14ac:dyDescent="0.3">
      <c r="A344" s="3">
        <v>1358</v>
      </c>
      <c r="B344" s="4" t="s">
        <v>243</v>
      </c>
      <c r="C344" s="4" t="str">
        <f>1&amp;". TOTAL - "&amp;B344</f>
        <v>1. TOTAL - VENDA INTERNA RJ</v>
      </c>
    </row>
    <row r="345" spans="1:3" x14ac:dyDescent="0.3">
      <c r="A345" s="3">
        <v>1358</v>
      </c>
      <c r="B345" s="4" t="s">
        <v>243</v>
      </c>
      <c r="C345" s="15" t="s">
        <v>81</v>
      </c>
    </row>
    <row r="346" spans="1:3" x14ac:dyDescent="0.3">
      <c r="A346" s="3">
        <v>1358</v>
      </c>
      <c r="B346" s="4" t="s">
        <v>243</v>
      </c>
      <c r="C346" s="15" t="s">
        <v>82</v>
      </c>
    </row>
    <row r="347" spans="1:3" x14ac:dyDescent="0.3">
      <c r="A347" s="3">
        <v>1358</v>
      </c>
      <c r="B347" s="4" t="s">
        <v>243</v>
      </c>
      <c r="C347" s="15" t="s">
        <v>84</v>
      </c>
    </row>
    <row r="348" spans="1:3" x14ac:dyDescent="0.3">
      <c r="A348" s="3">
        <v>1358</v>
      </c>
      <c r="B348" s="4" t="s">
        <v>243</v>
      </c>
      <c r="C348" s="15" t="s">
        <v>83</v>
      </c>
    </row>
    <row r="349" spans="1:3" x14ac:dyDescent="0.3">
      <c r="A349" s="3">
        <v>1358</v>
      </c>
      <c r="B349" s="4" t="s">
        <v>243</v>
      </c>
      <c r="C349" s="15" t="s">
        <v>87</v>
      </c>
    </row>
    <row r="350" spans="1:3" x14ac:dyDescent="0.3">
      <c r="A350" s="3">
        <v>1358</v>
      </c>
      <c r="B350" s="4" t="s">
        <v>243</v>
      </c>
      <c r="C350" s="15" t="s">
        <v>85</v>
      </c>
    </row>
    <row r="351" spans="1:3" x14ac:dyDescent="0.3">
      <c r="A351" s="3">
        <v>1358</v>
      </c>
      <c r="B351" s="4" t="s">
        <v>243</v>
      </c>
      <c r="C351" s="15" t="s">
        <v>92</v>
      </c>
    </row>
    <row r="352" spans="1:3" x14ac:dyDescent="0.3">
      <c r="A352" s="3">
        <v>1358</v>
      </c>
      <c r="B352" s="4" t="s">
        <v>243</v>
      </c>
      <c r="C352" s="15" t="s">
        <v>86</v>
      </c>
    </row>
    <row r="353" spans="1:3" x14ac:dyDescent="0.3">
      <c r="A353" s="3">
        <v>1358</v>
      </c>
      <c r="B353" s="4" t="s">
        <v>243</v>
      </c>
      <c r="C353" s="15" t="s">
        <v>108</v>
      </c>
    </row>
    <row r="354" spans="1:3" x14ac:dyDescent="0.3">
      <c r="A354" s="3">
        <v>1358</v>
      </c>
      <c r="B354" s="4" t="s">
        <v>243</v>
      </c>
      <c r="C354" s="15" t="s">
        <v>89</v>
      </c>
    </row>
    <row r="355" spans="1:3" x14ac:dyDescent="0.3">
      <c r="A355" s="3">
        <v>1358</v>
      </c>
      <c r="B355" s="4" t="s">
        <v>243</v>
      </c>
      <c r="C355" s="15" t="s">
        <v>88</v>
      </c>
    </row>
    <row r="356" spans="1:3" x14ac:dyDescent="0.3">
      <c r="A356" s="3">
        <v>1358</v>
      </c>
      <c r="B356" s="4" t="s">
        <v>243</v>
      </c>
      <c r="C356" s="15" t="s">
        <v>90</v>
      </c>
    </row>
    <row r="357" spans="1:3" x14ac:dyDescent="0.3">
      <c r="A357" s="3">
        <v>1358</v>
      </c>
      <c r="B357" s="4" t="s">
        <v>243</v>
      </c>
      <c r="C357" s="15" t="s">
        <v>91</v>
      </c>
    </row>
    <row r="358" spans="1:3" x14ac:dyDescent="0.3">
      <c r="A358" s="3">
        <v>1358</v>
      </c>
      <c r="B358" s="4" t="s">
        <v>243</v>
      </c>
      <c r="C358" s="15" t="s">
        <v>96</v>
      </c>
    </row>
    <row r="359" spans="1:3" x14ac:dyDescent="0.3">
      <c r="A359" s="3">
        <v>1358</v>
      </c>
      <c r="B359" s="4" t="s">
        <v>243</v>
      </c>
      <c r="C359" s="15" t="s">
        <v>94</v>
      </c>
    </row>
    <row r="360" spans="1:3" x14ac:dyDescent="0.3">
      <c r="A360" s="3">
        <v>1358</v>
      </c>
      <c r="B360" s="4" t="s">
        <v>243</v>
      </c>
      <c r="C360" s="15" t="s">
        <v>95</v>
      </c>
    </row>
    <row r="361" spans="1:3" x14ac:dyDescent="0.3">
      <c r="A361" s="3">
        <v>1358</v>
      </c>
      <c r="B361" s="4" t="s">
        <v>243</v>
      </c>
      <c r="C361" s="15" t="s">
        <v>93</v>
      </c>
    </row>
    <row r="362" spans="1:3" x14ac:dyDescent="0.3">
      <c r="A362" s="3">
        <v>1359</v>
      </c>
      <c r="B362" s="4" t="s">
        <v>244</v>
      </c>
      <c r="C362" s="4" t="str">
        <f>1&amp;". TOTAL - "&amp;B362</f>
        <v>1. TOTAL - VENDA INTERNA MG</v>
      </c>
    </row>
    <row r="363" spans="1:3" x14ac:dyDescent="0.3">
      <c r="A363" s="3">
        <v>1359</v>
      </c>
      <c r="B363" s="4" t="s">
        <v>244</v>
      </c>
      <c r="C363" s="15" t="s">
        <v>81</v>
      </c>
    </row>
    <row r="364" spans="1:3" x14ac:dyDescent="0.3">
      <c r="A364" s="3">
        <v>1359</v>
      </c>
      <c r="B364" s="4" t="s">
        <v>244</v>
      </c>
      <c r="C364" s="15" t="s">
        <v>82</v>
      </c>
    </row>
    <row r="365" spans="1:3" x14ac:dyDescent="0.3">
      <c r="A365" s="3">
        <v>1359</v>
      </c>
      <c r="B365" s="4" t="s">
        <v>244</v>
      </c>
      <c r="C365" s="15" t="s">
        <v>84</v>
      </c>
    </row>
    <row r="366" spans="1:3" x14ac:dyDescent="0.3">
      <c r="A366" s="3">
        <v>1359</v>
      </c>
      <c r="B366" s="4" t="s">
        <v>244</v>
      </c>
      <c r="C366" s="15" t="s">
        <v>83</v>
      </c>
    </row>
    <row r="367" spans="1:3" x14ac:dyDescent="0.3">
      <c r="A367" s="3">
        <v>1359</v>
      </c>
      <c r="B367" s="4" t="s">
        <v>244</v>
      </c>
      <c r="C367" s="15" t="s">
        <v>87</v>
      </c>
    </row>
    <row r="368" spans="1:3" x14ac:dyDescent="0.3">
      <c r="A368" s="3">
        <v>1359</v>
      </c>
      <c r="B368" s="4" t="s">
        <v>244</v>
      </c>
      <c r="C368" s="15" t="s">
        <v>85</v>
      </c>
    </row>
    <row r="369" spans="1:3" x14ac:dyDescent="0.3">
      <c r="A369" s="3">
        <v>1359</v>
      </c>
      <c r="B369" s="4" t="s">
        <v>244</v>
      </c>
      <c r="C369" s="15" t="s">
        <v>92</v>
      </c>
    </row>
    <row r="370" spans="1:3" x14ac:dyDescent="0.3">
      <c r="A370" s="3">
        <v>1359</v>
      </c>
      <c r="B370" s="4" t="s">
        <v>244</v>
      </c>
      <c r="C370" s="15" t="s">
        <v>86</v>
      </c>
    </row>
    <row r="371" spans="1:3" x14ac:dyDescent="0.3">
      <c r="A371" s="3">
        <v>1359</v>
      </c>
      <c r="B371" s="4" t="s">
        <v>244</v>
      </c>
      <c r="C371" s="15" t="s">
        <v>108</v>
      </c>
    </row>
    <row r="372" spans="1:3" x14ac:dyDescent="0.3">
      <c r="A372" s="3">
        <v>1359</v>
      </c>
      <c r="B372" s="4" t="s">
        <v>244</v>
      </c>
      <c r="C372" s="15" t="s">
        <v>89</v>
      </c>
    </row>
    <row r="373" spans="1:3" x14ac:dyDescent="0.3">
      <c r="A373" s="3">
        <v>1359</v>
      </c>
      <c r="B373" s="4" t="s">
        <v>244</v>
      </c>
      <c r="C373" s="15" t="s">
        <v>88</v>
      </c>
    </row>
    <row r="374" spans="1:3" x14ac:dyDescent="0.3">
      <c r="A374" s="3">
        <v>1359</v>
      </c>
      <c r="B374" s="4" t="s">
        <v>244</v>
      </c>
      <c r="C374" s="15" t="s">
        <v>90</v>
      </c>
    </row>
    <row r="375" spans="1:3" x14ac:dyDescent="0.3">
      <c r="A375" s="3">
        <v>1359</v>
      </c>
      <c r="B375" s="4" t="s">
        <v>244</v>
      </c>
      <c r="C375" s="15" t="s">
        <v>91</v>
      </c>
    </row>
    <row r="376" spans="1:3" x14ac:dyDescent="0.3">
      <c r="A376" s="3">
        <v>1359</v>
      </c>
      <c r="B376" s="4" t="s">
        <v>244</v>
      </c>
      <c r="C376" s="15" t="s">
        <v>96</v>
      </c>
    </row>
    <row r="377" spans="1:3" x14ac:dyDescent="0.3">
      <c r="A377" s="3">
        <v>1359</v>
      </c>
      <c r="B377" s="4" t="s">
        <v>244</v>
      </c>
      <c r="C377" s="15" t="s">
        <v>94</v>
      </c>
    </row>
    <row r="378" spans="1:3" x14ac:dyDescent="0.3">
      <c r="A378" s="3">
        <v>1359</v>
      </c>
      <c r="B378" s="4" t="s">
        <v>244</v>
      </c>
      <c r="C378" s="15" t="s">
        <v>95</v>
      </c>
    </row>
    <row r="379" spans="1:3" x14ac:dyDescent="0.3">
      <c r="A379" s="3">
        <v>1359</v>
      </c>
      <c r="B379" s="4" t="s">
        <v>244</v>
      </c>
      <c r="C379" s="15" t="s">
        <v>93</v>
      </c>
    </row>
    <row r="380" spans="1:3" x14ac:dyDescent="0.3">
      <c r="A380" s="3">
        <v>1360</v>
      </c>
      <c r="B380" s="4" t="s">
        <v>245</v>
      </c>
      <c r="C380" s="4" t="str">
        <f>1&amp;". TOTAL - "&amp;B380</f>
        <v>1. TOTAL - VENDA INTERNA SP CAPITAL</v>
      </c>
    </row>
    <row r="381" spans="1:3" x14ac:dyDescent="0.3">
      <c r="A381" s="3">
        <v>1360</v>
      </c>
      <c r="B381" s="4" t="s">
        <v>245</v>
      </c>
      <c r="C381" s="15" t="s">
        <v>81</v>
      </c>
    </row>
    <row r="382" spans="1:3" x14ac:dyDescent="0.3">
      <c r="A382" s="3">
        <v>1360</v>
      </c>
      <c r="B382" s="4" t="s">
        <v>245</v>
      </c>
      <c r="C382" s="15" t="s">
        <v>82</v>
      </c>
    </row>
    <row r="383" spans="1:3" x14ac:dyDescent="0.3">
      <c r="A383" s="3">
        <v>1360</v>
      </c>
      <c r="B383" s="4" t="s">
        <v>245</v>
      </c>
      <c r="C383" s="15" t="s">
        <v>84</v>
      </c>
    </row>
    <row r="384" spans="1:3" x14ac:dyDescent="0.3">
      <c r="A384" s="3">
        <v>1360</v>
      </c>
      <c r="B384" s="4" t="s">
        <v>245</v>
      </c>
      <c r="C384" s="15" t="s">
        <v>83</v>
      </c>
    </row>
    <row r="385" spans="1:3" x14ac:dyDescent="0.3">
      <c r="A385" s="3">
        <v>1360</v>
      </c>
      <c r="B385" s="4" t="s">
        <v>245</v>
      </c>
      <c r="C385" s="15" t="s">
        <v>87</v>
      </c>
    </row>
    <row r="386" spans="1:3" x14ac:dyDescent="0.3">
      <c r="A386" s="3">
        <v>1360</v>
      </c>
      <c r="B386" s="4" t="s">
        <v>245</v>
      </c>
      <c r="C386" s="15" t="s">
        <v>85</v>
      </c>
    </row>
    <row r="387" spans="1:3" x14ac:dyDescent="0.3">
      <c r="A387" s="3">
        <v>1360</v>
      </c>
      <c r="B387" s="4" t="s">
        <v>245</v>
      </c>
      <c r="C387" s="15" t="s">
        <v>92</v>
      </c>
    </row>
    <row r="388" spans="1:3" x14ac:dyDescent="0.3">
      <c r="A388" s="3">
        <v>1360</v>
      </c>
      <c r="B388" s="4" t="s">
        <v>245</v>
      </c>
      <c r="C388" s="15" t="s">
        <v>86</v>
      </c>
    </row>
    <row r="389" spans="1:3" x14ac:dyDescent="0.3">
      <c r="A389" s="3">
        <v>1360</v>
      </c>
      <c r="B389" s="4" t="s">
        <v>245</v>
      </c>
      <c r="C389" s="15" t="s">
        <v>108</v>
      </c>
    </row>
    <row r="390" spans="1:3" x14ac:dyDescent="0.3">
      <c r="A390" s="3">
        <v>1360</v>
      </c>
      <c r="B390" s="4" t="s">
        <v>245</v>
      </c>
      <c r="C390" s="15" t="s">
        <v>89</v>
      </c>
    </row>
    <row r="391" spans="1:3" x14ac:dyDescent="0.3">
      <c r="A391" s="3">
        <v>1360</v>
      </c>
      <c r="B391" s="4" t="s">
        <v>245</v>
      </c>
      <c r="C391" s="15" t="s">
        <v>88</v>
      </c>
    </row>
    <row r="392" spans="1:3" x14ac:dyDescent="0.3">
      <c r="A392" s="3">
        <v>1360</v>
      </c>
      <c r="B392" s="4" t="s">
        <v>245</v>
      </c>
      <c r="C392" s="15" t="s">
        <v>90</v>
      </c>
    </row>
    <row r="393" spans="1:3" x14ac:dyDescent="0.3">
      <c r="A393" s="3">
        <v>1360</v>
      </c>
      <c r="B393" s="4" t="s">
        <v>245</v>
      </c>
      <c r="C393" s="15" t="s">
        <v>91</v>
      </c>
    </row>
    <row r="394" spans="1:3" x14ac:dyDescent="0.3">
      <c r="A394" s="3">
        <v>1360</v>
      </c>
      <c r="B394" s="4" t="s">
        <v>245</v>
      </c>
      <c r="C394" s="15" t="s">
        <v>96</v>
      </c>
    </row>
    <row r="395" spans="1:3" x14ac:dyDescent="0.3">
      <c r="A395" s="3">
        <v>1360</v>
      </c>
      <c r="B395" s="4" t="s">
        <v>245</v>
      </c>
      <c r="C395" s="15" t="s">
        <v>94</v>
      </c>
    </row>
    <row r="396" spans="1:3" x14ac:dyDescent="0.3">
      <c r="A396" s="3">
        <v>1360</v>
      </c>
      <c r="B396" s="4" t="s">
        <v>245</v>
      </c>
      <c r="C396" s="15" t="s">
        <v>95</v>
      </c>
    </row>
    <row r="397" spans="1:3" x14ac:dyDescent="0.3">
      <c r="A397" s="3">
        <v>1360</v>
      </c>
      <c r="B397" s="4" t="s">
        <v>245</v>
      </c>
      <c r="C397" s="15" t="s">
        <v>93</v>
      </c>
    </row>
    <row r="398" spans="1:3" x14ac:dyDescent="0.3">
      <c r="A398" s="3">
        <v>1361</v>
      </c>
      <c r="B398" s="4" t="s">
        <v>246</v>
      </c>
      <c r="C398" s="4" t="str">
        <f>1&amp;". TOTAL - "&amp;B398</f>
        <v>1. TOTAL - VENDA INTERNA SP INTERIOR</v>
      </c>
    </row>
    <row r="399" spans="1:3" x14ac:dyDescent="0.3">
      <c r="A399" s="3">
        <v>1361</v>
      </c>
      <c r="B399" s="4" t="s">
        <v>246</v>
      </c>
      <c r="C399" s="15" t="s">
        <v>81</v>
      </c>
    </row>
    <row r="400" spans="1:3" x14ac:dyDescent="0.3">
      <c r="A400" s="3">
        <v>1361</v>
      </c>
      <c r="B400" s="4" t="s">
        <v>246</v>
      </c>
      <c r="C400" s="15" t="s">
        <v>82</v>
      </c>
    </row>
    <row r="401" spans="1:3" x14ac:dyDescent="0.3">
      <c r="A401" s="3">
        <v>1361</v>
      </c>
      <c r="B401" s="4" t="s">
        <v>246</v>
      </c>
      <c r="C401" s="15" t="s">
        <v>84</v>
      </c>
    </row>
    <row r="402" spans="1:3" x14ac:dyDescent="0.3">
      <c r="A402" s="3">
        <v>1361</v>
      </c>
      <c r="B402" s="4" t="s">
        <v>246</v>
      </c>
      <c r="C402" s="15" t="s">
        <v>83</v>
      </c>
    </row>
    <row r="403" spans="1:3" x14ac:dyDescent="0.3">
      <c r="A403" s="3">
        <v>1361</v>
      </c>
      <c r="B403" s="4" t="s">
        <v>246</v>
      </c>
      <c r="C403" s="15" t="s">
        <v>87</v>
      </c>
    </row>
    <row r="404" spans="1:3" x14ac:dyDescent="0.3">
      <c r="A404" s="3">
        <v>1361</v>
      </c>
      <c r="B404" s="4" t="s">
        <v>246</v>
      </c>
      <c r="C404" s="15" t="s">
        <v>85</v>
      </c>
    </row>
    <row r="405" spans="1:3" x14ac:dyDescent="0.3">
      <c r="A405" s="3">
        <v>1361</v>
      </c>
      <c r="B405" s="4" t="s">
        <v>246</v>
      </c>
      <c r="C405" s="15" t="s">
        <v>92</v>
      </c>
    </row>
    <row r="406" spans="1:3" x14ac:dyDescent="0.3">
      <c r="A406" s="3">
        <v>1361</v>
      </c>
      <c r="B406" s="4" t="s">
        <v>246</v>
      </c>
      <c r="C406" s="15" t="s">
        <v>86</v>
      </c>
    </row>
    <row r="407" spans="1:3" x14ac:dyDescent="0.3">
      <c r="A407" s="3">
        <v>1361</v>
      </c>
      <c r="B407" s="4" t="s">
        <v>246</v>
      </c>
      <c r="C407" s="15" t="s">
        <v>108</v>
      </c>
    </row>
    <row r="408" spans="1:3" x14ac:dyDescent="0.3">
      <c r="A408" s="3">
        <v>1361</v>
      </c>
      <c r="B408" s="4" t="s">
        <v>246</v>
      </c>
      <c r="C408" s="15" t="s">
        <v>89</v>
      </c>
    </row>
    <row r="409" spans="1:3" x14ac:dyDescent="0.3">
      <c r="A409" s="3">
        <v>1361</v>
      </c>
      <c r="B409" s="4" t="s">
        <v>246</v>
      </c>
      <c r="C409" s="15" t="s">
        <v>88</v>
      </c>
    </row>
    <row r="410" spans="1:3" x14ac:dyDescent="0.3">
      <c r="A410" s="3">
        <v>1361</v>
      </c>
      <c r="B410" s="4" t="s">
        <v>246</v>
      </c>
      <c r="C410" s="15" t="s">
        <v>90</v>
      </c>
    </row>
    <row r="411" spans="1:3" x14ac:dyDescent="0.3">
      <c r="A411" s="3">
        <v>1361</v>
      </c>
      <c r="B411" s="4" t="s">
        <v>246</v>
      </c>
      <c r="C411" s="15" t="s">
        <v>91</v>
      </c>
    </row>
    <row r="412" spans="1:3" x14ac:dyDescent="0.3">
      <c r="A412" s="3">
        <v>1361</v>
      </c>
      <c r="B412" s="4" t="s">
        <v>246</v>
      </c>
      <c r="C412" s="15" t="s">
        <v>96</v>
      </c>
    </row>
    <row r="413" spans="1:3" x14ac:dyDescent="0.3">
      <c r="A413" s="3">
        <v>1361</v>
      </c>
      <c r="B413" s="4" t="s">
        <v>246</v>
      </c>
      <c r="C413" s="15" t="s">
        <v>94</v>
      </c>
    </row>
    <row r="414" spans="1:3" x14ac:dyDescent="0.3">
      <c r="A414" s="3">
        <v>1361</v>
      </c>
      <c r="B414" s="4" t="s">
        <v>246</v>
      </c>
      <c r="C414" s="15" t="s">
        <v>95</v>
      </c>
    </row>
    <row r="415" spans="1:3" x14ac:dyDescent="0.3">
      <c r="A415" s="3">
        <v>1361</v>
      </c>
      <c r="B415" s="4" t="s">
        <v>246</v>
      </c>
      <c r="C415" s="15" t="s">
        <v>93</v>
      </c>
    </row>
    <row r="416" spans="1:3" x14ac:dyDescent="0.3">
      <c r="A416" s="3">
        <v>1362</v>
      </c>
      <c r="B416" s="4" t="s">
        <v>247</v>
      </c>
      <c r="C416" s="4" t="str">
        <f>1&amp;". TOTAL - "&amp;B416</f>
        <v>1. TOTAL - VENDA INTERNA RS</v>
      </c>
    </row>
    <row r="417" spans="1:3" x14ac:dyDescent="0.3">
      <c r="A417" s="3">
        <v>1362</v>
      </c>
      <c r="B417" s="4" t="s">
        <v>247</v>
      </c>
      <c r="C417" s="15" t="s">
        <v>81</v>
      </c>
    </row>
    <row r="418" spans="1:3" x14ac:dyDescent="0.3">
      <c r="A418" s="3">
        <v>1362</v>
      </c>
      <c r="B418" s="4" t="s">
        <v>247</v>
      </c>
      <c r="C418" s="15" t="s">
        <v>82</v>
      </c>
    </row>
    <row r="419" spans="1:3" x14ac:dyDescent="0.3">
      <c r="A419" s="3">
        <v>1362</v>
      </c>
      <c r="B419" s="4" t="s">
        <v>247</v>
      </c>
      <c r="C419" s="15" t="s">
        <v>84</v>
      </c>
    </row>
    <row r="420" spans="1:3" x14ac:dyDescent="0.3">
      <c r="A420" s="3">
        <v>1362</v>
      </c>
      <c r="B420" s="4" t="s">
        <v>247</v>
      </c>
      <c r="C420" s="15" t="s">
        <v>83</v>
      </c>
    </row>
    <row r="421" spans="1:3" x14ac:dyDescent="0.3">
      <c r="A421" s="3">
        <v>1362</v>
      </c>
      <c r="B421" s="4" t="s">
        <v>247</v>
      </c>
      <c r="C421" s="15" t="s">
        <v>87</v>
      </c>
    </row>
    <row r="422" spans="1:3" x14ac:dyDescent="0.3">
      <c r="A422" s="3">
        <v>1362</v>
      </c>
      <c r="B422" s="4" t="s">
        <v>247</v>
      </c>
      <c r="C422" s="15" t="s">
        <v>85</v>
      </c>
    </row>
    <row r="423" spans="1:3" x14ac:dyDescent="0.3">
      <c r="A423" s="3">
        <v>1362</v>
      </c>
      <c r="B423" s="4" t="s">
        <v>247</v>
      </c>
      <c r="C423" s="15" t="s">
        <v>92</v>
      </c>
    </row>
    <row r="424" spans="1:3" x14ac:dyDescent="0.3">
      <c r="A424" s="3">
        <v>1362</v>
      </c>
      <c r="B424" s="4" t="s">
        <v>247</v>
      </c>
      <c r="C424" s="15" t="s">
        <v>86</v>
      </c>
    </row>
    <row r="425" spans="1:3" x14ac:dyDescent="0.3">
      <c r="A425" s="3">
        <v>1362</v>
      </c>
      <c r="B425" s="4" t="s">
        <v>247</v>
      </c>
      <c r="C425" s="15" t="s">
        <v>108</v>
      </c>
    </row>
    <row r="426" spans="1:3" x14ac:dyDescent="0.3">
      <c r="A426" s="3">
        <v>1362</v>
      </c>
      <c r="B426" s="4" t="s">
        <v>247</v>
      </c>
      <c r="C426" s="15" t="s">
        <v>89</v>
      </c>
    </row>
    <row r="427" spans="1:3" x14ac:dyDescent="0.3">
      <c r="A427" s="3">
        <v>1362</v>
      </c>
      <c r="B427" s="4" t="s">
        <v>247</v>
      </c>
      <c r="C427" s="15" t="s">
        <v>88</v>
      </c>
    </row>
    <row r="428" spans="1:3" x14ac:dyDescent="0.3">
      <c r="A428" s="3">
        <v>1362</v>
      </c>
      <c r="B428" s="4" t="s">
        <v>247</v>
      </c>
      <c r="C428" s="15" t="s">
        <v>90</v>
      </c>
    </row>
    <row r="429" spans="1:3" x14ac:dyDescent="0.3">
      <c r="A429" s="3">
        <v>1362</v>
      </c>
      <c r="B429" s="4" t="s">
        <v>247</v>
      </c>
      <c r="C429" s="15" t="s">
        <v>91</v>
      </c>
    </row>
    <row r="430" spans="1:3" x14ac:dyDescent="0.3">
      <c r="A430" s="3">
        <v>1362</v>
      </c>
      <c r="B430" s="4" t="s">
        <v>247</v>
      </c>
      <c r="C430" s="15" t="s">
        <v>96</v>
      </c>
    </row>
    <row r="431" spans="1:3" x14ac:dyDescent="0.3">
      <c r="A431" s="3">
        <v>1362</v>
      </c>
      <c r="B431" s="4" t="s">
        <v>247</v>
      </c>
      <c r="C431" s="15" t="s">
        <v>94</v>
      </c>
    </row>
    <row r="432" spans="1:3" x14ac:dyDescent="0.3">
      <c r="A432" s="3">
        <v>1362</v>
      </c>
      <c r="B432" s="4" t="s">
        <v>247</v>
      </c>
      <c r="C432" s="15" t="s">
        <v>95</v>
      </c>
    </row>
    <row r="433" spans="1:3" x14ac:dyDescent="0.3">
      <c r="A433" s="3">
        <v>1362</v>
      </c>
      <c r="B433" s="4" t="s">
        <v>247</v>
      </c>
      <c r="C433" s="15" t="s">
        <v>93</v>
      </c>
    </row>
    <row r="434" spans="1:3" x14ac:dyDescent="0.3">
      <c r="A434" s="3">
        <v>1363</v>
      </c>
      <c r="B434" s="4" t="s">
        <v>248</v>
      </c>
      <c r="C434" s="4" t="str">
        <f>1&amp;". TOTAL - "&amp;B434</f>
        <v>1. TOTAL - VENDA INTERNA PR</v>
      </c>
    </row>
    <row r="435" spans="1:3" x14ac:dyDescent="0.3">
      <c r="A435" s="3">
        <v>1363</v>
      </c>
      <c r="B435" s="4" t="s">
        <v>248</v>
      </c>
      <c r="C435" s="15" t="s">
        <v>81</v>
      </c>
    </row>
    <row r="436" spans="1:3" x14ac:dyDescent="0.3">
      <c r="A436" s="3">
        <v>1363</v>
      </c>
      <c r="B436" s="4" t="s">
        <v>248</v>
      </c>
      <c r="C436" s="15" t="s">
        <v>82</v>
      </c>
    </row>
    <row r="437" spans="1:3" x14ac:dyDescent="0.3">
      <c r="A437" s="3">
        <v>1363</v>
      </c>
      <c r="B437" s="4" t="s">
        <v>248</v>
      </c>
      <c r="C437" s="15" t="s">
        <v>84</v>
      </c>
    </row>
    <row r="438" spans="1:3" x14ac:dyDescent="0.3">
      <c r="A438" s="3">
        <v>1363</v>
      </c>
      <c r="B438" s="4" t="s">
        <v>248</v>
      </c>
      <c r="C438" s="15" t="s">
        <v>83</v>
      </c>
    </row>
    <row r="439" spans="1:3" x14ac:dyDescent="0.3">
      <c r="A439" s="3">
        <v>1363</v>
      </c>
      <c r="B439" s="4" t="s">
        <v>248</v>
      </c>
      <c r="C439" s="15" t="s">
        <v>87</v>
      </c>
    </row>
    <row r="440" spans="1:3" x14ac:dyDescent="0.3">
      <c r="A440" s="3">
        <v>1363</v>
      </c>
      <c r="B440" s="4" t="s">
        <v>248</v>
      </c>
      <c r="C440" s="15" t="s">
        <v>85</v>
      </c>
    </row>
    <row r="441" spans="1:3" x14ac:dyDescent="0.3">
      <c r="A441" s="3">
        <v>1363</v>
      </c>
      <c r="B441" s="4" t="s">
        <v>248</v>
      </c>
      <c r="C441" s="15" t="s">
        <v>92</v>
      </c>
    </row>
    <row r="442" spans="1:3" x14ac:dyDescent="0.3">
      <c r="A442" s="3">
        <v>1363</v>
      </c>
      <c r="B442" s="4" t="s">
        <v>248</v>
      </c>
      <c r="C442" s="15" t="s">
        <v>86</v>
      </c>
    </row>
    <row r="443" spans="1:3" x14ac:dyDescent="0.3">
      <c r="A443" s="3">
        <v>1363</v>
      </c>
      <c r="B443" s="4" t="s">
        <v>248</v>
      </c>
      <c r="C443" s="15" t="s">
        <v>108</v>
      </c>
    </row>
    <row r="444" spans="1:3" x14ac:dyDescent="0.3">
      <c r="A444" s="3">
        <v>1363</v>
      </c>
      <c r="B444" s="4" t="s">
        <v>248</v>
      </c>
      <c r="C444" s="15" t="s">
        <v>89</v>
      </c>
    </row>
    <row r="445" spans="1:3" x14ac:dyDescent="0.3">
      <c r="A445" s="3">
        <v>1363</v>
      </c>
      <c r="B445" s="4" t="s">
        <v>248</v>
      </c>
      <c r="C445" s="15" t="s">
        <v>88</v>
      </c>
    </row>
    <row r="446" spans="1:3" x14ac:dyDescent="0.3">
      <c r="A446" s="3">
        <v>1363</v>
      </c>
      <c r="B446" s="4" t="s">
        <v>248</v>
      </c>
      <c r="C446" s="15" t="s">
        <v>90</v>
      </c>
    </row>
    <row r="447" spans="1:3" x14ac:dyDescent="0.3">
      <c r="A447" s="3">
        <v>1363</v>
      </c>
      <c r="B447" s="4" t="s">
        <v>248</v>
      </c>
      <c r="C447" s="15" t="s">
        <v>91</v>
      </c>
    </row>
    <row r="448" spans="1:3" x14ac:dyDescent="0.3">
      <c r="A448" s="3">
        <v>1363</v>
      </c>
      <c r="B448" s="4" t="s">
        <v>248</v>
      </c>
      <c r="C448" s="15" t="s">
        <v>96</v>
      </c>
    </row>
    <row r="449" spans="1:3" x14ac:dyDescent="0.3">
      <c r="A449" s="3">
        <v>1363</v>
      </c>
      <c r="B449" s="4" t="s">
        <v>248</v>
      </c>
      <c r="C449" s="15" t="s">
        <v>94</v>
      </c>
    </row>
    <row r="450" spans="1:3" x14ac:dyDescent="0.3">
      <c r="A450" s="3">
        <v>1363</v>
      </c>
      <c r="B450" s="4" t="s">
        <v>248</v>
      </c>
      <c r="C450" s="15" t="s">
        <v>95</v>
      </c>
    </row>
    <row r="451" spans="1:3" x14ac:dyDescent="0.3">
      <c r="A451" s="3">
        <v>1363</v>
      </c>
      <c r="B451" s="4" t="s">
        <v>248</v>
      </c>
      <c r="C451" s="15" t="s">
        <v>93</v>
      </c>
    </row>
    <row r="452" spans="1:3" x14ac:dyDescent="0.3">
      <c r="A452" s="3">
        <v>1364</v>
      </c>
      <c r="B452" s="4" t="s">
        <v>249</v>
      </c>
      <c r="C452" s="4" t="str">
        <f>1&amp;". TOTAL - "&amp;B452</f>
        <v>1. TOTAL - VENDA INTERNA SC</v>
      </c>
    </row>
    <row r="453" spans="1:3" x14ac:dyDescent="0.3">
      <c r="A453" s="3">
        <v>1364</v>
      </c>
      <c r="B453" s="4" t="s">
        <v>249</v>
      </c>
      <c r="C453" s="15" t="s">
        <v>81</v>
      </c>
    </row>
    <row r="454" spans="1:3" x14ac:dyDescent="0.3">
      <c r="A454" s="3">
        <v>1364</v>
      </c>
      <c r="B454" s="4" t="s">
        <v>249</v>
      </c>
      <c r="C454" s="15" t="s">
        <v>82</v>
      </c>
    </row>
    <row r="455" spans="1:3" x14ac:dyDescent="0.3">
      <c r="A455" s="3">
        <v>1364</v>
      </c>
      <c r="B455" s="4" t="s">
        <v>249</v>
      </c>
      <c r="C455" s="15" t="s">
        <v>84</v>
      </c>
    </row>
    <row r="456" spans="1:3" x14ac:dyDescent="0.3">
      <c r="A456" s="3">
        <v>1364</v>
      </c>
      <c r="B456" s="4" t="s">
        <v>249</v>
      </c>
      <c r="C456" s="15" t="s">
        <v>83</v>
      </c>
    </row>
    <row r="457" spans="1:3" x14ac:dyDescent="0.3">
      <c r="A457" s="3">
        <v>1364</v>
      </c>
      <c r="B457" s="4" t="s">
        <v>249</v>
      </c>
      <c r="C457" s="15" t="s">
        <v>87</v>
      </c>
    </row>
    <row r="458" spans="1:3" x14ac:dyDescent="0.3">
      <c r="A458" s="3">
        <v>1364</v>
      </c>
      <c r="B458" s="4" t="s">
        <v>249</v>
      </c>
      <c r="C458" s="15" t="s">
        <v>85</v>
      </c>
    </row>
    <row r="459" spans="1:3" x14ac:dyDescent="0.3">
      <c r="A459" s="3">
        <v>1364</v>
      </c>
      <c r="B459" s="4" t="s">
        <v>249</v>
      </c>
      <c r="C459" s="15" t="s">
        <v>92</v>
      </c>
    </row>
    <row r="460" spans="1:3" x14ac:dyDescent="0.3">
      <c r="A460" s="3">
        <v>1364</v>
      </c>
      <c r="B460" s="4" t="s">
        <v>249</v>
      </c>
      <c r="C460" s="15" t="s">
        <v>86</v>
      </c>
    </row>
    <row r="461" spans="1:3" x14ac:dyDescent="0.3">
      <c r="A461" s="3">
        <v>1364</v>
      </c>
      <c r="B461" s="4" t="s">
        <v>249</v>
      </c>
      <c r="C461" s="15" t="s">
        <v>108</v>
      </c>
    </row>
    <row r="462" spans="1:3" x14ac:dyDescent="0.3">
      <c r="A462" s="3">
        <v>1364</v>
      </c>
      <c r="B462" s="4" t="s">
        <v>249</v>
      </c>
      <c r="C462" s="15" t="s">
        <v>89</v>
      </c>
    </row>
    <row r="463" spans="1:3" x14ac:dyDescent="0.3">
      <c r="A463" s="3">
        <v>1364</v>
      </c>
      <c r="B463" s="4" t="s">
        <v>249</v>
      </c>
      <c r="C463" s="15" t="s">
        <v>88</v>
      </c>
    </row>
    <row r="464" spans="1:3" x14ac:dyDescent="0.3">
      <c r="A464" s="3">
        <v>1364</v>
      </c>
      <c r="B464" s="4" t="s">
        <v>249</v>
      </c>
      <c r="C464" s="15" t="s">
        <v>90</v>
      </c>
    </row>
    <row r="465" spans="1:3" x14ac:dyDescent="0.3">
      <c r="A465" s="3">
        <v>1364</v>
      </c>
      <c r="B465" s="4" t="s">
        <v>249</v>
      </c>
      <c r="C465" s="15" t="s">
        <v>91</v>
      </c>
    </row>
    <row r="466" spans="1:3" x14ac:dyDescent="0.3">
      <c r="A466" s="3">
        <v>1364</v>
      </c>
      <c r="B466" s="4" t="s">
        <v>249</v>
      </c>
      <c r="C466" s="15" t="s">
        <v>96</v>
      </c>
    </row>
    <row r="467" spans="1:3" x14ac:dyDescent="0.3">
      <c r="A467" s="3">
        <v>1364</v>
      </c>
      <c r="B467" s="4" t="s">
        <v>249</v>
      </c>
      <c r="C467" s="15" t="s">
        <v>94</v>
      </c>
    </row>
    <row r="468" spans="1:3" x14ac:dyDescent="0.3">
      <c r="A468" s="3">
        <v>1364</v>
      </c>
      <c r="B468" s="4" t="s">
        <v>249</v>
      </c>
      <c r="C468" s="15" t="s">
        <v>95</v>
      </c>
    </row>
    <row r="469" spans="1:3" x14ac:dyDescent="0.3">
      <c r="A469" s="3">
        <v>1364</v>
      </c>
      <c r="B469" s="4" t="s">
        <v>249</v>
      </c>
      <c r="C469" s="15" t="s">
        <v>93</v>
      </c>
    </row>
    <row r="470" spans="1:3" x14ac:dyDescent="0.3">
      <c r="A470" s="3">
        <v>1425</v>
      </c>
      <c r="B470" s="4" t="s">
        <v>250</v>
      </c>
      <c r="C470" s="4" t="str">
        <f>1&amp;". TOTAL - "&amp;B470</f>
        <v>1. TOTAL - VENDA INTERNA - DIVINA TERRA</v>
      </c>
    </row>
    <row r="471" spans="1:3" x14ac:dyDescent="0.3">
      <c r="A471" s="3">
        <v>1425</v>
      </c>
      <c r="B471" s="4" t="s">
        <v>250</v>
      </c>
      <c r="C471" s="15" t="s">
        <v>81</v>
      </c>
    </row>
    <row r="472" spans="1:3" x14ac:dyDescent="0.3">
      <c r="A472" s="3">
        <v>1425</v>
      </c>
      <c r="B472" s="4" t="s">
        <v>250</v>
      </c>
      <c r="C472" s="15" t="s">
        <v>82</v>
      </c>
    </row>
    <row r="473" spans="1:3" x14ac:dyDescent="0.3">
      <c r="A473" s="3">
        <v>1425</v>
      </c>
      <c r="B473" s="4" t="s">
        <v>250</v>
      </c>
      <c r="C473" s="15" t="s">
        <v>84</v>
      </c>
    </row>
    <row r="474" spans="1:3" x14ac:dyDescent="0.3">
      <c r="A474" s="3">
        <v>1425</v>
      </c>
      <c r="B474" s="4" t="s">
        <v>250</v>
      </c>
      <c r="C474" s="15" t="s">
        <v>83</v>
      </c>
    </row>
    <row r="475" spans="1:3" x14ac:dyDescent="0.3">
      <c r="A475" s="3">
        <v>1425</v>
      </c>
      <c r="B475" s="4" t="s">
        <v>250</v>
      </c>
      <c r="C475" s="15" t="s">
        <v>87</v>
      </c>
    </row>
    <row r="476" spans="1:3" x14ac:dyDescent="0.3">
      <c r="A476" s="3">
        <v>1425</v>
      </c>
      <c r="B476" s="4" t="s">
        <v>250</v>
      </c>
      <c r="C476" s="15" t="s">
        <v>85</v>
      </c>
    </row>
    <row r="477" spans="1:3" x14ac:dyDescent="0.3">
      <c r="A477" s="3">
        <v>1425</v>
      </c>
      <c r="B477" s="4" t="s">
        <v>250</v>
      </c>
      <c r="C477" s="15" t="s">
        <v>92</v>
      </c>
    </row>
    <row r="478" spans="1:3" x14ac:dyDescent="0.3">
      <c r="A478" s="3">
        <v>1425</v>
      </c>
      <c r="B478" s="4" t="s">
        <v>250</v>
      </c>
      <c r="C478" s="15" t="s">
        <v>86</v>
      </c>
    </row>
    <row r="479" spans="1:3" x14ac:dyDescent="0.3">
      <c r="A479" s="3">
        <v>1425</v>
      </c>
      <c r="B479" s="4" t="s">
        <v>250</v>
      </c>
      <c r="C479" s="15" t="s">
        <v>108</v>
      </c>
    </row>
    <row r="480" spans="1:3" x14ac:dyDescent="0.3">
      <c r="A480" s="3">
        <v>1425</v>
      </c>
      <c r="B480" s="4" t="s">
        <v>250</v>
      </c>
      <c r="C480" s="15" t="s">
        <v>89</v>
      </c>
    </row>
    <row r="481" spans="1:3" x14ac:dyDescent="0.3">
      <c r="A481" s="3">
        <v>1425</v>
      </c>
      <c r="B481" s="4" t="s">
        <v>250</v>
      </c>
      <c r="C481" s="15" t="s">
        <v>88</v>
      </c>
    </row>
    <row r="482" spans="1:3" x14ac:dyDescent="0.3">
      <c r="A482" s="3">
        <v>1425</v>
      </c>
      <c r="B482" s="4" t="s">
        <v>250</v>
      </c>
      <c r="C482" s="15" t="s">
        <v>90</v>
      </c>
    </row>
    <row r="483" spans="1:3" x14ac:dyDescent="0.3">
      <c r="A483" s="3">
        <v>1425</v>
      </c>
      <c r="B483" s="4" t="s">
        <v>250</v>
      </c>
      <c r="C483" s="15" t="s">
        <v>91</v>
      </c>
    </row>
    <row r="484" spans="1:3" x14ac:dyDescent="0.3">
      <c r="A484" s="3">
        <v>1425</v>
      </c>
      <c r="B484" s="4" t="s">
        <v>250</v>
      </c>
      <c r="C484" s="15" t="s">
        <v>96</v>
      </c>
    </row>
    <row r="485" spans="1:3" x14ac:dyDescent="0.3">
      <c r="A485" s="3">
        <v>1425</v>
      </c>
      <c r="B485" s="4" t="s">
        <v>250</v>
      </c>
      <c r="C485" s="15" t="s">
        <v>94</v>
      </c>
    </row>
    <row r="486" spans="1:3" x14ac:dyDescent="0.3">
      <c r="A486" s="3">
        <v>1425</v>
      </c>
      <c r="B486" s="4" t="s">
        <v>250</v>
      </c>
      <c r="C486" s="15" t="s">
        <v>95</v>
      </c>
    </row>
    <row r="487" spans="1:3" x14ac:dyDescent="0.3">
      <c r="A487" s="3">
        <v>1425</v>
      </c>
      <c r="B487" s="4" t="s">
        <v>250</v>
      </c>
      <c r="C487" s="15" t="s">
        <v>93</v>
      </c>
    </row>
    <row r="488" spans="1:3" x14ac:dyDescent="0.3">
      <c r="A488" s="3">
        <v>1427</v>
      </c>
      <c r="B488" s="4" t="s">
        <v>251</v>
      </c>
      <c r="C488" s="4" t="str">
        <f>1&amp;". TOTAL - "&amp;B488</f>
        <v>1. TOTAL - VENDA INTERNA - FITLAND</v>
      </c>
    </row>
    <row r="489" spans="1:3" x14ac:dyDescent="0.3">
      <c r="A489" s="3">
        <v>1427</v>
      </c>
      <c r="B489" s="4" t="s">
        <v>251</v>
      </c>
      <c r="C489" s="15" t="s">
        <v>81</v>
      </c>
    </row>
    <row r="490" spans="1:3" x14ac:dyDescent="0.3">
      <c r="A490" s="3">
        <v>1427</v>
      </c>
      <c r="B490" s="4" t="s">
        <v>251</v>
      </c>
      <c r="C490" s="15" t="s">
        <v>82</v>
      </c>
    </row>
    <row r="491" spans="1:3" x14ac:dyDescent="0.3">
      <c r="A491" s="3">
        <v>1427</v>
      </c>
      <c r="B491" s="4" t="s">
        <v>251</v>
      </c>
      <c r="C491" s="15" t="s">
        <v>84</v>
      </c>
    </row>
    <row r="492" spans="1:3" x14ac:dyDescent="0.3">
      <c r="A492" s="3">
        <v>1427</v>
      </c>
      <c r="B492" s="4" t="s">
        <v>251</v>
      </c>
      <c r="C492" s="15" t="s">
        <v>83</v>
      </c>
    </row>
    <row r="493" spans="1:3" x14ac:dyDescent="0.3">
      <c r="A493" s="3">
        <v>1427</v>
      </c>
      <c r="B493" s="4" t="s">
        <v>251</v>
      </c>
      <c r="C493" s="15" t="s">
        <v>87</v>
      </c>
    </row>
    <row r="494" spans="1:3" x14ac:dyDescent="0.3">
      <c r="A494" s="3">
        <v>1427</v>
      </c>
      <c r="B494" s="4" t="s">
        <v>251</v>
      </c>
      <c r="C494" s="15" t="s">
        <v>85</v>
      </c>
    </row>
    <row r="495" spans="1:3" x14ac:dyDescent="0.3">
      <c r="A495" s="3">
        <v>1427</v>
      </c>
      <c r="B495" s="4" t="s">
        <v>251</v>
      </c>
      <c r="C495" s="15" t="s">
        <v>92</v>
      </c>
    </row>
    <row r="496" spans="1:3" x14ac:dyDescent="0.3">
      <c r="A496" s="3">
        <v>1427</v>
      </c>
      <c r="B496" s="4" t="s">
        <v>251</v>
      </c>
      <c r="C496" s="15" t="s">
        <v>86</v>
      </c>
    </row>
    <row r="497" spans="1:3" x14ac:dyDescent="0.3">
      <c r="A497" s="3">
        <v>1427</v>
      </c>
      <c r="B497" s="4" t="s">
        <v>251</v>
      </c>
      <c r="C497" s="15" t="s">
        <v>108</v>
      </c>
    </row>
    <row r="498" spans="1:3" x14ac:dyDescent="0.3">
      <c r="A498" s="3">
        <v>1427</v>
      </c>
      <c r="B498" s="4" t="s">
        <v>251</v>
      </c>
      <c r="C498" s="15" t="s">
        <v>89</v>
      </c>
    </row>
    <row r="499" spans="1:3" x14ac:dyDescent="0.3">
      <c r="A499" s="3">
        <v>1427</v>
      </c>
      <c r="B499" s="4" t="s">
        <v>251</v>
      </c>
      <c r="C499" s="15" t="s">
        <v>88</v>
      </c>
    </row>
    <row r="500" spans="1:3" x14ac:dyDescent="0.3">
      <c r="A500" s="3">
        <v>1427</v>
      </c>
      <c r="B500" s="4" t="s">
        <v>251</v>
      </c>
      <c r="C500" s="15" t="s">
        <v>90</v>
      </c>
    </row>
    <row r="501" spans="1:3" x14ac:dyDescent="0.3">
      <c r="A501" s="3">
        <v>1427</v>
      </c>
      <c r="B501" s="4" t="s">
        <v>251</v>
      </c>
      <c r="C501" s="15" t="s">
        <v>91</v>
      </c>
    </row>
    <row r="502" spans="1:3" x14ac:dyDescent="0.3">
      <c r="A502" s="3">
        <v>1427</v>
      </c>
      <c r="B502" s="4" t="s">
        <v>251</v>
      </c>
      <c r="C502" s="15" t="s">
        <v>96</v>
      </c>
    </row>
    <row r="503" spans="1:3" x14ac:dyDescent="0.3">
      <c r="A503" s="3">
        <v>1427</v>
      </c>
      <c r="B503" s="4" t="s">
        <v>251</v>
      </c>
      <c r="C503" s="15" t="s">
        <v>94</v>
      </c>
    </row>
    <row r="504" spans="1:3" x14ac:dyDescent="0.3">
      <c r="A504" s="3">
        <v>1427</v>
      </c>
      <c r="B504" s="4" t="s">
        <v>251</v>
      </c>
      <c r="C504" s="15" t="s">
        <v>95</v>
      </c>
    </row>
    <row r="505" spans="1:3" x14ac:dyDescent="0.3">
      <c r="A505" s="3">
        <v>1427</v>
      </c>
      <c r="B505" s="4" t="s">
        <v>251</v>
      </c>
      <c r="C505" s="15" t="s">
        <v>93</v>
      </c>
    </row>
    <row r="506" spans="1:3" x14ac:dyDescent="0.3">
      <c r="A506" s="3">
        <v>1428</v>
      </c>
      <c r="B506" s="4" t="s">
        <v>252</v>
      </c>
      <c r="C506" s="4" t="str">
        <f>1&amp;". TOTAL - "&amp;B506</f>
        <v>1. TOTAL - VENDA INTERNA - JARDIM DAS ERVAS</v>
      </c>
    </row>
    <row r="507" spans="1:3" x14ac:dyDescent="0.3">
      <c r="A507" s="3">
        <v>1428</v>
      </c>
      <c r="B507" s="4" t="s">
        <v>252</v>
      </c>
      <c r="C507" s="15" t="s">
        <v>81</v>
      </c>
    </row>
    <row r="508" spans="1:3" x14ac:dyDescent="0.3">
      <c r="A508" s="3">
        <v>1428</v>
      </c>
      <c r="B508" s="4" t="s">
        <v>252</v>
      </c>
      <c r="C508" s="15" t="s">
        <v>82</v>
      </c>
    </row>
    <row r="509" spans="1:3" x14ac:dyDescent="0.3">
      <c r="A509" s="3">
        <v>1428</v>
      </c>
      <c r="B509" s="4" t="s">
        <v>252</v>
      </c>
      <c r="C509" s="15" t="s">
        <v>84</v>
      </c>
    </row>
    <row r="510" spans="1:3" x14ac:dyDescent="0.3">
      <c r="A510" s="3">
        <v>1428</v>
      </c>
      <c r="B510" s="4" t="s">
        <v>252</v>
      </c>
      <c r="C510" s="15" t="s">
        <v>83</v>
      </c>
    </row>
    <row r="511" spans="1:3" x14ac:dyDescent="0.3">
      <c r="A511" s="3">
        <v>1428</v>
      </c>
      <c r="B511" s="4" t="s">
        <v>252</v>
      </c>
      <c r="C511" s="15" t="s">
        <v>87</v>
      </c>
    </row>
    <row r="512" spans="1:3" x14ac:dyDescent="0.3">
      <c r="A512" s="3">
        <v>1428</v>
      </c>
      <c r="B512" s="4" t="s">
        <v>252</v>
      </c>
      <c r="C512" s="15" t="s">
        <v>85</v>
      </c>
    </row>
    <row r="513" spans="1:3" x14ac:dyDescent="0.3">
      <c r="A513" s="3">
        <v>1428</v>
      </c>
      <c r="B513" s="4" t="s">
        <v>252</v>
      </c>
      <c r="C513" s="15" t="s">
        <v>92</v>
      </c>
    </row>
    <row r="514" spans="1:3" x14ac:dyDescent="0.3">
      <c r="A514" s="3">
        <v>1428</v>
      </c>
      <c r="B514" s="4" t="s">
        <v>252</v>
      </c>
      <c r="C514" s="15" t="s">
        <v>86</v>
      </c>
    </row>
    <row r="515" spans="1:3" x14ac:dyDescent="0.3">
      <c r="A515" s="3">
        <v>1428</v>
      </c>
      <c r="B515" s="4" t="s">
        <v>252</v>
      </c>
      <c r="C515" s="15" t="s">
        <v>108</v>
      </c>
    </row>
    <row r="516" spans="1:3" x14ac:dyDescent="0.3">
      <c r="A516" s="3">
        <v>1428</v>
      </c>
      <c r="B516" s="4" t="s">
        <v>252</v>
      </c>
      <c r="C516" s="15" t="s">
        <v>89</v>
      </c>
    </row>
    <row r="517" spans="1:3" x14ac:dyDescent="0.3">
      <c r="A517" s="3">
        <v>1428</v>
      </c>
      <c r="B517" s="4" t="s">
        <v>252</v>
      </c>
      <c r="C517" s="15" t="s">
        <v>88</v>
      </c>
    </row>
    <row r="518" spans="1:3" x14ac:dyDescent="0.3">
      <c r="A518" s="3">
        <v>1428</v>
      </c>
      <c r="B518" s="4" t="s">
        <v>252</v>
      </c>
      <c r="C518" s="15" t="s">
        <v>90</v>
      </c>
    </row>
    <row r="519" spans="1:3" x14ac:dyDescent="0.3">
      <c r="A519" s="3">
        <v>1428</v>
      </c>
      <c r="B519" s="4" t="s">
        <v>252</v>
      </c>
      <c r="C519" s="15" t="s">
        <v>91</v>
      </c>
    </row>
    <row r="520" spans="1:3" x14ac:dyDescent="0.3">
      <c r="A520" s="3">
        <v>1428</v>
      </c>
      <c r="B520" s="4" t="s">
        <v>252</v>
      </c>
      <c r="C520" s="15" t="s">
        <v>96</v>
      </c>
    </row>
    <row r="521" spans="1:3" x14ac:dyDescent="0.3">
      <c r="A521" s="3">
        <v>1428</v>
      </c>
      <c r="B521" s="4" t="s">
        <v>252</v>
      </c>
      <c r="C521" s="15" t="s">
        <v>94</v>
      </c>
    </row>
    <row r="522" spans="1:3" x14ac:dyDescent="0.3">
      <c r="A522" s="3">
        <v>1428</v>
      </c>
      <c r="B522" s="4" t="s">
        <v>252</v>
      </c>
      <c r="C522" s="15" t="s">
        <v>95</v>
      </c>
    </row>
    <row r="523" spans="1:3" x14ac:dyDescent="0.3">
      <c r="A523" s="3">
        <v>1428</v>
      </c>
      <c r="B523" s="4" t="s">
        <v>252</v>
      </c>
      <c r="C523" s="15" t="s">
        <v>93</v>
      </c>
    </row>
    <row r="524" spans="1:3" x14ac:dyDescent="0.3">
      <c r="A524" s="3">
        <v>1429</v>
      </c>
      <c r="B524" s="4" t="s">
        <v>253</v>
      </c>
      <c r="C524" s="4" t="str">
        <f>1&amp;". TOTAL - "&amp;B524</f>
        <v>1. TOTAL - VANDA INTERNA - VIDA LEVE</v>
      </c>
    </row>
    <row r="525" spans="1:3" x14ac:dyDescent="0.3">
      <c r="A525" s="3">
        <v>1429</v>
      </c>
      <c r="B525" s="4" t="s">
        <v>253</v>
      </c>
      <c r="C525" s="15" t="s">
        <v>81</v>
      </c>
    </row>
    <row r="526" spans="1:3" x14ac:dyDescent="0.3">
      <c r="A526" s="3">
        <v>1429</v>
      </c>
      <c r="B526" s="4" t="s">
        <v>253</v>
      </c>
      <c r="C526" s="15" t="s">
        <v>82</v>
      </c>
    </row>
    <row r="527" spans="1:3" x14ac:dyDescent="0.3">
      <c r="A527" s="3">
        <v>1429</v>
      </c>
      <c r="B527" s="4" t="s">
        <v>253</v>
      </c>
      <c r="C527" s="15" t="s">
        <v>84</v>
      </c>
    </row>
    <row r="528" spans="1:3" x14ac:dyDescent="0.3">
      <c r="A528" s="3">
        <v>1429</v>
      </c>
      <c r="B528" s="4" t="s">
        <v>253</v>
      </c>
      <c r="C528" s="15" t="s">
        <v>83</v>
      </c>
    </row>
    <row r="529" spans="1:3" x14ac:dyDescent="0.3">
      <c r="A529" s="3">
        <v>1429</v>
      </c>
      <c r="B529" s="4" t="s">
        <v>253</v>
      </c>
      <c r="C529" s="15" t="s">
        <v>87</v>
      </c>
    </row>
    <row r="530" spans="1:3" x14ac:dyDescent="0.3">
      <c r="A530" s="3">
        <v>1429</v>
      </c>
      <c r="B530" s="4" t="s">
        <v>253</v>
      </c>
      <c r="C530" s="15" t="s">
        <v>85</v>
      </c>
    </row>
    <row r="531" spans="1:3" x14ac:dyDescent="0.3">
      <c r="A531" s="3">
        <v>1429</v>
      </c>
      <c r="B531" s="4" t="s">
        <v>253</v>
      </c>
      <c r="C531" s="15" t="s">
        <v>92</v>
      </c>
    </row>
    <row r="532" spans="1:3" x14ac:dyDescent="0.3">
      <c r="A532" s="3">
        <v>1429</v>
      </c>
      <c r="B532" s="4" t="s">
        <v>253</v>
      </c>
      <c r="C532" s="15" t="s">
        <v>86</v>
      </c>
    </row>
    <row r="533" spans="1:3" x14ac:dyDescent="0.3">
      <c r="A533" s="3">
        <v>1429</v>
      </c>
      <c r="B533" s="4" t="s">
        <v>253</v>
      </c>
      <c r="C533" s="15" t="s">
        <v>108</v>
      </c>
    </row>
    <row r="534" spans="1:3" x14ac:dyDescent="0.3">
      <c r="A534" s="3">
        <v>1429</v>
      </c>
      <c r="B534" s="4" t="s">
        <v>253</v>
      </c>
      <c r="C534" s="15" t="s">
        <v>89</v>
      </c>
    </row>
    <row r="535" spans="1:3" x14ac:dyDescent="0.3">
      <c r="A535" s="3">
        <v>1429</v>
      </c>
      <c r="B535" s="4" t="s">
        <v>253</v>
      </c>
      <c r="C535" s="15" t="s">
        <v>88</v>
      </c>
    </row>
    <row r="536" spans="1:3" x14ac:dyDescent="0.3">
      <c r="A536" s="3">
        <v>1429</v>
      </c>
      <c r="B536" s="4" t="s">
        <v>253</v>
      </c>
      <c r="C536" s="15" t="s">
        <v>90</v>
      </c>
    </row>
    <row r="537" spans="1:3" x14ac:dyDescent="0.3">
      <c r="A537" s="3">
        <v>1429</v>
      </c>
      <c r="B537" s="4" t="s">
        <v>253</v>
      </c>
      <c r="C537" s="15" t="s">
        <v>91</v>
      </c>
    </row>
    <row r="538" spans="1:3" x14ac:dyDescent="0.3">
      <c r="A538" s="3">
        <v>1429</v>
      </c>
      <c r="B538" s="4" t="s">
        <v>253</v>
      </c>
      <c r="C538" s="15" t="s">
        <v>96</v>
      </c>
    </row>
    <row r="539" spans="1:3" x14ac:dyDescent="0.3">
      <c r="A539" s="3">
        <v>1429</v>
      </c>
      <c r="B539" s="4" t="s">
        <v>253</v>
      </c>
      <c r="C539" s="15" t="s">
        <v>94</v>
      </c>
    </row>
    <row r="540" spans="1:3" x14ac:dyDescent="0.3">
      <c r="A540" s="3">
        <v>1429</v>
      </c>
      <c r="B540" s="4" t="s">
        <v>253</v>
      </c>
      <c r="C540" s="15" t="s">
        <v>95</v>
      </c>
    </row>
    <row r="541" spans="1:3" x14ac:dyDescent="0.3">
      <c r="A541" s="3">
        <v>1429</v>
      </c>
      <c r="B541" s="4" t="s">
        <v>253</v>
      </c>
      <c r="C541" s="15" t="s">
        <v>93</v>
      </c>
    </row>
    <row r="542" spans="1:3" x14ac:dyDescent="0.3">
      <c r="A542" s="3">
        <v>1430</v>
      </c>
      <c r="B542" s="4" t="s">
        <v>254</v>
      </c>
      <c r="C542" s="4" t="str">
        <f>1&amp;". TOTAL - "&amp;B542</f>
        <v>1. TOTAL - VENDA INTERNA - BIO MUNDO</v>
      </c>
    </row>
    <row r="543" spans="1:3" x14ac:dyDescent="0.3">
      <c r="A543" s="3">
        <v>1430</v>
      </c>
      <c r="B543" s="4" t="s">
        <v>254</v>
      </c>
      <c r="C543" s="15" t="s">
        <v>81</v>
      </c>
    </row>
    <row r="544" spans="1:3" x14ac:dyDescent="0.3">
      <c r="A544" s="3">
        <v>1430</v>
      </c>
      <c r="B544" s="4" t="s">
        <v>254</v>
      </c>
      <c r="C544" s="15" t="s">
        <v>82</v>
      </c>
    </row>
    <row r="545" spans="1:3" x14ac:dyDescent="0.3">
      <c r="A545" s="3">
        <v>1430</v>
      </c>
      <c r="B545" s="4" t="s">
        <v>254</v>
      </c>
      <c r="C545" s="15" t="s">
        <v>84</v>
      </c>
    </row>
    <row r="546" spans="1:3" x14ac:dyDescent="0.3">
      <c r="A546" s="3">
        <v>1430</v>
      </c>
      <c r="B546" s="4" t="s">
        <v>254</v>
      </c>
      <c r="C546" s="15" t="s">
        <v>83</v>
      </c>
    </row>
    <row r="547" spans="1:3" x14ac:dyDescent="0.3">
      <c r="A547" s="3">
        <v>1430</v>
      </c>
      <c r="B547" s="4" t="s">
        <v>254</v>
      </c>
      <c r="C547" s="15" t="s">
        <v>87</v>
      </c>
    </row>
    <row r="548" spans="1:3" x14ac:dyDescent="0.3">
      <c r="A548" s="3">
        <v>1430</v>
      </c>
      <c r="B548" s="4" t="s">
        <v>254</v>
      </c>
      <c r="C548" s="15" t="s">
        <v>85</v>
      </c>
    </row>
    <row r="549" spans="1:3" x14ac:dyDescent="0.3">
      <c r="A549" s="3">
        <v>1430</v>
      </c>
      <c r="B549" s="4" t="s">
        <v>254</v>
      </c>
      <c r="C549" s="15" t="s">
        <v>92</v>
      </c>
    </row>
    <row r="550" spans="1:3" x14ac:dyDescent="0.3">
      <c r="A550" s="3">
        <v>1430</v>
      </c>
      <c r="B550" s="4" t="s">
        <v>254</v>
      </c>
      <c r="C550" s="15" t="s">
        <v>86</v>
      </c>
    </row>
    <row r="551" spans="1:3" x14ac:dyDescent="0.3">
      <c r="A551" s="3">
        <v>1430</v>
      </c>
      <c r="B551" s="4" t="s">
        <v>254</v>
      </c>
      <c r="C551" s="15" t="s">
        <v>108</v>
      </c>
    </row>
    <row r="552" spans="1:3" x14ac:dyDescent="0.3">
      <c r="A552" s="3">
        <v>1430</v>
      </c>
      <c r="B552" s="4" t="s">
        <v>254</v>
      </c>
      <c r="C552" s="15" t="s">
        <v>89</v>
      </c>
    </row>
    <row r="553" spans="1:3" x14ac:dyDescent="0.3">
      <c r="A553" s="3">
        <v>1430</v>
      </c>
      <c r="B553" s="4" t="s">
        <v>254</v>
      </c>
      <c r="C553" s="15" t="s">
        <v>88</v>
      </c>
    </row>
    <row r="554" spans="1:3" x14ac:dyDescent="0.3">
      <c r="A554" s="3">
        <v>1430</v>
      </c>
      <c r="B554" s="4" t="s">
        <v>254</v>
      </c>
      <c r="C554" s="15" t="s">
        <v>90</v>
      </c>
    </row>
    <row r="555" spans="1:3" x14ac:dyDescent="0.3">
      <c r="A555" s="3">
        <v>1430</v>
      </c>
      <c r="B555" s="4" t="s">
        <v>254</v>
      </c>
      <c r="C555" s="15" t="s">
        <v>91</v>
      </c>
    </row>
    <row r="556" spans="1:3" x14ac:dyDescent="0.3">
      <c r="A556" s="3">
        <v>1430</v>
      </c>
      <c r="B556" s="4" t="s">
        <v>254</v>
      </c>
      <c r="C556" s="15" t="s">
        <v>96</v>
      </c>
    </row>
    <row r="557" spans="1:3" x14ac:dyDescent="0.3">
      <c r="A557" s="3">
        <v>1430</v>
      </c>
      <c r="B557" s="4" t="s">
        <v>254</v>
      </c>
      <c r="C557" s="15" t="s">
        <v>94</v>
      </c>
    </row>
    <row r="558" spans="1:3" x14ac:dyDescent="0.3">
      <c r="A558" s="3">
        <v>1430</v>
      </c>
      <c r="B558" s="4" t="s">
        <v>254</v>
      </c>
      <c r="C558" s="15" t="s">
        <v>95</v>
      </c>
    </row>
    <row r="559" spans="1:3" x14ac:dyDescent="0.3">
      <c r="A559" s="3">
        <v>1430</v>
      </c>
      <c r="B559" s="4" t="s">
        <v>254</v>
      </c>
      <c r="C559" s="15" t="s">
        <v>93</v>
      </c>
    </row>
    <row r="560" spans="1:3" x14ac:dyDescent="0.3">
      <c r="A560" s="3">
        <v>1431</v>
      </c>
      <c r="B560" s="4" t="s">
        <v>255</v>
      </c>
      <c r="C560" s="4" t="str">
        <f>1&amp;". TOTAL - "&amp;B560</f>
        <v>1. TOTAL - VENDA INTERNA - ARMAZEM FIT STORE</v>
      </c>
    </row>
    <row r="561" spans="1:3" x14ac:dyDescent="0.3">
      <c r="A561" s="3">
        <v>1431</v>
      </c>
      <c r="B561" s="4" t="s">
        <v>255</v>
      </c>
      <c r="C561" s="15" t="s">
        <v>81</v>
      </c>
    </row>
    <row r="562" spans="1:3" x14ac:dyDescent="0.3">
      <c r="A562" s="3">
        <v>1431</v>
      </c>
      <c r="B562" s="4" t="s">
        <v>255</v>
      </c>
      <c r="C562" s="15" t="s">
        <v>82</v>
      </c>
    </row>
    <row r="563" spans="1:3" x14ac:dyDescent="0.3">
      <c r="A563" s="3">
        <v>1431</v>
      </c>
      <c r="B563" s="4" t="s">
        <v>255</v>
      </c>
      <c r="C563" s="15" t="s">
        <v>84</v>
      </c>
    </row>
    <row r="564" spans="1:3" x14ac:dyDescent="0.3">
      <c r="A564" s="3">
        <v>1431</v>
      </c>
      <c r="B564" s="4" t="s">
        <v>255</v>
      </c>
      <c r="C564" s="15" t="s">
        <v>83</v>
      </c>
    </row>
    <row r="565" spans="1:3" x14ac:dyDescent="0.3">
      <c r="A565" s="3">
        <v>1431</v>
      </c>
      <c r="B565" s="4" t="s">
        <v>255</v>
      </c>
      <c r="C565" s="15" t="s">
        <v>87</v>
      </c>
    </row>
    <row r="566" spans="1:3" x14ac:dyDescent="0.3">
      <c r="A566" s="3">
        <v>1431</v>
      </c>
      <c r="B566" s="4" t="s">
        <v>255</v>
      </c>
      <c r="C566" s="15" t="s">
        <v>85</v>
      </c>
    </row>
    <row r="567" spans="1:3" x14ac:dyDescent="0.3">
      <c r="A567" s="3">
        <v>1431</v>
      </c>
      <c r="B567" s="4" t="s">
        <v>255</v>
      </c>
      <c r="C567" s="15" t="s">
        <v>92</v>
      </c>
    </row>
    <row r="568" spans="1:3" x14ac:dyDescent="0.3">
      <c r="A568" s="3">
        <v>1431</v>
      </c>
      <c r="B568" s="4" t="s">
        <v>255</v>
      </c>
      <c r="C568" s="15" t="s">
        <v>86</v>
      </c>
    </row>
    <row r="569" spans="1:3" x14ac:dyDescent="0.3">
      <c r="A569" s="3">
        <v>1431</v>
      </c>
      <c r="B569" s="4" t="s">
        <v>255</v>
      </c>
      <c r="C569" s="15" t="s">
        <v>108</v>
      </c>
    </row>
    <row r="570" spans="1:3" x14ac:dyDescent="0.3">
      <c r="A570" s="3">
        <v>1431</v>
      </c>
      <c r="B570" s="4" t="s">
        <v>255</v>
      </c>
      <c r="C570" s="15" t="s">
        <v>89</v>
      </c>
    </row>
    <row r="571" spans="1:3" x14ac:dyDescent="0.3">
      <c r="A571" s="3">
        <v>1431</v>
      </c>
      <c r="B571" s="4" t="s">
        <v>255</v>
      </c>
      <c r="C571" s="15" t="s">
        <v>88</v>
      </c>
    </row>
    <row r="572" spans="1:3" x14ac:dyDescent="0.3">
      <c r="A572" s="3">
        <v>1431</v>
      </c>
      <c r="B572" s="4" t="s">
        <v>255</v>
      </c>
      <c r="C572" s="15" t="s">
        <v>90</v>
      </c>
    </row>
    <row r="573" spans="1:3" x14ac:dyDescent="0.3">
      <c r="A573" s="3">
        <v>1431</v>
      </c>
      <c r="B573" s="4" t="s">
        <v>255</v>
      </c>
      <c r="C573" s="15" t="s">
        <v>91</v>
      </c>
    </row>
    <row r="574" spans="1:3" x14ac:dyDescent="0.3">
      <c r="A574" s="3">
        <v>1431</v>
      </c>
      <c r="B574" s="4" t="s">
        <v>255</v>
      </c>
      <c r="C574" s="15" t="s">
        <v>96</v>
      </c>
    </row>
    <row r="575" spans="1:3" x14ac:dyDescent="0.3">
      <c r="A575" s="3">
        <v>1431</v>
      </c>
      <c r="B575" s="4" t="s">
        <v>255</v>
      </c>
      <c r="C575" s="15" t="s">
        <v>94</v>
      </c>
    </row>
    <row r="576" spans="1:3" x14ac:dyDescent="0.3">
      <c r="A576" s="3">
        <v>1431</v>
      </c>
      <c r="B576" s="4" t="s">
        <v>255</v>
      </c>
      <c r="C576" s="15" t="s">
        <v>95</v>
      </c>
    </row>
    <row r="577" spans="1:3" x14ac:dyDescent="0.3">
      <c r="A577" s="3">
        <v>1431</v>
      </c>
      <c r="B577" s="4" t="s">
        <v>255</v>
      </c>
      <c r="C577" s="15" t="s">
        <v>93</v>
      </c>
    </row>
    <row r="578" spans="1:3" x14ac:dyDescent="0.3">
      <c r="A578" s="3">
        <v>1432</v>
      </c>
      <c r="B578" s="4" t="s">
        <v>256</v>
      </c>
      <c r="C578" s="4" t="str">
        <f>1&amp;". TOTAL - "&amp;B578</f>
        <v>1. TOTAL - VENDA INTERNA - CIA DA SAUDE</v>
      </c>
    </row>
    <row r="579" spans="1:3" x14ac:dyDescent="0.3">
      <c r="A579" s="3">
        <v>1432</v>
      </c>
      <c r="B579" s="4" t="s">
        <v>256</v>
      </c>
      <c r="C579" s="15" t="s">
        <v>81</v>
      </c>
    </row>
    <row r="580" spans="1:3" x14ac:dyDescent="0.3">
      <c r="A580" s="3">
        <v>1432</v>
      </c>
      <c r="B580" s="4" t="s">
        <v>256</v>
      </c>
      <c r="C580" s="15" t="s">
        <v>82</v>
      </c>
    </row>
    <row r="581" spans="1:3" x14ac:dyDescent="0.3">
      <c r="A581" s="3">
        <v>1432</v>
      </c>
      <c r="B581" s="4" t="s">
        <v>256</v>
      </c>
      <c r="C581" s="15" t="s">
        <v>84</v>
      </c>
    </row>
    <row r="582" spans="1:3" x14ac:dyDescent="0.3">
      <c r="A582" s="3">
        <v>1432</v>
      </c>
      <c r="B582" s="4" t="s">
        <v>256</v>
      </c>
      <c r="C582" s="15" t="s">
        <v>83</v>
      </c>
    </row>
    <row r="583" spans="1:3" x14ac:dyDescent="0.3">
      <c r="A583" s="3">
        <v>1432</v>
      </c>
      <c r="B583" s="4" t="s">
        <v>256</v>
      </c>
      <c r="C583" s="15" t="s">
        <v>87</v>
      </c>
    </row>
    <row r="584" spans="1:3" x14ac:dyDescent="0.3">
      <c r="A584" s="3">
        <v>1432</v>
      </c>
      <c r="B584" s="4" t="s">
        <v>256</v>
      </c>
      <c r="C584" s="15" t="s">
        <v>85</v>
      </c>
    </row>
    <row r="585" spans="1:3" x14ac:dyDescent="0.3">
      <c r="A585" s="3">
        <v>1432</v>
      </c>
      <c r="B585" s="4" t="s">
        <v>256</v>
      </c>
      <c r="C585" s="15" t="s">
        <v>92</v>
      </c>
    </row>
    <row r="586" spans="1:3" x14ac:dyDescent="0.3">
      <c r="A586" s="3">
        <v>1432</v>
      </c>
      <c r="B586" s="4" t="s">
        <v>256</v>
      </c>
      <c r="C586" s="15" t="s">
        <v>86</v>
      </c>
    </row>
    <row r="587" spans="1:3" x14ac:dyDescent="0.3">
      <c r="A587" s="3">
        <v>1432</v>
      </c>
      <c r="B587" s="4" t="s">
        <v>256</v>
      </c>
      <c r="C587" s="15" t="s">
        <v>108</v>
      </c>
    </row>
    <row r="588" spans="1:3" x14ac:dyDescent="0.3">
      <c r="A588" s="3">
        <v>1432</v>
      </c>
      <c r="B588" s="4" t="s">
        <v>256</v>
      </c>
      <c r="C588" s="15" t="s">
        <v>89</v>
      </c>
    </row>
    <row r="589" spans="1:3" x14ac:dyDescent="0.3">
      <c r="A589" s="3">
        <v>1432</v>
      </c>
      <c r="B589" s="4" t="s">
        <v>256</v>
      </c>
      <c r="C589" s="15" t="s">
        <v>88</v>
      </c>
    </row>
    <row r="590" spans="1:3" x14ac:dyDescent="0.3">
      <c r="A590" s="3">
        <v>1432</v>
      </c>
      <c r="B590" s="4" t="s">
        <v>256</v>
      </c>
      <c r="C590" s="15" t="s">
        <v>90</v>
      </c>
    </row>
    <row r="591" spans="1:3" x14ac:dyDescent="0.3">
      <c r="A591" s="3">
        <v>1432</v>
      </c>
      <c r="B591" s="4" t="s">
        <v>256</v>
      </c>
      <c r="C591" s="15" t="s">
        <v>91</v>
      </c>
    </row>
    <row r="592" spans="1:3" x14ac:dyDescent="0.3">
      <c r="A592" s="3">
        <v>1432</v>
      </c>
      <c r="B592" s="4" t="s">
        <v>256</v>
      </c>
      <c r="C592" s="15" t="s">
        <v>96</v>
      </c>
    </row>
    <row r="593" spans="1:3" x14ac:dyDescent="0.3">
      <c r="A593" s="3">
        <v>1432</v>
      </c>
      <c r="B593" s="4" t="s">
        <v>256</v>
      </c>
      <c r="C593" s="15" t="s">
        <v>94</v>
      </c>
    </row>
    <row r="594" spans="1:3" x14ac:dyDescent="0.3">
      <c r="A594" s="3">
        <v>1432</v>
      </c>
      <c r="B594" s="4" t="s">
        <v>256</v>
      </c>
      <c r="C594" s="15" t="s">
        <v>95</v>
      </c>
    </row>
    <row r="595" spans="1:3" x14ac:dyDescent="0.3">
      <c r="A595" s="3">
        <v>1432</v>
      </c>
      <c r="B595" s="4" t="s">
        <v>256</v>
      </c>
      <c r="C595" s="15" t="s">
        <v>93</v>
      </c>
    </row>
    <row r="596" spans="1:3" x14ac:dyDescent="0.3">
      <c r="A596" s="3">
        <v>1433</v>
      </c>
      <c r="B596" s="4" t="s">
        <v>257</v>
      </c>
      <c r="C596" s="4" t="str">
        <f>1&amp;". TOTAL - "&amp;B596</f>
        <v>1. TOTAL - VENDA INTERNA - MUNDO VERDE</v>
      </c>
    </row>
    <row r="597" spans="1:3" x14ac:dyDescent="0.3">
      <c r="A597" s="3">
        <v>1433</v>
      </c>
      <c r="B597" s="4" t="s">
        <v>257</v>
      </c>
      <c r="C597" s="15" t="s">
        <v>81</v>
      </c>
    </row>
    <row r="598" spans="1:3" x14ac:dyDescent="0.3">
      <c r="A598" s="3">
        <v>1433</v>
      </c>
      <c r="B598" s="4" t="s">
        <v>257</v>
      </c>
      <c r="C598" s="15" t="s">
        <v>82</v>
      </c>
    </row>
    <row r="599" spans="1:3" x14ac:dyDescent="0.3">
      <c r="A599" s="3">
        <v>1433</v>
      </c>
      <c r="B599" s="4" t="s">
        <v>257</v>
      </c>
      <c r="C599" s="15" t="s">
        <v>84</v>
      </c>
    </row>
    <row r="600" spans="1:3" x14ac:dyDescent="0.3">
      <c r="A600" s="3">
        <v>1433</v>
      </c>
      <c r="B600" s="4" t="s">
        <v>257</v>
      </c>
      <c r="C600" s="15" t="s">
        <v>83</v>
      </c>
    </row>
    <row r="601" spans="1:3" x14ac:dyDescent="0.3">
      <c r="A601" s="3">
        <v>1433</v>
      </c>
      <c r="B601" s="4" t="s">
        <v>257</v>
      </c>
      <c r="C601" s="15" t="s">
        <v>87</v>
      </c>
    </row>
    <row r="602" spans="1:3" x14ac:dyDescent="0.3">
      <c r="A602" s="3">
        <v>1433</v>
      </c>
      <c r="B602" s="4" t="s">
        <v>257</v>
      </c>
      <c r="C602" s="15" t="s">
        <v>85</v>
      </c>
    </row>
    <row r="603" spans="1:3" x14ac:dyDescent="0.3">
      <c r="A603" s="3">
        <v>1433</v>
      </c>
      <c r="B603" s="4" t="s">
        <v>257</v>
      </c>
      <c r="C603" s="15" t="s">
        <v>92</v>
      </c>
    </row>
    <row r="604" spans="1:3" x14ac:dyDescent="0.3">
      <c r="A604" s="3">
        <v>1433</v>
      </c>
      <c r="B604" s="4" t="s">
        <v>257</v>
      </c>
      <c r="C604" s="15" t="s">
        <v>86</v>
      </c>
    </row>
    <row r="605" spans="1:3" x14ac:dyDescent="0.3">
      <c r="A605" s="3">
        <v>1433</v>
      </c>
      <c r="B605" s="4" t="s">
        <v>257</v>
      </c>
      <c r="C605" s="15" t="s">
        <v>108</v>
      </c>
    </row>
    <row r="606" spans="1:3" x14ac:dyDescent="0.3">
      <c r="A606" s="3">
        <v>1433</v>
      </c>
      <c r="B606" s="4" t="s">
        <v>257</v>
      </c>
      <c r="C606" s="15" t="s">
        <v>89</v>
      </c>
    </row>
    <row r="607" spans="1:3" x14ac:dyDescent="0.3">
      <c r="A607" s="3">
        <v>1433</v>
      </c>
      <c r="B607" s="4" t="s">
        <v>257</v>
      </c>
      <c r="C607" s="15" t="s">
        <v>88</v>
      </c>
    </row>
    <row r="608" spans="1:3" x14ac:dyDescent="0.3">
      <c r="A608" s="3">
        <v>1433</v>
      </c>
      <c r="B608" s="4" t="s">
        <v>257</v>
      </c>
      <c r="C608" s="15" t="s">
        <v>90</v>
      </c>
    </row>
    <row r="609" spans="1:3" x14ac:dyDescent="0.3">
      <c r="A609" s="3">
        <v>1433</v>
      </c>
      <c r="B609" s="4" t="s">
        <v>257</v>
      </c>
      <c r="C609" s="15" t="s">
        <v>91</v>
      </c>
    </row>
    <row r="610" spans="1:3" x14ac:dyDescent="0.3">
      <c r="A610" s="3">
        <v>1433</v>
      </c>
      <c r="B610" s="4" t="s">
        <v>257</v>
      </c>
      <c r="C610" s="15" t="s">
        <v>96</v>
      </c>
    </row>
    <row r="611" spans="1:3" x14ac:dyDescent="0.3">
      <c r="A611" s="3">
        <v>1433</v>
      </c>
      <c r="B611" s="4" t="s">
        <v>257</v>
      </c>
      <c r="C611" s="15" t="s">
        <v>94</v>
      </c>
    </row>
    <row r="612" spans="1:3" x14ac:dyDescent="0.3">
      <c r="A612" s="3">
        <v>1433</v>
      </c>
      <c r="B612" s="4" t="s">
        <v>257</v>
      </c>
      <c r="C612" s="15" t="s">
        <v>95</v>
      </c>
    </row>
    <row r="613" spans="1:3" x14ac:dyDescent="0.3">
      <c r="A613" s="3">
        <v>1433</v>
      </c>
      <c r="B613" s="4" t="s">
        <v>257</v>
      </c>
      <c r="C613" s="15" t="s">
        <v>93</v>
      </c>
    </row>
    <row r="614" spans="1:3" x14ac:dyDescent="0.3">
      <c r="A614" s="3">
        <v>1438</v>
      </c>
      <c r="B614" s="4" t="s">
        <v>258</v>
      </c>
      <c r="C614" s="4" t="str">
        <f>1&amp;". TOTAL - "&amp;B614</f>
        <v>1. TOTAL - VENDA INTERNA - MAIS NATURAL</v>
      </c>
    </row>
    <row r="615" spans="1:3" x14ac:dyDescent="0.3">
      <c r="A615" s="3">
        <v>1438</v>
      </c>
      <c r="B615" s="4" t="s">
        <v>258</v>
      </c>
      <c r="C615" s="15" t="s">
        <v>81</v>
      </c>
    </row>
    <row r="616" spans="1:3" x14ac:dyDescent="0.3">
      <c r="A616" s="3">
        <v>1438</v>
      </c>
      <c r="B616" s="4" t="s">
        <v>258</v>
      </c>
      <c r="C616" s="15" t="s">
        <v>82</v>
      </c>
    </row>
    <row r="617" spans="1:3" x14ac:dyDescent="0.3">
      <c r="A617" s="3">
        <v>1438</v>
      </c>
      <c r="B617" s="4" t="s">
        <v>258</v>
      </c>
      <c r="C617" s="15" t="s">
        <v>84</v>
      </c>
    </row>
    <row r="618" spans="1:3" x14ac:dyDescent="0.3">
      <c r="A618" s="3">
        <v>1438</v>
      </c>
      <c r="B618" s="4" t="s">
        <v>258</v>
      </c>
      <c r="C618" s="15" t="s">
        <v>83</v>
      </c>
    </row>
    <row r="619" spans="1:3" x14ac:dyDescent="0.3">
      <c r="A619" s="3">
        <v>1438</v>
      </c>
      <c r="B619" s="4" t="s">
        <v>258</v>
      </c>
      <c r="C619" s="15" t="s">
        <v>87</v>
      </c>
    </row>
    <row r="620" spans="1:3" x14ac:dyDescent="0.3">
      <c r="A620" s="3">
        <v>1438</v>
      </c>
      <c r="B620" s="4" t="s">
        <v>258</v>
      </c>
      <c r="C620" s="15" t="s">
        <v>85</v>
      </c>
    </row>
    <row r="621" spans="1:3" x14ac:dyDescent="0.3">
      <c r="A621" s="3">
        <v>1438</v>
      </c>
      <c r="B621" s="4" t="s">
        <v>258</v>
      </c>
      <c r="C621" s="15" t="s">
        <v>92</v>
      </c>
    </row>
    <row r="622" spans="1:3" x14ac:dyDescent="0.3">
      <c r="A622" s="3">
        <v>1438</v>
      </c>
      <c r="B622" s="4" t="s">
        <v>258</v>
      </c>
      <c r="C622" s="15" t="s">
        <v>86</v>
      </c>
    </row>
    <row r="623" spans="1:3" x14ac:dyDescent="0.3">
      <c r="A623" s="3">
        <v>1438</v>
      </c>
      <c r="B623" s="4" t="s">
        <v>258</v>
      </c>
      <c r="C623" s="15" t="s">
        <v>108</v>
      </c>
    </row>
    <row r="624" spans="1:3" x14ac:dyDescent="0.3">
      <c r="A624" s="3">
        <v>1438</v>
      </c>
      <c r="B624" s="4" t="s">
        <v>258</v>
      </c>
      <c r="C624" s="15" t="s">
        <v>89</v>
      </c>
    </row>
    <row r="625" spans="1:3" x14ac:dyDescent="0.3">
      <c r="A625" s="3">
        <v>1438</v>
      </c>
      <c r="B625" s="4" t="s">
        <v>258</v>
      </c>
      <c r="C625" s="15" t="s">
        <v>88</v>
      </c>
    </row>
    <row r="626" spans="1:3" x14ac:dyDescent="0.3">
      <c r="A626" s="3">
        <v>1438</v>
      </c>
      <c r="B626" s="4" t="s">
        <v>258</v>
      </c>
      <c r="C626" s="15" t="s">
        <v>90</v>
      </c>
    </row>
    <row r="627" spans="1:3" x14ac:dyDescent="0.3">
      <c r="A627" s="3">
        <v>1438</v>
      </c>
      <c r="B627" s="4" t="s">
        <v>258</v>
      </c>
      <c r="C627" s="15" t="s">
        <v>91</v>
      </c>
    </row>
    <row r="628" spans="1:3" x14ac:dyDescent="0.3">
      <c r="A628" s="3">
        <v>1438</v>
      </c>
      <c r="B628" s="4" t="s">
        <v>258</v>
      </c>
      <c r="C628" s="15" t="s">
        <v>96</v>
      </c>
    </row>
    <row r="629" spans="1:3" x14ac:dyDescent="0.3">
      <c r="A629" s="3">
        <v>1438</v>
      </c>
      <c r="B629" s="4" t="s">
        <v>258</v>
      </c>
      <c r="C629" s="15" t="s">
        <v>94</v>
      </c>
    </row>
    <row r="630" spans="1:3" x14ac:dyDescent="0.3">
      <c r="A630" s="3">
        <v>1438</v>
      </c>
      <c r="B630" s="4" t="s">
        <v>258</v>
      </c>
      <c r="C630" s="15" t="s">
        <v>95</v>
      </c>
    </row>
    <row r="631" spans="1:3" x14ac:dyDescent="0.3">
      <c r="A631" s="3">
        <v>1438</v>
      </c>
      <c r="B631" s="4" t="s">
        <v>258</v>
      </c>
      <c r="C631" s="15" t="s">
        <v>93</v>
      </c>
    </row>
    <row r="632" spans="1:3" x14ac:dyDescent="0.3">
      <c r="A632" s="3">
        <v>1439</v>
      </c>
      <c r="B632" s="4" t="s">
        <v>259</v>
      </c>
      <c r="C632" s="4" t="str">
        <f>1&amp;". TOTAL - "&amp;B632</f>
        <v>1. TOTAL - VENDA INTERNA - TUDO EM GRAOS</v>
      </c>
    </row>
    <row r="633" spans="1:3" x14ac:dyDescent="0.3">
      <c r="A633" s="3">
        <v>1439</v>
      </c>
      <c r="B633" s="4" t="s">
        <v>259</v>
      </c>
      <c r="C633" s="15" t="s">
        <v>81</v>
      </c>
    </row>
    <row r="634" spans="1:3" x14ac:dyDescent="0.3">
      <c r="A634" s="3">
        <v>1439</v>
      </c>
      <c r="B634" s="4" t="s">
        <v>259</v>
      </c>
      <c r="C634" s="15" t="s">
        <v>82</v>
      </c>
    </row>
    <row r="635" spans="1:3" x14ac:dyDescent="0.3">
      <c r="A635" s="3">
        <v>1439</v>
      </c>
      <c r="B635" s="4" t="s">
        <v>259</v>
      </c>
      <c r="C635" s="15" t="s">
        <v>84</v>
      </c>
    </row>
    <row r="636" spans="1:3" x14ac:dyDescent="0.3">
      <c r="A636" s="3">
        <v>1439</v>
      </c>
      <c r="B636" s="4" t="s">
        <v>259</v>
      </c>
      <c r="C636" s="15" t="s">
        <v>83</v>
      </c>
    </row>
    <row r="637" spans="1:3" x14ac:dyDescent="0.3">
      <c r="A637" s="3">
        <v>1439</v>
      </c>
      <c r="B637" s="4" t="s">
        <v>259</v>
      </c>
      <c r="C637" s="15" t="s">
        <v>87</v>
      </c>
    </row>
    <row r="638" spans="1:3" x14ac:dyDescent="0.3">
      <c r="A638" s="3">
        <v>1439</v>
      </c>
      <c r="B638" s="4" t="s">
        <v>259</v>
      </c>
      <c r="C638" s="15" t="s">
        <v>85</v>
      </c>
    </row>
    <row r="639" spans="1:3" x14ac:dyDescent="0.3">
      <c r="A639" s="3">
        <v>1439</v>
      </c>
      <c r="B639" s="4" t="s">
        <v>259</v>
      </c>
      <c r="C639" s="15" t="s">
        <v>92</v>
      </c>
    </row>
    <row r="640" spans="1:3" x14ac:dyDescent="0.3">
      <c r="A640" s="3">
        <v>1439</v>
      </c>
      <c r="B640" s="4" t="s">
        <v>259</v>
      </c>
      <c r="C640" s="15" t="s">
        <v>86</v>
      </c>
    </row>
    <row r="641" spans="1:3" x14ac:dyDescent="0.3">
      <c r="A641" s="3">
        <v>1439</v>
      </c>
      <c r="B641" s="4" t="s">
        <v>259</v>
      </c>
      <c r="C641" s="15" t="s">
        <v>108</v>
      </c>
    </row>
    <row r="642" spans="1:3" x14ac:dyDescent="0.3">
      <c r="A642" s="3">
        <v>1439</v>
      </c>
      <c r="B642" s="4" t="s">
        <v>259</v>
      </c>
      <c r="C642" s="15" t="s">
        <v>89</v>
      </c>
    </row>
    <row r="643" spans="1:3" x14ac:dyDescent="0.3">
      <c r="A643" s="3">
        <v>1439</v>
      </c>
      <c r="B643" s="4" t="s">
        <v>259</v>
      </c>
      <c r="C643" s="15" t="s">
        <v>88</v>
      </c>
    </row>
    <row r="644" spans="1:3" x14ac:dyDescent="0.3">
      <c r="A644" s="3">
        <v>1439</v>
      </c>
      <c r="B644" s="4" t="s">
        <v>259</v>
      </c>
      <c r="C644" s="15" t="s">
        <v>90</v>
      </c>
    </row>
    <row r="645" spans="1:3" x14ac:dyDescent="0.3">
      <c r="A645" s="3">
        <v>1439</v>
      </c>
      <c r="B645" s="4" t="s">
        <v>259</v>
      </c>
      <c r="C645" s="15" t="s">
        <v>91</v>
      </c>
    </row>
    <row r="646" spans="1:3" x14ac:dyDescent="0.3">
      <c r="A646" s="3">
        <v>1439</v>
      </c>
      <c r="B646" s="4" t="s">
        <v>259</v>
      </c>
      <c r="C646" s="15" t="s">
        <v>96</v>
      </c>
    </row>
    <row r="647" spans="1:3" x14ac:dyDescent="0.3">
      <c r="A647" s="3">
        <v>1439</v>
      </c>
      <c r="B647" s="4" t="s">
        <v>259</v>
      </c>
      <c r="C647" s="15" t="s">
        <v>94</v>
      </c>
    </row>
    <row r="648" spans="1:3" x14ac:dyDescent="0.3">
      <c r="A648" s="3">
        <v>1439</v>
      </c>
      <c r="B648" s="4" t="s">
        <v>259</v>
      </c>
      <c r="C648" s="15" t="s">
        <v>95</v>
      </c>
    </row>
    <row r="649" spans="1:3" x14ac:dyDescent="0.3">
      <c r="A649" s="3">
        <v>1439</v>
      </c>
      <c r="B649" s="4" t="s">
        <v>259</v>
      </c>
      <c r="C649" s="15" t="s">
        <v>93</v>
      </c>
    </row>
    <row r="650" spans="1:3" x14ac:dyDescent="0.3">
      <c r="A650" s="3">
        <v>1442</v>
      </c>
      <c r="B650" s="4" t="s">
        <v>260</v>
      </c>
      <c r="C650" s="4" t="str">
        <f>1&amp;". TOTAL - "&amp;B650</f>
        <v>1. TOTAL - VENDA INTERNA AL</v>
      </c>
    </row>
    <row r="651" spans="1:3" x14ac:dyDescent="0.3">
      <c r="A651" s="3">
        <v>1442</v>
      </c>
      <c r="B651" s="4" t="s">
        <v>260</v>
      </c>
      <c r="C651" s="15" t="s">
        <v>81</v>
      </c>
    </row>
    <row r="652" spans="1:3" x14ac:dyDescent="0.3">
      <c r="A652" s="3">
        <v>1442</v>
      </c>
      <c r="B652" s="4" t="s">
        <v>260</v>
      </c>
      <c r="C652" s="15" t="s">
        <v>82</v>
      </c>
    </row>
    <row r="653" spans="1:3" x14ac:dyDescent="0.3">
      <c r="A653" s="3">
        <v>1442</v>
      </c>
      <c r="B653" s="4" t="s">
        <v>260</v>
      </c>
      <c r="C653" s="15" t="s">
        <v>84</v>
      </c>
    </row>
    <row r="654" spans="1:3" x14ac:dyDescent="0.3">
      <c r="A654" s="3">
        <v>1442</v>
      </c>
      <c r="B654" s="4" t="s">
        <v>260</v>
      </c>
      <c r="C654" s="15" t="s">
        <v>83</v>
      </c>
    </row>
    <row r="655" spans="1:3" x14ac:dyDescent="0.3">
      <c r="A655" s="3">
        <v>1442</v>
      </c>
      <c r="B655" s="4" t="s">
        <v>260</v>
      </c>
      <c r="C655" s="15" t="s">
        <v>87</v>
      </c>
    </row>
    <row r="656" spans="1:3" x14ac:dyDescent="0.3">
      <c r="A656" s="3">
        <v>1442</v>
      </c>
      <c r="B656" s="4" t="s">
        <v>260</v>
      </c>
      <c r="C656" s="15" t="s">
        <v>85</v>
      </c>
    </row>
    <row r="657" spans="1:3" x14ac:dyDescent="0.3">
      <c r="A657" s="3">
        <v>1442</v>
      </c>
      <c r="B657" s="4" t="s">
        <v>260</v>
      </c>
      <c r="C657" s="15" t="s">
        <v>92</v>
      </c>
    </row>
    <row r="658" spans="1:3" x14ac:dyDescent="0.3">
      <c r="A658" s="3">
        <v>1442</v>
      </c>
      <c r="B658" s="4" t="s">
        <v>260</v>
      </c>
      <c r="C658" s="15" t="s">
        <v>86</v>
      </c>
    </row>
    <row r="659" spans="1:3" x14ac:dyDescent="0.3">
      <c r="A659" s="3">
        <v>1442</v>
      </c>
      <c r="B659" s="4" t="s">
        <v>260</v>
      </c>
      <c r="C659" s="15" t="s">
        <v>108</v>
      </c>
    </row>
    <row r="660" spans="1:3" x14ac:dyDescent="0.3">
      <c r="A660" s="3">
        <v>1442</v>
      </c>
      <c r="B660" s="4" t="s">
        <v>260</v>
      </c>
      <c r="C660" s="15" t="s">
        <v>89</v>
      </c>
    </row>
    <row r="661" spans="1:3" x14ac:dyDescent="0.3">
      <c r="A661" s="3">
        <v>1442</v>
      </c>
      <c r="B661" s="4" t="s">
        <v>260</v>
      </c>
      <c r="C661" s="15" t="s">
        <v>88</v>
      </c>
    </row>
    <row r="662" spans="1:3" x14ac:dyDescent="0.3">
      <c r="A662" s="3">
        <v>1442</v>
      </c>
      <c r="B662" s="4" t="s">
        <v>260</v>
      </c>
      <c r="C662" s="15" t="s">
        <v>90</v>
      </c>
    </row>
    <row r="663" spans="1:3" x14ac:dyDescent="0.3">
      <c r="A663" s="3">
        <v>1442</v>
      </c>
      <c r="B663" s="4" t="s">
        <v>260</v>
      </c>
      <c r="C663" s="15" t="s">
        <v>91</v>
      </c>
    </row>
    <row r="664" spans="1:3" x14ac:dyDescent="0.3">
      <c r="A664" s="3">
        <v>1442</v>
      </c>
      <c r="B664" s="4" t="s">
        <v>260</v>
      </c>
      <c r="C664" s="15" t="s">
        <v>96</v>
      </c>
    </row>
    <row r="665" spans="1:3" x14ac:dyDescent="0.3">
      <c r="A665" s="3">
        <v>1442</v>
      </c>
      <c r="B665" s="4" t="s">
        <v>260</v>
      </c>
      <c r="C665" s="15" t="s">
        <v>94</v>
      </c>
    </row>
    <row r="666" spans="1:3" x14ac:dyDescent="0.3">
      <c r="A666" s="3">
        <v>1442</v>
      </c>
      <c r="B666" s="4" t="s">
        <v>260</v>
      </c>
      <c r="C666" s="15" t="s">
        <v>95</v>
      </c>
    </row>
    <row r="667" spans="1:3" x14ac:dyDescent="0.3">
      <c r="A667" s="3">
        <v>1442</v>
      </c>
      <c r="B667" s="4" t="s">
        <v>260</v>
      </c>
      <c r="C667" s="15" t="s">
        <v>93</v>
      </c>
    </row>
    <row r="668" spans="1:3" x14ac:dyDescent="0.3">
      <c r="A668" s="3">
        <v>1501</v>
      </c>
      <c r="B668" s="4" t="s">
        <v>261</v>
      </c>
      <c r="C668" s="4" t="str">
        <f>1&amp;". TOTAL - "&amp;B668</f>
        <v>1. TOTAL - VENDA INTERNA PR - CONVENIENCIA</v>
      </c>
    </row>
    <row r="669" spans="1:3" x14ac:dyDescent="0.3">
      <c r="A669" s="3">
        <v>1501</v>
      </c>
      <c r="B669" s="4" t="s">
        <v>261</v>
      </c>
      <c r="C669" s="15" t="s">
        <v>81</v>
      </c>
    </row>
    <row r="670" spans="1:3" x14ac:dyDescent="0.3">
      <c r="A670" s="3">
        <v>1501</v>
      </c>
      <c r="B670" s="4" t="s">
        <v>261</v>
      </c>
      <c r="C670" s="15" t="s">
        <v>82</v>
      </c>
    </row>
    <row r="671" spans="1:3" x14ac:dyDescent="0.3">
      <c r="A671" s="3">
        <v>1501</v>
      </c>
      <c r="B671" s="4" t="s">
        <v>261</v>
      </c>
      <c r="C671" s="15" t="s">
        <v>84</v>
      </c>
    </row>
    <row r="672" spans="1:3" x14ac:dyDescent="0.3">
      <c r="A672" s="3">
        <v>1501</v>
      </c>
      <c r="B672" s="4" t="s">
        <v>261</v>
      </c>
      <c r="C672" s="15" t="s">
        <v>83</v>
      </c>
    </row>
    <row r="673" spans="1:3" x14ac:dyDescent="0.3">
      <c r="A673" s="3">
        <v>1501</v>
      </c>
      <c r="B673" s="4" t="s">
        <v>261</v>
      </c>
      <c r="C673" s="15" t="s">
        <v>87</v>
      </c>
    </row>
    <row r="674" spans="1:3" x14ac:dyDescent="0.3">
      <c r="A674" s="3">
        <v>1501</v>
      </c>
      <c r="B674" s="4" t="s">
        <v>261</v>
      </c>
      <c r="C674" s="15" t="s">
        <v>85</v>
      </c>
    </row>
    <row r="675" spans="1:3" x14ac:dyDescent="0.3">
      <c r="A675" s="3">
        <v>1501</v>
      </c>
      <c r="B675" s="4" t="s">
        <v>261</v>
      </c>
      <c r="C675" s="15" t="s">
        <v>92</v>
      </c>
    </row>
    <row r="676" spans="1:3" x14ac:dyDescent="0.3">
      <c r="A676" s="3">
        <v>1501</v>
      </c>
      <c r="B676" s="4" t="s">
        <v>261</v>
      </c>
      <c r="C676" s="15" t="s">
        <v>86</v>
      </c>
    </row>
    <row r="677" spans="1:3" x14ac:dyDescent="0.3">
      <c r="A677" s="3">
        <v>1501</v>
      </c>
      <c r="B677" s="4" t="s">
        <v>261</v>
      </c>
      <c r="C677" s="15" t="s">
        <v>108</v>
      </c>
    </row>
    <row r="678" spans="1:3" x14ac:dyDescent="0.3">
      <c r="A678" s="3">
        <v>1501</v>
      </c>
      <c r="B678" s="4" t="s">
        <v>261</v>
      </c>
      <c r="C678" s="15" t="s">
        <v>89</v>
      </c>
    </row>
    <row r="679" spans="1:3" x14ac:dyDescent="0.3">
      <c r="A679" s="3">
        <v>1501</v>
      </c>
      <c r="B679" s="4" t="s">
        <v>261</v>
      </c>
      <c r="C679" s="15" t="s">
        <v>88</v>
      </c>
    </row>
    <row r="680" spans="1:3" x14ac:dyDescent="0.3">
      <c r="A680" s="3">
        <v>1501</v>
      </c>
      <c r="B680" s="4" t="s">
        <v>261</v>
      </c>
      <c r="C680" s="15" t="s">
        <v>90</v>
      </c>
    </row>
    <row r="681" spans="1:3" x14ac:dyDescent="0.3">
      <c r="A681" s="3">
        <v>1501</v>
      </c>
      <c r="B681" s="4" t="s">
        <v>261</v>
      </c>
      <c r="C681" s="15" t="s">
        <v>91</v>
      </c>
    </row>
    <row r="682" spans="1:3" x14ac:dyDescent="0.3">
      <c r="A682" s="3">
        <v>1501</v>
      </c>
      <c r="B682" s="4" t="s">
        <v>261</v>
      </c>
      <c r="C682" s="15" t="s">
        <v>96</v>
      </c>
    </row>
    <row r="683" spans="1:3" x14ac:dyDescent="0.3">
      <c r="A683" s="3">
        <v>1501</v>
      </c>
      <c r="B683" s="4" t="s">
        <v>261</v>
      </c>
      <c r="C683" s="15" t="s">
        <v>94</v>
      </c>
    </row>
    <row r="684" spans="1:3" x14ac:dyDescent="0.3">
      <c r="A684" s="3">
        <v>1501</v>
      </c>
      <c r="B684" s="4" t="s">
        <v>261</v>
      </c>
      <c r="C684" s="15" t="s">
        <v>95</v>
      </c>
    </row>
    <row r="685" spans="1:3" x14ac:dyDescent="0.3">
      <c r="A685" s="3">
        <v>1501</v>
      </c>
      <c r="B685" s="4" t="s">
        <v>261</v>
      </c>
      <c r="C685" s="15" t="s">
        <v>93</v>
      </c>
    </row>
    <row r="686" spans="1:3" x14ac:dyDescent="0.3">
      <c r="A686" s="3">
        <v>1502</v>
      </c>
      <c r="B686" s="4" t="s">
        <v>262</v>
      </c>
      <c r="C686" s="4" t="str">
        <f>1&amp;". TOTAL - "&amp;B686</f>
        <v>1. TOTAL - VENDA INTERNA AP - CONVENIENCIA</v>
      </c>
    </row>
    <row r="687" spans="1:3" x14ac:dyDescent="0.3">
      <c r="A687" s="3">
        <v>1502</v>
      </c>
      <c r="B687" s="4" t="s">
        <v>262</v>
      </c>
      <c r="C687" s="15" t="s">
        <v>81</v>
      </c>
    </row>
    <row r="688" spans="1:3" x14ac:dyDescent="0.3">
      <c r="A688" s="3">
        <v>1502</v>
      </c>
      <c r="B688" s="4" t="s">
        <v>262</v>
      </c>
      <c r="C688" s="15" t="s">
        <v>82</v>
      </c>
    </row>
    <row r="689" spans="1:3" x14ac:dyDescent="0.3">
      <c r="A689" s="3">
        <v>1502</v>
      </c>
      <c r="B689" s="4" t="s">
        <v>262</v>
      </c>
      <c r="C689" s="15" t="s">
        <v>84</v>
      </c>
    </row>
    <row r="690" spans="1:3" x14ac:dyDescent="0.3">
      <c r="A690" s="3">
        <v>1502</v>
      </c>
      <c r="B690" s="4" t="s">
        <v>262</v>
      </c>
      <c r="C690" s="15" t="s">
        <v>83</v>
      </c>
    </row>
    <row r="691" spans="1:3" x14ac:dyDescent="0.3">
      <c r="A691" s="3">
        <v>1502</v>
      </c>
      <c r="B691" s="4" t="s">
        <v>262</v>
      </c>
      <c r="C691" s="15" t="s">
        <v>87</v>
      </c>
    </row>
    <row r="692" spans="1:3" x14ac:dyDescent="0.3">
      <c r="A692" s="3">
        <v>1502</v>
      </c>
      <c r="B692" s="4" t="s">
        <v>262</v>
      </c>
      <c r="C692" s="15" t="s">
        <v>85</v>
      </c>
    </row>
    <row r="693" spans="1:3" x14ac:dyDescent="0.3">
      <c r="A693" s="3">
        <v>1502</v>
      </c>
      <c r="B693" s="4" t="s">
        <v>262</v>
      </c>
      <c r="C693" s="15" t="s">
        <v>92</v>
      </c>
    </row>
    <row r="694" spans="1:3" x14ac:dyDescent="0.3">
      <c r="A694" s="3">
        <v>1502</v>
      </c>
      <c r="B694" s="4" t="s">
        <v>262</v>
      </c>
      <c r="C694" s="15" t="s">
        <v>86</v>
      </c>
    </row>
    <row r="695" spans="1:3" x14ac:dyDescent="0.3">
      <c r="A695" s="3">
        <v>1502</v>
      </c>
      <c r="B695" s="4" t="s">
        <v>262</v>
      </c>
      <c r="C695" s="15" t="s">
        <v>108</v>
      </c>
    </row>
    <row r="696" spans="1:3" x14ac:dyDescent="0.3">
      <c r="A696" s="3">
        <v>1502</v>
      </c>
      <c r="B696" s="4" t="s">
        <v>262</v>
      </c>
      <c r="C696" s="15" t="s">
        <v>89</v>
      </c>
    </row>
    <row r="697" spans="1:3" x14ac:dyDescent="0.3">
      <c r="A697" s="3">
        <v>1502</v>
      </c>
      <c r="B697" s="4" t="s">
        <v>262</v>
      </c>
      <c r="C697" s="15" t="s">
        <v>88</v>
      </c>
    </row>
    <row r="698" spans="1:3" x14ac:dyDescent="0.3">
      <c r="A698" s="3">
        <v>1502</v>
      </c>
      <c r="B698" s="4" t="s">
        <v>262</v>
      </c>
      <c r="C698" s="15" t="s">
        <v>90</v>
      </c>
    </row>
    <row r="699" spans="1:3" x14ac:dyDescent="0.3">
      <c r="A699" s="3">
        <v>1502</v>
      </c>
      <c r="B699" s="4" t="s">
        <v>262</v>
      </c>
      <c r="C699" s="15" t="s">
        <v>91</v>
      </c>
    </row>
    <row r="700" spans="1:3" x14ac:dyDescent="0.3">
      <c r="A700" s="3">
        <v>1502</v>
      </c>
      <c r="B700" s="4" t="s">
        <v>262</v>
      </c>
      <c r="C700" s="15" t="s">
        <v>96</v>
      </c>
    </row>
    <row r="701" spans="1:3" x14ac:dyDescent="0.3">
      <c r="A701" s="3">
        <v>1502</v>
      </c>
      <c r="B701" s="4" t="s">
        <v>262</v>
      </c>
      <c r="C701" s="15" t="s">
        <v>94</v>
      </c>
    </row>
    <row r="702" spans="1:3" x14ac:dyDescent="0.3">
      <c r="A702" s="3">
        <v>1502</v>
      </c>
      <c r="B702" s="4" t="s">
        <v>262</v>
      </c>
      <c r="C702" s="15" t="s">
        <v>95</v>
      </c>
    </row>
    <row r="703" spans="1:3" x14ac:dyDescent="0.3">
      <c r="A703" s="3">
        <v>1502</v>
      </c>
      <c r="B703" s="4" t="s">
        <v>262</v>
      </c>
      <c r="C703" s="15" t="s">
        <v>93</v>
      </c>
    </row>
    <row r="704" spans="1:3" x14ac:dyDescent="0.3">
      <c r="A704" s="3">
        <v>1503</v>
      </c>
      <c r="B704" s="4" t="s">
        <v>263</v>
      </c>
      <c r="C704" s="4" t="str">
        <f>1&amp;". TOTAL - "&amp;B704</f>
        <v>1. TOTAL - VENDA INTERNA RN - CONVENIENCIA</v>
      </c>
    </row>
    <row r="705" spans="1:3" x14ac:dyDescent="0.3">
      <c r="A705" s="3">
        <v>1503</v>
      </c>
      <c r="B705" s="4" t="s">
        <v>263</v>
      </c>
      <c r="C705" s="15" t="s">
        <v>81</v>
      </c>
    </row>
    <row r="706" spans="1:3" x14ac:dyDescent="0.3">
      <c r="A706" s="3">
        <v>1503</v>
      </c>
      <c r="B706" s="4" t="s">
        <v>263</v>
      </c>
      <c r="C706" s="15" t="s">
        <v>82</v>
      </c>
    </row>
    <row r="707" spans="1:3" x14ac:dyDescent="0.3">
      <c r="A707" s="3">
        <v>1503</v>
      </c>
      <c r="B707" s="4" t="s">
        <v>263</v>
      </c>
      <c r="C707" s="15" t="s">
        <v>84</v>
      </c>
    </row>
    <row r="708" spans="1:3" x14ac:dyDescent="0.3">
      <c r="A708" s="3">
        <v>1503</v>
      </c>
      <c r="B708" s="4" t="s">
        <v>263</v>
      </c>
      <c r="C708" s="15" t="s">
        <v>83</v>
      </c>
    </row>
    <row r="709" spans="1:3" x14ac:dyDescent="0.3">
      <c r="A709" s="3">
        <v>1503</v>
      </c>
      <c r="B709" s="4" t="s">
        <v>263</v>
      </c>
      <c r="C709" s="15" t="s">
        <v>87</v>
      </c>
    </row>
    <row r="710" spans="1:3" x14ac:dyDescent="0.3">
      <c r="A710" s="3">
        <v>1503</v>
      </c>
      <c r="B710" s="4" t="s">
        <v>263</v>
      </c>
      <c r="C710" s="15" t="s">
        <v>85</v>
      </c>
    </row>
    <row r="711" spans="1:3" x14ac:dyDescent="0.3">
      <c r="A711" s="3">
        <v>1503</v>
      </c>
      <c r="B711" s="4" t="s">
        <v>263</v>
      </c>
      <c r="C711" s="15" t="s">
        <v>92</v>
      </c>
    </row>
    <row r="712" spans="1:3" x14ac:dyDescent="0.3">
      <c r="A712" s="3">
        <v>1503</v>
      </c>
      <c r="B712" s="4" t="s">
        <v>263</v>
      </c>
      <c r="C712" s="15" t="s">
        <v>86</v>
      </c>
    </row>
    <row r="713" spans="1:3" x14ac:dyDescent="0.3">
      <c r="A713" s="3">
        <v>1503</v>
      </c>
      <c r="B713" s="4" t="s">
        <v>263</v>
      </c>
      <c r="C713" s="15" t="s">
        <v>108</v>
      </c>
    </row>
    <row r="714" spans="1:3" x14ac:dyDescent="0.3">
      <c r="A714" s="3">
        <v>1503</v>
      </c>
      <c r="B714" s="4" t="s">
        <v>263</v>
      </c>
      <c r="C714" s="15" t="s">
        <v>89</v>
      </c>
    </row>
    <row r="715" spans="1:3" x14ac:dyDescent="0.3">
      <c r="A715" s="3">
        <v>1503</v>
      </c>
      <c r="B715" s="4" t="s">
        <v>263</v>
      </c>
      <c r="C715" s="15" t="s">
        <v>88</v>
      </c>
    </row>
    <row r="716" spans="1:3" x14ac:dyDescent="0.3">
      <c r="A716" s="3">
        <v>1503</v>
      </c>
      <c r="B716" s="4" t="s">
        <v>263</v>
      </c>
      <c r="C716" s="15" t="s">
        <v>90</v>
      </c>
    </row>
    <row r="717" spans="1:3" x14ac:dyDescent="0.3">
      <c r="A717" s="3">
        <v>1503</v>
      </c>
      <c r="B717" s="4" t="s">
        <v>263</v>
      </c>
      <c r="C717" s="15" t="s">
        <v>91</v>
      </c>
    </row>
    <row r="718" spans="1:3" x14ac:dyDescent="0.3">
      <c r="A718" s="3">
        <v>1503</v>
      </c>
      <c r="B718" s="4" t="s">
        <v>263</v>
      </c>
      <c r="C718" s="15" t="s">
        <v>96</v>
      </c>
    </row>
    <row r="719" spans="1:3" x14ac:dyDescent="0.3">
      <c r="A719" s="3">
        <v>1503</v>
      </c>
      <c r="B719" s="4" t="s">
        <v>263</v>
      </c>
      <c r="C719" s="15" t="s">
        <v>94</v>
      </c>
    </row>
    <row r="720" spans="1:3" x14ac:dyDescent="0.3">
      <c r="A720" s="3">
        <v>1503</v>
      </c>
      <c r="B720" s="4" t="s">
        <v>263</v>
      </c>
      <c r="C720" s="15" t="s">
        <v>95</v>
      </c>
    </row>
    <row r="721" spans="1:3" x14ac:dyDescent="0.3">
      <c r="A721" s="3">
        <v>1503</v>
      </c>
      <c r="B721" s="4" t="s">
        <v>263</v>
      </c>
      <c r="C721" s="15" t="s">
        <v>93</v>
      </c>
    </row>
    <row r="722" spans="1:3" x14ac:dyDescent="0.3">
      <c r="A722" s="3">
        <v>1504</v>
      </c>
      <c r="B722" s="4" t="s">
        <v>264</v>
      </c>
      <c r="C722" s="4" t="str">
        <f>1&amp;". TOTAL - "&amp;B722</f>
        <v>1. TOTAL - VENDA INTERNA CE - CONVENIENCIA</v>
      </c>
    </row>
    <row r="723" spans="1:3" x14ac:dyDescent="0.3">
      <c r="A723" s="3">
        <v>1504</v>
      </c>
      <c r="B723" s="4" t="s">
        <v>264</v>
      </c>
      <c r="C723" s="15" t="s">
        <v>81</v>
      </c>
    </row>
    <row r="724" spans="1:3" x14ac:dyDescent="0.3">
      <c r="A724" s="3">
        <v>1504</v>
      </c>
      <c r="B724" s="4" t="s">
        <v>264</v>
      </c>
      <c r="C724" s="15" t="s">
        <v>82</v>
      </c>
    </row>
    <row r="725" spans="1:3" x14ac:dyDescent="0.3">
      <c r="A725" s="3">
        <v>1504</v>
      </c>
      <c r="B725" s="4" t="s">
        <v>264</v>
      </c>
      <c r="C725" s="15" t="s">
        <v>84</v>
      </c>
    </row>
    <row r="726" spans="1:3" x14ac:dyDescent="0.3">
      <c r="A726" s="3">
        <v>1504</v>
      </c>
      <c r="B726" s="4" t="s">
        <v>264</v>
      </c>
      <c r="C726" s="15" t="s">
        <v>83</v>
      </c>
    </row>
    <row r="727" spans="1:3" x14ac:dyDescent="0.3">
      <c r="A727" s="3">
        <v>1504</v>
      </c>
      <c r="B727" s="4" t="s">
        <v>264</v>
      </c>
      <c r="C727" s="15" t="s">
        <v>87</v>
      </c>
    </row>
    <row r="728" spans="1:3" x14ac:dyDescent="0.3">
      <c r="A728" s="3">
        <v>1504</v>
      </c>
      <c r="B728" s="4" t="s">
        <v>264</v>
      </c>
      <c r="C728" s="15" t="s">
        <v>85</v>
      </c>
    </row>
    <row r="729" spans="1:3" x14ac:dyDescent="0.3">
      <c r="A729" s="3">
        <v>1504</v>
      </c>
      <c r="B729" s="4" t="s">
        <v>264</v>
      </c>
      <c r="C729" s="15" t="s">
        <v>92</v>
      </c>
    </row>
    <row r="730" spans="1:3" x14ac:dyDescent="0.3">
      <c r="A730" s="3">
        <v>1504</v>
      </c>
      <c r="B730" s="4" t="s">
        <v>264</v>
      </c>
      <c r="C730" s="15" t="s">
        <v>86</v>
      </c>
    </row>
    <row r="731" spans="1:3" x14ac:dyDescent="0.3">
      <c r="A731" s="3">
        <v>1504</v>
      </c>
      <c r="B731" s="4" t="s">
        <v>264</v>
      </c>
      <c r="C731" s="15" t="s">
        <v>108</v>
      </c>
    </row>
    <row r="732" spans="1:3" x14ac:dyDescent="0.3">
      <c r="A732" s="3">
        <v>1504</v>
      </c>
      <c r="B732" s="4" t="s">
        <v>264</v>
      </c>
      <c r="C732" s="15" t="s">
        <v>89</v>
      </c>
    </row>
    <row r="733" spans="1:3" x14ac:dyDescent="0.3">
      <c r="A733" s="3">
        <v>1504</v>
      </c>
      <c r="B733" s="4" t="s">
        <v>264</v>
      </c>
      <c r="C733" s="15" t="s">
        <v>88</v>
      </c>
    </row>
    <row r="734" spans="1:3" x14ac:dyDescent="0.3">
      <c r="A734" s="3">
        <v>1504</v>
      </c>
      <c r="B734" s="4" t="s">
        <v>264</v>
      </c>
      <c r="C734" s="15" t="s">
        <v>90</v>
      </c>
    </row>
    <row r="735" spans="1:3" x14ac:dyDescent="0.3">
      <c r="A735" s="3">
        <v>1504</v>
      </c>
      <c r="B735" s="4" t="s">
        <v>264</v>
      </c>
      <c r="C735" s="15" t="s">
        <v>91</v>
      </c>
    </row>
    <row r="736" spans="1:3" x14ac:dyDescent="0.3">
      <c r="A736" s="3">
        <v>1504</v>
      </c>
      <c r="B736" s="4" t="s">
        <v>264</v>
      </c>
      <c r="C736" s="15" t="s">
        <v>96</v>
      </c>
    </row>
    <row r="737" spans="1:3" x14ac:dyDescent="0.3">
      <c r="A737" s="3">
        <v>1504</v>
      </c>
      <c r="B737" s="4" t="s">
        <v>264</v>
      </c>
      <c r="C737" s="15" t="s">
        <v>94</v>
      </c>
    </row>
    <row r="738" spans="1:3" x14ac:dyDescent="0.3">
      <c r="A738" s="3">
        <v>1504</v>
      </c>
      <c r="B738" s="4" t="s">
        <v>264</v>
      </c>
      <c r="C738" s="15" t="s">
        <v>95</v>
      </c>
    </row>
    <row r="739" spans="1:3" x14ac:dyDescent="0.3">
      <c r="A739" s="3">
        <v>1504</v>
      </c>
      <c r="B739" s="4" t="s">
        <v>264</v>
      </c>
      <c r="C739" s="15" t="s">
        <v>93</v>
      </c>
    </row>
    <row r="740" spans="1:3" x14ac:dyDescent="0.3">
      <c r="A740" s="3">
        <v>1505</v>
      </c>
      <c r="B740" s="4" t="s">
        <v>265</v>
      </c>
      <c r="C740" s="4" t="str">
        <f>1&amp;". TOTAL - "&amp;B740</f>
        <v>1. TOTAL - VENDA INTERNA PI - CONVENIENCIA</v>
      </c>
    </row>
    <row r="741" spans="1:3" x14ac:dyDescent="0.3">
      <c r="A741" s="3">
        <v>1505</v>
      </c>
      <c r="B741" s="4" t="s">
        <v>265</v>
      </c>
      <c r="C741" s="15" t="s">
        <v>81</v>
      </c>
    </row>
    <row r="742" spans="1:3" x14ac:dyDescent="0.3">
      <c r="A742" s="3">
        <v>1505</v>
      </c>
      <c r="B742" s="4" t="s">
        <v>265</v>
      </c>
      <c r="C742" s="15" t="s">
        <v>82</v>
      </c>
    </row>
    <row r="743" spans="1:3" x14ac:dyDescent="0.3">
      <c r="A743" s="3">
        <v>1505</v>
      </c>
      <c r="B743" s="4" t="s">
        <v>265</v>
      </c>
      <c r="C743" s="15" t="s">
        <v>84</v>
      </c>
    </row>
    <row r="744" spans="1:3" x14ac:dyDescent="0.3">
      <c r="A744" s="3">
        <v>1505</v>
      </c>
      <c r="B744" s="4" t="s">
        <v>265</v>
      </c>
      <c r="C744" s="15" t="s">
        <v>83</v>
      </c>
    </row>
    <row r="745" spans="1:3" x14ac:dyDescent="0.3">
      <c r="A745" s="3">
        <v>1505</v>
      </c>
      <c r="B745" s="4" t="s">
        <v>265</v>
      </c>
      <c r="C745" s="15" t="s">
        <v>87</v>
      </c>
    </row>
    <row r="746" spans="1:3" x14ac:dyDescent="0.3">
      <c r="A746" s="3">
        <v>1505</v>
      </c>
      <c r="B746" s="4" t="s">
        <v>265</v>
      </c>
      <c r="C746" s="15" t="s">
        <v>85</v>
      </c>
    </row>
    <row r="747" spans="1:3" x14ac:dyDescent="0.3">
      <c r="A747" s="3">
        <v>1505</v>
      </c>
      <c r="B747" s="4" t="s">
        <v>265</v>
      </c>
      <c r="C747" s="15" t="s">
        <v>92</v>
      </c>
    </row>
    <row r="748" spans="1:3" x14ac:dyDescent="0.3">
      <c r="A748" s="3">
        <v>1505</v>
      </c>
      <c r="B748" s="4" t="s">
        <v>265</v>
      </c>
      <c r="C748" s="15" t="s">
        <v>86</v>
      </c>
    </row>
    <row r="749" spans="1:3" x14ac:dyDescent="0.3">
      <c r="A749" s="3">
        <v>1505</v>
      </c>
      <c r="B749" s="4" t="s">
        <v>265</v>
      </c>
      <c r="C749" s="15" t="s">
        <v>108</v>
      </c>
    </row>
    <row r="750" spans="1:3" x14ac:dyDescent="0.3">
      <c r="A750" s="3">
        <v>1505</v>
      </c>
      <c r="B750" s="4" t="s">
        <v>265</v>
      </c>
      <c r="C750" s="15" t="s">
        <v>89</v>
      </c>
    </row>
    <row r="751" spans="1:3" x14ac:dyDescent="0.3">
      <c r="A751" s="3">
        <v>1505</v>
      </c>
      <c r="B751" s="4" t="s">
        <v>265</v>
      </c>
      <c r="C751" s="15" t="s">
        <v>88</v>
      </c>
    </row>
    <row r="752" spans="1:3" x14ac:dyDescent="0.3">
      <c r="A752" s="3">
        <v>1505</v>
      </c>
      <c r="B752" s="4" t="s">
        <v>265</v>
      </c>
      <c r="C752" s="15" t="s">
        <v>90</v>
      </c>
    </row>
    <row r="753" spans="1:3" x14ac:dyDescent="0.3">
      <c r="A753" s="3">
        <v>1505</v>
      </c>
      <c r="B753" s="4" t="s">
        <v>265</v>
      </c>
      <c r="C753" s="15" t="s">
        <v>91</v>
      </c>
    </row>
    <row r="754" spans="1:3" x14ac:dyDescent="0.3">
      <c r="A754" s="3">
        <v>1505</v>
      </c>
      <c r="B754" s="4" t="s">
        <v>265</v>
      </c>
      <c r="C754" s="15" t="s">
        <v>96</v>
      </c>
    </row>
    <row r="755" spans="1:3" x14ac:dyDescent="0.3">
      <c r="A755" s="3">
        <v>1505</v>
      </c>
      <c r="B755" s="4" t="s">
        <v>265</v>
      </c>
      <c r="C755" s="15" t="s">
        <v>94</v>
      </c>
    </row>
    <row r="756" spans="1:3" x14ac:dyDescent="0.3">
      <c r="A756" s="3">
        <v>1505</v>
      </c>
      <c r="B756" s="4" t="s">
        <v>265</v>
      </c>
      <c r="C756" s="15" t="s">
        <v>95</v>
      </c>
    </row>
    <row r="757" spans="1:3" x14ac:dyDescent="0.3">
      <c r="A757" s="3">
        <v>1505</v>
      </c>
      <c r="B757" s="4" t="s">
        <v>265</v>
      </c>
      <c r="C757" s="15" t="s">
        <v>93</v>
      </c>
    </row>
    <row r="758" spans="1:3" x14ac:dyDescent="0.3">
      <c r="A758" s="3">
        <v>1507</v>
      </c>
      <c r="B758" s="4" t="s">
        <v>266</v>
      </c>
      <c r="C758" s="4" t="str">
        <f>1&amp;". TOTAL - "&amp;B758</f>
        <v>1. TOTAL - VENDA INTERNA PE - CONVENIENCIA</v>
      </c>
    </row>
    <row r="759" spans="1:3" x14ac:dyDescent="0.3">
      <c r="A759" s="3">
        <v>1507</v>
      </c>
      <c r="B759" s="4" t="s">
        <v>266</v>
      </c>
      <c r="C759" s="15" t="s">
        <v>81</v>
      </c>
    </row>
    <row r="760" spans="1:3" x14ac:dyDescent="0.3">
      <c r="A760" s="3">
        <v>1507</v>
      </c>
      <c r="B760" s="4" t="s">
        <v>266</v>
      </c>
      <c r="C760" s="15" t="s">
        <v>82</v>
      </c>
    </row>
    <row r="761" spans="1:3" x14ac:dyDescent="0.3">
      <c r="A761" s="3">
        <v>1507</v>
      </c>
      <c r="B761" s="4" t="s">
        <v>266</v>
      </c>
      <c r="C761" s="15" t="s">
        <v>84</v>
      </c>
    </row>
    <row r="762" spans="1:3" x14ac:dyDescent="0.3">
      <c r="A762" s="3">
        <v>1507</v>
      </c>
      <c r="B762" s="4" t="s">
        <v>266</v>
      </c>
      <c r="C762" s="15" t="s">
        <v>83</v>
      </c>
    </row>
    <row r="763" spans="1:3" x14ac:dyDescent="0.3">
      <c r="A763" s="3">
        <v>1507</v>
      </c>
      <c r="B763" s="4" t="s">
        <v>266</v>
      </c>
      <c r="C763" s="15" t="s">
        <v>87</v>
      </c>
    </row>
    <row r="764" spans="1:3" x14ac:dyDescent="0.3">
      <c r="A764" s="3">
        <v>1507</v>
      </c>
      <c r="B764" s="4" t="s">
        <v>266</v>
      </c>
      <c r="C764" s="15" t="s">
        <v>85</v>
      </c>
    </row>
    <row r="765" spans="1:3" x14ac:dyDescent="0.3">
      <c r="A765" s="3">
        <v>1507</v>
      </c>
      <c r="B765" s="4" t="s">
        <v>266</v>
      </c>
      <c r="C765" s="15" t="s">
        <v>92</v>
      </c>
    </row>
    <row r="766" spans="1:3" x14ac:dyDescent="0.3">
      <c r="A766" s="3">
        <v>1507</v>
      </c>
      <c r="B766" s="4" t="s">
        <v>266</v>
      </c>
      <c r="C766" s="15" t="s">
        <v>86</v>
      </c>
    </row>
    <row r="767" spans="1:3" x14ac:dyDescent="0.3">
      <c r="A767" s="3">
        <v>1507</v>
      </c>
      <c r="B767" s="4" t="s">
        <v>266</v>
      </c>
      <c r="C767" s="15" t="s">
        <v>108</v>
      </c>
    </row>
    <row r="768" spans="1:3" x14ac:dyDescent="0.3">
      <c r="A768" s="3">
        <v>1507</v>
      </c>
      <c r="B768" s="4" t="s">
        <v>266</v>
      </c>
      <c r="C768" s="15" t="s">
        <v>89</v>
      </c>
    </row>
    <row r="769" spans="1:3" x14ac:dyDescent="0.3">
      <c r="A769" s="3">
        <v>1507</v>
      </c>
      <c r="B769" s="4" t="s">
        <v>266</v>
      </c>
      <c r="C769" s="15" t="s">
        <v>88</v>
      </c>
    </row>
    <row r="770" spans="1:3" x14ac:dyDescent="0.3">
      <c r="A770" s="3">
        <v>1507</v>
      </c>
      <c r="B770" s="4" t="s">
        <v>266</v>
      </c>
      <c r="C770" s="15" t="s">
        <v>90</v>
      </c>
    </row>
    <row r="771" spans="1:3" x14ac:dyDescent="0.3">
      <c r="A771" s="3">
        <v>1507</v>
      </c>
      <c r="B771" s="4" t="s">
        <v>266</v>
      </c>
      <c r="C771" s="15" t="s">
        <v>91</v>
      </c>
    </row>
    <row r="772" spans="1:3" x14ac:dyDescent="0.3">
      <c r="A772" s="3">
        <v>1507</v>
      </c>
      <c r="B772" s="4" t="s">
        <v>266</v>
      </c>
      <c r="C772" s="15" t="s">
        <v>96</v>
      </c>
    </row>
    <row r="773" spans="1:3" x14ac:dyDescent="0.3">
      <c r="A773" s="3">
        <v>1507</v>
      </c>
      <c r="B773" s="4" t="s">
        <v>266</v>
      </c>
      <c r="C773" s="15" t="s">
        <v>94</v>
      </c>
    </row>
    <row r="774" spans="1:3" x14ac:dyDescent="0.3">
      <c r="A774" s="3">
        <v>1507</v>
      </c>
      <c r="B774" s="4" t="s">
        <v>266</v>
      </c>
      <c r="C774" s="15" t="s">
        <v>95</v>
      </c>
    </row>
    <row r="775" spans="1:3" x14ac:dyDescent="0.3">
      <c r="A775" s="3">
        <v>1507</v>
      </c>
      <c r="B775" s="4" t="s">
        <v>266</v>
      </c>
      <c r="C775" s="15" t="s">
        <v>93</v>
      </c>
    </row>
    <row r="776" spans="1:3" x14ac:dyDescent="0.3">
      <c r="A776" s="3">
        <v>1508</v>
      </c>
      <c r="B776" s="4" t="s">
        <v>267</v>
      </c>
      <c r="C776" s="4" t="str">
        <f>1&amp;". TOTAL - "&amp;B776</f>
        <v>1. TOTAL - VENDA INTERNA SE - CONVENIENCIA</v>
      </c>
    </row>
    <row r="777" spans="1:3" x14ac:dyDescent="0.3">
      <c r="A777" s="3">
        <v>1508</v>
      </c>
      <c r="B777" s="4" t="s">
        <v>267</v>
      </c>
      <c r="C777" s="15" t="s">
        <v>81</v>
      </c>
    </row>
    <row r="778" spans="1:3" x14ac:dyDescent="0.3">
      <c r="A778" s="3">
        <v>1508</v>
      </c>
      <c r="B778" s="4" t="s">
        <v>267</v>
      </c>
      <c r="C778" s="15" t="s">
        <v>82</v>
      </c>
    </row>
    <row r="779" spans="1:3" x14ac:dyDescent="0.3">
      <c r="A779" s="3">
        <v>1508</v>
      </c>
      <c r="B779" s="4" t="s">
        <v>267</v>
      </c>
      <c r="C779" s="15" t="s">
        <v>84</v>
      </c>
    </row>
    <row r="780" spans="1:3" x14ac:dyDescent="0.3">
      <c r="A780" s="3">
        <v>1508</v>
      </c>
      <c r="B780" s="4" t="s">
        <v>267</v>
      </c>
      <c r="C780" s="15" t="s">
        <v>83</v>
      </c>
    </row>
    <row r="781" spans="1:3" x14ac:dyDescent="0.3">
      <c r="A781" s="3">
        <v>1508</v>
      </c>
      <c r="B781" s="4" t="s">
        <v>267</v>
      </c>
      <c r="C781" s="15" t="s">
        <v>87</v>
      </c>
    </row>
    <row r="782" spans="1:3" x14ac:dyDescent="0.3">
      <c r="A782" s="3">
        <v>1508</v>
      </c>
      <c r="B782" s="4" t="s">
        <v>267</v>
      </c>
      <c r="C782" s="15" t="s">
        <v>85</v>
      </c>
    </row>
    <row r="783" spans="1:3" x14ac:dyDescent="0.3">
      <c r="A783" s="3">
        <v>1508</v>
      </c>
      <c r="B783" s="4" t="s">
        <v>267</v>
      </c>
      <c r="C783" s="15" t="s">
        <v>92</v>
      </c>
    </row>
    <row r="784" spans="1:3" x14ac:dyDescent="0.3">
      <c r="A784" s="3">
        <v>1508</v>
      </c>
      <c r="B784" s="4" t="s">
        <v>267</v>
      </c>
      <c r="C784" s="15" t="s">
        <v>86</v>
      </c>
    </row>
    <row r="785" spans="1:3" x14ac:dyDescent="0.3">
      <c r="A785" s="3">
        <v>1508</v>
      </c>
      <c r="B785" s="4" t="s">
        <v>267</v>
      </c>
      <c r="C785" s="15" t="s">
        <v>108</v>
      </c>
    </row>
    <row r="786" spans="1:3" x14ac:dyDescent="0.3">
      <c r="A786" s="3">
        <v>1508</v>
      </c>
      <c r="B786" s="4" t="s">
        <v>267</v>
      </c>
      <c r="C786" s="15" t="s">
        <v>89</v>
      </c>
    </row>
    <row r="787" spans="1:3" x14ac:dyDescent="0.3">
      <c r="A787" s="3">
        <v>1508</v>
      </c>
      <c r="B787" s="4" t="s">
        <v>267</v>
      </c>
      <c r="C787" s="15" t="s">
        <v>88</v>
      </c>
    </row>
    <row r="788" spans="1:3" x14ac:dyDescent="0.3">
      <c r="A788" s="3">
        <v>1508</v>
      </c>
      <c r="B788" s="4" t="s">
        <v>267</v>
      </c>
      <c r="C788" s="15" t="s">
        <v>90</v>
      </c>
    </row>
    <row r="789" spans="1:3" x14ac:dyDescent="0.3">
      <c r="A789" s="3">
        <v>1508</v>
      </c>
      <c r="B789" s="4" t="s">
        <v>267</v>
      </c>
      <c r="C789" s="15" t="s">
        <v>91</v>
      </c>
    </row>
    <row r="790" spans="1:3" x14ac:dyDescent="0.3">
      <c r="A790" s="3">
        <v>1508</v>
      </c>
      <c r="B790" s="4" t="s">
        <v>267</v>
      </c>
      <c r="C790" s="15" t="s">
        <v>96</v>
      </c>
    </row>
    <row r="791" spans="1:3" x14ac:dyDescent="0.3">
      <c r="A791" s="3">
        <v>1508</v>
      </c>
      <c r="B791" s="4" t="s">
        <v>267</v>
      </c>
      <c r="C791" s="15" t="s">
        <v>94</v>
      </c>
    </row>
    <row r="792" spans="1:3" x14ac:dyDescent="0.3">
      <c r="A792" s="3">
        <v>1508</v>
      </c>
      <c r="B792" s="4" t="s">
        <v>267</v>
      </c>
      <c r="C792" s="15" t="s">
        <v>95</v>
      </c>
    </row>
    <row r="793" spans="1:3" x14ac:dyDescent="0.3">
      <c r="A793" s="3">
        <v>1508</v>
      </c>
      <c r="B793" s="4" t="s">
        <v>267</v>
      </c>
      <c r="C793" s="15" t="s">
        <v>93</v>
      </c>
    </row>
    <row r="794" spans="1:3" x14ac:dyDescent="0.3">
      <c r="A794" s="3">
        <v>1509</v>
      </c>
      <c r="B794" s="4" t="s">
        <v>268</v>
      </c>
      <c r="C794" s="4" t="str">
        <f>1&amp;". TOTAL - "&amp;B794</f>
        <v>1. TOTAL - VENDA INTERNA PB - CONVENIENCIA</v>
      </c>
    </row>
    <row r="795" spans="1:3" x14ac:dyDescent="0.3">
      <c r="A795" s="3">
        <v>1509</v>
      </c>
      <c r="B795" s="4" t="s">
        <v>268</v>
      </c>
      <c r="C795" s="15" t="s">
        <v>81</v>
      </c>
    </row>
    <row r="796" spans="1:3" x14ac:dyDescent="0.3">
      <c r="A796" s="3">
        <v>1509</v>
      </c>
      <c r="B796" s="4" t="s">
        <v>268</v>
      </c>
      <c r="C796" s="15" t="s">
        <v>82</v>
      </c>
    </row>
    <row r="797" spans="1:3" x14ac:dyDescent="0.3">
      <c r="A797" s="3">
        <v>1509</v>
      </c>
      <c r="B797" s="4" t="s">
        <v>268</v>
      </c>
      <c r="C797" s="15" t="s">
        <v>84</v>
      </c>
    </row>
    <row r="798" spans="1:3" x14ac:dyDescent="0.3">
      <c r="A798" s="3">
        <v>1509</v>
      </c>
      <c r="B798" s="4" t="s">
        <v>268</v>
      </c>
      <c r="C798" s="15" t="s">
        <v>83</v>
      </c>
    </row>
    <row r="799" spans="1:3" x14ac:dyDescent="0.3">
      <c r="A799" s="3">
        <v>1509</v>
      </c>
      <c r="B799" s="4" t="s">
        <v>268</v>
      </c>
      <c r="C799" s="15" t="s">
        <v>87</v>
      </c>
    </row>
    <row r="800" spans="1:3" x14ac:dyDescent="0.3">
      <c r="A800" s="3">
        <v>1509</v>
      </c>
      <c r="B800" s="4" t="s">
        <v>268</v>
      </c>
      <c r="C800" s="15" t="s">
        <v>85</v>
      </c>
    </row>
    <row r="801" spans="1:3" x14ac:dyDescent="0.3">
      <c r="A801" s="3">
        <v>1509</v>
      </c>
      <c r="B801" s="4" t="s">
        <v>268</v>
      </c>
      <c r="C801" s="15" t="s">
        <v>92</v>
      </c>
    </row>
    <row r="802" spans="1:3" x14ac:dyDescent="0.3">
      <c r="A802" s="3">
        <v>1509</v>
      </c>
      <c r="B802" s="4" t="s">
        <v>268</v>
      </c>
      <c r="C802" s="15" t="s">
        <v>86</v>
      </c>
    </row>
    <row r="803" spans="1:3" x14ac:dyDescent="0.3">
      <c r="A803" s="3">
        <v>1509</v>
      </c>
      <c r="B803" s="4" t="s">
        <v>268</v>
      </c>
      <c r="C803" s="15" t="s">
        <v>108</v>
      </c>
    </row>
    <row r="804" spans="1:3" x14ac:dyDescent="0.3">
      <c r="A804" s="3">
        <v>1509</v>
      </c>
      <c r="B804" s="4" t="s">
        <v>268</v>
      </c>
      <c r="C804" s="15" t="s">
        <v>89</v>
      </c>
    </row>
    <row r="805" spans="1:3" x14ac:dyDescent="0.3">
      <c r="A805" s="3">
        <v>1509</v>
      </c>
      <c r="B805" s="4" t="s">
        <v>268</v>
      </c>
      <c r="C805" s="15" t="s">
        <v>88</v>
      </c>
    </row>
    <row r="806" spans="1:3" x14ac:dyDescent="0.3">
      <c r="A806" s="3">
        <v>1509</v>
      </c>
      <c r="B806" s="4" t="s">
        <v>268</v>
      </c>
      <c r="C806" s="15" t="s">
        <v>90</v>
      </c>
    </row>
    <row r="807" spans="1:3" x14ac:dyDescent="0.3">
      <c r="A807" s="3">
        <v>1509</v>
      </c>
      <c r="B807" s="4" t="s">
        <v>268</v>
      </c>
      <c r="C807" s="15" t="s">
        <v>91</v>
      </c>
    </row>
    <row r="808" spans="1:3" x14ac:dyDescent="0.3">
      <c r="A808" s="3">
        <v>1509</v>
      </c>
      <c r="B808" s="4" t="s">
        <v>268</v>
      </c>
      <c r="C808" s="15" t="s">
        <v>96</v>
      </c>
    </row>
    <row r="809" spans="1:3" x14ac:dyDescent="0.3">
      <c r="A809" s="3">
        <v>1509</v>
      </c>
      <c r="B809" s="4" t="s">
        <v>268</v>
      </c>
      <c r="C809" s="15" t="s">
        <v>94</v>
      </c>
    </row>
    <row r="810" spans="1:3" x14ac:dyDescent="0.3">
      <c r="A810" s="3">
        <v>1509</v>
      </c>
      <c r="B810" s="4" t="s">
        <v>268</v>
      </c>
      <c r="C810" s="15" t="s">
        <v>95</v>
      </c>
    </row>
    <row r="811" spans="1:3" x14ac:dyDescent="0.3">
      <c r="A811" s="3">
        <v>1509</v>
      </c>
      <c r="B811" s="4" t="s">
        <v>268</v>
      </c>
      <c r="C811" s="15" t="s">
        <v>93</v>
      </c>
    </row>
    <row r="812" spans="1:3" x14ac:dyDescent="0.3">
      <c r="A812" s="3">
        <v>1510</v>
      </c>
      <c r="B812" s="4" t="s">
        <v>269</v>
      </c>
      <c r="C812" s="4" t="str">
        <f>1&amp;". TOTAL - "&amp;B812</f>
        <v>1. TOTAL - VENDA INTERNA BA - CONVENIENCIA</v>
      </c>
    </row>
    <row r="813" spans="1:3" x14ac:dyDescent="0.3">
      <c r="A813" s="3">
        <v>1510</v>
      </c>
      <c r="B813" s="4" t="s">
        <v>269</v>
      </c>
      <c r="C813" s="15" t="s">
        <v>81</v>
      </c>
    </row>
    <row r="814" spans="1:3" x14ac:dyDescent="0.3">
      <c r="A814" s="3">
        <v>1510</v>
      </c>
      <c r="B814" s="4" t="s">
        <v>269</v>
      </c>
      <c r="C814" s="15" t="s">
        <v>82</v>
      </c>
    </row>
    <row r="815" spans="1:3" x14ac:dyDescent="0.3">
      <c r="A815" s="3">
        <v>1510</v>
      </c>
      <c r="B815" s="4" t="s">
        <v>269</v>
      </c>
      <c r="C815" s="15" t="s">
        <v>84</v>
      </c>
    </row>
    <row r="816" spans="1:3" x14ac:dyDescent="0.3">
      <c r="A816" s="3">
        <v>1510</v>
      </c>
      <c r="B816" s="4" t="s">
        <v>269</v>
      </c>
      <c r="C816" s="15" t="s">
        <v>83</v>
      </c>
    </row>
    <row r="817" spans="1:3" x14ac:dyDescent="0.3">
      <c r="A817" s="3">
        <v>1510</v>
      </c>
      <c r="B817" s="4" t="s">
        <v>269</v>
      </c>
      <c r="C817" s="15" t="s">
        <v>87</v>
      </c>
    </row>
    <row r="818" spans="1:3" x14ac:dyDescent="0.3">
      <c r="A818" s="3">
        <v>1510</v>
      </c>
      <c r="B818" s="4" t="s">
        <v>269</v>
      </c>
      <c r="C818" s="15" t="s">
        <v>85</v>
      </c>
    </row>
    <row r="819" spans="1:3" x14ac:dyDescent="0.3">
      <c r="A819" s="3">
        <v>1510</v>
      </c>
      <c r="B819" s="4" t="s">
        <v>269</v>
      </c>
      <c r="C819" s="15" t="s">
        <v>92</v>
      </c>
    </row>
    <row r="820" spans="1:3" x14ac:dyDescent="0.3">
      <c r="A820" s="3">
        <v>1510</v>
      </c>
      <c r="B820" s="4" t="s">
        <v>269</v>
      </c>
      <c r="C820" s="15" t="s">
        <v>86</v>
      </c>
    </row>
    <row r="821" spans="1:3" x14ac:dyDescent="0.3">
      <c r="A821" s="3">
        <v>1510</v>
      </c>
      <c r="B821" s="4" t="s">
        <v>269</v>
      </c>
      <c r="C821" s="15" t="s">
        <v>108</v>
      </c>
    </row>
    <row r="822" spans="1:3" x14ac:dyDescent="0.3">
      <c r="A822" s="3">
        <v>1510</v>
      </c>
      <c r="B822" s="4" t="s">
        <v>269</v>
      </c>
      <c r="C822" s="15" t="s">
        <v>89</v>
      </c>
    </row>
    <row r="823" spans="1:3" x14ac:dyDescent="0.3">
      <c r="A823" s="3">
        <v>1510</v>
      </c>
      <c r="B823" s="4" t="s">
        <v>269</v>
      </c>
      <c r="C823" s="15" t="s">
        <v>88</v>
      </c>
    </row>
    <row r="824" spans="1:3" x14ac:dyDescent="0.3">
      <c r="A824" s="3">
        <v>1510</v>
      </c>
      <c r="B824" s="4" t="s">
        <v>269</v>
      </c>
      <c r="C824" s="15" t="s">
        <v>90</v>
      </c>
    </row>
    <row r="825" spans="1:3" x14ac:dyDescent="0.3">
      <c r="A825" s="3">
        <v>1510</v>
      </c>
      <c r="B825" s="4" t="s">
        <v>269</v>
      </c>
      <c r="C825" s="15" t="s">
        <v>91</v>
      </c>
    </row>
    <row r="826" spans="1:3" x14ac:dyDescent="0.3">
      <c r="A826" s="3">
        <v>1510</v>
      </c>
      <c r="B826" s="4" t="s">
        <v>269</v>
      </c>
      <c r="C826" s="15" t="s">
        <v>96</v>
      </c>
    </row>
    <row r="827" spans="1:3" x14ac:dyDescent="0.3">
      <c r="A827" s="3">
        <v>1510</v>
      </c>
      <c r="B827" s="4" t="s">
        <v>269</v>
      </c>
      <c r="C827" s="15" t="s">
        <v>94</v>
      </c>
    </row>
    <row r="828" spans="1:3" x14ac:dyDescent="0.3">
      <c r="A828" s="3">
        <v>1510</v>
      </c>
      <c r="B828" s="4" t="s">
        <v>269</v>
      </c>
      <c r="C828" s="15" t="s">
        <v>95</v>
      </c>
    </row>
    <row r="829" spans="1:3" x14ac:dyDescent="0.3">
      <c r="A829" s="3">
        <v>1510</v>
      </c>
      <c r="B829" s="4" t="s">
        <v>269</v>
      </c>
      <c r="C829" s="15" t="s">
        <v>93</v>
      </c>
    </row>
    <row r="830" spans="1:3" x14ac:dyDescent="0.3">
      <c r="A830" s="3">
        <v>1511</v>
      </c>
      <c r="B830" s="4" t="s">
        <v>270</v>
      </c>
      <c r="C830" s="4" t="str">
        <f>1&amp;". TOTAL - "&amp;B830</f>
        <v>1. TOTAL - VENDA INTERNA MA - CONVENIENCIA</v>
      </c>
    </row>
    <row r="831" spans="1:3" x14ac:dyDescent="0.3">
      <c r="A831" s="3">
        <v>1511</v>
      </c>
      <c r="B831" s="4" t="s">
        <v>270</v>
      </c>
      <c r="C831" s="15" t="s">
        <v>81</v>
      </c>
    </row>
    <row r="832" spans="1:3" x14ac:dyDescent="0.3">
      <c r="A832" s="3">
        <v>1511</v>
      </c>
      <c r="B832" s="4" t="s">
        <v>270</v>
      </c>
      <c r="C832" s="15" t="s">
        <v>82</v>
      </c>
    </row>
    <row r="833" spans="1:3" x14ac:dyDescent="0.3">
      <c r="A833" s="3">
        <v>1511</v>
      </c>
      <c r="B833" s="4" t="s">
        <v>270</v>
      </c>
      <c r="C833" s="15" t="s">
        <v>84</v>
      </c>
    </row>
    <row r="834" spans="1:3" x14ac:dyDescent="0.3">
      <c r="A834" s="3">
        <v>1511</v>
      </c>
      <c r="B834" s="4" t="s">
        <v>270</v>
      </c>
      <c r="C834" s="15" t="s">
        <v>83</v>
      </c>
    </row>
    <row r="835" spans="1:3" x14ac:dyDescent="0.3">
      <c r="A835" s="3">
        <v>1511</v>
      </c>
      <c r="B835" s="4" t="s">
        <v>270</v>
      </c>
      <c r="C835" s="15" t="s">
        <v>87</v>
      </c>
    </row>
    <row r="836" spans="1:3" x14ac:dyDescent="0.3">
      <c r="A836" s="3">
        <v>1511</v>
      </c>
      <c r="B836" s="4" t="s">
        <v>270</v>
      </c>
      <c r="C836" s="15" t="s">
        <v>85</v>
      </c>
    </row>
    <row r="837" spans="1:3" x14ac:dyDescent="0.3">
      <c r="A837" s="3">
        <v>1511</v>
      </c>
      <c r="B837" s="4" t="s">
        <v>270</v>
      </c>
      <c r="C837" s="15" t="s">
        <v>92</v>
      </c>
    </row>
    <row r="838" spans="1:3" x14ac:dyDescent="0.3">
      <c r="A838" s="3">
        <v>1511</v>
      </c>
      <c r="B838" s="4" t="s">
        <v>270</v>
      </c>
      <c r="C838" s="15" t="s">
        <v>86</v>
      </c>
    </row>
    <row r="839" spans="1:3" x14ac:dyDescent="0.3">
      <c r="A839" s="3">
        <v>1511</v>
      </c>
      <c r="B839" s="4" t="s">
        <v>270</v>
      </c>
      <c r="C839" s="15" t="s">
        <v>108</v>
      </c>
    </row>
    <row r="840" spans="1:3" x14ac:dyDescent="0.3">
      <c r="A840" s="3">
        <v>1511</v>
      </c>
      <c r="B840" s="4" t="s">
        <v>270</v>
      </c>
      <c r="C840" s="15" t="s">
        <v>89</v>
      </c>
    </row>
    <row r="841" spans="1:3" x14ac:dyDescent="0.3">
      <c r="A841" s="3">
        <v>1511</v>
      </c>
      <c r="B841" s="4" t="s">
        <v>270</v>
      </c>
      <c r="C841" s="15" t="s">
        <v>88</v>
      </c>
    </row>
    <row r="842" spans="1:3" x14ac:dyDescent="0.3">
      <c r="A842" s="3">
        <v>1511</v>
      </c>
      <c r="B842" s="4" t="s">
        <v>270</v>
      </c>
      <c r="C842" s="15" t="s">
        <v>90</v>
      </c>
    </row>
    <row r="843" spans="1:3" x14ac:dyDescent="0.3">
      <c r="A843" s="3">
        <v>1511</v>
      </c>
      <c r="B843" s="4" t="s">
        <v>270</v>
      </c>
      <c r="C843" s="15" t="s">
        <v>91</v>
      </c>
    </row>
    <row r="844" spans="1:3" x14ac:dyDescent="0.3">
      <c r="A844" s="3">
        <v>1511</v>
      </c>
      <c r="B844" s="4" t="s">
        <v>270</v>
      </c>
      <c r="C844" s="15" t="s">
        <v>96</v>
      </c>
    </row>
    <row r="845" spans="1:3" x14ac:dyDescent="0.3">
      <c r="A845" s="3">
        <v>1511</v>
      </c>
      <c r="B845" s="4" t="s">
        <v>270</v>
      </c>
      <c r="C845" s="15" t="s">
        <v>94</v>
      </c>
    </row>
    <row r="846" spans="1:3" x14ac:dyDescent="0.3">
      <c r="A846" s="3">
        <v>1511</v>
      </c>
      <c r="B846" s="4" t="s">
        <v>270</v>
      </c>
      <c r="C846" s="15" t="s">
        <v>95</v>
      </c>
    </row>
    <row r="847" spans="1:3" x14ac:dyDescent="0.3">
      <c r="A847" s="3">
        <v>1511</v>
      </c>
      <c r="B847" s="4" t="s">
        <v>270</v>
      </c>
      <c r="C847" s="15" t="s">
        <v>93</v>
      </c>
    </row>
    <row r="848" spans="1:3" x14ac:dyDescent="0.3">
      <c r="A848" s="3">
        <v>1512</v>
      </c>
      <c r="B848" s="4" t="s">
        <v>271</v>
      </c>
      <c r="C848" s="4" t="str">
        <f>1&amp;". TOTAL - "&amp;B848</f>
        <v>1. TOTAL - VENDA INTERNA TO - CONVENIENCIA</v>
      </c>
    </row>
    <row r="849" spans="1:3" x14ac:dyDescent="0.3">
      <c r="A849" s="3">
        <v>1512</v>
      </c>
      <c r="B849" s="4" t="s">
        <v>271</v>
      </c>
      <c r="C849" s="15" t="s">
        <v>81</v>
      </c>
    </row>
    <row r="850" spans="1:3" x14ac:dyDescent="0.3">
      <c r="A850" s="3">
        <v>1512</v>
      </c>
      <c r="B850" s="4" t="s">
        <v>271</v>
      </c>
      <c r="C850" s="15" t="s">
        <v>82</v>
      </c>
    </row>
    <row r="851" spans="1:3" x14ac:dyDescent="0.3">
      <c r="A851" s="3">
        <v>1512</v>
      </c>
      <c r="B851" s="4" t="s">
        <v>271</v>
      </c>
      <c r="C851" s="15" t="s">
        <v>84</v>
      </c>
    </row>
    <row r="852" spans="1:3" x14ac:dyDescent="0.3">
      <c r="A852" s="3">
        <v>1512</v>
      </c>
      <c r="B852" s="4" t="s">
        <v>271</v>
      </c>
      <c r="C852" s="15" t="s">
        <v>83</v>
      </c>
    </row>
    <row r="853" spans="1:3" x14ac:dyDescent="0.3">
      <c r="A853" s="3">
        <v>1512</v>
      </c>
      <c r="B853" s="4" t="s">
        <v>271</v>
      </c>
      <c r="C853" s="15" t="s">
        <v>87</v>
      </c>
    </row>
    <row r="854" spans="1:3" x14ac:dyDescent="0.3">
      <c r="A854" s="3">
        <v>1512</v>
      </c>
      <c r="B854" s="4" t="s">
        <v>271</v>
      </c>
      <c r="C854" s="15" t="s">
        <v>85</v>
      </c>
    </row>
    <row r="855" spans="1:3" x14ac:dyDescent="0.3">
      <c r="A855" s="3">
        <v>1512</v>
      </c>
      <c r="B855" s="4" t="s">
        <v>271</v>
      </c>
      <c r="C855" s="15" t="s">
        <v>92</v>
      </c>
    </row>
    <row r="856" spans="1:3" x14ac:dyDescent="0.3">
      <c r="A856" s="3">
        <v>1512</v>
      </c>
      <c r="B856" s="4" t="s">
        <v>271</v>
      </c>
      <c r="C856" s="15" t="s">
        <v>86</v>
      </c>
    </row>
    <row r="857" spans="1:3" x14ac:dyDescent="0.3">
      <c r="A857" s="3">
        <v>1512</v>
      </c>
      <c r="B857" s="4" t="s">
        <v>271</v>
      </c>
      <c r="C857" s="15" t="s">
        <v>108</v>
      </c>
    </row>
    <row r="858" spans="1:3" x14ac:dyDescent="0.3">
      <c r="A858" s="3">
        <v>1512</v>
      </c>
      <c r="B858" s="4" t="s">
        <v>271</v>
      </c>
      <c r="C858" s="15" t="s">
        <v>89</v>
      </c>
    </row>
    <row r="859" spans="1:3" x14ac:dyDescent="0.3">
      <c r="A859" s="3">
        <v>1512</v>
      </c>
      <c r="B859" s="4" t="s">
        <v>271</v>
      </c>
      <c r="C859" s="15" t="s">
        <v>88</v>
      </c>
    </row>
    <row r="860" spans="1:3" x14ac:dyDescent="0.3">
      <c r="A860" s="3">
        <v>1512</v>
      </c>
      <c r="B860" s="4" t="s">
        <v>271</v>
      </c>
      <c r="C860" s="15" t="s">
        <v>90</v>
      </c>
    </row>
    <row r="861" spans="1:3" x14ac:dyDescent="0.3">
      <c r="A861" s="3">
        <v>1512</v>
      </c>
      <c r="B861" s="4" t="s">
        <v>271</v>
      </c>
      <c r="C861" s="15" t="s">
        <v>91</v>
      </c>
    </row>
    <row r="862" spans="1:3" x14ac:dyDescent="0.3">
      <c r="A862" s="3">
        <v>1512</v>
      </c>
      <c r="B862" s="4" t="s">
        <v>271</v>
      </c>
      <c r="C862" s="15" t="s">
        <v>96</v>
      </c>
    </row>
    <row r="863" spans="1:3" x14ac:dyDescent="0.3">
      <c r="A863" s="3">
        <v>1512</v>
      </c>
      <c r="B863" s="4" t="s">
        <v>271</v>
      </c>
      <c r="C863" s="15" t="s">
        <v>94</v>
      </c>
    </row>
    <row r="864" spans="1:3" x14ac:dyDescent="0.3">
      <c r="A864" s="3">
        <v>1512</v>
      </c>
      <c r="B864" s="4" t="s">
        <v>271</v>
      </c>
      <c r="C864" s="15" t="s">
        <v>95</v>
      </c>
    </row>
    <row r="865" spans="1:3" x14ac:dyDescent="0.3">
      <c r="A865" s="3">
        <v>1512</v>
      </c>
      <c r="B865" s="4" t="s">
        <v>271</v>
      </c>
      <c r="C865" s="15" t="s">
        <v>93</v>
      </c>
    </row>
    <row r="866" spans="1:3" x14ac:dyDescent="0.3">
      <c r="A866" s="3">
        <v>1513</v>
      </c>
      <c r="B866" s="4" t="s">
        <v>272</v>
      </c>
      <c r="C866" s="4" t="str">
        <f>1&amp;". TOTAL - "&amp;B866</f>
        <v>1. TOTAL - VENDA INTERNA RO - CONVENIENCIA</v>
      </c>
    </row>
    <row r="867" spans="1:3" x14ac:dyDescent="0.3">
      <c r="A867" s="3">
        <v>1513</v>
      </c>
      <c r="B867" s="4" t="s">
        <v>272</v>
      </c>
      <c r="C867" s="15" t="s">
        <v>81</v>
      </c>
    </row>
    <row r="868" spans="1:3" x14ac:dyDescent="0.3">
      <c r="A868" s="3">
        <v>1513</v>
      </c>
      <c r="B868" s="4" t="s">
        <v>272</v>
      </c>
      <c r="C868" s="15" t="s">
        <v>82</v>
      </c>
    </row>
    <row r="869" spans="1:3" x14ac:dyDescent="0.3">
      <c r="A869" s="3">
        <v>1513</v>
      </c>
      <c r="B869" s="4" t="s">
        <v>272</v>
      </c>
      <c r="C869" s="15" t="s">
        <v>84</v>
      </c>
    </row>
    <row r="870" spans="1:3" x14ac:dyDescent="0.3">
      <c r="A870" s="3">
        <v>1513</v>
      </c>
      <c r="B870" s="4" t="s">
        <v>272</v>
      </c>
      <c r="C870" s="15" t="s">
        <v>83</v>
      </c>
    </row>
    <row r="871" spans="1:3" x14ac:dyDescent="0.3">
      <c r="A871" s="3">
        <v>1513</v>
      </c>
      <c r="B871" s="4" t="s">
        <v>272</v>
      </c>
      <c r="C871" s="15" t="s">
        <v>87</v>
      </c>
    </row>
    <row r="872" spans="1:3" x14ac:dyDescent="0.3">
      <c r="A872" s="3">
        <v>1513</v>
      </c>
      <c r="B872" s="4" t="s">
        <v>272</v>
      </c>
      <c r="C872" s="15" t="s">
        <v>85</v>
      </c>
    </row>
    <row r="873" spans="1:3" x14ac:dyDescent="0.3">
      <c r="A873" s="3">
        <v>1513</v>
      </c>
      <c r="B873" s="4" t="s">
        <v>272</v>
      </c>
      <c r="C873" s="15" t="s">
        <v>92</v>
      </c>
    </row>
    <row r="874" spans="1:3" x14ac:dyDescent="0.3">
      <c r="A874" s="3">
        <v>1513</v>
      </c>
      <c r="B874" s="4" t="s">
        <v>272</v>
      </c>
      <c r="C874" s="15" t="s">
        <v>86</v>
      </c>
    </row>
    <row r="875" spans="1:3" x14ac:dyDescent="0.3">
      <c r="A875" s="3">
        <v>1513</v>
      </c>
      <c r="B875" s="4" t="s">
        <v>272</v>
      </c>
      <c r="C875" s="15" t="s">
        <v>108</v>
      </c>
    </row>
    <row r="876" spans="1:3" x14ac:dyDescent="0.3">
      <c r="A876" s="3">
        <v>1513</v>
      </c>
      <c r="B876" s="4" t="s">
        <v>272</v>
      </c>
      <c r="C876" s="15" t="s">
        <v>89</v>
      </c>
    </row>
    <row r="877" spans="1:3" x14ac:dyDescent="0.3">
      <c r="A877" s="3">
        <v>1513</v>
      </c>
      <c r="B877" s="4" t="s">
        <v>272</v>
      </c>
      <c r="C877" s="15" t="s">
        <v>88</v>
      </c>
    </row>
    <row r="878" spans="1:3" x14ac:dyDescent="0.3">
      <c r="A878" s="3">
        <v>1513</v>
      </c>
      <c r="B878" s="4" t="s">
        <v>272</v>
      </c>
      <c r="C878" s="15" t="s">
        <v>90</v>
      </c>
    </row>
    <row r="879" spans="1:3" x14ac:dyDescent="0.3">
      <c r="A879" s="3">
        <v>1513</v>
      </c>
      <c r="B879" s="4" t="s">
        <v>272</v>
      </c>
      <c r="C879" s="15" t="s">
        <v>91</v>
      </c>
    </row>
    <row r="880" spans="1:3" x14ac:dyDescent="0.3">
      <c r="A880" s="3">
        <v>1513</v>
      </c>
      <c r="B880" s="4" t="s">
        <v>272</v>
      </c>
      <c r="C880" s="15" t="s">
        <v>96</v>
      </c>
    </row>
    <row r="881" spans="1:3" x14ac:dyDescent="0.3">
      <c r="A881" s="3">
        <v>1513</v>
      </c>
      <c r="B881" s="4" t="s">
        <v>272</v>
      </c>
      <c r="C881" s="15" t="s">
        <v>94</v>
      </c>
    </row>
    <row r="882" spans="1:3" x14ac:dyDescent="0.3">
      <c r="A882" s="3">
        <v>1513</v>
      </c>
      <c r="B882" s="4" t="s">
        <v>272</v>
      </c>
      <c r="C882" s="15" t="s">
        <v>95</v>
      </c>
    </row>
    <row r="883" spans="1:3" x14ac:dyDescent="0.3">
      <c r="A883" s="3">
        <v>1513</v>
      </c>
      <c r="B883" s="4" t="s">
        <v>272</v>
      </c>
      <c r="C883" s="15" t="s">
        <v>93</v>
      </c>
    </row>
    <row r="884" spans="1:3" x14ac:dyDescent="0.3">
      <c r="A884" s="3">
        <v>1514</v>
      </c>
      <c r="B884" s="4" t="s">
        <v>273</v>
      </c>
      <c r="C884" s="4" t="str">
        <f>1&amp;". TOTAL - "&amp;B884</f>
        <v>1. TOTAL - VENDA INTERNA RR - CONVENIENCIA</v>
      </c>
    </row>
    <row r="885" spans="1:3" x14ac:dyDescent="0.3">
      <c r="A885" s="3">
        <v>1514</v>
      </c>
      <c r="B885" s="4" t="s">
        <v>273</v>
      </c>
      <c r="C885" s="15" t="s">
        <v>81</v>
      </c>
    </row>
    <row r="886" spans="1:3" x14ac:dyDescent="0.3">
      <c r="A886" s="3">
        <v>1514</v>
      </c>
      <c r="B886" s="4" t="s">
        <v>273</v>
      </c>
      <c r="C886" s="15" t="s">
        <v>82</v>
      </c>
    </row>
    <row r="887" spans="1:3" x14ac:dyDescent="0.3">
      <c r="A887" s="3">
        <v>1514</v>
      </c>
      <c r="B887" s="4" t="s">
        <v>273</v>
      </c>
      <c r="C887" s="15" t="s">
        <v>84</v>
      </c>
    </row>
    <row r="888" spans="1:3" x14ac:dyDescent="0.3">
      <c r="A888" s="3">
        <v>1514</v>
      </c>
      <c r="B888" s="4" t="s">
        <v>273</v>
      </c>
      <c r="C888" s="15" t="s">
        <v>83</v>
      </c>
    </row>
    <row r="889" spans="1:3" x14ac:dyDescent="0.3">
      <c r="A889" s="3">
        <v>1514</v>
      </c>
      <c r="B889" s="4" t="s">
        <v>273</v>
      </c>
      <c r="C889" s="15" t="s">
        <v>87</v>
      </c>
    </row>
    <row r="890" spans="1:3" x14ac:dyDescent="0.3">
      <c r="A890" s="3">
        <v>1514</v>
      </c>
      <c r="B890" s="4" t="s">
        <v>273</v>
      </c>
      <c r="C890" s="15" t="s">
        <v>85</v>
      </c>
    </row>
    <row r="891" spans="1:3" x14ac:dyDescent="0.3">
      <c r="A891" s="3">
        <v>1514</v>
      </c>
      <c r="B891" s="4" t="s">
        <v>273</v>
      </c>
      <c r="C891" s="15" t="s">
        <v>92</v>
      </c>
    </row>
    <row r="892" spans="1:3" x14ac:dyDescent="0.3">
      <c r="A892" s="3">
        <v>1514</v>
      </c>
      <c r="B892" s="4" t="s">
        <v>273</v>
      </c>
      <c r="C892" s="15" t="s">
        <v>86</v>
      </c>
    </row>
    <row r="893" spans="1:3" x14ac:dyDescent="0.3">
      <c r="A893" s="3">
        <v>1514</v>
      </c>
      <c r="B893" s="4" t="s">
        <v>273</v>
      </c>
      <c r="C893" s="15" t="s">
        <v>108</v>
      </c>
    </row>
    <row r="894" spans="1:3" x14ac:dyDescent="0.3">
      <c r="A894" s="3">
        <v>1514</v>
      </c>
      <c r="B894" s="4" t="s">
        <v>273</v>
      </c>
      <c r="C894" s="15" t="s">
        <v>89</v>
      </c>
    </row>
    <row r="895" spans="1:3" x14ac:dyDescent="0.3">
      <c r="A895" s="3">
        <v>1514</v>
      </c>
      <c r="B895" s="4" t="s">
        <v>273</v>
      </c>
      <c r="C895" s="15" t="s">
        <v>88</v>
      </c>
    </row>
    <row r="896" spans="1:3" x14ac:dyDescent="0.3">
      <c r="A896" s="3">
        <v>1514</v>
      </c>
      <c r="B896" s="4" t="s">
        <v>273</v>
      </c>
      <c r="C896" s="15" t="s">
        <v>90</v>
      </c>
    </row>
    <row r="897" spans="1:3" x14ac:dyDescent="0.3">
      <c r="A897" s="3">
        <v>1514</v>
      </c>
      <c r="B897" s="4" t="s">
        <v>273</v>
      </c>
      <c r="C897" s="15" t="s">
        <v>91</v>
      </c>
    </row>
    <row r="898" spans="1:3" x14ac:dyDescent="0.3">
      <c r="A898" s="3">
        <v>1514</v>
      </c>
      <c r="B898" s="4" t="s">
        <v>273</v>
      </c>
      <c r="C898" s="15" t="s">
        <v>96</v>
      </c>
    </row>
    <row r="899" spans="1:3" x14ac:dyDescent="0.3">
      <c r="A899" s="3">
        <v>1514</v>
      </c>
      <c r="B899" s="4" t="s">
        <v>273</v>
      </c>
      <c r="C899" s="15" t="s">
        <v>94</v>
      </c>
    </row>
    <row r="900" spans="1:3" x14ac:dyDescent="0.3">
      <c r="A900" s="3">
        <v>1514</v>
      </c>
      <c r="B900" s="4" t="s">
        <v>273</v>
      </c>
      <c r="C900" s="15" t="s">
        <v>95</v>
      </c>
    </row>
    <row r="901" spans="1:3" x14ac:dyDescent="0.3">
      <c r="A901" s="3">
        <v>1514</v>
      </c>
      <c r="B901" s="4" t="s">
        <v>273</v>
      </c>
      <c r="C901" s="15" t="s">
        <v>93</v>
      </c>
    </row>
    <row r="902" spans="1:3" x14ac:dyDescent="0.3">
      <c r="A902" s="3">
        <v>1515</v>
      </c>
      <c r="B902" s="4" t="s">
        <v>274</v>
      </c>
      <c r="C902" s="4" t="str">
        <f>1&amp;". TOTAL - "&amp;B902</f>
        <v>1. TOTAL - VENDA INTERNA PA - CONVENIENCIA</v>
      </c>
    </row>
    <row r="903" spans="1:3" x14ac:dyDescent="0.3">
      <c r="A903" s="3">
        <v>1515</v>
      </c>
      <c r="B903" s="4" t="s">
        <v>274</v>
      </c>
      <c r="C903" s="15" t="s">
        <v>81</v>
      </c>
    </row>
    <row r="904" spans="1:3" x14ac:dyDescent="0.3">
      <c r="A904" s="3">
        <v>1515</v>
      </c>
      <c r="B904" s="4" t="s">
        <v>274</v>
      </c>
      <c r="C904" s="15" t="s">
        <v>82</v>
      </c>
    </row>
    <row r="905" spans="1:3" x14ac:dyDescent="0.3">
      <c r="A905" s="3">
        <v>1515</v>
      </c>
      <c r="B905" s="4" t="s">
        <v>274</v>
      </c>
      <c r="C905" s="15" t="s">
        <v>84</v>
      </c>
    </row>
    <row r="906" spans="1:3" x14ac:dyDescent="0.3">
      <c r="A906" s="3">
        <v>1515</v>
      </c>
      <c r="B906" s="4" t="s">
        <v>274</v>
      </c>
      <c r="C906" s="15" t="s">
        <v>83</v>
      </c>
    </row>
    <row r="907" spans="1:3" x14ac:dyDescent="0.3">
      <c r="A907" s="3">
        <v>1515</v>
      </c>
      <c r="B907" s="4" t="s">
        <v>274</v>
      </c>
      <c r="C907" s="15" t="s">
        <v>87</v>
      </c>
    </row>
    <row r="908" spans="1:3" x14ac:dyDescent="0.3">
      <c r="A908" s="3">
        <v>1515</v>
      </c>
      <c r="B908" s="4" t="s">
        <v>274</v>
      </c>
      <c r="C908" s="15" t="s">
        <v>85</v>
      </c>
    </row>
    <row r="909" spans="1:3" x14ac:dyDescent="0.3">
      <c r="A909" s="3">
        <v>1515</v>
      </c>
      <c r="B909" s="4" t="s">
        <v>274</v>
      </c>
      <c r="C909" s="15" t="s">
        <v>92</v>
      </c>
    </row>
    <row r="910" spans="1:3" x14ac:dyDescent="0.3">
      <c r="A910" s="3">
        <v>1515</v>
      </c>
      <c r="B910" s="4" t="s">
        <v>274</v>
      </c>
      <c r="C910" s="15" t="s">
        <v>86</v>
      </c>
    </row>
    <row r="911" spans="1:3" x14ac:dyDescent="0.3">
      <c r="A911" s="3">
        <v>1515</v>
      </c>
      <c r="B911" s="4" t="s">
        <v>274</v>
      </c>
      <c r="C911" s="15" t="s">
        <v>108</v>
      </c>
    </row>
    <row r="912" spans="1:3" x14ac:dyDescent="0.3">
      <c r="A912" s="3">
        <v>1515</v>
      </c>
      <c r="B912" s="4" t="s">
        <v>274</v>
      </c>
      <c r="C912" s="15" t="s">
        <v>89</v>
      </c>
    </row>
    <row r="913" spans="1:3" x14ac:dyDescent="0.3">
      <c r="A913" s="3">
        <v>1515</v>
      </c>
      <c r="B913" s="4" t="s">
        <v>274</v>
      </c>
      <c r="C913" s="15" t="s">
        <v>88</v>
      </c>
    </row>
    <row r="914" spans="1:3" x14ac:dyDescent="0.3">
      <c r="A914" s="3">
        <v>1515</v>
      </c>
      <c r="B914" s="4" t="s">
        <v>274</v>
      </c>
      <c r="C914" s="15" t="s">
        <v>90</v>
      </c>
    </row>
    <row r="915" spans="1:3" x14ac:dyDescent="0.3">
      <c r="A915" s="3">
        <v>1515</v>
      </c>
      <c r="B915" s="4" t="s">
        <v>274</v>
      </c>
      <c r="C915" s="15" t="s">
        <v>91</v>
      </c>
    </row>
    <row r="916" spans="1:3" x14ac:dyDescent="0.3">
      <c r="A916" s="3">
        <v>1515</v>
      </c>
      <c r="B916" s="4" t="s">
        <v>274</v>
      </c>
      <c r="C916" s="15" t="s">
        <v>96</v>
      </c>
    </row>
    <row r="917" spans="1:3" x14ac:dyDescent="0.3">
      <c r="A917" s="3">
        <v>1515</v>
      </c>
      <c r="B917" s="4" t="s">
        <v>274</v>
      </c>
      <c r="C917" s="15" t="s">
        <v>94</v>
      </c>
    </row>
    <row r="918" spans="1:3" x14ac:dyDescent="0.3">
      <c r="A918" s="3">
        <v>1515</v>
      </c>
      <c r="B918" s="4" t="s">
        <v>274</v>
      </c>
      <c r="C918" s="15" t="s">
        <v>95</v>
      </c>
    </row>
    <row r="919" spans="1:3" x14ac:dyDescent="0.3">
      <c r="A919" s="3">
        <v>1515</v>
      </c>
      <c r="B919" s="4" t="s">
        <v>274</v>
      </c>
      <c r="C919" s="15" t="s">
        <v>93</v>
      </c>
    </row>
    <row r="920" spans="1:3" x14ac:dyDescent="0.3">
      <c r="A920" s="3">
        <v>1516</v>
      </c>
      <c r="B920" s="4" t="s">
        <v>275</v>
      </c>
      <c r="C920" s="4" t="str">
        <f>1&amp;". TOTAL - "&amp;B920</f>
        <v>1. TOTAL - VENDA INTERNA AL - CONVENIENCIA</v>
      </c>
    </row>
    <row r="921" spans="1:3" x14ac:dyDescent="0.3">
      <c r="A921" s="3">
        <v>1516</v>
      </c>
      <c r="B921" s="4" t="s">
        <v>275</v>
      </c>
      <c r="C921" s="15" t="s">
        <v>81</v>
      </c>
    </row>
    <row r="922" spans="1:3" x14ac:dyDescent="0.3">
      <c r="A922" s="3">
        <v>1516</v>
      </c>
      <c r="B922" s="4" t="s">
        <v>275</v>
      </c>
      <c r="C922" s="15" t="s">
        <v>82</v>
      </c>
    </row>
    <row r="923" spans="1:3" x14ac:dyDescent="0.3">
      <c r="A923" s="3">
        <v>1516</v>
      </c>
      <c r="B923" s="4" t="s">
        <v>275</v>
      </c>
      <c r="C923" s="15" t="s">
        <v>84</v>
      </c>
    </row>
    <row r="924" spans="1:3" x14ac:dyDescent="0.3">
      <c r="A924" s="3">
        <v>1516</v>
      </c>
      <c r="B924" s="4" t="s">
        <v>275</v>
      </c>
      <c r="C924" s="15" t="s">
        <v>83</v>
      </c>
    </row>
    <row r="925" spans="1:3" x14ac:dyDescent="0.3">
      <c r="A925" s="3">
        <v>1516</v>
      </c>
      <c r="B925" s="4" t="s">
        <v>275</v>
      </c>
      <c r="C925" s="15" t="s">
        <v>87</v>
      </c>
    </row>
    <row r="926" spans="1:3" x14ac:dyDescent="0.3">
      <c r="A926" s="3">
        <v>1516</v>
      </c>
      <c r="B926" s="4" t="s">
        <v>275</v>
      </c>
      <c r="C926" s="15" t="s">
        <v>85</v>
      </c>
    </row>
    <row r="927" spans="1:3" x14ac:dyDescent="0.3">
      <c r="A927" s="3">
        <v>1516</v>
      </c>
      <c r="B927" s="4" t="s">
        <v>275</v>
      </c>
      <c r="C927" s="15" t="s">
        <v>92</v>
      </c>
    </row>
    <row r="928" spans="1:3" x14ac:dyDescent="0.3">
      <c r="A928" s="3">
        <v>1516</v>
      </c>
      <c r="B928" s="4" t="s">
        <v>275</v>
      </c>
      <c r="C928" s="15" t="s">
        <v>86</v>
      </c>
    </row>
    <row r="929" spans="1:3" x14ac:dyDescent="0.3">
      <c r="A929" s="3">
        <v>1516</v>
      </c>
      <c r="B929" s="4" t="s">
        <v>275</v>
      </c>
      <c r="C929" s="15" t="s">
        <v>108</v>
      </c>
    </row>
    <row r="930" spans="1:3" x14ac:dyDescent="0.3">
      <c r="A930" s="3">
        <v>1516</v>
      </c>
      <c r="B930" s="4" t="s">
        <v>275</v>
      </c>
      <c r="C930" s="15" t="s">
        <v>89</v>
      </c>
    </row>
    <row r="931" spans="1:3" x14ac:dyDescent="0.3">
      <c r="A931" s="3">
        <v>1516</v>
      </c>
      <c r="B931" s="4" t="s">
        <v>275</v>
      </c>
      <c r="C931" s="15" t="s">
        <v>88</v>
      </c>
    </row>
    <row r="932" spans="1:3" x14ac:dyDescent="0.3">
      <c r="A932" s="3">
        <v>1516</v>
      </c>
      <c r="B932" s="4" t="s">
        <v>275</v>
      </c>
      <c r="C932" s="15" t="s">
        <v>90</v>
      </c>
    </row>
    <row r="933" spans="1:3" x14ac:dyDescent="0.3">
      <c r="A933" s="3">
        <v>1516</v>
      </c>
      <c r="B933" s="4" t="s">
        <v>275</v>
      </c>
      <c r="C933" s="15" t="s">
        <v>91</v>
      </c>
    </row>
    <row r="934" spans="1:3" x14ac:dyDescent="0.3">
      <c r="A934" s="3">
        <v>1516</v>
      </c>
      <c r="B934" s="4" t="s">
        <v>275</v>
      </c>
      <c r="C934" s="15" t="s">
        <v>96</v>
      </c>
    </row>
    <row r="935" spans="1:3" x14ac:dyDescent="0.3">
      <c r="A935" s="3">
        <v>1516</v>
      </c>
      <c r="B935" s="4" t="s">
        <v>275</v>
      </c>
      <c r="C935" s="15" t="s">
        <v>94</v>
      </c>
    </row>
    <row r="936" spans="1:3" x14ac:dyDescent="0.3">
      <c r="A936" s="3">
        <v>1516</v>
      </c>
      <c r="B936" s="4" t="s">
        <v>275</v>
      </c>
      <c r="C936" s="15" t="s">
        <v>95</v>
      </c>
    </row>
    <row r="937" spans="1:3" x14ac:dyDescent="0.3">
      <c r="A937" s="3">
        <v>1516</v>
      </c>
      <c r="B937" s="4" t="s">
        <v>275</v>
      </c>
      <c r="C937" s="15" t="s">
        <v>93</v>
      </c>
    </row>
    <row r="938" spans="1:3" x14ac:dyDescent="0.3">
      <c r="A938" s="3">
        <v>1517</v>
      </c>
      <c r="B938" s="4" t="s">
        <v>276</v>
      </c>
      <c r="C938" s="4" t="str">
        <f>1&amp;". TOTAL - "&amp;B938</f>
        <v>1. TOTAL - VENDA INTERNA AM - CONVENIENCIA</v>
      </c>
    </row>
    <row r="939" spans="1:3" x14ac:dyDescent="0.3">
      <c r="A939" s="3">
        <v>1517</v>
      </c>
      <c r="B939" s="4" t="s">
        <v>276</v>
      </c>
      <c r="C939" s="15" t="s">
        <v>81</v>
      </c>
    </row>
    <row r="940" spans="1:3" x14ac:dyDescent="0.3">
      <c r="A940" s="3">
        <v>1517</v>
      </c>
      <c r="B940" s="4" t="s">
        <v>276</v>
      </c>
      <c r="C940" s="15" t="s">
        <v>82</v>
      </c>
    </row>
    <row r="941" spans="1:3" x14ac:dyDescent="0.3">
      <c r="A941" s="3">
        <v>1517</v>
      </c>
      <c r="B941" s="4" t="s">
        <v>276</v>
      </c>
      <c r="C941" s="15" t="s">
        <v>84</v>
      </c>
    </row>
    <row r="942" spans="1:3" x14ac:dyDescent="0.3">
      <c r="A942" s="3">
        <v>1517</v>
      </c>
      <c r="B942" s="4" t="s">
        <v>276</v>
      </c>
      <c r="C942" s="15" t="s">
        <v>83</v>
      </c>
    </row>
    <row r="943" spans="1:3" x14ac:dyDescent="0.3">
      <c r="A943" s="3">
        <v>1517</v>
      </c>
      <c r="B943" s="4" t="s">
        <v>276</v>
      </c>
      <c r="C943" s="15" t="s">
        <v>87</v>
      </c>
    </row>
    <row r="944" spans="1:3" x14ac:dyDescent="0.3">
      <c r="A944" s="3">
        <v>1517</v>
      </c>
      <c r="B944" s="4" t="s">
        <v>276</v>
      </c>
      <c r="C944" s="15" t="s">
        <v>85</v>
      </c>
    </row>
    <row r="945" spans="1:3" x14ac:dyDescent="0.3">
      <c r="A945" s="3">
        <v>1517</v>
      </c>
      <c r="B945" s="4" t="s">
        <v>276</v>
      </c>
      <c r="C945" s="15" t="s">
        <v>92</v>
      </c>
    </row>
    <row r="946" spans="1:3" x14ac:dyDescent="0.3">
      <c r="A946" s="3">
        <v>1517</v>
      </c>
      <c r="B946" s="4" t="s">
        <v>276</v>
      </c>
      <c r="C946" s="15" t="s">
        <v>86</v>
      </c>
    </row>
    <row r="947" spans="1:3" x14ac:dyDescent="0.3">
      <c r="A947" s="3">
        <v>1517</v>
      </c>
      <c r="B947" s="4" t="s">
        <v>276</v>
      </c>
      <c r="C947" s="15" t="s">
        <v>108</v>
      </c>
    </row>
    <row r="948" spans="1:3" x14ac:dyDescent="0.3">
      <c r="A948" s="3">
        <v>1517</v>
      </c>
      <c r="B948" s="4" t="s">
        <v>276</v>
      </c>
      <c r="C948" s="15" t="s">
        <v>89</v>
      </c>
    </row>
    <row r="949" spans="1:3" x14ac:dyDescent="0.3">
      <c r="A949" s="3">
        <v>1517</v>
      </c>
      <c r="B949" s="4" t="s">
        <v>276</v>
      </c>
      <c r="C949" s="15" t="s">
        <v>88</v>
      </c>
    </row>
    <row r="950" spans="1:3" x14ac:dyDescent="0.3">
      <c r="A950" s="3">
        <v>1517</v>
      </c>
      <c r="B950" s="4" t="s">
        <v>276</v>
      </c>
      <c r="C950" s="15" t="s">
        <v>90</v>
      </c>
    </row>
    <row r="951" spans="1:3" x14ac:dyDescent="0.3">
      <c r="A951" s="3">
        <v>1517</v>
      </c>
      <c r="B951" s="4" t="s">
        <v>276</v>
      </c>
      <c r="C951" s="15" t="s">
        <v>91</v>
      </c>
    </row>
    <row r="952" spans="1:3" x14ac:dyDescent="0.3">
      <c r="A952" s="3">
        <v>1517</v>
      </c>
      <c r="B952" s="4" t="s">
        <v>276</v>
      </c>
      <c r="C952" s="15" t="s">
        <v>96</v>
      </c>
    </row>
    <row r="953" spans="1:3" x14ac:dyDescent="0.3">
      <c r="A953" s="3">
        <v>1517</v>
      </c>
      <c r="B953" s="4" t="s">
        <v>276</v>
      </c>
      <c r="C953" s="15" t="s">
        <v>94</v>
      </c>
    </row>
    <row r="954" spans="1:3" x14ac:dyDescent="0.3">
      <c r="A954" s="3">
        <v>1517</v>
      </c>
      <c r="B954" s="4" t="s">
        <v>276</v>
      </c>
      <c r="C954" s="15" t="s">
        <v>95</v>
      </c>
    </row>
    <row r="955" spans="1:3" x14ac:dyDescent="0.3">
      <c r="A955" s="3">
        <v>1517</v>
      </c>
      <c r="B955" s="4" t="s">
        <v>276</v>
      </c>
      <c r="C955" s="15" t="s">
        <v>93</v>
      </c>
    </row>
    <row r="956" spans="1:3" x14ac:dyDescent="0.3">
      <c r="A956" s="3">
        <v>1518</v>
      </c>
      <c r="B956" s="4" t="s">
        <v>277</v>
      </c>
      <c r="C956" s="4" t="str">
        <f>1&amp;". TOTAL - "&amp;B956</f>
        <v>1. TOTAL - VENDA INTERNA DF - CONVENIENCIA</v>
      </c>
    </row>
    <row r="957" spans="1:3" x14ac:dyDescent="0.3">
      <c r="A957" s="3">
        <v>1518</v>
      </c>
      <c r="B957" s="4" t="s">
        <v>277</v>
      </c>
      <c r="C957" s="15" t="s">
        <v>81</v>
      </c>
    </row>
    <row r="958" spans="1:3" x14ac:dyDescent="0.3">
      <c r="A958" s="3">
        <v>1518</v>
      </c>
      <c r="B958" s="4" t="s">
        <v>277</v>
      </c>
      <c r="C958" s="15" t="s">
        <v>82</v>
      </c>
    </row>
    <row r="959" spans="1:3" x14ac:dyDescent="0.3">
      <c r="A959" s="3">
        <v>1518</v>
      </c>
      <c r="B959" s="4" t="s">
        <v>277</v>
      </c>
      <c r="C959" s="15" t="s">
        <v>84</v>
      </c>
    </row>
    <row r="960" spans="1:3" x14ac:dyDescent="0.3">
      <c r="A960" s="3">
        <v>1518</v>
      </c>
      <c r="B960" s="4" t="s">
        <v>277</v>
      </c>
      <c r="C960" s="15" t="s">
        <v>83</v>
      </c>
    </row>
    <row r="961" spans="1:3" x14ac:dyDescent="0.3">
      <c r="A961" s="3">
        <v>1518</v>
      </c>
      <c r="B961" s="4" t="s">
        <v>277</v>
      </c>
      <c r="C961" s="15" t="s">
        <v>87</v>
      </c>
    </row>
    <row r="962" spans="1:3" x14ac:dyDescent="0.3">
      <c r="A962" s="3">
        <v>1518</v>
      </c>
      <c r="B962" s="4" t="s">
        <v>277</v>
      </c>
      <c r="C962" s="15" t="s">
        <v>85</v>
      </c>
    </row>
    <row r="963" spans="1:3" x14ac:dyDescent="0.3">
      <c r="A963" s="3">
        <v>1518</v>
      </c>
      <c r="B963" s="4" t="s">
        <v>277</v>
      </c>
      <c r="C963" s="15" t="s">
        <v>92</v>
      </c>
    </row>
    <row r="964" spans="1:3" x14ac:dyDescent="0.3">
      <c r="A964" s="3">
        <v>1518</v>
      </c>
      <c r="B964" s="4" t="s">
        <v>277</v>
      </c>
      <c r="C964" s="15" t="s">
        <v>86</v>
      </c>
    </row>
    <row r="965" spans="1:3" x14ac:dyDescent="0.3">
      <c r="A965" s="3">
        <v>1518</v>
      </c>
      <c r="B965" s="4" t="s">
        <v>277</v>
      </c>
      <c r="C965" s="15" t="s">
        <v>108</v>
      </c>
    </row>
    <row r="966" spans="1:3" x14ac:dyDescent="0.3">
      <c r="A966" s="3">
        <v>1518</v>
      </c>
      <c r="B966" s="4" t="s">
        <v>277</v>
      </c>
      <c r="C966" s="15" t="s">
        <v>89</v>
      </c>
    </row>
    <row r="967" spans="1:3" x14ac:dyDescent="0.3">
      <c r="A967" s="3">
        <v>1518</v>
      </c>
      <c r="B967" s="4" t="s">
        <v>277</v>
      </c>
      <c r="C967" s="15" t="s">
        <v>88</v>
      </c>
    </row>
    <row r="968" spans="1:3" x14ac:dyDescent="0.3">
      <c r="A968" s="3">
        <v>1518</v>
      </c>
      <c r="B968" s="4" t="s">
        <v>277</v>
      </c>
      <c r="C968" s="15" t="s">
        <v>90</v>
      </c>
    </row>
    <row r="969" spans="1:3" x14ac:dyDescent="0.3">
      <c r="A969" s="3">
        <v>1518</v>
      </c>
      <c r="B969" s="4" t="s">
        <v>277</v>
      </c>
      <c r="C969" s="15" t="s">
        <v>91</v>
      </c>
    </row>
    <row r="970" spans="1:3" x14ac:dyDescent="0.3">
      <c r="A970" s="3">
        <v>1518</v>
      </c>
      <c r="B970" s="4" t="s">
        <v>277</v>
      </c>
      <c r="C970" s="15" t="s">
        <v>96</v>
      </c>
    </row>
    <row r="971" spans="1:3" x14ac:dyDescent="0.3">
      <c r="A971" s="3">
        <v>1518</v>
      </c>
      <c r="B971" s="4" t="s">
        <v>277</v>
      </c>
      <c r="C971" s="15" t="s">
        <v>94</v>
      </c>
    </row>
    <row r="972" spans="1:3" x14ac:dyDescent="0.3">
      <c r="A972" s="3">
        <v>1518</v>
      </c>
      <c r="B972" s="4" t="s">
        <v>277</v>
      </c>
      <c r="C972" s="15" t="s">
        <v>95</v>
      </c>
    </row>
    <row r="973" spans="1:3" x14ac:dyDescent="0.3">
      <c r="A973" s="3">
        <v>1518</v>
      </c>
      <c r="B973" s="4" t="s">
        <v>277</v>
      </c>
      <c r="C973" s="15" t="s">
        <v>93</v>
      </c>
    </row>
    <row r="974" spans="1:3" x14ac:dyDescent="0.3">
      <c r="A974" s="3">
        <v>1519</v>
      </c>
      <c r="B974" s="4" t="s">
        <v>278</v>
      </c>
      <c r="C974" s="4" t="str">
        <f>1&amp;". TOTAL - "&amp;B974</f>
        <v>1. TOTAL - VENDA INTERNA MS - CONVENIENCIA</v>
      </c>
    </row>
    <row r="975" spans="1:3" x14ac:dyDescent="0.3">
      <c r="A975" s="3">
        <v>1519</v>
      </c>
      <c r="B975" s="4" t="s">
        <v>278</v>
      </c>
      <c r="C975" s="15" t="s">
        <v>81</v>
      </c>
    </row>
    <row r="976" spans="1:3" x14ac:dyDescent="0.3">
      <c r="A976" s="3">
        <v>1519</v>
      </c>
      <c r="B976" s="4" t="s">
        <v>278</v>
      </c>
      <c r="C976" s="15" t="s">
        <v>82</v>
      </c>
    </row>
    <row r="977" spans="1:3" x14ac:dyDescent="0.3">
      <c r="A977" s="3">
        <v>1519</v>
      </c>
      <c r="B977" s="4" t="s">
        <v>278</v>
      </c>
      <c r="C977" s="15" t="s">
        <v>84</v>
      </c>
    </row>
    <row r="978" spans="1:3" x14ac:dyDescent="0.3">
      <c r="A978" s="3">
        <v>1519</v>
      </c>
      <c r="B978" s="4" t="s">
        <v>278</v>
      </c>
      <c r="C978" s="15" t="s">
        <v>83</v>
      </c>
    </row>
    <row r="979" spans="1:3" x14ac:dyDescent="0.3">
      <c r="A979" s="3">
        <v>1519</v>
      </c>
      <c r="B979" s="4" t="s">
        <v>278</v>
      </c>
      <c r="C979" s="15" t="s">
        <v>87</v>
      </c>
    </row>
    <row r="980" spans="1:3" x14ac:dyDescent="0.3">
      <c r="A980" s="3">
        <v>1519</v>
      </c>
      <c r="B980" s="4" t="s">
        <v>278</v>
      </c>
      <c r="C980" s="15" t="s">
        <v>85</v>
      </c>
    </row>
    <row r="981" spans="1:3" x14ac:dyDescent="0.3">
      <c r="A981" s="3">
        <v>1519</v>
      </c>
      <c r="B981" s="4" t="s">
        <v>278</v>
      </c>
      <c r="C981" s="15" t="s">
        <v>92</v>
      </c>
    </row>
    <row r="982" spans="1:3" x14ac:dyDescent="0.3">
      <c r="A982" s="3">
        <v>1519</v>
      </c>
      <c r="B982" s="4" t="s">
        <v>278</v>
      </c>
      <c r="C982" s="15" t="s">
        <v>86</v>
      </c>
    </row>
    <row r="983" spans="1:3" x14ac:dyDescent="0.3">
      <c r="A983" s="3">
        <v>1519</v>
      </c>
      <c r="B983" s="4" t="s">
        <v>278</v>
      </c>
      <c r="C983" s="15" t="s">
        <v>108</v>
      </c>
    </row>
    <row r="984" spans="1:3" x14ac:dyDescent="0.3">
      <c r="A984" s="3">
        <v>1519</v>
      </c>
      <c r="B984" s="4" t="s">
        <v>278</v>
      </c>
      <c r="C984" s="15" t="s">
        <v>89</v>
      </c>
    </row>
    <row r="985" spans="1:3" x14ac:dyDescent="0.3">
      <c r="A985" s="3">
        <v>1519</v>
      </c>
      <c r="B985" s="4" t="s">
        <v>278</v>
      </c>
      <c r="C985" s="15" t="s">
        <v>88</v>
      </c>
    </row>
    <row r="986" spans="1:3" x14ac:dyDescent="0.3">
      <c r="A986" s="3">
        <v>1519</v>
      </c>
      <c r="B986" s="4" t="s">
        <v>278</v>
      </c>
      <c r="C986" s="15" t="s">
        <v>90</v>
      </c>
    </row>
    <row r="987" spans="1:3" x14ac:dyDescent="0.3">
      <c r="A987" s="3">
        <v>1519</v>
      </c>
      <c r="B987" s="4" t="s">
        <v>278</v>
      </c>
      <c r="C987" s="15" t="s">
        <v>91</v>
      </c>
    </row>
    <row r="988" spans="1:3" x14ac:dyDescent="0.3">
      <c r="A988" s="3">
        <v>1519</v>
      </c>
      <c r="B988" s="4" t="s">
        <v>278</v>
      </c>
      <c r="C988" s="15" t="s">
        <v>96</v>
      </c>
    </row>
    <row r="989" spans="1:3" x14ac:dyDescent="0.3">
      <c r="A989" s="3">
        <v>1519</v>
      </c>
      <c r="B989" s="4" t="s">
        <v>278</v>
      </c>
      <c r="C989" s="15" t="s">
        <v>94</v>
      </c>
    </row>
    <row r="990" spans="1:3" x14ac:dyDescent="0.3">
      <c r="A990" s="3">
        <v>1519</v>
      </c>
      <c r="B990" s="4" t="s">
        <v>278</v>
      </c>
      <c r="C990" s="15" t="s">
        <v>95</v>
      </c>
    </row>
    <row r="991" spans="1:3" x14ac:dyDescent="0.3">
      <c r="A991" s="3">
        <v>1519</v>
      </c>
      <c r="B991" s="4" t="s">
        <v>278</v>
      </c>
      <c r="C991" s="15" t="s">
        <v>93</v>
      </c>
    </row>
    <row r="992" spans="1:3" x14ac:dyDescent="0.3">
      <c r="A992" s="3">
        <v>1520</v>
      </c>
      <c r="B992" s="4" t="s">
        <v>279</v>
      </c>
      <c r="C992" s="4" t="str">
        <f>1&amp;". TOTAL - "&amp;B992</f>
        <v>1. TOTAL - VENDA INTERNA MT - CONVENIENCIA</v>
      </c>
    </row>
    <row r="993" spans="1:3" x14ac:dyDescent="0.3">
      <c r="A993" s="3">
        <v>1520</v>
      </c>
      <c r="B993" s="4" t="s">
        <v>279</v>
      </c>
      <c r="C993" s="15" t="s">
        <v>81</v>
      </c>
    </row>
    <row r="994" spans="1:3" x14ac:dyDescent="0.3">
      <c r="A994" s="3">
        <v>1520</v>
      </c>
      <c r="B994" s="4" t="s">
        <v>279</v>
      </c>
      <c r="C994" s="15" t="s">
        <v>82</v>
      </c>
    </row>
    <row r="995" spans="1:3" x14ac:dyDescent="0.3">
      <c r="A995" s="3">
        <v>1520</v>
      </c>
      <c r="B995" s="4" t="s">
        <v>279</v>
      </c>
      <c r="C995" s="15" t="s">
        <v>84</v>
      </c>
    </row>
    <row r="996" spans="1:3" x14ac:dyDescent="0.3">
      <c r="A996" s="3">
        <v>1520</v>
      </c>
      <c r="B996" s="4" t="s">
        <v>279</v>
      </c>
      <c r="C996" s="15" t="s">
        <v>83</v>
      </c>
    </row>
    <row r="997" spans="1:3" x14ac:dyDescent="0.3">
      <c r="A997" s="3">
        <v>1520</v>
      </c>
      <c r="B997" s="4" t="s">
        <v>279</v>
      </c>
      <c r="C997" s="15" t="s">
        <v>87</v>
      </c>
    </row>
    <row r="998" spans="1:3" x14ac:dyDescent="0.3">
      <c r="A998" s="3">
        <v>1520</v>
      </c>
      <c r="B998" s="4" t="s">
        <v>279</v>
      </c>
      <c r="C998" s="15" t="s">
        <v>85</v>
      </c>
    </row>
    <row r="999" spans="1:3" x14ac:dyDescent="0.3">
      <c r="A999" s="3">
        <v>1520</v>
      </c>
      <c r="B999" s="4" t="s">
        <v>279</v>
      </c>
      <c r="C999" s="15" t="s">
        <v>92</v>
      </c>
    </row>
    <row r="1000" spans="1:3" x14ac:dyDescent="0.3">
      <c r="A1000" s="3">
        <v>1520</v>
      </c>
      <c r="B1000" s="4" t="s">
        <v>279</v>
      </c>
      <c r="C1000" s="15" t="s">
        <v>86</v>
      </c>
    </row>
    <row r="1001" spans="1:3" x14ac:dyDescent="0.3">
      <c r="A1001" s="3">
        <v>1520</v>
      </c>
      <c r="B1001" s="4" t="s">
        <v>279</v>
      </c>
      <c r="C1001" s="15" t="s">
        <v>108</v>
      </c>
    </row>
    <row r="1002" spans="1:3" x14ac:dyDescent="0.3">
      <c r="A1002" s="3">
        <v>1520</v>
      </c>
      <c r="B1002" s="4" t="s">
        <v>279</v>
      </c>
      <c r="C1002" s="15" t="s">
        <v>89</v>
      </c>
    </row>
    <row r="1003" spans="1:3" x14ac:dyDescent="0.3">
      <c r="A1003" s="3">
        <v>1520</v>
      </c>
      <c r="B1003" s="4" t="s">
        <v>279</v>
      </c>
      <c r="C1003" s="15" t="s">
        <v>88</v>
      </c>
    </row>
    <row r="1004" spans="1:3" x14ac:dyDescent="0.3">
      <c r="A1004" s="3">
        <v>1520</v>
      </c>
      <c r="B1004" s="4" t="s">
        <v>279</v>
      </c>
      <c r="C1004" s="15" t="s">
        <v>90</v>
      </c>
    </row>
    <row r="1005" spans="1:3" x14ac:dyDescent="0.3">
      <c r="A1005" s="3">
        <v>1520</v>
      </c>
      <c r="B1005" s="4" t="s">
        <v>279</v>
      </c>
      <c r="C1005" s="15" t="s">
        <v>91</v>
      </c>
    </row>
    <row r="1006" spans="1:3" x14ac:dyDescent="0.3">
      <c r="A1006" s="3">
        <v>1520</v>
      </c>
      <c r="B1006" s="4" t="s">
        <v>279</v>
      </c>
      <c r="C1006" s="15" t="s">
        <v>96</v>
      </c>
    </row>
    <row r="1007" spans="1:3" x14ac:dyDescent="0.3">
      <c r="A1007" s="3">
        <v>1520</v>
      </c>
      <c r="B1007" s="4" t="s">
        <v>279</v>
      </c>
      <c r="C1007" s="15" t="s">
        <v>94</v>
      </c>
    </row>
    <row r="1008" spans="1:3" x14ac:dyDescent="0.3">
      <c r="A1008" s="3">
        <v>1520</v>
      </c>
      <c r="B1008" s="4" t="s">
        <v>279</v>
      </c>
      <c r="C1008" s="15" t="s">
        <v>95</v>
      </c>
    </row>
    <row r="1009" spans="1:3" x14ac:dyDescent="0.3">
      <c r="A1009" s="3">
        <v>1520</v>
      </c>
      <c r="B1009" s="4" t="s">
        <v>279</v>
      </c>
      <c r="C1009" s="15" t="s">
        <v>93</v>
      </c>
    </row>
    <row r="1010" spans="1:3" x14ac:dyDescent="0.3">
      <c r="A1010" s="3">
        <v>1521</v>
      </c>
      <c r="B1010" s="4" t="s">
        <v>280</v>
      </c>
      <c r="C1010" s="4" t="str">
        <f>1&amp;". TOTAL - "&amp;B1010</f>
        <v>1. TOTAL - VENDA INTERNA GO - CONVENIENCIA</v>
      </c>
    </row>
    <row r="1011" spans="1:3" x14ac:dyDescent="0.3">
      <c r="A1011" s="3">
        <v>1521</v>
      </c>
      <c r="B1011" s="4" t="s">
        <v>280</v>
      </c>
      <c r="C1011" s="15" t="s">
        <v>81</v>
      </c>
    </row>
    <row r="1012" spans="1:3" x14ac:dyDescent="0.3">
      <c r="A1012" s="3">
        <v>1521</v>
      </c>
      <c r="B1012" s="4" t="s">
        <v>280</v>
      </c>
      <c r="C1012" s="15" t="s">
        <v>82</v>
      </c>
    </row>
    <row r="1013" spans="1:3" x14ac:dyDescent="0.3">
      <c r="A1013" s="3">
        <v>1521</v>
      </c>
      <c r="B1013" s="4" t="s">
        <v>280</v>
      </c>
      <c r="C1013" s="15" t="s">
        <v>84</v>
      </c>
    </row>
    <row r="1014" spans="1:3" x14ac:dyDescent="0.3">
      <c r="A1014" s="3">
        <v>1521</v>
      </c>
      <c r="B1014" s="4" t="s">
        <v>280</v>
      </c>
      <c r="C1014" s="15" t="s">
        <v>83</v>
      </c>
    </row>
    <row r="1015" spans="1:3" x14ac:dyDescent="0.3">
      <c r="A1015" s="3">
        <v>1521</v>
      </c>
      <c r="B1015" s="4" t="s">
        <v>280</v>
      </c>
      <c r="C1015" s="15" t="s">
        <v>87</v>
      </c>
    </row>
    <row r="1016" spans="1:3" x14ac:dyDescent="0.3">
      <c r="A1016" s="3">
        <v>1521</v>
      </c>
      <c r="B1016" s="4" t="s">
        <v>280</v>
      </c>
      <c r="C1016" s="15" t="s">
        <v>85</v>
      </c>
    </row>
    <row r="1017" spans="1:3" x14ac:dyDescent="0.3">
      <c r="A1017" s="3">
        <v>1521</v>
      </c>
      <c r="B1017" s="4" t="s">
        <v>280</v>
      </c>
      <c r="C1017" s="15" t="s">
        <v>92</v>
      </c>
    </row>
    <row r="1018" spans="1:3" x14ac:dyDescent="0.3">
      <c r="A1018" s="3">
        <v>1521</v>
      </c>
      <c r="B1018" s="4" t="s">
        <v>280</v>
      </c>
      <c r="C1018" s="15" t="s">
        <v>86</v>
      </c>
    </row>
    <row r="1019" spans="1:3" x14ac:dyDescent="0.3">
      <c r="A1019" s="3">
        <v>1521</v>
      </c>
      <c r="B1019" s="4" t="s">
        <v>280</v>
      </c>
      <c r="C1019" s="15" t="s">
        <v>108</v>
      </c>
    </row>
    <row r="1020" spans="1:3" x14ac:dyDescent="0.3">
      <c r="A1020" s="3">
        <v>1521</v>
      </c>
      <c r="B1020" s="4" t="s">
        <v>280</v>
      </c>
      <c r="C1020" s="15" t="s">
        <v>89</v>
      </c>
    </row>
    <row r="1021" spans="1:3" x14ac:dyDescent="0.3">
      <c r="A1021" s="3">
        <v>1521</v>
      </c>
      <c r="B1021" s="4" t="s">
        <v>280</v>
      </c>
      <c r="C1021" s="15" t="s">
        <v>88</v>
      </c>
    </row>
    <row r="1022" spans="1:3" x14ac:dyDescent="0.3">
      <c r="A1022" s="3">
        <v>1521</v>
      </c>
      <c r="B1022" s="4" t="s">
        <v>280</v>
      </c>
      <c r="C1022" s="15" t="s">
        <v>90</v>
      </c>
    </row>
    <row r="1023" spans="1:3" x14ac:dyDescent="0.3">
      <c r="A1023" s="3">
        <v>1521</v>
      </c>
      <c r="B1023" s="4" t="s">
        <v>280</v>
      </c>
      <c r="C1023" s="15" t="s">
        <v>91</v>
      </c>
    </row>
    <row r="1024" spans="1:3" x14ac:dyDescent="0.3">
      <c r="A1024" s="3">
        <v>1521</v>
      </c>
      <c r="B1024" s="4" t="s">
        <v>280</v>
      </c>
      <c r="C1024" s="15" t="s">
        <v>96</v>
      </c>
    </row>
    <row r="1025" spans="1:3" x14ac:dyDescent="0.3">
      <c r="A1025" s="3">
        <v>1521</v>
      </c>
      <c r="B1025" s="4" t="s">
        <v>280</v>
      </c>
      <c r="C1025" s="15" t="s">
        <v>94</v>
      </c>
    </row>
    <row r="1026" spans="1:3" x14ac:dyDescent="0.3">
      <c r="A1026" s="3">
        <v>1521</v>
      </c>
      <c r="B1026" s="4" t="s">
        <v>280</v>
      </c>
      <c r="C1026" s="15" t="s">
        <v>95</v>
      </c>
    </row>
    <row r="1027" spans="1:3" x14ac:dyDescent="0.3">
      <c r="A1027" s="3">
        <v>1521</v>
      </c>
      <c r="B1027" s="4" t="s">
        <v>280</v>
      </c>
      <c r="C1027" s="15" t="s">
        <v>93</v>
      </c>
    </row>
    <row r="1028" spans="1:3" x14ac:dyDescent="0.3">
      <c r="A1028" s="3">
        <v>1522</v>
      </c>
      <c r="B1028" s="4" t="s">
        <v>281</v>
      </c>
      <c r="C1028" s="4" t="str">
        <f>1&amp;". TOTAL - "&amp;B1028</f>
        <v>1. TOTAL - VENDA INTERNA ES - CONVENIENCIA</v>
      </c>
    </row>
    <row r="1029" spans="1:3" x14ac:dyDescent="0.3">
      <c r="A1029" s="3">
        <v>1522</v>
      </c>
      <c r="B1029" s="4" t="s">
        <v>281</v>
      </c>
      <c r="C1029" s="15" t="s">
        <v>81</v>
      </c>
    </row>
    <row r="1030" spans="1:3" x14ac:dyDescent="0.3">
      <c r="A1030" s="3">
        <v>1522</v>
      </c>
      <c r="B1030" s="4" t="s">
        <v>281</v>
      </c>
      <c r="C1030" s="15" t="s">
        <v>82</v>
      </c>
    </row>
    <row r="1031" spans="1:3" x14ac:dyDescent="0.3">
      <c r="A1031" s="3">
        <v>1522</v>
      </c>
      <c r="B1031" s="4" t="s">
        <v>281</v>
      </c>
      <c r="C1031" s="15" t="s">
        <v>84</v>
      </c>
    </row>
    <row r="1032" spans="1:3" x14ac:dyDescent="0.3">
      <c r="A1032" s="3">
        <v>1522</v>
      </c>
      <c r="B1032" s="4" t="s">
        <v>281</v>
      </c>
      <c r="C1032" s="15" t="s">
        <v>83</v>
      </c>
    </row>
    <row r="1033" spans="1:3" x14ac:dyDescent="0.3">
      <c r="A1033" s="3">
        <v>1522</v>
      </c>
      <c r="B1033" s="4" t="s">
        <v>281</v>
      </c>
      <c r="C1033" s="15" t="s">
        <v>87</v>
      </c>
    </row>
    <row r="1034" spans="1:3" x14ac:dyDescent="0.3">
      <c r="A1034" s="3">
        <v>1522</v>
      </c>
      <c r="B1034" s="4" t="s">
        <v>281</v>
      </c>
      <c r="C1034" s="15" t="s">
        <v>85</v>
      </c>
    </row>
    <row r="1035" spans="1:3" x14ac:dyDescent="0.3">
      <c r="A1035" s="3">
        <v>1522</v>
      </c>
      <c r="B1035" s="4" t="s">
        <v>281</v>
      </c>
      <c r="C1035" s="15" t="s">
        <v>92</v>
      </c>
    </row>
    <row r="1036" spans="1:3" x14ac:dyDescent="0.3">
      <c r="A1036" s="3">
        <v>1522</v>
      </c>
      <c r="B1036" s="4" t="s">
        <v>281</v>
      </c>
      <c r="C1036" s="15" t="s">
        <v>86</v>
      </c>
    </row>
    <row r="1037" spans="1:3" x14ac:dyDescent="0.3">
      <c r="A1037" s="3">
        <v>1522</v>
      </c>
      <c r="B1037" s="4" t="s">
        <v>281</v>
      </c>
      <c r="C1037" s="15" t="s">
        <v>108</v>
      </c>
    </row>
    <row r="1038" spans="1:3" x14ac:dyDescent="0.3">
      <c r="A1038" s="3">
        <v>1522</v>
      </c>
      <c r="B1038" s="4" t="s">
        <v>281</v>
      </c>
      <c r="C1038" s="15" t="s">
        <v>89</v>
      </c>
    </row>
    <row r="1039" spans="1:3" x14ac:dyDescent="0.3">
      <c r="A1039" s="3">
        <v>1522</v>
      </c>
      <c r="B1039" s="4" t="s">
        <v>281</v>
      </c>
      <c r="C1039" s="15" t="s">
        <v>88</v>
      </c>
    </row>
    <row r="1040" spans="1:3" x14ac:dyDescent="0.3">
      <c r="A1040" s="3">
        <v>1522</v>
      </c>
      <c r="B1040" s="4" t="s">
        <v>281</v>
      </c>
      <c r="C1040" s="15" t="s">
        <v>90</v>
      </c>
    </row>
    <row r="1041" spans="1:3" x14ac:dyDescent="0.3">
      <c r="A1041" s="3">
        <v>1522</v>
      </c>
      <c r="B1041" s="4" t="s">
        <v>281</v>
      </c>
      <c r="C1041" s="15" t="s">
        <v>91</v>
      </c>
    </row>
    <row r="1042" spans="1:3" x14ac:dyDescent="0.3">
      <c r="A1042" s="3">
        <v>1522</v>
      </c>
      <c r="B1042" s="4" t="s">
        <v>281</v>
      </c>
      <c r="C1042" s="15" t="s">
        <v>96</v>
      </c>
    </row>
    <row r="1043" spans="1:3" x14ac:dyDescent="0.3">
      <c r="A1043" s="3">
        <v>1522</v>
      </c>
      <c r="B1043" s="4" t="s">
        <v>281</v>
      </c>
      <c r="C1043" s="15" t="s">
        <v>94</v>
      </c>
    </row>
    <row r="1044" spans="1:3" x14ac:dyDescent="0.3">
      <c r="A1044" s="3">
        <v>1522</v>
      </c>
      <c r="B1044" s="4" t="s">
        <v>281</v>
      </c>
      <c r="C1044" s="15" t="s">
        <v>95</v>
      </c>
    </row>
    <row r="1045" spans="1:3" x14ac:dyDescent="0.3">
      <c r="A1045" s="3">
        <v>1522</v>
      </c>
      <c r="B1045" s="4" t="s">
        <v>281</v>
      </c>
      <c r="C1045" s="15" t="s">
        <v>93</v>
      </c>
    </row>
    <row r="1046" spans="1:3" x14ac:dyDescent="0.3">
      <c r="A1046" s="3">
        <v>1523</v>
      </c>
      <c r="B1046" s="4" t="s">
        <v>282</v>
      </c>
      <c r="C1046" s="4" t="str">
        <f>1&amp;". TOTAL - "&amp;B1046</f>
        <v>1. TOTAL - VENDA INTERNA RJ - CONVENIENCIA</v>
      </c>
    </row>
    <row r="1047" spans="1:3" x14ac:dyDescent="0.3">
      <c r="A1047" s="3">
        <v>1523</v>
      </c>
      <c r="B1047" s="4" t="s">
        <v>282</v>
      </c>
      <c r="C1047" s="15" t="s">
        <v>81</v>
      </c>
    </row>
    <row r="1048" spans="1:3" x14ac:dyDescent="0.3">
      <c r="A1048" s="3">
        <v>1523</v>
      </c>
      <c r="B1048" s="4" t="s">
        <v>282</v>
      </c>
      <c r="C1048" s="15" t="s">
        <v>82</v>
      </c>
    </row>
    <row r="1049" spans="1:3" x14ac:dyDescent="0.3">
      <c r="A1049" s="3">
        <v>1523</v>
      </c>
      <c r="B1049" s="4" t="s">
        <v>282</v>
      </c>
      <c r="C1049" s="15" t="s">
        <v>84</v>
      </c>
    </row>
    <row r="1050" spans="1:3" x14ac:dyDescent="0.3">
      <c r="A1050" s="3">
        <v>1523</v>
      </c>
      <c r="B1050" s="4" t="s">
        <v>282</v>
      </c>
      <c r="C1050" s="15" t="s">
        <v>83</v>
      </c>
    </row>
    <row r="1051" spans="1:3" x14ac:dyDescent="0.3">
      <c r="A1051" s="3">
        <v>1523</v>
      </c>
      <c r="B1051" s="4" t="s">
        <v>282</v>
      </c>
      <c r="C1051" s="15" t="s">
        <v>87</v>
      </c>
    </row>
    <row r="1052" spans="1:3" x14ac:dyDescent="0.3">
      <c r="A1052" s="3">
        <v>1523</v>
      </c>
      <c r="B1052" s="4" t="s">
        <v>282</v>
      </c>
      <c r="C1052" s="15" t="s">
        <v>85</v>
      </c>
    </row>
    <row r="1053" spans="1:3" x14ac:dyDescent="0.3">
      <c r="A1053" s="3">
        <v>1523</v>
      </c>
      <c r="B1053" s="4" t="s">
        <v>282</v>
      </c>
      <c r="C1053" s="15" t="s">
        <v>92</v>
      </c>
    </row>
    <row r="1054" spans="1:3" x14ac:dyDescent="0.3">
      <c r="A1054" s="3">
        <v>1523</v>
      </c>
      <c r="B1054" s="4" t="s">
        <v>282</v>
      </c>
      <c r="C1054" s="15" t="s">
        <v>86</v>
      </c>
    </row>
    <row r="1055" spans="1:3" x14ac:dyDescent="0.3">
      <c r="A1055" s="3">
        <v>1523</v>
      </c>
      <c r="B1055" s="4" t="s">
        <v>282</v>
      </c>
      <c r="C1055" s="15" t="s">
        <v>108</v>
      </c>
    </row>
    <row r="1056" spans="1:3" x14ac:dyDescent="0.3">
      <c r="A1056" s="3">
        <v>1523</v>
      </c>
      <c r="B1056" s="4" t="s">
        <v>282</v>
      </c>
      <c r="C1056" s="15" t="s">
        <v>89</v>
      </c>
    </row>
    <row r="1057" spans="1:3" x14ac:dyDescent="0.3">
      <c r="A1057" s="3">
        <v>1523</v>
      </c>
      <c r="B1057" s="4" t="s">
        <v>282</v>
      </c>
      <c r="C1057" s="15" t="s">
        <v>88</v>
      </c>
    </row>
    <row r="1058" spans="1:3" x14ac:dyDescent="0.3">
      <c r="A1058" s="3">
        <v>1523</v>
      </c>
      <c r="B1058" s="4" t="s">
        <v>282</v>
      </c>
      <c r="C1058" s="15" t="s">
        <v>90</v>
      </c>
    </row>
    <row r="1059" spans="1:3" x14ac:dyDescent="0.3">
      <c r="A1059" s="3">
        <v>1523</v>
      </c>
      <c r="B1059" s="4" t="s">
        <v>282</v>
      </c>
      <c r="C1059" s="15" t="s">
        <v>91</v>
      </c>
    </row>
    <row r="1060" spans="1:3" x14ac:dyDescent="0.3">
      <c r="A1060" s="3">
        <v>1523</v>
      </c>
      <c r="B1060" s="4" t="s">
        <v>282</v>
      </c>
      <c r="C1060" s="15" t="s">
        <v>96</v>
      </c>
    </row>
    <row r="1061" spans="1:3" x14ac:dyDescent="0.3">
      <c r="A1061" s="3">
        <v>1523</v>
      </c>
      <c r="B1061" s="4" t="s">
        <v>282</v>
      </c>
      <c r="C1061" s="15" t="s">
        <v>94</v>
      </c>
    </row>
    <row r="1062" spans="1:3" x14ac:dyDescent="0.3">
      <c r="A1062" s="3">
        <v>1523</v>
      </c>
      <c r="B1062" s="4" t="s">
        <v>282</v>
      </c>
      <c r="C1062" s="15" t="s">
        <v>95</v>
      </c>
    </row>
    <row r="1063" spans="1:3" x14ac:dyDescent="0.3">
      <c r="A1063" s="3">
        <v>1523</v>
      </c>
      <c r="B1063" s="4" t="s">
        <v>282</v>
      </c>
      <c r="C1063" s="15" t="s">
        <v>93</v>
      </c>
    </row>
    <row r="1064" spans="1:3" x14ac:dyDescent="0.3">
      <c r="A1064" s="3">
        <v>1524</v>
      </c>
      <c r="B1064" s="4" t="s">
        <v>283</v>
      </c>
      <c r="C1064" s="4" t="str">
        <f>1&amp;". TOTAL - "&amp;B1064</f>
        <v>1. TOTAL - VENDA INTERNA MG - CONVENIENCIA</v>
      </c>
    </row>
    <row r="1065" spans="1:3" x14ac:dyDescent="0.3">
      <c r="A1065" s="3">
        <v>1524</v>
      </c>
      <c r="B1065" s="4" t="s">
        <v>283</v>
      </c>
      <c r="C1065" s="15" t="s">
        <v>81</v>
      </c>
    </row>
    <row r="1066" spans="1:3" x14ac:dyDescent="0.3">
      <c r="A1066" s="3">
        <v>1524</v>
      </c>
      <c r="B1066" s="4" t="s">
        <v>283</v>
      </c>
      <c r="C1066" s="15" t="s">
        <v>82</v>
      </c>
    </row>
    <row r="1067" spans="1:3" x14ac:dyDescent="0.3">
      <c r="A1067" s="3">
        <v>1524</v>
      </c>
      <c r="B1067" s="4" t="s">
        <v>283</v>
      </c>
      <c r="C1067" s="15" t="s">
        <v>84</v>
      </c>
    </row>
    <row r="1068" spans="1:3" x14ac:dyDescent="0.3">
      <c r="A1068" s="3">
        <v>1524</v>
      </c>
      <c r="B1068" s="4" t="s">
        <v>283</v>
      </c>
      <c r="C1068" s="15" t="s">
        <v>83</v>
      </c>
    </row>
    <row r="1069" spans="1:3" x14ac:dyDescent="0.3">
      <c r="A1069" s="3">
        <v>1524</v>
      </c>
      <c r="B1069" s="4" t="s">
        <v>283</v>
      </c>
      <c r="C1069" s="15" t="s">
        <v>87</v>
      </c>
    </row>
    <row r="1070" spans="1:3" x14ac:dyDescent="0.3">
      <c r="A1070" s="3">
        <v>1524</v>
      </c>
      <c r="B1070" s="4" t="s">
        <v>283</v>
      </c>
      <c r="C1070" s="15" t="s">
        <v>85</v>
      </c>
    </row>
    <row r="1071" spans="1:3" x14ac:dyDescent="0.3">
      <c r="A1071" s="3">
        <v>1524</v>
      </c>
      <c r="B1071" s="4" t="s">
        <v>283</v>
      </c>
      <c r="C1071" s="15" t="s">
        <v>92</v>
      </c>
    </row>
    <row r="1072" spans="1:3" x14ac:dyDescent="0.3">
      <c r="A1072" s="3">
        <v>1524</v>
      </c>
      <c r="B1072" s="4" t="s">
        <v>283</v>
      </c>
      <c r="C1072" s="15" t="s">
        <v>86</v>
      </c>
    </row>
    <row r="1073" spans="1:3" x14ac:dyDescent="0.3">
      <c r="A1073" s="3">
        <v>1524</v>
      </c>
      <c r="B1073" s="4" t="s">
        <v>283</v>
      </c>
      <c r="C1073" s="15" t="s">
        <v>108</v>
      </c>
    </row>
    <row r="1074" spans="1:3" x14ac:dyDescent="0.3">
      <c r="A1074" s="3">
        <v>1524</v>
      </c>
      <c r="B1074" s="4" t="s">
        <v>283</v>
      </c>
      <c r="C1074" s="15" t="s">
        <v>89</v>
      </c>
    </row>
    <row r="1075" spans="1:3" x14ac:dyDescent="0.3">
      <c r="A1075" s="3">
        <v>1524</v>
      </c>
      <c r="B1075" s="4" t="s">
        <v>283</v>
      </c>
      <c r="C1075" s="15" t="s">
        <v>88</v>
      </c>
    </row>
    <row r="1076" spans="1:3" x14ac:dyDescent="0.3">
      <c r="A1076" s="3">
        <v>1524</v>
      </c>
      <c r="B1076" s="4" t="s">
        <v>283</v>
      </c>
      <c r="C1076" s="15" t="s">
        <v>90</v>
      </c>
    </row>
    <row r="1077" spans="1:3" x14ac:dyDescent="0.3">
      <c r="A1077" s="3">
        <v>1524</v>
      </c>
      <c r="B1077" s="4" t="s">
        <v>283</v>
      </c>
      <c r="C1077" s="15" t="s">
        <v>91</v>
      </c>
    </row>
    <row r="1078" spans="1:3" x14ac:dyDescent="0.3">
      <c r="A1078" s="3">
        <v>1524</v>
      </c>
      <c r="B1078" s="4" t="s">
        <v>283</v>
      </c>
      <c r="C1078" s="15" t="s">
        <v>96</v>
      </c>
    </row>
    <row r="1079" spans="1:3" x14ac:dyDescent="0.3">
      <c r="A1079" s="3">
        <v>1524</v>
      </c>
      <c r="B1079" s="4" t="s">
        <v>283</v>
      </c>
      <c r="C1079" s="15" t="s">
        <v>94</v>
      </c>
    </row>
    <row r="1080" spans="1:3" x14ac:dyDescent="0.3">
      <c r="A1080" s="3">
        <v>1524</v>
      </c>
      <c r="B1080" s="4" t="s">
        <v>283</v>
      </c>
      <c r="C1080" s="15" t="s">
        <v>95</v>
      </c>
    </row>
    <row r="1081" spans="1:3" x14ac:dyDescent="0.3">
      <c r="A1081" s="3">
        <v>1524</v>
      </c>
      <c r="B1081" s="4" t="s">
        <v>283</v>
      </c>
      <c r="C1081" s="15" t="s">
        <v>93</v>
      </c>
    </row>
    <row r="1082" spans="1:3" x14ac:dyDescent="0.3">
      <c r="A1082" s="3">
        <v>1525</v>
      </c>
      <c r="B1082" s="4" t="s">
        <v>284</v>
      </c>
      <c r="C1082" s="4" t="str">
        <f>1&amp;". TOTAL - "&amp;B1082</f>
        <v>1. TOTAL - VENDA INTERNA SP CAPITAL - CONVENIENCIA</v>
      </c>
    </row>
    <row r="1083" spans="1:3" x14ac:dyDescent="0.3">
      <c r="A1083" s="3">
        <v>1525</v>
      </c>
      <c r="B1083" s="4" t="s">
        <v>284</v>
      </c>
      <c r="C1083" s="15" t="s">
        <v>81</v>
      </c>
    </row>
    <row r="1084" spans="1:3" x14ac:dyDescent="0.3">
      <c r="A1084" s="3">
        <v>1525</v>
      </c>
      <c r="B1084" s="4" t="s">
        <v>284</v>
      </c>
      <c r="C1084" s="15" t="s">
        <v>82</v>
      </c>
    </row>
    <row r="1085" spans="1:3" x14ac:dyDescent="0.3">
      <c r="A1085" s="3">
        <v>1525</v>
      </c>
      <c r="B1085" s="4" t="s">
        <v>284</v>
      </c>
      <c r="C1085" s="15" t="s">
        <v>84</v>
      </c>
    </row>
    <row r="1086" spans="1:3" x14ac:dyDescent="0.3">
      <c r="A1086" s="3">
        <v>1525</v>
      </c>
      <c r="B1086" s="4" t="s">
        <v>284</v>
      </c>
      <c r="C1086" s="15" t="s">
        <v>83</v>
      </c>
    </row>
    <row r="1087" spans="1:3" x14ac:dyDescent="0.3">
      <c r="A1087" s="3">
        <v>1525</v>
      </c>
      <c r="B1087" s="4" t="s">
        <v>284</v>
      </c>
      <c r="C1087" s="15" t="s">
        <v>87</v>
      </c>
    </row>
    <row r="1088" spans="1:3" x14ac:dyDescent="0.3">
      <c r="A1088" s="3">
        <v>1525</v>
      </c>
      <c r="B1088" s="4" t="s">
        <v>284</v>
      </c>
      <c r="C1088" s="15" t="s">
        <v>85</v>
      </c>
    </row>
    <row r="1089" spans="1:3" x14ac:dyDescent="0.3">
      <c r="A1089" s="3">
        <v>1525</v>
      </c>
      <c r="B1089" s="4" t="s">
        <v>284</v>
      </c>
      <c r="C1089" s="15" t="s">
        <v>92</v>
      </c>
    </row>
    <row r="1090" spans="1:3" x14ac:dyDescent="0.3">
      <c r="A1090" s="3">
        <v>1525</v>
      </c>
      <c r="B1090" s="4" t="s">
        <v>284</v>
      </c>
      <c r="C1090" s="15" t="s">
        <v>86</v>
      </c>
    </row>
    <row r="1091" spans="1:3" x14ac:dyDescent="0.3">
      <c r="A1091" s="3">
        <v>1525</v>
      </c>
      <c r="B1091" s="4" t="s">
        <v>284</v>
      </c>
      <c r="C1091" s="15" t="s">
        <v>108</v>
      </c>
    </row>
    <row r="1092" spans="1:3" x14ac:dyDescent="0.3">
      <c r="A1092" s="3">
        <v>1525</v>
      </c>
      <c r="B1092" s="4" t="s">
        <v>284</v>
      </c>
      <c r="C1092" s="15" t="s">
        <v>89</v>
      </c>
    </row>
    <row r="1093" spans="1:3" x14ac:dyDescent="0.3">
      <c r="A1093" s="3">
        <v>1525</v>
      </c>
      <c r="B1093" s="4" t="s">
        <v>284</v>
      </c>
      <c r="C1093" s="15" t="s">
        <v>88</v>
      </c>
    </row>
    <row r="1094" spans="1:3" x14ac:dyDescent="0.3">
      <c r="A1094" s="3">
        <v>1525</v>
      </c>
      <c r="B1094" s="4" t="s">
        <v>284</v>
      </c>
      <c r="C1094" s="15" t="s">
        <v>90</v>
      </c>
    </row>
    <row r="1095" spans="1:3" x14ac:dyDescent="0.3">
      <c r="A1095" s="3">
        <v>1525</v>
      </c>
      <c r="B1095" s="4" t="s">
        <v>284</v>
      </c>
      <c r="C1095" s="15" t="s">
        <v>91</v>
      </c>
    </row>
    <row r="1096" spans="1:3" x14ac:dyDescent="0.3">
      <c r="A1096" s="3">
        <v>1525</v>
      </c>
      <c r="B1096" s="4" t="s">
        <v>284</v>
      </c>
      <c r="C1096" s="15" t="s">
        <v>96</v>
      </c>
    </row>
    <row r="1097" spans="1:3" x14ac:dyDescent="0.3">
      <c r="A1097" s="3">
        <v>1525</v>
      </c>
      <c r="B1097" s="4" t="s">
        <v>284</v>
      </c>
      <c r="C1097" s="15" t="s">
        <v>94</v>
      </c>
    </row>
    <row r="1098" spans="1:3" x14ac:dyDescent="0.3">
      <c r="A1098" s="3">
        <v>1525</v>
      </c>
      <c r="B1098" s="4" t="s">
        <v>284</v>
      </c>
      <c r="C1098" s="15" t="s">
        <v>95</v>
      </c>
    </row>
    <row r="1099" spans="1:3" x14ac:dyDescent="0.3">
      <c r="A1099" s="3">
        <v>1525</v>
      </c>
      <c r="B1099" s="4" t="s">
        <v>284</v>
      </c>
      <c r="C1099" s="15" t="s">
        <v>93</v>
      </c>
    </row>
    <row r="1100" spans="1:3" x14ac:dyDescent="0.3">
      <c r="A1100" s="3">
        <v>1526</v>
      </c>
      <c r="B1100" s="4" t="s">
        <v>285</v>
      </c>
      <c r="C1100" s="4" t="str">
        <f>1&amp;". TOTAL - "&amp;B1100</f>
        <v>1. TOTAL - VENDA INTERNA SP INTERIOR - CONVENIENCIA</v>
      </c>
    </row>
    <row r="1101" spans="1:3" x14ac:dyDescent="0.3">
      <c r="A1101" s="3">
        <v>1526</v>
      </c>
      <c r="B1101" s="4" t="s">
        <v>285</v>
      </c>
      <c r="C1101" s="15" t="s">
        <v>81</v>
      </c>
    </row>
    <row r="1102" spans="1:3" x14ac:dyDescent="0.3">
      <c r="A1102" s="3">
        <v>1526</v>
      </c>
      <c r="B1102" s="4" t="s">
        <v>285</v>
      </c>
      <c r="C1102" s="15" t="s">
        <v>82</v>
      </c>
    </row>
    <row r="1103" spans="1:3" x14ac:dyDescent="0.3">
      <c r="A1103" s="3">
        <v>1526</v>
      </c>
      <c r="B1103" s="4" t="s">
        <v>285</v>
      </c>
      <c r="C1103" s="15" t="s">
        <v>84</v>
      </c>
    </row>
    <row r="1104" spans="1:3" x14ac:dyDescent="0.3">
      <c r="A1104" s="3">
        <v>1526</v>
      </c>
      <c r="B1104" s="4" t="s">
        <v>285</v>
      </c>
      <c r="C1104" s="15" t="s">
        <v>83</v>
      </c>
    </row>
    <row r="1105" spans="1:3" x14ac:dyDescent="0.3">
      <c r="A1105" s="3">
        <v>1526</v>
      </c>
      <c r="B1105" s="4" t="s">
        <v>285</v>
      </c>
      <c r="C1105" s="15" t="s">
        <v>87</v>
      </c>
    </row>
    <row r="1106" spans="1:3" x14ac:dyDescent="0.3">
      <c r="A1106" s="3">
        <v>1526</v>
      </c>
      <c r="B1106" s="4" t="s">
        <v>285</v>
      </c>
      <c r="C1106" s="15" t="s">
        <v>85</v>
      </c>
    </row>
    <row r="1107" spans="1:3" x14ac:dyDescent="0.3">
      <c r="A1107" s="3">
        <v>1526</v>
      </c>
      <c r="B1107" s="4" t="s">
        <v>285</v>
      </c>
      <c r="C1107" s="15" t="s">
        <v>92</v>
      </c>
    </row>
    <row r="1108" spans="1:3" x14ac:dyDescent="0.3">
      <c r="A1108" s="3">
        <v>1526</v>
      </c>
      <c r="B1108" s="4" t="s">
        <v>285</v>
      </c>
      <c r="C1108" s="15" t="s">
        <v>86</v>
      </c>
    </row>
    <row r="1109" spans="1:3" x14ac:dyDescent="0.3">
      <c r="A1109" s="3">
        <v>1526</v>
      </c>
      <c r="B1109" s="4" t="s">
        <v>285</v>
      </c>
      <c r="C1109" s="15" t="s">
        <v>108</v>
      </c>
    </row>
    <row r="1110" spans="1:3" x14ac:dyDescent="0.3">
      <c r="A1110" s="3">
        <v>1526</v>
      </c>
      <c r="B1110" s="4" t="s">
        <v>285</v>
      </c>
      <c r="C1110" s="15" t="s">
        <v>89</v>
      </c>
    </row>
    <row r="1111" spans="1:3" x14ac:dyDescent="0.3">
      <c r="A1111" s="3">
        <v>1526</v>
      </c>
      <c r="B1111" s="4" t="s">
        <v>285</v>
      </c>
      <c r="C1111" s="15" t="s">
        <v>88</v>
      </c>
    </row>
    <row r="1112" spans="1:3" x14ac:dyDescent="0.3">
      <c r="A1112" s="3">
        <v>1526</v>
      </c>
      <c r="B1112" s="4" t="s">
        <v>285</v>
      </c>
      <c r="C1112" s="15" t="s">
        <v>90</v>
      </c>
    </row>
    <row r="1113" spans="1:3" x14ac:dyDescent="0.3">
      <c r="A1113" s="3">
        <v>1526</v>
      </c>
      <c r="B1113" s="4" t="s">
        <v>285</v>
      </c>
      <c r="C1113" s="15" t="s">
        <v>91</v>
      </c>
    </row>
    <row r="1114" spans="1:3" x14ac:dyDescent="0.3">
      <c r="A1114" s="3">
        <v>1526</v>
      </c>
      <c r="B1114" s="4" t="s">
        <v>285</v>
      </c>
      <c r="C1114" s="15" t="s">
        <v>96</v>
      </c>
    </row>
    <row r="1115" spans="1:3" x14ac:dyDescent="0.3">
      <c r="A1115" s="3">
        <v>1526</v>
      </c>
      <c r="B1115" s="4" t="s">
        <v>285</v>
      </c>
      <c r="C1115" s="15" t="s">
        <v>94</v>
      </c>
    </row>
    <row r="1116" spans="1:3" x14ac:dyDescent="0.3">
      <c r="A1116" s="3">
        <v>1526</v>
      </c>
      <c r="B1116" s="4" t="s">
        <v>285</v>
      </c>
      <c r="C1116" s="15" t="s">
        <v>95</v>
      </c>
    </row>
    <row r="1117" spans="1:3" x14ac:dyDescent="0.3">
      <c r="A1117" s="3">
        <v>1526</v>
      </c>
      <c r="B1117" s="4" t="s">
        <v>285</v>
      </c>
      <c r="C1117" s="15" t="s">
        <v>93</v>
      </c>
    </row>
    <row r="1118" spans="1:3" x14ac:dyDescent="0.3">
      <c r="A1118" s="3">
        <v>1528</v>
      </c>
      <c r="B1118" s="4" t="s">
        <v>286</v>
      </c>
      <c r="C1118" s="4" t="str">
        <f>1&amp;". TOTAL - "&amp;B1118</f>
        <v>1. TOTAL - VENDA INTERNA RS - CONVENIENCIA</v>
      </c>
    </row>
    <row r="1119" spans="1:3" x14ac:dyDescent="0.3">
      <c r="A1119" s="3">
        <v>1528</v>
      </c>
      <c r="B1119" s="4" t="s">
        <v>286</v>
      </c>
      <c r="C1119" s="15" t="s">
        <v>81</v>
      </c>
    </row>
    <row r="1120" spans="1:3" x14ac:dyDescent="0.3">
      <c r="A1120" s="3">
        <v>1528</v>
      </c>
      <c r="B1120" s="4" t="s">
        <v>286</v>
      </c>
      <c r="C1120" s="15" t="s">
        <v>82</v>
      </c>
    </row>
    <row r="1121" spans="1:3" x14ac:dyDescent="0.3">
      <c r="A1121" s="3">
        <v>1528</v>
      </c>
      <c r="B1121" s="4" t="s">
        <v>286</v>
      </c>
      <c r="C1121" s="15" t="s">
        <v>84</v>
      </c>
    </row>
    <row r="1122" spans="1:3" x14ac:dyDescent="0.3">
      <c r="A1122" s="3">
        <v>1528</v>
      </c>
      <c r="B1122" s="4" t="s">
        <v>286</v>
      </c>
      <c r="C1122" s="15" t="s">
        <v>83</v>
      </c>
    </row>
    <row r="1123" spans="1:3" x14ac:dyDescent="0.3">
      <c r="A1123" s="3">
        <v>1528</v>
      </c>
      <c r="B1123" s="4" t="s">
        <v>286</v>
      </c>
      <c r="C1123" s="15" t="s">
        <v>87</v>
      </c>
    </row>
    <row r="1124" spans="1:3" x14ac:dyDescent="0.3">
      <c r="A1124" s="3">
        <v>1528</v>
      </c>
      <c r="B1124" s="4" t="s">
        <v>286</v>
      </c>
      <c r="C1124" s="15" t="s">
        <v>85</v>
      </c>
    </row>
    <row r="1125" spans="1:3" x14ac:dyDescent="0.3">
      <c r="A1125" s="3">
        <v>1528</v>
      </c>
      <c r="B1125" s="4" t="s">
        <v>286</v>
      </c>
      <c r="C1125" s="15" t="s">
        <v>92</v>
      </c>
    </row>
    <row r="1126" spans="1:3" x14ac:dyDescent="0.3">
      <c r="A1126" s="3">
        <v>1528</v>
      </c>
      <c r="B1126" s="4" t="s">
        <v>286</v>
      </c>
      <c r="C1126" s="15" t="s">
        <v>86</v>
      </c>
    </row>
    <row r="1127" spans="1:3" x14ac:dyDescent="0.3">
      <c r="A1127" s="3">
        <v>1528</v>
      </c>
      <c r="B1127" s="4" t="s">
        <v>286</v>
      </c>
      <c r="C1127" s="15" t="s">
        <v>108</v>
      </c>
    </row>
    <row r="1128" spans="1:3" x14ac:dyDescent="0.3">
      <c r="A1128" s="3">
        <v>1528</v>
      </c>
      <c r="B1128" s="4" t="s">
        <v>286</v>
      </c>
      <c r="C1128" s="15" t="s">
        <v>89</v>
      </c>
    </row>
    <row r="1129" spans="1:3" x14ac:dyDescent="0.3">
      <c r="A1129" s="3">
        <v>1528</v>
      </c>
      <c r="B1129" s="4" t="s">
        <v>286</v>
      </c>
      <c r="C1129" s="15" t="s">
        <v>88</v>
      </c>
    </row>
    <row r="1130" spans="1:3" x14ac:dyDescent="0.3">
      <c r="A1130" s="3">
        <v>1528</v>
      </c>
      <c r="B1130" s="4" t="s">
        <v>286</v>
      </c>
      <c r="C1130" s="15" t="s">
        <v>90</v>
      </c>
    </row>
    <row r="1131" spans="1:3" x14ac:dyDescent="0.3">
      <c r="A1131" s="3">
        <v>1528</v>
      </c>
      <c r="B1131" s="4" t="s">
        <v>286</v>
      </c>
      <c r="C1131" s="15" t="s">
        <v>91</v>
      </c>
    </row>
    <row r="1132" spans="1:3" x14ac:dyDescent="0.3">
      <c r="A1132" s="3">
        <v>1528</v>
      </c>
      <c r="B1132" s="4" t="s">
        <v>286</v>
      </c>
      <c r="C1132" s="15" t="s">
        <v>96</v>
      </c>
    </row>
    <row r="1133" spans="1:3" x14ac:dyDescent="0.3">
      <c r="A1133" s="3">
        <v>1528</v>
      </c>
      <c r="B1133" s="4" t="s">
        <v>286</v>
      </c>
      <c r="C1133" s="15" t="s">
        <v>94</v>
      </c>
    </row>
    <row r="1134" spans="1:3" x14ac:dyDescent="0.3">
      <c r="A1134" s="3">
        <v>1528</v>
      </c>
      <c r="B1134" s="4" t="s">
        <v>286</v>
      </c>
      <c r="C1134" s="15" t="s">
        <v>95</v>
      </c>
    </row>
    <row r="1135" spans="1:3" x14ac:dyDescent="0.3">
      <c r="A1135" s="3">
        <v>1528</v>
      </c>
      <c r="B1135" s="4" t="s">
        <v>286</v>
      </c>
      <c r="C1135" s="15" t="s">
        <v>93</v>
      </c>
    </row>
    <row r="1136" spans="1:3" x14ac:dyDescent="0.3">
      <c r="A1136" s="3">
        <v>1530</v>
      </c>
      <c r="B1136" s="4" t="s">
        <v>287</v>
      </c>
      <c r="C1136" s="4" t="str">
        <f>1&amp;". TOTAL - "&amp;B1136</f>
        <v>1. TOTAL - VENDA INTERNA SC - CONVENIENCIA</v>
      </c>
    </row>
    <row r="1137" spans="1:3" x14ac:dyDescent="0.3">
      <c r="A1137" s="3">
        <v>1530</v>
      </c>
      <c r="B1137" s="4" t="s">
        <v>287</v>
      </c>
      <c r="C1137" s="15" t="s">
        <v>81</v>
      </c>
    </row>
    <row r="1138" spans="1:3" x14ac:dyDescent="0.3">
      <c r="A1138" s="3">
        <v>1530</v>
      </c>
      <c r="B1138" s="4" t="s">
        <v>287</v>
      </c>
      <c r="C1138" s="15" t="s">
        <v>82</v>
      </c>
    </row>
    <row r="1139" spans="1:3" x14ac:dyDescent="0.3">
      <c r="A1139" s="3">
        <v>1530</v>
      </c>
      <c r="B1139" s="4" t="s">
        <v>287</v>
      </c>
      <c r="C1139" s="15" t="s">
        <v>84</v>
      </c>
    </row>
    <row r="1140" spans="1:3" x14ac:dyDescent="0.3">
      <c r="A1140" s="3">
        <v>1530</v>
      </c>
      <c r="B1140" s="4" t="s">
        <v>287</v>
      </c>
      <c r="C1140" s="15" t="s">
        <v>83</v>
      </c>
    </row>
    <row r="1141" spans="1:3" x14ac:dyDescent="0.3">
      <c r="A1141" s="3">
        <v>1530</v>
      </c>
      <c r="B1141" s="4" t="s">
        <v>287</v>
      </c>
      <c r="C1141" s="15" t="s">
        <v>87</v>
      </c>
    </row>
    <row r="1142" spans="1:3" x14ac:dyDescent="0.3">
      <c r="A1142" s="3">
        <v>1530</v>
      </c>
      <c r="B1142" s="4" t="s">
        <v>287</v>
      </c>
      <c r="C1142" s="15" t="s">
        <v>85</v>
      </c>
    </row>
    <row r="1143" spans="1:3" x14ac:dyDescent="0.3">
      <c r="A1143" s="3">
        <v>1530</v>
      </c>
      <c r="B1143" s="4" t="s">
        <v>287</v>
      </c>
      <c r="C1143" s="15" t="s">
        <v>92</v>
      </c>
    </row>
    <row r="1144" spans="1:3" x14ac:dyDescent="0.3">
      <c r="A1144" s="3">
        <v>1530</v>
      </c>
      <c r="B1144" s="4" t="s">
        <v>287</v>
      </c>
      <c r="C1144" s="15" t="s">
        <v>86</v>
      </c>
    </row>
    <row r="1145" spans="1:3" x14ac:dyDescent="0.3">
      <c r="A1145" s="3">
        <v>1530</v>
      </c>
      <c r="B1145" s="4" t="s">
        <v>287</v>
      </c>
      <c r="C1145" s="15" t="s">
        <v>108</v>
      </c>
    </row>
    <row r="1146" spans="1:3" x14ac:dyDescent="0.3">
      <c r="A1146" s="3">
        <v>1530</v>
      </c>
      <c r="B1146" s="4" t="s">
        <v>287</v>
      </c>
      <c r="C1146" s="15" t="s">
        <v>89</v>
      </c>
    </row>
    <row r="1147" spans="1:3" x14ac:dyDescent="0.3">
      <c r="A1147" s="3">
        <v>1530</v>
      </c>
      <c r="B1147" s="4" t="s">
        <v>287</v>
      </c>
      <c r="C1147" s="15" t="s">
        <v>88</v>
      </c>
    </row>
    <row r="1148" spans="1:3" x14ac:dyDescent="0.3">
      <c r="A1148" s="3">
        <v>1530</v>
      </c>
      <c r="B1148" s="4" t="s">
        <v>287</v>
      </c>
      <c r="C1148" s="15" t="s">
        <v>90</v>
      </c>
    </row>
    <row r="1149" spans="1:3" x14ac:dyDescent="0.3">
      <c r="A1149" s="3">
        <v>1530</v>
      </c>
      <c r="B1149" s="4" t="s">
        <v>287</v>
      </c>
      <c r="C1149" s="15" t="s">
        <v>91</v>
      </c>
    </row>
    <row r="1150" spans="1:3" x14ac:dyDescent="0.3">
      <c r="A1150" s="3">
        <v>1530</v>
      </c>
      <c r="B1150" s="4" t="s">
        <v>287</v>
      </c>
      <c r="C1150" s="15" t="s">
        <v>96</v>
      </c>
    </row>
    <row r="1151" spans="1:3" x14ac:dyDescent="0.3">
      <c r="A1151" s="3">
        <v>1530</v>
      </c>
      <c r="B1151" s="4" t="s">
        <v>287</v>
      </c>
      <c r="C1151" s="15" t="s">
        <v>94</v>
      </c>
    </row>
    <row r="1152" spans="1:3" x14ac:dyDescent="0.3">
      <c r="A1152" s="3">
        <v>1530</v>
      </c>
      <c r="B1152" s="4" t="s">
        <v>287</v>
      </c>
      <c r="C1152" s="15" t="s">
        <v>95</v>
      </c>
    </row>
    <row r="1153" spans="1:3" x14ac:dyDescent="0.3">
      <c r="A1153" s="3">
        <v>1530</v>
      </c>
      <c r="B1153" s="4" t="s">
        <v>287</v>
      </c>
      <c r="C1153" s="15" t="s">
        <v>93</v>
      </c>
    </row>
    <row r="1154" spans="1:3" x14ac:dyDescent="0.3">
      <c r="A1154" s="3">
        <v>1532</v>
      </c>
      <c r="B1154" s="4" t="s">
        <v>368</v>
      </c>
      <c r="C1154" s="15" t="s">
        <v>371</v>
      </c>
    </row>
    <row r="1155" spans="1:3" x14ac:dyDescent="0.3">
      <c r="A1155" s="3">
        <v>1532</v>
      </c>
      <c r="B1155" s="4" t="s">
        <v>368</v>
      </c>
      <c r="C1155" s="15" t="s">
        <v>81</v>
      </c>
    </row>
    <row r="1156" spans="1:3" x14ac:dyDescent="0.3">
      <c r="A1156" s="3">
        <v>1532</v>
      </c>
      <c r="B1156" s="4" t="s">
        <v>368</v>
      </c>
      <c r="C1156" s="15" t="s">
        <v>82</v>
      </c>
    </row>
    <row r="1157" spans="1:3" x14ac:dyDescent="0.3">
      <c r="A1157" s="3">
        <v>1532</v>
      </c>
      <c r="B1157" s="4" t="s">
        <v>368</v>
      </c>
      <c r="C1157" s="15" t="s">
        <v>84</v>
      </c>
    </row>
    <row r="1158" spans="1:3" x14ac:dyDescent="0.3">
      <c r="A1158" s="3">
        <v>1532</v>
      </c>
      <c r="B1158" s="4" t="s">
        <v>368</v>
      </c>
      <c r="C1158" s="15" t="s">
        <v>83</v>
      </c>
    </row>
    <row r="1159" spans="1:3" x14ac:dyDescent="0.3">
      <c r="A1159" s="3">
        <v>1532</v>
      </c>
      <c r="B1159" s="4" t="s">
        <v>368</v>
      </c>
      <c r="C1159" s="15" t="s">
        <v>87</v>
      </c>
    </row>
    <row r="1160" spans="1:3" x14ac:dyDescent="0.3">
      <c r="A1160" s="3">
        <v>1532</v>
      </c>
      <c r="B1160" s="4" t="s">
        <v>368</v>
      </c>
      <c r="C1160" s="15" t="s">
        <v>85</v>
      </c>
    </row>
    <row r="1161" spans="1:3" x14ac:dyDescent="0.3">
      <c r="A1161" s="3">
        <v>1532</v>
      </c>
      <c r="B1161" s="4" t="s">
        <v>368</v>
      </c>
      <c r="C1161" s="15" t="s">
        <v>92</v>
      </c>
    </row>
    <row r="1162" spans="1:3" x14ac:dyDescent="0.3">
      <c r="A1162" s="3">
        <v>1532</v>
      </c>
      <c r="B1162" s="4" t="s">
        <v>368</v>
      </c>
      <c r="C1162" s="15" t="s">
        <v>86</v>
      </c>
    </row>
    <row r="1163" spans="1:3" x14ac:dyDescent="0.3">
      <c r="A1163" s="3">
        <v>1532</v>
      </c>
      <c r="B1163" s="4" t="s">
        <v>368</v>
      </c>
      <c r="C1163" s="15" t="s">
        <v>108</v>
      </c>
    </row>
    <row r="1164" spans="1:3" x14ac:dyDescent="0.3">
      <c r="A1164" s="3">
        <v>1532</v>
      </c>
      <c r="B1164" s="4" t="s">
        <v>368</v>
      </c>
      <c r="C1164" s="15" t="s">
        <v>89</v>
      </c>
    </row>
    <row r="1165" spans="1:3" x14ac:dyDescent="0.3">
      <c r="A1165" s="3">
        <v>1532</v>
      </c>
      <c r="B1165" s="4" t="s">
        <v>368</v>
      </c>
      <c r="C1165" s="15" t="s">
        <v>88</v>
      </c>
    </row>
    <row r="1166" spans="1:3" x14ac:dyDescent="0.3">
      <c r="A1166" s="3">
        <v>1532</v>
      </c>
      <c r="B1166" s="4" t="s">
        <v>368</v>
      </c>
      <c r="C1166" s="15" t="s">
        <v>90</v>
      </c>
    </row>
    <row r="1167" spans="1:3" x14ac:dyDescent="0.3">
      <c r="A1167" s="3">
        <v>1532</v>
      </c>
      <c r="B1167" s="4" t="s">
        <v>368</v>
      </c>
      <c r="C1167" s="15" t="s">
        <v>91</v>
      </c>
    </row>
    <row r="1168" spans="1:3" x14ac:dyDescent="0.3">
      <c r="A1168" s="3">
        <v>1532</v>
      </c>
      <c r="B1168" s="4" t="s">
        <v>368</v>
      </c>
      <c r="C1168" s="15" t="s">
        <v>96</v>
      </c>
    </row>
    <row r="1169" spans="1:3" x14ac:dyDescent="0.3">
      <c r="A1169" s="3">
        <v>1532</v>
      </c>
      <c r="B1169" s="4" t="s">
        <v>368</v>
      </c>
      <c r="C1169" s="15" t="s">
        <v>94</v>
      </c>
    </row>
    <row r="1170" spans="1:3" x14ac:dyDescent="0.3">
      <c r="A1170" s="3">
        <v>1532</v>
      </c>
      <c r="B1170" s="4" t="s">
        <v>368</v>
      </c>
      <c r="C1170" s="15" t="s">
        <v>95</v>
      </c>
    </row>
    <row r="1171" spans="1:3" x14ac:dyDescent="0.3">
      <c r="A1171" s="3">
        <v>1532</v>
      </c>
      <c r="B1171" s="4" t="s">
        <v>368</v>
      </c>
      <c r="C1171" s="15" t="s">
        <v>93</v>
      </c>
    </row>
    <row r="1172" spans="1:3" x14ac:dyDescent="0.3">
      <c r="A1172" s="3">
        <v>1533</v>
      </c>
      <c r="B1172" s="4" t="s">
        <v>369</v>
      </c>
      <c r="C1172" s="15" t="s">
        <v>372</v>
      </c>
    </row>
    <row r="1173" spans="1:3" x14ac:dyDescent="0.3">
      <c r="A1173" s="3">
        <v>1533</v>
      </c>
      <c r="B1173" s="4" t="s">
        <v>369</v>
      </c>
      <c r="C1173" s="15" t="s">
        <v>81</v>
      </c>
    </row>
    <row r="1174" spans="1:3" x14ac:dyDescent="0.3">
      <c r="A1174" s="3">
        <v>1533</v>
      </c>
      <c r="B1174" s="4" t="s">
        <v>369</v>
      </c>
      <c r="C1174" s="15" t="s">
        <v>82</v>
      </c>
    </row>
    <row r="1175" spans="1:3" x14ac:dyDescent="0.3">
      <c r="A1175" s="3">
        <v>1533</v>
      </c>
      <c r="B1175" s="4" t="s">
        <v>369</v>
      </c>
      <c r="C1175" s="15" t="s">
        <v>84</v>
      </c>
    </row>
    <row r="1176" spans="1:3" x14ac:dyDescent="0.3">
      <c r="A1176" s="3">
        <v>1533</v>
      </c>
      <c r="B1176" s="4" t="s">
        <v>369</v>
      </c>
      <c r="C1176" s="15" t="s">
        <v>83</v>
      </c>
    </row>
    <row r="1177" spans="1:3" x14ac:dyDescent="0.3">
      <c r="A1177" s="3">
        <v>1533</v>
      </c>
      <c r="B1177" s="4" t="s">
        <v>369</v>
      </c>
      <c r="C1177" s="15" t="s">
        <v>87</v>
      </c>
    </row>
    <row r="1178" spans="1:3" x14ac:dyDescent="0.3">
      <c r="A1178" s="3">
        <v>1533</v>
      </c>
      <c r="B1178" s="4" t="s">
        <v>369</v>
      </c>
      <c r="C1178" s="15" t="s">
        <v>85</v>
      </c>
    </row>
    <row r="1179" spans="1:3" x14ac:dyDescent="0.3">
      <c r="A1179" s="3">
        <v>1533</v>
      </c>
      <c r="B1179" s="4" t="s">
        <v>369</v>
      </c>
      <c r="C1179" s="15" t="s">
        <v>92</v>
      </c>
    </row>
    <row r="1180" spans="1:3" x14ac:dyDescent="0.3">
      <c r="A1180" s="3">
        <v>1533</v>
      </c>
      <c r="B1180" s="4" t="s">
        <v>369</v>
      </c>
      <c r="C1180" s="15" t="s">
        <v>86</v>
      </c>
    </row>
    <row r="1181" spans="1:3" x14ac:dyDescent="0.3">
      <c r="A1181" s="3">
        <v>1533</v>
      </c>
      <c r="B1181" s="4" t="s">
        <v>369</v>
      </c>
      <c r="C1181" s="15" t="s">
        <v>108</v>
      </c>
    </row>
    <row r="1182" spans="1:3" x14ac:dyDescent="0.3">
      <c r="A1182" s="3">
        <v>1533</v>
      </c>
      <c r="B1182" s="4" t="s">
        <v>369</v>
      </c>
      <c r="C1182" s="15" t="s">
        <v>89</v>
      </c>
    </row>
    <row r="1183" spans="1:3" x14ac:dyDescent="0.3">
      <c r="A1183" s="3">
        <v>1533</v>
      </c>
      <c r="B1183" s="4" t="s">
        <v>369</v>
      </c>
      <c r="C1183" s="15" t="s">
        <v>88</v>
      </c>
    </row>
    <row r="1184" spans="1:3" x14ac:dyDescent="0.3">
      <c r="A1184" s="3">
        <v>1533</v>
      </c>
      <c r="B1184" s="4" t="s">
        <v>369</v>
      </c>
      <c r="C1184" s="15" t="s">
        <v>90</v>
      </c>
    </row>
    <row r="1185" spans="1:3" x14ac:dyDescent="0.3">
      <c r="A1185" s="3">
        <v>1533</v>
      </c>
      <c r="B1185" s="4" t="s">
        <v>369</v>
      </c>
      <c r="C1185" s="15" t="s">
        <v>91</v>
      </c>
    </row>
    <row r="1186" spans="1:3" x14ac:dyDescent="0.3">
      <c r="A1186" s="3">
        <v>1533</v>
      </c>
      <c r="B1186" s="4" t="s">
        <v>369</v>
      </c>
      <c r="C1186" s="15" t="s">
        <v>96</v>
      </c>
    </row>
    <row r="1187" spans="1:3" x14ac:dyDescent="0.3">
      <c r="A1187" s="3">
        <v>1533</v>
      </c>
      <c r="B1187" s="4" t="s">
        <v>369</v>
      </c>
      <c r="C1187" s="15" t="s">
        <v>94</v>
      </c>
    </row>
    <row r="1188" spans="1:3" x14ac:dyDescent="0.3">
      <c r="A1188" s="3">
        <v>1533</v>
      </c>
      <c r="B1188" s="4" t="s">
        <v>369</v>
      </c>
      <c r="C1188" s="15" t="s">
        <v>95</v>
      </c>
    </row>
    <row r="1189" spans="1:3" x14ac:dyDescent="0.3">
      <c r="A1189" s="3">
        <v>1533</v>
      </c>
      <c r="B1189" s="4" t="s">
        <v>369</v>
      </c>
      <c r="C1189" s="15" t="s">
        <v>93</v>
      </c>
    </row>
  </sheetData>
  <autoFilter ref="A1:C1135" xr:uid="{5A8CACC7-9546-4958-8B0B-F1D8C04A149A}">
    <sortState xmlns:xlrd2="http://schemas.microsoft.com/office/spreadsheetml/2017/richdata2" ref="A2:C1153">
      <sortCondition ref="A1:A1135"/>
    </sortState>
  </autoFilter>
  <mergeCells count="2">
    <mergeCell ref="E1:F1"/>
    <mergeCell ref="E22:F22"/>
  </mergeCells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E0A92-1C9C-4549-BEC3-E14C80716C72}">
  <dimension ref="A1:O105"/>
  <sheetViews>
    <sheetView showGridLines="0" topLeftCell="A71" zoomScale="85" zoomScaleNormal="85" workbookViewId="0">
      <selection activeCell="M109" sqref="M109"/>
    </sheetView>
  </sheetViews>
  <sheetFormatPr defaultRowHeight="14.4" x14ac:dyDescent="0.3"/>
  <cols>
    <col min="1" max="1" width="11" customWidth="1"/>
    <col min="2" max="2" width="35.6640625" customWidth="1"/>
    <col min="3" max="15" width="13.33203125" customWidth="1"/>
    <col min="16" max="16" width="11.33203125" bestFit="1" customWidth="1"/>
    <col min="17" max="17" width="26.6640625" bestFit="1" customWidth="1"/>
    <col min="18" max="26" width="11.6640625" customWidth="1"/>
  </cols>
  <sheetData>
    <row r="1" spans="1:15" x14ac:dyDescent="0.3">
      <c r="A1" s="22" t="s">
        <v>55</v>
      </c>
      <c r="B1" s="22" t="s">
        <v>119</v>
      </c>
      <c r="C1" s="22" t="s">
        <v>200</v>
      </c>
      <c r="D1" s="43" t="s">
        <v>63</v>
      </c>
      <c r="E1" s="43" t="s">
        <v>64</v>
      </c>
      <c r="F1" s="43" t="s">
        <v>65</v>
      </c>
      <c r="G1" s="43" t="s">
        <v>66</v>
      </c>
      <c r="H1" s="43" t="s">
        <v>67</v>
      </c>
      <c r="I1" s="43" t="s">
        <v>68</v>
      </c>
      <c r="J1" s="43" t="s">
        <v>69</v>
      </c>
      <c r="K1" s="43" t="s">
        <v>70</v>
      </c>
      <c r="L1" s="43" t="s">
        <v>71</v>
      </c>
      <c r="M1" s="43" t="s">
        <v>72</v>
      </c>
      <c r="N1" s="43" t="s">
        <v>73</v>
      </c>
      <c r="O1" s="43" t="s">
        <v>74</v>
      </c>
    </row>
    <row r="2" spans="1:15" x14ac:dyDescent="0.3">
      <c r="A2" s="3">
        <v>1501</v>
      </c>
      <c r="B2" s="4" t="str">
        <f>_xlfn.XLOOKUP(A2,'Base Grupo de Produtos'!H:H,'Base Grupo de Produtos'!I:I)</f>
        <v>VENDA INTERNA PR - CONVENIENCIA</v>
      </c>
      <c r="C2" s="45">
        <v>0</v>
      </c>
      <c r="D2" s="9">
        <f t="shared" ref="D2:O2" si="0">C2+C2*D$31</f>
        <v>0</v>
      </c>
      <c r="E2" s="9">
        <f t="shared" si="0"/>
        <v>0</v>
      </c>
      <c r="F2" s="9">
        <f t="shared" si="0"/>
        <v>0</v>
      </c>
      <c r="G2" s="9">
        <f t="shared" si="0"/>
        <v>0</v>
      </c>
      <c r="H2" s="9">
        <f t="shared" si="0"/>
        <v>0</v>
      </c>
      <c r="I2" s="9">
        <f t="shared" si="0"/>
        <v>0</v>
      </c>
      <c r="J2" s="9">
        <f t="shared" si="0"/>
        <v>0</v>
      </c>
      <c r="K2" s="9">
        <f t="shared" si="0"/>
        <v>0</v>
      </c>
      <c r="L2" s="9">
        <f t="shared" si="0"/>
        <v>0</v>
      </c>
      <c r="M2" s="9">
        <f t="shared" si="0"/>
        <v>0</v>
      </c>
      <c r="N2" s="9">
        <f t="shared" si="0"/>
        <v>0</v>
      </c>
      <c r="O2" s="9">
        <f t="shared" si="0"/>
        <v>0</v>
      </c>
    </row>
    <row r="3" spans="1:15" x14ac:dyDescent="0.3">
      <c r="A3" s="3">
        <v>1502</v>
      </c>
      <c r="B3" s="4" t="str">
        <f>_xlfn.XLOOKUP(A3,'Base Grupo de Produtos'!H:H,'Base Grupo de Produtos'!I:I)</f>
        <v>VENDA INTERNA AP - CONVENIENCIA</v>
      </c>
      <c r="C3" s="45">
        <v>0</v>
      </c>
      <c r="D3" s="9">
        <f t="shared" ref="D3:O3" si="1">C3+C3*D$31</f>
        <v>0</v>
      </c>
      <c r="E3" s="9">
        <f t="shared" si="1"/>
        <v>0</v>
      </c>
      <c r="F3" s="9">
        <f t="shared" si="1"/>
        <v>0</v>
      </c>
      <c r="G3" s="9">
        <f t="shared" si="1"/>
        <v>0</v>
      </c>
      <c r="H3" s="9">
        <f t="shared" si="1"/>
        <v>0</v>
      </c>
      <c r="I3" s="9">
        <f t="shared" si="1"/>
        <v>0</v>
      </c>
      <c r="J3" s="9">
        <f t="shared" si="1"/>
        <v>0</v>
      </c>
      <c r="K3" s="9">
        <f t="shared" si="1"/>
        <v>0</v>
      </c>
      <c r="L3" s="9">
        <f t="shared" si="1"/>
        <v>0</v>
      </c>
      <c r="M3" s="9">
        <f t="shared" si="1"/>
        <v>0</v>
      </c>
      <c r="N3" s="9">
        <f t="shared" si="1"/>
        <v>0</v>
      </c>
      <c r="O3" s="9">
        <f t="shared" si="1"/>
        <v>0</v>
      </c>
    </row>
    <row r="4" spans="1:15" x14ac:dyDescent="0.3">
      <c r="A4" s="3">
        <v>1503</v>
      </c>
      <c r="B4" s="4" t="str">
        <f>_xlfn.XLOOKUP(A4,'Base Grupo de Produtos'!H:H,'Base Grupo de Produtos'!I:I)</f>
        <v>VENDA INTERNA RN - CONVENIENCIA</v>
      </c>
      <c r="C4" s="45">
        <v>0</v>
      </c>
      <c r="D4" s="9">
        <f t="shared" ref="D4:O4" si="2">C4+C4*D$31</f>
        <v>0</v>
      </c>
      <c r="E4" s="9">
        <f t="shared" si="2"/>
        <v>0</v>
      </c>
      <c r="F4" s="9">
        <f t="shared" si="2"/>
        <v>0</v>
      </c>
      <c r="G4" s="9">
        <f t="shared" si="2"/>
        <v>0</v>
      </c>
      <c r="H4" s="9">
        <f t="shared" si="2"/>
        <v>0</v>
      </c>
      <c r="I4" s="9">
        <f t="shared" si="2"/>
        <v>0</v>
      </c>
      <c r="J4" s="9">
        <f t="shared" si="2"/>
        <v>0</v>
      </c>
      <c r="K4" s="9">
        <f t="shared" si="2"/>
        <v>0</v>
      </c>
      <c r="L4" s="9">
        <f t="shared" si="2"/>
        <v>0</v>
      </c>
      <c r="M4" s="9">
        <f t="shared" si="2"/>
        <v>0</v>
      </c>
      <c r="N4" s="9">
        <f t="shared" si="2"/>
        <v>0</v>
      </c>
      <c r="O4" s="9">
        <f t="shared" si="2"/>
        <v>0</v>
      </c>
    </row>
    <row r="5" spans="1:15" x14ac:dyDescent="0.3">
      <c r="A5" s="3">
        <v>1504</v>
      </c>
      <c r="B5" s="4" t="str">
        <f>_xlfn.XLOOKUP(A5,'Base Grupo de Produtos'!H:H,'Base Grupo de Produtos'!I:I)</f>
        <v>VENDA INTERNA CE - CONVENIENCIA</v>
      </c>
      <c r="C5" s="45">
        <v>0</v>
      </c>
      <c r="D5" s="9">
        <f t="shared" ref="D5:O5" si="3">C5+C5*D$31</f>
        <v>0</v>
      </c>
      <c r="E5" s="9">
        <f t="shared" si="3"/>
        <v>0</v>
      </c>
      <c r="F5" s="9">
        <f t="shared" si="3"/>
        <v>0</v>
      </c>
      <c r="G5" s="9">
        <f t="shared" si="3"/>
        <v>0</v>
      </c>
      <c r="H5" s="9">
        <f t="shared" si="3"/>
        <v>0</v>
      </c>
      <c r="I5" s="9">
        <f t="shared" si="3"/>
        <v>0</v>
      </c>
      <c r="J5" s="9">
        <f t="shared" si="3"/>
        <v>0</v>
      </c>
      <c r="K5" s="9">
        <f t="shared" si="3"/>
        <v>0</v>
      </c>
      <c r="L5" s="9">
        <f t="shared" si="3"/>
        <v>0</v>
      </c>
      <c r="M5" s="9">
        <f t="shared" si="3"/>
        <v>0</v>
      </c>
      <c r="N5" s="9">
        <f t="shared" si="3"/>
        <v>0</v>
      </c>
      <c r="O5" s="9">
        <f t="shared" si="3"/>
        <v>0</v>
      </c>
    </row>
    <row r="6" spans="1:15" x14ac:dyDescent="0.3">
      <c r="A6" s="3">
        <v>1505</v>
      </c>
      <c r="B6" s="4" t="str">
        <f>_xlfn.XLOOKUP(A6,'Base Grupo de Produtos'!H:H,'Base Grupo de Produtos'!I:I)</f>
        <v>VENDA INTERNA PI - CONVENIENCIA</v>
      </c>
      <c r="C6" s="45">
        <v>0</v>
      </c>
      <c r="D6" s="9">
        <f t="shared" ref="D6:O6" si="4">C6+C6*D$31</f>
        <v>0</v>
      </c>
      <c r="E6" s="9">
        <f t="shared" si="4"/>
        <v>0</v>
      </c>
      <c r="F6" s="9">
        <f t="shared" si="4"/>
        <v>0</v>
      </c>
      <c r="G6" s="9">
        <f t="shared" si="4"/>
        <v>0</v>
      </c>
      <c r="H6" s="9">
        <f t="shared" si="4"/>
        <v>0</v>
      </c>
      <c r="I6" s="9">
        <f t="shared" si="4"/>
        <v>0</v>
      </c>
      <c r="J6" s="9">
        <f t="shared" si="4"/>
        <v>0</v>
      </c>
      <c r="K6" s="9">
        <f t="shared" si="4"/>
        <v>0</v>
      </c>
      <c r="L6" s="9">
        <f t="shared" si="4"/>
        <v>0</v>
      </c>
      <c r="M6" s="9">
        <f t="shared" si="4"/>
        <v>0</v>
      </c>
      <c r="N6" s="9">
        <f t="shared" si="4"/>
        <v>0</v>
      </c>
      <c r="O6" s="9">
        <f t="shared" si="4"/>
        <v>0</v>
      </c>
    </row>
    <row r="7" spans="1:15" x14ac:dyDescent="0.3">
      <c r="A7" s="3">
        <v>1507</v>
      </c>
      <c r="B7" s="4" t="str">
        <f>_xlfn.XLOOKUP(A7,'Base Grupo de Produtos'!H:H,'Base Grupo de Produtos'!I:I)</f>
        <v>VENDA INTERNA PE - CONVENIENCIA</v>
      </c>
      <c r="C7" s="45">
        <v>0</v>
      </c>
      <c r="D7" s="9">
        <f t="shared" ref="D7:O7" si="5">C7+C7*D$31</f>
        <v>0</v>
      </c>
      <c r="E7" s="9">
        <f t="shared" si="5"/>
        <v>0</v>
      </c>
      <c r="F7" s="9">
        <f t="shared" si="5"/>
        <v>0</v>
      </c>
      <c r="G7" s="9">
        <f t="shared" si="5"/>
        <v>0</v>
      </c>
      <c r="H7" s="9">
        <f t="shared" si="5"/>
        <v>0</v>
      </c>
      <c r="I7" s="9">
        <f t="shared" si="5"/>
        <v>0</v>
      </c>
      <c r="J7" s="9">
        <f t="shared" si="5"/>
        <v>0</v>
      </c>
      <c r="K7" s="9">
        <f t="shared" si="5"/>
        <v>0</v>
      </c>
      <c r="L7" s="9">
        <f t="shared" si="5"/>
        <v>0</v>
      </c>
      <c r="M7" s="9">
        <f t="shared" si="5"/>
        <v>0</v>
      </c>
      <c r="N7" s="9">
        <f t="shared" si="5"/>
        <v>0</v>
      </c>
      <c r="O7" s="9">
        <f t="shared" si="5"/>
        <v>0</v>
      </c>
    </row>
    <row r="8" spans="1:15" x14ac:dyDescent="0.3">
      <c r="A8" s="3">
        <v>1508</v>
      </c>
      <c r="B8" s="4" t="str">
        <f>_xlfn.XLOOKUP(A8,'Base Grupo de Produtos'!H:H,'Base Grupo de Produtos'!I:I)</f>
        <v>VENDA INTERNA SE - CONVENIENCIA</v>
      </c>
      <c r="C8" s="45">
        <v>0</v>
      </c>
      <c r="D8" s="9">
        <f t="shared" ref="D8:O8" si="6">C8+C8*D$31</f>
        <v>0</v>
      </c>
      <c r="E8" s="9">
        <f t="shared" si="6"/>
        <v>0</v>
      </c>
      <c r="F8" s="9">
        <f t="shared" si="6"/>
        <v>0</v>
      </c>
      <c r="G8" s="9">
        <f t="shared" si="6"/>
        <v>0</v>
      </c>
      <c r="H8" s="9">
        <f t="shared" si="6"/>
        <v>0</v>
      </c>
      <c r="I8" s="9">
        <f t="shared" si="6"/>
        <v>0</v>
      </c>
      <c r="J8" s="9">
        <f t="shared" si="6"/>
        <v>0</v>
      </c>
      <c r="K8" s="9">
        <f t="shared" si="6"/>
        <v>0</v>
      </c>
      <c r="L8" s="9">
        <f t="shared" si="6"/>
        <v>0</v>
      </c>
      <c r="M8" s="9">
        <f t="shared" si="6"/>
        <v>0</v>
      </c>
      <c r="N8" s="9">
        <f t="shared" si="6"/>
        <v>0</v>
      </c>
      <c r="O8" s="9">
        <f t="shared" si="6"/>
        <v>0</v>
      </c>
    </row>
    <row r="9" spans="1:15" x14ac:dyDescent="0.3">
      <c r="A9" s="3">
        <v>1509</v>
      </c>
      <c r="B9" s="4" t="str">
        <f>_xlfn.XLOOKUP(A9,'Base Grupo de Produtos'!H:H,'Base Grupo de Produtos'!I:I)</f>
        <v>VENDA INTERNA PB - CONVENIENCIA</v>
      </c>
      <c r="C9" s="45">
        <v>0</v>
      </c>
      <c r="D9" s="9">
        <f t="shared" ref="D9:O9" si="7">C9+C9*D$31</f>
        <v>0</v>
      </c>
      <c r="E9" s="9">
        <f t="shared" si="7"/>
        <v>0</v>
      </c>
      <c r="F9" s="9">
        <f t="shared" si="7"/>
        <v>0</v>
      </c>
      <c r="G9" s="9">
        <f t="shared" si="7"/>
        <v>0</v>
      </c>
      <c r="H9" s="9">
        <f t="shared" si="7"/>
        <v>0</v>
      </c>
      <c r="I9" s="9">
        <f t="shared" si="7"/>
        <v>0</v>
      </c>
      <c r="J9" s="9">
        <f t="shared" si="7"/>
        <v>0</v>
      </c>
      <c r="K9" s="9">
        <f t="shared" si="7"/>
        <v>0</v>
      </c>
      <c r="L9" s="9">
        <f t="shared" si="7"/>
        <v>0</v>
      </c>
      <c r="M9" s="9">
        <f t="shared" si="7"/>
        <v>0</v>
      </c>
      <c r="N9" s="9">
        <f t="shared" si="7"/>
        <v>0</v>
      </c>
      <c r="O9" s="9">
        <f t="shared" si="7"/>
        <v>0</v>
      </c>
    </row>
    <row r="10" spans="1:15" x14ac:dyDescent="0.3">
      <c r="A10" s="3">
        <v>1510</v>
      </c>
      <c r="B10" s="4" t="str">
        <f>_xlfn.XLOOKUP(A10,'Base Grupo de Produtos'!H:H,'Base Grupo de Produtos'!I:I)</f>
        <v>VENDA INTERNA BA - CONVENIENCIA</v>
      </c>
      <c r="C10" s="45">
        <v>0</v>
      </c>
      <c r="D10" s="9">
        <f t="shared" ref="D10:O10" si="8">C10+C10*D$31</f>
        <v>0</v>
      </c>
      <c r="E10" s="9">
        <f t="shared" si="8"/>
        <v>0</v>
      </c>
      <c r="F10" s="9">
        <f t="shared" si="8"/>
        <v>0</v>
      </c>
      <c r="G10" s="9">
        <f t="shared" si="8"/>
        <v>0</v>
      </c>
      <c r="H10" s="9">
        <f t="shared" si="8"/>
        <v>0</v>
      </c>
      <c r="I10" s="9">
        <f t="shared" si="8"/>
        <v>0</v>
      </c>
      <c r="J10" s="9">
        <f t="shared" si="8"/>
        <v>0</v>
      </c>
      <c r="K10" s="9">
        <f t="shared" si="8"/>
        <v>0</v>
      </c>
      <c r="L10" s="9">
        <f t="shared" si="8"/>
        <v>0</v>
      </c>
      <c r="M10" s="9">
        <f t="shared" si="8"/>
        <v>0</v>
      </c>
      <c r="N10" s="9">
        <f t="shared" si="8"/>
        <v>0</v>
      </c>
      <c r="O10" s="9">
        <f t="shared" si="8"/>
        <v>0</v>
      </c>
    </row>
    <row r="11" spans="1:15" x14ac:dyDescent="0.3">
      <c r="A11" s="3">
        <v>1511</v>
      </c>
      <c r="B11" s="4" t="str">
        <f>_xlfn.XLOOKUP(A11,'Base Grupo de Produtos'!H:H,'Base Grupo de Produtos'!I:I)</f>
        <v>VENDA INTERNA MA - CONVENIENCIA</v>
      </c>
      <c r="C11" s="45">
        <v>0</v>
      </c>
      <c r="D11" s="9">
        <f t="shared" ref="D11:O11" si="9">C11+C11*D$31</f>
        <v>0</v>
      </c>
      <c r="E11" s="9">
        <f t="shared" si="9"/>
        <v>0</v>
      </c>
      <c r="F11" s="9">
        <f t="shared" si="9"/>
        <v>0</v>
      </c>
      <c r="G11" s="9">
        <f t="shared" si="9"/>
        <v>0</v>
      </c>
      <c r="H11" s="9">
        <f t="shared" si="9"/>
        <v>0</v>
      </c>
      <c r="I11" s="9">
        <f t="shared" si="9"/>
        <v>0</v>
      </c>
      <c r="J11" s="9">
        <f t="shared" si="9"/>
        <v>0</v>
      </c>
      <c r="K11" s="9">
        <f t="shared" si="9"/>
        <v>0</v>
      </c>
      <c r="L11" s="9">
        <f t="shared" si="9"/>
        <v>0</v>
      </c>
      <c r="M11" s="9">
        <f t="shared" si="9"/>
        <v>0</v>
      </c>
      <c r="N11" s="9">
        <f t="shared" si="9"/>
        <v>0</v>
      </c>
      <c r="O11" s="9">
        <f t="shared" si="9"/>
        <v>0</v>
      </c>
    </row>
    <row r="12" spans="1:15" x14ac:dyDescent="0.3">
      <c r="A12" s="3">
        <v>1512</v>
      </c>
      <c r="B12" s="4" t="str">
        <f>_xlfn.XLOOKUP(A12,'Base Grupo de Produtos'!H:H,'Base Grupo de Produtos'!I:I)</f>
        <v>VENDA INTERNA TO - CONVENIENCIA</v>
      </c>
      <c r="C12" s="45">
        <v>0</v>
      </c>
      <c r="D12" s="9">
        <f t="shared" ref="D12:O12" si="10">C12+C12*D$31</f>
        <v>0</v>
      </c>
      <c r="E12" s="9">
        <f t="shared" si="10"/>
        <v>0</v>
      </c>
      <c r="F12" s="9">
        <f t="shared" si="10"/>
        <v>0</v>
      </c>
      <c r="G12" s="9">
        <f t="shared" si="10"/>
        <v>0</v>
      </c>
      <c r="H12" s="9">
        <f t="shared" si="10"/>
        <v>0</v>
      </c>
      <c r="I12" s="9">
        <f t="shared" si="10"/>
        <v>0</v>
      </c>
      <c r="J12" s="9">
        <f t="shared" si="10"/>
        <v>0</v>
      </c>
      <c r="K12" s="9">
        <f t="shared" si="10"/>
        <v>0</v>
      </c>
      <c r="L12" s="9">
        <f t="shared" si="10"/>
        <v>0</v>
      </c>
      <c r="M12" s="9">
        <f t="shared" si="10"/>
        <v>0</v>
      </c>
      <c r="N12" s="9">
        <f t="shared" si="10"/>
        <v>0</v>
      </c>
      <c r="O12" s="9">
        <f t="shared" si="10"/>
        <v>0</v>
      </c>
    </row>
    <row r="13" spans="1:15" x14ac:dyDescent="0.3">
      <c r="A13" s="3">
        <v>1513</v>
      </c>
      <c r="B13" s="4" t="str">
        <f>_xlfn.XLOOKUP(A13,'Base Grupo de Produtos'!H:H,'Base Grupo de Produtos'!I:I)</f>
        <v>VENDA INTERNA RO - CONVENIENCIA</v>
      </c>
      <c r="C13" s="45">
        <v>0</v>
      </c>
      <c r="D13" s="9">
        <f t="shared" ref="D13:O13" si="11">C13+C13*D$31</f>
        <v>0</v>
      </c>
      <c r="E13" s="9">
        <f t="shared" si="11"/>
        <v>0</v>
      </c>
      <c r="F13" s="9">
        <f t="shared" si="11"/>
        <v>0</v>
      </c>
      <c r="G13" s="9">
        <f t="shared" si="11"/>
        <v>0</v>
      </c>
      <c r="H13" s="9">
        <f t="shared" si="11"/>
        <v>0</v>
      </c>
      <c r="I13" s="9">
        <f t="shared" si="11"/>
        <v>0</v>
      </c>
      <c r="J13" s="9">
        <f t="shared" si="11"/>
        <v>0</v>
      </c>
      <c r="K13" s="9">
        <f t="shared" si="11"/>
        <v>0</v>
      </c>
      <c r="L13" s="9">
        <f t="shared" si="11"/>
        <v>0</v>
      </c>
      <c r="M13" s="9">
        <f t="shared" si="11"/>
        <v>0</v>
      </c>
      <c r="N13" s="9">
        <f t="shared" si="11"/>
        <v>0</v>
      </c>
      <c r="O13" s="9">
        <f t="shared" si="11"/>
        <v>0</v>
      </c>
    </row>
    <row r="14" spans="1:15" x14ac:dyDescent="0.3">
      <c r="A14" s="3">
        <v>1514</v>
      </c>
      <c r="B14" s="4" t="str">
        <f>_xlfn.XLOOKUP(A14,'Base Grupo de Produtos'!H:H,'Base Grupo de Produtos'!I:I)</f>
        <v>VENDA INTERNA RR - CONVENIENCIA</v>
      </c>
      <c r="C14" s="45">
        <v>0</v>
      </c>
      <c r="D14" s="9">
        <f t="shared" ref="D14:O14" si="12">C14+C14*D$31</f>
        <v>0</v>
      </c>
      <c r="E14" s="9">
        <f t="shared" si="12"/>
        <v>0</v>
      </c>
      <c r="F14" s="9">
        <f t="shared" si="12"/>
        <v>0</v>
      </c>
      <c r="G14" s="9">
        <f t="shared" si="12"/>
        <v>0</v>
      </c>
      <c r="H14" s="9">
        <f t="shared" si="12"/>
        <v>0</v>
      </c>
      <c r="I14" s="9">
        <f t="shared" si="12"/>
        <v>0</v>
      </c>
      <c r="J14" s="9">
        <f t="shared" si="12"/>
        <v>0</v>
      </c>
      <c r="K14" s="9">
        <f t="shared" si="12"/>
        <v>0</v>
      </c>
      <c r="L14" s="9">
        <f t="shared" si="12"/>
        <v>0</v>
      </c>
      <c r="M14" s="9">
        <f t="shared" si="12"/>
        <v>0</v>
      </c>
      <c r="N14" s="9">
        <f t="shared" si="12"/>
        <v>0</v>
      </c>
      <c r="O14" s="9">
        <f t="shared" si="12"/>
        <v>0</v>
      </c>
    </row>
    <row r="15" spans="1:15" x14ac:dyDescent="0.3">
      <c r="A15" s="3">
        <v>1515</v>
      </c>
      <c r="B15" s="4" t="str">
        <f>_xlfn.XLOOKUP(A15,'Base Grupo de Produtos'!H:H,'Base Grupo de Produtos'!I:I)</f>
        <v>VENDA INTERNA PA - CONVENIENCIA</v>
      </c>
      <c r="C15" s="45">
        <v>0</v>
      </c>
      <c r="D15" s="9">
        <f t="shared" ref="D15:O15" si="13">C15+C15*D$31</f>
        <v>0</v>
      </c>
      <c r="E15" s="9">
        <f t="shared" si="13"/>
        <v>0</v>
      </c>
      <c r="F15" s="9">
        <f t="shared" si="13"/>
        <v>0</v>
      </c>
      <c r="G15" s="9">
        <f t="shared" si="13"/>
        <v>0</v>
      </c>
      <c r="H15" s="9">
        <f t="shared" si="13"/>
        <v>0</v>
      </c>
      <c r="I15" s="9">
        <f t="shared" si="13"/>
        <v>0</v>
      </c>
      <c r="J15" s="9">
        <f t="shared" si="13"/>
        <v>0</v>
      </c>
      <c r="K15" s="9">
        <f t="shared" si="13"/>
        <v>0</v>
      </c>
      <c r="L15" s="9">
        <f t="shared" si="13"/>
        <v>0</v>
      </c>
      <c r="M15" s="9">
        <f t="shared" si="13"/>
        <v>0</v>
      </c>
      <c r="N15" s="9">
        <f t="shared" si="13"/>
        <v>0</v>
      </c>
      <c r="O15" s="9">
        <f t="shared" si="13"/>
        <v>0</v>
      </c>
    </row>
    <row r="16" spans="1:15" x14ac:dyDescent="0.3">
      <c r="A16" s="3">
        <v>1516</v>
      </c>
      <c r="B16" s="4" t="str">
        <f>_xlfn.XLOOKUP(A16,'Base Grupo de Produtos'!H:H,'Base Grupo de Produtos'!I:I)</f>
        <v>VENDA INTERNA AL - CONVENIENCIA</v>
      </c>
      <c r="C16" s="45">
        <v>0</v>
      </c>
      <c r="D16" s="9">
        <f t="shared" ref="D16:O16" si="14">C16+C16*D$31</f>
        <v>0</v>
      </c>
      <c r="E16" s="9">
        <f t="shared" si="14"/>
        <v>0</v>
      </c>
      <c r="F16" s="9">
        <f t="shared" si="14"/>
        <v>0</v>
      </c>
      <c r="G16" s="9">
        <f t="shared" si="14"/>
        <v>0</v>
      </c>
      <c r="H16" s="9">
        <f t="shared" si="14"/>
        <v>0</v>
      </c>
      <c r="I16" s="9">
        <f t="shared" si="14"/>
        <v>0</v>
      </c>
      <c r="J16" s="9">
        <f t="shared" si="14"/>
        <v>0</v>
      </c>
      <c r="K16" s="9">
        <f t="shared" si="14"/>
        <v>0</v>
      </c>
      <c r="L16" s="9">
        <f t="shared" si="14"/>
        <v>0</v>
      </c>
      <c r="M16" s="9">
        <f t="shared" si="14"/>
        <v>0</v>
      </c>
      <c r="N16" s="9">
        <f t="shared" si="14"/>
        <v>0</v>
      </c>
      <c r="O16" s="9">
        <f t="shared" si="14"/>
        <v>0</v>
      </c>
    </row>
    <row r="17" spans="1:15" x14ac:dyDescent="0.3">
      <c r="A17" s="3">
        <v>1517</v>
      </c>
      <c r="B17" s="4" t="str">
        <f>_xlfn.XLOOKUP(A17,'Base Grupo de Produtos'!H:H,'Base Grupo de Produtos'!I:I)</f>
        <v>VENDA INTERNA AM - CONVENIENCIA</v>
      </c>
      <c r="C17" s="45">
        <v>0</v>
      </c>
      <c r="D17" s="9">
        <f t="shared" ref="D17:O17" si="15">C17+C17*D$31</f>
        <v>0</v>
      </c>
      <c r="E17" s="9">
        <f t="shared" si="15"/>
        <v>0</v>
      </c>
      <c r="F17" s="9">
        <f t="shared" si="15"/>
        <v>0</v>
      </c>
      <c r="G17" s="9">
        <f t="shared" si="15"/>
        <v>0</v>
      </c>
      <c r="H17" s="9">
        <f t="shared" si="15"/>
        <v>0</v>
      </c>
      <c r="I17" s="9">
        <f t="shared" si="15"/>
        <v>0</v>
      </c>
      <c r="J17" s="9">
        <f t="shared" si="15"/>
        <v>0</v>
      </c>
      <c r="K17" s="9">
        <f t="shared" si="15"/>
        <v>0</v>
      </c>
      <c r="L17" s="9">
        <f t="shared" si="15"/>
        <v>0</v>
      </c>
      <c r="M17" s="9">
        <f t="shared" si="15"/>
        <v>0</v>
      </c>
      <c r="N17" s="9">
        <f t="shared" si="15"/>
        <v>0</v>
      </c>
      <c r="O17" s="9">
        <f t="shared" si="15"/>
        <v>0</v>
      </c>
    </row>
    <row r="18" spans="1:15" x14ac:dyDescent="0.3">
      <c r="A18" s="3">
        <v>1518</v>
      </c>
      <c r="B18" s="4" t="str">
        <f>_xlfn.XLOOKUP(A18,'Base Grupo de Produtos'!H:H,'Base Grupo de Produtos'!I:I)</f>
        <v>VENDA INTERNA DF - CONVENIENCIA</v>
      </c>
      <c r="C18" s="45">
        <v>0</v>
      </c>
      <c r="D18" s="9">
        <f t="shared" ref="D18:O18" si="16">C18+C18*D$31</f>
        <v>0</v>
      </c>
      <c r="E18" s="9">
        <f t="shared" si="16"/>
        <v>0</v>
      </c>
      <c r="F18" s="9">
        <f t="shared" si="16"/>
        <v>0</v>
      </c>
      <c r="G18" s="9">
        <f t="shared" si="16"/>
        <v>0</v>
      </c>
      <c r="H18" s="9">
        <f t="shared" si="16"/>
        <v>0</v>
      </c>
      <c r="I18" s="9">
        <f t="shared" si="16"/>
        <v>0</v>
      </c>
      <c r="J18" s="9">
        <f t="shared" si="16"/>
        <v>0</v>
      </c>
      <c r="K18" s="9">
        <f t="shared" si="16"/>
        <v>0</v>
      </c>
      <c r="L18" s="9">
        <f t="shared" si="16"/>
        <v>0</v>
      </c>
      <c r="M18" s="9">
        <f t="shared" si="16"/>
        <v>0</v>
      </c>
      <c r="N18" s="9">
        <f t="shared" si="16"/>
        <v>0</v>
      </c>
      <c r="O18" s="9">
        <f t="shared" si="16"/>
        <v>0</v>
      </c>
    </row>
    <row r="19" spans="1:15" x14ac:dyDescent="0.3">
      <c r="A19" s="3">
        <v>1519</v>
      </c>
      <c r="B19" s="4" t="str">
        <f>_xlfn.XLOOKUP(A19,'Base Grupo de Produtos'!H:H,'Base Grupo de Produtos'!I:I)</f>
        <v>VENDA INTERNA MS - CONVENIENCIA</v>
      </c>
      <c r="C19" s="45">
        <v>0</v>
      </c>
      <c r="D19" s="9">
        <f t="shared" ref="D19:O19" si="17">C19+C19*D$31</f>
        <v>0</v>
      </c>
      <c r="E19" s="9">
        <f t="shared" si="17"/>
        <v>0</v>
      </c>
      <c r="F19" s="9">
        <f t="shared" si="17"/>
        <v>0</v>
      </c>
      <c r="G19" s="9">
        <f t="shared" si="17"/>
        <v>0</v>
      </c>
      <c r="H19" s="9">
        <f t="shared" si="17"/>
        <v>0</v>
      </c>
      <c r="I19" s="9">
        <f t="shared" si="17"/>
        <v>0</v>
      </c>
      <c r="J19" s="9">
        <f t="shared" si="17"/>
        <v>0</v>
      </c>
      <c r="K19" s="9">
        <f t="shared" si="17"/>
        <v>0</v>
      </c>
      <c r="L19" s="9">
        <f t="shared" si="17"/>
        <v>0</v>
      </c>
      <c r="M19" s="9">
        <f t="shared" si="17"/>
        <v>0</v>
      </c>
      <c r="N19" s="9">
        <f t="shared" si="17"/>
        <v>0</v>
      </c>
      <c r="O19" s="9">
        <f t="shared" si="17"/>
        <v>0</v>
      </c>
    </row>
    <row r="20" spans="1:15" x14ac:dyDescent="0.3">
      <c r="A20" s="3">
        <v>1520</v>
      </c>
      <c r="B20" s="4" t="str">
        <f>_xlfn.XLOOKUP(A20,'Base Grupo de Produtos'!H:H,'Base Grupo de Produtos'!I:I)</f>
        <v>VENDA INTERNA MT - CONVENIENCIA</v>
      </c>
      <c r="C20" s="45">
        <v>0</v>
      </c>
      <c r="D20" s="9">
        <f t="shared" ref="D20:O20" si="18">C20+C20*D$31</f>
        <v>0</v>
      </c>
      <c r="E20" s="9">
        <f t="shared" si="18"/>
        <v>0</v>
      </c>
      <c r="F20" s="9">
        <f t="shared" si="18"/>
        <v>0</v>
      </c>
      <c r="G20" s="9">
        <f t="shared" si="18"/>
        <v>0</v>
      </c>
      <c r="H20" s="9">
        <f t="shared" si="18"/>
        <v>0</v>
      </c>
      <c r="I20" s="9">
        <f t="shared" si="18"/>
        <v>0</v>
      </c>
      <c r="J20" s="9">
        <f t="shared" si="18"/>
        <v>0</v>
      </c>
      <c r="K20" s="9">
        <f t="shared" si="18"/>
        <v>0</v>
      </c>
      <c r="L20" s="9">
        <f t="shared" si="18"/>
        <v>0</v>
      </c>
      <c r="M20" s="9">
        <f t="shared" si="18"/>
        <v>0</v>
      </c>
      <c r="N20" s="9">
        <f t="shared" si="18"/>
        <v>0</v>
      </c>
      <c r="O20" s="9">
        <f t="shared" si="18"/>
        <v>0</v>
      </c>
    </row>
    <row r="21" spans="1:15" x14ac:dyDescent="0.3">
      <c r="A21" s="3">
        <v>1521</v>
      </c>
      <c r="B21" s="4" t="str">
        <f>_xlfn.XLOOKUP(A21,'Base Grupo de Produtos'!H:H,'Base Grupo de Produtos'!I:I)</f>
        <v>VENDA INTERNA GO - CONVENIENCIA</v>
      </c>
      <c r="C21" s="45">
        <v>0</v>
      </c>
      <c r="D21" s="9">
        <f t="shared" ref="D21:O21" si="19">C21+C21*D$31</f>
        <v>0</v>
      </c>
      <c r="E21" s="9">
        <f t="shared" si="19"/>
        <v>0</v>
      </c>
      <c r="F21" s="9">
        <f t="shared" si="19"/>
        <v>0</v>
      </c>
      <c r="G21" s="9">
        <f t="shared" si="19"/>
        <v>0</v>
      </c>
      <c r="H21" s="9">
        <f t="shared" si="19"/>
        <v>0</v>
      </c>
      <c r="I21" s="9">
        <f t="shared" si="19"/>
        <v>0</v>
      </c>
      <c r="J21" s="9">
        <f t="shared" si="19"/>
        <v>0</v>
      </c>
      <c r="K21" s="9">
        <f t="shared" si="19"/>
        <v>0</v>
      </c>
      <c r="L21" s="9">
        <f t="shared" si="19"/>
        <v>0</v>
      </c>
      <c r="M21" s="9">
        <f t="shared" si="19"/>
        <v>0</v>
      </c>
      <c r="N21" s="9">
        <f t="shared" si="19"/>
        <v>0</v>
      </c>
      <c r="O21" s="9">
        <f t="shared" si="19"/>
        <v>0</v>
      </c>
    </row>
    <row r="22" spans="1:15" x14ac:dyDescent="0.3">
      <c r="A22" s="3">
        <v>1522</v>
      </c>
      <c r="B22" s="4" t="str">
        <f>_xlfn.XLOOKUP(A22,'Base Grupo de Produtos'!H:H,'Base Grupo de Produtos'!I:I)</f>
        <v>VENDA INTERNA ES - CONVENIENCIA</v>
      </c>
      <c r="C22" s="45">
        <v>0</v>
      </c>
      <c r="D22" s="9">
        <f t="shared" ref="D22:O22" si="20">C22+C22*D$31</f>
        <v>0</v>
      </c>
      <c r="E22" s="9">
        <f t="shared" si="20"/>
        <v>0</v>
      </c>
      <c r="F22" s="9">
        <f t="shared" si="20"/>
        <v>0</v>
      </c>
      <c r="G22" s="9">
        <f t="shared" si="20"/>
        <v>0</v>
      </c>
      <c r="H22" s="9">
        <f t="shared" si="20"/>
        <v>0</v>
      </c>
      <c r="I22" s="9">
        <f t="shared" si="20"/>
        <v>0</v>
      </c>
      <c r="J22" s="9">
        <f t="shared" si="20"/>
        <v>0</v>
      </c>
      <c r="K22" s="9">
        <f t="shared" si="20"/>
        <v>0</v>
      </c>
      <c r="L22" s="9">
        <f t="shared" si="20"/>
        <v>0</v>
      </c>
      <c r="M22" s="9">
        <f t="shared" si="20"/>
        <v>0</v>
      </c>
      <c r="N22" s="9">
        <f t="shared" si="20"/>
        <v>0</v>
      </c>
      <c r="O22" s="9">
        <f t="shared" si="20"/>
        <v>0</v>
      </c>
    </row>
    <row r="23" spans="1:15" x14ac:dyDescent="0.3">
      <c r="A23" s="3">
        <v>1523</v>
      </c>
      <c r="B23" s="4" t="str">
        <f>_xlfn.XLOOKUP(A23,'Base Grupo de Produtos'!H:H,'Base Grupo de Produtos'!I:I)</f>
        <v>VENDA INTERNA RJ - CONVENIENCIA</v>
      </c>
      <c r="C23" s="45">
        <v>0</v>
      </c>
      <c r="D23" s="9">
        <f t="shared" ref="D23:O23" si="21">C23+C23*D$31</f>
        <v>0</v>
      </c>
      <c r="E23" s="9">
        <f t="shared" si="21"/>
        <v>0</v>
      </c>
      <c r="F23" s="9">
        <f t="shared" si="21"/>
        <v>0</v>
      </c>
      <c r="G23" s="9">
        <f t="shared" si="21"/>
        <v>0</v>
      </c>
      <c r="H23" s="9">
        <f t="shared" si="21"/>
        <v>0</v>
      </c>
      <c r="I23" s="9">
        <f t="shared" si="21"/>
        <v>0</v>
      </c>
      <c r="J23" s="9">
        <f t="shared" si="21"/>
        <v>0</v>
      </c>
      <c r="K23" s="9">
        <f t="shared" si="21"/>
        <v>0</v>
      </c>
      <c r="L23" s="9">
        <f t="shared" si="21"/>
        <v>0</v>
      </c>
      <c r="M23" s="9">
        <f t="shared" si="21"/>
        <v>0</v>
      </c>
      <c r="N23" s="9">
        <f t="shared" si="21"/>
        <v>0</v>
      </c>
      <c r="O23" s="9">
        <f t="shared" si="21"/>
        <v>0</v>
      </c>
    </row>
    <row r="24" spans="1:15" x14ac:dyDescent="0.3">
      <c r="A24" s="3">
        <v>1524</v>
      </c>
      <c r="B24" s="4" t="str">
        <f>_xlfn.XLOOKUP(A24,'Base Grupo de Produtos'!H:H,'Base Grupo de Produtos'!I:I)</f>
        <v>VENDA INTERNA MG - CONVENIENCIA</v>
      </c>
      <c r="C24" s="45">
        <v>3</v>
      </c>
      <c r="D24" s="9">
        <f t="shared" ref="D24:O24" si="22">C24+C24*D$31</f>
        <v>3</v>
      </c>
      <c r="E24" s="9">
        <f t="shared" si="22"/>
        <v>3</v>
      </c>
      <c r="F24" s="9">
        <f t="shared" si="22"/>
        <v>3</v>
      </c>
      <c r="G24" s="9">
        <f t="shared" si="22"/>
        <v>5.1428571428571423</v>
      </c>
      <c r="H24" s="9">
        <f t="shared" si="22"/>
        <v>7.2857142857142856</v>
      </c>
      <c r="I24" s="9">
        <f t="shared" si="22"/>
        <v>9.4285714285714288</v>
      </c>
      <c r="J24" s="9">
        <f t="shared" si="22"/>
        <v>11.571428571428573</v>
      </c>
      <c r="K24" s="9">
        <f t="shared" si="22"/>
        <v>13.714285714285715</v>
      </c>
      <c r="L24" s="9">
        <f t="shared" si="22"/>
        <v>15.857142857142858</v>
      </c>
      <c r="M24" s="9">
        <f t="shared" si="22"/>
        <v>18</v>
      </c>
      <c r="N24" s="9">
        <f t="shared" si="22"/>
        <v>20.142857142857142</v>
      </c>
      <c r="O24" s="9">
        <f t="shared" si="22"/>
        <v>22.285714285714285</v>
      </c>
    </row>
    <row r="25" spans="1:15" x14ac:dyDescent="0.3">
      <c r="A25" s="3">
        <v>1525</v>
      </c>
      <c r="B25" s="4" t="str">
        <f>_xlfn.XLOOKUP(A25,'Base Grupo de Produtos'!H:H,'Base Grupo de Produtos'!I:I)</f>
        <v>VENDA INTERNA SP CAPITAL - CONVENIENCIA</v>
      </c>
      <c r="C25" s="45">
        <v>3</v>
      </c>
      <c r="D25" s="9">
        <f t="shared" ref="D25:O25" si="23">C25+C25*D$31</f>
        <v>3</v>
      </c>
      <c r="E25" s="9">
        <f t="shared" si="23"/>
        <v>3</v>
      </c>
      <c r="F25" s="9">
        <f t="shared" si="23"/>
        <v>3</v>
      </c>
      <c r="G25" s="9">
        <f t="shared" si="23"/>
        <v>5.1428571428571423</v>
      </c>
      <c r="H25" s="9">
        <f t="shared" si="23"/>
        <v>7.2857142857142856</v>
      </c>
      <c r="I25" s="9">
        <f t="shared" si="23"/>
        <v>9.4285714285714288</v>
      </c>
      <c r="J25" s="9">
        <f t="shared" si="23"/>
        <v>11.571428571428573</v>
      </c>
      <c r="K25" s="9">
        <f t="shared" si="23"/>
        <v>13.714285714285715</v>
      </c>
      <c r="L25" s="9">
        <f t="shared" si="23"/>
        <v>15.857142857142858</v>
      </c>
      <c r="M25" s="9">
        <f t="shared" si="23"/>
        <v>18</v>
      </c>
      <c r="N25" s="9">
        <f t="shared" si="23"/>
        <v>20.142857142857142</v>
      </c>
      <c r="O25" s="9">
        <f t="shared" si="23"/>
        <v>22.285714285714285</v>
      </c>
    </row>
    <row r="26" spans="1:15" x14ac:dyDescent="0.3">
      <c r="A26" s="3">
        <v>1526</v>
      </c>
      <c r="B26" s="4" t="str">
        <f>_xlfn.XLOOKUP(A26,'Base Grupo de Produtos'!H:H,'Base Grupo de Produtos'!I:I)</f>
        <v>VENDA INTERNA SP INTERIOR - CONVENIENCIA</v>
      </c>
      <c r="C26" s="45">
        <v>0</v>
      </c>
      <c r="D26" s="9">
        <f t="shared" ref="D26:O26" si="24">C26+C26*D$31</f>
        <v>0</v>
      </c>
      <c r="E26" s="9">
        <f t="shared" si="24"/>
        <v>0</v>
      </c>
      <c r="F26" s="9">
        <f t="shared" si="24"/>
        <v>0</v>
      </c>
      <c r="G26" s="9">
        <f t="shared" si="24"/>
        <v>0</v>
      </c>
      <c r="H26" s="9">
        <f t="shared" si="24"/>
        <v>0</v>
      </c>
      <c r="I26" s="9">
        <f t="shared" si="24"/>
        <v>0</v>
      </c>
      <c r="J26" s="9">
        <f t="shared" si="24"/>
        <v>0</v>
      </c>
      <c r="K26" s="9">
        <f t="shared" si="24"/>
        <v>0</v>
      </c>
      <c r="L26" s="9">
        <f t="shared" si="24"/>
        <v>0</v>
      </c>
      <c r="M26" s="9">
        <f t="shared" si="24"/>
        <v>0</v>
      </c>
      <c r="N26" s="9">
        <f t="shared" si="24"/>
        <v>0</v>
      </c>
      <c r="O26" s="9">
        <f t="shared" si="24"/>
        <v>0</v>
      </c>
    </row>
    <row r="27" spans="1:15" x14ac:dyDescent="0.3">
      <c r="A27" s="3">
        <v>1532</v>
      </c>
      <c r="B27" s="4" t="s">
        <v>368</v>
      </c>
      <c r="C27" s="45">
        <v>0</v>
      </c>
      <c r="D27" s="9">
        <f t="shared" ref="D27" si="25">C27+C27*D$31</f>
        <v>0</v>
      </c>
      <c r="E27" s="9">
        <f t="shared" ref="E27" si="26">D27+D27*E$31</f>
        <v>0</v>
      </c>
      <c r="F27" s="9">
        <f t="shared" ref="F27" si="27">E27+E27*F$31</f>
        <v>0</v>
      </c>
      <c r="G27" s="9">
        <f t="shared" ref="G27" si="28">F27+F27*G$31</f>
        <v>0</v>
      </c>
      <c r="H27" s="9">
        <f t="shared" ref="H27" si="29">G27+G27*H$31</f>
        <v>0</v>
      </c>
      <c r="I27" s="9">
        <f t="shared" ref="I27" si="30">H27+H27*I$31</f>
        <v>0</v>
      </c>
      <c r="J27" s="9">
        <f t="shared" ref="J27" si="31">I27+I27*J$31</f>
        <v>0</v>
      </c>
      <c r="K27" s="9">
        <f t="shared" ref="K27" si="32">J27+J27*K$31</f>
        <v>0</v>
      </c>
      <c r="L27" s="9">
        <f t="shared" ref="L27" si="33">K27+K27*L$31</f>
        <v>0</v>
      </c>
      <c r="M27" s="9">
        <f t="shared" ref="M27" si="34">L27+L27*M$31</f>
        <v>0</v>
      </c>
      <c r="N27" s="9">
        <f t="shared" ref="N27" si="35">M27+M27*N$31</f>
        <v>0</v>
      </c>
      <c r="O27" s="9">
        <f t="shared" ref="O27" si="36">N27+N27*O$31</f>
        <v>0</v>
      </c>
    </row>
    <row r="28" spans="1:15" x14ac:dyDescent="0.3">
      <c r="A28" s="3">
        <v>1528</v>
      </c>
      <c r="B28" s="4" t="str">
        <f>_xlfn.XLOOKUP(A28,'Base Grupo de Produtos'!H:H,'Base Grupo de Produtos'!I:I)</f>
        <v>VENDA INTERNA RS - CONVENIENCIA</v>
      </c>
      <c r="C28" s="45">
        <v>5</v>
      </c>
      <c r="D28" s="9">
        <f t="shared" ref="D28:O28" si="37">C28+C28*D$31</f>
        <v>5</v>
      </c>
      <c r="E28" s="9">
        <f t="shared" si="37"/>
        <v>5</v>
      </c>
      <c r="F28" s="9">
        <f t="shared" si="37"/>
        <v>5</v>
      </c>
      <c r="G28" s="9">
        <f t="shared" si="37"/>
        <v>8.5714285714285712</v>
      </c>
      <c r="H28" s="9">
        <f t="shared" si="37"/>
        <v>12.142857142857142</v>
      </c>
      <c r="I28" s="9">
        <f t="shared" si="37"/>
        <v>15.714285714285715</v>
      </c>
      <c r="J28" s="9">
        <f t="shared" si="37"/>
        <v>19.285714285714288</v>
      </c>
      <c r="K28" s="9">
        <f t="shared" si="37"/>
        <v>22.857142857142858</v>
      </c>
      <c r="L28" s="9">
        <f t="shared" si="37"/>
        <v>26.428571428571431</v>
      </c>
      <c r="M28" s="9">
        <f t="shared" si="37"/>
        <v>30</v>
      </c>
      <c r="N28" s="9">
        <f t="shared" si="37"/>
        <v>33.571428571428569</v>
      </c>
      <c r="O28" s="9">
        <f t="shared" si="37"/>
        <v>37.142857142857139</v>
      </c>
    </row>
    <row r="29" spans="1:15" x14ac:dyDescent="0.3">
      <c r="A29" s="3">
        <v>1530</v>
      </c>
      <c r="B29" s="4" t="str">
        <f>_xlfn.XLOOKUP(A29,'Base Grupo de Produtos'!H:H,'Base Grupo de Produtos'!I:I)</f>
        <v>VENDA INTERNA SC - CONVENIENCIA</v>
      </c>
      <c r="C29" s="45">
        <v>3</v>
      </c>
      <c r="D29" s="9">
        <f t="shared" ref="D29:O29" si="38">C29+C29*D$31</f>
        <v>3</v>
      </c>
      <c r="E29" s="9">
        <f t="shared" si="38"/>
        <v>3</v>
      </c>
      <c r="F29" s="9">
        <f t="shared" si="38"/>
        <v>3</v>
      </c>
      <c r="G29" s="9">
        <f t="shared" si="38"/>
        <v>5.1428571428571423</v>
      </c>
      <c r="H29" s="9">
        <f t="shared" si="38"/>
        <v>7.2857142857142856</v>
      </c>
      <c r="I29" s="9">
        <f t="shared" si="38"/>
        <v>9.4285714285714288</v>
      </c>
      <c r="J29" s="9">
        <f t="shared" si="38"/>
        <v>11.571428571428573</v>
      </c>
      <c r="K29" s="9">
        <f t="shared" si="38"/>
        <v>13.714285714285715</v>
      </c>
      <c r="L29" s="9">
        <f t="shared" si="38"/>
        <v>15.857142857142858</v>
      </c>
      <c r="M29" s="9">
        <f t="shared" si="38"/>
        <v>18</v>
      </c>
      <c r="N29" s="9">
        <f t="shared" si="38"/>
        <v>20.142857142857142</v>
      </c>
      <c r="O29" s="9">
        <f t="shared" si="38"/>
        <v>22.285714285714285</v>
      </c>
    </row>
    <row r="30" spans="1:15" x14ac:dyDescent="0.3">
      <c r="A30" s="95" t="s">
        <v>202</v>
      </c>
      <c r="B30" s="96"/>
      <c r="C30" s="43">
        <f>SUM(C2:C29)</f>
        <v>14</v>
      </c>
      <c r="D30" s="43">
        <f>C30</f>
        <v>14</v>
      </c>
      <c r="E30" s="43">
        <f t="shared" ref="E30:F30" si="39">D30</f>
        <v>14</v>
      </c>
      <c r="F30" s="43">
        <f t="shared" si="39"/>
        <v>14</v>
      </c>
      <c r="G30" s="43">
        <f>F30+10</f>
        <v>24</v>
      </c>
      <c r="H30" s="43">
        <f t="shared" ref="H30:O30" si="40">G30+10</f>
        <v>34</v>
      </c>
      <c r="I30" s="43">
        <f t="shared" si="40"/>
        <v>44</v>
      </c>
      <c r="J30" s="43">
        <f t="shared" si="40"/>
        <v>54</v>
      </c>
      <c r="K30" s="43">
        <f t="shared" si="40"/>
        <v>64</v>
      </c>
      <c r="L30" s="43">
        <f t="shared" si="40"/>
        <v>74</v>
      </c>
      <c r="M30" s="43">
        <f t="shared" si="40"/>
        <v>84</v>
      </c>
      <c r="N30" s="43">
        <f t="shared" si="40"/>
        <v>94</v>
      </c>
      <c r="O30" s="43">
        <f t="shared" si="40"/>
        <v>104</v>
      </c>
    </row>
    <row r="31" spans="1:15" x14ac:dyDescent="0.3">
      <c r="A31" s="95" t="s">
        <v>206</v>
      </c>
      <c r="B31" s="96"/>
      <c r="C31" s="4"/>
      <c r="D31" s="46">
        <f t="shared" ref="D31:O31" si="41">D30/C30-1</f>
        <v>0</v>
      </c>
      <c r="E31" s="46">
        <f t="shared" si="41"/>
        <v>0</v>
      </c>
      <c r="F31" s="46">
        <f t="shared" si="41"/>
        <v>0</v>
      </c>
      <c r="G31" s="46">
        <f t="shared" si="41"/>
        <v>0.71428571428571419</v>
      </c>
      <c r="H31" s="46">
        <f t="shared" si="41"/>
        <v>0.41666666666666674</v>
      </c>
      <c r="I31" s="46">
        <f t="shared" si="41"/>
        <v>0.29411764705882359</v>
      </c>
      <c r="J31" s="46">
        <f t="shared" si="41"/>
        <v>0.22727272727272729</v>
      </c>
      <c r="K31" s="46">
        <f t="shared" si="41"/>
        <v>0.18518518518518512</v>
      </c>
      <c r="L31" s="46">
        <f t="shared" si="41"/>
        <v>0.15625</v>
      </c>
      <c r="M31" s="46">
        <f t="shared" si="41"/>
        <v>0.13513513513513509</v>
      </c>
      <c r="N31" s="46">
        <f t="shared" si="41"/>
        <v>0.11904761904761907</v>
      </c>
      <c r="O31" s="46">
        <f t="shared" si="41"/>
        <v>0.1063829787234043</v>
      </c>
    </row>
    <row r="32" spans="1:15" hidden="1" x14ac:dyDescent="0.3">
      <c r="A32" s="95" t="s">
        <v>207</v>
      </c>
      <c r="B32" s="96"/>
      <c r="C32" s="4"/>
      <c r="D32" s="46"/>
      <c r="E32" s="46">
        <f>SUM($D$31:E31)</f>
        <v>0</v>
      </c>
      <c r="F32" s="46">
        <f>SUM($D$31:F31)</f>
        <v>0</v>
      </c>
      <c r="G32" s="46">
        <f>SUM($D$31:G31)</f>
        <v>0.71428571428571419</v>
      </c>
      <c r="H32" s="46">
        <f>SUM($D$31:H31)</f>
        <v>1.1309523809523809</v>
      </c>
      <c r="I32" s="46">
        <f>SUM($D$31:I31)</f>
        <v>1.4250700280112045</v>
      </c>
      <c r="J32" s="46">
        <f>SUM($D$31:J31)</f>
        <v>1.6523427552839318</v>
      </c>
      <c r="K32" s="46">
        <f>SUM($D$31:K31)</f>
        <v>1.8375279404691169</v>
      </c>
      <c r="L32" s="46">
        <f>SUM($D$31:L31)</f>
        <v>1.9937779404691169</v>
      </c>
      <c r="M32" s="46">
        <f>SUM($D$31:M31)</f>
        <v>2.128913075604252</v>
      </c>
      <c r="N32" s="46">
        <f>SUM($D$31:N31)</f>
        <v>2.2479606946518711</v>
      </c>
      <c r="O32" s="46">
        <f>SUM($D$31:O31)</f>
        <v>2.3543436733752756</v>
      </c>
    </row>
    <row r="33" spans="1:15" hidden="1" x14ac:dyDescent="0.3">
      <c r="A33" s="95" t="s">
        <v>201</v>
      </c>
      <c r="B33" s="96"/>
      <c r="C33" s="4"/>
      <c r="D33" s="47">
        <v>0.06</v>
      </c>
      <c r="E33" s="47">
        <v>0.06</v>
      </c>
      <c r="F33" s="47">
        <v>7.0000000000000007E-2</v>
      </c>
      <c r="G33" s="47">
        <v>7.0000000000000007E-2</v>
      </c>
      <c r="H33" s="47">
        <v>0.08</v>
      </c>
      <c r="I33" s="47">
        <v>0.09</v>
      </c>
      <c r="J33" s="47">
        <v>0.09</v>
      </c>
      <c r="K33" s="47">
        <v>0.09</v>
      </c>
      <c r="L33" s="47">
        <v>0.11</v>
      </c>
      <c r="M33" s="47">
        <v>0.11</v>
      </c>
      <c r="N33" s="47">
        <v>0.11</v>
      </c>
      <c r="O33" s="47">
        <v>0.06</v>
      </c>
    </row>
    <row r="34" spans="1:15" hidden="1" x14ac:dyDescent="0.3">
      <c r="A34" s="95" t="s">
        <v>204</v>
      </c>
      <c r="B34" s="96"/>
      <c r="C34" s="4"/>
      <c r="D34" s="46">
        <v>1.49E-2</v>
      </c>
      <c r="E34" s="46">
        <f t="shared" ref="E34:O34" si="42">E31+((E32-E31)*E36)</f>
        <v>0</v>
      </c>
      <c r="F34" s="46">
        <f t="shared" si="42"/>
        <v>0</v>
      </c>
      <c r="G34" s="46">
        <f t="shared" si="42"/>
        <v>0.71428571428571419</v>
      </c>
      <c r="H34" s="46">
        <f t="shared" si="42"/>
        <v>0.70238095238095244</v>
      </c>
      <c r="I34" s="46">
        <f t="shared" si="42"/>
        <v>0.74649859943977592</v>
      </c>
      <c r="J34" s="46">
        <f t="shared" si="42"/>
        <v>0.79730073847720917</v>
      </c>
      <c r="K34" s="46">
        <f t="shared" si="42"/>
        <v>0.84612228729875794</v>
      </c>
      <c r="L34" s="46">
        <f t="shared" si="42"/>
        <v>0.89126117618764678</v>
      </c>
      <c r="M34" s="46">
        <f t="shared" si="42"/>
        <v>0.93264631132278186</v>
      </c>
      <c r="N34" s="46">
        <f t="shared" si="42"/>
        <v>0.9706128492893199</v>
      </c>
      <c r="O34" s="46">
        <f t="shared" si="42"/>
        <v>1.0055672565841527</v>
      </c>
    </row>
    <row r="35" spans="1:15" hidden="1" x14ac:dyDescent="0.3">
      <c r="A35" s="95" t="s">
        <v>205</v>
      </c>
      <c r="B35" s="96" t="s">
        <v>199</v>
      </c>
      <c r="C35" s="4"/>
      <c r="D35" s="46">
        <f>SUM(D34,D33)</f>
        <v>7.4899999999999994E-2</v>
      </c>
      <c r="E35" s="46">
        <f>SUM(E34,E33)</f>
        <v>0.06</v>
      </c>
      <c r="F35" s="46">
        <f t="shared" ref="F35:O35" si="43">SUM(F34,F33)</f>
        <v>7.0000000000000007E-2</v>
      </c>
      <c r="G35" s="46">
        <f t="shared" si="43"/>
        <v>0.78428571428571425</v>
      </c>
      <c r="H35" s="46">
        <f t="shared" si="43"/>
        <v>0.7823809523809524</v>
      </c>
      <c r="I35" s="46">
        <f t="shared" si="43"/>
        <v>0.83649859943977589</v>
      </c>
      <c r="J35" s="46">
        <f t="shared" si="43"/>
        <v>0.88730073847720914</v>
      </c>
      <c r="K35" s="46">
        <f t="shared" si="43"/>
        <v>0.9361222872987579</v>
      </c>
      <c r="L35" s="46">
        <f t="shared" si="43"/>
        <v>1.0012611761876469</v>
      </c>
      <c r="M35" s="46">
        <f t="shared" si="43"/>
        <v>1.042646311322782</v>
      </c>
      <c r="N35" s="46">
        <f t="shared" si="43"/>
        <v>1.0806128492893199</v>
      </c>
      <c r="O35" s="46">
        <f t="shared" si="43"/>
        <v>1.0655672565841527</v>
      </c>
    </row>
    <row r="36" spans="1:15" x14ac:dyDescent="0.3">
      <c r="A36" s="95" t="s">
        <v>203</v>
      </c>
      <c r="B36" s="96"/>
      <c r="C36" s="4"/>
      <c r="D36" s="47">
        <v>0</v>
      </c>
      <c r="E36" s="47">
        <v>0</v>
      </c>
      <c r="F36" s="47">
        <v>0</v>
      </c>
      <c r="G36" s="47">
        <v>0.4</v>
      </c>
      <c r="H36" s="47">
        <v>0.4</v>
      </c>
      <c r="I36" s="47">
        <v>0.4</v>
      </c>
      <c r="J36" s="47">
        <v>0.4</v>
      </c>
      <c r="K36" s="47">
        <v>0.4</v>
      </c>
      <c r="L36" s="47">
        <v>0.4</v>
      </c>
      <c r="M36" s="47">
        <v>0.4</v>
      </c>
      <c r="N36" s="47">
        <v>0.4</v>
      </c>
      <c r="O36" s="47">
        <v>0.4</v>
      </c>
    </row>
    <row r="37" spans="1:15" x14ac:dyDescent="0.3">
      <c r="A37" s="95" t="s">
        <v>211</v>
      </c>
      <c r="B37" s="96"/>
      <c r="C37" s="4"/>
      <c r="D37" s="49">
        <v>800</v>
      </c>
      <c r="E37" s="49">
        <v>800</v>
      </c>
      <c r="F37" s="49">
        <v>800</v>
      </c>
      <c r="G37" s="49">
        <v>800</v>
      </c>
      <c r="H37" s="49">
        <v>800</v>
      </c>
      <c r="I37" s="49">
        <v>800</v>
      </c>
      <c r="J37" s="49">
        <v>800</v>
      </c>
      <c r="K37" s="49">
        <v>800</v>
      </c>
      <c r="L37" s="49">
        <v>800</v>
      </c>
      <c r="M37" s="49">
        <v>800</v>
      </c>
      <c r="N37" s="49">
        <v>800</v>
      </c>
      <c r="O37" s="49">
        <v>800</v>
      </c>
    </row>
    <row r="38" spans="1:15" x14ac:dyDescent="0.3">
      <c r="A38" s="95" t="s">
        <v>212</v>
      </c>
      <c r="B38" s="96" t="s">
        <v>208</v>
      </c>
      <c r="C38" s="50"/>
      <c r="D38" s="51">
        <f>D36*D30</f>
        <v>0</v>
      </c>
      <c r="E38" s="51">
        <f t="shared" ref="E38:O38" si="44">E36*E30</f>
        <v>0</v>
      </c>
      <c r="F38" s="51">
        <f t="shared" si="44"/>
        <v>0</v>
      </c>
      <c r="G38" s="51">
        <f>G36*G30</f>
        <v>9.6000000000000014</v>
      </c>
      <c r="H38" s="51">
        <f t="shared" si="44"/>
        <v>13.600000000000001</v>
      </c>
      <c r="I38" s="51">
        <f t="shared" si="44"/>
        <v>17.600000000000001</v>
      </c>
      <c r="J38" s="51">
        <f t="shared" si="44"/>
        <v>21.6</v>
      </c>
      <c r="K38" s="51">
        <f t="shared" si="44"/>
        <v>25.6</v>
      </c>
      <c r="L38" s="51">
        <f t="shared" si="44"/>
        <v>29.6</v>
      </c>
      <c r="M38" s="51">
        <f t="shared" si="44"/>
        <v>33.6</v>
      </c>
      <c r="N38" s="51">
        <f t="shared" si="44"/>
        <v>37.6</v>
      </c>
      <c r="O38" s="51">
        <f t="shared" si="44"/>
        <v>41.6</v>
      </c>
    </row>
    <row r="39" spans="1:15" hidden="1" x14ac:dyDescent="0.3">
      <c r="A39" s="95" t="s">
        <v>213</v>
      </c>
      <c r="B39" s="96" t="s">
        <v>209</v>
      </c>
      <c r="C39" s="4"/>
      <c r="D39" s="49">
        <f>D38*D37</f>
        <v>0</v>
      </c>
      <c r="E39" s="49">
        <f t="shared" ref="E39:O39" si="45">E38*E37</f>
        <v>0</v>
      </c>
      <c r="F39" s="49">
        <f t="shared" si="45"/>
        <v>0</v>
      </c>
      <c r="G39" s="52">
        <f>G38*G37</f>
        <v>7680.0000000000009</v>
      </c>
      <c r="H39" s="52">
        <f t="shared" si="45"/>
        <v>10880.000000000002</v>
      </c>
      <c r="I39" s="52">
        <f>I38*I37</f>
        <v>14080.000000000002</v>
      </c>
      <c r="J39" s="52">
        <f t="shared" si="45"/>
        <v>17280</v>
      </c>
      <c r="K39" s="52">
        <f t="shared" si="45"/>
        <v>20480</v>
      </c>
      <c r="L39" s="52">
        <f t="shared" si="45"/>
        <v>23680</v>
      </c>
      <c r="M39" s="52">
        <f t="shared" si="45"/>
        <v>26880</v>
      </c>
      <c r="N39" s="52">
        <f t="shared" si="45"/>
        <v>30080</v>
      </c>
      <c r="O39" s="52">
        <f t="shared" si="45"/>
        <v>33280</v>
      </c>
    </row>
    <row r="40" spans="1:15" hidden="1" x14ac:dyDescent="0.3">
      <c r="B40" t="s">
        <v>210</v>
      </c>
      <c r="D40" s="48" t="e">
        <f>#REF!*D42</f>
        <v>#REF!</v>
      </c>
      <c r="E40" s="48" t="e">
        <f>#REF!*E42</f>
        <v>#REF!</v>
      </c>
      <c r="F40" s="48" t="e">
        <f>#REF!*F42</f>
        <v>#REF!</v>
      </c>
      <c r="G40" s="48" t="e">
        <f>#REF!*G42</f>
        <v>#REF!</v>
      </c>
      <c r="H40" s="48" t="e">
        <f>#REF!*H42</f>
        <v>#REF!</v>
      </c>
      <c r="I40" s="48" t="e">
        <f>#REF!*I42</f>
        <v>#REF!</v>
      </c>
      <c r="J40" s="48" t="e">
        <f>#REF!*J42</f>
        <v>#REF!</v>
      </c>
      <c r="K40" s="48" t="e">
        <f>#REF!*K42</f>
        <v>#REF!</v>
      </c>
      <c r="L40" s="48" t="e">
        <f>#REF!*L42</f>
        <v>#REF!</v>
      </c>
      <c r="M40" s="48" t="e">
        <f>#REF!*M42</f>
        <v>#REF!</v>
      </c>
      <c r="N40" s="48" t="e">
        <f>#REF!*N42</f>
        <v>#REF!</v>
      </c>
      <c r="O40" s="48" t="e">
        <f>#REF!*O42</f>
        <v>#REF!</v>
      </c>
    </row>
    <row r="41" spans="1:15" hidden="1" x14ac:dyDescent="0.3">
      <c r="G41" s="53" t="e">
        <f>G39/#REF!</f>
        <v>#REF!</v>
      </c>
      <c r="H41" s="53" t="e">
        <f>H39/#REF!</f>
        <v>#REF!</v>
      </c>
      <c r="I41" s="53" t="e">
        <f>I39/#REF!</f>
        <v>#REF!</v>
      </c>
      <c r="J41" s="53" t="e">
        <f>J39/#REF!</f>
        <v>#REF!</v>
      </c>
      <c r="K41" s="53" t="e">
        <f>K39/#REF!</f>
        <v>#REF!</v>
      </c>
      <c r="L41" s="53" t="e">
        <f>L39/#REF!</f>
        <v>#REF!</v>
      </c>
      <c r="M41" s="53" t="e">
        <f>M39/#REF!</f>
        <v>#REF!</v>
      </c>
      <c r="N41" s="53" t="e">
        <f>N39/#REF!</f>
        <v>#REF!</v>
      </c>
      <c r="O41" s="53" t="e">
        <f>O39/#REF!</f>
        <v>#REF!</v>
      </c>
    </row>
    <row r="42" spans="1:15" hidden="1" x14ac:dyDescent="0.3">
      <c r="D42" s="44">
        <f>D35/SUM($D$35:$O$35)</f>
        <v>8.6875069009134404E-3</v>
      </c>
      <c r="E42" s="44">
        <f t="shared" ref="E42:O42" si="46">E35/SUM($D$35:$O$35)</f>
        <v>6.9592845668198467E-3</v>
      </c>
      <c r="F42" s="44">
        <f t="shared" si="46"/>
        <v>8.1191653279564877E-3</v>
      </c>
      <c r="G42" s="44">
        <f t="shared" si="46"/>
        <v>9.0967791123430841E-2</v>
      </c>
      <c r="H42" s="44">
        <f t="shared" si="46"/>
        <v>9.0746861454642919E-2</v>
      </c>
      <c r="I42" s="44">
        <f t="shared" si="46"/>
        <v>9.7023863220794149E-2</v>
      </c>
      <c r="J42" s="44">
        <f t="shared" si="46"/>
        <v>0.10291630559020491</v>
      </c>
      <c r="K42" s="44">
        <f t="shared" si="46"/>
        <v>0.10857902311090567</v>
      </c>
      <c r="L42" s="44">
        <f t="shared" si="46"/>
        <v>0.11613435751330964</v>
      </c>
      <c r="M42" s="44">
        <f t="shared" si="46"/>
        <v>0.12093453971733796</v>
      </c>
      <c r="N42" s="44">
        <f t="shared" si="46"/>
        <v>0.12533820541277307</v>
      </c>
      <c r="O42" s="44">
        <f t="shared" si="46"/>
        <v>0.12359309606091096</v>
      </c>
    </row>
    <row r="43" spans="1:15" hidden="1" x14ac:dyDescent="0.3"/>
    <row r="45" spans="1:15" x14ac:dyDescent="0.3">
      <c r="A45" s="22" t="s">
        <v>55</v>
      </c>
      <c r="B45" s="22" t="s">
        <v>119</v>
      </c>
      <c r="C45" s="22" t="s">
        <v>218</v>
      </c>
      <c r="D45" s="43" t="s">
        <v>63</v>
      </c>
      <c r="E45" s="43" t="s">
        <v>64</v>
      </c>
      <c r="F45" s="43" t="s">
        <v>65</v>
      </c>
      <c r="G45" s="43" t="s">
        <v>66</v>
      </c>
      <c r="H45" s="43" t="s">
        <v>67</v>
      </c>
      <c r="I45" s="43" t="s">
        <v>68</v>
      </c>
      <c r="J45" s="43" t="s">
        <v>69</v>
      </c>
      <c r="K45" s="43" t="s">
        <v>70</v>
      </c>
      <c r="L45" s="43" t="s">
        <v>71</v>
      </c>
      <c r="M45" s="43" t="s">
        <v>72</v>
      </c>
      <c r="N45" s="43" t="s">
        <v>73</v>
      </c>
      <c r="O45" s="43" t="s">
        <v>74</v>
      </c>
    </row>
    <row r="46" spans="1:15" x14ac:dyDescent="0.3">
      <c r="A46" s="3">
        <f t="shared" ref="A46:A70" si="47">A2</f>
        <v>1501</v>
      </c>
      <c r="B46" s="4" t="str">
        <f>_xlfn.XLOOKUP(A46,'Base Grupo de Produtos'!H:H,'Base Grupo de Produtos'!I:I)</f>
        <v>VENDA INTERNA PR - CONVENIENCIA</v>
      </c>
      <c r="C46" s="9">
        <f t="shared" ref="C46:O46" si="48">ROUNDUP(C2*C$36,0)</f>
        <v>0</v>
      </c>
      <c r="D46" s="9">
        <f t="shared" si="48"/>
        <v>0</v>
      </c>
      <c r="E46" s="9">
        <f t="shared" si="48"/>
        <v>0</v>
      </c>
      <c r="F46" s="9">
        <f t="shared" si="48"/>
        <v>0</v>
      </c>
      <c r="G46" s="9">
        <f t="shared" si="48"/>
        <v>0</v>
      </c>
      <c r="H46" s="9">
        <f t="shared" si="48"/>
        <v>0</v>
      </c>
      <c r="I46" s="9">
        <f t="shared" si="48"/>
        <v>0</v>
      </c>
      <c r="J46" s="9">
        <f t="shared" si="48"/>
        <v>0</v>
      </c>
      <c r="K46" s="9">
        <f t="shared" si="48"/>
        <v>0</v>
      </c>
      <c r="L46" s="9">
        <f t="shared" si="48"/>
        <v>0</v>
      </c>
      <c r="M46" s="9">
        <f t="shared" si="48"/>
        <v>0</v>
      </c>
      <c r="N46" s="9">
        <f t="shared" si="48"/>
        <v>0</v>
      </c>
      <c r="O46" s="9">
        <f t="shared" si="48"/>
        <v>0</v>
      </c>
    </row>
    <row r="47" spans="1:15" x14ac:dyDescent="0.3">
      <c r="A47" s="3">
        <f t="shared" si="47"/>
        <v>1502</v>
      </c>
      <c r="B47" s="4" t="str">
        <f>_xlfn.XLOOKUP(A47,'Base Grupo de Produtos'!H:H,'Base Grupo de Produtos'!I:I)</f>
        <v>VENDA INTERNA AP - CONVENIENCIA</v>
      </c>
      <c r="C47" s="9">
        <f t="shared" ref="C47:O47" si="49">ROUNDUP(C3*C$36,0)</f>
        <v>0</v>
      </c>
      <c r="D47" s="9">
        <f t="shared" si="49"/>
        <v>0</v>
      </c>
      <c r="E47" s="9">
        <f t="shared" si="49"/>
        <v>0</v>
      </c>
      <c r="F47" s="9">
        <f t="shared" si="49"/>
        <v>0</v>
      </c>
      <c r="G47" s="9">
        <f t="shared" si="49"/>
        <v>0</v>
      </c>
      <c r="H47" s="9">
        <f t="shared" si="49"/>
        <v>0</v>
      </c>
      <c r="I47" s="9">
        <f t="shared" si="49"/>
        <v>0</v>
      </c>
      <c r="J47" s="9">
        <f t="shared" si="49"/>
        <v>0</v>
      </c>
      <c r="K47" s="9">
        <f t="shared" si="49"/>
        <v>0</v>
      </c>
      <c r="L47" s="9">
        <f t="shared" si="49"/>
        <v>0</v>
      </c>
      <c r="M47" s="9">
        <f t="shared" si="49"/>
        <v>0</v>
      </c>
      <c r="N47" s="9">
        <f t="shared" si="49"/>
        <v>0</v>
      </c>
      <c r="O47" s="9">
        <f t="shared" si="49"/>
        <v>0</v>
      </c>
    </row>
    <row r="48" spans="1:15" x14ac:dyDescent="0.3">
      <c r="A48" s="3">
        <f t="shared" si="47"/>
        <v>1503</v>
      </c>
      <c r="B48" s="4" t="str">
        <f>_xlfn.XLOOKUP(A48,'Base Grupo de Produtos'!H:H,'Base Grupo de Produtos'!I:I)</f>
        <v>VENDA INTERNA RN - CONVENIENCIA</v>
      </c>
      <c r="C48" s="9">
        <f t="shared" ref="C48:O48" si="50">ROUNDUP(C4*C$36,0)</f>
        <v>0</v>
      </c>
      <c r="D48" s="9">
        <f t="shared" si="50"/>
        <v>0</v>
      </c>
      <c r="E48" s="9">
        <f t="shared" si="50"/>
        <v>0</v>
      </c>
      <c r="F48" s="9">
        <f t="shared" si="50"/>
        <v>0</v>
      </c>
      <c r="G48" s="9">
        <f t="shared" si="50"/>
        <v>0</v>
      </c>
      <c r="H48" s="9">
        <f t="shared" si="50"/>
        <v>0</v>
      </c>
      <c r="I48" s="9">
        <f t="shared" si="50"/>
        <v>0</v>
      </c>
      <c r="J48" s="9">
        <f t="shared" si="50"/>
        <v>0</v>
      </c>
      <c r="K48" s="9">
        <f t="shared" si="50"/>
        <v>0</v>
      </c>
      <c r="L48" s="9">
        <f t="shared" si="50"/>
        <v>0</v>
      </c>
      <c r="M48" s="9">
        <f t="shared" si="50"/>
        <v>0</v>
      </c>
      <c r="N48" s="9">
        <f t="shared" si="50"/>
        <v>0</v>
      </c>
      <c r="O48" s="9">
        <f t="shared" si="50"/>
        <v>0</v>
      </c>
    </row>
    <row r="49" spans="1:15" x14ac:dyDescent="0.3">
      <c r="A49" s="3">
        <f t="shared" si="47"/>
        <v>1504</v>
      </c>
      <c r="B49" s="4" t="str">
        <f>_xlfn.XLOOKUP(A49,'Base Grupo de Produtos'!H:H,'Base Grupo de Produtos'!I:I)</f>
        <v>VENDA INTERNA CE - CONVENIENCIA</v>
      </c>
      <c r="C49" s="9">
        <f t="shared" ref="C49:O49" si="51">ROUNDUP(C5*C$36,0)</f>
        <v>0</v>
      </c>
      <c r="D49" s="9">
        <f t="shared" si="51"/>
        <v>0</v>
      </c>
      <c r="E49" s="9">
        <f t="shared" si="51"/>
        <v>0</v>
      </c>
      <c r="F49" s="9">
        <f t="shared" si="51"/>
        <v>0</v>
      </c>
      <c r="G49" s="9">
        <f t="shared" si="51"/>
        <v>0</v>
      </c>
      <c r="H49" s="9">
        <f t="shared" si="51"/>
        <v>0</v>
      </c>
      <c r="I49" s="9">
        <f t="shared" si="51"/>
        <v>0</v>
      </c>
      <c r="J49" s="9">
        <f t="shared" si="51"/>
        <v>0</v>
      </c>
      <c r="K49" s="9">
        <f t="shared" si="51"/>
        <v>0</v>
      </c>
      <c r="L49" s="9">
        <f t="shared" si="51"/>
        <v>0</v>
      </c>
      <c r="M49" s="9">
        <f t="shared" si="51"/>
        <v>0</v>
      </c>
      <c r="N49" s="9">
        <f t="shared" si="51"/>
        <v>0</v>
      </c>
      <c r="O49" s="9">
        <f t="shared" si="51"/>
        <v>0</v>
      </c>
    </row>
    <row r="50" spans="1:15" x14ac:dyDescent="0.3">
      <c r="A50" s="3">
        <f t="shared" si="47"/>
        <v>1505</v>
      </c>
      <c r="B50" s="4" t="str">
        <f>_xlfn.XLOOKUP(A50,'Base Grupo de Produtos'!H:H,'Base Grupo de Produtos'!I:I)</f>
        <v>VENDA INTERNA PI - CONVENIENCIA</v>
      </c>
      <c r="C50" s="9">
        <f t="shared" ref="C50:O50" si="52">ROUNDUP(C6*C$36,0)</f>
        <v>0</v>
      </c>
      <c r="D50" s="9">
        <f t="shared" si="52"/>
        <v>0</v>
      </c>
      <c r="E50" s="9">
        <f t="shared" si="52"/>
        <v>0</v>
      </c>
      <c r="F50" s="9">
        <f t="shared" si="52"/>
        <v>0</v>
      </c>
      <c r="G50" s="9">
        <f t="shared" si="52"/>
        <v>0</v>
      </c>
      <c r="H50" s="9">
        <f t="shared" si="52"/>
        <v>0</v>
      </c>
      <c r="I50" s="9">
        <f t="shared" si="52"/>
        <v>0</v>
      </c>
      <c r="J50" s="9">
        <f t="shared" si="52"/>
        <v>0</v>
      </c>
      <c r="K50" s="9">
        <f t="shared" si="52"/>
        <v>0</v>
      </c>
      <c r="L50" s="9">
        <f t="shared" si="52"/>
        <v>0</v>
      </c>
      <c r="M50" s="9">
        <f t="shared" si="52"/>
        <v>0</v>
      </c>
      <c r="N50" s="9">
        <f t="shared" si="52"/>
        <v>0</v>
      </c>
      <c r="O50" s="9">
        <f t="shared" si="52"/>
        <v>0</v>
      </c>
    </row>
    <row r="51" spans="1:15" x14ac:dyDescent="0.3">
      <c r="A51" s="3">
        <f t="shared" si="47"/>
        <v>1507</v>
      </c>
      <c r="B51" s="4" t="str">
        <f>_xlfn.XLOOKUP(A51,'Base Grupo de Produtos'!H:H,'Base Grupo de Produtos'!I:I)</f>
        <v>VENDA INTERNA PE - CONVENIENCIA</v>
      </c>
      <c r="C51" s="9">
        <f t="shared" ref="C51:O51" si="53">ROUNDUP(C7*C$36,0)</f>
        <v>0</v>
      </c>
      <c r="D51" s="9">
        <f t="shared" si="53"/>
        <v>0</v>
      </c>
      <c r="E51" s="9">
        <f t="shared" si="53"/>
        <v>0</v>
      </c>
      <c r="F51" s="9">
        <f t="shared" si="53"/>
        <v>0</v>
      </c>
      <c r="G51" s="9">
        <f t="shared" si="53"/>
        <v>0</v>
      </c>
      <c r="H51" s="9">
        <f t="shared" si="53"/>
        <v>0</v>
      </c>
      <c r="I51" s="9">
        <f t="shared" si="53"/>
        <v>0</v>
      </c>
      <c r="J51" s="9">
        <f t="shared" si="53"/>
        <v>0</v>
      </c>
      <c r="K51" s="9">
        <f t="shared" si="53"/>
        <v>0</v>
      </c>
      <c r="L51" s="9">
        <f t="shared" si="53"/>
        <v>0</v>
      </c>
      <c r="M51" s="9">
        <f t="shared" si="53"/>
        <v>0</v>
      </c>
      <c r="N51" s="9">
        <f t="shared" si="53"/>
        <v>0</v>
      </c>
      <c r="O51" s="9">
        <f t="shared" si="53"/>
        <v>0</v>
      </c>
    </row>
    <row r="52" spans="1:15" x14ac:dyDescent="0.3">
      <c r="A52" s="3">
        <f t="shared" si="47"/>
        <v>1508</v>
      </c>
      <c r="B52" s="4" t="str">
        <f>_xlfn.XLOOKUP(A52,'Base Grupo de Produtos'!H:H,'Base Grupo de Produtos'!I:I)</f>
        <v>VENDA INTERNA SE - CONVENIENCIA</v>
      </c>
      <c r="C52" s="9">
        <f t="shared" ref="C52:O52" si="54">ROUNDUP(C8*C$36,0)</f>
        <v>0</v>
      </c>
      <c r="D52" s="9">
        <f t="shared" si="54"/>
        <v>0</v>
      </c>
      <c r="E52" s="9">
        <f t="shared" si="54"/>
        <v>0</v>
      </c>
      <c r="F52" s="9">
        <f t="shared" si="54"/>
        <v>0</v>
      </c>
      <c r="G52" s="9">
        <f t="shared" si="54"/>
        <v>0</v>
      </c>
      <c r="H52" s="9">
        <f t="shared" si="54"/>
        <v>0</v>
      </c>
      <c r="I52" s="9">
        <f t="shared" si="54"/>
        <v>0</v>
      </c>
      <c r="J52" s="9">
        <f t="shared" si="54"/>
        <v>0</v>
      </c>
      <c r="K52" s="9">
        <f t="shared" si="54"/>
        <v>0</v>
      </c>
      <c r="L52" s="9">
        <f t="shared" si="54"/>
        <v>0</v>
      </c>
      <c r="M52" s="9">
        <f t="shared" si="54"/>
        <v>0</v>
      </c>
      <c r="N52" s="9">
        <f t="shared" si="54"/>
        <v>0</v>
      </c>
      <c r="O52" s="9">
        <f t="shared" si="54"/>
        <v>0</v>
      </c>
    </row>
    <row r="53" spans="1:15" x14ac:dyDescent="0.3">
      <c r="A53" s="3">
        <f t="shared" si="47"/>
        <v>1509</v>
      </c>
      <c r="B53" s="4" t="str">
        <f>_xlfn.XLOOKUP(A53,'Base Grupo de Produtos'!H:H,'Base Grupo de Produtos'!I:I)</f>
        <v>VENDA INTERNA PB - CONVENIENCIA</v>
      </c>
      <c r="C53" s="9">
        <f t="shared" ref="C53:O53" si="55">ROUNDUP(C9*C$36,0)</f>
        <v>0</v>
      </c>
      <c r="D53" s="9">
        <f t="shared" si="55"/>
        <v>0</v>
      </c>
      <c r="E53" s="9">
        <f t="shared" si="55"/>
        <v>0</v>
      </c>
      <c r="F53" s="9">
        <f t="shared" si="55"/>
        <v>0</v>
      </c>
      <c r="G53" s="9">
        <f t="shared" si="55"/>
        <v>0</v>
      </c>
      <c r="H53" s="9">
        <f t="shared" si="55"/>
        <v>0</v>
      </c>
      <c r="I53" s="9">
        <f t="shared" si="55"/>
        <v>0</v>
      </c>
      <c r="J53" s="9">
        <f t="shared" si="55"/>
        <v>0</v>
      </c>
      <c r="K53" s="9">
        <f t="shared" si="55"/>
        <v>0</v>
      </c>
      <c r="L53" s="9">
        <f t="shared" si="55"/>
        <v>0</v>
      </c>
      <c r="M53" s="9">
        <f t="shared" si="55"/>
        <v>0</v>
      </c>
      <c r="N53" s="9">
        <f t="shared" si="55"/>
        <v>0</v>
      </c>
      <c r="O53" s="9">
        <f t="shared" si="55"/>
        <v>0</v>
      </c>
    </row>
    <row r="54" spans="1:15" x14ac:dyDescent="0.3">
      <c r="A54" s="3">
        <f t="shared" si="47"/>
        <v>1510</v>
      </c>
      <c r="B54" s="4" t="str">
        <f>_xlfn.XLOOKUP(A54,'Base Grupo de Produtos'!H:H,'Base Grupo de Produtos'!I:I)</f>
        <v>VENDA INTERNA BA - CONVENIENCIA</v>
      </c>
      <c r="C54" s="9">
        <f t="shared" ref="C54:O54" si="56">ROUNDUP(C10*C$36,0)</f>
        <v>0</v>
      </c>
      <c r="D54" s="9">
        <f t="shared" si="56"/>
        <v>0</v>
      </c>
      <c r="E54" s="9">
        <f t="shared" si="56"/>
        <v>0</v>
      </c>
      <c r="F54" s="9">
        <f t="shared" si="56"/>
        <v>0</v>
      </c>
      <c r="G54" s="9">
        <f t="shared" si="56"/>
        <v>0</v>
      </c>
      <c r="H54" s="9">
        <f t="shared" si="56"/>
        <v>0</v>
      </c>
      <c r="I54" s="9">
        <f t="shared" si="56"/>
        <v>0</v>
      </c>
      <c r="J54" s="9">
        <f t="shared" si="56"/>
        <v>0</v>
      </c>
      <c r="K54" s="9">
        <f t="shared" si="56"/>
        <v>0</v>
      </c>
      <c r="L54" s="9">
        <f t="shared" si="56"/>
        <v>0</v>
      </c>
      <c r="M54" s="9">
        <f t="shared" si="56"/>
        <v>0</v>
      </c>
      <c r="N54" s="9">
        <f t="shared" si="56"/>
        <v>0</v>
      </c>
      <c r="O54" s="9">
        <f t="shared" si="56"/>
        <v>0</v>
      </c>
    </row>
    <row r="55" spans="1:15" x14ac:dyDescent="0.3">
      <c r="A55" s="3">
        <f t="shared" si="47"/>
        <v>1511</v>
      </c>
      <c r="B55" s="4" t="str">
        <f>_xlfn.XLOOKUP(A55,'Base Grupo de Produtos'!H:H,'Base Grupo de Produtos'!I:I)</f>
        <v>VENDA INTERNA MA - CONVENIENCIA</v>
      </c>
      <c r="C55" s="9">
        <f t="shared" ref="C55:O55" si="57">ROUNDUP(C11*C$36,0)</f>
        <v>0</v>
      </c>
      <c r="D55" s="9">
        <f t="shared" si="57"/>
        <v>0</v>
      </c>
      <c r="E55" s="9">
        <f t="shared" si="57"/>
        <v>0</v>
      </c>
      <c r="F55" s="9">
        <f t="shared" si="57"/>
        <v>0</v>
      </c>
      <c r="G55" s="9">
        <f t="shared" si="57"/>
        <v>0</v>
      </c>
      <c r="H55" s="9">
        <f t="shared" si="57"/>
        <v>0</v>
      </c>
      <c r="I55" s="9">
        <f t="shared" si="57"/>
        <v>0</v>
      </c>
      <c r="J55" s="9">
        <f t="shared" si="57"/>
        <v>0</v>
      </c>
      <c r="K55" s="9">
        <f t="shared" si="57"/>
        <v>0</v>
      </c>
      <c r="L55" s="9">
        <f t="shared" si="57"/>
        <v>0</v>
      </c>
      <c r="M55" s="9">
        <f t="shared" si="57"/>
        <v>0</v>
      </c>
      <c r="N55" s="9">
        <f t="shared" si="57"/>
        <v>0</v>
      </c>
      <c r="O55" s="9">
        <f t="shared" si="57"/>
        <v>0</v>
      </c>
    </row>
    <row r="56" spans="1:15" x14ac:dyDescent="0.3">
      <c r="A56" s="3">
        <f t="shared" si="47"/>
        <v>1512</v>
      </c>
      <c r="B56" s="4" t="str">
        <f>_xlfn.XLOOKUP(A56,'Base Grupo de Produtos'!H:H,'Base Grupo de Produtos'!I:I)</f>
        <v>VENDA INTERNA TO - CONVENIENCIA</v>
      </c>
      <c r="C56" s="9">
        <f t="shared" ref="C56:O56" si="58">ROUNDUP(C12*C$36,0)</f>
        <v>0</v>
      </c>
      <c r="D56" s="9">
        <f t="shared" si="58"/>
        <v>0</v>
      </c>
      <c r="E56" s="9">
        <f t="shared" si="58"/>
        <v>0</v>
      </c>
      <c r="F56" s="9">
        <f t="shared" si="58"/>
        <v>0</v>
      </c>
      <c r="G56" s="9">
        <f t="shared" si="58"/>
        <v>0</v>
      </c>
      <c r="H56" s="9">
        <f t="shared" si="58"/>
        <v>0</v>
      </c>
      <c r="I56" s="9">
        <f t="shared" si="58"/>
        <v>0</v>
      </c>
      <c r="J56" s="9">
        <f t="shared" si="58"/>
        <v>0</v>
      </c>
      <c r="K56" s="9">
        <f t="shared" si="58"/>
        <v>0</v>
      </c>
      <c r="L56" s="9">
        <f t="shared" si="58"/>
        <v>0</v>
      </c>
      <c r="M56" s="9">
        <f t="shared" si="58"/>
        <v>0</v>
      </c>
      <c r="N56" s="9">
        <f t="shared" si="58"/>
        <v>0</v>
      </c>
      <c r="O56" s="9">
        <f t="shared" si="58"/>
        <v>0</v>
      </c>
    </row>
    <row r="57" spans="1:15" x14ac:dyDescent="0.3">
      <c r="A57" s="3">
        <f t="shared" si="47"/>
        <v>1513</v>
      </c>
      <c r="B57" s="4" t="str">
        <f>_xlfn.XLOOKUP(A57,'Base Grupo de Produtos'!H:H,'Base Grupo de Produtos'!I:I)</f>
        <v>VENDA INTERNA RO - CONVENIENCIA</v>
      </c>
      <c r="C57" s="9">
        <f t="shared" ref="C57:O57" si="59">ROUNDUP(C13*C$36,0)</f>
        <v>0</v>
      </c>
      <c r="D57" s="9">
        <f t="shared" si="59"/>
        <v>0</v>
      </c>
      <c r="E57" s="9">
        <f t="shared" si="59"/>
        <v>0</v>
      </c>
      <c r="F57" s="9">
        <f t="shared" si="59"/>
        <v>0</v>
      </c>
      <c r="G57" s="9">
        <f t="shared" si="59"/>
        <v>0</v>
      </c>
      <c r="H57" s="9">
        <f t="shared" si="59"/>
        <v>0</v>
      </c>
      <c r="I57" s="9">
        <f t="shared" si="59"/>
        <v>0</v>
      </c>
      <c r="J57" s="9">
        <f t="shared" si="59"/>
        <v>0</v>
      </c>
      <c r="K57" s="9">
        <f t="shared" si="59"/>
        <v>0</v>
      </c>
      <c r="L57" s="9">
        <f t="shared" si="59"/>
        <v>0</v>
      </c>
      <c r="M57" s="9">
        <f t="shared" si="59"/>
        <v>0</v>
      </c>
      <c r="N57" s="9">
        <f t="shared" si="59"/>
        <v>0</v>
      </c>
      <c r="O57" s="9">
        <f t="shared" si="59"/>
        <v>0</v>
      </c>
    </row>
    <row r="58" spans="1:15" x14ac:dyDescent="0.3">
      <c r="A58" s="3">
        <f t="shared" si="47"/>
        <v>1514</v>
      </c>
      <c r="B58" s="4" t="str">
        <f>_xlfn.XLOOKUP(A58,'Base Grupo de Produtos'!H:H,'Base Grupo de Produtos'!I:I)</f>
        <v>VENDA INTERNA RR - CONVENIENCIA</v>
      </c>
      <c r="C58" s="9">
        <f t="shared" ref="C58:O58" si="60">ROUNDUP(C14*C$36,0)</f>
        <v>0</v>
      </c>
      <c r="D58" s="9">
        <f t="shared" si="60"/>
        <v>0</v>
      </c>
      <c r="E58" s="9">
        <f t="shared" si="60"/>
        <v>0</v>
      </c>
      <c r="F58" s="9">
        <f t="shared" si="60"/>
        <v>0</v>
      </c>
      <c r="G58" s="9">
        <f t="shared" si="60"/>
        <v>0</v>
      </c>
      <c r="H58" s="9">
        <f t="shared" si="60"/>
        <v>0</v>
      </c>
      <c r="I58" s="9">
        <f t="shared" si="60"/>
        <v>0</v>
      </c>
      <c r="J58" s="9">
        <f t="shared" si="60"/>
        <v>0</v>
      </c>
      <c r="K58" s="9">
        <f t="shared" si="60"/>
        <v>0</v>
      </c>
      <c r="L58" s="9">
        <f t="shared" si="60"/>
        <v>0</v>
      </c>
      <c r="M58" s="9">
        <f t="shared" si="60"/>
        <v>0</v>
      </c>
      <c r="N58" s="9">
        <f t="shared" si="60"/>
        <v>0</v>
      </c>
      <c r="O58" s="9">
        <f t="shared" si="60"/>
        <v>0</v>
      </c>
    </row>
    <row r="59" spans="1:15" x14ac:dyDescent="0.3">
      <c r="A59" s="3">
        <f t="shared" si="47"/>
        <v>1515</v>
      </c>
      <c r="B59" s="4" t="str">
        <f>_xlfn.XLOOKUP(A59,'Base Grupo de Produtos'!H:H,'Base Grupo de Produtos'!I:I)</f>
        <v>VENDA INTERNA PA - CONVENIENCIA</v>
      </c>
      <c r="C59" s="9">
        <f t="shared" ref="C59:O59" si="61">ROUNDUP(C15*C$36,0)</f>
        <v>0</v>
      </c>
      <c r="D59" s="9">
        <f t="shared" si="61"/>
        <v>0</v>
      </c>
      <c r="E59" s="9">
        <f t="shared" si="61"/>
        <v>0</v>
      </c>
      <c r="F59" s="9">
        <f t="shared" si="61"/>
        <v>0</v>
      </c>
      <c r="G59" s="9">
        <f t="shared" si="61"/>
        <v>0</v>
      </c>
      <c r="H59" s="9">
        <f t="shared" si="61"/>
        <v>0</v>
      </c>
      <c r="I59" s="9">
        <f t="shared" si="61"/>
        <v>0</v>
      </c>
      <c r="J59" s="9">
        <f t="shared" si="61"/>
        <v>0</v>
      </c>
      <c r="K59" s="9">
        <f t="shared" si="61"/>
        <v>0</v>
      </c>
      <c r="L59" s="9">
        <f t="shared" si="61"/>
        <v>0</v>
      </c>
      <c r="M59" s="9">
        <f t="shared" si="61"/>
        <v>0</v>
      </c>
      <c r="N59" s="9">
        <f t="shared" si="61"/>
        <v>0</v>
      </c>
      <c r="O59" s="9">
        <f t="shared" si="61"/>
        <v>0</v>
      </c>
    </row>
    <row r="60" spans="1:15" x14ac:dyDescent="0.3">
      <c r="A60" s="3">
        <f t="shared" si="47"/>
        <v>1516</v>
      </c>
      <c r="B60" s="4" t="str">
        <f>_xlfn.XLOOKUP(A60,'Base Grupo de Produtos'!H:H,'Base Grupo de Produtos'!I:I)</f>
        <v>VENDA INTERNA AL - CONVENIENCIA</v>
      </c>
      <c r="C60" s="9">
        <f t="shared" ref="C60:O60" si="62">ROUNDUP(C16*C$36,0)</f>
        <v>0</v>
      </c>
      <c r="D60" s="9">
        <f t="shared" si="62"/>
        <v>0</v>
      </c>
      <c r="E60" s="9">
        <f t="shared" si="62"/>
        <v>0</v>
      </c>
      <c r="F60" s="9">
        <f t="shared" si="62"/>
        <v>0</v>
      </c>
      <c r="G60" s="9">
        <f t="shared" si="62"/>
        <v>0</v>
      </c>
      <c r="H60" s="9">
        <f t="shared" si="62"/>
        <v>0</v>
      </c>
      <c r="I60" s="9">
        <f t="shared" si="62"/>
        <v>0</v>
      </c>
      <c r="J60" s="9">
        <f t="shared" si="62"/>
        <v>0</v>
      </c>
      <c r="K60" s="9">
        <f t="shared" si="62"/>
        <v>0</v>
      </c>
      <c r="L60" s="9">
        <f t="shared" si="62"/>
        <v>0</v>
      </c>
      <c r="M60" s="9">
        <f t="shared" si="62"/>
        <v>0</v>
      </c>
      <c r="N60" s="9">
        <f t="shared" si="62"/>
        <v>0</v>
      </c>
      <c r="O60" s="9">
        <f t="shared" si="62"/>
        <v>0</v>
      </c>
    </row>
    <row r="61" spans="1:15" x14ac:dyDescent="0.3">
      <c r="A61" s="3">
        <f t="shared" si="47"/>
        <v>1517</v>
      </c>
      <c r="B61" s="4" t="str">
        <f>_xlfn.XLOOKUP(A61,'Base Grupo de Produtos'!H:H,'Base Grupo de Produtos'!I:I)</f>
        <v>VENDA INTERNA AM - CONVENIENCIA</v>
      </c>
      <c r="C61" s="9">
        <f t="shared" ref="C61:O61" si="63">ROUNDUP(C17*C$36,0)</f>
        <v>0</v>
      </c>
      <c r="D61" s="9">
        <f t="shared" si="63"/>
        <v>0</v>
      </c>
      <c r="E61" s="9">
        <f t="shared" si="63"/>
        <v>0</v>
      </c>
      <c r="F61" s="9">
        <f t="shared" si="63"/>
        <v>0</v>
      </c>
      <c r="G61" s="9">
        <f t="shared" si="63"/>
        <v>0</v>
      </c>
      <c r="H61" s="9">
        <f t="shared" si="63"/>
        <v>0</v>
      </c>
      <c r="I61" s="9">
        <f t="shared" si="63"/>
        <v>0</v>
      </c>
      <c r="J61" s="9">
        <f t="shared" si="63"/>
        <v>0</v>
      </c>
      <c r="K61" s="9">
        <f t="shared" si="63"/>
        <v>0</v>
      </c>
      <c r="L61" s="9">
        <f t="shared" si="63"/>
        <v>0</v>
      </c>
      <c r="M61" s="9">
        <f t="shared" si="63"/>
        <v>0</v>
      </c>
      <c r="N61" s="9">
        <f t="shared" si="63"/>
        <v>0</v>
      </c>
      <c r="O61" s="9">
        <f t="shared" si="63"/>
        <v>0</v>
      </c>
    </row>
    <row r="62" spans="1:15" x14ac:dyDescent="0.3">
      <c r="A62" s="3">
        <f t="shared" si="47"/>
        <v>1518</v>
      </c>
      <c r="B62" s="4" t="str">
        <f>_xlfn.XLOOKUP(A62,'Base Grupo de Produtos'!H:H,'Base Grupo de Produtos'!I:I)</f>
        <v>VENDA INTERNA DF - CONVENIENCIA</v>
      </c>
      <c r="C62" s="9">
        <f t="shared" ref="C62:O62" si="64">ROUNDUP(C18*C$36,0)</f>
        <v>0</v>
      </c>
      <c r="D62" s="9">
        <f t="shared" si="64"/>
        <v>0</v>
      </c>
      <c r="E62" s="9">
        <f t="shared" si="64"/>
        <v>0</v>
      </c>
      <c r="F62" s="9">
        <f t="shared" si="64"/>
        <v>0</v>
      </c>
      <c r="G62" s="9">
        <f t="shared" si="64"/>
        <v>0</v>
      </c>
      <c r="H62" s="9">
        <f t="shared" si="64"/>
        <v>0</v>
      </c>
      <c r="I62" s="9">
        <f t="shared" si="64"/>
        <v>0</v>
      </c>
      <c r="J62" s="9">
        <f t="shared" si="64"/>
        <v>0</v>
      </c>
      <c r="K62" s="9">
        <f t="shared" si="64"/>
        <v>0</v>
      </c>
      <c r="L62" s="9">
        <f t="shared" si="64"/>
        <v>0</v>
      </c>
      <c r="M62" s="9">
        <f t="shared" si="64"/>
        <v>0</v>
      </c>
      <c r="N62" s="9">
        <f t="shared" si="64"/>
        <v>0</v>
      </c>
      <c r="O62" s="9">
        <f t="shared" si="64"/>
        <v>0</v>
      </c>
    </row>
    <row r="63" spans="1:15" x14ac:dyDescent="0.3">
      <c r="A63" s="3">
        <f t="shared" si="47"/>
        <v>1519</v>
      </c>
      <c r="B63" s="4" t="str">
        <f>_xlfn.XLOOKUP(A63,'Base Grupo de Produtos'!H:H,'Base Grupo de Produtos'!I:I)</f>
        <v>VENDA INTERNA MS - CONVENIENCIA</v>
      </c>
      <c r="C63" s="9">
        <f t="shared" ref="C63:O63" si="65">ROUNDUP(C19*C$36,0)</f>
        <v>0</v>
      </c>
      <c r="D63" s="9">
        <f t="shared" si="65"/>
        <v>0</v>
      </c>
      <c r="E63" s="9">
        <f t="shared" si="65"/>
        <v>0</v>
      </c>
      <c r="F63" s="9">
        <f t="shared" si="65"/>
        <v>0</v>
      </c>
      <c r="G63" s="9">
        <f t="shared" si="65"/>
        <v>0</v>
      </c>
      <c r="H63" s="9">
        <f t="shared" si="65"/>
        <v>0</v>
      </c>
      <c r="I63" s="9">
        <f t="shared" si="65"/>
        <v>0</v>
      </c>
      <c r="J63" s="9">
        <f t="shared" si="65"/>
        <v>0</v>
      </c>
      <c r="K63" s="9">
        <f t="shared" si="65"/>
        <v>0</v>
      </c>
      <c r="L63" s="9">
        <f t="shared" si="65"/>
        <v>0</v>
      </c>
      <c r="M63" s="9">
        <f t="shared" si="65"/>
        <v>0</v>
      </c>
      <c r="N63" s="9">
        <f t="shared" si="65"/>
        <v>0</v>
      </c>
      <c r="O63" s="9">
        <f t="shared" si="65"/>
        <v>0</v>
      </c>
    </row>
    <row r="64" spans="1:15" x14ac:dyDescent="0.3">
      <c r="A64" s="3">
        <f t="shared" si="47"/>
        <v>1520</v>
      </c>
      <c r="B64" s="4" t="str">
        <f>_xlfn.XLOOKUP(A64,'Base Grupo de Produtos'!H:H,'Base Grupo de Produtos'!I:I)</f>
        <v>VENDA INTERNA MT - CONVENIENCIA</v>
      </c>
      <c r="C64" s="9">
        <f t="shared" ref="C64:O64" si="66">ROUNDUP(C20*C$36,0)</f>
        <v>0</v>
      </c>
      <c r="D64" s="9">
        <f t="shared" si="66"/>
        <v>0</v>
      </c>
      <c r="E64" s="9">
        <f t="shared" si="66"/>
        <v>0</v>
      </c>
      <c r="F64" s="9">
        <f t="shared" si="66"/>
        <v>0</v>
      </c>
      <c r="G64" s="9">
        <f t="shared" si="66"/>
        <v>0</v>
      </c>
      <c r="H64" s="9">
        <f t="shared" si="66"/>
        <v>0</v>
      </c>
      <c r="I64" s="9">
        <f t="shared" si="66"/>
        <v>0</v>
      </c>
      <c r="J64" s="9">
        <f t="shared" si="66"/>
        <v>0</v>
      </c>
      <c r="K64" s="9">
        <f t="shared" si="66"/>
        <v>0</v>
      </c>
      <c r="L64" s="9">
        <f t="shared" si="66"/>
        <v>0</v>
      </c>
      <c r="M64" s="9">
        <f t="shared" si="66"/>
        <v>0</v>
      </c>
      <c r="N64" s="9">
        <f t="shared" si="66"/>
        <v>0</v>
      </c>
      <c r="O64" s="9">
        <f t="shared" si="66"/>
        <v>0</v>
      </c>
    </row>
    <row r="65" spans="1:15" x14ac:dyDescent="0.3">
      <c r="A65" s="3">
        <f t="shared" si="47"/>
        <v>1521</v>
      </c>
      <c r="B65" s="4" t="str">
        <f>_xlfn.XLOOKUP(A65,'Base Grupo de Produtos'!H:H,'Base Grupo de Produtos'!I:I)</f>
        <v>VENDA INTERNA GO - CONVENIENCIA</v>
      </c>
      <c r="C65" s="9">
        <f t="shared" ref="C65:O65" si="67">ROUNDUP(C21*C$36,0)</f>
        <v>0</v>
      </c>
      <c r="D65" s="9">
        <f t="shared" si="67"/>
        <v>0</v>
      </c>
      <c r="E65" s="9">
        <f t="shared" si="67"/>
        <v>0</v>
      </c>
      <c r="F65" s="9">
        <f t="shared" si="67"/>
        <v>0</v>
      </c>
      <c r="G65" s="9">
        <f t="shared" si="67"/>
        <v>0</v>
      </c>
      <c r="H65" s="9">
        <f t="shared" si="67"/>
        <v>0</v>
      </c>
      <c r="I65" s="9">
        <f t="shared" si="67"/>
        <v>0</v>
      </c>
      <c r="J65" s="9">
        <f t="shared" si="67"/>
        <v>0</v>
      </c>
      <c r="K65" s="9">
        <f t="shared" si="67"/>
        <v>0</v>
      </c>
      <c r="L65" s="9">
        <f t="shared" si="67"/>
        <v>0</v>
      </c>
      <c r="M65" s="9">
        <f t="shared" si="67"/>
        <v>0</v>
      </c>
      <c r="N65" s="9">
        <f t="shared" si="67"/>
        <v>0</v>
      </c>
      <c r="O65" s="9">
        <f t="shared" si="67"/>
        <v>0</v>
      </c>
    </row>
    <row r="66" spans="1:15" x14ac:dyDescent="0.3">
      <c r="A66" s="3">
        <f t="shared" si="47"/>
        <v>1522</v>
      </c>
      <c r="B66" s="4" t="str">
        <f>_xlfn.XLOOKUP(A66,'Base Grupo de Produtos'!H:H,'Base Grupo de Produtos'!I:I)</f>
        <v>VENDA INTERNA ES - CONVENIENCIA</v>
      </c>
      <c r="C66" s="9">
        <f t="shared" ref="C66:O66" si="68">ROUNDUP(C22*C$36,0)</f>
        <v>0</v>
      </c>
      <c r="D66" s="9">
        <f t="shared" si="68"/>
        <v>0</v>
      </c>
      <c r="E66" s="9">
        <f t="shared" si="68"/>
        <v>0</v>
      </c>
      <c r="F66" s="9">
        <f t="shared" si="68"/>
        <v>0</v>
      </c>
      <c r="G66" s="9">
        <f t="shared" si="68"/>
        <v>0</v>
      </c>
      <c r="H66" s="9">
        <f t="shared" si="68"/>
        <v>0</v>
      </c>
      <c r="I66" s="9">
        <f t="shared" si="68"/>
        <v>0</v>
      </c>
      <c r="J66" s="9">
        <f t="shared" si="68"/>
        <v>0</v>
      </c>
      <c r="K66" s="9">
        <f t="shared" si="68"/>
        <v>0</v>
      </c>
      <c r="L66" s="9">
        <f t="shared" si="68"/>
        <v>0</v>
      </c>
      <c r="M66" s="9">
        <f t="shared" si="68"/>
        <v>0</v>
      </c>
      <c r="N66" s="9">
        <f t="shared" si="68"/>
        <v>0</v>
      </c>
      <c r="O66" s="9">
        <f t="shared" si="68"/>
        <v>0</v>
      </c>
    </row>
    <row r="67" spans="1:15" x14ac:dyDescent="0.3">
      <c r="A67" s="3">
        <f t="shared" si="47"/>
        <v>1523</v>
      </c>
      <c r="B67" s="4" t="str">
        <f>_xlfn.XLOOKUP(A67,'Base Grupo de Produtos'!H:H,'Base Grupo de Produtos'!I:I)</f>
        <v>VENDA INTERNA RJ - CONVENIENCIA</v>
      </c>
      <c r="C67" s="9">
        <f t="shared" ref="C67:O67" si="69">ROUNDUP(C23*C$36,0)</f>
        <v>0</v>
      </c>
      <c r="D67" s="9">
        <f t="shared" si="69"/>
        <v>0</v>
      </c>
      <c r="E67" s="9">
        <f t="shared" si="69"/>
        <v>0</v>
      </c>
      <c r="F67" s="9">
        <f t="shared" si="69"/>
        <v>0</v>
      </c>
      <c r="G67" s="9">
        <f t="shared" si="69"/>
        <v>0</v>
      </c>
      <c r="H67" s="9">
        <f t="shared" si="69"/>
        <v>0</v>
      </c>
      <c r="I67" s="9">
        <f t="shared" si="69"/>
        <v>0</v>
      </c>
      <c r="J67" s="9">
        <f t="shared" si="69"/>
        <v>0</v>
      </c>
      <c r="K67" s="9">
        <f t="shared" si="69"/>
        <v>0</v>
      </c>
      <c r="L67" s="9">
        <f t="shared" si="69"/>
        <v>0</v>
      </c>
      <c r="M67" s="9">
        <f t="shared" si="69"/>
        <v>0</v>
      </c>
      <c r="N67" s="9">
        <f t="shared" si="69"/>
        <v>0</v>
      </c>
      <c r="O67" s="9">
        <f t="shared" si="69"/>
        <v>0</v>
      </c>
    </row>
    <row r="68" spans="1:15" x14ac:dyDescent="0.3">
      <c r="A68" s="3">
        <f t="shared" si="47"/>
        <v>1524</v>
      </c>
      <c r="B68" s="4" t="str">
        <f>_xlfn.XLOOKUP(A68,'Base Grupo de Produtos'!H:H,'Base Grupo de Produtos'!I:I)</f>
        <v>VENDA INTERNA MG - CONVENIENCIA</v>
      </c>
      <c r="C68" s="9">
        <f t="shared" ref="C68:O68" si="70">ROUNDUP(C24*C$36,0)</f>
        <v>0</v>
      </c>
      <c r="D68" s="9">
        <f t="shared" si="70"/>
        <v>0</v>
      </c>
      <c r="E68" s="9">
        <f t="shared" si="70"/>
        <v>0</v>
      </c>
      <c r="F68" s="9">
        <f t="shared" si="70"/>
        <v>0</v>
      </c>
      <c r="G68" s="9">
        <f t="shared" si="70"/>
        <v>3</v>
      </c>
      <c r="H68" s="9">
        <f t="shared" si="70"/>
        <v>3</v>
      </c>
      <c r="I68" s="9">
        <f t="shared" si="70"/>
        <v>4</v>
      </c>
      <c r="J68" s="9">
        <f t="shared" si="70"/>
        <v>5</v>
      </c>
      <c r="K68" s="9">
        <f t="shared" si="70"/>
        <v>6</v>
      </c>
      <c r="L68" s="9">
        <f t="shared" si="70"/>
        <v>7</v>
      </c>
      <c r="M68" s="9">
        <f t="shared" si="70"/>
        <v>8</v>
      </c>
      <c r="N68" s="9">
        <f t="shared" si="70"/>
        <v>9</v>
      </c>
      <c r="O68" s="9">
        <f t="shared" si="70"/>
        <v>9</v>
      </c>
    </row>
    <row r="69" spans="1:15" x14ac:dyDescent="0.3">
      <c r="A69" s="3">
        <f t="shared" si="47"/>
        <v>1525</v>
      </c>
      <c r="B69" s="4" t="str">
        <f>_xlfn.XLOOKUP(A69,'Base Grupo de Produtos'!H:H,'Base Grupo de Produtos'!I:I)</f>
        <v>VENDA INTERNA SP CAPITAL - CONVENIENCIA</v>
      </c>
      <c r="C69" s="9">
        <f t="shared" ref="C69:O69" si="71">ROUNDUP(C25*C$36,0)</f>
        <v>0</v>
      </c>
      <c r="D69" s="9">
        <f t="shared" si="71"/>
        <v>0</v>
      </c>
      <c r="E69" s="9">
        <f t="shared" si="71"/>
        <v>0</v>
      </c>
      <c r="F69" s="9">
        <f t="shared" si="71"/>
        <v>0</v>
      </c>
      <c r="G69" s="9">
        <f t="shared" si="71"/>
        <v>3</v>
      </c>
      <c r="H69" s="9">
        <f t="shared" si="71"/>
        <v>3</v>
      </c>
      <c r="I69" s="9">
        <f t="shared" si="71"/>
        <v>4</v>
      </c>
      <c r="J69" s="9">
        <f t="shared" si="71"/>
        <v>5</v>
      </c>
      <c r="K69" s="9">
        <f t="shared" si="71"/>
        <v>6</v>
      </c>
      <c r="L69" s="9">
        <f t="shared" si="71"/>
        <v>7</v>
      </c>
      <c r="M69" s="9">
        <f t="shared" si="71"/>
        <v>8</v>
      </c>
      <c r="N69" s="9">
        <f t="shared" si="71"/>
        <v>9</v>
      </c>
      <c r="O69" s="9">
        <f t="shared" si="71"/>
        <v>9</v>
      </c>
    </row>
    <row r="70" spans="1:15" x14ac:dyDescent="0.3">
      <c r="A70" s="3">
        <f t="shared" si="47"/>
        <v>1526</v>
      </c>
      <c r="B70" s="4" t="str">
        <f>_xlfn.XLOOKUP(A70,'Base Grupo de Produtos'!H:H,'Base Grupo de Produtos'!I:I)</f>
        <v>VENDA INTERNA SP INTERIOR - CONVENIENCIA</v>
      </c>
      <c r="C70" s="9">
        <f t="shared" ref="C70:O71" si="72">ROUNDUP(C26*C$36,0)</f>
        <v>0</v>
      </c>
      <c r="D70" s="9">
        <f t="shared" si="72"/>
        <v>0</v>
      </c>
      <c r="E70" s="9">
        <f t="shared" si="72"/>
        <v>0</v>
      </c>
      <c r="F70" s="9">
        <f t="shared" si="72"/>
        <v>0</v>
      </c>
      <c r="G70" s="9">
        <f t="shared" si="72"/>
        <v>0</v>
      </c>
      <c r="H70" s="9">
        <f t="shared" si="72"/>
        <v>0</v>
      </c>
      <c r="I70" s="9">
        <f t="shared" si="72"/>
        <v>0</v>
      </c>
      <c r="J70" s="9">
        <f t="shared" si="72"/>
        <v>0</v>
      </c>
      <c r="K70" s="9">
        <f t="shared" si="72"/>
        <v>0</v>
      </c>
      <c r="L70" s="9">
        <f t="shared" si="72"/>
        <v>0</v>
      </c>
      <c r="M70" s="9">
        <f t="shared" si="72"/>
        <v>0</v>
      </c>
      <c r="N70" s="9">
        <f t="shared" si="72"/>
        <v>0</v>
      </c>
      <c r="O70" s="9">
        <f t="shared" si="72"/>
        <v>0</v>
      </c>
    </row>
    <row r="71" spans="1:15" x14ac:dyDescent="0.3">
      <c r="A71" s="3">
        <v>1532</v>
      </c>
      <c r="B71" s="4" t="s">
        <v>368</v>
      </c>
      <c r="C71" s="9">
        <f t="shared" si="72"/>
        <v>0</v>
      </c>
      <c r="D71" s="9">
        <f t="shared" si="72"/>
        <v>0</v>
      </c>
      <c r="E71" s="9">
        <f t="shared" si="72"/>
        <v>0</v>
      </c>
      <c r="F71" s="9">
        <f t="shared" si="72"/>
        <v>0</v>
      </c>
      <c r="G71" s="9">
        <f t="shared" si="72"/>
        <v>0</v>
      </c>
      <c r="H71" s="9">
        <f t="shared" si="72"/>
        <v>0</v>
      </c>
      <c r="I71" s="9">
        <f t="shared" si="72"/>
        <v>0</v>
      </c>
      <c r="J71" s="9">
        <f t="shared" si="72"/>
        <v>0</v>
      </c>
      <c r="K71" s="9">
        <f t="shared" si="72"/>
        <v>0</v>
      </c>
      <c r="L71" s="9">
        <f t="shared" si="72"/>
        <v>0</v>
      </c>
      <c r="M71" s="9">
        <f t="shared" si="72"/>
        <v>0</v>
      </c>
      <c r="N71" s="9">
        <f t="shared" si="72"/>
        <v>0</v>
      </c>
      <c r="O71" s="9">
        <f t="shared" si="72"/>
        <v>0</v>
      </c>
    </row>
    <row r="72" spans="1:15" x14ac:dyDescent="0.3">
      <c r="A72" s="3">
        <f>A28</f>
        <v>1528</v>
      </c>
      <c r="B72" s="4" t="str">
        <f>_xlfn.XLOOKUP(A72,'Base Grupo de Produtos'!H:H,'Base Grupo de Produtos'!I:I)</f>
        <v>VENDA INTERNA RS - CONVENIENCIA</v>
      </c>
      <c r="C72" s="9">
        <f t="shared" ref="C72:O72" si="73">ROUNDUP(C28*C$36,0)</f>
        <v>0</v>
      </c>
      <c r="D72" s="9">
        <f t="shared" si="73"/>
        <v>0</v>
      </c>
      <c r="E72" s="9">
        <f t="shared" si="73"/>
        <v>0</v>
      </c>
      <c r="F72" s="9">
        <f t="shared" si="73"/>
        <v>0</v>
      </c>
      <c r="G72" s="9">
        <f t="shared" si="73"/>
        <v>4</v>
      </c>
      <c r="H72" s="9">
        <f t="shared" si="73"/>
        <v>5</v>
      </c>
      <c r="I72" s="9">
        <f t="shared" si="73"/>
        <v>7</v>
      </c>
      <c r="J72" s="9">
        <f t="shared" si="73"/>
        <v>8</v>
      </c>
      <c r="K72" s="9">
        <f t="shared" si="73"/>
        <v>10</v>
      </c>
      <c r="L72" s="9">
        <f t="shared" si="73"/>
        <v>11</v>
      </c>
      <c r="M72" s="9">
        <f t="shared" si="73"/>
        <v>12</v>
      </c>
      <c r="N72" s="9">
        <f t="shared" si="73"/>
        <v>14</v>
      </c>
      <c r="O72" s="9">
        <f t="shared" si="73"/>
        <v>15</v>
      </c>
    </row>
    <row r="73" spans="1:15" x14ac:dyDescent="0.3">
      <c r="A73" s="3">
        <f>A29</f>
        <v>1530</v>
      </c>
      <c r="B73" s="4" t="str">
        <f>_xlfn.XLOOKUP(A73,'Base Grupo de Produtos'!H:H,'Base Grupo de Produtos'!I:I)</f>
        <v>VENDA INTERNA SC - CONVENIENCIA</v>
      </c>
      <c r="C73" s="9">
        <f t="shared" ref="C73:O73" si="74">ROUNDUP(C29*C$36,0)</f>
        <v>0</v>
      </c>
      <c r="D73" s="9">
        <f t="shared" si="74"/>
        <v>0</v>
      </c>
      <c r="E73" s="9">
        <f t="shared" si="74"/>
        <v>0</v>
      </c>
      <c r="F73" s="9">
        <f t="shared" si="74"/>
        <v>0</v>
      </c>
      <c r="G73" s="9">
        <f t="shared" si="74"/>
        <v>3</v>
      </c>
      <c r="H73" s="9">
        <f t="shared" si="74"/>
        <v>3</v>
      </c>
      <c r="I73" s="9">
        <f t="shared" si="74"/>
        <v>4</v>
      </c>
      <c r="J73" s="9">
        <f t="shared" si="74"/>
        <v>5</v>
      </c>
      <c r="K73" s="9">
        <f t="shared" si="74"/>
        <v>6</v>
      </c>
      <c r="L73" s="9">
        <f t="shared" si="74"/>
        <v>7</v>
      </c>
      <c r="M73" s="9">
        <f t="shared" si="74"/>
        <v>8</v>
      </c>
      <c r="N73" s="9">
        <f t="shared" si="74"/>
        <v>9</v>
      </c>
      <c r="O73" s="9">
        <f t="shared" si="74"/>
        <v>9</v>
      </c>
    </row>
    <row r="74" spans="1:15" x14ac:dyDescent="0.3">
      <c r="A74" s="95" t="s">
        <v>220</v>
      </c>
      <c r="B74" s="96"/>
      <c r="C74" s="55">
        <f t="shared" ref="C74:O74" si="75">SUM(C46:C73)</f>
        <v>0</v>
      </c>
      <c r="D74" s="55">
        <f t="shared" si="75"/>
        <v>0</v>
      </c>
      <c r="E74" s="55">
        <f t="shared" si="75"/>
        <v>0</v>
      </c>
      <c r="F74" s="55">
        <f t="shared" si="75"/>
        <v>0</v>
      </c>
      <c r="G74" s="55">
        <f>SUM(G46:G73)</f>
        <v>13</v>
      </c>
      <c r="H74" s="55">
        <f t="shared" si="75"/>
        <v>14</v>
      </c>
      <c r="I74" s="55">
        <f t="shared" si="75"/>
        <v>19</v>
      </c>
      <c r="J74" s="55">
        <f t="shared" si="75"/>
        <v>23</v>
      </c>
      <c r="K74" s="55">
        <f t="shared" si="75"/>
        <v>28</v>
      </c>
      <c r="L74" s="55">
        <f t="shared" si="75"/>
        <v>32</v>
      </c>
      <c r="M74" s="55">
        <f t="shared" si="75"/>
        <v>36</v>
      </c>
      <c r="N74" s="55">
        <f t="shared" si="75"/>
        <v>41</v>
      </c>
      <c r="O74" s="55">
        <f t="shared" si="75"/>
        <v>42</v>
      </c>
    </row>
    <row r="76" spans="1:15" x14ac:dyDescent="0.3">
      <c r="A76" s="22" t="s">
        <v>55</v>
      </c>
      <c r="B76" s="22" t="s">
        <v>119</v>
      </c>
      <c r="C76" s="22" t="s">
        <v>209</v>
      </c>
      <c r="D76" s="43" t="s">
        <v>63</v>
      </c>
      <c r="E76" s="43" t="s">
        <v>64</v>
      </c>
      <c r="F76" s="43" t="s">
        <v>65</v>
      </c>
      <c r="G76" s="43" t="s">
        <v>66</v>
      </c>
      <c r="H76" s="43" t="s">
        <v>67</v>
      </c>
      <c r="I76" s="43" t="s">
        <v>68</v>
      </c>
      <c r="J76" s="43" t="s">
        <v>69</v>
      </c>
      <c r="K76" s="43" t="s">
        <v>70</v>
      </c>
      <c r="L76" s="43" t="s">
        <v>71</v>
      </c>
      <c r="M76" s="43" t="s">
        <v>72</v>
      </c>
      <c r="N76" s="43" t="s">
        <v>73</v>
      </c>
      <c r="O76" s="43" t="s">
        <v>74</v>
      </c>
    </row>
    <row r="77" spans="1:15" x14ac:dyDescent="0.3">
      <c r="A77" s="3">
        <f t="shared" ref="A77:A101" si="76">A2</f>
        <v>1501</v>
      </c>
      <c r="B77" s="4" t="str">
        <f>_xlfn.XLOOKUP(A77,'Base Grupo de Produtos'!H:H,'Base Grupo de Produtos'!I:I)</f>
        <v>VENDA INTERNA PR - CONVENIENCIA</v>
      </c>
      <c r="C77" s="56">
        <f t="shared" ref="C77:O77" si="77">C46*C$37</f>
        <v>0</v>
      </c>
      <c r="D77" s="56">
        <f t="shared" si="77"/>
        <v>0</v>
      </c>
      <c r="E77" s="56">
        <f t="shared" si="77"/>
        <v>0</v>
      </c>
      <c r="F77" s="56">
        <f t="shared" si="77"/>
        <v>0</v>
      </c>
      <c r="G77" s="56">
        <f t="shared" si="77"/>
        <v>0</v>
      </c>
      <c r="H77" s="56">
        <f t="shared" si="77"/>
        <v>0</v>
      </c>
      <c r="I77" s="56">
        <f t="shared" si="77"/>
        <v>0</v>
      </c>
      <c r="J77" s="56">
        <f t="shared" si="77"/>
        <v>0</v>
      </c>
      <c r="K77" s="56">
        <f t="shared" si="77"/>
        <v>0</v>
      </c>
      <c r="L77" s="56">
        <f t="shared" si="77"/>
        <v>0</v>
      </c>
      <c r="M77" s="56">
        <f t="shared" si="77"/>
        <v>0</v>
      </c>
      <c r="N77" s="56">
        <f t="shared" si="77"/>
        <v>0</v>
      </c>
      <c r="O77" s="56">
        <f t="shared" si="77"/>
        <v>0</v>
      </c>
    </row>
    <row r="78" spans="1:15" x14ac:dyDescent="0.3">
      <c r="A78" s="3">
        <f t="shared" si="76"/>
        <v>1502</v>
      </c>
      <c r="B78" s="4" t="str">
        <f>_xlfn.XLOOKUP(A78,'Base Grupo de Produtos'!H:H,'Base Grupo de Produtos'!I:I)</f>
        <v>VENDA INTERNA AP - CONVENIENCIA</v>
      </c>
      <c r="C78" s="56">
        <f t="shared" ref="C78:O78" si="78">C47*C$37</f>
        <v>0</v>
      </c>
      <c r="D78" s="56">
        <f t="shared" si="78"/>
        <v>0</v>
      </c>
      <c r="E78" s="56">
        <f t="shared" si="78"/>
        <v>0</v>
      </c>
      <c r="F78" s="56">
        <f t="shared" si="78"/>
        <v>0</v>
      </c>
      <c r="G78" s="56">
        <f t="shared" si="78"/>
        <v>0</v>
      </c>
      <c r="H78" s="56">
        <f t="shared" si="78"/>
        <v>0</v>
      </c>
      <c r="I78" s="56">
        <f t="shared" si="78"/>
        <v>0</v>
      </c>
      <c r="J78" s="56">
        <f t="shared" si="78"/>
        <v>0</v>
      </c>
      <c r="K78" s="56">
        <f t="shared" si="78"/>
        <v>0</v>
      </c>
      <c r="L78" s="56">
        <f t="shared" si="78"/>
        <v>0</v>
      </c>
      <c r="M78" s="56">
        <f t="shared" si="78"/>
        <v>0</v>
      </c>
      <c r="N78" s="56">
        <f t="shared" si="78"/>
        <v>0</v>
      </c>
      <c r="O78" s="56">
        <f t="shared" si="78"/>
        <v>0</v>
      </c>
    </row>
    <row r="79" spans="1:15" x14ac:dyDescent="0.3">
      <c r="A79" s="3">
        <f t="shared" si="76"/>
        <v>1503</v>
      </c>
      <c r="B79" s="4" t="str">
        <f>_xlfn.XLOOKUP(A79,'Base Grupo de Produtos'!H:H,'Base Grupo de Produtos'!I:I)</f>
        <v>VENDA INTERNA RN - CONVENIENCIA</v>
      </c>
      <c r="C79" s="56">
        <f t="shared" ref="C79:O79" si="79">C48*C$37</f>
        <v>0</v>
      </c>
      <c r="D79" s="56">
        <f t="shared" si="79"/>
        <v>0</v>
      </c>
      <c r="E79" s="56">
        <f t="shared" si="79"/>
        <v>0</v>
      </c>
      <c r="F79" s="56">
        <f t="shared" si="79"/>
        <v>0</v>
      </c>
      <c r="G79" s="56">
        <f t="shared" si="79"/>
        <v>0</v>
      </c>
      <c r="H79" s="56">
        <f t="shared" si="79"/>
        <v>0</v>
      </c>
      <c r="I79" s="56">
        <f t="shared" si="79"/>
        <v>0</v>
      </c>
      <c r="J79" s="56">
        <f t="shared" si="79"/>
        <v>0</v>
      </c>
      <c r="K79" s="56">
        <f t="shared" si="79"/>
        <v>0</v>
      </c>
      <c r="L79" s="56">
        <f t="shared" si="79"/>
        <v>0</v>
      </c>
      <c r="M79" s="56">
        <f t="shared" si="79"/>
        <v>0</v>
      </c>
      <c r="N79" s="56">
        <f t="shared" si="79"/>
        <v>0</v>
      </c>
      <c r="O79" s="56">
        <f t="shared" si="79"/>
        <v>0</v>
      </c>
    </row>
    <row r="80" spans="1:15" x14ac:dyDescent="0.3">
      <c r="A80" s="3">
        <f t="shared" si="76"/>
        <v>1504</v>
      </c>
      <c r="B80" s="4" t="str">
        <f>_xlfn.XLOOKUP(A80,'Base Grupo de Produtos'!H:H,'Base Grupo de Produtos'!I:I)</f>
        <v>VENDA INTERNA CE - CONVENIENCIA</v>
      </c>
      <c r="C80" s="56">
        <f t="shared" ref="C80:O80" si="80">C49*C$37</f>
        <v>0</v>
      </c>
      <c r="D80" s="56">
        <f t="shared" si="80"/>
        <v>0</v>
      </c>
      <c r="E80" s="56">
        <f t="shared" si="80"/>
        <v>0</v>
      </c>
      <c r="F80" s="56">
        <f t="shared" si="80"/>
        <v>0</v>
      </c>
      <c r="G80" s="56">
        <f t="shared" si="80"/>
        <v>0</v>
      </c>
      <c r="H80" s="56">
        <f t="shared" si="80"/>
        <v>0</v>
      </c>
      <c r="I80" s="56">
        <f t="shared" si="80"/>
        <v>0</v>
      </c>
      <c r="J80" s="56">
        <f t="shared" si="80"/>
        <v>0</v>
      </c>
      <c r="K80" s="56">
        <f t="shared" si="80"/>
        <v>0</v>
      </c>
      <c r="L80" s="56">
        <f t="shared" si="80"/>
        <v>0</v>
      </c>
      <c r="M80" s="56">
        <f t="shared" si="80"/>
        <v>0</v>
      </c>
      <c r="N80" s="56">
        <f t="shared" si="80"/>
        <v>0</v>
      </c>
      <c r="O80" s="56">
        <f t="shared" si="80"/>
        <v>0</v>
      </c>
    </row>
    <row r="81" spans="1:15" x14ac:dyDescent="0.3">
      <c r="A81" s="3">
        <f t="shared" si="76"/>
        <v>1505</v>
      </c>
      <c r="B81" s="4" t="str">
        <f>_xlfn.XLOOKUP(A81,'Base Grupo de Produtos'!H:H,'Base Grupo de Produtos'!I:I)</f>
        <v>VENDA INTERNA PI - CONVENIENCIA</v>
      </c>
      <c r="C81" s="56">
        <f t="shared" ref="C81:O81" si="81">C50*C$37</f>
        <v>0</v>
      </c>
      <c r="D81" s="56">
        <f t="shared" si="81"/>
        <v>0</v>
      </c>
      <c r="E81" s="56">
        <f t="shared" si="81"/>
        <v>0</v>
      </c>
      <c r="F81" s="56">
        <f t="shared" si="81"/>
        <v>0</v>
      </c>
      <c r="G81" s="56">
        <f t="shared" si="81"/>
        <v>0</v>
      </c>
      <c r="H81" s="56">
        <f t="shared" si="81"/>
        <v>0</v>
      </c>
      <c r="I81" s="56">
        <f t="shared" si="81"/>
        <v>0</v>
      </c>
      <c r="J81" s="56">
        <f t="shared" si="81"/>
        <v>0</v>
      </c>
      <c r="K81" s="56">
        <f t="shared" si="81"/>
        <v>0</v>
      </c>
      <c r="L81" s="56">
        <f t="shared" si="81"/>
        <v>0</v>
      </c>
      <c r="M81" s="56">
        <f t="shared" si="81"/>
        <v>0</v>
      </c>
      <c r="N81" s="56">
        <f t="shared" si="81"/>
        <v>0</v>
      </c>
      <c r="O81" s="56">
        <f t="shared" si="81"/>
        <v>0</v>
      </c>
    </row>
    <row r="82" spans="1:15" x14ac:dyDescent="0.3">
      <c r="A82" s="3">
        <f t="shared" si="76"/>
        <v>1507</v>
      </c>
      <c r="B82" s="4" t="str">
        <f>_xlfn.XLOOKUP(A82,'Base Grupo de Produtos'!H:H,'Base Grupo de Produtos'!I:I)</f>
        <v>VENDA INTERNA PE - CONVENIENCIA</v>
      </c>
      <c r="C82" s="56">
        <f t="shared" ref="C82:O82" si="82">C51*C$37</f>
        <v>0</v>
      </c>
      <c r="D82" s="56">
        <f t="shared" si="82"/>
        <v>0</v>
      </c>
      <c r="E82" s="56">
        <f t="shared" si="82"/>
        <v>0</v>
      </c>
      <c r="F82" s="56">
        <f t="shared" si="82"/>
        <v>0</v>
      </c>
      <c r="G82" s="56">
        <f t="shared" si="82"/>
        <v>0</v>
      </c>
      <c r="H82" s="56">
        <f t="shared" si="82"/>
        <v>0</v>
      </c>
      <c r="I82" s="56">
        <f t="shared" si="82"/>
        <v>0</v>
      </c>
      <c r="J82" s="56">
        <f t="shared" si="82"/>
        <v>0</v>
      </c>
      <c r="K82" s="56">
        <f t="shared" si="82"/>
        <v>0</v>
      </c>
      <c r="L82" s="56">
        <f t="shared" si="82"/>
        <v>0</v>
      </c>
      <c r="M82" s="56">
        <f t="shared" si="82"/>
        <v>0</v>
      </c>
      <c r="N82" s="56">
        <f t="shared" si="82"/>
        <v>0</v>
      </c>
      <c r="O82" s="56">
        <f t="shared" si="82"/>
        <v>0</v>
      </c>
    </row>
    <row r="83" spans="1:15" x14ac:dyDescent="0.3">
      <c r="A83" s="3">
        <f t="shared" si="76"/>
        <v>1508</v>
      </c>
      <c r="B83" s="4" t="str">
        <f>_xlfn.XLOOKUP(A83,'Base Grupo de Produtos'!H:H,'Base Grupo de Produtos'!I:I)</f>
        <v>VENDA INTERNA SE - CONVENIENCIA</v>
      </c>
      <c r="C83" s="56">
        <f t="shared" ref="C83:O83" si="83">C52*C$37</f>
        <v>0</v>
      </c>
      <c r="D83" s="56">
        <f t="shared" si="83"/>
        <v>0</v>
      </c>
      <c r="E83" s="56">
        <f t="shared" si="83"/>
        <v>0</v>
      </c>
      <c r="F83" s="56">
        <f t="shared" si="83"/>
        <v>0</v>
      </c>
      <c r="G83" s="56">
        <f t="shared" si="83"/>
        <v>0</v>
      </c>
      <c r="H83" s="56">
        <f t="shared" si="83"/>
        <v>0</v>
      </c>
      <c r="I83" s="56">
        <f t="shared" si="83"/>
        <v>0</v>
      </c>
      <c r="J83" s="56">
        <f t="shared" si="83"/>
        <v>0</v>
      </c>
      <c r="K83" s="56">
        <f t="shared" si="83"/>
        <v>0</v>
      </c>
      <c r="L83" s="56">
        <f t="shared" si="83"/>
        <v>0</v>
      </c>
      <c r="M83" s="56">
        <f t="shared" si="83"/>
        <v>0</v>
      </c>
      <c r="N83" s="56">
        <f t="shared" si="83"/>
        <v>0</v>
      </c>
      <c r="O83" s="56">
        <f t="shared" si="83"/>
        <v>0</v>
      </c>
    </row>
    <row r="84" spans="1:15" x14ac:dyDescent="0.3">
      <c r="A84" s="3">
        <f t="shared" si="76"/>
        <v>1509</v>
      </c>
      <c r="B84" s="4" t="str">
        <f>_xlfn.XLOOKUP(A84,'Base Grupo de Produtos'!H:H,'Base Grupo de Produtos'!I:I)</f>
        <v>VENDA INTERNA PB - CONVENIENCIA</v>
      </c>
      <c r="C84" s="56">
        <f t="shared" ref="C84:O84" si="84">C53*C$37</f>
        <v>0</v>
      </c>
      <c r="D84" s="56">
        <f t="shared" si="84"/>
        <v>0</v>
      </c>
      <c r="E84" s="56">
        <f t="shared" si="84"/>
        <v>0</v>
      </c>
      <c r="F84" s="56">
        <f t="shared" si="84"/>
        <v>0</v>
      </c>
      <c r="G84" s="56">
        <f t="shared" si="84"/>
        <v>0</v>
      </c>
      <c r="H84" s="56">
        <f t="shared" si="84"/>
        <v>0</v>
      </c>
      <c r="I84" s="56">
        <f t="shared" si="84"/>
        <v>0</v>
      </c>
      <c r="J84" s="56">
        <f t="shared" si="84"/>
        <v>0</v>
      </c>
      <c r="K84" s="56">
        <f t="shared" si="84"/>
        <v>0</v>
      </c>
      <c r="L84" s="56">
        <f t="shared" si="84"/>
        <v>0</v>
      </c>
      <c r="M84" s="56">
        <f t="shared" si="84"/>
        <v>0</v>
      </c>
      <c r="N84" s="56">
        <f t="shared" si="84"/>
        <v>0</v>
      </c>
      <c r="O84" s="56">
        <f t="shared" si="84"/>
        <v>0</v>
      </c>
    </row>
    <row r="85" spans="1:15" x14ac:dyDescent="0.3">
      <c r="A85" s="3">
        <f t="shared" si="76"/>
        <v>1510</v>
      </c>
      <c r="B85" s="4" t="str">
        <f>_xlfn.XLOOKUP(A85,'Base Grupo de Produtos'!H:H,'Base Grupo de Produtos'!I:I)</f>
        <v>VENDA INTERNA BA - CONVENIENCIA</v>
      </c>
      <c r="C85" s="56">
        <f t="shared" ref="C85:O85" si="85">C54*C$37</f>
        <v>0</v>
      </c>
      <c r="D85" s="56">
        <f t="shared" si="85"/>
        <v>0</v>
      </c>
      <c r="E85" s="56">
        <f t="shared" si="85"/>
        <v>0</v>
      </c>
      <c r="F85" s="56">
        <f t="shared" si="85"/>
        <v>0</v>
      </c>
      <c r="G85" s="56">
        <f t="shared" si="85"/>
        <v>0</v>
      </c>
      <c r="H85" s="56">
        <f t="shared" si="85"/>
        <v>0</v>
      </c>
      <c r="I85" s="56">
        <f t="shared" si="85"/>
        <v>0</v>
      </c>
      <c r="J85" s="56">
        <f t="shared" si="85"/>
        <v>0</v>
      </c>
      <c r="K85" s="56">
        <f t="shared" si="85"/>
        <v>0</v>
      </c>
      <c r="L85" s="56">
        <f t="shared" si="85"/>
        <v>0</v>
      </c>
      <c r="M85" s="56">
        <f t="shared" si="85"/>
        <v>0</v>
      </c>
      <c r="N85" s="56">
        <f t="shared" si="85"/>
        <v>0</v>
      </c>
      <c r="O85" s="56">
        <f t="shared" si="85"/>
        <v>0</v>
      </c>
    </row>
    <row r="86" spans="1:15" x14ac:dyDescent="0.3">
      <c r="A86" s="3">
        <f t="shared" si="76"/>
        <v>1511</v>
      </c>
      <c r="B86" s="4" t="str">
        <f>_xlfn.XLOOKUP(A86,'Base Grupo de Produtos'!H:H,'Base Grupo de Produtos'!I:I)</f>
        <v>VENDA INTERNA MA - CONVENIENCIA</v>
      </c>
      <c r="C86" s="56">
        <f t="shared" ref="C86:O86" si="86">C55*C$37</f>
        <v>0</v>
      </c>
      <c r="D86" s="56">
        <f t="shared" si="86"/>
        <v>0</v>
      </c>
      <c r="E86" s="56">
        <f t="shared" si="86"/>
        <v>0</v>
      </c>
      <c r="F86" s="56">
        <f t="shared" si="86"/>
        <v>0</v>
      </c>
      <c r="G86" s="56">
        <f t="shared" si="86"/>
        <v>0</v>
      </c>
      <c r="H86" s="56">
        <f t="shared" si="86"/>
        <v>0</v>
      </c>
      <c r="I86" s="56">
        <f t="shared" si="86"/>
        <v>0</v>
      </c>
      <c r="J86" s="56">
        <f t="shared" si="86"/>
        <v>0</v>
      </c>
      <c r="K86" s="56">
        <f t="shared" si="86"/>
        <v>0</v>
      </c>
      <c r="L86" s="56">
        <f t="shared" si="86"/>
        <v>0</v>
      </c>
      <c r="M86" s="56">
        <f t="shared" si="86"/>
        <v>0</v>
      </c>
      <c r="N86" s="56">
        <f t="shared" si="86"/>
        <v>0</v>
      </c>
      <c r="O86" s="56">
        <f t="shared" si="86"/>
        <v>0</v>
      </c>
    </row>
    <row r="87" spans="1:15" x14ac:dyDescent="0.3">
      <c r="A87" s="3">
        <f t="shared" si="76"/>
        <v>1512</v>
      </c>
      <c r="B87" s="4" t="str">
        <f>_xlfn.XLOOKUP(A87,'Base Grupo de Produtos'!H:H,'Base Grupo de Produtos'!I:I)</f>
        <v>VENDA INTERNA TO - CONVENIENCIA</v>
      </c>
      <c r="C87" s="56">
        <f t="shared" ref="C87:O87" si="87">C56*C$37</f>
        <v>0</v>
      </c>
      <c r="D87" s="56">
        <f t="shared" si="87"/>
        <v>0</v>
      </c>
      <c r="E87" s="56">
        <f t="shared" si="87"/>
        <v>0</v>
      </c>
      <c r="F87" s="56">
        <f t="shared" si="87"/>
        <v>0</v>
      </c>
      <c r="G87" s="56">
        <f t="shared" si="87"/>
        <v>0</v>
      </c>
      <c r="H87" s="56">
        <f t="shared" si="87"/>
        <v>0</v>
      </c>
      <c r="I87" s="56">
        <f t="shared" si="87"/>
        <v>0</v>
      </c>
      <c r="J87" s="56">
        <f t="shared" si="87"/>
        <v>0</v>
      </c>
      <c r="K87" s="56">
        <f t="shared" si="87"/>
        <v>0</v>
      </c>
      <c r="L87" s="56">
        <f t="shared" si="87"/>
        <v>0</v>
      </c>
      <c r="M87" s="56">
        <f t="shared" si="87"/>
        <v>0</v>
      </c>
      <c r="N87" s="56">
        <f t="shared" si="87"/>
        <v>0</v>
      </c>
      <c r="O87" s="56">
        <f t="shared" si="87"/>
        <v>0</v>
      </c>
    </row>
    <row r="88" spans="1:15" x14ac:dyDescent="0.3">
      <c r="A88" s="3">
        <f t="shared" si="76"/>
        <v>1513</v>
      </c>
      <c r="B88" s="4" t="str">
        <f>_xlfn.XLOOKUP(A88,'Base Grupo de Produtos'!H:H,'Base Grupo de Produtos'!I:I)</f>
        <v>VENDA INTERNA RO - CONVENIENCIA</v>
      </c>
      <c r="C88" s="56">
        <f t="shared" ref="C88:O88" si="88">C57*C$37</f>
        <v>0</v>
      </c>
      <c r="D88" s="56">
        <f t="shared" si="88"/>
        <v>0</v>
      </c>
      <c r="E88" s="56">
        <f t="shared" si="88"/>
        <v>0</v>
      </c>
      <c r="F88" s="56">
        <f t="shared" si="88"/>
        <v>0</v>
      </c>
      <c r="G88" s="56">
        <f t="shared" si="88"/>
        <v>0</v>
      </c>
      <c r="H88" s="56">
        <f t="shared" si="88"/>
        <v>0</v>
      </c>
      <c r="I88" s="56">
        <f t="shared" si="88"/>
        <v>0</v>
      </c>
      <c r="J88" s="56">
        <f t="shared" si="88"/>
        <v>0</v>
      </c>
      <c r="K88" s="56">
        <f t="shared" si="88"/>
        <v>0</v>
      </c>
      <c r="L88" s="56">
        <f t="shared" si="88"/>
        <v>0</v>
      </c>
      <c r="M88" s="56">
        <f t="shared" si="88"/>
        <v>0</v>
      </c>
      <c r="N88" s="56">
        <f t="shared" si="88"/>
        <v>0</v>
      </c>
      <c r="O88" s="56">
        <f t="shared" si="88"/>
        <v>0</v>
      </c>
    </row>
    <row r="89" spans="1:15" x14ac:dyDescent="0.3">
      <c r="A89" s="3">
        <f t="shared" si="76"/>
        <v>1514</v>
      </c>
      <c r="B89" s="4" t="str">
        <f>_xlfn.XLOOKUP(A89,'Base Grupo de Produtos'!H:H,'Base Grupo de Produtos'!I:I)</f>
        <v>VENDA INTERNA RR - CONVENIENCIA</v>
      </c>
      <c r="C89" s="56">
        <f t="shared" ref="C89:O89" si="89">C58*C$37</f>
        <v>0</v>
      </c>
      <c r="D89" s="56">
        <f t="shared" si="89"/>
        <v>0</v>
      </c>
      <c r="E89" s="56">
        <f t="shared" si="89"/>
        <v>0</v>
      </c>
      <c r="F89" s="56">
        <f t="shared" si="89"/>
        <v>0</v>
      </c>
      <c r="G89" s="56">
        <f t="shared" si="89"/>
        <v>0</v>
      </c>
      <c r="H89" s="56">
        <f t="shared" si="89"/>
        <v>0</v>
      </c>
      <c r="I89" s="56">
        <f t="shared" si="89"/>
        <v>0</v>
      </c>
      <c r="J89" s="56">
        <f t="shared" si="89"/>
        <v>0</v>
      </c>
      <c r="K89" s="56">
        <f t="shared" si="89"/>
        <v>0</v>
      </c>
      <c r="L89" s="56">
        <f t="shared" si="89"/>
        <v>0</v>
      </c>
      <c r="M89" s="56">
        <f t="shared" si="89"/>
        <v>0</v>
      </c>
      <c r="N89" s="56">
        <f t="shared" si="89"/>
        <v>0</v>
      </c>
      <c r="O89" s="56">
        <f t="shared" si="89"/>
        <v>0</v>
      </c>
    </row>
    <row r="90" spans="1:15" x14ac:dyDescent="0.3">
      <c r="A90" s="3">
        <f t="shared" si="76"/>
        <v>1515</v>
      </c>
      <c r="B90" s="4" t="str">
        <f>_xlfn.XLOOKUP(A90,'Base Grupo de Produtos'!H:H,'Base Grupo de Produtos'!I:I)</f>
        <v>VENDA INTERNA PA - CONVENIENCIA</v>
      </c>
      <c r="C90" s="56">
        <f t="shared" ref="C90:O90" si="90">C59*C$37</f>
        <v>0</v>
      </c>
      <c r="D90" s="56">
        <f t="shared" si="90"/>
        <v>0</v>
      </c>
      <c r="E90" s="56">
        <f t="shared" si="90"/>
        <v>0</v>
      </c>
      <c r="F90" s="56">
        <f t="shared" si="90"/>
        <v>0</v>
      </c>
      <c r="G90" s="56">
        <f t="shared" si="90"/>
        <v>0</v>
      </c>
      <c r="H90" s="56">
        <f t="shared" si="90"/>
        <v>0</v>
      </c>
      <c r="I90" s="56">
        <f t="shared" si="90"/>
        <v>0</v>
      </c>
      <c r="J90" s="56">
        <f t="shared" si="90"/>
        <v>0</v>
      </c>
      <c r="K90" s="56">
        <f t="shared" si="90"/>
        <v>0</v>
      </c>
      <c r="L90" s="56">
        <f t="shared" si="90"/>
        <v>0</v>
      </c>
      <c r="M90" s="56">
        <f t="shared" si="90"/>
        <v>0</v>
      </c>
      <c r="N90" s="56">
        <f t="shared" si="90"/>
        <v>0</v>
      </c>
      <c r="O90" s="56">
        <f t="shared" si="90"/>
        <v>0</v>
      </c>
    </row>
    <row r="91" spans="1:15" x14ac:dyDescent="0.3">
      <c r="A91" s="3">
        <f t="shared" si="76"/>
        <v>1516</v>
      </c>
      <c r="B91" s="4" t="str">
        <f>_xlfn.XLOOKUP(A91,'Base Grupo de Produtos'!H:H,'Base Grupo de Produtos'!I:I)</f>
        <v>VENDA INTERNA AL - CONVENIENCIA</v>
      </c>
      <c r="C91" s="56">
        <f t="shared" ref="C91:O91" si="91">C60*C$37</f>
        <v>0</v>
      </c>
      <c r="D91" s="56">
        <f t="shared" si="91"/>
        <v>0</v>
      </c>
      <c r="E91" s="56">
        <f t="shared" si="91"/>
        <v>0</v>
      </c>
      <c r="F91" s="56">
        <f t="shared" si="91"/>
        <v>0</v>
      </c>
      <c r="G91" s="56">
        <f t="shared" si="91"/>
        <v>0</v>
      </c>
      <c r="H91" s="56">
        <f t="shared" si="91"/>
        <v>0</v>
      </c>
      <c r="I91" s="56">
        <f t="shared" si="91"/>
        <v>0</v>
      </c>
      <c r="J91" s="56">
        <f t="shared" si="91"/>
        <v>0</v>
      </c>
      <c r="K91" s="56">
        <f t="shared" si="91"/>
        <v>0</v>
      </c>
      <c r="L91" s="56">
        <f t="shared" si="91"/>
        <v>0</v>
      </c>
      <c r="M91" s="56">
        <f t="shared" si="91"/>
        <v>0</v>
      </c>
      <c r="N91" s="56">
        <f t="shared" si="91"/>
        <v>0</v>
      </c>
      <c r="O91" s="56">
        <f t="shared" si="91"/>
        <v>0</v>
      </c>
    </row>
    <row r="92" spans="1:15" x14ac:dyDescent="0.3">
      <c r="A92" s="3">
        <f t="shared" si="76"/>
        <v>1517</v>
      </c>
      <c r="B92" s="4" t="str">
        <f>_xlfn.XLOOKUP(A92,'Base Grupo de Produtos'!H:H,'Base Grupo de Produtos'!I:I)</f>
        <v>VENDA INTERNA AM - CONVENIENCIA</v>
      </c>
      <c r="C92" s="56">
        <f t="shared" ref="C92:O92" si="92">C61*C$37</f>
        <v>0</v>
      </c>
      <c r="D92" s="56">
        <f t="shared" si="92"/>
        <v>0</v>
      </c>
      <c r="E92" s="56">
        <f t="shared" si="92"/>
        <v>0</v>
      </c>
      <c r="F92" s="56">
        <f t="shared" si="92"/>
        <v>0</v>
      </c>
      <c r="G92" s="56">
        <f t="shared" si="92"/>
        <v>0</v>
      </c>
      <c r="H92" s="56">
        <f t="shared" si="92"/>
        <v>0</v>
      </c>
      <c r="I92" s="56">
        <f t="shared" si="92"/>
        <v>0</v>
      </c>
      <c r="J92" s="56">
        <f t="shared" si="92"/>
        <v>0</v>
      </c>
      <c r="K92" s="56">
        <f t="shared" si="92"/>
        <v>0</v>
      </c>
      <c r="L92" s="56">
        <f t="shared" si="92"/>
        <v>0</v>
      </c>
      <c r="M92" s="56">
        <f t="shared" si="92"/>
        <v>0</v>
      </c>
      <c r="N92" s="56">
        <f t="shared" si="92"/>
        <v>0</v>
      </c>
      <c r="O92" s="56">
        <f t="shared" si="92"/>
        <v>0</v>
      </c>
    </row>
    <row r="93" spans="1:15" x14ac:dyDescent="0.3">
      <c r="A93" s="3">
        <f t="shared" si="76"/>
        <v>1518</v>
      </c>
      <c r="B93" s="4" t="str">
        <f>_xlfn.XLOOKUP(A93,'Base Grupo de Produtos'!H:H,'Base Grupo de Produtos'!I:I)</f>
        <v>VENDA INTERNA DF - CONVENIENCIA</v>
      </c>
      <c r="C93" s="56">
        <f t="shared" ref="C93:O93" si="93">C62*C$37</f>
        <v>0</v>
      </c>
      <c r="D93" s="56">
        <f t="shared" si="93"/>
        <v>0</v>
      </c>
      <c r="E93" s="56">
        <f t="shared" si="93"/>
        <v>0</v>
      </c>
      <c r="F93" s="56">
        <f t="shared" si="93"/>
        <v>0</v>
      </c>
      <c r="G93" s="56">
        <f t="shared" si="93"/>
        <v>0</v>
      </c>
      <c r="H93" s="56">
        <f t="shared" si="93"/>
        <v>0</v>
      </c>
      <c r="I93" s="56">
        <f t="shared" si="93"/>
        <v>0</v>
      </c>
      <c r="J93" s="56">
        <f t="shared" si="93"/>
        <v>0</v>
      </c>
      <c r="K93" s="56">
        <f t="shared" si="93"/>
        <v>0</v>
      </c>
      <c r="L93" s="56">
        <f t="shared" si="93"/>
        <v>0</v>
      </c>
      <c r="M93" s="56">
        <f t="shared" si="93"/>
        <v>0</v>
      </c>
      <c r="N93" s="56">
        <f t="shared" si="93"/>
        <v>0</v>
      </c>
      <c r="O93" s="56">
        <f t="shared" si="93"/>
        <v>0</v>
      </c>
    </row>
    <row r="94" spans="1:15" x14ac:dyDescent="0.3">
      <c r="A94" s="3">
        <f t="shared" si="76"/>
        <v>1519</v>
      </c>
      <c r="B94" s="4" t="str">
        <f>_xlfn.XLOOKUP(A94,'Base Grupo de Produtos'!H:H,'Base Grupo de Produtos'!I:I)</f>
        <v>VENDA INTERNA MS - CONVENIENCIA</v>
      </c>
      <c r="C94" s="56">
        <f t="shared" ref="C94:O94" si="94">C63*C$37</f>
        <v>0</v>
      </c>
      <c r="D94" s="56">
        <f t="shared" si="94"/>
        <v>0</v>
      </c>
      <c r="E94" s="56">
        <f t="shared" si="94"/>
        <v>0</v>
      </c>
      <c r="F94" s="56">
        <f t="shared" si="94"/>
        <v>0</v>
      </c>
      <c r="G94" s="56">
        <f t="shared" si="94"/>
        <v>0</v>
      </c>
      <c r="H94" s="56">
        <f t="shared" si="94"/>
        <v>0</v>
      </c>
      <c r="I94" s="56">
        <f t="shared" si="94"/>
        <v>0</v>
      </c>
      <c r="J94" s="56">
        <f t="shared" si="94"/>
        <v>0</v>
      </c>
      <c r="K94" s="56">
        <f t="shared" si="94"/>
        <v>0</v>
      </c>
      <c r="L94" s="56">
        <f t="shared" si="94"/>
        <v>0</v>
      </c>
      <c r="M94" s="56">
        <f t="shared" si="94"/>
        <v>0</v>
      </c>
      <c r="N94" s="56">
        <f t="shared" si="94"/>
        <v>0</v>
      </c>
      <c r="O94" s="56">
        <f t="shared" si="94"/>
        <v>0</v>
      </c>
    </row>
    <row r="95" spans="1:15" x14ac:dyDescent="0.3">
      <c r="A95" s="3">
        <f t="shared" si="76"/>
        <v>1520</v>
      </c>
      <c r="B95" s="4" t="str">
        <f>_xlfn.XLOOKUP(A95,'Base Grupo de Produtos'!H:H,'Base Grupo de Produtos'!I:I)</f>
        <v>VENDA INTERNA MT - CONVENIENCIA</v>
      </c>
      <c r="C95" s="56">
        <f t="shared" ref="C95:O95" si="95">C64*C$37</f>
        <v>0</v>
      </c>
      <c r="D95" s="56">
        <f t="shared" si="95"/>
        <v>0</v>
      </c>
      <c r="E95" s="56">
        <f t="shared" si="95"/>
        <v>0</v>
      </c>
      <c r="F95" s="56">
        <f t="shared" si="95"/>
        <v>0</v>
      </c>
      <c r="G95" s="56">
        <f t="shared" si="95"/>
        <v>0</v>
      </c>
      <c r="H95" s="56">
        <f t="shared" si="95"/>
        <v>0</v>
      </c>
      <c r="I95" s="56">
        <f t="shared" si="95"/>
        <v>0</v>
      </c>
      <c r="J95" s="56">
        <f t="shared" si="95"/>
        <v>0</v>
      </c>
      <c r="K95" s="56">
        <f t="shared" si="95"/>
        <v>0</v>
      </c>
      <c r="L95" s="56">
        <f t="shared" si="95"/>
        <v>0</v>
      </c>
      <c r="M95" s="56">
        <f t="shared" si="95"/>
        <v>0</v>
      </c>
      <c r="N95" s="56">
        <f t="shared" si="95"/>
        <v>0</v>
      </c>
      <c r="O95" s="56">
        <f t="shared" si="95"/>
        <v>0</v>
      </c>
    </row>
    <row r="96" spans="1:15" x14ac:dyDescent="0.3">
      <c r="A96" s="3">
        <f t="shared" si="76"/>
        <v>1521</v>
      </c>
      <c r="B96" s="4" t="str">
        <f>_xlfn.XLOOKUP(A96,'Base Grupo de Produtos'!H:H,'Base Grupo de Produtos'!I:I)</f>
        <v>VENDA INTERNA GO - CONVENIENCIA</v>
      </c>
      <c r="C96" s="56">
        <f t="shared" ref="C96:O96" si="96">C65*C$37</f>
        <v>0</v>
      </c>
      <c r="D96" s="56">
        <f t="shared" si="96"/>
        <v>0</v>
      </c>
      <c r="E96" s="56">
        <f t="shared" si="96"/>
        <v>0</v>
      </c>
      <c r="F96" s="56">
        <f t="shared" si="96"/>
        <v>0</v>
      </c>
      <c r="G96" s="56">
        <f t="shared" si="96"/>
        <v>0</v>
      </c>
      <c r="H96" s="56">
        <f t="shared" si="96"/>
        <v>0</v>
      </c>
      <c r="I96" s="56">
        <f t="shared" si="96"/>
        <v>0</v>
      </c>
      <c r="J96" s="56">
        <f t="shared" si="96"/>
        <v>0</v>
      </c>
      <c r="K96" s="56">
        <f t="shared" si="96"/>
        <v>0</v>
      </c>
      <c r="L96" s="56">
        <f t="shared" si="96"/>
        <v>0</v>
      </c>
      <c r="M96" s="56">
        <f t="shared" si="96"/>
        <v>0</v>
      </c>
      <c r="N96" s="56">
        <f t="shared" si="96"/>
        <v>0</v>
      </c>
      <c r="O96" s="56">
        <f t="shared" si="96"/>
        <v>0</v>
      </c>
    </row>
    <row r="97" spans="1:15" x14ac:dyDescent="0.3">
      <c r="A97" s="3">
        <f t="shared" si="76"/>
        <v>1522</v>
      </c>
      <c r="B97" s="4" t="str">
        <f>_xlfn.XLOOKUP(A97,'Base Grupo de Produtos'!H:H,'Base Grupo de Produtos'!I:I)</f>
        <v>VENDA INTERNA ES - CONVENIENCIA</v>
      </c>
      <c r="C97" s="56">
        <f t="shared" ref="C97:O97" si="97">C66*C$37</f>
        <v>0</v>
      </c>
      <c r="D97" s="56">
        <f t="shared" si="97"/>
        <v>0</v>
      </c>
      <c r="E97" s="56">
        <f t="shared" si="97"/>
        <v>0</v>
      </c>
      <c r="F97" s="56">
        <f t="shared" si="97"/>
        <v>0</v>
      </c>
      <c r="G97" s="56">
        <f t="shared" si="97"/>
        <v>0</v>
      </c>
      <c r="H97" s="56">
        <f t="shared" si="97"/>
        <v>0</v>
      </c>
      <c r="I97" s="56">
        <f t="shared" si="97"/>
        <v>0</v>
      </c>
      <c r="J97" s="56">
        <f t="shared" si="97"/>
        <v>0</v>
      </c>
      <c r="K97" s="56">
        <f t="shared" si="97"/>
        <v>0</v>
      </c>
      <c r="L97" s="56">
        <f t="shared" si="97"/>
        <v>0</v>
      </c>
      <c r="M97" s="56">
        <f t="shared" si="97"/>
        <v>0</v>
      </c>
      <c r="N97" s="56">
        <f t="shared" si="97"/>
        <v>0</v>
      </c>
      <c r="O97" s="56">
        <f t="shared" si="97"/>
        <v>0</v>
      </c>
    </row>
    <row r="98" spans="1:15" x14ac:dyDescent="0.3">
      <c r="A98" s="3">
        <f t="shared" si="76"/>
        <v>1523</v>
      </c>
      <c r="B98" s="4" t="str">
        <f>_xlfn.XLOOKUP(A98,'Base Grupo de Produtos'!H:H,'Base Grupo de Produtos'!I:I)</f>
        <v>VENDA INTERNA RJ - CONVENIENCIA</v>
      </c>
      <c r="C98" s="56">
        <f t="shared" ref="C98:O98" si="98">C67*C$37</f>
        <v>0</v>
      </c>
      <c r="D98" s="56">
        <f t="shared" si="98"/>
        <v>0</v>
      </c>
      <c r="E98" s="56">
        <f t="shared" si="98"/>
        <v>0</v>
      </c>
      <c r="F98" s="56">
        <f t="shared" si="98"/>
        <v>0</v>
      </c>
      <c r="G98" s="56">
        <f t="shared" si="98"/>
        <v>0</v>
      </c>
      <c r="H98" s="56">
        <f t="shared" si="98"/>
        <v>0</v>
      </c>
      <c r="I98" s="56">
        <f t="shared" si="98"/>
        <v>0</v>
      </c>
      <c r="J98" s="56">
        <f t="shared" si="98"/>
        <v>0</v>
      </c>
      <c r="K98" s="56">
        <f t="shared" si="98"/>
        <v>0</v>
      </c>
      <c r="L98" s="56">
        <f t="shared" si="98"/>
        <v>0</v>
      </c>
      <c r="M98" s="56">
        <f t="shared" si="98"/>
        <v>0</v>
      </c>
      <c r="N98" s="56">
        <f t="shared" si="98"/>
        <v>0</v>
      </c>
      <c r="O98" s="56">
        <f t="shared" si="98"/>
        <v>0</v>
      </c>
    </row>
    <row r="99" spans="1:15" x14ac:dyDescent="0.3">
      <c r="A99" s="3">
        <f t="shared" si="76"/>
        <v>1524</v>
      </c>
      <c r="B99" s="4" t="str">
        <f>_xlfn.XLOOKUP(A99,'Base Grupo de Produtos'!H:H,'Base Grupo de Produtos'!I:I)</f>
        <v>VENDA INTERNA MG - CONVENIENCIA</v>
      </c>
      <c r="C99" s="56">
        <f t="shared" ref="C99:O99" si="99">C68*C$37</f>
        <v>0</v>
      </c>
      <c r="D99" s="56">
        <f t="shared" si="99"/>
        <v>0</v>
      </c>
      <c r="E99" s="56">
        <f t="shared" si="99"/>
        <v>0</v>
      </c>
      <c r="F99" s="56">
        <f t="shared" si="99"/>
        <v>0</v>
      </c>
      <c r="G99" s="56">
        <f t="shared" si="99"/>
        <v>2400</v>
      </c>
      <c r="H99" s="56">
        <f t="shared" si="99"/>
        <v>2400</v>
      </c>
      <c r="I99" s="56">
        <f t="shared" si="99"/>
        <v>3200</v>
      </c>
      <c r="J99" s="56">
        <f t="shared" si="99"/>
        <v>4000</v>
      </c>
      <c r="K99" s="56">
        <f t="shared" si="99"/>
        <v>4800</v>
      </c>
      <c r="L99" s="56">
        <f t="shared" si="99"/>
        <v>5600</v>
      </c>
      <c r="M99" s="56">
        <f t="shared" si="99"/>
        <v>6400</v>
      </c>
      <c r="N99" s="56">
        <f t="shared" si="99"/>
        <v>7200</v>
      </c>
      <c r="O99" s="56">
        <f t="shared" si="99"/>
        <v>7200</v>
      </c>
    </row>
    <row r="100" spans="1:15" x14ac:dyDescent="0.3">
      <c r="A100" s="3">
        <f t="shared" si="76"/>
        <v>1525</v>
      </c>
      <c r="B100" s="4" t="str">
        <f>_xlfn.XLOOKUP(A100,'Base Grupo de Produtos'!H:H,'Base Grupo de Produtos'!I:I)</f>
        <v>VENDA INTERNA SP CAPITAL - CONVENIENCIA</v>
      </c>
      <c r="C100" s="56">
        <f t="shared" ref="C100:O100" si="100">C69*C$37</f>
        <v>0</v>
      </c>
      <c r="D100" s="56">
        <f t="shared" si="100"/>
        <v>0</v>
      </c>
      <c r="E100" s="56">
        <f t="shared" si="100"/>
        <v>0</v>
      </c>
      <c r="F100" s="56">
        <f t="shared" si="100"/>
        <v>0</v>
      </c>
      <c r="G100" s="56">
        <f t="shared" si="100"/>
        <v>2400</v>
      </c>
      <c r="H100" s="56">
        <f t="shared" si="100"/>
        <v>2400</v>
      </c>
      <c r="I100" s="56">
        <f t="shared" si="100"/>
        <v>3200</v>
      </c>
      <c r="J100" s="56">
        <f t="shared" si="100"/>
        <v>4000</v>
      </c>
      <c r="K100" s="56">
        <f t="shared" si="100"/>
        <v>4800</v>
      </c>
      <c r="L100" s="56">
        <f t="shared" si="100"/>
        <v>5600</v>
      </c>
      <c r="M100" s="56">
        <f t="shared" si="100"/>
        <v>6400</v>
      </c>
      <c r="N100" s="56">
        <f t="shared" si="100"/>
        <v>7200</v>
      </c>
      <c r="O100" s="56">
        <f t="shared" si="100"/>
        <v>7200</v>
      </c>
    </row>
    <row r="101" spans="1:15" x14ac:dyDescent="0.3">
      <c r="A101" s="3">
        <f t="shared" si="76"/>
        <v>1526</v>
      </c>
      <c r="B101" s="4" t="str">
        <f>_xlfn.XLOOKUP(A101,'Base Grupo de Produtos'!H:H,'Base Grupo de Produtos'!I:I)</f>
        <v>VENDA INTERNA SP INTERIOR - CONVENIENCIA</v>
      </c>
      <c r="C101" s="56">
        <f t="shared" ref="C101:O102" si="101">C70*C$37</f>
        <v>0</v>
      </c>
      <c r="D101" s="56">
        <f t="shared" si="101"/>
        <v>0</v>
      </c>
      <c r="E101" s="56">
        <f t="shared" si="101"/>
        <v>0</v>
      </c>
      <c r="F101" s="56">
        <f t="shared" si="101"/>
        <v>0</v>
      </c>
      <c r="G101" s="56">
        <f t="shared" si="101"/>
        <v>0</v>
      </c>
      <c r="H101" s="56">
        <f t="shared" si="101"/>
        <v>0</v>
      </c>
      <c r="I101" s="56">
        <f t="shared" si="101"/>
        <v>0</v>
      </c>
      <c r="J101" s="56">
        <f t="shared" si="101"/>
        <v>0</v>
      </c>
      <c r="K101" s="56">
        <f t="shared" si="101"/>
        <v>0</v>
      </c>
      <c r="L101" s="56">
        <f t="shared" si="101"/>
        <v>0</v>
      </c>
      <c r="M101" s="56">
        <f t="shared" si="101"/>
        <v>0</v>
      </c>
      <c r="N101" s="56">
        <f t="shared" si="101"/>
        <v>0</v>
      </c>
      <c r="O101" s="56">
        <f t="shared" si="101"/>
        <v>0</v>
      </c>
    </row>
    <row r="102" spans="1:15" x14ac:dyDescent="0.3">
      <c r="A102" s="3">
        <v>1532</v>
      </c>
      <c r="B102" s="4" t="s">
        <v>368</v>
      </c>
      <c r="C102" s="56">
        <f t="shared" si="101"/>
        <v>0</v>
      </c>
      <c r="D102" s="56">
        <f t="shared" si="101"/>
        <v>0</v>
      </c>
      <c r="E102" s="56">
        <f t="shared" si="101"/>
        <v>0</v>
      </c>
      <c r="F102" s="56">
        <f t="shared" si="101"/>
        <v>0</v>
      </c>
      <c r="G102" s="56">
        <f t="shared" si="101"/>
        <v>0</v>
      </c>
      <c r="H102" s="56">
        <f t="shared" si="101"/>
        <v>0</v>
      </c>
      <c r="I102" s="56">
        <f t="shared" si="101"/>
        <v>0</v>
      </c>
      <c r="J102" s="56">
        <f t="shared" si="101"/>
        <v>0</v>
      </c>
      <c r="K102" s="56">
        <f t="shared" si="101"/>
        <v>0</v>
      </c>
      <c r="L102" s="56">
        <f t="shared" si="101"/>
        <v>0</v>
      </c>
      <c r="M102" s="56">
        <f t="shared" si="101"/>
        <v>0</v>
      </c>
      <c r="N102" s="56">
        <f t="shared" si="101"/>
        <v>0</v>
      </c>
      <c r="O102" s="56">
        <f t="shared" si="101"/>
        <v>0</v>
      </c>
    </row>
    <row r="103" spans="1:15" x14ac:dyDescent="0.3">
      <c r="A103" s="3">
        <f>A28</f>
        <v>1528</v>
      </c>
      <c r="B103" s="4" t="str">
        <f>_xlfn.XLOOKUP(A103,'Base Grupo de Produtos'!H:H,'Base Grupo de Produtos'!I:I)</f>
        <v>VENDA INTERNA RS - CONVENIENCIA</v>
      </c>
      <c r="C103" s="56">
        <f t="shared" ref="C103:O103" si="102">C72*C$37</f>
        <v>0</v>
      </c>
      <c r="D103" s="56">
        <f t="shared" si="102"/>
        <v>0</v>
      </c>
      <c r="E103" s="56">
        <f t="shared" si="102"/>
        <v>0</v>
      </c>
      <c r="F103" s="56">
        <f t="shared" si="102"/>
        <v>0</v>
      </c>
      <c r="G103" s="56">
        <f t="shared" si="102"/>
        <v>3200</v>
      </c>
      <c r="H103" s="56">
        <f t="shared" si="102"/>
        <v>4000</v>
      </c>
      <c r="I103" s="56">
        <f t="shared" si="102"/>
        <v>5600</v>
      </c>
      <c r="J103" s="56">
        <f t="shared" si="102"/>
        <v>6400</v>
      </c>
      <c r="K103" s="56">
        <f t="shared" si="102"/>
        <v>8000</v>
      </c>
      <c r="L103" s="56">
        <f t="shared" si="102"/>
        <v>8800</v>
      </c>
      <c r="M103" s="56">
        <f t="shared" si="102"/>
        <v>9600</v>
      </c>
      <c r="N103" s="56">
        <f t="shared" si="102"/>
        <v>11200</v>
      </c>
      <c r="O103" s="56">
        <f t="shared" si="102"/>
        <v>12000</v>
      </c>
    </row>
    <row r="104" spans="1:15" x14ac:dyDescent="0.3">
      <c r="A104" s="3">
        <f>A29</f>
        <v>1530</v>
      </c>
      <c r="B104" s="4" t="str">
        <f>_xlfn.XLOOKUP(A104,'Base Grupo de Produtos'!H:H,'Base Grupo de Produtos'!I:I)</f>
        <v>VENDA INTERNA SC - CONVENIENCIA</v>
      </c>
      <c r="C104" s="56">
        <f t="shared" ref="C104:O104" si="103">C73*C$37</f>
        <v>0</v>
      </c>
      <c r="D104" s="56">
        <f t="shared" si="103"/>
        <v>0</v>
      </c>
      <c r="E104" s="56">
        <f t="shared" si="103"/>
        <v>0</v>
      </c>
      <c r="F104" s="56">
        <f t="shared" si="103"/>
        <v>0</v>
      </c>
      <c r="G104" s="56">
        <f t="shared" si="103"/>
        <v>2400</v>
      </c>
      <c r="H104" s="56">
        <f t="shared" si="103"/>
        <v>2400</v>
      </c>
      <c r="I104" s="56">
        <f t="shared" si="103"/>
        <v>3200</v>
      </c>
      <c r="J104" s="56">
        <f t="shared" si="103"/>
        <v>4000</v>
      </c>
      <c r="K104" s="56">
        <f t="shared" si="103"/>
        <v>4800</v>
      </c>
      <c r="L104" s="56">
        <f t="shared" si="103"/>
        <v>5600</v>
      </c>
      <c r="M104" s="56">
        <f t="shared" si="103"/>
        <v>6400</v>
      </c>
      <c r="N104" s="56">
        <f t="shared" si="103"/>
        <v>7200</v>
      </c>
      <c r="O104" s="56">
        <f t="shared" si="103"/>
        <v>7200</v>
      </c>
    </row>
    <row r="105" spans="1:15" x14ac:dyDescent="0.3">
      <c r="A105" s="95" t="s">
        <v>221</v>
      </c>
      <c r="B105" s="96"/>
      <c r="C105" s="57">
        <f t="shared" ref="C105:O105" si="104">SUM(C77:C104)</f>
        <v>0</v>
      </c>
      <c r="D105" s="57">
        <f t="shared" si="104"/>
        <v>0</v>
      </c>
      <c r="E105" s="57">
        <f t="shared" si="104"/>
        <v>0</v>
      </c>
      <c r="F105" s="57">
        <f t="shared" si="104"/>
        <v>0</v>
      </c>
      <c r="G105" s="57">
        <f t="shared" si="104"/>
        <v>10400</v>
      </c>
      <c r="H105" s="57">
        <f t="shared" si="104"/>
        <v>11200</v>
      </c>
      <c r="I105" s="57">
        <f t="shared" si="104"/>
        <v>15200</v>
      </c>
      <c r="J105" s="57">
        <f t="shared" si="104"/>
        <v>18400</v>
      </c>
      <c r="K105" s="57">
        <f t="shared" si="104"/>
        <v>22400</v>
      </c>
      <c r="L105" s="57">
        <f t="shared" si="104"/>
        <v>25600</v>
      </c>
      <c r="M105" s="57">
        <f t="shared" si="104"/>
        <v>28800</v>
      </c>
      <c r="N105" s="57">
        <f t="shared" si="104"/>
        <v>32800</v>
      </c>
      <c r="O105" s="57">
        <f t="shared" si="104"/>
        <v>33600</v>
      </c>
    </row>
  </sheetData>
  <autoFilter ref="A45:O74" xr:uid="{E583C42A-9516-449D-AB71-15C0EFAD6710}"/>
  <mergeCells count="12">
    <mergeCell ref="A105:B105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74:B74"/>
  </mergeCells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36E98-6904-439B-A78F-DFA1A2A6C532}">
  <dimension ref="A1:N46"/>
  <sheetViews>
    <sheetView showGridLines="0" zoomScaleNormal="100" workbookViewId="0">
      <selection activeCell="N7" sqref="N7"/>
    </sheetView>
  </sheetViews>
  <sheetFormatPr defaultRowHeight="14.4" x14ac:dyDescent="0.3"/>
  <cols>
    <col min="1" max="1" width="11" customWidth="1"/>
    <col min="2" max="3" width="38.88671875" customWidth="1"/>
    <col min="4" max="4" width="19.6640625" customWidth="1"/>
    <col min="5" max="6" width="14.33203125" customWidth="1"/>
    <col min="13" max="13" width="19.5546875" bestFit="1" customWidth="1"/>
    <col min="14" max="14" width="10.5546875" customWidth="1"/>
  </cols>
  <sheetData>
    <row r="1" spans="1:14" x14ac:dyDescent="0.3">
      <c r="A1" s="22" t="s">
        <v>55</v>
      </c>
      <c r="B1" s="22" t="s">
        <v>61</v>
      </c>
      <c r="C1" s="22" t="s">
        <v>119</v>
      </c>
      <c r="D1" s="22" t="s">
        <v>146</v>
      </c>
      <c r="E1" s="22" t="s">
        <v>147</v>
      </c>
      <c r="F1" s="22" t="s">
        <v>148</v>
      </c>
    </row>
    <row r="2" spans="1:14" x14ac:dyDescent="0.3">
      <c r="A2" s="3">
        <v>501</v>
      </c>
      <c r="B2" s="4" t="s">
        <v>44</v>
      </c>
      <c r="C2" s="4"/>
      <c r="D2" s="4"/>
      <c r="E2" s="4"/>
      <c r="F2" s="4"/>
      <c r="G2" t="e">
        <f>A2&amp;'Base Grupo de Produtos'!#REF!</f>
        <v>#REF!</v>
      </c>
    </row>
    <row r="3" spans="1:14" x14ac:dyDescent="0.3">
      <c r="A3" s="3">
        <v>923</v>
      </c>
      <c r="B3" s="4" t="s">
        <v>42</v>
      </c>
      <c r="C3" s="4" t="s">
        <v>42</v>
      </c>
      <c r="D3" s="4"/>
      <c r="E3" s="4"/>
      <c r="F3" s="4"/>
      <c r="G3" t="e">
        <f>A3&amp;'Base Grupo de Produtos'!#REF!</f>
        <v>#REF!</v>
      </c>
    </row>
    <row r="4" spans="1:14" x14ac:dyDescent="0.3">
      <c r="A4" s="3">
        <v>1130</v>
      </c>
      <c r="B4" s="4" t="s">
        <v>40</v>
      </c>
      <c r="C4" s="4"/>
      <c r="D4" s="4"/>
      <c r="E4" s="4"/>
      <c r="F4" s="4"/>
      <c r="G4" t="e">
        <f>A4&amp;'Base Grupo de Produtos'!#REF!</f>
        <v>#REF!</v>
      </c>
    </row>
    <row r="5" spans="1:14" x14ac:dyDescent="0.3">
      <c r="A5" s="3">
        <v>1323</v>
      </c>
      <c r="B5" s="4" t="s">
        <v>37</v>
      </c>
      <c r="C5" s="4"/>
      <c r="D5" s="4"/>
      <c r="E5" s="4"/>
      <c r="F5" s="4"/>
      <c r="G5" t="e">
        <f>A5&amp;'Base Grupo de Produtos'!#REF!</f>
        <v>#REF!</v>
      </c>
    </row>
    <row r="6" spans="1:14" x14ac:dyDescent="0.3">
      <c r="A6" s="3">
        <v>1324</v>
      </c>
      <c r="B6" s="4" t="s">
        <v>36</v>
      </c>
      <c r="C6" s="4" t="s">
        <v>36</v>
      </c>
      <c r="D6" s="4" t="s">
        <v>145</v>
      </c>
      <c r="E6" s="23">
        <v>23553.81</v>
      </c>
      <c r="F6" s="23">
        <v>0</v>
      </c>
      <c r="G6" t="e">
        <f>A6&amp;'Base Grupo de Produtos'!#REF!</f>
        <v>#REF!</v>
      </c>
      <c r="M6" s="4" t="s">
        <v>43</v>
      </c>
      <c r="N6" t="e">
        <f>_xlfn.XLOOKUP(M6,B:B,B:B)</f>
        <v>#N/A</v>
      </c>
    </row>
    <row r="7" spans="1:14" x14ac:dyDescent="0.3">
      <c r="A7" s="3">
        <v>1325</v>
      </c>
      <c r="B7" s="4" t="s">
        <v>35</v>
      </c>
      <c r="C7" s="4" t="s">
        <v>35</v>
      </c>
      <c r="D7" s="4" t="s">
        <v>129</v>
      </c>
      <c r="E7" s="23">
        <v>56747.51</v>
      </c>
      <c r="F7" s="23">
        <v>17652.8</v>
      </c>
      <c r="G7" t="e">
        <f>A7&amp;'Base Grupo de Produtos'!#REF!</f>
        <v>#REF!</v>
      </c>
      <c r="M7" s="4" t="s">
        <v>41</v>
      </c>
      <c r="N7" t="e">
        <f t="shared" ref="N7:N46" si="0">_xlfn.XLOOKUP(M7,B:B,B:B)</f>
        <v>#N/A</v>
      </c>
    </row>
    <row r="8" spans="1:14" x14ac:dyDescent="0.3">
      <c r="A8" s="3">
        <v>1326</v>
      </c>
      <c r="B8" s="4" t="s">
        <v>34</v>
      </c>
      <c r="C8" s="4" t="s">
        <v>34</v>
      </c>
      <c r="D8" s="4" t="s">
        <v>142</v>
      </c>
      <c r="E8" s="23">
        <v>12252.079999999998</v>
      </c>
      <c r="F8" s="23">
        <v>0</v>
      </c>
      <c r="G8" t="e">
        <f>A8&amp;'Base Grupo de Produtos'!#REF!</f>
        <v>#REF!</v>
      </c>
      <c r="M8" s="4" t="s">
        <v>40</v>
      </c>
      <c r="N8" t="str">
        <f t="shared" si="0"/>
        <v>SP - CASA HIRATA</v>
      </c>
    </row>
    <row r="9" spans="1:14" x14ac:dyDescent="0.3">
      <c r="A9" s="3">
        <v>1327</v>
      </c>
      <c r="B9" s="4" t="s">
        <v>33</v>
      </c>
      <c r="C9" s="4" t="s">
        <v>33</v>
      </c>
      <c r="D9" s="4" t="s">
        <v>133</v>
      </c>
      <c r="E9" s="23">
        <v>14925.15</v>
      </c>
      <c r="F9" s="23">
        <v>0</v>
      </c>
      <c r="G9" t="e">
        <f>A9&amp;'Base Grupo de Produtos'!#REF!</f>
        <v>#REF!</v>
      </c>
      <c r="M9" s="4" t="s">
        <v>39</v>
      </c>
      <c r="N9" t="e">
        <f t="shared" si="0"/>
        <v>#N/A</v>
      </c>
    </row>
    <row r="10" spans="1:14" x14ac:dyDescent="0.3">
      <c r="A10" s="3">
        <v>1328</v>
      </c>
      <c r="B10" s="4" t="s">
        <v>32</v>
      </c>
      <c r="C10" s="4" t="s">
        <v>32</v>
      </c>
      <c r="D10" s="4" t="s">
        <v>135</v>
      </c>
      <c r="E10" s="23">
        <v>31395.599999999999</v>
      </c>
      <c r="F10" s="23">
        <v>5802.32</v>
      </c>
      <c r="G10" t="e">
        <f>A10&amp;'Base Grupo de Produtos'!#REF!</f>
        <v>#REF!</v>
      </c>
      <c r="M10" s="4" t="s">
        <v>38</v>
      </c>
      <c r="N10" t="e">
        <f t="shared" si="0"/>
        <v>#N/A</v>
      </c>
    </row>
    <row r="11" spans="1:14" x14ac:dyDescent="0.3">
      <c r="A11" s="3">
        <v>1329</v>
      </c>
      <c r="B11" s="4" t="s">
        <v>31</v>
      </c>
      <c r="C11" s="4" t="s">
        <v>31</v>
      </c>
      <c r="D11" s="4" t="s">
        <v>139</v>
      </c>
      <c r="E11" s="23">
        <v>15738.54</v>
      </c>
      <c r="F11" s="23">
        <v>0</v>
      </c>
      <c r="G11" t="e">
        <f>A11&amp;'Base Grupo de Produtos'!#REF!</f>
        <v>#REF!</v>
      </c>
      <c r="M11" s="4" t="s">
        <v>37</v>
      </c>
      <c r="N11" t="str">
        <f t="shared" si="0"/>
        <v>BODY SP CAPITAL - KABUM SUPL (NAIELY)</v>
      </c>
    </row>
    <row r="12" spans="1:14" x14ac:dyDescent="0.3">
      <c r="A12" s="3">
        <v>1330</v>
      </c>
      <c r="B12" s="4" t="s">
        <v>30</v>
      </c>
      <c r="C12" s="4" t="s">
        <v>30</v>
      </c>
      <c r="D12" s="4" t="s">
        <v>140</v>
      </c>
      <c r="E12" s="23">
        <v>12373.689999999999</v>
      </c>
      <c r="F12" s="23">
        <v>0</v>
      </c>
      <c r="G12" t="e">
        <f>A12&amp;'Base Grupo de Produtos'!#REF!</f>
        <v>#REF!</v>
      </c>
      <c r="M12" s="4" t="s">
        <v>36</v>
      </c>
      <c r="N12" t="str">
        <f t="shared" si="0"/>
        <v>VENDA DIRETA AP</v>
      </c>
    </row>
    <row r="13" spans="1:14" x14ac:dyDescent="0.3">
      <c r="A13" s="3">
        <v>1331</v>
      </c>
      <c r="B13" s="4" t="s">
        <v>29</v>
      </c>
      <c r="C13" s="4" t="s">
        <v>29</v>
      </c>
      <c r="D13" s="4" t="s">
        <v>134</v>
      </c>
      <c r="E13" s="23">
        <v>110342.43000000001</v>
      </c>
      <c r="F13" s="23">
        <v>13435.42</v>
      </c>
      <c r="G13" t="e">
        <f>A13&amp;'Base Grupo de Produtos'!#REF!</f>
        <v>#REF!</v>
      </c>
      <c r="M13" s="4" t="s">
        <v>35</v>
      </c>
      <c r="N13" t="str">
        <f t="shared" si="0"/>
        <v>VENDA DIRETA RN</v>
      </c>
    </row>
    <row r="14" spans="1:14" x14ac:dyDescent="0.3">
      <c r="A14" s="3">
        <v>1332</v>
      </c>
      <c r="B14" s="4" t="s">
        <v>28</v>
      </c>
      <c r="C14" s="4" t="s">
        <v>28</v>
      </c>
      <c r="D14" s="4" t="s">
        <v>138</v>
      </c>
      <c r="E14" s="23">
        <v>31319.819999999996</v>
      </c>
      <c r="F14" s="23">
        <v>4386.8</v>
      </c>
      <c r="G14" t="e">
        <f>A14&amp;'Base Grupo de Produtos'!#REF!</f>
        <v>#REF!</v>
      </c>
      <c r="M14" s="4" t="s">
        <v>34</v>
      </c>
      <c r="N14" t="str">
        <f t="shared" si="0"/>
        <v>VENDA DIRETA CE</v>
      </c>
    </row>
    <row r="15" spans="1:14" x14ac:dyDescent="0.3">
      <c r="A15" s="3">
        <v>1346</v>
      </c>
      <c r="B15" s="4" t="s">
        <v>27</v>
      </c>
      <c r="C15" s="4" t="s">
        <v>27</v>
      </c>
      <c r="D15" s="4" t="s">
        <v>137</v>
      </c>
      <c r="E15" s="23">
        <v>10326.41</v>
      </c>
      <c r="F15" s="23">
        <v>2697.77</v>
      </c>
      <c r="G15" t="e">
        <f>A15&amp;'Base Grupo de Produtos'!#REF!</f>
        <v>#REF!</v>
      </c>
      <c r="M15" s="4" t="s">
        <v>33</v>
      </c>
      <c r="N15" t="str">
        <f t="shared" si="0"/>
        <v>VENDA DIRETA PI</v>
      </c>
    </row>
    <row r="16" spans="1:14" x14ac:dyDescent="0.3">
      <c r="A16" s="3">
        <v>1347</v>
      </c>
      <c r="B16" s="4" t="s">
        <v>26</v>
      </c>
      <c r="C16" s="4" t="s">
        <v>26</v>
      </c>
      <c r="D16" s="4" t="s">
        <v>141</v>
      </c>
      <c r="E16" s="23">
        <v>7322.56</v>
      </c>
      <c r="F16" s="23">
        <v>0</v>
      </c>
      <c r="G16" t="e">
        <f>A16&amp;'Base Grupo de Produtos'!#REF!</f>
        <v>#REF!</v>
      </c>
      <c r="M16" s="4" t="s">
        <v>32</v>
      </c>
      <c r="N16" t="str">
        <f t="shared" si="0"/>
        <v>VENDA DIRETA PE</v>
      </c>
    </row>
    <row r="17" spans="1:14" x14ac:dyDescent="0.3">
      <c r="A17" s="3">
        <v>1348</v>
      </c>
      <c r="B17" s="4" t="s">
        <v>25</v>
      </c>
      <c r="C17" s="4" t="s">
        <v>25</v>
      </c>
      <c r="D17" s="4" t="s">
        <v>143</v>
      </c>
      <c r="E17" s="23">
        <v>3267.36</v>
      </c>
      <c r="F17" s="23">
        <v>0</v>
      </c>
      <c r="G17" t="e">
        <f>A17&amp;'Base Grupo de Produtos'!#REF!</f>
        <v>#REF!</v>
      </c>
      <c r="M17" s="4" t="s">
        <v>31</v>
      </c>
      <c r="N17" t="str">
        <f t="shared" si="0"/>
        <v>VENDA DIRETA PB</v>
      </c>
    </row>
    <row r="18" spans="1:14" x14ac:dyDescent="0.3">
      <c r="A18" s="3">
        <v>1349</v>
      </c>
      <c r="B18" s="4" t="s">
        <v>24</v>
      </c>
      <c r="C18" s="4" t="s">
        <v>24</v>
      </c>
      <c r="D18" s="4" t="s">
        <v>131</v>
      </c>
      <c r="E18" s="23">
        <v>57263.179999999986</v>
      </c>
      <c r="F18" s="23">
        <v>10883.72</v>
      </c>
      <c r="G18" t="e">
        <f>A18&amp;'Base Grupo de Produtos'!#REF!</f>
        <v>#REF!</v>
      </c>
      <c r="M18" s="4" t="s">
        <v>30</v>
      </c>
      <c r="N18" t="str">
        <f t="shared" si="0"/>
        <v>VENDA DIRETA SE</v>
      </c>
    </row>
    <row r="19" spans="1:14" x14ac:dyDescent="0.3">
      <c r="A19" s="3">
        <v>1350</v>
      </c>
      <c r="B19" s="4" t="s">
        <v>23</v>
      </c>
      <c r="C19" s="4" t="s">
        <v>23</v>
      </c>
      <c r="D19" s="4" t="s">
        <v>144</v>
      </c>
      <c r="E19" s="23">
        <v>2748</v>
      </c>
      <c r="F19" s="23">
        <v>0</v>
      </c>
      <c r="G19" t="e">
        <f>A19&amp;'Base Grupo de Produtos'!#REF!</f>
        <v>#REF!</v>
      </c>
      <c r="M19" s="4" t="s">
        <v>29</v>
      </c>
      <c r="N19" t="str">
        <f t="shared" si="0"/>
        <v>VENDA DIRETA BA</v>
      </c>
    </row>
    <row r="20" spans="1:14" x14ac:dyDescent="0.3">
      <c r="A20" s="3">
        <v>1351</v>
      </c>
      <c r="B20" s="4" t="s">
        <v>22</v>
      </c>
      <c r="C20" s="4" t="s">
        <v>22</v>
      </c>
      <c r="D20" s="4" t="s">
        <v>126</v>
      </c>
      <c r="E20" s="23">
        <v>11329.41</v>
      </c>
      <c r="F20" s="23">
        <v>6624.5</v>
      </c>
      <c r="G20" t="e">
        <f>A20&amp;'Base Grupo de Produtos'!#REF!</f>
        <v>#REF!</v>
      </c>
      <c r="M20" s="4" t="s">
        <v>28</v>
      </c>
      <c r="N20" t="str">
        <f t="shared" si="0"/>
        <v>VENDA DIRETA MA</v>
      </c>
    </row>
    <row r="21" spans="1:14" x14ac:dyDescent="0.3">
      <c r="A21" s="3">
        <v>1352</v>
      </c>
      <c r="B21" s="4" t="s">
        <v>21</v>
      </c>
      <c r="C21" s="4" t="s">
        <v>21</v>
      </c>
      <c r="D21" s="4" t="s">
        <v>132</v>
      </c>
      <c r="E21" s="23">
        <v>17856.89</v>
      </c>
      <c r="F21" s="23">
        <v>2917.6</v>
      </c>
      <c r="G21" t="e">
        <f>A21&amp;'Base Grupo de Produtos'!#REF!</f>
        <v>#REF!</v>
      </c>
      <c r="M21" s="4" t="s">
        <v>27</v>
      </c>
      <c r="N21" t="str">
        <f t="shared" si="0"/>
        <v>VENDA DIRETA TO</v>
      </c>
    </row>
    <row r="22" spans="1:14" x14ac:dyDescent="0.3">
      <c r="A22" s="3">
        <v>1353</v>
      </c>
      <c r="B22" s="4" t="s">
        <v>20</v>
      </c>
      <c r="C22" s="4" t="s">
        <v>20</v>
      </c>
      <c r="D22" s="4" t="s">
        <v>136</v>
      </c>
      <c r="E22" s="23">
        <v>37737.9</v>
      </c>
      <c r="F22" s="23">
        <v>8679.7899999999991</v>
      </c>
      <c r="G22" t="e">
        <f>A22&amp;'Base Grupo de Produtos'!#REF!</f>
        <v>#REF!</v>
      </c>
      <c r="M22" s="4" t="s">
        <v>26</v>
      </c>
      <c r="N22" t="str">
        <f t="shared" si="0"/>
        <v>VENDA DIRETA RO</v>
      </c>
    </row>
    <row r="23" spans="1:14" x14ac:dyDescent="0.3">
      <c r="A23" s="3">
        <v>1354</v>
      </c>
      <c r="B23" s="4" t="s">
        <v>19</v>
      </c>
      <c r="C23" s="4" t="s">
        <v>19</v>
      </c>
      <c r="D23" s="4" t="s">
        <v>123</v>
      </c>
      <c r="E23" s="23">
        <v>29544.829999999998</v>
      </c>
      <c r="F23" s="23">
        <v>9798.19</v>
      </c>
      <c r="G23" t="e">
        <f>A23&amp;'Base Grupo de Produtos'!#REF!</f>
        <v>#REF!</v>
      </c>
      <c r="M23" s="4" t="s">
        <v>25</v>
      </c>
      <c r="N23" t="str">
        <f t="shared" si="0"/>
        <v>VENDA DIRETA RR</v>
      </c>
    </row>
    <row r="24" spans="1:14" x14ac:dyDescent="0.3">
      <c r="A24" s="3">
        <v>1356</v>
      </c>
      <c r="B24" s="4" t="s">
        <v>18</v>
      </c>
      <c r="C24" s="4" t="s">
        <v>18</v>
      </c>
      <c r="D24" s="4" t="s">
        <v>127</v>
      </c>
      <c r="E24" s="23">
        <v>51783.55999999999</v>
      </c>
      <c r="F24" s="23">
        <v>7922.5</v>
      </c>
      <c r="G24" t="e">
        <f>A24&amp;'Base Grupo de Produtos'!#REF!</f>
        <v>#REF!</v>
      </c>
      <c r="M24" s="4" t="s">
        <v>24</v>
      </c>
      <c r="N24" t="str">
        <f t="shared" si="0"/>
        <v>VENDA DIRETA PA</v>
      </c>
    </row>
    <row r="25" spans="1:14" x14ac:dyDescent="0.3">
      <c r="A25" s="3">
        <v>1357</v>
      </c>
      <c r="B25" s="4" t="s">
        <v>17</v>
      </c>
      <c r="C25" s="4" t="s">
        <v>17</v>
      </c>
      <c r="D25" s="4" t="s">
        <v>128</v>
      </c>
      <c r="E25" s="23">
        <v>29345.889999999996</v>
      </c>
      <c r="F25" s="23">
        <v>5077.43</v>
      </c>
      <c r="G25" t="e">
        <f>A25&amp;'Base Grupo de Produtos'!#REF!</f>
        <v>#REF!</v>
      </c>
      <c r="M25" s="4" t="s">
        <v>23</v>
      </c>
      <c r="N25" t="str">
        <f t="shared" si="0"/>
        <v>VANDA DIRETA AL</v>
      </c>
    </row>
    <row r="26" spans="1:14" x14ac:dyDescent="0.3">
      <c r="A26" s="3">
        <v>1358</v>
      </c>
      <c r="B26" s="4" t="s">
        <v>16</v>
      </c>
      <c r="C26" s="4" t="s">
        <v>16</v>
      </c>
      <c r="D26" s="4" t="s">
        <v>121</v>
      </c>
      <c r="E26" s="23">
        <v>64389.590000000004</v>
      </c>
      <c r="F26" s="23">
        <v>6415.41</v>
      </c>
      <c r="G26" t="e">
        <f>A26&amp;'Base Grupo de Produtos'!#REF!</f>
        <v>#REF!</v>
      </c>
      <c r="M26" s="4" t="s">
        <v>22</v>
      </c>
      <c r="N26" t="str">
        <f t="shared" si="0"/>
        <v>VENDA DIRETA AM</v>
      </c>
    </row>
    <row r="27" spans="1:14" x14ac:dyDescent="0.3">
      <c r="A27" s="3">
        <v>1359</v>
      </c>
      <c r="B27" s="4" t="s">
        <v>15</v>
      </c>
      <c r="C27" s="4" t="s">
        <v>15</v>
      </c>
      <c r="D27" s="4" t="s">
        <v>125</v>
      </c>
      <c r="E27" s="23">
        <v>134394.22</v>
      </c>
      <c r="F27" s="23">
        <v>24761.64</v>
      </c>
      <c r="G27" t="e">
        <f>A27&amp;'Base Grupo de Produtos'!#REF!</f>
        <v>#REF!</v>
      </c>
      <c r="M27" s="4" t="s">
        <v>21</v>
      </c>
      <c r="N27" t="str">
        <f t="shared" si="0"/>
        <v>VENDA DIRETA DF</v>
      </c>
    </row>
    <row r="28" spans="1:14" x14ac:dyDescent="0.3">
      <c r="A28" s="3">
        <v>1361</v>
      </c>
      <c r="B28" s="4" t="s">
        <v>14</v>
      </c>
      <c r="C28" s="4" t="s">
        <v>14</v>
      </c>
      <c r="D28" s="4" t="s">
        <v>122</v>
      </c>
      <c r="E28" s="23">
        <v>247547.11</v>
      </c>
      <c r="F28" s="23">
        <v>55170.14</v>
      </c>
      <c r="G28" t="e">
        <f>A28&amp;'Base Grupo de Produtos'!#REF!</f>
        <v>#REF!</v>
      </c>
      <c r="M28" s="4" t="s">
        <v>20</v>
      </c>
      <c r="N28" t="str">
        <f t="shared" si="0"/>
        <v>VENDA DIRETA MS</v>
      </c>
    </row>
    <row r="29" spans="1:14" x14ac:dyDescent="0.3">
      <c r="A29" s="3">
        <v>1362</v>
      </c>
      <c r="B29" s="4" t="s">
        <v>13</v>
      </c>
      <c r="C29" s="4" t="s">
        <v>13</v>
      </c>
      <c r="D29" s="4" t="s">
        <v>124</v>
      </c>
      <c r="E29" s="23">
        <v>192804.69</v>
      </c>
      <c r="F29" s="23">
        <v>38200.490000000005</v>
      </c>
      <c r="G29" t="e">
        <f>A29&amp;'Base Grupo de Produtos'!#REF!</f>
        <v>#REF!</v>
      </c>
      <c r="M29" s="4" t="s">
        <v>19</v>
      </c>
      <c r="N29" t="str">
        <f t="shared" si="0"/>
        <v>VENDA DIRETA MT</v>
      </c>
    </row>
    <row r="30" spans="1:14" x14ac:dyDescent="0.3">
      <c r="A30" s="3">
        <v>1363</v>
      </c>
      <c r="B30" s="4" t="s">
        <v>12</v>
      </c>
      <c r="C30" s="4" t="s">
        <v>12</v>
      </c>
      <c r="D30" s="4" t="s">
        <v>130</v>
      </c>
      <c r="E30" s="23">
        <v>222318.50999999989</v>
      </c>
      <c r="F30" s="23">
        <v>31111.569999999996</v>
      </c>
      <c r="G30" t="e">
        <f>A30&amp;'Base Grupo de Produtos'!#REF!</f>
        <v>#REF!</v>
      </c>
      <c r="M30" s="4" t="s">
        <v>18</v>
      </c>
      <c r="N30" t="str">
        <f t="shared" si="0"/>
        <v>VENDA DIRETA GO</v>
      </c>
    </row>
    <row r="31" spans="1:14" x14ac:dyDescent="0.3">
      <c r="A31" s="3">
        <v>1364</v>
      </c>
      <c r="B31" s="4" t="s">
        <v>11</v>
      </c>
      <c r="C31" s="4" t="s">
        <v>11</v>
      </c>
      <c r="D31" s="4" t="s">
        <v>120</v>
      </c>
      <c r="E31" s="23">
        <v>377597.39999999997</v>
      </c>
      <c r="F31" s="23">
        <v>72425.41</v>
      </c>
      <c r="G31" t="e">
        <f>A31&amp;'Base Grupo de Produtos'!#REF!</f>
        <v>#REF!</v>
      </c>
      <c r="M31" s="4" t="s">
        <v>17</v>
      </c>
      <c r="N31" t="str">
        <f t="shared" si="0"/>
        <v>VENDA DIRETA ES</v>
      </c>
    </row>
    <row r="32" spans="1:14" x14ac:dyDescent="0.3">
      <c r="A32" s="3">
        <v>1425</v>
      </c>
      <c r="B32" s="4" t="s">
        <v>10</v>
      </c>
      <c r="C32" s="4" t="s">
        <v>111</v>
      </c>
      <c r="D32" s="4" t="str">
        <f>C32</f>
        <v>Divina Terra</v>
      </c>
      <c r="E32" s="23">
        <v>204793.38999999996</v>
      </c>
      <c r="F32" s="23">
        <v>50946.92</v>
      </c>
      <c r="G32" t="e">
        <f>A32&amp;'Base Grupo de Produtos'!#REF!</f>
        <v>#REF!</v>
      </c>
      <c r="M32" s="4" t="s">
        <v>16</v>
      </c>
      <c r="N32" t="str">
        <f t="shared" si="0"/>
        <v>VENDA DIRETA RJ</v>
      </c>
    </row>
    <row r="33" spans="1:14" x14ac:dyDescent="0.3">
      <c r="A33" s="3">
        <v>1427</v>
      </c>
      <c r="B33" s="4" t="s">
        <v>9</v>
      </c>
      <c r="C33" s="4" t="s">
        <v>109</v>
      </c>
      <c r="D33" s="4" t="str">
        <f t="shared" ref="D33:D41" si="1">C33</f>
        <v>Fitland</v>
      </c>
      <c r="E33" s="23">
        <v>253242.48999999996</v>
      </c>
      <c r="F33" s="23">
        <v>51795.040000000001</v>
      </c>
      <c r="G33" t="e">
        <f>A33&amp;'Base Grupo de Produtos'!#REF!</f>
        <v>#REF!</v>
      </c>
      <c r="M33" s="4" t="s">
        <v>15</v>
      </c>
      <c r="N33" t="str">
        <f t="shared" si="0"/>
        <v>VENDA DIRETA MG</v>
      </c>
    </row>
    <row r="34" spans="1:14" x14ac:dyDescent="0.3">
      <c r="A34" s="3">
        <v>1428</v>
      </c>
      <c r="B34" s="4" t="s">
        <v>8</v>
      </c>
      <c r="C34" s="4" t="s">
        <v>114</v>
      </c>
      <c r="D34" s="4" t="str">
        <f t="shared" si="1"/>
        <v>Jardim das Ervas</v>
      </c>
      <c r="E34" s="23">
        <v>16742.38</v>
      </c>
      <c r="F34" s="23">
        <v>7073.4700000000012</v>
      </c>
      <c r="G34" t="e">
        <f>A34&amp;'Base Grupo de Produtos'!#REF!</f>
        <v>#REF!</v>
      </c>
      <c r="M34" s="4" t="s">
        <v>14</v>
      </c>
      <c r="N34" t="str">
        <f t="shared" si="0"/>
        <v>VENDA DIRETA SP INTERIOR</v>
      </c>
    </row>
    <row r="35" spans="1:14" x14ac:dyDescent="0.3">
      <c r="A35" s="3">
        <v>1429</v>
      </c>
      <c r="B35" s="4" t="s">
        <v>7</v>
      </c>
      <c r="C35" s="4" t="s">
        <v>116</v>
      </c>
      <c r="D35" s="4" t="str">
        <f t="shared" si="1"/>
        <v>Vida Leve</v>
      </c>
      <c r="E35" s="23">
        <v>34485.69</v>
      </c>
      <c r="F35" s="23">
        <v>7306.9000000000005</v>
      </c>
      <c r="G35" t="e">
        <f>A35&amp;'Base Grupo de Produtos'!#REF!</f>
        <v>#REF!</v>
      </c>
      <c r="M35" s="4" t="s">
        <v>13</v>
      </c>
      <c r="N35" t="str">
        <f t="shared" si="0"/>
        <v>VENDA DIRETA RS</v>
      </c>
    </row>
    <row r="36" spans="1:14" x14ac:dyDescent="0.3">
      <c r="A36" s="3">
        <v>1430</v>
      </c>
      <c r="B36" s="4" t="s">
        <v>6</v>
      </c>
      <c r="C36" s="4" t="s">
        <v>113</v>
      </c>
      <c r="D36" s="4" t="str">
        <f t="shared" si="1"/>
        <v>Bio Mundo</v>
      </c>
      <c r="E36" s="23">
        <v>58109.45</v>
      </c>
      <c r="F36" s="23">
        <v>22971.38</v>
      </c>
      <c r="G36" t="e">
        <f>A36&amp;'Base Grupo de Produtos'!#REF!</f>
        <v>#REF!</v>
      </c>
      <c r="M36" s="4" t="s">
        <v>12</v>
      </c>
      <c r="N36" t="str">
        <f t="shared" si="0"/>
        <v>VENDA DIRETA PR</v>
      </c>
    </row>
    <row r="37" spans="1:14" x14ac:dyDescent="0.3">
      <c r="A37" s="3">
        <v>1431</v>
      </c>
      <c r="B37" s="4" t="s">
        <v>5</v>
      </c>
      <c r="C37" s="4" t="s">
        <v>115</v>
      </c>
      <c r="D37" s="4" t="str">
        <f t="shared" si="1"/>
        <v>Armazém Fit Store</v>
      </c>
      <c r="E37" s="23">
        <v>14124.24</v>
      </c>
      <c r="F37" s="23">
        <v>2082.7199999999998</v>
      </c>
      <c r="G37" t="e">
        <f>A37&amp;'Base Grupo de Produtos'!#REF!</f>
        <v>#REF!</v>
      </c>
      <c r="M37" s="4" t="s">
        <v>11</v>
      </c>
      <c r="N37" t="str">
        <f t="shared" si="0"/>
        <v>VENDA DIRETA SC</v>
      </c>
    </row>
    <row r="38" spans="1:14" x14ac:dyDescent="0.3">
      <c r="A38" s="3">
        <v>1432</v>
      </c>
      <c r="B38" s="4" t="s">
        <v>4</v>
      </c>
      <c r="C38" s="4" t="s">
        <v>112</v>
      </c>
      <c r="D38" s="4" t="str">
        <f t="shared" si="1"/>
        <v>Cia da Saúde</v>
      </c>
      <c r="E38" s="23">
        <v>126465.23999999999</v>
      </c>
      <c r="F38" s="23">
        <v>24390.620000000003</v>
      </c>
      <c r="G38" t="e">
        <f>A38&amp;'Base Grupo de Produtos'!#REF!</f>
        <v>#REF!</v>
      </c>
      <c r="M38" s="4" t="s">
        <v>10</v>
      </c>
      <c r="N38" t="str">
        <f t="shared" si="0"/>
        <v>VENDA DIRETA - DIVINA TERRA</v>
      </c>
    </row>
    <row r="39" spans="1:14" x14ac:dyDescent="0.3">
      <c r="A39" s="3">
        <v>1433</v>
      </c>
      <c r="B39" s="4" t="s">
        <v>3</v>
      </c>
      <c r="C39" s="4" t="s">
        <v>117</v>
      </c>
      <c r="D39" s="4" t="str">
        <f t="shared" si="1"/>
        <v>Mundo Verde</v>
      </c>
      <c r="E39" s="23">
        <v>9215.9</v>
      </c>
      <c r="F39" s="23">
        <v>4115.22</v>
      </c>
      <c r="G39" t="e">
        <f>A39&amp;'Base Grupo de Produtos'!#REF!</f>
        <v>#REF!</v>
      </c>
      <c r="M39" s="4" t="s">
        <v>9</v>
      </c>
      <c r="N39" t="str">
        <f t="shared" si="0"/>
        <v>VENDA DIRETA - FITLAND</v>
      </c>
    </row>
    <row r="40" spans="1:14" x14ac:dyDescent="0.3">
      <c r="A40" s="3">
        <v>1438</v>
      </c>
      <c r="B40" s="4" t="s">
        <v>2</v>
      </c>
      <c r="C40" s="4" t="s">
        <v>118</v>
      </c>
      <c r="D40" s="4" t="str">
        <f t="shared" si="1"/>
        <v>Mais Natural</v>
      </c>
      <c r="E40" s="23">
        <v>20933.11</v>
      </c>
      <c r="F40" s="23">
        <v>2099.81</v>
      </c>
      <c r="G40" t="e">
        <f>A40&amp;'Base Grupo de Produtos'!#REF!</f>
        <v>#REF!</v>
      </c>
      <c r="M40" s="4" t="s">
        <v>8</v>
      </c>
      <c r="N40" t="str">
        <f t="shared" si="0"/>
        <v>VENDA DIRETA - JARDIM DAS ERVAS</v>
      </c>
    </row>
    <row r="41" spans="1:14" x14ac:dyDescent="0.3">
      <c r="A41" s="3">
        <v>1439</v>
      </c>
      <c r="B41" s="4" t="s">
        <v>1</v>
      </c>
      <c r="C41" s="4" t="s">
        <v>110</v>
      </c>
      <c r="D41" s="4" t="str">
        <f t="shared" si="1"/>
        <v>Tudo em Grãos</v>
      </c>
      <c r="E41" s="23">
        <v>30753.950000000004</v>
      </c>
      <c r="F41" s="23">
        <v>11761.439999999999</v>
      </c>
      <c r="G41" t="e">
        <f>A41&amp;'Base Grupo de Produtos'!#REF!</f>
        <v>#REF!</v>
      </c>
      <c r="M41" s="4" t="s">
        <v>7</v>
      </c>
      <c r="N41" t="str">
        <f t="shared" si="0"/>
        <v>VANDA DIRETA - VIDA LEVE</v>
      </c>
    </row>
    <row r="42" spans="1:14" x14ac:dyDescent="0.3">
      <c r="A42" s="3">
        <v>1442</v>
      </c>
      <c r="B42" s="4" t="s">
        <v>0</v>
      </c>
      <c r="C42" s="4" t="s">
        <v>0</v>
      </c>
      <c r="D42" s="4"/>
      <c r="E42" s="23"/>
      <c r="F42" s="23"/>
      <c r="G42" t="e">
        <f>A42&amp;'Base Grupo de Produtos'!#REF!</f>
        <v>#REF!</v>
      </c>
      <c r="M42" s="4" t="s">
        <v>6</v>
      </c>
      <c r="N42" t="str">
        <f t="shared" si="0"/>
        <v>VENDA DIRETA - BIO MUNDO</v>
      </c>
    </row>
    <row r="43" spans="1:14" x14ac:dyDescent="0.3">
      <c r="M43" s="4" t="s">
        <v>5</v>
      </c>
      <c r="N43" t="str">
        <f t="shared" si="0"/>
        <v>VENDA DIRETA - ARMAZEM FIT STORE</v>
      </c>
    </row>
    <row r="44" spans="1:14" x14ac:dyDescent="0.3">
      <c r="M44" s="4" t="s">
        <v>4</v>
      </c>
      <c r="N44" t="str">
        <f t="shared" si="0"/>
        <v>VENDA DIRETA - CIA DA SAUDE</v>
      </c>
    </row>
    <row r="45" spans="1:14" x14ac:dyDescent="0.3">
      <c r="M45" s="4" t="s">
        <v>2</v>
      </c>
      <c r="N45" t="str">
        <f t="shared" si="0"/>
        <v>VENDA DIRETA - MAIS NATURAL</v>
      </c>
    </row>
    <row r="46" spans="1:14" x14ac:dyDescent="0.3">
      <c r="M46" s="4" t="s">
        <v>1</v>
      </c>
      <c r="N46" t="str">
        <f t="shared" si="0"/>
        <v>VENDA DIRETA - TUDO EM GRAOS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11</vt:i4>
      </vt:variant>
    </vt:vector>
  </HeadingPairs>
  <TitlesOfParts>
    <vt:vector size="11" baseType="lpstr">
      <vt:lpstr>Resumo</vt:lpstr>
      <vt:lpstr>Planilha1</vt:lpstr>
      <vt:lpstr>Faturamento</vt:lpstr>
      <vt:lpstr>Base de Grupos</vt:lpstr>
      <vt:lpstr>Quantidade</vt:lpstr>
      <vt:lpstr>Aumento Pontual</vt:lpstr>
      <vt:lpstr>Balizador da Meta</vt:lpstr>
      <vt:lpstr>Calculo Leads</vt:lpstr>
      <vt:lpstr>Base Grupo de Produtos</vt:lpstr>
      <vt:lpstr>Calculo Leads Conveniencia</vt:lpstr>
      <vt:lpstr>Historico Vendas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Joao.Giordano</dc:creator>
  <cp:lastModifiedBy>Leandro Garcia</cp:lastModifiedBy>
  <dcterms:created xsi:type="dcterms:W3CDTF">2025-03-28T17:14:40Z</dcterms:created>
  <dcterms:modified xsi:type="dcterms:W3CDTF">2025-08-08T00:59:03Z</dcterms:modified>
</cp:coreProperties>
</file>